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iralles/Library/Application Support/Mountain Duck/Volumes.noindex/OneDrive Personal.localized/My Files/_CORE/_MIS APP/DASHBOARDS/"/>
    </mc:Choice>
  </mc:AlternateContent>
  <xr:revisionPtr revIDLastSave="0" documentId="13_ncr:1_{892B93B8-D343-8745-92AA-102748377339}" xr6:coauthVersionLast="47" xr6:coauthVersionMax="47" xr10:uidLastSave="{00000000-0000-0000-0000-000000000000}"/>
  <bookViews>
    <workbookView xWindow="0" yWindow="2920" windowWidth="29400" windowHeight="14220" xr2:uid="{00000000-000D-0000-FFFF-FFFF00000000}"/>
  </bookViews>
  <sheets>
    <sheet name="PORTADA_EPM" sheetId="10" r:id="rId1"/>
    <sheet name="CONFIG_ASIGNATURAS" sheetId="2" r:id="rId2"/>
    <sheet name="CONFIG_METADATA" sheetId="3" r:id="rId3"/>
    <sheet name="CONFIG_CORRELACIONES" sheetId="4" r:id="rId4"/>
    <sheet name="DATOS" sheetId="5" r:id="rId5"/>
    <sheet name="CALC_EPM" sheetId="6" r:id="rId6"/>
    <sheet name="DAT_CORRELACION" sheetId="7" r:id="rId7"/>
    <sheet name="CALC_CORRELACIONES" sheetId="8" r:id="rId8"/>
    <sheet name="EXPORTADOR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3" i="9" l="1"/>
  <c r="B43" i="9"/>
  <c r="C43" i="9"/>
  <c r="A44" i="9"/>
  <c r="B44" i="9"/>
  <c r="C44" i="9"/>
  <c r="G44" i="9"/>
  <c r="Q44" i="9"/>
  <c r="A45" i="9"/>
  <c r="B45" i="9"/>
  <c r="C45" i="9"/>
  <c r="A46" i="9"/>
  <c r="B46" i="9"/>
  <c r="C46" i="9"/>
  <c r="A47" i="9"/>
  <c r="B47" i="9"/>
  <c r="C47" i="9"/>
  <c r="A48" i="9"/>
  <c r="B48" i="9"/>
  <c r="C48" i="9"/>
  <c r="A49" i="9"/>
  <c r="B49" i="9"/>
  <c r="C49" i="9"/>
  <c r="A50" i="9"/>
  <c r="B50" i="9"/>
  <c r="C50" i="9"/>
  <c r="A51" i="9"/>
  <c r="B51" i="9"/>
  <c r="C51" i="9"/>
  <c r="D37" i="6" a="1"/>
  <c r="D37" i="6" s="1"/>
  <c r="D44" i="9" s="1"/>
  <c r="F37" i="6" a="1"/>
  <c r="F37" i="6" s="1"/>
  <c r="F44" i="9" s="1"/>
  <c r="G37" i="6" a="1"/>
  <c r="G37" i="6" s="1"/>
  <c r="J37" i="6" a="1"/>
  <c r="J37" i="6" s="1"/>
  <c r="J44" i="9" s="1"/>
  <c r="K37" i="6" a="1"/>
  <c r="K37" i="6" s="1"/>
  <c r="K44" i="9" s="1"/>
  <c r="L37" i="6" a="1"/>
  <c r="L37" i="6" s="1"/>
  <c r="L44" i="9" s="1"/>
  <c r="M37" i="6" a="1"/>
  <c r="M37" i="6" s="1"/>
  <c r="M44" i="9" s="1"/>
  <c r="N37" i="6" a="1"/>
  <c r="N37" i="6" s="1"/>
  <c r="N44" i="9" s="1"/>
  <c r="O37" i="6" a="1"/>
  <c r="O37" i="6" s="1"/>
  <c r="O44" i="9" s="1"/>
  <c r="P37" i="6" a="1"/>
  <c r="P37" i="6" s="1"/>
  <c r="P44" i="9" s="1"/>
  <c r="Q37" i="6" a="1"/>
  <c r="Q37" i="6" s="1"/>
  <c r="R37" i="6" a="1"/>
  <c r="R37" i="6" s="1"/>
  <c r="R44" i="9" s="1"/>
  <c r="S37" i="6" a="1"/>
  <c r="S37" i="6" s="1"/>
  <c r="S44" i="9" s="1"/>
  <c r="T37" i="6" a="1"/>
  <c r="T37" i="6" s="1"/>
  <c r="T44" i="9" s="1"/>
  <c r="U37" i="6" a="1"/>
  <c r="U37" i="6" s="1"/>
  <c r="U44" i="9" s="1"/>
  <c r="D38" i="6" a="1"/>
  <c r="D38" i="6" s="1"/>
  <c r="D45" i="9" s="1"/>
  <c r="F38" i="6" a="1"/>
  <c r="F38" i="6" s="1"/>
  <c r="F45" i="9" s="1"/>
  <c r="G38" i="6" a="1"/>
  <c r="G38" i="6" s="1"/>
  <c r="G45" i="9" s="1"/>
  <c r="J38" i="6" a="1"/>
  <c r="J38" i="6" s="1"/>
  <c r="J45" i="9" s="1"/>
  <c r="K38" i="6" a="1"/>
  <c r="K38" i="6" s="1"/>
  <c r="K45" i="9" s="1"/>
  <c r="L38" i="6" a="1"/>
  <c r="L38" i="6" s="1"/>
  <c r="L45" i="9" s="1"/>
  <c r="M38" i="6" a="1"/>
  <c r="M38" i="6" s="1"/>
  <c r="M45" i="9" s="1"/>
  <c r="N38" i="6" a="1"/>
  <c r="N38" i="6" s="1"/>
  <c r="N45" i="9" s="1"/>
  <c r="O38" i="6" a="1"/>
  <c r="O38" i="6" s="1"/>
  <c r="O45" i="9" s="1"/>
  <c r="P38" i="6" a="1"/>
  <c r="P38" i="6" s="1"/>
  <c r="P45" i="9" s="1"/>
  <c r="Q38" i="6" a="1"/>
  <c r="Q38" i="6" s="1"/>
  <c r="Q45" i="9" s="1"/>
  <c r="R38" i="6" a="1"/>
  <c r="R38" i="6" s="1"/>
  <c r="R45" i="9" s="1"/>
  <c r="S38" i="6" a="1"/>
  <c r="S38" i="6" s="1"/>
  <c r="S45" i="9" s="1"/>
  <c r="T38" i="6" a="1"/>
  <c r="T38" i="6" s="1"/>
  <c r="T45" i="9" s="1"/>
  <c r="U38" i="6" a="1"/>
  <c r="U38" i="6" s="1"/>
  <c r="U45" i="9" s="1"/>
  <c r="D39" i="6" a="1"/>
  <c r="D39" i="6" s="1"/>
  <c r="D46" i="9" s="1"/>
  <c r="F39" i="6" a="1"/>
  <c r="F39" i="6" s="1"/>
  <c r="F46" i="9" s="1"/>
  <c r="G39" i="6" a="1"/>
  <c r="G39" i="6" s="1"/>
  <c r="G46" i="9" s="1"/>
  <c r="J39" i="6" a="1"/>
  <c r="J39" i="6" s="1"/>
  <c r="J46" i="9" s="1"/>
  <c r="K39" i="6" a="1"/>
  <c r="K39" i="6" s="1"/>
  <c r="K46" i="9" s="1"/>
  <c r="L39" i="6" a="1"/>
  <c r="L39" i="6" s="1"/>
  <c r="L46" i="9" s="1"/>
  <c r="M39" i="6" a="1"/>
  <c r="M39" i="6" s="1"/>
  <c r="M46" i="9" s="1"/>
  <c r="N39" i="6" a="1"/>
  <c r="N39" i="6" s="1"/>
  <c r="N46" i="9" s="1"/>
  <c r="O39" i="6" a="1"/>
  <c r="O39" i="6" s="1"/>
  <c r="O46" i="9" s="1"/>
  <c r="P39" i="6" a="1"/>
  <c r="P39" i="6" s="1"/>
  <c r="P46" i="9" s="1"/>
  <c r="Q39" i="6" a="1"/>
  <c r="Q39" i="6" s="1"/>
  <c r="Q46" i="9" s="1"/>
  <c r="R39" i="6" a="1"/>
  <c r="R39" i="6" s="1"/>
  <c r="R46" i="9" s="1"/>
  <c r="S39" i="6" a="1"/>
  <c r="S39" i="6" s="1"/>
  <c r="S46" i="9" s="1"/>
  <c r="T39" i="6" a="1"/>
  <c r="T39" i="6" s="1"/>
  <c r="T46" i="9" s="1"/>
  <c r="U39" i="6" a="1"/>
  <c r="U39" i="6" s="1"/>
  <c r="U46" i="9" s="1"/>
  <c r="D40" i="6" a="1"/>
  <c r="D40" i="6" s="1"/>
  <c r="D47" i="9" s="1"/>
  <c r="F40" i="6" a="1"/>
  <c r="F40" i="6" s="1"/>
  <c r="F47" i="9" s="1"/>
  <c r="G40" i="6" a="1"/>
  <c r="G40" i="6" s="1"/>
  <c r="G47" i="9" s="1"/>
  <c r="J40" i="6" a="1"/>
  <c r="J40" i="6" s="1"/>
  <c r="J47" i="9" s="1"/>
  <c r="K40" i="6" a="1"/>
  <c r="K40" i="6" s="1"/>
  <c r="K47" i="9" s="1"/>
  <c r="L40" i="6" a="1"/>
  <c r="L40" i="6" s="1"/>
  <c r="L47" i="9" s="1"/>
  <c r="M40" i="6" a="1"/>
  <c r="M40" i="6" s="1"/>
  <c r="M47" i="9" s="1"/>
  <c r="N40" i="6" a="1"/>
  <c r="N40" i="6" s="1"/>
  <c r="N47" i="9" s="1"/>
  <c r="O40" i="6" a="1"/>
  <c r="O40" i="6" s="1"/>
  <c r="O47" i="9" s="1"/>
  <c r="P40" i="6" a="1"/>
  <c r="P40" i="6" s="1"/>
  <c r="P47" i="9" s="1"/>
  <c r="Q40" i="6" a="1"/>
  <c r="Q40" i="6" s="1"/>
  <c r="Q47" i="9" s="1"/>
  <c r="R40" i="6" a="1"/>
  <c r="R40" i="6" s="1"/>
  <c r="R47" i="9" s="1"/>
  <c r="S40" i="6" a="1"/>
  <c r="S40" i="6" s="1"/>
  <c r="S47" i="9" s="1"/>
  <c r="T40" i="6" a="1"/>
  <c r="T40" i="6" s="1"/>
  <c r="T47" i="9" s="1"/>
  <c r="U40" i="6" a="1"/>
  <c r="U40" i="6" s="1"/>
  <c r="U47" i="9" s="1"/>
  <c r="D41" i="6" a="1"/>
  <c r="D41" i="6" s="1"/>
  <c r="D48" i="9" s="1"/>
  <c r="F41" i="6" a="1"/>
  <c r="F41" i="6" s="1"/>
  <c r="F48" i="9" s="1"/>
  <c r="G41" i="6" a="1"/>
  <c r="G41" i="6" s="1"/>
  <c r="G48" i="9" s="1"/>
  <c r="J41" i="6" a="1"/>
  <c r="J41" i="6" s="1"/>
  <c r="J48" i="9" s="1"/>
  <c r="K41" i="6" a="1"/>
  <c r="K41" i="6" s="1"/>
  <c r="K48" i="9" s="1"/>
  <c r="L41" i="6" a="1"/>
  <c r="L41" i="6" s="1"/>
  <c r="L48" i="9" s="1"/>
  <c r="M41" i="6" a="1"/>
  <c r="M41" i="6" s="1"/>
  <c r="M48" i="9" s="1"/>
  <c r="N41" i="6" a="1"/>
  <c r="N41" i="6" s="1"/>
  <c r="N48" i="9" s="1"/>
  <c r="O41" i="6" a="1"/>
  <c r="O41" i="6" s="1"/>
  <c r="O48" i="9" s="1"/>
  <c r="P41" i="6" a="1"/>
  <c r="P41" i="6" s="1"/>
  <c r="P48" i="9" s="1"/>
  <c r="Q41" i="6" a="1"/>
  <c r="Q41" i="6" s="1"/>
  <c r="Q48" i="9" s="1"/>
  <c r="R41" i="6" a="1"/>
  <c r="R41" i="6" s="1"/>
  <c r="R48" i="9" s="1"/>
  <c r="S41" i="6" a="1"/>
  <c r="S41" i="6" s="1"/>
  <c r="S48" i="9" s="1"/>
  <c r="T41" i="6" a="1"/>
  <c r="T41" i="6" s="1"/>
  <c r="T48" i="9" s="1"/>
  <c r="U41" i="6" a="1"/>
  <c r="U41" i="6" s="1"/>
  <c r="U48" i="9" s="1"/>
  <c r="D42" i="6" a="1"/>
  <c r="D42" i="6" s="1"/>
  <c r="D49" i="9" s="1"/>
  <c r="F42" i="6" a="1"/>
  <c r="F42" i="6" s="1"/>
  <c r="F49" i="9" s="1"/>
  <c r="G42" i="6" a="1"/>
  <c r="G42" i="6" s="1"/>
  <c r="G49" i="9" s="1"/>
  <c r="J42" i="6" a="1"/>
  <c r="J42" i="6" s="1"/>
  <c r="J49" i="9" s="1"/>
  <c r="K42" i="6" a="1"/>
  <c r="K42" i="6" s="1"/>
  <c r="K49" i="9" s="1"/>
  <c r="L42" i="6" a="1"/>
  <c r="L42" i="6" s="1"/>
  <c r="L49" i="9" s="1"/>
  <c r="M42" i="6" a="1"/>
  <c r="M42" i="6" s="1"/>
  <c r="M49" i="9" s="1"/>
  <c r="N42" i="6" a="1"/>
  <c r="N42" i="6" s="1"/>
  <c r="N49" i="9" s="1"/>
  <c r="O42" i="6" a="1"/>
  <c r="O42" i="6" s="1"/>
  <c r="O49" i="9" s="1"/>
  <c r="P42" i="6" a="1"/>
  <c r="P42" i="6" s="1"/>
  <c r="P49" i="9" s="1"/>
  <c r="Q42" i="6" a="1"/>
  <c r="Q42" i="6" s="1"/>
  <c r="Q49" i="9" s="1"/>
  <c r="R42" i="6" a="1"/>
  <c r="R42" i="6" s="1"/>
  <c r="R49" i="9" s="1"/>
  <c r="S42" i="6" a="1"/>
  <c r="S42" i="6" s="1"/>
  <c r="S49" i="9" s="1"/>
  <c r="T42" i="6" a="1"/>
  <c r="T42" i="6" s="1"/>
  <c r="T49" i="9" s="1"/>
  <c r="U42" i="6" a="1"/>
  <c r="U42" i="6" s="1"/>
  <c r="U49" i="9" s="1"/>
  <c r="D43" i="6" a="1"/>
  <c r="D43" i="6" s="1"/>
  <c r="D50" i="9" s="1"/>
  <c r="F43" i="6" a="1"/>
  <c r="F43" i="6" s="1"/>
  <c r="F50" i="9" s="1"/>
  <c r="G43" i="6" a="1"/>
  <c r="G43" i="6" s="1"/>
  <c r="G50" i="9" s="1"/>
  <c r="J43" i="6" a="1"/>
  <c r="J43" i="6" s="1"/>
  <c r="J50" i="9" s="1"/>
  <c r="K43" i="6" a="1"/>
  <c r="K43" i="6" s="1"/>
  <c r="K50" i="9" s="1"/>
  <c r="L43" i="6" a="1"/>
  <c r="L43" i="6" s="1"/>
  <c r="L50" i="9" s="1"/>
  <c r="M43" i="6" a="1"/>
  <c r="M43" i="6" s="1"/>
  <c r="M50" i="9" s="1"/>
  <c r="N43" i="6" a="1"/>
  <c r="N43" i="6" s="1"/>
  <c r="N50" i="9" s="1"/>
  <c r="O43" i="6" a="1"/>
  <c r="O43" i="6" s="1"/>
  <c r="O50" i="9" s="1"/>
  <c r="P43" i="6" a="1"/>
  <c r="P43" i="6" s="1"/>
  <c r="P50" i="9" s="1"/>
  <c r="Q43" i="6" a="1"/>
  <c r="Q43" i="6" s="1"/>
  <c r="Q50" i="9" s="1"/>
  <c r="R43" i="6" a="1"/>
  <c r="R43" i="6" s="1"/>
  <c r="R50" i="9" s="1"/>
  <c r="S43" i="6" a="1"/>
  <c r="S43" i="6" s="1"/>
  <c r="S50" i="9" s="1"/>
  <c r="T43" i="6" a="1"/>
  <c r="T43" i="6" s="1"/>
  <c r="T50" i="9" s="1"/>
  <c r="U43" i="6" a="1"/>
  <c r="U43" i="6" s="1"/>
  <c r="U50" i="9" s="1"/>
  <c r="D44" i="6" a="1"/>
  <c r="D44" i="6" s="1"/>
  <c r="D51" i="9" s="1"/>
  <c r="F44" i="6" a="1"/>
  <c r="F44" i="6" s="1"/>
  <c r="F51" i="9" s="1"/>
  <c r="G44" i="6" a="1"/>
  <c r="G44" i="6" s="1"/>
  <c r="G51" i="9" s="1"/>
  <c r="J44" i="6" a="1"/>
  <c r="J44" i="6" s="1"/>
  <c r="J51" i="9" s="1"/>
  <c r="K44" i="6" a="1"/>
  <c r="K44" i="6" s="1"/>
  <c r="K51" i="9" s="1"/>
  <c r="L44" i="6" a="1"/>
  <c r="L44" i="6" s="1"/>
  <c r="L51" i="9" s="1"/>
  <c r="M44" i="6" a="1"/>
  <c r="M44" i="6" s="1"/>
  <c r="M51" i="9" s="1"/>
  <c r="N44" i="6" a="1"/>
  <c r="N44" i="6" s="1"/>
  <c r="N51" i="9" s="1"/>
  <c r="O44" i="6" a="1"/>
  <c r="O44" i="6" s="1"/>
  <c r="O51" i="9" s="1"/>
  <c r="P44" i="6" a="1"/>
  <c r="P44" i="6" s="1"/>
  <c r="P51" i="9" s="1"/>
  <c r="Q44" i="6" a="1"/>
  <c r="Q44" i="6" s="1"/>
  <c r="Q51" i="9" s="1"/>
  <c r="R44" i="6" a="1"/>
  <c r="R44" i="6" s="1"/>
  <c r="R51" i="9" s="1"/>
  <c r="S44" i="6" a="1"/>
  <c r="S44" i="6" s="1"/>
  <c r="S51" i="9" s="1"/>
  <c r="T44" i="6" a="1"/>
  <c r="T44" i="6" s="1"/>
  <c r="T51" i="9" s="1"/>
  <c r="U44" i="6" a="1"/>
  <c r="U44" i="6" s="1"/>
  <c r="U51" i="9" s="1"/>
  <c r="U36" i="6" a="1"/>
  <c r="U36" i="6" s="1"/>
  <c r="U43" i="9" s="1"/>
  <c r="T36" i="6" a="1"/>
  <c r="T36" i="6" s="1"/>
  <c r="T43" i="9" s="1"/>
  <c r="S36" i="6" a="1"/>
  <c r="S36" i="6" s="1"/>
  <c r="S43" i="9" s="1"/>
  <c r="R36" i="6" a="1"/>
  <c r="R36" i="6" s="1"/>
  <c r="R43" i="9" s="1"/>
  <c r="Q36" i="6" a="1"/>
  <c r="Q36" i="6" s="1"/>
  <c r="Q43" i="9" s="1"/>
  <c r="P36" i="6" a="1"/>
  <c r="P36" i="6" s="1"/>
  <c r="P43" i="9" s="1"/>
  <c r="O36" i="6" a="1"/>
  <c r="O36" i="6" s="1"/>
  <c r="O43" i="9" s="1"/>
  <c r="N36" i="6" a="1"/>
  <c r="N36" i="6" s="1"/>
  <c r="N43" i="9" s="1"/>
  <c r="M36" i="6" a="1"/>
  <c r="M36" i="6" s="1"/>
  <c r="M43" i="9" s="1"/>
  <c r="L36" i="6" a="1"/>
  <c r="L36" i="6" s="1"/>
  <c r="L43" i="9" s="1"/>
  <c r="K36" i="6" a="1"/>
  <c r="K36" i="6" s="1"/>
  <c r="K43" i="9" s="1"/>
  <c r="J36" i="6" a="1"/>
  <c r="J36" i="6" s="1"/>
  <c r="J43" i="9" s="1"/>
  <c r="I36" i="6" a="1"/>
  <c r="I36" i="6" s="1"/>
  <c r="I43" i="9" s="1"/>
  <c r="H36" i="6" a="1"/>
  <c r="H36" i="6" s="1"/>
  <c r="H43" i="9" s="1"/>
  <c r="G36" i="6" a="1"/>
  <c r="G36" i="6" s="1"/>
  <c r="G43" i="9" s="1"/>
  <c r="F36" i="6" a="1"/>
  <c r="F36" i="6" s="1"/>
  <c r="F43" i="9" s="1"/>
  <c r="E36" i="6" a="1"/>
  <c r="E36" i="6" s="1"/>
  <c r="E43" i="9" s="1"/>
  <c r="D36" i="6" a="1"/>
  <c r="D36" i="6" s="1"/>
  <c r="D43" i="9" s="1"/>
  <c r="K223" i="6" a="1"/>
  <c r="K223" i="6" s="1"/>
  <c r="J223" i="6" a="1"/>
  <c r="J223" i="6" s="1"/>
  <c r="G223" i="6" a="1"/>
  <c r="G223" i="6" s="1"/>
  <c r="K222" i="6" a="1"/>
  <c r="K222" i="6" s="1"/>
  <c r="J222" i="6" a="1"/>
  <c r="J222" i="6" s="1"/>
  <c r="G222" i="6" a="1"/>
  <c r="G222" i="6" s="1"/>
  <c r="K221" i="6" a="1"/>
  <c r="K221" i="6" s="1"/>
  <c r="J221" i="6" a="1"/>
  <c r="J221" i="6" s="1"/>
  <c r="G221" i="6" a="1"/>
  <c r="G221" i="6" s="1"/>
  <c r="K220" i="6" a="1"/>
  <c r="K220" i="6" s="1"/>
  <c r="J220" i="6" a="1"/>
  <c r="J220" i="6" s="1"/>
  <c r="G220" i="6" a="1"/>
  <c r="G220" i="6" s="1"/>
  <c r="K219" i="6" a="1"/>
  <c r="K219" i="6" s="1"/>
  <c r="J219" i="6" a="1"/>
  <c r="J219" i="6" s="1"/>
  <c r="G219" i="6" a="1"/>
  <c r="G219" i="6" s="1"/>
  <c r="K218" i="6" a="1"/>
  <c r="K218" i="6" s="1"/>
  <c r="J218" i="6" a="1"/>
  <c r="J218" i="6" s="1"/>
  <c r="G218" i="6" a="1"/>
  <c r="G218" i="6" s="1"/>
  <c r="K217" i="6" a="1"/>
  <c r="K217" i="6" s="1"/>
  <c r="J217" i="6" a="1"/>
  <c r="J217" i="6" s="1"/>
  <c r="G217" i="6" a="1"/>
  <c r="G217" i="6" s="1"/>
  <c r="K216" i="6" a="1"/>
  <c r="K216" i="6" s="1"/>
  <c r="J216" i="6" a="1"/>
  <c r="J216" i="6" s="1"/>
  <c r="G216" i="6" a="1"/>
  <c r="G216" i="6" s="1"/>
  <c r="K215" i="6" a="1"/>
  <c r="K215" i="6" s="1"/>
  <c r="J215" i="6" a="1"/>
  <c r="J215" i="6" s="1"/>
  <c r="G215" i="6" a="1"/>
  <c r="G215" i="6" s="1"/>
  <c r="K214" i="6" a="1"/>
  <c r="K214" i="6" s="1"/>
  <c r="J214" i="6" a="1"/>
  <c r="J214" i="6" s="1"/>
  <c r="G214" i="6" a="1"/>
  <c r="G214" i="6" s="1"/>
  <c r="K213" i="6" a="1"/>
  <c r="K213" i="6" s="1"/>
  <c r="J213" i="6" a="1"/>
  <c r="J213" i="6" s="1"/>
  <c r="G213" i="6" a="1"/>
  <c r="G213" i="6" s="1"/>
  <c r="K212" i="6" a="1"/>
  <c r="K212" i="6" s="1"/>
  <c r="J212" i="6" a="1"/>
  <c r="J212" i="6" s="1"/>
  <c r="G212" i="6" a="1"/>
  <c r="G212" i="6" s="1"/>
  <c r="K211" i="6" a="1"/>
  <c r="K211" i="6" s="1"/>
  <c r="J211" i="6" a="1"/>
  <c r="J211" i="6" s="1"/>
  <c r="G211" i="6" a="1"/>
  <c r="G211" i="6" s="1"/>
  <c r="K210" i="6" a="1"/>
  <c r="K210" i="6" s="1"/>
  <c r="J210" i="6" a="1"/>
  <c r="J210" i="6" s="1"/>
  <c r="G210" i="6" a="1"/>
  <c r="G210" i="6" s="1"/>
  <c r="K209" i="6" a="1"/>
  <c r="K209" i="6" s="1"/>
  <c r="J209" i="6" a="1"/>
  <c r="J209" i="6" s="1"/>
  <c r="G209" i="6" a="1"/>
  <c r="G209" i="6" s="1"/>
  <c r="K208" i="6" a="1"/>
  <c r="K208" i="6" s="1"/>
  <c r="J208" i="6" a="1"/>
  <c r="J208" i="6" s="1"/>
  <c r="G208" i="6" a="1"/>
  <c r="G208" i="6" s="1"/>
  <c r="K207" i="6" a="1"/>
  <c r="K207" i="6" s="1"/>
  <c r="J207" i="6" a="1"/>
  <c r="J207" i="6" s="1"/>
  <c r="G207" i="6" a="1"/>
  <c r="G207" i="6" s="1"/>
  <c r="K206" i="6" a="1"/>
  <c r="K206" i="6" s="1"/>
  <c r="J206" i="6" a="1"/>
  <c r="J206" i="6" s="1"/>
  <c r="G206" i="6" a="1"/>
  <c r="G206" i="6" s="1"/>
  <c r="K205" i="6" a="1"/>
  <c r="K205" i="6" s="1"/>
  <c r="J205" i="6" a="1"/>
  <c r="J205" i="6" s="1"/>
  <c r="G205" i="6" a="1"/>
  <c r="G205" i="6" s="1"/>
  <c r="K204" i="6" a="1"/>
  <c r="K204" i="6" s="1"/>
  <c r="J204" i="6" a="1"/>
  <c r="J204" i="6" s="1"/>
  <c r="G204" i="6" a="1"/>
  <c r="G204" i="6" s="1"/>
  <c r="K203" i="6" a="1"/>
  <c r="K203" i="6" s="1"/>
  <c r="J203" i="6" a="1"/>
  <c r="J203" i="6" s="1"/>
  <c r="G203" i="6" a="1"/>
  <c r="G203" i="6" s="1"/>
  <c r="K202" i="6" a="1"/>
  <c r="K202" i="6" s="1"/>
  <c r="J202" i="6" a="1"/>
  <c r="J202" i="6" s="1"/>
  <c r="G202" i="6" a="1"/>
  <c r="G202" i="6" s="1"/>
  <c r="K201" i="6" a="1"/>
  <c r="K201" i="6" s="1"/>
  <c r="J201" i="6" a="1"/>
  <c r="J201" i="6" s="1"/>
  <c r="G201" i="6" a="1"/>
  <c r="G201" i="6" s="1"/>
  <c r="K200" i="6" a="1"/>
  <c r="K200" i="6" s="1"/>
  <c r="J200" i="6" a="1"/>
  <c r="J200" i="6" s="1"/>
  <c r="G200" i="6" a="1"/>
  <c r="G200" i="6" s="1"/>
  <c r="K199" i="6" a="1"/>
  <c r="K199" i="6" s="1"/>
  <c r="J199" i="6" a="1"/>
  <c r="J199" i="6" s="1"/>
  <c r="G199" i="6" a="1"/>
  <c r="G199" i="6" s="1"/>
  <c r="K198" i="6" a="1"/>
  <c r="K198" i="6" s="1"/>
  <c r="J198" i="6" a="1"/>
  <c r="J198" i="6" s="1"/>
  <c r="G198" i="6" a="1"/>
  <c r="G198" i="6" s="1"/>
  <c r="K197" i="6" a="1"/>
  <c r="K197" i="6" s="1"/>
  <c r="J197" i="6" a="1"/>
  <c r="J197" i="6" s="1"/>
  <c r="G197" i="6" a="1"/>
  <c r="G197" i="6" s="1"/>
  <c r="K196" i="6" a="1"/>
  <c r="K196" i="6" s="1"/>
  <c r="J196" i="6" a="1"/>
  <c r="J196" i="6" s="1"/>
  <c r="G196" i="6" a="1"/>
  <c r="G196" i="6" s="1"/>
  <c r="K195" i="6" a="1"/>
  <c r="K195" i="6" s="1"/>
  <c r="J195" i="6" a="1"/>
  <c r="J195" i="6" s="1"/>
  <c r="G195" i="6" a="1"/>
  <c r="G195" i="6" s="1"/>
  <c r="K194" i="6" a="1"/>
  <c r="K194" i="6" s="1"/>
  <c r="J194" i="6" a="1"/>
  <c r="J194" i="6" s="1"/>
  <c r="G194" i="6" a="1"/>
  <c r="G194" i="6" s="1"/>
  <c r="K193" i="6" a="1"/>
  <c r="K193" i="6" s="1"/>
  <c r="J193" i="6" a="1"/>
  <c r="J193" i="6" s="1"/>
  <c r="G193" i="6" a="1"/>
  <c r="G193" i="6" s="1"/>
  <c r="K192" i="6" a="1"/>
  <c r="K192" i="6" s="1"/>
  <c r="J192" i="6" a="1"/>
  <c r="J192" i="6" s="1"/>
  <c r="G192" i="6" a="1"/>
  <c r="G192" i="6" s="1"/>
  <c r="K191" i="6" a="1"/>
  <c r="K191" i="6" s="1"/>
  <c r="J191" i="6" a="1"/>
  <c r="J191" i="6" s="1"/>
  <c r="G191" i="6" a="1"/>
  <c r="G191" i="6" s="1"/>
  <c r="K190" i="6" a="1"/>
  <c r="K190" i="6" s="1"/>
  <c r="J190" i="6" a="1"/>
  <c r="J190" i="6" s="1"/>
  <c r="G190" i="6" a="1"/>
  <c r="G190" i="6" s="1"/>
  <c r="K189" i="6" a="1"/>
  <c r="K189" i="6" s="1"/>
  <c r="J189" i="6" a="1"/>
  <c r="J189" i="6" s="1"/>
  <c r="G189" i="6" a="1"/>
  <c r="G189" i="6" s="1"/>
  <c r="K188" i="6" a="1"/>
  <c r="K188" i="6" s="1"/>
  <c r="J188" i="6" a="1"/>
  <c r="J188" i="6" s="1"/>
  <c r="G188" i="6" a="1"/>
  <c r="G188" i="6" s="1"/>
  <c r="K187" i="6" a="1"/>
  <c r="K187" i="6" s="1"/>
  <c r="J187" i="6" a="1"/>
  <c r="J187" i="6" s="1"/>
  <c r="G187" i="6" a="1"/>
  <c r="G187" i="6" s="1"/>
  <c r="K186" i="6" a="1"/>
  <c r="K186" i="6" s="1"/>
  <c r="J186" i="6" a="1"/>
  <c r="J186" i="6" s="1"/>
  <c r="G186" i="6" a="1"/>
  <c r="G186" i="6" s="1"/>
  <c r="K185" i="6" a="1"/>
  <c r="K185" i="6" s="1"/>
  <c r="J185" i="6" a="1"/>
  <c r="J185" i="6" s="1"/>
  <c r="G185" i="6" a="1"/>
  <c r="G185" i="6" s="1"/>
  <c r="K184" i="6" a="1"/>
  <c r="K184" i="6" s="1"/>
  <c r="J184" i="6" a="1"/>
  <c r="J184" i="6" s="1"/>
  <c r="G184" i="6" a="1"/>
  <c r="G184" i="6" s="1"/>
  <c r="K183" i="6" a="1"/>
  <c r="K183" i="6" s="1"/>
  <c r="J183" i="6" a="1"/>
  <c r="J183" i="6" s="1"/>
  <c r="G183" i="6" a="1"/>
  <c r="G183" i="6" s="1"/>
  <c r="K182" i="6" a="1"/>
  <c r="K182" i="6" s="1"/>
  <c r="J182" i="6" a="1"/>
  <c r="J182" i="6" s="1"/>
  <c r="G182" i="6" a="1"/>
  <c r="G182" i="6" s="1"/>
  <c r="K181" i="6" a="1"/>
  <c r="K181" i="6" s="1"/>
  <c r="J181" i="6" a="1"/>
  <c r="J181" i="6" s="1"/>
  <c r="G181" i="6" a="1"/>
  <c r="G181" i="6" s="1"/>
  <c r="K180" i="6" a="1"/>
  <c r="K180" i="6" s="1"/>
  <c r="J180" i="6" a="1"/>
  <c r="J180" i="6" s="1"/>
  <c r="G180" i="6" a="1"/>
  <c r="G180" i="6" s="1"/>
  <c r="K179" i="6" a="1"/>
  <c r="K179" i="6" s="1"/>
  <c r="J179" i="6" a="1"/>
  <c r="J179" i="6" s="1"/>
  <c r="G179" i="6" a="1"/>
  <c r="G179" i="6" s="1"/>
  <c r="K178" i="6" a="1"/>
  <c r="K178" i="6" s="1"/>
  <c r="J178" i="6" a="1"/>
  <c r="J178" i="6" s="1"/>
  <c r="G178" i="6" a="1"/>
  <c r="G178" i="6" s="1"/>
  <c r="K177" i="6" a="1"/>
  <c r="K177" i="6" s="1"/>
  <c r="J177" i="6" a="1"/>
  <c r="J177" i="6" s="1"/>
  <c r="G177" i="6" a="1"/>
  <c r="G177" i="6" s="1"/>
  <c r="K176" i="6" a="1"/>
  <c r="K176" i="6" s="1"/>
  <c r="J176" i="6" a="1"/>
  <c r="J176" i="6" s="1"/>
  <c r="G176" i="6" a="1"/>
  <c r="G176" i="6" s="1"/>
  <c r="K175" i="6" a="1"/>
  <c r="K175" i="6" s="1"/>
  <c r="J175" i="6" a="1"/>
  <c r="J175" i="6" s="1"/>
  <c r="G175" i="6" a="1"/>
  <c r="G175" i="6" s="1"/>
  <c r="K174" i="6" a="1"/>
  <c r="K174" i="6" s="1"/>
  <c r="J174" i="6" a="1"/>
  <c r="J174" i="6" s="1"/>
  <c r="G174" i="6" a="1"/>
  <c r="G174" i="6" s="1"/>
  <c r="K173" i="6" a="1"/>
  <c r="K173" i="6" s="1"/>
  <c r="J173" i="6" a="1"/>
  <c r="J173" i="6" s="1"/>
  <c r="G173" i="6" a="1"/>
  <c r="G173" i="6" s="1"/>
  <c r="K172" i="6" a="1"/>
  <c r="K172" i="6" s="1"/>
  <c r="J172" i="6" a="1"/>
  <c r="J172" i="6" s="1"/>
  <c r="G172" i="6" a="1"/>
  <c r="G172" i="6" s="1"/>
  <c r="K171" i="6" a="1"/>
  <c r="K171" i="6" s="1"/>
  <c r="J171" i="6" a="1"/>
  <c r="J171" i="6" s="1"/>
  <c r="G171" i="6" a="1"/>
  <c r="G171" i="6" s="1"/>
  <c r="K170" i="6" a="1"/>
  <c r="K170" i="6" s="1"/>
  <c r="J170" i="6" a="1"/>
  <c r="J170" i="6" s="1"/>
  <c r="G170" i="6" a="1"/>
  <c r="G170" i="6" s="1"/>
  <c r="K169" i="6" a="1"/>
  <c r="K169" i="6" s="1"/>
  <c r="J169" i="6" a="1"/>
  <c r="J169" i="6" s="1"/>
  <c r="G169" i="6" a="1"/>
  <c r="G169" i="6" s="1"/>
  <c r="K168" i="6" a="1"/>
  <c r="K168" i="6" s="1"/>
  <c r="J168" i="6" a="1"/>
  <c r="J168" i="6" s="1"/>
  <c r="G168" i="6" a="1"/>
  <c r="G168" i="6" s="1"/>
  <c r="K167" i="6" a="1"/>
  <c r="K167" i="6" s="1"/>
  <c r="J167" i="6" a="1"/>
  <c r="J167" i="6" s="1"/>
  <c r="G167" i="6" a="1"/>
  <c r="G167" i="6" s="1"/>
  <c r="K166" i="6" a="1"/>
  <c r="K166" i="6" s="1"/>
  <c r="J166" i="6" a="1"/>
  <c r="J166" i="6" s="1"/>
  <c r="G166" i="6" a="1"/>
  <c r="G166" i="6" s="1"/>
  <c r="K165" i="6" a="1"/>
  <c r="K165" i="6" s="1"/>
  <c r="J165" i="6" a="1"/>
  <c r="J165" i="6" s="1"/>
  <c r="G165" i="6" a="1"/>
  <c r="G165" i="6" s="1"/>
  <c r="K164" i="6" a="1"/>
  <c r="K164" i="6" s="1"/>
  <c r="J164" i="6" a="1"/>
  <c r="J164" i="6" s="1"/>
  <c r="G164" i="6" a="1"/>
  <c r="G164" i="6" s="1"/>
  <c r="K163" i="6" a="1"/>
  <c r="K163" i="6" s="1"/>
  <c r="J163" i="6" a="1"/>
  <c r="J163" i="6" s="1"/>
  <c r="G163" i="6" a="1"/>
  <c r="G163" i="6" s="1"/>
  <c r="K162" i="6" a="1"/>
  <c r="K162" i="6" s="1"/>
  <c r="J162" i="6" a="1"/>
  <c r="J162" i="6" s="1"/>
  <c r="G162" i="6" a="1"/>
  <c r="G162" i="6" s="1"/>
  <c r="K161" i="6" a="1"/>
  <c r="K161" i="6" s="1"/>
  <c r="J161" i="6" a="1"/>
  <c r="J161" i="6" s="1"/>
  <c r="G161" i="6" a="1"/>
  <c r="G161" i="6" s="1"/>
  <c r="K160" i="6" a="1"/>
  <c r="K160" i="6" s="1"/>
  <c r="J160" i="6" a="1"/>
  <c r="J160" i="6" s="1"/>
  <c r="G160" i="6" a="1"/>
  <c r="G160" i="6" s="1"/>
  <c r="K159" i="6" a="1"/>
  <c r="K159" i="6" s="1"/>
  <c r="J159" i="6" a="1"/>
  <c r="J159" i="6" s="1"/>
  <c r="G159" i="6" a="1"/>
  <c r="G159" i="6" s="1"/>
  <c r="K158" i="6" a="1"/>
  <c r="K158" i="6" s="1"/>
  <c r="J158" i="6" a="1"/>
  <c r="J158" i="6" s="1"/>
  <c r="G158" i="6" a="1"/>
  <c r="G158" i="6" s="1"/>
  <c r="K157" i="6" a="1"/>
  <c r="K157" i="6" s="1"/>
  <c r="J157" i="6" a="1"/>
  <c r="J157" i="6" s="1"/>
  <c r="G157" i="6" a="1"/>
  <c r="G157" i="6" s="1"/>
  <c r="K156" i="6" a="1"/>
  <c r="K156" i="6" s="1"/>
  <c r="J156" i="6" a="1"/>
  <c r="J156" i="6" s="1"/>
  <c r="G156" i="6" a="1"/>
  <c r="G156" i="6" s="1"/>
  <c r="K155" i="6" a="1"/>
  <c r="K155" i="6" s="1"/>
  <c r="J155" i="6" a="1"/>
  <c r="J155" i="6" s="1"/>
  <c r="G155" i="6" a="1"/>
  <c r="G155" i="6" s="1"/>
  <c r="K154" i="6" a="1"/>
  <c r="K154" i="6" s="1"/>
  <c r="J154" i="6" a="1"/>
  <c r="J154" i="6" s="1"/>
  <c r="G154" i="6" a="1"/>
  <c r="G154" i="6" s="1"/>
  <c r="K153" i="6" a="1"/>
  <c r="K153" i="6" s="1"/>
  <c r="J153" i="6" a="1"/>
  <c r="J153" i="6" s="1"/>
  <c r="G153" i="6" a="1"/>
  <c r="G153" i="6" s="1"/>
  <c r="K152" i="6" a="1"/>
  <c r="K152" i="6" s="1"/>
  <c r="J152" i="6" a="1"/>
  <c r="J152" i="6" s="1"/>
  <c r="G152" i="6" a="1"/>
  <c r="G152" i="6" s="1"/>
  <c r="K151" i="6" a="1"/>
  <c r="K151" i="6" s="1"/>
  <c r="J151" i="6" a="1"/>
  <c r="J151" i="6" s="1"/>
  <c r="G151" i="6" a="1"/>
  <c r="G151" i="6" s="1"/>
  <c r="K150" i="6" a="1"/>
  <c r="K150" i="6" s="1"/>
  <c r="J150" i="6" a="1"/>
  <c r="J150" i="6" s="1"/>
  <c r="G150" i="6" a="1"/>
  <c r="G150" i="6" s="1"/>
  <c r="K149" i="6" a="1"/>
  <c r="K149" i="6" s="1"/>
  <c r="J149" i="6" a="1"/>
  <c r="J149" i="6" s="1"/>
  <c r="G149" i="6" a="1"/>
  <c r="G149" i="6" s="1"/>
  <c r="K148" i="6" a="1"/>
  <c r="K148" i="6" s="1"/>
  <c r="J148" i="6" a="1"/>
  <c r="J148" i="6" s="1"/>
  <c r="G148" i="6" a="1"/>
  <c r="G148" i="6" s="1"/>
  <c r="K147" i="6" a="1"/>
  <c r="K147" i="6" s="1"/>
  <c r="J147" i="6" a="1"/>
  <c r="J147" i="6" s="1"/>
  <c r="G147" i="6" a="1"/>
  <c r="G147" i="6" s="1"/>
  <c r="K146" i="6" a="1"/>
  <c r="K146" i="6" s="1"/>
  <c r="J146" i="6" a="1"/>
  <c r="J146" i="6" s="1"/>
  <c r="G146" i="6" a="1"/>
  <c r="G146" i="6" s="1"/>
  <c r="K145" i="6" a="1"/>
  <c r="K145" i="6" s="1"/>
  <c r="J145" i="6" a="1"/>
  <c r="J145" i="6" s="1"/>
  <c r="G145" i="6" a="1"/>
  <c r="G145" i="6" s="1"/>
  <c r="K144" i="6" a="1"/>
  <c r="K144" i="6" s="1"/>
  <c r="J144" i="6" a="1"/>
  <c r="J144" i="6" s="1"/>
  <c r="G144" i="6" a="1"/>
  <c r="G144" i="6" s="1"/>
  <c r="K143" i="6" a="1"/>
  <c r="K143" i="6" s="1"/>
  <c r="J143" i="6" a="1"/>
  <c r="J143" i="6" s="1"/>
  <c r="G143" i="6" a="1"/>
  <c r="G143" i="6" s="1"/>
  <c r="K142" i="6" a="1"/>
  <c r="K142" i="6" s="1"/>
  <c r="J142" i="6" a="1"/>
  <c r="J142" i="6" s="1"/>
  <c r="G142" i="6" a="1"/>
  <c r="G142" i="6" s="1"/>
  <c r="K141" i="6" a="1"/>
  <c r="K141" i="6" s="1"/>
  <c r="J141" i="6" a="1"/>
  <c r="J141" i="6" s="1"/>
  <c r="G141" i="6" a="1"/>
  <c r="G141" i="6" s="1"/>
  <c r="K140" i="6" a="1"/>
  <c r="K140" i="6" s="1"/>
  <c r="J140" i="6" a="1"/>
  <c r="J140" i="6" s="1"/>
  <c r="G140" i="6" a="1"/>
  <c r="G140" i="6" s="1"/>
  <c r="K139" i="6" a="1"/>
  <c r="K139" i="6" s="1"/>
  <c r="J139" i="6" a="1"/>
  <c r="J139" i="6" s="1"/>
  <c r="G139" i="6" a="1"/>
  <c r="G139" i="6" s="1"/>
  <c r="K138" i="6" a="1"/>
  <c r="K138" i="6" s="1"/>
  <c r="J138" i="6" a="1"/>
  <c r="J138" i="6" s="1"/>
  <c r="G138" i="6" a="1"/>
  <c r="G138" i="6" s="1"/>
  <c r="K137" i="6" a="1"/>
  <c r="K137" i="6" s="1"/>
  <c r="J137" i="6" a="1"/>
  <c r="J137" i="6" s="1"/>
  <c r="G137" i="6" a="1"/>
  <c r="G137" i="6" s="1"/>
  <c r="K136" i="6" a="1"/>
  <c r="K136" i="6" s="1"/>
  <c r="J136" i="6" a="1"/>
  <c r="J136" i="6" s="1"/>
  <c r="G136" i="6" a="1"/>
  <c r="G136" i="6" s="1"/>
  <c r="K135" i="6" a="1"/>
  <c r="K135" i="6" s="1"/>
  <c r="J135" i="6" a="1"/>
  <c r="J135" i="6" s="1"/>
  <c r="G135" i="6" a="1"/>
  <c r="G135" i="6" s="1"/>
  <c r="G142" i="9" s="1"/>
  <c r="K134" i="6" a="1"/>
  <c r="K134" i="6" s="1"/>
  <c r="K141" i="9" s="1"/>
  <c r="J134" i="6" a="1"/>
  <c r="J134" i="6" s="1"/>
  <c r="J141" i="9" s="1"/>
  <c r="G134" i="6" a="1"/>
  <c r="G134" i="6" s="1"/>
  <c r="G141" i="9" s="1"/>
  <c r="K133" i="6" a="1"/>
  <c r="K133" i="6" s="1"/>
  <c r="J133" i="6" a="1"/>
  <c r="J133" i="6" s="1"/>
  <c r="G133" i="6" a="1"/>
  <c r="G133" i="6" s="1"/>
  <c r="K132" i="6" a="1"/>
  <c r="K132" i="6" s="1"/>
  <c r="J132" i="6" a="1"/>
  <c r="J132" i="6" s="1"/>
  <c r="G132" i="6" a="1"/>
  <c r="G132" i="6" s="1"/>
  <c r="K131" i="6" a="1"/>
  <c r="K131" i="6" s="1"/>
  <c r="K138" i="9" s="1"/>
  <c r="J131" i="6" a="1"/>
  <c r="J131" i="6" s="1"/>
  <c r="J138" i="9" s="1"/>
  <c r="G131" i="6" a="1"/>
  <c r="G131" i="6" s="1"/>
  <c r="G138" i="9" s="1"/>
  <c r="K130" i="6" a="1"/>
  <c r="K130" i="6" s="1"/>
  <c r="K137" i="9" s="1"/>
  <c r="J130" i="6" a="1"/>
  <c r="J130" i="6" s="1"/>
  <c r="G130" i="6" a="1"/>
  <c r="G130" i="6" s="1"/>
  <c r="K129" i="6" a="1"/>
  <c r="K129" i="6" s="1"/>
  <c r="J129" i="6" a="1"/>
  <c r="J129" i="6" s="1"/>
  <c r="G129" i="6" a="1"/>
  <c r="G129" i="6" s="1"/>
  <c r="K128" i="6" a="1"/>
  <c r="K128" i="6" s="1"/>
  <c r="J128" i="6" a="1"/>
  <c r="J128" i="6" s="1"/>
  <c r="J135" i="9" s="1"/>
  <c r="G128" i="6" a="1"/>
  <c r="G128" i="6" s="1"/>
  <c r="G135" i="9" s="1"/>
  <c r="K127" i="6" a="1"/>
  <c r="K127" i="6" s="1"/>
  <c r="K134" i="9" s="1"/>
  <c r="J127" i="6" a="1"/>
  <c r="J127" i="6" s="1"/>
  <c r="J134" i="9" s="1"/>
  <c r="G127" i="6" a="1"/>
  <c r="G127" i="6" s="1"/>
  <c r="K126" i="6" a="1"/>
  <c r="K126" i="6" s="1"/>
  <c r="J126" i="6" a="1"/>
  <c r="J126" i="6" s="1"/>
  <c r="G126" i="6" a="1"/>
  <c r="G126" i="6" s="1"/>
  <c r="K125" i="6" a="1"/>
  <c r="K125" i="6" s="1"/>
  <c r="J125" i="6" a="1"/>
  <c r="J125" i="6" s="1"/>
  <c r="G125" i="6" a="1"/>
  <c r="G125" i="6" s="1"/>
  <c r="G132" i="9" s="1"/>
  <c r="K124" i="6" a="1"/>
  <c r="K124" i="6" s="1"/>
  <c r="K131" i="9" s="1"/>
  <c r="J124" i="6" a="1"/>
  <c r="J124" i="6" s="1"/>
  <c r="J131" i="9" s="1"/>
  <c r="G124" i="6" a="1"/>
  <c r="G124" i="6" s="1"/>
  <c r="G131" i="9" s="1"/>
  <c r="K123" i="6" a="1"/>
  <c r="K123" i="6" s="1"/>
  <c r="J123" i="6" a="1"/>
  <c r="J123" i="6" s="1"/>
  <c r="G123" i="6" a="1"/>
  <c r="G123" i="6" s="1"/>
  <c r="K122" i="6" a="1"/>
  <c r="K122" i="6" s="1"/>
  <c r="J122" i="6" a="1"/>
  <c r="J122" i="6" s="1"/>
  <c r="G122" i="6" a="1"/>
  <c r="G122" i="6" s="1"/>
  <c r="K121" i="6" a="1"/>
  <c r="K121" i="6" s="1"/>
  <c r="K128" i="9" s="1"/>
  <c r="J121" i="6" a="1"/>
  <c r="J121" i="6" s="1"/>
  <c r="J128" i="9" s="1"/>
  <c r="G121" i="6" a="1"/>
  <c r="G121" i="6" s="1"/>
  <c r="G128" i="9" s="1"/>
  <c r="K120" i="6" a="1"/>
  <c r="K120" i="6" s="1"/>
  <c r="K127" i="9" s="1"/>
  <c r="J120" i="6" a="1"/>
  <c r="J120" i="6" s="1"/>
  <c r="G120" i="6" a="1"/>
  <c r="G120" i="6" s="1"/>
  <c r="K119" i="6" a="1"/>
  <c r="K119" i="6" s="1"/>
  <c r="J119" i="6" a="1"/>
  <c r="J119" i="6" s="1"/>
  <c r="G119" i="6" a="1"/>
  <c r="G119" i="6" s="1"/>
  <c r="K118" i="6" a="1"/>
  <c r="K118" i="6" s="1"/>
  <c r="J118" i="6" a="1"/>
  <c r="J118" i="6" s="1"/>
  <c r="J125" i="9" s="1"/>
  <c r="G118" i="6" a="1"/>
  <c r="G118" i="6" s="1"/>
  <c r="G125" i="9" s="1"/>
  <c r="K117" i="6" a="1"/>
  <c r="K117" i="6" s="1"/>
  <c r="K124" i="9" s="1"/>
  <c r="J117" i="6" a="1"/>
  <c r="J117" i="6" s="1"/>
  <c r="J124" i="9" s="1"/>
  <c r="G117" i="6" a="1"/>
  <c r="G117" i="6" s="1"/>
  <c r="K116" i="6" a="1"/>
  <c r="K116" i="6" s="1"/>
  <c r="J116" i="6" a="1"/>
  <c r="J116" i="6" s="1"/>
  <c r="G116" i="6" a="1"/>
  <c r="G116" i="6" s="1"/>
  <c r="K115" i="6" a="1"/>
  <c r="K115" i="6" s="1"/>
  <c r="J115" i="6" a="1"/>
  <c r="J115" i="6" s="1"/>
  <c r="G115" i="6" a="1"/>
  <c r="G115" i="6" s="1"/>
  <c r="G122" i="9" s="1"/>
  <c r="K114" i="6" a="1"/>
  <c r="K114" i="6" s="1"/>
  <c r="K121" i="9" s="1"/>
  <c r="J114" i="6" a="1"/>
  <c r="J114" i="6" s="1"/>
  <c r="J121" i="9" s="1"/>
  <c r="G114" i="6" a="1"/>
  <c r="G114" i="6" s="1"/>
  <c r="G121" i="9" s="1"/>
  <c r="K113" i="6" a="1"/>
  <c r="K113" i="6" s="1"/>
  <c r="J113" i="6" a="1"/>
  <c r="J113" i="6" s="1"/>
  <c r="G113" i="6" a="1"/>
  <c r="G113" i="6" s="1"/>
  <c r="K112" i="6" a="1"/>
  <c r="K112" i="6" s="1"/>
  <c r="J112" i="6" a="1"/>
  <c r="J112" i="6" s="1"/>
  <c r="G112" i="6" a="1"/>
  <c r="G112" i="6" s="1"/>
  <c r="K111" i="6" a="1"/>
  <c r="K111" i="6" s="1"/>
  <c r="K118" i="9" s="1"/>
  <c r="J111" i="6" a="1"/>
  <c r="J111" i="6" s="1"/>
  <c r="J118" i="9" s="1"/>
  <c r="G111" i="6" a="1"/>
  <c r="G111" i="6" s="1"/>
  <c r="G118" i="9" s="1"/>
  <c r="K110" i="6" a="1"/>
  <c r="K110" i="6" s="1"/>
  <c r="K117" i="9" s="1"/>
  <c r="J110" i="6" a="1"/>
  <c r="J110" i="6" s="1"/>
  <c r="G110" i="6" a="1"/>
  <c r="G110" i="6" s="1"/>
  <c r="K109" i="6" a="1"/>
  <c r="K109" i="6" s="1"/>
  <c r="J109" i="6" a="1"/>
  <c r="J109" i="6" s="1"/>
  <c r="G109" i="6" a="1"/>
  <c r="G109" i="6" s="1"/>
  <c r="K108" i="6" a="1"/>
  <c r="K108" i="6" s="1"/>
  <c r="J108" i="6" a="1"/>
  <c r="J108" i="6" s="1"/>
  <c r="J115" i="9" s="1"/>
  <c r="G108" i="6" a="1"/>
  <c r="G108" i="6" s="1"/>
  <c r="G115" i="9" s="1"/>
  <c r="K107" i="6" a="1"/>
  <c r="K107" i="6" s="1"/>
  <c r="K114" i="9" s="1"/>
  <c r="J107" i="6" a="1"/>
  <c r="J107" i="6" s="1"/>
  <c r="J114" i="9" s="1"/>
  <c r="G107" i="6" a="1"/>
  <c r="G107" i="6" s="1"/>
  <c r="K106" i="6" a="1"/>
  <c r="K106" i="6" s="1"/>
  <c r="J106" i="6" a="1"/>
  <c r="J106" i="6" s="1"/>
  <c r="G106" i="6" a="1"/>
  <c r="G106" i="6" s="1"/>
  <c r="K105" i="6" a="1"/>
  <c r="K105" i="6" s="1"/>
  <c r="J105" i="6" a="1"/>
  <c r="J105" i="6" s="1"/>
  <c r="G105" i="6" a="1"/>
  <c r="G105" i="6" s="1"/>
  <c r="G112" i="9" s="1"/>
  <c r="K104" i="6" a="1"/>
  <c r="K104" i="6" s="1"/>
  <c r="K111" i="9" s="1"/>
  <c r="J104" i="6" a="1"/>
  <c r="J104" i="6" s="1"/>
  <c r="J111" i="9" s="1"/>
  <c r="G104" i="6" a="1"/>
  <c r="G104" i="6" s="1"/>
  <c r="G111" i="9" s="1"/>
  <c r="K103" i="6" a="1"/>
  <c r="K103" i="6" s="1"/>
  <c r="J103" i="6" a="1"/>
  <c r="J103" i="6" s="1"/>
  <c r="G103" i="6" a="1"/>
  <c r="G103" i="6" s="1"/>
  <c r="K102" i="6" a="1"/>
  <c r="K102" i="6" s="1"/>
  <c r="J102" i="6" a="1"/>
  <c r="J102" i="6" s="1"/>
  <c r="G102" i="6" a="1"/>
  <c r="G102" i="6" s="1"/>
  <c r="K101" i="6" a="1"/>
  <c r="K101" i="6" s="1"/>
  <c r="K108" i="9" s="1"/>
  <c r="J101" i="6" a="1"/>
  <c r="J101" i="6" s="1"/>
  <c r="J108" i="9" s="1"/>
  <c r="G101" i="6" a="1"/>
  <c r="G101" i="6" s="1"/>
  <c r="G108" i="9" s="1"/>
  <c r="K100" i="6" a="1"/>
  <c r="K100" i="6" s="1"/>
  <c r="K107" i="9" s="1"/>
  <c r="J100" i="6" a="1"/>
  <c r="J100" i="6" s="1"/>
  <c r="G100" i="6" a="1"/>
  <c r="G100" i="6" s="1"/>
  <c r="K99" i="6" a="1"/>
  <c r="K99" i="6" s="1"/>
  <c r="J99" i="6" a="1"/>
  <c r="J99" i="6" s="1"/>
  <c r="G99" i="6" a="1"/>
  <c r="G99" i="6" s="1"/>
  <c r="K98" i="6" a="1"/>
  <c r="K98" i="6" s="1"/>
  <c r="J98" i="6" a="1"/>
  <c r="J98" i="6" s="1"/>
  <c r="J105" i="9" s="1"/>
  <c r="G98" i="6" a="1"/>
  <c r="G98" i="6" s="1"/>
  <c r="G105" i="9" s="1"/>
  <c r="K97" i="6" a="1"/>
  <c r="K97" i="6" s="1"/>
  <c r="K104" i="9" s="1"/>
  <c r="J97" i="6" a="1"/>
  <c r="J97" i="6" s="1"/>
  <c r="J104" i="9" s="1"/>
  <c r="G97" i="6" a="1"/>
  <c r="G97" i="6" s="1"/>
  <c r="K96" i="6" a="1"/>
  <c r="K96" i="6" s="1"/>
  <c r="J96" i="6" a="1"/>
  <c r="J96" i="6" s="1"/>
  <c r="G96" i="6" a="1"/>
  <c r="G96" i="6" s="1"/>
  <c r="K95" i="6" a="1"/>
  <c r="K95" i="6" s="1"/>
  <c r="J95" i="6" a="1"/>
  <c r="J95" i="6" s="1"/>
  <c r="G95" i="6" a="1"/>
  <c r="G95" i="6" s="1"/>
  <c r="G102" i="9" s="1"/>
  <c r="K94" i="6" a="1"/>
  <c r="K94" i="6" s="1"/>
  <c r="K101" i="9" s="1"/>
  <c r="J94" i="6" a="1"/>
  <c r="J94" i="6" s="1"/>
  <c r="J101" i="9" s="1"/>
  <c r="G94" i="6" a="1"/>
  <c r="G94" i="6" s="1"/>
  <c r="G101" i="9" s="1"/>
  <c r="K93" i="6" a="1"/>
  <c r="K93" i="6" s="1"/>
  <c r="J93" i="6" a="1"/>
  <c r="J93" i="6" s="1"/>
  <c r="G93" i="6" a="1"/>
  <c r="G93" i="6" s="1"/>
  <c r="K92" i="6" a="1"/>
  <c r="K92" i="6" s="1"/>
  <c r="J92" i="6" a="1"/>
  <c r="J92" i="6" s="1"/>
  <c r="G92" i="6" a="1"/>
  <c r="G92" i="6" s="1"/>
  <c r="K91" i="6" a="1"/>
  <c r="K91" i="6" s="1"/>
  <c r="K98" i="9" s="1"/>
  <c r="J91" i="6" a="1"/>
  <c r="J91" i="6" s="1"/>
  <c r="J98" i="9" s="1"/>
  <c r="G91" i="6" a="1"/>
  <c r="G91" i="6" s="1"/>
  <c r="G98" i="9" s="1"/>
  <c r="K90" i="6" a="1"/>
  <c r="K90" i="6" s="1"/>
  <c r="K97" i="9" s="1"/>
  <c r="J90" i="6" a="1"/>
  <c r="J90" i="6" s="1"/>
  <c r="G90" i="6" a="1"/>
  <c r="G90" i="6" s="1"/>
  <c r="G97" i="9" s="1"/>
  <c r="K89" i="6" a="1"/>
  <c r="K89" i="6" s="1"/>
  <c r="J89" i="6" a="1"/>
  <c r="J89" i="6" s="1"/>
  <c r="G89" i="6" a="1"/>
  <c r="G89" i="6" s="1"/>
  <c r="K88" i="6" a="1"/>
  <c r="K88" i="6" s="1"/>
  <c r="J88" i="6" a="1"/>
  <c r="J88" i="6" s="1"/>
  <c r="J95" i="9" s="1"/>
  <c r="G88" i="6" a="1"/>
  <c r="G88" i="6" s="1"/>
  <c r="G95" i="9" s="1"/>
  <c r="K87" i="6" a="1"/>
  <c r="K87" i="6" s="1"/>
  <c r="K94" i="9" s="1"/>
  <c r="J87" i="6" a="1"/>
  <c r="J87" i="6" s="1"/>
  <c r="J94" i="9" s="1"/>
  <c r="G87" i="6" a="1"/>
  <c r="G87" i="6" s="1"/>
  <c r="K86" i="6" a="1"/>
  <c r="K86" i="6" s="1"/>
  <c r="J86" i="6" a="1"/>
  <c r="J86" i="6" s="1"/>
  <c r="J93" i="9" s="1"/>
  <c r="G86" i="6" a="1"/>
  <c r="G86" i="6" s="1"/>
  <c r="K85" i="6" a="1"/>
  <c r="K85" i="6" s="1"/>
  <c r="K92" i="9" s="1"/>
  <c r="J85" i="6" a="1"/>
  <c r="J85" i="6" s="1"/>
  <c r="G85" i="6" a="1"/>
  <c r="G85" i="6" s="1"/>
  <c r="G92" i="9" s="1"/>
  <c r="K84" i="6" a="1"/>
  <c r="K84" i="6" s="1"/>
  <c r="K91" i="9" s="1"/>
  <c r="J84" i="6" a="1"/>
  <c r="J84" i="6" s="1"/>
  <c r="J91" i="9" s="1"/>
  <c r="G84" i="6" a="1"/>
  <c r="G84" i="6" s="1"/>
  <c r="G91" i="9" s="1"/>
  <c r="K83" i="6" a="1"/>
  <c r="K83" i="6" s="1"/>
  <c r="J83" i="6" a="1"/>
  <c r="J83" i="6" s="1"/>
  <c r="G83" i="6" a="1"/>
  <c r="G83" i="6" s="1"/>
  <c r="G90" i="9" s="1"/>
  <c r="K82" i="6" a="1"/>
  <c r="K82" i="6" s="1"/>
  <c r="K89" i="9" s="1"/>
  <c r="J82" i="6" a="1"/>
  <c r="J82" i="6" s="1"/>
  <c r="J89" i="9" s="1"/>
  <c r="G82" i="6" a="1"/>
  <c r="G82" i="6" s="1"/>
  <c r="G89" i="9" s="1"/>
  <c r="K81" i="6" a="1"/>
  <c r="K81" i="6" s="1"/>
  <c r="J81" i="6" a="1"/>
  <c r="J81" i="6" s="1"/>
  <c r="J88" i="9" s="1"/>
  <c r="G81" i="6" a="1"/>
  <c r="G81" i="6" s="1"/>
  <c r="G88" i="9" s="1"/>
  <c r="K80" i="6" a="1"/>
  <c r="K80" i="6" s="1"/>
  <c r="K87" i="9" s="1"/>
  <c r="J80" i="6" a="1"/>
  <c r="J80" i="6" s="1"/>
  <c r="J87" i="9" s="1"/>
  <c r="G80" i="6" a="1"/>
  <c r="G80" i="6" s="1"/>
  <c r="K79" i="6" a="1"/>
  <c r="K79" i="6" s="1"/>
  <c r="K86" i="9" s="1"/>
  <c r="J79" i="6" a="1"/>
  <c r="J79" i="6" s="1"/>
  <c r="J86" i="9" s="1"/>
  <c r="G79" i="6" a="1"/>
  <c r="G79" i="6" s="1"/>
  <c r="G86" i="9" s="1"/>
  <c r="K78" i="6" a="1"/>
  <c r="K78" i="6" s="1"/>
  <c r="K85" i="9" s="1"/>
  <c r="J78" i="6" a="1"/>
  <c r="J78" i="6" s="1"/>
  <c r="G78" i="6" a="1"/>
  <c r="G78" i="6" s="1"/>
  <c r="G85" i="9" s="1"/>
  <c r="K77" i="6" a="1"/>
  <c r="K77" i="6" s="1"/>
  <c r="K84" i="9" s="1"/>
  <c r="J77" i="6" a="1"/>
  <c r="J77" i="6" s="1"/>
  <c r="J84" i="9" s="1"/>
  <c r="G77" i="6" a="1"/>
  <c r="G77" i="6" s="1"/>
  <c r="G84" i="9" s="1"/>
  <c r="K76" i="6" a="1"/>
  <c r="K76" i="6" s="1"/>
  <c r="J76" i="6" a="1"/>
  <c r="J76" i="6" s="1"/>
  <c r="J83" i="9" s="1"/>
  <c r="G76" i="6" a="1"/>
  <c r="G76" i="6" s="1"/>
  <c r="G83" i="9" s="1"/>
  <c r="K75" i="6" a="1"/>
  <c r="K75" i="6" s="1"/>
  <c r="K82" i="9" s="1"/>
  <c r="J75" i="6" a="1"/>
  <c r="J75" i="6" s="1"/>
  <c r="J82" i="9" s="1"/>
  <c r="G75" i="6" a="1"/>
  <c r="G75" i="6" s="1"/>
  <c r="K74" i="6" a="1"/>
  <c r="K74" i="6" s="1"/>
  <c r="K81" i="9" s="1"/>
  <c r="J74" i="6" a="1"/>
  <c r="J74" i="6" s="1"/>
  <c r="J81" i="9" s="1"/>
  <c r="G74" i="6" a="1"/>
  <c r="G74" i="6" s="1"/>
  <c r="G81" i="9" s="1"/>
  <c r="K73" i="6" a="1"/>
  <c r="K73" i="6" s="1"/>
  <c r="K80" i="9" s="1"/>
  <c r="J73" i="6" a="1"/>
  <c r="J73" i="6" s="1"/>
  <c r="G73" i="6" a="1"/>
  <c r="G73" i="6" s="1"/>
  <c r="G80" i="9" s="1"/>
  <c r="K72" i="6" a="1"/>
  <c r="K72" i="6" s="1"/>
  <c r="K79" i="9" s="1"/>
  <c r="J72" i="6" a="1"/>
  <c r="J72" i="6" s="1"/>
  <c r="J79" i="9" s="1"/>
  <c r="G72" i="6" a="1"/>
  <c r="G72" i="6" s="1"/>
  <c r="G79" i="9" s="1"/>
  <c r="K71" i="6" a="1"/>
  <c r="K71" i="6" s="1"/>
  <c r="J71" i="6" a="1"/>
  <c r="J71" i="6" s="1"/>
  <c r="J78" i="9" s="1"/>
  <c r="G71" i="6" a="1"/>
  <c r="G71" i="6" s="1"/>
  <c r="G78" i="9" s="1"/>
  <c r="K70" i="6" a="1"/>
  <c r="K70" i="6" s="1"/>
  <c r="K77" i="9" s="1"/>
  <c r="J70" i="6" a="1"/>
  <c r="J70" i="6" s="1"/>
  <c r="J77" i="9" s="1"/>
  <c r="G70" i="6" a="1"/>
  <c r="G70" i="6" s="1"/>
  <c r="K69" i="6" a="1"/>
  <c r="K69" i="6" s="1"/>
  <c r="K76" i="9" s="1"/>
  <c r="J69" i="6" a="1"/>
  <c r="J69" i="6" s="1"/>
  <c r="J76" i="9" s="1"/>
  <c r="G69" i="6" a="1"/>
  <c r="G69" i="6" s="1"/>
  <c r="G76" i="9" s="1"/>
  <c r="K68" i="6" a="1"/>
  <c r="K68" i="6" s="1"/>
  <c r="K75" i="9" s="1"/>
  <c r="J68" i="6" a="1"/>
  <c r="J68" i="6" s="1"/>
  <c r="G68" i="6" a="1"/>
  <c r="G68" i="6" s="1"/>
  <c r="G75" i="9" s="1"/>
  <c r="K67" i="6" a="1"/>
  <c r="K67" i="6" s="1"/>
  <c r="K74" i="9" s="1"/>
  <c r="J67" i="6" a="1"/>
  <c r="J67" i="6" s="1"/>
  <c r="J74" i="9" s="1"/>
  <c r="G67" i="6" a="1"/>
  <c r="G67" i="6" s="1"/>
  <c r="G74" i="9" s="1"/>
  <c r="K66" i="6" a="1"/>
  <c r="K66" i="6" s="1"/>
  <c r="J66" i="6" a="1"/>
  <c r="J66" i="6" s="1"/>
  <c r="J73" i="9" s="1"/>
  <c r="G66" i="6" a="1"/>
  <c r="G66" i="6" s="1"/>
  <c r="G73" i="9" s="1"/>
  <c r="K65" i="6" a="1"/>
  <c r="K65" i="6" s="1"/>
  <c r="K72" i="9" s="1"/>
  <c r="J65" i="6" a="1"/>
  <c r="J65" i="6" s="1"/>
  <c r="J72" i="9" s="1"/>
  <c r="G65" i="6" a="1"/>
  <c r="G65" i="6" s="1"/>
  <c r="K64" i="6" a="1"/>
  <c r="K64" i="6" s="1"/>
  <c r="K71" i="9" s="1"/>
  <c r="J64" i="6" a="1"/>
  <c r="J64" i="6" s="1"/>
  <c r="J71" i="9" s="1"/>
  <c r="G64" i="6" a="1"/>
  <c r="G64" i="6" s="1"/>
  <c r="G71" i="9" s="1"/>
  <c r="K63" i="6" a="1"/>
  <c r="K63" i="6" s="1"/>
  <c r="K70" i="9" s="1"/>
  <c r="J63" i="6" a="1"/>
  <c r="J63" i="6" s="1"/>
  <c r="G63" i="6" a="1"/>
  <c r="G63" i="6" s="1"/>
  <c r="G70" i="9" s="1"/>
  <c r="K62" i="6" a="1"/>
  <c r="K62" i="6" s="1"/>
  <c r="K69" i="9" s="1"/>
  <c r="J62" i="6" a="1"/>
  <c r="J62" i="6" s="1"/>
  <c r="J69" i="9" s="1"/>
  <c r="G62" i="6" a="1"/>
  <c r="G62" i="6" s="1"/>
  <c r="G69" i="9" s="1"/>
  <c r="K61" i="6" a="1"/>
  <c r="K61" i="6" s="1"/>
  <c r="J61" i="6" a="1"/>
  <c r="J61" i="6" s="1"/>
  <c r="J68" i="9" s="1"/>
  <c r="G61" i="6" a="1"/>
  <c r="G61" i="6" s="1"/>
  <c r="G68" i="9" s="1"/>
  <c r="K60" i="6" a="1"/>
  <c r="K60" i="6" s="1"/>
  <c r="K67" i="9" s="1"/>
  <c r="J60" i="6" a="1"/>
  <c r="J60" i="6" s="1"/>
  <c r="J67" i="9" s="1"/>
  <c r="G60" i="6" a="1"/>
  <c r="G60" i="6" s="1"/>
  <c r="K59" i="6" a="1"/>
  <c r="K59" i="6" s="1"/>
  <c r="K66" i="9" s="1"/>
  <c r="J59" i="6" a="1"/>
  <c r="J59" i="6" s="1"/>
  <c r="J66" i="9" s="1"/>
  <c r="G59" i="6" a="1"/>
  <c r="G59" i="6" s="1"/>
  <c r="G66" i="9" s="1"/>
  <c r="K58" i="6" a="1"/>
  <c r="K58" i="6" s="1"/>
  <c r="K65" i="9" s="1"/>
  <c r="J58" i="6" a="1"/>
  <c r="J58" i="6" s="1"/>
  <c r="G58" i="6" a="1"/>
  <c r="G58" i="6" s="1"/>
  <c r="G65" i="9" s="1"/>
  <c r="K57" i="6"/>
  <c r="K57" i="6" a="1"/>
  <c r="J57" i="6" a="1"/>
  <c r="J57" i="6" s="1"/>
  <c r="J64" i="9" s="1"/>
  <c r="G57" i="6" a="1"/>
  <c r="G57" i="6" s="1"/>
  <c r="G64" i="9" s="1"/>
  <c r="K56" i="6" a="1"/>
  <c r="K56" i="6" s="1"/>
  <c r="K63" i="9" s="1"/>
  <c r="J56" i="6" a="1"/>
  <c r="J56" i="6" s="1"/>
  <c r="J63" i="9" s="1"/>
  <c r="G56" i="6" a="1"/>
  <c r="G56" i="6" s="1"/>
  <c r="G63" i="9" s="1"/>
  <c r="K55" i="6" a="1"/>
  <c r="K55" i="6" s="1"/>
  <c r="K62" i="9" s="1"/>
  <c r="J55" i="6" a="1"/>
  <c r="J55" i="6" s="1"/>
  <c r="J62" i="9" s="1"/>
  <c r="G55" i="6" a="1"/>
  <c r="G55" i="6" s="1"/>
  <c r="K54" i="6" a="1"/>
  <c r="K54" i="6" s="1"/>
  <c r="K61" i="9" s="1"/>
  <c r="J54" i="6" a="1"/>
  <c r="J54" i="6" s="1"/>
  <c r="J61" i="9" s="1"/>
  <c r="G54" i="6" a="1"/>
  <c r="G54" i="6" s="1"/>
  <c r="G61" i="9" s="1"/>
  <c r="K53" i="6" a="1"/>
  <c r="K53" i="6" s="1"/>
  <c r="K60" i="9" s="1"/>
  <c r="J53" i="6" a="1"/>
  <c r="J53" i="6" s="1"/>
  <c r="G53" i="6" a="1"/>
  <c r="G53" i="6" s="1"/>
  <c r="G60" i="9" s="1"/>
  <c r="K52" i="6" a="1"/>
  <c r="K52" i="6" s="1"/>
  <c r="K59" i="9" s="1"/>
  <c r="J52" i="6" a="1"/>
  <c r="J52" i="6" s="1"/>
  <c r="J59" i="9" s="1"/>
  <c r="G52" i="6" a="1"/>
  <c r="G52" i="6" s="1"/>
  <c r="G59" i="9" s="1"/>
  <c r="K51" i="6" a="1"/>
  <c r="K51" i="6" s="1"/>
  <c r="J51" i="6" a="1"/>
  <c r="J51" i="6" s="1"/>
  <c r="J58" i="9" s="1"/>
  <c r="G51" i="6" a="1"/>
  <c r="G51" i="6" s="1"/>
  <c r="G58" i="9" s="1"/>
  <c r="K50" i="6" a="1"/>
  <c r="K50" i="6" s="1"/>
  <c r="K57" i="9" s="1"/>
  <c r="J50" i="6" a="1"/>
  <c r="J50" i="6" s="1"/>
  <c r="J57" i="9" s="1"/>
  <c r="G50" i="6" a="1"/>
  <c r="G50" i="6" s="1"/>
  <c r="G57" i="9" s="1"/>
  <c r="K49" i="6" a="1"/>
  <c r="K49" i="6" s="1"/>
  <c r="K56" i="9" s="1"/>
  <c r="J49" i="6" a="1"/>
  <c r="J49" i="6" s="1"/>
  <c r="J56" i="9" s="1"/>
  <c r="G49" i="6" a="1"/>
  <c r="G49" i="6" s="1"/>
  <c r="G56" i="9" s="1"/>
  <c r="K48" i="6" a="1"/>
  <c r="K48" i="6" s="1"/>
  <c r="K55" i="9" s="1"/>
  <c r="J48" i="6" a="1"/>
  <c r="J48" i="6" s="1"/>
  <c r="G48" i="6" a="1"/>
  <c r="G48" i="6" s="1"/>
  <c r="G55" i="9" s="1"/>
  <c r="K47" i="6" a="1"/>
  <c r="K47" i="6" s="1"/>
  <c r="K54" i="9" s="1"/>
  <c r="J47" i="6" a="1"/>
  <c r="J47" i="6" s="1"/>
  <c r="J54" i="9" s="1"/>
  <c r="G47" i="6" a="1"/>
  <c r="G47" i="6" s="1"/>
  <c r="G54" i="9" s="1"/>
  <c r="K46" i="6" a="1"/>
  <c r="K46" i="6" s="1"/>
  <c r="K53" i="9" s="1"/>
  <c r="J46" i="6" a="1"/>
  <c r="J46" i="6" s="1"/>
  <c r="J53" i="9" s="1"/>
  <c r="G46" i="6" a="1"/>
  <c r="G46" i="6" s="1"/>
  <c r="G53" i="9" s="1"/>
  <c r="K45" i="6" a="1"/>
  <c r="K45" i="6" s="1"/>
  <c r="K52" i="9" s="1"/>
  <c r="J45" i="6" a="1"/>
  <c r="J45" i="6" s="1"/>
  <c r="J52" i="9" s="1"/>
  <c r="G45" i="6" a="1"/>
  <c r="G45" i="6" s="1"/>
  <c r="G52" i="9" s="1"/>
  <c r="K35" i="6" a="1"/>
  <c r="K35" i="6" s="1"/>
  <c r="K42" i="9" s="1"/>
  <c r="J35" i="6" a="1"/>
  <c r="J35" i="6" s="1"/>
  <c r="J42" i="9" s="1"/>
  <c r="G35" i="6" a="1"/>
  <c r="G35" i="6" s="1"/>
  <c r="G42" i="9" s="1"/>
  <c r="K34" i="6" a="1"/>
  <c r="K34" i="6" s="1"/>
  <c r="K41" i="9" s="1"/>
  <c r="J34" i="6" a="1"/>
  <c r="J34" i="6" s="1"/>
  <c r="G34" i="6" a="1"/>
  <c r="G34" i="6" s="1"/>
  <c r="G41" i="9" s="1"/>
  <c r="K33" i="6" a="1"/>
  <c r="K33" i="6" s="1"/>
  <c r="K40" i="9" s="1"/>
  <c r="J33" i="6" a="1"/>
  <c r="J33" i="6" s="1"/>
  <c r="J40" i="9" s="1"/>
  <c r="G33" i="6" a="1"/>
  <c r="G33" i="6" s="1"/>
  <c r="G40" i="9" s="1"/>
  <c r="K32" i="6" a="1"/>
  <c r="K32" i="6" s="1"/>
  <c r="J32" i="6" a="1"/>
  <c r="J32" i="6" s="1"/>
  <c r="J39" i="9" s="1"/>
  <c r="G32" i="6" a="1"/>
  <c r="G32" i="6" s="1"/>
  <c r="G39" i="9" s="1"/>
  <c r="K31" i="6" a="1"/>
  <c r="K31" i="6" s="1"/>
  <c r="K38" i="9" s="1"/>
  <c r="J31" i="6" a="1"/>
  <c r="J31" i="6" s="1"/>
  <c r="J38" i="9" s="1"/>
  <c r="G31" i="6" a="1"/>
  <c r="G31" i="6" s="1"/>
  <c r="G38" i="9" s="1"/>
  <c r="K30" i="6" a="1"/>
  <c r="K30" i="6" s="1"/>
  <c r="K37" i="9" s="1"/>
  <c r="J30" i="6" a="1"/>
  <c r="J30" i="6" s="1"/>
  <c r="J37" i="9" s="1"/>
  <c r="G30" i="6" a="1"/>
  <c r="G30" i="6" s="1"/>
  <c r="G37" i="9" s="1"/>
  <c r="K29" i="6" a="1"/>
  <c r="K29" i="6" s="1"/>
  <c r="K36" i="9" s="1"/>
  <c r="J29" i="6" a="1"/>
  <c r="J29" i="6" s="1"/>
  <c r="G29" i="6" a="1"/>
  <c r="G29" i="6" s="1"/>
  <c r="G36" i="9" s="1"/>
  <c r="K28" i="6" a="1"/>
  <c r="K28" i="6" s="1"/>
  <c r="K35" i="9" s="1"/>
  <c r="J28" i="6" a="1"/>
  <c r="J28" i="6" s="1"/>
  <c r="J35" i="9" s="1"/>
  <c r="G28" i="6" a="1"/>
  <c r="G28" i="6" s="1"/>
  <c r="G35" i="9" s="1"/>
  <c r="K27" i="6" a="1"/>
  <c r="K27" i="6" s="1"/>
  <c r="K34" i="9" s="1"/>
  <c r="J27" i="6" a="1"/>
  <c r="J27" i="6" s="1"/>
  <c r="J34" i="9" s="1"/>
  <c r="G27" i="6" a="1"/>
  <c r="G27" i="6" s="1"/>
  <c r="G34" i="9" s="1"/>
  <c r="K26" i="6" a="1"/>
  <c r="K26" i="6" s="1"/>
  <c r="K33" i="9" s="1"/>
  <c r="J26" i="6" a="1"/>
  <c r="J26" i="6" s="1"/>
  <c r="J33" i="9" s="1"/>
  <c r="G26" i="6" a="1"/>
  <c r="G26" i="6" s="1"/>
  <c r="K25" i="6" a="1"/>
  <c r="K25" i="6" s="1"/>
  <c r="K32" i="9" s="1"/>
  <c r="J25" i="6" a="1"/>
  <c r="J25" i="6" s="1"/>
  <c r="J32" i="9" s="1"/>
  <c r="G25" i="6" a="1"/>
  <c r="G25" i="6" s="1"/>
  <c r="G32" i="9" s="1"/>
  <c r="K24" i="6" a="1"/>
  <c r="K24" i="6" s="1"/>
  <c r="K31" i="9" s="1"/>
  <c r="J24" i="6" a="1"/>
  <c r="J24" i="6" s="1"/>
  <c r="J31" i="9" s="1"/>
  <c r="G24" i="6" a="1"/>
  <c r="G24" i="6" s="1"/>
  <c r="G31" i="9" s="1"/>
  <c r="K23" i="6" a="1"/>
  <c r="K23" i="6" s="1"/>
  <c r="K30" i="9" s="1"/>
  <c r="J23" i="6" a="1"/>
  <c r="J23" i="6" s="1"/>
  <c r="J30" i="9" s="1"/>
  <c r="G23" i="6" a="1"/>
  <c r="G23" i="6" s="1"/>
  <c r="G30" i="9" s="1"/>
  <c r="K22" i="6" a="1"/>
  <c r="K22" i="6" s="1"/>
  <c r="J22" i="6" a="1"/>
  <c r="J22" i="6" s="1"/>
  <c r="J29" i="9" s="1"/>
  <c r="G22" i="6" a="1"/>
  <c r="G22" i="6" s="1"/>
  <c r="G29" i="9" s="1"/>
  <c r="K21" i="6" a="1"/>
  <c r="K21" i="6" s="1"/>
  <c r="K28" i="9" s="1"/>
  <c r="J21" i="6" a="1"/>
  <c r="J21" i="6" s="1"/>
  <c r="J28" i="9" s="1"/>
  <c r="G21" i="6" a="1"/>
  <c r="G21" i="6" s="1"/>
  <c r="G28" i="9" s="1"/>
  <c r="K20" i="6" a="1"/>
  <c r="K20" i="6" s="1"/>
  <c r="K27" i="9" s="1"/>
  <c r="J20" i="6" a="1"/>
  <c r="J20" i="6" s="1"/>
  <c r="J27" i="9" s="1"/>
  <c r="G20" i="6" a="1"/>
  <c r="G20" i="6" s="1"/>
  <c r="G27" i="9" s="1"/>
  <c r="K19" i="6" a="1"/>
  <c r="K19" i="6" s="1"/>
  <c r="K26" i="9" s="1"/>
  <c r="J19" i="6" a="1"/>
  <c r="J19" i="6" s="1"/>
  <c r="G19" i="6" a="1"/>
  <c r="G19" i="6" s="1"/>
  <c r="G26" i="9" s="1"/>
  <c r="K18" i="6" a="1"/>
  <c r="K18" i="6" s="1"/>
  <c r="K25" i="9" s="1"/>
  <c r="J18" i="6" a="1"/>
  <c r="J18" i="6" s="1"/>
  <c r="J25" i="9" s="1"/>
  <c r="G18" i="6" a="1"/>
  <c r="G18" i="6" s="1"/>
  <c r="G25" i="9" s="1"/>
  <c r="K17" i="6" a="1"/>
  <c r="K17" i="6" s="1"/>
  <c r="J17" i="6" a="1"/>
  <c r="J17" i="6" s="1"/>
  <c r="J24" i="9" s="1"/>
  <c r="G17" i="6" a="1"/>
  <c r="G17" i="6" s="1"/>
  <c r="G24" i="9" s="1"/>
  <c r="K16" i="6" a="1"/>
  <c r="K16" i="6" s="1"/>
  <c r="K23" i="9" s="1"/>
  <c r="J16" i="6" a="1"/>
  <c r="J16" i="6" s="1"/>
  <c r="J23" i="9" s="1"/>
  <c r="G16" i="6" a="1"/>
  <c r="G16" i="6" s="1"/>
  <c r="K15" i="6" a="1"/>
  <c r="K15" i="6" s="1"/>
  <c r="K22" i="9" s="1"/>
  <c r="J15" i="6" a="1"/>
  <c r="J15" i="6" s="1"/>
  <c r="J22" i="9" s="1"/>
  <c r="G15" i="6" a="1"/>
  <c r="G15" i="6" s="1"/>
  <c r="G22" i="9" s="1"/>
  <c r="K14" i="6" a="1"/>
  <c r="K14" i="6" s="1"/>
  <c r="K21" i="9" s="1"/>
  <c r="J14" i="6" a="1"/>
  <c r="J14" i="6" s="1"/>
  <c r="J21" i="9" s="1"/>
  <c r="G14" i="6" a="1"/>
  <c r="G14" i="6" s="1"/>
  <c r="G21" i="9" s="1"/>
  <c r="K13" i="6" a="1"/>
  <c r="K13" i="6" s="1"/>
  <c r="K20" i="9" s="1"/>
  <c r="J13" i="6" a="1"/>
  <c r="J13" i="6" s="1"/>
  <c r="J20" i="9" s="1"/>
  <c r="G13" i="6" a="1"/>
  <c r="G13" i="6" s="1"/>
  <c r="G20" i="9" s="1"/>
  <c r="K12" i="6" a="1"/>
  <c r="K12" i="6" s="1"/>
  <c r="J12" i="6" a="1"/>
  <c r="J12" i="6" s="1"/>
  <c r="J19" i="9" s="1"/>
  <c r="G12" i="6" a="1"/>
  <c r="G12" i="6" s="1"/>
  <c r="G19" i="9" s="1"/>
  <c r="K11" i="6" a="1"/>
  <c r="K11" i="6" s="1"/>
  <c r="K18" i="9" s="1"/>
  <c r="J11" i="6" a="1"/>
  <c r="J11" i="6" s="1"/>
  <c r="J18" i="9" s="1"/>
  <c r="G11" i="6" a="1"/>
  <c r="G11" i="6" s="1"/>
  <c r="K10" i="6" a="1"/>
  <c r="K10" i="6" s="1"/>
  <c r="K17" i="9" s="1"/>
  <c r="J10" i="6" a="1"/>
  <c r="J10" i="6" s="1"/>
  <c r="J17" i="9" s="1"/>
  <c r="G10" i="6" a="1"/>
  <c r="G10" i="6" s="1"/>
  <c r="G17" i="9" s="1"/>
  <c r="K9" i="6" a="1"/>
  <c r="K9" i="6" s="1"/>
  <c r="K16" i="9" s="1"/>
  <c r="J9" i="6" a="1"/>
  <c r="J9" i="6" s="1"/>
  <c r="G9" i="6" a="1"/>
  <c r="G9" i="6" s="1"/>
  <c r="G16" i="9" s="1"/>
  <c r="K8" i="6" a="1"/>
  <c r="K8" i="6" s="1"/>
  <c r="K15" i="9" s="1"/>
  <c r="J8" i="6" a="1"/>
  <c r="J8" i="6" s="1"/>
  <c r="J15" i="9" s="1"/>
  <c r="G8" i="6" a="1"/>
  <c r="G8" i="6" s="1"/>
  <c r="G15" i="9" s="1"/>
  <c r="K7" i="6" a="1"/>
  <c r="K7" i="6" s="1"/>
  <c r="K14" i="9" s="1"/>
  <c r="J7" i="6" a="1"/>
  <c r="J7" i="6" s="1"/>
  <c r="J14" i="9" s="1"/>
  <c r="G7" i="6" a="1"/>
  <c r="G7" i="6" s="1"/>
  <c r="G14" i="9" s="1"/>
  <c r="K6" i="6" a="1"/>
  <c r="K6" i="6" s="1"/>
  <c r="K13" i="9" s="1"/>
  <c r="J6" i="6" a="1"/>
  <c r="J6" i="6" s="1"/>
  <c r="J13" i="9" s="1"/>
  <c r="G6" i="6" a="1"/>
  <c r="G6" i="6" s="1"/>
  <c r="G13" i="9" s="1"/>
  <c r="K5" i="6" a="1"/>
  <c r="K5" i="6" s="1"/>
  <c r="K12" i="9" s="1"/>
  <c r="J5" i="6" a="1"/>
  <c r="J5" i="6" s="1"/>
  <c r="J12" i="9" s="1"/>
  <c r="G5" i="6" a="1"/>
  <c r="G5" i="6" s="1"/>
  <c r="G12" i="9" s="1"/>
  <c r="K4" i="6" a="1"/>
  <c r="K4" i="6" s="1"/>
  <c r="K11" i="9" s="1"/>
  <c r="J4" i="6" a="1"/>
  <c r="J4" i="6" s="1"/>
  <c r="J11" i="9" s="1"/>
  <c r="G4" i="6" a="1"/>
  <c r="G4" i="6" s="1"/>
  <c r="G11" i="9" s="1"/>
  <c r="K3" i="6" a="1"/>
  <c r="K3" i="6" s="1"/>
  <c r="K10" i="9" s="1"/>
  <c r="J3" i="6" a="1"/>
  <c r="J3" i="6" s="1"/>
  <c r="J10" i="9" s="1"/>
  <c r="G3" i="6" a="1"/>
  <c r="G3" i="6" s="1"/>
  <c r="G10" i="9" s="1"/>
  <c r="K2" i="6" a="1"/>
  <c r="K2" i="6" s="1"/>
  <c r="K9" i="9" s="1"/>
  <c r="J2" i="6" a="1"/>
  <c r="J2" i="6" s="1"/>
  <c r="J9" i="9" s="1"/>
  <c r="G2" i="6" a="1"/>
  <c r="G2" i="6" s="1"/>
  <c r="G9" i="9" s="1"/>
  <c r="F223" i="6" a="1"/>
  <c r="F223" i="6" s="1"/>
  <c r="F230" i="9" s="1"/>
  <c r="F222" i="6" a="1"/>
  <c r="F222" i="6" s="1"/>
  <c r="F229" i="9" s="1"/>
  <c r="F221" i="6" a="1"/>
  <c r="F221" i="6" s="1"/>
  <c r="F228" i="9" s="1"/>
  <c r="F220" i="6" a="1"/>
  <c r="F220" i="6" s="1"/>
  <c r="F227" i="9" s="1"/>
  <c r="F219" i="6" a="1"/>
  <c r="F219" i="6" s="1"/>
  <c r="F226" i="9" s="1"/>
  <c r="F218" i="6" a="1"/>
  <c r="F218" i="6" s="1"/>
  <c r="F225" i="9" s="1"/>
  <c r="F217" i="6" a="1"/>
  <c r="F217" i="6" s="1"/>
  <c r="F224" i="9" s="1"/>
  <c r="F216" i="6" a="1"/>
  <c r="F216" i="6" s="1"/>
  <c r="F223" i="9" s="1"/>
  <c r="F215" i="6" a="1"/>
  <c r="F215" i="6" s="1"/>
  <c r="F222" i="9" s="1"/>
  <c r="F214" i="6" a="1"/>
  <c r="F214" i="6" s="1"/>
  <c r="F221" i="9" s="1"/>
  <c r="F213" i="6" a="1"/>
  <c r="F213" i="6" s="1"/>
  <c r="F220" i="9" s="1"/>
  <c r="F212" i="6" a="1"/>
  <c r="F212" i="6" s="1"/>
  <c r="F219" i="9" s="1"/>
  <c r="F211" i="6" a="1"/>
  <c r="F211" i="6" s="1"/>
  <c r="F218" i="9" s="1"/>
  <c r="F210" i="6" a="1"/>
  <c r="F210" i="6" s="1"/>
  <c r="F217" i="9" s="1"/>
  <c r="F209" i="6" a="1"/>
  <c r="F209" i="6" s="1"/>
  <c r="F216" i="9" s="1"/>
  <c r="F208" i="6" a="1"/>
  <c r="F208" i="6" s="1"/>
  <c r="F215" i="9" s="1"/>
  <c r="F207" i="6" a="1"/>
  <c r="F207" i="6" s="1"/>
  <c r="F214" i="9" s="1"/>
  <c r="F206" i="6" a="1"/>
  <c r="F206" i="6" s="1"/>
  <c r="F213" i="9" s="1"/>
  <c r="F205" i="6" a="1"/>
  <c r="F205" i="6" s="1"/>
  <c r="F212" i="9" s="1"/>
  <c r="F204" i="6" a="1"/>
  <c r="F204" i="6" s="1"/>
  <c r="F211" i="9" s="1"/>
  <c r="F203" i="6" a="1"/>
  <c r="F203" i="6" s="1"/>
  <c r="F210" i="9" s="1"/>
  <c r="F202" i="6" a="1"/>
  <c r="F202" i="6" s="1"/>
  <c r="F209" i="9" s="1"/>
  <c r="F201" i="6" a="1"/>
  <c r="F201" i="6" s="1"/>
  <c r="F208" i="9" s="1"/>
  <c r="F200" i="6" a="1"/>
  <c r="F200" i="6" s="1"/>
  <c r="F207" i="9" s="1"/>
  <c r="F199" i="6" a="1"/>
  <c r="F199" i="6" s="1"/>
  <c r="F206" i="9" s="1"/>
  <c r="F198" i="6" a="1"/>
  <c r="F198" i="6" s="1"/>
  <c r="F205" i="9" s="1"/>
  <c r="F197" i="6" a="1"/>
  <c r="F197" i="6" s="1"/>
  <c r="F204" i="9" s="1"/>
  <c r="F196" i="6" a="1"/>
  <c r="F196" i="6" s="1"/>
  <c r="F203" i="9" s="1"/>
  <c r="F195" i="6" a="1"/>
  <c r="F195" i="6" s="1"/>
  <c r="F202" i="9" s="1"/>
  <c r="F194" i="6" a="1"/>
  <c r="F194" i="6" s="1"/>
  <c r="F201" i="9" s="1"/>
  <c r="F193" i="6" a="1"/>
  <c r="F193" i="6" s="1"/>
  <c r="F200" i="9" s="1"/>
  <c r="F192" i="6" a="1"/>
  <c r="F192" i="6" s="1"/>
  <c r="F199" i="9" s="1"/>
  <c r="F191" i="6" a="1"/>
  <c r="F191" i="6" s="1"/>
  <c r="F198" i="9" s="1"/>
  <c r="F190" i="6" a="1"/>
  <c r="F190" i="6" s="1"/>
  <c r="F197" i="9" s="1"/>
  <c r="F189" i="6" a="1"/>
  <c r="F189" i="6" s="1"/>
  <c r="F196" i="9" s="1"/>
  <c r="F188" i="6" a="1"/>
  <c r="F188" i="6" s="1"/>
  <c r="F195" i="9" s="1"/>
  <c r="F187" i="6" a="1"/>
  <c r="F187" i="6" s="1"/>
  <c r="F194" i="9" s="1"/>
  <c r="F186" i="6" a="1"/>
  <c r="F186" i="6" s="1"/>
  <c r="F193" i="9" s="1"/>
  <c r="F185" i="6" a="1"/>
  <c r="F185" i="6" s="1"/>
  <c r="F192" i="9" s="1"/>
  <c r="F184" i="6" a="1"/>
  <c r="F184" i="6" s="1"/>
  <c r="F191" i="9" s="1"/>
  <c r="F183" i="6" a="1"/>
  <c r="F183" i="6" s="1"/>
  <c r="F190" i="9" s="1"/>
  <c r="F182" i="6" a="1"/>
  <c r="F182" i="6" s="1"/>
  <c r="F189" i="9" s="1"/>
  <c r="F181" i="6" a="1"/>
  <c r="F181" i="6" s="1"/>
  <c r="F188" i="9" s="1"/>
  <c r="F180" i="6" a="1"/>
  <c r="F180" i="6" s="1"/>
  <c r="F187" i="9" s="1"/>
  <c r="F179" i="6" a="1"/>
  <c r="F179" i="6" s="1"/>
  <c r="F186" i="9" s="1"/>
  <c r="F178" i="6" a="1"/>
  <c r="F178" i="6" s="1"/>
  <c r="F185" i="9" s="1"/>
  <c r="F177" i="6" a="1"/>
  <c r="F177" i="6" s="1"/>
  <c r="F184" i="9" s="1"/>
  <c r="F176" i="6" a="1"/>
  <c r="F176" i="6" s="1"/>
  <c r="F183" i="9" s="1"/>
  <c r="F175" i="6" a="1"/>
  <c r="F175" i="6" s="1"/>
  <c r="F182" i="9" s="1"/>
  <c r="F174" i="6" a="1"/>
  <c r="F174" i="6" s="1"/>
  <c r="F181" i="9" s="1"/>
  <c r="F173" i="6" a="1"/>
  <c r="F173" i="6" s="1"/>
  <c r="F180" i="9" s="1"/>
  <c r="F172" i="6" a="1"/>
  <c r="F172" i="6" s="1"/>
  <c r="F179" i="9" s="1"/>
  <c r="F171" i="6" a="1"/>
  <c r="F171" i="6" s="1"/>
  <c r="F178" i="9" s="1"/>
  <c r="F170" i="6" a="1"/>
  <c r="F170" i="6" s="1"/>
  <c r="F177" i="9" s="1"/>
  <c r="F169" i="6" a="1"/>
  <c r="F169" i="6" s="1"/>
  <c r="F176" i="9" s="1"/>
  <c r="F168" i="6" a="1"/>
  <c r="F168" i="6" s="1"/>
  <c r="F175" i="9" s="1"/>
  <c r="F167" i="6" a="1"/>
  <c r="F167" i="6" s="1"/>
  <c r="F174" i="9" s="1"/>
  <c r="F166" i="6" a="1"/>
  <c r="F166" i="6" s="1"/>
  <c r="F173" i="9" s="1"/>
  <c r="F165" i="6" a="1"/>
  <c r="F165" i="6" s="1"/>
  <c r="F172" i="9" s="1"/>
  <c r="F164" i="6" a="1"/>
  <c r="F164" i="6" s="1"/>
  <c r="F171" i="9" s="1"/>
  <c r="F163" i="6" a="1"/>
  <c r="F163" i="6" s="1"/>
  <c r="F170" i="9" s="1"/>
  <c r="F162" i="6" a="1"/>
  <c r="F162" i="6" s="1"/>
  <c r="F169" i="9" s="1"/>
  <c r="F161" i="6" a="1"/>
  <c r="F161" i="6" s="1"/>
  <c r="F168" i="9" s="1"/>
  <c r="F160" i="6" a="1"/>
  <c r="F160" i="6" s="1"/>
  <c r="F167" i="9" s="1"/>
  <c r="F159" i="6" a="1"/>
  <c r="F159" i="6" s="1"/>
  <c r="F166" i="9" s="1"/>
  <c r="F158" i="6" a="1"/>
  <c r="F158" i="6" s="1"/>
  <c r="F165" i="9" s="1"/>
  <c r="F157" i="6" a="1"/>
  <c r="F157" i="6" s="1"/>
  <c r="F164" i="9" s="1"/>
  <c r="F156" i="6" a="1"/>
  <c r="F156" i="6" s="1"/>
  <c r="F163" i="9" s="1"/>
  <c r="F155" i="6" a="1"/>
  <c r="F155" i="6" s="1"/>
  <c r="F162" i="9" s="1"/>
  <c r="F154" i="6" a="1"/>
  <c r="F154" i="6" s="1"/>
  <c r="F161" i="9" s="1"/>
  <c r="F153" i="6" a="1"/>
  <c r="F153" i="6" s="1"/>
  <c r="F160" i="9" s="1"/>
  <c r="F152" i="6" a="1"/>
  <c r="F152" i="6" s="1"/>
  <c r="F159" i="9" s="1"/>
  <c r="F151" i="6" a="1"/>
  <c r="F151" i="6" s="1"/>
  <c r="F158" i="9" s="1"/>
  <c r="F150" i="6" a="1"/>
  <c r="F150" i="6" s="1"/>
  <c r="F157" i="9" s="1"/>
  <c r="F149" i="6" a="1"/>
  <c r="F149" i="6" s="1"/>
  <c r="F156" i="9" s="1"/>
  <c r="F148" i="6" a="1"/>
  <c r="F148" i="6" s="1"/>
  <c r="F155" i="9" s="1"/>
  <c r="F147" i="6" a="1"/>
  <c r="F147" i="6" s="1"/>
  <c r="F154" i="9" s="1"/>
  <c r="F146" i="6" a="1"/>
  <c r="F146" i="6" s="1"/>
  <c r="F153" i="9" s="1"/>
  <c r="F145" i="6" a="1"/>
  <c r="F145" i="6" s="1"/>
  <c r="F152" i="9" s="1"/>
  <c r="F144" i="6" a="1"/>
  <c r="F144" i="6" s="1"/>
  <c r="F151" i="9" s="1"/>
  <c r="F143" i="6" a="1"/>
  <c r="F143" i="6" s="1"/>
  <c r="F150" i="9" s="1"/>
  <c r="F142" i="6" a="1"/>
  <c r="F142" i="6" s="1"/>
  <c r="F149" i="9" s="1"/>
  <c r="F141" i="6" a="1"/>
  <c r="F141" i="6" s="1"/>
  <c r="F148" i="9" s="1"/>
  <c r="F140" i="6" a="1"/>
  <c r="F140" i="6" s="1"/>
  <c r="F147" i="9" s="1"/>
  <c r="F139" i="6" a="1"/>
  <c r="F139" i="6" s="1"/>
  <c r="F146" i="9" s="1"/>
  <c r="F138" i="6" a="1"/>
  <c r="F138" i="6" s="1"/>
  <c r="F145" i="9" s="1"/>
  <c r="F137" i="6" a="1"/>
  <c r="F137" i="6" s="1"/>
  <c r="F144" i="9" s="1"/>
  <c r="F136" i="6" a="1"/>
  <c r="F136" i="6" s="1"/>
  <c r="F143" i="9" s="1"/>
  <c r="F135" i="6" a="1"/>
  <c r="F135" i="6" s="1"/>
  <c r="F142" i="9" s="1"/>
  <c r="F134" i="6" a="1"/>
  <c r="F134" i="6" s="1"/>
  <c r="F141" i="9" s="1"/>
  <c r="F133" i="6" a="1"/>
  <c r="F133" i="6" s="1"/>
  <c r="F140" i="9" s="1"/>
  <c r="F132" i="6" a="1"/>
  <c r="F132" i="6" s="1"/>
  <c r="F139" i="9" s="1"/>
  <c r="F131" i="6" a="1"/>
  <c r="F131" i="6" s="1"/>
  <c r="F138" i="9" s="1"/>
  <c r="F130" i="6" a="1"/>
  <c r="F130" i="6" s="1"/>
  <c r="F137" i="9" s="1"/>
  <c r="F129" i="6" a="1"/>
  <c r="F129" i="6" s="1"/>
  <c r="F136" i="9" s="1"/>
  <c r="F128" i="6" a="1"/>
  <c r="F128" i="6" s="1"/>
  <c r="F135" i="9" s="1"/>
  <c r="F127" i="6" a="1"/>
  <c r="F127" i="6" s="1"/>
  <c r="F134" i="9" s="1"/>
  <c r="F126" i="6" a="1"/>
  <c r="F126" i="6" s="1"/>
  <c r="F133" i="9" s="1"/>
  <c r="F125" i="6" a="1"/>
  <c r="F125" i="6" s="1"/>
  <c r="F132" i="9" s="1"/>
  <c r="F124" i="6" a="1"/>
  <c r="F124" i="6" s="1"/>
  <c r="F131" i="9" s="1"/>
  <c r="F123" i="6" a="1"/>
  <c r="F123" i="6" s="1"/>
  <c r="F130" i="9" s="1"/>
  <c r="F122" i="6" a="1"/>
  <c r="F122" i="6" s="1"/>
  <c r="F129" i="9" s="1"/>
  <c r="F121" i="6" a="1"/>
  <c r="F121" i="6" s="1"/>
  <c r="F128" i="9" s="1"/>
  <c r="F120" i="6" a="1"/>
  <c r="F120" i="6" s="1"/>
  <c r="F127" i="9" s="1"/>
  <c r="F119" i="6" a="1"/>
  <c r="F119" i="6" s="1"/>
  <c r="F126" i="9" s="1"/>
  <c r="F118" i="6" a="1"/>
  <c r="F118" i="6" s="1"/>
  <c r="F125" i="9" s="1"/>
  <c r="F117" i="6" a="1"/>
  <c r="F117" i="6" s="1"/>
  <c r="F124" i="9" s="1"/>
  <c r="F116" i="6" a="1"/>
  <c r="F116" i="6" s="1"/>
  <c r="F123" i="9" s="1"/>
  <c r="F115" i="6" a="1"/>
  <c r="F115" i="6" s="1"/>
  <c r="F122" i="9" s="1"/>
  <c r="F114" i="6" a="1"/>
  <c r="F114" i="6" s="1"/>
  <c r="F121" i="9" s="1"/>
  <c r="F113" i="6" a="1"/>
  <c r="F113" i="6" s="1"/>
  <c r="F120" i="9" s="1"/>
  <c r="F112" i="6" a="1"/>
  <c r="F112" i="6" s="1"/>
  <c r="F119" i="9" s="1"/>
  <c r="F111" i="6" a="1"/>
  <c r="F111" i="6" s="1"/>
  <c r="F118" i="9" s="1"/>
  <c r="F110" i="6" a="1"/>
  <c r="F110" i="6" s="1"/>
  <c r="F117" i="9" s="1"/>
  <c r="F109" i="6" a="1"/>
  <c r="F109" i="6" s="1"/>
  <c r="F116" i="9" s="1"/>
  <c r="F108" i="6" a="1"/>
  <c r="F108" i="6" s="1"/>
  <c r="F115" i="9" s="1"/>
  <c r="F107" i="6" a="1"/>
  <c r="F107" i="6" s="1"/>
  <c r="F114" i="9" s="1"/>
  <c r="F106" i="6" a="1"/>
  <c r="F106" i="6" s="1"/>
  <c r="F113" i="9" s="1"/>
  <c r="F105" i="6" a="1"/>
  <c r="F105" i="6" s="1"/>
  <c r="F112" i="9" s="1"/>
  <c r="F104" i="6" a="1"/>
  <c r="F104" i="6" s="1"/>
  <c r="F111" i="9" s="1"/>
  <c r="F103" i="6" a="1"/>
  <c r="F103" i="6" s="1"/>
  <c r="F110" i="9" s="1"/>
  <c r="F102" i="6" a="1"/>
  <c r="F102" i="6" s="1"/>
  <c r="F109" i="9" s="1"/>
  <c r="F101" i="6" a="1"/>
  <c r="F101" i="6" s="1"/>
  <c r="F108" i="9" s="1"/>
  <c r="F100" i="6" a="1"/>
  <c r="F100" i="6" s="1"/>
  <c r="F107" i="9" s="1"/>
  <c r="F99" i="6" a="1"/>
  <c r="F99" i="6" s="1"/>
  <c r="F106" i="9" s="1"/>
  <c r="F98" i="6" a="1"/>
  <c r="F98" i="6" s="1"/>
  <c r="F105" i="9" s="1"/>
  <c r="F97" i="6" a="1"/>
  <c r="F97" i="6" s="1"/>
  <c r="F104" i="9" s="1"/>
  <c r="F96" i="6" a="1"/>
  <c r="F96" i="6" s="1"/>
  <c r="F103" i="9" s="1"/>
  <c r="F95" i="6" a="1"/>
  <c r="F95" i="6" s="1"/>
  <c r="F102" i="9" s="1"/>
  <c r="F94" i="6" a="1"/>
  <c r="F94" i="6" s="1"/>
  <c r="F101" i="9" s="1"/>
  <c r="F93" i="6" a="1"/>
  <c r="F93" i="6" s="1"/>
  <c r="F100" i="9" s="1"/>
  <c r="F92" i="6" a="1"/>
  <c r="F92" i="6" s="1"/>
  <c r="F99" i="9" s="1"/>
  <c r="F91" i="6" a="1"/>
  <c r="F91" i="6" s="1"/>
  <c r="F98" i="9" s="1"/>
  <c r="F90" i="6" a="1"/>
  <c r="F90" i="6" s="1"/>
  <c r="F97" i="9" s="1"/>
  <c r="F89" i="6" a="1"/>
  <c r="F89" i="6" s="1"/>
  <c r="F96" i="9" s="1"/>
  <c r="F88" i="6" a="1"/>
  <c r="F88" i="6" s="1"/>
  <c r="F95" i="9" s="1"/>
  <c r="F87" i="6" a="1"/>
  <c r="F87" i="6" s="1"/>
  <c r="F94" i="9" s="1"/>
  <c r="F86" i="6" a="1"/>
  <c r="F86" i="6" s="1"/>
  <c r="F93" i="9" s="1"/>
  <c r="F85" i="6" a="1"/>
  <c r="F85" i="6" s="1"/>
  <c r="F92" i="9" s="1"/>
  <c r="F84" i="6" a="1"/>
  <c r="F84" i="6" s="1"/>
  <c r="F91" i="9" s="1"/>
  <c r="F83" i="6" a="1"/>
  <c r="F83" i="6" s="1"/>
  <c r="F90" i="9" s="1"/>
  <c r="F82" i="6" a="1"/>
  <c r="F82" i="6" s="1"/>
  <c r="F89" i="9" s="1"/>
  <c r="F81" i="6" a="1"/>
  <c r="F81" i="6" s="1"/>
  <c r="F88" i="9" s="1"/>
  <c r="F80" i="6" a="1"/>
  <c r="F80" i="6" s="1"/>
  <c r="F87" i="9" s="1"/>
  <c r="F79" i="6" a="1"/>
  <c r="F79" i="6" s="1"/>
  <c r="F86" i="9" s="1"/>
  <c r="F78" i="6" a="1"/>
  <c r="F78" i="6" s="1"/>
  <c r="F85" i="9" s="1"/>
  <c r="F77" i="6" a="1"/>
  <c r="F77" i="6" s="1"/>
  <c r="F84" i="9" s="1"/>
  <c r="F76" i="6" a="1"/>
  <c r="F76" i="6" s="1"/>
  <c r="F83" i="9" s="1"/>
  <c r="F75" i="6" a="1"/>
  <c r="F75" i="6" s="1"/>
  <c r="F82" i="9" s="1"/>
  <c r="F74" i="6" a="1"/>
  <c r="F74" i="6" s="1"/>
  <c r="F81" i="9" s="1"/>
  <c r="F73" i="6" a="1"/>
  <c r="F73" i="6" s="1"/>
  <c r="F80" i="9" s="1"/>
  <c r="F72" i="6" a="1"/>
  <c r="F72" i="6" s="1"/>
  <c r="F79" i="9" s="1"/>
  <c r="F71" i="6" a="1"/>
  <c r="F71" i="6" s="1"/>
  <c r="F78" i="9" s="1"/>
  <c r="F70" i="6" a="1"/>
  <c r="F70" i="6" s="1"/>
  <c r="F77" i="9" s="1"/>
  <c r="F69" i="6" a="1"/>
  <c r="F69" i="6" s="1"/>
  <c r="F76" i="9" s="1"/>
  <c r="F68" i="6" a="1"/>
  <c r="F68" i="6" s="1"/>
  <c r="F75" i="9" s="1"/>
  <c r="F67" i="6" a="1"/>
  <c r="F67" i="6" s="1"/>
  <c r="F74" i="9" s="1"/>
  <c r="F66" i="6" a="1"/>
  <c r="F66" i="6" s="1"/>
  <c r="F73" i="9" s="1"/>
  <c r="F65" i="6" a="1"/>
  <c r="F65" i="6" s="1"/>
  <c r="F72" i="9" s="1"/>
  <c r="F64" i="6" a="1"/>
  <c r="F64" i="6" s="1"/>
  <c r="F71" i="9" s="1"/>
  <c r="F63" i="6" a="1"/>
  <c r="F63" i="6" s="1"/>
  <c r="F70" i="9" s="1"/>
  <c r="F62" i="6" a="1"/>
  <c r="F62" i="6" s="1"/>
  <c r="F69" i="9" s="1"/>
  <c r="F61" i="6" a="1"/>
  <c r="F61" i="6" s="1"/>
  <c r="F68" i="9" s="1"/>
  <c r="F60" i="6" a="1"/>
  <c r="F60" i="6" s="1"/>
  <c r="F67" i="9" s="1"/>
  <c r="F59" i="6" a="1"/>
  <c r="F59" i="6" s="1"/>
  <c r="F66" i="9" s="1"/>
  <c r="F58" i="6" a="1"/>
  <c r="F58" i="6" s="1"/>
  <c r="F65" i="9" s="1"/>
  <c r="F57" i="6" a="1"/>
  <c r="F57" i="6" s="1"/>
  <c r="F64" i="9" s="1"/>
  <c r="F56" i="6" a="1"/>
  <c r="F56" i="6" s="1"/>
  <c r="F63" i="9" s="1"/>
  <c r="F55" i="6" a="1"/>
  <c r="F55" i="6" s="1"/>
  <c r="F62" i="9" s="1"/>
  <c r="F54" i="6" a="1"/>
  <c r="F54" i="6" s="1"/>
  <c r="F61" i="9" s="1"/>
  <c r="F53" i="6" a="1"/>
  <c r="F53" i="6" s="1"/>
  <c r="F60" i="9" s="1"/>
  <c r="F52" i="6" a="1"/>
  <c r="F52" i="6" s="1"/>
  <c r="F59" i="9" s="1"/>
  <c r="F51" i="6" a="1"/>
  <c r="F51" i="6" s="1"/>
  <c r="F58" i="9" s="1"/>
  <c r="F50" i="6" a="1"/>
  <c r="F50" i="6" s="1"/>
  <c r="F57" i="9" s="1"/>
  <c r="F49" i="6" a="1"/>
  <c r="F49" i="6" s="1"/>
  <c r="F56" i="9" s="1"/>
  <c r="F48" i="6" a="1"/>
  <c r="F48" i="6" s="1"/>
  <c r="F55" i="9" s="1"/>
  <c r="F47" i="6" a="1"/>
  <c r="F47" i="6" s="1"/>
  <c r="F54" i="9" s="1"/>
  <c r="F46" i="6" a="1"/>
  <c r="F46" i="6" s="1"/>
  <c r="F53" i="9" s="1"/>
  <c r="F45" i="6" a="1"/>
  <c r="F45" i="6" s="1"/>
  <c r="F52" i="9" s="1"/>
  <c r="F35" i="6" a="1"/>
  <c r="F35" i="6" s="1"/>
  <c r="F42" i="9" s="1"/>
  <c r="F34" i="6" a="1"/>
  <c r="F34" i="6" s="1"/>
  <c r="F41" i="9" s="1"/>
  <c r="F33" i="6" a="1"/>
  <c r="F33" i="6" s="1"/>
  <c r="F40" i="9" s="1"/>
  <c r="F32" i="6" a="1"/>
  <c r="F32" i="6" s="1"/>
  <c r="F39" i="9" s="1"/>
  <c r="F31" i="6" a="1"/>
  <c r="F31" i="6" s="1"/>
  <c r="F38" i="9" s="1"/>
  <c r="F30" i="6" a="1"/>
  <c r="F30" i="6" s="1"/>
  <c r="F37" i="9" s="1"/>
  <c r="F29" i="6" a="1"/>
  <c r="F29" i="6" s="1"/>
  <c r="F36" i="9" s="1"/>
  <c r="F28" i="6" a="1"/>
  <c r="F28" i="6" s="1"/>
  <c r="F35" i="9" s="1"/>
  <c r="F27" i="6" a="1"/>
  <c r="F27" i="6" s="1"/>
  <c r="F34" i="9" s="1"/>
  <c r="F26" i="6" a="1"/>
  <c r="F26" i="6" s="1"/>
  <c r="F33" i="9" s="1"/>
  <c r="F25" i="6" a="1"/>
  <c r="F25" i="6" s="1"/>
  <c r="F32" i="9" s="1"/>
  <c r="F24" i="6" a="1"/>
  <c r="F24" i="6" s="1"/>
  <c r="F31" i="9" s="1"/>
  <c r="F23" i="6" a="1"/>
  <c r="F23" i="6" s="1"/>
  <c r="F30" i="9" s="1"/>
  <c r="F22" i="6" a="1"/>
  <c r="F22" i="6" s="1"/>
  <c r="F29" i="9" s="1"/>
  <c r="F21" i="6" a="1"/>
  <c r="F21" i="6" s="1"/>
  <c r="F28" i="9" s="1"/>
  <c r="F20" i="6" a="1"/>
  <c r="F20" i="6" s="1"/>
  <c r="F27" i="9" s="1"/>
  <c r="F19" i="6" a="1"/>
  <c r="F19" i="6" s="1"/>
  <c r="F26" i="9" s="1"/>
  <c r="F18" i="6" a="1"/>
  <c r="F18" i="6" s="1"/>
  <c r="F25" i="9" s="1"/>
  <c r="F17" i="6" a="1"/>
  <c r="F17" i="6" s="1"/>
  <c r="F24" i="9" s="1"/>
  <c r="F16" i="6" a="1"/>
  <c r="F16" i="6" s="1"/>
  <c r="F23" i="9" s="1"/>
  <c r="F15" i="6" a="1"/>
  <c r="F15" i="6" s="1"/>
  <c r="F22" i="9" s="1"/>
  <c r="F14" i="6" a="1"/>
  <c r="F14" i="6" s="1"/>
  <c r="F21" i="9" s="1"/>
  <c r="F13" i="6" a="1"/>
  <c r="F13" i="6" s="1"/>
  <c r="F20" i="9" s="1"/>
  <c r="F12" i="6" a="1"/>
  <c r="F12" i="6" s="1"/>
  <c r="F19" i="9" s="1"/>
  <c r="F11" i="6" a="1"/>
  <c r="F11" i="6" s="1"/>
  <c r="F18" i="9" s="1"/>
  <c r="F10" i="6" a="1"/>
  <c r="F10" i="6" s="1"/>
  <c r="F17" i="9" s="1"/>
  <c r="F9" i="6" a="1"/>
  <c r="F9" i="6" s="1"/>
  <c r="F16" i="9" s="1"/>
  <c r="F8" i="6" a="1"/>
  <c r="F8" i="6" s="1"/>
  <c r="F15" i="9" s="1"/>
  <c r="F7" i="6" a="1"/>
  <c r="F7" i="6" s="1"/>
  <c r="F14" i="9" s="1"/>
  <c r="F6" i="6" a="1"/>
  <c r="F6" i="6" s="1"/>
  <c r="F13" i="9" s="1"/>
  <c r="F5" i="6" a="1"/>
  <c r="F5" i="6" s="1"/>
  <c r="F12" i="9" s="1"/>
  <c r="F4" i="6" a="1"/>
  <c r="F4" i="6" s="1"/>
  <c r="F11" i="9" s="1"/>
  <c r="F3" i="6" a="1"/>
  <c r="F3" i="6" s="1"/>
  <c r="F10" i="9" s="1"/>
  <c r="F2" i="6" a="1"/>
  <c r="F2" i="6" s="1"/>
  <c r="F9" i="9" s="1"/>
  <c r="AE6" i="7" a="1"/>
  <c r="Y6" i="7" a="1"/>
  <c r="S6" i="7" a="1"/>
  <c r="M6" i="7" a="1"/>
  <c r="G6" i="7" a="1"/>
  <c r="A6" i="7" a="1"/>
  <c r="C314" i="9"/>
  <c r="B314" i="9"/>
  <c r="C313" i="9"/>
  <c r="B313" i="9"/>
  <c r="C312" i="9"/>
  <c r="B312" i="9"/>
  <c r="C311" i="9"/>
  <c r="B311" i="9"/>
  <c r="C310" i="9"/>
  <c r="B310" i="9"/>
  <c r="C309" i="9"/>
  <c r="B309" i="9"/>
  <c r="C308" i="9"/>
  <c r="B308" i="9"/>
  <c r="C307" i="9"/>
  <c r="B307" i="9"/>
  <c r="C306" i="9"/>
  <c r="B306" i="9"/>
  <c r="C305" i="9"/>
  <c r="B305" i="9"/>
  <c r="C304" i="9"/>
  <c r="B304" i="9"/>
  <c r="C303" i="9"/>
  <c r="B303" i="9"/>
  <c r="C302" i="9"/>
  <c r="B302" i="9"/>
  <c r="C301" i="9"/>
  <c r="B301" i="9"/>
  <c r="C300" i="9"/>
  <c r="B300" i="9"/>
  <c r="C299" i="9"/>
  <c r="B299" i="9"/>
  <c r="C298" i="9"/>
  <c r="B298" i="9"/>
  <c r="C297" i="9"/>
  <c r="B297" i="9"/>
  <c r="C296" i="9"/>
  <c r="B296" i="9"/>
  <c r="C295" i="9"/>
  <c r="B295" i="9"/>
  <c r="C294" i="9"/>
  <c r="B294" i="9"/>
  <c r="C293" i="9"/>
  <c r="B293" i="9"/>
  <c r="C292" i="9"/>
  <c r="B292" i="9"/>
  <c r="C291" i="9"/>
  <c r="B291" i="9"/>
  <c r="C290" i="9"/>
  <c r="B290" i="9"/>
  <c r="C289" i="9"/>
  <c r="B289" i="9"/>
  <c r="C288" i="9"/>
  <c r="B288" i="9"/>
  <c r="C287" i="9"/>
  <c r="B287" i="9"/>
  <c r="C286" i="9"/>
  <c r="B286" i="9"/>
  <c r="C285" i="9"/>
  <c r="B285" i="9"/>
  <c r="C284" i="9"/>
  <c r="B284" i="9"/>
  <c r="C283" i="9"/>
  <c r="B283" i="9"/>
  <c r="C282" i="9"/>
  <c r="B282" i="9"/>
  <c r="C281" i="9"/>
  <c r="B281" i="9"/>
  <c r="C280" i="9"/>
  <c r="B280" i="9"/>
  <c r="C279" i="9"/>
  <c r="B279" i="9"/>
  <c r="C278" i="9"/>
  <c r="B278" i="9"/>
  <c r="C277" i="9"/>
  <c r="B277" i="9"/>
  <c r="C276" i="9"/>
  <c r="B276" i="9"/>
  <c r="C275" i="9"/>
  <c r="B275" i="9"/>
  <c r="C274" i="9"/>
  <c r="B274" i="9"/>
  <c r="C273" i="9"/>
  <c r="B273" i="9"/>
  <c r="D269" i="9"/>
  <c r="C269" i="9"/>
  <c r="B269" i="9"/>
  <c r="D268" i="9"/>
  <c r="C268" i="9"/>
  <c r="B268" i="9"/>
  <c r="D267" i="9"/>
  <c r="C267" i="9"/>
  <c r="B267" i="9"/>
  <c r="D266" i="9"/>
  <c r="C266" i="9"/>
  <c r="B266" i="9"/>
  <c r="D265" i="9"/>
  <c r="C265" i="9"/>
  <c r="B265" i="9"/>
  <c r="D264" i="9"/>
  <c r="C264" i="9"/>
  <c r="B264" i="9"/>
  <c r="D263" i="9"/>
  <c r="C263" i="9"/>
  <c r="B263" i="9"/>
  <c r="D262" i="9"/>
  <c r="C262" i="9"/>
  <c r="B262" i="9"/>
  <c r="D261" i="9"/>
  <c r="C261" i="9"/>
  <c r="B261" i="9"/>
  <c r="D260" i="9"/>
  <c r="C260" i="9"/>
  <c r="B260" i="9"/>
  <c r="D259" i="9"/>
  <c r="C259" i="9"/>
  <c r="B259" i="9"/>
  <c r="D258" i="9"/>
  <c r="C258" i="9"/>
  <c r="B258" i="9"/>
  <c r="D257" i="9"/>
  <c r="C257" i="9"/>
  <c r="B257" i="9"/>
  <c r="D256" i="9"/>
  <c r="C256" i="9"/>
  <c r="B256" i="9"/>
  <c r="D255" i="9"/>
  <c r="C255" i="9"/>
  <c r="B255" i="9"/>
  <c r="D254" i="9"/>
  <c r="C254" i="9"/>
  <c r="B254" i="9"/>
  <c r="D253" i="9"/>
  <c r="C253" i="9"/>
  <c r="B253" i="9"/>
  <c r="D252" i="9"/>
  <c r="C252" i="9"/>
  <c r="B252" i="9"/>
  <c r="D251" i="9"/>
  <c r="C251" i="9"/>
  <c r="B251" i="9"/>
  <c r="D250" i="9"/>
  <c r="C250" i="9"/>
  <c r="B250" i="9"/>
  <c r="D249" i="9"/>
  <c r="C249" i="9"/>
  <c r="B249" i="9"/>
  <c r="D248" i="9"/>
  <c r="C248" i="9"/>
  <c r="B248" i="9"/>
  <c r="D247" i="9"/>
  <c r="C247" i="9"/>
  <c r="B247" i="9"/>
  <c r="D246" i="9"/>
  <c r="C246" i="9"/>
  <c r="B246" i="9"/>
  <c r="D245" i="9"/>
  <c r="C245" i="9"/>
  <c r="B245" i="9"/>
  <c r="D244" i="9"/>
  <c r="C244" i="9"/>
  <c r="B244" i="9"/>
  <c r="D243" i="9"/>
  <c r="C243" i="9"/>
  <c r="B243" i="9"/>
  <c r="D242" i="9"/>
  <c r="C242" i="9"/>
  <c r="B242" i="9"/>
  <c r="D241" i="9"/>
  <c r="C241" i="9"/>
  <c r="B241" i="9"/>
  <c r="D240" i="9"/>
  <c r="C240" i="9"/>
  <c r="B240" i="9"/>
  <c r="D239" i="9"/>
  <c r="C239" i="9"/>
  <c r="B239" i="9"/>
  <c r="D238" i="9"/>
  <c r="C238" i="9"/>
  <c r="B238" i="9"/>
  <c r="D237" i="9"/>
  <c r="C237" i="9"/>
  <c r="B237" i="9"/>
  <c r="D236" i="9"/>
  <c r="C236" i="9"/>
  <c r="B236" i="9"/>
  <c r="D235" i="9"/>
  <c r="C235" i="9"/>
  <c r="B235" i="9"/>
  <c r="D234" i="9"/>
  <c r="C234" i="9"/>
  <c r="B234" i="9"/>
  <c r="C230" i="9"/>
  <c r="B230" i="9"/>
  <c r="A230" i="9"/>
  <c r="C229" i="9"/>
  <c r="B229" i="9"/>
  <c r="A229" i="9"/>
  <c r="C228" i="9"/>
  <c r="B228" i="9"/>
  <c r="A228" i="9"/>
  <c r="C227" i="9"/>
  <c r="B227" i="9"/>
  <c r="A227" i="9"/>
  <c r="C226" i="9"/>
  <c r="B226" i="9"/>
  <c r="A226" i="9"/>
  <c r="C225" i="9"/>
  <c r="B225" i="9"/>
  <c r="A225" i="9"/>
  <c r="C224" i="9"/>
  <c r="B224" i="9"/>
  <c r="A224" i="9"/>
  <c r="C223" i="9"/>
  <c r="B223" i="9"/>
  <c r="A223" i="9"/>
  <c r="C222" i="9"/>
  <c r="B222" i="9"/>
  <c r="A222" i="9"/>
  <c r="C221" i="9"/>
  <c r="B221" i="9"/>
  <c r="A221" i="9"/>
  <c r="C220" i="9"/>
  <c r="B220" i="9"/>
  <c r="A220" i="9"/>
  <c r="C219" i="9"/>
  <c r="B219" i="9"/>
  <c r="A219" i="9"/>
  <c r="C218" i="9"/>
  <c r="B218" i="9"/>
  <c r="A218" i="9"/>
  <c r="C217" i="9"/>
  <c r="B217" i="9"/>
  <c r="A217" i="9"/>
  <c r="C216" i="9"/>
  <c r="B216" i="9"/>
  <c r="A216" i="9"/>
  <c r="C215" i="9"/>
  <c r="B215" i="9"/>
  <c r="A215" i="9"/>
  <c r="C214" i="9"/>
  <c r="B214" i="9"/>
  <c r="A214" i="9"/>
  <c r="C213" i="9"/>
  <c r="B213" i="9"/>
  <c r="A213" i="9"/>
  <c r="C212" i="9"/>
  <c r="B212" i="9"/>
  <c r="A212" i="9"/>
  <c r="C211" i="9"/>
  <c r="B211" i="9"/>
  <c r="A211" i="9"/>
  <c r="C210" i="9"/>
  <c r="B210" i="9"/>
  <c r="A210" i="9"/>
  <c r="C209" i="9"/>
  <c r="B209" i="9"/>
  <c r="A209" i="9"/>
  <c r="C208" i="9"/>
  <c r="B208" i="9"/>
  <c r="A208" i="9"/>
  <c r="C207" i="9"/>
  <c r="B207" i="9"/>
  <c r="A207" i="9"/>
  <c r="C206" i="9"/>
  <c r="B206" i="9"/>
  <c r="A206" i="9"/>
  <c r="C205" i="9"/>
  <c r="B205" i="9"/>
  <c r="A205" i="9"/>
  <c r="C204" i="9"/>
  <c r="B204" i="9"/>
  <c r="A204" i="9"/>
  <c r="C203" i="9"/>
  <c r="B203" i="9"/>
  <c r="A203" i="9"/>
  <c r="C202" i="9"/>
  <c r="B202" i="9"/>
  <c r="A202" i="9"/>
  <c r="C201" i="9"/>
  <c r="B201" i="9"/>
  <c r="A201" i="9"/>
  <c r="C200" i="9"/>
  <c r="B200" i="9"/>
  <c r="A200" i="9"/>
  <c r="C199" i="9"/>
  <c r="B199" i="9"/>
  <c r="A199" i="9"/>
  <c r="C198" i="9"/>
  <c r="B198" i="9"/>
  <c r="A198" i="9"/>
  <c r="C197" i="9"/>
  <c r="B197" i="9"/>
  <c r="A197" i="9"/>
  <c r="C196" i="9"/>
  <c r="B196" i="9"/>
  <c r="A196" i="9"/>
  <c r="C195" i="9"/>
  <c r="B195" i="9"/>
  <c r="A195" i="9"/>
  <c r="C194" i="9"/>
  <c r="B194" i="9"/>
  <c r="A194" i="9"/>
  <c r="C193" i="9"/>
  <c r="B193" i="9"/>
  <c r="A193" i="9"/>
  <c r="C192" i="9"/>
  <c r="B192" i="9"/>
  <c r="A192" i="9"/>
  <c r="C191" i="9"/>
  <c r="B191" i="9"/>
  <c r="A191" i="9"/>
  <c r="C190" i="9"/>
  <c r="B190" i="9"/>
  <c r="A190" i="9"/>
  <c r="C189" i="9"/>
  <c r="B189" i="9"/>
  <c r="A189" i="9"/>
  <c r="C188" i="9"/>
  <c r="B188" i="9"/>
  <c r="A188" i="9"/>
  <c r="C187" i="9"/>
  <c r="B187" i="9"/>
  <c r="A187" i="9"/>
  <c r="C186" i="9"/>
  <c r="B186" i="9"/>
  <c r="A186" i="9"/>
  <c r="C185" i="9"/>
  <c r="B185" i="9"/>
  <c r="A185" i="9"/>
  <c r="C184" i="9"/>
  <c r="B184" i="9"/>
  <c r="A184" i="9"/>
  <c r="C183" i="9"/>
  <c r="B183" i="9"/>
  <c r="A183" i="9"/>
  <c r="C182" i="9"/>
  <c r="B182" i="9"/>
  <c r="A182" i="9"/>
  <c r="C181" i="9"/>
  <c r="B181" i="9"/>
  <c r="A181" i="9"/>
  <c r="C180" i="9"/>
  <c r="B180" i="9"/>
  <c r="A180" i="9"/>
  <c r="C179" i="9"/>
  <c r="B179" i="9"/>
  <c r="A179" i="9"/>
  <c r="C178" i="9"/>
  <c r="B178" i="9"/>
  <c r="A178" i="9"/>
  <c r="C177" i="9"/>
  <c r="B177" i="9"/>
  <c r="A177" i="9"/>
  <c r="C176" i="9"/>
  <c r="B176" i="9"/>
  <c r="A176" i="9"/>
  <c r="C175" i="9"/>
  <c r="B175" i="9"/>
  <c r="A175" i="9"/>
  <c r="C174" i="9"/>
  <c r="B174" i="9"/>
  <c r="A174" i="9"/>
  <c r="C173" i="9"/>
  <c r="B173" i="9"/>
  <c r="A173" i="9"/>
  <c r="C172" i="9"/>
  <c r="B172" i="9"/>
  <c r="A172" i="9"/>
  <c r="C171" i="9"/>
  <c r="B171" i="9"/>
  <c r="A171" i="9"/>
  <c r="C170" i="9"/>
  <c r="B170" i="9"/>
  <c r="A170" i="9"/>
  <c r="C169" i="9"/>
  <c r="B169" i="9"/>
  <c r="A169" i="9"/>
  <c r="C168" i="9"/>
  <c r="B168" i="9"/>
  <c r="A168" i="9"/>
  <c r="C167" i="9"/>
  <c r="B167" i="9"/>
  <c r="A167" i="9"/>
  <c r="C166" i="9"/>
  <c r="B166" i="9"/>
  <c r="A166" i="9"/>
  <c r="C165" i="9"/>
  <c r="B165" i="9"/>
  <c r="A165" i="9"/>
  <c r="C164" i="9"/>
  <c r="B164" i="9"/>
  <c r="A164" i="9"/>
  <c r="C163" i="9"/>
  <c r="B163" i="9"/>
  <c r="A163" i="9"/>
  <c r="C162" i="9"/>
  <c r="B162" i="9"/>
  <c r="A162" i="9"/>
  <c r="C161" i="9"/>
  <c r="B161" i="9"/>
  <c r="A161" i="9"/>
  <c r="C160" i="9"/>
  <c r="B160" i="9"/>
  <c r="A160" i="9"/>
  <c r="C159" i="9"/>
  <c r="B159" i="9"/>
  <c r="A159" i="9"/>
  <c r="C158" i="9"/>
  <c r="B158" i="9"/>
  <c r="A158" i="9"/>
  <c r="C157" i="9"/>
  <c r="B157" i="9"/>
  <c r="A157" i="9"/>
  <c r="C156" i="9"/>
  <c r="B156" i="9"/>
  <c r="A156" i="9"/>
  <c r="C155" i="9"/>
  <c r="B155" i="9"/>
  <c r="A155" i="9"/>
  <c r="C154" i="9"/>
  <c r="B154" i="9"/>
  <c r="A154" i="9"/>
  <c r="C153" i="9"/>
  <c r="B153" i="9"/>
  <c r="A153" i="9"/>
  <c r="C152" i="9"/>
  <c r="B152" i="9"/>
  <c r="A152" i="9"/>
  <c r="C151" i="9"/>
  <c r="B151" i="9"/>
  <c r="A151" i="9"/>
  <c r="C150" i="9"/>
  <c r="B150" i="9"/>
  <c r="A150" i="9"/>
  <c r="C149" i="9"/>
  <c r="B149" i="9"/>
  <c r="A149" i="9"/>
  <c r="C148" i="9"/>
  <c r="B148" i="9"/>
  <c r="A148" i="9"/>
  <c r="C147" i="9"/>
  <c r="B147" i="9"/>
  <c r="A147" i="9"/>
  <c r="C146" i="9"/>
  <c r="B146" i="9"/>
  <c r="A146" i="9"/>
  <c r="C145" i="9"/>
  <c r="B145" i="9"/>
  <c r="A145" i="9"/>
  <c r="C144" i="9"/>
  <c r="B144" i="9"/>
  <c r="A144" i="9"/>
  <c r="C143" i="9"/>
  <c r="B143" i="9"/>
  <c r="A143" i="9"/>
  <c r="C142" i="9"/>
  <c r="B142" i="9"/>
  <c r="A142" i="9"/>
  <c r="C141" i="9"/>
  <c r="B141" i="9"/>
  <c r="A141" i="9"/>
  <c r="C140" i="9"/>
  <c r="B140" i="9"/>
  <c r="A140" i="9"/>
  <c r="C139" i="9"/>
  <c r="B139" i="9"/>
  <c r="A139" i="9"/>
  <c r="C138" i="9"/>
  <c r="B138" i="9"/>
  <c r="A138" i="9"/>
  <c r="C137" i="9"/>
  <c r="B137" i="9"/>
  <c r="A137" i="9"/>
  <c r="C136" i="9"/>
  <c r="B136" i="9"/>
  <c r="A136" i="9"/>
  <c r="C135" i="9"/>
  <c r="B135" i="9"/>
  <c r="A135" i="9"/>
  <c r="C134" i="9"/>
  <c r="B134" i="9"/>
  <c r="A134" i="9"/>
  <c r="C133" i="9"/>
  <c r="B133" i="9"/>
  <c r="A133" i="9"/>
  <c r="C132" i="9"/>
  <c r="B132" i="9"/>
  <c r="A132" i="9"/>
  <c r="C131" i="9"/>
  <c r="B131" i="9"/>
  <c r="A131" i="9"/>
  <c r="C130" i="9"/>
  <c r="B130" i="9"/>
  <c r="A130" i="9"/>
  <c r="C129" i="9"/>
  <c r="B129" i="9"/>
  <c r="A129" i="9"/>
  <c r="C128" i="9"/>
  <c r="B128" i="9"/>
  <c r="A128" i="9"/>
  <c r="C127" i="9"/>
  <c r="B127" i="9"/>
  <c r="A127" i="9"/>
  <c r="C126" i="9"/>
  <c r="B126" i="9"/>
  <c r="A126" i="9"/>
  <c r="C125" i="9"/>
  <c r="B125" i="9"/>
  <c r="A125" i="9"/>
  <c r="C124" i="9"/>
  <c r="B124" i="9"/>
  <c r="A124" i="9"/>
  <c r="C123" i="9"/>
  <c r="B123" i="9"/>
  <c r="A123" i="9"/>
  <c r="C122" i="9"/>
  <c r="B122" i="9"/>
  <c r="A122" i="9"/>
  <c r="C121" i="9"/>
  <c r="B121" i="9"/>
  <c r="A121" i="9"/>
  <c r="C120" i="9"/>
  <c r="B120" i="9"/>
  <c r="A120" i="9"/>
  <c r="C119" i="9"/>
  <c r="B119" i="9"/>
  <c r="A119" i="9"/>
  <c r="C118" i="9"/>
  <c r="B118" i="9"/>
  <c r="A118" i="9"/>
  <c r="C117" i="9"/>
  <c r="B117" i="9"/>
  <c r="A117" i="9"/>
  <c r="C116" i="9"/>
  <c r="B116" i="9"/>
  <c r="A116" i="9"/>
  <c r="C115" i="9"/>
  <c r="B115" i="9"/>
  <c r="A115" i="9"/>
  <c r="C114" i="9"/>
  <c r="B114" i="9"/>
  <c r="A114" i="9"/>
  <c r="C113" i="9"/>
  <c r="B113" i="9"/>
  <c r="A113" i="9"/>
  <c r="C112" i="9"/>
  <c r="B112" i="9"/>
  <c r="A112" i="9"/>
  <c r="C111" i="9"/>
  <c r="B111" i="9"/>
  <c r="A111" i="9"/>
  <c r="C110" i="9"/>
  <c r="B110" i="9"/>
  <c r="A110" i="9"/>
  <c r="C109" i="9"/>
  <c r="B109" i="9"/>
  <c r="A109" i="9"/>
  <c r="C108" i="9"/>
  <c r="B108" i="9"/>
  <c r="A108" i="9"/>
  <c r="C107" i="9"/>
  <c r="B107" i="9"/>
  <c r="A107" i="9"/>
  <c r="C106" i="9"/>
  <c r="B106" i="9"/>
  <c r="A106" i="9"/>
  <c r="C105" i="9"/>
  <c r="B105" i="9"/>
  <c r="A105" i="9"/>
  <c r="C104" i="9"/>
  <c r="B104" i="9"/>
  <c r="A104" i="9"/>
  <c r="C103" i="9"/>
  <c r="B103" i="9"/>
  <c r="A103" i="9"/>
  <c r="C102" i="9"/>
  <c r="B102" i="9"/>
  <c r="A102" i="9"/>
  <c r="C101" i="9"/>
  <c r="B101" i="9"/>
  <c r="A101" i="9"/>
  <c r="C100" i="9"/>
  <c r="B100" i="9"/>
  <c r="A100" i="9"/>
  <c r="C99" i="9"/>
  <c r="B99" i="9"/>
  <c r="A99" i="9"/>
  <c r="C98" i="9"/>
  <c r="B98" i="9"/>
  <c r="A98" i="9"/>
  <c r="C97" i="9"/>
  <c r="B97" i="9"/>
  <c r="A97" i="9"/>
  <c r="C96" i="9"/>
  <c r="B96" i="9"/>
  <c r="A96" i="9"/>
  <c r="C95" i="9"/>
  <c r="B95" i="9"/>
  <c r="A95" i="9"/>
  <c r="C94" i="9"/>
  <c r="B94" i="9"/>
  <c r="A94" i="9"/>
  <c r="C93" i="9"/>
  <c r="B93" i="9"/>
  <c r="A93" i="9"/>
  <c r="C92" i="9"/>
  <c r="B92" i="9"/>
  <c r="A92" i="9"/>
  <c r="C91" i="9"/>
  <c r="B91" i="9"/>
  <c r="A91" i="9"/>
  <c r="C90" i="9"/>
  <c r="B90" i="9"/>
  <c r="A90" i="9"/>
  <c r="C89" i="9"/>
  <c r="B89" i="9"/>
  <c r="A89" i="9"/>
  <c r="C88" i="9"/>
  <c r="B88" i="9"/>
  <c r="A88" i="9"/>
  <c r="C87" i="9"/>
  <c r="B87" i="9"/>
  <c r="A87" i="9"/>
  <c r="C86" i="9"/>
  <c r="B86" i="9"/>
  <c r="A86" i="9"/>
  <c r="C85" i="9"/>
  <c r="B85" i="9"/>
  <c r="A85" i="9"/>
  <c r="C84" i="9"/>
  <c r="B84" i="9"/>
  <c r="A84" i="9"/>
  <c r="C83" i="9"/>
  <c r="B83" i="9"/>
  <c r="A83" i="9"/>
  <c r="C82" i="9"/>
  <c r="B82" i="9"/>
  <c r="A82" i="9"/>
  <c r="C81" i="9"/>
  <c r="B81" i="9"/>
  <c r="A81" i="9"/>
  <c r="C80" i="9"/>
  <c r="B80" i="9"/>
  <c r="A80" i="9"/>
  <c r="C79" i="9"/>
  <c r="B79" i="9"/>
  <c r="A79" i="9"/>
  <c r="C78" i="9"/>
  <c r="B78" i="9"/>
  <c r="A78" i="9"/>
  <c r="C77" i="9"/>
  <c r="B77" i="9"/>
  <c r="A77" i="9"/>
  <c r="C76" i="9"/>
  <c r="B76" i="9"/>
  <c r="A76" i="9"/>
  <c r="C75" i="9"/>
  <c r="B75" i="9"/>
  <c r="A75" i="9"/>
  <c r="C74" i="9"/>
  <c r="B74" i="9"/>
  <c r="A74" i="9"/>
  <c r="C73" i="9"/>
  <c r="B73" i="9"/>
  <c r="A73" i="9"/>
  <c r="C72" i="9"/>
  <c r="B72" i="9"/>
  <c r="A72" i="9"/>
  <c r="C71" i="9"/>
  <c r="B71" i="9"/>
  <c r="A71" i="9"/>
  <c r="C70" i="9"/>
  <c r="B70" i="9"/>
  <c r="A70" i="9"/>
  <c r="C69" i="9"/>
  <c r="B69" i="9"/>
  <c r="A69" i="9"/>
  <c r="C68" i="9"/>
  <c r="B68" i="9"/>
  <c r="A68" i="9"/>
  <c r="C67" i="9"/>
  <c r="B67" i="9"/>
  <c r="A67" i="9"/>
  <c r="C66" i="9"/>
  <c r="B66" i="9"/>
  <c r="A66" i="9"/>
  <c r="C65" i="9"/>
  <c r="B65" i="9"/>
  <c r="A65" i="9"/>
  <c r="C64" i="9"/>
  <c r="B64" i="9"/>
  <c r="A64" i="9"/>
  <c r="C63" i="9"/>
  <c r="B63" i="9"/>
  <c r="A63" i="9"/>
  <c r="C62" i="9"/>
  <c r="B62" i="9"/>
  <c r="A62" i="9"/>
  <c r="C61" i="9"/>
  <c r="B61" i="9"/>
  <c r="A61" i="9"/>
  <c r="C60" i="9"/>
  <c r="B60" i="9"/>
  <c r="A60" i="9"/>
  <c r="C59" i="9"/>
  <c r="B59" i="9"/>
  <c r="A59" i="9"/>
  <c r="C58" i="9"/>
  <c r="B58" i="9"/>
  <c r="A58" i="9"/>
  <c r="C57" i="9"/>
  <c r="B57" i="9"/>
  <c r="A57" i="9"/>
  <c r="C56" i="9"/>
  <c r="B56" i="9"/>
  <c r="A56" i="9"/>
  <c r="C55" i="9"/>
  <c r="B55" i="9"/>
  <c r="A55" i="9"/>
  <c r="C54" i="9"/>
  <c r="B54" i="9"/>
  <c r="A54" i="9"/>
  <c r="C53" i="9"/>
  <c r="B53" i="9"/>
  <c r="A53" i="9"/>
  <c r="C52" i="9"/>
  <c r="B52" i="9"/>
  <c r="A52" i="9"/>
  <c r="C42" i="9"/>
  <c r="B42" i="9"/>
  <c r="A42" i="9"/>
  <c r="C41" i="9"/>
  <c r="B41" i="9"/>
  <c r="A41" i="9"/>
  <c r="C40" i="9"/>
  <c r="B40" i="9"/>
  <c r="A40" i="9"/>
  <c r="C39" i="9"/>
  <c r="B39" i="9"/>
  <c r="A39" i="9"/>
  <c r="C38" i="9"/>
  <c r="B38" i="9"/>
  <c r="A38" i="9"/>
  <c r="C37" i="9"/>
  <c r="B37" i="9"/>
  <c r="A37" i="9"/>
  <c r="C36" i="9"/>
  <c r="B36" i="9"/>
  <c r="A36" i="9"/>
  <c r="C35" i="9"/>
  <c r="B35" i="9"/>
  <c r="A35" i="9"/>
  <c r="C34" i="9"/>
  <c r="B34" i="9"/>
  <c r="A34" i="9"/>
  <c r="C33" i="9"/>
  <c r="B33" i="9"/>
  <c r="A33" i="9"/>
  <c r="C32" i="9"/>
  <c r="B32" i="9"/>
  <c r="A32" i="9"/>
  <c r="C31" i="9"/>
  <c r="B31" i="9"/>
  <c r="A31" i="9"/>
  <c r="C30" i="9"/>
  <c r="B30" i="9"/>
  <c r="A30" i="9"/>
  <c r="C29" i="9"/>
  <c r="B29" i="9"/>
  <c r="A29" i="9"/>
  <c r="C28" i="9"/>
  <c r="B28" i="9"/>
  <c r="A28" i="9"/>
  <c r="C27" i="9"/>
  <c r="B27" i="9"/>
  <c r="A27" i="9"/>
  <c r="C26" i="9"/>
  <c r="B26" i="9"/>
  <c r="A26" i="9"/>
  <c r="C25" i="9"/>
  <c r="B25" i="9"/>
  <c r="A25" i="9"/>
  <c r="C24" i="9"/>
  <c r="B24" i="9"/>
  <c r="A24" i="9"/>
  <c r="C23" i="9"/>
  <c r="B23" i="9"/>
  <c r="A23" i="9"/>
  <c r="C22" i="9"/>
  <c r="B22" i="9"/>
  <c r="A22" i="9"/>
  <c r="C21" i="9"/>
  <c r="B21" i="9"/>
  <c r="A21" i="9"/>
  <c r="C20" i="9"/>
  <c r="B20" i="9"/>
  <c r="A20" i="9"/>
  <c r="C19" i="9"/>
  <c r="B19" i="9"/>
  <c r="A19" i="9"/>
  <c r="C18" i="9"/>
  <c r="B18" i="9"/>
  <c r="A18" i="9"/>
  <c r="C17" i="9"/>
  <c r="B17" i="9"/>
  <c r="A17" i="9"/>
  <c r="C16" i="9"/>
  <c r="B16" i="9"/>
  <c r="A16" i="9"/>
  <c r="C15" i="9"/>
  <c r="B15" i="9"/>
  <c r="A15" i="9"/>
  <c r="C14" i="9"/>
  <c r="B14" i="9"/>
  <c r="A14" i="9"/>
  <c r="C13" i="9"/>
  <c r="B13" i="9"/>
  <c r="A13" i="9"/>
  <c r="C12" i="9"/>
  <c r="B12" i="9"/>
  <c r="A12" i="9"/>
  <c r="C11" i="9"/>
  <c r="B11" i="9"/>
  <c r="A11" i="9"/>
  <c r="C10" i="9"/>
  <c r="B10" i="9"/>
  <c r="A10" i="9"/>
  <c r="C9" i="9"/>
  <c r="B9" i="9"/>
  <c r="A9" i="9"/>
  <c r="B5" i="9"/>
  <c r="B4" i="9"/>
  <c r="B3" i="9"/>
  <c r="AI1005" i="7"/>
  <c r="AH1005" i="7"/>
  <c r="AG1005" i="7"/>
  <c r="AF1005" i="7"/>
  <c r="AC1005" i="7"/>
  <c r="AB1005" i="7"/>
  <c r="AA1005" i="7"/>
  <c r="Z1005" i="7"/>
  <c r="W1005" i="7"/>
  <c r="V1005" i="7"/>
  <c r="U1005" i="7"/>
  <c r="T1005" i="7"/>
  <c r="Q1005" i="7"/>
  <c r="P1005" i="7"/>
  <c r="O1005" i="7"/>
  <c r="N1005" i="7"/>
  <c r="K1005" i="7"/>
  <c r="J1005" i="7"/>
  <c r="I1005" i="7"/>
  <c r="H1005" i="7"/>
  <c r="E1005" i="7"/>
  <c r="D1005" i="7"/>
  <c r="C1005" i="7"/>
  <c r="B1005" i="7"/>
  <c r="AI1004" i="7"/>
  <c r="AH1004" i="7"/>
  <c r="AG1004" i="7"/>
  <c r="AF1004" i="7"/>
  <c r="AC1004" i="7"/>
  <c r="AB1004" i="7"/>
  <c r="AA1004" i="7"/>
  <c r="Z1004" i="7"/>
  <c r="W1004" i="7"/>
  <c r="V1004" i="7"/>
  <c r="U1004" i="7"/>
  <c r="T1004" i="7"/>
  <c r="Q1004" i="7"/>
  <c r="P1004" i="7"/>
  <c r="O1004" i="7"/>
  <c r="N1004" i="7"/>
  <c r="K1004" i="7"/>
  <c r="J1004" i="7"/>
  <c r="I1004" i="7"/>
  <c r="H1004" i="7"/>
  <c r="E1004" i="7"/>
  <c r="D1004" i="7"/>
  <c r="C1004" i="7"/>
  <c r="B1004" i="7"/>
  <c r="AI1003" i="7"/>
  <c r="AH1003" i="7"/>
  <c r="AG1003" i="7"/>
  <c r="AF1003" i="7"/>
  <c r="AC1003" i="7"/>
  <c r="AB1003" i="7"/>
  <c r="AA1003" i="7"/>
  <c r="Z1003" i="7"/>
  <c r="W1003" i="7"/>
  <c r="V1003" i="7"/>
  <c r="U1003" i="7"/>
  <c r="T1003" i="7"/>
  <c r="Q1003" i="7"/>
  <c r="P1003" i="7"/>
  <c r="O1003" i="7"/>
  <c r="N1003" i="7"/>
  <c r="K1003" i="7"/>
  <c r="J1003" i="7"/>
  <c r="I1003" i="7"/>
  <c r="H1003" i="7"/>
  <c r="E1003" i="7"/>
  <c r="D1003" i="7"/>
  <c r="C1003" i="7"/>
  <c r="B1003" i="7"/>
  <c r="AI1002" i="7"/>
  <c r="AH1002" i="7"/>
  <c r="AG1002" i="7"/>
  <c r="AF1002" i="7"/>
  <c r="AC1002" i="7"/>
  <c r="AB1002" i="7"/>
  <c r="AA1002" i="7"/>
  <c r="Z1002" i="7"/>
  <c r="W1002" i="7"/>
  <c r="V1002" i="7"/>
  <c r="U1002" i="7"/>
  <c r="T1002" i="7"/>
  <c r="Q1002" i="7"/>
  <c r="P1002" i="7"/>
  <c r="O1002" i="7"/>
  <c r="N1002" i="7"/>
  <c r="K1002" i="7"/>
  <c r="J1002" i="7"/>
  <c r="I1002" i="7"/>
  <c r="H1002" i="7"/>
  <c r="E1002" i="7"/>
  <c r="D1002" i="7"/>
  <c r="C1002" i="7"/>
  <c r="B1002" i="7"/>
  <c r="AI1001" i="7"/>
  <c r="AH1001" i="7"/>
  <c r="AG1001" i="7"/>
  <c r="AF1001" i="7"/>
  <c r="AC1001" i="7"/>
  <c r="AB1001" i="7"/>
  <c r="AA1001" i="7"/>
  <c r="Z1001" i="7"/>
  <c r="W1001" i="7"/>
  <c r="V1001" i="7"/>
  <c r="U1001" i="7"/>
  <c r="T1001" i="7"/>
  <c r="Q1001" i="7"/>
  <c r="P1001" i="7"/>
  <c r="O1001" i="7"/>
  <c r="N1001" i="7"/>
  <c r="K1001" i="7"/>
  <c r="J1001" i="7"/>
  <c r="I1001" i="7"/>
  <c r="H1001" i="7"/>
  <c r="E1001" i="7"/>
  <c r="D1001" i="7"/>
  <c r="C1001" i="7"/>
  <c r="B1001" i="7"/>
  <c r="AI1000" i="7"/>
  <c r="AH1000" i="7"/>
  <c r="AG1000" i="7"/>
  <c r="AF1000" i="7"/>
  <c r="AC1000" i="7"/>
  <c r="AB1000" i="7"/>
  <c r="AA1000" i="7"/>
  <c r="Z1000" i="7"/>
  <c r="W1000" i="7"/>
  <c r="V1000" i="7"/>
  <c r="U1000" i="7"/>
  <c r="T1000" i="7"/>
  <c r="Q1000" i="7"/>
  <c r="P1000" i="7"/>
  <c r="O1000" i="7"/>
  <c r="N1000" i="7"/>
  <c r="K1000" i="7"/>
  <c r="J1000" i="7"/>
  <c r="I1000" i="7"/>
  <c r="H1000" i="7"/>
  <c r="E1000" i="7"/>
  <c r="D1000" i="7"/>
  <c r="C1000" i="7"/>
  <c r="B1000" i="7"/>
  <c r="AI999" i="7"/>
  <c r="AH999" i="7"/>
  <c r="AG999" i="7"/>
  <c r="AF999" i="7"/>
  <c r="AC999" i="7"/>
  <c r="AB999" i="7"/>
  <c r="AA999" i="7"/>
  <c r="Z999" i="7"/>
  <c r="W999" i="7"/>
  <c r="V999" i="7"/>
  <c r="U999" i="7"/>
  <c r="T999" i="7"/>
  <c r="Q999" i="7"/>
  <c r="P999" i="7"/>
  <c r="O999" i="7"/>
  <c r="N999" i="7"/>
  <c r="K999" i="7"/>
  <c r="J999" i="7"/>
  <c r="I999" i="7"/>
  <c r="H999" i="7"/>
  <c r="E999" i="7"/>
  <c r="D999" i="7"/>
  <c r="C999" i="7"/>
  <c r="B999" i="7"/>
  <c r="AI998" i="7"/>
  <c r="AH998" i="7"/>
  <c r="AG998" i="7"/>
  <c r="AF998" i="7"/>
  <c r="AC998" i="7"/>
  <c r="AB998" i="7"/>
  <c r="AA998" i="7"/>
  <c r="Z998" i="7"/>
  <c r="W998" i="7"/>
  <c r="V998" i="7"/>
  <c r="U998" i="7"/>
  <c r="T998" i="7"/>
  <c r="Q998" i="7"/>
  <c r="P998" i="7"/>
  <c r="O998" i="7"/>
  <c r="N998" i="7"/>
  <c r="K998" i="7"/>
  <c r="J998" i="7"/>
  <c r="I998" i="7"/>
  <c r="H998" i="7"/>
  <c r="E998" i="7"/>
  <c r="D998" i="7"/>
  <c r="C998" i="7"/>
  <c r="B998" i="7"/>
  <c r="AI997" i="7"/>
  <c r="AH997" i="7"/>
  <c r="AG997" i="7"/>
  <c r="AF997" i="7"/>
  <c r="AC997" i="7"/>
  <c r="AB997" i="7"/>
  <c r="AA997" i="7"/>
  <c r="Z997" i="7"/>
  <c r="W997" i="7"/>
  <c r="V997" i="7"/>
  <c r="U997" i="7"/>
  <c r="T997" i="7"/>
  <c r="Q997" i="7"/>
  <c r="P997" i="7"/>
  <c r="O997" i="7"/>
  <c r="N997" i="7"/>
  <c r="K997" i="7"/>
  <c r="J997" i="7"/>
  <c r="I997" i="7"/>
  <c r="H997" i="7"/>
  <c r="E997" i="7"/>
  <c r="D997" i="7"/>
  <c r="C997" i="7"/>
  <c r="B997" i="7"/>
  <c r="AI996" i="7"/>
  <c r="AH996" i="7"/>
  <c r="AG996" i="7"/>
  <c r="AF996" i="7"/>
  <c r="AC996" i="7"/>
  <c r="AB996" i="7"/>
  <c r="AA996" i="7"/>
  <c r="Z996" i="7"/>
  <c r="W996" i="7"/>
  <c r="V996" i="7"/>
  <c r="U996" i="7"/>
  <c r="T996" i="7"/>
  <c r="Q996" i="7"/>
  <c r="P996" i="7"/>
  <c r="O996" i="7"/>
  <c r="N996" i="7"/>
  <c r="K996" i="7"/>
  <c r="J996" i="7"/>
  <c r="I996" i="7"/>
  <c r="H996" i="7"/>
  <c r="E996" i="7"/>
  <c r="D996" i="7"/>
  <c r="C996" i="7"/>
  <c r="B996" i="7"/>
  <c r="AI995" i="7"/>
  <c r="AH995" i="7"/>
  <c r="AG995" i="7"/>
  <c r="AF995" i="7"/>
  <c r="AC995" i="7"/>
  <c r="AB995" i="7"/>
  <c r="AA995" i="7"/>
  <c r="Z995" i="7"/>
  <c r="W995" i="7"/>
  <c r="V995" i="7"/>
  <c r="U995" i="7"/>
  <c r="T995" i="7"/>
  <c r="Q995" i="7"/>
  <c r="P995" i="7"/>
  <c r="O995" i="7"/>
  <c r="N995" i="7"/>
  <c r="K995" i="7"/>
  <c r="J995" i="7"/>
  <c r="I995" i="7"/>
  <c r="H995" i="7"/>
  <c r="E995" i="7"/>
  <c r="D995" i="7"/>
  <c r="C995" i="7"/>
  <c r="B995" i="7"/>
  <c r="AI994" i="7"/>
  <c r="AH994" i="7"/>
  <c r="AG994" i="7"/>
  <c r="AF994" i="7"/>
  <c r="AC994" i="7"/>
  <c r="AB994" i="7"/>
  <c r="AA994" i="7"/>
  <c r="Z994" i="7"/>
  <c r="W994" i="7"/>
  <c r="V994" i="7"/>
  <c r="U994" i="7"/>
  <c r="T994" i="7"/>
  <c r="Q994" i="7"/>
  <c r="P994" i="7"/>
  <c r="O994" i="7"/>
  <c r="N994" i="7"/>
  <c r="K994" i="7"/>
  <c r="J994" i="7"/>
  <c r="I994" i="7"/>
  <c r="H994" i="7"/>
  <c r="E994" i="7"/>
  <c r="D994" i="7"/>
  <c r="C994" i="7"/>
  <c r="B994" i="7"/>
  <c r="AI993" i="7"/>
  <c r="AH993" i="7"/>
  <c r="AG993" i="7"/>
  <c r="AF993" i="7"/>
  <c r="AC993" i="7"/>
  <c r="AB993" i="7"/>
  <c r="AA993" i="7"/>
  <c r="Z993" i="7"/>
  <c r="W993" i="7"/>
  <c r="V993" i="7"/>
  <c r="U993" i="7"/>
  <c r="T993" i="7"/>
  <c r="Q993" i="7"/>
  <c r="P993" i="7"/>
  <c r="O993" i="7"/>
  <c r="N993" i="7"/>
  <c r="K993" i="7"/>
  <c r="J993" i="7"/>
  <c r="I993" i="7"/>
  <c r="H993" i="7"/>
  <c r="E993" i="7"/>
  <c r="D993" i="7"/>
  <c r="C993" i="7"/>
  <c r="B993" i="7"/>
  <c r="AI992" i="7"/>
  <c r="AH992" i="7"/>
  <c r="AG992" i="7"/>
  <c r="AF992" i="7"/>
  <c r="AC992" i="7"/>
  <c r="AB992" i="7"/>
  <c r="AA992" i="7"/>
  <c r="Z992" i="7"/>
  <c r="W992" i="7"/>
  <c r="V992" i="7"/>
  <c r="U992" i="7"/>
  <c r="T992" i="7"/>
  <c r="Q992" i="7"/>
  <c r="P992" i="7"/>
  <c r="O992" i="7"/>
  <c r="N992" i="7"/>
  <c r="K992" i="7"/>
  <c r="J992" i="7"/>
  <c r="I992" i="7"/>
  <c r="H992" i="7"/>
  <c r="E992" i="7"/>
  <c r="D992" i="7"/>
  <c r="C992" i="7"/>
  <c r="B992" i="7"/>
  <c r="AI991" i="7"/>
  <c r="AH991" i="7"/>
  <c r="AG991" i="7"/>
  <c r="AF991" i="7"/>
  <c r="AC991" i="7"/>
  <c r="AB991" i="7"/>
  <c r="AA991" i="7"/>
  <c r="Z991" i="7"/>
  <c r="W991" i="7"/>
  <c r="V991" i="7"/>
  <c r="U991" i="7"/>
  <c r="T991" i="7"/>
  <c r="Q991" i="7"/>
  <c r="P991" i="7"/>
  <c r="O991" i="7"/>
  <c r="N991" i="7"/>
  <c r="K991" i="7"/>
  <c r="J991" i="7"/>
  <c r="I991" i="7"/>
  <c r="H991" i="7"/>
  <c r="E991" i="7"/>
  <c r="D991" i="7"/>
  <c r="C991" i="7"/>
  <c r="B991" i="7"/>
  <c r="AI990" i="7"/>
  <c r="AH990" i="7"/>
  <c r="AG990" i="7"/>
  <c r="AF990" i="7"/>
  <c r="AC990" i="7"/>
  <c r="AB990" i="7"/>
  <c r="AA990" i="7"/>
  <c r="Z990" i="7"/>
  <c r="W990" i="7"/>
  <c r="V990" i="7"/>
  <c r="U990" i="7"/>
  <c r="T990" i="7"/>
  <c r="Q990" i="7"/>
  <c r="P990" i="7"/>
  <c r="O990" i="7"/>
  <c r="N990" i="7"/>
  <c r="K990" i="7"/>
  <c r="J990" i="7"/>
  <c r="I990" i="7"/>
  <c r="H990" i="7"/>
  <c r="E990" i="7"/>
  <c r="D990" i="7"/>
  <c r="C990" i="7"/>
  <c r="B990" i="7"/>
  <c r="AI989" i="7"/>
  <c r="AH989" i="7"/>
  <c r="AG989" i="7"/>
  <c r="AF989" i="7"/>
  <c r="AC989" i="7"/>
  <c r="AB989" i="7"/>
  <c r="AA989" i="7"/>
  <c r="Z989" i="7"/>
  <c r="W989" i="7"/>
  <c r="V989" i="7"/>
  <c r="U989" i="7"/>
  <c r="T989" i="7"/>
  <c r="Q989" i="7"/>
  <c r="P989" i="7"/>
  <c r="O989" i="7"/>
  <c r="N989" i="7"/>
  <c r="K989" i="7"/>
  <c r="J989" i="7"/>
  <c r="I989" i="7"/>
  <c r="H989" i="7"/>
  <c r="E989" i="7"/>
  <c r="D989" i="7"/>
  <c r="C989" i="7"/>
  <c r="B989" i="7"/>
  <c r="AI988" i="7"/>
  <c r="AH988" i="7"/>
  <c r="AG988" i="7"/>
  <c r="AF988" i="7"/>
  <c r="AC988" i="7"/>
  <c r="AB988" i="7"/>
  <c r="AA988" i="7"/>
  <c r="Z988" i="7"/>
  <c r="W988" i="7"/>
  <c r="V988" i="7"/>
  <c r="U988" i="7"/>
  <c r="T988" i="7"/>
  <c r="Q988" i="7"/>
  <c r="P988" i="7"/>
  <c r="O988" i="7"/>
  <c r="N988" i="7"/>
  <c r="K988" i="7"/>
  <c r="J988" i="7"/>
  <c r="I988" i="7"/>
  <c r="H988" i="7"/>
  <c r="E988" i="7"/>
  <c r="D988" i="7"/>
  <c r="C988" i="7"/>
  <c r="B988" i="7"/>
  <c r="AI987" i="7"/>
  <c r="AH987" i="7"/>
  <c r="AG987" i="7"/>
  <c r="AF987" i="7"/>
  <c r="AC987" i="7"/>
  <c r="AB987" i="7"/>
  <c r="AA987" i="7"/>
  <c r="Z987" i="7"/>
  <c r="W987" i="7"/>
  <c r="V987" i="7"/>
  <c r="U987" i="7"/>
  <c r="T987" i="7"/>
  <c r="Q987" i="7"/>
  <c r="P987" i="7"/>
  <c r="O987" i="7"/>
  <c r="N987" i="7"/>
  <c r="K987" i="7"/>
  <c r="J987" i="7"/>
  <c r="I987" i="7"/>
  <c r="H987" i="7"/>
  <c r="E987" i="7"/>
  <c r="D987" i="7"/>
  <c r="C987" i="7"/>
  <c r="B987" i="7"/>
  <c r="AI986" i="7"/>
  <c r="AH986" i="7"/>
  <c r="AG986" i="7"/>
  <c r="AF986" i="7"/>
  <c r="AC986" i="7"/>
  <c r="AB986" i="7"/>
  <c r="AA986" i="7"/>
  <c r="Z986" i="7"/>
  <c r="W986" i="7"/>
  <c r="V986" i="7"/>
  <c r="U986" i="7"/>
  <c r="T986" i="7"/>
  <c r="Q986" i="7"/>
  <c r="P986" i="7"/>
  <c r="O986" i="7"/>
  <c r="N986" i="7"/>
  <c r="K986" i="7"/>
  <c r="J986" i="7"/>
  <c r="I986" i="7"/>
  <c r="H986" i="7"/>
  <c r="E986" i="7"/>
  <c r="D986" i="7"/>
  <c r="C986" i="7"/>
  <c r="B986" i="7"/>
  <c r="AI985" i="7"/>
  <c r="AH985" i="7"/>
  <c r="AG985" i="7"/>
  <c r="AF985" i="7"/>
  <c r="AC985" i="7"/>
  <c r="AB985" i="7"/>
  <c r="AA985" i="7"/>
  <c r="Z985" i="7"/>
  <c r="W985" i="7"/>
  <c r="V985" i="7"/>
  <c r="U985" i="7"/>
  <c r="T985" i="7"/>
  <c r="Q985" i="7"/>
  <c r="P985" i="7"/>
  <c r="O985" i="7"/>
  <c r="N985" i="7"/>
  <c r="K985" i="7"/>
  <c r="J985" i="7"/>
  <c r="I985" i="7"/>
  <c r="H985" i="7"/>
  <c r="E985" i="7"/>
  <c r="D985" i="7"/>
  <c r="C985" i="7"/>
  <c r="B985" i="7"/>
  <c r="AI984" i="7"/>
  <c r="AH984" i="7"/>
  <c r="AG984" i="7"/>
  <c r="AF984" i="7"/>
  <c r="AC984" i="7"/>
  <c r="AB984" i="7"/>
  <c r="AA984" i="7"/>
  <c r="Z984" i="7"/>
  <c r="W984" i="7"/>
  <c r="V984" i="7"/>
  <c r="U984" i="7"/>
  <c r="T984" i="7"/>
  <c r="Q984" i="7"/>
  <c r="P984" i="7"/>
  <c r="O984" i="7"/>
  <c r="N984" i="7"/>
  <c r="K984" i="7"/>
  <c r="J984" i="7"/>
  <c r="I984" i="7"/>
  <c r="H984" i="7"/>
  <c r="E984" i="7"/>
  <c r="D984" i="7"/>
  <c r="C984" i="7"/>
  <c r="B984" i="7"/>
  <c r="AI983" i="7"/>
  <c r="AH983" i="7"/>
  <c r="AG983" i="7"/>
  <c r="AF983" i="7"/>
  <c r="AC983" i="7"/>
  <c r="AB983" i="7"/>
  <c r="AA983" i="7"/>
  <c r="Z983" i="7"/>
  <c r="W983" i="7"/>
  <c r="V983" i="7"/>
  <c r="U983" i="7"/>
  <c r="T983" i="7"/>
  <c r="Q983" i="7"/>
  <c r="P983" i="7"/>
  <c r="O983" i="7"/>
  <c r="N983" i="7"/>
  <c r="K983" i="7"/>
  <c r="J983" i="7"/>
  <c r="I983" i="7"/>
  <c r="H983" i="7"/>
  <c r="E983" i="7"/>
  <c r="D983" i="7"/>
  <c r="C983" i="7"/>
  <c r="B983" i="7"/>
  <c r="AI982" i="7"/>
  <c r="AH982" i="7"/>
  <c r="AG982" i="7"/>
  <c r="AF982" i="7"/>
  <c r="AC982" i="7"/>
  <c r="AB982" i="7"/>
  <c r="AA982" i="7"/>
  <c r="Z982" i="7"/>
  <c r="W982" i="7"/>
  <c r="V982" i="7"/>
  <c r="U982" i="7"/>
  <c r="T982" i="7"/>
  <c r="Q982" i="7"/>
  <c r="P982" i="7"/>
  <c r="O982" i="7"/>
  <c r="N982" i="7"/>
  <c r="K982" i="7"/>
  <c r="J982" i="7"/>
  <c r="I982" i="7"/>
  <c r="H982" i="7"/>
  <c r="E982" i="7"/>
  <c r="D982" i="7"/>
  <c r="C982" i="7"/>
  <c r="B982" i="7"/>
  <c r="AI981" i="7"/>
  <c r="AH981" i="7"/>
  <c r="AG981" i="7"/>
  <c r="AF981" i="7"/>
  <c r="AC981" i="7"/>
  <c r="AB981" i="7"/>
  <c r="AA981" i="7"/>
  <c r="Z981" i="7"/>
  <c r="W981" i="7"/>
  <c r="V981" i="7"/>
  <c r="U981" i="7"/>
  <c r="T981" i="7"/>
  <c r="Q981" i="7"/>
  <c r="P981" i="7"/>
  <c r="O981" i="7"/>
  <c r="N981" i="7"/>
  <c r="K981" i="7"/>
  <c r="J981" i="7"/>
  <c r="I981" i="7"/>
  <c r="H981" i="7"/>
  <c r="E981" i="7"/>
  <c r="D981" i="7"/>
  <c r="C981" i="7"/>
  <c r="B981" i="7"/>
  <c r="AI980" i="7"/>
  <c r="AH980" i="7"/>
  <c r="AG980" i="7"/>
  <c r="AF980" i="7"/>
  <c r="AC980" i="7"/>
  <c r="AB980" i="7"/>
  <c r="AA980" i="7"/>
  <c r="Z980" i="7"/>
  <c r="W980" i="7"/>
  <c r="V980" i="7"/>
  <c r="U980" i="7"/>
  <c r="T980" i="7"/>
  <c r="Q980" i="7"/>
  <c r="P980" i="7"/>
  <c r="O980" i="7"/>
  <c r="N980" i="7"/>
  <c r="K980" i="7"/>
  <c r="J980" i="7"/>
  <c r="I980" i="7"/>
  <c r="H980" i="7"/>
  <c r="E980" i="7"/>
  <c r="D980" i="7"/>
  <c r="C980" i="7"/>
  <c r="B980" i="7"/>
  <c r="AI979" i="7"/>
  <c r="AH979" i="7"/>
  <c r="AG979" i="7"/>
  <c r="AF979" i="7"/>
  <c r="AC979" i="7"/>
  <c r="AB979" i="7"/>
  <c r="AA979" i="7"/>
  <c r="Z979" i="7"/>
  <c r="W979" i="7"/>
  <c r="V979" i="7"/>
  <c r="U979" i="7"/>
  <c r="T979" i="7"/>
  <c r="Q979" i="7"/>
  <c r="P979" i="7"/>
  <c r="O979" i="7"/>
  <c r="N979" i="7"/>
  <c r="K979" i="7"/>
  <c r="J979" i="7"/>
  <c r="I979" i="7"/>
  <c r="H979" i="7"/>
  <c r="E979" i="7"/>
  <c r="D979" i="7"/>
  <c r="C979" i="7"/>
  <c r="B979" i="7"/>
  <c r="AI978" i="7"/>
  <c r="AH978" i="7"/>
  <c r="AG978" i="7"/>
  <c r="AF978" i="7"/>
  <c r="AC978" i="7"/>
  <c r="AB978" i="7"/>
  <c r="AA978" i="7"/>
  <c r="Z978" i="7"/>
  <c r="W978" i="7"/>
  <c r="V978" i="7"/>
  <c r="U978" i="7"/>
  <c r="T978" i="7"/>
  <c r="Q978" i="7"/>
  <c r="P978" i="7"/>
  <c r="O978" i="7"/>
  <c r="N978" i="7"/>
  <c r="K978" i="7"/>
  <c r="J978" i="7"/>
  <c r="I978" i="7"/>
  <c r="H978" i="7"/>
  <c r="E978" i="7"/>
  <c r="D978" i="7"/>
  <c r="C978" i="7"/>
  <c r="B978" i="7"/>
  <c r="AI977" i="7"/>
  <c r="AH977" i="7"/>
  <c r="AG977" i="7"/>
  <c r="AF977" i="7"/>
  <c r="AC977" i="7"/>
  <c r="AB977" i="7"/>
  <c r="AA977" i="7"/>
  <c r="Z977" i="7"/>
  <c r="W977" i="7"/>
  <c r="V977" i="7"/>
  <c r="U977" i="7"/>
  <c r="T977" i="7"/>
  <c r="Q977" i="7"/>
  <c r="P977" i="7"/>
  <c r="O977" i="7"/>
  <c r="N977" i="7"/>
  <c r="K977" i="7"/>
  <c r="J977" i="7"/>
  <c r="I977" i="7"/>
  <c r="H977" i="7"/>
  <c r="E977" i="7"/>
  <c r="D977" i="7"/>
  <c r="C977" i="7"/>
  <c r="B977" i="7"/>
  <c r="AI976" i="7"/>
  <c r="AH976" i="7"/>
  <c r="AG976" i="7"/>
  <c r="AF976" i="7"/>
  <c r="AC976" i="7"/>
  <c r="AB976" i="7"/>
  <c r="AA976" i="7"/>
  <c r="Z976" i="7"/>
  <c r="W976" i="7"/>
  <c r="V976" i="7"/>
  <c r="U976" i="7"/>
  <c r="T976" i="7"/>
  <c r="Q976" i="7"/>
  <c r="P976" i="7"/>
  <c r="O976" i="7"/>
  <c r="N976" i="7"/>
  <c r="K976" i="7"/>
  <c r="J976" i="7"/>
  <c r="I976" i="7"/>
  <c r="H976" i="7"/>
  <c r="E976" i="7"/>
  <c r="D976" i="7"/>
  <c r="C976" i="7"/>
  <c r="B976" i="7"/>
  <c r="AI975" i="7"/>
  <c r="AH975" i="7"/>
  <c r="AG975" i="7"/>
  <c r="AF975" i="7"/>
  <c r="AC975" i="7"/>
  <c r="AB975" i="7"/>
  <c r="AA975" i="7"/>
  <c r="Z975" i="7"/>
  <c r="W975" i="7"/>
  <c r="V975" i="7"/>
  <c r="U975" i="7"/>
  <c r="T975" i="7"/>
  <c r="Q975" i="7"/>
  <c r="P975" i="7"/>
  <c r="O975" i="7"/>
  <c r="N975" i="7"/>
  <c r="K975" i="7"/>
  <c r="J975" i="7"/>
  <c r="I975" i="7"/>
  <c r="H975" i="7"/>
  <c r="E975" i="7"/>
  <c r="D975" i="7"/>
  <c r="C975" i="7"/>
  <c r="B975" i="7"/>
  <c r="AI974" i="7"/>
  <c r="AH974" i="7"/>
  <c r="AG974" i="7"/>
  <c r="AF974" i="7"/>
  <c r="AC974" i="7"/>
  <c r="AB974" i="7"/>
  <c r="AA974" i="7"/>
  <c r="Z974" i="7"/>
  <c r="W974" i="7"/>
  <c r="V974" i="7"/>
  <c r="U974" i="7"/>
  <c r="T974" i="7"/>
  <c r="Q974" i="7"/>
  <c r="P974" i="7"/>
  <c r="O974" i="7"/>
  <c r="N974" i="7"/>
  <c r="K974" i="7"/>
  <c r="J974" i="7"/>
  <c r="I974" i="7"/>
  <c r="H974" i="7"/>
  <c r="E974" i="7"/>
  <c r="D974" i="7"/>
  <c r="C974" i="7"/>
  <c r="B974" i="7"/>
  <c r="AI973" i="7"/>
  <c r="AH973" i="7"/>
  <c r="AG973" i="7"/>
  <c r="AF973" i="7"/>
  <c r="AC973" i="7"/>
  <c r="AB973" i="7"/>
  <c r="AA973" i="7"/>
  <c r="Z973" i="7"/>
  <c r="W973" i="7"/>
  <c r="V973" i="7"/>
  <c r="U973" i="7"/>
  <c r="T973" i="7"/>
  <c r="Q973" i="7"/>
  <c r="P973" i="7"/>
  <c r="O973" i="7"/>
  <c r="N973" i="7"/>
  <c r="K973" i="7"/>
  <c r="J973" i="7"/>
  <c r="I973" i="7"/>
  <c r="H973" i="7"/>
  <c r="E973" i="7"/>
  <c r="D973" i="7"/>
  <c r="C973" i="7"/>
  <c r="B973" i="7"/>
  <c r="AI972" i="7"/>
  <c r="AH972" i="7"/>
  <c r="AG972" i="7"/>
  <c r="AF972" i="7"/>
  <c r="AC972" i="7"/>
  <c r="AB972" i="7"/>
  <c r="AA972" i="7"/>
  <c r="Z972" i="7"/>
  <c r="W972" i="7"/>
  <c r="V972" i="7"/>
  <c r="U972" i="7"/>
  <c r="T972" i="7"/>
  <c r="Q972" i="7"/>
  <c r="P972" i="7"/>
  <c r="O972" i="7"/>
  <c r="N972" i="7"/>
  <c r="K972" i="7"/>
  <c r="J972" i="7"/>
  <c r="I972" i="7"/>
  <c r="H972" i="7"/>
  <c r="E972" i="7"/>
  <c r="D972" i="7"/>
  <c r="C972" i="7"/>
  <c r="B972" i="7"/>
  <c r="AI971" i="7"/>
  <c r="AH971" i="7"/>
  <c r="AG971" i="7"/>
  <c r="AF971" i="7"/>
  <c r="AC971" i="7"/>
  <c r="AB971" i="7"/>
  <c r="AA971" i="7"/>
  <c r="Z971" i="7"/>
  <c r="W971" i="7"/>
  <c r="V971" i="7"/>
  <c r="U971" i="7"/>
  <c r="T971" i="7"/>
  <c r="Q971" i="7"/>
  <c r="P971" i="7"/>
  <c r="O971" i="7"/>
  <c r="N971" i="7"/>
  <c r="K971" i="7"/>
  <c r="J971" i="7"/>
  <c r="I971" i="7"/>
  <c r="H971" i="7"/>
  <c r="E971" i="7"/>
  <c r="D971" i="7"/>
  <c r="C971" i="7"/>
  <c r="B971" i="7"/>
  <c r="AI970" i="7"/>
  <c r="AH970" i="7"/>
  <c r="AG970" i="7"/>
  <c r="AF970" i="7"/>
  <c r="AC970" i="7"/>
  <c r="AB970" i="7"/>
  <c r="AA970" i="7"/>
  <c r="Z970" i="7"/>
  <c r="W970" i="7"/>
  <c r="V970" i="7"/>
  <c r="U970" i="7"/>
  <c r="T970" i="7"/>
  <c r="Q970" i="7"/>
  <c r="P970" i="7"/>
  <c r="O970" i="7"/>
  <c r="N970" i="7"/>
  <c r="K970" i="7"/>
  <c r="J970" i="7"/>
  <c r="I970" i="7"/>
  <c r="H970" i="7"/>
  <c r="E970" i="7"/>
  <c r="D970" i="7"/>
  <c r="C970" i="7"/>
  <c r="B970" i="7"/>
  <c r="AI969" i="7"/>
  <c r="AH969" i="7"/>
  <c r="AG969" i="7"/>
  <c r="AF969" i="7"/>
  <c r="AC969" i="7"/>
  <c r="AB969" i="7"/>
  <c r="AA969" i="7"/>
  <c r="Z969" i="7"/>
  <c r="W969" i="7"/>
  <c r="V969" i="7"/>
  <c r="U969" i="7"/>
  <c r="T969" i="7"/>
  <c r="Q969" i="7"/>
  <c r="P969" i="7"/>
  <c r="O969" i="7"/>
  <c r="N969" i="7"/>
  <c r="K969" i="7"/>
  <c r="J969" i="7"/>
  <c r="I969" i="7"/>
  <c r="H969" i="7"/>
  <c r="E969" i="7"/>
  <c r="D969" i="7"/>
  <c r="C969" i="7"/>
  <c r="B969" i="7"/>
  <c r="AI968" i="7"/>
  <c r="AH968" i="7"/>
  <c r="AG968" i="7"/>
  <c r="AF968" i="7"/>
  <c r="AC968" i="7"/>
  <c r="AB968" i="7"/>
  <c r="AA968" i="7"/>
  <c r="Z968" i="7"/>
  <c r="W968" i="7"/>
  <c r="V968" i="7"/>
  <c r="U968" i="7"/>
  <c r="T968" i="7"/>
  <c r="Q968" i="7"/>
  <c r="P968" i="7"/>
  <c r="O968" i="7"/>
  <c r="N968" i="7"/>
  <c r="K968" i="7"/>
  <c r="J968" i="7"/>
  <c r="I968" i="7"/>
  <c r="H968" i="7"/>
  <c r="E968" i="7"/>
  <c r="D968" i="7"/>
  <c r="C968" i="7"/>
  <c r="B968" i="7"/>
  <c r="AI967" i="7"/>
  <c r="AH967" i="7"/>
  <c r="AG967" i="7"/>
  <c r="AF967" i="7"/>
  <c r="AC967" i="7"/>
  <c r="AB967" i="7"/>
  <c r="AA967" i="7"/>
  <c r="Z967" i="7"/>
  <c r="W967" i="7"/>
  <c r="V967" i="7"/>
  <c r="U967" i="7"/>
  <c r="T967" i="7"/>
  <c r="Q967" i="7"/>
  <c r="P967" i="7"/>
  <c r="O967" i="7"/>
  <c r="N967" i="7"/>
  <c r="K967" i="7"/>
  <c r="J967" i="7"/>
  <c r="I967" i="7"/>
  <c r="H967" i="7"/>
  <c r="E967" i="7"/>
  <c r="D967" i="7"/>
  <c r="C967" i="7"/>
  <c r="B967" i="7"/>
  <c r="AI966" i="7"/>
  <c r="AH966" i="7"/>
  <c r="AG966" i="7"/>
  <c r="AF966" i="7"/>
  <c r="AC966" i="7"/>
  <c r="AB966" i="7"/>
  <c r="AA966" i="7"/>
  <c r="Z966" i="7"/>
  <c r="W966" i="7"/>
  <c r="V966" i="7"/>
  <c r="U966" i="7"/>
  <c r="T966" i="7"/>
  <c r="Q966" i="7"/>
  <c r="P966" i="7"/>
  <c r="O966" i="7"/>
  <c r="N966" i="7"/>
  <c r="K966" i="7"/>
  <c r="J966" i="7"/>
  <c r="I966" i="7"/>
  <c r="H966" i="7"/>
  <c r="E966" i="7"/>
  <c r="D966" i="7"/>
  <c r="C966" i="7"/>
  <c r="B966" i="7"/>
  <c r="AI965" i="7"/>
  <c r="AH965" i="7"/>
  <c r="AG965" i="7"/>
  <c r="AF965" i="7"/>
  <c r="AC965" i="7"/>
  <c r="AB965" i="7"/>
  <c r="AA965" i="7"/>
  <c r="Z965" i="7"/>
  <c r="W965" i="7"/>
  <c r="V965" i="7"/>
  <c r="U965" i="7"/>
  <c r="T965" i="7"/>
  <c r="Q965" i="7"/>
  <c r="P965" i="7"/>
  <c r="O965" i="7"/>
  <c r="N965" i="7"/>
  <c r="K965" i="7"/>
  <c r="J965" i="7"/>
  <c r="I965" i="7"/>
  <c r="H965" i="7"/>
  <c r="E965" i="7"/>
  <c r="D965" i="7"/>
  <c r="C965" i="7"/>
  <c r="B965" i="7"/>
  <c r="AI964" i="7"/>
  <c r="AH964" i="7"/>
  <c r="AG964" i="7"/>
  <c r="AF964" i="7"/>
  <c r="AC964" i="7"/>
  <c r="AB964" i="7"/>
  <c r="AA964" i="7"/>
  <c r="Z964" i="7"/>
  <c r="W964" i="7"/>
  <c r="V964" i="7"/>
  <c r="U964" i="7"/>
  <c r="T964" i="7"/>
  <c r="Q964" i="7"/>
  <c r="P964" i="7"/>
  <c r="O964" i="7"/>
  <c r="N964" i="7"/>
  <c r="K964" i="7"/>
  <c r="J964" i="7"/>
  <c r="I964" i="7"/>
  <c r="H964" i="7"/>
  <c r="E964" i="7"/>
  <c r="D964" i="7"/>
  <c r="C964" i="7"/>
  <c r="B964" i="7"/>
  <c r="AI963" i="7"/>
  <c r="AH963" i="7"/>
  <c r="AG963" i="7"/>
  <c r="AF963" i="7"/>
  <c r="AC963" i="7"/>
  <c r="AB963" i="7"/>
  <c r="AA963" i="7"/>
  <c r="Z963" i="7"/>
  <c r="W963" i="7"/>
  <c r="V963" i="7"/>
  <c r="U963" i="7"/>
  <c r="T963" i="7"/>
  <c r="Q963" i="7"/>
  <c r="P963" i="7"/>
  <c r="O963" i="7"/>
  <c r="N963" i="7"/>
  <c r="K963" i="7"/>
  <c r="J963" i="7"/>
  <c r="I963" i="7"/>
  <c r="H963" i="7"/>
  <c r="E963" i="7"/>
  <c r="D963" i="7"/>
  <c r="C963" i="7"/>
  <c r="B963" i="7"/>
  <c r="AI962" i="7"/>
  <c r="AH962" i="7"/>
  <c r="AG962" i="7"/>
  <c r="AF962" i="7"/>
  <c r="AC962" i="7"/>
  <c r="AB962" i="7"/>
  <c r="AA962" i="7"/>
  <c r="Z962" i="7"/>
  <c r="W962" i="7"/>
  <c r="V962" i="7"/>
  <c r="U962" i="7"/>
  <c r="T962" i="7"/>
  <c r="Q962" i="7"/>
  <c r="P962" i="7"/>
  <c r="O962" i="7"/>
  <c r="N962" i="7"/>
  <c r="K962" i="7"/>
  <c r="J962" i="7"/>
  <c r="I962" i="7"/>
  <c r="H962" i="7"/>
  <c r="E962" i="7"/>
  <c r="D962" i="7"/>
  <c r="C962" i="7"/>
  <c r="B962" i="7"/>
  <c r="AI961" i="7"/>
  <c r="AH961" i="7"/>
  <c r="AG961" i="7"/>
  <c r="AF961" i="7"/>
  <c r="AC961" i="7"/>
  <c r="AB961" i="7"/>
  <c r="AA961" i="7"/>
  <c r="Z961" i="7"/>
  <c r="W961" i="7"/>
  <c r="V961" i="7"/>
  <c r="U961" i="7"/>
  <c r="T961" i="7"/>
  <c r="Q961" i="7"/>
  <c r="P961" i="7"/>
  <c r="O961" i="7"/>
  <c r="N961" i="7"/>
  <c r="K961" i="7"/>
  <c r="J961" i="7"/>
  <c r="I961" i="7"/>
  <c r="H961" i="7"/>
  <c r="E961" i="7"/>
  <c r="D961" i="7"/>
  <c r="C961" i="7"/>
  <c r="B961" i="7"/>
  <c r="AI960" i="7"/>
  <c r="AH960" i="7"/>
  <c r="AG960" i="7"/>
  <c r="AF960" i="7"/>
  <c r="AC960" i="7"/>
  <c r="AB960" i="7"/>
  <c r="AA960" i="7"/>
  <c r="Z960" i="7"/>
  <c r="W960" i="7"/>
  <c r="V960" i="7"/>
  <c r="U960" i="7"/>
  <c r="T960" i="7"/>
  <c r="Q960" i="7"/>
  <c r="P960" i="7"/>
  <c r="O960" i="7"/>
  <c r="N960" i="7"/>
  <c r="K960" i="7"/>
  <c r="J960" i="7"/>
  <c r="I960" i="7"/>
  <c r="H960" i="7"/>
  <c r="E960" i="7"/>
  <c r="D960" i="7"/>
  <c r="C960" i="7"/>
  <c r="B960" i="7"/>
  <c r="AI959" i="7"/>
  <c r="AH959" i="7"/>
  <c r="AG959" i="7"/>
  <c r="AF959" i="7"/>
  <c r="AC959" i="7"/>
  <c r="AB959" i="7"/>
  <c r="AA959" i="7"/>
  <c r="Z959" i="7"/>
  <c r="W959" i="7"/>
  <c r="V959" i="7"/>
  <c r="U959" i="7"/>
  <c r="T959" i="7"/>
  <c r="Q959" i="7"/>
  <c r="P959" i="7"/>
  <c r="O959" i="7"/>
  <c r="N959" i="7"/>
  <c r="K959" i="7"/>
  <c r="J959" i="7"/>
  <c r="I959" i="7"/>
  <c r="H959" i="7"/>
  <c r="E959" i="7"/>
  <c r="D959" i="7"/>
  <c r="C959" i="7"/>
  <c r="B959" i="7"/>
  <c r="AI958" i="7"/>
  <c r="AH958" i="7"/>
  <c r="AG958" i="7"/>
  <c r="AF958" i="7"/>
  <c r="AC958" i="7"/>
  <c r="AB958" i="7"/>
  <c r="AA958" i="7"/>
  <c r="Z958" i="7"/>
  <c r="W958" i="7"/>
  <c r="V958" i="7"/>
  <c r="U958" i="7"/>
  <c r="T958" i="7"/>
  <c r="Q958" i="7"/>
  <c r="P958" i="7"/>
  <c r="O958" i="7"/>
  <c r="N958" i="7"/>
  <c r="K958" i="7"/>
  <c r="J958" i="7"/>
  <c r="I958" i="7"/>
  <c r="H958" i="7"/>
  <c r="E958" i="7"/>
  <c r="D958" i="7"/>
  <c r="C958" i="7"/>
  <c r="B958" i="7"/>
  <c r="AI957" i="7"/>
  <c r="AH957" i="7"/>
  <c r="AG957" i="7"/>
  <c r="AF957" i="7"/>
  <c r="AC957" i="7"/>
  <c r="AB957" i="7"/>
  <c r="AA957" i="7"/>
  <c r="Z957" i="7"/>
  <c r="W957" i="7"/>
  <c r="V957" i="7"/>
  <c r="U957" i="7"/>
  <c r="T957" i="7"/>
  <c r="Q957" i="7"/>
  <c r="P957" i="7"/>
  <c r="O957" i="7"/>
  <c r="N957" i="7"/>
  <c r="K957" i="7"/>
  <c r="J957" i="7"/>
  <c r="I957" i="7"/>
  <c r="H957" i="7"/>
  <c r="E957" i="7"/>
  <c r="D957" i="7"/>
  <c r="C957" i="7"/>
  <c r="B957" i="7"/>
  <c r="AI956" i="7"/>
  <c r="AH956" i="7"/>
  <c r="AG956" i="7"/>
  <c r="AF956" i="7"/>
  <c r="AC956" i="7"/>
  <c r="AB956" i="7"/>
  <c r="AA956" i="7"/>
  <c r="Z956" i="7"/>
  <c r="W956" i="7"/>
  <c r="V956" i="7"/>
  <c r="U956" i="7"/>
  <c r="T956" i="7"/>
  <c r="Q956" i="7"/>
  <c r="P956" i="7"/>
  <c r="O956" i="7"/>
  <c r="N956" i="7"/>
  <c r="K956" i="7"/>
  <c r="J956" i="7"/>
  <c r="I956" i="7"/>
  <c r="H956" i="7"/>
  <c r="E956" i="7"/>
  <c r="D956" i="7"/>
  <c r="C956" i="7"/>
  <c r="B956" i="7"/>
  <c r="AI955" i="7"/>
  <c r="AH955" i="7"/>
  <c r="AG955" i="7"/>
  <c r="AF955" i="7"/>
  <c r="AC955" i="7"/>
  <c r="AB955" i="7"/>
  <c r="AA955" i="7"/>
  <c r="Z955" i="7"/>
  <c r="W955" i="7"/>
  <c r="V955" i="7"/>
  <c r="U955" i="7"/>
  <c r="T955" i="7"/>
  <c r="Q955" i="7"/>
  <c r="P955" i="7"/>
  <c r="O955" i="7"/>
  <c r="N955" i="7"/>
  <c r="K955" i="7"/>
  <c r="J955" i="7"/>
  <c r="I955" i="7"/>
  <c r="H955" i="7"/>
  <c r="E955" i="7"/>
  <c r="D955" i="7"/>
  <c r="C955" i="7"/>
  <c r="B955" i="7"/>
  <c r="AI954" i="7"/>
  <c r="AH954" i="7"/>
  <c r="AG954" i="7"/>
  <c r="AF954" i="7"/>
  <c r="AC954" i="7"/>
  <c r="AB954" i="7"/>
  <c r="AA954" i="7"/>
  <c r="Z954" i="7"/>
  <c r="W954" i="7"/>
  <c r="V954" i="7"/>
  <c r="U954" i="7"/>
  <c r="T954" i="7"/>
  <c r="Q954" i="7"/>
  <c r="P954" i="7"/>
  <c r="O954" i="7"/>
  <c r="N954" i="7"/>
  <c r="K954" i="7"/>
  <c r="J954" i="7"/>
  <c r="I954" i="7"/>
  <c r="H954" i="7"/>
  <c r="E954" i="7"/>
  <c r="D954" i="7"/>
  <c r="C954" i="7"/>
  <c r="B954" i="7"/>
  <c r="AI953" i="7"/>
  <c r="AH953" i="7"/>
  <c r="AG953" i="7"/>
  <c r="AF953" i="7"/>
  <c r="AC953" i="7"/>
  <c r="AB953" i="7"/>
  <c r="AA953" i="7"/>
  <c r="Z953" i="7"/>
  <c r="W953" i="7"/>
  <c r="V953" i="7"/>
  <c r="U953" i="7"/>
  <c r="T953" i="7"/>
  <c r="Q953" i="7"/>
  <c r="P953" i="7"/>
  <c r="O953" i="7"/>
  <c r="N953" i="7"/>
  <c r="K953" i="7"/>
  <c r="J953" i="7"/>
  <c r="I953" i="7"/>
  <c r="H953" i="7"/>
  <c r="E953" i="7"/>
  <c r="D953" i="7"/>
  <c r="C953" i="7"/>
  <c r="B953" i="7"/>
  <c r="AI952" i="7"/>
  <c r="AH952" i="7"/>
  <c r="AG952" i="7"/>
  <c r="AF952" i="7"/>
  <c r="AC952" i="7"/>
  <c r="AB952" i="7"/>
  <c r="AA952" i="7"/>
  <c r="Z952" i="7"/>
  <c r="W952" i="7"/>
  <c r="V952" i="7"/>
  <c r="U952" i="7"/>
  <c r="T952" i="7"/>
  <c r="Q952" i="7"/>
  <c r="P952" i="7"/>
  <c r="O952" i="7"/>
  <c r="N952" i="7"/>
  <c r="K952" i="7"/>
  <c r="J952" i="7"/>
  <c r="I952" i="7"/>
  <c r="H952" i="7"/>
  <c r="E952" i="7"/>
  <c r="D952" i="7"/>
  <c r="C952" i="7"/>
  <c r="B952" i="7"/>
  <c r="AI951" i="7"/>
  <c r="AH951" i="7"/>
  <c r="AG951" i="7"/>
  <c r="AF951" i="7"/>
  <c r="AC951" i="7"/>
  <c r="AB951" i="7"/>
  <c r="AA951" i="7"/>
  <c r="Z951" i="7"/>
  <c r="W951" i="7"/>
  <c r="V951" i="7"/>
  <c r="U951" i="7"/>
  <c r="T951" i="7"/>
  <c r="Q951" i="7"/>
  <c r="P951" i="7"/>
  <c r="O951" i="7"/>
  <c r="N951" i="7"/>
  <c r="K951" i="7"/>
  <c r="J951" i="7"/>
  <c r="I951" i="7"/>
  <c r="H951" i="7"/>
  <c r="E951" i="7"/>
  <c r="D951" i="7"/>
  <c r="C951" i="7"/>
  <c r="B951" i="7"/>
  <c r="AI950" i="7"/>
  <c r="AH950" i="7"/>
  <c r="AG950" i="7"/>
  <c r="AF950" i="7"/>
  <c r="AC950" i="7"/>
  <c r="AB950" i="7"/>
  <c r="AA950" i="7"/>
  <c r="Z950" i="7"/>
  <c r="W950" i="7"/>
  <c r="V950" i="7"/>
  <c r="U950" i="7"/>
  <c r="T950" i="7"/>
  <c r="Q950" i="7"/>
  <c r="P950" i="7"/>
  <c r="O950" i="7"/>
  <c r="N950" i="7"/>
  <c r="K950" i="7"/>
  <c r="J950" i="7"/>
  <c r="I950" i="7"/>
  <c r="H950" i="7"/>
  <c r="E950" i="7"/>
  <c r="D950" i="7"/>
  <c r="C950" i="7"/>
  <c r="B950" i="7"/>
  <c r="AI949" i="7"/>
  <c r="AH949" i="7"/>
  <c r="AG949" i="7"/>
  <c r="AF949" i="7"/>
  <c r="AC949" i="7"/>
  <c r="AB949" i="7"/>
  <c r="AA949" i="7"/>
  <c r="Z949" i="7"/>
  <c r="W949" i="7"/>
  <c r="V949" i="7"/>
  <c r="U949" i="7"/>
  <c r="T949" i="7"/>
  <c r="Q949" i="7"/>
  <c r="P949" i="7"/>
  <c r="O949" i="7"/>
  <c r="N949" i="7"/>
  <c r="K949" i="7"/>
  <c r="J949" i="7"/>
  <c r="I949" i="7"/>
  <c r="H949" i="7"/>
  <c r="E949" i="7"/>
  <c r="D949" i="7"/>
  <c r="C949" i="7"/>
  <c r="B949" i="7"/>
  <c r="AI948" i="7"/>
  <c r="AH948" i="7"/>
  <c r="AG948" i="7"/>
  <c r="AF948" i="7"/>
  <c r="AC948" i="7"/>
  <c r="AB948" i="7"/>
  <c r="AA948" i="7"/>
  <c r="Z948" i="7"/>
  <c r="W948" i="7"/>
  <c r="V948" i="7"/>
  <c r="U948" i="7"/>
  <c r="T948" i="7"/>
  <c r="Q948" i="7"/>
  <c r="P948" i="7"/>
  <c r="O948" i="7"/>
  <c r="N948" i="7"/>
  <c r="K948" i="7"/>
  <c r="J948" i="7"/>
  <c r="I948" i="7"/>
  <c r="H948" i="7"/>
  <c r="E948" i="7"/>
  <c r="D948" i="7"/>
  <c r="C948" i="7"/>
  <c r="B948" i="7"/>
  <c r="AI947" i="7"/>
  <c r="AH947" i="7"/>
  <c r="AG947" i="7"/>
  <c r="AF947" i="7"/>
  <c r="AC947" i="7"/>
  <c r="AB947" i="7"/>
  <c r="AA947" i="7"/>
  <c r="Z947" i="7"/>
  <c r="W947" i="7"/>
  <c r="V947" i="7"/>
  <c r="U947" i="7"/>
  <c r="T947" i="7"/>
  <c r="Q947" i="7"/>
  <c r="P947" i="7"/>
  <c r="O947" i="7"/>
  <c r="N947" i="7"/>
  <c r="K947" i="7"/>
  <c r="J947" i="7"/>
  <c r="I947" i="7"/>
  <c r="H947" i="7"/>
  <c r="E947" i="7"/>
  <c r="D947" i="7"/>
  <c r="C947" i="7"/>
  <c r="B947" i="7"/>
  <c r="AI946" i="7"/>
  <c r="AH946" i="7"/>
  <c r="AG946" i="7"/>
  <c r="AF946" i="7"/>
  <c r="AC946" i="7"/>
  <c r="AB946" i="7"/>
  <c r="AA946" i="7"/>
  <c r="Z946" i="7"/>
  <c r="W946" i="7"/>
  <c r="V946" i="7"/>
  <c r="U946" i="7"/>
  <c r="T946" i="7"/>
  <c r="Q946" i="7"/>
  <c r="P946" i="7"/>
  <c r="O946" i="7"/>
  <c r="N946" i="7"/>
  <c r="K946" i="7"/>
  <c r="J946" i="7"/>
  <c r="I946" i="7"/>
  <c r="H946" i="7"/>
  <c r="E946" i="7"/>
  <c r="D946" i="7"/>
  <c r="C946" i="7"/>
  <c r="B946" i="7"/>
  <c r="AI945" i="7"/>
  <c r="AH945" i="7"/>
  <c r="AG945" i="7"/>
  <c r="AF945" i="7"/>
  <c r="AC945" i="7"/>
  <c r="AB945" i="7"/>
  <c r="AA945" i="7"/>
  <c r="Z945" i="7"/>
  <c r="W945" i="7"/>
  <c r="V945" i="7"/>
  <c r="U945" i="7"/>
  <c r="T945" i="7"/>
  <c r="Q945" i="7"/>
  <c r="P945" i="7"/>
  <c r="O945" i="7"/>
  <c r="N945" i="7"/>
  <c r="K945" i="7"/>
  <c r="J945" i="7"/>
  <c r="I945" i="7"/>
  <c r="H945" i="7"/>
  <c r="E945" i="7"/>
  <c r="D945" i="7"/>
  <c r="C945" i="7"/>
  <c r="B945" i="7"/>
  <c r="AI944" i="7"/>
  <c r="AH944" i="7"/>
  <c r="AG944" i="7"/>
  <c r="AF944" i="7"/>
  <c r="AC944" i="7"/>
  <c r="AB944" i="7"/>
  <c r="AA944" i="7"/>
  <c r="Z944" i="7"/>
  <c r="W944" i="7"/>
  <c r="V944" i="7"/>
  <c r="U944" i="7"/>
  <c r="T944" i="7"/>
  <c r="Q944" i="7"/>
  <c r="P944" i="7"/>
  <c r="O944" i="7"/>
  <c r="N944" i="7"/>
  <c r="K944" i="7"/>
  <c r="J944" i="7"/>
  <c r="I944" i="7"/>
  <c r="H944" i="7"/>
  <c r="E944" i="7"/>
  <c r="D944" i="7"/>
  <c r="C944" i="7"/>
  <c r="B944" i="7"/>
  <c r="AI943" i="7"/>
  <c r="AH943" i="7"/>
  <c r="AG943" i="7"/>
  <c r="AF943" i="7"/>
  <c r="AC943" i="7"/>
  <c r="AB943" i="7"/>
  <c r="AA943" i="7"/>
  <c r="Z943" i="7"/>
  <c r="W943" i="7"/>
  <c r="V943" i="7"/>
  <c r="U943" i="7"/>
  <c r="T943" i="7"/>
  <c r="Q943" i="7"/>
  <c r="P943" i="7"/>
  <c r="O943" i="7"/>
  <c r="N943" i="7"/>
  <c r="K943" i="7"/>
  <c r="J943" i="7"/>
  <c r="I943" i="7"/>
  <c r="H943" i="7"/>
  <c r="E943" i="7"/>
  <c r="D943" i="7"/>
  <c r="C943" i="7"/>
  <c r="B943" i="7"/>
  <c r="AI942" i="7"/>
  <c r="AH942" i="7"/>
  <c r="AG942" i="7"/>
  <c r="AF942" i="7"/>
  <c r="AC942" i="7"/>
  <c r="AB942" i="7"/>
  <c r="AA942" i="7"/>
  <c r="Z942" i="7"/>
  <c r="W942" i="7"/>
  <c r="V942" i="7"/>
  <c r="U942" i="7"/>
  <c r="T942" i="7"/>
  <c r="Q942" i="7"/>
  <c r="P942" i="7"/>
  <c r="O942" i="7"/>
  <c r="N942" i="7"/>
  <c r="K942" i="7"/>
  <c r="J942" i="7"/>
  <c r="I942" i="7"/>
  <c r="H942" i="7"/>
  <c r="E942" i="7"/>
  <c r="D942" i="7"/>
  <c r="C942" i="7"/>
  <c r="B942" i="7"/>
  <c r="AI941" i="7"/>
  <c r="AH941" i="7"/>
  <c r="AG941" i="7"/>
  <c r="AF941" i="7"/>
  <c r="AC941" i="7"/>
  <c r="AB941" i="7"/>
  <c r="AA941" i="7"/>
  <c r="Z941" i="7"/>
  <c r="W941" i="7"/>
  <c r="V941" i="7"/>
  <c r="U941" i="7"/>
  <c r="T941" i="7"/>
  <c r="Q941" i="7"/>
  <c r="P941" i="7"/>
  <c r="O941" i="7"/>
  <c r="N941" i="7"/>
  <c r="K941" i="7"/>
  <c r="J941" i="7"/>
  <c r="I941" i="7"/>
  <c r="H941" i="7"/>
  <c r="E941" i="7"/>
  <c r="D941" i="7"/>
  <c r="C941" i="7"/>
  <c r="B941" i="7"/>
  <c r="AI940" i="7"/>
  <c r="AH940" i="7"/>
  <c r="AG940" i="7"/>
  <c r="AF940" i="7"/>
  <c r="AC940" i="7"/>
  <c r="AB940" i="7"/>
  <c r="AA940" i="7"/>
  <c r="Z940" i="7"/>
  <c r="W940" i="7"/>
  <c r="V940" i="7"/>
  <c r="U940" i="7"/>
  <c r="T940" i="7"/>
  <c r="Q940" i="7"/>
  <c r="P940" i="7"/>
  <c r="O940" i="7"/>
  <c r="N940" i="7"/>
  <c r="K940" i="7"/>
  <c r="J940" i="7"/>
  <c r="I940" i="7"/>
  <c r="H940" i="7"/>
  <c r="E940" i="7"/>
  <c r="D940" i="7"/>
  <c r="C940" i="7"/>
  <c r="B940" i="7"/>
  <c r="AI939" i="7"/>
  <c r="AH939" i="7"/>
  <c r="AG939" i="7"/>
  <c r="AF939" i="7"/>
  <c r="AC939" i="7"/>
  <c r="AB939" i="7"/>
  <c r="AA939" i="7"/>
  <c r="Z939" i="7"/>
  <c r="W939" i="7"/>
  <c r="V939" i="7"/>
  <c r="U939" i="7"/>
  <c r="T939" i="7"/>
  <c r="Q939" i="7"/>
  <c r="P939" i="7"/>
  <c r="O939" i="7"/>
  <c r="N939" i="7"/>
  <c r="K939" i="7"/>
  <c r="J939" i="7"/>
  <c r="I939" i="7"/>
  <c r="H939" i="7"/>
  <c r="E939" i="7"/>
  <c r="D939" i="7"/>
  <c r="C939" i="7"/>
  <c r="B939" i="7"/>
  <c r="AI938" i="7"/>
  <c r="AH938" i="7"/>
  <c r="AG938" i="7"/>
  <c r="AF938" i="7"/>
  <c r="AC938" i="7"/>
  <c r="AB938" i="7"/>
  <c r="AA938" i="7"/>
  <c r="Z938" i="7"/>
  <c r="W938" i="7"/>
  <c r="V938" i="7"/>
  <c r="U938" i="7"/>
  <c r="T938" i="7"/>
  <c r="Q938" i="7"/>
  <c r="P938" i="7"/>
  <c r="O938" i="7"/>
  <c r="N938" i="7"/>
  <c r="K938" i="7"/>
  <c r="J938" i="7"/>
  <c r="I938" i="7"/>
  <c r="H938" i="7"/>
  <c r="E938" i="7"/>
  <c r="D938" i="7"/>
  <c r="C938" i="7"/>
  <c r="B938" i="7"/>
  <c r="AI937" i="7"/>
  <c r="AH937" i="7"/>
  <c r="AG937" i="7"/>
  <c r="AF937" i="7"/>
  <c r="AC937" i="7"/>
  <c r="AB937" i="7"/>
  <c r="AA937" i="7"/>
  <c r="Z937" i="7"/>
  <c r="W937" i="7"/>
  <c r="V937" i="7"/>
  <c r="U937" i="7"/>
  <c r="T937" i="7"/>
  <c r="Q937" i="7"/>
  <c r="P937" i="7"/>
  <c r="O937" i="7"/>
  <c r="N937" i="7"/>
  <c r="K937" i="7"/>
  <c r="J937" i="7"/>
  <c r="I937" i="7"/>
  <c r="H937" i="7"/>
  <c r="E937" i="7"/>
  <c r="D937" i="7"/>
  <c r="C937" i="7"/>
  <c r="B937" i="7"/>
  <c r="AI936" i="7"/>
  <c r="AH936" i="7"/>
  <c r="AG936" i="7"/>
  <c r="AF936" i="7"/>
  <c r="AC936" i="7"/>
  <c r="AB936" i="7"/>
  <c r="AA936" i="7"/>
  <c r="Z936" i="7"/>
  <c r="W936" i="7"/>
  <c r="V936" i="7"/>
  <c r="U936" i="7"/>
  <c r="T936" i="7"/>
  <c r="Q936" i="7"/>
  <c r="P936" i="7"/>
  <c r="O936" i="7"/>
  <c r="N936" i="7"/>
  <c r="K936" i="7"/>
  <c r="J936" i="7"/>
  <c r="I936" i="7"/>
  <c r="H936" i="7"/>
  <c r="E936" i="7"/>
  <c r="D936" i="7"/>
  <c r="C936" i="7"/>
  <c r="B936" i="7"/>
  <c r="AI935" i="7"/>
  <c r="AH935" i="7"/>
  <c r="AG935" i="7"/>
  <c r="AF935" i="7"/>
  <c r="AC935" i="7"/>
  <c r="AB935" i="7"/>
  <c r="AA935" i="7"/>
  <c r="Z935" i="7"/>
  <c r="W935" i="7"/>
  <c r="V935" i="7"/>
  <c r="U935" i="7"/>
  <c r="T935" i="7"/>
  <c r="Q935" i="7"/>
  <c r="P935" i="7"/>
  <c r="O935" i="7"/>
  <c r="N935" i="7"/>
  <c r="K935" i="7"/>
  <c r="J935" i="7"/>
  <c r="I935" i="7"/>
  <c r="H935" i="7"/>
  <c r="E935" i="7"/>
  <c r="D935" i="7"/>
  <c r="C935" i="7"/>
  <c r="B935" i="7"/>
  <c r="AI934" i="7"/>
  <c r="AH934" i="7"/>
  <c r="AG934" i="7"/>
  <c r="AF934" i="7"/>
  <c r="AC934" i="7"/>
  <c r="AB934" i="7"/>
  <c r="AA934" i="7"/>
  <c r="Z934" i="7"/>
  <c r="W934" i="7"/>
  <c r="V934" i="7"/>
  <c r="U934" i="7"/>
  <c r="T934" i="7"/>
  <c r="Q934" i="7"/>
  <c r="P934" i="7"/>
  <c r="O934" i="7"/>
  <c r="N934" i="7"/>
  <c r="K934" i="7"/>
  <c r="J934" i="7"/>
  <c r="I934" i="7"/>
  <c r="H934" i="7"/>
  <c r="E934" i="7"/>
  <c r="D934" i="7"/>
  <c r="C934" i="7"/>
  <c r="B934" i="7"/>
  <c r="AI933" i="7"/>
  <c r="AH933" i="7"/>
  <c r="AG933" i="7"/>
  <c r="AF933" i="7"/>
  <c r="AC933" i="7"/>
  <c r="AB933" i="7"/>
  <c r="AA933" i="7"/>
  <c r="Z933" i="7"/>
  <c r="W933" i="7"/>
  <c r="V933" i="7"/>
  <c r="U933" i="7"/>
  <c r="T933" i="7"/>
  <c r="Q933" i="7"/>
  <c r="P933" i="7"/>
  <c r="O933" i="7"/>
  <c r="N933" i="7"/>
  <c r="K933" i="7"/>
  <c r="J933" i="7"/>
  <c r="I933" i="7"/>
  <c r="H933" i="7"/>
  <c r="E933" i="7"/>
  <c r="D933" i="7"/>
  <c r="C933" i="7"/>
  <c r="B933" i="7"/>
  <c r="AI932" i="7"/>
  <c r="AH932" i="7"/>
  <c r="AG932" i="7"/>
  <c r="AF932" i="7"/>
  <c r="AC932" i="7"/>
  <c r="AB932" i="7"/>
  <c r="AA932" i="7"/>
  <c r="Z932" i="7"/>
  <c r="W932" i="7"/>
  <c r="V932" i="7"/>
  <c r="U932" i="7"/>
  <c r="T932" i="7"/>
  <c r="Q932" i="7"/>
  <c r="P932" i="7"/>
  <c r="O932" i="7"/>
  <c r="N932" i="7"/>
  <c r="K932" i="7"/>
  <c r="J932" i="7"/>
  <c r="I932" i="7"/>
  <c r="H932" i="7"/>
  <c r="E932" i="7"/>
  <c r="D932" i="7"/>
  <c r="C932" i="7"/>
  <c r="B932" i="7"/>
  <c r="AI931" i="7"/>
  <c r="AH931" i="7"/>
  <c r="AG931" i="7"/>
  <c r="AF931" i="7"/>
  <c r="AC931" i="7"/>
  <c r="AB931" i="7"/>
  <c r="AA931" i="7"/>
  <c r="Z931" i="7"/>
  <c r="W931" i="7"/>
  <c r="V931" i="7"/>
  <c r="U931" i="7"/>
  <c r="T931" i="7"/>
  <c r="Q931" i="7"/>
  <c r="P931" i="7"/>
  <c r="O931" i="7"/>
  <c r="N931" i="7"/>
  <c r="K931" i="7"/>
  <c r="J931" i="7"/>
  <c r="I931" i="7"/>
  <c r="H931" i="7"/>
  <c r="E931" i="7"/>
  <c r="D931" i="7"/>
  <c r="C931" i="7"/>
  <c r="B931" i="7"/>
  <c r="AI930" i="7"/>
  <c r="AH930" i="7"/>
  <c r="AG930" i="7"/>
  <c r="AF930" i="7"/>
  <c r="AC930" i="7"/>
  <c r="AB930" i="7"/>
  <c r="AA930" i="7"/>
  <c r="Z930" i="7"/>
  <c r="W930" i="7"/>
  <c r="V930" i="7"/>
  <c r="U930" i="7"/>
  <c r="T930" i="7"/>
  <c r="Q930" i="7"/>
  <c r="P930" i="7"/>
  <c r="O930" i="7"/>
  <c r="N930" i="7"/>
  <c r="K930" i="7"/>
  <c r="J930" i="7"/>
  <c r="I930" i="7"/>
  <c r="H930" i="7"/>
  <c r="E930" i="7"/>
  <c r="D930" i="7"/>
  <c r="C930" i="7"/>
  <c r="B930" i="7"/>
  <c r="AI929" i="7"/>
  <c r="AH929" i="7"/>
  <c r="AG929" i="7"/>
  <c r="AF929" i="7"/>
  <c r="AC929" i="7"/>
  <c r="AB929" i="7"/>
  <c r="AA929" i="7"/>
  <c r="Z929" i="7"/>
  <c r="W929" i="7"/>
  <c r="V929" i="7"/>
  <c r="U929" i="7"/>
  <c r="T929" i="7"/>
  <c r="Q929" i="7"/>
  <c r="P929" i="7"/>
  <c r="O929" i="7"/>
  <c r="N929" i="7"/>
  <c r="K929" i="7"/>
  <c r="J929" i="7"/>
  <c r="I929" i="7"/>
  <c r="H929" i="7"/>
  <c r="E929" i="7"/>
  <c r="D929" i="7"/>
  <c r="C929" i="7"/>
  <c r="B929" i="7"/>
  <c r="AI928" i="7"/>
  <c r="AH928" i="7"/>
  <c r="AG928" i="7"/>
  <c r="AF928" i="7"/>
  <c r="AC928" i="7"/>
  <c r="AB928" i="7"/>
  <c r="AA928" i="7"/>
  <c r="Z928" i="7"/>
  <c r="W928" i="7"/>
  <c r="V928" i="7"/>
  <c r="U928" i="7"/>
  <c r="T928" i="7"/>
  <c r="Q928" i="7"/>
  <c r="P928" i="7"/>
  <c r="O928" i="7"/>
  <c r="N928" i="7"/>
  <c r="K928" i="7"/>
  <c r="J928" i="7"/>
  <c r="I928" i="7"/>
  <c r="H928" i="7"/>
  <c r="E928" i="7"/>
  <c r="D928" i="7"/>
  <c r="C928" i="7"/>
  <c r="B928" i="7"/>
  <c r="AI927" i="7"/>
  <c r="AH927" i="7"/>
  <c r="AG927" i="7"/>
  <c r="AF927" i="7"/>
  <c r="AC927" i="7"/>
  <c r="AB927" i="7"/>
  <c r="AA927" i="7"/>
  <c r="Z927" i="7"/>
  <c r="W927" i="7"/>
  <c r="V927" i="7"/>
  <c r="U927" i="7"/>
  <c r="T927" i="7"/>
  <c r="Q927" i="7"/>
  <c r="P927" i="7"/>
  <c r="O927" i="7"/>
  <c r="N927" i="7"/>
  <c r="K927" i="7"/>
  <c r="J927" i="7"/>
  <c r="I927" i="7"/>
  <c r="H927" i="7"/>
  <c r="E927" i="7"/>
  <c r="D927" i="7"/>
  <c r="C927" i="7"/>
  <c r="B927" i="7"/>
  <c r="AI926" i="7"/>
  <c r="AH926" i="7"/>
  <c r="AG926" i="7"/>
  <c r="AF926" i="7"/>
  <c r="AC926" i="7"/>
  <c r="AB926" i="7"/>
  <c r="AA926" i="7"/>
  <c r="Z926" i="7"/>
  <c r="W926" i="7"/>
  <c r="V926" i="7"/>
  <c r="U926" i="7"/>
  <c r="T926" i="7"/>
  <c r="Q926" i="7"/>
  <c r="P926" i="7"/>
  <c r="O926" i="7"/>
  <c r="N926" i="7"/>
  <c r="K926" i="7"/>
  <c r="J926" i="7"/>
  <c r="I926" i="7"/>
  <c r="H926" i="7"/>
  <c r="E926" i="7"/>
  <c r="D926" i="7"/>
  <c r="C926" i="7"/>
  <c r="B926" i="7"/>
  <c r="AI925" i="7"/>
  <c r="AH925" i="7"/>
  <c r="AG925" i="7"/>
  <c r="AF925" i="7"/>
  <c r="AC925" i="7"/>
  <c r="AB925" i="7"/>
  <c r="AA925" i="7"/>
  <c r="Z925" i="7"/>
  <c r="W925" i="7"/>
  <c r="V925" i="7"/>
  <c r="U925" i="7"/>
  <c r="T925" i="7"/>
  <c r="Q925" i="7"/>
  <c r="P925" i="7"/>
  <c r="O925" i="7"/>
  <c r="N925" i="7"/>
  <c r="K925" i="7"/>
  <c r="J925" i="7"/>
  <c r="I925" i="7"/>
  <c r="H925" i="7"/>
  <c r="E925" i="7"/>
  <c r="D925" i="7"/>
  <c r="C925" i="7"/>
  <c r="B925" i="7"/>
  <c r="AI924" i="7"/>
  <c r="AH924" i="7"/>
  <c r="AG924" i="7"/>
  <c r="AF924" i="7"/>
  <c r="AC924" i="7"/>
  <c r="AB924" i="7"/>
  <c r="AA924" i="7"/>
  <c r="Z924" i="7"/>
  <c r="W924" i="7"/>
  <c r="V924" i="7"/>
  <c r="U924" i="7"/>
  <c r="T924" i="7"/>
  <c r="Q924" i="7"/>
  <c r="P924" i="7"/>
  <c r="O924" i="7"/>
  <c r="N924" i="7"/>
  <c r="K924" i="7"/>
  <c r="J924" i="7"/>
  <c r="I924" i="7"/>
  <c r="H924" i="7"/>
  <c r="E924" i="7"/>
  <c r="D924" i="7"/>
  <c r="C924" i="7"/>
  <c r="B924" i="7"/>
  <c r="AI923" i="7"/>
  <c r="AH923" i="7"/>
  <c r="AG923" i="7"/>
  <c r="AF923" i="7"/>
  <c r="AC923" i="7"/>
  <c r="AB923" i="7"/>
  <c r="AA923" i="7"/>
  <c r="Z923" i="7"/>
  <c r="W923" i="7"/>
  <c r="V923" i="7"/>
  <c r="U923" i="7"/>
  <c r="T923" i="7"/>
  <c r="Q923" i="7"/>
  <c r="P923" i="7"/>
  <c r="O923" i="7"/>
  <c r="N923" i="7"/>
  <c r="K923" i="7"/>
  <c r="J923" i="7"/>
  <c r="I923" i="7"/>
  <c r="H923" i="7"/>
  <c r="E923" i="7"/>
  <c r="D923" i="7"/>
  <c r="C923" i="7"/>
  <c r="B923" i="7"/>
  <c r="AI922" i="7"/>
  <c r="AH922" i="7"/>
  <c r="AG922" i="7"/>
  <c r="AF922" i="7"/>
  <c r="AC922" i="7"/>
  <c r="AB922" i="7"/>
  <c r="AA922" i="7"/>
  <c r="Z922" i="7"/>
  <c r="W922" i="7"/>
  <c r="V922" i="7"/>
  <c r="U922" i="7"/>
  <c r="T922" i="7"/>
  <c r="Q922" i="7"/>
  <c r="P922" i="7"/>
  <c r="O922" i="7"/>
  <c r="N922" i="7"/>
  <c r="K922" i="7"/>
  <c r="J922" i="7"/>
  <c r="I922" i="7"/>
  <c r="H922" i="7"/>
  <c r="E922" i="7"/>
  <c r="D922" i="7"/>
  <c r="C922" i="7"/>
  <c r="B922" i="7"/>
  <c r="AI921" i="7"/>
  <c r="AH921" i="7"/>
  <c r="AG921" i="7"/>
  <c r="AF921" i="7"/>
  <c r="AC921" i="7"/>
  <c r="AB921" i="7"/>
  <c r="AA921" i="7"/>
  <c r="Z921" i="7"/>
  <c r="W921" i="7"/>
  <c r="V921" i="7"/>
  <c r="U921" i="7"/>
  <c r="T921" i="7"/>
  <c r="Q921" i="7"/>
  <c r="P921" i="7"/>
  <c r="O921" i="7"/>
  <c r="N921" i="7"/>
  <c r="K921" i="7"/>
  <c r="J921" i="7"/>
  <c r="I921" i="7"/>
  <c r="H921" i="7"/>
  <c r="E921" i="7"/>
  <c r="D921" i="7"/>
  <c r="C921" i="7"/>
  <c r="B921" i="7"/>
  <c r="AI920" i="7"/>
  <c r="AH920" i="7"/>
  <c r="AG920" i="7"/>
  <c r="AF920" i="7"/>
  <c r="AC920" i="7"/>
  <c r="AB920" i="7"/>
  <c r="AA920" i="7"/>
  <c r="Z920" i="7"/>
  <c r="W920" i="7"/>
  <c r="V920" i="7"/>
  <c r="U920" i="7"/>
  <c r="T920" i="7"/>
  <c r="Q920" i="7"/>
  <c r="P920" i="7"/>
  <c r="O920" i="7"/>
  <c r="N920" i="7"/>
  <c r="K920" i="7"/>
  <c r="J920" i="7"/>
  <c r="I920" i="7"/>
  <c r="H920" i="7"/>
  <c r="E920" i="7"/>
  <c r="D920" i="7"/>
  <c r="C920" i="7"/>
  <c r="B920" i="7"/>
  <c r="AI919" i="7"/>
  <c r="AH919" i="7"/>
  <c r="AG919" i="7"/>
  <c r="AF919" i="7"/>
  <c r="AC919" i="7"/>
  <c r="AB919" i="7"/>
  <c r="AA919" i="7"/>
  <c r="Z919" i="7"/>
  <c r="W919" i="7"/>
  <c r="V919" i="7"/>
  <c r="U919" i="7"/>
  <c r="T919" i="7"/>
  <c r="Q919" i="7"/>
  <c r="P919" i="7"/>
  <c r="O919" i="7"/>
  <c r="N919" i="7"/>
  <c r="K919" i="7"/>
  <c r="J919" i="7"/>
  <c r="I919" i="7"/>
  <c r="H919" i="7"/>
  <c r="E919" i="7"/>
  <c r="D919" i="7"/>
  <c r="C919" i="7"/>
  <c r="B919" i="7"/>
  <c r="AI918" i="7"/>
  <c r="AH918" i="7"/>
  <c r="AG918" i="7"/>
  <c r="AF918" i="7"/>
  <c r="AC918" i="7"/>
  <c r="AB918" i="7"/>
  <c r="AA918" i="7"/>
  <c r="Z918" i="7"/>
  <c r="W918" i="7"/>
  <c r="V918" i="7"/>
  <c r="U918" i="7"/>
  <c r="T918" i="7"/>
  <c r="Q918" i="7"/>
  <c r="P918" i="7"/>
  <c r="O918" i="7"/>
  <c r="N918" i="7"/>
  <c r="K918" i="7"/>
  <c r="J918" i="7"/>
  <c r="I918" i="7"/>
  <c r="H918" i="7"/>
  <c r="E918" i="7"/>
  <c r="D918" i="7"/>
  <c r="C918" i="7"/>
  <c r="B918" i="7"/>
  <c r="AI917" i="7"/>
  <c r="AH917" i="7"/>
  <c r="AG917" i="7"/>
  <c r="AF917" i="7"/>
  <c r="AC917" i="7"/>
  <c r="AB917" i="7"/>
  <c r="AA917" i="7"/>
  <c r="Z917" i="7"/>
  <c r="W917" i="7"/>
  <c r="V917" i="7"/>
  <c r="U917" i="7"/>
  <c r="T917" i="7"/>
  <c r="Q917" i="7"/>
  <c r="P917" i="7"/>
  <c r="O917" i="7"/>
  <c r="N917" i="7"/>
  <c r="K917" i="7"/>
  <c r="J917" i="7"/>
  <c r="I917" i="7"/>
  <c r="H917" i="7"/>
  <c r="E917" i="7"/>
  <c r="D917" i="7"/>
  <c r="C917" i="7"/>
  <c r="B917" i="7"/>
  <c r="AI916" i="7"/>
  <c r="AH916" i="7"/>
  <c r="AG916" i="7"/>
  <c r="AF916" i="7"/>
  <c r="AC916" i="7"/>
  <c r="AB916" i="7"/>
  <c r="AA916" i="7"/>
  <c r="Z916" i="7"/>
  <c r="W916" i="7"/>
  <c r="V916" i="7"/>
  <c r="U916" i="7"/>
  <c r="T916" i="7"/>
  <c r="Q916" i="7"/>
  <c r="P916" i="7"/>
  <c r="O916" i="7"/>
  <c r="N916" i="7"/>
  <c r="K916" i="7"/>
  <c r="J916" i="7"/>
  <c r="I916" i="7"/>
  <c r="H916" i="7"/>
  <c r="E916" i="7"/>
  <c r="D916" i="7"/>
  <c r="C916" i="7"/>
  <c r="B916" i="7"/>
  <c r="AI915" i="7"/>
  <c r="AH915" i="7"/>
  <c r="AG915" i="7"/>
  <c r="AF915" i="7"/>
  <c r="AC915" i="7"/>
  <c r="AB915" i="7"/>
  <c r="AA915" i="7"/>
  <c r="Z915" i="7"/>
  <c r="W915" i="7"/>
  <c r="V915" i="7"/>
  <c r="U915" i="7"/>
  <c r="T915" i="7"/>
  <c r="Q915" i="7"/>
  <c r="P915" i="7"/>
  <c r="O915" i="7"/>
  <c r="N915" i="7"/>
  <c r="K915" i="7"/>
  <c r="J915" i="7"/>
  <c r="I915" i="7"/>
  <c r="H915" i="7"/>
  <c r="E915" i="7"/>
  <c r="D915" i="7"/>
  <c r="C915" i="7"/>
  <c r="B915" i="7"/>
  <c r="AI914" i="7"/>
  <c r="AH914" i="7"/>
  <c r="AG914" i="7"/>
  <c r="AF914" i="7"/>
  <c r="AC914" i="7"/>
  <c r="AB914" i="7"/>
  <c r="AA914" i="7"/>
  <c r="Z914" i="7"/>
  <c r="W914" i="7"/>
  <c r="V914" i="7"/>
  <c r="U914" i="7"/>
  <c r="T914" i="7"/>
  <c r="Q914" i="7"/>
  <c r="P914" i="7"/>
  <c r="O914" i="7"/>
  <c r="N914" i="7"/>
  <c r="K914" i="7"/>
  <c r="J914" i="7"/>
  <c r="I914" i="7"/>
  <c r="H914" i="7"/>
  <c r="E914" i="7"/>
  <c r="D914" i="7"/>
  <c r="C914" i="7"/>
  <c r="B914" i="7"/>
  <c r="AI913" i="7"/>
  <c r="AH913" i="7"/>
  <c r="AG913" i="7"/>
  <c r="AF913" i="7"/>
  <c r="AC913" i="7"/>
  <c r="AB913" i="7"/>
  <c r="AA913" i="7"/>
  <c r="Z913" i="7"/>
  <c r="W913" i="7"/>
  <c r="V913" i="7"/>
  <c r="U913" i="7"/>
  <c r="T913" i="7"/>
  <c r="Q913" i="7"/>
  <c r="P913" i="7"/>
  <c r="O913" i="7"/>
  <c r="N913" i="7"/>
  <c r="K913" i="7"/>
  <c r="J913" i="7"/>
  <c r="I913" i="7"/>
  <c r="H913" i="7"/>
  <c r="E913" i="7"/>
  <c r="D913" i="7"/>
  <c r="C913" i="7"/>
  <c r="B913" i="7"/>
  <c r="AI912" i="7"/>
  <c r="AH912" i="7"/>
  <c r="AG912" i="7"/>
  <c r="AF912" i="7"/>
  <c r="AC912" i="7"/>
  <c r="AB912" i="7"/>
  <c r="AA912" i="7"/>
  <c r="Z912" i="7"/>
  <c r="W912" i="7"/>
  <c r="V912" i="7"/>
  <c r="U912" i="7"/>
  <c r="T912" i="7"/>
  <c r="Q912" i="7"/>
  <c r="P912" i="7"/>
  <c r="O912" i="7"/>
  <c r="N912" i="7"/>
  <c r="K912" i="7"/>
  <c r="J912" i="7"/>
  <c r="I912" i="7"/>
  <c r="H912" i="7"/>
  <c r="E912" i="7"/>
  <c r="D912" i="7"/>
  <c r="C912" i="7"/>
  <c r="B912" i="7"/>
  <c r="AI911" i="7"/>
  <c r="AH911" i="7"/>
  <c r="AG911" i="7"/>
  <c r="AF911" i="7"/>
  <c r="AC911" i="7"/>
  <c r="AB911" i="7"/>
  <c r="AA911" i="7"/>
  <c r="Z911" i="7"/>
  <c r="W911" i="7"/>
  <c r="V911" i="7"/>
  <c r="U911" i="7"/>
  <c r="T911" i="7"/>
  <c r="Q911" i="7"/>
  <c r="P911" i="7"/>
  <c r="O911" i="7"/>
  <c r="N911" i="7"/>
  <c r="K911" i="7"/>
  <c r="J911" i="7"/>
  <c r="I911" i="7"/>
  <c r="H911" i="7"/>
  <c r="E911" i="7"/>
  <c r="D911" i="7"/>
  <c r="C911" i="7"/>
  <c r="B911" i="7"/>
  <c r="AI910" i="7"/>
  <c r="AH910" i="7"/>
  <c r="AG910" i="7"/>
  <c r="AF910" i="7"/>
  <c r="AC910" i="7"/>
  <c r="AB910" i="7"/>
  <c r="AA910" i="7"/>
  <c r="Z910" i="7"/>
  <c r="W910" i="7"/>
  <c r="V910" i="7"/>
  <c r="U910" i="7"/>
  <c r="T910" i="7"/>
  <c r="Q910" i="7"/>
  <c r="P910" i="7"/>
  <c r="O910" i="7"/>
  <c r="N910" i="7"/>
  <c r="K910" i="7"/>
  <c r="J910" i="7"/>
  <c r="I910" i="7"/>
  <c r="H910" i="7"/>
  <c r="E910" i="7"/>
  <c r="D910" i="7"/>
  <c r="C910" i="7"/>
  <c r="B910" i="7"/>
  <c r="AI909" i="7"/>
  <c r="AH909" i="7"/>
  <c r="AG909" i="7"/>
  <c r="AF909" i="7"/>
  <c r="AC909" i="7"/>
  <c r="AB909" i="7"/>
  <c r="AA909" i="7"/>
  <c r="Z909" i="7"/>
  <c r="W909" i="7"/>
  <c r="V909" i="7"/>
  <c r="U909" i="7"/>
  <c r="T909" i="7"/>
  <c r="Q909" i="7"/>
  <c r="P909" i="7"/>
  <c r="O909" i="7"/>
  <c r="N909" i="7"/>
  <c r="K909" i="7"/>
  <c r="J909" i="7"/>
  <c r="I909" i="7"/>
  <c r="H909" i="7"/>
  <c r="E909" i="7"/>
  <c r="D909" i="7"/>
  <c r="C909" i="7"/>
  <c r="B909" i="7"/>
  <c r="AI908" i="7"/>
  <c r="AH908" i="7"/>
  <c r="AG908" i="7"/>
  <c r="AF908" i="7"/>
  <c r="AC908" i="7"/>
  <c r="AB908" i="7"/>
  <c r="AA908" i="7"/>
  <c r="Z908" i="7"/>
  <c r="W908" i="7"/>
  <c r="V908" i="7"/>
  <c r="U908" i="7"/>
  <c r="T908" i="7"/>
  <c r="Q908" i="7"/>
  <c r="P908" i="7"/>
  <c r="O908" i="7"/>
  <c r="N908" i="7"/>
  <c r="K908" i="7"/>
  <c r="J908" i="7"/>
  <c r="I908" i="7"/>
  <c r="H908" i="7"/>
  <c r="E908" i="7"/>
  <c r="D908" i="7"/>
  <c r="C908" i="7"/>
  <c r="B908" i="7"/>
  <c r="AI907" i="7"/>
  <c r="AH907" i="7"/>
  <c r="AG907" i="7"/>
  <c r="AF907" i="7"/>
  <c r="AC907" i="7"/>
  <c r="AB907" i="7"/>
  <c r="AA907" i="7"/>
  <c r="Z907" i="7"/>
  <c r="W907" i="7"/>
  <c r="V907" i="7"/>
  <c r="U907" i="7"/>
  <c r="T907" i="7"/>
  <c r="Q907" i="7"/>
  <c r="P907" i="7"/>
  <c r="O907" i="7"/>
  <c r="N907" i="7"/>
  <c r="K907" i="7"/>
  <c r="J907" i="7"/>
  <c r="I907" i="7"/>
  <c r="H907" i="7"/>
  <c r="E907" i="7"/>
  <c r="D907" i="7"/>
  <c r="C907" i="7"/>
  <c r="B907" i="7"/>
  <c r="AI906" i="7"/>
  <c r="AH906" i="7"/>
  <c r="AG906" i="7"/>
  <c r="AF906" i="7"/>
  <c r="AC906" i="7"/>
  <c r="AB906" i="7"/>
  <c r="AA906" i="7"/>
  <c r="Z906" i="7"/>
  <c r="W906" i="7"/>
  <c r="V906" i="7"/>
  <c r="U906" i="7"/>
  <c r="T906" i="7"/>
  <c r="Q906" i="7"/>
  <c r="P906" i="7"/>
  <c r="O906" i="7"/>
  <c r="N906" i="7"/>
  <c r="K906" i="7"/>
  <c r="J906" i="7"/>
  <c r="I906" i="7"/>
  <c r="H906" i="7"/>
  <c r="E906" i="7"/>
  <c r="D906" i="7"/>
  <c r="C906" i="7"/>
  <c r="B906" i="7"/>
  <c r="AI905" i="7"/>
  <c r="AH905" i="7"/>
  <c r="AG905" i="7"/>
  <c r="AF905" i="7"/>
  <c r="AC905" i="7"/>
  <c r="AB905" i="7"/>
  <c r="AA905" i="7"/>
  <c r="Z905" i="7"/>
  <c r="W905" i="7"/>
  <c r="V905" i="7"/>
  <c r="U905" i="7"/>
  <c r="T905" i="7"/>
  <c r="Q905" i="7"/>
  <c r="P905" i="7"/>
  <c r="O905" i="7"/>
  <c r="N905" i="7"/>
  <c r="K905" i="7"/>
  <c r="J905" i="7"/>
  <c r="I905" i="7"/>
  <c r="H905" i="7"/>
  <c r="E905" i="7"/>
  <c r="D905" i="7"/>
  <c r="C905" i="7"/>
  <c r="B905" i="7"/>
  <c r="AI904" i="7"/>
  <c r="AH904" i="7"/>
  <c r="AG904" i="7"/>
  <c r="AF904" i="7"/>
  <c r="AC904" i="7"/>
  <c r="AB904" i="7"/>
  <c r="AA904" i="7"/>
  <c r="Z904" i="7"/>
  <c r="W904" i="7"/>
  <c r="V904" i="7"/>
  <c r="U904" i="7"/>
  <c r="T904" i="7"/>
  <c r="Q904" i="7"/>
  <c r="P904" i="7"/>
  <c r="O904" i="7"/>
  <c r="N904" i="7"/>
  <c r="K904" i="7"/>
  <c r="J904" i="7"/>
  <c r="I904" i="7"/>
  <c r="H904" i="7"/>
  <c r="E904" i="7"/>
  <c r="D904" i="7"/>
  <c r="C904" i="7"/>
  <c r="B904" i="7"/>
  <c r="AI903" i="7"/>
  <c r="AH903" i="7"/>
  <c r="AG903" i="7"/>
  <c r="AF903" i="7"/>
  <c r="AC903" i="7"/>
  <c r="AB903" i="7"/>
  <c r="AA903" i="7"/>
  <c r="Z903" i="7"/>
  <c r="W903" i="7"/>
  <c r="V903" i="7"/>
  <c r="U903" i="7"/>
  <c r="T903" i="7"/>
  <c r="Q903" i="7"/>
  <c r="P903" i="7"/>
  <c r="O903" i="7"/>
  <c r="N903" i="7"/>
  <c r="K903" i="7"/>
  <c r="J903" i="7"/>
  <c r="I903" i="7"/>
  <c r="H903" i="7"/>
  <c r="E903" i="7"/>
  <c r="D903" i="7"/>
  <c r="C903" i="7"/>
  <c r="B903" i="7"/>
  <c r="AI902" i="7"/>
  <c r="AH902" i="7"/>
  <c r="AG902" i="7"/>
  <c r="AF902" i="7"/>
  <c r="AC902" i="7"/>
  <c r="AB902" i="7"/>
  <c r="AA902" i="7"/>
  <c r="Z902" i="7"/>
  <c r="W902" i="7"/>
  <c r="V902" i="7"/>
  <c r="U902" i="7"/>
  <c r="T902" i="7"/>
  <c r="Q902" i="7"/>
  <c r="P902" i="7"/>
  <c r="O902" i="7"/>
  <c r="N902" i="7"/>
  <c r="K902" i="7"/>
  <c r="J902" i="7"/>
  <c r="I902" i="7"/>
  <c r="H902" i="7"/>
  <c r="E902" i="7"/>
  <c r="D902" i="7"/>
  <c r="C902" i="7"/>
  <c r="B902" i="7"/>
  <c r="AI901" i="7"/>
  <c r="AH901" i="7"/>
  <c r="AG901" i="7"/>
  <c r="AF901" i="7"/>
  <c r="AC901" i="7"/>
  <c r="AB901" i="7"/>
  <c r="AA901" i="7"/>
  <c r="Z901" i="7"/>
  <c r="W901" i="7"/>
  <c r="V901" i="7"/>
  <c r="U901" i="7"/>
  <c r="T901" i="7"/>
  <c r="Q901" i="7"/>
  <c r="P901" i="7"/>
  <c r="O901" i="7"/>
  <c r="N901" i="7"/>
  <c r="K901" i="7"/>
  <c r="J901" i="7"/>
  <c r="I901" i="7"/>
  <c r="H901" i="7"/>
  <c r="E901" i="7"/>
  <c r="D901" i="7"/>
  <c r="C901" i="7"/>
  <c r="B901" i="7"/>
  <c r="AI900" i="7"/>
  <c r="AH900" i="7"/>
  <c r="AG900" i="7"/>
  <c r="AF900" i="7"/>
  <c r="AC900" i="7"/>
  <c r="AB900" i="7"/>
  <c r="AA900" i="7"/>
  <c r="Z900" i="7"/>
  <c r="W900" i="7"/>
  <c r="V900" i="7"/>
  <c r="U900" i="7"/>
  <c r="T900" i="7"/>
  <c r="Q900" i="7"/>
  <c r="P900" i="7"/>
  <c r="O900" i="7"/>
  <c r="N900" i="7"/>
  <c r="K900" i="7"/>
  <c r="J900" i="7"/>
  <c r="I900" i="7"/>
  <c r="H900" i="7"/>
  <c r="E900" i="7"/>
  <c r="D900" i="7"/>
  <c r="C900" i="7"/>
  <c r="B900" i="7"/>
  <c r="AI899" i="7"/>
  <c r="AH899" i="7"/>
  <c r="AG899" i="7"/>
  <c r="AF899" i="7"/>
  <c r="AC899" i="7"/>
  <c r="AB899" i="7"/>
  <c r="AA899" i="7"/>
  <c r="Z899" i="7"/>
  <c r="W899" i="7"/>
  <c r="V899" i="7"/>
  <c r="U899" i="7"/>
  <c r="T899" i="7"/>
  <c r="Q899" i="7"/>
  <c r="P899" i="7"/>
  <c r="O899" i="7"/>
  <c r="N899" i="7"/>
  <c r="K899" i="7"/>
  <c r="J899" i="7"/>
  <c r="I899" i="7"/>
  <c r="H899" i="7"/>
  <c r="E899" i="7"/>
  <c r="D899" i="7"/>
  <c r="C899" i="7"/>
  <c r="B899" i="7"/>
  <c r="AI898" i="7"/>
  <c r="AH898" i="7"/>
  <c r="AG898" i="7"/>
  <c r="AF898" i="7"/>
  <c r="AC898" i="7"/>
  <c r="AB898" i="7"/>
  <c r="AA898" i="7"/>
  <c r="Z898" i="7"/>
  <c r="W898" i="7"/>
  <c r="V898" i="7"/>
  <c r="U898" i="7"/>
  <c r="T898" i="7"/>
  <c r="Q898" i="7"/>
  <c r="P898" i="7"/>
  <c r="O898" i="7"/>
  <c r="N898" i="7"/>
  <c r="K898" i="7"/>
  <c r="J898" i="7"/>
  <c r="I898" i="7"/>
  <c r="H898" i="7"/>
  <c r="E898" i="7"/>
  <c r="D898" i="7"/>
  <c r="C898" i="7"/>
  <c r="B898" i="7"/>
  <c r="AI897" i="7"/>
  <c r="AH897" i="7"/>
  <c r="AG897" i="7"/>
  <c r="AF897" i="7"/>
  <c r="AC897" i="7"/>
  <c r="AB897" i="7"/>
  <c r="AA897" i="7"/>
  <c r="Z897" i="7"/>
  <c r="W897" i="7"/>
  <c r="V897" i="7"/>
  <c r="U897" i="7"/>
  <c r="T897" i="7"/>
  <c r="Q897" i="7"/>
  <c r="P897" i="7"/>
  <c r="O897" i="7"/>
  <c r="N897" i="7"/>
  <c r="K897" i="7"/>
  <c r="J897" i="7"/>
  <c r="I897" i="7"/>
  <c r="H897" i="7"/>
  <c r="E897" i="7"/>
  <c r="D897" i="7"/>
  <c r="C897" i="7"/>
  <c r="B897" i="7"/>
  <c r="AI896" i="7"/>
  <c r="AH896" i="7"/>
  <c r="AG896" i="7"/>
  <c r="AF896" i="7"/>
  <c r="AC896" i="7"/>
  <c r="AB896" i="7"/>
  <c r="AA896" i="7"/>
  <c r="Z896" i="7"/>
  <c r="W896" i="7"/>
  <c r="V896" i="7"/>
  <c r="U896" i="7"/>
  <c r="T896" i="7"/>
  <c r="Q896" i="7"/>
  <c r="P896" i="7"/>
  <c r="O896" i="7"/>
  <c r="N896" i="7"/>
  <c r="K896" i="7"/>
  <c r="J896" i="7"/>
  <c r="I896" i="7"/>
  <c r="H896" i="7"/>
  <c r="E896" i="7"/>
  <c r="D896" i="7"/>
  <c r="C896" i="7"/>
  <c r="B896" i="7"/>
  <c r="AI895" i="7"/>
  <c r="AH895" i="7"/>
  <c r="AG895" i="7"/>
  <c r="AF895" i="7"/>
  <c r="AC895" i="7"/>
  <c r="AB895" i="7"/>
  <c r="AA895" i="7"/>
  <c r="Z895" i="7"/>
  <c r="W895" i="7"/>
  <c r="V895" i="7"/>
  <c r="U895" i="7"/>
  <c r="T895" i="7"/>
  <c r="Q895" i="7"/>
  <c r="P895" i="7"/>
  <c r="O895" i="7"/>
  <c r="N895" i="7"/>
  <c r="K895" i="7"/>
  <c r="J895" i="7"/>
  <c r="I895" i="7"/>
  <c r="H895" i="7"/>
  <c r="E895" i="7"/>
  <c r="D895" i="7"/>
  <c r="C895" i="7"/>
  <c r="B895" i="7"/>
  <c r="AI894" i="7"/>
  <c r="AH894" i="7"/>
  <c r="AG894" i="7"/>
  <c r="AF894" i="7"/>
  <c r="AC894" i="7"/>
  <c r="AB894" i="7"/>
  <c r="AA894" i="7"/>
  <c r="Z894" i="7"/>
  <c r="W894" i="7"/>
  <c r="V894" i="7"/>
  <c r="U894" i="7"/>
  <c r="T894" i="7"/>
  <c r="Q894" i="7"/>
  <c r="P894" i="7"/>
  <c r="O894" i="7"/>
  <c r="N894" i="7"/>
  <c r="K894" i="7"/>
  <c r="J894" i="7"/>
  <c r="I894" i="7"/>
  <c r="H894" i="7"/>
  <c r="E894" i="7"/>
  <c r="D894" i="7"/>
  <c r="C894" i="7"/>
  <c r="B894" i="7"/>
  <c r="AI893" i="7"/>
  <c r="AH893" i="7"/>
  <c r="AG893" i="7"/>
  <c r="AF893" i="7"/>
  <c r="AC893" i="7"/>
  <c r="AB893" i="7"/>
  <c r="AA893" i="7"/>
  <c r="Z893" i="7"/>
  <c r="W893" i="7"/>
  <c r="V893" i="7"/>
  <c r="U893" i="7"/>
  <c r="T893" i="7"/>
  <c r="Q893" i="7"/>
  <c r="P893" i="7"/>
  <c r="O893" i="7"/>
  <c r="N893" i="7"/>
  <c r="K893" i="7"/>
  <c r="J893" i="7"/>
  <c r="I893" i="7"/>
  <c r="H893" i="7"/>
  <c r="E893" i="7"/>
  <c r="D893" i="7"/>
  <c r="C893" i="7"/>
  <c r="B893" i="7"/>
  <c r="AI892" i="7"/>
  <c r="AH892" i="7"/>
  <c r="AG892" i="7"/>
  <c r="AF892" i="7"/>
  <c r="AC892" i="7"/>
  <c r="AB892" i="7"/>
  <c r="AA892" i="7"/>
  <c r="Z892" i="7"/>
  <c r="W892" i="7"/>
  <c r="V892" i="7"/>
  <c r="U892" i="7"/>
  <c r="T892" i="7"/>
  <c r="Q892" i="7"/>
  <c r="P892" i="7"/>
  <c r="O892" i="7"/>
  <c r="N892" i="7"/>
  <c r="K892" i="7"/>
  <c r="J892" i="7"/>
  <c r="I892" i="7"/>
  <c r="H892" i="7"/>
  <c r="E892" i="7"/>
  <c r="D892" i="7"/>
  <c r="C892" i="7"/>
  <c r="B892" i="7"/>
  <c r="AI891" i="7"/>
  <c r="AH891" i="7"/>
  <c r="AG891" i="7"/>
  <c r="AF891" i="7"/>
  <c r="AC891" i="7"/>
  <c r="AB891" i="7"/>
  <c r="AA891" i="7"/>
  <c r="Z891" i="7"/>
  <c r="W891" i="7"/>
  <c r="V891" i="7"/>
  <c r="U891" i="7"/>
  <c r="T891" i="7"/>
  <c r="Q891" i="7"/>
  <c r="P891" i="7"/>
  <c r="O891" i="7"/>
  <c r="N891" i="7"/>
  <c r="K891" i="7"/>
  <c r="J891" i="7"/>
  <c r="I891" i="7"/>
  <c r="H891" i="7"/>
  <c r="E891" i="7"/>
  <c r="D891" i="7"/>
  <c r="C891" i="7"/>
  <c r="B891" i="7"/>
  <c r="AI890" i="7"/>
  <c r="AH890" i="7"/>
  <c r="AG890" i="7"/>
  <c r="AF890" i="7"/>
  <c r="AC890" i="7"/>
  <c r="AB890" i="7"/>
  <c r="AA890" i="7"/>
  <c r="Z890" i="7"/>
  <c r="W890" i="7"/>
  <c r="V890" i="7"/>
  <c r="U890" i="7"/>
  <c r="T890" i="7"/>
  <c r="Q890" i="7"/>
  <c r="P890" i="7"/>
  <c r="O890" i="7"/>
  <c r="N890" i="7"/>
  <c r="K890" i="7"/>
  <c r="J890" i="7"/>
  <c r="I890" i="7"/>
  <c r="H890" i="7"/>
  <c r="E890" i="7"/>
  <c r="D890" i="7"/>
  <c r="C890" i="7"/>
  <c r="B890" i="7"/>
  <c r="AI889" i="7"/>
  <c r="AH889" i="7"/>
  <c r="AG889" i="7"/>
  <c r="AF889" i="7"/>
  <c r="AC889" i="7"/>
  <c r="AB889" i="7"/>
  <c r="AA889" i="7"/>
  <c r="Z889" i="7"/>
  <c r="W889" i="7"/>
  <c r="V889" i="7"/>
  <c r="U889" i="7"/>
  <c r="T889" i="7"/>
  <c r="Q889" i="7"/>
  <c r="P889" i="7"/>
  <c r="O889" i="7"/>
  <c r="N889" i="7"/>
  <c r="K889" i="7"/>
  <c r="J889" i="7"/>
  <c r="I889" i="7"/>
  <c r="H889" i="7"/>
  <c r="E889" i="7"/>
  <c r="D889" i="7"/>
  <c r="C889" i="7"/>
  <c r="B889" i="7"/>
  <c r="AI888" i="7"/>
  <c r="AH888" i="7"/>
  <c r="AG888" i="7"/>
  <c r="AF888" i="7"/>
  <c r="AC888" i="7"/>
  <c r="AB888" i="7"/>
  <c r="AA888" i="7"/>
  <c r="Z888" i="7"/>
  <c r="W888" i="7"/>
  <c r="V888" i="7"/>
  <c r="U888" i="7"/>
  <c r="T888" i="7"/>
  <c r="Q888" i="7"/>
  <c r="P888" i="7"/>
  <c r="O888" i="7"/>
  <c r="N888" i="7"/>
  <c r="K888" i="7"/>
  <c r="J888" i="7"/>
  <c r="I888" i="7"/>
  <c r="H888" i="7"/>
  <c r="E888" i="7"/>
  <c r="D888" i="7"/>
  <c r="C888" i="7"/>
  <c r="B888" i="7"/>
  <c r="AI887" i="7"/>
  <c r="AH887" i="7"/>
  <c r="AG887" i="7"/>
  <c r="AF887" i="7"/>
  <c r="AC887" i="7"/>
  <c r="AB887" i="7"/>
  <c r="AA887" i="7"/>
  <c r="Z887" i="7"/>
  <c r="W887" i="7"/>
  <c r="V887" i="7"/>
  <c r="U887" i="7"/>
  <c r="T887" i="7"/>
  <c r="Q887" i="7"/>
  <c r="P887" i="7"/>
  <c r="O887" i="7"/>
  <c r="N887" i="7"/>
  <c r="K887" i="7"/>
  <c r="J887" i="7"/>
  <c r="I887" i="7"/>
  <c r="H887" i="7"/>
  <c r="E887" i="7"/>
  <c r="D887" i="7"/>
  <c r="C887" i="7"/>
  <c r="B887" i="7"/>
  <c r="AI886" i="7"/>
  <c r="AH886" i="7"/>
  <c r="AG886" i="7"/>
  <c r="AF886" i="7"/>
  <c r="AC886" i="7"/>
  <c r="AB886" i="7"/>
  <c r="AA886" i="7"/>
  <c r="Z886" i="7"/>
  <c r="W886" i="7"/>
  <c r="V886" i="7"/>
  <c r="U886" i="7"/>
  <c r="T886" i="7"/>
  <c r="Q886" i="7"/>
  <c r="P886" i="7"/>
  <c r="O886" i="7"/>
  <c r="N886" i="7"/>
  <c r="K886" i="7"/>
  <c r="J886" i="7"/>
  <c r="I886" i="7"/>
  <c r="H886" i="7"/>
  <c r="E886" i="7"/>
  <c r="D886" i="7"/>
  <c r="C886" i="7"/>
  <c r="B886" i="7"/>
  <c r="AI885" i="7"/>
  <c r="AH885" i="7"/>
  <c r="AG885" i="7"/>
  <c r="AF885" i="7"/>
  <c r="AC885" i="7"/>
  <c r="AB885" i="7"/>
  <c r="AA885" i="7"/>
  <c r="Z885" i="7"/>
  <c r="W885" i="7"/>
  <c r="V885" i="7"/>
  <c r="U885" i="7"/>
  <c r="T885" i="7"/>
  <c r="Q885" i="7"/>
  <c r="P885" i="7"/>
  <c r="O885" i="7"/>
  <c r="N885" i="7"/>
  <c r="K885" i="7"/>
  <c r="J885" i="7"/>
  <c r="I885" i="7"/>
  <c r="H885" i="7"/>
  <c r="E885" i="7"/>
  <c r="D885" i="7"/>
  <c r="C885" i="7"/>
  <c r="B885" i="7"/>
  <c r="AI884" i="7"/>
  <c r="AH884" i="7"/>
  <c r="AG884" i="7"/>
  <c r="AF884" i="7"/>
  <c r="AC884" i="7"/>
  <c r="AB884" i="7"/>
  <c r="AA884" i="7"/>
  <c r="Z884" i="7"/>
  <c r="W884" i="7"/>
  <c r="V884" i="7"/>
  <c r="U884" i="7"/>
  <c r="T884" i="7"/>
  <c r="Q884" i="7"/>
  <c r="P884" i="7"/>
  <c r="O884" i="7"/>
  <c r="N884" i="7"/>
  <c r="K884" i="7"/>
  <c r="J884" i="7"/>
  <c r="I884" i="7"/>
  <c r="H884" i="7"/>
  <c r="E884" i="7"/>
  <c r="D884" i="7"/>
  <c r="C884" i="7"/>
  <c r="B884" i="7"/>
  <c r="AI883" i="7"/>
  <c r="AH883" i="7"/>
  <c r="AG883" i="7"/>
  <c r="AF883" i="7"/>
  <c r="AC883" i="7"/>
  <c r="AB883" i="7"/>
  <c r="AA883" i="7"/>
  <c r="Z883" i="7"/>
  <c r="W883" i="7"/>
  <c r="V883" i="7"/>
  <c r="U883" i="7"/>
  <c r="T883" i="7"/>
  <c r="Q883" i="7"/>
  <c r="P883" i="7"/>
  <c r="O883" i="7"/>
  <c r="N883" i="7"/>
  <c r="K883" i="7"/>
  <c r="J883" i="7"/>
  <c r="I883" i="7"/>
  <c r="H883" i="7"/>
  <c r="E883" i="7"/>
  <c r="D883" i="7"/>
  <c r="C883" i="7"/>
  <c r="B883" i="7"/>
  <c r="AI882" i="7"/>
  <c r="AH882" i="7"/>
  <c r="AG882" i="7"/>
  <c r="AF882" i="7"/>
  <c r="AC882" i="7"/>
  <c r="AB882" i="7"/>
  <c r="AA882" i="7"/>
  <c r="Z882" i="7"/>
  <c r="W882" i="7"/>
  <c r="V882" i="7"/>
  <c r="U882" i="7"/>
  <c r="T882" i="7"/>
  <c r="Q882" i="7"/>
  <c r="P882" i="7"/>
  <c r="O882" i="7"/>
  <c r="N882" i="7"/>
  <c r="K882" i="7"/>
  <c r="J882" i="7"/>
  <c r="I882" i="7"/>
  <c r="H882" i="7"/>
  <c r="E882" i="7"/>
  <c r="D882" i="7"/>
  <c r="C882" i="7"/>
  <c r="B882" i="7"/>
  <c r="AI881" i="7"/>
  <c r="AH881" i="7"/>
  <c r="AG881" i="7"/>
  <c r="AF881" i="7"/>
  <c r="AC881" i="7"/>
  <c r="AB881" i="7"/>
  <c r="AA881" i="7"/>
  <c r="Z881" i="7"/>
  <c r="W881" i="7"/>
  <c r="V881" i="7"/>
  <c r="U881" i="7"/>
  <c r="T881" i="7"/>
  <c r="Q881" i="7"/>
  <c r="P881" i="7"/>
  <c r="O881" i="7"/>
  <c r="N881" i="7"/>
  <c r="K881" i="7"/>
  <c r="J881" i="7"/>
  <c r="I881" i="7"/>
  <c r="H881" i="7"/>
  <c r="E881" i="7"/>
  <c r="D881" i="7"/>
  <c r="C881" i="7"/>
  <c r="B881" i="7"/>
  <c r="AI880" i="7"/>
  <c r="AH880" i="7"/>
  <c r="AG880" i="7"/>
  <c r="AF880" i="7"/>
  <c r="AC880" i="7"/>
  <c r="AB880" i="7"/>
  <c r="AA880" i="7"/>
  <c r="Z880" i="7"/>
  <c r="W880" i="7"/>
  <c r="V880" i="7"/>
  <c r="U880" i="7"/>
  <c r="T880" i="7"/>
  <c r="Q880" i="7"/>
  <c r="P880" i="7"/>
  <c r="O880" i="7"/>
  <c r="N880" i="7"/>
  <c r="K880" i="7"/>
  <c r="J880" i="7"/>
  <c r="I880" i="7"/>
  <c r="H880" i="7"/>
  <c r="E880" i="7"/>
  <c r="D880" i="7"/>
  <c r="C880" i="7"/>
  <c r="B880" i="7"/>
  <c r="AI879" i="7"/>
  <c r="AH879" i="7"/>
  <c r="AG879" i="7"/>
  <c r="AF879" i="7"/>
  <c r="AC879" i="7"/>
  <c r="AB879" i="7"/>
  <c r="AA879" i="7"/>
  <c r="Z879" i="7"/>
  <c r="W879" i="7"/>
  <c r="V879" i="7"/>
  <c r="U879" i="7"/>
  <c r="T879" i="7"/>
  <c r="Q879" i="7"/>
  <c r="P879" i="7"/>
  <c r="O879" i="7"/>
  <c r="N879" i="7"/>
  <c r="K879" i="7"/>
  <c r="J879" i="7"/>
  <c r="I879" i="7"/>
  <c r="H879" i="7"/>
  <c r="E879" i="7"/>
  <c r="D879" i="7"/>
  <c r="C879" i="7"/>
  <c r="B879" i="7"/>
  <c r="AI878" i="7"/>
  <c r="AH878" i="7"/>
  <c r="AG878" i="7"/>
  <c r="AF878" i="7"/>
  <c r="AC878" i="7"/>
  <c r="AB878" i="7"/>
  <c r="AA878" i="7"/>
  <c r="Z878" i="7"/>
  <c r="W878" i="7"/>
  <c r="V878" i="7"/>
  <c r="U878" i="7"/>
  <c r="T878" i="7"/>
  <c r="Q878" i="7"/>
  <c r="P878" i="7"/>
  <c r="O878" i="7"/>
  <c r="N878" i="7"/>
  <c r="K878" i="7"/>
  <c r="J878" i="7"/>
  <c r="I878" i="7"/>
  <c r="H878" i="7"/>
  <c r="E878" i="7"/>
  <c r="D878" i="7"/>
  <c r="C878" i="7"/>
  <c r="B878" i="7"/>
  <c r="AI877" i="7"/>
  <c r="AH877" i="7"/>
  <c r="AG877" i="7"/>
  <c r="AF877" i="7"/>
  <c r="AC877" i="7"/>
  <c r="AB877" i="7"/>
  <c r="AA877" i="7"/>
  <c r="Z877" i="7"/>
  <c r="W877" i="7"/>
  <c r="V877" i="7"/>
  <c r="U877" i="7"/>
  <c r="T877" i="7"/>
  <c r="Q877" i="7"/>
  <c r="P877" i="7"/>
  <c r="O877" i="7"/>
  <c r="N877" i="7"/>
  <c r="K877" i="7"/>
  <c r="J877" i="7"/>
  <c r="I877" i="7"/>
  <c r="H877" i="7"/>
  <c r="E877" i="7"/>
  <c r="D877" i="7"/>
  <c r="C877" i="7"/>
  <c r="B877" i="7"/>
  <c r="AI876" i="7"/>
  <c r="AH876" i="7"/>
  <c r="AG876" i="7"/>
  <c r="AF876" i="7"/>
  <c r="AC876" i="7"/>
  <c r="AB876" i="7"/>
  <c r="AA876" i="7"/>
  <c r="Z876" i="7"/>
  <c r="W876" i="7"/>
  <c r="V876" i="7"/>
  <c r="U876" i="7"/>
  <c r="T876" i="7"/>
  <c r="Q876" i="7"/>
  <c r="P876" i="7"/>
  <c r="O876" i="7"/>
  <c r="N876" i="7"/>
  <c r="K876" i="7"/>
  <c r="J876" i="7"/>
  <c r="I876" i="7"/>
  <c r="H876" i="7"/>
  <c r="E876" i="7"/>
  <c r="D876" i="7"/>
  <c r="C876" i="7"/>
  <c r="B876" i="7"/>
  <c r="AI875" i="7"/>
  <c r="AH875" i="7"/>
  <c r="AG875" i="7"/>
  <c r="AF875" i="7"/>
  <c r="AC875" i="7"/>
  <c r="AB875" i="7"/>
  <c r="AA875" i="7"/>
  <c r="Z875" i="7"/>
  <c r="W875" i="7"/>
  <c r="V875" i="7"/>
  <c r="U875" i="7"/>
  <c r="T875" i="7"/>
  <c r="Q875" i="7"/>
  <c r="P875" i="7"/>
  <c r="O875" i="7"/>
  <c r="N875" i="7"/>
  <c r="K875" i="7"/>
  <c r="J875" i="7"/>
  <c r="I875" i="7"/>
  <c r="H875" i="7"/>
  <c r="E875" i="7"/>
  <c r="D875" i="7"/>
  <c r="C875" i="7"/>
  <c r="B875" i="7"/>
  <c r="AI874" i="7"/>
  <c r="AH874" i="7"/>
  <c r="AG874" i="7"/>
  <c r="AF874" i="7"/>
  <c r="AC874" i="7"/>
  <c r="AB874" i="7"/>
  <c r="AA874" i="7"/>
  <c r="Z874" i="7"/>
  <c r="W874" i="7"/>
  <c r="V874" i="7"/>
  <c r="U874" i="7"/>
  <c r="T874" i="7"/>
  <c r="Q874" i="7"/>
  <c r="P874" i="7"/>
  <c r="O874" i="7"/>
  <c r="N874" i="7"/>
  <c r="K874" i="7"/>
  <c r="J874" i="7"/>
  <c r="I874" i="7"/>
  <c r="H874" i="7"/>
  <c r="E874" i="7"/>
  <c r="D874" i="7"/>
  <c r="C874" i="7"/>
  <c r="B874" i="7"/>
  <c r="AI873" i="7"/>
  <c r="AH873" i="7"/>
  <c r="AG873" i="7"/>
  <c r="AF873" i="7"/>
  <c r="AC873" i="7"/>
  <c r="AB873" i="7"/>
  <c r="AA873" i="7"/>
  <c r="Z873" i="7"/>
  <c r="W873" i="7"/>
  <c r="V873" i="7"/>
  <c r="U873" i="7"/>
  <c r="T873" i="7"/>
  <c r="Q873" i="7"/>
  <c r="P873" i="7"/>
  <c r="O873" i="7"/>
  <c r="N873" i="7"/>
  <c r="K873" i="7"/>
  <c r="J873" i="7"/>
  <c r="I873" i="7"/>
  <c r="H873" i="7"/>
  <c r="E873" i="7"/>
  <c r="D873" i="7"/>
  <c r="C873" i="7"/>
  <c r="B873" i="7"/>
  <c r="AI872" i="7"/>
  <c r="AH872" i="7"/>
  <c r="AG872" i="7"/>
  <c r="AF872" i="7"/>
  <c r="AC872" i="7"/>
  <c r="AB872" i="7"/>
  <c r="AA872" i="7"/>
  <c r="Z872" i="7"/>
  <c r="W872" i="7"/>
  <c r="V872" i="7"/>
  <c r="U872" i="7"/>
  <c r="T872" i="7"/>
  <c r="Q872" i="7"/>
  <c r="P872" i="7"/>
  <c r="O872" i="7"/>
  <c r="N872" i="7"/>
  <c r="K872" i="7"/>
  <c r="J872" i="7"/>
  <c r="I872" i="7"/>
  <c r="H872" i="7"/>
  <c r="E872" i="7"/>
  <c r="D872" i="7"/>
  <c r="C872" i="7"/>
  <c r="B872" i="7"/>
  <c r="AI871" i="7"/>
  <c r="AH871" i="7"/>
  <c r="AG871" i="7"/>
  <c r="AF871" i="7"/>
  <c r="AC871" i="7"/>
  <c r="AB871" i="7"/>
  <c r="AA871" i="7"/>
  <c r="Z871" i="7"/>
  <c r="W871" i="7"/>
  <c r="V871" i="7"/>
  <c r="U871" i="7"/>
  <c r="T871" i="7"/>
  <c r="Q871" i="7"/>
  <c r="P871" i="7"/>
  <c r="O871" i="7"/>
  <c r="N871" i="7"/>
  <c r="K871" i="7"/>
  <c r="J871" i="7"/>
  <c r="I871" i="7"/>
  <c r="H871" i="7"/>
  <c r="E871" i="7"/>
  <c r="D871" i="7"/>
  <c r="C871" i="7"/>
  <c r="B871" i="7"/>
  <c r="AI870" i="7"/>
  <c r="AH870" i="7"/>
  <c r="AG870" i="7"/>
  <c r="AF870" i="7"/>
  <c r="AC870" i="7"/>
  <c r="AB870" i="7"/>
  <c r="AA870" i="7"/>
  <c r="Z870" i="7"/>
  <c r="W870" i="7"/>
  <c r="V870" i="7"/>
  <c r="U870" i="7"/>
  <c r="T870" i="7"/>
  <c r="Q870" i="7"/>
  <c r="P870" i="7"/>
  <c r="O870" i="7"/>
  <c r="N870" i="7"/>
  <c r="K870" i="7"/>
  <c r="J870" i="7"/>
  <c r="I870" i="7"/>
  <c r="H870" i="7"/>
  <c r="E870" i="7"/>
  <c r="D870" i="7"/>
  <c r="C870" i="7"/>
  <c r="B870" i="7"/>
  <c r="AI869" i="7"/>
  <c r="AH869" i="7"/>
  <c r="AG869" i="7"/>
  <c r="AF869" i="7"/>
  <c r="AC869" i="7"/>
  <c r="AB869" i="7"/>
  <c r="AA869" i="7"/>
  <c r="Z869" i="7"/>
  <c r="W869" i="7"/>
  <c r="V869" i="7"/>
  <c r="U869" i="7"/>
  <c r="T869" i="7"/>
  <c r="Q869" i="7"/>
  <c r="P869" i="7"/>
  <c r="O869" i="7"/>
  <c r="N869" i="7"/>
  <c r="K869" i="7"/>
  <c r="J869" i="7"/>
  <c r="I869" i="7"/>
  <c r="H869" i="7"/>
  <c r="E869" i="7"/>
  <c r="D869" i="7"/>
  <c r="C869" i="7"/>
  <c r="B869" i="7"/>
  <c r="AI868" i="7"/>
  <c r="AH868" i="7"/>
  <c r="AG868" i="7"/>
  <c r="AF868" i="7"/>
  <c r="AC868" i="7"/>
  <c r="AB868" i="7"/>
  <c r="AA868" i="7"/>
  <c r="Z868" i="7"/>
  <c r="W868" i="7"/>
  <c r="V868" i="7"/>
  <c r="U868" i="7"/>
  <c r="T868" i="7"/>
  <c r="Q868" i="7"/>
  <c r="P868" i="7"/>
  <c r="O868" i="7"/>
  <c r="N868" i="7"/>
  <c r="K868" i="7"/>
  <c r="J868" i="7"/>
  <c r="I868" i="7"/>
  <c r="H868" i="7"/>
  <c r="E868" i="7"/>
  <c r="D868" i="7"/>
  <c r="C868" i="7"/>
  <c r="B868" i="7"/>
  <c r="AI867" i="7"/>
  <c r="AH867" i="7"/>
  <c r="AG867" i="7"/>
  <c r="AF867" i="7"/>
  <c r="AC867" i="7"/>
  <c r="AB867" i="7"/>
  <c r="AA867" i="7"/>
  <c r="Z867" i="7"/>
  <c r="W867" i="7"/>
  <c r="V867" i="7"/>
  <c r="U867" i="7"/>
  <c r="T867" i="7"/>
  <c r="Q867" i="7"/>
  <c r="P867" i="7"/>
  <c r="O867" i="7"/>
  <c r="N867" i="7"/>
  <c r="K867" i="7"/>
  <c r="J867" i="7"/>
  <c r="I867" i="7"/>
  <c r="H867" i="7"/>
  <c r="E867" i="7"/>
  <c r="D867" i="7"/>
  <c r="C867" i="7"/>
  <c r="B867" i="7"/>
  <c r="AI866" i="7"/>
  <c r="AH866" i="7"/>
  <c r="AG866" i="7"/>
  <c r="AF866" i="7"/>
  <c r="AC866" i="7"/>
  <c r="AB866" i="7"/>
  <c r="AA866" i="7"/>
  <c r="Z866" i="7"/>
  <c r="W866" i="7"/>
  <c r="V866" i="7"/>
  <c r="U866" i="7"/>
  <c r="T866" i="7"/>
  <c r="Q866" i="7"/>
  <c r="P866" i="7"/>
  <c r="O866" i="7"/>
  <c r="N866" i="7"/>
  <c r="K866" i="7"/>
  <c r="J866" i="7"/>
  <c r="I866" i="7"/>
  <c r="H866" i="7"/>
  <c r="E866" i="7"/>
  <c r="D866" i="7"/>
  <c r="C866" i="7"/>
  <c r="B866" i="7"/>
  <c r="AI865" i="7"/>
  <c r="AH865" i="7"/>
  <c r="AG865" i="7"/>
  <c r="AF865" i="7"/>
  <c r="AC865" i="7"/>
  <c r="AB865" i="7"/>
  <c r="AA865" i="7"/>
  <c r="Z865" i="7"/>
  <c r="W865" i="7"/>
  <c r="V865" i="7"/>
  <c r="U865" i="7"/>
  <c r="T865" i="7"/>
  <c r="Q865" i="7"/>
  <c r="P865" i="7"/>
  <c r="O865" i="7"/>
  <c r="N865" i="7"/>
  <c r="K865" i="7"/>
  <c r="J865" i="7"/>
  <c r="I865" i="7"/>
  <c r="H865" i="7"/>
  <c r="E865" i="7"/>
  <c r="D865" i="7"/>
  <c r="C865" i="7"/>
  <c r="B865" i="7"/>
  <c r="AI864" i="7"/>
  <c r="AH864" i="7"/>
  <c r="AG864" i="7"/>
  <c r="AF864" i="7"/>
  <c r="AC864" i="7"/>
  <c r="AB864" i="7"/>
  <c r="AA864" i="7"/>
  <c r="Z864" i="7"/>
  <c r="W864" i="7"/>
  <c r="V864" i="7"/>
  <c r="U864" i="7"/>
  <c r="T864" i="7"/>
  <c r="Q864" i="7"/>
  <c r="P864" i="7"/>
  <c r="O864" i="7"/>
  <c r="N864" i="7"/>
  <c r="K864" i="7"/>
  <c r="J864" i="7"/>
  <c r="I864" i="7"/>
  <c r="H864" i="7"/>
  <c r="E864" i="7"/>
  <c r="D864" i="7"/>
  <c r="C864" i="7"/>
  <c r="B864" i="7"/>
  <c r="AI863" i="7"/>
  <c r="AH863" i="7"/>
  <c r="AG863" i="7"/>
  <c r="AF863" i="7"/>
  <c r="AC863" i="7"/>
  <c r="AB863" i="7"/>
  <c r="AA863" i="7"/>
  <c r="Z863" i="7"/>
  <c r="W863" i="7"/>
  <c r="V863" i="7"/>
  <c r="U863" i="7"/>
  <c r="T863" i="7"/>
  <c r="Q863" i="7"/>
  <c r="P863" i="7"/>
  <c r="O863" i="7"/>
  <c r="N863" i="7"/>
  <c r="K863" i="7"/>
  <c r="J863" i="7"/>
  <c r="I863" i="7"/>
  <c r="H863" i="7"/>
  <c r="E863" i="7"/>
  <c r="D863" i="7"/>
  <c r="C863" i="7"/>
  <c r="B863" i="7"/>
  <c r="AI862" i="7"/>
  <c r="AH862" i="7"/>
  <c r="AG862" i="7"/>
  <c r="AF862" i="7"/>
  <c r="AC862" i="7"/>
  <c r="AB862" i="7"/>
  <c r="AA862" i="7"/>
  <c r="Z862" i="7"/>
  <c r="W862" i="7"/>
  <c r="V862" i="7"/>
  <c r="U862" i="7"/>
  <c r="T862" i="7"/>
  <c r="Q862" i="7"/>
  <c r="P862" i="7"/>
  <c r="O862" i="7"/>
  <c r="N862" i="7"/>
  <c r="K862" i="7"/>
  <c r="J862" i="7"/>
  <c r="I862" i="7"/>
  <c r="H862" i="7"/>
  <c r="E862" i="7"/>
  <c r="D862" i="7"/>
  <c r="C862" i="7"/>
  <c r="B862" i="7"/>
  <c r="AI861" i="7"/>
  <c r="AH861" i="7"/>
  <c r="AG861" i="7"/>
  <c r="AF861" i="7"/>
  <c r="AC861" i="7"/>
  <c r="AB861" i="7"/>
  <c r="AA861" i="7"/>
  <c r="Z861" i="7"/>
  <c r="W861" i="7"/>
  <c r="V861" i="7"/>
  <c r="U861" i="7"/>
  <c r="T861" i="7"/>
  <c r="Q861" i="7"/>
  <c r="P861" i="7"/>
  <c r="O861" i="7"/>
  <c r="N861" i="7"/>
  <c r="K861" i="7"/>
  <c r="J861" i="7"/>
  <c r="I861" i="7"/>
  <c r="H861" i="7"/>
  <c r="E861" i="7"/>
  <c r="D861" i="7"/>
  <c r="C861" i="7"/>
  <c r="B861" i="7"/>
  <c r="AI860" i="7"/>
  <c r="AH860" i="7"/>
  <c r="AG860" i="7"/>
  <c r="AF860" i="7"/>
  <c r="AC860" i="7"/>
  <c r="AB860" i="7"/>
  <c r="AA860" i="7"/>
  <c r="Z860" i="7"/>
  <c r="W860" i="7"/>
  <c r="V860" i="7"/>
  <c r="U860" i="7"/>
  <c r="T860" i="7"/>
  <c r="Q860" i="7"/>
  <c r="P860" i="7"/>
  <c r="O860" i="7"/>
  <c r="N860" i="7"/>
  <c r="K860" i="7"/>
  <c r="J860" i="7"/>
  <c r="I860" i="7"/>
  <c r="H860" i="7"/>
  <c r="E860" i="7"/>
  <c r="D860" i="7"/>
  <c r="C860" i="7"/>
  <c r="B860" i="7"/>
  <c r="AI859" i="7"/>
  <c r="AH859" i="7"/>
  <c r="AG859" i="7"/>
  <c r="AF859" i="7"/>
  <c r="AC859" i="7"/>
  <c r="AB859" i="7"/>
  <c r="AA859" i="7"/>
  <c r="Z859" i="7"/>
  <c r="W859" i="7"/>
  <c r="V859" i="7"/>
  <c r="U859" i="7"/>
  <c r="T859" i="7"/>
  <c r="Q859" i="7"/>
  <c r="P859" i="7"/>
  <c r="O859" i="7"/>
  <c r="N859" i="7"/>
  <c r="K859" i="7"/>
  <c r="J859" i="7"/>
  <c r="I859" i="7"/>
  <c r="H859" i="7"/>
  <c r="E859" i="7"/>
  <c r="D859" i="7"/>
  <c r="C859" i="7"/>
  <c r="B859" i="7"/>
  <c r="AI858" i="7"/>
  <c r="AH858" i="7"/>
  <c r="AG858" i="7"/>
  <c r="AF858" i="7"/>
  <c r="AC858" i="7"/>
  <c r="AB858" i="7"/>
  <c r="AA858" i="7"/>
  <c r="Z858" i="7"/>
  <c r="W858" i="7"/>
  <c r="V858" i="7"/>
  <c r="U858" i="7"/>
  <c r="T858" i="7"/>
  <c r="Q858" i="7"/>
  <c r="P858" i="7"/>
  <c r="O858" i="7"/>
  <c r="N858" i="7"/>
  <c r="K858" i="7"/>
  <c r="J858" i="7"/>
  <c r="I858" i="7"/>
  <c r="H858" i="7"/>
  <c r="E858" i="7"/>
  <c r="D858" i="7"/>
  <c r="C858" i="7"/>
  <c r="B858" i="7"/>
  <c r="AI857" i="7"/>
  <c r="AH857" i="7"/>
  <c r="AG857" i="7"/>
  <c r="AF857" i="7"/>
  <c r="AC857" i="7"/>
  <c r="AB857" i="7"/>
  <c r="AA857" i="7"/>
  <c r="Z857" i="7"/>
  <c r="W857" i="7"/>
  <c r="V857" i="7"/>
  <c r="U857" i="7"/>
  <c r="T857" i="7"/>
  <c r="Q857" i="7"/>
  <c r="P857" i="7"/>
  <c r="O857" i="7"/>
  <c r="N857" i="7"/>
  <c r="K857" i="7"/>
  <c r="J857" i="7"/>
  <c r="I857" i="7"/>
  <c r="H857" i="7"/>
  <c r="E857" i="7"/>
  <c r="D857" i="7"/>
  <c r="C857" i="7"/>
  <c r="B857" i="7"/>
  <c r="AI856" i="7"/>
  <c r="AH856" i="7"/>
  <c r="AG856" i="7"/>
  <c r="AF856" i="7"/>
  <c r="AC856" i="7"/>
  <c r="AB856" i="7"/>
  <c r="AA856" i="7"/>
  <c r="Z856" i="7"/>
  <c r="W856" i="7"/>
  <c r="V856" i="7"/>
  <c r="U856" i="7"/>
  <c r="T856" i="7"/>
  <c r="Q856" i="7"/>
  <c r="P856" i="7"/>
  <c r="O856" i="7"/>
  <c r="N856" i="7"/>
  <c r="K856" i="7"/>
  <c r="J856" i="7"/>
  <c r="I856" i="7"/>
  <c r="H856" i="7"/>
  <c r="E856" i="7"/>
  <c r="D856" i="7"/>
  <c r="C856" i="7"/>
  <c r="B856" i="7"/>
  <c r="AI855" i="7"/>
  <c r="AH855" i="7"/>
  <c r="AG855" i="7"/>
  <c r="AF855" i="7"/>
  <c r="AC855" i="7"/>
  <c r="AB855" i="7"/>
  <c r="AA855" i="7"/>
  <c r="Z855" i="7"/>
  <c r="W855" i="7"/>
  <c r="V855" i="7"/>
  <c r="U855" i="7"/>
  <c r="T855" i="7"/>
  <c r="Q855" i="7"/>
  <c r="P855" i="7"/>
  <c r="O855" i="7"/>
  <c r="N855" i="7"/>
  <c r="K855" i="7"/>
  <c r="J855" i="7"/>
  <c r="I855" i="7"/>
  <c r="H855" i="7"/>
  <c r="E855" i="7"/>
  <c r="D855" i="7"/>
  <c r="C855" i="7"/>
  <c r="B855" i="7"/>
  <c r="AI854" i="7"/>
  <c r="AH854" i="7"/>
  <c r="AG854" i="7"/>
  <c r="AF854" i="7"/>
  <c r="AC854" i="7"/>
  <c r="AB854" i="7"/>
  <c r="AA854" i="7"/>
  <c r="Z854" i="7"/>
  <c r="W854" i="7"/>
  <c r="V854" i="7"/>
  <c r="U854" i="7"/>
  <c r="T854" i="7"/>
  <c r="Q854" i="7"/>
  <c r="P854" i="7"/>
  <c r="O854" i="7"/>
  <c r="N854" i="7"/>
  <c r="K854" i="7"/>
  <c r="J854" i="7"/>
  <c r="I854" i="7"/>
  <c r="H854" i="7"/>
  <c r="E854" i="7"/>
  <c r="D854" i="7"/>
  <c r="C854" i="7"/>
  <c r="B854" i="7"/>
  <c r="AI853" i="7"/>
  <c r="AH853" i="7"/>
  <c r="AG853" i="7"/>
  <c r="AF853" i="7"/>
  <c r="AC853" i="7"/>
  <c r="AB853" i="7"/>
  <c r="AA853" i="7"/>
  <c r="Z853" i="7"/>
  <c r="W853" i="7"/>
  <c r="V853" i="7"/>
  <c r="U853" i="7"/>
  <c r="T853" i="7"/>
  <c r="Q853" i="7"/>
  <c r="P853" i="7"/>
  <c r="O853" i="7"/>
  <c r="N853" i="7"/>
  <c r="K853" i="7"/>
  <c r="J853" i="7"/>
  <c r="I853" i="7"/>
  <c r="H853" i="7"/>
  <c r="E853" i="7"/>
  <c r="D853" i="7"/>
  <c r="C853" i="7"/>
  <c r="B853" i="7"/>
  <c r="AI852" i="7"/>
  <c r="AH852" i="7"/>
  <c r="AG852" i="7"/>
  <c r="AF852" i="7"/>
  <c r="AC852" i="7"/>
  <c r="AB852" i="7"/>
  <c r="AA852" i="7"/>
  <c r="Z852" i="7"/>
  <c r="W852" i="7"/>
  <c r="V852" i="7"/>
  <c r="U852" i="7"/>
  <c r="T852" i="7"/>
  <c r="Q852" i="7"/>
  <c r="P852" i="7"/>
  <c r="O852" i="7"/>
  <c r="N852" i="7"/>
  <c r="K852" i="7"/>
  <c r="J852" i="7"/>
  <c r="I852" i="7"/>
  <c r="H852" i="7"/>
  <c r="E852" i="7"/>
  <c r="D852" i="7"/>
  <c r="C852" i="7"/>
  <c r="B852" i="7"/>
  <c r="AI851" i="7"/>
  <c r="AH851" i="7"/>
  <c r="AG851" i="7"/>
  <c r="AF851" i="7"/>
  <c r="AC851" i="7"/>
  <c r="AB851" i="7"/>
  <c r="AA851" i="7"/>
  <c r="Z851" i="7"/>
  <c r="W851" i="7"/>
  <c r="V851" i="7"/>
  <c r="U851" i="7"/>
  <c r="T851" i="7"/>
  <c r="Q851" i="7"/>
  <c r="P851" i="7"/>
  <c r="O851" i="7"/>
  <c r="N851" i="7"/>
  <c r="K851" i="7"/>
  <c r="J851" i="7"/>
  <c r="I851" i="7"/>
  <c r="H851" i="7"/>
  <c r="E851" i="7"/>
  <c r="D851" i="7"/>
  <c r="C851" i="7"/>
  <c r="B851" i="7"/>
  <c r="AI850" i="7"/>
  <c r="AH850" i="7"/>
  <c r="AG850" i="7"/>
  <c r="AF850" i="7"/>
  <c r="AC850" i="7"/>
  <c r="AB850" i="7"/>
  <c r="AA850" i="7"/>
  <c r="Z850" i="7"/>
  <c r="W850" i="7"/>
  <c r="V850" i="7"/>
  <c r="U850" i="7"/>
  <c r="T850" i="7"/>
  <c r="Q850" i="7"/>
  <c r="P850" i="7"/>
  <c r="O850" i="7"/>
  <c r="N850" i="7"/>
  <c r="K850" i="7"/>
  <c r="J850" i="7"/>
  <c r="I850" i="7"/>
  <c r="H850" i="7"/>
  <c r="E850" i="7"/>
  <c r="D850" i="7"/>
  <c r="C850" i="7"/>
  <c r="B850" i="7"/>
  <c r="AI849" i="7"/>
  <c r="AH849" i="7"/>
  <c r="AG849" i="7"/>
  <c r="AF849" i="7"/>
  <c r="AC849" i="7"/>
  <c r="AB849" i="7"/>
  <c r="AA849" i="7"/>
  <c r="Z849" i="7"/>
  <c r="W849" i="7"/>
  <c r="V849" i="7"/>
  <c r="U849" i="7"/>
  <c r="T849" i="7"/>
  <c r="Q849" i="7"/>
  <c r="P849" i="7"/>
  <c r="O849" i="7"/>
  <c r="N849" i="7"/>
  <c r="K849" i="7"/>
  <c r="J849" i="7"/>
  <c r="I849" i="7"/>
  <c r="H849" i="7"/>
  <c r="E849" i="7"/>
  <c r="D849" i="7"/>
  <c r="C849" i="7"/>
  <c r="B849" i="7"/>
  <c r="AI848" i="7"/>
  <c r="AH848" i="7"/>
  <c r="AG848" i="7"/>
  <c r="AF848" i="7"/>
  <c r="AC848" i="7"/>
  <c r="AB848" i="7"/>
  <c r="AA848" i="7"/>
  <c r="Z848" i="7"/>
  <c r="W848" i="7"/>
  <c r="V848" i="7"/>
  <c r="U848" i="7"/>
  <c r="T848" i="7"/>
  <c r="Q848" i="7"/>
  <c r="P848" i="7"/>
  <c r="O848" i="7"/>
  <c r="N848" i="7"/>
  <c r="K848" i="7"/>
  <c r="J848" i="7"/>
  <c r="I848" i="7"/>
  <c r="H848" i="7"/>
  <c r="E848" i="7"/>
  <c r="D848" i="7"/>
  <c r="C848" i="7"/>
  <c r="B848" i="7"/>
  <c r="AI847" i="7"/>
  <c r="AH847" i="7"/>
  <c r="AG847" i="7"/>
  <c r="AF847" i="7"/>
  <c r="AC847" i="7"/>
  <c r="AB847" i="7"/>
  <c r="AA847" i="7"/>
  <c r="Z847" i="7"/>
  <c r="W847" i="7"/>
  <c r="V847" i="7"/>
  <c r="U847" i="7"/>
  <c r="T847" i="7"/>
  <c r="Q847" i="7"/>
  <c r="P847" i="7"/>
  <c r="O847" i="7"/>
  <c r="N847" i="7"/>
  <c r="K847" i="7"/>
  <c r="J847" i="7"/>
  <c r="I847" i="7"/>
  <c r="H847" i="7"/>
  <c r="E847" i="7"/>
  <c r="D847" i="7"/>
  <c r="C847" i="7"/>
  <c r="B847" i="7"/>
  <c r="AI846" i="7"/>
  <c r="AH846" i="7"/>
  <c r="AG846" i="7"/>
  <c r="AF846" i="7"/>
  <c r="AC846" i="7"/>
  <c r="AB846" i="7"/>
  <c r="AA846" i="7"/>
  <c r="Z846" i="7"/>
  <c r="W846" i="7"/>
  <c r="V846" i="7"/>
  <c r="U846" i="7"/>
  <c r="T846" i="7"/>
  <c r="Q846" i="7"/>
  <c r="P846" i="7"/>
  <c r="O846" i="7"/>
  <c r="N846" i="7"/>
  <c r="K846" i="7"/>
  <c r="J846" i="7"/>
  <c r="I846" i="7"/>
  <c r="H846" i="7"/>
  <c r="E846" i="7"/>
  <c r="D846" i="7"/>
  <c r="C846" i="7"/>
  <c r="B846" i="7"/>
  <c r="AI845" i="7"/>
  <c r="AH845" i="7"/>
  <c r="AG845" i="7"/>
  <c r="AF845" i="7"/>
  <c r="AC845" i="7"/>
  <c r="AB845" i="7"/>
  <c r="AA845" i="7"/>
  <c r="Z845" i="7"/>
  <c r="W845" i="7"/>
  <c r="V845" i="7"/>
  <c r="U845" i="7"/>
  <c r="T845" i="7"/>
  <c r="Q845" i="7"/>
  <c r="P845" i="7"/>
  <c r="O845" i="7"/>
  <c r="N845" i="7"/>
  <c r="K845" i="7"/>
  <c r="J845" i="7"/>
  <c r="I845" i="7"/>
  <c r="H845" i="7"/>
  <c r="E845" i="7"/>
  <c r="D845" i="7"/>
  <c r="C845" i="7"/>
  <c r="B845" i="7"/>
  <c r="AI844" i="7"/>
  <c r="AH844" i="7"/>
  <c r="AG844" i="7"/>
  <c r="AF844" i="7"/>
  <c r="AC844" i="7"/>
  <c r="AB844" i="7"/>
  <c r="AA844" i="7"/>
  <c r="Z844" i="7"/>
  <c r="W844" i="7"/>
  <c r="V844" i="7"/>
  <c r="U844" i="7"/>
  <c r="T844" i="7"/>
  <c r="Q844" i="7"/>
  <c r="P844" i="7"/>
  <c r="O844" i="7"/>
  <c r="N844" i="7"/>
  <c r="K844" i="7"/>
  <c r="J844" i="7"/>
  <c r="I844" i="7"/>
  <c r="H844" i="7"/>
  <c r="E844" i="7"/>
  <c r="D844" i="7"/>
  <c r="C844" i="7"/>
  <c r="B844" i="7"/>
  <c r="AI843" i="7"/>
  <c r="AH843" i="7"/>
  <c r="AG843" i="7"/>
  <c r="AF843" i="7"/>
  <c r="AC843" i="7"/>
  <c r="AB843" i="7"/>
  <c r="AA843" i="7"/>
  <c r="Z843" i="7"/>
  <c r="W843" i="7"/>
  <c r="V843" i="7"/>
  <c r="U843" i="7"/>
  <c r="T843" i="7"/>
  <c r="Q843" i="7"/>
  <c r="P843" i="7"/>
  <c r="O843" i="7"/>
  <c r="N843" i="7"/>
  <c r="K843" i="7"/>
  <c r="J843" i="7"/>
  <c r="I843" i="7"/>
  <c r="H843" i="7"/>
  <c r="E843" i="7"/>
  <c r="D843" i="7"/>
  <c r="C843" i="7"/>
  <c r="B843" i="7"/>
  <c r="AI842" i="7"/>
  <c r="AH842" i="7"/>
  <c r="AG842" i="7"/>
  <c r="AF842" i="7"/>
  <c r="AC842" i="7"/>
  <c r="AB842" i="7"/>
  <c r="AA842" i="7"/>
  <c r="Z842" i="7"/>
  <c r="W842" i="7"/>
  <c r="V842" i="7"/>
  <c r="U842" i="7"/>
  <c r="T842" i="7"/>
  <c r="Q842" i="7"/>
  <c r="P842" i="7"/>
  <c r="O842" i="7"/>
  <c r="N842" i="7"/>
  <c r="K842" i="7"/>
  <c r="J842" i="7"/>
  <c r="I842" i="7"/>
  <c r="H842" i="7"/>
  <c r="E842" i="7"/>
  <c r="D842" i="7"/>
  <c r="C842" i="7"/>
  <c r="B842" i="7"/>
  <c r="AI841" i="7"/>
  <c r="AH841" i="7"/>
  <c r="AG841" i="7"/>
  <c r="AF841" i="7"/>
  <c r="AC841" i="7"/>
  <c r="AB841" i="7"/>
  <c r="AA841" i="7"/>
  <c r="Z841" i="7"/>
  <c r="W841" i="7"/>
  <c r="V841" i="7"/>
  <c r="U841" i="7"/>
  <c r="T841" i="7"/>
  <c r="Q841" i="7"/>
  <c r="P841" i="7"/>
  <c r="O841" i="7"/>
  <c r="N841" i="7"/>
  <c r="K841" i="7"/>
  <c r="J841" i="7"/>
  <c r="I841" i="7"/>
  <c r="H841" i="7"/>
  <c r="E841" i="7"/>
  <c r="D841" i="7"/>
  <c r="C841" i="7"/>
  <c r="B841" i="7"/>
  <c r="AI840" i="7"/>
  <c r="AH840" i="7"/>
  <c r="AG840" i="7"/>
  <c r="AF840" i="7"/>
  <c r="AC840" i="7"/>
  <c r="AB840" i="7"/>
  <c r="AA840" i="7"/>
  <c r="Z840" i="7"/>
  <c r="W840" i="7"/>
  <c r="V840" i="7"/>
  <c r="U840" i="7"/>
  <c r="T840" i="7"/>
  <c r="Q840" i="7"/>
  <c r="P840" i="7"/>
  <c r="O840" i="7"/>
  <c r="N840" i="7"/>
  <c r="K840" i="7"/>
  <c r="J840" i="7"/>
  <c r="I840" i="7"/>
  <c r="H840" i="7"/>
  <c r="E840" i="7"/>
  <c r="D840" i="7"/>
  <c r="C840" i="7"/>
  <c r="B840" i="7"/>
  <c r="AI839" i="7"/>
  <c r="AH839" i="7"/>
  <c r="AG839" i="7"/>
  <c r="AF839" i="7"/>
  <c r="AC839" i="7"/>
  <c r="AB839" i="7"/>
  <c r="AA839" i="7"/>
  <c r="Z839" i="7"/>
  <c r="W839" i="7"/>
  <c r="V839" i="7"/>
  <c r="U839" i="7"/>
  <c r="T839" i="7"/>
  <c r="Q839" i="7"/>
  <c r="P839" i="7"/>
  <c r="O839" i="7"/>
  <c r="N839" i="7"/>
  <c r="K839" i="7"/>
  <c r="J839" i="7"/>
  <c r="I839" i="7"/>
  <c r="H839" i="7"/>
  <c r="E839" i="7"/>
  <c r="D839" i="7"/>
  <c r="C839" i="7"/>
  <c r="B839" i="7"/>
  <c r="AI838" i="7"/>
  <c r="AH838" i="7"/>
  <c r="AG838" i="7"/>
  <c r="AF838" i="7"/>
  <c r="AC838" i="7"/>
  <c r="AB838" i="7"/>
  <c r="AA838" i="7"/>
  <c r="Z838" i="7"/>
  <c r="W838" i="7"/>
  <c r="V838" i="7"/>
  <c r="U838" i="7"/>
  <c r="T838" i="7"/>
  <c r="Q838" i="7"/>
  <c r="P838" i="7"/>
  <c r="O838" i="7"/>
  <c r="N838" i="7"/>
  <c r="K838" i="7"/>
  <c r="J838" i="7"/>
  <c r="I838" i="7"/>
  <c r="H838" i="7"/>
  <c r="E838" i="7"/>
  <c r="D838" i="7"/>
  <c r="C838" i="7"/>
  <c r="B838" i="7"/>
  <c r="AI837" i="7"/>
  <c r="AH837" i="7"/>
  <c r="AG837" i="7"/>
  <c r="AF837" i="7"/>
  <c r="AC837" i="7"/>
  <c r="AB837" i="7"/>
  <c r="AA837" i="7"/>
  <c r="Z837" i="7"/>
  <c r="W837" i="7"/>
  <c r="V837" i="7"/>
  <c r="U837" i="7"/>
  <c r="T837" i="7"/>
  <c r="Q837" i="7"/>
  <c r="P837" i="7"/>
  <c r="O837" i="7"/>
  <c r="N837" i="7"/>
  <c r="K837" i="7"/>
  <c r="J837" i="7"/>
  <c r="I837" i="7"/>
  <c r="H837" i="7"/>
  <c r="E837" i="7"/>
  <c r="D837" i="7"/>
  <c r="C837" i="7"/>
  <c r="B837" i="7"/>
  <c r="AI836" i="7"/>
  <c r="AH836" i="7"/>
  <c r="AG836" i="7"/>
  <c r="AF836" i="7"/>
  <c r="AC836" i="7"/>
  <c r="AB836" i="7"/>
  <c r="AA836" i="7"/>
  <c r="Z836" i="7"/>
  <c r="W836" i="7"/>
  <c r="V836" i="7"/>
  <c r="U836" i="7"/>
  <c r="T836" i="7"/>
  <c r="Q836" i="7"/>
  <c r="P836" i="7"/>
  <c r="O836" i="7"/>
  <c r="N836" i="7"/>
  <c r="K836" i="7"/>
  <c r="J836" i="7"/>
  <c r="I836" i="7"/>
  <c r="H836" i="7"/>
  <c r="E836" i="7"/>
  <c r="D836" i="7"/>
  <c r="C836" i="7"/>
  <c r="B836" i="7"/>
  <c r="AI835" i="7"/>
  <c r="AH835" i="7"/>
  <c r="AG835" i="7"/>
  <c r="AF835" i="7"/>
  <c r="AC835" i="7"/>
  <c r="AB835" i="7"/>
  <c r="AA835" i="7"/>
  <c r="Z835" i="7"/>
  <c r="W835" i="7"/>
  <c r="V835" i="7"/>
  <c r="U835" i="7"/>
  <c r="T835" i="7"/>
  <c r="Q835" i="7"/>
  <c r="P835" i="7"/>
  <c r="O835" i="7"/>
  <c r="N835" i="7"/>
  <c r="K835" i="7"/>
  <c r="J835" i="7"/>
  <c r="I835" i="7"/>
  <c r="H835" i="7"/>
  <c r="E835" i="7"/>
  <c r="D835" i="7"/>
  <c r="C835" i="7"/>
  <c r="B835" i="7"/>
  <c r="AI834" i="7"/>
  <c r="AH834" i="7"/>
  <c r="AG834" i="7"/>
  <c r="AF834" i="7"/>
  <c r="AC834" i="7"/>
  <c r="AB834" i="7"/>
  <c r="AA834" i="7"/>
  <c r="Z834" i="7"/>
  <c r="W834" i="7"/>
  <c r="V834" i="7"/>
  <c r="U834" i="7"/>
  <c r="T834" i="7"/>
  <c r="Q834" i="7"/>
  <c r="P834" i="7"/>
  <c r="O834" i="7"/>
  <c r="N834" i="7"/>
  <c r="K834" i="7"/>
  <c r="J834" i="7"/>
  <c r="I834" i="7"/>
  <c r="H834" i="7"/>
  <c r="E834" i="7"/>
  <c r="D834" i="7"/>
  <c r="C834" i="7"/>
  <c r="B834" i="7"/>
  <c r="AI833" i="7"/>
  <c r="AH833" i="7"/>
  <c r="AG833" i="7"/>
  <c r="AF833" i="7"/>
  <c r="AC833" i="7"/>
  <c r="AB833" i="7"/>
  <c r="AA833" i="7"/>
  <c r="Z833" i="7"/>
  <c r="W833" i="7"/>
  <c r="V833" i="7"/>
  <c r="U833" i="7"/>
  <c r="T833" i="7"/>
  <c r="Q833" i="7"/>
  <c r="P833" i="7"/>
  <c r="O833" i="7"/>
  <c r="N833" i="7"/>
  <c r="K833" i="7"/>
  <c r="J833" i="7"/>
  <c r="I833" i="7"/>
  <c r="H833" i="7"/>
  <c r="E833" i="7"/>
  <c r="D833" i="7"/>
  <c r="C833" i="7"/>
  <c r="B833" i="7"/>
  <c r="AI832" i="7"/>
  <c r="AH832" i="7"/>
  <c r="AG832" i="7"/>
  <c r="AF832" i="7"/>
  <c r="AC832" i="7"/>
  <c r="AB832" i="7"/>
  <c r="AA832" i="7"/>
  <c r="Z832" i="7"/>
  <c r="W832" i="7"/>
  <c r="V832" i="7"/>
  <c r="U832" i="7"/>
  <c r="T832" i="7"/>
  <c r="Q832" i="7"/>
  <c r="P832" i="7"/>
  <c r="O832" i="7"/>
  <c r="N832" i="7"/>
  <c r="K832" i="7"/>
  <c r="J832" i="7"/>
  <c r="I832" i="7"/>
  <c r="H832" i="7"/>
  <c r="E832" i="7"/>
  <c r="D832" i="7"/>
  <c r="C832" i="7"/>
  <c r="B832" i="7"/>
  <c r="AI831" i="7"/>
  <c r="AH831" i="7"/>
  <c r="AG831" i="7"/>
  <c r="AF831" i="7"/>
  <c r="AC831" i="7"/>
  <c r="AB831" i="7"/>
  <c r="AA831" i="7"/>
  <c r="Z831" i="7"/>
  <c r="W831" i="7"/>
  <c r="V831" i="7"/>
  <c r="U831" i="7"/>
  <c r="T831" i="7"/>
  <c r="Q831" i="7"/>
  <c r="P831" i="7"/>
  <c r="O831" i="7"/>
  <c r="N831" i="7"/>
  <c r="K831" i="7"/>
  <c r="J831" i="7"/>
  <c r="I831" i="7"/>
  <c r="H831" i="7"/>
  <c r="E831" i="7"/>
  <c r="D831" i="7"/>
  <c r="C831" i="7"/>
  <c r="B831" i="7"/>
  <c r="AI830" i="7"/>
  <c r="AH830" i="7"/>
  <c r="AG830" i="7"/>
  <c r="AF830" i="7"/>
  <c r="AC830" i="7"/>
  <c r="AB830" i="7"/>
  <c r="AA830" i="7"/>
  <c r="Z830" i="7"/>
  <c r="W830" i="7"/>
  <c r="V830" i="7"/>
  <c r="U830" i="7"/>
  <c r="T830" i="7"/>
  <c r="Q830" i="7"/>
  <c r="P830" i="7"/>
  <c r="O830" i="7"/>
  <c r="N830" i="7"/>
  <c r="K830" i="7"/>
  <c r="J830" i="7"/>
  <c r="I830" i="7"/>
  <c r="H830" i="7"/>
  <c r="E830" i="7"/>
  <c r="D830" i="7"/>
  <c r="C830" i="7"/>
  <c r="B830" i="7"/>
  <c r="AI829" i="7"/>
  <c r="AH829" i="7"/>
  <c r="AG829" i="7"/>
  <c r="AF829" i="7"/>
  <c r="AC829" i="7"/>
  <c r="AB829" i="7"/>
  <c r="AA829" i="7"/>
  <c r="Z829" i="7"/>
  <c r="W829" i="7"/>
  <c r="V829" i="7"/>
  <c r="U829" i="7"/>
  <c r="T829" i="7"/>
  <c r="Q829" i="7"/>
  <c r="P829" i="7"/>
  <c r="O829" i="7"/>
  <c r="N829" i="7"/>
  <c r="K829" i="7"/>
  <c r="J829" i="7"/>
  <c r="I829" i="7"/>
  <c r="H829" i="7"/>
  <c r="E829" i="7"/>
  <c r="D829" i="7"/>
  <c r="C829" i="7"/>
  <c r="B829" i="7"/>
  <c r="AI828" i="7"/>
  <c r="AH828" i="7"/>
  <c r="AG828" i="7"/>
  <c r="AF828" i="7"/>
  <c r="AC828" i="7"/>
  <c r="AB828" i="7"/>
  <c r="AA828" i="7"/>
  <c r="Z828" i="7"/>
  <c r="W828" i="7"/>
  <c r="V828" i="7"/>
  <c r="U828" i="7"/>
  <c r="T828" i="7"/>
  <c r="Q828" i="7"/>
  <c r="P828" i="7"/>
  <c r="O828" i="7"/>
  <c r="N828" i="7"/>
  <c r="K828" i="7"/>
  <c r="J828" i="7"/>
  <c r="I828" i="7"/>
  <c r="H828" i="7"/>
  <c r="E828" i="7"/>
  <c r="D828" i="7"/>
  <c r="C828" i="7"/>
  <c r="B828" i="7"/>
  <c r="AI827" i="7"/>
  <c r="AH827" i="7"/>
  <c r="AG827" i="7"/>
  <c r="AF827" i="7"/>
  <c r="AC827" i="7"/>
  <c r="AB827" i="7"/>
  <c r="AA827" i="7"/>
  <c r="Z827" i="7"/>
  <c r="W827" i="7"/>
  <c r="V827" i="7"/>
  <c r="U827" i="7"/>
  <c r="T827" i="7"/>
  <c r="Q827" i="7"/>
  <c r="P827" i="7"/>
  <c r="O827" i="7"/>
  <c r="N827" i="7"/>
  <c r="K827" i="7"/>
  <c r="J827" i="7"/>
  <c r="I827" i="7"/>
  <c r="H827" i="7"/>
  <c r="E827" i="7"/>
  <c r="D827" i="7"/>
  <c r="C827" i="7"/>
  <c r="B827" i="7"/>
  <c r="AI826" i="7"/>
  <c r="AH826" i="7"/>
  <c r="AG826" i="7"/>
  <c r="AF826" i="7"/>
  <c r="AC826" i="7"/>
  <c r="AB826" i="7"/>
  <c r="AA826" i="7"/>
  <c r="Z826" i="7"/>
  <c r="W826" i="7"/>
  <c r="V826" i="7"/>
  <c r="U826" i="7"/>
  <c r="T826" i="7"/>
  <c r="Q826" i="7"/>
  <c r="P826" i="7"/>
  <c r="O826" i="7"/>
  <c r="N826" i="7"/>
  <c r="K826" i="7"/>
  <c r="J826" i="7"/>
  <c r="I826" i="7"/>
  <c r="H826" i="7"/>
  <c r="E826" i="7"/>
  <c r="D826" i="7"/>
  <c r="C826" i="7"/>
  <c r="B826" i="7"/>
  <c r="AI825" i="7"/>
  <c r="AH825" i="7"/>
  <c r="AG825" i="7"/>
  <c r="AF825" i="7"/>
  <c r="AC825" i="7"/>
  <c r="AB825" i="7"/>
  <c r="AA825" i="7"/>
  <c r="Z825" i="7"/>
  <c r="W825" i="7"/>
  <c r="V825" i="7"/>
  <c r="U825" i="7"/>
  <c r="T825" i="7"/>
  <c r="Q825" i="7"/>
  <c r="P825" i="7"/>
  <c r="O825" i="7"/>
  <c r="N825" i="7"/>
  <c r="K825" i="7"/>
  <c r="J825" i="7"/>
  <c r="I825" i="7"/>
  <c r="H825" i="7"/>
  <c r="E825" i="7"/>
  <c r="D825" i="7"/>
  <c r="C825" i="7"/>
  <c r="B825" i="7"/>
  <c r="AI824" i="7"/>
  <c r="AH824" i="7"/>
  <c r="AG824" i="7"/>
  <c r="AF824" i="7"/>
  <c r="AC824" i="7"/>
  <c r="AB824" i="7"/>
  <c r="AA824" i="7"/>
  <c r="Z824" i="7"/>
  <c r="W824" i="7"/>
  <c r="V824" i="7"/>
  <c r="U824" i="7"/>
  <c r="T824" i="7"/>
  <c r="Q824" i="7"/>
  <c r="P824" i="7"/>
  <c r="O824" i="7"/>
  <c r="N824" i="7"/>
  <c r="K824" i="7"/>
  <c r="J824" i="7"/>
  <c r="I824" i="7"/>
  <c r="H824" i="7"/>
  <c r="E824" i="7"/>
  <c r="D824" i="7"/>
  <c r="C824" i="7"/>
  <c r="B824" i="7"/>
  <c r="AI823" i="7"/>
  <c r="AH823" i="7"/>
  <c r="AG823" i="7"/>
  <c r="AF823" i="7"/>
  <c r="AC823" i="7"/>
  <c r="AB823" i="7"/>
  <c r="AA823" i="7"/>
  <c r="Z823" i="7"/>
  <c r="W823" i="7"/>
  <c r="V823" i="7"/>
  <c r="U823" i="7"/>
  <c r="T823" i="7"/>
  <c r="Q823" i="7"/>
  <c r="P823" i="7"/>
  <c r="O823" i="7"/>
  <c r="N823" i="7"/>
  <c r="K823" i="7"/>
  <c r="J823" i="7"/>
  <c r="I823" i="7"/>
  <c r="H823" i="7"/>
  <c r="E823" i="7"/>
  <c r="D823" i="7"/>
  <c r="C823" i="7"/>
  <c r="B823" i="7"/>
  <c r="AI822" i="7"/>
  <c r="AH822" i="7"/>
  <c r="AG822" i="7"/>
  <c r="AF822" i="7"/>
  <c r="AC822" i="7"/>
  <c r="AB822" i="7"/>
  <c r="AA822" i="7"/>
  <c r="Z822" i="7"/>
  <c r="W822" i="7"/>
  <c r="V822" i="7"/>
  <c r="U822" i="7"/>
  <c r="T822" i="7"/>
  <c r="Q822" i="7"/>
  <c r="P822" i="7"/>
  <c r="O822" i="7"/>
  <c r="N822" i="7"/>
  <c r="K822" i="7"/>
  <c r="J822" i="7"/>
  <c r="I822" i="7"/>
  <c r="H822" i="7"/>
  <c r="E822" i="7"/>
  <c r="D822" i="7"/>
  <c r="C822" i="7"/>
  <c r="B822" i="7"/>
  <c r="AI821" i="7"/>
  <c r="AH821" i="7"/>
  <c r="AG821" i="7"/>
  <c r="AF821" i="7"/>
  <c r="AC821" i="7"/>
  <c r="AB821" i="7"/>
  <c r="AA821" i="7"/>
  <c r="Z821" i="7"/>
  <c r="W821" i="7"/>
  <c r="V821" i="7"/>
  <c r="U821" i="7"/>
  <c r="T821" i="7"/>
  <c r="Q821" i="7"/>
  <c r="P821" i="7"/>
  <c r="O821" i="7"/>
  <c r="N821" i="7"/>
  <c r="K821" i="7"/>
  <c r="J821" i="7"/>
  <c r="I821" i="7"/>
  <c r="H821" i="7"/>
  <c r="E821" i="7"/>
  <c r="D821" i="7"/>
  <c r="C821" i="7"/>
  <c r="B821" i="7"/>
  <c r="AI820" i="7"/>
  <c r="AH820" i="7"/>
  <c r="AG820" i="7"/>
  <c r="AF820" i="7"/>
  <c r="AC820" i="7"/>
  <c r="AB820" i="7"/>
  <c r="AA820" i="7"/>
  <c r="Z820" i="7"/>
  <c r="W820" i="7"/>
  <c r="V820" i="7"/>
  <c r="U820" i="7"/>
  <c r="T820" i="7"/>
  <c r="Q820" i="7"/>
  <c r="P820" i="7"/>
  <c r="O820" i="7"/>
  <c r="N820" i="7"/>
  <c r="K820" i="7"/>
  <c r="J820" i="7"/>
  <c r="I820" i="7"/>
  <c r="H820" i="7"/>
  <c r="E820" i="7"/>
  <c r="D820" i="7"/>
  <c r="C820" i="7"/>
  <c r="B820" i="7"/>
  <c r="AI819" i="7"/>
  <c r="AH819" i="7"/>
  <c r="AG819" i="7"/>
  <c r="AF819" i="7"/>
  <c r="AC819" i="7"/>
  <c r="AB819" i="7"/>
  <c r="AA819" i="7"/>
  <c r="Z819" i="7"/>
  <c r="W819" i="7"/>
  <c r="V819" i="7"/>
  <c r="U819" i="7"/>
  <c r="T819" i="7"/>
  <c r="Q819" i="7"/>
  <c r="P819" i="7"/>
  <c r="O819" i="7"/>
  <c r="N819" i="7"/>
  <c r="K819" i="7"/>
  <c r="J819" i="7"/>
  <c r="I819" i="7"/>
  <c r="H819" i="7"/>
  <c r="E819" i="7"/>
  <c r="D819" i="7"/>
  <c r="C819" i="7"/>
  <c r="B819" i="7"/>
  <c r="AI818" i="7"/>
  <c r="AH818" i="7"/>
  <c r="AG818" i="7"/>
  <c r="AF818" i="7"/>
  <c r="AC818" i="7"/>
  <c r="AB818" i="7"/>
  <c r="AA818" i="7"/>
  <c r="Z818" i="7"/>
  <c r="W818" i="7"/>
  <c r="V818" i="7"/>
  <c r="U818" i="7"/>
  <c r="T818" i="7"/>
  <c r="Q818" i="7"/>
  <c r="P818" i="7"/>
  <c r="O818" i="7"/>
  <c r="N818" i="7"/>
  <c r="K818" i="7"/>
  <c r="J818" i="7"/>
  <c r="I818" i="7"/>
  <c r="H818" i="7"/>
  <c r="E818" i="7"/>
  <c r="D818" i="7"/>
  <c r="C818" i="7"/>
  <c r="B818" i="7"/>
  <c r="AI817" i="7"/>
  <c r="AH817" i="7"/>
  <c r="AG817" i="7"/>
  <c r="AF817" i="7"/>
  <c r="AC817" i="7"/>
  <c r="AB817" i="7"/>
  <c r="AA817" i="7"/>
  <c r="Z817" i="7"/>
  <c r="W817" i="7"/>
  <c r="V817" i="7"/>
  <c r="U817" i="7"/>
  <c r="T817" i="7"/>
  <c r="Q817" i="7"/>
  <c r="P817" i="7"/>
  <c r="O817" i="7"/>
  <c r="N817" i="7"/>
  <c r="K817" i="7"/>
  <c r="J817" i="7"/>
  <c r="I817" i="7"/>
  <c r="H817" i="7"/>
  <c r="E817" i="7"/>
  <c r="D817" i="7"/>
  <c r="C817" i="7"/>
  <c r="B817" i="7"/>
  <c r="AI816" i="7"/>
  <c r="AH816" i="7"/>
  <c r="AG816" i="7"/>
  <c r="AF816" i="7"/>
  <c r="AC816" i="7"/>
  <c r="AB816" i="7"/>
  <c r="AA816" i="7"/>
  <c r="Z816" i="7"/>
  <c r="W816" i="7"/>
  <c r="V816" i="7"/>
  <c r="U816" i="7"/>
  <c r="T816" i="7"/>
  <c r="Q816" i="7"/>
  <c r="P816" i="7"/>
  <c r="O816" i="7"/>
  <c r="N816" i="7"/>
  <c r="K816" i="7"/>
  <c r="J816" i="7"/>
  <c r="I816" i="7"/>
  <c r="H816" i="7"/>
  <c r="E816" i="7"/>
  <c r="D816" i="7"/>
  <c r="C816" i="7"/>
  <c r="B816" i="7"/>
  <c r="AI815" i="7"/>
  <c r="AH815" i="7"/>
  <c r="AG815" i="7"/>
  <c r="AF815" i="7"/>
  <c r="AC815" i="7"/>
  <c r="AB815" i="7"/>
  <c r="AA815" i="7"/>
  <c r="Z815" i="7"/>
  <c r="W815" i="7"/>
  <c r="V815" i="7"/>
  <c r="U815" i="7"/>
  <c r="T815" i="7"/>
  <c r="Q815" i="7"/>
  <c r="P815" i="7"/>
  <c r="O815" i="7"/>
  <c r="N815" i="7"/>
  <c r="K815" i="7"/>
  <c r="J815" i="7"/>
  <c r="I815" i="7"/>
  <c r="H815" i="7"/>
  <c r="E815" i="7"/>
  <c r="D815" i="7"/>
  <c r="C815" i="7"/>
  <c r="B815" i="7"/>
  <c r="AI814" i="7"/>
  <c r="AH814" i="7"/>
  <c r="AG814" i="7"/>
  <c r="AF814" i="7"/>
  <c r="AC814" i="7"/>
  <c r="AB814" i="7"/>
  <c r="AA814" i="7"/>
  <c r="Z814" i="7"/>
  <c r="W814" i="7"/>
  <c r="V814" i="7"/>
  <c r="U814" i="7"/>
  <c r="T814" i="7"/>
  <c r="Q814" i="7"/>
  <c r="P814" i="7"/>
  <c r="O814" i="7"/>
  <c r="N814" i="7"/>
  <c r="K814" i="7"/>
  <c r="J814" i="7"/>
  <c r="I814" i="7"/>
  <c r="H814" i="7"/>
  <c r="E814" i="7"/>
  <c r="D814" i="7"/>
  <c r="C814" i="7"/>
  <c r="B814" i="7"/>
  <c r="AI813" i="7"/>
  <c r="AH813" i="7"/>
  <c r="AG813" i="7"/>
  <c r="AF813" i="7"/>
  <c r="AC813" i="7"/>
  <c r="AB813" i="7"/>
  <c r="AA813" i="7"/>
  <c r="Z813" i="7"/>
  <c r="W813" i="7"/>
  <c r="V813" i="7"/>
  <c r="U813" i="7"/>
  <c r="T813" i="7"/>
  <c r="Q813" i="7"/>
  <c r="P813" i="7"/>
  <c r="O813" i="7"/>
  <c r="N813" i="7"/>
  <c r="K813" i="7"/>
  <c r="J813" i="7"/>
  <c r="I813" i="7"/>
  <c r="H813" i="7"/>
  <c r="E813" i="7"/>
  <c r="D813" i="7"/>
  <c r="C813" i="7"/>
  <c r="B813" i="7"/>
  <c r="AI812" i="7"/>
  <c r="AH812" i="7"/>
  <c r="AG812" i="7"/>
  <c r="AF812" i="7"/>
  <c r="AC812" i="7"/>
  <c r="AB812" i="7"/>
  <c r="AA812" i="7"/>
  <c r="Z812" i="7"/>
  <c r="W812" i="7"/>
  <c r="V812" i="7"/>
  <c r="U812" i="7"/>
  <c r="T812" i="7"/>
  <c r="Q812" i="7"/>
  <c r="P812" i="7"/>
  <c r="O812" i="7"/>
  <c r="N812" i="7"/>
  <c r="K812" i="7"/>
  <c r="J812" i="7"/>
  <c r="I812" i="7"/>
  <c r="H812" i="7"/>
  <c r="E812" i="7"/>
  <c r="D812" i="7"/>
  <c r="C812" i="7"/>
  <c r="B812" i="7"/>
  <c r="AI811" i="7"/>
  <c r="AH811" i="7"/>
  <c r="AG811" i="7"/>
  <c r="AF811" i="7"/>
  <c r="AC811" i="7"/>
  <c r="AB811" i="7"/>
  <c r="AA811" i="7"/>
  <c r="Z811" i="7"/>
  <c r="W811" i="7"/>
  <c r="V811" i="7"/>
  <c r="U811" i="7"/>
  <c r="T811" i="7"/>
  <c r="Q811" i="7"/>
  <c r="P811" i="7"/>
  <c r="O811" i="7"/>
  <c r="N811" i="7"/>
  <c r="K811" i="7"/>
  <c r="J811" i="7"/>
  <c r="I811" i="7"/>
  <c r="H811" i="7"/>
  <c r="E811" i="7"/>
  <c r="D811" i="7"/>
  <c r="C811" i="7"/>
  <c r="B811" i="7"/>
  <c r="AI810" i="7"/>
  <c r="AH810" i="7"/>
  <c r="AG810" i="7"/>
  <c r="AF810" i="7"/>
  <c r="AC810" i="7"/>
  <c r="AB810" i="7"/>
  <c r="AA810" i="7"/>
  <c r="Z810" i="7"/>
  <c r="W810" i="7"/>
  <c r="V810" i="7"/>
  <c r="U810" i="7"/>
  <c r="T810" i="7"/>
  <c r="Q810" i="7"/>
  <c r="P810" i="7"/>
  <c r="O810" i="7"/>
  <c r="N810" i="7"/>
  <c r="K810" i="7"/>
  <c r="J810" i="7"/>
  <c r="I810" i="7"/>
  <c r="H810" i="7"/>
  <c r="E810" i="7"/>
  <c r="D810" i="7"/>
  <c r="C810" i="7"/>
  <c r="B810" i="7"/>
  <c r="AI809" i="7"/>
  <c r="AH809" i="7"/>
  <c r="AG809" i="7"/>
  <c r="AF809" i="7"/>
  <c r="AC809" i="7"/>
  <c r="AB809" i="7"/>
  <c r="AA809" i="7"/>
  <c r="Z809" i="7"/>
  <c r="W809" i="7"/>
  <c r="V809" i="7"/>
  <c r="U809" i="7"/>
  <c r="T809" i="7"/>
  <c r="Q809" i="7"/>
  <c r="P809" i="7"/>
  <c r="O809" i="7"/>
  <c r="N809" i="7"/>
  <c r="K809" i="7"/>
  <c r="J809" i="7"/>
  <c r="I809" i="7"/>
  <c r="H809" i="7"/>
  <c r="E809" i="7"/>
  <c r="D809" i="7"/>
  <c r="C809" i="7"/>
  <c r="B809" i="7"/>
  <c r="AI808" i="7"/>
  <c r="AH808" i="7"/>
  <c r="AG808" i="7"/>
  <c r="AF808" i="7"/>
  <c r="AC808" i="7"/>
  <c r="AB808" i="7"/>
  <c r="AA808" i="7"/>
  <c r="Z808" i="7"/>
  <c r="W808" i="7"/>
  <c r="V808" i="7"/>
  <c r="U808" i="7"/>
  <c r="T808" i="7"/>
  <c r="Q808" i="7"/>
  <c r="P808" i="7"/>
  <c r="O808" i="7"/>
  <c r="N808" i="7"/>
  <c r="K808" i="7"/>
  <c r="J808" i="7"/>
  <c r="I808" i="7"/>
  <c r="H808" i="7"/>
  <c r="E808" i="7"/>
  <c r="D808" i="7"/>
  <c r="C808" i="7"/>
  <c r="B808" i="7"/>
  <c r="AI807" i="7"/>
  <c r="AH807" i="7"/>
  <c r="AG807" i="7"/>
  <c r="AF807" i="7"/>
  <c r="AC807" i="7"/>
  <c r="AB807" i="7"/>
  <c r="AA807" i="7"/>
  <c r="Z807" i="7"/>
  <c r="W807" i="7"/>
  <c r="V807" i="7"/>
  <c r="U807" i="7"/>
  <c r="T807" i="7"/>
  <c r="Q807" i="7"/>
  <c r="P807" i="7"/>
  <c r="O807" i="7"/>
  <c r="N807" i="7"/>
  <c r="K807" i="7"/>
  <c r="J807" i="7"/>
  <c r="I807" i="7"/>
  <c r="H807" i="7"/>
  <c r="E807" i="7"/>
  <c r="D807" i="7"/>
  <c r="C807" i="7"/>
  <c r="B807" i="7"/>
  <c r="AI806" i="7"/>
  <c r="AH806" i="7"/>
  <c r="AG806" i="7"/>
  <c r="AF806" i="7"/>
  <c r="AC806" i="7"/>
  <c r="AB806" i="7"/>
  <c r="AA806" i="7"/>
  <c r="Z806" i="7"/>
  <c r="W806" i="7"/>
  <c r="V806" i="7"/>
  <c r="U806" i="7"/>
  <c r="T806" i="7"/>
  <c r="Q806" i="7"/>
  <c r="P806" i="7"/>
  <c r="O806" i="7"/>
  <c r="N806" i="7"/>
  <c r="K806" i="7"/>
  <c r="J806" i="7"/>
  <c r="I806" i="7"/>
  <c r="H806" i="7"/>
  <c r="E806" i="7"/>
  <c r="D806" i="7"/>
  <c r="C806" i="7"/>
  <c r="B806" i="7"/>
  <c r="AI805" i="7"/>
  <c r="AH805" i="7"/>
  <c r="AG805" i="7"/>
  <c r="AF805" i="7"/>
  <c r="AC805" i="7"/>
  <c r="AB805" i="7"/>
  <c r="AA805" i="7"/>
  <c r="Z805" i="7"/>
  <c r="W805" i="7"/>
  <c r="V805" i="7"/>
  <c r="U805" i="7"/>
  <c r="T805" i="7"/>
  <c r="Q805" i="7"/>
  <c r="P805" i="7"/>
  <c r="O805" i="7"/>
  <c r="N805" i="7"/>
  <c r="K805" i="7"/>
  <c r="J805" i="7"/>
  <c r="I805" i="7"/>
  <c r="H805" i="7"/>
  <c r="E805" i="7"/>
  <c r="D805" i="7"/>
  <c r="C805" i="7"/>
  <c r="B805" i="7"/>
  <c r="AI804" i="7"/>
  <c r="AH804" i="7"/>
  <c r="AG804" i="7"/>
  <c r="AF804" i="7"/>
  <c r="AC804" i="7"/>
  <c r="AB804" i="7"/>
  <c r="AA804" i="7"/>
  <c r="Z804" i="7"/>
  <c r="W804" i="7"/>
  <c r="V804" i="7"/>
  <c r="U804" i="7"/>
  <c r="T804" i="7"/>
  <c r="Q804" i="7"/>
  <c r="P804" i="7"/>
  <c r="O804" i="7"/>
  <c r="N804" i="7"/>
  <c r="K804" i="7"/>
  <c r="J804" i="7"/>
  <c r="I804" i="7"/>
  <c r="H804" i="7"/>
  <c r="E804" i="7"/>
  <c r="D804" i="7"/>
  <c r="C804" i="7"/>
  <c r="B804" i="7"/>
  <c r="AI803" i="7"/>
  <c r="AH803" i="7"/>
  <c r="AG803" i="7"/>
  <c r="AF803" i="7"/>
  <c r="AC803" i="7"/>
  <c r="AB803" i="7"/>
  <c r="AA803" i="7"/>
  <c r="Z803" i="7"/>
  <c r="W803" i="7"/>
  <c r="V803" i="7"/>
  <c r="U803" i="7"/>
  <c r="T803" i="7"/>
  <c r="Q803" i="7"/>
  <c r="P803" i="7"/>
  <c r="O803" i="7"/>
  <c r="N803" i="7"/>
  <c r="K803" i="7"/>
  <c r="J803" i="7"/>
  <c r="I803" i="7"/>
  <c r="H803" i="7"/>
  <c r="E803" i="7"/>
  <c r="D803" i="7"/>
  <c r="C803" i="7"/>
  <c r="B803" i="7"/>
  <c r="AI802" i="7"/>
  <c r="AH802" i="7"/>
  <c r="AG802" i="7"/>
  <c r="AF802" i="7"/>
  <c r="AC802" i="7"/>
  <c r="AB802" i="7"/>
  <c r="AA802" i="7"/>
  <c r="Z802" i="7"/>
  <c r="W802" i="7"/>
  <c r="V802" i="7"/>
  <c r="U802" i="7"/>
  <c r="T802" i="7"/>
  <c r="Q802" i="7"/>
  <c r="P802" i="7"/>
  <c r="O802" i="7"/>
  <c r="N802" i="7"/>
  <c r="K802" i="7"/>
  <c r="J802" i="7"/>
  <c r="I802" i="7"/>
  <c r="H802" i="7"/>
  <c r="E802" i="7"/>
  <c r="D802" i="7"/>
  <c r="C802" i="7"/>
  <c r="B802" i="7"/>
  <c r="AI801" i="7"/>
  <c r="AH801" i="7"/>
  <c r="AG801" i="7"/>
  <c r="AF801" i="7"/>
  <c r="AC801" i="7"/>
  <c r="AB801" i="7"/>
  <c r="AA801" i="7"/>
  <c r="Z801" i="7"/>
  <c r="W801" i="7"/>
  <c r="V801" i="7"/>
  <c r="U801" i="7"/>
  <c r="T801" i="7"/>
  <c r="Q801" i="7"/>
  <c r="P801" i="7"/>
  <c r="O801" i="7"/>
  <c r="N801" i="7"/>
  <c r="K801" i="7"/>
  <c r="J801" i="7"/>
  <c r="I801" i="7"/>
  <c r="H801" i="7"/>
  <c r="E801" i="7"/>
  <c r="D801" i="7"/>
  <c r="C801" i="7"/>
  <c r="B801" i="7"/>
  <c r="AI800" i="7"/>
  <c r="AH800" i="7"/>
  <c r="AG800" i="7"/>
  <c r="AF800" i="7"/>
  <c r="AC800" i="7"/>
  <c r="AB800" i="7"/>
  <c r="AA800" i="7"/>
  <c r="Z800" i="7"/>
  <c r="W800" i="7"/>
  <c r="V800" i="7"/>
  <c r="U800" i="7"/>
  <c r="T800" i="7"/>
  <c r="Q800" i="7"/>
  <c r="P800" i="7"/>
  <c r="O800" i="7"/>
  <c r="N800" i="7"/>
  <c r="K800" i="7"/>
  <c r="J800" i="7"/>
  <c r="I800" i="7"/>
  <c r="H800" i="7"/>
  <c r="E800" i="7"/>
  <c r="D800" i="7"/>
  <c r="C800" i="7"/>
  <c r="B800" i="7"/>
  <c r="AI799" i="7"/>
  <c r="AH799" i="7"/>
  <c r="AG799" i="7"/>
  <c r="AF799" i="7"/>
  <c r="AC799" i="7"/>
  <c r="AB799" i="7"/>
  <c r="AA799" i="7"/>
  <c r="Z799" i="7"/>
  <c r="W799" i="7"/>
  <c r="V799" i="7"/>
  <c r="U799" i="7"/>
  <c r="T799" i="7"/>
  <c r="Q799" i="7"/>
  <c r="P799" i="7"/>
  <c r="O799" i="7"/>
  <c r="N799" i="7"/>
  <c r="K799" i="7"/>
  <c r="J799" i="7"/>
  <c r="I799" i="7"/>
  <c r="H799" i="7"/>
  <c r="E799" i="7"/>
  <c r="D799" i="7"/>
  <c r="C799" i="7"/>
  <c r="B799" i="7"/>
  <c r="AI798" i="7"/>
  <c r="AH798" i="7"/>
  <c r="AG798" i="7"/>
  <c r="AF798" i="7"/>
  <c r="AC798" i="7"/>
  <c r="AB798" i="7"/>
  <c r="AA798" i="7"/>
  <c r="Z798" i="7"/>
  <c r="W798" i="7"/>
  <c r="V798" i="7"/>
  <c r="U798" i="7"/>
  <c r="T798" i="7"/>
  <c r="Q798" i="7"/>
  <c r="P798" i="7"/>
  <c r="O798" i="7"/>
  <c r="N798" i="7"/>
  <c r="K798" i="7"/>
  <c r="J798" i="7"/>
  <c r="I798" i="7"/>
  <c r="H798" i="7"/>
  <c r="E798" i="7"/>
  <c r="D798" i="7"/>
  <c r="C798" i="7"/>
  <c r="B798" i="7"/>
  <c r="AI797" i="7"/>
  <c r="AH797" i="7"/>
  <c r="AG797" i="7"/>
  <c r="AF797" i="7"/>
  <c r="AC797" i="7"/>
  <c r="AB797" i="7"/>
  <c r="AA797" i="7"/>
  <c r="Z797" i="7"/>
  <c r="W797" i="7"/>
  <c r="V797" i="7"/>
  <c r="U797" i="7"/>
  <c r="T797" i="7"/>
  <c r="Q797" i="7"/>
  <c r="P797" i="7"/>
  <c r="O797" i="7"/>
  <c r="N797" i="7"/>
  <c r="K797" i="7"/>
  <c r="J797" i="7"/>
  <c r="I797" i="7"/>
  <c r="H797" i="7"/>
  <c r="E797" i="7"/>
  <c r="D797" i="7"/>
  <c r="C797" i="7"/>
  <c r="B797" i="7"/>
  <c r="AI796" i="7"/>
  <c r="AH796" i="7"/>
  <c r="AG796" i="7"/>
  <c r="AF796" i="7"/>
  <c r="AC796" i="7"/>
  <c r="AB796" i="7"/>
  <c r="AA796" i="7"/>
  <c r="Z796" i="7"/>
  <c r="W796" i="7"/>
  <c r="V796" i="7"/>
  <c r="U796" i="7"/>
  <c r="T796" i="7"/>
  <c r="Q796" i="7"/>
  <c r="P796" i="7"/>
  <c r="O796" i="7"/>
  <c r="N796" i="7"/>
  <c r="K796" i="7"/>
  <c r="J796" i="7"/>
  <c r="I796" i="7"/>
  <c r="H796" i="7"/>
  <c r="E796" i="7"/>
  <c r="D796" i="7"/>
  <c r="C796" i="7"/>
  <c r="B796" i="7"/>
  <c r="AI795" i="7"/>
  <c r="AH795" i="7"/>
  <c r="AG795" i="7"/>
  <c r="AF795" i="7"/>
  <c r="AC795" i="7"/>
  <c r="AB795" i="7"/>
  <c r="AA795" i="7"/>
  <c r="Z795" i="7"/>
  <c r="W795" i="7"/>
  <c r="V795" i="7"/>
  <c r="U795" i="7"/>
  <c r="T795" i="7"/>
  <c r="Q795" i="7"/>
  <c r="P795" i="7"/>
  <c r="O795" i="7"/>
  <c r="N795" i="7"/>
  <c r="K795" i="7"/>
  <c r="J795" i="7"/>
  <c r="I795" i="7"/>
  <c r="H795" i="7"/>
  <c r="E795" i="7"/>
  <c r="D795" i="7"/>
  <c r="C795" i="7"/>
  <c r="B795" i="7"/>
  <c r="AI794" i="7"/>
  <c r="AH794" i="7"/>
  <c r="AG794" i="7"/>
  <c r="AF794" i="7"/>
  <c r="AC794" i="7"/>
  <c r="AB794" i="7"/>
  <c r="AA794" i="7"/>
  <c r="Z794" i="7"/>
  <c r="W794" i="7"/>
  <c r="V794" i="7"/>
  <c r="U794" i="7"/>
  <c r="T794" i="7"/>
  <c r="Q794" i="7"/>
  <c r="P794" i="7"/>
  <c r="O794" i="7"/>
  <c r="N794" i="7"/>
  <c r="K794" i="7"/>
  <c r="J794" i="7"/>
  <c r="I794" i="7"/>
  <c r="H794" i="7"/>
  <c r="E794" i="7"/>
  <c r="D794" i="7"/>
  <c r="C794" i="7"/>
  <c r="B794" i="7"/>
  <c r="AI793" i="7"/>
  <c r="AH793" i="7"/>
  <c r="AG793" i="7"/>
  <c r="AF793" i="7"/>
  <c r="AC793" i="7"/>
  <c r="AB793" i="7"/>
  <c r="AA793" i="7"/>
  <c r="Z793" i="7"/>
  <c r="W793" i="7"/>
  <c r="V793" i="7"/>
  <c r="U793" i="7"/>
  <c r="T793" i="7"/>
  <c r="Q793" i="7"/>
  <c r="P793" i="7"/>
  <c r="O793" i="7"/>
  <c r="N793" i="7"/>
  <c r="K793" i="7"/>
  <c r="J793" i="7"/>
  <c r="I793" i="7"/>
  <c r="H793" i="7"/>
  <c r="E793" i="7"/>
  <c r="D793" i="7"/>
  <c r="C793" i="7"/>
  <c r="B793" i="7"/>
  <c r="AI792" i="7"/>
  <c r="AH792" i="7"/>
  <c r="AG792" i="7"/>
  <c r="AF792" i="7"/>
  <c r="AC792" i="7"/>
  <c r="AB792" i="7"/>
  <c r="AA792" i="7"/>
  <c r="Z792" i="7"/>
  <c r="W792" i="7"/>
  <c r="V792" i="7"/>
  <c r="U792" i="7"/>
  <c r="T792" i="7"/>
  <c r="Q792" i="7"/>
  <c r="P792" i="7"/>
  <c r="O792" i="7"/>
  <c r="N792" i="7"/>
  <c r="K792" i="7"/>
  <c r="J792" i="7"/>
  <c r="I792" i="7"/>
  <c r="H792" i="7"/>
  <c r="E792" i="7"/>
  <c r="D792" i="7"/>
  <c r="C792" i="7"/>
  <c r="B792" i="7"/>
  <c r="AI791" i="7"/>
  <c r="AH791" i="7"/>
  <c r="AG791" i="7"/>
  <c r="AF791" i="7"/>
  <c r="AC791" i="7"/>
  <c r="AB791" i="7"/>
  <c r="AA791" i="7"/>
  <c r="Z791" i="7"/>
  <c r="W791" i="7"/>
  <c r="V791" i="7"/>
  <c r="U791" i="7"/>
  <c r="T791" i="7"/>
  <c r="Q791" i="7"/>
  <c r="P791" i="7"/>
  <c r="O791" i="7"/>
  <c r="N791" i="7"/>
  <c r="K791" i="7"/>
  <c r="J791" i="7"/>
  <c r="I791" i="7"/>
  <c r="H791" i="7"/>
  <c r="E791" i="7"/>
  <c r="D791" i="7"/>
  <c r="C791" i="7"/>
  <c r="B791" i="7"/>
  <c r="AI790" i="7"/>
  <c r="AH790" i="7"/>
  <c r="AG790" i="7"/>
  <c r="AF790" i="7"/>
  <c r="AC790" i="7"/>
  <c r="AB790" i="7"/>
  <c r="AA790" i="7"/>
  <c r="Z790" i="7"/>
  <c r="W790" i="7"/>
  <c r="V790" i="7"/>
  <c r="U790" i="7"/>
  <c r="T790" i="7"/>
  <c r="Q790" i="7"/>
  <c r="P790" i="7"/>
  <c r="O790" i="7"/>
  <c r="N790" i="7"/>
  <c r="K790" i="7"/>
  <c r="J790" i="7"/>
  <c r="I790" i="7"/>
  <c r="H790" i="7"/>
  <c r="E790" i="7"/>
  <c r="D790" i="7"/>
  <c r="C790" i="7"/>
  <c r="B790" i="7"/>
  <c r="AI789" i="7"/>
  <c r="AH789" i="7"/>
  <c r="AG789" i="7"/>
  <c r="AF789" i="7"/>
  <c r="AC789" i="7"/>
  <c r="AB789" i="7"/>
  <c r="AA789" i="7"/>
  <c r="Z789" i="7"/>
  <c r="W789" i="7"/>
  <c r="V789" i="7"/>
  <c r="U789" i="7"/>
  <c r="T789" i="7"/>
  <c r="Q789" i="7"/>
  <c r="P789" i="7"/>
  <c r="O789" i="7"/>
  <c r="N789" i="7"/>
  <c r="K789" i="7"/>
  <c r="J789" i="7"/>
  <c r="I789" i="7"/>
  <c r="H789" i="7"/>
  <c r="E789" i="7"/>
  <c r="D789" i="7"/>
  <c r="C789" i="7"/>
  <c r="B789" i="7"/>
  <c r="AI788" i="7"/>
  <c r="AH788" i="7"/>
  <c r="AG788" i="7"/>
  <c r="AF788" i="7"/>
  <c r="AC788" i="7"/>
  <c r="AB788" i="7"/>
  <c r="AA788" i="7"/>
  <c r="Z788" i="7"/>
  <c r="W788" i="7"/>
  <c r="V788" i="7"/>
  <c r="U788" i="7"/>
  <c r="T788" i="7"/>
  <c r="Q788" i="7"/>
  <c r="P788" i="7"/>
  <c r="O788" i="7"/>
  <c r="N788" i="7"/>
  <c r="K788" i="7"/>
  <c r="J788" i="7"/>
  <c r="I788" i="7"/>
  <c r="H788" i="7"/>
  <c r="E788" i="7"/>
  <c r="D788" i="7"/>
  <c r="C788" i="7"/>
  <c r="B788" i="7"/>
  <c r="AI787" i="7"/>
  <c r="AH787" i="7"/>
  <c r="AG787" i="7"/>
  <c r="AF787" i="7"/>
  <c r="AC787" i="7"/>
  <c r="AB787" i="7"/>
  <c r="AA787" i="7"/>
  <c r="Z787" i="7"/>
  <c r="W787" i="7"/>
  <c r="V787" i="7"/>
  <c r="U787" i="7"/>
  <c r="T787" i="7"/>
  <c r="Q787" i="7"/>
  <c r="P787" i="7"/>
  <c r="O787" i="7"/>
  <c r="N787" i="7"/>
  <c r="K787" i="7"/>
  <c r="J787" i="7"/>
  <c r="I787" i="7"/>
  <c r="H787" i="7"/>
  <c r="E787" i="7"/>
  <c r="D787" i="7"/>
  <c r="C787" i="7"/>
  <c r="B787" i="7"/>
  <c r="AI786" i="7"/>
  <c r="AH786" i="7"/>
  <c r="AG786" i="7"/>
  <c r="AF786" i="7"/>
  <c r="AC786" i="7"/>
  <c r="AB786" i="7"/>
  <c r="AA786" i="7"/>
  <c r="Z786" i="7"/>
  <c r="W786" i="7"/>
  <c r="V786" i="7"/>
  <c r="U786" i="7"/>
  <c r="T786" i="7"/>
  <c r="Q786" i="7"/>
  <c r="P786" i="7"/>
  <c r="O786" i="7"/>
  <c r="N786" i="7"/>
  <c r="K786" i="7"/>
  <c r="J786" i="7"/>
  <c r="I786" i="7"/>
  <c r="H786" i="7"/>
  <c r="E786" i="7"/>
  <c r="D786" i="7"/>
  <c r="C786" i="7"/>
  <c r="B786" i="7"/>
  <c r="AI785" i="7"/>
  <c r="AH785" i="7"/>
  <c r="AG785" i="7"/>
  <c r="AF785" i="7"/>
  <c r="AC785" i="7"/>
  <c r="AB785" i="7"/>
  <c r="AA785" i="7"/>
  <c r="Z785" i="7"/>
  <c r="W785" i="7"/>
  <c r="V785" i="7"/>
  <c r="U785" i="7"/>
  <c r="T785" i="7"/>
  <c r="Q785" i="7"/>
  <c r="P785" i="7"/>
  <c r="O785" i="7"/>
  <c r="N785" i="7"/>
  <c r="K785" i="7"/>
  <c r="J785" i="7"/>
  <c r="I785" i="7"/>
  <c r="H785" i="7"/>
  <c r="E785" i="7"/>
  <c r="D785" i="7"/>
  <c r="C785" i="7"/>
  <c r="B785" i="7"/>
  <c r="AI784" i="7"/>
  <c r="AH784" i="7"/>
  <c r="AG784" i="7"/>
  <c r="AF784" i="7"/>
  <c r="AC784" i="7"/>
  <c r="AB784" i="7"/>
  <c r="AA784" i="7"/>
  <c r="Z784" i="7"/>
  <c r="W784" i="7"/>
  <c r="V784" i="7"/>
  <c r="U784" i="7"/>
  <c r="T784" i="7"/>
  <c r="Q784" i="7"/>
  <c r="P784" i="7"/>
  <c r="O784" i="7"/>
  <c r="N784" i="7"/>
  <c r="K784" i="7"/>
  <c r="J784" i="7"/>
  <c r="I784" i="7"/>
  <c r="H784" i="7"/>
  <c r="E784" i="7"/>
  <c r="D784" i="7"/>
  <c r="C784" i="7"/>
  <c r="B784" i="7"/>
  <c r="AI783" i="7"/>
  <c r="AH783" i="7"/>
  <c r="AG783" i="7"/>
  <c r="AF783" i="7"/>
  <c r="AC783" i="7"/>
  <c r="AB783" i="7"/>
  <c r="AA783" i="7"/>
  <c r="Z783" i="7"/>
  <c r="W783" i="7"/>
  <c r="V783" i="7"/>
  <c r="U783" i="7"/>
  <c r="T783" i="7"/>
  <c r="Q783" i="7"/>
  <c r="P783" i="7"/>
  <c r="O783" i="7"/>
  <c r="N783" i="7"/>
  <c r="K783" i="7"/>
  <c r="J783" i="7"/>
  <c r="I783" i="7"/>
  <c r="H783" i="7"/>
  <c r="E783" i="7"/>
  <c r="D783" i="7"/>
  <c r="C783" i="7"/>
  <c r="B783" i="7"/>
  <c r="AI782" i="7"/>
  <c r="AH782" i="7"/>
  <c r="AG782" i="7"/>
  <c r="AF782" i="7"/>
  <c r="AC782" i="7"/>
  <c r="AB782" i="7"/>
  <c r="AA782" i="7"/>
  <c r="Z782" i="7"/>
  <c r="W782" i="7"/>
  <c r="V782" i="7"/>
  <c r="U782" i="7"/>
  <c r="T782" i="7"/>
  <c r="Q782" i="7"/>
  <c r="P782" i="7"/>
  <c r="O782" i="7"/>
  <c r="N782" i="7"/>
  <c r="K782" i="7"/>
  <c r="J782" i="7"/>
  <c r="I782" i="7"/>
  <c r="H782" i="7"/>
  <c r="E782" i="7"/>
  <c r="D782" i="7"/>
  <c r="C782" i="7"/>
  <c r="B782" i="7"/>
  <c r="AI781" i="7"/>
  <c r="AH781" i="7"/>
  <c r="AG781" i="7"/>
  <c r="AF781" i="7"/>
  <c r="AC781" i="7"/>
  <c r="AB781" i="7"/>
  <c r="AA781" i="7"/>
  <c r="Z781" i="7"/>
  <c r="W781" i="7"/>
  <c r="V781" i="7"/>
  <c r="U781" i="7"/>
  <c r="T781" i="7"/>
  <c r="Q781" i="7"/>
  <c r="P781" i="7"/>
  <c r="O781" i="7"/>
  <c r="N781" i="7"/>
  <c r="K781" i="7"/>
  <c r="J781" i="7"/>
  <c r="I781" i="7"/>
  <c r="H781" i="7"/>
  <c r="E781" i="7"/>
  <c r="D781" i="7"/>
  <c r="C781" i="7"/>
  <c r="B781" i="7"/>
  <c r="AI780" i="7"/>
  <c r="AH780" i="7"/>
  <c r="AG780" i="7"/>
  <c r="AF780" i="7"/>
  <c r="AC780" i="7"/>
  <c r="AB780" i="7"/>
  <c r="AA780" i="7"/>
  <c r="Z780" i="7"/>
  <c r="W780" i="7"/>
  <c r="V780" i="7"/>
  <c r="U780" i="7"/>
  <c r="T780" i="7"/>
  <c r="Q780" i="7"/>
  <c r="P780" i="7"/>
  <c r="O780" i="7"/>
  <c r="N780" i="7"/>
  <c r="K780" i="7"/>
  <c r="J780" i="7"/>
  <c r="I780" i="7"/>
  <c r="H780" i="7"/>
  <c r="E780" i="7"/>
  <c r="D780" i="7"/>
  <c r="C780" i="7"/>
  <c r="B780" i="7"/>
  <c r="AI779" i="7"/>
  <c r="AH779" i="7"/>
  <c r="AG779" i="7"/>
  <c r="AF779" i="7"/>
  <c r="AC779" i="7"/>
  <c r="AB779" i="7"/>
  <c r="AA779" i="7"/>
  <c r="Z779" i="7"/>
  <c r="W779" i="7"/>
  <c r="V779" i="7"/>
  <c r="U779" i="7"/>
  <c r="T779" i="7"/>
  <c r="Q779" i="7"/>
  <c r="P779" i="7"/>
  <c r="O779" i="7"/>
  <c r="N779" i="7"/>
  <c r="K779" i="7"/>
  <c r="J779" i="7"/>
  <c r="I779" i="7"/>
  <c r="H779" i="7"/>
  <c r="E779" i="7"/>
  <c r="D779" i="7"/>
  <c r="C779" i="7"/>
  <c r="B779" i="7"/>
  <c r="AI778" i="7"/>
  <c r="AH778" i="7"/>
  <c r="AG778" i="7"/>
  <c r="AF778" i="7"/>
  <c r="AC778" i="7"/>
  <c r="AB778" i="7"/>
  <c r="AA778" i="7"/>
  <c r="Z778" i="7"/>
  <c r="W778" i="7"/>
  <c r="V778" i="7"/>
  <c r="U778" i="7"/>
  <c r="T778" i="7"/>
  <c r="Q778" i="7"/>
  <c r="P778" i="7"/>
  <c r="O778" i="7"/>
  <c r="N778" i="7"/>
  <c r="K778" i="7"/>
  <c r="J778" i="7"/>
  <c r="I778" i="7"/>
  <c r="H778" i="7"/>
  <c r="E778" i="7"/>
  <c r="D778" i="7"/>
  <c r="C778" i="7"/>
  <c r="B778" i="7"/>
  <c r="AI777" i="7"/>
  <c r="AH777" i="7"/>
  <c r="AG777" i="7"/>
  <c r="AF777" i="7"/>
  <c r="AC777" i="7"/>
  <c r="AB777" i="7"/>
  <c r="AA777" i="7"/>
  <c r="Z777" i="7"/>
  <c r="W777" i="7"/>
  <c r="V777" i="7"/>
  <c r="U777" i="7"/>
  <c r="T777" i="7"/>
  <c r="Q777" i="7"/>
  <c r="P777" i="7"/>
  <c r="O777" i="7"/>
  <c r="N777" i="7"/>
  <c r="K777" i="7"/>
  <c r="J777" i="7"/>
  <c r="I777" i="7"/>
  <c r="H777" i="7"/>
  <c r="E777" i="7"/>
  <c r="D777" i="7"/>
  <c r="C777" i="7"/>
  <c r="B777" i="7"/>
  <c r="AI776" i="7"/>
  <c r="AH776" i="7"/>
  <c r="AG776" i="7"/>
  <c r="AF776" i="7"/>
  <c r="AC776" i="7"/>
  <c r="AB776" i="7"/>
  <c r="AA776" i="7"/>
  <c r="Z776" i="7"/>
  <c r="W776" i="7"/>
  <c r="V776" i="7"/>
  <c r="U776" i="7"/>
  <c r="T776" i="7"/>
  <c r="Q776" i="7"/>
  <c r="P776" i="7"/>
  <c r="O776" i="7"/>
  <c r="N776" i="7"/>
  <c r="K776" i="7"/>
  <c r="J776" i="7"/>
  <c r="I776" i="7"/>
  <c r="H776" i="7"/>
  <c r="E776" i="7"/>
  <c r="D776" i="7"/>
  <c r="C776" i="7"/>
  <c r="B776" i="7"/>
  <c r="AI775" i="7"/>
  <c r="AH775" i="7"/>
  <c r="AG775" i="7"/>
  <c r="AF775" i="7"/>
  <c r="AC775" i="7"/>
  <c r="AB775" i="7"/>
  <c r="AA775" i="7"/>
  <c r="Z775" i="7"/>
  <c r="W775" i="7"/>
  <c r="V775" i="7"/>
  <c r="U775" i="7"/>
  <c r="T775" i="7"/>
  <c r="Q775" i="7"/>
  <c r="P775" i="7"/>
  <c r="O775" i="7"/>
  <c r="N775" i="7"/>
  <c r="K775" i="7"/>
  <c r="J775" i="7"/>
  <c r="I775" i="7"/>
  <c r="H775" i="7"/>
  <c r="E775" i="7"/>
  <c r="D775" i="7"/>
  <c r="C775" i="7"/>
  <c r="B775" i="7"/>
  <c r="AI774" i="7"/>
  <c r="AH774" i="7"/>
  <c r="AG774" i="7"/>
  <c r="AF774" i="7"/>
  <c r="AC774" i="7"/>
  <c r="AB774" i="7"/>
  <c r="AA774" i="7"/>
  <c r="Z774" i="7"/>
  <c r="W774" i="7"/>
  <c r="V774" i="7"/>
  <c r="U774" i="7"/>
  <c r="T774" i="7"/>
  <c r="Q774" i="7"/>
  <c r="P774" i="7"/>
  <c r="O774" i="7"/>
  <c r="N774" i="7"/>
  <c r="K774" i="7"/>
  <c r="J774" i="7"/>
  <c r="I774" i="7"/>
  <c r="H774" i="7"/>
  <c r="E774" i="7"/>
  <c r="D774" i="7"/>
  <c r="C774" i="7"/>
  <c r="B774" i="7"/>
  <c r="AI773" i="7"/>
  <c r="AH773" i="7"/>
  <c r="AG773" i="7"/>
  <c r="AF773" i="7"/>
  <c r="AC773" i="7"/>
  <c r="AB773" i="7"/>
  <c r="AA773" i="7"/>
  <c r="Z773" i="7"/>
  <c r="W773" i="7"/>
  <c r="V773" i="7"/>
  <c r="U773" i="7"/>
  <c r="T773" i="7"/>
  <c r="Q773" i="7"/>
  <c r="P773" i="7"/>
  <c r="O773" i="7"/>
  <c r="N773" i="7"/>
  <c r="K773" i="7"/>
  <c r="J773" i="7"/>
  <c r="I773" i="7"/>
  <c r="H773" i="7"/>
  <c r="E773" i="7"/>
  <c r="D773" i="7"/>
  <c r="C773" i="7"/>
  <c r="B773" i="7"/>
  <c r="AI772" i="7"/>
  <c r="AH772" i="7"/>
  <c r="AG772" i="7"/>
  <c r="AF772" i="7"/>
  <c r="AC772" i="7"/>
  <c r="AB772" i="7"/>
  <c r="AA772" i="7"/>
  <c r="Z772" i="7"/>
  <c r="W772" i="7"/>
  <c r="V772" i="7"/>
  <c r="U772" i="7"/>
  <c r="T772" i="7"/>
  <c r="Q772" i="7"/>
  <c r="P772" i="7"/>
  <c r="O772" i="7"/>
  <c r="N772" i="7"/>
  <c r="K772" i="7"/>
  <c r="J772" i="7"/>
  <c r="I772" i="7"/>
  <c r="H772" i="7"/>
  <c r="E772" i="7"/>
  <c r="D772" i="7"/>
  <c r="C772" i="7"/>
  <c r="B772" i="7"/>
  <c r="AI771" i="7"/>
  <c r="AH771" i="7"/>
  <c r="AG771" i="7"/>
  <c r="AF771" i="7"/>
  <c r="AC771" i="7"/>
  <c r="AB771" i="7"/>
  <c r="AA771" i="7"/>
  <c r="Z771" i="7"/>
  <c r="W771" i="7"/>
  <c r="V771" i="7"/>
  <c r="U771" i="7"/>
  <c r="T771" i="7"/>
  <c r="Q771" i="7"/>
  <c r="P771" i="7"/>
  <c r="O771" i="7"/>
  <c r="N771" i="7"/>
  <c r="K771" i="7"/>
  <c r="J771" i="7"/>
  <c r="I771" i="7"/>
  <c r="H771" i="7"/>
  <c r="E771" i="7"/>
  <c r="D771" i="7"/>
  <c r="C771" i="7"/>
  <c r="B771" i="7"/>
  <c r="AI770" i="7"/>
  <c r="AH770" i="7"/>
  <c r="AG770" i="7"/>
  <c r="AF770" i="7"/>
  <c r="AC770" i="7"/>
  <c r="AB770" i="7"/>
  <c r="AA770" i="7"/>
  <c r="Z770" i="7"/>
  <c r="W770" i="7"/>
  <c r="V770" i="7"/>
  <c r="U770" i="7"/>
  <c r="T770" i="7"/>
  <c r="Q770" i="7"/>
  <c r="P770" i="7"/>
  <c r="O770" i="7"/>
  <c r="N770" i="7"/>
  <c r="K770" i="7"/>
  <c r="J770" i="7"/>
  <c r="I770" i="7"/>
  <c r="H770" i="7"/>
  <c r="E770" i="7"/>
  <c r="D770" i="7"/>
  <c r="C770" i="7"/>
  <c r="B770" i="7"/>
  <c r="AI769" i="7"/>
  <c r="AH769" i="7"/>
  <c r="AG769" i="7"/>
  <c r="AF769" i="7"/>
  <c r="AC769" i="7"/>
  <c r="AB769" i="7"/>
  <c r="AA769" i="7"/>
  <c r="Z769" i="7"/>
  <c r="W769" i="7"/>
  <c r="V769" i="7"/>
  <c r="U769" i="7"/>
  <c r="T769" i="7"/>
  <c r="Q769" i="7"/>
  <c r="P769" i="7"/>
  <c r="O769" i="7"/>
  <c r="N769" i="7"/>
  <c r="K769" i="7"/>
  <c r="J769" i="7"/>
  <c r="I769" i="7"/>
  <c r="H769" i="7"/>
  <c r="E769" i="7"/>
  <c r="D769" i="7"/>
  <c r="C769" i="7"/>
  <c r="B769" i="7"/>
  <c r="AI768" i="7"/>
  <c r="AH768" i="7"/>
  <c r="AG768" i="7"/>
  <c r="AF768" i="7"/>
  <c r="AC768" i="7"/>
  <c r="AB768" i="7"/>
  <c r="AA768" i="7"/>
  <c r="Z768" i="7"/>
  <c r="W768" i="7"/>
  <c r="V768" i="7"/>
  <c r="U768" i="7"/>
  <c r="T768" i="7"/>
  <c r="Q768" i="7"/>
  <c r="P768" i="7"/>
  <c r="O768" i="7"/>
  <c r="N768" i="7"/>
  <c r="K768" i="7"/>
  <c r="J768" i="7"/>
  <c r="I768" i="7"/>
  <c r="H768" i="7"/>
  <c r="E768" i="7"/>
  <c r="D768" i="7"/>
  <c r="C768" i="7"/>
  <c r="B768" i="7"/>
  <c r="AI767" i="7"/>
  <c r="AH767" i="7"/>
  <c r="AG767" i="7"/>
  <c r="AF767" i="7"/>
  <c r="AC767" i="7"/>
  <c r="AB767" i="7"/>
  <c r="AA767" i="7"/>
  <c r="Z767" i="7"/>
  <c r="W767" i="7"/>
  <c r="V767" i="7"/>
  <c r="U767" i="7"/>
  <c r="T767" i="7"/>
  <c r="Q767" i="7"/>
  <c r="P767" i="7"/>
  <c r="O767" i="7"/>
  <c r="N767" i="7"/>
  <c r="K767" i="7"/>
  <c r="J767" i="7"/>
  <c r="I767" i="7"/>
  <c r="H767" i="7"/>
  <c r="E767" i="7"/>
  <c r="D767" i="7"/>
  <c r="C767" i="7"/>
  <c r="B767" i="7"/>
  <c r="AI766" i="7"/>
  <c r="AH766" i="7"/>
  <c r="AG766" i="7"/>
  <c r="AF766" i="7"/>
  <c r="AC766" i="7"/>
  <c r="AB766" i="7"/>
  <c r="AA766" i="7"/>
  <c r="Z766" i="7"/>
  <c r="W766" i="7"/>
  <c r="V766" i="7"/>
  <c r="U766" i="7"/>
  <c r="T766" i="7"/>
  <c r="Q766" i="7"/>
  <c r="P766" i="7"/>
  <c r="O766" i="7"/>
  <c r="N766" i="7"/>
  <c r="K766" i="7"/>
  <c r="J766" i="7"/>
  <c r="I766" i="7"/>
  <c r="H766" i="7"/>
  <c r="E766" i="7"/>
  <c r="D766" i="7"/>
  <c r="C766" i="7"/>
  <c r="B766" i="7"/>
  <c r="AI765" i="7"/>
  <c r="AH765" i="7"/>
  <c r="AG765" i="7"/>
  <c r="AF765" i="7"/>
  <c r="AC765" i="7"/>
  <c r="AB765" i="7"/>
  <c r="AA765" i="7"/>
  <c r="Z765" i="7"/>
  <c r="W765" i="7"/>
  <c r="V765" i="7"/>
  <c r="U765" i="7"/>
  <c r="T765" i="7"/>
  <c r="Q765" i="7"/>
  <c r="P765" i="7"/>
  <c r="O765" i="7"/>
  <c r="N765" i="7"/>
  <c r="K765" i="7"/>
  <c r="J765" i="7"/>
  <c r="I765" i="7"/>
  <c r="H765" i="7"/>
  <c r="E765" i="7"/>
  <c r="D765" i="7"/>
  <c r="C765" i="7"/>
  <c r="B765" i="7"/>
  <c r="AI764" i="7"/>
  <c r="AH764" i="7"/>
  <c r="AG764" i="7"/>
  <c r="AF764" i="7"/>
  <c r="AC764" i="7"/>
  <c r="AB764" i="7"/>
  <c r="AA764" i="7"/>
  <c r="Z764" i="7"/>
  <c r="W764" i="7"/>
  <c r="V764" i="7"/>
  <c r="U764" i="7"/>
  <c r="T764" i="7"/>
  <c r="Q764" i="7"/>
  <c r="P764" i="7"/>
  <c r="O764" i="7"/>
  <c r="N764" i="7"/>
  <c r="K764" i="7"/>
  <c r="J764" i="7"/>
  <c r="I764" i="7"/>
  <c r="H764" i="7"/>
  <c r="E764" i="7"/>
  <c r="D764" i="7"/>
  <c r="C764" i="7"/>
  <c r="B764" i="7"/>
  <c r="AI763" i="7"/>
  <c r="AH763" i="7"/>
  <c r="AG763" i="7"/>
  <c r="AF763" i="7"/>
  <c r="AC763" i="7"/>
  <c r="AB763" i="7"/>
  <c r="AA763" i="7"/>
  <c r="Z763" i="7"/>
  <c r="W763" i="7"/>
  <c r="V763" i="7"/>
  <c r="U763" i="7"/>
  <c r="T763" i="7"/>
  <c r="Q763" i="7"/>
  <c r="P763" i="7"/>
  <c r="O763" i="7"/>
  <c r="N763" i="7"/>
  <c r="K763" i="7"/>
  <c r="J763" i="7"/>
  <c r="I763" i="7"/>
  <c r="H763" i="7"/>
  <c r="E763" i="7"/>
  <c r="D763" i="7"/>
  <c r="C763" i="7"/>
  <c r="B763" i="7"/>
  <c r="AI762" i="7"/>
  <c r="AH762" i="7"/>
  <c r="AG762" i="7"/>
  <c r="AF762" i="7"/>
  <c r="AC762" i="7"/>
  <c r="AB762" i="7"/>
  <c r="AA762" i="7"/>
  <c r="Z762" i="7"/>
  <c r="W762" i="7"/>
  <c r="V762" i="7"/>
  <c r="U762" i="7"/>
  <c r="T762" i="7"/>
  <c r="Q762" i="7"/>
  <c r="P762" i="7"/>
  <c r="O762" i="7"/>
  <c r="N762" i="7"/>
  <c r="K762" i="7"/>
  <c r="J762" i="7"/>
  <c r="I762" i="7"/>
  <c r="H762" i="7"/>
  <c r="E762" i="7"/>
  <c r="D762" i="7"/>
  <c r="C762" i="7"/>
  <c r="B762" i="7"/>
  <c r="AI761" i="7"/>
  <c r="AH761" i="7"/>
  <c r="AG761" i="7"/>
  <c r="AF761" i="7"/>
  <c r="AC761" i="7"/>
  <c r="AB761" i="7"/>
  <c r="AA761" i="7"/>
  <c r="Z761" i="7"/>
  <c r="W761" i="7"/>
  <c r="V761" i="7"/>
  <c r="U761" i="7"/>
  <c r="T761" i="7"/>
  <c r="Q761" i="7"/>
  <c r="P761" i="7"/>
  <c r="O761" i="7"/>
  <c r="N761" i="7"/>
  <c r="K761" i="7"/>
  <c r="J761" i="7"/>
  <c r="I761" i="7"/>
  <c r="H761" i="7"/>
  <c r="E761" i="7"/>
  <c r="D761" i="7"/>
  <c r="C761" i="7"/>
  <c r="B761" i="7"/>
  <c r="AI760" i="7"/>
  <c r="AH760" i="7"/>
  <c r="AG760" i="7"/>
  <c r="AF760" i="7"/>
  <c r="AC760" i="7"/>
  <c r="AB760" i="7"/>
  <c r="AA760" i="7"/>
  <c r="Z760" i="7"/>
  <c r="W760" i="7"/>
  <c r="V760" i="7"/>
  <c r="U760" i="7"/>
  <c r="T760" i="7"/>
  <c r="Q760" i="7"/>
  <c r="P760" i="7"/>
  <c r="O760" i="7"/>
  <c r="N760" i="7"/>
  <c r="K760" i="7"/>
  <c r="J760" i="7"/>
  <c r="I760" i="7"/>
  <c r="H760" i="7"/>
  <c r="E760" i="7"/>
  <c r="D760" i="7"/>
  <c r="C760" i="7"/>
  <c r="B760" i="7"/>
  <c r="AI759" i="7"/>
  <c r="AH759" i="7"/>
  <c r="AG759" i="7"/>
  <c r="AF759" i="7"/>
  <c r="AC759" i="7"/>
  <c r="AB759" i="7"/>
  <c r="AA759" i="7"/>
  <c r="Z759" i="7"/>
  <c r="W759" i="7"/>
  <c r="V759" i="7"/>
  <c r="U759" i="7"/>
  <c r="T759" i="7"/>
  <c r="Q759" i="7"/>
  <c r="P759" i="7"/>
  <c r="O759" i="7"/>
  <c r="N759" i="7"/>
  <c r="K759" i="7"/>
  <c r="J759" i="7"/>
  <c r="I759" i="7"/>
  <c r="H759" i="7"/>
  <c r="E759" i="7"/>
  <c r="D759" i="7"/>
  <c r="C759" i="7"/>
  <c r="B759" i="7"/>
  <c r="AI758" i="7"/>
  <c r="AH758" i="7"/>
  <c r="AG758" i="7"/>
  <c r="AF758" i="7"/>
  <c r="AC758" i="7"/>
  <c r="AB758" i="7"/>
  <c r="AA758" i="7"/>
  <c r="Z758" i="7"/>
  <c r="W758" i="7"/>
  <c r="V758" i="7"/>
  <c r="U758" i="7"/>
  <c r="T758" i="7"/>
  <c r="Q758" i="7"/>
  <c r="P758" i="7"/>
  <c r="O758" i="7"/>
  <c r="N758" i="7"/>
  <c r="K758" i="7"/>
  <c r="J758" i="7"/>
  <c r="I758" i="7"/>
  <c r="H758" i="7"/>
  <c r="E758" i="7"/>
  <c r="D758" i="7"/>
  <c r="C758" i="7"/>
  <c r="B758" i="7"/>
  <c r="AI757" i="7"/>
  <c r="AH757" i="7"/>
  <c r="AG757" i="7"/>
  <c r="AF757" i="7"/>
  <c r="AC757" i="7"/>
  <c r="AB757" i="7"/>
  <c r="AA757" i="7"/>
  <c r="Z757" i="7"/>
  <c r="W757" i="7"/>
  <c r="V757" i="7"/>
  <c r="U757" i="7"/>
  <c r="T757" i="7"/>
  <c r="Q757" i="7"/>
  <c r="P757" i="7"/>
  <c r="O757" i="7"/>
  <c r="N757" i="7"/>
  <c r="K757" i="7"/>
  <c r="J757" i="7"/>
  <c r="I757" i="7"/>
  <c r="H757" i="7"/>
  <c r="E757" i="7"/>
  <c r="D757" i="7"/>
  <c r="C757" i="7"/>
  <c r="B757" i="7"/>
  <c r="AI756" i="7"/>
  <c r="AH756" i="7"/>
  <c r="AG756" i="7"/>
  <c r="AF756" i="7"/>
  <c r="AC756" i="7"/>
  <c r="AB756" i="7"/>
  <c r="AA756" i="7"/>
  <c r="Z756" i="7"/>
  <c r="W756" i="7"/>
  <c r="V756" i="7"/>
  <c r="U756" i="7"/>
  <c r="T756" i="7"/>
  <c r="Q756" i="7"/>
  <c r="P756" i="7"/>
  <c r="O756" i="7"/>
  <c r="N756" i="7"/>
  <c r="K756" i="7"/>
  <c r="J756" i="7"/>
  <c r="I756" i="7"/>
  <c r="H756" i="7"/>
  <c r="E756" i="7"/>
  <c r="D756" i="7"/>
  <c r="C756" i="7"/>
  <c r="B756" i="7"/>
  <c r="AI755" i="7"/>
  <c r="AH755" i="7"/>
  <c r="AG755" i="7"/>
  <c r="AF755" i="7"/>
  <c r="AC755" i="7"/>
  <c r="AB755" i="7"/>
  <c r="AA755" i="7"/>
  <c r="Z755" i="7"/>
  <c r="W755" i="7"/>
  <c r="V755" i="7"/>
  <c r="U755" i="7"/>
  <c r="T755" i="7"/>
  <c r="Q755" i="7"/>
  <c r="P755" i="7"/>
  <c r="O755" i="7"/>
  <c r="N755" i="7"/>
  <c r="K755" i="7"/>
  <c r="J755" i="7"/>
  <c r="I755" i="7"/>
  <c r="H755" i="7"/>
  <c r="E755" i="7"/>
  <c r="D755" i="7"/>
  <c r="C755" i="7"/>
  <c r="B755" i="7"/>
  <c r="AI754" i="7"/>
  <c r="AH754" i="7"/>
  <c r="AG754" i="7"/>
  <c r="AF754" i="7"/>
  <c r="AC754" i="7"/>
  <c r="AB754" i="7"/>
  <c r="AA754" i="7"/>
  <c r="Z754" i="7"/>
  <c r="W754" i="7"/>
  <c r="V754" i="7"/>
  <c r="U754" i="7"/>
  <c r="T754" i="7"/>
  <c r="Q754" i="7"/>
  <c r="P754" i="7"/>
  <c r="O754" i="7"/>
  <c r="N754" i="7"/>
  <c r="K754" i="7"/>
  <c r="J754" i="7"/>
  <c r="I754" i="7"/>
  <c r="H754" i="7"/>
  <c r="E754" i="7"/>
  <c r="D754" i="7"/>
  <c r="C754" i="7"/>
  <c r="B754" i="7"/>
  <c r="AI753" i="7"/>
  <c r="AH753" i="7"/>
  <c r="AG753" i="7"/>
  <c r="AF753" i="7"/>
  <c r="AC753" i="7"/>
  <c r="AB753" i="7"/>
  <c r="AA753" i="7"/>
  <c r="Z753" i="7"/>
  <c r="W753" i="7"/>
  <c r="V753" i="7"/>
  <c r="U753" i="7"/>
  <c r="T753" i="7"/>
  <c r="Q753" i="7"/>
  <c r="P753" i="7"/>
  <c r="O753" i="7"/>
  <c r="N753" i="7"/>
  <c r="K753" i="7"/>
  <c r="J753" i="7"/>
  <c r="I753" i="7"/>
  <c r="H753" i="7"/>
  <c r="E753" i="7"/>
  <c r="D753" i="7"/>
  <c r="C753" i="7"/>
  <c r="B753" i="7"/>
  <c r="AI752" i="7"/>
  <c r="AH752" i="7"/>
  <c r="AG752" i="7"/>
  <c r="AF752" i="7"/>
  <c r="AC752" i="7"/>
  <c r="AB752" i="7"/>
  <c r="AA752" i="7"/>
  <c r="Z752" i="7"/>
  <c r="W752" i="7"/>
  <c r="V752" i="7"/>
  <c r="U752" i="7"/>
  <c r="T752" i="7"/>
  <c r="Q752" i="7"/>
  <c r="P752" i="7"/>
  <c r="O752" i="7"/>
  <c r="N752" i="7"/>
  <c r="K752" i="7"/>
  <c r="J752" i="7"/>
  <c r="I752" i="7"/>
  <c r="H752" i="7"/>
  <c r="E752" i="7"/>
  <c r="D752" i="7"/>
  <c r="C752" i="7"/>
  <c r="B752" i="7"/>
  <c r="AI751" i="7"/>
  <c r="AH751" i="7"/>
  <c r="AG751" i="7"/>
  <c r="AF751" i="7"/>
  <c r="AC751" i="7"/>
  <c r="AB751" i="7"/>
  <c r="AA751" i="7"/>
  <c r="Z751" i="7"/>
  <c r="W751" i="7"/>
  <c r="V751" i="7"/>
  <c r="U751" i="7"/>
  <c r="T751" i="7"/>
  <c r="Q751" i="7"/>
  <c r="P751" i="7"/>
  <c r="O751" i="7"/>
  <c r="N751" i="7"/>
  <c r="K751" i="7"/>
  <c r="J751" i="7"/>
  <c r="I751" i="7"/>
  <c r="H751" i="7"/>
  <c r="E751" i="7"/>
  <c r="D751" i="7"/>
  <c r="C751" i="7"/>
  <c r="B751" i="7"/>
  <c r="AI750" i="7"/>
  <c r="AH750" i="7"/>
  <c r="AG750" i="7"/>
  <c r="AF750" i="7"/>
  <c r="AC750" i="7"/>
  <c r="AB750" i="7"/>
  <c r="AA750" i="7"/>
  <c r="Z750" i="7"/>
  <c r="W750" i="7"/>
  <c r="V750" i="7"/>
  <c r="U750" i="7"/>
  <c r="T750" i="7"/>
  <c r="Q750" i="7"/>
  <c r="P750" i="7"/>
  <c r="O750" i="7"/>
  <c r="N750" i="7"/>
  <c r="K750" i="7"/>
  <c r="J750" i="7"/>
  <c r="I750" i="7"/>
  <c r="H750" i="7"/>
  <c r="E750" i="7"/>
  <c r="D750" i="7"/>
  <c r="C750" i="7"/>
  <c r="B750" i="7"/>
  <c r="AI749" i="7"/>
  <c r="AH749" i="7"/>
  <c r="AG749" i="7"/>
  <c r="AF749" i="7"/>
  <c r="AC749" i="7"/>
  <c r="AB749" i="7"/>
  <c r="AA749" i="7"/>
  <c r="Z749" i="7"/>
  <c r="W749" i="7"/>
  <c r="V749" i="7"/>
  <c r="U749" i="7"/>
  <c r="T749" i="7"/>
  <c r="Q749" i="7"/>
  <c r="P749" i="7"/>
  <c r="O749" i="7"/>
  <c r="N749" i="7"/>
  <c r="K749" i="7"/>
  <c r="J749" i="7"/>
  <c r="I749" i="7"/>
  <c r="H749" i="7"/>
  <c r="E749" i="7"/>
  <c r="D749" i="7"/>
  <c r="C749" i="7"/>
  <c r="B749" i="7"/>
  <c r="AI748" i="7"/>
  <c r="AH748" i="7"/>
  <c r="AG748" i="7"/>
  <c r="AF748" i="7"/>
  <c r="AC748" i="7"/>
  <c r="AB748" i="7"/>
  <c r="AA748" i="7"/>
  <c r="Z748" i="7"/>
  <c r="W748" i="7"/>
  <c r="V748" i="7"/>
  <c r="U748" i="7"/>
  <c r="T748" i="7"/>
  <c r="Q748" i="7"/>
  <c r="P748" i="7"/>
  <c r="O748" i="7"/>
  <c r="N748" i="7"/>
  <c r="K748" i="7"/>
  <c r="J748" i="7"/>
  <c r="I748" i="7"/>
  <c r="H748" i="7"/>
  <c r="E748" i="7"/>
  <c r="D748" i="7"/>
  <c r="C748" i="7"/>
  <c r="B748" i="7"/>
  <c r="AI747" i="7"/>
  <c r="AH747" i="7"/>
  <c r="AG747" i="7"/>
  <c r="AF747" i="7"/>
  <c r="AC747" i="7"/>
  <c r="AB747" i="7"/>
  <c r="AA747" i="7"/>
  <c r="Z747" i="7"/>
  <c r="W747" i="7"/>
  <c r="V747" i="7"/>
  <c r="U747" i="7"/>
  <c r="T747" i="7"/>
  <c r="Q747" i="7"/>
  <c r="P747" i="7"/>
  <c r="O747" i="7"/>
  <c r="N747" i="7"/>
  <c r="K747" i="7"/>
  <c r="J747" i="7"/>
  <c r="I747" i="7"/>
  <c r="H747" i="7"/>
  <c r="E747" i="7"/>
  <c r="D747" i="7"/>
  <c r="C747" i="7"/>
  <c r="B747" i="7"/>
  <c r="AI746" i="7"/>
  <c r="AH746" i="7"/>
  <c r="AG746" i="7"/>
  <c r="AF746" i="7"/>
  <c r="AC746" i="7"/>
  <c r="AB746" i="7"/>
  <c r="AA746" i="7"/>
  <c r="Z746" i="7"/>
  <c r="W746" i="7"/>
  <c r="V746" i="7"/>
  <c r="U746" i="7"/>
  <c r="T746" i="7"/>
  <c r="Q746" i="7"/>
  <c r="P746" i="7"/>
  <c r="O746" i="7"/>
  <c r="N746" i="7"/>
  <c r="K746" i="7"/>
  <c r="J746" i="7"/>
  <c r="I746" i="7"/>
  <c r="H746" i="7"/>
  <c r="E746" i="7"/>
  <c r="D746" i="7"/>
  <c r="C746" i="7"/>
  <c r="B746" i="7"/>
  <c r="AI745" i="7"/>
  <c r="AH745" i="7"/>
  <c r="AG745" i="7"/>
  <c r="AF745" i="7"/>
  <c r="AC745" i="7"/>
  <c r="AB745" i="7"/>
  <c r="AA745" i="7"/>
  <c r="Z745" i="7"/>
  <c r="W745" i="7"/>
  <c r="V745" i="7"/>
  <c r="U745" i="7"/>
  <c r="T745" i="7"/>
  <c r="Q745" i="7"/>
  <c r="P745" i="7"/>
  <c r="O745" i="7"/>
  <c r="N745" i="7"/>
  <c r="K745" i="7"/>
  <c r="J745" i="7"/>
  <c r="I745" i="7"/>
  <c r="H745" i="7"/>
  <c r="E745" i="7"/>
  <c r="D745" i="7"/>
  <c r="C745" i="7"/>
  <c r="B745" i="7"/>
  <c r="AI744" i="7"/>
  <c r="AH744" i="7"/>
  <c r="AG744" i="7"/>
  <c r="AF744" i="7"/>
  <c r="AC744" i="7"/>
  <c r="AB744" i="7"/>
  <c r="AA744" i="7"/>
  <c r="Z744" i="7"/>
  <c r="W744" i="7"/>
  <c r="V744" i="7"/>
  <c r="U744" i="7"/>
  <c r="T744" i="7"/>
  <c r="Q744" i="7"/>
  <c r="P744" i="7"/>
  <c r="O744" i="7"/>
  <c r="N744" i="7"/>
  <c r="K744" i="7"/>
  <c r="J744" i="7"/>
  <c r="I744" i="7"/>
  <c r="H744" i="7"/>
  <c r="E744" i="7"/>
  <c r="D744" i="7"/>
  <c r="C744" i="7"/>
  <c r="B744" i="7"/>
  <c r="AI743" i="7"/>
  <c r="AH743" i="7"/>
  <c r="AG743" i="7"/>
  <c r="AF743" i="7"/>
  <c r="AC743" i="7"/>
  <c r="AB743" i="7"/>
  <c r="AA743" i="7"/>
  <c r="Z743" i="7"/>
  <c r="W743" i="7"/>
  <c r="V743" i="7"/>
  <c r="U743" i="7"/>
  <c r="T743" i="7"/>
  <c r="Q743" i="7"/>
  <c r="P743" i="7"/>
  <c r="O743" i="7"/>
  <c r="N743" i="7"/>
  <c r="K743" i="7"/>
  <c r="J743" i="7"/>
  <c r="I743" i="7"/>
  <c r="H743" i="7"/>
  <c r="E743" i="7"/>
  <c r="D743" i="7"/>
  <c r="C743" i="7"/>
  <c r="B743" i="7"/>
  <c r="AI742" i="7"/>
  <c r="AH742" i="7"/>
  <c r="AG742" i="7"/>
  <c r="AF742" i="7"/>
  <c r="AC742" i="7"/>
  <c r="AB742" i="7"/>
  <c r="AA742" i="7"/>
  <c r="Z742" i="7"/>
  <c r="W742" i="7"/>
  <c r="V742" i="7"/>
  <c r="U742" i="7"/>
  <c r="T742" i="7"/>
  <c r="Q742" i="7"/>
  <c r="P742" i="7"/>
  <c r="O742" i="7"/>
  <c r="N742" i="7"/>
  <c r="K742" i="7"/>
  <c r="J742" i="7"/>
  <c r="I742" i="7"/>
  <c r="H742" i="7"/>
  <c r="E742" i="7"/>
  <c r="D742" i="7"/>
  <c r="C742" i="7"/>
  <c r="B742" i="7"/>
  <c r="AI741" i="7"/>
  <c r="AH741" i="7"/>
  <c r="AG741" i="7"/>
  <c r="AF741" i="7"/>
  <c r="AC741" i="7"/>
  <c r="AB741" i="7"/>
  <c r="AA741" i="7"/>
  <c r="Z741" i="7"/>
  <c r="W741" i="7"/>
  <c r="V741" i="7"/>
  <c r="U741" i="7"/>
  <c r="T741" i="7"/>
  <c r="Q741" i="7"/>
  <c r="P741" i="7"/>
  <c r="O741" i="7"/>
  <c r="N741" i="7"/>
  <c r="K741" i="7"/>
  <c r="J741" i="7"/>
  <c r="I741" i="7"/>
  <c r="H741" i="7"/>
  <c r="E741" i="7"/>
  <c r="D741" i="7"/>
  <c r="C741" i="7"/>
  <c r="B741" i="7"/>
  <c r="AI740" i="7"/>
  <c r="AH740" i="7"/>
  <c r="AG740" i="7"/>
  <c r="AF740" i="7"/>
  <c r="AC740" i="7"/>
  <c r="AB740" i="7"/>
  <c r="AA740" i="7"/>
  <c r="Z740" i="7"/>
  <c r="W740" i="7"/>
  <c r="V740" i="7"/>
  <c r="U740" i="7"/>
  <c r="T740" i="7"/>
  <c r="Q740" i="7"/>
  <c r="P740" i="7"/>
  <c r="O740" i="7"/>
  <c r="N740" i="7"/>
  <c r="K740" i="7"/>
  <c r="J740" i="7"/>
  <c r="I740" i="7"/>
  <c r="H740" i="7"/>
  <c r="E740" i="7"/>
  <c r="D740" i="7"/>
  <c r="C740" i="7"/>
  <c r="B740" i="7"/>
  <c r="AI739" i="7"/>
  <c r="AH739" i="7"/>
  <c r="AG739" i="7"/>
  <c r="AF739" i="7"/>
  <c r="AC739" i="7"/>
  <c r="AB739" i="7"/>
  <c r="AA739" i="7"/>
  <c r="Z739" i="7"/>
  <c r="W739" i="7"/>
  <c r="V739" i="7"/>
  <c r="U739" i="7"/>
  <c r="T739" i="7"/>
  <c r="Q739" i="7"/>
  <c r="P739" i="7"/>
  <c r="O739" i="7"/>
  <c r="N739" i="7"/>
  <c r="K739" i="7"/>
  <c r="J739" i="7"/>
  <c r="I739" i="7"/>
  <c r="H739" i="7"/>
  <c r="E739" i="7"/>
  <c r="D739" i="7"/>
  <c r="C739" i="7"/>
  <c r="B739" i="7"/>
  <c r="AI738" i="7"/>
  <c r="AH738" i="7"/>
  <c r="AG738" i="7"/>
  <c r="AF738" i="7"/>
  <c r="AC738" i="7"/>
  <c r="AB738" i="7"/>
  <c r="AA738" i="7"/>
  <c r="Z738" i="7"/>
  <c r="W738" i="7"/>
  <c r="V738" i="7"/>
  <c r="U738" i="7"/>
  <c r="T738" i="7"/>
  <c r="Q738" i="7"/>
  <c r="P738" i="7"/>
  <c r="O738" i="7"/>
  <c r="N738" i="7"/>
  <c r="K738" i="7"/>
  <c r="J738" i="7"/>
  <c r="I738" i="7"/>
  <c r="H738" i="7"/>
  <c r="E738" i="7"/>
  <c r="D738" i="7"/>
  <c r="C738" i="7"/>
  <c r="B738" i="7"/>
  <c r="AI737" i="7"/>
  <c r="AH737" i="7"/>
  <c r="AG737" i="7"/>
  <c r="AF737" i="7"/>
  <c r="AC737" i="7"/>
  <c r="AB737" i="7"/>
  <c r="AA737" i="7"/>
  <c r="Z737" i="7"/>
  <c r="W737" i="7"/>
  <c r="V737" i="7"/>
  <c r="U737" i="7"/>
  <c r="T737" i="7"/>
  <c r="Q737" i="7"/>
  <c r="P737" i="7"/>
  <c r="O737" i="7"/>
  <c r="N737" i="7"/>
  <c r="K737" i="7"/>
  <c r="J737" i="7"/>
  <c r="I737" i="7"/>
  <c r="H737" i="7"/>
  <c r="E737" i="7"/>
  <c r="D737" i="7"/>
  <c r="C737" i="7"/>
  <c r="B737" i="7"/>
  <c r="AI736" i="7"/>
  <c r="AH736" i="7"/>
  <c r="AG736" i="7"/>
  <c r="AF736" i="7"/>
  <c r="AC736" i="7"/>
  <c r="AB736" i="7"/>
  <c r="AA736" i="7"/>
  <c r="Z736" i="7"/>
  <c r="W736" i="7"/>
  <c r="V736" i="7"/>
  <c r="U736" i="7"/>
  <c r="T736" i="7"/>
  <c r="Q736" i="7"/>
  <c r="P736" i="7"/>
  <c r="O736" i="7"/>
  <c r="N736" i="7"/>
  <c r="K736" i="7"/>
  <c r="J736" i="7"/>
  <c r="I736" i="7"/>
  <c r="H736" i="7"/>
  <c r="E736" i="7"/>
  <c r="D736" i="7"/>
  <c r="C736" i="7"/>
  <c r="B736" i="7"/>
  <c r="AI735" i="7"/>
  <c r="AH735" i="7"/>
  <c r="AG735" i="7"/>
  <c r="AF735" i="7"/>
  <c r="AC735" i="7"/>
  <c r="AB735" i="7"/>
  <c r="AA735" i="7"/>
  <c r="Z735" i="7"/>
  <c r="W735" i="7"/>
  <c r="V735" i="7"/>
  <c r="U735" i="7"/>
  <c r="T735" i="7"/>
  <c r="Q735" i="7"/>
  <c r="P735" i="7"/>
  <c r="O735" i="7"/>
  <c r="N735" i="7"/>
  <c r="K735" i="7"/>
  <c r="J735" i="7"/>
  <c r="I735" i="7"/>
  <c r="H735" i="7"/>
  <c r="E735" i="7"/>
  <c r="D735" i="7"/>
  <c r="C735" i="7"/>
  <c r="B735" i="7"/>
  <c r="AI734" i="7"/>
  <c r="AH734" i="7"/>
  <c r="AG734" i="7"/>
  <c r="AF734" i="7"/>
  <c r="AC734" i="7"/>
  <c r="AB734" i="7"/>
  <c r="AA734" i="7"/>
  <c r="Z734" i="7"/>
  <c r="W734" i="7"/>
  <c r="V734" i="7"/>
  <c r="U734" i="7"/>
  <c r="T734" i="7"/>
  <c r="Q734" i="7"/>
  <c r="P734" i="7"/>
  <c r="O734" i="7"/>
  <c r="N734" i="7"/>
  <c r="K734" i="7"/>
  <c r="J734" i="7"/>
  <c r="I734" i="7"/>
  <c r="H734" i="7"/>
  <c r="E734" i="7"/>
  <c r="D734" i="7"/>
  <c r="C734" i="7"/>
  <c r="B734" i="7"/>
  <c r="AI733" i="7"/>
  <c r="AH733" i="7"/>
  <c r="AG733" i="7"/>
  <c r="AF733" i="7"/>
  <c r="AC733" i="7"/>
  <c r="AB733" i="7"/>
  <c r="AA733" i="7"/>
  <c r="Z733" i="7"/>
  <c r="W733" i="7"/>
  <c r="V733" i="7"/>
  <c r="U733" i="7"/>
  <c r="T733" i="7"/>
  <c r="Q733" i="7"/>
  <c r="P733" i="7"/>
  <c r="O733" i="7"/>
  <c r="N733" i="7"/>
  <c r="K733" i="7"/>
  <c r="J733" i="7"/>
  <c r="I733" i="7"/>
  <c r="H733" i="7"/>
  <c r="E733" i="7"/>
  <c r="D733" i="7"/>
  <c r="C733" i="7"/>
  <c r="B733" i="7"/>
  <c r="AI732" i="7"/>
  <c r="AH732" i="7"/>
  <c r="AG732" i="7"/>
  <c r="AF732" i="7"/>
  <c r="AC732" i="7"/>
  <c r="AB732" i="7"/>
  <c r="AA732" i="7"/>
  <c r="Z732" i="7"/>
  <c r="W732" i="7"/>
  <c r="V732" i="7"/>
  <c r="U732" i="7"/>
  <c r="T732" i="7"/>
  <c r="Q732" i="7"/>
  <c r="P732" i="7"/>
  <c r="O732" i="7"/>
  <c r="N732" i="7"/>
  <c r="K732" i="7"/>
  <c r="J732" i="7"/>
  <c r="I732" i="7"/>
  <c r="H732" i="7"/>
  <c r="E732" i="7"/>
  <c r="D732" i="7"/>
  <c r="C732" i="7"/>
  <c r="B732" i="7"/>
  <c r="AI731" i="7"/>
  <c r="AH731" i="7"/>
  <c r="AG731" i="7"/>
  <c r="AF731" i="7"/>
  <c r="AC731" i="7"/>
  <c r="AB731" i="7"/>
  <c r="AA731" i="7"/>
  <c r="Z731" i="7"/>
  <c r="W731" i="7"/>
  <c r="V731" i="7"/>
  <c r="U731" i="7"/>
  <c r="T731" i="7"/>
  <c r="Q731" i="7"/>
  <c r="P731" i="7"/>
  <c r="O731" i="7"/>
  <c r="N731" i="7"/>
  <c r="K731" i="7"/>
  <c r="J731" i="7"/>
  <c r="I731" i="7"/>
  <c r="H731" i="7"/>
  <c r="E731" i="7"/>
  <c r="D731" i="7"/>
  <c r="C731" i="7"/>
  <c r="B731" i="7"/>
  <c r="AI730" i="7"/>
  <c r="AH730" i="7"/>
  <c r="AG730" i="7"/>
  <c r="AF730" i="7"/>
  <c r="AC730" i="7"/>
  <c r="AB730" i="7"/>
  <c r="AA730" i="7"/>
  <c r="Z730" i="7"/>
  <c r="W730" i="7"/>
  <c r="V730" i="7"/>
  <c r="U730" i="7"/>
  <c r="T730" i="7"/>
  <c r="Q730" i="7"/>
  <c r="P730" i="7"/>
  <c r="O730" i="7"/>
  <c r="N730" i="7"/>
  <c r="K730" i="7"/>
  <c r="J730" i="7"/>
  <c r="I730" i="7"/>
  <c r="H730" i="7"/>
  <c r="E730" i="7"/>
  <c r="D730" i="7"/>
  <c r="C730" i="7"/>
  <c r="B730" i="7"/>
  <c r="AI729" i="7"/>
  <c r="AH729" i="7"/>
  <c r="AG729" i="7"/>
  <c r="AF729" i="7"/>
  <c r="AC729" i="7"/>
  <c r="AB729" i="7"/>
  <c r="AA729" i="7"/>
  <c r="Z729" i="7"/>
  <c r="W729" i="7"/>
  <c r="V729" i="7"/>
  <c r="U729" i="7"/>
  <c r="T729" i="7"/>
  <c r="Q729" i="7"/>
  <c r="P729" i="7"/>
  <c r="O729" i="7"/>
  <c r="N729" i="7"/>
  <c r="K729" i="7"/>
  <c r="J729" i="7"/>
  <c r="I729" i="7"/>
  <c r="H729" i="7"/>
  <c r="E729" i="7"/>
  <c r="D729" i="7"/>
  <c r="C729" i="7"/>
  <c r="B729" i="7"/>
  <c r="AI728" i="7"/>
  <c r="AH728" i="7"/>
  <c r="AG728" i="7"/>
  <c r="AF728" i="7"/>
  <c r="AC728" i="7"/>
  <c r="AB728" i="7"/>
  <c r="AA728" i="7"/>
  <c r="Z728" i="7"/>
  <c r="W728" i="7"/>
  <c r="V728" i="7"/>
  <c r="U728" i="7"/>
  <c r="T728" i="7"/>
  <c r="Q728" i="7"/>
  <c r="P728" i="7"/>
  <c r="O728" i="7"/>
  <c r="N728" i="7"/>
  <c r="K728" i="7"/>
  <c r="J728" i="7"/>
  <c r="I728" i="7"/>
  <c r="H728" i="7"/>
  <c r="E728" i="7"/>
  <c r="D728" i="7"/>
  <c r="C728" i="7"/>
  <c r="B728" i="7"/>
  <c r="AI727" i="7"/>
  <c r="AH727" i="7"/>
  <c r="AG727" i="7"/>
  <c r="AF727" i="7"/>
  <c r="AC727" i="7"/>
  <c r="AB727" i="7"/>
  <c r="AA727" i="7"/>
  <c r="Z727" i="7"/>
  <c r="W727" i="7"/>
  <c r="V727" i="7"/>
  <c r="U727" i="7"/>
  <c r="T727" i="7"/>
  <c r="Q727" i="7"/>
  <c r="P727" i="7"/>
  <c r="O727" i="7"/>
  <c r="N727" i="7"/>
  <c r="K727" i="7"/>
  <c r="J727" i="7"/>
  <c r="I727" i="7"/>
  <c r="H727" i="7"/>
  <c r="E727" i="7"/>
  <c r="D727" i="7"/>
  <c r="C727" i="7"/>
  <c r="B727" i="7"/>
  <c r="AI726" i="7"/>
  <c r="AH726" i="7"/>
  <c r="AG726" i="7"/>
  <c r="AF726" i="7"/>
  <c r="AC726" i="7"/>
  <c r="AB726" i="7"/>
  <c r="AA726" i="7"/>
  <c r="Z726" i="7"/>
  <c r="W726" i="7"/>
  <c r="V726" i="7"/>
  <c r="U726" i="7"/>
  <c r="T726" i="7"/>
  <c r="Q726" i="7"/>
  <c r="P726" i="7"/>
  <c r="O726" i="7"/>
  <c r="N726" i="7"/>
  <c r="K726" i="7"/>
  <c r="J726" i="7"/>
  <c r="I726" i="7"/>
  <c r="H726" i="7"/>
  <c r="E726" i="7"/>
  <c r="D726" i="7"/>
  <c r="C726" i="7"/>
  <c r="B726" i="7"/>
  <c r="AI725" i="7"/>
  <c r="AH725" i="7"/>
  <c r="AG725" i="7"/>
  <c r="AF725" i="7"/>
  <c r="AC725" i="7"/>
  <c r="AB725" i="7"/>
  <c r="AA725" i="7"/>
  <c r="Z725" i="7"/>
  <c r="W725" i="7"/>
  <c r="V725" i="7"/>
  <c r="U725" i="7"/>
  <c r="T725" i="7"/>
  <c r="Q725" i="7"/>
  <c r="P725" i="7"/>
  <c r="O725" i="7"/>
  <c r="N725" i="7"/>
  <c r="K725" i="7"/>
  <c r="J725" i="7"/>
  <c r="I725" i="7"/>
  <c r="H725" i="7"/>
  <c r="E725" i="7"/>
  <c r="D725" i="7"/>
  <c r="C725" i="7"/>
  <c r="B725" i="7"/>
  <c r="AI724" i="7"/>
  <c r="AH724" i="7"/>
  <c r="AG724" i="7"/>
  <c r="AF724" i="7"/>
  <c r="AC724" i="7"/>
  <c r="AB724" i="7"/>
  <c r="AA724" i="7"/>
  <c r="Z724" i="7"/>
  <c r="W724" i="7"/>
  <c r="V724" i="7"/>
  <c r="U724" i="7"/>
  <c r="T724" i="7"/>
  <c r="Q724" i="7"/>
  <c r="P724" i="7"/>
  <c r="O724" i="7"/>
  <c r="N724" i="7"/>
  <c r="K724" i="7"/>
  <c r="J724" i="7"/>
  <c r="I724" i="7"/>
  <c r="H724" i="7"/>
  <c r="E724" i="7"/>
  <c r="D724" i="7"/>
  <c r="C724" i="7"/>
  <c r="B724" i="7"/>
  <c r="AI723" i="7"/>
  <c r="AH723" i="7"/>
  <c r="AG723" i="7"/>
  <c r="AF723" i="7"/>
  <c r="AC723" i="7"/>
  <c r="AB723" i="7"/>
  <c r="AA723" i="7"/>
  <c r="Z723" i="7"/>
  <c r="W723" i="7"/>
  <c r="V723" i="7"/>
  <c r="U723" i="7"/>
  <c r="T723" i="7"/>
  <c r="Q723" i="7"/>
  <c r="P723" i="7"/>
  <c r="O723" i="7"/>
  <c r="N723" i="7"/>
  <c r="K723" i="7"/>
  <c r="J723" i="7"/>
  <c r="I723" i="7"/>
  <c r="H723" i="7"/>
  <c r="E723" i="7"/>
  <c r="D723" i="7"/>
  <c r="C723" i="7"/>
  <c r="B723" i="7"/>
  <c r="AI722" i="7"/>
  <c r="AH722" i="7"/>
  <c r="AG722" i="7"/>
  <c r="AF722" i="7"/>
  <c r="AC722" i="7"/>
  <c r="AB722" i="7"/>
  <c r="AA722" i="7"/>
  <c r="Z722" i="7"/>
  <c r="W722" i="7"/>
  <c r="V722" i="7"/>
  <c r="U722" i="7"/>
  <c r="T722" i="7"/>
  <c r="Q722" i="7"/>
  <c r="P722" i="7"/>
  <c r="O722" i="7"/>
  <c r="N722" i="7"/>
  <c r="K722" i="7"/>
  <c r="J722" i="7"/>
  <c r="I722" i="7"/>
  <c r="H722" i="7"/>
  <c r="E722" i="7"/>
  <c r="D722" i="7"/>
  <c r="C722" i="7"/>
  <c r="B722" i="7"/>
  <c r="AI721" i="7"/>
  <c r="AH721" i="7"/>
  <c r="AG721" i="7"/>
  <c r="AF721" i="7"/>
  <c r="AC721" i="7"/>
  <c r="AB721" i="7"/>
  <c r="AA721" i="7"/>
  <c r="Z721" i="7"/>
  <c r="W721" i="7"/>
  <c r="V721" i="7"/>
  <c r="U721" i="7"/>
  <c r="T721" i="7"/>
  <c r="Q721" i="7"/>
  <c r="P721" i="7"/>
  <c r="O721" i="7"/>
  <c r="N721" i="7"/>
  <c r="K721" i="7"/>
  <c r="J721" i="7"/>
  <c r="I721" i="7"/>
  <c r="H721" i="7"/>
  <c r="E721" i="7"/>
  <c r="D721" i="7"/>
  <c r="C721" i="7"/>
  <c r="B721" i="7"/>
  <c r="AI720" i="7"/>
  <c r="AH720" i="7"/>
  <c r="AG720" i="7"/>
  <c r="AF720" i="7"/>
  <c r="AC720" i="7"/>
  <c r="AB720" i="7"/>
  <c r="AA720" i="7"/>
  <c r="Z720" i="7"/>
  <c r="W720" i="7"/>
  <c r="V720" i="7"/>
  <c r="U720" i="7"/>
  <c r="T720" i="7"/>
  <c r="Q720" i="7"/>
  <c r="P720" i="7"/>
  <c r="O720" i="7"/>
  <c r="N720" i="7"/>
  <c r="K720" i="7"/>
  <c r="J720" i="7"/>
  <c r="I720" i="7"/>
  <c r="H720" i="7"/>
  <c r="E720" i="7"/>
  <c r="D720" i="7"/>
  <c r="C720" i="7"/>
  <c r="B720" i="7"/>
  <c r="AI719" i="7"/>
  <c r="AH719" i="7"/>
  <c r="AG719" i="7"/>
  <c r="AF719" i="7"/>
  <c r="AC719" i="7"/>
  <c r="AB719" i="7"/>
  <c r="AA719" i="7"/>
  <c r="Z719" i="7"/>
  <c r="W719" i="7"/>
  <c r="V719" i="7"/>
  <c r="U719" i="7"/>
  <c r="T719" i="7"/>
  <c r="Q719" i="7"/>
  <c r="P719" i="7"/>
  <c r="O719" i="7"/>
  <c r="N719" i="7"/>
  <c r="K719" i="7"/>
  <c r="J719" i="7"/>
  <c r="I719" i="7"/>
  <c r="H719" i="7"/>
  <c r="E719" i="7"/>
  <c r="D719" i="7"/>
  <c r="C719" i="7"/>
  <c r="B719" i="7"/>
  <c r="AI718" i="7"/>
  <c r="AH718" i="7"/>
  <c r="AG718" i="7"/>
  <c r="AF718" i="7"/>
  <c r="AC718" i="7"/>
  <c r="AB718" i="7"/>
  <c r="AA718" i="7"/>
  <c r="Z718" i="7"/>
  <c r="W718" i="7"/>
  <c r="V718" i="7"/>
  <c r="U718" i="7"/>
  <c r="T718" i="7"/>
  <c r="Q718" i="7"/>
  <c r="P718" i="7"/>
  <c r="O718" i="7"/>
  <c r="N718" i="7"/>
  <c r="K718" i="7"/>
  <c r="J718" i="7"/>
  <c r="I718" i="7"/>
  <c r="H718" i="7"/>
  <c r="E718" i="7"/>
  <c r="D718" i="7"/>
  <c r="C718" i="7"/>
  <c r="B718" i="7"/>
  <c r="AI717" i="7"/>
  <c r="AH717" i="7"/>
  <c r="AG717" i="7"/>
  <c r="AF717" i="7"/>
  <c r="AC717" i="7"/>
  <c r="AB717" i="7"/>
  <c r="AA717" i="7"/>
  <c r="Z717" i="7"/>
  <c r="W717" i="7"/>
  <c r="V717" i="7"/>
  <c r="U717" i="7"/>
  <c r="T717" i="7"/>
  <c r="Q717" i="7"/>
  <c r="P717" i="7"/>
  <c r="O717" i="7"/>
  <c r="N717" i="7"/>
  <c r="K717" i="7"/>
  <c r="J717" i="7"/>
  <c r="I717" i="7"/>
  <c r="H717" i="7"/>
  <c r="E717" i="7"/>
  <c r="D717" i="7"/>
  <c r="C717" i="7"/>
  <c r="B717" i="7"/>
  <c r="AI716" i="7"/>
  <c r="AH716" i="7"/>
  <c r="AG716" i="7"/>
  <c r="AF716" i="7"/>
  <c r="AC716" i="7"/>
  <c r="AB716" i="7"/>
  <c r="AA716" i="7"/>
  <c r="Z716" i="7"/>
  <c r="W716" i="7"/>
  <c r="V716" i="7"/>
  <c r="U716" i="7"/>
  <c r="T716" i="7"/>
  <c r="Q716" i="7"/>
  <c r="P716" i="7"/>
  <c r="O716" i="7"/>
  <c r="N716" i="7"/>
  <c r="K716" i="7"/>
  <c r="J716" i="7"/>
  <c r="I716" i="7"/>
  <c r="H716" i="7"/>
  <c r="E716" i="7"/>
  <c r="D716" i="7"/>
  <c r="C716" i="7"/>
  <c r="B716" i="7"/>
  <c r="AI715" i="7"/>
  <c r="AH715" i="7"/>
  <c r="AG715" i="7"/>
  <c r="AF715" i="7"/>
  <c r="AC715" i="7"/>
  <c r="AB715" i="7"/>
  <c r="AA715" i="7"/>
  <c r="Z715" i="7"/>
  <c r="W715" i="7"/>
  <c r="V715" i="7"/>
  <c r="U715" i="7"/>
  <c r="T715" i="7"/>
  <c r="Q715" i="7"/>
  <c r="P715" i="7"/>
  <c r="O715" i="7"/>
  <c r="N715" i="7"/>
  <c r="K715" i="7"/>
  <c r="J715" i="7"/>
  <c r="I715" i="7"/>
  <c r="H715" i="7"/>
  <c r="E715" i="7"/>
  <c r="D715" i="7"/>
  <c r="C715" i="7"/>
  <c r="B715" i="7"/>
  <c r="AI714" i="7"/>
  <c r="AH714" i="7"/>
  <c r="AG714" i="7"/>
  <c r="AF714" i="7"/>
  <c r="AC714" i="7"/>
  <c r="AB714" i="7"/>
  <c r="AA714" i="7"/>
  <c r="Z714" i="7"/>
  <c r="W714" i="7"/>
  <c r="V714" i="7"/>
  <c r="U714" i="7"/>
  <c r="T714" i="7"/>
  <c r="Q714" i="7"/>
  <c r="P714" i="7"/>
  <c r="O714" i="7"/>
  <c r="N714" i="7"/>
  <c r="K714" i="7"/>
  <c r="J714" i="7"/>
  <c r="I714" i="7"/>
  <c r="H714" i="7"/>
  <c r="E714" i="7"/>
  <c r="D714" i="7"/>
  <c r="C714" i="7"/>
  <c r="B714" i="7"/>
  <c r="AI713" i="7"/>
  <c r="AH713" i="7"/>
  <c r="AG713" i="7"/>
  <c r="AF713" i="7"/>
  <c r="AC713" i="7"/>
  <c r="AB713" i="7"/>
  <c r="AA713" i="7"/>
  <c r="Z713" i="7"/>
  <c r="W713" i="7"/>
  <c r="V713" i="7"/>
  <c r="U713" i="7"/>
  <c r="T713" i="7"/>
  <c r="Q713" i="7"/>
  <c r="P713" i="7"/>
  <c r="O713" i="7"/>
  <c r="N713" i="7"/>
  <c r="K713" i="7"/>
  <c r="J713" i="7"/>
  <c r="I713" i="7"/>
  <c r="H713" i="7"/>
  <c r="E713" i="7"/>
  <c r="D713" i="7"/>
  <c r="C713" i="7"/>
  <c r="B713" i="7"/>
  <c r="AI712" i="7"/>
  <c r="AH712" i="7"/>
  <c r="AG712" i="7"/>
  <c r="AF712" i="7"/>
  <c r="AC712" i="7"/>
  <c r="AB712" i="7"/>
  <c r="AA712" i="7"/>
  <c r="Z712" i="7"/>
  <c r="W712" i="7"/>
  <c r="V712" i="7"/>
  <c r="U712" i="7"/>
  <c r="T712" i="7"/>
  <c r="Q712" i="7"/>
  <c r="P712" i="7"/>
  <c r="O712" i="7"/>
  <c r="N712" i="7"/>
  <c r="K712" i="7"/>
  <c r="J712" i="7"/>
  <c r="I712" i="7"/>
  <c r="H712" i="7"/>
  <c r="E712" i="7"/>
  <c r="D712" i="7"/>
  <c r="C712" i="7"/>
  <c r="B712" i="7"/>
  <c r="AI711" i="7"/>
  <c r="AH711" i="7"/>
  <c r="AG711" i="7"/>
  <c r="AF711" i="7"/>
  <c r="AC711" i="7"/>
  <c r="AB711" i="7"/>
  <c r="AA711" i="7"/>
  <c r="Z711" i="7"/>
  <c r="W711" i="7"/>
  <c r="V711" i="7"/>
  <c r="U711" i="7"/>
  <c r="T711" i="7"/>
  <c r="Q711" i="7"/>
  <c r="P711" i="7"/>
  <c r="O711" i="7"/>
  <c r="N711" i="7"/>
  <c r="K711" i="7"/>
  <c r="J711" i="7"/>
  <c r="I711" i="7"/>
  <c r="H711" i="7"/>
  <c r="E711" i="7"/>
  <c r="D711" i="7"/>
  <c r="C711" i="7"/>
  <c r="B711" i="7"/>
  <c r="AI710" i="7"/>
  <c r="AH710" i="7"/>
  <c r="AG710" i="7"/>
  <c r="AF710" i="7"/>
  <c r="AC710" i="7"/>
  <c r="AB710" i="7"/>
  <c r="AA710" i="7"/>
  <c r="Z710" i="7"/>
  <c r="W710" i="7"/>
  <c r="V710" i="7"/>
  <c r="U710" i="7"/>
  <c r="T710" i="7"/>
  <c r="Q710" i="7"/>
  <c r="P710" i="7"/>
  <c r="O710" i="7"/>
  <c r="N710" i="7"/>
  <c r="K710" i="7"/>
  <c r="J710" i="7"/>
  <c r="I710" i="7"/>
  <c r="H710" i="7"/>
  <c r="E710" i="7"/>
  <c r="D710" i="7"/>
  <c r="C710" i="7"/>
  <c r="B710" i="7"/>
  <c r="AI709" i="7"/>
  <c r="AH709" i="7"/>
  <c r="AG709" i="7"/>
  <c r="AF709" i="7"/>
  <c r="AC709" i="7"/>
  <c r="AB709" i="7"/>
  <c r="AA709" i="7"/>
  <c r="Z709" i="7"/>
  <c r="W709" i="7"/>
  <c r="V709" i="7"/>
  <c r="U709" i="7"/>
  <c r="T709" i="7"/>
  <c r="Q709" i="7"/>
  <c r="P709" i="7"/>
  <c r="O709" i="7"/>
  <c r="N709" i="7"/>
  <c r="K709" i="7"/>
  <c r="J709" i="7"/>
  <c r="I709" i="7"/>
  <c r="H709" i="7"/>
  <c r="E709" i="7"/>
  <c r="D709" i="7"/>
  <c r="C709" i="7"/>
  <c r="B709" i="7"/>
  <c r="AI708" i="7"/>
  <c r="AH708" i="7"/>
  <c r="AG708" i="7"/>
  <c r="AF708" i="7"/>
  <c r="AC708" i="7"/>
  <c r="AB708" i="7"/>
  <c r="AA708" i="7"/>
  <c r="Z708" i="7"/>
  <c r="W708" i="7"/>
  <c r="V708" i="7"/>
  <c r="U708" i="7"/>
  <c r="T708" i="7"/>
  <c r="Q708" i="7"/>
  <c r="P708" i="7"/>
  <c r="O708" i="7"/>
  <c r="N708" i="7"/>
  <c r="K708" i="7"/>
  <c r="J708" i="7"/>
  <c r="I708" i="7"/>
  <c r="H708" i="7"/>
  <c r="E708" i="7"/>
  <c r="D708" i="7"/>
  <c r="C708" i="7"/>
  <c r="B708" i="7"/>
  <c r="AI707" i="7"/>
  <c r="AH707" i="7"/>
  <c r="AG707" i="7"/>
  <c r="AF707" i="7"/>
  <c r="AC707" i="7"/>
  <c r="AB707" i="7"/>
  <c r="AA707" i="7"/>
  <c r="Z707" i="7"/>
  <c r="W707" i="7"/>
  <c r="V707" i="7"/>
  <c r="U707" i="7"/>
  <c r="T707" i="7"/>
  <c r="Q707" i="7"/>
  <c r="P707" i="7"/>
  <c r="O707" i="7"/>
  <c r="N707" i="7"/>
  <c r="K707" i="7"/>
  <c r="J707" i="7"/>
  <c r="I707" i="7"/>
  <c r="H707" i="7"/>
  <c r="E707" i="7"/>
  <c r="D707" i="7"/>
  <c r="C707" i="7"/>
  <c r="B707" i="7"/>
  <c r="AI706" i="7"/>
  <c r="AH706" i="7"/>
  <c r="AG706" i="7"/>
  <c r="AF706" i="7"/>
  <c r="AC706" i="7"/>
  <c r="AB706" i="7"/>
  <c r="AA706" i="7"/>
  <c r="Z706" i="7"/>
  <c r="W706" i="7"/>
  <c r="V706" i="7"/>
  <c r="U706" i="7"/>
  <c r="T706" i="7"/>
  <c r="Q706" i="7"/>
  <c r="P706" i="7"/>
  <c r="O706" i="7"/>
  <c r="N706" i="7"/>
  <c r="K706" i="7"/>
  <c r="J706" i="7"/>
  <c r="I706" i="7"/>
  <c r="H706" i="7"/>
  <c r="E706" i="7"/>
  <c r="D706" i="7"/>
  <c r="C706" i="7"/>
  <c r="B706" i="7"/>
  <c r="AI705" i="7"/>
  <c r="AH705" i="7"/>
  <c r="AG705" i="7"/>
  <c r="AF705" i="7"/>
  <c r="AC705" i="7"/>
  <c r="AB705" i="7"/>
  <c r="AA705" i="7"/>
  <c r="Z705" i="7"/>
  <c r="W705" i="7"/>
  <c r="V705" i="7"/>
  <c r="U705" i="7"/>
  <c r="T705" i="7"/>
  <c r="Q705" i="7"/>
  <c r="P705" i="7"/>
  <c r="O705" i="7"/>
  <c r="N705" i="7"/>
  <c r="K705" i="7"/>
  <c r="J705" i="7"/>
  <c r="I705" i="7"/>
  <c r="H705" i="7"/>
  <c r="E705" i="7"/>
  <c r="D705" i="7"/>
  <c r="C705" i="7"/>
  <c r="B705" i="7"/>
  <c r="AI704" i="7"/>
  <c r="AH704" i="7"/>
  <c r="AG704" i="7"/>
  <c r="AF704" i="7"/>
  <c r="AC704" i="7"/>
  <c r="AB704" i="7"/>
  <c r="AA704" i="7"/>
  <c r="Z704" i="7"/>
  <c r="W704" i="7"/>
  <c r="V704" i="7"/>
  <c r="U704" i="7"/>
  <c r="T704" i="7"/>
  <c r="Q704" i="7"/>
  <c r="P704" i="7"/>
  <c r="O704" i="7"/>
  <c r="N704" i="7"/>
  <c r="K704" i="7"/>
  <c r="J704" i="7"/>
  <c r="I704" i="7"/>
  <c r="H704" i="7"/>
  <c r="E704" i="7"/>
  <c r="D704" i="7"/>
  <c r="C704" i="7"/>
  <c r="B704" i="7"/>
  <c r="AI703" i="7"/>
  <c r="AH703" i="7"/>
  <c r="AG703" i="7"/>
  <c r="AF703" i="7"/>
  <c r="AC703" i="7"/>
  <c r="AB703" i="7"/>
  <c r="AA703" i="7"/>
  <c r="Z703" i="7"/>
  <c r="W703" i="7"/>
  <c r="V703" i="7"/>
  <c r="U703" i="7"/>
  <c r="T703" i="7"/>
  <c r="Q703" i="7"/>
  <c r="P703" i="7"/>
  <c r="O703" i="7"/>
  <c r="N703" i="7"/>
  <c r="K703" i="7"/>
  <c r="J703" i="7"/>
  <c r="I703" i="7"/>
  <c r="H703" i="7"/>
  <c r="E703" i="7"/>
  <c r="D703" i="7"/>
  <c r="C703" i="7"/>
  <c r="B703" i="7"/>
  <c r="AI702" i="7"/>
  <c r="AH702" i="7"/>
  <c r="AG702" i="7"/>
  <c r="AF702" i="7"/>
  <c r="AC702" i="7"/>
  <c r="AB702" i="7"/>
  <c r="AA702" i="7"/>
  <c r="Z702" i="7"/>
  <c r="W702" i="7"/>
  <c r="V702" i="7"/>
  <c r="U702" i="7"/>
  <c r="T702" i="7"/>
  <c r="Q702" i="7"/>
  <c r="P702" i="7"/>
  <c r="O702" i="7"/>
  <c r="N702" i="7"/>
  <c r="K702" i="7"/>
  <c r="J702" i="7"/>
  <c r="I702" i="7"/>
  <c r="H702" i="7"/>
  <c r="E702" i="7"/>
  <c r="D702" i="7"/>
  <c r="C702" i="7"/>
  <c r="B702" i="7"/>
  <c r="AI701" i="7"/>
  <c r="AH701" i="7"/>
  <c r="AG701" i="7"/>
  <c r="AF701" i="7"/>
  <c r="AC701" i="7"/>
  <c r="AB701" i="7"/>
  <c r="AA701" i="7"/>
  <c r="Z701" i="7"/>
  <c r="W701" i="7"/>
  <c r="V701" i="7"/>
  <c r="U701" i="7"/>
  <c r="T701" i="7"/>
  <c r="Q701" i="7"/>
  <c r="P701" i="7"/>
  <c r="O701" i="7"/>
  <c r="N701" i="7"/>
  <c r="K701" i="7"/>
  <c r="J701" i="7"/>
  <c r="I701" i="7"/>
  <c r="H701" i="7"/>
  <c r="E701" i="7"/>
  <c r="D701" i="7"/>
  <c r="C701" i="7"/>
  <c r="B701" i="7"/>
  <c r="AI700" i="7"/>
  <c r="AH700" i="7"/>
  <c r="AG700" i="7"/>
  <c r="AF700" i="7"/>
  <c r="AC700" i="7"/>
  <c r="AB700" i="7"/>
  <c r="AA700" i="7"/>
  <c r="Z700" i="7"/>
  <c r="W700" i="7"/>
  <c r="V700" i="7"/>
  <c r="U700" i="7"/>
  <c r="T700" i="7"/>
  <c r="Q700" i="7"/>
  <c r="P700" i="7"/>
  <c r="O700" i="7"/>
  <c r="N700" i="7"/>
  <c r="K700" i="7"/>
  <c r="J700" i="7"/>
  <c r="I700" i="7"/>
  <c r="H700" i="7"/>
  <c r="E700" i="7"/>
  <c r="D700" i="7"/>
  <c r="C700" i="7"/>
  <c r="B700" i="7"/>
  <c r="AI699" i="7"/>
  <c r="AH699" i="7"/>
  <c r="AG699" i="7"/>
  <c r="AF699" i="7"/>
  <c r="AC699" i="7"/>
  <c r="AB699" i="7"/>
  <c r="AA699" i="7"/>
  <c r="Z699" i="7"/>
  <c r="W699" i="7"/>
  <c r="V699" i="7"/>
  <c r="U699" i="7"/>
  <c r="T699" i="7"/>
  <c r="Q699" i="7"/>
  <c r="P699" i="7"/>
  <c r="O699" i="7"/>
  <c r="N699" i="7"/>
  <c r="K699" i="7"/>
  <c r="J699" i="7"/>
  <c r="I699" i="7"/>
  <c r="H699" i="7"/>
  <c r="E699" i="7"/>
  <c r="D699" i="7"/>
  <c r="C699" i="7"/>
  <c r="B699" i="7"/>
  <c r="AI698" i="7"/>
  <c r="AH698" i="7"/>
  <c r="AG698" i="7"/>
  <c r="AF698" i="7"/>
  <c r="AC698" i="7"/>
  <c r="AB698" i="7"/>
  <c r="AA698" i="7"/>
  <c r="Z698" i="7"/>
  <c r="W698" i="7"/>
  <c r="V698" i="7"/>
  <c r="U698" i="7"/>
  <c r="T698" i="7"/>
  <c r="Q698" i="7"/>
  <c r="P698" i="7"/>
  <c r="O698" i="7"/>
  <c r="N698" i="7"/>
  <c r="K698" i="7"/>
  <c r="J698" i="7"/>
  <c r="I698" i="7"/>
  <c r="H698" i="7"/>
  <c r="E698" i="7"/>
  <c r="D698" i="7"/>
  <c r="C698" i="7"/>
  <c r="B698" i="7"/>
  <c r="AI697" i="7"/>
  <c r="AH697" i="7"/>
  <c r="AG697" i="7"/>
  <c r="AF697" i="7"/>
  <c r="AC697" i="7"/>
  <c r="AB697" i="7"/>
  <c r="AA697" i="7"/>
  <c r="Z697" i="7"/>
  <c r="W697" i="7"/>
  <c r="V697" i="7"/>
  <c r="U697" i="7"/>
  <c r="T697" i="7"/>
  <c r="Q697" i="7"/>
  <c r="P697" i="7"/>
  <c r="O697" i="7"/>
  <c r="N697" i="7"/>
  <c r="K697" i="7"/>
  <c r="J697" i="7"/>
  <c r="I697" i="7"/>
  <c r="H697" i="7"/>
  <c r="E697" i="7"/>
  <c r="D697" i="7"/>
  <c r="C697" i="7"/>
  <c r="B697" i="7"/>
  <c r="AI696" i="7"/>
  <c r="AH696" i="7"/>
  <c r="AG696" i="7"/>
  <c r="AF696" i="7"/>
  <c r="AC696" i="7"/>
  <c r="AB696" i="7"/>
  <c r="AA696" i="7"/>
  <c r="Z696" i="7"/>
  <c r="W696" i="7"/>
  <c r="V696" i="7"/>
  <c r="U696" i="7"/>
  <c r="T696" i="7"/>
  <c r="Q696" i="7"/>
  <c r="P696" i="7"/>
  <c r="O696" i="7"/>
  <c r="N696" i="7"/>
  <c r="K696" i="7"/>
  <c r="J696" i="7"/>
  <c r="I696" i="7"/>
  <c r="H696" i="7"/>
  <c r="E696" i="7"/>
  <c r="D696" i="7"/>
  <c r="C696" i="7"/>
  <c r="B696" i="7"/>
  <c r="AI695" i="7"/>
  <c r="AH695" i="7"/>
  <c r="AG695" i="7"/>
  <c r="AF695" i="7"/>
  <c r="AC695" i="7"/>
  <c r="AB695" i="7"/>
  <c r="AA695" i="7"/>
  <c r="Z695" i="7"/>
  <c r="W695" i="7"/>
  <c r="V695" i="7"/>
  <c r="U695" i="7"/>
  <c r="T695" i="7"/>
  <c r="Q695" i="7"/>
  <c r="P695" i="7"/>
  <c r="O695" i="7"/>
  <c r="N695" i="7"/>
  <c r="K695" i="7"/>
  <c r="J695" i="7"/>
  <c r="I695" i="7"/>
  <c r="H695" i="7"/>
  <c r="E695" i="7"/>
  <c r="D695" i="7"/>
  <c r="C695" i="7"/>
  <c r="B695" i="7"/>
  <c r="AI694" i="7"/>
  <c r="AH694" i="7"/>
  <c r="AG694" i="7"/>
  <c r="AF694" i="7"/>
  <c r="AC694" i="7"/>
  <c r="AB694" i="7"/>
  <c r="AA694" i="7"/>
  <c r="Z694" i="7"/>
  <c r="W694" i="7"/>
  <c r="V694" i="7"/>
  <c r="U694" i="7"/>
  <c r="T694" i="7"/>
  <c r="Q694" i="7"/>
  <c r="P694" i="7"/>
  <c r="O694" i="7"/>
  <c r="N694" i="7"/>
  <c r="K694" i="7"/>
  <c r="J694" i="7"/>
  <c r="I694" i="7"/>
  <c r="H694" i="7"/>
  <c r="E694" i="7"/>
  <c r="D694" i="7"/>
  <c r="C694" i="7"/>
  <c r="B694" i="7"/>
  <c r="AI693" i="7"/>
  <c r="AH693" i="7"/>
  <c r="AG693" i="7"/>
  <c r="AF693" i="7"/>
  <c r="AC693" i="7"/>
  <c r="AB693" i="7"/>
  <c r="AA693" i="7"/>
  <c r="Z693" i="7"/>
  <c r="W693" i="7"/>
  <c r="V693" i="7"/>
  <c r="U693" i="7"/>
  <c r="T693" i="7"/>
  <c r="Q693" i="7"/>
  <c r="P693" i="7"/>
  <c r="O693" i="7"/>
  <c r="N693" i="7"/>
  <c r="K693" i="7"/>
  <c r="J693" i="7"/>
  <c r="I693" i="7"/>
  <c r="H693" i="7"/>
  <c r="E693" i="7"/>
  <c r="D693" i="7"/>
  <c r="C693" i="7"/>
  <c r="B693" i="7"/>
  <c r="AI692" i="7"/>
  <c r="AH692" i="7"/>
  <c r="AG692" i="7"/>
  <c r="AF692" i="7"/>
  <c r="AC692" i="7"/>
  <c r="AB692" i="7"/>
  <c r="AA692" i="7"/>
  <c r="Z692" i="7"/>
  <c r="W692" i="7"/>
  <c r="V692" i="7"/>
  <c r="U692" i="7"/>
  <c r="T692" i="7"/>
  <c r="Q692" i="7"/>
  <c r="P692" i="7"/>
  <c r="O692" i="7"/>
  <c r="N692" i="7"/>
  <c r="K692" i="7"/>
  <c r="J692" i="7"/>
  <c r="I692" i="7"/>
  <c r="H692" i="7"/>
  <c r="E692" i="7"/>
  <c r="D692" i="7"/>
  <c r="C692" i="7"/>
  <c r="B692" i="7"/>
  <c r="AI691" i="7"/>
  <c r="AH691" i="7"/>
  <c r="AG691" i="7"/>
  <c r="AF691" i="7"/>
  <c r="AC691" i="7"/>
  <c r="AB691" i="7"/>
  <c r="AA691" i="7"/>
  <c r="Z691" i="7"/>
  <c r="W691" i="7"/>
  <c r="V691" i="7"/>
  <c r="U691" i="7"/>
  <c r="T691" i="7"/>
  <c r="Q691" i="7"/>
  <c r="P691" i="7"/>
  <c r="O691" i="7"/>
  <c r="N691" i="7"/>
  <c r="K691" i="7"/>
  <c r="J691" i="7"/>
  <c r="I691" i="7"/>
  <c r="H691" i="7"/>
  <c r="E691" i="7"/>
  <c r="D691" i="7"/>
  <c r="C691" i="7"/>
  <c r="B691" i="7"/>
  <c r="AI690" i="7"/>
  <c r="AH690" i="7"/>
  <c r="AG690" i="7"/>
  <c r="AF690" i="7"/>
  <c r="AC690" i="7"/>
  <c r="AB690" i="7"/>
  <c r="AA690" i="7"/>
  <c r="Z690" i="7"/>
  <c r="W690" i="7"/>
  <c r="V690" i="7"/>
  <c r="U690" i="7"/>
  <c r="T690" i="7"/>
  <c r="Q690" i="7"/>
  <c r="P690" i="7"/>
  <c r="O690" i="7"/>
  <c r="N690" i="7"/>
  <c r="K690" i="7"/>
  <c r="J690" i="7"/>
  <c r="I690" i="7"/>
  <c r="H690" i="7"/>
  <c r="E690" i="7"/>
  <c r="D690" i="7"/>
  <c r="C690" i="7"/>
  <c r="B690" i="7"/>
  <c r="AI689" i="7"/>
  <c r="AH689" i="7"/>
  <c r="AG689" i="7"/>
  <c r="AF689" i="7"/>
  <c r="AC689" i="7"/>
  <c r="AB689" i="7"/>
  <c r="AA689" i="7"/>
  <c r="Z689" i="7"/>
  <c r="W689" i="7"/>
  <c r="V689" i="7"/>
  <c r="U689" i="7"/>
  <c r="T689" i="7"/>
  <c r="Q689" i="7"/>
  <c r="P689" i="7"/>
  <c r="O689" i="7"/>
  <c r="N689" i="7"/>
  <c r="K689" i="7"/>
  <c r="J689" i="7"/>
  <c r="I689" i="7"/>
  <c r="H689" i="7"/>
  <c r="E689" i="7"/>
  <c r="D689" i="7"/>
  <c r="C689" i="7"/>
  <c r="B689" i="7"/>
  <c r="AI688" i="7"/>
  <c r="AH688" i="7"/>
  <c r="AG688" i="7"/>
  <c r="AF688" i="7"/>
  <c r="AC688" i="7"/>
  <c r="AB688" i="7"/>
  <c r="AA688" i="7"/>
  <c r="Z688" i="7"/>
  <c r="W688" i="7"/>
  <c r="V688" i="7"/>
  <c r="U688" i="7"/>
  <c r="T688" i="7"/>
  <c r="Q688" i="7"/>
  <c r="P688" i="7"/>
  <c r="O688" i="7"/>
  <c r="N688" i="7"/>
  <c r="K688" i="7"/>
  <c r="J688" i="7"/>
  <c r="I688" i="7"/>
  <c r="H688" i="7"/>
  <c r="E688" i="7"/>
  <c r="D688" i="7"/>
  <c r="C688" i="7"/>
  <c r="B688" i="7"/>
  <c r="AI687" i="7"/>
  <c r="AH687" i="7"/>
  <c r="AG687" i="7"/>
  <c r="AF687" i="7"/>
  <c r="AC687" i="7"/>
  <c r="AB687" i="7"/>
  <c r="AA687" i="7"/>
  <c r="Z687" i="7"/>
  <c r="W687" i="7"/>
  <c r="V687" i="7"/>
  <c r="U687" i="7"/>
  <c r="T687" i="7"/>
  <c r="Q687" i="7"/>
  <c r="P687" i="7"/>
  <c r="O687" i="7"/>
  <c r="N687" i="7"/>
  <c r="K687" i="7"/>
  <c r="J687" i="7"/>
  <c r="I687" i="7"/>
  <c r="H687" i="7"/>
  <c r="E687" i="7"/>
  <c r="D687" i="7"/>
  <c r="C687" i="7"/>
  <c r="B687" i="7"/>
  <c r="AI686" i="7"/>
  <c r="AH686" i="7"/>
  <c r="AG686" i="7"/>
  <c r="AF686" i="7"/>
  <c r="AC686" i="7"/>
  <c r="AB686" i="7"/>
  <c r="AA686" i="7"/>
  <c r="Z686" i="7"/>
  <c r="W686" i="7"/>
  <c r="V686" i="7"/>
  <c r="U686" i="7"/>
  <c r="T686" i="7"/>
  <c r="Q686" i="7"/>
  <c r="P686" i="7"/>
  <c r="O686" i="7"/>
  <c r="N686" i="7"/>
  <c r="K686" i="7"/>
  <c r="J686" i="7"/>
  <c r="I686" i="7"/>
  <c r="H686" i="7"/>
  <c r="E686" i="7"/>
  <c r="D686" i="7"/>
  <c r="C686" i="7"/>
  <c r="B686" i="7"/>
  <c r="AI685" i="7"/>
  <c r="AH685" i="7"/>
  <c r="AG685" i="7"/>
  <c r="AF685" i="7"/>
  <c r="AC685" i="7"/>
  <c r="AB685" i="7"/>
  <c r="AA685" i="7"/>
  <c r="Z685" i="7"/>
  <c r="W685" i="7"/>
  <c r="V685" i="7"/>
  <c r="U685" i="7"/>
  <c r="T685" i="7"/>
  <c r="Q685" i="7"/>
  <c r="P685" i="7"/>
  <c r="O685" i="7"/>
  <c r="N685" i="7"/>
  <c r="K685" i="7"/>
  <c r="J685" i="7"/>
  <c r="I685" i="7"/>
  <c r="H685" i="7"/>
  <c r="E685" i="7"/>
  <c r="D685" i="7"/>
  <c r="C685" i="7"/>
  <c r="B685" i="7"/>
  <c r="AI684" i="7"/>
  <c r="AH684" i="7"/>
  <c r="AG684" i="7"/>
  <c r="AF684" i="7"/>
  <c r="AC684" i="7"/>
  <c r="AB684" i="7"/>
  <c r="AA684" i="7"/>
  <c r="Z684" i="7"/>
  <c r="W684" i="7"/>
  <c r="V684" i="7"/>
  <c r="U684" i="7"/>
  <c r="T684" i="7"/>
  <c r="Q684" i="7"/>
  <c r="P684" i="7"/>
  <c r="O684" i="7"/>
  <c r="N684" i="7"/>
  <c r="K684" i="7"/>
  <c r="J684" i="7"/>
  <c r="I684" i="7"/>
  <c r="H684" i="7"/>
  <c r="E684" i="7"/>
  <c r="D684" i="7"/>
  <c r="C684" i="7"/>
  <c r="B684" i="7"/>
  <c r="AI683" i="7"/>
  <c r="AH683" i="7"/>
  <c r="AG683" i="7"/>
  <c r="AF683" i="7"/>
  <c r="AC683" i="7"/>
  <c r="AB683" i="7"/>
  <c r="AA683" i="7"/>
  <c r="Z683" i="7"/>
  <c r="W683" i="7"/>
  <c r="V683" i="7"/>
  <c r="U683" i="7"/>
  <c r="T683" i="7"/>
  <c r="Q683" i="7"/>
  <c r="P683" i="7"/>
  <c r="O683" i="7"/>
  <c r="N683" i="7"/>
  <c r="K683" i="7"/>
  <c r="J683" i="7"/>
  <c r="I683" i="7"/>
  <c r="H683" i="7"/>
  <c r="E683" i="7"/>
  <c r="D683" i="7"/>
  <c r="C683" i="7"/>
  <c r="B683" i="7"/>
  <c r="AI682" i="7"/>
  <c r="AH682" i="7"/>
  <c r="AG682" i="7"/>
  <c r="AF682" i="7"/>
  <c r="AC682" i="7"/>
  <c r="AB682" i="7"/>
  <c r="AA682" i="7"/>
  <c r="Z682" i="7"/>
  <c r="W682" i="7"/>
  <c r="V682" i="7"/>
  <c r="U682" i="7"/>
  <c r="T682" i="7"/>
  <c r="Q682" i="7"/>
  <c r="P682" i="7"/>
  <c r="O682" i="7"/>
  <c r="N682" i="7"/>
  <c r="K682" i="7"/>
  <c r="J682" i="7"/>
  <c r="I682" i="7"/>
  <c r="H682" i="7"/>
  <c r="E682" i="7"/>
  <c r="D682" i="7"/>
  <c r="C682" i="7"/>
  <c r="B682" i="7"/>
  <c r="AI681" i="7"/>
  <c r="AH681" i="7"/>
  <c r="AG681" i="7"/>
  <c r="AF681" i="7"/>
  <c r="AC681" i="7"/>
  <c r="AB681" i="7"/>
  <c r="AA681" i="7"/>
  <c r="Z681" i="7"/>
  <c r="W681" i="7"/>
  <c r="V681" i="7"/>
  <c r="U681" i="7"/>
  <c r="T681" i="7"/>
  <c r="Q681" i="7"/>
  <c r="P681" i="7"/>
  <c r="O681" i="7"/>
  <c r="N681" i="7"/>
  <c r="K681" i="7"/>
  <c r="J681" i="7"/>
  <c r="I681" i="7"/>
  <c r="H681" i="7"/>
  <c r="E681" i="7"/>
  <c r="D681" i="7"/>
  <c r="C681" i="7"/>
  <c r="B681" i="7"/>
  <c r="AI680" i="7"/>
  <c r="AH680" i="7"/>
  <c r="AG680" i="7"/>
  <c r="AF680" i="7"/>
  <c r="AC680" i="7"/>
  <c r="AB680" i="7"/>
  <c r="AA680" i="7"/>
  <c r="Z680" i="7"/>
  <c r="W680" i="7"/>
  <c r="V680" i="7"/>
  <c r="U680" i="7"/>
  <c r="T680" i="7"/>
  <c r="Q680" i="7"/>
  <c r="P680" i="7"/>
  <c r="O680" i="7"/>
  <c r="N680" i="7"/>
  <c r="K680" i="7"/>
  <c r="J680" i="7"/>
  <c r="I680" i="7"/>
  <c r="H680" i="7"/>
  <c r="E680" i="7"/>
  <c r="D680" i="7"/>
  <c r="C680" i="7"/>
  <c r="B680" i="7"/>
  <c r="AI679" i="7"/>
  <c r="AH679" i="7"/>
  <c r="AG679" i="7"/>
  <c r="AF679" i="7"/>
  <c r="AC679" i="7"/>
  <c r="AB679" i="7"/>
  <c r="AA679" i="7"/>
  <c r="Z679" i="7"/>
  <c r="W679" i="7"/>
  <c r="V679" i="7"/>
  <c r="U679" i="7"/>
  <c r="T679" i="7"/>
  <c r="Q679" i="7"/>
  <c r="P679" i="7"/>
  <c r="O679" i="7"/>
  <c r="N679" i="7"/>
  <c r="K679" i="7"/>
  <c r="J679" i="7"/>
  <c r="I679" i="7"/>
  <c r="H679" i="7"/>
  <c r="E679" i="7"/>
  <c r="D679" i="7"/>
  <c r="C679" i="7"/>
  <c r="B679" i="7"/>
  <c r="AI678" i="7"/>
  <c r="AH678" i="7"/>
  <c r="AG678" i="7"/>
  <c r="AF678" i="7"/>
  <c r="AC678" i="7"/>
  <c r="AB678" i="7"/>
  <c r="AA678" i="7"/>
  <c r="Z678" i="7"/>
  <c r="W678" i="7"/>
  <c r="V678" i="7"/>
  <c r="U678" i="7"/>
  <c r="T678" i="7"/>
  <c r="Q678" i="7"/>
  <c r="P678" i="7"/>
  <c r="O678" i="7"/>
  <c r="N678" i="7"/>
  <c r="K678" i="7"/>
  <c r="J678" i="7"/>
  <c r="I678" i="7"/>
  <c r="H678" i="7"/>
  <c r="E678" i="7"/>
  <c r="D678" i="7"/>
  <c r="C678" i="7"/>
  <c r="B678" i="7"/>
  <c r="AI677" i="7"/>
  <c r="AH677" i="7"/>
  <c r="AG677" i="7"/>
  <c r="AF677" i="7"/>
  <c r="AC677" i="7"/>
  <c r="AB677" i="7"/>
  <c r="AA677" i="7"/>
  <c r="Z677" i="7"/>
  <c r="W677" i="7"/>
  <c r="V677" i="7"/>
  <c r="U677" i="7"/>
  <c r="T677" i="7"/>
  <c r="Q677" i="7"/>
  <c r="P677" i="7"/>
  <c r="O677" i="7"/>
  <c r="N677" i="7"/>
  <c r="K677" i="7"/>
  <c r="J677" i="7"/>
  <c r="I677" i="7"/>
  <c r="H677" i="7"/>
  <c r="E677" i="7"/>
  <c r="D677" i="7"/>
  <c r="C677" i="7"/>
  <c r="B677" i="7"/>
  <c r="AI676" i="7"/>
  <c r="AH676" i="7"/>
  <c r="AG676" i="7"/>
  <c r="AF676" i="7"/>
  <c r="AC676" i="7"/>
  <c r="AB676" i="7"/>
  <c r="AA676" i="7"/>
  <c r="Z676" i="7"/>
  <c r="W676" i="7"/>
  <c r="V676" i="7"/>
  <c r="U676" i="7"/>
  <c r="T676" i="7"/>
  <c r="Q676" i="7"/>
  <c r="P676" i="7"/>
  <c r="O676" i="7"/>
  <c r="N676" i="7"/>
  <c r="K676" i="7"/>
  <c r="J676" i="7"/>
  <c r="I676" i="7"/>
  <c r="H676" i="7"/>
  <c r="E676" i="7"/>
  <c r="D676" i="7"/>
  <c r="C676" i="7"/>
  <c r="B676" i="7"/>
  <c r="AI675" i="7"/>
  <c r="AH675" i="7"/>
  <c r="AG675" i="7"/>
  <c r="AF675" i="7"/>
  <c r="AC675" i="7"/>
  <c r="AB675" i="7"/>
  <c r="AA675" i="7"/>
  <c r="Z675" i="7"/>
  <c r="W675" i="7"/>
  <c r="V675" i="7"/>
  <c r="U675" i="7"/>
  <c r="T675" i="7"/>
  <c r="Q675" i="7"/>
  <c r="P675" i="7"/>
  <c r="O675" i="7"/>
  <c r="N675" i="7"/>
  <c r="K675" i="7"/>
  <c r="J675" i="7"/>
  <c r="I675" i="7"/>
  <c r="H675" i="7"/>
  <c r="E675" i="7"/>
  <c r="D675" i="7"/>
  <c r="C675" i="7"/>
  <c r="B675" i="7"/>
  <c r="AI674" i="7"/>
  <c r="AH674" i="7"/>
  <c r="AG674" i="7"/>
  <c r="AF674" i="7"/>
  <c r="AC674" i="7"/>
  <c r="AB674" i="7"/>
  <c r="AA674" i="7"/>
  <c r="Z674" i="7"/>
  <c r="W674" i="7"/>
  <c r="V674" i="7"/>
  <c r="U674" i="7"/>
  <c r="T674" i="7"/>
  <c r="Q674" i="7"/>
  <c r="P674" i="7"/>
  <c r="O674" i="7"/>
  <c r="N674" i="7"/>
  <c r="K674" i="7"/>
  <c r="J674" i="7"/>
  <c r="I674" i="7"/>
  <c r="H674" i="7"/>
  <c r="E674" i="7"/>
  <c r="D674" i="7"/>
  <c r="C674" i="7"/>
  <c r="B674" i="7"/>
  <c r="AI673" i="7"/>
  <c r="AH673" i="7"/>
  <c r="AG673" i="7"/>
  <c r="AF673" i="7"/>
  <c r="AC673" i="7"/>
  <c r="AB673" i="7"/>
  <c r="AA673" i="7"/>
  <c r="Z673" i="7"/>
  <c r="W673" i="7"/>
  <c r="V673" i="7"/>
  <c r="U673" i="7"/>
  <c r="T673" i="7"/>
  <c r="Q673" i="7"/>
  <c r="P673" i="7"/>
  <c r="O673" i="7"/>
  <c r="N673" i="7"/>
  <c r="K673" i="7"/>
  <c r="J673" i="7"/>
  <c r="I673" i="7"/>
  <c r="H673" i="7"/>
  <c r="E673" i="7"/>
  <c r="D673" i="7"/>
  <c r="C673" i="7"/>
  <c r="B673" i="7"/>
  <c r="AI672" i="7"/>
  <c r="AH672" i="7"/>
  <c r="AG672" i="7"/>
  <c r="AF672" i="7"/>
  <c r="AC672" i="7"/>
  <c r="AB672" i="7"/>
  <c r="AA672" i="7"/>
  <c r="Z672" i="7"/>
  <c r="W672" i="7"/>
  <c r="V672" i="7"/>
  <c r="U672" i="7"/>
  <c r="T672" i="7"/>
  <c r="Q672" i="7"/>
  <c r="P672" i="7"/>
  <c r="O672" i="7"/>
  <c r="N672" i="7"/>
  <c r="K672" i="7"/>
  <c r="J672" i="7"/>
  <c r="I672" i="7"/>
  <c r="H672" i="7"/>
  <c r="E672" i="7"/>
  <c r="D672" i="7"/>
  <c r="C672" i="7"/>
  <c r="B672" i="7"/>
  <c r="AI671" i="7"/>
  <c r="AH671" i="7"/>
  <c r="AG671" i="7"/>
  <c r="AF671" i="7"/>
  <c r="AC671" i="7"/>
  <c r="AB671" i="7"/>
  <c r="AA671" i="7"/>
  <c r="Z671" i="7"/>
  <c r="W671" i="7"/>
  <c r="V671" i="7"/>
  <c r="U671" i="7"/>
  <c r="T671" i="7"/>
  <c r="Q671" i="7"/>
  <c r="P671" i="7"/>
  <c r="O671" i="7"/>
  <c r="N671" i="7"/>
  <c r="K671" i="7"/>
  <c r="J671" i="7"/>
  <c r="I671" i="7"/>
  <c r="H671" i="7"/>
  <c r="E671" i="7"/>
  <c r="D671" i="7"/>
  <c r="C671" i="7"/>
  <c r="B671" i="7"/>
  <c r="AI670" i="7"/>
  <c r="AH670" i="7"/>
  <c r="AG670" i="7"/>
  <c r="AF670" i="7"/>
  <c r="AC670" i="7"/>
  <c r="AB670" i="7"/>
  <c r="AA670" i="7"/>
  <c r="Z670" i="7"/>
  <c r="W670" i="7"/>
  <c r="V670" i="7"/>
  <c r="U670" i="7"/>
  <c r="T670" i="7"/>
  <c r="Q670" i="7"/>
  <c r="P670" i="7"/>
  <c r="O670" i="7"/>
  <c r="N670" i="7"/>
  <c r="K670" i="7"/>
  <c r="J670" i="7"/>
  <c r="I670" i="7"/>
  <c r="H670" i="7"/>
  <c r="E670" i="7"/>
  <c r="D670" i="7"/>
  <c r="C670" i="7"/>
  <c r="B670" i="7"/>
  <c r="AI669" i="7"/>
  <c r="AH669" i="7"/>
  <c r="AG669" i="7"/>
  <c r="AF669" i="7"/>
  <c r="AC669" i="7"/>
  <c r="AB669" i="7"/>
  <c r="AA669" i="7"/>
  <c r="Z669" i="7"/>
  <c r="W669" i="7"/>
  <c r="V669" i="7"/>
  <c r="U669" i="7"/>
  <c r="T669" i="7"/>
  <c r="Q669" i="7"/>
  <c r="P669" i="7"/>
  <c r="O669" i="7"/>
  <c r="N669" i="7"/>
  <c r="K669" i="7"/>
  <c r="J669" i="7"/>
  <c r="I669" i="7"/>
  <c r="H669" i="7"/>
  <c r="E669" i="7"/>
  <c r="D669" i="7"/>
  <c r="C669" i="7"/>
  <c r="B669" i="7"/>
  <c r="AI668" i="7"/>
  <c r="AH668" i="7"/>
  <c r="AG668" i="7"/>
  <c r="AF668" i="7"/>
  <c r="AC668" i="7"/>
  <c r="AB668" i="7"/>
  <c r="AA668" i="7"/>
  <c r="Z668" i="7"/>
  <c r="W668" i="7"/>
  <c r="V668" i="7"/>
  <c r="U668" i="7"/>
  <c r="T668" i="7"/>
  <c r="Q668" i="7"/>
  <c r="P668" i="7"/>
  <c r="O668" i="7"/>
  <c r="N668" i="7"/>
  <c r="K668" i="7"/>
  <c r="J668" i="7"/>
  <c r="I668" i="7"/>
  <c r="H668" i="7"/>
  <c r="E668" i="7"/>
  <c r="D668" i="7"/>
  <c r="C668" i="7"/>
  <c r="B668" i="7"/>
  <c r="AI667" i="7"/>
  <c r="AH667" i="7"/>
  <c r="AG667" i="7"/>
  <c r="AF667" i="7"/>
  <c r="AC667" i="7"/>
  <c r="AB667" i="7"/>
  <c r="AA667" i="7"/>
  <c r="Z667" i="7"/>
  <c r="W667" i="7"/>
  <c r="V667" i="7"/>
  <c r="U667" i="7"/>
  <c r="T667" i="7"/>
  <c r="Q667" i="7"/>
  <c r="P667" i="7"/>
  <c r="O667" i="7"/>
  <c r="N667" i="7"/>
  <c r="K667" i="7"/>
  <c r="J667" i="7"/>
  <c r="I667" i="7"/>
  <c r="H667" i="7"/>
  <c r="E667" i="7"/>
  <c r="D667" i="7"/>
  <c r="C667" i="7"/>
  <c r="B667" i="7"/>
  <c r="AI666" i="7"/>
  <c r="AH666" i="7"/>
  <c r="AG666" i="7"/>
  <c r="AF666" i="7"/>
  <c r="AC666" i="7"/>
  <c r="AB666" i="7"/>
  <c r="AA666" i="7"/>
  <c r="Z666" i="7"/>
  <c r="W666" i="7"/>
  <c r="V666" i="7"/>
  <c r="U666" i="7"/>
  <c r="T666" i="7"/>
  <c r="Q666" i="7"/>
  <c r="P666" i="7"/>
  <c r="O666" i="7"/>
  <c r="N666" i="7"/>
  <c r="K666" i="7"/>
  <c r="J666" i="7"/>
  <c r="I666" i="7"/>
  <c r="H666" i="7"/>
  <c r="E666" i="7"/>
  <c r="D666" i="7"/>
  <c r="C666" i="7"/>
  <c r="B666" i="7"/>
  <c r="AI665" i="7"/>
  <c r="AH665" i="7"/>
  <c r="AG665" i="7"/>
  <c r="AF665" i="7"/>
  <c r="AC665" i="7"/>
  <c r="AB665" i="7"/>
  <c r="AA665" i="7"/>
  <c r="Z665" i="7"/>
  <c r="W665" i="7"/>
  <c r="V665" i="7"/>
  <c r="U665" i="7"/>
  <c r="T665" i="7"/>
  <c r="Q665" i="7"/>
  <c r="P665" i="7"/>
  <c r="O665" i="7"/>
  <c r="N665" i="7"/>
  <c r="K665" i="7"/>
  <c r="J665" i="7"/>
  <c r="I665" i="7"/>
  <c r="H665" i="7"/>
  <c r="E665" i="7"/>
  <c r="D665" i="7"/>
  <c r="C665" i="7"/>
  <c r="B665" i="7"/>
  <c r="AI664" i="7"/>
  <c r="AH664" i="7"/>
  <c r="AG664" i="7"/>
  <c r="AF664" i="7"/>
  <c r="AC664" i="7"/>
  <c r="AB664" i="7"/>
  <c r="AA664" i="7"/>
  <c r="Z664" i="7"/>
  <c r="W664" i="7"/>
  <c r="V664" i="7"/>
  <c r="U664" i="7"/>
  <c r="T664" i="7"/>
  <c r="Q664" i="7"/>
  <c r="P664" i="7"/>
  <c r="O664" i="7"/>
  <c r="N664" i="7"/>
  <c r="K664" i="7"/>
  <c r="J664" i="7"/>
  <c r="I664" i="7"/>
  <c r="H664" i="7"/>
  <c r="E664" i="7"/>
  <c r="D664" i="7"/>
  <c r="C664" i="7"/>
  <c r="B664" i="7"/>
  <c r="AI663" i="7"/>
  <c r="AH663" i="7"/>
  <c r="AG663" i="7"/>
  <c r="AF663" i="7"/>
  <c r="AC663" i="7"/>
  <c r="AB663" i="7"/>
  <c r="AA663" i="7"/>
  <c r="Z663" i="7"/>
  <c r="W663" i="7"/>
  <c r="V663" i="7"/>
  <c r="U663" i="7"/>
  <c r="T663" i="7"/>
  <c r="Q663" i="7"/>
  <c r="P663" i="7"/>
  <c r="O663" i="7"/>
  <c r="N663" i="7"/>
  <c r="K663" i="7"/>
  <c r="J663" i="7"/>
  <c r="I663" i="7"/>
  <c r="H663" i="7"/>
  <c r="E663" i="7"/>
  <c r="D663" i="7"/>
  <c r="C663" i="7"/>
  <c r="B663" i="7"/>
  <c r="AI662" i="7"/>
  <c r="AH662" i="7"/>
  <c r="AG662" i="7"/>
  <c r="AF662" i="7"/>
  <c r="AC662" i="7"/>
  <c r="AB662" i="7"/>
  <c r="AA662" i="7"/>
  <c r="Z662" i="7"/>
  <c r="W662" i="7"/>
  <c r="V662" i="7"/>
  <c r="U662" i="7"/>
  <c r="T662" i="7"/>
  <c r="Q662" i="7"/>
  <c r="P662" i="7"/>
  <c r="O662" i="7"/>
  <c r="N662" i="7"/>
  <c r="K662" i="7"/>
  <c r="J662" i="7"/>
  <c r="I662" i="7"/>
  <c r="H662" i="7"/>
  <c r="E662" i="7"/>
  <c r="D662" i="7"/>
  <c r="C662" i="7"/>
  <c r="B662" i="7"/>
  <c r="AI661" i="7"/>
  <c r="AH661" i="7"/>
  <c r="AG661" i="7"/>
  <c r="AF661" i="7"/>
  <c r="AC661" i="7"/>
  <c r="AB661" i="7"/>
  <c r="AA661" i="7"/>
  <c r="Z661" i="7"/>
  <c r="W661" i="7"/>
  <c r="V661" i="7"/>
  <c r="U661" i="7"/>
  <c r="T661" i="7"/>
  <c r="Q661" i="7"/>
  <c r="P661" i="7"/>
  <c r="O661" i="7"/>
  <c r="N661" i="7"/>
  <c r="K661" i="7"/>
  <c r="J661" i="7"/>
  <c r="I661" i="7"/>
  <c r="H661" i="7"/>
  <c r="E661" i="7"/>
  <c r="D661" i="7"/>
  <c r="C661" i="7"/>
  <c r="B661" i="7"/>
  <c r="AI660" i="7"/>
  <c r="AH660" i="7"/>
  <c r="AG660" i="7"/>
  <c r="AF660" i="7"/>
  <c r="AC660" i="7"/>
  <c r="AB660" i="7"/>
  <c r="AA660" i="7"/>
  <c r="Z660" i="7"/>
  <c r="W660" i="7"/>
  <c r="V660" i="7"/>
  <c r="U660" i="7"/>
  <c r="T660" i="7"/>
  <c r="Q660" i="7"/>
  <c r="P660" i="7"/>
  <c r="O660" i="7"/>
  <c r="N660" i="7"/>
  <c r="K660" i="7"/>
  <c r="J660" i="7"/>
  <c r="I660" i="7"/>
  <c r="H660" i="7"/>
  <c r="E660" i="7"/>
  <c r="D660" i="7"/>
  <c r="C660" i="7"/>
  <c r="B660" i="7"/>
  <c r="AI659" i="7"/>
  <c r="AH659" i="7"/>
  <c r="AG659" i="7"/>
  <c r="AF659" i="7"/>
  <c r="AC659" i="7"/>
  <c r="AB659" i="7"/>
  <c r="AA659" i="7"/>
  <c r="Z659" i="7"/>
  <c r="W659" i="7"/>
  <c r="V659" i="7"/>
  <c r="U659" i="7"/>
  <c r="T659" i="7"/>
  <c r="Q659" i="7"/>
  <c r="P659" i="7"/>
  <c r="O659" i="7"/>
  <c r="N659" i="7"/>
  <c r="K659" i="7"/>
  <c r="J659" i="7"/>
  <c r="I659" i="7"/>
  <c r="H659" i="7"/>
  <c r="E659" i="7"/>
  <c r="D659" i="7"/>
  <c r="C659" i="7"/>
  <c r="B659" i="7"/>
  <c r="AI658" i="7"/>
  <c r="AH658" i="7"/>
  <c r="AG658" i="7"/>
  <c r="AF658" i="7"/>
  <c r="AC658" i="7"/>
  <c r="AB658" i="7"/>
  <c r="AA658" i="7"/>
  <c r="Z658" i="7"/>
  <c r="W658" i="7"/>
  <c r="V658" i="7"/>
  <c r="U658" i="7"/>
  <c r="T658" i="7"/>
  <c r="Q658" i="7"/>
  <c r="P658" i="7"/>
  <c r="O658" i="7"/>
  <c r="N658" i="7"/>
  <c r="K658" i="7"/>
  <c r="J658" i="7"/>
  <c r="I658" i="7"/>
  <c r="H658" i="7"/>
  <c r="E658" i="7"/>
  <c r="D658" i="7"/>
  <c r="C658" i="7"/>
  <c r="B658" i="7"/>
  <c r="AI657" i="7"/>
  <c r="AH657" i="7"/>
  <c r="AG657" i="7"/>
  <c r="AF657" i="7"/>
  <c r="AC657" i="7"/>
  <c r="AB657" i="7"/>
  <c r="AA657" i="7"/>
  <c r="Z657" i="7"/>
  <c r="W657" i="7"/>
  <c r="V657" i="7"/>
  <c r="U657" i="7"/>
  <c r="T657" i="7"/>
  <c r="Q657" i="7"/>
  <c r="P657" i="7"/>
  <c r="O657" i="7"/>
  <c r="N657" i="7"/>
  <c r="K657" i="7"/>
  <c r="J657" i="7"/>
  <c r="I657" i="7"/>
  <c r="H657" i="7"/>
  <c r="E657" i="7"/>
  <c r="D657" i="7"/>
  <c r="C657" i="7"/>
  <c r="B657" i="7"/>
  <c r="AI656" i="7"/>
  <c r="AH656" i="7"/>
  <c r="AG656" i="7"/>
  <c r="AF656" i="7"/>
  <c r="AC656" i="7"/>
  <c r="AB656" i="7"/>
  <c r="AA656" i="7"/>
  <c r="Z656" i="7"/>
  <c r="W656" i="7"/>
  <c r="V656" i="7"/>
  <c r="U656" i="7"/>
  <c r="T656" i="7"/>
  <c r="Q656" i="7"/>
  <c r="P656" i="7"/>
  <c r="O656" i="7"/>
  <c r="N656" i="7"/>
  <c r="K656" i="7"/>
  <c r="J656" i="7"/>
  <c r="I656" i="7"/>
  <c r="H656" i="7"/>
  <c r="E656" i="7"/>
  <c r="D656" i="7"/>
  <c r="C656" i="7"/>
  <c r="B656" i="7"/>
  <c r="AI655" i="7"/>
  <c r="AH655" i="7"/>
  <c r="AG655" i="7"/>
  <c r="AF655" i="7"/>
  <c r="AC655" i="7"/>
  <c r="AB655" i="7"/>
  <c r="AA655" i="7"/>
  <c r="Z655" i="7"/>
  <c r="W655" i="7"/>
  <c r="V655" i="7"/>
  <c r="U655" i="7"/>
  <c r="T655" i="7"/>
  <c r="Q655" i="7"/>
  <c r="P655" i="7"/>
  <c r="O655" i="7"/>
  <c r="N655" i="7"/>
  <c r="K655" i="7"/>
  <c r="J655" i="7"/>
  <c r="I655" i="7"/>
  <c r="H655" i="7"/>
  <c r="E655" i="7"/>
  <c r="D655" i="7"/>
  <c r="C655" i="7"/>
  <c r="B655" i="7"/>
  <c r="AI654" i="7"/>
  <c r="AH654" i="7"/>
  <c r="AG654" i="7"/>
  <c r="AF654" i="7"/>
  <c r="AC654" i="7"/>
  <c r="AB654" i="7"/>
  <c r="AA654" i="7"/>
  <c r="Z654" i="7"/>
  <c r="W654" i="7"/>
  <c r="V654" i="7"/>
  <c r="U654" i="7"/>
  <c r="T654" i="7"/>
  <c r="Q654" i="7"/>
  <c r="P654" i="7"/>
  <c r="O654" i="7"/>
  <c r="N654" i="7"/>
  <c r="K654" i="7"/>
  <c r="J654" i="7"/>
  <c r="I654" i="7"/>
  <c r="H654" i="7"/>
  <c r="E654" i="7"/>
  <c r="D654" i="7"/>
  <c r="C654" i="7"/>
  <c r="B654" i="7"/>
  <c r="AI653" i="7"/>
  <c r="AH653" i="7"/>
  <c r="AG653" i="7"/>
  <c r="AF653" i="7"/>
  <c r="AC653" i="7"/>
  <c r="AB653" i="7"/>
  <c r="AA653" i="7"/>
  <c r="Z653" i="7"/>
  <c r="W653" i="7"/>
  <c r="V653" i="7"/>
  <c r="U653" i="7"/>
  <c r="T653" i="7"/>
  <c r="Q653" i="7"/>
  <c r="P653" i="7"/>
  <c r="O653" i="7"/>
  <c r="N653" i="7"/>
  <c r="K653" i="7"/>
  <c r="J653" i="7"/>
  <c r="I653" i="7"/>
  <c r="H653" i="7"/>
  <c r="E653" i="7"/>
  <c r="D653" i="7"/>
  <c r="C653" i="7"/>
  <c r="B653" i="7"/>
  <c r="AI652" i="7"/>
  <c r="AH652" i="7"/>
  <c r="AG652" i="7"/>
  <c r="AF652" i="7"/>
  <c r="AC652" i="7"/>
  <c r="AB652" i="7"/>
  <c r="AA652" i="7"/>
  <c r="Z652" i="7"/>
  <c r="W652" i="7"/>
  <c r="V652" i="7"/>
  <c r="U652" i="7"/>
  <c r="T652" i="7"/>
  <c r="Q652" i="7"/>
  <c r="P652" i="7"/>
  <c r="O652" i="7"/>
  <c r="N652" i="7"/>
  <c r="K652" i="7"/>
  <c r="J652" i="7"/>
  <c r="I652" i="7"/>
  <c r="H652" i="7"/>
  <c r="E652" i="7"/>
  <c r="D652" i="7"/>
  <c r="C652" i="7"/>
  <c r="B652" i="7"/>
  <c r="AI651" i="7"/>
  <c r="AH651" i="7"/>
  <c r="AG651" i="7"/>
  <c r="AF651" i="7"/>
  <c r="AC651" i="7"/>
  <c r="AB651" i="7"/>
  <c r="AA651" i="7"/>
  <c r="Z651" i="7"/>
  <c r="W651" i="7"/>
  <c r="V651" i="7"/>
  <c r="U651" i="7"/>
  <c r="T651" i="7"/>
  <c r="Q651" i="7"/>
  <c r="P651" i="7"/>
  <c r="O651" i="7"/>
  <c r="N651" i="7"/>
  <c r="K651" i="7"/>
  <c r="J651" i="7"/>
  <c r="I651" i="7"/>
  <c r="H651" i="7"/>
  <c r="E651" i="7"/>
  <c r="D651" i="7"/>
  <c r="C651" i="7"/>
  <c r="B651" i="7"/>
  <c r="AI650" i="7"/>
  <c r="AH650" i="7"/>
  <c r="AG650" i="7"/>
  <c r="AF650" i="7"/>
  <c r="AC650" i="7"/>
  <c r="AB650" i="7"/>
  <c r="AA650" i="7"/>
  <c r="Z650" i="7"/>
  <c r="W650" i="7"/>
  <c r="V650" i="7"/>
  <c r="U650" i="7"/>
  <c r="T650" i="7"/>
  <c r="Q650" i="7"/>
  <c r="P650" i="7"/>
  <c r="O650" i="7"/>
  <c r="N650" i="7"/>
  <c r="K650" i="7"/>
  <c r="J650" i="7"/>
  <c r="I650" i="7"/>
  <c r="H650" i="7"/>
  <c r="E650" i="7"/>
  <c r="D650" i="7"/>
  <c r="C650" i="7"/>
  <c r="B650" i="7"/>
  <c r="AI649" i="7"/>
  <c r="AH649" i="7"/>
  <c r="AG649" i="7"/>
  <c r="AF649" i="7"/>
  <c r="AC649" i="7"/>
  <c r="AB649" i="7"/>
  <c r="AA649" i="7"/>
  <c r="Z649" i="7"/>
  <c r="W649" i="7"/>
  <c r="V649" i="7"/>
  <c r="U649" i="7"/>
  <c r="T649" i="7"/>
  <c r="Q649" i="7"/>
  <c r="P649" i="7"/>
  <c r="O649" i="7"/>
  <c r="N649" i="7"/>
  <c r="K649" i="7"/>
  <c r="J649" i="7"/>
  <c r="I649" i="7"/>
  <c r="H649" i="7"/>
  <c r="E649" i="7"/>
  <c r="D649" i="7"/>
  <c r="C649" i="7"/>
  <c r="B649" i="7"/>
  <c r="AI648" i="7"/>
  <c r="AH648" i="7"/>
  <c r="AG648" i="7"/>
  <c r="AF648" i="7"/>
  <c r="AC648" i="7"/>
  <c r="AB648" i="7"/>
  <c r="AA648" i="7"/>
  <c r="Z648" i="7"/>
  <c r="W648" i="7"/>
  <c r="V648" i="7"/>
  <c r="U648" i="7"/>
  <c r="T648" i="7"/>
  <c r="Q648" i="7"/>
  <c r="P648" i="7"/>
  <c r="O648" i="7"/>
  <c r="N648" i="7"/>
  <c r="K648" i="7"/>
  <c r="J648" i="7"/>
  <c r="I648" i="7"/>
  <c r="H648" i="7"/>
  <c r="E648" i="7"/>
  <c r="D648" i="7"/>
  <c r="C648" i="7"/>
  <c r="B648" i="7"/>
  <c r="AI647" i="7"/>
  <c r="AH647" i="7"/>
  <c r="AG647" i="7"/>
  <c r="AF647" i="7"/>
  <c r="AC647" i="7"/>
  <c r="AB647" i="7"/>
  <c r="AA647" i="7"/>
  <c r="Z647" i="7"/>
  <c r="W647" i="7"/>
  <c r="V647" i="7"/>
  <c r="U647" i="7"/>
  <c r="T647" i="7"/>
  <c r="Q647" i="7"/>
  <c r="P647" i="7"/>
  <c r="O647" i="7"/>
  <c r="N647" i="7"/>
  <c r="K647" i="7"/>
  <c r="J647" i="7"/>
  <c r="I647" i="7"/>
  <c r="H647" i="7"/>
  <c r="E647" i="7"/>
  <c r="D647" i="7"/>
  <c r="C647" i="7"/>
  <c r="B647" i="7"/>
  <c r="AI646" i="7"/>
  <c r="AH646" i="7"/>
  <c r="AG646" i="7"/>
  <c r="AF646" i="7"/>
  <c r="AC646" i="7"/>
  <c r="AB646" i="7"/>
  <c r="AA646" i="7"/>
  <c r="Z646" i="7"/>
  <c r="W646" i="7"/>
  <c r="V646" i="7"/>
  <c r="U646" i="7"/>
  <c r="T646" i="7"/>
  <c r="Q646" i="7"/>
  <c r="P646" i="7"/>
  <c r="O646" i="7"/>
  <c r="N646" i="7"/>
  <c r="K646" i="7"/>
  <c r="J646" i="7"/>
  <c r="I646" i="7"/>
  <c r="H646" i="7"/>
  <c r="E646" i="7"/>
  <c r="D646" i="7"/>
  <c r="C646" i="7"/>
  <c r="B646" i="7"/>
  <c r="AI645" i="7"/>
  <c r="AH645" i="7"/>
  <c r="AG645" i="7"/>
  <c r="AF645" i="7"/>
  <c r="AC645" i="7"/>
  <c r="AB645" i="7"/>
  <c r="AA645" i="7"/>
  <c r="Z645" i="7"/>
  <c r="W645" i="7"/>
  <c r="V645" i="7"/>
  <c r="U645" i="7"/>
  <c r="T645" i="7"/>
  <c r="Q645" i="7"/>
  <c r="P645" i="7"/>
  <c r="O645" i="7"/>
  <c r="N645" i="7"/>
  <c r="K645" i="7"/>
  <c r="J645" i="7"/>
  <c r="I645" i="7"/>
  <c r="H645" i="7"/>
  <c r="E645" i="7"/>
  <c r="D645" i="7"/>
  <c r="C645" i="7"/>
  <c r="B645" i="7"/>
  <c r="AI644" i="7"/>
  <c r="AH644" i="7"/>
  <c r="AG644" i="7"/>
  <c r="AF644" i="7"/>
  <c r="AC644" i="7"/>
  <c r="AB644" i="7"/>
  <c r="AA644" i="7"/>
  <c r="Z644" i="7"/>
  <c r="W644" i="7"/>
  <c r="V644" i="7"/>
  <c r="U644" i="7"/>
  <c r="T644" i="7"/>
  <c r="Q644" i="7"/>
  <c r="P644" i="7"/>
  <c r="O644" i="7"/>
  <c r="N644" i="7"/>
  <c r="K644" i="7"/>
  <c r="J644" i="7"/>
  <c r="I644" i="7"/>
  <c r="H644" i="7"/>
  <c r="E644" i="7"/>
  <c r="D644" i="7"/>
  <c r="C644" i="7"/>
  <c r="B644" i="7"/>
  <c r="AI643" i="7"/>
  <c r="AH643" i="7"/>
  <c r="AG643" i="7"/>
  <c r="AF643" i="7"/>
  <c r="AC643" i="7"/>
  <c r="AB643" i="7"/>
  <c r="AA643" i="7"/>
  <c r="Z643" i="7"/>
  <c r="W643" i="7"/>
  <c r="V643" i="7"/>
  <c r="U643" i="7"/>
  <c r="T643" i="7"/>
  <c r="Q643" i="7"/>
  <c r="P643" i="7"/>
  <c r="O643" i="7"/>
  <c r="N643" i="7"/>
  <c r="K643" i="7"/>
  <c r="J643" i="7"/>
  <c r="I643" i="7"/>
  <c r="H643" i="7"/>
  <c r="E643" i="7"/>
  <c r="D643" i="7"/>
  <c r="C643" i="7"/>
  <c r="B643" i="7"/>
  <c r="AI642" i="7"/>
  <c r="AH642" i="7"/>
  <c r="AG642" i="7"/>
  <c r="AF642" i="7"/>
  <c r="AC642" i="7"/>
  <c r="AB642" i="7"/>
  <c r="AA642" i="7"/>
  <c r="Z642" i="7"/>
  <c r="W642" i="7"/>
  <c r="V642" i="7"/>
  <c r="U642" i="7"/>
  <c r="T642" i="7"/>
  <c r="Q642" i="7"/>
  <c r="P642" i="7"/>
  <c r="O642" i="7"/>
  <c r="N642" i="7"/>
  <c r="K642" i="7"/>
  <c r="J642" i="7"/>
  <c r="I642" i="7"/>
  <c r="H642" i="7"/>
  <c r="E642" i="7"/>
  <c r="D642" i="7"/>
  <c r="C642" i="7"/>
  <c r="B642" i="7"/>
  <c r="AI641" i="7"/>
  <c r="AH641" i="7"/>
  <c r="AG641" i="7"/>
  <c r="AF641" i="7"/>
  <c r="AC641" i="7"/>
  <c r="AB641" i="7"/>
  <c r="AA641" i="7"/>
  <c r="Z641" i="7"/>
  <c r="W641" i="7"/>
  <c r="V641" i="7"/>
  <c r="U641" i="7"/>
  <c r="T641" i="7"/>
  <c r="Q641" i="7"/>
  <c r="P641" i="7"/>
  <c r="O641" i="7"/>
  <c r="N641" i="7"/>
  <c r="K641" i="7"/>
  <c r="J641" i="7"/>
  <c r="I641" i="7"/>
  <c r="H641" i="7"/>
  <c r="E641" i="7"/>
  <c r="D641" i="7"/>
  <c r="C641" i="7"/>
  <c r="B641" i="7"/>
  <c r="AI640" i="7"/>
  <c r="AH640" i="7"/>
  <c r="AG640" i="7"/>
  <c r="AF640" i="7"/>
  <c r="AC640" i="7"/>
  <c r="AB640" i="7"/>
  <c r="AA640" i="7"/>
  <c r="Z640" i="7"/>
  <c r="W640" i="7"/>
  <c r="V640" i="7"/>
  <c r="U640" i="7"/>
  <c r="T640" i="7"/>
  <c r="Q640" i="7"/>
  <c r="P640" i="7"/>
  <c r="O640" i="7"/>
  <c r="N640" i="7"/>
  <c r="K640" i="7"/>
  <c r="J640" i="7"/>
  <c r="I640" i="7"/>
  <c r="H640" i="7"/>
  <c r="E640" i="7"/>
  <c r="D640" i="7"/>
  <c r="C640" i="7"/>
  <c r="B640" i="7"/>
  <c r="AI639" i="7"/>
  <c r="AH639" i="7"/>
  <c r="AG639" i="7"/>
  <c r="AF639" i="7"/>
  <c r="AC639" i="7"/>
  <c r="AB639" i="7"/>
  <c r="AA639" i="7"/>
  <c r="Z639" i="7"/>
  <c r="W639" i="7"/>
  <c r="V639" i="7"/>
  <c r="U639" i="7"/>
  <c r="T639" i="7"/>
  <c r="Q639" i="7"/>
  <c r="P639" i="7"/>
  <c r="O639" i="7"/>
  <c r="N639" i="7"/>
  <c r="K639" i="7"/>
  <c r="J639" i="7"/>
  <c r="I639" i="7"/>
  <c r="H639" i="7"/>
  <c r="E639" i="7"/>
  <c r="D639" i="7"/>
  <c r="C639" i="7"/>
  <c r="B639" i="7"/>
  <c r="AI638" i="7"/>
  <c r="AH638" i="7"/>
  <c r="AG638" i="7"/>
  <c r="AF638" i="7"/>
  <c r="AC638" i="7"/>
  <c r="AB638" i="7"/>
  <c r="AA638" i="7"/>
  <c r="Z638" i="7"/>
  <c r="W638" i="7"/>
  <c r="V638" i="7"/>
  <c r="U638" i="7"/>
  <c r="T638" i="7"/>
  <c r="Q638" i="7"/>
  <c r="P638" i="7"/>
  <c r="O638" i="7"/>
  <c r="N638" i="7"/>
  <c r="K638" i="7"/>
  <c r="J638" i="7"/>
  <c r="I638" i="7"/>
  <c r="H638" i="7"/>
  <c r="E638" i="7"/>
  <c r="D638" i="7"/>
  <c r="C638" i="7"/>
  <c r="B638" i="7"/>
  <c r="AI637" i="7"/>
  <c r="AH637" i="7"/>
  <c r="AG637" i="7"/>
  <c r="AF637" i="7"/>
  <c r="AC637" i="7"/>
  <c r="AB637" i="7"/>
  <c r="AA637" i="7"/>
  <c r="Z637" i="7"/>
  <c r="W637" i="7"/>
  <c r="V637" i="7"/>
  <c r="U637" i="7"/>
  <c r="T637" i="7"/>
  <c r="Q637" i="7"/>
  <c r="P637" i="7"/>
  <c r="O637" i="7"/>
  <c r="N637" i="7"/>
  <c r="K637" i="7"/>
  <c r="J637" i="7"/>
  <c r="I637" i="7"/>
  <c r="H637" i="7"/>
  <c r="E637" i="7"/>
  <c r="D637" i="7"/>
  <c r="C637" i="7"/>
  <c r="B637" i="7"/>
  <c r="AI636" i="7"/>
  <c r="AH636" i="7"/>
  <c r="AG636" i="7"/>
  <c r="AF636" i="7"/>
  <c r="AC636" i="7"/>
  <c r="AB636" i="7"/>
  <c r="AA636" i="7"/>
  <c r="Z636" i="7"/>
  <c r="W636" i="7"/>
  <c r="V636" i="7"/>
  <c r="U636" i="7"/>
  <c r="T636" i="7"/>
  <c r="Q636" i="7"/>
  <c r="P636" i="7"/>
  <c r="O636" i="7"/>
  <c r="N636" i="7"/>
  <c r="K636" i="7"/>
  <c r="J636" i="7"/>
  <c r="I636" i="7"/>
  <c r="H636" i="7"/>
  <c r="E636" i="7"/>
  <c r="D636" i="7"/>
  <c r="C636" i="7"/>
  <c r="B636" i="7"/>
  <c r="AI635" i="7"/>
  <c r="AH635" i="7"/>
  <c r="AG635" i="7"/>
  <c r="AF635" i="7"/>
  <c r="AC635" i="7"/>
  <c r="AB635" i="7"/>
  <c r="AA635" i="7"/>
  <c r="Z635" i="7"/>
  <c r="W635" i="7"/>
  <c r="V635" i="7"/>
  <c r="U635" i="7"/>
  <c r="T635" i="7"/>
  <c r="Q635" i="7"/>
  <c r="P635" i="7"/>
  <c r="O635" i="7"/>
  <c r="N635" i="7"/>
  <c r="K635" i="7"/>
  <c r="J635" i="7"/>
  <c r="I635" i="7"/>
  <c r="H635" i="7"/>
  <c r="E635" i="7"/>
  <c r="D635" i="7"/>
  <c r="C635" i="7"/>
  <c r="B635" i="7"/>
  <c r="AI634" i="7"/>
  <c r="AH634" i="7"/>
  <c r="AG634" i="7"/>
  <c r="AF634" i="7"/>
  <c r="AC634" i="7"/>
  <c r="AB634" i="7"/>
  <c r="AA634" i="7"/>
  <c r="Z634" i="7"/>
  <c r="W634" i="7"/>
  <c r="V634" i="7"/>
  <c r="U634" i="7"/>
  <c r="T634" i="7"/>
  <c r="Q634" i="7"/>
  <c r="P634" i="7"/>
  <c r="O634" i="7"/>
  <c r="N634" i="7"/>
  <c r="K634" i="7"/>
  <c r="J634" i="7"/>
  <c r="I634" i="7"/>
  <c r="H634" i="7"/>
  <c r="E634" i="7"/>
  <c r="D634" i="7"/>
  <c r="C634" i="7"/>
  <c r="B634" i="7"/>
  <c r="AI633" i="7"/>
  <c r="AH633" i="7"/>
  <c r="AG633" i="7"/>
  <c r="AF633" i="7"/>
  <c r="AC633" i="7"/>
  <c r="AB633" i="7"/>
  <c r="AA633" i="7"/>
  <c r="Z633" i="7"/>
  <c r="W633" i="7"/>
  <c r="V633" i="7"/>
  <c r="U633" i="7"/>
  <c r="T633" i="7"/>
  <c r="Q633" i="7"/>
  <c r="P633" i="7"/>
  <c r="O633" i="7"/>
  <c r="N633" i="7"/>
  <c r="K633" i="7"/>
  <c r="J633" i="7"/>
  <c r="I633" i="7"/>
  <c r="H633" i="7"/>
  <c r="E633" i="7"/>
  <c r="D633" i="7"/>
  <c r="C633" i="7"/>
  <c r="B633" i="7"/>
  <c r="AI632" i="7"/>
  <c r="AH632" i="7"/>
  <c r="AG632" i="7"/>
  <c r="AF632" i="7"/>
  <c r="AC632" i="7"/>
  <c r="AB632" i="7"/>
  <c r="AA632" i="7"/>
  <c r="Z632" i="7"/>
  <c r="W632" i="7"/>
  <c r="V632" i="7"/>
  <c r="U632" i="7"/>
  <c r="T632" i="7"/>
  <c r="Q632" i="7"/>
  <c r="P632" i="7"/>
  <c r="O632" i="7"/>
  <c r="N632" i="7"/>
  <c r="K632" i="7"/>
  <c r="J632" i="7"/>
  <c r="I632" i="7"/>
  <c r="H632" i="7"/>
  <c r="E632" i="7"/>
  <c r="D632" i="7"/>
  <c r="C632" i="7"/>
  <c r="B632" i="7"/>
  <c r="AI631" i="7"/>
  <c r="AH631" i="7"/>
  <c r="AG631" i="7"/>
  <c r="AF631" i="7"/>
  <c r="AC631" i="7"/>
  <c r="AB631" i="7"/>
  <c r="AA631" i="7"/>
  <c r="Z631" i="7"/>
  <c r="W631" i="7"/>
  <c r="V631" i="7"/>
  <c r="U631" i="7"/>
  <c r="T631" i="7"/>
  <c r="Q631" i="7"/>
  <c r="P631" i="7"/>
  <c r="O631" i="7"/>
  <c r="N631" i="7"/>
  <c r="K631" i="7"/>
  <c r="J631" i="7"/>
  <c r="I631" i="7"/>
  <c r="H631" i="7"/>
  <c r="E631" i="7"/>
  <c r="D631" i="7"/>
  <c r="C631" i="7"/>
  <c r="B631" i="7"/>
  <c r="AI630" i="7"/>
  <c r="AH630" i="7"/>
  <c r="AG630" i="7"/>
  <c r="AF630" i="7"/>
  <c r="AC630" i="7"/>
  <c r="AB630" i="7"/>
  <c r="AA630" i="7"/>
  <c r="Z630" i="7"/>
  <c r="W630" i="7"/>
  <c r="V630" i="7"/>
  <c r="U630" i="7"/>
  <c r="T630" i="7"/>
  <c r="Q630" i="7"/>
  <c r="P630" i="7"/>
  <c r="O630" i="7"/>
  <c r="N630" i="7"/>
  <c r="K630" i="7"/>
  <c r="J630" i="7"/>
  <c r="I630" i="7"/>
  <c r="H630" i="7"/>
  <c r="E630" i="7"/>
  <c r="D630" i="7"/>
  <c r="C630" i="7"/>
  <c r="B630" i="7"/>
  <c r="AI629" i="7"/>
  <c r="AH629" i="7"/>
  <c r="AG629" i="7"/>
  <c r="AF629" i="7"/>
  <c r="AC629" i="7"/>
  <c r="AB629" i="7"/>
  <c r="AA629" i="7"/>
  <c r="Z629" i="7"/>
  <c r="W629" i="7"/>
  <c r="V629" i="7"/>
  <c r="U629" i="7"/>
  <c r="T629" i="7"/>
  <c r="Q629" i="7"/>
  <c r="P629" i="7"/>
  <c r="O629" i="7"/>
  <c r="N629" i="7"/>
  <c r="K629" i="7"/>
  <c r="J629" i="7"/>
  <c r="I629" i="7"/>
  <c r="H629" i="7"/>
  <c r="E629" i="7"/>
  <c r="D629" i="7"/>
  <c r="C629" i="7"/>
  <c r="B629" i="7"/>
  <c r="AI628" i="7"/>
  <c r="AH628" i="7"/>
  <c r="AG628" i="7"/>
  <c r="AF628" i="7"/>
  <c r="AC628" i="7"/>
  <c r="AB628" i="7"/>
  <c r="AA628" i="7"/>
  <c r="Z628" i="7"/>
  <c r="W628" i="7"/>
  <c r="V628" i="7"/>
  <c r="U628" i="7"/>
  <c r="T628" i="7"/>
  <c r="Q628" i="7"/>
  <c r="P628" i="7"/>
  <c r="O628" i="7"/>
  <c r="N628" i="7"/>
  <c r="K628" i="7"/>
  <c r="J628" i="7"/>
  <c r="I628" i="7"/>
  <c r="H628" i="7"/>
  <c r="E628" i="7"/>
  <c r="D628" i="7"/>
  <c r="C628" i="7"/>
  <c r="B628" i="7"/>
  <c r="AI627" i="7"/>
  <c r="AH627" i="7"/>
  <c r="AG627" i="7"/>
  <c r="AF627" i="7"/>
  <c r="AC627" i="7"/>
  <c r="AB627" i="7"/>
  <c r="AA627" i="7"/>
  <c r="Z627" i="7"/>
  <c r="W627" i="7"/>
  <c r="V627" i="7"/>
  <c r="U627" i="7"/>
  <c r="T627" i="7"/>
  <c r="Q627" i="7"/>
  <c r="P627" i="7"/>
  <c r="O627" i="7"/>
  <c r="N627" i="7"/>
  <c r="K627" i="7"/>
  <c r="J627" i="7"/>
  <c r="I627" i="7"/>
  <c r="H627" i="7"/>
  <c r="E627" i="7"/>
  <c r="D627" i="7"/>
  <c r="C627" i="7"/>
  <c r="B627" i="7"/>
  <c r="AI626" i="7"/>
  <c r="AH626" i="7"/>
  <c r="AG626" i="7"/>
  <c r="AF626" i="7"/>
  <c r="AC626" i="7"/>
  <c r="AB626" i="7"/>
  <c r="AA626" i="7"/>
  <c r="Z626" i="7"/>
  <c r="W626" i="7"/>
  <c r="V626" i="7"/>
  <c r="U626" i="7"/>
  <c r="T626" i="7"/>
  <c r="Q626" i="7"/>
  <c r="P626" i="7"/>
  <c r="O626" i="7"/>
  <c r="N626" i="7"/>
  <c r="K626" i="7"/>
  <c r="J626" i="7"/>
  <c r="I626" i="7"/>
  <c r="H626" i="7"/>
  <c r="E626" i="7"/>
  <c r="D626" i="7"/>
  <c r="C626" i="7"/>
  <c r="B626" i="7"/>
  <c r="AI625" i="7"/>
  <c r="AH625" i="7"/>
  <c r="AG625" i="7"/>
  <c r="AF625" i="7"/>
  <c r="AC625" i="7"/>
  <c r="AB625" i="7"/>
  <c r="AA625" i="7"/>
  <c r="Z625" i="7"/>
  <c r="W625" i="7"/>
  <c r="V625" i="7"/>
  <c r="U625" i="7"/>
  <c r="T625" i="7"/>
  <c r="Q625" i="7"/>
  <c r="P625" i="7"/>
  <c r="O625" i="7"/>
  <c r="N625" i="7"/>
  <c r="K625" i="7"/>
  <c r="J625" i="7"/>
  <c r="I625" i="7"/>
  <c r="H625" i="7"/>
  <c r="E625" i="7"/>
  <c r="D625" i="7"/>
  <c r="C625" i="7"/>
  <c r="B625" i="7"/>
  <c r="AI624" i="7"/>
  <c r="AH624" i="7"/>
  <c r="AG624" i="7"/>
  <c r="AF624" i="7"/>
  <c r="AC624" i="7"/>
  <c r="AB624" i="7"/>
  <c r="AA624" i="7"/>
  <c r="Z624" i="7"/>
  <c r="W624" i="7"/>
  <c r="V624" i="7"/>
  <c r="U624" i="7"/>
  <c r="T624" i="7"/>
  <c r="Q624" i="7"/>
  <c r="P624" i="7"/>
  <c r="O624" i="7"/>
  <c r="N624" i="7"/>
  <c r="K624" i="7"/>
  <c r="J624" i="7"/>
  <c r="I624" i="7"/>
  <c r="H624" i="7"/>
  <c r="E624" i="7"/>
  <c r="D624" i="7"/>
  <c r="C624" i="7"/>
  <c r="B624" i="7"/>
  <c r="AI623" i="7"/>
  <c r="AH623" i="7"/>
  <c r="AG623" i="7"/>
  <c r="AF623" i="7"/>
  <c r="AC623" i="7"/>
  <c r="AB623" i="7"/>
  <c r="AA623" i="7"/>
  <c r="Z623" i="7"/>
  <c r="W623" i="7"/>
  <c r="V623" i="7"/>
  <c r="U623" i="7"/>
  <c r="T623" i="7"/>
  <c r="Q623" i="7"/>
  <c r="P623" i="7"/>
  <c r="O623" i="7"/>
  <c r="N623" i="7"/>
  <c r="K623" i="7"/>
  <c r="J623" i="7"/>
  <c r="I623" i="7"/>
  <c r="H623" i="7"/>
  <c r="E623" i="7"/>
  <c r="D623" i="7"/>
  <c r="C623" i="7"/>
  <c r="B623" i="7"/>
  <c r="AI622" i="7"/>
  <c r="AH622" i="7"/>
  <c r="AG622" i="7"/>
  <c r="AF622" i="7"/>
  <c r="AC622" i="7"/>
  <c r="AB622" i="7"/>
  <c r="AA622" i="7"/>
  <c r="Z622" i="7"/>
  <c r="W622" i="7"/>
  <c r="V622" i="7"/>
  <c r="U622" i="7"/>
  <c r="T622" i="7"/>
  <c r="Q622" i="7"/>
  <c r="P622" i="7"/>
  <c r="O622" i="7"/>
  <c r="N622" i="7"/>
  <c r="K622" i="7"/>
  <c r="J622" i="7"/>
  <c r="I622" i="7"/>
  <c r="H622" i="7"/>
  <c r="E622" i="7"/>
  <c r="D622" i="7"/>
  <c r="C622" i="7"/>
  <c r="B622" i="7"/>
  <c r="AI621" i="7"/>
  <c r="AH621" i="7"/>
  <c r="AG621" i="7"/>
  <c r="AF621" i="7"/>
  <c r="AC621" i="7"/>
  <c r="AB621" i="7"/>
  <c r="AA621" i="7"/>
  <c r="Z621" i="7"/>
  <c r="W621" i="7"/>
  <c r="V621" i="7"/>
  <c r="U621" i="7"/>
  <c r="T621" i="7"/>
  <c r="Q621" i="7"/>
  <c r="P621" i="7"/>
  <c r="O621" i="7"/>
  <c r="N621" i="7"/>
  <c r="K621" i="7"/>
  <c r="J621" i="7"/>
  <c r="I621" i="7"/>
  <c r="H621" i="7"/>
  <c r="E621" i="7"/>
  <c r="D621" i="7"/>
  <c r="C621" i="7"/>
  <c r="B621" i="7"/>
  <c r="AI620" i="7"/>
  <c r="AH620" i="7"/>
  <c r="AG620" i="7"/>
  <c r="AF620" i="7"/>
  <c r="AC620" i="7"/>
  <c r="AB620" i="7"/>
  <c r="AA620" i="7"/>
  <c r="Z620" i="7"/>
  <c r="W620" i="7"/>
  <c r="V620" i="7"/>
  <c r="U620" i="7"/>
  <c r="T620" i="7"/>
  <c r="Q620" i="7"/>
  <c r="P620" i="7"/>
  <c r="O620" i="7"/>
  <c r="N620" i="7"/>
  <c r="K620" i="7"/>
  <c r="J620" i="7"/>
  <c r="I620" i="7"/>
  <c r="H620" i="7"/>
  <c r="E620" i="7"/>
  <c r="D620" i="7"/>
  <c r="C620" i="7"/>
  <c r="B620" i="7"/>
  <c r="AI619" i="7"/>
  <c r="AH619" i="7"/>
  <c r="AG619" i="7"/>
  <c r="AF619" i="7"/>
  <c r="AC619" i="7"/>
  <c r="AB619" i="7"/>
  <c r="AA619" i="7"/>
  <c r="Z619" i="7"/>
  <c r="W619" i="7"/>
  <c r="V619" i="7"/>
  <c r="U619" i="7"/>
  <c r="T619" i="7"/>
  <c r="Q619" i="7"/>
  <c r="P619" i="7"/>
  <c r="O619" i="7"/>
  <c r="N619" i="7"/>
  <c r="K619" i="7"/>
  <c r="J619" i="7"/>
  <c r="I619" i="7"/>
  <c r="H619" i="7"/>
  <c r="E619" i="7"/>
  <c r="D619" i="7"/>
  <c r="C619" i="7"/>
  <c r="B619" i="7"/>
  <c r="AI618" i="7"/>
  <c r="AH618" i="7"/>
  <c r="AG618" i="7"/>
  <c r="AF618" i="7"/>
  <c r="AC618" i="7"/>
  <c r="AB618" i="7"/>
  <c r="AA618" i="7"/>
  <c r="Z618" i="7"/>
  <c r="W618" i="7"/>
  <c r="V618" i="7"/>
  <c r="U618" i="7"/>
  <c r="T618" i="7"/>
  <c r="Q618" i="7"/>
  <c r="P618" i="7"/>
  <c r="O618" i="7"/>
  <c r="N618" i="7"/>
  <c r="K618" i="7"/>
  <c r="J618" i="7"/>
  <c r="I618" i="7"/>
  <c r="H618" i="7"/>
  <c r="E618" i="7"/>
  <c r="D618" i="7"/>
  <c r="C618" i="7"/>
  <c r="B618" i="7"/>
  <c r="AI617" i="7"/>
  <c r="AH617" i="7"/>
  <c r="AG617" i="7"/>
  <c r="AF617" i="7"/>
  <c r="AC617" i="7"/>
  <c r="AB617" i="7"/>
  <c r="AA617" i="7"/>
  <c r="Z617" i="7"/>
  <c r="W617" i="7"/>
  <c r="V617" i="7"/>
  <c r="U617" i="7"/>
  <c r="T617" i="7"/>
  <c r="Q617" i="7"/>
  <c r="P617" i="7"/>
  <c r="O617" i="7"/>
  <c r="N617" i="7"/>
  <c r="K617" i="7"/>
  <c r="J617" i="7"/>
  <c r="I617" i="7"/>
  <c r="H617" i="7"/>
  <c r="E617" i="7"/>
  <c r="D617" i="7"/>
  <c r="C617" i="7"/>
  <c r="B617" i="7"/>
  <c r="AI616" i="7"/>
  <c r="AH616" i="7"/>
  <c r="AG616" i="7"/>
  <c r="AF616" i="7"/>
  <c r="AC616" i="7"/>
  <c r="AB616" i="7"/>
  <c r="AA616" i="7"/>
  <c r="Z616" i="7"/>
  <c r="W616" i="7"/>
  <c r="V616" i="7"/>
  <c r="U616" i="7"/>
  <c r="T616" i="7"/>
  <c r="Q616" i="7"/>
  <c r="P616" i="7"/>
  <c r="O616" i="7"/>
  <c r="N616" i="7"/>
  <c r="K616" i="7"/>
  <c r="J616" i="7"/>
  <c r="I616" i="7"/>
  <c r="H616" i="7"/>
  <c r="E616" i="7"/>
  <c r="D616" i="7"/>
  <c r="C616" i="7"/>
  <c r="B616" i="7"/>
  <c r="AI615" i="7"/>
  <c r="AH615" i="7"/>
  <c r="AG615" i="7"/>
  <c r="AF615" i="7"/>
  <c r="AC615" i="7"/>
  <c r="AB615" i="7"/>
  <c r="AA615" i="7"/>
  <c r="Z615" i="7"/>
  <c r="W615" i="7"/>
  <c r="V615" i="7"/>
  <c r="U615" i="7"/>
  <c r="T615" i="7"/>
  <c r="Q615" i="7"/>
  <c r="P615" i="7"/>
  <c r="O615" i="7"/>
  <c r="N615" i="7"/>
  <c r="K615" i="7"/>
  <c r="J615" i="7"/>
  <c r="I615" i="7"/>
  <c r="H615" i="7"/>
  <c r="E615" i="7"/>
  <c r="D615" i="7"/>
  <c r="C615" i="7"/>
  <c r="B615" i="7"/>
  <c r="AI614" i="7"/>
  <c r="AH614" i="7"/>
  <c r="AG614" i="7"/>
  <c r="AF614" i="7"/>
  <c r="AC614" i="7"/>
  <c r="AB614" i="7"/>
  <c r="AA614" i="7"/>
  <c r="Z614" i="7"/>
  <c r="W614" i="7"/>
  <c r="V614" i="7"/>
  <c r="U614" i="7"/>
  <c r="T614" i="7"/>
  <c r="Q614" i="7"/>
  <c r="P614" i="7"/>
  <c r="O614" i="7"/>
  <c r="N614" i="7"/>
  <c r="K614" i="7"/>
  <c r="J614" i="7"/>
  <c r="I614" i="7"/>
  <c r="H614" i="7"/>
  <c r="E614" i="7"/>
  <c r="D614" i="7"/>
  <c r="C614" i="7"/>
  <c r="B614" i="7"/>
  <c r="AI613" i="7"/>
  <c r="AH613" i="7"/>
  <c r="AG613" i="7"/>
  <c r="AF613" i="7"/>
  <c r="AC613" i="7"/>
  <c r="AB613" i="7"/>
  <c r="AA613" i="7"/>
  <c r="Z613" i="7"/>
  <c r="W613" i="7"/>
  <c r="V613" i="7"/>
  <c r="U613" i="7"/>
  <c r="T613" i="7"/>
  <c r="Q613" i="7"/>
  <c r="P613" i="7"/>
  <c r="O613" i="7"/>
  <c r="N613" i="7"/>
  <c r="K613" i="7"/>
  <c r="J613" i="7"/>
  <c r="I613" i="7"/>
  <c r="H613" i="7"/>
  <c r="E613" i="7"/>
  <c r="D613" i="7"/>
  <c r="C613" i="7"/>
  <c r="B613" i="7"/>
  <c r="AI612" i="7"/>
  <c r="AH612" i="7"/>
  <c r="AG612" i="7"/>
  <c r="AF612" i="7"/>
  <c r="AC612" i="7"/>
  <c r="AB612" i="7"/>
  <c r="AA612" i="7"/>
  <c r="Z612" i="7"/>
  <c r="W612" i="7"/>
  <c r="V612" i="7"/>
  <c r="U612" i="7"/>
  <c r="T612" i="7"/>
  <c r="Q612" i="7"/>
  <c r="P612" i="7"/>
  <c r="O612" i="7"/>
  <c r="N612" i="7"/>
  <c r="K612" i="7"/>
  <c r="J612" i="7"/>
  <c r="I612" i="7"/>
  <c r="H612" i="7"/>
  <c r="E612" i="7"/>
  <c r="D612" i="7"/>
  <c r="C612" i="7"/>
  <c r="B612" i="7"/>
  <c r="AI611" i="7"/>
  <c r="AH611" i="7"/>
  <c r="AG611" i="7"/>
  <c r="AF611" i="7"/>
  <c r="AC611" i="7"/>
  <c r="AB611" i="7"/>
  <c r="AA611" i="7"/>
  <c r="Z611" i="7"/>
  <c r="W611" i="7"/>
  <c r="V611" i="7"/>
  <c r="U611" i="7"/>
  <c r="T611" i="7"/>
  <c r="Q611" i="7"/>
  <c r="P611" i="7"/>
  <c r="O611" i="7"/>
  <c r="N611" i="7"/>
  <c r="K611" i="7"/>
  <c r="J611" i="7"/>
  <c r="I611" i="7"/>
  <c r="H611" i="7"/>
  <c r="E611" i="7"/>
  <c r="D611" i="7"/>
  <c r="C611" i="7"/>
  <c r="B611" i="7"/>
  <c r="AI610" i="7"/>
  <c r="AH610" i="7"/>
  <c r="AG610" i="7"/>
  <c r="AF610" i="7"/>
  <c r="AC610" i="7"/>
  <c r="AB610" i="7"/>
  <c r="AA610" i="7"/>
  <c r="Z610" i="7"/>
  <c r="W610" i="7"/>
  <c r="V610" i="7"/>
  <c r="U610" i="7"/>
  <c r="T610" i="7"/>
  <c r="Q610" i="7"/>
  <c r="P610" i="7"/>
  <c r="O610" i="7"/>
  <c r="N610" i="7"/>
  <c r="K610" i="7"/>
  <c r="J610" i="7"/>
  <c r="I610" i="7"/>
  <c r="H610" i="7"/>
  <c r="E610" i="7"/>
  <c r="D610" i="7"/>
  <c r="C610" i="7"/>
  <c r="B610" i="7"/>
  <c r="AI609" i="7"/>
  <c r="AH609" i="7"/>
  <c r="AG609" i="7"/>
  <c r="AF609" i="7"/>
  <c r="AC609" i="7"/>
  <c r="AB609" i="7"/>
  <c r="AA609" i="7"/>
  <c r="Z609" i="7"/>
  <c r="W609" i="7"/>
  <c r="V609" i="7"/>
  <c r="U609" i="7"/>
  <c r="T609" i="7"/>
  <c r="Q609" i="7"/>
  <c r="P609" i="7"/>
  <c r="O609" i="7"/>
  <c r="N609" i="7"/>
  <c r="K609" i="7"/>
  <c r="J609" i="7"/>
  <c r="I609" i="7"/>
  <c r="H609" i="7"/>
  <c r="E609" i="7"/>
  <c r="D609" i="7"/>
  <c r="C609" i="7"/>
  <c r="B609" i="7"/>
  <c r="AI608" i="7"/>
  <c r="AH608" i="7"/>
  <c r="AG608" i="7"/>
  <c r="AF608" i="7"/>
  <c r="AC608" i="7"/>
  <c r="AB608" i="7"/>
  <c r="AA608" i="7"/>
  <c r="Z608" i="7"/>
  <c r="W608" i="7"/>
  <c r="V608" i="7"/>
  <c r="U608" i="7"/>
  <c r="T608" i="7"/>
  <c r="Q608" i="7"/>
  <c r="P608" i="7"/>
  <c r="O608" i="7"/>
  <c r="N608" i="7"/>
  <c r="K608" i="7"/>
  <c r="J608" i="7"/>
  <c r="I608" i="7"/>
  <c r="H608" i="7"/>
  <c r="E608" i="7"/>
  <c r="D608" i="7"/>
  <c r="C608" i="7"/>
  <c r="B608" i="7"/>
  <c r="AI607" i="7"/>
  <c r="AH607" i="7"/>
  <c r="AG607" i="7"/>
  <c r="AF607" i="7"/>
  <c r="AC607" i="7"/>
  <c r="AB607" i="7"/>
  <c r="AA607" i="7"/>
  <c r="Z607" i="7"/>
  <c r="W607" i="7"/>
  <c r="V607" i="7"/>
  <c r="U607" i="7"/>
  <c r="T607" i="7"/>
  <c r="Q607" i="7"/>
  <c r="P607" i="7"/>
  <c r="O607" i="7"/>
  <c r="N607" i="7"/>
  <c r="K607" i="7"/>
  <c r="J607" i="7"/>
  <c r="I607" i="7"/>
  <c r="H607" i="7"/>
  <c r="E607" i="7"/>
  <c r="D607" i="7"/>
  <c r="C607" i="7"/>
  <c r="B607" i="7"/>
  <c r="AI606" i="7"/>
  <c r="AH606" i="7"/>
  <c r="AG606" i="7"/>
  <c r="AF606" i="7"/>
  <c r="AC606" i="7"/>
  <c r="AB606" i="7"/>
  <c r="AA606" i="7"/>
  <c r="Z606" i="7"/>
  <c r="W606" i="7"/>
  <c r="V606" i="7"/>
  <c r="U606" i="7"/>
  <c r="T606" i="7"/>
  <c r="Q606" i="7"/>
  <c r="P606" i="7"/>
  <c r="O606" i="7"/>
  <c r="N606" i="7"/>
  <c r="K606" i="7"/>
  <c r="J606" i="7"/>
  <c r="I606" i="7"/>
  <c r="H606" i="7"/>
  <c r="E606" i="7"/>
  <c r="D606" i="7"/>
  <c r="C606" i="7"/>
  <c r="B606" i="7"/>
  <c r="AI605" i="7"/>
  <c r="AH605" i="7"/>
  <c r="AG605" i="7"/>
  <c r="AF605" i="7"/>
  <c r="AC605" i="7"/>
  <c r="AB605" i="7"/>
  <c r="AA605" i="7"/>
  <c r="Z605" i="7"/>
  <c r="W605" i="7"/>
  <c r="V605" i="7"/>
  <c r="U605" i="7"/>
  <c r="T605" i="7"/>
  <c r="Q605" i="7"/>
  <c r="P605" i="7"/>
  <c r="O605" i="7"/>
  <c r="N605" i="7"/>
  <c r="K605" i="7"/>
  <c r="J605" i="7"/>
  <c r="I605" i="7"/>
  <c r="H605" i="7"/>
  <c r="E605" i="7"/>
  <c r="D605" i="7"/>
  <c r="C605" i="7"/>
  <c r="B605" i="7"/>
  <c r="AI604" i="7"/>
  <c r="AH604" i="7"/>
  <c r="AG604" i="7"/>
  <c r="AF604" i="7"/>
  <c r="AC604" i="7"/>
  <c r="AB604" i="7"/>
  <c r="AA604" i="7"/>
  <c r="Z604" i="7"/>
  <c r="W604" i="7"/>
  <c r="V604" i="7"/>
  <c r="U604" i="7"/>
  <c r="T604" i="7"/>
  <c r="Q604" i="7"/>
  <c r="P604" i="7"/>
  <c r="O604" i="7"/>
  <c r="N604" i="7"/>
  <c r="K604" i="7"/>
  <c r="J604" i="7"/>
  <c r="I604" i="7"/>
  <c r="H604" i="7"/>
  <c r="E604" i="7"/>
  <c r="D604" i="7"/>
  <c r="C604" i="7"/>
  <c r="B604" i="7"/>
  <c r="AI603" i="7"/>
  <c r="AH603" i="7"/>
  <c r="AG603" i="7"/>
  <c r="AF603" i="7"/>
  <c r="AC603" i="7"/>
  <c r="AB603" i="7"/>
  <c r="AA603" i="7"/>
  <c r="Z603" i="7"/>
  <c r="W603" i="7"/>
  <c r="V603" i="7"/>
  <c r="U603" i="7"/>
  <c r="T603" i="7"/>
  <c r="Q603" i="7"/>
  <c r="P603" i="7"/>
  <c r="O603" i="7"/>
  <c r="N603" i="7"/>
  <c r="K603" i="7"/>
  <c r="J603" i="7"/>
  <c r="I603" i="7"/>
  <c r="H603" i="7"/>
  <c r="E603" i="7"/>
  <c r="D603" i="7"/>
  <c r="C603" i="7"/>
  <c r="B603" i="7"/>
  <c r="AI602" i="7"/>
  <c r="AH602" i="7"/>
  <c r="AG602" i="7"/>
  <c r="AF602" i="7"/>
  <c r="AC602" i="7"/>
  <c r="AB602" i="7"/>
  <c r="AA602" i="7"/>
  <c r="Z602" i="7"/>
  <c r="W602" i="7"/>
  <c r="V602" i="7"/>
  <c r="U602" i="7"/>
  <c r="T602" i="7"/>
  <c r="Q602" i="7"/>
  <c r="P602" i="7"/>
  <c r="O602" i="7"/>
  <c r="N602" i="7"/>
  <c r="K602" i="7"/>
  <c r="J602" i="7"/>
  <c r="I602" i="7"/>
  <c r="H602" i="7"/>
  <c r="E602" i="7"/>
  <c r="D602" i="7"/>
  <c r="C602" i="7"/>
  <c r="B602" i="7"/>
  <c r="AI601" i="7"/>
  <c r="AH601" i="7"/>
  <c r="AG601" i="7"/>
  <c r="AF601" i="7"/>
  <c r="AC601" i="7"/>
  <c r="AB601" i="7"/>
  <c r="AA601" i="7"/>
  <c r="Z601" i="7"/>
  <c r="W601" i="7"/>
  <c r="V601" i="7"/>
  <c r="U601" i="7"/>
  <c r="T601" i="7"/>
  <c r="Q601" i="7"/>
  <c r="P601" i="7"/>
  <c r="O601" i="7"/>
  <c r="N601" i="7"/>
  <c r="K601" i="7"/>
  <c r="J601" i="7"/>
  <c r="I601" i="7"/>
  <c r="H601" i="7"/>
  <c r="E601" i="7"/>
  <c r="D601" i="7"/>
  <c r="C601" i="7"/>
  <c r="B601" i="7"/>
  <c r="AI600" i="7"/>
  <c r="AH600" i="7"/>
  <c r="AG600" i="7"/>
  <c r="AF600" i="7"/>
  <c r="AC600" i="7"/>
  <c r="AB600" i="7"/>
  <c r="AA600" i="7"/>
  <c r="Z600" i="7"/>
  <c r="W600" i="7"/>
  <c r="V600" i="7"/>
  <c r="U600" i="7"/>
  <c r="T600" i="7"/>
  <c r="Q600" i="7"/>
  <c r="P600" i="7"/>
  <c r="O600" i="7"/>
  <c r="N600" i="7"/>
  <c r="K600" i="7"/>
  <c r="J600" i="7"/>
  <c r="I600" i="7"/>
  <c r="H600" i="7"/>
  <c r="E600" i="7"/>
  <c r="D600" i="7"/>
  <c r="C600" i="7"/>
  <c r="B600" i="7"/>
  <c r="AI599" i="7"/>
  <c r="AH599" i="7"/>
  <c r="AG599" i="7"/>
  <c r="AF599" i="7"/>
  <c r="AC599" i="7"/>
  <c r="AB599" i="7"/>
  <c r="AA599" i="7"/>
  <c r="Z599" i="7"/>
  <c r="W599" i="7"/>
  <c r="V599" i="7"/>
  <c r="U599" i="7"/>
  <c r="T599" i="7"/>
  <c r="Q599" i="7"/>
  <c r="P599" i="7"/>
  <c r="O599" i="7"/>
  <c r="N599" i="7"/>
  <c r="K599" i="7"/>
  <c r="J599" i="7"/>
  <c r="I599" i="7"/>
  <c r="H599" i="7"/>
  <c r="E599" i="7"/>
  <c r="D599" i="7"/>
  <c r="C599" i="7"/>
  <c r="B599" i="7"/>
  <c r="AI598" i="7"/>
  <c r="AH598" i="7"/>
  <c r="AG598" i="7"/>
  <c r="AF598" i="7"/>
  <c r="AC598" i="7"/>
  <c r="AB598" i="7"/>
  <c r="AA598" i="7"/>
  <c r="Z598" i="7"/>
  <c r="W598" i="7"/>
  <c r="V598" i="7"/>
  <c r="U598" i="7"/>
  <c r="T598" i="7"/>
  <c r="Q598" i="7"/>
  <c r="P598" i="7"/>
  <c r="O598" i="7"/>
  <c r="N598" i="7"/>
  <c r="K598" i="7"/>
  <c r="J598" i="7"/>
  <c r="I598" i="7"/>
  <c r="H598" i="7"/>
  <c r="E598" i="7"/>
  <c r="D598" i="7"/>
  <c r="C598" i="7"/>
  <c r="B598" i="7"/>
  <c r="AI597" i="7"/>
  <c r="AH597" i="7"/>
  <c r="AG597" i="7"/>
  <c r="AF597" i="7"/>
  <c r="AC597" i="7"/>
  <c r="AB597" i="7"/>
  <c r="AA597" i="7"/>
  <c r="Z597" i="7"/>
  <c r="W597" i="7"/>
  <c r="V597" i="7"/>
  <c r="U597" i="7"/>
  <c r="T597" i="7"/>
  <c r="Q597" i="7"/>
  <c r="P597" i="7"/>
  <c r="O597" i="7"/>
  <c r="N597" i="7"/>
  <c r="K597" i="7"/>
  <c r="J597" i="7"/>
  <c r="I597" i="7"/>
  <c r="H597" i="7"/>
  <c r="E597" i="7"/>
  <c r="D597" i="7"/>
  <c r="C597" i="7"/>
  <c r="B597" i="7"/>
  <c r="AI596" i="7"/>
  <c r="AH596" i="7"/>
  <c r="AG596" i="7"/>
  <c r="AF596" i="7"/>
  <c r="AC596" i="7"/>
  <c r="AB596" i="7"/>
  <c r="AA596" i="7"/>
  <c r="Z596" i="7"/>
  <c r="W596" i="7"/>
  <c r="V596" i="7"/>
  <c r="U596" i="7"/>
  <c r="T596" i="7"/>
  <c r="Q596" i="7"/>
  <c r="P596" i="7"/>
  <c r="O596" i="7"/>
  <c r="N596" i="7"/>
  <c r="K596" i="7"/>
  <c r="J596" i="7"/>
  <c r="I596" i="7"/>
  <c r="H596" i="7"/>
  <c r="E596" i="7"/>
  <c r="D596" i="7"/>
  <c r="C596" i="7"/>
  <c r="B596" i="7"/>
  <c r="AI595" i="7"/>
  <c r="AH595" i="7"/>
  <c r="AG595" i="7"/>
  <c r="AF595" i="7"/>
  <c r="AC595" i="7"/>
  <c r="AB595" i="7"/>
  <c r="AA595" i="7"/>
  <c r="Z595" i="7"/>
  <c r="W595" i="7"/>
  <c r="V595" i="7"/>
  <c r="U595" i="7"/>
  <c r="T595" i="7"/>
  <c r="Q595" i="7"/>
  <c r="P595" i="7"/>
  <c r="O595" i="7"/>
  <c r="N595" i="7"/>
  <c r="K595" i="7"/>
  <c r="J595" i="7"/>
  <c r="I595" i="7"/>
  <c r="H595" i="7"/>
  <c r="E595" i="7"/>
  <c r="D595" i="7"/>
  <c r="C595" i="7"/>
  <c r="B595" i="7"/>
  <c r="AI594" i="7"/>
  <c r="AH594" i="7"/>
  <c r="AG594" i="7"/>
  <c r="AF594" i="7"/>
  <c r="AC594" i="7"/>
  <c r="AB594" i="7"/>
  <c r="AA594" i="7"/>
  <c r="Z594" i="7"/>
  <c r="W594" i="7"/>
  <c r="V594" i="7"/>
  <c r="U594" i="7"/>
  <c r="T594" i="7"/>
  <c r="Q594" i="7"/>
  <c r="P594" i="7"/>
  <c r="O594" i="7"/>
  <c r="N594" i="7"/>
  <c r="K594" i="7"/>
  <c r="J594" i="7"/>
  <c r="I594" i="7"/>
  <c r="H594" i="7"/>
  <c r="E594" i="7"/>
  <c r="D594" i="7"/>
  <c r="C594" i="7"/>
  <c r="B594" i="7"/>
  <c r="AI593" i="7"/>
  <c r="AH593" i="7"/>
  <c r="AG593" i="7"/>
  <c r="AF593" i="7"/>
  <c r="AC593" i="7"/>
  <c r="AB593" i="7"/>
  <c r="AA593" i="7"/>
  <c r="Z593" i="7"/>
  <c r="W593" i="7"/>
  <c r="V593" i="7"/>
  <c r="U593" i="7"/>
  <c r="T593" i="7"/>
  <c r="Q593" i="7"/>
  <c r="P593" i="7"/>
  <c r="O593" i="7"/>
  <c r="N593" i="7"/>
  <c r="K593" i="7"/>
  <c r="J593" i="7"/>
  <c r="I593" i="7"/>
  <c r="H593" i="7"/>
  <c r="E593" i="7"/>
  <c r="D593" i="7"/>
  <c r="C593" i="7"/>
  <c r="B593" i="7"/>
  <c r="AI592" i="7"/>
  <c r="AH592" i="7"/>
  <c r="AG592" i="7"/>
  <c r="AF592" i="7"/>
  <c r="AC592" i="7"/>
  <c r="AB592" i="7"/>
  <c r="AA592" i="7"/>
  <c r="Z592" i="7"/>
  <c r="W592" i="7"/>
  <c r="V592" i="7"/>
  <c r="U592" i="7"/>
  <c r="T592" i="7"/>
  <c r="Q592" i="7"/>
  <c r="P592" i="7"/>
  <c r="O592" i="7"/>
  <c r="N592" i="7"/>
  <c r="K592" i="7"/>
  <c r="J592" i="7"/>
  <c r="I592" i="7"/>
  <c r="H592" i="7"/>
  <c r="E592" i="7"/>
  <c r="D592" i="7"/>
  <c r="C592" i="7"/>
  <c r="B592" i="7"/>
  <c r="AI591" i="7"/>
  <c r="AH591" i="7"/>
  <c r="AG591" i="7"/>
  <c r="AF591" i="7"/>
  <c r="AC591" i="7"/>
  <c r="AB591" i="7"/>
  <c r="AA591" i="7"/>
  <c r="Z591" i="7"/>
  <c r="W591" i="7"/>
  <c r="V591" i="7"/>
  <c r="U591" i="7"/>
  <c r="T591" i="7"/>
  <c r="Q591" i="7"/>
  <c r="P591" i="7"/>
  <c r="O591" i="7"/>
  <c r="N591" i="7"/>
  <c r="K591" i="7"/>
  <c r="J591" i="7"/>
  <c r="I591" i="7"/>
  <c r="H591" i="7"/>
  <c r="E591" i="7"/>
  <c r="D591" i="7"/>
  <c r="C591" i="7"/>
  <c r="B591" i="7"/>
  <c r="AI590" i="7"/>
  <c r="AH590" i="7"/>
  <c r="AG590" i="7"/>
  <c r="AF590" i="7"/>
  <c r="AC590" i="7"/>
  <c r="AB590" i="7"/>
  <c r="AA590" i="7"/>
  <c r="Z590" i="7"/>
  <c r="W590" i="7"/>
  <c r="V590" i="7"/>
  <c r="U590" i="7"/>
  <c r="T590" i="7"/>
  <c r="Q590" i="7"/>
  <c r="P590" i="7"/>
  <c r="O590" i="7"/>
  <c r="N590" i="7"/>
  <c r="K590" i="7"/>
  <c r="J590" i="7"/>
  <c r="I590" i="7"/>
  <c r="H590" i="7"/>
  <c r="E590" i="7"/>
  <c r="D590" i="7"/>
  <c r="C590" i="7"/>
  <c r="B590" i="7"/>
  <c r="AI589" i="7"/>
  <c r="AH589" i="7"/>
  <c r="AG589" i="7"/>
  <c r="AF589" i="7"/>
  <c r="AC589" i="7"/>
  <c r="AB589" i="7"/>
  <c r="AA589" i="7"/>
  <c r="Z589" i="7"/>
  <c r="W589" i="7"/>
  <c r="V589" i="7"/>
  <c r="U589" i="7"/>
  <c r="T589" i="7"/>
  <c r="Q589" i="7"/>
  <c r="P589" i="7"/>
  <c r="O589" i="7"/>
  <c r="N589" i="7"/>
  <c r="K589" i="7"/>
  <c r="J589" i="7"/>
  <c r="I589" i="7"/>
  <c r="H589" i="7"/>
  <c r="E589" i="7"/>
  <c r="D589" i="7"/>
  <c r="C589" i="7"/>
  <c r="B589" i="7"/>
  <c r="AI588" i="7"/>
  <c r="AH588" i="7"/>
  <c r="AG588" i="7"/>
  <c r="AF588" i="7"/>
  <c r="AC588" i="7"/>
  <c r="AB588" i="7"/>
  <c r="AA588" i="7"/>
  <c r="Z588" i="7"/>
  <c r="W588" i="7"/>
  <c r="V588" i="7"/>
  <c r="U588" i="7"/>
  <c r="T588" i="7"/>
  <c r="Q588" i="7"/>
  <c r="P588" i="7"/>
  <c r="O588" i="7"/>
  <c r="N588" i="7"/>
  <c r="K588" i="7"/>
  <c r="J588" i="7"/>
  <c r="I588" i="7"/>
  <c r="H588" i="7"/>
  <c r="E588" i="7"/>
  <c r="D588" i="7"/>
  <c r="C588" i="7"/>
  <c r="B588" i="7"/>
  <c r="AI587" i="7"/>
  <c r="AH587" i="7"/>
  <c r="AG587" i="7"/>
  <c r="AF587" i="7"/>
  <c r="AC587" i="7"/>
  <c r="AB587" i="7"/>
  <c r="AA587" i="7"/>
  <c r="Z587" i="7"/>
  <c r="W587" i="7"/>
  <c r="V587" i="7"/>
  <c r="U587" i="7"/>
  <c r="T587" i="7"/>
  <c r="Q587" i="7"/>
  <c r="P587" i="7"/>
  <c r="O587" i="7"/>
  <c r="N587" i="7"/>
  <c r="K587" i="7"/>
  <c r="J587" i="7"/>
  <c r="I587" i="7"/>
  <c r="H587" i="7"/>
  <c r="E587" i="7"/>
  <c r="D587" i="7"/>
  <c r="C587" i="7"/>
  <c r="B587" i="7"/>
  <c r="AI586" i="7"/>
  <c r="AH586" i="7"/>
  <c r="AG586" i="7"/>
  <c r="AF586" i="7"/>
  <c r="AC586" i="7"/>
  <c r="AB586" i="7"/>
  <c r="AA586" i="7"/>
  <c r="Z586" i="7"/>
  <c r="W586" i="7"/>
  <c r="V586" i="7"/>
  <c r="U586" i="7"/>
  <c r="T586" i="7"/>
  <c r="Q586" i="7"/>
  <c r="P586" i="7"/>
  <c r="O586" i="7"/>
  <c r="N586" i="7"/>
  <c r="K586" i="7"/>
  <c r="J586" i="7"/>
  <c r="I586" i="7"/>
  <c r="H586" i="7"/>
  <c r="E586" i="7"/>
  <c r="D586" i="7"/>
  <c r="C586" i="7"/>
  <c r="B586" i="7"/>
  <c r="AI585" i="7"/>
  <c r="AH585" i="7"/>
  <c r="AG585" i="7"/>
  <c r="AF585" i="7"/>
  <c r="AC585" i="7"/>
  <c r="AB585" i="7"/>
  <c r="AA585" i="7"/>
  <c r="Z585" i="7"/>
  <c r="W585" i="7"/>
  <c r="V585" i="7"/>
  <c r="U585" i="7"/>
  <c r="T585" i="7"/>
  <c r="Q585" i="7"/>
  <c r="P585" i="7"/>
  <c r="O585" i="7"/>
  <c r="N585" i="7"/>
  <c r="K585" i="7"/>
  <c r="J585" i="7"/>
  <c r="I585" i="7"/>
  <c r="H585" i="7"/>
  <c r="E585" i="7"/>
  <c r="D585" i="7"/>
  <c r="C585" i="7"/>
  <c r="B585" i="7"/>
  <c r="AI584" i="7"/>
  <c r="AH584" i="7"/>
  <c r="AG584" i="7"/>
  <c r="AF584" i="7"/>
  <c r="AC584" i="7"/>
  <c r="AB584" i="7"/>
  <c r="AA584" i="7"/>
  <c r="Z584" i="7"/>
  <c r="W584" i="7"/>
  <c r="V584" i="7"/>
  <c r="U584" i="7"/>
  <c r="T584" i="7"/>
  <c r="Q584" i="7"/>
  <c r="P584" i="7"/>
  <c r="O584" i="7"/>
  <c r="N584" i="7"/>
  <c r="K584" i="7"/>
  <c r="J584" i="7"/>
  <c r="I584" i="7"/>
  <c r="H584" i="7"/>
  <c r="E584" i="7"/>
  <c r="D584" i="7"/>
  <c r="C584" i="7"/>
  <c r="B584" i="7"/>
  <c r="AI583" i="7"/>
  <c r="AH583" i="7"/>
  <c r="AG583" i="7"/>
  <c r="AF583" i="7"/>
  <c r="AC583" i="7"/>
  <c r="AB583" i="7"/>
  <c r="AA583" i="7"/>
  <c r="Z583" i="7"/>
  <c r="W583" i="7"/>
  <c r="V583" i="7"/>
  <c r="U583" i="7"/>
  <c r="T583" i="7"/>
  <c r="Q583" i="7"/>
  <c r="P583" i="7"/>
  <c r="O583" i="7"/>
  <c r="N583" i="7"/>
  <c r="K583" i="7"/>
  <c r="J583" i="7"/>
  <c r="I583" i="7"/>
  <c r="H583" i="7"/>
  <c r="E583" i="7"/>
  <c r="D583" i="7"/>
  <c r="C583" i="7"/>
  <c r="B583" i="7"/>
  <c r="AI582" i="7"/>
  <c r="AH582" i="7"/>
  <c r="AG582" i="7"/>
  <c r="AF582" i="7"/>
  <c r="AC582" i="7"/>
  <c r="AB582" i="7"/>
  <c r="AA582" i="7"/>
  <c r="Z582" i="7"/>
  <c r="W582" i="7"/>
  <c r="V582" i="7"/>
  <c r="U582" i="7"/>
  <c r="T582" i="7"/>
  <c r="Q582" i="7"/>
  <c r="P582" i="7"/>
  <c r="O582" i="7"/>
  <c r="N582" i="7"/>
  <c r="K582" i="7"/>
  <c r="J582" i="7"/>
  <c r="I582" i="7"/>
  <c r="H582" i="7"/>
  <c r="E582" i="7"/>
  <c r="D582" i="7"/>
  <c r="C582" i="7"/>
  <c r="B582" i="7"/>
  <c r="AI581" i="7"/>
  <c r="AH581" i="7"/>
  <c r="AG581" i="7"/>
  <c r="AF581" i="7"/>
  <c r="AC581" i="7"/>
  <c r="AB581" i="7"/>
  <c r="AA581" i="7"/>
  <c r="Z581" i="7"/>
  <c r="W581" i="7"/>
  <c r="V581" i="7"/>
  <c r="U581" i="7"/>
  <c r="T581" i="7"/>
  <c r="Q581" i="7"/>
  <c r="P581" i="7"/>
  <c r="O581" i="7"/>
  <c r="N581" i="7"/>
  <c r="K581" i="7"/>
  <c r="J581" i="7"/>
  <c r="I581" i="7"/>
  <c r="H581" i="7"/>
  <c r="E581" i="7"/>
  <c r="D581" i="7"/>
  <c r="C581" i="7"/>
  <c r="B581" i="7"/>
  <c r="AI580" i="7"/>
  <c r="AH580" i="7"/>
  <c r="AG580" i="7"/>
  <c r="AF580" i="7"/>
  <c r="AC580" i="7"/>
  <c r="AB580" i="7"/>
  <c r="AA580" i="7"/>
  <c r="Z580" i="7"/>
  <c r="W580" i="7"/>
  <c r="V580" i="7"/>
  <c r="U580" i="7"/>
  <c r="T580" i="7"/>
  <c r="Q580" i="7"/>
  <c r="P580" i="7"/>
  <c r="O580" i="7"/>
  <c r="N580" i="7"/>
  <c r="K580" i="7"/>
  <c r="J580" i="7"/>
  <c r="I580" i="7"/>
  <c r="H580" i="7"/>
  <c r="E580" i="7"/>
  <c r="D580" i="7"/>
  <c r="C580" i="7"/>
  <c r="B580" i="7"/>
  <c r="AI579" i="7"/>
  <c r="AH579" i="7"/>
  <c r="AG579" i="7"/>
  <c r="AF579" i="7"/>
  <c r="AC579" i="7"/>
  <c r="AB579" i="7"/>
  <c r="AA579" i="7"/>
  <c r="Z579" i="7"/>
  <c r="W579" i="7"/>
  <c r="V579" i="7"/>
  <c r="U579" i="7"/>
  <c r="T579" i="7"/>
  <c r="Q579" i="7"/>
  <c r="P579" i="7"/>
  <c r="O579" i="7"/>
  <c r="N579" i="7"/>
  <c r="K579" i="7"/>
  <c r="J579" i="7"/>
  <c r="I579" i="7"/>
  <c r="H579" i="7"/>
  <c r="E579" i="7"/>
  <c r="D579" i="7"/>
  <c r="C579" i="7"/>
  <c r="B579" i="7"/>
  <c r="AI578" i="7"/>
  <c r="AH578" i="7"/>
  <c r="AG578" i="7"/>
  <c r="AF578" i="7"/>
  <c r="AC578" i="7"/>
  <c r="AB578" i="7"/>
  <c r="AA578" i="7"/>
  <c r="Z578" i="7"/>
  <c r="W578" i="7"/>
  <c r="V578" i="7"/>
  <c r="U578" i="7"/>
  <c r="T578" i="7"/>
  <c r="Q578" i="7"/>
  <c r="P578" i="7"/>
  <c r="O578" i="7"/>
  <c r="N578" i="7"/>
  <c r="K578" i="7"/>
  <c r="J578" i="7"/>
  <c r="I578" i="7"/>
  <c r="H578" i="7"/>
  <c r="E578" i="7"/>
  <c r="D578" i="7"/>
  <c r="C578" i="7"/>
  <c r="B578" i="7"/>
  <c r="AI577" i="7"/>
  <c r="AH577" i="7"/>
  <c r="AG577" i="7"/>
  <c r="AF577" i="7"/>
  <c r="AC577" i="7"/>
  <c r="AB577" i="7"/>
  <c r="AA577" i="7"/>
  <c r="Z577" i="7"/>
  <c r="W577" i="7"/>
  <c r="V577" i="7"/>
  <c r="U577" i="7"/>
  <c r="T577" i="7"/>
  <c r="Q577" i="7"/>
  <c r="P577" i="7"/>
  <c r="O577" i="7"/>
  <c r="N577" i="7"/>
  <c r="K577" i="7"/>
  <c r="J577" i="7"/>
  <c r="I577" i="7"/>
  <c r="H577" i="7"/>
  <c r="E577" i="7"/>
  <c r="D577" i="7"/>
  <c r="C577" i="7"/>
  <c r="B577" i="7"/>
  <c r="AI576" i="7"/>
  <c r="AH576" i="7"/>
  <c r="AG576" i="7"/>
  <c r="AF576" i="7"/>
  <c r="AC576" i="7"/>
  <c r="AB576" i="7"/>
  <c r="AA576" i="7"/>
  <c r="Z576" i="7"/>
  <c r="W576" i="7"/>
  <c r="V576" i="7"/>
  <c r="U576" i="7"/>
  <c r="T576" i="7"/>
  <c r="Q576" i="7"/>
  <c r="P576" i="7"/>
  <c r="O576" i="7"/>
  <c r="N576" i="7"/>
  <c r="K576" i="7"/>
  <c r="J576" i="7"/>
  <c r="I576" i="7"/>
  <c r="H576" i="7"/>
  <c r="E576" i="7"/>
  <c r="D576" i="7"/>
  <c r="C576" i="7"/>
  <c r="B576" i="7"/>
  <c r="AI575" i="7"/>
  <c r="AH575" i="7"/>
  <c r="AG575" i="7"/>
  <c r="AF575" i="7"/>
  <c r="AC575" i="7"/>
  <c r="AB575" i="7"/>
  <c r="AA575" i="7"/>
  <c r="Z575" i="7"/>
  <c r="W575" i="7"/>
  <c r="V575" i="7"/>
  <c r="U575" i="7"/>
  <c r="T575" i="7"/>
  <c r="Q575" i="7"/>
  <c r="P575" i="7"/>
  <c r="O575" i="7"/>
  <c r="N575" i="7"/>
  <c r="K575" i="7"/>
  <c r="J575" i="7"/>
  <c r="I575" i="7"/>
  <c r="H575" i="7"/>
  <c r="E575" i="7"/>
  <c r="D575" i="7"/>
  <c r="C575" i="7"/>
  <c r="B575" i="7"/>
  <c r="AI574" i="7"/>
  <c r="AH574" i="7"/>
  <c r="AG574" i="7"/>
  <c r="AF574" i="7"/>
  <c r="AC574" i="7"/>
  <c r="AB574" i="7"/>
  <c r="AA574" i="7"/>
  <c r="Z574" i="7"/>
  <c r="W574" i="7"/>
  <c r="V574" i="7"/>
  <c r="U574" i="7"/>
  <c r="T574" i="7"/>
  <c r="Q574" i="7"/>
  <c r="P574" i="7"/>
  <c r="O574" i="7"/>
  <c r="N574" i="7"/>
  <c r="K574" i="7"/>
  <c r="J574" i="7"/>
  <c r="I574" i="7"/>
  <c r="H574" i="7"/>
  <c r="E574" i="7"/>
  <c r="D574" i="7"/>
  <c r="C574" i="7"/>
  <c r="B574" i="7"/>
  <c r="AI573" i="7"/>
  <c r="AH573" i="7"/>
  <c r="AG573" i="7"/>
  <c r="AF573" i="7"/>
  <c r="AC573" i="7"/>
  <c r="AB573" i="7"/>
  <c r="AA573" i="7"/>
  <c r="Z573" i="7"/>
  <c r="W573" i="7"/>
  <c r="V573" i="7"/>
  <c r="U573" i="7"/>
  <c r="T573" i="7"/>
  <c r="Q573" i="7"/>
  <c r="P573" i="7"/>
  <c r="O573" i="7"/>
  <c r="N573" i="7"/>
  <c r="K573" i="7"/>
  <c r="J573" i="7"/>
  <c r="I573" i="7"/>
  <c r="H573" i="7"/>
  <c r="E573" i="7"/>
  <c r="D573" i="7"/>
  <c r="C573" i="7"/>
  <c r="B573" i="7"/>
  <c r="AI572" i="7"/>
  <c r="AH572" i="7"/>
  <c r="AG572" i="7"/>
  <c r="AF572" i="7"/>
  <c r="AC572" i="7"/>
  <c r="AB572" i="7"/>
  <c r="AA572" i="7"/>
  <c r="Z572" i="7"/>
  <c r="W572" i="7"/>
  <c r="V572" i="7"/>
  <c r="U572" i="7"/>
  <c r="T572" i="7"/>
  <c r="Q572" i="7"/>
  <c r="P572" i="7"/>
  <c r="O572" i="7"/>
  <c r="N572" i="7"/>
  <c r="K572" i="7"/>
  <c r="J572" i="7"/>
  <c r="I572" i="7"/>
  <c r="H572" i="7"/>
  <c r="E572" i="7"/>
  <c r="D572" i="7"/>
  <c r="C572" i="7"/>
  <c r="B572" i="7"/>
  <c r="AI571" i="7"/>
  <c r="AH571" i="7"/>
  <c r="AG571" i="7"/>
  <c r="AF571" i="7"/>
  <c r="AC571" i="7"/>
  <c r="AB571" i="7"/>
  <c r="AA571" i="7"/>
  <c r="Z571" i="7"/>
  <c r="W571" i="7"/>
  <c r="V571" i="7"/>
  <c r="U571" i="7"/>
  <c r="T571" i="7"/>
  <c r="Q571" i="7"/>
  <c r="P571" i="7"/>
  <c r="O571" i="7"/>
  <c r="N571" i="7"/>
  <c r="K571" i="7"/>
  <c r="J571" i="7"/>
  <c r="I571" i="7"/>
  <c r="H571" i="7"/>
  <c r="E571" i="7"/>
  <c r="D571" i="7"/>
  <c r="C571" i="7"/>
  <c r="B571" i="7"/>
  <c r="AI570" i="7"/>
  <c r="AH570" i="7"/>
  <c r="AG570" i="7"/>
  <c r="AF570" i="7"/>
  <c r="AC570" i="7"/>
  <c r="AB570" i="7"/>
  <c r="AA570" i="7"/>
  <c r="Z570" i="7"/>
  <c r="W570" i="7"/>
  <c r="V570" i="7"/>
  <c r="U570" i="7"/>
  <c r="T570" i="7"/>
  <c r="Q570" i="7"/>
  <c r="P570" i="7"/>
  <c r="O570" i="7"/>
  <c r="N570" i="7"/>
  <c r="K570" i="7"/>
  <c r="J570" i="7"/>
  <c r="I570" i="7"/>
  <c r="H570" i="7"/>
  <c r="E570" i="7"/>
  <c r="D570" i="7"/>
  <c r="C570" i="7"/>
  <c r="B570" i="7"/>
  <c r="AI569" i="7"/>
  <c r="AH569" i="7"/>
  <c r="AG569" i="7"/>
  <c r="AF569" i="7"/>
  <c r="AC569" i="7"/>
  <c r="AB569" i="7"/>
  <c r="AA569" i="7"/>
  <c r="Z569" i="7"/>
  <c r="W569" i="7"/>
  <c r="V569" i="7"/>
  <c r="U569" i="7"/>
  <c r="T569" i="7"/>
  <c r="Q569" i="7"/>
  <c r="P569" i="7"/>
  <c r="O569" i="7"/>
  <c r="N569" i="7"/>
  <c r="K569" i="7"/>
  <c r="J569" i="7"/>
  <c r="I569" i="7"/>
  <c r="H569" i="7"/>
  <c r="E569" i="7"/>
  <c r="D569" i="7"/>
  <c r="C569" i="7"/>
  <c r="B569" i="7"/>
  <c r="AI568" i="7"/>
  <c r="AH568" i="7"/>
  <c r="AG568" i="7"/>
  <c r="AF568" i="7"/>
  <c r="AC568" i="7"/>
  <c r="AB568" i="7"/>
  <c r="AA568" i="7"/>
  <c r="Z568" i="7"/>
  <c r="W568" i="7"/>
  <c r="V568" i="7"/>
  <c r="U568" i="7"/>
  <c r="T568" i="7"/>
  <c r="Q568" i="7"/>
  <c r="P568" i="7"/>
  <c r="O568" i="7"/>
  <c r="N568" i="7"/>
  <c r="K568" i="7"/>
  <c r="J568" i="7"/>
  <c r="I568" i="7"/>
  <c r="H568" i="7"/>
  <c r="E568" i="7"/>
  <c r="D568" i="7"/>
  <c r="C568" i="7"/>
  <c r="B568" i="7"/>
  <c r="AI567" i="7"/>
  <c r="AH567" i="7"/>
  <c r="AG567" i="7"/>
  <c r="AF567" i="7"/>
  <c r="AC567" i="7"/>
  <c r="AB567" i="7"/>
  <c r="AA567" i="7"/>
  <c r="Z567" i="7"/>
  <c r="W567" i="7"/>
  <c r="V567" i="7"/>
  <c r="U567" i="7"/>
  <c r="T567" i="7"/>
  <c r="Q567" i="7"/>
  <c r="P567" i="7"/>
  <c r="O567" i="7"/>
  <c r="N567" i="7"/>
  <c r="K567" i="7"/>
  <c r="J567" i="7"/>
  <c r="I567" i="7"/>
  <c r="H567" i="7"/>
  <c r="E567" i="7"/>
  <c r="D567" i="7"/>
  <c r="C567" i="7"/>
  <c r="B567" i="7"/>
  <c r="AI566" i="7"/>
  <c r="AH566" i="7"/>
  <c r="AG566" i="7"/>
  <c r="AF566" i="7"/>
  <c r="AC566" i="7"/>
  <c r="AB566" i="7"/>
  <c r="AA566" i="7"/>
  <c r="Z566" i="7"/>
  <c r="W566" i="7"/>
  <c r="V566" i="7"/>
  <c r="U566" i="7"/>
  <c r="T566" i="7"/>
  <c r="Q566" i="7"/>
  <c r="P566" i="7"/>
  <c r="O566" i="7"/>
  <c r="N566" i="7"/>
  <c r="K566" i="7"/>
  <c r="J566" i="7"/>
  <c r="I566" i="7"/>
  <c r="H566" i="7"/>
  <c r="E566" i="7"/>
  <c r="D566" i="7"/>
  <c r="C566" i="7"/>
  <c r="B566" i="7"/>
  <c r="AI565" i="7"/>
  <c r="AH565" i="7"/>
  <c r="AG565" i="7"/>
  <c r="AF565" i="7"/>
  <c r="AC565" i="7"/>
  <c r="AB565" i="7"/>
  <c r="AA565" i="7"/>
  <c r="Z565" i="7"/>
  <c r="W565" i="7"/>
  <c r="V565" i="7"/>
  <c r="U565" i="7"/>
  <c r="T565" i="7"/>
  <c r="Q565" i="7"/>
  <c r="P565" i="7"/>
  <c r="O565" i="7"/>
  <c r="N565" i="7"/>
  <c r="K565" i="7"/>
  <c r="J565" i="7"/>
  <c r="I565" i="7"/>
  <c r="H565" i="7"/>
  <c r="E565" i="7"/>
  <c r="D565" i="7"/>
  <c r="C565" i="7"/>
  <c r="B565" i="7"/>
  <c r="AI564" i="7"/>
  <c r="AH564" i="7"/>
  <c r="AG564" i="7"/>
  <c r="AF564" i="7"/>
  <c r="AC564" i="7"/>
  <c r="AB564" i="7"/>
  <c r="AA564" i="7"/>
  <c r="Z564" i="7"/>
  <c r="W564" i="7"/>
  <c r="V564" i="7"/>
  <c r="U564" i="7"/>
  <c r="T564" i="7"/>
  <c r="Q564" i="7"/>
  <c r="P564" i="7"/>
  <c r="O564" i="7"/>
  <c r="N564" i="7"/>
  <c r="K564" i="7"/>
  <c r="J564" i="7"/>
  <c r="I564" i="7"/>
  <c r="H564" i="7"/>
  <c r="E564" i="7"/>
  <c r="D564" i="7"/>
  <c r="C564" i="7"/>
  <c r="B564" i="7"/>
  <c r="AI563" i="7"/>
  <c r="AH563" i="7"/>
  <c r="AG563" i="7"/>
  <c r="AF563" i="7"/>
  <c r="AC563" i="7"/>
  <c r="AB563" i="7"/>
  <c r="AA563" i="7"/>
  <c r="Z563" i="7"/>
  <c r="W563" i="7"/>
  <c r="V563" i="7"/>
  <c r="U563" i="7"/>
  <c r="T563" i="7"/>
  <c r="Q563" i="7"/>
  <c r="P563" i="7"/>
  <c r="O563" i="7"/>
  <c r="N563" i="7"/>
  <c r="K563" i="7"/>
  <c r="J563" i="7"/>
  <c r="I563" i="7"/>
  <c r="H563" i="7"/>
  <c r="E563" i="7"/>
  <c r="D563" i="7"/>
  <c r="C563" i="7"/>
  <c r="B563" i="7"/>
  <c r="AI562" i="7"/>
  <c r="AH562" i="7"/>
  <c r="AG562" i="7"/>
  <c r="AF562" i="7"/>
  <c r="AC562" i="7"/>
  <c r="AB562" i="7"/>
  <c r="AA562" i="7"/>
  <c r="Z562" i="7"/>
  <c r="W562" i="7"/>
  <c r="V562" i="7"/>
  <c r="U562" i="7"/>
  <c r="T562" i="7"/>
  <c r="Q562" i="7"/>
  <c r="P562" i="7"/>
  <c r="O562" i="7"/>
  <c r="N562" i="7"/>
  <c r="K562" i="7"/>
  <c r="J562" i="7"/>
  <c r="I562" i="7"/>
  <c r="H562" i="7"/>
  <c r="E562" i="7"/>
  <c r="D562" i="7"/>
  <c r="C562" i="7"/>
  <c r="B562" i="7"/>
  <c r="AI561" i="7"/>
  <c r="AH561" i="7"/>
  <c r="AG561" i="7"/>
  <c r="AF561" i="7"/>
  <c r="AC561" i="7"/>
  <c r="AB561" i="7"/>
  <c r="AA561" i="7"/>
  <c r="Z561" i="7"/>
  <c r="W561" i="7"/>
  <c r="V561" i="7"/>
  <c r="U561" i="7"/>
  <c r="T561" i="7"/>
  <c r="Q561" i="7"/>
  <c r="P561" i="7"/>
  <c r="O561" i="7"/>
  <c r="N561" i="7"/>
  <c r="K561" i="7"/>
  <c r="J561" i="7"/>
  <c r="I561" i="7"/>
  <c r="H561" i="7"/>
  <c r="E561" i="7"/>
  <c r="D561" i="7"/>
  <c r="C561" i="7"/>
  <c r="B561" i="7"/>
  <c r="AI560" i="7"/>
  <c r="AH560" i="7"/>
  <c r="AG560" i="7"/>
  <c r="AF560" i="7"/>
  <c r="AC560" i="7"/>
  <c r="AB560" i="7"/>
  <c r="AA560" i="7"/>
  <c r="Z560" i="7"/>
  <c r="W560" i="7"/>
  <c r="V560" i="7"/>
  <c r="U560" i="7"/>
  <c r="T560" i="7"/>
  <c r="Q560" i="7"/>
  <c r="P560" i="7"/>
  <c r="O560" i="7"/>
  <c r="N560" i="7"/>
  <c r="K560" i="7"/>
  <c r="J560" i="7"/>
  <c r="I560" i="7"/>
  <c r="H560" i="7"/>
  <c r="E560" i="7"/>
  <c r="D560" i="7"/>
  <c r="C560" i="7"/>
  <c r="B560" i="7"/>
  <c r="AI559" i="7"/>
  <c r="AH559" i="7"/>
  <c r="AG559" i="7"/>
  <c r="AF559" i="7"/>
  <c r="AC559" i="7"/>
  <c r="AB559" i="7"/>
  <c r="AA559" i="7"/>
  <c r="Z559" i="7"/>
  <c r="W559" i="7"/>
  <c r="V559" i="7"/>
  <c r="U559" i="7"/>
  <c r="T559" i="7"/>
  <c r="Q559" i="7"/>
  <c r="P559" i="7"/>
  <c r="O559" i="7"/>
  <c r="N559" i="7"/>
  <c r="K559" i="7"/>
  <c r="J559" i="7"/>
  <c r="I559" i="7"/>
  <c r="H559" i="7"/>
  <c r="E559" i="7"/>
  <c r="D559" i="7"/>
  <c r="C559" i="7"/>
  <c r="B559" i="7"/>
  <c r="AI558" i="7"/>
  <c r="AH558" i="7"/>
  <c r="AG558" i="7"/>
  <c r="AF558" i="7"/>
  <c r="AC558" i="7"/>
  <c r="AB558" i="7"/>
  <c r="AA558" i="7"/>
  <c r="Z558" i="7"/>
  <c r="W558" i="7"/>
  <c r="V558" i="7"/>
  <c r="U558" i="7"/>
  <c r="T558" i="7"/>
  <c r="Q558" i="7"/>
  <c r="P558" i="7"/>
  <c r="O558" i="7"/>
  <c r="N558" i="7"/>
  <c r="K558" i="7"/>
  <c r="J558" i="7"/>
  <c r="I558" i="7"/>
  <c r="H558" i="7"/>
  <c r="E558" i="7"/>
  <c r="D558" i="7"/>
  <c r="C558" i="7"/>
  <c r="B558" i="7"/>
  <c r="AI557" i="7"/>
  <c r="AH557" i="7"/>
  <c r="AG557" i="7"/>
  <c r="AF557" i="7"/>
  <c r="AC557" i="7"/>
  <c r="AB557" i="7"/>
  <c r="AA557" i="7"/>
  <c r="Z557" i="7"/>
  <c r="W557" i="7"/>
  <c r="V557" i="7"/>
  <c r="U557" i="7"/>
  <c r="T557" i="7"/>
  <c r="Q557" i="7"/>
  <c r="P557" i="7"/>
  <c r="O557" i="7"/>
  <c r="N557" i="7"/>
  <c r="K557" i="7"/>
  <c r="J557" i="7"/>
  <c r="I557" i="7"/>
  <c r="H557" i="7"/>
  <c r="E557" i="7"/>
  <c r="D557" i="7"/>
  <c r="C557" i="7"/>
  <c r="B557" i="7"/>
  <c r="AI556" i="7"/>
  <c r="AH556" i="7"/>
  <c r="AG556" i="7"/>
  <c r="AF556" i="7"/>
  <c r="AC556" i="7"/>
  <c r="AB556" i="7"/>
  <c r="AA556" i="7"/>
  <c r="Z556" i="7"/>
  <c r="W556" i="7"/>
  <c r="V556" i="7"/>
  <c r="U556" i="7"/>
  <c r="T556" i="7"/>
  <c r="Q556" i="7"/>
  <c r="P556" i="7"/>
  <c r="O556" i="7"/>
  <c r="N556" i="7"/>
  <c r="K556" i="7"/>
  <c r="J556" i="7"/>
  <c r="I556" i="7"/>
  <c r="H556" i="7"/>
  <c r="E556" i="7"/>
  <c r="D556" i="7"/>
  <c r="C556" i="7"/>
  <c r="B556" i="7"/>
  <c r="AI555" i="7"/>
  <c r="AH555" i="7"/>
  <c r="AG555" i="7"/>
  <c r="AF555" i="7"/>
  <c r="AC555" i="7"/>
  <c r="AB555" i="7"/>
  <c r="AA555" i="7"/>
  <c r="Z555" i="7"/>
  <c r="W555" i="7"/>
  <c r="V555" i="7"/>
  <c r="U555" i="7"/>
  <c r="T555" i="7"/>
  <c r="Q555" i="7"/>
  <c r="P555" i="7"/>
  <c r="O555" i="7"/>
  <c r="N555" i="7"/>
  <c r="K555" i="7"/>
  <c r="J555" i="7"/>
  <c r="I555" i="7"/>
  <c r="H555" i="7"/>
  <c r="E555" i="7"/>
  <c r="D555" i="7"/>
  <c r="C555" i="7"/>
  <c r="B555" i="7"/>
  <c r="AI554" i="7"/>
  <c r="AH554" i="7"/>
  <c r="AG554" i="7"/>
  <c r="AF554" i="7"/>
  <c r="AC554" i="7"/>
  <c r="AB554" i="7"/>
  <c r="AA554" i="7"/>
  <c r="Z554" i="7"/>
  <c r="W554" i="7"/>
  <c r="V554" i="7"/>
  <c r="U554" i="7"/>
  <c r="T554" i="7"/>
  <c r="Q554" i="7"/>
  <c r="P554" i="7"/>
  <c r="O554" i="7"/>
  <c r="N554" i="7"/>
  <c r="K554" i="7"/>
  <c r="J554" i="7"/>
  <c r="I554" i="7"/>
  <c r="H554" i="7"/>
  <c r="E554" i="7"/>
  <c r="D554" i="7"/>
  <c r="C554" i="7"/>
  <c r="B554" i="7"/>
  <c r="AI553" i="7"/>
  <c r="AH553" i="7"/>
  <c r="AG553" i="7"/>
  <c r="AF553" i="7"/>
  <c r="AC553" i="7"/>
  <c r="AB553" i="7"/>
  <c r="AA553" i="7"/>
  <c r="Z553" i="7"/>
  <c r="W553" i="7"/>
  <c r="V553" i="7"/>
  <c r="U553" i="7"/>
  <c r="T553" i="7"/>
  <c r="Q553" i="7"/>
  <c r="P553" i="7"/>
  <c r="O553" i="7"/>
  <c r="N553" i="7"/>
  <c r="K553" i="7"/>
  <c r="J553" i="7"/>
  <c r="I553" i="7"/>
  <c r="H553" i="7"/>
  <c r="E553" i="7"/>
  <c r="D553" i="7"/>
  <c r="C553" i="7"/>
  <c r="B553" i="7"/>
  <c r="AI552" i="7"/>
  <c r="AH552" i="7"/>
  <c r="AG552" i="7"/>
  <c r="AF552" i="7"/>
  <c r="AC552" i="7"/>
  <c r="AB552" i="7"/>
  <c r="AA552" i="7"/>
  <c r="Z552" i="7"/>
  <c r="W552" i="7"/>
  <c r="V552" i="7"/>
  <c r="U552" i="7"/>
  <c r="T552" i="7"/>
  <c r="Q552" i="7"/>
  <c r="P552" i="7"/>
  <c r="O552" i="7"/>
  <c r="N552" i="7"/>
  <c r="K552" i="7"/>
  <c r="J552" i="7"/>
  <c r="I552" i="7"/>
  <c r="H552" i="7"/>
  <c r="E552" i="7"/>
  <c r="D552" i="7"/>
  <c r="C552" i="7"/>
  <c r="B552" i="7"/>
  <c r="AI551" i="7"/>
  <c r="AH551" i="7"/>
  <c r="AG551" i="7"/>
  <c r="AF551" i="7"/>
  <c r="AC551" i="7"/>
  <c r="AB551" i="7"/>
  <c r="AA551" i="7"/>
  <c r="Z551" i="7"/>
  <c r="W551" i="7"/>
  <c r="V551" i="7"/>
  <c r="U551" i="7"/>
  <c r="T551" i="7"/>
  <c r="Q551" i="7"/>
  <c r="P551" i="7"/>
  <c r="O551" i="7"/>
  <c r="N551" i="7"/>
  <c r="K551" i="7"/>
  <c r="J551" i="7"/>
  <c r="I551" i="7"/>
  <c r="H551" i="7"/>
  <c r="E551" i="7"/>
  <c r="D551" i="7"/>
  <c r="C551" i="7"/>
  <c r="B551" i="7"/>
  <c r="AI550" i="7"/>
  <c r="AH550" i="7"/>
  <c r="AG550" i="7"/>
  <c r="AF550" i="7"/>
  <c r="AC550" i="7"/>
  <c r="AB550" i="7"/>
  <c r="AA550" i="7"/>
  <c r="Z550" i="7"/>
  <c r="W550" i="7"/>
  <c r="V550" i="7"/>
  <c r="U550" i="7"/>
  <c r="T550" i="7"/>
  <c r="Q550" i="7"/>
  <c r="P550" i="7"/>
  <c r="O550" i="7"/>
  <c r="N550" i="7"/>
  <c r="K550" i="7"/>
  <c r="J550" i="7"/>
  <c r="I550" i="7"/>
  <c r="H550" i="7"/>
  <c r="E550" i="7"/>
  <c r="D550" i="7"/>
  <c r="C550" i="7"/>
  <c r="B550" i="7"/>
  <c r="AI549" i="7"/>
  <c r="AH549" i="7"/>
  <c r="AG549" i="7"/>
  <c r="AF549" i="7"/>
  <c r="AC549" i="7"/>
  <c r="AB549" i="7"/>
  <c r="AA549" i="7"/>
  <c r="Z549" i="7"/>
  <c r="W549" i="7"/>
  <c r="V549" i="7"/>
  <c r="U549" i="7"/>
  <c r="T549" i="7"/>
  <c r="Q549" i="7"/>
  <c r="P549" i="7"/>
  <c r="O549" i="7"/>
  <c r="N549" i="7"/>
  <c r="K549" i="7"/>
  <c r="J549" i="7"/>
  <c r="I549" i="7"/>
  <c r="H549" i="7"/>
  <c r="E549" i="7"/>
  <c r="D549" i="7"/>
  <c r="C549" i="7"/>
  <c r="B549" i="7"/>
  <c r="AI548" i="7"/>
  <c r="AH548" i="7"/>
  <c r="AG548" i="7"/>
  <c r="AF548" i="7"/>
  <c r="AC548" i="7"/>
  <c r="AB548" i="7"/>
  <c r="AA548" i="7"/>
  <c r="Z548" i="7"/>
  <c r="W548" i="7"/>
  <c r="V548" i="7"/>
  <c r="U548" i="7"/>
  <c r="T548" i="7"/>
  <c r="Q548" i="7"/>
  <c r="P548" i="7"/>
  <c r="O548" i="7"/>
  <c r="N548" i="7"/>
  <c r="K548" i="7"/>
  <c r="J548" i="7"/>
  <c r="I548" i="7"/>
  <c r="H548" i="7"/>
  <c r="E548" i="7"/>
  <c r="D548" i="7"/>
  <c r="C548" i="7"/>
  <c r="B548" i="7"/>
  <c r="AI547" i="7"/>
  <c r="AH547" i="7"/>
  <c r="AG547" i="7"/>
  <c r="AF547" i="7"/>
  <c r="AC547" i="7"/>
  <c r="AB547" i="7"/>
  <c r="AA547" i="7"/>
  <c r="Z547" i="7"/>
  <c r="W547" i="7"/>
  <c r="V547" i="7"/>
  <c r="U547" i="7"/>
  <c r="T547" i="7"/>
  <c r="Q547" i="7"/>
  <c r="P547" i="7"/>
  <c r="O547" i="7"/>
  <c r="N547" i="7"/>
  <c r="K547" i="7"/>
  <c r="J547" i="7"/>
  <c r="I547" i="7"/>
  <c r="H547" i="7"/>
  <c r="E547" i="7"/>
  <c r="D547" i="7"/>
  <c r="C547" i="7"/>
  <c r="B547" i="7"/>
  <c r="AI546" i="7"/>
  <c r="AH546" i="7"/>
  <c r="AG546" i="7"/>
  <c r="AF546" i="7"/>
  <c r="AC546" i="7"/>
  <c r="AB546" i="7"/>
  <c r="AA546" i="7"/>
  <c r="Z546" i="7"/>
  <c r="W546" i="7"/>
  <c r="V546" i="7"/>
  <c r="U546" i="7"/>
  <c r="T546" i="7"/>
  <c r="Q546" i="7"/>
  <c r="P546" i="7"/>
  <c r="O546" i="7"/>
  <c r="N546" i="7"/>
  <c r="K546" i="7"/>
  <c r="J546" i="7"/>
  <c r="I546" i="7"/>
  <c r="H546" i="7"/>
  <c r="E546" i="7"/>
  <c r="D546" i="7"/>
  <c r="C546" i="7"/>
  <c r="B546" i="7"/>
  <c r="AI545" i="7"/>
  <c r="AH545" i="7"/>
  <c r="AG545" i="7"/>
  <c r="AF545" i="7"/>
  <c r="AC545" i="7"/>
  <c r="AB545" i="7"/>
  <c r="AA545" i="7"/>
  <c r="Z545" i="7"/>
  <c r="W545" i="7"/>
  <c r="V545" i="7"/>
  <c r="U545" i="7"/>
  <c r="T545" i="7"/>
  <c r="Q545" i="7"/>
  <c r="P545" i="7"/>
  <c r="O545" i="7"/>
  <c r="N545" i="7"/>
  <c r="K545" i="7"/>
  <c r="J545" i="7"/>
  <c r="I545" i="7"/>
  <c r="H545" i="7"/>
  <c r="E545" i="7"/>
  <c r="D545" i="7"/>
  <c r="C545" i="7"/>
  <c r="B545" i="7"/>
  <c r="AI544" i="7"/>
  <c r="AH544" i="7"/>
  <c r="AG544" i="7"/>
  <c r="AF544" i="7"/>
  <c r="AC544" i="7"/>
  <c r="AB544" i="7"/>
  <c r="AA544" i="7"/>
  <c r="Z544" i="7"/>
  <c r="W544" i="7"/>
  <c r="V544" i="7"/>
  <c r="U544" i="7"/>
  <c r="T544" i="7"/>
  <c r="Q544" i="7"/>
  <c r="P544" i="7"/>
  <c r="O544" i="7"/>
  <c r="N544" i="7"/>
  <c r="K544" i="7"/>
  <c r="J544" i="7"/>
  <c r="I544" i="7"/>
  <c r="H544" i="7"/>
  <c r="E544" i="7"/>
  <c r="D544" i="7"/>
  <c r="C544" i="7"/>
  <c r="B544" i="7"/>
  <c r="AI543" i="7"/>
  <c r="AH543" i="7"/>
  <c r="AG543" i="7"/>
  <c r="AF543" i="7"/>
  <c r="AC543" i="7"/>
  <c r="AB543" i="7"/>
  <c r="AA543" i="7"/>
  <c r="Z543" i="7"/>
  <c r="W543" i="7"/>
  <c r="V543" i="7"/>
  <c r="U543" i="7"/>
  <c r="T543" i="7"/>
  <c r="Q543" i="7"/>
  <c r="P543" i="7"/>
  <c r="O543" i="7"/>
  <c r="N543" i="7"/>
  <c r="K543" i="7"/>
  <c r="J543" i="7"/>
  <c r="I543" i="7"/>
  <c r="H543" i="7"/>
  <c r="E543" i="7"/>
  <c r="D543" i="7"/>
  <c r="C543" i="7"/>
  <c r="B543" i="7"/>
  <c r="AI542" i="7"/>
  <c r="AH542" i="7"/>
  <c r="AG542" i="7"/>
  <c r="AF542" i="7"/>
  <c r="AC542" i="7"/>
  <c r="AB542" i="7"/>
  <c r="AA542" i="7"/>
  <c r="Z542" i="7"/>
  <c r="W542" i="7"/>
  <c r="V542" i="7"/>
  <c r="U542" i="7"/>
  <c r="T542" i="7"/>
  <c r="Q542" i="7"/>
  <c r="P542" i="7"/>
  <c r="O542" i="7"/>
  <c r="N542" i="7"/>
  <c r="K542" i="7"/>
  <c r="J542" i="7"/>
  <c r="I542" i="7"/>
  <c r="H542" i="7"/>
  <c r="E542" i="7"/>
  <c r="D542" i="7"/>
  <c r="C542" i="7"/>
  <c r="B542" i="7"/>
  <c r="AI541" i="7"/>
  <c r="AH541" i="7"/>
  <c r="AG541" i="7"/>
  <c r="AF541" i="7"/>
  <c r="AC541" i="7"/>
  <c r="AB541" i="7"/>
  <c r="AA541" i="7"/>
  <c r="Z541" i="7"/>
  <c r="W541" i="7"/>
  <c r="V541" i="7"/>
  <c r="U541" i="7"/>
  <c r="T541" i="7"/>
  <c r="Q541" i="7"/>
  <c r="P541" i="7"/>
  <c r="O541" i="7"/>
  <c r="N541" i="7"/>
  <c r="K541" i="7"/>
  <c r="J541" i="7"/>
  <c r="I541" i="7"/>
  <c r="H541" i="7"/>
  <c r="E541" i="7"/>
  <c r="D541" i="7"/>
  <c r="C541" i="7"/>
  <c r="B541" i="7"/>
  <c r="AI540" i="7"/>
  <c r="AH540" i="7"/>
  <c r="AG540" i="7"/>
  <c r="AF540" i="7"/>
  <c r="AC540" i="7"/>
  <c r="AB540" i="7"/>
  <c r="AA540" i="7"/>
  <c r="Z540" i="7"/>
  <c r="W540" i="7"/>
  <c r="V540" i="7"/>
  <c r="U540" i="7"/>
  <c r="T540" i="7"/>
  <c r="Q540" i="7"/>
  <c r="P540" i="7"/>
  <c r="O540" i="7"/>
  <c r="N540" i="7"/>
  <c r="K540" i="7"/>
  <c r="J540" i="7"/>
  <c r="I540" i="7"/>
  <c r="H540" i="7"/>
  <c r="E540" i="7"/>
  <c r="D540" i="7"/>
  <c r="C540" i="7"/>
  <c r="B540" i="7"/>
  <c r="AI539" i="7"/>
  <c r="AH539" i="7"/>
  <c r="AG539" i="7"/>
  <c r="AF539" i="7"/>
  <c r="AC539" i="7"/>
  <c r="AB539" i="7"/>
  <c r="AA539" i="7"/>
  <c r="Z539" i="7"/>
  <c r="W539" i="7"/>
  <c r="V539" i="7"/>
  <c r="U539" i="7"/>
  <c r="T539" i="7"/>
  <c r="Q539" i="7"/>
  <c r="P539" i="7"/>
  <c r="O539" i="7"/>
  <c r="N539" i="7"/>
  <c r="K539" i="7"/>
  <c r="J539" i="7"/>
  <c r="I539" i="7"/>
  <c r="H539" i="7"/>
  <c r="E539" i="7"/>
  <c r="D539" i="7"/>
  <c r="C539" i="7"/>
  <c r="B539" i="7"/>
  <c r="AI538" i="7"/>
  <c r="AH538" i="7"/>
  <c r="AG538" i="7"/>
  <c r="AF538" i="7"/>
  <c r="AC538" i="7"/>
  <c r="AB538" i="7"/>
  <c r="AA538" i="7"/>
  <c r="Z538" i="7"/>
  <c r="W538" i="7"/>
  <c r="V538" i="7"/>
  <c r="U538" i="7"/>
  <c r="T538" i="7"/>
  <c r="Q538" i="7"/>
  <c r="P538" i="7"/>
  <c r="O538" i="7"/>
  <c r="N538" i="7"/>
  <c r="K538" i="7"/>
  <c r="J538" i="7"/>
  <c r="I538" i="7"/>
  <c r="H538" i="7"/>
  <c r="E538" i="7"/>
  <c r="D538" i="7"/>
  <c r="C538" i="7"/>
  <c r="B538" i="7"/>
  <c r="AI537" i="7"/>
  <c r="AH537" i="7"/>
  <c r="AG537" i="7"/>
  <c r="AF537" i="7"/>
  <c r="AC537" i="7"/>
  <c r="AB537" i="7"/>
  <c r="AA537" i="7"/>
  <c r="Z537" i="7"/>
  <c r="W537" i="7"/>
  <c r="V537" i="7"/>
  <c r="U537" i="7"/>
  <c r="T537" i="7"/>
  <c r="Q537" i="7"/>
  <c r="P537" i="7"/>
  <c r="O537" i="7"/>
  <c r="N537" i="7"/>
  <c r="K537" i="7"/>
  <c r="J537" i="7"/>
  <c r="I537" i="7"/>
  <c r="H537" i="7"/>
  <c r="E537" i="7"/>
  <c r="D537" i="7"/>
  <c r="C537" i="7"/>
  <c r="B537" i="7"/>
  <c r="AI536" i="7"/>
  <c r="AH536" i="7"/>
  <c r="AG536" i="7"/>
  <c r="AF536" i="7"/>
  <c r="AC536" i="7"/>
  <c r="AB536" i="7"/>
  <c r="AA536" i="7"/>
  <c r="Z536" i="7"/>
  <c r="W536" i="7"/>
  <c r="V536" i="7"/>
  <c r="U536" i="7"/>
  <c r="T536" i="7"/>
  <c r="Q536" i="7"/>
  <c r="P536" i="7"/>
  <c r="O536" i="7"/>
  <c r="N536" i="7"/>
  <c r="K536" i="7"/>
  <c r="J536" i="7"/>
  <c r="I536" i="7"/>
  <c r="H536" i="7"/>
  <c r="E536" i="7"/>
  <c r="D536" i="7"/>
  <c r="C536" i="7"/>
  <c r="B536" i="7"/>
  <c r="AI535" i="7"/>
  <c r="AH535" i="7"/>
  <c r="AG535" i="7"/>
  <c r="AF535" i="7"/>
  <c r="AC535" i="7"/>
  <c r="AB535" i="7"/>
  <c r="AA535" i="7"/>
  <c r="Z535" i="7"/>
  <c r="W535" i="7"/>
  <c r="V535" i="7"/>
  <c r="U535" i="7"/>
  <c r="T535" i="7"/>
  <c r="Q535" i="7"/>
  <c r="P535" i="7"/>
  <c r="O535" i="7"/>
  <c r="N535" i="7"/>
  <c r="K535" i="7"/>
  <c r="J535" i="7"/>
  <c r="I535" i="7"/>
  <c r="H535" i="7"/>
  <c r="E535" i="7"/>
  <c r="D535" i="7"/>
  <c r="C535" i="7"/>
  <c r="B535" i="7"/>
  <c r="AI534" i="7"/>
  <c r="AH534" i="7"/>
  <c r="AG534" i="7"/>
  <c r="AF534" i="7"/>
  <c r="AC534" i="7"/>
  <c r="AB534" i="7"/>
  <c r="AA534" i="7"/>
  <c r="Z534" i="7"/>
  <c r="W534" i="7"/>
  <c r="V534" i="7"/>
  <c r="U534" i="7"/>
  <c r="T534" i="7"/>
  <c r="Q534" i="7"/>
  <c r="P534" i="7"/>
  <c r="O534" i="7"/>
  <c r="N534" i="7"/>
  <c r="K534" i="7"/>
  <c r="J534" i="7"/>
  <c r="I534" i="7"/>
  <c r="H534" i="7"/>
  <c r="E534" i="7"/>
  <c r="D534" i="7"/>
  <c r="C534" i="7"/>
  <c r="B534" i="7"/>
  <c r="AI533" i="7"/>
  <c r="AH533" i="7"/>
  <c r="AG533" i="7"/>
  <c r="AF533" i="7"/>
  <c r="AC533" i="7"/>
  <c r="AB533" i="7"/>
  <c r="AA533" i="7"/>
  <c r="Z533" i="7"/>
  <c r="W533" i="7"/>
  <c r="V533" i="7"/>
  <c r="U533" i="7"/>
  <c r="T533" i="7"/>
  <c r="Q533" i="7"/>
  <c r="P533" i="7"/>
  <c r="O533" i="7"/>
  <c r="N533" i="7"/>
  <c r="K533" i="7"/>
  <c r="J533" i="7"/>
  <c r="I533" i="7"/>
  <c r="H533" i="7"/>
  <c r="E533" i="7"/>
  <c r="D533" i="7"/>
  <c r="C533" i="7"/>
  <c r="B533" i="7"/>
  <c r="AI532" i="7"/>
  <c r="AH532" i="7"/>
  <c r="AG532" i="7"/>
  <c r="AF532" i="7"/>
  <c r="AC532" i="7"/>
  <c r="AB532" i="7"/>
  <c r="AA532" i="7"/>
  <c r="Z532" i="7"/>
  <c r="W532" i="7"/>
  <c r="V532" i="7"/>
  <c r="U532" i="7"/>
  <c r="T532" i="7"/>
  <c r="Q532" i="7"/>
  <c r="P532" i="7"/>
  <c r="O532" i="7"/>
  <c r="N532" i="7"/>
  <c r="K532" i="7"/>
  <c r="J532" i="7"/>
  <c r="I532" i="7"/>
  <c r="H532" i="7"/>
  <c r="E532" i="7"/>
  <c r="D532" i="7"/>
  <c r="C532" i="7"/>
  <c r="B532" i="7"/>
  <c r="AI531" i="7"/>
  <c r="AH531" i="7"/>
  <c r="AG531" i="7"/>
  <c r="AF531" i="7"/>
  <c r="AC531" i="7"/>
  <c r="AB531" i="7"/>
  <c r="AA531" i="7"/>
  <c r="Z531" i="7"/>
  <c r="W531" i="7"/>
  <c r="V531" i="7"/>
  <c r="U531" i="7"/>
  <c r="T531" i="7"/>
  <c r="Q531" i="7"/>
  <c r="P531" i="7"/>
  <c r="O531" i="7"/>
  <c r="N531" i="7"/>
  <c r="K531" i="7"/>
  <c r="J531" i="7"/>
  <c r="I531" i="7"/>
  <c r="H531" i="7"/>
  <c r="E531" i="7"/>
  <c r="D531" i="7"/>
  <c r="C531" i="7"/>
  <c r="B531" i="7"/>
  <c r="AI530" i="7"/>
  <c r="AH530" i="7"/>
  <c r="AG530" i="7"/>
  <c r="AF530" i="7"/>
  <c r="AC530" i="7"/>
  <c r="AB530" i="7"/>
  <c r="AA530" i="7"/>
  <c r="Z530" i="7"/>
  <c r="W530" i="7"/>
  <c r="V530" i="7"/>
  <c r="U530" i="7"/>
  <c r="T530" i="7"/>
  <c r="Q530" i="7"/>
  <c r="P530" i="7"/>
  <c r="O530" i="7"/>
  <c r="N530" i="7"/>
  <c r="K530" i="7"/>
  <c r="J530" i="7"/>
  <c r="I530" i="7"/>
  <c r="H530" i="7"/>
  <c r="E530" i="7"/>
  <c r="D530" i="7"/>
  <c r="C530" i="7"/>
  <c r="B530" i="7"/>
  <c r="AI529" i="7"/>
  <c r="AH529" i="7"/>
  <c r="AG529" i="7"/>
  <c r="AF529" i="7"/>
  <c r="AC529" i="7"/>
  <c r="AB529" i="7"/>
  <c r="AA529" i="7"/>
  <c r="Z529" i="7"/>
  <c r="W529" i="7"/>
  <c r="V529" i="7"/>
  <c r="U529" i="7"/>
  <c r="T529" i="7"/>
  <c r="Q529" i="7"/>
  <c r="P529" i="7"/>
  <c r="O529" i="7"/>
  <c r="N529" i="7"/>
  <c r="K529" i="7"/>
  <c r="J529" i="7"/>
  <c r="I529" i="7"/>
  <c r="H529" i="7"/>
  <c r="E529" i="7"/>
  <c r="D529" i="7"/>
  <c r="C529" i="7"/>
  <c r="B529" i="7"/>
  <c r="AI528" i="7"/>
  <c r="AH528" i="7"/>
  <c r="AG528" i="7"/>
  <c r="AF528" i="7"/>
  <c r="AC528" i="7"/>
  <c r="AB528" i="7"/>
  <c r="AA528" i="7"/>
  <c r="Z528" i="7"/>
  <c r="W528" i="7"/>
  <c r="V528" i="7"/>
  <c r="U528" i="7"/>
  <c r="T528" i="7"/>
  <c r="Q528" i="7"/>
  <c r="P528" i="7"/>
  <c r="O528" i="7"/>
  <c r="N528" i="7"/>
  <c r="K528" i="7"/>
  <c r="J528" i="7"/>
  <c r="I528" i="7"/>
  <c r="H528" i="7"/>
  <c r="E528" i="7"/>
  <c r="D528" i="7"/>
  <c r="C528" i="7"/>
  <c r="B528" i="7"/>
  <c r="AI527" i="7"/>
  <c r="AH527" i="7"/>
  <c r="AG527" i="7"/>
  <c r="AF527" i="7"/>
  <c r="AC527" i="7"/>
  <c r="AB527" i="7"/>
  <c r="AA527" i="7"/>
  <c r="Z527" i="7"/>
  <c r="W527" i="7"/>
  <c r="V527" i="7"/>
  <c r="U527" i="7"/>
  <c r="T527" i="7"/>
  <c r="Q527" i="7"/>
  <c r="P527" i="7"/>
  <c r="O527" i="7"/>
  <c r="N527" i="7"/>
  <c r="K527" i="7"/>
  <c r="J527" i="7"/>
  <c r="I527" i="7"/>
  <c r="H527" i="7"/>
  <c r="E527" i="7"/>
  <c r="D527" i="7"/>
  <c r="C527" i="7"/>
  <c r="B527" i="7"/>
  <c r="AI526" i="7"/>
  <c r="AH526" i="7"/>
  <c r="AG526" i="7"/>
  <c r="AF526" i="7"/>
  <c r="AC526" i="7"/>
  <c r="AB526" i="7"/>
  <c r="AA526" i="7"/>
  <c r="Z526" i="7"/>
  <c r="W526" i="7"/>
  <c r="V526" i="7"/>
  <c r="U526" i="7"/>
  <c r="T526" i="7"/>
  <c r="Q526" i="7"/>
  <c r="P526" i="7"/>
  <c r="O526" i="7"/>
  <c r="N526" i="7"/>
  <c r="K526" i="7"/>
  <c r="J526" i="7"/>
  <c r="I526" i="7"/>
  <c r="H526" i="7"/>
  <c r="E526" i="7"/>
  <c r="D526" i="7"/>
  <c r="C526" i="7"/>
  <c r="B526" i="7"/>
  <c r="AI525" i="7"/>
  <c r="AH525" i="7"/>
  <c r="AG525" i="7"/>
  <c r="AF525" i="7"/>
  <c r="AC525" i="7"/>
  <c r="AB525" i="7"/>
  <c r="AA525" i="7"/>
  <c r="Z525" i="7"/>
  <c r="W525" i="7"/>
  <c r="V525" i="7"/>
  <c r="U525" i="7"/>
  <c r="T525" i="7"/>
  <c r="Q525" i="7"/>
  <c r="P525" i="7"/>
  <c r="O525" i="7"/>
  <c r="N525" i="7"/>
  <c r="K525" i="7"/>
  <c r="J525" i="7"/>
  <c r="I525" i="7"/>
  <c r="H525" i="7"/>
  <c r="E525" i="7"/>
  <c r="D525" i="7"/>
  <c r="C525" i="7"/>
  <c r="B525" i="7"/>
  <c r="AI524" i="7"/>
  <c r="AH524" i="7"/>
  <c r="AG524" i="7"/>
  <c r="AF524" i="7"/>
  <c r="AC524" i="7"/>
  <c r="AB524" i="7"/>
  <c r="AA524" i="7"/>
  <c r="Z524" i="7"/>
  <c r="W524" i="7"/>
  <c r="V524" i="7"/>
  <c r="U524" i="7"/>
  <c r="T524" i="7"/>
  <c r="Q524" i="7"/>
  <c r="P524" i="7"/>
  <c r="O524" i="7"/>
  <c r="N524" i="7"/>
  <c r="K524" i="7"/>
  <c r="J524" i="7"/>
  <c r="I524" i="7"/>
  <c r="H524" i="7"/>
  <c r="E524" i="7"/>
  <c r="D524" i="7"/>
  <c r="C524" i="7"/>
  <c r="B524" i="7"/>
  <c r="AI523" i="7"/>
  <c r="AH523" i="7"/>
  <c r="AG523" i="7"/>
  <c r="AF523" i="7"/>
  <c r="AC523" i="7"/>
  <c r="AB523" i="7"/>
  <c r="AA523" i="7"/>
  <c r="Z523" i="7"/>
  <c r="W523" i="7"/>
  <c r="V523" i="7"/>
  <c r="U523" i="7"/>
  <c r="T523" i="7"/>
  <c r="Q523" i="7"/>
  <c r="P523" i="7"/>
  <c r="O523" i="7"/>
  <c r="N523" i="7"/>
  <c r="K523" i="7"/>
  <c r="J523" i="7"/>
  <c r="I523" i="7"/>
  <c r="H523" i="7"/>
  <c r="E523" i="7"/>
  <c r="D523" i="7"/>
  <c r="C523" i="7"/>
  <c r="B523" i="7"/>
  <c r="AI522" i="7"/>
  <c r="AH522" i="7"/>
  <c r="AG522" i="7"/>
  <c r="AF522" i="7"/>
  <c r="AC522" i="7"/>
  <c r="AB522" i="7"/>
  <c r="AA522" i="7"/>
  <c r="Z522" i="7"/>
  <c r="W522" i="7"/>
  <c r="V522" i="7"/>
  <c r="U522" i="7"/>
  <c r="T522" i="7"/>
  <c r="Q522" i="7"/>
  <c r="P522" i="7"/>
  <c r="O522" i="7"/>
  <c r="N522" i="7"/>
  <c r="K522" i="7"/>
  <c r="J522" i="7"/>
  <c r="I522" i="7"/>
  <c r="H522" i="7"/>
  <c r="E522" i="7"/>
  <c r="D522" i="7"/>
  <c r="C522" i="7"/>
  <c r="B522" i="7"/>
  <c r="AI521" i="7"/>
  <c r="AH521" i="7"/>
  <c r="AG521" i="7"/>
  <c r="AF521" i="7"/>
  <c r="AC521" i="7"/>
  <c r="AB521" i="7"/>
  <c r="AA521" i="7"/>
  <c r="Z521" i="7"/>
  <c r="W521" i="7"/>
  <c r="V521" i="7"/>
  <c r="U521" i="7"/>
  <c r="T521" i="7"/>
  <c r="Q521" i="7"/>
  <c r="P521" i="7"/>
  <c r="O521" i="7"/>
  <c r="N521" i="7"/>
  <c r="K521" i="7"/>
  <c r="J521" i="7"/>
  <c r="I521" i="7"/>
  <c r="H521" i="7"/>
  <c r="E521" i="7"/>
  <c r="D521" i="7"/>
  <c r="C521" i="7"/>
  <c r="B521" i="7"/>
  <c r="AI520" i="7"/>
  <c r="AH520" i="7"/>
  <c r="AG520" i="7"/>
  <c r="AF520" i="7"/>
  <c r="AC520" i="7"/>
  <c r="AB520" i="7"/>
  <c r="AA520" i="7"/>
  <c r="Z520" i="7"/>
  <c r="W520" i="7"/>
  <c r="V520" i="7"/>
  <c r="U520" i="7"/>
  <c r="T520" i="7"/>
  <c r="Q520" i="7"/>
  <c r="P520" i="7"/>
  <c r="O520" i="7"/>
  <c r="N520" i="7"/>
  <c r="K520" i="7"/>
  <c r="J520" i="7"/>
  <c r="I520" i="7"/>
  <c r="H520" i="7"/>
  <c r="E520" i="7"/>
  <c r="D520" i="7"/>
  <c r="C520" i="7"/>
  <c r="B520" i="7"/>
  <c r="AI519" i="7"/>
  <c r="AH519" i="7"/>
  <c r="AG519" i="7"/>
  <c r="AF519" i="7"/>
  <c r="AC519" i="7"/>
  <c r="AB519" i="7"/>
  <c r="AA519" i="7"/>
  <c r="Z519" i="7"/>
  <c r="W519" i="7"/>
  <c r="V519" i="7"/>
  <c r="U519" i="7"/>
  <c r="T519" i="7"/>
  <c r="Q519" i="7"/>
  <c r="P519" i="7"/>
  <c r="O519" i="7"/>
  <c r="N519" i="7"/>
  <c r="K519" i="7"/>
  <c r="J519" i="7"/>
  <c r="I519" i="7"/>
  <c r="H519" i="7"/>
  <c r="E519" i="7"/>
  <c r="D519" i="7"/>
  <c r="C519" i="7"/>
  <c r="B519" i="7"/>
  <c r="AI518" i="7"/>
  <c r="AH518" i="7"/>
  <c r="AG518" i="7"/>
  <c r="AF518" i="7"/>
  <c r="AC518" i="7"/>
  <c r="AB518" i="7"/>
  <c r="AA518" i="7"/>
  <c r="Z518" i="7"/>
  <c r="W518" i="7"/>
  <c r="V518" i="7"/>
  <c r="U518" i="7"/>
  <c r="T518" i="7"/>
  <c r="Q518" i="7"/>
  <c r="P518" i="7"/>
  <c r="O518" i="7"/>
  <c r="N518" i="7"/>
  <c r="K518" i="7"/>
  <c r="J518" i="7"/>
  <c r="I518" i="7"/>
  <c r="H518" i="7"/>
  <c r="E518" i="7"/>
  <c r="D518" i="7"/>
  <c r="C518" i="7"/>
  <c r="B518" i="7"/>
  <c r="AI517" i="7"/>
  <c r="AH517" i="7"/>
  <c r="AG517" i="7"/>
  <c r="AF517" i="7"/>
  <c r="AC517" i="7"/>
  <c r="AB517" i="7"/>
  <c r="AA517" i="7"/>
  <c r="Z517" i="7"/>
  <c r="W517" i="7"/>
  <c r="V517" i="7"/>
  <c r="U517" i="7"/>
  <c r="T517" i="7"/>
  <c r="Q517" i="7"/>
  <c r="P517" i="7"/>
  <c r="O517" i="7"/>
  <c r="N517" i="7"/>
  <c r="K517" i="7"/>
  <c r="J517" i="7"/>
  <c r="I517" i="7"/>
  <c r="H517" i="7"/>
  <c r="E517" i="7"/>
  <c r="D517" i="7"/>
  <c r="C517" i="7"/>
  <c r="B517" i="7"/>
  <c r="AI516" i="7"/>
  <c r="AH516" i="7"/>
  <c r="AG516" i="7"/>
  <c r="AF516" i="7"/>
  <c r="AC516" i="7"/>
  <c r="AB516" i="7"/>
  <c r="AA516" i="7"/>
  <c r="Z516" i="7"/>
  <c r="W516" i="7"/>
  <c r="V516" i="7"/>
  <c r="U516" i="7"/>
  <c r="T516" i="7"/>
  <c r="Q516" i="7"/>
  <c r="P516" i="7"/>
  <c r="O516" i="7"/>
  <c r="N516" i="7"/>
  <c r="K516" i="7"/>
  <c r="J516" i="7"/>
  <c r="I516" i="7"/>
  <c r="H516" i="7"/>
  <c r="E516" i="7"/>
  <c r="D516" i="7"/>
  <c r="C516" i="7"/>
  <c r="B516" i="7"/>
  <c r="AI515" i="7"/>
  <c r="AH515" i="7"/>
  <c r="AG515" i="7"/>
  <c r="AF515" i="7"/>
  <c r="AC515" i="7"/>
  <c r="AB515" i="7"/>
  <c r="AA515" i="7"/>
  <c r="Z515" i="7"/>
  <c r="W515" i="7"/>
  <c r="V515" i="7"/>
  <c r="U515" i="7"/>
  <c r="T515" i="7"/>
  <c r="Q515" i="7"/>
  <c r="P515" i="7"/>
  <c r="O515" i="7"/>
  <c r="N515" i="7"/>
  <c r="K515" i="7"/>
  <c r="J515" i="7"/>
  <c r="I515" i="7"/>
  <c r="H515" i="7"/>
  <c r="E515" i="7"/>
  <c r="D515" i="7"/>
  <c r="C515" i="7"/>
  <c r="B515" i="7"/>
  <c r="AI514" i="7"/>
  <c r="AH514" i="7"/>
  <c r="AG514" i="7"/>
  <c r="AF514" i="7"/>
  <c r="AC514" i="7"/>
  <c r="AB514" i="7"/>
  <c r="AA514" i="7"/>
  <c r="Z514" i="7"/>
  <c r="W514" i="7"/>
  <c r="V514" i="7"/>
  <c r="U514" i="7"/>
  <c r="T514" i="7"/>
  <c r="Q514" i="7"/>
  <c r="P514" i="7"/>
  <c r="O514" i="7"/>
  <c r="N514" i="7"/>
  <c r="K514" i="7"/>
  <c r="J514" i="7"/>
  <c r="I514" i="7"/>
  <c r="H514" i="7"/>
  <c r="E514" i="7"/>
  <c r="D514" i="7"/>
  <c r="C514" i="7"/>
  <c r="B514" i="7"/>
  <c r="AI513" i="7"/>
  <c r="AH513" i="7"/>
  <c r="AG513" i="7"/>
  <c r="AF513" i="7"/>
  <c r="AC513" i="7"/>
  <c r="AB513" i="7"/>
  <c r="AA513" i="7"/>
  <c r="Z513" i="7"/>
  <c r="W513" i="7"/>
  <c r="V513" i="7"/>
  <c r="U513" i="7"/>
  <c r="T513" i="7"/>
  <c r="Q513" i="7"/>
  <c r="P513" i="7"/>
  <c r="O513" i="7"/>
  <c r="N513" i="7"/>
  <c r="K513" i="7"/>
  <c r="J513" i="7"/>
  <c r="I513" i="7"/>
  <c r="H513" i="7"/>
  <c r="E513" i="7"/>
  <c r="D513" i="7"/>
  <c r="C513" i="7"/>
  <c r="B513" i="7"/>
  <c r="AI512" i="7"/>
  <c r="AH512" i="7"/>
  <c r="AG512" i="7"/>
  <c r="AF512" i="7"/>
  <c r="AC512" i="7"/>
  <c r="AB512" i="7"/>
  <c r="AA512" i="7"/>
  <c r="Z512" i="7"/>
  <c r="W512" i="7"/>
  <c r="V512" i="7"/>
  <c r="U512" i="7"/>
  <c r="T512" i="7"/>
  <c r="Q512" i="7"/>
  <c r="P512" i="7"/>
  <c r="O512" i="7"/>
  <c r="N512" i="7"/>
  <c r="K512" i="7"/>
  <c r="J512" i="7"/>
  <c r="I512" i="7"/>
  <c r="H512" i="7"/>
  <c r="E512" i="7"/>
  <c r="D512" i="7"/>
  <c r="C512" i="7"/>
  <c r="B512" i="7"/>
  <c r="AI511" i="7"/>
  <c r="AH511" i="7"/>
  <c r="AG511" i="7"/>
  <c r="AF511" i="7"/>
  <c r="AC511" i="7"/>
  <c r="AB511" i="7"/>
  <c r="AA511" i="7"/>
  <c r="Z511" i="7"/>
  <c r="W511" i="7"/>
  <c r="V511" i="7"/>
  <c r="U511" i="7"/>
  <c r="T511" i="7"/>
  <c r="Q511" i="7"/>
  <c r="P511" i="7"/>
  <c r="O511" i="7"/>
  <c r="N511" i="7"/>
  <c r="K511" i="7"/>
  <c r="J511" i="7"/>
  <c r="I511" i="7"/>
  <c r="H511" i="7"/>
  <c r="E511" i="7"/>
  <c r="D511" i="7"/>
  <c r="C511" i="7"/>
  <c r="B511" i="7"/>
  <c r="AI510" i="7"/>
  <c r="AH510" i="7"/>
  <c r="AG510" i="7"/>
  <c r="AF510" i="7"/>
  <c r="AC510" i="7"/>
  <c r="AB510" i="7"/>
  <c r="AA510" i="7"/>
  <c r="Z510" i="7"/>
  <c r="W510" i="7"/>
  <c r="V510" i="7"/>
  <c r="U510" i="7"/>
  <c r="T510" i="7"/>
  <c r="Q510" i="7"/>
  <c r="P510" i="7"/>
  <c r="O510" i="7"/>
  <c r="N510" i="7"/>
  <c r="K510" i="7"/>
  <c r="J510" i="7"/>
  <c r="I510" i="7"/>
  <c r="H510" i="7"/>
  <c r="E510" i="7"/>
  <c r="D510" i="7"/>
  <c r="C510" i="7"/>
  <c r="B510" i="7"/>
  <c r="AI509" i="7"/>
  <c r="AH509" i="7"/>
  <c r="AG509" i="7"/>
  <c r="AF509" i="7"/>
  <c r="AC509" i="7"/>
  <c r="AB509" i="7"/>
  <c r="AA509" i="7"/>
  <c r="Z509" i="7"/>
  <c r="W509" i="7"/>
  <c r="V509" i="7"/>
  <c r="U509" i="7"/>
  <c r="T509" i="7"/>
  <c r="Q509" i="7"/>
  <c r="P509" i="7"/>
  <c r="O509" i="7"/>
  <c r="N509" i="7"/>
  <c r="K509" i="7"/>
  <c r="J509" i="7"/>
  <c r="I509" i="7"/>
  <c r="H509" i="7"/>
  <c r="E509" i="7"/>
  <c r="D509" i="7"/>
  <c r="C509" i="7"/>
  <c r="B509" i="7"/>
  <c r="AI508" i="7"/>
  <c r="AH508" i="7"/>
  <c r="AG508" i="7"/>
  <c r="AF508" i="7"/>
  <c r="AC508" i="7"/>
  <c r="AB508" i="7"/>
  <c r="AA508" i="7"/>
  <c r="Z508" i="7"/>
  <c r="W508" i="7"/>
  <c r="V508" i="7"/>
  <c r="U508" i="7"/>
  <c r="T508" i="7"/>
  <c r="Q508" i="7"/>
  <c r="P508" i="7"/>
  <c r="O508" i="7"/>
  <c r="N508" i="7"/>
  <c r="K508" i="7"/>
  <c r="J508" i="7"/>
  <c r="I508" i="7"/>
  <c r="H508" i="7"/>
  <c r="E508" i="7"/>
  <c r="D508" i="7"/>
  <c r="C508" i="7"/>
  <c r="B508" i="7"/>
  <c r="AI507" i="7"/>
  <c r="AH507" i="7"/>
  <c r="AG507" i="7"/>
  <c r="AF507" i="7"/>
  <c r="AC507" i="7"/>
  <c r="AB507" i="7"/>
  <c r="AA507" i="7"/>
  <c r="Z507" i="7"/>
  <c r="W507" i="7"/>
  <c r="V507" i="7"/>
  <c r="U507" i="7"/>
  <c r="T507" i="7"/>
  <c r="Q507" i="7"/>
  <c r="P507" i="7"/>
  <c r="O507" i="7"/>
  <c r="N507" i="7"/>
  <c r="K507" i="7"/>
  <c r="J507" i="7"/>
  <c r="I507" i="7"/>
  <c r="H507" i="7"/>
  <c r="E507" i="7"/>
  <c r="D507" i="7"/>
  <c r="C507" i="7"/>
  <c r="B507" i="7"/>
  <c r="AI506" i="7"/>
  <c r="AH506" i="7"/>
  <c r="AG506" i="7"/>
  <c r="AF506" i="7"/>
  <c r="AC506" i="7"/>
  <c r="AB506" i="7"/>
  <c r="AA506" i="7"/>
  <c r="Z506" i="7"/>
  <c r="W506" i="7"/>
  <c r="V506" i="7"/>
  <c r="U506" i="7"/>
  <c r="T506" i="7"/>
  <c r="Q506" i="7"/>
  <c r="P506" i="7"/>
  <c r="O506" i="7"/>
  <c r="N506" i="7"/>
  <c r="K506" i="7"/>
  <c r="J506" i="7"/>
  <c r="I506" i="7"/>
  <c r="H506" i="7"/>
  <c r="E506" i="7"/>
  <c r="D506" i="7"/>
  <c r="C506" i="7"/>
  <c r="B506" i="7"/>
  <c r="AI505" i="7"/>
  <c r="AH505" i="7"/>
  <c r="AG505" i="7"/>
  <c r="AF505" i="7"/>
  <c r="AC505" i="7"/>
  <c r="AB505" i="7"/>
  <c r="AA505" i="7"/>
  <c r="Z505" i="7"/>
  <c r="W505" i="7"/>
  <c r="V505" i="7"/>
  <c r="U505" i="7"/>
  <c r="T505" i="7"/>
  <c r="Q505" i="7"/>
  <c r="P505" i="7"/>
  <c r="O505" i="7"/>
  <c r="N505" i="7"/>
  <c r="K505" i="7"/>
  <c r="J505" i="7"/>
  <c r="I505" i="7"/>
  <c r="H505" i="7"/>
  <c r="E505" i="7"/>
  <c r="D505" i="7"/>
  <c r="C505" i="7"/>
  <c r="B505" i="7"/>
  <c r="AI504" i="7"/>
  <c r="AH504" i="7"/>
  <c r="AG504" i="7"/>
  <c r="AF504" i="7"/>
  <c r="AC504" i="7"/>
  <c r="AB504" i="7"/>
  <c r="AA504" i="7"/>
  <c r="Z504" i="7"/>
  <c r="W504" i="7"/>
  <c r="V504" i="7"/>
  <c r="U504" i="7"/>
  <c r="T504" i="7"/>
  <c r="Q504" i="7"/>
  <c r="P504" i="7"/>
  <c r="O504" i="7"/>
  <c r="N504" i="7"/>
  <c r="K504" i="7"/>
  <c r="J504" i="7"/>
  <c r="I504" i="7"/>
  <c r="H504" i="7"/>
  <c r="E504" i="7"/>
  <c r="D504" i="7"/>
  <c r="C504" i="7"/>
  <c r="B504" i="7"/>
  <c r="AI503" i="7"/>
  <c r="AH503" i="7"/>
  <c r="AG503" i="7"/>
  <c r="AF503" i="7"/>
  <c r="AC503" i="7"/>
  <c r="AB503" i="7"/>
  <c r="AA503" i="7"/>
  <c r="Z503" i="7"/>
  <c r="W503" i="7"/>
  <c r="V503" i="7"/>
  <c r="U503" i="7"/>
  <c r="T503" i="7"/>
  <c r="Q503" i="7"/>
  <c r="P503" i="7"/>
  <c r="O503" i="7"/>
  <c r="N503" i="7"/>
  <c r="K503" i="7"/>
  <c r="J503" i="7"/>
  <c r="I503" i="7"/>
  <c r="H503" i="7"/>
  <c r="E503" i="7"/>
  <c r="D503" i="7"/>
  <c r="C503" i="7"/>
  <c r="B503" i="7"/>
  <c r="AI502" i="7"/>
  <c r="AH502" i="7"/>
  <c r="AG502" i="7"/>
  <c r="AF502" i="7"/>
  <c r="AC502" i="7"/>
  <c r="AB502" i="7"/>
  <c r="AA502" i="7"/>
  <c r="Z502" i="7"/>
  <c r="W502" i="7"/>
  <c r="V502" i="7"/>
  <c r="U502" i="7"/>
  <c r="T502" i="7"/>
  <c r="Q502" i="7"/>
  <c r="P502" i="7"/>
  <c r="O502" i="7"/>
  <c r="N502" i="7"/>
  <c r="K502" i="7"/>
  <c r="J502" i="7"/>
  <c r="I502" i="7"/>
  <c r="H502" i="7"/>
  <c r="E502" i="7"/>
  <c r="D502" i="7"/>
  <c r="C502" i="7"/>
  <c r="B502" i="7"/>
  <c r="AI501" i="7"/>
  <c r="AH501" i="7"/>
  <c r="AG501" i="7"/>
  <c r="AF501" i="7"/>
  <c r="AC501" i="7"/>
  <c r="AB501" i="7"/>
  <c r="AA501" i="7"/>
  <c r="Z501" i="7"/>
  <c r="W501" i="7"/>
  <c r="V501" i="7"/>
  <c r="U501" i="7"/>
  <c r="T501" i="7"/>
  <c r="Q501" i="7"/>
  <c r="P501" i="7"/>
  <c r="O501" i="7"/>
  <c r="N501" i="7"/>
  <c r="K501" i="7"/>
  <c r="J501" i="7"/>
  <c r="I501" i="7"/>
  <c r="H501" i="7"/>
  <c r="E501" i="7"/>
  <c r="D501" i="7"/>
  <c r="C501" i="7"/>
  <c r="B501" i="7"/>
  <c r="AI500" i="7"/>
  <c r="AH500" i="7"/>
  <c r="AG500" i="7"/>
  <c r="AF500" i="7"/>
  <c r="AC500" i="7"/>
  <c r="AB500" i="7"/>
  <c r="AA500" i="7"/>
  <c r="Z500" i="7"/>
  <c r="W500" i="7"/>
  <c r="V500" i="7"/>
  <c r="U500" i="7"/>
  <c r="T500" i="7"/>
  <c r="Q500" i="7"/>
  <c r="P500" i="7"/>
  <c r="O500" i="7"/>
  <c r="N500" i="7"/>
  <c r="K500" i="7"/>
  <c r="J500" i="7"/>
  <c r="I500" i="7"/>
  <c r="H500" i="7"/>
  <c r="E500" i="7"/>
  <c r="D500" i="7"/>
  <c r="C500" i="7"/>
  <c r="B500" i="7"/>
  <c r="AI499" i="7"/>
  <c r="AH499" i="7"/>
  <c r="AG499" i="7"/>
  <c r="AF499" i="7"/>
  <c r="AC499" i="7"/>
  <c r="AB499" i="7"/>
  <c r="AA499" i="7"/>
  <c r="Z499" i="7"/>
  <c r="W499" i="7"/>
  <c r="V499" i="7"/>
  <c r="U499" i="7"/>
  <c r="T499" i="7"/>
  <c r="Q499" i="7"/>
  <c r="P499" i="7"/>
  <c r="O499" i="7"/>
  <c r="N499" i="7"/>
  <c r="K499" i="7"/>
  <c r="J499" i="7"/>
  <c r="I499" i="7"/>
  <c r="H499" i="7"/>
  <c r="E499" i="7"/>
  <c r="D499" i="7"/>
  <c r="C499" i="7"/>
  <c r="B499" i="7"/>
  <c r="AI498" i="7"/>
  <c r="AH498" i="7"/>
  <c r="AG498" i="7"/>
  <c r="AF498" i="7"/>
  <c r="AC498" i="7"/>
  <c r="AB498" i="7"/>
  <c r="AA498" i="7"/>
  <c r="Z498" i="7"/>
  <c r="W498" i="7"/>
  <c r="V498" i="7"/>
  <c r="U498" i="7"/>
  <c r="T498" i="7"/>
  <c r="Q498" i="7"/>
  <c r="P498" i="7"/>
  <c r="O498" i="7"/>
  <c r="N498" i="7"/>
  <c r="K498" i="7"/>
  <c r="J498" i="7"/>
  <c r="I498" i="7"/>
  <c r="H498" i="7"/>
  <c r="E498" i="7"/>
  <c r="D498" i="7"/>
  <c r="C498" i="7"/>
  <c r="B498" i="7"/>
  <c r="AI497" i="7"/>
  <c r="AH497" i="7"/>
  <c r="AG497" i="7"/>
  <c r="AF497" i="7"/>
  <c r="AC497" i="7"/>
  <c r="AB497" i="7"/>
  <c r="AA497" i="7"/>
  <c r="Z497" i="7"/>
  <c r="W497" i="7"/>
  <c r="V497" i="7"/>
  <c r="U497" i="7"/>
  <c r="T497" i="7"/>
  <c r="Q497" i="7"/>
  <c r="P497" i="7"/>
  <c r="O497" i="7"/>
  <c r="N497" i="7"/>
  <c r="K497" i="7"/>
  <c r="J497" i="7"/>
  <c r="I497" i="7"/>
  <c r="H497" i="7"/>
  <c r="E497" i="7"/>
  <c r="D497" i="7"/>
  <c r="C497" i="7"/>
  <c r="B497" i="7"/>
  <c r="AI496" i="7"/>
  <c r="AH496" i="7"/>
  <c r="AG496" i="7"/>
  <c r="AF496" i="7"/>
  <c r="AC496" i="7"/>
  <c r="AB496" i="7"/>
  <c r="AA496" i="7"/>
  <c r="Z496" i="7"/>
  <c r="W496" i="7"/>
  <c r="V496" i="7"/>
  <c r="U496" i="7"/>
  <c r="T496" i="7"/>
  <c r="Q496" i="7"/>
  <c r="P496" i="7"/>
  <c r="O496" i="7"/>
  <c r="N496" i="7"/>
  <c r="K496" i="7"/>
  <c r="J496" i="7"/>
  <c r="I496" i="7"/>
  <c r="H496" i="7"/>
  <c r="E496" i="7"/>
  <c r="D496" i="7"/>
  <c r="C496" i="7"/>
  <c r="B496" i="7"/>
  <c r="AI495" i="7"/>
  <c r="AH495" i="7"/>
  <c r="AG495" i="7"/>
  <c r="AF495" i="7"/>
  <c r="AC495" i="7"/>
  <c r="AB495" i="7"/>
  <c r="AA495" i="7"/>
  <c r="Z495" i="7"/>
  <c r="W495" i="7"/>
  <c r="V495" i="7"/>
  <c r="U495" i="7"/>
  <c r="T495" i="7"/>
  <c r="Q495" i="7"/>
  <c r="P495" i="7"/>
  <c r="O495" i="7"/>
  <c r="N495" i="7"/>
  <c r="K495" i="7"/>
  <c r="J495" i="7"/>
  <c r="I495" i="7"/>
  <c r="H495" i="7"/>
  <c r="E495" i="7"/>
  <c r="D495" i="7"/>
  <c r="C495" i="7"/>
  <c r="B495" i="7"/>
  <c r="AI494" i="7"/>
  <c r="AH494" i="7"/>
  <c r="AG494" i="7"/>
  <c r="AF494" i="7"/>
  <c r="AC494" i="7"/>
  <c r="AB494" i="7"/>
  <c r="AA494" i="7"/>
  <c r="Z494" i="7"/>
  <c r="W494" i="7"/>
  <c r="V494" i="7"/>
  <c r="U494" i="7"/>
  <c r="T494" i="7"/>
  <c r="Q494" i="7"/>
  <c r="P494" i="7"/>
  <c r="O494" i="7"/>
  <c r="N494" i="7"/>
  <c r="K494" i="7"/>
  <c r="J494" i="7"/>
  <c r="I494" i="7"/>
  <c r="H494" i="7"/>
  <c r="E494" i="7"/>
  <c r="D494" i="7"/>
  <c r="C494" i="7"/>
  <c r="B494" i="7"/>
  <c r="AI493" i="7"/>
  <c r="AH493" i="7"/>
  <c r="AG493" i="7"/>
  <c r="AF493" i="7"/>
  <c r="AC493" i="7"/>
  <c r="AB493" i="7"/>
  <c r="AA493" i="7"/>
  <c r="Z493" i="7"/>
  <c r="W493" i="7"/>
  <c r="V493" i="7"/>
  <c r="U493" i="7"/>
  <c r="T493" i="7"/>
  <c r="Q493" i="7"/>
  <c r="P493" i="7"/>
  <c r="O493" i="7"/>
  <c r="N493" i="7"/>
  <c r="K493" i="7"/>
  <c r="J493" i="7"/>
  <c r="I493" i="7"/>
  <c r="H493" i="7"/>
  <c r="E493" i="7"/>
  <c r="D493" i="7"/>
  <c r="C493" i="7"/>
  <c r="B493" i="7"/>
  <c r="AI492" i="7"/>
  <c r="AH492" i="7"/>
  <c r="AG492" i="7"/>
  <c r="AF492" i="7"/>
  <c r="AC492" i="7"/>
  <c r="AB492" i="7"/>
  <c r="AA492" i="7"/>
  <c r="Z492" i="7"/>
  <c r="W492" i="7"/>
  <c r="V492" i="7"/>
  <c r="U492" i="7"/>
  <c r="T492" i="7"/>
  <c r="Q492" i="7"/>
  <c r="P492" i="7"/>
  <c r="O492" i="7"/>
  <c r="N492" i="7"/>
  <c r="K492" i="7"/>
  <c r="J492" i="7"/>
  <c r="I492" i="7"/>
  <c r="H492" i="7"/>
  <c r="E492" i="7"/>
  <c r="D492" i="7"/>
  <c r="C492" i="7"/>
  <c r="B492" i="7"/>
  <c r="AI491" i="7"/>
  <c r="AH491" i="7"/>
  <c r="AG491" i="7"/>
  <c r="AF491" i="7"/>
  <c r="AC491" i="7"/>
  <c r="AB491" i="7"/>
  <c r="AA491" i="7"/>
  <c r="Z491" i="7"/>
  <c r="W491" i="7"/>
  <c r="V491" i="7"/>
  <c r="U491" i="7"/>
  <c r="T491" i="7"/>
  <c r="Q491" i="7"/>
  <c r="P491" i="7"/>
  <c r="O491" i="7"/>
  <c r="N491" i="7"/>
  <c r="K491" i="7"/>
  <c r="J491" i="7"/>
  <c r="I491" i="7"/>
  <c r="H491" i="7"/>
  <c r="E491" i="7"/>
  <c r="D491" i="7"/>
  <c r="C491" i="7"/>
  <c r="B491" i="7"/>
  <c r="AI490" i="7"/>
  <c r="AH490" i="7"/>
  <c r="AG490" i="7"/>
  <c r="AF490" i="7"/>
  <c r="AC490" i="7"/>
  <c r="AB490" i="7"/>
  <c r="AA490" i="7"/>
  <c r="Z490" i="7"/>
  <c r="W490" i="7"/>
  <c r="V490" i="7"/>
  <c r="U490" i="7"/>
  <c r="T490" i="7"/>
  <c r="Q490" i="7"/>
  <c r="P490" i="7"/>
  <c r="O490" i="7"/>
  <c r="N490" i="7"/>
  <c r="K490" i="7"/>
  <c r="J490" i="7"/>
  <c r="I490" i="7"/>
  <c r="H490" i="7"/>
  <c r="E490" i="7"/>
  <c r="D490" i="7"/>
  <c r="C490" i="7"/>
  <c r="B490" i="7"/>
  <c r="AI489" i="7"/>
  <c r="AH489" i="7"/>
  <c r="AG489" i="7"/>
  <c r="AF489" i="7"/>
  <c r="AC489" i="7"/>
  <c r="AB489" i="7"/>
  <c r="AA489" i="7"/>
  <c r="Z489" i="7"/>
  <c r="W489" i="7"/>
  <c r="V489" i="7"/>
  <c r="U489" i="7"/>
  <c r="T489" i="7"/>
  <c r="Q489" i="7"/>
  <c r="P489" i="7"/>
  <c r="O489" i="7"/>
  <c r="N489" i="7"/>
  <c r="K489" i="7"/>
  <c r="J489" i="7"/>
  <c r="I489" i="7"/>
  <c r="H489" i="7"/>
  <c r="E489" i="7"/>
  <c r="D489" i="7"/>
  <c r="C489" i="7"/>
  <c r="B489" i="7"/>
  <c r="AI488" i="7"/>
  <c r="AH488" i="7"/>
  <c r="AG488" i="7"/>
  <c r="AF488" i="7"/>
  <c r="AC488" i="7"/>
  <c r="AB488" i="7"/>
  <c r="AA488" i="7"/>
  <c r="Z488" i="7"/>
  <c r="W488" i="7"/>
  <c r="V488" i="7"/>
  <c r="U488" i="7"/>
  <c r="T488" i="7"/>
  <c r="Q488" i="7"/>
  <c r="P488" i="7"/>
  <c r="O488" i="7"/>
  <c r="N488" i="7"/>
  <c r="K488" i="7"/>
  <c r="J488" i="7"/>
  <c r="I488" i="7"/>
  <c r="H488" i="7"/>
  <c r="E488" i="7"/>
  <c r="D488" i="7"/>
  <c r="C488" i="7"/>
  <c r="B488" i="7"/>
  <c r="AI487" i="7"/>
  <c r="AH487" i="7"/>
  <c r="AG487" i="7"/>
  <c r="AF487" i="7"/>
  <c r="AC487" i="7"/>
  <c r="AB487" i="7"/>
  <c r="AA487" i="7"/>
  <c r="Z487" i="7"/>
  <c r="W487" i="7"/>
  <c r="V487" i="7"/>
  <c r="U487" i="7"/>
  <c r="T487" i="7"/>
  <c r="Q487" i="7"/>
  <c r="P487" i="7"/>
  <c r="O487" i="7"/>
  <c r="N487" i="7"/>
  <c r="K487" i="7"/>
  <c r="J487" i="7"/>
  <c r="I487" i="7"/>
  <c r="H487" i="7"/>
  <c r="E487" i="7"/>
  <c r="D487" i="7"/>
  <c r="C487" i="7"/>
  <c r="B487" i="7"/>
  <c r="AI486" i="7"/>
  <c r="AH486" i="7"/>
  <c r="AG486" i="7"/>
  <c r="AF486" i="7"/>
  <c r="AC486" i="7"/>
  <c r="AB486" i="7"/>
  <c r="AA486" i="7"/>
  <c r="Z486" i="7"/>
  <c r="W486" i="7"/>
  <c r="V486" i="7"/>
  <c r="U486" i="7"/>
  <c r="T486" i="7"/>
  <c r="Q486" i="7"/>
  <c r="P486" i="7"/>
  <c r="O486" i="7"/>
  <c r="N486" i="7"/>
  <c r="K486" i="7"/>
  <c r="J486" i="7"/>
  <c r="I486" i="7"/>
  <c r="H486" i="7"/>
  <c r="E486" i="7"/>
  <c r="D486" i="7"/>
  <c r="C486" i="7"/>
  <c r="B486" i="7"/>
  <c r="AI485" i="7"/>
  <c r="AH485" i="7"/>
  <c r="AG485" i="7"/>
  <c r="AF485" i="7"/>
  <c r="AC485" i="7"/>
  <c r="AB485" i="7"/>
  <c r="AA485" i="7"/>
  <c r="Z485" i="7"/>
  <c r="W485" i="7"/>
  <c r="V485" i="7"/>
  <c r="U485" i="7"/>
  <c r="T485" i="7"/>
  <c r="Q485" i="7"/>
  <c r="P485" i="7"/>
  <c r="O485" i="7"/>
  <c r="N485" i="7"/>
  <c r="K485" i="7"/>
  <c r="J485" i="7"/>
  <c r="I485" i="7"/>
  <c r="H485" i="7"/>
  <c r="E485" i="7"/>
  <c r="D485" i="7"/>
  <c r="C485" i="7"/>
  <c r="B485" i="7"/>
  <c r="AI484" i="7"/>
  <c r="AH484" i="7"/>
  <c r="AG484" i="7"/>
  <c r="AF484" i="7"/>
  <c r="AC484" i="7"/>
  <c r="AB484" i="7"/>
  <c r="AA484" i="7"/>
  <c r="Z484" i="7"/>
  <c r="W484" i="7"/>
  <c r="V484" i="7"/>
  <c r="U484" i="7"/>
  <c r="T484" i="7"/>
  <c r="Q484" i="7"/>
  <c r="P484" i="7"/>
  <c r="O484" i="7"/>
  <c r="N484" i="7"/>
  <c r="K484" i="7"/>
  <c r="J484" i="7"/>
  <c r="I484" i="7"/>
  <c r="H484" i="7"/>
  <c r="E484" i="7"/>
  <c r="D484" i="7"/>
  <c r="C484" i="7"/>
  <c r="B484" i="7"/>
  <c r="AI483" i="7"/>
  <c r="AH483" i="7"/>
  <c r="AG483" i="7"/>
  <c r="AF483" i="7"/>
  <c r="AC483" i="7"/>
  <c r="AB483" i="7"/>
  <c r="AA483" i="7"/>
  <c r="Z483" i="7"/>
  <c r="W483" i="7"/>
  <c r="V483" i="7"/>
  <c r="U483" i="7"/>
  <c r="T483" i="7"/>
  <c r="Q483" i="7"/>
  <c r="P483" i="7"/>
  <c r="O483" i="7"/>
  <c r="N483" i="7"/>
  <c r="K483" i="7"/>
  <c r="J483" i="7"/>
  <c r="I483" i="7"/>
  <c r="H483" i="7"/>
  <c r="E483" i="7"/>
  <c r="D483" i="7"/>
  <c r="C483" i="7"/>
  <c r="B483" i="7"/>
  <c r="AI482" i="7"/>
  <c r="AH482" i="7"/>
  <c r="AG482" i="7"/>
  <c r="AF482" i="7"/>
  <c r="AC482" i="7"/>
  <c r="AB482" i="7"/>
  <c r="AA482" i="7"/>
  <c r="Z482" i="7"/>
  <c r="W482" i="7"/>
  <c r="V482" i="7"/>
  <c r="U482" i="7"/>
  <c r="T482" i="7"/>
  <c r="Q482" i="7"/>
  <c r="P482" i="7"/>
  <c r="O482" i="7"/>
  <c r="N482" i="7"/>
  <c r="K482" i="7"/>
  <c r="J482" i="7"/>
  <c r="I482" i="7"/>
  <c r="H482" i="7"/>
  <c r="E482" i="7"/>
  <c r="D482" i="7"/>
  <c r="C482" i="7"/>
  <c r="B482" i="7"/>
  <c r="AI481" i="7"/>
  <c r="AH481" i="7"/>
  <c r="AG481" i="7"/>
  <c r="AF481" i="7"/>
  <c r="AC481" i="7"/>
  <c r="AB481" i="7"/>
  <c r="AA481" i="7"/>
  <c r="Z481" i="7"/>
  <c r="W481" i="7"/>
  <c r="V481" i="7"/>
  <c r="U481" i="7"/>
  <c r="T481" i="7"/>
  <c r="Q481" i="7"/>
  <c r="P481" i="7"/>
  <c r="O481" i="7"/>
  <c r="N481" i="7"/>
  <c r="K481" i="7"/>
  <c r="J481" i="7"/>
  <c r="I481" i="7"/>
  <c r="H481" i="7"/>
  <c r="E481" i="7"/>
  <c r="D481" i="7"/>
  <c r="C481" i="7"/>
  <c r="B481" i="7"/>
  <c r="AI480" i="7"/>
  <c r="AH480" i="7"/>
  <c r="AG480" i="7"/>
  <c r="AF480" i="7"/>
  <c r="AC480" i="7"/>
  <c r="AB480" i="7"/>
  <c r="AA480" i="7"/>
  <c r="Z480" i="7"/>
  <c r="W480" i="7"/>
  <c r="V480" i="7"/>
  <c r="U480" i="7"/>
  <c r="T480" i="7"/>
  <c r="Q480" i="7"/>
  <c r="P480" i="7"/>
  <c r="O480" i="7"/>
  <c r="N480" i="7"/>
  <c r="K480" i="7"/>
  <c r="J480" i="7"/>
  <c r="I480" i="7"/>
  <c r="H480" i="7"/>
  <c r="E480" i="7"/>
  <c r="D480" i="7"/>
  <c r="C480" i="7"/>
  <c r="B480" i="7"/>
  <c r="AI479" i="7"/>
  <c r="AH479" i="7"/>
  <c r="AG479" i="7"/>
  <c r="AF479" i="7"/>
  <c r="AC479" i="7"/>
  <c r="AB479" i="7"/>
  <c r="AA479" i="7"/>
  <c r="Z479" i="7"/>
  <c r="W479" i="7"/>
  <c r="V479" i="7"/>
  <c r="U479" i="7"/>
  <c r="T479" i="7"/>
  <c r="Q479" i="7"/>
  <c r="P479" i="7"/>
  <c r="O479" i="7"/>
  <c r="N479" i="7"/>
  <c r="K479" i="7"/>
  <c r="J479" i="7"/>
  <c r="I479" i="7"/>
  <c r="H479" i="7"/>
  <c r="E479" i="7"/>
  <c r="D479" i="7"/>
  <c r="C479" i="7"/>
  <c r="B479" i="7"/>
  <c r="AI478" i="7"/>
  <c r="AH478" i="7"/>
  <c r="AG478" i="7"/>
  <c r="AF478" i="7"/>
  <c r="AC478" i="7"/>
  <c r="AB478" i="7"/>
  <c r="AA478" i="7"/>
  <c r="Z478" i="7"/>
  <c r="W478" i="7"/>
  <c r="V478" i="7"/>
  <c r="U478" i="7"/>
  <c r="T478" i="7"/>
  <c r="Q478" i="7"/>
  <c r="P478" i="7"/>
  <c r="O478" i="7"/>
  <c r="N478" i="7"/>
  <c r="K478" i="7"/>
  <c r="J478" i="7"/>
  <c r="I478" i="7"/>
  <c r="H478" i="7"/>
  <c r="E478" i="7"/>
  <c r="D478" i="7"/>
  <c r="C478" i="7"/>
  <c r="B478" i="7"/>
  <c r="AI477" i="7"/>
  <c r="AH477" i="7"/>
  <c r="AG477" i="7"/>
  <c r="AF477" i="7"/>
  <c r="AC477" i="7"/>
  <c r="AB477" i="7"/>
  <c r="AA477" i="7"/>
  <c r="Z477" i="7"/>
  <c r="W477" i="7"/>
  <c r="V477" i="7"/>
  <c r="U477" i="7"/>
  <c r="T477" i="7"/>
  <c r="Q477" i="7"/>
  <c r="P477" i="7"/>
  <c r="O477" i="7"/>
  <c r="N477" i="7"/>
  <c r="K477" i="7"/>
  <c r="J477" i="7"/>
  <c r="I477" i="7"/>
  <c r="H477" i="7"/>
  <c r="E477" i="7"/>
  <c r="D477" i="7"/>
  <c r="C477" i="7"/>
  <c r="B477" i="7"/>
  <c r="AI476" i="7"/>
  <c r="AH476" i="7"/>
  <c r="AG476" i="7"/>
  <c r="AF476" i="7"/>
  <c r="AC476" i="7"/>
  <c r="AB476" i="7"/>
  <c r="AA476" i="7"/>
  <c r="Z476" i="7"/>
  <c r="W476" i="7"/>
  <c r="V476" i="7"/>
  <c r="U476" i="7"/>
  <c r="T476" i="7"/>
  <c r="Q476" i="7"/>
  <c r="P476" i="7"/>
  <c r="O476" i="7"/>
  <c r="N476" i="7"/>
  <c r="K476" i="7"/>
  <c r="J476" i="7"/>
  <c r="I476" i="7"/>
  <c r="H476" i="7"/>
  <c r="E476" i="7"/>
  <c r="D476" i="7"/>
  <c r="C476" i="7"/>
  <c r="B476" i="7"/>
  <c r="AI475" i="7"/>
  <c r="AH475" i="7"/>
  <c r="AG475" i="7"/>
  <c r="AF475" i="7"/>
  <c r="AC475" i="7"/>
  <c r="AB475" i="7"/>
  <c r="AA475" i="7"/>
  <c r="Z475" i="7"/>
  <c r="W475" i="7"/>
  <c r="V475" i="7"/>
  <c r="U475" i="7"/>
  <c r="T475" i="7"/>
  <c r="Q475" i="7"/>
  <c r="P475" i="7"/>
  <c r="O475" i="7"/>
  <c r="N475" i="7"/>
  <c r="K475" i="7"/>
  <c r="J475" i="7"/>
  <c r="I475" i="7"/>
  <c r="H475" i="7"/>
  <c r="E475" i="7"/>
  <c r="D475" i="7"/>
  <c r="C475" i="7"/>
  <c r="B475" i="7"/>
  <c r="AI474" i="7"/>
  <c r="AH474" i="7"/>
  <c r="AG474" i="7"/>
  <c r="AF474" i="7"/>
  <c r="AC474" i="7"/>
  <c r="AB474" i="7"/>
  <c r="AA474" i="7"/>
  <c r="Z474" i="7"/>
  <c r="W474" i="7"/>
  <c r="V474" i="7"/>
  <c r="U474" i="7"/>
  <c r="T474" i="7"/>
  <c r="Q474" i="7"/>
  <c r="P474" i="7"/>
  <c r="O474" i="7"/>
  <c r="N474" i="7"/>
  <c r="K474" i="7"/>
  <c r="J474" i="7"/>
  <c r="I474" i="7"/>
  <c r="H474" i="7"/>
  <c r="E474" i="7"/>
  <c r="D474" i="7"/>
  <c r="C474" i="7"/>
  <c r="B474" i="7"/>
  <c r="AI473" i="7"/>
  <c r="AH473" i="7"/>
  <c r="AG473" i="7"/>
  <c r="AF473" i="7"/>
  <c r="AC473" i="7"/>
  <c r="AB473" i="7"/>
  <c r="AA473" i="7"/>
  <c r="Z473" i="7"/>
  <c r="W473" i="7"/>
  <c r="V473" i="7"/>
  <c r="U473" i="7"/>
  <c r="T473" i="7"/>
  <c r="Q473" i="7"/>
  <c r="P473" i="7"/>
  <c r="O473" i="7"/>
  <c r="N473" i="7"/>
  <c r="K473" i="7"/>
  <c r="J473" i="7"/>
  <c r="I473" i="7"/>
  <c r="H473" i="7"/>
  <c r="E473" i="7"/>
  <c r="D473" i="7"/>
  <c r="C473" i="7"/>
  <c r="B473" i="7"/>
  <c r="AI472" i="7"/>
  <c r="AH472" i="7"/>
  <c r="AG472" i="7"/>
  <c r="AF472" i="7"/>
  <c r="AC472" i="7"/>
  <c r="AB472" i="7"/>
  <c r="AA472" i="7"/>
  <c r="Z472" i="7"/>
  <c r="W472" i="7"/>
  <c r="V472" i="7"/>
  <c r="U472" i="7"/>
  <c r="T472" i="7"/>
  <c r="Q472" i="7"/>
  <c r="P472" i="7"/>
  <c r="O472" i="7"/>
  <c r="N472" i="7"/>
  <c r="K472" i="7"/>
  <c r="J472" i="7"/>
  <c r="I472" i="7"/>
  <c r="H472" i="7"/>
  <c r="E472" i="7"/>
  <c r="D472" i="7"/>
  <c r="C472" i="7"/>
  <c r="B472" i="7"/>
  <c r="AI471" i="7"/>
  <c r="AH471" i="7"/>
  <c r="AG471" i="7"/>
  <c r="AF471" i="7"/>
  <c r="AC471" i="7"/>
  <c r="AB471" i="7"/>
  <c r="AA471" i="7"/>
  <c r="Z471" i="7"/>
  <c r="W471" i="7"/>
  <c r="V471" i="7"/>
  <c r="U471" i="7"/>
  <c r="T471" i="7"/>
  <c r="Q471" i="7"/>
  <c r="P471" i="7"/>
  <c r="O471" i="7"/>
  <c r="N471" i="7"/>
  <c r="K471" i="7"/>
  <c r="J471" i="7"/>
  <c r="I471" i="7"/>
  <c r="H471" i="7"/>
  <c r="E471" i="7"/>
  <c r="D471" i="7"/>
  <c r="C471" i="7"/>
  <c r="B471" i="7"/>
  <c r="AI470" i="7"/>
  <c r="AH470" i="7"/>
  <c r="AG470" i="7"/>
  <c r="AF470" i="7"/>
  <c r="AC470" i="7"/>
  <c r="AB470" i="7"/>
  <c r="AA470" i="7"/>
  <c r="Z470" i="7"/>
  <c r="W470" i="7"/>
  <c r="V470" i="7"/>
  <c r="U470" i="7"/>
  <c r="T470" i="7"/>
  <c r="Q470" i="7"/>
  <c r="P470" i="7"/>
  <c r="O470" i="7"/>
  <c r="N470" i="7"/>
  <c r="K470" i="7"/>
  <c r="J470" i="7"/>
  <c r="I470" i="7"/>
  <c r="H470" i="7"/>
  <c r="E470" i="7"/>
  <c r="D470" i="7"/>
  <c r="C470" i="7"/>
  <c r="B470" i="7"/>
  <c r="AI469" i="7"/>
  <c r="AH469" i="7"/>
  <c r="AG469" i="7"/>
  <c r="AF469" i="7"/>
  <c r="AC469" i="7"/>
  <c r="AB469" i="7"/>
  <c r="AA469" i="7"/>
  <c r="Z469" i="7"/>
  <c r="W469" i="7"/>
  <c r="V469" i="7"/>
  <c r="U469" i="7"/>
  <c r="T469" i="7"/>
  <c r="Q469" i="7"/>
  <c r="P469" i="7"/>
  <c r="O469" i="7"/>
  <c r="N469" i="7"/>
  <c r="K469" i="7"/>
  <c r="J469" i="7"/>
  <c r="I469" i="7"/>
  <c r="H469" i="7"/>
  <c r="E469" i="7"/>
  <c r="D469" i="7"/>
  <c r="C469" i="7"/>
  <c r="B469" i="7"/>
  <c r="AI468" i="7"/>
  <c r="AH468" i="7"/>
  <c r="AG468" i="7"/>
  <c r="AF468" i="7"/>
  <c r="AC468" i="7"/>
  <c r="AB468" i="7"/>
  <c r="AA468" i="7"/>
  <c r="Z468" i="7"/>
  <c r="W468" i="7"/>
  <c r="V468" i="7"/>
  <c r="U468" i="7"/>
  <c r="T468" i="7"/>
  <c r="Q468" i="7"/>
  <c r="P468" i="7"/>
  <c r="O468" i="7"/>
  <c r="N468" i="7"/>
  <c r="K468" i="7"/>
  <c r="J468" i="7"/>
  <c r="I468" i="7"/>
  <c r="H468" i="7"/>
  <c r="E468" i="7"/>
  <c r="D468" i="7"/>
  <c r="C468" i="7"/>
  <c r="B468" i="7"/>
  <c r="AI467" i="7"/>
  <c r="AH467" i="7"/>
  <c r="AG467" i="7"/>
  <c r="AF467" i="7"/>
  <c r="AC467" i="7"/>
  <c r="AB467" i="7"/>
  <c r="AA467" i="7"/>
  <c r="Z467" i="7"/>
  <c r="W467" i="7"/>
  <c r="V467" i="7"/>
  <c r="U467" i="7"/>
  <c r="T467" i="7"/>
  <c r="Q467" i="7"/>
  <c r="P467" i="7"/>
  <c r="O467" i="7"/>
  <c r="N467" i="7"/>
  <c r="K467" i="7"/>
  <c r="J467" i="7"/>
  <c r="I467" i="7"/>
  <c r="H467" i="7"/>
  <c r="E467" i="7"/>
  <c r="D467" i="7"/>
  <c r="C467" i="7"/>
  <c r="B467" i="7"/>
  <c r="AI466" i="7"/>
  <c r="AH466" i="7"/>
  <c r="AG466" i="7"/>
  <c r="AF466" i="7"/>
  <c r="AC466" i="7"/>
  <c r="AB466" i="7"/>
  <c r="AA466" i="7"/>
  <c r="Z466" i="7"/>
  <c r="W466" i="7"/>
  <c r="V466" i="7"/>
  <c r="U466" i="7"/>
  <c r="T466" i="7"/>
  <c r="Q466" i="7"/>
  <c r="P466" i="7"/>
  <c r="O466" i="7"/>
  <c r="N466" i="7"/>
  <c r="K466" i="7"/>
  <c r="J466" i="7"/>
  <c r="I466" i="7"/>
  <c r="H466" i="7"/>
  <c r="E466" i="7"/>
  <c r="D466" i="7"/>
  <c r="C466" i="7"/>
  <c r="B466" i="7"/>
  <c r="AI465" i="7"/>
  <c r="AH465" i="7"/>
  <c r="AG465" i="7"/>
  <c r="AF465" i="7"/>
  <c r="AC465" i="7"/>
  <c r="AB465" i="7"/>
  <c r="AA465" i="7"/>
  <c r="Z465" i="7"/>
  <c r="W465" i="7"/>
  <c r="V465" i="7"/>
  <c r="U465" i="7"/>
  <c r="T465" i="7"/>
  <c r="Q465" i="7"/>
  <c r="P465" i="7"/>
  <c r="O465" i="7"/>
  <c r="N465" i="7"/>
  <c r="K465" i="7"/>
  <c r="J465" i="7"/>
  <c r="I465" i="7"/>
  <c r="H465" i="7"/>
  <c r="E465" i="7"/>
  <c r="D465" i="7"/>
  <c r="C465" i="7"/>
  <c r="B465" i="7"/>
  <c r="AI464" i="7"/>
  <c r="AH464" i="7"/>
  <c r="AG464" i="7"/>
  <c r="AF464" i="7"/>
  <c r="AC464" i="7"/>
  <c r="AB464" i="7"/>
  <c r="AA464" i="7"/>
  <c r="Z464" i="7"/>
  <c r="W464" i="7"/>
  <c r="V464" i="7"/>
  <c r="U464" i="7"/>
  <c r="T464" i="7"/>
  <c r="Q464" i="7"/>
  <c r="P464" i="7"/>
  <c r="O464" i="7"/>
  <c r="N464" i="7"/>
  <c r="K464" i="7"/>
  <c r="J464" i="7"/>
  <c r="I464" i="7"/>
  <c r="H464" i="7"/>
  <c r="E464" i="7"/>
  <c r="D464" i="7"/>
  <c r="C464" i="7"/>
  <c r="B464" i="7"/>
  <c r="AI463" i="7"/>
  <c r="AH463" i="7"/>
  <c r="AG463" i="7"/>
  <c r="AF463" i="7"/>
  <c r="AC463" i="7"/>
  <c r="AB463" i="7"/>
  <c r="AA463" i="7"/>
  <c r="Z463" i="7"/>
  <c r="W463" i="7"/>
  <c r="V463" i="7"/>
  <c r="U463" i="7"/>
  <c r="T463" i="7"/>
  <c r="Q463" i="7"/>
  <c r="P463" i="7"/>
  <c r="O463" i="7"/>
  <c r="N463" i="7"/>
  <c r="K463" i="7"/>
  <c r="J463" i="7"/>
  <c r="I463" i="7"/>
  <c r="H463" i="7"/>
  <c r="E463" i="7"/>
  <c r="D463" i="7"/>
  <c r="C463" i="7"/>
  <c r="B463" i="7"/>
  <c r="AI462" i="7"/>
  <c r="AH462" i="7"/>
  <c r="AG462" i="7"/>
  <c r="AF462" i="7"/>
  <c r="AC462" i="7"/>
  <c r="AB462" i="7"/>
  <c r="AA462" i="7"/>
  <c r="Z462" i="7"/>
  <c r="W462" i="7"/>
  <c r="V462" i="7"/>
  <c r="U462" i="7"/>
  <c r="T462" i="7"/>
  <c r="Q462" i="7"/>
  <c r="P462" i="7"/>
  <c r="O462" i="7"/>
  <c r="N462" i="7"/>
  <c r="K462" i="7"/>
  <c r="J462" i="7"/>
  <c r="I462" i="7"/>
  <c r="H462" i="7"/>
  <c r="E462" i="7"/>
  <c r="D462" i="7"/>
  <c r="C462" i="7"/>
  <c r="B462" i="7"/>
  <c r="AI461" i="7"/>
  <c r="AH461" i="7"/>
  <c r="AG461" i="7"/>
  <c r="AF461" i="7"/>
  <c r="AC461" i="7"/>
  <c r="AB461" i="7"/>
  <c r="AA461" i="7"/>
  <c r="Z461" i="7"/>
  <c r="W461" i="7"/>
  <c r="V461" i="7"/>
  <c r="U461" i="7"/>
  <c r="T461" i="7"/>
  <c r="Q461" i="7"/>
  <c r="P461" i="7"/>
  <c r="O461" i="7"/>
  <c r="N461" i="7"/>
  <c r="K461" i="7"/>
  <c r="J461" i="7"/>
  <c r="I461" i="7"/>
  <c r="H461" i="7"/>
  <c r="E461" i="7"/>
  <c r="D461" i="7"/>
  <c r="C461" i="7"/>
  <c r="B461" i="7"/>
  <c r="AI460" i="7"/>
  <c r="AH460" i="7"/>
  <c r="AG460" i="7"/>
  <c r="AF460" i="7"/>
  <c r="AC460" i="7"/>
  <c r="AB460" i="7"/>
  <c r="AA460" i="7"/>
  <c r="Z460" i="7"/>
  <c r="W460" i="7"/>
  <c r="V460" i="7"/>
  <c r="U460" i="7"/>
  <c r="T460" i="7"/>
  <c r="Q460" i="7"/>
  <c r="P460" i="7"/>
  <c r="O460" i="7"/>
  <c r="N460" i="7"/>
  <c r="K460" i="7"/>
  <c r="J460" i="7"/>
  <c r="I460" i="7"/>
  <c r="H460" i="7"/>
  <c r="E460" i="7"/>
  <c r="D460" i="7"/>
  <c r="C460" i="7"/>
  <c r="B460" i="7"/>
  <c r="AI459" i="7"/>
  <c r="AH459" i="7"/>
  <c r="AG459" i="7"/>
  <c r="AF459" i="7"/>
  <c r="AC459" i="7"/>
  <c r="AB459" i="7"/>
  <c r="AA459" i="7"/>
  <c r="Z459" i="7"/>
  <c r="W459" i="7"/>
  <c r="V459" i="7"/>
  <c r="U459" i="7"/>
  <c r="T459" i="7"/>
  <c r="Q459" i="7"/>
  <c r="P459" i="7"/>
  <c r="O459" i="7"/>
  <c r="N459" i="7"/>
  <c r="K459" i="7"/>
  <c r="J459" i="7"/>
  <c r="I459" i="7"/>
  <c r="H459" i="7"/>
  <c r="E459" i="7"/>
  <c r="D459" i="7"/>
  <c r="C459" i="7"/>
  <c r="B459" i="7"/>
  <c r="AI458" i="7"/>
  <c r="AH458" i="7"/>
  <c r="AG458" i="7"/>
  <c r="AF458" i="7"/>
  <c r="AC458" i="7"/>
  <c r="AB458" i="7"/>
  <c r="AA458" i="7"/>
  <c r="Z458" i="7"/>
  <c r="W458" i="7"/>
  <c r="V458" i="7"/>
  <c r="U458" i="7"/>
  <c r="T458" i="7"/>
  <c r="Q458" i="7"/>
  <c r="P458" i="7"/>
  <c r="O458" i="7"/>
  <c r="N458" i="7"/>
  <c r="K458" i="7"/>
  <c r="J458" i="7"/>
  <c r="I458" i="7"/>
  <c r="H458" i="7"/>
  <c r="E458" i="7"/>
  <c r="D458" i="7"/>
  <c r="C458" i="7"/>
  <c r="B458" i="7"/>
  <c r="AI457" i="7"/>
  <c r="AH457" i="7"/>
  <c r="AG457" i="7"/>
  <c r="AF457" i="7"/>
  <c r="AC457" i="7"/>
  <c r="AB457" i="7"/>
  <c r="AA457" i="7"/>
  <c r="Z457" i="7"/>
  <c r="W457" i="7"/>
  <c r="V457" i="7"/>
  <c r="U457" i="7"/>
  <c r="T457" i="7"/>
  <c r="Q457" i="7"/>
  <c r="P457" i="7"/>
  <c r="O457" i="7"/>
  <c r="N457" i="7"/>
  <c r="K457" i="7"/>
  <c r="J457" i="7"/>
  <c r="I457" i="7"/>
  <c r="H457" i="7"/>
  <c r="E457" i="7"/>
  <c r="D457" i="7"/>
  <c r="C457" i="7"/>
  <c r="B457" i="7"/>
  <c r="AI456" i="7"/>
  <c r="AH456" i="7"/>
  <c r="AG456" i="7"/>
  <c r="AF456" i="7"/>
  <c r="AC456" i="7"/>
  <c r="AB456" i="7"/>
  <c r="AA456" i="7"/>
  <c r="Z456" i="7"/>
  <c r="W456" i="7"/>
  <c r="V456" i="7"/>
  <c r="U456" i="7"/>
  <c r="T456" i="7"/>
  <c r="Q456" i="7"/>
  <c r="P456" i="7"/>
  <c r="O456" i="7"/>
  <c r="N456" i="7"/>
  <c r="K456" i="7"/>
  <c r="J456" i="7"/>
  <c r="I456" i="7"/>
  <c r="H456" i="7"/>
  <c r="E456" i="7"/>
  <c r="D456" i="7"/>
  <c r="C456" i="7"/>
  <c r="B456" i="7"/>
  <c r="AI455" i="7"/>
  <c r="AH455" i="7"/>
  <c r="AG455" i="7"/>
  <c r="AF455" i="7"/>
  <c r="AC455" i="7"/>
  <c r="AB455" i="7"/>
  <c r="AA455" i="7"/>
  <c r="Z455" i="7"/>
  <c r="W455" i="7"/>
  <c r="V455" i="7"/>
  <c r="U455" i="7"/>
  <c r="T455" i="7"/>
  <c r="Q455" i="7"/>
  <c r="P455" i="7"/>
  <c r="O455" i="7"/>
  <c r="N455" i="7"/>
  <c r="K455" i="7"/>
  <c r="J455" i="7"/>
  <c r="I455" i="7"/>
  <c r="H455" i="7"/>
  <c r="E455" i="7"/>
  <c r="D455" i="7"/>
  <c r="C455" i="7"/>
  <c r="B455" i="7"/>
  <c r="AI454" i="7"/>
  <c r="AH454" i="7"/>
  <c r="AG454" i="7"/>
  <c r="AF454" i="7"/>
  <c r="AC454" i="7"/>
  <c r="AB454" i="7"/>
  <c r="AA454" i="7"/>
  <c r="Z454" i="7"/>
  <c r="W454" i="7"/>
  <c r="V454" i="7"/>
  <c r="U454" i="7"/>
  <c r="T454" i="7"/>
  <c r="Q454" i="7"/>
  <c r="P454" i="7"/>
  <c r="O454" i="7"/>
  <c r="N454" i="7"/>
  <c r="K454" i="7"/>
  <c r="J454" i="7"/>
  <c r="I454" i="7"/>
  <c r="H454" i="7"/>
  <c r="E454" i="7"/>
  <c r="D454" i="7"/>
  <c r="C454" i="7"/>
  <c r="B454" i="7"/>
  <c r="AI453" i="7"/>
  <c r="AH453" i="7"/>
  <c r="AG453" i="7"/>
  <c r="AF453" i="7"/>
  <c r="AC453" i="7"/>
  <c r="AB453" i="7"/>
  <c r="AA453" i="7"/>
  <c r="Z453" i="7"/>
  <c r="W453" i="7"/>
  <c r="V453" i="7"/>
  <c r="U453" i="7"/>
  <c r="T453" i="7"/>
  <c r="Q453" i="7"/>
  <c r="P453" i="7"/>
  <c r="O453" i="7"/>
  <c r="N453" i="7"/>
  <c r="K453" i="7"/>
  <c r="J453" i="7"/>
  <c r="I453" i="7"/>
  <c r="H453" i="7"/>
  <c r="E453" i="7"/>
  <c r="D453" i="7"/>
  <c r="C453" i="7"/>
  <c r="B453" i="7"/>
  <c r="AI452" i="7"/>
  <c r="AH452" i="7"/>
  <c r="AG452" i="7"/>
  <c r="AF452" i="7"/>
  <c r="AC452" i="7"/>
  <c r="AB452" i="7"/>
  <c r="AA452" i="7"/>
  <c r="Z452" i="7"/>
  <c r="W452" i="7"/>
  <c r="V452" i="7"/>
  <c r="U452" i="7"/>
  <c r="T452" i="7"/>
  <c r="Q452" i="7"/>
  <c r="P452" i="7"/>
  <c r="O452" i="7"/>
  <c r="N452" i="7"/>
  <c r="K452" i="7"/>
  <c r="J452" i="7"/>
  <c r="I452" i="7"/>
  <c r="H452" i="7"/>
  <c r="E452" i="7"/>
  <c r="D452" i="7"/>
  <c r="C452" i="7"/>
  <c r="B452" i="7"/>
  <c r="AI451" i="7"/>
  <c r="AH451" i="7"/>
  <c r="AG451" i="7"/>
  <c r="AF451" i="7"/>
  <c r="AC451" i="7"/>
  <c r="AB451" i="7"/>
  <c r="AA451" i="7"/>
  <c r="Z451" i="7"/>
  <c r="W451" i="7"/>
  <c r="V451" i="7"/>
  <c r="U451" i="7"/>
  <c r="T451" i="7"/>
  <c r="Q451" i="7"/>
  <c r="P451" i="7"/>
  <c r="O451" i="7"/>
  <c r="N451" i="7"/>
  <c r="K451" i="7"/>
  <c r="J451" i="7"/>
  <c r="I451" i="7"/>
  <c r="H451" i="7"/>
  <c r="E451" i="7"/>
  <c r="D451" i="7"/>
  <c r="C451" i="7"/>
  <c r="B451" i="7"/>
  <c r="AI450" i="7"/>
  <c r="AH450" i="7"/>
  <c r="AG450" i="7"/>
  <c r="AF450" i="7"/>
  <c r="AC450" i="7"/>
  <c r="AB450" i="7"/>
  <c r="AA450" i="7"/>
  <c r="Z450" i="7"/>
  <c r="W450" i="7"/>
  <c r="V450" i="7"/>
  <c r="U450" i="7"/>
  <c r="T450" i="7"/>
  <c r="Q450" i="7"/>
  <c r="P450" i="7"/>
  <c r="O450" i="7"/>
  <c r="N450" i="7"/>
  <c r="K450" i="7"/>
  <c r="J450" i="7"/>
  <c r="I450" i="7"/>
  <c r="H450" i="7"/>
  <c r="E450" i="7"/>
  <c r="D450" i="7"/>
  <c r="C450" i="7"/>
  <c r="B450" i="7"/>
  <c r="AI449" i="7"/>
  <c r="AH449" i="7"/>
  <c r="AG449" i="7"/>
  <c r="AF449" i="7"/>
  <c r="AC449" i="7"/>
  <c r="AB449" i="7"/>
  <c r="AA449" i="7"/>
  <c r="Z449" i="7"/>
  <c r="W449" i="7"/>
  <c r="V449" i="7"/>
  <c r="U449" i="7"/>
  <c r="T449" i="7"/>
  <c r="Q449" i="7"/>
  <c r="P449" i="7"/>
  <c r="O449" i="7"/>
  <c r="N449" i="7"/>
  <c r="K449" i="7"/>
  <c r="J449" i="7"/>
  <c r="I449" i="7"/>
  <c r="H449" i="7"/>
  <c r="E449" i="7"/>
  <c r="D449" i="7"/>
  <c r="C449" i="7"/>
  <c r="B449" i="7"/>
  <c r="AI448" i="7"/>
  <c r="AH448" i="7"/>
  <c r="AG448" i="7"/>
  <c r="AF448" i="7"/>
  <c r="AC448" i="7"/>
  <c r="AB448" i="7"/>
  <c r="AA448" i="7"/>
  <c r="Z448" i="7"/>
  <c r="W448" i="7"/>
  <c r="V448" i="7"/>
  <c r="U448" i="7"/>
  <c r="T448" i="7"/>
  <c r="Q448" i="7"/>
  <c r="P448" i="7"/>
  <c r="O448" i="7"/>
  <c r="N448" i="7"/>
  <c r="K448" i="7"/>
  <c r="J448" i="7"/>
  <c r="I448" i="7"/>
  <c r="H448" i="7"/>
  <c r="E448" i="7"/>
  <c r="D448" i="7"/>
  <c r="C448" i="7"/>
  <c r="B448" i="7"/>
  <c r="AI447" i="7"/>
  <c r="AH447" i="7"/>
  <c r="AG447" i="7"/>
  <c r="AF447" i="7"/>
  <c r="AC447" i="7"/>
  <c r="AB447" i="7"/>
  <c r="AA447" i="7"/>
  <c r="Z447" i="7"/>
  <c r="W447" i="7"/>
  <c r="V447" i="7"/>
  <c r="U447" i="7"/>
  <c r="T447" i="7"/>
  <c r="Q447" i="7"/>
  <c r="P447" i="7"/>
  <c r="O447" i="7"/>
  <c r="N447" i="7"/>
  <c r="K447" i="7"/>
  <c r="J447" i="7"/>
  <c r="I447" i="7"/>
  <c r="H447" i="7"/>
  <c r="E447" i="7"/>
  <c r="D447" i="7"/>
  <c r="C447" i="7"/>
  <c r="B447" i="7"/>
  <c r="AI446" i="7"/>
  <c r="AH446" i="7"/>
  <c r="AG446" i="7"/>
  <c r="AF446" i="7"/>
  <c r="AC446" i="7"/>
  <c r="AB446" i="7"/>
  <c r="AA446" i="7"/>
  <c r="Z446" i="7"/>
  <c r="W446" i="7"/>
  <c r="V446" i="7"/>
  <c r="U446" i="7"/>
  <c r="T446" i="7"/>
  <c r="Q446" i="7"/>
  <c r="P446" i="7"/>
  <c r="O446" i="7"/>
  <c r="N446" i="7"/>
  <c r="K446" i="7"/>
  <c r="J446" i="7"/>
  <c r="I446" i="7"/>
  <c r="H446" i="7"/>
  <c r="E446" i="7"/>
  <c r="D446" i="7"/>
  <c r="C446" i="7"/>
  <c r="B446" i="7"/>
  <c r="AI445" i="7"/>
  <c r="AH445" i="7"/>
  <c r="AG445" i="7"/>
  <c r="AF445" i="7"/>
  <c r="AC445" i="7"/>
  <c r="AB445" i="7"/>
  <c r="AA445" i="7"/>
  <c r="Z445" i="7"/>
  <c r="W445" i="7"/>
  <c r="V445" i="7"/>
  <c r="U445" i="7"/>
  <c r="T445" i="7"/>
  <c r="Q445" i="7"/>
  <c r="P445" i="7"/>
  <c r="O445" i="7"/>
  <c r="N445" i="7"/>
  <c r="K445" i="7"/>
  <c r="J445" i="7"/>
  <c r="I445" i="7"/>
  <c r="H445" i="7"/>
  <c r="E445" i="7"/>
  <c r="D445" i="7"/>
  <c r="C445" i="7"/>
  <c r="B445" i="7"/>
  <c r="AI444" i="7"/>
  <c r="AH444" i="7"/>
  <c r="AG444" i="7"/>
  <c r="AF444" i="7"/>
  <c r="AC444" i="7"/>
  <c r="AB444" i="7"/>
  <c r="AA444" i="7"/>
  <c r="Z444" i="7"/>
  <c r="W444" i="7"/>
  <c r="V444" i="7"/>
  <c r="U444" i="7"/>
  <c r="T444" i="7"/>
  <c r="Q444" i="7"/>
  <c r="P444" i="7"/>
  <c r="O444" i="7"/>
  <c r="N444" i="7"/>
  <c r="K444" i="7"/>
  <c r="J444" i="7"/>
  <c r="I444" i="7"/>
  <c r="H444" i="7"/>
  <c r="E444" i="7"/>
  <c r="D444" i="7"/>
  <c r="C444" i="7"/>
  <c r="B444" i="7"/>
  <c r="AI443" i="7"/>
  <c r="AH443" i="7"/>
  <c r="AG443" i="7"/>
  <c r="AF443" i="7"/>
  <c r="AC443" i="7"/>
  <c r="AB443" i="7"/>
  <c r="AA443" i="7"/>
  <c r="Z443" i="7"/>
  <c r="W443" i="7"/>
  <c r="V443" i="7"/>
  <c r="U443" i="7"/>
  <c r="T443" i="7"/>
  <c r="Q443" i="7"/>
  <c r="P443" i="7"/>
  <c r="O443" i="7"/>
  <c r="N443" i="7"/>
  <c r="K443" i="7"/>
  <c r="J443" i="7"/>
  <c r="I443" i="7"/>
  <c r="H443" i="7"/>
  <c r="E443" i="7"/>
  <c r="D443" i="7"/>
  <c r="C443" i="7"/>
  <c r="B443" i="7"/>
  <c r="AI442" i="7"/>
  <c r="AH442" i="7"/>
  <c r="AG442" i="7"/>
  <c r="AF442" i="7"/>
  <c r="AC442" i="7"/>
  <c r="AB442" i="7"/>
  <c r="AA442" i="7"/>
  <c r="Z442" i="7"/>
  <c r="W442" i="7"/>
  <c r="V442" i="7"/>
  <c r="U442" i="7"/>
  <c r="T442" i="7"/>
  <c r="Q442" i="7"/>
  <c r="P442" i="7"/>
  <c r="O442" i="7"/>
  <c r="N442" i="7"/>
  <c r="K442" i="7"/>
  <c r="J442" i="7"/>
  <c r="I442" i="7"/>
  <c r="H442" i="7"/>
  <c r="E442" i="7"/>
  <c r="D442" i="7"/>
  <c r="C442" i="7"/>
  <c r="B442" i="7"/>
  <c r="AI441" i="7"/>
  <c r="AH441" i="7"/>
  <c r="AG441" i="7"/>
  <c r="AF441" i="7"/>
  <c r="AC441" i="7"/>
  <c r="AB441" i="7"/>
  <c r="AA441" i="7"/>
  <c r="Z441" i="7"/>
  <c r="W441" i="7"/>
  <c r="V441" i="7"/>
  <c r="U441" i="7"/>
  <c r="T441" i="7"/>
  <c r="Q441" i="7"/>
  <c r="P441" i="7"/>
  <c r="O441" i="7"/>
  <c r="N441" i="7"/>
  <c r="K441" i="7"/>
  <c r="J441" i="7"/>
  <c r="I441" i="7"/>
  <c r="H441" i="7"/>
  <c r="E441" i="7"/>
  <c r="D441" i="7"/>
  <c r="C441" i="7"/>
  <c r="B441" i="7"/>
  <c r="AI440" i="7"/>
  <c r="AH440" i="7"/>
  <c r="AG440" i="7"/>
  <c r="AF440" i="7"/>
  <c r="AC440" i="7"/>
  <c r="AB440" i="7"/>
  <c r="AA440" i="7"/>
  <c r="Z440" i="7"/>
  <c r="W440" i="7"/>
  <c r="V440" i="7"/>
  <c r="U440" i="7"/>
  <c r="T440" i="7"/>
  <c r="Q440" i="7"/>
  <c r="P440" i="7"/>
  <c r="O440" i="7"/>
  <c r="N440" i="7"/>
  <c r="K440" i="7"/>
  <c r="J440" i="7"/>
  <c r="I440" i="7"/>
  <c r="H440" i="7"/>
  <c r="E440" i="7"/>
  <c r="D440" i="7"/>
  <c r="C440" i="7"/>
  <c r="B440" i="7"/>
  <c r="AI439" i="7"/>
  <c r="AH439" i="7"/>
  <c r="AG439" i="7"/>
  <c r="AF439" i="7"/>
  <c r="AC439" i="7"/>
  <c r="AB439" i="7"/>
  <c r="AA439" i="7"/>
  <c r="Z439" i="7"/>
  <c r="W439" i="7"/>
  <c r="V439" i="7"/>
  <c r="U439" i="7"/>
  <c r="T439" i="7"/>
  <c r="Q439" i="7"/>
  <c r="P439" i="7"/>
  <c r="O439" i="7"/>
  <c r="N439" i="7"/>
  <c r="K439" i="7"/>
  <c r="J439" i="7"/>
  <c r="I439" i="7"/>
  <c r="H439" i="7"/>
  <c r="E439" i="7"/>
  <c r="D439" i="7"/>
  <c r="C439" i="7"/>
  <c r="B439" i="7"/>
  <c r="AI438" i="7"/>
  <c r="AH438" i="7"/>
  <c r="AG438" i="7"/>
  <c r="AF438" i="7"/>
  <c r="AC438" i="7"/>
  <c r="AB438" i="7"/>
  <c r="AA438" i="7"/>
  <c r="Z438" i="7"/>
  <c r="W438" i="7"/>
  <c r="V438" i="7"/>
  <c r="U438" i="7"/>
  <c r="T438" i="7"/>
  <c r="Q438" i="7"/>
  <c r="P438" i="7"/>
  <c r="O438" i="7"/>
  <c r="N438" i="7"/>
  <c r="K438" i="7"/>
  <c r="J438" i="7"/>
  <c r="I438" i="7"/>
  <c r="H438" i="7"/>
  <c r="E438" i="7"/>
  <c r="D438" i="7"/>
  <c r="C438" i="7"/>
  <c r="B438" i="7"/>
  <c r="AI437" i="7"/>
  <c r="AH437" i="7"/>
  <c r="AG437" i="7"/>
  <c r="AF437" i="7"/>
  <c r="AC437" i="7"/>
  <c r="AB437" i="7"/>
  <c r="AA437" i="7"/>
  <c r="Z437" i="7"/>
  <c r="W437" i="7"/>
  <c r="V437" i="7"/>
  <c r="U437" i="7"/>
  <c r="T437" i="7"/>
  <c r="Q437" i="7"/>
  <c r="P437" i="7"/>
  <c r="O437" i="7"/>
  <c r="N437" i="7"/>
  <c r="K437" i="7"/>
  <c r="J437" i="7"/>
  <c r="I437" i="7"/>
  <c r="H437" i="7"/>
  <c r="E437" i="7"/>
  <c r="D437" i="7"/>
  <c r="C437" i="7"/>
  <c r="B437" i="7"/>
  <c r="AI436" i="7"/>
  <c r="AH436" i="7"/>
  <c r="AG436" i="7"/>
  <c r="AF436" i="7"/>
  <c r="AC436" i="7"/>
  <c r="AB436" i="7"/>
  <c r="AA436" i="7"/>
  <c r="Z436" i="7"/>
  <c r="W436" i="7"/>
  <c r="V436" i="7"/>
  <c r="U436" i="7"/>
  <c r="T436" i="7"/>
  <c r="Q436" i="7"/>
  <c r="P436" i="7"/>
  <c r="O436" i="7"/>
  <c r="N436" i="7"/>
  <c r="K436" i="7"/>
  <c r="J436" i="7"/>
  <c r="I436" i="7"/>
  <c r="H436" i="7"/>
  <c r="E436" i="7"/>
  <c r="D436" i="7"/>
  <c r="C436" i="7"/>
  <c r="B436" i="7"/>
  <c r="AI435" i="7"/>
  <c r="AH435" i="7"/>
  <c r="AG435" i="7"/>
  <c r="AF435" i="7"/>
  <c r="AC435" i="7"/>
  <c r="AB435" i="7"/>
  <c r="AA435" i="7"/>
  <c r="Z435" i="7"/>
  <c r="W435" i="7"/>
  <c r="V435" i="7"/>
  <c r="U435" i="7"/>
  <c r="T435" i="7"/>
  <c r="Q435" i="7"/>
  <c r="P435" i="7"/>
  <c r="O435" i="7"/>
  <c r="N435" i="7"/>
  <c r="K435" i="7"/>
  <c r="J435" i="7"/>
  <c r="I435" i="7"/>
  <c r="H435" i="7"/>
  <c r="E435" i="7"/>
  <c r="D435" i="7"/>
  <c r="C435" i="7"/>
  <c r="B435" i="7"/>
  <c r="AI434" i="7"/>
  <c r="AH434" i="7"/>
  <c r="AG434" i="7"/>
  <c r="AF434" i="7"/>
  <c r="AC434" i="7"/>
  <c r="AB434" i="7"/>
  <c r="AA434" i="7"/>
  <c r="Z434" i="7"/>
  <c r="W434" i="7"/>
  <c r="V434" i="7"/>
  <c r="U434" i="7"/>
  <c r="T434" i="7"/>
  <c r="Q434" i="7"/>
  <c r="P434" i="7"/>
  <c r="O434" i="7"/>
  <c r="N434" i="7"/>
  <c r="K434" i="7"/>
  <c r="J434" i="7"/>
  <c r="I434" i="7"/>
  <c r="H434" i="7"/>
  <c r="E434" i="7"/>
  <c r="D434" i="7"/>
  <c r="C434" i="7"/>
  <c r="B434" i="7"/>
  <c r="AI433" i="7"/>
  <c r="AH433" i="7"/>
  <c r="AG433" i="7"/>
  <c r="AF433" i="7"/>
  <c r="AC433" i="7"/>
  <c r="AB433" i="7"/>
  <c r="AA433" i="7"/>
  <c r="Z433" i="7"/>
  <c r="W433" i="7"/>
  <c r="V433" i="7"/>
  <c r="U433" i="7"/>
  <c r="T433" i="7"/>
  <c r="Q433" i="7"/>
  <c r="P433" i="7"/>
  <c r="O433" i="7"/>
  <c r="N433" i="7"/>
  <c r="K433" i="7"/>
  <c r="J433" i="7"/>
  <c r="I433" i="7"/>
  <c r="H433" i="7"/>
  <c r="E433" i="7"/>
  <c r="D433" i="7"/>
  <c r="C433" i="7"/>
  <c r="B433" i="7"/>
  <c r="AI432" i="7"/>
  <c r="AH432" i="7"/>
  <c r="AG432" i="7"/>
  <c r="AF432" i="7"/>
  <c r="AC432" i="7"/>
  <c r="AB432" i="7"/>
  <c r="AA432" i="7"/>
  <c r="Z432" i="7"/>
  <c r="W432" i="7"/>
  <c r="V432" i="7"/>
  <c r="U432" i="7"/>
  <c r="T432" i="7"/>
  <c r="Q432" i="7"/>
  <c r="P432" i="7"/>
  <c r="O432" i="7"/>
  <c r="N432" i="7"/>
  <c r="K432" i="7"/>
  <c r="J432" i="7"/>
  <c r="I432" i="7"/>
  <c r="H432" i="7"/>
  <c r="E432" i="7"/>
  <c r="D432" i="7"/>
  <c r="C432" i="7"/>
  <c r="B432" i="7"/>
  <c r="AI431" i="7"/>
  <c r="AH431" i="7"/>
  <c r="AG431" i="7"/>
  <c r="AF431" i="7"/>
  <c r="AC431" i="7"/>
  <c r="AB431" i="7"/>
  <c r="AA431" i="7"/>
  <c r="Z431" i="7"/>
  <c r="W431" i="7"/>
  <c r="V431" i="7"/>
  <c r="U431" i="7"/>
  <c r="T431" i="7"/>
  <c r="Q431" i="7"/>
  <c r="P431" i="7"/>
  <c r="O431" i="7"/>
  <c r="N431" i="7"/>
  <c r="K431" i="7"/>
  <c r="J431" i="7"/>
  <c r="I431" i="7"/>
  <c r="H431" i="7"/>
  <c r="E431" i="7"/>
  <c r="D431" i="7"/>
  <c r="C431" i="7"/>
  <c r="B431" i="7"/>
  <c r="AI430" i="7"/>
  <c r="AH430" i="7"/>
  <c r="AG430" i="7"/>
  <c r="AF430" i="7"/>
  <c r="AC430" i="7"/>
  <c r="AB430" i="7"/>
  <c r="AA430" i="7"/>
  <c r="Z430" i="7"/>
  <c r="W430" i="7"/>
  <c r="V430" i="7"/>
  <c r="U430" i="7"/>
  <c r="T430" i="7"/>
  <c r="Q430" i="7"/>
  <c r="P430" i="7"/>
  <c r="O430" i="7"/>
  <c r="N430" i="7"/>
  <c r="K430" i="7"/>
  <c r="J430" i="7"/>
  <c r="I430" i="7"/>
  <c r="H430" i="7"/>
  <c r="E430" i="7"/>
  <c r="D430" i="7"/>
  <c r="C430" i="7"/>
  <c r="B430" i="7"/>
  <c r="AI429" i="7"/>
  <c r="AH429" i="7"/>
  <c r="AG429" i="7"/>
  <c r="AF429" i="7"/>
  <c r="AC429" i="7"/>
  <c r="AB429" i="7"/>
  <c r="AA429" i="7"/>
  <c r="Z429" i="7"/>
  <c r="W429" i="7"/>
  <c r="V429" i="7"/>
  <c r="U429" i="7"/>
  <c r="T429" i="7"/>
  <c r="Q429" i="7"/>
  <c r="P429" i="7"/>
  <c r="O429" i="7"/>
  <c r="N429" i="7"/>
  <c r="K429" i="7"/>
  <c r="J429" i="7"/>
  <c r="I429" i="7"/>
  <c r="H429" i="7"/>
  <c r="E429" i="7"/>
  <c r="D429" i="7"/>
  <c r="C429" i="7"/>
  <c r="B429" i="7"/>
  <c r="AI428" i="7"/>
  <c r="AH428" i="7"/>
  <c r="AG428" i="7"/>
  <c r="AF428" i="7"/>
  <c r="AC428" i="7"/>
  <c r="AB428" i="7"/>
  <c r="AA428" i="7"/>
  <c r="Z428" i="7"/>
  <c r="W428" i="7"/>
  <c r="V428" i="7"/>
  <c r="U428" i="7"/>
  <c r="T428" i="7"/>
  <c r="Q428" i="7"/>
  <c r="P428" i="7"/>
  <c r="O428" i="7"/>
  <c r="N428" i="7"/>
  <c r="K428" i="7"/>
  <c r="J428" i="7"/>
  <c r="I428" i="7"/>
  <c r="H428" i="7"/>
  <c r="E428" i="7"/>
  <c r="D428" i="7"/>
  <c r="C428" i="7"/>
  <c r="B428" i="7"/>
  <c r="AI427" i="7"/>
  <c r="AH427" i="7"/>
  <c r="AG427" i="7"/>
  <c r="AF427" i="7"/>
  <c r="AC427" i="7"/>
  <c r="AB427" i="7"/>
  <c r="AA427" i="7"/>
  <c r="Z427" i="7"/>
  <c r="W427" i="7"/>
  <c r="V427" i="7"/>
  <c r="U427" i="7"/>
  <c r="T427" i="7"/>
  <c r="Q427" i="7"/>
  <c r="P427" i="7"/>
  <c r="O427" i="7"/>
  <c r="N427" i="7"/>
  <c r="K427" i="7"/>
  <c r="J427" i="7"/>
  <c r="I427" i="7"/>
  <c r="H427" i="7"/>
  <c r="E427" i="7"/>
  <c r="D427" i="7"/>
  <c r="C427" i="7"/>
  <c r="B427" i="7"/>
  <c r="AI426" i="7"/>
  <c r="AH426" i="7"/>
  <c r="AG426" i="7"/>
  <c r="AF426" i="7"/>
  <c r="AC426" i="7"/>
  <c r="AB426" i="7"/>
  <c r="AA426" i="7"/>
  <c r="Z426" i="7"/>
  <c r="W426" i="7"/>
  <c r="V426" i="7"/>
  <c r="U426" i="7"/>
  <c r="T426" i="7"/>
  <c r="Q426" i="7"/>
  <c r="P426" i="7"/>
  <c r="O426" i="7"/>
  <c r="N426" i="7"/>
  <c r="K426" i="7"/>
  <c r="J426" i="7"/>
  <c r="I426" i="7"/>
  <c r="H426" i="7"/>
  <c r="E426" i="7"/>
  <c r="D426" i="7"/>
  <c r="C426" i="7"/>
  <c r="B426" i="7"/>
  <c r="AI425" i="7"/>
  <c r="AH425" i="7"/>
  <c r="AG425" i="7"/>
  <c r="AF425" i="7"/>
  <c r="AC425" i="7"/>
  <c r="AB425" i="7"/>
  <c r="AA425" i="7"/>
  <c r="Z425" i="7"/>
  <c r="W425" i="7"/>
  <c r="V425" i="7"/>
  <c r="U425" i="7"/>
  <c r="T425" i="7"/>
  <c r="Q425" i="7"/>
  <c r="P425" i="7"/>
  <c r="O425" i="7"/>
  <c r="N425" i="7"/>
  <c r="K425" i="7"/>
  <c r="J425" i="7"/>
  <c r="I425" i="7"/>
  <c r="H425" i="7"/>
  <c r="E425" i="7"/>
  <c r="D425" i="7"/>
  <c r="C425" i="7"/>
  <c r="B425" i="7"/>
  <c r="AI424" i="7"/>
  <c r="AH424" i="7"/>
  <c r="AG424" i="7"/>
  <c r="AF424" i="7"/>
  <c r="AC424" i="7"/>
  <c r="AB424" i="7"/>
  <c r="AA424" i="7"/>
  <c r="Z424" i="7"/>
  <c r="W424" i="7"/>
  <c r="V424" i="7"/>
  <c r="U424" i="7"/>
  <c r="T424" i="7"/>
  <c r="Q424" i="7"/>
  <c r="P424" i="7"/>
  <c r="O424" i="7"/>
  <c r="N424" i="7"/>
  <c r="K424" i="7"/>
  <c r="J424" i="7"/>
  <c r="I424" i="7"/>
  <c r="H424" i="7"/>
  <c r="E424" i="7"/>
  <c r="D424" i="7"/>
  <c r="C424" i="7"/>
  <c r="B424" i="7"/>
  <c r="AI423" i="7"/>
  <c r="AH423" i="7"/>
  <c r="AG423" i="7"/>
  <c r="AF423" i="7"/>
  <c r="AC423" i="7"/>
  <c r="AB423" i="7"/>
  <c r="AA423" i="7"/>
  <c r="Z423" i="7"/>
  <c r="W423" i="7"/>
  <c r="V423" i="7"/>
  <c r="U423" i="7"/>
  <c r="T423" i="7"/>
  <c r="Q423" i="7"/>
  <c r="P423" i="7"/>
  <c r="O423" i="7"/>
  <c r="N423" i="7"/>
  <c r="K423" i="7"/>
  <c r="J423" i="7"/>
  <c r="I423" i="7"/>
  <c r="H423" i="7"/>
  <c r="E423" i="7"/>
  <c r="D423" i="7"/>
  <c r="C423" i="7"/>
  <c r="B423" i="7"/>
  <c r="AI422" i="7"/>
  <c r="AH422" i="7"/>
  <c r="AG422" i="7"/>
  <c r="AF422" i="7"/>
  <c r="AC422" i="7"/>
  <c r="AB422" i="7"/>
  <c r="AA422" i="7"/>
  <c r="Z422" i="7"/>
  <c r="W422" i="7"/>
  <c r="V422" i="7"/>
  <c r="U422" i="7"/>
  <c r="T422" i="7"/>
  <c r="Q422" i="7"/>
  <c r="P422" i="7"/>
  <c r="O422" i="7"/>
  <c r="N422" i="7"/>
  <c r="K422" i="7"/>
  <c r="J422" i="7"/>
  <c r="I422" i="7"/>
  <c r="H422" i="7"/>
  <c r="E422" i="7"/>
  <c r="D422" i="7"/>
  <c r="C422" i="7"/>
  <c r="B422" i="7"/>
  <c r="AI421" i="7"/>
  <c r="AH421" i="7"/>
  <c r="AG421" i="7"/>
  <c r="AF421" i="7"/>
  <c r="AC421" i="7"/>
  <c r="AB421" i="7"/>
  <c r="AA421" i="7"/>
  <c r="Z421" i="7"/>
  <c r="W421" i="7"/>
  <c r="V421" i="7"/>
  <c r="U421" i="7"/>
  <c r="T421" i="7"/>
  <c r="Q421" i="7"/>
  <c r="P421" i="7"/>
  <c r="O421" i="7"/>
  <c r="N421" i="7"/>
  <c r="K421" i="7"/>
  <c r="J421" i="7"/>
  <c r="I421" i="7"/>
  <c r="H421" i="7"/>
  <c r="E421" i="7"/>
  <c r="D421" i="7"/>
  <c r="C421" i="7"/>
  <c r="B421" i="7"/>
  <c r="AI420" i="7"/>
  <c r="AH420" i="7"/>
  <c r="AG420" i="7"/>
  <c r="AF420" i="7"/>
  <c r="AC420" i="7"/>
  <c r="AB420" i="7"/>
  <c r="AA420" i="7"/>
  <c r="Z420" i="7"/>
  <c r="W420" i="7"/>
  <c r="V420" i="7"/>
  <c r="U420" i="7"/>
  <c r="T420" i="7"/>
  <c r="Q420" i="7"/>
  <c r="P420" i="7"/>
  <c r="O420" i="7"/>
  <c r="N420" i="7"/>
  <c r="K420" i="7"/>
  <c r="J420" i="7"/>
  <c r="I420" i="7"/>
  <c r="H420" i="7"/>
  <c r="E420" i="7"/>
  <c r="D420" i="7"/>
  <c r="C420" i="7"/>
  <c r="B420" i="7"/>
  <c r="AI419" i="7"/>
  <c r="AH419" i="7"/>
  <c r="AG419" i="7"/>
  <c r="AF419" i="7"/>
  <c r="AC419" i="7"/>
  <c r="AB419" i="7"/>
  <c r="AA419" i="7"/>
  <c r="Z419" i="7"/>
  <c r="W419" i="7"/>
  <c r="V419" i="7"/>
  <c r="U419" i="7"/>
  <c r="T419" i="7"/>
  <c r="Q419" i="7"/>
  <c r="P419" i="7"/>
  <c r="O419" i="7"/>
  <c r="N419" i="7"/>
  <c r="K419" i="7"/>
  <c r="J419" i="7"/>
  <c r="I419" i="7"/>
  <c r="H419" i="7"/>
  <c r="E419" i="7"/>
  <c r="D419" i="7"/>
  <c r="C419" i="7"/>
  <c r="B419" i="7"/>
  <c r="AI418" i="7"/>
  <c r="AH418" i="7"/>
  <c r="AG418" i="7"/>
  <c r="AF418" i="7"/>
  <c r="AC418" i="7"/>
  <c r="AB418" i="7"/>
  <c r="AA418" i="7"/>
  <c r="Z418" i="7"/>
  <c r="W418" i="7"/>
  <c r="V418" i="7"/>
  <c r="U418" i="7"/>
  <c r="T418" i="7"/>
  <c r="Q418" i="7"/>
  <c r="P418" i="7"/>
  <c r="O418" i="7"/>
  <c r="N418" i="7"/>
  <c r="K418" i="7"/>
  <c r="J418" i="7"/>
  <c r="I418" i="7"/>
  <c r="H418" i="7"/>
  <c r="E418" i="7"/>
  <c r="D418" i="7"/>
  <c r="C418" i="7"/>
  <c r="B418" i="7"/>
  <c r="AI417" i="7"/>
  <c r="AH417" i="7"/>
  <c r="AG417" i="7"/>
  <c r="AF417" i="7"/>
  <c r="AC417" i="7"/>
  <c r="AB417" i="7"/>
  <c r="AA417" i="7"/>
  <c r="Z417" i="7"/>
  <c r="W417" i="7"/>
  <c r="V417" i="7"/>
  <c r="U417" i="7"/>
  <c r="T417" i="7"/>
  <c r="Q417" i="7"/>
  <c r="P417" i="7"/>
  <c r="O417" i="7"/>
  <c r="N417" i="7"/>
  <c r="K417" i="7"/>
  <c r="J417" i="7"/>
  <c r="I417" i="7"/>
  <c r="H417" i="7"/>
  <c r="E417" i="7"/>
  <c r="D417" i="7"/>
  <c r="C417" i="7"/>
  <c r="B417" i="7"/>
  <c r="AI416" i="7"/>
  <c r="AH416" i="7"/>
  <c r="AG416" i="7"/>
  <c r="AF416" i="7"/>
  <c r="AC416" i="7"/>
  <c r="AB416" i="7"/>
  <c r="AA416" i="7"/>
  <c r="Z416" i="7"/>
  <c r="W416" i="7"/>
  <c r="V416" i="7"/>
  <c r="U416" i="7"/>
  <c r="T416" i="7"/>
  <c r="Q416" i="7"/>
  <c r="P416" i="7"/>
  <c r="O416" i="7"/>
  <c r="N416" i="7"/>
  <c r="K416" i="7"/>
  <c r="J416" i="7"/>
  <c r="I416" i="7"/>
  <c r="H416" i="7"/>
  <c r="E416" i="7"/>
  <c r="D416" i="7"/>
  <c r="C416" i="7"/>
  <c r="B416" i="7"/>
  <c r="AI415" i="7"/>
  <c r="AH415" i="7"/>
  <c r="AG415" i="7"/>
  <c r="AF415" i="7"/>
  <c r="AC415" i="7"/>
  <c r="AB415" i="7"/>
  <c r="AA415" i="7"/>
  <c r="Z415" i="7"/>
  <c r="W415" i="7"/>
  <c r="V415" i="7"/>
  <c r="U415" i="7"/>
  <c r="T415" i="7"/>
  <c r="Q415" i="7"/>
  <c r="P415" i="7"/>
  <c r="O415" i="7"/>
  <c r="N415" i="7"/>
  <c r="K415" i="7"/>
  <c r="J415" i="7"/>
  <c r="I415" i="7"/>
  <c r="H415" i="7"/>
  <c r="E415" i="7"/>
  <c r="D415" i="7"/>
  <c r="C415" i="7"/>
  <c r="B415" i="7"/>
  <c r="AI414" i="7"/>
  <c r="AH414" i="7"/>
  <c r="AG414" i="7"/>
  <c r="AF414" i="7"/>
  <c r="AC414" i="7"/>
  <c r="AB414" i="7"/>
  <c r="AA414" i="7"/>
  <c r="Z414" i="7"/>
  <c r="W414" i="7"/>
  <c r="V414" i="7"/>
  <c r="U414" i="7"/>
  <c r="T414" i="7"/>
  <c r="Q414" i="7"/>
  <c r="P414" i="7"/>
  <c r="O414" i="7"/>
  <c r="N414" i="7"/>
  <c r="K414" i="7"/>
  <c r="J414" i="7"/>
  <c r="I414" i="7"/>
  <c r="H414" i="7"/>
  <c r="E414" i="7"/>
  <c r="D414" i="7"/>
  <c r="C414" i="7"/>
  <c r="B414" i="7"/>
  <c r="AI413" i="7"/>
  <c r="AH413" i="7"/>
  <c r="AG413" i="7"/>
  <c r="AF413" i="7"/>
  <c r="AC413" i="7"/>
  <c r="AB413" i="7"/>
  <c r="AA413" i="7"/>
  <c r="Z413" i="7"/>
  <c r="W413" i="7"/>
  <c r="V413" i="7"/>
  <c r="U413" i="7"/>
  <c r="T413" i="7"/>
  <c r="Q413" i="7"/>
  <c r="P413" i="7"/>
  <c r="O413" i="7"/>
  <c r="N413" i="7"/>
  <c r="K413" i="7"/>
  <c r="J413" i="7"/>
  <c r="I413" i="7"/>
  <c r="H413" i="7"/>
  <c r="E413" i="7"/>
  <c r="D413" i="7"/>
  <c r="C413" i="7"/>
  <c r="B413" i="7"/>
  <c r="AI412" i="7"/>
  <c r="AH412" i="7"/>
  <c r="AG412" i="7"/>
  <c r="AF412" i="7"/>
  <c r="AC412" i="7"/>
  <c r="AB412" i="7"/>
  <c r="AA412" i="7"/>
  <c r="Z412" i="7"/>
  <c r="W412" i="7"/>
  <c r="V412" i="7"/>
  <c r="U412" i="7"/>
  <c r="T412" i="7"/>
  <c r="Q412" i="7"/>
  <c r="P412" i="7"/>
  <c r="O412" i="7"/>
  <c r="N412" i="7"/>
  <c r="K412" i="7"/>
  <c r="J412" i="7"/>
  <c r="I412" i="7"/>
  <c r="H412" i="7"/>
  <c r="E412" i="7"/>
  <c r="D412" i="7"/>
  <c r="C412" i="7"/>
  <c r="B412" i="7"/>
  <c r="AI411" i="7"/>
  <c r="AH411" i="7"/>
  <c r="AG411" i="7"/>
  <c r="AF411" i="7"/>
  <c r="AC411" i="7"/>
  <c r="AB411" i="7"/>
  <c r="AA411" i="7"/>
  <c r="Z411" i="7"/>
  <c r="W411" i="7"/>
  <c r="V411" i="7"/>
  <c r="U411" i="7"/>
  <c r="T411" i="7"/>
  <c r="Q411" i="7"/>
  <c r="P411" i="7"/>
  <c r="O411" i="7"/>
  <c r="N411" i="7"/>
  <c r="K411" i="7"/>
  <c r="J411" i="7"/>
  <c r="I411" i="7"/>
  <c r="H411" i="7"/>
  <c r="E411" i="7"/>
  <c r="D411" i="7"/>
  <c r="C411" i="7"/>
  <c r="B411" i="7"/>
  <c r="AI410" i="7"/>
  <c r="AH410" i="7"/>
  <c r="AG410" i="7"/>
  <c r="AF410" i="7"/>
  <c r="AC410" i="7"/>
  <c r="AB410" i="7"/>
  <c r="AA410" i="7"/>
  <c r="Z410" i="7"/>
  <c r="W410" i="7"/>
  <c r="V410" i="7"/>
  <c r="U410" i="7"/>
  <c r="T410" i="7"/>
  <c r="Q410" i="7"/>
  <c r="P410" i="7"/>
  <c r="O410" i="7"/>
  <c r="N410" i="7"/>
  <c r="K410" i="7"/>
  <c r="J410" i="7"/>
  <c r="I410" i="7"/>
  <c r="H410" i="7"/>
  <c r="E410" i="7"/>
  <c r="D410" i="7"/>
  <c r="C410" i="7"/>
  <c r="B410" i="7"/>
  <c r="AI409" i="7"/>
  <c r="AH409" i="7"/>
  <c r="AG409" i="7"/>
  <c r="AF409" i="7"/>
  <c r="AC409" i="7"/>
  <c r="AB409" i="7"/>
  <c r="AA409" i="7"/>
  <c r="Z409" i="7"/>
  <c r="W409" i="7"/>
  <c r="V409" i="7"/>
  <c r="U409" i="7"/>
  <c r="T409" i="7"/>
  <c r="Q409" i="7"/>
  <c r="P409" i="7"/>
  <c r="O409" i="7"/>
  <c r="N409" i="7"/>
  <c r="K409" i="7"/>
  <c r="J409" i="7"/>
  <c r="I409" i="7"/>
  <c r="H409" i="7"/>
  <c r="E409" i="7"/>
  <c r="D409" i="7"/>
  <c r="C409" i="7"/>
  <c r="B409" i="7"/>
  <c r="AI408" i="7"/>
  <c r="AH408" i="7"/>
  <c r="AG408" i="7"/>
  <c r="AF408" i="7"/>
  <c r="AC408" i="7"/>
  <c r="AB408" i="7"/>
  <c r="AA408" i="7"/>
  <c r="Z408" i="7"/>
  <c r="W408" i="7"/>
  <c r="V408" i="7"/>
  <c r="U408" i="7"/>
  <c r="T408" i="7"/>
  <c r="Q408" i="7"/>
  <c r="P408" i="7"/>
  <c r="O408" i="7"/>
  <c r="N408" i="7"/>
  <c r="K408" i="7"/>
  <c r="J408" i="7"/>
  <c r="I408" i="7"/>
  <c r="H408" i="7"/>
  <c r="E408" i="7"/>
  <c r="D408" i="7"/>
  <c r="C408" i="7"/>
  <c r="B408" i="7"/>
  <c r="AI407" i="7"/>
  <c r="AH407" i="7"/>
  <c r="AG407" i="7"/>
  <c r="AF407" i="7"/>
  <c r="AC407" i="7"/>
  <c r="AB407" i="7"/>
  <c r="AA407" i="7"/>
  <c r="Z407" i="7"/>
  <c r="W407" i="7"/>
  <c r="V407" i="7"/>
  <c r="U407" i="7"/>
  <c r="T407" i="7"/>
  <c r="Q407" i="7"/>
  <c r="P407" i="7"/>
  <c r="O407" i="7"/>
  <c r="N407" i="7"/>
  <c r="K407" i="7"/>
  <c r="J407" i="7"/>
  <c r="I407" i="7"/>
  <c r="H407" i="7"/>
  <c r="E407" i="7"/>
  <c r="D407" i="7"/>
  <c r="C407" i="7"/>
  <c r="B407" i="7"/>
  <c r="AI406" i="7"/>
  <c r="AH406" i="7"/>
  <c r="AG406" i="7"/>
  <c r="AF406" i="7"/>
  <c r="AC406" i="7"/>
  <c r="AB406" i="7"/>
  <c r="AA406" i="7"/>
  <c r="Z406" i="7"/>
  <c r="W406" i="7"/>
  <c r="V406" i="7"/>
  <c r="U406" i="7"/>
  <c r="T406" i="7"/>
  <c r="Q406" i="7"/>
  <c r="P406" i="7"/>
  <c r="O406" i="7"/>
  <c r="N406" i="7"/>
  <c r="K406" i="7"/>
  <c r="J406" i="7"/>
  <c r="I406" i="7"/>
  <c r="H406" i="7"/>
  <c r="E406" i="7"/>
  <c r="D406" i="7"/>
  <c r="C406" i="7"/>
  <c r="B406" i="7"/>
  <c r="AI405" i="7"/>
  <c r="AH405" i="7"/>
  <c r="AG405" i="7"/>
  <c r="AF405" i="7"/>
  <c r="AC405" i="7"/>
  <c r="AB405" i="7"/>
  <c r="AA405" i="7"/>
  <c r="Z405" i="7"/>
  <c r="W405" i="7"/>
  <c r="V405" i="7"/>
  <c r="U405" i="7"/>
  <c r="T405" i="7"/>
  <c r="Q405" i="7"/>
  <c r="P405" i="7"/>
  <c r="O405" i="7"/>
  <c r="N405" i="7"/>
  <c r="K405" i="7"/>
  <c r="J405" i="7"/>
  <c r="I405" i="7"/>
  <c r="H405" i="7"/>
  <c r="E405" i="7"/>
  <c r="D405" i="7"/>
  <c r="C405" i="7"/>
  <c r="B405" i="7"/>
  <c r="AI404" i="7"/>
  <c r="AH404" i="7"/>
  <c r="AG404" i="7"/>
  <c r="AF404" i="7"/>
  <c r="AC404" i="7"/>
  <c r="AB404" i="7"/>
  <c r="AA404" i="7"/>
  <c r="Z404" i="7"/>
  <c r="W404" i="7"/>
  <c r="V404" i="7"/>
  <c r="U404" i="7"/>
  <c r="T404" i="7"/>
  <c r="Q404" i="7"/>
  <c r="P404" i="7"/>
  <c r="O404" i="7"/>
  <c r="N404" i="7"/>
  <c r="K404" i="7"/>
  <c r="J404" i="7"/>
  <c r="I404" i="7"/>
  <c r="H404" i="7"/>
  <c r="E404" i="7"/>
  <c r="D404" i="7"/>
  <c r="C404" i="7"/>
  <c r="B404" i="7"/>
  <c r="AI403" i="7"/>
  <c r="AH403" i="7"/>
  <c r="AG403" i="7"/>
  <c r="AF403" i="7"/>
  <c r="AC403" i="7"/>
  <c r="AB403" i="7"/>
  <c r="AA403" i="7"/>
  <c r="Z403" i="7"/>
  <c r="W403" i="7"/>
  <c r="V403" i="7"/>
  <c r="U403" i="7"/>
  <c r="T403" i="7"/>
  <c r="Q403" i="7"/>
  <c r="P403" i="7"/>
  <c r="O403" i="7"/>
  <c r="N403" i="7"/>
  <c r="K403" i="7"/>
  <c r="J403" i="7"/>
  <c r="I403" i="7"/>
  <c r="H403" i="7"/>
  <c r="E403" i="7"/>
  <c r="D403" i="7"/>
  <c r="C403" i="7"/>
  <c r="B403" i="7"/>
  <c r="AI402" i="7"/>
  <c r="AH402" i="7"/>
  <c r="AG402" i="7"/>
  <c r="AF402" i="7"/>
  <c r="AC402" i="7"/>
  <c r="AB402" i="7"/>
  <c r="AA402" i="7"/>
  <c r="Z402" i="7"/>
  <c r="W402" i="7"/>
  <c r="V402" i="7"/>
  <c r="U402" i="7"/>
  <c r="T402" i="7"/>
  <c r="Q402" i="7"/>
  <c r="P402" i="7"/>
  <c r="O402" i="7"/>
  <c r="N402" i="7"/>
  <c r="K402" i="7"/>
  <c r="J402" i="7"/>
  <c r="I402" i="7"/>
  <c r="H402" i="7"/>
  <c r="E402" i="7"/>
  <c r="D402" i="7"/>
  <c r="C402" i="7"/>
  <c r="B402" i="7"/>
  <c r="AI401" i="7"/>
  <c r="AH401" i="7"/>
  <c r="AG401" i="7"/>
  <c r="AF401" i="7"/>
  <c r="AC401" i="7"/>
  <c r="AB401" i="7"/>
  <c r="AA401" i="7"/>
  <c r="Z401" i="7"/>
  <c r="W401" i="7"/>
  <c r="V401" i="7"/>
  <c r="U401" i="7"/>
  <c r="T401" i="7"/>
  <c r="Q401" i="7"/>
  <c r="P401" i="7"/>
  <c r="O401" i="7"/>
  <c r="N401" i="7"/>
  <c r="K401" i="7"/>
  <c r="J401" i="7"/>
  <c r="I401" i="7"/>
  <c r="H401" i="7"/>
  <c r="E401" i="7"/>
  <c r="D401" i="7"/>
  <c r="C401" i="7"/>
  <c r="B401" i="7"/>
  <c r="AI400" i="7"/>
  <c r="AH400" i="7"/>
  <c r="AG400" i="7"/>
  <c r="AF400" i="7"/>
  <c r="AC400" i="7"/>
  <c r="AB400" i="7"/>
  <c r="AA400" i="7"/>
  <c r="Z400" i="7"/>
  <c r="W400" i="7"/>
  <c r="V400" i="7"/>
  <c r="U400" i="7"/>
  <c r="T400" i="7"/>
  <c r="Q400" i="7"/>
  <c r="P400" i="7"/>
  <c r="O400" i="7"/>
  <c r="N400" i="7"/>
  <c r="K400" i="7"/>
  <c r="J400" i="7"/>
  <c r="I400" i="7"/>
  <c r="H400" i="7"/>
  <c r="E400" i="7"/>
  <c r="D400" i="7"/>
  <c r="C400" i="7"/>
  <c r="B400" i="7"/>
  <c r="AI399" i="7"/>
  <c r="AH399" i="7"/>
  <c r="AG399" i="7"/>
  <c r="AF399" i="7"/>
  <c r="AC399" i="7"/>
  <c r="AB399" i="7"/>
  <c r="AA399" i="7"/>
  <c r="Z399" i="7"/>
  <c r="W399" i="7"/>
  <c r="V399" i="7"/>
  <c r="U399" i="7"/>
  <c r="T399" i="7"/>
  <c r="Q399" i="7"/>
  <c r="P399" i="7"/>
  <c r="O399" i="7"/>
  <c r="N399" i="7"/>
  <c r="K399" i="7"/>
  <c r="J399" i="7"/>
  <c r="I399" i="7"/>
  <c r="H399" i="7"/>
  <c r="E399" i="7"/>
  <c r="D399" i="7"/>
  <c r="C399" i="7"/>
  <c r="B399" i="7"/>
  <c r="AI398" i="7"/>
  <c r="AH398" i="7"/>
  <c r="AG398" i="7"/>
  <c r="AF398" i="7"/>
  <c r="AC398" i="7"/>
  <c r="AB398" i="7"/>
  <c r="AA398" i="7"/>
  <c r="Z398" i="7"/>
  <c r="W398" i="7"/>
  <c r="V398" i="7"/>
  <c r="U398" i="7"/>
  <c r="T398" i="7"/>
  <c r="Q398" i="7"/>
  <c r="P398" i="7"/>
  <c r="O398" i="7"/>
  <c r="N398" i="7"/>
  <c r="K398" i="7"/>
  <c r="J398" i="7"/>
  <c r="I398" i="7"/>
  <c r="H398" i="7"/>
  <c r="E398" i="7"/>
  <c r="D398" i="7"/>
  <c r="C398" i="7"/>
  <c r="B398" i="7"/>
  <c r="AI397" i="7"/>
  <c r="AH397" i="7"/>
  <c r="AG397" i="7"/>
  <c r="AF397" i="7"/>
  <c r="AC397" i="7"/>
  <c r="AB397" i="7"/>
  <c r="AA397" i="7"/>
  <c r="Z397" i="7"/>
  <c r="W397" i="7"/>
  <c r="V397" i="7"/>
  <c r="U397" i="7"/>
  <c r="T397" i="7"/>
  <c r="Q397" i="7"/>
  <c r="P397" i="7"/>
  <c r="O397" i="7"/>
  <c r="N397" i="7"/>
  <c r="K397" i="7"/>
  <c r="J397" i="7"/>
  <c r="I397" i="7"/>
  <c r="H397" i="7"/>
  <c r="E397" i="7"/>
  <c r="D397" i="7"/>
  <c r="C397" i="7"/>
  <c r="B397" i="7"/>
  <c r="AI396" i="7"/>
  <c r="AH396" i="7"/>
  <c r="AG396" i="7"/>
  <c r="AF396" i="7"/>
  <c r="AC396" i="7"/>
  <c r="AB396" i="7"/>
  <c r="AA396" i="7"/>
  <c r="Z396" i="7"/>
  <c r="W396" i="7"/>
  <c r="V396" i="7"/>
  <c r="U396" i="7"/>
  <c r="T396" i="7"/>
  <c r="Q396" i="7"/>
  <c r="P396" i="7"/>
  <c r="O396" i="7"/>
  <c r="N396" i="7"/>
  <c r="K396" i="7"/>
  <c r="J396" i="7"/>
  <c r="I396" i="7"/>
  <c r="H396" i="7"/>
  <c r="E396" i="7"/>
  <c r="D396" i="7"/>
  <c r="C396" i="7"/>
  <c r="B396" i="7"/>
  <c r="AI395" i="7"/>
  <c r="AH395" i="7"/>
  <c r="AG395" i="7"/>
  <c r="AF395" i="7"/>
  <c r="AC395" i="7"/>
  <c r="AB395" i="7"/>
  <c r="AA395" i="7"/>
  <c r="Z395" i="7"/>
  <c r="W395" i="7"/>
  <c r="V395" i="7"/>
  <c r="U395" i="7"/>
  <c r="T395" i="7"/>
  <c r="Q395" i="7"/>
  <c r="P395" i="7"/>
  <c r="O395" i="7"/>
  <c r="N395" i="7"/>
  <c r="K395" i="7"/>
  <c r="J395" i="7"/>
  <c r="I395" i="7"/>
  <c r="H395" i="7"/>
  <c r="E395" i="7"/>
  <c r="D395" i="7"/>
  <c r="C395" i="7"/>
  <c r="B395" i="7"/>
  <c r="AI394" i="7"/>
  <c r="AH394" i="7"/>
  <c r="AG394" i="7"/>
  <c r="AF394" i="7"/>
  <c r="AC394" i="7"/>
  <c r="AB394" i="7"/>
  <c r="AA394" i="7"/>
  <c r="Z394" i="7"/>
  <c r="W394" i="7"/>
  <c r="V394" i="7"/>
  <c r="U394" i="7"/>
  <c r="T394" i="7"/>
  <c r="Q394" i="7"/>
  <c r="P394" i="7"/>
  <c r="O394" i="7"/>
  <c r="N394" i="7"/>
  <c r="K394" i="7"/>
  <c r="J394" i="7"/>
  <c r="I394" i="7"/>
  <c r="H394" i="7"/>
  <c r="E394" i="7"/>
  <c r="D394" i="7"/>
  <c r="C394" i="7"/>
  <c r="B394" i="7"/>
  <c r="AI393" i="7"/>
  <c r="AH393" i="7"/>
  <c r="AG393" i="7"/>
  <c r="AF393" i="7"/>
  <c r="AC393" i="7"/>
  <c r="AB393" i="7"/>
  <c r="AA393" i="7"/>
  <c r="Z393" i="7"/>
  <c r="W393" i="7"/>
  <c r="V393" i="7"/>
  <c r="U393" i="7"/>
  <c r="T393" i="7"/>
  <c r="Q393" i="7"/>
  <c r="P393" i="7"/>
  <c r="O393" i="7"/>
  <c r="N393" i="7"/>
  <c r="K393" i="7"/>
  <c r="J393" i="7"/>
  <c r="I393" i="7"/>
  <c r="H393" i="7"/>
  <c r="E393" i="7"/>
  <c r="D393" i="7"/>
  <c r="C393" i="7"/>
  <c r="B393" i="7"/>
  <c r="AI392" i="7"/>
  <c r="AH392" i="7"/>
  <c r="AG392" i="7"/>
  <c r="AF392" i="7"/>
  <c r="AC392" i="7"/>
  <c r="AB392" i="7"/>
  <c r="AA392" i="7"/>
  <c r="Z392" i="7"/>
  <c r="W392" i="7"/>
  <c r="V392" i="7"/>
  <c r="U392" i="7"/>
  <c r="T392" i="7"/>
  <c r="Q392" i="7"/>
  <c r="P392" i="7"/>
  <c r="O392" i="7"/>
  <c r="N392" i="7"/>
  <c r="K392" i="7"/>
  <c r="J392" i="7"/>
  <c r="I392" i="7"/>
  <c r="H392" i="7"/>
  <c r="E392" i="7"/>
  <c r="D392" i="7"/>
  <c r="C392" i="7"/>
  <c r="B392" i="7"/>
  <c r="AI391" i="7"/>
  <c r="AH391" i="7"/>
  <c r="AG391" i="7"/>
  <c r="AF391" i="7"/>
  <c r="AC391" i="7"/>
  <c r="AB391" i="7"/>
  <c r="AA391" i="7"/>
  <c r="Z391" i="7"/>
  <c r="W391" i="7"/>
  <c r="V391" i="7"/>
  <c r="U391" i="7"/>
  <c r="T391" i="7"/>
  <c r="Q391" i="7"/>
  <c r="P391" i="7"/>
  <c r="O391" i="7"/>
  <c r="N391" i="7"/>
  <c r="K391" i="7"/>
  <c r="J391" i="7"/>
  <c r="I391" i="7"/>
  <c r="H391" i="7"/>
  <c r="E391" i="7"/>
  <c r="D391" i="7"/>
  <c r="C391" i="7"/>
  <c r="B391" i="7"/>
  <c r="AI390" i="7"/>
  <c r="AH390" i="7"/>
  <c r="AG390" i="7"/>
  <c r="AF390" i="7"/>
  <c r="AC390" i="7"/>
  <c r="AB390" i="7"/>
  <c r="AA390" i="7"/>
  <c r="Z390" i="7"/>
  <c r="W390" i="7"/>
  <c r="V390" i="7"/>
  <c r="U390" i="7"/>
  <c r="T390" i="7"/>
  <c r="Q390" i="7"/>
  <c r="P390" i="7"/>
  <c r="O390" i="7"/>
  <c r="N390" i="7"/>
  <c r="K390" i="7"/>
  <c r="J390" i="7"/>
  <c r="I390" i="7"/>
  <c r="H390" i="7"/>
  <c r="E390" i="7"/>
  <c r="D390" i="7"/>
  <c r="C390" i="7"/>
  <c r="B390" i="7"/>
  <c r="AI389" i="7"/>
  <c r="AH389" i="7"/>
  <c r="AG389" i="7"/>
  <c r="AF389" i="7"/>
  <c r="AC389" i="7"/>
  <c r="AB389" i="7"/>
  <c r="AA389" i="7"/>
  <c r="Z389" i="7"/>
  <c r="W389" i="7"/>
  <c r="V389" i="7"/>
  <c r="U389" i="7"/>
  <c r="T389" i="7"/>
  <c r="Q389" i="7"/>
  <c r="P389" i="7"/>
  <c r="O389" i="7"/>
  <c r="N389" i="7"/>
  <c r="K389" i="7"/>
  <c r="J389" i="7"/>
  <c r="I389" i="7"/>
  <c r="H389" i="7"/>
  <c r="E389" i="7"/>
  <c r="D389" i="7"/>
  <c r="C389" i="7"/>
  <c r="B389" i="7"/>
  <c r="AI388" i="7"/>
  <c r="AH388" i="7"/>
  <c r="AG388" i="7"/>
  <c r="AF388" i="7"/>
  <c r="AC388" i="7"/>
  <c r="AB388" i="7"/>
  <c r="AA388" i="7"/>
  <c r="Z388" i="7"/>
  <c r="W388" i="7"/>
  <c r="V388" i="7"/>
  <c r="U388" i="7"/>
  <c r="T388" i="7"/>
  <c r="Q388" i="7"/>
  <c r="P388" i="7"/>
  <c r="O388" i="7"/>
  <c r="N388" i="7"/>
  <c r="K388" i="7"/>
  <c r="J388" i="7"/>
  <c r="I388" i="7"/>
  <c r="H388" i="7"/>
  <c r="E388" i="7"/>
  <c r="D388" i="7"/>
  <c r="C388" i="7"/>
  <c r="B388" i="7"/>
  <c r="AI387" i="7"/>
  <c r="AH387" i="7"/>
  <c r="AG387" i="7"/>
  <c r="AF387" i="7"/>
  <c r="AC387" i="7"/>
  <c r="AB387" i="7"/>
  <c r="AA387" i="7"/>
  <c r="Z387" i="7"/>
  <c r="W387" i="7"/>
  <c r="V387" i="7"/>
  <c r="U387" i="7"/>
  <c r="T387" i="7"/>
  <c r="Q387" i="7"/>
  <c r="P387" i="7"/>
  <c r="O387" i="7"/>
  <c r="N387" i="7"/>
  <c r="K387" i="7"/>
  <c r="J387" i="7"/>
  <c r="I387" i="7"/>
  <c r="H387" i="7"/>
  <c r="E387" i="7"/>
  <c r="D387" i="7"/>
  <c r="C387" i="7"/>
  <c r="B387" i="7"/>
  <c r="AI386" i="7"/>
  <c r="AH386" i="7"/>
  <c r="AG386" i="7"/>
  <c r="AF386" i="7"/>
  <c r="AC386" i="7"/>
  <c r="AB386" i="7"/>
  <c r="AA386" i="7"/>
  <c r="Z386" i="7"/>
  <c r="W386" i="7"/>
  <c r="V386" i="7"/>
  <c r="U386" i="7"/>
  <c r="T386" i="7"/>
  <c r="Q386" i="7"/>
  <c r="P386" i="7"/>
  <c r="O386" i="7"/>
  <c r="N386" i="7"/>
  <c r="K386" i="7"/>
  <c r="J386" i="7"/>
  <c r="I386" i="7"/>
  <c r="H386" i="7"/>
  <c r="E386" i="7"/>
  <c r="D386" i="7"/>
  <c r="C386" i="7"/>
  <c r="B386" i="7"/>
  <c r="AI385" i="7"/>
  <c r="AH385" i="7"/>
  <c r="AG385" i="7"/>
  <c r="AF385" i="7"/>
  <c r="AC385" i="7"/>
  <c r="AB385" i="7"/>
  <c r="AA385" i="7"/>
  <c r="Z385" i="7"/>
  <c r="W385" i="7"/>
  <c r="V385" i="7"/>
  <c r="U385" i="7"/>
  <c r="T385" i="7"/>
  <c r="Q385" i="7"/>
  <c r="P385" i="7"/>
  <c r="O385" i="7"/>
  <c r="N385" i="7"/>
  <c r="K385" i="7"/>
  <c r="J385" i="7"/>
  <c r="I385" i="7"/>
  <c r="H385" i="7"/>
  <c r="E385" i="7"/>
  <c r="D385" i="7"/>
  <c r="C385" i="7"/>
  <c r="B385" i="7"/>
  <c r="AI384" i="7"/>
  <c r="AH384" i="7"/>
  <c r="AG384" i="7"/>
  <c r="AF384" i="7"/>
  <c r="AC384" i="7"/>
  <c r="AB384" i="7"/>
  <c r="AA384" i="7"/>
  <c r="Z384" i="7"/>
  <c r="W384" i="7"/>
  <c r="V384" i="7"/>
  <c r="U384" i="7"/>
  <c r="T384" i="7"/>
  <c r="Q384" i="7"/>
  <c r="P384" i="7"/>
  <c r="O384" i="7"/>
  <c r="N384" i="7"/>
  <c r="K384" i="7"/>
  <c r="J384" i="7"/>
  <c r="I384" i="7"/>
  <c r="H384" i="7"/>
  <c r="E384" i="7"/>
  <c r="D384" i="7"/>
  <c r="C384" i="7"/>
  <c r="B384" i="7"/>
  <c r="AI383" i="7"/>
  <c r="AH383" i="7"/>
  <c r="AG383" i="7"/>
  <c r="AF383" i="7"/>
  <c r="AC383" i="7"/>
  <c r="AB383" i="7"/>
  <c r="AA383" i="7"/>
  <c r="Z383" i="7"/>
  <c r="W383" i="7"/>
  <c r="V383" i="7"/>
  <c r="U383" i="7"/>
  <c r="T383" i="7"/>
  <c r="Q383" i="7"/>
  <c r="P383" i="7"/>
  <c r="O383" i="7"/>
  <c r="N383" i="7"/>
  <c r="K383" i="7"/>
  <c r="J383" i="7"/>
  <c r="I383" i="7"/>
  <c r="H383" i="7"/>
  <c r="E383" i="7"/>
  <c r="D383" i="7"/>
  <c r="C383" i="7"/>
  <c r="B383" i="7"/>
  <c r="AI382" i="7"/>
  <c r="AH382" i="7"/>
  <c r="AG382" i="7"/>
  <c r="AF382" i="7"/>
  <c r="AC382" i="7"/>
  <c r="AB382" i="7"/>
  <c r="AA382" i="7"/>
  <c r="Z382" i="7"/>
  <c r="W382" i="7"/>
  <c r="V382" i="7"/>
  <c r="U382" i="7"/>
  <c r="T382" i="7"/>
  <c r="Q382" i="7"/>
  <c r="P382" i="7"/>
  <c r="O382" i="7"/>
  <c r="N382" i="7"/>
  <c r="K382" i="7"/>
  <c r="J382" i="7"/>
  <c r="I382" i="7"/>
  <c r="H382" i="7"/>
  <c r="E382" i="7"/>
  <c r="D382" i="7"/>
  <c r="C382" i="7"/>
  <c r="B382" i="7"/>
  <c r="AI381" i="7"/>
  <c r="AH381" i="7"/>
  <c r="AG381" i="7"/>
  <c r="AF381" i="7"/>
  <c r="AC381" i="7"/>
  <c r="AB381" i="7"/>
  <c r="AA381" i="7"/>
  <c r="Z381" i="7"/>
  <c r="W381" i="7"/>
  <c r="V381" i="7"/>
  <c r="U381" i="7"/>
  <c r="T381" i="7"/>
  <c r="Q381" i="7"/>
  <c r="P381" i="7"/>
  <c r="O381" i="7"/>
  <c r="N381" i="7"/>
  <c r="K381" i="7"/>
  <c r="J381" i="7"/>
  <c r="I381" i="7"/>
  <c r="H381" i="7"/>
  <c r="E381" i="7"/>
  <c r="D381" i="7"/>
  <c r="C381" i="7"/>
  <c r="B381" i="7"/>
  <c r="AI380" i="7"/>
  <c r="AH380" i="7"/>
  <c r="AG380" i="7"/>
  <c r="AF380" i="7"/>
  <c r="AC380" i="7"/>
  <c r="AB380" i="7"/>
  <c r="AA380" i="7"/>
  <c r="Z380" i="7"/>
  <c r="W380" i="7"/>
  <c r="V380" i="7"/>
  <c r="U380" i="7"/>
  <c r="T380" i="7"/>
  <c r="Q380" i="7"/>
  <c r="P380" i="7"/>
  <c r="O380" i="7"/>
  <c r="N380" i="7"/>
  <c r="K380" i="7"/>
  <c r="J380" i="7"/>
  <c r="I380" i="7"/>
  <c r="H380" i="7"/>
  <c r="E380" i="7"/>
  <c r="D380" i="7"/>
  <c r="C380" i="7"/>
  <c r="B380" i="7"/>
  <c r="AI379" i="7"/>
  <c r="AH379" i="7"/>
  <c r="AG379" i="7"/>
  <c r="AF379" i="7"/>
  <c r="AC379" i="7"/>
  <c r="AB379" i="7"/>
  <c r="AA379" i="7"/>
  <c r="Z379" i="7"/>
  <c r="W379" i="7"/>
  <c r="V379" i="7"/>
  <c r="U379" i="7"/>
  <c r="T379" i="7"/>
  <c r="Q379" i="7"/>
  <c r="P379" i="7"/>
  <c r="O379" i="7"/>
  <c r="N379" i="7"/>
  <c r="K379" i="7"/>
  <c r="J379" i="7"/>
  <c r="I379" i="7"/>
  <c r="H379" i="7"/>
  <c r="E379" i="7"/>
  <c r="D379" i="7"/>
  <c r="C379" i="7"/>
  <c r="B379" i="7"/>
  <c r="AI378" i="7"/>
  <c r="AH378" i="7"/>
  <c r="AG378" i="7"/>
  <c r="AF378" i="7"/>
  <c r="AC378" i="7"/>
  <c r="AB378" i="7"/>
  <c r="AA378" i="7"/>
  <c r="Z378" i="7"/>
  <c r="W378" i="7"/>
  <c r="V378" i="7"/>
  <c r="U378" i="7"/>
  <c r="T378" i="7"/>
  <c r="Q378" i="7"/>
  <c r="P378" i="7"/>
  <c r="O378" i="7"/>
  <c r="N378" i="7"/>
  <c r="K378" i="7"/>
  <c r="J378" i="7"/>
  <c r="I378" i="7"/>
  <c r="H378" i="7"/>
  <c r="E378" i="7"/>
  <c r="D378" i="7"/>
  <c r="C378" i="7"/>
  <c r="B378" i="7"/>
  <c r="AI377" i="7"/>
  <c r="AH377" i="7"/>
  <c r="AG377" i="7"/>
  <c r="AF377" i="7"/>
  <c r="AC377" i="7"/>
  <c r="AB377" i="7"/>
  <c r="AA377" i="7"/>
  <c r="Z377" i="7"/>
  <c r="W377" i="7"/>
  <c r="V377" i="7"/>
  <c r="U377" i="7"/>
  <c r="T377" i="7"/>
  <c r="Q377" i="7"/>
  <c r="P377" i="7"/>
  <c r="O377" i="7"/>
  <c r="N377" i="7"/>
  <c r="K377" i="7"/>
  <c r="J377" i="7"/>
  <c r="I377" i="7"/>
  <c r="H377" i="7"/>
  <c r="E377" i="7"/>
  <c r="D377" i="7"/>
  <c r="C377" i="7"/>
  <c r="B377" i="7"/>
  <c r="AI376" i="7"/>
  <c r="AH376" i="7"/>
  <c r="AG376" i="7"/>
  <c r="AF376" i="7"/>
  <c r="AC376" i="7"/>
  <c r="AB376" i="7"/>
  <c r="AA376" i="7"/>
  <c r="Z376" i="7"/>
  <c r="W376" i="7"/>
  <c r="V376" i="7"/>
  <c r="U376" i="7"/>
  <c r="T376" i="7"/>
  <c r="Q376" i="7"/>
  <c r="P376" i="7"/>
  <c r="O376" i="7"/>
  <c r="N376" i="7"/>
  <c r="K376" i="7"/>
  <c r="J376" i="7"/>
  <c r="I376" i="7"/>
  <c r="H376" i="7"/>
  <c r="E376" i="7"/>
  <c r="D376" i="7"/>
  <c r="C376" i="7"/>
  <c r="B376" i="7"/>
  <c r="AI375" i="7"/>
  <c r="AH375" i="7"/>
  <c r="AG375" i="7"/>
  <c r="AF375" i="7"/>
  <c r="AC375" i="7"/>
  <c r="AB375" i="7"/>
  <c r="AA375" i="7"/>
  <c r="Z375" i="7"/>
  <c r="W375" i="7"/>
  <c r="V375" i="7"/>
  <c r="U375" i="7"/>
  <c r="T375" i="7"/>
  <c r="Q375" i="7"/>
  <c r="P375" i="7"/>
  <c r="O375" i="7"/>
  <c r="N375" i="7"/>
  <c r="K375" i="7"/>
  <c r="J375" i="7"/>
  <c r="I375" i="7"/>
  <c r="H375" i="7"/>
  <c r="E375" i="7"/>
  <c r="D375" i="7"/>
  <c r="C375" i="7"/>
  <c r="B375" i="7"/>
  <c r="AI374" i="7"/>
  <c r="AH374" i="7"/>
  <c r="AG374" i="7"/>
  <c r="AF374" i="7"/>
  <c r="AC374" i="7"/>
  <c r="AB374" i="7"/>
  <c r="AA374" i="7"/>
  <c r="Z374" i="7"/>
  <c r="W374" i="7"/>
  <c r="V374" i="7"/>
  <c r="U374" i="7"/>
  <c r="T374" i="7"/>
  <c r="Q374" i="7"/>
  <c r="P374" i="7"/>
  <c r="O374" i="7"/>
  <c r="N374" i="7"/>
  <c r="K374" i="7"/>
  <c r="J374" i="7"/>
  <c r="I374" i="7"/>
  <c r="H374" i="7"/>
  <c r="E374" i="7"/>
  <c r="D374" i="7"/>
  <c r="C374" i="7"/>
  <c r="B374" i="7"/>
  <c r="AI373" i="7"/>
  <c r="AH373" i="7"/>
  <c r="AG373" i="7"/>
  <c r="AF373" i="7"/>
  <c r="AC373" i="7"/>
  <c r="AB373" i="7"/>
  <c r="AA373" i="7"/>
  <c r="Z373" i="7"/>
  <c r="W373" i="7"/>
  <c r="V373" i="7"/>
  <c r="U373" i="7"/>
  <c r="T373" i="7"/>
  <c r="Q373" i="7"/>
  <c r="P373" i="7"/>
  <c r="O373" i="7"/>
  <c r="N373" i="7"/>
  <c r="K373" i="7"/>
  <c r="J373" i="7"/>
  <c r="I373" i="7"/>
  <c r="H373" i="7"/>
  <c r="E373" i="7"/>
  <c r="D373" i="7"/>
  <c r="C373" i="7"/>
  <c r="B373" i="7"/>
  <c r="AI372" i="7"/>
  <c r="AH372" i="7"/>
  <c r="AG372" i="7"/>
  <c r="AF372" i="7"/>
  <c r="AC372" i="7"/>
  <c r="AB372" i="7"/>
  <c r="AA372" i="7"/>
  <c r="Z372" i="7"/>
  <c r="W372" i="7"/>
  <c r="V372" i="7"/>
  <c r="U372" i="7"/>
  <c r="T372" i="7"/>
  <c r="Q372" i="7"/>
  <c r="P372" i="7"/>
  <c r="O372" i="7"/>
  <c r="N372" i="7"/>
  <c r="K372" i="7"/>
  <c r="J372" i="7"/>
  <c r="I372" i="7"/>
  <c r="H372" i="7"/>
  <c r="E372" i="7"/>
  <c r="D372" i="7"/>
  <c r="C372" i="7"/>
  <c r="B372" i="7"/>
  <c r="AI371" i="7"/>
  <c r="AH371" i="7"/>
  <c r="AG371" i="7"/>
  <c r="AF371" i="7"/>
  <c r="AC371" i="7"/>
  <c r="AB371" i="7"/>
  <c r="AA371" i="7"/>
  <c r="Z371" i="7"/>
  <c r="W371" i="7"/>
  <c r="V371" i="7"/>
  <c r="U371" i="7"/>
  <c r="T371" i="7"/>
  <c r="Q371" i="7"/>
  <c r="P371" i="7"/>
  <c r="O371" i="7"/>
  <c r="N371" i="7"/>
  <c r="K371" i="7"/>
  <c r="J371" i="7"/>
  <c r="I371" i="7"/>
  <c r="H371" i="7"/>
  <c r="E371" i="7"/>
  <c r="D371" i="7"/>
  <c r="C371" i="7"/>
  <c r="B371" i="7"/>
  <c r="AI370" i="7"/>
  <c r="AH370" i="7"/>
  <c r="AG370" i="7"/>
  <c r="AF370" i="7"/>
  <c r="AC370" i="7"/>
  <c r="AB370" i="7"/>
  <c r="AA370" i="7"/>
  <c r="Z370" i="7"/>
  <c r="W370" i="7"/>
  <c r="V370" i="7"/>
  <c r="U370" i="7"/>
  <c r="T370" i="7"/>
  <c r="Q370" i="7"/>
  <c r="P370" i="7"/>
  <c r="O370" i="7"/>
  <c r="N370" i="7"/>
  <c r="K370" i="7"/>
  <c r="J370" i="7"/>
  <c r="I370" i="7"/>
  <c r="H370" i="7"/>
  <c r="E370" i="7"/>
  <c r="D370" i="7"/>
  <c r="C370" i="7"/>
  <c r="B370" i="7"/>
  <c r="AI369" i="7"/>
  <c r="AH369" i="7"/>
  <c r="AG369" i="7"/>
  <c r="AF369" i="7"/>
  <c r="AC369" i="7"/>
  <c r="AB369" i="7"/>
  <c r="AA369" i="7"/>
  <c r="Z369" i="7"/>
  <c r="W369" i="7"/>
  <c r="V369" i="7"/>
  <c r="U369" i="7"/>
  <c r="T369" i="7"/>
  <c r="Q369" i="7"/>
  <c r="P369" i="7"/>
  <c r="O369" i="7"/>
  <c r="N369" i="7"/>
  <c r="K369" i="7"/>
  <c r="J369" i="7"/>
  <c r="I369" i="7"/>
  <c r="H369" i="7"/>
  <c r="E369" i="7"/>
  <c r="D369" i="7"/>
  <c r="C369" i="7"/>
  <c r="B369" i="7"/>
  <c r="AI368" i="7"/>
  <c r="AH368" i="7"/>
  <c r="AG368" i="7"/>
  <c r="AF368" i="7"/>
  <c r="AC368" i="7"/>
  <c r="AB368" i="7"/>
  <c r="AA368" i="7"/>
  <c r="Z368" i="7"/>
  <c r="W368" i="7"/>
  <c r="V368" i="7"/>
  <c r="U368" i="7"/>
  <c r="T368" i="7"/>
  <c r="Q368" i="7"/>
  <c r="P368" i="7"/>
  <c r="O368" i="7"/>
  <c r="N368" i="7"/>
  <c r="K368" i="7"/>
  <c r="J368" i="7"/>
  <c r="I368" i="7"/>
  <c r="H368" i="7"/>
  <c r="E368" i="7"/>
  <c r="D368" i="7"/>
  <c r="C368" i="7"/>
  <c r="B368" i="7"/>
  <c r="AI367" i="7"/>
  <c r="AH367" i="7"/>
  <c r="AG367" i="7"/>
  <c r="AF367" i="7"/>
  <c r="AC367" i="7"/>
  <c r="AB367" i="7"/>
  <c r="AA367" i="7"/>
  <c r="Z367" i="7"/>
  <c r="W367" i="7"/>
  <c r="V367" i="7"/>
  <c r="U367" i="7"/>
  <c r="T367" i="7"/>
  <c r="Q367" i="7"/>
  <c r="P367" i="7"/>
  <c r="O367" i="7"/>
  <c r="N367" i="7"/>
  <c r="K367" i="7"/>
  <c r="J367" i="7"/>
  <c r="I367" i="7"/>
  <c r="H367" i="7"/>
  <c r="E367" i="7"/>
  <c r="D367" i="7"/>
  <c r="C367" i="7"/>
  <c r="B367" i="7"/>
  <c r="AI366" i="7"/>
  <c r="AH366" i="7"/>
  <c r="AG366" i="7"/>
  <c r="AF366" i="7"/>
  <c r="AC366" i="7"/>
  <c r="AB366" i="7"/>
  <c r="AA366" i="7"/>
  <c r="Z366" i="7"/>
  <c r="W366" i="7"/>
  <c r="V366" i="7"/>
  <c r="U366" i="7"/>
  <c r="T366" i="7"/>
  <c r="Q366" i="7"/>
  <c r="P366" i="7"/>
  <c r="O366" i="7"/>
  <c r="N366" i="7"/>
  <c r="K366" i="7"/>
  <c r="J366" i="7"/>
  <c r="I366" i="7"/>
  <c r="H366" i="7"/>
  <c r="E366" i="7"/>
  <c r="D366" i="7"/>
  <c r="C366" i="7"/>
  <c r="B366" i="7"/>
  <c r="AI365" i="7"/>
  <c r="AH365" i="7"/>
  <c r="AG365" i="7"/>
  <c r="AF365" i="7"/>
  <c r="AC365" i="7"/>
  <c r="AB365" i="7"/>
  <c r="AA365" i="7"/>
  <c r="Z365" i="7"/>
  <c r="W365" i="7"/>
  <c r="V365" i="7"/>
  <c r="U365" i="7"/>
  <c r="T365" i="7"/>
  <c r="Q365" i="7"/>
  <c r="P365" i="7"/>
  <c r="O365" i="7"/>
  <c r="N365" i="7"/>
  <c r="K365" i="7"/>
  <c r="J365" i="7"/>
  <c r="I365" i="7"/>
  <c r="H365" i="7"/>
  <c r="E365" i="7"/>
  <c r="D365" i="7"/>
  <c r="C365" i="7"/>
  <c r="B365" i="7"/>
  <c r="AI364" i="7"/>
  <c r="AH364" i="7"/>
  <c r="AG364" i="7"/>
  <c r="AF364" i="7"/>
  <c r="AC364" i="7"/>
  <c r="AB364" i="7"/>
  <c r="AA364" i="7"/>
  <c r="Z364" i="7"/>
  <c r="W364" i="7"/>
  <c r="V364" i="7"/>
  <c r="U364" i="7"/>
  <c r="T364" i="7"/>
  <c r="Q364" i="7"/>
  <c r="P364" i="7"/>
  <c r="O364" i="7"/>
  <c r="N364" i="7"/>
  <c r="K364" i="7"/>
  <c r="J364" i="7"/>
  <c r="I364" i="7"/>
  <c r="H364" i="7"/>
  <c r="E364" i="7"/>
  <c r="D364" i="7"/>
  <c r="C364" i="7"/>
  <c r="B364" i="7"/>
  <c r="AI363" i="7"/>
  <c r="AH363" i="7"/>
  <c r="AG363" i="7"/>
  <c r="AF363" i="7"/>
  <c r="AC363" i="7"/>
  <c r="AB363" i="7"/>
  <c r="AA363" i="7"/>
  <c r="Z363" i="7"/>
  <c r="W363" i="7"/>
  <c r="V363" i="7"/>
  <c r="U363" i="7"/>
  <c r="T363" i="7"/>
  <c r="Q363" i="7"/>
  <c r="P363" i="7"/>
  <c r="O363" i="7"/>
  <c r="N363" i="7"/>
  <c r="K363" i="7"/>
  <c r="J363" i="7"/>
  <c r="I363" i="7"/>
  <c r="H363" i="7"/>
  <c r="E363" i="7"/>
  <c r="D363" i="7"/>
  <c r="C363" i="7"/>
  <c r="B363" i="7"/>
  <c r="AI362" i="7"/>
  <c r="AH362" i="7"/>
  <c r="AG362" i="7"/>
  <c r="AF362" i="7"/>
  <c r="AC362" i="7"/>
  <c r="AB362" i="7"/>
  <c r="AA362" i="7"/>
  <c r="Z362" i="7"/>
  <c r="W362" i="7"/>
  <c r="V362" i="7"/>
  <c r="U362" i="7"/>
  <c r="T362" i="7"/>
  <c r="Q362" i="7"/>
  <c r="P362" i="7"/>
  <c r="O362" i="7"/>
  <c r="N362" i="7"/>
  <c r="K362" i="7"/>
  <c r="J362" i="7"/>
  <c r="I362" i="7"/>
  <c r="H362" i="7"/>
  <c r="E362" i="7"/>
  <c r="D362" i="7"/>
  <c r="C362" i="7"/>
  <c r="B362" i="7"/>
  <c r="AI361" i="7"/>
  <c r="AH361" i="7"/>
  <c r="AG361" i="7"/>
  <c r="AF361" i="7"/>
  <c r="AC361" i="7"/>
  <c r="AB361" i="7"/>
  <c r="AA361" i="7"/>
  <c r="Z361" i="7"/>
  <c r="W361" i="7"/>
  <c r="V361" i="7"/>
  <c r="U361" i="7"/>
  <c r="T361" i="7"/>
  <c r="Q361" i="7"/>
  <c r="P361" i="7"/>
  <c r="O361" i="7"/>
  <c r="N361" i="7"/>
  <c r="K361" i="7"/>
  <c r="J361" i="7"/>
  <c r="I361" i="7"/>
  <c r="H361" i="7"/>
  <c r="E361" i="7"/>
  <c r="D361" i="7"/>
  <c r="C361" i="7"/>
  <c r="B361" i="7"/>
  <c r="AI360" i="7"/>
  <c r="AH360" i="7"/>
  <c r="AG360" i="7"/>
  <c r="AF360" i="7"/>
  <c r="AC360" i="7"/>
  <c r="AB360" i="7"/>
  <c r="AA360" i="7"/>
  <c r="Z360" i="7"/>
  <c r="W360" i="7"/>
  <c r="V360" i="7"/>
  <c r="U360" i="7"/>
  <c r="T360" i="7"/>
  <c r="Q360" i="7"/>
  <c r="P360" i="7"/>
  <c r="O360" i="7"/>
  <c r="N360" i="7"/>
  <c r="K360" i="7"/>
  <c r="J360" i="7"/>
  <c r="I360" i="7"/>
  <c r="H360" i="7"/>
  <c r="E360" i="7"/>
  <c r="D360" i="7"/>
  <c r="C360" i="7"/>
  <c r="B360" i="7"/>
  <c r="AI359" i="7"/>
  <c r="AH359" i="7"/>
  <c r="AG359" i="7"/>
  <c r="AF359" i="7"/>
  <c r="AC359" i="7"/>
  <c r="AB359" i="7"/>
  <c r="AA359" i="7"/>
  <c r="Z359" i="7"/>
  <c r="W359" i="7"/>
  <c r="V359" i="7"/>
  <c r="U359" i="7"/>
  <c r="T359" i="7"/>
  <c r="Q359" i="7"/>
  <c r="P359" i="7"/>
  <c r="O359" i="7"/>
  <c r="N359" i="7"/>
  <c r="K359" i="7"/>
  <c r="J359" i="7"/>
  <c r="I359" i="7"/>
  <c r="H359" i="7"/>
  <c r="E359" i="7"/>
  <c r="D359" i="7"/>
  <c r="C359" i="7"/>
  <c r="B359" i="7"/>
  <c r="AI358" i="7"/>
  <c r="AH358" i="7"/>
  <c r="AG358" i="7"/>
  <c r="AF358" i="7"/>
  <c r="AC358" i="7"/>
  <c r="AB358" i="7"/>
  <c r="AA358" i="7"/>
  <c r="Z358" i="7"/>
  <c r="W358" i="7"/>
  <c r="V358" i="7"/>
  <c r="U358" i="7"/>
  <c r="T358" i="7"/>
  <c r="Q358" i="7"/>
  <c r="P358" i="7"/>
  <c r="O358" i="7"/>
  <c r="N358" i="7"/>
  <c r="K358" i="7"/>
  <c r="J358" i="7"/>
  <c r="I358" i="7"/>
  <c r="H358" i="7"/>
  <c r="E358" i="7"/>
  <c r="D358" i="7"/>
  <c r="C358" i="7"/>
  <c r="B358" i="7"/>
  <c r="AI357" i="7"/>
  <c r="AH357" i="7"/>
  <c r="AG357" i="7"/>
  <c r="AF357" i="7"/>
  <c r="AC357" i="7"/>
  <c r="AB357" i="7"/>
  <c r="AA357" i="7"/>
  <c r="Z357" i="7"/>
  <c r="W357" i="7"/>
  <c r="V357" i="7"/>
  <c r="U357" i="7"/>
  <c r="T357" i="7"/>
  <c r="Q357" i="7"/>
  <c r="P357" i="7"/>
  <c r="O357" i="7"/>
  <c r="N357" i="7"/>
  <c r="K357" i="7"/>
  <c r="J357" i="7"/>
  <c r="I357" i="7"/>
  <c r="H357" i="7"/>
  <c r="E357" i="7"/>
  <c r="D357" i="7"/>
  <c r="C357" i="7"/>
  <c r="B357" i="7"/>
  <c r="AI356" i="7"/>
  <c r="AH356" i="7"/>
  <c r="AG356" i="7"/>
  <c r="AF356" i="7"/>
  <c r="AC356" i="7"/>
  <c r="AB356" i="7"/>
  <c r="AA356" i="7"/>
  <c r="Z356" i="7"/>
  <c r="W356" i="7"/>
  <c r="V356" i="7"/>
  <c r="U356" i="7"/>
  <c r="T356" i="7"/>
  <c r="Q356" i="7"/>
  <c r="P356" i="7"/>
  <c r="O356" i="7"/>
  <c r="N356" i="7"/>
  <c r="K356" i="7"/>
  <c r="J356" i="7"/>
  <c r="I356" i="7"/>
  <c r="H356" i="7"/>
  <c r="E356" i="7"/>
  <c r="D356" i="7"/>
  <c r="C356" i="7"/>
  <c r="B356" i="7"/>
  <c r="AI355" i="7"/>
  <c r="AH355" i="7"/>
  <c r="AG355" i="7"/>
  <c r="AF355" i="7"/>
  <c r="AC355" i="7"/>
  <c r="AB355" i="7"/>
  <c r="AA355" i="7"/>
  <c r="Z355" i="7"/>
  <c r="W355" i="7"/>
  <c r="V355" i="7"/>
  <c r="U355" i="7"/>
  <c r="T355" i="7"/>
  <c r="Q355" i="7"/>
  <c r="P355" i="7"/>
  <c r="O355" i="7"/>
  <c r="N355" i="7"/>
  <c r="K355" i="7"/>
  <c r="J355" i="7"/>
  <c r="I355" i="7"/>
  <c r="H355" i="7"/>
  <c r="E355" i="7"/>
  <c r="D355" i="7"/>
  <c r="C355" i="7"/>
  <c r="B355" i="7"/>
  <c r="AI354" i="7"/>
  <c r="AH354" i="7"/>
  <c r="AG354" i="7"/>
  <c r="AF354" i="7"/>
  <c r="AC354" i="7"/>
  <c r="AB354" i="7"/>
  <c r="AA354" i="7"/>
  <c r="Z354" i="7"/>
  <c r="W354" i="7"/>
  <c r="V354" i="7"/>
  <c r="U354" i="7"/>
  <c r="T354" i="7"/>
  <c r="Q354" i="7"/>
  <c r="P354" i="7"/>
  <c r="O354" i="7"/>
  <c r="N354" i="7"/>
  <c r="K354" i="7"/>
  <c r="J354" i="7"/>
  <c r="I354" i="7"/>
  <c r="H354" i="7"/>
  <c r="E354" i="7"/>
  <c r="D354" i="7"/>
  <c r="C354" i="7"/>
  <c r="B354" i="7"/>
  <c r="AI353" i="7"/>
  <c r="AH353" i="7"/>
  <c r="AG353" i="7"/>
  <c r="AF353" i="7"/>
  <c r="AC353" i="7"/>
  <c r="AB353" i="7"/>
  <c r="AA353" i="7"/>
  <c r="Z353" i="7"/>
  <c r="W353" i="7"/>
  <c r="V353" i="7"/>
  <c r="U353" i="7"/>
  <c r="T353" i="7"/>
  <c r="Q353" i="7"/>
  <c r="P353" i="7"/>
  <c r="O353" i="7"/>
  <c r="N353" i="7"/>
  <c r="K353" i="7"/>
  <c r="J353" i="7"/>
  <c r="I353" i="7"/>
  <c r="H353" i="7"/>
  <c r="E353" i="7"/>
  <c r="D353" i="7"/>
  <c r="C353" i="7"/>
  <c r="B353" i="7"/>
  <c r="AI352" i="7"/>
  <c r="AH352" i="7"/>
  <c r="AG352" i="7"/>
  <c r="AF352" i="7"/>
  <c r="AC352" i="7"/>
  <c r="AB352" i="7"/>
  <c r="AA352" i="7"/>
  <c r="Z352" i="7"/>
  <c r="W352" i="7"/>
  <c r="V352" i="7"/>
  <c r="U352" i="7"/>
  <c r="T352" i="7"/>
  <c r="Q352" i="7"/>
  <c r="P352" i="7"/>
  <c r="O352" i="7"/>
  <c r="N352" i="7"/>
  <c r="K352" i="7"/>
  <c r="J352" i="7"/>
  <c r="I352" i="7"/>
  <c r="H352" i="7"/>
  <c r="E352" i="7"/>
  <c r="D352" i="7"/>
  <c r="C352" i="7"/>
  <c r="B352" i="7"/>
  <c r="AI351" i="7"/>
  <c r="AH351" i="7"/>
  <c r="AG351" i="7"/>
  <c r="AF351" i="7"/>
  <c r="AC351" i="7"/>
  <c r="AB351" i="7"/>
  <c r="AA351" i="7"/>
  <c r="Z351" i="7"/>
  <c r="W351" i="7"/>
  <c r="V351" i="7"/>
  <c r="U351" i="7"/>
  <c r="T351" i="7"/>
  <c r="Q351" i="7"/>
  <c r="P351" i="7"/>
  <c r="O351" i="7"/>
  <c r="N351" i="7"/>
  <c r="K351" i="7"/>
  <c r="J351" i="7"/>
  <c r="I351" i="7"/>
  <c r="H351" i="7"/>
  <c r="E351" i="7"/>
  <c r="D351" i="7"/>
  <c r="C351" i="7"/>
  <c r="B351" i="7"/>
  <c r="AI350" i="7"/>
  <c r="AH350" i="7"/>
  <c r="AG350" i="7"/>
  <c r="AF350" i="7"/>
  <c r="AC350" i="7"/>
  <c r="AB350" i="7"/>
  <c r="AA350" i="7"/>
  <c r="Z350" i="7"/>
  <c r="W350" i="7"/>
  <c r="V350" i="7"/>
  <c r="U350" i="7"/>
  <c r="T350" i="7"/>
  <c r="Q350" i="7"/>
  <c r="P350" i="7"/>
  <c r="O350" i="7"/>
  <c r="N350" i="7"/>
  <c r="K350" i="7"/>
  <c r="J350" i="7"/>
  <c r="I350" i="7"/>
  <c r="H350" i="7"/>
  <c r="E350" i="7"/>
  <c r="D350" i="7"/>
  <c r="C350" i="7"/>
  <c r="B350" i="7"/>
  <c r="AI349" i="7"/>
  <c r="AH349" i="7"/>
  <c r="AG349" i="7"/>
  <c r="AF349" i="7"/>
  <c r="AC349" i="7"/>
  <c r="AB349" i="7"/>
  <c r="AA349" i="7"/>
  <c r="Z349" i="7"/>
  <c r="W349" i="7"/>
  <c r="V349" i="7"/>
  <c r="U349" i="7"/>
  <c r="T349" i="7"/>
  <c r="Q349" i="7"/>
  <c r="P349" i="7"/>
  <c r="O349" i="7"/>
  <c r="N349" i="7"/>
  <c r="K349" i="7"/>
  <c r="J349" i="7"/>
  <c r="I349" i="7"/>
  <c r="H349" i="7"/>
  <c r="E349" i="7"/>
  <c r="D349" i="7"/>
  <c r="C349" i="7"/>
  <c r="B349" i="7"/>
  <c r="AI348" i="7"/>
  <c r="AH348" i="7"/>
  <c r="AG348" i="7"/>
  <c r="AF348" i="7"/>
  <c r="AC348" i="7"/>
  <c r="AB348" i="7"/>
  <c r="AA348" i="7"/>
  <c r="Z348" i="7"/>
  <c r="W348" i="7"/>
  <c r="V348" i="7"/>
  <c r="U348" i="7"/>
  <c r="T348" i="7"/>
  <c r="Q348" i="7"/>
  <c r="P348" i="7"/>
  <c r="O348" i="7"/>
  <c r="N348" i="7"/>
  <c r="K348" i="7"/>
  <c r="J348" i="7"/>
  <c r="I348" i="7"/>
  <c r="H348" i="7"/>
  <c r="E348" i="7"/>
  <c r="D348" i="7"/>
  <c r="C348" i="7"/>
  <c r="B348" i="7"/>
  <c r="AI347" i="7"/>
  <c r="AH347" i="7"/>
  <c r="AG347" i="7"/>
  <c r="AF347" i="7"/>
  <c r="AC347" i="7"/>
  <c r="AB347" i="7"/>
  <c r="AA347" i="7"/>
  <c r="Z347" i="7"/>
  <c r="W347" i="7"/>
  <c r="V347" i="7"/>
  <c r="U347" i="7"/>
  <c r="T347" i="7"/>
  <c r="Q347" i="7"/>
  <c r="P347" i="7"/>
  <c r="O347" i="7"/>
  <c r="N347" i="7"/>
  <c r="K347" i="7"/>
  <c r="J347" i="7"/>
  <c r="I347" i="7"/>
  <c r="H347" i="7"/>
  <c r="E347" i="7"/>
  <c r="D347" i="7"/>
  <c r="C347" i="7"/>
  <c r="B347" i="7"/>
  <c r="AI346" i="7"/>
  <c r="AH346" i="7"/>
  <c r="AG346" i="7"/>
  <c r="AF346" i="7"/>
  <c r="AC346" i="7"/>
  <c r="AB346" i="7"/>
  <c r="AA346" i="7"/>
  <c r="Z346" i="7"/>
  <c r="W346" i="7"/>
  <c r="V346" i="7"/>
  <c r="U346" i="7"/>
  <c r="T346" i="7"/>
  <c r="Q346" i="7"/>
  <c r="P346" i="7"/>
  <c r="O346" i="7"/>
  <c r="N346" i="7"/>
  <c r="K346" i="7"/>
  <c r="J346" i="7"/>
  <c r="I346" i="7"/>
  <c r="H346" i="7"/>
  <c r="E346" i="7"/>
  <c r="D346" i="7"/>
  <c r="C346" i="7"/>
  <c r="B346" i="7"/>
  <c r="AI345" i="7"/>
  <c r="AH345" i="7"/>
  <c r="AG345" i="7"/>
  <c r="AF345" i="7"/>
  <c r="AC345" i="7"/>
  <c r="AB345" i="7"/>
  <c r="AA345" i="7"/>
  <c r="Z345" i="7"/>
  <c r="W345" i="7"/>
  <c r="V345" i="7"/>
  <c r="U345" i="7"/>
  <c r="T345" i="7"/>
  <c r="Q345" i="7"/>
  <c r="P345" i="7"/>
  <c r="O345" i="7"/>
  <c r="N345" i="7"/>
  <c r="K345" i="7"/>
  <c r="J345" i="7"/>
  <c r="I345" i="7"/>
  <c r="H345" i="7"/>
  <c r="E345" i="7"/>
  <c r="D345" i="7"/>
  <c r="C345" i="7"/>
  <c r="B345" i="7"/>
  <c r="AI344" i="7"/>
  <c r="AH344" i="7"/>
  <c r="AG344" i="7"/>
  <c r="AF344" i="7"/>
  <c r="AC344" i="7"/>
  <c r="AB344" i="7"/>
  <c r="AA344" i="7"/>
  <c r="Z344" i="7"/>
  <c r="W344" i="7"/>
  <c r="V344" i="7"/>
  <c r="U344" i="7"/>
  <c r="T344" i="7"/>
  <c r="Q344" i="7"/>
  <c r="P344" i="7"/>
  <c r="O344" i="7"/>
  <c r="N344" i="7"/>
  <c r="K344" i="7"/>
  <c r="J344" i="7"/>
  <c r="I344" i="7"/>
  <c r="H344" i="7"/>
  <c r="E344" i="7"/>
  <c r="D344" i="7"/>
  <c r="C344" i="7"/>
  <c r="B344" i="7"/>
  <c r="AI343" i="7"/>
  <c r="AH343" i="7"/>
  <c r="AG343" i="7"/>
  <c r="AF343" i="7"/>
  <c r="AC343" i="7"/>
  <c r="AB343" i="7"/>
  <c r="AA343" i="7"/>
  <c r="Z343" i="7"/>
  <c r="W343" i="7"/>
  <c r="V343" i="7"/>
  <c r="U343" i="7"/>
  <c r="T343" i="7"/>
  <c r="Q343" i="7"/>
  <c r="P343" i="7"/>
  <c r="O343" i="7"/>
  <c r="N343" i="7"/>
  <c r="K343" i="7"/>
  <c r="J343" i="7"/>
  <c r="I343" i="7"/>
  <c r="H343" i="7"/>
  <c r="E343" i="7"/>
  <c r="D343" i="7"/>
  <c r="C343" i="7"/>
  <c r="B343" i="7"/>
  <c r="AI342" i="7"/>
  <c r="AH342" i="7"/>
  <c r="AG342" i="7"/>
  <c r="AF342" i="7"/>
  <c r="AC342" i="7"/>
  <c r="AB342" i="7"/>
  <c r="AA342" i="7"/>
  <c r="Z342" i="7"/>
  <c r="W342" i="7"/>
  <c r="V342" i="7"/>
  <c r="U342" i="7"/>
  <c r="T342" i="7"/>
  <c r="Q342" i="7"/>
  <c r="P342" i="7"/>
  <c r="O342" i="7"/>
  <c r="N342" i="7"/>
  <c r="K342" i="7"/>
  <c r="J342" i="7"/>
  <c r="I342" i="7"/>
  <c r="H342" i="7"/>
  <c r="E342" i="7"/>
  <c r="D342" i="7"/>
  <c r="C342" i="7"/>
  <c r="B342" i="7"/>
  <c r="AI341" i="7"/>
  <c r="AH341" i="7"/>
  <c r="AG341" i="7"/>
  <c r="AF341" i="7"/>
  <c r="AC341" i="7"/>
  <c r="AB341" i="7"/>
  <c r="AA341" i="7"/>
  <c r="Z341" i="7"/>
  <c r="W341" i="7"/>
  <c r="V341" i="7"/>
  <c r="U341" i="7"/>
  <c r="T341" i="7"/>
  <c r="Q341" i="7"/>
  <c r="P341" i="7"/>
  <c r="O341" i="7"/>
  <c r="N341" i="7"/>
  <c r="K341" i="7"/>
  <c r="J341" i="7"/>
  <c r="I341" i="7"/>
  <c r="H341" i="7"/>
  <c r="E341" i="7"/>
  <c r="D341" i="7"/>
  <c r="C341" i="7"/>
  <c r="B341" i="7"/>
  <c r="AI340" i="7"/>
  <c r="AH340" i="7"/>
  <c r="AG340" i="7"/>
  <c r="AF340" i="7"/>
  <c r="AC340" i="7"/>
  <c r="AB340" i="7"/>
  <c r="AA340" i="7"/>
  <c r="Z340" i="7"/>
  <c r="W340" i="7"/>
  <c r="V340" i="7"/>
  <c r="U340" i="7"/>
  <c r="T340" i="7"/>
  <c r="Q340" i="7"/>
  <c r="P340" i="7"/>
  <c r="O340" i="7"/>
  <c r="N340" i="7"/>
  <c r="K340" i="7"/>
  <c r="J340" i="7"/>
  <c r="I340" i="7"/>
  <c r="H340" i="7"/>
  <c r="E340" i="7"/>
  <c r="D340" i="7"/>
  <c r="C340" i="7"/>
  <c r="B340" i="7"/>
  <c r="AI339" i="7"/>
  <c r="AH339" i="7"/>
  <c r="AG339" i="7"/>
  <c r="AF339" i="7"/>
  <c r="AC339" i="7"/>
  <c r="AB339" i="7"/>
  <c r="AA339" i="7"/>
  <c r="Z339" i="7"/>
  <c r="W339" i="7"/>
  <c r="V339" i="7"/>
  <c r="U339" i="7"/>
  <c r="T339" i="7"/>
  <c r="Q339" i="7"/>
  <c r="P339" i="7"/>
  <c r="O339" i="7"/>
  <c r="N339" i="7"/>
  <c r="K339" i="7"/>
  <c r="J339" i="7"/>
  <c r="I339" i="7"/>
  <c r="H339" i="7"/>
  <c r="E339" i="7"/>
  <c r="D339" i="7"/>
  <c r="C339" i="7"/>
  <c r="B339" i="7"/>
  <c r="AI338" i="7"/>
  <c r="AH338" i="7"/>
  <c r="AG338" i="7"/>
  <c r="AF338" i="7"/>
  <c r="AC338" i="7"/>
  <c r="AB338" i="7"/>
  <c r="AA338" i="7"/>
  <c r="Z338" i="7"/>
  <c r="W338" i="7"/>
  <c r="V338" i="7"/>
  <c r="U338" i="7"/>
  <c r="T338" i="7"/>
  <c r="Q338" i="7"/>
  <c r="P338" i="7"/>
  <c r="O338" i="7"/>
  <c r="N338" i="7"/>
  <c r="K338" i="7"/>
  <c r="J338" i="7"/>
  <c r="I338" i="7"/>
  <c r="H338" i="7"/>
  <c r="E338" i="7"/>
  <c r="D338" i="7"/>
  <c r="C338" i="7"/>
  <c r="B338" i="7"/>
  <c r="AI337" i="7"/>
  <c r="AH337" i="7"/>
  <c r="AG337" i="7"/>
  <c r="AF337" i="7"/>
  <c r="AC337" i="7"/>
  <c r="AB337" i="7"/>
  <c r="AA337" i="7"/>
  <c r="Z337" i="7"/>
  <c r="W337" i="7"/>
  <c r="V337" i="7"/>
  <c r="U337" i="7"/>
  <c r="T337" i="7"/>
  <c r="Q337" i="7"/>
  <c r="P337" i="7"/>
  <c r="O337" i="7"/>
  <c r="N337" i="7"/>
  <c r="K337" i="7"/>
  <c r="J337" i="7"/>
  <c r="I337" i="7"/>
  <c r="H337" i="7"/>
  <c r="E337" i="7"/>
  <c r="D337" i="7"/>
  <c r="C337" i="7"/>
  <c r="B337" i="7"/>
  <c r="AI336" i="7"/>
  <c r="AH336" i="7"/>
  <c r="AG336" i="7"/>
  <c r="AF336" i="7"/>
  <c r="AC336" i="7"/>
  <c r="AB336" i="7"/>
  <c r="AA336" i="7"/>
  <c r="Z336" i="7"/>
  <c r="W336" i="7"/>
  <c r="V336" i="7"/>
  <c r="U336" i="7"/>
  <c r="T336" i="7"/>
  <c r="Q336" i="7"/>
  <c r="P336" i="7"/>
  <c r="O336" i="7"/>
  <c r="N336" i="7"/>
  <c r="K336" i="7"/>
  <c r="J336" i="7"/>
  <c r="I336" i="7"/>
  <c r="H336" i="7"/>
  <c r="E336" i="7"/>
  <c r="D336" i="7"/>
  <c r="C336" i="7"/>
  <c r="B336" i="7"/>
  <c r="AI335" i="7"/>
  <c r="AH335" i="7"/>
  <c r="AG335" i="7"/>
  <c r="AF335" i="7"/>
  <c r="AC335" i="7"/>
  <c r="AB335" i="7"/>
  <c r="AA335" i="7"/>
  <c r="Z335" i="7"/>
  <c r="W335" i="7"/>
  <c r="V335" i="7"/>
  <c r="U335" i="7"/>
  <c r="T335" i="7"/>
  <c r="Q335" i="7"/>
  <c r="P335" i="7"/>
  <c r="O335" i="7"/>
  <c r="N335" i="7"/>
  <c r="K335" i="7"/>
  <c r="J335" i="7"/>
  <c r="I335" i="7"/>
  <c r="H335" i="7"/>
  <c r="E335" i="7"/>
  <c r="D335" i="7"/>
  <c r="C335" i="7"/>
  <c r="B335" i="7"/>
  <c r="AI334" i="7"/>
  <c r="AH334" i="7"/>
  <c r="AG334" i="7"/>
  <c r="AF334" i="7"/>
  <c r="AC334" i="7"/>
  <c r="AB334" i="7"/>
  <c r="AA334" i="7"/>
  <c r="Z334" i="7"/>
  <c r="W334" i="7"/>
  <c r="V334" i="7"/>
  <c r="U334" i="7"/>
  <c r="T334" i="7"/>
  <c r="Q334" i="7"/>
  <c r="P334" i="7"/>
  <c r="O334" i="7"/>
  <c r="N334" i="7"/>
  <c r="K334" i="7"/>
  <c r="J334" i="7"/>
  <c r="I334" i="7"/>
  <c r="H334" i="7"/>
  <c r="E334" i="7"/>
  <c r="D334" i="7"/>
  <c r="C334" i="7"/>
  <c r="B334" i="7"/>
  <c r="AI333" i="7"/>
  <c r="AH333" i="7"/>
  <c r="AG333" i="7"/>
  <c r="AF333" i="7"/>
  <c r="AC333" i="7"/>
  <c r="AB333" i="7"/>
  <c r="AA333" i="7"/>
  <c r="Z333" i="7"/>
  <c r="W333" i="7"/>
  <c r="V333" i="7"/>
  <c r="U333" i="7"/>
  <c r="T333" i="7"/>
  <c r="Q333" i="7"/>
  <c r="P333" i="7"/>
  <c r="O333" i="7"/>
  <c r="N333" i="7"/>
  <c r="K333" i="7"/>
  <c r="J333" i="7"/>
  <c r="I333" i="7"/>
  <c r="H333" i="7"/>
  <c r="E333" i="7"/>
  <c r="D333" i="7"/>
  <c r="C333" i="7"/>
  <c r="B333" i="7"/>
  <c r="AI332" i="7"/>
  <c r="AH332" i="7"/>
  <c r="AG332" i="7"/>
  <c r="AF332" i="7"/>
  <c r="AC332" i="7"/>
  <c r="AB332" i="7"/>
  <c r="AA332" i="7"/>
  <c r="Z332" i="7"/>
  <c r="W332" i="7"/>
  <c r="V332" i="7"/>
  <c r="U332" i="7"/>
  <c r="T332" i="7"/>
  <c r="Q332" i="7"/>
  <c r="P332" i="7"/>
  <c r="O332" i="7"/>
  <c r="N332" i="7"/>
  <c r="K332" i="7"/>
  <c r="J332" i="7"/>
  <c r="I332" i="7"/>
  <c r="H332" i="7"/>
  <c r="E332" i="7"/>
  <c r="D332" i="7"/>
  <c r="C332" i="7"/>
  <c r="B332" i="7"/>
  <c r="AI331" i="7"/>
  <c r="AH331" i="7"/>
  <c r="AG331" i="7"/>
  <c r="AF331" i="7"/>
  <c r="AC331" i="7"/>
  <c r="AB331" i="7"/>
  <c r="AA331" i="7"/>
  <c r="Z331" i="7"/>
  <c r="W331" i="7"/>
  <c r="V331" i="7"/>
  <c r="U331" i="7"/>
  <c r="T331" i="7"/>
  <c r="Q331" i="7"/>
  <c r="P331" i="7"/>
  <c r="O331" i="7"/>
  <c r="N331" i="7"/>
  <c r="K331" i="7"/>
  <c r="J331" i="7"/>
  <c r="I331" i="7"/>
  <c r="H331" i="7"/>
  <c r="E331" i="7"/>
  <c r="D331" i="7"/>
  <c r="C331" i="7"/>
  <c r="B331" i="7"/>
  <c r="AI330" i="7"/>
  <c r="AH330" i="7"/>
  <c r="AG330" i="7"/>
  <c r="AF330" i="7"/>
  <c r="AC330" i="7"/>
  <c r="AB330" i="7"/>
  <c r="AA330" i="7"/>
  <c r="Z330" i="7"/>
  <c r="W330" i="7"/>
  <c r="V330" i="7"/>
  <c r="U330" i="7"/>
  <c r="T330" i="7"/>
  <c r="Q330" i="7"/>
  <c r="P330" i="7"/>
  <c r="O330" i="7"/>
  <c r="N330" i="7"/>
  <c r="K330" i="7"/>
  <c r="J330" i="7"/>
  <c r="I330" i="7"/>
  <c r="H330" i="7"/>
  <c r="E330" i="7"/>
  <c r="D330" i="7"/>
  <c r="C330" i="7"/>
  <c r="B330" i="7"/>
  <c r="AI329" i="7"/>
  <c r="AH329" i="7"/>
  <c r="AG329" i="7"/>
  <c r="AF329" i="7"/>
  <c r="AC329" i="7"/>
  <c r="AB329" i="7"/>
  <c r="AA329" i="7"/>
  <c r="Z329" i="7"/>
  <c r="W329" i="7"/>
  <c r="V329" i="7"/>
  <c r="U329" i="7"/>
  <c r="T329" i="7"/>
  <c r="Q329" i="7"/>
  <c r="P329" i="7"/>
  <c r="O329" i="7"/>
  <c r="N329" i="7"/>
  <c r="K329" i="7"/>
  <c r="J329" i="7"/>
  <c r="I329" i="7"/>
  <c r="H329" i="7"/>
  <c r="E329" i="7"/>
  <c r="D329" i="7"/>
  <c r="C329" i="7"/>
  <c r="B329" i="7"/>
  <c r="AI328" i="7"/>
  <c r="AH328" i="7"/>
  <c r="AG328" i="7"/>
  <c r="AF328" i="7"/>
  <c r="AC328" i="7"/>
  <c r="AB328" i="7"/>
  <c r="AA328" i="7"/>
  <c r="Z328" i="7"/>
  <c r="W328" i="7"/>
  <c r="V328" i="7"/>
  <c r="U328" i="7"/>
  <c r="T328" i="7"/>
  <c r="Q328" i="7"/>
  <c r="P328" i="7"/>
  <c r="O328" i="7"/>
  <c r="N328" i="7"/>
  <c r="K328" i="7"/>
  <c r="J328" i="7"/>
  <c r="I328" i="7"/>
  <c r="H328" i="7"/>
  <c r="E328" i="7"/>
  <c r="D328" i="7"/>
  <c r="C328" i="7"/>
  <c r="B328" i="7"/>
  <c r="AI327" i="7"/>
  <c r="AH327" i="7"/>
  <c r="AG327" i="7"/>
  <c r="AF327" i="7"/>
  <c r="AC327" i="7"/>
  <c r="AB327" i="7"/>
  <c r="AA327" i="7"/>
  <c r="Z327" i="7"/>
  <c r="W327" i="7"/>
  <c r="V327" i="7"/>
  <c r="U327" i="7"/>
  <c r="T327" i="7"/>
  <c r="Q327" i="7"/>
  <c r="P327" i="7"/>
  <c r="O327" i="7"/>
  <c r="N327" i="7"/>
  <c r="K327" i="7"/>
  <c r="J327" i="7"/>
  <c r="I327" i="7"/>
  <c r="H327" i="7"/>
  <c r="E327" i="7"/>
  <c r="D327" i="7"/>
  <c r="C327" i="7"/>
  <c r="B327" i="7"/>
  <c r="AI326" i="7"/>
  <c r="AH326" i="7"/>
  <c r="AG326" i="7"/>
  <c r="AF326" i="7"/>
  <c r="AC326" i="7"/>
  <c r="AB326" i="7"/>
  <c r="AA326" i="7"/>
  <c r="Z326" i="7"/>
  <c r="W326" i="7"/>
  <c r="V326" i="7"/>
  <c r="U326" i="7"/>
  <c r="T326" i="7"/>
  <c r="Q326" i="7"/>
  <c r="P326" i="7"/>
  <c r="O326" i="7"/>
  <c r="N326" i="7"/>
  <c r="K326" i="7"/>
  <c r="J326" i="7"/>
  <c r="I326" i="7"/>
  <c r="H326" i="7"/>
  <c r="E326" i="7"/>
  <c r="D326" i="7"/>
  <c r="C326" i="7"/>
  <c r="B326" i="7"/>
  <c r="AI325" i="7"/>
  <c r="AH325" i="7"/>
  <c r="AG325" i="7"/>
  <c r="AF325" i="7"/>
  <c r="AC325" i="7"/>
  <c r="AB325" i="7"/>
  <c r="AA325" i="7"/>
  <c r="Z325" i="7"/>
  <c r="W325" i="7"/>
  <c r="V325" i="7"/>
  <c r="U325" i="7"/>
  <c r="T325" i="7"/>
  <c r="Q325" i="7"/>
  <c r="P325" i="7"/>
  <c r="O325" i="7"/>
  <c r="N325" i="7"/>
  <c r="K325" i="7"/>
  <c r="J325" i="7"/>
  <c r="I325" i="7"/>
  <c r="H325" i="7"/>
  <c r="E325" i="7"/>
  <c r="D325" i="7"/>
  <c r="C325" i="7"/>
  <c r="B325" i="7"/>
  <c r="AI324" i="7"/>
  <c r="AH324" i="7"/>
  <c r="AG324" i="7"/>
  <c r="AF324" i="7"/>
  <c r="AC324" i="7"/>
  <c r="AB324" i="7"/>
  <c r="AA324" i="7"/>
  <c r="Z324" i="7"/>
  <c r="W324" i="7"/>
  <c r="V324" i="7"/>
  <c r="U324" i="7"/>
  <c r="T324" i="7"/>
  <c r="Q324" i="7"/>
  <c r="P324" i="7"/>
  <c r="O324" i="7"/>
  <c r="N324" i="7"/>
  <c r="K324" i="7"/>
  <c r="J324" i="7"/>
  <c r="I324" i="7"/>
  <c r="H324" i="7"/>
  <c r="E324" i="7"/>
  <c r="D324" i="7"/>
  <c r="C324" i="7"/>
  <c r="B324" i="7"/>
  <c r="AI323" i="7"/>
  <c r="AH323" i="7"/>
  <c r="AG323" i="7"/>
  <c r="AF323" i="7"/>
  <c r="AC323" i="7"/>
  <c r="AB323" i="7"/>
  <c r="AA323" i="7"/>
  <c r="Z323" i="7"/>
  <c r="W323" i="7"/>
  <c r="V323" i="7"/>
  <c r="U323" i="7"/>
  <c r="T323" i="7"/>
  <c r="Q323" i="7"/>
  <c r="P323" i="7"/>
  <c r="O323" i="7"/>
  <c r="N323" i="7"/>
  <c r="K323" i="7"/>
  <c r="J323" i="7"/>
  <c r="I323" i="7"/>
  <c r="H323" i="7"/>
  <c r="E323" i="7"/>
  <c r="D323" i="7"/>
  <c r="C323" i="7"/>
  <c r="B323" i="7"/>
  <c r="AI322" i="7"/>
  <c r="AH322" i="7"/>
  <c r="AG322" i="7"/>
  <c r="AF322" i="7"/>
  <c r="AC322" i="7"/>
  <c r="AB322" i="7"/>
  <c r="AA322" i="7"/>
  <c r="Z322" i="7"/>
  <c r="W322" i="7"/>
  <c r="V322" i="7"/>
  <c r="U322" i="7"/>
  <c r="T322" i="7"/>
  <c r="Q322" i="7"/>
  <c r="P322" i="7"/>
  <c r="O322" i="7"/>
  <c r="N322" i="7"/>
  <c r="K322" i="7"/>
  <c r="J322" i="7"/>
  <c r="I322" i="7"/>
  <c r="H322" i="7"/>
  <c r="E322" i="7"/>
  <c r="D322" i="7"/>
  <c r="C322" i="7"/>
  <c r="B322" i="7"/>
  <c r="AI321" i="7"/>
  <c r="AH321" i="7"/>
  <c r="AG321" i="7"/>
  <c r="AF321" i="7"/>
  <c r="AC321" i="7"/>
  <c r="AB321" i="7"/>
  <c r="AA321" i="7"/>
  <c r="Z321" i="7"/>
  <c r="W321" i="7"/>
  <c r="V321" i="7"/>
  <c r="U321" i="7"/>
  <c r="T321" i="7"/>
  <c r="Q321" i="7"/>
  <c r="P321" i="7"/>
  <c r="O321" i="7"/>
  <c r="N321" i="7"/>
  <c r="K321" i="7"/>
  <c r="J321" i="7"/>
  <c r="I321" i="7"/>
  <c r="H321" i="7"/>
  <c r="E321" i="7"/>
  <c r="D321" i="7"/>
  <c r="C321" i="7"/>
  <c r="B321" i="7"/>
  <c r="AI320" i="7"/>
  <c r="AH320" i="7"/>
  <c r="AG320" i="7"/>
  <c r="AF320" i="7"/>
  <c r="AC320" i="7"/>
  <c r="AB320" i="7"/>
  <c r="AA320" i="7"/>
  <c r="Z320" i="7"/>
  <c r="W320" i="7"/>
  <c r="V320" i="7"/>
  <c r="U320" i="7"/>
  <c r="T320" i="7"/>
  <c r="Q320" i="7"/>
  <c r="P320" i="7"/>
  <c r="O320" i="7"/>
  <c r="N320" i="7"/>
  <c r="K320" i="7"/>
  <c r="J320" i="7"/>
  <c r="I320" i="7"/>
  <c r="H320" i="7"/>
  <c r="E320" i="7"/>
  <c r="D320" i="7"/>
  <c r="C320" i="7"/>
  <c r="B320" i="7"/>
  <c r="AI319" i="7"/>
  <c r="AH319" i="7"/>
  <c r="AG319" i="7"/>
  <c r="AF319" i="7"/>
  <c r="AC319" i="7"/>
  <c r="AB319" i="7"/>
  <c r="AA319" i="7"/>
  <c r="Z319" i="7"/>
  <c r="W319" i="7"/>
  <c r="V319" i="7"/>
  <c r="U319" i="7"/>
  <c r="T319" i="7"/>
  <c r="Q319" i="7"/>
  <c r="P319" i="7"/>
  <c r="O319" i="7"/>
  <c r="N319" i="7"/>
  <c r="K319" i="7"/>
  <c r="J319" i="7"/>
  <c r="I319" i="7"/>
  <c r="H319" i="7"/>
  <c r="E319" i="7"/>
  <c r="D319" i="7"/>
  <c r="C319" i="7"/>
  <c r="B319" i="7"/>
  <c r="AI318" i="7"/>
  <c r="AH318" i="7"/>
  <c r="AG318" i="7"/>
  <c r="AF318" i="7"/>
  <c r="AC318" i="7"/>
  <c r="AB318" i="7"/>
  <c r="AA318" i="7"/>
  <c r="Z318" i="7"/>
  <c r="W318" i="7"/>
  <c r="V318" i="7"/>
  <c r="U318" i="7"/>
  <c r="T318" i="7"/>
  <c r="Q318" i="7"/>
  <c r="P318" i="7"/>
  <c r="O318" i="7"/>
  <c r="N318" i="7"/>
  <c r="K318" i="7"/>
  <c r="J318" i="7"/>
  <c r="I318" i="7"/>
  <c r="H318" i="7"/>
  <c r="E318" i="7"/>
  <c r="D318" i="7"/>
  <c r="C318" i="7"/>
  <c r="B318" i="7"/>
  <c r="AI317" i="7"/>
  <c r="AH317" i="7"/>
  <c r="AG317" i="7"/>
  <c r="AF317" i="7"/>
  <c r="AC317" i="7"/>
  <c r="AB317" i="7"/>
  <c r="AA317" i="7"/>
  <c r="Z317" i="7"/>
  <c r="W317" i="7"/>
  <c r="V317" i="7"/>
  <c r="U317" i="7"/>
  <c r="T317" i="7"/>
  <c r="Q317" i="7"/>
  <c r="P317" i="7"/>
  <c r="O317" i="7"/>
  <c r="N317" i="7"/>
  <c r="K317" i="7"/>
  <c r="J317" i="7"/>
  <c r="I317" i="7"/>
  <c r="H317" i="7"/>
  <c r="E317" i="7"/>
  <c r="D317" i="7"/>
  <c r="C317" i="7"/>
  <c r="B317" i="7"/>
  <c r="AI316" i="7"/>
  <c r="AH316" i="7"/>
  <c r="AG316" i="7"/>
  <c r="AF316" i="7"/>
  <c r="AC316" i="7"/>
  <c r="AB316" i="7"/>
  <c r="AA316" i="7"/>
  <c r="Z316" i="7"/>
  <c r="W316" i="7"/>
  <c r="V316" i="7"/>
  <c r="U316" i="7"/>
  <c r="T316" i="7"/>
  <c r="Q316" i="7"/>
  <c r="P316" i="7"/>
  <c r="O316" i="7"/>
  <c r="N316" i="7"/>
  <c r="K316" i="7"/>
  <c r="J316" i="7"/>
  <c r="I316" i="7"/>
  <c r="H316" i="7"/>
  <c r="E316" i="7"/>
  <c r="D316" i="7"/>
  <c r="C316" i="7"/>
  <c r="B316" i="7"/>
  <c r="AI315" i="7"/>
  <c r="AH315" i="7"/>
  <c r="AG315" i="7"/>
  <c r="AF315" i="7"/>
  <c r="AC315" i="7"/>
  <c r="AB315" i="7"/>
  <c r="AA315" i="7"/>
  <c r="Z315" i="7"/>
  <c r="W315" i="7"/>
  <c r="V315" i="7"/>
  <c r="U315" i="7"/>
  <c r="T315" i="7"/>
  <c r="Q315" i="7"/>
  <c r="P315" i="7"/>
  <c r="O315" i="7"/>
  <c r="N315" i="7"/>
  <c r="K315" i="7"/>
  <c r="J315" i="7"/>
  <c r="I315" i="7"/>
  <c r="H315" i="7"/>
  <c r="E315" i="7"/>
  <c r="D315" i="7"/>
  <c r="C315" i="7"/>
  <c r="B315" i="7"/>
  <c r="AI314" i="7"/>
  <c r="AH314" i="7"/>
  <c r="AG314" i="7"/>
  <c r="AF314" i="7"/>
  <c r="AC314" i="7"/>
  <c r="AB314" i="7"/>
  <c r="AA314" i="7"/>
  <c r="Z314" i="7"/>
  <c r="W314" i="7"/>
  <c r="V314" i="7"/>
  <c r="U314" i="7"/>
  <c r="T314" i="7"/>
  <c r="Q314" i="7"/>
  <c r="P314" i="7"/>
  <c r="O314" i="7"/>
  <c r="N314" i="7"/>
  <c r="K314" i="7"/>
  <c r="J314" i="7"/>
  <c r="I314" i="7"/>
  <c r="H314" i="7"/>
  <c r="E314" i="7"/>
  <c r="D314" i="7"/>
  <c r="C314" i="7"/>
  <c r="B314" i="7"/>
  <c r="AI313" i="7"/>
  <c r="AH313" i="7"/>
  <c r="AG313" i="7"/>
  <c r="AF313" i="7"/>
  <c r="AC313" i="7"/>
  <c r="AB313" i="7"/>
  <c r="AA313" i="7"/>
  <c r="Z313" i="7"/>
  <c r="W313" i="7"/>
  <c r="V313" i="7"/>
  <c r="U313" i="7"/>
  <c r="T313" i="7"/>
  <c r="Q313" i="7"/>
  <c r="P313" i="7"/>
  <c r="O313" i="7"/>
  <c r="N313" i="7"/>
  <c r="K313" i="7"/>
  <c r="J313" i="7"/>
  <c r="I313" i="7"/>
  <c r="H313" i="7"/>
  <c r="E313" i="7"/>
  <c r="D313" i="7"/>
  <c r="C313" i="7"/>
  <c r="B313" i="7"/>
  <c r="AI312" i="7"/>
  <c r="AH312" i="7"/>
  <c r="AG312" i="7"/>
  <c r="AF312" i="7"/>
  <c r="AC312" i="7"/>
  <c r="AB312" i="7"/>
  <c r="AA312" i="7"/>
  <c r="Z312" i="7"/>
  <c r="W312" i="7"/>
  <c r="V312" i="7"/>
  <c r="U312" i="7"/>
  <c r="T312" i="7"/>
  <c r="Q312" i="7"/>
  <c r="P312" i="7"/>
  <c r="O312" i="7"/>
  <c r="N312" i="7"/>
  <c r="K312" i="7"/>
  <c r="J312" i="7"/>
  <c r="I312" i="7"/>
  <c r="H312" i="7"/>
  <c r="E312" i="7"/>
  <c r="D312" i="7"/>
  <c r="C312" i="7"/>
  <c r="B312" i="7"/>
  <c r="AI311" i="7"/>
  <c r="AH311" i="7"/>
  <c r="AG311" i="7"/>
  <c r="AF311" i="7"/>
  <c r="AC311" i="7"/>
  <c r="AB311" i="7"/>
  <c r="AA311" i="7"/>
  <c r="Z311" i="7"/>
  <c r="W311" i="7"/>
  <c r="V311" i="7"/>
  <c r="U311" i="7"/>
  <c r="T311" i="7"/>
  <c r="Q311" i="7"/>
  <c r="P311" i="7"/>
  <c r="O311" i="7"/>
  <c r="N311" i="7"/>
  <c r="K311" i="7"/>
  <c r="J311" i="7"/>
  <c r="I311" i="7"/>
  <c r="H311" i="7"/>
  <c r="E311" i="7"/>
  <c r="D311" i="7"/>
  <c r="C311" i="7"/>
  <c r="B311" i="7"/>
  <c r="AI310" i="7"/>
  <c r="AH310" i="7"/>
  <c r="AG310" i="7"/>
  <c r="AF310" i="7"/>
  <c r="AC310" i="7"/>
  <c r="AB310" i="7"/>
  <c r="AA310" i="7"/>
  <c r="Z310" i="7"/>
  <c r="W310" i="7"/>
  <c r="V310" i="7"/>
  <c r="U310" i="7"/>
  <c r="T310" i="7"/>
  <c r="Q310" i="7"/>
  <c r="P310" i="7"/>
  <c r="O310" i="7"/>
  <c r="N310" i="7"/>
  <c r="K310" i="7"/>
  <c r="J310" i="7"/>
  <c r="I310" i="7"/>
  <c r="H310" i="7"/>
  <c r="E310" i="7"/>
  <c r="D310" i="7"/>
  <c r="C310" i="7"/>
  <c r="B310" i="7"/>
  <c r="AI309" i="7"/>
  <c r="AH309" i="7"/>
  <c r="AG309" i="7"/>
  <c r="AF309" i="7"/>
  <c r="AC309" i="7"/>
  <c r="AB309" i="7"/>
  <c r="AA309" i="7"/>
  <c r="Z309" i="7"/>
  <c r="W309" i="7"/>
  <c r="V309" i="7"/>
  <c r="U309" i="7"/>
  <c r="T309" i="7"/>
  <c r="Q309" i="7"/>
  <c r="P309" i="7"/>
  <c r="O309" i="7"/>
  <c r="N309" i="7"/>
  <c r="K309" i="7"/>
  <c r="J309" i="7"/>
  <c r="I309" i="7"/>
  <c r="H309" i="7"/>
  <c r="E309" i="7"/>
  <c r="D309" i="7"/>
  <c r="C309" i="7"/>
  <c r="B309" i="7"/>
  <c r="AI308" i="7"/>
  <c r="AH308" i="7"/>
  <c r="AG308" i="7"/>
  <c r="AF308" i="7"/>
  <c r="AC308" i="7"/>
  <c r="AB308" i="7"/>
  <c r="AA308" i="7"/>
  <c r="Z308" i="7"/>
  <c r="W308" i="7"/>
  <c r="V308" i="7"/>
  <c r="U308" i="7"/>
  <c r="T308" i="7"/>
  <c r="Q308" i="7"/>
  <c r="P308" i="7"/>
  <c r="O308" i="7"/>
  <c r="N308" i="7"/>
  <c r="K308" i="7"/>
  <c r="J308" i="7"/>
  <c r="I308" i="7"/>
  <c r="H308" i="7"/>
  <c r="E308" i="7"/>
  <c r="D308" i="7"/>
  <c r="C308" i="7"/>
  <c r="B308" i="7"/>
  <c r="AI307" i="7"/>
  <c r="AH307" i="7"/>
  <c r="AG307" i="7"/>
  <c r="AF307" i="7"/>
  <c r="AC307" i="7"/>
  <c r="AB307" i="7"/>
  <c r="AA307" i="7"/>
  <c r="Z307" i="7"/>
  <c r="W307" i="7"/>
  <c r="V307" i="7"/>
  <c r="U307" i="7"/>
  <c r="T307" i="7"/>
  <c r="Q307" i="7"/>
  <c r="P307" i="7"/>
  <c r="O307" i="7"/>
  <c r="N307" i="7"/>
  <c r="K307" i="7"/>
  <c r="J307" i="7"/>
  <c r="I307" i="7"/>
  <c r="H307" i="7"/>
  <c r="E307" i="7"/>
  <c r="D307" i="7"/>
  <c r="C307" i="7"/>
  <c r="B307" i="7"/>
  <c r="AI306" i="7"/>
  <c r="AH306" i="7"/>
  <c r="AG306" i="7"/>
  <c r="AF306" i="7"/>
  <c r="AC306" i="7"/>
  <c r="AB306" i="7"/>
  <c r="AA306" i="7"/>
  <c r="Z306" i="7"/>
  <c r="W306" i="7"/>
  <c r="V306" i="7"/>
  <c r="U306" i="7"/>
  <c r="T306" i="7"/>
  <c r="Q306" i="7"/>
  <c r="P306" i="7"/>
  <c r="O306" i="7"/>
  <c r="N306" i="7"/>
  <c r="K306" i="7"/>
  <c r="J306" i="7"/>
  <c r="I306" i="7"/>
  <c r="H306" i="7"/>
  <c r="E306" i="7"/>
  <c r="D306" i="7"/>
  <c r="C306" i="7"/>
  <c r="B306" i="7"/>
  <c r="AI305" i="7"/>
  <c r="AH305" i="7"/>
  <c r="AG305" i="7"/>
  <c r="AF305" i="7"/>
  <c r="AC305" i="7"/>
  <c r="AB305" i="7"/>
  <c r="AA305" i="7"/>
  <c r="Z305" i="7"/>
  <c r="W305" i="7"/>
  <c r="V305" i="7"/>
  <c r="U305" i="7"/>
  <c r="T305" i="7"/>
  <c r="Q305" i="7"/>
  <c r="P305" i="7"/>
  <c r="O305" i="7"/>
  <c r="N305" i="7"/>
  <c r="K305" i="7"/>
  <c r="J305" i="7"/>
  <c r="I305" i="7"/>
  <c r="H305" i="7"/>
  <c r="E305" i="7"/>
  <c r="D305" i="7"/>
  <c r="C305" i="7"/>
  <c r="B305" i="7"/>
  <c r="AI304" i="7"/>
  <c r="AH304" i="7"/>
  <c r="AG304" i="7"/>
  <c r="AF304" i="7"/>
  <c r="AC304" i="7"/>
  <c r="AB304" i="7"/>
  <c r="AA304" i="7"/>
  <c r="Z304" i="7"/>
  <c r="W304" i="7"/>
  <c r="V304" i="7"/>
  <c r="U304" i="7"/>
  <c r="T304" i="7"/>
  <c r="Q304" i="7"/>
  <c r="P304" i="7"/>
  <c r="O304" i="7"/>
  <c r="N304" i="7"/>
  <c r="K304" i="7"/>
  <c r="J304" i="7"/>
  <c r="I304" i="7"/>
  <c r="H304" i="7"/>
  <c r="E304" i="7"/>
  <c r="D304" i="7"/>
  <c r="C304" i="7"/>
  <c r="B304" i="7"/>
  <c r="AI303" i="7"/>
  <c r="AH303" i="7"/>
  <c r="AG303" i="7"/>
  <c r="AF303" i="7"/>
  <c r="AC303" i="7"/>
  <c r="AB303" i="7"/>
  <c r="AA303" i="7"/>
  <c r="Z303" i="7"/>
  <c r="W303" i="7"/>
  <c r="V303" i="7"/>
  <c r="U303" i="7"/>
  <c r="T303" i="7"/>
  <c r="Q303" i="7"/>
  <c r="P303" i="7"/>
  <c r="O303" i="7"/>
  <c r="N303" i="7"/>
  <c r="K303" i="7"/>
  <c r="J303" i="7"/>
  <c r="I303" i="7"/>
  <c r="H303" i="7"/>
  <c r="E303" i="7"/>
  <c r="D303" i="7"/>
  <c r="C303" i="7"/>
  <c r="B303" i="7"/>
  <c r="AI302" i="7"/>
  <c r="AH302" i="7"/>
  <c r="AG302" i="7"/>
  <c r="AF302" i="7"/>
  <c r="AC302" i="7"/>
  <c r="AB302" i="7"/>
  <c r="AA302" i="7"/>
  <c r="Z302" i="7"/>
  <c r="W302" i="7"/>
  <c r="V302" i="7"/>
  <c r="U302" i="7"/>
  <c r="T302" i="7"/>
  <c r="Q302" i="7"/>
  <c r="P302" i="7"/>
  <c r="O302" i="7"/>
  <c r="N302" i="7"/>
  <c r="K302" i="7"/>
  <c r="J302" i="7"/>
  <c r="I302" i="7"/>
  <c r="H302" i="7"/>
  <c r="E302" i="7"/>
  <c r="D302" i="7"/>
  <c r="C302" i="7"/>
  <c r="B302" i="7"/>
  <c r="AI301" i="7"/>
  <c r="AH301" i="7"/>
  <c r="AG301" i="7"/>
  <c r="AF301" i="7"/>
  <c r="AC301" i="7"/>
  <c r="AB301" i="7"/>
  <c r="AA301" i="7"/>
  <c r="Z301" i="7"/>
  <c r="W301" i="7"/>
  <c r="V301" i="7"/>
  <c r="U301" i="7"/>
  <c r="T301" i="7"/>
  <c r="Q301" i="7"/>
  <c r="P301" i="7"/>
  <c r="O301" i="7"/>
  <c r="N301" i="7"/>
  <c r="K301" i="7"/>
  <c r="J301" i="7"/>
  <c r="I301" i="7"/>
  <c r="H301" i="7"/>
  <c r="E301" i="7"/>
  <c r="D301" i="7"/>
  <c r="C301" i="7"/>
  <c r="B301" i="7"/>
  <c r="AI300" i="7"/>
  <c r="AH300" i="7"/>
  <c r="AG300" i="7"/>
  <c r="AF300" i="7"/>
  <c r="AC300" i="7"/>
  <c r="AB300" i="7"/>
  <c r="AA300" i="7"/>
  <c r="Z300" i="7"/>
  <c r="W300" i="7"/>
  <c r="V300" i="7"/>
  <c r="U300" i="7"/>
  <c r="T300" i="7"/>
  <c r="Q300" i="7"/>
  <c r="P300" i="7"/>
  <c r="O300" i="7"/>
  <c r="N300" i="7"/>
  <c r="K300" i="7"/>
  <c r="J300" i="7"/>
  <c r="I300" i="7"/>
  <c r="H300" i="7"/>
  <c r="E300" i="7"/>
  <c r="D300" i="7"/>
  <c r="C300" i="7"/>
  <c r="B300" i="7"/>
  <c r="AI299" i="7"/>
  <c r="AH299" i="7"/>
  <c r="AG299" i="7"/>
  <c r="AF299" i="7"/>
  <c r="AC299" i="7"/>
  <c r="AB299" i="7"/>
  <c r="AA299" i="7"/>
  <c r="Z299" i="7"/>
  <c r="W299" i="7"/>
  <c r="V299" i="7"/>
  <c r="U299" i="7"/>
  <c r="T299" i="7"/>
  <c r="Q299" i="7"/>
  <c r="P299" i="7"/>
  <c r="O299" i="7"/>
  <c r="N299" i="7"/>
  <c r="K299" i="7"/>
  <c r="J299" i="7"/>
  <c r="I299" i="7"/>
  <c r="H299" i="7"/>
  <c r="E299" i="7"/>
  <c r="D299" i="7"/>
  <c r="C299" i="7"/>
  <c r="B299" i="7"/>
  <c r="AI298" i="7"/>
  <c r="AH298" i="7"/>
  <c r="AG298" i="7"/>
  <c r="AF298" i="7"/>
  <c r="AC298" i="7"/>
  <c r="AB298" i="7"/>
  <c r="AA298" i="7"/>
  <c r="Z298" i="7"/>
  <c r="W298" i="7"/>
  <c r="V298" i="7"/>
  <c r="U298" i="7"/>
  <c r="T298" i="7"/>
  <c r="Q298" i="7"/>
  <c r="P298" i="7"/>
  <c r="O298" i="7"/>
  <c r="N298" i="7"/>
  <c r="K298" i="7"/>
  <c r="J298" i="7"/>
  <c r="I298" i="7"/>
  <c r="H298" i="7"/>
  <c r="E298" i="7"/>
  <c r="D298" i="7"/>
  <c r="C298" i="7"/>
  <c r="B298" i="7"/>
  <c r="AI297" i="7"/>
  <c r="AH297" i="7"/>
  <c r="AG297" i="7"/>
  <c r="AF297" i="7"/>
  <c r="AC297" i="7"/>
  <c r="AB297" i="7"/>
  <c r="AA297" i="7"/>
  <c r="Z297" i="7"/>
  <c r="W297" i="7"/>
  <c r="V297" i="7"/>
  <c r="U297" i="7"/>
  <c r="T297" i="7"/>
  <c r="Q297" i="7"/>
  <c r="P297" i="7"/>
  <c r="O297" i="7"/>
  <c r="N297" i="7"/>
  <c r="K297" i="7"/>
  <c r="J297" i="7"/>
  <c r="I297" i="7"/>
  <c r="H297" i="7"/>
  <c r="E297" i="7"/>
  <c r="D297" i="7"/>
  <c r="C297" i="7"/>
  <c r="B297" i="7"/>
  <c r="AI296" i="7"/>
  <c r="AH296" i="7"/>
  <c r="AG296" i="7"/>
  <c r="AF296" i="7"/>
  <c r="AC296" i="7"/>
  <c r="AB296" i="7"/>
  <c r="AA296" i="7"/>
  <c r="Z296" i="7"/>
  <c r="W296" i="7"/>
  <c r="V296" i="7"/>
  <c r="U296" i="7"/>
  <c r="T296" i="7"/>
  <c r="Q296" i="7"/>
  <c r="P296" i="7"/>
  <c r="O296" i="7"/>
  <c r="N296" i="7"/>
  <c r="K296" i="7"/>
  <c r="J296" i="7"/>
  <c r="I296" i="7"/>
  <c r="H296" i="7"/>
  <c r="E296" i="7"/>
  <c r="D296" i="7"/>
  <c r="C296" i="7"/>
  <c r="B296" i="7"/>
  <c r="AI295" i="7"/>
  <c r="AH295" i="7"/>
  <c r="AG295" i="7"/>
  <c r="AF295" i="7"/>
  <c r="AC295" i="7"/>
  <c r="AB295" i="7"/>
  <c r="AA295" i="7"/>
  <c r="Z295" i="7"/>
  <c r="W295" i="7"/>
  <c r="V295" i="7"/>
  <c r="U295" i="7"/>
  <c r="T295" i="7"/>
  <c r="Q295" i="7"/>
  <c r="P295" i="7"/>
  <c r="O295" i="7"/>
  <c r="N295" i="7"/>
  <c r="K295" i="7"/>
  <c r="J295" i="7"/>
  <c r="I295" i="7"/>
  <c r="H295" i="7"/>
  <c r="E295" i="7"/>
  <c r="D295" i="7"/>
  <c r="C295" i="7"/>
  <c r="B295" i="7"/>
  <c r="AI294" i="7"/>
  <c r="AH294" i="7"/>
  <c r="AG294" i="7"/>
  <c r="AF294" i="7"/>
  <c r="AC294" i="7"/>
  <c r="AB294" i="7"/>
  <c r="AA294" i="7"/>
  <c r="Z294" i="7"/>
  <c r="W294" i="7"/>
  <c r="V294" i="7"/>
  <c r="U294" i="7"/>
  <c r="T294" i="7"/>
  <c r="Q294" i="7"/>
  <c r="P294" i="7"/>
  <c r="O294" i="7"/>
  <c r="N294" i="7"/>
  <c r="K294" i="7"/>
  <c r="J294" i="7"/>
  <c r="I294" i="7"/>
  <c r="H294" i="7"/>
  <c r="E294" i="7"/>
  <c r="D294" i="7"/>
  <c r="C294" i="7"/>
  <c r="B294" i="7"/>
  <c r="AI293" i="7"/>
  <c r="AH293" i="7"/>
  <c r="AG293" i="7"/>
  <c r="AF293" i="7"/>
  <c r="AC293" i="7"/>
  <c r="AB293" i="7"/>
  <c r="AA293" i="7"/>
  <c r="Z293" i="7"/>
  <c r="W293" i="7"/>
  <c r="V293" i="7"/>
  <c r="U293" i="7"/>
  <c r="T293" i="7"/>
  <c r="Q293" i="7"/>
  <c r="P293" i="7"/>
  <c r="O293" i="7"/>
  <c r="N293" i="7"/>
  <c r="K293" i="7"/>
  <c r="J293" i="7"/>
  <c r="I293" i="7"/>
  <c r="H293" i="7"/>
  <c r="E293" i="7"/>
  <c r="D293" i="7"/>
  <c r="C293" i="7"/>
  <c r="B293" i="7"/>
  <c r="AI292" i="7"/>
  <c r="AH292" i="7"/>
  <c r="AG292" i="7"/>
  <c r="AF292" i="7"/>
  <c r="AC292" i="7"/>
  <c r="AB292" i="7"/>
  <c r="AA292" i="7"/>
  <c r="Z292" i="7"/>
  <c r="W292" i="7"/>
  <c r="V292" i="7"/>
  <c r="U292" i="7"/>
  <c r="T292" i="7"/>
  <c r="Q292" i="7"/>
  <c r="P292" i="7"/>
  <c r="O292" i="7"/>
  <c r="N292" i="7"/>
  <c r="K292" i="7"/>
  <c r="J292" i="7"/>
  <c r="I292" i="7"/>
  <c r="H292" i="7"/>
  <c r="E292" i="7"/>
  <c r="D292" i="7"/>
  <c r="C292" i="7"/>
  <c r="B292" i="7"/>
  <c r="AI291" i="7"/>
  <c r="AH291" i="7"/>
  <c r="AG291" i="7"/>
  <c r="AF291" i="7"/>
  <c r="AC291" i="7"/>
  <c r="AB291" i="7"/>
  <c r="AA291" i="7"/>
  <c r="Z291" i="7"/>
  <c r="W291" i="7"/>
  <c r="V291" i="7"/>
  <c r="U291" i="7"/>
  <c r="T291" i="7"/>
  <c r="Q291" i="7"/>
  <c r="P291" i="7"/>
  <c r="O291" i="7"/>
  <c r="N291" i="7"/>
  <c r="K291" i="7"/>
  <c r="J291" i="7"/>
  <c r="I291" i="7"/>
  <c r="H291" i="7"/>
  <c r="E291" i="7"/>
  <c r="D291" i="7"/>
  <c r="C291" i="7"/>
  <c r="B291" i="7"/>
  <c r="AI290" i="7"/>
  <c r="AH290" i="7"/>
  <c r="AG290" i="7"/>
  <c r="AF290" i="7"/>
  <c r="AC290" i="7"/>
  <c r="AB290" i="7"/>
  <c r="AA290" i="7"/>
  <c r="Z290" i="7"/>
  <c r="W290" i="7"/>
  <c r="V290" i="7"/>
  <c r="U290" i="7"/>
  <c r="T290" i="7"/>
  <c r="Q290" i="7"/>
  <c r="P290" i="7"/>
  <c r="O290" i="7"/>
  <c r="N290" i="7"/>
  <c r="K290" i="7"/>
  <c r="J290" i="7"/>
  <c r="I290" i="7"/>
  <c r="H290" i="7"/>
  <c r="E290" i="7"/>
  <c r="D290" i="7"/>
  <c r="C290" i="7"/>
  <c r="B290" i="7"/>
  <c r="AI289" i="7"/>
  <c r="AH289" i="7"/>
  <c r="AG289" i="7"/>
  <c r="AF289" i="7"/>
  <c r="AC289" i="7"/>
  <c r="AB289" i="7"/>
  <c r="AA289" i="7"/>
  <c r="Z289" i="7"/>
  <c r="W289" i="7"/>
  <c r="V289" i="7"/>
  <c r="U289" i="7"/>
  <c r="T289" i="7"/>
  <c r="Q289" i="7"/>
  <c r="P289" i="7"/>
  <c r="O289" i="7"/>
  <c r="N289" i="7"/>
  <c r="K289" i="7"/>
  <c r="J289" i="7"/>
  <c r="I289" i="7"/>
  <c r="H289" i="7"/>
  <c r="E289" i="7"/>
  <c r="D289" i="7"/>
  <c r="C289" i="7"/>
  <c r="B289" i="7"/>
  <c r="AI288" i="7"/>
  <c r="AH288" i="7"/>
  <c r="AG288" i="7"/>
  <c r="AF288" i="7"/>
  <c r="AC288" i="7"/>
  <c r="AB288" i="7"/>
  <c r="AA288" i="7"/>
  <c r="Z288" i="7"/>
  <c r="W288" i="7"/>
  <c r="V288" i="7"/>
  <c r="U288" i="7"/>
  <c r="T288" i="7"/>
  <c r="Q288" i="7"/>
  <c r="P288" i="7"/>
  <c r="O288" i="7"/>
  <c r="N288" i="7"/>
  <c r="K288" i="7"/>
  <c r="J288" i="7"/>
  <c r="I288" i="7"/>
  <c r="H288" i="7"/>
  <c r="E288" i="7"/>
  <c r="D288" i="7"/>
  <c r="C288" i="7"/>
  <c r="B288" i="7"/>
  <c r="AI287" i="7"/>
  <c r="AH287" i="7"/>
  <c r="AG287" i="7"/>
  <c r="AF287" i="7"/>
  <c r="AC287" i="7"/>
  <c r="AB287" i="7"/>
  <c r="AA287" i="7"/>
  <c r="Z287" i="7"/>
  <c r="W287" i="7"/>
  <c r="V287" i="7"/>
  <c r="U287" i="7"/>
  <c r="T287" i="7"/>
  <c r="Q287" i="7"/>
  <c r="P287" i="7"/>
  <c r="O287" i="7"/>
  <c r="N287" i="7"/>
  <c r="K287" i="7"/>
  <c r="J287" i="7"/>
  <c r="I287" i="7"/>
  <c r="H287" i="7"/>
  <c r="E287" i="7"/>
  <c r="D287" i="7"/>
  <c r="C287" i="7"/>
  <c r="B287" i="7"/>
  <c r="AI286" i="7"/>
  <c r="AH286" i="7"/>
  <c r="AG286" i="7"/>
  <c r="AF286" i="7"/>
  <c r="AC286" i="7"/>
  <c r="AB286" i="7"/>
  <c r="AA286" i="7"/>
  <c r="Z286" i="7"/>
  <c r="W286" i="7"/>
  <c r="V286" i="7"/>
  <c r="U286" i="7"/>
  <c r="T286" i="7"/>
  <c r="Q286" i="7"/>
  <c r="P286" i="7"/>
  <c r="O286" i="7"/>
  <c r="N286" i="7"/>
  <c r="K286" i="7"/>
  <c r="J286" i="7"/>
  <c r="I286" i="7"/>
  <c r="H286" i="7"/>
  <c r="E286" i="7"/>
  <c r="D286" i="7"/>
  <c r="C286" i="7"/>
  <c r="B286" i="7"/>
  <c r="AI285" i="7"/>
  <c r="AH285" i="7"/>
  <c r="AG285" i="7"/>
  <c r="AF285" i="7"/>
  <c r="AC285" i="7"/>
  <c r="AB285" i="7"/>
  <c r="AA285" i="7"/>
  <c r="Z285" i="7"/>
  <c r="W285" i="7"/>
  <c r="V285" i="7"/>
  <c r="U285" i="7"/>
  <c r="T285" i="7"/>
  <c r="Q285" i="7"/>
  <c r="P285" i="7"/>
  <c r="O285" i="7"/>
  <c r="N285" i="7"/>
  <c r="K285" i="7"/>
  <c r="J285" i="7"/>
  <c r="I285" i="7"/>
  <c r="H285" i="7"/>
  <c r="E285" i="7"/>
  <c r="D285" i="7"/>
  <c r="C285" i="7"/>
  <c r="B285" i="7"/>
  <c r="AI284" i="7"/>
  <c r="AH284" i="7"/>
  <c r="AG284" i="7"/>
  <c r="AF284" i="7"/>
  <c r="AC284" i="7"/>
  <c r="AB284" i="7"/>
  <c r="AA284" i="7"/>
  <c r="Z284" i="7"/>
  <c r="W284" i="7"/>
  <c r="V284" i="7"/>
  <c r="U284" i="7"/>
  <c r="T284" i="7"/>
  <c r="Q284" i="7"/>
  <c r="P284" i="7"/>
  <c r="O284" i="7"/>
  <c r="N284" i="7"/>
  <c r="K284" i="7"/>
  <c r="J284" i="7"/>
  <c r="I284" i="7"/>
  <c r="H284" i="7"/>
  <c r="E284" i="7"/>
  <c r="D284" i="7"/>
  <c r="C284" i="7"/>
  <c r="B284" i="7"/>
  <c r="AI283" i="7"/>
  <c r="AH283" i="7"/>
  <c r="AG283" i="7"/>
  <c r="AF283" i="7"/>
  <c r="AC283" i="7"/>
  <c r="AB283" i="7"/>
  <c r="AA283" i="7"/>
  <c r="Z283" i="7"/>
  <c r="W283" i="7"/>
  <c r="V283" i="7"/>
  <c r="U283" i="7"/>
  <c r="T283" i="7"/>
  <c r="Q283" i="7"/>
  <c r="P283" i="7"/>
  <c r="O283" i="7"/>
  <c r="N283" i="7"/>
  <c r="K283" i="7"/>
  <c r="J283" i="7"/>
  <c r="I283" i="7"/>
  <c r="H283" i="7"/>
  <c r="E283" i="7"/>
  <c r="D283" i="7"/>
  <c r="C283" i="7"/>
  <c r="B283" i="7"/>
  <c r="AI282" i="7"/>
  <c r="AH282" i="7"/>
  <c r="AG282" i="7"/>
  <c r="AF282" i="7"/>
  <c r="AC282" i="7"/>
  <c r="AB282" i="7"/>
  <c r="AA282" i="7"/>
  <c r="Z282" i="7"/>
  <c r="W282" i="7"/>
  <c r="V282" i="7"/>
  <c r="U282" i="7"/>
  <c r="T282" i="7"/>
  <c r="Q282" i="7"/>
  <c r="P282" i="7"/>
  <c r="O282" i="7"/>
  <c r="N282" i="7"/>
  <c r="K282" i="7"/>
  <c r="J282" i="7"/>
  <c r="I282" i="7"/>
  <c r="H282" i="7"/>
  <c r="E282" i="7"/>
  <c r="D282" i="7"/>
  <c r="C282" i="7"/>
  <c r="B282" i="7"/>
  <c r="AI281" i="7"/>
  <c r="AH281" i="7"/>
  <c r="AG281" i="7"/>
  <c r="AF281" i="7"/>
  <c r="AC281" i="7"/>
  <c r="AB281" i="7"/>
  <c r="AA281" i="7"/>
  <c r="Z281" i="7"/>
  <c r="W281" i="7"/>
  <c r="V281" i="7"/>
  <c r="U281" i="7"/>
  <c r="T281" i="7"/>
  <c r="Q281" i="7"/>
  <c r="P281" i="7"/>
  <c r="O281" i="7"/>
  <c r="N281" i="7"/>
  <c r="K281" i="7"/>
  <c r="J281" i="7"/>
  <c r="I281" i="7"/>
  <c r="H281" i="7"/>
  <c r="E281" i="7"/>
  <c r="D281" i="7"/>
  <c r="C281" i="7"/>
  <c r="B281" i="7"/>
  <c r="AI280" i="7"/>
  <c r="AH280" i="7"/>
  <c r="AG280" i="7"/>
  <c r="AF280" i="7"/>
  <c r="AC280" i="7"/>
  <c r="AB280" i="7"/>
  <c r="AA280" i="7"/>
  <c r="Z280" i="7"/>
  <c r="W280" i="7"/>
  <c r="V280" i="7"/>
  <c r="U280" i="7"/>
  <c r="T280" i="7"/>
  <c r="Q280" i="7"/>
  <c r="P280" i="7"/>
  <c r="O280" i="7"/>
  <c r="N280" i="7"/>
  <c r="K280" i="7"/>
  <c r="J280" i="7"/>
  <c r="I280" i="7"/>
  <c r="H280" i="7"/>
  <c r="E280" i="7"/>
  <c r="D280" i="7"/>
  <c r="C280" i="7"/>
  <c r="B280" i="7"/>
  <c r="AI279" i="7"/>
  <c r="AH279" i="7"/>
  <c r="AG279" i="7"/>
  <c r="AF279" i="7"/>
  <c r="AC279" i="7"/>
  <c r="AB279" i="7"/>
  <c r="AA279" i="7"/>
  <c r="Z279" i="7"/>
  <c r="W279" i="7"/>
  <c r="V279" i="7"/>
  <c r="U279" i="7"/>
  <c r="T279" i="7"/>
  <c r="Q279" i="7"/>
  <c r="P279" i="7"/>
  <c r="O279" i="7"/>
  <c r="N279" i="7"/>
  <c r="K279" i="7"/>
  <c r="J279" i="7"/>
  <c r="I279" i="7"/>
  <c r="H279" i="7"/>
  <c r="E279" i="7"/>
  <c r="D279" i="7"/>
  <c r="C279" i="7"/>
  <c r="B279" i="7"/>
  <c r="AI278" i="7"/>
  <c r="AH278" i="7"/>
  <c r="AG278" i="7"/>
  <c r="AF278" i="7"/>
  <c r="AC278" i="7"/>
  <c r="AB278" i="7"/>
  <c r="AA278" i="7"/>
  <c r="Z278" i="7"/>
  <c r="W278" i="7"/>
  <c r="V278" i="7"/>
  <c r="U278" i="7"/>
  <c r="T278" i="7"/>
  <c r="Q278" i="7"/>
  <c r="P278" i="7"/>
  <c r="O278" i="7"/>
  <c r="N278" i="7"/>
  <c r="K278" i="7"/>
  <c r="J278" i="7"/>
  <c r="I278" i="7"/>
  <c r="H278" i="7"/>
  <c r="E278" i="7"/>
  <c r="D278" i="7"/>
  <c r="C278" i="7"/>
  <c r="B278" i="7"/>
  <c r="AI277" i="7"/>
  <c r="AH277" i="7"/>
  <c r="AG277" i="7"/>
  <c r="AF277" i="7"/>
  <c r="AC277" i="7"/>
  <c r="AB277" i="7"/>
  <c r="AA277" i="7"/>
  <c r="Z277" i="7"/>
  <c r="W277" i="7"/>
  <c r="V277" i="7"/>
  <c r="U277" i="7"/>
  <c r="T277" i="7"/>
  <c r="Q277" i="7"/>
  <c r="P277" i="7"/>
  <c r="O277" i="7"/>
  <c r="N277" i="7"/>
  <c r="K277" i="7"/>
  <c r="J277" i="7"/>
  <c r="I277" i="7"/>
  <c r="H277" i="7"/>
  <c r="E277" i="7"/>
  <c r="D277" i="7"/>
  <c r="C277" i="7"/>
  <c r="B277" i="7"/>
  <c r="AI276" i="7"/>
  <c r="AH276" i="7"/>
  <c r="AG276" i="7"/>
  <c r="AF276" i="7"/>
  <c r="AC276" i="7"/>
  <c r="AB276" i="7"/>
  <c r="AA276" i="7"/>
  <c r="Z276" i="7"/>
  <c r="W276" i="7"/>
  <c r="V276" i="7"/>
  <c r="U276" i="7"/>
  <c r="T276" i="7"/>
  <c r="Q276" i="7"/>
  <c r="P276" i="7"/>
  <c r="O276" i="7"/>
  <c r="N276" i="7"/>
  <c r="K276" i="7"/>
  <c r="J276" i="7"/>
  <c r="I276" i="7"/>
  <c r="H276" i="7"/>
  <c r="E276" i="7"/>
  <c r="D276" i="7"/>
  <c r="C276" i="7"/>
  <c r="B276" i="7"/>
  <c r="AI275" i="7"/>
  <c r="AH275" i="7"/>
  <c r="AG275" i="7"/>
  <c r="AF275" i="7"/>
  <c r="AC275" i="7"/>
  <c r="AB275" i="7"/>
  <c r="AA275" i="7"/>
  <c r="Z275" i="7"/>
  <c r="W275" i="7"/>
  <c r="V275" i="7"/>
  <c r="U275" i="7"/>
  <c r="T275" i="7"/>
  <c r="Q275" i="7"/>
  <c r="P275" i="7"/>
  <c r="O275" i="7"/>
  <c r="N275" i="7"/>
  <c r="K275" i="7"/>
  <c r="J275" i="7"/>
  <c r="I275" i="7"/>
  <c r="H275" i="7"/>
  <c r="E275" i="7"/>
  <c r="D275" i="7"/>
  <c r="C275" i="7"/>
  <c r="B275" i="7"/>
  <c r="AI274" i="7"/>
  <c r="AH274" i="7"/>
  <c r="AG274" i="7"/>
  <c r="AF274" i="7"/>
  <c r="AC274" i="7"/>
  <c r="AB274" i="7"/>
  <c r="AA274" i="7"/>
  <c r="Z274" i="7"/>
  <c r="W274" i="7"/>
  <c r="V274" i="7"/>
  <c r="U274" i="7"/>
  <c r="T274" i="7"/>
  <c r="Q274" i="7"/>
  <c r="P274" i="7"/>
  <c r="O274" i="7"/>
  <c r="N274" i="7"/>
  <c r="K274" i="7"/>
  <c r="J274" i="7"/>
  <c r="I274" i="7"/>
  <c r="H274" i="7"/>
  <c r="E274" i="7"/>
  <c r="D274" i="7"/>
  <c r="C274" i="7"/>
  <c r="B274" i="7"/>
  <c r="AI273" i="7"/>
  <c r="AH273" i="7"/>
  <c r="AG273" i="7"/>
  <c r="AF273" i="7"/>
  <c r="AC273" i="7"/>
  <c r="AB273" i="7"/>
  <c r="AA273" i="7"/>
  <c r="Z273" i="7"/>
  <c r="W273" i="7"/>
  <c r="V273" i="7"/>
  <c r="U273" i="7"/>
  <c r="T273" i="7"/>
  <c r="Q273" i="7"/>
  <c r="P273" i="7"/>
  <c r="O273" i="7"/>
  <c r="N273" i="7"/>
  <c r="K273" i="7"/>
  <c r="J273" i="7"/>
  <c r="I273" i="7"/>
  <c r="H273" i="7"/>
  <c r="E273" i="7"/>
  <c r="D273" i="7"/>
  <c r="C273" i="7"/>
  <c r="B273" i="7"/>
  <c r="AI272" i="7"/>
  <c r="AH272" i="7"/>
  <c r="AG272" i="7"/>
  <c r="AF272" i="7"/>
  <c r="AC272" i="7"/>
  <c r="AB272" i="7"/>
  <c r="AA272" i="7"/>
  <c r="Z272" i="7"/>
  <c r="W272" i="7"/>
  <c r="V272" i="7"/>
  <c r="U272" i="7"/>
  <c r="T272" i="7"/>
  <c r="Q272" i="7"/>
  <c r="P272" i="7"/>
  <c r="O272" i="7"/>
  <c r="N272" i="7"/>
  <c r="K272" i="7"/>
  <c r="J272" i="7"/>
  <c r="I272" i="7"/>
  <c r="H272" i="7"/>
  <c r="E272" i="7"/>
  <c r="D272" i="7"/>
  <c r="C272" i="7"/>
  <c r="B272" i="7"/>
  <c r="AI271" i="7"/>
  <c r="AH271" i="7"/>
  <c r="AG271" i="7"/>
  <c r="AF271" i="7"/>
  <c r="AC271" i="7"/>
  <c r="AB271" i="7"/>
  <c r="AA271" i="7"/>
  <c r="Z271" i="7"/>
  <c r="W271" i="7"/>
  <c r="V271" i="7"/>
  <c r="U271" i="7"/>
  <c r="T271" i="7"/>
  <c r="Q271" i="7"/>
  <c r="P271" i="7"/>
  <c r="O271" i="7"/>
  <c r="N271" i="7"/>
  <c r="K271" i="7"/>
  <c r="J271" i="7"/>
  <c r="I271" i="7"/>
  <c r="H271" i="7"/>
  <c r="E271" i="7"/>
  <c r="D271" i="7"/>
  <c r="C271" i="7"/>
  <c r="B271" i="7"/>
  <c r="AI270" i="7"/>
  <c r="AH270" i="7"/>
  <c r="AG270" i="7"/>
  <c r="AF270" i="7"/>
  <c r="AC270" i="7"/>
  <c r="AB270" i="7"/>
  <c r="AA270" i="7"/>
  <c r="Z270" i="7"/>
  <c r="W270" i="7"/>
  <c r="V270" i="7"/>
  <c r="U270" i="7"/>
  <c r="T270" i="7"/>
  <c r="Q270" i="7"/>
  <c r="P270" i="7"/>
  <c r="O270" i="7"/>
  <c r="N270" i="7"/>
  <c r="K270" i="7"/>
  <c r="J270" i="7"/>
  <c r="I270" i="7"/>
  <c r="H270" i="7"/>
  <c r="E270" i="7"/>
  <c r="D270" i="7"/>
  <c r="C270" i="7"/>
  <c r="B270" i="7"/>
  <c r="AI269" i="7"/>
  <c r="AH269" i="7"/>
  <c r="AG269" i="7"/>
  <c r="AF269" i="7"/>
  <c r="AC269" i="7"/>
  <c r="AB269" i="7"/>
  <c r="AA269" i="7"/>
  <c r="Z269" i="7"/>
  <c r="W269" i="7"/>
  <c r="V269" i="7"/>
  <c r="U269" i="7"/>
  <c r="T269" i="7"/>
  <c r="Q269" i="7"/>
  <c r="P269" i="7"/>
  <c r="O269" i="7"/>
  <c r="N269" i="7"/>
  <c r="K269" i="7"/>
  <c r="J269" i="7"/>
  <c r="I269" i="7"/>
  <c r="H269" i="7"/>
  <c r="E269" i="7"/>
  <c r="D269" i="7"/>
  <c r="C269" i="7"/>
  <c r="B269" i="7"/>
  <c r="AI268" i="7"/>
  <c r="AH268" i="7"/>
  <c r="AG268" i="7"/>
  <c r="AF268" i="7"/>
  <c r="AC268" i="7"/>
  <c r="AB268" i="7"/>
  <c r="AA268" i="7"/>
  <c r="Z268" i="7"/>
  <c r="W268" i="7"/>
  <c r="V268" i="7"/>
  <c r="U268" i="7"/>
  <c r="T268" i="7"/>
  <c r="Q268" i="7"/>
  <c r="P268" i="7"/>
  <c r="O268" i="7"/>
  <c r="N268" i="7"/>
  <c r="K268" i="7"/>
  <c r="J268" i="7"/>
  <c r="I268" i="7"/>
  <c r="H268" i="7"/>
  <c r="E268" i="7"/>
  <c r="D268" i="7"/>
  <c r="C268" i="7"/>
  <c r="B268" i="7"/>
  <c r="AI267" i="7"/>
  <c r="AH267" i="7"/>
  <c r="AG267" i="7"/>
  <c r="AF267" i="7"/>
  <c r="AC267" i="7"/>
  <c r="AB267" i="7"/>
  <c r="AA267" i="7"/>
  <c r="Z267" i="7"/>
  <c r="W267" i="7"/>
  <c r="V267" i="7"/>
  <c r="U267" i="7"/>
  <c r="T267" i="7"/>
  <c r="Q267" i="7"/>
  <c r="P267" i="7"/>
  <c r="O267" i="7"/>
  <c r="N267" i="7"/>
  <c r="K267" i="7"/>
  <c r="J267" i="7"/>
  <c r="I267" i="7"/>
  <c r="H267" i="7"/>
  <c r="E267" i="7"/>
  <c r="D267" i="7"/>
  <c r="C267" i="7"/>
  <c r="B267" i="7"/>
  <c r="AI266" i="7"/>
  <c r="AH266" i="7"/>
  <c r="AG266" i="7"/>
  <c r="AF266" i="7"/>
  <c r="AC266" i="7"/>
  <c r="AB266" i="7"/>
  <c r="AA266" i="7"/>
  <c r="Z266" i="7"/>
  <c r="W266" i="7"/>
  <c r="V266" i="7"/>
  <c r="U266" i="7"/>
  <c r="T266" i="7"/>
  <c r="Q266" i="7"/>
  <c r="P266" i="7"/>
  <c r="O266" i="7"/>
  <c r="N266" i="7"/>
  <c r="K266" i="7"/>
  <c r="J266" i="7"/>
  <c r="I266" i="7"/>
  <c r="H266" i="7"/>
  <c r="E266" i="7"/>
  <c r="D266" i="7"/>
  <c r="C266" i="7"/>
  <c r="B266" i="7"/>
  <c r="AI265" i="7"/>
  <c r="AH265" i="7"/>
  <c r="AG265" i="7"/>
  <c r="AF265" i="7"/>
  <c r="AC265" i="7"/>
  <c r="AB265" i="7"/>
  <c r="AA265" i="7"/>
  <c r="Z265" i="7"/>
  <c r="W265" i="7"/>
  <c r="V265" i="7"/>
  <c r="U265" i="7"/>
  <c r="T265" i="7"/>
  <c r="Q265" i="7"/>
  <c r="P265" i="7"/>
  <c r="O265" i="7"/>
  <c r="N265" i="7"/>
  <c r="K265" i="7"/>
  <c r="J265" i="7"/>
  <c r="I265" i="7"/>
  <c r="H265" i="7"/>
  <c r="E265" i="7"/>
  <c r="D265" i="7"/>
  <c r="C265" i="7"/>
  <c r="B265" i="7"/>
  <c r="AI264" i="7"/>
  <c r="AH264" i="7"/>
  <c r="AG264" i="7"/>
  <c r="AF264" i="7"/>
  <c r="AC264" i="7"/>
  <c r="AB264" i="7"/>
  <c r="AA264" i="7"/>
  <c r="Z264" i="7"/>
  <c r="W264" i="7"/>
  <c r="V264" i="7"/>
  <c r="U264" i="7"/>
  <c r="T264" i="7"/>
  <c r="Q264" i="7"/>
  <c r="P264" i="7"/>
  <c r="O264" i="7"/>
  <c r="N264" i="7"/>
  <c r="K264" i="7"/>
  <c r="J264" i="7"/>
  <c r="I264" i="7"/>
  <c r="H264" i="7"/>
  <c r="E264" i="7"/>
  <c r="D264" i="7"/>
  <c r="C264" i="7"/>
  <c r="B264" i="7"/>
  <c r="AI263" i="7"/>
  <c r="AH263" i="7"/>
  <c r="AG263" i="7"/>
  <c r="AF263" i="7"/>
  <c r="AC263" i="7"/>
  <c r="AB263" i="7"/>
  <c r="AA263" i="7"/>
  <c r="Z263" i="7"/>
  <c r="W263" i="7"/>
  <c r="V263" i="7"/>
  <c r="U263" i="7"/>
  <c r="T263" i="7"/>
  <c r="Q263" i="7"/>
  <c r="P263" i="7"/>
  <c r="O263" i="7"/>
  <c r="N263" i="7"/>
  <c r="K263" i="7"/>
  <c r="J263" i="7"/>
  <c r="I263" i="7"/>
  <c r="H263" i="7"/>
  <c r="E263" i="7"/>
  <c r="D263" i="7"/>
  <c r="C263" i="7"/>
  <c r="B263" i="7"/>
  <c r="AI262" i="7"/>
  <c r="AH262" i="7"/>
  <c r="AG262" i="7"/>
  <c r="AF262" i="7"/>
  <c r="AC262" i="7"/>
  <c r="AB262" i="7"/>
  <c r="AA262" i="7"/>
  <c r="Z262" i="7"/>
  <c r="W262" i="7"/>
  <c r="V262" i="7"/>
  <c r="U262" i="7"/>
  <c r="T262" i="7"/>
  <c r="Q262" i="7"/>
  <c r="P262" i="7"/>
  <c r="O262" i="7"/>
  <c r="N262" i="7"/>
  <c r="K262" i="7"/>
  <c r="J262" i="7"/>
  <c r="I262" i="7"/>
  <c r="H262" i="7"/>
  <c r="E262" i="7"/>
  <c r="D262" i="7"/>
  <c r="C262" i="7"/>
  <c r="B262" i="7"/>
  <c r="AI261" i="7"/>
  <c r="AH261" i="7"/>
  <c r="AG261" i="7"/>
  <c r="AF261" i="7"/>
  <c r="AC261" i="7"/>
  <c r="AB261" i="7"/>
  <c r="AA261" i="7"/>
  <c r="Z261" i="7"/>
  <c r="W261" i="7"/>
  <c r="V261" i="7"/>
  <c r="U261" i="7"/>
  <c r="T261" i="7"/>
  <c r="Q261" i="7"/>
  <c r="P261" i="7"/>
  <c r="O261" i="7"/>
  <c r="N261" i="7"/>
  <c r="K261" i="7"/>
  <c r="J261" i="7"/>
  <c r="I261" i="7"/>
  <c r="H261" i="7"/>
  <c r="E261" i="7"/>
  <c r="D261" i="7"/>
  <c r="C261" i="7"/>
  <c r="B261" i="7"/>
  <c r="AI260" i="7"/>
  <c r="AH260" i="7"/>
  <c r="AG260" i="7"/>
  <c r="AF260" i="7"/>
  <c r="AC260" i="7"/>
  <c r="AB260" i="7"/>
  <c r="AA260" i="7"/>
  <c r="Z260" i="7"/>
  <c r="W260" i="7"/>
  <c r="V260" i="7"/>
  <c r="U260" i="7"/>
  <c r="T260" i="7"/>
  <c r="Q260" i="7"/>
  <c r="P260" i="7"/>
  <c r="O260" i="7"/>
  <c r="N260" i="7"/>
  <c r="K260" i="7"/>
  <c r="J260" i="7"/>
  <c r="I260" i="7"/>
  <c r="H260" i="7"/>
  <c r="E260" i="7"/>
  <c r="D260" i="7"/>
  <c r="C260" i="7"/>
  <c r="B260" i="7"/>
  <c r="AI259" i="7"/>
  <c r="AH259" i="7"/>
  <c r="AG259" i="7"/>
  <c r="AF259" i="7"/>
  <c r="AC259" i="7"/>
  <c r="AB259" i="7"/>
  <c r="AA259" i="7"/>
  <c r="Z259" i="7"/>
  <c r="W259" i="7"/>
  <c r="V259" i="7"/>
  <c r="U259" i="7"/>
  <c r="T259" i="7"/>
  <c r="Q259" i="7"/>
  <c r="P259" i="7"/>
  <c r="O259" i="7"/>
  <c r="N259" i="7"/>
  <c r="K259" i="7"/>
  <c r="J259" i="7"/>
  <c r="I259" i="7"/>
  <c r="H259" i="7"/>
  <c r="E259" i="7"/>
  <c r="D259" i="7"/>
  <c r="C259" i="7"/>
  <c r="B259" i="7"/>
  <c r="AI258" i="7"/>
  <c r="AH258" i="7"/>
  <c r="AG258" i="7"/>
  <c r="AF258" i="7"/>
  <c r="AC258" i="7"/>
  <c r="AB258" i="7"/>
  <c r="AA258" i="7"/>
  <c r="Z258" i="7"/>
  <c r="W258" i="7"/>
  <c r="V258" i="7"/>
  <c r="U258" i="7"/>
  <c r="T258" i="7"/>
  <c r="Q258" i="7"/>
  <c r="P258" i="7"/>
  <c r="O258" i="7"/>
  <c r="N258" i="7"/>
  <c r="K258" i="7"/>
  <c r="J258" i="7"/>
  <c r="I258" i="7"/>
  <c r="H258" i="7"/>
  <c r="E258" i="7"/>
  <c r="D258" i="7"/>
  <c r="C258" i="7"/>
  <c r="B258" i="7"/>
  <c r="AI257" i="7"/>
  <c r="AH257" i="7"/>
  <c r="AG257" i="7"/>
  <c r="AF257" i="7"/>
  <c r="AC257" i="7"/>
  <c r="AB257" i="7"/>
  <c r="AA257" i="7"/>
  <c r="Z257" i="7"/>
  <c r="W257" i="7"/>
  <c r="V257" i="7"/>
  <c r="U257" i="7"/>
  <c r="T257" i="7"/>
  <c r="Q257" i="7"/>
  <c r="P257" i="7"/>
  <c r="O257" i="7"/>
  <c r="N257" i="7"/>
  <c r="K257" i="7"/>
  <c r="J257" i="7"/>
  <c r="I257" i="7"/>
  <c r="H257" i="7"/>
  <c r="E257" i="7"/>
  <c r="D257" i="7"/>
  <c r="C257" i="7"/>
  <c r="B257" i="7"/>
  <c r="AI256" i="7"/>
  <c r="AH256" i="7"/>
  <c r="AG256" i="7"/>
  <c r="AF256" i="7"/>
  <c r="AC256" i="7"/>
  <c r="AB256" i="7"/>
  <c r="AA256" i="7"/>
  <c r="Z256" i="7"/>
  <c r="W256" i="7"/>
  <c r="V256" i="7"/>
  <c r="U256" i="7"/>
  <c r="T256" i="7"/>
  <c r="Q256" i="7"/>
  <c r="P256" i="7"/>
  <c r="O256" i="7"/>
  <c r="N256" i="7"/>
  <c r="K256" i="7"/>
  <c r="J256" i="7"/>
  <c r="I256" i="7"/>
  <c r="H256" i="7"/>
  <c r="E256" i="7"/>
  <c r="D256" i="7"/>
  <c r="C256" i="7"/>
  <c r="B256" i="7"/>
  <c r="AI255" i="7"/>
  <c r="AH255" i="7"/>
  <c r="AG255" i="7"/>
  <c r="AF255" i="7"/>
  <c r="AC255" i="7"/>
  <c r="AB255" i="7"/>
  <c r="AA255" i="7"/>
  <c r="Z255" i="7"/>
  <c r="W255" i="7"/>
  <c r="V255" i="7"/>
  <c r="U255" i="7"/>
  <c r="T255" i="7"/>
  <c r="Q255" i="7"/>
  <c r="P255" i="7"/>
  <c r="O255" i="7"/>
  <c r="N255" i="7"/>
  <c r="K255" i="7"/>
  <c r="J255" i="7"/>
  <c r="I255" i="7"/>
  <c r="H255" i="7"/>
  <c r="E255" i="7"/>
  <c r="D255" i="7"/>
  <c r="C255" i="7"/>
  <c r="B255" i="7"/>
  <c r="AI254" i="7"/>
  <c r="AH254" i="7"/>
  <c r="AG254" i="7"/>
  <c r="AF254" i="7"/>
  <c r="AC254" i="7"/>
  <c r="AB254" i="7"/>
  <c r="AA254" i="7"/>
  <c r="Z254" i="7"/>
  <c r="W254" i="7"/>
  <c r="V254" i="7"/>
  <c r="U254" i="7"/>
  <c r="T254" i="7"/>
  <c r="Q254" i="7"/>
  <c r="P254" i="7"/>
  <c r="O254" i="7"/>
  <c r="N254" i="7"/>
  <c r="K254" i="7"/>
  <c r="J254" i="7"/>
  <c r="I254" i="7"/>
  <c r="H254" i="7"/>
  <c r="E254" i="7"/>
  <c r="D254" i="7"/>
  <c r="C254" i="7"/>
  <c r="B254" i="7"/>
  <c r="AI253" i="7"/>
  <c r="AH253" i="7"/>
  <c r="AG253" i="7"/>
  <c r="AF253" i="7"/>
  <c r="AC253" i="7"/>
  <c r="AB253" i="7"/>
  <c r="AA253" i="7"/>
  <c r="Z253" i="7"/>
  <c r="W253" i="7"/>
  <c r="V253" i="7"/>
  <c r="U253" i="7"/>
  <c r="T253" i="7"/>
  <c r="Q253" i="7"/>
  <c r="P253" i="7"/>
  <c r="O253" i="7"/>
  <c r="N253" i="7"/>
  <c r="K253" i="7"/>
  <c r="J253" i="7"/>
  <c r="I253" i="7"/>
  <c r="H253" i="7"/>
  <c r="E253" i="7"/>
  <c r="D253" i="7"/>
  <c r="C253" i="7"/>
  <c r="B253" i="7"/>
  <c r="AI252" i="7"/>
  <c r="AH252" i="7"/>
  <c r="AG252" i="7"/>
  <c r="AF252" i="7"/>
  <c r="AC252" i="7"/>
  <c r="AB252" i="7"/>
  <c r="AA252" i="7"/>
  <c r="Z252" i="7"/>
  <c r="W252" i="7"/>
  <c r="V252" i="7"/>
  <c r="U252" i="7"/>
  <c r="T252" i="7"/>
  <c r="Q252" i="7"/>
  <c r="P252" i="7"/>
  <c r="O252" i="7"/>
  <c r="N252" i="7"/>
  <c r="K252" i="7"/>
  <c r="J252" i="7"/>
  <c r="I252" i="7"/>
  <c r="H252" i="7"/>
  <c r="E252" i="7"/>
  <c r="D252" i="7"/>
  <c r="C252" i="7"/>
  <c r="B252" i="7"/>
  <c r="AI251" i="7"/>
  <c r="AH251" i="7"/>
  <c r="AG251" i="7"/>
  <c r="AF251" i="7"/>
  <c r="AC251" i="7"/>
  <c r="AB251" i="7"/>
  <c r="AA251" i="7"/>
  <c r="Z251" i="7"/>
  <c r="W251" i="7"/>
  <c r="V251" i="7"/>
  <c r="U251" i="7"/>
  <c r="T251" i="7"/>
  <c r="Q251" i="7"/>
  <c r="P251" i="7"/>
  <c r="O251" i="7"/>
  <c r="N251" i="7"/>
  <c r="K251" i="7"/>
  <c r="J251" i="7"/>
  <c r="I251" i="7"/>
  <c r="H251" i="7"/>
  <c r="E251" i="7"/>
  <c r="D251" i="7"/>
  <c r="C251" i="7"/>
  <c r="B251" i="7"/>
  <c r="AI250" i="7"/>
  <c r="AH250" i="7"/>
  <c r="AG250" i="7"/>
  <c r="AF250" i="7"/>
  <c r="AC250" i="7"/>
  <c r="AB250" i="7"/>
  <c r="AA250" i="7"/>
  <c r="Z250" i="7"/>
  <c r="W250" i="7"/>
  <c r="V250" i="7"/>
  <c r="U250" i="7"/>
  <c r="T250" i="7"/>
  <c r="Q250" i="7"/>
  <c r="P250" i="7"/>
  <c r="O250" i="7"/>
  <c r="N250" i="7"/>
  <c r="K250" i="7"/>
  <c r="J250" i="7"/>
  <c r="I250" i="7"/>
  <c r="H250" i="7"/>
  <c r="E250" i="7"/>
  <c r="D250" i="7"/>
  <c r="C250" i="7"/>
  <c r="B250" i="7"/>
  <c r="AI249" i="7"/>
  <c r="AH249" i="7"/>
  <c r="AG249" i="7"/>
  <c r="AF249" i="7"/>
  <c r="AC249" i="7"/>
  <c r="AB249" i="7"/>
  <c r="AA249" i="7"/>
  <c r="Z249" i="7"/>
  <c r="W249" i="7"/>
  <c r="V249" i="7"/>
  <c r="U249" i="7"/>
  <c r="T249" i="7"/>
  <c r="Q249" i="7"/>
  <c r="P249" i="7"/>
  <c r="O249" i="7"/>
  <c r="N249" i="7"/>
  <c r="K249" i="7"/>
  <c r="J249" i="7"/>
  <c r="I249" i="7"/>
  <c r="H249" i="7"/>
  <c r="E249" i="7"/>
  <c r="D249" i="7"/>
  <c r="C249" i="7"/>
  <c r="B249" i="7"/>
  <c r="AI248" i="7"/>
  <c r="AH248" i="7"/>
  <c r="AG248" i="7"/>
  <c r="AF248" i="7"/>
  <c r="AC248" i="7"/>
  <c r="AB248" i="7"/>
  <c r="AA248" i="7"/>
  <c r="Z248" i="7"/>
  <c r="W248" i="7"/>
  <c r="V248" i="7"/>
  <c r="U248" i="7"/>
  <c r="T248" i="7"/>
  <c r="Q248" i="7"/>
  <c r="P248" i="7"/>
  <c r="O248" i="7"/>
  <c r="N248" i="7"/>
  <c r="K248" i="7"/>
  <c r="J248" i="7"/>
  <c r="I248" i="7"/>
  <c r="H248" i="7"/>
  <c r="E248" i="7"/>
  <c r="D248" i="7"/>
  <c r="C248" i="7"/>
  <c r="B248" i="7"/>
  <c r="AI247" i="7"/>
  <c r="AH247" i="7"/>
  <c r="AG247" i="7"/>
  <c r="AF247" i="7"/>
  <c r="AC247" i="7"/>
  <c r="AB247" i="7"/>
  <c r="AA247" i="7"/>
  <c r="Z247" i="7"/>
  <c r="W247" i="7"/>
  <c r="V247" i="7"/>
  <c r="U247" i="7"/>
  <c r="T247" i="7"/>
  <c r="Q247" i="7"/>
  <c r="P247" i="7"/>
  <c r="O247" i="7"/>
  <c r="N247" i="7"/>
  <c r="K247" i="7"/>
  <c r="J247" i="7"/>
  <c r="I247" i="7"/>
  <c r="H247" i="7"/>
  <c r="E247" i="7"/>
  <c r="D247" i="7"/>
  <c r="C247" i="7"/>
  <c r="B247" i="7"/>
  <c r="AI246" i="7"/>
  <c r="AH246" i="7"/>
  <c r="AG246" i="7"/>
  <c r="AF246" i="7"/>
  <c r="AC246" i="7"/>
  <c r="AB246" i="7"/>
  <c r="AA246" i="7"/>
  <c r="Z246" i="7"/>
  <c r="W246" i="7"/>
  <c r="V246" i="7"/>
  <c r="U246" i="7"/>
  <c r="T246" i="7"/>
  <c r="Q246" i="7"/>
  <c r="P246" i="7"/>
  <c r="O246" i="7"/>
  <c r="N246" i="7"/>
  <c r="K246" i="7"/>
  <c r="J246" i="7"/>
  <c r="I246" i="7"/>
  <c r="H246" i="7"/>
  <c r="E246" i="7"/>
  <c r="D246" i="7"/>
  <c r="C246" i="7"/>
  <c r="B246" i="7"/>
  <c r="AI245" i="7"/>
  <c r="AH245" i="7"/>
  <c r="AG245" i="7"/>
  <c r="AF245" i="7"/>
  <c r="AC245" i="7"/>
  <c r="AB245" i="7"/>
  <c r="AA245" i="7"/>
  <c r="Z245" i="7"/>
  <c r="W245" i="7"/>
  <c r="V245" i="7"/>
  <c r="U245" i="7"/>
  <c r="T245" i="7"/>
  <c r="Q245" i="7"/>
  <c r="P245" i="7"/>
  <c r="O245" i="7"/>
  <c r="N245" i="7"/>
  <c r="K245" i="7"/>
  <c r="J245" i="7"/>
  <c r="I245" i="7"/>
  <c r="H245" i="7"/>
  <c r="E245" i="7"/>
  <c r="D245" i="7"/>
  <c r="C245" i="7"/>
  <c r="B245" i="7"/>
  <c r="AI244" i="7"/>
  <c r="AH244" i="7"/>
  <c r="AG244" i="7"/>
  <c r="AF244" i="7"/>
  <c r="AC244" i="7"/>
  <c r="AB244" i="7"/>
  <c r="AA244" i="7"/>
  <c r="Z244" i="7"/>
  <c r="W244" i="7"/>
  <c r="V244" i="7"/>
  <c r="U244" i="7"/>
  <c r="T244" i="7"/>
  <c r="Q244" i="7"/>
  <c r="P244" i="7"/>
  <c r="O244" i="7"/>
  <c r="N244" i="7"/>
  <c r="K244" i="7"/>
  <c r="J244" i="7"/>
  <c r="I244" i="7"/>
  <c r="H244" i="7"/>
  <c r="E244" i="7"/>
  <c r="D244" i="7"/>
  <c r="C244" i="7"/>
  <c r="B244" i="7"/>
  <c r="AI243" i="7"/>
  <c r="AH243" i="7"/>
  <c r="AG243" i="7"/>
  <c r="AF243" i="7"/>
  <c r="AC243" i="7"/>
  <c r="AB243" i="7"/>
  <c r="AA243" i="7"/>
  <c r="Z243" i="7"/>
  <c r="W243" i="7"/>
  <c r="V243" i="7"/>
  <c r="U243" i="7"/>
  <c r="T243" i="7"/>
  <c r="Q243" i="7"/>
  <c r="P243" i="7"/>
  <c r="O243" i="7"/>
  <c r="N243" i="7"/>
  <c r="K243" i="7"/>
  <c r="J243" i="7"/>
  <c r="I243" i="7"/>
  <c r="H243" i="7"/>
  <c r="E243" i="7"/>
  <c r="D243" i="7"/>
  <c r="C243" i="7"/>
  <c r="B243" i="7"/>
  <c r="AI242" i="7"/>
  <c r="AH242" i="7"/>
  <c r="AG242" i="7"/>
  <c r="AF242" i="7"/>
  <c r="AC242" i="7"/>
  <c r="AB242" i="7"/>
  <c r="AA242" i="7"/>
  <c r="Z242" i="7"/>
  <c r="W242" i="7"/>
  <c r="V242" i="7"/>
  <c r="U242" i="7"/>
  <c r="T242" i="7"/>
  <c r="Q242" i="7"/>
  <c r="P242" i="7"/>
  <c r="O242" i="7"/>
  <c r="N242" i="7"/>
  <c r="K242" i="7"/>
  <c r="J242" i="7"/>
  <c r="I242" i="7"/>
  <c r="H242" i="7"/>
  <c r="E242" i="7"/>
  <c r="D242" i="7"/>
  <c r="C242" i="7"/>
  <c r="B242" i="7"/>
  <c r="AI241" i="7"/>
  <c r="AH241" i="7"/>
  <c r="AG241" i="7"/>
  <c r="AF241" i="7"/>
  <c r="AC241" i="7"/>
  <c r="AB241" i="7"/>
  <c r="AA241" i="7"/>
  <c r="Z241" i="7"/>
  <c r="W241" i="7"/>
  <c r="V241" i="7"/>
  <c r="U241" i="7"/>
  <c r="T241" i="7"/>
  <c r="Q241" i="7"/>
  <c r="P241" i="7"/>
  <c r="O241" i="7"/>
  <c r="N241" i="7"/>
  <c r="K241" i="7"/>
  <c r="J241" i="7"/>
  <c r="I241" i="7"/>
  <c r="H241" i="7"/>
  <c r="E241" i="7"/>
  <c r="D241" i="7"/>
  <c r="C241" i="7"/>
  <c r="B241" i="7"/>
  <c r="AI240" i="7"/>
  <c r="AH240" i="7"/>
  <c r="AG240" i="7"/>
  <c r="AF240" i="7"/>
  <c r="AC240" i="7"/>
  <c r="AB240" i="7"/>
  <c r="AA240" i="7"/>
  <c r="Z240" i="7"/>
  <c r="W240" i="7"/>
  <c r="V240" i="7"/>
  <c r="U240" i="7"/>
  <c r="T240" i="7"/>
  <c r="Q240" i="7"/>
  <c r="P240" i="7"/>
  <c r="O240" i="7"/>
  <c r="N240" i="7"/>
  <c r="K240" i="7"/>
  <c r="J240" i="7"/>
  <c r="I240" i="7"/>
  <c r="H240" i="7"/>
  <c r="E240" i="7"/>
  <c r="D240" i="7"/>
  <c r="C240" i="7"/>
  <c r="B240" i="7"/>
  <c r="AI239" i="7"/>
  <c r="AH239" i="7"/>
  <c r="AG239" i="7"/>
  <c r="AF239" i="7"/>
  <c r="AC239" i="7"/>
  <c r="AB239" i="7"/>
  <c r="AA239" i="7"/>
  <c r="Z239" i="7"/>
  <c r="W239" i="7"/>
  <c r="V239" i="7"/>
  <c r="U239" i="7"/>
  <c r="T239" i="7"/>
  <c r="Q239" i="7"/>
  <c r="P239" i="7"/>
  <c r="O239" i="7"/>
  <c r="N239" i="7"/>
  <c r="K239" i="7"/>
  <c r="J239" i="7"/>
  <c r="I239" i="7"/>
  <c r="H239" i="7"/>
  <c r="E239" i="7"/>
  <c r="D239" i="7"/>
  <c r="C239" i="7"/>
  <c r="B239" i="7"/>
  <c r="AI238" i="7"/>
  <c r="AH238" i="7"/>
  <c r="AG238" i="7"/>
  <c r="AF238" i="7"/>
  <c r="AC238" i="7"/>
  <c r="AB238" i="7"/>
  <c r="AA238" i="7"/>
  <c r="Z238" i="7"/>
  <c r="W238" i="7"/>
  <c r="V238" i="7"/>
  <c r="U238" i="7"/>
  <c r="T238" i="7"/>
  <c r="Q238" i="7"/>
  <c r="P238" i="7"/>
  <c r="O238" i="7"/>
  <c r="N238" i="7"/>
  <c r="K238" i="7"/>
  <c r="J238" i="7"/>
  <c r="I238" i="7"/>
  <c r="H238" i="7"/>
  <c r="E238" i="7"/>
  <c r="D238" i="7"/>
  <c r="C238" i="7"/>
  <c r="B238" i="7"/>
  <c r="AI237" i="7"/>
  <c r="AH237" i="7"/>
  <c r="AG237" i="7"/>
  <c r="AF237" i="7"/>
  <c r="AC237" i="7"/>
  <c r="AB237" i="7"/>
  <c r="AA237" i="7"/>
  <c r="Z237" i="7"/>
  <c r="W237" i="7"/>
  <c r="V237" i="7"/>
  <c r="U237" i="7"/>
  <c r="T237" i="7"/>
  <c r="Q237" i="7"/>
  <c r="P237" i="7"/>
  <c r="O237" i="7"/>
  <c r="N237" i="7"/>
  <c r="K237" i="7"/>
  <c r="J237" i="7"/>
  <c r="I237" i="7"/>
  <c r="H237" i="7"/>
  <c r="E237" i="7"/>
  <c r="D237" i="7"/>
  <c r="C237" i="7"/>
  <c r="B237" i="7"/>
  <c r="AI236" i="7"/>
  <c r="AH236" i="7"/>
  <c r="AG236" i="7"/>
  <c r="AF236" i="7"/>
  <c r="AC236" i="7"/>
  <c r="AB236" i="7"/>
  <c r="AA236" i="7"/>
  <c r="Z236" i="7"/>
  <c r="W236" i="7"/>
  <c r="V236" i="7"/>
  <c r="U236" i="7"/>
  <c r="T236" i="7"/>
  <c r="Q236" i="7"/>
  <c r="P236" i="7"/>
  <c r="O236" i="7"/>
  <c r="N236" i="7"/>
  <c r="K236" i="7"/>
  <c r="J236" i="7"/>
  <c r="I236" i="7"/>
  <c r="H236" i="7"/>
  <c r="E236" i="7"/>
  <c r="D236" i="7"/>
  <c r="C236" i="7"/>
  <c r="B236" i="7"/>
  <c r="AI235" i="7"/>
  <c r="AH235" i="7"/>
  <c r="AG235" i="7"/>
  <c r="AF235" i="7"/>
  <c r="AC235" i="7"/>
  <c r="AB235" i="7"/>
  <c r="AA235" i="7"/>
  <c r="Z235" i="7"/>
  <c r="W235" i="7"/>
  <c r="V235" i="7"/>
  <c r="U235" i="7"/>
  <c r="T235" i="7"/>
  <c r="Q235" i="7"/>
  <c r="P235" i="7"/>
  <c r="O235" i="7"/>
  <c r="N235" i="7"/>
  <c r="K235" i="7"/>
  <c r="J235" i="7"/>
  <c r="I235" i="7"/>
  <c r="H235" i="7"/>
  <c r="E235" i="7"/>
  <c r="D235" i="7"/>
  <c r="C235" i="7"/>
  <c r="B235" i="7"/>
  <c r="AI234" i="7"/>
  <c r="AH234" i="7"/>
  <c r="AG234" i="7"/>
  <c r="AF234" i="7"/>
  <c r="AC234" i="7"/>
  <c r="AB234" i="7"/>
  <c r="AA234" i="7"/>
  <c r="Z234" i="7"/>
  <c r="W234" i="7"/>
  <c r="V234" i="7"/>
  <c r="U234" i="7"/>
  <c r="T234" i="7"/>
  <c r="Q234" i="7"/>
  <c r="P234" i="7"/>
  <c r="O234" i="7"/>
  <c r="N234" i="7"/>
  <c r="K234" i="7"/>
  <c r="J234" i="7"/>
  <c r="I234" i="7"/>
  <c r="H234" i="7"/>
  <c r="E234" i="7"/>
  <c r="D234" i="7"/>
  <c r="C234" i="7"/>
  <c r="B234" i="7"/>
  <c r="AI233" i="7"/>
  <c r="AH233" i="7"/>
  <c r="AG233" i="7"/>
  <c r="AF233" i="7"/>
  <c r="AC233" i="7"/>
  <c r="AB233" i="7"/>
  <c r="AA233" i="7"/>
  <c r="Z233" i="7"/>
  <c r="W233" i="7"/>
  <c r="V233" i="7"/>
  <c r="U233" i="7"/>
  <c r="T233" i="7"/>
  <c r="Q233" i="7"/>
  <c r="P233" i="7"/>
  <c r="O233" i="7"/>
  <c r="N233" i="7"/>
  <c r="K233" i="7"/>
  <c r="J233" i="7"/>
  <c r="I233" i="7"/>
  <c r="H233" i="7"/>
  <c r="E233" i="7"/>
  <c r="D233" i="7"/>
  <c r="C233" i="7"/>
  <c r="B233" i="7"/>
  <c r="AI232" i="7"/>
  <c r="AH232" i="7"/>
  <c r="AG232" i="7"/>
  <c r="AF232" i="7"/>
  <c r="AC232" i="7"/>
  <c r="AB232" i="7"/>
  <c r="AA232" i="7"/>
  <c r="Z232" i="7"/>
  <c r="W232" i="7"/>
  <c r="V232" i="7"/>
  <c r="U232" i="7"/>
  <c r="T232" i="7"/>
  <c r="Q232" i="7"/>
  <c r="P232" i="7"/>
  <c r="O232" i="7"/>
  <c r="N232" i="7"/>
  <c r="K232" i="7"/>
  <c r="J232" i="7"/>
  <c r="I232" i="7"/>
  <c r="H232" i="7"/>
  <c r="E232" i="7"/>
  <c r="D232" i="7"/>
  <c r="C232" i="7"/>
  <c r="B232" i="7"/>
  <c r="AI231" i="7"/>
  <c r="AH231" i="7"/>
  <c r="AG231" i="7"/>
  <c r="AF231" i="7"/>
  <c r="AC231" i="7"/>
  <c r="AB231" i="7"/>
  <c r="AA231" i="7"/>
  <c r="Z231" i="7"/>
  <c r="W231" i="7"/>
  <c r="V231" i="7"/>
  <c r="U231" i="7"/>
  <c r="T231" i="7"/>
  <c r="Q231" i="7"/>
  <c r="P231" i="7"/>
  <c r="O231" i="7"/>
  <c r="N231" i="7"/>
  <c r="K231" i="7"/>
  <c r="J231" i="7"/>
  <c r="I231" i="7"/>
  <c r="H231" i="7"/>
  <c r="E231" i="7"/>
  <c r="D231" i="7"/>
  <c r="C231" i="7"/>
  <c r="B231" i="7"/>
  <c r="AI230" i="7"/>
  <c r="AH230" i="7"/>
  <c r="AG230" i="7"/>
  <c r="AF230" i="7"/>
  <c r="AC230" i="7"/>
  <c r="AB230" i="7"/>
  <c r="AA230" i="7"/>
  <c r="Z230" i="7"/>
  <c r="W230" i="7"/>
  <c r="V230" i="7"/>
  <c r="U230" i="7"/>
  <c r="T230" i="7"/>
  <c r="Q230" i="7"/>
  <c r="P230" i="7"/>
  <c r="O230" i="7"/>
  <c r="N230" i="7"/>
  <c r="K230" i="7"/>
  <c r="J230" i="7"/>
  <c r="I230" i="7"/>
  <c r="H230" i="7"/>
  <c r="E230" i="7"/>
  <c r="D230" i="7"/>
  <c r="C230" i="7"/>
  <c r="B230" i="7"/>
  <c r="AI229" i="7"/>
  <c r="AH229" i="7"/>
  <c r="AG229" i="7"/>
  <c r="AF229" i="7"/>
  <c r="AC229" i="7"/>
  <c r="AB229" i="7"/>
  <c r="AA229" i="7"/>
  <c r="Z229" i="7"/>
  <c r="W229" i="7"/>
  <c r="V229" i="7"/>
  <c r="U229" i="7"/>
  <c r="T229" i="7"/>
  <c r="Q229" i="7"/>
  <c r="P229" i="7"/>
  <c r="O229" i="7"/>
  <c r="N229" i="7"/>
  <c r="K229" i="7"/>
  <c r="J229" i="7"/>
  <c r="I229" i="7"/>
  <c r="H229" i="7"/>
  <c r="E229" i="7"/>
  <c r="D229" i="7"/>
  <c r="C229" i="7"/>
  <c r="B229" i="7"/>
  <c r="AI228" i="7"/>
  <c r="AH228" i="7"/>
  <c r="AG228" i="7"/>
  <c r="AF228" i="7"/>
  <c r="AC228" i="7"/>
  <c r="AB228" i="7"/>
  <c r="AA228" i="7"/>
  <c r="Z228" i="7"/>
  <c r="W228" i="7"/>
  <c r="V228" i="7"/>
  <c r="U228" i="7"/>
  <c r="T228" i="7"/>
  <c r="Q228" i="7"/>
  <c r="P228" i="7"/>
  <c r="O228" i="7"/>
  <c r="N228" i="7"/>
  <c r="K228" i="7"/>
  <c r="J228" i="7"/>
  <c r="I228" i="7"/>
  <c r="H228" i="7"/>
  <c r="E228" i="7"/>
  <c r="D228" i="7"/>
  <c r="C228" i="7"/>
  <c r="B228" i="7"/>
  <c r="AI227" i="7"/>
  <c r="AH227" i="7"/>
  <c r="AG227" i="7"/>
  <c r="AF227" i="7"/>
  <c r="AC227" i="7"/>
  <c r="AB227" i="7"/>
  <c r="AA227" i="7"/>
  <c r="Z227" i="7"/>
  <c r="W227" i="7"/>
  <c r="V227" i="7"/>
  <c r="U227" i="7"/>
  <c r="T227" i="7"/>
  <c r="Q227" i="7"/>
  <c r="P227" i="7"/>
  <c r="O227" i="7"/>
  <c r="N227" i="7"/>
  <c r="K227" i="7"/>
  <c r="J227" i="7"/>
  <c r="I227" i="7"/>
  <c r="H227" i="7"/>
  <c r="E227" i="7"/>
  <c r="D227" i="7"/>
  <c r="C227" i="7"/>
  <c r="B227" i="7"/>
  <c r="AI226" i="7"/>
  <c r="AH226" i="7"/>
  <c r="AG226" i="7"/>
  <c r="AF226" i="7"/>
  <c r="AC226" i="7"/>
  <c r="AB226" i="7"/>
  <c r="AA226" i="7"/>
  <c r="Z226" i="7"/>
  <c r="W226" i="7"/>
  <c r="V226" i="7"/>
  <c r="U226" i="7"/>
  <c r="T226" i="7"/>
  <c r="Q226" i="7"/>
  <c r="P226" i="7"/>
  <c r="O226" i="7"/>
  <c r="N226" i="7"/>
  <c r="K226" i="7"/>
  <c r="J226" i="7"/>
  <c r="I226" i="7"/>
  <c r="H226" i="7"/>
  <c r="E226" i="7"/>
  <c r="D226" i="7"/>
  <c r="C226" i="7"/>
  <c r="B226" i="7"/>
  <c r="AI225" i="7"/>
  <c r="AH225" i="7"/>
  <c r="AG225" i="7"/>
  <c r="AF225" i="7"/>
  <c r="AC225" i="7"/>
  <c r="AB225" i="7"/>
  <c r="AA225" i="7"/>
  <c r="Z225" i="7"/>
  <c r="W225" i="7"/>
  <c r="V225" i="7"/>
  <c r="U225" i="7"/>
  <c r="T225" i="7"/>
  <c r="Q225" i="7"/>
  <c r="P225" i="7"/>
  <c r="O225" i="7"/>
  <c r="N225" i="7"/>
  <c r="K225" i="7"/>
  <c r="J225" i="7"/>
  <c r="I225" i="7"/>
  <c r="H225" i="7"/>
  <c r="E225" i="7"/>
  <c r="D225" i="7"/>
  <c r="C225" i="7"/>
  <c r="B225" i="7"/>
  <c r="AI224" i="7"/>
  <c r="AH224" i="7"/>
  <c r="AG224" i="7"/>
  <c r="AF224" i="7"/>
  <c r="AC224" i="7"/>
  <c r="AB224" i="7"/>
  <c r="AA224" i="7"/>
  <c r="Z224" i="7"/>
  <c r="W224" i="7"/>
  <c r="V224" i="7"/>
  <c r="U224" i="7"/>
  <c r="T224" i="7"/>
  <c r="Q224" i="7"/>
  <c r="P224" i="7"/>
  <c r="O224" i="7"/>
  <c r="N224" i="7"/>
  <c r="K224" i="7"/>
  <c r="J224" i="7"/>
  <c r="I224" i="7"/>
  <c r="H224" i="7"/>
  <c r="E224" i="7"/>
  <c r="D224" i="7"/>
  <c r="C224" i="7"/>
  <c r="B224" i="7"/>
  <c r="AI223" i="7"/>
  <c r="AH223" i="7"/>
  <c r="AG223" i="7"/>
  <c r="AF223" i="7"/>
  <c r="AC223" i="7"/>
  <c r="AB223" i="7"/>
  <c r="AA223" i="7"/>
  <c r="Z223" i="7"/>
  <c r="W223" i="7"/>
  <c r="V223" i="7"/>
  <c r="U223" i="7"/>
  <c r="T223" i="7"/>
  <c r="Q223" i="7"/>
  <c r="P223" i="7"/>
  <c r="O223" i="7"/>
  <c r="N223" i="7"/>
  <c r="K223" i="7"/>
  <c r="J223" i="7"/>
  <c r="I223" i="7"/>
  <c r="H223" i="7"/>
  <c r="E223" i="7"/>
  <c r="D223" i="7"/>
  <c r="C223" i="7"/>
  <c r="B223" i="7"/>
  <c r="AI222" i="7"/>
  <c r="AH222" i="7"/>
  <c r="AG222" i="7"/>
  <c r="AF222" i="7"/>
  <c r="AC222" i="7"/>
  <c r="AB222" i="7"/>
  <c r="AA222" i="7"/>
  <c r="Z222" i="7"/>
  <c r="W222" i="7"/>
  <c r="V222" i="7"/>
  <c r="U222" i="7"/>
  <c r="T222" i="7"/>
  <c r="Q222" i="7"/>
  <c r="P222" i="7"/>
  <c r="O222" i="7"/>
  <c r="N222" i="7"/>
  <c r="K222" i="7"/>
  <c r="J222" i="7"/>
  <c r="I222" i="7"/>
  <c r="H222" i="7"/>
  <c r="E222" i="7"/>
  <c r="D222" i="7"/>
  <c r="C222" i="7"/>
  <c r="B222" i="7"/>
  <c r="AI221" i="7"/>
  <c r="AH221" i="7"/>
  <c r="AG221" i="7"/>
  <c r="AF221" i="7"/>
  <c r="AC221" i="7"/>
  <c r="AB221" i="7"/>
  <c r="AA221" i="7"/>
  <c r="Z221" i="7"/>
  <c r="W221" i="7"/>
  <c r="V221" i="7"/>
  <c r="U221" i="7"/>
  <c r="T221" i="7"/>
  <c r="Q221" i="7"/>
  <c r="P221" i="7"/>
  <c r="O221" i="7"/>
  <c r="N221" i="7"/>
  <c r="K221" i="7"/>
  <c r="J221" i="7"/>
  <c r="I221" i="7"/>
  <c r="H221" i="7"/>
  <c r="E221" i="7"/>
  <c r="D221" i="7"/>
  <c r="C221" i="7"/>
  <c r="B221" i="7"/>
  <c r="AI220" i="7"/>
  <c r="AH220" i="7"/>
  <c r="AG220" i="7"/>
  <c r="AF220" i="7"/>
  <c r="AC220" i="7"/>
  <c r="AB220" i="7"/>
  <c r="AA220" i="7"/>
  <c r="Z220" i="7"/>
  <c r="W220" i="7"/>
  <c r="V220" i="7"/>
  <c r="U220" i="7"/>
  <c r="T220" i="7"/>
  <c r="Q220" i="7"/>
  <c r="P220" i="7"/>
  <c r="O220" i="7"/>
  <c r="N220" i="7"/>
  <c r="K220" i="7"/>
  <c r="J220" i="7"/>
  <c r="I220" i="7"/>
  <c r="H220" i="7"/>
  <c r="E220" i="7"/>
  <c r="D220" i="7"/>
  <c r="C220" i="7"/>
  <c r="B220" i="7"/>
  <c r="AI219" i="7"/>
  <c r="AH219" i="7"/>
  <c r="AG219" i="7"/>
  <c r="AF219" i="7"/>
  <c r="AC219" i="7"/>
  <c r="AB219" i="7"/>
  <c r="AA219" i="7"/>
  <c r="Z219" i="7"/>
  <c r="W219" i="7"/>
  <c r="V219" i="7"/>
  <c r="U219" i="7"/>
  <c r="T219" i="7"/>
  <c r="Q219" i="7"/>
  <c r="P219" i="7"/>
  <c r="O219" i="7"/>
  <c r="N219" i="7"/>
  <c r="K219" i="7"/>
  <c r="J219" i="7"/>
  <c r="I219" i="7"/>
  <c r="H219" i="7"/>
  <c r="E219" i="7"/>
  <c r="D219" i="7"/>
  <c r="C219" i="7"/>
  <c r="B219" i="7"/>
  <c r="AI218" i="7"/>
  <c r="AH218" i="7"/>
  <c r="AG218" i="7"/>
  <c r="AF218" i="7"/>
  <c r="AC218" i="7"/>
  <c r="AB218" i="7"/>
  <c r="AA218" i="7"/>
  <c r="Z218" i="7"/>
  <c r="W218" i="7"/>
  <c r="V218" i="7"/>
  <c r="U218" i="7"/>
  <c r="T218" i="7"/>
  <c r="Q218" i="7"/>
  <c r="P218" i="7"/>
  <c r="O218" i="7"/>
  <c r="N218" i="7"/>
  <c r="K218" i="7"/>
  <c r="J218" i="7"/>
  <c r="I218" i="7"/>
  <c r="H218" i="7"/>
  <c r="E218" i="7"/>
  <c r="D218" i="7"/>
  <c r="C218" i="7"/>
  <c r="B218" i="7"/>
  <c r="AI217" i="7"/>
  <c r="AH217" i="7"/>
  <c r="AG217" i="7"/>
  <c r="AF217" i="7"/>
  <c r="AC217" i="7"/>
  <c r="AB217" i="7"/>
  <c r="AA217" i="7"/>
  <c r="Z217" i="7"/>
  <c r="W217" i="7"/>
  <c r="V217" i="7"/>
  <c r="U217" i="7"/>
  <c r="T217" i="7"/>
  <c r="Q217" i="7"/>
  <c r="P217" i="7"/>
  <c r="O217" i="7"/>
  <c r="N217" i="7"/>
  <c r="K217" i="7"/>
  <c r="J217" i="7"/>
  <c r="I217" i="7"/>
  <c r="H217" i="7"/>
  <c r="E217" i="7"/>
  <c r="D217" i="7"/>
  <c r="C217" i="7"/>
  <c r="B217" i="7"/>
  <c r="AI216" i="7"/>
  <c r="AH216" i="7"/>
  <c r="AG216" i="7"/>
  <c r="AF216" i="7"/>
  <c r="AC216" i="7"/>
  <c r="AB216" i="7"/>
  <c r="AA216" i="7"/>
  <c r="Z216" i="7"/>
  <c r="W216" i="7"/>
  <c r="V216" i="7"/>
  <c r="U216" i="7"/>
  <c r="T216" i="7"/>
  <c r="Q216" i="7"/>
  <c r="P216" i="7"/>
  <c r="O216" i="7"/>
  <c r="N216" i="7"/>
  <c r="K216" i="7"/>
  <c r="J216" i="7"/>
  <c r="I216" i="7"/>
  <c r="H216" i="7"/>
  <c r="E216" i="7"/>
  <c r="D216" i="7"/>
  <c r="C216" i="7"/>
  <c r="B216" i="7"/>
  <c r="AI215" i="7"/>
  <c r="AH215" i="7"/>
  <c r="AG215" i="7"/>
  <c r="AF215" i="7"/>
  <c r="AC215" i="7"/>
  <c r="AB215" i="7"/>
  <c r="AA215" i="7"/>
  <c r="Z215" i="7"/>
  <c r="W215" i="7"/>
  <c r="V215" i="7"/>
  <c r="U215" i="7"/>
  <c r="T215" i="7"/>
  <c r="Q215" i="7"/>
  <c r="P215" i="7"/>
  <c r="O215" i="7"/>
  <c r="N215" i="7"/>
  <c r="K215" i="7"/>
  <c r="J215" i="7"/>
  <c r="I215" i="7"/>
  <c r="H215" i="7"/>
  <c r="E215" i="7"/>
  <c r="D215" i="7"/>
  <c r="C215" i="7"/>
  <c r="B215" i="7"/>
  <c r="AI214" i="7"/>
  <c r="AH214" i="7"/>
  <c r="AG214" i="7"/>
  <c r="AF214" i="7"/>
  <c r="AC214" i="7"/>
  <c r="AB214" i="7"/>
  <c r="AA214" i="7"/>
  <c r="Z214" i="7"/>
  <c r="W214" i="7"/>
  <c r="V214" i="7"/>
  <c r="U214" i="7"/>
  <c r="T214" i="7"/>
  <c r="Q214" i="7"/>
  <c r="P214" i="7"/>
  <c r="O214" i="7"/>
  <c r="N214" i="7"/>
  <c r="K214" i="7"/>
  <c r="J214" i="7"/>
  <c r="I214" i="7"/>
  <c r="H214" i="7"/>
  <c r="E214" i="7"/>
  <c r="D214" i="7"/>
  <c r="C214" i="7"/>
  <c r="B214" i="7"/>
  <c r="AI213" i="7"/>
  <c r="AH213" i="7"/>
  <c r="AG213" i="7"/>
  <c r="AF213" i="7"/>
  <c r="AC213" i="7"/>
  <c r="AB213" i="7"/>
  <c r="AA213" i="7"/>
  <c r="Z213" i="7"/>
  <c r="W213" i="7"/>
  <c r="V213" i="7"/>
  <c r="U213" i="7"/>
  <c r="T213" i="7"/>
  <c r="Q213" i="7"/>
  <c r="P213" i="7"/>
  <c r="O213" i="7"/>
  <c r="N213" i="7"/>
  <c r="K213" i="7"/>
  <c r="J213" i="7"/>
  <c r="I213" i="7"/>
  <c r="H213" i="7"/>
  <c r="E213" i="7"/>
  <c r="D213" i="7"/>
  <c r="C213" i="7"/>
  <c r="B213" i="7"/>
  <c r="AI212" i="7"/>
  <c r="AH212" i="7"/>
  <c r="AG212" i="7"/>
  <c r="AF212" i="7"/>
  <c r="AC212" i="7"/>
  <c r="AB212" i="7"/>
  <c r="AA212" i="7"/>
  <c r="Z212" i="7"/>
  <c r="W212" i="7"/>
  <c r="V212" i="7"/>
  <c r="U212" i="7"/>
  <c r="T212" i="7"/>
  <c r="Q212" i="7"/>
  <c r="P212" i="7"/>
  <c r="O212" i="7"/>
  <c r="N212" i="7"/>
  <c r="K212" i="7"/>
  <c r="J212" i="7"/>
  <c r="I212" i="7"/>
  <c r="H212" i="7"/>
  <c r="E212" i="7"/>
  <c r="D212" i="7"/>
  <c r="C212" i="7"/>
  <c r="B212" i="7"/>
  <c r="AI211" i="7"/>
  <c r="AH211" i="7"/>
  <c r="AG211" i="7"/>
  <c r="AF211" i="7"/>
  <c r="AC211" i="7"/>
  <c r="AB211" i="7"/>
  <c r="AA211" i="7"/>
  <c r="Z211" i="7"/>
  <c r="W211" i="7"/>
  <c r="V211" i="7"/>
  <c r="U211" i="7"/>
  <c r="T211" i="7"/>
  <c r="Q211" i="7"/>
  <c r="P211" i="7"/>
  <c r="O211" i="7"/>
  <c r="N211" i="7"/>
  <c r="K211" i="7"/>
  <c r="J211" i="7"/>
  <c r="I211" i="7"/>
  <c r="H211" i="7"/>
  <c r="E211" i="7"/>
  <c r="D211" i="7"/>
  <c r="C211" i="7"/>
  <c r="B211" i="7"/>
  <c r="AI210" i="7"/>
  <c r="AH210" i="7"/>
  <c r="AG210" i="7"/>
  <c r="AF210" i="7"/>
  <c r="AC210" i="7"/>
  <c r="AB210" i="7"/>
  <c r="AA210" i="7"/>
  <c r="Z210" i="7"/>
  <c r="W210" i="7"/>
  <c r="V210" i="7"/>
  <c r="U210" i="7"/>
  <c r="T210" i="7"/>
  <c r="Q210" i="7"/>
  <c r="P210" i="7"/>
  <c r="O210" i="7"/>
  <c r="N210" i="7"/>
  <c r="K210" i="7"/>
  <c r="J210" i="7"/>
  <c r="I210" i="7"/>
  <c r="H210" i="7"/>
  <c r="E210" i="7"/>
  <c r="D210" i="7"/>
  <c r="C210" i="7"/>
  <c r="B210" i="7"/>
  <c r="AI209" i="7"/>
  <c r="AH209" i="7"/>
  <c r="AG209" i="7"/>
  <c r="AF209" i="7"/>
  <c r="AC209" i="7"/>
  <c r="AB209" i="7"/>
  <c r="AA209" i="7"/>
  <c r="Z209" i="7"/>
  <c r="W209" i="7"/>
  <c r="V209" i="7"/>
  <c r="U209" i="7"/>
  <c r="T209" i="7"/>
  <c r="Q209" i="7"/>
  <c r="P209" i="7"/>
  <c r="O209" i="7"/>
  <c r="N209" i="7"/>
  <c r="K209" i="7"/>
  <c r="J209" i="7"/>
  <c r="I209" i="7"/>
  <c r="H209" i="7"/>
  <c r="E209" i="7"/>
  <c r="D209" i="7"/>
  <c r="C209" i="7"/>
  <c r="B209" i="7"/>
  <c r="AI208" i="7"/>
  <c r="AH208" i="7"/>
  <c r="AG208" i="7"/>
  <c r="AF208" i="7"/>
  <c r="AC208" i="7"/>
  <c r="AB208" i="7"/>
  <c r="AA208" i="7"/>
  <c r="Z208" i="7"/>
  <c r="W208" i="7"/>
  <c r="V208" i="7"/>
  <c r="U208" i="7"/>
  <c r="T208" i="7"/>
  <c r="Q208" i="7"/>
  <c r="P208" i="7"/>
  <c r="O208" i="7"/>
  <c r="N208" i="7"/>
  <c r="K208" i="7"/>
  <c r="J208" i="7"/>
  <c r="I208" i="7"/>
  <c r="H208" i="7"/>
  <c r="E208" i="7"/>
  <c r="D208" i="7"/>
  <c r="C208" i="7"/>
  <c r="B208" i="7"/>
  <c r="AI207" i="7"/>
  <c r="AH207" i="7"/>
  <c r="AG207" i="7"/>
  <c r="AF207" i="7"/>
  <c r="AC207" i="7"/>
  <c r="AB207" i="7"/>
  <c r="AA207" i="7"/>
  <c r="Z207" i="7"/>
  <c r="W207" i="7"/>
  <c r="V207" i="7"/>
  <c r="U207" i="7"/>
  <c r="T207" i="7"/>
  <c r="Q207" i="7"/>
  <c r="P207" i="7"/>
  <c r="O207" i="7"/>
  <c r="N207" i="7"/>
  <c r="K207" i="7"/>
  <c r="J207" i="7"/>
  <c r="I207" i="7"/>
  <c r="H207" i="7"/>
  <c r="E207" i="7"/>
  <c r="D207" i="7"/>
  <c r="C207" i="7"/>
  <c r="B207" i="7"/>
  <c r="AI206" i="7"/>
  <c r="AH206" i="7"/>
  <c r="AG206" i="7"/>
  <c r="AF206" i="7"/>
  <c r="AC206" i="7"/>
  <c r="AB206" i="7"/>
  <c r="AA206" i="7"/>
  <c r="Z206" i="7"/>
  <c r="W206" i="7"/>
  <c r="V206" i="7"/>
  <c r="U206" i="7"/>
  <c r="T206" i="7"/>
  <c r="Q206" i="7"/>
  <c r="P206" i="7"/>
  <c r="O206" i="7"/>
  <c r="N206" i="7"/>
  <c r="K206" i="7"/>
  <c r="J206" i="7"/>
  <c r="I206" i="7"/>
  <c r="H206" i="7"/>
  <c r="E206" i="7"/>
  <c r="D206" i="7"/>
  <c r="C206" i="7"/>
  <c r="B206" i="7"/>
  <c r="AI205" i="7"/>
  <c r="AH205" i="7"/>
  <c r="AG205" i="7"/>
  <c r="AF205" i="7"/>
  <c r="AC205" i="7"/>
  <c r="AB205" i="7"/>
  <c r="AA205" i="7"/>
  <c r="Z205" i="7"/>
  <c r="W205" i="7"/>
  <c r="V205" i="7"/>
  <c r="U205" i="7"/>
  <c r="T205" i="7"/>
  <c r="Q205" i="7"/>
  <c r="P205" i="7"/>
  <c r="O205" i="7"/>
  <c r="N205" i="7"/>
  <c r="K205" i="7"/>
  <c r="J205" i="7"/>
  <c r="I205" i="7"/>
  <c r="H205" i="7"/>
  <c r="E205" i="7"/>
  <c r="D205" i="7"/>
  <c r="C205" i="7"/>
  <c r="B205" i="7"/>
  <c r="AI204" i="7"/>
  <c r="AH204" i="7"/>
  <c r="AG204" i="7"/>
  <c r="AF204" i="7"/>
  <c r="AC204" i="7"/>
  <c r="AB204" i="7"/>
  <c r="AA204" i="7"/>
  <c r="Z204" i="7"/>
  <c r="W204" i="7"/>
  <c r="V204" i="7"/>
  <c r="U204" i="7"/>
  <c r="T204" i="7"/>
  <c r="Q204" i="7"/>
  <c r="P204" i="7"/>
  <c r="O204" i="7"/>
  <c r="N204" i="7"/>
  <c r="K204" i="7"/>
  <c r="J204" i="7"/>
  <c r="I204" i="7"/>
  <c r="H204" i="7"/>
  <c r="E204" i="7"/>
  <c r="D204" i="7"/>
  <c r="C204" i="7"/>
  <c r="B204" i="7"/>
  <c r="AI203" i="7"/>
  <c r="AH203" i="7"/>
  <c r="AG203" i="7"/>
  <c r="AF203" i="7"/>
  <c r="AC203" i="7"/>
  <c r="AB203" i="7"/>
  <c r="AA203" i="7"/>
  <c r="Z203" i="7"/>
  <c r="W203" i="7"/>
  <c r="V203" i="7"/>
  <c r="U203" i="7"/>
  <c r="T203" i="7"/>
  <c r="Q203" i="7"/>
  <c r="P203" i="7"/>
  <c r="O203" i="7"/>
  <c r="N203" i="7"/>
  <c r="K203" i="7"/>
  <c r="J203" i="7"/>
  <c r="I203" i="7"/>
  <c r="H203" i="7"/>
  <c r="E203" i="7"/>
  <c r="D203" i="7"/>
  <c r="C203" i="7"/>
  <c r="B203" i="7"/>
  <c r="AI202" i="7"/>
  <c r="AH202" i="7"/>
  <c r="AG202" i="7"/>
  <c r="AF202" i="7"/>
  <c r="AC202" i="7"/>
  <c r="AB202" i="7"/>
  <c r="AA202" i="7"/>
  <c r="Z202" i="7"/>
  <c r="W202" i="7"/>
  <c r="V202" i="7"/>
  <c r="U202" i="7"/>
  <c r="T202" i="7"/>
  <c r="Q202" i="7"/>
  <c r="P202" i="7"/>
  <c r="O202" i="7"/>
  <c r="N202" i="7"/>
  <c r="K202" i="7"/>
  <c r="J202" i="7"/>
  <c r="I202" i="7"/>
  <c r="H202" i="7"/>
  <c r="E202" i="7"/>
  <c r="D202" i="7"/>
  <c r="C202" i="7"/>
  <c r="B202" i="7"/>
  <c r="AI201" i="7"/>
  <c r="AH201" i="7"/>
  <c r="AG201" i="7"/>
  <c r="AF201" i="7"/>
  <c r="AC201" i="7"/>
  <c r="AB201" i="7"/>
  <c r="AA201" i="7"/>
  <c r="Z201" i="7"/>
  <c r="W201" i="7"/>
  <c r="V201" i="7"/>
  <c r="U201" i="7"/>
  <c r="T201" i="7"/>
  <c r="Q201" i="7"/>
  <c r="P201" i="7"/>
  <c r="O201" i="7"/>
  <c r="N201" i="7"/>
  <c r="K201" i="7"/>
  <c r="J201" i="7"/>
  <c r="I201" i="7"/>
  <c r="H201" i="7"/>
  <c r="E201" i="7"/>
  <c r="D201" i="7"/>
  <c r="C201" i="7"/>
  <c r="B201" i="7"/>
  <c r="AI200" i="7"/>
  <c r="AH200" i="7"/>
  <c r="AG200" i="7"/>
  <c r="AF200" i="7"/>
  <c r="AC200" i="7"/>
  <c r="AB200" i="7"/>
  <c r="AA200" i="7"/>
  <c r="Z200" i="7"/>
  <c r="W200" i="7"/>
  <c r="V200" i="7"/>
  <c r="U200" i="7"/>
  <c r="T200" i="7"/>
  <c r="Q200" i="7"/>
  <c r="P200" i="7"/>
  <c r="O200" i="7"/>
  <c r="N200" i="7"/>
  <c r="K200" i="7"/>
  <c r="J200" i="7"/>
  <c r="I200" i="7"/>
  <c r="H200" i="7"/>
  <c r="E200" i="7"/>
  <c r="D200" i="7"/>
  <c r="C200" i="7"/>
  <c r="B200" i="7"/>
  <c r="AI199" i="7"/>
  <c r="AH199" i="7"/>
  <c r="AG199" i="7"/>
  <c r="AF199" i="7"/>
  <c r="AC199" i="7"/>
  <c r="AB199" i="7"/>
  <c r="AA199" i="7"/>
  <c r="Z199" i="7"/>
  <c r="W199" i="7"/>
  <c r="V199" i="7"/>
  <c r="U199" i="7"/>
  <c r="T199" i="7"/>
  <c r="Q199" i="7"/>
  <c r="P199" i="7"/>
  <c r="O199" i="7"/>
  <c r="N199" i="7"/>
  <c r="K199" i="7"/>
  <c r="J199" i="7"/>
  <c r="I199" i="7"/>
  <c r="H199" i="7"/>
  <c r="E199" i="7"/>
  <c r="D199" i="7"/>
  <c r="C199" i="7"/>
  <c r="B199" i="7"/>
  <c r="AI198" i="7"/>
  <c r="AH198" i="7"/>
  <c r="AG198" i="7"/>
  <c r="AF198" i="7"/>
  <c r="AC198" i="7"/>
  <c r="AB198" i="7"/>
  <c r="AA198" i="7"/>
  <c r="Z198" i="7"/>
  <c r="W198" i="7"/>
  <c r="V198" i="7"/>
  <c r="U198" i="7"/>
  <c r="T198" i="7"/>
  <c r="Q198" i="7"/>
  <c r="P198" i="7"/>
  <c r="O198" i="7"/>
  <c r="N198" i="7"/>
  <c r="K198" i="7"/>
  <c r="J198" i="7"/>
  <c r="I198" i="7"/>
  <c r="H198" i="7"/>
  <c r="E198" i="7"/>
  <c r="D198" i="7"/>
  <c r="C198" i="7"/>
  <c r="B198" i="7"/>
  <c r="AI197" i="7"/>
  <c r="AH197" i="7"/>
  <c r="AG197" i="7"/>
  <c r="AF197" i="7"/>
  <c r="AC197" i="7"/>
  <c r="AB197" i="7"/>
  <c r="AA197" i="7"/>
  <c r="Z197" i="7"/>
  <c r="W197" i="7"/>
  <c r="V197" i="7"/>
  <c r="U197" i="7"/>
  <c r="T197" i="7"/>
  <c r="Q197" i="7"/>
  <c r="P197" i="7"/>
  <c r="O197" i="7"/>
  <c r="N197" i="7"/>
  <c r="K197" i="7"/>
  <c r="J197" i="7"/>
  <c r="I197" i="7"/>
  <c r="H197" i="7"/>
  <c r="E197" i="7"/>
  <c r="D197" i="7"/>
  <c r="C197" i="7"/>
  <c r="B197" i="7"/>
  <c r="AI196" i="7"/>
  <c r="AH196" i="7"/>
  <c r="AG196" i="7"/>
  <c r="AF196" i="7"/>
  <c r="AC196" i="7"/>
  <c r="AB196" i="7"/>
  <c r="AA196" i="7"/>
  <c r="Z196" i="7"/>
  <c r="W196" i="7"/>
  <c r="V196" i="7"/>
  <c r="U196" i="7"/>
  <c r="T196" i="7"/>
  <c r="Q196" i="7"/>
  <c r="P196" i="7"/>
  <c r="O196" i="7"/>
  <c r="N196" i="7"/>
  <c r="K196" i="7"/>
  <c r="J196" i="7"/>
  <c r="I196" i="7"/>
  <c r="H196" i="7"/>
  <c r="E196" i="7"/>
  <c r="D196" i="7"/>
  <c r="C196" i="7"/>
  <c r="B196" i="7"/>
  <c r="AI195" i="7"/>
  <c r="AH195" i="7"/>
  <c r="AG195" i="7"/>
  <c r="AF195" i="7"/>
  <c r="AC195" i="7"/>
  <c r="AB195" i="7"/>
  <c r="AA195" i="7"/>
  <c r="Z195" i="7"/>
  <c r="W195" i="7"/>
  <c r="V195" i="7"/>
  <c r="U195" i="7"/>
  <c r="T195" i="7"/>
  <c r="Q195" i="7"/>
  <c r="P195" i="7"/>
  <c r="O195" i="7"/>
  <c r="N195" i="7"/>
  <c r="K195" i="7"/>
  <c r="J195" i="7"/>
  <c r="I195" i="7"/>
  <c r="H195" i="7"/>
  <c r="E195" i="7"/>
  <c r="D195" i="7"/>
  <c r="C195" i="7"/>
  <c r="B195" i="7"/>
  <c r="AI194" i="7"/>
  <c r="AH194" i="7"/>
  <c r="AG194" i="7"/>
  <c r="AF194" i="7"/>
  <c r="AC194" i="7"/>
  <c r="AB194" i="7"/>
  <c r="AA194" i="7"/>
  <c r="Z194" i="7"/>
  <c r="W194" i="7"/>
  <c r="V194" i="7"/>
  <c r="U194" i="7"/>
  <c r="T194" i="7"/>
  <c r="Q194" i="7"/>
  <c r="P194" i="7"/>
  <c r="O194" i="7"/>
  <c r="N194" i="7"/>
  <c r="K194" i="7"/>
  <c r="J194" i="7"/>
  <c r="I194" i="7"/>
  <c r="H194" i="7"/>
  <c r="E194" i="7"/>
  <c r="D194" i="7"/>
  <c r="C194" i="7"/>
  <c r="B194" i="7"/>
  <c r="AI193" i="7"/>
  <c r="AH193" i="7"/>
  <c r="AG193" i="7"/>
  <c r="AF193" i="7"/>
  <c r="AC193" i="7"/>
  <c r="AB193" i="7"/>
  <c r="AA193" i="7"/>
  <c r="Z193" i="7"/>
  <c r="W193" i="7"/>
  <c r="V193" i="7"/>
  <c r="U193" i="7"/>
  <c r="T193" i="7"/>
  <c r="Q193" i="7"/>
  <c r="P193" i="7"/>
  <c r="O193" i="7"/>
  <c r="N193" i="7"/>
  <c r="K193" i="7"/>
  <c r="J193" i="7"/>
  <c r="I193" i="7"/>
  <c r="H193" i="7"/>
  <c r="E193" i="7"/>
  <c r="D193" i="7"/>
  <c r="C193" i="7"/>
  <c r="B193" i="7"/>
  <c r="AI192" i="7"/>
  <c r="AH192" i="7"/>
  <c r="AG192" i="7"/>
  <c r="AF192" i="7"/>
  <c r="AC192" i="7"/>
  <c r="AB192" i="7"/>
  <c r="AA192" i="7"/>
  <c r="Z192" i="7"/>
  <c r="W192" i="7"/>
  <c r="V192" i="7"/>
  <c r="U192" i="7"/>
  <c r="T192" i="7"/>
  <c r="Q192" i="7"/>
  <c r="P192" i="7"/>
  <c r="O192" i="7"/>
  <c r="N192" i="7"/>
  <c r="K192" i="7"/>
  <c r="J192" i="7"/>
  <c r="I192" i="7"/>
  <c r="H192" i="7"/>
  <c r="E192" i="7"/>
  <c r="D192" i="7"/>
  <c r="C192" i="7"/>
  <c r="B192" i="7"/>
  <c r="AI191" i="7"/>
  <c r="AH191" i="7"/>
  <c r="AG191" i="7"/>
  <c r="AF191" i="7"/>
  <c r="AC191" i="7"/>
  <c r="AB191" i="7"/>
  <c r="AA191" i="7"/>
  <c r="Z191" i="7"/>
  <c r="W191" i="7"/>
  <c r="V191" i="7"/>
  <c r="U191" i="7"/>
  <c r="T191" i="7"/>
  <c r="Q191" i="7"/>
  <c r="P191" i="7"/>
  <c r="O191" i="7"/>
  <c r="N191" i="7"/>
  <c r="K191" i="7"/>
  <c r="J191" i="7"/>
  <c r="I191" i="7"/>
  <c r="H191" i="7"/>
  <c r="E191" i="7"/>
  <c r="D191" i="7"/>
  <c r="C191" i="7"/>
  <c r="B191" i="7"/>
  <c r="AI190" i="7"/>
  <c r="AH190" i="7"/>
  <c r="AG190" i="7"/>
  <c r="AF190" i="7"/>
  <c r="AC190" i="7"/>
  <c r="AB190" i="7"/>
  <c r="AA190" i="7"/>
  <c r="Z190" i="7"/>
  <c r="W190" i="7"/>
  <c r="V190" i="7"/>
  <c r="U190" i="7"/>
  <c r="T190" i="7"/>
  <c r="Q190" i="7"/>
  <c r="P190" i="7"/>
  <c r="O190" i="7"/>
  <c r="N190" i="7"/>
  <c r="K190" i="7"/>
  <c r="J190" i="7"/>
  <c r="I190" i="7"/>
  <c r="H190" i="7"/>
  <c r="E190" i="7"/>
  <c r="D190" i="7"/>
  <c r="C190" i="7"/>
  <c r="B190" i="7"/>
  <c r="AI189" i="7"/>
  <c r="AH189" i="7"/>
  <c r="AG189" i="7"/>
  <c r="AF189" i="7"/>
  <c r="AC189" i="7"/>
  <c r="AB189" i="7"/>
  <c r="AA189" i="7"/>
  <c r="Z189" i="7"/>
  <c r="W189" i="7"/>
  <c r="V189" i="7"/>
  <c r="U189" i="7"/>
  <c r="T189" i="7"/>
  <c r="Q189" i="7"/>
  <c r="P189" i="7"/>
  <c r="O189" i="7"/>
  <c r="N189" i="7"/>
  <c r="K189" i="7"/>
  <c r="J189" i="7"/>
  <c r="I189" i="7"/>
  <c r="H189" i="7"/>
  <c r="E189" i="7"/>
  <c r="D189" i="7"/>
  <c r="C189" i="7"/>
  <c r="B189" i="7"/>
  <c r="AI188" i="7"/>
  <c r="AH188" i="7"/>
  <c r="AG188" i="7"/>
  <c r="AF188" i="7"/>
  <c r="AC188" i="7"/>
  <c r="AB188" i="7"/>
  <c r="AA188" i="7"/>
  <c r="Z188" i="7"/>
  <c r="W188" i="7"/>
  <c r="V188" i="7"/>
  <c r="U188" i="7"/>
  <c r="T188" i="7"/>
  <c r="Q188" i="7"/>
  <c r="P188" i="7"/>
  <c r="O188" i="7"/>
  <c r="N188" i="7"/>
  <c r="K188" i="7"/>
  <c r="J188" i="7"/>
  <c r="I188" i="7"/>
  <c r="H188" i="7"/>
  <c r="E188" i="7"/>
  <c r="D188" i="7"/>
  <c r="C188" i="7"/>
  <c r="B188" i="7"/>
  <c r="AI187" i="7"/>
  <c r="AH187" i="7"/>
  <c r="AG187" i="7"/>
  <c r="AF187" i="7"/>
  <c r="AC187" i="7"/>
  <c r="AB187" i="7"/>
  <c r="AA187" i="7"/>
  <c r="Z187" i="7"/>
  <c r="W187" i="7"/>
  <c r="V187" i="7"/>
  <c r="U187" i="7"/>
  <c r="T187" i="7"/>
  <c r="Q187" i="7"/>
  <c r="P187" i="7"/>
  <c r="O187" i="7"/>
  <c r="N187" i="7"/>
  <c r="K187" i="7"/>
  <c r="J187" i="7"/>
  <c r="I187" i="7"/>
  <c r="H187" i="7"/>
  <c r="E187" i="7"/>
  <c r="D187" i="7"/>
  <c r="C187" i="7"/>
  <c r="B187" i="7"/>
  <c r="AI186" i="7"/>
  <c r="AH186" i="7"/>
  <c r="AG186" i="7"/>
  <c r="AF186" i="7"/>
  <c r="AC186" i="7"/>
  <c r="AB186" i="7"/>
  <c r="AA186" i="7"/>
  <c r="Z186" i="7"/>
  <c r="W186" i="7"/>
  <c r="V186" i="7"/>
  <c r="U186" i="7"/>
  <c r="T186" i="7"/>
  <c r="Q186" i="7"/>
  <c r="P186" i="7"/>
  <c r="O186" i="7"/>
  <c r="N186" i="7"/>
  <c r="K186" i="7"/>
  <c r="J186" i="7"/>
  <c r="I186" i="7"/>
  <c r="H186" i="7"/>
  <c r="E186" i="7"/>
  <c r="D186" i="7"/>
  <c r="C186" i="7"/>
  <c r="B186" i="7"/>
  <c r="AI185" i="7"/>
  <c r="AH185" i="7"/>
  <c r="AG185" i="7"/>
  <c r="AF185" i="7"/>
  <c r="AC185" i="7"/>
  <c r="AB185" i="7"/>
  <c r="AA185" i="7"/>
  <c r="Z185" i="7"/>
  <c r="W185" i="7"/>
  <c r="V185" i="7"/>
  <c r="U185" i="7"/>
  <c r="T185" i="7"/>
  <c r="Q185" i="7"/>
  <c r="P185" i="7"/>
  <c r="O185" i="7"/>
  <c r="N185" i="7"/>
  <c r="K185" i="7"/>
  <c r="J185" i="7"/>
  <c r="I185" i="7"/>
  <c r="H185" i="7"/>
  <c r="E185" i="7"/>
  <c r="D185" i="7"/>
  <c r="C185" i="7"/>
  <c r="B185" i="7"/>
  <c r="AI184" i="7"/>
  <c r="AH184" i="7"/>
  <c r="AG184" i="7"/>
  <c r="AF184" i="7"/>
  <c r="AC184" i="7"/>
  <c r="AB184" i="7"/>
  <c r="AA184" i="7"/>
  <c r="Z184" i="7"/>
  <c r="W184" i="7"/>
  <c r="V184" i="7"/>
  <c r="U184" i="7"/>
  <c r="T184" i="7"/>
  <c r="Q184" i="7"/>
  <c r="P184" i="7"/>
  <c r="O184" i="7"/>
  <c r="N184" i="7"/>
  <c r="K184" i="7"/>
  <c r="J184" i="7"/>
  <c r="I184" i="7"/>
  <c r="H184" i="7"/>
  <c r="E184" i="7"/>
  <c r="D184" i="7"/>
  <c r="C184" i="7"/>
  <c r="B184" i="7"/>
  <c r="AI183" i="7"/>
  <c r="AH183" i="7"/>
  <c r="AG183" i="7"/>
  <c r="AF183" i="7"/>
  <c r="AC183" i="7"/>
  <c r="AB183" i="7"/>
  <c r="AA183" i="7"/>
  <c r="Z183" i="7"/>
  <c r="W183" i="7"/>
  <c r="V183" i="7"/>
  <c r="U183" i="7"/>
  <c r="T183" i="7"/>
  <c r="Q183" i="7"/>
  <c r="P183" i="7"/>
  <c r="O183" i="7"/>
  <c r="N183" i="7"/>
  <c r="K183" i="7"/>
  <c r="J183" i="7"/>
  <c r="I183" i="7"/>
  <c r="H183" i="7"/>
  <c r="E183" i="7"/>
  <c r="D183" i="7"/>
  <c r="C183" i="7"/>
  <c r="B183" i="7"/>
  <c r="AI182" i="7"/>
  <c r="AH182" i="7"/>
  <c r="AG182" i="7"/>
  <c r="AF182" i="7"/>
  <c r="AC182" i="7"/>
  <c r="AB182" i="7"/>
  <c r="AA182" i="7"/>
  <c r="Z182" i="7"/>
  <c r="W182" i="7"/>
  <c r="V182" i="7"/>
  <c r="U182" i="7"/>
  <c r="T182" i="7"/>
  <c r="Q182" i="7"/>
  <c r="P182" i="7"/>
  <c r="O182" i="7"/>
  <c r="N182" i="7"/>
  <c r="K182" i="7"/>
  <c r="J182" i="7"/>
  <c r="I182" i="7"/>
  <c r="H182" i="7"/>
  <c r="E182" i="7"/>
  <c r="D182" i="7"/>
  <c r="C182" i="7"/>
  <c r="B182" i="7"/>
  <c r="AI181" i="7"/>
  <c r="AH181" i="7"/>
  <c r="AG181" i="7"/>
  <c r="AF181" i="7"/>
  <c r="AC181" i="7"/>
  <c r="AB181" i="7"/>
  <c r="AA181" i="7"/>
  <c r="Z181" i="7"/>
  <c r="W181" i="7"/>
  <c r="V181" i="7"/>
  <c r="U181" i="7"/>
  <c r="T181" i="7"/>
  <c r="Q181" i="7"/>
  <c r="P181" i="7"/>
  <c r="O181" i="7"/>
  <c r="N181" i="7"/>
  <c r="K181" i="7"/>
  <c r="J181" i="7"/>
  <c r="I181" i="7"/>
  <c r="H181" i="7"/>
  <c r="E181" i="7"/>
  <c r="D181" i="7"/>
  <c r="C181" i="7"/>
  <c r="B181" i="7"/>
  <c r="AI180" i="7"/>
  <c r="AH180" i="7"/>
  <c r="AG180" i="7"/>
  <c r="AF180" i="7"/>
  <c r="AC180" i="7"/>
  <c r="AB180" i="7"/>
  <c r="AA180" i="7"/>
  <c r="Z180" i="7"/>
  <c r="W180" i="7"/>
  <c r="V180" i="7"/>
  <c r="U180" i="7"/>
  <c r="T180" i="7"/>
  <c r="Q180" i="7"/>
  <c r="P180" i="7"/>
  <c r="O180" i="7"/>
  <c r="N180" i="7"/>
  <c r="K180" i="7"/>
  <c r="J180" i="7"/>
  <c r="I180" i="7"/>
  <c r="H180" i="7"/>
  <c r="E180" i="7"/>
  <c r="D180" i="7"/>
  <c r="C180" i="7"/>
  <c r="B180" i="7"/>
  <c r="AI179" i="7"/>
  <c r="AH179" i="7"/>
  <c r="AG179" i="7"/>
  <c r="AF179" i="7"/>
  <c r="AC179" i="7"/>
  <c r="AB179" i="7"/>
  <c r="AA179" i="7"/>
  <c r="Z179" i="7"/>
  <c r="W179" i="7"/>
  <c r="V179" i="7"/>
  <c r="U179" i="7"/>
  <c r="T179" i="7"/>
  <c r="Q179" i="7"/>
  <c r="P179" i="7"/>
  <c r="O179" i="7"/>
  <c r="N179" i="7"/>
  <c r="K179" i="7"/>
  <c r="J179" i="7"/>
  <c r="I179" i="7"/>
  <c r="H179" i="7"/>
  <c r="E179" i="7"/>
  <c r="D179" i="7"/>
  <c r="C179" i="7"/>
  <c r="B179" i="7"/>
  <c r="AI178" i="7"/>
  <c r="AH178" i="7"/>
  <c r="AG178" i="7"/>
  <c r="AF178" i="7"/>
  <c r="AC178" i="7"/>
  <c r="AB178" i="7"/>
  <c r="AA178" i="7"/>
  <c r="Z178" i="7"/>
  <c r="W178" i="7"/>
  <c r="V178" i="7"/>
  <c r="U178" i="7"/>
  <c r="T178" i="7"/>
  <c r="Q178" i="7"/>
  <c r="P178" i="7"/>
  <c r="O178" i="7"/>
  <c r="N178" i="7"/>
  <c r="K178" i="7"/>
  <c r="J178" i="7"/>
  <c r="I178" i="7"/>
  <c r="H178" i="7"/>
  <c r="E178" i="7"/>
  <c r="D178" i="7"/>
  <c r="C178" i="7"/>
  <c r="B178" i="7"/>
  <c r="AI177" i="7"/>
  <c r="AH177" i="7"/>
  <c r="AG177" i="7"/>
  <c r="AF177" i="7"/>
  <c r="AC177" i="7"/>
  <c r="AB177" i="7"/>
  <c r="AA177" i="7"/>
  <c r="Z177" i="7"/>
  <c r="W177" i="7"/>
  <c r="V177" i="7"/>
  <c r="U177" i="7"/>
  <c r="T177" i="7"/>
  <c r="Q177" i="7"/>
  <c r="P177" i="7"/>
  <c r="O177" i="7"/>
  <c r="N177" i="7"/>
  <c r="K177" i="7"/>
  <c r="J177" i="7"/>
  <c r="I177" i="7"/>
  <c r="H177" i="7"/>
  <c r="E177" i="7"/>
  <c r="D177" i="7"/>
  <c r="C177" i="7"/>
  <c r="B177" i="7"/>
  <c r="AI176" i="7"/>
  <c r="AH176" i="7"/>
  <c r="AG176" i="7"/>
  <c r="AF176" i="7"/>
  <c r="AC176" i="7"/>
  <c r="AB176" i="7"/>
  <c r="AA176" i="7"/>
  <c r="Z176" i="7"/>
  <c r="W176" i="7"/>
  <c r="V176" i="7"/>
  <c r="U176" i="7"/>
  <c r="T176" i="7"/>
  <c r="Q176" i="7"/>
  <c r="P176" i="7"/>
  <c r="O176" i="7"/>
  <c r="N176" i="7"/>
  <c r="K176" i="7"/>
  <c r="J176" i="7"/>
  <c r="I176" i="7"/>
  <c r="H176" i="7"/>
  <c r="E176" i="7"/>
  <c r="D176" i="7"/>
  <c r="C176" i="7"/>
  <c r="B176" i="7"/>
  <c r="AI175" i="7"/>
  <c r="AH175" i="7"/>
  <c r="AG175" i="7"/>
  <c r="AF175" i="7"/>
  <c r="AC175" i="7"/>
  <c r="AB175" i="7"/>
  <c r="AA175" i="7"/>
  <c r="Z175" i="7"/>
  <c r="W175" i="7"/>
  <c r="V175" i="7"/>
  <c r="U175" i="7"/>
  <c r="T175" i="7"/>
  <c r="Q175" i="7"/>
  <c r="P175" i="7"/>
  <c r="O175" i="7"/>
  <c r="N175" i="7"/>
  <c r="K175" i="7"/>
  <c r="J175" i="7"/>
  <c r="I175" i="7"/>
  <c r="H175" i="7"/>
  <c r="E175" i="7"/>
  <c r="D175" i="7"/>
  <c r="C175" i="7"/>
  <c r="B175" i="7"/>
  <c r="AI174" i="7"/>
  <c r="AH174" i="7"/>
  <c r="AG174" i="7"/>
  <c r="AF174" i="7"/>
  <c r="AC174" i="7"/>
  <c r="AB174" i="7"/>
  <c r="AA174" i="7"/>
  <c r="Z174" i="7"/>
  <c r="W174" i="7"/>
  <c r="V174" i="7"/>
  <c r="U174" i="7"/>
  <c r="T174" i="7"/>
  <c r="Q174" i="7"/>
  <c r="P174" i="7"/>
  <c r="O174" i="7"/>
  <c r="N174" i="7"/>
  <c r="K174" i="7"/>
  <c r="J174" i="7"/>
  <c r="I174" i="7"/>
  <c r="H174" i="7"/>
  <c r="E174" i="7"/>
  <c r="D174" i="7"/>
  <c r="C174" i="7"/>
  <c r="B174" i="7"/>
  <c r="AI173" i="7"/>
  <c r="AH173" i="7"/>
  <c r="AG173" i="7"/>
  <c r="AF173" i="7"/>
  <c r="AC173" i="7"/>
  <c r="AB173" i="7"/>
  <c r="AA173" i="7"/>
  <c r="Z173" i="7"/>
  <c r="W173" i="7"/>
  <c r="V173" i="7"/>
  <c r="U173" i="7"/>
  <c r="T173" i="7"/>
  <c r="Q173" i="7"/>
  <c r="P173" i="7"/>
  <c r="O173" i="7"/>
  <c r="N173" i="7"/>
  <c r="K173" i="7"/>
  <c r="J173" i="7"/>
  <c r="I173" i="7"/>
  <c r="H173" i="7"/>
  <c r="E173" i="7"/>
  <c r="D173" i="7"/>
  <c r="C173" i="7"/>
  <c r="B173" i="7"/>
  <c r="AI172" i="7"/>
  <c r="AH172" i="7"/>
  <c r="AG172" i="7"/>
  <c r="AF172" i="7"/>
  <c r="AC172" i="7"/>
  <c r="AB172" i="7"/>
  <c r="AA172" i="7"/>
  <c r="Z172" i="7"/>
  <c r="W172" i="7"/>
  <c r="V172" i="7"/>
  <c r="U172" i="7"/>
  <c r="T172" i="7"/>
  <c r="Q172" i="7"/>
  <c r="P172" i="7"/>
  <c r="O172" i="7"/>
  <c r="N172" i="7"/>
  <c r="K172" i="7"/>
  <c r="J172" i="7"/>
  <c r="I172" i="7"/>
  <c r="H172" i="7"/>
  <c r="E172" i="7"/>
  <c r="D172" i="7"/>
  <c r="C172" i="7"/>
  <c r="B172" i="7"/>
  <c r="AI171" i="7"/>
  <c r="AH171" i="7"/>
  <c r="AG171" i="7"/>
  <c r="AF171" i="7"/>
  <c r="AC171" i="7"/>
  <c r="AB171" i="7"/>
  <c r="AA171" i="7"/>
  <c r="Z171" i="7"/>
  <c r="W171" i="7"/>
  <c r="V171" i="7"/>
  <c r="U171" i="7"/>
  <c r="T171" i="7"/>
  <c r="Q171" i="7"/>
  <c r="P171" i="7"/>
  <c r="O171" i="7"/>
  <c r="N171" i="7"/>
  <c r="K171" i="7"/>
  <c r="J171" i="7"/>
  <c r="I171" i="7"/>
  <c r="H171" i="7"/>
  <c r="E171" i="7"/>
  <c r="D171" i="7"/>
  <c r="C171" i="7"/>
  <c r="B171" i="7"/>
  <c r="AI170" i="7"/>
  <c r="AH170" i="7"/>
  <c r="AG170" i="7"/>
  <c r="AF170" i="7"/>
  <c r="AC170" i="7"/>
  <c r="AB170" i="7"/>
  <c r="AA170" i="7"/>
  <c r="Z170" i="7"/>
  <c r="W170" i="7"/>
  <c r="V170" i="7"/>
  <c r="U170" i="7"/>
  <c r="T170" i="7"/>
  <c r="Q170" i="7"/>
  <c r="P170" i="7"/>
  <c r="O170" i="7"/>
  <c r="N170" i="7"/>
  <c r="K170" i="7"/>
  <c r="J170" i="7"/>
  <c r="I170" i="7"/>
  <c r="H170" i="7"/>
  <c r="E170" i="7"/>
  <c r="D170" i="7"/>
  <c r="C170" i="7"/>
  <c r="B170" i="7"/>
  <c r="AI169" i="7"/>
  <c r="AH169" i="7"/>
  <c r="AG169" i="7"/>
  <c r="AF169" i="7"/>
  <c r="AC169" i="7"/>
  <c r="AB169" i="7"/>
  <c r="AA169" i="7"/>
  <c r="Z169" i="7"/>
  <c r="W169" i="7"/>
  <c r="V169" i="7"/>
  <c r="U169" i="7"/>
  <c r="T169" i="7"/>
  <c r="Q169" i="7"/>
  <c r="P169" i="7"/>
  <c r="O169" i="7"/>
  <c r="N169" i="7"/>
  <c r="K169" i="7"/>
  <c r="J169" i="7"/>
  <c r="I169" i="7"/>
  <c r="H169" i="7"/>
  <c r="E169" i="7"/>
  <c r="D169" i="7"/>
  <c r="C169" i="7"/>
  <c r="B169" i="7"/>
  <c r="AI168" i="7"/>
  <c r="AH168" i="7"/>
  <c r="AG168" i="7"/>
  <c r="AF168" i="7"/>
  <c r="AC168" i="7"/>
  <c r="AB168" i="7"/>
  <c r="AA168" i="7"/>
  <c r="Z168" i="7"/>
  <c r="W168" i="7"/>
  <c r="V168" i="7"/>
  <c r="U168" i="7"/>
  <c r="T168" i="7"/>
  <c r="Q168" i="7"/>
  <c r="P168" i="7"/>
  <c r="O168" i="7"/>
  <c r="N168" i="7"/>
  <c r="K168" i="7"/>
  <c r="J168" i="7"/>
  <c r="I168" i="7"/>
  <c r="H168" i="7"/>
  <c r="E168" i="7"/>
  <c r="D168" i="7"/>
  <c r="C168" i="7"/>
  <c r="B168" i="7"/>
  <c r="AI167" i="7"/>
  <c r="AH167" i="7"/>
  <c r="AG167" i="7"/>
  <c r="AF167" i="7"/>
  <c r="AC167" i="7"/>
  <c r="AB167" i="7"/>
  <c r="AA167" i="7"/>
  <c r="Z167" i="7"/>
  <c r="W167" i="7"/>
  <c r="V167" i="7"/>
  <c r="U167" i="7"/>
  <c r="T167" i="7"/>
  <c r="Q167" i="7"/>
  <c r="P167" i="7"/>
  <c r="O167" i="7"/>
  <c r="N167" i="7"/>
  <c r="K167" i="7"/>
  <c r="J167" i="7"/>
  <c r="I167" i="7"/>
  <c r="H167" i="7"/>
  <c r="E167" i="7"/>
  <c r="D167" i="7"/>
  <c r="C167" i="7"/>
  <c r="B167" i="7"/>
  <c r="AI166" i="7"/>
  <c r="AH166" i="7"/>
  <c r="AG166" i="7"/>
  <c r="AF166" i="7"/>
  <c r="AC166" i="7"/>
  <c r="AB166" i="7"/>
  <c r="AA166" i="7"/>
  <c r="Z166" i="7"/>
  <c r="W166" i="7"/>
  <c r="V166" i="7"/>
  <c r="U166" i="7"/>
  <c r="T166" i="7"/>
  <c r="Q166" i="7"/>
  <c r="P166" i="7"/>
  <c r="O166" i="7"/>
  <c r="N166" i="7"/>
  <c r="K166" i="7"/>
  <c r="J166" i="7"/>
  <c r="I166" i="7"/>
  <c r="H166" i="7"/>
  <c r="E166" i="7"/>
  <c r="D166" i="7"/>
  <c r="C166" i="7"/>
  <c r="B166" i="7"/>
  <c r="AI165" i="7"/>
  <c r="AH165" i="7"/>
  <c r="AG165" i="7"/>
  <c r="AF165" i="7"/>
  <c r="AC165" i="7"/>
  <c r="AB165" i="7"/>
  <c r="AA165" i="7"/>
  <c r="Z165" i="7"/>
  <c r="W165" i="7"/>
  <c r="V165" i="7"/>
  <c r="U165" i="7"/>
  <c r="T165" i="7"/>
  <c r="Q165" i="7"/>
  <c r="P165" i="7"/>
  <c r="O165" i="7"/>
  <c r="N165" i="7"/>
  <c r="K165" i="7"/>
  <c r="J165" i="7"/>
  <c r="I165" i="7"/>
  <c r="H165" i="7"/>
  <c r="E165" i="7"/>
  <c r="D165" i="7"/>
  <c r="C165" i="7"/>
  <c r="B165" i="7"/>
  <c r="AI164" i="7"/>
  <c r="AH164" i="7"/>
  <c r="AG164" i="7"/>
  <c r="AF164" i="7"/>
  <c r="AC164" i="7"/>
  <c r="AB164" i="7"/>
  <c r="AA164" i="7"/>
  <c r="Z164" i="7"/>
  <c r="W164" i="7"/>
  <c r="V164" i="7"/>
  <c r="U164" i="7"/>
  <c r="T164" i="7"/>
  <c r="Q164" i="7"/>
  <c r="P164" i="7"/>
  <c r="O164" i="7"/>
  <c r="N164" i="7"/>
  <c r="K164" i="7"/>
  <c r="J164" i="7"/>
  <c r="I164" i="7"/>
  <c r="H164" i="7"/>
  <c r="E164" i="7"/>
  <c r="D164" i="7"/>
  <c r="C164" i="7"/>
  <c r="B164" i="7"/>
  <c r="AI163" i="7"/>
  <c r="AH163" i="7"/>
  <c r="AG163" i="7"/>
  <c r="AF163" i="7"/>
  <c r="AC163" i="7"/>
  <c r="AB163" i="7"/>
  <c r="AA163" i="7"/>
  <c r="Z163" i="7"/>
  <c r="W163" i="7"/>
  <c r="V163" i="7"/>
  <c r="U163" i="7"/>
  <c r="T163" i="7"/>
  <c r="Q163" i="7"/>
  <c r="P163" i="7"/>
  <c r="O163" i="7"/>
  <c r="N163" i="7"/>
  <c r="K163" i="7"/>
  <c r="J163" i="7"/>
  <c r="I163" i="7"/>
  <c r="H163" i="7"/>
  <c r="E163" i="7"/>
  <c r="D163" i="7"/>
  <c r="C163" i="7"/>
  <c r="B163" i="7"/>
  <c r="AI162" i="7"/>
  <c r="AH162" i="7"/>
  <c r="AG162" i="7"/>
  <c r="AF162" i="7"/>
  <c r="AC162" i="7"/>
  <c r="AB162" i="7"/>
  <c r="AA162" i="7"/>
  <c r="Z162" i="7"/>
  <c r="W162" i="7"/>
  <c r="V162" i="7"/>
  <c r="U162" i="7"/>
  <c r="T162" i="7"/>
  <c r="Q162" i="7"/>
  <c r="P162" i="7"/>
  <c r="O162" i="7"/>
  <c r="N162" i="7"/>
  <c r="K162" i="7"/>
  <c r="J162" i="7"/>
  <c r="I162" i="7"/>
  <c r="H162" i="7"/>
  <c r="E162" i="7"/>
  <c r="D162" i="7"/>
  <c r="C162" i="7"/>
  <c r="B162" i="7"/>
  <c r="AI161" i="7"/>
  <c r="AH161" i="7"/>
  <c r="AG161" i="7"/>
  <c r="AF161" i="7"/>
  <c r="AC161" i="7"/>
  <c r="AB161" i="7"/>
  <c r="AA161" i="7"/>
  <c r="Z161" i="7"/>
  <c r="W161" i="7"/>
  <c r="V161" i="7"/>
  <c r="U161" i="7"/>
  <c r="T161" i="7"/>
  <c r="Q161" i="7"/>
  <c r="P161" i="7"/>
  <c r="O161" i="7"/>
  <c r="N161" i="7"/>
  <c r="K161" i="7"/>
  <c r="J161" i="7"/>
  <c r="I161" i="7"/>
  <c r="H161" i="7"/>
  <c r="E161" i="7"/>
  <c r="D161" i="7"/>
  <c r="C161" i="7"/>
  <c r="B161" i="7"/>
  <c r="AI160" i="7"/>
  <c r="AH160" i="7"/>
  <c r="AG160" i="7"/>
  <c r="AF160" i="7"/>
  <c r="AC160" i="7"/>
  <c r="AB160" i="7"/>
  <c r="AA160" i="7"/>
  <c r="Z160" i="7"/>
  <c r="W160" i="7"/>
  <c r="V160" i="7"/>
  <c r="U160" i="7"/>
  <c r="T160" i="7"/>
  <c r="Q160" i="7"/>
  <c r="P160" i="7"/>
  <c r="O160" i="7"/>
  <c r="N160" i="7"/>
  <c r="K160" i="7"/>
  <c r="J160" i="7"/>
  <c r="I160" i="7"/>
  <c r="H160" i="7"/>
  <c r="E160" i="7"/>
  <c r="D160" i="7"/>
  <c r="C160" i="7"/>
  <c r="B160" i="7"/>
  <c r="AI159" i="7"/>
  <c r="AH159" i="7"/>
  <c r="AG159" i="7"/>
  <c r="AF159" i="7"/>
  <c r="AC159" i="7"/>
  <c r="AB159" i="7"/>
  <c r="AA159" i="7"/>
  <c r="Z159" i="7"/>
  <c r="W159" i="7"/>
  <c r="V159" i="7"/>
  <c r="U159" i="7"/>
  <c r="T159" i="7"/>
  <c r="Q159" i="7"/>
  <c r="P159" i="7"/>
  <c r="O159" i="7"/>
  <c r="N159" i="7"/>
  <c r="K159" i="7"/>
  <c r="J159" i="7"/>
  <c r="I159" i="7"/>
  <c r="H159" i="7"/>
  <c r="E159" i="7"/>
  <c r="D159" i="7"/>
  <c r="C159" i="7"/>
  <c r="B159" i="7"/>
  <c r="AI158" i="7"/>
  <c r="AH158" i="7"/>
  <c r="AG158" i="7"/>
  <c r="AF158" i="7"/>
  <c r="AC158" i="7"/>
  <c r="AB158" i="7"/>
  <c r="AA158" i="7"/>
  <c r="Z158" i="7"/>
  <c r="W158" i="7"/>
  <c r="V158" i="7"/>
  <c r="U158" i="7"/>
  <c r="T158" i="7"/>
  <c r="Q158" i="7"/>
  <c r="P158" i="7"/>
  <c r="O158" i="7"/>
  <c r="N158" i="7"/>
  <c r="K158" i="7"/>
  <c r="J158" i="7"/>
  <c r="I158" i="7"/>
  <c r="H158" i="7"/>
  <c r="E158" i="7"/>
  <c r="D158" i="7"/>
  <c r="C158" i="7"/>
  <c r="B158" i="7"/>
  <c r="AI157" i="7"/>
  <c r="AH157" i="7"/>
  <c r="AG157" i="7"/>
  <c r="AF157" i="7"/>
  <c r="AC157" i="7"/>
  <c r="AB157" i="7"/>
  <c r="AA157" i="7"/>
  <c r="Z157" i="7"/>
  <c r="W157" i="7"/>
  <c r="V157" i="7"/>
  <c r="U157" i="7"/>
  <c r="T157" i="7"/>
  <c r="Q157" i="7"/>
  <c r="P157" i="7"/>
  <c r="O157" i="7"/>
  <c r="N157" i="7"/>
  <c r="K157" i="7"/>
  <c r="J157" i="7"/>
  <c r="I157" i="7"/>
  <c r="H157" i="7"/>
  <c r="E157" i="7"/>
  <c r="D157" i="7"/>
  <c r="C157" i="7"/>
  <c r="B157" i="7"/>
  <c r="AI156" i="7"/>
  <c r="AH156" i="7"/>
  <c r="AG156" i="7"/>
  <c r="AF156" i="7"/>
  <c r="AC156" i="7"/>
  <c r="AB156" i="7"/>
  <c r="AA156" i="7"/>
  <c r="Z156" i="7"/>
  <c r="W156" i="7"/>
  <c r="V156" i="7"/>
  <c r="U156" i="7"/>
  <c r="T156" i="7"/>
  <c r="Q156" i="7"/>
  <c r="P156" i="7"/>
  <c r="O156" i="7"/>
  <c r="N156" i="7"/>
  <c r="K156" i="7"/>
  <c r="J156" i="7"/>
  <c r="I156" i="7"/>
  <c r="H156" i="7"/>
  <c r="E156" i="7"/>
  <c r="D156" i="7"/>
  <c r="C156" i="7"/>
  <c r="B156" i="7"/>
  <c r="AI155" i="7"/>
  <c r="AH155" i="7"/>
  <c r="AG155" i="7"/>
  <c r="AF155" i="7"/>
  <c r="AC155" i="7"/>
  <c r="AB155" i="7"/>
  <c r="AA155" i="7"/>
  <c r="Z155" i="7"/>
  <c r="W155" i="7"/>
  <c r="V155" i="7"/>
  <c r="U155" i="7"/>
  <c r="T155" i="7"/>
  <c r="Q155" i="7"/>
  <c r="P155" i="7"/>
  <c r="O155" i="7"/>
  <c r="N155" i="7"/>
  <c r="K155" i="7"/>
  <c r="J155" i="7"/>
  <c r="I155" i="7"/>
  <c r="H155" i="7"/>
  <c r="E155" i="7"/>
  <c r="D155" i="7"/>
  <c r="C155" i="7"/>
  <c r="B155" i="7"/>
  <c r="AI154" i="7"/>
  <c r="AH154" i="7"/>
  <c r="AG154" i="7"/>
  <c r="AF154" i="7"/>
  <c r="AC154" i="7"/>
  <c r="AB154" i="7"/>
  <c r="AA154" i="7"/>
  <c r="Z154" i="7"/>
  <c r="W154" i="7"/>
  <c r="V154" i="7"/>
  <c r="U154" i="7"/>
  <c r="T154" i="7"/>
  <c r="Q154" i="7"/>
  <c r="P154" i="7"/>
  <c r="O154" i="7"/>
  <c r="N154" i="7"/>
  <c r="K154" i="7"/>
  <c r="J154" i="7"/>
  <c r="I154" i="7"/>
  <c r="H154" i="7"/>
  <c r="E154" i="7"/>
  <c r="D154" i="7"/>
  <c r="C154" i="7"/>
  <c r="B154" i="7"/>
  <c r="AI153" i="7"/>
  <c r="AH153" i="7"/>
  <c r="AG153" i="7"/>
  <c r="AF153" i="7"/>
  <c r="AC153" i="7"/>
  <c r="AB153" i="7"/>
  <c r="AA153" i="7"/>
  <c r="Z153" i="7"/>
  <c r="W153" i="7"/>
  <c r="V153" i="7"/>
  <c r="U153" i="7"/>
  <c r="T153" i="7"/>
  <c r="Q153" i="7"/>
  <c r="P153" i="7"/>
  <c r="O153" i="7"/>
  <c r="N153" i="7"/>
  <c r="K153" i="7"/>
  <c r="J153" i="7"/>
  <c r="I153" i="7"/>
  <c r="H153" i="7"/>
  <c r="E153" i="7"/>
  <c r="D153" i="7"/>
  <c r="C153" i="7"/>
  <c r="B153" i="7"/>
  <c r="AI152" i="7"/>
  <c r="AH152" i="7"/>
  <c r="AG152" i="7"/>
  <c r="AF152" i="7"/>
  <c r="AC152" i="7"/>
  <c r="AB152" i="7"/>
  <c r="AA152" i="7"/>
  <c r="Z152" i="7"/>
  <c r="W152" i="7"/>
  <c r="V152" i="7"/>
  <c r="U152" i="7"/>
  <c r="T152" i="7"/>
  <c r="Q152" i="7"/>
  <c r="P152" i="7"/>
  <c r="O152" i="7"/>
  <c r="N152" i="7"/>
  <c r="K152" i="7"/>
  <c r="J152" i="7"/>
  <c r="I152" i="7"/>
  <c r="H152" i="7"/>
  <c r="E152" i="7"/>
  <c r="D152" i="7"/>
  <c r="C152" i="7"/>
  <c r="B152" i="7"/>
  <c r="AI151" i="7"/>
  <c r="AH151" i="7"/>
  <c r="AG151" i="7"/>
  <c r="AF151" i="7"/>
  <c r="AC151" i="7"/>
  <c r="AB151" i="7"/>
  <c r="AA151" i="7"/>
  <c r="Z151" i="7"/>
  <c r="W151" i="7"/>
  <c r="V151" i="7"/>
  <c r="U151" i="7"/>
  <c r="T151" i="7"/>
  <c r="Q151" i="7"/>
  <c r="P151" i="7"/>
  <c r="O151" i="7"/>
  <c r="N151" i="7"/>
  <c r="K151" i="7"/>
  <c r="J151" i="7"/>
  <c r="I151" i="7"/>
  <c r="H151" i="7"/>
  <c r="E151" i="7"/>
  <c r="D151" i="7"/>
  <c r="C151" i="7"/>
  <c r="B151" i="7"/>
  <c r="AI150" i="7"/>
  <c r="AH150" i="7"/>
  <c r="AG150" i="7"/>
  <c r="AF150" i="7"/>
  <c r="AC150" i="7"/>
  <c r="AB150" i="7"/>
  <c r="AA150" i="7"/>
  <c r="Z150" i="7"/>
  <c r="W150" i="7"/>
  <c r="V150" i="7"/>
  <c r="U150" i="7"/>
  <c r="T150" i="7"/>
  <c r="Q150" i="7"/>
  <c r="P150" i="7"/>
  <c r="O150" i="7"/>
  <c r="N150" i="7"/>
  <c r="K150" i="7"/>
  <c r="J150" i="7"/>
  <c r="I150" i="7"/>
  <c r="H150" i="7"/>
  <c r="E150" i="7"/>
  <c r="D150" i="7"/>
  <c r="C150" i="7"/>
  <c r="B150" i="7"/>
  <c r="AI149" i="7"/>
  <c r="AH149" i="7"/>
  <c r="AG149" i="7"/>
  <c r="AF149" i="7"/>
  <c r="AC149" i="7"/>
  <c r="AB149" i="7"/>
  <c r="AA149" i="7"/>
  <c r="Z149" i="7"/>
  <c r="W149" i="7"/>
  <c r="V149" i="7"/>
  <c r="U149" i="7"/>
  <c r="T149" i="7"/>
  <c r="Q149" i="7"/>
  <c r="P149" i="7"/>
  <c r="O149" i="7"/>
  <c r="N149" i="7"/>
  <c r="K149" i="7"/>
  <c r="J149" i="7"/>
  <c r="I149" i="7"/>
  <c r="H149" i="7"/>
  <c r="E149" i="7"/>
  <c r="D149" i="7"/>
  <c r="C149" i="7"/>
  <c r="B149" i="7"/>
  <c r="AI148" i="7"/>
  <c r="AH148" i="7"/>
  <c r="AG148" i="7"/>
  <c r="AF148" i="7"/>
  <c r="AC148" i="7"/>
  <c r="AB148" i="7"/>
  <c r="AA148" i="7"/>
  <c r="Z148" i="7"/>
  <c r="W148" i="7"/>
  <c r="V148" i="7"/>
  <c r="U148" i="7"/>
  <c r="T148" i="7"/>
  <c r="Q148" i="7"/>
  <c r="P148" i="7"/>
  <c r="O148" i="7"/>
  <c r="N148" i="7"/>
  <c r="K148" i="7"/>
  <c r="J148" i="7"/>
  <c r="I148" i="7"/>
  <c r="H148" i="7"/>
  <c r="E148" i="7"/>
  <c r="D148" i="7"/>
  <c r="C148" i="7"/>
  <c r="B148" i="7"/>
  <c r="AI147" i="7"/>
  <c r="AH147" i="7"/>
  <c r="AG147" i="7"/>
  <c r="AF147" i="7"/>
  <c r="AC147" i="7"/>
  <c r="AB147" i="7"/>
  <c r="AA147" i="7"/>
  <c r="Z147" i="7"/>
  <c r="W147" i="7"/>
  <c r="V147" i="7"/>
  <c r="U147" i="7"/>
  <c r="T147" i="7"/>
  <c r="Q147" i="7"/>
  <c r="P147" i="7"/>
  <c r="O147" i="7"/>
  <c r="N147" i="7"/>
  <c r="K147" i="7"/>
  <c r="J147" i="7"/>
  <c r="I147" i="7"/>
  <c r="H147" i="7"/>
  <c r="E147" i="7"/>
  <c r="D147" i="7"/>
  <c r="C147" i="7"/>
  <c r="B147" i="7"/>
  <c r="AI146" i="7"/>
  <c r="AH146" i="7"/>
  <c r="AG146" i="7"/>
  <c r="AF146" i="7"/>
  <c r="AC146" i="7"/>
  <c r="AB146" i="7"/>
  <c r="AA146" i="7"/>
  <c r="Z146" i="7"/>
  <c r="W146" i="7"/>
  <c r="V146" i="7"/>
  <c r="U146" i="7"/>
  <c r="T146" i="7"/>
  <c r="Q146" i="7"/>
  <c r="P146" i="7"/>
  <c r="O146" i="7"/>
  <c r="N146" i="7"/>
  <c r="K146" i="7"/>
  <c r="J146" i="7"/>
  <c r="I146" i="7"/>
  <c r="H146" i="7"/>
  <c r="E146" i="7"/>
  <c r="D146" i="7"/>
  <c r="C146" i="7"/>
  <c r="B146" i="7"/>
  <c r="AI145" i="7"/>
  <c r="AH145" i="7"/>
  <c r="AG145" i="7"/>
  <c r="AF145" i="7"/>
  <c r="AC145" i="7"/>
  <c r="AB145" i="7"/>
  <c r="AA145" i="7"/>
  <c r="Z145" i="7"/>
  <c r="W145" i="7"/>
  <c r="V145" i="7"/>
  <c r="U145" i="7"/>
  <c r="T145" i="7"/>
  <c r="Q145" i="7"/>
  <c r="P145" i="7"/>
  <c r="O145" i="7"/>
  <c r="N145" i="7"/>
  <c r="K145" i="7"/>
  <c r="J145" i="7"/>
  <c r="I145" i="7"/>
  <c r="H145" i="7"/>
  <c r="E145" i="7"/>
  <c r="D145" i="7"/>
  <c r="C145" i="7"/>
  <c r="B145" i="7"/>
  <c r="AI144" i="7"/>
  <c r="AH144" i="7"/>
  <c r="AG144" i="7"/>
  <c r="AF144" i="7"/>
  <c r="AC144" i="7"/>
  <c r="AB144" i="7"/>
  <c r="AA144" i="7"/>
  <c r="Z144" i="7"/>
  <c r="W144" i="7"/>
  <c r="V144" i="7"/>
  <c r="U144" i="7"/>
  <c r="T144" i="7"/>
  <c r="Q144" i="7"/>
  <c r="P144" i="7"/>
  <c r="O144" i="7"/>
  <c r="N144" i="7"/>
  <c r="K144" i="7"/>
  <c r="J144" i="7"/>
  <c r="I144" i="7"/>
  <c r="H144" i="7"/>
  <c r="E144" i="7"/>
  <c r="D144" i="7"/>
  <c r="C144" i="7"/>
  <c r="B144" i="7"/>
  <c r="AI143" i="7"/>
  <c r="AH143" i="7"/>
  <c r="AG143" i="7"/>
  <c r="AF143" i="7"/>
  <c r="AC143" i="7"/>
  <c r="AB143" i="7"/>
  <c r="AA143" i="7"/>
  <c r="Z143" i="7"/>
  <c r="W143" i="7"/>
  <c r="V143" i="7"/>
  <c r="U143" i="7"/>
  <c r="T143" i="7"/>
  <c r="Q143" i="7"/>
  <c r="P143" i="7"/>
  <c r="O143" i="7"/>
  <c r="N143" i="7"/>
  <c r="K143" i="7"/>
  <c r="J143" i="7"/>
  <c r="I143" i="7"/>
  <c r="H143" i="7"/>
  <c r="E143" i="7"/>
  <c r="D143" i="7"/>
  <c r="C143" i="7"/>
  <c r="B143" i="7"/>
  <c r="AI142" i="7"/>
  <c r="AH142" i="7"/>
  <c r="AG142" i="7"/>
  <c r="AF142" i="7"/>
  <c r="AC142" i="7"/>
  <c r="AB142" i="7"/>
  <c r="AA142" i="7"/>
  <c r="Z142" i="7"/>
  <c r="W142" i="7"/>
  <c r="V142" i="7"/>
  <c r="U142" i="7"/>
  <c r="T142" i="7"/>
  <c r="Q142" i="7"/>
  <c r="P142" i="7"/>
  <c r="O142" i="7"/>
  <c r="N142" i="7"/>
  <c r="K142" i="7"/>
  <c r="J142" i="7"/>
  <c r="I142" i="7"/>
  <c r="H142" i="7"/>
  <c r="E142" i="7"/>
  <c r="D142" i="7"/>
  <c r="C142" i="7"/>
  <c r="B142" i="7"/>
  <c r="AI141" i="7"/>
  <c r="AH141" i="7"/>
  <c r="AG141" i="7"/>
  <c r="AF141" i="7"/>
  <c r="AC141" i="7"/>
  <c r="AB141" i="7"/>
  <c r="AA141" i="7"/>
  <c r="Z141" i="7"/>
  <c r="W141" i="7"/>
  <c r="V141" i="7"/>
  <c r="U141" i="7"/>
  <c r="T141" i="7"/>
  <c r="Q141" i="7"/>
  <c r="P141" i="7"/>
  <c r="O141" i="7"/>
  <c r="N141" i="7"/>
  <c r="K141" i="7"/>
  <c r="J141" i="7"/>
  <c r="I141" i="7"/>
  <c r="H141" i="7"/>
  <c r="E141" i="7"/>
  <c r="D141" i="7"/>
  <c r="C141" i="7"/>
  <c r="B141" i="7"/>
  <c r="AI140" i="7"/>
  <c r="AH140" i="7"/>
  <c r="AG140" i="7"/>
  <c r="AF140" i="7"/>
  <c r="AC140" i="7"/>
  <c r="AB140" i="7"/>
  <c r="AA140" i="7"/>
  <c r="Z140" i="7"/>
  <c r="W140" i="7"/>
  <c r="V140" i="7"/>
  <c r="U140" i="7"/>
  <c r="T140" i="7"/>
  <c r="Q140" i="7"/>
  <c r="P140" i="7"/>
  <c r="O140" i="7"/>
  <c r="N140" i="7"/>
  <c r="K140" i="7"/>
  <c r="J140" i="7"/>
  <c r="I140" i="7"/>
  <c r="H140" i="7"/>
  <c r="E140" i="7"/>
  <c r="D140" i="7"/>
  <c r="C140" i="7"/>
  <c r="B140" i="7"/>
  <c r="AI139" i="7"/>
  <c r="AH139" i="7"/>
  <c r="AG139" i="7"/>
  <c r="AF139" i="7"/>
  <c r="AC139" i="7"/>
  <c r="AB139" i="7"/>
  <c r="AA139" i="7"/>
  <c r="Z139" i="7"/>
  <c r="W139" i="7"/>
  <c r="V139" i="7"/>
  <c r="U139" i="7"/>
  <c r="T139" i="7"/>
  <c r="Q139" i="7"/>
  <c r="P139" i="7"/>
  <c r="O139" i="7"/>
  <c r="N139" i="7"/>
  <c r="K139" i="7"/>
  <c r="J139" i="7"/>
  <c r="I139" i="7"/>
  <c r="H139" i="7"/>
  <c r="E139" i="7"/>
  <c r="D139" i="7"/>
  <c r="C139" i="7"/>
  <c r="B139" i="7"/>
  <c r="AI138" i="7"/>
  <c r="AH138" i="7"/>
  <c r="AG138" i="7"/>
  <c r="AF138" i="7"/>
  <c r="AC138" i="7"/>
  <c r="AB138" i="7"/>
  <c r="AA138" i="7"/>
  <c r="Z138" i="7"/>
  <c r="W138" i="7"/>
  <c r="V138" i="7"/>
  <c r="U138" i="7"/>
  <c r="T138" i="7"/>
  <c r="Q138" i="7"/>
  <c r="P138" i="7"/>
  <c r="O138" i="7"/>
  <c r="N138" i="7"/>
  <c r="K138" i="7"/>
  <c r="J138" i="7"/>
  <c r="I138" i="7"/>
  <c r="H138" i="7"/>
  <c r="E138" i="7"/>
  <c r="D138" i="7"/>
  <c r="C138" i="7"/>
  <c r="B138" i="7"/>
  <c r="AI137" i="7"/>
  <c r="AH137" i="7"/>
  <c r="AG137" i="7"/>
  <c r="AF137" i="7"/>
  <c r="AC137" i="7"/>
  <c r="AB137" i="7"/>
  <c r="AA137" i="7"/>
  <c r="Z137" i="7"/>
  <c r="W137" i="7"/>
  <c r="V137" i="7"/>
  <c r="U137" i="7"/>
  <c r="T137" i="7"/>
  <c r="Q137" i="7"/>
  <c r="P137" i="7"/>
  <c r="O137" i="7"/>
  <c r="N137" i="7"/>
  <c r="K137" i="7"/>
  <c r="J137" i="7"/>
  <c r="I137" i="7"/>
  <c r="H137" i="7"/>
  <c r="E137" i="7"/>
  <c r="D137" i="7"/>
  <c r="C137" i="7"/>
  <c r="B137" i="7"/>
  <c r="AI136" i="7"/>
  <c r="AH136" i="7"/>
  <c r="AG136" i="7"/>
  <c r="AF136" i="7"/>
  <c r="AC136" i="7"/>
  <c r="AB136" i="7"/>
  <c r="AA136" i="7"/>
  <c r="Z136" i="7"/>
  <c r="W136" i="7"/>
  <c r="V136" i="7"/>
  <c r="U136" i="7"/>
  <c r="T136" i="7"/>
  <c r="Q136" i="7"/>
  <c r="P136" i="7"/>
  <c r="O136" i="7"/>
  <c r="N136" i="7"/>
  <c r="K136" i="7"/>
  <c r="J136" i="7"/>
  <c r="I136" i="7"/>
  <c r="H136" i="7"/>
  <c r="E136" i="7"/>
  <c r="D136" i="7"/>
  <c r="C136" i="7"/>
  <c r="B136" i="7"/>
  <c r="AI135" i="7"/>
  <c r="AH135" i="7"/>
  <c r="AG135" i="7"/>
  <c r="AF135" i="7"/>
  <c r="AC135" i="7"/>
  <c r="AB135" i="7"/>
  <c r="AA135" i="7"/>
  <c r="Z135" i="7"/>
  <c r="W135" i="7"/>
  <c r="V135" i="7"/>
  <c r="U135" i="7"/>
  <c r="T135" i="7"/>
  <c r="Q135" i="7"/>
  <c r="P135" i="7"/>
  <c r="O135" i="7"/>
  <c r="N135" i="7"/>
  <c r="K135" i="7"/>
  <c r="J135" i="7"/>
  <c r="I135" i="7"/>
  <c r="H135" i="7"/>
  <c r="E135" i="7"/>
  <c r="D135" i="7"/>
  <c r="C135" i="7"/>
  <c r="B135" i="7"/>
  <c r="AI134" i="7"/>
  <c r="AH134" i="7"/>
  <c r="AG134" i="7"/>
  <c r="AF134" i="7"/>
  <c r="AC134" i="7"/>
  <c r="AB134" i="7"/>
  <c r="AA134" i="7"/>
  <c r="Z134" i="7"/>
  <c r="W134" i="7"/>
  <c r="V134" i="7"/>
  <c r="U134" i="7"/>
  <c r="T134" i="7"/>
  <c r="Q134" i="7"/>
  <c r="P134" i="7"/>
  <c r="O134" i="7"/>
  <c r="N134" i="7"/>
  <c r="K134" i="7"/>
  <c r="J134" i="7"/>
  <c r="I134" i="7"/>
  <c r="H134" i="7"/>
  <c r="E134" i="7"/>
  <c r="D134" i="7"/>
  <c r="C134" i="7"/>
  <c r="B134" i="7"/>
  <c r="AI133" i="7"/>
  <c r="AH133" i="7"/>
  <c r="AG133" i="7"/>
  <c r="AF133" i="7"/>
  <c r="AC133" i="7"/>
  <c r="AB133" i="7"/>
  <c r="AA133" i="7"/>
  <c r="Z133" i="7"/>
  <c r="W133" i="7"/>
  <c r="V133" i="7"/>
  <c r="U133" i="7"/>
  <c r="T133" i="7"/>
  <c r="Q133" i="7"/>
  <c r="P133" i="7"/>
  <c r="O133" i="7"/>
  <c r="N133" i="7"/>
  <c r="K133" i="7"/>
  <c r="J133" i="7"/>
  <c r="I133" i="7"/>
  <c r="H133" i="7"/>
  <c r="E133" i="7"/>
  <c r="D133" i="7"/>
  <c r="C133" i="7"/>
  <c r="B133" i="7"/>
  <c r="AI132" i="7"/>
  <c r="AH132" i="7"/>
  <c r="AG132" i="7"/>
  <c r="AF132" i="7"/>
  <c r="AC132" i="7"/>
  <c r="AB132" i="7"/>
  <c r="AA132" i="7"/>
  <c r="Z132" i="7"/>
  <c r="W132" i="7"/>
  <c r="V132" i="7"/>
  <c r="U132" i="7"/>
  <c r="T132" i="7"/>
  <c r="Q132" i="7"/>
  <c r="P132" i="7"/>
  <c r="O132" i="7"/>
  <c r="N132" i="7"/>
  <c r="K132" i="7"/>
  <c r="J132" i="7"/>
  <c r="I132" i="7"/>
  <c r="H132" i="7"/>
  <c r="E132" i="7"/>
  <c r="D132" i="7"/>
  <c r="C132" i="7"/>
  <c r="B132" i="7"/>
  <c r="AI131" i="7"/>
  <c r="AH131" i="7"/>
  <c r="AG131" i="7"/>
  <c r="AF131" i="7"/>
  <c r="AC131" i="7"/>
  <c r="AB131" i="7"/>
  <c r="AA131" i="7"/>
  <c r="Z131" i="7"/>
  <c r="W131" i="7"/>
  <c r="V131" i="7"/>
  <c r="U131" i="7"/>
  <c r="T131" i="7"/>
  <c r="Q131" i="7"/>
  <c r="P131" i="7"/>
  <c r="O131" i="7"/>
  <c r="N131" i="7"/>
  <c r="K131" i="7"/>
  <c r="J131" i="7"/>
  <c r="I131" i="7"/>
  <c r="H131" i="7"/>
  <c r="E131" i="7"/>
  <c r="D131" i="7"/>
  <c r="C131" i="7"/>
  <c r="B131" i="7"/>
  <c r="AI130" i="7"/>
  <c r="AH130" i="7"/>
  <c r="AG130" i="7"/>
  <c r="AF130" i="7"/>
  <c r="AC130" i="7"/>
  <c r="AB130" i="7"/>
  <c r="AA130" i="7"/>
  <c r="Z130" i="7"/>
  <c r="W130" i="7"/>
  <c r="V130" i="7"/>
  <c r="U130" i="7"/>
  <c r="T130" i="7"/>
  <c r="Q130" i="7"/>
  <c r="P130" i="7"/>
  <c r="O130" i="7"/>
  <c r="N130" i="7"/>
  <c r="K130" i="7"/>
  <c r="J130" i="7"/>
  <c r="I130" i="7"/>
  <c r="H130" i="7"/>
  <c r="E130" i="7"/>
  <c r="D130" i="7"/>
  <c r="C130" i="7"/>
  <c r="B130" i="7"/>
  <c r="AI129" i="7"/>
  <c r="AH129" i="7"/>
  <c r="AG129" i="7"/>
  <c r="AF129" i="7"/>
  <c r="AC129" i="7"/>
  <c r="AB129" i="7"/>
  <c r="AA129" i="7"/>
  <c r="Z129" i="7"/>
  <c r="W129" i="7"/>
  <c r="V129" i="7"/>
  <c r="U129" i="7"/>
  <c r="T129" i="7"/>
  <c r="Q129" i="7"/>
  <c r="P129" i="7"/>
  <c r="O129" i="7"/>
  <c r="N129" i="7"/>
  <c r="K129" i="7"/>
  <c r="J129" i="7"/>
  <c r="I129" i="7"/>
  <c r="H129" i="7"/>
  <c r="E129" i="7"/>
  <c r="D129" i="7"/>
  <c r="C129" i="7"/>
  <c r="B129" i="7"/>
  <c r="AI128" i="7"/>
  <c r="AH128" i="7"/>
  <c r="AG128" i="7"/>
  <c r="AF128" i="7"/>
  <c r="AC128" i="7"/>
  <c r="AB128" i="7"/>
  <c r="AA128" i="7"/>
  <c r="Z128" i="7"/>
  <c r="W128" i="7"/>
  <c r="V128" i="7"/>
  <c r="U128" i="7"/>
  <c r="T128" i="7"/>
  <c r="Q128" i="7"/>
  <c r="P128" i="7"/>
  <c r="O128" i="7"/>
  <c r="N128" i="7"/>
  <c r="K128" i="7"/>
  <c r="J128" i="7"/>
  <c r="I128" i="7"/>
  <c r="H128" i="7"/>
  <c r="E128" i="7"/>
  <c r="D128" i="7"/>
  <c r="C128" i="7"/>
  <c r="B128" i="7"/>
  <c r="AI127" i="7"/>
  <c r="AH127" i="7"/>
  <c r="AG127" i="7"/>
  <c r="AF127" i="7"/>
  <c r="AC127" i="7"/>
  <c r="AB127" i="7"/>
  <c r="AA127" i="7"/>
  <c r="Z127" i="7"/>
  <c r="W127" i="7"/>
  <c r="V127" i="7"/>
  <c r="U127" i="7"/>
  <c r="T127" i="7"/>
  <c r="Q127" i="7"/>
  <c r="P127" i="7"/>
  <c r="O127" i="7"/>
  <c r="N127" i="7"/>
  <c r="K127" i="7"/>
  <c r="J127" i="7"/>
  <c r="I127" i="7"/>
  <c r="H127" i="7"/>
  <c r="E127" i="7"/>
  <c r="D127" i="7"/>
  <c r="C127" i="7"/>
  <c r="B127" i="7"/>
  <c r="AI126" i="7"/>
  <c r="AH126" i="7"/>
  <c r="AG126" i="7"/>
  <c r="AF126" i="7"/>
  <c r="AC126" i="7"/>
  <c r="AB126" i="7"/>
  <c r="AA126" i="7"/>
  <c r="Z126" i="7"/>
  <c r="W126" i="7"/>
  <c r="V126" i="7"/>
  <c r="U126" i="7"/>
  <c r="T126" i="7"/>
  <c r="Q126" i="7"/>
  <c r="P126" i="7"/>
  <c r="O126" i="7"/>
  <c r="N126" i="7"/>
  <c r="K126" i="7"/>
  <c r="J126" i="7"/>
  <c r="I126" i="7"/>
  <c r="H126" i="7"/>
  <c r="E126" i="7"/>
  <c r="D126" i="7"/>
  <c r="C126" i="7"/>
  <c r="B126" i="7"/>
  <c r="AI125" i="7"/>
  <c r="AH125" i="7"/>
  <c r="AG125" i="7"/>
  <c r="AF125" i="7"/>
  <c r="AC125" i="7"/>
  <c r="AB125" i="7"/>
  <c r="AA125" i="7"/>
  <c r="Z125" i="7"/>
  <c r="W125" i="7"/>
  <c r="V125" i="7"/>
  <c r="U125" i="7"/>
  <c r="T125" i="7"/>
  <c r="Q125" i="7"/>
  <c r="P125" i="7"/>
  <c r="O125" i="7"/>
  <c r="N125" i="7"/>
  <c r="K125" i="7"/>
  <c r="J125" i="7"/>
  <c r="I125" i="7"/>
  <c r="H125" i="7"/>
  <c r="E125" i="7"/>
  <c r="D125" i="7"/>
  <c r="C125" i="7"/>
  <c r="B125" i="7"/>
  <c r="AI124" i="7"/>
  <c r="AH124" i="7"/>
  <c r="AG124" i="7"/>
  <c r="AF124" i="7"/>
  <c r="AC124" i="7"/>
  <c r="AB124" i="7"/>
  <c r="AA124" i="7"/>
  <c r="Z124" i="7"/>
  <c r="W124" i="7"/>
  <c r="V124" i="7"/>
  <c r="U124" i="7"/>
  <c r="T124" i="7"/>
  <c r="Q124" i="7"/>
  <c r="P124" i="7"/>
  <c r="O124" i="7"/>
  <c r="N124" i="7"/>
  <c r="K124" i="7"/>
  <c r="J124" i="7"/>
  <c r="I124" i="7"/>
  <c r="H124" i="7"/>
  <c r="E124" i="7"/>
  <c r="D124" i="7"/>
  <c r="C124" i="7"/>
  <c r="B124" i="7"/>
  <c r="AI123" i="7"/>
  <c r="AH123" i="7"/>
  <c r="AG123" i="7"/>
  <c r="AF123" i="7"/>
  <c r="AC123" i="7"/>
  <c r="AB123" i="7"/>
  <c r="AA123" i="7"/>
  <c r="Z123" i="7"/>
  <c r="W123" i="7"/>
  <c r="V123" i="7"/>
  <c r="U123" i="7"/>
  <c r="T123" i="7"/>
  <c r="Q123" i="7"/>
  <c r="P123" i="7"/>
  <c r="O123" i="7"/>
  <c r="N123" i="7"/>
  <c r="K123" i="7"/>
  <c r="J123" i="7"/>
  <c r="I123" i="7"/>
  <c r="H123" i="7"/>
  <c r="E123" i="7"/>
  <c r="D123" i="7"/>
  <c r="C123" i="7"/>
  <c r="B123" i="7"/>
  <c r="AI122" i="7"/>
  <c r="AH122" i="7"/>
  <c r="AG122" i="7"/>
  <c r="AF122" i="7"/>
  <c r="AC122" i="7"/>
  <c r="AB122" i="7"/>
  <c r="AA122" i="7"/>
  <c r="Z122" i="7"/>
  <c r="W122" i="7"/>
  <c r="V122" i="7"/>
  <c r="U122" i="7"/>
  <c r="T122" i="7"/>
  <c r="Q122" i="7"/>
  <c r="P122" i="7"/>
  <c r="O122" i="7"/>
  <c r="N122" i="7"/>
  <c r="K122" i="7"/>
  <c r="J122" i="7"/>
  <c r="I122" i="7"/>
  <c r="H122" i="7"/>
  <c r="E122" i="7"/>
  <c r="D122" i="7"/>
  <c r="C122" i="7"/>
  <c r="B122" i="7"/>
  <c r="AI121" i="7"/>
  <c r="AH121" i="7"/>
  <c r="AG121" i="7"/>
  <c r="AF121" i="7"/>
  <c r="AC121" i="7"/>
  <c r="AB121" i="7"/>
  <c r="AA121" i="7"/>
  <c r="Z121" i="7"/>
  <c r="W121" i="7"/>
  <c r="V121" i="7"/>
  <c r="U121" i="7"/>
  <c r="T121" i="7"/>
  <c r="Q121" i="7"/>
  <c r="P121" i="7"/>
  <c r="O121" i="7"/>
  <c r="N121" i="7"/>
  <c r="K121" i="7"/>
  <c r="J121" i="7"/>
  <c r="I121" i="7"/>
  <c r="H121" i="7"/>
  <c r="E121" i="7"/>
  <c r="D121" i="7"/>
  <c r="C121" i="7"/>
  <c r="B121" i="7"/>
  <c r="AI120" i="7"/>
  <c r="AH120" i="7"/>
  <c r="AG120" i="7"/>
  <c r="AF120" i="7"/>
  <c r="AC120" i="7"/>
  <c r="AB120" i="7"/>
  <c r="AA120" i="7"/>
  <c r="Z120" i="7"/>
  <c r="W120" i="7"/>
  <c r="V120" i="7"/>
  <c r="U120" i="7"/>
  <c r="T120" i="7"/>
  <c r="Q120" i="7"/>
  <c r="P120" i="7"/>
  <c r="O120" i="7"/>
  <c r="N120" i="7"/>
  <c r="K120" i="7"/>
  <c r="J120" i="7"/>
  <c r="I120" i="7"/>
  <c r="H120" i="7"/>
  <c r="E120" i="7"/>
  <c r="D120" i="7"/>
  <c r="C120" i="7"/>
  <c r="B120" i="7"/>
  <c r="AI119" i="7"/>
  <c r="AH119" i="7"/>
  <c r="AG119" i="7"/>
  <c r="AF119" i="7"/>
  <c r="AC119" i="7"/>
  <c r="AB119" i="7"/>
  <c r="AA119" i="7"/>
  <c r="Z119" i="7"/>
  <c r="W119" i="7"/>
  <c r="V119" i="7"/>
  <c r="U119" i="7"/>
  <c r="T119" i="7"/>
  <c r="Q119" i="7"/>
  <c r="P119" i="7"/>
  <c r="O119" i="7"/>
  <c r="N119" i="7"/>
  <c r="K119" i="7"/>
  <c r="J119" i="7"/>
  <c r="I119" i="7"/>
  <c r="H119" i="7"/>
  <c r="E119" i="7"/>
  <c r="D119" i="7"/>
  <c r="C119" i="7"/>
  <c r="B119" i="7"/>
  <c r="AI118" i="7"/>
  <c r="AH118" i="7"/>
  <c r="AG118" i="7"/>
  <c r="AF118" i="7"/>
  <c r="AC118" i="7"/>
  <c r="AB118" i="7"/>
  <c r="AA118" i="7"/>
  <c r="Z118" i="7"/>
  <c r="W118" i="7"/>
  <c r="V118" i="7"/>
  <c r="U118" i="7"/>
  <c r="T118" i="7"/>
  <c r="Q118" i="7"/>
  <c r="P118" i="7"/>
  <c r="O118" i="7"/>
  <c r="N118" i="7"/>
  <c r="K118" i="7"/>
  <c r="J118" i="7"/>
  <c r="I118" i="7"/>
  <c r="H118" i="7"/>
  <c r="E118" i="7"/>
  <c r="D118" i="7"/>
  <c r="C118" i="7"/>
  <c r="B118" i="7"/>
  <c r="AI117" i="7"/>
  <c r="AH117" i="7"/>
  <c r="AG117" i="7"/>
  <c r="AF117" i="7"/>
  <c r="AC117" i="7"/>
  <c r="AB117" i="7"/>
  <c r="AA117" i="7"/>
  <c r="Z117" i="7"/>
  <c r="W117" i="7"/>
  <c r="V117" i="7"/>
  <c r="U117" i="7"/>
  <c r="T117" i="7"/>
  <c r="Q117" i="7"/>
  <c r="P117" i="7"/>
  <c r="O117" i="7"/>
  <c r="N117" i="7"/>
  <c r="K117" i="7"/>
  <c r="J117" i="7"/>
  <c r="I117" i="7"/>
  <c r="H117" i="7"/>
  <c r="E117" i="7"/>
  <c r="D117" i="7"/>
  <c r="C117" i="7"/>
  <c r="B117" i="7"/>
  <c r="AI116" i="7"/>
  <c r="AH116" i="7"/>
  <c r="AG116" i="7"/>
  <c r="AF116" i="7"/>
  <c r="AC116" i="7"/>
  <c r="AB116" i="7"/>
  <c r="AA116" i="7"/>
  <c r="Z116" i="7"/>
  <c r="W116" i="7"/>
  <c r="V116" i="7"/>
  <c r="U116" i="7"/>
  <c r="T116" i="7"/>
  <c r="Q116" i="7"/>
  <c r="P116" i="7"/>
  <c r="O116" i="7"/>
  <c r="N116" i="7"/>
  <c r="K116" i="7"/>
  <c r="J116" i="7"/>
  <c r="I116" i="7"/>
  <c r="H116" i="7"/>
  <c r="E116" i="7"/>
  <c r="D116" i="7"/>
  <c r="C116" i="7"/>
  <c r="B116" i="7"/>
  <c r="AI115" i="7"/>
  <c r="AH115" i="7"/>
  <c r="AG115" i="7"/>
  <c r="AF115" i="7"/>
  <c r="AC115" i="7"/>
  <c r="AB115" i="7"/>
  <c r="AA115" i="7"/>
  <c r="Z115" i="7"/>
  <c r="W115" i="7"/>
  <c r="V115" i="7"/>
  <c r="U115" i="7"/>
  <c r="T115" i="7"/>
  <c r="Q115" i="7"/>
  <c r="P115" i="7"/>
  <c r="O115" i="7"/>
  <c r="N115" i="7"/>
  <c r="K115" i="7"/>
  <c r="J115" i="7"/>
  <c r="I115" i="7"/>
  <c r="H115" i="7"/>
  <c r="E115" i="7"/>
  <c r="D115" i="7"/>
  <c r="C115" i="7"/>
  <c r="B115" i="7"/>
  <c r="AI114" i="7"/>
  <c r="AH114" i="7"/>
  <c r="AG114" i="7"/>
  <c r="AF114" i="7"/>
  <c r="AC114" i="7"/>
  <c r="AB114" i="7"/>
  <c r="AA114" i="7"/>
  <c r="Z114" i="7"/>
  <c r="W114" i="7"/>
  <c r="V114" i="7"/>
  <c r="U114" i="7"/>
  <c r="T114" i="7"/>
  <c r="Q114" i="7"/>
  <c r="P114" i="7"/>
  <c r="O114" i="7"/>
  <c r="N114" i="7"/>
  <c r="K114" i="7"/>
  <c r="J114" i="7"/>
  <c r="I114" i="7"/>
  <c r="H114" i="7"/>
  <c r="E114" i="7"/>
  <c r="D114" i="7"/>
  <c r="C114" i="7"/>
  <c r="B114" i="7"/>
  <c r="AI113" i="7"/>
  <c r="AH113" i="7"/>
  <c r="AG113" i="7"/>
  <c r="AF113" i="7"/>
  <c r="AC113" i="7"/>
  <c r="AB113" i="7"/>
  <c r="AA113" i="7"/>
  <c r="Z113" i="7"/>
  <c r="W113" i="7"/>
  <c r="V113" i="7"/>
  <c r="U113" i="7"/>
  <c r="T113" i="7"/>
  <c r="Q113" i="7"/>
  <c r="P113" i="7"/>
  <c r="O113" i="7"/>
  <c r="N113" i="7"/>
  <c r="K113" i="7"/>
  <c r="J113" i="7"/>
  <c r="I113" i="7"/>
  <c r="H113" i="7"/>
  <c r="E113" i="7"/>
  <c r="D113" i="7"/>
  <c r="C113" i="7"/>
  <c r="B113" i="7"/>
  <c r="AI112" i="7"/>
  <c r="AH112" i="7"/>
  <c r="AG112" i="7"/>
  <c r="AF112" i="7"/>
  <c r="AC112" i="7"/>
  <c r="AB112" i="7"/>
  <c r="AA112" i="7"/>
  <c r="Z112" i="7"/>
  <c r="W112" i="7"/>
  <c r="V112" i="7"/>
  <c r="U112" i="7"/>
  <c r="T112" i="7"/>
  <c r="Q112" i="7"/>
  <c r="P112" i="7"/>
  <c r="O112" i="7"/>
  <c r="N112" i="7"/>
  <c r="K112" i="7"/>
  <c r="J112" i="7"/>
  <c r="I112" i="7"/>
  <c r="H112" i="7"/>
  <c r="E112" i="7"/>
  <c r="D112" i="7"/>
  <c r="C112" i="7"/>
  <c r="B112" i="7"/>
  <c r="AI111" i="7"/>
  <c r="AH111" i="7"/>
  <c r="AG111" i="7"/>
  <c r="AF111" i="7"/>
  <c r="AC111" i="7"/>
  <c r="AB111" i="7"/>
  <c r="AA111" i="7"/>
  <c r="Z111" i="7"/>
  <c r="W111" i="7"/>
  <c r="V111" i="7"/>
  <c r="U111" i="7"/>
  <c r="T111" i="7"/>
  <c r="Q111" i="7"/>
  <c r="P111" i="7"/>
  <c r="O111" i="7"/>
  <c r="N111" i="7"/>
  <c r="K111" i="7"/>
  <c r="J111" i="7"/>
  <c r="I111" i="7"/>
  <c r="H111" i="7"/>
  <c r="E111" i="7"/>
  <c r="D111" i="7"/>
  <c r="C111" i="7"/>
  <c r="B111" i="7"/>
  <c r="AI110" i="7"/>
  <c r="AH110" i="7"/>
  <c r="AG110" i="7"/>
  <c r="AF110" i="7"/>
  <c r="AC110" i="7"/>
  <c r="AB110" i="7"/>
  <c r="AA110" i="7"/>
  <c r="Z110" i="7"/>
  <c r="W110" i="7"/>
  <c r="V110" i="7"/>
  <c r="U110" i="7"/>
  <c r="T110" i="7"/>
  <c r="Q110" i="7"/>
  <c r="P110" i="7"/>
  <c r="O110" i="7"/>
  <c r="N110" i="7"/>
  <c r="K110" i="7"/>
  <c r="J110" i="7"/>
  <c r="I110" i="7"/>
  <c r="H110" i="7"/>
  <c r="E110" i="7"/>
  <c r="D110" i="7"/>
  <c r="C110" i="7"/>
  <c r="B110" i="7"/>
  <c r="AI109" i="7"/>
  <c r="AH109" i="7"/>
  <c r="AG109" i="7"/>
  <c r="AF109" i="7"/>
  <c r="AC109" i="7"/>
  <c r="AB109" i="7"/>
  <c r="AA109" i="7"/>
  <c r="Z109" i="7"/>
  <c r="W109" i="7"/>
  <c r="V109" i="7"/>
  <c r="U109" i="7"/>
  <c r="T109" i="7"/>
  <c r="Q109" i="7"/>
  <c r="P109" i="7"/>
  <c r="O109" i="7"/>
  <c r="N109" i="7"/>
  <c r="K109" i="7"/>
  <c r="J109" i="7"/>
  <c r="I109" i="7"/>
  <c r="H109" i="7"/>
  <c r="E109" i="7"/>
  <c r="D109" i="7"/>
  <c r="C109" i="7"/>
  <c r="B109" i="7"/>
  <c r="AI108" i="7"/>
  <c r="AH108" i="7"/>
  <c r="AG108" i="7"/>
  <c r="AF108" i="7"/>
  <c r="AC108" i="7"/>
  <c r="AB108" i="7"/>
  <c r="AA108" i="7"/>
  <c r="Z108" i="7"/>
  <c r="W108" i="7"/>
  <c r="V108" i="7"/>
  <c r="U108" i="7"/>
  <c r="T108" i="7"/>
  <c r="Q108" i="7"/>
  <c r="P108" i="7"/>
  <c r="O108" i="7"/>
  <c r="N108" i="7"/>
  <c r="K108" i="7"/>
  <c r="J108" i="7"/>
  <c r="I108" i="7"/>
  <c r="H108" i="7"/>
  <c r="E108" i="7"/>
  <c r="D108" i="7"/>
  <c r="C108" i="7"/>
  <c r="B108" i="7"/>
  <c r="AI107" i="7"/>
  <c r="AH107" i="7"/>
  <c r="AG107" i="7"/>
  <c r="AF107" i="7"/>
  <c r="AC107" i="7"/>
  <c r="AB107" i="7"/>
  <c r="AA107" i="7"/>
  <c r="Z107" i="7"/>
  <c r="W107" i="7"/>
  <c r="V107" i="7"/>
  <c r="U107" i="7"/>
  <c r="T107" i="7"/>
  <c r="Q107" i="7"/>
  <c r="P107" i="7"/>
  <c r="O107" i="7"/>
  <c r="N107" i="7"/>
  <c r="K107" i="7"/>
  <c r="J107" i="7"/>
  <c r="I107" i="7"/>
  <c r="H107" i="7"/>
  <c r="E107" i="7"/>
  <c r="D107" i="7"/>
  <c r="C107" i="7"/>
  <c r="B107" i="7"/>
  <c r="AI106" i="7"/>
  <c r="AH106" i="7"/>
  <c r="AG106" i="7"/>
  <c r="AF106" i="7"/>
  <c r="AC106" i="7"/>
  <c r="AB106" i="7"/>
  <c r="AA106" i="7"/>
  <c r="Z106" i="7"/>
  <c r="W106" i="7"/>
  <c r="V106" i="7"/>
  <c r="U106" i="7"/>
  <c r="T106" i="7"/>
  <c r="Q106" i="7"/>
  <c r="P106" i="7"/>
  <c r="O106" i="7"/>
  <c r="N106" i="7"/>
  <c r="K106" i="7"/>
  <c r="J106" i="7"/>
  <c r="I106" i="7"/>
  <c r="H106" i="7"/>
  <c r="E106" i="7"/>
  <c r="D106" i="7"/>
  <c r="C106" i="7"/>
  <c r="B106" i="7"/>
  <c r="AI105" i="7"/>
  <c r="AH105" i="7"/>
  <c r="AG105" i="7"/>
  <c r="AF105" i="7"/>
  <c r="AC105" i="7"/>
  <c r="AB105" i="7"/>
  <c r="AA105" i="7"/>
  <c r="Z105" i="7"/>
  <c r="W105" i="7"/>
  <c r="V105" i="7"/>
  <c r="U105" i="7"/>
  <c r="T105" i="7"/>
  <c r="Q105" i="7"/>
  <c r="P105" i="7"/>
  <c r="O105" i="7"/>
  <c r="N105" i="7"/>
  <c r="K105" i="7"/>
  <c r="J105" i="7"/>
  <c r="I105" i="7"/>
  <c r="H105" i="7"/>
  <c r="E105" i="7"/>
  <c r="D105" i="7"/>
  <c r="C105" i="7"/>
  <c r="B105" i="7"/>
  <c r="AI104" i="7"/>
  <c r="AH104" i="7"/>
  <c r="AG104" i="7"/>
  <c r="AF104" i="7"/>
  <c r="AC104" i="7"/>
  <c r="AB104" i="7"/>
  <c r="AA104" i="7"/>
  <c r="Z104" i="7"/>
  <c r="W104" i="7"/>
  <c r="V104" i="7"/>
  <c r="U104" i="7"/>
  <c r="T104" i="7"/>
  <c r="Q104" i="7"/>
  <c r="P104" i="7"/>
  <c r="O104" i="7"/>
  <c r="N104" i="7"/>
  <c r="K104" i="7"/>
  <c r="J104" i="7"/>
  <c r="I104" i="7"/>
  <c r="H104" i="7"/>
  <c r="E104" i="7"/>
  <c r="D104" i="7"/>
  <c r="C104" i="7"/>
  <c r="B104" i="7"/>
  <c r="AI103" i="7"/>
  <c r="AH103" i="7"/>
  <c r="AG103" i="7"/>
  <c r="AF103" i="7"/>
  <c r="AC103" i="7"/>
  <c r="AB103" i="7"/>
  <c r="AA103" i="7"/>
  <c r="Z103" i="7"/>
  <c r="W103" i="7"/>
  <c r="V103" i="7"/>
  <c r="U103" i="7"/>
  <c r="T103" i="7"/>
  <c r="Q103" i="7"/>
  <c r="P103" i="7"/>
  <c r="O103" i="7"/>
  <c r="N103" i="7"/>
  <c r="K103" i="7"/>
  <c r="J103" i="7"/>
  <c r="I103" i="7"/>
  <c r="H103" i="7"/>
  <c r="E103" i="7"/>
  <c r="D103" i="7"/>
  <c r="C103" i="7"/>
  <c r="B103" i="7"/>
  <c r="AI102" i="7"/>
  <c r="AH102" i="7"/>
  <c r="AG102" i="7"/>
  <c r="AF102" i="7"/>
  <c r="AC102" i="7"/>
  <c r="AB102" i="7"/>
  <c r="AA102" i="7"/>
  <c r="Z102" i="7"/>
  <c r="W102" i="7"/>
  <c r="V102" i="7"/>
  <c r="U102" i="7"/>
  <c r="T102" i="7"/>
  <c r="Q102" i="7"/>
  <c r="P102" i="7"/>
  <c r="O102" i="7"/>
  <c r="N102" i="7"/>
  <c r="K102" i="7"/>
  <c r="J102" i="7"/>
  <c r="I102" i="7"/>
  <c r="H102" i="7"/>
  <c r="E102" i="7"/>
  <c r="D102" i="7"/>
  <c r="C102" i="7"/>
  <c r="B102" i="7"/>
  <c r="AI101" i="7"/>
  <c r="AH101" i="7"/>
  <c r="AG101" i="7"/>
  <c r="AF101" i="7"/>
  <c r="AC101" i="7"/>
  <c r="AB101" i="7"/>
  <c r="AA101" i="7"/>
  <c r="Z101" i="7"/>
  <c r="W101" i="7"/>
  <c r="V101" i="7"/>
  <c r="U101" i="7"/>
  <c r="T101" i="7"/>
  <c r="Q101" i="7"/>
  <c r="P101" i="7"/>
  <c r="O101" i="7"/>
  <c r="N101" i="7"/>
  <c r="K101" i="7"/>
  <c r="J101" i="7"/>
  <c r="I101" i="7"/>
  <c r="H101" i="7"/>
  <c r="E101" i="7"/>
  <c r="D101" i="7"/>
  <c r="C101" i="7"/>
  <c r="B101" i="7"/>
  <c r="AI100" i="7"/>
  <c r="AH100" i="7"/>
  <c r="AG100" i="7"/>
  <c r="AF100" i="7"/>
  <c r="AC100" i="7"/>
  <c r="AB100" i="7"/>
  <c r="AA100" i="7"/>
  <c r="Z100" i="7"/>
  <c r="W100" i="7"/>
  <c r="V100" i="7"/>
  <c r="U100" i="7"/>
  <c r="T100" i="7"/>
  <c r="Q100" i="7"/>
  <c r="P100" i="7"/>
  <c r="O100" i="7"/>
  <c r="N100" i="7"/>
  <c r="K100" i="7"/>
  <c r="J100" i="7"/>
  <c r="I100" i="7"/>
  <c r="H100" i="7"/>
  <c r="E100" i="7"/>
  <c r="D100" i="7"/>
  <c r="C100" i="7"/>
  <c r="B100" i="7"/>
  <c r="AI99" i="7"/>
  <c r="AH99" i="7"/>
  <c r="AG99" i="7"/>
  <c r="AF99" i="7"/>
  <c r="AC99" i="7"/>
  <c r="AB99" i="7"/>
  <c r="AA99" i="7"/>
  <c r="Z99" i="7"/>
  <c r="W99" i="7"/>
  <c r="V99" i="7"/>
  <c r="U99" i="7"/>
  <c r="T99" i="7"/>
  <c r="Q99" i="7"/>
  <c r="P99" i="7"/>
  <c r="O99" i="7"/>
  <c r="N99" i="7"/>
  <c r="K99" i="7"/>
  <c r="J99" i="7"/>
  <c r="I99" i="7"/>
  <c r="H99" i="7"/>
  <c r="E99" i="7"/>
  <c r="D99" i="7"/>
  <c r="C99" i="7"/>
  <c r="B99" i="7"/>
  <c r="AI98" i="7"/>
  <c r="AH98" i="7"/>
  <c r="AG98" i="7"/>
  <c r="AF98" i="7"/>
  <c r="AC98" i="7"/>
  <c r="AB98" i="7"/>
  <c r="AA98" i="7"/>
  <c r="Z98" i="7"/>
  <c r="W98" i="7"/>
  <c r="V98" i="7"/>
  <c r="U98" i="7"/>
  <c r="T98" i="7"/>
  <c r="Q98" i="7"/>
  <c r="P98" i="7"/>
  <c r="O98" i="7"/>
  <c r="N98" i="7"/>
  <c r="K98" i="7"/>
  <c r="J98" i="7"/>
  <c r="I98" i="7"/>
  <c r="H98" i="7"/>
  <c r="E98" i="7"/>
  <c r="D98" i="7"/>
  <c r="C98" i="7"/>
  <c r="B98" i="7"/>
  <c r="AI97" i="7"/>
  <c r="AH97" i="7"/>
  <c r="AG97" i="7"/>
  <c r="AF97" i="7"/>
  <c r="AC97" i="7"/>
  <c r="AB97" i="7"/>
  <c r="AA97" i="7"/>
  <c r="Z97" i="7"/>
  <c r="W97" i="7"/>
  <c r="V97" i="7"/>
  <c r="U97" i="7"/>
  <c r="T97" i="7"/>
  <c r="Q97" i="7"/>
  <c r="P97" i="7"/>
  <c r="O97" i="7"/>
  <c r="N97" i="7"/>
  <c r="K97" i="7"/>
  <c r="J97" i="7"/>
  <c r="I97" i="7"/>
  <c r="H97" i="7"/>
  <c r="E97" i="7"/>
  <c r="D97" i="7"/>
  <c r="C97" i="7"/>
  <c r="B97" i="7"/>
  <c r="AI96" i="7"/>
  <c r="AH96" i="7"/>
  <c r="AG96" i="7"/>
  <c r="AF96" i="7"/>
  <c r="AC96" i="7"/>
  <c r="AB96" i="7"/>
  <c r="AA96" i="7"/>
  <c r="Z96" i="7"/>
  <c r="W96" i="7"/>
  <c r="V96" i="7"/>
  <c r="U96" i="7"/>
  <c r="T96" i="7"/>
  <c r="Q96" i="7"/>
  <c r="P96" i="7"/>
  <c r="O96" i="7"/>
  <c r="N96" i="7"/>
  <c r="K96" i="7"/>
  <c r="J96" i="7"/>
  <c r="I96" i="7"/>
  <c r="H96" i="7"/>
  <c r="C96" i="7"/>
  <c r="B96" i="7"/>
  <c r="AI95" i="7"/>
  <c r="AH95" i="7"/>
  <c r="AG95" i="7"/>
  <c r="AF95" i="7"/>
  <c r="AC95" i="7"/>
  <c r="AB95" i="7"/>
  <c r="AA95" i="7"/>
  <c r="Z95" i="7"/>
  <c r="W95" i="7"/>
  <c r="V95" i="7"/>
  <c r="U95" i="7"/>
  <c r="T95" i="7"/>
  <c r="Q95" i="7"/>
  <c r="P95" i="7"/>
  <c r="O95" i="7"/>
  <c r="N95" i="7"/>
  <c r="K95" i="7"/>
  <c r="J95" i="7"/>
  <c r="I95" i="7"/>
  <c r="H95" i="7"/>
  <c r="E95" i="7"/>
  <c r="D95" i="7"/>
  <c r="C95" i="7"/>
  <c r="B95" i="7"/>
  <c r="AI94" i="7"/>
  <c r="AH94" i="7"/>
  <c r="AG94" i="7"/>
  <c r="AF94" i="7"/>
  <c r="AC94" i="7"/>
  <c r="AB94" i="7"/>
  <c r="AA94" i="7"/>
  <c r="Z94" i="7"/>
  <c r="W94" i="7"/>
  <c r="V94" i="7"/>
  <c r="U94" i="7"/>
  <c r="T94" i="7"/>
  <c r="Q94" i="7"/>
  <c r="P94" i="7"/>
  <c r="O94" i="7"/>
  <c r="N94" i="7"/>
  <c r="K94" i="7"/>
  <c r="J94" i="7"/>
  <c r="I94" i="7"/>
  <c r="H94" i="7"/>
  <c r="E94" i="7"/>
  <c r="D94" i="7"/>
  <c r="AI93" i="7"/>
  <c r="AH93" i="7"/>
  <c r="AG93" i="7"/>
  <c r="AF93" i="7"/>
  <c r="AC93" i="7"/>
  <c r="AB93" i="7"/>
  <c r="AA93" i="7"/>
  <c r="Z93" i="7"/>
  <c r="W93" i="7"/>
  <c r="V93" i="7"/>
  <c r="U93" i="7"/>
  <c r="T93" i="7"/>
  <c r="Q93" i="7"/>
  <c r="P93" i="7"/>
  <c r="O93" i="7"/>
  <c r="N93" i="7"/>
  <c r="K93" i="7"/>
  <c r="J93" i="7"/>
  <c r="I93" i="7"/>
  <c r="H93" i="7"/>
  <c r="D93" i="7"/>
  <c r="C93" i="7"/>
  <c r="B93" i="7"/>
  <c r="AI92" i="7"/>
  <c r="AH92" i="7"/>
  <c r="AG92" i="7"/>
  <c r="AF92" i="7"/>
  <c r="AC92" i="7"/>
  <c r="AB92" i="7"/>
  <c r="AA92" i="7"/>
  <c r="Z92" i="7"/>
  <c r="W92" i="7"/>
  <c r="V92" i="7"/>
  <c r="U92" i="7"/>
  <c r="T92" i="7"/>
  <c r="Q92" i="7"/>
  <c r="P92" i="7"/>
  <c r="O92" i="7"/>
  <c r="N92" i="7"/>
  <c r="K92" i="7"/>
  <c r="J92" i="7"/>
  <c r="I92" i="7"/>
  <c r="H92" i="7"/>
  <c r="E92" i="7"/>
  <c r="D92" i="7"/>
  <c r="C92" i="7"/>
  <c r="B92" i="7"/>
  <c r="AI91" i="7"/>
  <c r="AH91" i="7"/>
  <c r="AG91" i="7"/>
  <c r="AF91" i="7"/>
  <c r="AC91" i="7"/>
  <c r="AB91" i="7"/>
  <c r="AA91" i="7"/>
  <c r="Z91" i="7"/>
  <c r="W91" i="7"/>
  <c r="V91" i="7"/>
  <c r="U91" i="7"/>
  <c r="T91" i="7"/>
  <c r="Q91" i="7"/>
  <c r="P91" i="7"/>
  <c r="O91" i="7"/>
  <c r="N91" i="7"/>
  <c r="K91" i="7"/>
  <c r="J91" i="7"/>
  <c r="I91" i="7"/>
  <c r="H91" i="7"/>
  <c r="D91" i="7"/>
  <c r="AI90" i="7"/>
  <c r="AH90" i="7"/>
  <c r="AG90" i="7"/>
  <c r="AF90" i="7"/>
  <c r="AC90" i="7"/>
  <c r="AB90" i="7"/>
  <c r="AA90" i="7"/>
  <c r="Z90" i="7"/>
  <c r="W90" i="7"/>
  <c r="V90" i="7"/>
  <c r="U90" i="7"/>
  <c r="T90" i="7"/>
  <c r="Q90" i="7"/>
  <c r="P90" i="7"/>
  <c r="O90" i="7"/>
  <c r="N90" i="7"/>
  <c r="K90" i="7"/>
  <c r="J90" i="7"/>
  <c r="I90" i="7"/>
  <c r="H90" i="7"/>
  <c r="E90" i="7"/>
  <c r="D90" i="7"/>
  <c r="C90" i="7"/>
  <c r="B90" i="7"/>
  <c r="AI89" i="7"/>
  <c r="AH89" i="7"/>
  <c r="AG89" i="7"/>
  <c r="AF89" i="7"/>
  <c r="AC89" i="7"/>
  <c r="AB89" i="7"/>
  <c r="AA89" i="7"/>
  <c r="Z89" i="7"/>
  <c r="W89" i="7"/>
  <c r="V89" i="7"/>
  <c r="U89" i="7"/>
  <c r="T89" i="7"/>
  <c r="Q89" i="7"/>
  <c r="P89" i="7"/>
  <c r="O89" i="7"/>
  <c r="N89" i="7"/>
  <c r="K89" i="7"/>
  <c r="J89" i="7"/>
  <c r="I89" i="7"/>
  <c r="H89" i="7"/>
  <c r="E89" i="7"/>
  <c r="D89" i="7"/>
  <c r="B89" i="7"/>
  <c r="AI88" i="7"/>
  <c r="AH88" i="7"/>
  <c r="AG88" i="7"/>
  <c r="AF88" i="7"/>
  <c r="AC88" i="7"/>
  <c r="AB88" i="7"/>
  <c r="AA88" i="7"/>
  <c r="Z88" i="7"/>
  <c r="W88" i="7"/>
  <c r="V88" i="7"/>
  <c r="U88" i="7"/>
  <c r="T88" i="7"/>
  <c r="Q88" i="7"/>
  <c r="P88" i="7"/>
  <c r="O88" i="7"/>
  <c r="N88" i="7"/>
  <c r="K88" i="7"/>
  <c r="J88" i="7"/>
  <c r="I88" i="7"/>
  <c r="H88" i="7"/>
  <c r="E88" i="7"/>
  <c r="B88" i="7"/>
  <c r="AI87" i="7"/>
  <c r="AH87" i="7"/>
  <c r="AG87" i="7"/>
  <c r="AF87" i="7"/>
  <c r="AC87" i="7"/>
  <c r="AB87" i="7"/>
  <c r="AA87" i="7"/>
  <c r="Z87" i="7"/>
  <c r="W87" i="7"/>
  <c r="V87" i="7"/>
  <c r="U87" i="7"/>
  <c r="T87" i="7"/>
  <c r="Q87" i="7"/>
  <c r="P87" i="7"/>
  <c r="O87" i="7"/>
  <c r="N87" i="7"/>
  <c r="K87" i="7"/>
  <c r="J87" i="7"/>
  <c r="I87" i="7"/>
  <c r="H87" i="7"/>
  <c r="E87" i="7"/>
  <c r="D87" i="7"/>
  <c r="C87" i="7"/>
  <c r="B87" i="7"/>
  <c r="AC86" i="7"/>
  <c r="AB86" i="7"/>
  <c r="AA86" i="7"/>
  <c r="Z86" i="7"/>
  <c r="W86" i="7"/>
  <c r="V86" i="7"/>
  <c r="U86" i="7"/>
  <c r="T86" i="7"/>
  <c r="Q86" i="7"/>
  <c r="P86" i="7"/>
  <c r="O86" i="7"/>
  <c r="N86" i="7"/>
  <c r="K86" i="7"/>
  <c r="J86" i="7"/>
  <c r="I86" i="7"/>
  <c r="H86" i="7"/>
  <c r="D86" i="7"/>
  <c r="C86" i="7"/>
  <c r="B86" i="7"/>
  <c r="AF85" i="7"/>
  <c r="AC85" i="7"/>
  <c r="AB85" i="7"/>
  <c r="AA85" i="7"/>
  <c r="Z85" i="7"/>
  <c r="W85" i="7"/>
  <c r="V85" i="7"/>
  <c r="U85" i="7"/>
  <c r="T85" i="7"/>
  <c r="Q85" i="7"/>
  <c r="P85" i="7"/>
  <c r="O85" i="7"/>
  <c r="N85" i="7"/>
  <c r="K85" i="7"/>
  <c r="J85" i="7"/>
  <c r="I85" i="7"/>
  <c r="H85" i="7"/>
  <c r="E85" i="7"/>
  <c r="B85" i="7"/>
  <c r="AH84" i="7"/>
  <c r="AF84" i="7"/>
  <c r="AC84" i="7"/>
  <c r="AB84" i="7"/>
  <c r="AA84" i="7"/>
  <c r="Z84" i="7"/>
  <c r="W84" i="7"/>
  <c r="V84" i="7"/>
  <c r="U84" i="7"/>
  <c r="T84" i="7"/>
  <c r="Q84" i="7"/>
  <c r="P84" i="7"/>
  <c r="O84" i="7"/>
  <c r="N84" i="7"/>
  <c r="K84" i="7"/>
  <c r="J84" i="7"/>
  <c r="I84" i="7"/>
  <c r="H84" i="7"/>
  <c r="E84" i="7"/>
  <c r="D84" i="7"/>
  <c r="B84" i="7"/>
  <c r="AI83" i="7"/>
  <c r="AH83" i="7"/>
  <c r="AG83" i="7"/>
  <c r="AF83" i="7"/>
  <c r="AC83" i="7"/>
  <c r="AB83" i="7"/>
  <c r="AA83" i="7"/>
  <c r="Z83" i="7"/>
  <c r="W83" i="7"/>
  <c r="V83" i="7"/>
  <c r="U83" i="7"/>
  <c r="T83" i="7"/>
  <c r="Q83" i="7"/>
  <c r="P83" i="7"/>
  <c r="O83" i="7"/>
  <c r="N83" i="7"/>
  <c r="K83" i="7"/>
  <c r="J83" i="7"/>
  <c r="I83" i="7"/>
  <c r="H83" i="7"/>
  <c r="E83" i="7"/>
  <c r="D83" i="7"/>
  <c r="C83" i="7"/>
  <c r="B83" i="7"/>
  <c r="AI82" i="7"/>
  <c r="AF82" i="7"/>
  <c r="AC82" i="7"/>
  <c r="AB82" i="7"/>
  <c r="AA82" i="7"/>
  <c r="Z82" i="7"/>
  <c r="W82" i="7"/>
  <c r="V82" i="7"/>
  <c r="U82" i="7"/>
  <c r="T82" i="7"/>
  <c r="Q82" i="7"/>
  <c r="P82" i="7"/>
  <c r="O82" i="7"/>
  <c r="N82" i="7"/>
  <c r="K82" i="7"/>
  <c r="J82" i="7"/>
  <c r="I82" i="7"/>
  <c r="H82" i="7"/>
  <c r="E82" i="7"/>
  <c r="B82" i="7"/>
  <c r="AH81" i="7"/>
  <c r="AG81" i="7"/>
  <c r="AC81" i="7"/>
  <c r="AB81" i="7"/>
  <c r="AA81" i="7"/>
  <c r="Z81" i="7"/>
  <c r="W81" i="7"/>
  <c r="V81" i="7"/>
  <c r="U81" i="7"/>
  <c r="T81" i="7"/>
  <c r="Q81" i="7"/>
  <c r="P81" i="7"/>
  <c r="O81" i="7"/>
  <c r="N81" i="7"/>
  <c r="K81" i="7"/>
  <c r="J81" i="7"/>
  <c r="I81" i="7"/>
  <c r="H81" i="7"/>
  <c r="D81" i="7"/>
  <c r="C81" i="7"/>
  <c r="B81" i="7"/>
  <c r="AF80" i="7"/>
  <c r="AC80" i="7"/>
  <c r="AB80" i="7"/>
  <c r="AA80" i="7"/>
  <c r="Z80" i="7"/>
  <c r="W80" i="7"/>
  <c r="V80" i="7"/>
  <c r="U80" i="7"/>
  <c r="T80" i="7"/>
  <c r="Q80" i="7"/>
  <c r="P80" i="7"/>
  <c r="O80" i="7"/>
  <c r="N80" i="7"/>
  <c r="K80" i="7"/>
  <c r="J80" i="7"/>
  <c r="I80" i="7"/>
  <c r="H80" i="7"/>
  <c r="E80" i="7"/>
  <c r="D80" i="7"/>
  <c r="C80" i="7"/>
  <c r="B80" i="7"/>
  <c r="AI79" i="7"/>
  <c r="AC79" i="7"/>
  <c r="AB79" i="7"/>
  <c r="AA79" i="7"/>
  <c r="Z79" i="7"/>
  <c r="W79" i="7"/>
  <c r="V79" i="7"/>
  <c r="U79" i="7"/>
  <c r="T79" i="7"/>
  <c r="Q79" i="7"/>
  <c r="P79" i="7"/>
  <c r="O79" i="7"/>
  <c r="N79" i="7"/>
  <c r="K79" i="7"/>
  <c r="J79" i="7"/>
  <c r="I79" i="7"/>
  <c r="H79" i="7"/>
  <c r="E79" i="7"/>
  <c r="D79" i="7"/>
  <c r="AH78" i="7"/>
  <c r="AG78" i="7"/>
  <c r="AF78" i="7"/>
  <c r="AC78" i="7"/>
  <c r="AB78" i="7"/>
  <c r="AA78" i="7"/>
  <c r="Z78" i="7"/>
  <c r="W78" i="7"/>
  <c r="V78" i="7"/>
  <c r="U78" i="7"/>
  <c r="T78" i="7"/>
  <c r="Q78" i="7"/>
  <c r="P78" i="7"/>
  <c r="O78" i="7"/>
  <c r="N78" i="7"/>
  <c r="K78" i="7"/>
  <c r="J78" i="7"/>
  <c r="I78" i="7"/>
  <c r="H78" i="7"/>
  <c r="D78" i="7"/>
  <c r="C78" i="7"/>
  <c r="B78" i="7"/>
  <c r="AI77" i="7"/>
  <c r="AH77" i="7"/>
  <c r="AG77" i="7"/>
  <c r="AF77" i="7"/>
  <c r="AC77" i="7"/>
  <c r="AB77" i="7"/>
  <c r="AA77" i="7"/>
  <c r="Z77" i="7"/>
  <c r="W77" i="7"/>
  <c r="V77" i="7"/>
  <c r="U77" i="7"/>
  <c r="T77" i="7"/>
  <c r="Q77" i="7"/>
  <c r="P77" i="7"/>
  <c r="O77" i="7"/>
  <c r="N77" i="7"/>
  <c r="K77" i="7"/>
  <c r="J77" i="7"/>
  <c r="I77" i="7"/>
  <c r="H77" i="7"/>
  <c r="E77" i="7"/>
  <c r="D77" i="7"/>
  <c r="C77" i="7"/>
  <c r="B77" i="7"/>
  <c r="AH76" i="7"/>
  <c r="AC76" i="7"/>
  <c r="AB76" i="7"/>
  <c r="AA76" i="7"/>
  <c r="Z76" i="7"/>
  <c r="W76" i="7"/>
  <c r="V76" i="7"/>
  <c r="U76" i="7"/>
  <c r="T76" i="7"/>
  <c r="Q76" i="7"/>
  <c r="P76" i="7"/>
  <c r="O76" i="7"/>
  <c r="N76" i="7"/>
  <c r="K76" i="7"/>
  <c r="J76" i="7"/>
  <c r="I76" i="7"/>
  <c r="H76" i="7"/>
  <c r="D76" i="7"/>
  <c r="C76" i="7"/>
  <c r="AH75" i="7"/>
  <c r="AG75" i="7"/>
  <c r="AC75" i="7"/>
  <c r="AB75" i="7"/>
  <c r="AA75" i="7"/>
  <c r="Z75" i="7"/>
  <c r="W75" i="7"/>
  <c r="V75" i="7"/>
  <c r="U75" i="7"/>
  <c r="T75" i="7"/>
  <c r="Q75" i="7"/>
  <c r="P75" i="7"/>
  <c r="O75" i="7"/>
  <c r="N75" i="7"/>
  <c r="K75" i="7"/>
  <c r="J75" i="7"/>
  <c r="I75" i="7"/>
  <c r="H75" i="7"/>
  <c r="D75" i="7"/>
  <c r="C75" i="7"/>
  <c r="B75" i="7"/>
  <c r="AC74" i="7"/>
  <c r="AB74" i="7"/>
  <c r="AA74" i="7"/>
  <c r="Z74" i="7"/>
  <c r="W74" i="7"/>
  <c r="V74" i="7"/>
  <c r="U74" i="7"/>
  <c r="T74" i="7"/>
  <c r="Q74" i="7"/>
  <c r="P74" i="7"/>
  <c r="O74" i="7"/>
  <c r="N74" i="7"/>
  <c r="K74" i="7"/>
  <c r="J74" i="7"/>
  <c r="I74" i="7"/>
  <c r="H74" i="7"/>
  <c r="E74" i="7"/>
  <c r="D74" i="7"/>
  <c r="B74" i="7"/>
  <c r="AH73" i="7"/>
  <c r="AG73" i="7"/>
  <c r="AC73" i="7"/>
  <c r="AB73" i="7"/>
  <c r="AA73" i="7"/>
  <c r="Z73" i="7"/>
  <c r="W73" i="7"/>
  <c r="V73" i="7"/>
  <c r="U73" i="7"/>
  <c r="T73" i="7"/>
  <c r="Q73" i="7"/>
  <c r="P73" i="7"/>
  <c r="O73" i="7"/>
  <c r="N73" i="7"/>
  <c r="K73" i="7"/>
  <c r="J73" i="7"/>
  <c r="I73" i="7"/>
  <c r="H73" i="7"/>
  <c r="E73" i="7"/>
  <c r="D73" i="7"/>
  <c r="C73" i="7"/>
  <c r="AH72" i="7"/>
  <c r="AG72" i="7"/>
  <c r="AF72" i="7"/>
  <c r="AC72" i="7"/>
  <c r="AB72" i="7"/>
  <c r="AA72" i="7"/>
  <c r="Z72" i="7"/>
  <c r="W72" i="7"/>
  <c r="V72" i="7"/>
  <c r="U72" i="7"/>
  <c r="T72" i="7"/>
  <c r="Q72" i="7"/>
  <c r="P72" i="7"/>
  <c r="O72" i="7"/>
  <c r="N72" i="7"/>
  <c r="K72" i="7"/>
  <c r="J72" i="7"/>
  <c r="I72" i="7"/>
  <c r="H72" i="7"/>
  <c r="D72" i="7"/>
  <c r="C72" i="7"/>
  <c r="B72" i="7"/>
  <c r="AH71" i="7"/>
  <c r="AG71" i="7"/>
  <c r="AF71" i="7"/>
  <c r="AC71" i="7"/>
  <c r="AB71" i="7"/>
  <c r="AA71" i="7"/>
  <c r="Z71" i="7"/>
  <c r="W71" i="7"/>
  <c r="V71" i="7"/>
  <c r="U71" i="7"/>
  <c r="T71" i="7"/>
  <c r="Q71" i="7"/>
  <c r="P71" i="7"/>
  <c r="O71" i="7"/>
  <c r="N71" i="7"/>
  <c r="K71" i="7"/>
  <c r="J71" i="7"/>
  <c r="I71" i="7"/>
  <c r="H71" i="7"/>
  <c r="D71" i="7"/>
  <c r="C71" i="7"/>
  <c r="B71" i="7"/>
  <c r="AI70" i="7"/>
  <c r="AH70" i="7"/>
  <c r="AC70" i="7"/>
  <c r="AB70" i="7"/>
  <c r="AA70" i="7"/>
  <c r="Z70" i="7"/>
  <c r="W70" i="7"/>
  <c r="V70" i="7"/>
  <c r="U70" i="7"/>
  <c r="T70" i="7"/>
  <c r="Q70" i="7"/>
  <c r="P70" i="7"/>
  <c r="O70" i="7"/>
  <c r="N70" i="7"/>
  <c r="K70" i="7"/>
  <c r="J70" i="7"/>
  <c r="I70" i="7"/>
  <c r="H70" i="7"/>
  <c r="E70" i="7"/>
  <c r="D70" i="7"/>
  <c r="C70" i="7"/>
  <c r="AC69" i="7"/>
  <c r="AB69" i="7"/>
  <c r="AA69" i="7"/>
  <c r="Z69" i="7"/>
  <c r="W69" i="7"/>
  <c r="V69" i="7"/>
  <c r="U69" i="7"/>
  <c r="T69" i="7"/>
  <c r="Q69" i="7"/>
  <c r="P69" i="7"/>
  <c r="O69" i="7"/>
  <c r="N69" i="7"/>
  <c r="K69" i="7"/>
  <c r="J69" i="7"/>
  <c r="I69" i="7"/>
  <c r="H69" i="7"/>
  <c r="B69" i="7"/>
  <c r="AI68" i="7"/>
  <c r="AC68" i="7"/>
  <c r="AB68" i="7"/>
  <c r="AA68" i="7"/>
  <c r="Z68" i="7"/>
  <c r="W68" i="7"/>
  <c r="V68" i="7"/>
  <c r="U68" i="7"/>
  <c r="T68" i="7"/>
  <c r="Q68" i="7"/>
  <c r="P68" i="7"/>
  <c r="O68" i="7"/>
  <c r="N68" i="7"/>
  <c r="K68" i="7"/>
  <c r="J68" i="7"/>
  <c r="I68" i="7"/>
  <c r="H68" i="7"/>
  <c r="E68" i="7"/>
  <c r="D68" i="7"/>
  <c r="C68" i="7"/>
  <c r="B68" i="7"/>
  <c r="AI67" i="7"/>
  <c r="AH67" i="7"/>
  <c r="AG67" i="7"/>
  <c r="AC67" i="7"/>
  <c r="AB67" i="7"/>
  <c r="AA67" i="7"/>
  <c r="Z67" i="7"/>
  <c r="W67" i="7"/>
  <c r="V67" i="7"/>
  <c r="U67" i="7"/>
  <c r="T67" i="7"/>
  <c r="Q67" i="7"/>
  <c r="K67" i="7"/>
  <c r="J67" i="7"/>
  <c r="I67" i="7"/>
  <c r="H67" i="7"/>
  <c r="E67" i="7"/>
  <c r="D67" i="7"/>
  <c r="C67" i="7"/>
  <c r="B67" i="7"/>
  <c r="AF66" i="7"/>
  <c r="AC66" i="7"/>
  <c r="AB66" i="7"/>
  <c r="AA66" i="7"/>
  <c r="Z66" i="7"/>
  <c r="W66" i="7"/>
  <c r="V66" i="7"/>
  <c r="U66" i="7"/>
  <c r="T66" i="7"/>
  <c r="O66" i="7"/>
  <c r="N66" i="7"/>
  <c r="K66" i="7"/>
  <c r="J66" i="7"/>
  <c r="I66" i="7"/>
  <c r="H66" i="7"/>
  <c r="D66" i="7"/>
  <c r="AF65" i="7"/>
  <c r="AC65" i="7"/>
  <c r="AB65" i="7"/>
  <c r="AA65" i="7"/>
  <c r="Z65" i="7"/>
  <c r="U65" i="7"/>
  <c r="T65" i="7"/>
  <c r="N65" i="7"/>
  <c r="J65" i="7"/>
  <c r="I65" i="7"/>
  <c r="D65" i="7"/>
  <c r="C65" i="7"/>
  <c r="B65" i="7"/>
  <c r="AI64" i="7"/>
  <c r="AC64" i="7"/>
  <c r="AB64" i="7"/>
  <c r="AA64" i="7"/>
  <c r="Z64" i="7"/>
  <c r="W64" i="7"/>
  <c r="V64" i="7"/>
  <c r="U64" i="7"/>
  <c r="T64" i="7"/>
  <c r="K64" i="7"/>
  <c r="H64" i="7"/>
  <c r="E64" i="7"/>
  <c r="D64" i="7"/>
  <c r="B64" i="7"/>
  <c r="AI63" i="7"/>
  <c r="AH63" i="7"/>
  <c r="AC63" i="7"/>
  <c r="AB63" i="7"/>
  <c r="AA63" i="7"/>
  <c r="Z63" i="7"/>
  <c r="V63" i="7"/>
  <c r="U63" i="7"/>
  <c r="T63" i="7"/>
  <c r="Q63" i="7"/>
  <c r="H63" i="7"/>
  <c r="E63" i="7"/>
  <c r="D63" i="7"/>
  <c r="C63" i="7"/>
  <c r="B63" i="7"/>
  <c r="AI62" i="7"/>
  <c r="AH62" i="7"/>
  <c r="AC62" i="7"/>
  <c r="AB62" i="7"/>
  <c r="AA62" i="7"/>
  <c r="Z62" i="7"/>
  <c r="W62" i="7"/>
  <c r="V62" i="7"/>
  <c r="U62" i="7"/>
  <c r="T62" i="7"/>
  <c r="N62" i="7"/>
  <c r="K62" i="7"/>
  <c r="E62" i="7"/>
  <c r="D62" i="7"/>
  <c r="C62" i="7"/>
  <c r="AG61" i="7"/>
  <c r="AF61" i="7"/>
  <c r="AC61" i="7"/>
  <c r="AB61" i="7"/>
  <c r="AA61" i="7"/>
  <c r="Z61" i="7"/>
  <c r="V61" i="7"/>
  <c r="P61" i="7"/>
  <c r="O61" i="7"/>
  <c r="N61" i="7"/>
  <c r="K61" i="7"/>
  <c r="J61" i="7"/>
  <c r="I61" i="7"/>
  <c r="D61" i="7"/>
  <c r="AH60" i="7"/>
  <c r="AG60" i="7"/>
  <c r="AF60" i="7"/>
  <c r="AC60" i="7"/>
  <c r="AB60" i="7"/>
  <c r="AA60" i="7"/>
  <c r="Z60" i="7"/>
  <c r="P60" i="7"/>
  <c r="O60" i="7"/>
  <c r="N60" i="7"/>
  <c r="J60" i="7"/>
  <c r="I60" i="7"/>
  <c r="D60" i="7"/>
  <c r="C60" i="7"/>
  <c r="B60" i="7"/>
  <c r="AF59" i="7"/>
  <c r="AC59" i="7"/>
  <c r="AB59" i="7"/>
  <c r="AA59" i="7"/>
  <c r="Z59" i="7"/>
  <c r="W59" i="7"/>
  <c r="V59" i="7"/>
  <c r="O59" i="7"/>
  <c r="N59" i="7"/>
  <c r="K59" i="7"/>
  <c r="H59" i="7"/>
  <c r="E59" i="7"/>
  <c r="D59" i="7"/>
  <c r="B59" i="7"/>
  <c r="AF58" i="7"/>
  <c r="AC58" i="7"/>
  <c r="AB58" i="7"/>
  <c r="AA58" i="7"/>
  <c r="Z58" i="7"/>
  <c r="V58" i="7"/>
  <c r="U58" i="7"/>
  <c r="O58" i="7"/>
  <c r="J58" i="7"/>
  <c r="H58" i="7"/>
  <c r="E58" i="7"/>
  <c r="D58" i="7"/>
  <c r="C58" i="7"/>
  <c r="B58" i="7"/>
  <c r="AA57" i="7"/>
  <c r="Z57" i="7"/>
  <c r="W57" i="7"/>
  <c r="V57" i="7"/>
  <c r="U57" i="7"/>
  <c r="T57" i="7"/>
  <c r="Q57" i="7"/>
  <c r="H57" i="7"/>
  <c r="E57" i="7"/>
  <c r="D57" i="7"/>
  <c r="C57" i="7"/>
  <c r="B57" i="7"/>
  <c r="AF56" i="7"/>
  <c r="AC56" i="7"/>
  <c r="W56" i="7"/>
  <c r="V56" i="7"/>
  <c r="T56" i="7"/>
  <c r="O56" i="7"/>
  <c r="N56" i="7"/>
  <c r="K56" i="7"/>
  <c r="J56" i="7"/>
  <c r="D56" i="7"/>
  <c r="C56" i="7"/>
  <c r="AH55" i="7"/>
  <c r="AG55" i="7"/>
  <c r="AF55" i="7"/>
  <c r="AC55" i="7"/>
  <c r="AB55" i="7"/>
  <c r="Z55" i="7"/>
  <c r="P55" i="7"/>
  <c r="O55" i="7"/>
  <c r="N55" i="7"/>
  <c r="J55" i="7"/>
  <c r="I55" i="7"/>
  <c r="H55" i="7"/>
  <c r="E55" i="7"/>
  <c r="B55" i="7"/>
  <c r="AF54" i="7"/>
  <c r="AC54" i="7"/>
  <c r="AB54" i="7"/>
  <c r="AA54" i="7"/>
  <c r="Z54" i="7"/>
  <c r="U54" i="7"/>
  <c r="T54" i="7"/>
  <c r="K54" i="7"/>
  <c r="J54" i="7"/>
  <c r="I54" i="7"/>
  <c r="D54" i="7"/>
  <c r="B54" i="7"/>
  <c r="AI53" i="7"/>
  <c r="AH53" i="7"/>
  <c r="AB53" i="7"/>
  <c r="V53" i="7"/>
  <c r="U53" i="7"/>
  <c r="T53" i="7"/>
  <c r="Q53" i="7"/>
  <c r="P53" i="7"/>
  <c r="O53" i="7"/>
  <c r="E53" i="7"/>
  <c r="D53" i="7"/>
  <c r="C53" i="7"/>
  <c r="B53" i="7"/>
  <c r="AI52" i="7"/>
  <c r="AH52" i="7"/>
  <c r="AG52" i="7"/>
  <c r="AF52" i="7"/>
  <c r="U52" i="7"/>
  <c r="T52" i="7"/>
  <c r="Q52" i="7"/>
  <c r="P52" i="7"/>
  <c r="N52" i="7"/>
  <c r="I52" i="7"/>
  <c r="H52" i="7"/>
  <c r="E52" i="7"/>
  <c r="D52" i="7"/>
  <c r="C52" i="7"/>
  <c r="B52" i="7"/>
  <c r="AH51" i="7"/>
  <c r="AG51" i="7"/>
  <c r="AB51" i="7"/>
  <c r="AA51" i="7"/>
  <c r="Z51" i="7"/>
  <c r="W51" i="7"/>
  <c r="P51" i="7"/>
  <c r="K51" i="7"/>
  <c r="J51" i="7"/>
  <c r="I51" i="7"/>
  <c r="H51" i="7"/>
  <c r="D51" i="7"/>
  <c r="C51" i="7"/>
  <c r="B51" i="7"/>
  <c r="AC50" i="7"/>
  <c r="AB50" i="7"/>
  <c r="Z50" i="7"/>
  <c r="W50" i="7"/>
  <c r="V50" i="7"/>
  <c r="U50" i="7"/>
  <c r="T50" i="7"/>
  <c r="I50" i="7"/>
  <c r="H50" i="7"/>
  <c r="E50" i="7"/>
  <c r="D50" i="7"/>
  <c r="C50" i="7"/>
  <c r="AH49" i="7"/>
  <c r="AF49" i="7"/>
  <c r="Z49" i="7"/>
  <c r="W49" i="7"/>
  <c r="V49" i="7"/>
  <c r="P49" i="7"/>
  <c r="O49" i="7"/>
  <c r="N49" i="7"/>
  <c r="K49" i="7"/>
  <c r="E49" i="7"/>
  <c r="AI48" i="7"/>
  <c r="AH48" i="7"/>
  <c r="AG48" i="7"/>
  <c r="AF48" i="7"/>
  <c r="AC48" i="7"/>
  <c r="AB48" i="7"/>
  <c r="Q48" i="7"/>
  <c r="P48" i="7"/>
  <c r="O48" i="7"/>
  <c r="N48" i="7"/>
  <c r="K48" i="7"/>
  <c r="J48" i="7"/>
  <c r="H48" i="7"/>
  <c r="C48" i="7"/>
  <c r="B48" i="7"/>
  <c r="AH47" i="7"/>
  <c r="AG47" i="7"/>
  <c r="AF47" i="7"/>
  <c r="AB47" i="7"/>
  <c r="AA47" i="7"/>
  <c r="V47" i="7"/>
  <c r="U47" i="7"/>
  <c r="N47" i="7"/>
  <c r="K47" i="7"/>
  <c r="J47" i="7"/>
  <c r="E47" i="7"/>
  <c r="D47" i="7"/>
  <c r="C47" i="7"/>
  <c r="B47" i="7"/>
  <c r="AC46" i="7"/>
  <c r="Z46" i="7"/>
  <c r="W46" i="7"/>
  <c r="V46" i="7"/>
  <c r="T46" i="7"/>
  <c r="Q46" i="7"/>
  <c r="P46" i="7"/>
  <c r="H46" i="7"/>
  <c r="D46" i="7"/>
  <c r="C46" i="7"/>
  <c r="B46" i="7"/>
  <c r="AI45" i="7"/>
  <c r="AH45" i="7"/>
  <c r="AG45" i="7"/>
  <c r="V45" i="7"/>
  <c r="U45" i="7"/>
  <c r="T45" i="7"/>
  <c r="Q45" i="7"/>
  <c r="P45" i="7"/>
  <c r="K45" i="7"/>
  <c r="J45" i="7"/>
  <c r="E45" i="7"/>
  <c r="D45" i="7"/>
  <c r="C45" i="7"/>
  <c r="B45" i="7"/>
  <c r="AG44" i="7"/>
  <c r="AF44" i="7"/>
  <c r="AC44" i="7"/>
  <c r="AB44" i="7"/>
  <c r="V44" i="7"/>
  <c r="Q44" i="7"/>
  <c r="P44" i="7"/>
  <c r="O44" i="7"/>
  <c r="N44" i="7"/>
  <c r="K44" i="7"/>
  <c r="J44" i="7"/>
  <c r="C44" i="7"/>
  <c r="B44" i="7"/>
  <c r="AI43" i="7"/>
  <c r="AH43" i="7"/>
  <c r="AG43" i="7"/>
  <c r="AF43" i="7"/>
  <c r="AC43" i="7"/>
  <c r="AB43" i="7"/>
  <c r="T43" i="7"/>
  <c r="Q43" i="7"/>
  <c r="P43" i="7"/>
  <c r="O43" i="7"/>
  <c r="N43" i="7"/>
  <c r="I43" i="7"/>
  <c r="H43" i="7"/>
  <c r="E43" i="7"/>
  <c r="D43" i="7"/>
  <c r="C43" i="7"/>
  <c r="B43" i="7"/>
  <c r="AI42" i="7"/>
  <c r="AH42" i="7"/>
  <c r="AC42" i="7"/>
  <c r="AB42" i="7"/>
  <c r="AA42" i="7"/>
  <c r="Z42" i="7"/>
  <c r="T42" i="7"/>
  <c r="O42" i="7"/>
  <c r="N42" i="7"/>
  <c r="K42" i="7"/>
  <c r="J42" i="7"/>
  <c r="I42" i="7"/>
  <c r="H42" i="7"/>
  <c r="E42" i="7"/>
  <c r="D42" i="7"/>
  <c r="AH41" i="7"/>
  <c r="AG41" i="7"/>
  <c r="AF41" i="7"/>
  <c r="AC41" i="7"/>
  <c r="AB41" i="7"/>
  <c r="AA41" i="7"/>
  <c r="Z41" i="7"/>
  <c r="P41" i="7"/>
  <c r="O41" i="7"/>
  <c r="N41" i="7"/>
  <c r="K41" i="7"/>
  <c r="J41" i="7"/>
  <c r="E41" i="7"/>
  <c r="D41" i="7"/>
  <c r="C41" i="7"/>
  <c r="B41" i="7"/>
  <c r="AH40" i="7"/>
  <c r="AG40" i="7"/>
  <c r="AF40" i="7"/>
  <c r="AA40" i="7"/>
  <c r="Z40" i="7"/>
  <c r="W40" i="7"/>
  <c r="V40" i="7"/>
  <c r="P40" i="7"/>
  <c r="K40" i="7"/>
  <c r="J40" i="7"/>
  <c r="I40" i="7"/>
  <c r="H40" i="7"/>
  <c r="E40" i="7"/>
  <c r="D40" i="7"/>
  <c r="C40" i="7"/>
  <c r="B40" i="7"/>
  <c r="AF39" i="7"/>
  <c r="AC39" i="7"/>
  <c r="AB39" i="7"/>
  <c r="AA39" i="7"/>
  <c r="Z39" i="7"/>
  <c r="W39" i="7"/>
  <c r="V39" i="7"/>
  <c r="N39" i="7"/>
  <c r="K39" i="7"/>
  <c r="J39" i="7"/>
  <c r="I39" i="7"/>
  <c r="H39" i="7"/>
  <c r="C39" i="7"/>
  <c r="B39" i="7"/>
  <c r="AF38" i="7"/>
  <c r="AC38" i="7"/>
  <c r="AB38" i="7"/>
  <c r="W38" i="7"/>
  <c r="V38" i="7"/>
  <c r="U38" i="7"/>
  <c r="T38" i="7"/>
  <c r="N38" i="7"/>
  <c r="I38" i="7"/>
  <c r="H38" i="7"/>
  <c r="E38" i="7"/>
  <c r="D38" i="7"/>
  <c r="C38" i="7"/>
  <c r="B38" i="7"/>
  <c r="AB37" i="7"/>
  <c r="AA37" i="7"/>
  <c r="Z37" i="7"/>
  <c r="W37" i="7"/>
  <c r="V37" i="7"/>
  <c r="U37" i="7"/>
  <c r="T37" i="7"/>
  <c r="J37" i="7"/>
  <c r="I37" i="7"/>
  <c r="H37" i="7"/>
  <c r="E37" i="7"/>
  <c r="D37" i="7"/>
  <c r="AI36" i="7"/>
  <c r="AH36" i="7"/>
  <c r="AB36" i="7"/>
  <c r="AA36" i="7"/>
  <c r="Z36" i="7"/>
  <c r="U36" i="7"/>
  <c r="T36" i="7"/>
  <c r="Q36" i="7"/>
  <c r="P36" i="7"/>
  <c r="J36" i="7"/>
  <c r="E36" i="7"/>
  <c r="D36" i="7"/>
  <c r="C36" i="7"/>
  <c r="B36" i="7"/>
  <c r="AI35" i="7"/>
  <c r="AH35" i="7"/>
  <c r="Z35" i="7"/>
  <c r="W35" i="7"/>
  <c r="V35" i="7"/>
  <c r="U35" i="7"/>
  <c r="T35" i="7"/>
  <c r="Q35" i="7"/>
  <c r="P35" i="7"/>
  <c r="H35" i="7"/>
  <c r="E35" i="7"/>
  <c r="D35" i="7"/>
  <c r="C35" i="7"/>
  <c r="B35" i="7"/>
  <c r="AI34" i="7"/>
  <c r="AG34" i="7"/>
  <c r="AA34" i="7"/>
  <c r="Z34" i="7"/>
  <c r="W34" i="7"/>
  <c r="V34" i="7"/>
  <c r="U34" i="7"/>
  <c r="Q34" i="7"/>
  <c r="P34" i="7"/>
  <c r="J34" i="7"/>
  <c r="I34" i="7"/>
  <c r="H34" i="7"/>
  <c r="E34" i="7"/>
  <c r="C34" i="7"/>
  <c r="B34" i="7"/>
  <c r="AI33" i="7"/>
  <c r="AC33" i="7"/>
  <c r="AB33" i="7"/>
  <c r="AA33" i="7"/>
  <c r="W33" i="7"/>
  <c r="V33" i="7"/>
  <c r="U33" i="7"/>
  <c r="T33" i="7"/>
  <c r="N33" i="7"/>
  <c r="K33" i="7"/>
  <c r="I33" i="7"/>
  <c r="H33" i="7"/>
  <c r="E33" i="7"/>
  <c r="D33" i="7"/>
  <c r="C33" i="7"/>
  <c r="B33" i="7"/>
  <c r="AG32" i="7"/>
  <c r="AC32" i="7"/>
  <c r="AB32" i="7"/>
  <c r="AA32" i="7"/>
  <c r="Z32" i="7"/>
  <c r="W32" i="7"/>
  <c r="V32" i="7"/>
  <c r="O32" i="7"/>
  <c r="N32" i="7"/>
  <c r="K32" i="7"/>
  <c r="J32" i="7"/>
  <c r="I32" i="7"/>
  <c r="H32" i="7"/>
  <c r="E32" i="7"/>
  <c r="D32" i="7"/>
  <c r="C32" i="7"/>
  <c r="AH31" i="7"/>
  <c r="AG31" i="7"/>
  <c r="AF31" i="7"/>
  <c r="AC31" i="7"/>
  <c r="AB31" i="7"/>
  <c r="AA31" i="7"/>
  <c r="Z31" i="7"/>
  <c r="Q31" i="7"/>
  <c r="P31" i="7"/>
  <c r="O31" i="7"/>
  <c r="N31" i="7"/>
  <c r="K31" i="7"/>
  <c r="J31" i="7"/>
  <c r="I31" i="7"/>
  <c r="E31" i="7"/>
  <c r="D31" i="7"/>
  <c r="C31" i="7"/>
  <c r="B31" i="7"/>
  <c r="AI30" i="7"/>
  <c r="AH30" i="7"/>
  <c r="AG30" i="7"/>
  <c r="AF30" i="7"/>
  <c r="AC30" i="7"/>
  <c r="AA30" i="7"/>
  <c r="U30" i="7"/>
  <c r="T30" i="7"/>
  <c r="Q30" i="7"/>
  <c r="P30" i="7"/>
  <c r="O30" i="7"/>
  <c r="K30" i="7"/>
  <c r="J30" i="7"/>
  <c r="E30" i="7"/>
  <c r="D30" i="7"/>
  <c r="C30" i="7"/>
  <c r="B30" i="7"/>
  <c r="AI29" i="7"/>
  <c r="AG29" i="7"/>
  <c r="AF29" i="7"/>
  <c r="AC29" i="7"/>
  <c r="W29" i="7"/>
  <c r="V29" i="7"/>
  <c r="U29" i="7"/>
  <c r="Q29" i="7"/>
  <c r="P29" i="7"/>
  <c r="O29" i="7"/>
  <c r="N29" i="7"/>
  <c r="H29" i="7"/>
  <c r="E29" i="7"/>
  <c r="C29" i="7"/>
  <c r="B29" i="7"/>
  <c r="AI28" i="7"/>
  <c r="AH28" i="7"/>
  <c r="AG28" i="7"/>
  <c r="AA28" i="7"/>
  <c r="W28" i="7"/>
  <c r="V28" i="7"/>
  <c r="U28" i="7"/>
  <c r="T28" i="7"/>
  <c r="Q28" i="7"/>
  <c r="P28" i="7"/>
  <c r="I28" i="7"/>
  <c r="H28" i="7"/>
  <c r="E28" i="7"/>
  <c r="D28" i="7"/>
  <c r="C28" i="7"/>
  <c r="B28" i="7"/>
  <c r="AI27" i="7"/>
  <c r="AB27" i="7"/>
  <c r="AA27" i="7"/>
  <c r="Z27" i="7"/>
  <c r="W27" i="7"/>
  <c r="V27" i="7"/>
  <c r="U27" i="7"/>
  <c r="T27" i="7"/>
  <c r="K27" i="7"/>
  <c r="J27" i="7"/>
  <c r="I27" i="7"/>
  <c r="H27" i="7"/>
  <c r="E27" i="7"/>
  <c r="D27" i="7"/>
  <c r="C27" i="7"/>
  <c r="AF26" i="7"/>
  <c r="AC26" i="7"/>
  <c r="AB26" i="7"/>
  <c r="AA26" i="7"/>
  <c r="Z26" i="7"/>
  <c r="W26" i="7"/>
  <c r="U26" i="7"/>
  <c r="O26" i="7"/>
  <c r="N26" i="7"/>
  <c r="K26" i="7"/>
  <c r="J26" i="7"/>
  <c r="I26" i="7"/>
  <c r="E26" i="7"/>
  <c r="D26" i="7"/>
  <c r="C26" i="7"/>
  <c r="B26" i="7"/>
  <c r="AH25" i="7"/>
  <c r="AG25" i="7"/>
  <c r="AF25" i="7"/>
  <c r="AC25" i="7"/>
  <c r="AA25" i="7"/>
  <c r="Z25" i="7"/>
  <c r="W25" i="7"/>
  <c r="Q25" i="7"/>
  <c r="P25" i="7"/>
  <c r="O25" i="7"/>
  <c r="K25" i="7"/>
  <c r="J25" i="7"/>
  <c r="I25" i="7"/>
  <c r="H25" i="7"/>
  <c r="E25" i="7"/>
  <c r="D25" i="7"/>
  <c r="C25" i="7"/>
  <c r="B25" i="7"/>
  <c r="AI24" i="7"/>
  <c r="AG24" i="7"/>
  <c r="AF24" i="7"/>
  <c r="AC24" i="7"/>
  <c r="AB24" i="7"/>
  <c r="AA24" i="7"/>
  <c r="U24" i="7"/>
  <c r="Q24" i="7"/>
  <c r="P24" i="7"/>
  <c r="O24" i="7"/>
  <c r="N24" i="7"/>
  <c r="K24" i="7"/>
  <c r="J24" i="7"/>
  <c r="E24" i="7"/>
  <c r="C24" i="7"/>
  <c r="B24" i="7"/>
  <c r="AI23" i="7"/>
  <c r="AH23" i="7"/>
  <c r="AG23" i="7"/>
  <c r="AF23" i="7"/>
  <c r="AC23" i="7"/>
  <c r="V23" i="7"/>
  <c r="U23" i="7"/>
  <c r="T23" i="7"/>
  <c r="Q23" i="7"/>
  <c r="P23" i="7"/>
  <c r="O23" i="7"/>
  <c r="N23" i="7"/>
  <c r="E23" i="7"/>
  <c r="D23" i="7"/>
  <c r="C23" i="7"/>
  <c r="B23" i="7"/>
  <c r="AI22" i="7"/>
  <c r="AH22" i="7"/>
  <c r="AG22" i="7"/>
  <c r="Z22" i="7"/>
  <c r="W22" i="7"/>
  <c r="V22" i="7"/>
  <c r="U22" i="7"/>
  <c r="T22" i="7"/>
  <c r="Q22" i="7"/>
  <c r="O22" i="7"/>
  <c r="I22" i="7"/>
  <c r="H22" i="7"/>
  <c r="E22" i="7"/>
  <c r="D22" i="7"/>
  <c r="C22" i="7"/>
  <c r="AI21" i="7"/>
  <c r="AH21" i="7"/>
  <c r="AB21" i="7"/>
  <c r="AA21" i="7"/>
  <c r="Z21" i="7"/>
  <c r="W21" i="7"/>
  <c r="U21" i="7"/>
  <c r="T21" i="7"/>
  <c r="Q21" i="7"/>
  <c r="K21" i="7"/>
  <c r="J21" i="7"/>
  <c r="I21" i="7"/>
  <c r="E21" i="7"/>
  <c r="D21" i="7"/>
  <c r="C21" i="7"/>
  <c r="B21" i="7"/>
  <c r="AF20" i="7"/>
  <c r="AC20" i="7"/>
  <c r="AA20" i="7"/>
  <c r="Z20" i="7"/>
  <c r="W20" i="7"/>
  <c r="V20" i="7"/>
  <c r="U20" i="7"/>
  <c r="O20" i="7"/>
  <c r="K20" i="7"/>
  <c r="J20" i="7"/>
  <c r="I20" i="7"/>
  <c r="H20" i="7"/>
  <c r="E20" i="7"/>
  <c r="D20" i="7"/>
  <c r="C20" i="7"/>
  <c r="B20" i="7"/>
  <c r="AG19" i="7"/>
  <c r="AF19" i="7"/>
  <c r="AC19" i="7"/>
  <c r="AB19" i="7"/>
  <c r="AA19" i="7"/>
  <c r="Z19" i="7"/>
  <c r="W19" i="7"/>
  <c r="Q19" i="7"/>
  <c r="P19" i="7"/>
  <c r="O19" i="7"/>
  <c r="N19" i="7"/>
  <c r="K19" i="7"/>
  <c r="J19" i="7"/>
  <c r="I19" i="7"/>
  <c r="H19" i="7"/>
  <c r="E19" i="7"/>
  <c r="C19" i="7"/>
  <c r="B19" i="7"/>
  <c r="AI18" i="7"/>
  <c r="AH18" i="7"/>
  <c r="AG18" i="7"/>
  <c r="AF18" i="7"/>
  <c r="AC18" i="7"/>
  <c r="AB18" i="7"/>
  <c r="AA18" i="7"/>
  <c r="U18" i="7"/>
  <c r="T18" i="7"/>
  <c r="Q18" i="7"/>
  <c r="P18" i="7"/>
  <c r="O18" i="7"/>
  <c r="N18" i="7"/>
  <c r="K18" i="7"/>
  <c r="I18" i="7"/>
  <c r="E18" i="7"/>
  <c r="D18" i="7"/>
  <c r="C18" i="7"/>
  <c r="B18" i="7"/>
  <c r="AI17" i="7"/>
  <c r="AH17" i="7"/>
  <c r="AG17" i="7"/>
  <c r="AC17" i="7"/>
  <c r="AB17" i="7"/>
  <c r="W17" i="7"/>
  <c r="V17" i="7"/>
  <c r="U17" i="7"/>
  <c r="T17" i="7"/>
  <c r="Q17" i="7"/>
  <c r="O17" i="7"/>
  <c r="N17" i="7"/>
  <c r="K17" i="7"/>
  <c r="H17" i="7"/>
  <c r="E17" i="7"/>
  <c r="D17" i="7"/>
  <c r="C17" i="7"/>
  <c r="AI16" i="7"/>
  <c r="AH16" i="7"/>
  <c r="AG16" i="7"/>
  <c r="AF16" i="7"/>
  <c r="AA16" i="7"/>
  <c r="Z16" i="7"/>
  <c r="W16" i="7"/>
  <c r="U16" i="7"/>
  <c r="T16" i="7"/>
  <c r="Q16" i="7"/>
  <c r="P16" i="7"/>
  <c r="O16" i="7"/>
  <c r="J16" i="7"/>
  <c r="I16" i="7"/>
  <c r="E16" i="7"/>
  <c r="D16" i="7"/>
  <c r="C16" i="7"/>
  <c r="B16" i="7"/>
  <c r="AI15" i="7"/>
  <c r="AH15" i="7"/>
  <c r="AC15" i="7"/>
  <c r="AA15" i="7"/>
  <c r="Z15" i="7"/>
  <c r="W15" i="7"/>
  <c r="V15" i="7"/>
  <c r="U15" i="7"/>
  <c r="T15" i="7"/>
  <c r="Q15" i="7"/>
  <c r="K15" i="7"/>
  <c r="J15" i="7"/>
  <c r="I15" i="7"/>
  <c r="H15" i="7"/>
  <c r="E15" i="7"/>
  <c r="D15" i="7"/>
  <c r="C15" i="7"/>
  <c r="B15" i="7"/>
  <c r="AF14" i="7"/>
  <c r="AC14" i="7"/>
  <c r="AB14" i="7"/>
  <c r="AA14" i="7"/>
  <c r="Z14" i="7"/>
  <c r="W14" i="7"/>
  <c r="V14" i="7"/>
  <c r="U14" i="7"/>
  <c r="O14" i="7"/>
  <c r="N14" i="7"/>
  <c r="K14" i="7"/>
  <c r="J14" i="7"/>
  <c r="I14" i="7"/>
  <c r="H14" i="7"/>
  <c r="E14" i="7"/>
  <c r="C14" i="7"/>
  <c r="B14" i="7"/>
  <c r="AH13" i="7"/>
  <c r="AG13" i="7"/>
  <c r="AF13" i="7"/>
  <c r="AC13" i="7"/>
  <c r="AB13" i="7"/>
  <c r="AA13" i="7"/>
  <c r="W13" i="7"/>
  <c r="V13" i="7"/>
  <c r="Q13" i="7"/>
  <c r="P13" i="7"/>
  <c r="O13" i="7"/>
  <c r="N13" i="7"/>
  <c r="K13" i="7"/>
  <c r="I13" i="7"/>
  <c r="H13" i="7"/>
  <c r="E13" i="7"/>
  <c r="D13" i="7"/>
  <c r="C13" i="7"/>
  <c r="B13" i="7"/>
  <c r="AI12" i="7"/>
  <c r="AH12" i="7"/>
  <c r="AG12" i="7"/>
  <c r="AC12" i="7"/>
  <c r="AB12" i="7"/>
  <c r="AA12" i="7"/>
  <c r="Z12" i="7"/>
  <c r="U12" i="7"/>
  <c r="T12" i="7"/>
  <c r="Q12" i="7"/>
  <c r="O12" i="7"/>
  <c r="N12" i="7"/>
  <c r="K12" i="7"/>
  <c r="J12" i="7"/>
  <c r="I12" i="7"/>
  <c r="E12" i="7"/>
  <c r="D12" i="7"/>
  <c r="C12" i="7"/>
  <c r="AI11" i="7"/>
  <c r="AH11" i="7"/>
  <c r="AG11" i="7"/>
  <c r="AF11" i="7"/>
  <c r="AC11" i="7"/>
  <c r="AB11" i="7"/>
  <c r="W11" i="7"/>
  <c r="U11" i="7"/>
  <c r="T11" i="7"/>
  <c r="Q11" i="7"/>
  <c r="P11" i="7"/>
  <c r="O11" i="7"/>
  <c r="N11" i="7"/>
  <c r="K11" i="7"/>
  <c r="E11" i="7"/>
  <c r="D11" i="7"/>
  <c r="C11" i="7"/>
  <c r="B11" i="7"/>
  <c r="AI10" i="7"/>
  <c r="AH10" i="7"/>
  <c r="AG10" i="7"/>
  <c r="AF10" i="7"/>
  <c r="Z10" i="7"/>
  <c r="W10" i="7"/>
  <c r="V10" i="7"/>
  <c r="U10" i="7"/>
  <c r="T10" i="7"/>
  <c r="Q10" i="7"/>
  <c r="P10" i="7"/>
  <c r="O10" i="7"/>
  <c r="I10" i="7"/>
  <c r="H10" i="7"/>
  <c r="E10" i="7"/>
  <c r="D10" i="7"/>
  <c r="C10" i="7"/>
  <c r="B10" i="7"/>
  <c r="AI9" i="7"/>
  <c r="AG9" i="7"/>
  <c r="AB9" i="7"/>
  <c r="AA9" i="7"/>
  <c r="Z9" i="7"/>
  <c r="W9" i="7"/>
  <c r="V9" i="7"/>
  <c r="U9" i="7"/>
  <c r="Q9" i="7"/>
  <c r="P9" i="7"/>
  <c r="K9" i="7"/>
  <c r="J9" i="7"/>
  <c r="I9" i="7"/>
  <c r="H9" i="7"/>
  <c r="E9" i="7"/>
  <c r="C9" i="7"/>
  <c r="B9" i="7"/>
  <c r="AI8" i="7"/>
  <c r="AF8" i="7"/>
  <c r="AC8" i="7"/>
  <c r="AB8" i="7"/>
  <c r="AA8" i="7"/>
  <c r="W8" i="7"/>
  <c r="V8" i="7"/>
  <c r="U8" i="7"/>
  <c r="T8" i="7"/>
  <c r="O8" i="7"/>
  <c r="N8" i="7"/>
  <c r="K8" i="7"/>
  <c r="I8" i="7"/>
  <c r="H8" i="7"/>
  <c r="E8" i="7"/>
  <c r="D8" i="7"/>
  <c r="C8" i="7"/>
  <c r="B8" i="7"/>
  <c r="AH7" i="7"/>
  <c r="AG7" i="7"/>
  <c r="AC7" i="7"/>
  <c r="AB7" i="7"/>
  <c r="AA7" i="7"/>
  <c r="Z7" i="7"/>
  <c r="W7" i="7"/>
  <c r="V7" i="7"/>
  <c r="Q7" i="7"/>
  <c r="O7" i="7"/>
  <c r="N7" i="7"/>
  <c r="K7" i="7"/>
  <c r="J7" i="7"/>
  <c r="I7" i="7"/>
  <c r="H7" i="7"/>
  <c r="E7" i="7"/>
  <c r="D7" i="7"/>
  <c r="C7" i="7"/>
  <c r="U223" i="6"/>
  <c r="U230" i="9" s="1"/>
  <c r="T223" i="6"/>
  <c r="T230" i="9" s="1"/>
  <c r="S223" i="6"/>
  <c r="S230" i="9" s="1"/>
  <c r="R223" i="6"/>
  <c r="R230" i="9" s="1"/>
  <c r="Q223" i="6"/>
  <c r="Q230" i="9" s="1"/>
  <c r="P223" i="6"/>
  <c r="P230" i="9" s="1"/>
  <c r="O223" i="6"/>
  <c r="O230" i="9" s="1"/>
  <c r="N223" i="6"/>
  <c r="N230" i="9" s="1"/>
  <c r="M223" i="6"/>
  <c r="M230" i="9" s="1"/>
  <c r="L223" i="6"/>
  <c r="L230" i="9" s="1"/>
  <c r="K230" i="9"/>
  <c r="J230" i="9"/>
  <c r="G230" i="9"/>
  <c r="D223" i="6"/>
  <c r="D230" i="9" s="1"/>
  <c r="U222" i="6"/>
  <c r="U229" i="9" s="1"/>
  <c r="T222" i="6"/>
  <c r="T229" i="9" s="1"/>
  <c r="S222" i="6"/>
  <c r="S229" i="9" s="1"/>
  <c r="R222" i="6"/>
  <c r="R229" i="9" s="1"/>
  <c r="Q222" i="6"/>
  <c r="Q229" i="9" s="1"/>
  <c r="P222" i="6"/>
  <c r="P229" i="9" s="1"/>
  <c r="O222" i="6"/>
  <c r="O229" i="9" s="1"/>
  <c r="N222" i="6"/>
  <c r="N229" i="9" s="1"/>
  <c r="M222" i="6"/>
  <c r="M229" i="9" s="1"/>
  <c r="L222" i="6"/>
  <c r="L229" i="9" s="1"/>
  <c r="K229" i="9"/>
  <c r="J229" i="9"/>
  <c r="G229" i="9"/>
  <c r="D222" i="6"/>
  <c r="D229" i="9" s="1"/>
  <c r="U221" i="6"/>
  <c r="U228" i="9" s="1"/>
  <c r="T221" i="6"/>
  <c r="T228" i="9" s="1"/>
  <c r="S221" i="6"/>
  <c r="S228" i="9" s="1"/>
  <c r="R221" i="6"/>
  <c r="R228" i="9" s="1"/>
  <c r="Q221" i="6"/>
  <c r="Q228" i="9" s="1"/>
  <c r="P221" i="6"/>
  <c r="P228" i="9" s="1"/>
  <c r="O221" i="6"/>
  <c r="O228" i="9" s="1"/>
  <c r="N221" i="6"/>
  <c r="N228" i="9" s="1"/>
  <c r="M221" i="6"/>
  <c r="M228" i="9" s="1"/>
  <c r="L221" i="6"/>
  <c r="L228" i="9" s="1"/>
  <c r="K228" i="9"/>
  <c r="J228" i="9"/>
  <c r="G228" i="9"/>
  <c r="D221" i="6"/>
  <c r="D228" i="9" s="1"/>
  <c r="U220" i="6"/>
  <c r="U227" i="9" s="1"/>
  <c r="T220" i="6"/>
  <c r="T227" i="9" s="1"/>
  <c r="S220" i="6"/>
  <c r="S227" i="9" s="1"/>
  <c r="R220" i="6"/>
  <c r="R227" i="9" s="1"/>
  <c r="Q220" i="6"/>
  <c r="Q227" i="9" s="1"/>
  <c r="P220" i="6"/>
  <c r="P227" i="9" s="1"/>
  <c r="O220" i="6"/>
  <c r="O227" i="9" s="1"/>
  <c r="N220" i="6"/>
  <c r="N227" i="9" s="1"/>
  <c r="M220" i="6"/>
  <c r="M227" i="9" s="1"/>
  <c r="L220" i="6"/>
  <c r="L227" i="9" s="1"/>
  <c r="K227" i="9"/>
  <c r="J227" i="9"/>
  <c r="G227" i="9"/>
  <c r="D220" i="6"/>
  <c r="D227" i="9" s="1"/>
  <c r="U219" i="6"/>
  <c r="U226" i="9" s="1"/>
  <c r="T219" i="6"/>
  <c r="T226" i="9" s="1"/>
  <c r="S219" i="6"/>
  <c r="S226" i="9" s="1"/>
  <c r="R219" i="6"/>
  <c r="R226" i="9" s="1"/>
  <c r="Q219" i="6"/>
  <c r="Q226" i="9" s="1"/>
  <c r="P219" i="6"/>
  <c r="P226" i="9" s="1"/>
  <c r="O219" i="6"/>
  <c r="O226" i="9" s="1"/>
  <c r="N219" i="6"/>
  <c r="N226" i="9" s="1"/>
  <c r="M219" i="6"/>
  <c r="M226" i="9" s="1"/>
  <c r="L219" i="6"/>
  <c r="L226" i="9" s="1"/>
  <c r="K226" i="9"/>
  <c r="J226" i="9"/>
  <c r="G226" i="9"/>
  <c r="D219" i="6"/>
  <c r="D226" i="9" s="1"/>
  <c r="U218" i="6"/>
  <c r="U225" i="9" s="1"/>
  <c r="T218" i="6"/>
  <c r="T225" i="9" s="1"/>
  <c r="S218" i="6"/>
  <c r="S225" i="9" s="1"/>
  <c r="R218" i="6"/>
  <c r="R225" i="9" s="1"/>
  <c r="Q218" i="6"/>
  <c r="Q225" i="9" s="1"/>
  <c r="P218" i="6"/>
  <c r="P225" i="9" s="1"/>
  <c r="O218" i="6"/>
  <c r="O225" i="9" s="1"/>
  <c r="N218" i="6"/>
  <c r="N225" i="9" s="1"/>
  <c r="M218" i="6"/>
  <c r="M225" i="9" s="1"/>
  <c r="L218" i="6"/>
  <c r="L225" i="9" s="1"/>
  <c r="K225" i="9"/>
  <c r="J225" i="9"/>
  <c r="G225" i="9"/>
  <c r="D218" i="6"/>
  <c r="D225" i="9" s="1"/>
  <c r="U217" i="6"/>
  <c r="U224" i="9" s="1"/>
  <c r="T217" i="6"/>
  <c r="T224" i="9" s="1"/>
  <c r="S217" i="6"/>
  <c r="S224" i="9" s="1"/>
  <c r="R217" i="6"/>
  <c r="R224" i="9" s="1"/>
  <c r="Q217" i="6"/>
  <c r="Q224" i="9" s="1"/>
  <c r="P217" i="6"/>
  <c r="P224" i="9" s="1"/>
  <c r="O217" i="6"/>
  <c r="O224" i="9" s="1"/>
  <c r="N217" i="6"/>
  <c r="N224" i="9" s="1"/>
  <c r="M217" i="6"/>
  <c r="M224" i="9" s="1"/>
  <c r="L217" i="6"/>
  <c r="L224" i="9" s="1"/>
  <c r="K224" i="9"/>
  <c r="J224" i="9"/>
  <c r="G224" i="9"/>
  <c r="D217" i="6"/>
  <c r="D224" i="9" s="1"/>
  <c r="U216" i="6"/>
  <c r="U223" i="9" s="1"/>
  <c r="T216" i="6"/>
  <c r="T223" i="9" s="1"/>
  <c r="S216" i="6"/>
  <c r="S223" i="9" s="1"/>
  <c r="R216" i="6"/>
  <c r="R223" i="9" s="1"/>
  <c r="Q216" i="6"/>
  <c r="Q223" i="9" s="1"/>
  <c r="P216" i="6"/>
  <c r="P223" i="9" s="1"/>
  <c r="O216" i="6"/>
  <c r="O223" i="9" s="1"/>
  <c r="N216" i="6"/>
  <c r="N223" i="9" s="1"/>
  <c r="M216" i="6"/>
  <c r="M223" i="9" s="1"/>
  <c r="L216" i="6"/>
  <c r="L223" i="9" s="1"/>
  <c r="K223" i="9"/>
  <c r="J223" i="9"/>
  <c r="G223" i="9"/>
  <c r="D216" i="6"/>
  <c r="D223" i="9" s="1"/>
  <c r="U215" i="6"/>
  <c r="U222" i="9" s="1"/>
  <c r="T215" i="6"/>
  <c r="T222" i="9" s="1"/>
  <c r="S215" i="6"/>
  <c r="S222" i="9" s="1"/>
  <c r="R215" i="6"/>
  <c r="R222" i="9" s="1"/>
  <c r="Q215" i="6"/>
  <c r="Q222" i="9" s="1"/>
  <c r="P215" i="6"/>
  <c r="P222" i="9" s="1"/>
  <c r="O215" i="6"/>
  <c r="O222" i="9" s="1"/>
  <c r="N215" i="6"/>
  <c r="N222" i="9" s="1"/>
  <c r="M215" i="6"/>
  <c r="M222" i="9" s="1"/>
  <c r="L215" i="6"/>
  <c r="L222" i="9" s="1"/>
  <c r="K222" i="9"/>
  <c r="J222" i="9"/>
  <c r="G222" i="9"/>
  <c r="D215" i="6"/>
  <c r="D222" i="9" s="1"/>
  <c r="U214" i="6"/>
  <c r="U221" i="9" s="1"/>
  <c r="T214" i="6"/>
  <c r="T221" i="9" s="1"/>
  <c r="S214" i="6"/>
  <c r="S221" i="9" s="1"/>
  <c r="R214" i="6"/>
  <c r="R221" i="9" s="1"/>
  <c r="Q214" i="6"/>
  <c r="Q221" i="9" s="1"/>
  <c r="P214" i="6"/>
  <c r="P221" i="9" s="1"/>
  <c r="O214" i="6"/>
  <c r="O221" i="9" s="1"/>
  <c r="N214" i="6"/>
  <c r="N221" i="9" s="1"/>
  <c r="M214" i="6"/>
  <c r="M221" i="9" s="1"/>
  <c r="L214" i="6"/>
  <c r="L221" i="9" s="1"/>
  <c r="K221" i="9"/>
  <c r="J221" i="9"/>
  <c r="G221" i="9"/>
  <c r="D214" i="6"/>
  <c r="D221" i="9" s="1"/>
  <c r="U213" i="6"/>
  <c r="U220" i="9" s="1"/>
  <c r="T213" i="6"/>
  <c r="T220" i="9" s="1"/>
  <c r="S213" i="6"/>
  <c r="S220" i="9" s="1"/>
  <c r="R213" i="6"/>
  <c r="R220" i="9" s="1"/>
  <c r="Q213" i="6"/>
  <c r="Q220" i="9" s="1"/>
  <c r="P213" i="6"/>
  <c r="P220" i="9" s="1"/>
  <c r="O213" i="6"/>
  <c r="O220" i="9" s="1"/>
  <c r="N213" i="6"/>
  <c r="N220" i="9" s="1"/>
  <c r="M213" i="6"/>
  <c r="M220" i="9" s="1"/>
  <c r="L213" i="6"/>
  <c r="L220" i="9" s="1"/>
  <c r="K220" i="9"/>
  <c r="J220" i="9"/>
  <c r="G220" i="9"/>
  <c r="D213" i="6"/>
  <c r="D220" i="9" s="1"/>
  <c r="U212" i="6"/>
  <c r="U219" i="9" s="1"/>
  <c r="T212" i="6"/>
  <c r="T219" i="9" s="1"/>
  <c r="S212" i="6"/>
  <c r="S219" i="9" s="1"/>
  <c r="R212" i="6"/>
  <c r="R219" i="9" s="1"/>
  <c r="Q212" i="6"/>
  <c r="Q219" i="9" s="1"/>
  <c r="P212" i="6"/>
  <c r="P219" i="9" s="1"/>
  <c r="O212" i="6"/>
  <c r="O219" i="9" s="1"/>
  <c r="N212" i="6"/>
  <c r="N219" i="9" s="1"/>
  <c r="M212" i="6"/>
  <c r="M219" i="9" s="1"/>
  <c r="L212" i="6"/>
  <c r="L219" i="9" s="1"/>
  <c r="K219" i="9"/>
  <c r="J219" i="9"/>
  <c r="G219" i="9"/>
  <c r="D212" i="6"/>
  <c r="D219" i="9" s="1"/>
  <c r="U211" i="6"/>
  <c r="U218" i="9" s="1"/>
  <c r="T211" i="6"/>
  <c r="T218" i="9" s="1"/>
  <c r="S211" i="6"/>
  <c r="S218" i="9" s="1"/>
  <c r="R211" i="6"/>
  <c r="R218" i="9" s="1"/>
  <c r="Q211" i="6"/>
  <c r="Q218" i="9" s="1"/>
  <c r="P211" i="6"/>
  <c r="P218" i="9" s="1"/>
  <c r="O211" i="6"/>
  <c r="O218" i="9" s="1"/>
  <c r="N211" i="6"/>
  <c r="N218" i="9" s="1"/>
  <c r="M211" i="6"/>
  <c r="M218" i="9" s="1"/>
  <c r="L211" i="6"/>
  <c r="L218" i="9" s="1"/>
  <c r="K218" i="9"/>
  <c r="J218" i="9"/>
  <c r="G218" i="9"/>
  <c r="D211" i="6"/>
  <c r="D218" i="9" s="1"/>
  <c r="U210" i="6"/>
  <c r="U217" i="9" s="1"/>
  <c r="T210" i="6"/>
  <c r="T217" i="9" s="1"/>
  <c r="S210" i="6"/>
  <c r="S217" i="9" s="1"/>
  <c r="R210" i="6"/>
  <c r="R217" i="9" s="1"/>
  <c r="Q210" i="6"/>
  <c r="Q217" i="9" s="1"/>
  <c r="P210" i="6"/>
  <c r="P217" i="9" s="1"/>
  <c r="O210" i="6"/>
  <c r="O217" i="9" s="1"/>
  <c r="N210" i="6"/>
  <c r="N217" i="9" s="1"/>
  <c r="M210" i="6"/>
  <c r="M217" i="9" s="1"/>
  <c r="L210" i="6"/>
  <c r="L217" i="9" s="1"/>
  <c r="K217" i="9"/>
  <c r="J217" i="9"/>
  <c r="G217" i="9"/>
  <c r="D210" i="6"/>
  <c r="D217" i="9" s="1"/>
  <c r="U209" i="6"/>
  <c r="U216" i="9" s="1"/>
  <c r="T209" i="6"/>
  <c r="T216" i="9" s="1"/>
  <c r="S209" i="6"/>
  <c r="S216" i="9" s="1"/>
  <c r="R209" i="6"/>
  <c r="R216" i="9" s="1"/>
  <c r="Q209" i="6"/>
  <c r="Q216" i="9" s="1"/>
  <c r="P209" i="6"/>
  <c r="P216" i="9" s="1"/>
  <c r="O209" i="6"/>
  <c r="O216" i="9" s="1"/>
  <c r="N209" i="6"/>
  <c r="N216" i="9" s="1"/>
  <c r="M209" i="6"/>
  <c r="M216" i="9" s="1"/>
  <c r="L209" i="6"/>
  <c r="L216" i="9" s="1"/>
  <c r="K216" i="9"/>
  <c r="J216" i="9"/>
  <c r="G216" i="9"/>
  <c r="D209" i="6"/>
  <c r="D216" i="9" s="1"/>
  <c r="U208" i="6"/>
  <c r="U215" i="9" s="1"/>
  <c r="T208" i="6"/>
  <c r="T215" i="9" s="1"/>
  <c r="S208" i="6"/>
  <c r="S215" i="9" s="1"/>
  <c r="R208" i="6"/>
  <c r="R215" i="9" s="1"/>
  <c r="Q208" i="6"/>
  <c r="Q215" i="9" s="1"/>
  <c r="P208" i="6"/>
  <c r="P215" i="9" s="1"/>
  <c r="O208" i="6"/>
  <c r="O215" i="9" s="1"/>
  <c r="N208" i="6"/>
  <c r="N215" i="9" s="1"/>
  <c r="M208" i="6"/>
  <c r="M215" i="9" s="1"/>
  <c r="L208" i="6"/>
  <c r="L215" i="9" s="1"/>
  <c r="K215" i="9"/>
  <c r="J215" i="9"/>
  <c r="G215" i="9"/>
  <c r="D208" i="6"/>
  <c r="D215" i="9" s="1"/>
  <c r="U207" i="6"/>
  <c r="U214" i="9" s="1"/>
  <c r="T207" i="6"/>
  <c r="T214" i="9" s="1"/>
  <c r="S207" i="6"/>
  <c r="S214" i="9" s="1"/>
  <c r="R207" i="6"/>
  <c r="R214" i="9" s="1"/>
  <c r="Q207" i="6"/>
  <c r="Q214" i="9" s="1"/>
  <c r="P207" i="6"/>
  <c r="P214" i="9" s="1"/>
  <c r="O207" i="6"/>
  <c r="O214" i="9" s="1"/>
  <c r="N207" i="6"/>
  <c r="N214" i="9" s="1"/>
  <c r="M207" i="6"/>
  <c r="M214" i="9" s="1"/>
  <c r="L207" i="6"/>
  <c r="L214" i="9" s="1"/>
  <c r="K214" i="9"/>
  <c r="J214" i="9"/>
  <c r="G214" i="9"/>
  <c r="D207" i="6"/>
  <c r="D214" i="9" s="1"/>
  <c r="U206" i="6"/>
  <c r="U213" i="9" s="1"/>
  <c r="T206" i="6"/>
  <c r="T213" i="9" s="1"/>
  <c r="S206" i="6"/>
  <c r="S213" i="9" s="1"/>
  <c r="R206" i="6"/>
  <c r="R213" i="9" s="1"/>
  <c r="Q206" i="6"/>
  <c r="Q213" i="9" s="1"/>
  <c r="P206" i="6"/>
  <c r="P213" i="9" s="1"/>
  <c r="O206" i="6"/>
  <c r="O213" i="9" s="1"/>
  <c r="N206" i="6"/>
  <c r="N213" i="9" s="1"/>
  <c r="M206" i="6"/>
  <c r="M213" i="9" s="1"/>
  <c r="L206" i="6"/>
  <c r="L213" i="9" s="1"/>
  <c r="K213" i="9"/>
  <c r="J213" i="9"/>
  <c r="G213" i="9"/>
  <c r="D206" i="6"/>
  <c r="D213" i="9" s="1"/>
  <c r="U205" i="6"/>
  <c r="U212" i="9" s="1"/>
  <c r="T205" i="6"/>
  <c r="T212" i="9" s="1"/>
  <c r="S205" i="6"/>
  <c r="S212" i="9" s="1"/>
  <c r="R205" i="6"/>
  <c r="R212" i="9" s="1"/>
  <c r="Q205" i="6"/>
  <c r="Q212" i="9" s="1"/>
  <c r="P205" i="6"/>
  <c r="P212" i="9" s="1"/>
  <c r="O205" i="6"/>
  <c r="O212" i="9" s="1"/>
  <c r="N205" i="6"/>
  <c r="N212" i="9" s="1"/>
  <c r="M205" i="6"/>
  <c r="M212" i="9" s="1"/>
  <c r="L205" i="6"/>
  <c r="L212" i="9" s="1"/>
  <c r="K212" i="9"/>
  <c r="J212" i="9"/>
  <c r="G212" i="9"/>
  <c r="D205" i="6"/>
  <c r="D212" i="9" s="1"/>
  <c r="U204" i="6"/>
  <c r="U211" i="9" s="1"/>
  <c r="T204" i="6"/>
  <c r="T211" i="9" s="1"/>
  <c r="S204" i="6"/>
  <c r="S211" i="9" s="1"/>
  <c r="R204" i="6"/>
  <c r="R211" i="9" s="1"/>
  <c r="Q204" i="6"/>
  <c r="Q211" i="9" s="1"/>
  <c r="P204" i="6"/>
  <c r="P211" i="9" s="1"/>
  <c r="O204" i="6"/>
  <c r="O211" i="9" s="1"/>
  <c r="N204" i="6"/>
  <c r="N211" i="9" s="1"/>
  <c r="M204" i="6"/>
  <c r="M211" i="9" s="1"/>
  <c r="L204" i="6"/>
  <c r="L211" i="9" s="1"/>
  <c r="K211" i="9"/>
  <c r="J211" i="9"/>
  <c r="G211" i="9"/>
  <c r="D204" i="6"/>
  <c r="D211" i="9" s="1"/>
  <c r="U203" i="6"/>
  <c r="U210" i="9" s="1"/>
  <c r="T203" i="6"/>
  <c r="T210" i="9" s="1"/>
  <c r="S203" i="6"/>
  <c r="S210" i="9" s="1"/>
  <c r="R203" i="6"/>
  <c r="R210" i="9" s="1"/>
  <c r="Q203" i="6"/>
  <c r="Q210" i="9" s="1"/>
  <c r="P203" i="6"/>
  <c r="P210" i="9" s="1"/>
  <c r="O203" i="6"/>
  <c r="O210" i="9" s="1"/>
  <c r="N203" i="6"/>
  <c r="N210" i="9" s="1"/>
  <c r="M203" i="6"/>
  <c r="M210" i="9" s="1"/>
  <c r="L203" i="6"/>
  <c r="L210" i="9" s="1"/>
  <c r="K210" i="9"/>
  <c r="J210" i="9"/>
  <c r="G210" i="9"/>
  <c r="D203" i="6"/>
  <c r="D210" i="9" s="1"/>
  <c r="U202" i="6"/>
  <c r="U209" i="9" s="1"/>
  <c r="T202" i="6"/>
  <c r="T209" i="9" s="1"/>
  <c r="S202" i="6"/>
  <c r="S209" i="9" s="1"/>
  <c r="R202" i="6"/>
  <c r="R209" i="9" s="1"/>
  <c r="Q202" i="6"/>
  <c r="Q209" i="9" s="1"/>
  <c r="P202" i="6"/>
  <c r="P209" i="9" s="1"/>
  <c r="O202" i="6"/>
  <c r="O209" i="9" s="1"/>
  <c r="N202" i="6"/>
  <c r="N209" i="9" s="1"/>
  <c r="M202" i="6"/>
  <c r="M209" i="9" s="1"/>
  <c r="L202" i="6"/>
  <c r="L209" i="9" s="1"/>
  <c r="K209" i="9"/>
  <c r="J209" i="9"/>
  <c r="G209" i="9"/>
  <c r="D202" i="6"/>
  <c r="D209" i="9" s="1"/>
  <c r="U201" i="6"/>
  <c r="U208" i="9" s="1"/>
  <c r="T201" i="6"/>
  <c r="T208" i="9" s="1"/>
  <c r="S201" i="6"/>
  <c r="S208" i="9" s="1"/>
  <c r="R201" i="6"/>
  <c r="R208" i="9" s="1"/>
  <c r="Q201" i="6"/>
  <c r="Q208" i="9" s="1"/>
  <c r="P201" i="6"/>
  <c r="P208" i="9" s="1"/>
  <c r="O201" i="6"/>
  <c r="O208" i="9" s="1"/>
  <c r="N201" i="6"/>
  <c r="N208" i="9" s="1"/>
  <c r="M201" i="6"/>
  <c r="M208" i="9" s="1"/>
  <c r="L201" i="6"/>
  <c r="L208" i="9" s="1"/>
  <c r="K208" i="9"/>
  <c r="J208" i="9"/>
  <c r="G208" i="9"/>
  <c r="D201" i="6"/>
  <c r="D208" i="9" s="1"/>
  <c r="U200" i="6"/>
  <c r="U207" i="9" s="1"/>
  <c r="T200" i="6"/>
  <c r="T207" i="9" s="1"/>
  <c r="S200" i="6"/>
  <c r="S207" i="9" s="1"/>
  <c r="R200" i="6"/>
  <c r="R207" i="9" s="1"/>
  <c r="Q200" i="6"/>
  <c r="Q207" i="9" s="1"/>
  <c r="P200" i="6"/>
  <c r="P207" i="9" s="1"/>
  <c r="O200" i="6"/>
  <c r="O207" i="9" s="1"/>
  <c r="N200" i="6"/>
  <c r="N207" i="9" s="1"/>
  <c r="M200" i="6"/>
  <c r="M207" i="9" s="1"/>
  <c r="L200" i="6"/>
  <c r="L207" i="9" s="1"/>
  <c r="K207" i="9"/>
  <c r="J207" i="9"/>
  <c r="G207" i="9"/>
  <c r="D200" i="6"/>
  <c r="D207" i="9" s="1"/>
  <c r="U199" i="6"/>
  <c r="U206" i="9" s="1"/>
  <c r="T199" i="6"/>
  <c r="T206" i="9" s="1"/>
  <c r="S199" i="6"/>
  <c r="S206" i="9" s="1"/>
  <c r="R199" i="6"/>
  <c r="R206" i="9" s="1"/>
  <c r="Q199" i="6"/>
  <c r="Q206" i="9" s="1"/>
  <c r="P199" i="6"/>
  <c r="P206" i="9" s="1"/>
  <c r="O199" i="6"/>
  <c r="O206" i="9" s="1"/>
  <c r="N199" i="6"/>
  <c r="N206" i="9" s="1"/>
  <c r="M199" i="6"/>
  <c r="M206" i="9" s="1"/>
  <c r="L199" i="6"/>
  <c r="L206" i="9" s="1"/>
  <c r="K206" i="9"/>
  <c r="J206" i="9"/>
  <c r="G206" i="9"/>
  <c r="D199" i="6"/>
  <c r="D206" i="9" s="1"/>
  <c r="U198" i="6"/>
  <c r="U205" i="9" s="1"/>
  <c r="T198" i="6"/>
  <c r="T205" i="9" s="1"/>
  <c r="S198" i="6"/>
  <c r="S205" i="9" s="1"/>
  <c r="R198" i="6"/>
  <c r="R205" i="9" s="1"/>
  <c r="Q198" i="6"/>
  <c r="Q205" i="9" s="1"/>
  <c r="P198" i="6"/>
  <c r="P205" i="9" s="1"/>
  <c r="O198" i="6"/>
  <c r="O205" i="9" s="1"/>
  <c r="N198" i="6"/>
  <c r="N205" i="9" s="1"/>
  <c r="M198" i="6"/>
  <c r="M205" i="9" s="1"/>
  <c r="L198" i="6"/>
  <c r="L205" i="9" s="1"/>
  <c r="K205" i="9"/>
  <c r="J205" i="9"/>
  <c r="G205" i="9"/>
  <c r="D198" i="6"/>
  <c r="D205" i="9" s="1"/>
  <c r="U197" i="6"/>
  <c r="U204" i="9" s="1"/>
  <c r="T197" i="6"/>
  <c r="T204" i="9" s="1"/>
  <c r="S197" i="6"/>
  <c r="S204" i="9" s="1"/>
  <c r="R197" i="6"/>
  <c r="R204" i="9" s="1"/>
  <c r="Q197" i="6"/>
  <c r="Q204" i="9" s="1"/>
  <c r="P197" i="6"/>
  <c r="P204" i="9" s="1"/>
  <c r="O197" i="6"/>
  <c r="O204" i="9" s="1"/>
  <c r="N197" i="6"/>
  <c r="N204" i="9" s="1"/>
  <c r="M197" i="6"/>
  <c r="M204" i="9" s="1"/>
  <c r="L197" i="6"/>
  <c r="L204" i="9" s="1"/>
  <c r="K204" i="9"/>
  <c r="J204" i="9"/>
  <c r="G204" i="9"/>
  <c r="D197" i="6"/>
  <c r="D204" i="9" s="1"/>
  <c r="U196" i="6"/>
  <c r="U203" i="9" s="1"/>
  <c r="T196" i="6"/>
  <c r="T203" i="9" s="1"/>
  <c r="S196" i="6"/>
  <c r="S203" i="9" s="1"/>
  <c r="R196" i="6"/>
  <c r="R203" i="9" s="1"/>
  <c r="Q196" i="6"/>
  <c r="Q203" i="9" s="1"/>
  <c r="P196" i="6"/>
  <c r="P203" i="9" s="1"/>
  <c r="O196" i="6"/>
  <c r="O203" i="9" s="1"/>
  <c r="N196" i="6"/>
  <c r="N203" i="9" s="1"/>
  <c r="M196" i="6"/>
  <c r="M203" i="9" s="1"/>
  <c r="L196" i="6"/>
  <c r="L203" i="9" s="1"/>
  <c r="K203" i="9"/>
  <c r="J203" i="9"/>
  <c r="G203" i="9"/>
  <c r="D196" i="6"/>
  <c r="D203" i="9" s="1"/>
  <c r="U195" i="6"/>
  <c r="U202" i="9" s="1"/>
  <c r="T195" i="6"/>
  <c r="T202" i="9" s="1"/>
  <c r="S195" i="6"/>
  <c r="S202" i="9" s="1"/>
  <c r="R195" i="6"/>
  <c r="R202" i="9" s="1"/>
  <c r="Q195" i="6"/>
  <c r="Q202" i="9" s="1"/>
  <c r="P195" i="6"/>
  <c r="P202" i="9" s="1"/>
  <c r="O195" i="6"/>
  <c r="O202" i="9" s="1"/>
  <c r="N195" i="6"/>
  <c r="N202" i="9" s="1"/>
  <c r="M195" i="6"/>
  <c r="M202" i="9" s="1"/>
  <c r="L195" i="6"/>
  <c r="L202" i="9" s="1"/>
  <c r="K202" i="9"/>
  <c r="J202" i="9"/>
  <c r="G202" i="9"/>
  <c r="E195" i="6"/>
  <c r="E202" i="9" s="1"/>
  <c r="D195" i="6"/>
  <c r="D202" i="9" s="1"/>
  <c r="U194" i="6"/>
  <c r="U201" i="9" s="1"/>
  <c r="T194" i="6"/>
  <c r="T201" i="9" s="1"/>
  <c r="S194" i="6"/>
  <c r="S201" i="9" s="1"/>
  <c r="R194" i="6"/>
  <c r="R201" i="9" s="1"/>
  <c r="Q194" i="6"/>
  <c r="Q201" i="9" s="1"/>
  <c r="P194" i="6"/>
  <c r="P201" i="9" s="1"/>
  <c r="O194" i="6"/>
  <c r="O201" i="9" s="1"/>
  <c r="N194" i="6"/>
  <c r="N201" i="9" s="1"/>
  <c r="M194" i="6"/>
  <c r="M201" i="9" s="1"/>
  <c r="L194" i="6"/>
  <c r="L201" i="9" s="1"/>
  <c r="K201" i="9"/>
  <c r="J201" i="9"/>
  <c r="G201" i="9"/>
  <c r="D194" i="6"/>
  <c r="D201" i="9" s="1"/>
  <c r="U193" i="6"/>
  <c r="U200" i="9" s="1"/>
  <c r="T193" i="6"/>
  <c r="T200" i="9" s="1"/>
  <c r="S193" i="6"/>
  <c r="S200" i="9" s="1"/>
  <c r="R193" i="6"/>
  <c r="R200" i="9" s="1"/>
  <c r="Q193" i="6"/>
  <c r="Q200" i="9" s="1"/>
  <c r="P193" i="6"/>
  <c r="P200" i="9" s="1"/>
  <c r="O193" i="6"/>
  <c r="O200" i="9" s="1"/>
  <c r="N193" i="6"/>
  <c r="N200" i="9" s="1"/>
  <c r="M193" i="6"/>
  <c r="M200" i="9" s="1"/>
  <c r="L193" i="6"/>
  <c r="L200" i="9" s="1"/>
  <c r="K200" i="9"/>
  <c r="J200" i="9"/>
  <c r="G200" i="9"/>
  <c r="D193" i="6"/>
  <c r="D200" i="9" s="1"/>
  <c r="U192" i="6"/>
  <c r="U199" i="9" s="1"/>
  <c r="T192" i="6"/>
  <c r="T199" i="9" s="1"/>
  <c r="S192" i="6"/>
  <c r="S199" i="9" s="1"/>
  <c r="R192" i="6"/>
  <c r="R199" i="9" s="1"/>
  <c r="Q192" i="6"/>
  <c r="Q199" i="9" s="1"/>
  <c r="P192" i="6"/>
  <c r="P199" i="9" s="1"/>
  <c r="O192" i="6"/>
  <c r="O199" i="9" s="1"/>
  <c r="N192" i="6"/>
  <c r="N199" i="9" s="1"/>
  <c r="M192" i="6"/>
  <c r="M199" i="9" s="1"/>
  <c r="L192" i="6"/>
  <c r="L199" i="9" s="1"/>
  <c r="K199" i="9"/>
  <c r="J199" i="9"/>
  <c r="G199" i="9"/>
  <c r="D192" i="6"/>
  <c r="D199" i="9" s="1"/>
  <c r="U191" i="6"/>
  <c r="U198" i="9" s="1"/>
  <c r="T191" i="6"/>
  <c r="T198" i="9" s="1"/>
  <c r="S191" i="6"/>
  <c r="S198" i="9" s="1"/>
  <c r="R191" i="6"/>
  <c r="R198" i="9" s="1"/>
  <c r="Q191" i="6"/>
  <c r="Q198" i="9" s="1"/>
  <c r="P191" i="6"/>
  <c r="P198" i="9" s="1"/>
  <c r="O191" i="6"/>
  <c r="O198" i="9" s="1"/>
  <c r="N191" i="6"/>
  <c r="N198" i="9" s="1"/>
  <c r="M191" i="6"/>
  <c r="M198" i="9" s="1"/>
  <c r="L191" i="6"/>
  <c r="L198" i="9" s="1"/>
  <c r="K198" i="9"/>
  <c r="J198" i="9"/>
  <c r="G198" i="9"/>
  <c r="D191" i="6"/>
  <c r="D198" i="9" s="1"/>
  <c r="U190" i="6"/>
  <c r="U197" i="9" s="1"/>
  <c r="T190" i="6"/>
  <c r="T197" i="9" s="1"/>
  <c r="S190" i="6"/>
  <c r="S197" i="9" s="1"/>
  <c r="R190" i="6"/>
  <c r="R197" i="9" s="1"/>
  <c r="Q190" i="6"/>
  <c r="Q197" i="9" s="1"/>
  <c r="P190" i="6"/>
  <c r="P197" i="9" s="1"/>
  <c r="O190" i="6"/>
  <c r="O197" i="9" s="1"/>
  <c r="N190" i="6"/>
  <c r="N197" i="9" s="1"/>
  <c r="M190" i="6"/>
  <c r="M197" i="9" s="1"/>
  <c r="L190" i="6"/>
  <c r="L197" i="9" s="1"/>
  <c r="K197" i="9"/>
  <c r="J197" i="9"/>
  <c r="G197" i="9"/>
  <c r="D190" i="6"/>
  <c r="D197" i="9" s="1"/>
  <c r="U189" i="6"/>
  <c r="U196" i="9" s="1"/>
  <c r="T189" i="6"/>
  <c r="T196" i="9" s="1"/>
  <c r="S189" i="6"/>
  <c r="S196" i="9" s="1"/>
  <c r="R189" i="6"/>
  <c r="R196" i="9" s="1"/>
  <c r="Q189" i="6"/>
  <c r="Q196" i="9" s="1"/>
  <c r="P189" i="6"/>
  <c r="P196" i="9" s="1"/>
  <c r="O189" i="6"/>
  <c r="O196" i="9" s="1"/>
  <c r="N189" i="6"/>
  <c r="N196" i="9" s="1"/>
  <c r="M189" i="6"/>
  <c r="M196" i="9" s="1"/>
  <c r="L189" i="6"/>
  <c r="L196" i="9" s="1"/>
  <c r="K196" i="9"/>
  <c r="J196" i="9"/>
  <c r="G196" i="9"/>
  <c r="D189" i="6"/>
  <c r="D196" i="9" s="1"/>
  <c r="U188" i="6"/>
  <c r="U195" i="9" s="1"/>
  <c r="T188" i="6"/>
  <c r="T195" i="9" s="1"/>
  <c r="S188" i="6"/>
  <c r="S195" i="9" s="1"/>
  <c r="R188" i="6"/>
  <c r="R195" i="9" s="1"/>
  <c r="Q188" i="6"/>
  <c r="Q195" i="9" s="1"/>
  <c r="P188" i="6"/>
  <c r="P195" i="9" s="1"/>
  <c r="O188" i="6"/>
  <c r="O195" i="9" s="1"/>
  <c r="N188" i="6"/>
  <c r="N195" i="9" s="1"/>
  <c r="M188" i="6"/>
  <c r="M195" i="9" s="1"/>
  <c r="L188" i="6"/>
  <c r="L195" i="9" s="1"/>
  <c r="K195" i="9"/>
  <c r="J195" i="9"/>
  <c r="G195" i="9"/>
  <c r="D188" i="6"/>
  <c r="D195" i="9" s="1"/>
  <c r="U187" i="6"/>
  <c r="U194" i="9" s="1"/>
  <c r="T187" i="6"/>
  <c r="T194" i="9" s="1"/>
  <c r="S187" i="6"/>
  <c r="S194" i="9" s="1"/>
  <c r="R187" i="6"/>
  <c r="R194" i="9" s="1"/>
  <c r="Q187" i="6"/>
  <c r="Q194" i="9" s="1"/>
  <c r="P187" i="6"/>
  <c r="P194" i="9" s="1"/>
  <c r="O187" i="6"/>
  <c r="O194" i="9" s="1"/>
  <c r="N187" i="6"/>
  <c r="N194" i="9" s="1"/>
  <c r="M187" i="6"/>
  <c r="M194" i="9" s="1"/>
  <c r="L187" i="6"/>
  <c r="L194" i="9" s="1"/>
  <c r="K194" i="9"/>
  <c r="J194" i="9"/>
  <c r="G194" i="9"/>
  <c r="D187" i="6"/>
  <c r="D194" i="9" s="1"/>
  <c r="U186" i="6"/>
  <c r="U193" i="9" s="1"/>
  <c r="T186" i="6"/>
  <c r="T193" i="9" s="1"/>
  <c r="S186" i="6"/>
  <c r="S193" i="9" s="1"/>
  <c r="R186" i="6"/>
  <c r="R193" i="9" s="1"/>
  <c r="Q186" i="6"/>
  <c r="Q193" i="9" s="1"/>
  <c r="P186" i="6"/>
  <c r="P193" i="9" s="1"/>
  <c r="O186" i="6"/>
  <c r="O193" i="9" s="1"/>
  <c r="N186" i="6"/>
  <c r="N193" i="9" s="1"/>
  <c r="M186" i="6"/>
  <c r="M193" i="9" s="1"/>
  <c r="L186" i="6"/>
  <c r="L193" i="9" s="1"/>
  <c r="K193" i="9"/>
  <c r="J193" i="9"/>
  <c r="G193" i="9"/>
  <c r="D186" i="6"/>
  <c r="D193" i="9" s="1"/>
  <c r="U185" i="6"/>
  <c r="U192" i="9" s="1"/>
  <c r="T185" i="6"/>
  <c r="T192" i="9" s="1"/>
  <c r="S185" i="6"/>
  <c r="S192" i="9" s="1"/>
  <c r="R185" i="6"/>
  <c r="R192" i="9" s="1"/>
  <c r="Q185" i="6"/>
  <c r="Q192" i="9" s="1"/>
  <c r="P185" i="6"/>
  <c r="P192" i="9" s="1"/>
  <c r="O185" i="6"/>
  <c r="O192" i="9" s="1"/>
  <c r="N185" i="6"/>
  <c r="N192" i="9" s="1"/>
  <c r="M185" i="6"/>
  <c r="M192" i="9" s="1"/>
  <c r="L185" i="6"/>
  <c r="L192" i="9" s="1"/>
  <c r="K192" i="9"/>
  <c r="J192" i="9"/>
  <c r="G192" i="9"/>
  <c r="D185" i="6"/>
  <c r="D192" i="9" s="1"/>
  <c r="U184" i="6"/>
  <c r="U191" i="9" s="1"/>
  <c r="T184" i="6"/>
  <c r="T191" i="9" s="1"/>
  <c r="S184" i="6"/>
  <c r="S191" i="9" s="1"/>
  <c r="R184" i="6"/>
  <c r="R191" i="9" s="1"/>
  <c r="Q184" i="6"/>
  <c r="Q191" i="9" s="1"/>
  <c r="P184" i="6"/>
  <c r="P191" i="9" s="1"/>
  <c r="O184" i="6"/>
  <c r="O191" i="9" s="1"/>
  <c r="N184" i="6"/>
  <c r="N191" i="9" s="1"/>
  <c r="M184" i="6"/>
  <c r="M191" i="9" s="1"/>
  <c r="L184" i="6"/>
  <c r="L191" i="9" s="1"/>
  <c r="K191" i="9"/>
  <c r="J191" i="9"/>
  <c r="G191" i="9"/>
  <c r="D184" i="6"/>
  <c r="D191" i="9" s="1"/>
  <c r="U183" i="6"/>
  <c r="U190" i="9" s="1"/>
  <c r="T183" i="6"/>
  <c r="T190" i="9" s="1"/>
  <c r="S183" i="6"/>
  <c r="S190" i="9" s="1"/>
  <c r="R183" i="6"/>
  <c r="R190" i="9" s="1"/>
  <c r="Q183" i="6"/>
  <c r="Q190" i="9" s="1"/>
  <c r="P183" i="6"/>
  <c r="P190" i="9" s="1"/>
  <c r="O183" i="6"/>
  <c r="O190" i="9" s="1"/>
  <c r="N183" i="6"/>
  <c r="N190" i="9" s="1"/>
  <c r="M183" i="6"/>
  <c r="M190" i="9" s="1"/>
  <c r="L183" i="6"/>
  <c r="L190" i="9" s="1"/>
  <c r="K190" i="9"/>
  <c r="J190" i="9"/>
  <c r="G190" i="9"/>
  <c r="D183" i="6"/>
  <c r="D190" i="9" s="1"/>
  <c r="U182" i="6"/>
  <c r="U189" i="9" s="1"/>
  <c r="T182" i="6"/>
  <c r="T189" i="9" s="1"/>
  <c r="S182" i="6"/>
  <c r="S189" i="9" s="1"/>
  <c r="R182" i="6"/>
  <c r="R189" i="9" s="1"/>
  <c r="Q182" i="6"/>
  <c r="Q189" i="9" s="1"/>
  <c r="P182" i="6"/>
  <c r="P189" i="9" s="1"/>
  <c r="O182" i="6"/>
  <c r="O189" i="9" s="1"/>
  <c r="N182" i="6"/>
  <c r="N189" i="9" s="1"/>
  <c r="M182" i="6"/>
  <c r="M189" i="9" s="1"/>
  <c r="L182" i="6"/>
  <c r="L189" i="9" s="1"/>
  <c r="K189" i="9"/>
  <c r="J189" i="9"/>
  <c r="G189" i="9"/>
  <c r="D182" i="6"/>
  <c r="D189" i="9" s="1"/>
  <c r="U181" i="6"/>
  <c r="U188" i="9" s="1"/>
  <c r="T181" i="6"/>
  <c r="T188" i="9" s="1"/>
  <c r="S181" i="6"/>
  <c r="S188" i="9" s="1"/>
  <c r="R181" i="6"/>
  <c r="R188" i="9" s="1"/>
  <c r="Q181" i="6"/>
  <c r="Q188" i="9" s="1"/>
  <c r="P181" i="6"/>
  <c r="P188" i="9" s="1"/>
  <c r="O181" i="6"/>
  <c r="O188" i="9" s="1"/>
  <c r="N181" i="6"/>
  <c r="N188" i="9" s="1"/>
  <c r="M181" i="6"/>
  <c r="M188" i="9" s="1"/>
  <c r="L181" i="6"/>
  <c r="L188" i="9" s="1"/>
  <c r="K188" i="9"/>
  <c r="J188" i="9"/>
  <c r="G188" i="9"/>
  <c r="D181" i="6"/>
  <c r="D188" i="9" s="1"/>
  <c r="U180" i="6"/>
  <c r="U187" i="9" s="1"/>
  <c r="T180" i="6"/>
  <c r="T187" i="9" s="1"/>
  <c r="S180" i="6"/>
  <c r="S187" i="9" s="1"/>
  <c r="R180" i="6"/>
  <c r="R187" i="9" s="1"/>
  <c r="Q180" i="6"/>
  <c r="Q187" i="9" s="1"/>
  <c r="P180" i="6"/>
  <c r="P187" i="9" s="1"/>
  <c r="O180" i="6"/>
  <c r="O187" i="9" s="1"/>
  <c r="N180" i="6"/>
  <c r="N187" i="9" s="1"/>
  <c r="M180" i="6"/>
  <c r="M187" i="9" s="1"/>
  <c r="L180" i="6"/>
  <c r="L187" i="9" s="1"/>
  <c r="K187" i="9"/>
  <c r="J187" i="9"/>
  <c r="G187" i="9"/>
  <c r="D180" i="6"/>
  <c r="D187" i="9" s="1"/>
  <c r="U179" i="6"/>
  <c r="U186" i="9" s="1"/>
  <c r="T179" i="6"/>
  <c r="T186" i="9" s="1"/>
  <c r="S179" i="6"/>
  <c r="S186" i="9" s="1"/>
  <c r="R179" i="6"/>
  <c r="R186" i="9" s="1"/>
  <c r="Q179" i="6"/>
  <c r="Q186" i="9" s="1"/>
  <c r="P179" i="6"/>
  <c r="P186" i="9" s="1"/>
  <c r="O179" i="6"/>
  <c r="O186" i="9" s="1"/>
  <c r="N179" i="6"/>
  <c r="N186" i="9" s="1"/>
  <c r="M179" i="6"/>
  <c r="M186" i="9" s="1"/>
  <c r="L179" i="6"/>
  <c r="L186" i="9" s="1"/>
  <c r="K186" i="9"/>
  <c r="J186" i="9"/>
  <c r="G186" i="9"/>
  <c r="D179" i="6"/>
  <c r="D186" i="9" s="1"/>
  <c r="U178" i="6"/>
  <c r="U185" i="9" s="1"/>
  <c r="T178" i="6"/>
  <c r="T185" i="9" s="1"/>
  <c r="S178" i="6"/>
  <c r="S185" i="9" s="1"/>
  <c r="R178" i="6"/>
  <c r="R185" i="9" s="1"/>
  <c r="Q178" i="6"/>
  <c r="Q185" i="9" s="1"/>
  <c r="P178" i="6"/>
  <c r="P185" i="9" s="1"/>
  <c r="O178" i="6"/>
  <c r="O185" i="9" s="1"/>
  <c r="N178" i="6"/>
  <c r="N185" i="9" s="1"/>
  <c r="M178" i="6"/>
  <c r="M185" i="9" s="1"/>
  <c r="L178" i="6"/>
  <c r="L185" i="9" s="1"/>
  <c r="K185" i="9"/>
  <c r="J185" i="9"/>
  <c r="G185" i="9"/>
  <c r="E178" i="6"/>
  <c r="E185" i="9" s="1"/>
  <c r="D178" i="6"/>
  <c r="D185" i="9" s="1"/>
  <c r="U177" i="6"/>
  <c r="U184" i="9" s="1"/>
  <c r="T177" i="6"/>
  <c r="T184" i="9" s="1"/>
  <c r="S177" i="6"/>
  <c r="S184" i="9" s="1"/>
  <c r="R177" i="6"/>
  <c r="R184" i="9" s="1"/>
  <c r="Q177" i="6"/>
  <c r="Q184" i="9" s="1"/>
  <c r="P177" i="6"/>
  <c r="P184" i="9" s="1"/>
  <c r="O177" i="6"/>
  <c r="O184" i="9" s="1"/>
  <c r="N177" i="6"/>
  <c r="N184" i="9" s="1"/>
  <c r="M177" i="6"/>
  <c r="M184" i="9" s="1"/>
  <c r="L177" i="6"/>
  <c r="L184" i="9" s="1"/>
  <c r="K184" i="9"/>
  <c r="J184" i="9"/>
  <c r="G184" i="9"/>
  <c r="D177" i="6"/>
  <c r="D184" i="9" s="1"/>
  <c r="U176" i="6"/>
  <c r="U183" i="9" s="1"/>
  <c r="T176" i="6"/>
  <c r="T183" i="9" s="1"/>
  <c r="S176" i="6"/>
  <c r="S183" i="9" s="1"/>
  <c r="R176" i="6"/>
  <c r="R183" i="9" s="1"/>
  <c r="Q176" i="6"/>
  <c r="Q183" i="9" s="1"/>
  <c r="P176" i="6"/>
  <c r="P183" i="9" s="1"/>
  <c r="O176" i="6"/>
  <c r="O183" i="9" s="1"/>
  <c r="N176" i="6"/>
  <c r="N183" i="9" s="1"/>
  <c r="M176" i="6"/>
  <c r="M183" i="9" s="1"/>
  <c r="L176" i="6"/>
  <c r="L183" i="9" s="1"/>
  <c r="K183" i="9"/>
  <c r="J183" i="9"/>
  <c r="G183" i="9"/>
  <c r="D176" i="6"/>
  <c r="D183" i="9" s="1"/>
  <c r="U175" i="6"/>
  <c r="U182" i="9" s="1"/>
  <c r="T175" i="6"/>
  <c r="T182" i="9" s="1"/>
  <c r="S175" i="6"/>
  <c r="S182" i="9" s="1"/>
  <c r="R175" i="6"/>
  <c r="R182" i="9" s="1"/>
  <c r="Q175" i="6"/>
  <c r="Q182" i="9" s="1"/>
  <c r="P175" i="6"/>
  <c r="P182" i="9" s="1"/>
  <c r="O175" i="6"/>
  <c r="O182" i="9" s="1"/>
  <c r="N175" i="6"/>
  <c r="N182" i="9" s="1"/>
  <c r="M175" i="6"/>
  <c r="M182" i="9" s="1"/>
  <c r="L175" i="6"/>
  <c r="L182" i="9" s="1"/>
  <c r="K182" i="9"/>
  <c r="J182" i="9"/>
  <c r="G182" i="9"/>
  <c r="D175" i="6"/>
  <c r="D182" i="9" s="1"/>
  <c r="U174" i="6"/>
  <c r="U181" i="9" s="1"/>
  <c r="T174" i="6"/>
  <c r="T181" i="9" s="1"/>
  <c r="S174" i="6"/>
  <c r="S181" i="9" s="1"/>
  <c r="R174" i="6"/>
  <c r="R181" i="9" s="1"/>
  <c r="Q174" i="6"/>
  <c r="Q181" i="9" s="1"/>
  <c r="P174" i="6"/>
  <c r="P181" i="9" s="1"/>
  <c r="O174" i="6"/>
  <c r="O181" i="9" s="1"/>
  <c r="N174" i="6"/>
  <c r="N181" i="9" s="1"/>
  <c r="M174" i="6"/>
  <c r="M181" i="9" s="1"/>
  <c r="L174" i="6"/>
  <c r="L181" i="9" s="1"/>
  <c r="K181" i="9"/>
  <c r="J181" i="9"/>
  <c r="H174" i="6"/>
  <c r="H181" i="9" s="1"/>
  <c r="G181" i="9"/>
  <c r="D174" i="6"/>
  <c r="D181" i="9" s="1"/>
  <c r="U173" i="6"/>
  <c r="U180" i="9" s="1"/>
  <c r="T173" i="6"/>
  <c r="T180" i="9" s="1"/>
  <c r="S173" i="6"/>
  <c r="S180" i="9" s="1"/>
  <c r="R173" i="6"/>
  <c r="R180" i="9" s="1"/>
  <c r="Q173" i="6"/>
  <c r="Q180" i="9" s="1"/>
  <c r="P173" i="6"/>
  <c r="P180" i="9" s="1"/>
  <c r="O173" i="6"/>
  <c r="O180" i="9" s="1"/>
  <c r="N173" i="6"/>
  <c r="N180" i="9" s="1"/>
  <c r="M173" i="6"/>
  <c r="M180" i="9" s="1"/>
  <c r="L173" i="6"/>
  <c r="L180" i="9" s="1"/>
  <c r="K180" i="9"/>
  <c r="J180" i="9"/>
  <c r="G180" i="9"/>
  <c r="D173" i="6"/>
  <c r="D180" i="9" s="1"/>
  <c r="U172" i="6"/>
  <c r="U179" i="9" s="1"/>
  <c r="T172" i="6"/>
  <c r="T179" i="9" s="1"/>
  <c r="S172" i="6"/>
  <c r="S179" i="9" s="1"/>
  <c r="R172" i="6"/>
  <c r="R179" i="9" s="1"/>
  <c r="Q172" i="6"/>
  <c r="Q179" i="9" s="1"/>
  <c r="P172" i="6"/>
  <c r="P179" i="9" s="1"/>
  <c r="O172" i="6"/>
  <c r="O179" i="9" s="1"/>
  <c r="N172" i="6"/>
  <c r="N179" i="9" s="1"/>
  <c r="M172" i="6"/>
  <c r="M179" i="9" s="1"/>
  <c r="L172" i="6"/>
  <c r="L179" i="9" s="1"/>
  <c r="K179" i="9"/>
  <c r="J179" i="9"/>
  <c r="G179" i="9"/>
  <c r="D172" i="6"/>
  <c r="D179" i="9" s="1"/>
  <c r="U171" i="6"/>
  <c r="U178" i="9" s="1"/>
  <c r="T171" i="6"/>
  <c r="T178" i="9" s="1"/>
  <c r="S171" i="6"/>
  <c r="S178" i="9" s="1"/>
  <c r="R171" i="6"/>
  <c r="R178" i="9" s="1"/>
  <c r="Q171" i="6"/>
  <c r="Q178" i="9" s="1"/>
  <c r="P171" i="6"/>
  <c r="P178" i="9" s="1"/>
  <c r="O171" i="6"/>
  <c r="O178" i="9" s="1"/>
  <c r="N171" i="6"/>
  <c r="N178" i="9" s="1"/>
  <c r="M171" i="6"/>
  <c r="M178" i="9" s="1"/>
  <c r="L171" i="6"/>
  <c r="L178" i="9" s="1"/>
  <c r="K178" i="9"/>
  <c r="J178" i="9"/>
  <c r="G178" i="9"/>
  <c r="D171" i="6"/>
  <c r="D178" i="9" s="1"/>
  <c r="U170" i="6"/>
  <c r="U177" i="9" s="1"/>
  <c r="T170" i="6"/>
  <c r="T177" i="9" s="1"/>
  <c r="S170" i="6"/>
  <c r="S177" i="9" s="1"/>
  <c r="R170" i="6"/>
  <c r="R177" i="9" s="1"/>
  <c r="Q170" i="6"/>
  <c r="Q177" i="9" s="1"/>
  <c r="P170" i="6"/>
  <c r="P177" i="9" s="1"/>
  <c r="O170" i="6"/>
  <c r="O177" i="9" s="1"/>
  <c r="N170" i="6"/>
  <c r="N177" i="9" s="1"/>
  <c r="M170" i="6"/>
  <c r="M177" i="9" s="1"/>
  <c r="L170" i="6"/>
  <c r="L177" i="9" s="1"/>
  <c r="K177" i="9"/>
  <c r="J177" i="9"/>
  <c r="G177" i="9"/>
  <c r="D170" i="6"/>
  <c r="D177" i="9" s="1"/>
  <c r="U169" i="6"/>
  <c r="U176" i="9" s="1"/>
  <c r="T169" i="6"/>
  <c r="T176" i="9" s="1"/>
  <c r="S169" i="6"/>
  <c r="S176" i="9" s="1"/>
  <c r="R169" i="6"/>
  <c r="R176" i="9" s="1"/>
  <c r="Q169" i="6"/>
  <c r="Q176" i="9" s="1"/>
  <c r="P169" i="6"/>
  <c r="P176" i="9" s="1"/>
  <c r="O169" i="6"/>
  <c r="O176" i="9" s="1"/>
  <c r="N169" i="6"/>
  <c r="N176" i="9" s="1"/>
  <c r="M169" i="6"/>
  <c r="M176" i="9" s="1"/>
  <c r="L169" i="6"/>
  <c r="L176" i="9" s="1"/>
  <c r="K176" i="9"/>
  <c r="J176" i="9"/>
  <c r="G176" i="9"/>
  <c r="D169" i="6"/>
  <c r="D176" i="9" s="1"/>
  <c r="U168" i="6"/>
  <c r="U175" i="9" s="1"/>
  <c r="T168" i="6"/>
  <c r="T175" i="9" s="1"/>
  <c r="S168" i="6"/>
  <c r="S175" i="9" s="1"/>
  <c r="R168" i="6"/>
  <c r="R175" i="9" s="1"/>
  <c r="Q168" i="6"/>
  <c r="Q175" i="9" s="1"/>
  <c r="P168" i="6"/>
  <c r="P175" i="9" s="1"/>
  <c r="O168" i="6"/>
  <c r="O175" i="9" s="1"/>
  <c r="N168" i="6"/>
  <c r="N175" i="9" s="1"/>
  <c r="M168" i="6"/>
  <c r="M175" i="9" s="1"/>
  <c r="L168" i="6"/>
  <c r="L175" i="9" s="1"/>
  <c r="K175" i="9"/>
  <c r="J175" i="9"/>
  <c r="G175" i="9"/>
  <c r="D168" i="6"/>
  <c r="D175" i="9" s="1"/>
  <c r="U167" i="6"/>
  <c r="U174" i="9" s="1"/>
  <c r="T167" i="6"/>
  <c r="T174" i="9" s="1"/>
  <c r="S167" i="6"/>
  <c r="S174" i="9" s="1"/>
  <c r="R167" i="6"/>
  <c r="R174" i="9" s="1"/>
  <c r="Q167" i="6"/>
  <c r="Q174" i="9" s="1"/>
  <c r="P167" i="6"/>
  <c r="P174" i="9" s="1"/>
  <c r="O167" i="6"/>
  <c r="O174" i="9" s="1"/>
  <c r="N167" i="6"/>
  <c r="N174" i="9" s="1"/>
  <c r="M167" i="6"/>
  <c r="M174" i="9" s="1"/>
  <c r="L167" i="6"/>
  <c r="L174" i="9" s="1"/>
  <c r="K174" i="9"/>
  <c r="J174" i="9"/>
  <c r="G174" i="9"/>
  <c r="D167" i="6"/>
  <c r="D174" i="9" s="1"/>
  <c r="U166" i="6"/>
  <c r="U173" i="9" s="1"/>
  <c r="T166" i="6"/>
  <c r="T173" i="9" s="1"/>
  <c r="S166" i="6"/>
  <c r="S173" i="9" s="1"/>
  <c r="R166" i="6"/>
  <c r="R173" i="9" s="1"/>
  <c r="Q166" i="6"/>
  <c r="Q173" i="9" s="1"/>
  <c r="P166" i="6"/>
  <c r="P173" i="9" s="1"/>
  <c r="O166" i="6"/>
  <c r="O173" i="9" s="1"/>
  <c r="N166" i="6"/>
  <c r="N173" i="9" s="1"/>
  <c r="M166" i="6"/>
  <c r="M173" i="9" s="1"/>
  <c r="L166" i="6"/>
  <c r="L173" i="9" s="1"/>
  <c r="K173" i="9"/>
  <c r="J173" i="9"/>
  <c r="G173" i="9"/>
  <c r="D166" i="6"/>
  <c r="D173" i="9" s="1"/>
  <c r="U165" i="6"/>
  <c r="U172" i="9" s="1"/>
  <c r="T165" i="6"/>
  <c r="T172" i="9" s="1"/>
  <c r="S165" i="6"/>
  <c r="S172" i="9" s="1"/>
  <c r="R165" i="6"/>
  <c r="R172" i="9" s="1"/>
  <c r="Q165" i="6"/>
  <c r="Q172" i="9" s="1"/>
  <c r="P165" i="6"/>
  <c r="P172" i="9" s="1"/>
  <c r="O165" i="6"/>
  <c r="O172" i="9" s="1"/>
  <c r="N165" i="6"/>
  <c r="N172" i="9" s="1"/>
  <c r="M165" i="6"/>
  <c r="M172" i="9" s="1"/>
  <c r="L165" i="6"/>
  <c r="L172" i="9" s="1"/>
  <c r="K172" i="9"/>
  <c r="J172" i="9"/>
  <c r="G172" i="9"/>
  <c r="D165" i="6"/>
  <c r="D172" i="9" s="1"/>
  <c r="U164" i="6"/>
  <c r="U171" i="9" s="1"/>
  <c r="T164" i="6"/>
  <c r="T171" i="9" s="1"/>
  <c r="S164" i="6"/>
  <c r="S171" i="9" s="1"/>
  <c r="R164" i="6"/>
  <c r="R171" i="9" s="1"/>
  <c r="Q164" i="6"/>
  <c r="Q171" i="9" s="1"/>
  <c r="P164" i="6"/>
  <c r="P171" i="9" s="1"/>
  <c r="O164" i="6"/>
  <c r="O171" i="9" s="1"/>
  <c r="N164" i="6"/>
  <c r="N171" i="9" s="1"/>
  <c r="M164" i="6"/>
  <c r="M171" i="9" s="1"/>
  <c r="L164" i="6"/>
  <c r="L171" i="9" s="1"/>
  <c r="K171" i="9"/>
  <c r="J171" i="9"/>
  <c r="G171" i="9"/>
  <c r="E164" i="6"/>
  <c r="E171" i="9" s="1"/>
  <c r="D164" i="6"/>
  <c r="D171" i="9" s="1"/>
  <c r="U163" i="6"/>
  <c r="U170" i="9" s="1"/>
  <c r="T163" i="6"/>
  <c r="T170" i="9" s="1"/>
  <c r="S163" i="6"/>
  <c r="S170" i="9" s="1"/>
  <c r="R163" i="6"/>
  <c r="R170" i="9" s="1"/>
  <c r="Q163" i="6"/>
  <c r="Q170" i="9" s="1"/>
  <c r="P163" i="6"/>
  <c r="P170" i="9" s="1"/>
  <c r="O163" i="6"/>
  <c r="O170" i="9" s="1"/>
  <c r="N163" i="6"/>
  <c r="N170" i="9" s="1"/>
  <c r="M163" i="6"/>
  <c r="M170" i="9" s="1"/>
  <c r="L163" i="6"/>
  <c r="L170" i="9" s="1"/>
  <c r="K170" i="9"/>
  <c r="J170" i="9"/>
  <c r="G170" i="9"/>
  <c r="D163" i="6"/>
  <c r="D170" i="9" s="1"/>
  <c r="U162" i="6"/>
  <c r="U169" i="9" s="1"/>
  <c r="T162" i="6"/>
  <c r="T169" i="9" s="1"/>
  <c r="S162" i="6"/>
  <c r="S169" i="9" s="1"/>
  <c r="R162" i="6"/>
  <c r="R169" i="9" s="1"/>
  <c r="Q162" i="6"/>
  <c r="Q169" i="9" s="1"/>
  <c r="P162" i="6"/>
  <c r="P169" i="9" s="1"/>
  <c r="O162" i="6"/>
  <c r="O169" i="9" s="1"/>
  <c r="N162" i="6"/>
  <c r="N169" i="9" s="1"/>
  <c r="M162" i="6"/>
  <c r="M169" i="9" s="1"/>
  <c r="L162" i="6"/>
  <c r="L169" i="9" s="1"/>
  <c r="K169" i="9"/>
  <c r="J169" i="9"/>
  <c r="G169" i="9"/>
  <c r="D162" i="6"/>
  <c r="D169" i="9" s="1"/>
  <c r="U161" i="6"/>
  <c r="U168" i="9" s="1"/>
  <c r="T161" i="6"/>
  <c r="T168" i="9" s="1"/>
  <c r="S161" i="6"/>
  <c r="S168" i="9" s="1"/>
  <c r="R161" i="6"/>
  <c r="R168" i="9" s="1"/>
  <c r="Q161" i="6"/>
  <c r="Q168" i="9" s="1"/>
  <c r="P161" i="6"/>
  <c r="P168" i="9" s="1"/>
  <c r="O161" i="6"/>
  <c r="O168" i="9" s="1"/>
  <c r="N161" i="6"/>
  <c r="N168" i="9" s="1"/>
  <c r="M161" i="6"/>
  <c r="M168" i="9" s="1"/>
  <c r="L161" i="6"/>
  <c r="L168" i="9" s="1"/>
  <c r="K168" i="9"/>
  <c r="J168" i="9"/>
  <c r="G168" i="9"/>
  <c r="D161" i="6"/>
  <c r="D168" i="9" s="1"/>
  <c r="U160" i="6"/>
  <c r="U167" i="9" s="1"/>
  <c r="T160" i="6"/>
  <c r="T167" i="9" s="1"/>
  <c r="S160" i="6"/>
  <c r="S167" i="9" s="1"/>
  <c r="R160" i="6"/>
  <c r="R167" i="9" s="1"/>
  <c r="Q160" i="6"/>
  <c r="Q167" i="9" s="1"/>
  <c r="P160" i="6"/>
  <c r="P167" i="9" s="1"/>
  <c r="O160" i="6"/>
  <c r="O167" i="9" s="1"/>
  <c r="N160" i="6"/>
  <c r="N167" i="9" s="1"/>
  <c r="M160" i="6"/>
  <c r="M167" i="9" s="1"/>
  <c r="L160" i="6"/>
  <c r="L167" i="9" s="1"/>
  <c r="K167" i="9"/>
  <c r="J167" i="9"/>
  <c r="G167" i="9"/>
  <c r="D160" i="6"/>
  <c r="D167" i="9" s="1"/>
  <c r="U159" i="6"/>
  <c r="U166" i="9" s="1"/>
  <c r="T159" i="6"/>
  <c r="T166" i="9" s="1"/>
  <c r="S159" i="6"/>
  <c r="S166" i="9" s="1"/>
  <c r="R159" i="6"/>
  <c r="R166" i="9" s="1"/>
  <c r="Q159" i="6"/>
  <c r="Q166" i="9" s="1"/>
  <c r="P159" i="6"/>
  <c r="P166" i="9" s="1"/>
  <c r="O159" i="6"/>
  <c r="O166" i="9" s="1"/>
  <c r="N159" i="6"/>
  <c r="N166" i="9" s="1"/>
  <c r="M159" i="6"/>
  <c r="M166" i="9" s="1"/>
  <c r="L159" i="6"/>
  <c r="L166" i="9" s="1"/>
  <c r="K166" i="9"/>
  <c r="J166" i="9"/>
  <c r="G166" i="9"/>
  <c r="D159" i="6"/>
  <c r="D166" i="9" s="1"/>
  <c r="U158" i="6"/>
  <c r="U165" i="9" s="1"/>
  <c r="T158" i="6"/>
  <c r="T165" i="9" s="1"/>
  <c r="S158" i="6"/>
  <c r="S165" i="9" s="1"/>
  <c r="R158" i="6"/>
  <c r="R165" i="9" s="1"/>
  <c r="Q158" i="6"/>
  <c r="Q165" i="9" s="1"/>
  <c r="P158" i="6"/>
  <c r="P165" i="9" s="1"/>
  <c r="O158" i="6"/>
  <c r="O165" i="9" s="1"/>
  <c r="N158" i="6"/>
  <c r="N165" i="9" s="1"/>
  <c r="M158" i="6"/>
  <c r="M165" i="9" s="1"/>
  <c r="L158" i="6"/>
  <c r="L165" i="9" s="1"/>
  <c r="K165" i="9"/>
  <c r="J165" i="9"/>
  <c r="G165" i="9"/>
  <c r="D158" i="6"/>
  <c r="D165" i="9" s="1"/>
  <c r="U157" i="6"/>
  <c r="U164" i="9" s="1"/>
  <c r="T157" i="6"/>
  <c r="T164" i="9" s="1"/>
  <c r="S157" i="6"/>
  <c r="S164" i="9" s="1"/>
  <c r="R157" i="6"/>
  <c r="R164" i="9" s="1"/>
  <c r="Q157" i="6"/>
  <c r="Q164" i="9" s="1"/>
  <c r="P157" i="6"/>
  <c r="P164" i="9" s="1"/>
  <c r="O157" i="6"/>
  <c r="O164" i="9" s="1"/>
  <c r="N157" i="6"/>
  <c r="N164" i="9" s="1"/>
  <c r="M157" i="6"/>
  <c r="M164" i="9" s="1"/>
  <c r="L157" i="6"/>
  <c r="L164" i="9" s="1"/>
  <c r="K164" i="9"/>
  <c r="J164" i="9"/>
  <c r="G164" i="9"/>
  <c r="D157" i="6"/>
  <c r="D164" i="9" s="1"/>
  <c r="U156" i="6"/>
  <c r="U163" i="9" s="1"/>
  <c r="T156" i="6"/>
  <c r="T163" i="9" s="1"/>
  <c r="S156" i="6"/>
  <c r="S163" i="9" s="1"/>
  <c r="R156" i="6"/>
  <c r="R163" i="9" s="1"/>
  <c r="Q156" i="6"/>
  <c r="Q163" i="9" s="1"/>
  <c r="P156" i="6"/>
  <c r="P163" i="9" s="1"/>
  <c r="O156" i="6"/>
  <c r="O163" i="9" s="1"/>
  <c r="N156" i="6"/>
  <c r="N163" i="9" s="1"/>
  <c r="M156" i="6"/>
  <c r="M163" i="9" s="1"/>
  <c r="L156" i="6"/>
  <c r="L163" i="9" s="1"/>
  <c r="K163" i="9"/>
  <c r="J163" i="9"/>
  <c r="G163" i="9"/>
  <c r="D156" i="6"/>
  <c r="D163" i="9" s="1"/>
  <c r="U155" i="6"/>
  <c r="U162" i="9" s="1"/>
  <c r="T155" i="6"/>
  <c r="T162" i="9" s="1"/>
  <c r="S155" i="6"/>
  <c r="S162" i="9" s="1"/>
  <c r="R155" i="6"/>
  <c r="R162" i="9" s="1"/>
  <c r="Q155" i="6"/>
  <c r="Q162" i="9" s="1"/>
  <c r="P155" i="6"/>
  <c r="P162" i="9" s="1"/>
  <c r="O155" i="6"/>
  <c r="O162" i="9" s="1"/>
  <c r="N155" i="6"/>
  <c r="N162" i="9" s="1"/>
  <c r="M155" i="6"/>
  <c r="M162" i="9" s="1"/>
  <c r="L155" i="6"/>
  <c r="L162" i="9" s="1"/>
  <c r="K162" i="9"/>
  <c r="J162" i="9"/>
  <c r="G162" i="9"/>
  <c r="D155" i="6"/>
  <c r="D162" i="9" s="1"/>
  <c r="U154" i="6"/>
  <c r="U161" i="9" s="1"/>
  <c r="T154" i="6"/>
  <c r="T161" i="9" s="1"/>
  <c r="S154" i="6"/>
  <c r="S161" i="9" s="1"/>
  <c r="R154" i="6"/>
  <c r="R161" i="9" s="1"/>
  <c r="Q154" i="6"/>
  <c r="Q161" i="9" s="1"/>
  <c r="P154" i="6"/>
  <c r="P161" i="9" s="1"/>
  <c r="O154" i="6"/>
  <c r="O161" i="9" s="1"/>
  <c r="N154" i="6"/>
  <c r="N161" i="9" s="1"/>
  <c r="M154" i="6"/>
  <c r="M161" i="9" s="1"/>
  <c r="L154" i="6"/>
  <c r="L161" i="9" s="1"/>
  <c r="K161" i="9"/>
  <c r="J161" i="9"/>
  <c r="G161" i="9"/>
  <c r="D154" i="6"/>
  <c r="D161" i="9" s="1"/>
  <c r="U153" i="6"/>
  <c r="U160" i="9" s="1"/>
  <c r="T153" i="6"/>
  <c r="T160" i="9" s="1"/>
  <c r="S153" i="6"/>
  <c r="S160" i="9" s="1"/>
  <c r="R153" i="6"/>
  <c r="R160" i="9" s="1"/>
  <c r="Q153" i="6"/>
  <c r="Q160" i="9" s="1"/>
  <c r="P153" i="6"/>
  <c r="P160" i="9" s="1"/>
  <c r="O153" i="6"/>
  <c r="O160" i="9" s="1"/>
  <c r="N153" i="6"/>
  <c r="N160" i="9" s="1"/>
  <c r="M153" i="6"/>
  <c r="M160" i="9" s="1"/>
  <c r="L153" i="6"/>
  <c r="L160" i="9" s="1"/>
  <c r="K160" i="9"/>
  <c r="J160" i="9"/>
  <c r="G160" i="9"/>
  <c r="D153" i="6"/>
  <c r="D160" i="9" s="1"/>
  <c r="U152" i="6"/>
  <c r="U159" i="9" s="1"/>
  <c r="T152" i="6"/>
  <c r="T159" i="9" s="1"/>
  <c r="S152" i="6"/>
  <c r="S159" i="9" s="1"/>
  <c r="R152" i="6"/>
  <c r="R159" i="9" s="1"/>
  <c r="Q152" i="6"/>
  <c r="Q159" i="9" s="1"/>
  <c r="P152" i="6"/>
  <c r="P159" i="9" s="1"/>
  <c r="O152" i="6"/>
  <c r="O159" i="9" s="1"/>
  <c r="N152" i="6"/>
  <c r="N159" i="9" s="1"/>
  <c r="M152" i="6"/>
  <c r="M159" i="9" s="1"/>
  <c r="L152" i="6"/>
  <c r="L159" i="9" s="1"/>
  <c r="K159" i="9"/>
  <c r="J159" i="9"/>
  <c r="G159" i="9"/>
  <c r="D152" i="6"/>
  <c r="D159" i="9" s="1"/>
  <c r="U151" i="6"/>
  <c r="U158" i="9" s="1"/>
  <c r="T151" i="6"/>
  <c r="T158" i="9" s="1"/>
  <c r="S151" i="6"/>
  <c r="S158" i="9" s="1"/>
  <c r="R151" i="6"/>
  <c r="R158" i="9" s="1"/>
  <c r="Q151" i="6"/>
  <c r="Q158" i="9" s="1"/>
  <c r="P151" i="6"/>
  <c r="P158" i="9" s="1"/>
  <c r="O151" i="6"/>
  <c r="O158" i="9" s="1"/>
  <c r="N151" i="6"/>
  <c r="N158" i="9" s="1"/>
  <c r="M151" i="6"/>
  <c r="M158" i="9" s="1"/>
  <c r="L151" i="6"/>
  <c r="L158" i="9" s="1"/>
  <c r="K158" i="9"/>
  <c r="J158" i="9"/>
  <c r="G158" i="9"/>
  <c r="D151" i="6"/>
  <c r="D158" i="9" s="1"/>
  <c r="U150" i="6"/>
  <c r="U157" i="9" s="1"/>
  <c r="T150" i="6"/>
  <c r="T157" i="9" s="1"/>
  <c r="S150" i="6"/>
  <c r="S157" i="9" s="1"/>
  <c r="R150" i="6"/>
  <c r="R157" i="9" s="1"/>
  <c r="Q150" i="6"/>
  <c r="Q157" i="9" s="1"/>
  <c r="P150" i="6"/>
  <c r="P157" i="9" s="1"/>
  <c r="O150" i="6"/>
  <c r="O157" i="9" s="1"/>
  <c r="N150" i="6"/>
  <c r="N157" i="9" s="1"/>
  <c r="M150" i="6"/>
  <c r="M157" i="9" s="1"/>
  <c r="L150" i="6"/>
  <c r="L157" i="9" s="1"/>
  <c r="K157" i="9"/>
  <c r="J157" i="9"/>
  <c r="G157" i="9"/>
  <c r="D150" i="6"/>
  <c r="D157" i="9" s="1"/>
  <c r="U149" i="6"/>
  <c r="U156" i="9" s="1"/>
  <c r="T149" i="6"/>
  <c r="T156" i="9" s="1"/>
  <c r="S149" i="6"/>
  <c r="S156" i="9" s="1"/>
  <c r="R149" i="6"/>
  <c r="R156" i="9" s="1"/>
  <c r="Q149" i="6"/>
  <c r="Q156" i="9" s="1"/>
  <c r="P149" i="6"/>
  <c r="P156" i="9" s="1"/>
  <c r="O149" i="6"/>
  <c r="O156" i="9" s="1"/>
  <c r="N149" i="6"/>
  <c r="N156" i="9" s="1"/>
  <c r="M149" i="6"/>
  <c r="M156" i="9" s="1"/>
  <c r="L149" i="6"/>
  <c r="L156" i="9" s="1"/>
  <c r="K156" i="9"/>
  <c r="J156" i="9"/>
  <c r="G156" i="9"/>
  <c r="D149" i="6"/>
  <c r="D156" i="9" s="1"/>
  <c r="U148" i="6"/>
  <c r="U155" i="9" s="1"/>
  <c r="T148" i="6"/>
  <c r="T155" i="9" s="1"/>
  <c r="S148" i="6"/>
  <c r="S155" i="9" s="1"/>
  <c r="R148" i="6"/>
  <c r="R155" i="9" s="1"/>
  <c r="Q148" i="6"/>
  <c r="Q155" i="9" s="1"/>
  <c r="P148" i="6"/>
  <c r="P155" i="9" s="1"/>
  <c r="O148" i="6"/>
  <c r="O155" i="9" s="1"/>
  <c r="N148" i="6"/>
  <c r="N155" i="9" s="1"/>
  <c r="M148" i="6"/>
  <c r="M155" i="9" s="1"/>
  <c r="L148" i="6"/>
  <c r="L155" i="9" s="1"/>
  <c r="K155" i="9"/>
  <c r="J155" i="9"/>
  <c r="G155" i="9"/>
  <c r="D148" i="6"/>
  <c r="D155" i="9" s="1"/>
  <c r="U147" i="6"/>
  <c r="U154" i="9" s="1"/>
  <c r="T147" i="6"/>
  <c r="T154" i="9" s="1"/>
  <c r="S147" i="6"/>
  <c r="S154" i="9" s="1"/>
  <c r="R147" i="6"/>
  <c r="R154" i="9" s="1"/>
  <c r="Q147" i="6"/>
  <c r="Q154" i="9" s="1"/>
  <c r="P147" i="6"/>
  <c r="P154" i="9" s="1"/>
  <c r="O147" i="6"/>
  <c r="O154" i="9" s="1"/>
  <c r="N147" i="6"/>
  <c r="N154" i="9" s="1"/>
  <c r="M147" i="6"/>
  <c r="M154" i="9" s="1"/>
  <c r="L147" i="6"/>
  <c r="L154" i="9" s="1"/>
  <c r="K154" i="9"/>
  <c r="J154" i="9"/>
  <c r="G154" i="9"/>
  <c r="D147" i="6"/>
  <c r="D154" i="9" s="1"/>
  <c r="U146" i="6"/>
  <c r="U153" i="9" s="1"/>
  <c r="T146" i="6"/>
  <c r="T153" i="9" s="1"/>
  <c r="S146" i="6"/>
  <c r="S153" i="9" s="1"/>
  <c r="R146" i="6"/>
  <c r="R153" i="9" s="1"/>
  <c r="Q146" i="6"/>
  <c r="Q153" i="9" s="1"/>
  <c r="P146" i="6"/>
  <c r="P153" i="9" s="1"/>
  <c r="O146" i="6"/>
  <c r="O153" i="9" s="1"/>
  <c r="N146" i="6"/>
  <c r="N153" i="9" s="1"/>
  <c r="M146" i="6"/>
  <c r="M153" i="9" s="1"/>
  <c r="L146" i="6"/>
  <c r="L153" i="9" s="1"/>
  <c r="K153" i="9"/>
  <c r="J153" i="9"/>
  <c r="G153" i="9"/>
  <c r="D146" i="6"/>
  <c r="D153" i="9" s="1"/>
  <c r="U145" i="6"/>
  <c r="U152" i="9" s="1"/>
  <c r="T145" i="6"/>
  <c r="T152" i="9" s="1"/>
  <c r="S145" i="6"/>
  <c r="S152" i="9" s="1"/>
  <c r="R145" i="6"/>
  <c r="R152" i="9" s="1"/>
  <c r="Q145" i="6"/>
  <c r="Q152" i="9" s="1"/>
  <c r="P145" i="6"/>
  <c r="P152" i="9" s="1"/>
  <c r="O145" i="6"/>
  <c r="O152" i="9" s="1"/>
  <c r="N145" i="6"/>
  <c r="N152" i="9" s="1"/>
  <c r="M145" i="6"/>
  <c r="M152" i="9" s="1"/>
  <c r="L145" i="6"/>
  <c r="L152" i="9" s="1"/>
  <c r="K152" i="9"/>
  <c r="J152" i="9"/>
  <c r="G152" i="9"/>
  <c r="D145" i="6"/>
  <c r="D152" i="9" s="1"/>
  <c r="U144" i="6"/>
  <c r="U151" i="9" s="1"/>
  <c r="T144" i="6"/>
  <c r="T151" i="9" s="1"/>
  <c r="S144" i="6"/>
  <c r="S151" i="9" s="1"/>
  <c r="R144" i="6"/>
  <c r="R151" i="9" s="1"/>
  <c r="Q144" i="6"/>
  <c r="Q151" i="9" s="1"/>
  <c r="P144" i="6"/>
  <c r="P151" i="9" s="1"/>
  <c r="O144" i="6"/>
  <c r="O151" i="9" s="1"/>
  <c r="N144" i="6"/>
  <c r="N151" i="9" s="1"/>
  <c r="M144" i="6"/>
  <c r="M151" i="9" s="1"/>
  <c r="L144" i="6"/>
  <c r="L151" i="9" s="1"/>
  <c r="K151" i="9"/>
  <c r="J151" i="9"/>
  <c r="G151" i="9"/>
  <c r="D144" i="6"/>
  <c r="D151" i="9" s="1"/>
  <c r="U143" i="6"/>
  <c r="U150" i="9" s="1"/>
  <c r="T143" i="6"/>
  <c r="T150" i="9" s="1"/>
  <c r="S143" i="6"/>
  <c r="S150" i="9" s="1"/>
  <c r="R143" i="6"/>
  <c r="R150" i="9" s="1"/>
  <c r="Q143" i="6"/>
  <c r="Q150" i="9" s="1"/>
  <c r="P143" i="6"/>
  <c r="P150" i="9" s="1"/>
  <c r="O143" i="6"/>
  <c r="O150" i="9" s="1"/>
  <c r="N143" i="6"/>
  <c r="N150" i="9" s="1"/>
  <c r="M143" i="6"/>
  <c r="M150" i="9" s="1"/>
  <c r="L143" i="6"/>
  <c r="L150" i="9" s="1"/>
  <c r="K150" i="9"/>
  <c r="J150" i="9"/>
  <c r="G150" i="9"/>
  <c r="D143" i="6"/>
  <c r="D150" i="9" s="1"/>
  <c r="U142" i="6"/>
  <c r="U149" i="9" s="1"/>
  <c r="T142" i="6"/>
  <c r="T149" i="9" s="1"/>
  <c r="S142" i="6"/>
  <c r="S149" i="9" s="1"/>
  <c r="R142" i="6"/>
  <c r="R149" i="9" s="1"/>
  <c r="Q142" i="6"/>
  <c r="Q149" i="9" s="1"/>
  <c r="P142" i="6"/>
  <c r="P149" i="9" s="1"/>
  <c r="O142" i="6"/>
  <c r="O149" i="9" s="1"/>
  <c r="N142" i="6"/>
  <c r="N149" i="9" s="1"/>
  <c r="M142" i="6"/>
  <c r="M149" i="9" s="1"/>
  <c r="L142" i="6"/>
  <c r="L149" i="9" s="1"/>
  <c r="K149" i="9"/>
  <c r="J149" i="9"/>
  <c r="G149" i="9"/>
  <c r="D142" i="6"/>
  <c r="D149" i="9" s="1"/>
  <c r="U141" i="6"/>
  <c r="U148" i="9" s="1"/>
  <c r="T141" i="6"/>
  <c r="T148" i="9" s="1"/>
  <c r="S141" i="6"/>
  <c r="S148" i="9" s="1"/>
  <c r="R141" i="6"/>
  <c r="R148" i="9" s="1"/>
  <c r="Q141" i="6"/>
  <c r="Q148" i="9" s="1"/>
  <c r="P141" i="6"/>
  <c r="P148" i="9" s="1"/>
  <c r="O141" i="6"/>
  <c r="O148" i="9" s="1"/>
  <c r="N141" i="6"/>
  <c r="N148" i="9" s="1"/>
  <c r="M141" i="6"/>
  <c r="M148" i="9" s="1"/>
  <c r="L141" i="6"/>
  <c r="L148" i="9" s="1"/>
  <c r="K148" i="9"/>
  <c r="J148" i="9"/>
  <c r="G148" i="9"/>
  <c r="D141" i="6"/>
  <c r="D148" i="9" s="1"/>
  <c r="U140" i="6"/>
  <c r="U147" i="9" s="1"/>
  <c r="T140" i="6"/>
  <c r="T147" i="9" s="1"/>
  <c r="S140" i="6"/>
  <c r="S147" i="9" s="1"/>
  <c r="R140" i="6"/>
  <c r="R147" i="9" s="1"/>
  <c r="Q140" i="6"/>
  <c r="Q147" i="9" s="1"/>
  <c r="P140" i="6"/>
  <c r="P147" i="9" s="1"/>
  <c r="O140" i="6"/>
  <c r="O147" i="9" s="1"/>
  <c r="N140" i="6"/>
  <c r="N147" i="9" s="1"/>
  <c r="M140" i="6"/>
  <c r="M147" i="9" s="1"/>
  <c r="L140" i="6"/>
  <c r="L147" i="9" s="1"/>
  <c r="K147" i="9"/>
  <c r="J147" i="9"/>
  <c r="G147" i="9"/>
  <c r="D140" i="6"/>
  <c r="D147" i="9" s="1"/>
  <c r="U139" i="6"/>
  <c r="U146" i="9" s="1"/>
  <c r="T139" i="6"/>
  <c r="T146" i="9" s="1"/>
  <c r="S139" i="6"/>
  <c r="S146" i="9" s="1"/>
  <c r="R139" i="6"/>
  <c r="R146" i="9" s="1"/>
  <c r="Q139" i="6"/>
  <c r="Q146" i="9" s="1"/>
  <c r="P139" i="6"/>
  <c r="P146" i="9" s="1"/>
  <c r="O139" i="6"/>
  <c r="O146" i="9" s="1"/>
  <c r="N139" i="6"/>
  <c r="N146" i="9" s="1"/>
  <c r="M139" i="6"/>
  <c r="M146" i="9" s="1"/>
  <c r="L139" i="6"/>
  <c r="L146" i="9" s="1"/>
  <c r="K146" i="9"/>
  <c r="J146" i="9"/>
  <c r="G146" i="9"/>
  <c r="D139" i="6"/>
  <c r="D146" i="9" s="1"/>
  <c r="U138" i="6"/>
  <c r="U145" i="9" s="1"/>
  <c r="T138" i="6"/>
  <c r="T145" i="9" s="1"/>
  <c r="S138" i="6"/>
  <c r="S145" i="9" s="1"/>
  <c r="R138" i="6"/>
  <c r="R145" i="9" s="1"/>
  <c r="Q138" i="6"/>
  <c r="Q145" i="9" s="1"/>
  <c r="P138" i="6"/>
  <c r="P145" i="9" s="1"/>
  <c r="O138" i="6"/>
  <c r="O145" i="9" s="1"/>
  <c r="N138" i="6"/>
  <c r="N145" i="9" s="1"/>
  <c r="M138" i="6"/>
  <c r="M145" i="9" s="1"/>
  <c r="L138" i="6"/>
  <c r="L145" i="9" s="1"/>
  <c r="K145" i="9"/>
  <c r="J145" i="9"/>
  <c r="G145" i="9"/>
  <c r="D138" i="6"/>
  <c r="D145" i="9" s="1"/>
  <c r="U137" i="6"/>
  <c r="U144" i="9" s="1"/>
  <c r="T137" i="6"/>
  <c r="T144" i="9" s="1"/>
  <c r="S137" i="6"/>
  <c r="S144" i="9" s="1"/>
  <c r="R137" i="6"/>
  <c r="R144" i="9" s="1"/>
  <c r="Q137" i="6"/>
  <c r="Q144" i="9" s="1"/>
  <c r="P137" i="6"/>
  <c r="P144" i="9" s="1"/>
  <c r="O137" i="6"/>
  <c r="O144" i="9" s="1"/>
  <c r="N137" i="6"/>
  <c r="N144" i="9" s="1"/>
  <c r="M137" i="6"/>
  <c r="M144" i="9" s="1"/>
  <c r="L137" i="6"/>
  <c r="L144" i="9" s="1"/>
  <c r="K144" i="9"/>
  <c r="J144" i="9"/>
  <c r="G144" i="9"/>
  <c r="D137" i="6"/>
  <c r="D144" i="9" s="1"/>
  <c r="U136" i="6"/>
  <c r="U143" i="9" s="1"/>
  <c r="T136" i="6"/>
  <c r="T143" i="9" s="1"/>
  <c r="S136" i="6"/>
  <c r="S143" i="9" s="1"/>
  <c r="R136" i="6"/>
  <c r="R143" i="9" s="1"/>
  <c r="Q136" i="6"/>
  <c r="Q143" i="9" s="1"/>
  <c r="P136" i="6"/>
  <c r="P143" i="9" s="1"/>
  <c r="O136" i="6"/>
  <c r="O143" i="9" s="1"/>
  <c r="N136" i="6"/>
  <c r="N143" i="9" s="1"/>
  <c r="M136" i="6"/>
  <c r="M143" i="9" s="1"/>
  <c r="L136" i="6"/>
  <c r="L143" i="9" s="1"/>
  <c r="K143" i="9"/>
  <c r="J143" i="9"/>
  <c r="G143" i="9"/>
  <c r="D136" i="6"/>
  <c r="D143" i="9" s="1"/>
  <c r="U135" i="6"/>
  <c r="U142" i="9" s="1"/>
  <c r="T135" i="6"/>
  <c r="T142" i="9" s="1"/>
  <c r="S135" i="6"/>
  <c r="S142" i="9" s="1"/>
  <c r="R135" i="6"/>
  <c r="R142" i="9" s="1"/>
  <c r="Q135" i="6"/>
  <c r="Q142" i="9" s="1"/>
  <c r="P135" i="6"/>
  <c r="P142" i="9" s="1"/>
  <c r="O135" i="6"/>
  <c r="O142" i="9" s="1"/>
  <c r="N135" i="6"/>
  <c r="N142" i="9" s="1"/>
  <c r="M135" i="6"/>
  <c r="M142" i="9" s="1"/>
  <c r="L135" i="6"/>
  <c r="L142" i="9" s="1"/>
  <c r="K142" i="9"/>
  <c r="J142" i="9"/>
  <c r="D135" i="6"/>
  <c r="D142" i="9" s="1"/>
  <c r="U134" i="6"/>
  <c r="U141" i="9" s="1"/>
  <c r="T134" i="6"/>
  <c r="T141" i="9" s="1"/>
  <c r="S134" i="6"/>
  <c r="S141" i="9" s="1"/>
  <c r="R134" i="6"/>
  <c r="R141" i="9" s="1"/>
  <c r="Q134" i="6"/>
  <c r="Q141" i="9" s="1"/>
  <c r="P134" i="6"/>
  <c r="P141" i="9" s="1"/>
  <c r="O134" i="6"/>
  <c r="O141" i="9" s="1"/>
  <c r="N134" i="6"/>
  <c r="N141" i="9" s="1"/>
  <c r="M134" i="6"/>
  <c r="M141" i="9" s="1"/>
  <c r="L134" i="6"/>
  <c r="L141" i="9" s="1"/>
  <c r="D134" i="6"/>
  <c r="D141" i="9" s="1"/>
  <c r="U133" i="6"/>
  <c r="U140" i="9" s="1"/>
  <c r="T133" i="6"/>
  <c r="T140" i="9" s="1"/>
  <c r="S133" i="6"/>
  <c r="S140" i="9" s="1"/>
  <c r="R133" i="6"/>
  <c r="R140" i="9" s="1"/>
  <c r="Q133" i="6"/>
  <c r="Q140" i="9" s="1"/>
  <c r="P133" i="6"/>
  <c r="P140" i="9" s="1"/>
  <c r="O133" i="6"/>
  <c r="O140" i="9" s="1"/>
  <c r="N133" i="6"/>
  <c r="N140" i="9" s="1"/>
  <c r="M133" i="6"/>
  <c r="M140" i="9" s="1"/>
  <c r="L133" i="6"/>
  <c r="L140" i="9" s="1"/>
  <c r="K140" i="9"/>
  <c r="J140" i="9"/>
  <c r="G140" i="9"/>
  <c r="D133" i="6"/>
  <c r="D140" i="9" s="1"/>
  <c r="U132" i="6"/>
  <c r="U139" i="9" s="1"/>
  <c r="T132" i="6"/>
  <c r="T139" i="9" s="1"/>
  <c r="S132" i="6"/>
  <c r="S139" i="9" s="1"/>
  <c r="R132" i="6"/>
  <c r="R139" i="9" s="1"/>
  <c r="Q132" i="6"/>
  <c r="Q139" i="9" s="1"/>
  <c r="P132" i="6"/>
  <c r="P139" i="9" s="1"/>
  <c r="O132" i="6"/>
  <c r="O139" i="9" s="1"/>
  <c r="N132" i="6"/>
  <c r="N139" i="9" s="1"/>
  <c r="M132" i="6"/>
  <c r="M139" i="9" s="1"/>
  <c r="L132" i="6"/>
  <c r="L139" i="9" s="1"/>
  <c r="K139" i="9"/>
  <c r="J139" i="9"/>
  <c r="G139" i="9"/>
  <c r="D132" i="6"/>
  <c r="D139" i="9" s="1"/>
  <c r="U131" i="6"/>
  <c r="U138" i="9" s="1"/>
  <c r="T131" i="6"/>
  <c r="T138" i="9" s="1"/>
  <c r="S131" i="6"/>
  <c r="S138" i="9" s="1"/>
  <c r="R131" i="6"/>
  <c r="R138" i="9" s="1"/>
  <c r="Q131" i="6"/>
  <c r="Q138" i="9" s="1"/>
  <c r="P131" i="6"/>
  <c r="P138" i="9" s="1"/>
  <c r="O131" i="6"/>
  <c r="O138" i="9" s="1"/>
  <c r="N131" i="6"/>
  <c r="N138" i="9" s="1"/>
  <c r="M131" i="6"/>
  <c r="M138" i="9" s="1"/>
  <c r="L131" i="6"/>
  <c r="L138" i="9" s="1"/>
  <c r="D131" i="6"/>
  <c r="D138" i="9" s="1"/>
  <c r="U130" i="6"/>
  <c r="U137" i="9" s="1"/>
  <c r="T130" i="6"/>
  <c r="T137" i="9" s="1"/>
  <c r="S130" i="6"/>
  <c r="S137" i="9" s="1"/>
  <c r="R130" i="6"/>
  <c r="R137" i="9" s="1"/>
  <c r="Q130" i="6"/>
  <c r="Q137" i="9" s="1"/>
  <c r="P130" i="6"/>
  <c r="P137" i="9" s="1"/>
  <c r="O130" i="6"/>
  <c r="O137" i="9" s="1"/>
  <c r="N130" i="6"/>
  <c r="N137" i="9" s="1"/>
  <c r="M130" i="6"/>
  <c r="M137" i="9" s="1"/>
  <c r="L130" i="6"/>
  <c r="L137" i="9" s="1"/>
  <c r="J137" i="9"/>
  <c r="G137" i="9"/>
  <c r="D130" i="6"/>
  <c r="D137" i="9" s="1"/>
  <c r="U129" i="6"/>
  <c r="U136" i="9" s="1"/>
  <c r="T129" i="6"/>
  <c r="T136" i="9" s="1"/>
  <c r="S129" i="6"/>
  <c r="S136" i="9" s="1"/>
  <c r="R129" i="6"/>
  <c r="R136" i="9" s="1"/>
  <c r="Q129" i="6"/>
  <c r="Q136" i="9" s="1"/>
  <c r="P129" i="6"/>
  <c r="P136" i="9" s="1"/>
  <c r="O129" i="6"/>
  <c r="O136" i="9" s="1"/>
  <c r="N129" i="6"/>
  <c r="N136" i="9" s="1"/>
  <c r="M129" i="6"/>
  <c r="M136" i="9" s="1"/>
  <c r="L129" i="6"/>
  <c r="L136" i="9" s="1"/>
  <c r="K136" i="9"/>
  <c r="J136" i="9"/>
  <c r="G136" i="9"/>
  <c r="D129" i="6"/>
  <c r="D136" i="9" s="1"/>
  <c r="U128" i="6"/>
  <c r="U135" i="9" s="1"/>
  <c r="T128" i="6"/>
  <c r="T135" i="9" s="1"/>
  <c r="S128" i="6"/>
  <c r="S135" i="9" s="1"/>
  <c r="R128" i="6"/>
  <c r="R135" i="9" s="1"/>
  <c r="Q128" i="6"/>
  <c r="Q135" i="9" s="1"/>
  <c r="P128" i="6"/>
  <c r="P135" i="9" s="1"/>
  <c r="O128" i="6"/>
  <c r="O135" i="9" s="1"/>
  <c r="N128" i="6"/>
  <c r="N135" i="9" s="1"/>
  <c r="M128" i="6"/>
  <c r="M135" i="9" s="1"/>
  <c r="L128" i="6"/>
  <c r="L135" i="9" s="1"/>
  <c r="K135" i="9"/>
  <c r="D128" i="6"/>
  <c r="D135" i="9" s="1"/>
  <c r="U127" i="6"/>
  <c r="U134" i="9" s="1"/>
  <c r="T127" i="6"/>
  <c r="T134" i="9" s="1"/>
  <c r="S127" i="6"/>
  <c r="S134" i="9" s="1"/>
  <c r="R127" i="6"/>
  <c r="R134" i="9" s="1"/>
  <c r="Q127" i="6"/>
  <c r="Q134" i="9" s="1"/>
  <c r="P127" i="6"/>
  <c r="P134" i="9" s="1"/>
  <c r="O127" i="6"/>
  <c r="O134" i="9" s="1"/>
  <c r="N127" i="6"/>
  <c r="N134" i="9" s="1"/>
  <c r="M127" i="6"/>
  <c r="M134" i="9" s="1"/>
  <c r="L127" i="6"/>
  <c r="L134" i="9" s="1"/>
  <c r="G134" i="9"/>
  <c r="D127" i="6"/>
  <c r="D134" i="9" s="1"/>
  <c r="U126" i="6"/>
  <c r="U133" i="9" s="1"/>
  <c r="T126" i="6"/>
  <c r="T133" i="9" s="1"/>
  <c r="S126" i="6"/>
  <c r="S133" i="9" s="1"/>
  <c r="R126" i="6"/>
  <c r="R133" i="9" s="1"/>
  <c r="Q126" i="6"/>
  <c r="Q133" i="9" s="1"/>
  <c r="P126" i="6"/>
  <c r="P133" i="9" s="1"/>
  <c r="O126" i="6"/>
  <c r="O133" i="9" s="1"/>
  <c r="N126" i="6"/>
  <c r="N133" i="9" s="1"/>
  <c r="M126" i="6"/>
  <c r="M133" i="9" s="1"/>
  <c r="L126" i="6"/>
  <c r="L133" i="9" s="1"/>
  <c r="K133" i="9"/>
  <c r="J133" i="9"/>
  <c r="G133" i="9"/>
  <c r="D126" i="6"/>
  <c r="D133" i="9" s="1"/>
  <c r="U125" i="6"/>
  <c r="U132" i="9" s="1"/>
  <c r="T125" i="6"/>
  <c r="T132" i="9" s="1"/>
  <c r="S125" i="6"/>
  <c r="S132" i="9" s="1"/>
  <c r="R125" i="6"/>
  <c r="R132" i="9" s="1"/>
  <c r="Q125" i="6"/>
  <c r="Q132" i="9" s="1"/>
  <c r="P125" i="6"/>
  <c r="P132" i="9" s="1"/>
  <c r="O125" i="6"/>
  <c r="O132" i="9" s="1"/>
  <c r="N125" i="6"/>
  <c r="N132" i="9" s="1"/>
  <c r="M125" i="6"/>
  <c r="M132" i="9" s="1"/>
  <c r="L125" i="6"/>
  <c r="L132" i="9" s="1"/>
  <c r="K132" i="9"/>
  <c r="J132" i="9"/>
  <c r="D125" i="6"/>
  <c r="D132" i="9" s="1"/>
  <c r="U124" i="6"/>
  <c r="U131" i="9" s="1"/>
  <c r="T124" i="6"/>
  <c r="T131" i="9" s="1"/>
  <c r="S124" i="6"/>
  <c r="S131" i="9" s="1"/>
  <c r="R124" i="6"/>
  <c r="R131" i="9" s="1"/>
  <c r="Q124" i="6"/>
  <c r="Q131" i="9" s="1"/>
  <c r="P124" i="6"/>
  <c r="P131" i="9" s="1"/>
  <c r="O124" i="6"/>
  <c r="O131" i="9" s="1"/>
  <c r="N124" i="6"/>
  <c r="N131" i="9" s="1"/>
  <c r="M124" i="6"/>
  <c r="M131" i="9" s="1"/>
  <c r="L124" i="6"/>
  <c r="L131" i="9" s="1"/>
  <c r="D124" i="6"/>
  <c r="D131" i="9" s="1"/>
  <c r="U123" i="6"/>
  <c r="U130" i="9" s="1"/>
  <c r="T123" i="6"/>
  <c r="T130" i="9" s="1"/>
  <c r="S123" i="6"/>
  <c r="S130" i="9" s="1"/>
  <c r="R123" i="6"/>
  <c r="R130" i="9" s="1"/>
  <c r="Q123" i="6"/>
  <c r="Q130" i="9" s="1"/>
  <c r="P123" i="6"/>
  <c r="P130" i="9" s="1"/>
  <c r="O123" i="6"/>
  <c r="O130" i="9" s="1"/>
  <c r="N123" i="6"/>
  <c r="N130" i="9" s="1"/>
  <c r="M123" i="6"/>
  <c r="M130" i="9" s="1"/>
  <c r="L123" i="6"/>
  <c r="L130" i="9" s="1"/>
  <c r="K130" i="9"/>
  <c r="J130" i="9"/>
  <c r="G130" i="9"/>
  <c r="D123" i="6"/>
  <c r="D130" i="9" s="1"/>
  <c r="U122" i="6"/>
  <c r="U129" i="9" s="1"/>
  <c r="T122" i="6"/>
  <c r="T129" i="9" s="1"/>
  <c r="S122" i="6"/>
  <c r="S129" i="9" s="1"/>
  <c r="R122" i="6"/>
  <c r="R129" i="9" s="1"/>
  <c r="Q122" i="6"/>
  <c r="Q129" i="9" s="1"/>
  <c r="P122" i="6"/>
  <c r="P129" i="9" s="1"/>
  <c r="O122" i="6"/>
  <c r="O129" i="9" s="1"/>
  <c r="N122" i="6"/>
  <c r="N129" i="9" s="1"/>
  <c r="M122" i="6"/>
  <c r="M129" i="9" s="1"/>
  <c r="L122" i="6"/>
  <c r="L129" i="9" s="1"/>
  <c r="K129" i="9"/>
  <c r="J129" i="9"/>
  <c r="G129" i="9"/>
  <c r="D122" i="6"/>
  <c r="D129" i="9" s="1"/>
  <c r="U121" i="6"/>
  <c r="U128" i="9" s="1"/>
  <c r="T121" i="6"/>
  <c r="T128" i="9" s="1"/>
  <c r="S121" i="6"/>
  <c r="S128" i="9" s="1"/>
  <c r="R121" i="6"/>
  <c r="R128" i="9" s="1"/>
  <c r="Q121" i="6"/>
  <c r="Q128" i="9" s="1"/>
  <c r="P121" i="6"/>
  <c r="P128" i="9" s="1"/>
  <c r="O121" i="6"/>
  <c r="O128" i="9" s="1"/>
  <c r="N121" i="6"/>
  <c r="N128" i="9" s="1"/>
  <c r="M121" i="6"/>
  <c r="M128" i="9" s="1"/>
  <c r="L121" i="6"/>
  <c r="L128" i="9" s="1"/>
  <c r="D121" i="6"/>
  <c r="D128" i="9" s="1"/>
  <c r="U120" i="6"/>
  <c r="U127" i="9" s="1"/>
  <c r="T120" i="6"/>
  <c r="T127" i="9" s="1"/>
  <c r="S120" i="6"/>
  <c r="S127" i="9" s="1"/>
  <c r="R120" i="6"/>
  <c r="R127" i="9" s="1"/>
  <c r="Q120" i="6"/>
  <c r="Q127" i="9" s="1"/>
  <c r="P120" i="6"/>
  <c r="P127" i="9" s="1"/>
  <c r="O120" i="6"/>
  <c r="O127" i="9" s="1"/>
  <c r="N120" i="6"/>
  <c r="N127" i="9" s="1"/>
  <c r="M120" i="6"/>
  <c r="M127" i="9" s="1"/>
  <c r="L120" i="6"/>
  <c r="L127" i="9" s="1"/>
  <c r="J127" i="9"/>
  <c r="G127" i="9"/>
  <c r="D120" i="6"/>
  <c r="D127" i="9" s="1"/>
  <c r="U119" i="6"/>
  <c r="U126" i="9" s="1"/>
  <c r="T119" i="6"/>
  <c r="T126" i="9" s="1"/>
  <c r="S119" i="6"/>
  <c r="S126" i="9" s="1"/>
  <c r="R119" i="6"/>
  <c r="R126" i="9" s="1"/>
  <c r="Q119" i="6"/>
  <c r="Q126" i="9" s="1"/>
  <c r="P119" i="6"/>
  <c r="P126" i="9" s="1"/>
  <c r="O119" i="6"/>
  <c r="O126" i="9" s="1"/>
  <c r="N119" i="6"/>
  <c r="N126" i="9" s="1"/>
  <c r="M119" i="6"/>
  <c r="M126" i="9" s="1"/>
  <c r="L119" i="6"/>
  <c r="L126" i="9" s="1"/>
  <c r="K126" i="9"/>
  <c r="J126" i="9"/>
  <c r="G126" i="9"/>
  <c r="D119" i="6"/>
  <c r="D126" i="9" s="1"/>
  <c r="U118" i="6"/>
  <c r="U125" i="9" s="1"/>
  <c r="T118" i="6"/>
  <c r="T125" i="9" s="1"/>
  <c r="S118" i="6"/>
  <c r="S125" i="9" s="1"/>
  <c r="R118" i="6"/>
  <c r="R125" i="9" s="1"/>
  <c r="Q118" i="6"/>
  <c r="Q125" i="9" s="1"/>
  <c r="P118" i="6"/>
  <c r="P125" i="9" s="1"/>
  <c r="O118" i="6"/>
  <c r="O125" i="9" s="1"/>
  <c r="N118" i="6"/>
  <c r="N125" i="9" s="1"/>
  <c r="M118" i="6"/>
  <c r="M125" i="9" s="1"/>
  <c r="L118" i="6"/>
  <c r="L125" i="9" s="1"/>
  <c r="K125" i="9"/>
  <c r="D118" i="6"/>
  <c r="D125" i="9" s="1"/>
  <c r="U117" i="6"/>
  <c r="U124" i="9" s="1"/>
  <c r="T117" i="6"/>
  <c r="T124" i="9" s="1"/>
  <c r="S117" i="6"/>
  <c r="S124" i="9" s="1"/>
  <c r="R117" i="6"/>
  <c r="R124" i="9" s="1"/>
  <c r="Q117" i="6"/>
  <c r="Q124" i="9" s="1"/>
  <c r="P117" i="6"/>
  <c r="P124" i="9" s="1"/>
  <c r="O117" i="6"/>
  <c r="O124" i="9" s="1"/>
  <c r="N117" i="6"/>
  <c r="N124" i="9" s="1"/>
  <c r="M117" i="6"/>
  <c r="M124" i="9" s="1"/>
  <c r="L117" i="6"/>
  <c r="L124" i="9" s="1"/>
  <c r="G124" i="9"/>
  <c r="D117" i="6"/>
  <c r="D124" i="9" s="1"/>
  <c r="U116" i="6"/>
  <c r="U123" i="9" s="1"/>
  <c r="T116" i="6"/>
  <c r="T123" i="9" s="1"/>
  <c r="S116" i="6"/>
  <c r="S123" i="9" s="1"/>
  <c r="R116" i="6"/>
  <c r="R123" i="9" s="1"/>
  <c r="Q116" i="6"/>
  <c r="Q123" i="9" s="1"/>
  <c r="P116" i="6"/>
  <c r="P123" i="9" s="1"/>
  <c r="O116" i="6"/>
  <c r="O123" i="9" s="1"/>
  <c r="N116" i="6"/>
  <c r="N123" i="9" s="1"/>
  <c r="M116" i="6"/>
  <c r="M123" i="9" s="1"/>
  <c r="L116" i="6"/>
  <c r="L123" i="9" s="1"/>
  <c r="K123" i="9"/>
  <c r="J123" i="9"/>
  <c r="G123" i="9"/>
  <c r="D116" i="6"/>
  <c r="D123" i="9" s="1"/>
  <c r="U115" i="6"/>
  <c r="U122" i="9" s="1"/>
  <c r="T115" i="6"/>
  <c r="T122" i="9" s="1"/>
  <c r="S115" i="6"/>
  <c r="S122" i="9" s="1"/>
  <c r="R115" i="6"/>
  <c r="R122" i="9" s="1"/>
  <c r="Q115" i="6"/>
  <c r="Q122" i="9" s="1"/>
  <c r="P115" i="6"/>
  <c r="P122" i="9" s="1"/>
  <c r="O115" i="6"/>
  <c r="O122" i="9" s="1"/>
  <c r="N115" i="6"/>
  <c r="N122" i="9" s="1"/>
  <c r="M115" i="6"/>
  <c r="M122" i="9" s="1"/>
  <c r="L115" i="6"/>
  <c r="L122" i="9" s="1"/>
  <c r="K122" i="9"/>
  <c r="J122" i="9"/>
  <c r="D115" i="6"/>
  <c r="D122" i="9" s="1"/>
  <c r="U114" i="6"/>
  <c r="U121" i="9" s="1"/>
  <c r="T114" i="6"/>
  <c r="T121" i="9" s="1"/>
  <c r="S114" i="6"/>
  <c r="S121" i="9" s="1"/>
  <c r="R114" i="6"/>
  <c r="R121" i="9" s="1"/>
  <c r="Q114" i="6"/>
  <c r="Q121" i="9" s="1"/>
  <c r="P114" i="6"/>
  <c r="P121" i="9" s="1"/>
  <c r="O114" i="6"/>
  <c r="O121" i="9" s="1"/>
  <c r="N114" i="6"/>
  <c r="N121" i="9" s="1"/>
  <c r="M114" i="6"/>
  <c r="M121" i="9" s="1"/>
  <c r="L114" i="6"/>
  <c r="L121" i="9" s="1"/>
  <c r="D114" i="6"/>
  <c r="D121" i="9" s="1"/>
  <c r="U113" i="6"/>
  <c r="U120" i="9" s="1"/>
  <c r="T113" i="6"/>
  <c r="T120" i="9" s="1"/>
  <c r="S113" i="6"/>
  <c r="S120" i="9" s="1"/>
  <c r="R113" i="6"/>
  <c r="R120" i="9" s="1"/>
  <c r="Q113" i="6"/>
  <c r="Q120" i="9" s="1"/>
  <c r="P113" i="6"/>
  <c r="P120" i="9" s="1"/>
  <c r="O113" i="6"/>
  <c r="O120" i="9" s="1"/>
  <c r="N113" i="6"/>
  <c r="N120" i="9" s="1"/>
  <c r="M113" i="6"/>
  <c r="M120" i="9" s="1"/>
  <c r="L113" i="6"/>
  <c r="L120" i="9" s="1"/>
  <c r="K120" i="9"/>
  <c r="J120" i="9"/>
  <c r="G120" i="9"/>
  <c r="D113" i="6"/>
  <c r="D120" i="9" s="1"/>
  <c r="U112" i="6"/>
  <c r="U119" i="9" s="1"/>
  <c r="T112" i="6"/>
  <c r="T119" i="9" s="1"/>
  <c r="S112" i="6"/>
  <c r="S119" i="9" s="1"/>
  <c r="R112" i="6"/>
  <c r="R119" i="9" s="1"/>
  <c r="Q112" i="6"/>
  <c r="Q119" i="9" s="1"/>
  <c r="P112" i="6"/>
  <c r="P119" i="9" s="1"/>
  <c r="O112" i="6"/>
  <c r="O119" i="9" s="1"/>
  <c r="N112" i="6"/>
  <c r="N119" i="9" s="1"/>
  <c r="M112" i="6"/>
  <c r="M119" i="9" s="1"/>
  <c r="L112" i="6"/>
  <c r="L119" i="9" s="1"/>
  <c r="K119" i="9"/>
  <c r="J119" i="9"/>
  <c r="G119" i="9"/>
  <c r="D112" i="6"/>
  <c r="D119" i="9" s="1"/>
  <c r="U111" i="6"/>
  <c r="U118" i="9" s="1"/>
  <c r="T111" i="6"/>
  <c r="T118" i="9" s="1"/>
  <c r="S111" i="6"/>
  <c r="S118" i="9" s="1"/>
  <c r="R111" i="6"/>
  <c r="R118" i="9" s="1"/>
  <c r="Q111" i="6"/>
  <c r="Q118" i="9" s="1"/>
  <c r="P111" i="6"/>
  <c r="P118" i="9" s="1"/>
  <c r="O111" i="6"/>
  <c r="O118" i="9" s="1"/>
  <c r="N111" i="6"/>
  <c r="N118" i="9" s="1"/>
  <c r="M111" i="6"/>
  <c r="M118" i="9" s="1"/>
  <c r="L111" i="6"/>
  <c r="L118" i="9" s="1"/>
  <c r="D111" i="6"/>
  <c r="D118" i="9" s="1"/>
  <c r="U110" i="6"/>
  <c r="U117" i="9" s="1"/>
  <c r="T110" i="6"/>
  <c r="T117" i="9" s="1"/>
  <c r="S110" i="6"/>
  <c r="S117" i="9" s="1"/>
  <c r="R110" i="6"/>
  <c r="R117" i="9" s="1"/>
  <c r="Q110" i="6"/>
  <c r="Q117" i="9" s="1"/>
  <c r="P110" i="6"/>
  <c r="P117" i="9" s="1"/>
  <c r="O110" i="6"/>
  <c r="O117" i="9" s="1"/>
  <c r="N110" i="6"/>
  <c r="N117" i="9" s="1"/>
  <c r="M110" i="6"/>
  <c r="M117" i="9" s="1"/>
  <c r="L110" i="6"/>
  <c r="L117" i="9" s="1"/>
  <c r="J117" i="9"/>
  <c r="G117" i="9"/>
  <c r="D110" i="6"/>
  <c r="D117" i="9" s="1"/>
  <c r="U109" i="6"/>
  <c r="U116" i="9" s="1"/>
  <c r="T109" i="6"/>
  <c r="T116" i="9" s="1"/>
  <c r="S109" i="6"/>
  <c r="S116" i="9" s="1"/>
  <c r="R109" i="6"/>
  <c r="R116" i="9" s="1"/>
  <c r="Q109" i="6"/>
  <c r="Q116" i="9" s="1"/>
  <c r="P109" i="6"/>
  <c r="P116" i="9" s="1"/>
  <c r="O109" i="6"/>
  <c r="O116" i="9" s="1"/>
  <c r="N109" i="6"/>
  <c r="N116" i="9" s="1"/>
  <c r="M109" i="6"/>
  <c r="M116" i="9" s="1"/>
  <c r="L109" i="6"/>
  <c r="L116" i="9" s="1"/>
  <c r="K116" i="9"/>
  <c r="J116" i="9"/>
  <c r="G116" i="9"/>
  <c r="D109" i="6"/>
  <c r="D116" i="9" s="1"/>
  <c r="U108" i="6"/>
  <c r="U115" i="9" s="1"/>
  <c r="T108" i="6"/>
  <c r="T115" i="9" s="1"/>
  <c r="S108" i="6"/>
  <c r="S115" i="9" s="1"/>
  <c r="R108" i="6"/>
  <c r="R115" i="9" s="1"/>
  <c r="Q108" i="6"/>
  <c r="Q115" i="9" s="1"/>
  <c r="P108" i="6"/>
  <c r="P115" i="9" s="1"/>
  <c r="O108" i="6"/>
  <c r="O115" i="9" s="1"/>
  <c r="N108" i="6"/>
  <c r="N115" i="9" s="1"/>
  <c r="M108" i="6"/>
  <c r="M115" i="9" s="1"/>
  <c r="L108" i="6"/>
  <c r="L115" i="9" s="1"/>
  <c r="K115" i="9"/>
  <c r="D108" i="6"/>
  <c r="D115" i="9" s="1"/>
  <c r="U107" i="6"/>
  <c r="U114" i="9" s="1"/>
  <c r="T107" i="6"/>
  <c r="T114" i="9" s="1"/>
  <c r="S107" i="6"/>
  <c r="S114" i="9" s="1"/>
  <c r="R107" i="6"/>
  <c r="R114" i="9" s="1"/>
  <c r="Q107" i="6"/>
  <c r="Q114" i="9" s="1"/>
  <c r="P107" i="6"/>
  <c r="P114" i="9" s="1"/>
  <c r="O107" i="6"/>
  <c r="O114" i="9" s="1"/>
  <c r="N107" i="6"/>
  <c r="N114" i="9" s="1"/>
  <c r="M107" i="6"/>
  <c r="M114" i="9" s="1"/>
  <c r="L107" i="6"/>
  <c r="L114" i="9" s="1"/>
  <c r="G114" i="9"/>
  <c r="D107" i="6"/>
  <c r="D114" i="9" s="1"/>
  <c r="U106" i="6"/>
  <c r="U113" i="9" s="1"/>
  <c r="T106" i="6"/>
  <c r="T113" i="9" s="1"/>
  <c r="S106" i="6"/>
  <c r="S113" i="9" s="1"/>
  <c r="R106" i="6"/>
  <c r="R113" i="9" s="1"/>
  <c r="Q106" i="6"/>
  <c r="Q113" i="9" s="1"/>
  <c r="P106" i="6"/>
  <c r="P113" i="9" s="1"/>
  <c r="O106" i="6"/>
  <c r="O113" i="9" s="1"/>
  <c r="N106" i="6"/>
  <c r="N113" i="9" s="1"/>
  <c r="M106" i="6"/>
  <c r="M113" i="9" s="1"/>
  <c r="L106" i="6"/>
  <c r="L113" i="9" s="1"/>
  <c r="K113" i="9"/>
  <c r="J113" i="9"/>
  <c r="G113" i="9"/>
  <c r="D106" i="6"/>
  <c r="D113" i="9" s="1"/>
  <c r="U105" i="6"/>
  <c r="U112" i="9" s="1"/>
  <c r="T105" i="6"/>
  <c r="T112" i="9" s="1"/>
  <c r="S105" i="6"/>
  <c r="S112" i="9" s="1"/>
  <c r="R105" i="6"/>
  <c r="R112" i="9" s="1"/>
  <c r="Q105" i="6"/>
  <c r="Q112" i="9" s="1"/>
  <c r="P105" i="6"/>
  <c r="P112" i="9" s="1"/>
  <c r="O105" i="6"/>
  <c r="O112" i="9" s="1"/>
  <c r="N105" i="6"/>
  <c r="N112" i="9" s="1"/>
  <c r="M105" i="6"/>
  <c r="M112" i="9" s="1"/>
  <c r="L105" i="6"/>
  <c r="L112" i="9" s="1"/>
  <c r="K112" i="9"/>
  <c r="J112" i="9"/>
  <c r="D105" i="6"/>
  <c r="D112" i="9" s="1"/>
  <c r="U104" i="6"/>
  <c r="U111" i="9" s="1"/>
  <c r="T104" i="6"/>
  <c r="T111" i="9" s="1"/>
  <c r="S104" i="6"/>
  <c r="S111" i="9" s="1"/>
  <c r="R104" i="6"/>
  <c r="R111" i="9" s="1"/>
  <c r="Q104" i="6"/>
  <c r="Q111" i="9" s="1"/>
  <c r="P104" i="6"/>
  <c r="P111" i="9" s="1"/>
  <c r="O104" i="6"/>
  <c r="O111" i="9" s="1"/>
  <c r="N104" i="6"/>
  <c r="N111" i="9" s="1"/>
  <c r="M104" i="6"/>
  <c r="M111" i="9" s="1"/>
  <c r="L104" i="6"/>
  <c r="L111" i="9" s="1"/>
  <c r="D104" i="6"/>
  <c r="D111" i="9" s="1"/>
  <c r="U103" i="6"/>
  <c r="U110" i="9" s="1"/>
  <c r="T103" i="6"/>
  <c r="T110" i="9" s="1"/>
  <c r="S103" i="6"/>
  <c r="S110" i="9" s="1"/>
  <c r="R103" i="6"/>
  <c r="R110" i="9" s="1"/>
  <c r="Q103" i="6"/>
  <c r="Q110" i="9" s="1"/>
  <c r="P103" i="6"/>
  <c r="P110" i="9" s="1"/>
  <c r="O103" i="6"/>
  <c r="O110" i="9" s="1"/>
  <c r="N103" i="6"/>
  <c r="N110" i="9" s="1"/>
  <c r="M103" i="6"/>
  <c r="M110" i="9" s="1"/>
  <c r="L103" i="6"/>
  <c r="L110" i="9" s="1"/>
  <c r="K110" i="9"/>
  <c r="J110" i="9"/>
  <c r="G110" i="9"/>
  <c r="D103" i="6"/>
  <c r="D110" i="9" s="1"/>
  <c r="U102" i="6"/>
  <c r="U109" i="9" s="1"/>
  <c r="T102" i="6"/>
  <c r="T109" i="9" s="1"/>
  <c r="S102" i="6"/>
  <c r="S109" i="9" s="1"/>
  <c r="R102" i="6"/>
  <c r="R109" i="9" s="1"/>
  <c r="Q102" i="6"/>
  <c r="Q109" i="9" s="1"/>
  <c r="P102" i="6"/>
  <c r="P109" i="9" s="1"/>
  <c r="O102" i="6"/>
  <c r="O109" i="9" s="1"/>
  <c r="N102" i="6"/>
  <c r="N109" i="9" s="1"/>
  <c r="M102" i="6"/>
  <c r="M109" i="9" s="1"/>
  <c r="L102" i="6"/>
  <c r="L109" i="9" s="1"/>
  <c r="K109" i="9"/>
  <c r="J109" i="9"/>
  <c r="G109" i="9"/>
  <c r="D102" i="6"/>
  <c r="D109" i="9" s="1"/>
  <c r="U101" i="6"/>
  <c r="U108" i="9" s="1"/>
  <c r="T101" i="6"/>
  <c r="T108" i="9" s="1"/>
  <c r="S101" i="6"/>
  <c r="S108" i="9" s="1"/>
  <c r="R101" i="6"/>
  <c r="R108" i="9" s="1"/>
  <c r="Q101" i="6"/>
  <c r="Q108" i="9" s="1"/>
  <c r="P101" i="6"/>
  <c r="P108" i="9" s="1"/>
  <c r="O101" i="6"/>
  <c r="O108" i="9" s="1"/>
  <c r="N101" i="6"/>
  <c r="N108" i="9" s="1"/>
  <c r="M101" i="6"/>
  <c r="M108" i="9" s="1"/>
  <c r="L101" i="6"/>
  <c r="L108" i="9" s="1"/>
  <c r="D101" i="6"/>
  <c r="D108" i="9" s="1"/>
  <c r="U100" i="6"/>
  <c r="U107" i="9" s="1"/>
  <c r="T100" i="6"/>
  <c r="T107" i="9" s="1"/>
  <c r="S100" i="6"/>
  <c r="S107" i="9" s="1"/>
  <c r="R100" i="6"/>
  <c r="R107" i="9" s="1"/>
  <c r="Q100" i="6"/>
  <c r="Q107" i="9" s="1"/>
  <c r="P100" i="6"/>
  <c r="P107" i="9" s="1"/>
  <c r="O100" i="6"/>
  <c r="O107" i="9" s="1"/>
  <c r="N100" i="6"/>
  <c r="N107" i="9" s="1"/>
  <c r="M100" i="6"/>
  <c r="M107" i="9" s="1"/>
  <c r="L100" i="6"/>
  <c r="L107" i="9" s="1"/>
  <c r="J107" i="9"/>
  <c r="G107" i="9"/>
  <c r="D100" i="6"/>
  <c r="D107" i="9" s="1"/>
  <c r="U99" i="6"/>
  <c r="U106" i="9" s="1"/>
  <c r="T99" i="6"/>
  <c r="T106" i="9" s="1"/>
  <c r="S99" i="6"/>
  <c r="S106" i="9" s="1"/>
  <c r="R99" i="6"/>
  <c r="R106" i="9" s="1"/>
  <c r="Q99" i="6"/>
  <c r="Q106" i="9" s="1"/>
  <c r="P99" i="6"/>
  <c r="P106" i="9" s="1"/>
  <c r="O99" i="6"/>
  <c r="O106" i="9" s="1"/>
  <c r="N99" i="6"/>
  <c r="N106" i="9" s="1"/>
  <c r="M99" i="6"/>
  <c r="M106" i="9" s="1"/>
  <c r="L99" i="6"/>
  <c r="L106" i="9" s="1"/>
  <c r="K106" i="9"/>
  <c r="J106" i="9"/>
  <c r="G106" i="9"/>
  <c r="D99" i="6"/>
  <c r="D106" i="9" s="1"/>
  <c r="U98" i="6"/>
  <c r="U105" i="9" s="1"/>
  <c r="T98" i="6"/>
  <c r="T105" i="9" s="1"/>
  <c r="S98" i="6"/>
  <c r="S105" i="9" s="1"/>
  <c r="R98" i="6"/>
  <c r="R105" i="9" s="1"/>
  <c r="Q98" i="6"/>
  <c r="Q105" i="9" s="1"/>
  <c r="P98" i="6"/>
  <c r="P105" i="9" s="1"/>
  <c r="O98" i="6"/>
  <c r="O105" i="9" s="1"/>
  <c r="N98" i="6"/>
  <c r="N105" i="9" s="1"/>
  <c r="M98" i="6"/>
  <c r="M105" i="9" s="1"/>
  <c r="L98" i="6"/>
  <c r="L105" i="9" s="1"/>
  <c r="K105" i="9"/>
  <c r="D98" i="6"/>
  <c r="D105" i="9" s="1"/>
  <c r="U97" i="6"/>
  <c r="U104" i="9" s="1"/>
  <c r="T97" i="6"/>
  <c r="T104" i="9" s="1"/>
  <c r="S97" i="6"/>
  <c r="S104" i="9" s="1"/>
  <c r="R97" i="6"/>
  <c r="R104" i="9" s="1"/>
  <c r="Q97" i="6"/>
  <c r="Q104" i="9" s="1"/>
  <c r="P97" i="6"/>
  <c r="P104" i="9" s="1"/>
  <c r="O97" i="6"/>
  <c r="O104" i="9" s="1"/>
  <c r="N97" i="6"/>
  <c r="N104" i="9" s="1"/>
  <c r="M97" i="6"/>
  <c r="M104" i="9" s="1"/>
  <c r="L97" i="6"/>
  <c r="L104" i="9" s="1"/>
  <c r="G104" i="9"/>
  <c r="D97" i="6"/>
  <c r="D104" i="9" s="1"/>
  <c r="U96" i="6"/>
  <c r="U103" i="9" s="1"/>
  <c r="T96" i="6"/>
  <c r="T103" i="9" s="1"/>
  <c r="S96" i="6"/>
  <c r="S103" i="9" s="1"/>
  <c r="R96" i="6"/>
  <c r="R103" i="9" s="1"/>
  <c r="Q96" i="6"/>
  <c r="Q103" i="9" s="1"/>
  <c r="P96" i="6"/>
  <c r="P103" i="9" s="1"/>
  <c r="O96" i="6"/>
  <c r="O103" i="9" s="1"/>
  <c r="N96" i="6"/>
  <c r="N103" i="9" s="1"/>
  <c r="M96" i="6"/>
  <c r="M103" i="9" s="1"/>
  <c r="L96" i="6"/>
  <c r="L103" i="9" s="1"/>
  <c r="K103" i="9"/>
  <c r="J103" i="9"/>
  <c r="G103" i="9"/>
  <c r="D96" i="6"/>
  <c r="D103" i="9" s="1"/>
  <c r="U95" i="6"/>
  <c r="U102" i="9" s="1"/>
  <c r="T95" i="6"/>
  <c r="T102" i="9" s="1"/>
  <c r="S95" i="6"/>
  <c r="S102" i="9" s="1"/>
  <c r="R95" i="6"/>
  <c r="R102" i="9" s="1"/>
  <c r="Q95" i="6"/>
  <c r="Q102" i="9" s="1"/>
  <c r="P95" i="6"/>
  <c r="P102" i="9" s="1"/>
  <c r="O95" i="6"/>
  <c r="O102" i="9" s="1"/>
  <c r="N95" i="6"/>
  <c r="N102" i="9" s="1"/>
  <c r="M95" i="6"/>
  <c r="M102" i="9" s="1"/>
  <c r="L95" i="6"/>
  <c r="L102" i="9" s="1"/>
  <c r="K102" i="9"/>
  <c r="J102" i="9"/>
  <c r="D95" i="6"/>
  <c r="D102" i="9" s="1"/>
  <c r="U94" i="6"/>
  <c r="U101" i="9" s="1"/>
  <c r="T94" i="6"/>
  <c r="T101" i="9" s="1"/>
  <c r="S94" i="6"/>
  <c r="S101" i="9" s="1"/>
  <c r="R94" i="6"/>
  <c r="R101" i="9" s="1"/>
  <c r="Q94" i="6"/>
  <c r="Q101" i="9" s="1"/>
  <c r="P94" i="6"/>
  <c r="P101" i="9" s="1"/>
  <c r="O94" i="6"/>
  <c r="O101" i="9" s="1"/>
  <c r="N94" i="6"/>
  <c r="N101" i="9" s="1"/>
  <c r="M94" i="6"/>
  <c r="M101" i="9" s="1"/>
  <c r="L94" i="6"/>
  <c r="L101" i="9" s="1"/>
  <c r="D94" i="6"/>
  <c r="D101" i="9" s="1"/>
  <c r="U93" i="6"/>
  <c r="U100" i="9" s="1"/>
  <c r="T93" i="6"/>
  <c r="T100" i="9" s="1"/>
  <c r="S93" i="6"/>
  <c r="S100" i="9" s="1"/>
  <c r="R93" i="6"/>
  <c r="R100" i="9" s="1"/>
  <c r="Q93" i="6"/>
  <c r="Q100" i="9" s="1"/>
  <c r="P93" i="6"/>
  <c r="P100" i="9" s="1"/>
  <c r="O93" i="6"/>
  <c r="O100" i="9" s="1"/>
  <c r="N93" i="6"/>
  <c r="N100" i="9" s="1"/>
  <c r="M93" i="6"/>
  <c r="M100" i="9" s="1"/>
  <c r="L93" i="6"/>
  <c r="L100" i="9" s="1"/>
  <c r="K100" i="9"/>
  <c r="J100" i="9"/>
  <c r="G100" i="9"/>
  <c r="D93" i="6"/>
  <c r="D100" i="9" s="1"/>
  <c r="U92" i="6"/>
  <c r="U99" i="9" s="1"/>
  <c r="T92" i="6"/>
  <c r="T99" i="9" s="1"/>
  <c r="S92" i="6"/>
  <c r="S99" i="9" s="1"/>
  <c r="R92" i="6"/>
  <c r="R99" i="9" s="1"/>
  <c r="Q92" i="6"/>
  <c r="Q99" i="9" s="1"/>
  <c r="P92" i="6"/>
  <c r="P99" i="9" s="1"/>
  <c r="O92" i="6"/>
  <c r="O99" i="9" s="1"/>
  <c r="N92" i="6"/>
  <c r="N99" i="9" s="1"/>
  <c r="M92" i="6"/>
  <c r="M99" i="9" s="1"/>
  <c r="L92" i="6"/>
  <c r="L99" i="9" s="1"/>
  <c r="K99" i="9"/>
  <c r="J99" i="9"/>
  <c r="G99" i="9"/>
  <c r="D92" i="6"/>
  <c r="D99" i="9" s="1"/>
  <c r="U91" i="6"/>
  <c r="U98" i="9" s="1"/>
  <c r="T91" i="6"/>
  <c r="T98" i="9" s="1"/>
  <c r="S91" i="6"/>
  <c r="S98" i="9" s="1"/>
  <c r="R91" i="6"/>
  <c r="R98" i="9" s="1"/>
  <c r="Q91" i="6"/>
  <c r="Q98" i="9" s="1"/>
  <c r="P91" i="6"/>
  <c r="P98" i="9" s="1"/>
  <c r="O91" i="6"/>
  <c r="O98" i="9" s="1"/>
  <c r="N91" i="6"/>
  <c r="N98" i="9" s="1"/>
  <c r="M91" i="6"/>
  <c r="M98" i="9" s="1"/>
  <c r="L91" i="6"/>
  <c r="L98" i="9" s="1"/>
  <c r="D91" i="6"/>
  <c r="D98" i="9" s="1"/>
  <c r="U90" i="6"/>
  <c r="U97" i="9" s="1"/>
  <c r="T90" i="6"/>
  <c r="T97" i="9" s="1"/>
  <c r="S90" i="6"/>
  <c r="S97" i="9" s="1"/>
  <c r="R90" i="6"/>
  <c r="R97" i="9" s="1"/>
  <c r="Q90" i="6"/>
  <c r="Q97" i="9" s="1"/>
  <c r="P90" i="6"/>
  <c r="P97" i="9" s="1"/>
  <c r="O90" i="6"/>
  <c r="O97" i="9" s="1"/>
  <c r="N90" i="6"/>
  <c r="N97" i="9" s="1"/>
  <c r="M90" i="6"/>
  <c r="M97" i="9" s="1"/>
  <c r="L90" i="6"/>
  <c r="L97" i="9" s="1"/>
  <c r="J97" i="9"/>
  <c r="D90" i="6"/>
  <c r="D97" i="9" s="1"/>
  <c r="U89" i="6"/>
  <c r="U96" i="9" s="1"/>
  <c r="T89" i="6"/>
  <c r="T96" i="9" s="1"/>
  <c r="S89" i="6"/>
  <c r="S96" i="9" s="1"/>
  <c r="R89" i="6"/>
  <c r="R96" i="9" s="1"/>
  <c r="Q89" i="6"/>
  <c r="Q96" i="9" s="1"/>
  <c r="P89" i="6"/>
  <c r="P96" i="9" s="1"/>
  <c r="O89" i="6"/>
  <c r="O96" i="9" s="1"/>
  <c r="N89" i="6"/>
  <c r="N96" i="9" s="1"/>
  <c r="M89" i="6"/>
  <c r="M96" i="9" s="1"/>
  <c r="L89" i="6"/>
  <c r="L96" i="9" s="1"/>
  <c r="K96" i="9"/>
  <c r="J96" i="9"/>
  <c r="G96" i="9"/>
  <c r="D89" i="6"/>
  <c r="D96" i="9" s="1"/>
  <c r="U88" i="6"/>
  <c r="U95" i="9" s="1"/>
  <c r="T88" i="6"/>
  <c r="T95" i="9" s="1"/>
  <c r="S88" i="6"/>
  <c r="S95" i="9" s="1"/>
  <c r="R88" i="6"/>
  <c r="R95" i="9" s="1"/>
  <c r="Q88" i="6"/>
  <c r="Q95" i="9" s="1"/>
  <c r="P88" i="6"/>
  <c r="P95" i="9" s="1"/>
  <c r="O88" i="6"/>
  <c r="O95" i="9" s="1"/>
  <c r="N88" i="6"/>
  <c r="N95" i="9" s="1"/>
  <c r="M88" i="6"/>
  <c r="M95" i="9" s="1"/>
  <c r="L88" i="6"/>
  <c r="L95" i="9" s="1"/>
  <c r="K95" i="9"/>
  <c r="D88" i="6"/>
  <c r="D95" i="9" s="1"/>
  <c r="U87" i="6"/>
  <c r="U94" i="9" s="1"/>
  <c r="T87" i="6"/>
  <c r="T94" i="9" s="1"/>
  <c r="S87" i="6"/>
  <c r="S94" i="9" s="1"/>
  <c r="R87" i="6"/>
  <c r="R94" i="9" s="1"/>
  <c r="Q87" i="6"/>
  <c r="Q94" i="9" s="1"/>
  <c r="P87" i="6"/>
  <c r="P94" i="9" s="1"/>
  <c r="O87" i="6"/>
  <c r="O94" i="9" s="1"/>
  <c r="N87" i="6"/>
  <c r="N94" i="9" s="1"/>
  <c r="M87" i="6"/>
  <c r="M94" i="9" s="1"/>
  <c r="L87" i="6"/>
  <c r="L94" i="9" s="1"/>
  <c r="G94" i="9"/>
  <c r="D87" i="6"/>
  <c r="D94" i="9" s="1"/>
  <c r="U86" i="6"/>
  <c r="U93" i="9" s="1"/>
  <c r="T86" i="6"/>
  <c r="T93" i="9" s="1"/>
  <c r="S86" i="6"/>
  <c r="S93" i="9" s="1"/>
  <c r="R86" i="6"/>
  <c r="R93" i="9" s="1"/>
  <c r="Q86" i="6"/>
  <c r="Q93" i="9" s="1"/>
  <c r="P86" i="6"/>
  <c r="P93" i="9" s="1"/>
  <c r="O86" i="6"/>
  <c r="O93" i="9" s="1"/>
  <c r="N86" i="6"/>
  <c r="N93" i="9" s="1"/>
  <c r="M86" i="6"/>
  <c r="M93" i="9" s="1"/>
  <c r="L86" i="6"/>
  <c r="L93" i="9" s="1"/>
  <c r="K93" i="9"/>
  <c r="G93" i="9"/>
  <c r="D86" i="6"/>
  <c r="D93" i="9" s="1"/>
  <c r="U85" i="6"/>
  <c r="U92" i="9" s="1"/>
  <c r="T85" i="6"/>
  <c r="T92" i="9" s="1"/>
  <c r="S85" i="6"/>
  <c r="S92" i="9" s="1"/>
  <c r="R85" i="6"/>
  <c r="R92" i="9" s="1"/>
  <c r="Q85" i="6"/>
  <c r="Q92" i="9" s="1"/>
  <c r="P85" i="6"/>
  <c r="P92" i="9" s="1"/>
  <c r="O85" i="6"/>
  <c r="O92" i="9" s="1"/>
  <c r="N85" i="6"/>
  <c r="N92" i="9" s="1"/>
  <c r="M85" i="6"/>
  <c r="M92" i="9" s="1"/>
  <c r="L85" i="6"/>
  <c r="L92" i="9" s="1"/>
  <c r="J92" i="9"/>
  <c r="D85" i="6"/>
  <c r="D92" i="9" s="1"/>
  <c r="U84" i="6"/>
  <c r="U91" i="9" s="1"/>
  <c r="T84" i="6"/>
  <c r="T91" i="9" s="1"/>
  <c r="S84" i="6"/>
  <c r="S91" i="9" s="1"/>
  <c r="R84" i="6"/>
  <c r="R91" i="9" s="1"/>
  <c r="Q84" i="6"/>
  <c r="Q91" i="9" s="1"/>
  <c r="P84" i="6"/>
  <c r="P91" i="9" s="1"/>
  <c r="O84" i="6"/>
  <c r="O91" i="9" s="1"/>
  <c r="N84" i="6"/>
  <c r="N91" i="9" s="1"/>
  <c r="M84" i="6"/>
  <c r="M91" i="9" s="1"/>
  <c r="L84" i="6"/>
  <c r="L91" i="9" s="1"/>
  <c r="D84" i="6"/>
  <c r="D91" i="9" s="1"/>
  <c r="U83" i="6"/>
  <c r="U90" i="9" s="1"/>
  <c r="T83" i="6"/>
  <c r="T90" i="9" s="1"/>
  <c r="S83" i="6"/>
  <c r="S90" i="9" s="1"/>
  <c r="R83" i="6"/>
  <c r="R90" i="9" s="1"/>
  <c r="Q83" i="6"/>
  <c r="Q90" i="9" s="1"/>
  <c r="P83" i="6"/>
  <c r="P90" i="9" s="1"/>
  <c r="O83" i="6"/>
  <c r="O90" i="9" s="1"/>
  <c r="N83" i="6"/>
  <c r="N90" i="9" s="1"/>
  <c r="M83" i="6"/>
  <c r="M90" i="9" s="1"/>
  <c r="L83" i="6"/>
  <c r="L90" i="9" s="1"/>
  <c r="K90" i="9"/>
  <c r="J90" i="9"/>
  <c r="D83" i="6"/>
  <c r="D90" i="9" s="1"/>
  <c r="U82" i="6"/>
  <c r="U89" i="9" s="1"/>
  <c r="T82" i="6"/>
  <c r="T89" i="9" s="1"/>
  <c r="S82" i="6"/>
  <c r="S89" i="9" s="1"/>
  <c r="R82" i="6"/>
  <c r="R89" i="9" s="1"/>
  <c r="Q82" i="6"/>
  <c r="Q89" i="9" s="1"/>
  <c r="P82" i="6"/>
  <c r="P89" i="9" s="1"/>
  <c r="O82" i="6"/>
  <c r="O89" i="9" s="1"/>
  <c r="N82" i="6"/>
  <c r="N89" i="9" s="1"/>
  <c r="M82" i="6"/>
  <c r="M89" i="9" s="1"/>
  <c r="L82" i="6"/>
  <c r="L89" i="9" s="1"/>
  <c r="D82" i="6"/>
  <c r="D89" i="9" s="1"/>
  <c r="U81" i="6"/>
  <c r="U88" i="9" s="1"/>
  <c r="T81" i="6"/>
  <c r="T88" i="9" s="1"/>
  <c r="S81" i="6"/>
  <c r="S88" i="9" s="1"/>
  <c r="R81" i="6"/>
  <c r="R88" i="9" s="1"/>
  <c r="Q81" i="6"/>
  <c r="Q88" i="9" s="1"/>
  <c r="P81" i="6"/>
  <c r="P88" i="9" s="1"/>
  <c r="O81" i="6"/>
  <c r="O88" i="9" s="1"/>
  <c r="N81" i="6"/>
  <c r="N88" i="9" s="1"/>
  <c r="M81" i="6"/>
  <c r="M88" i="9" s="1"/>
  <c r="L81" i="6"/>
  <c r="L88" i="9" s="1"/>
  <c r="K88" i="9"/>
  <c r="I81" i="6"/>
  <c r="I88" i="9" s="1"/>
  <c r="D81" i="6"/>
  <c r="D88" i="9" s="1"/>
  <c r="U80" i="6"/>
  <c r="U87" i="9" s="1"/>
  <c r="T80" i="6"/>
  <c r="T87" i="9" s="1"/>
  <c r="S80" i="6"/>
  <c r="S87" i="9" s="1"/>
  <c r="R80" i="6"/>
  <c r="R87" i="9" s="1"/>
  <c r="Q80" i="6"/>
  <c r="Q87" i="9" s="1"/>
  <c r="P80" i="6"/>
  <c r="P87" i="9" s="1"/>
  <c r="O80" i="6"/>
  <c r="O87" i="9" s="1"/>
  <c r="N80" i="6"/>
  <c r="N87" i="9" s="1"/>
  <c r="M80" i="6"/>
  <c r="M87" i="9" s="1"/>
  <c r="L80" i="6"/>
  <c r="L87" i="9" s="1"/>
  <c r="G87" i="9"/>
  <c r="D80" i="6"/>
  <c r="D87" i="9" s="1"/>
  <c r="U79" i="6"/>
  <c r="U86" i="9" s="1"/>
  <c r="T79" i="6"/>
  <c r="T86" i="9" s="1"/>
  <c r="S79" i="6"/>
  <c r="S86" i="9" s="1"/>
  <c r="R79" i="6"/>
  <c r="R86" i="9" s="1"/>
  <c r="Q79" i="6"/>
  <c r="Q86" i="9" s="1"/>
  <c r="P79" i="6"/>
  <c r="P86" i="9" s="1"/>
  <c r="O79" i="6"/>
  <c r="O86" i="9" s="1"/>
  <c r="N79" i="6"/>
  <c r="N86" i="9" s="1"/>
  <c r="M79" i="6"/>
  <c r="M86" i="9" s="1"/>
  <c r="L79" i="6"/>
  <c r="L86" i="9" s="1"/>
  <c r="D79" i="6"/>
  <c r="D86" i="9" s="1"/>
  <c r="U78" i="6"/>
  <c r="U85" i="9" s="1"/>
  <c r="T78" i="6"/>
  <c r="T85" i="9" s="1"/>
  <c r="S78" i="6"/>
  <c r="S85" i="9" s="1"/>
  <c r="R78" i="6"/>
  <c r="R85" i="9" s="1"/>
  <c r="Q78" i="6"/>
  <c r="Q85" i="9" s="1"/>
  <c r="P78" i="6"/>
  <c r="P85" i="9" s="1"/>
  <c r="O78" i="6"/>
  <c r="O85" i="9" s="1"/>
  <c r="N78" i="6"/>
  <c r="N85" i="9" s="1"/>
  <c r="M78" i="6"/>
  <c r="M85" i="9" s="1"/>
  <c r="L78" i="6"/>
  <c r="L85" i="9" s="1"/>
  <c r="J85" i="9"/>
  <c r="D78" i="6"/>
  <c r="D85" i="9" s="1"/>
  <c r="U77" i="6"/>
  <c r="U84" i="9" s="1"/>
  <c r="T77" i="6"/>
  <c r="T84" i="9" s="1"/>
  <c r="S77" i="6"/>
  <c r="S84" i="9" s="1"/>
  <c r="R77" i="6"/>
  <c r="R84" i="9" s="1"/>
  <c r="Q77" i="6"/>
  <c r="Q84" i="9" s="1"/>
  <c r="P77" i="6"/>
  <c r="P84" i="9" s="1"/>
  <c r="O77" i="6"/>
  <c r="O84" i="9" s="1"/>
  <c r="N77" i="6"/>
  <c r="N84" i="9" s="1"/>
  <c r="M77" i="6"/>
  <c r="M84" i="9" s="1"/>
  <c r="L77" i="6"/>
  <c r="L84" i="9" s="1"/>
  <c r="D77" i="6"/>
  <c r="D84" i="9" s="1"/>
  <c r="U76" i="6"/>
  <c r="U83" i="9" s="1"/>
  <c r="T76" i="6"/>
  <c r="T83" i="9" s="1"/>
  <c r="S76" i="6"/>
  <c r="S83" i="9" s="1"/>
  <c r="R76" i="6"/>
  <c r="R83" i="9" s="1"/>
  <c r="Q76" i="6"/>
  <c r="Q83" i="9" s="1"/>
  <c r="P76" i="6"/>
  <c r="P83" i="9" s="1"/>
  <c r="O76" i="6"/>
  <c r="O83" i="9" s="1"/>
  <c r="N76" i="6"/>
  <c r="N83" i="9" s="1"/>
  <c r="M76" i="6"/>
  <c r="M83" i="9" s="1"/>
  <c r="L76" i="6"/>
  <c r="L83" i="9" s="1"/>
  <c r="K83" i="9"/>
  <c r="D76" i="6"/>
  <c r="D83" i="9" s="1"/>
  <c r="U75" i="6"/>
  <c r="U82" i="9" s="1"/>
  <c r="T75" i="6"/>
  <c r="T82" i="9" s="1"/>
  <c r="S75" i="6"/>
  <c r="S82" i="9" s="1"/>
  <c r="R75" i="6"/>
  <c r="R82" i="9" s="1"/>
  <c r="Q75" i="6"/>
  <c r="Q82" i="9" s="1"/>
  <c r="P75" i="6"/>
  <c r="P82" i="9" s="1"/>
  <c r="O75" i="6"/>
  <c r="O82" i="9" s="1"/>
  <c r="N75" i="6"/>
  <c r="N82" i="9" s="1"/>
  <c r="M75" i="6"/>
  <c r="M82" i="9" s="1"/>
  <c r="L75" i="6"/>
  <c r="L82" i="9" s="1"/>
  <c r="G82" i="9"/>
  <c r="D75" i="6"/>
  <c r="D82" i="9" s="1"/>
  <c r="U74" i="6"/>
  <c r="U81" i="9" s="1"/>
  <c r="T74" i="6"/>
  <c r="T81" i="9" s="1"/>
  <c r="S74" i="6"/>
  <c r="S81" i="9" s="1"/>
  <c r="R74" i="6"/>
  <c r="R81" i="9" s="1"/>
  <c r="Q74" i="6"/>
  <c r="Q81" i="9" s="1"/>
  <c r="P74" i="6"/>
  <c r="P81" i="9" s="1"/>
  <c r="O74" i="6"/>
  <c r="O81" i="9" s="1"/>
  <c r="N74" i="6"/>
  <c r="N81" i="9" s="1"/>
  <c r="M74" i="6"/>
  <c r="M81" i="9" s="1"/>
  <c r="L74" i="6"/>
  <c r="L81" i="9" s="1"/>
  <c r="D74" i="6"/>
  <c r="D81" i="9" s="1"/>
  <c r="U73" i="6"/>
  <c r="U80" i="9" s="1"/>
  <c r="T73" i="6"/>
  <c r="T80" i="9" s="1"/>
  <c r="S73" i="6"/>
  <c r="S80" i="9" s="1"/>
  <c r="R73" i="6"/>
  <c r="R80" i="9" s="1"/>
  <c r="Q73" i="6"/>
  <c r="Q80" i="9" s="1"/>
  <c r="P73" i="6"/>
  <c r="P80" i="9" s="1"/>
  <c r="O73" i="6"/>
  <c r="O80" i="9" s="1"/>
  <c r="N73" i="6"/>
  <c r="N80" i="9" s="1"/>
  <c r="M73" i="6"/>
  <c r="M80" i="9" s="1"/>
  <c r="L73" i="6"/>
  <c r="L80" i="9" s="1"/>
  <c r="J80" i="9"/>
  <c r="D73" i="6"/>
  <c r="D80" i="9" s="1"/>
  <c r="U72" i="6"/>
  <c r="U79" i="9" s="1"/>
  <c r="T72" i="6"/>
  <c r="T79" i="9" s="1"/>
  <c r="S72" i="6"/>
  <c r="S79" i="9" s="1"/>
  <c r="R72" i="6"/>
  <c r="R79" i="9" s="1"/>
  <c r="Q72" i="6"/>
  <c r="Q79" i="9" s="1"/>
  <c r="P72" i="6"/>
  <c r="P79" i="9" s="1"/>
  <c r="O72" i="6"/>
  <c r="O79" i="9" s="1"/>
  <c r="N72" i="6"/>
  <c r="N79" i="9" s="1"/>
  <c r="M72" i="6"/>
  <c r="M79" i="9" s="1"/>
  <c r="L72" i="6"/>
  <c r="L79" i="9" s="1"/>
  <c r="D72" i="6"/>
  <c r="D79" i="9" s="1"/>
  <c r="U71" i="6"/>
  <c r="U78" i="9" s="1"/>
  <c r="T71" i="6"/>
  <c r="T78" i="9" s="1"/>
  <c r="S71" i="6"/>
  <c r="S78" i="9" s="1"/>
  <c r="R71" i="6"/>
  <c r="R78" i="9" s="1"/>
  <c r="Q71" i="6"/>
  <c r="Q78" i="9" s="1"/>
  <c r="P71" i="6"/>
  <c r="P78" i="9" s="1"/>
  <c r="O71" i="6"/>
  <c r="O78" i="9" s="1"/>
  <c r="N71" i="6"/>
  <c r="N78" i="9" s="1"/>
  <c r="M71" i="6"/>
  <c r="M78" i="9" s="1"/>
  <c r="L71" i="6"/>
  <c r="L78" i="9" s="1"/>
  <c r="K78" i="9"/>
  <c r="D71" i="6"/>
  <c r="D78" i="9" s="1"/>
  <c r="U70" i="6"/>
  <c r="U77" i="9" s="1"/>
  <c r="T70" i="6"/>
  <c r="T77" i="9" s="1"/>
  <c r="S70" i="6"/>
  <c r="S77" i="9" s="1"/>
  <c r="R70" i="6"/>
  <c r="R77" i="9" s="1"/>
  <c r="Q70" i="6"/>
  <c r="Q77" i="9" s="1"/>
  <c r="P70" i="6"/>
  <c r="P77" i="9" s="1"/>
  <c r="O70" i="6"/>
  <c r="O77" i="9" s="1"/>
  <c r="N70" i="6"/>
  <c r="N77" i="9" s="1"/>
  <c r="M70" i="6"/>
  <c r="M77" i="9" s="1"/>
  <c r="L70" i="6"/>
  <c r="L77" i="9" s="1"/>
  <c r="G77" i="9"/>
  <c r="D70" i="6"/>
  <c r="D77" i="9" s="1"/>
  <c r="U69" i="6"/>
  <c r="U76" i="9" s="1"/>
  <c r="T69" i="6"/>
  <c r="T76" i="9" s="1"/>
  <c r="S69" i="6"/>
  <c r="S76" i="9" s="1"/>
  <c r="R69" i="6"/>
  <c r="R76" i="9" s="1"/>
  <c r="Q69" i="6"/>
  <c r="Q76" i="9" s="1"/>
  <c r="P69" i="6"/>
  <c r="P76" i="9" s="1"/>
  <c r="O69" i="6"/>
  <c r="O76" i="9" s="1"/>
  <c r="N69" i="6"/>
  <c r="N76" i="9" s="1"/>
  <c r="M69" i="6"/>
  <c r="M76" i="9" s="1"/>
  <c r="L69" i="6"/>
  <c r="L76" i="9" s="1"/>
  <c r="D69" i="6"/>
  <c r="D76" i="9" s="1"/>
  <c r="U68" i="6"/>
  <c r="U75" i="9" s="1"/>
  <c r="T68" i="6"/>
  <c r="T75" i="9" s="1"/>
  <c r="S68" i="6"/>
  <c r="S75" i="9" s="1"/>
  <c r="R68" i="6"/>
  <c r="R75" i="9" s="1"/>
  <c r="Q68" i="6"/>
  <c r="Q75" i="9" s="1"/>
  <c r="P68" i="6"/>
  <c r="P75" i="9" s="1"/>
  <c r="O68" i="6"/>
  <c r="O75" i="9" s="1"/>
  <c r="N68" i="6"/>
  <c r="N75" i="9" s="1"/>
  <c r="M68" i="6"/>
  <c r="M75" i="9" s="1"/>
  <c r="L68" i="6"/>
  <c r="L75" i="9" s="1"/>
  <c r="J75" i="9"/>
  <c r="D68" i="6"/>
  <c r="D75" i="9" s="1"/>
  <c r="U67" i="6"/>
  <c r="U74" i="9" s="1"/>
  <c r="T67" i="6"/>
  <c r="T74" i="9" s="1"/>
  <c r="S67" i="6"/>
  <c r="S74" i="9" s="1"/>
  <c r="R67" i="6"/>
  <c r="R74" i="9" s="1"/>
  <c r="Q67" i="6"/>
  <c r="Q74" i="9" s="1"/>
  <c r="P67" i="6"/>
  <c r="P74" i="9" s="1"/>
  <c r="O67" i="6"/>
  <c r="O74" i="9" s="1"/>
  <c r="N67" i="6"/>
  <c r="N74" i="9" s="1"/>
  <c r="M67" i="6"/>
  <c r="M74" i="9" s="1"/>
  <c r="L67" i="6"/>
  <c r="L74" i="9" s="1"/>
  <c r="D67" i="6"/>
  <c r="D74" i="9" s="1"/>
  <c r="U66" i="6"/>
  <c r="U73" i="9" s="1"/>
  <c r="T66" i="6"/>
  <c r="T73" i="9" s="1"/>
  <c r="S66" i="6"/>
  <c r="S73" i="9" s="1"/>
  <c r="R66" i="6"/>
  <c r="R73" i="9" s="1"/>
  <c r="Q66" i="6"/>
  <c r="Q73" i="9" s="1"/>
  <c r="P66" i="6"/>
  <c r="P73" i="9" s="1"/>
  <c r="O66" i="6"/>
  <c r="O73" i="9" s="1"/>
  <c r="N66" i="6"/>
  <c r="N73" i="9" s="1"/>
  <c r="M66" i="6"/>
  <c r="M73" i="9" s="1"/>
  <c r="L66" i="6"/>
  <c r="L73" i="9" s="1"/>
  <c r="K73" i="9"/>
  <c r="D66" i="6"/>
  <c r="D73" i="9" s="1"/>
  <c r="U65" i="6"/>
  <c r="U72" i="9" s="1"/>
  <c r="T65" i="6"/>
  <c r="T72" i="9" s="1"/>
  <c r="S65" i="6"/>
  <c r="S72" i="9" s="1"/>
  <c r="R65" i="6"/>
  <c r="R72" i="9" s="1"/>
  <c r="Q65" i="6"/>
  <c r="Q72" i="9" s="1"/>
  <c r="P65" i="6"/>
  <c r="P72" i="9" s="1"/>
  <c r="O65" i="6"/>
  <c r="O72" i="9" s="1"/>
  <c r="N65" i="6"/>
  <c r="N72" i="9" s="1"/>
  <c r="M65" i="6"/>
  <c r="M72" i="9" s="1"/>
  <c r="L65" i="6"/>
  <c r="L72" i="9" s="1"/>
  <c r="G72" i="9"/>
  <c r="D65" i="6"/>
  <c r="D72" i="9" s="1"/>
  <c r="U64" i="6"/>
  <c r="U71" i="9" s="1"/>
  <c r="T64" i="6"/>
  <c r="T71" i="9" s="1"/>
  <c r="S64" i="6"/>
  <c r="S71" i="9" s="1"/>
  <c r="R64" i="6"/>
  <c r="R71" i="9" s="1"/>
  <c r="Q64" i="6"/>
  <c r="Q71" i="9" s="1"/>
  <c r="P64" i="6"/>
  <c r="P71" i="9" s="1"/>
  <c r="O64" i="6"/>
  <c r="O71" i="9" s="1"/>
  <c r="N64" i="6"/>
  <c r="N71" i="9" s="1"/>
  <c r="M64" i="6"/>
  <c r="M71" i="9" s="1"/>
  <c r="L64" i="6"/>
  <c r="L71" i="9" s="1"/>
  <c r="D64" i="6"/>
  <c r="D71" i="9" s="1"/>
  <c r="U63" i="6"/>
  <c r="U70" i="9" s="1"/>
  <c r="T63" i="6"/>
  <c r="T70" i="9" s="1"/>
  <c r="S63" i="6"/>
  <c r="S70" i="9" s="1"/>
  <c r="R63" i="6"/>
  <c r="R70" i="9" s="1"/>
  <c r="Q63" i="6"/>
  <c r="Q70" i="9" s="1"/>
  <c r="P63" i="6"/>
  <c r="P70" i="9" s="1"/>
  <c r="O63" i="6"/>
  <c r="O70" i="9" s="1"/>
  <c r="N63" i="6"/>
  <c r="N70" i="9" s="1"/>
  <c r="M63" i="6"/>
  <c r="M70" i="9" s="1"/>
  <c r="L63" i="6"/>
  <c r="L70" i="9" s="1"/>
  <c r="J70" i="9"/>
  <c r="D63" i="6"/>
  <c r="D70" i="9" s="1"/>
  <c r="U62" i="6"/>
  <c r="U69" i="9" s="1"/>
  <c r="T62" i="6"/>
  <c r="T69" i="9" s="1"/>
  <c r="S62" i="6"/>
  <c r="S69" i="9" s="1"/>
  <c r="R62" i="6"/>
  <c r="R69" i="9" s="1"/>
  <c r="Q62" i="6"/>
  <c r="Q69" i="9" s="1"/>
  <c r="P62" i="6"/>
  <c r="P69" i="9" s="1"/>
  <c r="O62" i="6"/>
  <c r="O69" i="9" s="1"/>
  <c r="N62" i="6"/>
  <c r="N69" i="9" s="1"/>
  <c r="M62" i="6"/>
  <c r="M69" i="9" s="1"/>
  <c r="L62" i="6"/>
  <c r="L69" i="9" s="1"/>
  <c r="D62" i="6"/>
  <c r="E62" i="6" s="1"/>
  <c r="E69" i="9" s="1"/>
  <c r="U61" i="6"/>
  <c r="U68" i="9" s="1"/>
  <c r="T61" i="6"/>
  <c r="T68" i="9" s="1"/>
  <c r="S61" i="6"/>
  <c r="S68" i="9" s="1"/>
  <c r="R61" i="6"/>
  <c r="R68" i="9" s="1"/>
  <c r="Q61" i="6"/>
  <c r="Q68" i="9" s="1"/>
  <c r="P61" i="6"/>
  <c r="P68" i="9" s="1"/>
  <c r="O61" i="6"/>
  <c r="O68" i="9" s="1"/>
  <c r="N61" i="6"/>
  <c r="N68" i="9" s="1"/>
  <c r="M61" i="6"/>
  <c r="M68" i="9" s="1"/>
  <c r="L61" i="6"/>
  <c r="L68" i="9" s="1"/>
  <c r="K68" i="9"/>
  <c r="D61" i="6"/>
  <c r="D68" i="9" s="1"/>
  <c r="U60" i="6"/>
  <c r="U67" i="9" s="1"/>
  <c r="T60" i="6"/>
  <c r="T67" i="9" s="1"/>
  <c r="S60" i="6"/>
  <c r="S67" i="9" s="1"/>
  <c r="R60" i="6"/>
  <c r="R67" i="9" s="1"/>
  <c r="Q60" i="6"/>
  <c r="Q67" i="9" s="1"/>
  <c r="P60" i="6"/>
  <c r="P67" i="9" s="1"/>
  <c r="O60" i="6"/>
  <c r="O67" i="9" s="1"/>
  <c r="N60" i="6"/>
  <c r="N67" i="9" s="1"/>
  <c r="M60" i="6"/>
  <c r="M67" i="9" s="1"/>
  <c r="L60" i="6"/>
  <c r="L67" i="9" s="1"/>
  <c r="G67" i="9"/>
  <c r="D60" i="6"/>
  <c r="D67" i="9" s="1"/>
  <c r="U59" i="6"/>
  <c r="U66" i="9" s="1"/>
  <c r="T59" i="6"/>
  <c r="T66" i="9" s="1"/>
  <c r="S59" i="6"/>
  <c r="S66" i="9" s="1"/>
  <c r="R59" i="6"/>
  <c r="R66" i="9" s="1"/>
  <c r="Q59" i="6"/>
  <c r="Q66" i="9" s="1"/>
  <c r="P59" i="6"/>
  <c r="P66" i="9" s="1"/>
  <c r="O59" i="6"/>
  <c r="O66" i="9" s="1"/>
  <c r="N59" i="6"/>
  <c r="N66" i="9" s="1"/>
  <c r="M59" i="6"/>
  <c r="M66" i="9" s="1"/>
  <c r="L59" i="6"/>
  <c r="L66" i="9" s="1"/>
  <c r="D59" i="6"/>
  <c r="D66" i="9" s="1"/>
  <c r="U58" i="6"/>
  <c r="U65" i="9" s="1"/>
  <c r="T58" i="6"/>
  <c r="T65" i="9" s="1"/>
  <c r="S58" i="6"/>
  <c r="S65" i="9" s="1"/>
  <c r="R58" i="6"/>
  <c r="R65" i="9" s="1"/>
  <c r="Q58" i="6"/>
  <c r="Q65" i="9" s="1"/>
  <c r="P58" i="6"/>
  <c r="P65" i="9" s="1"/>
  <c r="O58" i="6"/>
  <c r="O65" i="9" s="1"/>
  <c r="N58" i="6"/>
  <c r="N65" i="9" s="1"/>
  <c r="M58" i="6"/>
  <c r="M65" i="9" s="1"/>
  <c r="L58" i="6"/>
  <c r="L65" i="9" s="1"/>
  <c r="J65" i="9"/>
  <c r="D58" i="6"/>
  <c r="D65" i="9" s="1"/>
  <c r="U57" i="6"/>
  <c r="U64" i="9" s="1"/>
  <c r="T57" i="6"/>
  <c r="T64" i="9" s="1"/>
  <c r="S57" i="6"/>
  <c r="S64" i="9" s="1"/>
  <c r="R57" i="6"/>
  <c r="R64" i="9" s="1"/>
  <c r="Q57" i="6"/>
  <c r="Q64" i="9" s="1"/>
  <c r="P57" i="6"/>
  <c r="P64" i="9" s="1"/>
  <c r="O57" i="6"/>
  <c r="O64" i="9" s="1"/>
  <c r="N57" i="6"/>
  <c r="N64" i="9" s="1"/>
  <c r="M57" i="6"/>
  <c r="M64" i="9" s="1"/>
  <c r="L57" i="6"/>
  <c r="L64" i="9" s="1"/>
  <c r="K64" i="9"/>
  <c r="D57" i="6"/>
  <c r="D64" i="9" s="1"/>
  <c r="U56" i="6"/>
  <c r="U63" i="9" s="1"/>
  <c r="T56" i="6"/>
  <c r="T63" i="9" s="1"/>
  <c r="S56" i="6"/>
  <c r="S63" i="9" s="1"/>
  <c r="R56" i="6"/>
  <c r="R63" i="9" s="1"/>
  <c r="Q56" i="6"/>
  <c r="Q63" i="9" s="1"/>
  <c r="P56" i="6"/>
  <c r="P63" i="9" s="1"/>
  <c r="O56" i="6"/>
  <c r="O63" i="9" s="1"/>
  <c r="N56" i="6"/>
  <c r="N63" i="9" s="1"/>
  <c r="M56" i="6"/>
  <c r="M63" i="9" s="1"/>
  <c r="L56" i="6"/>
  <c r="L63" i="9" s="1"/>
  <c r="D56" i="6"/>
  <c r="D63" i="9" s="1"/>
  <c r="U55" i="6"/>
  <c r="U62" i="9" s="1"/>
  <c r="T55" i="6"/>
  <c r="T62" i="9" s="1"/>
  <c r="S55" i="6"/>
  <c r="S62" i="9" s="1"/>
  <c r="R55" i="6"/>
  <c r="R62" i="9" s="1"/>
  <c r="Q55" i="6"/>
  <c r="Q62" i="9" s="1"/>
  <c r="P55" i="6"/>
  <c r="P62" i="9" s="1"/>
  <c r="O55" i="6"/>
  <c r="O62" i="9" s="1"/>
  <c r="N55" i="6"/>
  <c r="N62" i="9" s="1"/>
  <c r="M55" i="6"/>
  <c r="M62" i="9" s="1"/>
  <c r="L55" i="6"/>
  <c r="L62" i="9" s="1"/>
  <c r="G62" i="9"/>
  <c r="D55" i="6"/>
  <c r="D62" i="9" s="1"/>
  <c r="U54" i="6"/>
  <c r="U61" i="9" s="1"/>
  <c r="T54" i="6"/>
  <c r="T61" i="9" s="1"/>
  <c r="S54" i="6"/>
  <c r="S61" i="9" s="1"/>
  <c r="R54" i="6"/>
  <c r="R61" i="9" s="1"/>
  <c r="Q54" i="6"/>
  <c r="Q61" i="9" s="1"/>
  <c r="P54" i="6"/>
  <c r="P61" i="9" s="1"/>
  <c r="O54" i="6"/>
  <c r="O61" i="9" s="1"/>
  <c r="N54" i="6"/>
  <c r="N61" i="9" s="1"/>
  <c r="M54" i="6"/>
  <c r="M61" i="9" s="1"/>
  <c r="L54" i="6"/>
  <c r="L61" i="9" s="1"/>
  <c r="D54" i="6"/>
  <c r="D61" i="9" s="1"/>
  <c r="U53" i="6"/>
  <c r="U60" i="9" s="1"/>
  <c r="T53" i="6"/>
  <c r="T60" i="9" s="1"/>
  <c r="S53" i="6"/>
  <c r="S60" i="9" s="1"/>
  <c r="R53" i="6"/>
  <c r="R60" i="9" s="1"/>
  <c r="Q53" i="6"/>
  <c r="Q60" i="9" s="1"/>
  <c r="P53" i="6"/>
  <c r="P60" i="9" s="1"/>
  <c r="O53" i="6"/>
  <c r="O60" i="9" s="1"/>
  <c r="N53" i="6"/>
  <c r="N60" i="9" s="1"/>
  <c r="M53" i="6"/>
  <c r="M60" i="9" s="1"/>
  <c r="L53" i="6"/>
  <c r="L60" i="9" s="1"/>
  <c r="J60" i="9"/>
  <c r="D53" i="6"/>
  <c r="I53" i="6" s="1"/>
  <c r="I60" i="9" s="1"/>
  <c r="U52" i="6"/>
  <c r="U59" i="9" s="1"/>
  <c r="T52" i="6"/>
  <c r="T59" i="9" s="1"/>
  <c r="S52" i="6"/>
  <c r="S59" i="9" s="1"/>
  <c r="R52" i="6"/>
  <c r="R59" i="9" s="1"/>
  <c r="Q52" i="6"/>
  <c r="Q59" i="9" s="1"/>
  <c r="P52" i="6"/>
  <c r="P59" i="9" s="1"/>
  <c r="O52" i="6"/>
  <c r="O59" i="9" s="1"/>
  <c r="N52" i="6"/>
  <c r="N59" i="9" s="1"/>
  <c r="M52" i="6"/>
  <c r="M59" i="9" s="1"/>
  <c r="L52" i="6"/>
  <c r="L59" i="9" s="1"/>
  <c r="D52" i="6"/>
  <c r="U51" i="6"/>
  <c r="U58" i="9" s="1"/>
  <c r="T51" i="6"/>
  <c r="T58" i="9" s="1"/>
  <c r="S51" i="6"/>
  <c r="S58" i="9" s="1"/>
  <c r="R51" i="6"/>
  <c r="R58" i="9" s="1"/>
  <c r="Q51" i="6"/>
  <c r="Q58" i="9" s="1"/>
  <c r="P51" i="6"/>
  <c r="P58" i="9" s="1"/>
  <c r="O51" i="6"/>
  <c r="O58" i="9" s="1"/>
  <c r="N51" i="6"/>
  <c r="N58" i="9" s="1"/>
  <c r="M51" i="6"/>
  <c r="M58" i="9" s="1"/>
  <c r="L51" i="6"/>
  <c r="L58" i="9" s="1"/>
  <c r="K58" i="9"/>
  <c r="D51" i="6"/>
  <c r="U50" i="6"/>
  <c r="U57" i="9" s="1"/>
  <c r="T50" i="6"/>
  <c r="T57" i="9" s="1"/>
  <c r="S50" i="6"/>
  <c r="S57" i="9" s="1"/>
  <c r="R50" i="6"/>
  <c r="R57" i="9" s="1"/>
  <c r="Q50" i="6"/>
  <c r="Q57" i="9" s="1"/>
  <c r="P50" i="6"/>
  <c r="P57" i="9" s="1"/>
  <c r="O50" i="6"/>
  <c r="O57" i="9" s="1"/>
  <c r="N50" i="6"/>
  <c r="N57" i="9" s="1"/>
  <c r="M50" i="6"/>
  <c r="M57" i="9" s="1"/>
  <c r="L50" i="6"/>
  <c r="L57" i="9" s="1"/>
  <c r="D50" i="6"/>
  <c r="D57" i="9" s="1"/>
  <c r="U49" i="6"/>
  <c r="U56" i="9" s="1"/>
  <c r="T49" i="6"/>
  <c r="T56" i="9" s="1"/>
  <c r="S49" i="6"/>
  <c r="S56" i="9" s="1"/>
  <c r="R49" i="6"/>
  <c r="R56" i="9" s="1"/>
  <c r="Q49" i="6"/>
  <c r="Q56" i="9" s="1"/>
  <c r="P49" i="6"/>
  <c r="P56" i="9" s="1"/>
  <c r="O49" i="6"/>
  <c r="O56" i="9" s="1"/>
  <c r="N49" i="6"/>
  <c r="N56" i="9" s="1"/>
  <c r="M49" i="6"/>
  <c r="M56" i="9" s="1"/>
  <c r="L49" i="6"/>
  <c r="L56" i="9" s="1"/>
  <c r="D49" i="6"/>
  <c r="U48" i="6"/>
  <c r="U55" i="9" s="1"/>
  <c r="T48" i="6"/>
  <c r="T55" i="9" s="1"/>
  <c r="S48" i="6"/>
  <c r="S55" i="9" s="1"/>
  <c r="R48" i="6"/>
  <c r="R55" i="9" s="1"/>
  <c r="Q48" i="6"/>
  <c r="Q55" i="9" s="1"/>
  <c r="P48" i="6"/>
  <c r="P55" i="9" s="1"/>
  <c r="O48" i="6"/>
  <c r="O55" i="9" s="1"/>
  <c r="N48" i="6"/>
  <c r="N55" i="9" s="1"/>
  <c r="M48" i="6"/>
  <c r="M55" i="9" s="1"/>
  <c r="L48" i="6"/>
  <c r="L55" i="9" s="1"/>
  <c r="J55" i="9"/>
  <c r="E48" i="6"/>
  <c r="E55" i="9" s="1"/>
  <c r="D48" i="6"/>
  <c r="D55" i="9" s="1"/>
  <c r="U47" i="6"/>
  <c r="U54" i="9" s="1"/>
  <c r="T47" i="6"/>
  <c r="T54" i="9" s="1"/>
  <c r="S47" i="6"/>
  <c r="S54" i="9" s="1"/>
  <c r="R47" i="6"/>
  <c r="R54" i="9" s="1"/>
  <c r="Q47" i="6"/>
  <c r="Q54" i="9" s="1"/>
  <c r="P47" i="6"/>
  <c r="P54" i="9" s="1"/>
  <c r="O47" i="6"/>
  <c r="O54" i="9" s="1"/>
  <c r="N47" i="6"/>
  <c r="N54" i="9" s="1"/>
  <c r="M47" i="6"/>
  <c r="M54" i="9" s="1"/>
  <c r="L47" i="6"/>
  <c r="L54" i="9" s="1"/>
  <c r="D47" i="6"/>
  <c r="D54" i="9" s="1"/>
  <c r="U46" i="6"/>
  <c r="U53" i="9" s="1"/>
  <c r="T46" i="6"/>
  <c r="T53" i="9" s="1"/>
  <c r="S46" i="6"/>
  <c r="S53" i="9" s="1"/>
  <c r="R46" i="6"/>
  <c r="R53" i="9" s="1"/>
  <c r="Q46" i="6"/>
  <c r="Q53" i="9" s="1"/>
  <c r="P46" i="6"/>
  <c r="P53" i="9" s="1"/>
  <c r="O46" i="6"/>
  <c r="O53" i="9" s="1"/>
  <c r="N46" i="6"/>
  <c r="N53" i="9" s="1"/>
  <c r="M46" i="6"/>
  <c r="M53" i="9" s="1"/>
  <c r="L46" i="6"/>
  <c r="L53" i="9" s="1"/>
  <c r="D46" i="6"/>
  <c r="D53" i="9" s="1"/>
  <c r="U45" i="6"/>
  <c r="U52" i="9" s="1"/>
  <c r="T45" i="6"/>
  <c r="T52" i="9" s="1"/>
  <c r="S45" i="6"/>
  <c r="S52" i="9" s="1"/>
  <c r="R45" i="6"/>
  <c r="R52" i="9" s="1"/>
  <c r="Q45" i="6"/>
  <c r="Q52" i="9" s="1"/>
  <c r="P45" i="6"/>
  <c r="P52" i="9" s="1"/>
  <c r="O45" i="6"/>
  <c r="O52" i="9" s="1"/>
  <c r="N45" i="6"/>
  <c r="N52" i="9" s="1"/>
  <c r="M45" i="6"/>
  <c r="M52" i="9" s="1"/>
  <c r="L45" i="6"/>
  <c r="L52" i="9" s="1"/>
  <c r="D45" i="6"/>
  <c r="D52" i="9" s="1"/>
  <c r="U35" i="6"/>
  <c r="U42" i="9" s="1"/>
  <c r="T35" i="6"/>
  <c r="T42" i="9" s="1"/>
  <c r="S35" i="6"/>
  <c r="S42" i="9" s="1"/>
  <c r="R35" i="6"/>
  <c r="R42" i="9" s="1"/>
  <c r="Q35" i="6"/>
  <c r="Q42" i="9" s="1"/>
  <c r="P35" i="6"/>
  <c r="P42" i="9" s="1"/>
  <c r="O35" i="6"/>
  <c r="O42" i="9" s="1"/>
  <c r="N35" i="6"/>
  <c r="N42" i="9" s="1"/>
  <c r="M35" i="6"/>
  <c r="M42" i="9" s="1"/>
  <c r="L35" i="6"/>
  <c r="L42" i="9" s="1"/>
  <c r="D35" i="6"/>
  <c r="D42" i="9" s="1"/>
  <c r="U34" i="6"/>
  <c r="U41" i="9" s="1"/>
  <c r="T34" i="6"/>
  <c r="T41" i="9" s="1"/>
  <c r="S34" i="6"/>
  <c r="S41" i="9" s="1"/>
  <c r="R34" i="6"/>
  <c r="R41" i="9" s="1"/>
  <c r="Q34" i="6"/>
  <c r="Q41" i="9" s="1"/>
  <c r="P34" i="6"/>
  <c r="P41" i="9" s="1"/>
  <c r="O34" i="6"/>
  <c r="O41" i="9" s="1"/>
  <c r="N34" i="6"/>
  <c r="N41" i="9" s="1"/>
  <c r="M34" i="6"/>
  <c r="M41" i="9" s="1"/>
  <c r="L34" i="6"/>
  <c r="L41" i="9" s="1"/>
  <c r="J41" i="9"/>
  <c r="D34" i="6"/>
  <c r="D41" i="9" s="1"/>
  <c r="U33" i="6"/>
  <c r="U40" i="9" s="1"/>
  <c r="T33" i="6"/>
  <c r="T40" i="9" s="1"/>
  <c r="S33" i="6"/>
  <c r="S40" i="9" s="1"/>
  <c r="R33" i="6"/>
  <c r="R40" i="9" s="1"/>
  <c r="Q33" i="6"/>
  <c r="Q40" i="9" s="1"/>
  <c r="P33" i="6"/>
  <c r="P40" i="9" s="1"/>
  <c r="O33" i="6"/>
  <c r="O40" i="9" s="1"/>
  <c r="N33" i="6"/>
  <c r="N40" i="9" s="1"/>
  <c r="M33" i="6"/>
  <c r="M40" i="9" s="1"/>
  <c r="L33" i="6"/>
  <c r="L40" i="9" s="1"/>
  <c r="D33" i="6"/>
  <c r="D40" i="9" s="1"/>
  <c r="U32" i="6"/>
  <c r="U39" i="9" s="1"/>
  <c r="T32" i="6"/>
  <c r="T39" i="9" s="1"/>
  <c r="S32" i="6"/>
  <c r="S39" i="9" s="1"/>
  <c r="R32" i="6"/>
  <c r="R39" i="9" s="1"/>
  <c r="Q32" i="6"/>
  <c r="Q39" i="9" s="1"/>
  <c r="P32" i="6"/>
  <c r="P39" i="9" s="1"/>
  <c r="O32" i="6"/>
  <c r="O39" i="9" s="1"/>
  <c r="N32" i="6"/>
  <c r="N39" i="9" s="1"/>
  <c r="M32" i="6"/>
  <c r="M39" i="9" s="1"/>
  <c r="L32" i="6"/>
  <c r="L39" i="9" s="1"/>
  <c r="K39" i="9"/>
  <c r="D32" i="6"/>
  <c r="D39" i="9" s="1"/>
  <c r="U31" i="6"/>
  <c r="U38" i="9" s="1"/>
  <c r="T31" i="6"/>
  <c r="T38" i="9" s="1"/>
  <c r="S31" i="6"/>
  <c r="S38" i="9" s="1"/>
  <c r="R31" i="6"/>
  <c r="R38" i="9" s="1"/>
  <c r="Q31" i="6"/>
  <c r="Q38" i="9" s="1"/>
  <c r="P31" i="6"/>
  <c r="P38" i="9" s="1"/>
  <c r="O31" i="6"/>
  <c r="O38" i="9" s="1"/>
  <c r="N31" i="6"/>
  <c r="N38" i="9" s="1"/>
  <c r="M31" i="6"/>
  <c r="M38" i="9" s="1"/>
  <c r="L31" i="6"/>
  <c r="L38" i="9" s="1"/>
  <c r="D31" i="6"/>
  <c r="D38" i="9" s="1"/>
  <c r="U30" i="6"/>
  <c r="U37" i="9" s="1"/>
  <c r="T30" i="6"/>
  <c r="T37" i="9" s="1"/>
  <c r="S30" i="6"/>
  <c r="S37" i="9" s="1"/>
  <c r="R30" i="6"/>
  <c r="R37" i="9" s="1"/>
  <c r="Q30" i="6"/>
  <c r="Q37" i="9" s="1"/>
  <c r="P30" i="6"/>
  <c r="P37" i="9" s="1"/>
  <c r="O30" i="6"/>
  <c r="O37" i="9" s="1"/>
  <c r="N30" i="6"/>
  <c r="N37" i="9" s="1"/>
  <c r="M30" i="6"/>
  <c r="M37" i="9" s="1"/>
  <c r="L30" i="6"/>
  <c r="L37" i="9" s="1"/>
  <c r="D30" i="6"/>
  <c r="D37" i="9" s="1"/>
  <c r="U29" i="6"/>
  <c r="U36" i="9" s="1"/>
  <c r="T29" i="6"/>
  <c r="T36" i="9" s="1"/>
  <c r="S29" i="6"/>
  <c r="S36" i="9" s="1"/>
  <c r="R29" i="6"/>
  <c r="R36" i="9" s="1"/>
  <c r="Q29" i="6"/>
  <c r="Q36" i="9" s="1"/>
  <c r="P29" i="6"/>
  <c r="P36" i="9" s="1"/>
  <c r="O29" i="6"/>
  <c r="O36" i="9" s="1"/>
  <c r="N29" i="6"/>
  <c r="N36" i="9" s="1"/>
  <c r="M29" i="6"/>
  <c r="M36" i="9" s="1"/>
  <c r="L29" i="6"/>
  <c r="L36" i="9" s="1"/>
  <c r="J36" i="9"/>
  <c r="D29" i="6"/>
  <c r="D36" i="9" s="1"/>
  <c r="U28" i="6"/>
  <c r="U35" i="9" s="1"/>
  <c r="T28" i="6"/>
  <c r="T35" i="9" s="1"/>
  <c r="S28" i="6"/>
  <c r="S35" i="9" s="1"/>
  <c r="R28" i="6"/>
  <c r="R35" i="9" s="1"/>
  <c r="Q28" i="6"/>
  <c r="Q35" i="9" s="1"/>
  <c r="P28" i="6"/>
  <c r="P35" i="9" s="1"/>
  <c r="O28" i="6"/>
  <c r="O35" i="9" s="1"/>
  <c r="N28" i="6"/>
  <c r="N35" i="9" s="1"/>
  <c r="M28" i="6"/>
  <c r="M35" i="9" s="1"/>
  <c r="L28" i="6"/>
  <c r="L35" i="9" s="1"/>
  <c r="D28" i="6"/>
  <c r="D35" i="9" s="1"/>
  <c r="U27" i="6"/>
  <c r="U34" i="9" s="1"/>
  <c r="T27" i="6"/>
  <c r="T34" i="9" s="1"/>
  <c r="S27" i="6"/>
  <c r="S34" i="9" s="1"/>
  <c r="R27" i="6"/>
  <c r="R34" i="9" s="1"/>
  <c r="Q27" i="6"/>
  <c r="Q34" i="9" s="1"/>
  <c r="P27" i="6"/>
  <c r="P34" i="9" s="1"/>
  <c r="O27" i="6"/>
  <c r="O34" i="9" s="1"/>
  <c r="N27" i="6"/>
  <c r="N34" i="9" s="1"/>
  <c r="M27" i="6"/>
  <c r="M34" i="9" s="1"/>
  <c r="L27" i="6"/>
  <c r="L34" i="9" s="1"/>
  <c r="D27" i="6"/>
  <c r="D34" i="9" s="1"/>
  <c r="U26" i="6"/>
  <c r="U33" i="9" s="1"/>
  <c r="T26" i="6"/>
  <c r="T33" i="9" s="1"/>
  <c r="S26" i="6"/>
  <c r="S33" i="9" s="1"/>
  <c r="R26" i="6"/>
  <c r="R33" i="9" s="1"/>
  <c r="Q26" i="6"/>
  <c r="Q33" i="9" s="1"/>
  <c r="P26" i="6"/>
  <c r="P33" i="9" s="1"/>
  <c r="O26" i="6"/>
  <c r="O33" i="9" s="1"/>
  <c r="N26" i="6"/>
  <c r="N33" i="9" s="1"/>
  <c r="M26" i="6"/>
  <c r="M33" i="9" s="1"/>
  <c r="L26" i="6"/>
  <c r="L33" i="9" s="1"/>
  <c r="G33" i="9"/>
  <c r="D26" i="6"/>
  <c r="D33" i="9" s="1"/>
  <c r="U25" i="6"/>
  <c r="U32" i="9" s="1"/>
  <c r="T25" i="6"/>
  <c r="T32" i="9" s="1"/>
  <c r="S25" i="6"/>
  <c r="S32" i="9" s="1"/>
  <c r="R25" i="6"/>
  <c r="R32" i="9" s="1"/>
  <c r="Q25" i="6"/>
  <c r="Q32" i="9" s="1"/>
  <c r="P25" i="6"/>
  <c r="P32" i="9" s="1"/>
  <c r="O25" i="6"/>
  <c r="O32" i="9" s="1"/>
  <c r="N25" i="6"/>
  <c r="N32" i="9" s="1"/>
  <c r="M25" i="6"/>
  <c r="M32" i="9" s="1"/>
  <c r="L25" i="6"/>
  <c r="L32" i="9" s="1"/>
  <c r="D25" i="6"/>
  <c r="D32" i="9" s="1"/>
  <c r="U24" i="6"/>
  <c r="U31" i="9" s="1"/>
  <c r="T24" i="6"/>
  <c r="T31" i="9" s="1"/>
  <c r="S24" i="6"/>
  <c r="S31" i="9" s="1"/>
  <c r="R24" i="6"/>
  <c r="R31" i="9" s="1"/>
  <c r="Q24" i="6"/>
  <c r="Q31" i="9" s="1"/>
  <c r="P24" i="6"/>
  <c r="P31" i="9" s="1"/>
  <c r="O24" i="6"/>
  <c r="O31" i="9" s="1"/>
  <c r="N24" i="6"/>
  <c r="N31" i="9" s="1"/>
  <c r="M24" i="6"/>
  <c r="M31" i="9" s="1"/>
  <c r="L24" i="6"/>
  <c r="L31" i="9" s="1"/>
  <c r="D24" i="6"/>
  <c r="D31" i="9" s="1"/>
  <c r="U23" i="6"/>
  <c r="U30" i="9" s="1"/>
  <c r="T23" i="6"/>
  <c r="T30" i="9" s="1"/>
  <c r="S23" i="6"/>
  <c r="S30" i="9" s="1"/>
  <c r="R23" i="6"/>
  <c r="R30" i="9" s="1"/>
  <c r="Q23" i="6"/>
  <c r="Q30" i="9" s="1"/>
  <c r="P23" i="6"/>
  <c r="P30" i="9" s="1"/>
  <c r="O23" i="6"/>
  <c r="O30" i="9" s="1"/>
  <c r="N23" i="6"/>
  <c r="N30" i="9" s="1"/>
  <c r="M23" i="6"/>
  <c r="M30" i="9" s="1"/>
  <c r="L23" i="6"/>
  <c r="L30" i="9" s="1"/>
  <c r="D23" i="6"/>
  <c r="D30" i="9" s="1"/>
  <c r="U22" i="6"/>
  <c r="U29" i="9" s="1"/>
  <c r="T22" i="6"/>
  <c r="T29" i="9" s="1"/>
  <c r="S22" i="6"/>
  <c r="S29" i="9" s="1"/>
  <c r="R22" i="6"/>
  <c r="R29" i="9" s="1"/>
  <c r="Q22" i="6"/>
  <c r="Q29" i="9" s="1"/>
  <c r="P22" i="6"/>
  <c r="P29" i="9" s="1"/>
  <c r="O22" i="6"/>
  <c r="O29" i="9" s="1"/>
  <c r="N22" i="6"/>
  <c r="N29" i="9" s="1"/>
  <c r="M22" i="6"/>
  <c r="M29" i="9" s="1"/>
  <c r="L22" i="6"/>
  <c r="L29" i="9" s="1"/>
  <c r="K29" i="9"/>
  <c r="D22" i="6"/>
  <c r="D29" i="9" s="1"/>
  <c r="U21" i="6"/>
  <c r="U28" i="9" s="1"/>
  <c r="T21" i="6"/>
  <c r="T28" i="9" s="1"/>
  <c r="S21" i="6"/>
  <c r="S28" i="9" s="1"/>
  <c r="R21" i="6"/>
  <c r="R28" i="9" s="1"/>
  <c r="Q21" i="6"/>
  <c r="Q28" i="9" s="1"/>
  <c r="P21" i="6"/>
  <c r="P28" i="9" s="1"/>
  <c r="O21" i="6"/>
  <c r="O28" i="9" s="1"/>
  <c r="N21" i="6"/>
  <c r="N28" i="9" s="1"/>
  <c r="M21" i="6"/>
  <c r="M28" i="9" s="1"/>
  <c r="L21" i="6"/>
  <c r="L28" i="9" s="1"/>
  <c r="D21" i="6"/>
  <c r="D28" i="9" s="1"/>
  <c r="U20" i="6"/>
  <c r="U27" i="9" s="1"/>
  <c r="T20" i="6"/>
  <c r="T27" i="9" s="1"/>
  <c r="S20" i="6"/>
  <c r="S27" i="9" s="1"/>
  <c r="R20" i="6"/>
  <c r="R27" i="9" s="1"/>
  <c r="Q20" i="6"/>
  <c r="Q27" i="9" s="1"/>
  <c r="P20" i="6"/>
  <c r="P27" i="9" s="1"/>
  <c r="O20" i="6"/>
  <c r="O27" i="9" s="1"/>
  <c r="N20" i="6"/>
  <c r="N27" i="9" s="1"/>
  <c r="M20" i="6"/>
  <c r="M27" i="9" s="1"/>
  <c r="L20" i="6"/>
  <c r="L27" i="9" s="1"/>
  <c r="D20" i="6"/>
  <c r="D27" i="9" s="1"/>
  <c r="U19" i="6"/>
  <c r="U26" i="9" s="1"/>
  <c r="T19" i="6"/>
  <c r="T26" i="9" s="1"/>
  <c r="S19" i="6"/>
  <c r="S26" i="9" s="1"/>
  <c r="R19" i="6"/>
  <c r="R26" i="9" s="1"/>
  <c r="Q19" i="6"/>
  <c r="Q26" i="9" s="1"/>
  <c r="P19" i="6"/>
  <c r="P26" i="9" s="1"/>
  <c r="O19" i="6"/>
  <c r="O26" i="9" s="1"/>
  <c r="N19" i="6"/>
  <c r="N26" i="9" s="1"/>
  <c r="M19" i="6"/>
  <c r="M26" i="9" s="1"/>
  <c r="L19" i="6"/>
  <c r="L26" i="9" s="1"/>
  <c r="J26" i="9"/>
  <c r="D19" i="6"/>
  <c r="D26" i="9" s="1"/>
  <c r="U18" i="6"/>
  <c r="U25" i="9" s="1"/>
  <c r="T18" i="6"/>
  <c r="T25" i="9" s="1"/>
  <c r="S18" i="6"/>
  <c r="S25" i="9" s="1"/>
  <c r="R18" i="6"/>
  <c r="R25" i="9" s="1"/>
  <c r="Q18" i="6"/>
  <c r="Q25" i="9" s="1"/>
  <c r="P18" i="6"/>
  <c r="P25" i="9" s="1"/>
  <c r="O18" i="6"/>
  <c r="O25" i="9" s="1"/>
  <c r="N18" i="6"/>
  <c r="N25" i="9" s="1"/>
  <c r="M18" i="6"/>
  <c r="M25" i="9" s="1"/>
  <c r="L18" i="6"/>
  <c r="L25" i="9" s="1"/>
  <c r="D18" i="6"/>
  <c r="D25" i="9" s="1"/>
  <c r="U17" i="6"/>
  <c r="U24" i="9" s="1"/>
  <c r="T17" i="6"/>
  <c r="T24" i="9" s="1"/>
  <c r="S17" i="6"/>
  <c r="S24" i="9" s="1"/>
  <c r="R17" i="6"/>
  <c r="R24" i="9" s="1"/>
  <c r="Q17" i="6"/>
  <c r="Q24" i="9" s="1"/>
  <c r="P17" i="6"/>
  <c r="P24" i="9" s="1"/>
  <c r="O17" i="6"/>
  <c r="O24" i="9" s="1"/>
  <c r="N17" i="6"/>
  <c r="N24" i="9" s="1"/>
  <c r="M17" i="6"/>
  <c r="M24" i="9" s="1"/>
  <c r="L17" i="6"/>
  <c r="L24" i="9" s="1"/>
  <c r="K24" i="9"/>
  <c r="D17" i="6"/>
  <c r="D24" i="9" s="1"/>
  <c r="U16" i="6"/>
  <c r="U23" i="9" s="1"/>
  <c r="T16" i="6"/>
  <c r="T23" i="9" s="1"/>
  <c r="S16" i="6"/>
  <c r="S23" i="9" s="1"/>
  <c r="R16" i="6"/>
  <c r="R23" i="9" s="1"/>
  <c r="Q16" i="6"/>
  <c r="Q23" i="9" s="1"/>
  <c r="P16" i="6"/>
  <c r="P23" i="9" s="1"/>
  <c r="O16" i="6"/>
  <c r="O23" i="9" s="1"/>
  <c r="N16" i="6"/>
  <c r="N23" i="9" s="1"/>
  <c r="M16" i="6"/>
  <c r="M23" i="9" s="1"/>
  <c r="L16" i="6"/>
  <c r="L23" i="9" s="1"/>
  <c r="G23" i="9"/>
  <c r="D16" i="6"/>
  <c r="D23" i="9" s="1"/>
  <c r="U15" i="6"/>
  <c r="U22" i="9" s="1"/>
  <c r="T15" i="6"/>
  <c r="T22" i="9" s="1"/>
  <c r="S15" i="6"/>
  <c r="S22" i="9" s="1"/>
  <c r="R15" i="6"/>
  <c r="R22" i="9" s="1"/>
  <c r="Q15" i="6"/>
  <c r="Q22" i="9" s="1"/>
  <c r="P15" i="6"/>
  <c r="P22" i="9" s="1"/>
  <c r="O15" i="6"/>
  <c r="O22" i="9" s="1"/>
  <c r="N15" i="6"/>
  <c r="N22" i="9" s="1"/>
  <c r="M15" i="6"/>
  <c r="M22" i="9" s="1"/>
  <c r="L15" i="6"/>
  <c r="L22" i="9" s="1"/>
  <c r="D15" i="6"/>
  <c r="D22" i="9" s="1"/>
  <c r="U14" i="6"/>
  <c r="U21" i="9" s="1"/>
  <c r="T14" i="6"/>
  <c r="T21" i="9" s="1"/>
  <c r="S14" i="6"/>
  <c r="S21" i="9" s="1"/>
  <c r="R14" i="6"/>
  <c r="R21" i="9" s="1"/>
  <c r="Q14" i="6"/>
  <c r="Q21" i="9" s="1"/>
  <c r="P14" i="6"/>
  <c r="P21" i="9" s="1"/>
  <c r="O14" i="6"/>
  <c r="O21" i="9" s="1"/>
  <c r="N14" i="6"/>
  <c r="N21" i="9" s="1"/>
  <c r="M14" i="6"/>
  <c r="M21" i="9" s="1"/>
  <c r="L14" i="6"/>
  <c r="L21" i="9" s="1"/>
  <c r="D14" i="6"/>
  <c r="D21" i="9" s="1"/>
  <c r="U13" i="6"/>
  <c r="U20" i="9" s="1"/>
  <c r="T13" i="6"/>
  <c r="T20" i="9" s="1"/>
  <c r="S13" i="6"/>
  <c r="S20" i="9" s="1"/>
  <c r="R13" i="6"/>
  <c r="R20" i="9" s="1"/>
  <c r="Q13" i="6"/>
  <c r="Q20" i="9" s="1"/>
  <c r="P13" i="6"/>
  <c r="P20" i="9" s="1"/>
  <c r="O13" i="6"/>
  <c r="O20" i="9" s="1"/>
  <c r="N13" i="6"/>
  <c r="N20" i="9" s="1"/>
  <c r="M13" i="6"/>
  <c r="M20" i="9" s="1"/>
  <c r="L13" i="6"/>
  <c r="L20" i="9" s="1"/>
  <c r="D13" i="6"/>
  <c r="D20" i="9" s="1"/>
  <c r="U12" i="6"/>
  <c r="U19" i="9" s="1"/>
  <c r="T12" i="6"/>
  <c r="T19" i="9" s="1"/>
  <c r="S12" i="6"/>
  <c r="S19" i="9" s="1"/>
  <c r="R12" i="6"/>
  <c r="R19" i="9" s="1"/>
  <c r="Q12" i="6"/>
  <c r="Q19" i="9" s="1"/>
  <c r="P12" i="6"/>
  <c r="P19" i="9" s="1"/>
  <c r="O12" i="6"/>
  <c r="O19" i="9" s="1"/>
  <c r="N12" i="6"/>
  <c r="N19" i="9" s="1"/>
  <c r="M12" i="6"/>
  <c r="M19" i="9" s="1"/>
  <c r="L12" i="6"/>
  <c r="L19" i="9" s="1"/>
  <c r="K19" i="9"/>
  <c r="D12" i="6"/>
  <c r="D19" i="9" s="1"/>
  <c r="U11" i="6"/>
  <c r="U18" i="9" s="1"/>
  <c r="T11" i="6"/>
  <c r="T18" i="9" s="1"/>
  <c r="S11" i="6"/>
  <c r="S18" i="9" s="1"/>
  <c r="R11" i="6"/>
  <c r="R18" i="9" s="1"/>
  <c r="Q11" i="6"/>
  <c r="Q18" i="9" s="1"/>
  <c r="P11" i="6"/>
  <c r="P18" i="9" s="1"/>
  <c r="O11" i="6"/>
  <c r="O18" i="9" s="1"/>
  <c r="N11" i="6"/>
  <c r="N18" i="9" s="1"/>
  <c r="M11" i="6"/>
  <c r="M18" i="9" s="1"/>
  <c r="L11" i="6"/>
  <c r="L18" i="9" s="1"/>
  <c r="G18" i="9"/>
  <c r="D11" i="6"/>
  <c r="D18" i="9" s="1"/>
  <c r="U10" i="6"/>
  <c r="U17" i="9" s="1"/>
  <c r="T10" i="6"/>
  <c r="T17" i="9" s="1"/>
  <c r="S10" i="6"/>
  <c r="S17" i="9" s="1"/>
  <c r="R10" i="6"/>
  <c r="R17" i="9" s="1"/>
  <c r="Q10" i="6"/>
  <c r="Q17" i="9" s="1"/>
  <c r="P10" i="6"/>
  <c r="P17" i="9" s="1"/>
  <c r="O10" i="6"/>
  <c r="O17" i="9" s="1"/>
  <c r="N10" i="6"/>
  <c r="N17" i="9" s="1"/>
  <c r="M10" i="6"/>
  <c r="M17" i="9" s="1"/>
  <c r="L10" i="6"/>
  <c r="L17" i="9" s="1"/>
  <c r="D10" i="6"/>
  <c r="D17" i="9" s="1"/>
  <c r="U9" i="6"/>
  <c r="U16" i="9" s="1"/>
  <c r="T9" i="6"/>
  <c r="T16" i="9" s="1"/>
  <c r="S9" i="6"/>
  <c r="S16" i="9" s="1"/>
  <c r="R9" i="6"/>
  <c r="R16" i="9" s="1"/>
  <c r="Q9" i="6"/>
  <c r="Q16" i="9" s="1"/>
  <c r="P9" i="6"/>
  <c r="P16" i="9" s="1"/>
  <c r="O9" i="6"/>
  <c r="O16" i="9" s="1"/>
  <c r="N9" i="6"/>
  <c r="N16" i="9" s="1"/>
  <c r="M9" i="6"/>
  <c r="M16" i="9" s="1"/>
  <c r="L9" i="6"/>
  <c r="L16" i="9" s="1"/>
  <c r="J16" i="9"/>
  <c r="D9" i="6"/>
  <c r="D16" i="9" s="1"/>
  <c r="U8" i="6"/>
  <c r="U15" i="9" s="1"/>
  <c r="T8" i="6"/>
  <c r="T15" i="9" s="1"/>
  <c r="S8" i="6"/>
  <c r="S15" i="9" s="1"/>
  <c r="R8" i="6"/>
  <c r="R15" i="9" s="1"/>
  <c r="Q8" i="6"/>
  <c r="Q15" i="9" s="1"/>
  <c r="P8" i="6"/>
  <c r="P15" i="9" s="1"/>
  <c r="O8" i="6"/>
  <c r="O15" i="9" s="1"/>
  <c r="N8" i="6"/>
  <c r="N15" i="9" s="1"/>
  <c r="M8" i="6"/>
  <c r="M15" i="9" s="1"/>
  <c r="L8" i="6"/>
  <c r="L15" i="9" s="1"/>
  <c r="D8" i="6"/>
  <c r="D15" i="9" s="1"/>
  <c r="U7" i="6"/>
  <c r="U14" i="9" s="1"/>
  <c r="T7" i="6"/>
  <c r="T14" i="9" s="1"/>
  <c r="S7" i="6"/>
  <c r="S14" i="9" s="1"/>
  <c r="R7" i="6"/>
  <c r="R14" i="9" s="1"/>
  <c r="Q7" i="6"/>
  <c r="Q14" i="9" s="1"/>
  <c r="P7" i="6"/>
  <c r="P14" i="9" s="1"/>
  <c r="O7" i="6"/>
  <c r="O14" i="9" s="1"/>
  <c r="N7" i="6"/>
  <c r="N14" i="9" s="1"/>
  <c r="M7" i="6"/>
  <c r="M14" i="9" s="1"/>
  <c r="L7" i="6"/>
  <c r="L14" i="9" s="1"/>
  <c r="D7" i="6"/>
  <c r="D14" i="9" s="1"/>
  <c r="U6" i="6"/>
  <c r="U13" i="9" s="1"/>
  <c r="T6" i="6"/>
  <c r="T13" i="9" s="1"/>
  <c r="S6" i="6"/>
  <c r="S13" i="9" s="1"/>
  <c r="R6" i="6"/>
  <c r="R13" i="9" s="1"/>
  <c r="Q6" i="6"/>
  <c r="Q13" i="9" s="1"/>
  <c r="P6" i="6"/>
  <c r="P13" i="9" s="1"/>
  <c r="O6" i="6"/>
  <c r="O13" i="9" s="1"/>
  <c r="N6" i="6"/>
  <c r="N13" i="9" s="1"/>
  <c r="M6" i="6"/>
  <c r="M13" i="9" s="1"/>
  <c r="L6" i="6"/>
  <c r="L13" i="9" s="1"/>
  <c r="D6" i="6"/>
  <c r="D13" i="9" s="1"/>
  <c r="U5" i="6"/>
  <c r="U12" i="9" s="1"/>
  <c r="T5" i="6"/>
  <c r="T12" i="9" s="1"/>
  <c r="S5" i="6"/>
  <c r="S12" i="9" s="1"/>
  <c r="R5" i="6"/>
  <c r="R12" i="9" s="1"/>
  <c r="Q5" i="6"/>
  <c r="Q12" i="9" s="1"/>
  <c r="P5" i="6"/>
  <c r="P12" i="9" s="1"/>
  <c r="O5" i="6"/>
  <c r="O12" i="9" s="1"/>
  <c r="N5" i="6"/>
  <c r="N12" i="9" s="1"/>
  <c r="M5" i="6"/>
  <c r="M12" i="9" s="1"/>
  <c r="L5" i="6"/>
  <c r="L12" i="9" s="1"/>
  <c r="D5" i="6"/>
  <c r="D12" i="9" s="1"/>
  <c r="U4" i="6"/>
  <c r="U11" i="9" s="1"/>
  <c r="T4" i="6"/>
  <c r="T11" i="9" s="1"/>
  <c r="S4" i="6"/>
  <c r="S11" i="9" s="1"/>
  <c r="R4" i="6"/>
  <c r="R11" i="9" s="1"/>
  <c r="Q4" i="6"/>
  <c r="Q11" i="9" s="1"/>
  <c r="P4" i="6"/>
  <c r="P11" i="9" s="1"/>
  <c r="O4" i="6"/>
  <c r="O11" i="9" s="1"/>
  <c r="N4" i="6"/>
  <c r="N11" i="9" s="1"/>
  <c r="M4" i="6"/>
  <c r="M11" i="9" s="1"/>
  <c r="L4" i="6"/>
  <c r="L11" i="9" s="1"/>
  <c r="D4" i="6"/>
  <c r="D11" i="9" s="1"/>
  <c r="U3" i="6"/>
  <c r="U10" i="9" s="1"/>
  <c r="T3" i="6"/>
  <c r="T10" i="9" s="1"/>
  <c r="S3" i="6"/>
  <c r="S10" i="9" s="1"/>
  <c r="R3" i="6"/>
  <c r="R10" i="9" s="1"/>
  <c r="Q3" i="6"/>
  <c r="Q10" i="9" s="1"/>
  <c r="P3" i="6"/>
  <c r="P10" i="9" s="1"/>
  <c r="O3" i="6"/>
  <c r="O10" i="9" s="1"/>
  <c r="N3" i="6"/>
  <c r="N10" i="9" s="1"/>
  <c r="M3" i="6"/>
  <c r="M10" i="9" s="1"/>
  <c r="L3" i="6"/>
  <c r="L10" i="9" s="1"/>
  <c r="D3" i="6"/>
  <c r="D10" i="9" s="1"/>
  <c r="U2" i="6"/>
  <c r="U9" i="9" s="1"/>
  <c r="T2" i="6"/>
  <c r="T9" i="9" s="1"/>
  <c r="S2" i="6"/>
  <c r="S9" i="9" s="1"/>
  <c r="R2" i="6"/>
  <c r="R9" i="9" s="1"/>
  <c r="Q2" i="6"/>
  <c r="Q9" i="9" s="1"/>
  <c r="P2" i="6"/>
  <c r="P9" i="9" s="1"/>
  <c r="O2" i="6"/>
  <c r="O9" i="9" s="1"/>
  <c r="N2" i="6"/>
  <c r="N9" i="9" s="1"/>
  <c r="M2" i="6"/>
  <c r="M9" i="9" s="1"/>
  <c r="L2" i="6"/>
  <c r="L9" i="9" s="1"/>
  <c r="D2" i="6"/>
  <c r="D9" i="9" s="1"/>
  <c r="G6" i="7" l="1"/>
  <c r="K65" i="7"/>
  <c r="I63" i="7"/>
  <c r="K60" i="7"/>
  <c r="I58" i="7"/>
  <c r="K55" i="7"/>
  <c r="I53" i="7"/>
  <c r="K50" i="7"/>
  <c r="I48" i="7"/>
  <c r="H65" i="7"/>
  <c r="J64" i="7"/>
  <c r="H60" i="7"/>
  <c r="J59" i="7"/>
  <c r="H54" i="7"/>
  <c r="J53" i="7"/>
  <c r="K52" i="7"/>
  <c r="I47" i="7"/>
  <c r="K46" i="7"/>
  <c r="K43" i="7"/>
  <c r="I41" i="7"/>
  <c r="K38" i="7"/>
  <c r="I36" i="7"/>
  <c r="I64" i="7"/>
  <c r="K63" i="7"/>
  <c r="I59" i="7"/>
  <c r="K58" i="7"/>
  <c r="H53" i="7"/>
  <c r="J52" i="7"/>
  <c r="H47" i="7"/>
  <c r="J46" i="7"/>
  <c r="J43" i="7"/>
  <c r="H41" i="7"/>
  <c r="J38" i="7"/>
  <c r="H36" i="7"/>
  <c r="J33" i="7"/>
  <c r="H31" i="7"/>
  <c r="J28" i="7"/>
  <c r="H26" i="7"/>
  <c r="J23" i="7"/>
  <c r="H21" i="7"/>
  <c r="J18" i="7"/>
  <c r="H16" i="7"/>
  <c r="J13" i="7"/>
  <c r="H11" i="7"/>
  <c r="J8" i="7"/>
  <c r="J62" i="7"/>
  <c r="H61" i="7"/>
  <c r="K57" i="7"/>
  <c r="I56" i="7"/>
  <c r="J49" i="7"/>
  <c r="I45" i="7"/>
  <c r="I44" i="7"/>
  <c r="K35" i="7"/>
  <c r="I30" i="7"/>
  <c r="K29" i="7"/>
  <c r="I24" i="7"/>
  <c r="K23" i="7"/>
  <c r="H18" i="7"/>
  <c r="J17" i="7"/>
  <c r="H12" i="7"/>
  <c r="J11" i="7"/>
  <c r="K10" i="7"/>
  <c r="I62" i="7"/>
  <c r="J57" i="7"/>
  <c r="H56" i="7"/>
  <c r="K53" i="7"/>
  <c r="I49" i="7"/>
  <c r="H45" i="7"/>
  <c r="H44" i="7"/>
  <c r="J35" i="7"/>
  <c r="H30" i="7"/>
  <c r="J29" i="7"/>
  <c r="H24" i="7"/>
  <c r="I23" i="7"/>
  <c r="K22" i="7"/>
  <c r="I17" i="7"/>
  <c r="K16" i="7"/>
  <c r="I11" i="7"/>
  <c r="J10" i="7"/>
  <c r="J63" i="7"/>
  <c r="H62" i="7"/>
  <c r="I57" i="7"/>
  <c r="J50" i="7"/>
  <c r="H49" i="7"/>
  <c r="I46" i="7"/>
  <c r="K37" i="7"/>
  <c r="K36" i="7"/>
  <c r="I35" i="7"/>
  <c r="K34" i="7"/>
  <c r="I29" i="7"/>
  <c r="K28" i="7"/>
  <c r="H23" i="7"/>
  <c r="J22" i="7"/>
  <c r="M6" i="7"/>
  <c r="O67" i="7"/>
  <c r="Q64" i="7"/>
  <c r="O62" i="7"/>
  <c r="Q59" i="7"/>
  <c r="O57" i="7"/>
  <c r="Q54" i="7"/>
  <c r="O52" i="7"/>
  <c r="Q49" i="7"/>
  <c r="O47" i="7"/>
  <c r="P67" i="7"/>
  <c r="N63" i="7"/>
  <c r="Q62" i="7"/>
  <c r="N58" i="7"/>
  <c r="P57" i="7"/>
  <c r="Q56" i="7"/>
  <c r="O51" i="7"/>
  <c r="Q50" i="7"/>
  <c r="O45" i="7"/>
  <c r="Q42" i="7"/>
  <c r="O40" i="7"/>
  <c r="Q37" i="7"/>
  <c r="O35" i="7"/>
  <c r="N67" i="7"/>
  <c r="Q66" i="7"/>
  <c r="P62" i="7"/>
  <c r="Q61" i="7"/>
  <c r="N57" i="7"/>
  <c r="P56" i="7"/>
  <c r="N51" i="7"/>
  <c r="P50" i="7"/>
  <c r="N45" i="7"/>
  <c r="P42" i="7"/>
  <c r="N40" i="7"/>
  <c r="P37" i="7"/>
  <c r="N35" i="7"/>
  <c r="P32" i="7"/>
  <c r="N30" i="7"/>
  <c r="P27" i="7"/>
  <c r="N25" i="7"/>
  <c r="P22" i="7"/>
  <c r="N20" i="7"/>
  <c r="P17" i="7"/>
  <c r="N15" i="7"/>
  <c r="P12" i="7"/>
  <c r="N10" i="7"/>
  <c r="P7" i="7"/>
  <c r="Q65" i="7"/>
  <c r="P64" i="7"/>
  <c r="P63" i="7"/>
  <c r="P54" i="7"/>
  <c r="N53" i="7"/>
  <c r="O50" i="7"/>
  <c r="O46" i="7"/>
  <c r="Q39" i="7"/>
  <c r="Q38" i="7"/>
  <c r="O37" i="7"/>
  <c r="O36" i="7"/>
  <c r="O34" i="7"/>
  <c r="Q33" i="7"/>
  <c r="O28" i="7"/>
  <c r="Q27" i="7"/>
  <c r="N22" i="7"/>
  <c r="P21" i="7"/>
  <c r="N16" i="7"/>
  <c r="P15" i="7"/>
  <c r="Q14" i="7"/>
  <c r="O9" i="7"/>
  <c r="Q8" i="7"/>
  <c r="P65" i="7"/>
  <c r="O64" i="7"/>
  <c r="O63" i="7"/>
  <c r="Q58" i="7"/>
  <c r="O54" i="7"/>
  <c r="N50" i="7"/>
  <c r="Q47" i="7"/>
  <c r="N46" i="7"/>
  <c r="P39" i="7"/>
  <c r="P38" i="7"/>
  <c r="N37" i="7"/>
  <c r="N36" i="7"/>
  <c r="N34" i="7"/>
  <c r="P33" i="7"/>
  <c r="N28" i="7"/>
  <c r="O27" i="7"/>
  <c r="Q26" i="7"/>
  <c r="O21" i="7"/>
  <c r="Q20" i="7"/>
  <c r="O15" i="7"/>
  <c r="P14" i="7"/>
  <c r="N9" i="7"/>
  <c r="P8" i="7"/>
  <c r="P66" i="7"/>
  <c r="O65" i="7"/>
  <c r="N64" i="7"/>
  <c r="Q60" i="7"/>
  <c r="P59" i="7"/>
  <c r="P58" i="7"/>
  <c r="Q55" i="7"/>
  <c r="N54" i="7"/>
  <c r="Q51" i="7"/>
  <c r="P47" i="7"/>
  <c r="Q41" i="7"/>
  <c r="Q40" i="7"/>
  <c r="O39" i="7"/>
  <c r="O38" i="7"/>
  <c r="O33" i="7"/>
  <c r="Q32" i="7"/>
  <c r="N27" i="7"/>
  <c r="P26" i="7"/>
  <c r="N21" i="7"/>
  <c r="P20" i="7"/>
  <c r="S6" i="7"/>
  <c r="W63" i="7"/>
  <c r="U61" i="7"/>
  <c r="W58" i="7"/>
  <c r="U56" i="7"/>
  <c r="W53" i="7"/>
  <c r="U51" i="7"/>
  <c r="W48" i="7"/>
  <c r="U46" i="7"/>
  <c r="W65" i="7"/>
  <c r="T61" i="7"/>
  <c r="W60" i="7"/>
  <c r="U55" i="7"/>
  <c r="W54" i="7"/>
  <c r="U49" i="7"/>
  <c r="V48" i="7"/>
  <c r="U44" i="7"/>
  <c r="W41" i="7"/>
  <c r="U39" i="7"/>
  <c r="W36" i="7"/>
  <c r="V65" i="7"/>
  <c r="V60" i="7"/>
  <c r="T55" i="7"/>
  <c r="V54" i="7"/>
  <c r="T49" i="7"/>
  <c r="U48" i="7"/>
  <c r="W47" i="7"/>
  <c r="T44" i="7"/>
  <c r="V41" i="7"/>
  <c r="T39" i="7"/>
  <c r="V36" i="7"/>
  <c r="T34" i="7"/>
  <c r="V31" i="7"/>
  <c r="T29" i="7"/>
  <c r="V26" i="7"/>
  <c r="T24" i="7"/>
  <c r="V21" i="7"/>
  <c r="T19" i="7"/>
  <c r="V16" i="7"/>
  <c r="T14" i="7"/>
  <c r="V11" i="7"/>
  <c r="T9" i="7"/>
  <c r="U60" i="7"/>
  <c r="U59" i="7"/>
  <c r="T58" i="7"/>
  <c r="W55" i="7"/>
  <c r="V51" i="7"/>
  <c r="T47" i="7"/>
  <c r="W43" i="7"/>
  <c r="W42" i="7"/>
  <c r="U41" i="7"/>
  <c r="U40" i="7"/>
  <c r="U32" i="7"/>
  <c r="W31" i="7"/>
  <c r="T26" i="7"/>
  <c r="V25" i="7"/>
  <c r="T20" i="7"/>
  <c r="V19" i="7"/>
  <c r="W18" i="7"/>
  <c r="U13" i="7"/>
  <c r="W12" i="7"/>
  <c r="U7" i="7"/>
  <c r="T60" i="7"/>
  <c r="T59" i="7"/>
  <c r="V55" i="7"/>
  <c r="W52" i="7"/>
  <c r="T51" i="7"/>
  <c r="V43" i="7"/>
  <c r="V42" i="7"/>
  <c r="T41" i="7"/>
  <c r="T40" i="7"/>
  <c r="T32" i="7"/>
  <c r="U31" i="7"/>
  <c r="W30" i="7"/>
  <c r="U25" i="7"/>
  <c r="W24" i="7"/>
  <c r="U19" i="7"/>
  <c r="V18" i="7"/>
  <c r="T13" i="7"/>
  <c r="V12" i="7"/>
  <c r="T7" i="7"/>
  <c r="W61" i="7"/>
  <c r="V52" i="7"/>
  <c r="T48" i="7"/>
  <c r="W45" i="7"/>
  <c r="W44" i="7"/>
  <c r="U43" i="7"/>
  <c r="U42" i="7"/>
  <c r="T31" i="7"/>
  <c r="V30" i="7"/>
  <c r="T25" i="7"/>
  <c r="V24" i="7"/>
  <c r="W23" i="7"/>
  <c r="Y6" i="7"/>
  <c r="AC57" i="7"/>
  <c r="AA55" i="7"/>
  <c r="AC52" i="7"/>
  <c r="AA50" i="7"/>
  <c r="AC47" i="7"/>
  <c r="AA45" i="7"/>
  <c r="AA53" i="7"/>
  <c r="AB52" i="7"/>
  <c r="Z47" i="7"/>
  <c r="AB46" i="7"/>
  <c r="AA43" i="7"/>
  <c r="AC40" i="7"/>
  <c r="AA38" i="7"/>
  <c r="AC35" i="7"/>
  <c r="Z53" i="7"/>
  <c r="AA52" i="7"/>
  <c r="AC51" i="7"/>
  <c r="AA46" i="7"/>
  <c r="AC45" i="7"/>
  <c r="Z43" i="7"/>
  <c r="AB40" i="7"/>
  <c r="Z38" i="7"/>
  <c r="AB35" i="7"/>
  <c r="Z33" i="7"/>
  <c r="AB30" i="7"/>
  <c r="Z28" i="7"/>
  <c r="AB25" i="7"/>
  <c r="Z23" i="7"/>
  <c r="AB20" i="7"/>
  <c r="Z18" i="7"/>
  <c r="AB15" i="7"/>
  <c r="Z13" i="7"/>
  <c r="AB10" i="7"/>
  <c r="Z8" i="7"/>
  <c r="AB56" i="7"/>
  <c r="Z52" i="7"/>
  <c r="AC49" i="7"/>
  <c r="AA48" i="7"/>
  <c r="AB45" i="7"/>
  <c r="AA44" i="7"/>
  <c r="Z30" i="7"/>
  <c r="AB29" i="7"/>
  <c r="Z24" i="7"/>
  <c r="AB23" i="7"/>
  <c r="AC22" i="7"/>
  <c r="AA17" i="7"/>
  <c r="AC16" i="7"/>
  <c r="AA11" i="7"/>
  <c r="AC10" i="7"/>
  <c r="AA56" i="7"/>
  <c r="AB49" i="7"/>
  <c r="Z48" i="7"/>
  <c r="Z45" i="7"/>
  <c r="Z44" i="7"/>
  <c r="AC34" i="7"/>
  <c r="AA29" i="7"/>
  <c r="AC28" i="7"/>
  <c r="AA23" i="7"/>
  <c r="AB22" i="7"/>
  <c r="Z17" i="7"/>
  <c r="AB16" i="7"/>
  <c r="Z11" i="7"/>
  <c r="AA10" i="7"/>
  <c r="AC9" i="7"/>
  <c r="AB57" i="7"/>
  <c r="Z56" i="7"/>
  <c r="AC53" i="7"/>
  <c r="AA49" i="7"/>
  <c r="AC37" i="7"/>
  <c r="AC36" i="7"/>
  <c r="AA35" i="7"/>
  <c r="AB34" i="7"/>
  <c r="Z29" i="7"/>
  <c r="AB28" i="7"/>
  <c r="AC27" i="7"/>
  <c r="AA22" i="7"/>
  <c r="AC21" i="7"/>
  <c r="AE6" i="7"/>
  <c r="AI86" i="7"/>
  <c r="AG84" i="7"/>
  <c r="AI81" i="7"/>
  <c r="AG79" i="7"/>
  <c r="AI76" i="7"/>
  <c r="AG74" i="7"/>
  <c r="AI71" i="7"/>
  <c r="AG69" i="7"/>
  <c r="AI66" i="7"/>
  <c r="AG64" i="7"/>
  <c r="AI61" i="7"/>
  <c r="AG59" i="7"/>
  <c r="AI56" i="7"/>
  <c r="AG54" i="7"/>
  <c r="AI51" i="7"/>
  <c r="AG49" i="7"/>
  <c r="AI46" i="7"/>
  <c r="AH85" i="7"/>
  <c r="AH82" i="7"/>
  <c r="AH79" i="7"/>
  <c r="AG76" i="7"/>
  <c r="AF73" i="7"/>
  <c r="AF70" i="7"/>
  <c r="AF67" i="7"/>
  <c r="AH66" i="7"/>
  <c r="AG62" i="7"/>
  <c r="AG57" i="7"/>
  <c r="AH56" i="7"/>
  <c r="AF51" i="7"/>
  <c r="AH50" i="7"/>
  <c r="AF45" i="7"/>
  <c r="AI44" i="7"/>
  <c r="AG42" i="7"/>
  <c r="AI39" i="7"/>
  <c r="AG37" i="7"/>
  <c r="AG85" i="7"/>
  <c r="AG82" i="7"/>
  <c r="AF79" i="7"/>
  <c r="AI78" i="7"/>
  <c r="AF76" i="7"/>
  <c r="AI75" i="7"/>
  <c r="AI72" i="7"/>
  <c r="AI69" i="7"/>
  <c r="AG66" i="7"/>
  <c r="AF62" i="7"/>
  <c r="AH61" i="7"/>
  <c r="AF57" i="7"/>
  <c r="AG56" i="7"/>
  <c r="AI55" i="7"/>
  <c r="AG50" i="7"/>
  <c r="AI49" i="7"/>
  <c r="AH44" i="7"/>
  <c r="AF42" i="7"/>
  <c r="AH39" i="7"/>
  <c r="AF37" i="7"/>
  <c r="AH34" i="7"/>
  <c r="AF32" i="7"/>
  <c r="AH29" i="7"/>
  <c r="AF27" i="7"/>
  <c r="AH24" i="7"/>
  <c r="AF22" i="7"/>
  <c r="AH19" i="7"/>
  <c r="AF17" i="7"/>
  <c r="AH14" i="7"/>
  <c r="AF12" i="7"/>
  <c r="AH9" i="7"/>
  <c r="AF7" i="7"/>
  <c r="AH86" i="7"/>
  <c r="AF81" i="7"/>
  <c r="AI80" i="7"/>
  <c r="AF75" i="7"/>
  <c r="AI74" i="7"/>
  <c r="AG70" i="7"/>
  <c r="AH69" i="7"/>
  <c r="AH68" i="7"/>
  <c r="AI65" i="7"/>
  <c r="AH64" i="7"/>
  <c r="AG63" i="7"/>
  <c r="AI58" i="7"/>
  <c r="AI57" i="7"/>
  <c r="AG53" i="7"/>
  <c r="AH46" i="7"/>
  <c r="AI38" i="7"/>
  <c r="AI37" i="7"/>
  <c r="AG36" i="7"/>
  <c r="AG35" i="7"/>
  <c r="AF34" i="7"/>
  <c r="AH33" i="7"/>
  <c r="AF28" i="7"/>
  <c r="AH27" i="7"/>
  <c r="AI26" i="7"/>
  <c r="AG21" i="7"/>
  <c r="AI20" i="7"/>
  <c r="AG15" i="7"/>
  <c r="AI14" i="7"/>
  <c r="AF9" i="7"/>
  <c r="AH8" i="7"/>
  <c r="AG86" i="7"/>
  <c r="AH80" i="7"/>
  <c r="AH74" i="7"/>
  <c r="AF69" i="7"/>
  <c r="AG68" i="7"/>
  <c r="AH65" i="7"/>
  <c r="AF64" i="7"/>
  <c r="AF63" i="7"/>
  <c r="AI59" i="7"/>
  <c r="AH58" i="7"/>
  <c r="AH57" i="7"/>
  <c r="AI54" i="7"/>
  <c r="AF53" i="7"/>
  <c r="AI50" i="7"/>
  <c r="AG46" i="7"/>
  <c r="AH38" i="7"/>
  <c r="AH37" i="7"/>
  <c r="AF36" i="7"/>
  <c r="AF35" i="7"/>
  <c r="AG33" i="7"/>
  <c r="AI32" i="7"/>
  <c r="AG27" i="7"/>
  <c r="AH26" i="7"/>
  <c r="AF21" i="7"/>
  <c r="AH20" i="7"/>
  <c r="AF15" i="7"/>
  <c r="AG14" i="7"/>
  <c r="AI13" i="7"/>
  <c r="AG8" i="7"/>
  <c r="AI7" i="7"/>
  <c r="AF86" i="7"/>
  <c r="AI85" i="7"/>
  <c r="AI84" i="7"/>
  <c r="AG80" i="7"/>
  <c r="AF74" i="7"/>
  <c r="AI73" i="7"/>
  <c r="AF68" i="7"/>
  <c r="AG65" i="7"/>
  <c r="AI60" i="7"/>
  <c r="AH59" i="7"/>
  <c r="AG58" i="7"/>
  <c r="AH54" i="7"/>
  <c r="AF50" i="7"/>
  <c r="AI47" i="7"/>
  <c r="AF46" i="7"/>
  <c r="AI41" i="7"/>
  <c r="AI40" i="7"/>
  <c r="AG39" i="7"/>
  <c r="AG38" i="7"/>
  <c r="AF33" i="7"/>
  <c r="AH32" i="7"/>
  <c r="AI31" i="7"/>
  <c r="AG26" i="7"/>
  <c r="AI25" i="7"/>
  <c r="AG20" i="7"/>
  <c r="AI19" i="7"/>
  <c r="A6" i="7"/>
  <c r="E96" i="7"/>
  <c r="C94" i="7"/>
  <c r="E91" i="7"/>
  <c r="C89" i="7"/>
  <c r="E86" i="7"/>
  <c r="C84" i="7"/>
  <c r="E81" i="7"/>
  <c r="C79" i="7"/>
  <c r="E76" i="7"/>
  <c r="C74" i="7"/>
  <c r="E71" i="7"/>
  <c r="C69" i="7"/>
  <c r="E66" i="7"/>
  <c r="C64" i="7"/>
  <c r="E61" i="7"/>
  <c r="C59" i="7"/>
  <c r="E56" i="7"/>
  <c r="C54" i="7"/>
  <c r="E51" i="7"/>
  <c r="C49" i="7"/>
  <c r="E46" i="7"/>
  <c r="B7" i="7"/>
  <c r="D9" i="7"/>
  <c r="B12" i="7"/>
  <c r="D14" i="7"/>
  <c r="B17" i="7"/>
  <c r="D19" i="7"/>
  <c r="B22" i="7"/>
  <c r="D24" i="7"/>
  <c r="B27" i="7"/>
  <c r="D29" i="7"/>
  <c r="B32" i="7"/>
  <c r="D34" i="7"/>
  <c r="B37" i="7"/>
  <c r="D39" i="7"/>
  <c r="B42" i="7"/>
  <c r="D44" i="7"/>
  <c r="D48" i="7"/>
  <c r="B49" i="7"/>
  <c r="E54" i="7"/>
  <c r="C55" i="7"/>
  <c r="E60" i="7"/>
  <c r="B61" i="7"/>
  <c r="E65" i="7"/>
  <c r="B66" i="7"/>
  <c r="D69" i="7"/>
  <c r="E72" i="7"/>
  <c r="E75" i="7"/>
  <c r="E78" i="7"/>
  <c r="C82" i="7"/>
  <c r="C85" i="7"/>
  <c r="C88" i="7"/>
  <c r="B91" i="7"/>
  <c r="E93" i="7"/>
  <c r="D96" i="7"/>
  <c r="C37" i="7"/>
  <c r="E39" i="7"/>
  <c r="C42" i="7"/>
  <c r="E44" i="7"/>
  <c r="E48" i="7"/>
  <c r="D49" i="7"/>
  <c r="B50" i="7"/>
  <c r="D55" i="7"/>
  <c r="B56" i="7"/>
  <c r="C61" i="7"/>
  <c r="B62" i="7"/>
  <c r="C66" i="7"/>
  <c r="E69" i="7"/>
  <c r="B70" i="7"/>
  <c r="B73" i="7"/>
  <c r="B76" i="7"/>
  <c r="B79" i="7"/>
  <c r="D82" i="7"/>
  <c r="D85" i="7"/>
  <c r="D88" i="7"/>
  <c r="C91" i="7"/>
  <c r="B94" i="7"/>
  <c r="E188" i="6"/>
  <c r="E195" i="9" s="1"/>
  <c r="E190" i="6"/>
  <c r="E197" i="9" s="1"/>
  <c r="H188" i="6"/>
  <c r="H195" i="9" s="1"/>
  <c r="E210" i="6"/>
  <c r="E217" i="9" s="1"/>
  <c r="H44" i="6" a="1"/>
  <c r="H44" i="6" s="1"/>
  <c r="H51" i="9" s="1"/>
  <c r="I44" i="6" a="1"/>
  <c r="I44" i="6" s="1"/>
  <c r="I51" i="9" s="1"/>
  <c r="E44" i="6" a="1"/>
  <c r="E44" i="6" s="1"/>
  <c r="E51" i="9" s="1"/>
  <c r="E42" i="6" a="1"/>
  <c r="E42" i="6" s="1"/>
  <c r="E49" i="9" s="1"/>
  <c r="H42" i="6" a="1"/>
  <c r="H42" i="6" s="1"/>
  <c r="H49" i="9" s="1"/>
  <c r="I42" i="6" a="1"/>
  <c r="I42" i="6" s="1"/>
  <c r="I49" i="9" s="1"/>
  <c r="H40" i="6" a="1"/>
  <c r="H40" i="6" s="1"/>
  <c r="H47" i="9" s="1"/>
  <c r="I40" i="6" a="1"/>
  <c r="I40" i="6" s="1"/>
  <c r="I47" i="9" s="1"/>
  <c r="E40" i="6" a="1"/>
  <c r="E40" i="6" s="1"/>
  <c r="E47" i="9" s="1"/>
  <c r="H38" i="6" a="1"/>
  <c r="H38" i="6" s="1"/>
  <c r="H45" i="9" s="1"/>
  <c r="I38" i="6" a="1"/>
  <c r="I38" i="6" s="1"/>
  <c r="I45" i="9" s="1"/>
  <c r="E38" i="6" a="1"/>
  <c r="E38" i="6" s="1"/>
  <c r="E45" i="9" s="1"/>
  <c r="H43" i="6" a="1"/>
  <c r="H43" i="6" s="1"/>
  <c r="H50" i="9" s="1"/>
  <c r="I43" i="6" a="1"/>
  <c r="I43" i="6" s="1"/>
  <c r="I50" i="9" s="1"/>
  <c r="E43" i="6" a="1"/>
  <c r="E43" i="6" s="1"/>
  <c r="E50" i="9" s="1"/>
  <c r="H41" i="6" a="1"/>
  <c r="H41" i="6" s="1"/>
  <c r="H48" i="9" s="1"/>
  <c r="I41" i="6" a="1"/>
  <c r="I41" i="6" s="1"/>
  <c r="I48" i="9" s="1"/>
  <c r="E41" i="6" a="1"/>
  <c r="E41" i="6" s="1"/>
  <c r="E48" i="9" s="1"/>
  <c r="H39" i="6" a="1"/>
  <c r="H39" i="6" s="1"/>
  <c r="H46" i="9" s="1"/>
  <c r="I39" i="6" a="1"/>
  <c r="I39" i="6" s="1"/>
  <c r="I46" i="9" s="1"/>
  <c r="E39" i="6" a="1"/>
  <c r="E39" i="6" s="1"/>
  <c r="E46" i="9" s="1"/>
  <c r="E37" i="6" a="1"/>
  <c r="E37" i="6" s="1"/>
  <c r="E44" i="9" s="1"/>
  <c r="H37" i="6" a="1"/>
  <c r="H37" i="6" s="1"/>
  <c r="H44" i="9" s="1"/>
  <c r="I37" i="6" a="1"/>
  <c r="I37" i="6" s="1"/>
  <c r="I44" i="9" s="1"/>
  <c r="I85" i="6"/>
  <c r="I92" i="9" s="1"/>
  <c r="E91" i="6"/>
  <c r="E98" i="9" s="1"/>
  <c r="E74" i="6"/>
  <c r="E81" i="9" s="1"/>
  <c r="H85" i="6"/>
  <c r="H92" i="9" s="1"/>
  <c r="I65" i="6"/>
  <c r="I72" i="9" s="1"/>
  <c r="H110" i="6"/>
  <c r="H117" i="9" s="1"/>
  <c r="H113" i="6"/>
  <c r="H120" i="9" s="1"/>
  <c r="I110" i="6"/>
  <c r="I117" i="9" s="1"/>
  <c r="I113" i="6"/>
  <c r="I120" i="9" s="1"/>
  <c r="H65" i="6"/>
  <c r="H72" i="9" s="1"/>
  <c r="E18" i="6"/>
  <c r="E25" i="9" s="1"/>
  <c r="H13" i="6"/>
  <c r="H20" i="9" s="1"/>
  <c r="H180" i="6"/>
  <c r="H187" i="9" s="1"/>
  <c r="E104" i="6"/>
  <c r="E111" i="9" s="1"/>
  <c r="I91" i="6"/>
  <c r="I98" i="9" s="1"/>
  <c r="E168" i="6"/>
  <c r="E175" i="9" s="1"/>
  <c r="I13" i="6"/>
  <c r="I20" i="9" s="1"/>
  <c r="I68" i="6"/>
  <c r="I75" i="9" s="1"/>
  <c r="H100" i="6"/>
  <c r="H107" i="9" s="1"/>
  <c r="I103" i="6"/>
  <c r="I110" i="9" s="1"/>
  <c r="E114" i="6"/>
  <c r="E121" i="9" s="1"/>
  <c r="E121" i="6"/>
  <c r="E128" i="9" s="1"/>
  <c r="H166" i="6"/>
  <c r="H173" i="9" s="1"/>
  <c r="E215" i="6"/>
  <c r="E222" i="9" s="1"/>
  <c r="H217" i="6"/>
  <c r="H224" i="9" s="1"/>
  <c r="E84" i="6"/>
  <c r="E91" i="9" s="1"/>
  <c r="E128" i="6"/>
  <c r="E135" i="9" s="1"/>
  <c r="I135" i="6"/>
  <c r="I142" i="9" s="1"/>
  <c r="E140" i="6"/>
  <c r="E147" i="9" s="1"/>
  <c r="I166" i="6"/>
  <c r="I173" i="9" s="1"/>
  <c r="H168" i="6"/>
  <c r="H175" i="9" s="1"/>
  <c r="I217" i="6"/>
  <c r="I224" i="9" s="1"/>
  <c r="E60" i="6"/>
  <c r="E67" i="9" s="1"/>
  <c r="E85" i="6"/>
  <c r="E92" i="9" s="1"/>
  <c r="E113" i="6"/>
  <c r="E120" i="9" s="1"/>
  <c r="E204" i="6"/>
  <c r="E211" i="9" s="1"/>
  <c r="E71" i="6"/>
  <c r="E78" i="9" s="1"/>
  <c r="E105" i="6"/>
  <c r="E112" i="9" s="1"/>
  <c r="H108" i="6"/>
  <c r="H115" i="9" s="1"/>
  <c r="E141" i="6"/>
  <c r="E148" i="9" s="1"/>
  <c r="H123" i="6"/>
  <c r="H130" i="9" s="1"/>
  <c r="E86" i="6"/>
  <c r="E93" i="9" s="1"/>
  <c r="E103" i="6"/>
  <c r="E110" i="9" s="1"/>
  <c r="E166" i="6"/>
  <c r="E173" i="9" s="1"/>
  <c r="E205" i="6"/>
  <c r="E212" i="9" s="1"/>
  <c r="H63" i="6"/>
  <c r="H70" i="9" s="1"/>
  <c r="H198" i="6"/>
  <c r="H205" i="9" s="1"/>
  <c r="H78" i="6"/>
  <c r="H85" i="9" s="1"/>
  <c r="E95" i="6"/>
  <c r="E102" i="9" s="1"/>
  <c r="E106" i="6"/>
  <c r="E113" i="9" s="1"/>
  <c r="E111" i="6"/>
  <c r="E118" i="9" s="1"/>
  <c r="H148" i="6"/>
  <c r="H155" i="9" s="1"/>
  <c r="I150" i="6"/>
  <c r="I157" i="9" s="1"/>
  <c r="E155" i="6"/>
  <c r="E162" i="9" s="1"/>
  <c r="I170" i="6"/>
  <c r="I177" i="9" s="1"/>
  <c r="E66" i="6"/>
  <c r="E73" i="9" s="1"/>
  <c r="H70" i="6"/>
  <c r="H77" i="9" s="1"/>
  <c r="E75" i="6"/>
  <c r="E82" i="9" s="1"/>
  <c r="H95" i="6"/>
  <c r="H102" i="9" s="1"/>
  <c r="I131" i="6"/>
  <c r="I138" i="9" s="1"/>
  <c r="H134" i="6"/>
  <c r="H141" i="9" s="1"/>
  <c r="I146" i="6"/>
  <c r="I153" i="9" s="1"/>
  <c r="I148" i="6"/>
  <c r="I155" i="9" s="1"/>
  <c r="H184" i="6"/>
  <c r="H191" i="9" s="1"/>
  <c r="H204" i="6"/>
  <c r="H211" i="9" s="1"/>
  <c r="H29" i="6"/>
  <c r="H36" i="9" s="1"/>
  <c r="H83" i="6"/>
  <c r="H90" i="9" s="1"/>
  <c r="I95" i="6"/>
  <c r="I102" i="9" s="1"/>
  <c r="E120" i="6"/>
  <c r="E127" i="9" s="1"/>
  <c r="E126" i="6"/>
  <c r="E133" i="9" s="1"/>
  <c r="E129" i="6"/>
  <c r="E136" i="9" s="1"/>
  <c r="I184" i="6"/>
  <c r="I191" i="9" s="1"/>
  <c r="H200" i="6"/>
  <c r="H207" i="9" s="1"/>
  <c r="I204" i="6"/>
  <c r="I211" i="9" s="1"/>
  <c r="H75" i="6"/>
  <c r="H82" i="9" s="1"/>
  <c r="I200" i="6"/>
  <c r="I207" i="9" s="1"/>
  <c r="I75" i="6"/>
  <c r="I82" i="9" s="1"/>
  <c r="H104" i="6"/>
  <c r="H111" i="9" s="1"/>
  <c r="E110" i="6"/>
  <c r="E117" i="9" s="1"/>
  <c r="I123" i="6"/>
  <c r="I130" i="9" s="1"/>
  <c r="H129" i="6"/>
  <c r="H136" i="9" s="1"/>
  <c r="E169" i="6"/>
  <c r="E176" i="9" s="1"/>
  <c r="I180" i="6"/>
  <c r="I187" i="9" s="1"/>
  <c r="H68" i="6"/>
  <c r="H75" i="9" s="1"/>
  <c r="H90" i="6"/>
  <c r="H97" i="9" s="1"/>
  <c r="H115" i="6"/>
  <c r="H122" i="9" s="1"/>
  <c r="E118" i="6"/>
  <c r="E125" i="9" s="1"/>
  <c r="I140" i="6"/>
  <c r="I147" i="9" s="1"/>
  <c r="E156" i="6"/>
  <c r="E163" i="9" s="1"/>
  <c r="H55" i="6"/>
  <c r="H62" i="9" s="1"/>
  <c r="E69" i="6"/>
  <c r="E76" i="9" s="1"/>
  <c r="H73" i="6"/>
  <c r="H80" i="9" s="1"/>
  <c r="E76" i="6"/>
  <c r="E83" i="9" s="1"/>
  <c r="H93" i="6"/>
  <c r="H100" i="9" s="1"/>
  <c r="E101" i="6"/>
  <c r="E108" i="9" s="1"/>
  <c r="I111" i="6"/>
  <c r="I118" i="9" s="1"/>
  <c r="E145" i="6"/>
  <c r="E152" i="9" s="1"/>
  <c r="E151" i="6"/>
  <c r="E158" i="9" s="1"/>
  <c r="E153" i="6"/>
  <c r="E160" i="9" s="1"/>
  <c r="I175" i="6"/>
  <c r="I182" i="9" s="1"/>
  <c r="I179" i="6"/>
  <c r="I186" i="9" s="1"/>
  <c r="H183" i="6"/>
  <c r="H190" i="9" s="1"/>
  <c r="H189" i="6"/>
  <c r="H196" i="9" s="1"/>
  <c r="H193" i="6"/>
  <c r="H200" i="9" s="1"/>
  <c r="E214" i="6"/>
  <c r="E221" i="9" s="1"/>
  <c r="E223" i="6"/>
  <c r="E230" i="9" s="1"/>
  <c r="H45" i="6"/>
  <c r="H52" i="9" s="1"/>
  <c r="H60" i="6"/>
  <c r="H67" i="9" s="1"/>
  <c r="H88" i="6"/>
  <c r="H95" i="9" s="1"/>
  <c r="E99" i="6"/>
  <c r="E106" i="9" s="1"/>
  <c r="E139" i="6"/>
  <c r="E146" i="9" s="1"/>
  <c r="E143" i="6"/>
  <c r="E150" i="9" s="1"/>
  <c r="H149" i="6"/>
  <c r="H156" i="9" s="1"/>
  <c r="I155" i="6"/>
  <c r="I162" i="9" s="1"/>
  <c r="H159" i="6"/>
  <c r="H166" i="9" s="1"/>
  <c r="I189" i="6"/>
  <c r="I196" i="9" s="1"/>
  <c r="I195" i="6"/>
  <c r="I202" i="9" s="1"/>
  <c r="H205" i="6"/>
  <c r="H212" i="9" s="1"/>
  <c r="I60" i="6"/>
  <c r="I67" i="9" s="1"/>
  <c r="I151" i="6"/>
  <c r="I158" i="9" s="1"/>
  <c r="I223" i="6"/>
  <c r="I230" i="9" s="1"/>
  <c r="E28" i="6"/>
  <c r="E35" i="9" s="1"/>
  <c r="E81" i="6"/>
  <c r="E88" i="9" s="1"/>
  <c r="E89" i="6"/>
  <c r="E96" i="9" s="1"/>
  <c r="H94" i="6"/>
  <c r="H101" i="9" s="1"/>
  <c r="E135" i="6"/>
  <c r="E142" i="9" s="1"/>
  <c r="E158" i="6"/>
  <c r="E165" i="9" s="1"/>
  <c r="E170" i="6"/>
  <c r="E177" i="9" s="1"/>
  <c r="E180" i="6"/>
  <c r="E187" i="9" s="1"/>
  <c r="E184" i="6"/>
  <c r="E191" i="9" s="1"/>
  <c r="E194" i="6"/>
  <c r="E201" i="9" s="1"/>
  <c r="E34" i="6"/>
  <c r="E41" i="9" s="1"/>
  <c r="E179" i="6"/>
  <c r="E186" i="9" s="1"/>
  <c r="E203" i="6"/>
  <c r="E210" i="9" s="1"/>
  <c r="E98" i="6"/>
  <c r="E105" i="9" s="1"/>
  <c r="E163" i="6"/>
  <c r="E170" i="9" s="1"/>
  <c r="E193" i="6"/>
  <c r="E200" i="9" s="1"/>
  <c r="H209" i="6"/>
  <c r="H216" i="9" s="1"/>
  <c r="E9" i="6"/>
  <c r="E16" i="9" s="1"/>
  <c r="E19" i="6"/>
  <c r="E26" i="9" s="1"/>
  <c r="H130" i="6"/>
  <c r="H137" i="9" s="1"/>
  <c r="E159" i="6"/>
  <c r="E166" i="9" s="1"/>
  <c r="E161" i="6"/>
  <c r="E168" i="9" s="1"/>
  <c r="H173" i="6"/>
  <c r="H180" i="9" s="1"/>
  <c r="H175" i="6"/>
  <c r="H182" i="9" s="1"/>
  <c r="H179" i="6"/>
  <c r="H186" i="9" s="1"/>
  <c r="H199" i="6"/>
  <c r="H206" i="9" s="1"/>
  <c r="I209" i="6"/>
  <c r="I216" i="9" s="1"/>
  <c r="I12" i="6"/>
  <c r="I19" i="9" s="1"/>
  <c r="H4" i="6"/>
  <c r="H11" i="9" s="1"/>
  <c r="H31" i="6"/>
  <c r="H38" i="9" s="1"/>
  <c r="E79" i="6"/>
  <c r="E86" i="9" s="1"/>
  <c r="I88" i="6"/>
  <c r="I95" i="9" s="1"/>
  <c r="E96" i="6"/>
  <c r="E103" i="9" s="1"/>
  <c r="E109" i="6"/>
  <c r="E116" i="9" s="1"/>
  <c r="H118" i="6"/>
  <c r="H125" i="9" s="1"/>
  <c r="H128" i="6"/>
  <c r="H135" i="9" s="1"/>
  <c r="I141" i="6"/>
  <c r="I148" i="9" s="1"/>
  <c r="H143" i="6"/>
  <c r="H150" i="9" s="1"/>
  <c r="I145" i="6"/>
  <c r="I152" i="9" s="1"/>
  <c r="I156" i="6"/>
  <c r="I163" i="9" s="1"/>
  <c r="H158" i="6"/>
  <c r="H165" i="9" s="1"/>
  <c r="I174" i="6"/>
  <c r="I181" i="9" s="1"/>
  <c r="E185" i="6"/>
  <c r="E192" i="9" s="1"/>
  <c r="H190" i="6"/>
  <c r="H197" i="9" s="1"/>
  <c r="I199" i="6"/>
  <c r="I206" i="9" s="1"/>
  <c r="H210" i="6"/>
  <c r="H217" i="9" s="1"/>
  <c r="H214" i="6"/>
  <c r="H221" i="9" s="1"/>
  <c r="E218" i="6"/>
  <c r="E225" i="9" s="1"/>
  <c r="I16" i="6"/>
  <c r="I23" i="9" s="1"/>
  <c r="H19" i="6"/>
  <c r="H26" i="9" s="1"/>
  <c r="H28" i="6"/>
  <c r="H35" i="9" s="1"/>
  <c r="I31" i="6"/>
  <c r="I38" i="9" s="1"/>
  <c r="E65" i="6"/>
  <c r="E72" i="9" s="1"/>
  <c r="H98" i="6"/>
  <c r="H105" i="9" s="1"/>
  <c r="H105" i="6"/>
  <c r="H112" i="9" s="1"/>
  <c r="H120" i="6"/>
  <c r="H127" i="9" s="1"/>
  <c r="I128" i="6"/>
  <c r="I135" i="9" s="1"/>
  <c r="E130" i="6"/>
  <c r="E137" i="9" s="1"/>
  <c r="E149" i="6"/>
  <c r="E156" i="9" s="1"/>
  <c r="I158" i="6"/>
  <c r="I165" i="9" s="1"/>
  <c r="E160" i="6"/>
  <c r="E167" i="9" s="1"/>
  <c r="H169" i="6"/>
  <c r="H176" i="9" s="1"/>
  <c r="E173" i="6"/>
  <c r="E180" i="9" s="1"/>
  <c r="H178" i="6"/>
  <c r="H185" i="9" s="1"/>
  <c r="E189" i="6"/>
  <c r="E196" i="9" s="1"/>
  <c r="I190" i="6"/>
  <c r="I197" i="9" s="1"/>
  <c r="H194" i="6"/>
  <c r="H201" i="9" s="1"/>
  <c r="E198" i="6"/>
  <c r="E205" i="9" s="1"/>
  <c r="H203" i="6"/>
  <c r="H210" i="9" s="1"/>
  <c r="E209" i="6"/>
  <c r="E216" i="9" s="1"/>
  <c r="I210" i="6"/>
  <c r="I217" i="9" s="1"/>
  <c r="I214" i="6"/>
  <c r="I221" i="9" s="1"/>
  <c r="E220" i="6"/>
  <c r="E227" i="9" s="1"/>
  <c r="H222" i="6"/>
  <c r="H229" i="9" s="1"/>
  <c r="I28" i="6"/>
  <c r="I35" i="9" s="1"/>
  <c r="I98" i="6"/>
  <c r="I105" i="9" s="1"/>
  <c r="I120" i="6"/>
  <c r="I127" i="9" s="1"/>
  <c r="I169" i="6"/>
  <c r="I176" i="9" s="1"/>
  <c r="H185" i="6"/>
  <c r="H192" i="9" s="1"/>
  <c r="I194" i="6"/>
  <c r="I201" i="9" s="1"/>
  <c r="H218" i="6"/>
  <c r="H225" i="9" s="1"/>
  <c r="I222" i="6"/>
  <c r="I229" i="9" s="1"/>
  <c r="H6" i="6"/>
  <c r="H13" i="9" s="1"/>
  <c r="H17" i="6"/>
  <c r="H24" i="9" s="1"/>
  <c r="I185" i="6"/>
  <c r="I192" i="9" s="1"/>
  <c r="I218" i="6"/>
  <c r="I225" i="9" s="1"/>
  <c r="I6" i="6"/>
  <c r="I13" i="9" s="1"/>
  <c r="I32" i="6"/>
  <c r="I39" i="9" s="1"/>
  <c r="E68" i="6"/>
  <c r="E75" i="9" s="1"/>
  <c r="E78" i="6"/>
  <c r="E85" i="9" s="1"/>
  <c r="H80" i="6"/>
  <c r="H87" i="9" s="1"/>
  <c r="E108" i="6"/>
  <c r="E115" i="9" s="1"/>
  <c r="E115" i="6"/>
  <c r="E122" i="9" s="1"/>
  <c r="E119" i="6"/>
  <c r="E126" i="9" s="1"/>
  <c r="E146" i="6"/>
  <c r="E153" i="9" s="1"/>
  <c r="E148" i="6"/>
  <c r="E155" i="9" s="1"/>
  <c r="E175" i="6"/>
  <c r="E182" i="9" s="1"/>
  <c r="E200" i="6"/>
  <c r="E207" i="9" s="1"/>
  <c r="H213" i="6"/>
  <c r="H220" i="9" s="1"/>
  <c r="H22" i="6"/>
  <c r="H29" i="9" s="1"/>
  <c r="H54" i="6"/>
  <c r="H61" i="9" s="1"/>
  <c r="E64" i="6"/>
  <c r="E71" i="9" s="1"/>
  <c r="I78" i="6"/>
  <c r="I85" i="9" s="1"/>
  <c r="E88" i="6"/>
  <c r="E95" i="9" s="1"/>
  <c r="E94" i="6"/>
  <c r="E101" i="9" s="1"/>
  <c r="E131" i="6"/>
  <c r="E138" i="9" s="1"/>
  <c r="E150" i="6"/>
  <c r="E157" i="9" s="1"/>
  <c r="E174" i="6"/>
  <c r="E181" i="9" s="1"/>
  <c r="E183" i="6"/>
  <c r="E190" i="9" s="1"/>
  <c r="E199" i="6"/>
  <c r="E206" i="9" s="1"/>
  <c r="H208" i="6"/>
  <c r="H215" i="9" s="1"/>
  <c r="H12" i="6"/>
  <c r="H19" i="9" s="1"/>
  <c r="I22" i="6"/>
  <c r="I29" i="9" s="1"/>
  <c r="H74" i="6"/>
  <c r="H81" i="9" s="1"/>
  <c r="I101" i="6"/>
  <c r="I108" i="9" s="1"/>
  <c r="H103" i="6"/>
  <c r="H110" i="9" s="1"/>
  <c r="H135" i="6"/>
  <c r="H142" i="9" s="1"/>
  <c r="I137" i="6"/>
  <c r="I144" i="9" s="1"/>
  <c r="H139" i="6"/>
  <c r="H146" i="9" s="1"/>
  <c r="I161" i="6"/>
  <c r="I168" i="9" s="1"/>
  <c r="H163" i="6"/>
  <c r="H170" i="9" s="1"/>
  <c r="I165" i="6"/>
  <c r="I172" i="9" s="1"/>
  <c r="H170" i="6"/>
  <c r="H177" i="9" s="1"/>
  <c r="H195" i="6"/>
  <c r="H202" i="9" s="1"/>
  <c r="H223" i="6"/>
  <c r="H230" i="9" s="1"/>
  <c r="E37" i="8"/>
  <c r="E36" i="8"/>
  <c r="E35" i="8"/>
  <c r="AI6" i="7"/>
  <c r="D36" i="8" s="1"/>
  <c r="E34" i="8"/>
  <c r="AH6" i="7"/>
  <c r="E33" i="8"/>
  <c r="AG6" i="7"/>
  <c r="D35" i="8" s="1"/>
  <c r="E267" i="9" s="1"/>
  <c r="E32" i="8"/>
  <c r="AF6" i="7"/>
  <c r="D33" i="8" s="1"/>
  <c r="E27" i="8"/>
  <c r="E26" i="8"/>
  <c r="AC6" i="7"/>
  <c r="AB6" i="7"/>
  <c r="AA6" i="7"/>
  <c r="Z6" i="7"/>
  <c r="E31" i="8"/>
  <c r="E30" i="8"/>
  <c r="E29" i="8"/>
  <c r="E28" i="8"/>
  <c r="E25" i="8"/>
  <c r="W6" i="7"/>
  <c r="E24" i="8"/>
  <c r="V6" i="7"/>
  <c r="E23" i="8"/>
  <c r="U6" i="7"/>
  <c r="E22" i="8"/>
  <c r="T6" i="7"/>
  <c r="E21" i="8"/>
  <c r="E20" i="8"/>
  <c r="E15" i="8"/>
  <c r="Q6" i="7"/>
  <c r="E14" i="8"/>
  <c r="P6" i="7"/>
  <c r="O6" i="7"/>
  <c r="N6" i="7"/>
  <c r="E19" i="8"/>
  <c r="E18" i="8"/>
  <c r="E17" i="8"/>
  <c r="E16" i="8"/>
  <c r="J6" i="7"/>
  <c r="E13" i="8"/>
  <c r="I6" i="7"/>
  <c r="E12" i="8"/>
  <c r="H6" i="7"/>
  <c r="E11" i="8"/>
  <c r="E10" i="8"/>
  <c r="E9" i="8"/>
  <c r="E8" i="8"/>
  <c r="K6" i="7"/>
  <c r="D10" i="8" s="1"/>
  <c r="E3" i="8"/>
  <c r="C6" i="7"/>
  <c r="E2" i="8"/>
  <c r="B6" i="7"/>
  <c r="D3" i="8" s="1"/>
  <c r="E7" i="8"/>
  <c r="E6" i="8"/>
  <c r="E5" i="8"/>
  <c r="E6" i="7"/>
  <c r="E4" i="8"/>
  <c r="D6" i="7"/>
  <c r="I105" i="6"/>
  <c r="I112" i="9" s="1"/>
  <c r="I108" i="6"/>
  <c r="I115" i="9" s="1"/>
  <c r="I115" i="6"/>
  <c r="I122" i="9" s="1"/>
  <c r="I118" i="6"/>
  <c r="I125" i="9" s="1"/>
  <c r="E124" i="6"/>
  <c r="E131" i="9" s="1"/>
  <c r="H125" i="6"/>
  <c r="H132" i="9" s="1"/>
  <c r="I132" i="6"/>
  <c r="I139" i="9" s="1"/>
  <c r="I136" i="6"/>
  <c r="I143" i="9" s="1"/>
  <c r="E138" i="6"/>
  <c r="E145" i="9" s="1"/>
  <c r="I143" i="6"/>
  <c r="I150" i="9" s="1"/>
  <c r="I153" i="6"/>
  <c r="I160" i="9" s="1"/>
  <c r="I163" i="6"/>
  <c r="I170" i="9" s="1"/>
  <c r="H171" i="6"/>
  <c r="H178" i="9" s="1"/>
  <c r="H176" i="6"/>
  <c r="H183" i="9" s="1"/>
  <c r="H181" i="6"/>
  <c r="H188" i="9" s="1"/>
  <c r="H186" i="6"/>
  <c r="H193" i="9" s="1"/>
  <c r="H191" i="6"/>
  <c r="H198" i="9" s="1"/>
  <c r="H196" i="6"/>
  <c r="H203" i="9" s="1"/>
  <c r="H201" i="6"/>
  <c r="H208" i="9" s="1"/>
  <c r="H206" i="6"/>
  <c r="H213" i="9" s="1"/>
  <c r="H211" i="6"/>
  <c r="H218" i="9" s="1"/>
  <c r="H216" i="6"/>
  <c r="H223" i="9" s="1"/>
  <c r="H221" i="6"/>
  <c r="H228" i="9" s="1"/>
  <c r="E63" i="6"/>
  <c r="E70" i="9" s="1"/>
  <c r="E70" i="6"/>
  <c r="E77" i="9" s="1"/>
  <c r="E73" i="6"/>
  <c r="E80" i="9" s="1"/>
  <c r="E80" i="6"/>
  <c r="E87" i="9" s="1"/>
  <c r="E83" i="6"/>
  <c r="E90" i="9" s="1"/>
  <c r="E90" i="6"/>
  <c r="E97" i="9" s="1"/>
  <c r="E93" i="6"/>
  <c r="E100" i="9" s="1"/>
  <c r="E100" i="6"/>
  <c r="E107" i="9" s="1"/>
  <c r="I125" i="6"/>
  <c r="I132" i="9" s="1"/>
  <c r="I171" i="6"/>
  <c r="I178" i="9" s="1"/>
  <c r="I176" i="6"/>
  <c r="I183" i="9" s="1"/>
  <c r="I181" i="6"/>
  <c r="I188" i="9" s="1"/>
  <c r="I186" i="6"/>
  <c r="I193" i="9" s="1"/>
  <c r="I191" i="6"/>
  <c r="I198" i="9" s="1"/>
  <c r="I196" i="6"/>
  <c r="I203" i="9" s="1"/>
  <c r="I201" i="6"/>
  <c r="I208" i="9" s="1"/>
  <c r="I206" i="6"/>
  <c r="I213" i="9" s="1"/>
  <c r="I211" i="6"/>
  <c r="I218" i="9" s="1"/>
  <c r="I216" i="6"/>
  <c r="I223" i="9" s="1"/>
  <c r="E219" i="6"/>
  <c r="E226" i="9" s="1"/>
  <c r="I221" i="6"/>
  <c r="I228" i="9" s="1"/>
  <c r="E3" i="6"/>
  <c r="E10" i="9" s="1"/>
  <c r="E8" i="6"/>
  <c r="E15" i="9" s="1"/>
  <c r="H21" i="6"/>
  <c r="H28" i="9" s="1"/>
  <c r="E24" i="6"/>
  <c r="E31" i="9" s="1"/>
  <c r="E33" i="6"/>
  <c r="E40" i="9" s="1"/>
  <c r="H46" i="6"/>
  <c r="H53" i="9" s="1"/>
  <c r="H58" i="6"/>
  <c r="H65" i="9" s="1"/>
  <c r="H64" i="6"/>
  <c r="H71" i="9" s="1"/>
  <c r="I71" i="6"/>
  <c r="I78" i="9" s="1"/>
  <c r="H84" i="6"/>
  <c r="H91" i="9" s="1"/>
  <c r="H114" i="6"/>
  <c r="H121" i="9" s="1"/>
  <c r="I121" i="6"/>
  <c r="I128" i="9" s="1"/>
  <c r="E123" i="6"/>
  <c r="E130" i="9" s="1"/>
  <c r="E134" i="6"/>
  <c r="E141" i="9" s="1"/>
  <c r="I142" i="6"/>
  <c r="I149" i="9" s="1"/>
  <c r="I152" i="6"/>
  <c r="I159" i="9" s="1"/>
  <c r="I162" i="6"/>
  <c r="I169" i="9" s="1"/>
  <c r="E165" i="6"/>
  <c r="E172" i="9" s="1"/>
  <c r="H215" i="6"/>
  <c r="H222" i="9" s="1"/>
  <c r="H220" i="6"/>
  <c r="H227" i="9" s="1"/>
  <c r="H9" i="6"/>
  <c r="H16" i="9" s="1"/>
  <c r="H18" i="6"/>
  <c r="H25" i="9" s="1"/>
  <c r="I21" i="6"/>
  <c r="I28" i="9" s="1"/>
  <c r="H27" i="6"/>
  <c r="H34" i="9" s="1"/>
  <c r="H34" i="6"/>
  <c r="H41" i="9" s="1"/>
  <c r="I46" i="6"/>
  <c r="I53" i="9" s="1"/>
  <c r="H124" i="6"/>
  <c r="H131" i="9" s="1"/>
  <c r="H138" i="6"/>
  <c r="H145" i="9" s="1"/>
  <c r="I205" i="6"/>
  <c r="I212" i="9" s="1"/>
  <c r="E208" i="6"/>
  <c r="E215" i="9" s="1"/>
  <c r="E213" i="6"/>
  <c r="E220" i="9" s="1"/>
  <c r="I215" i="6"/>
  <c r="I222" i="9" s="1"/>
  <c r="I220" i="6"/>
  <c r="I227" i="9" s="1"/>
  <c r="H11" i="6"/>
  <c r="H18" i="9" s="1"/>
  <c r="E14" i="6"/>
  <c r="E21" i="9" s="1"/>
  <c r="I18" i="6"/>
  <c r="I25" i="9" s="1"/>
  <c r="E23" i="6"/>
  <c r="E30" i="9" s="1"/>
  <c r="I27" i="6"/>
  <c r="I34" i="9" s="1"/>
  <c r="I34" i="6"/>
  <c r="I41" i="9" s="1"/>
  <c r="E116" i="6"/>
  <c r="E123" i="9" s="1"/>
  <c r="I127" i="6"/>
  <c r="I134" i="9" s="1"/>
  <c r="E133" i="6"/>
  <c r="E140" i="9" s="1"/>
  <c r="I138" i="6"/>
  <c r="I145" i="9" s="1"/>
  <c r="E144" i="6"/>
  <c r="E151" i="9" s="1"/>
  <c r="E154" i="6"/>
  <c r="E161" i="9" s="1"/>
  <c r="H219" i="6"/>
  <c r="H226" i="9" s="1"/>
  <c r="H8" i="6"/>
  <c r="H15" i="9" s="1"/>
  <c r="I11" i="6"/>
  <c r="I18" i="9" s="1"/>
  <c r="H24" i="6"/>
  <c r="H31" i="9" s="1"/>
  <c r="H33" i="6"/>
  <c r="H40" i="9" s="1"/>
  <c r="I63" i="6"/>
  <c r="I70" i="9" s="1"/>
  <c r="I70" i="6"/>
  <c r="I77" i="9" s="1"/>
  <c r="I73" i="6"/>
  <c r="I80" i="9" s="1"/>
  <c r="I80" i="6"/>
  <c r="I87" i="9" s="1"/>
  <c r="I83" i="6"/>
  <c r="I90" i="9" s="1"/>
  <c r="I90" i="6"/>
  <c r="I97" i="9" s="1"/>
  <c r="I93" i="6"/>
  <c r="I100" i="9" s="1"/>
  <c r="I100" i="6"/>
  <c r="I107" i="9" s="1"/>
  <c r="E172" i="6"/>
  <c r="E179" i="9" s="1"/>
  <c r="E177" i="6"/>
  <c r="E184" i="9" s="1"/>
  <c r="E182" i="6"/>
  <c r="E189" i="9" s="1"/>
  <c r="E187" i="6"/>
  <c r="E194" i="9" s="1"/>
  <c r="E192" i="6"/>
  <c r="E199" i="9" s="1"/>
  <c r="E197" i="6"/>
  <c r="E204" i="9" s="1"/>
  <c r="E202" i="6"/>
  <c r="E209" i="9" s="1"/>
  <c r="E207" i="6"/>
  <c r="E214" i="9" s="1"/>
  <c r="E212" i="6"/>
  <c r="E219" i="9" s="1"/>
  <c r="E217" i="6"/>
  <c r="E224" i="9" s="1"/>
  <c r="I219" i="6"/>
  <c r="I226" i="9" s="1"/>
  <c r="E222" i="6"/>
  <c r="E229" i="9" s="1"/>
  <c r="E4" i="6"/>
  <c r="E11" i="9" s="1"/>
  <c r="I8" i="6"/>
  <c r="I15" i="9" s="1"/>
  <c r="E13" i="6"/>
  <c r="E20" i="9" s="1"/>
  <c r="I17" i="6"/>
  <c r="I24" i="9" s="1"/>
  <c r="H26" i="6"/>
  <c r="H33" i="9" s="1"/>
  <c r="E29" i="6"/>
  <c r="E36" i="9" s="1"/>
  <c r="I33" i="6"/>
  <c r="I40" i="9" s="1"/>
  <c r="I45" i="6"/>
  <c r="I52" i="9" s="1"/>
  <c r="H48" i="6"/>
  <c r="H55" i="9" s="1"/>
  <c r="E54" i="6"/>
  <c r="E61" i="9" s="1"/>
  <c r="I55" i="6"/>
  <c r="I62" i="9" s="1"/>
  <c r="E59" i="6"/>
  <c r="E66" i="9" s="1"/>
  <c r="H2" i="6"/>
  <c r="H9" i="9" s="1"/>
  <c r="I2" i="6"/>
  <c r="I9" i="9" s="1"/>
  <c r="H7" i="6"/>
  <c r="H14" i="9" s="1"/>
  <c r="H14" i="6"/>
  <c r="H21" i="9" s="1"/>
  <c r="H23" i="6"/>
  <c r="H30" i="9" s="1"/>
  <c r="I26" i="6"/>
  <c r="I33" i="9" s="1"/>
  <c r="H32" i="6"/>
  <c r="H39" i="9" s="1"/>
  <c r="E47" i="6"/>
  <c r="E54" i="9" s="1"/>
  <c r="H50" i="6"/>
  <c r="H57" i="9" s="1"/>
  <c r="I66" i="6"/>
  <c r="I73" i="9" s="1"/>
  <c r="H69" i="6"/>
  <c r="H76" i="9" s="1"/>
  <c r="I76" i="6"/>
  <c r="I83" i="9" s="1"/>
  <c r="H79" i="6"/>
  <c r="H86" i="9" s="1"/>
  <c r="I86" i="6"/>
  <c r="I93" i="9" s="1"/>
  <c r="H89" i="6"/>
  <c r="H96" i="9" s="1"/>
  <c r="I96" i="6"/>
  <c r="I103" i="9" s="1"/>
  <c r="H99" i="6"/>
  <c r="H106" i="9" s="1"/>
  <c r="I106" i="6"/>
  <c r="I113" i="9" s="1"/>
  <c r="H109" i="6"/>
  <c r="H116" i="9" s="1"/>
  <c r="I116" i="6"/>
  <c r="I123" i="9" s="1"/>
  <c r="H119" i="6"/>
  <c r="H126" i="9" s="1"/>
  <c r="E125" i="6"/>
  <c r="E132" i="9" s="1"/>
  <c r="I130" i="6"/>
  <c r="I137" i="9" s="1"/>
  <c r="H133" i="6"/>
  <c r="H140" i="9" s="1"/>
  <c r="E136" i="6"/>
  <c r="E143" i="9" s="1"/>
  <c r="H144" i="6"/>
  <c r="H151" i="9" s="1"/>
  <c r="I147" i="6"/>
  <c r="I154" i="9" s="1"/>
  <c r="H154" i="6"/>
  <c r="H161" i="9" s="1"/>
  <c r="I157" i="6"/>
  <c r="I164" i="9" s="1"/>
  <c r="H164" i="6"/>
  <c r="H171" i="9" s="1"/>
  <c r="I168" i="6"/>
  <c r="I175" i="9" s="1"/>
  <c r="E171" i="6"/>
  <c r="E178" i="9" s="1"/>
  <c r="I173" i="6"/>
  <c r="I180" i="9" s="1"/>
  <c r="E176" i="6"/>
  <c r="E183" i="9" s="1"/>
  <c r="I178" i="6"/>
  <c r="I185" i="9" s="1"/>
  <c r="E181" i="6"/>
  <c r="E188" i="9" s="1"/>
  <c r="I183" i="6"/>
  <c r="I190" i="9" s="1"/>
  <c r="E186" i="6"/>
  <c r="E193" i="9" s="1"/>
  <c r="I188" i="6"/>
  <c r="I195" i="9" s="1"/>
  <c r="E191" i="6"/>
  <c r="E198" i="9" s="1"/>
  <c r="I193" i="6"/>
  <c r="I200" i="9" s="1"/>
  <c r="E196" i="6"/>
  <c r="E203" i="9" s="1"/>
  <c r="I198" i="6"/>
  <c r="I205" i="9" s="1"/>
  <c r="E201" i="6"/>
  <c r="E208" i="9" s="1"/>
  <c r="I203" i="6"/>
  <c r="I210" i="9" s="1"/>
  <c r="E206" i="6"/>
  <c r="E213" i="9" s="1"/>
  <c r="I208" i="6"/>
  <c r="I215" i="9" s="1"/>
  <c r="E211" i="6"/>
  <c r="E218" i="9" s="1"/>
  <c r="I213" i="6"/>
  <c r="I220" i="9" s="1"/>
  <c r="E216" i="6"/>
  <c r="E223" i="9" s="1"/>
  <c r="E221" i="6"/>
  <c r="E228" i="9" s="1"/>
  <c r="I7" i="6"/>
  <c r="I14" i="9" s="1"/>
  <c r="H16" i="6"/>
  <c r="H23" i="9" s="1"/>
  <c r="I23" i="6"/>
  <c r="I30" i="9" s="1"/>
  <c r="I122" i="6"/>
  <c r="I129" i="9" s="1"/>
  <c r="I126" i="6"/>
  <c r="I133" i="9" s="1"/>
  <c r="I133" i="6"/>
  <c r="I140" i="9" s="1"/>
  <c r="H140" i="6"/>
  <c r="H147" i="9" s="1"/>
  <c r="I164" i="6"/>
  <c r="I171" i="9" s="1"/>
  <c r="H172" i="6"/>
  <c r="H179" i="9" s="1"/>
  <c r="H177" i="6"/>
  <c r="H184" i="9" s="1"/>
  <c r="H182" i="6"/>
  <c r="H189" i="9" s="1"/>
  <c r="H187" i="6"/>
  <c r="H194" i="9" s="1"/>
  <c r="H192" i="6"/>
  <c r="H199" i="9" s="1"/>
  <c r="H197" i="6"/>
  <c r="H204" i="9" s="1"/>
  <c r="H202" i="6"/>
  <c r="H209" i="9" s="1"/>
  <c r="H207" i="6"/>
  <c r="H214" i="9" s="1"/>
  <c r="H212" i="6"/>
  <c r="H219" i="9" s="1"/>
  <c r="H59" i="6"/>
  <c r="H66" i="9" s="1"/>
  <c r="H153" i="6"/>
  <c r="H160" i="9" s="1"/>
  <c r="I160" i="6"/>
  <c r="I167" i="9" s="1"/>
  <c r="I167" i="6"/>
  <c r="I174" i="9" s="1"/>
  <c r="I172" i="6"/>
  <c r="I179" i="9" s="1"/>
  <c r="I177" i="6"/>
  <c r="I184" i="9" s="1"/>
  <c r="I182" i="6"/>
  <c r="I189" i="9" s="1"/>
  <c r="I187" i="6"/>
  <c r="I194" i="9" s="1"/>
  <c r="I192" i="6"/>
  <c r="I199" i="9" s="1"/>
  <c r="I197" i="6"/>
  <c r="I204" i="9" s="1"/>
  <c r="I202" i="6"/>
  <c r="I209" i="9" s="1"/>
  <c r="I207" i="6"/>
  <c r="I214" i="9" s="1"/>
  <c r="I212" i="6"/>
  <c r="I219" i="9" s="1"/>
  <c r="I5" i="6"/>
  <c r="I12" i="9" s="1"/>
  <c r="I10" i="6"/>
  <c r="I17" i="9" s="1"/>
  <c r="I15" i="6"/>
  <c r="I22" i="9" s="1"/>
  <c r="I20" i="6"/>
  <c r="I27" i="9" s="1"/>
  <c r="I25" i="6"/>
  <c r="I32" i="9" s="1"/>
  <c r="I30" i="6"/>
  <c r="I37" i="9" s="1"/>
  <c r="I35" i="6"/>
  <c r="I42" i="9" s="1"/>
  <c r="D58" i="9"/>
  <c r="E51" i="6"/>
  <c r="E58" i="9" s="1"/>
  <c r="I51" i="6"/>
  <c r="I58" i="9" s="1"/>
  <c r="H51" i="6"/>
  <c r="H58" i="9" s="1"/>
  <c r="I4" i="6"/>
  <c r="I11" i="9" s="1"/>
  <c r="E7" i="6"/>
  <c r="E14" i="9" s="1"/>
  <c r="I9" i="6"/>
  <c r="I16" i="9" s="1"/>
  <c r="E12" i="6"/>
  <c r="E19" i="9" s="1"/>
  <c r="I14" i="6"/>
  <c r="I21" i="9" s="1"/>
  <c r="E17" i="6"/>
  <c r="E24" i="9" s="1"/>
  <c r="I19" i="6"/>
  <c r="I26" i="9" s="1"/>
  <c r="E22" i="6"/>
  <c r="E29" i="9" s="1"/>
  <c r="I24" i="6"/>
  <c r="I31" i="9" s="1"/>
  <c r="E27" i="6"/>
  <c r="E34" i="9" s="1"/>
  <c r="I29" i="6"/>
  <c r="I36" i="9" s="1"/>
  <c r="E32" i="6"/>
  <c r="E39" i="9" s="1"/>
  <c r="E46" i="6"/>
  <c r="E53" i="9" s="1"/>
  <c r="I48" i="6"/>
  <c r="I55" i="9" s="1"/>
  <c r="H47" i="6"/>
  <c r="H54" i="9" s="1"/>
  <c r="E50" i="6"/>
  <c r="E57" i="9" s="1"/>
  <c r="E2" i="6"/>
  <c r="E9" i="9" s="1"/>
  <c r="H3" i="6"/>
  <c r="H10" i="9" s="1"/>
  <c r="I3" i="6"/>
  <c r="I10" i="9" s="1"/>
  <c r="E6" i="6"/>
  <c r="E13" i="9" s="1"/>
  <c r="E11" i="6"/>
  <c r="E18" i="9" s="1"/>
  <c r="E16" i="6"/>
  <c r="E23" i="9" s="1"/>
  <c r="E21" i="6"/>
  <c r="E28" i="9" s="1"/>
  <c r="E26" i="6"/>
  <c r="E33" i="9" s="1"/>
  <c r="E31" i="6"/>
  <c r="E38" i="9" s="1"/>
  <c r="E45" i="6"/>
  <c r="E52" i="9" s="1"/>
  <c r="I47" i="6"/>
  <c r="I54" i="9" s="1"/>
  <c r="D56" i="9"/>
  <c r="I49" i="6"/>
  <c r="I56" i="9" s="1"/>
  <c r="D59" i="9"/>
  <c r="E52" i="6"/>
  <c r="E59" i="9" s="1"/>
  <c r="I52" i="6"/>
  <c r="I59" i="9" s="1"/>
  <c r="H52" i="6"/>
  <c r="H59" i="9" s="1"/>
  <c r="E15" i="6"/>
  <c r="E22" i="9" s="1"/>
  <c r="E20" i="6"/>
  <c r="E27" i="9" s="1"/>
  <c r="E25" i="6"/>
  <c r="E32" i="9" s="1"/>
  <c r="E30" i="6"/>
  <c r="E37" i="9" s="1"/>
  <c r="E35" i="6"/>
  <c r="E42" i="9" s="1"/>
  <c r="E49" i="6"/>
  <c r="E56" i="9" s="1"/>
  <c r="E5" i="6"/>
  <c r="E12" i="9" s="1"/>
  <c r="E10" i="6"/>
  <c r="E17" i="9" s="1"/>
  <c r="I50" i="6"/>
  <c r="I57" i="9" s="1"/>
  <c r="H5" i="6"/>
  <c r="H12" i="9" s="1"/>
  <c r="H10" i="6"/>
  <c r="H17" i="9" s="1"/>
  <c r="H15" i="6"/>
  <c r="H22" i="9" s="1"/>
  <c r="H20" i="6"/>
  <c r="H27" i="9" s="1"/>
  <c r="H25" i="6"/>
  <c r="H32" i="9" s="1"/>
  <c r="H30" i="6"/>
  <c r="H37" i="9" s="1"/>
  <c r="H35" i="6"/>
  <c r="H42" i="9" s="1"/>
  <c r="H49" i="6"/>
  <c r="H56" i="9" s="1"/>
  <c r="H57" i="6"/>
  <c r="H64" i="9" s="1"/>
  <c r="H62" i="6"/>
  <c r="H69" i="9" s="1"/>
  <c r="H67" i="6"/>
  <c r="H74" i="9" s="1"/>
  <c r="H72" i="6"/>
  <c r="H79" i="9" s="1"/>
  <c r="H77" i="6"/>
  <c r="H84" i="9" s="1"/>
  <c r="H82" i="6"/>
  <c r="H89" i="9" s="1"/>
  <c r="H87" i="6"/>
  <c r="H94" i="9" s="1"/>
  <c r="H92" i="6"/>
  <c r="H99" i="9" s="1"/>
  <c r="H97" i="6"/>
  <c r="H104" i="9" s="1"/>
  <c r="H102" i="6"/>
  <c r="H109" i="9" s="1"/>
  <c r="H107" i="6"/>
  <c r="H114" i="9" s="1"/>
  <c r="H112" i="6"/>
  <c r="H119" i="9" s="1"/>
  <c r="H117" i="6"/>
  <c r="H124" i="9" s="1"/>
  <c r="H122" i="6"/>
  <c r="H129" i="9" s="1"/>
  <c r="H127" i="6"/>
  <c r="H134" i="9" s="1"/>
  <c r="H132" i="6"/>
  <c r="H139" i="9" s="1"/>
  <c r="H137" i="6"/>
  <c r="H144" i="9" s="1"/>
  <c r="H142" i="6"/>
  <c r="H149" i="9" s="1"/>
  <c r="H147" i="6"/>
  <c r="H154" i="9" s="1"/>
  <c r="H152" i="6"/>
  <c r="H159" i="9" s="1"/>
  <c r="H157" i="6"/>
  <c r="H164" i="9" s="1"/>
  <c r="H162" i="6"/>
  <c r="H169" i="9" s="1"/>
  <c r="H167" i="6"/>
  <c r="H174" i="9" s="1"/>
  <c r="E55" i="6"/>
  <c r="E62" i="9" s="1"/>
  <c r="I57" i="6"/>
  <c r="I64" i="9" s="1"/>
  <c r="I62" i="6"/>
  <c r="I69" i="9" s="1"/>
  <c r="I67" i="6"/>
  <c r="I74" i="9" s="1"/>
  <c r="I72" i="6"/>
  <c r="I79" i="9" s="1"/>
  <c r="I77" i="6"/>
  <c r="I84" i="9" s="1"/>
  <c r="I82" i="6"/>
  <c r="I89" i="9" s="1"/>
  <c r="I87" i="6"/>
  <c r="I94" i="9" s="1"/>
  <c r="I92" i="6"/>
  <c r="I99" i="9" s="1"/>
  <c r="I97" i="6"/>
  <c r="I104" i="9" s="1"/>
  <c r="I102" i="6"/>
  <c r="I109" i="9" s="1"/>
  <c r="I107" i="6"/>
  <c r="I114" i="9" s="1"/>
  <c r="I112" i="6"/>
  <c r="I119" i="9" s="1"/>
  <c r="I117" i="6"/>
  <c r="I124" i="9" s="1"/>
  <c r="H56" i="6"/>
  <c r="H63" i="9" s="1"/>
  <c r="H61" i="6"/>
  <c r="H68" i="9" s="1"/>
  <c r="H66" i="6"/>
  <c r="H73" i="9" s="1"/>
  <c r="H71" i="6"/>
  <c r="H78" i="9" s="1"/>
  <c r="H76" i="6"/>
  <c r="H83" i="9" s="1"/>
  <c r="H81" i="6"/>
  <c r="H88" i="9" s="1"/>
  <c r="H86" i="6"/>
  <c r="H93" i="9" s="1"/>
  <c r="H91" i="6"/>
  <c r="H98" i="9" s="1"/>
  <c r="H96" i="6"/>
  <c r="H103" i="9" s="1"/>
  <c r="H101" i="6"/>
  <c r="H108" i="9" s="1"/>
  <c r="H106" i="6"/>
  <c r="H113" i="9" s="1"/>
  <c r="H111" i="6"/>
  <c r="H118" i="9" s="1"/>
  <c r="H116" i="6"/>
  <c r="H123" i="9" s="1"/>
  <c r="H121" i="6"/>
  <c r="H128" i="9" s="1"/>
  <c r="H126" i="6"/>
  <c r="H133" i="9" s="1"/>
  <c r="H131" i="6"/>
  <c r="H138" i="9" s="1"/>
  <c r="H136" i="6"/>
  <c r="H143" i="9" s="1"/>
  <c r="H141" i="6"/>
  <c r="H148" i="9" s="1"/>
  <c r="H146" i="6"/>
  <c r="H153" i="9" s="1"/>
  <c r="H151" i="6"/>
  <c r="H158" i="9" s="1"/>
  <c r="H156" i="6"/>
  <c r="H163" i="9" s="1"/>
  <c r="H161" i="6"/>
  <c r="H168" i="9" s="1"/>
  <c r="I56" i="6"/>
  <c r="I63" i="9" s="1"/>
  <c r="I61" i="6"/>
  <c r="I68" i="9" s="1"/>
  <c r="H145" i="6"/>
  <c r="H152" i="9" s="1"/>
  <c r="H150" i="6"/>
  <c r="H157" i="9" s="1"/>
  <c r="H155" i="6"/>
  <c r="H162" i="9" s="1"/>
  <c r="H160" i="6"/>
  <c r="H167" i="9" s="1"/>
  <c r="H165" i="6"/>
  <c r="H172" i="9" s="1"/>
  <c r="E53" i="6"/>
  <c r="E60" i="9" s="1"/>
  <c r="E58" i="6"/>
  <c r="E65" i="9" s="1"/>
  <c r="D60" i="9"/>
  <c r="D69" i="9"/>
  <c r="I54" i="6"/>
  <c r="I61" i="9" s="1"/>
  <c r="E57" i="6"/>
  <c r="E64" i="9" s="1"/>
  <c r="I59" i="6"/>
  <c r="I66" i="9" s="1"/>
  <c r="I64" i="6"/>
  <c r="I71" i="9" s="1"/>
  <c r="E67" i="6"/>
  <c r="E74" i="9" s="1"/>
  <c r="I69" i="6"/>
  <c r="I76" i="9" s="1"/>
  <c r="E72" i="6"/>
  <c r="E79" i="9" s="1"/>
  <c r="I74" i="6"/>
  <c r="I81" i="9" s="1"/>
  <c r="E77" i="6"/>
  <c r="E84" i="9" s="1"/>
  <c r="I79" i="6"/>
  <c r="I86" i="9" s="1"/>
  <c r="E82" i="6"/>
  <c r="E89" i="9" s="1"/>
  <c r="I84" i="6"/>
  <c r="I91" i="9" s="1"/>
  <c r="E87" i="6"/>
  <c r="E94" i="9" s="1"/>
  <c r="I89" i="6"/>
  <c r="I96" i="9" s="1"/>
  <c r="E92" i="6"/>
  <c r="E99" i="9" s="1"/>
  <c r="I94" i="6"/>
  <c r="I101" i="9" s="1"/>
  <c r="E97" i="6"/>
  <c r="E104" i="9" s="1"/>
  <c r="I99" i="6"/>
  <c r="I106" i="9" s="1"/>
  <c r="E102" i="6"/>
  <c r="E109" i="9" s="1"/>
  <c r="I104" i="6"/>
  <c r="I111" i="9" s="1"/>
  <c r="E107" i="6"/>
  <c r="E114" i="9" s="1"/>
  <c r="I109" i="6"/>
  <c r="I116" i="9" s="1"/>
  <c r="E112" i="6"/>
  <c r="E119" i="9" s="1"/>
  <c r="I114" i="6"/>
  <c r="I121" i="9" s="1"/>
  <c r="E117" i="6"/>
  <c r="E124" i="9" s="1"/>
  <c r="I119" i="6"/>
  <c r="I126" i="9" s="1"/>
  <c r="E122" i="6"/>
  <c r="E129" i="9" s="1"/>
  <c r="I124" i="6"/>
  <c r="I131" i="9" s="1"/>
  <c r="E127" i="6"/>
  <c r="E134" i="9" s="1"/>
  <c r="I129" i="6"/>
  <c r="I136" i="9" s="1"/>
  <c r="E132" i="6"/>
  <c r="E139" i="9" s="1"/>
  <c r="I134" i="6"/>
  <c r="I141" i="9" s="1"/>
  <c r="E137" i="6"/>
  <c r="E144" i="9" s="1"/>
  <c r="I139" i="6"/>
  <c r="I146" i="9" s="1"/>
  <c r="E142" i="6"/>
  <c r="E149" i="9" s="1"/>
  <c r="I144" i="6"/>
  <c r="I151" i="9" s="1"/>
  <c r="E147" i="6"/>
  <c r="E154" i="9" s="1"/>
  <c r="I149" i="6"/>
  <c r="I156" i="9" s="1"/>
  <c r="E152" i="6"/>
  <c r="E159" i="9" s="1"/>
  <c r="I154" i="6"/>
  <c r="I161" i="9" s="1"/>
  <c r="E157" i="6"/>
  <c r="E164" i="9" s="1"/>
  <c r="I159" i="6"/>
  <c r="I166" i="9" s="1"/>
  <c r="E162" i="6"/>
  <c r="E169" i="9" s="1"/>
  <c r="E167" i="6"/>
  <c r="E174" i="9" s="1"/>
  <c r="H53" i="6"/>
  <c r="H60" i="9" s="1"/>
  <c r="E56" i="6"/>
  <c r="E63" i="9" s="1"/>
  <c r="I58" i="6"/>
  <c r="I65" i="9" s="1"/>
  <c r="E61" i="6"/>
  <c r="E68" i="9" s="1"/>
  <c r="D16" i="8" l="1"/>
  <c r="D22" i="8"/>
  <c r="D23" i="8"/>
  <c r="D26" i="8"/>
  <c r="D8" i="8"/>
  <c r="E240" i="9" s="1"/>
  <c r="D17" i="8"/>
  <c r="D29" i="8"/>
  <c r="D6" i="8"/>
  <c r="D21" i="8"/>
  <c r="E253" i="9" s="1"/>
  <c r="D27" i="8"/>
  <c r="E259" i="9" s="1"/>
  <c r="D20" i="8"/>
  <c r="D15" i="8"/>
  <c r="E247" i="9" s="1"/>
  <c r="D14" i="8"/>
  <c r="E246" i="9" s="1"/>
  <c r="D9" i="8"/>
  <c r="F9" i="8" s="1"/>
  <c r="F241" i="9" s="1"/>
  <c r="D11" i="8"/>
  <c r="F11" i="8" s="1"/>
  <c r="F243" i="9" s="1"/>
  <c r="D2" i="8"/>
  <c r="E234" i="9" s="1"/>
  <c r="D34" i="8"/>
  <c r="D32" i="8"/>
  <c r="E264" i="9" s="1"/>
  <c r="D37" i="8"/>
  <c r="F35" i="8"/>
  <c r="F267" i="9" s="1"/>
  <c r="D28" i="8"/>
  <c r="D30" i="8"/>
  <c r="D31" i="8"/>
  <c r="D24" i="8"/>
  <c r="D25" i="8"/>
  <c r="F21" i="8"/>
  <c r="F253" i="9" s="1"/>
  <c r="D18" i="8"/>
  <c r="D19" i="8"/>
  <c r="D12" i="8"/>
  <c r="F12" i="8" s="1"/>
  <c r="F244" i="9" s="1"/>
  <c r="D13" i="8"/>
  <c r="D7" i="8"/>
  <c r="D4" i="8"/>
  <c r="D5" i="8"/>
  <c r="E254" i="9"/>
  <c r="F22" i="8"/>
  <c r="F254" i="9" s="1"/>
  <c r="E252" i="9"/>
  <c r="F20" i="8"/>
  <c r="F252" i="9" s="1"/>
  <c r="E242" i="9"/>
  <c r="F10" i="8"/>
  <c r="F242" i="9" s="1"/>
  <c r="E258" i="9"/>
  <c r="F26" i="8"/>
  <c r="F258" i="9" s="1"/>
  <c r="E248" i="9"/>
  <c r="F16" i="8"/>
  <c r="F248" i="9" s="1"/>
  <c r="E238" i="9"/>
  <c r="F6" i="8"/>
  <c r="F238" i="9" s="1"/>
  <c r="E261" i="9"/>
  <c r="F29" i="8"/>
  <c r="F261" i="9" s="1"/>
  <c r="E249" i="9"/>
  <c r="F17" i="8"/>
  <c r="F249" i="9" s="1"/>
  <c r="E265" i="9"/>
  <c r="F33" i="8"/>
  <c r="F265" i="9" s="1"/>
  <c r="E255" i="9"/>
  <c r="F23" i="8"/>
  <c r="F255" i="9" s="1"/>
  <c r="E268" i="9"/>
  <c r="F36" i="8"/>
  <c r="F268" i="9" s="1"/>
  <c r="E235" i="9"/>
  <c r="F3" i="8"/>
  <c r="F235" i="9" s="1"/>
  <c r="F8" i="8" l="1"/>
  <c r="F240" i="9" s="1"/>
  <c r="F27" i="8"/>
  <c r="F259" i="9" s="1"/>
  <c r="F14" i="8"/>
  <c r="F246" i="9" s="1"/>
  <c r="F15" i="8"/>
  <c r="F247" i="9" s="1"/>
  <c r="E241" i="9"/>
  <c r="E243" i="9"/>
  <c r="E244" i="9"/>
  <c r="F2" i="8"/>
  <c r="F234" i="9" s="1"/>
  <c r="F32" i="8"/>
  <c r="F264" i="9" s="1"/>
  <c r="F37" i="8"/>
  <c r="F269" i="9" s="1"/>
  <c r="E269" i="9"/>
  <c r="E266" i="9"/>
  <c r="F34" i="8"/>
  <c r="F266" i="9" s="1"/>
  <c r="F31" i="8"/>
  <c r="F263" i="9" s="1"/>
  <c r="E263" i="9"/>
  <c r="E262" i="9"/>
  <c r="F30" i="8"/>
  <c r="F262" i="9" s="1"/>
  <c r="E260" i="9"/>
  <c r="F28" i="8"/>
  <c r="F260" i="9" s="1"/>
  <c r="E257" i="9"/>
  <c r="F25" i="8"/>
  <c r="F257" i="9" s="1"/>
  <c r="F24" i="8"/>
  <c r="F256" i="9" s="1"/>
  <c r="E256" i="9"/>
  <c r="E251" i="9"/>
  <c r="F19" i="8"/>
  <c r="F251" i="9" s="1"/>
  <c r="E250" i="9"/>
  <c r="F18" i="8"/>
  <c r="F250" i="9" s="1"/>
  <c r="E245" i="9"/>
  <c r="F13" i="8"/>
  <c r="F245" i="9" s="1"/>
  <c r="E237" i="9"/>
  <c r="F5" i="8"/>
  <c r="F237" i="9" s="1"/>
  <c r="E236" i="9"/>
  <c r="F4" i="8"/>
  <c r="F236" i="9" s="1"/>
  <c r="E239" i="9"/>
  <c r="F7" i="8"/>
  <c r="F239" i="9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<sst xmlns="http://schemas.openxmlformats.org/spreadsheetml/2006/main" count="1444" uniqueCount="211">
  <si>
    <t>ESTRUCTURA DEL ARCHIVO</t>
  </si>
  <si>
    <t>ID</t>
  </si>
  <si>
    <t>Asignatura</t>
  </si>
  <si>
    <t>Cursos</t>
  </si>
  <si>
    <t>Grupo1</t>
  </si>
  <si>
    <t>Grupo2</t>
  </si>
  <si>
    <t>EsEspecialidad</t>
  </si>
  <si>
    <t>Activa</t>
  </si>
  <si>
    <t>NOTA: Especialidades están en filas 7-27. Para añadir nuevas, insertar en ese bloque.</t>
  </si>
  <si>
    <t>Lenguaje Musical</t>
  </si>
  <si>
    <t>1EPM;2EPM</t>
  </si>
  <si>
    <t>Referencia</t>
  </si>
  <si>
    <t>TeoricaTroncal</t>
  </si>
  <si>
    <t>No</t>
  </si>
  <si>
    <t>Sí</t>
  </si>
  <si>
    <t>Armonía</t>
  </si>
  <si>
    <t>3EPM;4EPM</t>
  </si>
  <si>
    <t>Análisis</t>
  </si>
  <si>
    <t>5EPM;6EPM</t>
  </si>
  <si>
    <t>Música de Cámara</t>
  </si>
  <si>
    <t>3EPM;4EPM;5EPM;6EPM</t>
  </si>
  <si>
    <t>NoEspecialidad</t>
  </si>
  <si>
    <t>Orquesta/Banda/Conjunto</t>
  </si>
  <si>
    <t>1EPM;2EPM;3EPM;4EPM;5EPM;6EPM</t>
  </si>
  <si>
    <t>Arpa</t>
  </si>
  <si>
    <t>Especialidad</t>
  </si>
  <si>
    <t>Cuerda</t>
  </si>
  <si>
    <t>Bajo Eléctrico</t>
  </si>
  <si>
    <t>Canto</t>
  </si>
  <si>
    <t>LenguajeVoz</t>
  </si>
  <si>
    <t>Clarinete</t>
  </si>
  <si>
    <t>Madera</t>
  </si>
  <si>
    <t>Contrabajo</t>
  </si>
  <si>
    <t>Dolçaina</t>
  </si>
  <si>
    <t>Fagot</t>
  </si>
  <si>
    <t>Flauta Travesera</t>
  </si>
  <si>
    <t>Guitarra</t>
  </si>
  <si>
    <t>Guitarra Eléctrica</t>
  </si>
  <si>
    <t>Oboe</t>
  </si>
  <si>
    <t>Percusión</t>
  </si>
  <si>
    <t>Metal</t>
  </si>
  <si>
    <t>Piano</t>
  </si>
  <si>
    <t>Tecla</t>
  </si>
  <si>
    <t>Saxofón</t>
  </si>
  <si>
    <t>Trombón</t>
  </si>
  <si>
    <t>Trompa</t>
  </si>
  <si>
    <t>Trompeta</t>
  </si>
  <si>
    <t>Tuba</t>
  </si>
  <si>
    <t>Viola</t>
  </si>
  <si>
    <t>Violín</t>
  </si>
  <si>
    <t>Violoncello</t>
  </si>
  <si>
    <t>Piano Complementario</t>
  </si>
  <si>
    <t>2EPM;3EPM;4EPM</t>
  </si>
  <si>
    <t>Conjunto</t>
  </si>
  <si>
    <t>Acompañamiento</t>
  </si>
  <si>
    <t>Coro</t>
  </si>
  <si>
    <t>Idioma Aplicado al Canto</t>
  </si>
  <si>
    <t>Tabalet</t>
  </si>
  <si>
    <t>Historia de la Música</t>
  </si>
  <si>
    <t>Creatividad y Música</t>
  </si>
  <si>
    <t>Optativas</t>
  </si>
  <si>
    <t>Cultura Audiovisual</t>
  </si>
  <si>
    <t>Complemento Coral</t>
  </si>
  <si>
    <t>Fundamentos de Composición</t>
  </si>
  <si>
    <t>Introducción a la Pedagogía Musical</t>
  </si>
  <si>
    <t>Estética de la Música</t>
  </si>
  <si>
    <t>Improvisación y Jazz</t>
  </si>
  <si>
    <t>Campo</t>
  </si>
  <si>
    <t>Valor</t>
  </si>
  <si>
    <t>Centro</t>
  </si>
  <si>
    <t>CPM Mestre Tárrega</t>
  </si>
  <si>
    <t>CursoAcademico</t>
  </si>
  <si>
    <t>25/26</t>
  </si>
  <si>
    <t>Evaluacion</t>
  </si>
  <si>
    <t>1EV</t>
  </si>
  <si>
    <t>Curso</t>
  </si>
  <si>
    <t>Asignatura1</t>
  </si>
  <si>
    <t>Asignatura2</t>
  </si>
  <si>
    <t>1EPM</t>
  </si>
  <si>
    <t>2EPM</t>
  </si>
  <si>
    <t>3EPM</t>
  </si>
  <si>
    <t>4EPM</t>
  </si>
  <si>
    <t>5EPM</t>
  </si>
  <si>
    <t>6EPM</t>
  </si>
  <si>
    <t>NIA</t>
  </si>
  <si>
    <t>Apellidos</t>
  </si>
  <si>
    <t>Nombre</t>
  </si>
  <si>
    <t>Repite</t>
  </si>
  <si>
    <t>Evaluación</t>
  </si>
  <si>
    <t>Código Asig</t>
  </si>
  <si>
    <t>Contenido</t>
  </si>
  <si>
    <t>Nota</t>
  </si>
  <si>
    <t>Nota Numérica</t>
  </si>
  <si>
    <t>Apto</t>
  </si>
  <si>
    <t>Profesor</t>
  </si>
  <si>
    <t>Observ.</t>
  </si>
  <si>
    <t>Nivel</t>
  </si>
  <si>
    <t>TipoAsig</t>
  </si>
  <si>
    <t>Registros</t>
  </si>
  <si>
    <t>NotaMedia</t>
  </si>
  <si>
    <t>Desviacion</t>
  </si>
  <si>
    <t>Moda</t>
  </si>
  <si>
    <t>PctAprobados</t>
  </si>
  <si>
    <t>PctSuspendidos</t>
  </si>
  <si>
    <t>ModaAprobados</t>
  </si>
  <si>
    <t>ModaSuspendidos</t>
  </si>
  <si>
    <t>Dist1</t>
  </si>
  <si>
    <t>Dist2</t>
  </si>
  <si>
    <t>Dist3</t>
  </si>
  <si>
    <t>Dist4</t>
  </si>
  <si>
    <t>Dist5</t>
  </si>
  <si>
    <t>Dist6</t>
  </si>
  <si>
    <t>Dist7</t>
  </si>
  <si>
    <t>Dist8</t>
  </si>
  <si>
    <t>Dist9</t>
  </si>
  <si>
    <t>Dist10</t>
  </si>
  <si>
    <t>GLOBAL</t>
  </si>
  <si>
    <t>Total</t>
  </si>
  <si>
    <t>Total Especialidad</t>
  </si>
  <si>
    <t>TotalEsp</t>
  </si>
  <si>
    <t>Total No Especialidad</t>
  </si>
  <si>
    <t>TotalNoEsp</t>
  </si>
  <si>
    <t>Teórica Troncal</t>
  </si>
  <si>
    <t>DATOS PIVOTEADOS PARA CORRELACIONES</t>
  </si>
  <si>
    <t>⚠️ IMPORTANTE: Las celdas amarillas (A6, G6, M6, S6, Y6, AE6) requieren fórmulas manuales - ver INSTRUCCIONES</t>
  </si>
  <si>
    <t>CURSO</t>
  </si>
  <si>
    <t>Teórica</t>
  </si>
  <si>
    <t>Orquesta</t>
  </si>
  <si>
    <t>Conjun</t>
  </si>
  <si>
    <t>Esp</t>
  </si>
  <si>
    <t>Música</t>
  </si>
  <si>
    <t>Correlacion</t>
  </si>
  <si>
    <t>N_Muestras</t>
  </si>
  <si>
    <t>Interpretacion</t>
  </si>
  <si>
    <t>INTERPRETACIÓN</t>
  </si>
  <si>
    <t>0.80 – 1.00</t>
  </si>
  <si>
    <t>Muy fuerte</t>
  </si>
  <si>
    <t>0.60 – 0.79</t>
  </si>
  <si>
    <t>Fuerte</t>
  </si>
  <si>
    <t>0.40 – 0.59</t>
  </si>
  <si>
    <t>Moderada</t>
  </si>
  <si>
    <t>0.20 – 0.39</t>
  </si>
  <si>
    <t>Débil</t>
  </si>
  <si>
    <t>0.00 – 0.19</t>
  </si>
  <si>
    <t>Muy débil</t>
  </si>
  <si>
    <t>&lt; 0</t>
  </si>
  <si>
    <t>Inversa</t>
  </si>
  <si>
    <t>#METADATA</t>
  </si>
  <si>
    <t>Trimestre</t>
  </si>
  <si>
    <t>#ESTADISTICAS</t>
  </si>
  <si>
    <t>Tipo</t>
  </si>
  <si>
    <t>#CORRELACIONES</t>
  </si>
  <si>
    <t>COR</t>
  </si>
  <si>
    <t>#AGRUPACIONES</t>
  </si>
  <si>
    <t>Grupos</t>
  </si>
  <si>
    <t>AGR</t>
  </si>
  <si>
    <t>FUNDAMENTOS DE INFORMÁTICA MUSICAL Y EDICIÓN DE PARTITURAS</t>
  </si>
  <si>
    <t>COMPLEMENTO PIANÍSTICO / CLAVECINÍSTICO</t>
  </si>
  <si>
    <t>Optativa</t>
  </si>
  <si>
    <t>Versión 1.0  ·  Diciembre 2024</t>
  </si>
  <si>
    <t>━━━━━━━━━━━━━━━━━━━━━━━━━━━━━━━━━━━━━━━━━━━━━━━━━━</t>
  </si>
  <si>
    <t xml:space="preserve">     Salida CSV con secciones #METADATA, #ESTADISTICAS, #CORRELACIONES, #AGRUPACIONES.</t>
  </si>
  <si>
    <t>◆  EXPORTADOR</t>
  </si>
  <si>
    <t xml:space="preserve">     Resultados de correlaciones con interpretación.</t>
  </si>
  <si>
    <t>◆  CALC_CORRELACIONES</t>
  </si>
  <si>
    <t xml:space="preserve">     Datos pivoteados por alumno. </t>
  </si>
  <si>
    <t>◆  DAT_CORRELACION</t>
  </si>
  <si>
    <t xml:space="preserve">     Cálculos estadísticos: Global, por curso, especialidades y optativas.</t>
  </si>
  <si>
    <t>◆  CALC_EPM</t>
  </si>
  <si>
    <t xml:space="preserve">     Importar aquí todos los registros de calificaciones.</t>
  </si>
  <si>
    <t>◆  DATOS</t>
  </si>
  <si>
    <t xml:space="preserve">     Pares de asignaturas para calcular correlaciones por curso.</t>
  </si>
  <si>
    <t>◆  CONFIG_CORRELACIONES</t>
  </si>
  <si>
    <t xml:space="preserve">     Centro, curso académico y selector de evaluación (1EV, 2EV, 3EV, FINAL).</t>
  </si>
  <si>
    <t>◆  CONFIG_METADATA</t>
  </si>
  <si>
    <t xml:space="preserve">     Lista maestra de asignaturas, cursos y agrupaciones. Especialidades en filas 7-27.</t>
  </si>
  <si>
    <t>◆  CONFIG_ASIGNATURAS</t>
  </si>
  <si>
    <t xml:space="preserve">     Esta portada con las instrucciones de uso.</t>
  </si>
  <si>
    <t>◆  INSTRUCCIONES</t>
  </si>
  <si>
    <t xml:space="preserve">  Si no, contacta con el desarrollador para solicitar modificaciones.</t>
  </si>
  <si>
    <t>• Si tienes conocimientos de Excel, puedes adaptar las asignaturas que falten.</t>
  </si>
  <si>
    <t>• Capacidad máxima: 1.000 alumnos.</t>
  </si>
  <si>
    <t xml:space="preserve">  Verifica que coincidan con las de tu centro.</t>
  </si>
  <si>
    <t>• Consulta CONFIG_ASIGNATURAS para ver las asignaturas implementadas.</t>
  </si>
  <si>
    <t xml:space="preserve">  Puede requerir adaptaciones para otras comunidades autónomas.</t>
  </si>
  <si>
    <t>• El plan de estudios está basado en la normativa de la Comunitat Valenciana.</t>
  </si>
  <si>
    <t>• Este analizador es exclusivo para Enseñanzas Profesionales de Música en Conservatorios.</t>
  </si>
  <si>
    <t>⚠  AVISOS IMPORTANTES</t>
  </si>
  <si>
    <t xml:space="preserve">      Sube el CSV a la APP para visualizar los datos.</t>
  </si>
  <si>
    <t xml:space="preserve">      Copia toda la hoja EXPORTADOR y guárdala como CSV.</t>
  </si>
  <si>
    <t>4. EXPORTAR</t>
  </si>
  <si>
    <t xml:space="preserve">      Revisa CALC_CORRELACIONES para ver las correlaciones entre asignaturas.</t>
  </si>
  <si>
    <t xml:space="preserve">      Revisa CALC_EEM / CALC_EPM para ver las estadísticas calculadas.</t>
  </si>
  <si>
    <t>3. VERIFICAR CÁLCULOS</t>
  </si>
  <si>
    <t xml:space="preserve">      En CONFIG_METADATA, cambia la celda B4 para filtrar la evaluación deseada.</t>
  </si>
  <si>
    <t>2. SELECCIONAR EVALUACIÓN</t>
  </si>
  <si>
    <t xml:space="preserve">      Incluye solo una única evaluación. Duplica este excel para analizar cada evaluación por separado.</t>
  </si>
  <si>
    <t xml:space="preserve">      Pega los datos de calificaciones en la hoja DATOS.</t>
  </si>
  <si>
    <t>1. IMPORTAR DATOS</t>
  </si>
  <si>
    <t>CÓMO USAR ESTE ANALIZADOR</t>
  </si>
  <si>
    <t>ENLACES</t>
  </si>
  <si>
    <t>Desarrollado con Claude (Anthropic)</t>
  </si>
  <si>
    <t>www.jlmirall.es  ·  joseluismirallesbono@gmail.com</t>
  </si>
  <si>
    <t>José Luis Miralles Bono</t>
  </si>
  <si>
    <t>Creado mediante Vibe Coding por:</t>
  </si>
  <si>
    <t>Analizador de Calificaciones de Enseñanzas Profesionales de Música
para Conservatorios</t>
  </si>
  <si>
    <t>ANALIZADOR EPM</t>
  </si>
  <si>
    <t>▸ APP para visualizar los datos exportados: https://jlmirallesb.github.io/DashboardAcademico/</t>
  </si>
  <si>
    <t>▸ Repositorio en GitHub: https://github.com/JLMirallesB/DashboardAcademico</t>
  </si>
  <si>
    <t>▸ Reporta errores o bugs: https://github.com/JLMirallesB/DashboardAcademico/issues</t>
  </si>
  <si>
    <t>▸ ¿Te ha sido útil? Invita a un café al desarrollador: https://ko-fi.com/miralles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</si>
</sst>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2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 Unicode MS"/>
      <family val="2"/>
    </font>
    <font>
      <sz val="11"/>
      <color rgb="FF000000"/>
      <name val="Calibri"/>
      <family val="2"/>
      <scheme val="minor"/>
    </font>
    <font>
      <i/>
      <sz val="9"/>
      <color rgb="FF999999"/>
      <name val="Calibri"/>
      <family val="2"/>
    </font>
    <font>
      <sz val="8"/>
      <color rgb="FFCCCCCC"/>
      <name val="Calibri"/>
      <family val="2"/>
    </font>
    <font>
      <sz val="10"/>
      <color rgb="FF555555"/>
      <name val="Calibri"/>
      <family val="2"/>
    </font>
    <font>
      <b/>
      <sz val="14"/>
      <color rgb="FFFFFFFF"/>
      <name val="Calibri"/>
      <family val="2"/>
    </font>
    <font>
      <sz val="10"/>
      <color rgb="FF333333"/>
      <name val="Calibri"/>
      <family val="2"/>
    </font>
    <font>
      <sz val="11"/>
      <color rgb="FF333333"/>
      <name val="Calibri"/>
      <family val="2"/>
    </font>
    <font>
      <i/>
      <sz val="10"/>
      <color rgb="FF999999"/>
      <name val="Calibri"/>
      <family val="2"/>
    </font>
    <font>
      <sz val="10"/>
      <color rgb="FF666666"/>
      <name val="Calibri"/>
      <family val="2"/>
    </font>
    <font>
      <b/>
      <sz val="12"/>
      <color rgb="FF000000"/>
      <name val="Calibri"/>
      <family val="2"/>
    </font>
    <font>
      <i/>
      <sz val="14"/>
      <color rgb="FF333333"/>
      <name val="Calibri"/>
      <family val="2"/>
    </font>
    <font>
      <sz val="8"/>
      <color rgb="FF999999"/>
      <name val="Calibri"/>
      <family val="2"/>
    </font>
    <font>
      <b/>
      <sz val="28"/>
      <color rgb="FF000000"/>
      <name val="Calibri"/>
      <family val="2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9E2F3"/>
      </patternFill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/>
    </fill>
    <fill>
      <patternFill patternType="solid">
        <fgColor rgb="FF333333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9" fontId="6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6" fillId="0" borderId="0"/>
  </cellStyleXfs>
  <cellXfs count="28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0" fillId="3" borderId="0" xfId="0" applyFill="1"/>
    <xf numFmtId="0" fontId="4" fillId="4" borderId="0" xfId="0" applyFont="1" applyFill="1"/>
    <xf numFmtId="0" fontId="5" fillId="0" borderId="0" xfId="0" applyFont="1"/>
    <xf numFmtId="0" fontId="4" fillId="3" borderId="0" xfId="0" applyFont="1" applyFill="1"/>
    <xf numFmtId="0" fontId="4" fillId="0" borderId="0" xfId="0" applyFont="1"/>
    <xf numFmtId="0" fontId="4" fillId="5" borderId="0" xfId="0" applyFont="1" applyFill="1"/>
    <xf numFmtId="2" fontId="0" fillId="0" borderId="0" xfId="0" applyNumberFormat="1"/>
    <xf numFmtId="164" fontId="0" fillId="0" borderId="0" xfId="1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center"/>
    </xf>
    <xf numFmtId="0" fontId="11" fillId="0" borderId="0" xfId="0" applyFont="1"/>
    <xf numFmtId="0" fontId="12" fillId="6" borderId="0" xfId="0" applyFont="1" applyFill="1" applyAlignment="1">
      <alignment horizontal="center"/>
    </xf>
    <xf numFmtId="0" fontId="13" fillId="0" borderId="0" xfId="0" applyFont="1"/>
    <xf numFmtId="0" fontId="12" fillId="7" borderId="0" xfId="0" applyFont="1" applyFill="1" applyAlignment="1">
      <alignment horizontal="center"/>
    </xf>
    <xf numFmtId="0" fontId="15" fillId="0" borderId="0" xfId="0" applyFont="1"/>
    <xf numFmtId="0" fontId="16" fillId="0" borderId="0" xfId="0" applyFont="1"/>
    <xf numFmtId="0" fontId="17" fillId="0" borderId="0" xfId="0" applyFont="1"/>
    <xf numFmtId="0" fontId="19" fillId="0" borderId="0" xfId="0" applyFont="1" applyAlignment="1">
      <alignment horizontal="center"/>
    </xf>
    <xf numFmtId="0" fontId="18" fillId="0" borderId="0" xfId="0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21" fillId="0" borderId="0" xfId="2"/>
    <xf numFmtId="0" fontId="14" fillId="0" borderId="0" xfId="3" applyFont="1"/>
  </cellXfs>
  <cellStyles count="4">
    <cellStyle name="Hipervínculo" xfId="2" builtinId="8"/>
    <cellStyle name="Normal" xfId="0" builtinId="0"/>
    <cellStyle name="Normal 2" xfId="3" xr:uid="{2727EBD7-7F9E-CD4D-9959-B7DE39ED8E93}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JLMirallesB/DashboardAcademico/issues" TargetMode="External"/><Relationship Id="rId2" Type="http://schemas.openxmlformats.org/officeDocument/2006/relationships/hyperlink" Target="https://github.com/JLMirallesB/DashboardAcademico" TargetMode="External"/><Relationship Id="rId1" Type="http://schemas.openxmlformats.org/officeDocument/2006/relationships/hyperlink" Target="https://jlmirallesb.github.io/DashboardAcademico/" TargetMode="External"/><Relationship Id="rId4" Type="http://schemas.openxmlformats.org/officeDocument/2006/relationships/hyperlink" Target="https://ko-fi.com/miral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54903-DAA7-2D4F-B744-498A2CF8E535}">
  <dimension ref="B2:B87"/>
  <sheetViews>
    <sheetView tabSelected="1" workbookViewId="0">
      <selection activeCell="F14" sqref="F14"/>
    </sheetView>
  </sheetViews>
  <sheetFormatPr baseColWidth="10" defaultColWidth="8.83203125" defaultRowHeight="15" x14ac:dyDescent="0.2"/>
  <cols>
    <col min="1" max="1" width="3" customWidth="1"/>
    <col min="2" max="2" width="80" customWidth="1"/>
    <col min="3" max="3" width="3" customWidth="1"/>
  </cols>
  <sheetData>
    <row r="2" spans="2:2" ht="37" x14ac:dyDescent="0.2">
      <c r="B2" s="24" t="s">
        <v>206</v>
      </c>
    </row>
    <row r="3" spans="2:2" x14ac:dyDescent="0.2">
      <c r="B3" s="22" t="s">
        <v>160</v>
      </c>
    </row>
    <row r="5" spans="2:2" ht="40" customHeight="1" x14ac:dyDescent="0.2">
      <c r="B5" s="23" t="s">
        <v>205</v>
      </c>
    </row>
    <row r="8" spans="2:2" x14ac:dyDescent="0.2">
      <c r="B8" s="20" t="s">
        <v>204</v>
      </c>
    </row>
    <row r="9" spans="2:2" ht="16" x14ac:dyDescent="0.2">
      <c r="B9" s="21" t="s">
        <v>203</v>
      </c>
    </row>
    <row r="10" spans="2:2" x14ac:dyDescent="0.2">
      <c r="B10" s="20" t="s">
        <v>202</v>
      </c>
    </row>
    <row r="11" spans="2:2" x14ac:dyDescent="0.2">
      <c r="B11" s="19" t="s">
        <v>201</v>
      </c>
    </row>
    <row r="14" spans="2:2" ht="19" x14ac:dyDescent="0.25">
      <c r="B14" s="16" t="s">
        <v>200</v>
      </c>
    </row>
    <row r="16" spans="2:2" x14ac:dyDescent="0.2">
      <c r="B16" s="26" t="s">
        <v>207</v>
      </c>
    </row>
    <row r="17" spans="2:2" x14ac:dyDescent="0.2">
      <c r="B17" s="26" t="s">
        <v>208</v>
      </c>
    </row>
    <row r="18" spans="2:2" x14ac:dyDescent="0.2">
      <c r="B18" s="26" t="s">
        <v>209</v>
      </c>
    </row>
    <row r="19" spans="2:2" x14ac:dyDescent="0.2">
      <c r="B19" s="27"/>
    </row>
    <row r="20" spans="2:2" x14ac:dyDescent="0.2">
      <c r="B20" s="26" t="s">
        <v>210</v>
      </c>
    </row>
    <row r="22" spans="2:2" ht="19" x14ac:dyDescent="0.25">
      <c r="B22" s="16" t="s">
        <v>199</v>
      </c>
    </row>
    <row r="24" spans="2:2" x14ac:dyDescent="0.2">
      <c r="B24" s="1" t="s">
        <v>198</v>
      </c>
    </row>
    <row r="25" spans="2:2" x14ac:dyDescent="0.2">
      <c r="B25" s="15" t="s">
        <v>197</v>
      </c>
    </row>
    <row r="26" spans="2:2" x14ac:dyDescent="0.2">
      <c r="B26" s="15" t="s">
        <v>196</v>
      </c>
    </row>
    <row r="27" spans="2:2" x14ac:dyDescent="0.2">
      <c r="B27" s="15"/>
    </row>
    <row r="28" spans="2:2" x14ac:dyDescent="0.2">
      <c r="B28" s="1" t="s">
        <v>195</v>
      </c>
    </row>
    <row r="29" spans="2:2" x14ac:dyDescent="0.2">
      <c r="B29" s="15" t="s">
        <v>194</v>
      </c>
    </row>
    <row r="30" spans="2:2" x14ac:dyDescent="0.2">
      <c r="B30" s="15"/>
    </row>
    <row r="31" spans="2:2" x14ac:dyDescent="0.2">
      <c r="B31" s="1" t="s">
        <v>193</v>
      </c>
    </row>
    <row r="32" spans="2:2" x14ac:dyDescent="0.2">
      <c r="B32" s="15" t="s">
        <v>192</v>
      </c>
    </row>
    <row r="33" spans="2:2" x14ac:dyDescent="0.2">
      <c r="B33" s="15" t="s">
        <v>191</v>
      </c>
    </row>
    <row r="34" spans="2:2" x14ac:dyDescent="0.2">
      <c r="B34" s="15"/>
    </row>
    <row r="35" spans="2:2" x14ac:dyDescent="0.2">
      <c r="B35" s="1" t="s">
        <v>190</v>
      </c>
    </row>
    <row r="36" spans="2:2" x14ac:dyDescent="0.2">
      <c r="B36" s="15" t="s">
        <v>189</v>
      </c>
    </row>
    <row r="37" spans="2:2" x14ac:dyDescent="0.2">
      <c r="B37" s="15" t="s">
        <v>188</v>
      </c>
    </row>
    <row r="40" spans="2:2" ht="19" x14ac:dyDescent="0.25">
      <c r="B40" s="18" t="s">
        <v>187</v>
      </c>
    </row>
    <row r="42" spans="2:2" x14ac:dyDescent="0.2">
      <c r="B42" s="17" t="s">
        <v>186</v>
      </c>
    </row>
    <row r="43" spans="2:2" x14ac:dyDescent="0.2">
      <c r="B43" s="17"/>
    </row>
    <row r="44" spans="2:2" x14ac:dyDescent="0.2">
      <c r="B44" s="17" t="s">
        <v>185</v>
      </c>
    </row>
    <row r="45" spans="2:2" x14ac:dyDescent="0.2">
      <c r="B45" s="17" t="s">
        <v>184</v>
      </c>
    </row>
    <row r="46" spans="2:2" x14ac:dyDescent="0.2">
      <c r="B46" s="17"/>
    </row>
    <row r="47" spans="2:2" x14ac:dyDescent="0.2">
      <c r="B47" s="17" t="s">
        <v>183</v>
      </c>
    </row>
    <row r="48" spans="2:2" x14ac:dyDescent="0.2">
      <c r="B48" s="17" t="s">
        <v>182</v>
      </c>
    </row>
    <row r="49" spans="2:2" x14ac:dyDescent="0.2">
      <c r="B49" s="17"/>
    </row>
    <row r="50" spans="2:2" x14ac:dyDescent="0.2">
      <c r="B50" s="17" t="s">
        <v>181</v>
      </c>
    </row>
    <row r="51" spans="2:2" x14ac:dyDescent="0.2">
      <c r="B51" s="17"/>
    </row>
    <row r="52" spans="2:2" x14ac:dyDescent="0.2">
      <c r="B52" s="17" t="s">
        <v>180</v>
      </c>
    </row>
    <row r="53" spans="2:2" x14ac:dyDescent="0.2">
      <c r="B53" s="17" t="s">
        <v>179</v>
      </c>
    </row>
    <row r="56" spans="2:2" ht="19" x14ac:dyDescent="0.25">
      <c r="B56" s="16" t="s">
        <v>0</v>
      </c>
    </row>
    <row r="58" spans="2:2" x14ac:dyDescent="0.2">
      <c r="B58" s="1" t="s">
        <v>178</v>
      </c>
    </row>
    <row r="59" spans="2:2" x14ac:dyDescent="0.2">
      <c r="B59" s="15" t="s">
        <v>177</v>
      </c>
    </row>
    <row r="61" spans="2:2" x14ac:dyDescent="0.2">
      <c r="B61" s="1" t="s">
        <v>176</v>
      </c>
    </row>
    <row r="62" spans="2:2" x14ac:dyDescent="0.2">
      <c r="B62" s="15" t="s">
        <v>175</v>
      </c>
    </row>
    <row r="64" spans="2:2" x14ac:dyDescent="0.2">
      <c r="B64" s="1" t="s">
        <v>174</v>
      </c>
    </row>
    <row r="65" spans="2:2" x14ac:dyDescent="0.2">
      <c r="B65" s="15" t="s">
        <v>173</v>
      </c>
    </row>
    <row r="67" spans="2:2" x14ac:dyDescent="0.2">
      <c r="B67" s="1" t="s">
        <v>172</v>
      </c>
    </row>
    <row r="68" spans="2:2" x14ac:dyDescent="0.2">
      <c r="B68" s="15" t="s">
        <v>171</v>
      </c>
    </row>
    <row r="70" spans="2:2" x14ac:dyDescent="0.2">
      <c r="B70" s="1" t="s">
        <v>170</v>
      </c>
    </row>
    <row r="71" spans="2:2" x14ac:dyDescent="0.2">
      <c r="B71" s="15" t="s">
        <v>169</v>
      </c>
    </row>
    <row r="73" spans="2:2" x14ac:dyDescent="0.2">
      <c r="B73" s="1" t="s">
        <v>168</v>
      </c>
    </row>
    <row r="74" spans="2:2" x14ac:dyDescent="0.2">
      <c r="B74" s="15" t="s">
        <v>167</v>
      </c>
    </row>
    <row r="76" spans="2:2" x14ac:dyDescent="0.2">
      <c r="B76" s="1" t="s">
        <v>166</v>
      </c>
    </row>
    <row r="77" spans="2:2" x14ac:dyDescent="0.2">
      <c r="B77" s="15" t="s">
        <v>165</v>
      </c>
    </row>
    <row r="79" spans="2:2" x14ac:dyDescent="0.2">
      <c r="B79" s="1" t="s">
        <v>164</v>
      </c>
    </row>
    <row r="80" spans="2:2" x14ac:dyDescent="0.2">
      <c r="B80" s="15" t="s">
        <v>163</v>
      </c>
    </row>
    <row r="82" spans="2:2" x14ac:dyDescent="0.2">
      <c r="B82" s="1" t="s">
        <v>162</v>
      </c>
    </row>
    <row r="83" spans="2:2" x14ac:dyDescent="0.2">
      <c r="B83" s="15" t="s">
        <v>161</v>
      </c>
    </row>
    <row r="86" spans="2:2" x14ac:dyDescent="0.2">
      <c r="B86" s="25" t="s">
        <v>160</v>
      </c>
    </row>
    <row r="87" spans="2:2" x14ac:dyDescent="0.2">
      <c r="B87" s="14" t="s">
        <v>159</v>
      </c>
    </row>
  </sheetData>
  <mergeCells count="4">
    <mergeCell ref="B3"/>
    <mergeCell ref="B5"/>
    <mergeCell ref="B2"/>
    <mergeCell ref="B86"/>
  </mergeCells>
  <hyperlinks>
    <hyperlink ref="B16" r:id="rId1" xr:uid="{F2A5485C-2846-4A4B-9EE9-B5BCAFDC71BE}"/>
    <hyperlink ref="B17" r:id="rId2" xr:uid="{016893FA-37EE-5F4C-92CF-C777E7F952FA}"/>
    <hyperlink ref="B18" r:id="rId3" xr:uid="{E7383A66-1EC5-0D43-9065-1B48D1E6629F}"/>
    <hyperlink ref="B20" r:id="rId4" xr:uid="{6E078757-E558-AF48-AF31-9276C46DEE4C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3"/>
  <sheetViews>
    <sheetView workbookViewId="0">
      <selection activeCell="B42" sqref="B42"/>
    </sheetView>
  </sheetViews>
  <sheetFormatPr baseColWidth="10" defaultColWidth="8.83203125" defaultRowHeight="15" x14ac:dyDescent="0.2"/>
  <cols>
    <col min="1" max="1" width="5" customWidth="1"/>
    <col min="2" max="2" width="35" customWidth="1"/>
    <col min="3" max="3" width="40" customWidth="1"/>
    <col min="4" max="6" width="15" customWidth="1"/>
    <col min="7" max="7" width="8" customWidth="1"/>
  </cols>
  <sheetData>
    <row r="1" spans="1:9" x14ac:dyDescent="0.2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I1" s="3" t="s">
        <v>8</v>
      </c>
    </row>
    <row r="2" spans="1:9" x14ac:dyDescent="0.2">
      <c r="A2">
        <v>1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</row>
    <row r="3" spans="1:9" x14ac:dyDescent="0.2">
      <c r="A3">
        <v>2</v>
      </c>
      <c r="B3" t="s">
        <v>15</v>
      </c>
      <c r="C3" t="s">
        <v>16</v>
      </c>
      <c r="D3" t="s">
        <v>11</v>
      </c>
      <c r="E3" t="s">
        <v>12</v>
      </c>
      <c r="F3" t="s">
        <v>13</v>
      </c>
      <c r="G3" t="s">
        <v>14</v>
      </c>
    </row>
    <row r="4" spans="1:9" x14ac:dyDescent="0.2">
      <c r="A4">
        <v>3</v>
      </c>
      <c r="B4" t="s">
        <v>17</v>
      </c>
      <c r="C4" t="s">
        <v>18</v>
      </c>
      <c r="D4" t="s">
        <v>11</v>
      </c>
      <c r="E4" t="s">
        <v>12</v>
      </c>
      <c r="F4" t="s">
        <v>13</v>
      </c>
      <c r="G4" t="s">
        <v>14</v>
      </c>
    </row>
    <row r="5" spans="1:9" x14ac:dyDescent="0.2">
      <c r="A5">
        <v>4</v>
      </c>
      <c r="B5" t="s">
        <v>19</v>
      </c>
      <c r="C5" t="s">
        <v>20</v>
      </c>
      <c r="D5" t="s">
        <v>11</v>
      </c>
      <c r="E5" t="s">
        <v>21</v>
      </c>
      <c r="F5" t="s">
        <v>13</v>
      </c>
      <c r="G5" t="s">
        <v>14</v>
      </c>
    </row>
    <row r="6" spans="1:9" x14ac:dyDescent="0.2">
      <c r="A6">
        <v>5</v>
      </c>
      <c r="B6" t="s">
        <v>22</v>
      </c>
      <c r="C6" t="s">
        <v>23</v>
      </c>
      <c r="D6" t="s">
        <v>11</v>
      </c>
      <c r="E6" t="s">
        <v>21</v>
      </c>
      <c r="F6" t="s">
        <v>13</v>
      </c>
      <c r="G6" t="s">
        <v>14</v>
      </c>
    </row>
    <row r="7" spans="1:9" x14ac:dyDescent="0.2">
      <c r="A7" s="4">
        <v>6</v>
      </c>
      <c r="B7" t="s">
        <v>24</v>
      </c>
      <c r="C7" t="s">
        <v>23</v>
      </c>
      <c r="D7" t="s">
        <v>25</v>
      </c>
      <c r="E7" t="s">
        <v>26</v>
      </c>
      <c r="F7" t="s">
        <v>14</v>
      </c>
      <c r="G7" t="s">
        <v>14</v>
      </c>
    </row>
    <row r="8" spans="1:9" x14ac:dyDescent="0.2">
      <c r="A8" s="4">
        <v>7</v>
      </c>
      <c r="B8" t="s">
        <v>27</v>
      </c>
      <c r="C8" t="s">
        <v>23</v>
      </c>
      <c r="D8" t="s">
        <v>25</v>
      </c>
      <c r="E8" t="s">
        <v>26</v>
      </c>
      <c r="F8" t="s">
        <v>14</v>
      </c>
      <c r="G8" t="s">
        <v>14</v>
      </c>
    </row>
    <row r="9" spans="1:9" x14ac:dyDescent="0.2">
      <c r="A9" s="4">
        <v>8</v>
      </c>
      <c r="B9" t="s">
        <v>28</v>
      </c>
      <c r="C9" t="s">
        <v>23</v>
      </c>
      <c r="D9" t="s">
        <v>25</v>
      </c>
      <c r="E9" t="s">
        <v>29</v>
      </c>
      <c r="F9" t="s">
        <v>14</v>
      </c>
      <c r="G9" t="s">
        <v>14</v>
      </c>
    </row>
    <row r="10" spans="1:9" x14ac:dyDescent="0.2">
      <c r="A10" s="4">
        <v>9</v>
      </c>
      <c r="B10" t="s">
        <v>30</v>
      </c>
      <c r="C10" t="s">
        <v>23</v>
      </c>
      <c r="D10" t="s">
        <v>25</v>
      </c>
      <c r="E10" t="s">
        <v>31</v>
      </c>
      <c r="F10" t="s">
        <v>14</v>
      </c>
      <c r="G10" t="s">
        <v>14</v>
      </c>
    </row>
    <row r="11" spans="1:9" x14ac:dyDescent="0.2">
      <c r="A11" s="4">
        <v>10</v>
      </c>
      <c r="B11" t="s">
        <v>32</v>
      </c>
      <c r="C11" t="s">
        <v>23</v>
      </c>
      <c r="D11" t="s">
        <v>25</v>
      </c>
      <c r="E11" t="s">
        <v>26</v>
      </c>
      <c r="F11" t="s">
        <v>14</v>
      </c>
      <c r="G11" t="s">
        <v>14</v>
      </c>
    </row>
    <row r="12" spans="1:9" x14ac:dyDescent="0.2">
      <c r="A12" s="4">
        <v>11</v>
      </c>
      <c r="B12" t="s">
        <v>33</v>
      </c>
      <c r="C12" t="s">
        <v>23</v>
      </c>
      <c r="D12" t="s">
        <v>25</v>
      </c>
      <c r="E12" t="s">
        <v>31</v>
      </c>
      <c r="F12" t="s">
        <v>14</v>
      </c>
      <c r="G12" t="s">
        <v>14</v>
      </c>
    </row>
    <row r="13" spans="1:9" x14ac:dyDescent="0.2">
      <c r="A13" s="4">
        <v>12</v>
      </c>
      <c r="B13" t="s">
        <v>34</v>
      </c>
      <c r="C13" t="s">
        <v>23</v>
      </c>
      <c r="D13" t="s">
        <v>25</v>
      </c>
      <c r="E13" t="s">
        <v>31</v>
      </c>
      <c r="F13" t="s">
        <v>14</v>
      </c>
      <c r="G13" t="s">
        <v>14</v>
      </c>
    </row>
    <row r="14" spans="1:9" x14ac:dyDescent="0.2">
      <c r="A14" s="4">
        <v>13</v>
      </c>
      <c r="B14" t="s">
        <v>35</v>
      </c>
      <c r="C14" t="s">
        <v>23</v>
      </c>
      <c r="D14" t="s">
        <v>25</v>
      </c>
      <c r="E14" t="s">
        <v>31</v>
      </c>
      <c r="F14" t="s">
        <v>14</v>
      </c>
      <c r="G14" t="s">
        <v>14</v>
      </c>
    </row>
    <row r="15" spans="1:9" x14ac:dyDescent="0.2">
      <c r="A15" s="4">
        <v>14</v>
      </c>
      <c r="B15" t="s">
        <v>36</v>
      </c>
      <c r="C15" t="s">
        <v>23</v>
      </c>
      <c r="D15" t="s">
        <v>25</v>
      </c>
      <c r="E15" t="s">
        <v>26</v>
      </c>
      <c r="F15" t="s">
        <v>14</v>
      </c>
      <c r="G15" t="s">
        <v>14</v>
      </c>
    </row>
    <row r="16" spans="1:9" x14ac:dyDescent="0.2">
      <c r="A16" s="4">
        <v>15</v>
      </c>
      <c r="B16" t="s">
        <v>37</v>
      </c>
      <c r="C16" t="s">
        <v>23</v>
      </c>
      <c r="D16" t="s">
        <v>25</v>
      </c>
      <c r="E16" t="s">
        <v>26</v>
      </c>
      <c r="F16" t="s">
        <v>14</v>
      </c>
      <c r="G16" t="s">
        <v>14</v>
      </c>
    </row>
    <row r="17" spans="1:7" x14ac:dyDescent="0.2">
      <c r="A17" s="4">
        <v>16</v>
      </c>
      <c r="B17" t="s">
        <v>38</v>
      </c>
      <c r="C17" t="s">
        <v>23</v>
      </c>
      <c r="D17" t="s">
        <v>25</v>
      </c>
      <c r="E17" t="s">
        <v>31</v>
      </c>
      <c r="F17" t="s">
        <v>14</v>
      </c>
      <c r="G17" t="s">
        <v>14</v>
      </c>
    </row>
    <row r="18" spans="1:7" x14ac:dyDescent="0.2">
      <c r="A18" s="4">
        <v>17</v>
      </c>
      <c r="B18" t="s">
        <v>39</v>
      </c>
      <c r="C18" t="s">
        <v>23</v>
      </c>
      <c r="D18" t="s">
        <v>25</v>
      </c>
      <c r="E18" t="s">
        <v>40</v>
      </c>
      <c r="F18" t="s">
        <v>14</v>
      </c>
      <c r="G18" t="s">
        <v>14</v>
      </c>
    </row>
    <row r="19" spans="1:7" x14ac:dyDescent="0.2">
      <c r="A19" s="4">
        <v>18</v>
      </c>
      <c r="B19" t="s">
        <v>41</v>
      </c>
      <c r="C19" t="s">
        <v>23</v>
      </c>
      <c r="D19" t="s">
        <v>25</v>
      </c>
      <c r="E19" t="s">
        <v>42</v>
      </c>
      <c r="F19" t="s">
        <v>14</v>
      </c>
      <c r="G19" t="s">
        <v>14</v>
      </c>
    </row>
    <row r="20" spans="1:7" x14ac:dyDescent="0.2">
      <c r="A20" s="4">
        <v>19</v>
      </c>
      <c r="B20" t="s">
        <v>43</v>
      </c>
      <c r="C20" t="s">
        <v>23</v>
      </c>
      <c r="D20" t="s">
        <v>25</v>
      </c>
      <c r="E20" t="s">
        <v>31</v>
      </c>
      <c r="F20" t="s">
        <v>14</v>
      </c>
      <c r="G20" t="s">
        <v>14</v>
      </c>
    </row>
    <row r="21" spans="1:7" x14ac:dyDescent="0.2">
      <c r="A21" s="4">
        <v>20</v>
      </c>
      <c r="B21" t="s">
        <v>44</v>
      </c>
      <c r="C21" t="s">
        <v>23</v>
      </c>
      <c r="D21" t="s">
        <v>25</v>
      </c>
      <c r="E21" t="s">
        <v>40</v>
      </c>
      <c r="F21" t="s">
        <v>14</v>
      </c>
      <c r="G21" t="s">
        <v>14</v>
      </c>
    </row>
    <row r="22" spans="1:7" x14ac:dyDescent="0.2">
      <c r="A22" s="4">
        <v>21</v>
      </c>
      <c r="B22" t="s">
        <v>45</v>
      </c>
      <c r="C22" t="s">
        <v>23</v>
      </c>
      <c r="D22" t="s">
        <v>25</v>
      </c>
      <c r="E22" t="s">
        <v>40</v>
      </c>
      <c r="F22" t="s">
        <v>14</v>
      </c>
      <c r="G22" t="s">
        <v>14</v>
      </c>
    </row>
    <row r="23" spans="1:7" x14ac:dyDescent="0.2">
      <c r="A23" s="4">
        <v>22</v>
      </c>
      <c r="B23" t="s">
        <v>46</v>
      </c>
      <c r="C23" t="s">
        <v>23</v>
      </c>
      <c r="D23" t="s">
        <v>25</v>
      </c>
      <c r="E23" t="s">
        <v>40</v>
      </c>
      <c r="F23" t="s">
        <v>14</v>
      </c>
      <c r="G23" t="s">
        <v>14</v>
      </c>
    </row>
    <row r="24" spans="1:7" x14ac:dyDescent="0.2">
      <c r="A24" s="4">
        <v>23</v>
      </c>
      <c r="B24" t="s">
        <v>47</v>
      </c>
      <c r="C24" t="s">
        <v>23</v>
      </c>
      <c r="D24" t="s">
        <v>25</v>
      </c>
      <c r="E24" t="s">
        <v>40</v>
      </c>
      <c r="F24" t="s">
        <v>14</v>
      </c>
      <c r="G24" t="s">
        <v>14</v>
      </c>
    </row>
    <row r="25" spans="1:7" x14ac:dyDescent="0.2">
      <c r="A25" s="4">
        <v>24</v>
      </c>
      <c r="B25" t="s">
        <v>48</v>
      </c>
      <c r="C25" t="s">
        <v>23</v>
      </c>
      <c r="D25" t="s">
        <v>25</v>
      </c>
      <c r="E25" t="s">
        <v>26</v>
      </c>
      <c r="F25" t="s">
        <v>14</v>
      </c>
      <c r="G25" t="s">
        <v>14</v>
      </c>
    </row>
    <row r="26" spans="1:7" x14ac:dyDescent="0.2">
      <c r="A26" s="4">
        <v>25</v>
      </c>
      <c r="B26" t="s">
        <v>49</v>
      </c>
      <c r="C26" t="s">
        <v>23</v>
      </c>
      <c r="D26" t="s">
        <v>25</v>
      </c>
      <c r="E26" t="s">
        <v>26</v>
      </c>
      <c r="F26" t="s">
        <v>14</v>
      </c>
      <c r="G26" t="s">
        <v>14</v>
      </c>
    </row>
    <row r="27" spans="1:7" x14ac:dyDescent="0.2">
      <c r="A27" s="4">
        <v>26</v>
      </c>
      <c r="B27" t="s">
        <v>50</v>
      </c>
      <c r="C27" t="s">
        <v>23</v>
      </c>
      <c r="D27" t="s">
        <v>25</v>
      </c>
      <c r="E27" t="s">
        <v>26</v>
      </c>
      <c r="F27" t="s">
        <v>14</v>
      </c>
      <c r="G27" t="s">
        <v>14</v>
      </c>
    </row>
    <row r="28" spans="1:7" x14ac:dyDescent="0.2">
      <c r="A28">
        <v>27</v>
      </c>
      <c r="B28" t="s">
        <v>51</v>
      </c>
      <c r="C28" t="s">
        <v>52</v>
      </c>
      <c r="D28" t="s">
        <v>21</v>
      </c>
      <c r="F28" t="s">
        <v>13</v>
      </c>
      <c r="G28" t="s">
        <v>14</v>
      </c>
    </row>
    <row r="29" spans="1:7" x14ac:dyDescent="0.2">
      <c r="A29">
        <v>28</v>
      </c>
      <c r="B29" t="s">
        <v>53</v>
      </c>
      <c r="C29" t="s">
        <v>10</v>
      </c>
      <c r="D29" t="s">
        <v>21</v>
      </c>
      <c r="F29" t="s">
        <v>13</v>
      </c>
      <c r="G29" t="s">
        <v>14</v>
      </c>
    </row>
    <row r="30" spans="1:7" x14ac:dyDescent="0.2">
      <c r="A30">
        <v>29</v>
      </c>
      <c r="B30" t="s">
        <v>54</v>
      </c>
      <c r="C30" t="s">
        <v>18</v>
      </c>
      <c r="D30" t="s">
        <v>21</v>
      </c>
      <c r="F30" t="s">
        <v>13</v>
      </c>
      <c r="G30" t="s">
        <v>14</v>
      </c>
    </row>
    <row r="31" spans="1:7" x14ac:dyDescent="0.2">
      <c r="A31">
        <v>30</v>
      </c>
      <c r="B31" t="s">
        <v>55</v>
      </c>
      <c r="C31" t="s">
        <v>16</v>
      </c>
      <c r="D31" t="s">
        <v>21</v>
      </c>
      <c r="F31" t="s">
        <v>13</v>
      </c>
      <c r="G31" t="s">
        <v>14</v>
      </c>
    </row>
    <row r="32" spans="1:7" x14ac:dyDescent="0.2">
      <c r="A32">
        <v>31</v>
      </c>
      <c r="B32" t="s">
        <v>56</v>
      </c>
      <c r="C32" t="s">
        <v>23</v>
      </c>
      <c r="D32" t="s">
        <v>21</v>
      </c>
      <c r="F32" t="s">
        <v>13</v>
      </c>
      <c r="G32" t="s">
        <v>14</v>
      </c>
    </row>
    <row r="33" spans="1:7" x14ac:dyDescent="0.2">
      <c r="A33">
        <v>32</v>
      </c>
      <c r="B33" t="s">
        <v>57</v>
      </c>
      <c r="C33" t="s">
        <v>10</v>
      </c>
      <c r="D33" t="s">
        <v>21</v>
      </c>
      <c r="F33" t="s">
        <v>13</v>
      </c>
      <c r="G33" t="s">
        <v>14</v>
      </c>
    </row>
    <row r="34" spans="1:7" x14ac:dyDescent="0.2">
      <c r="A34">
        <v>33</v>
      </c>
      <c r="B34" t="s">
        <v>58</v>
      </c>
      <c r="C34" t="s">
        <v>18</v>
      </c>
      <c r="D34" t="s">
        <v>21</v>
      </c>
      <c r="F34" t="s">
        <v>13</v>
      </c>
      <c r="G34" t="s">
        <v>14</v>
      </c>
    </row>
    <row r="35" spans="1:7" x14ac:dyDescent="0.2">
      <c r="A35">
        <v>34</v>
      </c>
      <c r="B35" t="s">
        <v>59</v>
      </c>
      <c r="C35" t="s">
        <v>18</v>
      </c>
      <c r="D35" t="s">
        <v>60</v>
      </c>
      <c r="F35" t="s">
        <v>13</v>
      </c>
      <c r="G35" t="s">
        <v>14</v>
      </c>
    </row>
    <row r="36" spans="1:7" x14ac:dyDescent="0.2">
      <c r="A36">
        <v>35</v>
      </c>
      <c r="B36" t="s">
        <v>61</v>
      </c>
      <c r="C36" t="s">
        <v>18</v>
      </c>
      <c r="D36" t="s">
        <v>60</v>
      </c>
      <c r="F36" t="s">
        <v>13</v>
      </c>
      <c r="G36" t="s">
        <v>14</v>
      </c>
    </row>
    <row r="37" spans="1:7" x14ac:dyDescent="0.2">
      <c r="A37">
        <v>36</v>
      </c>
      <c r="B37" t="s">
        <v>62</v>
      </c>
      <c r="C37" t="s">
        <v>18</v>
      </c>
      <c r="D37" t="s">
        <v>60</v>
      </c>
      <c r="F37" t="s">
        <v>13</v>
      </c>
      <c r="G37" t="s">
        <v>14</v>
      </c>
    </row>
    <row r="38" spans="1:7" x14ac:dyDescent="0.2">
      <c r="A38">
        <v>37</v>
      </c>
      <c r="B38" t="s">
        <v>63</v>
      </c>
      <c r="C38" t="s">
        <v>18</v>
      </c>
      <c r="D38" t="s">
        <v>60</v>
      </c>
      <c r="F38" t="s">
        <v>13</v>
      </c>
      <c r="G38" t="s">
        <v>14</v>
      </c>
    </row>
    <row r="39" spans="1:7" x14ac:dyDescent="0.2">
      <c r="A39">
        <v>38</v>
      </c>
      <c r="B39" t="s">
        <v>64</v>
      </c>
      <c r="C39" t="s">
        <v>18</v>
      </c>
      <c r="D39" t="s">
        <v>60</v>
      </c>
      <c r="F39" t="s">
        <v>13</v>
      </c>
      <c r="G39" t="s">
        <v>14</v>
      </c>
    </row>
    <row r="40" spans="1:7" x14ac:dyDescent="0.2">
      <c r="A40">
        <v>39</v>
      </c>
      <c r="B40" t="s">
        <v>156</v>
      </c>
      <c r="C40" t="s">
        <v>18</v>
      </c>
      <c r="D40" t="s">
        <v>60</v>
      </c>
      <c r="F40" t="s">
        <v>13</v>
      </c>
      <c r="G40" t="s">
        <v>14</v>
      </c>
    </row>
    <row r="41" spans="1:7" x14ac:dyDescent="0.2">
      <c r="A41">
        <v>40</v>
      </c>
      <c r="B41" t="s">
        <v>157</v>
      </c>
      <c r="C41" t="s">
        <v>18</v>
      </c>
      <c r="D41" t="s">
        <v>60</v>
      </c>
      <c r="F41" t="s">
        <v>13</v>
      </c>
      <c r="G41" t="s">
        <v>14</v>
      </c>
    </row>
    <row r="42" spans="1:7" x14ac:dyDescent="0.2">
      <c r="A42">
        <v>41</v>
      </c>
      <c r="B42" t="s">
        <v>65</v>
      </c>
      <c r="C42" t="s">
        <v>18</v>
      </c>
      <c r="D42" t="s">
        <v>60</v>
      </c>
      <c r="F42" t="s">
        <v>13</v>
      </c>
      <c r="G42" t="s">
        <v>14</v>
      </c>
    </row>
    <row r="43" spans="1:7" x14ac:dyDescent="0.2">
      <c r="A43">
        <v>42</v>
      </c>
      <c r="B43" t="s">
        <v>66</v>
      </c>
      <c r="C43" t="s">
        <v>18</v>
      </c>
      <c r="D43" t="s">
        <v>60</v>
      </c>
      <c r="F43" t="s">
        <v>13</v>
      </c>
      <c r="G43" t="s">
        <v>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"/>
  <sheetViews>
    <sheetView workbookViewId="0"/>
  </sheetViews>
  <sheetFormatPr baseColWidth="10" defaultColWidth="8.83203125" defaultRowHeight="15" x14ac:dyDescent="0.2"/>
  <cols>
    <col min="1" max="2" width="25" customWidth="1"/>
  </cols>
  <sheetData>
    <row r="1" spans="1:2" x14ac:dyDescent="0.2">
      <c r="A1" s="2" t="s">
        <v>67</v>
      </c>
      <c r="B1" s="2" t="s">
        <v>68</v>
      </c>
    </row>
    <row r="2" spans="1:2" x14ac:dyDescent="0.2">
      <c r="A2" t="s">
        <v>69</v>
      </c>
      <c r="B2" t="s">
        <v>70</v>
      </c>
    </row>
    <row r="3" spans="1:2" x14ac:dyDescent="0.2">
      <c r="A3" t="s">
        <v>71</v>
      </c>
      <c r="B3" t="s">
        <v>72</v>
      </c>
    </row>
    <row r="4" spans="1:2" x14ac:dyDescent="0.2">
      <c r="A4" t="s">
        <v>73</v>
      </c>
      <c r="B4" s="5" t="s">
        <v>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7"/>
  <sheetViews>
    <sheetView workbookViewId="0"/>
  </sheetViews>
  <sheetFormatPr baseColWidth="10" defaultColWidth="8.83203125" defaultRowHeight="15" x14ac:dyDescent="0.2"/>
  <cols>
    <col min="1" max="1" width="5" customWidth="1"/>
    <col min="2" max="2" width="8" customWidth="1"/>
    <col min="3" max="4" width="25" customWidth="1"/>
    <col min="5" max="5" width="8" customWidth="1"/>
  </cols>
  <sheetData>
    <row r="1" spans="1:5" x14ac:dyDescent="0.2">
      <c r="A1" s="2" t="s">
        <v>1</v>
      </c>
      <c r="B1" s="2" t="s">
        <v>75</v>
      </c>
      <c r="C1" s="2" t="s">
        <v>76</v>
      </c>
      <c r="D1" s="2" t="s">
        <v>77</v>
      </c>
      <c r="E1" s="2" t="s">
        <v>7</v>
      </c>
    </row>
    <row r="2" spans="1:5" x14ac:dyDescent="0.2">
      <c r="A2">
        <v>1</v>
      </c>
      <c r="B2" t="s">
        <v>78</v>
      </c>
      <c r="C2" t="s">
        <v>9</v>
      </c>
      <c r="D2" t="s">
        <v>22</v>
      </c>
      <c r="E2" t="s">
        <v>14</v>
      </c>
    </row>
    <row r="3" spans="1:5" x14ac:dyDescent="0.2">
      <c r="A3">
        <v>2</v>
      </c>
      <c r="B3" t="s">
        <v>78</v>
      </c>
      <c r="C3" t="s">
        <v>9</v>
      </c>
      <c r="D3" t="s">
        <v>53</v>
      </c>
      <c r="E3" t="s">
        <v>14</v>
      </c>
    </row>
    <row r="4" spans="1:5" x14ac:dyDescent="0.2">
      <c r="A4">
        <v>3</v>
      </c>
      <c r="B4" t="s">
        <v>78</v>
      </c>
      <c r="C4" t="s">
        <v>9</v>
      </c>
      <c r="D4" t="s">
        <v>25</v>
      </c>
      <c r="E4" t="s">
        <v>14</v>
      </c>
    </row>
    <row r="5" spans="1:5" x14ac:dyDescent="0.2">
      <c r="A5">
        <v>4</v>
      </c>
      <c r="B5" t="s">
        <v>78</v>
      </c>
      <c r="C5" t="s">
        <v>22</v>
      </c>
      <c r="D5" t="s">
        <v>53</v>
      </c>
      <c r="E5" t="s">
        <v>14</v>
      </c>
    </row>
    <row r="6" spans="1:5" x14ac:dyDescent="0.2">
      <c r="A6">
        <v>5</v>
      </c>
      <c r="B6" t="s">
        <v>78</v>
      </c>
      <c r="C6" t="s">
        <v>22</v>
      </c>
      <c r="D6" t="s">
        <v>25</v>
      </c>
      <c r="E6" t="s">
        <v>14</v>
      </c>
    </row>
    <row r="7" spans="1:5" x14ac:dyDescent="0.2">
      <c r="A7">
        <v>6</v>
      </c>
      <c r="B7" t="s">
        <v>78</v>
      </c>
      <c r="C7" t="s">
        <v>53</v>
      </c>
      <c r="D7" t="s">
        <v>25</v>
      </c>
      <c r="E7" t="s">
        <v>14</v>
      </c>
    </row>
    <row r="8" spans="1:5" x14ac:dyDescent="0.2">
      <c r="A8">
        <v>7</v>
      </c>
      <c r="B8" t="s">
        <v>79</v>
      </c>
      <c r="C8" t="s">
        <v>9</v>
      </c>
      <c r="D8" t="s">
        <v>22</v>
      </c>
      <c r="E8" t="s">
        <v>14</v>
      </c>
    </row>
    <row r="9" spans="1:5" x14ac:dyDescent="0.2">
      <c r="A9">
        <v>8</v>
      </c>
      <c r="B9" t="s">
        <v>79</v>
      </c>
      <c r="C9" t="s">
        <v>9</v>
      </c>
      <c r="D9" t="s">
        <v>53</v>
      </c>
      <c r="E9" t="s">
        <v>14</v>
      </c>
    </row>
    <row r="10" spans="1:5" x14ac:dyDescent="0.2">
      <c r="A10">
        <v>9</v>
      </c>
      <c r="B10" t="s">
        <v>79</v>
      </c>
      <c r="C10" t="s">
        <v>9</v>
      </c>
      <c r="D10" t="s">
        <v>25</v>
      </c>
      <c r="E10" t="s">
        <v>14</v>
      </c>
    </row>
    <row r="11" spans="1:5" x14ac:dyDescent="0.2">
      <c r="A11">
        <v>10</v>
      </c>
      <c r="B11" t="s">
        <v>79</v>
      </c>
      <c r="C11" t="s">
        <v>22</v>
      </c>
      <c r="D11" t="s">
        <v>53</v>
      </c>
      <c r="E11" t="s">
        <v>14</v>
      </c>
    </row>
    <row r="12" spans="1:5" x14ac:dyDescent="0.2">
      <c r="A12">
        <v>11</v>
      </c>
      <c r="B12" t="s">
        <v>79</v>
      </c>
      <c r="C12" t="s">
        <v>22</v>
      </c>
      <c r="D12" t="s">
        <v>25</v>
      </c>
      <c r="E12" t="s">
        <v>14</v>
      </c>
    </row>
    <row r="13" spans="1:5" x14ac:dyDescent="0.2">
      <c r="A13">
        <v>12</v>
      </c>
      <c r="B13" t="s">
        <v>79</v>
      </c>
      <c r="C13" t="s">
        <v>53</v>
      </c>
      <c r="D13" t="s">
        <v>25</v>
      </c>
      <c r="E13" t="s">
        <v>14</v>
      </c>
    </row>
    <row r="14" spans="1:5" x14ac:dyDescent="0.2">
      <c r="A14">
        <v>13</v>
      </c>
      <c r="B14" t="s">
        <v>80</v>
      </c>
      <c r="C14" t="s">
        <v>15</v>
      </c>
      <c r="D14" t="s">
        <v>22</v>
      </c>
      <c r="E14" t="s">
        <v>14</v>
      </c>
    </row>
    <row r="15" spans="1:5" x14ac:dyDescent="0.2">
      <c r="A15">
        <v>14</v>
      </c>
      <c r="B15" t="s">
        <v>80</v>
      </c>
      <c r="C15" t="s">
        <v>15</v>
      </c>
      <c r="D15" t="s">
        <v>19</v>
      </c>
      <c r="E15" t="s">
        <v>14</v>
      </c>
    </row>
    <row r="16" spans="1:5" x14ac:dyDescent="0.2">
      <c r="A16">
        <v>15</v>
      </c>
      <c r="B16" t="s">
        <v>80</v>
      </c>
      <c r="C16" t="s">
        <v>15</v>
      </c>
      <c r="D16" t="s">
        <v>25</v>
      </c>
      <c r="E16" t="s">
        <v>14</v>
      </c>
    </row>
    <row r="17" spans="1:5" x14ac:dyDescent="0.2">
      <c r="A17">
        <v>16</v>
      </c>
      <c r="B17" t="s">
        <v>80</v>
      </c>
      <c r="C17" t="s">
        <v>22</v>
      </c>
      <c r="D17" t="s">
        <v>19</v>
      </c>
      <c r="E17" t="s">
        <v>14</v>
      </c>
    </row>
    <row r="18" spans="1:5" x14ac:dyDescent="0.2">
      <c r="A18">
        <v>17</v>
      </c>
      <c r="B18" t="s">
        <v>80</v>
      </c>
      <c r="C18" t="s">
        <v>22</v>
      </c>
      <c r="D18" t="s">
        <v>25</v>
      </c>
      <c r="E18" t="s">
        <v>14</v>
      </c>
    </row>
    <row r="19" spans="1:5" x14ac:dyDescent="0.2">
      <c r="A19">
        <v>18</v>
      </c>
      <c r="B19" t="s">
        <v>80</v>
      </c>
      <c r="C19" t="s">
        <v>19</v>
      </c>
      <c r="D19" t="s">
        <v>25</v>
      </c>
      <c r="E19" t="s">
        <v>14</v>
      </c>
    </row>
    <row r="20" spans="1:5" x14ac:dyDescent="0.2">
      <c r="A20">
        <v>19</v>
      </c>
      <c r="B20" t="s">
        <v>81</v>
      </c>
      <c r="C20" t="s">
        <v>15</v>
      </c>
      <c r="D20" t="s">
        <v>22</v>
      </c>
      <c r="E20" t="s">
        <v>14</v>
      </c>
    </row>
    <row r="21" spans="1:5" x14ac:dyDescent="0.2">
      <c r="A21">
        <v>20</v>
      </c>
      <c r="B21" t="s">
        <v>81</v>
      </c>
      <c r="C21" t="s">
        <v>15</v>
      </c>
      <c r="D21" t="s">
        <v>19</v>
      </c>
      <c r="E21" t="s">
        <v>14</v>
      </c>
    </row>
    <row r="22" spans="1:5" x14ac:dyDescent="0.2">
      <c r="A22">
        <v>21</v>
      </c>
      <c r="B22" t="s">
        <v>81</v>
      </c>
      <c r="C22" t="s">
        <v>15</v>
      </c>
      <c r="D22" t="s">
        <v>25</v>
      </c>
      <c r="E22" t="s">
        <v>14</v>
      </c>
    </row>
    <row r="23" spans="1:5" x14ac:dyDescent="0.2">
      <c r="A23">
        <v>22</v>
      </c>
      <c r="B23" t="s">
        <v>81</v>
      </c>
      <c r="C23" t="s">
        <v>22</v>
      </c>
      <c r="D23" t="s">
        <v>19</v>
      </c>
      <c r="E23" t="s">
        <v>14</v>
      </c>
    </row>
    <row r="24" spans="1:5" x14ac:dyDescent="0.2">
      <c r="A24">
        <v>23</v>
      </c>
      <c r="B24" t="s">
        <v>81</v>
      </c>
      <c r="C24" t="s">
        <v>22</v>
      </c>
      <c r="D24" t="s">
        <v>25</v>
      </c>
      <c r="E24" t="s">
        <v>14</v>
      </c>
    </row>
    <row r="25" spans="1:5" x14ac:dyDescent="0.2">
      <c r="A25">
        <v>24</v>
      </c>
      <c r="B25" t="s">
        <v>81</v>
      </c>
      <c r="C25" t="s">
        <v>19</v>
      </c>
      <c r="D25" t="s">
        <v>25</v>
      </c>
      <c r="E25" t="s">
        <v>14</v>
      </c>
    </row>
    <row r="26" spans="1:5" x14ac:dyDescent="0.2">
      <c r="A26">
        <v>25</v>
      </c>
      <c r="B26" t="s">
        <v>82</v>
      </c>
      <c r="C26" t="s">
        <v>17</v>
      </c>
      <c r="D26" t="s">
        <v>22</v>
      </c>
      <c r="E26" t="s">
        <v>14</v>
      </c>
    </row>
    <row r="27" spans="1:5" x14ac:dyDescent="0.2">
      <c r="A27">
        <v>26</v>
      </c>
      <c r="B27" t="s">
        <v>82</v>
      </c>
      <c r="C27" t="s">
        <v>17</v>
      </c>
      <c r="D27" t="s">
        <v>19</v>
      </c>
      <c r="E27" t="s">
        <v>14</v>
      </c>
    </row>
    <row r="28" spans="1:5" x14ac:dyDescent="0.2">
      <c r="A28">
        <v>27</v>
      </c>
      <c r="B28" t="s">
        <v>82</v>
      </c>
      <c r="C28" t="s">
        <v>17</v>
      </c>
      <c r="D28" t="s">
        <v>25</v>
      </c>
      <c r="E28" t="s">
        <v>14</v>
      </c>
    </row>
    <row r="29" spans="1:5" x14ac:dyDescent="0.2">
      <c r="A29">
        <v>28</v>
      </c>
      <c r="B29" t="s">
        <v>82</v>
      </c>
      <c r="C29" t="s">
        <v>22</v>
      </c>
      <c r="D29" t="s">
        <v>19</v>
      </c>
      <c r="E29" t="s">
        <v>14</v>
      </c>
    </row>
    <row r="30" spans="1:5" x14ac:dyDescent="0.2">
      <c r="A30">
        <v>29</v>
      </c>
      <c r="B30" t="s">
        <v>82</v>
      </c>
      <c r="C30" t="s">
        <v>22</v>
      </c>
      <c r="D30" t="s">
        <v>25</v>
      </c>
      <c r="E30" t="s">
        <v>14</v>
      </c>
    </row>
    <row r="31" spans="1:5" x14ac:dyDescent="0.2">
      <c r="A31">
        <v>30</v>
      </c>
      <c r="B31" t="s">
        <v>82</v>
      </c>
      <c r="C31" t="s">
        <v>19</v>
      </c>
      <c r="D31" t="s">
        <v>25</v>
      </c>
      <c r="E31" t="s">
        <v>14</v>
      </c>
    </row>
    <row r="32" spans="1:5" x14ac:dyDescent="0.2">
      <c r="A32">
        <v>31</v>
      </c>
      <c r="B32" t="s">
        <v>83</v>
      </c>
      <c r="C32" t="s">
        <v>17</v>
      </c>
      <c r="D32" t="s">
        <v>22</v>
      </c>
      <c r="E32" t="s">
        <v>14</v>
      </c>
    </row>
    <row r="33" spans="1:5" x14ac:dyDescent="0.2">
      <c r="A33">
        <v>32</v>
      </c>
      <c r="B33" t="s">
        <v>83</v>
      </c>
      <c r="C33" t="s">
        <v>17</v>
      </c>
      <c r="D33" t="s">
        <v>19</v>
      </c>
      <c r="E33" t="s">
        <v>14</v>
      </c>
    </row>
    <row r="34" spans="1:5" x14ac:dyDescent="0.2">
      <c r="A34">
        <v>33</v>
      </c>
      <c r="B34" t="s">
        <v>83</v>
      </c>
      <c r="C34" t="s">
        <v>17</v>
      </c>
      <c r="D34" t="s">
        <v>25</v>
      </c>
      <c r="E34" t="s">
        <v>14</v>
      </c>
    </row>
    <row r="35" spans="1:5" x14ac:dyDescent="0.2">
      <c r="A35">
        <v>34</v>
      </c>
      <c r="B35" t="s">
        <v>83</v>
      </c>
      <c r="C35" t="s">
        <v>22</v>
      </c>
      <c r="D35" t="s">
        <v>19</v>
      </c>
      <c r="E35" t="s">
        <v>14</v>
      </c>
    </row>
    <row r="36" spans="1:5" x14ac:dyDescent="0.2">
      <c r="A36">
        <v>35</v>
      </c>
      <c r="B36" t="s">
        <v>83</v>
      </c>
      <c r="C36" t="s">
        <v>22</v>
      </c>
      <c r="D36" t="s">
        <v>25</v>
      </c>
      <c r="E36" t="s">
        <v>14</v>
      </c>
    </row>
    <row r="37" spans="1:5" x14ac:dyDescent="0.2">
      <c r="A37">
        <v>36</v>
      </c>
      <c r="B37" t="s">
        <v>83</v>
      </c>
      <c r="C37" t="s">
        <v>19</v>
      </c>
      <c r="D37" t="s">
        <v>25</v>
      </c>
      <c r="E37" t="s">
        <v>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"/>
  <sheetViews>
    <sheetView workbookViewId="0">
      <selection activeCell="O17" sqref="O17"/>
    </sheetView>
  </sheetViews>
  <sheetFormatPr baseColWidth="10" defaultColWidth="8.83203125" defaultRowHeight="15" x14ac:dyDescent="0.2"/>
  <cols>
    <col min="1" max="1" width="8" customWidth="1"/>
    <col min="2" max="2" width="15" customWidth="1"/>
    <col min="3" max="3" width="12" customWidth="1"/>
    <col min="4" max="4" width="8" customWidth="1"/>
    <col min="5" max="5" width="18" customWidth="1"/>
    <col min="6" max="6" width="8" customWidth="1"/>
    <col min="7" max="8" width="10" customWidth="1"/>
    <col min="9" max="9" width="25" customWidth="1"/>
    <col min="10" max="10" width="6" customWidth="1"/>
    <col min="11" max="11" width="12" customWidth="1"/>
    <col min="12" max="12" width="6" customWidth="1"/>
    <col min="13" max="13" width="12" customWidth="1"/>
    <col min="14" max="14" width="15" customWidth="1"/>
  </cols>
  <sheetData>
    <row r="1" spans="1:14" x14ac:dyDescent="0.2">
      <c r="A1" s="2" t="s">
        <v>84</v>
      </c>
      <c r="B1" s="2" t="s">
        <v>85</v>
      </c>
      <c r="C1" s="2" t="s">
        <v>86</v>
      </c>
      <c r="D1" s="2" t="s">
        <v>75</v>
      </c>
      <c r="E1" s="2" t="s">
        <v>25</v>
      </c>
      <c r="F1" s="2" t="s">
        <v>87</v>
      </c>
      <c r="G1" s="2" t="s">
        <v>88</v>
      </c>
      <c r="H1" s="2" t="s">
        <v>89</v>
      </c>
      <c r="I1" s="2" t="s">
        <v>90</v>
      </c>
      <c r="J1" s="2" t="s">
        <v>91</v>
      </c>
      <c r="K1" s="2" t="s">
        <v>92</v>
      </c>
      <c r="L1" s="2" t="s">
        <v>93</v>
      </c>
      <c r="M1" s="2" t="s">
        <v>94</v>
      </c>
      <c r="N1" s="2" t="s">
        <v>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298"/>
  <sheetViews>
    <sheetView topLeftCell="A17" workbookViewId="0">
      <selection activeCell="B42" sqref="B42"/>
    </sheetView>
  </sheetViews>
  <sheetFormatPr baseColWidth="10" defaultColWidth="8.83203125" defaultRowHeight="15" x14ac:dyDescent="0.2"/>
  <cols>
    <col min="1" max="1" width="8" customWidth="1"/>
    <col min="2" max="2" width="25" customWidth="1"/>
    <col min="3" max="3" width="12" customWidth="1"/>
    <col min="4" max="6" width="10" customWidth="1"/>
    <col min="7" max="7" width="8" customWidth="1"/>
    <col min="8" max="11" width="12" customWidth="1"/>
    <col min="12" max="21" width="6" customWidth="1"/>
  </cols>
  <sheetData>
    <row r="1" spans="1:21" x14ac:dyDescent="0.2">
      <c r="A1" s="2" t="s">
        <v>96</v>
      </c>
      <c r="B1" s="2" t="s">
        <v>2</v>
      </c>
      <c r="C1" s="2" t="s">
        <v>97</v>
      </c>
      <c r="D1" s="2" t="s">
        <v>98</v>
      </c>
      <c r="E1" s="2" t="s">
        <v>99</v>
      </c>
      <c r="F1" s="2" t="s">
        <v>100</v>
      </c>
      <c r="G1" s="2" t="s">
        <v>101</v>
      </c>
      <c r="H1" s="2" t="s">
        <v>102</v>
      </c>
      <c r="I1" s="2" t="s">
        <v>103</v>
      </c>
      <c r="J1" s="2" t="s">
        <v>104</v>
      </c>
      <c r="K1" s="2" t="s">
        <v>105</v>
      </c>
      <c r="L1" s="2" t="s">
        <v>106</v>
      </c>
      <c r="M1" s="2" t="s">
        <v>107</v>
      </c>
      <c r="N1" s="2" t="s">
        <v>108</v>
      </c>
      <c r="O1" s="2" t="s">
        <v>109</v>
      </c>
      <c r="P1" s="2" t="s">
        <v>110</v>
      </c>
      <c r="Q1" s="2" t="s">
        <v>111</v>
      </c>
      <c r="R1" s="2" t="s">
        <v>112</v>
      </c>
      <c r="S1" s="2" t="s">
        <v>113</v>
      </c>
      <c r="T1" s="2" t="s">
        <v>114</v>
      </c>
      <c r="U1" s="2" t="s">
        <v>115</v>
      </c>
    </row>
    <row r="2" spans="1:21" x14ac:dyDescent="0.2">
      <c r="A2" t="s">
        <v>116</v>
      </c>
      <c r="B2" t="s">
        <v>117</v>
      </c>
      <c r="C2" t="s">
        <v>117</v>
      </c>
      <c r="D2">
        <f>SUMPRODUCT((DATOS!$G$2:$G$20000=CONFIG_METADATA!$B$4)*1)</f>
        <v>0</v>
      </c>
      <c r="E2" s="10" t="str">
        <f>IFERROR(SUMPRODUCT((DATOS!$G$2:$G$20000=CONFIG_METADATA!$B$4)*(DATOS!$K$2:$K$20000))/D2,"—")</f>
        <v>—</v>
      </c>
      <c r="F2" s="10" t="str" cm="1">
        <f t="array" ref="F2">IFERROR(_xlfn.STDEV.P(_xlfn._xlws.FILTER(DATOS!$K$2:$K$20000,DATOS!$G$2:$G$20000=CONFIG_METADATA!$B$4)),"—")</f>
        <v>—</v>
      </c>
      <c r="G2" t="str" cm="1">
        <f t="array" ref="G2">IFERROR(_xlfn.MODE.SNGL(_xlfn._xlws.FILTER(DATOS!$K$2:$K$20000,DATOS!$G$2:$G$20000=CONFIG_METADATA!$B$4)),"—")</f>
        <v>—</v>
      </c>
      <c r="H2" s="11" t="str">
        <f>IFERROR(SUMPRODUCT((DATOS!$G$2:$G$20000=CONFIG_METADATA!$B$4)*(DATOS!$L$2:$L$20000="S"))/D2,"—")</f>
        <v>—</v>
      </c>
      <c r="I2" s="11" t="str">
        <f>IFERROR(SUMPRODUCT((DATOS!$G$2:$G$20000=CONFIG_METADATA!$B$4)*(DATOS!$L$2:$L$20000="N"))/D2,"—")</f>
        <v>—</v>
      </c>
      <c r="J2" t="str" cm="1">
        <f t="array" ref="J2">IFERROR(_xlfn.MODE.SNGL(_xlfn._xlws.FILTER(DATOS!$K$2:$K$20000,(DATOS!$G$2:$G$20000=CONFIG_METADATA!$B$4)*(DATOS!$L$2:$L$20000="S"))),"—")</f>
        <v>—</v>
      </c>
      <c r="K2" t="str" cm="1">
        <f t="array" ref="K2">IFERROR(_xlfn.MODE.SNGL(_xlfn._xlws.FILTER(DATOS!$K$2:$K$20000,(DATOS!$G$2:$G$20000=CONFIG_METADATA!$B$4)*(DATOS!$L$2:$L$20000="N"))),"—")</f>
        <v>—</v>
      </c>
      <c r="L2">
        <f>SUMPRODUCT((DATOS!$G$2:$G$20000=CONFIG_METADATA!$B$4)*(DATOS!$K$2:$K$20000=1))</f>
        <v>0</v>
      </c>
      <c r="M2">
        <f>SUMPRODUCT((DATOS!$G$2:$G$20000=CONFIG_METADATA!$B$4)*(DATOS!$K$2:$K$20000=2))</f>
        <v>0</v>
      </c>
      <c r="N2">
        <f>SUMPRODUCT((DATOS!$G$2:$G$20000=CONFIG_METADATA!$B$4)*(DATOS!$K$2:$K$20000=3))</f>
        <v>0</v>
      </c>
      <c r="O2">
        <f>SUMPRODUCT((DATOS!$G$2:$G$20000=CONFIG_METADATA!$B$4)*(DATOS!$K$2:$K$20000=4))</f>
        <v>0</v>
      </c>
      <c r="P2">
        <f>SUMPRODUCT((DATOS!$G$2:$G$20000=CONFIG_METADATA!$B$4)*(DATOS!$K$2:$K$20000=5))</f>
        <v>0</v>
      </c>
      <c r="Q2">
        <f>SUMPRODUCT((DATOS!$G$2:$G$20000=CONFIG_METADATA!$B$4)*(DATOS!$K$2:$K$20000=6))</f>
        <v>0</v>
      </c>
      <c r="R2">
        <f>SUMPRODUCT((DATOS!$G$2:$G$20000=CONFIG_METADATA!$B$4)*(DATOS!$K$2:$K$20000=7))</f>
        <v>0</v>
      </c>
      <c r="S2">
        <f>SUMPRODUCT((DATOS!$G$2:$G$20000=CONFIG_METADATA!$B$4)*(DATOS!$K$2:$K$20000=8))</f>
        <v>0</v>
      </c>
      <c r="T2">
        <f>SUMPRODUCT((DATOS!$G$2:$G$20000=CONFIG_METADATA!$B$4)*(DATOS!$K$2:$K$20000=9))</f>
        <v>0</v>
      </c>
      <c r="U2">
        <f>SUMPRODUCT((DATOS!$G$2:$G$20000=CONFIG_METADATA!$B$4)*(DATOS!$K$2:$K$20000=10))</f>
        <v>0</v>
      </c>
    </row>
    <row r="3" spans="1:21" x14ac:dyDescent="0.2">
      <c r="A3" t="s">
        <v>116</v>
      </c>
      <c r="B3" t="s">
        <v>118</v>
      </c>
      <c r="C3" t="s">
        <v>119</v>
      </c>
      <c r="D3">
        <f>SUMPRODUCT((DATOS!$G$2:$G$20000=CONFIG_METADATA!$B$4)*(COUNTIF(CONFIG_ASIGNATURAS!$B$7:$B$27,DATOS!$I$2:$I$20000)&gt;0))</f>
        <v>0</v>
      </c>
      <c r="E3" s="10" t="str">
        <f>IFERROR(SUMPRODUCT((DATOS!$G$2:$G$20000=CONFIG_METADATA!$B$4)*(COUNTIF(CONFIG_ASIGNATURAS!$B$7:$B$27,DATOS!$I$2:$I$20000)&gt;0)*(DATOS!$K$2:$K$20000))/D3,"—")</f>
        <v>—</v>
      </c>
      <c r="F3" s="10" t="str" cm="1">
        <f t="array" ref="F3">IFERROR(_xlfn.STDEV.P(_xlfn._xlws.FILTER(DATOS!$K$2:$K$20000,(DATOS!$G$2:$G$20000=CONFIG_METADATA!$B$4)*(COUNTIF(CONFIG_ASIGNATURAS!$B$7:$B$27,DATOS!$I$2:$I$20000)&gt;0))),"—")</f>
        <v>—</v>
      </c>
      <c r="G3" t="str" cm="1">
        <f t="array" ref="G3">IFERROR(_xlfn.MODE.SNGL(_xlfn._xlws.FILTER(DATOS!$K$2:$K$20000,(DATOS!$G$2:$G$20000=CONFIG_METADATA!$B$4)*(COUNTIF(CONFIG_ASIGNATURAS!$B$7:$B$27,DATOS!$I$2:$I$20000)&gt;0))),"—")</f>
        <v>—</v>
      </c>
      <c r="H3" s="11" t="str">
        <f>IFERROR(SUMPRODUCT((DATOS!$G$2:$G$20000=CONFIG_METADATA!$B$4)*(COUNTIF(CONFIG_ASIGNATURAS!$B$7:$B$27,DATOS!$I$2:$I$20000)&gt;0)*(DATOS!$L$2:$L$20000="S"))/D3,"—")</f>
        <v>—</v>
      </c>
      <c r="I3" s="11" t="str">
        <f>IFERROR(SUMPRODUCT((DATOS!$G$2:$G$20000=CONFIG_METADATA!$B$4)*(COUNTIF(CONFIG_ASIGNATURAS!$B$7:$B$27,DATOS!$I$2:$I$20000)&gt;0)*(DATOS!$L$2:$L$20000="N"))/D3,"—")</f>
        <v>—</v>
      </c>
      <c r="J3" t="str" cm="1">
        <f t="array" ref="J3">IFERROR(_xlfn.MODE.SNGL(_xlfn._xlws.FILTER(DATOS!$K$2:$K$20000,(DATOS!$G$2:$G$20000=CONFIG_METADATA!$B$4)*(COUNTIF(CONFIG_ASIGNATURAS!$B$7:$B$27,DATOS!$I$2:$I$20000)&gt;0)*(DATOS!$L$2:$L$20000="S"))),"—")</f>
        <v>—</v>
      </c>
      <c r="K3" t="str" cm="1">
        <f t="array" ref="K3">IFERROR(_xlfn.MODE.SNGL(_xlfn._xlws.FILTER(DATOS!$K$2:$K$20000,(DATOS!$G$2:$G$20000=CONFIG_METADATA!$B$4)*(COUNTIF(CONFIG_ASIGNATURAS!$B$7:$B$27,DATOS!$I$2:$I$20000)&gt;0)*(DATOS!$L$2:$L$20000="N"))),"—")</f>
        <v>—</v>
      </c>
      <c r="L3">
        <f>SUMPRODUCT((DATOS!$G$2:$G$20000=CONFIG_METADATA!$B$4)*(COUNTIF(CONFIG_ASIGNATURAS!$B$7:$B$27,DATOS!$I$2:$I$20000)&gt;0)*(DATOS!$K$2:$K$20000=1))</f>
        <v>0</v>
      </c>
      <c r="M3">
        <f>SUMPRODUCT((DATOS!$G$2:$G$20000=CONFIG_METADATA!$B$4)*(COUNTIF(CONFIG_ASIGNATURAS!$B$7:$B$27,DATOS!$I$2:$I$20000)&gt;0)*(DATOS!$K$2:$K$20000=2))</f>
        <v>0</v>
      </c>
      <c r="N3">
        <f>SUMPRODUCT((DATOS!$G$2:$G$20000=CONFIG_METADATA!$B$4)*(COUNTIF(CONFIG_ASIGNATURAS!$B$7:$B$27,DATOS!$I$2:$I$20000)&gt;0)*(DATOS!$K$2:$K$20000=3))</f>
        <v>0</v>
      </c>
      <c r="O3">
        <f>SUMPRODUCT((DATOS!$G$2:$G$20000=CONFIG_METADATA!$B$4)*(COUNTIF(CONFIG_ASIGNATURAS!$B$7:$B$27,DATOS!$I$2:$I$20000)&gt;0)*(DATOS!$K$2:$K$20000=4))</f>
        <v>0</v>
      </c>
      <c r="P3">
        <f>SUMPRODUCT((DATOS!$G$2:$G$20000=CONFIG_METADATA!$B$4)*(COUNTIF(CONFIG_ASIGNATURAS!$B$7:$B$27,DATOS!$I$2:$I$20000)&gt;0)*(DATOS!$K$2:$K$20000=5))</f>
        <v>0</v>
      </c>
      <c r="Q3">
        <f>SUMPRODUCT((DATOS!$G$2:$G$20000=CONFIG_METADATA!$B$4)*(COUNTIF(CONFIG_ASIGNATURAS!$B$7:$B$27,DATOS!$I$2:$I$20000)&gt;0)*(DATOS!$K$2:$K$20000=6))</f>
        <v>0</v>
      </c>
      <c r="R3">
        <f>SUMPRODUCT((DATOS!$G$2:$G$20000=CONFIG_METADATA!$B$4)*(COUNTIF(CONFIG_ASIGNATURAS!$B$7:$B$27,DATOS!$I$2:$I$20000)&gt;0)*(DATOS!$K$2:$K$20000=7))</f>
        <v>0</v>
      </c>
      <c r="S3">
        <f>SUMPRODUCT((DATOS!$G$2:$G$20000=CONFIG_METADATA!$B$4)*(COUNTIF(CONFIG_ASIGNATURAS!$B$7:$B$27,DATOS!$I$2:$I$20000)&gt;0)*(DATOS!$K$2:$K$20000=8))</f>
        <v>0</v>
      </c>
      <c r="T3">
        <f>SUMPRODUCT((DATOS!$G$2:$G$20000=CONFIG_METADATA!$B$4)*(COUNTIF(CONFIG_ASIGNATURAS!$B$7:$B$27,DATOS!$I$2:$I$20000)&gt;0)*(DATOS!$K$2:$K$20000=9))</f>
        <v>0</v>
      </c>
      <c r="U3">
        <f>SUMPRODUCT((DATOS!$G$2:$G$20000=CONFIG_METADATA!$B$4)*(COUNTIF(CONFIG_ASIGNATURAS!$B$7:$B$27,DATOS!$I$2:$I$20000)&gt;0)*(DATOS!$K$2:$K$20000=10))</f>
        <v>0</v>
      </c>
    </row>
    <row r="4" spans="1:21" x14ac:dyDescent="0.2">
      <c r="A4" t="s">
        <v>116</v>
      </c>
      <c r="B4" t="s">
        <v>120</v>
      </c>
      <c r="C4" t="s">
        <v>121</v>
      </c>
      <c r="D4">
        <f>SUMPRODUCT((DATOS!$G$2:$G$20000=CONFIG_METADATA!$B$4)*(COUNTIF(CONFIG_ASIGNATURAS!$B$7:$B$27,DATOS!$I$2:$I$20000)=0))</f>
        <v>0</v>
      </c>
      <c r="E4" s="10" t="str">
        <f>IFERROR(SUMPRODUCT((DATOS!$G$2:$G$20000=CONFIG_METADATA!$B$4)*(COUNTIF(CONFIG_ASIGNATURAS!$B$7:$B$27,DATOS!$I$2:$I$20000)=0)*(DATOS!$K$2:$K$20000))/D4,"—")</f>
        <v>—</v>
      </c>
      <c r="F4" s="10" t="str" cm="1">
        <f t="array" ref="F4">IFERROR(_xlfn.STDEV.P(_xlfn._xlws.FILTER(DATOS!$K$2:$K$20000,(DATOS!$G$2:$G$20000=CONFIG_METADATA!$B$4)*(COUNTIF(CONFIG_ASIGNATURAS!$B$7:$B$27,DATOS!$I$2:$I$20000)=0))),"—")</f>
        <v>—</v>
      </c>
      <c r="G4" t="str" cm="1">
        <f t="array" ref="G4">IFERROR(_xlfn.MODE.SNGL(_xlfn._xlws.FILTER(DATOS!$K$2:$K$20000,(DATOS!$G$2:$G$20000=CONFIG_METADATA!$B$4)*(COUNTIF(CONFIG_ASIGNATURAS!$B$7:$B$27,DATOS!$I$2:$I$20000)=0))),"—")</f>
        <v>—</v>
      </c>
      <c r="H4" s="11" t="str">
        <f>IFERROR(SUMPRODUCT((DATOS!$G$2:$G$20000=CONFIG_METADATA!$B$4)*(COUNTIF(CONFIG_ASIGNATURAS!$B$7:$B$27,DATOS!$I$2:$I$20000)=0)*(DATOS!$L$2:$L$20000="S"))/D4,"—")</f>
        <v>—</v>
      </c>
      <c r="I4" s="11" t="str">
        <f>IFERROR(SUMPRODUCT((DATOS!$G$2:$G$20000=CONFIG_METADATA!$B$4)*(COUNTIF(CONFIG_ASIGNATURAS!$B$7:$B$27,DATOS!$I$2:$I$20000)=0)*(DATOS!$L$2:$L$20000="N"))/D4,"—")</f>
        <v>—</v>
      </c>
      <c r="J4" t="str" cm="1">
        <f t="array" ref="J4">IFERROR(_xlfn.MODE.SNGL(_xlfn._xlws.FILTER(DATOS!$K$2:$K$20000,(DATOS!$G$2:$G$20000=CONFIG_METADATA!$B$4)*(COUNTIF(CONFIG_ASIGNATURAS!$B$7:$B$27,DATOS!$I$2:$I$20000)=0)*(DATOS!$L$2:$L$20000="S"))),"—")</f>
        <v>—</v>
      </c>
      <c r="K4" t="str" cm="1">
        <f t="array" ref="K4">IFERROR(_xlfn.MODE.SNGL(_xlfn._xlws.FILTER(DATOS!$K$2:$K$20000,(DATOS!$G$2:$G$20000=CONFIG_METADATA!$B$4)*(COUNTIF(CONFIG_ASIGNATURAS!$B$7:$B$27,DATOS!$I$2:$I$20000)=0)*(DATOS!$L$2:$L$20000="N"))),"—")</f>
        <v>—</v>
      </c>
      <c r="L4">
        <f>SUMPRODUCT((DATOS!$G$2:$G$20000=CONFIG_METADATA!$B$4)*(COUNTIF(CONFIG_ASIGNATURAS!$B$7:$B$27,DATOS!$I$2:$I$20000)=0)*(DATOS!$K$2:$K$20000=1))</f>
        <v>0</v>
      </c>
      <c r="M4">
        <f>SUMPRODUCT((DATOS!$G$2:$G$20000=CONFIG_METADATA!$B$4)*(COUNTIF(CONFIG_ASIGNATURAS!$B$7:$B$27,DATOS!$I$2:$I$20000)=0)*(DATOS!$K$2:$K$20000=2))</f>
        <v>0</v>
      </c>
      <c r="N4">
        <f>SUMPRODUCT((DATOS!$G$2:$G$20000=CONFIG_METADATA!$B$4)*(COUNTIF(CONFIG_ASIGNATURAS!$B$7:$B$27,DATOS!$I$2:$I$20000)=0)*(DATOS!$K$2:$K$20000=3))</f>
        <v>0</v>
      </c>
      <c r="O4">
        <f>SUMPRODUCT((DATOS!$G$2:$G$20000=CONFIG_METADATA!$B$4)*(COUNTIF(CONFIG_ASIGNATURAS!$B$7:$B$27,DATOS!$I$2:$I$20000)=0)*(DATOS!$K$2:$K$20000=4))</f>
        <v>0</v>
      </c>
      <c r="P4">
        <f>SUMPRODUCT((DATOS!$G$2:$G$20000=CONFIG_METADATA!$B$4)*(COUNTIF(CONFIG_ASIGNATURAS!$B$7:$B$27,DATOS!$I$2:$I$20000)=0)*(DATOS!$K$2:$K$20000=5))</f>
        <v>0</v>
      </c>
      <c r="Q4">
        <f>SUMPRODUCT((DATOS!$G$2:$G$20000=CONFIG_METADATA!$B$4)*(COUNTIF(CONFIG_ASIGNATURAS!$B$7:$B$27,DATOS!$I$2:$I$20000)=0)*(DATOS!$K$2:$K$20000=6))</f>
        <v>0</v>
      </c>
      <c r="R4">
        <f>SUMPRODUCT((DATOS!$G$2:$G$20000=CONFIG_METADATA!$B$4)*(COUNTIF(CONFIG_ASIGNATURAS!$B$7:$B$27,DATOS!$I$2:$I$20000)=0)*(DATOS!$K$2:$K$20000=7))</f>
        <v>0</v>
      </c>
      <c r="S4">
        <f>SUMPRODUCT((DATOS!$G$2:$G$20000=CONFIG_METADATA!$B$4)*(COUNTIF(CONFIG_ASIGNATURAS!$B$7:$B$27,DATOS!$I$2:$I$20000)=0)*(DATOS!$K$2:$K$20000=8))</f>
        <v>0</v>
      </c>
      <c r="T4">
        <f>SUMPRODUCT((DATOS!$G$2:$G$20000=CONFIG_METADATA!$B$4)*(COUNTIF(CONFIG_ASIGNATURAS!$B$7:$B$27,DATOS!$I$2:$I$20000)=0)*(DATOS!$K$2:$K$20000=9))</f>
        <v>0</v>
      </c>
      <c r="U4">
        <f>SUMPRODUCT((DATOS!$G$2:$G$20000=CONFIG_METADATA!$B$4)*(COUNTIF(CONFIG_ASIGNATURAS!$B$7:$B$27,DATOS!$I$2:$I$20000)=0)*(DATOS!$K$2:$K$20000=10))</f>
        <v>0</v>
      </c>
    </row>
    <row r="5" spans="1:21" x14ac:dyDescent="0.2">
      <c r="A5" t="s">
        <v>116</v>
      </c>
      <c r="B5" t="s">
        <v>122</v>
      </c>
      <c r="C5" t="s">
        <v>12</v>
      </c>
      <c r="D5">
        <f>SUMPRODUCT((DATOS!$G$2:$G$20000=CONFIG_METADATA!$B$4)*((DATOS!$I$2:$I$20000="Lenguaje Musical")+(DATOS!$I$2:$I$20000="Armonía")+(DATOS!$I$2:$I$20000="Análisis")))</f>
        <v>0</v>
      </c>
      <c r="E5" s="10" t="str">
        <f>IFERROR(SUMPRODUCT((DATOS!$G$2:$G$20000=CONFIG_METADATA!$B$4)*((DATOS!$I$2:$I$20000="Lenguaje Musical")+(DATOS!$I$2:$I$20000="Armonía")+(DATOS!$I$2:$I$20000="Análisis"))*(DATOS!$K$2:$K$20000))/D5,"—")</f>
        <v>—</v>
      </c>
      <c r="F5" s="10" t="str" cm="1">
        <f t="array" ref="F5">IFERROR(_xlfn.STDEV.P(_xlfn._xlws.FILTER(DATOS!$K$2:$K$20000,(DATOS!$G$2:$G$20000=CONFIG_METADATA!$B$4)*((DATOS!$I$2:$I$20000="Lenguaje Musical")+(DATOS!$I$2:$I$20000="Armonía")+(DATOS!$I$2:$I$20000="Análisis")))),"—")</f>
        <v>—</v>
      </c>
      <c r="G5" t="str" cm="1">
        <f t="array" ref="G5">IFERROR(_xlfn.MODE.SNGL(_xlfn._xlws.FILTER(DATOS!$K$2:$K$20000,(DATOS!$G$2:$G$20000=CONFIG_METADATA!$B$4)*((DATOS!$I$2:$I$20000="Lenguaje Musical")+(DATOS!$I$2:$I$20000="Armonía")+(DATOS!$I$2:$I$20000="Análisis")))),"—")</f>
        <v>—</v>
      </c>
      <c r="H5" s="11" t="str">
        <f>IFERROR(SUMPRODUCT((DATOS!$G$2:$G$20000=CONFIG_METADATA!$B$4)*((DATOS!$I$2:$I$20000="Lenguaje Musical")+(DATOS!$I$2:$I$20000="Armonía")+(DATOS!$I$2:$I$20000="Análisis"))*(DATOS!$L$2:$L$20000="S"))/D5,"—")</f>
        <v>—</v>
      </c>
      <c r="I5" s="11" t="str">
        <f>IFERROR(SUMPRODUCT((DATOS!$G$2:$G$20000=CONFIG_METADATA!$B$4)*((DATOS!$I$2:$I$20000="Lenguaje Musical")+(DATOS!$I$2:$I$20000="Armonía")+(DATOS!$I$2:$I$20000="Análisis"))*(DATOS!$L$2:$L$20000="N"))/D5,"—")</f>
        <v>—</v>
      </c>
      <c r="J5" t="str" cm="1">
        <f t="array" ref="J5">IFERROR(_xlfn.MODE.SNGL(_xlfn._xlws.FILTER(DATOS!$K$2:$K$20000,(DATOS!$G$2:$G$20000=CONFIG_METADATA!$B$4)*((DATOS!$I$2:$I$20000="Lenguaje Musical")+(DATOS!$I$2:$I$20000="Armonía")+(DATOS!$I$2:$I$20000="Análisis"))*(DATOS!$L$2:$L$20000="S"))),"—")</f>
        <v>—</v>
      </c>
      <c r="K5" t="str" cm="1">
        <f t="array" ref="K5">IFERROR(_xlfn.MODE.SNGL(_xlfn._xlws.FILTER(DATOS!$K$2:$K$20000,(DATOS!$G$2:$G$20000=CONFIG_METADATA!$B$4)*((DATOS!$I$2:$I$20000="Lenguaje Musical")+(DATOS!$I$2:$I$20000="Armonía")+(DATOS!$I$2:$I$20000="Análisis"))*(DATOS!$L$2:$L$20000="N"))),"—")</f>
        <v>—</v>
      </c>
      <c r="L5">
        <f>SUMPRODUCT((DATOS!$G$2:$G$20000=CONFIG_METADATA!$B$4)*((DATOS!$I$2:$I$20000="Lenguaje Musical")+(DATOS!$I$2:$I$20000="Armonía")+(DATOS!$I$2:$I$20000="Análisis"))*(DATOS!$K$2:$K$20000=1))</f>
        <v>0</v>
      </c>
      <c r="M5">
        <f>SUMPRODUCT((DATOS!$G$2:$G$20000=CONFIG_METADATA!$B$4)*((DATOS!$I$2:$I$20000="Lenguaje Musical")+(DATOS!$I$2:$I$20000="Armonía")+(DATOS!$I$2:$I$20000="Análisis"))*(DATOS!$K$2:$K$20000=2))</f>
        <v>0</v>
      </c>
      <c r="N5">
        <f>SUMPRODUCT((DATOS!$G$2:$G$20000=CONFIG_METADATA!$B$4)*((DATOS!$I$2:$I$20000="Lenguaje Musical")+(DATOS!$I$2:$I$20000="Armonía")+(DATOS!$I$2:$I$20000="Análisis"))*(DATOS!$K$2:$K$20000=3))</f>
        <v>0</v>
      </c>
      <c r="O5">
        <f>SUMPRODUCT((DATOS!$G$2:$G$20000=CONFIG_METADATA!$B$4)*((DATOS!$I$2:$I$20000="Lenguaje Musical")+(DATOS!$I$2:$I$20000="Armonía")+(DATOS!$I$2:$I$20000="Análisis"))*(DATOS!$K$2:$K$20000=4))</f>
        <v>0</v>
      </c>
      <c r="P5">
        <f>SUMPRODUCT((DATOS!$G$2:$G$20000=CONFIG_METADATA!$B$4)*((DATOS!$I$2:$I$20000="Lenguaje Musical")+(DATOS!$I$2:$I$20000="Armonía")+(DATOS!$I$2:$I$20000="Análisis"))*(DATOS!$K$2:$K$20000=5))</f>
        <v>0</v>
      </c>
      <c r="Q5">
        <f>SUMPRODUCT((DATOS!$G$2:$G$20000=CONFIG_METADATA!$B$4)*((DATOS!$I$2:$I$20000="Lenguaje Musical")+(DATOS!$I$2:$I$20000="Armonía")+(DATOS!$I$2:$I$20000="Análisis"))*(DATOS!$K$2:$K$20000=6))</f>
        <v>0</v>
      </c>
      <c r="R5">
        <f>SUMPRODUCT((DATOS!$G$2:$G$20000=CONFIG_METADATA!$B$4)*((DATOS!$I$2:$I$20000="Lenguaje Musical")+(DATOS!$I$2:$I$20000="Armonía")+(DATOS!$I$2:$I$20000="Análisis"))*(DATOS!$K$2:$K$20000=7))</f>
        <v>0</v>
      </c>
      <c r="S5">
        <f>SUMPRODUCT((DATOS!$G$2:$G$20000=CONFIG_METADATA!$B$4)*((DATOS!$I$2:$I$20000="Lenguaje Musical")+(DATOS!$I$2:$I$20000="Armonía")+(DATOS!$I$2:$I$20000="Análisis"))*(DATOS!$K$2:$K$20000=8))</f>
        <v>0</v>
      </c>
      <c r="T5">
        <f>SUMPRODUCT((DATOS!$G$2:$G$20000=CONFIG_METADATA!$B$4)*((DATOS!$I$2:$I$20000="Lenguaje Musical")+(DATOS!$I$2:$I$20000="Armonía")+(DATOS!$I$2:$I$20000="Análisis"))*(DATOS!$K$2:$K$20000=9))</f>
        <v>0</v>
      </c>
      <c r="U5">
        <f>SUMPRODUCT((DATOS!$G$2:$G$20000=CONFIG_METADATA!$B$4)*((DATOS!$I$2:$I$20000="Lenguaje Musical")+(DATOS!$I$2:$I$20000="Armonía")+(DATOS!$I$2:$I$20000="Análisis"))*(DATOS!$K$2:$K$20000=10))</f>
        <v>0</v>
      </c>
    </row>
    <row r="6" spans="1:21" x14ac:dyDescent="0.2">
      <c r="A6" t="s">
        <v>116</v>
      </c>
      <c r="B6" t="s">
        <v>19</v>
      </c>
      <c r="C6" t="s">
        <v>2</v>
      </c>
      <c r="D6">
        <f>SUMPRODUCT((DATOS!$G$2:$G$20000=CONFIG_METADATA!$B$4)*(DATOS!$I$2:$I$20000=B6))</f>
        <v>0</v>
      </c>
      <c r="E6" s="10" t="str">
        <f>IFERROR(SUMPRODUCT((DATOS!$G$2:$G$20000=CONFIG_METADATA!$B$4)*(DATOS!$I$2:$I$20000=B6)*(DATOS!$K$2:$K$20000))/D6,"—")</f>
        <v>—</v>
      </c>
      <c r="F6" s="10" t="str" cm="1">
        <f t="array" ref="F6">IFERROR(_xlfn.STDEV.P(_xlfn._xlws.FILTER(DATOS!$K$2:$K$20000,(DATOS!$G$2:$G$20000=CONFIG_METADATA!$B$4)*(DATOS!$I$2:$I$20000=B6))),"—")</f>
        <v>—</v>
      </c>
      <c r="G6" t="str" cm="1">
        <f t="array" ref="G6">IFERROR(_xlfn.MODE.SNGL(_xlfn._xlws.FILTER(DATOS!$K$2:$K$20000,(DATOS!$G$2:$G$20000=CONFIG_METADATA!$B$4)*(DATOS!$I$2:$I$20000=B6))),"—")</f>
        <v>—</v>
      </c>
      <c r="H6" s="11" t="str">
        <f>IFERROR(SUMPRODUCT((DATOS!$G$2:$G$20000=CONFIG_METADATA!$B$4)*(DATOS!$I$2:$I$20000=B6)*(DATOS!$L$2:$L$20000="S"))/D6,"—")</f>
        <v>—</v>
      </c>
      <c r="I6" s="11" t="str">
        <f>IFERROR(SUMPRODUCT((DATOS!$G$2:$G$20000=CONFIG_METADATA!$B$4)*(DATOS!$I$2:$I$20000=B6)*(DATOS!$L$2:$L$20000="N"))/D6,"—")</f>
        <v>—</v>
      </c>
      <c r="J6" t="str" cm="1">
        <f t="array" ref="J6">IFERROR(_xlfn.MODE.SNGL(_xlfn._xlws.FILTER(DATOS!$K$2:$K$20000,(DATOS!$G$2:$G$20000=CONFIG_METADATA!$B$4)*(DATOS!$I$2:$I$20000=B6)*(DATOS!$L$2:$L$20000="S"))),"—")</f>
        <v>—</v>
      </c>
      <c r="K6" t="str" cm="1">
        <f t="array" ref="K6">IFERROR(_xlfn.MODE.SNGL(_xlfn._xlws.FILTER(DATOS!$K$2:$K$20000,(DATOS!$G$2:$G$20000=CONFIG_METADATA!$B$4)*(DATOS!$I$2:$I$20000=B6)*(DATOS!$L$2:$L$20000="N"))),"—")</f>
        <v>—</v>
      </c>
      <c r="L6">
        <f>SUMPRODUCT((DATOS!$G$2:$G$20000=CONFIG_METADATA!$B$4)*(DATOS!$I$2:$I$20000=B6)*(DATOS!$K$2:$K$20000=1))</f>
        <v>0</v>
      </c>
      <c r="M6">
        <f>SUMPRODUCT((DATOS!$G$2:$G$20000=CONFIG_METADATA!$B$4)*(DATOS!$I$2:$I$20000=B6)*(DATOS!$K$2:$K$20000=2))</f>
        <v>0</v>
      </c>
      <c r="N6">
        <f>SUMPRODUCT((DATOS!$G$2:$G$20000=CONFIG_METADATA!$B$4)*(DATOS!$I$2:$I$20000=B6)*(DATOS!$K$2:$K$20000=3))</f>
        <v>0</v>
      </c>
      <c r="O6">
        <f>SUMPRODUCT((DATOS!$G$2:$G$20000=CONFIG_METADATA!$B$4)*(DATOS!$I$2:$I$20000=B6)*(DATOS!$K$2:$K$20000=4))</f>
        <v>0</v>
      </c>
      <c r="P6">
        <f>SUMPRODUCT((DATOS!$G$2:$G$20000=CONFIG_METADATA!$B$4)*(DATOS!$I$2:$I$20000=B6)*(DATOS!$K$2:$K$20000=5))</f>
        <v>0</v>
      </c>
      <c r="Q6">
        <f>SUMPRODUCT((DATOS!$G$2:$G$20000=CONFIG_METADATA!$B$4)*(DATOS!$I$2:$I$20000=B6)*(DATOS!$K$2:$K$20000=6))</f>
        <v>0</v>
      </c>
      <c r="R6">
        <f>SUMPRODUCT((DATOS!$G$2:$G$20000=CONFIG_METADATA!$B$4)*(DATOS!$I$2:$I$20000=B6)*(DATOS!$K$2:$K$20000=7))</f>
        <v>0</v>
      </c>
      <c r="S6">
        <f>SUMPRODUCT((DATOS!$G$2:$G$20000=CONFIG_METADATA!$B$4)*(DATOS!$I$2:$I$20000=B6)*(DATOS!$K$2:$K$20000=8))</f>
        <v>0</v>
      </c>
      <c r="T6">
        <f>SUMPRODUCT((DATOS!$G$2:$G$20000=CONFIG_METADATA!$B$4)*(DATOS!$I$2:$I$20000=B6)*(DATOS!$K$2:$K$20000=9))</f>
        <v>0</v>
      </c>
      <c r="U6">
        <f>SUMPRODUCT((DATOS!$G$2:$G$20000=CONFIG_METADATA!$B$4)*(DATOS!$I$2:$I$20000=B6)*(DATOS!$K$2:$K$20000=10))</f>
        <v>0</v>
      </c>
    </row>
    <row r="7" spans="1:21" x14ac:dyDescent="0.2">
      <c r="A7" t="s">
        <v>116</v>
      </c>
      <c r="B7" t="s">
        <v>22</v>
      </c>
      <c r="C7" t="s">
        <v>2</v>
      </c>
      <c r="D7">
        <f>SUMPRODUCT((DATOS!$G$2:$G$20000=CONFIG_METADATA!$B$4)*(DATOS!$I$2:$I$20000=B7))</f>
        <v>0</v>
      </c>
      <c r="E7" s="10" t="str">
        <f>IFERROR(SUMPRODUCT((DATOS!$G$2:$G$20000=CONFIG_METADATA!$B$4)*(DATOS!$I$2:$I$20000=B7)*(DATOS!$K$2:$K$20000))/D7,"—")</f>
        <v>—</v>
      </c>
      <c r="F7" s="10" t="str" cm="1">
        <f t="array" ref="F7">IFERROR(_xlfn.STDEV.P(_xlfn._xlws.FILTER(DATOS!$K$2:$K$20000,(DATOS!$G$2:$G$20000=CONFIG_METADATA!$B$4)*(DATOS!$I$2:$I$20000=B7))),"—")</f>
        <v>—</v>
      </c>
      <c r="G7" t="str" cm="1">
        <f t="array" ref="G7">IFERROR(_xlfn.MODE.SNGL(_xlfn._xlws.FILTER(DATOS!$K$2:$K$20000,(DATOS!$G$2:$G$20000=CONFIG_METADATA!$B$4)*(DATOS!$I$2:$I$20000=B7))),"—")</f>
        <v>—</v>
      </c>
      <c r="H7" s="11" t="str">
        <f>IFERROR(SUMPRODUCT((DATOS!$G$2:$G$20000=CONFIG_METADATA!$B$4)*(DATOS!$I$2:$I$20000=B7)*(DATOS!$L$2:$L$20000="S"))/D7,"—")</f>
        <v>—</v>
      </c>
      <c r="I7" s="11" t="str">
        <f>IFERROR(SUMPRODUCT((DATOS!$G$2:$G$20000=CONFIG_METADATA!$B$4)*(DATOS!$I$2:$I$20000=B7)*(DATOS!$L$2:$L$20000="N"))/D7,"—")</f>
        <v>—</v>
      </c>
      <c r="J7" t="str" cm="1">
        <f t="array" ref="J7">IFERROR(_xlfn.MODE.SNGL(_xlfn._xlws.FILTER(DATOS!$K$2:$K$20000,(DATOS!$G$2:$G$20000=CONFIG_METADATA!$B$4)*(DATOS!$I$2:$I$20000=B7)*(DATOS!$L$2:$L$20000="S"))),"—")</f>
        <v>—</v>
      </c>
      <c r="K7" t="str" cm="1">
        <f t="array" ref="K7">IFERROR(_xlfn.MODE.SNGL(_xlfn._xlws.FILTER(DATOS!$K$2:$K$20000,(DATOS!$G$2:$G$20000=CONFIG_METADATA!$B$4)*(DATOS!$I$2:$I$20000=B7)*(DATOS!$L$2:$L$20000="N"))),"—")</f>
        <v>—</v>
      </c>
      <c r="L7">
        <f>SUMPRODUCT((DATOS!$G$2:$G$20000=CONFIG_METADATA!$B$4)*(DATOS!$I$2:$I$20000=B7)*(DATOS!$K$2:$K$20000=1))</f>
        <v>0</v>
      </c>
      <c r="M7">
        <f>SUMPRODUCT((DATOS!$G$2:$G$20000=CONFIG_METADATA!$B$4)*(DATOS!$I$2:$I$20000=B7)*(DATOS!$K$2:$K$20000=2))</f>
        <v>0</v>
      </c>
      <c r="N7">
        <f>SUMPRODUCT((DATOS!$G$2:$G$20000=CONFIG_METADATA!$B$4)*(DATOS!$I$2:$I$20000=B7)*(DATOS!$K$2:$K$20000=3))</f>
        <v>0</v>
      </c>
      <c r="O7">
        <f>SUMPRODUCT((DATOS!$G$2:$G$20000=CONFIG_METADATA!$B$4)*(DATOS!$I$2:$I$20000=B7)*(DATOS!$K$2:$K$20000=4))</f>
        <v>0</v>
      </c>
      <c r="P7">
        <f>SUMPRODUCT((DATOS!$G$2:$G$20000=CONFIG_METADATA!$B$4)*(DATOS!$I$2:$I$20000=B7)*(DATOS!$K$2:$K$20000=5))</f>
        <v>0</v>
      </c>
      <c r="Q7">
        <f>SUMPRODUCT((DATOS!$G$2:$G$20000=CONFIG_METADATA!$B$4)*(DATOS!$I$2:$I$20000=B7)*(DATOS!$K$2:$K$20000=6))</f>
        <v>0</v>
      </c>
      <c r="R7">
        <f>SUMPRODUCT((DATOS!$G$2:$G$20000=CONFIG_METADATA!$B$4)*(DATOS!$I$2:$I$20000=B7)*(DATOS!$K$2:$K$20000=7))</f>
        <v>0</v>
      </c>
      <c r="S7">
        <f>SUMPRODUCT((DATOS!$G$2:$G$20000=CONFIG_METADATA!$B$4)*(DATOS!$I$2:$I$20000=B7)*(DATOS!$K$2:$K$20000=8))</f>
        <v>0</v>
      </c>
      <c r="T7">
        <f>SUMPRODUCT((DATOS!$G$2:$G$20000=CONFIG_METADATA!$B$4)*(DATOS!$I$2:$I$20000=B7)*(DATOS!$K$2:$K$20000=9))</f>
        <v>0</v>
      </c>
      <c r="U7">
        <f>SUMPRODUCT((DATOS!$G$2:$G$20000=CONFIG_METADATA!$B$4)*(DATOS!$I$2:$I$20000=B7)*(DATOS!$K$2:$K$20000=10))</f>
        <v>0</v>
      </c>
    </row>
    <row r="8" spans="1:21" x14ac:dyDescent="0.2">
      <c r="A8" t="s">
        <v>116</v>
      </c>
      <c r="B8" t="s">
        <v>24</v>
      </c>
      <c r="C8" t="s">
        <v>25</v>
      </c>
      <c r="D8">
        <f>SUMPRODUCT((DATOS!$G$2:$G$20000=CONFIG_METADATA!$B$4)*(DATOS!$I$2:$I$20000=B8))</f>
        <v>0</v>
      </c>
      <c r="E8" s="10" t="str">
        <f>IFERROR(SUMPRODUCT((DATOS!$G$2:$G$20000=CONFIG_METADATA!$B$4)*(DATOS!$I$2:$I$20000=B8)*(DATOS!$K$2:$K$20000))/D8,"—")</f>
        <v>—</v>
      </c>
      <c r="F8" s="10" t="str" cm="1">
        <f t="array" ref="F8">IFERROR(_xlfn.STDEV.P(_xlfn._xlws.FILTER(DATOS!$K$2:$K$20000,(DATOS!$G$2:$G$20000=CONFIG_METADATA!$B$4)*(DATOS!$I$2:$I$20000=B8))),"—")</f>
        <v>—</v>
      </c>
      <c r="G8" t="str" cm="1">
        <f t="array" ref="G8">IFERROR(_xlfn.MODE.SNGL(_xlfn._xlws.FILTER(DATOS!$K$2:$K$20000,(DATOS!$G$2:$G$20000=CONFIG_METADATA!$B$4)*(DATOS!$I$2:$I$20000=B8))),"—")</f>
        <v>—</v>
      </c>
      <c r="H8" s="11" t="str">
        <f>IFERROR(SUMPRODUCT((DATOS!$G$2:$G$20000=CONFIG_METADATA!$B$4)*(DATOS!$I$2:$I$20000=B8)*(DATOS!$L$2:$L$20000="S"))/D8,"—")</f>
        <v>—</v>
      </c>
      <c r="I8" s="11" t="str">
        <f>IFERROR(SUMPRODUCT((DATOS!$G$2:$G$20000=CONFIG_METADATA!$B$4)*(DATOS!$I$2:$I$20000=B8)*(DATOS!$L$2:$L$20000="N"))/D8,"—")</f>
        <v>—</v>
      </c>
      <c r="J8" t="str" cm="1">
        <f t="array" ref="J8">IFERROR(_xlfn.MODE.SNGL(_xlfn._xlws.FILTER(DATOS!$K$2:$K$20000,(DATOS!$G$2:$G$20000=CONFIG_METADATA!$B$4)*(DATOS!$I$2:$I$20000=B8)*(DATOS!$L$2:$L$20000="S"))),"—")</f>
        <v>—</v>
      </c>
      <c r="K8" t="str" cm="1">
        <f t="array" ref="K8">IFERROR(_xlfn.MODE.SNGL(_xlfn._xlws.FILTER(DATOS!$K$2:$K$20000,(DATOS!$G$2:$G$20000=CONFIG_METADATA!$B$4)*(DATOS!$I$2:$I$20000=B8)*(DATOS!$L$2:$L$20000="N"))),"—")</f>
        <v>—</v>
      </c>
      <c r="L8">
        <f>SUMPRODUCT((DATOS!$G$2:$G$20000=CONFIG_METADATA!$B$4)*(DATOS!$I$2:$I$20000=B8)*(DATOS!$K$2:$K$20000=1))</f>
        <v>0</v>
      </c>
      <c r="M8">
        <f>SUMPRODUCT((DATOS!$G$2:$G$20000=CONFIG_METADATA!$B$4)*(DATOS!$I$2:$I$20000=B8)*(DATOS!$K$2:$K$20000=2))</f>
        <v>0</v>
      </c>
      <c r="N8">
        <f>SUMPRODUCT((DATOS!$G$2:$G$20000=CONFIG_METADATA!$B$4)*(DATOS!$I$2:$I$20000=B8)*(DATOS!$K$2:$K$20000=3))</f>
        <v>0</v>
      </c>
      <c r="O8">
        <f>SUMPRODUCT((DATOS!$G$2:$G$20000=CONFIG_METADATA!$B$4)*(DATOS!$I$2:$I$20000=B8)*(DATOS!$K$2:$K$20000=4))</f>
        <v>0</v>
      </c>
      <c r="P8">
        <f>SUMPRODUCT((DATOS!$G$2:$G$20000=CONFIG_METADATA!$B$4)*(DATOS!$I$2:$I$20000=B8)*(DATOS!$K$2:$K$20000=5))</f>
        <v>0</v>
      </c>
      <c r="Q8">
        <f>SUMPRODUCT((DATOS!$G$2:$G$20000=CONFIG_METADATA!$B$4)*(DATOS!$I$2:$I$20000=B8)*(DATOS!$K$2:$K$20000=6))</f>
        <v>0</v>
      </c>
      <c r="R8">
        <f>SUMPRODUCT((DATOS!$G$2:$G$20000=CONFIG_METADATA!$B$4)*(DATOS!$I$2:$I$20000=B8)*(DATOS!$K$2:$K$20000=7))</f>
        <v>0</v>
      </c>
      <c r="S8">
        <f>SUMPRODUCT((DATOS!$G$2:$G$20000=CONFIG_METADATA!$B$4)*(DATOS!$I$2:$I$20000=B8)*(DATOS!$K$2:$K$20000=8))</f>
        <v>0</v>
      </c>
      <c r="T8">
        <f>SUMPRODUCT((DATOS!$G$2:$G$20000=CONFIG_METADATA!$B$4)*(DATOS!$I$2:$I$20000=B8)*(DATOS!$K$2:$K$20000=9))</f>
        <v>0</v>
      </c>
      <c r="U8">
        <f>SUMPRODUCT((DATOS!$G$2:$G$20000=CONFIG_METADATA!$B$4)*(DATOS!$I$2:$I$20000=B8)*(DATOS!$K$2:$K$20000=10))</f>
        <v>0</v>
      </c>
    </row>
    <row r="9" spans="1:21" x14ac:dyDescent="0.2">
      <c r="A9" t="s">
        <v>116</v>
      </c>
      <c r="B9" t="s">
        <v>27</v>
      </c>
      <c r="C9" t="s">
        <v>25</v>
      </c>
      <c r="D9">
        <f>SUMPRODUCT((DATOS!$G$2:$G$20000=CONFIG_METADATA!$B$4)*(DATOS!$I$2:$I$20000=B9))</f>
        <v>0</v>
      </c>
      <c r="E9" s="10" t="str">
        <f>IFERROR(SUMPRODUCT((DATOS!$G$2:$G$20000=CONFIG_METADATA!$B$4)*(DATOS!$I$2:$I$20000=B9)*(DATOS!$K$2:$K$20000))/D9,"—")</f>
        <v>—</v>
      </c>
      <c r="F9" s="10" t="str" cm="1">
        <f t="array" ref="F9">IFERROR(_xlfn.STDEV.P(_xlfn._xlws.FILTER(DATOS!$K$2:$K$20000,(DATOS!$G$2:$G$20000=CONFIG_METADATA!$B$4)*(DATOS!$I$2:$I$20000=B9))),"—")</f>
        <v>—</v>
      </c>
      <c r="G9" t="str" cm="1">
        <f t="array" ref="G9">IFERROR(_xlfn.MODE.SNGL(_xlfn._xlws.FILTER(DATOS!$K$2:$K$20000,(DATOS!$G$2:$G$20000=CONFIG_METADATA!$B$4)*(DATOS!$I$2:$I$20000=B9))),"—")</f>
        <v>—</v>
      </c>
      <c r="H9" s="11" t="str">
        <f>IFERROR(SUMPRODUCT((DATOS!$G$2:$G$20000=CONFIG_METADATA!$B$4)*(DATOS!$I$2:$I$20000=B9)*(DATOS!$L$2:$L$20000="S"))/D9,"—")</f>
        <v>—</v>
      </c>
      <c r="I9" s="11" t="str">
        <f>IFERROR(SUMPRODUCT((DATOS!$G$2:$G$20000=CONFIG_METADATA!$B$4)*(DATOS!$I$2:$I$20000=B9)*(DATOS!$L$2:$L$20000="N"))/D9,"—")</f>
        <v>—</v>
      </c>
      <c r="J9" t="str" cm="1">
        <f t="array" ref="J9">IFERROR(_xlfn.MODE.SNGL(_xlfn._xlws.FILTER(DATOS!$K$2:$K$20000,(DATOS!$G$2:$G$20000=CONFIG_METADATA!$B$4)*(DATOS!$I$2:$I$20000=B9)*(DATOS!$L$2:$L$20000="S"))),"—")</f>
        <v>—</v>
      </c>
      <c r="K9" t="str" cm="1">
        <f t="array" ref="K9">IFERROR(_xlfn.MODE.SNGL(_xlfn._xlws.FILTER(DATOS!$K$2:$K$20000,(DATOS!$G$2:$G$20000=CONFIG_METADATA!$B$4)*(DATOS!$I$2:$I$20000=B9)*(DATOS!$L$2:$L$20000="N"))),"—")</f>
        <v>—</v>
      </c>
      <c r="L9">
        <f>SUMPRODUCT((DATOS!$G$2:$G$20000=CONFIG_METADATA!$B$4)*(DATOS!$I$2:$I$20000=B9)*(DATOS!$K$2:$K$20000=1))</f>
        <v>0</v>
      </c>
      <c r="M9">
        <f>SUMPRODUCT((DATOS!$G$2:$G$20000=CONFIG_METADATA!$B$4)*(DATOS!$I$2:$I$20000=B9)*(DATOS!$K$2:$K$20000=2))</f>
        <v>0</v>
      </c>
      <c r="N9">
        <f>SUMPRODUCT((DATOS!$G$2:$G$20000=CONFIG_METADATA!$B$4)*(DATOS!$I$2:$I$20000=B9)*(DATOS!$K$2:$K$20000=3))</f>
        <v>0</v>
      </c>
      <c r="O9">
        <f>SUMPRODUCT((DATOS!$G$2:$G$20000=CONFIG_METADATA!$B$4)*(DATOS!$I$2:$I$20000=B9)*(DATOS!$K$2:$K$20000=4))</f>
        <v>0</v>
      </c>
      <c r="P9">
        <f>SUMPRODUCT((DATOS!$G$2:$G$20000=CONFIG_METADATA!$B$4)*(DATOS!$I$2:$I$20000=B9)*(DATOS!$K$2:$K$20000=5))</f>
        <v>0</v>
      </c>
      <c r="Q9">
        <f>SUMPRODUCT((DATOS!$G$2:$G$20000=CONFIG_METADATA!$B$4)*(DATOS!$I$2:$I$20000=B9)*(DATOS!$K$2:$K$20000=6))</f>
        <v>0</v>
      </c>
      <c r="R9">
        <f>SUMPRODUCT((DATOS!$G$2:$G$20000=CONFIG_METADATA!$B$4)*(DATOS!$I$2:$I$20000=B9)*(DATOS!$K$2:$K$20000=7))</f>
        <v>0</v>
      </c>
      <c r="S9">
        <f>SUMPRODUCT((DATOS!$G$2:$G$20000=CONFIG_METADATA!$B$4)*(DATOS!$I$2:$I$20000=B9)*(DATOS!$K$2:$K$20000=8))</f>
        <v>0</v>
      </c>
      <c r="T9">
        <f>SUMPRODUCT((DATOS!$G$2:$G$20000=CONFIG_METADATA!$B$4)*(DATOS!$I$2:$I$20000=B9)*(DATOS!$K$2:$K$20000=9))</f>
        <v>0</v>
      </c>
      <c r="U9">
        <f>SUMPRODUCT((DATOS!$G$2:$G$20000=CONFIG_METADATA!$B$4)*(DATOS!$I$2:$I$20000=B9)*(DATOS!$K$2:$K$20000=10))</f>
        <v>0</v>
      </c>
    </row>
    <row r="10" spans="1:21" x14ac:dyDescent="0.2">
      <c r="A10" t="s">
        <v>116</v>
      </c>
      <c r="B10" t="s">
        <v>28</v>
      </c>
      <c r="C10" t="s">
        <v>25</v>
      </c>
      <c r="D10">
        <f>SUMPRODUCT((DATOS!$G$2:$G$20000=CONFIG_METADATA!$B$4)*(DATOS!$I$2:$I$20000=B10))</f>
        <v>0</v>
      </c>
      <c r="E10" s="10" t="str">
        <f>IFERROR(SUMPRODUCT((DATOS!$G$2:$G$20000=CONFIG_METADATA!$B$4)*(DATOS!$I$2:$I$20000=B10)*(DATOS!$K$2:$K$20000))/D10,"—")</f>
        <v>—</v>
      </c>
      <c r="F10" s="10" t="str" cm="1">
        <f t="array" ref="F10">IFERROR(_xlfn.STDEV.P(_xlfn._xlws.FILTER(DATOS!$K$2:$K$20000,(DATOS!$G$2:$G$20000=CONFIG_METADATA!$B$4)*(DATOS!$I$2:$I$20000=B10))),"—")</f>
        <v>—</v>
      </c>
      <c r="G10" t="str" cm="1">
        <f t="array" ref="G10">IFERROR(_xlfn.MODE.SNGL(_xlfn._xlws.FILTER(DATOS!$K$2:$K$20000,(DATOS!$G$2:$G$20000=CONFIG_METADATA!$B$4)*(DATOS!$I$2:$I$20000=B10))),"—")</f>
        <v>—</v>
      </c>
      <c r="H10" s="11" t="str">
        <f>IFERROR(SUMPRODUCT((DATOS!$G$2:$G$20000=CONFIG_METADATA!$B$4)*(DATOS!$I$2:$I$20000=B10)*(DATOS!$L$2:$L$20000="S"))/D10,"—")</f>
        <v>—</v>
      </c>
      <c r="I10" s="11" t="str">
        <f>IFERROR(SUMPRODUCT((DATOS!$G$2:$G$20000=CONFIG_METADATA!$B$4)*(DATOS!$I$2:$I$20000=B10)*(DATOS!$L$2:$L$20000="N"))/D10,"—")</f>
        <v>—</v>
      </c>
      <c r="J10" t="str" cm="1">
        <f t="array" ref="J10">IFERROR(_xlfn.MODE.SNGL(_xlfn._xlws.FILTER(DATOS!$K$2:$K$20000,(DATOS!$G$2:$G$20000=CONFIG_METADATA!$B$4)*(DATOS!$I$2:$I$20000=B10)*(DATOS!$L$2:$L$20000="S"))),"—")</f>
        <v>—</v>
      </c>
      <c r="K10" t="str" cm="1">
        <f t="array" ref="K10">IFERROR(_xlfn.MODE.SNGL(_xlfn._xlws.FILTER(DATOS!$K$2:$K$20000,(DATOS!$G$2:$G$20000=CONFIG_METADATA!$B$4)*(DATOS!$I$2:$I$20000=B10)*(DATOS!$L$2:$L$20000="N"))),"—")</f>
        <v>—</v>
      </c>
      <c r="L10">
        <f>SUMPRODUCT((DATOS!$G$2:$G$20000=CONFIG_METADATA!$B$4)*(DATOS!$I$2:$I$20000=B10)*(DATOS!$K$2:$K$20000=1))</f>
        <v>0</v>
      </c>
      <c r="M10">
        <f>SUMPRODUCT((DATOS!$G$2:$G$20000=CONFIG_METADATA!$B$4)*(DATOS!$I$2:$I$20000=B10)*(DATOS!$K$2:$K$20000=2))</f>
        <v>0</v>
      </c>
      <c r="N10">
        <f>SUMPRODUCT((DATOS!$G$2:$G$20000=CONFIG_METADATA!$B$4)*(DATOS!$I$2:$I$20000=B10)*(DATOS!$K$2:$K$20000=3))</f>
        <v>0</v>
      </c>
      <c r="O10">
        <f>SUMPRODUCT((DATOS!$G$2:$G$20000=CONFIG_METADATA!$B$4)*(DATOS!$I$2:$I$20000=B10)*(DATOS!$K$2:$K$20000=4))</f>
        <v>0</v>
      </c>
      <c r="P10">
        <f>SUMPRODUCT((DATOS!$G$2:$G$20000=CONFIG_METADATA!$B$4)*(DATOS!$I$2:$I$20000=B10)*(DATOS!$K$2:$K$20000=5))</f>
        <v>0</v>
      </c>
      <c r="Q10">
        <f>SUMPRODUCT((DATOS!$G$2:$G$20000=CONFIG_METADATA!$B$4)*(DATOS!$I$2:$I$20000=B10)*(DATOS!$K$2:$K$20000=6))</f>
        <v>0</v>
      </c>
      <c r="R10">
        <f>SUMPRODUCT((DATOS!$G$2:$G$20000=CONFIG_METADATA!$B$4)*(DATOS!$I$2:$I$20000=B10)*(DATOS!$K$2:$K$20000=7))</f>
        <v>0</v>
      </c>
      <c r="S10">
        <f>SUMPRODUCT((DATOS!$G$2:$G$20000=CONFIG_METADATA!$B$4)*(DATOS!$I$2:$I$20000=B10)*(DATOS!$K$2:$K$20000=8))</f>
        <v>0</v>
      </c>
      <c r="T10">
        <f>SUMPRODUCT((DATOS!$G$2:$G$20000=CONFIG_METADATA!$B$4)*(DATOS!$I$2:$I$20000=B10)*(DATOS!$K$2:$K$20000=9))</f>
        <v>0</v>
      </c>
      <c r="U10">
        <f>SUMPRODUCT((DATOS!$G$2:$G$20000=CONFIG_METADATA!$B$4)*(DATOS!$I$2:$I$20000=B10)*(DATOS!$K$2:$K$20000=10))</f>
        <v>0</v>
      </c>
    </row>
    <row r="11" spans="1:21" x14ac:dyDescent="0.2">
      <c r="A11" t="s">
        <v>116</v>
      </c>
      <c r="B11" t="s">
        <v>30</v>
      </c>
      <c r="C11" t="s">
        <v>25</v>
      </c>
      <c r="D11">
        <f>SUMPRODUCT((DATOS!$G$2:$G$20000=CONFIG_METADATA!$B$4)*(DATOS!$I$2:$I$20000=B11))</f>
        <v>0</v>
      </c>
      <c r="E11" s="10" t="str">
        <f>IFERROR(SUMPRODUCT((DATOS!$G$2:$G$20000=CONFIG_METADATA!$B$4)*(DATOS!$I$2:$I$20000=B11)*(DATOS!$K$2:$K$20000))/D11,"—")</f>
        <v>—</v>
      </c>
      <c r="F11" s="10" t="str" cm="1">
        <f t="array" ref="F11">IFERROR(_xlfn.STDEV.P(_xlfn._xlws.FILTER(DATOS!$K$2:$K$20000,(DATOS!$G$2:$G$20000=CONFIG_METADATA!$B$4)*(DATOS!$I$2:$I$20000=B11))),"—")</f>
        <v>—</v>
      </c>
      <c r="G11" t="str" cm="1">
        <f t="array" ref="G11">IFERROR(_xlfn.MODE.SNGL(_xlfn._xlws.FILTER(DATOS!$K$2:$K$20000,(DATOS!$G$2:$G$20000=CONFIG_METADATA!$B$4)*(DATOS!$I$2:$I$20000=B11))),"—")</f>
        <v>—</v>
      </c>
      <c r="H11" s="11" t="str">
        <f>IFERROR(SUMPRODUCT((DATOS!$G$2:$G$20000=CONFIG_METADATA!$B$4)*(DATOS!$I$2:$I$20000=B11)*(DATOS!$L$2:$L$20000="S"))/D11,"—")</f>
        <v>—</v>
      </c>
      <c r="I11" s="11" t="str">
        <f>IFERROR(SUMPRODUCT((DATOS!$G$2:$G$20000=CONFIG_METADATA!$B$4)*(DATOS!$I$2:$I$20000=B11)*(DATOS!$L$2:$L$20000="N"))/D11,"—")</f>
        <v>—</v>
      </c>
      <c r="J11" t="str" cm="1">
        <f t="array" ref="J11">IFERROR(_xlfn.MODE.SNGL(_xlfn._xlws.FILTER(DATOS!$K$2:$K$20000,(DATOS!$G$2:$G$20000=CONFIG_METADATA!$B$4)*(DATOS!$I$2:$I$20000=B11)*(DATOS!$L$2:$L$20000="S"))),"—")</f>
        <v>—</v>
      </c>
      <c r="K11" t="str" cm="1">
        <f t="array" ref="K11">IFERROR(_xlfn.MODE.SNGL(_xlfn._xlws.FILTER(DATOS!$K$2:$K$20000,(DATOS!$G$2:$G$20000=CONFIG_METADATA!$B$4)*(DATOS!$I$2:$I$20000=B11)*(DATOS!$L$2:$L$20000="N"))),"—")</f>
        <v>—</v>
      </c>
      <c r="L11">
        <f>SUMPRODUCT((DATOS!$G$2:$G$20000=CONFIG_METADATA!$B$4)*(DATOS!$I$2:$I$20000=B11)*(DATOS!$K$2:$K$20000=1))</f>
        <v>0</v>
      </c>
      <c r="M11">
        <f>SUMPRODUCT((DATOS!$G$2:$G$20000=CONFIG_METADATA!$B$4)*(DATOS!$I$2:$I$20000=B11)*(DATOS!$K$2:$K$20000=2))</f>
        <v>0</v>
      </c>
      <c r="N11">
        <f>SUMPRODUCT((DATOS!$G$2:$G$20000=CONFIG_METADATA!$B$4)*(DATOS!$I$2:$I$20000=B11)*(DATOS!$K$2:$K$20000=3))</f>
        <v>0</v>
      </c>
      <c r="O11">
        <f>SUMPRODUCT((DATOS!$G$2:$G$20000=CONFIG_METADATA!$B$4)*(DATOS!$I$2:$I$20000=B11)*(DATOS!$K$2:$K$20000=4))</f>
        <v>0</v>
      </c>
      <c r="P11">
        <f>SUMPRODUCT((DATOS!$G$2:$G$20000=CONFIG_METADATA!$B$4)*(DATOS!$I$2:$I$20000=B11)*(DATOS!$K$2:$K$20000=5))</f>
        <v>0</v>
      </c>
      <c r="Q11">
        <f>SUMPRODUCT((DATOS!$G$2:$G$20000=CONFIG_METADATA!$B$4)*(DATOS!$I$2:$I$20000=B11)*(DATOS!$K$2:$K$20000=6))</f>
        <v>0</v>
      </c>
      <c r="R11">
        <f>SUMPRODUCT((DATOS!$G$2:$G$20000=CONFIG_METADATA!$B$4)*(DATOS!$I$2:$I$20000=B11)*(DATOS!$K$2:$K$20000=7))</f>
        <v>0</v>
      </c>
      <c r="S11">
        <f>SUMPRODUCT((DATOS!$G$2:$G$20000=CONFIG_METADATA!$B$4)*(DATOS!$I$2:$I$20000=B11)*(DATOS!$K$2:$K$20000=8))</f>
        <v>0</v>
      </c>
      <c r="T11">
        <f>SUMPRODUCT((DATOS!$G$2:$G$20000=CONFIG_METADATA!$B$4)*(DATOS!$I$2:$I$20000=B11)*(DATOS!$K$2:$K$20000=9))</f>
        <v>0</v>
      </c>
      <c r="U11">
        <f>SUMPRODUCT((DATOS!$G$2:$G$20000=CONFIG_METADATA!$B$4)*(DATOS!$I$2:$I$20000=B11)*(DATOS!$K$2:$K$20000=10))</f>
        <v>0</v>
      </c>
    </row>
    <row r="12" spans="1:21" x14ac:dyDescent="0.2">
      <c r="A12" t="s">
        <v>116</v>
      </c>
      <c r="B12" t="s">
        <v>32</v>
      </c>
      <c r="C12" t="s">
        <v>25</v>
      </c>
      <c r="D12">
        <f>SUMPRODUCT((DATOS!$G$2:$G$20000=CONFIG_METADATA!$B$4)*(DATOS!$I$2:$I$20000=B12))</f>
        <v>0</v>
      </c>
      <c r="E12" s="10" t="str">
        <f>IFERROR(SUMPRODUCT((DATOS!$G$2:$G$20000=CONFIG_METADATA!$B$4)*(DATOS!$I$2:$I$20000=B12)*(DATOS!$K$2:$K$20000))/D12,"—")</f>
        <v>—</v>
      </c>
      <c r="F12" s="10" t="str" cm="1">
        <f t="array" ref="F12">IFERROR(_xlfn.STDEV.P(_xlfn._xlws.FILTER(DATOS!$K$2:$K$20000,(DATOS!$G$2:$G$20000=CONFIG_METADATA!$B$4)*(DATOS!$I$2:$I$20000=B12))),"—")</f>
        <v>—</v>
      </c>
      <c r="G12" t="str" cm="1">
        <f t="array" ref="G12">IFERROR(_xlfn.MODE.SNGL(_xlfn._xlws.FILTER(DATOS!$K$2:$K$20000,(DATOS!$G$2:$G$20000=CONFIG_METADATA!$B$4)*(DATOS!$I$2:$I$20000=B12))),"—")</f>
        <v>—</v>
      </c>
      <c r="H12" s="11" t="str">
        <f>IFERROR(SUMPRODUCT((DATOS!$G$2:$G$20000=CONFIG_METADATA!$B$4)*(DATOS!$I$2:$I$20000=B12)*(DATOS!$L$2:$L$20000="S"))/D12,"—")</f>
        <v>—</v>
      </c>
      <c r="I12" s="11" t="str">
        <f>IFERROR(SUMPRODUCT((DATOS!$G$2:$G$20000=CONFIG_METADATA!$B$4)*(DATOS!$I$2:$I$20000=B12)*(DATOS!$L$2:$L$20000="N"))/D12,"—")</f>
        <v>—</v>
      </c>
      <c r="J12" t="str" cm="1">
        <f t="array" ref="J12">IFERROR(_xlfn.MODE.SNGL(_xlfn._xlws.FILTER(DATOS!$K$2:$K$20000,(DATOS!$G$2:$G$20000=CONFIG_METADATA!$B$4)*(DATOS!$I$2:$I$20000=B12)*(DATOS!$L$2:$L$20000="S"))),"—")</f>
        <v>—</v>
      </c>
      <c r="K12" t="str" cm="1">
        <f t="array" ref="K12">IFERROR(_xlfn.MODE.SNGL(_xlfn._xlws.FILTER(DATOS!$K$2:$K$20000,(DATOS!$G$2:$G$20000=CONFIG_METADATA!$B$4)*(DATOS!$I$2:$I$20000=B12)*(DATOS!$L$2:$L$20000="N"))),"—")</f>
        <v>—</v>
      </c>
      <c r="L12">
        <f>SUMPRODUCT((DATOS!$G$2:$G$20000=CONFIG_METADATA!$B$4)*(DATOS!$I$2:$I$20000=B12)*(DATOS!$K$2:$K$20000=1))</f>
        <v>0</v>
      </c>
      <c r="M12">
        <f>SUMPRODUCT((DATOS!$G$2:$G$20000=CONFIG_METADATA!$B$4)*(DATOS!$I$2:$I$20000=B12)*(DATOS!$K$2:$K$20000=2))</f>
        <v>0</v>
      </c>
      <c r="N12">
        <f>SUMPRODUCT((DATOS!$G$2:$G$20000=CONFIG_METADATA!$B$4)*(DATOS!$I$2:$I$20000=B12)*(DATOS!$K$2:$K$20000=3))</f>
        <v>0</v>
      </c>
      <c r="O12">
        <f>SUMPRODUCT((DATOS!$G$2:$G$20000=CONFIG_METADATA!$B$4)*(DATOS!$I$2:$I$20000=B12)*(DATOS!$K$2:$K$20000=4))</f>
        <v>0</v>
      </c>
      <c r="P12">
        <f>SUMPRODUCT((DATOS!$G$2:$G$20000=CONFIG_METADATA!$B$4)*(DATOS!$I$2:$I$20000=B12)*(DATOS!$K$2:$K$20000=5))</f>
        <v>0</v>
      </c>
      <c r="Q12">
        <f>SUMPRODUCT((DATOS!$G$2:$G$20000=CONFIG_METADATA!$B$4)*(DATOS!$I$2:$I$20000=B12)*(DATOS!$K$2:$K$20000=6))</f>
        <v>0</v>
      </c>
      <c r="R12">
        <f>SUMPRODUCT((DATOS!$G$2:$G$20000=CONFIG_METADATA!$B$4)*(DATOS!$I$2:$I$20000=B12)*(DATOS!$K$2:$K$20000=7))</f>
        <v>0</v>
      </c>
      <c r="S12">
        <f>SUMPRODUCT((DATOS!$G$2:$G$20000=CONFIG_METADATA!$B$4)*(DATOS!$I$2:$I$20000=B12)*(DATOS!$K$2:$K$20000=8))</f>
        <v>0</v>
      </c>
      <c r="T12">
        <f>SUMPRODUCT((DATOS!$G$2:$G$20000=CONFIG_METADATA!$B$4)*(DATOS!$I$2:$I$20000=B12)*(DATOS!$K$2:$K$20000=9))</f>
        <v>0</v>
      </c>
      <c r="U12">
        <f>SUMPRODUCT((DATOS!$G$2:$G$20000=CONFIG_METADATA!$B$4)*(DATOS!$I$2:$I$20000=B12)*(DATOS!$K$2:$K$20000=10))</f>
        <v>0</v>
      </c>
    </row>
    <row r="13" spans="1:21" x14ac:dyDescent="0.2">
      <c r="A13" t="s">
        <v>116</v>
      </c>
      <c r="B13" t="s">
        <v>33</v>
      </c>
      <c r="C13" t="s">
        <v>25</v>
      </c>
      <c r="D13">
        <f>SUMPRODUCT((DATOS!$G$2:$G$20000=CONFIG_METADATA!$B$4)*(DATOS!$I$2:$I$20000=B13))</f>
        <v>0</v>
      </c>
      <c r="E13" s="10" t="str">
        <f>IFERROR(SUMPRODUCT((DATOS!$G$2:$G$20000=CONFIG_METADATA!$B$4)*(DATOS!$I$2:$I$20000=B13)*(DATOS!$K$2:$K$20000))/D13,"—")</f>
        <v>—</v>
      </c>
      <c r="F13" s="10" t="str" cm="1">
        <f t="array" ref="F13">IFERROR(_xlfn.STDEV.P(_xlfn._xlws.FILTER(DATOS!$K$2:$K$20000,(DATOS!$G$2:$G$20000=CONFIG_METADATA!$B$4)*(DATOS!$I$2:$I$20000=B13))),"—")</f>
        <v>—</v>
      </c>
      <c r="G13" t="str" cm="1">
        <f t="array" ref="G13">IFERROR(_xlfn.MODE.SNGL(_xlfn._xlws.FILTER(DATOS!$K$2:$K$20000,(DATOS!$G$2:$G$20000=CONFIG_METADATA!$B$4)*(DATOS!$I$2:$I$20000=B13))),"—")</f>
        <v>—</v>
      </c>
      <c r="H13" s="11" t="str">
        <f>IFERROR(SUMPRODUCT((DATOS!$G$2:$G$20000=CONFIG_METADATA!$B$4)*(DATOS!$I$2:$I$20000=B13)*(DATOS!$L$2:$L$20000="S"))/D13,"—")</f>
        <v>—</v>
      </c>
      <c r="I13" s="11" t="str">
        <f>IFERROR(SUMPRODUCT((DATOS!$G$2:$G$20000=CONFIG_METADATA!$B$4)*(DATOS!$I$2:$I$20000=B13)*(DATOS!$L$2:$L$20000="N"))/D13,"—")</f>
        <v>—</v>
      </c>
      <c r="J13" t="str" cm="1">
        <f t="array" ref="J13">IFERROR(_xlfn.MODE.SNGL(_xlfn._xlws.FILTER(DATOS!$K$2:$K$20000,(DATOS!$G$2:$G$20000=CONFIG_METADATA!$B$4)*(DATOS!$I$2:$I$20000=B13)*(DATOS!$L$2:$L$20000="S"))),"—")</f>
        <v>—</v>
      </c>
      <c r="K13" t="str" cm="1">
        <f t="array" ref="K13">IFERROR(_xlfn.MODE.SNGL(_xlfn._xlws.FILTER(DATOS!$K$2:$K$20000,(DATOS!$G$2:$G$20000=CONFIG_METADATA!$B$4)*(DATOS!$I$2:$I$20000=B13)*(DATOS!$L$2:$L$20000="N"))),"—")</f>
        <v>—</v>
      </c>
      <c r="L13">
        <f>SUMPRODUCT((DATOS!$G$2:$G$20000=CONFIG_METADATA!$B$4)*(DATOS!$I$2:$I$20000=B13)*(DATOS!$K$2:$K$20000=1))</f>
        <v>0</v>
      </c>
      <c r="M13">
        <f>SUMPRODUCT((DATOS!$G$2:$G$20000=CONFIG_METADATA!$B$4)*(DATOS!$I$2:$I$20000=B13)*(DATOS!$K$2:$K$20000=2))</f>
        <v>0</v>
      </c>
      <c r="N13">
        <f>SUMPRODUCT((DATOS!$G$2:$G$20000=CONFIG_METADATA!$B$4)*(DATOS!$I$2:$I$20000=B13)*(DATOS!$K$2:$K$20000=3))</f>
        <v>0</v>
      </c>
      <c r="O13">
        <f>SUMPRODUCT((DATOS!$G$2:$G$20000=CONFIG_METADATA!$B$4)*(DATOS!$I$2:$I$20000=B13)*(DATOS!$K$2:$K$20000=4))</f>
        <v>0</v>
      </c>
      <c r="P13">
        <f>SUMPRODUCT((DATOS!$G$2:$G$20000=CONFIG_METADATA!$B$4)*(DATOS!$I$2:$I$20000=B13)*(DATOS!$K$2:$K$20000=5))</f>
        <v>0</v>
      </c>
      <c r="Q13">
        <f>SUMPRODUCT((DATOS!$G$2:$G$20000=CONFIG_METADATA!$B$4)*(DATOS!$I$2:$I$20000=B13)*(DATOS!$K$2:$K$20000=6))</f>
        <v>0</v>
      </c>
      <c r="R13">
        <f>SUMPRODUCT((DATOS!$G$2:$G$20000=CONFIG_METADATA!$B$4)*(DATOS!$I$2:$I$20000=B13)*(DATOS!$K$2:$K$20000=7))</f>
        <v>0</v>
      </c>
      <c r="S13">
        <f>SUMPRODUCT((DATOS!$G$2:$G$20000=CONFIG_METADATA!$B$4)*(DATOS!$I$2:$I$20000=B13)*(DATOS!$K$2:$K$20000=8))</f>
        <v>0</v>
      </c>
      <c r="T13">
        <f>SUMPRODUCT((DATOS!$G$2:$G$20000=CONFIG_METADATA!$B$4)*(DATOS!$I$2:$I$20000=B13)*(DATOS!$K$2:$K$20000=9))</f>
        <v>0</v>
      </c>
      <c r="U13">
        <f>SUMPRODUCT((DATOS!$G$2:$G$20000=CONFIG_METADATA!$B$4)*(DATOS!$I$2:$I$20000=B13)*(DATOS!$K$2:$K$20000=10))</f>
        <v>0</v>
      </c>
    </row>
    <row r="14" spans="1:21" x14ac:dyDescent="0.2">
      <c r="A14" t="s">
        <v>116</v>
      </c>
      <c r="B14" t="s">
        <v>34</v>
      </c>
      <c r="C14" t="s">
        <v>25</v>
      </c>
      <c r="D14">
        <f>SUMPRODUCT((DATOS!$G$2:$G$20000=CONFIG_METADATA!$B$4)*(DATOS!$I$2:$I$20000=B14))</f>
        <v>0</v>
      </c>
      <c r="E14" s="10" t="str">
        <f>IFERROR(SUMPRODUCT((DATOS!$G$2:$G$20000=CONFIG_METADATA!$B$4)*(DATOS!$I$2:$I$20000=B14)*(DATOS!$K$2:$K$20000))/D14,"—")</f>
        <v>—</v>
      </c>
      <c r="F14" s="10" t="str" cm="1">
        <f t="array" ref="F14">IFERROR(_xlfn.STDEV.P(_xlfn._xlws.FILTER(DATOS!$K$2:$K$20000,(DATOS!$G$2:$G$20000=CONFIG_METADATA!$B$4)*(DATOS!$I$2:$I$20000=B14))),"—")</f>
        <v>—</v>
      </c>
      <c r="G14" t="str" cm="1">
        <f t="array" ref="G14">IFERROR(_xlfn.MODE.SNGL(_xlfn._xlws.FILTER(DATOS!$K$2:$K$20000,(DATOS!$G$2:$G$20000=CONFIG_METADATA!$B$4)*(DATOS!$I$2:$I$20000=B14))),"—")</f>
        <v>—</v>
      </c>
      <c r="H14" s="11" t="str">
        <f>IFERROR(SUMPRODUCT((DATOS!$G$2:$G$20000=CONFIG_METADATA!$B$4)*(DATOS!$I$2:$I$20000=B14)*(DATOS!$L$2:$L$20000="S"))/D14,"—")</f>
        <v>—</v>
      </c>
      <c r="I14" s="11" t="str">
        <f>IFERROR(SUMPRODUCT((DATOS!$G$2:$G$20000=CONFIG_METADATA!$B$4)*(DATOS!$I$2:$I$20000=B14)*(DATOS!$L$2:$L$20000="N"))/D14,"—")</f>
        <v>—</v>
      </c>
      <c r="J14" t="str" cm="1">
        <f t="array" ref="J14">IFERROR(_xlfn.MODE.SNGL(_xlfn._xlws.FILTER(DATOS!$K$2:$K$20000,(DATOS!$G$2:$G$20000=CONFIG_METADATA!$B$4)*(DATOS!$I$2:$I$20000=B14)*(DATOS!$L$2:$L$20000="S"))),"—")</f>
        <v>—</v>
      </c>
      <c r="K14" t="str" cm="1">
        <f t="array" ref="K14">IFERROR(_xlfn.MODE.SNGL(_xlfn._xlws.FILTER(DATOS!$K$2:$K$20000,(DATOS!$G$2:$G$20000=CONFIG_METADATA!$B$4)*(DATOS!$I$2:$I$20000=B14)*(DATOS!$L$2:$L$20000="N"))),"—")</f>
        <v>—</v>
      </c>
      <c r="L14">
        <f>SUMPRODUCT((DATOS!$G$2:$G$20000=CONFIG_METADATA!$B$4)*(DATOS!$I$2:$I$20000=B14)*(DATOS!$K$2:$K$20000=1))</f>
        <v>0</v>
      </c>
      <c r="M14">
        <f>SUMPRODUCT((DATOS!$G$2:$G$20000=CONFIG_METADATA!$B$4)*(DATOS!$I$2:$I$20000=B14)*(DATOS!$K$2:$K$20000=2))</f>
        <v>0</v>
      </c>
      <c r="N14">
        <f>SUMPRODUCT((DATOS!$G$2:$G$20000=CONFIG_METADATA!$B$4)*(DATOS!$I$2:$I$20000=B14)*(DATOS!$K$2:$K$20000=3))</f>
        <v>0</v>
      </c>
      <c r="O14">
        <f>SUMPRODUCT((DATOS!$G$2:$G$20000=CONFIG_METADATA!$B$4)*(DATOS!$I$2:$I$20000=B14)*(DATOS!$K$2:$K$20000=4))</f>
        <v>0</v>
      </c>
      <c r="P14">
        <f>SUMPRODUCT((DATOS!$G$2:$G$20000=CONFIG_METADATA!$B$4)*(DATOS!$I$2:$I$20000=B14)*(DATOS!$K$2:$K$20000=5))</f>
        <v>0</v>
      </c>
      <c r="Q14">
        <f>SUMPRODUCT((DATOS!$G$2:$G$20000=CONFIG_METADATA!$B$4)*(DATOS!$I$2:$I$20000=B14)*(DATOS!$K$2:$K$20000=6))</f>
        <v>0</v>
      </c>
      <c r="R14">
        <f>SUMPRODUCT((DATOS!$G$2:$G$20000=CONFIG_METADATA!$B$4)*(DATOS!$I$2:$I$20000=B14)*(DATOS!$K$2:$K$20000=7))</f>
        <v>0</v>
      </c>
      <c r="S14">
        <f>SUMPRODUCT((DATOS!$G$2:$G$20000=CONFIG_METADATA!$B$4)*(DATOS!$I$2:$I$20000=B14)*(DATOS!$K$2:$K$20000=8))</f>
        <v>0</v>
      </c>
      <c r="T14">
        <f>SUMPRODUCT((DATOS!$G$2:$G$20000=CONFIG_METADATA!$B$4)*(DATOS!$I$2:$I$20000=B14)*(DATOS!$K$2:$K$20000=9))</f>
        <v>0</v>
      </c>
      <c r="U14">
        <f>SUMPRODUCT((DATOS!$G$2:$G$20000=CONFIG_METADATA!$B$4)*(DATOS!$I$2:$I$20000=B14)*(DATOS!$K$2:$K$20000=10))</f>
        <v>0</v>
      </c>
    </row>
    <row r="15" spans="1:21" x14ac:dyDescent="0.2">
      <c r="A15" t="s">
        <v>116</v>
      </c>
      <c r="B15" t="s">
        <v>35</v>
      </c>
      <c r="C15" t="s">
        <v>25</v>
      </c>
      <c r="D15">
        <f>SUMPRODUCT((DATOS!$G$2:$G$20000=CONFIG_METADATA!$B$4)*(DATOS!$I$2:$I$20000=B15))</f>
        <v>0</v>
      </c>
      <c r="E15" s="10" t="str">
        <f>IFERROR(SUMPRODUCT((DATOS!$G$2:$G$20000=CONFIG_METADATA!$B$4)*(DATOS!$I$2:$I$20000=B15)*(DATOS!$K$2:$K$20000))/D15,"—")</f>
        <v>—</v>
      </c>
      <c r="F15" s="10" t="str" cm="1">
        <f t="array" ref="F15">IFERROR(_xlfn.STDEV.P(_xlfn._xlws.FILTER(DATOS!$K$2:$K$20000,(DATOS!$G$2:$G$20000=CONFIG_METADATA!$B$4)*(DATOS!$I$2:$I$20000=B15))),"—")</f>
        <v>—</v>
      </c>
      <c r="G15" t="str" cm="1">
        <f t="array" ref="G15">IFERROR(_xlfn.MODE.SNGL(_xlfn._xlws.FILTER(DATOS!$K$2:$K$20000,(DATOS!$G$2:$G$20000=CONFIG_METADATA!$B$4)*(DATOS!$I$2:$I$20000=B15))),"—")</f>
        <v>—</v>
      </c>
      <c r="H15" s="11" t="str">
        <f>IFERROR(SUMPRODUCT((DATOS!$G$2:$G$20000=CONFIG_METADATA!$B$4)*(DATOS!$I$2:$I$20000=B15)*(DATOS!$L$2:$L$20000="S"))/D15,"—")</f>
        <v>—</v>
      </c>
      <c r="I15" s="11" t="str">
        <f>IFERROR(SUMPRODUCT((DATOS!$G$2:$G$20000=CONFIG_METADATA!$B$4)*(DATOS!$I$2:$I$20000=B15)*(DATOS!$L$2:$L$20000="N"))/D15,"—")</f>
        <v>—</v>
      </c>
      <c r="J15" t="str" cm="1">
        <f t="array" ref="J15">IFERROR(_xlfn.MODE.SNGL(_xlfn._xlws.FILTER(DATOS!$K$2:$K$20000,(DATOS!$G$2:$G$20000=CONFIG_METADATA!$B$4)*(DATOS!$I$2:$I$20000=B15)*(DATOS!$L$2:$L$20000="S"))),"—")</f>
        <v>—</v>
      </c>
      <c r="K15" t="str" cm="1">
        <f t="array" ref="K15">IFERROR(_xlfn.MODE.SNGL(_xlfn._xlws.FILTER(DATOS!$K$2:$K$20000,(DATOS!$G$2:$G$20000=CONFIG_METADATA!$B$4)*(DATOS!$I$2:$I$20000=B15)*(DATOS!$L$2:$L$20000="N"))),"—")</f>
        <v>—</v>
      </c>
      <c r="L15">
        <f>SUMPRODUCT((DATOS!$G$2:$G$20000=CONFIG_METADATA!$B$4)*(DATOS!$I$2:$I$20000=B15)*(DATOS!$K$2:$K$20000=1))</f>
        <v>0</v>
      </c>
      <c r="M15">
        <f>SUMPRODUCT((DATOS!$G$2:$G$20000=CONFIG_METADATA!$B$4)*(DATOS!$I$2:$I$20000=B15)*(DATOS!$K$2:$K$20000=2))</f>
        <v>0</v>
      </c>
      <c r="N15">
        <f>SUMPRODUCT((DATOS!$G$2:$G$20000=CONFIG_METADATA!$B$4)*(DATOS!$I$2:$I$20000=B15)*(DATOS!$K$2:$K$20000=3))</f>
        <v>0</v>
      </c>
      <c r="O15">
        <f>SUMPRODUCT((DATOS!$G$2:$G$20000=CONFIG_METADATA!$B$4)*(DATOS!$I$2:$I$20000=B15)*(DATOS!$K$2:$K$20000=4))</f>
        <v>0</v>
      </c>
      <c r="P15">
        <f>SUMPRODUCT((DATOS!$G$2:$G$20000=CONFIG_METADATA!$B$4)*(DATOS!$I$2:$I$20000=B15)*(DATOS!$K$2:$K$20000=5))</f>
        <v>0</v>
      </c>
      <c r="Q15">
        <f>SUMPRODUCT((DATOS!$G$2:$G$20000=CONFIG_METADATA!$B$4)*(DATOS!$I$2:$I$20000=B15)*(DATOS!$K$2:$K$20000=6))</f>
        <v>0</v>
      </c>
      <c r="R15">
        <f>SUMPRODUCT((DATOS!$G$2:$G$20000=CONFIG_METADATA!$B$4)*(DATOS!$I$2:$I$20000=B15)*(DATOS!$K$2:$K$20000=7))</f>
        <v>0</v>
      </c>
      <c r="S15">
        <f>SUMPRODUCT((DATOS!$G$2:$G$20000=CONFIG_METADATA!$B$4)*(DATOS!$I$2:$I$20000=B15)*(DATOS!$K$2:$K$20000=8))</f>
        <v>0</v>
      </c>
      <c r="T15">
        <f>SUMPRODUCT((DATOS!$G$2:$G$20000=CONFIG_METADATA!$B$4)*(DATOS!$I$2:$I$20000=B15)*(DATOS!$K$2:$K$20000=9))</f>
        <v>0</v>
      </c>
      <c r="U15">
        <f>SUMPRODUCT((DATOS!$G$2:$G$20000=CONFIG_METADATA!$B$4)*(DATOS!$I$2:$I$20000=B15)*(DATOS!$K$2:$K$20000=10))</f>
        <v>0</v>
      </c>
    </row>
    <row r="16" spans="1:21" x14ac:dyDescent="0.2">
      <c r="A16" t="s">
        <v>116</v>
      </c>
      <c r="B16" t="s">
        <v>36</v>
      </c>
      <c r="C16" t="s">
        <v>25</v>
      </c>
      <c r="D16">
        <f>SUMPRODUCT((DATOS!$G$2:$G$20000=CONFIG_METADATA!$B$4)*(DATOS!$I$2:$I$20000=B16))</f>
        <v>0</v>
      </c>
      <c r="E16" s="10" t="str">
        <f>IFERROR(SUMPRODUCT((DATOS!$G$2:$G$20000=CONFIG_METADATA!$B$4)*(DATOS!$I$2:$I$20000=B16)*(DATOS!$K$2:$K$20000))/D16,"—")</f>
        <v>—</v>
      </c>
      <c r="F16" s="10" t="str" cm="1">
        <f t="array" ref="F16">IFERROR(_xlfn.STDEV.P(_xlfn._xlws.FILTER(DATOS!$K$2:$K$20000,(DATOS!$G$2:$G$20000=CONFIG_METADATA!$B$4)*(DATOS!$I$2:$I$20000=B16))),"—")</f>
        <v>—</v>
      </c>
      <c r="G16" t="str" cm="1">
        <f t="array" ref="G16">IFERROR(_xlfn.MODE.SNGL(_xlfn._xlws.FILTER(DATOS!$K$2:$K$20000,(DATOS!$G$2:$G$20000=CONFIG_METADATA!$B$4)*(DATOS!$I$2:$I$20000=B16))),"—")</f>
        <v>—</v>
      </c>
      <c r="H16" s="11" t="str">
        <f>IFERROR(SUMPRODUCT((DATOS!$G$2:$G$20000=CONFIG_METADATA!$B$4)*(DATOS!$I$2:$I$20000=B16)*(DATOS!$L$2:$L$20000="S"))/D16,"—")</f>
        <v>—</v>
      </c>
      <c r="I16" s="11" t="str">
        <f>IFERROR(SUMPRODUCT((DATOS!$G$2:$G$20000=CONFIG_METADATA!$B$4)*(DATOS!$I$2:$I$20000=B16)*(DATOS!$L$2:$L$20000="N"))/D16,"—")</f>
        <v>—</v>
      </c>
      <c r="J16" t="str" cm="1">
        <f t="array" ref="J16">IFERROR(_xlfn.MODE.SNGL(_xlfn._xlws.FILTER(DATOS!$K$2:$K$20000,(DATOS!$G$2:$G$20000=CONFIG_METADATA!$B$4)*(DATOS!$I$2:$I$20000=B16)*(DATOS!$L$2:$L$20000="S"))),"—")</f>
        <v>—</v>
      </c>
      <c r="K16" t="str" cm="1">
        <f t="array" ref="K16">IFERROR(_xlfn.MODE.SNGL(_xlfn._xlws.FILTER(DATOS!$K$2:$K$20000,(DATOS!$G$2:$G$20000=CONFIG_METADATA!$B$4)*(DATOS!$I$2:$I$20000=B16)*(DATOS!$L$2:$L$20000="N"))),"—")</f>
        <v>—</v>
      </c>
      <c r="L16">
        <f>SUMPRODUCT((DATOS!$G$2:$G$20000=CONFIG_METADATA!$B$4)*(DATOS!$I$2:$I$20000=B16)*(DATOS!$K$2:$K$20000=1))</f>
        <v>0</v>
      </c>
      <c r="M16">
        <f>SUMPRODUCT((DATOS!$G$2:$G$20000=CONFIG_METADATA!$B$4)*(DATOS!$I$2:$I$20000=B16)*(DATOS!$K$2:$K$20000=2))</f>
        <v>0</v>
      </c>
      <c r="N16">
        <f>SUMPRODUCT((DATOS!$G$2:$G$20000=CONFIG_METADATA!$B$4)*(DATOS!$I$2:$I$20000=B16)*(DATOS!$K$2:$K$20000=3))</f>
        <v>0</v>
      </c>
      <c r="O16">
        <f>SUMPRODUCT((DATOS!$G$2:$G$20000=CONFIG_METADATA!$B$4)*(DATOS!$I$2:$I$20000=B16)*(DATOS!$K$2:$K$20000=4))</f>
        <v>0</v>
      </c>
      <c r="P16">
        <f>SUMPRODUCT((DATOS!$G$2:$G$20000=CONFIG_METADATA!$B$4)*(DATOS!$I$2:$I$20000=B16)*(DATOS!$K$2:$K$20000=5))</f>
        <v>0</v>
      </c>
      <c r="Q16">
        <f>SUMPRODUCT((DATOS!$G$2:$G$20000=CONFIG_METADATA!$B$4)*(DATOS!$I$2:$I$20000=B16)*(DATOS!$K$2:$K$20000=6))</f>
        <v>0</v>
      </c>
      <c r="R16">
        <f>SUMPRODUCT((DATOS!$G$2:$G$20000=CONFIG_METADATA!$B$4)*(DATOS!$I$2:$I$20000=B16)*(DATOS!$K$2:$K$20000=7))</f>
        <v>0</v>
      </c>
      <c r="S16">
        <f>SUMPRODUCT((DATOS!$G$2:$G$20000=CONFIG_METADATA!$B$4)*(DATOS!$I$2:$I$20000=B16)*(DATOS!$K$2:$K$20000=8))</f>
        <v>0</v>
      </c>
      <c r="T16">
        <f>SUMPRODUCT((DATOS!$G$2:$G$20000=CONFIG_METADATA!$B$4)*(DATOS!$I$2:$I$20000=B16)*(DATOS!$K$2:$K$20000=9))</f>
        <v>0</v>
      </c>
      <c r="U16">
        <f>SUMPRODUCT((DATOS!$G$2:$G$20000=CONFIG_METADATA!$B$4)*(DATOS!$I$2:$I$20000=B16)*(DATOS!$K$2:$K$20000=10))</f>
        <v>0</v>
      </c>
    </row>
    <row r="17" spans="1:21" x14ac:dyDescent="0.2">
      <c r="A17" t="s">
        <v>116</v>
      </c>
      <c r="B17" t="s">
        <v>37</v>
      </c>
      <c r="C17" t="s">
        <v>25</v>
      </c>
      <c r="D17">
        <f>SUMPRODUCT((DATOS!$G$2:$G$20000=CONFIG_METADATA!$B$4)*(DATOS!$I$2:$I$20000=B17))</f>
        <v>0</v>
      </c>
      <c r="E17" s="10" t="str">
        <f>IFERROR(SUMPRODUCT((DATOS!$G$2:$G$20000=CONFIG_METADATA!$B$4)*(DATOS!$I$2:$I$20000=B17)*(DATOS!$K$2:$K$20000))/D17,"—")</f>
        <v>—</v>
      </c>
      <c r="F17" s="10" t="str" cm="1">
        <f t="array" ref="F17">IFERROR(_xlfn.STDEV.P(_xlfn._xlws.FILTER(DATOS!$K$2:$K$20000,(DATOS!$G$2:$G$20000=CONFIG_METADATA!$B$4)*(DATOS!$I$2:$I$20000=B17))),"—")</f>
        <v>—</v>
      </c>
      <c r="G17" t="str" cm="1">
        <f t="array" ref="G17">IFERROR(_xlfn.MODE.SNGL(_xlfn._xlws.FILTER(DATOS!$K$2:$K$20000,(DATOS!$G$2:$G$20000=CONFIG_METADATA!$B$4)*(DATOS!$I$2:$I$20000=B17))),"—")</f>
        <v>—</v>
      </c>
      <c r="H17" s="11" t="str">
        <f>IFERROR(SUMPRODUCT((DATOS!$G$2:$G$20000=CONFIG_METADATA!$B$4)*(DATOS!$I$2:$I$20000=B17)*(DATOS!$L$2:$L$20000="S"))/D17,"—")</f>
        <v>—</v>
      </c>
      <c r="I17" s="11" t="str">
        <f>IFERROR(SUMPRODUCT((DATOS!$G$2:$G$20000=CONFIG_METADATA!$B$4)*(DATOS!$I$2:$I$20000=B17)*(DATOS!$L$2:$L$20000="N"))/D17,"—")</f>
        <v>—</v>
      </c>
      <c r="J17" t="str" cm="1">
        <f t="array" ref="J17">IFERROR(_xlfn.MODE.SNGL(_xlfn._xlws.FILTER(DATOS!$K$2:$K$20000,(DATOS!$G$2:$G$20000=CONFIG_METADATA!$B$4)*(DATOS!$I$2:$I$20000=B17)*(DATOS!$L$2:$L$20000="S"))),"—")</f>
        <v>—</v>
      </c>
      <c r="K17" t="str" cm="1">
        <f t="array" ref="K17">IFERROR(_xlfn.MODE.SNGL(_xlfn._xlws.FILTER(DATOS!$K$2:$K$20000,(DATOS!$G$2:$G$20000=CONFIG_METADATA!$B$4)*(DATOS!$I$2:$I$20000=B17)*(DATOS!$L$2:$L$20000="N"))),"—")</f>
        <v>—</v>
      </c>
      <c r="L17">
        <f>SUMPRODUCT((DATOS!$G$2:$G$20000=CONFIG_METADATA!$B$4)*(DATOS!$I$2:$I$20000=B17)*(DATOS!$K$2:$K$20000=1))</f>
        <v>0</v>
      </c>
      <c r="M17">
        <f>SUMPRODUCT((DATOS!$G$2:$G$20000=CONFIG_METADATA!$B$4)*(DATOS!$I$2:$I$20000=B17)*(DATOS!$K$2:$K$20000=2))</f>
        <v>0</v>
      </c>
      <c r="N17">
        <f>SUMPRODUCT((DATOS!$G$2:$G$20000=CONFIG_METADATA!$B$4)*(DATOS!$I$2:$I$20000=B17)*(DATOS!$K$2:$K$20000=3))</f>
        <v>0</v>
      </c>
      <c r="O17">
        <f>SUMPRODUCT((DATOS!$G$2:$G$20000=CONFIG_METADATA!$B$4)*(DATOS!$I$2:$I$20000=B17)*(DATOS!$K$2:$K$20000=4))</f>
        <v>0</v>
      </c>
      <c r="P17">
        <f>SUMPRODUCT((DATOS!$G$2:$G$20000=CONFIG_METADATA!$B$4)*(DATOS!$I$2:$I$20000=B17)*(DATOS!$K$2:$K$20000=5))</f>
        <v>0</v>
      </c>
      <c r="Q17">
        <f>SUMPRODUCT((DATOS!$G$2:$G$20000=CONFIG_METADATA!$B$4)*(DATOS!$I$2:$I$20000=B17)*(DATOS!$K$2:$K$20000=6))</f>
        <v>0</v>
      </c>
      <c r="R17">
        <f>SUMPRODUCT((DATOS!$G$2:$G$20000=CONFIG_METADATA!$B$4)*(DATOS!$I$2:$I$20000=B17)*(DATOS!$K$2:$K$20000=7))</f>
        <v>0</v>
      </c>
      <c r="S17">
        <f>SUMPRODUCT((DATOS!$G$2:$G$20000=CONFIG_METADATA!$B$4)*(DATOS!$I$2:$I$20000=B17)*(DATOS!$K$2:$K$20000=8))</f>
        <v>0</v>
      </c>
      <c r="T17">
        <f>SUMPRODUCT((DATOS!$G$2:$G$20000=CONFIG_METADATA!$B$4)*(DATOS!$I$2:$I$20000=B17)*(DATOS!$K$2:$K$20000=9))</f>
        <v>0</v>
      </c>
      <c r="U17">
        <f>SUMPRODUCT((DATOS!$G$2:$G$20000=CONFIG_METADATA!$B$4)*(DATOS!$I$2:$I$20000=B17)*(DATOS!$K$2:$K$20000=10))</f>
        <v>0</v>
      </c>
    </row>
    <row r="18" spans="1:21" x14ac:dyDescent="0.2">
      <c r="A18" t="s">
        <v>116</v>
      </c>
      <c r="B18" t="s">
        <v>38</v>
      </c>
      <c r="C18" t="s">
        <v>25</v>
      </c>
      <c r="D18">
        <f>SUMPRODUCT((DATOS!$G$2:$G$20000=CONFIG_METADATA!$B$4)*(DATOS!$I$2:$I$20000=B18))</f>
        <v>0</v>
      </c>
      <c r="E18" s="10" t="str">
        <f>IFERROR(SUMPRODUCT((DATOS!$G$2:$G$20000=CONFIG_METADATA!$B$4)*(DATOS!$I$2:$I$20000=B18)*(DATOS!$K$2:$K$20000))/D18,"—")</f>
        <v>—</v>
      </c>
      <c r="F18" s="10" t="str" cm="1">
        <f t="array" ref="F18">IFERROR(_xlfn.STDEV.P(_xlfn._xlws.FILTER(DATOS!$K$2:$K$20000,(DATOS!$G$2:$G$20000=CONFIG_METADATA!$B$4)*(DATOS!$I$2:$I$20000=B18))),"—")</f>
        <v>—</v>
      </c>
      <c r="G18" t="str" cm="1">
        <f t="array" ref="G18">IFERROR(_xlfn.MODE.SNGL(_xlfn._xlws.FILTER(DATOS!$K$2:$K$20000,(DATOS!$G$2:$G$20000=CONFIG_METADATA!$B$4)*(DATOS!$I$2:$I$20000=B18))),"—")</f>
        <v>—</v>
      </c>
      <c r="H18" s="11" t="str">
        <f>IFERROR(SUMPRODUCT((DATOS!$G$2:$G$20000=CONFIG_METADATA!$B$4)*(DATOS!$I$2:$I$20000=B18)*(DATOS!$L$2:$L$20000="S"))/D18,"—")</f>
        <v>—</v>
      </c>
      <c r="I18" s="11" t="str">
        <f>IFERROR(SUMPRODUCT((DATOS!$G$2:$G$20000=CONFIG_METADATA!$B$4)*(DATOS!$I$2:$I$20000=B18)*(DATOS!$L$2:$L$20000="N"))/D18,"—")</f>
        <v>—</v>
      </c>
      <c r="J18" t="str" cm="1">
        <f t="array" ref="J18">IFERROR(_xlfn.MODE.SNGL(_xlfn._xlws.FILTER(DATOS!$K$2:$K$20000,(DATOS!$G$2:$G$20000=CONFIG_METADATA!$B$4)*(DATOS!$I$2:$I$20000=B18)*(DATOS!$L$2:$L$20000="S"))),"—")</f>
        <v>—</v>
      </c>
      <c r="K18" t="str" cm="1">
        <f t="array" ref="K18">IFERROR(_xlfn.MODE.SNGL(_xlfn._xlws.FILTER(DATOS!$K$2:$K$20000,(DATOS!$G$2:$G$20000=CONFIG_METADATA!$B$4)*(DATOS!$I$2:$I$20000=B18)*(DATOS!$L$2:$L$20000="N"))),"—")</f>
        <v>—</v>
      </c>
      <c r="L18">
        <f>SUMPRODUCT((DATOS!$G$2:$G$20000=CONFIG_METADATA!$B$4)*(DATOS!$I$2:$I$20000=B18)*(DATOS!$K$2:$K$20000=1))</f>
        <v>0</v>
      </c>
      <c r="M18">
        <f>SUMPRODUCT((DATOS!$G$2:$G$20000=CONFIG_METADATA!$B$4)*(DATOS!$I$2:$I$20000=B18)*(DATOS!$K$2:$K$20000=2))</f>
        <v>0</v>
      </c>
      <c r="N18">
        <f>SUMPRODUCT((DATOS!$G$2:$G$20000=CONFIG_METADATA!$B$4)*(DATOS!$I$2:$I$20000=B18)*(DATOS!$K$2:$K$20000=3))</f>
        <v>0</v>
      </c>
      <c r="O18">
        <f>SUMPRODUCT((DATOS!$G$2:$G$20000=CONFIG_METADATA!$B$4)*(DATOS!$I$2:$I$20000=B18)*(DATOS!$K$2:$K$20000=4))</f>
        <v>0</v>
      </c>
      <c r="P18">
        <f>SUMPRODUCT((DATOS!$G$2:$G$20000=CONFIG_METADATA!$B$4)*(DATOS!$I$2:$I$20000=B18)*(DATOS!$K$2:$K$20000=5))</f>
        <v>0</v>
      </c>
      <c r="Q18">
        <f>SUMPRODUCT((DATOS!$G$2:$G$20000=CONFIG_METADATA!$B$4)*(DATOS!$I$2:$I$20000=B18)*(DATOS!$K$2:$K$20000=6))</f>
        <v>0</v>
      </c>
      <c r="R18">
        <f>SUMPRODUCT((DATOS!$G$2:$G$20000=CONFIG_METADATA!$B$4)*(DATOS!$I$2:$I$20000=B18)*(DATOS!$K$2:$K$20000=7))</f>
        <v>0</v>
      </c>
      <c r="S18">
        <f>SUMPRODUCT((DATOS!$G$2:$G$20000=CONFIG_METADATA!$B$4)*(DATOS!$I$2:$I$20000=B18)*(DATOS!$K$2:$K$20000=8))</f>
        <v>0</v>
      </c>
      <c r="T18">
        <f>SUMPRODUCT((DATOS!$G$2:$G$20000=CONFIG_METADATA!$B$4)*(DATOS!$I$2:$I$20000=B18)*(DATOS!$K$2:$K$20000=9))</f>
        <v>0</v>
      </c>
      <c r="U18">
        <f>SUMPRODUCT((DATOS!$G$2:$G$20000=CONFIG_METADATA!$B$4)*(DATOS!$I$2:$I$20000=B18)*(DATOS!$K$2:$K$20000=10))</f>
        <v>0</v>
      </c>
    </row>
    <row r="19" spans="1:21" x14ac:dyDescent="0.2">
      <c r="A19" t="s">
        <v>116</v>
      </c>
      <c r="B19" t="s">
        <v>39</v>
      </c>
      <c r="C19" t="s">
        <v>25</v>
      </c>
      <c r="D19">
        <f>SUMPRODUCT((DATOS!$G$2:$G$20000=CONFIG_METADATA!$B$4)*(DATOS!$I$2:$I$20000=B19))</f>
        <v>0</v>
      </c>
      <c r="E19" s="10" t="str">
        <f>IFERROR(SUMPRODUCT((DATOS!$G$2:$G$20000=CONFIG_METADATA!$B$4)*(DATOS!$I$2:$I$20000=B19)*(DATOS!$K$2:$K$20000))/D19,"—")</f>
        <v>—</v>
      </c>
      <c r="F19" s="10" t="str" cm="1">
        <f t="array" ref="F19">IFERROR(_xlfn.STDEV.P(_xlfn._xlws.FILTER(DATOS!$K$2:$K$20000,(DATOS!$G$2:$G$20000=CONFIG_METADATA!$B$4)*(DATOS!$I$2:$I$20000=B19))),"—")</f>
        <v>—</v>
      </c>
      <c r="G19" t="str" cm="1">
        <f t="array" ref="G19">IFERROR(_xlfn.MODE.SNGL(_xlfn._xlws.FILTER(DATOS!$K$2:$K$20000,(DATOS!$G$2:$G$20000=CONFIG_METADATA!$B$4)*(DATOS!$I$2:$I$20000=B19))),"—")</f>
        <v>—</v>
      </c>
      <c r="H19" s="11" t="str">
        <f>IFERROR(SUMPRODUCT((DATOS!$G$2:$G$20000=CONFIG_METADATA!$B$4)*(DATOS!$I$2:$I$20000=B19)*(DATOS!$L$2:$L$20000="S"))/D19,"—")</f>
        <v>—</v>
      </c>
      <c r="I19" s="11" t="str">
        <f>IFERROR(SUMPRODUCT((DATOS!$G$2:$G$20000=CONFIG_METADATA!$B$4)*(DATOS!$I$2:$I$20000=B19)*(DATOS!$L$2:$L$20000="N"))/D19,"—")</f>
        <v>—</v>
      </c>
      <c r="J19" t="str" cm="1">
        <f t="array" ref="J19">IFERROR(_xlfn.MODE.SNGL(_xlfn._xlws.FILTER(DATOS!$K$2:$K$20000,(DATOS!$G$2:$G$20000=CONFIG_METADATA!$B$4)*(DATOS!$I$2:$I$20000=B19)*(DATOS!$L$2:$L$20000="S"))),"—")</f>
        <v>—</v>
      </c>
      <c r="K19" t="str" cm="1">
        <f t="array" ref="K19">IFERROR(_xlfn.MODE.SNGL(_xlfn._xlws.FILTER(DATOS!$K$2:$K$20000,(DATOS!$G$2:$G$20000=CONFIG_METADATA!$B$4)*(DATOS!$I$2:$I$20000=B19)*(DATOS!$L$2:$L$20000="N"))),"—")</f>
        <v>—</v>
      </c>
      <c r="L19">
        <f>SUMPRODUCT((DATOS!$G$2:$G$20000=CONFIG_METADATA!$B$4)*(DATOS!$I$2:$I$20000=B19)*(DATOS!$K$2:$K$20000=1))</f>
        <v>0</v>
      </c>
      <c r="M19">
        <f>SUMPRODUCT((DATOS!$G$2:$G$20000=CONFIG_METADATA!$B$4)*(DATOS!$I$2:$I$20000=B19)*(DATOS!$K$2:$K$20000=2))</f>
        <v>0</v>
      </c>
      <c r="N19">
        <f>SUMPRODUCT((DATOS!$G$2:$G$20000=CONFIG_METADATA!$B$4)*(DATOS!$I$2:$I$20000=B19)*(DATOS!$K$2:$K$20000=3))</f>
        <v>0</v>
      </c>
      <c r="O19">
        <f>SUMPRODUCT((DATOS!$G$2:$G$20000=CONFIG_METADATA!$B$4)*(DATOS!$I$2:$I$20000=B19)*(DATOS!$K$2:$K$20000=4))</f>
        <v>0</v>
      </c>
      <c r="P19">
        <f>SUMPRODUCT((DATOS!$G$2:$G$20000=CONFIG_METADATA!$B$4)*(DATOS!$I$2:$I$20000=B19)*(DATOS!$K$2:$K$20000=5))</f>
        <v>0</v>
      </c>
      <c r="Q19">
        <f>SUMPRODUCT((DATOS!$G$2:$G$20000=CONFIG_METADATA!$B$4)*(DATOS!$I$2:$I$20000=B19)*(DATOS!$K$2:$K$20000=6))</f>
        <v>0</v>
      </c>
      <c r="R19">
        <f>SUMPRODUCT((DATOS!$G$2:$G$20000=CONFIG_METADATA!$B$4)*(DATOS!$I$2:$I$20000=B19)*(DATOS!$K$2:$K$20000=7))</f>
        <v>0</v>
      </c>
      <c r="S19">
        <f>SUMPRODUCT((DATOS!$G$2:$G$20000=CONFIG_METADATA!$B$4)*(DATOS!$I$2:$I$20000=B19)*(DATOS!$K$2:$K$20000=8))</f>
        <v>0</v>
      </c>
      <c r="T19">
        <f>SUMPRODUCT((DATOS!$G$2:$G$20000=CONFIG_METADATA!$B$4)*(DATOS!$I$2:$I$20000=B19)*(DATOS!$K$2:$K$20000=9))</f>
        <v>0</v>
      </c>
      <c r="U19">
        <f>SUMPRODUCT((DATOS!$G$2:$G$20000=CONFIG_METADATA!$B$4)*(DATOS!$I$2:$I$20000=B19)*(DATOS!$K$2:$K$20000=10))</f>
        <v>0</v>
      </c>
    </row>
    <row r="20" spans="1:21" x14ac:dyDescent="0.2">
      <c r="A20" t="s">
        <v>116</v>
      </c>
      <c r="B20" t="s">
        <v>41</v>
      </c>
      <c r="C20" t="s">
        <v>25</v>
      </c>
      <c r="D20">
        <f>SUMPRODUCT((DATOS!$G$2:$G$20000=CONFIG_METADATA!$B$4)*(DATOS!$I$2:$I$20000=B20))</f>
        <v>0</v>
      </c>
      <c r="E20" s="10" t="str">
        <f>IFERROR(SUMPRODUCT((DATOS!$G$2:$G$20000=CONFIG_METADATA!$B$4)*(DATOS!$I$2:$I$20000=B20)*(DATOS!$K$2:$K$20000))/D20,"—")</f>
        <v>—</v>
      </c>
      <c r="F20" s="10" t="str" cm="1">
        <f t="array" ref="F20">IFERROR(_xlfn.STDEV.P(_xlfn._xlws.FILTER(DATOS!$K$2:$K$20000,(DATOS!$G$2:$G$20000=CONFIG_METADATA!$B$4)*(DATOS!$I$2:$I$20000=B20))),"—")</f>
        <v>—</v>
      </c>
      <c r="G20" t="str" cm="1">
        <f t="array" ref="G20">IFERROR(_xlfn.MODE.SNGL(_xlfn._xlws.FILTER(DATOS!$K$2:$K$20000,(DATOS!$G$2:$G$20000=CONFIG_METADATA!$B$4)*(DATOS!$I$2:$I$20000=B20))),"—")</f>
        <v>—</v>
      </c>
      <c r="H20" s="11" t="str">
        <f>IFERROR(SUMPRODUCT((DATOS!$G$2:$G$20000=CONFIG_METADATA!$B$4)*(DATOS!$I$2:$I$20000=B20)*(DATOS!$L$2:$L$20000="S"))/D20,"—")</f>
        <v>—</v>
      </c>
      <c r="I20" s="11" t="str">
        <f>IFERROR(SUMPRODUCT((DATOS!$G$2:$G$20000=CONFIG_METADATA!$B$4)*(DATOS!$I$2:$I$20000=B20)*(DATOS!$L$2:$L$20000="N"))/D20,"—")</f>
        <v>—</v>
      </c>
      <c r="J20" t="str" cm="1">
        <f t="array" ref="J20">IFERROR(_xlfn.MODE.SNGL(_xlfn._xlws.FILTER(DATOS!$K$2:$K$20000,(DATOS!$G$2:$G$20000=CONFIG_METADATA!$B$4)*(DATOS!$I$2:$I$20000=B20)*(DATOS!$L$2:$L$20000="S"))),"—")</f>
        <v>—</v>
      </c>
      <c r="K20" t="str" cm="1">
        <f t="array" ref="K20">IFERROR(_xlfn.MODE.SNGL(_xlfn._xlws.FILTER(DATOS!$K$2:$K$20000,(DATOS!$G$2:$G$20000=CONFIG_METADATA!$B$4)*(DATOS!$I$2:$I$20000=B20)*(DATOS!$L$2:$L$20000="N"))),"—")</f>
        <v>—</v>
      </c>
      <c r="L20">
        <f>SUMPRODUCT((DATOS!$G$2:$G$20000=CONFIG_METADATA!$B$4)*(DATOS!$I$2:$I$20000=B20)*(DATOS!$K$2:$K$20000=1))</f>
        <v>0</v>
      </c>
      <c r="M20">
        <f>SUMPRODUCT((DATOS!$G$2:$G$20000=CONFIG_METADATA!$B$4)*(DATOS!$I$2:$I$20000=B20)*(DATOS!$K$2:$K$20000=2))</f>
        <v>0</v>
      </c>
      <c r="N20">
        <f>SUMPRODUCT((DATOS!$G$2:$G$20000=CONFIG_METADATA!$B$4)*(DATOS!$I$2:$I$20000=B20)*(DATOS!$K$2:$K$20000=3))</f>
        <v>0</v>
      </c>
      <c r="O20">
        <f>SUMPRODUCT((DATOS!$G$2:$G$20000=CONFIG_METADATA!$B$4)*(DATOS!$I$2:$I$20000=B20)*(DATOS!$K$2:$K$20000=4))</f>
        <v>0</v>
      </c>
      <c r="P20">
        <f>SUMPRODUCT((DATOS!$G$2:$G$20000=CONFIG_METADATA!$B$4)*(DATOS!$I$2:$I$20000=B20)*(DATOS!$K$2:$K$20000=5))</f>
        <v>0</v>
      </c>
      <c r="Q20">
        <f>SUMPRODUCT((DATOS!$G$2:$G$20000=CONFIG_METADATA!$B$4)*(DATOS!$I$2:$I$20000=B20)*(DATOS!$K$2:$K$20000=6))</f>
        <v>0</v>
      </c>
      <c r="R20">
        <f>SUMPRODUCT((DATOS!$G$2:$G$20000=CONFIG_METADATA!$B$4)*(DATOS!$I$2:$I$20000=B20)*(DATOS!$K$2:$K$20000=7))</f>
        <v>0</v>
      </c>
      <c r="S20">
        <f>SUMPRODUCT((DATOS!$G$2:$G$20000=CONFIG_METADATA!$B$4)*(DATOS!$I$2:$I$20000=B20)*(DATOS!$K$2:$K$20000=8))</f>
        <v>0</v>
      </c>
      <c r="T20">
        <f>SUMPRODUCT((DATOS!$G$2:$G$20000=CONFIG_METADATA!$B$4)*(DATOS!$I$2:$I$20000=B20)*(DATOS!$K$2:$K$20000=9))</f>
        <v>0</v>
      </c>
      <c r="U20">
        <f>SUMPRODUCT((DATOS!$G$2:$G$20000=CONFIG_METADATA!$B$4)*(DATOS!$I$2:$I$20000=B20)*(DATOS!$K$2:$K$20000=10))</f>
        <v>0</v>
      </c>
    </row>
    <row r="21" spans="1:21" x14ac:dyDescent="0.2">
      <c r="A21" t="s">
        <v>116</v>
      </c>
      <c r="B21" t="s">
        <v>43</v>
      </c>
      <c r="C21" t="s">
        <v>25</v>
      </c>
      <c r="D21">
        <f>SUMPRODUCT((DATOS!$G$2:$G$20000=CONFIG_METADATA!$B$4)*(DATOS!$I$2:$I$20000=B21))</f>
        <v>0</v>
      </c>
      <c r="E21" s="10" t="str">
        <f>IFERROR(SUMPRODUCT((DATOS!$G$2:$G$20000=CONFIG_METADATA!$B$4)*(DATOS!$I$2:$I$20000=B21)*(DATOS!$K$2:$K$20000))/D21,"—")</f>
        <v>—</v>
      </c>
      <c r="F21" s="10" t="str" cm="1">
        <f t="array" ref="F21">IFERROR(_xlfn.STDEV.P(_xlfn._xlws.FILTER(DATOS!$K$2:$K$20000,(DATOS!$G$2:$G$20000=CONFIG_METADATA!$B$4)*(DATOS!$I$2:$I$20000=B21))),"—")</f>
        <v>—</v>
      </c>
      <c r="G21" t="str" cm="1">
        <f t="array" ref="G21">IFERROR(_xlfn.MODE.SNGL(_xlfn._xlws.FILTER(DATOS!$K$2:$K$20000,(DATOS!$G$2:$G$20000=CONFIG_METADATA!$B$4)*(DATOS!$I$2:$I$20000=B21))),"—")</f>
        <v>—</v>
      </c>
      <c r="H21" s="11" t="str">
        <f>IFERROR(SUMPRODUCT((DATOS!$G$2:$G$20000=CONFIG_METADATA!$B$4)*(DATOS!$I$2:$I$20000=B21)*(DATOS!$L$2:$L$20000="S"))/D21,"—")</f>
        <v>—</v>
      </c>
      <c r="I21" s="11" t="str">
        <f>IFERROR(SUMPRODUCT((DATOS!$G$2:$G$20000=CONFIG_METADATA!$B$4)*(DATOS!$I$2:$I$20000=B21)*(DATOS!$L$2:$L$20000="N"))/D21,"—")</f>
        <v>—</v>
      </c>
      <c r="J21" t="str" cm="1">
        <f t="array" ref="J21">IFERROR(_xlfn.MODE.SNGL(_xlfn._xlws.FILTER(DATOS!$K$2:$K$20000,(DATOS!$G$2:$G$20000=CONFIG_METADATA!$B$4)*(DATOS!$I$2:$I$20000=B21)*(DATOS!$L$2:$L$20000="S"))),"—")</f>
        <v>—</v>
      </c>
      <c r="K21" t="str" cm="1">
        <f t="array" ref="K21">IFERROR(_xlfn.MODE.SNGL(_xlfn._xlws.FILTER(DATOS!$K$2:$K$20000,(DATOS!$G$2:$G$20000=CONFIG_METADATA!$B$4)*(DATOS!$I$2:$I$20000=B21)*(DATOS!$L$2:$L$20000="N"))),"—")</f>
        <v>—</v>
      </c>
      <c r="L21">
        <f>SUMPRODUCT((DATOS!$G$2:$G$20000=CONFIG_METADATA!$B$4)*(DATOS!$I$2:$I$20000=B21)*(DATOS!$K$2:$K$20000=1))</f>
        <v>0</v>
      </c>
      <c r="M21">
        <f>SUMPRODUCT((DATOS!$G$2:$G$20000=CONFIG_METADATA!$B$4)*(DATOS!$I$2:$I$20000=B21)*(DATOS!$K$2:$K$20000=2))</f>
        <v>0</v>
      </c>
      <c r="N21">
        <f>SUMPRODUCT((DATOS!$G$2:$G$20000=CONFIG_METADATA!$B$4)*(DATOS!$I$2:$I$20000=B21)*(DATOS!$K$2:$K$20000=3))</f>
        <v>0</v>
      </c>
      <c r="O21">
        <f>SUMPRODUCT((DATOS!$G$2:$G$20000=CONFIG_METADATA!$B$4)*(DATOS!$I$2:$I$20000=B21)*(DATOS!$K$2:$K$20000=4))</f>
        <v>0</v>
      </c>
      <c r="P21">
        <f>SUMPRODUCT((DATOS!$G$2:$G$20000=CONFIG_METADATA!$B$4)*(DATOS!$I$2:$I$20000=B21)*(DATOS!$K$2:$K$20000=5))</f>
        <v>0</v>
      </c>
      <c r="Q21">
        <f>SUMPRODUCT((DATOS!$G$2:$G$20000=CONFIG_METADATA!$B$4)*(DATOS!$I$2:$I$20000=B21)*(DATOS!$K$2:$K$20000=6))</f>
        <v>0</v>
      </c>
      <c r="R21">
        <f>SUMPRODUCT((DATOS!$G$2:$G$20000=CONFIG_METADATA!$B$4)*(DATOS!$I$2:$I$20000=B21)*(DATOS!$K$2:$K$20000=7))</f>
        <v>0</v>
      </c>
      <c r="S21">
        <f>SUMPRODUCT((DATOS!$G$2:$G$20000=CONFIG_METADATA!$B$4)*(DATOS!$I$2:$I$20000=B21)*(DATOS!$K$2:$K$20000=8))</f>
        <v>0</v>
      </c>
      <c r="T21">
        <f>SUMPRODUCT((DATOS!$G$2:$G$20000=CONFIG_METADATA!$B$4)*(DATOS!$I$2:$I$20000=B21)*(DATOS!$K$2:$K$20000=9))</f>
        <v>0</v>
      </c>
      <c r="U21">
        <f>SUMPRODUCT((DATOS!$G$2:$G$20000=CONFIG_METADATA!$B$4)*(DATOS!$I$2:$I$20000=B21)*(DATOS!$K$2:$K$20000=10))</f>
        <v>0</v>
      </c>
    </row>
    <row r="22" spans="1:21" x14ac:dyDescent="0.2">
      <c r="A22" t="s">
        <v>116</v>
      </c>
      <c r="B22" t="s">
        <v>44</v>
      </c>
      <c r="C22" t="s">
        <v>25</v>
      </c>
      <c r="D22">
        <f>SUMPRODUCT((DATOS!$G$2:$G$20000=CONFIG_METADATA!$B$4)*(DATOS!$I$2:$I$20000=B22))</f>
        <v>0</v>
      </c>
      <c r="E22" s="10" t="str">
        <f>IFERROR(SUMPRODUCT((DATOS!$G$2:$G$20000=CONFIG_METADATA!$B$4)*(DATOS!$I$2:$I$20000=B22)*(DATOS!$K$2:$K$20000))/D22,"—")</f>
        <v>—</v>
      </c>
      <c r="F22" s="10" t="str" cm="1">
        <f t="array" ref="F22">IFERROR(_xlfn.STDEV.P(_xlfn._xlws.FILTER(DATOS!$K$2:$K$20000,(DATOS!$G$2:$G$20000=CONFIG_METADATA!$B$4)*(DATOS!$I$2:$I$20000=B22))),"—")</f>
        <v>—</v>
      </c>
      <c r="G22" t="str" cm="1">
        <f t="array" ref="G22">IFERROR(_xlfn.MODE.SNGL(_xlfn._xlws.FILTER(DATOS!$K$2:$K$20000,(DATOS!$G$2:$G$20000=CONFIG_METADATA!$B$4)*(DATOS!$I$2:$I$20000=B22))),"—")</f>
        <v>—</v>
      </c>
      <c r="H22" s="11" t="str">
        <f>IFERROR(SUMPRODUCT((DATOS!$G$2:$G$20000=CONFIG_METADATA!$B$4)*(DATOS!$I$2:$I$20000=B22)*(DATOS!$L$2:$L$20000="S"))/D22,"—")</f>
        <v>—</v>
      </c>
      <c r="I22" s="11" t="str">
        <f>IFERROR(SUMPRODUCT((DATOS!$G$2:$G$20000=CONFIG_METADATA!$B$4)*(DATOS!$I$2:$I$20000=B22)*(DATOS!$L$2:$L$20000="N"))/D22,"—")</f>
        <v>—</v>
      </c>
      <c r="J22" t="str" cm="1">
        <f t="array" ref="J22">IFERROR(_xlfn.MODE.SNGL(_xlfn._xlws.FILTER(DATOS!$K$2:$K$20000,(DATOS!$G$2:$G$20000=CONFIG_METADATA!$B$4)*(DATOS!$I$2:$I$20000=B22)*(DATOS!$L$2:$L$20000="S"))),"—")</f>
        <v>—</v>
      </c>
      <c r="K22" t="str" cm="1">
        <f t="array" ref="K22">IFERROR(_xlfn.MODE.SNGL(_xlfn._xlws.FILTER(DATOS!$K$2:$K$20000,(DATOS!$G$2:$G$20000=CONFIG_METADATA!$B$4)*(DATOS!$I$2:$I$20000=B22)*(DATOS!$L$2:$L$20000="N"))),"—")</f>
        <v>—</v>
      </c>
      <c r="L22">
        <f>SUMPRODUCT((DATOS!$G$2:$G$20000=CONFIG_METADATA!$B$4)*(DATOS!$I$2:$I$20000=B22)*(DATOS!$K$2:$K$20000=1))</f>
        <v>0</v>
      </c>
      <c r="M22">
        <f>SUMPRODUCT((DATOS!$G$2:$G$20000=CONFIG_METADATA!$B$4)*(DATOS!$I$2:$I$20000=B22)*(DATOS!$K$2:$K$20000=2))</f>
        <v>0</v>
      </c>
      <c r="N22">
        <f>SUMPRODUCT((DATOS!$G$2:$G$20000=CONFIG_METADATA!$B$4)*(DATOS!$I$2:$I$20000=B22)*(DATOS!$K$2:$K$20000=3))</f>
        <v>0</v>
      </c>
      <c r="O22">
        <f>SUMPRODUCT((DATOS!$G$2:$G$20000=CONFIG_METADATA!$B$4)*(DATOS!$I$2:$I$20000=B22)*(DATOS!$K$2:$K$20000=4))</f>
        <v>0</v>
      </c>
      <c r="P22">
        <f>SUMPRODUCT((DATOS!$G$2:$G$20000=CONFIG_METADATA!$B$4)*(DATOS!$I$2:$I$20000=B22)*(DATOS!$K$2:$K$20000=5))</f>
        <v>0</v>
      </c>
      <c r="Q22">
        <f>SUMPRODUCT((DATOS!$G$2:$G$20000=CONFIG_METADATA!$B$4)*(DATOS!$I$2:$I$20000=B22)*(DATOS!$K$2:$K$20000=6))</f>
        <v>0</v>
      </c>
      <c r="R22">
        <f>SUMPRODUCT((DATOS!$G$2:$G$20000=CONFIG_METADATA!$B$4)*(DATOS!$I$2:$I$20000=B22)*(DATOS!$K$2:$K$20000=7))</f>
        <v>0</v>
      </c>
      <c r="S22">
        <f>SUMPRODUCT((DATOS!$G$2:$G$20000=CONFIG_METADATA!$B$4)*(DATOS!$I$2:$I$20000=B22)*(DATOS!$K$2:$K$20000=8))</f>
        <v>0</v>
      </c>
      <c r="T22">
        <f>SUMPRODUCT((DATOS!$G$2:$G$20000=CONFIG_METADATA!$B$4)*(DATOS!$I$2:$I$20000=B22)*(DATOS!$K$2:$K$20000=9))</f>
        <v>0</v>
      </c>
      <c r="U22">
        <f>SUMPRODUCT((DATOS!$G$2:$G$20000=CONFIG_METADATA!$B$4)*(DATOS!$I$2:$I$20000=B22)*(DATOS!$K$2:$K$20000=10))</f>
        <v>0</v>
      </c>
    </row>
    <row r="23" spans="1:21" x14ac:dyDescent="0.2">
      <c r="A23" t="s">
        <v>116</v>
      </c>
      <c r="B23" t="s">
        <v>45</v>
      </c>
      <c r="C23" t="s">
        <v>25</v>
      </c>
      <c r="D23">
        <f>SUMPRODUCT((DATOS!$G$2:$G$20000=CONFIG_METADATA!$B$4)*(DATOS!$I$2:$I$20000=B23))</f>
        <v>0</v>
      </c>
      <c r="E23" s="10" t="str">
        <f>IFERROR(SUMPRODUCT((DATOS!$G$2:$G$20000=CONFIG_METADATA!$B$4)*(DATOS!$I$2:$I$20000=B23)*(DATOS!$K$2:$K$20000))/D23,"—")</f>
        <v>—</v>
      </c>
      <c r="F23" s="10" t="str" cm="1">
        <f t="array" ref="F23">IFERROR(_xlfn.STDEV.P(_xlfn._xlws.FILTER(DATOS!$K$2:$K$20000,(DATOS!$G$2:$G$20000=CONFIG_METADATA!$B$4)*(DATOS!$I$2:$I$20000=B23))),"—")</f>
        <v>—</v>
      </c>
      <c r="G23" t="str" cm="1">
        <f t="array" ref="G23">IFERROR(_xlfn.MODE.SNGL(_xlfn._xlws.FILTER(DATOS!$K$2:$K$20000,(DATOS!$G$2:$G$20000=CONFIG_METADATA!$B$4)*(DATOS!$I$2:$I$20000=B23))),"—")</f>
        <v>—</v>
      </c>
      <c r="H23" s="11" t="str">
        <f>IFERROR(SUMPRODUCT((DATOS!$G$2:$G$20000=CONFIG_METADATA!$B$4)*(DATOS!$I$2:$I$20000=B23)*(DATOS!$L$2:$L$20000="S"))/D23,"—")</f>
        <v>—</v>
      </c>
      <c r="I23" s="11" t="str">
        <f>IFERROR(SUMPRODUCT((DATOS!$G$2:$G$20000=CONFIG_METADATA!$B$4)*(DATOS!$I$2:$I$20000=B23)*(DATOS!$L$2:$L$20000="N"))/D23,"—")</f>
        <v>—</v>
      </c>
      <c r="J23" t="str" cm="1">
        <f t="array" ref="J23">IFERROR(_xlfn.MODE.SNGL(_xlfn._xlws.FILTER(DATOS!$K$2:$K$20000,(DATOS!$G$2:$G$20000=CONFIG_METADATA!$B$4)*(DATOS!$I$2:$I$20000=B23)*(DATOS!$L$2:$L$20000="S"))),"—")</f>
        <v>—</v>
      </c>
      <c r="K23" t="str" cm="1">
        <f t="array" ref="K23">IFERROR(_xlfn.MODE.SNGL(_xlfn._xlws.FILTER(DATOS!$K$2:$K$20000,(DATOS!$G$2:$G$20000=CONFIG_METADATA!$B$4)*(DATOS!$I$2:$I$20000=B23)*(DATOS!$L$2:$L$20000="N"))),"—")</f>
        <v>—</v>
      </c>
      <c r="L23">
        <f>SUMPRODUCT((DATOS!$G$2:$G$20000=CONFIG_METADATA!$B$4)*(DATOS!$I$2:$I$20000=B23)*(DATOS!$K$2:$K$20000=1))</f>
        <v>0</v>
      </c>
      <c r="M23">
        <f>SUMPRODUCT((DATOS!$G$2:$G$20000=CONFIG_METADATA!$B$4)*(DATOS!$I$2:$I$20000=B23)*(DATOS!$K$2:$K$20000=2))</f>
        <v>0</v>
      </c>
      <c r="N23">
        <f>SUMPRODUCT((DATOS!$G$2:$G$20000=CONFIG_METADATA!$B$4)*(DATOS!$I$2:$I$20000=B23)*(DATOS!$K$2:$K$20000=3))</f>
        <v>0</v>
      </c>
      <c r="O23">
        <f>SUMPRODUCT((DATOS!$G$2:$G$20000=CONFIG_METADATA!$B$4)*(DATOS!$I$2:$I$20000=B23)*(DATOS!$K$2:$K$20000=4))</f>
        <v>0</v>
      </c>
      <c r="P23">
        <f>SUMPRODUCT((DATOS!$G$2:$G$20000=CONFIG_METADATA!$B$4)*(DATOS!$I$2:$I$20000=B23)*(DATOS!$K$2:$K$20000=5))</f>
        <v>0</v>
      </c>
      <c r="Q23">
        <f>SUMPRODUCT((DATOS!$G$2:$G$20000=CONFIG_METADATA!$B$4)*(DATOS!$I$2:$I$20000=B23)*(DATOS!$K$2:$K$20000=6))</f>
        <v>0</v>
      </c>
      <c r="R23">
        <f>SUMPRODUCT((DATOS!$G$2:$G$20000=CONFIG_METADATA!$B$4)*(DATOS!$I$2:$I$20000=B23)*(DATOS!$K$2:$K$20000=7))</f>
        <v>0</v>
      </c>
      <c r="S23">
        <f>SUMPRODUCT((DATOS!$G$2:$G$20000=CONFIG_METADATA!$B$4)*(DATOS!$I$2:$I$20000=B23)*(DATOS!$K$2:$K$20000=8))</f>
        <v>0</v>
      </c>
      <c r="T23">
        <f>SUMPRODUCT((DATOS!$G$2:$G$20000=CONFIG_METADATA!$B$4)*(DATOS!$I$2:$I$20000=B23)*(DATOS!$K$2:$K$20000=9))</f>
        <v>0</v>
      </c>
      <c r="U23">
        <f>SUMPRODUCT((DATOS!$G$2:$G$20000=CONFIG_METADATA!$B$4)*(DATOS!$I$2:$I$20000=B23)*(DATOS!$K$2:$K$20000=10))</f>
        <v>0</v>
      </c>
    </row>
    <row r="24" spans="1:21" x14ac:dyDescent="0.2">
      <c r="A24" t="s">
        <v>116</v>
      </c>
      <c r="B24" t="s">
        <v>46</v>
      </c>
      <c r="C24" t="s">
        <v>25</v>
      </c>
      <c r="D24">
        <f>SUMPRODUCT((DATOS!$G$2:$G$20000=CONFIG_METADATA!$B$4)*(DATOS!$I$2:$I$20000=B24))</f>
        <v>0</v>
      </c>
      <c r="E24" s="10" t="str">
        <f>IFERROR(SUMPRODUCT((DATOS!$G$2:$G$20000=CONFIG_METADATA!$B$4)*(DATOS!$I$2:$I$20000=B24)*(DATOS!$K$2:$K$20000))/D24,"—")</f>
        <v>—</v>
      </c>
      <c r="F24" s="10" t="str" cm="1">
        <f t="array" ref="F24">IFERROR(_xlfn.STDEV.P(_xlfn._xlws.FILTER(DATOS!$K$2:$K$20000,(DATOS!$G$2:$G$20000=CONFIG_METADATA!$B$4)*(DATOS!$I$2:$I$20000=B24))),"—")</f>
        <v>—</v>
      </c>
      <c r="G24" t="str" cm="1">
        <f t="array" ref="G24">IFERROR(_xlfn.MODE.SNGL(_xlfn._xlws.FILTER(DATOS!$K$2:$K$20000,(DATOS!$G$2:$G$20000=CONFIG_METADATA!$B$4)*(DATOS!$I$2:$I$20000=B24))),"—")</f>
        <v>—</v>
      </c>
      <c r="H24" s="11" t="str">
        <f>IFERROR(SUMPRODUCT((DATOS!$G$2:$G$20000=CONFIG_METADATA!$B$4)*(DATOS!$I$2:$I$20000=B24)*(DATOS!$L$2:$L$20000="S"))/D24,"—")</f>
        <v>—</v>
      </c>
      <c r="I24" s="11" t="str">
        <f>IFERROR(SUMPRODUCT((DATOS!$G$2:$G$20000=CONFIG_METADATA!$B$4)*(DATOS!$I$2:$I$20000=B24)*(DATOS!$L$2:$L$20000="N"))/D24,"—")</f>
        <v>—</v>
      </c>
      <c r="J24" t="str" cm="1">
        <f t="array" ref="J24">IFERROR(_xlfn.MODE.SNGL(_xlfn._xlws.FILTER(DATOS!$K$2:$K$20000,(DATOS!$G$2:$G$20000=CONFIG_METADATA!$B$4)*(DATOS!$I$2:$I$20000=B24)*(DATOS!$L$2:$L$20000="S"))),"—")</f>
        <v>—</v>
      </c>
      <c r="K24" t="str" cm="1">
        <f t="array" ref="K24">IFERROR(_xlfn.MODE.SNGL(_xlfn._xlws.FILTER(DATOS!$K$2:$K$20000,(DATOS!$G$2:$G$20000=CONFIG_METADATA!$B$4)*(DATOS!$I$2:$I$20000=B24)*(DATOS!$L$2:$L$20000="N"))),"—")</f>
        <v>—</v>
      </c>
      <c r="L24">
        <f>SUMPRODUCT((DATOS!$G$2:$G$20000=CONFIG_METADATA!$B$4)*(DATOS!$I$2:$I$20000=B24)*(DATOS!$K$2:$K$20000=1))</f>
        <v>0</v>
      </c>
      <c r="M24">
        <f>SUMPRODUCT((DATOS!$G$2:$G$20000=CONFIG_METADATA!$B$4)*(DATOS!$I$2:$I$20000=B24)*(DATOS!$K$2:$K$20000=2))</f>
        <v>0</v>
      </c>
      <c r="N24">
        <f>SUMPRODUCT((DATOS!$G$2:$G$20000=CONFIG_METADATA!$B$4)*(DATOS!$I$2:$I$20000=B24)*(DATOS!$K$2:$K$20000=3))</f>
        <v>0</v>
      </c>
      <c r="O24">
        <f>SUMPRODUCT((DATOS!$G$2:$G$20000=CONFIG_METADATA!$B$4)*(DATOS!$I$2:$I$20000=B24)*(DATOS!$K$2:$K$20000=4))</f>
        <v>0</v>
      </c>
      <c r="P24">
        <f>SUMPRODUCT((DATOS!$G$2:$G$20000=CONFIG_METADATA!$B$4)*(DATOS!$I$2:$I$20000=B24)*(DATOS!$K$2:$K$20000=5))</f>
        <v>0</v>
      </c>
      <c r="Q24">
        <f>SUMPRODUCT((DATOS!$G$2:$G$20000=CONFIG_METADATA!$B$4)*(DATOS!$I$2:$I$20000=B24)*(DATOS!$K$2:$K$20000=6))</f>
        <v>0</v>
      </c>
      <c r="R24">
        <f>SUMPRODUCT((DATOS!$G$2:$G$20000=CONFIG_METADATA!$B$4)*(DATOS!$I$2:$I$20000=B24)*(DATOS!$K$2:$K$20000=7))</f>
        <v>0</v>
      </c>
      <c r="S24">
        <f>SUMPRODUCT((DATOS!$G$2:$G$20000=CONFIG_METADATA!$B$4)*(DATOS!$I$2:$I$20000=B24)*(DATOS!$K$2:$K$20000=8))</f>
        <v>0</v>
      </c>
      <c r="T24">
        <f>SUMPRODUCT((DATOS!$G$2:$G$20000=CONFIG_METADATA!$B$4)*(DATOS!$I$2:$I$20000=B24)*(DATOS!$K$2:$K$20000=9))</f>
        <v>0</v>
      </c>
      <c r="U24">
        <f>SUMPRODUCT((DATOS!$G$2:$G$20000=CONFIG_METADATA!$B$4)*(DATOS!$I$2:$I$20000=B24)*(DATOS!$K$2:$K$20000=10))</f>
        <v>0</v>
      </c>
    </row>
    <row r="25" spans="1:21" x14ac:dyDescent="0.2">
      <c r="A25" t="s">
        <v>116</v>
      </c>
      <c r="B25" t="s">
        <v>47</v>
      </c>
      <c r="C25" t="s">
        <v>25</v>
      </c>
      <c r="D25">
        <f>SUMPRODUCT((DATOS!$G$2:$G$20000=CONFIG_METADATA!$B$4)*(DATOS!$I$2:$I$20000=B25))</f>
        <v>0</v>
      </c>
      <c r="E25" s="10" t="str">
        <f>IFERROR(SUMPRODUCT((DATOS!$G$2:$G$20000=CONFIG_METADATA!$B$4)*(DATOS!$I$2:$I$20000=B25)*(DATOS!$K$2:$K$20000))/D25,"—")</f>
        <v>—</v>
      </c>
      <c r="F25" s="10" t="str" cm="1">
        <f t="array" ref="F25">IFERROR(_xlfn.STDEV.P(_xlfn._xlws.FILTER(DATOS!$K$2:$K$20000,(DATOS!$G$2:$G$20000=CONFIG_METADATA!$B$4)*(DATOS!$I$2:$I$20000=B25))),"—")</f>
        <v>—</v>
      </c>
      <c r="G25" t="str" cm="1">
        <f t="array" ref="G25">IFERROR(_xlfn.MODE.SNGL(_xlfn._xlws.FILTER(DATOS!$K$2:$K$20000,(DATOS!$G$2:$G$20000=CONFIG_METADATA!$B$4)*(DATOS!$I$2:$I$20000=B25))),"—")</f>
        <v>—</v>
      </c>
      <c r="H25" s="11" t="str">
        <f>IFERROR(SUMPRODUCT((DATOS!$G$2:$G$20000=CONFIG_METADATA!$B$4)*(DATOS!$I$2:$I$20000=B25)*(DATOS!$L$2:$L$20000="S"))/D25,"—")</f>
        <v>—</v>
      </c>
      <c r="I25" s="11" t="str">
        <f>IFERROR(SUMPRODUCT((DATOS!$G$2:$G$20000=CONFIG_METADATA!$B$4)*(DATOS!$I$2:$I$20000=B25)*(DATOS!$L$2:$L$20000="N"))/D25,"—")</f>
        <v>—</v>
      </c>
      <c r="J25" t="str" cm="1">
        <f t="array" ref="J25">IFERROR(_xlfn.MODE.SNGL(_xlfn._xlws.FILTER(DATOS!$K$2:$K$20000,(DATOS!$G$2:$G$20000=CONFIG_METADATA!$B$4)*(DATOS!$I$2:$I$20000=B25)*(DATOS!$L$2:$L$20000="S"))),"—")</f>
        <v>—</v>
      </c>
      <c r="K25" t="str" cm="1">
        <f t="array" ref="K25">IFERROR(_xlfn.MODE.SNGL(_xlfn._xlws.FILTER(DATOS!$K$2:$K$20000,(DATOS!$G$2:$G$20000=CONFIG_METADATA!$B$4)*(DATOS!$I$2:$I$20000=B25)*(DATOS!$L$2:$L$20000="N"))),"—")</f>
        <v>—</v>
      </c>
      <c r="L25">
        <f>SUMPRODUCT((DATOS!$G$2:$G$20000=CONFIG_METADATA!$B$4)*(DATOS!$I$2:$I$20000=B25)*(DATOS!$K$2:$K$20000=1))</f>
        <v>0</v>
      </c>
      <c r="M25">
        <f>SUMPRODUCT((DATOS!$G$2:$G$20000=CONFIG_METADATA!$B$4)*(DATOS!$I$2:$I$20000=B25)*(DATOS!$K$2:$K$20000=2))</f>
        <v>0</v>
      </c>
      <c r="N25">
        <f>SUMPRODUCT((DATOS!$G$2:$G$20000=CONFIG_METADATA!$B$4)*(DATOS!$I$2:$I$20000=B25)*(DATOS!$K$2:$K$20000=3))</f>
        <v>0</v>
      </c>
      <c r="O25">
        <f>SUMPRODUCT((DATOS!$G$2:$G$20000=CONFIG_METADATA!$B$4)*(DATOS!$I$2:$I$20000=B25)*(DATOS!$K$2:$K$20000=4))</f>
        <v>0</v>
      </c>
      <c r="P25">
        <f>SUMPRODUCT((DATOS!$G$2:$G$20000=CONFIG_METADATA!$B$4)*(DATOS!$I$2:$I$20000=B25)*(DATOS!$K$2:$K$20000=5))</f>
        <v>0</v>
      </c>
      <c r="Q25">
        <f>SUMPRODUCT((DATOS!$G$2:$G$20000=CONFIG_METADATA!$B$4)*(DATOS!$I$2:$I$20000=B25)*(DATOS!$K$2:$K$20000=6))</f>
        <v>0</v>
      </c>
      <c r="R25">
        <f>SUMPRODUCT((DATOS!$G$2:$G$20000=CONFIG_METADATA!$B$4)*(DATOS!$I$2:$I$20000=B25)*(DATOS!$K$2:$K$20000=7))</f>
        <v>0</v>
      </c>
      <c r="S25">
        <f>SUMPRODUCT((DATOS!$G$2:$G$20000=CONFIG_METADATA!$B$4)*(DATOS!$I$2:$I$20000=B25)*(DATOS!$K$2:$K$20000=8))</f>
        <v>0</v>
      </c>
      <c r="T25">
        <f>SUMPRODUCT((DATOS!$G$2:$G$20000=CONFIG_METADATA!$B$4)*(DATOS!$I$2:$I$20000=B25)*(DATOS!$K$2:$K$20000=9))</f>
        <v>0</v>
      </c>
      <c r="U25">
        <f>SUMPRODUCT((DATOS!$G$2:$G$20000=CONFIG_METADATA!$B$4)*(DATOS!$I$2:$I$20000=B25)*(DATOS!$K$2:$K$20000=10))</f>
        <v>0</v>
      </c>
    </row>
    <row r="26" spans="1:21" x14ac:dyDescent="0.2">
      <c r="A26" t="s">
        <v>116</v>
      </c>
      <c r="B26" t="s">
        <v>48</v>
      </c>
      <c r="C26" t="s">
        <v>25</v>
      </c>
      <c r="D26">
        <f>SUMPRODUCT((DATOS!$G$2:$G$20000=CONFIG_METADATA!$B$4)*(DATOS!$I$2:$I$20000=B26))</f>
        <v>0</v>
      </c>
      <c r="E26" s="10" t="str">
        <f>IFERROR(SUMPRODUCT((DATOS!$G$2:$G$20000=CONFIG_METADATA!$B$4)*(DATOS!$I$2:$I$20000=B26)*(DATOS!$K$2:$K$20000))/D26,"—")</f>
        <v>—</v>
      </c>
      <c r="F26" s="10" t="str" cm="1">
        <f t="array" ref="F26">IFERROR(_xlfn.STDEV.P(_xlfn._xlws.FILTER(DATOS!$K$2:$K$20000,(DATOS!$G$2:$G$20000=CONFIG_METADATA!$B$4)*(DATOS!$I$2:$I$20000=B26))),"—")</f>
        <v>—</v>
      </c>
      <c r="G26" t="str" cm="1">
        <f t="array" ref="G26">IFERROR(_xlfn.MODE.SNGL(_xlfn._xlws.FILTER(DATOS!$K$2:$K$20000,(DATOS!$G$2:$G$20000=CONFIG_METADATA!$B$4)*(DATOS!$I$2:$I$20000=B26))),"—")</f>
        <v>—</v>
      </c>
      <c r="H26" s="11" t="str">
        <f>IFERROR(SUMPRODUCT((DATOS!$G$2:$G$20000=CONFIG_METADATA!$B$4)*(DATOS!$I$2:$I$20000=B26)*(DATOS!$L$2:$L$20000="S"))/D26,"—")</f>
        <v>—</v>
      </c>
      <c r="I26" s="11" t="str">
        <f>IFERROR(SUMPRODUCT((DATOS!$G$2:$G$20000=CONFIG_METADATA!$B$4)*(DATOS!$I$2:$I$20000=B26)*(DATOS!$L$2:$L$20000="N"))/D26,"—")</f>
        <v>—</v>
      </c>
      <c r="J26" t="str" cm="1">
        <f t="array" ref="J26">IFERROR(_xlfn.MODE.SNGL(_xlfn._xlws.FILTER(DATOS!$K$2:$K$20000,(DATOS!$G$2:$G$20000=CONFIG_METADATA!$B$4)*(DATOS!$I$2:$I$20000=B26)*(DATOS!$L$2:$L$20000="S"))),"—")</f>
        <v>—</v>
      </c>
      <c r="K26" t="str" cm="1">
        <f t="array" ref="K26">IFERROR(_xlfn.MODE.SNGL(_xlfn._xlws.FILTER(DATOS!$K$2:$K$20000,(DATOS!$G$2:$G$20000=CONFIG_METADATA!$B$4)*(DATOS!$I$2:$I$20000=B26)*(DATOS!$L$2:$L$20000="N"))),"—")</f>
        <v>—</v>
      </c>
      <c r="L26">
        <f>SUMPRODUCT((DATOS!$G$2:$G$20000=CONFIG_METADATA!$B$4)*(DATOS!$I$2:$I$20000=B26)*(DATOS!$K$2:$K$20000=1))</f>
        <v>0</v>
      </c>
      <c r="M26">
        <f>SUMPRODUCT((DATOS!$G$2:$G$20000=CONFIG_METADATA!$B$4)*(DATOS!$I$2:$I$20000=B26)*(DATOS!$K$2:$K$20000=2))</f>
        <v>0</v>
      </c>
      <c r="N26">
        <f>SUMPRODUCT((DATOS!$G$2:$G$20000=CONFIG_METADATA!$B$4)*(DATOS!$I$2:$I$20000=B26)*(DATOS!$K$2:$K$20000=3))</f>
        <v>0</v>
      </c>
      <c r="O26">
        <f>SUMPRODUCT((DATOS!$G$2:$G$20000=CONFIG_METADATA!$B$4)*(DATOS!$I$2:$I$20000=B26)*(DATOS!$K$2:$K$20000=4))</f>
        <v>0</v>
      </c>
      <c r="P26">
        <f>SUMPRODUCT((DATOS!$G$2:$G$20000=CONFIG_METADATA!$B$4)*(DATOS!$I$2:$I$20000=B26)*(DATOS!$K$2:$K$20000=5))</f>
        <v>0</v>
      </c>
      <c r="Q26">
        <f>SUMPRODUCT((DATOS!$G$2:$G$20000=CONFIG_METADATA!$B$4)*(DATOS!$I$2:$I$20000=B26)*(DATOS!$K$2:$K$20000=6))</f>
        <v>0</v>
      </c>
      <c r="R26">
        <f>SUMPRODUCT((DATOS!$G$2:$G$20000=CONFIG_METADATA!$B$4)*(DATOS!$I$2:$I$20000=B26)*(DATOS!$K$2:$K$20000=7))</f>
        <v>0</v>
      </c>
      <c r="S26">
        <f>SUMPRODUCT((DATOS!$G$2:$G$20000=CONFIG_METADATA!$B$4)*(DATOS!$I$2:$I$20000=B26)*(DATOS!$K$2:$K$20000=8))</f>
        <v>0</v>
      </c>
      <c r="T26">
        <f>SUMPRODUCT((DATOS!$G$2:$G$20000=CONFIG_METADATA!$B$4)*(DATOS!$I$2:$I$20000=B26)*(DATOS!$K$2:$K$20000=9))</f>
        <v>0</v>
      </c>
      <c r="U26">
        <f>SUMPRODUCT((DATOS!$G$2:$G$20000=CONFIG_METADATA!$B$4)*(DATOS!$I$2:$I$20000=B26)*(DATOS!$K$2:$K$20000=10))</f>
        <v>0</v>
      </c>
    </row>
    <row r="27" spans="1:21" x14ac:dyDescent="0.2">
      <c r="A27" t="s">
        <v>116</v>
      </c>
      <c r="B27" t="s">
        <v>49</v>
      </c>
      <c r="C27" t="s">
        <v>25</v>
      </c>
      <c r="D27">
        <f>SUMPRODUCT((DATOS!$G$2:$G$20000=CONFIG_METADATA!$B$4)*(DATOS!$I$2:$I$20000=B27))</f>
        <v>0</v>
      </c>
      <c r="E27" s="10" t="str">
        <f>IFERROR(SUMPRODUCT((DATOS!$G$2:$G$20000=CONFIG_METADATA!$B$4)*(DATOS!$I$2:$I$20000=B27)*(DATOS!$K$2:$K$20000))/D27,"—")</f>
        <v>—</v>
      </c>
      <c r="F27" s="10" t="str" cm="1">
        <f t="array" ref="F27">IFERROR(_xlfn.STDEV.P(_xlfn._xlws.FILTER(DATOS!$K$2:$K$20000,(DATOS!$G$2:$G$20000=CONFIG_METADATA!$B$4)*(DATOS!$I$2:$I$20000=B27))),"—")</f>
        <v>—</v>
      </c>
      <c r="G27" t="str" cm="1">
        <f t="array" ref="G27">IFERROR(_xlfn.MODE.SNGL(_xlfn._xlws.FILTER(DATOS!$K$2:$K$20000,(DATOS!$G$2:$G$20000=CONFIG_METADATA!$B$4)*(DATOS!$I$2:$I$20000=B27))),"—")</f>
        <v>—</v>
      </c>
      <c r="H27" s="11" t="str">
        <f>IFERROR(SUMPRODUCT((DATOS!$G$2:$G$20000=CONFIG_METADATA!$B$4)*(DATOS!$I$2:$I$20000=B27)*(DATOS!$L$2:$L$20000="S"))/D27,"—")</f>
        <v>—</v>
      </c>
      <c r="I27" s="11" t="str">
        <f>IFERROR(SUMPRODUCT((DATOS!$G$2:$G$20000=CONFIG_METADATA!$B$4)*(DATOS!$I$2:$I$20000=B27)*(DATOS!$L$2:$L$20000="N"))/D27,"—")</f>
        <v>—</v>
      </c>
      <c r="J27" t="str" cm="1">
        <f t="array" ref="J27">IFERROR(_xlfn.MODE.SNGL(_xlfn._xlws.FILTER(DATOS!$K$2:$K$20000,(DATOS!$G$2:$G$20000=CONFIG_METADATA!$B$4)*(DATOS!$I$2:$I$20000=B27)*(DATOS!$L$2:$L$20000="S"))),"—")</f>
        <v>—</v>
      </c>
      <c r="K27" t="str" cm="1">
        <f t="array" ref="K27">IFERROR(_xlfn.MODE.SNGL(_xlfn._xlws.FILTER(DATOS!$K$2:$K$20000,(DATOS!$G$2:$G$20000=CONFIG_METADATA!$B$4)*(DATOS!$I$2:$I$20000=B27)*(DATOS!$L$2:$L$20000="N"))),"—")</f>
        <v>—</v>
      </c>
      <c r="L27">
        <f>SUMPRODUCT((DATOS!$G$2:$G$20000=CONFIG_METADATA!$B$4)*(DATOS!$I$2:$I$20000=B27)*(DATOS!$K$2:$K$20000=1))</f>
        <v>0</v>
      </c>
      <c r="M27">
        <f>SUMPRODUCT((DATOS!$G$2:$G$20000=CONFIG_METADATA!$B$4)*(DATOS!$I$2:$I$20000=B27)*(DATOS!$K$2:$K$20000=2))</f>
        <v>0</v>
      </c>
      <c r="N27">
        <f>SUMPRODUCT((DATOS!$G$2:$G$20000=CONFIG_METADATA!$B$4)*(DATOS!$I$2:$I$20000=B27)*(DATOS!$K$2:$K$20000=3))</f>
        <v>0</v>
      </c>
      <c r="O27">
        <f>SUMPRODUCT((DATOS!$G$2:$G$20000=CONFIG_METADATA!$B$4)*(DATOS!$I$2:$I$20000=B27)*(DATOS!$K$2:$K$20000=4))</f>
        <v>0</v>
      </c>
      <c r="P27">
        <f>SUMPRODUCT((DATOS!$G$2:$G$20000=CONFIG_METADATA!$B$4)*(DATOS!$I$2:$I$20000=B27)*(DATOS!$K$2:$K$20000=5))</f>
        <v>0</v>
      </c>
      <c r="Q27">
        <f>SUMPRODUCT((DATOS!$G$2:$G$20000=CONFIG_METADATA!$B$4)*(DATOS!$I$2:$I$20000=B27)*(DATOS!$K$2:$K$20000=6))</f>
        <v>0</v>
      </c>
      <c r="R27">
        <f>SUMPRODUCT((DATOS!$G$2:$G$20000=CONFIG_METADATA!$B$4)*(DATOS!$I$2:$I$20000=B27)*(DATOS!$K$2:$K$20000=7))</f>
        <v>0</v>
      </c>
      <c r="S27">
        <f>SUMPRODUCT((DATOS!$G$2:$G$20000=CONFIG_METADATA!$B$4)*(DATOS!$I$2:$I$20000=B27)*(DATOS!$K$2:$K$20000=8))</f>
        <v>0</v>
      </c>
      <c r="T27">
        <f>SUMPRODUCT((DATOS!$G$2:$G$20000=CONFIG_METADATA!$B$4)*(DATOS!$I$2:$I$20000=B27)*(DATOS!$K$2:$K$20000=9))</f>
        <v>0</v>
      </c>
      <c r="U27">
        <f>SUMPRODUCT((DATOS!$G$2:$G$20000=CONFIG_METADATA!$B$4)*(DATOS!$I$2:$I$20000=B27)*(DATOS!$K$2:$K$20000=10))</f>
        <v>0</v>
      </c>
    </row>
    <row r="28" spans="1:21" x14ac:dyDescent="0.2">
      <c r="A28" t="s">
        <v>116</v>
      </c>
      <c r="B28" t="s">
        <v>50</v>
      </c>
      <c r="C28" t="s">
        <v>25</v>
      </c>
      <c r="D28">
        <f>SUMPRODUCT((DATOS!$G$2:$G$20000=CONFIG_METADATA!$B$4)*(DATOS!$I$2:$I$20000=B28))</f>
        <v>0</v>
      </c>
      <c r="E28" s="10" t="str">
        <f>IFERROR(SUMPRODUCT((DATOS!$G$2:$G$20000=CONFIG_METADATA!$B$4)*(DATOS!$I$2:$I$20000=B28)*(DATOS!$K$2:$K$20000))/D28,"—")</f>
        <v>—</v>
      </c>
      <c r="F28" s="10" t="str" cm="1">
        <f t="array" ref="F28">IFERROR(_xlfn.STDEV.P(_xlfn._xlws.FILTER(DATOS!$K$2:$K$20000,(DATOS!$G$2:$G$20000=CONFIG_METADATA!$B$4)*(DATOS!$I$2:$I$20000=B28))),"—")</f>
        <v>—</v>
      </c>
      <c r="G28" t="str" cm="1">
        <f t="array" ref="G28">IFERROR(_xlfn.MODE.SNGL(_xlfn._xlws.FILTER(DATOS!$K$2:$K$20000,(DATOS!$G$2:$G$20000=CONFIG_METADATA!$B$4)*(DATOS!$I$2:$I$20000=B28))),"—")</f>
        <v>—</v>
      </c>
      <c r="H28" s="11" t="str">
        <f>IFERROR(SUMPRODUCT((DATOS!$G$2:$G$20000=CONFIG_METADATA!$B$4)*(DATOS!$I$2:$I$20000=B28)*(DATOS!$L$2:$L$20000="S"))/D28,"—")</f>
        <v>—</v>
      </c>
      <c r="I28" s="11" t="str">
        <f>IFERROR(SUMPRODUCT((DATOS!$G$2:$G$20000=CONFIG_METADATA!$B$4)*(DATOS!$I$2:$I$20000=B28)*(DATOS!$L$2:$L$20000="N"))/D28,"—")</f>
        <v>—</v>
      </c>
      <c r="J28" t="str" cm="1">
        <f t="array" ref="J28">IFERROR(_xlfn.MODE.SNGL(_xlfn._xlws.FILTER(DATOS!$K$2:$K$20000,(DATOS!$G$2:$G$20000=CONFIG_METADATA!$B$4)*(DATOS!$I$2:$I$20000=B28)*(DATOS!$L$2:$L$20000="S"))),"—")</f>
        <v>—</v>
      </c>
      <c r="K28" t="str" cm="1">
        <f t="array" ref="K28">IFERROR(_xlfn.MODE.SNGL(_xlfn._xlws.FILTER(DATOS!$K$2:$K$20000,(DATOS!$G$2:$G$20000=CONFIG_METADATA!$B$4)*(DATOS!$I$2:$I$20000=B28)*(DATOS!$L$2:$L$20000="N"))),"—")</f>
        <v>—</v>
      </c>
      <c r="L28">
        <f>SUMPRODUCT((DATOS!$G$2:$G$20000=CONFIG_METADATA!$B$4)*(DATOS!$I$2:$I$20000=B28)*(DATOS!$K$2:$K$20000=1))</f>
        <v>0</v>
      </c>
      <c r="M28">
        <f>SUMPRODUCT((DATOS!$G$2:$G$20000=CONFIG_METADATA!$B$4)*(DATOS!$I$2:$I$20000=B28)*(DATOS!$K$2:$K$20000=2))</f>
        <v>0</v>
      </c>
      <c r="N28">
        <f>SUMPRODUCT((DATOS!$G$2:$G$20000=CONFIG_METADATA!$B$4)*(DATOS!$I$2:$I$20000=B28)*(DATOS!$K$2:$K$20000=3))</f>
        <v>0</v>
      </c>
      <c r="O28">
        <f>SUMPRODUCT((DATOS!$G$2:$G$20000=CONFIG_METADATA!$B$4)*(DATOS!$I$2:$I$20000=B28)*(DATOS!$K$2:$K$20000=4))</f>
        <v>0</v>
      </c>
      <c r="P28">
        <f>SUMPRODUCT((DATOS!$G$2:$G$20000=CONFIG_METADATA!$B$4)*(DATOS!$I$2:$I$20000=B28)*(DATOS!$K$2:$K$20000=5))</f>
        <v>0</v>
      </c>
      <c r="Q28">
        <f>SUMPRODUCT((DATOS!$G$2:$G$20000=CONFIG_METADATA!$B$4)*(DATOS!$I$2:$I$20000=B28)*(DATOS!$K$2:$K$20000=6))</f>
        <v>0</v>
      </c>
      <c r="R28">
        <f>SUMPRODUCT((DATOS!$G$2:$G$20000=CONFIG_METADATA!$B$4)*(DATOS!$I$2:$I$20000=B28)*(DATOS!$K$2:$K$20000=7))</f>
        <v>0</v>
      </c>
      <c r="S28">
        <f>SUMPRODUCT((DATOS!$G$2:$G$20000=CONFIG_METADATA!$B$4)*(DATOS!$I$2:$I$20000=B28)*(DATOS!$K$2:$K$20000=8))</f>
        <v>0</v>
      </c>
      <c r="T28">
        <f>SUMPRODUCT((DATOS!$G$2:$G$20000=CONFIG_METADATA!$B$4)*(DATOS!$I$2:$I$20000=B28)*(DATOS!$K$2:$K$20000=9))</f>
        <v>0</v>
      </c>
      <c r="U28">
        <f>SUMPRODUCT((DATOS!$G$2:$G$20000=CONFIG_METADATA!$B$4)*(DATOS!$I$2:$I$20000=B28)*(DATOS!$K$2:$K$20000=10))</f>
        <v>0</v>
      </c>
    </row>
    <row r="29" spans="1:21" x14ac:dyDescent="0.2">
      <c r="A29" t="s">
        <v>116</v>
      </c>
      <c r="B29" t="s">
        <v>51</v>
      </c>
      <c r="C29" t="s">
        <v>21</v>
      </c>
      <c r="D29">
        <f>SUMPRODUCT((DATOS!$G$2:$G$20000=CONFIG_METADATA!$B$4)*(DATOS!$I$2:$I$20000=B29))</f>
        <v>0</v>
      </c>
      <c r="E29" s="10" t="str">
        <f>IFERROR(SUMPRODUCT((DATOS!$G$2:$G$20000=CONFIG_METADATA!$B$4)*(DATOS!$I$2:$I$20000=B29)*(DATOS!$K$2:$K$20000))/D29,"—")</f>
        <v>—</v>
      </c>
      <c r="F29" s="10" t="str" cm="1">
        <f t="array" ref="F29">IFERROR(_xlfn.STDEV.P(_xlfn._xlws.FILTER(DATOS!$K$2:$K$20000,(DATOS!$G$2:$G$20000=CONFIG_METADATA!$B$4)*(DATOS!$I$2:$I$20000=B29))),"—")</f>
        <v>—</v>
      </c>
      <c r="G29" t="str" cm="1">
        <f t="array" ref="G29">IFERROR(_xlfn.MODE.SNGL(_xlfn._xlws.FILTER(DATOS!$K$2:$K$20000,(DATOS!$G$2:$G$20000=CONFIG_METADATA!$B$4)*(DATOS!$I$2:$I$20000=B29))),"—")</f>
        <v>—</v>
      </c>
      <c r="H29" s="11" t="str">
        <f>IFERROR(SUMPRODUCT((DATOS!$G$2:$G$20000=CONFIG_METADATA!$B$4)*(DATOS!$I$2:$I$20000=B29)*(DATOS!$L$2:$L$20000="S"))/D29,"—")</f>
        <v>—</v>
      </c>
      <c r="I29" s="11" t="str">
        <f>IFERROR(SUMPRODUCT((DATOS!$G$2:$G$20000=CONFIG_METADATA!$B$4)*(DATOS!$I$2:$I$20000=B29)*(DATOS!$L$2:$L$20000="N"))/D29,"—")</f>
        <v>—</v>
      </c>
      <c r="J29" t="str" cm="1">
        <f t="array" ref="J29">IFERROR(_xlfn.MODE.SNGL(_xlfn._xlws.FILTER(DATOS!$K$2:$K$20000,(DATOS!$G$2:$G$20000=CONFIG_METADATA!$B$4)*(DATOS!$I$2:$I$20000=B29)*(DATOS!$L$2:$L$20000="S"))),"—")</f>
        <v>—</v>
      </c>
      <c r="K29" t="str" cm="1">
        <f t="array" ref="K29">IFERROR(_xlfn.MODE.SNGL(_xlfn._xlws.FILTER(DATOS!$K$2:$K$20000,(DATOS!$G$2:$G$20000=CONFIG_METADATA!$B$4)*(DATOS!$I$2:$I$20000=B29)*(DATOS!$L$2:$L$20000="N"))),"—")</f>
        <v>—</v>
      </c>
      <c r="L29">
        <f>SUMPRODUCT((DATOS!$G$2:$G$20000=CONFIG_METADATA!$B$4)*(DATOS!$I$2:$I$20000=B29)*(DATOS!$K$2:$K$20000=1))</f>
        <v>0</v>
      </c>
      <c r="M29">
        <f>SUMPRODUCT((DATOS!$G$2:$G$20000=CONFIG_METADATA!$B$4)*(DATOS!$I$2:$I$20000=B29)*(DATOS!$K$2:$K$20000=2))</f>
        <v>0</v>
      </c>
      <c r="N29">
        <f>SUMPRODUCT((DATOS!$G$2:$G$20000=CONFIG_METADATA!$B$4)*(DATOS!$I$2:$I$20000=B29)*(DATOS!$K$2:$K$20000=3))</f>
        <v>0</v>
      </c>
      <c r="O29">
        <f>SUMPRODUCT((DATOS!$G$2:$G$20000=CONFIG_METADATA!$B$4)*(DATOS!$I$2:$I$20000=B29)*(DATOS!$K$2:$K$20000=4))</f>
        <v>0</v>
      </c>
      <c r="P29">
        <f>SUMPRODUCT((DATOS!$G$2:$G$20000=CONFIG_METADATA!$B$4)*(DATOS!$I$2:$I$20000=B29)*(DATOS!$K$2:$K$20000=5))</f>
        <v>0</v>
      </c>
      <c r="Q29">
        <f>SUMPRODUCT((DATOS!$G$2:$G$20000=CONFIG_METADATA!$B$4)*(DATOS!$I$2:$I$20000=B29)*(DATOS!$K$2:$K$20000=6))</f>
        <v>0</v>
      </c>
      <c r="R29">
        <f>SUMPRODUCT((DATOS!$G$2:$G$20000=CONFIG_METADATA!$B$4)*(DATOS!$I$2:$I$20000=B29)*(DATOS!$K$2:$K$20000=7))</f>
        <v>0</v>
      </c>
      <c r="S29">
        <f>SUMPRODUCT((DATOS!$G$2:$G$20000=CONFIG_METADATA!$B$4)*(DATOS!$I$2:$I$20000=B29)*(DATOS!$K$2:$K$20000=8))</f>
        <v>0</v>
      </c>
      <c r="T29">
        <f>SUMPRODUCT((DATOS!$G$2:$G$20000=CONFIG_METADATA!$B$4)*(DATOS!$I$2:$I$20000=B29)*(DATOS!$K$2:$K$20000=9))</f>
        <v>0</v>
      </c>
      <c r="U29">
        <f>SUMPRODUCT((DATOS!$G$2:$G$20000=CONFIG_METADATA!$B$4)*(DATOS!$I$2:$I$20000=B29)*(DATOS!$K$2:$K$20000=10))</f>
        <v>0</v>
      </c>
    </row>
    <row r="30" spans="1:21" x14ac:dyDescent="0.2">
      <c r="A30" t="s">
        <v>116</v>
      </c>
      <c r="B30" t="s">
        <v>53</v>
      </c>
      <c r="C30" t="s">
        <v>21</v>
      </c>
      <c r="D30">
        <f>SUMPRODUCT((DATOS!$G$2:$G$20000=CONFIG_METADATA!$B$4)*(DATOS!$I$2:$I$20000=B30))</f>
        <v>0</v>
      </c>
      <c r="E30" s="10" t="str">
        <f>IFERROR(SUMPRODUCT((DATOS!$G$2:$G$20000=CONFIG_METADATA!$B$4)*(DATOS!$I$2:$I$20000=B30)*(DATOS!$K$2:$K$20000))/D30,"—")</f>
        <v>—</v>
      </c>
      <c r="F30" s="10" t="str" cm="1">
        <f t="array" ref="F30">IFERROR(_xlfn.STDEV.P(_xlfn._xlws.FILTER(DATOS!$K$2:$K$20000,(DATOS!$G$2:$G$20000=CONFIG_METADATA!$B$4)*(DATOS!$I$2:$I$20000=B30))),"—")</f>
        <v>—</v>
      </c>
      <c r="G30" t="str" cm="1">
        <f t="array" ref="G30">IFERROR(_xlfn.MODE.SNGL(_xlfn._xlws.FILTER(DATOS!$K$2:$K$20000,(DATOS!$G$2:$G$20000=CONFIG_METADATA!$B$4)*(DATOS!$I$2:$I$20000=B30))),"—")</f>
        <v>—</v>
      </c>
      <c r="H30" s="11" t="str">
        <f>IFERROR(SUMPRODUCT((DATOS!$G$2:$G$20000=CONFIG_METADATA!$B$4)*(DATOS!$I$2:$I$20000=B30)*(DATOS!$L$2:$L$20000="S"))/D30,"—")</f>
        <v>—</v>
      </c>
      <c r="I30" s="11" t="str">
        <f>IFERROR(SUMPRODUCT((DATOS!$G$2:$G$20000=CONFIG_METADATA!$B$4)*(DATOS!$I$2:$I$20000=B30)*(DATOS!$L$2:$L$20000="N"))/D30,"—")</f>
        <v>—</v>
      </c>
      <c r="J30" t="str" cm="1">
        <f t="array" ref="J30">IFERROR(_xlfn.MODE.SNGL(_xlfn._xlws.FILTER(DATOS!$K$2:$K$20000,(DATOS!$G$2:$G$20000=CONFIG_METADATA!$B$4)*(DATOS!$I$2:$I$20000=B30)*(DATOS!$L$2:$L$20000="S"))),"—")</f>
        <v>—</v>
      </c>
      <c r="K30" t="str" cm="1">
        <f t="array" ref="K30">IFERROR(_xlfn.MODE.SNGL(_xlfn._xlws.FILTER(DATOS!$K$2:$K$20000,(DATOS!$G$2:$G$20000=CONFIG_METADATA!$B$4)*(DATOS!$I$2:$I$20000=B30)*(DATOS!$L$2:$L$20000="N"))),"—")</f>
        <v>—</v>
      </c>
      <c r="L30">
        <f>SUMPRODUCT((DATOS!$G$2:$G$20000=CONFIG_METADATA!$B$4)*(DATOS!$I$2:$I$20000=B30)*(DATOS!$K$2:$K$20000=1))</f>
        <v>0</v>
      </c>
      <c r="M30">
        <f>SUMPRODUCT((DATOS!$G$2:$G$20000=CONFIG_METADATA!$B$4)*(DATOS!$I$2:$I$20000=B30)*(DATOS!$K$2:$K$20000=2))</f>
        <v>0</v>
      </c>
      <c r="N30">
        <f>SUMPRODUCT((DATOS!$G$2:$G$20000=CONFIG_METADATA!$B$4)*(DATOS!$I$2:$I$20000=B30)*(DATOS!$K$2:$K$20000=3))</f>
        <v>0</v>
      </c>
      <c r="O30">
        <f>SUMPRODUCT((DATOS!$G$2:$G$20000=CONFIG_METADATA!$B$4)*(DATOS!$I$2:$I$20000=B30)*(DATOS!$K$2:$K$20000=4))</f>
        <v>0</v>
      </c>
      <c r="P30">
        <f>SUMPRODUCT((DATOS!$G$2:$G$20000=CONFIG_METADATA!$B$4)*(DATOS!$I$2:$I$20000=B30)*(DATOS!$K$2:$K$20000=5))</f>
        <v>0</v>
      </c>
      <c r="Q30">
        <f>SUMPRODUCT((DATOS!$G$2:$G$20000=CONFIG_METADATA!$B$4)*(DATOS!$I$2:$I$20000=B30)*(DATOS!$K$2:$K$20000=6))</f>
        <v>0</v>
      </c>
      <c r="R30">
        <f>SUMPRODUCT((DATOS!$G$2:$G$20000=CONFIG_METADATA!$B$4)*(DATOS!$I$2:$I$20000=B30)*(DATOS!$K$2:$K$20000=7))</f>
        <v>0</v>
      </c>
      <c r="S30">
        <f>SUMPRODUCT((DATOS!$G$2:$G$20000=CONFIG_METADATA!$B$4)*(DATOS!$I$2:$I$20000=B30)*(DATOS!$K$2:$K$20000=8))</f>
        <v>0</v>
      </c>
      <c r="T30">
        <f>SUMPRODUCT((DATOS!$G$2:$G$20000=CONFIG_METADATA!$B$4)*(DATOS!$I$2:$I$20000=B30)*(DATOS!$K$2:$K$20000=9))</f>
        <v>0</v>
      </c>
      <c r="U30">
        <f>SUMPRODUCT((DATOS!$G$2:$G$20000=CONFIG_METADATA!$B$4)*(DATOS!$I$2:$I$20000=B30)*(DATOS!$K$2:$K$20000=10))</f>
        <v>0</v>
      </c>
    </row>
    <row r="31" spans="1:21" x14ac:dyDescent="0.2">
      <c r="A31" t="s">
        <v>116</v>
      </c>
      <c r="B31" t="s">
        <v>54</v>
      </c>
      <c r="C31" t="s">
        <v>21</v>
      </c>
      <c r="D31">
        <f>SUMPRODUCT((DATOS!$G$2:$G$20000=CONFIG_METADATA!$B$4)*(DATOS!$I$2:$I$20000=B31))</f>
        <v>0</v>
      </c>
      <c r="E31" s="10" t="str">
        <f>IFERROR(SUMPRODUCT((DATOS!$G$2:$G$20000=CONFIG_METADATA!$B$4)*(DATOS!$I$2:$I$20000=B31)*(DATOS!$K$2:$K$20000))/D31,"—")</f>
        <v>—</v>
      </c>
      <c r="F31" s="10" t="str" cm="1">
        <f t="array" ref="F31">IFERROR(_xlfn.STDEV.P(_xlfn._xlws.FILTER(DATOS!$K$2:$K$20000,(DATOS!$G$2:$G$20000=CONFIG_METADATA!$B$4)*(DATOS!$I$2:$I$20000=B31))),"—")</f>
        <v>—</v>
      </c>
      <c r="G31" t="str" cm="1">
        <f t="array" ref="G31">IFERROR(_xlfn.MODE.SNGL(_xlfn._xlws.FILTER(DATOS!$K$2:$K$20000,(DATOS!$G$2:$G$20000=CONFIG_METADATA!$B$4)*(DATOS!$I$2:$I$20000=B31))),"—")</f>
        <v>—</v>
      </c>
      <c r="H31" s="11" t="str">
        <f>IFERROR(SUMPRODUCT((DATOS!$G$2:$G$20000=CONFIG_METADATA!$B$4)*(DATOS!$I$2:$I$20000=B31)*(DATOS!$L$2:$L$20000="S"))/D31,"—")</f>
        <v>—</v>
      </c>
      <c r="I31" s="11" t="str">
        <f>IFERROR(SUMPRODUCT((DATOS!$G$2:$G$20000=CONFIG_METADATA!$B$4)*(DATOS!$I$2:$I$20000=B31)*(DATOS!$L$2:$L$20000="N"))/D31,"—")</f>
        <v>—</v>
      </c>
      <c r="J31" t="str" cm="1">
        <f t="array" ref="J31">IFERROR(_xlfn.MODE.SNGL(_xlfn._xlws.FILTER(DATOS!$K$2:$K$20000,(DATOS!$G$2:$G$20000=CONFIG_METADATA!$B$4)*(DATOS!$I$2:$I$20000=B31)*(DATOS!$L$2:$L$20000="S"))),"—")</f>
        <v>—</v>
      </c>
      <c r="K31" t="str" cm="1">
        <f t="array" ref="K31">IFERROR(_xlfn.MODE.SNGL(_xlfn._xlws.FILTER(DATOS!$K$2:$K$20000,(DATOS!$G$2:$G$20000=CONFIG_METADATA!$B$4)*(DATOS!$I$2:$I$20000=B31)*(DATOS!$L$2:$L$20000="N"))),"—")</f>
        <v>—</v>
      </c>
      <c r="L31">
        <f>SUMPRODUCT((DATOS!$G$2:$G$20000=CONFIG_METADATA!$B$4)*(DATOS!$I$2:$I$20000=B31)*(DATOS!$K$2:$K$20000=1))</f>
        <v>0</v>
      </c>
      <c r="M31">
        <f>SUMPRODUCT((DATOS!$G$2:$G$20000=CONFIG_METADATA!$B$4)*(DATOS!$I$2:$I$20000=B31)*(DATOS!$K$2:$K$20000=2))</f>
        <v>0</v>
      </c>
      <c r="N31">
        <f>SUMPRODUCT((DATOS!$G$2:$G$20000=CONFIG_METADATA!$B$4)*(DATOS!$I$2:$I$20000=B31)*(DATOS!$K$2:$K$20000=3))</f>
        <v>0</v>
      </c>
      <c r="O31">
        <f>SUMPRODUCT((DATOS!$G$2:$G$20000=CONFIG_METADATA!$B$4)*(DATOS!$I$2:$I$20000=B31)*(DATOS!$K$2:$K$20000=4))</f>
        <v>0</v>
      </c>
      <c r="P31">
        <f>SUMPRODUCT((DATOS!$G$2:$G$20000=CONFIG_METADATA!$B$4)*(DATOS!$I$2:$I$20000=B31)*(DATOS!$K$2:$K$20000=5))</f>
        <v>0</v>
      </c>
      <c r="Q31">
        <f>SUMPRODUCT((DATOS!$G$2:$G$20000=CONFIG_METADATA!$B$4)*(DATOS!$I$2:$I$20000=B31)*(DATOS!$K$2:$K$20000=6))</f>
        <v>0</v>
      </c>
      <c r="R31">
        <f>SUMPRODUCT((DATOS!$G$2:$G$20000=CONFIG_METADATA!$B$4)*(DATOS!$I$2:$I$20000=B31)*(DATOS!$K$2:$K$20000=7))</f>
        <v>0</v>
      </c>
      <c r="S31">
        <f>SUMPRODUCT((DATOS!$G$2:$G$20000=CONFIG_METADATA!$B$4)*(DATOS!$I$2:$I$20000=B31)*(DATOS!$K$2:$K$20000=8))</f>
        <v>0</v>
      </c>
      <c r="T31">
        <f>SUMPRODUCT((DATOS!$G$2:$G$20000=CONFIG_METADATA!$B$4)*(DATOS!$I$2:$I$20000=B31)*(DATOS!$K$2:$K$20000=9))</f>
        <v>0</v>
      </c>
      <c r="U31">
        <f>SUMPRODUCT((DATOS!$G$2:$G$20000=CONFIG_METADATA!$B$4)*(DATOS!$I$2:$I$20000=B31)*(DATOS!$K$2:$K$20000=10))</f>
        <v>0</v>
      </c>
    </row>
    <row r="32" spans="1:21" x14ac:dyDescent="0.2">
      <c r="A32" t="s">
        <v>116</v>
      </c>
      <c r="B32" t="s">
        <v>55</v>
      </c>
      <c r="C32" t="s">
        <v>21</v>
      </c>
      <c r="D32">
        <f>SUMPRODUCT((DATOS!$G$2:$G$20000=CONFIG_METADATA!$B$4)*(DATOS!$I$2:$I$20000=B32))</f>
        <v>0</v>
      </c>
      <c r="E32" s="10" t="str">
        <f>IFERROR(SUMPRODUCT((DATOS!$G$2:$G$20000=CONFIG_METADATA!$B$4)*(DATOS!$I$2:$I$20000=B32)*(DATOS!$K$2:$K$20000))/D32,"—")</f>
        <v>—</v>
      </c>
      <c r="F32" s="10" t="str" cm="1">
        <f t="array" ref="F32">IFERROR(_xlfn.STDEV.P(_xlfn._xlws.FILTER(DATOS!$K$2:$K$20000,(DATOS!$G$2:$G$20000=CONFIG_METADATA!$B$4)*(DATOS!$I$2:$I$20000=B32))),"—")</f>
        <v>—</v>
      </c>
      <c r="G32" t="str" cm="1">
        <f t="array" ref="G32">IFERROR(_xlfn.MODE.SNGL(_xlfn._xlws.FILTER(DATOS!$K$2:$K$20000,(DATOS!$G$2:$G$20000=CONFIG_METADATA!$B$4)*(DATOS!$I$2:$I$20000=B32))),"—")</f>
        <v>—</v>
      </c>
      <c r="H32" s="11" t="str">
        <f>IFERROR(SUMPRODUCT((DATOS!$G$2:$G$20000=CONFIG_METADATA!$B$4)*(DATOS!$I$2:$I$20000=B32)*(DATOS!$L$2:$L$20000="S"))/D32,"—")</f>
        <v>—</v>
      </c>
      <c r="I32" s="11" t="str">
        <f>IFERROR(SUMPRODUCT((DATOS!$G$2:$G$20000=CONFIG_METADATA!$B$4)*(DATOS!$I$2:$I$20000=B32)*(DATOS!$L$2:$L$20000="N"))/D32,"—")</f>
        <v>—</v>
      </c>
      <c r="J32" t="str" cm="1">
        <f t="array" ref="J32">IFERROR(_xlfn.MODE.SNGL(_xlfn._xlws.FILTER(DATOS!$K$2:$K$20000,(DATOS!$G$2:$G$20000=CONFIG_METADATA!$B$4)*(DATOS!$I$2:$I$20000=B32)*(DATOS!$L$2:$L$20000="S"))),"—")</f>
        <v>—</v>
      </c>
      <c r="K32" t="str" cm="1">
        <f t="array" ref="K32">IFERROR(_xlfn.MODE.SNGL(_xlfn._xlws.FILTER(DATOS!$K$2:$K$20000,(DATOS!$G$2:$G$20000=CONFIG_METADATA!$B$4)*(DATOS!$I$2:$I$20000=B32)*(DATOS!$L$2:$L$20000="N"))),"—")</f>
        <v>—</v>
      </c>
      <c r="L32">
        <f>SUMPRODUCT((DATOS!$G$2:$G$20000=CONFIG_METADATA!$B$4)*(DATOS!$I$2:$I$20000=B32)*(DATOS!$K$2:$K$20000=1))</f>
        <v>0</v>
      </c>
      <c r="M32">
        <f>SUMPRODUCT((DATOS!$G$2:$G$20000=CONFIG_METADATA!$B$4)*(DATOS!$I$2:$I$20000=B32)*(DATOS!$K$2:$K$20000=2))</f>
        <v>0</v>
      </c>
      <c r="N32">
        <f>SUMPRODUCT((DATOS!$G$2:$G$20000=CONFIG_METADATA!$B$4)*(DATOS!$I$2:$I$20000=B32)*(DATOS!$K$2:$K$20000=3))</f>
        <v>0</v>
      </c>
      <c r="O32">
        <f>SUMPRODUCT((DATOS!$G$2:$G$20000=CONFIG_METADATA!$B$4)*(DATOS!$I$2:$I$20000=B32)*(DATOS!$K$2:$K$20000=4))</f>
        <v>0</v>
      </c>
      <c r="P32">
        <f>SUMPRODUCT((DATOS!$G$2:$G$20000=CONFIG_METADATA!$B$4)*(DATOS!$I$2:$I$20000=B32)*(DATOS!$K$2:$K$20000=5))</f>
        <v>0</v>
      </c>
      <c r="Q32">
        <f>SUMPRODUCT((DATOS!$G$2:$G$20000=CONFIG_METADATA!$B$4)*(DATOS!$I$2:$I$20000=B32)*(DATOS!$K$2:$K$20000=6))</f>
        <v>0</v>
      </c>
      <c r="R32">
        <f>SUMPRODUCT((DATOS!$G$2:$G$20000=CONFIG_METADATA!$B$4)*(DATOS!$I$2:$I$20000=B32)*(DATOS!$K$2:$K$20000=7))</f>
        <v>0</v>
      </c>
      <c r="S32">
        <f>SUMPRODUCT((DATOS!$G$2:$G$20000=CONFIG_METADATA!$B$4)*(DATOS!$I$2:$I$20000=B32)*(DATOS!$K$2:$K$20000=8))</f>
        <v>0</v>
      </c>
      <c r="T32">
        <f>SUMPRODUCT((DATOS!$G$2:$G$20000=CONFIG_METADATA!$B$4)*(DATOS!$I$2:$I$20000=B32)*(DATOS!$K$2:$K$20000=9))</f>
        <v>0</v>
      </c>
      <c r="U32">
        <f>SUMPRODUCT((DATOS!$G$2:$G$20000=CONFIG_METADATA!$B$4)*(DATOS!$I$2:$I$20000=B32)*(DATOS!$K$2:$K$20000=10))</f>
        <v>0</v>
      </c>
    </row>
    <row r="33" spans="1:21" x14ac:dyDescent="0.2">
      <c r="A33" t="s">
        <v>116</v>
      </c>
      <c r="B33" t="s">
        <v>56</v>
      </c>
      <c r="C33" t="s">
        <v>21</v>
      </c>
      <c r="D33">
        <f>SUMPRODUCT((DATOS!$G$2:$G$20000=CONFIG_METADATA!$B$4)*(DATOS!$I$2:$I$20000=B33))</f>
        <v>0</v>
      </c>
      <c r="E33" s="10" t="str">
        <f>IFERROR(SUMPRODUCT((DATOS!$G$2:$G$20000=CONFIG_METADATA!$B$4)*(DATOS!$I$2:$I$20000=B33)*(DATOS!$K$2:$K$20000))/D33,"—")</f>
        <v>—</v>
      </c>
      <c r="F33" s="10" t="str" cm="1">
        <f t="array" ref="F33">IFERROR(_xlfn.STDEV.P(_xlfn._xlws.FILTER(DATOS!$K$2:$K$20000,(DATOS!$G$2:$G$20000=CONFIG_METADATA!$B$4)*(DATOS!$I$2:$I$20000=B33))),"—")</f>
        <v>—</v>
      </c>
      <c r="G33" t="str" cm="1">
        <f t="array" ref="G33">IFERROR(_xlfn.MODE.SNGL(_xlfn._xlws.FILTER(DATOS!$K$2:$K$20000,(DATOS!$G$2:$G$20000=CONFIG_METADATA!$B$4)*(DATOS!$I$2:$I$20000=B33))),"—")</f>
        <v>—</v>
      </c>
      <c r="H33" s="11" t="str">
        <f>IFERROR(SUMPRODUCT((DATOS!$G$2:$G$20000=CONFIG_METADATA!$B$4)*(DATOS!$I$2:$I$20000=B33)*(DATOS!$L$2:$L$20000="S"))/D33,"—")</f>
        <v>—</v>
      </c>
      <c r="I33" s="11" t="str">
        <f>IFERROR(SUMPRODUCT((DATOS!$G$2:$G$20000=CONFIG_METADATA!$B$4)*(DATOS!$I$2:$I$20000=B33)*(DATOS!$L$2:$L$20000="N"))/D33,"—")</f>
        <v>—</v>
      </c>
      <c r="J33" t="str" cm="1">
        <f t="array" ref="J33">IFERROR(_xlfn.MODE.SNGL(_xlfn._xlws.FILTER(DATOS!$K$2:$K$20000,(DATOS!$G$2:$G$20000=CONFIG_METADATA!$B$4)*(DATOS!$I$2:$I$20000=B33)*(DATOS!$L$2:$L$20000="S"))),"—")</f>
        <v>—</v>
      </c>
      <c r="K33" t="str" cm="1">
        <f t="array" ref="K33">IFERROR(_xlfn.MODE.SNGL(_xlfn._xlws.FILTER(DATOS!$K$2:$K$20000,(DATOS!$G$2:$G$20000=CONFIG_METADATA!$B$4)*(DATOS!$I$2:$I$20000=B33)*(DATOS!$L$2:$L$20000="N"))),"—")</f>
        <v>—</v>
      </c>
      <c r="L33">
        <f>SUMPRODUCT((DATOS!$G$2:$G$20000=CONFIG_METADATA!$B$4)*(DATOS!$I$2:$I$20000=B33)*(DATOS!$K$2:$K$20000=1))</f>
        <v>0</v>
      </c>
      <c r="M33">
        <f>SUMPRODUCT((DATOS!$G$2:$G$20000=CONFIG_METADATA!$B$4)*(DATOS!$I$2:$I$20000=B33)*(DATOS!$K$2:$K$20000=2))</f>
        <v>0</v>
      </c>
      <c r="N33">
        <f>SUMPRODUCT((DATOS!$G$2:$G$20000=CONFIG_METADATA!$B$4)*(DATOS!$I$2:$I$20000=B33)*(DATOS!$K$2:$K$20000=3))</f>
        <v>0</v>
      </c>
      <c r="O33">
        <f>SUMPRODUCT((DATOS!$G$2:$G$20000=CONFIG_METADATA!$B$4)*(DATOS!$I$2:$I$20000=B33)*(DATOS!$K$2:$K$20000=4))</f>
        <v>0</v>
      </c>
      <c r="P33">
        <f>SUMPRODUCT((DATOS!$G$2:$G$20000=CONFIG_METADATA!$B$4)*(DATOS!$I$2:$I$20000=B33)*(DATOS!$K$2:$K$20000=5))</f>
        <v>0</v>
      </c>
      <c r="Q33">
        <f>SUMPRODUCT((DATOS!$G$2:$G$20000=CONFIG_METADATA!$B$4)*(DATOS!$I$2:$I$20000=B33)*(DATOS!$K$2:$K$20000=6))</f>
        <v>0</v>
      </c>
      <c r="R33">
        <f>SUMPRODUCT((DATOS!$G$2:$G$20000=CONFIG_METADATA!$B$4)*(DATOS!$I$2:$I$20000=B33)*(DATOS!$K$2:$K$20000=7))</f>
        <v>0</v>
      </c>
      <c r="S33">
        <f>SUMPRODUCT((DATOS!$G$2:$G$20000=CONFIG_METADATA!$B$4)*(DATOS!$I$2:$I$20000=B33)*(DATOS!$K$2:$K$20000=8))</f>
        <v>0</v>
      </c>
      <c r="T33">
        <f>SUMPRODUCT((DATOS!$G$2:$G$20000=CONFIG_METADATA!$B$4)*(DATOS!$I$2:$I$20000=B33)*(DATOS!$K$2:$K$20000=9))</f>
        <v>0</v>
      </c>
      <c r="U33">
        <f>SUMPRODUCT((DATOS!$G$2:$G$20000=CONFIG_METADATA!$B$4)*(DATOS!$I$2:$I$20000=B33)*(DATOS!$K$2:$K$20000=10))</f>
        <v>0</v>
      </c>
    </row>
    <row r="34" spans="1:21" x14ac:dyDescent="0.2">
      <c r="A34" t="s">
        <v>116</v>
      </c>
      <c r="B34" t="s">
        <v>57</v>
      </c>
      <c r="C34" t="s">
        <v>21</v>
      </c>
      <c r="D34">
        <f>SUMPRODUCT((DATOS!$G$2:$G$20000=CONFIG_METADATA!$B$4)*(DATOS!$I$2:$I$20000=B34))</f>
        <v>0</v>
      </c>
      <c r="E34" s="10" t="str">
        <f>IFERROR(SUMPRODUCT((DATOS!$G$2:$G$20000=CONFIG_METADATA!$B$4)*(DATOS!$I$2:$I$20000=B34)*(DATOS!$K$2:$K$20000))/D34,"—")</f>
        <v>—</v>
      </c>
      <c r="F34" s="10" t="str" cm="1">
        <f t="array" ref="F34">IFERROR(_xlfn.STDEV.P(_xlfn._xlws.FILTER(DATOS!$K$2:$K$20000,(DATOS!$G$2:$G$20000=CONFIG_METADATA!$B$4)*(DATOS!$I$2:$I$20000=B34))),"—")</f>
        <v>—</v>
      </c>
      <c r="G34" t="str" cm="1">
        <f t="array" ref="G34">IFERROR(_xlfn.MODE.SNGL(_xlfn._xlws.FILTER(DATOS!$K$2:$K$20000,(DATOS!$G$2:$G$20000=CONFIG_METADATA!$B$4)*(DATOS!$I$2:$I$20000=B34))),"—")</f>
        <v>—</v>
      </c>
      <c r="H34" s="11" t="str">
        <f>IFERROR(SUMPRODUCT((DATOS!$G$2:$G$20000=CONFIG_METADATA!$B$4)*(DATOS!$I$2:$I$20000=B34)*(DATOS!$L$2:$L$20000="S"))/D34,"—")</f>
        <v>—</v>
      </c>
      <c r="I34" s="11" t="str">
        <f>IFERROR(SUMPRODUCT((DATOS!$G$2:$G$20000=CONFIG_METADATA!$B$4)*(DATOS!$I$2:$I$20000=B34)*(DATOS!$L$2:$L$20000="N"))/D34,"—")</f>
        <v>—</v>
      </c>
      <c r="J34" t="str" cm="1">
        <f t="array" ref="J34">IFERROR(_xlfn.MODE.SNGL(_xlfn._xlws.FILTER(DATOS!$K$2:$K$20000,(DATOS!$G$2:$G$20000=CONFIG_METADATA!$B$4)*(DATOS!$I$2:$I$20000=B34)*(DATOS!$L$2:$L$20000="S"))),"—")</f>
        <v>—</v>
      </c>
      <c r="K34" t="str" cm="1">
        <f t="array" ref="K34">IFERROR(_xlfn.MODE.SNGL(_xlfn._xlws.FILTER(DATOS!$K$2:$K$20000,(DATOS!$G$2:$G$20000=CONFIG_METADATA!$B$4)*(DATOS!$I$2:$I$20000=B34)*(DATOS!$L$2:$L$20000="N"))),"—")</f>
        <v>—</v>
      </c>
      <c r="L34">
        <f>SUMPRODUCT((DATOS!$G$2:$G$20000=CONFIG_METADATA!$B$4)*(DATOS!$I$2:$I$20000=B34)*(DATOS!$K$2:$K$20000=1))</f>
        <v>0</v>
      </c>
      <c r="M34">
        <f>SUMPRODUCT((DATOS!$G$2:$G$20000=CONFIG_METADATA!$B$4)*(DATOS!$I$2:$I$20000=B34)*(DATOS!$K$2:$K$20000=2))</f>
        <v>0</v>
      </c>
      <c r="N34">
        <f>SUMPRODUCT((DATOS!$G$2:$G$20000=CONFIG_METADATA!$B$4)*(DATOS!$I$2:$I$20000=B34)*(DATOS!$K$2:$K$20000=3))</f>
        <v>0</v>
      </c>
      <c r="O34">
        <f>SUMPRODUCT((DATOS!$G$2:$G$20000=CONFIG_METADATA!$B$4)*(DATOS!$I$2:$I$20000=B34)*(DATOS!$K$2:$K$20000=4))</f>
        <v>0</v>
      </c>
      <c r="P34">
        <f>SUMPRODUCT((DATOS!$G$2:$G$20000=CONFIG_METADATA!$B$4)*(DATOS!$I$2:$I$20000=B34)*(DATOS!$K$2:$K$20000=5))</f>
        <v>0</v>
      </c>
      <c r="Q34">
        <f>SUMPRODUCT((DATOS!$G$2:$G$20000=CONFIG_METADATA!$B$4)*(DATOS!$I$2:$I$20000=B34)*(DATOS!$K$2:$K$20000=6))</f>
        <v>0</v>
      </c>
      <c r="R34">
        <f>SUMPRODUCT((DATOS!$G$2:$G$20000=CONFIG_METADATA!$B$4)*(DATOS!$I$2:$I$20000=B34)*(DATOS!$K$2:$K$20000=7))</f>
        <v>0</v>
      </c>
      <c r="S34">
        <f>SUMPRODUCT((DATOS!$G$2:$G$20000=CONFIG_METADATA!$B$4)*(DATOS!$I$2:$I$20000=B34)*(DATOS!$K$2:$K$20000=8))</f>
        <v>0</v>
      </c>
      <c r="T34">
        <f>SUMPRODUCT((DATOS!$G$2:$G$20000=CONFIG_METADATA!$B$4)*(DATOS!$I$2:$I$20000=B34)*(DATOS!$K$2:$K$20000=9))</f>
        <v>0</v>
      </c>
      <c r="U34">
        <f>SUMPRODUCT((DATOS!$G$2:$G$20000=CONFIG_METADATA!$B$4)*(DATOS!$I$2:$I$20000=B34)*(DATOS!$K$2:$K$20000=10))</f>
        <v>0</v>
      </c>
    </row>
    <row r="35" spans="1:21" x14ac:dyDescent="0.2">
      <c r="A35" t="s">
        <v>116</v>
      </c>
      <c r="B35" t="s">
        <v>58</v>
      </c>
      <c r="C35" t="s">
        <v>21</v>
      </c>
      <c r="D35">
        <f>SUMPRODUCT((DATOS!$G$2:$G$20000=CONFIG_METADATA!$B$4)*(DATOS!$I$2:$I$20000=B35))</f>
        <v>0</v>
      </c>
      <c r="E35" s="10" t="str">
        <f>IFERROR(SUMPRODUCT((DATOS!$G$2:$G$20000=CONFIG_METADATA!$B$4)*(DATOS!$I$2:$I$20000=B35)*(DATOS!$K$2:$K$20000))/D35,"—")</f>
        <v>—</v>
      </c>
      <c r="F35" s="10" t="str" cm="1">
        <f t="array" ref="F35">IFERROR(_xlfn.STDEV.P(_xlfn._xlws.FILTER(DATOS!$K$2:$K$20000,(DATOS!$G$2:$G$20000=CONFIG_METADATA!$B$4)*(DATOS!$I$2:$I$20000=B35))),"—")</f>
        <v>—</v>
      </c>
      <c r="G35" t="str" cm="1">
        <f t="array" ref="G35">IFERROR(_xlfn.MODE.SNGL(_xlfn._xlws.FILTER(DATOS!$K$2:$K$20000,(DATOS!$G$2:$G$20000=CONFIG_METADATA!$B$4)*(DATOS!$I$2:$I$20000=B35))),"—")</f>
        <v>—</v>
      </c>
      <c r="H35" s="11" t="str">
        <f>IFERROR(SUMPRODUCT((DATOS!$G$2:$G$20000=CONFIG_METADATA!$B$4)*(DATOS!$I$2:$I$20000=B35)*(DATOS!$L$2:$L$20000="S"))/D35,"—")</f>
        <v>—</v>
      </c>
      <c r="I35" s="11" t="str">
        <f>IFERROR(SUMPRODUCT((DATOS!$G$2:$G$20000=CONFIG_METADATA!$B$4)*(DATOS!$I$2:$I$20000=B35)*(DATOS!$L$2:$L$20000="N"))/D35,"—")</f>
        <v>—</v>
      </c>
      <c r="J35" t="str" cm="1">
        <f t="array" ref="J35">IFERROR(_xlfn.MODE.SNGL(_xlfn._xlws.FILTER(DATOS!$K$2:$K$20000,(DATOS!$G$2:$G$20000=CONFIG_METADATA!$B$4)*(DATOS!$I$2:$I$20000=B35)*(DATOS!$L$2:$L$20000="S"))),"—")</f>
        <v>—</v>
      </c>
      <c r="K35" t="str" cm="1">
        <f t="array" ref="K35">IFERROR(_xlfn.MODE.SNGL(_xlfn._xlws.FILTER(DATOS!$K$2:$K$20000,(DATOS!$G$2:$G$20000=CONFIG_METADATA!$B$4)*(DATOS!$I$2:$I$20000=B35)*(DATOS!$L$2:$L$20000="N"))),"—")</f>
        <v>—</v>
      </c>
      <c r="L35">
        <f>SUMPRODUCT((DATOS!$G$2:$G$20000=CONFIG_METADATA!$B$4)*(DATOS!$I$2:$I$20000=B35)*(DATOS!$K$2:$K$20000=1))</f>
        <v>0</v>
      </c>
      <c r="M35">
        <f>SUMPRODUCT((DATOS!$G$2:$G$20000=CONFIG_METADATA!$B$4)*(DATOS!$I$2:$I$20000=B35)*(DATOS!$K$2:$K$20000=2))</f>
        <v>0</v>
      </c>
      <c r="N35">
        <f>SUMPRODUCT((DATOS!$G$2:$G$20000=CONFIG_METADATA!$B$4)*(DATOS!$I$2:$I$20000=B35)*(DATOS!$K$2:$K$20000=3))</f>
        <v>0</v>
      </c>
      <c r="O35">
        <f>SUMPRODUCT((DATOS!$G$2:$G$20000=CONFIG_METADATA!$B$4)*(DATOS!$I$2:$I$20000=B35)*(DATOS!$K$2:$K$20000=4))</f>
        <v>0</v>
      </c>
      <c r="P35">
        <f>SUMPRODUCT((DATOS!$G$2:$G$20000=CONFIG_METADATA!$B$4)*(DATOS!$I$2:$I$20000=B35)*(DATOS!$K$2:$K$20000=5))</f>
        <v>0</v>
      </c>
      <c r="Q35">
        <f>SUMPRODUCT((DATOS!$G$2:$G$20000=CONFIG_METADATA!$B$4)*(DATOS!$I$2:$I$20000=B35)*(DATOS!$K$2:$K$20000=6))</f>
        <v>0</v>
      </c>
      <c r="R35">
        <f>SUMPRODUCT((DATOS!$G$2:$G$20000=CONFIG_METADATA!$B$4)*(DATOS!$I$2:$I$20000=B35)*(DATOS!$K$2:$K$20000=7))</f>
        <v>0</v>
      </c>
      <c r="S35">
        <f>SUMPRODUCT((DATOS!$G$2:$G$20000=CONFIG_METADATA!$B$4)*(DATOS!$I$2:$I$20000=B35)*(DATOS!$K$2:$K$20000=8))</f>
        <v>0</v>
      </c>
      <c r="T35">
        <f>SUMPRODUCT((DATOS!$G$2:$G$20000=CONFIG_METADATA!$B$4)*(DATOS!$I$2:$I$20000=B35)*(DATOS!$K$2:$K$20000=9))</f>
        <v>0</v>
      </c>
      <c r="U35">
        <f>SUMPRODUCT((DATOS!$G$2:$G$20000=CONFIG_METADATA!$B$4)*(DATOS!$I$2:$I$20000=B35)*(DATOS!$K$2:$K$20000=10))</f>
        <v>0</v>
      </c>
    </row>
    <row r="36" spans="1:21" ht="16" x14ac:dyDescent="0.25">
      <c r="A36" s="12" t="s">
        <v>116</v>
      </c>
      <c r="B36" t="s">
        <v>59</v>
      </c>
      <c r="C36" t="s">
        <v>158</v>
      </c>
      <c r="D36" cm="1">
        <f t="array" ref="D36">SUMPRODUCT((DATOS!$G$2:$G$20000=CONFIG_METADATA!$B$4)*(DATOS!$I$2:$I$20000=B36))</f>
        <v>0</v>
      </c>
      <c r="E36" s="10" t="str" cm="1">
        <f t="array" ref="E36">IFERROR(SUMPRODUCT((DATOS!$G$2:$G$20000=CONFIG_METADATA!$B$4)*(DATOS!$I$2:$I$20000=B36)*(DATOS!$K$2:$K$20000))/D36,"—")</f>
        <v>—</v>
      </c>
      <c r="F36" s="10" t="str" cm="1">
        <f t="array" ref="F36">IFERROR(_xlfn.STDEV.P(_xlfn._xlws.FILTER(DATOS!$K$2:$K$20000,(DATOS!$G$2:$G$20000=CONFIG_METADATA!$B$4)*(DATOS!$I$2:$I$20000=B36))),"—")</f>
        <v>—</v>
      </c>
      <c r="G36" t="str" cm="1">
        <f t="array" ref="G36">IFERROR(_xlfn.MODE.SNGL(_xlfn._xlws.FILTER(DATOS!$K$2:$K$20000,(DATOS!$G$2:$G$20000=CONFIG_METADATA!$B$4)*(DATOS!$I$2:$I$20000=B36))),"—")</f>
        <v>—</v>
      </c>
      <c r="H36" s="11" t="str" cm="1">
        <f t="array" ref="H36">IFERROR(SUMPRODUCT((DATOS!$G$2:$G$20000=CONFIG_METADATA!$B$4)*(DATOS!$I$2:$I$20000=B36)*(DATOS!$L$2:$L$20000="S"))/D36,"—")</f>
        <v>—</v>
      </c>
      <c r="I36" s="11" t="str" cm="1">
        <f t="array" ref="I36">IFERROR(SUMPRODUCT((DATOS!$G$2:$G$20000=CONFIG_METADATA!$B$4)*(DATOS!$I$2:$I$20000=B36)*(DATOS!$L$2:$L$20000="N"))/D36,"—")</f>
        <v>—</v>
      </c>
      <c r="J36" t="str" cm="1">
        <f t="array" ref="J36">IFERROR(_xlfn.MODE.SNGL(_xlfn._xlws.FILTER(DATOS!$K$2:$K$20000,(DATOS!$G$2:$G$20000=CONFIG_METADATA!$B$4)*(DATOS!$I$2:$I$20000=B36)*(DATOS!$L$2:$L$20000="S"))),"—")</f>
        <v>—</v>
      </c>
      <c r="K36" t="str" cm="1">
        <f t="array" ref="K36">IFERROR(_xlfn.MODE.SNGL(_xlfn._xlws.FILTER(DATOS!$K$2:$K$20000,(DATOS!$G$2:$G$20000=CONFIG_METADATA!$B$4)*(DATOS!$I$2:$I$20000=B36)*(DATOS!$L$2:$L$20000="N"))),"—")</f>
        <v>—</v>
      </c>
      <c r="L36" cm="1">
        <f t="array" ref="L36">SUMPRODUCT((DATOS!$G$2:$G$20000=CONFIG_METADATA!$B$4)*(DATOS!$I$2:$I$20000=B36)*(DATOS!$K$2:$K$20000=1))</f>
        <v>0</v>
      </c>
      <c r="M36" s="12" cm="1">
        <f t="array" ref="M36">SUMPRODUCT((DATOS!$G$2:$G$20000=CONFIG_METADATA!$B$4)*(DATOS!$I$2:$I$20000=B36)*(DATOS!$K$2:$K$20000=2))</f>
        <v>0</v>
      </c>
      <c r="N36" s="12" cm="1">
        <f t="array" ref="N36">SUMPRODUCT((DATOS!$G$2:$G$20000=CONFIG_METADATA!$B$4)*(DATOS!$I$2:$I$20000=B36)*(DATOS!$K$2:$K$20000=3))</f>
        <v>0</v>
      </c>
      <c r="O36" s="12" cm="1">
        <f t="array" ref="O36">SUMPRODUCT((DATOS!$G$2:$G$20000=CONFIG_METADATA!$B$4)*(DATOS!$I$2:$I$20000=B36)*(DATOS!$K$2:$K$20000=4))</f>
        <v>0</v>
      </c>
      <c r="P36" s="12" cm="1">
        <f t="array" ref="P36">SUMPRODUCT((DATOS!$G$2:$G$20000=CONFIG_METADATA!$B$4)*(DATOS!$I$2:$I$20000=B36)*(DATOS!$K$2:$K$20000=5))</f>
        <v>0</v>
      </c>
      <c r="Q36" s="12" cm="1">
        <f t="array" ref="Q36">SUMPRODUCT((DATOS!$G$2:$G$20000=CONFIG_METADATA!$B$4)*(DATOS!$I$2:$I$20000=B36)*(DATOS!$K$2:$K$20000=6))</f>
        <v>0</v>
      </c>
      <c r="R36" s="12" cm="1">
        <f t="array" ref="R36">SUMPRODUCT((DATOS!$G$2:$G$20000=CONFIG_METADATA!$B$4)*(DATOS!$I$2:$I$20000=B36)*(DATOS!$K$2:$K$20000=7))</f>
        <v>0</v>
      </c>
      <c r="S36" s="12" cm="1">
        <f t="array" ref="S36">SUMPRODUCT((DATOS!$G$2:$G$20000=CONFIG_METADATA!$B$4)*(DATOS!$I$2:$I$20000=B36)*(DATOS!$K$2:$K$20000=8))</f>
        <v>0</v>
      </c>
      <c r="T36" s="12" cm="1">
        <f t="array" ref="T36">SUMPRODUCT((DATOS!$G$2:$G$20000=CONFIG_METADATA!$B$4)*(DATOS!$I$2:$I$20000=B36)*(DATOS!$K$2:$K$20000=9))</f>
        <v>0</v>
      </c>
      <c r="U36" s="12" cm="1">
        <f t="array" ref="U36">SUMPRODUCT((DATOS!$G$2:$G$20000=CONFIG_METADATA!$B$4)*(DATOS!$I$2:$I$20000=B36)*(DATOS!$K$2:$K$20000=10))</f>
        <v>0</v>
      </c>
    </row>
    <row r="37" spans="1:21" ht="16" x14ac:dyDescent="0.25">
      <c r="A37" s="12" t="s">
        <v>116</v>
      </c>
      <c r="B37" t="s">
        <v>61</v>
      </c>
      <c r="C37" t="s">
        <v>158</v>
      </c>
      <c r="D37" cm="1">
        <f t="array" ref="D37">SUMPRODUCT((DATOS!$G$2:$G$20000=CONFIG_METADATA!$B$4)*(DATOS!$I$2:$I$20000=B37))</f>
        <v>0</v>
      </c>
      <c r="E37" s="10" t="str" cm="1">
        <f t="array" ref="E37">IFERROR(SUMPRODUCT((DATOS!$G$2:$G$20000=CONFIG_METADATA!$B$4)*(DATOS!$I$2:$I$20000=B37)*(DATOS!$K$2:$K$20000))/D37,"—")</f>
        <v>—</v>
      </c>
      <c r="F37" s="10" t="str" cm="1">
        <f t="array" ref="F37">IFERROR(_xlfn.STDEV.P(_xlfn._xlws.FILTER(DATOS!$K$2:$K$20000,(DATOS!$G$2:$G$20000=CONFIG_METADATA!$B$4)*(DATOS!$I$2:$I$20000=B37))),"—")</f>
        <v>—</v>
      </c>
      <c r="G37" t="str" cm="1">
        <f t="array" ref="G37">IFERROR(_xlfn.MODE.SNGL(_xlfn._xlws.FILTER(DATOS!$K$2:$K$20000,(DATOS!$G$2:$G$20000=CONFIG_METADATA!$B$4)*(DATOS!$I$2:$I$20000=B37))),"—")</f>
        <v>—</v>
      </c>
      <c r="H37" s="11" t="str" cm="1">
        <f t="array" ref="H37">IFERROR(SUMPRODUCT((DATOS!$G$2:$G$20000=CONFIG_METADATA!$B$4)*(DATOS!$I$2:$I$20000=B37)*(DATOS!$L$2:$L$20000="S"))/D37,"—")</f>
        <v>—</v>
      </c>
      <c r="I37" s="11" t="str" cm="1">
        <f t="array" ref="I37">IFERROR(SUMPRODUCT((DATOS!$G$2:$G$20000=CONFIG_METADATA!$B$4)*(DATOS!$I$2:$I$20000=B37)*(DATOS!$L$2:$L$20000="N"))/D37,"—")</f>
        <v>—</v>
      </c>
      <c r="J37" t="str" cm="1">
        <f t="array" ref="J37">IFERROR(_xlfn.MODE.SNGL(_xlfn._xlws.FILTER(DATOS!$K$2:$K$20000,(DATOS!$G$2:$G$20000=CONFIG_METADATA!$B$4)*(DATOS!$I$2:$I$20000=B37)*(DATOS!$L$2:$L$20000="S"))),"—")</f>
        <v>—</v>
      </c>
      <c r="K37" t="str" cm="1">
        <f t="array" ref="K37">IFERROR(_xlfn.MODE.SNGL(_xlfn._xlws.FILTER(DATOS!$K$2:$K$20000,(DATOS!$G$2:$G$20000=CONFIG_METADATA!$B$4)*(DATOS!$I$2:$I$20000=B37)*(DATOS!$L$2:$L$20000="N"))),"—")</f>
        <v>—</v>
      </c>
      <c r="L37" cm="1">
        <f t="array" ref="L37">SUMPRODUCT((DATOS!$G$2:$G$20000=CONFIG_METADATA!$B$4)*(DATOS!$I$2:$I$20000=B37)*(DATOS!$K$2:$K$20000=1))</f>
        <v>0</v>
      </c>
      <c r="M37" s="12" cm="1">
        <f t="array" ref="M37">SUMPRODUCT((DATOS!$G$2:$G$20000=CONFIG_METADATA!$B$4)*(DATOS!$I$2:$I$20000=B37)*(DATOS!$K$2:$K$20000=2))</f>
        <v>0</v>
      </c>
      <c r="N37" s="12" cm="1">
        <f t="array" ref="N37">SUMPRODUCT((DATOS!$G$2:$G$20000=CONFIG_METADATA!$B$4)*(DATOS!$I$2:$I$20000=B37)*(DATOS!$K$2:$K$20000=3))</f>
        <v>0</v>
      </c>
      <c r="O37" s="12" cm="1">
        <f t="array" ref="O37">SUMPRODUCT((DATOS!$G$2:$G$20000=CONFIG_METADATA!$B$4)*(DATOS!$I$2:$I$20000=B37)*(DATOS!$K$2:$K$20000=4))</f>
        <v>0</v>
      </c>
      <c r="P37" s="12" cm="1">
        <f t="array" ref="P37">SUMPRODUCT((DATOS!$G$2:$G$20000=CONFIG_METADATA!$B$4)*(DATOS!$I$2:$I$20000=B37)*(DATOS!$K$2:$K$20000=5))</f>
        <v>0</v>
      </c>
      <c r="Q37" s="12" cm="1">
        <f t="array" ref="Q37">SUMPRODUCT((DATOS!$G$2:$G$20000=CONFIG_METADATA!$B$4)*(DATOS!$I$2:$I$20000=B37)*(DATOS!$K$2:$K$20000=6))</f>
        <v>0</v>
      </c>
      <c r="R37" s="12" cm="1">
        <f t="array" ref="R37">SUMPRODUCT((DATOS!$G$2:$G$20000=CONFIG_METADATA!$B$4)*(DATOS!$I$2:$I$20000=B37)*(DATOS!$K$2:$K$20000=7))</f>
        <v>0</v>
      </c>
      <c r="S37" s="12" cm="1">
        <f t="array" ref="S37">SUMPRODUCT((DATOS!$G$2:$G$20000=CONFIG_METADATA!$B$4)*(DATOS!$I$2:$I$20000=B37)*(DATOS!$K$2:$K$20000=8))</f>
        <v>0</v>
      </c>
      <c r="T37" s="12" cm="1">
        <f t="array" ref="T37">SUMPRODUCT((DATOS!$G$2:$G$20000=CONFIG_METADATA!$B$4)*(DATOS!$I$2:$I$20000=B37)*(DATOS!$K$2:$K$20000=9))</f>
        <v>0</v>
      </c>
      <c r="U37" s="12" cm="1">
        <f t="array" ref="U37">SUMPRODUCT((DATOS!$G$2:$G$20000=CONFIG_METADATA!$B$4)*(DATOS!$I$2:$I$20000=B37)*(DATOS!$K$2:$K$20000=10))</f>
        <v>0</v>
      </c>
    </row>
    <row r="38" spans="1:21" ht="16" x14ac:dyDescent="0.25">
      <c r="A38" s="12" t="s">
        <v>116</v>
      </c>
      <c r="B38" t="s">
        <v>62</v>
      </c>
      <c r="C38" t="s">
        <v>158</v>
      </c>
      <c r="D38" cm="1">
        <f t="array" ref="D38">SUMPRODUCT((DATOS!$G$2:$G$20000=CONFIG_METADATA!$B$4)*(DATOS!$I$2:$I$20000=B38))</f>
        <v>0</v>
      </c>
      <c r="E38" s="10" t="str" cm="1">
        <f t="array" ref="E38">IFERROR(SUMPRODUCT((DATOS!$G$2:$G$20000=CONFIG_METADATA!$B$4)*(DATOS!$I$2:$I$20000=B38)*(DATOS!$K$2:$K$20000))/D38,"—")</f>
        <v>—</v>
      </c>
      <c r="F38" s="10" t="str" cm="1">
        <f t="array" ref="F38">IFERROR(_xlfn.STDEV.P(_xlfn._xlws.FILTER(DATOS!$K$2:$K$20000,(DATOS!$G$2:$G$20000=CONFIG_METADATA!$B$4)*(DATOS!$I$2:$I$20000=B38))),"—")</f>
        <v>—</v>
      </c>
      <c r="G38" t="str" cm="1">
        <f t="array" ref="G38">IFERROR(_xlfn.MODE.SNGL(_xlfn._xlws.FILTER(DATOS!$K$2:$K$20000,(DATOS!$G$2:$G$20000=CONFIG_METADATA!$B$4)*(DATOS!$I$2:$I$20000=B38))),"—")</f>
        <v>—</v>
      </c>
      <c r="H38" s="11" t="str" cm="1">
        <f t="array" ref="H38">IFERROR(SUMPRODUCT((DATOS!$G$2:$G$20000=CONFIG_METADATA!$B$4)*(DATOS!$I$2:$I$20000=B38)*(DATOS!$L$2:$L$20000="S"))/D38,"—")</f>
        <v>—</v>
      </c>
      <c r="I38" s="11" t="str" cm="1">
        <f t="array" ref="I38">IFERROR(SUMPRODUCT((DATOS!$G$2:$G$20000=CONFIG_METADATA!$B$4)*(DATOS!$I$2:$I$20000=B38)*(DATOS!$L$2:$L$20000="N"))/D38,"—")</f>
        <v>—</v>
      </c>
      <c r="J38" t="str" cm="1">
        <f t="array" ref="J38">IFERROR(_xlfn.MODE.SNGL(_xlfn._xlws.FILTER(DATOS!$K$2:$K$20000,(DATOS!$G$2:$G$20000=CONFIG_METADATA!$B$4)*(DATOS!$I$2:$I$20000=B38)*(DATOS!$L$2:$L$20000="S"))),"—")</f>
        <v>—</v>
      </c>
      <c r="K38" t="str" cm="1">
        <f t="array" ref="K38">IFERROR(_xlfn.MODE.SNGL(_xlfn._xlws.FILTER(DATOS!$K$2:$K$20000,(DATOS!$G$2:$G$20000=CONFIG_METADATA!$B$4)*(DATOS!$I$2:$I$20000=B38)*(DATOS!$L$2:$L$20000="N"))),"—")</f>
        <v>—</v>
      </c>
      <c r="L38" cm="1">
        <f t="array" ref="L38">SUMPRODUCT((DATOS!$G$2:$G$20000=CONFIG_METADATA!$B$4)*(DATOS!$I$2:$I$20000=B38)*(DATOS!$K$2:$K$20000=1))</f>
        <v>0</v>
      </c>
      <c r="M38" s="12" cm="1">
        <f t="array" ref="M38">SUMPRODUCT((DATOS!$G$2:$G$20000=CONFIG_METADATA!$B$4)*(DATOS!$I$2:$I$20000=B38)*(DATOS!$K$2:$K$20000=2))</f>
        <v>0</v>
      </c>
      <c r="N38" s="12" cm="1">
        <f t="array" ref="N38">SUMPRODUCT((DATOS!$G$2:$G$20000=CONFIG_METADATA!$B$4)*(DATOS!$I$2:$I$20000=B38)*(DATOS!$K$2:$K$20000=3))</f>
        <v>0</v>
      </c>
      <c r="O38" s="12" cm="1">
        <f t="array" ref="O38">SUMPRODUCT((DATOS!$G$2:$G$20000=CONFIG_METADATA!$B$4)*(DATOS!$I$2:$I$20000=B38)*(DATOS!$K$2:$K$20000=4))</f>
        <v>0</v>
      </c>
      <c r="P38" s="12" cm="1">
        <f t="array" ref="P38">SUMPRODUCT((DATOS!$G$2:$G$20000=CONFIG_METADATA!$B$4)*(DATOS!$I$2:$I$20000=B38)*(DATOS!$K$2:$K$20000=5))</f>
        <v>0</v>
      </c>
      <c r="Q38" s="12" cm="1">
        <f t="array" ref="Q38">SUMPRODUCT((DATOS!$G$2:$G$20000=CONFIG_METADATA!$B$4)*(DATOS!$I$2:$I$20000=B38)*(DATOS!$K$2:$K$20000=6))</f>
        <v>0</v>
      </c>
      <c r="R38" s="12" cm="1">
        <f t="array" ref="R38">SUMPRODUCT((DATOS!$G$2:$G$20000=CONFIG_METADATA!$B$4)*(DATOS!$I$2:$I$20000=B38)*(DATOS!$K$2:$K$20000=7))</f>
        <v>0</v>
      </c>
      <c r="S38" s="12" cm="1">
        <f t="array" ref="S38">SUMPRODUCT((DATOS!$G$2:$G$20000=CONFIG_METADATA!$B$4)*(DATOS!$I$2:$I$20000=B38)*(DATOS!$K$2:$K$20000=8))</f>
        <v>0</v>
      </c>
      <c r="T38" s="12" cm="1">
        <f t="array" ref="T38">SUMPRODUCT((DATOS!$G$2:$G$20000=CONFIG_METADATA!$B$4)*(DATOS!$I$2:$I$20000=B38)*(DATOS!$K$2:$K$20000=9))</f>
        <v>0</v>
      </c>
      <c r="U38" s="12" cm="1">
        <f t="array" ref="U38">SUMPRODUCT((DATOS!$G$2:$G$20000=CONFIG_METADATA!$B$4)*(DATOS!$I$2:$I$20000=B38)*(DATOS!$K$2:$K$20000=10))</f>
        <v>0</v>
      </c>
    </row>
    <row r="39" spans="1:21" ht="16" x14ac:dyDescent="0.25">
      <c r="A39" s="12" t="s">
        <v>116</v>
      </c>
      <c r="B39" t="s">
        <v>63</v>
      </c>
      <c r="C39" t="s">
        <v>158</v>
      </c>
      <c r="D39" cm="1">
        <f t="array" ref="D39">SUMPRODUCT((DATOS!$G$2:$G$20000=CONFIG_METADATA!$B$4)*(DATOS!$I$2:$I$20000=B39))</f>
        <v>0</v>
      </c>
      <c r="E39" s="10" t="str" cm="1">
        <f t="array" ref="E39">IFERROR(SUMPRODUCT((DATOS!$G$2:$G$20000=CONFIG_METADATA!$B$4)*(DATOS!$I$2:$I$20000=B39)*(DATOS!$K$2:$K$20000))/D39,"—")</f>
        <v>—</v>
      </c>
      <c r="F39" s="10" t="str" cm="1">
        <f t="array" ref="F39">IFERROR(_xlfn.STDEV.P(_xlfn._xlws.FILTER(DATOS!$K$2:$K$20000,(DATOS!$G$2:$G$20000=CONFIG_METADATA!$B$4)*(DATOS!$I$2:$I$20000=B39))),"—")</f>
        <v>—</v>
      </c>
      <c r="G39" t="str" cm="1">
        <f t="array" ref="G39">IFERROR(_xlfn.MODE.SNGL(_xlfn._xlws.FILTER(DATOS!$K$2:$K$20000,(DATOS!$G$2:$G$20000=CONFIG_METADATA!$B$4)*(DATOS!$I$2:$I$20000=B39))),"—")</f>
        <v>—</v>
      </c>
      <c r="H39" s="11" t="str" cm="1">
        <f t="array" ref="H39">IFERROR(SUMPRODUCT((DATOS!$G$2:$G$20000=CONFIG_METADATA!$B$4)*(DATOS!$I$2:$I$20000=B39)*(DATOS!$L$2:$L$20000="S"))/D39,"—")</f>
        <v>—</v>
      </c>
      <c r="I39" s="11" t="str" cm="1">
        <f t="array" ref="I39">IFERROR(SUMPRODUCT((DATOS!$G$2:$G$20000=CONFIG_METADATA!$B$4)*(DATOS!$I$2:$I$20000=B39)*(DATOS!$L$2:$L$20000="N"))/D39,"—")</f>
        <v>—</v>
      </c>
      <c r="J39" t="str" cm="1">
        <f t="array" ref="J39">IFERROR(_xlfn.MODE.SNGL(_xlfn._xlws.FILTER(DATOS!$K$2:$K$20000,(DATOS!$G$2:$G$20000=CONFIG_METADATA!$B$4)*(DATOS!$I$2:$I$20000=B39)*(DATOS!$L$2:$L$20000="S"))),"—")</f>
        <v>—</v>
      </c>
      <c r="K39" t="str" cm="1">
        <f t="array" ref="K39">IFERROR(_xlfn.MODE.SNGL(_xlfn._xlws.FILTER(DATOS!$K$2:$K$20000,(DATOS!$G$2:$G$20000=CONFIG_METADATA!$B$4)*(DATOS!$I$2:$I$20000=B39)*(DATOS!$L$2:$L$20000="N"))),"—")</f>
        <v>—</v>
      </c>
      <c r="L39" cm="1">
        <f t="array" ref="L39">SUMPRODUCT((DATOS!$G$2:$G$20000=CONFIG_METADATA!$B$4)*(DATOS!$I$2:$I$20000=B39)*(DATOS!$K$2:$K$20000=1))</f>
        <v>0</v>
      </c>
      <c r="M39" s="12" cm="1">
        <f t="array" ref="M39">SUMPRODUCT((DATOS!$G$2:$G$20000=CONFIG_METADATA!$B$4)*(DATOS!$I$2:$I$20000=B39)*(DATOS!$K$2:$K$20000=2))</f>
        <v>0</v>
      </c>
      <c r="N39" s="12" cm="1">
        <f t="array" ref="N39">SUMPRODUCT((DATOS!$G$2:$G$20000=CONFIG_METADATA!$B$4)*(DATOS!$I$2:$I$20000=B39)*(DATOS!$K$2:$K$20000=3))</f>
        <v>0</v>
      </c>
      <c r="O39" s="12" cm="1">
        <f t="array" ref="O39">SUMPRODUCT((DATOS!$G$2:$G$20000=CONFIG_METADATA!$B$4)*(DATOS!$I$2:$I$20000=B39)*(DATOS!$K$2:$K$20000=4))</f>
        <v>0</v>
      </c>
      <c r="P39" s="12" cm="1">
        <f t="array" ref="P39">SUMPRODUCT((DATOS!$G$2:$G$20000=CONFIG_METADATA!$B$4)*(DATOS!$I$2:$I$20000=B39)*(DATOS!$K$2:$K$20000=5))</f>
        <v>0</v>
      </c>
      <c r="Q39" s="12" cm="1">
        <f t="array" ref="Q39">SUMPRODUCT((DATOS!$G$2:$G$20000=CONFIG_METADATA!$B$4)*(DATOS!$I$2:$I$20000=B39)*(DATOS!$K$2:$K$20000=6))</f>
        <v>0</v>
      </c>
      <c r="R39" s="12" cm="1">
        <f t="array" ref="R39">SUMPRODUCT((DATOS!$G$2:$G$20000=CONFIG_METADATA!$B$4)*(DATOS!$I$2:$I$20000=B39)*(DATOS!$K$2:$K$20000=7))</f>
        <v>0</v>
      </c>
      <c r="S39" s="12" cm="1">
        <f t="array" ref="S39">SUMPRODUCT((DATOS!$G$2:$G$20000=CONFIG_METADATA!$B$4)*(DATOS!$I$2:$I$20000=B39)*(DATOS!$K$2:$K$20000=8))</f>
        <v>0</v>
      </c>
      <c r="T39" s="12" cm="1">
        <f t="array" ref="T39">SUMPRODUCT((DATOS!$G$2:$G$20000=CONFIG_METADATA!$B$4)*(DATOS!$I$2:$I$20000=B39)*(DATOS!$K$2:$K$20000=9))</f>
        <v>0</v>
      </c>
      <c r="U39" s="12" cm="1">
        <f t="array" ref="U39">SUMPRODUCT((DATOS!$G$2:$G$20000=CONFIG_METADATA!$B$4)*(DATOS!$I$2:$I$20000=B39)*(DATOS!$K$2:$K$20000=10))</f>
        <v>0</v>
      </c>
    </row>
    <row r="40" spans="1:21" ht="16" x14ac:dyDescent="0.25">
      <c r="A40" s="12" t="s">
        <v>116</v>
      </c>
      <c r="B40" t="s">
        <v>64</v>
      </c>
      <c r="C40" t="s">
        <v>158</v>
      </c>
      <c r="D40" cm="1">
        <f t="array" ref="D40">SUMPRODUCT((DATOS!$G$2:$G$20000=CONFIG_METADATA!$B$4)*(DATOS!$I$2:$I$20000=B40))</f>
        <v>0</v>
      </c>
      <c r="E40" s="10" t="str" cm="1">
        <f t="array" ref="E40">IFERROR(SUMPRODUCT((DATOS!$G$2:$G$20000=CONFIG_METADATA!$B$4)*(DATOS!$I$2:$I$20000=B40)*(DATOS!$K$2:$K$20000))/D40,"—")</f>
        <v>—</v>
      </c>
      <c r="F40" s="10" t="str" cm="1">
        <f t="array" ref="F40">IFERROR(_xlfn.STDEV.P(_xlfn._xlws.FILTER(DATOS!$K$2:$K$20000,(DATOS!$G$2:$G$20000=CONFIG_METADATA!$B$4)*(DATOS!$I$2:$I$20000=B40))),"—")</f>
        <v>—</v>
      </c>
      <c r="G40" t="str" cm="1">
        <f t="array" ref="G40">IFERROR(_xlfn.MODE.SNGL(_xlfn._xlws.FILTER(DATOS!$K$2:$K$20000,(DATOS!$G$2:$G$20000=CONFIG_METADATA!$B$4)*(DATOS!$I$2:$I$20000=B40))),"—")</f>
        <v>—</v>
      </c>
      <c r="H40" s="11" t="str" cm="1">
        <f t="array" ref="H40">IFERROR(SUMPRODUCT((DATOS!$G$2:$G$20000=CONFIG_METADATA!$B$4)*(DATOS!$I$2:$I$20000=B40)*(DATOS!$L$2:$L$20000="S"))/D40,"—")</f>
        <v>—</v>
      </c>
      <c r="I40" s="11" t="str" cm="1">
        <f t="array" ref="I40">IFERROR(SUMPRODUCT((DATOS!$G$2:$G$20000=CONFIG_METADATA!$B$4)*(DATOS!$I$2:$I$20000=B40)*(DATOS!$L$2:$L$20000="N"))/D40,"—")</f>
        <v>—</v>
      </c>
      <c r="J40" t="str" cm="1">
        <f t="array" ref="J40">IFERROR(_xlfn.MODE.SNGL(_xlfn._xlws.FILTER(DATOS!$K$2:$K$20000,(DATOS!$G$2:$G$20000=CONFIG_METADATA!$B$4)*(DATOS!$I$2:$I$20000=B40)*(DATOS!$L$2:$L$20000="S"))),"—")</f>
        <v>—</v>
      </c>
      <c r="K40" t="str" cm="1">
        <f t="array" ref="K40">IFERROR(_xlfn.MODE.SNGL(_xlfn._xlws.FILTER(DATOS!$K$2:$K$20000,(DATOS!$G$2:$G$20000=CONFIG_METADATA!$B$4)*(DATOS!$I$2:$I$20000=B40)*(DATOS!$L$2:$L$20000="N"))),"—")</f>
        <v>—</v>
      </c>
      <c r="L40" cm="1">
        <f t="array" ref="L40">SUMPRODUCT((DATOS!$G$2:$G$20000=CONFIG_METADATA!$B$4)*(DATOS!$I$2:$I$20000=B40)*(DATOS!$K$2:$K$20000=1))</f>
        <v>0</v>
      </c>
      <c r="M40" s="12" cm="1">
        <f t="array" ref="M40">SUMPRODUCT((DATOS!$G$2:$G$20000=CONFIG_METADATA!$B$4)*(DATOS!$I$2:$I$20000=B40)*(DATOS!$K$2:$K$20000=2))</f>
        <v>0</v>
      </c>
      <c r="N40" s="12" cm="1">
        <f t="array" ref="N40">SUMPRODUCT((DATOS!$G$2:$G$20000=CONFIG_METADATA!$B$4)*(DATOS!$I$2:$I$20000=B40)*(DATOS!$K$2:$K$20000=3))</f>
        <v>0</v>
      </c>
      <c r="O40" s="12" cm="1">
        <f t="array" ref="O40">SUMPRODUCT((DATOS!$G$2:$G$20000=CONFIG_METADATA!$B$4)*(DATOS!$I$2:$I$20000=B40)*(DATOS!$K$2:$K$20000=4))</f>
        <v>0</v>
      </c>
      <c r="P40" s="12" cm="1">
        <f t="array" ref="P40">SUMPRODUCT((DATOS!$G$2:$G$20000=CONFIG_METADATA!$B$4)*(DATOS!$I$2:$I$20000=B40)*(DATOS!$K$2:$K$20000=5))</f>
        <v>0</v>
      </c>
      <c r="Q40" s="12" cm="1">
        <f t="array" ref="Q40">SUMPRODUCT((DATOS!$G$2:$G$20000=CONFIG_METADATA!$B$4)*(DATOS!$I$2:$I$20000=B40)*(DATOS!$K$2:$K$20000=6))</f>
        <v>0</v>
      </c>
      <c r="R40" s="12" cm="1">
        <f t="array" ref="R40">SUMPRODUCT((DATOS!$G$2:$G$20000=CONFIG_METADATA!$B$4)*(DATOS!$I$2:$I$20000=B40)*(DATOS!$K$2:$K$20000=7))</f>
        <v>0</v>
      </c>
      <c r="S40" s="12" cm="1">
        <f t="array" ref="S40">SUMPRODUCT((DATOS!$G$2:$G$20000=CONFIG_METADATA!$B$4)*(DATOS!$I$2:$I$20000=B40)*(DATOS!$K$2:$K$20000=8))</f>
        <v>0</v>
      </c>
      <c r="T40" s="12" cm="1">
        <f t="array" ref="T40">SUMPRODUCT((DATOS!$G$2:$G$20000=CONFIG_METADATA!$B$4)*(DATOS!$I$2:$I$20000=B40)*(DATOS!$K$2:$K$20000=9))</f>
        <v>0</v>
      </c>
      <c r="U40" s="12" cm="1">
        <f t="array" ref="U40">SUMPRODUCT((DATOS!$G$2:$G$20000=CONFIG_METADATA!$B$4)*(DATOS!$I$2:$I$20000=B40)*(DATOS!$K$2:$K$20000=10))</f>
        <v>0</v>
      </c>
    </row>
    <row r="41" spans="1:21" ht="16" x14ac:dyDescent="0.25">
      <c r="A41" s="12" t="s">
        <v>116</v>
      </c>
      <c r="B41" t="s">
        <v>156</v>
      </c>
      <c r="C41" t="s">
        <v>158</v>
      </c>
      <c r="D41" cm="1">
        <f t="array" ref="D41">SUMPRODUCT((DATOS!$G$2:$G$20000=CONFIG_METADATA!$B$4)*(DATOS!$I$2:$I$20000=B41))</f>
        <v>0</v>
      </c>
      <c r="E41" s="10" t="str" cm="1">
        <f t="array" ref="E41">IFERROR(SUMPRODUCT((DATOS!$G$2:$G$20000=CONFIG_METADATA!$B$4)*(DATOS!$I$2:$I$20000=B41)*(DATOS!$K$2:$K$20000))/D41,"—")</f>
        <v>—</v>
      </c>
      <c r="F41" s="10" t="str" cm="1">
        <f t="array" ref="F41">IFERROR(_xlfn.STDEV.P(_xlfn._xlws.FILTER(DATOS!$K$2:$K$20000,(DATOS!$G$2:$G$20000=CONFIG_METADATA!$B$4)*(DATOS!$I$2:$I$20000=B41))),"—")</f>
        <v>—</v>
      </c>
      <c r="G41" t="str" cm="1">
        <f t="array" ref="G41">IFERROR(_xlfn.MODE.SNGL(_xlfn._xlws.FILTER(DATOS!$K$2:$K$20000,(DATOS!$G$2:$G$20000=CONFIG_METADATA!$B$4)*(DATOS!$I$2:$I$20000=B41))),"—")</f>
        <v>—</v>
      </c>
      <c r="H41" s="11" t="str" cm="1">
        <f t="array" ref="H41">IFERROR(SUMPRODUCT((DATOS!$G$2:$G$20000=CONFIG_METADATA!$B$4)*(DATOS!$I$2:$I$20000=B41)*(DATOS!$L$2:$L$20000="S"))/D41,"—")</f>
        <v>—</v>
      </c>
      <c r="I41" s="11" t="str" cm="1">
        <f t="array" ref="I41">IFERROR(SUMPRODUCT((DATOS!$G$2:$G$20000=CONFIG_METADATA!$B$4)*(DATOS!$I$2:$I$20000=B41)*(DATOS!$L$2:$L$20000="N"))/D41,"—")</f>
        <v>—</v>
      </c>
      <c r="J41" t="str" cm="1">
        <f t="array" ref="J41">IFERROR(_xlfn.MODE.SNGL(_xlfn._xlws.FILTER(DATOS!$K$2:$K$20000,(DATOS!$G$2:$G$20000=CONFIG_METADATA!$B$4)*(DATOS!$I$2:$I$20000=B41)*(DATOS!$L$2:$L$20000="S"))),"—")</f>
        <v>—</v>
      </c>
      <c r="K41" t="str" cm="1">
        <f t="array" ref="K41">IFERROR(_xlfn.MODE.SNGL(_xlfn._xlws.FILTER(DATOS!$K$2:$K$20000,(DATOS!$G$2:$G$20000=CONFIG_METADATA!$B$4)*(DATOS!$I$2:$I$20000=B41)*(DATOS!$L$2:$L$20000="N"))),"—")</f>
        <v>—</v>
      </c>
      <c r="L41" cm="1">
        <f t="array" ref="L41">SUMPRODUCT((DATOS!$G$2:$G$20000=CONFIG_METADATA!$B$4)*(DATOS!$I$2:$I$20000=B41)*(DATOS!$K$2:$K$20000=1))</f>
        <v>0</v>
      </c>
      <c r="M41" s="12" cm="1">
        <f t="array" ref="M41">SUMPRODUCT((DATOS!$G$2:$G$20000=CONFIG_METADATA!$B$4)*(DATOS!$I$2:$I$20000=B41)*(DATOS!$K$2:$K$20000=2))</f>
        <v>0</v>
      </c>
      <c r="N41" s="12" cm="1">
        <f t="array" ref="N41">SUMPRODUCT((DATOS!$G$2:$G$20000=CONFIG_METADATA!$B$4)*(DATOS!$I$2:$I$20000=B41)*(DATOS!$K$2:$K$20000=3))</f>
        <v>0</v>
      </c>
      <c r="O41" s="12" cm="1">
        <f t="array" ref="O41">SUMPRODUCT((DATOS!$G$2:$G$20000=CONFIG_METADATA!$B$4)*(DATOS!$I$2:$I$20000=B41)*(DATOS!$K$2:$K$20000=4))</f>
        <v>0</v>
      </c>
      <c r="P41" s="12" cm="1">
        <f t="array" ref="P41">SUMPRODUCT((DATOS!$G$2:$G$20000=CONFIG_METADATA!$B$4)*(DATOS!$I$2:$I$20000=B41)*(DATOS!$K$2:$K$20000=5))</f>
        <v>0</v>
      </c>
      <c r="Q41" s="12" cm="1">
        <f t="array" ref="Q41">SUMPRODUCT((DATOS!$G$2:$G$20000=CONFIG_METADATA!$B$4)*(DATOS!$I$2:$I$20000=B41)*(DATOS!$K$2:$K$20000=6))</f>
        <v>0</v>
      </c>
      <c r="R41" s="12" cm="1">
        <f t="array" ref="R41">SUMPRODUCT((DATOS!$G$2:$G$20000=CONFIG_METADATA!$B$4)*(DATOS!$I$2:$I$20000=B41)*(DATOS!$K$2:$K$20000=7))</f>
        <v>0</v>
      </c>
      <c r="S41" s="12" cm="1">
        <f t="array" ref="S41">SUMPRODUCT((DATOS!$G$2:$G$20000=CONFIG_METADATA!$B$4)*(DATOS!$I$2:$I$20000=B41)*(DATOS!$K$2:$K$20000=8))</f>
        <v>0</v>
      </c>
      <c r="T41" s="12" cm="1">
        <f t="array" ref="T41">SUMPRODUCT((DATOS!$G$2:$G$20000=CONFIG_METADATA!$B$4)*(DATOS!$I$2:$I$20000=B41)*(DATOS!$K$2:$K$20000=9))</f>
        <v>0</v>
      </c>
      <c r="U41" s="12" cm="1">
        <f t="array" ref="U41">SUMPRODUCT((DATOS!$G$2:$G$20000=CONFIG_METADATA!$B$4)*(DATOS!$I$2:$I$20000=B41)*(DATOS!$K$2:$K$20000=10))</f>
        <v>0</v>
      </c>
    </row>
    <row r="42" spans="1:21" ht="16" x14ac:dyDescent="0.25">
      <c r="A42" s="12" t="s">
        <v>116</v>
      </c>
      <c r="B42" s="13" t="s">
        <v>157</v>
      </c>
      <c r="C42" t="s">
        <v>158</v>
      </c>
      <c r="D42" cm="1">
        <f t="array" ref="D42">SUMPRODUCT((DATOS!$G$2:$G$20000=CONFIG_METADATA!$B$4)*(DATOS!$I$2:$I$20000=B42))</f>
        <v>0</v>
      </c>
      <c r="E42" s="10" t="str" cm="1">
        <f t="array" ref="E42">IFERROR(SUMPRODUCT((DATOS!$G$2:$G$20000=CONFIG_METADATA!$B$4)*(DATOS!$I$2:$I$20000=B42)*(DATOS!$K$2:$K$20000))/D42,"—")</f>
        <v>—</v>
      </c>
      <c r="F42" s="10" t="str" cm="1">
        <f t="array" ref="F42">IFERROR(_xlfn.STDEV.P(_xlfn._xlws.FILTER(DATOS!$K$2:$K$20000,(DATOS!$G$2:$G$20000=CONFIG_METADATA!$B$4)*(DATOS!$I$2:$I$20000=B42))),"—")</f>
        <v>—</v>
      </c>
      <c r="G42" t="str" cm="1">
        <f t="array" ref="G42">IFERROR(_xlfn.MODE.SNGL(_xlfn._xlws.FILTER(DATOS!$K$2:$K$20000,(DATOS!$G$2:$G$20000=CONFIG_METADATA!$B$4)*(DATOS!$I$2:$I$20000=B42))),"—")</f>
        <v>—</v>
      </c>
      <c r="H42" s="11" t="str" cm="1">
        <f t="array" ref="H42">IFERROR(SUMPRODUCT((DATOS!$G$2:$G$20000=CONFIG_METADATA!$B$4)*(DATOS!$I$2:$I$20000=B42)*(DATOS!$L$2:$L$20000="S"))/D42,"—")</f>
        <v>—</v>
      </c>
      <c r="I42" s="11" t="str" cm="1">
        <f t="array" ref="I42">IFERROR(SUMPRODUCT((DATOS!$G$2:$G$20000=CONFIG_METADATA!$B$4)*(DATOS!$I$2:$I$20000=B42)*(DATOS!$L$2:$L$20000="N"))/D42,"—")</f>
        <v>—</v>
      </c>
      <c r="J42" t="str" cm="1">
        <f t="array" ref="J42">IFERROR(_xlfn.MODE.SNGL(_xlfn._xlws.FILTER(DATOS!$K$2:$K$20000,(DATOS!$G$2:$G$20000=CONFIG_METADATA!$B$4)*(DATOS!$I$2:$I$20000=B42)*(DATOS!$L$2:$L$20000="S"))),"—")</f>
        <v>—</v>
      </c>
      <c r="K42" t="str" cm="1">
        <f t="array" ref="K42">IFERROR(_xlfn.MODE.SNGL(_xlfn._xlws.FILTER(DATOS!$K$2:$K$20000,(DATOS!$G$2:$G$20000=CONFIG_METADATA!$B$4)*(DATOS!$I$2:$I$20000=B42)*(DATOS!$L$2:$L$20000="N"))),"—")</f>
        <v>—</v>
      </c>
      <c r="L42" cm="1">
        <f t="array" ref="L42">SUMPRODUCT((DATOS!$G$2:$G$20000=CONFIG_METADATA!$B$4)*(DATOS!$I$2:$I$20000=B42)*(DATOS!$K$2:$K$20000=1))</f>
        <v>0</v>
      </c>
      <c r="M42" s="12" cm="1">
        <f t="array" ref="M42">SUMPRODUCT((DATOS!$G$2:$G$20000=CONFIG_METADATA!$B$4)*(DATOS!$I$2:$I$20000=B42)*(DATOS!$K$2:$K$20000=2))</f>
        <v>0</v>
      </c>
      <c r="N42" s="12" cm="1">
        <f t="array" ref="N42">SUMPRODUCT((DATOS!$G$2:$G$20000=CONFIG_METADATA!$B$4)*(DATOS!$I$2:$I$20000=B42)*(DATOS!$K$2:$K$20000=3))</f>
        <v>0</v>
      </c>
      <c r="O42" s="12" cm="1">
        <f t="array" ref="O42">SUMPRODUCT((DATOS!$G$2:$G$20000=CONFIG_METADATA!$B$4)*(DATOS!$I$2:$I$20000=B42)*(DATOS!$K$2:$K$20000=4))</f>
        <v>0</v>
      </c>
      <c r="P42" s="12" cm="1">
        <f t="array" ref="P42">SUMPRODUCT((DATOS!$G$2:$G$20000=CONFIG_METADATA!$B$4)*(DATOS!$I$2:$I$20000=B42)*(DATOS!$K$2:$K$20000=5))</f>
        <v>0</v>
      </c>
      <c r="Q42" s="12" cm="1">
        <f t="array" ref="Q42">SUMPRODUCT((DATOS!$G$2:$G$20000=CONFIG_METADATA!$B$4)*(DATOS!$I$2:$I$20000=B42)*(DATOS!$K$2:$K$20000=6))</f>
        <v>0</v>
      </c>
      <c r="R42" s="12" cm="1">
        <f t="array" ref="R42">SUMPRODUCT((DATOS!$G$2:$G$20000=CONFIG_METADATA!$B$4)*(DATOS!$I$2:$I$20000=B42)*(DATOS!$K$2:$K$20000=7))</f>
        <v>0</v>
      </c>
      <c r="S42" s="12" cm="1">
        <f t="array" ref="S42">SUMPRODUCT((DATOS!$G$2:$G$20000=CONFIG_METADATA!$B$4)*(DATOS!$I$2:$I$20000=B42)*(DATOS!$K$2:$K$20000=8))</f>
        <v>0</v>
      </c>
      <c r="T42" s="12" cm="1">
        <f t="array" ref="T42">SUMPRODUCT((DATOS!$G$2:$G$20000=CONFIG_METADATA!$B$4)*(DATOS!$I$2:$I$20000=B42)*(DATOS!$K$2:$K$20000=9))</f>
        <v>0</v>
      </c>
      <c r="U42" s="12" cm="1">
        <f t="array" ref="U42">SUMPRODUCT((DATOS!$G$2:$G$20000=CONFIG_METADATA!$B$4)*(DATOS!$I$2:$I$20000=B42)*(DATOS!$K$2:$K$20000=10))</f>
        <v>0</v>
      </c>
    </row>
    <row r="43" spans="1:21" ht="16" x14ac:dyDescent="0.25">
      <c r="A43" s="12" t="s">
        <v>116</v>
      </c>
      <c r="B43" t="s">
        <v>65</v>
      </c>
      <c r="C43" t="s">
        <v>158</v>
      </c>
      <c r="D43" cm="1">
        <f t="array" ref="D43">SUMPRODUCT((DATOS!$G$2:$G$20000=CONFIG_METADATA!$B$4)*(DATOS!$I$2:$I$20000=B43))</f>
        <v>0</v>
      </c>
      <c r="E43" s="10" t="str" cm="1">
        <f t="array" ref="E43">IFERROR(SUMPRODUCT((DATOS!$G$2:$G$20000=CONFIG_METADATA!$B$4)*(DATOS!$I$2:$I$20000=B43)*(DATOS!$K$2:$K$20000))/D43,"—")</f>
        <v>—</v>
      </c>
      <c r="F43" s="10" t="str" cm="1">
        <f t="array" ref="F43">IFERROR(_xlfn.STDEV.P(_xlfn._xlws.FILTER(DATOS!$K$2:$K$20000,(DATOS!$G$2:$G$20000=CONFIG_METADATA!$B$4)*(DATOS!$I$2:$I$20000=B43))),"—")</f>
        <v>—</v>
      </c>
      <c r="G43" t="str" cm="1">
        <f t="array" ref="G43">IFERROR(_xlfn.MODE.SNGL(_xlfn._xlws.FILTER(DATOS!$K$2:$K$20000,(DATOS!$G$2:$G$20000=CONFIG_METADATA!$B$4)*(DATOS!$I$2:$I$20000=B43))),"—")</f>
        <v>—</v>
      </c>
      <c r="H43" s="11" t="str" cm="1">
        <f t="array" ref="H43">IFERROR(SUMPRODUCT((DATOS!$G$2:$G$20000=CONFIG_METADATA!$B$4)*(DATOS!$I$2:$I$20000=B43)*(DATOS!$L$2:$L$20000="S"))/D43,"—")</f>
        <v>—</v>
      </c>
      <c r="I43" s="11" t="str" cm="1">
        <f t="array" ref="I43">IFERROR(SUMPRODUCT((DATOS!$G$2:$G$20000=CONFIG_METADATA!$B$4)*(DATOS!$I$2:$I$20000=B43)*(DATOS!$L$2:$L$20000="N"))/D43,"—")</f>
        <v>—</v>
      </c>
      <c r="J43" t="str" cm="1">
        <f t="array" ref="J43">IFERROR(_xlfn.MODE.SNGL(_xlfn._xlws.FILTER(DATOS!$K$2:$K$20000,(DATOS!$G$2:$G$20000=CONFIG_METADATA!$B$4)*(DATOS!$I$2:$I$20000=B43)*(DATOS!$L$2:$L$20000="S"))),"—")</f>
        <v>—</v>
      </c>
      <c r="K43" t="str" cm="1">
        <f t="array" ref="K43">IFERROR(_xlfn.MODE.SNGL(_xlfn._xlws.FILTER(DATOS!$K$2:$K$20000,(DATOS!$G$2:$G$20000=CONFIG_METADATA!$B$4)*(DATOS!$I$2:$I$20000=B43)*(DATOS!$L$2:$L$20000="N"))),"—")</f>
        <v>—</v>
      </c>
      <c r="L43" cm="1">
        <f t="array" ref="L43">SUMPRODUCT((DATOS!$G$2:$G$20000=CONFIG_METADATA!$B$4)*(DATOS!$I$2:$I$20000=B43)*(DATOS!$K$2:$K$20000=1))</f>
        <v>0</v>
      </c>
      <c r="M43" s="12" cm="1">
        <f t="array" ref="M43">SUMPRODUCT((DATOS!$G$2:$G$20000=CONFIG_METADATA!$B$4)*(DATOS!$I$2:$I$20000=B43)*(DATOS!$K$2:$K$20000=2))</f>
        <v>0</v>
      </c>
      <c r="N43" s="12" cm="1">
        <f t="array" ref="N43">SUMPRODUCT((DATOS!$G$2:$G$20000=CONFIG_METADATA!$B$4)*(DATOS!$I$2:$I$20000=B43)*(DATOS!$K$2:$K$20000=3))</f>
        <v>0</v>
      </c>
      <c r="O43" s="12" cm="1">
        <f t="array" ref="O43">SUMPRODUCT((DATOS!$G$2:$G$20000=CONFIG_METADATA!$B$4)*(DATOS!$I$2:$I$20000=B43)*(DATOS!$K$2:$K$20000=4))</f>
        <v>0</v>
      </c>
      <c r="P43" s="12" cm="1">
        <f t="array" ref="P43">SUMPRODUCT((DATOS!$G$2:$G$20000=CONFIG_METADATA!$B$4)*(DATOS!$I$2:$I$20000=B43)*(DATOS!$K$2:$K$20000=5))</f>
        <v>0</v>
      </c>
      <c r="Q43" s="12" cm="1">
        <f t="array" ref="Q43">SUMPRODUCT((DATOS!$G$2:$G$20000=CONFIG_METADATA!$B$4)*(DATOS!$I$2:$I$20000=B43)*(DATOS!$K$2:$K$20000=6))</f>
        <v>0</v>
      </c>
      <c r="R43" s="12" cm="1">
        <f t="array" ref="R43">SUMPRODUCT((DATOS!$G$2:$G$20000=CONFIG_METADATA!$B$4)*(DATOS!$I$2:$I$20000=B43)*(DATOS!$K$2:$K$20000=7))</f>
        <v>0</v>
      </c>
      <c r="S43" s="12" cm="1">
        <f t="array" ref="S43">SUMPRODUCT((DATOS!$G$2:$G$20000=CONFIG_METADATA!$B$4)*(DATOS!$I$2:$I$20000=B43)*(DATOS!$K$2:$K$20000=8))</f>
        <v>0</v>
      </c>
      <c r="T43" s="12" cm="1">
        <f t="array" ref="T43">SUMPRODUCT((DATOS!$G$2:$G$20000=CONFIG_METADATA!$B$4)*(DATOS!$I$2:$I$20000=B43)*(DATOS!$K$2:$K$20000=9))</f>
        <v>0</v>
      </c>
      <c r="U43" s="12" cm="1">
        <f t="array" ref="U43">SUMPRODUCT((DATOS!$G$2:$G$20000=CONFIG_METADATA!$B$4)*(DATOS!$I$2:$I$20000=B43)*(DATOS!$K$2:$K$20000=10))</f>
        <v>0</v>
      </c>
    </row>
    <row r="44" spans="1:21" ht="16" x14ac:dyDescent="0.25">
      <c r="A44" s="12" t="s">
        <v>116</v>
      </c>
      <c r="B44" t="s">
        <v>66</v>
      </c>
      <c r="C44" t="s">
        <v>158</v>
      </c>
      <c r="D44" cm="1">
        <f t="array" ref="D44">SUMPRODUCT((DATOS!$G$2:$G$20000=CONFIG_METADATA!$B$4)*(DATOS!$I$2:$I$20000=B44))</f>
        <v>0</v>
      </c>
      <c r="E44" s="10" t="str" cm="1">
        <f t="array" ref="E44">IFERROR(SUMPRODUCT((DATOS!$G$2:$G$20000=CONFIG_METADATA!$B$4)*(DATOS!$I$2:$I$20000=B44)*(DATOS!$K$2:$K$20000))/D44,"—")</f>
        <v>—</v>
      </c>
      <c r="F44" s="10" t="str" cm="1">
        <f t="array" ref="F44">IFERROR(_xlfn.STDEV.P(_xlfn._xlws.FILTER(DATOS!$K$2:$K$20000,(DATOS!$G$2:$G$20000=CONFIG_METADATA!$B$4)*(DATOS!$I$2:$I$20000=B44))),"—")</f>
        <v>—</v>
      </c>
      <c r="G44" t="str" cm="1">
        <f t="array" ref="G44">IFERROR(_xlfn.MODE.SNGL(_xlfn._xlws.FILTER(DATOS!$K$2:$K$20000,(DATOS!$G$2:$G$20000=CONFIG_METADATA!$B$4)*(DATOS!$I$2:$I$20000=B44))),"—")</f>
        <v>—</v>
      </c>
      <c r="H44" s="11" t="str" cm="1">
        <f t="array" ref="H44">IFERROR(SUMPRODUCT((DATOS!$G$2:$G$20000=CONFIG_METADATA!$B$4)*(DATOS!$I$2:$I$20000=B44)*(DATOS!$L$2:$L$20000="S"))/D44,"—")</f>
        <v>—</v>
      </c>
      <c r="I44" s="11" t="str" cm="1">
        <f t="array" ref="I44">IFERROR(SUMPRODUCT((DATOS!$G$2:$G$20000=CONFIG_METADATA!$B$4)*(DATOS!$I$2:$I$20000=B44)*(DATOS!$L$2:$L$20000="N"))/D44,"—")</f>
        <v>—</v>
      </c>
      <c r="J44" t="str" cm="1">
        <f t="array" ref="J44">IFERROR(_xlfn.MODE.SNGL(_xlfn._xlws.FILTER(DATOS!$K$2:$K$20000,(DATOS!$G$2:$G$20000=CONFIG_METADATA!$B$4)*(DATOS!$I$2:$I$20000=B44)*(DATOS!$L$2:$L$20000="S"))),"—")</f>
        <v>—</v>
      </c>
      <c r="K44" t="str" cm="1">
        <f t="array" ref="K44">IFERROR(_xlfn.MODE.SNGL(_xlfn._xlws.FILTER(DATOS!$K$2:$K$20000,(DATOS!$G$2:$G$20000=CONFIG_METADATA!$B$4)*(DATOS!$I$2:$I$20000=B44)*(DATOS!$L$2:$L$20000="N"))),"—")</f>
        <v>—</v>
      </c>
      <c r="L44" cm="1">
        <f t="array" ref="L44">SUMPRODUCT((DATOS!$G$2:$G$20000=CONFIG_METADATA!$B$4)*(DATOS!$I$2:$I$20000=B44)*(DATOS!$K$2:$K$20000=1))</f>
        <v>0</v>
      </c>
      <c r="M44" s="12" cm="1">
        <f t="array" ref="M44">SUMPRODUCT((DATOS!$G$2:$G$20000=CONFIG_METADATA!$B$4)*(DATOS!$I$2:$I$20000=B44)*(DATOS!$K$2:$K$20000=2))</f>
        <v>0</v>
      </c>
      <c r="N44" s="12" cm="1">
        <f t="array" ref="N44">SUMPRODUCT((DATOS!$G$2:$G$20000=CONFIG_METADATA!$B$4)*(DATOS!$I$2:$I$20000=B44)*(DATOS!$K$2:$K$20000=3))</f>
        <v>0</v>
      </c>
      <c r="O44" s="12" cm="1">
        <f t="array" ref="O44">SUMPRODUCT((DATOS!$G$2:$G$20000=CONFIG_METADATA!$B$4)*(DATOS!$I$2:$I$20000=B44)*(DATOS!$K$2:$K$20000=4))</f>
        <v>0</v>
      </c>
      <c r="P44" s="12" cm="1">
        <f t="array" ref="P44">SUMPRODUCT((DATOS!$G$2:$G$20000=CONFIG_METADATA!$B$4)*(DATOS!$I$2:$I$20000=B44)*(DATOS!$K$2:$K$20000=5))</f>
        <v>0</v>
      </c>
      <c r="Q44" s="12" cm="1">
        <f t="array" ref="Q44">SUMPRODUCT((DATOS!$G$2:$G$20000=CONFIG_METADATA!$B$4)*(DATOS!$I$2:$I$20000=B44)*(DATOS!$K$2:$K$20000=6))</f>
        <v>0</v>
      </c>
      <c r="R44" s="12" cm="1">
        <f t="array" ref="R44">SUMPRODUCT((DATOS!$G$2:$G$20000=CONFIG_METADATA!$B$4)*(DATOS!$I$2:$I$20000=B44)*(DATOS!$K$2:$K$20000=7))</f>
        <v>0</v>
      </c>
      <c r="S44" s="12" cm="1">
        <f t="array" ref="S44">SUMPRODUCT((DATOS!$G$2:$G$20000=CONFIG_METADATA!$B$4)*(DATOS!$I$2:$I$20000=B44)*(DATOS!$K$2:$K$20000=8))</f>
        <v>0</v>
      </c>
      <c r="T44" s="12" cm="1">
        <f t="array" ref="T44">SUMPRODUCT((DATOS!$G$2:$G$20000=CONFIG_METADATA!$B$4)*(DATOS!$I$2:$I$20000=B44)*(DATOS!$K$2:$K$20000=9))</f>
        <v>0</v>
      </c>
      <c r="U44" s="12" cm="1">
        <f t="array" ref="U44">SUMPRODUCT((DATOS!$G$2:$G$20000=CONFIG_METADATA!$B$4)*(DATOS!$I$2:$I$20000=B44)*(DATOS!$K$2:$K$20000=10))</f>
        <v>0</v>
      </c>
    </row>
    <row r="45" spans="1:21" x14ac:dyDescent="0.2">
      <c r="A45" t="s">
        <v>78</v>
      </c>
      <c r="B45" t="s">
        <v>117</v>
      </c>
      <c r="C45" t="s">
        <v>117</v>
      </c>
      <c r="D45">
        <f>SUMPRODUCT((DATOS!$G$2:$G$20000=CONFIG_METADATA!$B$4)*(DATOS!$D$2:$D$20000=A45))</f>
        <v>0</v>
      </c>
      <c r="E45" s="10" t="str">
        <f>IFERROR(SUMPRODUCT((DATOS!$G$2:$G$20000=CONFIG_METADATA!$B$4)*(DATOS!$D$2:$D$20000=A45)*(DATOS!$K$2:$K$20000))/D45,"—")</f>
        <v>—</v>
      </c>
      <c r="F45" s="10" t="str" cm="1">
        <f t="array" ref="F45">IFERROR(_xlfn.STDEV.P(_xlfn._xlws.FILTER(DATOS!$K$2:$K$20000,(DATOS!$G$2:$G$20000=CONFIG_METADATA!$B$4)*(DATOS!$D$2:$D$20000=A45))),"—")</f>
        <v>—</v>
      </c>
      <c r="G45" t="str" cm="1">
        <f t="array" ref="G45">IFERROR(_xlfn.MODE.SNGL(_xlfn._xlws.FILTER(DATOS!$K$2:$K$20000,(DATOS!$G$2:$G$20000=CONFIG_METADATA!$B$4)*(DATOS!$D$2:$D$20000=A45))),"—")</f>
        <v>—</v>
      </c>
      <c r="H45" s="11" t="str">
        <f>IFERROR(SUMPRODUCT((DATOS!$G$2:$G$20000=CONFIG_METADATA!$B$4)*(DATOS!$D$2:$D$20000=A45)*(DATOS!$L$2:$L$20000="S"))/D45,"—")</f>
        <v>—</v>
      </c>
      <c r="I45" s="11" t="str">
        <f>IFERROR(SUMPRODUCT((DATOS!$G$2:$G$20000=CONFIG_METADATA!$B$4)*(DATOS!$D$2:$D$20000=A45)*(DATOS!$L$2:$L$20000="N"))/D45,"—")</f>
        <v>—</v>
      </c>
      <c r="J45" t="str" cm="1">
        <f t="array" ref="J45">IFERROR(_xlfn.MODE.SNGL(_xlfn._xlws.FILTER(DATOS!$K$2:$K$20000,(DATOS!$G$2:$G$20000=CONFIG_METADATA!$B$4)*(DATOS!$D$2:$D$20000=A45)*(DATOS!$L$2:$L$20000="S"))),"—")</f>
        <v>—</v>
      </c>
      <c r="K45" t="str" cm="1">
        <f t="array" ref="K45">IFERROR(_xlfn.MODE.SNGL(_xlfn._xlws.FILTER(DATOS!$K$2:$K$20000,(DATOS!$G$2:$G$20000=CONFIG_METADATA!$B$4)*(DATOS!$D$2:$D$20000=A45)*(DATOS!$L$2:$L$20000="N"))),"—")</f>
        <v>—</v>
      </c>
      <c r="L45">
        <f>SUMPRODUCT((DATOS!$G$2:$G$20000=CONFIG_METADATA!$B$4)*(DATOS!$D$2:$D$20000=A45)*(DATOS!$K$2:$K$20000=1))</f>
        <v>0</v>
      </c>
      <c r="M45">
        <f>SUMPRODUCT((DATOS!$G$2:$G$20000=CONFIG_METADATA!$B$4)*(DATOS!$D$2:$D$20000=A45)*(DATOS!$K$2:$K$20000=2))</f>
        <v>0</v>
      </c>
      <c r="N45">
        <f>SUMPRODUCT((DATOS!$G$2:$G$20000=CONFIG_METADATA!$B$4)*(DATOS!$D$2:$D$20000=A45)*(DATOS!$K$2:$K$20000=3))</f>
        <v>0</v>
      </c>
      <c r="O45">
        <f>SUMPRODUCT((DATOS!$G$2:$G$20000=CONFIG_METADATA!$B$4)*(DATOS!$D$2:$D$20000=A45)*(DATOS!$K$2:$K$20000=4))</f>
        <v>0</v>
      </c>
      <c r="P45">
        <f>SUMPRODUCT((DATOS!$G$2:$G$20000=CONFIG_METADATA!$B$4)*(DATOS!$D$2:$D$20000=A45)*(DATOS!$K$2:$K$20000=5))</f>
        <v>0</v>
      </c>
      <c r="Q45">
        <f>SUMPRODUCT((DATOS!$G$2:$G$20000=CONFIG_METADATA!$B$4)*(DATOS!$D$2:$D$20000=A45)*(DATOS!$K$2:$K$20000=6))</f>
        <v>0</v>
      </c>
      <c r="R45">
        <f>SUMPRODUCT((DATOS!$G$2:$G$20000=CONFIG_METADATA!$B$4)*(DATOS!$D$2:$D$20000=A45)*(DATOS!$K$2:$K$20000=7))</f>
        <v>0</v>
      </c>
      <c r="S45">
        <f>SUMPRODUCT((DATOS!$G$2:$G$20000=CONFIG_METADATA!$B$4)*(DATOS!$D$2:$D$20000=A45)*(DATOS!$K$2:$K$20000=8))</f>
        <v>0</v>
      </c>
      <c r="T45">
        <f>SUMPRODUCT((DATOS!$G$2:$G$20000=CONFIG_METADATA!$B$4)*(DATOS!$D$2:$D$20000=A45)*(DATOS!$K$2:$K$20000=9))</f>
        <v>0</v>
      </c>
      <c r="U45">
        <f>SUMPRODUCT((DATOS!$G$2:$G$20000=CONFIG_METADATA!$B$4)*(DATOS!$D$2:$D$20000=A45)*(DATOS!$K$2:$K$20000=10))</f>
        <v>0</v>
      </c>
    </row>
    <row r="46" spans="1:21" x14ac:dyDescent="0.2">
      <c r="A46" t="s">
        <v>78</v>
      </c>
      <c r="B46" t="s">
        <v>118</v>
      </c>
      <c r="C46" t="s">
        <v>119</v>
      </c>
      <c r="D46">
        <f>SUMPRODUCT((DATOS!$G$2:$G$20000=CONFIG_METADATA!$B$4)*(DATOS!$D$2:$D$20000=A46)*(COUNTIF(CONFIG_ASIGNATURAS!$B$7:$B$27,DATOS!$I$2:$I$20000)&gt;0))</f>
        <v>0</v>
      </c>
      <c r="E46" s="10" t="str">
        <f>IFERROR(SUMPRODUCT((DATOS!$G$2:$G$20000=CONFIG_METADATA!$B$4)*(DATOS!$D$2:$D$20000=A46)*(COUNTIF(CONFIG_ASIGNATURAS!$B$7:$B$27,DATOS!$I$2:$I$20000)&gt;0)*(DATOS!$K$2:$K$20000))/D46,"—")</f>
        <v>—</v>
      </c>
      <c r="F46" s="10" t="str" cm="1">
        <f t="array" ref="F46">IFERROR(_xlfn.STDEV.P(_xlfn._xlws.FILTER(DATOS!$K$2:$K$20000,(DATOS!$G$2:$G$20000=CONFIG_METADATA!$B$4)*(DATOS!$D$2:$D$20000=A46)*(COUNTIF(CONFIG_ASIGNATURAS!$B$7:$B$27,DATOS!$I$2:$I$20000)&gt;0))),"—")</f>
        <v>—</v>
      </c>
      <c r="G46" t="str" cm="1">
        <f t="array" ref="G46">IFERROR(_xlfn.MODE.SNGL(_xlfn._xlws.FILTER(DATOS!$K$2:$K$20000,(DATOS!$G$2:$G$20000=CONFIG_METADATA!$B$4)*(DATOS!$D$2:$D$20000=A46)*(COUNTIF(CONFIG_ASIGNATURAS!$B$7:$B$27,DATOS!$I$2:$I$20000)&gt;0))),"—")</f>
        <v>—</v>
      </c>
      <c r="H46" s="11" t="str">
        <f>IFERROR(SUMPRODUCT((DATOS!$G$2:$G$20000=CONFIG_METADATA!$B$4)*(DATOS!$D$2:$D$20000=A46)*(COUNTIF(CONFIG_ASIGNATURAS!$B$7:$B$27,DATOS!$I$2:$I$20000)&gt;0)*(DATOS!$L$2:$L$20000="S"))/D46,"—")</f>
        <v>—</v>
      </c>
      <c r="I46" s="11" t="str">
        <f>IFERROR(SUMPRODUCT((DATOS!$G$2:$G$20000=CONFIG_METADATA!$B$4)*(DATOS!$D$2:$D$20000=A46)*(COUNTIF(CONFIG_ASIGNATURAS!$B$7:$B$27,DATOS!$I$2:$I$20000)&gt;0)*(DATOS!$L$2:$L$20000="N"))/D46,"—")</f>
        <v>—</v>
      </c>
      <c r="J46" t="str" cm="1">
        <f t="array" ref="J46">IFERROR(_xlfn.MODE.SNGL(_xlfn._xlws.FILTER(DATOS!$K$2:$K$20000,(DATOS!$G$2:$G$20000=CONFIG_METADATA!$B$4)*(DATOS!$D$2:$D$20000=A46)*(COUNTIF(CONFIG_ASIGNATURAS!$B$7:$B$27,DATOS!$I$2:$I$20000)&gt;0)*(DATOS!$L$2:$L$20000="S"))),"—")</f>
        <v>—</v>
      </c>
      <c r="K46" t="str" cm="1">
        <f t="array" ref="K46">IFERROR(_xlfn.MODE.SNGL(_xlfn._xlws.FILTER(DATOS!$K$2:$K$20000,(DATOS!$G$2:$G$20000=CONFIG_METADATA!$B$4)*(DATOS!$D$2:$D$20000=A46)*(COUNTIF(CONFIG_ASIGNATURAS!$B$7:$B$27,DATOS!$I$2:$I$20000)&gt;0)*(DATOS!$L$2:$L$20000="N"))),"—")</f>
        <v>—</v>
      </c>
      <c r="L46">
        <f>SUMPRODUCT((DATOS!$G$2:$G$20000=CONFIG_METADATA!$B$4)*(DATOS!$D$2:$D$20000=A46)*(COUNTIF(CONFIG_ASIGNATURAS!$B$7:$B$27,DATOS!$I$2:$I$20000)&gt;0)*(DATOS!$K$2:$K$20000=1))</f>
        <v>0</v>
      </c>
      <c r="M46">
        <f>SUMPRODUCT((DATOS!$G$2:$G$20000=CONFIG_METADATA!$B$4)*(DATOS!$D$2:$D$20000=A46)*(COUNTIF(CONFIG_ASIGNATURAS!$B$7:$B$27,DATOS!$I$2:$I$20000)&gt;0)*(DATOS!$K$2:$K$20000=2))</f>
        <v>0</v>
      </c>
      <c r="N46">
        <f>SUMPRODUCT((DATOS!$G$2:$G$20000=CONFIG_METADATA!$B$4)*(DATOS!$D$2:$D$20000=A46)*(COUNTIF(CONFIG_ASIGNATURAS!$B$7:$B$27,DATOS!$I$2:$I$20000)&gt;0)*(DATOS!$K$2:$K$20000=3))</f>
        <v>0</v>
      </c>
      <c r="O46">
        <f>SUMPRODUCT((DATOS!$G$2:$G$20000=CONFIG_METADATA!$B$4)*(DATOS!$D$2:$D$20000=A46)*(COUNTIF(CONFIG_ASIGNATURAS!$B$7:$B$27,DATOS!$I$2:$I$20000)&gt;0)*(DATOS!$K$2:$K$20000=4))</f>
        <v>0</v>
      </c>
      <c r="P46">
        <f>SUMPRODUCT((DATOS!$G$2:$G$20000=CONFIG_METADATA!$B$4)*(DATOS!$D$2:$D$20000=A46)*(COUNTIF(CONFIG_ASIGNATURAS!$B$7:$B$27,DATOS!$I$2:$I$20000)&gt;0)*(DATOS!$K$2:$K$20000=5))</f>
        <v>0</v>
      </c>
      <c r="Q46">
        <f>SUMPRODUCT((DATOS!$G$2:$G$20000=CONFIG_METADATA!$B$4)*(DATOS!$D$2:$D$20000=A46)*(COUNTIF(CONFIG_ASIGNATURAS!$B$7:$B$27,DATOS!$I$2:$I$20000)&gt;0)*(DATOS!$K$2:$K$20000=6))</f>
        <v>0</v>
      </c>
      <c r="R46">
        <f>SUMPRODUCT((DATOS!$G$2:$G$20000=CONFIG_METADATA!$B$4)*(DATOS!$D$2:$D$20000=A46)*(COUNTIF(CONFIG_ASIGNATURAS!$B$7:$B$27,DATOS!$I$2:$I$20000)&gt;0)*(DATOS!$K$2:$K$20000=7))</f>
        <v>0</v>
      </c>
      <c r="S46">
        <f>SUMPRODUCT((DATOS!$G$2:$G$20000=CONFIG_METADATA!$B$4)*(DATOS!$D$2:$D$20000=A46)*(COUNTIF(CONFIG_ASIGNATURAS!$B$7:$B$27,DATOS!$I$2:$I$20000)&gt;0)*(DATOS!$K$2:$K$20000=8))</f>
        <v>0</v>
      </c>
      <c r="T46">
        <f>SUMPRODUCT((DATOS!$G$2:$G$20000=CONFIG_METADATA!$B$4)*(DATOS!$D$2:$D$20000=A46)*(COUNTIF(CONFIG_ASIGNATURAS!$B$7:$B$27,DATOS!$I$2:$I$20000)&gt;0)*(DATOS!$K$2:$K$20000=9))</f>
        <v>0</v>
      </c>
      <c r="U46">
        <f>SUMPRODUCT((DATOS!$G$2:$G$20000=CONFIG_METADATA!$B$4)*(DATOS!$D$2:$D$20000=A46)*(COUNTIF(CONFIG_ASIGNATURAS!$B$7:$B$27,DATOS!$I$2:$I$20000)&gt;0)*(DATOS!$K$2:$K$20000=10))</f>
        <v>0</v>
      </c>
    </row>
    <row r="47" spans="1:21" x14ac:dyDescent="0.2">
      <c r="A47" t="s">
        <v>78</v>
      </c>
      <c r="B47" t="s">
        <v>120</v>
      </c>
      <c r="C47" t="s">
        <v>121</v>
      </c>
      <c r="D47">
        <f>SUMPRODUCT((DATOS!$G$2:$G$20000=CONFIG_METADATA!$B$4)*(DATOS!$D$2:$D$20000=A47)*(COUNTIF(CONFIG_ASIGNATURAS!$B$7:$B$27,DATOS!$I$2:$I$20000)=0))</f>
        <v>0</v>
      </c>
      <c r="E47" s="10" t="str">
        <f>IFERROR(SUMPRODUCT((DATOS!$G$2:$G$20000=CONFIG_METADATA!$B$4)*(DATOS!$D$2:$D$20000=A47)*(COUNTIF(CONFIG_ASIGNATURAS!$B$7:$B$27,DATOS!$I$2:$I$20000)=0)*(DATOS!$K$2:$K$20000))/D47,"—")</f>
        <v>—</v>
      </c>
      <c r="F47" s="10" t="str" cm="1">
        <f t="array" ref="F47">IFERROR(_xlfn.STDEV.P(_xlfn._xlws.FILTER(DATOS!$K$2:$K$20000,(DATOS!$G$2:$G$20000=CONFIG_METADATA!$B$4)*(DATOS!$D$2:$D$20000=A47)*(COUNTIF(CONFIG_ASIGNATURAS!$B$7:$B$27,DATOS!$I$2:$I$20000)=0))),"—")</f>
        <v>—</v>
      </c>
      <c r="G47" t="str" cm="1">
        <f t="array" ref="G47">IFERROR(_xlfn.MODE.SNGL(_xlfn._xlws.FILTER(DATOS!$K$2:$K$20000,(DATOS!$G$2:$G$20000=CONFIG_METADATA!$B$4)*(DATOS!$D$2:$D$20000=A47)*(COUNTIF(CONFIG_ASIGNATURAS!$B$7:$B$27,DATOS!$I$2:$I$20000)=0))),"—")</f>
        <v>—</v>
      </c>
      <c r="H47" s="11" t="str">
        <f>IFERROR(SUMPRODUCT((DATOS!$G$2:$G$20000=CONFIG_METADATA!$B$4)*(DATOS!$D$2:$D$20000=A47)*(COUNTIF(CONFIG_ASIGNATURAS!$B$7:$B$27,DATOS!$I$2:$I$20000)=0)*(DATOS!$L$2:$L$20000="S"))/D47,"—")</f>
        <v>—</v>
      </c>
      <c r="I47" s="11" t="str">
        <f>IFERROR(SUMPRODUCT((DATOS!$G$2:$G$20000=CONFIG_METADATA!$B$4)*(DATOS!$D$2:$D$20000=A47)*(COUNTIF(CONFIG_ASIGNATURAS!$B$7:$B$27,DATOS!$I$2:$I$20000)=0)*(DATOS!$L$2:$L$20000="N"))/D47,"—")</f>
        <v>—</v>
      </c>
      <c r="J47" t="str" cm="1">
        <f t="array" ref="J47">IFERROR(_xlfn.MODE.SNGL(_xlfn._xlws.FILTER(DATOS!$K$2:$K$20000,(DATOS!$G$2:$G$20000=CONFIG_METADATA!$B$4)*(DATOS!$D$2:$D$20000=A47)*(COUNTIF(CONFIG_ASIGNATURAS!$B$7:$B$27,DATOS!$I$2:$I$20000)=0)*(DATOS!$L$2:$L$20000="S"))),"—")</f>
        <v>—</v>
      </c>
      <c r="K47" t="str" cm="1">
        <f t="array" ref="K47">IFERROR(_xlfn.MODE.SNGL(_xlfn._xlws.FILTER(DATOS!$K$2:$K$20000,(DATOS!$G$2:$G$20000=CONFIG_METADATA!$B$4)*(DATOS!$D$2:$D$20000=A47)*(COUNTIF(CONFIG_ASIGNATURAS!$B$7:$B$27,DATOS!$I$2:$I$20000)=0)*(DATOS!$L$2:$L$20000="N"))),"—")</f>
        <v>—</v>
      </c>
      <c r="L47">
        <f>SUMPRODUCT((DATOS!$G$2:$G$20000=CONFIG_METADATA!$B$4)*(DATOS!$D$2:$D$20000=A47)*(COUNTIF(CONFIG_ASIGNATURAS!$B$7:$B$27,DATOS!$I$2:$I$20000)=0)*(DATOS!$K$2:$K$20000=1))</f>
        <v>0</v>
      </c>
      <c r="M47">
        <f>SUMPRODUCT((DATOS!$G$2:$G$20000=CONFIG_METADATA!$B$4)*(DATOS!$D$2:$D$20000=A47)*(COUNTIF(CONFIG_ASIGNATURAS!$B$7:$B$27,DATOS!$I$2:$I$20000)=0)*(DATOS!$K$2:$K$20000=2))</f>
        <v>0</v>
      </c>
      <c r="N47">
        <f>SUMPRODUCT((DATOS!$G$2:$G$20000=CONFIG_METADATA!$B$4)*(DATOS!$D$2:$D$20000=A47)*(COUNTIF(CONFIG_ASIGNATURAS!$B$7:$B$27,DATOS!$I$2:$I$20000)=0)*(DATOS!$K$2:$K$20000=3))</f>
        <v>0</v>
      </c>
      <c r="O47">
        <f>SUMPRODUCT((DATOS!$G$2:$G$20000=CONFIG_METADATA!$B$4)*(DATOS!$D$2:$D$20000=A47)*(COUNTIF(CONFIG_ASIGNATURAS!$B$7:$B$27,DATOS!$I$2:$I$20000)=0)*(DATOS!$K$2:$K$20000=4))</f>
        <v>0</v>
      </c>
      <c r="P47">
        <f>SUMPRODUCT((DATOS!$G$2:$G$20000=CONFIG_METADATA!$B$4)*(DATOS!$D$2:$D$20000=A47)*(COUNTIF(CONFIG_ASIGNATURAS!$B$7:$B$27,DATOS!$I$2:$I$20000)=0)*(DATOS!$K$2:$K$20000=5))</f>
        <v>0</v>
      </c>
      <c r="Q47">
        <f>SUMPRODUCT((DATOS!$G$2:$G$20000=CONFIG_METADATA!$B$4)*(DATOS!$D$2:$D$20000=A47)*(COUNTIF(CONFIG_ASIGNATURAS!$B$7:$B$27,DATOS!$I$2:$I$20000)=0)*(DATOS!$K$2:$K$20000=6))</f>
        <v>0</v>
      </c>
      <c r="R47">
        <f>SUMPRODUCT((DATOS!$G$2:$G$20000=CONFIG_METADATA!$B$4)*(DATOS!$D$2:$D$20000=A47)*(COUNTIF(CONFIG_ASIGNATURAS!$B$7:$B$27,DATOS!$I$2:$I$20000)=0)*(DATOS!$K$2:$K$20000=7))</f>
        <v>0</v>
      </c>
      <c r="S47">
        <f>SUMPRODUCT((DATOS!$G$2:$G$20000=CONFIG_METADATA!$B$4)*(DATOS!$D$2:$D$20000=A47)*(COUNTIF(CONFIG_ASIGNATURAS!$B$7:$B$27,DATOS!$I$2:$I$20000)=0)*(DATOS!$K$2:$K$20000=8))</f>
        <v>0</v>
      </c>
      <c r="T47">
        <f>SUMPRODUCT((DATOS!$G$2:$G$20000=CONFIG_METADATA!$B$4)*(DATOS!$D$2:$D$20000=A47)*(COUNTIF(CONFIG_ASIGNATURAS!$B$7:$B$27,DATOS!$I$2:$I$20000)=0)*(DATOS!$K$2:$K$20000=9))</f>
        <v>0</v>
      </c>
      <c r="U47">
        <f>SUMPRODUCT((DATOS!$G$2:$G$20000=CONFIG_METADATA!$B$4)*(DATOS!$D$2:$D$20000=A47)*(COUNTIF(CONFIG_ASIGNATURAS!$B$7:$B$27,DATOS!$I$2:$I$20000)=0)*(DATOS!$K$2:$K$20000=10))</f>
        <v>0</v>
      </c>
    </row>
    <row r="48" spans="1:21" x14ac:dyDescent="0.2">
      <c r="A48" t="s">
        <v>79</v>
      </c>
      <c r="B48" t="s">
        <v>117</v>
      </c>
      <c r="C48" t="s">
        <v>117</v>
      </c>
      <c r="D48">
        <f>SUMPRODUCT((DATOS!$G$2:$G$20000=CONFIG_METADATA!$B$4)*(DATOS!$D$2:$D$20000=A48))</f>
        <v>0</v>
      </c>
      <c r="E48" s="10" t="str">
        <f>IFERROR(SUMPRODUCT((DATOS!$G$2:$G$20000=CONFIG_METADATA!$B$4)*(DATOS!$D$2:$D$20000=A48)*(DATOS!$K$2:$K$20000))/D48,"—")</f>
        <v>—</v>
      </c>
      <c r="F48" s="10" t="str" cm="1">
        <f t="array" ref="F48">IFERROR(_xlfn.STDEV.P(_xlfn._xlws.FILTER(DATOS!$K$2:$K$20000,(DATOS!$G$2:$G$20000=CONFIG_METADATA!$B$4)*(DATOS!$D$2:$D$20000=A48))),"—")</f>
        <v>—</v>
      </c>
      <c r="G48" t="str" cm="1">
        <f t="array" ref="G48">IFERROR(_xlfn.MODE.SNGL(_xlfn._xlws.FILTER(DATOS!$K$2:$K$20000,(DATOS!$G$2:$G$20000=CONFIG_METADATA!$B$4)*(DATOS!$D$2:$D$20000=A48))),"—")</f>
        <v>—</v>
      </c>
      <c r="H48" s="11" t="str">
        <f>IFERROR(SUMPRODUCT((DATOS!$G$2:$G$20000=CONFIG_METADATA!$B$4)*(DATOS!$D$2:$D$20000=A48)*(DATOS!$L$2:$L$20000="S"))/D48,"—")</f>
        <v>—</v>
      </c>
      <c r="I48" s="11" t="str">
        <f>IFERROR(SUMPRODUCT((DATOS!$G$2:$G$20000=CONFIG_METADATA!$B$4)*(DATOS!$D$2:$D$20000=A48)*(DATOS!$L$2:$L$20000="N"))/D48,"—")</f>
        <v>—</v>
      </c>
      <c r="J48" t="str" cm="1">
        <f t="array" ref="J48">IFERROR(_xlfn.MODE.SNGL(_xlfn._xlws.FILTER(DATOS!$K$2:$K$20000,(DATOS!$G$2:$G$20000=CONFIG_METADATA!$B$4)*(DATOS!$D$2:$D$20000=A48)*(DATOS!$L$2:$L$20000="S"))),"—")</f>
        <v>—</v>
      </c>
      <c r="K48" t="str" cm="1">
        <f t="array" ref="K48">IFERROR(_xlfn.MODE.SNGL(_xlfn._xlws.FILTER(DATOS!$K$2:$K$20000,(DATOS!$G$2:$G$20000=CONFIG_METADATA!$B$4)*(DATOS!$D$2:$D$20000=A48)*(DATOS!$L$2:$L$20000="N"))),"—")</f>
        <v>—</v>
      </c>
      <c r="L48">
        <f>SUMPRODUCT((DATOS!$G$2:$G$20000=CONFIG_METADATA!$B$4)*(DATOS!$D$2:$D$20000=A48)*(DATOS!$K$2:$K$20000=1))</f>
        <v>0</v>
      </c>
      <c r="M48">
        <f>SUMPRODUCT((DATOS!$G$2:$G$20000=CONFIG_METADATA!$B$4)*(DATOS!$D$2:$D$20000=A48)*(DATOS!$K$2:$K$20000=2))</f>
        <v>0</v>
      </c>
      <c r="N48">
        <f>SUMPRODUCT((DATOS!$G$2:$G$20000=CONFIG_METADATA!$B$4)*(DATOS!$D$2:$D$20000=A48)*(DATOS!$K$2:$K$20000=3))</f>
        <v>0</v>
      </c>
      <c r="O48">
        <f>SUMPRODUCT((DATOS!$G$2:$G$20000=CONFIG_METADATA!$B$4)*(DATOS!$D$2:$D$20000=A48)*(DATOS!$K$2:$K$20000=4))</f>
        <v>0</v>
      </c>
      <c r="P48">
        <f>SUMPRODUCT((DATOS!$G$2:$G$20000=CONFIG_METADATA!$B$4)*(DATOS!$D$2:$D$20000=A48)*(DATOS!$K$2:$K$20000=5))</f>
        <v>0</v>
      </c>
      <c r="Q48">
        <f>SUMPRODUCT((DATOS!$G$2:$G$20000=CONFIG_METADATA!$B$4)*(DATOS!$D$2:$D$20000=A48)*(DATOS!$K$2:$K$20000=6))</f>
        <v>0</v>
      </c>
      <c r="R48">
        <f>SUMPRODUCT((DATOS!$G$2:$G$20000=CONFIG_METADATA!$B$4)*(DATOS!$D$2:$D$20000=A48)*(DATOS!$K$2:$K$20000=7))</f>
        <v>0</v>
      </c>
      <c r="S48">
        <f>SUMPRODUCT((DATOS!$G$2:$G$20000=CONFIG_METADATA!$B$4)*(DATOS!$D$2:$D$20000=A48)*(DATOS!$K$2:$K$20000=8))</f>
        <v>0</v>
      </c>
      <c r="T48">
        <f>SUMPRODUCT((DATOS!$G$2:$G$20000=CONFIG_METADATA!$B$4)*(DATOS!$D$2:$D$20000=A48)*(DATOS!$K$2:$K$20000=9))</f>
        <v>0</v>
      </c>
      <c r="U48">
        <f>SUMPRODUCT((DATOS!$G$2:$G$20000=CONFIG_METADATA!$B$4)*(DATOS!$D$2:$D$20000=A48)*(DATOS!$K$2:$K$20000=10))</f>
        <v>0</v>
      </c>
    </row>
    <row r="49" spans="1:21" x14ac:dyDescent="0.2">
      <c r="A49" t="s">
        <v>79</v>
      </c>
      <c r="B49" t="s">
        <v>118</v>
      </c>
      <c r="C49" t="s">
        <v>119</v>
      </c>
      <c r="D49">
        <f>SUMPRODUCT((DATOS!$G$2:$G$20000=CONFIG_METADATA!$B$4)*(DATOS!$D$2:$D$20000=A49)*(COUNTIF(CONFIG_ASIGNATURAS!$B$7:$B$27,DATOS!$I$2:$I$20000)&gt;0))</f>
        <v>0</v>
      </c>
      <c r="E49" s="10" t="str">
        <f>IFERROR(SUMPRODUCT((DATOS!$G$2:$G$20000=CONFIG_METADATA!$B$4)*(DATOS!$D$2:$D$20000=A49)*(COUNTIF(CONFIG_ASIGNATURAS!$B$7:$B$27,DATOS!$I$2:$I$20000)&gt;0)*(DATOS!$K$2:$K$20000))/D49,"—")</f>
        <v>—</v>
      </c>
      <c r="F49" s="10" t="str" cm="1">
        <f t="array" ref="F49">IFERROR(_xlfn.STDEV.P(_xlfn._xlws.FILTER(DATOS!$K$2:$K$20000,(DATOS!$G$2:$G$20000=CONFIG_METADATA!$B$4)*(DATOS!$D$2:$D$20000=A49)*(COUNTIF(CONFIG_ASIGNATURAS!$B$7:$B$27,DATOS!$I$2:$I$20000)&gt;0))),"—")</f>
        <v>—</v>
      </c>
      <c r="G49" t="str" cm="1">
        <f t="array" ref="G49">IFERROR(_xlfn.MODE.SNGL(_xlfn._xlws.FILTER(DATOS!$K$2:$K$20000,(DATOS!$G$2:$G$20000=CONFIG_METADATA!$B$4)*(DATOS!$D$2:$D$20000=A49)*(COUNTIF(CONFIG_ASIGNATURAS!$B$7:$B$27,DATOS!$I$2:$I$20000)&gt;0))),"—")</f>
        <v>—</v>
      </c>
      <c r="H49" s="11" t="str">
        <f>IFERROR(SUMPRODUCT((DATOS!$G$2:$G$20000=CONFIG_METADATA!$B$4)*(DATOS!$D$2:$D$20000=A49)*(COUNTIF(CONFIG_ASIGNATURAS!$B$7:$B$27,DATOS!$I$2:$I$20000)&gt;0)*(DATOS!$L$2:$L$20000="S"))/D49,"—")</f>
        <v>—</v>
      </c>
      <c r="I49" s="11" t="str">
        <f>IFERROR(SUMPRODUCT((DATOS!$G$2:$G$20000=CONFIG_METADATA!$B$4)*(DATOS!$D$2:$D$20000=A49)*(COUNTIF(CONFIG_ASIGNATURAS!$B$7:$B$27,DATOS!$I$2:$I$20000)&gt;0)*(DATOS!$L$2:$L$20000="N"))/D49,"—")</f>
        <v>—</v>
      </c>
      <c r="J49" t="str" cm="1">
        <f t="array" ref="J49">IFERROR(_xlfn.MODE.SNGL(_xlfn._xlws.FILTER(DATOS!$K$2:$K$20000,(DATOS!$G$2:$G$20000=CONFIG_METADATA!$B$4)*(DATOS!$D$2:$D$20000=A49)*(COUNTIF(CONFIG_ASIGNATURAS!$B$7:$B$27,DATOS!$I$2:$I$20000)&gt;0)*(DATOS!$L$2:$L$20000="S"))),"—")</f>
        <v>—</v>
      </c>
      <c r="K49" t="str" cm="1">
        <f t="array" ref="K49">IFERROR(_xlfn.MODE.SNGL(_xlfn._xlws.FILTER(DATOS!$K$2:$K$20000,(DATOS!$G$2:$G$20000=CONFIG_METADATA!$B$4)*(DATOS!$D$2:$D$20000=A49)*(COUNTIF(CONFIG_ASIGNATURAS!$B$7:$B$27,DATOS!$I$2:$I$20000)&gt;0)*(DATOS!$L$2:$L$20000="N"))),"—")</f>
        <v>—</v>
      </c>
      <c r="L49">
        <f>SUMPRODUCT((DATOS!$G$2:$G$20000=CONFIG_METADATA!$B$4)*(DATOS!$D$2:$D$20000=A49)*(COUNTIF(CONFIG_ASIGNATURAS!$B$7:$B$27,DATOS!$I$2:$I$20000)&gt;0)*(DATOS!$K$2:$K$20000=1))</f>
        <v>0</v>
      </c>
      <c r="M49">
        <f>SUMPRODUCT((DATOS!$G$2:$G$20000=CONFIG_METADATA!$B$4)*(DATOS!$D$2:$D$20000=A49)*(COUNTIF(CONFIG_ASIGNATURAS!$B$7:$B$27,DATOS!$I$2:$I$20000)&gt;0)*(DATOS!$K$2:$K$20000=2))</f>
        <v>0</v>
      </c>
      <c r="N49">
        <f>SUMPRODUCT((DATOS!$G$2:$G$20000=CONFIG_METADATA!$B$4)*(DATOS!$D$2:$D$20000=A49)*(COUNTIF(CONFIG_ASIGNATURAS!$B$7:$B$27,DATOS!$I$2:$I$20000)&gt;0)*(DATOS!$K$2:$K$20000=3))</f>
        <v>0</v>
      </c>
      <c r="O49">
        <f>SUMPRODUCT((DATOS!$G$2:$G$20000=CONFIG_METADATA!$B$4)*(DATOS!$D$2:$D$20000=A49)*(COUNTIF(CONFIG_ASIGNATURAS!$B$7:$B$27,DATOS!$I$2:$I$20000)&gt;0)*(DATOS!$K$2:$K$20000=4))</f>
        <v>0</v>
      </c>
      <c r="P49">
        <f>SUMPRODUCT((DATOS!$G$2:$G$20000=CONFIG_METADATA!$B$4)*(DATOS!$D$2:$D$20000=A49)*(COUNTIF(CONFIG_ASIGNATURAS!$B$7:$B$27,DATOS!$I$2:$I$20000)&gt;0)*(DATOS!$K$2:$K$20000=5))</f>
        <v>0</v>
      </c>
      <c r="Q49">
        <f>SUMPRODUCT((DATOS!$G$2:$G$20000=CONFIG_METADATA!$B$4)*(DATOS!$D$2:$D$20000=A49)*(COUNTIF(CONFIG_ASIGNATURAS!$B$7:$B$27,DATOS!$I$2:$I$20000)&gt;0)*(DATOS!$K$2:$K$20000=6))</f>
        <v>0</v>
      </c>
      <c r="R49">
        <f>SUMPRODUCT((DATOS!$G$2:$G$20000=CONFIG_METADATA!$B$4)*(DATOS!$D$2:$D$20000=A49)*(COUNTIF(CONFIG_ASIGNATURAS!$B$7:$B$27,DATOS!$I$2:$I$20000)&gt;0)*(DATOS!$K$2:$K$20000=7))</f>
        <v>0</v>
      </c>
      <c r="S49">
        <f>SUMPRODUCT((DATOS!$G$2:$G$20000=CONFIG_METADATA!$B$4)*(DATOS!$D$2:$D$20000=A49)*(COUNTIF(CONFIG_ASIGNATURAS!$B$7:$B$27,DATOS!$I$2:$I$20000)&gt;0)*(DATOS!$K$2:$K$20000=8))</f>
        <v>0</v>
      </c>
      <c r="T49">
        <f>SUMPRODUCT((DATOS!$G$2:$G$20000=CONFIG_METADATA!$B$4)*(DATOS!$D$2:$D$20000=A49)*(COUNTIF(CONFIG_ASIGNATURAS!$B$7:$B$27,DATOS!$I$2:$I$20000)&gt;0)*(DATOS!$K$2:$K$20000=9))</f>
        <v>0</v>
      </c>
      <c r="U49">
        <f>SUMPRODUCT((DATOS!$G$2:$G$20000=CONFIG_METADATA!$B$4)*(DATOS!$D$2:$D$20000=A49)*(COUNTIF(CONFIG_ASIGNATURAS!$B$7:$B$27,DATOS!$I$2:$I$20000)&gt;0)*(DATOS!$K$2:$K$20000=10))</f>
        <v>0</v>
      </c>
    </row>
    <row r="50" spans="1:21" x14ac:dyDescent="0.2">
      <c r="A50" t="s">
        <v>79</v>
      </c>
      <c r="B50" t="s">
        <v>120</v>
      </c>
      <c r="C50" t="s">
        <v>121</v>
      </c>
      <c r="D50">
        <f>SUMPRODUCT((DATOS!$G$2:$G$20000=CONFIG_METADATA!$B$4)*(DATOS!$D$2:$D$20000=A50)*(COUNTIF(CONFIG_ASIGNATURAS!$B$7:$B$27,DATOS!$I$2:$I$20000)=0))</f>
        <v>0</v>
      </c>
      <c r="E50" s="10" t="str">
        <f>IFERROR(SUMPRODUCT((DATOS!$G$2:$G$20000=CONFIG_METADATA!$B$4)*(DATOS!$D$2:$D$20000=A50)*(COUNTIF(CONFIG_ASIGNATURAS!$B$7:$B$27,DATOS!$I$2:$I$20000)=0)*(DATOS!$K$2:$K$20000))/D50,"—")</f>
        <v>—</v>
      </c>
      <c r="F50" s="10" t="str" cm="1">
        <f t="array" ref="F50">IFERROR(_xlfn.STDEV.P(_xlfn._xlws.FILTER(DATOS!$K$2:$K$20000,(DATOS!$G$2:$G$20000=CONFIG_METADATA!$B$4)*(DATOS!$D$2:$D$20000=A50)*(COUNTIF(CONFIG_ASIGNATURAS!$B$7:$B$27,DATOS!$I$2:$I$20000)=0))),"—")</f>
        <v>—</v>
      </c>
      <c r="G50" t="str" cm="1">
        <f t="array" ref="G50">IFERROR(_xlfn.MODE.SNGL(_xlfn._xlws.FILTER(DATOS!$K$2:$K$20000,(DATOS!$G$2:$G$20000=CONFIG_METADATA!$B$4)*(DATOS!$D$2:$D$20000=A50)*(COUNTIF(CONFIG_ASIGNATURAS!$B$7:$B$27,DATOS!$I$2:$I$20000)=0))),"—")</f>
        <v>—</v>
      </c>
      <c r="H50" s="11" t="str">
        <f>IFERROR(SUMPRODUCT((DATOS!$G$2:$G$20000=CONFIG_METADATA!$B$4)*(DATOS!$D$2:$D$20000=A50)*(COUNTIF(CONFIG_ASIGNATURAS!$B$7:$B$27,DATOS!$I$2:$I$20000)=0)*(DATOS!$L$2:$L$20000="S"))/D50,"—")</f>
        <v>—</v>
      </c>
      <c r="I50" s="11" t="str">
        <f>IFERROR(SUMPRODUCT((DATOS!$G$2:$G$20000=CONFIG_METADATA!$B$4)*(DATOS!$D$2:$D$20000=A50)*(COUNTIF(CONFIG_ASIGNATURAS!$B$7:$B$27,DATOS!$I$2:$I$20000)=0)*(DATOS!$L$2:$L$20000="N"))/D50,"—")</f>
        <v>—</v>
      </c>
      <c r="J50" t="str" cm="1">
        <f t="array" ref="J50">IFERROR(_xlfn.MODE.SNGL(_xlfn._xlws.FILTER(DATOS!$K$2:$K$20000,(DATOS!$G$2:$G$20000=CONFIG_METADATA!$B$4)*(DATOS!$D$2:$D$20000=A50)*(COUNTIF(CONFIG_ASIGNATURAS!$B$7:$B$27,DATOS!$I$2:$I$20000)=0)*(DATOS!$L$2:$L$20000="S"))),"—")</f>
        <v>—</v>
      </c>
      <c r="K50" t="str" cm="1">
        <f t="array" ref="K50">IFERROR(_xlfn.MODE.SNGL(_xlfn._xlws.FILTER(DATOS!$K$2:$K$20000,(DATOS!$G$2:$G$20000=CONFIG_METADATA!$B$4)*(DATOS!$D$2:$D$20000=A50)*(COUNTIF(CONFIG_ASIGNATURAS!$B$7:$B$27,DATOS!$I$2:$I$20000)=0)*(DATOS!$L$2:$L$20000="N"))),"—")</f>
        <v>—</v>
      </c>
      <c r="L50">
        <f>SUMPRODUCT((DATOS!$G$2:$G$20000=CONFIG_METADATA!$B$4)*(DATOS!$D$2:$D$20000=A50)*(COUNTIF(CONFIG_ASIGNATURAS!$B$7:$B$27,DATOS!$I$2:$I$20000)=0)*(DATOS!$K$2:$K$20000=1))</f>
        <v>0</v>
      </c>
      <c r="M50">
        <f>SUMPRODUCT((DATOS!$G$2:$G$20000=CONFIG_METADATA!$B$4)*(DATOS!$D$2:$D$20000=A50)*(COUNTIF(CONFIG_ASIGNATURAS!$B$7:$B$27,DATOS!$I$2:$I$20000)=0)*(DATOS!$K$2:$K$20000=2))</f>
        <v>0</v>
      </c>
      <c r="N50">
        <f>SUMPRODUCT((DATOS!$G$2:$G$20000=CONFIG_METADATA!$B$4)*(DATOS!$D$2:$D$20000=A50)*(COUNTIF(CONFIG_ASIGNATURAS!$B$7:$B$27,DATOS!$I$2:$I$20000)=0)*(DATOS!$K$2:$K$20000=3))</f>
        <v>0</v>
      </c>
      <c r="O50">
        <f>SUMPRODUCT((DATOS!$G$2:$G$20000=CONFIG_METADATA!$B$4)*(DATOS!$D$2:$D$20000=A50)*(COUNTIF(CONFIG_ASIGNATURAS!$B$7:$B$27,DATOS!$I$2:$I$20000)=0)*(DATOS!$K$2:$K$20000=4))</f>
        <v>0</v>
      </c>
      <c r="P50">
        <f>SUMPRODUCT((DATOS!$G$2:$G$20000=CONFIG_METADATA!$B$4)*(DATOS!$D$2:$D$20000=A50)*(COUNTIF(CONFIG_ASIGNATURAS!$B$7:$B$27,DATOS!$I$2:$I$20000)=0)*(DATOS!$K$2:$K$20000=5))</f>
        <v>0</v>
      </c>
      <c r="Q50">
        <f>SUMPRODUCT((DATOS!$G$2:$G$20000=CONFIG_METADATA!$B$4)*(DATOS!$D$2:$D$20000=A50)*(COUNTIF(CONFIG_ASIGNATURAS!$B$7:$B$27,DATOS!$I$2:$I$20000)=0)*(DATOS!$K$2:$K$20000=6))</f>
        <v>0</v>
      </c>
      <c r="R50">
        <f>SUMPRODUCT((DATOS!$G$2:$G$20000=CONFIG_METADATA!$B$4)*(DATOS!$D$2:$D$20000=A50)*(COUNTIF(CONFIG_ASIGNATURAS!$B$7:$B$27,DATOS!$I$2:$I$20000)=0)*(DATOS!$K$2:$K$20000=7))</f>
        <v>0</v>
      </c>
      <c r="S50">
        <f>SUMPRODUCT((DATOS!$G$2:$G$20000=CONFIG_METADATA!$B$4)*(DATOS!$D$2:$D$20000=A50)*(COUNTIF(CONFIG_ASIGNATURAS!$B$7:$B$27,DATOS!$I$2:$I$20000)=0)*(DATOS!$K$2:$K$20000=8))</f>
        <v>0</v>
      </c>
      <c r="T50">
        <f>SUMPRODUCT((DATOS!$G$2:$G$20000=CONFIG_METADATA!$B$4)*(DATOS!$D$2:$D$20000=A50)*(COUNTIF(CONFIG_ASIGNATURAS!$B$7:$B$27,DATOS!$I$2:$I$20000)=0)*(DATOS!$K$2:$K$20000=9))</f>
        <v>0</v>
      </c>
      <c r="U50">
        <f>SUMPRODUCT((DATOS!$G$2:$G$20000=CONFIG_METADATA!$B$4)*(DATOS!$D$2:$D$20000=A50)*(COUNTIF(CONFIG_ASIGNATURAS!$B$7:$B$27,DATOS!$I$2:$I$20000)=0)*(DATOS!$K$2:$K$20000=10))</f>
        <v>0</v>
      </c>
    </row>
    <row r="51" spans="1:21" x14ac:dyDescent="0.2">
      <c r="A51" t="s">
        <v>80</v>
      </c>
      <c r="B51" t="s">
        <v>117</v>
      </c>
      <c r="C51" t="s">
        <v>117</v>
      </c>
      <c r="D51">
        <f>SUMPRODUCT((DATOS!$G$2:$G$20000=CONFIG_METADATA!$B$4)*(DATOS!$D$2:$D$20000=A51))</f>
        <v>0</v>
      </c>
      <c r="E51" s="10" t="str">
        <f>IFERROR(SUMPRODUCT((DATOS!$G$2:$G$20000=CONFIG_METADATA!$B$4)*(DATOS!$D$2:$D$20000=A51)*(DATOS!$K$2:$K$20000))/D51,"—")</f>
        <v>—</v>
      </c>
      <c r="F51" s="10" t="str" cm="1">
        <f t="array" ref="F51">IFERROR(_xlfn.STDEV.P(_xlfn._xlws.FILTER(DATOS!$K$2:$K$20000,(DATOS!$G$2:$G$20000=CONFIG_METADATA!$B$4)*(DATOS!$D$2:$D$20000=A51))),"—")</f>
        <v>—</v>
      </c>
      <c r="G51" t="str" cm="1">
        <f t="array" ref="G51">IFERROR(_xlfn.MODE.SNGL(_xlfn._xlws.FILTER(DATOS!$K$2:$K$20000,(DATOS!$G$2:$G$20000=CONFIG_METADATA!$B$4)*(DATOS!$D$2:$D$20000=A51))),"—")</f>
        <v>—</v>
      </c>
      <c r="H51" s="11" t="str">
        <f>IFERROR(SUMPRODUCT((DATOS!$G$2:$G$20000=CONFIG_METADATA!$B$4)*(DATOS!$D$2:$D$20000=A51)*(DATOS!$L$2:$L$20000="S"))/D51,"—")</f>
        <v>—</v>
      </c>
      <c r="I51" s="11" t="str">
        <f>IFERROR(SUMPRODUCT((DATOS!$G$2:$G$20000=CONFIG_METADATA!$B$4)*(DATOS!$D$2:$D$20000=A51)*(DATOS!$L$2:$L$20000="N"))/D51,"—")</f>
        <v>—</v>
      </c>
      <c r="J51" t="str" cm="1">
        <f t="array" ref="J51">IFERROR(_xlfn.MODE.SNGL(_xlfn._xlws.FILTER(DATOS!$K$2:$K$20000,(DATOS!$G$2:$G$20000=CONFIG_METADATA!$B$4)*(DATOS!$D$2:$D$20000=A51)*(DATOS!$L$2:$L$20000="S"))),"—")</f>
        <v>—</v>
      </c>
      <c r="K51" t="str" cm="1">
        <f t="array" ref="K51">IFERROR(_xlfn.MODE.SNGL(_xlfn._xlws.FILTER(DATOS!$K$2:$K$20000,(DATOS!$G$2:$G$20000=CONFIG_METADATA!$B$4)*(DATOS!$D$2:$D$20000=A51)*(DATOS!$L$2:$L$20000="N"))),"—")</f>
        <v>—</v>
      </c>
      <c r="L51">
        <f>SUMPRODUCT((DATOS!$G$2:$G$20000=CONFIG_METADATA!$B$4)*(DATOS!$D$2:$D$20000=A51)*(DATOS!$K$2:$K$20000=1))</f>
        <v>0</v>
      </c>
      <c r="M51">
        <f>SUMPRODUCT((DATOS!$G$2:$G$20000=CONFIG_METADATA!$B$4)*(DATOS!$D$2:$D$20000=A51)*(DATOS!$K$2:$K$20000=2))</f>
        <v>0</v>
      </c>
      <c r="N51">
        <f>SUMPRODUCT((DATOS!$G$2:$G$20000=CONFIG_METADATA!$B$4)*(DATOS!$D$2:$D$20000=A51)*(DATOS!$K$2:$K$20000=3))</f>
        <v>0</v>
      </c>
      <c r="O51">
        <f>SUMPRODUCT((DATOS!$G$2:$G$20000=CONFIG_METADATA!$B$4)*(DATOS!$D$2:$D$20000=A51)*(DATOS!$K$2:$K$20000=4))</f>
        <v>0</v>
      </c>
      <c r="P51">
        <f>SUMPRODUCT((DATOS!$G$2:$G$20000=CONFIG_METADATA!$B$4)*(DATOS!$D$2:$D$20000=A51)*(DATOS!$K$2:$K$20000=5))</f>
        <v>0</v>
      </c>
      <c r="Q51">
        <f>SUMPRODUCT((DATOS!$G$2:$G$20000=CONFIG_METADATA!$B$4)*(DATOS!$D$2:$D$20000=A51)*(DATOS!$K$2:$K$20000=6))</f>
        <v>0</v>
      </c>
      <c r="R51">
        <f>SUMPRODUCT((DATOS!$G$2:$G$20000=CONFIG_METADATA!$B$4)*(DATOS!$D$2:$D$20000=A51)*(DATOS!$K$2:$K$20000=7))</f>
        <v>0</v>
      </c>
      <c r="S51">
        <f>SUMPRODUCT((DATOS!$G$2:$G$20000=CONFIG_METADATA!$B$4)*(DATOS!$D$2:$D$20000=A51)*(DATOS!$K$2:$K$20000=8))</f>
        <v>0</v>
      </c>
      <c r="T51">
        <f>SUMPRODUCT((DATOS!$G$2:$G$20000=CONFIG_METADATA!$B$4)*(DATOS!$D$2:$D$20000=A51)*(DATOS!$K$2:$K$20000=9))</f>
        <v>0</v>
      </c>
      <c r="U51">
        <f>SUMPRODUCT((DATOS!$G$2:$G$20000=CONFIG_METADATA!$B$4)*(DATOS!$D$2:$D$20000=A51)*(DATOS!$K$2:$K$20000=10))</f>
        <v>0</v>
      </c>
    </row>
    <row r="52" spans="1:21" x14ac:dyDescent="0.2">
      <c r="A52" t="s">
        <v>80</v>
      </c>
      <c r="B52" t="s">
        <v>118</v>
      </c>
      <c r="C52" t="s">
        <v>119</v>
      </c>
      <c r="D52">
        <f>SUMPRODUCT((DATOS!$G$2:$G$20000=CONFIG_METADATA!$B$4)*(DATOS!$D$2:$D$20000=A52)*(COUNTIF(CONFIG_ASIGNATURAS!$B$7:$B$27,DATOS!$I$2:$I$20000)&gt;0))</f>
        <v>0</v>
      </c>
      <c r="E52" s="10" t="str">
        <f>IFERROR(SUMPRODUCT((DATOS!$G$2:$G$20000=CONFIG_METADATA!$B$4)*(DATOS!$D$2:$D$20000=A52)*(COUNTIF(CONFIG_ASIGNATURAS!$B$7:$B$27,DATOS!$I$2:$I$20000)&gt;0)*(DATOS!$K$2:$K$20000))/D52,"—")</f>
        <v>—</v>
      </c>
      <c r="F52" s="10" t="str" cm="1">
        <f t="array" ref="F52">IFERROR(_xlfn.STDEV.P(_xlfn._xlws.FILTER(DATOS!$K$2:$K$20000,(DATOS!$G$2:$G$20000=CONFIG_METADATA!$B$4)*(DATOS!$D$2:$D$20000=A52)*(COUNTIF(CONFIG_ASIGNATURAS!$B$7:$B$27,DATOS!$I$2:$I$20000)&gt;0))),"—")</f>
        <v>—</v>
      </c>
      <c r="G52" t="str" cm="1">
        <f t="array" ref="G52">IFERROR(_xlfn.MODE.SNGL(_xlfn._xlws.FILTER(DATOS!$K$2:$K$20000,(DATOS!$G$2:$G$20000=CONFIG_METADATA!$B$4)*(DATOS!$D$2:$D$20000=A52)*(COUNTIF(CONFIG_ASIGNATURAS!$B$7:$B$27,DATOS!$I$2:$I$20000)&gt;0))),"—")</f>
        <v>—</v>
      </c>
      <c r="H52" s="11" t="str">
        <f>IFERROR(SUMPRODUCT((DATOS!$G$2:$G$20000=CONFIG_METADATA!$B$4)*(DATOS!$D$2:$D$20000=A52)*(COUNTIF(CONFIG_ASIGNATURAS!$B$7:$B$27,DATOS!$I$2:$I$20000)&gt;0)*(DATOS!$L$2:$L$20000="S"))/D52,"—")</f>
        <v>—</v>
      </c>
      <c r="I52" s="11" t="str">
        <f>IFERROR(SUMPRODUCT((DATOS!$G$2:$G$20000=CONFIG_METADATA!$B$4)*(DATOS!$D$2:$D$20000=A52)*(COUNTIF(CONFIG_ASIGNATURAS!$B$7:$B$27,DATOS!$I$2:$I$20000)&gt;0)*(DATOS!$L$2:$L$20000="N"))/D52,"—")</f>
        <v>—</v>
      </c>
      <c r="J52" t="str" cm="1">
        <f t="array" ref="J52">IFERROR(_xlfn.MODE.SNGL(_xlfn._xlws.FILTER(DATOS!$K$2:$K$20000,(DATOS!$G$2:$G$20000=CONFIG_METADATA!$B$4)*(DATOS!$D$2:$D$20000=A52)*(COUNTIF(CONFIG_ASIGNATURAS!$B$7:$B$27,DATOS!$I$2:$I$20000)&gt;0)*(DATOS!$L$2:$L$20000="S"))),"—")</f>
        <v>—</v>
      </c>
      <c r="K52" t="str" cm="1">
        <f t="array" ref="K52">IFERROR(_xlfn.MODE.SNGL(_xlfn._xlws.FILTER(DATOS!$K$2:$K$20000,(DATOS!$G$2:$G$20000=CONFIG_METADATA!$B$4)*(DATOS!$D$2:$D$20000=A52)*(COUNTIF(CONFIG_ASIGNATURAS!$B$7:$B$27,DATOS!$I$2:$I$20000)&gt;0)*(DATOS!$L$2:$L$20000="N"))),"—")</f>
        <v>—</v>
      </c>
      <c r="L52">
        <f>SUMPRODUCT((DATOS!$G$2:$G$20000=CONFIG_METADATA!$B$4)*(DATOS!$D$2:$D$20000=A52)*(COUNTIF(CONFIG_ASIGNATURAS!$B$7:$B$27,DATOS!$I$2:$I$20000)&gt;0)*(DATOS!$K$2:$K$20000=1))</f>
        <v>0</v>
      </c>
      <c r="M52">
        <f>SUMPRODUCT((DATOS!$G$2:$G$20000=CONFIG_METADATA!$B$4)*(DATOS!$D$2:$D$20000=A52)*(COUNTIF(CONFIG_ASIGNATURAS!$B$7:$B$27,DATOS!$I$2:$I$20000)&gt;0)*(DATOS!$K$2:$K$20000=2))</f>
        <v>0</v>
      </c>
      <c r="N52">
        <f>SUMPRODUCT((DATOS!$G$2:$G$20000=CONFIG_METADATA!$B$4)*(DATOS!$D$2:$D$20000=A52)*(COUNTIF(CONFIG_ASIGNATURAS!$B$7:$B$27,DATOS!$I$2:$I$20000)&gt;0)*(DATOS!$K$2:$K$20000=3))</f>
        <v>0</v>
      </c>
      <c r="O52">
        <f>SUMPRODUCT((DATOS!$G$2:$G$20000=CONFIG_METADATA!$B$4)*(DATOS!$D$2:$D$20000=A52)*(COUNTIF(CONFIG_ASIGNATURAS!$B$7:$B$27,DATOS!$I$2:$I$20000)&gt;0)*(DATOS!$K$2:$K$20000=4))</f>
        <v>0</v>
      </c>
      <c r="P52">
        <f>SUMPRODUCT((DATOS!$G$2:$G$20000=CONFIG_METADATA!$B$4)*(DATOS!$D$2:$D$20000=A52)*(COUNTIF(CONFIG_ASIGNATURAS!$B$7:$B$27,DATOS!$I$2:$I$20000)&gt;0)*(DATOS!$K$2:$K$20000=5))</f>
        <v>0</v>
      </c>
      <c r="Q52">
        <f>SUMPRODUCT((DATOS!$G$2:$G$20000=CONFIG_METADATA!$B$4)*(DATOS!$D$2:$D$20000=A52)*(COUNTIF(CONFIG_ASIGNATURAS!$B$7:$B$27,DATOS!$I$2:$I$20000)&gt;0)*(DATOS!$K$2:$K$20000=6))</f>
        <v>0</v>
      </c>
      <c r="R52">
        <f>SUMPRODUCT((DATOS!$G$2:$G$20000=CONFIG_METADATA!$B$4)*(DATOS!$D$2:$D$20000=A52)*(COUNTIF(CONFIG_ASIGNATURAS!$B$7:$B$27,DATOS!$I$2:$I$20000)&gt;0)*(DATOS!$K$2:$K$20000=7))</f>
        <v>0</v>
      </c>
      <c r="S52">
        <f>SUMPRODUCT((DATOS!$G$2:$G$20000=CONFIG_METADATA!$B$4)*(DATOS!$D$2:$D$20000=A52)*(COUNTIF(CONFIG_ASIGNATURAS!$B$7:$B$27,DATOS!$I$2:$I$20000)&gt;0)*(DATOS!$K$2:$K$20000=8))</f>
        <v>0</v>
      </c>
      <c r="T52">
        <f>SUMPRODUCT((DATOS!$G$2:$G$20000=CONFIG_METADATA!$B$4)*(DATOS!$D$2:$D$20000=A52)*(COUNTIF(CONFIG_ASIGNATURAS!$B$7:$B$27,DATOS!$I$2:$I$20000)&gt;0)*(DATOS!$K$2:$K$20000=9))</f>
        <v>0</v>
      </c>
      <c r="U52">
        <f>SUMPRODUCT((DATOS!$G$2:$G$20000=CONFIG_METADATA!$B$4)*(DATOS!$D$2:$D$20000=A52)*(COUNTIF(CONFIG_ASIGNATURAS!$B$7:$B$27,DATOS!$I$2:$I$20000)&gt;0)*(DATOS!$K$2:$K$20000=10))</f>
        <v>0</v>
      </c>
    </row>
    <row r="53" spans="1:21" x14ac:dyDescent="0.2">
      <c r="A53" t="s">
        <v>80</v>
      </c>
      <c r="B53" t="s">
        <v>120</v>
      </c>
      <c r="C53" t="s">
        <v>121</v>
      </c>
      <c r="D53">
        <f>SUMPRODUCT((DATOS!$G$2:$G$20000=CONFIG_METADATA!$B$4)*(DATOS!$D$2:$D$20000=A53)*(COUNTIF(CONFIG_ASIGNATURAS!$B$7:$B$27,DATOS!$I$2:$I$20000)=0))</f>
        <v>0</v>
      </c>
      <c r="E53" s="10" t="str">
        <f>IFERROR(SUMPRODUCT((DATOS!$G$2:$G$20000=CONFIG_METADATA!$B$4)*(DATOS!$D$2:$D$20000=A53)*(COUNTIF(CONFIG_ASIGNATURAS!$B$7:$B$27,DATOS!$I$2:$I$20000)=0)*(DATOS!$K$2:$K$20000))/D53,"—")</f>
        <v>—</v>
      </c>
      <c r="F53" s="10" t="str" cm="1">
        <f t="array" ref="F53">IFERROR(_xlfn.STDEV.P(_xlfn._xlws.FILTER(DATOS!$K$2:$K$20000,(DATOS!$G$2:$G$20000=CONFIG_METADATA!$B$4)*(DATOS!$D$2:$D$20000=A53)*(COUNTIF(CONFIG_ASIGNATURAS!$B$7:$B$27,DATOS!$I$2:$I$20000)=0))),"—")</f>
        <v>—</v>
      </c>
      <c r="G53" t="str" cm="1">
        <f t="array" ref="G53">IFERROR(_xlfn.MODE.SNGL(_xlfn._xlws.FILTER(DATOS!$K$2:$K$20000,(DATOS!$G$2:$G$20000=CONFIG_METADATA!$B$4)*(DATOS!$D$2:$D$20000=A53)*(COUNTIF(CONFIG_ASIGNATURAS!$B$7:$B$27,DATOS!$I$2:$I$20000)=0))),"—")</f>
        <v>—</v>
      </c>
      <c r="H53" s="11" t="str">
        <f>IFERROR(SUMPRODUCT((DATOS!$G$2:$G$20000=CONFIG_METADATA!$B$4)*(DATOS!$D$2:$D$20000=A53)*(COUNTIF(CONFIG_ASIGNATURAS!$B$7:$B$27,DATOS!$I$2:$I$20000)=0)*(DATOS!$L$2:$L$20000="S"))/D53,"—")</f>
        <v>—</v>
      </c>
      <c r="I53" s="11" t="str">
        <f>IFERROR(SUMPRODUCT((DATOS!$G$2:$G$20000=CONFIG_METADATA!$B$4)*(DATOS!$D$2:$D$20000=A53)*(COUNTIF(CONFIG_ASIGNATURAS!$B$7:$B$27,DATOS!$I$2:$I$20000)=0)*(DATOS!$L$2:$L$20000="N"))/D53,"—")</f>
        <v>—</v>
      </c>
      <c r="J53" t="str" cm="1">
        <f t="array" ref="J53">IFERROR(_xlfn.MODE.SNGL(_xlfn._xlws.FILTER(DATOS!$K$2:$K$20000,(DATOS!$G$2:$G$20000=CONFIG_METADATA!$B$4)*(DATOS!$D$2:$D$20000=A53)*(COUNTIF(CONFIG_ASIGNATURAS!$B$7:$B$27,DATOS!$I$2:$I$20000)=0)*(DATOS!$L$2:$L$20000="S"))),"—")</f>
        <v>—</v>
      </c>
      <c r="K53" t="str" cm="1">
        <f t="array" ref="K53">IFERROR(_xlfn.MODE.SNGL(_xlfn._xlws.FILTER(DATOS!$K$2:$K$20000,(DATOS!$G$2:$G$20000=CONFIG_METADATA!$B$4)*(DATOS!$D$2:$D$20000=A53)*(COUNTIF(CONFIG_ASIGNATURAS!$B$7:$B$27,DATOS!$I$2:$I$20000)=0)*(DATOS!$L$2:$L$20000="N"))),"—")</f>
        <v>—</v>
      </c>
      <c r="L53">
        <f>SUMPRODUCT((DATOS!$G$2:$G$20000=CONFIG_METADATA!$B$4)*(DATOS!$D$2:$D$20000=A53)*(COUNTIF(CONFIG_ASIGNATURAS!$B$7:$B$27,DATOS!$I$2:$I$20000)=0)*(DATOS!$K$2:$K$20000=1))</f>
        <v>0</v>
      </c>
      <c r="M53">
        <f>SUMPRODUCT((DATOS!$G$2:$G$20000=CONFIG_METADATA!$B$4)*(DATOS!$D$2:$D$20000=A53)*(COUNTIF(CONFIG_ASIGNATURAS!$B$7:$B$27,DATOS!$I$2:$I$20000)=0)*(DATOS!$K$2:$K$20000=2))</f>
        <v>0</v>
      </c>
      <c r="N53">
        <f>SUMPRODUCT((DATOS!$G$2:$G$20000=CONFIG_METADATA!$B$4)*(DATOS!$D$2:$D$20000=A53)*(COUNTIF(CONFIG_ASIGNATURAS!$B$7:$B$27,DATOS!$I$2:$I$20000)=0)*(DATOS!$K$2:$K$20000=3))</f>
        <v>0</v>
      </c>
      <c r="O53">
        <f>SUMPRODUCT((DATOS!$G$2:$G$20000=CONFIG_METADATA!$B$4)*(DATOS!$D$2:$D$20000=A53)*(COUNTIF(CONFIG_ASIGNATURAS!$B$7:$B$27,DATOS!$I$2:$I$20000)=0)*(DATOS!$K$2:$K$20000=4))</f>
        <v>0</v>
      </c>
      <c r="P53">
        <f>SUMPRODUCT((DATOS!$G$2:$G$20000=CONFIG_METADATA!$B$4)*(DATOS!$D$2:$D$20000=A53)*(COUNTIF(CONFIG_ASIGNATURAS!$B$7:$B$27,DATOS!$I$2:$I$20000)=0)*(DATOS!$K$2:$K$20000=5))</f>
        <v>0</v>
      </c>
      <c r="Q53">
        <f>SUMPRODUCT((DATOS!$G$2:$G$20000=CONFIG_METADATA!$B$4)*(DATOS!$D$2:$D$20000=A53)*(COUNTIF(CONFIG_ASIGNATURAS!$B$7:$B$27,DATOS!$I$2:$I$20000)=0)*(DATOS!$K$2:$K$20000=6))</f>
        <v>0</v>
      </c>
      <c r="R53">
        <f>SUMPRODUCT((DATOS!$G$2:$G$20000=CONFIG_METADATA!$B$4)*(DATOS!$D$2:$D$20000=A53)*(COUNTIF(CONFIG_ASIGNATURAS!$B$7:$B$27,DATOS!$I$2:$I$20000)=0)*(DATOS!$K$2:$K$20000=7))</f>
        <v>0</v>
      </c>
      <c r="S53">
        <f>SUMPRODUCT((DATOS!$G$2:$G$20000=CONFIG_METADATA!$B$4)*(DATOS!$D$2:$D$20000=A53)*(COUNTIF(CONFIG_ASIGNATURAS!$B$7:$B$27,DATOS!$I$2:$I$20000)=0)*(DATOS!$K$2:$K$20000=8))</f>
        <v>0</v>
      </c>
      <c r="T53">
        <f>SUMPRODUCT((DATOS!$G$2:$G$20000=CONFIG_METADATA!$B$4)*(DATOS!$D$2:$D$20000=A53)*(COUNTIF(CONFIG_ASIGNATURAS!$B$7:$B$27,DATOS!$I$2:$I$20000)=0)*(DATOS!$K$2:$K$20000=9))</f>
        <v>0</v>
      </c>
      <c r="U53">
        <f>SUMPRODUCT((DATOS!$G$2:$G$20000=CONFIG_METADATA!$B$4)*(DATOS!$D$2:$D$20000=A53)*(COUNTIF(CONFIG_ASIGNATURAS!$B$7:$B$27,DATOS!$I$2:$I$20000)=0)*(DATOS!$K$2:$K$20000=10))</f>
        <v>0</v>
      </c>
    </row>
    <row r="54" spans="1:21" x14ac:dyDescent="0.2">
      <c r="A54" t="s">
        <v>81</v>
      </c>
      <c r="B54" t="s">
        <v>117</v>
      </c>
      <c r="C54" t="s">
        <v>117</v>
      </c>
      <c r="D54">
        <f>SUMPRODUCT((DATOS!$G$2:$G$20000=CONFIG_METADATA!$B$4)*(DATOS!$D$2:$D$20000=A54))</f>
        <v>0</v>
      </c>
      <c r="E54" s="10" t="str">
        <f>IFERROR(SUMPRODUCT((DATOS!$G$2:$G$20000=CONFIG_METADATA!$B$4)*(DATOS!$D$2:$D$20000=A54)*(DATOS!$K$2:$K$20000))/D54,"—")</f>
        <v>—</v>
      </c>
      <c r="F54" s="10" t="str" cm="1">
        <f t="array" ref="F54">IFERROR(_xlfn.STDEV.P(_xlfn._xlws.FILTER(DATOS!$K$2:$K$20000,(DATOS!$G$2:$G$20000=CONFIG_METADATA!$B$4)*(DATOS!$D$2:$D$20000=A54))),"—")</f>
        <v>—</v>
      </c>
      <c r="G54" t="str" cm="1">
        <f t="array" ref="G54">IFERROR(_xlfn.MODE.SNGL(_xlfn._xlws.FILTER(DATOS!$K$2:$K$20000,(DATOS!$G$2:$G$20000=CONFIG_METADATA!$B$4)*(DATOS!$D$2:$D$20000=A54))),"—")</f>
        <v>—</v>
      </c>
      <c r="H54" s="11" t="str">
        <f>IFERROR(SUMPRODUCT((DATOS!$G$2:$G$20000=CONFIG_METADATA!$B$4)*(DATOS!$D$2:$D$20000=A54)*(DATOS!$L$2:$L$20000="S"))/D54,"—")</f>
        <v>—</v>
      </c>
      <c r="I54" s="11" t="str">
        <f>IFERROR(SUMPRODUCT((DATOS!$G$2:$G$20000=CONFIG_METADATA!$B$4)*(DATOS!$D$2:$D$20000=A54)*(DATOS!$L$2:$L$20000="N"))/D54,"—")</f>
        <v>—</v>
      </c>
      <c r="J54" t="str" cm="1">
        <f t="array" ref="J54">IFERROR(_xlfn.MODE.SNGL(_xlfn._xlws.FILTER(DATOS!$K$2:$K$20000,(DATOS!$G$2:$G$20000=CONFIG_METADATA!$B$4)*(DATOS!$D$2:$D$20000=A54)*(DATOS!$L$2:$L$20000="S"))),"—")</f>
        <v>—</v>
      </c>
      <c r="K54" t="str" cm="1">
        <f t="array" ref="K54">IFERROR(_xlfn.MODE.SNGL(_xlfn._xlws.FILTER(DATOS!$K$2:$K$20000,(DATOS!$G$2:$G$20000=CONFIG_METADATA!$B$4)*(DATOS!$D$2:$D$20000=A54)*(DATOS!$L$2:$L$20000="N"))),"—")</f>
        <v>—</v>
      </c>
      <c r="L54">
        <f>SUMPRODUCT((DATOS!$G$2:$G$20000=CONFIG_METADATA!$B$4)*(DATOS!$D$2:$D$20000=A54)*(DATOS!$K$2:$K$20000=1))</f>
        <v>0</v>
      </c>
      <c r="M54">
        <f>SUMPRODUCT((DATOS!$G$2:$G$20000=CONFIG_METADATA!$B$4)*(DATOS!$D$2:$D$20000=A54)*(DATOS!$K$2:$K$20000=2))</f>
        <v>0</v>
      </c>
      <c r="N54">
        <f>SUMPRODUCT((DATOS!$G$2:$G$20000=CONFIG_METADATA!$B$4)*(DATOS!$D$2:$D$20000=A54)*(DATOS!$K$2:$K$20000=3))</f>
        <v>0</v>
      </c>
      <c r="O54">
        <f>SUMPRODUCT((DATOS!$G$2:$G$20000=CONFIG_METADATA!$B$4)*(DATOS!$D$2:$D$20000=A54)*(DATOS!$K$2:$K$20000=4))</f>
        <v>0</v>
      </c>
      <c r="P54">
        <f>SUMPRODUCT((DATOS!$G$2:$G$20000=CONFIG_METADATA!$B$4)*(DATOS!$D$2:$D$20000=A54)*(DATOS!$K$2:$K$20000=5))</f>
        <v>0</v>
      </c>
      <c r="Q54">
        <f>SUMPRODUCT((DATOS!$G$2:$G$20000=CONFIG_METADATA!$B$4)*(DATOS!$D$2:$D$20000=A54)*(DATOS!$K$2:$K$20000=6))</f>
        <v>0</v>
      </c>
      <c r="R54">
        <f>SUMPRODUCT((DATOS!$G$2:$G$20000=CONFIG_METADATA!$B$4)*(DATOS!$D$2:$D$20000=A54)*(DATOS!$K$2:$K$20000=7))</f>
        <v>0</v>
      </c>
      <c r="S54">
        <f>SUMPRODUCT((DATOS!$G$2:$G$20000=CONFIG_METADATA!$B$4)*(DATOS!$D$2:$D$20000=A54)*(DATOS!$K$2:$K$20000=8))</f>
        <v>0</v>
      </c>
      <c r="T54">
        <f>SUMPRODUCT((DATOS!$G$2:$G$20000=CONFIG_METADATA!$B$4)*(DATOS!$D$2:$D$20000=A54)*(DATOS!$K$2:$K$20000=9))</f>
        <v>0</v>
      </c>
      <c r="U54">
        <f>SUMPRODUCT((DATOS!$G$2:$G$20000=CONFIG_METADATA!$B$4)*(DATOS!$D$2:$D$20000=A54)*(DATOS!$K$2:$K$20000=10))</f>
        <v>0</v>
      </c>
    </row>
    <row r="55" spans="1:21" x14ac:dyDescent="0.2">
      <c r="A55" t="s">
        <v>81</v>
      </c>
      <c r="B55" t="s">
        <v>118</v>
      </c>
      <c r="C55" t="s">
        <v>119</v>
      </c>
      <c r="D55">
        <f>SUMPRODUCT((DATOS!$G$2:$G$20000=CONFIG_METADATA!$B$4)*(DATOS!$D$2:$D$20000=A55)*(COUNTIF(CONFIG_ASIGNATURAS!$B$7:$B$27,DATOS!$I$2:$I$20000)&gt;0))</f>
        <v>0</v>
      </c>
      <c r="E55" s="10" t="str">
        <f>IFERROR(SUMPRODUCT((DATOS!$G$2:$G$20000=CONFIG_METADATA!$B$4)*(DATOS!$D$2:$D$20000=A55)*(COUNTIF(CONFIG_ASIGNATURAS!$B$7:$B$27,DATOS!$I$2:$I$20000)&gt;0)*(DATOS!$K$2:$K$20000))/D55,"—")</f>
        <v>—</v>
      </c>
      <c r="F55" s="10" t="str" cm="1">
        <f t="array" ref="F55">IFERROR(_xlfn.STDEV.P(_xlfn._xlws.FILTER(DATOS!$K$2:$K$20000,(DATOS!$G$2:$G$20000=CONFIG_METADATA!$B$4)*(DATOS!$D$2:$D$20000=A55)*(COUNTIF(CONFIG_ASIGNATURAS!$B$7:$B$27,DATOS!$I$2:$I$20000)&gt;0))),"—")</f>
        <v>—</v>
      </c>
      <c r="G55" t="str" cm="1">
        <f t="array" ref="G55">IFERROR(_xlfn.MODE.SNGL(_xlfn._xlws.FILTER(DATOS!$K$2:$K$20000,(DATOS!$G$2:$G$20000=CONFIG_METADATA!$B$4)*(DATOS!$D$2:$D$20000=A55)*(COUNTIF(CONFIG_ASIGNATURAS!$B$7:$B$27,DATOS!$I$2:$I$20000)&gt;0))),"—")</f>
        <v>—</v>
      </c>
      <c r="H55" s="11" t="str">
        <f>IFERROR(SUMPRODUCT((DATOS!$G$2:$G$20000=CONFIG_METADATA!$B$4)*(DATOS!$D$2:$D$20000=A55)*(COUNTIF(CONFIG_ASIGNATURAS!$B$7:$B$27,DATOS!$I$2:$I$20000)&gt;0)*(DATOS!$L$2:$L$20000="S"))/D55,"—")</f>
        <v>—</v>
      </c>
      <c r="I55" s="11" t="str">
        <f>IFERROR(SUMPRODUCT((DATOS!$G$2:$G$20000=CONFIG_METADATA!$B$4)*(DATOS!$D$2:$D$20000=A55)*(COUNTIF(CONFIG_ASIGNATURAS!$B$7:$B$27,DATOS!$I$2:$I$20000)&gt;0)*(DATOS!$L$2:$L$20000="N"))/D55,"—")</f>
        <v>—</v>
      </c>
      <c r="J55" t="str" cm="1">
        <f t="array" ref="J55">IFERROR(_xlfn.MODE.SNGL(_xlfn._xlws.FILTER(DATOS!$K$2:$K$20000,(DATOS!$G$2:$G$20000=CONFIG_METADATA!$B$4)*(DATOS!$D$2:$D$20000=A55)*(COUNTIF(CONFIG_ASIGNATURAS!$B$7:$B$27,DATOS!$I$2:$I$20000)&gt;0)*(DATOS!$L$2:$L$20000="S"))),"—")</f>
        <v>—</v>
      </c>
      <c r="K55" t="str" cm="1">
        <f t="array" ref="K55">IFERROR(_xlfn.MODE.SNGL(_xlfn._xlws.FILTER(DATOS!$K$2:$K$20000,(DATOS!$G$2:$G$20000=CONFIG_METADATA!$B$4)*(DATOS!$D$2:$D$20000=A55)*(COUNTIF(CONFIG_ASIGNATURAS!$B$7:$B$27,DATOS!$I$2:$I$20000)&gt;0)*(DATOS!$L$2:$L$20000="N"))),"—")</f>
        <v>—</v>
      </c>
      <c r="L55">
        <f>SUMPRODUCT((DATOS!$G$2:$G$20000=CONFIG_METADATA!$B$4)*(DATOS!$D$2:$D$20000=A55)*(COUNTIF(CONFIG_ASIGNATURAS!$B$7:$B$27,DATOS!$I$2:$I$20000)&gt;0)*(DATOS!$K$2:$K$20000=1))</f>
        <v>0</v>
      </c>
      <c r="M55">
        <f>SUMPRODUCT((DATOS!$G$2:$G$20000=CONFIG_METADATA!$B$4)*(DATOS!$D$2:$D$20000=A55)*(COUNTIF(CONFIG_ASIGNATURAS!$B$7:$B$27,DATOS!$I$2:$I$20000)&gt;0)*(DATOS!$K$2:$K$20000=2))</f>
        <v>0</v>
      </c>
      <c r="N55">
        <f>SUMPRODUCT((DATOS!$G$2:$G$20000=CONFIG_METADATA!$B$4)*(DATOS!$D$2:$D$20000=A55)*(COUNTIF(CONFIG_ASIGNATURAS!$B$7:$B$27,DATOS!$I$2:$I$20000)&gt;0)*(DATOS!$K$2:$K$20000=3))</f>
        <v>0</v>
      </c>
      <c r="O55">
        <f>SUMPRODUCT((DATOS!$G$2:$G$20000=CONFIG_METADATA!$B$4)*(DATOS!$D$2:$D$20000=A55)*(COUNTIF(CONFIG_ASIGNATURAS!$B$7:$B$27,DATOS!$I$2:$I$20000)&gt;0)*(DATOS!$K$2:$K$20000=4))</f>
        <v>0</v>
      </c>
      <c r="P55">
        <f>SUMPRODUCT((DATOS!$G$2:$G$20000=CONFIG_METADATA!$B$4)*(DATOS!$D$2:$D$20000=A55)*(COUNTIF(CONFIG_ASIGNATURAS!$B$7:$B$27,DATOS!$I$2:$I$20000)&gt;0)*(DATOS!$K$2:$K$20000=5))</f>
        <v>0</v>
      </c>
      <c r="Q55">
        <f>SUMPRODUCT((DATOS!$G$2:$G$20000=CONFIG_METADATA!$B$4)*(DATOS!$D$2:$D$20000=A55)*(COUNTIF(CONFIG_ASIGNATURAS!$B$7:$B$27,DATOS!$I$2:$I$20000)&gt;0)*(DATOS!$K$2:$K$20000=6))</f>
        <v>0</v>
      </c>
      <c r="R55">
        <f>SUMPRODUCT((DATOS!$G$2:$G$20000=CONFIG_METADATA!$B$4)*(DATOS!$D$2:$D$20000=A55)*(COUNTIF(CONFIG_ASIGNATURAS!$B$7:$B$27,DATOS!$I$2:$I$20000)&gt;0)*(DATOS!$K$2:$K$20000=7))</f>
        <v>0</v>
      </c>
      <c r="S55">
        <f>SUMPRODUCT((DATOS!$G$2:$G$20000=CONFIG_METADATA!$B$4)*(DATOS!$D$2:$D$20000=A55)*(COUNTIF(CONFIG_ASIGNATURAS!$B$7:$B$27,DATOS!$I$2:$I$20000)&gt;0)*(DATOS!$K$2:$K$20000=8))</f>
        <v>0</v>
      </c>
      <c r="T55">
        <f>SUMPRODUCT((DATOS!$G$2:$G$20000=CONFIG_METADATA!$B$4)*(DATOS!$D$2:$D$20000=A55)*(COUNTIF(CONFIG_ASIGNATURAS!$B$7:$B$27,DATOS!$I$2:$I$20000)&gt;0)*(DATOS!$K$2:$K$20000=9))</f>
        <v>0</v>
      </c>
      <c r="U55">
        <f>SUMPRODUCT((DATOS!$G$2:$G$20000=CONFIG_METADATA!$B$4)*(DATOS!$D$2:$D$20000=A55)*(COUNTIF(CONFIG_ASIGNATURAS!$B$7:$B$27,DATOS!$I$2:$I$20000)&gt;0)*(DATOS!$K$2:$K$20000=10))</f>
        <v>0</v>
      </c>
    </row>
    <row r="56" spans="1:21" x14ac:dyDescent="0.2">
      <c r="A56" t="s">
        <v>81</v>
      </c>
      <c r="B56" t="s">
        <v>120</v>
      </c>
      <c r="C56" t="s">
        <v>121</v>
      </c>
      <c r="D56">
        <f>SUMPRODUCT((DATOS!$G$2:$G$20000=CONFIG_METADATA!$B$4)*(DATOS!$D$2:$D$20000=A56)*(COUNTIF(CONFIG_ASIGNATURAS!$B$7:$B$27,DATOS!$I$2:$I$20000)=0))</f>
        <v>0</v>
      </c>
      <c r="E56" s="10" t="str">
        <f>IFERROR(SUMPRODUCT((DATOS!$G$2:$G$20000=CONFIG_METADATA!$B$4)*(DATOS!$D$2:$D$20000=A56)*(COUNTIF(CONFIG_ASIGNATURAS!$B$7:$B$27,DATOS!$I$2:$I$20000)=0)*(DATOS!$K$2:$K$20000))/D56,"—")</f>
        <v>—</v>
      </c>
      <c r="F56" s="10" t="str" cm="1">
        <f t="array" ref="F56">IFERROR(_xlfn.STDEV.P(_xlfn._xlws.FILTER(DATOS!$K$2:$K$20000,(DATOS!$G$2:$G$20000=CONFIG_METADATA!$B$4)*(DATOS!$D$2:$D$20000=A56)*(COUNTIF(CONFIG_ASIGNATURAS!$B$7:$B$27,DATOS!$I$2:$I$20000)=0))),"—")</f>
        <v>—</v>
      </c>
      <c r="G56" t="str" cm="1">
        <f t="array" ref="G56">IFERROR(_xlfn.MODE.SNGL(_xlfn._xlws.FILTER(DATOS!$K$2:$K$20000,(DATOS!$G$2:$G$20000=CONFIG_METADATA!$B$4)*(DATOS!$D$2:$D$20000=A56)*(COUNTIF(CONFIG_ASIGNATURAS!$B$7:$B$27,DATOS!$I$2:$I$20000)=0))),"—")</f>
        <v>—</v>
      </c>
      <c r="H56" s="11" t="str">
        <f>IFERROR(SUMPRODUCT((DATOS!$G$2:$G$20000=CONFIG_METADATA!$B$4)*(DATOS!$D$2:$D$20000=A56)*(COUNTIF(CONFIG_ASIGNATURAS!$B$7:$B$27,DATOS!$I$2:$I$20000)=0)*(DATOS!$L$2:$L$20000="S"))/D56,"—")</f>
        <v>—</v>
      </c>
      <c r="I56" s="11" t="str">
        <f>IFERROR(SUMPRODUCT((DATOS!$G$2:$G$20000=CONFIG_METADATA!$B$4)*(DATOS!$D$2:$D$20000=A56)*(COUNTIF(CONFIG_ASIGNATURAS!$B$7:$B$27,DATOS!$I$2:$I$20000)=0)*(DATOS!$L$2:$L$20000="N"))/D56,"—")</f>
        <v>—</v>
      </c>
      <c r="J56" t="str" cm="1">
        <f t="array" ref="J56">IFERROR(_xlfn.MODE.SNGL(_xlfn._xlws.FILTER(DATOS!$K$2:$K$20000,(DATOS!$G$2:$G$20000=CONFIG_METADATA!$B$4)*(DATOS!$D$2:$D$20000=A56)*(COUNTIF(CONFIG_ASIGNATURAS!$B$7:$B$27,DATOS!$I$2:$I$20000)=0)*(DATOS!$L$2:$L$20000="S"))),"—")</f>
        <v>—</v>
      </c>
      <c r="K56" t="str" cm="1">
        <f t="array" ref="K56">IFERROR(_xlfn.MODE.SNGL(_xlfn._xlws.FILTER(DATOS!$K$2:$K$20000,(DATOS!$G$2:$G$20000=CONFIG_METADATA!$B$4)*(DATOS!$D$2:$D$20000=A56)*(COUNTIF(CONFIG_ASIGNATURAS!$B$7:$B$27,DATOS!$I$2:$I$20000)=0)*(DATOS!$L$2:$L$20000="N"))),"—")</f>
        <v>—</v>
      </c>
      <c r="L56">
        <f>SUMPRODUCT((DATOS!$G$2:$G$20000=CONFIG_METADATA!$B$4)*(DATOS!$D$2:$D$20000=A56)*(COUNTIF(CONFIG_ASIGNATURAS!$B$7:$B$27,DATOS!$I$2:$I$20000)=0)*(DATOS!$K$2:$K$20000=1))</f>
        <v>0</v>
      </c>
      <c r="M56">
        <f>SUMPRODUCT((DATOS!$G$2:$G$20000=CONFIG_METADATA!$B$4)*(DATOS!$D$2:$D$20000=A56)*(COUNTIF(CONFIG_ASIGNATURAS!$B$7:$B$27,DATOS!$I$2:$I$20000)=0)*(DATOS!$K$2:$K$20000=2))</f>
        <v>0</v>
      </c>
      <c r="N56">
        <f>SUMPRODUCT((DATOS!$G$2:$G$20000=CONFIG_METADATA!$B$4)*(DATOS!$D$2:$D$20000=A56)*(COUNTIF(CONFIG_ASIGNATURAS!$B$7:$B$27,DATOS!$I$2:$I$20000)=0)*(DATOS!$K$2:$K$20000=3))</f>
        <v>0</v>
      </c>
      <c r="O56">
        <f>SUMPRODUCT((DATOS!$G$2:$G$20000=CONFIG_METADATA!$B$4)*(DATOS!$D$2:$D$20000=A56)*(COUNTIF(CONFIG_ASIGNATURAS!$B$7:$B$27,DATOS!$I$2:$I$20000)=0)*(DATOS!$K$2:$K$20000=4))</f>
        <v>0</v>
      </c>
      <c r="P56">
        <f>SUMPRODUCT((DATOS!$G$2:$G$20000=CONFIG_METADATA!$B$4)*(DATOS!$D$2:$D$20000=A56)*(COUNTIF(CONFIG_ASIGNATURAS!$B$7:$B$27,DATOS!$I$2:$I$20000)=0)*(DATOS!$K$2:$K$20000=5))</f>
        <v>0</v>
      </c>
      <c r="Q56">
        <f>SUMPRODUCT((DATOS!$G$2:$G$20000=CONFIG_METADATA!$B$4)*(DATOS!$D$2:$D$20000=A56)*(COUNTIF(CONFIG_ASIGNATURAS!$B$7:$B$27,DATOS!$I$2:$I$20000)=0)*(DATOS!$K$2:$K$20000=6))</f>
        <v>0</v>
      </c>
      <c r="R56">
        <f>SUMPRODUCT((DATOS!$G$2:$G$20000=CONFIG_METADATA!$B$4)*(DATOS!$D$2:$D$20000=A56)*(COUNTIF(CONFIG_ASIGNATURAS!$B$7:$B$27,DATOS!$I$2:$I$20000)=0)*(DATOS!$K$2:$K$20000=7))</f>
        <v>0</v>
      </c>
      <c r="S56">
        <f>SUMPRODUCT((DATOS!$G$2:$G$20000=CONFIG_METADATA!$B$4)*(DATOS!$D$2:$D$20000=A56)*(COUNTIF(CONFIG_ASIGNATURAS!$B$7:$B$27,DATOS!$I$2:$I$20000)=0)*(DATOS!$K$2:$K$20000=8))</f>
        <v>0</v>
      </c>
      <c r="T56">
        <f>SUMPRODUCT((DATOS!$G$2:$G$20000=CONFIG_METADATA!$B$4)*(DATOS!$D$2:$D$20000=A56)*(COUNTIF(CONFIG_ASIGNATURAS!$B$7:$B$27,DATOS!$I$2:$I$20000)=0)*(DATOS!$K$2:$K$20000=9))</f>
        <v>0</v>
      </c>
      <c r="U56">
        <f>SUMPRODUCT((DATOS!$G$2:$G$20000=CONFIG_METADATA!$B$4)*(DATOS!$D$2:$D$20000=A56)*(COUNTIF(CONFIG_ASIGNATURAS!$B$7:$B$27,DATOS!$I$2:$I$20000)=0)*(DATOS!$K$2:$K$20000=10))</f>
        <v>0</v>
      </c>
    </row>
    <row r="57" spans="1:21" x14ac:dyDescent="0.2">
      <c r="A57" t="s">
        <v>82</v>
      </c>
      <c r="B57" t="s">
        <v>117</v>
      </c>
      <c r="C57" t="s">
        <v>117</v>
      </c>
      <c r="D57">
        <f>SUMPRODUCT((DATOS!$G$2:$G$20000=CONFIG_METADATA!$B$4)*(DATOS!$D$2:$D$20000=A57))</f>
        <v>0</v>
      </c>
      <c r="E57" s="10" t="str">
        <f>IFERROR(SUMPRODUCT((DATOS!$G$2:$G$20000=CONFIG_METADATA!$B$4)*(DATOS!$D$2:$D$20000=A57)*(DATOS!$K$2:$K$20000))/D57,"—")</f>
        <v>—</v>
      </c>
      <c r="F57" s="10" t="str" cm="1">
        <f t="array" ref="F57">IFERROR(_xlfn.STDEV.P(_xlfn._xlws.FILTER(DATOS!$K$2:$K$20000,(DATOS!$G$2:$G$20000=CONFIG_METADATA!$B$4)*(DATOS!$D$2:$D$20000=A57))),"—")</f>
        <v>—</v>
      </c>
      <c r="G57" t="str" cm="1">
        <f t="array" ref="G57">IFERROR(_xlfn.MODE.SNGL(_xlfn._xlws.FILTER(DATOS!$K$2:$K$20000,(DATOS!$G$2:$G$20000=CONFIG_METADATA!$B$4)*(DATOS!$D$2:$D$20000=A57))),"—")</f>
        <v>—</v>
      </c>
      <c r="H57" s="11" t="str">
        <f>IFERROR(SUMPRODUCT((DATOS!$G$2:$G$20000=CONFIG_METADATA!$B$4)*(DATOS!$D$2:$D$20000=A57)*(DATOS!$L$2:$L$20000="S"))/D57,"—")</f>
        <v>—</v>
      </c>
      <c r="I57" s="11" t="str">
        <f>IFERROR(SUMPRODUCT((DATOS!$G$2:$G$20000=CONFIG_METADATA!$B$4)*(DATOS!$D$2:$D$20000=A57)*(DATOS!$L$2:$L$20000="N"))/D57,"—")</f>
        <v>—</v>
      </c>
      <c r="J57" t="str" cm="1">
        <f t="array" ref="J57">IFERROR(_xlfn.MODE.SNGL(_xlfn._xlws.FILTER(DATOS!$K$2:$K$20000,(DATOS!$G$2:$G$20000=CONFIG_METADATA!$B$4)*(DATOS!$D$2:$D$20000=A57)*(DATOS!$L$2:$L$20000="S"))),"—")</f>
        <v>—</v>
      </c>
      <c r="K57" t="str" cm="1">
        <f t="array" ref="K57">IFERROR(_xlfn.MODE.SNGL(_xlfn._xlws.FILTER(DATOS!$K$2:$K$20000,(DATOS!$G$2:$G$20000=CONFIG_METADATA!$B$4)*(DATOS!$D$2:$D$20000=A57)*(DATOS!$L$2:$L$20000="N"))),"—")</f>
        <v>—</v>
      </c>
      <c r="L57">
        <f>SUMPRODUCT((DATOS!$G$2:$G$20000=CONFIG_METADATA!$B$4)*(DATOS!$D$2:$D$20000=A57)*(DATOS!$K$2:$K$20000=1))</f>
        <v>0</v>
      </c>
      <c r="M57">
        <f>SUMPRODUCT((DATOS!$G$2:$G$20000=CONFIG_METADATA!$B$4)*(DATOS!$D$2:$D$20000=A57)*(DATOS!$K$2:$K$20000=2))</f>
        <v>0</v>
      </c>
      <c r="N57">
        <f>SUMPRODUCT((DATOS!$G$2:$G$20000=CONFIG_METADATA!$B$4)*(DATOS!$D$2:$D$20000=A57)*(DATOS!$K$2:$K$20000=3))</f>
        <v>0</v>
      </c>
      <c r="O57">
        <f>SUMPRODUCT((DATOS!$G$2:$G$20000=CONFIG_METADATA!$B$4)*(DATOS!$D$2:$D$20000=A57)*(DATOS!$K$2:$K$20000=4))</f>
        <v>0</v>
      </c>
      <c r="P57">
        <f>SUMPRODUCT((DATOS!$G$2:$G$20000=CONFIG_METADATA!$B$4)*(DATOS!$D$2:$D$20000=A57)*(DATOS!$K$2:$K$20000=5))</f>
        <v>0</v>
      </c>
      <c r="Q57">
        <f>SUMPRODUCT((DATOS!$G$2:$G$20000=CONFIG_METADATA!$B$4)*(DATOS!$D$2:$D$20000=A57)*(DATOS!$K$2:$K$20000=6))</f>
        <v>0</v>
      </c>
      <c r="R57">
        <f>SUMPRODUCT((DATOS!$G$2:$G$20000=CONFIG_METADATA!$B$4)*(DATOS!$D$2:$D$20000=A57)*(DATOS!$K$2:$K$20000=7))</f>
        <v>0</v>
      </c>
      <c r="S57">
        <f>SUMPRODUCT((DATOS!$G$2:$G$20000=CONFIG_METADATA!$B$4)*(DATOS!$D$2:$D$20000=A57)*(DATOS!$K$2:$K$20000=8))</f>
        <v>0</v>
      </c>
      <c r="T57">
        <f>SUMPRODUCT((DATOS!$G$2:$G$20000=CONFIG_METADATA!$B$4)*(DATOS!$D$2:$D$20000=A57)*(DATOS!$K$2:$K$20000=9))</f>
        <v>0</v>
      </c>
      <c r="U57">
        <f>SUMPRODUCT((DATOS!$G$2:$G$20000=CONFIG_METADATA!$B$4)*(DATOS!$D$2:$D$20000=A57)*(DATOS!$K$2:$K$20000=10))</f>
        <v>0</v>
      </c>
    </row>
    <row r="58" spans="1:21" x14ac:dyDescent="0.2">
      <c r="A58" t="s">
        <v>82</v>
      </c>
      <c r="B58" t="s">
        <v>118</v>
      </c>
      <c r="C58" t="s">
        <v>119</v>
      </c>
      <c r="D58">
        <f>SUMPRODUCT((DATOS!$G$2:$G$20000=CONFIG_METADATA!$B$4)*(DATOS!$D$2:$D$20000=A58)*(COUNTIF(CONFIG_ASIGNATURAS!$B$7:$B$27,DATOS!$I$2:$I$20000)&gt;0))</f>
        <v>0</v>
      </c>
      <c r="E58" s="10" t="str">
        <f>IFERROR(SUMPRODUCT((DATOS!$G$2:$G$20000=CONFIG_METADATA!$B$4)*(DATOS!$D$2:$D$20000=A58)*(COUNTIF(CONFIG_ASIGNATURAS!$B$7:$B$27,DATOS!$I$2:$I$20000)&gt;0)*(DATOS!$K$2:$K$20000))/D58,"—")</f>
        <v>—</v>
      </c>
      <c r="F58" s="10" t="str" cm="1">
        <f t="array" ref="F58">IFERROR(_xlfn.STDEV.P(_xlfn._xlws.FILTER(DATOS!$K$2:$K$20000,(DATOS!$G$2:$G$20000=CONFIG_METADATA!$B$4)*(DATOS!$D$2:$D$20000=A58)*(COUNTIF(CONFIG_ASIGNATURAS!$B$7:$B$27,DATOS!$I$2:$I$20000)&gt;0))),"—")</f>
        <v>—</v>
      </c>
      <c r="G58" t="str" cm="1">
        <f t="array" ref="G58">IFERROR(_xlfn.MODE.SNGL(_xlfn._xlws.FILTER(DATOS!$K$2:$K$20000,(DATOS!$G$2:$G$20000=CONFIG_METADATA!$B$4)*(DATOS!$D$2:$D$20000=A58)*(COUNTIF(CONFIG_ASIGNATURAS!$B$7:$B$27,DATOS!$I$2:$I$20000)&gt;0))),"—")</f>
        <v>—</v>
      </c>
      <c r="H58" s="11" t="str">
        <f>IFERROR(SUMPRODUCT((DATOS!$G$2:$G$20000=CONFIG_METADATA!$B$4)*(DATOS!$D$2:$D$20000=A58)*(COUNTIF(CONFIG_ASIGNATURAS!$B$7:$B$27,DATOS!$I$2:$I$20000)&gt;0)*(DATOS!$L$2:$L$20000="S"))/D58,"—")</f>
        <v>—</v>
      </c>
      <c r="I58" s="11" t="str">
        <f>IFERROR(SUMPRODUCT((DATOS!$G$2:$G$20000=CONFIG_METADATA!$B$4)*(DATOS!$D$2:$D$20000=A58)*(COUNTIF(CONFIG_ASIGNATURAS!$B$7:$B$27,DATOS!$I$2:$I$20000)&gt;0)*(DATOS!$L$2:$L$20000="N"))/D58,"—")</f>
        <v>—</v>
      </c>
      <c r="J58" t="str" cm="1">
        <f t="array" ref="J58">IFERROR(_xlfn.MODE.SNGL(_xlfn._xlws.FILTER(DATOS!$K$2:$K$20000,(DATOS!$G$2:$G$20000=CONFIG_METADATA!$B$4)*(DATOS!$D$2:$D$20000=A58)*(COUNTIF(CONFIG_ASIGNATURAS!$B$7:$B$27,DATOS!$I$2:$I$20000)&gt;0)*(DATOS!$L$2:$L$20000="S"))),"—")</f>
        <v>—</v>
      </c>
      <c r="K58" t="str" cm="1">
        <f t="array" ref="K58">IFERROR(_xlfn.MODE.SNGL(_xlfn._xlws.FILTER(DATOS!$K$2:$K$20000,(DATOS!$G$2:$G$20000=CONFIG_METADATA!$B$4)*(DATOS!$D$2:$D$20000=A58)*(COUNTIF(CONFIG_ASIGNATURAS!$B$7:$B$27,DATOS!$I$2:$I$20000)&gt;0)*(DATOS!$L$2:$L$20000="N"))),"—")</f>
        <v>—</v>
      </c>
      <c r="L58">
        <f>SUMPRODUCT((DATOS!$G$2:$G$20000=CONFIG_METADATA!$B$4)*(DATOS!$D$2:$D$20000=A58)*(COUNTIF(CONFIG_ASIGNATURAS!$B$7:$B$27,DATOS!$I$2:$I$20000)&gt;0)*(DATOS!$K$2:$K$20000=1))</f>
        <v>0</v>
      </c>
      <c r="M58">
        <f>SUMPRODUCT((DATOS!$G$2:$G$20000=CONFIG_METADATA!$B$4)*(DATOS!$D$2:$D$20000=A58)*(COUNTIF(CONFIG_ASIGNATURAS!$B$7:$B$27,DATOS!$I$2:$I$20000)&gt;0)*(DATOS!$K$2:$K$20000=2))</f>
        <v>0</v>
      </c>
      <c r="N58">
        <f>SUMPRODUCT((DATOS!$G$2:$G$20000=CONFIG_METADATA!$B$4)*(DATOS!$D$2:$D$20000=A58)*(COUNTIF(CONFIG_ASIGNATURAS!$B$7:$B$27,DATOS!$I$2:$I$20000)&gt;0)*(DATOS!$K$2:$K$20000=3))</f>
        <v>0</v>
      </c>
      <c r="O58">
        <f>SUMPRODUCT((DATOS!$G$2:$G$20000=CONFIG_METADATA!$B$4)*(DATOS!$D$2:$D$20000=A58)*(COUNTIF(CONFIG_ASIGNATURAS!$B$7:$B$27,DATOS!$I$2:$I$20000)&gt;0)*(DATOS!$K$2:$K$20000=4))</f>
        <v>0</v>
      </c>
      <c r="P58">
        <f>SUMPRODUCT((DATOS!$G$2:$G$20000=CONFIG_METADATA!$B$4)*(DATOS!$D$2:$D$20000=A58)*(COUNTIF(CONFIG_ASIGNATURAS!$B$7:$B$27,DATOS!$I$2:$I$20000)&gt;0)*(DATOS!$K$2:$K$20000=5))</f>
        <v>0</v>
      </c>
      <c r="Q58">
        <f>SUMPRODUCT((DATOS!$G$2:$G$20000=CONFIG_METADATA!$B$4)*(DATOS!$D$2:$D$20000=A58)*(COUNTIF(CONFIG_ASIGNATURAS!$B$7:$B$27,DATOS!$I$2:$I$20000)&gt;0)*(DATOS!$K$2:$K$20000=6))</f>
        <v>0</v>
      </c>
      <c r="R58">
        <f>SUMPRODUCT((DATOS!$G$2:$G$20000=CONFIG_METADATA!$B$4)*(DATOS!$D$2:$D$20000=A58)*(COUNTIF(CONFIG_ASIGNATURAS!$B$7:$B$27,DATOS!$I$2:$I$20000)&gt;0)*(DATOS!$K$2:$K$20000=7))</f>
        <v>0</v>
      </c>
      <c r="S58">
        <f>SUMPRODUCT((DATOS!$G$2:$G$20000=CONFIG_METADATA!$B$4)*(DATOS!$D$2:$D$20000=A58)*(COUNTIF(CONFIG_ASIGNATURAS!$B$7:$B$27,DATOS!$I$2:$I$20000)&gt;0)*(DATOS!$K$2:$K$20000=8))</f>
        <v>0</v>
      </c>
      <c r="T58">
        <f>SUMPRODUCT((DATOS!$G$2:$G$20000=CONFIG_METADATA!$B$4)*(DATOS!$D$2:$D$20000=A58)*(COUNTIF(CONFIG_ASIGNATURAS!$B$7:$B$27,DATOS!$I$2:$I$20000)&gt;0)*(DATOS!$K$2:$K$20000=9))</f>
        <v>0</v>
      </c>
      <c r="U58">
        <f>SUMPRODUCT((DATOS!$G$2:$G$20000=CONFIG_METADATA!$B$4)*(DATOS!$D$2:$D$20000=A58)*(COUNTIF(CONFIG_ASIGNATURAS!$B$7:$B$27,DATOS!$I$2:$I$20000)&gt;0)*(DATOS!$K$2:$K$20000=10))</f>
        <v>0</v>
      </c>
    </row>
    <row r="59" spans="1:21" x14ac:dyDescent="0.2">
      <c r="A59" t="s">
        <v>82</v>
      </c>
      <c r="B59" t="s">
        <v>120</v>
      </c>
      <c r="C59" t="s">
        <v>121</v>
      </c>
      <c r="D59">
        <f>SUMPRODUCT((DATOS!$G$2:$G$20000=CONFIG_METADATA!$B$4)*(DATOS!$D$2:$D$20000=A59)*(COUNTIF(CONFIG_ASIGNATURAS!$B$7:$B$27,DATOS!$I$2:$I$20000)=0))</f>
        <v>0</v>
      </c>
      <c r="E59" s="10" t="str">
        <f>IFERROR(SUMPRODUCT((DATOS!$G$2:$G$20000=CONFIG_METADATA!$B$4)*(DATOS!$D$2:$D$20000=A59)*(COUNTIF(CONFIG_ASIGNATURAS!$B$7:$B$27,DATOS!$I$2:$I$20000)=0)*(DATOS!$K$2:$K$20000))/D59,"—")</f>
        <v>—</v>
      </c>
      <c r="F59" s="10" t="str" cm="1">
        <f t="array" ref="F59">IFERROR(_xlfn.STDEV.P(_xlfn._xlws.FILTER(DATOS!$K$2:$K$20000,(DATOS!$G$2:$G$20000=CONFIG_METADATA!$B$4)*(DATOS!$D$2:$D$20000=A59)*(COUNTIF(CONFIG_ASIGNATURAS!$B$7:$B$27,DATOS!$I$2:$I$20000)=0))),"—")</f>
        <v>—</v>
      </c>
      <c r="G59" t="str" cm="1">
        <f t="array" ref="G59">IFERROR(_xlfn.MODE.SNGL(_xlfn._xlws.FILTER(DATOS!$K$2:$K$20000,(DATOS!$G$2:$G$20000=CONFIG_METADATA!$B$4)*(DATOS!$D$2:$D$20000=A59)*(COUNTIF(CONFIG_ASIGNATURAS!$B$7:$B$27,DATOS!$I$2:$I$20000)=0))),"—")</f>
        <v>—</v>
      </c>
      <c r="H59" s="11" t="str">
        <f>IFERROR(SUMPRODUCT((DATOS!$G$2:$G$20000=CONFIG_METADATA!$B$4)*(DATOS!$D$2:$D$20000=A59)*(COUNTIF(CONFIG_ASIGNATURAS!$B$7:$B$27,DATOS!$I$2:$I$20000)=0)*(DATOS!$L$2:$L$20000="S"))/D59,"—")</f>
        <v>—</v>
      </c>
      <c r="I59" s="11" t="str">
        <f>IFERROR(SUMPRODUCT((DATOS!$G$2:$G$20000=CONFIG_METADATA!$B$4)*(DATOS!$D$2:$D$20000=A59)*(COUNTIF(CONFIG_ASIGNATURAS!$B$7:$B$27,DATOS!$I$2:$I$20000)=0)*(DATOS!$L$2:$L$20000="N"))/D59,"—")</f>
        <v>—</v>
      </c>
      <c r="J59" t="str" cm="1">
        <f t="array" ref="J59">IFERROR(_xlfn.MODE.SNGL(_xlfn._xlws.FILTER(DATOS!$K$2:$K$20000,(DATOS!$G$2:$G$20000=CONFIG_METADATA!$B$4)*(DATOS!$D$2:$D$20000=A59)*(COUNTIF(CONFIG_ASIGNATURAS!$B$7:$B$27,DATOS!$I$2:$I$20000)=0)*(DATOS!$L$2:$L$20000="S"))),"—")</f>
        <v>—</v>
      </c>
      <c r="K59" t="str" cm="1">
        <f t="array" ref="K59">IFERROR(_xlfn.MODE.SNGL(_xlfn._xlws.FILTER(DATOS!$K$2:$K$20000,(DATOS!$G$2:$G$20000=CONFIG_METADATA!$B$4)*(DATOS!$D$2:$D$20000=A59)*(COUNTIF(CONFIG_ASIGNATURAS!$B$7:$B$27,DATOS!$I$2:$I$20000)=0)*(DATOS!$L$2:$L$20000="N"))),"—")</f>
        <v>—</v>
      </c>
      <c r="L59">
        <f>SUMPRODUCT((DATOS!$G$2:$G$20000=CONFIG_METADATA!$B$4)*(DATOS!$D$2:$D$20000=A59)*(COUNTIF(CONFIG_ASIGNATURAS!$B$7:$B$27,DATOS!$I$2:$I$20000)=0)*(DATOS!$K$2:$K$20000=1))</f>
        <v>0</v>
      </c>
      <c r="M59">
        <f>SUMPRODUCT((DATOS!$G$2:$G$20000=CONFIG_METADATA!$B$4)*(DATOS!$D$2:$D$20000=A59)*(COUNTIF(CONFIG_ASIGNATURAS!$B$7:$B$27,DATOS!$I$2:$I$20000)=0)*(DATOS!$K$2:$K$20000=2))</f>
        <v>0</v>
      </c>
      <c r="N59">
        <f>SUMPRODUCT((DATOS!$G$2:$G$20000=CONFIG_METADATA!$B$4)*(DATOS!$D$2:$D$20000=A59)*(COUNTIF(CONFIG_ASIGNATURAS!$B$7:$B$27,DATOS!$I$2:$I$20000)=0)*(DATOS!$K$2:$K$20000=3))</f>
        <v>0</v>
      </c>
      <c r="O59">
        <f>SUMPRODUCT((DATOS!$G$2:$G$20000=CONFIG_METADATA!$B$4)*(DATOS!$D$2:$D$20000=A59)*(COUNTIF(CONFIG_ASIGNATURAS!$B$7:$B$27,DATOS!$I$2:$I$20000)=0)*(DATOS!$K$2:$K$20000=4))</f>
        <v>0</v>
      </c>
      <c r="P59">
        <f>SUMPRODUCT((DATOS!$G$2:$G$20000=CONFIG_METADATA!$B$4)*(DATOS!$D$2:$D$20000=A59)*(COUNTIF(CONFIG_ASIGNATURAS!$B$7:$B$27,DATOS!$I$2:$I$20000)=0)*(DATOS!$K$2:$K$20000=5))</f>
        <v>0</v>
      </c>
      <c r="Q59">
        <f>SUMPRODUCT((DATOS!$G$2:$G$20000=CONFIG_METADATA!$B$4)*(DATOS!$D$2:$D$20000=A59)*(COUNTIF(CONFIG_ASIGNATURAS!$B$7:$B$27,DATOS!$I$2:$I$20000)=0)*(DATOS!$K$2:$K$20000=6))</f>
        <v>0</v>
      </c>
      <c r="R59">
        <f>SUMPRODUCT((DATOS!$G$2:$G$20000=CONFIG_METADATA!$B$4)*(DATOS!$D$2:$D$20000=A59)*(COUNTIF(CONFIG_ASIGNATURAS!$B$7:$B$27,DATOS!$I$2:$I$20000)=0)*(DATOS!$K$2:$K$20000=7))</f>
        <v>0</v>
      </c>
      <c r="S59">
        <f>SUMPRODUCT((DATOS!$G$2:$G$20000=CONFIG_METADATA!$B$4)*(DATOS!$D$2:$D$20000=A59)*(COUNTIF(CONFIG_ASIGNATURAS!$B$7:$B$27,DATOS!$I$2:$I$20000)=0)*(DATOS!$K$2:$K$20000=8))</f>
        <v>0</v>
      </c>
      <c r="T59">
        <f>SUMPRODUCT((DATOS!$G$2:$G$20000=CONFIG_METADATA!$B$4)*(DATOS!$D$2:$D$20000=A59)*(COUNTIF(CONFIG_ASIGNATURAS!$B$7:$B$27,DATOS!$I$2:$I$20000)=0)*(DATOS!$K$2:$K$20000=9))</f>
        <v>0</v>
      </c>
      <c r="U59">
        <f>SUMPRODUCT((DATOS!$G$2:$G$20000=CONFIG_METADATA!$B$4)*(DATOS!$D$2:$D$20000=A59)*(COUNTIF(CONFIG_ASIGNATURAS!$B$7:$B$27,DATOS!$I$2:$I$20000)=0)*(DATOS!$K$2:$K$20000=10))</f>
        <v>0</v>
      </c>
    </row>
    <row r="60" spans="1:21" x14ac:dyDescent="0.2">
      <c r="A60" t="s">
        <v>83</v>
      </c>
      <c r="B60" t="s">
        <v>117</v>
      </c>
      <c r="C60" t="s">
        <v>117</v>
      </c>
      <c r="D60">
        <f>SUMPRODUCT((DATOS!$G$2:$G$20000=CONFIG_METADATA!$B$4)*(DATOS!$D$2:$D$20000=A60))</f>
        <v>0</v>
      </c>
      <c r="E60" s="10" t="str">
        <f>IFERROR(SUMPRODUCT((DATOS!$G$2:$G$20000=CONFIG_METADATA!$B$4)*(DATOS!$D$2:$D$20000=A60)*(DATOS!$K$2:$K$20000))/D60,"—")</f>
        <v>—</v>
      </c>
      <c r="F60" s="10" t="str" cm="1">
        <f t="array" ref="F60">IFERROR(_xlfn.STDEV.P(_xlfn._xlws.FILTER(DATOS!$K$2:$K$20000,(DATOS!$G$2:$G$20000=CONFIG_METADATA!$B$4)*(DATOS!$D$2:$D$20000=A60))),"—")</f>
        <v>—</v>
      </c>
      <c r="G60" t="str" cm="1">
        <f t="array" ref="G60">IFERROR(_xlfn.MODE.SNGL(_xlfn._xlws.FILTER(DATOS!$K$2:$K$20000,(DATOS!$G$2:$G$20000=CONFIG_METADATA!$B$4)*(DATOS!$D$2:$D$20000=A60))),"—")</f>
        <v>—</v>
      </c>
      <c r="H60" s="11" t="str">
        <f>IFERROR(SUMPRODUCT((DATOS!$G$2:$G$20000=CONFIG_METADATA!$B$4)*(DATOS!$D$2:$D$20000=A60)*(DATOS!$L$2:$L$20000="S"))/D60,"—")</f>
        <v>—</v>
      </c>
      <c r="I60" s="11" t="str">
        <f>IFERROR(SUMPRODUCT((DATOS!$G$2:$G$20000=CONFIG_METADATA!$B$4)*(DATOS!$D$2:$D$20000=A60)*(DATOS!$L$2:$L$20000="N"))/D60,"—")</f>
        <v>—</v>
      </c>
      <c r="J60" t="str" cm="1">
        <f t="array" ref="J60">IFERROR(_xlfn.MODE.SNGL(_xlfn._xlws.FILTER(DATOS!$K$2:$K$20000,(DATOS!$G$2:$G$20000=CONFIG_METADATA!$B$4)*(DATOS!$D$2:$D$20000=A60)*(DATOS!$L$2:$L$20000="S"))),"—")</f>
        <v>—</v>
      </c>
      <c r="K60" t="str" cm="1">
        <f t="array" ref="K60">IFERROR(_xlfn.MODE.SNGL(_xlfn._xlws.FILTER(DATOS!$K$2:$K$20000,(DATOS!$G$2:$G$20000=CONFIG_METADATA!$B$4)*(DATOS!$D$2:$D$20000=A60)*(DATOS!$L$2:$L$20000="N"))),"—")</f>
        <v>—</v>
      </c>
      <c r="L60">
        <f>SUMPRODUCT((DATOS!$G$2:$G$20000=CONFIG_METADATA!$B$4)*(DATOS!$D$2:$D$20000=A60)*(DATOS!$K$2:$K$20000=1))</f>
        <v>0</v>
      </c>
      <c r="M60">
        <f>SUMPRODUCT((DATOS!$G$2:$G$20000=CONFIG_METADATA!$B$4)*(DATOS!$D$2:$D$20000=A60)*(DATOS!$K$2:$K$20000=2))</f>
        <v>0</v>
      </c>
      <c r="N60">
        <f>SUMPRODUCT((DATOS!$G$2:$G$20000=CONFIG_METADATA!$B$4)*(DATOS!$D$2:$D$20000=A60)*(DATOS!$K$2:$K$20000=3))</f>
        <v>0</v>
      </c>
      <c r="O60">
        <f>SUMPRODUCT((DATOS!$G$2:$G$20000=CONFIG_METADATA!$B$4)*(DATOS!$D$2:$D$20000=A60)*(DATOS!$K$2:$K$20000=4))</f>
        <v>0</v>
      </c>
      <c r="P60">
        <f>SUMPRODUCT((DATOS!$G$2:$G$20000=CONFIG_METADATA!$B$4)*(DATOS!$D$2:$D$20000=A60)*(DATOS!$K$2:$K$20000=5))</f>
        <v>0</v>
      </c>
      <c r="Q60">
        <f>SUMPRODUCT((DATOS!$G$2:$G$20000=CONFIG_METADATA!$B$4)*(DATOS!$D$2:$D$20000=A60)*(DATOS!$K$2:$K$20000=6))</f>
        <v>0</v>
      </c>
      <c r="R60">
        <f>SUMPRODUCT((DATOS!$G$2:$G$20000=CONFIG_METADATA!$B$4)*(DATOS!$D$2:$D$20000=A60)*(DATOS!$K$2:$K$20000=7))</f>
        <v>0</v>
      </c>
      <c r="S60">
        <f>SUMPRODUCT((DATOS!$G$2:$G$20000=CONFIG_METADATA!$B$4)*(DATOS!$D$2:$D$20000=A60)*(DATOS!$K$2:$K$20000=8))</f>
        <v>0</v>
      </c>
      <c r="T60">
        <f>SUMPRODUCT((DATOS!$G$2:$G$20000=CONFIG_METADATA!$B$4)*(DATOS!$D$2:$D$20000=A60)*(DATOS!$K$2:$K$20000=9))</f>
        <v>0</v>
      </c>
      <c r="U60">
        <f>SUMPRODUCT((DATOS!$G$2:$G$20000=CONFIG_METADATA!$B$4)*(DATOS!$D$2:$D$20000=A60)*(DATOS!$K$2:$K$20000=10))</f>
        <v>0</v>
      </c>
    </row>
    <row r="61" spans="1:21" x14ac:dyDescent="0.2">
      <c r="A61" t="s">
        <v>83</v>
      </c>
      <c r="B61" t="s">
        <v>118</v>
      </c>
      <c r="C61" t="s">
        <v>119</v>
      </c>
      <c r="D61">
        <f>SUMPRODUCT((DATOS!$G$2:$G$20000=CONFIG_METADATA!$B$4)*(DATOS!$D$2:$D$20000=A61)*(COUNTIF(CONFIG_ASIGNATURAS!$B$7:$B$27,DATOS!$I$2:$I$20000)&gt;0))</f>
        <v>0</v>
      </c>
      <c r="E61" s="10" t="str">
        <f>IFERROR(SUMPRODUCT((DATOS!$G$2:$G$20000=CONFIG_METADATA!$B$4)*(DATOS!$D$2:$D$20000=A61)*(COUNTIF(CONFIG_ASIGNATURAS!$B$7:$B$27,DATOS!$I$2:$I$20000)&gt;0)*(DATOS!$K$2:$K$20000))/D61,"—")</f>
        <v>—</v>
      </c>
      <c r="F61" s="10" t="str" cm="1">
        <f t="array" ref="F61">IFERROR(_xlfn.STDEV.P(_xlfn._xlws.FILTER(DATOS!$K$2:$K$20000,(DATOS!$G$2:$G$20000=CONFIG_METADATA!$B$4)*(DATOS!$D$2:$D$20000=A61)*(COUNTIF(CONFIG_ASIGNATURAS!$B$7:$B$27,DATOS!$I$2:$I$20000)&gt;0))),"—")</f>
        <v>—</v>
      </c>
      <c r="G61" t="str" cm="1">
        <f t="array" ref="G61">IFERROR(_xlfn.MODE.SNGL(_xlfn._xlws.FILTER(DATOS!$K$2:$K$20000,(DATOS!$G$2:$G$20000=CONFIG_METADATA!$B$4)*(DATOS!$D$2:$D$20000=A61)*(COUNTIF(CONFIG_ASIGNATURAS!$B$7:$B$27,DATOS!$I$2:$I$20000)&gt;0))),"—")</f>
        <v>—</v>
      </c>
      <c r="H61" s="11" t="str">
        <f>IFERROR(SUMPRODUCT((DATOS!$G$2:$G$20000=CONFIG_METADATA!$B$4)*(DATOS!$D$2:$D$20000=A61)*(COUNTIF(CONFIG_ASIGNATURAS!$B$7:$B$27,DATOS!$I$2:$I$20000)&gt;0)*(DATOS!$L$2:$L$20000="S"))/D61,"—")</f>
        <v>—</v>
      </c>
      <c r="I61" s="11" t="str">
        <f>IFERROR(SUMPRODUCT((DATOS!$G$2:$G$20000=CONFIG_METADATA!$B$4)*(DATOS!$D$2:$D$20000=A61)*(COUNTIF(CONFIG_ASIGNATURAS!$B$7:$B$27,DATOS!$I$2:$I$20000)&gt;0)*(DATOS!$L$2:$L$20000="N"))/D61,"—")</f>
        <v>—</v>
      </c>
      <c r="J61" t="str" cm="1">
        <f t="array" ref="J61">IFERROR(_xlfn.MODE.SNGL(_xlfn._xlws.FILTER(DATOS!$K$2:$K$20000,(DATOS!$G$2:$G$20000=CONFIG_METADATA!$B$4)*(DATOS!$D$2:$D$20000=A61)*(COUNTIF(CONFIG_ASIGNATURAS!$B$7:$B$27,DATOS!$I$2:$I$20000)&gt;0)*(DATOS!$L$2:$L$20000="S"))),"—")</f>
        <v>—</v>
      </c>
      <c r="K61" t="str" cm="1">
        <f t="array" ref="K61">IFERROR(_xlfn.MODE.SNGL(_xlfn._xlws.FILTER(DATOS!$K$2:$K$20000,(DATOS!$G$2:$G$20000=CONFIG_METADATA!$B$4)*(DATOS!$D$2:$D$20000=A61)*(COUNTIF(CONFIG_ASIGNATURAS!$B$7:$B$27,DATOS!$I$2:$I$20000)&gt;0)*(DATOS!$L$2:$L$20000="N"))),"—")</f>
        <v>—</v>
      </c>
      <c r="L61">
        <f>SUMPRODUCT((DATOS!$G$2:$G$20000=CONFIG_METADATA!$B$4)*(DATOS!$D$2:$D$20000=A61)*(COUNTIF(CONFIG_ASIGNATURAS!$B$7:$B$27,DATOS!$I$2:$I$20000)&gt;0)*(DATOS!$K$2:$K$20000=1))</f>
        <v>0</v>
      </c>
      <c r="M61">
        <f>SUMPRODUCT((DATOS!$G$2:$G$20000=CONFIG_METADATA!$B$4)*(DATOS!$D$2:$D$20000=A61)*(COUNTIF(CONFIG_ASIGNATURAS!$B$7:$B$27,DATOS!$I$2:$I$20000)&gt;0)*(DATOS!$K$2:$K$20000=2))</f>
        <v>0</v>
      </c>
      <c r="N61">
        <f>SUMPRODUCT((DATOS!$G$2:$G$20000=CONFIG_METADATA!$B$4)*(DATOS!$D$2:$D$20000=A61)*(COUNTIF(CONFIG_ASIGNATURAS!$B$7:$B$27,DATOS!$I$2:$I$20000)&gt;0)*(DATOS!$K$2:$K$20000=3))</f>
        <v>0</v>
      </c>
      <c r="O61">
        <f>SUMPRODUCT((DATOS!$G$2:$G$20000=CONFIG_METADATA!$B$4)*(DATOS!$D$2:$D$20000=A61)*(COUNTIF(CONFIG_ASIGNATURAS!$B$7:$B$27,DATOS!$I$2:$I$20000)&gt;0)*(DATOS!$K$2:$K$20000=4))</f>
        <v>0</v>
      </c>
      <c r="P61">
        <f>SUMPRODUCT((DATOS!$G$2:$G$20000=CONFIG_METADATA!$B$4)*(DATOS!$D$2:$D$20000=A61)*(COUNTIF(CONFIG_ASIGNATURAS!$B$7:$B$27,DATOS!$I$2:$I$20000)&gt;0)*(DATOS!$K$2:$K$20000=5))</f>
        <v>0</v>
      </c>
      <c r="Q61">
        <f>SUMPRODUCT((DATOS!$G$2:$G$20000=CONFIG_METADATA!$B$4)*(DATOS!$D$2:$D$20000=A61)*(COUNTIF(CONFIG_ASIGNATURAS!$B$7:$B$27,DATOS!$I$2:$I$20000)&gt;0)*(DATOS!$K$2:$K$20000=6))</f>
        <v>0</v>
      </c>
      <c r="R61">
        <f>SUMPRODUCT((DATOS!$G$2:$G$20000=CONFIG_METADATA!$B$4)*(DATOS!$D$2:$D$20000=A61)*(COUNTIF(CONFIG_ASIGNATURAS!$B$7:$B$27,DATOS!$I$2:$I$20000)&gt;0)*(DATOS!$K$2:$K$20000=7))</f>
        <v>0</v>
      </c>
      <c r="S61">
        <f>SUMPRODUCT((DATOS!$G$2:$G$20000=CONFIG_METADATA!$B$4)*(DATOS!$D$2:$D$20000=A61)*(COUNTIF(CONFIG_ASIGNATURAS!$B$7:$B$27,DATOS!$I$2:$I$20000)&gt;0)*(DATOS!$K$2:$K$20000=8))</f>
        <v>0</v>
      </c>
      <c r="T61">
        <f>SUMPRODUCT((DATOS!$G$2:$G$20000=CONFIG_METADATA!$B$4)*(DATOS!$D$2:$D$20000=A61)*(COUNTIF(CONFIG_ASIGNATURAS!$B$7:$B$27,DATOS!$I$2:$I$20000)&gt;0)*(DATOS!$K$2:$K$20000=9))</f>
        <v>0</v>
      </c>
      <c r="U61">
        <f>SUMPRODUCT((DATOS!$G$2:$G$20000=CONFIG_METADATA!$B$4)*(DATOS!$D$2:$D$20000=A61)*(COUNTIF(CONFIG_ASIGNATURAS!$B$7:$B$27,DATOS!$I$2:$I$20000)&gt;0)*(DATOS!$K$2:$K$20000=10))</f>
        <v>0</v>
      </c>
    </row>
    <row r="62" spans="1:21" x14ac:dyDescent="0.2">
      <c r="A62" t="s">
        <v>83</v>
      </c>
      <c r="B62" t="s">
        <v>120</v>
      </c>
      <c r="C62" t="s">
        <v>121</v>
      </c>
      <c r="D62">
        <f>SUMPRODUCT((DATOS!$G$2:$G$20000=CONFIG_METADATA!$B$4)*(DATOS!$D$2:$D$20000=A62)*(COUNTIF(CONFIG_ASIGNATURAS!$B$7:$B$27,DATOS!$I$2:$I$20000)=0))</f>
        <v>0</v>
      </c>
      <c r="E62" s="10" t="str">
        <f>IFERROR(SUMPRODUCT((DATOS!$G$2:$G$20000=CONFIG_METADATA!$B$4)*(DATOS!$D$2:$D$20000=A62)*(COUNTIF(CONFIG_ASIGNATURAS!$B$7:$B$27,DATOS!$I$2:$I$20000)=0)*(DATOS!$K$2:$K$20000))/D62,"—")</f>
        <v>—</v>
      </c>
      <c r="F62" s="10" t="str" cm="1">
        <f t="array" ref="F62">IFERROR(_xlfn.STDEV.P(_xlfn._xlws.FILTER(DATOS!$K$2:$K$20000,(DATOS!$G$2:$G$20000=CONFIG_METADATA!$B$4)*(DATOS!$D$2:$D$20000=A62)*(COUNTIF(CONFIG_ASIGNATURAS!$B$7:$B$27,DATOS!$I$2:$I$20000)=0))),"—")</f>
        <v>—</v>
      </c>
      <c r="G62" t="str" cm="1">
        <f t="array" ref="G62">IFERROR(_xlfn.MODE.SNGL(_xlfn._xlws.FILTER(DATOS!$K$2:$K$20000,(DATOS!$G$2:$G$20000=CONFIG_METADATA!$B$4)*(DATOS!$D$2:$D$20000=A62)*(COUNTIF(CONFIG_ASIGNATURAS!$B$7:$B$27,DATOS!$I$2:$I$20000)=0))),"—")</f>
        <v>—</v>
      </c>
      <c r="H62" s="11" t="str">
        <f>IFERROR(SUMPRODUCT((DATOS!$G$2:$G$20000=CONFIG_METADATA!$B$4)*(DATOS!$D$2:$D$20000=A62)*(COUNTIF(CONFIG_ASIGNATURAS!$B$7:$B$27,DATOS!$I$2:$I$20000)=0)*(DATOS!$L$2:$L$20000="S"))/D62,"—")</f>
        <v>—</v>
      </c>
      <c r="I62" s="11" t="str">
        <f>IFERROR(SUMPRODUCT((DATOS!$G$2:$G$20000=CONFIG_METADATA!$B$4)*(DATOS!$D$2:$D$20000=A62)*(COUNTIF(CONFIG_ASIGNATURAS!$B$7:$B$27,DATOS!$I$2:$I$20000)=0)*(DATOS!$L$2:$L$20000="N"))/D62,"—")</f>
        <v>—</v>
      </c>
      <c r="J62" t="str" cm="1">
        <f t="array" ref="J62">IFERROR(_xlfn.MODE.SNGL(_xlfn._xlws.FILTER(DATOS!$K$2:$K$20000,(DATOS!$G$2:$G$20000=CONFIG_METADATA!$B$4)*(DATOS!$D$2:$D$20000=A62)*(COUNTIF(CONFIG_ASIGNATURAS!$B$7:$B$27,DATOS!$I$2:$I$20000)=0)*(DATOS!$L$2:$L$20000="S"))),"—")</f>
        <v>—</v>
      </c>
      <c r="K62" t="str" cm="1">
        <f t="array" ref="K62">IFERROR(_xlfn.MODE.SNGL(_xlfn._xlws.FILTER(DATOS!$K$2:$K$20000,(DATOS!$G$2:$G$20000=CONFIG_METADATA!$B$4)*(DATOS!$D$2:$D$20000=A62)*(COUNTIF(CONFIG_ASIGNATURAS!$B$7:$B$27,DATOS!$I$2:$I$20000)=0)*(DATOS!$L$2:$L$20000="N"))),"—")</f>
        <v>—</v>
      </c>
      <c r="L62">
        <f>SUMPRODUCT((DATOS!$G$2:$G$20000=CONFIG_METADATA!$B$4)*(DATOS!$D$2:$D$20000=A62)*(COUNTIF(CONFIG_ASIGNATURAS!$B$7:$B$27,DATOS!$I$2:$I$20000)=0)*(DATOS!$K$2:$K$20000=1))</f>
        <v>0</v>
      </c>
      <c r="M62">
        <f>SUMPRODUCT((DATOS!$G$2:$G$20000=CONFIG_METADATA!$B$4)*(DATOS!$D$2:$D$20000=A62)*(COUNTIF(CONFIG_ASIGNATURAS!$B$7:$B$27,DATOS!$I$2:$I$20000)=0)*(DATOS!$K$2:$K$20000=2))</f>
        <v>0</v>
      </c>
      <c r="N62">
        <f>SUMPRODUCT((DATOS!$G$2:$G$20000=CONFIG_METADATA!$B$4)*(DATOS!$D$2:$D$20000=A62)*(COUNTIF(CONFIG_ASIGNATURAS!$B$7:$B$27,DATOS!$I$2:$I$20000)=0)*(DATOS!$K$2:$K$20000=3))</f>
        <v>0</v>
      </c>
      <c r="O62">
        <f>SUMPRODUCT((DATOS!$G$2:$G$20000=CONFIG_METADATA!$B$4)*(DATOS!$D$2:$D$20000=A62)*(COUNTIF(CONFIG_ASIGNATURAS!$B$7:$B$27,DATOS!$I$2:$I$20000)=0)*(DATOS!$K$2:$K$20000=4))</f>
        <v>0</v>
      </c>
      <c r="P62">
        <f>SUMPRODUCT((DATOS!$G$2:$G$20000=CONFIG_METADATA!$B$4)*(DATOS!$D$2:$D$20000=A62)*(COUNTIF(CONFIG_ASIGNATURAS!$B$7:$B$27,DATOS!$I$2:$I$20000)=0)*(DATOS!$K$2:$K$20000=5))</f>
        <v>0</v>
      </c>
      <c r="Q62">
        <f>SUMPRODUCT((DATOS!$G$2:$G$20000=CONFIG_METADATA!$B$4)*(DATOS!$D$2:$D$20000=A62)*(COUNTIF(CONFIG_ASIGNATURAS!$B$7:$B$27,DATOS!$I$2:$I$20000)=0)*(DATOS!$K$2:$K$20000=6))</f>
        <v>0</v>
      </c>
      <c r="R62">
        <f>SUMPRODUCT((DATOS!$G$2:$G$20000=CONFIG_METADATA!$B$4)*(DATOS!$D$2:$D$20000=A62)*(COUNTIF(CONFIG_ASIGNATURAS!$B$7:$B$27,DATOS!$I$2:$I$20000)=0)*(DATOS!$K$2:$K$20000=7))</f>
        <v>0</v>
      </c>
      <c r="S62">
        <f>SUMPRODUCT((DATOS!$G$2:$G$20000=CONFIG_METADATA!$B$4)*(DATOS!$D$2:$D$20000=A62)*(COUNTIF(CONFIG_ASIGNATURAS!$B$7:$B$27,DATOS!$I$2:$I$20000)=0)*(DATOS!$K$2:$K$20000=8))</f>
        <v>0</v>
      </c>
      <c r="T62">
        <f>SUMPRODUCT((DATOS!$G$2:$G$20000=CONFIG_METADATA!$B$4)*(DATOS!$D$2:$D$20000=A62)*(COUNTIF(CONFIG_ASIGNATURAS!$B$7:$B$27,DATOS!$I$2:$I$20000)=0)*(DATOS!$K$2:$K$20000=9))</f>
        <v>0</v>
      </c>
      <c r="U62">
        <f>SUMPRODUCT((DATOS!$G$2:$G$20000=CONFIG_METADATA!$B$4)*(DATOS!$D$2:$D$20000=A62)*(COUNTIF(CONFIG_ASIGNATURAS!$B$7:$B$27,DATOS!$I$2:$I$20000)=0)*(DATOS!$K$2:$K$20000=10))</f>
        <v>0</v>
      </c>
    </row>
    <row r="63" spans="1:21" x14ac:dyDescent="0.2">
      <c r="A63" t="s">
        <v>78</v>
      </c>
      <c r="B63" t="s">
        <v>9</v>
      </c>
      <c r="C63" t="s">
        <v>12</v>
      </c>
      <c r="D63">
        <f>SUMPRODUCT((DATOS!$G$2:$G$20000=CONFIG_METADATA!$B$4)*(DATOS!$D$2:$D$20000=A63)*(DATOS!$I$2:$I$20000=B63))</f>
        <v>0</v>
      </c>
      <c r="E63" s="10" t="str">
        <f>IFERROR(SUMPRODUCT((DATOS!$G$2:$G$20000=CONFIG_METADATA!$B$4)*(DATOS!$D$2:$D$20000=A63)*(DATOS!$I$2:$I$20000=B63)*(DATOS!$K$2:$K$20000))/D63,"—")</f>
        <v>—</v>
      </c>
      <c r="F63" s="10" t="str" cm="1">
        <f t="array" ref="F63">IFERROR(_xlfn.STDEV.P(_xlfn._xlws.FILTER(DATOS!$K$2:$K$20000,(DATOS!$G$2:$G$20000=CONFIG_METADATA!$B$4)*(DATOS!$D$2:$D$20000=A63)*(DATOS!$I$2:$I$20000=B63))),"—")</f>
        <v>—</v>
      </c>
      <c r="G63" t="str" cm="1">
        <f t="array" ref="G63">IFERROR(_xlfn.MODE.SNGL(_xlfn._xlws.FILTER(DATOS!$K$2:$K$20000,(DATOS!$G$2:$G$20000=CONFIG_METADATA!$B$4)*(DATOS!$D$2:$D$20000=A63)*(DATOS!$I$2:$I$20000=B63))),"—")</f>
        <v>—</v>
      </c>
      <c r="H63" s="11" t="str">
        <f>IFERROR(SUMPRODUCT((DATOS!$G$2:$G$20000=CONFIG_METADATA!$B$4)*(DATOS!$D$2:$D$20000=A63)*(DATOS!$I$2:$I$20000=B63)*(DATOS!$L$2:$L$20000="S"))/D63,"—")</f>
        <v>—</v>
      </c>
      <c r="I63" s="11" t="str">
        <f>IFERROR(SUMPRODUCT((DATOS!$G$2:$G$20000=CONFIG_METADATA!$B$4)*(DATOS!$D$2:$D$20000=A63)*(DATOS!$I$2:$I$20000=B63)*(DATOS!$L$2:$L$20000="N"))/D63,"—")</f>
        <v>—</v>
      </c>
      <c r="J63" t="str" cm="1">
        <f t="array" ref="J63">IFERROR(_xlfn.MODE.SNGL(_xlfn._xlws.FILTER(DATOS!$K$2:$K$20000,(DATOS!$G$2:$G$20000=CONFIG_METADATA!$B$4)*(DATOS!$D$2:$D$20000=A63)*(DATOS!$I$2:$I$20000=B63)*(DATOS!$L$2:$L$20000="S"))),"—")</f>
        <v>—</v>
      </c>
      <c r="K63" t="str" cm="1">
        <f t="array" ref="K63">IFERROR(_xlfn.MODE.SNGL(_xlfn._xlws.FILTER(DATOS!$K$2:$K$20000,(DATOS!$G$2:$G$20000=CONFIG_METADATA!$B$4)*(DATOS!$D$2:$D$20000=A63)*(DATOS!$I$2:$I$20000=B63)*(DATOS!$L$2:$L$20000="N"))),"—")</f>
        <v>—</v>
      </c>
      <c r="L63">
        <f>SUMPRODUCT((DATOS!$G$2:$G$20000=CONFIG_METADATA!$B$4)*(DATOS!$D$2:$D$20000=A63)*(DATOS!$I$2:$I$20000=B63)*(DATOS!$K$2:$K$20000=1))</f>
        <v>0</v>
      </c>
      <c r="M63">
        <f>SUMPRODUCT((DATOS!$G$2:$G$20000=CONFIG_METADATA!$B$4)*(DATOS!$D$2:$D$20000=A63)*(DATOS!$I$2:$I$20000=B63)*(DATOS!$K$2:$K$20000=2))</f>
        <v>0</v>
      </c>
      <c r="N63">
        <f>SUMPRODUCT((DATOS!$G$2:$G$20000=CONFIG_METADATA!$B$4)*(DATOS!$D$2:$D$20000=A63)*(DATOS!$I$2:$I$20000=B63)*(DATOS!$K$2:$K$20000=3))</f>
        <v>0</v>
      </c>
      <c r="O63">
        <f>SUMPRODUCT((DATOS!$G$2:$G$20000=CONFIG_METADATA!$B$4)*(DATOS!$D$2:$D$20000=A63)*(DATOS!$I$2:$I$20000=B63)*(DATOS!$K$2:$K$20000=4))</f>
        <v>0</v>
      </c>
      <c r="P63">
        <f>SUMPRODUCT((DATOS!$G$2:$G$20000=CONFIG_METADATA!$B$4)*(DATOS!$D$2:$D$20000=A63)*(DATOS!$I$2:$I$20000=B63)*(DATOS!$K$2:$K$20000=5))</f>
        <v>0</v>
      </c>
      <c r="Q63">
        <f>SUMPRODUCT((DATOS!$G$2:$G$20000=CONFIG_METADATA!$B$4)*(DATOS!$D$2:$D$20000=A63)*(DATOS!$I$2:$I$20000=B63)*(DATOS!$K$2:$K$20000=6))</f>
        <v>0</v>
      </c>
      <c r="R63">
        <f>SUMPRODUCT((DATOS!$G$2:$G$20000=CONFIG_METADATA!$B$4)*(DATOS!$D$2:$D$20000=A63)*(DATOS!$I$2:$I$20000=B63)*(DATOS!$K$2:$K$20000=7))</f>
        <v>0</v>
      </c>
      <c r="S63">
        <f>SUMPRODUCT((DATOS!$G$2:$G$20000=CONFIG_METADATA!$B$4)*(DATOS!$D$2:$D$20000=A63)*(DATOS!$I$2:$I$20000=B63)*(DATOS!$K$2:$K$20000=8))</f>
        <v>0</v>
      </c>
      <c r="T63">
        <f>SUMPRODUCT((DATOS!$G$2:$G$20000=CONFIG_METADATA!$B$4)*(DATOS!$D$2:$D$20000=A63)*(DATOS!$I$2:$I$20000=B63)*(DATOS!$K$2:$K$20000=9))</f>
        <v>0</v>
      </c>
      <c r="U63">
        <f>SUMPRODUCT((DATOS!$G$2:$G$20000=CONFIG_METADATA!$B$4)*(DATOS!$D$2:$D$20000=A63)*(DATOS!$I$2:$I$20000=B63)*(DATOS!$K$2:$K$20000=10))</f>
        <v>0</v>
      </c>
    </row>
    <row r="64" spans="1:21" x14ac:dyDescent="0.2">
      <c r="A64" t="s">
        <v>78</v>
      </c>
      <c r="B64" t="s">
        <v>22</v>
      </c>
      <c r="C64" t="s">
        <v>21</v>
      </c>
      <c r="D64">
        <f>SUMPRODUCT((DATOS!$G$2:$G$20000=CONFIG_METADATA!$B$4)*(DATOS!$D$2:$D$20000=A64)*(DATOS!$I$2:$I$20000=B64))</f>
        <v>0</v>
      </c>
      <c r="E64" s="10" t="str">
        <f>IFERROR(SUMPRODUCT((DATOS!$G$2:$G$20000=CONFIG_METADATA!$B$4)*(DATOS!$D$2:$D$20000=A64)*(DATOS!$I$2:$I$20000=B64)*(DATOS!$K$2:$K$20000))/D64,"—")</f>
        <v>—</v>
      </c>
      <c r="F64" s="10" t="str" cm="1">
        <f t="array" ref="F64">IFERROR(_xlfn.STDEV.P(_xlfn._xlws.FILTER(DATOS!$K$2:$K$20000,(DATOS!$G$2:$G$20000=CONFIG_METADATA!$B$4)*(DATOS!$D$2:$D$20000=A64)*(DATOS!$I$2:$I$20000=B64))),"—")</f>
        <v>—</v>
      </c>
      <c r="G64" t="str" cm="1">
        <f t="array" ref="G64">IFERROR(_xlfn.MODE.SNGL(_xlfn._xlws.FILTER(DATOS!$K$2:$K$20000,(DATOS!$G$2:$G$20000=CONFIG_METADATA!$B$4)*(DATOS!$D$2:$D$20000=A64)*(DATOS!$I$2:$I$20000=B64))),"—")</f>
        <v>—</v>
      </c>
      <c r="H64" s="11" t="str">
        <f>IFERROR(SUMPRODUCT((DATOS!$G$2:$G$20000=CONFIG_METADATA!$B$4)*(DATOS!$D$2:$D$20000=A64)*(DATOS!$I$2:$I$20000=B64)*(DATOS!$L$2:$L$20000="S"))/D64,"—")</f>
        <v>—</v>
      </c>
      <c r="I64" s="11" t="str">
        <f>IFERROR(SUMPRODUCT((DATOS!$G$2:$G$20000=CONFIG_METADATA!$B$4)*(DATOS!$D$2:$D$20000=A64)*(DATOS!$I$2:$I$20000=B64)*(DATOS!$L$2:$L$20000="N"))/D64,"—")</f>
        <v>—</v>
      </c>
      <c r="J64" t="str" cm="1">
        <f t="array" ref="J64">IFERROR(_xlfn.MODE.SNGL(_xlfn._xlws.FILTER(DATOS!$K$2:$K$20000,(DATOS!$G$2:$G$20000=CONFIG_METADATA!$B$4)*(DATOS!$D$2:$D$20000=A64)*(DATOS!$I$2:$I$20000=B64)*(DATOS!$L$2:$L$20000="S"))),"—")</f>
        <v>—</v>
      </c>
      <c r="K64" t="str" cm="1">
        <f t="array" ref="K64">IFERROR(_xlfn.MODE.SNGL(_xlfn._xlws.FILTER(DATOS!$K$2:$K$20000,(DATOS!$G$2:$G$20000=CONFIG_METADATA!$B$4)*(DATOS!$D$2:$D$20000=A64)*(DATOS!$I$2:$I$20000=B64)*(DATOS!$L$2:$L$20000="N"))),"—")</f>
        <v>—</v>
      </c>
      <c r="L64">
        <f>SUMPRODUCT((DATOS!$G$2:$G$20000=CONFIG_METADATA!$B$4)*(DATOS!$D$2:$D$20000=A64)*(DATOS!$I$2:$I$20000=B64)*(DATOS!$K$2:$K$20000=1))</f>
        <v>0</v>
      </c>
      <c r="M64">
        <f>SUMPRODUCT((DATOS!$G$2:$G$20000=CONFIG_METADATA!$B$4)*(DATOS!$D$2:$D$20000=A64)*(DATOS!$I$2:$I$20000=B64)*(DATOS!$K$2:$K$20000=2))</f>
        <v>0</v>
      </c>
      <c r="N64">
        <f>SUMPRODUCT((DATOS!$G$2:$G$20000=CONFIG_METADATA!$B$4)*(DATOS!$D$2:$D$20000=A64)*(DATOS!$I$2:$I$20000=B64)*(DATOS!$K$2:$K$20000=3))</f>
        <v>0</v>
      </c>
      <c r="O64">
        <f>SUMPRODUCT((DATOS!$G$2:$G$20000=CONFIG_METADATA!$B$4)*(DATOS!$D$2:$D$20000=A64)*(DATOS!$I$2:$I$20000=B64)*(DATOS!$K$2:$K$20000=4))</f>
        <v>0</v>
      </c>
      <c r="P64">
        <f>SUMPRODUCT((DATOS!$G$2:$G$20000=CONFIG_METADATA!$B$4)*(DATOS!$D$2:$D$20000=A64)*(DATOS!$I$2:$I$20000=B64)*(DATOS!$K$2:$K$20000=5))</f>
        <v>0</v>
      </c>
      <c r="Q64">
        <f>SUMPRODUCT((DATOS!$G$2:$G$20000=CONFIG_METADATA!$B$4)*(DATOS!$D$2:$D$20000=A64)*(DATOS!$I$2:$I$20000=B64)*(DATOS!$K$2:$K$20000=6))</f>
        <v>0</v>
      </c>
      <c r="R64">
        <f>SUMPRODUCT((DATOS!$G$2:$G$20000=CONFIG_METADATA!$B$4)*(DATOS!$D$2:$D$20000=A64)*(DATOS!$I$2:$I$20000=B64)*(DATOS!$K$2:$K$20000=7))</f>
        <v>0</v>
      </c>
      <c r="S64">
        <f>SUMPRODUCT((DATOS!$G$2:$G$20000=CONFIG_METADATA!$B$4)*(DATOS!$D$2:$D$20000=A64)*(DATOS!$I$2:$I$20000=B64)*(DATOS!$K$2:$K$20000=8))</f>
        <v>0</v>
      </c>
      <c r="T64">
        <f>SUMPRODUCT((DATOS!$G$2:$G$20000=CONFIG_METADATA!$B$4)*(DATOS!$D$2:$D$20000=A64)*(DATOS!$I$2:$I$20000=B64)*(DATOS!$K$2:$K$20000=9))</f>
        <v>0</v>
      </c>
      <c r="U64">
        <f>SUMPRODUCT((DATOS!$G$2:$G$20000=CONFIG_METADATA!$B$4)*(DATOS!$D$2:$D$20000=A64)*(DATOS!$I$2:$I$20000=B64)*(DATOS!$K$2:$K$20000=10))</f>
        <v>0</v>
      </c>
    </row>
    <row r="65" spans="1:21" x14ac:dyDescent="0.2">
      <c r="A65" t="s">
        <v>78</v>
      </c>
      <c r="B65" t="s">
        <v>53</v>
      </c>
      <c r="C65" t="s">
        <v>21</v>
      </c>
      <c r="D65">
        <f>SUMPRODUCT((DATOS!$G$2:$G$20000=CONFIG_METADATA!$B$4)*(DATOS!$D$2:$D$20000=A65)*(DATOS!$I$2:$I$20000=B65))</f>
        <v>0</v>
      </c>
      <c r="E65" s="10" t="str">
        <f>IFERROR(SUMPRODUCT((DATOS!$G$2:$G$20000=CONFIG_METADATA!$B$4)*(DATOS!$D$2:$D$20000=A65)*(DATOS!$I$2:$I$20000=B65)*(DATOS!$K$2:$K$20000))/D65,"—")</f>
        <v>—</v>
      </c>
      <c r="F65" s="10" t="str" cm="1">
        <f t="array" ref="F65">IFERROR(_xlfn.STDEV.P(_xlfn._xlws.FILTER(DATOS!$K$2:$K$20000,(DATOS!$G$2:$G$20000=CONFIG_METADATA!$B$4)*(DATOS!$D$2:$D$20000=A65)*(DATOS!$I$2:$I$20000=B65))),"—")</f>
        <v>—</v>
      </c>
      <c r="G65" t="str" cm="1">
        <f t="array" ref="G65">IFERROR(_xlfn.MODE.SNGL(_xlfn._xlws.FILTER(DATOS!$K$2:$K$20000,(DATOS!$G$2:$G$20000=CONFIG_METADATA!$B$4)*(DATOS!$D$2:$D$20000=A65)*(DATOS!$I$2:$I$20000=B65))),"—")</f>
        <v>—</v>
      </c>
      <c r="H65" s="11" t="str">
        <f>IFERROR(SUMPRODUCT((DATOS!$G$2:$G$20000=CONFIG_METADATA!$B$4)*(DATOS!$D$2:$D$20000=A65)*(DATOS!$I$2:$I$20000=B65)*(DATOS!$L$2:$L$20000="S"))/D65,"—")</f>
        <v>—</v>
      </c>
      <c r="I65" s="11" t="str">
        <f>IFERROR(SUMPRODUCT((DATOS!$G$2:$G$20000=CONFIG_METADATA!$B$4)*(DATOS!$D$2:$D$20000=A65)*(DATOS!$I$2:$I$20000=B65)*(DATOS!$L$2:$L$20000="N"))/D65,"—")</f>
        <v>—</v>
      </c>
      <c r="J65" t="str" cm="1">
        <f t="array" ref="J65">IFERROR(_xlfn.MODE.SNGL(_xlfn._xlws.FILTER(DATOS!$K$2:$K$20000,(DATOS!$G$2:$G$20000=CONFIG_METADATA!$B$4)*(DATOS!$D$2:$D$20000=A65)*(DATOS!$I$2:$I$20000=B65)*(DATOS!$L$2:$L$20000="S"))),"—")</f>
        <v>—</v>
      </c>
      <c r="K65" t="str" cm="1">
        <f t="array" ref="K65">IFERROR(_xlfn.MODE.SNGL(_xlfn._xlws.FILTER(DATOS!$K$2:$K$20000,(DATOS!$G$2:$G$20000=CONFIG_METADATA!$B$4)*(DATOS!$D$2:$D$20000=A65)*(DATOS!$I$2:$I$20000=B65)*(DATOS!$L$2:$L$20000="N"))),"—")</f>
        <v>—</v>
      </c>
      <c r="L65">
        <f>SUMPRODUCT((DATOS!$G$2:$G$20000=CONFIG_METADATA!$B$4)*(DATOS!$D$2:$D$20000=A65)*(DATOS!$I$2:$I$20000=B65)*(DATOS!$K$2:$K$20000=1))</f>
        <v>0</v>
      </c>
      <c r="M65">
        <f>SUMPRODUCT((DATOS!$G$2:$G$20000=CONFIG_METADATA!$B$4)*(DATOS!$D$2:$D$20000=A65)*(DATOS!$I$2:$I$20000=B65)*(DATOS!$K$2:$K$20000=2))</f>
        <v>0</v>
      </c>
      <c r="N65">
        <f>SUMPRODUCT((DATOS!$G$2:$G$20000=CONFIG_METADATA!$B$4)*(DATOS!$D$2:$D$20000=A65)*(DATOS!$I$2:$I$20000=B65)*(DATOS!$K$2:$K$20000=3))</f>
        <v>0</v>
      </c>
      <c r="O65">
        <f>SUMPRODUCT((DATOS!$G$2:$G$20000=CONFIG_METADATA!$B$4)*(DATOS!$D$2:$D$20000=A65)*(DATOS!$I$2:$I$20000=B65)*(DATOS!$K$2:$K$20000=4))</f>
        <v>0</v>
      </c>
      <c r="P65">
        <f>SUMPRODUCT((DATOS!$G$2:$G$20000=CONFIG_METADATA!$B$4)*(DATOS!$D$2:$D$20000=A65)*(DATOS!$I$2:$I$20000=B65)*(DATOS!$K$2:$K$20000=5))</f>
        <v>0</v>
      </c>
      <c r="Q65">
        <f>SUMPRODUCT((DATOS!$G$2:$G$20000=CONFIG_METADATA!$B$4)*(DATOS!$D$2:$D$20000=A65)*(DATOS!$I$2:$I$20000=B65)*(DATOS!$K$2:$K$20000=6))</f>
        <v>0</v>
      </c>
      <c r="R65">
        <f>SUMPRODUCT((DATOS!$G$2:$G$20000=CONFIG_METADATA!$B$4)*(DATOS!$D$2:$D$20000=A65)*(DATOS!$I$2:$I$20000=B65)*(DATOS!$K$2:$K$20000=7))</f>
        <v>0</v>
      </c>
      <c r="S65">
        <f>SUMPRODUCT((DATOS!$G$2:$G$20000=CONFIG_METADATA!$B$4)*(DATOS!$D$2:$D$20000=A65)*(DATOS!$I$2:$I$20000=B65)*(DATOS!$K$2:$K$20000=8))</f>
        <v>0</v>
      </c>
      <c r="T65">
        <f>SUMPRODUCT((DATOS!$G$2:$G$20000=CONFIG_METADATA!$B$4)*(DATOS!$D$2:$D$20000=A65)*(DATOS!$I$2:$I$20000=B65)*(DATOS!$K$2:$K$20000=9))</f>
        <v>0</v>
      </c>
      <c r="U65">
        <f>SUMPRODUCT((DATOS!$G$2:$G$20000=CONFIG_METADATA!$B$4)*(DATOS!$D$2:$D$20000=A65)*(DATOS!$I$2:$I$20000=B65)*(DATOS!$K$2:$K$20000=10))</f>
        <v>0</v>
      </c>
    </row>
    <row r="66" spans="1:21" x14ac:dyDescent="0.2">
      <c r="A66" t="s">
        <v>78</v>
      </c>
      <c r="B66" t="s">
        <v>56</v>
      </c>
      <c r="C66" t="s">
        <v>21</v>
      </c>
      <c r="D66">
        <f>SUMPRODUCT((DATOS!$G$2:$G$20000=CONFIG_METADATA!$B$4)*(DATOS!$D$2:$D$20000=A66)*(DATOS!$I$2:$I$20000=B66))</f>
        <v>0</v>
      </c>
      <c r="E66" s="10" t="str">
        <f>IFERROR(SUMPRODUCT((DATOS!$G$2:$G$20000=CONFIG_METADATA!$B$4)*(DATOS!$D$2:$D$20000=A66)*(DATOS!$I$2:$I$20000=B66)*(DATOS!$K$2:$K$20000))/D66,"—")</f>
        <v>—</v>
      </c>
      <c r="F66" s="10" t="str" cm="1">
        <f t="array" ref="F66">IFERROR(_xlfn.STDEV.P(_xlfn._xlws.FILTER(DATOS!$K$2:$K$20000,(DATOS!$G$2:$G$20000=CONFIG_METADATA!$B$4)*(DATOS!$D$2:$D$20000=A66)*(DATOS!$I$2:$I$20000=B66))),"—")</f>
        <v>—</v>
      </c>
      <c r="G66" t="str" cm="1">
        <f t="array" ref="G66">IFERROR(_xlfn.MODE.SNGL(_xlfn._xlws.FILTER(DATOS!$K$2:$K$20000,(DATOS!$G$2:$G$20000=CONFIG_METADATA!$B$4)*(DATOS!$D$2:$D$20000=A66)*(DATOS!$I$2:$I$20000=B66))),"—")</f>
        <v>—</v>
      </c>
      <c r="H66" s="11" t="str">
        <f>IFERROR(SUMPRODUCT((DATOS!$G$2:$G$20000=CONFIG_METADATA!$B$4)*(DATOS!$D$2:$D$20000=A66)*(DATOS!$I$2:$I$20000=B66)*(DATOS!$L$2:$L$20000="S"))/D66,"—")</f>
        <v>—</v>
      </c>
      <c r="I66" s="11" t="str">
        <f>IFERROR(SUMPRODUCT((DATOS!$G$2:$G$20000=CONFIG_METADATA!$B$4)*(DATOS!$D$2:$D$20000=A66)*(DATOS!$I$2:$I$20000=B66)*(DATOS!$L$2:$L$20000="N"))/D66,"—")</f>
        <v>—</v>
      </c>
      <c r="J66" t="str" cm="1">
        <f t="array" ref="J66">IFERROR(_xlfn.MODE.SNGL(_xlfn._xlws.FILTER(DATOS!$K$2:$K$20000,(DATOS!$G$2:$G$20000=CONFIG_METADATA!$B$4)*(DATOS!$D$2:$D$20000=A66)*(DATOS!$I$2:$I$20000=B66)*(DATOS!$L$2:$L$20000="S"))),"—")</f>
        <v>—</v>
      </c>
      <c r="K66" t="str" cm="1">
        <f t="array" ref="K66">IFERROR(_xlfn.MODE.SNGL(_xlfn._xlws.FILTER(DATOS!$K$2:$K$20000,(DATOS!$G$2:$G$20000=CONFIG_METADATA!$B$4)*(DATOS!$D$2:$D$20000=A66)*(DATOS!$I$2:$I$20000=B66)*(DATOS!$L$2:$L$20000="N"))),"—")</f>
        <v>—</v>
      </c>
      <c r="L66">
        <f>SUMPRODUCT((DATOS!$G$2:$G$20000=CONFIG_METADATA!$B$4)*(DATOS!$D$2:$D$20000=A66)*(DATOS!$I$2:$I$20000=B66)*(DATOS!$K$2:$K$20000=1))</f>
        <v>0</v>
      </c>
      <c r="M66">
        <f>SUMPRODUCT((DATOS!$G$2:$G$20000=CONFIG_METADATA!$B$4)*(DATOS!$D$2:$D$20000=A66)*(DATOS!$I$2:$I$20000=B66)*(DATOS!$K$2:$K$20000=2))</f>
        <v>0</v>
      </c>
      <c r="N66">
        <f>SUMPRODUCT((DATOS!$G$2:$G$20000=CONFIG_METADATA!$B$4)*(DATOS!$D$2:$D$20000=A66)*(DATOS!$I$2:$I$20000=B66)*(DATOS!$K$2:$K$20000=3))</f>
        <v>0</v>
      </c>
      <c r="O66">
        <f>SUMPRODUCT((DATOS!$G$2:$G$20000=CONFIG_METADATA!$B$4)*(DATOS!$D$2:$D$20000=A66)*(DATOS!$I$2:$I$20000=B66)*(DATOS!$K$2:$K$20000=4))</f>
        <v>0</v>
      </c>
      <c r="P66">
        <f>SUMPRODUCT((DATOS!$G$2:$G$20000=CONFIG_METADATA!$B$4)*(DATOS!$D$2:$D$20000=A66)*(DATOS!$I$2:$I$20000=B66)*(DATOS!$K$2:$K$20000=5))</f>
        <v>0</v>
      </c>
      <c r="Q66">
        <f>SUMPRODUCT((DATOS!$G$2:$G$20000=CONFIG_METADATA!$B$4)*(DATOS!$D$2:$D$20000=A66)*(DATOS!$I$2:$I$20000=B66)*(DATOS!$K$2:$K$20000=6))</f>
        <v>0</v>
      </c>
      <c r="R66">
        <f>SUMPRODUCT((DATOS!$G$2:$G$20000=CONFIG_METADATA!$B$4)*(DATOS!$D$2:$D$20000=A66)*(DATOS!$I$2:$I$20000=B66)*(DATOS!$K$2:$K$20000=7))</f>
        <v>0</v>
      </c>
      <c r="S66">
        <f>SUMPRODUCT((DATOS!$G$2:$G$20000=CONFIG_METADATA!$B$4)*(DATOS!$D$2:$D$20000=A66)*(DATOS!$I$2:$I$20000=B66)*(DATOS!$K$2:$K$20000=8))</f>
        <v>0</v>
      </c>
      <c r="T66">
        <f>SUMPRODUCT((DATOS!$G$2:$G$20000=CONFIG_METADATA!$B$4)*(DATOS!$D$2:$D$20000=A66)*(DATOS!$I$2:$I$20000=B66)*(DATOS!$K$2:$K$20000=9))</f>
        <v>0</v>
      </c>
      <c r="U66">
        <f>SUMPRODUCT((DATOS!$G$2:$G$20000=CONFIG_METADATA!$B$4)*(DATOS!$D$2:$D$20000=A66)*(DATOS!$I$2:$I$20000=B66)*(DATOS!$K$2:$K$20000=10))</f>
        <v>0</v>
      </c>
    </row>
    <row r="67" spans="1:21" x14ac:dyDescent="0.2">
      <c r="A67" t="s">
        <v>78</v>
      </c>
      <c r="B67" t="s">
        <v>57</v>
      </c>
      <c r="C67" t="s">
        <v>21</v>
      </c>
      <c r="D67">
        <f>SUMPRODUCT((DATOS!$G$2:$G$20000=CONFIG_METADATA!$B$4)*(DATOS!$D$2:$D$20000=A67)*(DATOS!$I$2:$I$20000=B67))</f>
        <v>0</v>
      </c>
      <c r="E67" s="10" t="str">
        <f>IFERROR(SUMPRODUCT((DATOS!$G$2:$G$20000=CONFIG_METADATA!$B$4)*(DATOS!$D$2:$D$20000=A67)*(DATOS!$I$2:$I$20000=B67)*(DATOS!$K$2:$K$20000))/D67,"—")</f>
        <v>—</v>
      </c>
      <c r="F67" s="10" t="str" cm="1">
        <f t="array" ref="F67">IFERROR(_xlfn.STDEV.P(_xlfn._xlws.FILTER(DATOS!$K$2:$K$20000,(DATOS!$G$2:$G$20000=CONFIG_METADATA!$B$4)*(DATOS!$D$2:$D$20000=A67)*(DATOS!$I$2:$I$20000=B67))),"—")</f>
        <v>—</v>
      </c>
      <c r="G67" t="str" cm="1">
        <f t="array" ref="G67">IFERROR(_xlfn.MODE.SNGL(_xlfn._xlws.FILTER(DATOS!$K$2:$K$20000,(DATOS!$G$2:$G$20000=CONFIG_METADATA!$B$4)*(DATOS!$D$2:$D$20000=A67)*(DATOS!$I$2:$I$20000=B67))),"—")</f>
        <v>—</v>
      </c>
      <c r="H67" s="11" t="str">
        <f>IFERROR(SUMPRODUCT((DATOS!$G$2:$G$20000=CONFIG_METADATA!$B$4)*(DATOS!$D$2:$D$20000=A67)*(DATOS!$I$2:$I$20000=B67)*(DATOS!$L$2:$L$20000="S"))/D67,"—")</f>
        <v>—</v>
      </c>
      <c r="I67" s="11" t="str">
        <f>IFERROR(SUMPRODUCT((DATOS!$G$2:$G$20000=CONFIG_METADATA!$B$4)*(DATOS!$D$2:$D$20000=A67)*(DATOS!$I$2:$I$20000=B67)*(DATOS!$L$2:$L$20000="N"))/D67,"—")</f>
        <v>—</v>
      </c>
      <c r="J67" t="str" cm="1">
        <f t="array" ref="J67">IFERROR(_xlfn.MODE.SNGL(_xlfn._xlws.FILTER(DATOS!$K$2:$K$20000,(DATOS!$G$2:$G$20000=CONFIG_METADATA!$B$4)*(DATOS!$D$2:$D$20000=A67)*(DATOS!$I$2:$I$20000=B67)*(DATOS!$L$2:$L$20000="S"))),"—")</f>
        <v>—</v>
      </c>
      <c r="K67" t="str" cm="1">
        <f t="array" ref="K67">IFERROR(_xlfn.MODE.SNGL(_xlfn._xlws.FILTER(DATOS!$K$2:$K$20000,(DATOS!$G$2:$G$20000=CONFIG_METADATA!$B$4)*(DATOS!$D$2:$D$20000=A67)*(DATOS!$I$2:$I$20000=B67)*(DATOS!$L$2:$L$20000="N"))),"—")</f>
        <v>—</v>
      </c>
      <c r="L67">
        <f>SUMPRODUCT((DATOS!$G$2:$G$20000=CONFIG_METADATA!$B$4)*(DATOS!$D$2:$D$20000=A67)*(DATOS!$I$2:$I$20000=B67)*(DATOS!$K$2:$K$20000=1))</f>
        <v>0</v>
      </c>
      <c r="M67">
        <f>SUMPRODUCT((DATOS!$G$2:$G$20000=CONFIG_METADATA!$B$4)*(DATOS!$D$2:$D$20000=A67)*(DATOS!$I$2:$I$20000=B67)*(DATOS!$K$2:$K$20000=2))</f>
        <v>0</v>
      </c>
      <c r="N67">
        <f>SUMPRODUCT((DATOS!$G$2:$G$20000=CONFIG_METADATA!$B$4)*(DATOS!$D$2:$D$20000=A67)*(DATOS!$I$2:$I$20000=B67)*(DATOS!$K$2:$K$20000=3))</f>
        <v>0</v>
      </c>
      <c r="O67">
        <f>SUMPRODUCT((DATOS!$G$2:$G$20000=CONFIG_METADATA!$B$4)*(DATOS!$D$2:$D$20000=A67)*(DATOS!$I$2:$I$20000=B67)*(DATOS!$K$2:$K$20000=4))</f>
        <v>0</v>
      </c>
      <c r="P67">
        <f>SUMPRODUCT((DATOS!$G$2:$G$20000=CONFIG_METADATA!$B$4)*(DATOS!$D$2:$D$20000=A67)*(DATOS!$I$2:$I$20000=B67)*(DATOS!$K$2:$K$20000=5))</f>
        <v>0</v>
      </c>
      <c r="Q67">
        <f>SUMPRODUCT((DATOS!$G$2:$G$20000=CONFIG_METADATA!$B$4)*(DATOS!$D$2:$D$20000=A67)*(DATOS!$I$2:$I$20000=B67)*(DATOS!$K$2:$K$20000=6))</f>
        <v>0</v>
      </c>
      <c r="R67">
        <f>SUMPRODUCT((DATOS!$G$2:$G$20000=CONFIG_METADATA!$B$4)*(DATOS!$D$2:$D$20000=A67)*(DATOS!$I$2:$I$20000=B67)*(DATOS!$K$2:$K$20000=7))</f>
        <v>0</v>
      </c>
      <c r="S67">
        <f>SUMPRODUCT((DATOS!$G$2:$G$20000=CONFIG_METADATA!$B$4)*(DATOS!$D$2:$D$20000=A67)*(DATOS!$I$2:$I$20000=B67)*(DATOS!$K$2:$K$20000=8))</f>
        <v>0</v>
      </c>
      <c r="T67">
        <f>SUMPRODUCT((DATOS!$G$2:$G$20000=CONFIG_METADATA!$B$4)*(DATOS!$D$2:$D$20000=A67)*(DATOS!$I$2:$I$20000=B67)*(DATOS!$K$2:$K$20000=9))</f>
        <v>0</v>
      </c>
      <c r="U67">
        <f>SUMPRODUCT((DATOS!$G$2:$G$20000=CONFIG_METADATA!$B$4)*(DATOS!$D$2:$D$20000=A67)*(DATOS!$I$2:$I$20000=B67)*(DATOS!$K$2:$K$20000=10))</f>
        <v>0</v>
      </c>
    </row>
    <row r="68" spans="1:21" x14ac:dyDescent="0.2">
      <c r="A68" t="s">
        <v>78</v>
      </c>
      <c r="B68" t="s">
        <v>24</v>
      </c>
      <c r="C68" t="s">
        <v>25</v>
      </c>
      <c r="D68">
        <f>SUMPRODUCT((DATOS!$G$2:$G$20000=CONFIG_METADATA!$B$4)*(DATOS!$D$2:$D$20000=A68)*(DATOS!$I$2:$I$20000=B68))</f>
        <v>0</v>
      </c>
      <c r="E68" s="10" t="str">
        <f>IFERROR(SUMPRODUCT((DATOS!$G$2:$G$20000=CONFIG_METADATA!$B$4)*(DATOS!$D$2:$D$20000=A68)*(DATOS!$I$2:$I$20000=B68)*(DATOS!$K$2:$K$20000))/D68,"—")</f>
        <v>—</v>
      </c>
      <c r="F68" s="10" t="str" cm="1">
        <f t="array" ref="F68">IFERROR(_xlfn.STDEV.P(_xlfn._xlws.FILTER(DATOS!$K$2:$K$20000,(DATOS!$G$2:$G$20000=CONFIG_METADATA!$B$4)*(DATOS!$D$2:$D$20000=A68)*(DATOS!$I$2:$I$20000=B68))),"—")</f>
        <v>—</v>
      </c>
      <c r="G68" t="str" cm="1">
        <f t="array" ref="G68">IFERROR(_xlfn.MODE.SNGL(_xlfn._xlws.FILTER(DATOS!$K$2:$K$20000,(DATOS!$G$2:$G$20000=CONFIG_METADATA!$B$4)*(DATOS!$D$2:$D$20000=A68)*(DATOS!$I$2:$I$20000=B68))),"—")</f>
        <v>—</v>
      </c>
      <c r="H68" s="11" t="str">
        <f>IFERROR(SUMPRODUCT((DATOS!$G$2:$G$20000=CONFIG_METADATA!$B$4)*(DATOS!$D$2:$D$20000=A68)*(DATOS!$I$2:$I$20000=B68)*(DATOS!$L$2:$L$20000="S"))/D68,"—")</f>
        <v>—</v>
      </c>
      <c r="I68" s="11" t="str">
        <f>IFERROR(SUMPRODUCT((DATOS!$G$2:$G$20000=CONFIG_METADATA!$B$4)*(DATOS!$D$2:$D$20000=A68)*(DATOS!$I$2:$I$20000=B68)*(DATOS!$L$2:$L$20000="N"))/D68,"—")</f>
        <v>—</v>
      </c>
      <c r="J68" t="str" cm="1">
        <f t="array" ref="J68">IFERROR(_xlfn.MODE.SNGL(_xlfn._xlws.FILTER(DATOS!$K$2:$K$20000,(DATOS!$G$2:$G$20000=CONFIG_METADATA!$B$4)*(DATOS!$D$2:$D$20000=A68)*(DATOS!$I$2:$I$20000=B68)*(DATOS!$L$2:$L$20000="S"))),"—")</f>
        <v>—</v>
      </c>
      <c r="K68" t="str" cm="1">
        <f t="array" ref="K68">IFERROR(_xlfn.MODE.SNGL(_xlfn._xlws.FILTER(DATOS!$K$2:$K$20000,(DATOS!$G$2:$G$20000=CONFIG_METADATA!$B$4)*(DATOS!$D$2:$D$20000=A68)*(DATOS!$I$2:$I$20000=B68)*(DATOS!$L$2:$L$20000="N"))),"—")</f>
        <v>—</v>
      </c>
      <c r="L68">
        <f>SUMPRODUCT((DATOS!$G$2:$G$20000=CONFIG_METADATA!$B$4)*(DATOS!$D$2:$D$20000=A68)*(DATOS!$I$2:$I$20000=B68)*(DATOS!$K$2:$K$20000=1))</f>
        <v>0</v>
      </c>
      <c r="M68">
        <f>SUMPRODUCT((DATOS!$G$2:$G$20000=CONFIG_METADATA!$B$4)*(DATOS!$D$2:$D$20000=A68)*(DATOS!$I$2:$I$20000=B68)*(DATOS!$K$2:$K$20000=2))</f>
        <v>0</v>
      </c>
      <c r="N68">
        <f>SUMPRODUCT((DATOS!$G$2:$G$20000=CONFIG_METADATA!$B$4)*(DATOS!$D$2:$D$20000=A68)*(DATOS!$I$2:$I$20000=B68)*(DATOS!$K$2:$K$20000=3))</f>
        <v>0</v>
      </c>
      <c r="O68">
        <f>SUMPRODUCT((DATOS!$G$2:$G$20000=CONFIG_METADATA!$B$4)*(DATOS!$D$2:$D$20000=A68)*(DATOS!$I$2:$I$20000=B68)*(DATOS!$K$2:$K$20000=4))</f>
        <v>0</v>
      </c>
      <c r="P68">
        <f>SUMPRODUCT((DATOS!$G$2:$G$20000=CONFIG_METADATA!$B$4)*(DATOS!$D$2:$D$20000=A68)*(DATOS!$I$2:$I$20000=B68)*(DATOS!$K$2:$K$20000=5))</f>
        <v>0</v>
      </c>
      <c r="Q68">
        <f>SUMPRODUCT((DATOS!$G$2:$G$20000=CONFIG_METADATA!$B$4)*(DATOS!$D$2:$D$20000=A68)*(DATOS!$I$2:$I$20000=B68)*(DATOS!$K$2:$K$20000=6))</f>
        <v>0</v>
      </c>
      <c r="R68">
        <f>SUMPRODUCT((DATOS!$G$2:$G$20000=CONFIG_METADATA!$B$4)*(DATOS!$D$2:$D$20000=A68)*(DATOS!$I$2:$I$20000=B68)*(DATOS!$K$2:$K$20000=7))</f>
        <v>0</v>
      </c>
      <c r="S68">
        <f>SUMPRODUCT((DATOS!$G$2:$G$20000=CONFIG_METADATA!$B$4)*(DATOS!$D$2:$D$20000=A68)*(DATOS!$I$2:$I$20000=B68)*(DATOS!$K$2:$K$20000=8))</f>
        <v>0</v>
      </c>
      <c r="T68">
        <f>SUMPRODUCT((DATOS!$G$2:$G$20000=CONFIG_METADATA!$B$4)*(DATOS!$D$2:$D$20000=A68)*(DATOS!$I$2:$I$20000=B68)*(DATOS!$K$2:$K$20000=9))</f>
        <v>0</v>
      </c>
      <c r="U68">
        <f>SUMPRODUCT((DATOS!$G$2:$G$20000=CONFIG_METADATA!$B$4)*(DATOS!$D$2:$D$20000=A68)*(DATOS!$I$2:$I$20000=B68)*(DATOS!$K$2:$K$20000=10))</f>
        <v>0</v>
      </c>
    </row>
    <row r="69" spans="1:21" x14ac:dyDescent="0.2">
      <c r="A69" t="s">
        <v>78</v>
      </c>
      <c r="B69" t="s">
        <v>27</v>
      </c>
      <c r="C69" t="s">
        <v>25</v>
      </c>
      <c r="D69">
        <f>SUMPRODUCT((DATOS!$G$2:$G$20000=CONFIG_METADATA!$B$4)*(DATOS!$D$2:$D$20000=A69)*(DATOS!$I$2:$I$20000=B69))</f>
        <v>0</v>
      </c>
      <c r="E69" s="10" t="str">
        <f>IFERROR(SUMPRODUCT((DATOS!$G$2:$G$20000=CONFIG_METADATA!$B$4)*(DATOS!$D$2:$D$20000=A69)*(DATOS!$I$2:$I$20000=B69)*(DATOS!$K$2:$K$20000))/D69,"—")</f>
        <v>—</v>
      </c>
      <c r="F69" s="10" t="str" cm="1">
        <f t="array" ref="F69">IFERROR(_xlfn.STDEV.P(_xlfn._xlws.FILTER(DATOS!$K$2:$K$20000,(DATOS!$G$2:$G$20000=CONFIG_METADATA!$B$4)*(DATOS!$D$2:$D$20000=A69)*(DATOS!$I$2:$I$20000=B69))),"—")</f>
        <v>—</v>
      </c>
      <c r="G69" t="str" cm="1">
        <f t="array" ref="G69">IFERROR(_xlfn.MODE.SNGL(_xlfn._xlws.FILTER(DATOS!$K$2:$K$20000,(DATOS!$G$2:$G$20000=CONFIG_METADATA!$B$4)*(DATOS!$D$2:$D$20000=A69)*(DATOS!$I$2:$I$20000=B69))),"—")</f>
        <v>—</v>
      </c>
      <c r="H69" s="11" t="str">
        <f>IFERROR(SUMPRODUCT((DATOS!$G$2:$G$20000=CONFIG_METADATA!$B$4)*(DATOS!$D$2:$D$20000=A69)*(DATOS!$I$2:$I$20000=B69)*(DATOS!$L$2:$L$20000="S"))/D69,"—")</f>
        <v>—</v>
      </c>
      <c r="I69" s="11" t="str">
        <f>IFERROR(SUMPRODUCT((DATOS!$G$2:$G$20000=CONFIG_METADATA!$B$4)*(DATOS!$D$2:$D$20000=A69)*(DATOS!$I$2:$I$20000=B69)*(DATOS!$L$2:$L$20000="N"))/D69,"—")</f>
        <v>—</v>
      </c>
      <c r="J69" t="str" cm="1">
        <f t="array" ref="J69">IFERROR(_xlfn.MODE.SNGL(_xlfn._xlws.FILTER(DATOS!$K$2:$K$20000,(DATOS!$G$2:$G$20000=CONFIG_METADATA!$B$4)*(DATOS!$D$2:$D$20000=A69)*(DATOS!$I$2:$I$20000=B69)*(DATOS!$L$2:$L$20000="S"))),"—")</f>
        <v>—</v>
      </c>
      <c r="K69" t="str" cm="1">
        <f t="array" ref="K69">IFERROR(_xlfn.MODE.SNGL(_xlfn._xlws.FILTER(DATOS!$K$2:$K$20000,(DATOS!$G$2:$G$20000=CONFIG_METADATA!$B$4)*(DATOS!$D$2:$D$20000=A69)*(DATOS!$I$2:$I$20000=B69)*(DATOS!$L$2:$L$20000="N"))),"—")</f>
        <v>—</v>
      </c>
      <c r="L69">
        <f>SUMPRODUCT((DATOS!$G$2:$G$20000=CONFIG_METADATA!$B$4)*(DATOS!$D$2:$D$20000=A69)*(DATOS!$I$2:$I$20000=B69)*(DATOS!$K$2:$K$20000=1))</f>
        <v>0</v>
      </c>
      <c r="M69">
        <f>SUMPRODUCT((DATOS!$G$2:$G$20000=CONFIG_METADATA!$B$4)*(DATOS!$D$2:$D$20000=A69)*(DATOS!$I$2:$I$20000=B69)*(DATOS!$K$2:$K$20000=2))</f>
        <v>0</v>
      </c>
      <c r="N69">
        <f>SUMPRODUCT((DATOS!$G$2:$G$20000=CONFIG_METADATA!$B$4)*(DATOS!$D$2:$D$20000=A69)*(DATOS!$I$2:$I$20000=B69)*(DATOS!$K$2:$K$20000=3))</f>
        <v>0</v>
      </c>
      <c r="O69">
        <f>SUMPRODUCT((DATOS!$G$2:$G$20000=CONFIG_METADATA!$B$4)*(DATOS!$D$2:$D$20000=A69)*(DATOS!$I$2:$I$20000=B69)*(DATOS!$K$2:$K$20000=4))</f>
        <v>0</v>
      </c>
      <c r="P69">
        <f>SUMPRODUCT((DATOS!$G$2:$G$20000=CONFIG_METADATA!$B$4)*(DATOS!$D$2:$D$20000=A69)*(DATOS!$I$2:$I$20000=B69)*(DATOS!$K$2:$K$20000=5))</f>
        <v>0</v>
      </c>
      <c r="Q69">
        <f>SUMPRODUCT((DATOS!$G$2:$G$20000=CONFIG_METADATA!$B$4)*(DATOS!$D$2:$D$20000=A69)*(DATOS!$I$2:$I$20000=B69)*(DATOS!$K$2:$K$20000=6))</f>
        <v>0</v>
      </c>
      <c r="R69">
        <f>SUMPRODUCT((DATOS!$G$2:$G$20000=CONFIG_METADATA!$B$4)*(DATOS!$D$2:$D$20000=A69)*(DATOS!$I$2:$I$20000=B69)*(DATOS!$K$2:$K$20000=7))</f>
        <v>0</v>
      </c>
      <c r="S69">
        <f>SUMPRODUCT((DATOS!$G$2:$G$20000=CONFIG_METADATA!$B$4)*(DATOS!$D$2:$D$20000=A69)*(DATOS!$I$2:$I$20000=B69)*(DATOS!$K$2:$K$20000=8))</f>
        <v>0</v>
      </c>
      <c r="T69">
        <f>SUMPRODUCT((DATOS!$G$2:$G$20000=CONFIG_METADATA!$B$4)*(DATOS!$D$2:$D$20000=A69)*(DATOS!$I$2:$I$20000=B69)*(DATOS!$K$2:$K$20000=9))</f>
        <v>0</v>
      </c>
      <c r="U69">
        <f>SUMPRODUCT((DATOS!$G$2:$G$20000=CONFIG_METADATA!$B$4)*(DATOS!$D$2:$D$20000=A69)*(DATOS!$I$2:$I$20000=B69)*(DATOS!$K$2:$K$20000=10))</f>
        <v>0</v>
      </c>
    </row>
    <row r="70" spans="1:21" x14ac:dyDescent="0.2">
      <c r="A70" t="s">
        <v>78</v>
      </c>
      <c r="B70" t="s">
        <v>28</v>
      </c>
      <c r="C70" t="s">
        <v>25</v>
      </c>
      <c r="D70">
        <f>SUMPRODUCT((DATOS!$G$2:$G$20000=CONFIG_METADATA!$B$4)*(DATOS!$D$2:$D$20000=A70)*(DATOS!$I$2:$I$20000=B70))</f>
        <v>0</v>
      </c>
      <c r="E70" s="10" t="str">
        <f>IFERROR(SUMPRODUCT((DATOS!$G$2:$G$20000=CONFIG_METADATA!$B$4)*(DATOS!$D$2:$D$20000=A70)*(DATOS!$I$2:$I$20000=B70)*(DATOS!$K$2:$K$20000))/D70,"—")</f>
        <v>—</v>
      </c>
      <c r="F70" s="10" t="str" cm="1">
        <f t="array" ref="F70">IFERROR(_xlfn.STDEV.P(_xlfn._xlws.FILTER(DATOS!$K$2:$K$20000,(DATOS!$G$2:$G$20000=CONFIG_METADATA!$B$4)*(DATOS!$D$2:$D$20000=A70)*(DATOS!$I$2:$I$20000=B70))),"—")</f>
        <v>—</v>
      </c>
      <c r="G70" t="str" cm="1">
        <f t="array" ref="G70">IFERROR(_xlfn.MODE.SNGL(_xlfn._xlws.FILTER(DATOS!$K$2:$K$20000,(DATOS!$G$2:$G$20000=CONFIG_METADATA!$B$4)*(DATOS!$D$2:$D$20000=A70)*(DATOS!$I$2:$I$20000=B70))),"—")</f>
        <v>—</v>
      </c>
      <c r="H70" s="11" t="str">
        <f>IFERROR(SUMPRODUCT((DATOS!$G$2:$G$20000=CONFIG_METADATA!$B$4)*(DATOS!$D$2:$D$20000=A70)*(DATOS!$I$2:$I$20000=B70)*(DATOS!$L$2:$L$20000="S"))/D70,"—")</f>
        <v>—</v>
      </c>
      <c r="I70" s="11" t="str">
        <f>IFERROR(SUMPRODUCT((DATOS!$G$2:$G$20000=CONFIG_METADATA!$B$4)*(DATOS!$D$2:$D$20000=A70)*(DATOS!$I$2:$I$20000=B70)*(DATOS!$L$2:$L$20000="N"))/D70,"—")</f>
        <v>—</v>
      </c>
      <c r="J70" t="str" cm="1">
        <f t="array" ref="J70">IFERROR(_xlfn.MODE.SNGL(_xlfn._xlws.FILTER(DATOS!$K$2:$K$20000,(DATOS!$G$2:$G$20000=CONFIG_METADATA!$B$4)*(DATOS!$D$2:$D$20000=A70)*(DATOS!$I$2:$I$20000=B70)*(DATOS!$L$2:$L$20000="S"))),"—")</f>
        <v>—</v>
      </c>
      <c r="K70" t="str" cm="1">
        <f t="array" ref="K70">IFERROR(_xlfn.MODE.SNGL(_xlfn._xlws.FILTER(DATOS!$K$2:$K$20000,(DATOS!$G$2:$G$20000=CONFIG_METADATA!$B$4)*(DATOS!$D$2:$D$20000=A70)*(DATOS!$I$2:$I$20000=B70)*(DATOS!$L$2:$L$20000="N"))),"—")</f>
        <v>—</v>
      </c>
      <c r="L70">
        <f>SUMPRODUCT((DATOS!$G$2:$G$20000=CONFIG_METADATA!$B$4)*(DATOS!$D$2:$D$20000=A70)*(DATOS!$I$2:$I$20000=B70)*(DATOS!$K$2:$K$20000=1))</f>
        <v>0</v>
      </c>
      <c r="M70">
        <f>SUMPRODUCT((DATOS!$G$2:$G$20000=CONFIG_METADATA!$B$4)*(DATOS!$D$2:$D$20000=A70)*(DATOS!$I$2:$I$20000=B70)*(DATOS!$K$2:$K$20000=2))</f>
        <v>0</v>
      </c>
      <c r="N70">
        <f>SUMPRODUCT((DATOS!$G$2:$G$20000=CONFIG_METADATA!$B$4)*(DATOS!$D$2:$D$20000=A70)*(DATOS!$I$2:$I$20000=B70)*(DATOS!$K$2:$K$20000=3))</f>
        <v>0</v>
      </c>
      <c r="O70">
        <f>SUMPRODUCT((DATOS!$G$2:$G$20000=CONFIG_METADATA!$B$4)*(DATOS!$D$2:$D$20000=A70)*(DATOS!$I$2:$I$20000=B70)*(DATOS!$K$2:$K$20000=4))</f>
        <v>0</v>
      </c>
      <c r="P70">
        <f>SUMPRODUCT((DATOS!$G$2:$G$20000=CONFIG_METADATA!$B$4)*(DATOS!$D$2:$D$20000=A70)*(DATOS!$I$2:$I$20000=B70)*(DATOS!$K$2:$K$20000=5))</f>
        <v>0</v>
      </c>
      <c r="Q70">
        <f>SUMPRODUCT((DATOS!$G$2:$G$20000=CONFIG_METADATA!$B$4)*(DATOS!$D$2:$D$20000=A70)*(DATOS!$I$2:$I$20000=B70)*(DATOS!$K$2:$K$20000=6))</f>
        <v>0</v>
      </c>
      <c r="R70">
        <f>SUMPRODUCT((DATOS!$G$2:$G$20000=CONFIG_METADATA!$B$4)*(DATOS!$D$2:$D$20000=A70)*(DATOS!$I$2:$I$20000=B70)*(DATOS!$K$2:$K$20000=7))</f>
        <v>0</v>
      </c>
      <c r="S70">
        <f>SUMPRODUCT((DATOS!$G$2:$G$20000=CONFIG_METADATA!$B$4)*(DATOS!$D$2:$D$20000=A70)*(DATOS!$I$2:$I$20000=B70)*(DATOS!$K$2:$K$20000=8))</f>
        <v>0</v>
      </c>
      <c r="T70">
        <f>SUMPRODUCT((DATOS!$G$2:$G$20000=CONFIG_METADATA!$B$4)*(DATOS!$D$2:$D$20000=A70)*(DATOS!$I$2:$I$20000=B70)*(DATOS!$K$2:$K$20000=9))</f>
        <v>0</v>
      </c>
      <c r="U70">
        <f>SUMPRODUCT((DATOS!$G$2:$G$20000=CONFIG_METADATA!$B$4)*(DATOS!$D$2:$D$20000=A70)*(DATOS!$I$2:$I$20000=B70)*(DATOS!$K$2:$K$20000=10))</f>
        <v>0</v>
      </c>
    </row>
    <row r="71" spans="1:21" x14ac:dyDescent="0.2">
      <c r="A71" t="s">
        <v>78</v>
      </c>
      <c r="B71" t="s">
        <v>30</v>
      </c>
      <c r="C71" t="s">
        <v>25</v>
      </c>
      <c r="D71">
        <f>SUMPRODUCT((DATOS!$G$2:$G$20000=CONFIG_METADATA!$B$4)*(DATOS!$D$2:$D$20000=A71)*(DATOS!$I$2:$I$20000=B71))</f>
        <v>0</v>
      </c>
      <c r="E71" s="10" t="str">
        <f>IFERROR(SUMPRODUCT((DATOS!$G$2:$G$20000=CONFIG_METADATA!$B$4)*(DATOS!$D$2:$D$20000=A71)*(DATOS!$I$2:$I$20000=B71)*(DATOS!$K$2:$K$20000))/D71,"—")</f>
        <v>—</v>
      </c>
      <c r="F71" s="10" t="str" cm="1">
        <f t="array" ref="F71">IFERROR(_xlfn.STDEV.P(_xlfn._xlws.FILTER(DATOS!$K$2:$K$20000,(DATOS!$G$2:$G$20000=CONFIG_METADATA!$B$4)*(DATOS!$D$2:$D$20000=A71)*(DATOS!$I$2:$I$20000=B71))),"—")</f>
        <v>—</v>
      </c>
      <c r="G71" t="str" cm="1">
        <f t="array" ref="G71">IFERROR(_xlfn.MODE.SNGL(_xlfn._xlws.FILTER(DATOS!$K$2:$K$20000,(DATOS!$G$2:$G$20000=CONFIG_METADATA!$B$4)*(DATOS!$D$2:$D$20000=A71)*(DATOS!$I$2:$I$20000=B71))),"—")</f>
        <v>—</v>
      </c>
      <c r="H71" s="11" t="str">
        <f>IFERROR(SUMPRODUCT((DATOS!$G$2:$G$20000=CONFIG_METADATA!$B$4)*(DATOS!$D$2:$D$20000=A71)*(DATOS!$I$2:$I$20000=B71)*(DATOS!$L$2:$L$20000="S"))/D71,"—")</f>
        <v>—</v>
      </c>
      <c r="I71" s="11" t="str">
        <f>IFERROR(SUMPRODUCT((DATOS!$G$2:$G$20000=CONFIG_METADATA!$B$4)*(DATOS!$D$2:$D$20000=A71)*(DATOS!$I$2:$I$20000=B71)*(DATOS!$L$2:$L$20000="N"))/D71,"—")</f>
        <v>—</v>
      </c>
      <c r="J71" t="str" cm="1">
        <f t="array" ref="J71">IFERROR(_xlfn.MODE.SNGL(_xlfn._xlws.FILTER(DATOS!$K$2:$K$20000,(DATOS!$G$2:$G$20000=CONFIG_METADATA!$B$4)*(DATOS!$D$2:$D$20000=A71)*(DATOS!$I$2:$I$20000=B71)*(DATOS!$L$2:$L$20000="S"))),"—")</f>
        <v>—</v>
      </c>
      <c r="K71" t="str" cm="1">
        <f t="array" ref="K71">IFERROR(_xlfn.MODE.SNGL(_xlfn._xlws.FILTER(DATOS!$K$2:$K$20000,(DATOS!$G$2:$G$20000=CONFIG_METADATA!$B$4)*(DATOS!$D$2:$D$20000=A71)*(DATOS!$I$2:$I$20000=B71)*(DATOS!$L$2:$L$20000="N"))),"—")</f>
        <v>—</v>
      </c>
      <c r="L71">
        <f>SUMPRODUCT((DATOS!$G$2:$G$20000=CONFIG_METADATA!$B$4)*(DATOS!$D$2:$D$20000=A71)*(DATOS!$I$2:$I$20000=B71)*(DATOS!$K$2:$K$20000=1))</f>
        <v>0</v>
      </c>
      <c r="M71">
        <f>SUMPRODUCT((DATOS!$G$2:$G$20000=CONFIG_METADATA!$B$4)*(DATOS!$D$2:$D$20000=A71)*(DATOS!$I$2:$I$20000=B71)*(DATOS!$K$2:$K$20000=2))</f>
        <v>0</v>
      </c>
      <c r="N71">
        <f>SUMPRODUCT((DATOS!$G$2:$G$20000=CONFIG_METADATA!$B$4)*(DATOS!$D$2:$D$20000=A71)*(DATOS!$I$2:$I$20000=B71)*(DATOS!$K$2:$K$20000=3))</f>
        <v>0</v>
      </c>
      <c r="O71">
        <f>SUMPRODUCT((DATOS!$G$2:$G$20000=CONFIG_METADATA!$B$4)*(DATOS!$D$2:$D$20000=A71)*(DATOS!$I$2:$I$20000=B71)*(DATOS!$K$2:$K$20000=4))</f>
        <v>0</v>
      </c>
      <c r="P71">
        <f>SUMPRODUCT((DATOS!$G$2:$G$20000=CONFIG_METADATA!$B$4)*(DATOS!$D$2:$D$20000=A71)*(DATOS!$I$2:$I$20000=B71)*(DATOS!$K$2:$K$20000=5))</f>
        <v>0</v>
      </c>
      <c r="Q71">
        <f>SUMPRODUCT((DATOS!$G$2:$G$20000=CONFIG_METADATA!$B$4)*(DATOS!$D$2:$D$20000=A71)*(DATOS!$I$2:$I$20000=B71)*(DATOS!$K$2:$K$20000=6))</f>
        <v>0</v>
      </c>
      <c r="R71">
        <f>SUMPRODUCT((DATOS!$G$2:$G$20000=CONFIG_METADATA!$B$4)*(DATOS!$D$2:$D$20000=A71)*(DATOS!$I$2:$I$20000=B71)*(DATOS!$K$2:$K$20000=7))</f>
        <v>0</v>
      </c>
      <c r="S71">
        <f>SUMPRODUCT((DATOS!$G$2:$G$20000=CONFIG_METADATA!$B$4)*(DATOS!$D$2:$D$20000=A71)*(DATOS!$I$2:$I$20000=B71)*(DATOS!$K$2:$K$20000=8))</f>
        <v>0</v>
      </c>
      <c r="T71">
        <f>SUMPRODUCT((DATOS!$G$2:$G$20000=CONFIG_METADATA!$B$4)*(DATOS!$D$2:$D$20000=A71)*(DATOS!$I$2:$I$20000=B71)*(DATOS!$K$2:$K$20000=9))</f>
        <v>0</v>
      </c>
      <c r="U71">
        <f>SUMPRODUCT((DATOS!$G$2:$G$20000=CONFIG_METADATA!$B$4)*(DATOS!$D$2:$D$20000=A71)*(DATOS!$I$2:$I$20000=B71)*(DATOS!$K$2:$K$20000=10))</f>
        <v>0</v>
      </c>
    </row>
    <row r="72" spans="1:21" x14ac:dyDescent="0.2">
      <c r="A72" t="s">
        <v>78</v>
      </c>
      <c r="B72" t="s">
        <v>32</v>
      </c>
      <c r="C72" t="s">
        <v>25</v>
      </c>
      <c r="D72">
        <f>SUMPRODUCT((DATOS!$G$2:$G$20000=CONFIG_METADATA!$B$4)*(DATOS!$D$2:$D$20000=A72)*(DATOS!$I$2:$I$20000=B72))</f>
        <v>0</v>
      </c>
      <c r="E72" s="10" t="str">
        <f>IFERROR(SUMPRODUCT((DATOS!$G$2:$G$20000=CONFIG_METADATA!$B$4)*(DATOS!$D$2:$D$20000=A72)*(DATOS!$I$2:$I$20000=B72)*(DATOS!$K$2:$K$20000))/D72,"—")</f>
        <v>—</v>
      </c>
      <c r="F72" s="10" t="str" cm="1">
        <f t="array" ref="F72">IFERROR(_xlfn.STDEV.P(_xlfn._xlws.FILTER(DATOS!$K$2:$K$20000,(DATOS!$G$2:$G$20000=CONFIG_METADATA!$B$4)*(DATOS!$D$2:$D$20000=A72)*(DATOS!$I$2:$I$20000=B72))),"—")</f>
        <v>—</v>
      </c>
      <c r="G72" t="str" cm="1">
        <f t="array" ref="G72">IFERROR(_xlfn.MODE.SNGL(_xlfn._xlws.FILTER(DATOS!$K$2:$K$20000,(DATOS!$G$2:$G$20000=CONFIG_METADATA!$B$4)*(DATOS!$D$2:$D$20000=A72)*(DATOS!$I$2:$I$20000=B72))),"—")</f>
        <v>—</v>
      </c>
      <c r="H72" s="11" t="str">
        <f>IFERROR(SUMPRODUCT((DATOS!$G$2:$G$20000=CONFIG_METADATA!$B$4)*(DATOS!$D$2:$D$20000=A72)*(DATOS!$I$2:$I$20000=B72)*(DATOS!$L$2:$L$20000="S"))/D72,"—")</f>
        <v>—</v>
      </c>
      <c r="I72" s="11" t="str">
        <f>IFERROR(SUMPRODUCT((DATOS!$G$2:$G$20000=CONFIG_METADATA!$B$4)*(DATOS!$D$2:$D$20000=A72)*(DATOS!$I$2:$I$20000=B72)*(DATOS!$L$2:$L$20000="N"))/D72,"—")</f>
        <v>—</v>
      </c>
      <c r="J72" t="str" cm="1">
        <f t="array" ref="J72">IFERROR(_xlfn.MODE.SNGL(_xlfn._xlws.FILTER(DATOS!$K$2:$K$20000,(DATOS!$G$2:$G$20000=CONFIG_METADATA!$B$4)*(DATOS!$D$2:$D$20000=A72)*(DATOS!$I$2:$I$20000=B72)*(DATOS!$L$2:$L$20000="S"))),"—")</f>
        <v>—</v>
      </c>
      <c r="K72" t="str" cm="1">
        <f t="array" ref="K72">IFERROR(_xlfn.MODE.SNGL(_xlfn._xlws.FILTER(DATOS!$K$2:$K$20000,(DATOS!$G$2:$G$20000=CONFIG_METADATA!$B$4)*(DATOS!$D$2:$D$20000=A72)*(DATOS!$I$2:$I$20000=B72)*(DATOS!$L$2:$L$20000="N"))),"—")</f>
        <v>—</v>
      </c>
      <c r="L72">
        <f>SUMPRODUCT((DATOS!$G$2:$G$20000=CONFIG_METADATA!$B$4)*(DATOS!$D$2:$D$20000=A72)*(DATOS!$I$2:$I$20000=B72)*(DATOS!$K$2:$K$20000=1))</f>
        <v>0</v>
      </c>
      <c r="M72">
        <f>SUMPRODUCT((DATOS!$G$2:$G$20000=CONFIG_METADATA!$B$4)*(DATOS!$D$2:$D$20000=A72)*(DATOS!$I$2:$I$20000=B72)*(DATOS!$K$2:$K$20000=2))</f>
        <v>0</v>
      </c>
      <c r="N72">
        <f>SUMPRODUCT((DATOS!$G$2:$G$20000=CONFIG_METADATA!$B$4)*(DATOS!$D$2:$D$20000=A72)*(DATOS!$I$2:$I$20000=B72)*(DATOS!$K$2:$K$20000=3))</f>
        <v>0</v>
      </c>
      <c r="O72">
        <f>SUMPRODUCT((DATOS!$G$2:$G$20000=CONFIG_METADATA!$B$4)*(DATOS!$D$2:$D$20000=A72)*(DATOS!$I$2:$I$20000=B72)*(DATOS!$K$2:$K$20000=4))</f>
        <v>0</v>
      </c>
      <c r="P72">
        <f>SUMPRODUCT((DATOS!$G$2:$G$20000=CONFIG_METADATA!$B$4)*(DATOS!$D$2:$D$20000=A72)*(DATOS!$I$2:$I$20000=B72)*(DATOS!$K$2:$K$20000=5))</f>
        <v>0</v>
      </c>
      <c r="Q72">
        <f>SUMPRODUCT((DATOS!$G$2:$G$20000=CONFIG_METADATA!$B$4)*(DATOS!$D$2:$D$20000=A72)*(DATOS!$I$2:$I$20000=B72)*(DATOS!$K$2:$K$20000=6))</f>
        <v>0</v>
      </c>
      <c r="R72">
        <f>SUMPRODUCT((DATOS!$G$2:$G$20000=CONFIG_METADATA!$B$4)*(DATOS!$D$2:$D$20000=A72)*(DATOS!$I$2:$I$20000=B72)*(DATOS!$K$2:$K$20000=7))</f>
        <v>0</v>
      </c>
      <c r="S72">
        <f>SUMPRODUCT((DATOS!$G$2:$G$20000=CONFIG_METADATA!$B$4)*(DATOS!$D$2:$D$20000=A72)*(DATOS!$I$2:$I$20000=B72)*(DATOS!$K$2:$K$20000=8))</f>
        <v>0</v>
      </c>
      <c r="T72">
        <f>SUMPRODUCT((DATOS!$G$2:$G$20000=CONFIG_METADATA!$B$4)*(DATOS!$D$2:$D$20000=A72)*(DATOS!$I$2:$I$20000=B72)*(DATOS!$K$2:$K$20000=9))</f>
        <v>0</v>
      </c>
      <c r="U72">
        <f>SUMPRODUCT((DATOS!$G$2:$G$20000=CONFIG_METADATA!$B$4)*(DATOS!$D$2:$D$20000=A72)*(DATOS!$I$2:$I$20000=B72)*(DATOS!$K$2:$K$20000=10))</f>
        <v>0</v>
      </c>
    </row>
    <row r="73" spans="1:21" x14ac:dyDescent="0.2">
      <c r="A73" t="s">
        <v>78</v>
      </c>
      <c r="B73" t="s">
        <v>33</v>
      </c>
      <c r="C73" t="s">
        <v>25</v>
      </c>
      <c r="D73">
        <f>SUMPRODUCT((DATOS!$G$2:$G$20000=CONFIG_METADATA!$B$4)*(DATOS!$D$2:$D$20000=A73)*(DATOS!$I$2:$I$20000=B73))</f>
        <v>0</v>
      </c>
      <c r="E73" s="10" t="str">
        <f>IFERROR(SUMPRODUCT((DATOS!$G$2:$G$20000=CONFIG_METADATA!$B$4)*(DATOS!$D$2:$D$20000=A73)*(DATOS!$I$2:$I$20000=B73)*(DATOS!$K$2:$K$20000))/D73,"—")</f>
        <v>—</v>
      </c>
      <c r="F73" s="10" t="str" cm="1">
        <f t="array" ref="F73">IFERROR(_xlfn.STDEV.P(_xlfn._xlws.FILTER(DATOS!$K$2:$K$20000,(DATOS!$G$2:$G$20000=CONFIG_METADATA!$B$4)*(DATOS!$D$2:$D$20000=A73)*(DATOS!$I$2:$I$20000=B73))),"—")</f>
        <v>—</v>
      </c>
      <c r="G73" t="str" cm="1">
        <f t="array" ref="G73">IFERROR(_xlfn.MODE.SNGL(_xlfn._xlws.FILTER(DATOS!$K$2:$K$20000,(DATOS!$G$2:$G$20000=CONFIG_METADATA!$B$4)*(DATOS!$D$2:$D$20000=A73)*(DATOS!$I$2:$I$20000=B73))),"—")</f>
        <v>—</v>
      </c>
      <c r="H73" s="11" t="str">
        <f>IFERROR(SUMPRODUCT((DATOS!$G$2:$G$20000=CONFIG_METADATA!$B$4)*(DATOS!$D$2:$D$20000=A73)*(DATOS!$I$2:$I$20000=B73)*(DATOS!$L$2:$L$20000="S"))/D73,"—")</f>
        <v>—</v>
      </c>
      <c r="I73" s="11" t="str">
        <f>IFERROR(SUMPRODUCT((DATOS!$G$2:$G$20000=CONFIG_METADATA!$B$4)*(DATOS!$D$2:$D$20000=A73)*(DATOS!$I$2:$I$20000=B73)*(DATOS!$L$2:$L$20000="N"))/D73,"—")</f>
        <v>—</v>
      </c>
      <c r="J73" t="str" cm="1">
        <f t="array" ref="J73">IFERROR(_xlfn.MODE.SNGL(_xlfn._xlws.FILTER(DATOS!$K$2:$K$20000,(DATOS!$G$2:$G$20000=CONFIG_METADATA!$B$4)*(DATOS!$D$2:$D$20000=A73)*(DATOS!$I$2:$I$20000=B73)*(DATOS!$L$2:$L$20000="S"))),"—")</f>
        <v>—</v>
      </c>
      <c r="K73" t="str" cm="1">
        <f t="array" ref="K73">IFERROR(_xlfn.MODE.SNGL(_xlfn._xlws.FILTER(DATOS!$K$2:$K$20000,(DATOS!$G$2:$G$20000=CONFIG_METADATA!$B$4)*(DATOS!$D$2:$D$20000=A73)*(DATOS!$I$2:$I$20000=B73)*(DATOS!$L$2:$L$20000="N"))),"—")</f>
        <v>—</v>
      </c>
      <c r="L73">
        <f>SUMPRODUCT((DATOS!$G$2:$G$20000=CONFIG_METADATA!$B$4)*(DATOS!$D$2:$D$20000=A73)*(DATOS!$I$2:$I$20000=B73)*(DATOS!$K$2:$K$20000=1))</f>
        <v>0</v>
      </c>
      <c r="M73">
        <f>SUMPRODUCT((DATOS!$G$2:$G$20000=CONFIG_METADATA!$B$4)*(DATOS!$D$2:$D$20000=A73)*(DATOS!$I$2:$I$20000=B73)*(DATOS!$K$2:$K$20000=2))</f>
        <v>0</v>
      </c>
      <c r="N73">
        <f>SUMPRODUCT((DATOS!$G$2:$G$20000=CONFIG_METADATA!$B$4)*(DATOS!$D$2:$D$20000=A73)*(DATOS!$I$2:$I$20000=B73)*(DATOS!$K$2:$K$20000=3))</f>
        <v>0</v>
      </c>
      <c r="O73">
        <f>SUMPRODUCT((DATOS!$G$2:$G$20000=CONFIG_METADATA!$B$4)*(DATOS!$D$2:$D$20000=A73)*(DATOS!$I$2:$I$20000=B73)*(DATOS!$K$2:$K$20000=4))</f>
        <v>0</v>
      </c>
      <c r="P73">
        <f>SUMPRODUCT((DATOS!$G$2:$G$20000=CONFIG_METADATA!$B$4)*(DATOS!$D$2:$D$20000=A73)*(DATOS!$I$2:$I$20000=B73)*(DATOS!$K$2:$K$20000=5))</f>
        <v>0</v>
      </c>
      <c r="Q73">
        <f>SUMPRODUCT((DATOS!$G$2:$G$20000=CONFIG_METADATA!$B$4)*(DATOS!$D$2:$D$20000=A73)*(DATOS!$I$2:$I$20000=B73)*(DATOS!$K$2:$K$20000=6))</f>
        <v>0</v>
      </c>
      <c r="R73">
        <f>SUMPRODUCT((DATOS!$G$2:$G$20000=CONFIG_METADATA!$B$4)*(DATOS!$D$2:$D$20000=A73)*(DATOS!$I$2:$I$20000=B73)*(DATOS!$K$2:$K$20000=7))</f>
        <v>0</v>
      </c>
      <c r="S73">
        <f>SUMPRODUCT((DATOS!$G$2:$G$20000=CONFIG_METADATA!$B$4)*(DATOS!$D$2:$D$20000=A73)*(DATOS!$I$2:$I$20000=B73)*(DATOS!$K$2:$K$20000=8))</f>
        <v>0</v>
      </c>
      <c r="T73">
        <f>SUMPRODUCT((DATOS!$G$2:$G$20000=CONFIG_METADATA!$B$4)*(DATOS!$D$2:$D$20000=A73)*(DATOS!$I$2:$I$20000=B73)*(DATOS!$K$2:$K$20000=9))</f>
        <v>0</v>
      </c>
      <c r="U73">
        <f>SUMPRODUCT((DATOS!$G$2:$G$20000=CONFIG_METADATA!$B$4)*(DATOS!$D$2:$D$20000=A73)*(DATOS!$I$2:$I$20000=B73)*(DATOS!$K$2:$K$20000=10))</f>
        <v>0</v>
      </c>
    </row>
    <row r="74" spans="1:21" x14ac:dyDescent="0.2">
      <c r="A74" t="s">
        <v>78</v>
      </c>
      <c r="B74" t="s">
        <v>34</v>
      </c>
      <c r="C74" t="s">
        <v>25</v>
      </c>
      <c r="D74">
        <f>SUMPRODUCT((DATOS!$G$2:$G$20000=CONFIG_METADATA!$B$4)*(DATOS!$D$2:$D$20000=A74)*(DATOS!$I$2:$I$20000=B74))</f>
        <v>0</v>
      </c>
      <c r="E74" s="10" t="str">
        <f>IFERROR(SUMPRODUCT((DATOS!$G$2:$G$20000=CONFIG_METADATA!$B$4)*(DATOS!$D$2:$D$20000=A74)*(DATOS!$I$2:$I$20000=B74)*(DATOS!$K$2:$K$20000))/D74,"—")</f>
        <v>—</v>
      </c>
      <c r="F74" s="10" t="str" cm="1">
        <f t="array" ref="F74">IFERROR(_xlfn.STDEV.P(_xlfn._xlws.FILTER(DATOS!$K$2:$K$20000,(DATOS!$G$2:$G$20000=CONFIG_METADATA!$B$4)*(DATOS!$D$2:$D$20000=A74)*(DATOS!$I$2:$I$20000=B74))),"—")</f>
        <v>—</v>
      </c>
      <c r="G74" t="str" cm="1">
        <f t="array" ref="G74">IFERROR(_xlfn.MODE.SNGL(_xlfn._xlws.FILTER(DATOS!$K$2:$K$20000,(DATOS!$G$2:$G$20000=CONFIG_METADATA!$B$4)*(DATOS!$D$2:$D$20000=A74)*(DATOS!$I$2:$I$20000=B74))),"—")</f>
        <v>—</v>
      </c>
      <c r="H74" s="11" t="str">
        <f>IFERROR(SUMPRODUCT((DATOS!$G$2:$G$20000=CONFIG_METADATA!$B$4)*(DATOS!$D$2:$D$20000=A74)*(DATOS!$I$2:$I$20000=B74)*(DATOS!$L$2:$L$20000="S"))/D74,"—")</f>
        <v>—</v>
      </c>
      <c r="I74" s="11" t="str">
        <f>IFERROR(SUMPRODUCT((DATOS!$G$2:$G$20000=CONFIG_METADATA!$B$4)*(DATOS!$D$2:$D$20000=A74)*(DATOS!$I$2:$I$20000=B74)*(DATOS!$L$2:$L$20000="N"))/D74,"—")</f>
        <v>—</v>
      </c>
      <c r="J74" t="str" cm="1">
        <f t="array" ref="J74">IFERROR(_xlfn.MODE.SNGL(_xlfn._xlws.FILTER(DATOS!$K$2:$K$20000,(DATOS!$G$2:$G$20000=CONFIG_METADATA!$B$4)*(DATOS!$D$2:$D$20000=A74)*(DATOS!$I$2:$I$20000=B74)*(DATOS!$L$2:$L$20000="S"))),"—")</f>
        <v>—</v>
      </c>
      <c r="K74" t="str" cm="1">
        <f t="array" ref="K74">IFERROR(_xlfn.MODE.SNGL(_xlfn._xlws.FILTER(DATOS!$K$2:$K$20000,(DATOS!$G$2:$G$20000=CONFIG_METADATA!$B$4)*(DATOS!$D$2:$D$20000=A74)*(DATOS!$I$2:$I$20000=B74)*(DATOS!$L$2:$L$20000="N"))),"—")</f>
        <v>—</v>
      </c>
      <c r="L74">
        <f>SUMPRODUCT((DATOS!$G$2:$G$20000=CONFIG_METADATA!$B$4)*(DATOS!$D$2:$D$20000=A74)*(DATOS!$I$2:$I$20000=B74)*(DATOS!$K$2:$K$20000=1))</f>
        <v>0</v>
      </c>
      <c r="M74">
        <f>SUMPRODUCT((DATOS!$G$2:$G$20000=CONFIG_METADATA!$B$4)*(DATOS!$D$2:$D$20000=A74)*(DATOS!$I$2:$I$20000=B74)*(DATOS!$K$2:$K$20000=2))</f>
        <v>0</v>
      </c>
      <c r="N74">
        <f>SUMPRODUCT((DATOS!$G$2:$G$20000=CONFIG_METADATA!$B$4)*(DATOS!$D$2:$D$20000=A74)*(DATOS!$I$2:$I$20000=B74)*(DATOS!$K$2:$K$20000=3))</f>
        <v>0</v>
      </c>
      <c r="O74">
        <f>SUMPRODUCT((DATOS!$G$2:$G$20000=CONFIG_METADATA!$B$4)*(DATOS!$D$2:$D$20000=A74)*(DATOS!$I$2:$I$20000=B74)*(DATOS!$K$2:$K$20000=4))</f>
        <v>0</v>
      </c>
      <c r="P74">
        <f>SUMPRODUCT((DATOS!$G$2:$G$20000=CONFIG_METADATA!$B$4)*(DATOS!$D$2:$D$20000=A74)*(DATOS!$I$2:$I$20000=B74)*(DATOS!$K$2:$K$20000=5))</f>
        <v>0</v>
      </c>
      <c r="Q74">
        <f>SUMPRODUCT((DATOS!$G$2:$G$20000=CONFIG_METADATA!$B$4)*(DATOS!$D$2:$D$20000=A74)*(DATOS!$I$2:$I$20000=B74)*(DATOS!$K$2:$K$20000=6))</f>
        <v>0</v>
      </c>
      <c r="R74">
        <f>SUMPRODUCT((DATOS!$G$2:$G$20000=CONFIG_METADATA!$B$4)*(DATOS!$D$2:$D$20000=A74)*(DATOS!$I$2:$I$20000=B74)*(DATOS!$K$2:$K$20000=7))</f>
        <v>0</v>
      </c>
      <c r="S74">
        <f>SUMPRODUCT((DATOS!$G$2:$G$20000=CONFIG_METADATA!$B$4)*(DATOS!$D$2:$D$20000=A74)*(DATOS!$I$2:$I$20000=B74)*(DATOS!$K$2:$K$20000=8))</f>
        <v>0</v>
      </c>
      <c r="T74">
        <f>SUMPRODUCT((DATOS!$G$2:$G$20000=CONFIG_METADATA!$B$4)*(DATOS!$D$2:$D$20000=A74)*(DATOS!$I$2:$I$20000=B74)*(DATOS!$K$2:$K$20000=9))</f>
        <v>0</v>
      </c>
      <c r="U74">
        <f>SUMPRODUCT((DATOS!$G$2:$G$20000=CONFIG_METADATA!$B$4)*(DATOS!$D$2:$D$20000=A74)*(DATOS!$I$2:$I$20000=B74)*(DATOS!$K$2:$K$20000=10))</f>
        <v>0</v>
      </c>
    </row>
    <row r="75" spans="1:21" x14ac:dyDescent="0.2">
      <c r="A75" t="s">
        <v>78</v>
      </c>
      <c r="B75" t="s">
        <v>35</v>
      </c>
      <c r="C75" t="s">
        <v>25</v>
      </c>
      <c r="D75">
        <f>SUMPRODUCT((DATOS!$G$2:$G$20000=CONFIG_METADATA!$B$4)*(DATOS!$D$2:$D$20000=A75)*(DATOS!$I$2:$I$20000=B75))</f>
        <v>0</v>
      </c>
      <c r="E75" s="10" t="str">
        <f>IFERROR(SUMPRODUCT((DATOS!$G$2:$G$20000=CONFIG_METADATA!$B$4)*(DATOS!$D$2:$D$20000=A75)*(DATOS!$I$2:$I$20000=B75)*(DATOS!$K$2:$K$20000))/D75,"—")</f>
        <v>—</v>
      </c>
      <c r="F75" s="10" t="str" cm="1">
        <f t="array" ref="F75">IFERROR(_xlfn.STDEV.P(_xlfn._xlws.FILTER(DATOS!$K$2:$K$20000,(DATOS!$G$2:$G$20000=CONFIG_METADATA!$B$4)*(DATOS!$D$2:$D$20000=A75)*(DATOS!$I$2:$I$20000=B75))),"—")</f>
        <v>—</v>
      </c>
      <c r="G75" t="str" cm="1">
        <f t="array" ref="G75">IFERROR(_xlfn.MODE.SNGL(_xlfn._xlws.FILTER(DATOS!$K$2:$K$20000,(DATOS!$G$2:$G$20000=CONFIG_METADATA!$B$4)*(DATOS!$D$2:$D$20000=A75)*(DATOS!$I$2:$I$20000=B75))),"—")</f>
        <v>—</v>
      </c>
      <c r="H75" s="11" t="str">
        <f>IFERROR(SUMPRODUCT((DATOS!$G$2:$G$20000=CONFIG_METADATA!$B$4)*(DATOS!$D$2:$D$20000=A75)*(DATOS!$I$2:$I$20000=B75)*(DATOS!$L$2:$L$20000="S"))/D75,"—")</f>
        <v>—</v>
      </c>
      <c r="I75" s="11" t="str">
        <f>IFERROR(SUMPRODUCT((DATOS!$G$2:$G$20000=CONFIG_METADATA!$B$4)*(DATOS!$D$2:$D$20000=A75)*(DATOS!$I$2:$I$20000=B75)*(DATOS!$L$2:$L$20000="N"))/D75,"—")</f>
        <v>—</v>
      </c>
      <c r="J75" t="str" cm="1">
        <f t="array" ref="J75">IFERROR(_xlfn.MODE.SNGL(_xlfn._xlws.FILTER(DATOS!$K$2:$K$20000,(DATOS!$G$2:$G$20000=CONFIG_METADATA!$B$4)*(DATOS!$D$2:$D$20000=A75)*(DATOS!$I$2:$I$20000=B75)*(DATOS!$L$2:$L$20000="S"))),"—")</f>
        <v>—</v>
      </c>
      <c r="K75" t="str" cm="1">
        <f t="array" ref="K75">IFERROR(_xlfn.MODE.SNGL(_xlfn._xlws.FILTER(DATOS!$K$2:$K$20000,(DATOS!$G$2:$G$20000=CONFIG_METADATA!$B$4)*(DATOS!$D$2:$D$20000=A75)*(DATOS!$I$2:$I$20000=B75)*(DATOS!$L$2:$L$20000="N"))),"—")</f>
        <v>—</v>
      </c>
      <c r="L75">
        <f>SUMPRODUCT((DATOS!$G$2:$G$20000=CONFIG_METADATA!$B$4)*(DATOS!$D$2:$D$20000=A75)*(DATOS!$I$2:$I$20000=B75)*(DATOS!$K$2:$K$20000=1))</f>
        <v>0</v>
      </c>
      <c r="M75">
        <f>SUMPRODUCT((DATOS!$G$2:$G$20000=CONFIG_METADATA!$B$4)*(DATOS!$D$2:$D$20000=A75)*(DATOS!$I$2:$I$20000=B75)*(DATOS!$K$2:$K$20000=2))</f>
        <v>0</v>
      </c>
      <c r="N75">
        <f>SUMPRODUCT((DATOS!$G$2:$G$20000=CONFIG_METADATA!$B$4)*(DATOS!$D$2:$D$20000=A75)*(DATOS!$I$2:$I$20000=B75)*(DATOS!$K$2:$K$20000=3))</f>
        <v>0</v>
      </c>
      <c r="O75">
        <f>SUMPRODUCT((DATOS!$G$2:$G$20000=CONFIG_METADATA!$B$4)*(DATOS!$D$2:$D$20000=A75)*(DATOS!$I$2:$I$20000=B75)*(DATOS!$K$2:$K$20000=4))</f>
        <v>0</v>
      </c>
      <c r="P75">
        <f>SUMPRODUCT((DATOS!$G$2:$G$20000=CONFIG_METADATA!$B$4)*(DATOS!$D$2:$D$20000=A75)*(DATOS!$I$2:$I$20000=B75)*(DATOS!$K$2:$K$20000=5))</f>
        <v>0</v>
      </c>
      <c r="Q75">
        <f>SUMPRODUCT((DATOS!$G$2:$G$20000=CONFIG_METADATA!$B$4)*(DATOS!$D$2:$D$20000=A75)*(DATOS!$I$2:$I$20000=B75)*(DATOS!$K$2:$K$20000=6))</f>
        <v>0</v>
      </c>
      <c r="R75">
        <f>SUMPRODUCT((DATOS!$G$2:$G$20000=CONFIG_METADATA!$B$4)*(DATOS!$D$2:$D$20000=A75)*(DATOS!$I$2:$I$20000=B75)*(DATOS!$K$2:$K$20000=7))</f>
        <v>0</v>
      </c>
      <c r="S75">
        <f>SUMPRODUCT((DATOS!$G$2:$G$20000=CONFIG_METADATA!$B$4)*(DATOS!$D$2:$D$20000=A75)*(DATOS!$I$2:$I$20000=B75)*(DATOS!$K$2:$K$20000=8))</f>
        <v>0</v>
      </c>
      <c r="T75">
        <f>SUMPRODUCT((DATOS!$G$2:$G$20000=CONFIG_METADATA!$B$4)*(DATOS!$D$2:$D$20000=A75)*(DATOS!$I$2:$I$20000=B75)*(DATOS!$K$2:$K$20000=9))</f>
        <v>0</v>
      </c>
      <c r="U75">
        <f>SUMPRODUCT((DATOS!$G$2:$G$20000=CONFIG_METADATA!$B$4)*(DATOS!$D$2:$D$20000=A75)*(DATOS!$I$2:$I$20000=B75)*(DATOS!$K$2:$K$20000=10))</f>
        <v>0</v>
      </c>
    </row>
    <row r="76" spans="1:21" x14ac:dyDescent="0.2">
      <c r="A76" t="s">
        <v>78</v>
      </c>
      <c r="B76" t="s">
        <v>36</v>
      </c>
      <c r="C76" t="s">
        <v>25</v>
      </c>
      <c r="D76">
        <f>SUMPRODUCT((DATOS!$G$2:$G$20000=CONFIG_METADATA!$B$4)*(DATOS!$D$2:$D$20000=A76)*(DATOS!$I$2:$I$20000=B76))</f>
        <v>0</v>
      </c>
      <c r="E76" s="10" t="str">
        <f>IFERROR(SUMPRODUCT((DATOS!$G$2:$G$20000=CONFIG_METADATA!$B$4)*(DATOS!$D$2:$D$20000=A76)*(DATOS!$I$2:$I$20000=B76)*(DATOS!$K$2:$K$20000))/D76,"—")</f>
        <v>—</v>
      </c>
      <c r="F76" s="10" t="str" cm="1">
        <f t="array" ref="F76">IFERROR(_xlfn.STDEV.P(_xlfn._xlws.FILTER(DATOS!$K$2:$K$20000,(DATOS!$G$2:$G$20000=CONFIG_METADATA!$B$4)*(DATOS!$D$2:$D$20000=A76)*(DATOS!$I$2:$I$20000=B76))),"—")</f>
        <v>—</v>
      </c>
      <c r="G76" t="str" cm="1">
        <f t="array" ref="G76">IFERROR(_xlfn.MODE.SNGL(_xlfn._xlws.FILTER(DATOS!$K$2:$K$20000,(DATOS!$G$2:$G$20000=CONFIG_METADATA!$B$4)*(DATOS!$D$2:$D$20000=A76)*(DATOS!$I$2:$I$20000=B76))),"—")</f>
        <v>—</v>
      </c>
      <c r="H76" s="11" t="str">
        <f>IFERROR(SUMPRODUCT((DATOS!$G$2:$G$20000=CONFIG_METADATA!$B$4)*(DATOS!$D$2:$D$20000=A76)*(DATOS!$I$2:$I$20000=B76)*(DATOS!$L$2:$L$20000="S"))/D76,"—")</f>
        <v>—</v>
      </c>
      <c r="I76" s="11" t="str">
        <f>IFERROR(SUMPRODUCT((DATOS!$G$2:$G$20000=CONFIG_METADATA!$B$4)*(DATOS!$D$2:$D$20000=A76)*(DATOS!$I$2:$I$20000=B76)*(DATOS!$L$2:$L$20000="N"))/D76,"—")</f>
        <v>—</v>
      </c>
      <c r="J76" t="str" cm="1">
        <f t="array" ref="J76">IFERROR(_xlfn.MODE.SNGL(_xlfn._xlws.FILTER(DATOS!$K$2:$K$20000,(DATOS!$G$2:$G$20000=CONFIG_METADATA!$B$4)*(DATOS!$D$2:$D$20000=A76)*(DATOS!$I$2:$I$20000=B76)*(DATOS!$L$2:$L$20000="S"))),"—")</f>
        <v>—</v>
      </c>
      <c r="K76" t="str" cm="1">
        <f t="array" ref="K76">IFERROR(_xlfn.MODE.SNGL(_xlfn._xlws.FILTER(DATOS!$K$2:$K$20000,(DATOS!$G$2:$G$20000=CONFIG_METADATA!$B$4)*(DATOS!$D$2:$D$20000=A76)*(DATOS!$I$2:$I$20000=B76)*(DATOS!$L$2:$L$20000="N"))),"—")</f>
        <v>—</v>
      </c>
      <c r="L76">
        <f>SUMPRODUCT((DATOS!$G$2:$G$20000=CONFIG_METADATA!$B$4)*(DATOS!$D$2:$D$20000=A76)*(DATOS!$I$2:$I$20000=B76)*(DATOS!$K$2:$K$20000=1))</f>
        <v>0</v>
      </c>
      <c r="M76">
        <f>SUMPRODUCT((DATOS!$G$2:$G$20000=CONFIG_METADATA!$B$4)*(DATOS!$D$2:$D$20000=A76)*(DATOS!$I$2:$I$20000=B76)*(DATOS!$K$2:$K$20000=2))</f>
        <v>0</v>
      </c>
      <c r="N76">
        <f>SUMPRODUCT((DATOS!$G$2:$G$20000=CONFIG_METADATA!$B$4)*(DATOS!$D$2:$D$20000=A76)*(DATOS!$I$2:$I$20000=B76)*(DATOS!$K$2:$K$20000=3))</f>
        <v>0</v>
      </c>
      <c r="O76">
        <f>SUMPRODUCT((DATOS!$G$2:$G$20000=CONFIG_METADATA!$B$4)*(DATOS!$D$2:$D$20000=A76)*(DATOS!$I$2:$I$20000=B76)*(DATOS!$K$2:$K$20000=4))</f>
        <v>0</v>
      </c>
      <c r="P76">
        <f>SUMPRODUCT((DATOS!$G$2:$G$20000=CONFIG_METADATA!$B$4)*(DATOS!$D$2:$D$20000=A76)*(DATOS!$I$2:$I$20000=B76)*(DATOS!$K$2:$K$20000=5))</f>
        <v>0</v>
      </c>
      <c r="Q76">
        <f>SUMPRODUCT((DATOS!$G$2:$G$20000=CONFIG_METADATA!$B$4)*(DATOS!$D$2:$D$20000=A76)*(DATOS!$I$2:$I$20000=B76)*(DATOS!$K$2:$K$20000=6))</f>
        <v>0</v>
      </c>
      <c r="R76">
        <f>SUMPRODUCT((DATOS!$G$2:$G$20000=CONFIG_METADATA!$B$4)*(DATOS!$D$2:$D$20000=A76)*(DATOS!$I$2:$I$20000=B76)*(DATOS!$K$2:$K$20000=7))</f>
        <v>0</v>
      </c>
      <c r="S76">
        <f>SUMPRODUCT((DATOS!$G$2:$G$20000=CONFIG_METADATA!$B$4)*(DATOS!$D$2:$D$20000=A76)*(DATOS!$I$2:$I$20000=B76)*(DATOS!$K$2:$K$20000=8))</f>
        <v>0</v>
      </c>
      <c r="T76">
        <f>SUMPRODUCT((DATOS!$G$2:$G$20000=CONFIG_METADATA!$B$4)*(DATOS!$D$2:$D$20000=A76)*(DATOS!$I$2:$I$20000=B76)*(DATOS!$K$2:$K$20000=9))</f>
        <v>0</v>
      </c>
      <c r="U76">
        <f>SUMPRODUCT((DATOS!$G$2:$G$20000=CONFIG_METADATA!$B$4)*(DATOS!$D$2:$D$20000=A76)*(DATOS!$I$2:$I$20000=B76)*(DATOS!$K$2:$K$20000=10))</f>
        <v>0</v>
      </c>
    </row>
    <row r="77" spans="1:21" x14ac:dyDescent="0.2">
      <c r="A77" t="s">
        <v>78</v>
      </c>
      <c r="B77" t="s">
        <v>37</v>
      </c>
      <c r="C77" t="s">
        <v>25</v>
      </c>
      <c r="D77">
        <f>SUMPRODUCT((DATOS!$G$2:$G$20000=CONFIG_METADATA!$B$4)*(DATOS!$D$2:$D$20000=A77)*(DATOS!$I$2:$I$20000=B77))</f>
        <v>0</v>
      </c>
      <c r="E77" s="10" t="str">
        <f>IFERROR(SUMPRODUCT((DATOS!$G$2:$G$20000=CONFIG_METADATA!$B$4)*(DATOS!$D$2:$D$20000=A77)*(DATOS!$I$2:$I$20000=B77)*(DATOS!$K$2:$K$20000))/D77,"—")</f>
        <v>—</v>
      </c>
      <c r="F77" s="10" t="str" cm="1">
        <f t="array" ref="F77">IFERROR(_xlfn.STDEV.P(_xlfn._xlws.FILTER(DATOS!$K$2:$K$20000,(DATOS!$G$2:$G$20000=CONFIG_METADATA!$B$4)*(DATOS!$D$2:$D$20000=A77)*(DATOS!$I$2:$I$20000=B77))),"—")</f>
        <v>—</v>
      </c>
      <c r="G77" t="str" cm="1">
        <f t="array" ref="G77">IFERROR(_xlfn.MODE.SNGL(_xlfn._xlws.FILTER(DATOS!$K$2:$K$20000,(DATOS!$G$2:$G$20000=CONFIG_METADATA!$B$4)*(DATOS!$D$2:$D$20000=A77)*(DATOS!$I$2:$I$20000=B77))),"—")</f>
        <v>—</v>
      </c>
      <c r="H77" s="11" t="str">
        <f>IFERROR(SUMPRODUCT((DATOS!$G$2:$G$20000=CONFIG_METADATA!$B$4)*(DATOS!$D$2:$D$20000=A77)*(DATOS!$I$2:$I$20000=B77)*(DATOS!$L$2:$L$20000="S"))/D77,"—")</f>
        <v>—</v>
      </c>
      <c r="I77" s="11" t="str">
        <f>IFERROR(SUMPRODUCT((DATOS!$G$2:$G$20000=CONFIG_METADATA!$B$4)*(DATOS!$D$2:$D$20000=A77)*(DATOS!$I$2:$I$20000=B77)*(DATOS!$L$2:$L$20000="N"))/D77,"—")</f>
        <v>—</v>
      </c>
      <c r="J77" t="str" cm="1">
        <f t="array" ref="J77">IFERROR(_xlfn.MODE.SNGL(_xlfn._xlws.FILTER(DATOS!$K$2:$K$20000,(DATOS!$G$2:$G$20000=CONFIG_METADATA!$B$4)*(DATOS!$D$2:$D$20000=A77)*(DATOS!$I$2:$I$20000=B77)*(DATOS!$L$2:$L$20000="S"))),"—")</f>
        <v>—</v>
      </c>
      <c r="K77" t="str" cm="1">
        <f t="array" ref="K77">IFERROR(_xlfn.MODE.SNGL(_xlfn._xlws.FILTER(DATOS!$K$2:$K$20000,(DATOS!$G$2:$G$20000=CONFIG_METADATA!$B$4)*(DATOS!$D$2:$D$20000=A77)*(DATOS!$I$2:$I$20000=B77)*(DATOS!$L$2:$L$20000="N"))),"—")</f>
        <v>—</v>
      </c>
      <c r="L77">
        <f>SUMPRODUCT((DATOS!$G$2:$G$20000=CONFIG_METADATA!$B$4)*(DATOS!$D$2:$D$20000=A77)*(DATOS!$I$2:$I$20000=B77)*(DATOS!$K$2:$K$20000=1))</f>
        <v>0</v>
      </c>
      <c r="M77">
        <f>SUMPRODUCT((DATOS!$G$2:$G$20000=CONFIG_METADATA!$B$4)*(DATOS!$D$2:$D$20000=A77)*(DATOS!$I$2:$I$20000=B77)*(DATOS!$K$2:$K$20000=2))</f>
        <v>0</v>
      </c>
      <c r="N77">
        <f>SUMPRODUCT((DATOS!$G$2:$G$20000=CONFIG_METADATA!$B$4)*(DATOS!$D$2:$D$20000=A77)*(DATOS!$I$2:$I$20000=B77)*(DATOS!$K$2:$K$20000=3))</f>
        <v>0</v>
      </c>
      <c r="O77">
        <f>SUMPRODUCT((DATOS!$G$2:$G$20000=CONFIG_METADATA!$B$4)*(DATOS!$D$2:$D$20000=A77)*(DATOS!$I$2:$I$20000=B77)*(DATOS!$K$2:$K$20000=4))</f>
        <v>0</v>
      </c>
      <c r="P77">
        <f>SUMPRODUCT((DATOS!$G$2:$G$20000=CONFIG_METADATA!$B$4)*(DATOS!$D$2:$D$20000=A77)*(DATOS!$I$2:$I$20000=B77)*(DATOS!$K$2:$K$20000=5))</f>
        <v>0</v>
      </c>
      <c r="Q77">
        <f>SUMPRODUCT((DATOS!$G$2:$G$20000=CONFIG_METADATA!$B$4)*(DATOS!$D$2:$D$20000=A77)*(DATOS!$I$2:$I$20000=B77)*(DATOS!$K$2:$K$20000=6))</f>
        <v>0</v>
      </c>
      <c r="R77">
        <f>SUMPRODUCT((DATOS!$G$2:$G$20000=CONFIG_METADATA!$B$4)*(DATOS!$D$2:$D$20000=A77)*(DATOS!$I$2:$I$20000=B77)*(DATOS!$K$2:$K$20000=7))</f>
        <v>0</v>
      </c>
      <c r="S77">
        <f>SUMPRODUCT((DATOS!$G$2:$G$20000=CONFIG_METADATA!$B$4)*(DATOS!$D$2:$D$20000=A77)*(DATOS!$I$2:$I$20000=B77)*(DATOS!$K$2:$K$20000=8))</f>
        <v>0</v>
      </c>
      <c r="T77">
        <f>SUMPRODUCT((DATOS!$G$2:$G$20000=CONFIG_METADATA!$B$4)*(DATOS!$D$2:$D$20000=A77)*(DATOS!$I$2:$I$20000=B77)*(DATOS!$K$2:$K$20000=9))</f>
        <v>0</v>
      </c>
      <c r="U77">
        <f>SUMPRODUCT((DATOS!$G$2:$G$20000=CONFIG_METADATA!$B$4)*(DATOS!$D$2:$D$20000=A77)*(DATOS!$I$2:$I$20000=B77)*(DATOS!$K$2:$K$20000=10))</f>
        <v>0</v>
      </c>
    </row>
    <row r="78" spans="1:21" x14ac:dyDescent="0.2">
      <c r="A78" t="s">
        <v>78</v>
      </c>
      <c r="B78" t="s">
        <v>38</v>
      </c>
      <c r="C78" t="s">
        <v>25</v>
      </c>
      <c r="D78">
        <f>SUMPRODUCT((DATOS!$G$2:$G$20000=CONFIG_METADATA!$B$4)*(DATOS!$D$2:$D$20000=A78)*(DATOS!$I$2:$I$20000=B78))</f>
        <v>0</v>
      </c>
      <c r="E78" s="10" t="str">
        <f>IFERROR(SUMPRODUCT((DATOS!$G$2:$G$20000=CONFIG_METADATA!$B$4)*(DATOS!$D$2:$D$20000=A78)*(DATOS!$I$2:$I$20000=B78)*(DATOS!$K$2:$K$20000))/D78,"—")</f>
        <v>—</v>
      </c>
      <c r="F78" s="10" t="str" cm="1">
        <f t="array" ref="F78">IFERROR(_xlfn.STDEV.P(_xlfn._xlws.FILTER(DATOS!$K$2:$K$20000,(DATOS!$G$2:$G$20000=CONFIG_METADATA!$B$4)*(DATOS!$D$2:$D$20000=A78)*(DATOS!$I$2:$I$20000=B78))),"—")</f>
        <v>—</v>
      </c>
      <c r="G78" t="str" cm="1">
        <f t="array" ref="G78">IFERROR(_xlfn.MODE.SNGL(_xlfn._xlws.FILTER(DATOS!$K$2:$K$20000,(DATOS!$G$2:$G$20000=CONFIG_METADATA!$B$4)*(DATOS!$D$2:$D$20000=A78)*(DATOS!$I$2:$I$20000=B78))),"—")</f>
        <v>—</v>
      </c>
      <c r="H78" s="11" t="str">
        <f>IFERROR(SUMPRODUCT((DATOS!$G$2:$G$20000=CONFIG_METADATA!$B$4)*(DATOS!$D$2:$D$20000=A78)*(DATOS!$I$2:$I$20000=B78)*(DATOS!$L$2:$L$20000="S"))/D78,"—")</f>
        <v>—</v>
      </c>
      <c r="I78" s="11" t="str">
        <f>IFERROR(SUMPRODUCT((DATOS!$G$2:$G$20000=CONFIG_METADATA!$B$4)*(DATOS!$D$2:$D$20000=A78)*(DATOS!$I$2:$I$20000=B78)*(DATOS!$L$2:$L$20000="N"))/D78,"—")</f>
        <v>—</v>
      </c>
      <c r="J78" t="str" cm="1">
        <f t="array" ref="J78">IFERROR(_xlfn.MODE.SNGL(_xlfn._xlws.FILTER(DATOS!$K$2:$K$20000,(DATOS!$G$2:$G$20000=CONFIG_METADATA!$B$4)*(DATOS!$D$2:$D$20000=A78)*(DATOS!$I$2:$I$20000=B78)*(DATOS!$L$2:$L$20000="S"))),"—")</f>
        <v>—</v>
      </c>
      <c r="K78" t="str" cm="1">
        <f t="array" ref="K78">IFERROR(_xlfn.MODE.SNGL(_xlfn._xlws.FILTER(DATOS!$K$2:$K$20000,(DATOS!$G$2:$G$20000=CONFIG_METADATA!$B$4)*(DATOS!$D$2:$D$20000=A78)*(DATOS!$I$2:$I$20000=B78)*(DATOS!$L$2:$L$20000="N"))),"—")</f>
        <v>—</v>
      </c>
      <c r="L78">
        <f>SUMPRODUCT((DATOS!$G$2:$G$20000=CONFIG_METADATA!$B$4)*(DATOS!$D$2:$D$20000=A78)*(DATOS!$I$2:$I$20000=B78)*(DATOS!$K$2:$K$20000=1))</f>
        <v>0</v>
      </c>
      <c r="M78">
        <f>SUMPRODUCT((DATOS!$G$2:$G$20000=CONFIG_METADATA!$B$4)*(DATOS!$D$2:$D$20000=A78)*(DATOS!$I$2:$I$20000=B78)*(DATOS!$K$2:$K$20000=2))</f>
        <v>0</v>
      </c>
      <c r="N78">
        <f>SUMPRODUCT((DATOS!$G$2:$G$20000=CONFIG_METADATA!$B$4)*(DATOS!$D$2:$D$20000=A78)*(DATOS!$I$2:$I$20000=B78)*(DATOS!$K$2:$K$20000=3))</f>
        <v>0</v>
      </c>
      <c r="O78">
        <f>SUMPRODUCT((DATOS!$G$2:$G$20000=CONFIG_METADATA!$B$4)*(DATOS!$D$2:$D$20000=A78)*(DATOS!$I$2:$I$20000=B78)*(DATOS!$K$2:$K$20000=4))</f>
        <v>0</v>
      </c>
      <c r="P78">
        <f>SUMPRODUCT((DATOS!$G$2:$G$20000=CONFIG_METADATA!$B$4)*(DATOS!$D$2:$D$20000=A78)*(DATOS!$I$2:$I$20000=B78)*(DATOS!$K$2:$K$20000=5))</f>
        <v>0</v>
      </c>
      <c r="Q78">
        <f>SUMPRODUCT((DATOS!$G$2:$G$20000=CONFIG_METADATA!$B$4)*(DATOS!$D$2:$D$20000=A78)*(DATOS!$I$2:$I$20000=B78)*(DATOS!$K$2:$K$20000=6))</f>
        <v>0</v>
      </c>
      <c r="R78">
        <f>SUMPRODUCT((DATOS!$G$2:$G$20000=CONFIG_METADATA!$B$4)*(DATOS!$D$2:$D$20000=A78)*(DATOS!$I$2:$I$20000=B78)*(DATOS!$K$2:$K$20000=7))</f>
        <v>0</v>
      </c>
      <c r="S78">
        <f>SUMPRODUCT((DATOS!$G$2:$G$20000=CONFIG_METADATA!$B$4)*(DATOS!$D$2:$D$20000=A78)*(DATOS!$I$2:$I$20000=B78)*(DATOS!$K$2:$K$20000=8))</f>
        <v>0</v>
      </c>
      <c r="T78">
        <f>SUMPRODUCT((DATOS!$G$2:$G$20000=CONFIG_METADATA!$B$4)*(DATOS!$D$2:$D$20000=A78)*(DATOS!$I$2:$I$20000=B78)*(DATOS!$K$2:$K$20000=9))</f>
        <v>0</v>
      </c>
      <c r="U78">
        <f>SUMPRODUCT((DATOS!$G$2:$G$20000=CONFIG_METADATA!$B$4)*(DATOS!$D$2:$D$20000=A78)*(DATOS!$I$2:$I$20000=B78)*(DATOS!$K$2:$K$20000=10))</f>
        <v>0</v>
      </c>
    </row>
    <row r="79" spans="1:21" x14ac:dyDescent="0.2">
      <c r="A79" t="s">
        <v>78</v>
      </c>
      <c r="B79" t="s">
        <v>39</v>
      </c>
      <c r="C79" t="s">
        <v>25</v>
      </c>
      <c r="D79">
        <f>SUMPRODUCT((DATOS!$G$2:$G$20000=CONFIG_METADATA!$B$4)*(DATOS!$D$2:$D$20000=A79)*(DATOS!$I$2:$I$20000=B79))</f>
        <v>0</v>
      </c>
      <c r="E79" s="10" t="str">
        <f>IFERROR(SUMPRODUCT((DATOS!$G$2:$G$20000=CONFIG_METADATA!$B$4)*(DATOS!$D$2:$D$20000=A79)*(DATOS!$I$2:$I$20000=B79)*(DATOS!$K$2:$K$20000))/D79,"—")</f>
        <v>—</v>
      </c>
      <c r="F79" s="10" t="str" cm="1">
        <f t="array" ref="F79">IFERROR(_xlfn.STDEV.P(_xlfn._xlws.FILTER(DATOS!$K$2:$K$20000,(DATOS!$G$2:$G$20000=CONFIG_METADATA!$B$4)*(DATOS!$D$2:$D$20000=A79)*(DATOS!$I$2:$I$20000=B79))),"—")</f>
        <v>—</v>
      </c>
      <c r="G79" t="str" cm="1">
        <f t="array" ref="G79">IFERROR(_xlfn.MODE.SNGL(_xlfn._xlws.FILTER(DATOS!$K$2:$K$20000,(DATOS!$G$2:$G$20000=CONFIG_METADATA!$B$4)*(DATOS!$D$2:$D$20000=A79)*(DATOS!$I$2:$I$20000=B79))),"—")</f>
        <v>—</v>
      </c>
      <c r="H79" s="11" t="str">
        <f>IFERROR(SUMPRODUCT((DATOS!$G$2:$G$20000=CONFIG_METADATA!$B$4)*(DATOS!$D$2:$D$20000=A79)*(DATOS!$I$2:$I$20000=B79)*(DATOS!$L$2:$L$20000="S"))/D79,"—")</f>
        <v>—</v>
      </c>
      <c r="I79" s="11" t="str">
        <f>IFERROR(SUMPRODUCT((DATOS!$G$2:$G$20000=CONFIG_METADATA!$B$4)*(DATOS!$D$2:$D$20000=A79)*(DATOS!$I$2:$I$20000=B79)*(DATOS!$L$2:$L$20000="N"))/D79,"—")</f>
        <v>—</v>
      </c>
      <c r="J79" t="str" cm="1">
        <f t="array" ref="J79">IFERROR(_xlfn.MODE.SNGL(_xlfn._xlws.FILTER(DATOS!$K$2:$K$20000,(DATOS!$G$2:$G$20000=CONFIG_METADATA!$B$4)*(DATOS!$D$2:$D$20000=A79)*(DATOS!$I$2:$I$20000=B79)*(DATOS!$L$2:$L$20000="S"))),"—")</f>
        <v>—</v>
      </c>
      <c r="K79" t="str" cm="1">
        <f t="array" ref="K79">IFERROR(_xlfn.MODE.SNGL(_xlfn._xlws.FILTER(DATOS!$K$2:$K$20000,(DATOS!$G$2:$G$20000=CONFIG_METADATA!$B$4)*(DATOS!$D$2:$D$20000=A79)*(DATOS!$I$2:$I$20000=B79)*(DATOS!$L$2:$L$20000="N"))),"—")</f>
        <v>—</v>
      </c>
      <c r="L79">
        <f>SUMPRODUCT((DATOS!$G$2:$G$20000=CONFIG_METADATA!$B$4)*(DATOS!$D$2:$D$20000=A79)*(DATOS!$I$2:$I$20000=B79)*(DATOS!$K$2:$K$20000=1))</f>
        <v>0</v>
      </c>
      <c r="M79">
        <f>SUMPRODUCT((DATOS!$G$2:$G$20000=CONFIG_METADATA!$B$4)*(DATOS!$D$2:$D$20000=A79)*(DATOS!$I$2:$I$20000=B79)*(DATOS!$K$2:$K$20000=2))</f>
        <v>0</v>
      </c>
      <c r="N79">
        <f>SUMPRODUCT((DATOS!$G$2:$G$20000=CONFIG_METADATA!$B$4)*(DATOS!$D$2:$D$20000=A79)*(DATOS!$I$2:$I$20000=B79)*(DATOS!$K$2:$K$20000=3))</f>
        <v>0</v>
      </c>
      <c r="O79">
        <f>SUMPRODUCT((DATOS!$G$2:$G$20000=CONFIG_METADATA!$B$4)*(DATOS!$D$2:$D$20000=A79)*(DATOS!$I$2:$I$20000=B79)*(DATOS!$K$2:$K$20000=4))</f>
        <v>0</v>
      </c>
      <c r="P79">
        <f>SUMPRODUCT((DATOS!$G$2:$G$20000=CONFIG_METADATA!$B$4)*(DATOS!$D$2:$D$20000=A79)*(DATOS!$I$2:$I$20000=B79)*(DATOS!$K$2:$K$20000=5))</f>
        <v>0</v>
      </c>
      <c r="Q79">
        <f>SUMPRODUCT((DATOS!$G$2:$G$20000=CONFIG_METADATA!$B$4)*(DATOS!$D$2:$D$20000=A79)*(DATOS!$I$2:$I$20000=B79)*(DATOS!$K$2:$K$20000=6))</f>
        <v>0</v>
      </c>
      <c r="R79">
        <f>SUMPRODUCT((DATOS!$G$2:$G$20000=CONFIG_METADATA!$B$4)*(DATOS!$D$2:$D$20000=A79)*(DATOS!$I$2:$I$20000=B79)*(DATOS!$K$2:$K$20000=7))</f>
        <v>0</v>
      </c>
      <c r="S79">
        <f>SUMPRODUCT((DATOS!$G$2:$G$20000=CONFIG_METADATA!$B$4)*(DATOS!$D$2:$D$20000=A79)*(DATOS!$I$2:$I$20000=B79)*(DATOS!$K$2:$K$20000=8))</f>
        <v>0</v>
      </c>
      <c r="T79">
        <f>SUMPRODUCT((DATOS!$G$2:$G$20000=CONFIG_METADATA!$B$4)*(DATOS!$D$2:$D$20000=A79)*(DATOS!$I$2:$I$20000=B79)*(DATOS!$K$2:$K$20000=9))</f>
        <v>0</v>
      </c>
      <c r="U79">
        <f>SUMPRODUCT((DATOS!$G$2:$G$20000=CONFIG_METADATA!$B$4)*(DATOS!$D$2:$D$20000=A79)*(DATOS!$I$2:$I$20000=B79)*(DATOS!$K$2:$K$20000=10))</f>
        <v>0</v>
      </c>
    </row>
    <row r="80" spans="1:21" x14ac:dyDescent="0.2">
      <c r="A80" t="s">
        <v>78</v>
      </c>
      <c r="B80" t="s">
        <v>41</v>
      </c>
      <c r="C80" t="s">
        <v>25</v>
      </c>
      <c r="D80">
        <f>SUMPRODUCT((DATOS!$G$2:$G$20000=CONFIG_METADATA!$B$4)*(DATOS!$D$2:$D$20000=A80)*(DATOS!$I$2:$I$20000=B80))</f>
        <v>0</v>
      </c>
      <c r="E80" s="10" t="str">
        <f>IFERROR(SUMPRODUCT((DATOS!$G$2:$G$20000=CONFIG_METADATA!$B$4)*(DATOS!$D$2:$D$20000=A80)*(DATOS!$I$2:$I$20000=B80)*(DATOS!$K$2:$K$20000))/D80,"—")</f>
        <v>—</v>
      </c>
      <c r="F80" s="10" t="str" cm="1">
        <f t="array" ref="F80">IFERROR(_xlfn.STDEV.P(_xlfn._xlws.FILTER(DATOS!$K$2:$K$20000,(DATOS!$G$2:$G$20000=CONFIG_METADATA!$B$4)*(DATOS!$D$2:$D$20000=A80)*(DATOS!$I$2:$I$20000=B80))),"—")</f>
        <v>—</v>
      </c>
      <c r="G80" t="str" cm="1">
        <f t="array" ref="G80">IFERROR(_xlfn.MODE.SNGL(_xlfn._xlws.FILTER(DATOS!$K$2:$K$20000,(DATOS!$G$2:$G$20000=CONFIG_METADATA!$B$4)*(DATOS!$D$2:$D$20000=A80)*(DATOS!$I$2:$I$20000=B80))),"—")</f>
        <v>—</v>
      </c>
      <c r="H80" s="11" t="str">
        <f>IFERROR(SUMPRODUCT((DATOS!$G$2:$G$20000=CONFIG_METADATA!$B$4)*(DATOS!$D$2:$D$20000=A80)*(DATOS!$I$2:$I$20000=B80)*(DATOS!$L$2:$L$20000="S"))/D80,"—")</f>
        <v>—</v>
      </c>
      <c r="I80" s="11" t="str">
        <f>IFERROR(SUMPRODUCT((DATOS!$G$2:$G$20000=CONFIG_METADATA!$B$4)*(DATOS!$D$2:$D$20000=A80)*(DATOS!$I$2:$I$20000=B80)*(DATOS!$L$2:$L$20000="N"))/D80,"—")</f>
        <v>—</v>
      </c>
      <c r="J80" t="str" cm="1">
        <f t="array" ref="J80">IFERROR(_xlfn.MODE.SNGL(_xlfn._xlws.FILTER(DATOS!$K$2:$K$20000,(DATOS!$G$2:$G$20000=CONFIG_METADATA!$B$4)*(DATOS!$D$2:$D$20000=A80)*(DATOS!$I$2:$I$20000=B80)*(DATOS!$L$2:$L$20000="S"))),"—")</f>
        <v>—</v>
      </c>
      <c r="K80" t="str" cm="1">
        <f t="array" ref="K80">IFERROR(_xlfn.MODE.SNGL(_xlfn._xlws.FILTER(DATOS!$K$2:$K$20000,(DATOS!$G$2:$G$20000=CONFIG_METADATA!$B$4)*(DATOS!$D$2:$D$20000=A80)*(DATOS!$I$2:$I$20000=B80)*(DATOS!$L$2:$L$20000="N"))),"—")</f>
        <v>—</v>
      </c>
      <c r="L80">
        <f>SUMPRODUCT((DATOS!$G$2:$G$20000=CONFIG_METADATA!$B$4)*(DATOS!$D$2:$D$20000=A80)*(DATOS!$I$2:$I$20000=B80)*(DATOS!$K$2:$K$20000=1))</f>
        <v>0</v>
      </c>
      <c r="M80">
        <f>SUMPRODUCT((DATOS!$G$2:$G$20000=CONFIG_METADATA!$B$4)*(DATOS!$D$2:$D$20000=A80)*(DATOS!$I$2:$I$20000=B80)*(DATOS!$K$2:$K$20000=2))</f>
        <v>0</v>
      </c>
      <c r="N80">
        <f>SUMPRODUCT((DATOS!$G$2:$G$20000=CONFIG_METADATA!$B$4)*(DATOS!$D$2:$D$20000=A80)*(DATOS!$I$2:$I$20000=B80)*(DATOS!$K$2:$K$20000=3))</f>
        <v>0</v>
      </c>
      <c r="O80">
        <f>SUMPRODUCT((DATOS!$G$2:$G$20000=CONFIG_METADATA!$B$4)*(DATOS!$D$2:$D$20000=A80)*(DATOS!$I$2:$I$20000=B80)*(DATOS!$K$2:$K$20000=4))</f>
        <v>0</v>
      </c>
      <c r="P80">
        <f>SUMPRODUCT((DATOS!$G$2:$G$20000=CONFIG_METADATA!$B$4)*(DATOS!$D$2:$D$20000=A80)*(DATOS!$I$2:$I$20000=B80)*(DATOS!$K$2:$K$20000=5))</f>
        <v>0</v>
      </c>
      <c r="Q80">
        <f>SUMPRODUCT((DATOS!$G$2:$G$20000=CONFIG_METADATA!$B$4)*(DATOS!$D$2:$D$20000=A80)*(DATOS!$I$2:$I$20000=B80)*(DATOS!$K$2:$K$20000=6))</f>
        <v>0</v>
      </c>
      <c r="R80">
        <f>SUMPRODUCT((DATOS!$G$2:$G$20000=CONFIG_METADATA!$B$4)*(DATOS!$D$2:$D$20000=A80)*(DATOS!$I$2:$I$20000=B80)*(DATOS!$K$2:$K$20000=7))</f>
        <v>0</v>
      </c>
      <c r="S80">
        <f>SUMPRODUCT((DATOS!$G$2:$G$20000=CONFIG_METADATA!$B$4)*(DATOS!$D$2:$D$20000=A80)*(DATOS!$I$2:$I$20000=B80)*(DATOS!$K$2:$K$20000=8))</f>
        <v>0</v>
      </c>
      <c r="T80">
        <f>SUMPRODUCT((DATOS!$G$2:$G$20000=CONFIG_METADATA!$B$4)*(DATOS!$D$2:$D$20000=A80)*(DATOS!$I$2:$I$20000=B80)*(DATOS!$K$2:$K$20000=9))</f>
        <v>0</v>
      </c>
      <c r="U80">
        <f>SUMPRODUCT((DATOS!$G$2:$G$20000=CONFIG_METADATA!$B$4)*(DATOS!$D$2:$D$20000=A80)*(DATOS!$I$2:$I$20000=B80)*(DATOS!$K$2:$K$20000=10))</f>
        <v>0</v>
      </c>
    </row>
    <row r="81" spans="1:21" x14ac:dyDescent="0.2">
      <c r="A81" t="s">
        <v>78</v>
      </c>
      <c r="B81" t="s">
        <v>43</v>
      </c>
      <c r="C81" t="s">
        <v>25</v>
      </c>
      <c r="D81">
        <f>SUMPRODUCT((DATOS!$G$2:$G$20000=CONFIG_METADATA!$B$4)*(DATOS!$D$2:$D$20000=A81)*(DATOS!$I$2:$I$20000=B81))</f>
        <v>0</v>
      </c>
      <c r="E81" s="10" t="str">
        <f>IFERROR(SUMPRODUCT((DATOS!$G$2:$G$20000=CONFIG_METADATA!$B$4)*(DATOS!$D$2:$D$20000=A81)*(DATOS!$I$2:$I$20000=B81)*(DATOS!$K$2:$K$20000))/D81,"—")</f>
        <v>—</v>
      </c>
      <c r="F81" s="10" t="str" cm="1">
        <f t="array" ref="F81">IFERROR(_xlfn.STDEV.P(_xlfn._xlws.FILTER(DATOS!$K$2:$K$20000,(DATOS!$G$2:$G$20000=CONFIG_METADATA!$B$4)*(DATOS!$D$2:$D$20000=A81)*(DATOS!$I$2:$I$20000=B81))),"—")</f>
        <v>—</v>
      </c>
      <c r="G81" t="str" cm="1">
        <f t="array" ref="G81">IFERROR(_xlfn.MODE.SNGL(_xlfn._xlws.FILTER(DATOS!$K$2:$K$20000,(DATOS!$G$2:$G$20000=CONFIG_METADATA!$B$4)*(DATOS!$D$2:$D$20000=A81)*(DATOS!$I$2:$I$20000=B81))),"—")</f>
        <v>—</v>
      </c>
      <c r="H81" s="11" t="str">
        <f>IFERROR(SUMPRODUCT((DATOS!$G$2:$G$20000=CONFIG_METADATA!$B$4)*(DATOS!$D$2:$D$20000=A81)*(DATOS!$I$2:$I$20000=B81)*(DATOS!$L$2:$L$20000="S"))/D81,"—")</f>
        <v>—</v>
      </c>
      <c r="I81" s="11" t="str">
        <f>IFERROR(SUMPRODUCT((DATOS!$G$2:$G$20000=CONFIG_METADATA!$B$4)*(DATOS!$D$2:$D$20000=A81)*(DATOS!$I$2:$I$20000=B81)*(DATOS!$L$2:$L$20000="N"))/D81,"—")</f>
        <v>—</v>
      </c>
      <c r="J81" t="str" cm="1">
        <f t="array" ref="J81">IFERROR(_xlfn.MODE.SNGL(_xlfn._xlws.FILTER(DATOS!$K$2:$K$20000,(DATOS!$G$2:$G$20000=CONFIG_METADATA!$B$4)*(DATOS!$D$2:$D$20000=A81)*(DATOS!$I$2:$I$20000=B81)*(DATOS!$L$2:$L$20000="S"))),"—")</f>
        <v>—</v>
      </c>
      <c r="K81" t="str" cm="1">
        <f t="array" ref="K81">IFERROR(_xlfn.MODE.SNGL(_xlfn._xlws.FILTER(DATOS!$K$2:$K$20000,(DATOS!$G$2:$G$20000=CONFIG_METADATA!$B$4)*(DATOS!$D$2:$D$20000=A81)*(DATOS!$I$2:$I$20000=B81)*(DATOS!$L$2:$L$20000="N"))),"—")</f>
        <v>—</v>
      </c>
      <c r="L81">
        <f>SUMPRODUCT((DATOS!$G$2:$G$20000=CONFIG_METADATA!$B$4)*(DATOS!$D$2:$D$20000=A81)*(DATOS!$I$2:$I$20000=B81)*(DATOS!$K$2:$K$20000=1))</f>
        <v>0</v>
      </c>
      <c r="M81">
        <f>SUMPRODUCT((DATOS!$G$2:$G$20000=CONFIG_METADATA!$B$4)*(DATOS!$D$2:$D$20000=A81)*(DATOS!$I$2:$I$20000=B81)*(DATOS!$K$2:$K$20000=2))</f>
        <v>0</v>
      </c>
      <c r="N81">
        <f>SUMPRODUCT((DATOS!$G$2:$G$20000=CONFIG_METADATA!$B$4)*(DATOS!$D$2:$D$20000=A81)*(DATOS!$I$2:$I$20000=B81)*(DATOS!$K$2:$K$20000=3))</f>
        <v>0</v>
      </c>
      <c r="O81">
        <f>SUMPRODUCT((DATOS!$G$2:$G$20000=CONFIG_METADATA!$B$4)*(DATOS!$D$2:$D$20000=A81)*(DATOS!$I$2:$I$20000=B81)*(DATOS!$K$2:$K$20000=4))</f>
        <v>0</v>
      </c>
      <c r="P81">
        <f>SUMPRODUCT((DATOS!$G$2:$G$20000=CONFIG_METADATA!$B$4)*(DATOS!$D$2:$D$20000=A81)*(DATOS!$I$2:$I$20000=B81)*(DATOS!$K$2:$K$20000=5))</f>
        <v>0</v>
      </c>
      <c r="Q81">
        <f>SUMPRODUCT((DATOS!$G$2:$G$20000=CONFIG_METADATA!$B$4)*(DATOS!$D$2:$D$20000=A81)*(DATOS!$I$2:$I$20000=B81)*(DATOS!$K$2:$K$20000=6))</f>
        <v>0</v>
      </c>
      <c r="R81">
        <f>SUMPRODUCT((DATOS!$G$2:$G$20000=CONFIG_METADATA!$B$4)*(DATOS!$D$2:$D$20000=A81)*(DATOS!$I$2:$I$20000=B81)*(DATOS!$K$2:$K$20000=7))</f>
        <v>0</v>
      </c>
      <c r="S81">
        <f>SUMPRODUCT((DATOS!$G$2:$G$20000=CONFIG_METADATA!$B$4)*(DATOS!$D$2:$D$20000=A81)*(DATOS!$I$2:$I$20000=B81)*(DATOS!$K$2:$K$20000=8))</f>
        <v>0</v>
      </c>
      <c r="T81">
        <f>SUMPRODUCT((DATOS!$G$2:$G$20000=CONFIG_METADATA!$B$4)*(DATOS!$D$2:$D$20000=A81)*(DATOS!$I$2:$I$20000=B81)*(DATOS!$K$2:$K$20000=9))</f>
        <v>0</v>
      </c>
      <c r="U81">
        <f>SUMPRODUCT((DATOS!$G$2:$G$20000=CONFIG_METADATA!$B$4)*(DATOS!$D$2:$D$20000=A81)*(DATOS!$I$2:$I$20000=B81)*(DATOS!$K$2:$K$20000=10))</f>
        <v>0</v>
      </c>
    </row>
    <row r="82" spans="1:21" x14ac:dyDescent="0.2">
      <c r="A82" t="s">
        <v>78</v>
      </c>
      <c r="B82" t="s">
        <v>44</v>
      </c>
      <c r="C82" t="s">
        <v>25</v>
      </c>
      <c r="D82">
        <f>SUMPRODUCT((DATOS!$G$2:$G$20000=CONFIG_METADATA!$B$4)*(DATOS!$D$2:$D$20000=A82)*(DATOS!$I$2:$I$20000=B82))</f>
        <v>0</v>
      </c>
      <c r="E82" s="10" t="str">
        <f>IFERROR(SUMPRODUCT((DATOS!$G$2:$G$20000=CONFIG_METADATA!$B$4)*(DATOS!$D$2:$D$20000=A82)*(DATOS!$I$2:$I$20000=B82)*(DATOS!$K$2:$K$20000))/D82,"—")</f>
        <v>—</v>
      </c>
      <c r="F82" s="10" t="str" cm="1">
        <f t="array" ref="F82">IFERROR(_xlfn.STDEV.P(_xlfn._xlws.FILTER(DATOS!$K$2:$K$20000,(DATOS!$G$2:$G$20000=CONFIG_METADATA!$B$4)*(DATOS!$D$2:$D$20000=A82)*(DATOS!$I$2:$I$20000=B82))),"—")</f>
        <v>—</v>
      </c>
      <c r="G82" t="str" cm="1">
        <f t="array" ref="G82">IFERROR(_xlfn.MODE.SNGL(_xlfn._xlws.FILTER(DATOS!$K$2:$K$20000,(DATOS!$G$2:$G$20000=CONFIG_METADATA!$B$4)*(DATOS!$D$2:$D$20000=A82)*(DATOS!$I$2:$I$20000=B82))),"—")</f>
        <v>—</v>
      </c>
      <c r="H82" s="11" t="str">
        <f>IFERROR(SUMPRODUCT((DATOS!$G$2:$G$20000=CONFIG_METADATA!$B$4)*(DATOS!$D$2:$D$20000=A82)*(DATOS!$I$2:$I$20000=B82)*(DATOS!$L$2:$L$20000="S"))/D82,"—")</f>
        <v>—</v>
      </c>
      <c r="I82" s="11" t="str">
        <f>IFERROR(SUMPRODUCT((DATOS!$G$2:$G$20000=CONFIG_METADATA!$B$4)*(DATOS!$D$2:$D$20000=A82)*(DATOS!$I$2:$I$20000=B82)*(DATOS!$L$2:$L$20000="N"))/D82,"—")</f>
        <v>—</v>
      </c>
      <c r="J82" t="str" cm="1">
        <f t="array" ref="J82">IFERROR(_xlfn.MODE.SNGL(_xlfn._xlws.FILTER(DATOS!$K$2:$K$20000,(DATOS!$G$2:$G$20000=CONFIG_METADATA!$B$4)*(DATOS!$D$2:$D$20000=A82)*(DATOS!$I$2:$I$20000=B82)*(DATOS!$L$2:$L$20000="S"))),"—")</f>
        <v>—</v>
      </c>
      <c r="K82" t="str" cm="1">
        <f t="array" ref="K82">IFERROR(_xlfn.MODE.SNGL(_xlfn._xlws.FILTER(DATOS!$K$2:$K$20000,(DATOS!$G$2:$G$20000=CONFIG_METADATA!$B$4)*(DATOS!$D$2:$D$20000=A82)*(DATOS!$I$2:$I$20000=B82)*(DATOS!$L$2:$L$20000="N"))),"—")</f>
        <v>—</v>
      </c>
      <c r="L82">
        <f>SUMPRODUCT((DATOS!$G$2:$G$20000=CONFIG_METADATA!$B$4)*(DATOS!$D$2:$D$20000=A82)*(DATOS!$I$2:$I$20000=B82)*(DATOS!$K$2:$K$20000=1))</f>
        <v>0</v>
      </c>
      <c r="M82">
        <f>SUMPRODUCT((DATOS!$G$2:$G$20000=CONFIG_METADATA!$B$4)*(DATOS!$D$2:$D$20000=A82)*(DATOS!$I$2:$I$20000=B82)*(DATOS!$K$2:$K$20000=2))</f>
        <v>0</v>
      </c>
      <c r="N82">
        <f>SUMPRODUCT((DATOS!$G$2:$G$20000=CONFIG_METADATA!$B$4)*(DATOS!$D$2:$D$20000=A82)*(DATOS!$I$2:$I$20000=B82)*(DATOS!$K$2:$K$20000=3))</f>
        <v>0</v>
      </c>
      <c r="O82">
        <f>SUMPRODUCT((DATOS!$G$2:$G$20000=CONFIG_METADATA!$B$4)*(DATOS!$D$2:$D$20000=A82)*(DATOS!$I$2:$I$20000=B82)*(DATOS!$K$2:$K$20000=4))</f>
        <v>0</v>
      </c>
      <c r="P82">
        <f>SUMPRODUCT((DATOS!$G$2:$G$20000=CONFIG_METADATA!$B$4)*(DATOS!$D$2:$D$20000=A82)*(DATOS!$I$2:$I$20000=B82)*(DATOS!$K$2:$K$20000=5))</f>
        <v>0</v>
      </c>
      <c r="Q82">
        <f>SUMPRODUCT((DATOS!$G$2:$G$20000=CONFIG_METADATA!$B$4)*(DATOS!$D$2:$D$20000=A82)*(DATOS!$I$2:$I$20000=B82)*(DATOS!$K$2:$K$20000=6))</f>
        <v>0</v>
      </c>
      <c r="R82">
        <f>SUMPRODUCT((DATOS!$G$2:$G$20000=CONFIG_METADATA!$B$4)*(DATOS!$D$2:$D$20000=A82)*(DATOS!$I$2:$I$20000=B82)*(DATOS!$K$2:$K$20000=7))</f>
        <v>0</v>
      </c>
      <c r="S82">
        <f>SUMPRODUCT((DATOS!$G$2:$G$20000=CONFIG_METADATA!$B$4)*(DATOS!$D$2:$D$20000=A82)*(DATOS!$I$2:$I$20000=B82)*(DATOS!$K$2:$K$20000=8))</f>
        <v>0</v>
      </c>
      <c r="T82">
        <f>SUMPRODUCT((DATOS!$G$2:$G$20000=CONFIG_METADATA!$B$4)*(DATOS!$D$2:$D$20000=A82)*(DATOS!$I$2:$I$20000=B82)*(DATOS!$K$2:$K$20000=9))</f>
        <v>0</v>
      </c>
      <c r="U82">
        <f>SUMPRODUCT((DATOS!$G$2:$G$20000=CONFIG_METADATA!$B$4)*(DATOS!$D$2:$D$20000=A82)*(DATOS!$I$2:$I$20000=B82)*(DATOS!$K$2:$K$20000=10))</f>
        <v>0</v>
      </c>
    </row>
    <row r="83" spans="1:21" x14ac:dyDescent="0.2">
      <c r="A83" t="s">
        <v>78</v>
      </c>
      <c r="B83" t="s">
        <v>45</v>
      </c>
      <c r="C83" t="s">
        <v>25</v>
      </c>
      <c r="D83">
        <f>SUMPRODUCT((DATOS!$G$2:$G$20000=CONFIG_METADATA!$B$4)*(DATOS!$D$2:$D$20000=A83)*(DATOS!$I$2:$I$20000=B83))</f>
        <v>0</v>
      </c>
      <c r="E83" s="10" t="str">
        <f>IFERROR(SUMPRODUCT((DATOS!$G$2:$G$20000=CONFIG_METADATA!$B$4)*(DATOS!$D$2:$D$20000=A83)*(DATOS!$I$2:$I$20000=B83)*(DATOS!$K$2:$K$20000))/D83,"—")</f>
        <v>—</v>
      </c>
      <c r="F83" s="10" t="str" cm="1">
        <f t="array" ref="F83">IFERROR(_xlfn.STDEV.P(_xlfn._xlws.FILTER(DATOS!$K$2:$K$20000,(DATOS!$G$2:$G$20000=CONFIG_METADATA!$B$4)*(DATOS!$D$2:$D$20000=A83)*(DATOS!$I$2:$I$20000=B83))),"—")</f>
        <v>—</v>
      </c>
      <c r="G83" t="str" cm="1">
        <f t="array" ref="G83">IFERROR(_xlfn.MODE.SNGL(_xlfn._xlws.FILTER(DATOS!$K$2:$K$20000,(DATOS!$G$2:$G$20000=CONFIG_METADATA!$B$4)*(DATOS!$D$2:$D$20000=A83)*(DATOS!$I$2:$I$20000=B83))),"—")</f>
        <v>—</v>
      </c>
      <c r="H83" s="11" t="str">
        <f>IFERROR(SUMPRODUCT((DATOS!$G$2:$G$20000=CONFIG_METADATA!$B$4)*(DATOS!$D$2:$D$20000=A83)*(DATOS!$I$2:$I$20000=B83)*(DATOS!$L$2:$L$20000="S"))/D83,"—")</f>
        <v>—</v>
      </c>
      <c r="I83" s="11" t="str">
        <f>IFERROR(SUMPRODUCT((DATOS!$G$2:$G$20000=CONFIG_METADATA!$B$4)*(DATOS!$D$2:$D$20000=A83)*(DATOS!$I$2:$I$20000=B83)*(DATOS!$L$2:$L$20000="N"))/D83,"—")</f>
        <v>—</v>
      </c>
      <c r="J83" t="str" cm="1">
        <f t="array" ref="J83">IFERROR(_xlfn.MODE.SNGL(_xlfn._xlws.FILTER(DATOS!$K$2:$K$20000,(DATOS!$G$2:$G$20000=CONFIG_METADATA!$B$4)*(DATOS!$D$2:$D$20000=A83)*(DATOS!$I$2:$I$20000=B83)*(DATOS!$L$2:$L$20000="S"))),"—")</f>
        <v>—</v>
      </c>
      <c r="K83" t="str" cm="1">
        <f t="array" ref="K83">IFERROR(_xlfn.MODE.SNGL(_xlfn._xlws.FILTER(DATOS!$K$2:$K$20000,(DATOS!$G$2:$G$20000=CONFIG_METADATA!$B$4)*(DATOS!$D$2:$D$20000=A83)*(DATOS!$I$2:$I$20000=B83)*(DATOS!$L$2:$L$20000="N"))),"—")</f>
        <v>—</v>
      </c>
      <c r="L83">
        <f>SUMPRODUCT((DATOS!$G$2:$G$20000=CONFIG_METADATA!$B$4)*(DATOS!$D$2:$D$20000=A83)*(DATOS!$I$2:$I$20000=B83)*(DATOS!$K$2:$K$20000=1))</f>
        <v>0</v>
      </c>
      <c r="M83">
        <f>SUMPRODUCT((DATOS!$G$2:$G$20000=CONFIG_METADATA!$B$4)*(DATOS!$D$2:$D$20000=A83)*(DATOS!$I$2:$I$20000=B83)*(DATOS!$K$2:$K$20000=2))</f>
        <v>0</v>
      </c>
      <c r="N83">
        <f>SUMPRODUCT((DATOS!$G$2:$G$20000=CONFIG_METADATA!$B$4)*(DATOS!$D$2:$D$20000=A83)*(DATOS!$I$2:$I$20000=B83)*(DATOS!$K$2:$K$20000=3))</f>
        <v>0</v>
      </c>
      <c r="O83">
        <f>SUMPRODUCT((DATOS!$G$2:$G$20000=CONFIG_METADATA!$B$4)*(DATOS!$D$2:$D$20000=A83)*(DATOS!$I$2:$I$20000=B83)*(DATOS!$K$2:$K$20000=4))</f>
        <v>0</v>
      </c>
      <c r="P83">
        <f>SUMPRODUCT((DATOS!$G$2:$G$20000=CONFIG_METADATA!$B$4)*(DATOS!$D$2:$D$20000=A83)*(DATOS!$I$2:$I$20000=B83)*(DATOS!$K$2:$K$20000=5))</f>
        <v>0</v>
      </c>
      <c r="Q83">
        <f>SUMPRODUCT((DATOS!$G$2:$G$20000=CONFIG_METADATA!$B$4)*(DATOS!$D$2:$D$20000=A83)*(DATOS!$I$2:$I$20000=B83)*(DATOS!$K$2:$K$20000=6))</f>
        <v>0</v>
      </c>
      <c r="R83">
        <f>SUMPRODUCT((DATOS!$G$2:$G$20000=CONFIG_METADATA!$B$4)*(DATOS!$D$2:$D$20000=A83)*(DATOS!$I$2:$I$20000=B83)*(DATOS!$K$2:$K$20000=7))</f>
        <v>0</v>
      </c>
      <c r="S83">
        <f>SUMPRODUCT((DATOS!$G$2:$G$20000=CONFIG_METADATA!$B$4)*(DATOS!$D$2:$D$20000=A83)*(DATOS!$I$2:$I$20000=B83)*(DATOS!$K$2:$K$20000=8))</f>
        <v>0</v>
      </c>
      <c r="T83">
        <f>SUMPRODUCT((DATOS!$G$2:$G$20000=CONFIG_METADATA!$B$4)*(DATOS!$D$2:$D$20000=A83)*(DATOS!$I$2:$I$20000=B83)*(DATOS!$K$2:$K$20000=9))</f>
        <v>0</v>
      </c>
      <c r="U83">
        <f>SUMPRODUCT((DATOS!$G$2:$G$20000=CONFIG_METADATA!$B$4)*(DATOS!$D$2:$D$20000=A83)*(DATOS!$I$2:$I$20000=B83)*(DATOS!$K$2:$K$20000=10))</f>
        <v>0</v>
      </c>
    </row>
    <row r="84" spans="1:21" x14ac:dyDescent="0.2">
      <c r="A84" t="s">
        <v>78</v>
      </c>
      <c r="B84" t="s">
        <v>46</v>
      </c>
      <c r="C84" t="s">
        <v>25</v>
      </c>
      <c r="D84">
        <f>SUMPRODUCT((DATOS!$G$2:$G$20000=CONFIG_METADATA!$B$4)*(DATOS!$D$2:$D$20000=A84)*(DATOS!$I$2:$I$20000=B84))</f>
        <v>0</v>
      </c>
      <c r="E84" s="10" t="str">
        <f>IFERROR(SUMPRODUCT((DATOS!$G$2:$G$20000=CONFIG_METADATA!$B$4)*(DATOS!$D$2:$D$20000=A84)*(DATOS!$I$2:$I$20000=B84)*(DATOS!$K$2:$K$20000))/D84,"—")</f>
        <v>—</v>
      </c>
      <c r="F84" s="10" t="str" cm="1">
        <f t="array" ref="F84">IFERROR(_xlfn.STDEV.P(_xlfn._xlws.FILTER(DATOS!$K$2:$K$20000,(DATOS!$G$2:$G$20000=CONFIG_METADATA!$B$4)*(DATOS!$D$2:$D$20000=A84)*(DATOS!$I$2:$I$20000=B84))),"—")</f>
        <v>—</v>
      </c>
      <c r="G84" t="str" cm="1">
        <f t="array" ref="G84">IFERROR(_xlfn.MODE.SNGL(_xlfn._xlws.FILTER(DATOS!$K$2:$K$20000,(DATOS!$G$2:$G$20000=CONFIG_METADATA!$B$4)*(DATOS!$D$2:$D$20000=A84)*(DATOS!$I$2:$I$20000=B84))),"—")</f>
        <v>—</v>
      </c>
      <c r="H84" s="11" t="str">
        <f>IFERROR(SUMPRODUCT((DATOS!$G$2:$G$20000=CONFIG_METADATA!$B$4)*(DATOS!$D$2:$D$20000=A84)*(DATOS!$I$2:$I$20000=B84)*(DATOS!$L$2:$L$20000="S"))/D84,"—")</f>
        <v>—</v>
      </c>
      <c r="I84" s="11" t="str">
        <f>IFERROR(SUMPRODUCT((DATOS!$G$2:$G$20000=CONFIG_METADATA!$B$4)*(DATOS!$D$2:$D$20000=A84)*(DATOS!$I$2:$I$20000=B84)*(DATOS!$L$2:$L$20000="N"))/D84,"—")</f>
        <v>—</v>
      </c>
      <c r="J84" t="str" cm="1">
        <f t="array" ref="J84">IFERROR(_xlfn.MODE.SNGL(_xlfn._xlws.FILTER(DATOS!$K$2:$K$20000,(DATOS!$G$2:$G$20000=CONFIG_METADATA!$B$4)*(DATOS!$D$2:$D$20000=A84)*(DATOS!$I$2:$I$20000=B84)*(DATOS!$L$2:$L$20000="S"))),"—")</f>
        <v>—</v>
      </c>
      <c r="K84" t="str" cm="1">
        <f t="array" ref="K84">IFERROR(_xlfn.MODE.SNGL(_xlfn._xlws.FILTER(DATOS!$K$2:$K$20000,(DATOS!$G$2:$G$20000=CONFIG_METADATA!$B$4)*(DATOS!$D$2:$D$20000=A84)*(DATOS!$I$2:$I$20000=B84)*(DATOS!$L$2:$L$20000="N"))),"—")</f>
        <v>—</v>
      </c>
      <c r="L84">
        <f>SUMPRODUCT((DATOS!$G$2:$G$20000=CONFIG_METADATA!$B$4)*(DATOS!$D$2:$D$20000=A84)*(DATOS!$I$2:$I$20000=B84)*(DATOS!$K$2:$K$20000=1))</f>
        <v>0</v>
      </c>
      <c r="M84">
        <f>SUMPRODUCT((DATOS!$G$2:$G$20000=CONFIG_METADATA!$B$4)*(DATOS!$D$2:$D$20000=A84)*(DATOS!$I$2:$I$20000=B84)*(DATOS!$K$2:$K$20000=2))</f>
        <v>0</v>
      </c>
      <c r="N84">
        <f>SUMPRODUCT((DATOS!$G$2:$G$20000=CONFIG_METADATA!$B$4)*(DATOS!$D$2:$D$20000=A84)*(DATOS!$I$2:$I$20000=B84)*(DATOS!$K$2:$K$20000=3))</f>
        <v>0</v>
      </c>
      <c r="O84">
        <f>SUMPRODUCT((DATOS!$G$2:$G$20000=CONFIG_METADATA!$B$4)*(DATOS!$D$2:$D$20000=A84)*(DATOS!$I$2:$I$20000=B84)*(DATOS!$K$2:$K$20000=4))</f>
        <v>0</v>
      </c>
      <c r="P84">
        <f>SUMPRODUCT((DATOS!$G$2:$G$20000=CONFIG_METADATA!$B$4)*(DATOS!$D$2:$D$20000=A84)*(DATOS!$I$2:$I$20000=B84)*(DATOS!$K$2:$K$20000=5))</f>
        <v>0</v>
      </c>
      <c r="Q84">
        <f>SUMPRODUCT((DATOS!$G$2:$G$20000=CONFIG_METADATA!$B$4)*(DATOS!$D$2:$D$20000=A84)*(DATOS!$I$2:$I$20000=B84)*(DATOS!$K$2:$K$20000=6))</f>
        <v>0</v>
      </c>
      <c r="R84">
        <f>SUMPRODUCT((DATOS!$G$2:$G$20000=CONFIG_METADATA!$B$4)*(DATOS!$D$2:$D$20000=A84)*(DATOS!$I$2:$I$20000=B84)*(DATOS!$K$2:$K$20000=7))</f>
        <v>0</v>
      </c>
      <c r="S84">
        <f>SUMPRODUCT((DATOS!$G$2:$G$20000=CONFIG_METADATA!$B$4)*(DATOS!$D$2:$D$20000=A84)*(DATOS!$I$2:$I$20000=B84)*(DATOS!$K$2:$K$20000=8))</f>
        <v>0</v>
      </c>
      <c r="T84">
        <f>SUMPRODUCT((DATOS!$G$2:$G$20000=CONFIG_METADATA!$B$4)*(DATOS!$D$2:$D$20000=A84)*(DATOS!$I$2:$I$20000=B84)*(DATOS!$K$2:$K$20000=9))</f>
        <v>0</v>
      </c>
      <c r="U84">
        <f>SUMPRODUCT((DATOS!$G$2:$G$20000=CONFIG_METADATA!$B$4)*(DATOS!$D$2:$D$20000=A84)*(DATOS!$I$2:$I$20000=B84)*(DATOS!$K$2:$K$20000=10))</f>
        <v>0</v>
      </c>
    </row>
    <row r="85" spans="1:21" x14ac:dyDescent="0.2">
      <c r="A85" t="s">
        <v>78</v>
      </c>
      <c r="B85" t="s">
        <v>47</v>
      </c>
      <c r="C85" t="s">
        <v>25</v>
      </c>
      <c r="D85">
        <f>SUMPRODUCT((DATOS!$G$2:$G$20000=CONFIG_METADATA!$B$4)*(DATOS!$D$2:$D$20000=A85)*(DATOS!$I$2:$I$20000=B85))</f>
        <v>0</v>
      </c>
      <c r="E85" s="10" t="str">
        <f>IFERROR(SUMPRODUCT((DATOS!$G$2:$G$20000=CONFIG_METADATA!$B$4)*(DATOS!$D$2:$D$20000=A85)*(DATOS!$I$2:$I$20000=B85)*(DATOS!$K$2:$K$20000))/D85,"—")</f>
        <v>—</v>
      </c>
      <c r="F85" s="10" t="str" cm="1">
        <f t="array" ref="F85">IFERROR(_xlfn.STDEV.P(_xlfn._xlws.FILTER(DATOS!$K$2:$K$20000,(DATOS!$G$2:$G$20000=CONFIG_METADATA!$B$4)*(DATOS!$D$2:$D$20000=A85)*(DATOS!$I$2:$I$20000=B85))),"—")</f>
        <v>—</v>
      </c>
      <c r="G85" t="str" cm="1">
        <f t="array" ref="G85">IFERROR(_xlfn.MODE.SNGL(_xlfn._xlws.FILTER(DATOS!$K$2:$K$20000,(DATOS!$G$2:$G$20000=CONFIG_METADATA!$B$4)*(DATOS!$D$2:$D$20000=A85)*(DATOS!$I$2:$I$20000=B85))),"—")</f>
        <v>—</v>
      </c>
      <c r="H85" s="11" t="str">
        <f>IFERROR(SUMPRODUCT((DATOS!$G$2:$G$20000=CONFIG_METADATA!$B$4)*(DATOS!$D$2:$D$20000=A85)*(DATOS!$I$2:$I$20000=B85)*(DATOS!$L$2:$L$20000="S"))/D85,"—")</f>
        <v>—</v>
      </c>
      <c r="I85" s="11" t="str">
        <f>IFERROR(SUMPRODUCT((DATOS!$G$2:$G$20000=CONFIG_METADATA!$B$4)*(DATOS!$D$2:$D$20000=A85)*(DATOS!$I$2:$I$20000=B85)*(DATOS!$L$2:$L$20000="N"))/D85,"—")</f>
        <v>—</v>
      </c>
      <c r="J85" t="str" cm="1">
        <f t="array" ref="J85">IFERROR(_xlfn.MODE.SNGL(_xlfn._xlws.FILTER(DATOS!$K$2:$K$20000,(DATOS!$G$2:$G$20000=CONFIG_METADATA!$B$4)*(DATOS!$D$2:$D$20000=A85)*(DATOS!$I$2:$I$20000=B85)*(DATOS!$L$2:$L$20000="S"))),"—")</f>
        <v>—</v>
      </c>
      <c r="K85" t="str" cm="1">
        <f t="array" ref="K85">IFERROR(_xlfn.MODE.SNGL(_xlfn._xlws.FILTER(DATOS!$K$2:$K$20000,(DATOS!$G$2:$G$20000=CONFIG_METADATA!$B$4)*(DATOS!$D$2:$D$20000=A85)*(DATOS!$I$2:$I$20000=B85)*(DATOS!$L$2:$L$20000="N"))),"—")</f>
        <v>—</v>
      </c>
      <c r="L85">
        <f>SUMPRODUCT((DATOS!$G$2:$G$20000=CONFIG_METADATA!$B$4)*(DATOS!$D$2:$D$20000=A85)*(DATOS!$I$2:$I$20000=B85)*(DATOS!$K$2:$K$20000=1))</f>
        <v>0</v>
      </c>
      <c r="M85">
        <f>SUMPRODUCT((DATOS!$G$2:$G$20000=CONFIG_METADATA!$B$4)*(DATOS!$D$2:$D$20000=A85)*(DATOS!$I$2:$I$20000=B85)*(DATOS!$K$2:$K$20000=2))</f>
        <v>0</v>
      </c>
      <c r="N85">
        <f>SUMPRODUCT((DATOS!$G$2:$G$20000=CONFIG_METADATA!$B$4)*(DATOS!$D$2:$D$20000=A85)*(DATOS!$I$2:$I$20000=B85)*(DATOS!$K$2:$K$20000=3))</f>
        <v>0</v>
      </c>
      <c r="O85">
        <f>SUMPRODUCT((DATOS!$G$2:$G$20000=CONFIG_METADATA!$B$4)*(DATOS!$D$2:$D$20000=A85)*(DATOS!$I$2:$I$20000=B85)*(DATOS!$K$2:$K$20000=4))</f>
        <v>0</v>
      </c>
      <c r="P85">
        <f>SUMPRODUCT((DATOS!$G$2:$G$20000=CONFIG_METADATA!$B$4)*(DATOS!$D$2:$D$20000=A85)*(DATOS!$I$2:$I$20000=B85)*(DATOS!$K$2:$K$20000=5))</f>
        <v>0</v>
      </c>
      <c r="Q85">
        <f>SUMPRODUCT((DATOS!$G$2:$G$20000=CONFIG_METADATA!$B$4)*(DATOS!$D$2:$D$20000=A85)*(DATOS!$I$2:$I$20000=B85)*(DATOS!$K$2:$K$20000=6))</f>
        <v>0</v>
      </c>
      <c r="R85">
        <f>SUMPRODUCT((DATOS!$G$2:$G$20000=CONFIG_METADATA!$B$4)*(DATOS!$D$2:$D$20000=A85)*(DATOS!$I$2:$I$20000=B85)*(DATOS!$K$2:$K$20000=7))</f>
        <v>0</v>
      </c>
      <c r="S85">
        <f>SUMPRODUCT((DATOS!$G$2:$G$20000=CONFIG_METADATA!$B$4)*(DATOS!$D$2:$D$20000=A85)*(DATOS!$I$2:$I$20000=B85)*(DATOS!$K$2:$K$20000=8))</f>
        <v>0</v>
      </c>
      <c r="T85">
        <f>SUMPRODUCT((DATOS!$G$2:$G$20000=CONFIG_METADATA!$B$4)*(DATOS!$D$2:$D$20000=A85)*(DATOS!$I$2:$I$20000=B85)*(DATOS!$K$2:$K$20000=9))</f>
        <v>0</v>
      </c>
      <c r="U85">
        <f>SUMPRODUCT((DATOS!$G$2:$G$20000=CONFIG_METADATA!$B$4)*(DATOS!$D$2:$D$20000=A85)*(DATOS!$I$2:$I$20000=B85)*(DATOS!$K$2:$K$20000=10))</f>
        <v>0</v>
      </c>
    </row>
    <row r="86" spans="1:21" x14ac:dyDescent="0.2">
      <c r="A86" t="s">
        <v>78</v>
      </c>
      <c r="B86" t="s">
        <v>48</v>
      </c>
      <c r="C86" t="s">
        <v>25</v>
      </c>
      <c r="D86">
        <f>SUMPRODUCT((DATOS!$G$2:$G$20000=CONFIG_METADATA!$B$4)*(DATOS!$D$2:$D$20000=A86)*(DATOS!$I$2:$I$20000=B86))</f>
        <v>0</v>
      </c>
      <c r="E86" s="10" t="str">
        <f>IFERROR(SUMPRODUCT((DATOS!$G$2:$G$20000=CONFIG_METADATA!$B$4)*(DATOS!$D$2:$D$20000=A86)*(DATOS!$I$2:$I$20000=B86)*(DATOS!$K$2:$K$20000))/D86,"—")</f>
        <v>—</v>
      </c>
      <c r="F86" s="10" t="str" cm="1">
        <f t="array" ref="F86">IFERROR(_xlfn.STDEV.P(_xlfn._xlws.FILTER(DATOS!$K$2:$K$20000,(DATOS!$G$2:$G$20000=CONFIG_METADATA!$B$4)*(DATOS!$D$2:$D$20000=A86)*(DATOS!$I$2:$I$20000=B86))),"—")</f>
        <v>—</v>
      </c>
      <c r="G86" t="str" cm="1">
        <f t="array" ref="G86">IFERROR(_xlfn.MODE.SNGL(_xlfn._xlws.FILTER(DATOS!$K$2:$K$20000,(DATOS!$G$2:$G$20000=CONFIG_METADATA!$B$4)*(DATOS!$D$2:$D$20000=A86)*(DATOS!$I$2:$I$20000=B86))),"—")</f>
        <v>—</v>
      </c>
      <c r="H86" s="11" t="str">
        <f>IFERROR(SUMPRODUCT((DATOS!$G$2:$G$20000=CONFIG_METADATA!$B$4)*(DATOS!$D$2:$D$20000=A86)*(DATOS!$I$2:$I$20000=B86)*(DATOS!$L$2:$L$20000="S"))/D86,"—")</f>
        <v>—</v>
      </c>
      <c r="I86" s="11" t="str">
        <f>IFERROR(SUMPRODUCT((DATOS!$G$2:$G$20000=CONFIG_METADATA!$B$4)*(DATOS!$D$2:$D$20000=A86)*(DATOS!$I$2:$I$20000=B86)*(DATOS!$L$2:$L$20000="N"))/D86,"—")</f>
        <v>—</v>
      </c>
      <c r="J86" t="str" cm="1">
        <f t="array" ref="J86">IFERROR(_xlfn.MODE.SNGL(_xlfn._xlws.FILTER(DATOS!$K$2:$K$20000,(DATOS!$G$2:$G$20000=CONFIG_METADATA!$B$4)*(DATOS!$D$2:$D$20000=A86)*(DATOS!$I$2:$I$20000=B86)*(DATOS!$L$2:$L$20000="S"))),"—")</f>
        <v>—</v>
      </c>
      <c r="K86" t="str" cm="1">
        <f t="array" ref="K86">IFERROR(_xlfn.MODE.SNGL(_xlfn._xlws.FILTER(DATOS!$K$2:$K$20000,(DATOS!$G$2:$G$20000=CONFIG_METADATA!$B$4)*(DATOS!$D$2:$D$20000=A86)*(DATOS!$I$2:$I$20000=B86)*(DATOS!$L$2:$L$20000="N"))),"—")</f>
        <v>—</v>
      </c>
      <c r="L86">
        <f>SUMPRODUCT((DATOS!$G$2:$G$20000=CONFIG_METADATA!$B$4)*(DATOS!$D$2:$D$20000=A86)*(DATOS!$I$2:$I$20000=B86)*(DATOS!$K$2:$K$20000=1))</f>
        <v>0</v>
      </c>
      <c r="M86">
        <f>SUMPRODUCT((DATOS!$G$2:$G$20000=CONFIG_METADATA!$B$4)*(DATOS!$D$2:$D$20000=A86)*(DATOS!$I$2:$I$20000=B86)*(DATOS!$K$2:$K$20000=2))</f>
        <v>0</v>
      </c>
      <c r="N86">
        <f>SUMPRODUCT((DATOS!$G$2:$G$20000=CONFIG_METADATA!$B$4)*(DATOS!$D$2:$D$20000=A86)*(DATOS!$I$2:$I$20000=B86)*(DATOS!$K$2:$K$20000=3))</f>
        <v>0</v>
      </c>
      <c r="O86">
        <f>SUMPRODUCT((DATOS!$G$2:$G$20000=CONFIG_METADATA!$B$4)*(DATOS!$D$2:$D$20000=A86)*(DATOS!$I$2:$I$20000=B86)*(DATOS!$K$2:$K$20000=4))</f>
        <v>0</v>
      </c>
      <c r="P86">
        <f>SUMPRODUCT((DATOS!$G$2:$G$20000=CONFIG_METADATA!$B$4)*(DATOS!$D$2:$D$20000=A86)*(DATOS!$I$2:$I$20000=B86)*(DATOS!$K$2:$K$20000=5))</f>
        <v>0</v>
      </c>
      <c r="Q86">
        <f>SUMPRODUCT((DATOS!$G$2:$G$20000=CONFIG_METADATA!$B$4)*(DATOS!$D$2:$D$20000=A86)*(DATOS!$I$2:$I$20000=B86)*(DATOS!$K$2:$K$20000=6))</f>
        <v>0</v>
      </c>
      <c r="R86">
        <f>SUMPRODUCT((DATOS!$G$2:$G$20000=CONFIG_METADATA!$B$4)*(DATOS!$D$2:$D$20000=A86)*(DATOS!$I$2:$I$20000=B86)*(DATOS!$K$2:$K$20000=7))</f>
        <v>0</v>
      </c>
      <c r="S86">
        <f>SUMPRODUCT((DATOS!$G$2:$G$20000=CONFIG_METADATA!$B$4)*(DATOS!$D$2:$D$20000=A86)*(DATOS!$I$2:$I$20000=B86)*(DATOS!$K$2:$K$20000=8))</f>
        <v>0</v>
      </c>
      <c r="T86">
        <f>SUMPRODUCT((DATOS!$G$2:$G$20000=CONFIG_METADATA!$B$4)*(DATOS!$D$2:$D$20000=A86)*(DATOS!$I$2:$I$20000=B86)*(DATOS!$K$2:$K$20000=9))</f>
        <v>0</v>
      </c>
      <c r="U86">
        <f>SUMPRODUCT((DATOS!$G$2:$G$20000=CONFIG_METADATA!$B$4)*(DATOS!$D$2:$D$20000=A86)*(DATOS!$I$2:$I$20000=B86)*(DATOS!$K$2:$K$20000=10))</f>
        <v>0</v>
      </c>
    </row>
    <row r="87" spans="1:21" x14ac:dyDescent="0.2">
      <c r="A87" t="s">
        <v>78</v>
      </c>
      <c r="B87" t="s">
        <v>49</v>
      </c>
      <c r="C87" t="s">
        <v>25</v>
      </c>
      <c r="D87">
        <f>SUMPRODUCT((DATOS!$G$2:$G$20000=CONFIG_METADATA!$B$4)*(DATOS!$D$2:$D$20000=A87)*(DATOS!$I$2:$I$20000=B87))</f>
        <v>0</v>
      </c>
      <c r="E87" s="10" t="str">
        <f>IFERROR(SUMPRODUCT((DATOS!$G$2:$G$20000=CONFIG_METADATA!$B$4)*(DATOS!$D$2:$D$20000=A87)*(DATOS!$I$2:$I$20000=B87)*(DATOS!$K$2:$K$20000))/D87,"—")</f>
        <v>—</v>
      </c>
      <c r="F87" s="10" t="str" cm="1">
        <f t="array" ref="F87">IFERROR(_xlfn.STDEV.P(_xlfn._xlws.FILTER(DATOS!$K$2:$K$20000,(DATOS!$G$2:$G$20000=CONFIG_METADATA!$B$4)*(DATOS!$D$2:$D$20000=A87)*(DATOS!$I$2:$I$20000=B87))),"—")</f>
        <v>—</v>
      </c>
      <c r="G87" t="str" cm="1">
        <f t="array" ref="G87">IFERROR(_xlfn.MODE.SNGL(_xlfn._xlws.FILTER(DATOS!$K$2:$K$20000,(DATOS!$G$2:$G$20000=CONFIG_METADATA!$B$4)*(DATOS!$D$2:$D$20000=A87)*(DATOS!$I$2:$I$20000=B87))),"—")</f>
        <v>—</v>
      </c>
      <c r="H87" s="11" t="str">
        <f>IFERROR(SUMPRODUCT((DATOS!$G$2:$G$20000=CONFIG_METADATA!$B$4)*(DATOS!$D$2:$D$20000=A87)*(DATOS!$I$2:$I$20000=B87)*(DATOS!$L$2:$L$20000="S"))/D87,"—")</f>
        <v>—</v>
      </c>
      <c r="I87" s="11" t="str">
        <f>IFERROR(SUMPRODUCT((DATOS!$G$2:$G$20000=CONFIG_METADATA!$B$4)*(DATOS!$D$2:$D$20000=A87)*(DATOS!$I$2:$I$20000=B87)*(DATOS!$L$2:$L$20000="N"))/D87,"—")</f>
        <v>—</v>
      </c>
      <c r="J87" t="str" cm="1">
        <f t="array" ref="J87">IFERROR(_xlfn.MODE.SNGL(_xlfn._xlws.FILTER(DATOS!$K$2:$K$20000,(DATOS!$G$2:$G$20000=CONFIG_METADATA!$B$4)*(DATOS!$D$2:$D$20000=A87)*(DATOS!$I$2:$I$20000=B87)*(DATOS!$L$2:$L$20000="S"))),"—")</f>
        <v>—</v>
      </c>
      <c r="K87" t="str" cm="1">
        <f t="array" ref="K87">IFERROR(_xlfn.MODE.SNGL(_xlfn._xlws.FILTER(DATOS!$K$2:$K$20000,(DATOS!$G$2:$G$20000=CONFIG_METADATA!$B$4)*(DATOS!$D$2:$D$20000=A87)*(DATOS!$I$2:$I$20000=B87)*(DATOS!$L$2:$L$20000="N"))),"—")</f>
        <v>—</v>
      </c>
      <c r="L87">
        <f>SUMPRODUCT((DATOS!$G$2:$G$20000=CONFIG_METADATA!$B$4)*(DATOS!$D$2:$D$20000=A87)*(DATOS!$I$2:$I$20000=B87)*(DATOS!$K$2:$K$20000=1))</f>
        <v>0</v>
      </c>
      <c r="M87">
        <f>SUMPRODUCT((DATOS!$G$2:$G$20000=CONFIG_METADATA!$B$4)*(DATOS!$D$2:$D$20000=A87)*(DATOS!$I$2:$I$20000=B87)*(DATOS!$K$2:$K$20000=2))</f>
        <v>0</v>
      </c>
      <c r="N87">
        <f>SUMPRODUCT((DATOS!$G$2:$G$20000=CONFIG_METADATA!$B$4)*(DATOS!$D$2:$D$20000=A87)*(DATOS!$I$2:$I$20000=B87)*(DATOS!$K$2:$K$20000=3))</f>
        <v>0</v>
      </c>
      <c r="O87">
        <f>SUMPRODUCT((DATOS!$G$2:$G$20000=CONFIG_METADATA!$B$4)*(DATOS!$D$2:$D$20000=A87)*(DATOS!$I$2:$I$20000=B87)*(DATOS!$K$2:$K$20000=4))</f>
        <v>0</v>
      </c>
      <c r="P87">
        <f>SUMPRODUCT((DATOS!$G$2:$G$20000=CONFIG_METADATA!$B$4)*(DATOS!$D$2:$D$20000=A87)*(DATOS!$I$2:$I$20000=B87)*(DATOS!$K$2:$K$20000=5))</f>
        <v>0</v>
      </c>
      <c r="Q87">
        <f>SUMPRODUCT((DATOS!$G$2:$G$20000=CONFIG_METADATA!$B$4)*(DATOS!$D$2:$D$20000=A87)*(DATOS!$I$2:$I$20000=B87)*(DATOS!$K$2:$K$20000=6))</f>
        <v>0</v>
      </c>
      <c r="R87">
        <f>SUMPRODUCT((DATOS!$G$2:$G$20000=CONFIG_METADATA!$B$4)*(DATOS!$D$2:$D$20000=A87)*(DATOS!$I$2:$I$20000=B87)*(DATOS!$K$2:$K$20000=7))</f>
        <v>0</v>
      </c>
      <c r="S87">
        <f>SUMPRODUCT((DATOS!$G$2:$G$20000=CONFIG_METADATA!$B$4)*(DATOS!$D$2:$D$20000=A87)*(DATOS!$I$2:$I$20000=B87)*(DATOS!$K$2:$K$20000=8))</f>
        <v>0</v>
      </c>
      <c r="T87">
        <f>SUMPRODUCT((DATOS!$G$2:$G$20000=CONFIG_METADATA!$B$4)*(DATOS!$D$2:$D$20000=A87)*(DATOS!$I$2:$I$20000=B87)*(DATOS!$K$2:$K$20000=9))</f>
        <v>0</v>
      </c>
      <c r="U87">
        <f>SUMPRODUCT((DATOS!$G$2:$G$20000=CONFIG_METADATA!$B$4)*(DATOS!$D$2:$D$20000=A87)*(DATOS!$I$2:$I$20000=B87)*(DATOS!$K$2:$K$20000=10))</f>
        <v>0</v>
      </c>
    </row>
    <row r="88" spans="1:21" x14ac:dyDescent="0.2">
      <c r="A88" t="s">
        <v>78</v>
      </c>
      <c r="B88" t="s">
        <v>50</v>
      </c>
      <c r="C88" t="s">
        <v>25</v>
      </c>
      <c r="D88">
        <f>SUMPRODUCT((DATOS!$G$2:$G$20000=CONFIG_METADATA!$B$4)*(DATOS!$D$2:$D$20000=A88)*(DATOS!$I$2:$I$20000=B88))</f>
        <v>0</v>
      </c>
      <c r="E88" s="10" t="str">
        <f>IFERROR(SUMPRODUCT((DATOS!$G$2:$G$20000=CONFIG_METADATA!$B$4)*(DATOS!$D$2:$D$20000=A88)*(DATOS!$I$2:$I$20000=B88)*(DATOS!$K$2:$K$20000))/D88,"—")</f>
        <v>—</v>
      </c>
      <c r="F88" s="10" t="str" cm="1">
        <f t="array" ref="F88">IFERROR(_xlfn.STDEV.P(_xlfn._xlws.FILTER(DATOS!$K$2:$K$20000,(DATOS!$G$2:$G$20000=CONFIG_METADATA!$B$4)*(DATOS!$D$2:$D$20000=A88)*(DATOS!$I$2:$I$20000=B88))),"—")</f>
        <v>—</v>
      </c>
      <c r="G88" t="str" cm="1">
        <f t="array" ref="G88">IFERROR(_xlfn.MODE.SNGL(_xlfn._xlws.FILTER(DATOS!$K$2:$K$20000,(DATOS!$G$2:$G$20000=CONFIG_METADATA!$B$4)*(DATOS!$D$2:$D$20000=A88)*(DATOS!$I$2:$I$20000=B88))),"—")</f>
        <v>—</v>
      </c>
      <c r="H88" s="11" t="str">
        <f>IFERROR(SUMPRODUCT((DATOS!$G$2:$G$20000=CONFIG_METADATA!$B$4)*(DATOS!$D$2:$D$20000=A88)*(DATOS!$I$2:$I$20000=B88)*(DATOS!$L$2:$L$20000="S"))/D88,"—")</f>
        <v>—</v>
      </c>
      <c r="I88" s="11" t="str">
        <f>IFERROR(SUMPRODUCT((DATOS!$G$2:$G$20000=CONFIG_METADATA!$B$4)*(DATOS!$D$2:$D$20000=A88)*(DATOS!$I$2:$I$20000=B88)*(DATOS!$L$2:$L$20000="N"))/D88,"—")</f>
        <v>—</v>
      </c>
      <c r="J88" t="str" cm="1">
        <f t="array" ref="J88">IFERROR(_xlfn.MODE.SNGL(_xlfn._xlws.FILTER(DATOS!$K$2:$K$20000,(DATOS!$G$2:$G$20000=CONFIG_METADATA!$B$4)*(DATOS!$D$2:$D$20000=A88)*(DATOS!$I$2:$I$20000=B88)*(DATOS!$L$2:$L$20000="S"))),"—")</f>
        <v>—</v>
      </c>
      <c r="K88" t="str" cm="1">
        <f t="array" ref="K88">IFERROR(_xlfn.MODE.SNGL(_xlfn._xlws.FILTER(DATOS!$K$2:$K$20000,(DATOS!$G$2:$G$20000=CONFIG_METADATA!$B$4)*(DATOS!$D$2:$D$20000=A88)*(DATOS!$I$2:$I$20000=B88)*(DATOS!$L$2:$L$20000="N"))),"—")</f>
        <v>—</v>
      </c>
      <c r="L88">
        <f>SUMPRODUCT((DATOS!$G$2:$G$20000=CONFIG_METADATA!$B$4)*(DATOS!$D$2:$D$20000=A88)*(DATOS!$I$2:$I$20000=B88)*(DATOS!$K$2:$K$20000=1))</f>
        <v>0</v>
      </c>
      <c r="M88">
        <f>SUMPRODUCT((DATOS!$G$2:$G$20000=CONFIG_METADATA!$B$4)*(DATOS!$D$2:$D$20000=A88)*(DATOS!$I$2:$I$20000=B88)*(DATOS!$K$2:$K$20000=2))</f>
        <v>0</v>
      </c>
      <c r="N88">
        <f>SUMPRODUCT((DATOS!$G$2:$G$20000=CONFIG_METADATA!$B$4)*(DATOS!$D$2:$D$20000=A88)*(DATOS!$I$2:$I$20000=B88)*(DATOS!$K$2:$K$20000=3))</f>
        <v>0</v>
      </c>
      <c r="O88">
        <f>SUMPRODUCT((DATOS!$G$2:$G$20000=CONFIG_METADATA!$B$4)*(DATOS!$D$2:$D$20000=A88)*(DATOS!$I$2:$I$20000=B88)*(DATOS!$K$2:$K$20000=4))</f>
        <v>0</v>
      </c>
      <c r="P88">
        <f>SUMPRODUCT((DATOS!$G$2:$G$20000=CONFIG_METADATA!$B$4)*(DATOS!$D$2:$D$20000=A88)*(DATOS!$I$2:$I$20000=B88)*(DATOS!$K$2:$K$20000=5))</f>
        <v>0</v>
      </c>
      <c r="Q88">
        <f>SUMPRODUCT((DATOS!$G$2:$G$20000=CONFIG_METADATA!$B$4)*(DATOS!$D$2:$D$20000=A88)*(DATOS!$I$2:$I$20000=B88)*(DATOS!$K$2:$K$20000=6))</f>
        <v>0</v>
      </c>
      <c r="R88">
        <f>SUMPRODUCT((DATOS!$G$2:$G$20000=CONFIG_METADATA!$B$4)*(DATOS!$D$2:$D$20000=A88)*(DATOS!$I$2:$I$20000=B88)*(DATOS!$K$2:$K$20000=7))</f>
        <v>0</v>
      </c>
      <c r="S88">
        <f>SUMPRODUCT((DATOS!$G$2:$G$20000=CONFIG_METADATA!$B$4)*(DATOS!$D$2:$D$20000=A88)*(DATOS!$I$2:$I$20000=B88)*(DATOS!$K$2:$K$20000=8))</f>
        <v>0</v>
      </c>
      <c r="T88">
        <f>SUMPRODUCT((DATOS!$G$2:$G$20000=CONFIG_METADATA!$B$4)*(DATOS!$D$2:$D$20000=A88)*(DATOS!$I$2:$I$20000=B88)*(DATOS!$K$2:$K$20000=9))</f>
        <v>0</v>
      </c>
      <c r="U88">
        <f>SUMPRODUCT((DATOS!$G$2:$G$20000=CONFIG_METADATA!$B$4)*(DATOS!$D$2:$D$20000=A88)*(DATOS!$I$2:$I$20000=B88)*(DATOS!$K$2:$K$20000=10))</f>
        <v>0</v>
      </c>
    </row>
    <row r="89" spans="1:21" x14ac:dyDescent="0.2">
      <c r="A89" t="s">
        <v>79</v>
      </c>
      <c r="B89" t="s">
        <v>9</v>
      </c>
      <c r="C89" t="s">
        <v>12</v>
      </c>
      <c r="D89">
        <f>SUMPRODUCT((DATOS!$G$2:$G$20000=CONFIG_METADATA!$B$4)*(DATOS!$D$2:$D$20000=A89)*(DATOS!$I$2:$I$20000=B89))</f>
        <v>0</v>
      </c>
      <c r="E89" s="10" t="str">
        <f>IFERROR(SUMPRODUCT((DATOS!$G$2:$G$20000=CONFIG_METADATA!$B$4)*(DATOS!$D$2:$D$20000=A89)*(DATOS!$I$2:$I$20000=B89)*(DATOS!$K$2:$K$20000))/D89,"—")</f>
        <v>—</v>
      </c>
      <c r="F89" s="10" t="str" cm="1">
        <f t="array" ref="F89">IFERROR(_xlfn.STDEV.P(_xlfn._xlws.FILTER(DATOS!$K$2:$K$20000,(DATOS!$G$2:$G$20000=CONFIG_METADATA!$B$4)*(DATOS!$D$2:$D$20000=A89)*(DATOS!$I$2:$I$20000=B89))),"—")</f>
        <v>—</v>
      </c>
      <c r="G89" t="str" cm="1">
        <f t="array" ref="G89">IFERROR(_xlfn.MODE.SNGL(_xlfn._xlws.FILTER(DATOS!$K$2:$K$20000,(DATOS!$G$2:$G$20000=CONFIG_METADATA!$B$4)*(DATOS!$D$2:$D$20000=A89)*(DATOS!$I$2:$I$20000=B89))),"—")</f>
        <v>—</v>
      </c>
      <c r="H89" s="11" t="str">
        <f>IFERROR(SUMPRODUCT((DATOS!$G$2:$G$20000=CONFIG_METADATA!$B$4)*(DATOS!$D$2:$D$20000=A89)*(DATOS!$I$2:$I$20000=B89)*(DATOS!$L$2:$L$20000="S"))/D89,"—")</f>
        <v>—</v>
      </c>
      <c r="I89" s="11" t="str">
        <f>IFERROR(SUMPRODUCT((DATOS!$G$2:$G$20000=CONFIG_METADATA!$B$4)*(DATOS!$D$2:$D$20000=A89)*(DATOS!$I$2:$I$20000=B89)*(DATOS!$L$2:$L$20000="N"))/D89,"—")</f>
        <v>—</v>
      </c>
      <c r="J89" t="str" cm="1">
        <f t="array" ref="J89">IFERROR(_xlfn.MODE.SNGL(_xlfn._xlws.FILTER(DATOS!$K$2:$K$20000,(DATOS!$G$2:$G$20000=CONFIG_METADATA!$B$4)*(DATOS!$D$2:$D$20000=A89)*(DATOS!$I$2:$I$20000=B89)*(DATOS!$L$2:$L$20000="S"))),"—")</f>
        <v>—</v>
      </c>
      <c r="K89" t="str" cm="1">
        <f t="array" ref="K89">IFERROR(_xlfn.MODE.SNGL(_xlfn._xlws.FILTER(DATOS!$K$2:$K$20000,(DATOS!$G$2:$G$20000=CONFIG_METADATA!$B$4)*(DATOS!$D$2:$D$20000=A89)*(DATOS!$I$2:$I$20000=B89)*(DATOS!$L$2:$L$20000="N"))),"—")</f>
        <v>—</v>
      </c>
      <c r="L89">
        <f>SUMPRODUCT((DATOS!$G$2:$G$20000=CONFIG_METADATA!$B$4)*(DATOS!$D$2:$D$20000=A89)*(DATOS!$I$2:$I$20000=B89)*(DATOS!$K$2:$K$20000=1))</f>
        <v>0</v>
      </c>
      <c r="M89">
        <f>SUMPRODUCT((DATOS!$G$2:$G$20000=CONFIG_METADATA!$B$4)*(DATOS!$D$2:$D$20000=A89)*(DATOS!$I$2:$I$20000=B89)*(DATOS!$K$2:$K$20000=2))</f>
        <v>0</v>
      </c>
      <c r="N89">
        <f>SUMPRODUCT((DATOS!$G$2:$G$20000=CONFIG_METADATA!$B$4)*(DATOS!$D$2:$D$20000=A89)*(DATOS!$I$2:$I$20000=B89)*(DATOS!$K$2:$K$20000=3))</f>
        <v>0</v>
      </c>
      <c r="O89">
        <f>SUMPRODUCT((DATOS!$G$2:$G$20000=CONFIG_METADATA!$B$4)*(DATOS!$D$2:$D$20000=A89)*(DATOS!$I$2:$I$20000=B89)*(DATOS!$K$2:$K$20000=4))</f>
        <v>0</v>
      </c>
      <c r="P89">
        <f>SUMPRODUCT((DATOS!$G$2:$G$20000=CONFIG_METADATA!$B$4)*(DATOS!$D$2:$D$20000=A89)*(DATOS!$I$2:$I$20000=B89)*(DATOS!$K$2:$K$20000=5))</f>
        <v>0</v>
      </c>
      <c r="Q89">
        <f>SUMPRODUCT((DATOS!$G$2:$G$20000=CONFIG_METADATA!$B$4)*(DATOS!$D$2:$D$20000=A89)*(DATOS!$I$2:$I$20000=B89)*(DATOS!$K$2:$K$20000=6))</f>
        <v>0</v>
      </c>
      <c r="R89">
        <f>SUMPRODUCT((DATOS!$G$2:$G$20000=CONFIG_METADATA!$B$4)*(DATOS!$D$2:$D$20000=A89)*(DATOS!$I$2:$I$20000=B89)*(DATOS!$K$2:$K$20000=7))</f>
        <v>0</v>
      </c>
      <c r="S89">
        <f>SUMPRODUCT((DATOS!$G$2:$G$20000=CONFIG_METADATA!$B$4)*(DATOS!$D$2:$D$20000=A89)*(DATOS!$I$2:$I$20000=B89)*(DATOS!$K$2:$K$20000=8))</f>
        <v>0</v>
      </c>
      <c r="T89">
        <f>SUMPRODUCT((DATOS!$G$2:$G$20000=CONFIG_METADATA!$B$4)*(DATOS!$D$2:$D$20000=A89)*(DATOS!$I$2:$I$20000=B89)*(DATOS!$K$2:$K$20000=9))</f>
        <v>0</v>
      </c>
      <c r="U89">
        <f>SUMPRODUCT((DATOS!$G$2:$G$20000=CONFIG_METADATA!$B$4)*(DATOS!$D$2:$D$20000=A89)*(DATOS!$I$2:$I$20000=B89)*(DATOS!$K$2:$K$20000=10))</f>
        <v>0</v>
      </c>
    </row>
    <row r="90" spans="1:21" x14ac:dyDescent="0.2">
      <c r="A90" t="s">
        <v>79</v>
      </c>
      <c r="B90" t="s">
        <v>22</v>
      </c>
      <c r="C90" t="s">
        <v>21</v>
      </c>
      <c r="D90">
        <f>SUMPRODUCT((DATOS!$G$2:$G$20000=CONFIG_METADATA!$B$4)*(DATOS!$D$2:$D$20000=A90)*(DATOS!$I$2:$I$20000=B90))</f>
        <v>0</v>
      </c>
      <c r="E90" s="10" t="str">
        <f>IFERROR(SUMPRODUCT((DATOS!$G$2:$G$20000=CONFIG_METADATA!$B$4)*(DATOS!$D$2:$D$20000=A90)*(DATOS!$I$2:$I$20000=B90)*(DATOS!$K$2:$K$20000))/D90,"—")</f>
        <v>—</v>
      </c>
      <c r="F90" s="10" t="str" cm="1">
        <f t="array" ref="F90">IFERROR(_xlfn.STDEV.P(_xlfn._xlws.FILTER(DATOS!$K$2:$K$20000,(DATOS!$G$2:$G$20000=CONFIG_METADATA!$B$4)*(DATOS!$D$2:$D$20000=A90)*(DATOS!$I$2:$I$20000=B90))),"—")</f>
        <v>—</v>
      </c>
      <c r="G90" t="str" cm="1">
        <f t="array" ref="G90">IFERROR(_xlfn.MODE.SNGL(_xlfn._xlws.FILTER(DATOS!$K$2:$K$20000,(DATOS!$G$2:$G$20000=CONFIG_METADATA!$B$4)*(DATOS!$D$2:$D$20000=A90)*(DATOS!$I$2:$I$20000=B90))),"—")</f>
        <v>—</v>
      </c>
      <c r="H90" s="11" t="str">
        <f>IFERROR(SUMPRODUCT((DATOS!$G$2:$G$20000=CONFIG_METADATA!$B$4)*(DATOS!$D$2:$D$20000=A90)*(DATOS!$I$2:$I$20000=B90)*(DATOS!$L$2:$L$20000="S"))/D90,"—")</f>
        <v>—</v>
      </c>
      <c r="I90" s="11" t="str">
        <f>IFERROR(SUMPRODUCT((DATOS!$G$2:$G$20000=CONFIG_METADATA!$B$4)*(DATOS!$D$2:$D$20000=A90)*(DATOS!$I$2:$I$20000=B90)*(DATOS!$L$2:$L$20000="N"))/D90,"—")</f>
        <v>—</v>
      </c>
      <c r="J90" t="str" cm="1">
        <f t="array" ref="J90">IFERROR(_xlfn.MODE.SNGL(_xlfn._xlws.FILTER(DATOS!$K$2:$K$20000,(DATOS!$G$2:$G$20000=CONFIG_METADATA!$B$4)*(DATOS!$D$2:$D$20000=A90)*(DATOS!$I$2:$I$20000=B90)*(DATOS!$L$2:$L$20000="S"))),"—")</f>
        <v>—</v>
      </c>
      <c r="K90" t="str" cm="1">
        <f t="array" ref="K90">IFERROR(_xlfn.MODE.SNGL(_xlfn._xlws.FILTER(DATOS!$K$2:$K$20000,(DATOS!$G$2:$G$20000=CONFIG_METADATA!$B$4)*(DATOS!$D$2:$D$20000=A90)*(DATOS!$I$2:$I$20000=B90)*(DATOS!$L$2:$L$20000="N"))),"—")</f>
        <v>—</v>
      </c>
      <c r="L90">
        <f>SUMPRODUCT((DATOS!$G$2:$G$20000=CONFIG_METADATA!$B$4)*(DATOS!$D$2:$D$20000=A90)*(DATOS!$I$2:$I$20000=B90)*(DATOS!$K$2:$K$20000=1))</f>
        <v>0</v>
      </c>
      <c r="M90">
        <f>SUMPRODUCT((DATOS!$G$2:$G$20000=CONFIG_METADATA!$B$4)*(DATOS!$D$2:$D$20000=A90)*(DATOS!$I$2:$I$20000=B90)*(DATOS!$K$2:$K$20000=2))</f>
        <v>0</v>
      </c>
      <c r="N90">
        <f>SUMPRODUCT((DATOS!$G$2:$G$20000=CONFIG_METADATA!$B$4)*(DATOS!$D$2:$D$20000=A90)*(DATOS!$I$2:$I$20000=B90)*(DATOS!$K$2:$K$20000=3))</f>
        <v>0</v>
      </c>
      <c r="O90">
        <f>SUMPRODUCT((DATOS!$G$2:$G$20000=CONFIG_METADATA!$B$4)*(DATOS!$D$2:$D$20000=A90)*(DATOS!$I$2:$I$20000=B90)*(DATOS!$K$2:$K$20000=4))</f>
        <v>0</v>
      </c>
      <c r="P90">
        <f>SUMPRODUCT((DATOS!$G$2:$G$20000=CONFIG_METADATA!$B$4)*(DATOS!$D$2:$D$20000=A90)*(DATOS!$I$2:$I$20000=B90)*(DATOS!$K$2:$K$20000=5))</f>
        <v>0</v>
      </c>
      <c r="Q90">
        <f>SUMPRODUCT((DATOS!$G$2:$G$20000=CONFIG_METADATA!$B$4)*(DATOS!$D$2:$D$20000=A90)*(DATOS!$I$2:$I$20000=B90)*(DATOS!$K$2:$K$20000=6))</f>
        <v>0</v>
      </c>
      <c r="R90">
        <f>SUMPRODUCT((DATOS!$G$2:$G$20000=CONFIG_METADATA!$B$4)*(DATOS!$D$2:$D$20000=A90)*(DATOS!$I$2:$I$20000=B90)*(DATOS!$K$2:$K$20000=7))</f>
        <v>0</v>
      </c>
      <c r="S90">
        <f>SUMPRODUCT((DATOS!$G$2:$G$20000=CONFIG_METADATA!$B$4)*(DATOS!$D$2:$D$20000=A90)*(DATOS!$I$2:$I$20000=B90)*(DATOS!$K$2:$K$20000=8))</f>
        <v>0</v>
      </c>
      <c r="T90">
        <f>SUMPRODUCT((DATOS!$G$2:$G$20000=CONFIG_METADATA!$B$4)*(DATOS!$D$2:$D$20000=A90)*(DATOS!$I$2:$I$20000=B90)*(DATOS!$K$2:$K$20000=9))</f>
        <v>0</v>
      </c>
      <c r="U90">
        <f>SUMPRODUCT((DATOS!$G$2:$G$20000=CONFIG_METADATA!$B$4)*(DATOS!$D$2:$D$20000=A90)*(DATOS!$I$2:$I$20000=B90)*(DATOS!$K$2:$K$20000=10))</f>
        <v>0</v>
      </c>
    </row>
    <row r="91" spans="1:21" x14ac:dyDescent="0.2">
      <c r="A91" t="s">
        <v>79</v>
      </c>
      <c r="B91" t="s">
        <v>51</v>
      </c>
      <c r="C91" t="s">
        <v>21</v>
      </c>
      <c r="D91">
        <f>SUMPRODUCT((DATOS!$G$2:$G$20000=CONFIG_METADATA!$B$4)*(DATOS!$D$2:$D$20000=A91)*(DATOS!$I$2:$I$20000=B91))</f>
        <v>0</v>
      </c>
      <c r="E91" s="10" t="str">
        <f>IFERROR(SUMPRODUCT((DATOS!$G$2:$G$20000=CONFIG_METADATA!$B$4)*(DATOS!$D$2:$D$20000=A91)*(DATOS!$I$2:$I$20000=B91)*(DATOS!$K$2:$K$20000))/D91,"—")</f>
        <v>—</v>
      </c>
      <c r="F91" s="10" t="str" cm="1">
        <f t="array" ref="F91">IFERROR(_xlfn.STDEV.P(_xlfn._xlws.FILTER(DATOS!$K$2:$K$20000,(DATOS!$G$2:$G$20000=CONFIG_METADATA!$B$4)*(DATOS!$D$2:$D$20000=A91)*(DATOS!$I$2:$I$20000=B91))),"—")</f>
        <v>—</v>
      </c>
      <c r="G91" t="str" cm="1">
        <f t="array" ref="G91">IFERROR(_xlfn.MODE.SNGL(_xlfn._xlws.FILTER(DATOS!$K$2:$K$20000,(DATOS!$G$2:$G$20000=CONFIG_METADATA!$B$4)*(DATOS!$D$2:$D$20000=A91)*(DATOS!$I$2:$I$20000=B91))),"—")</f>
        <v>—</v>
      </c>
      <c r="H91" s="11" t="str">
        <f>IFERROR(SUMPRODUCT((DATOS!$G$2:$G$20000=CONFIG_METADATA!$B$4)*(DATOS!$D$2:$D$20000=A91)*(DATOS!$I$2:$I$20000=B91)*(DATOS!$L$2:$L$20000="S"))/D91,"—")</f>
        <v>—</v>
      </c>
      <c r="I91" s="11" t="str">
        <f>IFERROR(SUMPRODUCT((DATOS!$G$2:$G$20000=CONFIG_METADATA!$B$4)*(DATOS!$D$2:$D$20000=A91)*(DATOS!$I$2:$I$20000=B91)*(DATOS!$L$2:$L$20000="N"))/D91,"—")</f>
        <v>—</v>
      </c>
      <c r="J91" t="str" cm="1">
        <f t="array" ref="J91">IFERROR(_xlfn.MODE.SNGL(_xlfn._xlws.FILTER(DATOS!$K$2:$K$20000,(DATOS!$G$2:$G$20000=CONFIG_METADATA!$B$4)*(DATOS!$D$2:$D$20000=A91)*(DATOS!$I$2:$I$20000=B91)*(DATOS!$L$2:$L$20000="S"))),"—")</f>
        <v>—</v>
      </c>
      <c r="K91" t="str" cm="1">
        <f t="array" ref="K91">IFERROR(_xlfn.MODE.SNGL(_xlfn._xlws.FILTER(DATOS!$K$2:$K$20000,(DATOS!$G$2:$G$20000=CONFIG_METADATA!$B$4)*(DATOS!$D$2:$D$20000=A91)*(DATOS!$I$2:$I$20000=B91)*(DATOS!$L$2:$L$20000="N"))),"—")</f>
        <v>—</v>
      </c>
      <c r="L91">
        <f>SUMPRODUCT((DATOS!$G$2:$G$20000=CONFIG_METADATA!$B$4)*(DATOS!$D$2:$D$20000=A91)*(DATOS!$I$2:$I$20000=B91)*(DATOS!$K$2:$K$20000=1))</f>
        <v>0</v>
      </c>
      <c r="M91">
        <f>SUMPRODUCT((DATOS!$G$2:$G$20000=CONFIG_METADATA!$B$4)*(DATOS!$D$2:$D$20000=A91)*(DATOS!$I$2:$I$20000=B91)*(DATOS!$K$2:$K$20000=2))</f>
        <v>0</v>
      </c>
      <c r="N91">
        <f>SUMPRODUCT((DATOS!$G$2:$G$20000=CONFIG_METADATA!$B$4)*(DATOS!$D$2:$D$20000=A91)*(DATOS!$I$2:$I$20000=B91)*(DATOS!$K$2:$K$20000=3))</f>
        <v>0</v>
      </c>
      <c r="O91">
        <f>SUMPRODUCT((DATOS!$G$2:$G$20000=CONFIG_METADATA!$B$4)*(DATOS!$D$2:$D$20000=A91)*(DATOS!$I$2:$I$20000=B91)*(DATOS!$K$2:$K$20000=4))</f>
        <v>0</v>
      </c>
      <c r="P91">
        <f>SUMPRODUCT((DATOS!$G$2:$G$20000=CONFIG_METADATA!$B$4)*(DATOS!$D$2:$D$20000=A91)*(DATOS!$I$2:$I$20000=B91)*(DATOS!$K$2:$K$20000=5))</f>
        <v>0</v>
      </c>
      <c r="Q91">
        <f>SUMPRODUCT((DATOS!$G$2:$G$20000=CONFIG_METADATA!$B$4)*(DATOS!$D$2:$D$20000=A91)*(DATOS!$I$2:$I$20000=B91)*(DATOS!$K$2:$K$20000=6))</f>
        <v>0</v>
      </c>
      <c r="R91">
        <f>SUMPRODUCT((DATOS!$G$2:$G$20000=CONFIG_METADATA!$B$4)*(DATOS!$D$2:$D$20000=A91)*(DATOS!$I$2:$I$20000=B91)*(DATOS!$K$2:$K$20000=7))</f>
        <v>0</v>
      </c>
      <c r="S91">
        <f>SUMPRODUCT((DATOS!$G$2:$G$20000=CONFIG_METADATA!$B$4)*(DATOS!$D$2:$D$20000=A91)*(DATOS!$I$2:$I$20000=B91)*(DATOS!$K$2:$K$20000=8))</f>
        <v>0</v>
      </c>
      <c r="T91">
        <f>SUMPRODUCT((DATOS!$G$2:$G$20000=CONFIG_METADATA!$B$4)*(DATOS!$D$2:$D$20000=A91)*(DATOS!$I$2:$I$20000=B91)*(DATOS!$K$2:$K$20000=9))</f>
        <v>0</v>
      </c>
      <c r="U91">
        <f>SUMPRODUCT((DATOS!$G$2:$G$20000=CONFIG_METADATA!$B$4)*(DATOS!$D$2:$D$20000=A91)*(DATOS!$I$2:$I$20000=B91)*(DATOS!$K$2:$K$20000=10))</f>
        <v>0</v>
      </c>
    </row>
    <row r="92" spans="1:21" x14ac:dyDescent="0.2">
      <c r="A92" t="s">
        <v>79</v>
      </c>
      <c r="B92" t="s">
        <v>53</v>
      </c>
      <c r="C92" t="s">
        <v>21</v>
      </c>
      <c r="D92">
        <f>SUMPRODUCT((DATOS!$G$2:$G$20000=CONFIG_METADATA!$B$4)*(DATOS!$D$2:$D$20000=A92)*(DATOS!$I$2:$I$20000=B92))</f>
        <v>0</v>
      </c>
      <c r="E92" s="10" t="str">
        <f>IFERROR(SUMPRODUCT((DATOS!$G$2:$G$20000=CONFIG_METADATA!$B$4)*(DATOS!$D$2:$D$20000=A92)*(DATOS!$I$2:$I$20000=B92)*(DATOS!$K$2:$K$20000))/D92,"—")</f>
        <v>—</v>
      </c>
      <c r="F92" s="10" t="str" cm="1">
        <f t="array" ref="F92">IFERROR(_xlfn.STDEV.P(_xlfn._xlws.FILTER(DATOS!$K$2:$K$20000,(DATOS!$G$2:$G$20000=CONFIG_METADATA!$B$4)*(DATOS!$D$2:$D$20000=A92)*(DATOS!$I$2:$I$20000=B92))),"—")</f>
        <v>—</v>
      </c>
      <c r="G92" t="str" cm="1">
        <f t="array" ref="G92">IFERROR(_xlfn.MODE.SNGL(_xlfn._xlws.FILTER(DATOS!$K$2:$K$20000,(DATOS!$G$2:$G$20000=CONFIG_METADATA!$B$4)*(DATOS!$D$2:$D$20000=A92)*(DATOS!$I$2:$I$20000=B92))),"—")</f>
        <v>—</v>
      </c>
      <c r="H92" s="11" t="str">
        <f>IFERROR(SUMPRODUCT((DATOS!$G$2:$G$20000=CONFIG_METADATA!$B$4)*(DATOS!$D$2:$D$20000=A92)*(DATOS!$I$2:$I$20000=B92)*(DATOS!$L$2:$L$20000="S"))/D92,"—")</f>
        <v>—</v>
      </c>
      <c r="I92" s="11" t="str">
        <f>IFERROR(SUMPRODUCT((DATOS!$G$2:$G$20000=CONFIG_METADATA!$B$4)*(DATOS!$D$2:$D$20000=A92)*(DATOS!$I$2:$I$20000=B92)*(DATOS!$L$2:$L$20000="N"))/D92,"—")</f>
        <v>—</v>
      </c>
      <c r="J92" t="str" cm="1">
        <f t="array" ref="J92">IFERROR(_xlfn.MODE.SNGL(_xlfn._xlws.FILTER(DATOS!$K$2:$K$20000,(DATOS!$G$2:$G$20000=CONFIG_METADATA!$B$4)*(DATOS!$D$2:$D$20000=A92)*(DATOS!$I$2:$I$20000=B92)*(DATOS!$L$2:$L$20000="S"))),"—")</f>
        <v>—</v>
      </c>
      <c r="K92" t="str" cm="1">
        <f t="array" ref="K92">IFERROR(_xlfn.MODE.SNGL(_xlfn._xlws.FILTER(DATOS!$K$2:$K$20000,(DATOS!$G$2:$G$20000=CONFIG_METADATA!$B$4)*(DATOS!$D$2:$D$20000=A92)*(DATOS!$I$2:$I$20000=B92)*(DATOS!$L$2:$L$20000="N"))),"—")</f>
        <v>—</v>
      </c>
      <c r="L92">
        <f>SUMPRODUCT((DATOS!$G$2:$G$20000=CONFIG_METADATA!$B$4)*(DATOS!$D$2:$D$20000=A92)*(DATOS!$I$2:$I$20000=B92)*(DATOS!$K$2:$K$20000=1))</f>
        <v>0</v>
      </c>
      <c r="M92">
        <f>SUMPRODUCT((DATOS!$G$2:$G$20000=CONFIG_METADATA!$B$4)*(DATOS!$D$2:$D$20000=A92)*(DATOS!$I$2:$I$20000=B92)*(DATOS!$K$2:$K$20000=2))</f>
        <v>0</v>
      </c>
      <c r="N92">
        <f>SUMPRODUCT((DATOS!$G$2:$G$20000=CONFIG_METADATA!$B$4)*(DATOS!$D$2:$D$20000=A92)*(DATOS!$I$2:$I$20000=B92)*(DATOS!$K$2:$K$20000=3))</f>
        <v>0</v>
      </c>
      <c r="O92">
        <f>SUMPRODUCT((DATOS!$G$2:$G$20000=CONFIG_METADATA!$B$4)*(DATOS!$D$2:$D$20000=A92)*(DATOS!$I$2:$I$20000=B92)*(DATOS!$K$2:$K$20000=4))</f>
        <v>0</v>
      </c>
      <c r="P92">
        <f>SUMPRODUCT((DATOS!$G$2:$G$20000=CONFIG_METADATA!$B$4)*(DATOS!$D$2:$D$20000=A92)*(DATOS!$I$2:$I$20000=B92)*(DATOS!$K$2:$K$20000=5))</f>
        <v>0</v>
      </c>
      <c r="Q92">
        <f>SUMPRODUCT((DATOS!$G$2:$G$20000=CONFIG_METADATA!$B$4)*(DATOS!$D$2:$D$20000=A92)*(DATOS!$I$2:$I$20000=B92)*(DATOS!$K$2:$K$20000=6))</f>
        <v>0</v>
      </c>
      <c r="R92">
        <f>SUMPRODUCT((DATOS!$G$2:$G$20000=CONFIG_METADATA!$B$4)*(DATOS!$D$2:$D$20000=A92)*(DATOS!$I$2:$I$20000=B92)*(DATOS!$K$2:$K$20000=7))</f>
        <v>0</v>
      </c>
      <c r="S92">
        <f>SUMPRODUCT((DATOS!$G$2:$G$20000=CONFIG_METADATA!$B$4)*(DATOS!$D$2:$D$20000=A92)*(DATOS!$I$2:$I$20000=B92)*(DATOS!$K$2:$K$20000=8))</f>
        <v>0</v>
      </c>
      <c r="T92">
        <f>SUMPRODUCT((DATOS!$G$2:$G$20000=CONFIG_METADATA!$B$4)*(DATOS!$D$2:$D$20000=A92)*(DATOS!$I$2:$I$20000=B92)*(DATOS!$K$2:$K$20000=9))</f>
        <v>0</v>
      </c>
      <c r="U92">
        <f>SUMPRODUCT((DATOS!$G$2:$G$20000=CONFIG_METADATA!$B$4)*(DATOS!$D$2:$D$20000=A92)*(DATOS!$I$2:$I$20000=B92)*(DATOS!$K$2:$K$20000=10))</f>
        <v>0</v>
      </c>
    </row>
    <row r="93" spans="1:21" x14ac:dyDescent="0.2">
      <c r="A93" t="s">
        <v>79</v>
      </c>
      <c r="B93" t="s">
        <v>56</v>
      </c>
      <c r="C93" t="s">
        <v>21</v>
      </c>
      <c r="D93">
        <f>SUMPRODUCT((DATOS!$G$2:$G$20000=CONFIG_METADATA!$B$4)*(DATOS!$D$2:$D$20000=A93)*(DATOS!$I$2:$I$20000=B93))</f>
        <v>0</v>
      </c>
      <c r="E93" s="10" t="str">
        <f>IFERROR(SUMPRODUCT((DATOS!$G$2:$G$20000=CONFIG_METADATA!$B$4)*(DATOS!$D$2:$D$20000=A93)*(DATOS!$I$2:$I$20000=B93)*(DATOS!$K$2:$K$20000))/D93,"—")</f>
        <v>—</v>
      </c>
      <c r="F93" s="10" t="str" cm="1">
        <f t="array" ref="F93">IFERROR(_xlfn.STDEV.P(_xlfn._xlws.FILTER(DATOS!$K$2:$K$20000,(DATOS!$G$2:$G$20000=CONFIG_METADATA!$B$4)*(DATOS!$D$2:$D$20000=A93)*(DATOS!$I$2:$I$20000=B93))),"—")</f>
        <v>—</v>
      </c>
      <c r="G93" t="str" cm="1">
        <f t="array" ref="G93">IFERROR(_xlfn.MODE.SNGL(_xlfn._xlws.FILTER(DATOS!$K$2:$K$20000,(DATOS!$G$2:$G$20000=CONFIG_METADATA!$B$4)*(DATOS!$D$2:$D$20000=A93)*(DATOS!$I$2:$I$20000=B93))),"—")</f>
        <v>—</v>
      </c>
      <c r="H93" s="11" t="str">
        <f>IFERROR(SUMPRODUCT((DATOS!$G$2:$G$20000=CONFIG_METADATA!$B$4)*(DATOS!$D$2:$D$20000=A93)*(DATOS!$I$2:$I$20000=B93)*(DATOS!$L$2:$L$20000="S"))/D93,"—")</f>
        <v>—</v>
      </c>
      <c r="I93" s="11" t="str">
        <f>IFERROR(SUMPRODUCT((DATOS!$G$2:$G$20000=CONFIG_METADATA!$B$4)*(DATOS!$D$2:$D$20000=A93)*(DATOS!$I$2:$I$20000=B93)*(DATOS!$L$2:$L$20000="N"))/D93,"—")</f>
        <v>—</v>
      </c>
      <c r="J93" t="str" cm="1">
        <f t="array" ref="J93">IFERROR(_xlfn.MODE.SNGL(_xlfn._xlws.FILTER(DATOS!$K$2:$K$20000,(DATOS!$G$2:$G$20000=CONFIG_METADATA!$B$4)*(DATOS!$D$2:$D$20000=A93)*(DATOS!$I$2:$I$20000=B93)*(DATOS!$L$2:$L$20000="S"))),"—")</f>
        <v>—</v>
      </c>
      <c r="K93" t="str" cm="1">
        <f t="array" ref="K93">IFERROR(_xlfn.MODE.SNGL(_xlfn._xlws.FILTER(DATOS!$K$2:$K$20000,(DATOS!$G$2:$G$20000=CONFIG_METADATA!$B$4)*(DATOS!$D$2:$D$20000=A93)*(DATOS!$I$2:$I$20000=B93)*(DATOS!$L$2:$L$20000="N"))),"—")</f>
        <v>—</v>
      </c>
      <c r="L93">
        <f>SUMPRODUCT((DATOS!$G$2:$G$20000=CONFIG_METADATA!$B$4)*(DATOS!$D$2:$D$20000=A93)*(DATOS!$I$2:$I$20000=B93)*(DATOS!$K$2:$K$20000=1))</f>
        <v>0</v>
      </c>
      <c r="M93">
        <f>SUMPRODUCT((DATOS!$G$2:$G$20000=CONFIG_METADATA!$B$4)*(DATOS!$D$2:$D$20000=A93)*(DATOS!$I$2:$I$20000=B93)*(DATOS!$K$2:$K$20000=2))</f>
        <v>0</v>
      </c>
      <c r="N93">
        <f>SUMPRODUCT((DATOS!$G$2:$G$20000=CONFIG_METADATA!$B$4)*(DATOS!$D$2:$D$20000=A93)*(DATOS!$I$2:$I$20000=B93)*(DATOS!$K$2:$K$20000=3))</f>
        <v>0</v>
      </c>
      <c r="O93">
        <f>SUMPRODUCT((DATOS!$G$2:$G$20000=CONFIG_METADATA!$B$4)*(DATOS!$D$2:$D$20000=A93)*(DATOS!$I$2:$I$20000=B93)*(DATOS!$K$2:$K$20000=4))</f>
        <v>0</v>
      </c>
      <c r="P93">
        <f>SUMPRODUCT((DATOS!$G$2:$G$20000=CONFIG_METADATA!$B$4)*(DATOS!$D$2:$D$20000=A93)*(DATOS!$I$2:$I$20000=B93)*(DATOS!$K$2:$K$20000=5))</f>
        <v>0</v>
      </c>
      <c r="Q93">
        <f>SUMPRODUCT((DATOS!$G$2:$G$20000=CONFIG_METADATA!$B$4)*(DATOS!$D$2:$D$20000=A93)*(DATOS!$I$2:$I$20000=B93)*(DATOS!$K$2:$K$20000=6))</f>
        <v>0</v>
      </c>
      <c r="R93">
        <f>SUMPRODUCT((DATOS!$G$2:$G$20000=CONFIG_METADATA!$B$4)*(DATOS!$D$2:$D$20000=A93)*(DATOS!$I$2:$I$20000=B93)*(DATOS!$K$2:$K$20000=7))</f>
        <v>0</v>
      </c>
      <c r="S93">
        <f>SUMPRODUCT((DATOS!$G$2:$G$20000=CONFIG_METADATA!$B$4)*(DATOS!$D$2:$D$20000=A93)*(DATOS!$I$2:$I$20000=B93)*(DATOS!$K$2:$K$20000=8))</f>
        <v>0</v>
      </c>
      <c r="T93">
        <f>SUMPRODUCT((DATOS!$G$2:$G$20000=CONFIG_METADATA!$B$4)*(DATOS!$D$2:$D$20000=A93)*(DATOS!$I$2:$I$20000=B93)*(DATOS!$K$2:$K$20000=9))</f>
        <v>0</v>
      </c>
      <c r="U93">
        <f>SUMPRODUCT((DATOS!$G$2:$G$20000=CONFIG_METADATA!$B$4)*(DATOS!$D$2:$D$20000=A93)*(DATOS!$I$2:$I$20000=B93)*(DATOS!$K$2:$K$20000=10))</f>
        <v>0</v>
      </c>
    </row>
    <row r="94" spans="1:21" x14ac:dyDescent="0.2">
      <c r="A94" t="s">
        <v>79</v>
      </c>
      <c r="B94" t="s">
        <v>57</v>
      </c>
      <c r="C94" t="s">
        <v>21</v>
      </c>
      <c r="D94">
        <f>SUMPRODUCT((DATOS!$G$2:$G$20000=CONFIG_METADATA!$B$4)*(DATOS!$D$2:$D$20000=A94)*(DATOS!$I$2:$I$20000=B94))</f>
        <v>0</v>
      </c>
      <c r="E94" s="10" t="str">
        <f>IFERROR(SUMPRODUCT((DATOS!$G$2:$G$20000=CONFIG_METADATA!$B$4)*(DATOS!$D$2:$D$20000=A94)*(DATOS!$I$2:$I$20000=B94)*(DATOS!$K$2:$K$20000))/D94,"—")</f>
        <v>—</v>
      </c>
      <c r="F94" s="10" t="str" cm="1">
        <f t="array" ref="F94">IFERROR(_xlfn.STDEV.P(_xlfn._xlws.FILTER(DATOS!$K$2:$K$20000,(DATOS!$G$2:$G$20000=CONFIG_METADATA!$B$4)*(DATOS!$D$2:$D$20000=A94)*(DATOS!$I$2:$I$20000=B94))),"—")</f>
        <v>—</v>
      </c>
      <c r="G94" t="str" cm="1">
        <f t="array" ref="G94">IFERROR(_xlfn.MODE.SNGL(_xlfn._xlws.FILTER(DATOS!$K$2:$K$20000,(DATOS!$G$2:$G$20000=CONFIG_METADATA!$B$4)*(DATOS!$D$2:$D$20000=A94)*(DATOS!$I$2:$I$20000=B94))),"—")</f>
        <v>—</v>
      </c>
      <c r="H94" s="11" t="str">
        <f>IFERROR(SUMPRODUCT((DATOS!$G$2:$G$20000=CONFIG_METADATA!$B$4)*(DATOS!$D$2:$D$20000=A94)*(DATOS!$I$2:$I$20000=B94)*(DATOS!$L$2:$L$20000="S"))/D94,"—")</f>
        <v>—</v>
      </c>
      <c r="I94" s="11" t="str">
        <f>IFERROR(SUMPRODUCT((DATOS!$G$2:$G$20000=CONFIG_METADATA!$B$4)*(DATOS!$D$2:$D$20000=A94)*(DATOS!$I$2:$I$20000=B94)*(DATOS!$L$2:$L$20000="N"))/D94,"—")</f>
        <v>—</v>
      </c>
      <c r="J94" t="str" cm="1">
        <f t="array" ref="J94">IFERROR(_xlfn.MODE.SNGL(_xlfn._xlws.FILTER(DATOS!$K$2:$K$20000,(DATOS!$G$2:$G$20000=CONFIG_METADATA!$B$4)*(DATOS!$D$2:$D$20000=A94)*(DATOS!$I$2:$I$20000=B94)*(DATOS!$L$2:$L$20000="S"))),"—")</f>
        <v>—</v>
      </c>
      <c r="K94" t="str" cm="1">
        <f t="array" ref="K94">IFERROR(_xlfn.MODE.SNGL(_xlfn._xlws.FILTER(DATOS!$K$2:$K$20000,(DATOS!$G$2:$G$20000=CONFIG_METADATA!$B$4)*(DATOS!$D$2:$D$20000=A94)*(DATOS!$I$2:$I$20000=B94)*(DATOS!$L$2:$L$20000="N"))),"—")</f>
        <v>—</v>
      </c>
      <c r="L94">
        <f>SUMPRODUCT((DATOS!$G$2:$G$20000=CONFIG_METADATA!$B$4)*(DATOS!$D$2:$D$20000=A94)*(DATOS!$I$2:$I$20000=B94)*(DATOS!$K$2:$K$20000=1))</f>
        <v>0</v>
      </c>
      <c r="M94">
        <f>SUMPRODUCT((DATOS!$G$2:$G$20000=CONFIG_METADATA!$B$4)*(DATOS!$D$2:$D$20000=A94)*(DATOS!$I$2:$I$20000=B94)*(DATOS!$K$2:$K$20000=2))</f>
        <v>0</v>
      </c>
      <c r="N94">
        <f>SUMPRODUCT((DATOS!$G$2:$G$20000=CONFIG_METADATA!$B$4)*(DATOS!$D$2:$D$20000=A94)*(DATOS!$I$2:$I$20000=B94)*(DATOS!$K$2:$K$20000=3))</f>
        <v>0</v>
      </c>
      <c r="O94">
        <f>SUMPRODUCT((DATOS!$G$2:$G$20000=CONFIG_METADATA!$B$4)*(DATOS!$D$2:$D$20000=A94)*(DATOS!$I$2:$I$20000=B94)*(DATOS!$K$2:$K$20000=4))</f>
        <v>0</v>
      </c>
      <c r="P94">
        <f>SUMPRODUCT((DATOS!$G$2:$G$20000=CONFIG_METADATA!$B$4)*(DATOS!$D$2:$D$20000=A94)*(DATOS!$I$2:$I$20000=B94)*(DATOS!$K$2:$K$20000=5))</f>
        <v>0</v>
      </c>
      <c r="Q94">
        <f>SUMPRODUCT((DATOS!$G$2:$G$20000=CONFIG_METADATA!$B$4)*(DATOS!$D$2:$D$20000=A94)*(DATOS!$I$2:$I$20000=B94)*(DATOS!$K$2:$K$20000=6))</f>
        <v>0</v>
      </c>
      <c r="R94">
        <f>SUMPRODUCT((DATOS!$G$2:$G$20000=CONFIG_METADATA!$B$4)*(DATOS!$D$2:$D$20000=A94)*(DATOS!$I$2:$I$20000=B94)*(DATOS!$K$2:$K$20000=7))</f>
        <v>0</v>
      </c>
      <c r="S94">
        <f>SUMPRODUCT((DATOS!$G$2:$G$20000=CONFIG_METADATA!$B$4)*(DATOS!$D$2:$D$20000=A94)*(DATOS!$I$2:$I$20000=B94)*(DATOS!$K$2:$K$20000=8))</f>
        <v>0</v>
      </c>
      <c r="T94">
        <f>SUMPRODUCT((DATOS!$G$2:$G$20000=CONFIG_METADATA!$B$4)*(DATOS!$D$2:$D$20000=A94)*(DATOS!$I$2:$I$20000=B94)*(DATOS!$K$2:$K$20000=9))</f>
        <v>0</v>
      </c>
      <c r="U94">
        <f>SUMPRODUCT((DATOS!$G$2:$G$20000=CONFIG_METADATA!$B$4)*(DATOS!$D$2:$D$20000=A94)*(DATOS!$I$2:$I$20000=B94)*(DATOS!$K$2:$K$20000=10))</f>
        <v>0</v>
      </c>
    </row>
    <row r="95" spans="1:21" x14ac:dyDescent="0.2">
      <c r="A95" t="s">
        <v>79</v>
      </c>
      <c r="B95" t="s">
        <v>24</v>
      </c>
      <c r="C95" t="s">
        <v>25</v>
      </c>
      <c r="D95">
        <f>SUMPRODUCT((DATOS!$G$2:$G$20000=CONFIG_METADATA!$B$4)*(DATOS!$D$2:$D$20000=A95)*(DATOS!$I$2:$I$20000=B95))</f>
        <v>0</v>
      </c>
      <c r="E95" s="10" t="str">
        <f>IFERROR(SUMPRODUCT((DATOS!$G$2:$G$20000=CONFIG_METADATA!$B$4)*(DATOS!$D$2:$D$20000=A95)*(DATOS!$I$2:$I$20000=B95)*(DATOS!$K$2:$K$20000))/D95,"—")</f>
        <v>—</v>
      </c>
      <c r="F95" s="10" t="str" cm="1">
        <f t="array" ref="F95">IFERROR(_xlfn.STDEV.P(_xlfn._xlws.FILTER(DATOS!$K$2:$K$20000,(DATOS!$G$2:$G$20000=CONFIG_METADATA!$B$4)*(DATOS!$D$2:$D$20000=A95)*(DATOS!$I$2:$I$20000=B95))),"—")</f>
        <v>—</v>
      </c>
      <c r="G95" t="str" cm="1">
        <f t="array" ref="G95">IFERROR(_xlfn.MODE.SNGL(_xlfn._xlws.FILTER(DATOS!$K$2:$K$20000,(DATOS!$G$2:$G$20000=CONFIG_METADATA!$B$4)*(DATOS!$D$2:$D$20000=A95)*(DATOS!$I$2:$I$20000=B95))),"—")</f>
        <v>—</v>
      </c>
      <c r="H95" s="11" t="str">
        <f>IFERROR(SUMPRODUCT((DATOS!$G$2:$G$20000=CONFIG_METADATA!$B$4)*(DATOS!$D$2:$D$20000=A95)*(DATOS!$I$2:$I$20000=B95)*(DATOS!$L$2:$L$20000="S"))/D95,"—")</f>
        <v>—</v>
      </c>
      <c r="I95" s="11" t="str">
        <f>IFERROR(SUMPRODUCT((DATOS!$G$2:$G$20000=CONFIG_METADATA!$B$4)*(DATOS!$D$2:$D$20000=A95)*(DATOS!$I$2:$I$20000=B95)*(DATOS!$L$2:$L$20000="N"))/D95,"—")</f>
        <v>—</v>
      </c>
      <c r="J95" t="str" cm="1">
        <f t="array" ref="J95">IFERROR(_xlfn.MODE.SNGL(_xlfn._xlws.FILTER(DATOS!$K$2:$K$20000,(DATOS!$G$2:$G$20000=CONFIG_METADATA!$B$4)*(DATOS!$D$2:$D$20000=A95)*(DATOS!$I$2:$I$20000=B95)*(DATOS!$L$2:$L$20000="S"))),"—")</f>
        <v>—</v>
      </c>
      <c r="K95" t="str" cm="1">
        <f t="array" ref="K95">IFERROR(_xlfn.MODE.SNGL(_xlfn._xlws.FILTER(DATOS!$K$2:$K$20000,(DATOS!$G$2:$G$20000=CONFIG_METADATA!$B$4)*(DATOS!$D$2:$D$20000=A95)*(DATOS!$I$2:$I$20000=B95)*(DATOS!$L$2:$L$20000="N"))),"—")</f>
        <v>—</v>
      </c>
      <c r="L95">
        <f>SUMPRODUCT((DATOS!$G$2:$G$20000=CONFIG_METADATA!$B$4)*(DATOS!$D$2:$D$20000=A95)*(DATOS!$I$2:$I$20000=B95)*(DATOS!$K$2:$K$20000=1))</f>
        <v>0</v>
      </c>
      <c r="M95">
        <f>SUMPRODUCT((DATOS!$G$2:$G$20000=CONFIG_METADATA!$B$4)*(DATOS!$D$2:$D$20000=A95)*(DATOS!$I$2:$I$20000=B95)*(DATOS!$K$2:$K$20000=2))</f>
        <v>0</v>
      </c>
      <c r="N95">
        <f>SUMPRODUCT((DATOS!$G$2:$G$20000=CONFIG_METADATA!$B$4)*(DATOS!$D$2:$D$20000=A95)*(DATOS!$I$2:$I$20000=B95)*(DATOS!$K$2:$K$20000=3))</f>
        <v>0</v>
      </c>
      <c r="O95">
        <f>SUMPRODUCT((DATOS!$G$2:$G$20000=CONFIG_METADATA!$B$4)*(DATOS!$D$2:$D$20000=A95)*(DATOS!$I$2:$I$20000=B95)*(DATOS!$K$2:$K$20000=4))</f>
        <v>0</v>
      </c>
      <c r="P95">
        <f>SUMPRODUCT((DATOS!$G$2:$G$20000=CONFIG_METADATA!$B$4)*(DATOS!$D$2:$D$20000=A95)*(DATOS!$I$2:$I$20000=B95)*(DATOS!$K$2:$K$20000=5))</f>
        <v>0</v>
      </c>
      <c r="Q95">
        <f>SUMPRODUCT((DATOS!$G$2:$G$20000=CONFIG_METADATA!$B$4)*(DATOS!$D$2:$D$20000=A95)*(DATOS!$I$2:$I$20000=B95)*(DATOS!$K$2:$K$20000=6))</f>
        <v>0</v>
      </c>
      <c r="R95">
        <f>SUMPRODUCT((DATOS!$G$2:$G$20000=CONFIG_METADATA!$B$4)*(DATOS!$D$2:$D$20000=A95)*(DATOS!$I$2:$I$20000=B95)*(DATOS!$K$2:$K$20000=7))</f>
        <v>0</v>
      </c>
      <c r="S95">
        <f>SUMPRODUCT((DATOS!$G$2:$G$20000=CONFIG_METADATA!$B$4)*(DATOS!$D$2:$D$20000=A95)*(DATOS!$I$2:$I$20000=B95)*(DATOS!$K$2:$K$20000=8))</f>
        <v>0</v>
      </c>
      <c r="T95">
        <f>SUMPRODUCT((DATOS!$G$2:$G$20000=CONFIG_METADATA!$B$4)*(DATOS!$D$2:$D$20000=A95)*(DATOS!$I$2:$I$20000=B95)*(DATOS!$K$2:$K$20000=9))</f>
        <v>0</v>
      </c>
      <c r="U95">
        <f>SUMPRODUCT((DATOS!$G$2:$G$20000=CONFIG_METADATA!$B$4)*(DATOS!$D$2:$D$20000=A95)*(DATOS!$I$2:$I$20000=B95)*(DATOS!$K$2:$K$20000=10))</f>
        <v>0</v>
      </c>
    </row>
    <row r="96" spans="1:21" x14ac:dyDescent="0.2">
      <c r="A96" t="s">
        <v>79</v>
      </c>
      <c r="B96" t="s">
        <v>27</v>
      </c>
      <c r="C96" t="s">
        <v>25</v>
      </c>
      <c r="D96">
        <f>SUMPRODUCT((DATOS!$G$2:$G$20000=CONFIG_METADATA!$B$4)*(DATOS!$D$2:$D$20000=A96)*(DATOS!$I$2:$I$20000=B96))</f>
        <v>0</v>
      </c>
      <c r="E96" s="10" t="str">
        <f>IFERROR(SUMPRODUCT((DATOS!$G$2:$G$20000=CONFIG_METADATA!$B$4)*(DATOS!$D$2:$D$20000=A96)*(DATOS!$I$2:$I$20000=B96)*(DATOS!$K$2:$K$20000))/D96,"—")</f>
        <v>—</v>
      </c>
      <c r="F96" s="10" t="str" cm="1">
        <f t="array" ref="F96">IFERROR(_xlfn.STDEV.P(_xlfn._xlws.FILTER(DATOS!$K$2:$K$20000,(DATOS!$G$2:$G$20000=CONFIG_METADATA!$B$4)*(DATOS!$D$2:$D$20000=A96)*(DATOS!$I$2:$I$20000=B96))),"—")</f>
        <v>—</v>
      </c>
      <c r="G96" t="str" cm="1">
        <f t="array" ref="G96">IFERROR(_xlfn.MODE.SNGL(_xlfn._xlws.FILTER(DATOS!$K$2:$K$20000,(DATOS!$G$2:$G$20000=CONFIG_METADATA!$B$4)*(DATOS!$D$2:$D$20000=A96)*(DATOS!$I$2:$I$20000=B96))),"—")</f>
        <v>—</v>
      </c>
      <c r="H96" s="11" t="str">
        <f>IFERROR(SUMPRODUCT((DATOS!$G$2:$G$20000=CONFIG_METADATA!$B$4)*(DATOS!$D$2:$D$20000=A96)*(DATOS!$I$2:$I$20000=B96)*(DATOS!$L$2:$L$20000="S"))/D96,"—")</f>
        <v>—</v>
      </c>
      <c r="I96" s="11" t="str">
        <f>IFERROR(SUMPRODUCT((DATOS!$G$2:$G$20000=CONFIG_METADATA!$B$4)*(DATOS!$D$2:$D$20000=A96)*(DATOS!$I$2:$I$20000=B96)*(DATOS!$L$2:$L$20000="N"))/D96,"—")</f>
        <v>—</v>
      </c>
      <c r="J96" t="str" cm="1">
        <f t="array" ref="J96">IFERROR(_xlfn.MODE.SNGL(_xlfn._xlws.FILTER(DATOS!$K$2:$K$20000,(DATOS!$G$2:$G$20000=CONFIG_METADATA!$B$4)*(DATOS!$D$2:$D$20000=A96)*(DATOS!$I$2:$I$20000=B96)*(DATOS!$L$2:$L$20000="S"))),"—")</f>
        <v>—</v>
      </c>
      <c r="K96" t="str" cm="1">
        <f t="array" ref="K96">IFERROR(_xlfn.MODE.SNGL(_xlfn._xlws.FILTER(DATOS!$K$2:$K$20000,(DATOS!$G$2:$G$20000=CONFIG_METADATA!$B$4)*(DATOS!$D$2:$D$20000=A96)*(DATOS!$I$2:$I$20000=B96)*(DATOS!$L$2:$L$20000="N"))),"—")</f>
        <v>—</v>
      </c>
      <c r="L96">
        <f>SUMPRODUCT((DATOS!$G$2:$G$20000=CONFIG_METADATA!$B$4)*(DATOS!$D$2:$D$20000=A96)*(DATOS!$I$2:$I$20000=B96)*(DATOS!$K$2:$K$20000=1))</f>
        <v>0</v>
      </c>
      <c r="M96">
        <f>SUMPRODUCT((DATOS!$G$2:$G$20000=CONFIG_METADATA!$B$4)*(DATOS!$D$2:$D$20000=A96)*(DATOS!$I$2:$I$20000=B96)*(DATOS!$K$2:$K$20000=2))</f>
        <v>0</v>
      </c>
      <c r="N96">
        <f>SUMPRODUCT((DATOS!$G$2:$G$20000=CONFIG_METADATA!$B$4)*(DATOS!$D$2:$D$20000=A96)*(DATOS!$I$2:$I$20000=B96)*(DATOS!$K$2:$K$20000=3))</f>
        <v>0</v>
      </c>
      <c r="O96">
        <f>SUMPRODUCT((DATOS!$G$2:$G$20000=CONFIG_METADATA!$B$4)*(DATOS!$D$2:$D$20000=A96)*(DATOS!$I$2:$I$20000=B96)*(DATOS!$K$2:$K$20000=4))</f>
        <v>0</v>
      </c>
      <c r="P96">
        <f>SUMPRODUCT((DATOS!$G$2:$G$20000=CONFIG_METADATA!$B$4)*(DATOS!$D$2:$D$20000=A96)*(DATOS!$I$2:$I$20000=B96)*(DATOS!$K$2:$K$20000=5))</f>
        <v>0</v>
      </c>
      <c r="Q96">
        <f>SUMPRODUCT((DATOS!$G$2:$G$20000=CONFIG_METADATA!$B$4)*(DATOS!$D$2:$D$20000=A96)*(DATOS!$I$2:$I$20000=B96)*(DATOS!$K$2:$K$20000=6))</f>
        <v>0</v>
      </c>
      <c r="R96">
        <f>SUMPRODUCT((DATOS!$G$2:$G$20000=CONFIG_METADATA!$B$4)*(DATOS!$D$2:$D$20000=A96)*(DATOS!$I$2:$I$20000=B96)*(DATOS!$K$2:$K$20000=7))</f>
        <v>0</v>
      </c>
      <c r="S96">
        <f>SUMPRODUCT((DATOS!$G$2:$G$20000=CONFIG_METADATA!$B$4)*(DATOS!$D$2:$D$20000=A96)*(DATOS!$I$2:$I$20000=B96)*(DATOS!$K$2:$K$20000=8))</f>
        <v>0</v>
      </c>
      <c r="T96">
        <f>SUMPRODUCT((DATOS!$G$2:$G$20000=CONFIG_METADATA!$B$4)*(DATOS!$D$2:$D$20000=A96)*(DATOS!$I$2:$I$20000=B96)*(DATOS!$K$2:$K$20000=9))</f>
        <v>0</v>
      </c>
      <c r="U96">
        <f>SUMPRODUCT((DATOS!$G$2:$G$20000=CONFIG_METADATA!$B$4)*(DATOS!$D$2:$D$20000=A96)*(DATOS!$I$2:$I$20000=B96)*(DATOS!$K$2:$K$20000=10))</f>
        <v>0</v>
      </c>
    </row>
    <row r="97" spans="1:21" x14ac:dyDescent="0.2">
      <c r="A97" t="s">
        <v>79</v>
      </c>
      <c r="B97" t="s">
        <v>28</v>
      </c>
      <c r="C97" t="s">
        <v>25</v>
      </c>
      <c r="D97">
        <f>SUMPRODUCT((DATOS!$G$2:$G$20000=CONFIG_METADATA!$B$4)*(DATOS!$D$2:$D$20000=A97)*(DATOS!$I$2:$I$20000=B97))</f>
        <v>0</v>
      </c>
      <c r="E97" s="10" t="str">
        <f>IFERROR(SUMPRODUCT((DATOS!$G$2:$G$20000=CONFIG_METADATA!$B$4)*(DATOS!$D$2:$D$20000=A97)*(DATOS!$I$2:$I$20000=B97)*(DATOS!$K$2:$K$20000))/D97,"—")</f>
        <v>—</v>
      </c>
      <c r="F97" s="10" t="str" cm="1">
        <f t="array" ref="F97">IFERROR(_xlfn.STDEV.P(_xlfn._xlws.FILTER(DATOS!$K$2:$K$20000,(DATOS!$G$2:$G$20000=CONFIG_METADATA!$B$4)*(DATOS!$D$2:$D$20000=A97)*(DATOS!$I$2:$I$20000=B97))),"—")</f>
        <v>—</v>
      </c>
      <c r="G97" t="str" cm="1">
        <f t="array" ref="G97">IFERROR(_xlfn.MODE.SNGL(_xlfn._xlws.FILTER(DATOS!$K$2:$K$20000,(DATOS!$G$2:$G$20000=CONFIG_METADATA!$B$4)*(DATOS!$D$2:$D$20000=A97)*(DATOS!$I$2:$I$20000=B97))),"—")</f>
        <v>—</v>
      </c>
      <c r="H97" s="11" t="str">
        <f>IFERROR(SUMPRODUCT((DATOS!$G$2:$G$20000=CONFIG_METADATA!$B$4)*(DATOS!$D$2:$D$20000=A97)*(DATOS!$I$2:$I$20000=B97)*(DATOS!$L$2:$L$20000="S"))/D97,"—")</f>
        <v>—</v>
      </c>
      <c r="I97" s="11" t="str">
        <f>IFERROR(SUMPRODUCT((DATOS!$G$2:$G$20000=CONFIG_METADATA!$B$4)*(DATOS!$D$2:$D$20000=A97)*(DATOS!$I$2:$I$20000=B97)*(DATOS!$L$2:$L$20000="N"))/D97,"—")</f>
        <v>—</v>
      </c>
      <c r="J97" t="str" cm="1">
        <f t="array" ref="J97">IFERROR(_xlfn.MODE.SNGL(_xlfn._xlws.FILTER(DATOS!$K$2:$K$20000,(DATOS!$G$2:$G$20000=CONFIG_METADATA!$B$4)*(DATOS!$D$2:$D$20000=A97)*(DATOS!$I$2:$I$20000=B97)*(DATOS!$L$2:$L$20000="S"))),"—")</f>
        <v>—</v>
      </c>
      <c r="K97" t="str" cm="1">
        <f t="array" ref="K97">IFERROR(_xlfn.MODE.SNGL(_xlfn._xlws.FILTER(DATOS!$K$2:$K$20000,(DATOS!$G$2:$G$20000=CONFIG_METADATA!$B$4)*(DATOS!$D$2:$D$20000=A97)*(DATOS!$I$2:$I$20000=B97)*(DATOS!$L$2:$L$20000="N"))),"—")</f>
        <v>—</v>
      </c>
      <c r="L97">
        <f>SUMPRODUCT((DATOS!$G$2:$G$20000=CONFIG_METADATA!$B$4)*(DATOS!$D$2:$D$20000=A97)*(DATOS!$I$2:$I$20000=B97)*(DATOS!$K$2:$K$20000=1))</f>
        <v>0</v>
      </c>
      <c r="M97">
        <f>SUMPRODUCT((DATOS!$G$2:$G$20000=CONFIG_METADATA!$B$4)*(DATOS!$D$2:$D$20000=A97)*(DATOS!$I$2:$I$20000=B97)*(DATOS!$K$2:$K$20000=2))</f>
        <v>0</v>
      </c>
      <c r="N97">
        <f>SUMPRODUCT((DATOS!$G$2:$G$20000=CONFIG_METADATA!$B$4)*(DATOS!$D$2:$D$20000=A97)*(DATOS!$I$2:$I$20000=B97)*(DATOS!$K$2:$K$20000=3))</f>
        <v>0</v>
      </c>
      <c r="O97">
        <f>SUMPRODUCT((DATOS!$G$2:$G$20000=CONFIG_METADATA!$B$4)*(DATOS!$D$2:$D$20000=A97)*(DATOS!$I$2:$I$20000=B97)*(DATOS!$K$2:$K$20000=4))</f>
        <v>0</v>
      </c>
      <c r="P97">
        <f>SUMPRODUCT((DATOS!$G$2:$G$20000=CONFIG_METADATA!$B$4)*(DATOS!$D$2:$D$20000=A97)*(DATOS!$I$2:$I$20000=B97)*(DATOS!$K$2:$K$20000=5))</f>
        <v>0</v>
      </c>
      <c r="Q97">
        <f>SUMPRODUCT((DATOS!$G$2:$G$20000=CONFIG_METADATA!$B$4)*(DATOS!$D$2:$D$20000=A97)*(DATOS!$I$2:$I$20000=B97)*(DATOS!$K$2:$K$20000=6))</f>
        <v>0</v>
      </c>
      <c r="R97">
        <f>SUMPRODUCT((DATOS!$G$2:$G$20000=CONFIG_METADATA!$B$4)*(DATOS!$D$2:$D$20000=A97)*(DATOS!$I$2:$I$20000=B97)*(DATOS!$K$2:$K$20000=7))</f>
        <v>0</v>
      </c>
      <c r="S97">
        <f>SUMPRODUCT((DATOS!$G$2:$G$20000=CONFIG_METADATA!$B$4)*(DATOS!$D$2:$D$20000=A97)*(DATOS!$I$2:$I$20000=B97)*(DATOS!$K$2:$K$20000=8))</f>
        <v>0</v>
      </c>
      <c r="T97">
        <f>SUMPRODUCT((DATOS!$G$2:$G$20000=CONFIG_METADATA!$B$4)*(DATOS!$D$2:$D$20000=A97)*(DATOS!$I$2:$I$20000=B97)*(DATOS!$K$2:$K$20000=9))</f>
        <v>0</v>
      </c>
      <c r="U97">
        <f>SUMPRODUCT((DATOS!$G$2:$G$20000=CONFIG_METADATA!$B$4)*(DATOS!$D$2:$D$20000=A97)*(DATOS!$I$2:$I$20000=B97)*(DATOS!$K$2:$K$20000=10))</f>
        <v>0</v>
      </c>
    </row>
    <row r="98" spans="1:21" x14ac:dyDescent="0.2">
      <c r="A98" t="s">
        <v>79</v>
      </c>
      <c r="B98" t="s">
        <v>30</v>
      </c>
      <c r="C98" t="s">
        <v>25</v>
      </c>
      <c r="D98">
        <f>SUMPRODUCT((DATOS!$G$2:$G$20000=CONFIG_METADATA!$B$4)*(DATOS!$D$2:$D$20000=A98)*(DATOS!$I$2:$I$20000=B98))</f>
        <v>0</v>
      </c>
      <c r="E98" s="10" t="str">
        <f>IFERROR(SUMPRODUCT((DATOS!$G$2:$G$20000=CONFIG_METADATA!$B$4)*(DATOS!$D$2:$D$20000=A98)*(DATOS!$I$2:$I$20000=B98)*(DATOS!$K$2:$K$20000))/D98,"—")</f>
        <v>—</v>
      </c>
      <c r="F98" s="10" t="str" cm="1">
        <f t="array" ref="F98">IFERROR(_xlfn.STDEV.P(_xlfn._xlws.FILTER(DATOS!$K$2:$K$20000,(DATOS!$G$2:$G$20000=CONFIG_METADATA!$B$4)*(DATOS!$D$2:$D$20000=A98)*(DATOS!$I$2:$I$20000=B98))),"—")</f>
        <v>—</v>
      </c>
      <c r="G98" t="str" cm="1">
        <f t="array" ref="G98">IFERROR(_xlfn.MODE.SNGL(_xlfn._xlws.FILTER(DATOS!$K$2:$K$20000,(DATOS!$G$2:$G$20000=CONFIG_METADATA!$B$4)*(DATOS!$D$2:$D$20000=A98)*(DATOS!$I$2:$I$20000=B98))),"—")</f>
        <v>—</v>
      </c>
      <c r="H98" s="11" t="str">
        <f>IFERROR(SUMPRODUCT((DATOS!$G$2:$G$20000=CONFIG_METADATA!$B$4)*(DATOS!$D$2:$D$20000=A98)*(DATOS!$I$2:$I$20000=B98)*(DATOS!$L$2:$L$20000="S"))/D98,"—")</f>
        <v>—</v>
      </c>
      <c r="I98" s="11" t="str">
        <f>IFERROR(SUMPRODUCT((DATOS!$G$2:$G$20000=CONFIG_METADATA!$B$4)*(DATOS!$D$2:$D$20000=A98)*(DATOS!$I$2:$I$20000=B98)*(DATOS!$L$2:$L$20000="N"))/D98,"—")</f>
        <v>—</v>
      </c>
      <c r="J98" t="str" cm="1">
        <f t="array" ref="J98">IFERROR(_xlfn.MODE.SNGL(_xlfn._xlws.FILTER(DATOS!$K$2:$K$20000,(DATOS!$G$2:$G$20000=CONFIG_METADATA!$B$4)*(DATOS!$D$2:$D$20000=A98)*(DATOS!$I$2:$I$20000=B98)*(DATOS!$L$2:$L$20000="S"))),"—")</f>
        <v>—</v>
      </c>
      <c r="K98" t="str" cm="1">
        <f t="array" ref="K98">IFERROR(_xlfn.MODE.SNGL(_xlfn._xlws.FILTER(DATOS!$K$2:$K$20000,(DATOS!$G$2:$G$20000=CONFIG_METADATA!$B$4)*(DATOS!$D$2:$D$20000=A98)*(DATOS!$I$2:$I$20000=B98)*(DATOS!$L$2:$L$20000="N"))),"—")</f>
        <v>—</v>
      </c>
      <c r="L98">
        <f>SUMPRODUCT((DATOS!$G$2:$G$20000=CONFIG_METADATA!$B$4)*(DATOS!$D$2:$D$20000=A98)*(DATOS!$I$2:$I$20000=B98)*(DATOS!$K$2:$K$20000=1))</f>
        <v>0</v>
      </c>
      <c r="M98">
        <f>SUMPRODUCT((DATOS!$G$2:$G$20000=CONFIG_METADATA!$B$4)*(DATOS!$D$2:$D$20000=A98)*(DATOS!$I$2:$I$20000=B98)*(DATOS!$K$2:$K$20000=2))</f>
        <v>0</v>
      </c>
      <c r="N98">
        <f>SUMPRODUCT((DATOS!$G$2:$G$20000=CONFIG_METADATA!$B$4)*(DATOS!$D$2:$D$20000=A98)*(DATOS!$I$2:$I$20000=B98)*(DATOS!$K$2:$K$20000=3))</f>
        <v>0</v>
      </c>
      <c r="O98">
        <f>SUMPRODUCT((DATOS!$G$2:$G$20000=CONFIG_METADATA!$B$4)*(DATOS!$D$2:$D$20000=A98)*(DATOS!$I$2:$I$20000=B98)*(DATOS!$K$2:$K$20000=4))</f>
        <v>0</v>
      </c>
      <c r="P98">
        <f>SUMPRODUCT((DATOS!$G$2:$G$20000=CONFIG_METADATA!$B$4)*(DATOS!$D$2:$D$20000=A98)*(DATOS!$I$2:$I$20000=B98)*(DATOS!$K$2:$K$20000=5))</f>
        <v>0</v>
      </c>
      <c r="Q98">
        <f>SUMPRODUCT((DATOS!$G$2:$G$20000=CONFIG_METADATA!$B$4)*(DATOS!$D$2:$D$20000=A98)*(DATOS!$I$2:$I$20000=B98)*(DATOS!$K$2:$K$20000=6))</f>
        <v>0</v>
      </c>
      <c r="R98">
        <f>SUMPRODUCT((DATOS!$G$2:$G$20000=CONFIG_METADATA!$B$4)*(DATOS!$D$2:$D$20000=A98)*(DATOS!$I$2:$I$20000=B98)*(DATOS!$K$2:$K$20000=7))</f>
        <v>0</v>
      </c>
      <c r="S98">
        <f>SUMPRODUCT((DATOS!$G$2:$G$20000=CONFIG_METADATA!$B$4)*(DATOS!$D$2:$D$20000=A98)*(DATOS!$I$2:$I$20000=B98)*(DATOS!$K$2:$K$20000=8))</f>
        <v>0</v>
      </c>
      <c r="T98">
        <f>SUMPRODUCT((DATOS!$G$2:$G$20000=CONFIG_METADATA!$B$4)*(DATOS!$D$2:$D$20000=A98)*(DATOS!$I$2:$I$20000=B98)*(DATOS!$K$2:$K$20000=9))</f>
        <v>0</v>
      </c>
      <c r="U98">
        <f>SUMPRODUCT((DATOS!$G$2:$G$20000=CONFIG_METADATA!$B$4)*(DATOS!$D$2:$D$20000=A98)*(DATOS!$I$2:$I$20000=B98)*(DATOS!$K$2:$K$20000=10))</f>
        <v>0</v>
      </c>
    </row>
    <row r="99" spans="1:21" x14ac:dyDescent="0.2">
      <c r="A99" t="s">
        <v>79</v>
      </c>
      <c r="B99" t="s">
        <v>32</v>
      </c>
      <c r="C99" t="s">
        <v>25</v>
      </c>
      <c r="D99">
        <f>SUMPRODUCT((DATOS!$G$2:$G$20000=CONFIG_METADATA!$B$4)*(DATOS!$D$2:$D$20000=A99)*(DATOS!$I$2:$I$20000=B99))</f>
        <v>0</v>
      </c>
      <c r="E99" s="10" t="str">
        <f>IFERROR(SUMPRODUCT((DATOS!$G$2:$G$20000=CONFIG_METADATA!$B$4)*(DATOS!$D$2:$D$20000=A99)*(DATOS!$I$2:$I$20000=B99)*(DATOS!$K$2:$K$20000))/D99,"—")</f>
        <v>—</v>
      </c>
      <c r="F99" s="10" t="str" cm="1">
        <f t="array" ref="F99">IFERROR(_xlfn.STDEV.P(_xlfn._xlws.FILTER(DATOS!$K$2:$K$20000,(DATOS!$G$2:$G$20000=CONFIG_METADATA!$B$4)*(DATOS!$D$2:$D$20000=A99)*(DATOS!$I$2:$I$20000=B99))),"—")</f>
        <v>—</v>
      </c>
      <c r="G99" t="str" cm="1">
        <f t="array" ref="G99">IFERROR(_xlfn.MODE.SNGL(_xlfn._xlws.FILTER(DATOS!$K$2:$K$20000,(DATOS!$G$2:$G$20000=CONFIG_METADATA!$B$4)*(DATOS!$D$2:$D$20000=A99)*(DATOS!$I$2:$I$20000=B99))),"—")</f>
        <v>—</v>
      </c>
      <c r="H99" s="11" t="str">
        <f>IFERROR(SUMPRODUCT((DATOS!$G$2:$G$20000=CONFIG_METADATA!$B$4)*(DATOS!$D$2:$D$20000=A99)*(DATOS!$I$2:$I$20000=B99)*(DATOS!$L$2:$L$20000="S"))/D99,"—")</f>
        <v>—</v>
      </c>
      <c r="I99" s="11" t="str">
        <f>IFERROR(SUMPRODUCT((DATOS!$G$2:$G$20000=CONFIG_METADATA!$B$4)*(DATOS!$D$2:$D$20000=A99)*(DATOS!$I$2:$I$20000=B99)*(DATOS!$L$2:$L$20000="N"))/D99,"—")</f>
        <v>—</v>
      </c>
      <c r="J99" t="str" cm="1">
        <f t="array" ref="J99">IFERROR(_xlfn.MODE.SNGL(_xlfn._xlws.FILTER(DATOS!$K$2:$K$20000,(DATOS!$G$2:$G$20000=CONFIG_METADATA!$B$4)*(DATOS!$D$2:$D$20000=A99)*(DATOS!$I$2:$I$20000=B99)*(DATOS!$L$2:$L$20000="S"))),"—")</f>
        <v>—</v>
      </c>
      <c r="K99" t="str" cm="1">
        <f t="array" ref="K99">IFERROR(_xlfn.MODE.SNGL(_xlfn._xlws.FILTER(DATOS!$K$2:$K$20000,(DATOS!$G$2:$G$20000=CONFIG_METADATA!$B$4)*(DATOS!$D$2:$D$20000=A99)*(DATOS!$I$2:$I$20000=B99)*(DATOS!$L$2:$L$20000="N"))),"—")</f>
        <v>—</v>
      </c>
      <c r="L99">
        <f>SUMPRODUCT((DATOS!$G$2:$G$20000=CONFIG_METADATA!$B$4)*(DATOS!$D$2:$D$20000=A99)*(DATOS!$I$2:$I$20000=B99)*(DATOS!$K$2:$K$20000=1))</f>
        <v>0</v>
      </c>
      <c r="M99">
        <f>SUMPRODUCT((DATOS!$G$2:$G$20000=CONFIG_METADATA!$B$4)*(DATOS!$D$2:$D$20000=A99)*(DATOS!$I$2:$I$20000=B99)*(DATOS!$K$2:$K$20000=2))</f>
        <v>0</v>
      </c>
      <c r="N99">
        <f>SUMPRODUCT((DATOS!$G$2:$G$20000=CONFIG_METADATA!$B$4)*(DATOS!$D$2:$D$20000=A99)*(DATOS!$I$2:$I$20000=B99)*(DATOS!$K$2:$K$20000=3))</f>
        <v>0</v>
      </c>
      <c r="O99">
        <f>SUMPRODUCT((DATOS!$G$2:$G$20000=CONFIG_METADATA!$B$4)*(DATOS!$D$2:$D$20000=A99)*(DATOS!$I$2:$I$20000=B99)*(DATOS!$K$2:$K$20000=4))</f>
        <v>0</v>
      </c>
      <c r="P99">
        <f>SUMPRODUCT((DATOS!$G$2:$G$20000=CONFIG_METADATA!$B$4)*(DATOS!$D$2:$D$20000=A99)*(DATOS!$I$2:$I$20000=B99)*(DATOS!$K$2:$K$20000=5))</f>
        <v>0</v>
      </c>
      <c r="Q99">
        <f>SUMPRODUCT((DATOS!$G$2:$G$20000=CONFIG_METADATA!$B$4)*(DATOS!$D$2:$D$20000=A99)*(DATOS!$I$2:$I$20000=B99)*(DATOS!$K$2:$K$20000=6))</f>
        <v>0</v>
      </c>
      <c r="R99">
        <f>SUMPRODUCT((DATOS!$G$2:$G$20000=CONFIG_METADATA!$B$4)*(DATOS!$D$2:$D$20000=A99)*(DATOS!$I$2:$I$20000=B99)*(DATOS!$K$2:$K$20000=7))</f>
        <v>0</v>
      </c>
      <c r="S99">
        <f>SUMPRODUCT((DATOS!$G$2:$G$20000=CONFIG_METADATA!$B$4)*(DATOS!$D$2:$D$20000=A99)*(DATOS!$I$2:$I$20000=B99)*(DATOS!$K$2:$K$20000=8))</f>
        <v>0</v>
      </c>
      <c r="T99">
        <f>SUMPRODUCT((DATOS!$G$2:$G$20000=CONFIG_METADATA!$B$4)*(DATOS!$D$2:$D$20000=A99)*(DATOS!$I$2:$I$20000=B99)*(DATOS!$K$2:$K$20000=9))</f>
        <v>0</v>
      </c>
      <c r="U99">
        <f>SUMPRODUCT((DATOS!$G$2:$G$20000=CONFIG_METADATA!$B$4)*(DATOS!$D$2:$D$20000=A99)*(DATOS!$I$2:$I$20000=B99)*(DATOS!$K$2:$K$20000=10))</f>
        <v>0</v>
      </c>
    </row>
    <row r="100" spans="1:21" x14ac:dyDescent="0.2">
      <c r="A100" t="s">
        <v>79</v>
      </c>
      <c r="B100" t="s">
        <v>33</v>
      </c>
      <c r="C100" t="s">
        <v>25</v>
      </c>
      <c r="D100">
        <f>SUMPRODUCT((DATOS!$G$2:$G$20000=CONFIG_METADATA!$B$4)*(DATOS!$D$2:$D$20000=A100)*(DATOS!$I$2:$I$20000=B100))</f>
        <v>0</v>
      </c>
      <c r="E100" s="10" t="str">
        <f>IFERROR(SUMPRODUCT((DATOS!$G$2:$G$20000=CONFIG_METADATA!$B$4)*(DATOS!$D$2:$D$20000=A100)*(DATOS!$I$2:$I$20000=B100)*(DATOS!$K$2:$K$20000))/D100,"—")</f>
        <v>—</v>
      </c>
      <c r="F100" s="10" t="str" cm="1">
        <f t="array" ref="F100">IFERROR(_xlfn.STDEV.P(_xlfn._xlws.FILTER(DATOS!$K$2:$K$20000,(DATOS!$G$2:$G$20000=CONFIG_METADATA!$B$4)*(DATOS!$D$2:$D$20000=A100)*(DATOS!$I$2:$I$20000=B100))),"—")</f>
        <v>—</v>
      </c>
      <c r="G100" t="str" cm="1">
        <f t="array" ref="G100">IFERROR(_xlfn.MODE.SNGL(_xlfn._xlws.FILTER(DATOS!$K$2:$K$20000,(DATOS!$G$2:$G$20000=CONFIG_METADATA!$B$4)*(DATOS!$D$2:$D$20000=A100)*(DATOS!$I$2:$I$20000=B100))),"—")</f>
        <v>—</v>
      </c>
      <c r="H100" s="11" t="str">
        <f>IFERROR(SUMPRODUCT((DATOS!$G$2:$G$20000=CONFIG_METADATA!$B$4)*(DATOS!$D$2:$D$20000=A100)*(DATOS!$I$2:$I$20000=B100)*(DATOS!$L$2:$L$20000="S"))/D100,"—")</f>
        <v>—</v>
      </c>
      <c r="I100" s="11" t="str">
        <f>IFERROR(SUMPRODUCT((DATOS!$G$2:$G$20000=CONFIG_METADATA!$B$4)*(DATOS!$D$2:$D$20000=A100)*(DATOS!$I$2:$I$20000=B100)*(DATOS!$L$2:$L$20000="N"))/D100,"—")</f>
        <v>—</v>
      </c>
      <c r="J100" t="str" cm="1">
        <f t="array" ref="J100">IFERROR(_xlfn.MODE.SNGL(_xlfn._xlws.FILTER(DATOS!$K$2:$K$20000,(DATOS!$G$2:$G$20000=CONFIG_METADATA!$B$4)*(DATOS!$D$2:$D$20000=A100)*(DATOS!$I$2:$I$20000=B100)*(DATOS!$L$2:$L$20000="S"))),"—")</f>
        <v>—</v>
      </c>
      <c r="K100" t="str" cm="1">
        <f t="array" ref="K100">IFERROR(_xlfn.MODE.SNGL(_xlfn._xlws.FILTER(DATOS!$K$2:$K$20000,(DATOS!$G$2:$G$20000=CONFIG_METADATA!$B$4)*(DATOS!$D$2:$D$20000=A100)*(DATOS!$I$2:$I$20000=B100)*(DATOS!$L$2:$L$20000="N"))),"—")</f>
        <v>—</v>
      </c>
      <c r="L100">
        <f>SUMPRODUCT((DATOS!$G$2:$G$20000=CONFIG_METADATA!$B$4)*(DATOS!$D$2:$D$20000=A100)*(DATOS!$I$2:$I$20000=B100)*(DATOS!$K$2:$K$20000=1))</f>
        <v>0</v>
      </c>
      <c r="M100">
        <f>SUMPRODUCT((DATOS!$G$2:$G$20000=CONFIG_METADATA!$B$4)*(DATOS!$D$2:$D$20000=A100)*(DATOS!$I$2:$I$20000=B100)*(DATOS!$K$2:$K$20000=2))</f>
        <v>0</v>
      </c>
      <c r="N100">
        <f>SUMPRODUCT((DATOS!$G$2:$G$20000=CONFIG_METADATA!$B$4)*(DATOS!$D$2:$D$20000=A100)*(DATOS!$I$2:$I$20000=B100)*(DATOS!$K$2:$K$20000=3))</f>
        <v>0</v>
      </c>
      <c r="O100">
        <f>SUMPRODUCT((DATOS!$G$2:$G$20000=CONFIG_METADATA!$B$4)*(DATOS!$D$2:$D$20000=A100)*(DATOS!$I$2:$I$20000=B100)*(DATOS!$K$2:$K$20000=4))</f>
        <v>0</v>
      </c>
      <c r="P100">
        <f>SUMPRODUCT((DATOS!$G$2:$G$20000=CONFIG_METADATA!$B$4)*(DATOS!$D$2:$D$20000=A100)*(DATOS!$I$2:$I$20000=B100)*(DATOS!$K$2:$K$20000=5))</f>
        <v>0</v>
      </c>
      <c r="Q100">
        <f>SUMPRODUCT((DATOS!$G$2:$G$20000=CONFIG_METADATA!$B$4)*(DATOS!$D$2:$D$20000=A100)*(DATOS!$I$2:$I$20000=B100)*(DATOS!$K$2:$K$20000=6))</f>
        <v>0</v>
      </c>
      <c r="R100">
        <f>SUMPRODUCT((DATOS!$G$2:$G$20000=CONFIG_METADATA!$B$4)*(DATOS!$D$2:$D$20000=A100)*(DATOS!$I$2:$I$20000=B100)*(DATOS!$K$2:$K$20000=7))</f>
        <v>0</v>
      </c>
      <c r="S100">
        <f>SUMPRODUCT((DATOS!$G$2:$G$20000=CONFIG_METADATA!$B$4)*(DATOS!$D$2:$D$20000=A100)*(DATOS!$I$2:$I$20000=B100)*(DATOS!$K$2:$K$20000=8))</f>
        <v>0</v>
      </c>
      <c r="T100">
        <f>SUMPRODUCT((DATOS!$G$2:$G$20000=CONFIG_METADATA!$B$4)*(DATOS!$D$2:$D$20000=A100)*(DATOS!$I$2:$I$20000=B100)*(DATOS!$K$2:$K$20000=9))</f>
        <v>0</v>
      </c>
      <c r="U100">
        <f>SUMPRODUCT((DATOS!$G$2:$G$20000=CONFIG_METADATA!$B$4)*(DATOS!$D$2:$D$20000=A100)*(DATOS!$I$2:$I$20000=B100)*(DATOS!$K$2:$K$20000=10))</f>
        <v>0</v>
      </c>
    </row>
    <row r="101" spans="1:21" x14ac:dyDescent="0.2">
      <c r="A101" t="s">
        <v>79</v>
      </c>
      <c r="B101" t="s">
        <v>34</v>
      </c>
      <c r="C101" t="s">
        <v>25</v>
      </c>
      <c r="D101">
        <f>SUMPRODUCT((DATOS!$G$2:$G$20000=CONFIG_METADATA!$B$4)*(DATOS!$D$2:$D$20000=A101)*(DATOS!$I$2:$I$20000=B101))</f>
        <v>0</v>
      </c>
      <c r="E101" s="10" t="str">
        <f>IFERROR(SUMPRODUCT((DATOS!$G$2:$G$20000=CONFIG_METADATA!$B$4)*(DATOS!$D$2:$D$20000=A101)*(DATOS!$I$2:$I$20000=B101)*(DATOS!$K$2:$K$20000))/D101,"—")</f>
        <v>—</v>
      </c>
      <c r="F101" s="10" t="str" cm="1">
        <f t="array" ref="F101">IFERROR(_xlfn.STDEV.P(_xlfn._xlws.FILTER(DATOS!$K$2:$K$20000,(DATOS!$G$2:$G$20000=CONFIG_METADATA!$B$4)*(DATOS!$D$2:$D$20000=A101)*(DATOS!$I$2:$I$20000=B101))),"—")</f>
        <v>—</v>
      </c>
      <c r="G101" t="str" cm="1">
        <f t="array" ref="G101">IFERROR(_xlfn.MODE.SNGL(_xlfn._xlws.FILTER(DATOS!$K$2:$K$20000,(DATOS!$G$2:$G$20000=CONFIG_METADATA!$B$4)*(DATOS!$D$2:$D$20000=A101)*(DATOS!$I$2:$I$20000=B101))),"—")</f>
        <v>—</v>
      </c>
      <c r="H101" s="11" t="str">
        <f>IFERROR(SUMPRODUCT((DATOS!$G$2:$G$20000=CONFIG_METADATA!$B$4)*(DATOS!$D$2:$D$20000=A101)*(DATOS!$I$2:$I$20000=B101)*(DATOS!$L$2:$L$20000="S"))/D101,"—")</f>
        <v>—</v>
      </c>
      <c r="I101" s="11" t="str">
        <f>IFERROR(SUMPRODUCT((DATOS!$G$2:$G$20000=CONFIG_METADATA!$B$4)*(DATOS!$D$2:$D$20000=A101)*(DATOS!$I$2:$I$20000=B101)*(DATOS!$L$2:$L$20000="N"))/D101,"—")</f>
        <v>—</v>
      </c>
      <c r="J101" t="str" cm="1">
        <f t="array" ref="J101">IFERROR(_xlfn.MODE.SNGL(_xlfn._xlws.FILTER(DATOS!$K$2:$K$20000,(DATOS!$G$2:$G$20000=CONFIG_METADATA!$B$4)*(DATOS!$D$2:$D$20000=A101)*(DATOS!$I$2:$I$20000=B101)*(DATOS!$L$2:$L$20000="S"))),"—")</f>
        <v>—</v>
      </c>
      <c r="K101" t="str" cm="1">
        <f t="array" ref="K101">IFERROR(_xlfn.MODE.SNGL(_xlfn._xlws.FILTER(DATOS!$K$2:$K$20000,(DATOS!$G$2:$G$20000=CONFIG_METADATA!$B$4)*(DATOS!$D$2:$D$20000=A101)*(DATOS!$I$2:$I$20000=B101)*(DATOS!$L$2:$L$20000="N"))),"—")</f>
        <v>—</v>
      </c>
      <c r="L101">
        <f>SUMPRODUCT((DATOS!$G$2:$G$20000=CONFIG_METADATA!$B$4)*(DATOS!$D$2:$D$20000=A101)*(DATOS!$I$2:$I$20000=B101)*(DATOS!$K$2:$K$20000=1))</f>
        <v>0</v>
      </c>
      <c r="M101">
        <f>SUMPRODUCT((DATOS!$G$2:$G$20000=CONFIG_METADATA!$B$4)*(DATOS!$D$2:$D$20000=A101)*(DATOS!$I$2:$I$20000=B101)*(DATOS!$K$2:$K$20000=2))</f>
        <v>0</v>
      </c>
      <c r="N101">
        <f>SUMPRODUCT((DATOS!$G$2:$G$20000=CONFIG_METADATA!$B$4)*(DATOS!$D$2:$D$20000=A101)*(DATOS!$I$2:$I$20000=B101)*(DATOS!$K$2:$K$20000=3))</f>
        <v>0</v>
      </c>
      <c r="O101">
        <f>SUMPRODUCT((DATOS!$G$2:$G$20000=CONFIG_METADATA!$B$4)*(DATOS!$D$2:$D$20000=A101)*(DATOS!$I$2:$I$20000=B101)*(DATOS!$K$2:$K$20000=4))</f>
        <v>0</v>
      </c>
      <c r="P101">
        <f>SUMPRODUCT((DATOS!$G$2:$G$20000=CONFIG_METADATA!$B$4)*(DATOS!$D$2:$D$20000=A101)*(DATOS!$I$2:$I$20000=B101)*(DATOS!$K$2:$K$20000=5))</f>
        <v>0</v>
      </c>
      <c r="Q101">
        <f>SUMPRODUCT((DATOS!$G$2:$G$20000=CONFIG_METADATA!$B$4)*(DATOS!$D$2:$D$20000=A101)*(DATOS!$I$2:$I$20000=B101)*(DATOS!$K$2:$K$20000=6))</f>
        <v>0</v>
      </c>
      <c r="R101">
        <f>SUMPRODUCT((DATOS!$G$2:$G$20000=CONFIG_METADATA!$B$4)*(DATOS!$D$2:$D$20000=A101)*(DATOS!$I$2:$I$20000=B101)*(DATOS!$K$2:$K$20000=7))</f>
        <v>0</v>
      </c>
      <c r="S101">
        <f>SUMPRODUCT((DATOS!$G$2:$G$20000=CONFIG_METADATA!$B$4)*(DATOS!$D$2:$D$20000=A101)*(DATOS!$I$2:$I$20000=B101)*(DATOS!$K$2:$K$20000=8))</f>
        <v>0</v>
      </c>
      <c r="T101">
        <f>SUMPRODUCT((DATOS!$G$2:$G$20000=CONFIG_METADATA!$B$4)*(DATOS!$D$2:$D$20000=A101)*(DATOS!$I$2:$I$20000=B101)*(DATOS!$K$2:$K$20000=9))</f>
        <v>0</v>
      </c>
      <c r="U101">
        <f>SUMPRODUCT((DATOS!$G$2:$G$20000=CONFIG_METADATA!$B$4)*(DATOS!$D$2:$D$20000=A101)*(DATOS!$I$2:$I$20000=B101)*(DATOS!$K$2:$K$20000=10))</f>
        <v>0</v>
      </c>
    </row>
    <row r="102" spans="1:21" x14ac:dyDescent="0.2">
      <c r="A102" t="s">
        <v>79</v>
      </c>
      <c r="B102" t="s">
        <v>35</v>
      </c>
      <c r="C102" t="s">
        <v>25</v>
      </c>
      <c r="D102">
        <f>SUMPRODUCT((DATOS!$G$2:$G$20000=CONFIG_METADATA!$B$4)*(DATOS!$D$2:$D$20000=A102)*(DATOS!$I$2:$I$20000=B102))</f>
        <v>0</v>
      </c>
      <c r="E102" s="10" t="str">
        <f>IFERROR(SUMPRODUCT((DATOS!$G$2:$G$20000=CONFIG_METADATA!$B$4)*(DATOS!$D$2:$D$20000=A102)*(DATOS!$I$2:$I$20000=B102)*(DATOS!$K$2:$K$20000))/D102,"—")</f>
        <v>—</v>
      </c>
      <c r="F102" s="10" t="str" cm="1">
        <f t="array" ref="F102">IFERROR(_xlfn.STDEV.P(_xlfn._xlws.FILTER(DATOS!$K$2:$K$20000,(DATOS!$G$2:$G$20000=CONFIG_METADATA!$B$4)*(DATOS!$D$2:$D$20000=A102)*(DATOS!$I$2:$I$20000=B102))),"—")</f>
        <v>—</v>
      </c>
      <c r="G102" t="str" cm="1">
        <f t="array" ref="G102">IFERROR(_xlfn.MODE.SNGL(_xlfn._xlws.FILTER(DATOS!$K$2:$K$20000,(DATOS!$G$2:$G$20000=CONFIG_METADATA!$B$4)*(DATOS!$D$2:$D$20000=A102)*(DATOS!$I$2:$I$20000=B102))),"—")</f>
        <v>—</v>
      </c>
      <c r="H102" s="11" t="str">
        <f>IFERROR(SUMPRODUCT((DATOS!$G$2:$G$20000=CONFIG_METADATA!$B$4)*(DATOS!$D$2:$D$20000=A102)*(DATOS!$I$2:$I$20000=B102)*(DATOS!$L$2:$L$20000="S"))/D102,"—")</f>
        <v>—</v>
      </c>
      <c r="I102" s="11" t="str">
        <f>IFERROR(SUMPRODUCT((DATOS!$G$2:$G$20000=CONFIG_METADATA!$B$4)*(DATOS!$D$2:$D$20000=A102)*(DATOS!$I$2:$I$20000=B102)*(DATOS!$L$2:$L$20000="N"))/D102,"—")</f>
        <v>—</v>
      </c>
      <c r="J102" t="str" cm="1">
        <f t="array" ref="J102">IFERROR(_xlfn.MODE.SNGL(_xlfn._xlws.FILTER(DATOS!$K$2:$K$20000,(DATOS!$G$2:$G$20000=CONFIG_METADATA!$B$4)*(DATOS!$D$2:$D$20000=A102)*(DATOS!$I$2:$I$20000=B102)*(DATOS!$L$2:$L$20000="S"))),"—")</f>
        <v>—</v>
      </c>
      <c r="K102" t="str" cm="1">
        <f t="array" ref="K102">IFERROR(_xlfn.MODE.SNGL(_xlfn._xlws.FILTER(DATOS!$K$2:$K$20000,(DATOS!$G$2:$G$20000=CONFIG_METADATA!$B$4)*(DATOS!$D$2:$D$20000=A102)*(DATOS!$I$2:$I$20000=B102)*(DATOS!$L$2:$L$20000="N"))),"—")</f>
        <v>—</v>
      </c>
      <c r="L102">
        <f>SUMPRODUCT((DATOS!$G$2:$G$20000=CONFIG_METADATA!$B$4)*(DATOS!$D$2:$D$20000=A102)*(DATOS!$I$2:$I$20000=B102)*(DATOS!$K$2:$K$20000=1))</f>
        <v>0</v>
      </c>
      <c r="M102">
        <f>SUMPRODUCT((DATOS!$G$2:$G$20000=CONFIG_METADATA!$B$4)*(DATOS!$D$2:$D$20000=A102)*(DATOS!$I$2:$I$20000=B102)*(DATOS!$K$2:$K$20000=2))</f>
        <v>0</v>
      </c>
      <c r="N102">
        <f>SUMPRODUCT((DATOS!$G$2:$G$20000=CONFIG_METADATA!$B$4)*(DATOS!$D$2:$D$20000=A102)*(DATOS!$I$2:$I$20000=B102)*(DATOS!$K$2:$K$20000=3))</f>
        <v>0</v>
      </c>
      <c r="O102">
        <f>SUMPRODUCT((DATOS!$G$2:$G$20000=CONFIG_METADATA!$B$4)*(DATOS!$D$2:$D$20000=A102)*(DATOS!$I$2:$I$20000=B102)*(DATOS!$K$2:$K$20000=4))</f>
        <v>0</v>
      </c>
      <c r="P102">
        <f>SUMPRODUCT((DATOS!$G$2:$G$20000=CONFIG_METADATA!$B$4)*(DATOS!$D$2:$D$20000=A102)*(DATOS!$I$2:$I$20000=B102)*(DATOS!$K$2:$K$20000=5))</f>
        <v>0</v>
      </c>
      <c r="Q102">
        <f>SUMPRODUCT((DATOS!$G$2:$G$20000=CONFIG_METADATA!$B$4)*(DATOS!$D$2:$D$20000=A102)*(DATOS!$I$2:$I$20000=B102)*(DATOS!$K$2:$K$20000=6))</f>
        <v>0</v>
      </c>
      <c r="R102">
        <f>SUMPRODUCT((DATOS!$G$2:$G$20000=CONFIG_METADATA!$B$4)*(DATOS!$D$2:$D$20000=A102)*(DATOS!$I$2:$I$20000=B102)*(DATOS!$K$2:$K$20000=7))</f>
        <v>0</v>
      </c>
      <c r="S102">
        <f>SUMPRODUCT((DATOS!$G$2:$G$20000=CONFIG_METADATA!$B$4)*(DATOS!$D$2:$D$20000=A102)*(DATOS!$I$2:$I$20000=B102)*(DATOS!$K$2:$K$20000=8))</f>
        <v>0</v>
      </c>
      <c r="T102">
        <f>SUMPRODUCT((DATOS!$G$2:$G$20000=CONFIG_METADATA!$B$4)*(DATOS!$D$2:$D$20000=A102)*(DATOS!$I$2:$I$20000=B102)*(DATOS!$K$2:$K$20000=9))</f>
        <v>0</v>
      </c>
      <c r="U102">
        <f>SUMPRODUCT((DATOS!$G$2:$G$20000=CONFIG_METADATA!$B$4)*(DATOS!$D$2:$D$20000=A102)*(DATOS!$I$2:$I$20000=B102)*(DATOS!$K$2:$K$20000=10))</f>
        <v>0</v>
      </c>
    </row>
    <row r="103" spans="1:21" x14ac:dyDescent="0.2">
      <c r="A103" t="s">
        <v>79</v>
      </c>
      <c r="B103" t="s">
        <v>36</v>
      </c>
      <c r="C103" t="s">
        <v>25</v>
      </c>
      <c r="D103">
        <f>SUMPRODUCT((DATOS!$G$2:$G$20000=CONFIG_METADATA!$B$4)*(DATOS!$D$2:$D$20000=A103)*(DATOS!$I$2:$I$20000=B103))</f>
        <v>0</v>
      </c>
      <c r="E103" s="10" t="str">
        <f>IFERROR(SUMPRODUCT((DATOS!$G$2:$G$20000=CONFIG_METADATA!$B$4)*(DATOS!$D$2:$D$20000=A103)*(DATOS!$I$2:$I$20000=B103)*(DATOS!$K$2:$K$20000))/D103,"—")</f>
        <v>—</v>
      </c>
      <c r="F103" s="10" t="str" cm="1">
        <f t="array" ref="F103">IFERROR(_xlfn.STDEV.P(_xlfn._xlws.FILTER(DATOS!$K$2:$K$20000,(DATOS!$G$2:$G$20000=CONFIG_METADATA!$B$4)*(DATOS!$D$2:$D$20000=A103)*(DATOS!$I$2:$I$20000=B103))),"—")</f>
        <v>—</v>
      </c>
      <c r="G103" t="str" cm="1">
        <f t="array" ref="G103">IFERROR(_xlfn.MODE.SNGL(_xlfn._xlws.FILTER(DATOS!$K$2:$K$20000,(DATOS!$G$2:$G$20000=CONFIG_METADATA!$B$4)*(DATOS!$D$2:$D$20000=A103)*(DATOS!$I$2:$I$20000=B103))),"—")</f>
        <v>—</v>
      </c>
      <c r="H103" s="11" t="str">
        <f>IFERROR(SUMPRODUCT((DATOS!$G$2:$G$20000=CONFIG_METADATA!$B$4)*(DATOS!$D$2:$D$20000=A103)*(DATOS!$I$2:$I$20000=B103)*(DATOS!$L$2:$L$20000="S"))/D103,"—")</f>
        <v>—</v>
      </c>
      <c r="I103" s="11" t="str">
        <f>IFERROR(SUMPRODUCT((DATOS!$G$2:$G$20000=CONFIG_METADATA!$B$4)*(DATOS!$D$2:$D$20000=A103)*(DATOS!$I$2:$I$20000=B103)*(DATOS!$L$2:$L$20000="N"))/D103,"—")</f>
        <v>—</v>
      </c>
      <c r="J103" t="str" cm="1">
        <f t="array" ref="J103">IFERROR(_xlfn.MODE.SNGL(_xlfn._xlws.FILTER(DATOS!$K$2:$K$20000,(DATOS!$G$2:$G$20000=CONFIG_METADATA!$B$4)*(DATOS!$D$2:$D$20000=A103)*(DATOS!$I$2:$I$20000=B103)*(DATOS!$L$2:$L$20000="S"))),"—")</f>
        <v>—</v>
      </c>
      <c r="K103" t="str" cm="1">
        <f t="array" ref="K103">IFERROR(_xlfn.MODE.SNGL(_xlfn._xlws.FILTER(DATOS!$K$2:$K$20000,(DATOS!$G$2:$G$20000=CONFIG_METADATA!$B$4)*(DATOS!$D$2:$D$20000=A103)*(DATOS!$I$2:$I$20000=B103)*(DATOS!$L$2:$L$20000="N"))),"—")</f>
        <v>—</v>
      </c>
      <c r="L103">
        <f>SUMPRODUCT((DATOS!$G$2:$G$20000=CONFIG_METADATA!$B$4)*(DATOS!$D$2:$D$20000=A103)*(DATOS!$I$2:$I$20000=B103)*(DATOS!$K$2:$K$20000=1))</f>
        <v>0</v>
      </c>
      <c r="M103">
        <f>SUMPRODUCT((DATOS!$G$2:$G$20000=CONFIG_METADATA!$B$4)*(DATOS!$D$2:$D$20000=A103)*(DATOS!$I$2:$I$20000=B103)*(DATOS!$K$2:$K$20000=2))</f>
        <v>0</v>
      </c>
      <c r="N103">
        <f>SUMPRODUCT((DATOS!$G$2:$G$20000=CONFIG_METADATA!$B$4)*(DATOS!$D$2:$D$20000=A103)*(DATOS!$I$2:$I$20000=B103)*(DATOS!$K$2:$K$20000=3))</f>
        <v>0</v>
      </c>
      <c r="O103">
        <f>SUMPRODUCT((DATOS!$G$2:$G$20000=CONFIG_METADATA!$B$4)*(DATOS!$D$2:$D$20000=A103)*(DATOS!$I$2:$I$20000=B103)*(DATOS!$K$2:$K$20000=4))</f>
        <v>0</v>
      </c>
      <c r="P103">
        <f>SUMPRODUCT((DATOS!$G$2:$G$20000=CONFIG_METADATA!$B$4)*(DATOS!$D$2:$D$20000=A103)*(DATOS!$I$2:$I$20000=B103)*(DATOS!$K$2:$K$20000=5))</f>
        <v>0</v>
      </c>
      <c r="Q103">
        <f>SUMPRODUCT((DATOS!$G$2:$G$20000=CONFIG_METADATA!$B$4)*(DATOS!$D$2:$D$20000=A103)*(DATOS!$I$2:$I$20000=B103)*(DATOS!$K$2:$K$20000=6))</f>
        <v>0</v>
      </c>
      <c r="R103">
        <f>SUMPRODUCT((DATOS!$G$2:$G$20000=CONFIG_METADATA!$B$4)*(DATOS!$D$2:$D$20000=A103)*(DATOS!$I$2:$I$20000=B103)*(DATOS!$K$2:$K$20000=7))</f>
        <v>0</v>
      </c>
      <c r="S103">
        <f>SUMPRODUCT((DATOS!$G$2:$G$20000=CONFIG_METADATA!$B$4)*(DATOS!$D$2:$D$20000=A103)*(DATOS!$I$2:$I$20000=B103)*(DATOS!$K$2:$K$20000=8))</f>
        <v>0</v>
      </c>
      <c r="T103">
        <f>SUMPRODUCT((DATOS!$G$2:$G$20000=CONFIG_METADATA!$B$4)*(DATOS!$D$2:$D$20000=A103)*(DATOS!$I$2:$I$20000=B103)*(DATOS!$K$2:$K$20000=9))</f>
        <v>0</v>
      </c>
      <c r="U103">
        <f>SUMPRODUCT((DATOS!$G$2:$G$20000=CONFIG_METADATA!$B$4)*(DATOS!$D$2:$D$20000=A103)*(DATOS!$I$2:$I$20000=B103)*(DATOS!$K$2:$K$20000=10))</f>
        <v>0</v>
      </c>
    </row>
    <row r="104" spans="1:21" x14ac:dyDescent="0.2">
      <c r="A104" t="s">
        <v>79</v>
      </c>
      <c r="B104" t="s">
        <v>37</v>
      </c>
      <c r="C104" t="s">
        <v>25</v>
      </c>
      <c r="D104">
        <f>SUMPRODUCT((DATOS!$G$2:$G$20000=CONFIG_METADATA!$B$4)*(DATOS!$D$2:$D$20000=A104)*(DATOS!$I$2:$I$20000=B104))</f>
        <v>0</v>
      </c>
      <c r="E104" s="10" t="str">
        <f>IFERROR(SUMPRODUCT((DATOS!$G$2:$G$20000=CONFIG_METADATA!$B$4)*(DATOS!$D$2:$D$20000=A104)*(DATOS!$I$2:$I$20000=B104)*(DATOS!$K$2:$K$20000))/D104,"—")</f>
        <v>—</v>
      </c>
      <c r="F104" s="10" t="str" cm="1">
        <f t="array" ref="F104">IFERROR(_xlfn.STDEV.P(_xlfn._xlws.FILTER(DATOS!$K$2:$K$20000,(DATOS!$G$2:$G$20000=CONFIG_METADATA!$B$4)*(DATOS!$D$2:$D$20000=A104)*(DATOS!$I$2:$I$20000=B104))),"—")</f>
        <v>—</v>
      </c>
      <c r="G104" t="str" cm="1">
        <f t="array" ref="G104">IFERROR(_xlfn.MODE.SNGL(_xlfn._xlws.FILTER(DATOS!$K$2:$K$20000,(DATOS!$G$2:$G$20000=CONFIG_METADATA!$B$4)*(DATOS!$D$2:$D$20000=A104)*(DATOS!$I$2:$I$20000=B104))),"—")</f>
        <v>—</v>
      </c>
      <c r="H104" s="11" t="str">
        <f>IFERROR(SUMPRODUCT((DATOS!$G$2:$G$20000=CONFIG_METADATA!$B$4)*(DATOS!$D$2:$D$20000=A104)*(DATOS!$I$2:$I$20000=B104)*(DATOS!$L$2:$L$20000="S"))/D104,"—")</f>
        <v>—</v>
      </c>
      <c r="I104" s="11" t="str">
        <f>IFERROR(SUMPRODUCT((DATOS!$G$2:$G$20000=CONFIG_METADATA!$B$4)*(DATOS!$D$2:$D$20000=A104)*(DATOS!$I$2:$I$20000=B104)*(DATOS!$L$2:$L$20000="N"))/D104,"—")</f>
        <v>—</v>
      </c>
      <c r="J104" t="str" cm="1">
        <f t="array" ref="J104">IFERROR(_xlfn.MODE.SNGL(_xlfn._xlws.FILTER(DATOS!$K$2:$K$20000,(DATOS!$G$2:$G$20000=CONFIG_METADATA!$B$4)*(DATOS!$D$2:$D$20000=A104)*(DATOS!$I$2:$I$20000=B104)*(DATOS!$L$2:$L$20000="S"))),"—")</f>
        <v>—</v>
      </c>
      <c r="K104" t="str" cm="1">
        <f t="array" ref="K104">IFERROR(_xlfn.MODE.SNGL(_xlfn._xlws.FILTER(DATOS!$K$2:$K$20000,(DATOS!$G$2:$G$20000=CONFIG_METADATA!$B$4)*(DATOS!$D$2:$D$20000=A104)*(DATOS!$I$2:$I$20000=B104)*(DATOS!$L$2:$L$20000="N"))),"—")</f>
        <v>—</v>
      </c>
      <c r="L104">
        <f>SUMPRODUCT((DATOS!$G$2:$G$20000=CONFIG_METADATA!$B$4)*(DATOS!$D$2:$D$20000=A104)*(DATOS!$I$2:$I$20000=B104)*(DATOS!$K$2:$K$20000=1))</f>
        <v>0</v>
      </c>
      <c r="M104">
        <f>SUMPRODUCT((DATOS!$G$2:$G$20000=CONFIG_METADATA!$B$4)*(DATOS!$D$2:$D$20000=A104)*(DATOS!$I$2:$I$20000=B104)*(DATOS!$K$2:$K$20000=2))</f>
        <v>0</v>
      </c>
      <c r="N104">
        <f>SUMPRODUCT((DATOS!$G$2:$G$20000=CONFIG_METADATA!$B$4)*(DATOS!$D$2:$D$20000=A104)*(DATOS!$I$2:$I$20000=B104)*(DATOS!$K$2:$K$20000=3))</f>
        <v>0</v>
      </c>
      <c r="O104">
        <f>SUMPRODUCT((DATOS!$G$2:$G$20000=CONFIG_METADATA!$B$4)*(DATOS!$D$2:$D$20000=A104)*(DATOS!$I$2:$I$20000=B104)*(DATOS!$K$2:$K$20000=4))</f>
        <v>0</v>
      </c>
      <c r="P104">
        <f>SUMPRODUCT((DATOS!$G$2:$G$20000=CONFIG_METADATA!$B$4)*(DATOS!$D$2:$D$20000=A104)*(DATOS!$I$2:$I$20000=B104)*(DATOS!$K$2:$K$20000=5))</f>
        <v>0</v>
      </c>
      <c r="Q104">
        <f>SUMPRODUCT((DATOS!$G$2:$G$20000=CONFIG_METADATA!$B$4)*(DATOS!$D$2:$D$20000=A104)*(DATOS!$I$2:$I$20000=B104)*(DATOS!$K$2:$K$20000=6))</f>
        <v>0</v>
      </c>
      <c r="R104">
        <f>SUMPRODUCT((DATOS!$G$2:$G$20000=CONFIG_METADATA!$B$4)*(DATOS!$D$2:$D$20000=A104)*(DATOS!$I$2:$I$20000=B104)*(DATOS!$K$2:$K$20000=7))</f>
        <v>0</v>
      </c>
      <c r="S104">
        <f>SUMPRODUCT((DATOS!$G$2:$G$20000=CONFIG_METADATA!$B$4)*(DATOS!$D$2:$D$20000=A104)*(DATOS!$I$2:$I$20000=B104)*(DATOS!$K$2:$K$20000=8))</f>
        <v>0</v>
      </c>
      <c r="T104">
        <f>SUMPRODUCT((DATOS!$G$2:$G$20000=CONFIG_METADATA!$B$4)*(DATOS!$D$2:$D$20000=A104)*(DATOS!$I$2:$I$20000=B104)*(DATOS!$K$2:$K$20000=9))</f>
        <v>0</v>
      </c>
      <c r="U104">
        <f>SUMPRODUCT((DATOS!$G$2:$G$20000=CONFIG_METADATA!$B$4)*(DATOS!$D$2:$D$20000=A104)*(DATOS!$I$2:$I$20000=B104)*(DATOS!$K$2:$K$20000=10))</f>
        <v>0</v>
      </c>
    </row>
    <row r="105" spans="1:21" x14ac:dyDescent="0.2">
      <c r="A105" t="s">
        <v>79</v>
      </c>
      <c r="B105" t="s">
        <v>38</v>
      </c>
      <c r="C105" t="s">
        <v>25</v>
      </c>
      <c r="D105">
        <f>SUMPRODUCT((DATOS!$G$2:$G$20000=CONFIG_METADATA!$B$4)*(DATOS!$D$2:$D$20000=A105)*(DATOS!$I$2:$I$20000=B105))</f>
        <v>0</v>
      </c>
      <c r="E105" s="10" t="str">
        <f>IFERROR(SUMPRODUCT((DATOS!$G$2:$G$20000=CONFIG_METADATA!$B$4)*(DATOS!$D$2:$D$20000=A105)*(DATOS!$I$2:$I$20000=B105)*(DATOS!$K$2:$K$20000))/D105,"—")</f>
        <v>—</v>
      </c>
      <c r="F105" s="10" t="str" cm="1">
        <f t="array" ref="F105">IFERROR(_xlfn.STDEV.P(_xlfn._xlws.FILTER(DATOS!$K$2:$K$20000,(DATOS!$G$2:$G$20000=CONFIG_METADATA!$B$4)*(DATOS!$D$2:$D$20000=A105)*(DATOS!$I$2:$I$20000=B105))),"—")</f>
        <v>—</v>
      </c>
      <c r="G105" t="str" cm="1">
        <f t="array" ref="G105">IFERROR(_xlfn.MODE.SNGL(_xlfn._xlws.FILTER(DATOS!$K$2:$K$20000,(DATOS!$G$2:$G$20000=CONFIG_METADATA!$B$4)*(DATOS!$D$2:$D$20000=A105)*(DATOS!$I$2:$I$20000=B105))),"—")</f>
        <v>—</v>
      </c>
      <c r="H105" s="11" t="str">
        <f>IFERROR(SUMPRODUCT((DATOS!$G$2:$G$20000=CONFIG_METADATA!$B$4)*(DATOS!$D$2:$D$20000=A105)*(DATOS!$I$2:$I$20000=B105)*(DATOS!$L$2:$L$20000="S"))/D105,"—")</f>
        <v>—</v>
      </c>
      <c r="I105" s="11" t="str">
        <f>IFERROR(SUMPRODUCT((DATOS!$G$2:$G$20000=CONFIG_METADATA!$B$4)*(DATOS!$D$2:$D$20000=A105)*(DATOS!$I$2:$I$20000=B105)*(DATOS!$L$2:$L$20000="N"))/D105,"—")</f>
        <v>—</v>
      </c>
      <c r="J105" t="str" cm="1">
        <f t="array" ref="J105">IFERROR(_xlfn.MODE.SNGL(_xlfn._xlws.FILTER(DATOS!$K$2:$K$20000,(DATOS!$G$2:$G$20000=CONFIG_METADATA!$B$4)*(DATOS!$D$2:$D$20000=A105)*(DATOS!$I$2:$I$20000=B105)*(DATOS!$L$2:$L$20000="S"))),"—")</f>
        <v>—</v>
      </c>
      <c r="K105" t="str" cm="1">
        <f t="array" ref="K105">IFERROR(_xlfn.MODE.SNGL(_xlfn._xlws.FILTER(DATOS!$K$2:$K$20000,(DATOS!$G$2:$G$20000=CONFIG_METADATA!$B$4)*(DATOS!$D$2:$D$20000=A105)*(DATOS!$I$2:$I$20000=B105)*(DATOS!$L$2:$L$20000="N"))),"—")</f>
        <v>—</v>
      </c>
      <c r="L105">
        <f>SUMPRODUCT((DATOS!$G$2:$G$20000=CONFIG_METADATA!$B$4)*(DATOS!$D$2:$D$20000=A105)*(DATOS!$I$2:$I$20000=B105)*(DATOS!$K$2:$K$20000=1))</f>
        <v>0</v>
      </c>
      <c r="M105">
        <f>SUMPRODUCT((DATOS!$G$2:$G$20000=CONFIG_METADATA!$B$4)*(DATOS!$D$2:$D$20000=A105)*(DATOS!$I$2:$I$20000=B105)*(DATOS!$K$2:$K$20000=2))</f>
        <v>0</v>
      </c>
      <c r="N105">
        <f>SUMPRODUCT((DATOS!$G$2:$G$20000=CONFIG_METADATA!$B$4)*(DATOS!$D$2:$D$20000=A105)*(DATOS!$I$2:$I$20000=B105)*(DATOS!$K$2:$K$20000=3))</f>
        <v>0</v>
      </c>
      <c r="O105">
        <f>SUMPRODUCT((DATOS!$G$2:$G$20000=CONFIG_METADATA!$B$4)*(DATOS!$D$2:$D$20000=A105)*(DATOS!$I$2:$I$20000=B105)*(DATOS!$K$2:$K$20000=4))</f>
        <v>0</v>
      </c>
      <c r="P105">
        <f>SUMPRODUCT((DATOS!$G$2:$G$20000=CONFIG_METADATA!$B$4)*(DATOS!$D$2:$D$20000=A105)*(DATOS!$I$2:$I$20000=B105)*(DATOS!$K$2:$K$20000=5))</f>
        <v>0</v>
      </c>
      <c r="Q105">
        <f>SUMPRODUCT((DATOS!$G$2:$G$20000=CONFIG_METADATA!$B$4)*(DATOS!$D$2:$D$20000=A105)*(DATOS!$I$2:$I$20000=B105)*(DATOS!$K$2:$K$20000=6))</f>
        <v>0</v>
      </c>
      <c r="R105">
        <f>SUMPRODUCT((DATOS!$G$2:$G$20000=CONFIG_METADATA!$B$4)*(DATOS!$D$2:$D$20000=A105)*(DATOS!$I$2:$I$20000=B105)*(DATOS!$K$2:$K$20000=7))</f>
        <v>0</v>
      </c>
      <c r="S105">
        <f>SUMPRODUCT((DATOS!$G$2:$G$20000=CONFIG_METADATA!$B$4)*(DATOS!$D$2:$D$20000=A105)*(DATOS!$I$2:$I$20000=B105)*(DATOS!$K$2:$K$20000=8))</f>
        <v>0</v>
      </c>
      <c r="T105">
        <f>SUMPRODUCT((DATOS!$G$2:$G$20000=CONFIG_METADATA!$B$4)*(DATOS!$D$2:$D$20000=A105)*(DATOS!$I$2:$I$20000=B105)*(DATOS!$K$2:$K$20000=9))</f>
        <v>0</v>
      </c>
      <c r="U105">
        <f>SUMPRODUCT((DATOS!$G$2:$G$20000=CONFIG_METADATA!$B$4)*(DATOS!$D$2:$D$20000=A105)*(DATOS!$I$2:$I$20000=B105)*(DATOS!$K$2:$K$20000=10))</f>
        <v>0</v>
      </c>
    </row>
    <row r="106" spans="1:21" x14ac:dyDescent="0.2">
      <c r="A106" t="s">
        <v>79</v>
      </c>
      <c r="B106" t="s">
        <v>39</v>
      </c>
      <c r="C106" t="s">
        <v>25</v>
      </c>
      <c r="D106">
        <f>SUMPRODUCT((DATOS!$G$2:$G$20000=CONFIG_METADATA!$B$4)*(DATOS!$D$2:$D$20000=A106)*(DATOS!$I$2:$I$20000=B106))</f>
        <v>0</v>
      </c>
      <c r="E106" s="10" t="str">
        <f>IFERROR(SUMPRODUCT((DATOS!$G$2:$G$20000=CONFIG_METADATA!$B$4)*(DATOS!$D$2:$D$20000=A106)*(DATOS!$I$2:$I$20000=B106)*(DATOS!$K$2:$K$20000))/D106,"—")</f>
        <v>—</v>
      </c>
      <c r="F106" s="10" t="str" cm="1">
        <f t="array" ref="F106">IFERROR(_xlfn.STDEV.P(_xlfn._xlws.FILTER(DATOS!$K$2:$K$20000,(DATOS!$G$2:$G$20000=CONFIG_METADATA!$B$4)*(DATOS!$D$2:$D$20000=A106)*(DATOS!$I$2:$I$20000=B106))),"—")</f>
        <v>—</v>
      </c>
      <c r="G106" t="str" cm="1">
        <f t="array" ref="G106">IFERROR(_xlfn.MODE.SNGL(_xlfn._xlws.FILTER(DATOS!$K$2:$K$20000,(DATOS!$G$2:$G$20000=CONFIG_METADATA!$B$4)*(DATOS!$D$2:$D$20000=A106)*(DATOS!$I$2:$I$20000=B106))),"—")</f>
        <v>—</v>
      </c>
      <c r="H106" s="11" t="str">
        <f>IFERROR(SUMPRODUCT((DATOS!$G$2:$G$20000=CONFIG_METADATA!$B$4)*(DATOS!$D$2:$D$20000=A106)*(DATOS!$I$2:$I$20000=B106)*(DATOS!$L$2:$L$20000="S"))/D106,"—")</f>
        <v>—</v>
      </c>
      <c r="I106" s="11" t="str">
        <f>IFERROR(SUMPRODUCT((DATOS!$G$2:$G$20000=CONFIG_METADATA!$B$4)*(DATOS!$D$2:$D$20000=A106)*(DATOS!$I$2:$I$20000=B106)*(DATOS!$L$2:$L$20000="N"))/D106,"—")</f>
        <v>—</v>
      </c>
      <c r="J106" t="str" cm="1">
        <f t="array" ref="J106">IFERROR(_xlfn.MODE.SNGL(_xlfn._xlws.FILTER(DATOS!$K$2:$K$20000,(DATOS!$G$2:$G$20000=CONFIG_METADATA!$B$4)*(DATOS!$D$2:$D$20000=A106)*(DATOS!$I$2:$I$20000=B106)*(DATOS!$L$2:$L$20000="S"))),"—")</f>
        <v>—</v>
      </c>
      <c r="K106" t="str" cm="1">
        <f t="array" ref="K106">IFERROR(_xlfn.MODE.SNGL(_xlfn._xlws.FILTER(DATOS!$K$2:$K$20000,(DATOS!$G$2:$G$20000=CONFIG_METADATA!$B$4)*(DATOS!$D$2:$D$20000=A106)*(DATOS!$I$2:$I$20000=B106)*(DATOS!$L$2:$L$20000="N"))),"—")</f>
        <v>—</v>
      </c>
      <c r="L106">
        <f>SUMPRODUCT((DATOS!$G$2:$G$20000=CONFIG_METADATA!$B$4)*(DATOS!$D$2:$D$20000=A106)*(DATOS!$I$2:$I$20000=B106)*(DATOS!$K$2:$K$20000=1))</f>
        <v>0</v>
      </c>
      <c r="M106">
        <f>SUMPRODUCT((DATOS!$G$2:$G$20000=CONFIG_METADATA!$B$4)*(DATOS!$D$2:$D$20000=A106)*(DATOS!$I$2:$I$20000=B106)*(DATOS!$K$2:$K$20000=2))</f>
        <v>0</v>
      </c>
      <c r="N106">
        <f>SUMPRODUCT((DATOS!$G$2:$G$20000=CONFIG_METADATA!$B$4)*(DATOS!$D$2:$D$20000=A106)*(DATOS!$I$2:$I$20000=B106)*(DATOS!$K$2:$K$20000=3))</f>
        <v>0</v>
      </c>
      <c r="O106">
        <f>SUMPRODUCT((DATOS!$G$2:$G$20000=CONFIG_METADATA!$B$4)*(DATOS!$D$2:$D$20000=A106)*(DATOS!$I$2:$I$20000=B106)*(DATOS!$K$2:$K$20000=4))</f>
        <v>0</v>
      </c>
      <c r="P106">
        <f>SUMPRODUCT((DATOS!$G$2:$G$20000=CONFIG_METADATA!$B$4)*(DATOS!$D$2:$D$20000=A106)*(DATOS!$I$2:$I$20000=B106)*(DATOS!$K$2:$K$20000=5))</f>
        <v>0</v>
      </c>
      <c r="Q106">
        <f>SUMPRODUCT((DATOS!$G$2:$G$20000=CONFIG_METADATA!$B$4)*(DATOS!$D$2:$D$20000=A106)*(DATOS!$I$2:$I$20000=B106)*(DATOS!$K$2:$K$20000=6))</f>
        <v>0</v>
      </c>
      <c r="R106">
        <f>SUMPRODUCT((DATOS!$G$2:$G$20000=CONFIG_METADATA!$B$4)*(DATOS!$D$2:$D$20000=A106)*(DATOS!$I$2:$I$20000=B106)*(DATOS!$K$2:$K$20000=7))</f>
        <v>0</v>
      </c>
      <c r="S106">
        <f>SUMPRODUCT((DATOS!$G$2:$G$20000=CONFIG_METADATA!$B$4)*(DATOS!$D$2:$D$20000=A106)*(DATOS!$I$2:$I$20000=B106)*(DATOS!$K$2:$K$20000=8))</f>
        <v>0</v>
      </c>
      <c r="T106">
        <f>SUMPRODUCT((DATOS!$G$2:$G$20000=CONFIG_METADATA!$B$4)*(DATOS!$D$2:$D$20000=A106)*(DATOS!$I$2:$I$20000=B106)*(DATOS!$K$2:$K$20000=9))</f>
        <v>0</v>
      </c>
      <c r="U106">
        <f>SUMPRODUCT((DATOS!$G$2:$G$20000=CONFIG_METADATA!$B$4)*(DATOS!$D$2:$D$20000=A106)*(DATOS!$I$2:$I$20000=B106)*(DATOS!$K$2:$K$20000=10))</f>
        <v>0</v>
      </c>
    </row>
    <row r="107" spans="1:21" x14ac:dyDescent="0.2">
      <c r="A107" t="s">
        <v>79</v>
      </c>
      <c r="B107" t="s">
        <v>41</v>
      </c>
      <c r="C107" t="s">
        <v>25</v>
      </c>
      <c r="D107">
        <f>SUMPRODUCT((DATOS!$G$2:$G$20000=CONFIG_METADATA!$B$4)*(DATOS!$D$2:$D$20000=A107)*(DATOS!$I$2:$I$20000=B107))</f>
        <v>0</v>
      </c>
      <c r="E107" s="10" t="str">
        <f>IFERROR(SUMPRODUCT((DATOS!$G$2:$G$20000=CONFIG_METADATA!$B$4)*(DATOS!$D$2:$D$20000=A107)*(DATOS!$I$2:$I$20000=B107)*(DATOS!$K$2:$K$20000))/D107,"—")</f>
        <v>—</v>
      </c>
      <c r="F107" s="10" t="str" cm="1">
        <f t="array" ref="F107">IFERROR(_xlfn.STDEV.P(_xlfn._xlws.FILTER(DATOS!$K$2:$K$20000,(DATOS!$G$2:$G$20000=CONFIG_METADATA!$B$4)*(DATOS!$D$2:$D$20000=A107)*(DATOS!$I$2:$I$20000=B107))),"—")</f>
        <v>—</v>
      </c>
      <c r="G107" t="str" cm="1">
        <f t="array" ref="G107">IFERROR(_xlfn.MODE.SNGL(_xlfn._xlws.FILTER(DATOS!$K$2:$K$20000,(DATOS!$G$2:$G$20000=CONFIG_METADATA!$B$4)*(DATOS!$D$2:$D$20000=A107)*(DATOS!$I$2:$I$20000=B107))),"—")</f>
        <v>—</v>
      </c>
      <c r="H107" s="11" t="str">
        <f>IFERROR(SUMPRODUCT((DATOS!$G$2:$G$20000=CONFIG_METADATA!$B$4)*(DATOS!$D$2:$D$20000=A107)*(DATOS!$I$2:$I$20000=B107)*(DATOS!$L$2:$L$20000="S"))/D107,"—")</f>
        <v>—</v>
      </c>
      <c r="I107" s="11" t="str">
        <f>IFERROR(SUMPRODUCT((DATOS!$G$2:$G$20000=CONFIG_METADATA!$B$4)*(DATOS!$D$2:$D$20000=A107)*(DATOS!$I$2:$I$20000=B107)*(DATOS!$L$2:$L$20000="N"))/D107,"—")</f>
        <v>—</v>
      </c>
      <c r="J107" t="str" cm="1">
        <f t="array" ref="J107">IFERROR(_xlfn.MODE.SNGL(_xlfn._xlws.FILTER(DATOS!$K$2:$K$20000,(DATOS!$G$2:$G$20000=CONFIG_METADATA!$B$4)*(DATOS!$D$2:$D$20000=A107)*(DATOS!$I$2:$I$20000=B107)*(DATOS!$L$2:$L$20000="S"))),"—")</f>
        <v>—</v>
      </c>
      <c r="K107" t="str" cm="1">
        <f t="array" ref="K107">IFERROR(_xlfn.MODE.SNGL(_xlfn._xlws.FILTER(DATOS!$K$2:$K$20000,(DATOS!$G$2:$G$20000=CONFIG_METADATA!$B$4)*(DATOS!$D$2:$D$20000=A107)*(DATOS!$I$2:$I$20000=B107)*(DATOS!$L$2:$L$20000="N"))),"—")</f>
        <v>—</v>
      </c>
      <c r="L107">
        <f>SUMPRODUCT((DATOS!$G$2:$G$20000=CONFIG_METADATA!$B$4)*(DATOS!$D$2:$D$20000=A107)*(DATOS!$I$2:$I$20000=B107)*(DATOS!$K$2:$K$20000=1))</f>
        <v>0</v>
      </c>
      <c r="M107">
        <f>SUMPRODUCT((DATOS!$G$2:$G$20000=CONFIG_METADATA!$B$4)*(DATOS!$D$2:$D$20000=A107)*(DATOS!$I$2:$I$20000=B107)*(DATOS!$K$2:$K$20000=2))</f>
        <v>0</v>
      </c>
      <c r="N107">
        <f>SUMPRODUCT((DATOS!$G$2:$G$20000=CONFIG_METADATA!$B$4)*(DATOS!$D$2:$D$20000=A107)*(DATOS!$I$2:$I$20000=B107)*(DATOS!$K$2:$K$20000=3))</f>
        <v>0</v>
      </c>
      <c r="O107">
        <f>SUMPRODUCT((DATOS!$G$2:$G$20000=CONFIG_METADATA!$B$4)*(DATOS!$D$2:$D$20000=A107)*(DATOS!$I$2:$I$20000=B107)*(DATOS!$K$2:$K$20000=4))</f>
        <v>0</v>
      </c>
      <c r="P107">
        <f>SUMPRODUCT((DATOS!$G$2:$G$20000=CONFIG_METADATA!$B$4)*(DATOS!$D$2:$D$20000=A107)*(DATOS!$I$2:$I$20000=B107)*(DATOS!$K$2:$K$20000=5))</f>
        <v>0</v>
      </c>
      <c r="Q107">
        <f>SUMPRODUCT((DATOS!$G$2:$G$20000=CONFIG_METADATA!$B$4)*(DATOS!$D$2:$D$20000=A107)*(DATOS!$I$2:$I$20000=B107)*(DATOS!$K$2:$K$20000=6))</f>
        <v>0</v>
      </c>
      <c r="R107">
        <f>SUMPRODUCT((DATOS!$G$2:$G$20000=CONFIG_METADATA!$B$4)*(DATOS!$D$2:$D$20000=A107)*(DATOS!$I$2:$I$20000=B107)*(DATOS!$K$2:$K$20000=7))</f>
        <v>0</v>
      </c>
      <c r="S107">
        <f>SUMPRODUCT((DATOS!$G$2:$G$20000=CONFIG_METADATA!$B$4)*(DATOS!$D$2:$D$20000=A107)*(DATOS!$I$2:$I$20000=B107)*(DATOS!$K$2:$K$20000=8))</f>
        <v>0</v>
      </c>
      <c r="T107">
        <f>SUMPRODUCT((DATOS!$G$2:$G$20000=CONFIG_METADATA!$B$4)*(DATOS!$D$2:$D$20000=A107)*(DATOS!$I$2:$I$20000=B107)*(DATOS!$K$2:$K$20000=9))</f>
        <v>0</v>
      </c>
      <c r="U107">
        <f>SUMPRODUCT((DATOS!$G$2:$G$20000=CONFIG_METADATA!$B$4)*(DATOS!$D$2:$D$20000=A107)*(DATOS!$I$2:$I$20000=B107)*(DATOS!$K$2:$K$20000=10))</f>
        <v>0</v>
      </c>
    </row>
    <row r="108" spans="1:21" x14ac:dyDescent="0.2">
      <c r="A108" t="s">
        <v>79</v>
      </c>
      <c r="B108" t="s">
        <v>43</v>
      </c>
      <c r="C108" t="s">
        <v>25</v>
      </c>
      <c r="D108">
        <f>SUMPRODUCT((DATOS!$G$2:$G$20000=CONFIG_METADATA!$B$4)*(DATOS!$D$2:$D$20000=A108)*(DATOS!$I$2:$I$20000=B108))</f>
        <v>0</v>
      </c>
      <c r="E108" s="10" t="str">
        <f>IFERROR(SUMPRODUCT((DATOS!$G$2:$G$20000=CONFIG_METADATA!$B$4)*(DATOS!$D$2:$D$20000=A108)*(DATOS!$I$2:$I$20000=B108)*(DATOS!$K$2:$K$20000))/D108,"—")</f>
        <v>—</v>
      </c>
      <c r="F108" s="10" t="str" cm="1">
        <f t="array" ref="F108">IFERROR(_xlfn.STDEV.P(_xlfn._xlws.FILTER(DATOS!$K$2:$K$20000,(DATOS!$G$2:$G$20000=CONFIG_METADATA!$B$4)*(DATOS!$D$2:$D$20000=A108)*(DATOS!$I$2:$I$20000=B108))),"—")</f>
        <v>—</v>
      </c>
      <c r="G108" t="str" cm="1">
        <f t="array" ref="G108">IFERROR(_xlfn.MODE.SNGL(_xlfn._xlws.FILTER(DATOS!$K$2:$K$20000,(DATOS!$G$2:$G$20000=CONFIG_METADATA!$B$4)*(DATOS!$D$2:$D$20000=A108)*(DATOS!$I$2:$I$20000=B108))),"—")</f>
        <v>—</v>
      </c>
      <c r="H108" s="11" t="str">
        <f>IFERROR(SUMPRODUCT((DATOS!$G$2:$G$20000=CONFIG_METADATA!$B$4)*(DATOS!$D$2:$D$20000=A108)*(DATOS!$I$2:$I$20000=B108)*(DATOS!$L$2:$L$20000="S"))/D108,"—")</f>
        <v>—</v>
      </c>
      <c r="I108" s="11" t="str">
        <f>IFERROR(SUMPRODUCT((DATOS!$G$2:$G$20000=CONFIG_METADATA!$B$4)*(DATOS!$D$2:$D$20000=A108)*(DATOS!$I$2:$I$20000=B108)*(DATOS!$L$2:$L$20000="N"))/D108,"—")</f>
        <v>—</v>
      </c>
      <c r="J108" t="str" cm="1">
        <f t="array" ref="J108">IFERROR(_xlfn.MODE.SNGL(_xlfn._xlws.FILTER(DATOS!$K$2:$K$20000,(DATOS!$G$2:$G$20000=CONFIG_METADATA!$B$4)*(DATOS!$D$2:$D$20000=A108)*(DATOS!$I$2:$I$20000=B108)*(DATOS!$L$2:$L$20000="S"))),"—")</f>
        <v>—</v>
      </c>
      <c r="K108" t="str" cm="1">
        <f t="array" ref="K108">IFERROR(_xlfn.MODE.SNGL(_xlfn._xlws.FILTER(DATOS!$K$2:$K$20000,(DATOS!$G$2:$G$20000=CONFIG_METADATA!$B$4)*(DATOS!$D$2:$D$20000=A108)*(DATOS!$I$2:$I$20000=B108)*(DATOS!$L$2:$L$20000="N"))),"—")</f>
        <v>—</v>
      </c>
      <c r="L108">
        <f>SUMPRODUCT((DATOS!$G$2:$G$20000=CONFIG_METADATA!$B$4)*(DATOS!$D$2:$D$20000=A108)*(DATOS!$I$2:$I$20000=B108)*(DATOS!$K$2:$K$20000=1))</f>
        <v>0</v>
      </c>
      <c r="M108">
        <f>SUMPRODUCT((DATOS!$G$2:$G$20000=CONFIG_METADATA!$B$4)*(DATOS!$D$2:$D$20000=A108)*(DATOS!$I$2:$I$20000=B108)*(DATOS!$K$2:$K$20000=2))</f>
        <v>0</v>
      </c>
      <c r="N108">
        <f>SUMPRODUCT((DATOS!$G$2:$G$20000=CONFIG_METADATA!$B$4)*(DATOS!$D$2:$D$20000=A108)*(DATOS!$I$2:$I$20000=B108)*(DATOS!$K$2:$K$20000=3))</f>
        <v>0</v>
      </c>
      <c r="O108">
        <f>SUMPRODUCT((DATOS!$G$2:$G$20000=CONFIG_METADATA!$B$4)*(DATOS!$D$2:$D$20000=A108)*(DATOS!$I$2:$I$20000=B108)*(DATOS!$K$2:$K$20000=4))</f>
        <v>0</v>
      </c>
      <c r="P108">
        <f>SUMPRODUCT((DATOS!$G$2:$G$20000=CONFIG_METADATA!$B$4)*(DATOS!$D$2:$D$20000=A108)*(DATOS!$I$2:$I$20000=B108)*(DATOS!$K$2:$K$20000=5))</f>
        <v>0</v>
      </c>
      <c r="Q108">
        <f>SUMPRODUCT((DATOS!$G$2:$G$20000=CONFIG_METADATA!$B$4)*(DATOS!$D$2:$D$20000=A108)*(DATOS!$I$2:$I$20000=B108)*(DATOS!$K$2:$K$20000=6))</f>
        <v>0</v>
      </c>
      <c r="R108">
        <f>SUMPRODUCT((DATOS!$G$2:$G$20000=CONFIG_METADATA!$B$4)*(DATOS!$D$2:$D$20000=A108)*(DATOS!$I$2:$I$20000=B108)*(DATOS!$K$2:$K$20000=7))</f>
        <v>0</v>
      </c>
      <c r="S108">
        <f>SUMPRODUCT((DATOS!$G$2:$G$20000=CONFIG_METADATA!$B$4)*(DATOS!$D$2:$D$20000=A108)*(DATOS!$I$2:$I$20000=B108)*(DATOS!$K$2:$K$20000=8))</f>
        <v>0</v>
      </c>
      <c r="T108">
        <f>SUMPRODUCT((DATOS!$G$2:$G$20000=CONFIG_METADATA!$B$4)*(DATOS!$D$2:$D$20000=A108)*(DATOS!$I$2:$I$20000=B108)*(DATOS!$K$2:$K$20000=9))</f>
        <v>0</v>
      </c>
      <c r="U108">
        <f>SUMPRODUCT((DATOS!$G$2:$G$20000=CONFIG_METADATA!$B$4)*(DATOS!$D$2:$D$20000=A108)*(DATOS!$I$2:$I$20000=B108)*(DATOS!$K$2:$K$20000=10))</f>
        <v>0</v>
      </c>
    </row>
    <row r="109" spans="1:21" x14ac:dyDescent="0.2">
      <c r="A109" t="s">
        <v>79</v>
      </c>
      <c r="B109" t="s">
        <v>44</v>
      </c>
      <c r="C109" t="s">
        <v>25</v>
      </c>
      <c r="D109">
        <f>SUMPRODUCT((DATOS!$G$2:$G$20000=CONFIG_METADATA!$B$4)*(DATOS!$D$2:$D$20000=A109)*(DATOS!$I$2:$I$20000=B109))</f>
        <v>0</v>
      </c>
      <c r="E109" s="10" t="str">
        <f>IFERROR(SUMPRODUCT((DATOS!$G$2:$G$20000=CONFIG_METADATA!$B$4)*(DATOS!$D$2:$D$20000=A109)*(DATOS!$I$2:$I$20000=B109)*(DATOS!$K$2:$K$20000))/D109,"—")</f>
        <v>—</v>
      </c>
      <c r="F109" s="10" t="str" cm="1">
        <f t="array" ref="F109">IFERROR(_xlfn.STDEV.P(_xlfn._xlws.FILTER(DATOS!$K$2:$K$20000,(DATOS!$G$2:$G$20000=CONFIG_METADATA!$B$4)*(DATOS!$D$2:$D$20000=A109)*(DATOS!$I$2:$I$20000=B109))),"—")</f>
        <v>—</v>
      </c>
      <c r="G109" t="str" cm="1">
        <f t="array" ref="G109">IFERROR(_xlfn.MODE.SNGL(_xlfn._xlws.FILTER(DATOS!$K$2:$K$20000,(DATOS!$G$2:$G$20000=CONFIG_METADATA!$B$4)*(DATOS!$D$2:$D$20000=A109)*(DATOS!$I$2:$I$20000=B109))),"—")</f>
        <v>—</v>
      </c>
      <c r="H109" s="11" t="str">
        <f>IFERROR(SUMPRODUCT((DATOS!$G$2:$G$20000=CONFIG_METADATA!$B$4)*(DATOS!$D$2:$D$20000=A109)*(DATOS!$I$2:$I$20000=B109)*(DATOS!$L$2:$L$20000="S"))/D109,"—")</f>
        <v>—</v>
      </c>
      <c r="I109" s="11" t="str">
        <f>IFERROR(SUMPRODUCT((DATOS!$G$2:$G$20000=CONFIG_METADATA!$B$4)*(DATOS!$D$2:$D$20000=A109)*(DATOS!$I$2:$I$20000=B109)*(DATOS!$L$2:$L$20000="N"))/D109,"—")</f>
        <v>—</v>
      </c>
      <c r="J109" t="str" cm="1">
        <f t="array" ref="J109">IFERROR(_xlfn.MODE.SNGL(_xlfn._xlws.FILTER(DATOS!$K$2:$K$20000,(DATOS!$G$2:$G$20000=CONFIG_METADATA!$B$4)*(DATOS!$D$2:$D$20000=A109)*(DATOS!$I$2:$I$20000=B109)*(DATOS!$L$2:$L$20000="S"))),"—")</f>
        <v>—</v>
      </c>
      <c r="K109" t="str" cm="1">
        <f t="array" ref="K109">IFERROR(_xlfn.MODE.SNGL(_xlfn._xlws.FILTER(DATOS!$K$2:$K$20000,(DATOS!$G$2:$G$20000=CONFIG_METADATA!$B$4)*(DATOS!$D$2:$D$20000=A109)*(DATOS!$I$2:$I$20000=B109)*(DATOS!$L$2:$L$20000="N"))),"—")</f>
        <v>—</v>
      </c>
      <c r="L109">
        <f>SUMPRODUCT((DATOS!$G$2:$G$20000=CONFIG_METADATA!$B$4)*(DATOS!$D$2:$D$20000=A109)*(DATOS!$I$2:$I$20000=B109)*(DATOS!$K$2:$K$20000=1))</f>
        <v>0</v>
      </c>
      <c r="M109">
        <f>SUMPRODUCT((DATOS!$G$2:$G$20000=CONFIG_METADATA!$B$4)*(DATOS!$D$2:$D$20000=A109)*(DATOS!$I$2:$I$20000=B109)*(DATOS!$K$2:$K$20000=2))</f>
        <v>0</v>
      </c>
      <c r="N109">
        <f>SUMPRODUCT((DATOS!$G$2:$G$20000=CONFIG_METADATA!$B$4)*(DATOS!$D$2:$D$20000=A109)*(DATOS!$I$2:$I$20000=B109)*(DATOS!$K$2:$K$20000=3))</f>
        <v>0</v>
      </c>
      <c r="O109">
        <f>SUMPRODUCT((DATOS!$G$2:$G$20000=CONFIG_METADATA!$B$4)*(DATOS!$D$2:$D$20000=A109)*(DATOS!$I$2:$I$20000=B109)*(DATOS!$K$2:$K$20000=4))</f>
        <v>0</v>
      </c>
      <c r="P109">
        <f>SUMPRODUCT((DATOS!$G$2:$G$20000=CONFIG_METADATA!$B$4)*(DATOS!$D$2:$D$20000=A109)*(DATOS!$I$2:$I$20000=B109)*(DATOS!$K$2:$K$20000=5))</f>
        <v>0</v>
      </c>
      <c r="Q109">
        <f>SUMPRODUCT((DATOS!$G$2:$G$20000=CONFIG_METADATA!$B$4)*(DATOS!$D$2:$D$20000=A109)*(DATOS!$I$2:$I$20000=B109)*(DATOS!$K$2:$K$20000=6))</f>
        <v>0</v>
      </c>
      <c r="R109">
        <f>SUMPRODUCT((DATOS!$G$2:$G$20000=CONFIG_METADATA!$B$4)*(DATOS!$D$2:$D$20000=A109)*(DATOS!$I$2:$I$20000=B109)*(DATOS!$K$2:$K$20000=7))</f>
        <v>0</v>
      </c>
      <c r="S109">
        <f>SUMPRODUCT((DATOS!$G$2:$G$20000=CONFIG_METADATA!$B$4)*(DATOS!$D$2:$D$20000=A109)*(DATOS!$I$2:$I$20000=B109)*(DATOS!$K$2:$K$20000=8))</f>
        <v>0</v>
      </c>
      <c r="T109">
        <f>SUMPRODUCT((DATOS!$G$2:$G$20000=CONFIG_METADATA!$B$4)*(DATOS!$D$2:$D$20000=A109)*(DATOS!$I$2:$I$20000=B109)*(DATOS!$K$2:$K$20000=9))</f>
        <v>0</v>
      </c>
      <c r="U109">
        <f>SUMPRODUCT((DATOS!$G$2:$G$20000=CONFIG_METADATA!$B$4)*(DATOS!$D$2:$D$20000=A109)*(DATOS!$I$2:$I$20000=B109)*(DATOS!$K$2:$K$20000=10))</f>
        <v>0</v>
      </c>
    </row>
    <row r="110" spans="1:21" x14ac:dyDescent="0.2">
      <c r="A110" t="s">
        <v>79</v>
      </c>
      <c r="B110" t="s">
        <v>45</v>
      </c>
      <c r="C110" t="s">
        <v>25</v>
      </c>
      <c r="D110">
        <f>SUMPRODUCT((DATOS!$G$2:$G$20000=CONFIG_METADATA!$B$4)*(DATOS!$D$2:$D$20000=A110)*(DATOS!$I$2:$I$20000=B110))</f>
        <v>0</v>
      </c>
      <c r="E110" s="10" t="str">
        <f>IFERROR(SUMPRODUCT((DATOS!$G$2:$G$20000=CONFIG_METADATA!$B$4)*(DATOS!$D$2:$D$20000=A110)*(DATOS!$I$2:$I$20000=B110)*(DATOS!$K$2:$K$20000))/D110,"—")</f>
        <v>—</v>
      </c>
      <c r="F110" s="10" t="str" cm="1">
        <f t="array" ref="F110">IFERROR(_xlfn.STDEV.P(_xlfn._xlws.FILTER(DATOS!$K$2:$K$20000,(DATOS!$G$2:$G$20000=CONFIG_METADATA!$B$4)*(DATOS!$D$2:$D$20000=A110)*(DATOS!$I$2:$I$20000=B110))),"—")</f>
        <v>—</v>
      </c>
      <c r="G110" t="str" cm="1">
        <f t="array" ref="G110">IFERROR(_xlfn.MODE.SNGL(_xlfn._xlws.FILTER(DATOS!$K$2:$K$20000,(DATOS!$G$2:$G$20000=CONFIG_METADATA!$B$4)*(DATOS!$D$2:$D$20000=A110)*(DATOS!$I$2:$I$20000=B110))),"—")</f>
        <v>—</v>
      </c>
      <c r="H110" s="11" t="str">
        <f>IFERROR(SUMPRODUCT((DATOS!$G$2:$G$20000=CONFIG_METADATA!$B$4)*(DATOS!$D$2:$D$20000=A110)*(DATOS!$I$2:$I$20000=B110)*(DATOS!$L$2:$L$20000="S"))/D110,"—")</f>
        <v>—</v>
      </c>
      <c r="I110" s="11" t="str">
        <f>IFERROR(SUMPRODUCT((DATOS!$G$2:$G$20000=CONFIG_METADATA!$B$4)*(DATOS!$D$2:$D$20000=A110)*(DATOS!$I$2:$I$20000=B110)*(DATOS!$L$2:$L$20000="N"))/D110,"—")</f>
        <v>—</v>
      </c>
      <c r="J110" t="str" cm="1">
        <f t="array" ref="J110">IFERROR(_xlfn.MODE.SNGL(_xlfn._xlws.FILTER(DATOS!$K$2:$K$20000,(DATOS!$G$2:$G$20000=CONFIG_METADATA!$B$4)*(DATOS!$D$2:$D$20000=A110)*(DATOS!$I$2:$I$20000=B110)*(DATOS!$L$2:$L$20000="S"))),"—")</f>
        <v>—</v>
      </c>
      <c r="K110" t="str" cm="1">
        <f t="array" ref="K110">IFERROR(_xlfn.MODE.SNGL(_xlfn._xlws.FILTER(DATOS!$K$2:$K$20000,(DATOS!$G$2:$G$20000=CONFIG_METADATA!$B$4)*(DATOS!$D$2:$D$20000=A110)*(DATOS!$I$2:$I$20000=B110)*(DATOS!$L$2:$L$20000="N"))),"—")</f>
        <v>—</v>
      </c>
      <c r="L110">
        <f>SUMPRODUCT((DATOS!$G$2:$G$20000=CONFIG_METADATA!$B$4)*(DATOS!$D$2:$D$20000=A110)*(DATOS!$I$2:$I$20000=B110)*(DATOS!$K$2:$K$20000=1))</f>
        <v>0</v>
      </c>
      <c r="M110">
        <f>SUMPRODUCT((DATOS!$G$2:$G$20000=CONFIG_METADATA!$B$4)*(DATOS!$D$2:$D$20000=A110)*(DATOS!$I$2:$I$20000=B110)*(DATOS!$K$2:$K$20000=2))</f>
        <v>0</v>
      </c>
      <c r="N110">
        <f>SUMPRODUCT((DATOS!$G$2:$G$20000=CONFIG_METADATA!$B$4)*(DATOS!$D$2:$D$20000=A110)*(DATOS!$I$2:$I$20000=B110)*(DATOS!$K$2:$K$20000=3))</f>
        <v>0</v>
      </c>
      <c r="O110">
        <f>SUMPRODUCT((DATOS!$G$2:$G$20000=CONFIG_METADATA!$B$4)*(DATOS!$D$2:$D$20000=A110)*(DATOS!$I$2:$I$20000=B110)*(DATOS!$K$2:$K$20000=4))</f>
        <v>0</v>
      </c>
      <c r="P110">
        <f>SUMPRODUCT((DATOS!$G$2:$G$20000=CONFIG_METADATA!$B$4)*(DATOS!$D$2:$D$20000=A110)*(DATOS!$I$2:$I$20000=B110)*(DATOS!$K$2:$K$20000=5))</f>
        <v>0</v>
      </c>
      <c r="Q110">
        <f>SUMPRODUCT((DATOS!$G$2:$G$20000=CONFIG_METADATA!$B$4)*(DATOS!$D$2:$D$20000=A110)*(DATOS!$I$2:$I$20000=B110)*(DATOS!$K$2:$K$20000=6))</f>
        <v>0</v>
      </c>
      <c r="R110">
        <f>SUMPRODUCT((DATOS!$G$2:$G$20000=CONFIG_METADATA!$B$4)*(DATOS!$D$2:$D$20000=A110)*(DATOS!$I$2:$I$20000=B110)*(DATOS!$K$2:$K$20000=7))</f>
        <v>0</v>
      </c>
      <c r="S110">
        <f>SUMPRODUCT((DATOS!$G$2:$G$20000=CONFIG_METADATA!$B$4)*(DATOS!$D$2:$D$20000=A110)*(DATOS!$I$2:$I$20000=B110)*(DATOS!$K$2:$K$20000=8))</f>
        <v>0</v>
      </c>
      <c r="T110">
        <f>SUMPRODUCT((DATOS!$G$2:$G$20000=CONFIG_METADATA!$B$4)*(DATOS!$D$2:$D$20000=A110)*(DATOS!$I$2:$I$20000=B110)*(DATOS!$K$2:$K$20000=9))</f>
        <v>0</v>
      </c>
      <c r="U110">
        <f>SUMPRODUCT((DATOS!$G$2:$G$20000=CONFIG_METADATA!$B$4)*(DATOS!$D$2:$D$20000=A110)*(DATOS!$I$2:$I$20000=B110)*(DATOS!$K$2:$K$20000=10))</f>
        <v>0</v>
      </c>
    </row>
    <row r="111" spans="1:21" x14ac:dyDescent="0.2">
      <c r="A111" t="s">
        <v>79</v>
      </c>
      <c r="B111" t="s">
        <v>46</v>
      </c>
      <c r="C111" t="s">
        <v>25</v>
      </c>
      <c r="D111">
        <f>SUMPRODUCT((DATOS!$G$2:$G$20000=CONFIG_METADATA!$B$4)*(DATOS!$D$2:$D$20000=A111)*(DATOS!$I$2:$I$20000=B111))</f>
        <v>0</v>
      </c>
      <c r="E111" s="10" t="str">
        <f>IFERROR(SUMPRODUCT((DATOS!$G$2:$G$20000=CONFIG_METADATA!$B$4)*(DATOS!$D$2:$D$20000=A111)*(DATOS!$I$2:$I$20000=B111)*(DATOS!$K$2:$K$20000))/D111,"—")</f>
        <v>—</v>
      </c>
      <c r="F111" s="10" t="str" cm="1">
        <f t="array" ref="F111">IFERROR(_xlfn.STDEV.P(_xlfn._xlws.FILTER(DATOS!$K$2:$K$20000,(DATOS!$G$2:$G$20000=CONFIG_METADATA!$B$4)*(DATOS!$D$2:$D$20000=A111)*(DATOS!$I$2:$I$20000=B111))),"—")</f>
        <v>—</v>
      </c>
      <c r="G111" t="str" cm="1">
        <f t="array" ref="G111">IFERROR(_xlfn.MODE.SNGL(_xlfn._xlws.FILTER(DATOS!$K$2:$K$20000,(DATOS!$G$2:$G$20000=CONFIG_METADATA!$B$4)*(DATOS!$D$2:$D$20000=A111)*(DATOS!$I$2:$I$20000=B111))),"—")</f>
        <v>—</v>
      </c>
      <c r="H111" s="11" t="str">
        <f>IFERROR(SUMPRODUCT((DATOS!$G$2:$G$20000=CONFIG_METADATA!$B$4)*(DATOS!$D$2:$D$20000=A111)*(DATOS!$I$2:$I$20000=B111)*(DATOS!$L$2:$L$20000="S"))/D111,"—")</f>
        <v>—</v>
      </c>
      <c r="I111" s="11" t="str">
        <f>IFERROR(SUMPRODUCT((DATOS!$G$2:$G$20000=CONFIG_METADATA!$B$4)*(DATOS!$D$2:$D$20000=A111)*(DATOS!$I$2:$I$20000=B111)*(DATOS!$L$2:$L$20000="N"))/D111,"—")</f>
        <v>—</v>
      </c>
      <c r="J111" t="str" cm="1">
        <f t="array" ref="J111">IFERROR(_xlfn.MODE.SNGL(_xlfn._xlws.FILTER(DATOS!$K$2:$K$20000,(DATOS!$G$2:$G$20000=CONFIG_METADATA!$B$4)*(DATOS!$D$2:$D$20000=A111)*(DATOS!$I$2:$I$20000=B111)*(DATOS!$L$2:$L$20000="S"))),"—")</f>
        <v>—</v>
      </c>
      <c r="K111" t="str" cm="1">
        <f t="array" ref="K111">IFERROR(_xlfn.MODE.SNGL(_xlfn._xlws.FILTER(DATOS!$K$2:$K$20000,(DATOS!$G$2:$G$20000=CONFIG_METADATA!$B$4)*(DATOS!$D$2:$D$20000=A111)*(DATOS!$I$2:$I$20000=B111)*(DATOS!$L$2:$L$20000="N"))),"—")</f>
        <v>—</v>
      </c>
      <c r="L111">
        <f>SUMPRODUCT((DATOS!$G$2:$G$20000=CONFIG_METADATA!$B$4)*(DATOS!$D$2:$D$20000=A111)*(DATOS!$I$2:$I$20000=B111)*(DATOS!$K$2:$K$20000=1))</f>
        <v>0</v>
      </c>
      <c r="M111">
        <f>SUMPRODUCT((DATOS!$G$2:$G$20000=CONFIG_METADATA!$B$4)*(DATOS!$D$2:$D$20000=A111)*(DATOS!$I$2:$I$20000=B111)*(DATOS!$K$2:$K$20000=2))</f>
        <v>0</v>
      </c>
      <c r="N111">
        <f>SUMPRODUCT((DATOS!$G$2:$G$20000=CONFIG_METADATA!$B$4)*(DATOS!$D$2:$D$20000=A111)*(DATOS!$I$2:$I$20000=B111)*(DATOS!$K$2:$K$20000=3))</f>
        <v>0</v>
      </c>
      <c r="O111">
        <f>SUMPRODUCT((DATOS!$G$2:$G$20000=CONFIG_METADATA!$B$4)*(DATOS!$D$2:$D$20000=A111)*(DATOS!$I$2:$I$20000=B111)*(DATOS!$K$2:$K$20000=4))</f>
        <v>0</v>
      </c>
      <c r="P111">
        <f>SUMPRODUCT((DATOS!$G$2:$G$20000=CONFIG_METADATA!$B$4)*(DATOS!$D$2:$D$20000=A111)*(DATOS!$I$2:$I$20000=B111)*(DATOS!$K$2:$K$20000=5))</f>
        <v>0</v>
      </c>
      <c r="Q111">
        <f>SUMPRODUCT((DATOS!$G$2:$G$20000=CONFIG_METADATA!$B$4)*(DATOS!$D$2:$D$20000=A111)*(DATOS!$I$2:$I$20000=B111)*(DATOS!$K$2:$K$20000=6))</f>
        <v>0</v>
      </c>
      <c r="R111">
        <f>SUMPRODUCT((DATOS!$G$2:$G$20000=CONFIG_METADATA!$B$4)*(DATOS!$D$2:$D$20000=A111)*(DATOS!$I$2:$I$20000=B111)*(DATOS!$K$2:$K$20000=7))</f>
        <v>0</v>
      </c>
      <c r="S111">
        <f>SUMPRODUCT((DATOS!$G$2:$G$20000=CONFIG_METADATA!$B$4)*(DATOS!$D$2:$D$20000=A111)*(DATOS!$I$2:$I$20000=B111)*(DATOS!$K$2:$K$20000=8))</f>
        <v>0</v>
      </c>
      <c r="T111">
        <f>SUMPRODUCT((DATOS!$G$2:$G$20000=CONFIG_METADATA!$B$4)*(DATOS!$D$2:$D$20000=A111)*(DATOS!$I$2:$I$20000=B111)*(DATOS!$K$2:$K$20000=9))</f>
        <v>0</v>
      </c>
      <c r="U111">
        <f>SUMPRODUCT((DATOS!$G$2:$G$20000=CONFIG_METADATA!$B$4)*(DATOS!$D$2:$D$20000=A111)*(DATOS!$I$2:$I$20000=B111)*(DATOS!$K$2:$K$20000=10))</f>
        <v>0</v>
      </c>
    </row>
    <row r="112" spans="1:21" x14ac:dyDescent="0.2">
      <c r="A112" t="s">
        <v>79</v>
      </c>
      <c r="B112" t="s">
        <v>47</v>
      </c>
      <c r="C112" t="s">
        <v>25</v>
      </c>
      <c r="D112">
        <f>SUMPRODUCT((DATOS!$G$2:$G$20000=CONFIG_METADATA!$B$4)*(DATOS!$D$2:$D$20000=A112)*(DATOS!$I$2:$I$20000=B112))</f>
        <v>0</v>
      </c>
      <c r="E112" s="10" t="str">
        <f>IFERROR(SUMPRODUCT((DATOS!$G$2:$G$20000=CONFIG_METADATA!$B$4)*(DATOS!$D$2:$D$20000=A112)*(DATOS!$I$2:$I$20000=B112)*(DATOS!$K$2:$K$20000))/D112,"—")</f>
        <v>—</v>
      </c>
      <c r="F112" s="10" t="str" cm="1">
        <f t="array" ref="F112">IFERROR(_xlfn.STDEV.P(_xlfn._xlws.FILTER(DATOS!$K$2:$K$20000,(DATOS!$G$2:$G$20000=CONFIG_METADATA!$B$4)*(DATOS!$D$2:$D$20000=A112)*(DATOS!$I$2:$I$20000=B112))),"—")</f>
        <v>—</v>
      </c>
      <c r="G112" t="str" cm="1">
        <f t="array" ref="G112">IFERROR(_xlfn.MODE.SNGL(_xlfn._xlws.FILTER(DATOS!$K$2:$K$20000,(DATOS!$G$2:$G$20000=CONFIG_METADATA!$B$4)*(DATOS!$D$2:$D$20000=A112)*(DATOS!$I$2:$I$20000=B112))),"—")</f>
        <v>—</v>
      </c>
      <c r="H112" s="11" t="str">
        <f>IFERROR(SUMPRODUCT((DATOS!$G$2:$G$20000=CONFIG_METADATA!$B$4)*(DATOS!$D$2:$D$20000=A112)*(DATOS!$I$2:$I$20000=B112)*(DATOS!$L$2:$L$20000="S"))/D112,"—")</f>
        <v>—</v>
      </c>
      <c r="I112" s="11" t="str">
        <f>IFERROR(SUMPRODUCT((DATOS!$G$2:$G$20000=CONFIG_METADATA!$B$4)*(DATOS!$D$2:$D$20000=A112)*(DATOS!$I$2:$I$20000=B112)*(DATOS!$L$2:$L$20000="N"))/D112,"—")</f>
        <v>—</v>
      </c>
      <c r="J112" t="str" cm="1">
        <f t="array" ref="J112">IFERROR(_xlfn.MODE.SNGL(_xlfn._xlws.FILTER(DATOS!$K$2:$K$20000,(DATOS!$G$2:$G$20000=CONFIG_METADATA!$B$4)*(DATOS!$D$2:$D$20000=A112)*(DATOS!$I$2:$I$20000=B112)*(DATOS!$L$2:$L$20000="S"))),"—")</f>
        <v>—</v>
      </c>
      <c r="K112" t="str" cm="1">
        <f t="array" ref="K112">IFERROR(_xlfn.MODE.SNGL(_xlfn._xlws.FILTER(DATOS!$K$2:$K$20000,(DATOS!$G$2:$G$20000=CONFIG_METADATA!$B$4)*(DATOS!$D$2:$D$20000=A112)*(DATOS!$I$2:$I$20000=B112)*(DATOS!$L$2:$L$20000="N"))),"—")</f>
        <v>—</v>
      </c>
      <c r="L112">
        <f>SUMPRODUCT((DATOS!$G$2:$G$20000=CONFIG_METADATA!$B$4)*(DATOS!$D$2:$D$20000=A112)*(DATOS!$I$2:$I$20000=B112)*(DATOS!$K$2:$K$20000=1))</f>
        <v>0</v>
      </c>
      <c r="M112">
        <f>SUMPRODUCT((DATOS!$G$2:$G$20000=CONFIG_METADATA!$B$4)*(DATOS!$D$2:$D$20000=A112)*(DATOS!$I$2:$I$20000=B112)*(DATOS!$K$2:$K$20000=2))</f>
        <v>0</v>
      </c>
      <c r="N112">
        <f>SUMPRODUCT((DATOS!$G$2:$G$20000=CONFIG_METADATA!$B$4)*(DATOS!$D$2:$D$20000=A112)*(DATOS!$I$2:$I$20000=B112)*(DATOS!$K$2:$K$20000=3))</f>
        <v>0</v>
      </c>
      <c r="O112">
        <f>SUMPRODUCT((DATOS!$G$2:$G$20000=CONFIG_METADATA!$B$4)*(DATOS!$D$2:$D$20000=A112)*(DATOS!$I$2:$I$20000=B112)*(DATOS!$K$2:$K$20000=4))</f>
        <v>0</v>
      </c>
      <c r="P112">
        <f>SUMPRODUCT((DATOS!$G$2:$G$20000=CONFIG_METADATA!$B$4)*(DATOS!$D$2:$D$20000=A112)*(DATOS!$I$2:$I$20000=B112)*(DATOS!$K$2:$K$20000=5))</f>
        <v>0</v>
      </c>
      <c r="Q112">
        <f>SUMPRODUCT((DATOS!$G$2:$G$20000=CONFIG_METADATA!$B$4)*(DATOS!$D$2:$D$20000=A112)*(DATOS!$I$2:$I$20000=B112)*(DATOS!$K$2:$K$20000=6))</f>
        <v>0</v>
      </c>
      <c r="R112">
        <f>SUMPRODUCT((DATOS!$G$2:$G$20000=CONFIG_METADATA!$B$4)*(DATOS!$D$2:$D$20000=A112)*(DATOS!$I$2:$I$20000=B112)*(DATOS!$K$2:$K$20000=7))</f>
        <v>0</v>
      </c>
      <c r="S112">
        <f>SUMPRODUCT((DATOS!$G$2:$G$20000=CONFIG_METADATA!$B$4)*(DATOS!$D$2:$D$20000=A112)*(DATOS!$I$2:$I$20000=B112)*(DATOS!$K$2:$K$20000=8))</f>
        <v>0</v>
      </c>
      <c r="T112">
        <f>SUMPRODUCT((DATOS!$G$2:$G$20000=CONFIG_METADATA!$B$4)*(DATOS!$D$2:$D$20000=A112)*(DATOS!$I$2:$I$20000=B112)*(DATOS!$K$2:$K$20000=9))</f>
        <v>0</v>
      </c>
      <c r="U112">
        <f>SUMPRODUCT((DATOS!$G$2:$G$20000=CONFIG_METADATA!$B$4)*(DATOS!$D$2:$D$20000=A112)*(DATOS!$I$2:$I$20000=B112)*(DATOS!$K$2:$K$20000=10))</f>
        <v>0</v>
      </c>
    </row>
    <row r="113" spans="1:21" x14ac:dyDescent="0.2">
      <c r="A113" t="s">
        <v>79</v>
      </c>
      <c r="B113" t="s">
        <v>48</v>
      </c>
      <c r="C113" t="s">
        <v>25</v>
      </c>
      <c r="D113">
        <f>SUMPRODUCT((DATOS!$G$2:$G$20000=CONFIG_METADATA!$B$4)*(DATOS!$D$2:$D$20000=A113)*(DATOS!$I$2:$I$20000=B113))</f>
        <v>0</v>
      </c>
      <c r="E113" s="10" t="str">
        <f>IFERROR(SUMPRODUCT((DATOS!$G$2:$G$20000=CONFIG_METADATA!$B$4)*(DATOS!$D$2:$D$20000=A113)*(DATOS!$I$2:$I$20000=B113)*(DATOS!$K$2:$K$20000))/D113,"—")</f>
        <v>—</v>
      </c>
      <c r="F113" s="10" t="str" cm="1">
        <f t="array" ref="F113">IFERROR(_xlfn.STDEV.P(_xlfn._xlws.FILTER(DATOS!$K$2:$K$20000,(DATOS!$G$2:$G$20000=CONFIG_METADATA!$B$4)*(DATOS!$D$2:$D$20000=A113)*(DATOS!$I$2:$I$20000=B113))),"—")</f>
        <v>—</v>
      </c>
      <c r="G113" t="str" cm="1">
        <f t="array" ref="G113">IFERROR(_xlfn.MODE.SNGL(_xlfn._xlws.FILTER(DATOS!$K$2:$K$20000,(DATOS!$G$2:$G$20000=CONFIG_METADATA!$B$4)*(DATOS!$D$2:$D$20000=A113)*(DATOS!$I$2:$I$20000=B113))),"—")</f>
        <v>—</v>
      </c>
      <c r="H113" s="11" t="str">
        <f>IFERROR(SUMPRODUCT((DATOS!$G$2:$G$20000=CONFIG_METADATA!$B$4)*(DATOS!$D$2:$D$20000=A113)*(DATOS!$I$2:$I$20000=B113)*(DATOS!$L$2:$L$20000="S"))/D113,"—")</f>
        <v>—</v>
      </c>
      <c r="I113" s="11" t="str">
        <f>IFERROR(SUMPRODUCT((DATOS!$G$2:$G$20000=CONFIG_METADATA!$B$4)*(DATOS!$D$2:$D$20000=A113)*(DATOS!$I$2:$I$20000=B113)*(DATOS!$L$2:$L$20000="N"))/D113,"—")</f>
        <v>—</v>
      </c>
      <c r="J113" t="str" cm="1">
        <f t="array" ref="J113">IFERROR(_xlfn.MODE.SNGL(_xlfn._xlws.FILTER(DATOS!$K$2:$K$20000,(DATOS!$G$2:$G$20000=CONFIG_METADATA!$B$4)*(DATOS!$D$2:$D$20000=A113)*(DATOS!$I$2:$I$20000=B113)*(DATOS!$L$2:$L$20000="S"))),"—")</f>
        <v>—</v>
      </c>
      <c r="K113" t="str" cm="1">
        <f t="array" ref="K113">IFERROR(_xlfn.MODE.SNGL(_xlfn._xlws.FILTER(DATOS!$K$2:$K$20000,(DATOS!$G$2:$G$20000=CONFIG_METADATA!$B$4)*(DATOS!$D$2:$D$20000=A113)*(DATOS!$I$2:$I$20000=B113)*(DATOS!$L$2:$L$20000="N"))),"—")</f>
        <v>—</v>
      </c>
      <c r="L113">
        <f>SUMPRODUCT((DATOS!$G$2:$G$20000=CONFIG_METADATA!$B$4)*(DATOS!$D$2:$D$20000=A113)*(DATOS!$I$2:$I$20000=B113)*(DATOS!$K$2:$K$20000=1))</f>
        <v>0</v>
      </c>
      <c r="M113">
        <f>SUMPRODUCT((DATOS!$G$2:$G$20000=CONFIG_METADATA!$B$4)*(DATOS!$D$2:$D$20000=A113)*(DATOS!$I$2:$I$20000=B113)*(DATOS!$K$2:$K$20000=2))</f>
        <v>0</v>
      </c>
      <c r="N113">
        <f>SUMPRODUCT((DATOS!$G$2:$G$20000=CONFIG_METADATA!$B$4)*(DATOS!$D$2:$D$20000=A113)*(DATOS!$I$2:$I$20000=B113)*(DATOS!$K$2:$K$20000=3))</f>
        <v>0</v>
      </c>
      <c r="O113">
        <f>SUMPRODUCT((DATOS!$G$2:$G$20000=CONFIG_METADATA!$B$4)*(DATOS!$D$2:$D$20000=A113)*(DATOS!$I$2:$I$20000=B113)*(DATOS!$K$2:$K$20000=4))</f>
        <v>0</v>
      </c>
      <c r="P113">
        <f>SUMPRODUCT((DATOS!$G$2:$G$20000=CONFIG_METADATA!$B$4)*(DATOS!$D$2:$D$20000=A113)*(DATOS!$I$2:$I$20000=B113)*(DATOS!$K$2:$K$20000=5))</f>
        <v>0</v>
      </c>
      <c r="Q113">
        <f>SUMPRODUCT((DATOS!$G$2:$G$20000=CONFIG_METADATA!$B$4)*(DATOS!$D$2:$D$20000=A113)*(DATOS!$I$2:$I$20000=B113)*(DATOS!$K$2:$K$20000=6))</f>
        <v>0</v>
      </c>
      <c r="R113">
        <f>SUMPRODUCT((DATOS!$G$2:$G$20000=CONFIG_METADATA!$B$4)*(DATOS!$D$2:$D$20000=A113)*(DATOS!$I$2:$I$20000=B113)*(DATOS!$K$2:$K$20000=7))</f>
        <v>0</v>
      </c>
      <c r="S113">
        <f>SUMPRODUCT((DATOS!$G$2:$G$20000=CONFIG_METADATA!$B$4)*(DATOS!$D$2:$D$20000=A113)*(DATOS!$I$2:$I$20000=B113)*(DATOS!$K$2:$K$20000=8))</f>
        <v>0</v>
      </c>
      <c r="T113">
        <f>SUMPRODUCT((DATOS!$G$2:$G$20000=CONFIG_METADATA!$B$4)*(DATOS!$D$2:$D$20000=A113)*(DATOS!$I$2:$I$20000=B113)*(DATOS!$K$2:$K$20000=9))</f>
        <v>0</v>
      </c>
      <c r="U113">
        <f>SUMPRODUCT((DATOS!$G$2:$G$20000=CONFIG_METADATA!$B$4)*(DATOS!$D$2:$D$20000=A113)*(DATOS!$I$2:$I$20000=B113)*(DATOS!$K$2:$K$20000=10))</f>
        <v>0</v>
      </c>
    </row>
    <row r="114" spans="1:21" x14ac:dyDescent="0.2">
      <c r="A114" t="s">
        <v>79</v>
      </c>
      <c r="B114" t="s">
        <v>49</v>
      </c>
      <c r="C114" t="s">
        <v>25</v>
      </c>
      <c r="D114">
        <f>SUMPRODUCT((DATOS!$G$2:$G$20000=CONFIG_METADATA!$B$4)*(DATOS!$D$2:$D$20000=A114)*(DATOS!$I$2:$I$20000=B114))</f>
        <v>0</v>
      </c>
      <c r="E114" s="10" t="str">
        <f>IFERROR(SUMPRODUCT((DATOS!$G$2:$G$20000=CONFIG_METADATA!$B$4)*(DATOS!$D$2:$D$20000=A114)*(DATOS!$I$2:$I$20000=B114)*(DATOS!$K$2:$K$20000))/D114,"—")</f>
        <v>—</v>
      </c>
      <c r="F114" s="10" t="str" cm="1">
        <f t="array" ref="F114">IFERROR(_xlfn.STDEV.P(_xlfn._xlws.FILTER(DATOS!$K$2:$K$20000,(DATOS!$G$2:$G$20000=CONFIG_METADATA!$B$4)*(DATOS!$D$2:$D$20000=A114)*(DATOS!$I$2:$I$20000=B114))),"—")</f>
        <v>—</v>
      </c>
      <c r="G114" t="str" cm="1">
        <f t="array" ref="G114">IFERROR(_xlfn.MODE.SNGL(_xlfn._xlws.FILTER(DATOS!$K$2:$K$20000,(DATOS!$G$2:$G$20000=CONFIG_METADATA!$B$4)*(DATOS!$D$2:$D$20000=A114)*(DATOS!$I$2:$I$20000=B114))),"—")</f>
        <v>—</v>
      </c>
      <c r="H114" s="11" t="str">
        <f>IFERROR(SUMPRODUCT((DATOS!$G$2:$G$20000=CONFIG_METADATA!$B$4)*(DATOS!$D$2:$D$20000=A114)*(DATOS!$I$2:$I$20000=B114)*(DATOS!$L$2:$L$20000="S"))/D114,"—")</f>
        <v>—</v>
      </c>
      <c r="I114" s="11" t="str">
        <f>IFERROR(SUMPRODUCT((DATOS!$G$2:$G$20000=CONFIG_METADATA!$B$4)*(DATOS!$D$2:$D$20000=A114)*(DATOS!$I$2:$I$20000=B114)*(DATOS!$L$2:$L$20000="N"))/D114,"—")</f>
        <v>—</v>
      </c>
      <c r="J114" t="str" cm="1">
        <f t="array" ref="J114">IFERROR(_xlfn.MODE.SNGL(_xlfn._xlws.FILTER(DATOS!$K$2:$K$20000,(DATOS!$G$2:$G$20000=CONFIG_METADATA!$B$4)*(DATOS!$D$2:$D$20000=A114)*(DATOS!$I$2:$I$20000=B114)*(DATOS!$L$2:$L$20000="S"))),"—")</f>
        <v>—</v>
      </c>
      <c r="K114" t="str" cm="1">
        <f t="array" ref="K114">IFERROR(_xlfn.MODE.SNGL(_xlfn._xlws.FILTER(DATOS!$K$2:$K$20000,(DATOS!$G$2:$G$20000=CONFIG_METADATA!$B$4)*(DATOS!$D$2:$D$20000=A114)*(DATOS!$I$2:$I$20000=B114)*(DATOS!$L$2:$L$20000="N"))),"—")</f>
        <v>—</v>
      </c>
      <c r="L114">
        <f>SUMPRODUCT((DATOS!$G$2:$G$20000=CONFIG_METADATA!$B$4)*(DATOS!$D$2:$D$20000=A114)*(DATOS!$I$2:$I$20000=B114)*(DATOS!$K$2:$K$20000=1))</f>
        <v>0</v>
      </c>
      <c r="M114">
        <f>SUMPRODUCT((DATOS!$G$2:$G$20000=CONFIG_METADATA!$B$4)*(DATOS!$D$2:$D$20000=A114)*(DATOS!$I$2:$I$20000=B114)*(DATOS!$K$2:$K$20000=2))</f>
        <v>0</v>
      </c>
      <c r="N114">
        <f>SUMPRODUCT((DATOS!$G$2:$G$20000=CONFIG_METADATA!$B$4)*(DATOS!$D$2:$D$20000=A114)*(DATOS!$I$2:$I$20000=B114)*(DATOS!$K$2:$K$20000=3))</f>
        <v>0</v>
      </c>
      <c r="O114">
        <f>SUMPRODUCT((DATOS!$G$2:$G$20000=CONFIG_METADATA!$B$4)*(DATOS!$D$2:$D$20000=A114)*(DATOS!$I$2:$I$20000=B114)*(DATOS!$K$2:$K$20000=4))</f>
        <v>0</v>
      </c>
      <c r="P114">
        <f>SUMPRODUCT((DATOS!$G$2:$G$20000=CONFIG_METADATA!$B$4)*(DATOS!$D$2:$D$20000=A114)*(DATOS!$I$2:$I$20000=B114)*(DATOS!$K$2:$K$20000=5))</f>
        <v>0</v>
      </c>
      <c r="Q114">
        <f>SUMPRODUCT((DATOS!$G$2:$G$20000=CONFIG_METADATA!$B$4)*(DATOS!$D$2:$D$20000=A114)*(DATOS!$I$2:$I$20000=B114)*(DATOS!$K$2:$K$20000=6))</f>
        <v>0</v>
      </c>
      <c r="R114">
        <f>SUMPRODUCT((DATOS!$G$2:$G$20000=CONFIG_METADATA!$B$4)*(DATOS!$D$2:$D$20000=A114)*(DATOS!$I$2:$I$20000=B114)*(DATOS!$K$2:$K$20000=7))</f>
        <v>0</v>
      </c>
      <c r="S114">
        <f>SUMPRODUCT((DATOS!$G$2:$G$20000=CONFIG_METADATA!$B$4)*(DATOS!$D$2:$D$20000=A114)*(DATOS!$I$2:$I$20000=B114)*(DATOS!$K$2:$K$20000=8))</f>
        <v>0</v>
      </c>
      <c r="T114">
        <f>SUMPRODUCT((DATOS!$G$2:$G$20000=CONFIG_METADATA!$B$4)*(DATOS!$D$2:$D$20000=A114)*(DATOS!$I$2:$I$20000=B114)*(DATOS!$K$2:$K$20000=9))</f>
        <v>0</v>
      </c>
      <c r="U114">
        <f>SUMPRODUCT((DATOS!$G$2:$G$20000=CONFIG_METADATA!$B$4)*(DATOS!$D$2:$D$20000=A114)*(DATOS!$I$2:$I$20000=B114)*(DATOS!$K$2:$K$20000=10))</f>
        <v>0</v>
      </c>
    </row>
    <row r="115" spans="1:21" x14ac:dyDescent="0.2">
      <c r="A115" t="s">
        <v>79</v>
      </c>
      <c r="B115" t="s">
        <v>50</v>
      </c>
      <c r="C115" t="s">
        <v>25</v>
      </c>
      <c r="D115">
        <f>SUMPRODUCT((DATOS!$G$2:$G$20000=CONFIG_METADATA!$B$4)*(DATOS!$D$2:$D$20000=A115)*(DATOS!$I$2:$I$20000=B115))</f>
        <v>0</v>
      </c>
      <c r="E115" s="10" t="str">
        <f>IFERROR(SUMPRODUCT((DATOS!$G$2:$G$20000=CONFIG_METADATA!$B$4)*(DATOS!$D$2:$D$20000=A115)*(DATOS!$I$2:$I$20000=B115)*(DATOS!$K$2:$K$20000))/D115,"—")</f>
        <v>—</v>
      </c>
      <c r="F115" s="10" t="str" cm="1">
        <f t="array" ref="F115">IFERROR(_xlfn.STDEV.P(_xlfn._xlws.FILTER(DATOS!$K$2:$K$20000,(DATOS!$G$2:$G$20000=CONFIG_METADATA!$B$4)*(DATOS!$D$2:$D$20000=A115)*(DATOS!$I$2:$I$20000=B115))),"—")</f>
        <v>—</v>
      </c>
      <c r="G115" t="str" cm="1">
        <f t="array" ref="G115">IFERROR(_xlfn.MODE.SNGL(_xlfn._xlws.FILTER(DATOS!$K$2:$K$20000,(DATOS!$G$2:$G$20000=CONFIG_METADATA!$B$4)*(DATOS!$D$2:$D$20000=A115)*(DATOS!$I$2:$I$20000=B115))),"—")</f>
        <v>—</v>
      </c>
      <c r="H115" s="11" t="str">
        <f>IFERROR(SUMPRODUCT((DATOS!$G$2:$G$20000=CONFIG_METADATA!$B$4)*(DATOS!$D$2:$D$20000=A115)*(DATOS!$I$2:$I$20000=B115)*(DATOS!$L$2:$L$20000="S"))/D115,"—")</f>
        <v>—</v>
      </c>
      <c r="I115" s="11" t="str">
        <f>IFERROR(SUMPRODUCT((DATOS!$G$2:$G$20000=CONFIG_METADATA!$B$4)*(DATOS!$D$2:$D$20000=A115)*(DATOS!$I$2:$I$20000=B115)*(DATOS!$L$2:$L$20000="N"))/D115,"—")</f>
        <v>—</v>
      </c>
      <c r="J115" t="str" cm="1">
        <f t="array" ref="J115">IFERROR(_xlfn.MODE.SNGL(_xlfn._xlws.FILTER(DATOS!$K$2:$K$20000,(DATOS!$G$2:$G$20000=CONFIG_METADATA!$B$4)*(DATOS!$D$2:$D$20000=A115)*(DATOS!$I$2:$I$20000=B115)*(DATOS!$L$2:$L$20000="S"))),"—")</f>
        <v>—</v>
      </c>
      <c r="K115" t="str" cm="1">
        <f t="array" ref="K115">IFERROR(_xlfn.MODE.SNGL(_xlfn._xlws.FILTER(DATOS!$K$2:$K$20000,(DATOS!$G$2:$G$20000=CONFIG_METADATA!$B$4)*(DATOS!$D$2:$D$20000=A115)*(DATOS!$I$2:$I$20000=B115)*(DATOS!$L$2:$L$20000="N"))),"—")</f>
        <v>—</v>
      </c>
      <c r="L115">
        <f>SUMPRODUCT((DATOS!$G$2:$G$20000=CONFIG_METADATA!$B$4)*(DATOS!$D$2:$D$20000=A115)*(DATOS!$I$2:$I$20000=B115)*(DATOS!$K$2:$K$20000=1))</f>
        <v>0</v>
      </c>
      <c r="M115">
        <f>SUMPRODUCT((DATOS!$G$2:$G$20000=CONFIG_METADATA!$B$4)*(DATOS!$D$2:$D$20000=A115)*(DATOS!$I$2:$I$20000=B115)*(DATOS!$K$2:$K$20000=2))</f>
        <v>0</v>
      </c>
      <c r="N115">
        <f>SUMPRODUCT((DATOS!$G$2:$G$20000=CONFIG_METADATA!$B$4)*(DATOS!$D$2:$D$20000=A115)*(DATOS!$I$2:$I$20000=B115)*(DATOS!$K$2:$K$20000=3))</f>
        <v>0</v>
      </c>
      <c r="O115">
        <f>SUMPRODUCT((DATOS!$G$2:$G$20000=CONFIG_METADATA!$B$4)*(DATOS!$D$2:$D$20000=A115)*(DATOS!$I$2:$I$20000=B115)*(DATOS!$K$2:$K$20000=4))</f>
        <v>0</v>
      </c>
      <c r="P115">
        <f>SUMPRODUCT((DATOS!$G$2:$G$20000=CONFIG_METADATA!$B$4)*(DATOS!$D$2:$D$20000=A115)*(DATOS!$I$2:$I$20000=B115)*(DATOS!$K$2:$K$20000=5))</f>
        <v>0</v>
      </c>
      <c r="Q115">
        <f>SUMPRODUCT((DATOS!$G$2:$G$20000=CONFIG_METADATA!$B$4)*(DATOS!$D$2:$D$20000=A115)*(DATOS!$I$2:$I$20000=B115)*(DATOS!$K$2:$K$20000=6))</f>
        <v>0</v>
      </c>
      <c r="R115">
        <f>SUMPRODUCT((DATOS!$G$2:$G$20000=CONFIG_METADATA!$B$4)*(DATOS!$D$2:$D$20000=A115)*(DATOS!$I$2:$I$20000=B115)*(DATOS!$K$2:$K$20000=7))</f>
        <v>0</v>
      </c>
      <c r="S115">
        <f>SUMPRODUCT((DATOS!$G$2:$G$20000=CONFIG_METADATA!$B$4)*(DATOS!$D$2:$D$20000=A115)*(DATOS!$I$2:$I$20000=B115)*(DATOS!$K$2:$K$20000=8))</f>
        <v>0</v>
      </c>
      <c r="T115">
        <f>SUMPRODUCT((DATOS!$G$2:$G$20000=CONFIG_METADATA!$B$4)*(DATOS!$D$2:$D$20000=A115)*(DATOS!$I$2:$I$20000=B115)*(DATOS!$K$2:$K$20000=9))</f>
        <v>0</v>
      </c>
      <c r="U115">
        <f>SUMPRODUCT((DATOS!$G$2:$G$20000=CONFIG_METADATA!$B$4)*(DATOS!$D$2:$D$20000=A115)*(DATOS!$I$2:$I$20000=B115)*(DATOS!$K$2:$K$20000=10))</f>
        <v>0</v>
      </c>
    </row>
    <row r="116" spans="1:21" x14ac:dyDescent="0.2">
      <c r="A116" t="s">
        <v>80</v>
      </c>
      <c r="B116" t="s">
        <v>15</v>
      </c>
      <c r="C116" t="s">
        <v>12</v>
      </c>
      <c r="D116">
        <f>SUMPRODUCT((DATOS!$G$2:$G$20000=CONFIG_METADATA!$B$4)*(DATOS!$D$2:$D$20000=A116)*(DATOS!$I$2:$I$20000=B116))</f>
        <v>0</v>
      </c>
      <c r="E116" s="10" t="str">
        <f>IFERROR(SUMPRODUCT((DATOS!$G$2:$G$20000=CONFIG_METADATA!$B$4)*(DATOS!$D$2:$D$20000=A116)*(DATOS!$I$2:$I$20000=B116)*(DATOS!$K$2:$K$20000))/D116,"—")</f>
        <v>—</v>
      </c>
      <c r="F116" s="10" t="str" cm="1">
        <f t="array" ref="F116">IFERROR(_xlfn.STDEV.P(_xlfn._xlws.FILTER(DATOS!$K$2:$K$20000,(DATOS!$G$2:$G$20000=CONFIG_METADATA!$B$4)*(DATOS!$D$2:$D$20000=A116)*(DATOS!$I$2:$I$20000=B116))),"—")</f>
        <v>—</v>
      </c>
      <c r="G116" t="str" cm="1">
        <f t="array" ref="G116">IFERROR(_xlfn.MODE.SNGL(_xlfn._xlws.FILTER(DATOS!$K$2:$K$20000,(DATOS!$G$2:$G$20000=CONFIG_METADATA!$B$4)*(DATOS!$D$2:$D$20000=A116)*(DATOS!$I$2:$I$20000=B116))),"—")</f>
        <v>—</v>
      </c>
      <c r="H116" s="11" t="str">
        <f>IFERROR(SUMPRODUCT((DATOS!$G$2:$G$20000=CONFIG_METADATA!$B$4)*(DATOS!$D$2:$D$20000=A116)*(DATOS!$I$2:$I$20000=B116)*(DATOS!$L$2:$L$20000="S"))/D116,"—")</f>
        <v>—</v>
      </c>
      <c r="I116" s="11" t="str">
        <f>IFERROR(SUMPRODUCT((DATOS!$G$2:$G$20000=CONFIG_METADATA!$B$4)*(DATOS!$D$2:$D$20000=A116)*(DATOS!$I$2:$I$20000=B116)*(DATOS!$L$2:$L$20000="N"))/D116,"—")</f>
        <v>—</v>
      </c>
      <c r="J116" t="str" cm="1">
        <f t="array" ref="J116">IFERROR(_xlfn.MODE.SNGL(_xlfn._xlws.FILTER(DATOS!$K$2:$K$20000,(DATOS!$G$2:$G$20000=CONFIG_METADATA!$B$4)*(DATOS!$D$2:$D$20000=A116)*(DATOS!$I$2:$I$20000=B116)*(DATOS!$L$2:$L$20000="S"))),"—")</f>
        <v>—</v>
      </c>
      <c r="K116" t="str" cm="1">
        <f t="array" ref="K116">IFERROR(_xlfn.MODE.SNGL(_xlfn._xlws.FILTER(DATOS!$K$2:$K$20000,(DATOS!$G$2:$G$20000=CONFIG_METADATA!$B$4)*(DATOS!$D$2:$D$20000=A116)*(DATOS!$I$2:$I$20000=B116)*(DATOS!$L$2:$L$20000="N"))),"—")</f>
        <v>—</v>
      </c>
      <c r="L116">
        <f>SUMPRODUCT((DATOS!$G$2:$G$20000=CONFIG_METADATA!$B$4)*(DATOS!$D$2:$D$20000=A116)*(DATOS!$I$2:$I$20000=B116)*(DATOS!$K$2:$K$20000=1))</f>
        <v>0</v>
      </c>
      <c r="M116">
        <f>SUMPRODUCT((DATOS!$G$2:$G$20000=CONFIG_METADATA!$B$4)*(DATOS!$D$2:$D$20000=A116)*(DATOS!$I$2:$I$20000=B116)*(DATOS!$K$2:$K$20000=2))</f>
        <v>0</v>
      </c>
      <c r="N116">
        <f>SUMPRODUCT((DATOS!$G$2:$G$20000=CONFIG_METADATA!$B$4)*(DATOS!$D$2:$D$20000=A116)*(DATOS!$I$2:$I$20000=B116)*(DATOS!$K$2:$K$20000=3))</f>
        <v>0</v>
      </c>
      <c r="O116">
        <f>SUMPRODUCT((DATOS!$G$2:$G$20000=CONFIG_METADATA!$B$4)*(DATOS!$D$2:$D$20000=A116)*(DATOS!$I$2:$I$20000=B116)*(DATOS!$K$2:$K$20000=4))</f>
        <v>0</v>
      </c>
      <c r="P116">
        <f>SUMPRODUCT((DATOS!$G$2:$G$20000=CONFIG_METADATA!$B$4)*(DATOS!$D$2:$D$20000=A116)*(DATOS!$I$2:$I$20000=B116)*(DATOS!$K$2:$K$20000=5))</f>
        <v>0</v>
      </c>
      <c r="Q116">
        <f>SUMPRODUCT((DATOS!$G$2:$G$20000=CONFIG_METADATA!$B$4)*(DATOS!$D$2:$D$20000=A116)*(DATOS!$I$2:$I$20000=B116)*(DATOS!$K$2:$K$20000=6))</f>
        <v>0</v>
      </c>
      <c r="R116">
        <f>SUMPRODUCT((DATOS!$G$2:$G$20000=CONFIG_METADATA!$B$4)*(DATOS!$D$2:$D$20000=A116)*(DATOS!$I$2:$I$20000=B116)*(DATOS!$K$2:$K$20000=7))</f>
        <v>0</v>
      </c>
      <c r="S116">
        <f>SUMPRODUCT((DATOS!$G$2:$G$20000=CONFIG_METADATA!$B$4)*(DATOS!$D$2:$D$20000=A116)*(DATOS!$I$2:$I$20000=B116)*(DATOS!$K$2:$K$20000=8))</f>
        <v>0</v>
      </c>
      <c r="T116">
        <f>SUMPRODUCT((DATOS!$G$2:$G$20000=CONFIG_METADATA!$B$4)*(DATOS!$D$2:$D$20000=A116)*(DATOS!$I$2:$I$20000=B116)*(DATOS!$K$2:$K$20000=9))</f>
        <v>0</v>
      </c>
      <c r="U116">
        <f>SUMPRODUCT((DATOS!$G$2:$G$20000=CONFIG_METADATA!$B$4)*(DATOS!$D$2:$D$20000=A116)*(DATOS!$I$2:$I$20000=B116)*(DATOS!$K$2:$K$20000=10))</f>
        <v>0</v>
      </c>
    </row>
    <row r="117" spans="1:21" x14ac:dyDescent="0.2">
      <c r="A117" t="s">
        <v>80</v>
      </c>
      <c r="B117" t="s">
        <v>19</v>
      </c>
      <c r="C117" t="s">
        <v>21</v>
      </c>
      <c r="D117">
        <f>SUMPRODUCT((DATOS!$G$2:$G$20000=CONFIG_METADATA!$B$4)*(DATOS!$D$2:$D$20000=A117)*(DATOS!$I$2:$I$20000=B117))</f>
        <v>0</v>
      </c>
      <c r="E117" s="10" t="str">
        <f>IFERROR(SUMPRODUCT((DATOS!$G$2:$G$20000=CONFIG_METADATA!$B$4)*(DATOS!$D$2:$D$20000=A117)*(DATOS!$I$2:$I$20000=B117)*(DATOS!$K$2:$K$20000))/D117,"—")</f>
        <v>—</v>
      </c>
      <c r="F117" s="10" t="str" cm="1">
        <f t="array" ref="F117">IFERROR(_xlfn.STDEV.P(_xlfn._xlws.FILTER(DATOS!$K$2:$K$20000,(DATOS!$G$2:$G$20000=CONFIG_METADATA!$B$4)*(DATOS!$D$2:$D$20000=A117)*(DATOS!$I$2:$I$20000=B117))),"—")</f>
        <v>—</v>
      </c>
      <c r="G117" t="str" cm="1">
        <f t="array" ref="G117">IFERROR(_xlfn.MODE.SNGL(_xlfn._xlws.FILTER(DATOS!$K$2:$K$20000,(DATOS!$G$2:$G$20000=CONFIG_METADATA!$B$4)*(DATOS!$D$2:$D$20000=A117)*(DATOS!$I$2:$I$20000=B117))),"—")</f>
        <v>—</v>
      </c>
      <c r="H117" s="11" t="str">
        <f>IFERROR(SUMPRODUCT((DATOS!$G$2:$G$20000=CONFIG_METADATA!$B$4)*(DATOS!$D$2:$D$20000=A117)*(DATOS!$I$2:$I$20000=B117)*(DATOS!$L$2:$L$20000="S"))/D117,"—")</f>
        <v>—</v>
      </c>
      <c r="I117" s="11" t="str">
        <f>IFERROR(SUMPRODUCT((DATOS!$G$2:$G$20000=CONFIG_METADATA!$B$4)*(DATOS!$D$2:$D$20000=A117)*(DATOS!$I$2:$I$20000=B117)*(DATOS!$L$2:$L$20000="N"))/D117,"—")</f>
        <v>—</v>
      </c>
      <c r="J117" t="str" cm="1">
        <f t="array" ref="J117">IFERROR(_xlfn.MODE.SNGL(_xlfn._xlws.FILTER(DATOS!$K$2:$K$20000,(DATOS!$G$2:$G$20000=CONFIG_METADATA!$B$4)*(DATOS!$D$2:$D$20000=A117)*(DATOS!$I$2:$I$20000=B117)*(DATOS!$L$2:$L$20000="S"))),"—")</f>
        <v>—</v>
      </c>
      <c r="K117" t="str" cm="1">
        <f t="array" ref="K117">IFERROR(_xlfn.MODE.SNGL(_xlfn._xlws.FILTER(DATOS!$K$2:$K$20000,(DATOS!$G$2:$G$20000=CONFIG_METADATA!$B$4)*(DATOS!$D$2:$D$20000=A117)*(DATOS!$I$2:$I$20000=B117)*(DATOS!$L$2:$L$20000="N"))),"—")</f>
        <v>—</v>
      </c>
      <c r="L117">
        <f>SUMPRODUCT((DATOS!$G$2:$G$20000=CONFIG_METADATA!$B$4)*(DATOS!$D$2:$D$20000=A117)*(DATOS!$I$2:$I$20000=B117)*(DATOS!$K$2:$K$20000=1))</f>
        <v>0</v>
      </c>
      <c r="M117">
        <f>SUMPRODUCT((DATOS!$G$2:$G$20000=CONFIG_METADATA!$B$4)*(DATOS!$D$2:$D$20000=A117)*(DATOS!$I$2:$I$20000=B117)*(DATOS!$K$2:$K$20000=2))</f>
        <v>0</v>
      </c>
      <c r="N117">
        <f>SUMPRODUCT((DATOS!$G$2:$G$20000=CONFIG_METADATA!$B$4)*(DATOS!$D$2:$D$20000=A117)*(DATOS!$I$2:$I$20000=B117)*(DATOS!$K$2:$K$20000=3))</f>
        <v>0</v>
      </c>
      <c r="O117">
        <f>SUMPRODUCT((DATOS!$G$2:$G$20000=CONFIG_METADATA!$B$4)*(DATOS!$D$2:$D$20000=A117)*(DATOS!$I$2:$I$20000=B117)*(DATOS!$K$2:$K$20000=4))</f>
        <v>0</v>
      </c>
      <c r="P117">
        <f>SUMPRODUCT((DATOS!$G$2:$G$20000=CONFIG_METADATA!$B$4)*(DATOS!$D$2:$D$20000=A117)*(DATOS!$I$2:$I$20000=B117)*(DATOS!$K$2:$K$20000=5))</f>
        <v>0</v>
      </c>
      <c r="Q117">
        <f>SUMPRODUCT((DATOS!$G$2:$G$20000=CONFIG_METADATA!$B$4)*(DATOS!$D$2:$D$20000=A117)*(DATOS!$I$2:$I$20000=B117)*(DATOS!$K$2:$K$20000=6))</f>
        <v>0</v>
      </c>
      <c r="R117">
        <f>SUMPRODUCT((DATOS!$G$2:$G$20000=CONFIG_METADATA!$B$4)*(DATOS!$D$2:$D$20000=A117)*(DATOS!$I$2:$I$20000=B117)*(DATOS!$K$2:$K$20000=7))</f>
        <v>0</v>
      </c>
      <c r="S117">
        <f>SUMPRODUCT((DATOS!$G$2:$G$20000=CONFIG_METADATA!$B$4)*(DATOS!$D$2:$D$20000=A117)*(DATOS!$I$2:$I$20000=B117)*(DATOS!$K$2:$K$20000=8))</f>
        <v>0</v>
      </c>
      <c r="T117">
        <f>SUMPRODUCT((DATOS!$G$2:$G$20000=CONFIG_METADATA!$B$4)*(DATOS!$D$2:$D$20000=A117)*(DATOS!$I$2:$I$20000=B117)*(DATOS!$K$2:$K$20000=9))</f>
        <v>0</v>
      </c>
      <c r="U117">
        <f>SUMPRODUCT((DATOS!$G$2:$G$20000=CONFIG_METADATA!$B$4)*(DATOS!$D$2:$D$20000=A117)*(DATOS!$I$2:$I$20000=B117)*(DATOS!$K$2:$K$20000=10))</f>
        <v>0</v>
      </c>
    </row>
    <row r="118" spans="1:21" x14ac:dyDescent="0.2">
      <c r="A118" t="s">
        <v>80</v>
      </c>
      <c r="B118" t="s">
        <v>22</v>
      </c>
      <c r="C118" t="s">
        <v>21</v>
      </c>
      <c r="D118">
        <f>SUMPRODUCT((DATOS!$G$2:$G$20000=CONFIG_METADATA!$B$4)*(DATOS!$D$2:$D$20000=A118)*(DATOS!$I$2:$I$20000=B118))</f>
        <v>0</v>
      </c>
      <c r="E118" s="10" t="str">
        <f>IFERROR(SUMPRODUCT((DATOS!$G$2:$G$20000=CONFIG_METADATA!$B$4)*(DATOS!$D$2:$D$20000=A118)*(DATOS!$I$2:$I$20000=B118)*(DATOS!$K$2:$K$20000))/D118,"—")</f>
        <v>—</v>
      </c>
      <c r="F118" s="10" t="str" cm="1">
        <f t="array" ref="F118">IFERROR(_xlfn.STDEV.P(_xlfn._xlws.FILTER(DATOS!$K$2:$K$20000,(DATOS!$G$2:$G$20000=CONFIG_METADATA!$B$4)*(DATOS!$D$2:$D$20000=A118)*(DATOS!$I$2:$I$20000=B118))),"—")</f>
        <v>—</v>
      </c>
      <c r="G118" t="str" cm="1">
        <f t="array" ref="G118">IFERROR(_xlfn.MODE.SNGL(_xlfn._xlws.FILTER(DATOS!$K$2:$K$20000,(DATOS!$G$2:$G$20000=CONFIG_METADATA!$B$4)*(DATOS!$D$2:$D$20000=A118)*(DATOS!$I$2:$I$20000=B118))),"—")</f>
        <v>—</v>
      </c>
      <c r="H118" s="11" t="str">
        <f>IFERROR(SUMPRODUCT((DATOS!$G$2:$G$20000=CONFIG_METADATA!$B$4)*(DATOS!$D$2:$D$20000=A118)*(DATOS!$I$2:$I$20000=B118)*(DATOS!$L$2:$L$20000="S"))/D118,"—")</f>
        <v>—</v>
      </c>
      <c r="I118" s="11" t="str">
        <f>IFERROR(SUMPRODUCT((DATOS!$G$2:$G$20000=CONFIG_METADATA!$B$4)*(DATOS!$D$2:$D$20000=A118)*(DATOS!$I$2:$I$20000=B118)*(DATOS!$L$2:$L$20000="N"))/D118,"—")</f>
        <v>—</v>
      </c>
      <c r="J118" t="str" cm="1">
        <f t="array" ref="J118">IFERROR(_xlfn.MODE.SNGL(_xlfn._xlws.FILTER(DATOS!$K$2:$K$20000,(DATOS!$G$2:$G$20000=CONFIG_METADATA!$B$4)*(DATOS!$D$2:$D$20000=A118)*(DATOS!$I$2:$I$20000=B118)*(DATOS!$L$2:$L$20000="S"))),"—")</f>
        <v>—</v>
      </c>
      <c r="K118" t="str" cm="1">
        <f t="array" ref="K118">IFERROR(_xlfn.MODE.SNGL(_xlfn._xlws.FILTER(DATOS!$K$2:$K$20000,(DATOS!$G$2:$G$20000=CONFIG_METADATA!$B$4)*(DATOS!$D$2:$D$20000=A118)*(DATOS!$I$2:$I$20000=B118)*(DATOS!$L$2:$L$20000="N"))),"—")</f>
        <v>—</v>
      </c>
      <c r="L118">
        <f>SUMPRODUCT((DATOS!$G$2:$G$20000=CONFIG_METADATA!$B$4)*(DATOS!$D$2:$D$20000=A118)*(DATOS!$I$2:$I$20000=B118)*(DATOS!$K$2:$K$20000=1))</f>
        <v>0</v>
      </c>
      <c r="M118">
        <f>SUMPRODUCT((DATOS!$G$2:$G$20000=CONFIG_METADATA!$B$4)*(DATOS!$D$2:$D$20000=A118)*(DATOS!$I$2:$I$20000=B118)*(DATOS!$K$2:$K$20000=2))</f>
        <v>0</v>
      </c>
      <c r="N118">
        <f>SUMPRODUCT((DATOS!$G$2:$G$20000=CONFIG_METADATA!$B$4)*(DATOS!$D$2:$D$20000=A118)*(DATOS!$I$2:$I$20000=B118)*(DATOS!$K$2:$K$20000=3))</f>
        <v>0</v>
      </c>
      <c r="O118">
        <f>SUMPRODUCT((DATOS!$G$2:$G$20000=CONFIG_METADATA!$B$4)*(DATOS!$D$2:$D$20000=A118)*(DATOS!$I$2:$I$20000=B118)*(DATOS!$K$2:$K$20000=4))</f>
        <v>0</v>
      </c>
      <c r="P118">
        <f>SUMPRODUCT((DATOS!$G$2:$G$20000=CONFIG_METADATA!$B$4)*(DATOS!$D$2:$D$20000=A118)*(DATOS!$I$2:$I$20000=B118)*(DATOS!$K$2:$K$20000=5))</f>
        <v>0</v>
      </c>
      <c r="Q118">
        <f>SUMPRODUCT((DATOS!$G$2:$G$20000=CONFIG_METADATA!$B$4)*(DATOS!$D$2:$D$20000=A118)*(DATOS!$I$2:$I$20000=B118)*(DATOS!$K$2:$K$20000=6))</f>
        <v>0</v>
      </c>
      <c r="R118">
        <f>SUMPRODUCT((DATOS!$G$2:$G$20000=CONFIG_METADATA!$B$4)*(DATOS!$D$2:$D$20000=A118)*(DATOS!$I$2:$I$20000=B118)*(DATOS!$K$2:$K$20000=7))</f>
        <v>0</v>
      </c>
      <c r="S118">
        <f>SUMPRODUCT((DATOS!$G$2:$G$20000=CONFIG_METADATA!$B$4)*(DATOS!$D$2:$D$20000=A118)*(DATOS!$I$2:$I$20000=B118)*(DATOS!$K$2:$K$20000=8))</f>
        <v>0</v>
      </c>
      <c r="T118">
        <f>SUMPRODUCT((DATOS!$G$2:$G$20000=CONFIG_METADATA!$B$4)*(DATOS!$D$2:$D$20000=A118)*(DATOS!$I$2:$I$20000=B118)*(DATOS!$K$2:$K$20000=9))</f>
        <v>0</v>
      </c>
      <c r="U118">
        <f>SUMPRODUCT((DATOS!$G$2:$G$20000=CONFIG_METADATA!$B$4)*(DATOS!$D$2:$D$20000=A118)*(DATOS!$I$2:$I$20000=B118)*(DATOS!$K$2:$K$20000=10))</f>
        <v>0</v>
      </c>
    </row>
    <row r="119" spans="1:21" x14ac:dyDescent="0.2">
      <c r="A119" t="s">
        <v>80</v>
      </c>
      <c r="B119" t="s">
        <v>51</v>
      </c>
      <c r="C119" t="s">
        <v>21</v>
      </c>
      <c r="D119">
        <f>SUMPRODUCT((DATOS!$G$2:$G$20000=CONFIG_METADATA!$B$4)*(DATOS!$D$2:$D$20000=A119)*(DATOS!$I$2:$I$20000=B119))</f>
        <v>0</v>
      </c>
      <c r="E119" s="10" t="str">
        <f>IFERROR(SUMPRODUCT((DATOS!$G$2:$G$20000=CONFIG_METADATA!$B$4)*(DATOS!$D$2:$D$20000=A119)*(DATOS!$I$2:$I$20000=B119)*(DATOS!$K$2:$K$20000))/D119,"—")</f>
        <v>—</v>
      </c>
      <c r="F119" s="10" t="str" cm="1">
        <f t="array" ref="F119">IFERROR(_xlfn.STDEV.P(_xlfn._xlws.FILTER(DATOS!$K$2:$K$20000,(DATOS!$G$2:$G$20000=CONFIG_METADATA!$B$4)*(DATOS!$D$2:$D$20000=A119)*(DATOS!$I$2:$I$20000=B119))),"—")</f>
        <v>—</v>
      </c>
      <c r="G119" t="str" cm="1">
        <f t="array" ref="G119">IFERROR(_xlfn.MODE.SNGL(_xlfn._xlws.FILTER(DATOS!$K$2:$K$20000,(DATOS!$G$2:$G$20000=CONFIG_METADATA!$B$4)*(DATOS!$D$2:$D$20000=A119)*(DATOS!$I$2:$I$20000=B119))),"—")</f>
        <v>—</v>
      </c>
      <c r="H119" s="11" t="str">
        <f>IFERROR(SUMPRODUCT((DATOS!$G$2:$G$20000=CONFIG_METADATA!$B$4)*(DATOS!$D$2:$D$20000=A119)*(DATOS!$I$2:$I$20000=B119)*(DATOS!$L$2:$L$20000="S"))/D119,"—")</f>
        <v>—</v>
      </c>
      <c r="I119" s="11" t="str">
        <f>IFERROR(SUMPRODUCT((DATOS!$G$2:$G$20000=CONFIG_METADATA!$B$4)*(DATOS!$D$2:$D$20000=A119)*(DATOS!$I$2:$I$20000=B119)*(DATOS!$L$2:$L$20000="N"))/D119,"—")</f>
        <v>—</v>
      </c>
      <c r="J119" t="str" cm="1">
        <f t="array" ref="J119">IFERROR(_xlfn.MODE.SNGL(_xlfn._xlws.FILTER(DATOS!$K$2:$K$20000,(DATOS!$G$2:$G$20000=CONFIG_METADATA!$B$4)*(DATOS!$D$2:$D$20000=A119)*(DATOS!$I$2:$I$20000=B119)*(DATOS!$L$2:$L$20000="S"))),"—")</f>
        <v>—</v>
      </c>
      <c r="K119" t="str" cm="1">
        <f t="array" ref="K119">IFERROR(_xlfn.MODE.SNGL(_xlfn._xlws.FILTER(DATOS!$K$2:$K$20000,(DATOS!$G$2:$G$20000=CONFIG_METADATA!$B$4)*(DATOS!$D$2:$D$20000=A119)*(DATOS!$I$2:$I$20000=B119)*(DATOS!$L$2:$L$20000="N"))),"—")</f>
        <v>—</v>
      </c>
      <c r="L119">
        <f>SUMPRODUCT((DATOS!$G$2:$G$20000=CONFIG_METADATA!$B$4)*(DATOS!$D$2:$D$20000=A119)*(DATOS!$I$2:$I$20000=B119)*(DATOS!$K$2:$K$20000=1))</f>
        <v>0</v>
      </c>
      <c r="M119">
        <f>SUMPRODUCT((DATOS!$G$2:$G$20000=CONFIG_METADATA!$B$4)*(DATOS!$D$2:$D$20000=A119)*(DATOS!$I$2:$I$20000=B119)*(DATOS!$K$2:$K$20000=2))</f>
        <v>0</v>
      </c>
      <c r="N119">
        <f>SUMPRODUCT((DATOS!$G$2:$G$20000=CONFIG_METADATA!$B$4)*(DATOS!$D$2:$D$20000=A119)*(DATOS!$I$2:$I$20000=B119)*(DATOS!$K$2:$K$20000=3))</f>
        <v>0</v>
      </c>
      <c r="O119">
        <f>SUMPRODUCT((DATOS!$G$2:$G$20000=CONFIG_METADATA!$B$4)*(DATOS!$D$2:$D$20000=A119)*(DATOS!$I$2:$I$20000=B119)*(DATOS!$K$2:$K$20000=4))</f>
        <v>0</v>
      </c>
      <c r="P119">
        <f>SUMPRODUCT((DATOS!$G$2:$G$20000=CONFIG_METADATA!$B$4)*(DATOS!$D$2:$D$20000=A119)*(DATOS!$I$2:$I$20000=B119)*(DATOS!$K$2:$K$20000=5))</f>
        <v>0</v>
      </c>
      <c r="Q119">
        <f>SUMPRODUCT((DATOS!$G$2:$G$20000=CONFIG_METADATA!$B$4)*(DATOS!$D$2:$D$20000=A119)*(DATOS!$I$2:$I$20000=B119)*(DATOS!$K$2:$K$20000=6))</f>
        <v>0</v>
      </c>
      <c r="R119">
        <f>SUMPRODUCT((DATOS!$G$2:$G$20000=CONFIG_METADATA!$B$4)*(DATOS!$D$2:$D$20000=A119)*(DATOS!$I$2:$I$20000=B119)*(DATOS!$K$2:$K$20000=7))</f>
        <v>0</v>
      </c>
      <c r="S119">
        <f>SUMPRODUCT((DATOS!$G$2:$G$20000=CONFIG_METADATA!$B$4)*(DATOS!$D$2:$D$20000=A119)*(DATOS!$I$2:$I$20000=B119)*(DATOS!$K$2:$K$20000=8))</f>
        <v>0</v>
      </c>
      <c r="T119">
        <f>SUMPRODUCT((DATOS!$G$2:$G$20000=CONFIG_METADATA!$B$4)*(DATOS!$D$2:$D$20000=A119)*(DATOS!$I$2:$I$20000=B119)*(DATOS!$K$2:$K$20000=9))</f>
        <v>0</v>
      </c>
      <c r="U119">
        <f>SUMPRODUCT((DATOS!$G$2:$G$20000=CONFIG_METADATA!$B$4)*(DATOS!$D$2:$D$20000=A119)*(DATOS!$I$2:$I$20000=B119)*(DATOS!$K$2:$K$20000=10))</f>
        <v>0</v>
      </c>
    </row>
    <row r="120" spans="1:21" x14ac:dyDescent="0.2">
      <c r="A120" t="s">
        <v>80</v>
      </c>
      <c r="B120" t="s">
        <v>55</v>
      </c>
      <c r="C120" t="s">
        <v>21</v>
      </c>
      <c r="D120">
        <f>SUMPRODUCT((DATOS!$G$2:$G$20000=CONFIG_METADATA!$B$4)*(DATOS!$D$2:$D$20000=A120)*(DATOS!$I$2:$I$20000=B120))</f>
        <v>0</v>
      </c>
      <c r="E120" s="10" t="str">
        <f>IFERROR(SUMPRODUCT((DATOS!$G$2:$G$20000=CONFIG_METADATA!$B$4)*(DATOS!$D$2:$D$20000=A120)*(DATOS!$I$2:$I$20000=B120)*(DATOS!$K$2:$K$20000))/D120,"—")</f>
        <v>—</v>
      </c>
      <c r="F120" s="10" t="str" cm="1">
        <f t="array" ref="F120">IFERROR(_xlfn.STDEV.P(_xlfn._xlws.FILTER(DATOS!$K$2:$K$20000,(DATOS!$G$2:$G$20000=CONFIG_METADATA!$B$4)*(DATOS!$D$2:$D$20000=A120)*(DATOS!$I$2:$I$20000=B120))),"—")</f>
        <v>—</v>
      </c>
      <c r="G120" t="str" cm="1">
        <f t="array" ref="G120">IFERROR(_xlfn.MODE.SNGL(_xlfn._xlws.FILTER(DATOS!$K$2:$K$20000,(DATOS!$G$2:$G$20000=CONFIG_METADATA!$B$4)*(DATOS!$D$2:$D$20000=A120)*(DATOS!$I$2:$I$20000=B120))),"—")</f>
        <v>—</v>
      </c>
      <c r="H120" s="11" t="str">
        <f>IFERROR(SUMPRODUCT((DATOS!$G$2:$G$20000=CONFIG_METADATA!$B$4)*(DATOS!$D$2:$D$20000=A120)*(DATOS!$I$2:$I$20000=B120)*(DATOS!$L$2:$L$20000="S"))/D120,"—")</f>
        <v>—</v>
      </c>
      <c r="I120" s="11" t="str">
        <f>IFERROR(SUMPRODUCT((DATOS!$G$2:$G$20000=CONFIG_METADATA!$B$4)*(DATOS!$D$2:$D$20000=A120)*(DATOS!$I$2:$I$20000=B120)*(DATOS!$L$2:$L$20000="N"))/D120,"—")</f>
        <v>—</v>
      </c>
      <c r="J120" t="str" cm="1">
        <f t="array" ref="J120">IFERROR(_xlfn.MODE.SNGL(_xlfn._xlws.FILTER(DATOS!$K$2:$K$20000,(DATOS!$G$2:$G$20000=CONFIG_METADATA!$B$4)*(DATOS!$D$2:$D$20000=A120)*(DATOS!$I$2:$I$20000=B120)*(DATOS!$L$2:$L$20000="S"))),"—")</f>
        <v>—</v>
      </c>
      <c r="K120" t="str" cm="1">
        <f t="array" ref="K120">IFERROR(_xlfn.MODE.SNGL(_xlfn._xlws.FILTER(DATOS!$K$2:$K$20000,(DATOS!$G$2:$G$20000=CONFIG_METADATA!$B$4)*(DATOS!$D$2:$D$20000=A120)*(DATOS!$I$2:$I$20000=B120)*(DATOS!$L$2:$L$20000="N"))),"—")</f>
        <v>—</v>
      </c>
      <c r="L120">
        <f>SUMPRODUCT((DATOS!$G$2:$G$20000=CONFIG_METADATA!$B$4)*(DATOS!$D$2:$D$20000=A120)*(DATOS!$I$2:$I$20000=B120)*(DATOS!$K$2:$K$20000=1))</f>
        <v>0</v>
      </c>
      <c r="M120">
        <f>SUMPRODUCT((DATOS!$G$2:$G$20000=CONFIG_METADATA!$B$4)*(DATOS!$D$2:$D$20000=A120)*(DATOS!$I$2:$I$20000=B120)*(DATOS!$K$2:$K$20000=2))</f>
        <v>0</v>
      </c>
      <c r="N120">
        <f>SUMPRODUCT((DATOS!$G$2:$G$20000=CONFIG_METADATA!$B$4)*(DATOS!$D$2:$D$20000=A120)*(DATOS!$I$2:$I$20000=B120)*(DATOS!$K$2:$K$20000=3))</f>
        <v>0</v>
      </c>
      <c r="O120">
        <f>SUMPRODUCT((DATOS!$G$2:$G$20000=CONFIG_METADATA!$B$4)*(DATOS!$D$2:$D$20000=A120)*(DATOS!$I$2:$I$20000=B120)*(DATOS!$K$2:$K$20000=4))</f>
        <v>0</v>
      </c>
      <c r="P120">
        <f>SUMPRODUCT((DATOS!$G$2:$G$20000=CONFIG_METADATA!$B$4)*(DATOS!$D$2:$D$20000=A120)*(DATOS!$I$2:$I$20000=B120)*(DATOS!$K$2:$K$20000=5))</f>
        <v>0</v>
      </c>
      <c r="Q120">
        <f>SUMPRODUCT((DATOS!$G$2:$G$20000=CONFIG_METADATA!$B$4)*(DATOS!$D$2:$D$20000=A120)*(DATOS!$I$2:$I$20000=B120)*(DATOS!$K$2:$K$20000=6))</f>
        <v>0</v>
      </c>
      <c r="R120">
        <f>SUMPRODUCT((DATOS!$G$2:$G$20000=CONFIG_METADATA!$B$4)*(DATOS!$D$2:$D$20000=A120)*(DATOS!$I$2:$I$20000=B120)*(DATOS!$K$2:$K$20000=7))</f>
        <v>0</v>
      </c>
      <c r="S120">
        <f>SUMPRODUCT((DATOS!$G$2:$G$20000=CONFIG_METADATA!$B$4)*(DATOS!$D$2:$D$20000=A120)*(DATOS!$I$2:$I$20000=B120)*(DATOS!$K$2:$K$20000=8))</f>
        <v>0</v>
      </c>
      <c r="T120">
        <f>SUMPRODUCT((DATOS!$G$2:$G$20000=CONFIG_METADATA!$B$4)*(DATOS!$D$2:$D$20000=A120)*(DATOS!$I$2:$I$20000=B120)*(DATOS!$K$2:$K$20000=9))</f>
        <v>0</v>
      </c>
      <c r="U120">
        <f>SUMPRODUCT((DATOS!$G$2:$G$20000=CONFIG_METADATA!$B$4)*(DATOS!$D$2:$D$20000=A120)*(DATOS!$I$2:$I$20000=B120)*(DATOS!$K$2:$K$20000=10))</f>
        <v>0</v>
      </c>
    </row>
    <row r="121" spans="1:21" x14ac:dyDescent="0.2">
      <c r="A121" t="s">
        <v>80</v>
      </c>
      <c r="B121" t="s">
        <v>56</v>
      </c>
      <c r="C121" t="s">
        <v>21</v>
      </c>
      <c r="D121">
        <f>SUMPRODUCT((DATOS!$G$2:$G$20000=CONFIG_METADATA!$B$4)*(DATOS!$D$2:$D$20000=A121)*(DATOS!$I$2:$I$20000=B121))</f>
        <v>0</v>
      </c>
      <c r="E121" s="10" t="str">
        <f>IFERROR(SUMPRODUCT((DATOS!$G$2:$G$20000=CONFIG_METADATA!$B$4)*(DATOS!$D$2:$D$20000=A121)*(DATOS!$I$2:$I$20000=B121)*(DATOS!$K$2:$K$20000))/D121,"—")</f>
        <v>—</v>
      </c>
      <c r="F121" s="10" t="str" cm="1">
        <f t="array" ref="F121">IFERROR(_xlfn.STDEV.P(_xlfn._xlws.FILTER(DATOS!$K$2:$K$20000,(DATOS!$G$2:$G$20000=CONFIG_METADATA!$B$4)*(DATOS!$D$2:$D$20000=A121)*(DATOS!$I$2:$I$20000=B121))),"—")</f>
        <v>—</v>
      </c>
      <c r="G121" t="str" cm="1">
        <f t="array" ref="G121">IFERROR(_xlfn.MODE.SNGL(_xlfn._xlws.FILTER(DATOS!$K$2:$K$20000,(DATOS!$G$2:$G$20000=CONFIG_METADATA!$B$4)*(DATOS!$D$2:$D$20000=A121)*(DATOS!$I$2:$I$20000=B121))),"—")</f>
        <v>—</v>
      </c>
      <c r="H121" s="11" t="str">
        <f>IFERROR(SUMPRODUCT((DATOS!$G$2:$G$20000=CONFIG_METADATA!$B$4)*(DATOS!$D$2:$D$20000=A121)*(DATOS!$I$2:$I$20000=B121)*(DATOS!$L$2:$L$20000="S"))/D121,"—")</f>
        <v>—</v>
      </c>
      <c r="I121" s="11" t="str">
        <f>IFERROR(SUMPRODUCT((DATOS!$G$2:$G$20000=CONFIG_METADATA!$B$4)*(DATOS!$D$2:$D$20000=A121)*(DATOS!$I$2:$I$20000=B121)*(DATOS!$L$2:$L$20000="N"))/D121,"—")</f>
        <v>—</v>
      </c>
      <c r="J121" t="str" cm="1">
        <f t="array" ref="J121">IFERROR(_xlfn.MODE.SNGL(_xlfn._xlws.FILTER(DATOS!$K$2:$K$20000,(DATOS!$G$2:$G$20000=CONFIG_METADATA!$B$4)*(DATOS!$D$2:$D$20000=A121)*(DATOS!$I$2:$I$20000=B121)*(DATOS!$L$2:$L$20000="S"))),"—")</f>
        <v>—</v>
      </c>
      <c r="K121" t="str" cm="1">
        <f t="array" ref="K121">IFERROR(_xlfn.MODE.SNGL(_xlfn._xlws.FILTER(DATOS!$K$2:$K$20000,(DATOS!$G$2:$G$20000=CONFIG_METADATA!$B$4)*(DATOS!$D$2:$D$20000=A121)*(DATOS!$I$2:$I$20000=B121)*(DATOS!$L$2:$L$20000="N"))),"—")</f>
        <v>—</v>
      </c>
      <c r="L121">
        <f>SUMPRODUCT((DATOS!$G$2:$G$20000=CONFIG_METADATA!$B$4)*(DATOS!$D$2:$D$20000=A121)*(DATOS!$I$2:$I$20000=B121)*(DATOS!$K$2:$K$20000=1))</f>
        <v>0</v>
      </c>
      <c r="M121">
        <f>SUMPRODUCT((DATOS!$G$2:$G$20000=CONFIG_METADATA!$B$4)*(DATOS!$D$2:$D$20000=A121)*(DATOS!$I$2:$I$20000=B121)*(DATOS!$K$2:$K$20000=2))</f>
        <v>0</v>
      </c>
      <c r="N121">
        <f>SUMPRODUCT((DATOS!$G$2:$G$20000=CONFIG_METADATA!$B$4)*(DATOS!$D$2:$D$20000=A121)*(DATOS!$I$2:$I$20000=B121)*(DATOS!$K$2:$K$20000=3))</f>
        <v>0</v>
      </c>
      <c r="O121">
        <f>SUMPRODUCT((DATOS!$G$2:$G$20000=CONFIG_METADATA!$B$4)*(DATOS!$D$2:$D$20000=A121)*(DATOS!$I$2:$I$20000=B121)*(DATOS!$K$2:$K$20000=4))</f>
        <v>0</v>
      </c>
      <c r="P121">
        <f>SUMPRODUCT((DATOS!$G$2:$G$20000=CONFIG_METADATA!$B$4)*(DATOS!$D$2:$D$20000=A121)*(DATOS!$I$2:$I$20000=B121)*(DATOS!$K$2:$K$20000=5))</f>
        <v>0</v>
      </c>
      <c r="Q121">
        <f>SUMPRODUCT((DATOS!$G$2:$G$20000=CONFIG_METADATA!$B$4)*(DATOS!$D$2:$D$20000=A121)*(DATOS!$I$2:$I$20000=B121)*(DATOS!$K$2:$K$20000=6))</f>
        <v>0</v>
      </c>
      <c r="R121">
        <f>SUMPRODUCT((DATOS!$G$2:$G$20000=CONFIG_METADATA!$B$4)*(DATOS!$D$2:$D$20000=A121)*(DATOS!$I$2:$I$20000=B121)*(DATOS!$K$2:$K$20000=7))</f>
        <v>0</v>
      </c>
      <c r="S121">
        <f>SUMPRODUCT((DATOS!$G$2:$G$20000=CONFIG_METADATA!$B$4)*(DATOS!$D$2:$D$20000=A121)*(DATOS!$I$2:$I$20000=B121)*(DATOS!$K$2:$K$20000=8))</f>
        <v>0</v>
      </c>
      <c r="T121">
        <f>SUMPRODUCT((DATOS!$G$2:$G$20000=CONFIG_METADATA!$B$4)*(DATOS!$D$2:$D$20000=A121)*(DATOS!$I$2:$I$20000=B121)*(DATOS!$K$2:$K$20000=9))</f>
        <v>0</v>
      </c>
      <c r="U121">
        <f>SUMPRODUCT((DATOS!$G$2:$G$20000=CONFIG_METADATA!$B$4)*(DATOS!$D$2:$D$20000=A121)*(DATOS!$I$2:$I$20000=B121)*(DATOS!$K$2:$K$20000=10))</f>
        <v>0</v>
      </c>
    </row>
    <row r="122" spans="1:21" x14ac:dyDescent="0.2">
      <c r="A122" t="s">
        <v>80</v>
      </c>
      <c r="B122" t="s">
        <v>24</v>
      </c>
      <c r="C122" t="s">
        <v>25</v>
      </c>
      <c r="D122">
        <f>SUMPRODUCT((DATOS!$G$2:$G$20000=CONFIG_METADATA!$B$4)*(DATOS!$D$2:$D$20000=A122)*(DATOS!$I$2:$I$20000=B122))</f>
        <v>0</v>
      </c>
      <c r="E122" s="10" t="str">
        <f>IFERROR(SUMPRODUCT((DATOS!$G$2:$G$20000=CONFIG_METADATA!$B$4)*(DATOS!$D$2:$D$20000=A122)*(DATOS!$I$2:$I$20000=B122)*(DATOS!$K$2:$K$20000))/D122,"—")</f>
        <v>—</v>
      </c>
      <c r="F122" s="10" t="str" cm="1">
        <f t="array" ref="F122">IFERROR(_xlfn.STDEV.P(_xlfn._xlws.FILTER(DATOS!$K$2:$K$20000,(DATOS!$G$2:$G$20000=CONFIG_METADATA!$B$4)*(DATOS!$D$2:$D$20000=A122)*(DATOS!$I$2:$I$20000=B122))),"—")</f>
        <v>—</v>
      </c>
      <c r="G122" t="str" cm="1">
        <f t="array" ref="G122">IFERROR(_xlfn.MODE.SNGL(_xlfn._xlws.FILTER(DATOS!$K$2:$K$20000,(DATOS!$G$2:$G$20000=CONFIG_METADATA!$B$4)*(DATOS!$D$2:$D$20000=A122)*(DATOS!$I$2:$I$20000=B122))),"—")</f>
        <v>—</v>
      </c>
      <c r="H122" s="11" t="str">
        <f>IFERROR(SUMPRODUCT((DATOS!$G$2:$G$20000=CONFIG_METADATA!$B$4)*(DATOS!$D$2:$D$20000=A122)*(DATOS!$I$2:$I$20000=B122)*(DATOS!$L$2:$L$20000="S"))/D122,"—")</f>
        <v>—</v>
      </c>
      <c r="I122" s="11" t="str">
        <f>IFERROR(SUMPRODUCT((DATOS!$G$2:$G$20000=CONFIG_METADATA!$B$4)*(DATOS!$D$2:$D$20000=A122)*(DATOS!$I$2:$I$20000=B122)*(DATOS!$L$2:$L$20000="N"))/D122,"—")</f>
        <v>—</v>
      </c>
      <c r="J122" t="str" cm="1">
        <f t="array" ref="J122">IFERROR(_xlfn.MODE.SNGL(_xlfn._xlws.FILTER(DATOS!$K$2:$K$20000,(DATOS!$G$2:$G$20000=CONFIG_METADATA!$B$4)*(DATOS!$D$2:$D$20000=A122)*(DATOS!$I$2:$I$20000=B122)*(DATOS!$L$2:$L$20000="S"))),"—")</f>
        <v>—</v>
      </c>
      <c r="K122" t="str" cm="1">
        <f t="array" ref="K122">IFERROR(_xlfn.MODE.SNGL(_xlfn._xlws.FILTER(DATOS!$K$2:$K$20000,(DATOS!$G$2:$G$20000=CONFIG_METADATA!$B$4)*(DATOS!$D$2:$D$20000=A122)*(DATOS!$I$2:$I$20000=B122)*(DATOS!$L$2:$L$20000="N"))),"—")</f>
        <v>—</v>
      </c>
      <c r="L122">
        <f>SUMPRODUCT((DATOS!$G$2:$G$20000=CONFIG_METADATA!$B$4)*(DATOS!$D$2:$D$20000=A122)*(DATOS!$I$2:$I$20000=B122)*(DATOS!$K$2:$K$20000=1))</f>
        <v>0</v>
      </c>
      <c r="M122">
        <f>SUMPRODUCT((DATOS!$G$2:$G$20000=CONFIG_METADATA!$B$4)*(DATOS!$D$2:$D$20000=A122)*(DATOS!$I$2:$I$20000=B122)*(DATOS!$K$2:$K$20000=2))</f>
        <v>0</v>
      </c>
      <c r="N122">
        <f>SUMPRODUCT((DATOS!$G$2:$G$20000=CONFIG_METADATA!$B$4)*(DATOS!$D$2:$D$20000=A122)*(DATOS!$I$2:$I$20000=B122)*(DATOS!$K$2:$K$20000=3))</f>
        <v>0</v>
      </c>
      <c r="O122">
        <f>SUMPRODUCT((DATOS!$G$2:$G$20000=CONFIG_METADATA!$B$4)*(DATOS!$D$2:$D$20000=A122)*(DATOS!$I$2:$I$20000=B122)*(DATOS!$K$2:$K$20000=4))</f>
        <v>0</v>
      </c>
      <c r="P122">
        <f>SUMPRODUCT((DATOS!$G$2:$G$20000=CONFIG_METADATA!$B$4)*(DATOS!$D$2:$D$20000=A122)*(DATOS!$I$2:$I$20000=B122)*(DATOS!$K$2:$K$20000=5))</f>
        <v>0</v>
      </c>
      <c r="Q122">
        <f>SUMPRODUCT((DATOS!$G$2:$G$20000=CONFIG_METADATA!$B$4)*(DATOS!$D$2:$D$20000=A122)*(DATOS!$I$2:$I$20000=B122)*(DATOS!$K$2:$K$20000=6))</f>
        <v>0</v>
      </c>
      <c r="R122">
        <f>SUMPRODUCT((DATOS!$G$2:$G$20000=CONFIG_METADATA!$B$4)*(DATOS!$D$2:$D$20000=A122)*(DATOS!$I$2:$I$20000=B122)*(DATOS!$K$2:$K$20000=7))</f>
        <v>0</v>
      </c>
      <c r="S122">
        <f>SUMPRODUCT((DATOS!$G$2:$G$20000=CONFIG_METADATA!$B$4)*(DATOS!$D$2:$D$20000=A122)*(DATOS!$I$2:$I$20000=B122)*(DATOS!$K$2:$K$20000=8))</f>
        <v>0</v>
      </c>
      <c r="T122">
        <f>SUMPRODUCT((DATOS!$G$2:$G$20000=CONFIG_METADATA!$B$4)*(DATOS!$D$2:$D$20000=A122)*(DATOS!$I$2:$I$20000=B122)*(DATOS!$K$2:$K$20000=9))</f>
        <v>0</v>
      </c>
      <c r="U122">
        <f>SUMPRODUCT((DATOS!$G$2:$G$20000=CONFIG_METADATA!$B$4)*(DATOS!$D$2:$D$20000=A122)*(DATOS!$I$2:$I$20000=B122)*(DATOS!$K$2:$K$20000=10))</f>
        <v>0</v>
      </c>
    </row>
    <row r="123" spans="1:21" x14ac:dyDescent="0.2">
      <c r="A123" t="s">
        <v>80</v>
      </c>
      <c r="B123" t="s">
        <v>27</v>
      </c>
      <c r="C123" t="s">
        <v>25</v>
      </c>
      <c r="D123">
        <f>SUMPRODUCT((DATOS!$G$2:$G$20000=CONFIG_METADATA!$B$4)*(DATOS!$D$2:$D$20000=A123)*(DATOS!$I$2:$I$20000=B123))</f>
        <v>0</v>
      </c>
      <c r="E123" s="10" t="str">
        <f>IFERROR(SUMPRODUCT((DATOS!$G$2:$G$20000=CONFIG_METADATA!$B$4)*(DATOS!$D$2:$D$20000=A123)*(DATOS!$I$2:$I$20000=B123)*(DATOS!$K$2:$K$20000))/D123,"—")</f>
        <v>—</v>
      </c>
      <c r="F123" s="10" t="str" cm="1">
        <f t="array" ref="F123">IFERROR(_xlfn.STDEV.P(_xlfn._xlws.FILTER(DATOS!$K$2:$K$20000,(DATOS!$G$2:$G$20000=CONFIG_METADATA!$B$4)*(DATOS!$D$2:$D$20000=A123)*(DATOS!$I$2:$I$20000=B123))),"—")</f>
        <v>—</v>
      </c>
      <c r="G123" t="str" cm="1">
        <f t="array" ref="G123">IFERROR(_xlfn.MODE.SNGL(_xlfn._xlws.FILTER(DATOS!$K$2:$K$20000,(DATOS!$G$2:$G$20000=CONFIG_METADATA!$B$4)*(DATOS!$D$2:$D$20000=A123)*(DATOS!$I$2:$I$20000=B123))),"—")</f>
        <v>—</v>
      </c>
      <c r="H123" s="11" t="str">
        <f>IFERROR(SUMPRODUCT((DATOS!$G$2:$G$20000=CONFIG_METADATA!$B$4)*(DATOS!$D$2:$D$20000=A123)*(DATOS!$I$2:$I$20000=B123)*(DATOS!$L$2:$L$20000="S"))/D123,"—")</f>
        <v>—</v>
      </c>
      <c r="I123" s="11" t="str">
        <f>IFERROR(SUMPRODUCT((DATOS!$G$2:$G$20000=CONFIG_METADATA!$B$4)*(DATOS!$D$2:$D$20000=A123)*(DATOS!$I$2:$I$20000=B123)*(DATOS!$L$2:$L$20000="N"))/D123,"—")</f>
        <v>—</v>
      </c>
      <c r="J123" t="str" cm="1">
        <f t="array" ref="J123">IFERROR(_xlfn.MODE.SNGL(_xlfn._xlws.FILTER(DATOS!$K$2:$K$20000,(DATOS!$G$2:$G$20000=CONFIG_METADATA!$B$4)*(DATOS!$D$2:$D$20000=A123)*(DATOS!$I$2:$I$20000=B123)*(DATOS!$L$2:$L$20000="S"))),"—")</f>
        <v>—</v>
      </c>
      <c r="K123" t="str" cm="1">
        <f t="array" ref="K123">IFERROR(_xlfn.MODE.SNGL(_xlfn._xlws.FILTER(DATOS!$K$2:$K$20000,(DATOS!$G$2:$G$20000=CONFIG_METADATA!$B$4)*(DATOS!$D$2:$D$20000=A123)*(DATOS!$I$2:$I$20000=B123)*(DATOS!$L$2:$L$20000="N"))),"—")</f>
        <v>—</v>
      </c>
      <c r="L123">
        <f>SUMPRODUCT((DATOS!$G$2:$G$20000=CONFIG_METADATA!$B$4)*(DATOS!$D$2:$D$20000=A123)*(DATOS!$I$2:$I$20000=B123)*(DATOS!$K$2:$K$20000=1))</f>
        <v>0</v>
      </c>
      <c r="M123">
        <f>SUMPRODUCT((DATOS!$G$2:$G$20000=CONFIG_METADATA!$B$4)*(DATOS!$D$2:$D$20000=A123)*(DATOS!$I$2:$I$20000=B123)*(DATOS!$K$2:$K$20000=2))</f>
        <v>0</v>
      </c>
      <c r="N123">
        <f>SUMPRODUCT((DATOS!$G$2:$G$20000=CONFIG_METADATA!$B$4)*(DATOS!$D$2:$D$20000=A123)*(DATOS!$I$2:$I$20000=B123)*(DATOS!$K$2:$K$20000=3))</f>
        <v>0</v>
      </c>
      <c r="O123">
        <f>SUMPRODUCT((DATOS!$G$2:$G$20000=CONFIG_METADATA!$B$4)*(DATOS!$D$2:$D$20000=A123)*(DATOS!$I$2:$I$20000=B123)*(DATOS!$K$2:$K$20000=4))</f>
        <v>0</v>
      </c>
      <c r="P123">
        <f>SUMPRODUCT((DATOS!$G$2:$G$20000=CONFIG_METADATA!$B$4)*(DATOS!$D$2:$D$20000=A123)*(DATOS!$I$2:$I$20000=B123)*(DATOS!$K$2:$K$20000=5))</f>
        <v>0</v>
      </c>
      <c r="Q123">
        <f>SUMPRODUCT((DATOS!$G$2:$G$20000=CONFIG_METADATA!$B$4)*(DATOS!$D$2:$D$20000=A123)*(DATOS!$I$2:$I$20000=B123)*(DATOS!$K$2:$K$20000=6))</f>
        <v>0</v>
      </c>
      <c r="R123">
        <f>SUMPRODUCT((DATOS!$G$2:$G$20000=CONFIG_METADATA!$B$4)*(DATOS!$D$2:$D$20000=A123)*(DATOS!$I$2:$I$20000=B123)*(DATOS!$K$2:$K$20000=7))</f>
        <v>0</v>
      </c>
      <c r="S123">
        <f>SUMPRODUCT((DATOS!$G$2:$G$20000=CONFIG_METADATA!$B$4)*(DATOS!$D$2:$D$20000=A123)*(DATOS!$I$2:$I$20000=B123)*(DATOS!$K$2:$K$20000=8))</f>
        <v>0</v>
      </c>
      <c r="T123">
        <f>SUMPRODUCT((DATOS!$G$2:$G$20000=CONFIG_METADATA!$B$4)*(DATOS!$D$2:$D$20000=A123)*(DATOS!$I$2:$I$20000=B123)*(DATOS!$K$2:$K$20000=9))</f>
        <v>0</v>
      </c>
      <c r="U123">
        <f>SUMPRODUCT((DATOS!$G$2:$G$20000=CONFIG_METADATA!$B$4)*(DATOS!$D$2:$D$20000=A123)*(DATOS!$I$2:$I$20000=B123)*(DATOS!$K$2:$K$20000=10))</f>
        <v>0</v>
      </c>
    </row>
    <row r="124" spans="1:21" x14ac:dyDescent="0.2">
      <c r="A124" t="s">
        <v>80</v>
      </c>
      <c r="B124" t="s">
        <v>28</v>
      </c>
      <c r="C124" t="s">
        <v>25</v>
      </c>
      <c r="D124">
        <f>SUMPRODUCT((DATOS!$G$2:$G$20000=CONFIG_METADATA!$B$4)*(DATOS!$D$2:$D$20000=A124)*(DATOS!$I$2:$I$20000=B124))</f>
        <v>0</v>
      </c>
      <c r="E124" s="10" t="str">
        <f>IFERROR(SUMPRODUCT((DATOS!$G$2:$G$20000=CONFIG_METADATA!$B$4)*(DATOS!$D$2:$D$20000=A124)*(DATOS!$I$2:$I$20000=B124)*(DATOS!$K$2:$K$20000))/D124,"—")</f>
        <v>—</v>
      </c>
      <c r="F124" s="10" t="str" cm="1">
        <f t="array" ref="F124">IFERROR(_xlfn.STDEV.P(_xlfn._xlws.FILTER(DATOS!$K$2:$K$20000,(DATOS!$G$2:$G$20000=CONFIG_METADATA!$B$4)*(DATOS!$D$2:$D$20000=A124)*(DATOS!$I$2:$I$20000=B124))),"—")</f>
        <v>—</v>
      </c>
      <c r="G124" t="str" cm="1">
        <f t="array" ref="G124">IFERROR(_xlfn.MODE.SNGL(_xlfn._xlws.FILTER(DATOS!$K$2:$K$20000,(DATOS!$G$2:$G$20000=CONFIG_METADATA!$B$4)*(DATOS!$D$2:$D$20000=A124)*(DATOS!$I$2:$I$20000=B124))),"—")</f>
        <v>—</v>
      </c>
      <c r="H124" s="11" t="str">
        <f>IFERROR(SUMPRODUCT((DATOS!$G$2:$G$20000=CONFIG_METADATA!$B$4)*(DATOS!$D$2:$D$20000=A124)*(DATOS!$I$2:$I$20000=B124)*(DATOS!$L$2:$L$20000="S"))/D124,"—")</f>
        <v>—</v>
      </c>
      <c r="I124" s="11" t="str">
        <f>IFERROR(SUMPRODUCT((DATOS!$G$2:$G$20000=CONFIG_METADATA!$B$4)*(DATOS!$D$2:$D$20000=A124)*(DATOS!$I$2:$I$20000=B124)*(DATOS!$L$2:$L$20000="N"))/D124,"—")</f>
        <v>—</v>
      </c>
      <c r="J124" t="str" cm="1">
        <f t="array" ref="J124">IFERROR(_xlfn.MODE.SNGL(_xlfn._xlws.FILTER(DATOS!$K$2:$K$20000,(DATOS!$G$2:$G$20000=CONFIG_METADATA!$B$4)*(DATOS!$D$2:$D$20000=A124)*(DATOS!$I$2:$I$20000=B124)*(DATOS!$L$2:$L$20000="S"))),"—")</f>
        <v>—</v>
      </c>
      <c r="K124" t="str" cm="1">
        <f t="array" ref="K124">IFERROR(_xlfn.MODE.SNGL(_xlfn._xlws.FILTER(DATOS!$K$2:$K$20000,(DATOS!$G$2:$G$20000=CONFIG_METADATA!$B$4)*(DATOS!$D$2:$D$20000=A124)*(DATOS!$I$2:$I$20000=B124)*(DATOS!$L$2:$L$20000="N"))),"—")</f>
        <v>—</v>
      </c>
      <c r="L124">
        <f>SUMPRODUCT((DATOS!$G$2:$G$20000=CONFIG_METADATA!$B$4)*(DATOS!$D$2:$D$20000=A124)*(DATOS!$I$2:$I$20000=B124)*(DATOS!$K$2:$K$20000=1))</f>
        <v>0</v>
      </c>
      <c r="M124">
        <f>SUMPRODUCT((DATOS!$G$2:$G$20000=CONFIG_METADATA!$B$4)*(DATOS!$D$2:$D$20000=A124)*(DATOS!$I$2:$I$20000=B124)*(DATOS!$K$2:$K$20000=2))</f>
        <v>0</v>
      </c>
      <c r="N124">
        <f>SUMPRODUCT((DATOS!$G$2:$G$20000=CONFIG_METADATA!$B$4)*(DATOS!$D$2:$D$20000=A124)*(DATOS!$I$2:$I$20000=B124)*(DATOS!$K$2:$K$20000=3))</f>
        <v>0</v>
      </c>
      <c r="O124">
        <f>SUMPRODUCT((DATOS!$G$2:$G$20000=CONFIG_METADATA!$B$4)*(DATOS!$D$2:$D$20000=A124)*(DATOS!$I$2:$I$20000=B124)*(DATOS!$K$2:$K$20000=4))</f>
        <v>0</v>
      </c>
      <c r="P124">
        <f>SUMPRODUCT((DATOS!$G$2:$G$20000=CONFIG_METADATA!$B$4)*(DATOS!$D$2:$D$20000=A124)*(DATOS!$I$2:$I$20000=B124)*(DATOS!$K$2:$K$20000=5))</f>
        <v>0</v>
      </c>
      <c r="Q124">
        <f>SUMPRODUCT((DATOS!$G$2:$G$20000=CONFIG_METADATA!$B$4)*(DATOS!$D$2:$D$20000=A124)*(DATOS!$I$2:$I$20000=B124)*(DATOS!$K$2:$K$20000=6))</f>
        <v>0</v>
      </c>
      <c r="R124">
        <f>SUMPRODUCT((DATOS!$G$2:$G$20000=CONFIG_METADATA!$B$4)*(DATOS!$D$2:$D$20000=A124)*(DATOS!$I$2:$I$20000=B124)*(DATOS!$K$2:$K$20000=7))</f>
        <v>0</v>
      </c>
      <c r="S124">
        <f>SUMPRODUCT((DATOS!$G$2:$G$20000=CONFIG_METADATA!$B$4)*(DATOS!$D$2:$D$20000=A124)*(DATOS!$I$2:$I$20000=B124)*(DATOS!$K$2:$K$20000=8))</f>
        <v>0</v>
      </c>
      <c r="T124">
        <f>SUMPRODUCT((DATOS!$G$2:$G$20000=CONFIG_METADATA!$B$4)*(DATOS!$D$2:$D$20000=A124)*(DATOS!$I$2:$I$20000=B124)*(DATOS!$K$2:$K$20000=9))</f>
        <v>0</v>
      </c>
      <c r="U124">
        <f>SUMPRODUCT((DATOS!$G$2:$G$20000=CONFIG_METADATA!$B$4)*(DATOS!$D$2:$D$20000=A124)*(DATOS!$I$2:$I$20000=B124)*(DATOS!$K$2:$K$20000=10))</f>
        <v>0</v>
      </c>
    </row>
    <row r="125" spans="1:21" x14ac:dyDescent="0.2">
      <c r="A125" t="s">
        <v>80</v>
      </c>
      <c r="B125" t="s">
        <v>30</v>
      </c>
      <c r="C125" t="s">
        <v>25</v>
      </c>
      <c r="D125">
        <f>SUMPRODUCT((DATOS!$G$2:$G$20000=CONFIG_METADATA!$B$4)*(DATOS!$D$2:$D$20000=A125)*(DATOS!$I$2:$I$20000=B125))</f>
        <v>0</v>
      </c>
      <c r="E125" s="10" t="str">
        <f>IFERROR(SUMPRODUCT((DATOS!$G$2:$G$20000=CONFIG_METADATA!$B$4)*(DATOS!$D$2:$D$20000=A125)*(DATOS!$I$2:$I$20000=B125)*(DATOS!$K$2:$K$20000))/D125,"—")</f>
        <v>—</v>
      </c>
      <c r="F125" s="10" t="str" cm="1">
        <f t="array" ref="F125">IFERROR(_xlfn.STDEV.P(_xlfn._xlws.FILTER(DATOS!$K$2:$K$20000,(DATOS!$G$2:$G$20000=CONFIG_METADATA!$B$4)*(DATOS!$D$2:$D$20000=A125)*(DATOS!$I$2:$I$20000=B125))),"—")</f>
        <v>—</v>
      </c>
      <c r="G125" t="str" cm="1">
        <f t="array" ref="G125">IFERROR(_xlfn.MODE.SNGL(_xlfn._xlws.FILTER(DATOS!$K$2:$K$20000,(DATOS!$G$2:$G$20000=CONFIG_METADATA!$B$4)*(DATOS!$D$2:$D$20000=A125)*(DATOS!$I$2:$I$20000=B125))),"—")</f>
        <v>—</v>
      </c>
      <c r="H125" s="11" t="str">
        <f>IFERROR(SUMPRODUCT((DATOS!$G$2:$G$20000=CONFIG_METADATA!$B$4)*(DATOS!$D$2:$D$20000=A125)*(DATOS!$I$2:$I$20000=B125)*(DATOS!$L$2:$L$20000="S"))/D125,"—")</f>
        <v>—</v>
      </c>
      <c r="I125" s="11" t="str">
        <f>IFERROR(SUMPRODUCT((DATOS!$G$2:$G$20000=CONFIG_METADATA!$B$4)*(DATOS!$D$2:$D$20000=A125)*(DATOS!$I$2:$I$20000=B125)*(DATOS!$L$2:$L$20000="N"))/D125,"—")</f>
        <v>—</v>
      </c>
      <c r="J125" t="str" cm="1">
        <f t="array" ref="J125">IFERROR(_xlfn.MODE.SNGL(_xlfn._xlws.FILTER(DATOS!$K$2:$K$20000,(DATOS!$G$2:$G$20000=CONFIG_METADATA!$B$4)*(DATOS!$D$2:$D$20000=A125)*(DATOS!$I$2:$I$20000=B125)*(DATOS!$L$2:$L$20000="S"))),"—")</f>
        <v>—</v>
      </c>
      <c r="K125" t="str" cm="1">
        <f t="array" ref="K125">IFERROR(_xlfn.MODE.SNGL(_xlfn._xlws.FILTER(DATOS!$K$2:$K$20000,(DATOS!$G$2:$G$20000=CONFIG_METADATA!$B$4)*(DATOS!$D$2:$D$20000=A125)*(DATOS!$I$2:$I$20000=B125)*(DATOS!$L$2:$L$20000="N"))),"—")</f>
        <v>—</v>
      </c>
      <c r="L125">
        <f>SUMPRODUCT((DATOS!$G$2:$G$20000=CONFIG_METADATA!$B$4)*(DATOS!$D$2:$D$20000=A125)*(DATOS!$I$2:$I$20000=B125)*(DATOS!$K$2:$K$20000=1))</f>
        <v>0</v>
      </c>
      <c r="M125">
        <f>SUMPRODUCT((DATOS!$G$2:$G$20000=CONFIG_METADATA!$B$4)*(DATOS!$D$2:$D$20000=A125)*(DATOS!$I$2:$I$20000=B125)*(DATOS!$K$2:$K$20000=2))</f>
        <v>0</v>
      </c>
      <c r="N125">
        <f>SUMPRODUCT((DATOS!$G$2:$G$20000=CONFIG_METADATA!$B$4)*(DATOS!$D$2:$D$20000=A125)*(DATOS!$I$2:$I$20000=B125)*(DATOS!$K$2:$K$20000=3))</f>
        <v>0</v>
      </c>
      <c r="O125">
        <f>SUMPRODUCT((DATOS!$G$2:$G$20000=CONFIG_METADATA!$B$4)*(DATOS!$D$2:$D$20000=A125)*(DATOS!$I$2:$I$20000=B125)*(DATOS!$K$2:$K$20000=4))</f>
        <v>0</v>
      </c>
      <c r="P125">
        <f>SUMPRODUCT((DATOS!$G$2:$G$20000=CONFIG_METADATA!$B$4)*(DATOS!$D$2:$D$20000=A125)*(DATOS!$I$2:$I$20000=B125)*(DATOS!$K$2:$K$20000=5))</f>
        <v>0</v>
      </c>
      <c r="Q125">
        <f>SUMPRODUCT((DATOS!$G$2:$G$20000=CONFIG_METADATA!$B$4)*(DATOS!$D$2:$D$20000=A125)*(DATOS!$I$2:$I$20000=B125)*(DATOS!$K$2:$K$20000=6))</f>
        <v>0</v>
      </c>
      <c r="R125">
        <f>SUMPRODUCT((DATOS!$G$2:$G$20000=CONFIG_METADATA!$B$4)*(DATOS!$D$2:$D$20000=A125)*(DATOS!$I$2:$I$20000=B125)*(DATOS!$K$2:$K$20000=7))</f>
        <v>0</v>
      </c>
      <c r="S125">
        <f>SUMPRODUCT((DATOS!$G$2:$G$20000=CONFIG_METADATA!$B$4)*(DATOS!$D$2:$D$20000=A125)*(DATOS!$I$2:$I$20000=B125)*(DATOS!$K$2:$K$20000=8))</f>
        <v>0</v>
      </c>
      <c r="T125">
        <f>SUMPRODUCT((DATOS!$G$2:$G$20000=CONFIG_METADATA!$B$4)*(DATOS!$D$2:$D$20000=A125)*(DATOS!$I$2:$I$20000=B125)*(DATOS!$K$2:$K$20000=9))</f>
        <v>0</v>
      </c>
      <c r="U125">
        <f>SUMPRODUCT((DATOS!$G$2:$G$20000=CONFIG_METADATA!$B$4)*(DATOS!$D$2:$D$20000=A125)*(DATOS!$I$2:$I$20000=B125)*(DATOS!$K$2:$K$20000=10))</f>
        <v>0</v>
      </c>
    </row>
    <row r="126" spans="1:21" x14ac:dyDescent="0.2">
      <c r="A126" t="s">
        <v>80</v>
      </c>
      <c r="B126" t="s">
        <v>32</v>
      </c>
      <c r="C126" t="s">
        <v>25</v>
      </c>
      <c r="D126">
        <f>SUMPRODUCT((DATOS!$G$2:$G$20000=CONFIG_METADATA!$B$4)*(DATOS!$D$2:$D$20000=A126)*(DATOS!$I$2:$I$20000=B126))</f>
        <v>0</v>
      </c>
      <c r="E126" s="10" t="str">
        <f>IFERROR(SUMPRODUCT((DATOS!$G$2:$G$20000=CONFIG_METADATA!$B$4)*(DATOS!$D$2:$D$20000=A126)*(DATOS!$I$2:$I$20000=B126)*(DATOS!$K$2:$K$20000))/D126,"—")</f>
        <v>—</v>
      </c>
      <c r="F126" s="10" t="str" cm="1">
        <f t="array" ref="F126">IFERROR(_xlfn.STDEV.P(_xlfn._xlws.FILTER(DATOS!$K$2:$K$20000,(DATOS!$G$2:$G$20000=CONFIG_METADATA!$B$4)*(DATOS!$D$2:$D$20000=A126)*(DATOS!$I$2:$I$20000=B126))),"—")</f>
        <v>—</v>
      </c>
      <c r="G126" t="str" cm="1">
        <f t="array" ref="G126">IFERROR(_xlfn.MODE.SNGL(_xlfn._xlws.FILTER(DATOS!$K$2:$K$20000,(DATOS!$G$2:$G$20000=CONFIG_METADATA!$B$4)*(DATOS!$D$2:$D$20000=A126)*(DATOS!$I$2:$I$20000=B126))),"—")</f>
        <v>—</v>
      </c>
      <c r="H126" s="11" t="str">
        <f>IFERROR(SUMPRODUCT((DATOS!$G$2:$G$20000=CONFIG_METADATA!$B$4)*(DATOS!$D$2:$D$20000=A126)*(DATOS!$I$2:$I$20000=B126)*(DATOS!$L$2:$L$20000="S"))/D126,"—")</f>
        <v>—</v>
      </c>
      <c r="I126" s="11" t="str">
        <f>IFERROR(SUMPRODUCT((DATOS!$G$2:$G$20000=CONFIG_METADATA!$B$4)*(DATOS!$D$2:$D$20000=A126)*(DATOS!$I$2:$I$20000=B126)*(DATOS!$L$2:$L$20000="N"))/D126,"—")</f>
        <v>—</v>
      </c>
      <c r="J126" t="str" cm="1">
        <f t="array" ref="J126">IFERROR(_xlfn.MODE.SNGL(_xlfn._xlws.FILTER(DATOS!$K$2:$K$20000,(DATOS!$G$2:$G$20000=CONFIG_METADATA!$B$4)*(DATOS!$D$2:$D$20000=A126)*(DATOS!$I$2:$I$20000=B126)*(DATOS!$L$2:$L$20000="S"))),"—")</f>
        <v>—</v>
      </c>
      <c r="K126" t="str" cm="1">
        <f t="array" ref="K126">IFERROR(_xlfn.MODE.SNGL(_xlfn._xlws.FILTER(DATOS!$K$2:$K$20000,(DATOS!$G$2:$G$20000=CONFIG_METADATA!$B$4)*(DATOS!$D$2:$D$20000=A126)*(DATOS!$I$2:$I$20000=B126)*(DATOS!$L$2:$L$20000="N"))),"—")</f>
        <v>—</v>
      </c>
      <c r="L126">
        <f>SUMPRODUCT((DATOS!$G$2:$G$20000=CONFIG_METADATA!$B$4)*(DATOS!$D$2:$D$20000=A126)*(DATOS!$I$2:$I$20000=B126)*(DATOS!$K$2:$K$20000=1))</f>
        <v>0</v>
      </c>
      <c r="M126">
        <f>SUMPRODUCT((DATOS!$G$2:$G$20000=CONFIG_METADATA!$B$4)*(DATOS!$D$2:$D$20000=A126)*(DATOS!$I$2:$I$20000=B126)*(DATOS!$K$2:$K$20000=2))</f>
        <v>0</v>
      </c>
      <c r="N126">
        <f>SUMPRODUCT((DATOS!$G$2:$G$20000=CONFIG_METADATA!$B$4)*(DATOS!$D$2:$D$20000=A126)*(DATOS!$I$2:$I$20000=B126)*(DATOS!$K$2:$K$20000=3))</f>
        <v>0</v>
      </c>
      <c r="O126">
        <f>SUMPRODUCT((DATOS!$G$2:$G$20000=CONFIG_METADATA!$B$4)*(DATOS!$D$2:$D$20000=A126)*(DATOS!$I$2:$I$20000=B126)*(DATOS!$K$2:$K$20000=4))</f>
        <v>0</v>
      </c>
      <c r="P126">
        <f>SUMPRODUCT((DATOS!$G$2:$G$20000=CONFIG_METADATA!$B$4)*(DATOS!$D$2:$D$20000=A126)*(DATOS!$I$2:$I$20000=B126)*(DATOS!$K$2:$K$20000=5))</f>
        <v>0</v>
      </c>
      <c r="Q126">
        <f>SUMPRODUCT((DATOS!$G$2:$G$20000=CONFIG_METADATA!$B$4)*(DATOS!$D$2:$D$20000=A126)*(DATOS!$I$2:$I$20000=B126)*(DATOS!$K$2:$K$20000=6))</f>
        <v>0</v>
      </c>
      <c r="R126">
        <f>SUMPRODUCT((DATOS!$G$2:$G$20000=CONFIG_METADATA!$B$4)*(DATOS!$D$2:$D$20000=A126)*(DATOS!$I$2:$I$20000=B126)*(DATOS!$K$2:$K$20000=7))</f>
        <v>0</v>
      </c>
      <c r="S126">
        <f>SUMPRODUCT((DATOS!$G$2:$G$20000=CONFIG_METADATA!$B$4)*(DATOS!$D$2:$D$20000=A126)*(DATOS!$I$2:$I$20000=B126)*(DATOS!$K$2:$K$20000=8))</f>
        <v>0</v>
      </c>
      <c r="T126">
        <f>SUMPRODUCT((DATOS!$G$2:$G$20000=CONFIG_METADATA!$B$4)*(DATOS!$D$2:$D$20000=A126)*(DATOS!$I$2:$I$20000=B126)*(DATOS!$K$2:$K$20000=9))</f>
        <v>0</v>
      </c>
      <c r="U126">
        <f>SUMPRODUCT((DATOS!$G$2:$G$20000=CONFIG_METADATA!$B$4)*(DATOS!$D$2:$D$20000=A126)*(DATOS!$I$2:$I$20000=B126)*(DATOS!$K$2:$K$20000=10))</f>
        <v>0</v>
      </c>
    </row>
    <row r="127" spans="1:21" x14ac:dyDescent="0.2">
      <c r="A127" t="s">
        <v>80</v>
      </c>
      <c r="B127" t="s">
        <v>33</v>
      </c>
      <c r="C127" t="s">
        <v>25</v>
      </c>
      <c r="D127">
        <f>SUMPRODUCT((DATOS!$G$2:$G$20000=CONFIG_METADATA!$B$4)*(DATOS!$D$2:$D$20000=A127)*(DATOS!$I$2:$I$20000=B127))</f>
        <v>0</v>
      </c>
      <c r="E127" s="10" t="str">
        <f>IFERROR(SUMPRODUCT((DATOS!$G$2:$G$20000=CONFIG_METADATA!$B$4)*(DATOS!$D$2:$D$20000=A127)*(DATOS!$I$2:$I$20000=B127)*(DATOS!$K$2:$K$20000))/D127,"—")</f>
        <v>—</v>
      </c>
      <c r="F127" s="10" t="str" cm="1">
        <f t="array" ref="F127">IFERROR(_xlfn.STDEV.P(_xlfn._xlws.FILTER(DATOS!$K$2:$K$20000,(DATOS!$G$2:$G$20000=CONFIG_METADATA!$B$4)*(DATOS!$D$2:$D$20000=A127)*(DATOS!$I$2:$I$20000=B127))),"—")</f>
        <v>—</v>
      </c>
      <c r="G127" t="str" cm="1">
        <f t="array" ref="G127">IFERROR(_xlfn.MODE.SNGL(_xlfn._xlws.FILTER(DATOS!$K$2:$K$20000,(DATOS!$G$2:$G$20000=CONFIG_METADATA!$B$4)*(DATOS!$D$2:$D$20000=A127)*(DATOS!$I$2:$I$20000=B127))),"—")</f>
        <v>—</v>
      </c>
      <c r="H127" s="11" t="str">
        <f>IFERROR(SUMPRODUCT((DATOS!$G$2:$G$20000=CONFIG_METADATA!$B$4)*(DATOS!$D$2:$D$20000=A127)*(DATOS!$I$2:$I$20000=B127)*(DATOS!$L$2:$L$20000="S"))/D127,"—")</f>
        <v>—</v>
      </c>
      <c r="I127" s="11" t="str">
        <f>IFERROR(SUMPRODUCT((DATOS!$G$2:$G$20000=CONFIG_METADATA!$B$4)*(DATOS!$D$2:$D$20000=A127)*(DATOS!$I$2:$I$20000=B127)*(DATOS!$L$2:$L$20000="N"))/D127,"—")</f>
        <v>—</v>
      </c>
      <c r="J127" t="str" cm="1">
        <f t="array" ref="J127">IFERROR(_xlfn.MODE.SNGL(_xlfn._xlws.FILTER(DATOS!$K$2:$K$20000,(DATOS!$G$2:$G$20000=CONFIG_METADATA!$B$4)*(DATOS!$D$2:$D$20000=A127)*(DATOS!$I$2:$I$20000=B127)*(DATOS!$L$2:$L$20000="S"))),"—")</f>
        <v>—</v>
      </c>
      <c r="K127" t="str" cm="1">
        <f t="array" ref="K127">IFERROR(_xlfn.MODE.SNGL(_xlfn._xlws.FILTER(DATOS!$K$2:$K$20000,(DATOS!$G$2:$G$20000=CONFIG_METADATA!$B$4)*(DATOS!$D$2:$D$20000=A127)*(DATOS!$I$2:$I$20000=B127)*(DATOS!$L$2:$L$20000="N"))),"—")</f>
        <v>—</v>
      </c>
      <c r="L127">
        <f>SUMPRODUCT((DATOS!$G$2:$G$20000=CONFIG_METADATA!$B$4)*(DATOS!$D$2:$D$20000=A127)*(DATOS!$I$2:$I$20000=B127)*(DATOS!$K$2:$K$20000=1))</f>
        <v>0</v>
      </c>
      <c r="M127">
        <f>SUMPRODUCT((DATOS!$G$2:$G$20000=CONFIG_METADATA!$B$4)*(DATOS!$D$2:$D$20000=A127)*(DATOS!$I$2:$I$20000=B127)*(DATOS!$K$2:$K$20000=2))</f>
        <v>0</v>
      </c>
      <c r="N127">
        <f>SUMPRODUCT((DATOS!$G$2:$G$20000=CONFIG_METADATA!$B$4)*(DATOS!$D$2:$D$20000=A127)*(DATOS!$I$2:$I$20000=B127)*(DATOS!$K$2:$K$20000=3))</f>
        <v>0</v>
      </c>
      <c r="O127">
        <f>SUMPRODUCT((DATOS!$G$2:$G$20000=CONFIG_METADATA!$B$4)*(DATOS!$D$2:$D$20000=A127)*(DATOS!$I$2:$I$20000=B127)*(DATOS!$K$2:$K$20000=4))</f>
        <v>0</v>
      </c>
      <c r="P127">
        <f>SUMPRODUCT((DATOS!$G$2:$G$20000=CONFIG_METADATA!$B$4)*(DATOS!$D$2:$D$20000=A127)*(DATOS!$I$2:$I$20000=B127)*(DATOS!$K$2:$K$20000=5))</f>
        <v>0</v>
      </c>
      <c r="Q127">
        <f>SUMPRODUCT((DATOS!$G$2:$G$20000=CONFIG_METADATA!$B$4)*(DATOS!$D$2:$D$20000=A127)*(DATOS!$I$2:$I$20000=B127)*(DATOS!$K$2:$K$20000=6))</f>
        <v>0</v>
      </c>
      <c r="R127">
        <f>SUMPRODUCT((DATOS!$G$2:$G$20000=CONFIG_METADATA!$B$4)*(DATOS!$D$2:$D$20000=A127)*(DATOS!$I$2:$I$20000=B127)*(DATOS!$K$2:$K$20000=7))</f>
        <v>0</v>
      </c>
      <c r="S127">
        <f>SUMPRODUCT((DATOS!$G$2:$G$20000=CONFIG_METADATA!$B$4)*(DATOS!$D$2:$D$20000=A127)*(DATOS!$I$2:$I$20000=B127)*(DATOS!$K$2:$K$20000=8))</f>
        <v>0</v>
      </c>
      <c r="T127">
        <f>SUMPRODUCT((DATOS!$G$2:$G$20000=CONFIG_METADATA!$B$4)*(DATOS!$D$2:$D$20000=A127)*(DATOS!$I$2:$I$20000=B127)*(DATOS!$K$2:$K$20000=9))</f>
        <v>0</v>
      </c>
      <c r="U127">
        <f>SUMPRODUCT((DATOS!$G$2:$G$20000=CONFIG_METADATA!$B$4)*(DATOS!$D$2:$D$20000=A127)*(DATOS!$I$2:$I$20000=B127)*(DATOS!$K$2:$K$20000=10))</f>
        <v>0</v>
      </c>
    </row>
    <row r="128" spans="1:21" x14ac:dyDescent="0.2">
      <c r="A128" t="s">
        <v>80</v>
      </c>
      <c r="B128" t="s">
        <v>34</v>
      </c>
      <c r="C128" t="s">
        <v>25</v>
      </c>
      <c r="D128">
        <f>SUMPRODUCT((DATOS!$G$2:$G$20000=CONFIG_METADATA!$B$4)*(DATOS!$D$2:$D$20000=A128)*(DATOS!$I$2:$I$20000=B128))</f>
        <v>0</v>
      </c>
      <c r="E128" s="10" t="str">
        <f>IFERROR(SUMPRODUCT((DATOS!$G$2:$G$20000=CONFIG_METADATA!$B$4)*(DATOS!$D$2:$D$20000=A128)*(DATOS!$I$2:$I$20000=B128)*(DATOS!$K$2:$K$20000))/D128,"—")</f>
        <v>—</v>
      </c>
      <c r="F128" s="10" t="str" cm="1">
        <f t="array" ref="F128">IFERROR(_xlfn.STDEV.P(_xlfn._xlws.FILTER(DATOS!$K$2:$K$20000,(DATOS!$G$2:$G$20000=CONFIG_METADATA!$B$4)*(DATOS!$D$2:$D$20000=A128)*(DATOS!$I$2:$I$20000=B128))),"—")</f>
        <v>—</v>
      </c>
      <c r="G128" t="str" cm="1">
        <f t="array" ref="G128">IFERROR(_xlfn.MODE.SNGL(_xlfn._xlws.FILTER(DATOS!$K$2:$K$20000,(DATOS!$G$2:$G$20000=CONFIG_METADATA!$B$4)*(DATOS!$D$2:$D$20000=A128)*(DATOS!$I$2:$I$20000=B128))),"—")</f>
        <v>—</v>
      </c>
      <c r="H128" s="11" t="str">
        <f>IFERROR(SUMPRODUCT((DATOS!$G$2:$G$20000=CONFIG_METADATA!$B$4)*(DATOS!$D$2:$D$20000=A128)*(DATOS!$I$2:$I$20000=B128)*(DATOS!$L$2:$L$20000="S"))/D128,"—")</f>
        <v>—</v>
      </c>
      <c r="I128" s="11" t="str">
        <f>IFERROR(SUMPRODUCT((DATOS!$G$2:$G$20000=CONFIG_METADATA!$B$4)*(DATOS!$D$2:$D$20000=A128)*(DATOS!$I$2:$I$20000=B128)*(DATOS!$L$2:$L$20000="N"))/D128,"—")</f>
        <v>—</v>
      </c>
      <c r="J128" t="str" cm="1">
        <f t="array" ref="J128">IFERROR(_xlfn.MODE.SNGL(_xlfn._xlws.FILTER(DATOS!$K$2:$K$20000,(DATOS!$G$2:$G$20000=CONFIG_METADATA!$B$4)*(DATOS!$D$2:$D$20000=A128)*(DATOS!$I$2:$I$20000=B128)*(DATOS!$L$2:$L$20000="S"))),"—")</f>
        <v>—</v>
      </c>
      <c r="K128" t="str" cm="1">
        <f t="array" ref="K128">IFERROR(_xlfn.MODE.SNGL(_xlfn._xlws.FILTER(DATOS!$K$2:$K$20000,(DATOS!$G$2:$G$20000=CONFIG_METADATA!$B$4)*(DATOS!$D$2:$D$20000=A128)*(DATOS!$I$2:$I$20000=B128)*(DATOS!$L$2:$L$20000="N"))),"—")</f>
        <v>—</v>
      </c>
      <c r="L128">
        <f>SUMPRODUCT((DATOS!$G$2:$G$20000=CONFIG_METADATA!$B$4)*(DATOS!$D$2:$D$20000=A128)*(DATOS!$I$2:$I$20000=B128)*(DATOS!$K$2:$K$20000=1))</f>
        <v>0</v>
      </c>
      <c r="M128">
        <f>SUMPRODUCT((DATOS!$G$2:$G$20000=CONFIG_METADATA!$B$4)*(DATOS!$D$2:$D$20000=A128)*(DATOS!$I$2:$I$20000=B128)*(DATOS!$K$2:$K$20000=2))</f>
        <v>0</v>
      </c>
      <c r="N128">
        <f>SUMPRODUCT((DATOS!$G$2:$G$20000=CONFIG_METADATA!$B$4)*(DATOS!$D$2:$D$20000=A128)*(DATOS!$I$2:$I$20000=B128)*(DATOS!$K$2:$K$20000=3))</f>
        <v>0</v>
      </c>
      <c r="O128">
        <f>SUMPRODUCT((DATOS!$G$2:$G$20000=CONFIG_METADATA!$B$4)*(DATOS!$D$2:$D$20000=A128)*(DATOS!$I$2:$I$20000=B128)*(DATOS!$K$2:$K$20000=4))</f>
        <v>0</v>
      </c>
      <c r="P128">
        <f>SUMPRODUCT((DATOS!$G$2:$G$20000=CONFIG_METADATA!$B$4)*(DATOS!$D$2:$D$20000=A128)*(DATOS!$I$2:$I$20000=B128)*(DATOS!$K$2:$K$20000=5))</f>
        <v>0</v>
      </c>
      <c r="Q128">
        <f>SUMPRODUCT((DATOS!$G$2:$G$20000=CONFIG_METADATA!$B$4)*(DATOS!$D$2:$D$20000=A128)*(DATOS!$I$2:$I$20000=B128)*(DATOS!$K$2:$K$20000=6))</f>
        <v>0</v>
      </c>
      <c r="R128">
        <f>SUMPRODUCT((DATOS!$G$2:$G$20000=CONFIG_METADATA!$B$4)*(DATOS!$D$2:$D$20000=A128)*(DATOS!$I$2:$I$20000=B128)*(DATOS!$K$2:$K$20000=7))</f>
        <v>0</v>
      </c>
      <c r="S128">
        <f>SUMPRODUCT((DATOS!$G$2:$G$20000=CONFIG_METADATA!$B$4)*(DATOS!$D$2:$D$20000=A128)*(DATOS!$I$2:$I$20000=B128)*(DATOS!$K$2:$K$20000=8))</f>
        <v>0</v>
      </c>
      <c r="T128">
        <f>SUMPRODUCT((DATOS!$G$2:$G$20000=CONFIG_METADATA!$B$4)*(DATOS!$D$2:$D$20000=A128)*(DATOS!$I$2:$I$20000=B128)*(DATOS!$K$2:$K$20000=9))</f>
        <v>0</v>
      </c>
      <c r="U128">
        <f>SUMPRODUCT((DATOS!$G$2:$G$20000=CONFIG_METADATA!$B$4)*(DATOS!$D$2:$D$20000=A128)*(DATOS!$I$2:$I$20000=B128)*(DATOS!$K$2:$K$20000=10))</f>
        <v>0</v>
      </c>
    </row>
    <row r="129" spans="1:21" x14ac:dyDescent="0.2">
      <c r="A129" t="s">
        <v>80</v>
      </c>
      <c r="B129" t="s">
        <v>35</v>
      </c>
      <c r="C129" t="s">
        <v>25</v>
      </c>
      <c r="D129">
        <f>SUMPRODUCT((DATOS!$G$2:$G$20000=CONFIG_METADATA!$B$4)*(DATOS!$D$2:$D$20000=A129)*(DATOS!$I$2:$I$20000=B129))</f>
        <v>0</v>
      </c>
      <c r="E129" s="10" t="str">
        <f>IFERROR(SUMPRODUCT((DATOS!$G$2:$G$20000=CONFIG_METADATA!$B$4)*(DATOS!$D$2:$D$20000=A129)*(DATOS!$I$2:$I$20000=B129)*(DATOS!$K$2:$K$20000))/D129,"—")</f>
        <v>—</v>
      </c>
      <c r="F129" s="10" t="str" cm="1">
        <f t="array" ref="F129">IFERROR(_xlfn.STDEV.P(_xlfn._xlws.FILTER(DATOS!$K$2:$K$20000,(DATOS!$G$2:$G$20000=CONFIG_METADATA!$B$4)*(DATOS!$D$2:$D$20000=A129)*(DATOS!$I$2:$I$20000=B129))),"—")</f>
        <v>—</v>
      </c>
      <c r="G129" t="str" cm="1">
        <f t="array" ref="G129">IFERROR(_xlfn.MODE.SNGL(_xlfn._xlws.FILTER(DATOS!$K$2:$K$20000,(DATOS!$G$2:$G$20000=CONFIG_METADATA!$B$4)*(DATOS!$D$2:$D$20000=A129)*(DATOS!$I$2:$I$20000=B129))),"—")</f>
        <v>—</v>
      </c>
      <c r="H129" s="11" t="str">
        <f>IFERROR(SUMPRODUCT((DATOS!$G$2:$G$20000=CONFIG_METADATA!$B$4)*(DATOS!$D$2:$D$20000=A129)*(DATOS!$I$2:$I$20000=B129)*(DATOS!$L$2:$L$20000="S"))/D129,"—")</f>
        <v>—</v>
      </c>
      <c r="I129" s="11" t="str">
        <f>IFERROR(SUMPRODUCT((DATOS!$G$2:$G$20000=CONFIG_METADATA!$B$4)*(DATOS!$D$2:$D$20000=A129)*(DATOS!$I$2:$I$20000=B129)*(DATOS!$L$2:$L$20000="N"))/D129,"—")</f>
        <v>—</v>
      </c>
      <c r="J129" t="str" cm="1">
        <f t="array" ref="J129">IFERROR(_xlfn.MODE.SNGL(_xlfn._xlws.FILTER(DATOS!$K$2:$K$20000,(DATOS!$G$2:$G$20000=CONFIG_METADATA!$B$4)*(DATOS!$D$2:$D$20000=A129)*(DATOS!$I$2:$I$20000=B129)*(DATOS!$L$2:$L$20000="S"))),"—")</f>
        <v>—</v>
      </c>
      <c r="K129" t="str" cm="1">
        <f t="array" ref="K129">IFERROR(_xlfn.MODE.SNGL(_xlfn._xlws.FILTER(DATOS!$K$2:$K$20000,(DATOS!$G$2:$G$20000=CONFIG_METADATA!$B$4)*(DATOS!$D$2:$D$20000=A129)*(DATOS!$I$2:$I$20000=B129)*(DATOS!$L$2:$L$20000="N"))),"—")</f>
        <v>—</v>
      </c>
      <c r="L129">
        <f>SUMPRODUCT((DATOS!$G$2:$G$20000=CONFIG_METADATA!$B$4)*(DATOS!$D$2:$D$20000=A129)*(DATOS!$I$2:$I$20000=B129)*(DATOS!$K$2:$K$20000=1))</f>
        <v>0</v>
      </c>
      <c r="M129">
        <f>SUMPRODUCT((DATOS!$G$2:$G$20000=CONFIG_METADATA!$B$4)*(DATOS!$D$2:$D$20000=A129)*(DATOS!$I$2:$I$20000=B129)*(DATOS!$K$2:$K$20000=2))</f>
        <v>0</v>
      </c>
      <c r="N129">
        <f>SUMPRODUCT((DATOS!$G$2:$G$20000=CONFIG_METADATA!$B$4)*(DATOS!$D$2:$D$20000=A129)*(DATOS!$I$2:$I$20000=B129)*(DATOS!$K$2:$K$20000=3))</f>
        <v>0</v>
      </c>
      <c r="O129">
        <f>SUMPRODUCT((DATOS!$G$2:$G$20000=CONFIG_METADATA!$B$4)*(DATOS!$D$2:$D$20000=A129)*(DATOS!$I$2:$I$20000=B129)*(DATOS!$K$2:$K$20000=4))</f>
        <v>0</v>
      </c>
      <c r="P129">
        <f>SUMPRODUCT((DATOS!$G$2:$G$20000=CONFIG_METADATA!$B$4)*(DATOS!$D$2:$D$20000=A129)*(DATOS!$I$2:$I$20000=B129)*(DATOS!$K$2:$K$20000=5))</f>
        <v>0</v>
      </c>
      <c r="Q129">
        <f>SUMPRODUCT((DATOS!$G$2:$G$20000=CONFIG_METADATA!$B$4)*(DATOS!$D$2:$D$20000=A129)*(DATOS!$I$2:$I$20000=B129)*(DATOS!$K$2:$K$20000=6))</f>
        <v>0</v>
      </c>
      <c r="R129">
        <f>SUMPRODUCT((DATOS!$G$2:$G$20000=CONFIG_METADATA!$B$4)*(DATOS!$D$2:$D$20000=A129)*(DATOS!$I$2:$I$20000=B129)*(DATOS!$K$2:$K$20000=7))</f>
        <v>0</v>
      </c>
      <c r="S129">
        <f>SUMPRODUCT((DATOS!$G$2:$G$20000=CONFIG_METADATA!$B$4)*(DATOS!$D$2:$D$20000=A129)*(DATOS!$I$2:$I$20000=B129)*(DATOS!$K$2:$K$20000=8))</f>
        <v>0</v>
      </c>
      <c r="T129">
        <f>SUMPRODUCT((DATOS!$G$2:$G$20000=CONFIG_METADATA!$B$4)*(DATOS!$D$2:$D$20000=A129)*(DATOS!$I$2:$I$20000=B129)*(DATOS!$K$2:$K$20000=9))</f>
        <v>0</v>
      </c>
      <c r="U129">
        <f>SUMPRODUCT((DATOS!$G$2:$G$20000=CONFIG_METADATA!$B$4)*(DATOS!$D$2:$D$20000=A129)*(DATOS!$I$2:$I$20000=B129)*(DATOS!$K$2:$K$20000=10))</f>
        <v>0</v>
      </c>
    </row>
    <row r="130" spans="1:21" x14ac:dyDescent="0.2">
      <c r="A130" t="s">
        <v>80</v>
      </c>
      <c r="B130" t="s">
        <v>36</v>
      </c>
      <c r="C130" t="s">
        <v>25</v>
      </c>
      <c r="D130">
        <f>SUMPRODUCT((DATOS!$G$2:$G$20000=CONFIG_METADATA!$B$4)*(DATOS!$D$2:$D$20000=A130)*(DATOS!$I$2:$I$20000=B130))</f>
        <v>0</v>
      </c>
      <c r="E130" s="10" t="str">
        <f>IFERROR(SUMPRODUCT((DATOS!$G$2:$G$20000=CONFIG_METADATA!$B$4)*(DATOS!$D$2:$D$20000=A130)*(DATOS!$I$2:$I$20000=B130)*(DATOS!$K$2:$K$20000))/D130,"—")</f>
        <v>—</v>
      </c>
      <c r="F130" s="10" t="str" cm="1">
        <f t="array" ref="F130">IFERROR(_xlfn.STDEV.P(_xlfn._xlws.FILTER(DATOS!$K$2:$K$20000,(DATOS!$G$2:$G$20000=CONFIG_METADATA!$B$4)*(DATOS!$D$2:$D$20000=A130)*(DATOS!$I$2:$I$20000=B130))),"—")</f>
        <v>—</v>
      </c>
      <c r="G130" t="str" cm="1">
        <f t="array" ref="G130">IFERROR(_xlfn.MODE.SNGL(_xlfn._xlws.FILTER(DATOS!$K$2:$K$20000,(DATOS!$G$2:$G$20000=CONFIG_METADATA!$B$4)*(DATOS!$D$2:$D$20000=A130)*(DATOS!$I$2:$I$20000=B130))),"—")</f>
        <v>—</v>
      </c>
      <c r="H130" s="11" t="str">
        <f>IFERROR(SUMPRODUCT((DATOS!$G$2:$G$20000=CONFIG_METADATA!$B$4)*(DATOS!$D$2:$D$20000=A130)*(DATOS!$I$2:$I$20000=B130)*(DATOS!$L$2:$L$20000="S"))/D130,"—")</f>
        <v>—</v>
      </c>
      <c r="I130" s="11" t="str">
        <f>IFERROR(SUMPRODUCT((DATOS!$G$2:$G$20000=CONFIG_METADATA!$B$4)*(DATOS!$D$2:$D$20000=A130)*(DATOS!$I$2:$I$20000=B130)*(DATOS!$L$2:$L$20000="N"))/D130,"—")</f>
        <v>—</v>
      </c>
      <c r="J130" t="str" cm="1">
        <f t="array" ref="J130">IFERROR(_xlfn.MODE.SNGL(_xlfn._xlws.FILTER(DATOS!$K$2:$K$20000,(DATOS!$G$2:$G$20000=CONFIG_METADATA!$B$4)*(DATOS!$D$2:$D$20000=A130)*(DATOS!$I$2:$I$20000=B130)*(DATOS!$L$2:$L$20000="S"))),"—")</f>
        <v>—</v>
      </c>
      <c r="K130" t="str" cm="1">
        <f t="array" ref="K130">IFERROR(_xlfn.MODE.SNGL(_xlfn._xlws.FILTER(DATOS!$K$2:$K$20000,(DATOS!$G$2:$G$20000=CONFIG_METADATA!$B$4)*(DATOS!$D$2:$D$20000=A130)*(DATOS!$I$2:$I$20000=B130)*(DATOS!$L$2:$L$20000="N"))),"—")</f>
        <v>—</v>
      </c>
      <c r="L130">
        <f>SUMPRODUCT((DATOS!$G$2:$G$20000=CONFIG_METADATA!$B$4)*(DATOS!$D$2:$D$20000=A130)*(DATOS!$I$2:$I$20000=B130)*(DATOS!$K$2:$K$20000=1))</f>
        <v>0</v>
      </c>
      <c r="M130">
        <f>SUMPRODUCT((DATOS!$G$2:$G$20000=CONFIG_METADATA!$B$4)*(DATOS!$D$2:$D$20000=A130)*(DATOS!$I$2:$I$20000=B130)*(DATOS!$K$2:$K$20000=2))</f>
        <v>0</v>
      </c>
      <c r="N130">
        <f>SUMPRODUCT((DATOS!$G$2:$G$20000=CONFIG_METADATA!$B$4)*(DATOS!$D$2:$D$20000=A130)*(DATOS!$I$2:$I$20000=B130)*(DATOS!$K$2:$K$20000=3))</f>
        <v>0</v>
      </c>
      <c r="O130">
        <f>SUMPRODUCT((DATOS!$G$2:$G$20000=CONFIG_METADATA!$B$4)*(DATOS!$D$2:$D$20000=A130)*(DATOS!$I$2:$I$20000=B130)*(DATOS!$K$2:$K$20000=4))</f>
        <v>0</v>
      </c>
      <c r="P130">
        <f>SUMPRODUCT((DATOS!$G$2:$G$20000=CONFIG_METADATA!$B$4)*(DATOS!$D$2:$D$20000=A130)*(DATOS!$I$2:$I$20000=B130)*(DATOS!$K$2:$K$20000=5))</f>
        <v>0</v>
      </c>
      <c r="Q130">
        <f>SUMPRODUCT((DATOS!$G$2:$G$20000=CONFIG_METADATA!$B$4)*(DATOS!$D$2:$D$20000=A130)*(DATOS!$I$2:$I$20000=B130)*(DATOS!$K$2:$K$20000=6))</f>
        <v>0</v>
      </c>
      <c r="R130">
        <f>SUMPRODUCT((DATOS!$G$2:$G$20000=CONFIG_METADATA!$B$4)*(DATOS!$D$2:$D$20000=A130)*(DATOS!$I$2:$I$20000=B130)*(DATOS!$K$2:$K$20000=7))</f>
        <v>0</v>
      </c>
      <c r="S130">
        <f>SUMPRODUCT((DATOS!$G$2:$G$20000=CONFIG_METADATA!$B$4)*(DATOS!$D$2:$D$20000=A130)*(DATOS!$I$2:$I$20000=B130)*(DATOS!$K$2:$K$20000=8))</f>
        <v>0</v>
      </c>
      <c r="T130">
        <f>SUMPRODUCT((DATOS!$G$2:$G$20000=CONFIG_METADATA!$B$4)*(DATOS!$D$2:$D$20000=A130)*(DATOS!$I$2:$I$20000=B130)*(DATOS!$K$2:$K$20000=9))</f>
        <v>0</v>
      </c>
      <c r="U130">
        <f>SUMPRODUCT((DATOS!$G$2:$G$20000=CONFIG_METADATA!$B$4)*(DATOS!$D$2:$D$20000=A130)*(DATOS!$I$2:$I$20000=B130)*(DATOS!$K$2:$K$20000=10))</f>
        <v>0</v>
      </c>
    </row>
    <row r="131" spans="1:21" x14ac:dyDescent="0.2">
      <c r="A131" t="s">
        <v>80</v>
      </c>
      <c r="B131" t="s">
        <v>37</v>
      </c>
      <c r="C131" t="s">
        <v>25</v>
      </c>
      <c r="D131">
        <f>SUMPRODUCT((DATOS!$G$2:$G$20000=CONFIG_METADATA!$B$4)*(DATOS!$D$2:$D$20000=A131)*(DATOS!$I$2:$I$20000=B131))</f>
        <v>0</v>
      </c>
      <c r="E131" s="10" t="str">
        <f>IFERROR(SUMPRODUCT((DATOS!$G$2:$G$20000=CONFIG_METADATA!$B$4)*(DATOS!$D$2:$D$20000=A131)*(DATOS!$I$2:$I$20000=B131)*(DATOS!$K$2:$K$20000))/D131,"—")</f>
        <v>—</v>
      </c>
      <c r="F131" s="10" t="str" cm="1">
        <f t="array" ref="F131">IFERROR(_xlfn.STDEV.P(_xlfn._xlws.FILTER(DATOS!$K$2:$K$20000,(DATOS!$G$2:$G$20000=CONFIG_METADATA!$B$4)*(DATOS!$D$2:$D$20000=A131)*(DATOS!$I$2:$I$20000=B131))),"—")</f>
        <v>—</v>
      </c>
      <c r="G131" t="str" cm="1">
        <f t="array" ref="G131">IFERROR(_xlfn.MODE.SNGL(_xlfn._xlws.FILTER(DATOS!$K$2:$K$20000,(DATOS!$G$2:$G$20000=CONFIG_METADATA!$B$4)*(DATOS!$D$2:$D$20000=A131)*(DATOS!$I$2:$I$20000=B131))),"—")</f>
        <v>—</v>
      </c>
      <c r="H131" s="11" t="str">
        <f>IFERROR(SUMPRODUCT((DATOS!$G$2:$G$20000=CONFIG_METADATA!$B$4)*(DATOS!$D$2:$D$20000=A131)*(DATOS!$I$2:$I$20000=B131)*(DATOS!$L$2:$L$20000="S"))/D131,"—")</f>
        <v>—</v>
      </c>
      <c r="I131" s="11" t="str">
        <f>IFERROR(SUMPRODUCT((DATOS!$G$2:$G$20000=CONFIG_METADATA!$B$4)*(DATOS!$D$2:$D$20000=A131)*(DATOS!$I$2:$I$20000=B131)*(DATOS!$L$2:$L$20000="N"))/D131,"—")</f>
        <v>—</v>
      </c>
      <c r="J131" t="str" cm="1">
        <f t="array" ref="J131">IFERROR(_xlfn.MODE.SNGL(_xlfn._xlws.FILTER(DATOS!$K$2:$K$20000,(DATOS!$G$2:$G$20000=CONFIG_METADATA!$B$4)*(DATOS!$D$2:$D$20000=A131)*(DATOS!$I$2:$I$20000=B131)*(DATOS!$L$2:$L$20000="S"))),"—")</f>
        <v>—</v>
      </c>
      <c r="K131" t="str" cm="1">
        <f t="array" ref="K131">IFERROR(_xlfn.MODE.SNGL(_xlfn._xlws.FILTER(DATOS!$K$2:$K$20000,(DATOS!$G$2:$G$20000=CONFIG_METADATA!$B$4)*(DATOS!$D$2:$D$20000=A131)*(DATOS!$I$2:$I$20000=B131)*(DATOS!$L$2:$L$20000="N"))),"—")</f>
        <v>—</v>
      </c>
      <c r="L131">
        <f>SUMPRODUCT((DATOS!$G$2:$G$20000=CONFIG_METADATA!$B$4)*(DATOS!$D$2:$D$20000=A131)*(DATOS!$I$2:$I$20000=B131)*(DATOS!$K$2:$K$20000=1))</f>
        <v>0</v>
      </c>
      <c r="M131">
        <f>SUMPRODUCT((DATOS!$G$2:$G$20000=CONFIG_METADATA!$B$4)*(DATOS!$D$2:$D$20000=A131)*(DATOS!$I$2:$I$20000=B131)*(DATOS!$K$2:$K$20000=2))</f>
        <v>0</v>
      </c>
      <c r="N131">
        <f>SUMPRODUCT((DATOS!$G$2:$G$20000=CONFIG_METADATA!$B$4)*(DATOS!$D$2:$D$20000=A131)*(DATOS!$I$2:$I$20000=B131)*(DATOS!$K$2:$K$20000=3))</f>
        <v>0</v>
      </c>
      <c r="O131">
        <f>SUMPRODUCT((DATOS!$G$2:$G$20000=CONFIG_METADATA!$B$4)*(DATOS!$D$2:$D$20000=A131)*(DATOS!$I$2:$I$20000=B131)*(DATOS!$K$2:$K$20000=4))</f>
        <v>0</v>
      </c>
      <c r="P131">
        <f>SUMPRODUCT((DATOS!$G$2:$G$20000=CONFIG_METADATA!$B$4)*(DATOS!$D$2:$D$20000=A131)*(DATOS!$I$2:$I$20000=B131)*(DATOS!$K$2:$K$20000=5))</f>
        <v>0</v>
      </c>
      <c r="Q131">
        <f>SUMPRODUCT((DATOS!$G$2:$G$20000=CONFIG_METADATA!$B$4)*(DATOS!$D$2:$D$20000=A131)*(DATOS!$I$2:$I$20000=B131)*(DATOS!$K$2:$K$20000=6))</f>
        <v>0</v>
      </c>
      <c r="R131">
        <f>SUMPRODUCT((DATOS!$G$2:$G$20000=CONFIG_METADATA!$B$4)*(DATOS!$D$2:$D$20000=A131)*(DATOS!$I$2:$I$20000=B131)*(DATOS!$K$2:$K$20000=7))</f>
        <v>0</v>
      </c>
      <c r="S131">
        <f>SUMPRODUCT((DATOS!$G$2:$G$20000=CONFIG_METADATA!$B$4)*(DATOS!$D$2:$D$20000=A131)*(DATOS!$I$2:$I$20000=B131)*(DATOS!$K$2:$K$20000=8))</f>
        <v>0</v>
      </c>
      <c r="T131">
        <f>SUMPRODUCT((DATOS!$G$2:$G$20000=CONFIG_METADATA!$B$4)*(DATOS!$D$2:$D$20000=A131)*(DATOS!$I$2:$I$20000=B131)*(DATOS!$K$2:$K$20000=9))</f>
        <v>0</v>
      </c>
      <c r="U131">
        <f>SUMPRODUCT((DATOS!$G$2:$G$20000=CONFIG_METADATA!$B$4)*(DATOS!$D$2:$D$20000=A131)*(DATOS!$I$2:$I$20000=B131)*(DATOS!$K$2:$K$20000=10))</f>
        <v>0</v>
      </c>
    </row>
    <row r="132" spans="1:21" x14ac:dyDescent="0.2">
      <c r="A132" t="s">
        <v>80</v>
      </c>
      <c r="B132" t="s">
        <v>38</v>
      </c>
      <c r="C132" t="s">
        <v>25</v>
      </c>
      <c r="D132">
        <f>SUMPRODUCT((DATOS!$G$2:$G$20000=CONFIG_METADATA!$B$4)*(DATOS!$D$2:$D$20000=A132)*(DATOS!$I$2:$I$20000=B132))</f>
        <v>0</v>
      </c>
      <c r="E132" s="10" t="str">
        <f>IFERROR(SUMPRODUCT((DATOS!$G$2:$G$20000=CONFIG_METADATA!$B$4)*(DATOS!$D$2:$D$20000=A132)*(DATOS!$I$2:$I$20000=B132)*(DATOS!$K$2:$K$20000))/D132,"—")</f>
        <v>—</v>
      </c>
      <c r="F132" s="10" t="str" cm="1">
        <f t="array" ref="F132">IFERROR(_xlfn.STDEV.P(_xlfn._xlws.FILTER(DATOS!$K$2:$K$20000,(DATOS!$G$2:$G$20000=CONFIG_METADATA!$B$4)*(DATOS!$D$2:$D$20000=A132)*(DATOS!$I$2:$I$20000=B132))),"—")</f>
        <v>—</v>
      </c>
      <c r="G132" t="str" cm="1">
        <f t="array" ref="G132">IFERROR(_xlfn.MODE.SNGL(_xlfn._xlws.FILTER(DATOS!$K$2:$K$20000,(DATOS!$G$2:$G$20000=CONFIG_METADATA!$B$4)*(DATOS!$D$2:$D$20000=A132)*(DATOS!$I$2:$I$20000=B132))),"—")</f>
        <v>—</v>
      </c>
      <c r="H132" s="11" t="str">
        <f>IFERROR(SUMPRODUCT((DATOS!$G$2:$G$20000=CONFIG_METADATA!$B$4)*(DATOS!$D$2:$D$20000=A132)*(DATOS!$I$2:$I$20000=B132)*(DATOS!$L$2:$L$20000="S"))/D132,"—")</f>
        <v>—</v>
      </c>
      <c r="I132" s="11" t="str">
        <f>IFERROR(SUMPRODUCT((DATOS!$G$2:$G$20000=CONFIG_METADATA!$B$4)*(DATOS!$D$2:$D$20000=A132)*(DATOS!$I$2:$I$20000=B132)*(DATOS!$L$2:$L$20000="N"))/D132,"—")</f>
        <v>—</v>
      </c>
      <c r="J132" t="str" cm="1">
        <f t="array" ref="J132">IFERROR(_xlfn.MODE.SNGL(_xlfn._xlws.FILTER(DATOS!$K$2:$K$20000,(DATOS!$G$2:$G$20000=CONFIG_METADATA!$B$4)*(DATOS!$D$2:$D$20000=A132)*(DATOS!$I$2:$I$20000=B132)*(DATOS!$L$2:$L$20000="S"))),"—")</f>
        <v>—</v>
      </c>
      <c r="K132" t="str" cm="1">
        <f t="array" ref="K132">IFERROR(_xlfn.MODE.SNGL(_xlfn._xlws.FILTER(DATOS!$K$2:$K$20000,(DATOS!$G$2:$G$20000=CONFIG_METADATA!$B$4)*(DATOS!$D$2:$D$20000=A132)*(DATOS!$I$2:$I$20000=B132)*(DATOS!$L$2:$L$20000="N"))),"—")</f>
        <v>—</v>
      </c>
      <c r="L132">
        <f>SUMPRODUCT((DATOS!$G$2:$G$20000=CONFIG_METADATA!$B$4)*(DATOS!$D$2:$D$20000=A132)*(DATOS!$I$2:$I$20000=B132)*(DATOS!$K$2:$K$20000=1))</f>
        <v>0</v>
      </c>
      <c r="M132">
        <f>SUMPRODUCT((DATOS!$G$2:$G$20000=CONFIG_METADATA!$B$4)*(DATOS!$D$2:$D$20000=A132)*(DATOS!$I$2:$I$20000=B132)*(DATOS!$K$2:$K$20000=2))</f>
        <v>0</v>
      </c>
      <c r="N132">
        <f>SUMPRODUCT((DATOS!$G$2:$G$20000=CONFIG_METADATA!$B$4)*(DATOS!$D$2:$D$20000=A132)*(DATOS!$I$2:$I$20000=B132)*(DATOS!$K$2:$K$20000=3))</f>
        <v>0</v>
      </c>
      <c r="O132">
        <f>SUMPRODUCT((DATOS!$G$2:$G$20000=CONFIG_METADATA!$B$4)*(DATOS!$D$2:$D$20000=A132)*(DATOS!$I$2:$I$20000=B132)*(DATOS!$K$2:$K$20000=4))</f>
        <v>0</v>
      </c>
      <c r="P132">
        <f>SUMPRODUCT((DATOS!$G$2:$G$20000=CONFIG_METADATA!$B$4)*(DATOS!$D$2:$D$20000=A132)*(DATOS!$I$2:$I$20000=B132)*(DATOS!$K$2:$K$20000=5))</f>
        <v>0</v>
      </c>
      <c r="Q132">
        <f>SUMPRODUCT((DATOS!$G$2:$G$20000=CONFIG_METADATA!$B$4)*(DATOS!$D$2:$D$20000=A132)*(DATOS!$I$2:$I$20000=B132)*(DATOS!$K$2:$K$20000=6))</f>
        <v>0</v>
      </c>
      <c r="R132">
        <f>SUMPRODUCT((DATOS!$G$2:$G$20000=CONFIG_METADATA!$B$4)*(DATOS!$D$2:$D$20000=A132)*(DATOS!$I$2:$I$20000=B132)*(DATOS!$K$2:$K$20000=7))</f>
        <v>0</v>
      </c>
      <c r="S132">
        <f>SUMPRODUCT((DATOS!$G$2:$G$20000=CONFIG_METADATA!$B$4)*(DATOS!$D$2:$D$20000=A132)*(DATOS!$I$2:$I$20000=B132)*(DATOS!$K$2:$K$20000=8))</f>
        <v>0</v>
      </c>
      <c r="T132">
        <f>SUMPRODUCT((DATOS!$G$2:$G$20000=CONFIG_METADATA!$B$4)*(DATOS!$D$2:$D$20000=A132)*(DATOS!$I$2:$I$20000=B132)*(DATOS!$K$2:$K$20000=9))</f>
        <v>0</v>
      </c>
      <c r="U132">
        <f>SUMPRODUCT((DATOS!$G$2:$G$20000=CONFIG_METADATA!$B$4)*(DATOS!$D$2:$D$20000=A132)*(DATOS!$I$2:$I$20000=B132)*(DATOS!$K$2:$K$20000=10))</f>
        <v>0</v>
      </c>
    </row>
    <row r="133" spans="1:21" x14ac:dyDescent="0.2">
      <c r="A133" t="s">
        <v>80</v>
      </c>
      <c r="B133" t="s">
        <v>39</v>
      </c>
      <c r="C133" t="s">
        <v>25</v>
      </c>
      <c r="D133">
        <f>SUMPRODUCT((DATOS!$G$2:$G$20000=CONFIG_METADATA!$B$4)*(DATOS!$D$2:$D$20000=A133)*(DATOS!$I$2:$I$20000=B133))</f>
        <v>0</v>
      </c>
      <c r="E133" s="10" t="str">
        <f>IFERROR(SUMPRODUCT((DATOS!$G$2:$G$20000=CONFIG_METADATA!$B$4)*(DATOS!$D$2:$D$20000=A133)*(DATOS!$I$2:$I$20000=B133)*(DATOS!$K$2:$K$20000))/D133,"—")</f>
        <v>—</v>
      </c>
      <c r="F133" s="10" t="str" cm="1">
        <f t="array" ref="F133">IFERROR(_xlfn.STDEV.P(_xlfn._xlws.FILTER(DATOS!$K$2:$K$20000,(DATOS!$G$2:$G$20000=CONFIG_METADATA!$B$4)*(DATOS!$D$2:$D$20000=A133)*(DATOS!$I$2:$I$20000=B133))),"—")</f>
        <v>—</v>
      </c>
      <c r="G133" t="str" cm="1">
        <f t="array" ref="G133">IFERROR(_xlfn.MODE.SNGL(_xlfn._xlws.FILTER(DATOS!$K$2:$K$20000,(DATOS!$G$2:$G$20000=CONFIG_METADATA!$B$4)*(DATOS!$D$2:$D$20000=A133)*(DATOS!$I$2:$I$20000=B133))),"—")</f>
        <v>—</v>
      </c>
      <c r="H133" s="11" t="str">
        <f>IFERROR(SUMPRODUCT((DATOS!$G$2:$G$20000=CONFIG_METADATA!$B$4)*(DATOS!$D$2:$D$20000=A133)*(DATOS!$I$2:$I$20000=B133)*(DATOS!$L$2:$L$20000="S"))/D133,"—")</f>
        <v>—</v>
      </c>
      <c r="I133" s="11" t="str">
        <f>IFERROR(SUMPRODUCT((DATOS!$G$2:$G$20000=CONFIG_METADATA!$B$4)*(DATOS!$D$2:$D$20000=A133)*(DATOS!$I$2:$I$20000=B133)*(DATOS!$L$2:$L$20000="N"))/D133,"—")</f>
        <v>—</v>
      </c>
      <c r="J133" t="str" cm="1">
        <f t="array" ref="J133">IFERROR(_xlfn.MODE.SNGL(_xlfn._xlws.FILTER(DATOS!$K$2:$K$20000,(DATOS!$G$2:$G$20000=CONFIG_METADATA!$B$4)*(DATOS!$D$2:$D$20000=A133)*(DATOS!$I$2:$I$20000=B133)*(DATOS!$L$2:$L$20000="S"))),"—")</f>
        <v>—</v>
      </c>
      <c r="K133" t="str" cm="1">
        <f t="array" ref="K133">IFERROR(_xlfn.MODE.SNGL(_xlfn._xlws.FILTER(DATOS!$K$2:$K$20000,(DATOS!$G$2:$G$20000=CONFIG_METADATA!$B$4)*(DATOS!$D$2:$D$20000=A133)*(DATOS!$I$2:$I$20000=B133)*(DATOS!$L$2:$L$20000="N"))),"—")</f>
        <v>—</v>
      </c>
      <c r="L133">
        <f>SUMPRODUCT((DATOS!$G$2:$G$20000=CONFIG_METADATA!$B$4)*(DATOS!$D$2:$D$20000=A133)*(DATOS!$I$2:$I$20000=B133)*(DATOS!$K$2:$K$20000=1))</f>
        <v>0</v>
      </c>
      <c r="M133">
        <f>SUMPRODUCT((DATOS!$G$2:$G$20000=CONFIG_METADATA!$B$4)*(DATOS!$D$2:$D$20000=A133)*(DATOS!$I$2:$I$20000=B133)*(DATOS!$K$2:$K$20000=2))</f>
        <v>0</v>
      </c>
      <c r="N133">
        <f>SUMPRODUCT((DATOS!$G$2:$G$20000=CONFIG_METADATA!$B$4)*(DATOS!$D$2:$D$20000=A133)*(DATOS!$I$2:$I$20000=B133)*(DATOS!$K$2:$K$20000=3))</f>
        <v>0</v>
      </c>
      <c r="O133">
        <f>SUMPRODUCT((DATOS!$G$2:$G$20000=CONFIG_METADATA!$B$4)*(DATOS!$D$2:$D$20000=A133)*(DATOS!$I$2:$I$20000=B133)*(DATOS!$K$2:$K$20000=4))</f>
        <v>0</v>
      </c>
      <c r="P133">
        <f>SUMPRODUCT((DATOS!$G$2:$G$20000=CONFIG_METADATA!$B$4)*(DATOS!$D$2:$D$20000=A133)*(DATOS!$I$2:$I$20000=B133)*(DATOS!$K$2:$K$20000=5))</f>
        <v>0</v>
      </c>
      <c r="Q133">
        <f>SUMPRODUCT((DATOS!$G$2:$G$20000=CONFIG_METADATA!$B$4)*(DATOS!$D$2:$D$20000=A133)*(DATOS!$I$2:$I$20000=B133)*(DATOS!$K$2:$K$20000=6))</f>
        <v>0</v>
      </c>
      <c r="R133">
        <f>SUMPRODUCT((DATOS!$G$2:$G$20000=CONFIG_METADATA!$B$4)*(DATOS!$D$2:$D$20000=A133)*(DATOS!$I$2:$I$20000=B133)*(DATOS!$K$2:$K$20000=7))</f>
        <v>0</v>
      </c>
      <c r="S133">
        <f>SUMPRODUCT((DATOS!$G$2:$G$20000=CONFIG_METADATA!$B$4)*(DATOS!$D$2:$D$20000=A133)*(DATOS!$I$2:$I$20000=B133)*(DATOS!$K$2:$K$20000=8))</f>
        <v>0</v>
      </c>
      <c r="T133">
        <f>SUMPRODUCT((DATOS!$G$2:$G$20000=CONFIG_METADATA!$B$4)*(DATOS!$D$2:$D$20000=A133)*(DATOS!$I$2:$I$20000=B133)*(DATOS!$K$2:$K$20000=9))</f>
        <v>0</v>
      </c>
      <c r="U133">
        <f>SUMPRODUCT((DATOS!$G$2:$G$20000=CONFIG_METADATA!$B$4)*(DATOS!$D$2:$D$20000=A133)*(DATOS!$I$2:$I$20000=B133)*(DATOS!$K$2:$K$20000=10))</f>
        <v>0</v>
      </c>
    </row>
    <row r="134" spans="1:21" x14ac:dyDescent="0.2">
      <c r="A134" t="s">
        <v>80</v>
      </c>
      <c r="B134" t="s">
        <v>41</v>
      </c>
      <c r="C134" t="s">
        <v>25</v>
      </c>
      <c r="D134">
        <f>SUMPRODUCT((DATOS!$G$2:$G$20000=CONFIG_METADATA!$B$4)*(DATOS!$D$2:$D$20000=A134)*(DATOS!$I$2:$I$20000=B134))</f>
        <v>0</v>
      </c>
      <c r="E134" s="10" t="str">
        <f>IFERROR(SUMPRODUCT((DATOS!$G$2:$G$20000=CONFIG_METADATA!$B$4)*(DATOS!$D$2:$D$20000=A134)*(DATOS!$I$2:$I$20000=B134)*(DATOS!$K$2:$K$20000))/D134,"—")</f>
        <v>—</v>
      </c>
      <c r="F134" s="10" t="str" cm="1">
        <f t="array" ref="F134">IFERROR(_xlfn.STDEV.P(_xlfn._xlws.FILTER(DATOS!$K$2:$K$20000,(DATOS!$G$2:$G$20000=CONFIG_METADATA!$B$4)*(DATOS!$D$2:$D$20000=A134)*(DATOS!$I$2:$I$20000=B134))),"—")</f>
        <v>—</v>
      </c>
      <c r="G134" t="str" cm="1">
        <f t="array" ref="G134">IFERROR(_xlfn.MODE.SNGL(_xlfn._xlws.FILTER(DATOS!$K$2:$K$20000,(DATOS!$G$2:$G$20000=CONFIG_METADATA!$B$4)*(DATOS!$D$2:$D$20000=A134)*(DATOS!$I$2:$I$20000=B134))),"—")</f>
        <v>—</v>
      </c>
      <c r="H134" s="11" t="str">
        <f>IFERROR(SUMPRODUCT((DATOS!$G$2:$G$20000=CONFIG_METADATA!$B$4)*(DATOS!$D$2:$D$20000=A134)*(DATOS!$I$2:$I$20000=B134)*(DATOS!$L$2:$L$20000="S"))/D134,"—")</f>
        <v>—</v>
      </c>
      <c r="I134" s="11" t="str">
        <f>IFERROR(SUMPRODUCT((DATOS!$G$2:$G$20000=CONFIG_METADATA!$B$4)*(DATOS!$D$2:$D$20000=A134)*(DATOS!$I$2:$I$20000=B134)*(DATOS!$L$2:$L$20000="N"))/D134,"—")</f>
        <v>—</v>
      </c>
      <c r="J134" t="str" cm="1">
        <f t="array" ref="J134">IFERROR(_xlfn.MODE.SNGL(_xlfn._xlws.FILTER(DATOS!$K$2:$K$20000,(DATOS!$G$2:$G$20000=CONFIG_METADATA!$B$4)*(DATOS!$D$2:$D$20000=A134)*(DATOS!$I$2:$I$20000=B134)*(DATOS!$L$2:$L$20000="S"))),"—")</f>
        <v>—</v>
      </c>
      <c r="K134" t="str" cm="1">
        <f t="array" ref="K134">IFERROR(_xlfn.MODE.SNGL(_xlfn._xlws.FILTER(DATOS!$K$2:$K$20000,(DATOS!$G$2:$G$20000=CONFIG_METADATA!$B$4)*(DATOS!$D$2:$D$20000=A134)*(DATOS!$I$2:$I$20000=B134)*(DATOS!$L$2:$L$20000="N"))),"—")</f>
        <v>—</v>
      </c>
      <c r="L134">
        <f>SUMPRODUCT((DATOS!$G$2:$G$20000=CONFIG_METADATA!$B$4)*(DATOS!$D$2:$D$20000=A134)*(DATOS!$I$2:$I$20000=B134)*(DATOS!$K$2:$K$20000=1))</f>
        <v>0</v>
      </c>
      <c r="M134">
        <f>SUMPRODUCT((DATOS!$G$2:$G$20000=CONFIG_METADATA!$B$4)*(DATOS!$D$2:$D$20000=A134)*(DATOS!$I$2:$I$20000=B134)*(DATOS!$K$2:$K$20000=2))</f>
        <v>0</v>
      </c>
      <c r="N134">
        <f>SUMPRODUCT((DATOS!$G$2:$G$20000=CONFIG_METADATA!$B$4)*(DATOS!$D$2:$D$20000=A134)*(DATOS!$I$2:$I$20000=B134)*(DATOS!$K$2:$K$20000=3))</f>
        <v>0</v>
      </c>
      <c r="O134">
        <f>SUMPRODUCT((DATOS!$G$2:$G$20000=CONFIG_METADATA!$B$4)*(DATOS!$D$2:$D$20000=A134)*(DATOS!$I$2:$I$20000=B134)*(DATOS!$K$2:$K$20000=4))</f>
        <v>0</v>
      </c>
      <c r="P134">
        <f>SUMPRODUCT((DATOS!$G$2:$G$20000=CONFIG_METADATA!$B$4)*(DATOS!$D$2:$D$20000=A134)*(DATOS!$I$2:$I$20000=B134)*(DATOS!$K$2:$K$20000=5))</f>
        <v>0</v>
      </c>
      <c r="Q134">
        <f>SUMPRODUCT((DATOS!$G$2:$G$20000=CONFIG_METADATA!$B$4)*(DATOS!$D$2:$D$20000=A134)*(DATOS!$I$2:$I$20000=B134)*(DATOS!$K$2:$K$20000=6))</f>
        <v>0</v>
      </c>
      <c r="R134">
        <f>SUMPRODUCT((DATOS!$G$2:$G$20000=CONFIG_METADATA!$B$4)*(DATOS!$D$2:$D$20000=A134)*(DATOS!$I$2:$I$20000=B134)*(DATOS!$K$2:$K$20000=7))</f>
        <v>0</v>
      </c>
      <c r="S134">
        <f>SUMPRODUCT((DATOS!$G$2:$G$20000=CONFIG_METADATA!$B$4)*(DATOS!$D$2:$D$20000=A134)*(DATOS!$I$2:$I$20000=B134)*(DATOS!$K$2:$K$20000=8))</f>
        <v>0</v>
      </c>
      <c r="T134">
        <f>SUMPRODUCT((DATOS!$G$2:$G$20000=CONFIG_METADATA!$B$4)*(DATOS!$D$2:$D$20000=A134)*(DATOS!$I$2:$I$20000=B134)*(DATOS!$K$2:$K$20000=9))</f>
        <v>0</v>
      </c>
      <c r="U134">
        <f>SUMPRODUCT((DATOS!$G$2:$G$20000=CONFIG_METADATA!$B$4)*(DATOS!$D$2:$D$20000=A134)*(DATOS!$I$2:$I$20000=B134)*(DATOS!$K$2:$K$20000=10))</f>
        <v>0</v>
      </c>
    </row>
    <row r="135" spans="1:21" x14ac:dyDescent="0.2">
      <c r="A135" t="s">
        <v>80</v>
      </c>
      <c r="B135" t="s">
        <v>43</v>
      </c>
      <c r="C135" t="s">
        <v>25</v>
      </c>
      <c r="D135">
        <f>SUMPRODUCT((DATOS!$G$2:$G$20000=CONFIG_METADATA!$B$4)*(DATOS!$D$2:$D$20000=A135)*(DATOS!$I$2:$I$20000=B135))</f>
        <v>0</v>
      </c>
      <c r="E135" s="10" t="str">
        <f>IFERROR(SUMPRODUCT((DATOS!$G$2:$G$20000=CONFIG_METADATA!$B$4)*(DATOS!$D$2:$D$20000=A135)*(DATOS!$I$2:$I$20000=B135)*(DATOS!$K$2:$K$20000))/D135,"—")</f>
        <v>—</v>
      </c>
      <c r="F135" s="10" t="str" cm="1">
        <f t="array" ref="F135">IFERROR(_xlfn.STDEV.P(_xlfn._xlws.FILTER(DATOS!$K$2:$K$20000,(DATOS!$G$2:$G$20000=CONFIG_METADATA!$B$4)*(DATOS!$D$2:$D$20000=A135)*(DATOS!$I$2:$I$20000=B135))),"—")</f>
        <v>—</v>
      </c>
      <c r="G135" t="str" cm="1">
        <f t="array" ref="G135">IFERROR(_xlfn.MODE.SNGL(_xlfn._xlws.FILTER(DATOS!$K$2:$K$20000,(DATOS!$G$2:$G$20000=CONFIG_METADATA!$B$4)*(DATOS!$D$2:$D$20000=A135)*(DATOS!$I$2:$I$20000=B135))),"—")</f>
        <v>—</v>
      </c>
      <c r="H135" s="11" t="str">
        <f>IFERROR(SUMPRODUCT((DATOS!$G$2:$G$20000=CONFIG_METADATA!$B$4)*(DATOS!$D$2:$D$20000=A135)*(DATOS!$I$2:$I$20000=B135)*(DATOS!$L$2:$L$20000="S"))/D135,"—")</f>
        <v>—</v>
      </c>
      <c r="I135" s="11" t="str">
        <f>IFERROR(SUMPRODUCT((DATOS!$G$2:$G$20000=CONFIG_METADATA!$B$4)*(DATOS!$D$2:$D$20000=A135)*(DATOS!$I$2:$I$20000=B135)*(DATOS!$L$2:$L$20000="N"))/D135,"—")</f>
        <v>—</v>
      </c>
      <c r="J135" t="str" cm="1">
        <f t="array" ref="J135">IFERROR(_xlfn.MODE.SNGL(_xlfn._xlws.FILTER(DATOS!$K$2:$K$20000,(DATOS!$G$2:$G$20000=CONFIG_METADATA!$B$4)*(DATOS!$D$2:$D$20000=A135)*(DATOS!$I$2:$I$20000=B135)*(DATOS!$L$2:$L$20000="S"))),"—")</f>
        <v>—</v>
      </c>
      <c r="K135" t="str" cm="1">
        <f t="array" ref="K135">IFERROR(_xlfn.MODE.SNGL(_xlfn._xlws.FILTER(DATOS!$K$2:$K$20000,(DATOS!$G$2:$G$20000=CONFIG_METADATA!$B$4)*(DATOS!$D$2:$D$20000=A135)*(DATOS!$I$2:$I$20000=B135)*(DATOS!$L$2:$L$20000="N"))),"—")</f>
        <v>—</v>
      </c>
      <c r="L135">
        <f>SUMPRODUCT((DATOS!$G$2:$G$20000=CONFIG_METADATA!$B$4)*(DATOS!$D$2:$D$20000=A135)*(DATOS!$I$2:$I$20000=B135)*(DATOS!$K$2:$K$20000=1))</f>
        <v>0</v>
      </c>
      <c r="M135">
        <f>SUMPRODUCT((DATOS!$G$2:$G$20000=CONFIG_METADATA!$B$4)*(DATOS!$D$2:$D$20000=A135)*(DATOS!$I$2:$I$20000=B135)*(DATOS!$K$2:$K$20000=2))</f>
        <v>0</v>
      </c>
      <c r="N135">
        <f>SUMPRODUCT((DATOS!$G$2:$G$20000=CONFIG_METADATA!$B$4)*(DATOS!$D$2:$D$20000=A135)*(DATOS!$I$2:$I$20000=B135)*(DATOS!$K$2:$K$20000=3))</f>
        <v>0</v>
      </c>
      <c r="O135">
        <f>SUMPRODUCT((DATOS!$G$2:$G$20000=CONFIG_METADATA!$B$4)*(DATOS!$D$2:$D$20000=A135)*(DATOS!$I$2:$I$20000=B135)*(DATOS!$K$2:$K$20000=4))</f>
        <v>0</v>
      </c>
      <c r="P135">
        <f>SUMPRODUCT((DATOS!$G$2:$G$20000=CONFIG_METADATA!$B$4)*(DATOS!$D$2:$D$20000=A135)*(DATOS!$I$2:$I$20000=B135)*(DATOS!$K$2:$K$20000=5))</f>
        <v>0</v>
      </c>
      <c r="Q135">
        <f>SUMPRODUCT((DATOS!$G$2:$G$20000=CONFIG_METADATA!$B$4)*(DATOS!$D$2:$D$20000=A135)*(DATOS!$I$2:$I$20000=B135)*(DATOS!$K$2:$K$20000=6))</f>
        <v>0</v>
      </c>
      <c r="R135">
        <f>SUMPRODUCT((DATOS!$G$2:$G$20000=CONFIG_METADATA!$B$4)*(DATOS!$D$2:$D$20000=A135)*(DATOS!$I$2:$I$20000=B135)*(DATOS!$K$2:$K$20000=7))</f>
        <v>0</v>
      </c>
      <c r="S135">
        <f>SUMPRODUCT((DATOS!$G$2:$G$20000=CONFIG_METADATA!$B$4)*(DATOS!$D$2:$D$20000=A135)*(DATOS!$I$2:$I$20000=B135)*(DATOS!$K$2:$K$20000=8))</f>
        <v>0</v>
      </c>
      <c r="T135">
        <f>SUMPRODUCT((DATOS!$G$2:$G$20000=CONFIG_METADATA!$B$4)*(DATOS!$D$2:$D$20000=A135)*(DATOS!$I$2:$I$20000=B135)*(DATOS!$K$2:$K$20000=9))</f>
        <v>0</v>
      </c>
      <c r="U135">
        <f>SUMPRODUCT((DATOS!$G$2:$G$20000=CONFIG_METADATA!$B$4)*(DATOS!$D$2:$D$20000=A135)*(DATOS!$I$2:$I$20000=B135)*(DATOS!$K$2:$K$20000=10))</f>
        <v>0</v>
      </c>
    </row>
    <row r="136" spans="1:21" x14ac:dyDescent="0.2">
      <c r="A136" t="s">
        <v>80</v>
      </c>
      <c r="B136" t="s">
        <v>44</v>
      </c>
      <c r="C136" t="s">
        <v>25</v>
      </c>
      <c r="D136">
        <f>SUMPRODUCT((DATOS!$G$2:$G$20000=CONFIG_METADATA!$B$4)*(DATOS!$D$2:$D$20000=A136)*(DATOS!$I$2:$I$20000=B136))</f>
        <v>0</v>
      </c>
      <c r="E136" s="10" t="str">
        <f>IFERROR(SUMPRODUCT((DATOS!$G$2:$G$20000=CONFIG_METADATA!$B$4)*(DATOS!$D$2:$D$20000=A136)*(DATOS!$I$2:$I$20000=B136)*(DATOS!$K$2:$K$20000))/D136,"—")</f>
        <v>—</v>
      </c>
      <c r="F136" s="10" t="str" cm="1">
        <f t="array" ref="F136">IFERROR(_xlfn.STDEV.P(_xlfn._xlws.FILTER(DATOS!$K$2:$K$20000,(DATOS!$G$2:$G$20000=CONFIG_METADATA!$B$4)*(DATOS!$D$2:$D$20000=A136)*(DATOS!$I$2:$I$20000=B136))),"—")</f>
        <v>—</v>
      </c>
      <c r="G136" t="str" cm="1">
        <f t="array" ref="G136">IFERROR(_xlfn.MODE.SNGL(_xlfn._xlws.FILTER(DATOS!$K$2:$K$20000,(DATOS!$G$2:$G$20000=CONFIG_METADATA!$B$4)*(DATOS!$D$2:$D$20000=A136)*(DATOS!$I$2:$I$20000=B136))),"—")</f>
        <v>—</v>
      </c>
      <c r="H136" s="11" t="str">
        <f>IFERROR(SUMPRODUCT((DATOS!$G$2:$G$20000=CONFIG_METADATA!$B$4)*(DATOS!$D$2:$D$20000=A136)*(DATOS!$I$2:$I$20000=B136)*(DATOS!$L$2:$L$20000="S"))/D136,"—")</f>
        <v>—</v>
      </c>
      <c r="I136" s="11" t="str">
        <f>IFERROR(SUMPRODUCT((DATOS!$G$2:$G$20000=CONFIG_METADATA!$B$4)*(DATOS!$D$2:$D$20000=A136)*(DATOS!$I$2:$I$20000=B136)*(DATOS!$L$2:$L$20000="N"))/D136,"—")</f>
        <v>—</v>
      </c>
      <c r="J136" t="str" cm="1">
        <f t="array" ref="J136">IFERROR(_xlfn.MODE.SNGL(_xlfn._xlws.FILTER(DATOS!$K$2:$K$20000,(DATOS!$G$2:$G$20000=CONFIG_METADATA!$B$4)*(DATOS!$D$2:$D$20000=A136)*(DATOS!$I$2:$I$20000=B136)*(DATOS!$L$2:$L$20000="S"))),"—")</f>
        <v>—</v>
      </c>
      <c r="K136" t="str" cm="1">
        <f t="array" ref="K136">IFERROR(_xlfn.MODE.SNGL(_xlfn._xlws.FILTER(DATOS!$K$2:$K$20000,(DATOS!$G$2:$G$20000=CONFIG_METADATA!$B$4)*(DATOS!$D$2:$D$20000=A136)*(DATOS!$I$2:$I$20000=B136)*(DATOS!$L$2:$L$20000="N"))),"—")</f>
        <v>—</v>
      </c>
      <c r="L136">
        <f>SUMPRODUCT((DATOS!$G$2:$G$20000=CONFIG_METADATA!$B$4)*(DATOS!$D$2:$D$20000=A136)*(DATOS!$I$2:$I$20000=B136)*(DATOS!$K$2:$K$20000=1))</f>
        <v>0</v>
      </c>
      <c r="M136">
        <f>SUMPRODUCT((DATOS!$G$2:$G$20000=CONFIG_METADATA!$B$4)*(DATOS!$D$2:$D$20000=A136)*(DATOS!$I$2:$I$20000=B136)*(DATOS!$K$2:$K$20000=2))</f>
        <v>0</v>
      </c>
      <c r="N136">
        <f>SUMPRODUCT((DATOS!$G$2:$G$20000=CONFIG_METADATA!$B$4)*(DATOS!$D$2:$D$20000=A136)*(DATOS!$I$2:$I$20000=B136)*(DATOS!$K$2:$K$20000=3))</f>
        <v>0</v>
      </c>
      <c r="O136">
        <f>SUMPRODUCT((DATOS!$G$2:$G$20000=CONFIG_METADATA!$B$4)*(DATOS!$D$2:$D$20000=A136)*(DATOS!$I$2:$I$20000=B136)*(DATOS!$K$2:$K$20000=4))</f>
        <v>0</v>
      </c>
      <c r="P136">
        <f>SUMPRODUCT((DATOS!$G$2:$G$20000=CONFIG_METADATA!$B$4)*(DATOS!$D$2:$D$20000=A136)*(DATOS!$I$2:$I$20000=B136)*(DATOS!$K$2:$K$20000=5))</f>
        <v>0</v>
      </c>
      <c r="Q136">
        <f>SUMPRODUCT((DATOS!$G$2:$G$20000=CONFIG_METADATA!$B$4)*(DATOS!$D$2:$D$20000=A136)*(DATOS!$I$2:$I$20000=B136)*(DATOS!$K$2:$K$20000=6))</f>
        <v>0</v>
      </c>
      <c r="R136">
        <f>SUMPRODUCT((DATOS!$G$2:$G$20000=CONFIG_METADATA!$B$4)*(DATOS!$D$2:$D$20000=A136)*(DATOS!$I$2:$I$20000=B136)*(DATOS!$K$2:$K$20000=7))</f>
        <v>0</v>
      </c>
      <c r="S136">
        <f>SUMPRODUCT((DATOS!$G$2:$G$20000=CONFIG_METADATA!$B$4)*(DATOS!$D$2:$D$20000=A136)*(DATOS!$I$2:$I$20000=B136)*(DATOS!$K$2:$K$20000=8))</f>
        <v>0</v>
      </c>
      <c r="T136">
        <f>SUMPRODUCT((DATOS!$G$2:$G$20000=CONFIG_METADATA!$B$4)*(DATOS!$D$2:$D$20000=A136)*(DATOS!$I$2:$I$20000=B136)*(DATOS!$K$2:$K$20000=9))</f>
        <v>0</v>
      </c>
      <c r="U136">
        <f>SUMPRODUCT((DATOS!$G$2:$G$20000=CONFIG_METADATA!$B$4)*(DATOS!$D$2:$D$20000=A136)*(DATOS!$I$2:$I$20000=B136)*(DATOS!$K$2:$K$20000=10))</f>
        <v>0</v>
      </c>
    </row>
    <row r="137" spans="1:21" x14ac:dyDescent="0.2">
      <c r="A137" t="s">
        <v>80</v>
      </c>
      <c r="B137" t="s">
        <v>45</v>
      </c>
      <c r="C137" t="s">
        <v>25</v>
      </c>
      <c r="D137">
        <f>SUMPRODUCT((DATOS!$G$2:$G$20000=CONFIG_METADATA!$B$4)*(DATOS!$D$2:$D$20000=A137)*(DATOS!$I$2:$I$20000=B137))</f>
        <v>0</v>
      </c>
      <c r="E137" s="10" t="str">
        <f>IFERROR(SUMPRODUCT((DATOS!$G$2:$G$20000=CONFIG_METADATA!$B$4)*(DATOS!$D$2:$D$20000=A137)*(DATOS!$I$2:$I$20000=B137)*(DATOS!$K$2:$K$20000))/D137,"—")</f>
        <v>—</v>
      </c>
      <c r="F137" s="10" t="str" cm="1">
        <f t="array" ref="F137">IFERROR(_xlfn.STDEV.P(_xlfn._xlws.FILTER(DATOS!$K$2:$K$20000,(DATOS!$G$2:$G$20000=CONFIG_METADATA!$B$4)*(DATOS!$D$2:$D$20000=A137)*(DATOS!$I$2:$I$20000=B137))),"—")</f>
        <v>—</v>
      </c>
      <c r="G137" t="str" cm="1">
        <f t="array" ref="G137">IFERROR(_xlfn.MODE.SNGL(_xlfn._xlws.FILTER(DATOS!$K$2:$K$20000,(DATOS!$G$2:$G$20000=CONFIG_METADATA!$B$4)*(DATOS!$D$2:$D$20000=A137)*(DATOS!$I$2:$I$20000=B137))),"—")</f>
        <v>—</v>
      </c>
      <c r="H137" s="11" t="str">
        <f>IFERROR(SUMPRODUCT((DATOS!$G$2:$G$20000=CONFIG_METADATA!$B$4)*(DATOS!$D$2:$D$20000=A137)*(DATOS!$I$2:$I$20000=B137)*(DATOS!$L$2:$L$20000="S"))/D137,"—")</f>
        <v>—</v>
      </c>
      <c r="I137" s="11" t="str">
        <f>IFERROR(SUMPRODUCT((DATOS!$G$2:$G$20000=CONFIG_METADATA!$B$4)*(DATOS!$D$2:$D$20000=A137)*(DATOS!$I$2:$I$20000=B137)*(DATOS!$L$2:$L$20000="N"))/D137,"—")</f>
        <v>—</v>
      </c>
      <c r="J137" t="str" cm="1">
        <f t="array" ref="J137">IFERROR(_xlfn.MODE.SNGL(_xlfn._xlws.FILTER(DATOS!$K$2:$K$20000,(DATOS!$G$2:$G$20000=CONFIG_METADATA!$B$4)*(DATOS!$D$2:$D$20000=A137)*(DATOS!$I$2:$I$20000=B137)*(DATOS!$L$2:$L$20000="S"))),"—")</f>
        <v>—</v>
      </c>
      <c r="K137" t="str" cm="1">
        <f t="array" ref="K137">IFERROR(_xlfn.MODE.SNGL(_xlfn._xlws.FILTER(DATOS!$K$2:$K$20000,(DATOS!$G$2:$G$20000=CONFIG_METADATA!$B$4)*(DATOS!$D$2:$D$20000=A137)*(DATOS!$I$2:$I$20000=B137)*(DATOS!$L$2:$L$20000="N"))),"—")</f>
        <v>—</v>
      </c>
      <c r="L137">
        <f>SUMPRODUCT((DATOS!$G$2:$G$20000=CONFIG_METADATA!$B$4)*(DATOS!$D$2:$D$20000=A137)*(DATOS!$I$2:$I$20000=B137)*(DATOS!$K$2:$K$20000=1))</f>
        <v>0</v>
      </c>
      <c r="M137">
        <f>SUMPRODUCT((DATOS!$G$2:$G$20000=CONFIG_METADATA!$B$4)*(DATOS!$D$2:$D$20000=A137)*(DATOS!$I$2:$I$20000=B137)*(DATOS!$K$2:$K$20000=2))</f>
        <v>0</v>
      </c>
      <c r="N137">
        <f>SUMPRODUCT((DATOS!$G$2:$G$20000=CONFIG_METADATA!$B$4)*(DATOS!$D$2:$D$20000=A137)*(DATOS!$I$2:$I$20000=B137)*(DATOS!$K$2:$K$20000=3))</f>
        <v>0</v>
      </c>
      <c r="O137">
        <f>SUMPRODUCT((DATOS!$G$2:$G$20000=CONFIG_METADATA!$B$4)*(DATOS!$D$2:$D$20000=A137)*(DATOS!$I$2:$I$20000=B137)*(DATOS!$K$2:$K$20000=4))</f>
        <v>0</v>
      </c>
      <c r="P137">
        <f>SUMPRODUCT((DATOS!$G$2:$G$20000=CONFIG_METADATA!$B$4)*(DATOS!$D$2:$D$20000=A137)*(DATOS!$I$2:$I$20000=B137)*(DATOS!$K$2:$K$20000=5))</f>
        <v>0</v>
      </c>
      <c r="Q137">
        <f>SUMPRODUCT((DATOS!$G$2:$G$20000=CONFIG_METADATA!$B$4)*(DATOS!$D$2:$D$20000=A137)*(DATOS!$I$2:$I$20000=B137)*(DATOS!$K$2:$K$20000=6))</f>
        <v>0</v>
      </c>
      <c r="R137">
        <f>SUMPRODUCT((DATOS!$G$2:$G$20000=CONFIG_METADATA!$B$4)*(DATOS!$D$2:$D$20000=A137)*(DATOS!$I$2:$I$20000=B137)*(DATOS!$K$2:$K$20000=7))</f>
        <v>0</v>
      </c>
      <c r="S137">
        <f>SUMPRODUCT((DATOS!$G$2:$G$20000=CONFIG_METADATA!$B$4)*(DATOS!$D$2:$D$20000=A137)*(DATOS!$I$2:$I$20000=B137)*(DATOS!$K$2:$K$20000=8))</f>
        <v>0</v>
      </c>
      <c r="T137">
        <f>SUMPRODUCT((DATOS!$G$2:$G$20000=CONFIG_METADATA!$B$4)*(DATOS!$D$2:$D$20000=A137)*(DATOS!$I$2:$I$20000=B137)*(DATOS!$K$2:$K$20000=9))</f>
        <v>0</v>
      </c>
      <c r="U137">
        <f>SUMPRODUCT((DATOS!$G$2:$G$20000=CONFIG_METADATA!$B$4)*(DATOS!$D$2:$D$20000=A137)*(DATOS!$I$2:$I$20000=B137)*(DATOS!$K$2:$K$20000=10))</f>
        <v>0</v>
      </c>
    </row>
    <row r="138" spans="1:21" x14ac:dyDescent="0.2">
      <c r="A138" t="s">
        <v>80</v>
      </c>
      <c r="B138" t="s">
        <v>46</v>
      </c>
      <c r="C138" t="s">
        <v>25</v>
      </c>
      <c r="D138">
        <f>SUMPRODUCT((DATOS!$G$2:$G$20000=CONFIG_METADATA!$B$4)*(DATOS!$D$2:$D$20000=A138)*(DATOS!$I$2:$I$20000=B138))</f>
        <v>0</v>
      </c>
      <c r="E138" s="10" t="str">
        <f>IFERROR(SUMPRODUCT((DATOS!$G$2:$G$20000=CONFIG_METADATA!$B$4)*(DATOS!$D$2:$D$20000=A138)*(DATOS!$I$2:$I$20000=B138)*(DATOS!$K$2:$K$20000))/D138,"—")</f>
        <v>—</v>
      </c>
      <c r="F138" s="10" t="str" cm="1">
        <f t="array" ref="F138">IFERROR(_xlfn.STDEV.P(_xlfn._xlws.FILTER(DATOS!$K$2:$K$20000,(DATOS!$G$2:$G$20000=CONFIG_METADATA!$B$4)*(DATOS!$D$2:$D$20000=A138)*(DATOS!$I$2:$I$20000=B138))),"—")</f>
        <v>—</v>
      </c>
      <c r="G138" t="str" cm="1">
        <f t="array" ref="G138">IFERROR(_xlfn.MODE.SNGL(_xlfn._xlws.FILTER(DATOS!$K$2:$K$20000,(DATOS!$G$2:$G$20000=CONFIG_METADATA!$B$4)*(DATOS!$D$2:$D$20000=A138)*(DATOS!$I$2:$I$20000=B138))),"—")</f>
        <v>—</v>
      </c>
      <c r="H138" s="11" t="str">
        <f>IFERROR(SUMPRODUCT((DATOS!$G$2:$G$20000=CONFIG_METADATA!$B$4)*(DATOS!$D$2:$D$20000=A138)*(DATOS!$I$2:$I$20000=B138)*(DATOS!$L$2:$L$20000="S"))/D138,"—")</f>
        <v>—</v>
      </c>
      <c r="I138" s="11" t="str">
        <f>IFERROR(SUMPRODUCT((DATOS!$G$2:$G$20000=CONFIG_METADATA!$B$4)*(DATOS!$D$2:$D$20000=A138)*(DATOS!$I$2:$I$20000=B138)*(DATOS!$L$2:$L$20000="N"))/D138,"—")</f>
        <v>—</v>
      </c>
      <c r="J138" t="str" cm="1">
        <f t="array" ref="J138">IFERROR(_xlfn.MODE.SNGL(_xlfn._xlws.FILTER(DATOS!$K$2:$K$20000,(DATOS!$G$2:$G$20000=CONFIG_METADATA!$B$4)*(DATOS!$D$2:$D$20000=A138)*(DATOS!$I$2:$I$20000=B138)*(DATOS!$L$2:$L$20000="S"))),"—")</f>
        <v>—</v>
      </c>
      <c r="K138" t="str" cm="1">
        <f t="array" ref="K138">IFERROR(_xlfn.MODE.SNGL(_xlfn._xlws.FILTER(DATOS!$K$2:$K$20000,(DATOS!$G$2:$G$20000=CONFIG_METADATA!$B$4)*(DATOS!$D$2:$D$20000=A138)*(DATOS!$I$2:$I$20000=B138)*(DATOS!$L$2:$L$20000="N"))),"—")</f>
        <v>—</v>
      </c>
      <c r="L138">
        <f>SUMPRODUCT((DATOS!$G$2:$G$20000=CONFIG_METADATA!$B$4)*(DATOS!$D$2:$D$20000=A138)*(DATOS!$I$2:$I$20000=B138)*(DATOS!$K$2:$K$20000=1))</f>
        <v>0</v>
      </c>
      <c r="M138">
        <f>SUMPRODUCT((DATOS!$G$2:$G$20000=CONFIG_METADATA!$B$4)*(DATOS!$D$2:$D$20000=A138)*(DATOS!$I$2:$I$20000=B138)*(DATOS!$K$2:$K$20000=2))</f>
        <v>0</v>
      </c>
      <c r="N138">
        <f>SUMPRODUCT((DATOS!$G$2:$G$20000=CONFIG_METADATA!$B$4)*(DATOS!$D$2:$D$20000=A138)*(DATOS!$I$2:$I$20000=B138)*(DATOS!$K$2:$K$20000=3))</f>
        <v>0</v>
      </c>
      <c r="O138">
        <f>SUMPRODUCT((DATOS!$G$2:$G$20000=CONFIG_METADATA!$B$4)*(DATOS!$D$2:$D$20000=A138)*(DATOS!$I$2:$I$20000=B138)*(DATOS!$K$2:$K$20000=4))</f>
        <v>0</v>
      </c>
      <c r="P138">
        <f>SUMPRODUCT((DATOS!$G$2:$G$20000=CONFIG_METADATA!$B$4)*(DATOS!$D$2:$D$20000=A138)*(DATOS!$I$2:$I$20000=B138)*(DATOS!$K$2:$K$20000=5))</f>
        <v>0</v>
      </c>
      <c r="Q138">
        <f>SUMPRODUCT((DATOS!$G$2:$G$20000=CONFIG_METADATA!$B$4)*(DATOS!$D$2:$D$20000=A138)*(DATOS!$I$2:$I$20000=B138)*(DATOS!$K$2:$K$20000=6))</f>
        <v>0</v>
      </c>
      <c r="R138">
        <f>SUMPRODUCT((DATOS!$G$2:$G$20000=CONFIG_METADATA!$B$4)*(DATOS!$D$2:$D$20000=A138)*(DATOS!$I$2:$I$20000=B138)*(DATOS!$K$2:$K$20000=7))</f>
        <v>0</v>
      </c>
      <c r="S138">
        <f>SUMPRODUCT((DATOS!$G$2:$G$20000=CONFIG_METADATA!$B$4)*(DATOS!$D$2:$D$20000=A138)*(DATOS!$I$2:$I$20000=B138)*(DATOS!$K$2:$K$20000=8))</f>
        <v>0</v>
      </c>
      <c r="T138">
        <f>SUMPRODUCT((DATOS!$G$2:$G$20000=CONFIG_METADATA!$B$4)*(DATOS!$D$2:$D$20000=A138)*(DATOS!$I$2:$I$20000=B138)*(DATOS!$K$2:$K$20000=9))</f>
        <v>0</v>
      </c>
      <c r="U138">
        <f>SUMPRODUCT((DATOS!$G$2:$G$20000=CONFIG_METADATA!$B$4)*(DATOS!$D$2:$D$20000=A138)*(DATOS!$I$2:$I$20000=B138)*(DATOS!$K$2:$K$20000=10))</f>
        <v>0</v>
      </c>
    </row>
    <row r="139" spans="1:21" x14ac:dyDescent="0.2">
      <c r="A139" t="s">
        <v>80</v>
      </c>
      <c r="B139" t="s">
        <v>47</v>
      </c>
      <c r="C139" t="s">
        <v>25</v>
      </c>
      <c r="D139">
        <f>SUMPRODUCT((DATOS!$G$2:$G$20000=CONFIG_METADATA!$B$4)*(DATOS!$D$2:$D$20000=A139)*(DATOS!$I$2:$I$20000=B139))</f>
        <v>0</v>
      </c>
      <c r="E139" s="10" t="str">
        <f>IFERROR(SUMPRODUCT((DATOS!$G$2:$G$20000=CONFIG_METADATA!$B$4)*(DATOS!$D$2:$D$20000=A139)*(DATOS!$I$2:$I$20000=B139)*(DATOS!$K$2:$K$20000))/D139,"—")</f>
        <v>—</v>
      </c>
      <c r="F139" s="10" t="str" cm="1">
        <f t="array" ref="F139">IFERROR(_xlfn.STDEV.P(_xlfn._xlws.FILTER(DATOS!$K$2:$K$20000,(DATOS!$G$2:$G$20000=CONFIG_METADATA!$B$4)*(DATOS!$D$2:$D$20000=A139)*(DATOS!$I$2:$I$20000=B139))),"—")</f>
        <v>—</v>
      </c>
      <c r="G139" t="str" cm="1">
        <f t="array" ref="G139">IFERROR(_xlfn.MODE.SNGL(_xlfn._xlws.FILTER(DATOS!$K$2:$K$20000,(DATOS!$G$2:$G$20000=CONFIG_METADATA!$B$4)*(DATOS!$D$2:$D$20000=A139)*(DATOS!$I$2:$I$20000=B139))),"—")</f>
        <v>—</v>
      </c>
      <c r="H139" s="11" t="str">
        <f>IFERROR(SUMPRODUCT((DATOS!$G$2:$G$20000=CONFIG_METADATA!$B$4)*(DATOS!$D$2:$D$20000=A139)*(DATOS!$I$2:$I$20000=B139)*(DATOS!$L$2:$L$20000="S"))/D139,"—")</f>
        <v>—</v>
      </c>
      <c r="I139" s="11" t="str">
        <f>IFERROR(SUMPRODUCT((DATOS!$G$2:$G$20000=CONFIG_METADATA!$B$4)*(DATOS!$D$2:$D$20000=A139)*(DATOS!$I$2:$I$20000=B139)*(DATOS!$L$2:$L$20000="N"))/D139,"—")</f>
        <v>—</v>
      </c>
      <c r="J139" t="str" cm="1">
        <f t="array" ref="J139">IFERROR(_xlfn.MODE.SNGL(_xlfn._xlws.FILTER(DATOS!$K$2:$K$20000,(DATOS!$G$2:$G$20000=CONFIG_METADATA!$B$4)*(DATOS!$D$2:$D$20000=A139)*(DATOS!$I$2:$I$20000=B139)*(DATOS!$L$2:$L$20000="S"))),"—")</f>
        <v>—</v>
      </c>
      <c r="K139" t="str" cm="1">
        <f t="array" ref="K139">IFERROR(_xlfn.MODE.SNGL(_xlfn._xlws.FILTER(DATOS!$K$2:$K$20000,(DATOS!$G$2:$G$20000=CONFIG_METADATA!$B$4)*(DATOS!$D$2:$D$20000=A139)*(DATOS!$I$2:$I$20000=B139)*(DATOS!$L$2:$L$20000="N"))),"—")</f>
        <v>—</v>
      </c>
      <c r="L139">
        <f>SUMPRODUCT((DATOS!$G$2:$G$20000=CONFIG_METADATA!$B$4)*(DATOS!$D$2:$D$20000=A139)*(DATOS!$I$2:$I$20000=B139)*(DATOS!$K$2:$K$20000=1))</f>
        <v>0</v>
      </c>
      <c r="M139">
        <f>SUMPRODUCT((DATOS!$G$2:$G$20000=CONFIG_METADATA!$B$4)*(DATOS!$D$2:$D$20000=A139)*(DATOS!$I$2:$I$20000=B139)*(DATOS!$K$2:$K$20000=2))</f>
        <v>0</v>
      </c>
      <c r="N139">
        <f>SUMPRODUCT((DATOS!$G$2:$G$20000=CONFIG_METADATA!$B$4)*(DATOS!$D$2:$D$20000=A139)*(DATOS!$I$2:$I$20000=B139)*(DATOS!$K$2:$K$20000=3))</f>
        <v>0</v>
      </c>
      <c r="O139">
        <f>SUMPRODUCT((DATOS!$G$2:$G$20000=CONFIG_METADATA!$B$4)*(DATOS!$D$2:$D$20000=A139)*(DATOS!$I$2:$I$20000=B139)*(DATOS!$K$2:$K$20000=4))</f>
        <v>0</v>
      </c>
      <c r="P139">
        <f>SUMPRODUCT((DATOS!$G$2:$G$20000=CONFIG_METADATA!$B$4)*(DATOS!$D$2:$D$20000=A139)*(DATOS!$I$2:$I$20000=B139)*(DATOS!$K$2:$K$20000=5))</f>
        <v>0</v>
      </c>
      <c r="Q139">
        <f>SUMPRODUCT((DATOS!$G$2:$G$20000=CONFIG_METADATA!$B$4)*(DATOS!$D$2:$D$20000=A139)*(DATOS!$I$2:$I$20000=B139)*(DATOS!$K$2:$K$20000=6))</f>
        <v>0</v>
      </c>
      <c r="R139">
        <f>SUMPRODUCT((DATOS!$G$2:$G$20000=CONFIG_METADATA!$B$4)*(DATOS!$D$2:$D$20000=A139)*(DATOS!$I$2:$I$20000=B139)*(DATOS!$K$2:$K$20000=7))</f>
        <v>0</v>
      </c>
      <c r="S139">
        <f>SUMPRODUCT((DATOS!$G$2:$G$20000=CONFIG_METADATA!$B$4)*(DATOS!$D$2:$D$20000=A139)*(DATOS!$I$2:$I$20000=B139)*(DATOS!$K$2:$K$20000=8))</f>
        <v>0</v>
      </c>
      <c r="T139">
        <f>SUMPRODUCT((DATOS!$G$2:$G$20000=CONFIG_METADATA!$B$4)*(DATOS!$D$2:$D$20000=A139)*(DATOS!$I$2:$I$20000=B139)*(DATOS!$K$2:$K$20000=9))</f>
        <v>0</v>
      </c>
      <c r="U139">
        <f>SUMPRODUCT((DATOS!$G$2:$G$20000=CONFIG_METADATA!$B$4)*(DATOS!$D$2:$D$20000=A139)*(DATOS!$I$2:$I$20000=B139)*(DATOS!$K$2:$K$20000=10))</f>
        <v>0</v>
      </c>
    </row>
    <row r="140" spans="1:21" x14ac:dyDescent="0.2">
      <c r="A140" t="s">
        <v>80</v>
      </c>
      <c r="B140" t="s">
        <v>48</v>
      </c>
      <c r="C140" t="s">
        <v>25</v>
      </c>
      <c r="D140">
        <f>SUMPRODUCT((DATOS!$G$2:$G$20000=CONFIG_METADATA!$B$4)*(DATOS!$D$2:$D$20000=A140)*(DATOS!$I$2:$I$20000=B140))</f>
        <v>0</v>
      </c>
      <c r="E140" s="10" t="str">
        <f>IFERROR(SUMPRODUCT((DATOS!$G$2:$G$20000=CONFIG_METADATA!$B$4)*(DATOS!$D$2:$D$20000=A140)*(DATOS!$I$2:$I$20000=B140)*(DATOS!$K$2:$K$20000))/D140,"—")</f>
        <v>—</v>
      </c>
      <c r="F140" s="10" t="str" cm="1">
        <f t="array" ref="F140">IFERROR(_xlfn.STDEV.P(_xlfn._xlws.FILTER(DATOS!$K$2:$K$20000,(DATOS!$G$2:$G$20000=CONFIG_METADATA!$B$4)*(DATOS!$D$2:$D$20000=A140)*(DATOS!$I$2:$I$20000=B140))),"—")</f>
        <v>—</v>
      </c>
      <c r="G140" t="str" cm="1">
        <f t="array" ref="G140">IFERROR(_xlfn.MODE.SNGL(_xlfn._xlws.FILTER(DATOS!$K$2:$K$20000,(DATOS!$G$2:$G$20000=CONFIG_METADATA!$B$4)*(DATOS!$D$2:$D$20000=A140)*(DATOS!$I$2:$I$20000=B140))),"—")</f>
        <v>—</v>
      </c>
      <c r="H140" s="11" t="str">
        <f>IFERROR(SUMPRODUCT((DATOS!$G$2:$G$20000=CONFIG_METADATA!$B$4)*(DATOS!$D$2:$D$20000=A140)*(DATOS!$I$2:$I$20000=B140)*(DATOS!$L$2:$L$20000="S"))/D140,"—")</f>
        <v>—</v>
      </c>
      <c r="I140" s="11" t="str">
        <f>IFERROR(SUMPRODUCT((DATOS!$G$2:$G$20000=CONFIG_METADATA!$B$4)*(DATOS!$D$2:$D$20000=A140)*(DATOS!$I$2:$I$20000=B140)*(DATOS!$L$2:$L$20000="N"))/D140,"—")</f>
        <v>—</v>
      </c>
      <c r="J140" t="str" cm="1">
        <f t="array" ref="J140">IFERROR(_xlfn.MODE.SNGL(_xlfn._xlws.FILTER(DATOS!$K$2:$K$20000,(DATOS!$G$2:$G$20000=CONFIG_METADATA!$B$4)*(DATOS!$D$2:$D$20000=A140)*(DATOS!$I$2:$I$20000=B140)*(DATOS!$L$2:$L$20000="S"))),"—")</f>
        <v>—</v>
      </c>
      <c r="K140" t="str" cm="1">
        <f t="array" ref="K140">IFERROR(_xlfn.MODE.SNGL(_xlfn._xlws.FILTER(DATOS!$K$2:$K$20000,(DATOS!$G$2:$G$20000=CONFIG_METADATA!$B$4)*(DATOS!$D$2:$D$20000=A140)*(DATOS!$I$2:$I$20000=B140)*(DATOS!$L$2:$L$20000="N"))),"—")</f>
        <v>—</v>
      </c>
      <c r="L140">
        <f>SUMPRODUCT((DATOS!$G$2:$G$20000=CONFIG_METADATA!$B$4)*(DATOS!$D$2:$D$20000=A140)*(DATOS!$I$2:$I$20000=B140)*(DATOS!$K$2:$K$20000=1))</f>
        <v>0</v>
      </c>
      <c r="M140">
        <f>SUMPRODUCT((DATOS!$G$2:$G$20000=CONFIG_METADATA!$B$4)*(DATOS!$D$2:$D$20000=A140)*(DATOS!$I$2:$I$20000=B140)*(DATOS!$K$2:$K$20000=2))</f>
        <v>0</v>
      </c>
      <c r="N140">
        <f>SUMPRODUCT((DATOS!$G$2:$G$20000=CONFIG_METADATA!$B$4)*(DATOS!$D$2:$D$20000=A140)*(DATOS!$I$2:$I$20000=B140)*(DATOS!$K$2:$K$20000=3))</f>
        <v>0</v>
      </c>
      <c r="O140">
        <f>SUMPRODUCT((DATOS!$G$2:$G$20000=CONFIG_METADATA!$B$4)*(DATOS!$D$2:$D$20000=A140)*(DATOS!$I$2:$I$20000=B140)*(DATOS!$K$2:$K$20000=4))</f>
        <v>0</v>
      </c>
      <c r="P140">
        <f>SUMPRODUCT((DATOS!$G$2:$G$20000=CONFIG_METADATA!$B$4)*(DATOS!$D$2:$D$20000=A140)*(DATOS!$I$2:$I$20000=B140)*(DATOS!$K$2:$K$20000=5))</f>
        <v>0</v>
      </c>
      <c r="Q140">
        <f>SUMPRODUCT((DATOS!$G$2:$G$20000=CONFIG_METADATA!$B$4)*(DATOS!$D$2:$D$20000=A140)*(DATOS!$I$2:$I$20000=B140)*(DATOS!$K$2:$K$20000=6))</f>
        <v>0</v>
      </c>
      <c r="R140">
        <f>SUMPRODUCT((DATOS!$G$2:$G$20000=CONFIG_METADATA!$B$4)*(DATOS!$D$2:$D$20000=A140)*(DATOS!$I$2:$I$20000=B140)*(DATOS!$K$2:$K$20000=7))</f>
        <v>0</v>
      </c>
      <c r="S140">
        <f>SUMPRODUCT((DATOS!$G$2:$G$20000=CONFIG_METADATA!$B$4)*(DATOS!$D$2:$D$20000=A140)*(DATOS!$I$2:$I$20000=B140)*(DATOS!$K$2:$K$20000=8))</f>
        <v>0</v>
      </c>
      <c r="T140">
        <f>SUMPRODUCT((DATOS!$G$2:$G$20000=CONFIG_METADATA!$B$4)*(DATOS!$D$2:$D$20000=A140)*(DATOS!$I$2:$I$20000=B140)*(DATOS!$K$2:$K$20000=9))</f>
        <v>0</v>
      </c>
      <c r="U140">
        <f>SUMPRODUCT((DATOS!$G$2:$G$20000=CONFIG_METADATA!$B$4)*(DATOS!$D$2:$D$20000=A140)*(DATOS!$I$2:$I$20000=B140)*(DATOS!$K$2:$K$20000=10))</f>
        <v>0</v>
      </c>
    </row>
    <row r="141" spans="1:21" x14ac:dyDescent="0.2">
      <c r="A141" t="s">
        <v>80</v>
      </c>
      <c r="B141" t="s">
        <v>49</v>
      </c>
      <c r="C141" t="s">
        <v>25</v>
      </c>
      <c r="D141">
        <f>SUMPRODUCT((DATOS!$G$2:$G$20000=CONFIG_METADATA!$B$4)*(DATOS!$D$2:$D$20000=A141)*(DATOS!$I$2:$I$20000=B141))</f>
        <v>0</v>
      </c>
      <c r="E141" s="10" t="str">
        <f>IFERROR(SUMPRODUCT((DATOS!$G$2:$G$20000=CONFIG_METADATA!$B$4)*(DATOS!$D$2:$D$20000=A141)*(DATOS!$I$2:$I$20000=B141)*(DATOS!$K$2:$K$20000))/D141,"—")</f>
        <v>—</v>
      </c>
      <c r="F141" s="10" t="str" cm="1">
        <f t="array" ref="F141">IFERROR(_xlfn.STDEV.P(_xlfn._xlws.FILTER(DATOS!$K$2:$K$20000,(DATOS!$G$2:$G$20000=CONFIG_METADATA!$B$4)*(DATOS!$D$2:$D$20000=A141)*(DATOS!$I$2:$I$20000=B141))),"—")</f>
        <v>—</v>
      </c>
      <c r="G141" t="str" cm="1">
        <f t="array" ref="G141">IFERROR(_xlfn.MODE.SNGL(_xlfn._xlws.FILTER(DATOS!$K$2:$K$20000,(DATOS!$G$2:$G$20000=CONFIG_METADATA!$B$4)*(DATOS!$D$2:$D$20000=A141)*(DATOS!$I$2:$I$20000=B141))),"—")</f>
        <v>—</v>
      </c>
      <c r="H141" s="11" t="str">
        <f>IFERROR(SUMPRODUCT((DATOS!$G$2:$G$20000=CONFIG_METADATA!$B$4)*(DATOS!$D$2:$D$20000=A141)*(DATOS!$I$2:$I$20000=B141)*(DATOS!$L$2:$L$20000="S"))/D141,"—")</f>
        <v>—</v>
      </c>
      <c r="I141" s="11" t="str">
        <f>IFERROR(SUMPRODUCT((DATOS!$G$2:$G$20000=CONFIG_METADATA!$B$4)*(DATOS!$D$2:$D$20000=A141)*(DATOS!$I$2:$I$20000=B141)*(DATOS!$L$2:$L$20000="N"))/D141,"—")</f>
        <v>—</v>
      </c>
      <c r="J141" t="str" cm="1">
        <f t="array" ref="J141">IFERROR(_xlfn.MODE.SNGL(_xlfn._xlws.FILTER(DATOS!$K$2:$K$20000,(DATOS!$G$2:$G$20000=CONFIG_METADATA!$B$4)*(DATOS!$D$2:$D$20000=A141)*(DATOS!$I$2:$I$20000=B141)*(DATOS!$L$2:$L$20000="S"))),"—")</f>
        <v>—</v>
      </c>
      <c r="K141" t="str" cm="1">
        <f t="array" ref="K141">IFERROR(_xlfn.MODE.SNGL(_xlfn._xlws.FILTER(DATOS!$K$2:$K$20000,(DATOS!$G$2:$G$20000=CONFIG_METADATA!$B$4)*(DATOS!$D$2:$D$20000=A141)*(DATOS!$I$2:$I$20000=B141)*(DATOS!$L$2:$L$20000="N"))),"—")</f>
        <v>—</v>
      </c>
      <c r="L141">
        <f>SUMPRODUCT((DATOS!$G$2:$G$20000=CONFIG_METADATA!$B$4)*(DATOS!$D$2:$D$20000=A141)*(DATOS!$I$2:$I$20000=B141)*(DATOS!$K$2:$K$20000=1))</f>
        <v>0</v>
      </c>
      <c r="M141">
        <f>SUMPRODUCT((DATOS!$G$2:$G$20000=CONFIG_METADATA!$B$4)*(DATOS!$D$2:$D$20000=A141)*(DATOS!$I$2:$I$20000=B141)*(DATOS!$K$2:$K$20000=2))</f>
        <v>0</v>
      </c>
      <c r="N141">
        <f>SUMPRODUCT((DATOS!$G$2:$G$20000=CONFIG_METADATA!$B$4)*(DATOS!$D$2:$D$20000=A141)*(DATOS!$I$2:$I$20000=B141)*(DATOS!$K$2:$K$20000=3))</f>
        <v>0</v>
      </c>
      <c r="O141">
        <f>SUMPRODUCT((DATOS!$G$2:$G$20000=CONFIG_METADATA!$B$4)*(DATOS!$D$2:$D$20000=A141)*(DATOS!$I$2:$I$20000=B141)*(DATOS!$K$2:$K$20000=4))</f>
        <v>0</v>
      </c>
      <c r="P141">
        <f>SUMPRODUCT((DATOS!$G$2:$G$20000=CONFIG_METADATA!$B$4)*(DATOS!$D$2:$D$20000=A141)*(DATOS!$I$2:$I$20000=B141)*(DATOS!$K$2:$K$20000=5))</f>
        <v>0</v>
      </c>
      <c r="Q141">
        <f>SUMPRODUCT((DATOS!$G$2:$G$20000=CONFIG_METADATA!$B$4)*(DATOS!$D$2:$D$20000=A141)*(DATOS!$I$2:$I$20000=B141)*(DATOS!$K$2:$K$20000=6))</f>
        <v>0</v>
      </c>
      <c r="R141">
        <f>SUMPRODUCT((DATOS!$G$2:$G$20000=CONFIG_METADATA!$B$4)*(DATOS!$D$2:$D$20000=A141)*(DATOS!$I$2:$I$20000=B141)*(DATOS!$K$2:$K$20000=7))</f>
        <v>0</v>
      </c>
      <c r="S141">
        <f>SUMPRODUCT((DATOS!$G$2:$G$20000=CONFIG_METADATA!$B$4)*(DATOS!$D$2:$D$20000=A141)*(DATOS!$I$2:$I$20000=B141)*(DATOS!$K$2:$K$20000=8))</f>
        <v>0</v>
      </c>
      <c r="T141">
        <f>SUMPRODUCT((DATOS!$G$2:$G$20000=CONFIG_METADATA!$B$4)*(DATOS!$D$2:$D$20000=A141)*(DATOS!$I$2:$I$20000=B141)*(DATOS!$K$2:$K$20000=9))</f>
        <v>0</v>
      </c>
      <c r="U141">
        <f>SUMPRODUCT((DATOS!$G$2:$G$20000=CONFIG_METADATA!$B$4)*(DATOS!$D$2:$D$20000=A141)*(DATOS!$I$2:$I$20000=B141)*(DATOS!$K$2:$K$20000=10))</f>
        <v>0</v>
      </c>
    </row>
    <row r="142" spans="1:21" x14ac:dyDescent="0.2">
      <c r="A142" t="s">
        <v>80</v>
      </c>
      <c r="B142" t="s">
        <v>50</v>
      </c>
      <c r="C142" t="s">
        <v>25</v>
      </c>
      <c r="D142">
        <f>SUMPRODUCT((DATOS!$G$2:$G$20000=CONFIG_METADATA!$B$4)*(DATOS!$D$2:$D$20000=A142)*(DATOS!$I$2:$I$20000=B142))</f>
        <v>0</v>
      </c>
      <c r="E142" s="10" t="str">
        <f>IFERROR(SUMPRODUCT((DATOS!$G$2:$G$20000=CONFIG_METADATA!$B$4)*(DATOS!$D$2:$D$20000=A142)*(DATOS!$I$2:$I$20000=B142)*(DATOS!$K$2:$K$20000))/D142,"—")</f>
        <v>—</v>
      </c>
      <c r="F142" s="10" t="str" cm="1">
        <f t="array" ref="F142">IFERROR(_xlfn.STDEV.P(_xlfn._xlws.FILTER(DATOS!$K$2:$K$20000,(DATOS!$G$2:$G$20000=CONFIG_METADATA!$B$4)*(DATOS!$D$2:$D$20000=A142)*(DATOS!$I$2:$I$20000=B142))),"—")</f>
        <v>—</v>
      </c>
      <c r="G142" t="str" cm="1">
        <f t="array" ref="G142">IFERROR(_xlfn.MODE.SNGL(_xlfn._xlws.FILTER(DATOS!$K$2:$K$20000,(DATOS!$G$2:$G$20000=CONFIG_METADATA!$B$4)*(DATOS!$D$2:$D$20000=A142)*(DATOS!$I$2:$I$20000=B142))),"—")</f>
        <v>—</v>
      </c>
      <c r="H142" s="11" t="str">
        <f>IFERROR(SUMPRODUCT((DATOS!$G$2:$G$20000=CONFIG_METADATA!$B$4)*(DATOS!$D$2:$D$20000=A142)*(DATOS!$I$2:$I$20000=B142)*(DATOS!$L$2:$L$20000="S"))/D142,"—")</f>
        <v>—</v>
      </c>
      <c r="I142" s="11" t="str">
        <f>IFERROR(SUMPRODUCT((DATOS!$G$2:$G$20000=CONFIG_METADATA!$B$4)*(DATOS!$D$2:$D$20000=A142)*(DATOS!$I$2:$I$20000=B142)*(DATOS!$L$2:$L$20000="N"))/D142,"—")</f>
        <v>—</v>
      </c>
      <c r="J142" t="str" cm="1">
        <f t="array" ref="J142">IFERROR(_xlfn.MODE.SNGL(_xlfn._xlws.FILTER(DATOS!$K$2:$K$20000,(DATOS!$G$2:$G$20000=CONFIG_METADATA!$B$4)*(DATOS!$D$2:$D$20000=A142)*(DATOS!$I$2:$I$20000=B142)*(DATOS!$L$2:$L$20000="S"))),"—")</f>
        <v>—</v>
      </c>
      <c r="K142" t="str" cm="1">
        <f t="array" ref="K142">IFERROR(_xlfn.MODE.SNGL(_xlfn._xlws.FILTER(DATOS!$K$2:$K$20000,(DATOS!$G$2:$G$20000=CONFIG_METADATA!$B$4)*(DATOS!$D$2:$D$20000=A142)*(DATOS!$I$2:$I$20000=B142)*(DATOS!$L$2:$L$20000="N"))),"—")</f>
        <v>—</v>
      </c>
      <c r="L142">
        <f>SUMPRODUCT((DATOS!$G$2:$G$20000=CONFIG_METADATA!$B$4)*(DATOS!$D$2:$D$20000=A142)*(DATOS!$I$2:$I$20000=B142)*(DATOS!$K$2:$K$20000=1))</f>
        <v>0</v>
      </c>
      <c r="M142">
        <f>SUMPRODUCT((DATOS!$G$2:$G$20000=CONFIG_METADATA!$B$4)*(DATOS!$D$2:$D$20000=A142)*(DATOS!$I$2:$I$20000=B142)*(DATOS!$K$2:$K$20000=2))</f>
        <v>0</v>
      </c>
      <c r="N142">
        <f>SUMPRODUCT((DATOS!$G$2:$G$20000=CONFIG_METADATA!$B$4)*(DATOS!$D$2:$D$20000=A142)*(DATOS!$I$2:$I$20000=B142)*(DATOS!$K$2:$K$20000=3))</f>
        <v>0</v>
      </c>
      <c r="O142">
        <f>SUMPRODUCT((DATOS!$G$2:$G$20000=CONFIG_METADATA!$B$4)*(DATOS!$D$2:$D$20000=A142)*(DATOS!$I$2:$I$20000=B142)*(DATOS!$K$2:$K$20000=4))</f>
        <v>0</v>
      </c>
      <c r="P142">
        <f>SUMPRODUCT((DATOS!$G$2:$G$20000=CONFIG_METADATA!$B$4)*(DATOS!$D$2:$D$20000=A142)*(DATOS!$I$2:$I$20000=B142)*(DATOS!$K$2:$K$20000=5))</f>
        <v>0</v>
      </c>
      <c r="Q142">
        <f>SUMPRODUCT((DATOS!$G$2:$G$20000=CONFIG_METADATA!$B$4)*(DATOS!$D$2:$D$20000=A142)*(DATOS!$I$2:$I$20000=B142)*(DATOS!$K$2:$K$20000=6))</f>
        <v>0</v>
      </c>
      <c r="R142">
        <f>SUMPRODUCT((DATOS!$G$2:$G$20000=CONFIG_METADATA!$B$4)*(DATOS!$D$2:$D$20000=A142)*(DATOS!$I$2:$I$20000=B142)*(DATOS!$K$2:$K$20000=7))</f>
        <v>0</v>
      </c>
      <c r="S142">
        <f>SUMPRODUCT((DATOS!$G$2:$G$20000=CONFIG_METADATA!$B$4)*(DATOS!$D$2:$D$20000=A142)*(DATOS!$I$2:$I$20000=B142)*(DATOS!$K$2:$K$20000=8))</f>
        <v>0</v>
      </c>
      <c r="T142">
        <f>SUMPRODUCT((DATOS!$G$2:$G$20000=CONFIG_METADATA!$B$4)*(DATOS!$D$2:$D$20000=A142)*(DATOS!$I$2:$I$20000=B142)*(DATOS!$K$2:$K$20000=9))</f>
        <v>0</v>
      </c>
      <c r="U142">
        <f>SUMPRODUCT((DATOS!$G$2:$G$20000=CONFIG_METADATA!$B$4)*(DATOS!$D$2:$D$20000=A142)*(DATOS!$I$2:$I$20000=B142)*(DATOS!$K$2:$K$20000=10))</f>
        <v>0</v>
      </c>
    </row>
    <row r="143" spans="1:21" x14ac:dyDescent="0.2">
      <c r="A143" t="s">
        <v>81</v>
      </c>
      <c r="B143" t="s">
        <v>15</v>
      </c>
      <c r="C143" t="s">
        <v>12</v>
      </c>
      <c r="D143">
        <f>SUMPRODUCT((DATOS!$G$2:$G$20000=CONFIG_METADATA!$B$4)*(DATOS!$D$2:$D$20000=A143)*(DATOS!$I$2:$I$20000=B143))</f>
        <v>0</v>
      </c>
      <c r="E143" s="10" t="str">
        <f>IFERROR(SUMPRODUCT((DATOS!$G$2:$G$20000=CONFIG_METADATA!$B$4)*(DATOS!$D$2:$D$20000=A143)*(DATOS!$I$2:$I$20000=B143)*(DATOS!$K$2:$K$20000))/D143,"—")</f>
        <v>—</v>
      </c>
      <c r="F143" s="10" t="str" cm="1">
        <f t="array" ref="F143">IFERROR(_xlfn.STDEV.P(_xlfn._xlws.FILTER(DATOS!$K$2:$K$20000,(DATOS!$G$2:$G$20000=CONFIG_METADATA!$B$4)*(DATOS!$D$2:$D$20000=A143)*(DATOS!$I$2:$I$20000=B143))),"—")</f>
        <v>—</v>
      </c>
      <c r="G143" t="str" cm="1">
        <f t="array" ref="G143">IFERROR(_xlfn.MODE.SNGL(_xlfn._xlws.FILTER(DATOS!$K$2:$K$20000,(DATOS!$G$2:$G$20000=CONFIG_METADATA!$B$4)*(DATOS!$D$2:$D$20000=A143)*(DATOS!$I$2:$I$20000=B143))),"—")</f>
        <v>—</v>
      </c>
      <c r="H143" s="11" t="str">
        <f>IFERROR(SUMPRODUCT((DATOS!$G$2:$G$20000=CONFIG_METADATA!$B$4)*(DATOS!$D$2:$D$20000=A143)*(DATOS!$I$2:$I$20000=B143)*(DATOS!$L$2:$L$20000="S"))/D143,"—")</f>
        <v>—</v>
      </c>
      <c r="I143" s="11" t="str">
        <f>IFERROR(SUMPRODUCT((DATOS!$G$2:$G$20000=CONFIG_METADATA!$B$4)*(DATOS!$D$2:$D$20000=A143)*(DATOS!$I$2:$I$20000=B143)*(DATOS!$L$2:$L$20000="N"))/D143,"—")</f>
        <v>—</v>
      </c>
      <c r="J143" t="str" cm="1">
        <f t="array" ref="J143">IFERROR(_xlfn.MODE.SNGL(_xlfn._xlws.FILTER(DATOS!$K$2:$K$20000,(DATOS!$G$2:$G$20000=CONFIG_METADATA!$B$4)*(DATOS!$D$2:$D$20000=A143)*(DATOS!$I$2:$I$20000=B143)*(DATOS!$L$2:$L$20000="S"))),"—")</f>
        <v>—</v>
      </c>
      <c r="K143" t="str" cm="1">
        <f t="array" ref="K143">IFERROR(_xlfn.MODE.SNGL(_xlfn._xlws.FILTER(DATOS!$K$2:$K$20000,(DATOS!$G$2:$G$20000=CONFIG_METADATA!$B$4)*(DATOS!$D$2:$D$20000=A143)*(DATOS!$I$2:$I$20000=B143)*(DATOS!$L$2:$L$20000="N"))),"—")</f>
        <v>—</v>
      </c>
      <c r="L143">
        <f>SUMPRODUCT((DATOS!$G$2:$G$20000=CONFIG_METADATA!$B$4)*(DATOS!$D$2:$D$20000=A143)*(DATOS!$I$2:$I$20000=B143)*(DATOS!$K$2:$K$20000=1))</f>
        <v>0</v>
      </c>
      <c r="M143">
        <f>SUMPRODUCT((DATOS!$G$2:$G$20000=CONFIG_METADATA!$B$4)*(DATOS!$D$2:$D$20000=A143)*(DATOS!$I$2:$I$20000=B143)*(DATOS!$K$2:$K$20000=2))</f>
        <v>0</v>
      </c>
      <c r="N143">
        <f>SUMPRODUCT((DATOS!$G$2:$G$20000=CONFIG_METADATA!$B$4)*(DATOS!$D$2:$D$20000=A143)*(DATOS!$I$2:$I$20000=B143)*(DATOS!$K$2:$K$20000=3))</f>
        <v>0</v>
      </c>
      <c r="O143">
        <f>SUMPRODUCT((DATOS!$G$2:$G$20000=CONFIG_METADATA!$B$4)*(DATOS!$D$2:$D$20000=A143)*(DATOS!$I$2:$I$20000=B143)*(DATOS!$K$2:$K$20000=4))</f>
        <v>0</v>
      </c>
      <c r="P143">
        <f>SUMPRODUCT((DATOS!$G$2:$G$20000=CONFIG_METADATA!$B$4)*(DATOS!$D$2:$D$20000=A143)*(DATOS!$I$2:$I$20000=B143)*(DATOS!$K$2:$K$20000=5))</f>
        <v>0</v>
      </c>
      <c r="Q143">
        <f>SUMPRODUCT((DATOS!$G$2:$G$20000=CONFIG_METADATA!$B$4)*(DATOS!$D$2:$D$20000=A143)*(DATOS!$I$2:$I$20000=B143)*(DATOS!$K$2:$K$20000=6))</f>
        <v>0</v>
      </c>
      <c r="R143">
        <f>SUMPRODUCT((DATOS!$G$2:$G$20000=CONFIG_METADATA!$B$4)*(DATOS!$D$2:$D$20000=A143)*(DATOS!$I$2:$I$20000=B143)*(DATOS!$K$2:$K$20000=7))</f>
        <v>0</v>
      </c>
      <c r="S143">
        <f>SUMPRODUCT((DATOS!$G$2:$G$20000=CONFIG_METADATA!$B$4)*(DATOS!$D$2:$D$20000=A143)*(DATOS!$I$2:$I$20000=B143)*(DATOS!$K$2:$K$20000=8))</f>
        <v>0</v>
      </c>
      <c r="T143">
        <f>SUMPRODUCT((DATOS!$G$2:$G$20000=CONFIG_METADATA!$B$4)*(DATOS!$D$2:$D$20000=A143)*(DATOS!$I$2:$I$20000=B143)*(DATOS!$K$2:$K$20000=9))</f>
        <v>0</v>
      </c>
      <c r="U143">
        <f>SUMPRODUCT((DATOS!$G$2:$G$20000=CONFIG_METADATA!$B$4)*(DATOS!$D$2:$D$20000=A143)*(DATOS!$I$2:$I$20000=B143)*(DATOS!$K$2:$K$20000=10))</f>
        <v>0</v>
      </c>
    </row>
    <row r="144" spans="1:21" x14ac:dyDescent="0.2">
      <c r="A144" t="s">
        <v>81</v>
      </c>
      <c r="B144" t="s">
        <v>19</v>
      </c>
      <c r="C144" t="s">
        <v>21</v>
      </c>
      <c r="D144">
        <f>SUMPRODUCT((DATOS!$G$2:$G$20000=CONFIG_METADATA!$B$4)*(DATOS!$D$2:$D$20000=A144)*(DATOS!$I$2:$I$20000=B144))</f>
        <v>0</v>
      </c>
      <c r="E144" s="10" t="str">
        <f>IFERROR(SUMPRODUCT((DATOS!$G$2:$G$20000=CONFIG_METADATA!$B$4)*(DATOS!$D$2:$D$20000=A144)*(DATOS!$I$2:$I$20000=B144)*(DATOS!$K$2:$K$20000))/D144,"—")</f>
        <v>—</v>
      </c>
      <c r="F144" s="10" t="str" cm="1">
        <f t="array" ref="F144">IFERROR(_xlfn.STDEV.P(_xlfn._xlws.FILTER(DATOS!$K$2:$K$20000,(DATOS!$G$2:$G$20000=CONFIG_METADATA!$B$4)*(DATOS!$D$2:$D$20000=A144)*(DATOS!$I$2:$I$20000=B144))),"—")</f>
        <v>—</v>
      </c>
      <c r="G144" t="str" cm="1">
        <f t="array" ref="G144">IFERROR(_xlfn.MODE.SNGL(_xlfn._xlws.FILTER(DATOS!$K$2:$K$20000,(DATOS!$G$2:$G$20000=CONFIG_METADATA!$B$4)*(DATOS!$D$2:$D$20000=A144)*(DATOS!$I$2:$I$20000=B144))),"—")</f>
        <v>—</v>
      </c>
      <c r="H144" s="11" t="str">
        <f>IFERROR(SUMPRODUCT((DATOS!$G$2:$G$20000=CONFIG_METADATA!$B$4)*(DATOS!$D$2:$D$20000=A144)*(DATOS!$I$2:$I$20000=B144)*(DATOS!$L$2:$L$20000="S"))/D144,"—")</f>
        <v>—</v>
      </c>
      <c r="I144" s="11" t="str">
        <f>IFERROR(SUMPRODUCT((DATOS!$G$2:$G$20000=CONFIG_METADATA!$B$4)*(DATOS!$D$2:$D$20000=A144)*(DATOS!$I$2:$I$20000=B144)*(DATOS!$L$2:$L$20000="N"))/D144,"—")</f>
        <v>—</v>
      </c>
      <c r="J144" t="str" cm="1">
        <f t="array" ref="J144">IFERROR(_xlfn.MODE.SNGL(_xlfn._xlws.FILTER(DATOS!$K$2:$K$20000,(DATOS!$G$2:$G$20000=CONFIG_METADATA!$B$4)*(DATOS!$D$2:$D$20000=A144)*(DATOS!$I$2:$I$20000=B144)*(DATOS!$L$2:$L$20000="S"))),"—")</f>
        <v>—</v>
      </c>
      <c r="K144" t="str" cm="1">
        <f t="array" ref="K144">IFERROR(_xlfn.MODE.SNGL(_xlfn._xlws.FILTER(DATOS!$K$2:$K$20000,(DATOS!$G$2:$G$20000=CONFIG_METADATA!$B$4)*(DATOS!$D$2:$D$20000=A144)*(DATOS!$I$2:$I$20000=B144)*(DATOS!$L$2:$L$20000="N"))),"—")</f>
        <v>—</v>
      </c>
      <c r="L144">
        <f>SUMPRODUCT((DATOS!$G$2:$G$20000=CONFIG_METADATA!$B$4)*(DATOS!$D$2:$D$20000=A144)*(DATOS!$I$2:$I$20000=B144)*(DATOS!$K$2:$K$20000=1))</f>
        <v>0</v>
      </c>
      <c r="M144">
        <f>SUMPRODUCT((DATOS!$G$2:$G$20000=CONFIG_METADATA!$B$4)*(DATOS!$D$2:$D$20000=A144)*(DATOS!$I$2:$I$20000=B144)*(DATOS!$K$2:$K$20000=2))</f>
        <v>0</v>
      </c>
      <c r="N144">
        <f>SUMPRODUCT((DATOS!$G$2:$G$20000=CONFIG_METADATA!$B$4)*(DATOS!$D$2:$D$20000=A144)*(DATOS!$I$2:$I$20000=B144)*(DATOS!$K$2:$K$20000=3))</f>
        <v>0</v>
      </c>
      <c r="O144">
        <f>SUMPRODUCT((DATOS!$G$2:$G$20000=CONFIG_METADATA!$B$4)*(DATOS!$D$2:$D$20000=A144)*(DATOS!$I$2:$I$20000=B144)*(DATOS!$K$2:$K$20000=4))</f>
        <v>0</v>
      </c>
      <c r="P144">
        <f>SUMPRODUCT((DATOS!$G$2:$G$20000=CONFIG_METADATA!$B$4)*(DATOS!$D$2:$D$20000=A144)*(DATOS!$I$2:$I$20000=B144)*(DATOS!$K$2:$K$20000=5))</f>
        <v>0</v>
      </c>
      <c r="Q144">
        <f>SUMPRODUCT((DATOS!$G$2:$G$20000=CONFIG_METADATA!$B$4)*(DATOS!$D$2:$D$20000=A144)*(DATOS!$I$2:$I$20000=B144)*(DATOS!$K$2:$K$20000=6))</f>
        <v>0</v>
      </c>
      <c r="R144">
        <f>SUMPRODUCT((DATOS!$G$2:$G$20000=CONFIG_METADATA!$B$4)*(DATOS!$D$2:$D$20000=A144)*(DATOS!$I$2:$I$20000=B144)*(DATOS!$K$2:$K$20000=7))</f>
        <v>0</v>
      </c>
      <c r="S144">
        <f>SUMPRODUCT((DATOS!$G$2:$G$20000=CONFIG_METADATA!$B$4)*(DATOS!$D$2:$D$20000=A144)*(DATOS!$I$2:$I$20000=B144)*(DATOS!$K$2:$K$20000=8))</f>
        <v>0</v>
      </c>
      <c r="T144">
        <f>SUMPRODUCT((DATOS!$G$2:$G$20000=CONFIG_METADATA!$B$4)*(DATOS!$D$2:$D$20000=A144)*(DATOS!$I$2:$I$20000=B144)*(DATOS!$K$2:$K$20000=9))</f>
        <v>0</v>
      </c>
      <c r="U144">
        <f>SUMPRODUCT((DATOS!$G$2:$G$20000=CONFIG_METADATA!$B$4)*(DATOS!$D$2:$D$20000=A144)*(DATOS!$I$2:$I$20000=B144)*(DATOS!$K$2:$K$20000=10))</f>
        <v>0</v>
      </c>
    </row>
    <row r="145" spans="1:21" x14ac:dyDescent="0.2">
      <c r="A145" t="s">
        <v>81</v>
      </c>
      <c r="B145" t="s">
        <v>22</v>
      </c>
      <c r="C145" t="s">
        <v>21</v>
      </c>
      <c r="D145">
        <f>SUMPRODUCT((DATOS!$G$2:$G$20000=CONFIG_METADATA!$B$4)*(DATOS!$D$2:$D$20000=A145)*(DATOS!$I$2:$I$20000=B145))</f>
        <v>0</v>
      </c>
      <c r="E145" s="10" t="str">
        <f>IFERROR(SUMPRODUCT((DATOS!$G$2:$G$20000=CONFIG_METADATA!$B$4)*(DATOS!$D$2:$D$20000=A145)*(DATOS!$I$2:$I$20000=B145)*(DATOS!$K$2:$K$20000))/D145,"—")</f>
        <v>—</v>
      </c>
      <c r="F145" s="10" t="str" cm="1">
        <f t="array" ref="F145">IFERROR(_xlfn.STDEV.P(_xlfn._xlws.FILTER(DATOS!$K$2:$K$20000,(DATOS!$G$2:$G$20000=CONFIG_METADATA!$B$4)*(DATOS!$D$2:$D$20000=A145)*(DATOS!$I$2:$I$20000=B145))),"—")</f>
        <v>—</v>
      </c>
      <c r="G145" t="str" cm="1">
        <f t="array" ref="G145">IFERROR(_xlfn.MODE.SNGL(_xlfn._xlws.FILTER(DATOS!$K$2:$K$20000,(DATOS!$G$2:$G$20000=CONFIG_METADATA!$B$4)*(DATOS!$D$2:$D$20000=A145)*(DATOS!$I$2:$I$20000=B145))),"—")</f>
        <v>—</v>
      </c>
      <c r="H145" s="11" t="str">
        <f>IFERROR(SUMPRODUCT((DATOS!$G$2:$G$20000=CONFIG_METADATA!$B$4)*(DATOS!$D$2:$D$20000=A145)*(DATOS!$I$2:$I$20000=B145)*(DATOS!$L$2:$L$20000="S"))/D145,"—")</f>
        <v>—</v>
      </c>
      <c r="I145" s="11" t="str">
        <f>IFERROR(SUMPRODUCT((DATOS!$G$2:$G$20000=CONFIG_METADATA!$B$4)*(DATOS!$D$2:$D$20000=A145)*(DATOS!$I$2:$I$20000=B145)*(DATOS!$L$2:$L$20000="N"))/D145,"—")</f>
        <v>—</v>
      </c>
      <c r="J145" t="str" cm="1">
        <f t="array" ref="J145">IFERROR(_xlfn.MODE.SNGL(_xlfn._xlws.FILTER(DATOS!$K$2:$K$20000,(DATOS!$G$2:$G$20000=CONFIG_METADATA!$B$4)*(DATOS!$D$2:$D$20000=A145)*(DATOS!$I$2:$I$20000=B145)*(DATOS!$L$2:$L$20000="S"))),"—")</f>
        <v>—</v>
      </c>
      <c r="K145" t="str" cm="1">
        <f t="array" ref="K145">IFERROR(_xlfn.MODE.SNGL(_xlfn._xlws.FILTER(DATOS!$K$2:$K$20000,(DATOS!$G$2:$G$20000=CONFIG_METADATA!$B$4)*(DATOS!$D$2:$D$20000=A145)*(DATOS!$I$2:$I$20000=B145)*(DATOS!$L$2:$L$20000="N"))),"—")</f>
        <v>—</v>
      </c>
      <c r="L145">
        <f>SUMPRODUCT((DATOS!$G$2:$G$20000=CONFIG_METADATA!$B$4)*(DATOS!$D$2:$D$20000=A145)*(DATOS!$I$2:$I$20000=B145)*(DATOS!$K$2:$K$20000=1))</f>
        <v>0</v>
      </c>
      <c r="M145">
        <f>SUMPRODUCT((DATOS!$G$2:$G$20000=CONFIG_METADATA!$B$4)*(DATOS!$D$2:$D$20000=A145)*(DATOS!$I$2:$I$20000=B145)*(DATOS!$K$2:$K$20000=2))</f>
        <v>0</v>
      </c>
      <c r="N145">
        <f>SUMPRODUCT((DATOS!$G$2:$G$20000=CONFIG_METADATA!$B$4)*(DATOS!$D$2:$D$20000=A145)*(DATOS!$I$2:$I$20000=B145)*(DATOS!$K$2:$K$20000=3))</f>
        <v>0</v>
      </c>
      <c r="O145">
        <f>SUMPRODUCT((DATOS!$G$2:$G$20000=CONFIG_METADATA!$B$4)*(DATOS!$D$2:$D$20000=A145)*(DATOS!$I$2:$I$20000=B145)*(DATOS!$K$2:$K$20000=4))</f>
        <v>0</v>
      </c>
      <c r="P145">
        <f>SUMPRODUCT((DATOS!$G$2:$G$20000=CONFIG_METADATA!$B$4)*(DATOS!$D$2:$D$20000=A145)*(DATOS!$I$2:$I$20000=B145)*(DATOS!$K$2:$K$20000=5))</f>
        <v>0</v>
      </c>
      <c r="Q145">
        <f>SUMPRODUCT((DATOS!$G$2:$G$20000=CONFIG_METADATA!$B$4)*(DATOS!$D$2:$D$20000=A145)*(DATOS!$I$2:$I$20000=B145)*(DATOS!$K$2:$K$20000=6))</f>
        <v>0</v>
      </c>
      <c r="R145">
        <f>SUMPRODUCT((DATOS!$G$2:$G$20000=CONFIG_METADATA!$B$4)*(DATOS!$D$2:$D$20000=A145)*(DATOS!$I$2:$I$20000=B145)*(DATOS!$K$2:$K$20000=7))</f>
        <v>0</v>
      </c>
      <c r="S145">
        <f>SUMPRODUCT((DATOS!$G$2:$G$20000=CONFIG_METADATA!$B$4)*(DATOS!$D$2:$D$20000=A145)*(DATOS!$I$2:$I$20000=B145)*(DATOS!$K$2:$K$20000=8))</f>
        <v>0</v>
      </c>
      <c r="T145">
        <f>SUMPRODUCT((DATOS!$G$2:$G$20000=CONFIG_METADATA!$B$4)*(DATOS!$D$2:$D$20000=A145)*(DATOS!$I$2:$I$20000=B145)*(DATOS!$K$2:$K$20000=9))</f>
        <v>0</v>
      </c>
      <c r="U145">
        <f>SUMPRODUCT((DATOS!$G$2:$G$20000=CONFIG_METADATA!$B$4)*(DATOS!$D$2:$D$20000=A145)*(DATOS!$I$2:$I$20000=B145)*(DATOS!$K$2:$K$20000=10))</f>
        <v>0</v>
      </c>
    </row>
    <row r="146" spans="1:21" x14ac:dyDescent="0.2">
      <c r="A146" t="s">
        <v>81</v>
      </c>
      <c r="B146" t="s">
        <v>51</v>
      </c>
      <c r="C146" t="s">
        <v>21</v>
      </c>
      <c r="D146">
        <f>SUMPRODUCT((DATOS!$G$2:$G$20000=CONFIG_METADATA!$B$4)*(DATOS!$D$2:$D$20000=A146)*(DATOS!$I$2:$I$20000=B146))</f>
        <v>0</v>
      </c>
      <c r="E146" s="10" t="str">
        <f>IFERROR(SUMPRODUCT((DATOS!$G$2:$G$20000=CONFIG_METADATA!$B$4)*(DATOS!$D$2:$D$20000=A146)*(DATOS!$I$2:$I$20000=B146)*(DATOS!$K$2:$K$20000))/D146,"—")</f>
        <v>—</v>
      </c>
      <c r="F146" s="10" t="str" cm="1">
        <f t="array" ref="F146">IFERROR(_xlfn.STDEV.P(_xlfn._xlws.FILTER(DATOS!$K$2:$K$20000,(DATOS!$G$2:$G$20000=CONFIG_METADATA!$B$4)*(DATOS!$D$2:$D$20000=A146)*(DATOS!$I$2:$I$20000=B146))),"—")</f>
        <v>—</v>
      </c>
      <c r="G146" t="str" cm="1">
        <f t="array" ref="G146">IFERROR(_xlfn.MODE.SNGL(_xlfn._xlws.FILTER(DATOS!$K$2:$K$20000,(DATOS!$G$2:$G$20000=CONFIG_METADATA!$B$4)*(DATOS!$D$2:$D$20000=A146)*(DATOS!$I$2:$I$20000=B146))),"—")</f>
        <v>—</v>
      </c>
      <c r="H146" s="11" t="str">
        <f>IFERROR(SUMPRODUCT((DATOS!$G$2:$G$20000=CONFIG_METADATA!$B$4)*(DATOS!$D$2:$D$20000=A146)*(DATOS!$I$2:$I$20000=B146)*(DATOS!$L$2:$L$20000="S"))/D146,"—")</f>
        <v>—</v>
      </c>
      <c r="I146" s="11" t="str">
        <f>IFERROR(SUMPRODUCT((DATOS!$G$2:$G$20000=CONFIG_METADATA!$B$4)*(DATOS!$D$2:$D$20000=A146)*(DATOS!$I$2:$I$20000=B146)*(DATOS!$L$2:$L$20000="N"))/D146,"—")</f>
        <v>—</v>
      </c>
      <c r="J146" t="str" cm="1">
        <f t="array" ref="J146">IFERROR(_xlfn.MODE.SNGL(_xlfn._xlws.FILTER(DATOS!$K$2:$K$20000,(DATOS!$G$2:$G$20000=CONFIG_METADATA!$B$4)*(DATOS!$D$2:$D$20000=A146)*(DATOS!$I$2:$I$20000=B146)*(DATOS!$L$2:$L$20000="S"))),"—")</f>
        <v>—</v>
      </c>
      <c r="K146" t="str" cm="1">
        <f t="array" ref="K146">IFERROR(_xlfn.MODE.SNGL(_xlfn._xlws.FILTER(DATOS!$K$2:$K$20000,(DATOS!$G$2:$G$20000=CONFIG_METADATA!$B$4)*(DATOS!$D$2:$D$20000=A146)*(DATOS!$I$2:$I$20000=B146)*(DATOS!$L$2:$L$20000="N"))),"—")</f>
        <v>—</v>
      </c>
      <c r="L146">
        <f>SUMPRODUCT((DATOS!$G$2:$G$20000=CONFIG_METADATA!$B$4)*(DATOS!$D$2:$D$20000=A146)*(DATOS!$I$2:$I$20000=B146)*(DATOS!$K$2:$K$20000=1))</f>
        <v>0</v>
      </c>
      <c r="M146">
        <f>SUMPRODUCT((DATOS!$G$2:$G$20000=CONFIG_METADATA!$B$4)*(DATOS!$D$2:$D$20000=A146)*(DATOS!$I$2:$I$20000=B146)*(DATOS!$K$2:$K$20000=2))</f>
        <v>0</v>
      </c>
      <c r="N146">
        <f>SUMPRODUCT((DATOS!$G$2:$G$20000=CONFIG_METADATA!$B$4)*(DATOS!$D$2:$D$20000=A146)*(DATOS!$I$2:$I$20000=B146)*(DATOS!$K$2:$K$20000=3))</f>
        <v>0</v>
      </c>
      <c r="O146">
        <f>SUMPRODUCT((DATOS!$G$2:$G$20000=CONFIG_METADATA!$B$4)*(DATOS!$D$2:$D$20000=A146)*(DATOS!$I$2:$I$20000=B146)*(DATOS!$K$2:$K$20000=4))</f>
        <v>0</v>
      </c>
      <c r="P146">
        <f>SUMPRODUCT((DATOS!$G$2:$G$20000=CONFIG_METADATA!$B$4)*(DATOS!$D$2:$D$20000=A146)*(DATOS!$I$2:$I$20000=B146)*(DATOS!$K$2:$K$20000=5))</f>
        <v>0</v>
      </c>
      <c r="Q146">
        <f>SUMPRODUCT((DATOS!$G$2:$G$20000=CONFIG_METADATA!$B$4)*(DATOS!$D$2:$D$20000=A146)*(DATOS!$I$2:$I$20000=B146)*(DATOS!$K$2:$K$20000=6))</f>
        <v>0</v>
      </c>
      <c r="R146">
        <f>SUMPRODUCT((DATOS!$G$2:$G$20000=CONFIG_METADATA!$B$4)*(DATOS!$D$2:$D$20000=A146)*(DATOS!$I$2:$I$20000=B146)*(DATOS!$K$2:$K$20000=7))</f>
        <v>0</v>
      </c>
      <c r="S146">
        <f>SUMPRODUCT((DATOS!$G$2:$G$20000=CONFIG_METADATA!$B$4)*(DATOS!$D$2:$D$20000=A146)*(DATOS!$I$2:$I$20000=B146)*(DATOS!$K$2:$K$20000=8))</f>
        <v>0</v>
      </c>
      <c r="T146">
        <f>SUMPRODUCT((DATOS!$G$2:$G$20000=CONFIG_METADATA!$B$4)*(DATOS!$D$2:$D$20000=A146)*(DATOS!$I$2:$I$20000=B146)*(DATOS!$K$2:$K$20000=9))</f>
        <v>0</v>
      </c>
      <c r="U146">
        <f>SUMPRODUCT((DATOS!$G$2:$G$20000=CONFIG_METADATA!$B$4)*(DATOS!$D$2:$D$20000=A146)*(DATOS!$I$2:$I$20000=B146)*(DATOS!$K$2:$K$20000=10))</f>
        <v>0</v>
      </c>
    </row>
    <row r="147" spans="1:21" x14ac:dyDescent="0.2">
      <c r="A147" t="s">
        <v>81</v>
      </c>
      <c r="B147" t="s">
        <v>55</v>
      </c>
      <c r="C147" t="s">
        <v>21</v>
      </c>
      <c r="D147">
        <f>SUMPRODUCT((DATOS!$G$2:$G$20000=CONFIG_METADATA!$B$4)*(DATOS!$D$2:$D$20000=A147)*(DATOS!$I$2:$I$20000=B147))</f>
        <v>0</v>
      </c>
      <c r="E147" s="10" t="str">
        <f>IFERROR(SUMPRODUCT((DATOS!$G$2:$G$20000=CONFIG_METADATA!$B$4)*(DATOS!$D$2:$D$20000=A147)*(DATOS!$I$2:$I$20000=B147)*(DATOS!$K$2:$K$20000))/D147,"—")</f>
        <v>—</v>
      </c>
      <c r="F147" s="10" t="str" cm="1">
        <f t="array" ref="F147">IFERROR(_xlfn.STDEV.P(_xlfn._xlws.FILTER(DATOS!$K$2:$K$20000,(DATOS!$G$2:$G$20000=CONFIG_METADATA!$B$4)*(DATOS!$D$2:$D$20000=A147)*(DATOS!$I$2:$I$20000=B147))),"—")</f>
        <v>—</v>
      </c>
      <c r="G147" t="str" cm="1">
        <f t="array" ref="G147">IFERROR(_xlfn.MODE.SNGL(_xlfn._xlws.FILTER(DATOS!$K$2:$K$20000,(DATOS!$G$2:$G$20000=CONFIG_METADATA!$B$4)*(DATOS!$D$2:$D$20000=A147)*(DATOS!$I$2:$I$20000=B147))),"—")</f>
        <v>—</v>
      </c>
      <c r="H147" s="11" t="str">
        <f>IFERROR(SUMPRODUCT((DATOS!$G$2:$G$20000=CONFIG_METADATA!$B$4)*(DATOS!$D$2:$D$20000=A147)*(DATOS!$I$2:$I$20000=B147)*(DATOS!$L$2:$L$20000="S"))/D147,"—")</f>
        <v>—</v>
      </c>
      <c r="I147" s="11" t="str">
        <f>IFERROR(SUMPRODUCT((DATOS!$G$2:$G$20000=CONFIG_METADATA!$B$4)*(DATOS!$D$2:$D$20000=A147)*(DATOS!$I$2:$I$20000=B147)*(DATOS!$L$2:$L$20000="N"))/D147,"—")</f>
        <v>—</v>
      </c>
      <c r="J147" t="str" cm="1">
        <f t="array" ref="J147">IFERROR(_xlfn.MODE.SNGL(_xlfn._xlws.FILTER(DATOS!$K$2:$K$20000,(DATOS!$G$2:$G$20000=CONFIG_METADATA!$B$4)*(DATOS!$D$2:$D$20000=A147)*(DATOS!$I$2:$I$20000=B147)*(DATOS!$L$2:$L$20000="S"))),"—")</f>
        <v>—</v>
      </c>
      <c r="K147" t="str" cm="1">
        <f t="array" ref="K147">IFERROR(_xlfn.MODE.SNGL(_xlfn._xlws.FILTER(DATOS!$K$2:$K$20000,(DATOS!$G$2:$G$20000=CONFIG_METADATA!$B$4)*(DATOS!$D$2:$D$20000=A147)*(DATOS!$I$2:$I$20000=B147)*(DATOS!$L$2:$L$20000="N"))),"—")</f>
        <v>—</v>
      </c>
      <c r="L147">
        <f>SUMPRODUCT((DATOS!$G$2:$G$20000=CONFIG_METADATA!$B$4)*(DATOS!$D$2:$D$20000=A147)*(DATOS!$I$2:$I$20000=B147)*(DATOS!$K$2:$K$20000=1))</f>
        <v>0</v>
      </c>
      <c r="M147">
        <f>SUMPRODUCT((DATOS!$G$2:$G$20000=CONFIG_METADATA!$B$4)*(DATOS!$D$2:$D$20000=A147)*(DATOS!$I$2:$I$20000=B147)*(DATOS!$K$2:$K$20000=2))</f>
        <v>0</v>
      </c>
      <c r="N147">
        <f>SUMPRODUCT((DATOS!$G$2:$G$20000=CONFIG_METADATA!$B$4)*(DATOS!$D$2:$D$20000=A147)*(DATOS!$I$2:$I$20000=B147)*(DATOS!$K$2:$K$20000=3))</f>
        <v>0</v>
      </c>
      <c r="O147">
        <f>SUMPRODUCT((DATOS!$G$2:$G$20000=CONFIG_METADATA!$B$4)*(DATOS!$D$2:$D$20000=A147)*(DATOS!$I$2:$I$20000=B147)*(DATOS!$K$2:$K$20000=4))</f>
        <v>0</v>
      </c>
      <c r="P147">
        <f>SUMPRODUCT((DATOS!$G$2:$G$20000=CONFIG_METADATA!$B$4)*(DATOS!$D$2:$D$20000=A147)*(DATOS!$I$2:$I$20000=B147)*(DATOS!$K$2:$K$20000=5))</f>
        <v>0</v>
      </c>
      <c r="Q147">
        <f>SUMPRODUCT((DATOS!$G$2:$G$20000=CONFIG_METADATA!$B$4)*(DATOS!$D$2:$D$20000=A147)*(DATOS!$I$2:$I$20000=B147)*(DATOS!$K$2:$K$20000=6))</f>
        <v>0</v>
      </c>
      <c r="R147">
        <f>SUMPRODUCT((DATOS!$G$2:$G$20000=CONFIG_METADATA!$B$4)*(DATOS!$D$2:$D$20000=A147)*(DATOS!$I$2:$I$20000=B147)*(DATOS!$K$2:$K$20000=7))</f>
        <v>0</v>
      </c>
      <c r="S147">
        <f>SUMPRODUCT((DATOS!$G$2:$G$20000=CONFIG_METADATA!$B$4)*(DATOS!$D$2:$D$20000=A147)*(DATOS!$I$2:$I$20000=B147)*(DATOS!$K$2:$K$20000=8))</f>
        <v>0</v>
      </c>
      <c r="T147">
        <f>SUMPRODUCT((DATOS!$G$2:$G$20000=CONFIG_METADATA!$B$4)*(DATOS!$D$2:$D$20000=A147)*(DATOS!$I$2:$I$20000=B147)*(DATOS!$K$2:$K$20000=9))</f>
        <v>0</v>
      </c>
      <c r="U147">
        <f>SUMPRODUCT((DATOS!$G$2:$G$20000=CONFIG_METADATA!$B$4)*(DATOS!$D$2:$D$20000=A147)*(DATOS!$I$2:$I$20000=B147)*(DATOS!$K$2:$K$20000=10))</f>
        <v>0</v>
      </c>
    </row>
    <row r="148" spans="1:21" x14ac:dyDescent="0.2">
      <c r="A148" t="s">
        <v>81</v>
      </c>
      <c r="B148" t="s">
        <v>56</v>
      </c>
      <c r="C148" t="s">
        <v>21</v>
      </c>
      <c r="D148">
        <f>SUMPRODUCT((DATOS!$G$2:$G$20000=CONFIG_METADATA!$B$4)*(DATOS!$D$2:$D$20000=A148)*(DATOS!$I$2:$I$20000=B148))</f>
        <v>0</v>
      </c>
      <c r="E148" s="10" t="str">
        <f>IFERROR(SUMPRODUCT((DATOS!$G$2:$G$20000=CONFIG_METADATA!$B$4)*(DATOS!$D$2:$D$20000=A148)*(DATOS!$I$2:$I$20000=B148)*(DATOS!$K$2:$K$20000))/D148,"—")</f>
        <v>—</v>
      </c>
      <c r="F148" s="10" t="str" cm="1">
        <f t="array" ref="F148">IFERROR(_xlfn.STDEV.P(_xlfn._xlws.FILTER(DATOS!$K$2:$K$20000,(DATOS!$G$2:$G$20000=CONFIG_METADATA!$B$4)*(DATOS!$D$2:$D$20000=A148)*(DATOS!$I$2:$I$20000=B148))),"—")</f>
        <v>—</v>
      </c>
      <c r="G148" t="str" cm="1">
        <f t="array" ref="G148">IFERROR(_xlfn.MODE.SNGL(_xlfn._xlws.FILTER(DATOS!$K$2:$K$20000,(DATOS!$G$2:$G$20000=CONFIG_METADATA!$B$4)*(DATOS!$D$2:$D$20000=A148)*(DATOS!$I$2:$I$20000=B148))),"—")</f>
        <v>—</v>
      </c>
      <c r="H148" s="11" t="str">
        <f>IFERROR(SUMPRODUCT((DATOS!$G$2:$G$20000=CONFIG_METADATA!$B$4)*(DATOS!$D$2:$D$20000=A148)*(DATOS!$I$2:$I$20000=B148)*(DATOS!$L$2:$L$20000="S"))/D148,"—")</f>
        <v>—</v>
      </c>
      <c r="I148" s="11" t="str">
        <f>IFERROR(SUMPRODUCT((DATOS!$G$2:$G$20000=CONFIG_METADATA!$B$4)*(DATOS!$D$2:$D$20000=A148)*(DATOS!$I$2:$I$20000=B148)*(DATOS!$L$2:$L$20000="N"))/D148,"—")</f>
        <v>—</v>
      </c>
      <c r="J148" t="str" cm="1">
        <f t="array" ref="J148">IFERROR(_xlfn.MODE.SNGL(_xlfn._xlws.FILTER(DATOS!$K$2:$K$20000,(DATOS!$G$2:$G$20000=CONFIG_METADATA!$B$4)*(DATOS!$D$2:$D$20000=A148)*(DATOS!$I$2:$I$20000=B148)*(DATOS!$L$2:$L$20000="S"))),"—")</f>
        <v>—</v>
      </c>
      <c r="K148" t="str" cm="1">
        <f t="array" ref="K148">IFERROR(_xlfn.MODE.SNGL(_xlfn._xlws.FILTER(DATOS!$K$2:$K$20000,(DATOS!$G$2:$G$20000=CONFIG_METADATA!$B$4)*(DATOS!$D$2:$D$20000=A148)*(DATOS!$I$2:$I$20000=B148)*(DATOS!$L$2:$L$20000="N"))),"—")</f>
        <v>—</v>
      </c>
      <c r="L148">
        <f>SUMPRODUCT((DATOS!$G$2:$G$20000=CONFIG_METADATA!$B$4)*(DATOS!$D$2:$D$20000=A148)*(DATOS!$I$2:$I$20000=B148)*(DATOS!$K$2:$K$20000=1))</f>
        <v>0</v>
      </c>
      <c r="M148">
        <f>SUMPRODUCT((DATOS!$G$2:$G$20000=CONFIG_METADATA!$B$4)*(DATOS!$D$2:$D$20000=A148)*(DATOS!$I$2:$I$20000=B148)*(DATOS!$K$2:$K$20000=2))</f>
        <v>0</v>
      </c>
      <c r="N148">
        <f>SUMPRODUCT((DATOS!$G$2:$G$20000=CONFIG_METADATA!$B$4)*(DATOS!$D$2:$D$20000=A148)*(DATOS!$I$2:$I$20000=B148)*(DATOS!$K$2:$K$20000=3))</f>
        <v>0</v>
      </c>
      <c r="O148">
        <f>SUMPRODUCT((DATOS!$G$2:$G$20000=CONFIG_METADATA!$B$4)*(DATOS!$D$2:$D$20000=A148)*(DATOS!$I$2:$I$20000=B148)*(DATOS!$K$2:$K$20000=4))</f>
        <v>0</v>
      </c>
      <c r="P148">
        <f>SUMPRODUCT((DATOS!$G$2:$G$20000=CONFIG_METADATA!$B$4)*(DATOS!$D$2:$D$20000=A148)*(DATOS!$I$2:$I$20000=B148)*(DATOS!$K$2:$K$20000=5))</f>
        <v>0</v>
      </c>
      <c r="Q148">
        <f>SUMPRODUCT((DATOS!$G$2:$G$20000=CONFIG_METADATA!$B$4)*(DATOS!$D$2:$D$20000=A148)*(DATOS!$I$2:$I$20000=B148)*(DATOS!$K$2:$K$20000=6))</f>
        <v>0</v>
      </c>
      <c r="R148">
        <f>SUMPRODUCT((DATOS!$G$2:$G$20000=CONFIG_METADATA!$B$4)*(DATOS!$D$2:$D$20000=A148)*(DATOS!$I$2:$I$20000=B148)*(DATOS!$K$2:$K$20000=7))</f>
        <v>0</v>
      </c>
      <c r="S148">
        <f>SUMPRODUCT((DATOS!$G$2:$G$20000=CONFIG_METADATA!$B$4)*(DATOS!$D$2:$D$20000=A148)*(DATOS!$I$2:$I$20000=B148)*(DATOS!$K$2:$K$20000=8))</f>
        <v>0</v>
      </c>
      <c r="T148">
        <f>SUMPRODUCT((DATOS!$G$2:$G$20000=CONFIG_METADATA!$B$4)*(DATOS!$D$2:$D$20000=A148)*(DATOS!$I$2:$I$20000=B148)*(DATOS!$K$2:$K$20000=9))</f>
        <v>0</v>
      </c>
      <c r="U148">
        <f>SUMPRODUCT((DATOS!$G$2:$G$20000=CONFIG_METADATA!$B$4)*(DATOS!$D$2:$D$20000=A148)*(DATOS!$I$2:$I$20000=B148)*(DATOS!$K$2:$K$20000=10))</f>
        <v>0</v>
      </c>
    </row>
    <row r="149" spans="1:21" x14ac:dyDescent="0.2">
      <c r="A149" t="s">
        <v>81</v>
      </c>
      <c r="B149" t="s">
        <v>24</v>
      </c>
      <c r="C149" t="s">
        <v>25</v>
      </c>
      <c r="D149">
        <f>SUMPRODUCT((DATOS!$G$2:$G$20000=CONFIG_METADATA!$B$4)*(DATOS!$D$2:$D$20000=A149)*(DATOS!$I$2:$I$20000=B149))</f>
        <v>0</v>
      </c>
      <c r="E149" s="10" t="str">
        <f>IFERROR(SUMPRODUCT((DATOS!$G$2:$G$20000=CONFIG_METADATA!$B$4)*(DATOS!$D$2:$D$20000=A149)*(DATOS!$I$2:$I$20000=B149)*(DATOS!$K$2:$K$20000))/D149,"—")</f>
        <v>—</v>
      </c>
      <c r="F149" s="10" t="str" cm="1">
        <f t="array" ref="F149">IFERROR(_xlfn.STDEV.P(_xlfn._xlws.FILTER(DATOS!$K$2:$K$20000,(DATOS!$G$2:$G$20000=CONFIG_METADATA!$B$4)*(DATOS!$D$2:$D$20000=A149)*(DATOS!$I$2:$I$20000=B149))),"—")</f>
        <v>—</v>
      </c>
      <c r="G149" t="str" cm="1">
        <f t="array" ref="G149">IFERROR(_xlfn.MODE.SNGL(_xlfn._xlws.FILTER(DATOS!$K$2:$K$20000,(DATOS!$G$2:$G$20000=CONFIG_METADATA!$B$4)*(DATOS!$D$2:$D$20000=A149)*(DATOS!$I$2:$I$20000=B149))),"—")</f>
        <v>—</v>
      </c>
      <c r="H149" s="11" t="str">
        <f>IFERROR(SUMPRODUCT((DATOS!$G$2:$G$20000=CONFIG_METADATA!$B$4)*(DATOS!$D$2:$D$20000=A149)*(DATOS!$I$2:$I$20000=B149)*(DATOS!$L$2:$L$20000="S"))/D149,"—")</f>
        <v>—</v>
      </c>
      <c r="I149" s="11" t="str">
        <f>IFERROR(SUMPRODUCT((DATOS!$G$2:$G$20000=CONFIG_METADATA!$B$4)*(DATOS!$D$2:$D$20000=A149)*(DATOS!$I$2:$I$20000=B149)*(DATOS!$L$2:$L$20000="N"))/D149,"—")</f>
        <v>—</v>
      </c>
      <c r="J149" t="str" cm="1">
        <f t="array" ref="J149">IFERROR(_xlfn.MODE.SNGL(_xlfn._xlws.FILTER(DATOS!$K$2:$K$20000,(DATOS!$G$2:$G$20000=CONFIG_METADATA!$B$4)*(DATOS!$D$2:$D$20000=A149)*(DATOS!$I$2:$I$20000=B149)*(DATOS!$L$2:$L$20000="S"))),"—")</f>
        <v>—</v>
      </c>
      <c r="K149" t="str" cm="1">
        <f t="array" ref="K149">IFERROR(_xlfn.MODE.SNGL(_xlfn._xlws.FILTER(DATOS!$K$2:$K$20000,(DATOS!$G$2:$G$20000=CONFIG_METADATA!$B$4)*(DATOS!$D$2:$D$20000=A149)*(DATOS!$I$2:$I$20000=B149)*(DATOS!$L$2:$L$20000="N"))),"—")</f>
        <v>—</v>
      </c>
      <c r="L149">
        <f>SUMPRODUCT((DATOS!$G$2:$G$20000=CONFIG_METADATA!$B$4)*(DATOS!$D$2:$D$20000=A149)*(DATOS!$I$2:$I$20000=B149)*(DATOS!$K$2:$K$20000=1))</f>
        <v>0</v>
      </c>
      <c r="M149">
        <f>SUMPRODUCT((DATOS!$G$2:$G$20000=CONFIG_METADATA!$B$4)*(DATOS!$D$2:$D$20000=A149)*(DATOS!$I$2:$I$20000=B149)*(DATOS!$K$2:$K$20000=2))</f>
        <v>0</v>
      </c>
      <c r="N149">
        <f>SUMPRODUCT((DATOS!$G$2:$G$20000=CONFIG_METADATA!$B$4)*(DATOS!$D$2:$D$20000=A149)*(DATOS!$I$2:$I$20000=B149)*(DATOS!$K$2:$K$20000=3))</f>
        <v>0</v>
      </c>
      <c r="O149">
        <f>SUMPRODUCT((DATOS!$G$2:$G$20000=CONFIG_METADATA!$B$4)*(DATOS!$D$2:$D$20000=A149)*(DATOS!$I$2:$I$20000=B149)*(DATOS!$K$2:$K$20000=4))</f>
        <v>0</v>
      </c>
      <c r="P149">
        <f>SUMPRODUCT((DATOS!$G$2:$G$20000=CONFIG_METADATA!$B$4)*(DATOS!$D$2:$D$20000=A149)*(DATOS!$I$2:$I$20000=B149)*(DATOS!$K$2:$K$20000=5))</f>
        <v>0</v>
      </c>
      <c r="Q149">
        <f>SUMPRODUCT((DATOS!$G$2:$G$20000=CONFIG_METADATA!$B$4)*(DATOS!$D$2:$D$20000=A149)*(DATOS!$I$2:$I$20000=B149)*(DATOS!$K$2:$K$20000=6))</f>
        <v>0</v>
      </c>
      <c r="R149">
        <f>SUMPRODUCT((DATOS!$G$2:$G$20000=CONFIG_METADATA!$B$4)*(DATOS!$D$2:$D$20000=A149)*(DATOS!$I$2:$I$20000=B149)*(DATOS!$K$2:$K$20000=7))</f>
        <v>0</v>
      </c>
      <c r="S149">
        <f>SUMPRODUCT((DATOS!$G$2:$G$20000=CONFIG_METADATA!$B$4)*(DATOS!$D$2:$D$20000=A149)*(DATOS!$I$2:$I$20000=B149)*(DATOS!$K$2:$K$20000=8))</f>
        <v>0</v>
      </c>
      <c r="T149">
        <f>SUMPRODUCT((DATOS!$G$2:$G$20000=CONFIG_METADATA!$B$4)*(DATOS!$D$2:$D$20000=A149)*(DATOS!$I$2:$I$20000=B149)*(DATOS!$K$2:$K$20000=9))</f>
        <v>0</v>
      </c>
      <c r="U149">
        <f>SUMPRODUCT((DATOS!$G$2:$G$20000=CONFIG_METADATA!$B$4)*(DATOS!$D$2:$D$20000=A149)*(DATOS!$I$2:$I$20000=B149)*(DATOS!$K$2:$K$20000=10))</f>
        <v>0</v>
      </c>
    </row>
    <row r="150" spans="1:21" x14ac:dyDescent="0.2">
      <c r="A150" t="s">
        <v>81</v>
      </c>
      <c r="B150" t="s">
        <v>27</v>
      </c>
      <c r="C150" t="s">
        <v>25</v>
      </c>
      <c r="D150">
        <f>SUMPRODUCT((DATOS!$G$2:$G$20000=CONFIG_METADATA!$B$4)*(DATOS!$D$2:$D$20000=A150)*(DATOS!$I$2:$I$20000=B150))</f>
        <v>0</v>
      </c>
      <c r="E150" s="10" t="str">
        <f>IFERROR(SUMPRODUCT((DATOS!$G$2:$G$20000=CONFIG_METADATA!$B$4)*(DATOS!$D$2:$D$20000=A150)*(DATOS!$I$2:$I$20000=B150)*(DATOS!$K$2:$K$20000))/D150,"—")</f>
        <v>—</v>
      </c>
      <c r="F150" s="10" t="str" cm="1">
        <f t="array" ref="F150">IFERROR(_xlfn.STDEV.P(_xlfn._xlws.FILTER(DATOS!$K$2:$K$20000,(DATOS!$G$2:$G$20000=CONFIG_METADATA!$B$4)*(DATOS!$D$2:$D$20000=A150)*(DATOS!$I$2:$I$20000=B150))),"—")</f>
        <v>—</v>
      </c>
      <c r="G150" t="str" cm="1">
        <f t="array" ref="G150">IFERROR(_xlfn.MODE.SNGL(_xlfn._xlws.FILTER(DATOS!$K$2:$K$20000,(DATOS!$G$2:$G$20000=CONFIG_METADATA!$B$4)*(DATOS!$D$2:$D$20000=A150)*(DATOS!$I$2:$I$20000=B150))),"—")</f>
        <v>—</v>
      </c>
      <c r="H150" s="11" t="str">
        <f>IFERROR(SUMPRODUCT((DATOS!$G$2:$G$20000=CONFIG_METADATA!$B$4)*(DATOS!$D$2:$D$20000=A150)*(DATOS!$I$2:$I$20000=B150)*(DATOS!$L$2:$L$20000="S"))/D150,"—")</f>
        <v>—</v>
      </c>
      <c r="I150" s="11" t="str">
        <f>IFERROR(SUMPRODUCT((DATOS!$G$2:$G$20000=CONFIG_METADATA!$B$4)*(DATOS!$D$2:$D$20000=A150)*(DATOS!$I$2:$I$20000=B150)*(DATOS!$L$2:$L$20000="N"))/D150,"—")</f>
        <v>—</v>
      </c>
      <c r="J150" t="str" cm="1">
        <f t="array" ref="J150">IFERROR(_xlfn.MODE.SNGL(_xlfn._xlws.FILTER(DATOS!$K$2:$K$20000,(DATOS!$G$2:$G$20000=CONFIG_METADATA!$B$4)*(DATOS!$D$2:$D$20000=A150)*(DATOS!$I$2:$I$20000=B150)*(DATOS!$L$2:$L$20000="S"))),"—")</f>
        <v>—</v>
      </c>
      <c r="K150" t="str" cm="1">
        <f t="array" ref="K150">IFERROR(_xlfn.MODE.SNGL(_xlfn._xlws.FILTER(DATOS!$K$2:$K$20000,(DATOS!$G$2:$G$20000=CONFIG_METADATA!$B$4)*(DATOS!$D$2:$D$20000=A150)*(DATOS!$I$2:$I$20000=B150)*(DATOS!$L$2:$L$20000="N"))),"—")</f>
        <v>—</v>
      </c>
      <c r="L150">
        <f>SUMPRODUCT((DATOS!$G$2:$G$20000=CONFIG_METADATA!$B$4)*(DATOS!$D$2:$D$20000=A150)*(DATOS!$I$2:$I$20000=B150)*(DATOS!$K$2:$K$20000=1))</f>
        <v>0</v>
      </c>
      <c r="M150">
        <f>SUMPRODUCT((DATOS!$G$2:$G$20000=CONFIG_METADATA!$B$4)*(DATOS!$D$2:$D$20000=A150)*(DATOS!$I$2:$I$20000=B150)*(DATOS!$K$2:$K$20000=2))</f>
        <v>0</v>
      </c>
      <c r="N150">
        <f>SUMPRODUCT((DATOS!$G$2:$G$20000=CONFIG_METADATA!$B$4)*(DATOS!$D$2:$D$20000=A150)*(DATOS!$I$2:$I$20000=B150)*(DATOS!$K$2:$K$20000=3))</f>
        <v>0</v>
      </c>
      <c r="O150">
        <f>SUMPRODUCT((DATOS!$G$2:$G$20000=CONFIG_METADATA!$B$4)*(DATOS!$D$2:$D$20000=A150)*(DATOS!$I$2:$I$20000=B150)*(DATOS!$K$2:$K$20000=4))</f>
        <v>0</v>
      </c>
      <c r="P150">
        <f>SUMPRODUCT((DATOS!$G$2:$G$20000=CONFIG_METADATA!$B$4)*(DATOS!$D$2:$D$20000=A150)*(DATOS!$I$2:$I$20000=B150)*(DATOS!$K$2:$K$20000=5))</f>
        <v>0</v>
      </c>
      <c r="Q150">
        <f>SUMPRODUCT((DATOS!$G$2:$G$20000=CONFIG_METADATA!$B$4)*(DATOS!$D$2:$D$20000=A150)*(DATOS!$I$2:$I$20000=B150)*(DATOS!$K$2:$K$20000=6))</f>
        <v>0</v>
      </c>
      <c r="R150">
        <f>SUMPRODUCT((DATOS!$G$2:$G$20000=CONFIG_METADATA!$B$4)*(DATOS!$D$2:$D$20000=A150)*(DATOS!$I$2:$I$20000=B150)*(DATOS!$K$2:$K$20000=7))</f>
        <v>0</v>
      </c>
      <c r="S150">
        <f>SUMPRODUCT((DATOS!$G$2:$G$20000=CONFIG_METADATA!$B$4)*(DATOS!$D$2:$D$20000=A150)*(DATOS!$I$2:$I$20000=B150)*(DATOS!$K$2:$K$20000=8))</f>
        <v>0</v>
      </c>
      <c r="T150">
        <f>SUMPRODUCT((DATOS!$G$2:$G$20000=CONFIG_METADATA!$B$4)*(DATOS!$D$2:$D$20000=A150)*(DATOS!$I$2:$I$20000=B150)*(DATOS!$K$2:$K$20000=9))</f>
        <v>0</v>
      </c>
      <c r="U150">
        <f>SUMPRODUCT((DATOS!$G$2:$G$20000=CONFIG_METADATA!$B$4)*(DATOS!$D$2:$D$20000=A150)*(DATOS!$I$2:$I$20000=B150)*(DATOS!$K$2:$K$20000=10))</f>
        <v>0</v>
      </c>
    </row>
    <row r="151" spans="1:21" x14ac:dyDescent="0.2">
      <c r="A151" t="s">
        <v>81</v>
      </c>
      <c r="B151" t="s">
        <v>28</v>
      </c>
      <c r="C151" t="s">
        <v>25</v>
      </c>
      <c r="D151">
        <f>SUMPRODUCT((DATOS!$G$2:$G$20000=CONFIG_METADATA!$B$4)*(DATOS!$D$2:$D$20000=A151)*(DATOS!$I$2:$I$20000=B151))</f>
        <v>0</v>
      </c>
      <c r="E151" s="10" t="str">
        <f>IFERROR(SUMPRODUCT((DATOS!$G$2:$G$20000=CONFIG_METADATA!$B$4)*(DATOS!$D$2:$D$20000=A151)*(DATOS!$I$2:$I$20000=B151)*(DATOS!$K$2:$K$20000))/D151,"—")</f>
        <v>—</v>
      </c>
      <c r="F151" s="10" t="str" cm="1">
        <f t="array" ref="F151">IFERROR(_xlfn.STDEV.P(_xlfn._xlws.FILTER(DATOS!$K$2:$K$20000,(DATOS!$G$2:$G$20000=CONFIG_METADATA!$B$4)*(DATOS!$D$2:$D$20000=A151)*(DATOS!$I$2:$I$20000=B151))),"—")</f>
        <v>—</v>
      </c>
      <c r="G151" t="str" cm="1">
        <f t="array" ref="G151">IFERROR(_xlfn.MODE.SNGL(_xlfn._xlws.FILTER(DATOS!$K$2:$K$20000,(DATOS!$G$2:$G$20000=CONFIG_METADATA!$B$4)*(DATOS!$D$2:$D$20000=A151)*(DATOS!$I$2:$I$20000=B151))),"—")</f>
        <v>—</v>
      </c>
      <c r="H151" s="11" t="str">
        <f>IFERROR(SUMPRODUCT((DATOS!$G$2:$G$20000=CONFIG_METADATA!$B$4)*(DATOS!$D$2:$D$20000=A151)*(DATOS!$I$2:$I$20000=B151)*(DATOS!$L$2:$L$20000="S"))/D151,"—")</f>
        <v>—</v>
      </c>
      <c r="I151" s="11" t="str">
        <f>IFERROR(SUMPRODUCT((DATOS!$G$2:$G$20000=CONFIG_METADATA!$B$4)*(DATOS!$D$2:$D$20000=A151)*(DATOS!$I$2:$I$20000=B151)*(DATOS!$L$2:$L$20000="N"))/D151,"—")</f>
        <v>—</v>
      </c>
      <c r="J151" t="str" cm="1">
        <f t="array" ref="J151">IFERROR(_xlfn.MODE.SNGL(_xlfn._xlws.FILTER(DATOS!$K$2:$K$20000,(DATOS!$G$2:$G$20000=CONFIG_METADATA!$B$4)*(DATOS!$D$2:$D$20000=A151)*(DATOS!$I$2:$I$20000=B151)*(DATOS!$L$2:$L$20000="S"))),"—")</f>
        <v>—</v>
      </c>
      <c r="K151" t="str" cm="1">
        <f t="array" ref="K151">IFERROR(_xlfn.MODE.SNGL(_xlfn._xlws.FILTER(DATOS!$K$2:$K$20000,(DATOS!$G$2:$G$20000=CONFIG_METADATA!$B$4)*(DATOS!$D$2:$D$20000=A151)*(DATOS!$I$2:$I$20000=B151)*(DATOS!$L$2:$L$20000="N"))),"—")</f>
        <v>—</v>
      </c>
      <c r="L151">
        <f>SUMPRODUCT((DATOS!$G$2:$G$20000=CONFIG_METADATA!$B$4)*(DATOS!$D$2:$D$20000=A151)*(DATOS!$I$2:$I$20000=B151)*(DATOS!$K$2:$K$20000=1))</f>
        <v>0</v>
      </c>
      <c r="M151">
        <f>SUMPRODUCT((DATOS!$G$2:$G$20000=CONFIG_METADATA!$B$4)*(DATOS!$D$2:$D$20000=A151)*(DATOS!$I$2:$I$20000=B151)*(DATOS!$K$2:$K$20000=2))</f>
        <v>0</v>
      </c>
      <c r="N151">
        <f>SUMPRODUCT((DATOS!$G$2:$G$20000=CONFIG_METADATA!$B$4)*(DATOS!$D$2:$D$20000=A151)*(DATOS!$I$2:$I$20000=B151)*(DATOS!$K$2:$K$20000=3))</f>
        <v>0</v>
      </c>
      <c r="O151">
        <f>SUMPRODUCT((DATOS!$G$2:$G$20000=CONFIG_METADATA!$B$4)*(DATOS!$D$2:$D$20000=A151)*(DATOS!$I$2:$I$20000=B151)*(DATOS!$K$2:$K$20000=4))</f>
        <v>0</v>
      </c>
      <c r="P151">
        <f>SUMPRODUCT((DATOS!$G$2:$G$20000=CONFIG_METADATA!$B$4)*(DATOS!$D$2:$D$20000=A151)*(DATOS!$I$2:$I$20000=B151)*(DATOS!$K$2:$K$20000=5))</f>
        <v>0</v>
      </c>
      <c r="Q151">
        <f>SUMPRODUCT((DATOS!$G$2:$G$20000=CONFIG_METADATA!$B$4)*(DATOS!$D$2:$D$20000=A151)*(DATOS!$I$2:$I$20000=B151)*(DATOS!$K$2:$K$20000=6))</f>
        <v>0</v>
      </c>
      <c r="R151">
        <f>SUMPRODUCT((DATOS!$G$2:$G$20000=CONFIG_METADATA!$B$4)*(DATOS!$D$2:$D$20000=A151)*(DATOS!$I$2:$I$20000=B151)*(DATOS!$K$2:$K$20000=7))</f>
        <v>0</v>
      </c>
      <c r="S151">
        <f>SUMPRODUCT((DATOS!$G$2:$G$20000=CONFIG_METADATA!$B$4)*(DATOS!$D$2:$D$20000=A151)*(DATOS!$I$2:$I$20000=B151)*(DATOS!$K$2:$K$20000=8))</f>
        <v>0</v>
      </c>
      <c r="T151">
        <f>SUMPRODUCT((DATOS!$G$2:$G$20000=CONFIG_METADATA!$B$4)*(DATOS!$D$2:$D$20000=A151)*(DATOS!$I$2:$I$20000=B151)*(DATOS!$K$2:$K$20000=9))</f>
        <v>0</v>
      </c>
      <c r="U151">
        <f>SUMPRODUCT((DATOS!$G$2:$G$20000=CONFIG_METADATA!$B$4)*(DATOS!$D$2:$D$20000=A151)*(DATOS!$I$2:$I$20000=B151)*(DATOS!$K$2:$K$20000=10))</f>
        <v>0</v>
      </c>
    </row>
    <row r="152" spans="1:21" x14ac:dyDescent="0.2">
      <c r="A152" t="s">
        <v>81</v>
      </c>
      <c r="B152" t="s">
        <v>30</v>
      </c>
      <c r="C152" t="s">
        <v>25</v>
      </c>
      <c r="D152">
        <f>SUMPRODUCT((DATOS!$G$2:$G$20000=CONFIG_METADATA!$B$4)*(DATOS!$D$2:$D$20000=A152)*(DATOS!$I$2:$I$20000=B152))</f>
        <v>0</v>
      </c>
      <c r="E152" s="10" t="str">
        <f>IFERROR(SUMPRODUCT((DATOS!$G$2:$G$20000=CONFIG_METADATA!$B$4)*(DATOS!$D$2:$D$20000=A152)*(DATOS!$I$2:$I$20000=B152)*(DATOS!$K$2:$K$20000))/D152,"—")</f>
        <v>—</v>
      </c>
      <c r="F152" s="10" t="str" cm="1">
        <f t="array" ref="F152">IFERROR(_xlfn.STDEV.P(_xlfn._xlws.FILTER(DATOS!$K$2:$K$20000,(DATOS!$G$2:$G$20000=CONFIG_METADATA!$B$4)*(DATOS!$D$2:$D$20000=A152)*(DATOS!$I$2:$I$20000=B152))),"—")</f>
        <v>—</v>
      </c>
      <c r="G152" t="str" cm="1">
        <f t="array" ref="G152">IFERROR(_xlfn.MODE.SNGL(_xlfn._xlws.FILTER(DATOS!$K$2:$K$20000,(DATOS!$G$2:$G$20000=CONFIG_METADATA!$B$4)*(DATOS!$D$2:$D$20000=A152)*(DATOS!$I$2:$I$20000=B152))),"—")</f>
        <v>—</v>
      </c>
      <c r="H152" s="11" t="str">
        <f>IFERROR(SUMPRODUCT((DATOS!$G$2:$G$20000=CONFIG_METADATA!$B$4)*(DATOS!$D$2:$D$20000=A152)*(DATOS!$I$2:$I$20000=B152)*(DATOS!$L$2:$L$20000="S"))/D152,"—")</f>
        <v>—</v>
      </c>
      <c r="I152" s="11" t="str">
        <f>IFERROR(SUMPRODUCT((DATOS!$G$2:$G$20000=CONFIG_METADATA!$B$4)*(DATOS!$D$2:$D$20000=A152)*(DATOS!$I$2:$I$20000=B152)*(DATOS!$L$2:$L$20000="N"))/D152,"—")</f>
        <v>—</v>
      </c>
      <c r="J152" t="str" cm="1">
        <f t="array" ref="J152">IFERROR(_xlfn.MODE.SNGL(_xlfn._xlws.FILTER(DATOS!$K$2:$K$20000,(DATOS!$G$2:$G$20000=CONFIG_METADATA!$B$4)*(DATOS!$D$2:$D$20000=A152)*(DATOS!$I$2:$I$20000=B152)*(DATOS!$L$2:$L$20000="S"))),"—")</f>
        <v>—</v>
      </c>
      <c r="K152" t="str" cm="1">
        <f t="array" ref="K152">IFERROR(_xlfn.MODE.SNGL(_xlfn._xlws.FILTER(DATOS!$K$2:$K$20000,(DATOS!$G$2:$G$20000=CONFIG_METADATA!$B$4)*(DATOS!$D$2:$D$20000=A152)*(DATOS!$I$2:$I$20000=B152)*(DATOS!$L$2:$L$20000="N"))),"—")</f>
        <v>—</v>
      </c>
      <c r="L152">
        <f>SUMPRODUCT((DATOS!$G$2:$G$20000=CONFIG_METADATA!$B$4)*(DATOS!$D$2:$D$20000=A152)*(DATOS!$I$2:$I$20000=B152)*(DATOS!$K$2:$K$20000=1))</f>
        <v>0</v>
      </c>
      <c r="M152">
        <f>SUMPRODUCT((DATOS!$G$2:$G$20000=CONFIG_METADATA!$B$4)*(DATOS!$D$2:$D$20000=A152)*(DATOS!$I$2:$I$20000=B152)*(DATOS!$K$2:$K$20000=2))</f>
        <v>0</v>
      </c>
      <c r="N152">
        <f>SUMPRODUCT((DATOS!$G$2:$G$20000=CONFIG_METADATA!$B$4)*(DATOS!$D$2:$D$20000=A152)*(DATOS!$I$2:$I$20000=B152)*(DATOS!$K$2:$K$20000=3))</f>
        <v>0</v>
      </c>
      <c r="O152">
        <f>SUMPRODUCT((DATOS!$G$2:$G$20000=CONFIG_METADATA!$B$4)*(DATOS!$D$2:$D$20000=A152)*(DATOS!$I$2:$I$20000=B152)*(DATOS!$K$2:$K$20000=4))</f>
        <v>0</v>
      </c>
      <c r="P152">
        <f>SUMPRODUCT((DATOS!$G$2:$G$20000=CONFIG_METADATA!$B$4)*(DATOS!$D$2:$D$20000=A152)*(DATOS!$I$2:$I$20000=B152)*(DATOS!$K$2:$K$20000=5))</f>
        <v>0</v>
      </c>
      <c r="Q152">
        <f>SUMPRODUCT((DATOS!$G$2:$G$20000=CONFIG_METADATA!$B$4)*(DATOS!$D$2:$D$20000=A152)*(DATOS!$I$2:$I$20000=B152)*(DATOS!$K$2:$K$20000=6))</f>
        <v>0</v>
      </c>
      <c r="R152">
        <f>SUMPRODUCT((DATOS!$G$2:$G$20000=CONFIG_METADATA!$B$4)*(DATOS!$D$2:$D$20000=A152)*(DATOS!$I$2:$I$20000=B152)*(DATOS!$K$2:$K$20000=7))</f>
        <v>0</v>
      </c>
      <c r="S152">
        <f>SUMPRODUCT((DATOS!$G$2:$G$20000=CONFIG_METADATA!$B$4)*(DATOS!$D$2:$D$20000=A152)*(DATOS!$I$2:$I$20000=B152)*(DATOS!$K$2:$K$20000=8))</f>
        <v>0</v>
      </c>
      <c r="T152">
        <f>SUMPRODUCT((DATOS!$G$2:$G$20000=CONFIG_METADATA!$B$4)*(DATOS!$D$2:$D$20000=A152)*(DATOS!$I$2:$I$20000=B152)*(DATOS!$K$2:$K$20000=9))</f>
        <v>0</v>
      </c>
      <c r="U152">
        <f>SUMPRODUCT((DATOS!$G$2:$G$20000=CONFIG_METADATA!$B$4)*(DATOS!$D$2:$D$20000=A152)*(DATOS!$I$2:$I$20000=B152)*(DATOS!$K$2:$K$20000=10))</f>
        <v>0</v>
      </c>
    </row>
    <row r="153" spans="1:21" x14ac:dyDescent="0.2">
      <c r="A153" t="s">
        <v>81</v>
      </c>
      <c r="B153" t="s">
        <v>32</v>
      </c>
      <c r="C153" t="s">
        <v>25</v>
      </c>
      <c r="D153">
        <f>SUMPRODUCT((DATOS!$G$2:$G$20000=CONFIG_METADATA!$B$4)*(DATOS!$D$2:$D$20000=A153)*(DATOS!$I$2:$I$20000=B153))</f>
        <v>0</v>
      </c>
      <c r="E153" s="10" t="str">
        <f>IFERROR(SUMPRODUCT((DATOS!$G$2:$G$20000=CONFIG_METADATA!$B$4)*(DATOS!$D$2:$D$20000=A153)*(DATOS!$I$2:$I$20000=B153)*(DATOS!$K$2:$K$20000))/D153,"—")</f>
        <v>—</v>
      </c>
      <c r="F153" s="10" t="str" cm="1">
        <f t="array" ref="F153">IFERROR(_xlfn.STDEV.P(_xlfn._xlws.FILTER(DATOS!$K$2:$K$20000,(DATOS!$G$2:$G$20000=CONFIG_METADATA!$B$4)*(DATOS!$D$2:$D$20000=A153)*(DATOS!$I$2:$I$20000=B153))),"—")</f>
        <v>—</v>
      </c>
      <c r="G153" t="str" cm="1">
        <f t="array" ref="G153">IFERROR(_xlfn.MODE.SNGL(_xlfn._xlws.FILTER(DATOS!$K$2:$K$20000,(DATOS!$G$2:$G$20000=CONFIG_METADATA!$B$4)*(DATOS!$D$2:$D$20000=A153)*(DATOS!$I$2:$I$20000=B153))),"—")</f>
        <v>—</v>
      </c>
      <c r="H153" s="11" t="str">
        <f>IFERROR(SUMPRODUCT((DATOS!$G$2:$G$20000=CONFIG_METADATA!$B$4)*(DATOS!$D$2:$D$20000=A153)*(DATOS!$I$2:$I$20000=B153)*(DATOS!$L$2:$L$20000="S"))/D153,"—")</f>
        <v>—</v>
      </c>
      <c r="I153" s="11" t="str">
        <f>IFERROR(SUMPRODUCT((DATOS!$G$2:$G$20000=CONFIG_METADATA!$B$4)*(DATOS!$D$2:$D$20000=A153)*(DATOS!$I$2:$I$20000=B153)*(DATOS!$L$2:$L$20000="N"))/D153,"—")</f>
        <v>—</v>
      </c>
      <c r="J153" t="str" cm="1">
        <f t="array" ref="J153">IFERROR(_xlfn.MODE.SNGL(_xlfn._xlws.FILTER(DATOS!$K$2:$K$20000,(DATOS!$G$2:$G$20000=CONFIG_METADATA!$B$4)*(DATOS!$D$2:$D$20000=A153)*(DATOS!$I$2:$I$20000=B153)*(DATOS!$L$2:$L$20000="S"))),"—")</f>
        <v>—</v>
      </c>
      <c r="K153" t="str" cm="1">
        <f t="array" ref="K153">IFERROR(_xlfn.MODE.SNGL(_xlfn._xlws.FILTER(DATOS!$K$2:$K$20000,(DATOS!$G$2:$G$20000=CONFIG_METADATA!$B$4)*(DATOS!$D$2:$D$20000=A153)*(DATOS!$I$2:$I$20000=B153)*(DATOS!$L$2:$L$20000="N"))),"—")</f>
        <v>—</v>
      </c>
      <c r="L153">
        <f>SUMPRODUCT((DATOS!$G$2:$G$20000=CONFIG_METADATA!$B$4)*(DATOS!$D$2:$D$20000=A153)*(DATOS!$I$2:$I$20000=B153)*(DATOS!$K$2:$K$20000=1))</f>
        <v>0</v>
      </c>
      <c r="M153">
        <f>SUMPRODUCT((DATOS!$G$2:$G$20000=CONFIG_METADATA!$B$4)*(DATOS!$D$2:$D$20000=A153)*(DATOS!$I$2:$I$20000=B153)*(DATOS!$K$2:$K$20000=2))</f>
        <v>0</v>
      </c>
      <c r="N153">
        <f>SUMPRODUCT((DATOS!$G$2:$G$20000=CONFIG_METADATA!$B$4)*(DATOS!$D$2:$D$20000=A153)*(DATOS!$I$2:$I$20000=B153)*(DATOS!$K$2:$K$20000=3))</f>
        <v>0</v>
      </c>
      <c r="O153">
        <f>SUMPRODUCT((DATOS!$G$2:$G$20000=CONFIG_METADATA!$B$4)*(DATOS!$D$2:$D$20000=A153)*(DATOS!$I$2:$I$20000=B153)*(DATOS!$K$2:$K$20000=4))</f>
        <v>0</v>
      </c>
      <c r="P153">
        <f>SUMPRODUCT((DATOS!$G$2:$G$20000=CONFIG_METADATA!$B$4)*(DATOS!$D$2:$D$20000=A153)*(DATOS!$I$2:$I$20000=B153)*(DATOS!$K$2:$K$20000=5))</f>
        <v>0</v>
      </c>
      <c r="Q153">
        <f>SUMPRODUCT((DATOS!$G$2:$G$20000=CONFIG_METADATA!$B$4)*(DATOS!$D$2:$D$20000=A153)*(DATOS!$I$2:$I$20000=B153)*(DATOS!$K$2:$K$20000=6))</f>
        <v>0</v>
      </c>
      <c r="R153">
        <f>SUMPRODUCT((DATOS!$G$2:$G$20000=CONFIG_METADATA!$B$4)*(DATOS!$D$2:$D$20000=A153)*(DATOS!$I$2:$I$20000=B153)*(DATOS!$K$2:$K$20000=7))</f>
        <v>0</v>
      </c>
      <c r="S153">
        <f>SUMPRODUCT((DATOS!$G$2:$G$20000=CONFIG_METADATA!$B$4)*(DATOS!$D$2:$D$20000=A153)*(DATOS!$I$2:$I$20000=B153)*(DATOS!$K$2:$K$20000=8))</f>
        <v>0</v>
      </c>
      <c r="T153">
        <f>SUMPRODUCT((DATOS!$G$2:$G$20000=CONFIG_METADATA!$B$4)*(DATOS!$D$2:$D$20000=A153)*(DATOS!$I$2:$I$20000=B153)*(DATOS!$K$2:$K$20000=9))</f>
        <v>0</v>
      </c>
      <c r="U153">
        <f>SUMPRODUCT((DATOS!$G$2:$G$20000=CONFIG_METADATA!$B$4)*(DATOS!$D$2:$D$20000=A153)*(DATOS!$I$2:$I$20000=B153)*(DATOS!$K$2:$K$20000=10))</f>
        <v>0</v>
      </c>
    </row>
    <row r="154" spans="1:21" x14ac:dyDescent="0.2">
      <c r="A154" t="s">
        <v>81</v>
      </c>
      <c r="B154" t="s">
        <v>33</v>
      </c>
      <c r="C154" t="s">
        <v>25</v>
      </c>
      <c r="D154">
        <f>SUMPRODUCT((DATOS!$G$2:$G$20000=CONFIG_METADATA!$B$4)*(DATOS!$D$2:$D$20000=A154)*(DATOS!$I$2:$I$20000=B154))</f>
        <v>0</v>
      </c>
      <c r="E154" s="10" t="str">
        <f>IFERROR(SUMPRODUCT((DATOS!$G$2:$G$20000=CONFIG_METADATA!$B$4)*(DATOS!$D$2:$D$20000=A154)*(DATOS!$I$2:$I$20000=B154)*(DATOS!$K$2:$K$20000))/D154,"—")</f>
        <v>—</v>
      </c>
      <c r="F154" s="10" t="str" cm="1">
        <f t="array" ref="F154">IFERROR(_xlfn.STDEV.P(_xlfn._xlws.FILTER(DATOS!$K$2:$K$20000,(DATOS!$G$2:$G$20000=CONFIG_METADATA!$B$4)*(DATOS!$D$2:$D$20000=A154)*(DATOS!$I$2:$I$20000=B154))),"—")</f>
        <v>—</v>
      </c>
      <c r="G154" t="str" cm="1">
        <f t="array" ref="G154">IFERROR(_xlfn.MODE.SNGL(_xlfn._xlws.FILTER(DATOS!$K$2:$K$20000,(DATOS!$G$2:$G$20000=CONFIG_METADATA!$B$4)*(DATOS!$D$2:$D$20000=A154)*(DATOS!$I$2:$I$20000=B154))),"—")</f>
        <v>—</v>
      </c>
      <c r="H154" s="11" t="str">
        <f>IFERROR(SUMPRODUCT((DATOS!$G$2:$G$20000=CONFIG_METADATA!$B$4)*(DATOS!$D$2:$D$20000=A154)*(DATOS!$I$2:$I$20000=B154)*(DATOS!$L$2:$L$20000="S"))/D154,"—")</f>
        <v>—</v>
      </c>
      <c r="I154" s="11" t="str">
        <f>IFERROR(SUMPRODUCT((DATOS!$G$2:$G$20000=CONFIG_METADATA!$B$4)*(DATOS!$D$2:$D$20000=A154)*(DATOS!$I$2:$I$20000=B154)*(DATOS!$L$2:$L$20000="N"))/D154,"—")</f>
        <v>—</v>
      </c>
      <c r="J154" t="str" cm="1">
        <f t="array" ref="J154">IFERROR(_xlfn.MODE.SNGL(_xlfn._xlws.FILTER(DATOS!$K$2:$K$20000,(DATOS!$G$2:$G$20000=CONFIG_METADATA!$B$4)*(DATOS!$D$2:$D$20000=A154)*(DATOS!$I$2:$I$20000=B154)*(DATOS!$L$2:$L$20000="S"))),"—")</f>
        <v>—</v>
      </c>
      <c r="K154" t="str" cm="1">
        <f t="array" ref="K154">IFERROR(_xlfn.MODE.SNGL(_xlfn._xlws.FILTER(DATOS!$K$2:$K$20000,(DATOS!$G$2:$G$20000=CONFIG_METADATA!$B$4)*(DATOS!$D$2:$D$20000=A154)*(DATOS!$I$2:$I$20000=B154)*(DATOS!$L$2:$L$20000="N"))),"—")</f>
        <v>—</v>
      </c>
      <c r="L154">
        <f>SUMPRODUCT((DATOS!$G$2:$G$20000=CONFIG_METADATA!$B$4)*(DATOS!$D$2:$D$20000=A154)*(DATOS!$I$2:$I$20000=B154)*(DATOS!$K$2:$K$20000=1))</f>
        <v>0</v>
      </c>
      <c r="M154">
        <f>SUMPRODUCT((DATOS!$G$2:$G$20000=CONFIG_METADATA!$B$4)*(DATOS!$D$2:$D$20000=A154)*(DATOS!$I$2:$I$20000=B154)*(DATOS!$K$2:$K$20000=2))</f>
        <v>0</v>
      </c>
      <c r="N154">
        <f>SUMPRODUCT((DATOS!$G$2:$G$20000=CONFIG_METADATA!$B$4)*(DATOS!$D$2:$D$20000=A154)*(DATOS!$I$2:$I$20000=B154)*(DATOS!$K$2:$K$20000=3))</f>
        <v>0</v>
      </c>
      <c r="O154">
        <f>SUMPRODUCT((DATOS!$G$2:$G$20000=CONFIG_METADATA!$B$4)*(DATOS!$D$2:$D$20000=A154)*(DATOS!$I$2:$I$20000=B154)*(DATOS!$K$2:$K$20000=4))</f>
        <v>0</v>
      </c>
      <c r="P154">
        <f>SUMPRODUCT((DATOS!$G$2:$G$20000=CONFIG_METADATA!$B$4)*(DATOS!$D$2:$D$20000=A154)*(DATOS!$I$2:$I$20000=B154)*(DATOS!$K$2:$K$20000=5))</f>
        <v>0</v>
      </c>
      <c r="Q154">
        <f>SUMPRODUCT((DATOS!$G$2:$G$20000=CONFIG_METADATA!$B$4)*(DATOS!$D$2:$D$20000=A154)*(DATOS!$I$2:$I$20000=B154)*(DATOS!$K$2:$K$20000=6))</f>
        <v>0</v>
      </c>
      <c r="R154">
        <f>SUMPRODUCT((DATOS!$G$2:$G$20000=CONFIG_METADATA!$B$4)*(DATOS!$D$2:$D$20000=A154)*(DATOS!$I$2:$I$20000=B154)*(DATOS!$K$2:$K$20000=7))</f>
        <v>0</v>
      </c>
      <c r="S154">
        <f>SUMPRODUCT((DATOS!$G$2:$G$20000=CONFIG_METADATA!$B$4)*(DATOS!$D$2:$D$20000=A154)*(DATOS!$I$2:$I$20000=B154)*(DATOS!$K$2:$K$20000=8))</f>
        <v>0</v>
      </c>
      <c r="T154">
        <f>SUMPRODUCT((DATOS!$G$2:$G$20000=CONFIG_METADATA!$B$4)*(DATOS!$D$2:$D$20000=A154)*(DATOS!$I$2:$I$20000=B154)*(DATOS!$K$2:$K$20000=9))</f>
        <v>0</v>
      </c>
      <c r="U154">
        <f>SUMPRODUCT((DATOS!$G$2:$G$20000=CONFIG_METADATA!$B$4)*(DATOS!$D$2:$D$20000=A154)*(DATOS!$I$2:$I$20000=B154)*(DATOS!$K$2:$K$20000=10))</f>
        <v>0</v>
      </c>
    </row>
    <row r="155" spans="1:21" x14ac:dyDescent="0.2">
      <c r="A155" t="s">
        <v>81</v>
      </c>
      <c r="B155" t="s">
        <v>34</v>
      </c>
      <c r="C155" t="s">
        <v>25</v>
      </c>
      <c r="D155">
        <f>SUMPRODUCT((DATOS!$G$2:$G$20000=CONFIG_METADATA!$B$4)*(DATOS!$D$2:$D$20000=A155)*(DATOS!$I$2:$I$20000=B155))</f>
        <v>0</v>
      </c>
      <c r="E155" s="10" t="str">
        <f>IFERROR(SUMPRODUCT((DATOS!$G$2:$G$20000=CONFIG_METADATA!$B$4)*(DATOS!$D$2:$D$20000=A155)*(DATOS!$I$2:$I$20000=B155)*(DATOS!$K$2:$K$20000))/D155,"—")</f>
        <v>—</v>
      </c>
      <c r="F155" s="10" t="str" cm="1">
        <f t="array" ref="F155">IFERROR(_xlfn.STDEV.P(_xlfn._xlws.FILTER(DATOS!$K$2:$K$20000,(DATOS!$G$2:$G$20000=CONFIG_METADATA!$B$4)*(DATOS!$D$2:$D$20000=A155)*(DATOS!$I$2:$I$20000=B155))),"—")</f>
        <v>—</v>
      </c>
      <c r="G155" t="str" cm="1">
        <f t="array" ref="G155">IFERROR(_xlfn.MODE.SNGL(_xlfn._xlws.FILTER(DATOS!$K$2:$K$20000,(DATOS!$G$2:$G$20000=CONFIG_METADATA!$B$4)*(DATOS!$D$2:$D$20000=A155)*(DATOS!$I$2:$I$20000=B155))),"—")</f>
        <v>—</v>
      </c>
      <c r="H155" s="11" t="str">
        <f>IFERROR(SUMPRODUCT((DATOS!$G$2:$G$20000=CONFIG_METADATA!$B$4)*(DATOS!$D$2:$D$20000=A155)*(DATOS!$I$2:$I$20000=B155)*(DATOS!$L$2:$L$20000="S"))/D155,"—")</f>
        <v>—</v>
      </c>
      <c r="I155" s="11" t="str">
        <f>IFERROR(SUMPRODUCT((DATOS!$G$2:$G$20000=CONFIG_METADATA!$B$4)*(DATOS!$D$2:$D$20000=A155)*(DATOS!$I$2:$I$20000=B155)*(DATOS!$L$2:$L$20000="N"))/D155,"—")</f>
        <v>—</v>
      </c>
      <c r="J155" t="str" cm="1">
        <f t="array" ref="J155">IFERROR(_xlfn.MODE.SNGL(_xlfn._xlws.FILTER(DATOS!$K$2:$K$20000,(DATOS!$G$2:$G$20000=CONFIG_METADATA!$B$4)*(DATOS!$D$2:$D$20000=A155)*(DATOS!$I$2:$I$20000=B155)*(DATOS!$L$2:$L$20000="S"))),"—")</f>
        <v>—</v>
      </c>
      <c r="K155" t="str" cm="1">
        <f t="array" ref="K155">IFERROR(_xlfn.MODE.SNGL(_xlfn._xlws.FILTER(DATOS!$K$2:$K$20000,(DATOS!$G$2:$G$20000=CONFIG_METADATA!$B$4)*(DATOS!$D$2:$D$20000=A155)*(DATOS!$I$2:$I$20000=B155)*(DATOS!$L$2:$L$20000="N"))),"—")</f>
        <v>—</v>
      </c>
      <c r="L155">
        <f>SUMPRODUCT((DATOS!$G$2:$G$20000=CONFIG_METADATA!$B$4)*(DATOS!$D$2:$D$20000=A155)*(DATOS!$I$2:$I$20000=B155)*(DATOS!$K$2:$K$20000=1))</f>
        <v>0</v>
      </c>
      <c r="M155">
        <f>SUMPRODUCT((DATOS!$G$2:$G$20000=CONFIG_METADATA!$B$4)*(DATOS!$D$2:$D$20000=A155)*(DATOS!$I$2:$I$20000=B155)*(DATOS!$K$2:$K$20000=2))</f>
        <v>0</v>
      </c>
      <c r="N155">
        <f>SUMPRODUCT((DATOS!$G$2:$G$20000=CONFIG_METADATA!$B$4)*(DATOS!$D$2:$D$20000=A155)*(DATOS!$I$2:$I$20000=B155)*(DATOS!$K$2:$K$20000=3))</f>
        <v>0</v>
      </c>
      <c r="O155">
        <f>SUMPRODUCT((DATOS!$G$2:$G$20000=CONFIG_METADATA!$B$4)*(DATOS!$D$2:$D$20000=A155)*(DATOS!$I$2:$I$20000=B155)*(DATOS!$K$2:$K$20000=4))</f>
        <v>0</v>
      </c>
      <c r="P155">
        <f>SUMPRODUCT((DATOS!$G$2:$G$20000=CONFIG_METADATA!$B$4)*(DATOS!$D$2:$D$20000=A155)*(DATOS!$I$2:$I$20000=B155)*(DATOS!$K$2:$K$20000=5))</f>
        <v>0</v>
      </c>
      <c r="Q155">
        <f>SUMPRODUCT((DATOS!$G$2:$G$20000=CONFIG_METADATA!$B$4)*(DATOS!$D$2:$D$20000=A155)*(DATOS!$I$2:$I$20000=B155)*(DATOS!$K$2:$K$20000=6))</f>
        <v>0</v>
      </c>
      <c r="R155">
        <f>SUMPRODUCT((DATOS!$G$2:$G$20000=CONFIG_METADATA!$B$4)*(DATOS!$D$2:$D$20000=A155)*(DATOS!$I$2:$I$20000=B155)*(DATOS!$K$2:$K$20000=7))</f>
        <v>0</v>
      </c>
      <c r="S155">
        <f>SUMPRODUCT((DATOS!$G$2:$G$20000=CONFIG_METADATA!$B$4)*(DATOS!$D$2:$D$20000=A155)*(DATOS!$I$2:$I$20000=B155)*(DATOS!$K$2:$K$20000=8))</f>
        <v>0</v>
      </c>
      <c r="T155">
        <f>SUMPRODUCT((DATOS!$G$2:$G$20000=CONFIG_METADATA!$B$4)*(DATOS!$D$2:$D$20000=A155)*(DATOS!$I$2:$I$20000=B155)*(DATOS!$K$2:$K$20000=9))</f>
        <v>0</v>
      </c>
      <c r="U155">
        <f>SUMPRODUCT((DATOS!$G$2:$G$20000=CONFIG_METADATA!$B$4)*(DATOS!$D$2:$D$20000=A155)*(DATOS!$I$2:$I$20000=B155)*(DATOS!$K$2:$K$20000=10))</f>
        <v>0</v>
      </c>
    </row>
    <row r="156" spans="1:21" x14ac:dyDescent="0.2">
      <c r="A156" t="s">
        <v>81</v>
      </c>
      <c r="B156" t="s">
        <v>35</v>
      </c>
      <c r="C156" t="s">
        <v>25</v>
      </c>
      <c r="D156">
        <f>SUMPRODUCT((DATOS!$G$2:$G$20000=CONFIG_METADATA!$B$4)*(DATOS!$D$2:$D$20000=A156)*(DATOS!$I$2:$I$20000=B156))</f>
        <v>0</v>
      </c>
      <c r="E156" s="10" t="str">
        <f>IFERROR(SUMPRODUCT((DATOS!$G$2:$G$20000=CONFIG_METADATA!$B$4)*(DATOS!$D$2:$D$20000=A156)*(DATOS!$I$2:$I$20000=B156)*(DATOS!$K$2:$K$20000))/D156,"—")</f>
        <v>—</v>
      </c>
      <c r="F156" s="10" t="str" cm="1">
        <f t="array" ref="F156">IFERROR(_xlfn.STDEV.P(_xlfn._xlws.FILTER(DATOS!$K$2:$K$20000,(DATOS!$G$2:$G$20000=CONFIG_METADATA!$B$4)*(DATOS!$D$2:$D$20000=A156)*(DATOS!$I$2:$I$20000=B156))),"—")</f>
        <v>—</v>
      </c>
      <c r="G156" t="str" cm="1">
        <f t="array" ref="G156">IFERROR(_xlfn.MODE.SNGL(_xlfn._xlws.FILTER(DATOS!$K$2:$K$20000,(DATOS!$G$2:$G$20000=CONFIG_METADATA!$B$4)*(DATOS!$D$2:$D$20000=A156)*(DATOS!$I$2:$I$20000=B156))),"—")</f>
        <v>—</v>
      </c>
      <c r="H156" s="11" t="str">
        <f>IFERROR(SUMPRODUCT((DATOS!$G$2:$G$20000=CONFIG_METADATA!$B$4)*(DATOS!$D$2:$D$20000=A156)*(DATOS!$I$2:$I$20000=B156)*(DATOS!$L$2:$L$20000="S"))/D156,"—")</f>
        <v>—</v>
      </c>
      <c r="I156" s="11" t="str">
        <f>IFERROR(SUMPRODUCT((DATOS!$G$2:$G$20000=CONFIG_METADATA!$B$4)*(DATOS!$D$2:$D$20000=A156)*(DATOS!$I$2:$I$20000=B156)*(DATOS!$L$2:$L$20000="N"))/D156,"—")</f>
        <v>—</v>
      </c>
      <c r="J156" t="str" cm="1">
        <f t="array" ref="J156">IFERROR(_xlfn.MODE.SNGL(_xlfn._xlws.FILTER(DATOS!$K$2:$K$20000,(DATOS!$G$2:$G$20000=CONFIG_METADATA!$B$4)*(DATOS!$D$2:$D$20000=A156)*(DATOS!$I$2:$I$20000=B156)*(DATOS!$L$2:$L$20000="S"))),"—")</f>
        <v>—</v>
      </c>
      <c r="K156" t="str" cm="1">
        <f t="array" ref="K156">IFERROR(_xlfn.MODE.SNGL(_xlfn._xlws.FILTER(DATOS!$K$2:$K$20000,(DATOS!$G$2:$G$20000=CONFIG_METADATA!$B$4)*(DATOS!$D$2:$D$20000=A156)*(DATOS!$I$2:$I$20000=B156)*(DATOS!$L$2:$L$20000="N"))),"—")</f>
        <v>—</v>
      </c>
      <c r="L156">
        <f>SUMPRODUCT((DATOS!$G$2:$G$20000=CONFIG_METADATA!$B$4)*(DATOS!$D$2:$D$20000=A156)*(DATOS!$I$2:$I$20000=B156)*(DATOS!$K$2:$K$20000=1))</f>
        <v>0</v>
      </c>
      <c r="M156">
        <f>SUMPRODUCT((DATOS!$G$2:$G$20000=CONFIG_METADATA!$B$4)*(DATOS!$D$2:$D$20000=A156)*(DATOS!$I$2:$I$20000=B156)*(DATOS!$K$2:$K$20000=2))</f>
        <v>0</v>
      </c>
      <c r="N156">
        <f>SUMPRODUCT((DATOS!$G$2:$G$20000=CONFIG_METADATA!$B$4)*(DATOS!$D$2:$D$20000=A156)*(DATOS!$I$2:$I$20000=B156)*(DATOS!$K$2:$K$20000=3))</f>
        <v>0</v>
      </c>
      <c r="O156">
        <f>SUMPRODUCT((DATOS!$G$2:$G$20000=CONFIG_METADATA!$B$4)*(DATOS!$D$2:$D$20000=A156)*(DATOS!$I$2:$I$20000=B156)*(DATOS!$K$2:$K$20000=4))</f>
        <v>0</v>
      </c>
      <c r="P156">
        <f>SUMPRODUCT((DATOS!$G$2:$G$20000=CONFIG_METADATA!$B$4)*(DATOS!$D$2:$D$20000=A156)*(DATOS!$I$2:$I$20000=B156)*(DATOS!$K$2:$K$20000=5))</f>
        <v>0</v>
      </c>
      <c r="Q156">
        <f>SUMPRODUCT((DATOS!$G$2:$G$20000=CONFIG_METADATA!$B$4)*(DATOS!$D$2:$D$20000=A156)*(DATOS!$I$2:$I$20000=B156)*(DATOS!$K$2:$K$20000=6))</f>
        <v>0</v>
      </c>
      <c r="R156">
        <f>SUMPRODUCT((DATOS!$G$2:$G$20000=CONFIG_METADATA!$B$4)*(DATOS!$D$2:$D$20000=A156)*(DATOS!$I$2:$I$20000=B156)*(DATOS!$K$2:$K$20000=7))</f>
        <v>0</v>
      </c>
      <c r="S156">
        <f>SUMPRODUCT((DATOS!$G$2:$G$20000=CONFIG_METADATA!$B$4)*(DATOS!$D$2:$D$20000=A156)*(DATOS!$I$2:$I$20000=B156)*(DATOS!$K$2:$K$20000=8))</f>
        <v>0</v>
      </c>
      <c r="T156">
        <f>SUMPRODUCT((DATOS!$G$2:$G$20000=CONFIG_METADATA!$B$4)*(DATOS!$D$2:$D$20000=A156)*(DATOS!$I$2:$I$20000=B156)*(DATOS!$K$2:$K$20000=9))</f>
        <v>0</v>
      </c>
      <c r="U156">
        <f>SUMPRODUCT((DATOS!$G$2:$G$20000=CONFIG_METADATA!$B$4)*(DATOS!$D$2:$D$20000=A156)*(DATOS!$I$2:$I$20000=B156)*(DATOS!$K$2:$K$20000=10))</f>
        <v>0</v>
      </c>
    </row>
    <row r="157" spans="1:21" x14ac:dyDescent="0.2">
      <c r="A157" t="s">
        <v>81</v>
      </c>
      <c r="B157" t="s">
        <v>36</v>
      </c>
      <c r="C157" t="s">
        <v>25</v>
      </c>
      <c r="D157">
        <f>SUMPRODUCT((DATOS!$G$2:$G$20000=CONFIG_METADATA!$B$4)*(DATOS!$D$2:$D$20000=A157)*(DATOS!$I$2:$I$20000=B157))</f>
        <v>0</v>
      </c>
      <c r="E157" s="10" t="str">
        <f>IFERROR(SUMPRODUCT((DATOS!$G$2:$G$20000=CONFIG_METADATA!$B$4)*(DATOS!$D$2:$D$20000=A157)*(DATOS!$I$2:$I$20000=B157)*(DATOS!$K$2:$K$20000))/D157,"—")</f>
        <v>—</v>
      </c>
      <c r="F157" s="10" t="str" cm="1">
        <f t="array" ref="F157">IFERROR(_xlfn.STDEV.P(_xlfn._xlws.FILTER(DATOS!$K$2:$K$20000,(DATOS!$G$2:$G$20000=CONFIG_METADATA!$B$4)*(DATOS!$D$2:$D$20000=A157)*(DATOS!$I$2:$I$20000=B157))),"—")</f>
        <v>—</v>
      </c>
      <c r="G157" t="str" cm="1">
        <f t="array" ref="G157">IFERROR(_xlfn.MODE.SNGL(_xlfn._xlws.FILTER(DATOS!$K$2:$K$20000,(DATOS!$G$2:$G$20000=CONFIG_METADATA!$B$4)*(DATOS!$D$2:$D$20000=A157)*(DATOS!$I$2:$I$20000=B157))),"—")</f>
        <v>—</v>
      </c>
      <c r="H157" s="11" t="str">
        <f>IFERROR(SUMPRODUCT((DATOS!$G$2:$G$20000=CONFIG_METADATA!$B$4)*(DATOS!$D$2:$D$20000=A157)*(DATOS!$I$2:$I$20000=B157)*(DATOS!$L$2:$L$20000="S"))/D157,"—")</f>
        <v>—</v>
      </c>
      <c r="I157" s="11" t="str">
        <f>IFERROR(SUMPRODUCT((DATOS!$G$2:$G$20000=CONFIG_METADATA!$B$4)*(DATOS!$D$2:$D$20000=A157)*(DATOS!$I$2:$I$20000=B157)*(DATOS!$L$2:$L$20000="N"))/D157,"—")</f>
        <v>—</v>
      </c>
      <c r="J157" t="str" cm="1">
        <f t="array" ref="J157">IFERROR(_xlfn.MODE.SNGL(_xlfn._xlws.FILTER(DATOS!$K$2:$K$20000,(DATOS!$G$2:$G$20000=CONFIG_METADATA!$B$4)*(DATOS!$D$2:$D$20000=A157)*(DATOS!$I$2:$I$20000=B157)*(DATOS!$L$2:$L$20000="S"))),"—")</f>
        <v>—</v>
      </c>
      <c r="K157" t="str" cm="1">
        <f t="array" ref="K157">IFERROR(_xlfn.MODE.SNGL(_xlfn._xlws.FILTER(DATOS!$K$2:$K$20000,(DATOS!$G$2:$G$20000=CONFIG_METADATA!$B$4)*(DATOS!$D$2:$D$20000=A157)*(DATOS!$I$2:$I$20000=B157)*(DATOS!$L$2:$L$20000="N"))),"—")</f>
        <v>—</v>
      </c>
      <c r="L157">
        <f>SUMPRODUCT((DATOS!$G$2:$G$20000=CONFIG_METADATA!$B$4)*(DATOS!$D$2:$D$20000=A157)*(DATOS!$I$2:$I$20000=B157)*(DATOS!$K$2:$K$20000=1))</f>
        <v>0</v>
      </c>
      <c r="M157">
        <f>SUMPRODUCT((DATOS!$G$2:$G$20000=CONFIG_METADATA!$B$4)*(DATOS!$D$2:$D$20000=A157)*(DATOS!$I$2:$I$20000=B157)*(DATOS!$K$2:$K$20000=2))</f>
        <v>0</v>
      </c>
      <c r="N157">
        <f>SUMPRODUCT((DATOS!$G$2:$G$20000=CONFIG_METADATA!$B$4)*(DATOS!$D$2:$D$20000=A157)*(DATOS!$I$2:$I$20000=B157)*(DATOS!$K$2:$K$20000=3))</f>
        <v>0</v>
      </c>
      <c r="O157">
        <f>SUMPRODUCT((DATOS!$G$2:$G$20000=CONFIG_METADATA!$B$4)*(DATOS!$D$2:$D$20000=A157)*(DATOS!$I$2:$I$20000=B157)*(DATOS!$K$2:$K$20000=4))</f>
        <v>0</v>
      </c>
      <c r="P157">
        <f>SUMPRODUCT((DATOS!$G$2:$G$20000=CONFIG_METADATA!$B$4)*(DATOS!$D$2:$D$20000=A157)*(DATOS!$I$2:$I$20000=B157)*(DATOS!$K$2:$K$20000=5))</f>
        <v>0</v>
      </c>
      <c r="Q157">
        <f>SUMPRODUCT((DATOS!$G$2:$G$20000=CONFIG_METADATA!$B$4)*(DATOS!$D$2:$D$20000=A157)*(DATOS!$I$2:$I$20000=B157)*(DATOS!$K$2:$K$20000=6))</f>
        <v>0</v>
      </c>
      <c r="R157">
        <f>SUMPRODUCT((DATOS!$G$2:$G$20000=CONFIG_METADATA!$B$4)*(DATOS!$D$2:$D$20000=A157)*(DATOS!$I$2:$I$20000=B157)*(DATOS!$K$2:$K$20000=7))</f>
        <v>0</v>
      </c>
      <c r="S157">
        <f>SUMPRODUCT((DATOS!$G$2:$G$20000=CONFIG_METADATA!$B$4)*(DATOS!$D$2:$D$20000=A157)*(DATOS!$I$2:$I$20000=B157)*(DATOS!$K$2:$K$20000=8))</f>
        <v>0</v>
      </c>
      <c r="T157">
        <f>SUMPRODUCT((DATOS!$G$2:$G$20000=CONFIG_METADATA!$B$4)*(DATOS!$D$2:$D$20000=A157)*(DATOS!$I$2:$I$20000=B157)*(DATOS!$K$2:$K$20000=9))</f>
        <v>0</v>
      </c>
      <c r="U157">
        <f>SUMPRODUCT((DATOS!$G$2:$G$20000=CONFIG_METADATA!$B$4)*(DATOS!$D$2:$D$20000=A157)*(DATOS!$I$2:$I$20000=B157)*(DATOS!$K$2:$K$20000=10))</f>
        <v>0</v>
      </c>
    </row>
    <row r="158" spans="1:21" x14ac:dyDescent="0.2">
      <c r="A158" t="s">
        <v>81</v>
      </c>
      <c r="B158" t="s">
        <v>37</v>
      </c>
      <c r="C158" t="s">
        <v>25</v>
      </c>
      <c r="D158">
        <f>SUMPRODUCT((DATOS!$G$2:$G$20000=CONFIG_METADATA!$B$4)*(DATOS!$D$2:$D$20000=A158)*(DATOS!$I$2:$I$20000=B158))</f>
        <v>0</v>
      </c>
      <c r="E158" s="10" t="str">
        <f>IFERROR(SUMPRODUCT((DATOS!$G$2:$G$20000=CONFIG_METADATA!$B$4)*(DATOS!$D$2:$D$20000=A158)*(DATOS!$I$2:$I$20000=B158)*(DATOS!$K$2:$K$20000))/D158,"—")</f>
        <v>—</v>
      </c>
      <c r="F158" s="10" t="str" cm="1">
        <f t="array" ref="F158">IFERROR(_xlfn.STDEV.P(_xlfn._xlws.FILTER(DATOS!$K$2:$K$20000,(DATOS!$G$2:$G$20000=CONFIG_METADATA!$B$4)*(DATOS!$D$2:$D$20000=A158)*(DATOS!$I$2:$I$20000=B158))),"—")</f>
        <v>—</v>
      </c>
      <c r="G158" t="str" cm="1">
        <f t="array" ref="G158">IFERROR(_xlfn.MODE.SNGL(_xlfn._xlws.FILTER(DATOS!$K$2:$K$20000,(DATOS!$G$2:$G$20000=CONFIG_METADATA!$B$4)*(DATOS!$D$2:$D$20000=A158)*(DATOS!$I$2:$I$20000=B158))),"—")</f>
        <v>—</v>
      </c>
      <c r="H158" s="11" t="str">
        <f>IFERROR(SUMPRODUCT((DATOS!$G$2:$G$20000=CONFIG_METADATA!$B$4)*(DATOS!$D$2:$D$20000=A158)*(DATOS!$I$2:$I$20000=B158)*(DATOS!$L$2:$L$20000="S"))/D158,"—")</f>
        <v>—</v>
      </c>
      <c r="I158" s="11" t="str">
        <f>IFERROR(SUMPRODUCT((DATOS!$G$2:$G$20000=CONFIG_METADATA!$B$4)*(DATOS!$D$2:$D$20000=A158)*(DATOS!$I$2:$I$20000=B158)*(DATOS!$L$2:$L$20000="N"))/D158,"—")</f>
        <v>—</v>
      </c>
      <c r="J158" t="str" cm="1">
        <f t="array" ref="J158">IFERROR(_xlfn.MODE.SNGL(_xlfn._xlws.FILTER(DATOS!$K$2:$K$20000,(DATOS!$G$2:$G$20000=CONFIG_METADATA!$B$4)*(DATOS!$D$2:$D$20000=A158)*(DATOS!$I$2:$I$20000=B158)*(DATOS!$L$2:$L$20000="S"))),"—")</f>
        <v>—</v>
      </c>
      <c r="K158" t="str" cm="1">
        <f t="array" ref="K158">IFERROR(_xlfn.MODE.SNGL(_xlfn._xlws.FILTER(DATOS!$K$2:$K$20000,(DATOS!$G$2:$G$20000=CONFIG_METADATA!$B$4)*(DATOS!$D$2:$D$20000=A158)*(DATOS!$I$2:$I$20000=B158)*(DATOS!$L$2:$L$20000="N"))),"—")</f>
        <v>—</v>
      </c>
      <c r="L158">
        <f>SUMPRODUCT((DATOS!$G$2:$G$20000=CONFIG_METADATA!$B$4)*(DATOS!$D$2:$D$20000=A158)*(DATOS!$I$2:$I$20000=B158)*(DATOS!$K$2:$K$20000=1))</f>
        <v>0</v>
      </c>
      <c r="M158">
        <f>SUMPRODUCT((DATOS!$G$2:$G$20000=CONFIG_METADATA!$B$4)*(DATOS!$D$2:$D$20000=A158)*(DATOS!$I$2:$I$20000=B158)*(DATOS!$K$2:$K$20000=2))</f>
        <v>0</v>
      </c>
      <c r="N158">
        <f>SUMPRODUCT((DATOS!$G$2:$G$20000=CONFIG_METADATA!$B$4)*(DATOS!$D$2:$D$20000=A158)*(DATOS!$I$2:$I$20000=B158)*(DATOS!$K$2:$K$20000=3))</f>
        <v>0</v>
      </c>
      <c r="O158">
        <f>SUMPRODUCT((DATOS!$G$2:$G$20000=CONFIG_METADATA!$B$4)*(DATOS!$D$2:$D$20000=A158)*(DATOS!$I$2:$I$20000=B158)*(DATOS!$K$2:$K$20000=4))</f>
        <v>0</v>
      </c>
      <c r="P158">
        <f>SUMPRODUCT((DATOS!$G$2:$G$20000=CONFIG_METADATA!$B$4)*(DATOS!$D$2:$D$20000=A158)*(DATOS!$I$2:$I$20000=B158)*(DATOS!$K$2:$K$20000=5))</f>
        <v>0</v>
      </c>
      <c r="Q158">
        <f>SUMPRODUCT((DATOS!$G$2:$G$20000=CONFIG_METADATA!$B$4)*(DATOS!$D$2:$D$20000=A158)*(DATOS!$I$2:$I$20000=B158)*(DATOS!$K$2:$K$20000=6))</f>
        <v>0</v>
      </c>
      <c r="R158">
        <f>SUMPRODUCT((DATOS!$G$2:$G$20000=CONFIG_METADATA!$B$4)*(DATOS!$D$2:$D$20000=A158)*(DATOS!$I$2:$I$20000=B158)*(DATOS!$K$2:$K$20000=7))</f>
        <v>0</v>
      </c>
      <c r="S158">
        <f>SUMPRODUCT((DATOS!$G$2:$G$20000=CONFIG_METADATA!$B$4)*(DATOS!$D$2:$D$20000=A158)*(DATOS!$I$2:$I$20000=B158)*(DATOS!$K$2:$K$20000=8))</f>
        <v>0</v>
      </c>
      <c r="T158">
        <f>SUMPRODUCT((DATOS!$G$2:$G$20000=CONFIG_METADATA!$B$4)*(DATOS!$D$2:$D$20000=A158)*(DATOS!$I$2:$I$20000=B158)*(DATOS!$K$2:$K$20000=9))</f>
        <v>0</v>
      </c>
      <c r="U158">
        <f>SUMPRODUCT((DATOS!$G$2:$G$20000=CONFIG_METADATA!$B$4)*(DATOS!$D$2:$D$20000=A158)*(DATOS!$I$2:$I$20000=B158)*(DATOS!$K$2:$K$20000=10))</f>
        <v>0</v>
      </c>
    </row>
    <row r="159" spans="1:21" x14ac:dyDescent="0.2">
      <c r="A159" t="s">
        <v>81</v>
      </c>
      <c r="B159" t="s">
        <v>38</v>
      </c>
      <c r="C159" t="s">
        <v>25</v>
      </c>
      <c r="D159">
        <f>SUMPRODUCT((DATOS!$G$2:$G$20000=CONFIG_METADATA!$B$4)*(DATOS!$D$2:$D$20000=A159)*(DATOS!$I$2:$I$20000=B159))</f>
        <v>0</v>
      </c>
      <c r="E159" s="10" t="str">
        <f>IFERROR(SUMPRODUCT((DATOS!$G$2:$G$20000=CONFIG_METADATA!$B$4)*(DATOS!$D$2:$D$20000=A159)*(DATOS!$I$2:$I$20000=B159)*(DATOS!$K$2:$K$20000))/D159,"—")</f>
        <v>—</v>
      </c>
      <c r="F159" s="10" t="str" cm="1">
        <f t="array" ref="F159">IFERROR(_xlfn.STDEV.P(_xlfn._xlws.FILTER(DATOS!$K$2:$K$20000,(DATOS!$G$2:$G$20000=CONFIG_METADATA!$B$4)*(DATOS!$D$2:$D$20000=A159)*(DATOS!$I$2:$I$20000=B159))),"—")</f>
        <v>—</v>
      </c>
      <c r="G159" t="str" cm="1">
        <f t="array" ref="G159">IFERROR(_xlfn.MODE.SNGL(_xlfn._xlws.FILTER(DATOS!$K$2:$K$20000,(DATOS!$G$2:$G$20000=CONFIG_METADATA!$B$4)*(DATOS!$D$2:$D$20000=A159)*(DATOS!$I$2:$I$20000=B159))),"—")</f>
        <v>—</v>
      </c>
      <c r="H159" s="11" t="str">
        <f>IFERROR(SUMPRODUCT((DATOS!$G$2:$G$20000=CONFIG_METADATA!$B$4)*(DATOS!$D$2:$D$20000=A159)*(DATOS!$I$2:$I$20000=B159)*(DATOS!$L$2:$L$20000="S"))/D159,"—")</f>
        <v>—</v>
      </c>
      <c r="I159" s="11" t="str">
        <f>IFERROR(SUMPRODUCT((DATOS!$G$2:$G$20000=CONFIG_METADATA!$B$4)*(DATOS!$D$2:$D$20000=A159)*(DATOS!$I$2:$I$20000=B159)*(DATOS!$L$2:$L$20000="N"))/D159,"—")</f>
        <v>—</v>
      </c>
      <c r="J159" t="str" cm="1">
        <f t="array" ref="J159">IFERROR(_xlfn.MODE.SNGL(_xlfn._xlws.FILTER(DATOS!$K$2:$K$20000,(DATOS!$G$2:$G$20000=CONFIG_METADATA!$B$4)*(DATOS!$D$2:$D$20000=A159)*(DATOS!$I$2:$I$20000=B159)*(DATOS!$L$2:$L$20000="S"))),"—")</f>
        <v>—</v>
      </c>
      <c r="K159" t="str" cm="1">
        <f t="array" ref="K159">IFERROR(_xlfn.MODE.SNGL(_xlfn._xlws.FILTER(DATOS!$K$2:$K$20000,(DATOS!$G$2:$G$20000=CONFIG_METADATA!$B$4)*(DATOS!$D$2:$D$20000=A159)*(DATOS!$I$2:$I$20000=B159)*(DATOS!$L$2:$L$20000="N"))),"—")</f>
        <v>—</v>
      </c>
      <c r="L159">
        <f>SUMPRODUCT((DATOS!$G$2:$G$20000=CONFIG_METADATA!$B$4)*(DATOS!$D$2:$D$20000=A159)*(DATOS!$I$2:$I$20000=B159)*(DATOS!$K$2:$K$20000=1))</f>
        <v>0</v>
      </c>
      <c r="M159">
        <f>SUMPRODUCT((DATOS!$G$2:$G$20000=CONFIG_METADATA!$B$4)*(DATOS!$D$2:$D$20000=A159)*(DATOS!$I$2:$I$20000=B159)*(DATOS!$K$2:$K$20000=2))</f>
        <v>0</v>
      </c>
      <c r="N159">
        <f>SUMPRODUCT((DATOS!$G$2:$G$20000=CONFIG_METADATA!$B$4)*(DATOS!$D$2:$D$20000=A159)*(DATOS!$I$2:$I$20000=B159)*(DATOS!$K$2:$K$20000=3))</f>
        <v>0</v>
      </c>
      <c r="O159">
        <f>SUMPRODUCT((DATOS!$G$2:$G$20000=CONFIG_METADATA!$B$4)*(DATOS!$D$2:$D$20000=A159)*(DATOS!$I$2:$I$20000=B159)*(DATOS!$K$2:$K$20000=4))</f>
        <v>0</v>
      </c>
      <c r="P159">
        <f>SUMPRODUCT((DATOS!$G$2:$G$20000=CONFIG_METADATA!$B$4)*(DATOS!$D$2:$D$20000=A159)*(DATOS!$I$2:$I$20000=B159)*(DATOS!$K$2:$K$20000=5))</f>
        <v>0</v>
      </c>
      <c r="Q159">
        <f>SUMPRODUCT((DATOS!$G$2:$G$20000=CONFIG_METADATA!$B$4)*(DATOS!$D$2:$D$20000=A159)*(DATOS!$I$2:$I$20000=B159)*(DATOS!$K$2:$K$20000=6))</f>
        <v>0</v>
      </c>
      <c r="R159">
        <f>SUMPRODUCT((DATOS!$G$2:$G$20000=CONFIG_METADATA!$B$4)*(DATOS!$D$2:$D$20000=A159)*(DATOS!$I$2:$I$20000=B159)*(DATOS!$K$2:$K$20000=7))</f>
        <v>0</v>
      </c>
      <c r="S159">
        <f>SUMPRODUCT((DATOS!$G$2:$G$20000=CONFIG_METADATA!$B$4)*(DATOS!$D$2:$D$20000=A159)*(DATOS!$I$2:$I$20000=B159)*(DATOS!$K$2:$K$20000=8))</f>
        <v>0</v>
      </c>
      <c r="T159">
        <f>SUMPRODUCT((DATOS!$G$2:$G$20000=CONFIG_METADATA!$B$4)*(DATOS!$D$2:$D$20000=A159)*(DATOS!$I$2:$I$20000=B159)*(DATOS!$K$2:$K$20000=9))</f>
        <v>0</v>
      </c>
      <c r="U159">
        <f>SUMPRODUCT((DATOS!$G$2:$G$20000=CONFIG_METADATA!$B$4)*(DATOS!$D$2:$D$20000=A159)*(DATOS!$I$2:$I$20000=B159)*(DATOS!$K$2:$K$20000=10))</f>
        <v>0</v>
      </c>
    </row>
    <row r="160" spans="1:21" x14ac:dyDescent="0.2">
      <c r="A160" t="s">
        <v>81</v>
      </c>
      <c r="B160" t="s">
        <v>39</v>
      </c>
      <c r="C160" t="s">
        <v>25</v>
      </c>
      <c r="D160">
        <f>SUMPRODUCT((DATOS!$G$2:$G$20000=CONFIG_METADATA!$B$4)*(DATOS!$D$2:$D$20000=A160)*(DATOS!$I$2:$I$20000=B160))</f>
        <v>0</v>
      </c>
      <c r="E160" s="10" t="str">
        <f>IFERROR(SUMPRODUCT((DATOS!$G$2:$G$20000=CONFIG_METADATA!$B$4)*(DATOS!$D$2:$D$20000=A160)*(DATOS!$I$2:$I$20000=B160)*(DATOS!$K$2:$K$20000))/D160,"—")</f>
        <v>—</v>
      </c>
      <c r="F160" s="10" t="str" cm="1">
        <f t="array" ref="F160">IFERROR(_xlfn.STDEV.P(_xlfn._xlws.FILTER(DATOS!$K$2:$K$20000,(DATOS!$G$2:$G$20000=CONFIG_METADATA!$B$4)*(DATOS!$D$2:$D$20000=A160)*(DATOS!$I$2:$I$20000=B160))),"—")</f>
        <v>—</v>
      </c>
      <c r="G160" t="str" cm="1">
        <f t="array" ref="G160">IFERROR(_xlfn.MODE.SNGL(_xlfn._xlws.FILTER(DATOS!$K$2:$K$20000,(DATOS!$G$2:$G$20000=CONFIG_METADATA!$B$4)*(DATOS!$D$2:$D$20000=A160)*(DATOS!$I$2:$I$20000=B160))),"—")</f>
        <v>—</v>
      </c>
      <c r="H160" s="11" t="str">
        <f>IFERROR(SUMPRODUCT((DATOS!$G$2:$G$20000=CONFIG_METADATA!$B$4)*(DATOS!$D$2:$D$20000=A160)*(DATOS!$I$2:$I$20000=B160)*(DATOS!$L$2:$L$20000="S"))/D160,"—")</f>
        <v>—</v>
      </c>
      <c r="I160" s="11" t="str">
        <f>IFERROR(SUMPRODUCT((DATOS!$G$2:$G$20000=CONFIG_METADATA!$B$4)*(DATOS!$D$2:$D$20000=A160)*(DATOS!$I$2:$I$20000=B160)*(DATOS!$L$2:$L$20000="N"))/D160,"—")</f>
        <v>—</v>
      </c>
      <c r="J160" t="str" cm="1">
        <f t="array" ref="J160">IFERROR(_xlfn.MODE.SNGL(_xlfn._xlws.FILTER(DATOS!$K$2:$K$20000,(DATOS!$G$2:$G$20000=CONFIG_METADATA!$B$4)*(DATOS!$D$2:$D$20000=A160)*(DATOS!$I$2:$I$20000=B160)*(DATOS!$L$2:$L$20000="S"))),"—")</f>
        <v>—</v>
      </c>
      <c r="K160" t="str" cm="1">
        <f t="array" ref="K160">IFERROR(_xlfn.MODE.SNGL(_xlfn._xlws.FILTER(DATOS!$K$2:$K$20000,(DATOS!$G$2:$G$20000=CONFIG_METADATA!$B$4)*(DATOS!$D$2:$D$20000=A160)*(DATOS!$I$2:$I$20000=B160)*(DATOS!$L$2:$L$20000="N"))),"—")</f>
        <v>—</v>
      </c>
      <c r="L160">
        <f>SUMPRODUCT((DATOS!$G$2:$G$20000=CONFIG_METADATA!$B$4)*(DATOS!$D$2:$D$20000=A160)*(DATOS!$I$2:$I$20000=B160)*(DATOS!$K$2:$K$20000=1))</f>
        <v>0</v>
      </c>
      <c r="M160">
        <f>SUMPRODUCT((DATOS!$G$2:$G$20000=CONFIG_METADATA!$B$4)*(DATOS!$D$2:$D$20000=A160)*(DATOS!$I$2:$I$20000=B160)*(DATOS!$K$2:$K$20000=2))</f>
        <v>0</v>
      </c>
      <c r="N160">
        <f>SUMPRODUCT((DATOS!$G$2:$G$20000=CONFIG_METADATA!$B$4)*(DATOS!$D$2:$D$20000=A160)*(DATOS!$I$2:$I$20000=B160)*(DATOS!$K$2:$K$20000=3))</f>
        <v>0</v>
      </c>
      <c r="O160">
        <f>SUMPRODUCT((DATOS!$G$2:$G$20000=CONFIG_METADATA!$B$4)*(DATOS!$D$2:$D$20000=A160)*(DATOS!$I$2:$I$20000=B160)*(DATOS!$K$2:$K$20000=4))</f>
        <v>0</v>
      </c>
      <c r="P160">
        <f>SUMPRODUCT((DATOS!$G$2:$G$20000=CONFIG_METADATA!$B$4)*(DATOS!$D$2:$D$20000=A160)*(DATOS!$I$2:$I$20000=B160)*(DATOS!$K$2:$K$20000=5))</f>
        <v>0</v>
      </c>
      <c r="Q160">
        <f>SUMPRODUCT((DATOS!$G$2:$G$20000=CONFIG_METADATA!$B$4)*(DATOS!$D$2:$D$20000=A160)*(DATOS!$I$2:$I$20000=B160)*(DATOS!$K$2:$K$20000=6))</f>
        <v>0</v>
      </c>
      <c r="R160">
        <f>SUMPRODUCT((DATOS!$G$2:$G$20000=CONFIG_METADATA!$B$4)*(DATOS!$D$2:$D$20000=A160)*(DATOS!$I$2:$I$20000=B160)*(DATOS!$K$2:$K$20000=7))</f>
        <v>0</v>
      </c>
      <c r="S160">
        <f>SUMPRODUCT((DATOS!$G$2:$G$20000=CONFIG_METADATA!$B$4)*(DATOS!$D$2:$D$20000=A160)*(DATOS!$I$2:$I$20000=B160)*(DATOS!$K$2:$K$20000=8))</f>
        <v>0</v>
      </c>
      <c r="T160">
        <f>SUMPRODUCT((DATOS!$G$2:$G$20000=CONFIG_METADATA!$B$4)*(DATOS!$D$2:$D$20000=A160)*(DATOS!$I$2:$I$20000=B160)*(DATOS!$K$2:$K$20000=9))</f>
        <v>0</v>
      </c>
      <c r="U160">
        <f>SUMPRODUCT((DATOS!$G$2:$G$20000=CONFIG_METADATA!$B$4)*(DATOS!$D$2:$D$20000=A160)*(DATOS!$I$2:$I$20000=B160)*(DATOS!$K$2:$K$20000=10))</f>
        <v>0</v>
      </c>
    </row>
    <row r="161" spans="1:21" x14ac:dyDescent="0.2">
      <c r="A161" t="s">
        <v>81</v>
      </c>
      <c r="B161" t="s">
        <v>41</v>
      </c>
      <c r="C161" t="s">
        <v>25</v>
      </c>
      <c r="D161">
        <f>SUMPRODUCT((DATOS!$G$2:$G$20000=CONFIG_METADATA!$B$4)*(DATOS!$D$2:$D$20000=A161)*(DATOS!$I$2:$I$20000=B161))</f>
        <v>0</v>
      </c>
      <c r="E161" s="10" t="str">
        <f>IFERROR(SUMPRODUCT((DATOS!$G$2:$G$20000=CONFIG_METADATA!$B$4)*(DATOS!$D$2:$D$20000=A161)*(DATOS!$I$2:$I$20000=B161)*(DATOS!$K$2:$K$20000))/D161,"—")</f>
        <v>—</v>
      </c>
      <c r="F161" s="10" t="str" cm="1">
        <f t="array" ref="F161">IFERROR(_xlfn.STDEV.P(_xlfn._xlws.FILTER(DATOS!$K$2:$K$20000,(DATOS!$G$2:$G$20000=CONFIG_METADATA!$B$4)*(DATOS!$D$2:$D$20000=A161)*(DATOS!$I$2:$I$20000=B161))),"—")</f>
        <v>—</v>
      </c>
      <c r="G161" t="str" cm="1">
        <f t="array" ref="G161">IFERROR(_xlfn.MODE.SNGL(_xlfn._xlws.FILTER(DATOS!$K$2:$K$20000,(DATOS!$G$2:$G$20000=CONFIG_METADATA!$B$4)*(DATOS!$D$2:$D$20000=A161)*(DATOS!$I$2:$I$20000=B161))),"—")</f>
        <v>—</v>
      </c>
      <c r="H161" s="11" t="str">
        <f>IFERROR(SUMPRODUCT((DATOS!$G$2:$G$20000=CONFIG_METADATA!$B$4)*(DATOS!$D$2:$D$20000=A161)*(DATOS!$I$2:$I$20000=B161)*(DATOS!$L$2:$L$20000="S"))/D161,"—")</f>
        <v>—</v>
      </c>
      <c r="I161" s="11" t="str">
        <f>IFERROR(SUMPRODUCT((DATOS!$G$2:$G$20000=CONFIG_METADATA!$B$4)*(DATOS!$D$2:$D$20000=A161)*(DATOS!$I$2:$I$20000=B161)*(DATOS!$L$2:$L$20000="N"))/D161,"—")</f>
        <v>—</v>
      </c>
      <c r="J161" t="str" cm="1">
        <f t="array" ref="J161">IFERROR(_xlfn.MODE.SNGL(_xlfn._xlws.FILTER(DATOS!$K$2:$K$20000,(DATOS!$G$2:$G$20000=CONFIG_METADATA!$B$4)*(DATOS!$D$2:$D$20000=A161)*(DATOS!$I$2:$I$20000=B161)*(DATOS!$L$2:$L$20000="S"))),"—")</f>
        <v>—</v>
      </c>
      <c r="K161" t="str" cm="1">
        <f t="array" ref="K161">IFERROR(_xlfn.MODE.SNGL(_xlfn._xlws.FILTER(DATOS!$K$2:$K$20000,(DATOS!$G$2:$G$20000=CONFIG_METADATA!$B$4)*(DATOS!$D$2:$D$20000=A161)*(DATOS!$I$2:$I$20000=B161)*(DATOS!$L$2:$L$20000="N"))),"—")</f>
        <v>—</v>
      </c>
      <c r="L161">
        <f>SUMPRODUCT((DATOS!$G$2:$G$20000=CONFIG_METADATA!$B$4)*(DATOS!$D$2:$D$20000=A161)*(DATOS!$I$2:$I$20000=B161)*(DATOS!$K$2:$K$20000=1))</f>
        <v>0</v>
      </c>
      <c r="M161">
        <f>SUMPRODUCT((DATOS!$G$2:$G$20000=CONFIG_METADATA!$B$4)*(DATOS!$D$2:$D$20000=A161)*(DATOS!$I$2:$I$20000=B161)*(DATOS!$K$2:$K$20000=2))</f>
        <v>0</v>
      </c>
      <c r="N161">
        <f>SUMPRODUCT((DATOS!$G$2:$G$20000=CONFIG_METADATA!$B$4)*(DATOS!$D$2:$D$20000=A161)*(DATOS!$I$2:$I$20000=B161)*(DATOS!$K$2:$K$20000=3))</f>
        <v>0</v>
      </c>
      <c r="O161">
        <f>SUMPRODUCT((DATOS!$G$2:$G$20000=CONFIG_METADATA!$B$4)*(DATOS!$D$2:$D$20000=A161)*(DATOS!$I$2:$I$20000=B161)*(DATOS!$K$2:$K$20000=4))</f>
        <v>0</v>
      </c>
      <c r="P161">
        <f>SUMPRODUCT((DATOS!$G$2:$G$20000=CONFIG_METADATA!$B$4)*(DATOS!$D$2:$D$20000=A161)*(DATOS!$I$2:$I$20000=B161)*(DATOS!$K$2:$K$20000=5))</f>
        <v>0</v>
      </c>
      <c r="Q161">
        <f>SUMPRODUCT((DATOS!$G$2:$G$20000=CONFIG_METADATA!$B$4)*(DATOS!$D$2:$D$20000=A161)*(DATOS!$I$2:$I$20000=B161)*(DATOS!$K$2:$K$20000=6))</f>
        <v>0</v>
      </c>
      <c r="R161">
        <f>SUMPRODUCT((DATOS!$G$2:$G$20000=CONFIG_METADATA!$B$4)*(DATOS!$D$2:$D$20000=A161)*(DATOS!$I$2:$I$20000=B161)*(DATOS!$K$2:$K$20000=7))</f>
        <v>0</v>
      </c>
      <c r="S161">
        <f>SUMPRODUCT((DATOS!$G$2:$G$20000=CONFIG_METADATA!$B$4)*(DATOS!$D$2:$D$20000=A161)*(DATOS!$I$2:$I$20000=B161)*(DATOS!$K$2:$K$20000=8))</f>
        <v>0</v>
      </c>
      <c r="T161">
        <f>SUMPRODUCT((DATOS!$G$2:$G$20000=CONFIG_METADATA!$B$4)*(DATOS!$D$2:$D$20000=A161)*(DATOS!$I$2:$I$20000=B161)*(DATOS!$K$2:$K$20000=9))</f>
        <v>0</v>
      </c>
      <c r="U161">
        <f>SUMPRODUCT((DATOS!$G$2:$G$20000=CONFIG_METADATA!$B$4)*(DATOS!$D$2:$D$20000=A161)*(DATOS!$I$2:$I$20000=B161)*(DATOS!$K$2:$K$20000=10))</f>
        <v>0</v>
      </c>
    </row>
    <row r="162" spans="1:21" x14ac:dyDescent="0.2">
      <c r="A162" t="s">
        <v>81</v>
      </c>
      <c r="B162" t="s">
        <v>43</v>
      </c>
      <c r="C162" t="s">
        <v>25</v>
      </c>
      <c r="D162">
        <f>SUMPRODUCT((DATOS!$G$2:$G$20000=CONFIG_METADATA!$B$4)*(DATOS!$D$2:$D$20000=A162)*(DATOS!$I$2:$I$20000=B162))</f>
        <v>0</v>
      </c>
      <c r="E162" s="10" t="str">
        <f>IFERROR(SUMPRODUCT((DATOS!$G$2:$G$20000=CONFIG_METADATA!$B$4)*(DATOS!$D$2:$D$20000=A162)*(DATOS!$I$2:$I$20000=B162)*(DATOS!$K$2:$K$20000))/D162,"—")</f>
        <v>—</v>
      </c>
      <c r="F162" s="10" t="str" cm="1">
        <f t="array" ref="F162">IFERROR(_xlfn.STDEV.P(_xlfn._xlws.FILTER(DATOS!$K$2:$K$20000,(DATOS!$G$2:$G$20000=CONFIG_METADATA!$B$4)*(DATOS!$D$2:$D$20000=A162)*(DATOS!$I$2:$I$20000=B162))),"—")</f>
        <v>—</v>
      </c>
      <c r="G162" t="str" cm="1">
        <f t="array" ref="G162">IFERROR(_xlfn.MODE.SNGL(_xlfn._xlws.FILTER(DATOS!$K$2:$K$20000,(DATOS!$G$2:$G$20000=CONFIG_METADATA!$B$4)*(DATOS!$D$2:$D$20000=A162)*(DATOS!$I$2:$I$20000=B162))),"—")</f>
        <v>—</v>
      </c>
      <c r="H162" s="11" t="str">
        <f>IFERROR(SUMPRODUCT((DATOS!$G$2:$G$20000=CONFIG_METADATA!$B$4)*(DATOS!$D$2:$D$20000=A162)*(DATOS!$I$2:$I$20000=B162)*(DATOS!$L$2:$L$20000="S"))/D162,"—")</f>
        <v>—</v>
      </c>
      <c r="I162" s="11" t="str">
        <f>IFERROR(SUMPRODUCT((DATOS!$G$2:$G$20000=CONFIG_METADATA!$B$4)*(DATOS!$D$2:$D$20000=A162)*(DATOS!$I$2:$I$20000=B162)*(DATOS!$L$2:$L$20000="N"))/D162,"—")</f>
        <v>—</v>
      </c>
      <c r="J162" t="str" cm="1">
        <f t="array" ref="J162">IFERROR(_xlfn.MODE.SNGL(_xlfn._xlws.FILTER(DATOS!$K$2:$K$20000,(DATOS!$G$2:$G$20000=CONFIG_METADATA!$B$4)*(DATOS!$D$2:$D$20000=A162)*(DATOS!$I$2:$I$20000=B162)*(DATOS!$L$2:$L$20000="S"))),"—")</f>
        <v>—</v>
      </c>
      <c r="K162" t="str" cm="1">
        <f t="array" ref="K162">IFERROR(_xlfn.MODE.SNGL(_xlfn._xlws.FILTER(DATOS!$K$2:$K$20000,(DATOS!$G$2:$G$20000=CONFIG_METADATA!$B$4)*(DATOS!$D$2:$D$20000=A162)*(DATOS!$I$2:$I$20000=B162)*(DATOS!$L$2:$L$20000="N"))),"—")</f>
        <v>—</v>
      </c>
      <c r="L162">
        <f>SUMPRODUCT((DATOS!$G$2:$G$20000=CONFIG_METADATA!$B$4)*(DATOS!$D$2:$D$20000=A162)*(DATOS!$I$2:$I$20000=B162)*(DATOS!$K$2:$K$20000=1))</f>
        <v>0</v>
      </c>
      <c r="M162">
        <f>SUMPRODUCT((DATOS!$G$2:$G$20000=CONFIG_METADATA!$B$4)*(DATOS!$D$2:$D$20000=A162)*(DATOS!$I$2:$I$20000=B162)*(DATOS!$K$2:$K$20000=2))</f>
        <v>0</v>
      </c>
      <c r="N162">
        <f>SUMPRODUCT((DATOS!$G$2:$G$20000=CONFIG_METADATA!$B$4)*(DATOS!$D$2:$D$20000=A162)*(DATOS!$I$2:$I$20000=B162)*(DATOS!$K$2:$K$20000=3))</f>
        <v>0</v>
      </c>
      <c r="O162">
        <f>SUMPRODUCT((DATOS!$G$2:$G$20000=CONFIG_METADATA!$B$4)*(DATOS!$D$2:$D$20000=A162)*(DATOS!$I$2:$I$20000=B162)*(DATOS!$K$2:$K$20000=4))</f>
        <v>0</v>
      </c>
      <c r="P162">
        <f>SUMPRODUCT((DATOS!$G$2:$G$20000=CONFIG_METADATA!$B$4)*(DATOS!$D$2:$D$20000=A162)*(DATOS!$I$2:$I$20000=B162)*(DATOS!$K$2:$K$20000=5))</f>
        <v>0</v>
      </c>
      <c r="Q162">
        <f>SUMPRODUCT((DATOS!$G$2:$G$20000=CONFIG_METADATA!$B$4)*(DATOS!$D$2:$D$20000=A162)*(DATOS!$I$2:$I$20000=B162)*(DATOS!$K$2:$K$20000=6))</f>
        <v>0</v>
      </c>
      <c r="R162">
        <f>SUMPRODUCT((DATOS!$G$2:$G$20000=CONFIG_METADATA!$B$4)*(DATOS!$D$2:$D$20000=A162)*(DATOS!$I$2:$I$20000=B162)*(DATOS!$K$2:$K$20000=7))</f>
        <v>0</v>
      </c>
      <c r="S162">
        <f>SUMPRODUCT((DATOS!$G$2:$G$20000=CONFIG_METADATA!$B$4)*(DATOS!$D$2:$D$20000=A162)*(DATOS!$I$2:$I$20000=B162)*(DATOS!$K$2:$K$20000=8))</f>
        <v>0</v>
      </c>
      <c r="T162">
        <f>SUMPRODUCT((DATOS!$G$2:$G$20000=CONFIG_METADATA!$B$4)*(DATOS!$D$2:$D$20000=A162)*(DATOS!$I$2:$I$20000=B162)*(DATOS!$K$2:$K$20000=9))</f>
        <v>0</v>
      </c>
      <c r="U162">
        <f>SUMPRODUCT((DATOS!$G$2:$G$20000=CONFIG_METADATA!$B$4)*(DATOS!$D$2:$D$20000=A162)*(DATOS!$I$2:$I$20000=B162)*(DATOS!$K$2:$K$20000=10))</f>
        <v>0</v>
      </c>
    </row>
    <row r="163" spans="1:21" x14ac:dyDescent="0.2">
      <c r="A163" t="s">
        <v>81</v>
      </c>
      <c r="B163" t="s">
        <v>44</v>
      </c>
      <c r="C163" t="s">
        <v>25</v>
      </c>
      <c r="D163">
        <f>SUMPRODUCT((DATOS!$G$2:$G$20000=CONFIG_METADATA!$B$4)*(DATOS!$D$2:$D$20000=A163)*(DATOS!$I$2:$I$20000=B163))</f>
        <v>0</v>
      </c>
      <c r="E163" s="10" t="str">
        <f>IFERROR(SUMPRODUCT((DATOS!$G$2:$G$20000=CONFIG_METADATA!$B$4)*(DATOS!$D$2:$D$20000=A163)*(DATOS!$I$2:$I$20000=B163)*(DATOS!$K$2:$K$20000))/D163,"—")</f>
        <v>—</v>
      </c>
      <c r="F163" s="10" t="str" cm="1">
        <f t="array" ref="F163">IFERROR(_xlfn.STDEV.P(_xlfn._xlws.FILTER(DATOS!$K$2:$K$20000,(DATOS!$G$2:$G$20000=CONFIG_METADATA!$B$4)*(DATOS!$D$2:$D$20000=A163)*(DATOS!$I$2:$I$20000=B163))),"—")</f>
        <v>—</v>
      </c>
      <c r="G163" t="str" cm="1">
        <f t="array" ref="G163">IFERROR(_xlfn.MODE.SNGL(_xlfn._xlws.FILTER(DATOS!$K$2:$K$20000,(DATOS!$G$2:$G$20000=CONFIG_METADATA!$B$4)*(DATOS!$D$2:$D$20000=A163)*(DATOS!$I$2:$I$20000=B163))),"—")</f>
        <v>—</v>
      </c>
      <c r="H163" s="11" t="str">
        <f>IFERROR(SUMPRODUCT((DATOS!$G$2:$G$20000=CONFIG_METADATA!$B$4)*(DATOS!$D$2:$D$20000=A163)*(DATOS!$I$2:$I$20000=B163)*(DATOS!$L$2:$L$20000="S"))/D163,"—")</f>
        <v>—</v>
      </c>
      <c r="I163" s="11" t="str">
        <f>IFERROR(SUMPRODUCT((DATOS!$G$2:$G$20000=CONFIG_METADATA!$B$4)*(DATOS!$D$2:$D$20000=A163)*(DATOS!$I$2:$I$20000=B163)*(DATOS!$L$2:$L$20000="N"))/D163,"—")</f>
        <v>—</v>
      </c>
      <c r="J163" t="str" cm="1">
        <f t="array" ref="J163">IFERROR(_xlfn.MODE.SNGL(_xlfn._xlws.FILTER(DATOS!$K$2:$K$20000,(DATOS!$G$2:$G$20000=CONFIG_METADATA!$B$4)*(DATOS!$D$2:$D$20000=A163)*(DATOS!$I$2:$I$20000=B163)*(DATOS!$L$2:$L$20000="S"))),"—")</f>
        <v>—</v>
      </c>
      <c r="K163" t="str" cm="1">
        <f t="array" ref="K163">IFERROR(_xlfn.MODE.SNGL(_xlfn._xlws.FILTER(DATOS!$K$2:$K$20000,(DATOS!$G$2:$G$20000=CONFIG_METADATA!$B$4)*(DATOS!$D$2:$D$20000=A163)*(DATOS!$I$2:$I$20000=B163)*(DATOS!$L$2:$L$20000="N"))),"—")</f>
        <v>—</v>
      </c>
      <c r="L163">
        <f>SUMPRODUCT((DATOS!$G$2:$G$20000=CONFIG_METADATA!$B$4)*(DATOS!$D$2:$D$20000=A163)*(DATOS!$I$2:$I$20000=B163)*(DATOS!$K$2:$K$20000=1))</f>
        <v>0</v>
      </c>
      <c r="M163">
        <f>SUMPRODUCT((DATOS!$G$2:$G$20000=CONFIG_METADATA!$B$4)*(DATOS!$D$2:$D$20000=A163)*(DATOS!$I$2:$I$20000=B163)*(DATOS!$K$2:$K$20000=2))</f>
        <v>0</v>
      </c>
      <c r="N163">
        <f>SUMPRODUCT((DATOS!$G$2:$G$20000=CONFIG_METADATA!$B$4)*(DATOS!$D$2:$D$20000=A163)*(DATOS!$I$2:$I$20000=B163)*(DATOS!$K$2:$K$20000=3))</f>
        <v>0</v>
      </c>
      <c r="O163">
        <f>SUMPRODUCT((DATOS!$G$2:$G$20000=CONFIG_METADATA!$B$4)*(DATOS!$D$2:$D$20000=A163)*(DATOS!$I$2:$I$20000=B163)*(DATOS!$K$2:$K$20000=4))</f>
        <v>0</v>
      </c>
      <c r="P163">
        <f>SUMPRODUCT((DATOS!$G$2:$G$20000=CONFIG_METADATA!$B$4)*(DATOS!$D$2:$D$20000=A163)*(DATOS!$I$2:$I$20000=B163)*(DATOS!$K$2:$K$20000=5))</f>
        <v>0</v>
      </c>
      <c r="Q163">
        <f>SUMPRODUCT((DATOS!$G$2:$G$20000=CONFIG_METADATA!$B$4)*(DATOS!$D$2:$D$20000=A163)*(DATOS!$I$2:$I$20000=B163)*(DATOS!$K$2:$K$20000=6))</f>
        <v>0</v>
      </c>
      <c r="R163">
        <f>SUMPRODUCT((DATOS!$G$2:$G$20000=CONFIG_METADATA!$B$4)*(DATOS!$D$2:$D$20000=A163)*(DATOS!$I$2:$I$20000=B163)*(DATOS!$K$2:$K$20000=7))</f>
        <v>0</v>
      </c>
      <c r="S163">
        <f>SUMPRODUCT((DATOS!$G$2:$G$20000=CONFIG_METADATA!$B$4)*(DATOS!$D$2:$D$20000=A163)*(DATOS!$I$2:$I$20000=B163)*(DATOS!$K$2:$K$20000=8))</f>
        <v>0</v>
      </c>
      <c r="T163">
        <f>SUMPRODUCT((DATOS!$G$2:$G$20000=CONFIG_METADATA!$B$4)*(DATOS!$D$2:$D$20000=A163)*(DATOS!$I$2:$I$20000=B163)*(DATOS!$K$2:$K$20000=9))</f>
        <v>0</v>
      </c>
      <c r="U163">
        <f>SUMPRODUCT((DATOS!$G$2:$G$20000=CONFIG_METADATA!$B$4)*(DATOS!$D$2:$D$20000=A163)*(DATOS!$I$2:$I$20000=B163)*(DATOS!$K$2:$K$20000=10))</f>
        <v>0</v>
      </c>
    </row>
    <row r="164" spans="1:21" x14ac:dyDescent="0.2">
      <c r="A164" t="s">
        <v>81</v>
      </c>
      <c r="B164" t="s">
        <v>45</v>
      </c>
      <c r="C164" t="s">
        <v>25</v>
      </c>
      <c r="D164">
        <f>SUMPRODUCT((DATOS!$G$2:$G$20000=CONFIG_METADATA!$B$4)*(DATOS!$D$2:$D$20000=A164)*(DATOS!$I$2:$I$20000=B164))</f>
        <v>0</v>
      </c>
      <c r="E164" s="10" t="str">
        <f>IFERROR(SUMPRODUCT((DATOS!$G$2:$G$20000=CONFIG_METADATA!$B$4)*(DATOS!$D$2:$D$20000=A164)*(DATOS!$I$2:$I$20000=B164)*(DATOS!$K$2:$K$20000))/D164,"—")</f>
        <v>—</v>
      </c>
      <c r="F164" s="10" t="str" cm="1">
        <f t="array" ref="F164">IFERROR(_xlfn.STDEV.P(_xlfn._xlws.FILTER(DATOS!$K$2:$K$20000,(DATOS!$G$2:$G$20000=CONFIG_METADATA!$B$4)*(DATOS!$D$2:$D$20000=A164)*(DATOS!$I$2:$I$20000=B164))),"—")</f>
        <v>—</v>
      </c>
      <c r="G164" t="str" cm="1">
        <f t="array" ref="G164">IFERROR(_xlfn.MODE.SNGL(_xlfn._xlws.FILTER(DATOS!$K$2:$K$20000,(DATOS!$G$2:$G$20000=CONFIG_METADATA!$B$4)*(DATOS!$D$2:$D$20000=A164)*(DATOS!$I$2:$I$20000=B164))),"—")</f>
        <v>—</v>
      </c>
      <c r="H164" s="11" t="str">
        <f>IFERROR(SUMPRODUCT((DATOS!$G$2:$G$20000=CONFIG_METADATA!$B$4)*(DATOS!$D$2:$D$20000=A164)*(DATOS!$I$2:$I$20000=B164)*(DATOS!$L$2:$L$20000="S"))/D164,"—")</f>
        <v>—</v>
      </c>
      <c r="I164" s="11" t="str">
        <f>IFERROR(SUMPRODUCT((DATOS!$G$2:$G$20000=CONFIG_METADATA!$B$4)*(DATOS!$D$2:$D$20000=A164)*(DATOS!$I$2:$I$20000=B164)*(DATOS!$L$2:$L$20000="N"))/D164,"—")</f>
        <v>—</v>
      </c>
      <c r="J164" t="str" cm="1">
        <f t="array" ref="J164">IFERROR(_xlfn.MODE.SNGL(_xlfn._xlws.FILTER(DATOS!$K$2:$K$20000,(DATOS!$G$2:$G$20000=CONFIG_METADATA!$B$4)*(DATOS!$D$2:$D$20000=A164)*(DATOS!$I$2:$I$20000=B164)*(DATOS!$L$2:$L$20000="S"))),"—")</f>
        <v>—</v>
      </c>
      <c r="K164" t="str" cm="1">
        <f t="array" ref="K164">IFERROR(_xlfn.MODE.SNGL(_xlfn._xlws.FILTER(DATOS!$K$2:$K$20000,(DATOS!$G$2:$G$20000=CONFIG_METADATA!$B$4)*(DATOS!$D$2:$D$20000=A164)*(DATOS!$I$2:$I$20000=B164)*(DATOS!$L$2:$L$20000="N"))),"—")</f>
        <v>—</v>
      </c>
      <c r="L164">
        <f>SUMPRODUCT((DATOS!$G$2:$G$20000=CONFIG_METADATA!$B$4)*(DATOS!$D$2:$D$20000=A164)*(DATOS!$I$2:$I$20000=B164)*(DATOS!$K$2:$K$20000=1))</f>
        <v>0</v>
      </c>
      <c r="M164">
        <f>SUMPRODUCT((DATOS!$G$2:$G$20000=CONFIG_METADATA!$B$4)*(DATOS!$D$2:$D$20000=A164)*(DATOS!$I$2:$I$20000=B164)*(DATOS!$K$2:$K$20000=2))</f>
        <v>0</v>
      </c>
      <c r="N164">
        <f>SUMPRODUCT((DATOS!$G$2:$G$20000=CONFIG_METADATA!$B$4)*(DATOS!$D$2:$D$20000=A164)*(DATOS!$I$2:$I$20000=B164)*(DATOS!$K$2:$K$20000=3))</f>
        <v>0</v>
      </c>
      <c r="O164">
        <f>SUMPRODUCT((DATOS!$G$2:$G$20000=CONFIG_METADATA!$B$4)*(DATOS!$D$2:$D$20000=A164)*(DATOS!$I$2:$I$20000=B164)*(DATOS!$K$2:$K$20000=4))</f>
        <v>0</v>
      </c>
      <c r="P164">
        <f>SUMPRODUCT((DATOS!$G$2:$G$20000=CONFIG_METADATA!$B$4)*(DATOS!$D$2:$D$20000=A164)*(DATOS!$I$2:$I$20000=B164)*(DATOS!$K$2:$K$20000=5))</f>
        <v>0</v>
      </c>
      <c r="Q164">
        <f>SUMPRODUCT((DATOS!$G$2:$G$20000=CONFIG_METADATA!$B$4)*(DATOS!$D$2:$D$20000=A164)*(DATOS!$I$2:$I$20000=B164)*(DATOS!$K$2:$K$20000=6))</f>
        <v>0</v>
      </c>
      <c r="R164">
        <f>SUMPRODUCT((DATOS!$G$2:$G$20000=CONFIG_METADATA!$B$4)*(DATOS!$D$2:$D$20000=A164)*(DATOS!$I$2:$I$20000=B164)*(DATOS!$K$2:$K$20000=7))</f>
        <v>0</v>
      </c>
      <c r="S164">
        <f>SUMPRODUCT((DATOS!$G$2:$G$20000=CONFIG_METADATA!$B$4)*(DATOS!$D$2:$D$20000=A164)*(DATOS!$I$2:$I$20000=B164)*(DATOS!$K$2:$K$20000=8))</f>
        <v>0</v>
      </c>
      <c r="T164">
        <f>SUMPRODUCT((DATOS!$G$2:$G$20000=CONFIG_METADATA!$B$4)*(DATOS!$D$2:$D$20000=A164)*(DATOS!$I$2:$I$20000=B164)*(DATOS!$K$2:$K$20000=9))</f>
        <v>0</v>
      </c>
      <c r="U164">
        <f>SUMPRODUCT((DATOS!$G$2:$G$20000=CONFIG_METADATA!$B$4)*(DATOS!$D$2:$D$20000=A164)*(DATOS!$I$2:$I$20000=B164)*(DATOS!$K$2:$K$20000=10))</f>
        <v>0</v>
      </c>
    </row>
    <row r="165" spans="1:21" x14ac:dyDescent="0.2">
      <c r="A165" t="s">
        <v>81</v>
      </c>
      <c r="B165" t="s">
        <v>46</v>
      </c>
      <c r="C165" t="s">
        <v>25</v>
      </c>
      <c r="D165">
        <f>SUMPRODUCT((DATOS!$G$2:$G$20000=CONFIG_METADATA!$B$4)*(DATOS!$D$2:$D$20000=A165)*(DATOS!$I$2:$I$20000=B165))</f>
        <v>0</v>
      </c>
      <c r="E165" s="10" t="str">
        <f>IFERROR(SUMPRODUCT((DATOS!$G$2:$G$20000=CONFIG_METADATA!$B$4)*(DATOS!$D$2:$D$20000=A165)*(DATOS!$I$2:$I$20000=B165)*(DATOS!$K$2:$K$20000))/D165,"—")</f>
        <v>—</v>
      </c>
      <c r="F165" s="10" t="str" cm="1">
        <f t="array" ref="F165">IFERROR(_xlfn.STDEV.P(_xlfn._xlws.FILTER(DATOS!$K$2:$K$20000,(DATOS!$G$2:$G$20000=CONFIG_METADATA!$B$4)*(DATOS!$D$2:$D$20000=A165)*(DATOS!$I$2:$I$20000=B165))),"—")</f>
        <v>—</v>
      </c>
      <c r="G165" t="str" cm="1">
        <f t="array" ref="G165">IFERROR(_xlfn.MODE.SNGL(_xlfn._xlws.FILTER(DATOS!$K$2:$K$20000,(DATOS!$G$2:$G$20000=CONFIG_METADATA!$B$4)*(DATOS!$D$2:$D$20000=A165)*(DATOS!$I$2:$I$20000=B165))),"—")</f>
        <v>—</v>
      </c>
      <c r="H165" s="11" t="str">
        <f>IFERROR(SUMPRODUCT((DATOS!$G$2:$G$20000=CONFIG_METADATA!$B$4)*(DATOS!$D$2:$D$20000=A165)*(DATOS!$I$2:$I$20000=B165)*(DATOS!$L$2:$L$20000="S"))/D165,"—")</f>
        <v>—</v>
      </c>
      <c r="I165" s="11" t="str">
        <f>IFERROR(SUMPRODUCT((DATOS!$G$2:$G$20000=CONFIG_METADATA!$B$4)*(DATOS!$D$2:$D$20000=A165)*(DATOS!$I$2:$I$20000=B165)*(DATOS!$L$2:$L$20000="N"))/D165,"—")</f>
        <v>—</v>
      </c>
      <c r="J165" t="str" cm="1">
        <f t="array" ref="J165">IFERROR(_xlfn.MODE.SNGL(_xlfn._xlws.FILTER(DATOS!$K$2:$K$20000,(DATOS!$G$2:$G$20000=CONFIG_METADATA!$B$4)*(DATOS!$D$2:$D$20000=A165)*(DATOS!$I$2:$I$20000=B165)*(DATOS!$L$2:$L$20000="S"))),"—")</f>
        <v>—</v>
      </c>
      <c r="K165" t="str" cm="1">
        <f t="array" ref="K165">IFERROR(_xlfn.MODE.SNGL(_xlfn._xlws.FILTER(DATOS!$K$2:$K$20000,(DATOS!$G$2:$G$20000=CONFIG_METADATA!$B$4)*(DATOS!$D$2:$D$20000=A165)*(DATOS!$I$2:$I$20000=B165)*(DATOS!$L$2:$L$20000="N"))),"—")</f>
        <v>—</v>
      </c>
      <c r="L165">
        <f>SUMPRODUCT((DATOS!$G$2:$G$20000=CONFIG_METADATA!$B$4)*(DATOS!$D$2:$D$20000=A165)*(DATOS!$I$2:$I$20000=B165)*(DATOS!$K$2:$K$20000=1))</f>
        <v>0</v>
      </c>
      <c r="M165">
        <f>SUMPRODUCT((DATOS!$G$2:$G$20000=CONFIG_METADATA!$B$4)*(DATOS!$D$2:$D$20000=A165)*(DATOS!$I$2:$I$20000=B165)*(DATOS!$K$2:$K$20000=2))</f>
        <v>0</v>
      </c>
      <c r="N165">
        <f>SUMPRODUCT((DATOS!$G$2:$G$20000=CONFIG_METADATA!$B$4)*(DATOS!$D$2:$D$20000=A165)*(DATOS!$I$2:$I$20000=B165)*(DATOS!$K$2:$K$20000=3))</f>
        <v>0</v>
      </c>
      <c r="O165">
        <f>SUMPRODUCT((DATOS!$G$2:$G$20000=CONFIG_METADATA!$B$4)*(DATOS!$D$2:$D$20000=A165)*(DATOS!$I$2:$I$20000=B165)*(DATOS!$K$2:$K$20000=4))</f>
        <v>0</v>
      </c>
      <c r="P165">
        <f>SUMPRODUCT((DATOS!$G$2:$G$20000=CONFIG_METADATA!$B$4)*(DATOS!$D$2:$D$20000=A165)*(DATOS!$I$2:$I$20000=B165)*(DATOS!$K$2:$K$20000=5))</f>
        <v>0</v>
      </c>
      <c r="Q165">
        <f>SUMPRODUCT((DATOS!$G$2:$G$20000=CONFIG_METADATA!$B$4)*(DATOS!$D$2:$D$20000=A165)*(DATOS!$I$2:$I$20000=B165)*(DATOS!$K$2:$K$20000=6))</f>
        <v>0</v>
      </c>
      <c r="R165">
        <f>SUMPRODUCT((DATOS!$G$2:$G$20000=CONFIG_METADATA!$B$4)*(DATOS!$D$2:$D$20000=A165)*(DATOS!$I$2:$I$20000=B165)*(DATOS!$K$2:$K$20000=7))</f>
        <v>0</v>
      </c>
      <c r="S165">
        <f>SUMPRODUCT((DATOS!$G$2:$G$20000=CONFIG_METADATA!$B$4)*(DATOS!$D$2:$D$20000=A165)*(DATOS!$I$2:$I$20000=B165)*(DATOS!$K$2:$K$20000=8))</f>
        <v>0</v>
      </c>
      <c r="T165">
        <f>SUMPRODUCT((DATOS!$G$2:$G$20000=CONFIG_METADATA!$B$4)*(DATOS!$D$2:$D$20000=A165)*(DATOS!$I$2:$I$20000=B165)*(DATOS!$K$2:$K$20000=9))</f>
        <v>0</v>
      </c>
      <c r="U165">
        <f>SUMPRODUCT((DATOS!$G$2:$G$20000=CONFIG_METADATA!$B$4)*(DATOS!$D$2:$D$20000=A165)*(DATOS!$I$2:$I$20000=B165)*(DATOS!$K$2:$K$20000=10))</f>
        <v>0</v>
      </c>
    </row>
    <row r="166" spans="1:21" x14ac:dyDescent="0.2">
      <c r="A166" t="s">
        <v>81</v>
      </c>
      <c r="B166" t="s">
        <v>47</v>
      </c>
      <c r="C166" t="s">
        <v>25</v>
      </c>
      <c r="D166">
        <f>SUMPRODUCT((DATOS!$G$2:$G$20000=CONFIG_METADATA!$B$4)*(DATOS!$D$2:$D$20000=A166)*(DATOS!$I$2:$I$20000=B166))</f>
        <v>0</v>
      </c>
      <c r="E166" s="10" t="str">
        <f>IFERROR(SUMPRODUCT((DATOS!$G$2:$G$20000=CONFIG_METADATA!$B$4)*(DATOS!$D$2:$D$20000=A166)*(DATOS!$I$2:$I$20000=B166)*(DATOS!$K$2:$K$20000))/D166,"—")</f>
        <v>—</v>
      </c>
      <c r="F166" s="10" t="str" cm="1">
        <f t="array" ref="F166">IFERROR(_xlfn.STDEV.P(_xlfn._xlws.FILTER(DATOS!$K$2:$K$20000,(DATOS!$G$2:$G$20000=CONFIG_METADATA!$B$4)*(DATOS!$D$2:$D$20000=A166)*(DATOS!$I$2:$I$20000=B166))),"—")</f>
        <v>—</v>
      </c>
      <c r="G166" t="str" cm="1">
        <f t="array" ref="G166">IFERROR(_xlfn.MODE.SNGL(_xlfn._xlws.FILTER(DATOS!$K$2:$K$20000,(DATOS!$G$2:$G$20000=CONFIG_METADATA!$B$4)*(DATOS!$D$2:$D$20000=A166)*(DATOS!$I$2:$I$20000=B166))),"—")</f>
        <v>—</v>
      </c>
      <c r="H166" s="11" t="str">
        <f>IFERROR(SUMPRODUCT((DATOS!$G$2:$G$20000=CONFIG_METADATA!$B$4)*(DATOS!$D$2:$D$20000=A166)*(DATOS!$I$2:$I$20000=B166)*(DATOS!$L$2:$L$20000="S"))/D166,"—")</f>
        <v>—</v>
      </c>
      <c r="I166" s="11" t="str">
        <f>IFERROR(SUMPRODUCT((DATOS!$G$2:$G$20000=CONFIG_METADATA!$B$4)*(DATOS!$D$2:$D$20000=A166)*(DATOS!$I$2:$I$20000=B166)*(DATOS!$L$2:$L$20000="N"))/D166,"—")</f>
        <v>—</v>
      </c>
      <c r="J166" t="str" cm="1">
        <f t="array" ref="J166">IFERROR(_xlfn.MODE.SNGL(_xlfn._xlws.FILTER(DATOS!$K$2:$K$20000,(DATOS!$G$2:$G$20000=CONFIG_METADATA!$B$4)*(DATOS!$D$2:$D$20000=A166)*(DATOS!$I$2:$I$20000=B166)*(DATOS!$L$2:$L$20000="S"))),"—")</f>
        <v>—</v>
      </c>
      <c r="K166" t="str" cm="1">
        <f t="array" ref="K166">IFERROR(_xlfn.MODE.SNGL(_xlfn._xlws.FILTER(DATOS!$K$2:$K$20000,(DATOS!$G$2:$G$20000=CONFIG_METADATA!$B$4)*(DATOS!$D$2:$D$20000=A166)*(DATOS!$I$2:$I$20000=B166)*(DATOS!$L$2:$L$20000="N"))),"—")</f>
        <v>—</v>
      </c>
      <c r="L166">
        <f>SUMPRODUCT((DATOS!$G$2:$G$20000=CONFIG_METADATA!$B$4)*(DATOS!$D$2:$D$20000=A166)*(DATOS!$I$2:$I$20000=B166)*(DATOS!$K$2:$K$20000=1))</f>
        <v>0</v>
      </c>
      <c r="M166">
        <f>SUMPRODUCT((DATOS!$G$2:$G$20000=CONFIG_METADATA!$B$4)*(DATOS!$D$2:$D$20000=A166)*(DATOS!$I$2:$I$20000=B166)*(DATOS!$K$2:$K$20000=2))</f>
        <v>0</v>
      </c>
      <c r="N166">
        <f>SUMPRODUCT((DATOS!$G$2:$G$20000=CONFIG_METADATA!$B$4)*(DATOS!$D$2:$D$20000=A166)*(DATOS!$I$2:$I$20000=B166)*(DATOS!$K$2:$K$20000=3))</f>
        <v>0</v>
      </c>
      <c r="O166">
        <f>SUMPRODUCT((DATOS!$G$2:$G$20000=CONFIG_METADATA!$B$4)*(DATOS!$D$2:$D$20000=A166)*(DATOS!$I$2:$I$20000=B166)*(DATOS!$K$2:$K$20000=4))</f>
        <v>0</v>
      </c>
      <c r="P166">
        <f>SUMPRODUCT((DATOS!$G$2:$G$20000=CONFIG_METADATA!$B$4)*(DATOS!$D$2:$D$20000=A166)*(DATOS!$I$2:$I$20000=B166)*(DATOS!$K$2:$K$20000=5))</f>
        <v>0</v>
      </c>
      <c r="Q166">
        <f>SUMPRODUCT((DATOS!$G$2:$G$20000=CONFIG_METADATA!$B$4)*(DATOS!$D$2:$D$20000=A166)*(DATOS!$I$2:$I$20000=B166)*(DATOS!$K$2:$K$20000=6))</f>
        <v>0</v>
      </c>
      <c r="R166">
        <f>SUMPRODUCT((DATOS!$G$2:$G$20000=CONFIG_METADATA!$B$4)*(DATOS!$D$2:$D$20000=A166)*(DATOS!$I$2:$I$20000=B166)*(DATOS!$K$2:$K$20000=7))</f>
        <v>0</v>
      </c>
      <c r="S166">
        <f>SUMPRODUCT((DATOS!$G$2:$G$20000=CONFIG_METADATA!$B$4)*(DATOS!$D$2:$D$20000=A166)*(DATOS!$I$2:$I$20000=B166)*(DATOS!$K$2:$K$20000=8))</f>
        <v>0</v>
      </c>
      <c r="T166">
        <f>SUMPRODUCT((DATOS!$G$2:$G$20000=CONFIG_METADATA!$B$4)*(DATOS!$D$2:$D$20000=A166)*(DATOS!$I$2:$I$20000=B166)*(DATOS!$K$2:$K$20000=9))</f>
        <v>0</v>
      </c>
      <c r="U166">
        <f>SUMPRODUCT((DATOS!$G$2:$G$20000=CONFIG_METADATA!$B$4)*(DATOS!$D$2:$D$20000=A166)*(DATOS!$I$2:$I$20000=B166)*(DATOS!$K$2:$K$20000=10))</f>
        <v>0</v>
      </c>
    </row>
    <row r="167" spans="1:21" x14ac:dyDescent="0.2">
      <c r="A167" t="s">
        <v>81</v>
      </c>
      <c r="B167" t="s">
        <v>48</v>
      </c>
      <c r="C167" t="s">
        <v>25</v>
      </c>
      <c r="D167">
        <f>SUMPRODUCT((DATOS!$G$2:$G$20000=CONFIG_METADATA!$B$4)*(DATOS!$D$2:$D$20000=A167)*(DATOS!$I$2:$I$20000=B167))</f>
        <v>0</v>
      </c>
      <c r="E167" s="10" t="str">
        <f>IFERROR(SUMPRODUCT((DATOS!$G$2:$G$20000=CONFIG_METADATA!$B$4)*(DATOS!$D$2:$D$20000=A167)*(DATOS!$I$2:$I$20000=B167)*(DATOS!$K$2:$K$20000))/D167,"—")</f>
        <v>—</v>
      </c>
      <c r="F167" s="10" t="str" cm="1">
        <f t="array" ref="F167">IFERROR(_xlfn.STDEV.P(_xlfn._xlws.FILTER(DATOS!$K$2:$K$20000,(DATOS!$G$2:$G$20000=CONFIG_METADATA!$B$4)*(DATOS!$D$2:$D$20000=A167)*(DATOS!$I$2:$I$20000=B167))),"—")</f>
        <v>—</v>
      </c>
      <c r="G167" t="str" cm="1">
        <f t="array" ref="G167">IFERROR(_xlfn.MODE.SNGL(_xlfn._xlws.FILTER(DATOS!$K$2:$K$20000,(DATOS!$G$2:$G$20000=CONFIG_METADATA!$B$4)*(DATOS!$D$2:$D$20000=A167)*(DATOS!$I$2:$I$20000=B167))),"—")</f>
        <v>—</v>
      </c>
      <c r="H167" s="11" t="str">
        <f>IFERROR(SUMPRODUCT((DATOS!$G$2:$G$20000=CONFIG_METADATA!$B$4)*(DATOS!$D$2:$D$20000=A167)*(DATOS!$I$2:$I$20000=B167)*(DATOS!$L$2:$L$20000="S"))/D167,"—")</f>
        <v>—</v>
      </c>
      <c r="I167" s="11" t="str">
        <f>IFERROR(SUMPRODUCT((DATOS!$G$2:$G$20000=CONFIG_METADATA!$B$4)*(DATOS!$D$2:$D$20000=A167)*(DATOS!$I$2:$I$20000=B167)*(DATOS!$L$2:$L$20000="N"))/D167,"—")</f>
        <v>—</v>
      </c>
      <c r="J167" t="str" cm="1">
        <f t="array" ref="J167">IFERROR(_xlfn.MODE.SNGL(_xlfn._xlws.FILTER(DATOS!$K$2:$K$20000,(DATOS!$G$2:$G$20000=CONFIG_METADATA!$B$4)*(DATOS!$D$2:$D$20000=A167)*(DATOS!$I$2:$I$20000=B167)*(DATOS!$L$2:$L$20000="S"))),"—")</f>
        <v>—</v>
      </c>
      <c r="K167" t="str" cm="1">
        <f t="array" ref="K167">IFERROR(_xlfn.MODE.SNGL(_xlfn._xlws.FILTER(DATOS!$K$2:$K$20000,(DATOS!$G$2:$G$20000=CONFIG_METADATA!$B$4)*(DATOS!$D$2:$D$20000=A167)*(DATOS!$I$2:$I$20000=B167)*(DATOS!$L$2:$L$20000="N"))),"—")</f>
        <v>—</v>
      </c>
      <c r="L167">
        <f>SUMPRODUCT((DATOS!$G$2:$G$20000=CONFIG_METADATA!$B$4)*(DATOS!$D$2:$D$20000=A167)*(DATOS!$I$2:$I$20000=B167)*(DATOS!$K$2:$K$20000=1))</f>
        <v>0</v>
      </c>
      <c r="M167">
        <f>SUMPRODUCT((DATOS!$G$2:$G$20000=CONFIG_METADATA!$B$4)*(DATOS!$D$2:$D$20000=A167)*(DATOS!$I$2:$I$20000=B167)*(DATOS!$K$2:$K$20000=2))</f>
        <v>0</v>
      </c>
      <c r="N167">
        <f>SUMPRODUCT((DATOS!$G$2:$G$20000=CONFIG_METADATA!$B$4)*(DATOS!$D$2:$D$20000=A167)*(DATOS!$I$2:$I$20000=B167)*(DATOS!$K$2:$K$20000=3))</f>
        <v>0</v>
      </c>
      <c r="O167">
        <f>SUMPRODUCT((DATOS!$G$2:$G$20000=CONFIG_METADATA!$B$4)*(DATOS!$D$2:$D$20000=A167)*(DATOS!$I$2:$I$20000=B167)*(DATOS!$K$2:$K$20000=4))</f>
        <v>0</v>
      </c>
      <c r="P167">
        <f>SUMPRODUCT((DATOS!$G$2:$G$20000=CONFIG_METADATA!$B$4)*(DATOS!$D$2:$D$20000=A167)*(DATOS!$I$2:$I$20000=B167)*(DATOS!$K$2:$K$20000=5))</f>
        <v>0</v>
      </c>
      <c r="Q167">
        <f>SUMPRODUCT((DATOS!$G$2:$G$20000=CONFIG_METADATA!$B$4)*(DATOS!$D$2:$D$20000=A167)*(DATOS!$I$2:$I$20000=B167)*(DATOS!$K$2:$K$20000=6))</f>
        <v>0</v>
      </c>
      <c r="R167">
        <f>SUMPRODUCT((DATOS!$G$2:$G$20000=CONFIG_METADATA!$B$4)*(DATOS!$D$2:$D$20000=A167)*(DATOS!$I$2:$I$20000=B167)*(DATOS!$K$2:$K$20000=7))</f>
        <v>0</v>
      </c>
      <c r="S167">
        <f>SUMPRODUCT((DATOS!$G$2:$G$20000=CONFIG_METADATA!$B$4)*(DATOS!$D$2:$D$20000=A167)*(DATOS!$I$2:$I$20000=B167)*(DATOS!$K$2:$K$20000=8))</f>
        <v>0</v>
      </c>
      <c r="T167">
        <f>SUMPRODUCT((DATOS!$G$2:$G$20000=CONFIG_METADATA!$B$4)*(DATOS!$D$2:$D$20000=A167)*(DATOS!$I$2:$I$20000=B167)*(DATOS!$K$2:$K$20000=9))</f>
        <v>0</v>
      </c>
      <c r="U167">
        <f>SUMPRODUCT((DATOS!$G$2:$G$20000=CONFIG_METADATA!$B$4)*(DATOS!$D$2:$D$20000=A167)*(DATOS!$I$2:$I$20000=B167)*(DATOS!$K$2:$K$20000=10))</f>
        <v>0</v>
      </c>
    </row>
    <row r="168" spans="1:21" x14ac:dyDescent="0.2">
      <c r="A168" t="s">
        <v>81</v>
      </c>
      <c r="B168" t="s">
        <v>49</v>
      </c>
      <c r="C168" t="s">
        <v>25</v>
      </c>
      <c r="D168">
        <f>SUMPRODUCT((DATOS!$G$2:$G$20000=CONFIG_METADATA!$B$4)*(DATOS!$D$2:$D$20000=A168)*(DATOS!$I$2:$I$20000=B168))</f>
        <v>0</v>
      </c>
      <c r="E168" s="10" t="str">
        <f>IFERROR(SUMPRODUCT((DATOS!$G$2:$G$20000=CONFIG_METADATA!$B$4)*(DATOS!$D$2:$D$20000=A168)*(DATOS!$I$2:$I$20000=B168)*(DATOS!$K$2:$K$20000))/D168,"—")</f>
        <v>—</v>
      </c>
      <c r="F168" s="10" t="str" cm="1">
        <f t="array" ref="F168">IFERROR(_xlfn.STDEV.P(_xlfn._xlws.FILTER(DATOS!$K$2:$K$20000,(DATOS!$G$2:$G$20000=CONFIG_METADATA!$B$4)*(DATOS!$D$2:$D$20000=A168)*(DATOS!$I$2:$I$20000=B168))),"—")</f>
        <v>—</v>
      </c>
      <c r="G168" t="str" cm="1">
        <f t="array" ref="G168">IFERROR(_xlfn.MODE.SNGL(_xlfn._xlws.FILTER(DATOS!$K$2:$K$20000,(DATOS!$G$2:$G$20000=CONFIG_METADATA!$B$4)*(DATOS!$D$2:$D$20000=A168)*(DATOS!$I$2:$I$20000=B168))),"—")</f>
        <v>—</v>
      </c>
      <c r="H168" s="11" t="str">
        <f>IFERROR(SUMPRODUCT((DATOS!$G$2:$G$20000=CONFIG_METADATA!$B$4)*(DATOS!$D$2:$D$20000=A168)*(DATOS!$I$2:$I$20000=B168)*(DATOS!$L$2:$L$20000="S"))/D168,"—")</f>
        <v>—</v>
      </c>
      <c r="I168" s="11" t="str">
        <f>IFERROR(SUMPRODUCT((DATOS!$G$2:$G$20000=CONFIG_METADATA!$B$4)*(DATOS!$D$2:$D$20000=A168)*(DATOS!$I$2:$I$20000=B168)*(DATOS!$L$2:$L$20000="N"))/D168,"—")</f>
        <v>—</v>
      </c>
      <c r="J168" t="str" cm="1">
        <f t="array" ref="J168">IFERROR(_xlfn.MODE.SNGL(_xlfn._xlws.FILTER(DATOS!$K$2:$K$20000,(DATOS!$G$2:$G$20000=CONFIG_METADATA!$B$4)*(DATOS!$D$2:$D$20000=A168)*(DATOS!$I$2:$I$20000=B168)*(DATOS!$L$2:$L$20000="S"))),"—")</f>
        <v>—</v>
      </c>
      <c r="K168" t="str" cm="1">
        <f t="array" ref="K168">IFERROR(_xlfn.MODE.SNGL(_xlfn._xlws.FILTER(DATOS!$K$2:$K$20000,(DATOS!$G$2:$G$20000=CONFIG_METADATA!$B$4)*(DATOS!$D$2:$D$20000=A168)*(DATOS!$I$2:$I$20000=B168)*(DATOS!$L$2:$L$20000="N"))),"—")</f>
        <v>—</v>
      </c>
      <c r="L168">
        <f>SUMPRODUCT((DATOS!$G$2:$G$20000=CONFIG_METADATA!$B$4)*(DATOS!$D$2:$D$20000=A168)*(DATOS!$I$2:$I$20000=B168)*(DATOS!$K$2:$K$20000=1))</f>
        <v>0</v>
      </c>
      <c r="M168">
        <f>SUMPRODUCT((DATOS!$G$2:$G$20000=CONFIG_METADATA!$B$4)*(DATOS!$D$2:$D$20000=A168)*(DATOS!$I$2:$I$20000=B168)*(DATOS!$K$2:$K$20000=2))</f>
        <v>0</v>
      </c>
      <c r="N168">
        <f>SUMPRODUCT((DATOS!$G$2:$G$20000=CONFIG_METADATA!$B$4)*(DATOS!$D$2:$D$20000=A168)*(DATOS!$I$2:$I$20000=B168)*(DATOS!$K$2:$K$20000=3))</f>
        <v>0</v>
      </c>
      <c r="O168">
        <f>SUMPRODUCT((DATOS!$G$2:$G$20000=CONFIG_METADATA!$B$4)*(DATOS!$D$2:$D$20000=A168)*(DATOS!$I$2:$I$20000=B168)*(DATOS!$K$2:$K$20000=4))</f>
        <v>0</v>
      </c>
      <c r="P168">
        <f>SUMPRODUCT((DATOS!$G$2:$G$20000=CONFIG_METADATA!$B$4)*(DATOS!$D$2:$D$20000=A168)*(DATOS!$I$2:$I$20000=B168)*(DATOS!$K$2:$K$20000=5))</f>
        <v>0</v>
      </c>
      <c r="Q168">
        <f>SUMPRODUCT((DATOS!$G$2:$G$20000=CONFIG_METADATA!$B$4)*(DATOS!$D$2:$D$20000=A168)*(DATOS!$I$2:$I$20000=B168)*(DATOS!$K$2:$K$20000=6))</f>
        <v>0</v>
      </c>
      <c r="R168">
        <f>SUMPRODUCT((DATOS!$G$2:$G$20000=CONFIG_METADATA!$B$4)*(DATOS!$D$2:$D$20000=A168)*(DATOS!$I$2:$I$20000=B168)*(DATOS!$K$2:$K$20000=7))</f>
        <v>0</v>
      </c>
      <c r="S168">
        <f>SUMPRODUCT((DATOS!$G$2:$G$20000=CONFIG_METADATA!$B$4)*(DATOS!$D$2:$D$20000=A168)*(DATOS!$I$2:$I$20000=B168)*(DATOS!$K$2:$K$20000=8))</f>
        <v>0</v>
      </c>
      <c r="T168">
        <f>SUMPRODUCT((DATOS!$G$2:$G$20000=CONFIG_METADATA!$B$4)*(DATOS!$D$2:$D$20000=A168)*(DATOS!$I$2:$I$20000=B168)*(DATOS!$K$2:$K$20000=9))</f>
        <v>0</v>
      </c>
      <c r="U168">
        <f>SUMPRODUCT((DATOS!$G$2:$G$20000=CONFIG_METADATA!$B$4)*(DATOS!$D$2:$D$20000=A168)*(DATOS!$I$2:$I$20000=B168)*(DATOS!$K$2:$K$20000=10))</f>
        <v>0</v>
      </c>
    </row>
    <row r="169" spans="1:21" x14ac:dyDescent="0.2">
      <c r="A169" t="s">
        <v>81</v>
      </c>
      <c r="B169" t="s">
        <v>50</v>
      </c>
      <c r="C169" t="s">
        <v>25</v>
      </c>
      <c r="D169">
        <f>SUMPRODUCT((DATOS!$G$2:$G$20000=CONFIG_METADATA!$B$4)*(DATOS!$D$2:$D$20000=A169)*(DATOS!$I$2:$I$20000=B169))</f>
        <v>0</v>
      </c>
      <c r="E169" s="10" t="str">
        <f>IFERROR(SUMPRODUCT((DATOS!$G$2:$G$20000=CONFIG_METADATA!$B$4)*(DATOS!$D$2:$D$20000=A169)*(DATOS!$I$2:$I$20000=B169)*(DATOS!$K$2:$K$20000))/D169,"—")</f>
        <v>—</v>
      </c>
      <c r="F169" s="10" t="str" cm="1">
        <f t="array" ref="F169">IFERROR(_xlfn.STDEV.P(_xlfn._xlws.FILTER(DATOS!$K$2:$K$20000,(DATOS!$G$2:$G$20000=CONFIG_METADATA!$B$4)*(DATOS!$D$2:$D$20000=A169)*(DATOS!$I$2:$I$20000=B169))),"—")</f>
        <v>—</v>
      </c>
      <c r="G169" t="str" cm="1">
        <f t="array" ref="G169">IFERROR(_xlfn.MODE.SNGL(_xlfn._xlws.FILTER(DATOS!$K$2:$K$20000,(DATOS!$G$2:$G$20000=CONFIG_METADATA!$B$4)*(DATOS!$D$2:$D$20000=A169)*(DATOS!$I$2:$I$20000=B169))),"—")</f>
        <v>—</v>
      </c>
      <c r="H169" s="11" t="str">
        <f>IFERROR(SUMPRODUCT((DATOS!$G$2:$G$20000=CONFIG_METADATA!$B$4)*(DATOS!$D$2:$D$20000=A169)*(DATOS!$I$2:$I$20000=B169)*(DATOS!$L$2:$L$20000="S"))/D169,"—")</f>
        <v>—</v>
      </c>
      <c r="I169" s="11" t="str">
        <f>IFERROR(SUMPRODUCT((DATOS!$G$2:$G$20000=CONFIG_METADATA!$B$4)*(DATOS!$D$2:$D$20000=A169)*(DATOS!$I$2:$I$20000=B169)*(DATOS!$L$2:$L$20000="N"))/D169,"—")</f>
        <v>—</v>
      </c>
      <c r="J169" t="str" cm="1">
        <f t="array" ref="J169">IFERROR(_xlfn.MODE.SNGL(_xlfn._xlws.FILTER(DATOS!$K$2:$K$20000,(DATOS!$G$2:$G$20000=CONFIG_METADATA!$B$4)*(DATOS!$D$2:$D$20000=A169)*(DATOS!$I$2:$I$20000=B169)*(DATOS!$L$2:$L$20000="S"))),"—")</f>
        <v>—</v>
      </c>
      <c r="K169" t="str" cm="1">
        <f t="array" ref="K169">IFERROR(_xlfn.MODE.SNGL(_xlfn._xlws.FILTER(DATOS!$K$2:$K$20000,(DATOS!$G$2:$G$20000=CONFIG_METADATA!$B$4)*(DATOS!$D$2:$D$20000=A169)*(DATOS!$I$2:$I$20000=B169)*(DATOS!$L$2:$L$20000="N"))),"—")</f>
        <v>—</v>
      </c>
      <c r="L169">
        <f>SUMPRODUCT((DATOS!$G$2:$G$20000=CONFIG_METADATA!$B$4)*(DATOS!$D$2:$D$20000=A169)*(DATOS!$I$2:$I$20000=B169)*(DATOS!$K$2:$K$20000=1))</f>
        <v>0</v>
      </c>
      <c r="M169">
        <f>SUMPRODUCT((DATOS!$G$2:$G$20000=CONFIG_METADATA!$B$4)*(DATOS!$D$2:$D$20000=A169)*(DATOS!$I$2:$I$20000=B169)*(DATOS!$K$2:$K$20000=2))</f>
        <v>0</v>
      </c>
      <c r="N169">
        <f>SUMPRODUCT((DATOS!$G$2:$G$20000=CONFIG_METADATA!$B$4)*(DATOS!$D$2:$D$20000=A169)*(DATOS!$I$2:$I$20000=B169)*(DATOS!$K$2:$K$20000=3))</f>
        <v>0</v>
      </c>
      <c r="O169">
        <f>SUMPRODUCT((DATOS!$G$2:$G$20000=CONFIG_METADATA!$B$4)*(DATOS!$D$2:$D$20000=A169)*(DATOS!$I$2:$I$20000=B169)*(DATOS!$K$2:$K$20000=4))</f>
        <v>0</v>
      </c>
      <c r="P169">
        <f>SUMPRODUCT((DATOS!$G$2:$G$20000=CONFIG_METADATA!$B$4)*(DATOS!$D$2:$D$20000=A169)*(DATOS!$I$2:$I$20000=B169)*(DATOS!$K$2:$K$20000=5))</f>
        <v>0</v>
      </c>
      <c r="Q169">
        <f>SUMPRODUCT((DATOS!$G$2:$G$20000=CONFIG_METADATA!$B$4)*(DATOS!$D$2:$D$20000=A169)*(DATOS!$I$2:$I$20000=B169)*(DATOS!$K$2:$K$20000=6))</f>
        <v>0</v>
      </c>
      <c r="R169">
        <f>SUMPRODUCT((DATOS!$G$2:$G$20000=CONFIG_METADATA!$B$4)*(DATOS!$D$2:$D$20000=A169)*(DATOS!$I$2:$I$20000=B169)*(DATOS!$K$2:$K$20000=7))</f>
        <v>0</v>
      </c>
      <c r="S169">
        <f>SUMPRODUCT((DATOS!$G$2:$G$20000=CONFIG_METADATA!$B$4)*(DATOS!$D$2:$D$20000=A169)*(DATOS!$I$2:$I$20000=B169)*(DATOS!$K$2:$K$20000=8))</f>
        <v>0</v>
      </c>
      <c r="T169">
        <f>SUMPRODUCT((DATOS!$G$2:$G$20000=CONFIG_METADATA!$B$4)*(DATOS!$D$2:$D$20000=A169)*(DATOS!$I$2:$I$20000=B169)*(DATOS!$K$2:$K$20000=9))</f>
        <v>0</v>
      </c>
      <c r="U169">
        <f>SUMPRODUCT((DATOS!$G$2:$G$20000=CONFIG_METADATA!$B$4)*(DATOS!$D$2:$D$20000=A169)*(DATOS!$I$2:$I$20000=B169)*(DATOS!$K$2:$K$20000=10))</f>
        <v>0</v>
      </c>
    </row>
    <row r="170" spans="1:21" x14ac:dyDescent="0.2">
      <c r="A170" t="s">
        <v>82</v>
      </c>
      <c r="B170" t="s">
        <v>17</v>
      </c>
      <c r="C170" t="s">
        <v>12</v>
      </c>
      <c r="D170">
        <f>SUMPRODUCT((DATOS!$G$2:$G$20000=CONFIG_METADATA!$B$4)*(DATOS!$D$2:$D$20000=A170)*(DATOS!$I$2:$I$20000=B170))</f>
        <v>0</v>
      </c>
      <c r="E170" s="10" t="str">
        <f>IFERROR(SUMPRODUCT((DATOS!$G$2:$G$20000=CONFIG_METADATA!$B$4)*(DATOS!$D$2:$D$20000=A170)*(DATOS!$I$2:$I$20000=B170)*(DATOS!$K$2:$K$20000))/D170,"—")</f>
        <v>—</v>
      </c>
      <c r="F170" s="10" t="str" cm="1">
        <f t="array" ref="F170">IFERROR(_xlfn.STDEV.P(_xlfn._xlws.FILTER(DATOS!$K$2:$K$20000,(DATOS!$G$2:$G$20000=CONFIG_METADATA!$B$4)*(DATOS!$D$2:$D$20000=A170)*(DATOS!$I$2:$I$20000=B170))),"—")</f>
        <v>—</v>
      </c>
      <c r="G170" t="str" cm="1">
        <f t="array" ref="G170">IFERROR(_xlfn.MODE.SNGL(_xlfn._xlws.FILTER(DATOS!$K$2:$K$20000,(DATOS!$G$2:$G$20000=CONFIG_METADATA!$B$4)*(DATOS!$D$2:$D$20000=A170)*(DATOS!$I$2:$I$20000=B170))),"—")</f>
        <v>—</v>
      </c>
      <c r="H170" s="11" t="str">
        <f>IFERROR(SUMPRODUCT((DATOS!$G$2:$G$20000=CONFIG_METADATA!$B$4)*(DATOS!$D$2:$D$20000=A170)*(DATOS!$I$2:$I$20000=B170)*(DATOS!$L$2:$L$20000="S"))/D170,"—")</f>
        <v>—</v>
      </c>
      <c r="I170" s="11" t="str">
        <f>IFERROR(SUMPRODUCT((DATOS!$G$2:$G$20000=CONFIG_METADATA!$B$4)*(DATOS!$D$2:$D$20000=A170)*(DATOS!$I$2:$I$20000=B170)*(DATOS!$L$2:$L$20000="N"))/D170,"—")</f>
        <v>—</v>
      </c>
      <c r="J170" t="str" cm="1">
        <f t="array" ref="J170">IFERROR(_xlfn.MODE.SNGL(_xlfn._xlws.FILTER(DATOS!$K$2:$K$20000,(DATOS!$G$2:$G$20000=CONFIG_METADATA!$B$4)*(DATOS!$D$2:$D$20000=A170)*(DATOS!$I$2:$I$20000=B170)*(DATOS!$L$2:$L$20000="S"))),"—")</f>
        <v>—</v>
      </c>
      <c r="K170" t="str" cm="1">
        <f t="array" ref="K170">IFERROR(_xlfn.MODE.SNGL(_xlfn._xlws.FILTER(DATOS!$K$2:$K$20000,(DATOS!$G$2:$G$20000=CONFIG_METADATA!$B$4)*(DATOS!$D$2:$D$20000=A170)*(DATOS!$I$2:$I$20000=B170)*(DATOS!$L$2:$L$20000="N"))),"—")</f>
        <v>—</v>
      </c>
      <c r="L170">
        <f>SUMPRODUCT((DATOS!$G$2:$G$20000=CONFIG_METADATA!$B$4)*(DATOS!$D$2:$D$20000=A170)*(DATOS!$I$2:$I$20000=B170)*(DATOS!$K$2:$K$20000=1))</f>
        <v>0</v>
      </c>
      <c r="M170">
        <f>SUMPRODUCT((DATOS!$G$2:$G$20000=CONFIG_METADATA!$B$4)*(DATOS!$D$2:$D$20000=A170)*(DATOS!$I$2:$I$20000=B170)*(DATOS!$K$2:$K$20000=2))</f>
        <v>0</v>
      </c>
      <c r="N170">
        <f>SUMPRODUCT((DATOS!$G$2:$G$20000=CONFIG_METADATA!$B$4)*(DATOS!$D$2:$D$20000=A170)*(DATOS!$I$2:$I$20000=B170)*(DATOS!$K$2:$K$20000=3))</f>
        <v>0</v>
      </c>
      <c r="O170">
        <f>SUMPRODUCT((DATOS!$G$2:$G$20000=CONFIG_METADATA!$B$4)*(DATOS!$D$2:$D$20000=A170)*(DATOS!$I$2:$I$20000=B170)*(DATOS!$K$2:$K$20000=4))</f>
        <v>0</v>
      </c>
      <c r="P170">
        <f>SUMPRODUCT((DATOS!$G$2:$G$20000=CONFIG_METADATA!$B$4)*(DATOS!$D$2:$D$20000=A170)*(DATOS!$I$2:$I$20000=B170)*(DATOS!$K$2:$K$20000=5))</f>
        <v>0</v>
      </c>
      <c r="Q170">
        <f>SUMPRODUCT((DATOS!$G$2:$G$20000=CONFIG_METADATA!$B$4)*(DATOS!$D$2:$D$20000=A170)*(DATOS!$I$2:$I$20000=B170)*(DATOS!$K$2:$K$20000=6))</f>
        <v>0</v>
      </c>
      <c r="R170">
        <f>SUMPRODUCT((DATOS!$G$2:$G$20000=CONFIG_METADATA!$B$4)*(DATOS!$D$2:$D$20000=A170)*(DATOS!$I$2:$I$20000=B170)*(DATOS!$K$2:$K$20000=7))</f>
        <v>0</v>
      </c>
      <c r="S170">
        <f>SUMPRODUCT((DATOS!$G$2:$G$20000=CONFIG_METADATA!$B$4)*(DATOS!$D$2:$D$20000=A170)*(DATOS!$I$2:$I$20000=B170)*(DATOS!$K$2:$K$20000=8))</f>
        <v>0</v>
      </c>
      <c r="T170">
        <f>SUMPRODUCT((DATOS!$G$2:$G$20000=CONFIG_METADATA!$B$4)*(DATOS!$D$2:$D$20000=A170)*(DATOS!$I$2:$I$20000=B170)*(DATOS!$K$2:$K$20000=9))</f>
        <v>0</v>
      </c>
      <c r="U170">
        <f>SUMPRODUCT((DATOS!$G$2:$G$20000=CONFIG_METADATA!$B$4)*(DATOS!$D$2:$D$20000=A170)*(DATOS!$I$2:$I$20000=B170)*(DATOS!$K$2:$K$20000=10))</f>
        <v>0</v>
      </c>
    </row>
    <row r="171" spans="1:21" x14ac:dyDescent="0.2">
      <c r="A171" t="s">
        <v>82</v>
      </c>
      <c r="B171" t="s">
        <v>19</v>
      </c>
      <c r="C171" t="s">
        <v>21</v>
      </c>
      <c r="D171">
        <f>SUMPRODUCT((DATOS!$G$2:$G$20000=CONFIG_METADATA!$B$4)*(DATOS!$D$2:$D$20000=A171)*(DATOS!$I$2:$I$20000=B171))</f>
        <v>0</v>
      </c>
      <c r="E171" s="10" t="str">
        <f>IFERROR(SUMPRODUCT((DATOS!$G$2:$G$20000=CONFIG_METADATA!$B$4)*(DATOS!$D$2:$D$20000=A171)*(DATOS!$I$2:$I$20000=B171)*(DATOS!$K$2:$K$20000))/D171,"—")</f>
        <v>—</v>
      </c>
      <c r="F171" s="10" t="str" cm="1">
        <f t="array" ref="F171">IFERROR(_xlfn.STDEV.P(_xlfn._xlws.FILTER(DATOS!$K$2:$K$20000,(DATOS!$G$2:$G$20000=CONFIG_METADATA!$B$4)*(DATOS!$D$2:$D$20000=A171)*(DATOS!$I$2:$I$20000=B171))),"—")</f>
        <v>—</v>
      </c>
      <c r="G171" t="str" cm="1">
        <f t="array" ref="G171">IFERROR(_xlfn.MODE.SNGL(_xlfn._xlws.FILTER(DATOS!$K$2:$K$20000,(DATOS!$G$2:$G$20000=CONFIG_METADATA!$B$4)*(DATOS!$D$2:$D$20000=A171)*(DATOS!$I$2:$I$20000=B171))),"—")</f>
        <v>—</v>
      </c>
      <c r="H171" s="11" t="str">
        <f>IFERROR(SUMPRODUCT((DATOS!$G$2:$G$20000=CONFIG_METADATA!$B$4)*(DATOS!$D$2:$D$20000=A171)*(DATOS!$I$2:$I$20000=B171)*(DATOS!$L$2:$L$20000="S"))/D171,"—")</f>
        <v>—</v>
      </c>
      <c r="I171" s="11" t="str">
        <f>IFERROR(SUMPRODUCT((DATOS!$G$2:$G$20000=CONFIG_METADATA!$B$4)*(DATOS!$D$2:$D$20000=A171)*(DATOS!$I$2:$I$20000=B171)*(DATOS!$L$2:$L$20000="N"))/D171,"—")</f>
        <v>—</v>
      </c>
      <c r="J171" t="str" cm="1">
        <f t="array" ref="J171">IFERROR(_xlfn.MODE.SNGL(_xlfn._xlws.FILTER(DATOS!$K$2:$K$20000,(DATOS!$G$2:$G$20000=CONFIG_METADATA!$B$4)*(DATOS!$D$2:$D$20000=A171)*(DATOS!$I$2:$I$20000=B171)*(DATOS!$L$2:$L$20000="S"))),"—")</f>
        <v>—</v>
      </c>
      <c r="K171" t="str" cm="1">
        <f t="array" ref="K171">IFERROR(_xlfn.MODE.SNGL(_xlfn._xlws.FILTER(DATOS!$K$2:$K$20000,(DATOS!$G$2:$G$20000=CONFIG_METADATA!$B$4)*(DATOS!$D$2:$D$20000=A171)*(DATOS!$I$2:$I$20000=B171)*(DATOS!$L$2:$L$20000="N"))),"—")</f>
        <v>—</v>
      </c>
      <c r="L171">
        <f>SUMPRODUCT((DATOS!$G$2:$G$20000=CONFIG_METADATA!$B$4)*(DATOS!$D$2:$D$20000=A171)*(DATOS!$I$2:$I$20000=B171)*(DATOS!$K$2:$K$20000=1))</f>
        <v>0</v>
      </c>
      <c r="M171">
        <f>SUMPRODUCT((DATOS!$G$2:$G$20000=CONFIG_METADATA!$B$4)*(DATOS!$D$2:$D$20000=A171)*(DATOS!$I$2:$I$20000=B171)*(DATOS!$K$2:$K$20000=2))</f>
        <v>0</v>
      </c>
      <c r="N171">
        <f>SUMPRODUCT((DATOS!$G$2:$G$20000=CONFIG_METADATA!$B$4)*(DATOS!$D$2:$D$20000=A171)*(DATOS!$I$2:$I$20000=B171)*(DATOS!$K$2:$K$20000=3))</f>
        <v>0</v>
      </c>
      <c r="O171">
        <f>SUMPRODUCT((DATOS!$G$2:$G$20000=CONFIG_METADATA!$B$4)*(DATOS!$D$2:$D$20000=A171)*(DATOS!$I$2:$I$20000=B171)*(DATOS!$K$2:$K$20000=4))</f>
        <v>0</v>
      </c>
      <c r="P171">
        <f>SUMPRODUCT((DATOS!$G$2:$G$20000=CONFIG_METADATA!$B$4)*(DATOS!$D$2:$D$20000=A171)*(DATOS!$I$2:$I$20000=B171)*(DATOS!$K$2:$K$20000=5))</f>
        <v>0</v>
      </c>
      <c r="Q171">
        <f>SUMPRODUCT((DATOS!$G$2:$G$20000=CONFIG_METADATA!$B$4)*(DATOS!$D$2:$D$20000=A171)*(DATOS!$I$2:$I$20000=B171)*(DATOS!$K$2:$K$20000=6))</f>
        <v>0</v>
      </c>
      <c r="R171">
        <f>SUMPRODUCT((DATOS!$G$2:$G$20000=CONFIG_METADATA!$B$4)*(DATOS!$D$2:$D$20000=A171)*(DATOS!$I$2:$I$20000=B171)*(DATOS!$K$2:$K$20000=7))</f>
        <v>0</v>
      </c>
      <c r="S171">
        <f>SUMPRODUCT((DATOS!$G$2:$G$20000=CONFIG_METADATA!$B$4)*(DATOS!$D$2:$D$20000=A171)*(DATOS!$I$2:$I$20000=B171)*(DATOS!$K$2:$K$20000=8))</f>
        <v>0</v>
      </c>
      <c r="T171">
        <f>SUMPRODUCT((DATOS!$G$2:$G$20000=CONFIG_METADATA!$B$4)*(DATOS!$D$2:$D$20000=A171)*(DATOS!$I$2:$I$20000=B171)*(DATOS!$K$2:$K$20000=9))</f>
        <v>0</v>
      </c>
      <c r="U171">
        <f>SUMPRODUCT((DATOS!$G$2:$G$20000=CONFIG_METADATA!$B$4)*(DATOS!$D$2:$D$20000=A171)*(DATOS!$I$2:$I$20000=B171)*(DATOS!$K$2:$K$20000=10))</f>
        <v>0</v>
      </c>
    </row>
    <row r="172" spans="1:21" x14ac:dyDescent="0.2">
      <c r="A172" t="s">
        <v>82</v>
      </c>
      <c r="B172" t="s">
        <v>22</v>
      </c>
      <c r="C172" t="s">
        <v>21</v>
      </c>
      <c r="D172">
        <f>SUMPRODUCT((DATOS!$G$2:$G$20000=CONFIG_METADATA!$B$4)*(DATOS!$D$2:$D$20000=A172)*(DATOS!$I$2:$I$20000=B172))</f>
        <v>0</v>
      </c>
      <c r="E172" s="10" t="str">
        <f>IFERROR(SUMPRODUCT((DATOS!$G$2:$G$20000=CONFIG_METADATA!$B$4)*(DATOS!$D$2:$D$20000=A172)*(DATOS!$I$2:$I$20000=B172)*(DATOS!$K$2:$K$20000))/D172,"—")</f>
        <v>—</v>
      </c>
      <c r="F172" s="10" t="str" cm="1">
        <f t="array" ref="F172">IFERROR(_xlfn.STDEV.P(_xlfn._xlws.FILTER(DATOS!$K$2:$K$20000,(DATOS!$G$2:$G$20000=CONFIG_METADATA!$B$4)*(DATOS!$D$2:$D$20000=A172)*(DATOS!$I$2:$I$20000=B172))),"—")</f>
        <v>—</v>
      </c>
      <c r="G172" t="str" cm="1">
        <f t="array" ref="G172">IFERROR(_xlfn.MODE.SNGL(_xlfn._xlws.FILTER(DATOS!$K$2:$K$20000,(DATOS!$G$2:$G$20000=CONFIG_METADATA!$B$4)*(DATOS!$D$2:$D$20000=A172)*(DATOS!$I$2:$I$20000=B172))),"—")</f>
        <v>—</v>
      </c>
      <c r="H172" s="11" t="str">
        <f>IFERROR(SUMPRODUCT((DATOS!$G$2:$G$20000=CONFIG_METADATA!$B$4)*(DATOS!$D$2:$D$20000=A172)*(DATOS!$I$2:$I$20000=B172)*(DATOS!$L$2:$L$20000="S"))/D172,"—")</f>
        <v>—</v>
      </c>
      <c r="I172" s="11" t="str">
        <f>IFERROR(SUMPRODUCT((DATOS!$G$2:$G$20000=CONFIG_METADATA!$B$4)*(DATOS!$D$2:$D$20000=A172)*(DATOS!$I$2:$I$20000=B172)*(DATOS!$L$2:$L$20000="N"))/D172,"—")</f>
        <v>—</v>
      </c>
      <c r="J172" t="str" cm="1">
        <f t="array" ref="J172">IFERROR(_xlfn.MODE.SNGL(_xlfn._xlws.FILTER(DATOS!$K$2:$K$20000,(DATOS!$G$2:$G$20000=CONFIG_METADATA!$B$4)*(DATOS!$D$2:$D$20000=A172)*(DATOS!$I$2:$I$20000=B172)*(DATOS!$L$2:$L$20000="S"))),"—")</f>
        <v>—</v>
      </c>
      <c r="K172" t="str" cm="1">
        <f t="array" ref="K172">IFERROR(_xlfn.MODE.SNGL(_xlfn._xlws.FILTER(DATOS!$K$2:$K$20000,(DATOS!$G$2:$G$20000=CONFIG_METADATA!$B$4)*(DATOS!$D$2:$D$20000=A172)*(DATOS!$I$2:$I$20000=B172)*(DATOS!$L$2:$L$20000="N"))),"—")</f>
        <v>—</v>
      </c>
      <c r="L172">
        <f>SUMPRODUCT((DATOS!$G$2:$G$20000=CONFIG_METADATA!$B$4)*(DATOS!$D$2:$D$20000=A172)*(DATOS!$I$2:$I$20000=B172)*(DATOS!$K$2:$K$20000=1))</f>
        <v>0</v>
      </c>
      <c r="M172">
        <f>SUMPRODUCT((DATOS!$G$2:$G$20000=CONFIG_METADATA!$B$4)*(DATOS!$D$2:$D$20000=A172)*(DATOS!$I$2:$I$20000=B172)*(DATOS!$K$2:$K$20000=2))</f>
        <v>0</v>
      </c>
      <c r="N172">
        <f>SUMPRODUCT((DATOS!$G$2:$G$20000=CONFIG_METADATA!$B$4)*(DATOS!$D$2:$D$20000=A172)*(DATOS!$I$2:$I$20000=B172)*(DATOS!$K$2:$K$20000=3))</f>
        <v>0</v>
      </c>
      <c r="O172">
        <f>SUMPRODUCT((DATOS!$G$2:$G$20000=CONFIG_METADATA!$B$4)*(DATOS!$D$2:$D$20000=A172)*(DATOS!$I$2:$I$20000=B172)*(DATOS!$K$2:$K$20000=4))</f>
        <v>0</v>
      </c>
      <c r="P172">
        <f>SUMPRODUCT((DATOS!$G$2:$G$20000=CONFIG_METADATA!$B$4)*(DATOS!$D$2:$D$20000=A172)*(DATOS!$I$2:$I$20000=B172)*(DATOS!$K$2:$K$20000=5))</f>
        <v>0</v>
      </c>
      <c r="Q172">
        <f>SUMPRODUCT((DATOS!$G$2:$G$20000=CONFIG_METADATA!$B$4)*(DATOS!$D$2:$D$20000=A172)*(DATOS!$I$2:$I$20000=B172)*(DATOS!$K$2:$K$20000=6))</f>
        <v>0</v>
      </c>
      <c r="R172">
        <f>SUMPRODUCT((DATOS!$G$2:$G$20000=CONFIG_METADATA!$B$4)*(DATOS!$D$2:$D$20000=A172)*(DATOS!$I$2:$I$20000=B172)*(DATOS!$K$2:$K$20000=7))</f>
        <v>0</v>
      </c>
      <c r="S172">
        <f>SUMPRODUCT((DATOS!$G$2:$G$20000=CONFIG_METADATA!$B$4)*(DATOS!$D$2:$D$20000=A172)*(DATOS!$I$2:$I$20000=B172)*(DATOS!$K$2:$K$20000=8))</f>
        <v>0</v>
      </c>
      <c r="T172">
        <f>SUMPRODUCT((DATOS!$G$2:$G$20000=CONFIG_METADATA!$B$4)*(DATOS!$D$2:$D$20000=A172)*(DATOS!$I$2:$I$20000=B172)*(DATOS!$K$2:$K$20000=9))</f>
        <v>0</v>
      </c>
      <c r="U172">
        <f>SUMPRODUCT((DATOS!$G$2:$G$20000=CONFIG_METADATA!$B$4)*(DATOS!$D$2:$D$20000=A172)*(DATOS!$I$2:$I$20000=B172)*(DATOS!$K$2:$K$20000=10))</f>
        <v>0</v>
      </c>
    </row>
    <row r="173" spans="1:21" x14ac:dyDescent="0.2">
      <c r="A173" t="s">
        <v>82</v>
      </c>
      <c r="B173" t="s">
        <v>54</v>
      </c>
      <c r="C173" t="s">
        <v>21</v>
      </c>
      <c r="D173">
        <f>SUMPRODUCT((DATOS!$G$2:$G$20000=CONFIG_METADATA!$B$4)*(DATOS!$D$2:$D$20000=A173)*(DATOS!$I$2:$I$20000=B173))</f>
        <v>0</v>
      </c>
      <c r="E173" s="10" t="str">
        <f>IFERROR(SUMPRODUCT((DATOS!$G$2:$G$20000=CONFIG_METADATA!$B$4)*(DATOS!$D$2:$D$20000=A173)*(DATOS!$I$2:$I$20000=B173)*(DATOS!$K$2:$K$20000))/D173,"—")</f>
        <v>—</v>
      </c>
      <c r="F173" s="10" t="str" cm="1">
        <f t="array" ref="F173">IFERROR(_xlfn.STDEV.P(_xlfn._xlws.FILTER(DATOS!$K$2:$K$20000,(DATOS!$G$2:$G$20000=CONFIG_METADATA!$B$4)*(DATOS!$D$2:$D$20000=A173)*(DATOS!$I$2:$I$20000=B173))),"—")</f>
        <v>—</v>
      </c>
      <c r="G173" t="str" cm="1">
        <f t="array" ref="G173">IFERROR(_xlfn.MODE.SNGL(_xlfn._xlws.FILTER(DATOS!$K$2:$K$20000,(DATOS!$G$2:$G$20000=CONFIG_METADATA!$B$4)*(DATOS!$D$2:$D$20000=A173)*(DATOS!$I$2:$I$20000=B173))),"—")</f>
        <v>—</v>
      </c>
      <c r="H173" s="11" t="str">
        <f>IFERROR(SUMPRODUCT((DATOS!$G$2:$G$20000=CONFIG_METADATA!$B$4)*(DATOS!$D$2:$D$20000=A173)*(DATOS!$I$2:$I$20000=B173)*(DATOS!$L$2:$L$20000="S"))/D173,"—")</f>
        <v>—</v>
      </c>
      <c r="I173" s="11" t="str">
        <f>IFERROR(SUMPRODUCT((DATOS!$G$2:$G$20000=CONFIG_METADATA!$B$4)*(DATOS!$D$2:$D$20000=A173)*(DATOS!$I$2:$I$20000=B173)*(DATOS!$L$2:$L$20000="N"))/D173,"—")</f>
        <v>—</v>
      </c>
      <c r="J173" t="str" cm="1">
        <f t="array" ref="J173">IFERROR(_xlfn.MODE.SNGL(_xlfn._xlws.FILTER(DATOS!$K$2:$K$20000,(DATOS!$G$2:$G$20000=CONFIG_METADATA!$B$4)*(DATOS!$D$2:$D$20000=A173)*(DATOS!$I$2:$I$20000=B173)*(DATOS!$L$2:$L$20000="S"))),"—")</f>
        <v>—</v>
      </c>
      <c r="K173" t="str" cm="1">
        <f t="array" ref="K173">IFERROR(_xlfn.MODE.SNGL(_xlfn._xlws.FILTER(DATOS!$K$2:$K$20000,(DATOS!$G$2:$G$20000=CONFIG_METADATA!$B$4)*(DATOS!$D$2:$D$20000=A173)*(DATOS!$I$2:$I$20000=B173)*(DATOS!$L$2:$L$20000="N"))),"—")</f>
        <v>—</v>
      </c>
      <c r="L173">
        <f>SUMPRODUCT((DATOS!$G$2:$G$20000=CONFIG_METADATA!$B$4)*(DATOS!$D$2:$D$20000=A173)*(DATOS!$I$2:$I$20000=B173)*(DATOS!$K$2:$K$20000=1))</f>
        <v>0</v>
      </c>
      <c r="M173">
        <f>SUMPRODUCT((DATOS!$G$2:$G$20000=CONFIG_METADATA!$B$4)*(DATOS!$D$2:$D$20000=A173)*(DATOS!$I$2:$I$20000=B173)*(DATOS!$K$2:$K$20000=2))</f>
        <v>0</v>
      </c>
      <c r="N173">
        <f>SUMPRODUCT((DATOS!$G$2:$G$20000=CONFIG_METADATA!$B$4)*(DATOS!$D$2:$D$20000=A173)*(DATOS!$I$2:$I$20000=B173)*(DATOS!$K$2:$K$20000=3))</f>
        <v>0</v>
      </c>
      <c r="O173">
        <f>SUMPRODUCT((DATOS!$G$2:$G$20000=CONFIG_METADATA!$B$4)*(DATOS!$D$2:$D$20000=A173)*(DATOS!$I$2:$I$20000=B173)*(DATOS!$K$2:$K$20000=4))</f>
        <v>0</v>
      </c>
      <c r="P173">
        <f>SUMPRODUCT((DATOS!$G$2:$G$20000=CONFIG_METADATA!$B$4)*(DATOS!$D$2:$D$20000=A173)*(DATOS!$I$2:$I$20000=B173)*(DATOS!$K$2:$K$20000=5))</f>
        <v>0</v>
      </c>
      <c r="Q173">
        <f>SUMPRODUCT((DATOS!$G$2:$G$20000=CONFIG_METADATA!$B$4)*(DATOS!$D$2:$D$20000=A173)*(DATOS!$I$2:$I$20000=B173)*(DATOS!$K$2:$K$20000=6))</f>
        <v>0</v>
      </c>
      <c r="R173">
        <f>SUMPRODUCT((DATOS!$G$2:$G$20000=CONFIG_METADATA!$B$4)*(DATOS!$D$2:$D$20000=A173)*(DATOS!$I$2:$I$20000=B173)*(DATOS!$K$2:$K$20000=7))</f>
        <v>0</v>
      </c>
      <c r="S173">
        <f>SUMPRODUCT((DATOS!$G$2:$G$20000=CONFIG_METADATA!$B$4)*(DATOS!$D$2:$D$20000=A173)*(DATOS!$I$2:$I$20000=B173)*(DATOS!$K$2:$K$20000=8))</f>
        <v>0</v>
      </c>
      <c r="T173">
        <f>SUMPRODUCT((DATOS!$G$2:$G$20000=CONFIG_METADATA!$B$4)*(DATOS!$D$2:$D$20000=A173)*(DATOS!$I$2:$I$20000=B173)*(DATOS!$K$2:$K$20000=9))</f>
        <v>0</v>
      </c>
      <c r="U173">
        <f>SUMPRODUCT((DATOS!$G$2:$G$20000=CONFIG_METADATA!$B$4)*(DATOS!$D$2:$D$20000=A173)*(DATOS!$I$2:$I$20000=B173)*(DATOS!$K$2:$K$20000=10))</f>
        <v>0</v>
      </c>
    </row>
    <row r="174" spans="1:21" x14ac:dyDescent="0.2">
      <c r="A174" t="s">
        <v>82</v>
      </c>
      <c r="B174" t="s">
        <v>56</v>
      </c>
      <c r="C174" t="s">
        <v>21</v>
      </c>
      <c r="D174">
        <f>SUMPRODUCT((DATOS!$G$2:$G$20000=CONFIG_METADATA!$B$4)*(DATOS!$D$2:$D$20000=A174)*(DATOS!$I$2:$I$20000=B174))</f>
        <v>0</v>
      </c>
      <c r="E174" s="10" t="str">
        <f>IFERROR(SUMPRODUCT((DATOS!$G$2:$G$20000=CONFIG_METADATA!$B$4)*(DATOS!$D$2:$D$20000=A174)*(DATOS!$I$2:$I$20000=B174)*(DATOS!$K$2:$K$20000))/D174,"—")</f>
        <v>—</v>
      </c>
      <c r="F174" s="10" t="str" cm="1">
        <f t="array" ref="F174">IFERROR(_xlfn.STDEV.P(_xlfn._xlws.FILTER(DATOS!$K$2:$K$20000,(DATOS!$G$2:$G$20000=CONFIG_METADATA!$B$4)*(DATOS!$D$2:$D$20000=A174)*(DATOS!$I$2:$I$20000=B174))),"—")</f>
        <v>—</v>
      </c>
      <c r="G174" t="str" cm="1">
        <f t="array" ref="G174">IFERROR(_xlfn.MODE.SNGL(_xlfn._xlws.FILTER(DATOS!$K$2:$K$20000,(DATOS!$G$2:$G$20000=CONFIG_METADATA!$B$4)*(DATOS!$D$2:$D$20000=A174)*(DATOS!$I$2:$I$20000=B174))),"—")</f>
        <v>—</v>
      </c>
      <c r="H174" s="11" t="str">
        <f>IFERROR(SUMPRODUCT((DATOS!$G$2:$G$20000=CONFIG_METADATA!$B$4)*(DATOS!$D$2:$D$20000=A174)*(DATOS!$I$2:$I$20000=B174)*(DATOS!$L$2:$L$20000="S"))/D174,"—")</f>
        <v>—</v>
      </c>
      <c r="I174" s="11" t="str">
        <f>IFERROR(SUMPRODUCT((DATOS!$G$2:$G$20000=CONFIG_METADATA!$B$4)*(DATOS!$D$2:$D$20000=A174)*(DATOS!$I$2:$I$20000=B174)*(DATOS!$L$2:$L$20000="N"))/D174,"—")</f>
        <v>—</v>
      </c>
      <c r="J174" t="str" cm="1">
        <f t="array" ref="J174">IFERROR(_xlfn.MODE.SNGL(_xlfn._xlws.FILTER(DATOS!$K$2:$K$20000,(DATOS!$G$2:$G$20000=CONFIG_METADATA!$B$4)*(DATOS!$D$2:$D$20000=A174)*(DATOS!$I$2:$I$20000=B174)*(DATOS!$L$2:$L$20000="S"))),"—")</f>
        <v>—</v>
      </c>
      <c r="K174" t="str" cm="1">
        <f t="array" ref="K174">IFERROR(_xlfn.MODE.SNGL(_xlfn._xlws.FILTER(DATOS!$K$2:$K$20000,(DATOS!$G$2:$G$20000=CONFIG_METADATA!$B$4)*(DATOS!$D$2:$D$20000=A174)*(DATOS!$I$2:$I$20000=B174)*(DATOS!$L$2:$L$20000="N"))),"—")</f>
        <v>—</v>
      </c>
      <c r="L174">
        <f>SUMPRODUCT((DATOS!$G$2:$G$20000=CONFIG_METADATA!$B$4)*(DATOS!$D$2:$D$20000=A174)*(DATOS!$I$2:$I$20000=B174)*(DATOS!$K$2:$K$20000=1))</f>
        <v>0</v>
      </c>
      <c r="M174">
        <f>SUMPRODUCT((DATOS!$G$2:$G$20000=CONFIG_METADATA!$B$4)*(DATOS!$D$2:$D$20000=A174)*(DATOS!$I$2:$I$20000=B174)*(DATOS!$K$2:$K$20000=2))</f>
        <v>0</v>
      </c>
      <c r="N174">
        <f>SUMPRODUCT((DATOS!$G$2:$G$20000=CONFIG_METADATA!$B$4)*(DATOS!$D$2:$D$20000=A174)*(DATOS!$I$2:$I$20000=B174)*(DATOS!$K$2:$K$20000=3))</f>
        <v>0</v>
      </c>
      <c r="O174">
        <f>SUMPRODUCT((DATOS!$G$2:$G$20000=CONFIG_METADATA!$B$4)*(DATOS!$D$2:$D$20000=A174)*(DATOS!$I$2:$I$20000=B174)*(DATOS!$K$2:$K$20000=4))</f>
        <v>0</v>
      </c>
      <c r="P174">
        <f>SUMPRODUCT((DATOS!$G$2:$G$20000=CONFIG_METADATA!$B$4)*(DATOS!$D$2:$D$20000=A174)*(DATOS!$I$2:$I$20000=B174)*(DATOS!$K$2:$K$20000=5))</f>
        <v>0</v>
      </c>
      <c r="Q174">
        <f>SUMPRODUCT((DATOS!$G$2:$G$20000=CONFIG_METADATA!$B$4)*(DATOS!$D$2:$D$20000=A174)*(DATOS!$I$2:$I$20000=B174)*(DATOS!$K$2:$K$20000=6))</f>
        <v>0</v>
      </c>
      <c r="R174">
        <f>SUMPRODUCT((DATOS!$G$2:$G$20000=CONFIG_METADATA!$B$4)*(DATOS!$D$2:$D$20000=A174)*(DATOS!$I$2:$I$20000=B174)*(DATOS!$K$2:$K$20000=7))</f>
        <v>0</v>
      </c>
      <c r="S174">
        <f>SUMPRODUCT((DATOS!$G$2:$G$20000=CONFIG_METADATA!$B$4)*(DATOS!$D$2:$D$20000=A174)*(DATOS!$I$2:$I$20000=B174)*(DATOS!$K$2:$K$20000=8))</f>
        <v>0</v>
      </c>
      <c r="T174">
        <f>SUMPRODUCT((DATOS!$G$2:$G$20000=CONFIG_METADATA!$B$4)*(DATOS!$D$2:$D$20000=A174)*(DATOS!$I$2:$I$20000=B174)*(DATOS!$K$2:$K$20000=9))</f>
        <v>0</v>
      </c>
      <c r="U174">
        <f>SUMPRODUCT((DATOS!$G$2:$G$20000=CONFIG_METADATA!$B$4)*(DATOS!$D$2:$D$20000=A174)*(DATOS!$I$2:$I$20000=B174)*(DATOS!$K$2:$K$20000=10))</f>
        <v>0</v>
      </c>
    </row>
    <row r="175" spans="1:21" x14ac:dyDescent="0.2">
      <c r="A175" t="s">
        <v>82</v>
      </c>
      <c r="B175" t="s">
        <v>58</v>
      </c>
      <c r="C175" t="s">
        <v>21</v>
      </c>
      <c r="D175">
        <f>SUMPRODUCT((DATOS!$G$2:$G$20000=CONFIG_METADATA!$B$4)*(DATOS!$D$2:$D$20000=A175)*(DATOS!$I$2:$I$20000=B175))</f>
        <v>0</v>
      </c>
      <c r="E175" s="10" t="str">
        <f>IFERROR(SUMPRODUCT((DATOS!$G$2:$G$20000=CONFIG_METADATA!$B$4)*(DATOS!$D$2:$D$20000=A175)*(DATOS!$I$2:$I$20000=B175)*(DATOS!$K$2:$K$20000))/D175,"—")</f>
        <v>—</v>
      </c>
      <c r="F175" s="10" t="str" cm="1">
        <f t="array" ref="F175">IFERROR(_xlfn.STDEV.P(_xlfn._xlws.FILTER(DATOS!$K$2:$K$20000,(DATOS!$G$2:$G$20000=CONFIG_METADATA!$B$4)*(DATOS!$D$2:$D$20000=A175)*(DATOS!$I$2:$I$20000=B175))),"—")</f>
        <v>—</v>
      </c>
      <c r="G175" t="str" cm="1">
        <f t="array" ref="G175">IFERROR(_xlfn.MODE.SNGL(_xlfn._xlws.FILTER(DATOS!$K$2:$K$20000,(DATOS!$G$2:$G$20000=CONFIG_METADATA!$B$4)*(DATOS!$D$2:$D$20000=A175)*(DATOS!$I$2:$I$20000=B175))),"—")</f>
        <v>—</v>
      </c>
      <c r="H175" s="11" t="str">
        <f>IFERROR(SUMPRODUCT((DATOS!$G$2:$G$20000=CONFIG_METADATA!$B$4)*(DATOS!$D$2:$D$20000=A175)*(DATOS!$I$2:$I$20000=B175)*(DATOS!$L$2:$L$20000="S"))/D175,"—")</f>
        <v>—</v>
      </c>
      <c r="I175" s="11" t="str">
        <f>IFERROR(SUMPRODUCT((DATOS!$G$2:$G$20000=CONFIG_METADATA!$B$4)*(DATOS!$D$2:$D$20000=A175)*(DATOS!$I$2:$I$20000=B175)*(DATOS!$L$2:$L$20000="N"))/D175,"—")</f>
        <v>—</v>
      </c>
      <c r="J175" t="str" cm="1">
        <f t="array" ref="J175">IFERROR(_xlfn.MODE.SNGL(_xlfn._xlws.FILTER(DATOS!$K$2:$K$20000,(DATOS!$G$2:$G$20000=CONFIG_METADATA!$B$4)*(DATOS!$D$2:$D$20000=A175)*(DATOS!$I$2:$I$20000=B175)*(DATOS!$L$2:$L$20000="S"))),"—")</f>
        <v>—</v>
      </c>
      <c r="K175" t="str" cm="1">
        <f t="array" ref="K175">IFERROR(_xlfn.MODE.SNGL(_xlfn._xlws.FILTER(DATOS!$K$2:$K$20000,(DATOS!$G$2:$G$20000=CONFIG_METADATA!$B$4)*(DATOS!$D$2:$D$20000=A175)*(DATOS!$I$2:$I$20000=B175)*(DATOS!$L$2:$L$20000="N"))),"—")</f>
        <v>—</v>
      </c>
      <c r="L175">
        <f>SUMPRODUCT((DATOS!$G$2:$G$20000=CONFIG_METADATA!$B$4)*(DATOS!$D$2:$D$20000=A175)*(DATOS!$I$2:$I$20000=B175)*(DATOS!$K$2:$K$20000=1))</f>
        <v>0</v>
      </c>
      <c r="M175">
        <f>SUMPRODUCT((DATOS!$G$2:$G$20000=CONFIG_METADATA!$B$4)*(DATOS!$D$2:$D$20000=A175)*(DATOS!$I$2:$I$20000=B175)*(DATOS!$K$2:$K$20000=2))</f>
        <v>0</v>
      </c>
      <c r="N175">
        <f>SUMPRODUCT((DATOS!$G$2:$G$20000=CONFIG_METADATA!$B$4)*(DATOS!$D$2:$D$20000=A175)*(DATOS!$I$2:$I$20000=B175)*(DATOS!$K$2:$K$20000=3))</f>
        <v>0</v>
      </c>
      <c r="O175">
        <f>SUMPRODUCT((DATOS!$G$2:$G$20000=CONFIG_METADATA!$B$4)*(DATOS!$D$2:$D$20000=A175)*(DATOS!$I$2:$I$20000=B175)*(DATOS!$K$2:$K$20000=4))</f>
        <v>0</v>
      </c>
      <c r="P175">
        <f>SUMPRODUCT((DATOS!$G$2:$G$20000=CONFIG_METADATA!$B$4)*(DATOS!$D$2:$D$20000=A175)*(DATOS!$I$2:$I$20000=B175)*(DATOS!$K$2:$K$20000=5))</f>
        <v>0</v>
      </c>
      <c r="Q175">
        <f>SUMPRODUCT((DATOS!$G$2:$G$20000=CONFIG_METADATA!$B$4)*(DATOS!$D$2:$D$20000=A175)*(DATOS!$I$2:$I$20000=B175)*(DATOS!$K$2:$K$20000=6))</f>
        <v>0</v>
      </c>
      <c r="R175">
        <f>SUMPRODUCT((DATOS!$G$2:$G$20000=CONFIG_METADATA!$B$4)*(DATOS!$D$2:$D$20000=A175)*(DATOS!$I$2:$I$20000=B175)*(DATOS!$K$2:$K$20000=7))</f>
        <v>0</v>
      </c>
      <c r="S175">
        <f>SUMPRODUCT((DATOS!$G$2:$G$20000=CONFIG_METADATA!$B$4)*(DATOS!$D$2:$D$20000=A175)*(DATOS!$I$2:$I$20000=B175)*(DATOS!$K$2:$K$20000=8))</f>
        <v>0</v>
      </c>
      <c r="T175">
        <f>SUMPRODUCT((DATOS!$G$2:$G$20000=CONFIG_METADATA!$B$4)*(DATOS!$D$2:$D$20000=A175)*(DATOS!$I$2:$I$20000=B175)*(DATOS!$K$2:$K$20000=9))</f>
        <v>0</v>
      </c>
      <c r="U175">
        <f>SUMPRODUCT((DATOS!$G$2:$G$20000=CONFIG_METADATA!$B$4)*(DATOS!$D$2:$D$20000=A175)*(DATOS!$I$2:$I$20000=B175)*(DATOS!$K$2:$K$20000=10))</f>
        <v>0</v>
      </c>
    </row>
    <row r="176" spans="1:21" x14ac:dyDescent="0.2">
      <c r="A176" t="s">
        <v>82</v>
      </c>
      <c r="B176" t="s">
        <v>24</v>
      </c>
      <c r="C176" t="s">
        <v>25</v>
      </c>
      <c r="D176">
        <f>SUMPRODUCT((DATOS!$G$2:$G$20000=CONFIG_METADATA!$B$4)*(DATOS!$D$2:$D$20000=A176)*(DATOS!$I$2:$I$20000=B176))</f>
        <v>0</v>
      </c>
      <c r="E176" s="10" t="str">
        <f>IFERROR(SUMPRODUCT((DATOS!$G$2:$G$20000=CONFIG_METADATA!$B$4)*(DATOS!$D$2:$D$20000=A176)*(DATOS!$I$2:$I$20000=B176)*(DATOS!$K$2:$K$20000))/D176,"—")</f>
        <v>—</v>
      </c>
      <c r="F176" s="10" t="str" cm="1">
        <f t="array" ref="F176">IFERROR(_xlfn.STDEV.P(_xlfn._xlws.FILTER(DATOS!$K$2:$K$20000,(DATOS!$G$2:$G$20000=CONFIG_METADATA!$B$4)*(DATOS!$D$2:$D$20000=A176)*(DATOS!$I$2:$I$20000=B176))),"—")</f>
        <v>—</v>
      </c>
      <c r="G176" t="str" cm="1">
        <f t="array" ref="G176">IFERROR(_xlfn.MODE.SNGL(_xlfn._xlws.FILTER(DATOS!$K$2:$K$20000,(DATOS!$G$2:$G$20000=CONFIG_METADATA!$B$4)*(DATOS!$D$2:$D$20000=A176)*(DATOS!$I$2:$I$20000=B176))),"—")</f>
        <v>—</v>
      </c>
      <c r="H176" s="11" t="str">
        <f>IFERROR(SUMPRODUCT((DATOS!$G$2:$G$20000=CONFIG_METADATA!$B$4)*(DATOS!$D$2:$D$20000=A176)*(DATOS!$I$2:$I$20000=B176)*(DATOS!$L$2:$L$20000="S"))/D176,"—")</f>
        <v>—</v>
      </c>
      <c r="I176" s="11" t="str">
        <f>IFERROR(SUMPRODUCT((DATOS!$G$2:$G$20000=CONFIG_METADATA!$B$4)*(DATOS!$D$2:$D$20000=A176)*(DATOS!$I$2:$I$20000=B176)*(DATOS!$L$2:$L$20000="N"))/D176,"—")</f>
        <v>—</v>
      </c>
      <c r="J176" t="str" cm="1">
        <f t="array" ref="J176">IFERROR(_xlfn.MODE.SNGL(_xlfn._xlws.FILTER(DATOS!$K$2:$K$20000,(DATOS!$G$2:$G$20000=CONFIG_METADATA!$B$4)*(DATOS!$D$2:$D$20000=A176)*(DATOS!$I$2:$I$20000=B176)*(DATOS!$L$2:$L$20000="S"))),"—")</f>
        <v>—</v>
      </c>
      <c r="K176" t="str" cm="1">
        <f t="array" ref="K176">IFERROR(_xlfn.MODE.SNGL(_xlfn._xlws.FILTER(DATOS!$K$2:$K$20000,(DATOS!$G$2:$G$20000=CONFIG_METADATA!$B$4)*(DATOS!$D$2:$D$20000=A176)*(DATOS!$I$2:$I$20000=B176)*(DATOS!$L$2:$L$20000="N"))),"—")</f>
        <v>—</v>
      </c>
      <c r="L176">
        <f>SUMPRODUCT((DATOS!$G$2:$G$20000=CONFIG_METADATA!$B$4)*(DATOS!$D$2:$D$20000=A176)*(DATOS!$I$2:$I$20000=B176)*(DATOS!$K$2:$K$20000=1))</f>
        <v>0</v>
      </c>
      <c r="M176">
        <f>SUMPRODUCT((DATOS!$G$2:$G$20000=CONFIG_METADATA!$B$4)*(DATOS!$D$2:$D$20000=A176)*(DATOS!$I$2:$I$20000=B176)*(DATOS!$K$2:$K$20000=2))</f>
        <v>0</v>
      </c>
      <c r="N176">
        <f>SUMPRODUCT((DATOS!$G$2:$G$20000=CONFIG_METADATA!$B$4)*(DATOS!$D$2:$D$20000=A176)*(DATOS!$I$2:$I$20000=B176)*(DATOS!$K$2:$K$20000=3))</f>
        <v>0</v>
      </c>
      <c r="O176">
        <f>SUMPRODUCT((DATOS!$G$2:$G$20000=CONFIG_METADATA!$B$4)*(DATOS!$D$2:$D$20000=A176)*(DATOS!$I$2:$I$20000=B176)*(DATOS!$K$2:$K$20000=4))</f>
        <v>0</v>
      </c>
      <c r="P176">
        <f>SUMPRODUCT((DATOS!$G$2:$G$20000=CONFIG_METADATA!$B$4)*(DATOS!$D$2:$D$20000=A176)*(DATOS!$I$2:$I$20000=B176)*(DATOS!$K$2:$K$20000=5))</f>
        <v>0</v>
      </c>
      <c r="Q176">
        <f>SUMPRODUCT((DATOS!$G$2:$G$20000=CONFIG_METADATA!$B$4)*(DATOS!$D$2:$D$20000=A176)*(DATOS!$I$2:$I$20000=B176)*(DATOS!$K$2:$K$20000=6))</f>
        <v>0</v>
      </c>
      <c r="R176">
        <f>SUMPRODUCT((DATOS!$G$2:$G$20000=CONFIG_METADATA!$B$4)*(DATOS!$D$2:$D$20000=A176)*(DATOS!$I$2:$I$20000=B176)*(DATOS!$K$2:$K$20000=7))</f>
        <v>0</v>
      </c>
      <c r="S176">
        <f>SUMPRODUCT((DATOS!$G$2:$G$20000=CONFIG_METADATA!$B$4)*(DATOS!$D$2:$D$20000=A176)*(DATOS!$I$2:$I$20000=B176)*(DATOS!$K$2:$K$20000=8))</f>
        <v>0</v>
      </c>
      <c r="T176">
        <f>SUMPRODUCT((DATOS!$G$2:$G$20000=CONFIG_METADATA!$B$4)*(DATOS!$D$2:$D$20000=A176)*(DATOS!$I$2:$I$20000=B176)*(DATOS!$K$2:$K$20000=9))</f>
        <v>0</v>
      </c>
      <c r="U176">
        <f>SUMPRODUCT((DATOS!$G$2:$G$20000=CONFIG_METADATA!$B$4)*(DATOS!$D$2:$D$20000=A176)*(DATOS!$I$2:$I$20000=B176)*(DATOS!$K$2:$K$20000=10))</f>
        <v>0</v>
      </c>
    </row>
    <row r="177" spans="1:21" x14ac:dyDescent="0.2">
      <c r="A177" t="s">
        <v>82</v>
      </c>
      <c r="B177" t="s">
        <v>27</v>
      </c>
      <c r="C177" t="s">
        <v>25</v>
      </c>
      <c r="D177">
        <f>SUMPRODUCT((DATOS!$G$2:$G$20000=CONFIG_METADATA!$B$4)*(DATOS!$D$2:$D$20000=A177)*(DATOS!$I$2:$I$20000=B177))</f>
        <v>0</v>
      </c>
      <c r="E177" s="10" t="str">
        <f>IFERROR(SUMPRODUCT((DATOS!$G$2:$G$20000=CONFIG_METADATA!$B$4)*(DATOS!$D$2:$D$20000=A177)*(DATOS!$I$2:$I$20000=B177)*(DATOS!$K$2:$K$20000))/D177,"—")</f>
        <v>—</v>
      </c>
      <c r="F177" s="10" t="str" cm="1">
        <f t="array" ref="F177">IFERROR(_xlfn.STDEV.P(_xlfn._xlws.FILTER(DATOS!$K$2:$K$20000,(DATOS!$G$2:$G$20000=CONFIG_METADATA!$B$4)*(DATOS!$D$2:$D$20000=A177)*(DATOS!$I$2:$I$20000=B177))),"—")</f>
        <v>—</v>
      </c>
      <c r="G177" t="str" cm="1">
        <f t="array" ref="G177">IFERROR(_xlfn.MODE.SNGL(_xlfn._xlws.FILTER(DATOS!$K$2:$K$20000,(DATOS!$G$2:$G$20000=CONFIG_METADATA!$B$4)*(DATOS!$D$2:$D$20000=A177)*(DATOS!$I$2:$I$20000=B177))),"—")</f>
        <v>—</v>
      </c>
      <c r="H177" s="11" t="str">
        <f>IFERROR(SUMPRODUCT((DATOS!$G$2:$G$20000=CONFIG_METADATA!$B$4)*(DATOS!$D$2:$D$20000=A177)*(DATOS!$I$2:$I$20000=B177)*(DATOS!$L$2:$L$20000="S"))/D177,"—")</f>
        <v>—</v>
      </c>
      <c r="I177" s="11" t="str">
        <f>IFERROR(SUMPRODUCT((DATOS!$G$2:$G$20000=CONFIG_METADATA!$B$4)*(DATOS!$D$2:$D$20000=A177)*(DATOS!$I$2:$I$20000=B177)*(DATOS!$L$2:$L$20000="N"))/D177,"—")</f>
        <v>—</v>
      </c>
      <c r="J177" t="str" cm="1">
        <f t="array" ref="J177">IFERROR(_xlfn.MODE.SNGL(_xlfn._xlws.FILTER(DATOS!$K$2:$K$20000,(DATOS!$G$2:$G$20000=CONFIG_METADATA!$B$4)*(DATOS!$D$2:$D$20000=A177)*(DATOS!$I$2:$I$20000=B177)*(DATOS!$L$2:$L$20000="S"))),"—")</f>
        <v>—</v>
      </c>
      <c r="K177" t="str" cm="1">
        <f t="array" ref="K177">IFERROR(_xlfn.MODE.SNGL(_xlfn._xlws.FILTER(DATOS!$K$2:$K$20000,(DATOS!$G$2:$G$20000=CONFIG_METADATA!$B$4)*(DATOS!$D$2:$D$20000=A177)*(DATOS!$I$2:$I$20000=B177)*(DATOS!$L$2:$L$20000="N"))),"—")</f>
        <v>—</v>
      </c>
      <c r="L177">
        <f>SUMPRODUCT((DATOS!$G$2:$G$20000=CONFIG_METADATA!$B$4)*(DATOS!$D$2:$D$20000=A177)*(DATOS!$I$2:$I$20000=B177)*(DATOS!$K$2:$K$20000=1))</f>
        <v>0</v>
      </c>
      <c r="M177">
        <f>SUMPRODUCT((DATOS!$G$2:$G$20000=CONFIG_METADATA!$B$4)*(DATOS!$D$2:$D$20000=A177)*(DATOS!$I$2:$I$20000=B177)*(DATOS!$K$2:$K$20000=2))</f>
        <v>0</v>
      </c>
      <c r="N177">
        <f>SUMPRODUCT((DATOS!$G$2:$G$20000=CONFIG_METADATA!$B$4)*(DATOS!$D$2:$D$20000=A177)*(DATOS!$I$2:$I$20000=B177)*(DATOS!$K$2:$K$20000=3))</f>
        <v>0</v>
      </c>
      <c r="O177">
        <f>SUMPRODUCT((DATOS!$G$2:$G$20000=CONFIG_METADATA!$B$4)*(DATOS!$D$2:$D$20000=A177)*(DATOS!$I$2:$I$20000=B177)*(DATOS!$K$2:$K$20000=4))</f>
        <v>0</v>
      </c>
      <c r="P177">
        <f>SUMPRODUCT((DATOS!$G$2:$G$20000=CONFIG_METADATA!$B$4)*(DATOS!$D$2:$D$20000=A177)*(DATOS!$I$2:$I$20000=B177)*(DATOS!$K$2:$K$20000=5))</f>
        <v>0</v>
      </c>
      <c r="Q177">
        <f>SUMPRODUCT((DATOS!$G$2:$G$20000=CONFIG_METADATA!$B$4)*(DATOS!$D$2:$D$20000=A177)*(DATOS!$I$2:$I$20000=B177)*(DATOS!$K$2:$K$20000=6))</f>
        <v>0</v>
      </c>
      <c r="R177">
        <f>SUMPRODUCT((DATOS!$G$2:$G$20000=CONFIG_METADATA!$B$4)*(DATOS!$D$2:$D$20000=A177)*(DATOS!$I$2:$I$20000=B177)*(DATOS!$K$2:$K$20000=7))</f>
        <v>0</v>
      </c>
      <c r="S177">
        <f>SUMPRODUCT((DATOS!$G$2:$G$20000=CONFIG_METADATA!$B$4)*(DATOS!$D$2:$D$20000=A177)*(DATOS!$I$2:$I$20000=B177)*(DATOS!$K$2:$K$20000=8))</f>
        <v>0</v>
      </c>
      <c r="T177">
        <f>SUMPRODUCT((DATOS!$G$2:$G$20000=CONFIG_METADATA!$B$4)*(DATOS!$D$2:$D$20000=A177)*(DATOS!$I$2:$I$20000=B177)*(DATOS!$K$2:$K$20000=9))</f>
        <v>0</v>
      </c>
      <c r="U177">
        <f>SUMPRODUCT((DATOS!$G$2:$G$20000=CONFIG_METADATA!$B$4)*(DATOS!$D$2:$D$20000=A177)*(DATOS!$I$2:$I$20000=B177)*(DATOS!$K$2:$K$20000=10))</f>
        <v>0</v>
      </c>
    </row>
    <row r="178" spans="1:21" x14ac:dyDescent="0.2">
      <c r="A178" t="s">
        <v>82</v>
      </c>
      <c r="B178" t="s">
        <v>28</v>
      </c>
      <c r="C178" t="s">
        <v>25</v>
      </c>
      <c r="D178">
        <f>SUMPRODUCT((DATOS!$G$2:$G$20000=CONFIG_METADATA!$B$4)*(DATOS!$D$2:$D$20000=A178)*(DATOS!$I$2:$I$20000=B178))</f>
        <v>0</v>
      </c>
      <c r="E178" s="10" t="str">
        <f>IFERROR(SUMPRODUCT((DATOS!$G$2:$G$20000=CONFIG_METADATA!$B$4)*(DATOS!$D$2:$D$20000=A178)*(DATOS!$I$2:$I$20000=B178)*(DATOS!$K$2:$K$20000))/D178,"—")</f>
        <v>—</v>
      </c>
      <c r="F178" s="10" t="str" cm="1">
        <f t="array" ref="F178">IFERROR(_xlfn.STDEV.P(_xlfn._xlws.FILTER(DATOS!$K$2:$K$20000,(DATOS!$G$2:$G$20000=CONFIG_METADATA!$B$4)*(DATOS!$D$2:$D$20000=A178)*(DATOS!$I$2:$I$20000=B178))),"—")</f>
        <v>—</v>
      </c>
      <c r="G178" t="str" cm="1">
        <f t="array" ref="G178">IFERROR(_xlfn.MODE.SNGL(_xlfn._xlws.FILTER(DATOS!$K$2:$K$20000,(DATOS!$G$2:$G$20000=CONFIG_METADATA!$B$4)*(DATOS!$D$2:$D$20000=A178)*(DATOS!$I$2:$I$20000=B178))),"—")</f>
        <v>—</v>
      </c>
      <c r="H178" s="11" t="str">
        <f>IFERROR(SUMPRODUCT((DATOS!$G$2:$G$20000=CONFIG_METADATA!$B$4)*(DATOS!$D$2:$D$20000=A178)*(DATOS!$I$2:$I$20000=B178)*(DATOS!$L$2:$L$20000="S"))/D178,"—")</f>
        <v>—</v>
      </c>
      <c r="I178" s="11" t="str">
        <f>IFERROR(SUMPRODUCT((DATOS!$G$2:$G$20000=CONFIG_METADATA!$B$4)*(DATOS!$D$2:$D$20000=A178)*(DATOS!$I$2:$I$20000=B178)*(DATOS!$L$2:$L$20000="N"))/D178,"—")</f>
        <v>—</v>
      </c>
      <c r="J178" t="str" cm="1">
        <f t="array" ref="J178">IFERROR(_xlfn.MODE.SNGL(_xlfn._xlws.FILTER(DATOS!$K$2:$K$20000,(DATOS!$G$2:$G$20000=CONFIG_METADATA!$B$4)*(DATOS!$D$2:$D$20000=A178)*(DATOS!$I$2:$I$20000=B178)*(DATOS!$L$2:$L$20000="S"))),"—")</f>
        <v>—</v>
      </c>
      <c r="K178" t="str" cm="1">
        <f t="array" ref="K178">IFERROR(_xlfn.MODE.SNGL(_xlfn._xlws.FILTER(DATOS!$K$2:$K$20000,(DATOS!$G$2:$G$20000=CONFIG_METADATA!$B$4)*(DATOS!$D$2:$D$20000=A178)*(DATOS!$I$2:$I$20000=B178)*(DATOS!$L$2:$L$20000="N"))),"—")</f>
        <v>—</v>
      </c>
      <c r="L178">
        <f>SUMPRODUCT((DATOS!$G$2:$G$20000=CONFIG_METADATA!$B$4)*(DATOS!$D$2:$D$20000=A178)*(DATOS!$I$2:$I$20000=B178)*(DATOS!$K$2:$K$20000=1))</f>
        <v>0</v>
      </c>
      <c r="M178">
        <f>SUMPRODUCT((DATOS!$G$2:$G$20000=CONFIG_METADATA!$B$4)*(DATOS!$D$2:$D$20000=A178)*(DATOS!$I$2:$I$20000=B178)*(DATOS!$K$2:$K$20000=2))</f>
        <v>0</v>
      </c>
      <c r="N178">
        <f>SUMPRODUCT((DATOS!$G$2:$G$20000=CONFIG_METADATA!$B$4)*(DATOS!$D$2:$D$20000=A178)*(DATOS!$I$2:$I$20000=B178)*(DATOS!$K$2:$K$20000=3))</f>
        <v>0</v>
      </c>
      <c r="O178">
        <f>SUMPRODUCT((DATOS!$G$2:$G$20000=CONFIG_METADATA!$B$4)*(DATOS!$D$2:$D$20000=A178)*(DATOS!$I$2:$I$20000=B178)*(DATOS!$K$2:$K$20000=4))</f>
        <v>0</v>
      </c>
      <c r="P178">
        <f>SUMPRODUCT((DATOS!$G$2:$G$20000=CONFIG_METADATA!$B$4)*(DATOS!$D$2:$D$20000=A178)*(DATOS!$I$2:$I$20000=B178)*(DATOS!$K$2:$K$20000=5))</f>
        <v>0</v>
      </c>
      <c r="Q178">
        <f>SUMPRODUCT((DATOS!$G$2:$G$20000=CONFIG_METADATA!$B$4)*(DATOS!$D$2:$D$20000=A178)*(DATOS!$I$2:$I$20000=B178)*(DATOS!$K$2:$K$20000=6))</f>
        <v>0</v>
      </c>
      <c r="R178">
        <f>SUMPRODUCT((DATOS!$G$2:$G$20000=CONFIG_METADATA!$B$4)*(DATOS!$D$2:$D$20000=A178)*(DATOS!$I$2:$I$20000=B178)*(DATOS!$K$2:$K$20000=7))</f>
        <v>0</v>
      </c>
      <c r="S178">
        <f>SUMPRODUCT((DATOS!$G$2:$G$20000=CONFIG_METADATA!$B$4)*(DATOS!$D$2:$D$20000=A178)*(DATOS!$I$2:$I$20000=B178)*(DATOS!$K$2:$K$20000=8))</f>
        <v>0</v>
      </c>
      <c r="T178">
        <f>SUMPRODUCT((DATOS!$G$2:$G$20000=CONFIG_METADATA!$B$4)*(DATOS!$D$2:$D$20000=A178)*(DATOS!$I$2:$I$20000=B178)*(DATOS!$K$2:$K$20000=9))</f>
        <v>0</v>
      </c>
      <c r="U178">
        <f>SUMPRODUCT((DATOS!$G$2:$G$20000=CONFIG_METADATA!$B$4)*(DATOS!$D$2:$D$20000=A178)*(DATOS!$I$2:$I$20000=B178)*(DATOS!$K$2:$K$20000=10))</f>
        <v>0</v>
      </c>
    </row>
    <row r="179" spans="1:21" x14ac:dyDescent="0.2">
      <c r="A179" t="s">
        <v>82</v>
      </c>
      <c r="B179" t="s">
        <v>30</v>
      </c>
      <c r="C179" t="s">
        <v>25</v>
      </c>
      <c r="D179">
        <f>SUMPRODUCT((DATOS!$G$2:$G$20000=CONFIG_METADATA!$B$4)*(DATOS!$D$2:$D$20000=A179)*(DATOS!$I$2:$I$20000=B179))</f>
        <v>0</v>
      </c>
      <c r="E179" s="10" t="str">
        <f>IFERROR(SUMPRODUCT((DATOS!$G$2:$G$20000=CONFIG_METADATA!$B$4)*(DATOS!$D$2:$D$20000=A179)*(DATOS!$I$2:$I$20000=B179)*(DATOS!$K$2:$K$20000))/D179,"—")</f>
        <v>—</v>
      </c>
      <c r="F179" s="10" t="str" cm="1">
        <f t="array" ref="F179">IFERROR(_xlfn.STDEV.P(_xlfn._xlws.FILTER(DATOS!$K$2:$K$20000,(DATOS!$G$2:$G$20000=CONFIG_METADATA!$B$4)*(DATOS!$D$2:$D$20000=A179)*(DATOS!$I$2:$I$20000=B179))),"—")</f>
        <v>—</v>
      </c>
      <c r="G179" t="str" cm="1">
        <f t="array" ref="G179">IFERROR(_xlfn.MODE.SNGL(_xlfn._xlws.FILTER(DATOS!$K$2:$K$20000,(DATOS!$G$2:$G$20000=CONFIG_METADATA!$B$4)*(DATOS!$D$2:$D$20000=A179)*(DATOS!$I$2:$I$20000=B179))),"—")</f>
        <v>—</v>
      </c>
      <c r="H179" s="11" t="str">
        <f>IFERROR(SUMPRODUCT((DATOS!$G$2:$G$20000=CONFIG_METADATA!$B$4)*(DATOS!$D$2:$D$20000=A179)*(DATOS!$I$2:$I$20000=B179)*(DATOS!$L$2:$L$20000="S"))/D179,"—")</f>
        <v>—</v>
      </c>
      <c r="I179" s="11" t="str">
        <f>IFERROR(SUMPRODUCT((DATOS!$G$2:$G$20000=CONFIG_METADATA!$B$4)*(DATOS!$D$2:$D$20000=A179)*(DATOS!$I$2:$I$20000=B179)*(DATOS!$L$2:$L$20000="N"))/D179,"—")</f>
        <v>—</v>
      </c>
      <c r="J179" t="str" cm="1">
        <f t="array" ref="J179">IFERROR(_xlfn.MODE.SNGL(_xlfn._xlws.FILTER(DATOS!$K$2:$K$20000,(DATOS!$G$2:$G$20000=CONFIG_METADATA!$B$4)*(DATOS!$D$2:$D$20000=A179)*(DATOS!$I$2:$I$20000=B179)*(DATOS!$L$2:$L$20000="S"))),"—")</f>
        <v>—</v>
      </c>
      <c r="K179" t="str" cm="1">
        <f t="array" ref="K179">IFERROR(_xlfn.MODE.SNGL(_xlfn._xlws.FILTER(DATOS!$K$2:$K$20000,(DATOS!$G$2:$G$20000=CONFIG_METADATA!$B$4)*(DATOS!$D$2:$D$20000=A179)*(DATOS!$I$2:$I$20000=B179)*(DATOS!$L$2:$L$20000="N"))),"—")</f>
        <v>—</v>
      </c>
      <c r="L179">
        <f>SUMPRODUCT((DATOS!$G$2:$G$20000=CONFIG_METADATA!$B$4)*(DATOS!$D$2:$D$20000=A179)*(DATOS!$I$2:$I$20000=B179)*(DATOS!$K$2:$K$20000=1))</f>
        <v>0</v>
      </c>
      <c r="M179">
        <f>SUMPRODUCT((DATOS!$G$2:$G$20000=CONFIG_METADATA!$B$4)*(DATOS!$D$2:$D$20000=A179)*(DATOS!$I$2:$I$20000=B179)*(DATOS!$K$2:$K$20000=2))</f>
        <v>0</v>
      </c>
      <c r="N179">
        <f>SUMPRODUCT((DATOS!$G$2:$G$20000=CONFIG_METADATA!$B$4)*(DATOS!$D$2:$D$20000=A179)*(DATOS!$I$2:$I$20000=B179)*(DATOS!$K$2:$K$20000=3))</f>
        <v>0</v>
      </c>
      <c r="O179">
        <f>SUMPRODUCT((DATOS!$G$2:$G$20000=CONFIG_METADATA!$B$4)*(DATOS!$D$2:$D$20000=A179)*(DATOS!$I$2:$I$20000=B179)*(DATOS!$K$2:$K$20000=4))</f>
        <v>0</v>
      </c>
      <c r="P179">
        <f>SUMPRODUCT((DATOS!$G$2:$G$20000=CONFIG_METADATA!$B$4)*(DATOS!$D$2:$D$20000=A179)*(DATOS!$I$2:$I$20000=B179)*(DATOS!$K$2:$K$20000=5))</f>
        <v>0</v>
      </c>
      <c r="Q179">
        <f>SUMPRODUCT((DATOS!$G$2:$G$20000=CONFIG_METADATA!$B$4)*(DATOS!$D$2:$D$20000=A179)*(DATOS!$I$2:$I$20000=B179)*(DATOS!$K$2:$K$20000=6))</f>
        <v>0</v>
      </c>
      <c r="R179">
        <f>SUMPRODUCT((DATOS!$G$2:$G$20000=CONFIG_METADATA!$B$4)*(DATOS!$D$2:$D$20000=A179)*(DATOS!$I$2:$I$20000=B179)*(DATOS!$K$2:$K$20000=7))</f>
        <v>0</v>
      </c>
      <c r="S179">
        <f>SUMPRODUCT((DATOS!$G$2:$G$20000=CONFIG_METADATA!$B$4)*(DATOS!$D$2:$D$20000=A179)*(DATOS!$I$2:$I$20000=B179)*(DATOS!$K$2:$K$20000=8))</f>
        <v>0</v>
      </c>
      <c r="T179">
        <f>SUMPRODUCT((DATOS!$G$2:$G$20000=CONFIG_METADATA!$B$4)*(DATOS!$D$2:$D$20000=A179)*(DATOS!$I$2:$I$20000=B179)*(DATOS!$K$2:$K$20000=9))</f>
        <v>0</v>
      </c>
      <c r="U179">
        <f>SUMPRODUCT((DATOS!$G$2:$G$20000=CONFIG_METADATA!$B$4)*(DATOS!$D$2:$D$20000=A179)*(DATOS!$I$2:$I$20000=B179)*(DATOS!$K$2:$K$20000=10))</f>
        <v>0</v>
      </c>
    </row>
    <row r="180" spans="1:21" x14ac:dyDescent="0.2">
      <c r="A180" t="s">
        <v>82</v>
      </c>
      <c r="B180" t="s">
        <v>32</v>
      </c>
      <c r="C180" t="s">
        <v>25</v>
      </c>
      <c r="D180">
        <f>SUMPRODUCT((DATOS!$G$2:$G$20000=CONFIG_METADATA!$B$4)*(DATOS!$D$2:$D$20000=A180)*(DATOS!$I$2:$I$20000=B180))</f>
        <v>0</v>
      </c>
      <c r="E180" s="10" t="str">
        <f>IFERROR(SUMPRODUCT((DATOS!$G$2:$G$20000=CONFIG_METADATA!$B$4)*(DATOS!$D$2:$D$20000=A180)*(DATOS!$I$2:$I$20000=B180)*(DATOS!$K$2:$K$20000))/D180,"—")</f>
        <v>—</v>
      </c>
      <c r="F180" s="10" t="str" cm="1">
        <f t="array" ref="F180">IFERROR(_xlfn.STDEV.P(_xlfn._xlws.FILTER(DATOS!$K$2:$K$20000,(DATOS!$G$2:$G$20000=CONFIG_METADATA!$B$4)*(DATOS!$D$2:$D$20000=A180)*(DATOS!$I$2:$I$20000=B180))),"—")</f>
        <v>—</v>
      </c>
      <c r="G180" t="str" cm="1">
        <f t="array" ref="G180">IFERROR(_xlfn.MODE.SNGL(_xlfn._xlws.FILTER(DATOS!$K$2:$K$20000,(DATOS!$G$2:$G$20000=CONFIG_METADATA!$B$4)*(DATOS!$D$2:$D$20000=A180)*(DATOS!$I$2:$I$20000=B180))),"—")</f>
        <v>—</v>
      </c>
      <c r="H180" s="11" t="str">
        <f>IFERROR(SUMPRODUCT((DATOS!$G$2:$G$20000=CONFIG_METADATA!$B$4)*(DATOS!$D$2:$D$20000=A180)*(DATOS!$I$2:$I$20000=B180)*(DATOS!$L$2:$L$20000="S"))/D180,"—")</f>
        <v>—</v>
      </c>
      <c r="I180" s="11" t="str">
        <f>IFERROR(SUMPRODUCT((DATOS!$G$2:$G$20000=CONFIG_METADATA!$B$4)*(DATOS!$D$2:$D$20000=A180)*(DATOS!$I$2:$I$20000=B180)*(DATOS!$L$2:$L$20000="N"))/D180,"—")</f>
        <v>—</v>
      </c>
      <c r="J180" t="str" cm="1">
        <f t="array" ref="J180">IFERROR(_xlfn.MODE.SNGL(_xlfn._xlws.FILTER(DATOS!$K$2:$K$20000,(DATOS!$G$2:$G$20000=CONFIG_METADATA!$B$4)*(DATOS!$D$2:$D$20000=A180)*(DATOS!$I$2:$I$20000=B180)*(DATOS!$L$2:$L$20000="S"))),"—")</f>
        <v>—</v>
      </c>
      <c r="K180" t="str" cm="1">
        <f t="array" ref="K180">IFERROR(_xlfn.MODE.SNGL(_xlfn._xlws.FILTER(DATOS!$K$2:$K$20000,(DATOS!$G$2:$G$20000=CONFIG_METADATA!$B$4)*(DATOS!$D$2:$D$20000=A180)*(DATOS!$I$2:$I$20000=B180)*(DATOS!$L$2:$L$20000="N"))),"—")</f>
        <v>—</v>
      </c>
      <c r="L180">
        <f>SUMPRODUCT((DATOS!$G$2:$G$20000=CONFIG_METADATA!$B$4)*(DATOS!$D$2:$D$20000=A180)*(DATOS!$I$2:$I$20000=B180)*(DATOS!$K$2:$K$20000=1))</f>
        <v>0</v>
      </c>
      <c r="M180">
        <f>SUMPRODUCT((DATOS!$G$2:$G$20000=CONFIG_METADATA!$B$4)*(DATOS!$D$2:$D$20000=A180)*(DATOS!$I$2:$I$20000=B180)*(DATOS!$K$2:$K$20000=2))</f>
        <v>0</v>
      </c>
      <c r="N180">
        <f>SUMPRODUCT((DATOS!$G$2:$G$20000=CONFIG_METADATA!$B$4)*(DATOS!$D$2:$D$20000=A180)*(DATOS!$I$2:$I$20000=B180)*(DATOS!$K$2:$K$20000=3))</f>
        <v>0</v>
      </c>
      <c r="O180">
        <f>SUMPRODUCT((DATOS!$G$2:$G$20000=CONFIG_METADATA!$B$4)*(DATOS!$D$2:$D$20000=A180)*(DATOS!$I$2:$I$20000=B180)*(DATOS!$K$2:$K$20000=4))</f>
        <v>0</v>
      </c>
      <c r="P180">
        <f>SUMPRODUCT((DATOS!$G$2:$G$20000=CONFIG_METADATA!$B$4)*(DATOS!$D$2:$D$20000=A180)*(DATOS!$I$2:$I$20000=B180)*(DATOS!$K$2:$K$20000=5))</f>
        <v>0</v>
      </c>
      <c r="Q180">
        <f>SUMPRODUCT((DATOS!$G$2:$G$20000=CONFIG_METADATA!$B$4)*(DATOS!$D$2:$D$20000=A180)*(DATOS!$I$2:$I$20000=B180)*(DATOS!$K$2:$K$20000=6))</f>
        <v>0</v>
      </c>
      <c r="R180">
        <f>SUMPRODUCT((DATOS!$G$2:$G$20000=CONFIG_METADATA!$B$4)*(DATOS!$D$2:$D$20000=A180)*(DATOS!$I$2:$I$20000=B180)*(DATOS!$K$2:$K$20000=7))</f>
        <v>0</v>
      </c>
      <c r="S180">
        <f>SUMPRODUCT((DATOS!$G$2:$G$20000=CONFIG_METADATA!$B$4)*(DATOS!$D$2:$D$20000=A180)*(DATOS!$I$2:$I$20000=B180)*(DATOS!$K$2:$K$20000=8))</f>
        <v>0</v>
      </c>
      <c r="T180">
        <f>SUMPRODUCT((DATOS!$G$2:$G$20000=CONFIG_METADATA!$B$4)*(DATOS!$D$2:$D$20000=A180)*(DATOS!$I$2:$I$20000=B180)*(DATOS!$K$2:$K$20000=9))</f>
        <v>0</v>
      </c>
      <c r="U180">
        <f>SUMPRODUCT((DATOS!$G$2:$G$20000=CONFIG_METADATA!$B$4)*(DATOS!$D$2:$D$20000=A180)*(DATOS!$I$2:$I$20000=B180)*(DATOS!$K$2:$K$20000=10))</f>
        <v>0</v>
      </c>
    </row>
    <row r="181" spans="1:21" x14ac:dyDescent="0.2">
      <c r="A181" t="s">
        <v>82</v>
      </c>
      <c r="B181" t="s">
        <v>33</v>
      </c>
      <c r="C181" t="s">
        <v>25</v>
      </c>
      <c r="D181">
        <f>SUMPRODUCT((DATOS!$G$2:$G$20000=CONFIG_METADATA!$B$4)*(DATOS!$D$2:$D$20000=A181)*(DATOS!$I$2:$I$20000=B181))</f>
        <v>0</v>
      </c>
      <c r="E181" s="10" t="str">
        <f>IFERROR(SUMPRODUCT((DATOS!$G$2:$G$20000=CONFIG_METADATA!$B$4)*(DATOS!$D$2:$D$20000=A181)*(DATOS!$I$2:$I$20000=B181)*(DATOS!$K$2:$K$20000))/D181,"—")</f>
        <v>—</v>
      </c>
      <c r="F181" s="10" t="str" cm="1">
        <f t="array" ref="F181">IFERROR(_xlfn.STDEV.P(_xlfn._xlws.FILTER(DATOS!$K$2:$K$20000,(DATOS!$G$2:$G$20000=CONFIG_METADATA!$B$4)*(DATOS!$D$2:$D$20000=A181)*(DATOS!$I$2:$I$20000=B181))),"—")</f>
        <v>—</v>
      </c>
      <c r="G181" t="str" cm="1">
        <f t="array" ref="G181">IFERROR(_xlfn.MODE.SNGL(_xlfn._xlws.FILTER(DATOS!$K$2:$K$20000,(DATOS!$G$2:$G$20000=CONFIG_METADATA!$B$4)*(DATOS!$D$2:$D$20000=A181)*(DATOS!$I$2:$I$20000=B181))),"—")</f>
        <v>—</v>
      </c>
      <c r="H181" s="11" t="str">
        <f>IFERROR(SUMPRODUCT((DATOS!$G$2:$G$20000=CONFIG_METADATA!$B$4)*(DATOS!$D$2:$D$20000=A181)*(DATOS!$I$2:$I$20000=B181)*(DATOS!$L$2:$L$20000="S"))/D181,"—")</f>
        <v>—</v>
      </c>
      <c r="I181" s="11" t="str">
        <f>IFERROR(SUMPRODUCT((DATOS!$G$2:$G$20000=CONFIG_METADATA!$B$4)*(DATOS!$D$2:$D$20000=A181)*(DATOS!$I$2:$I$20000=B181)*(DATOS!$L$2:$L$20000="N"))/D181,"—")</f>
        <v>—</v>
      </c>
      <c r="J181" t="str" cm="1">
        <f t="array" ref="J181">IFERROR(_xlfn.MODE.SNGL(_xlfn._xlws.FILTER(DATOS!$K$2:$K$20000,(DATOS!$G$2:$G$20000=CONFIG_METADATA!$B$4)*(DATOS!$D$2:$D$20000=A181)*(DATOS!$I$2:$I$20000=B181)*(DATOS!$L$2:$L$20000="S"))),"—")</f>
        <v>—</v>
      </c>
      <c r="K181" t="str" cm="1">
        <f t="array" ref="K181">IFERROR(_xlfn.MODE.SNGL(_xlfn._xlws.FILTER(DATOS!$K$2:$K$20000,(DATOS!$G$2:$G$20000=CONFIG_METADATA!$B$4)*(DATOS!$D$2:$D$20000=A181)*(DATOS!$I$2:$I$20000=B181)*(DATOS!$L$2:$L$20000="N"))),"—")</f>
        <v>—</v>
      </c>
      <c r="L181">
        <f>SUMPRODUCT((DATOS!$G$2:$G$20000=CONFIG_METADATA!$B$4)*(DATOS!$D$2:$D$20000=A181)*(DATOS!$I$2:$I$20000=B181)*(DATOS!$K$2:$K$20000=1))</f>
        <v>0</v>
      </c>
      <c r="M181">
        <f>SUMPRODUCT((DATOS!$G$2:$G$20000=CONFIG_METADATA!$B$4)*(DATOS!$D$2:$D$20000=A181)*(DATOS!$I$2:$I$20000=B181)*(DATOS!$K$2:$K$20000=2))</f>
        <v>0</v>
      </c>
      <c r="N181">
        <f>SUMPRODUCT((DATOS!$G$2:$G$20000=CONFIG_METADATA!$B$4)*(DATOS!$D$2:$D$20000=A181)*(DATOS!$I$2:$I$20000=B181)*(DATOS!$K$2:$K$20000=3))</f>
        <v>0</v>
      </c>
      <c r="O181">
        <f>SUMPRODUCT((DATOS!$G$2:$G$20000=CONFIG_METADATA!$B$4)*(DATOS!$D$2:$D$20000=A181)*(DATOS!$I$2:$I$20000=B181)*(DATOS!$K$2:$K$20000=4))</f>
        <v>0</v>
      </c>
      <c r="P181">
        <f>SUMPRODUCT((DATOS!$G$2:$G$20000=CONFIG_METADATA!$B$4)*(DATOS!$D$2:$D$20000=A181)*(DATOS!$I$2:$I$20000=B181)*(DATOS!$K$2:$K$20000=5))</f>
        <v>0</v>
      </c>
      <c r="Q181">
        <f>SUMPRODUCT((DATOS!$G$2:$G$20000=CONFIG_METADATA!$B$4)*(DATOS!$D$2:$D$20000=A181)*(DATOS!$I$2:$I$20000=B181)*(DATOS!$K$2:$K$20000=6))</f>
        <v>0</v>
      </c>
      <c r="R181">
        <f>SUMPRODUCT((DATOS!$G$2:$G$20000=CONFIG_METADATA!$B$4)*(DATOS!$D$2:$D$20000=A181)*(DATOS!$I$2:$I$20000=B181)*(DATOS!$K$2:$K$20000=7))</f>
        <v>0</v>
      </c>
      <c r="S181">
        <f>SUMPRODUCT((DATOS!$G$2:$G$20000=CONFIG_METADATA!$B$4)*(DATOS!$D$2:$D$20000=A181)*(DATOS!$I$2:$I$20000=B181)*(DATOS!$K$2:$K$20000=8))</f>
        <v>0</v>
      </c>
      <c r="T181">
        <f>SUMPRODUCT((DATOS!$G$2:$G$20000=CONFIG_METADATA!$B$4)*(DATOS!$D$2:$D$20000=A181)*(DATOS!$I$2:$I$20000=B181)*(DATOS!$K$2:$K$20000=9))</f>
        <v>0</v>
      </c>
      <c r="U181">
        <f>SUMPRODUCT((DATOS!$G$2:$G$20000=CONFIG_METADATA!$B$4)*(DATOS!$D$2:$D$20000=A181)*(DATOS!$I$2:$I$20000=B181)*(DATOS!$K$2:$K$20000=10))</f>
        <v>0</v>
      </c>
    </row>
    <row r="182" spans="1:21" x14ac:dyDescent="0.2">
      <c r="A182" t="s">
        <v>82</v>
      </c>
      <c r="B182" t="s">
        <v>34</v>
      </c>
      <c r="C182" t="s">
        <v>25</v>
      </c>
      <c r="D182">
        <f>SUMPRODUCT((DATOS!$G$2:$G$20000=CONFIG_METADATA!$B$4)*(DATOS!$D$2:$D$20000=A182)*(DATOS!$I$2:$I$20000=B182))</f>
        <v>0</v>
      </c>
      <c r="E182" s="10" t="str">
        <f>IFERROR(SUMPRODUCT((DATOS!$G$2:$G$20000=CONFIG_METADATA!$B$4)*(DATOS!$D$2:$D$20000=A182)*(DATOS!$I$2:$I$20000=B182)*(DATOS!$K$2:$K$20000))/D182,"—")</f>
        <v>—</v>
      </c>
      <c r="F182" s="10" t="str" cm="1">
        <f t="array" ref="F182">IFERROR(_xlfn.STDEV.P(_xlfn._xlws.FILTER(DATOS!$K$2:$K$20000,(DATOS!$G$2:$G$20000=CONFIG_METADATA!$B$4)*(DATOS!$D$2:$D$20000=A182)*(DATOS!$I$2:$I$20000=B182))),"—")</f>
        <v>—</v>
      </c>
      <c r="G182" t="str" cm="1">
        <f t="array" ref="G182">IFERROR(_xlfn.MODE.SNGL(_xlfn._xlws.FILTER(DATOS!$K$2:$K$20000,(DATOS!$G$2:$G$20000=CONFIG_METADATA!$B$4)*(DATOS!$D$2:$D$20000=A182)*(DATOS!$I$2:$I$20000=B182))),"—")</f>
        <v>—</v>
      </c>
      <c r="H182" s="11" t="str">
        <f>IFERROR(SUMPRODUCT((DATOS!$G$2:$G$20000=CONFIG_METADATA!$B$4)*(DATOS!$D$2:$D$20000=A182)*(DATOS!$I$2:$I$20000=B182)*(DATOS!$L$2:$L$20000="S"))/D182,"—")</f>
        <v>—</v>
      </c>
      <c r="I182" s="11" t="str">
        <f>IFERROR(SUMPRODUCT((DATOS!$G$2:$G$20000=CONFIG_METADATA!$B$4)*(DATOS!$D$2:$D$20000=A182)*(DATOS!$I$2:$I$20000=B182)*(DATOS!$L$2:$L$20000="N"))/D182,"—")</f>
        <v>—</v>
      </c>
      <c r="J182" t="str" cm="1">
        <f t="array" ref="J182">IFERROR(_xlfn.MODE.SNGL(_xlfn._xlws.FILTER(DATOS!$K$2:$K$20000,(DATOS!$G$2:$G$20000=CONFIG_METADATA!$B$4)*(DATOS!$D$2:$D$20000=A182)*(DATOS!$I$2:$I$20000=B182)*(DATOS!$L$2:$L$20000="S"))),"—")</f>
        <v>—</v>
      </c>
      <c r="K182" t="str" cm="1">
        <f t="array" ref="K182">IFERROR(_xlfn.MODE.SNGL(_xlfn._xlws.FILTER(DATOS!$K$2:$K$20000,(DATOS!$G$2:$G$20000=CONFIG_METADATA!$B$4)*(DATOS!$D$2:$D$20000=A182)*(DATOS!$I$2:$I$20000=B182)*(DATOS!$L$2:$L$20000="N"))),"—")</f>
        <v>—</v>
      </c>
      <c r="L182">
        <f>SUMPRODUCT((DATOS!$G$2:$G$20000=CONFIG_METADATA!$B$4)*(DATOS!$D$2:$D$20000=A182)*(DATOS!$I$2:$I$20000=B182)*(DATOS!$K$2:$K$20000=1))</f>
        <v>0</v>
      </c>
      <c r="M182">
        <f>SUMPRODUCT((DATOS!$G$2:$G$20000=CONFIG_METADATA!$B$4)*(DATOS!$D$2:$D$20000=A182)*(DATOS!$I$2:$I$20000=B182)*(DATOS!$K$2:$K$20000=2))</f>
        <v>0</v>
      </c>
      <c r="N182">
        <f>SUMPRODUCT((DATOS!$G$2:$G$20000=CONFIG_METADATA!$B$4)*(DATOS!$D$2:$D$20000=A182)*(DATOS!$I$2:$I$20000=B182)*(DATOS!$K$2:$K$20000=3))</f>
        <v>0</v>
      </c>
      <c r="O182">
        <f>SUMPRODUCT((DATOS!$G$2:$G$20000=CONFIG_METADATA!$B$4)*(DATOS!$D$2:$D$20000=A182)*(DATOS!$I$2:$I$20000=B182)*(DATOS!$K$2:$K$20000=4))</f>
        <v>0</v>
      </c>
      <c r="P182">
        <f>SUMPRODUCT((DATOS!$G$2:$G$20000=CONFIG_METADATA!$B$4)*(DATOS!$D$2:$D$20000=A182)*(DATOS!$I$2:$I$20000=B182)*(DATOS!$K$2:$K$20000=5))</f>
        <v>0</v>
      </c>
      <c r="Q182">
        <f>SUMPRODUCT((DATOS!$G$2:$G$20000=CONFIG_METADATA!$B$4)*(DATOS!$D$2:$D$20000=A182)*(DATOS!$I$2:$I$20000=B182)*(DATOS!$K$2:$K$20000=6))</f>
        <v>0</v>
      </c>
      <c r="R182">
        <f>SUMPRODUCT((DATOS!$G$2:$G$20000=CONFIG_METADATA!$B$4)*(DATOS!$D$2:$D$20000=A182)*(DATOS!$I$2:$I$20000=B182)*(DATOS!$K$2:$K$20000=7))</f>
        <v>0</v>
      </c>
      <c r="S182">
        <f>SUMPRODUCT((DATOS!$G$2:$G$20000=CONFIG_METADATA!$B$4)*(DATOS!$D$2:$D$20000=A182)*(DATOS!$I$2:$I$20000=B182)*(DATOS!$K$2:$K$20000=8))</f>
        <v>0</v>
      </c>
      <c r="T182">
        <f>SUMPRODUCT((DATOS!$G$2:$G$20000=CONFIG_METADATA!$B$4)*(DATOS!$D$2:$D$20000=A182)*(DATOS!$I$2:$I$20000=B182)*(DATOS!$K$2:$K$20000=9))</f>
        <v>0</v>
      </c>
      <c r="U182">
        <f>SUMPRODUCT((DATOS!$G$2:$G$20000=CONFIG_METADATA!$B$4)*(DATOS!$D$2:$D$20000=A182)*(DATOS!$I$2:$I$20000=B182)*(DATOS!$K$2:$K$20000=10))</f>
        <v>0</v>
      </c>
    </row>
    <row r="183" spans="1:21" x14ac:dyDescent="0.2">
      <c r="A183" t="s">
        <v>82</v>
      </c>
      <c r="B183" t="s">
        <v>35</v>
      </c>
      <c r="C183" t="s">
        <v>25</v>
      </c>
      <c r="D183">
        <f>SUMPRODUCT((DATOS!$G$2:$G$20000=CONFIG_METADATA!$B$4)*(DATOS!$D$2:$D$20000=A183)*(DATOS!$I$2:$I$20000=B183))</f>
        <v>0</v>
      </c>
      <c r="E183" s="10" t="str">
        <f>IFERROR(SUMPRODUCT((DATOS!$G$2:$G$20000=CONFIG_METADATA!$B$4)*(DATOS!$D$2:$D$20000=A183)*(DATOS!$I$2:$I$20000=B183)*(DATOS!$K$2:$K$20000))/D183,"—")</f>
        <v>—</v>
      </c>
      <c r="F183" s="10" t="str" cm="1">
        <f t="array" ref="F183">IFERROR(_xlfn.STDEV.P(_xlfn._xlws.FILTER(DATOS!$K$2:$K$20000,(DATOS!$G$2:$G$20000=CONFIG_METADATA!$B$4)*(DATOS!$D$2:$D$20000=A183)*(DATOS!$I$2:$I$20000=B183))),"—")</f>
        <v>—</v>
      </c>
      <c r="G183" t="str" cm="1">
        <f t="array" ref="G183">IFERROR(_xlfn.MODE.SNGL(_xlfn._xlws.FILTER(DATOS!$K$2:$K$20000,(DATOS!$G$2:$G$20000=CONFIG_METADATA!$B$4)*(DATOS!$D$2:$D$20000=A183)*(DATOS!$I$2:$I$20000=B183))),"—")</f>
        <v>—</v>
      </c>
      <c r="H183" s="11" t="str">
        <f>IFERROR(SUMPRODUCT((DATOS!$G$2:$G$20000=CONFIG_METADATA!$B$4)*(DATOS!$D$2:$D$20000=A183)*(DATOS!$I$2:$I$20000=B183)*(DATOS!$L$2:$L$20000="S"))/D183,"—")</f>
        <v>—</v>
      </c>
      <c r="I183" s="11" t="str">
        <f>IFERROR(SUMPRODUCT((DATOS!$G$2:$G$20000=CONFIG_METADATA!$B$4)*(DATOS!$D$2:$D$20000=A183)*(DATOS!$I$2:$I$20000=B183)*(DATOS!$L$2:$L$20000="N"))/D183,"—")</f>
        <v>—</v>
      </c>
      <c r="J183" t="str" cm="1">
        <f t="array" ref="J183">IFERROR(_xlfn.MODE.SNGL(_xlfn._xlws.FILTER(DATOS!$K$2:$K$20000,(DATOS!$G$2:$G$20000=CONFIG_METADATA!$B$4)*(DATOS!$D$2:$D$20000=A183)*(DATOS!$I$2:$I$20000=B183)*(DATOS!$L$2:$L$20000="S"))),"—")</f>
        <v>—</v>
      </c>
      <c r="K183" t="str" cm="1">
        <f t="array" ref="K183">IFERROR(_xlfn.MODE.SNGL(_xlfn._xlws.FILTER(DATOS!$K$2:$K$20000,(DATOS!$G$2:$G$20000=CONFIG_METADATA!$B$4)*(DATOS!$D$2:$D$20000=A183)*(DATOS!$I$2:$I$20000=B183)*(DATOS!$L$2:$L$20000="N"))),"—")</f>
        <v>—</v>
      </c>
      <c r="L183">
        <f>SUMPRODUCT((DATOS!$G$2:$G$20000=CONFIG_METADATA!$B$4)*(DATOS!$D$2:$D$20000=A183)*(DATOS!$I$2:$I$20000=B183)*(DATOS!$K$2:$K$20000=1))</f>
        <v>0</v>
      </c>
      <c r="M183">
        <f>SUMPRODUCT((DATOS!$G$2:$G$20000=CONFIG_METADATA!$B$4)*(DATOS!$D$2:$D$20000=A183)*(DATOS!$I$2:$I$20000=B183)*(DATOS!$K$2:$K$20000=2))</f>
        <v>0</v>
      </c>
      <c r="N183">
        <f>SUMPRODUCT((DATOS!$G$2:$G$20000=CONFIG_METADATA!$B$4)*(DATOS!$D$2:$D$20000=A183)*(DATOS!$I$2:$I$20000=B183)*(DATOS!$K$2:$K$20000=3))</f>
        <v>0</v>
      </c>
      <c r="O183">
        <f>SUMPRODUCT((DATOS!$G$2:$G$20000=CONFIG_METADATA!$B$4)*(DATOS!$D$2:$D$20000=A183)*(DATOS!$I$2:$I$20000=B183)*(DATOS!$K$2:$K$20000=4))</f>
        <v>0</v>
      </c>
      <c r="P183">
        <f>SUMPRODUCT((DATOS!$G$2:$G$20000=CONFIG_METADATA!$B$4)*(DATOS!$D$2:$D$20000=A183)*(DATOS!$I$2:$I$20000=B183)*(DATOS!$K$2:$K$20000=5))</f>
        <v>0</v>
      </c>
      <c r="Q183">
        <f>SUMPRODUCT((DATOS!$G$2:$G$20000=CONFIG_METADATA!$B$4)*(DATOS!$D$2:$D$20000=A183)*(DATOS!$I$2:$I$20000=B183)*(DATOS!$K$2:$K$20000=6))</f>
        <v>0</v>
      </c>
      <c r="R183">
        <f>SUMPRODUCT((DATOS!$G$2:$G$20000=CONFIG_METADATA!$B$4)*(DATOS!$D$2:$D$20000=A183)*(DATOS!$I$2:$I$20000=B183)*(DATOS!$K$2:$K$20000=7))</f>
        <v>0</v>
      </c>
      <c r="S183">
        <f>SUMPRODUCT((DATOS!$G$2:$G$20000=CONFIG_METADATA!$B$4)*(DATOS!$D$2:$D$20000=A183)*(DATOS!$I$2:$I$20000=B183)*(DATOS!$K$2:$K$20000=8))</f>
        <v>0</v>
      </c>
      <c r="T183">
        <f>SUMPRODUCT((DATOS!$G$2:$G$20000=CONFIG_METADATA!$B$4)*(DATOS!$D$2:$D$20000=A183)*(DATOS!$I$2:$I$20000=B183)*(DATOS!$K$2:$K$20000=9))</f>
        <v>0</v>
      </c>
      <c r="U183">
        <f>SUMPRODUCT((DATOS!$G$2:$G$20000=CONFIG_METADATA!$B$4)*(DATOS!$D$2:$D$20000=A183)*(DATOS!$I$2:$I$20000=B183)*(DATOS!$K$2:$K$20000=10))</f>
        <v>0</v>
      </c>
    </row>
    <row r="184" spans="1:21" x14ac:dyDescent="0.2">
      <c r="A184" t="s">
        <v>82</v>
      </c>
      <c r="B184" t="s">
        <v>36</v>
      </c>
      <c r="C184" t="s">
        <v>25</v>
      </c>
      <c r="D184">
        <f>SUMPRODUCT((DATOS!$G$2:$G$20000=CONFIG_METADATA!$B$4)*(DATOS!$D$2:$D$20000=A184)*(DATOS!$I$2:$I$20000=B184))</f>
        <v>0</v>
      </c>
      <c r="E184" s="10" t="str">
        <f>IFERROR(SUMPRODUCT((DATOS!$G$2:$G$20000=CONFIG_METADATA!$B$4)*(DATOS!$D$2:$D$20000=A184)*(DATOS!$I$2:$I$20000=B184)*(DATOS!$K$2:$K$20000))/D184,"—")</f>
        <v>—</v>
      </c>
      <c r="F184" s="10" t="str" cm="1">
        <f t="array" ref="F184">IFERROR(_xlfn.STDEV.P(_xlfn._xlws.FILTER(DATOS!$K$2:$K$20000,(DATOS!$G$2:$G$20000=CONFIG_METADATA!$B$4)*(DATOS!$D$2:$D$20000=A184)*(DATOS!$I$2:$I$20000=B184))),"—")</f>
        <v>—</v>
      </c>
      <c r="G184" t="str" cm="1">
        <f t="array" ref="G184">IFERROR(_xlfn.MODE.SNGL(_xlfn._xlws.FILTER(DATOS!$K$2:$K$20000,(DATOS!$G$2:$G$20000=CONFIG_METADATA!$B$4)*(DATOS!$D$2:$D$20000=A184)*(DATOS!$I$2:$I$20000=B184))),"—")</f>
        <v>—</v>
      </c>
      <c r="H184" s="11" t="str">
        <f>IFERROR(SUMPRODUCT((DATOS!$G$2:$G$20000=CONFIG_METADATA!$B$4)*(DATOS!$D$2:$D$20000=A184)*(DATOS!$I$2:$I$20000=B184)*(DATOS!$L$2:$L$20000="S"))/D184,"—")</f>
        <v>—</v>
      </c>
      <c r="I184" s="11" t="str">
        <f>IFERROR(SUMPRODUCT((DATOS!$G$2:$G$20000=CONFIG_METADATA!$B$4)*(DATOS!$D$2:$D$20000=A184)*(DATOS!$I$2:$I$20000=B184)*(DATOS!$L$2:$L$20000="N"))/D184,"—")</f>
        <v>—</v>
      </c>
      <c r="J184" t="str" cm="1">
        <f t="array" ref="J184">IFERROR(_xlfn.MODE.SNGL(_xlfn._xlws.FILTER(DATOS!$K$2:$K$20000,(DATOS!$G$2:$G$20000=CONFIG_METADATA!$B$4)*(DATOS!$D$2:$D$20000=A184)*(DATOS!$I$2:$I$20000=B184)*(DATOS!$L$2:$L$20000="S"))),"—")</f>
        <v>—</v>
      </c>
      <c r="K184" t="str" cm="1">
        <f t="array" ref="K184">IFERROR(_xlfn.MODE.SNGL(_xlfn._xlws.FILTER(DATOS!$K$2:$K$20000,(DATOS!$G$2:$G$20000=CONFIG_METADATA!$B$4)*(DATOS!$D$2:$D$20000=A184)*(DATOS!$I$2:$I$20000=B184)*(DATOS!$L$2:$L$20000="N"))),"—")</f>
        <v>—</v>
      </c>
      <c r="L184">
        <f>SUMPRODUCT((DATOS!$G$2:$G$20000=CONFIG_METADATA!$B$4)*(DATOS!$D$2:$D$20000=A184)*(DATOS!$I$2:$I$20000=B184)*(DATOS!$K$2:$K$20000=1))</f>
        <v>0</v>
      </c>
      <c r="M184">
        <f>SUMPRODUCT((DATOS!$G$2:$G$20000=CONFIG_METADATA!$B$4)*(DATOS!$D$2:$D$20000=A184)*(DATOS!$I$2:$I$20000=B184)*(DATOS!$K$2:$K$20000=2))</f>
        <v>0</v>
      </c>
      <c r="N184">
        <f>SUMPRODUCT((DATOS!$G$2:$G$20000=CONFIG_METADATA!$B$4)*(DATOS!$D$2:$D$20000=A184)*(DATOS!$I$2:$I$20000=B184)*(DATOS!$K$2:$K$20000=3))</f>
        <v>0</v>
      </c>
      <c r="O184">
        <f>SUMPRODUCT((DATOS!$G$2:$G$20000=CONFIG_METADATA!$B$4)*(DATOS!$D$2:$D$20000=A184)*(DATOS!$I$2:$I$20000=B184)*(DATOS!$K$2:$K$20000=4))</f>
        <v>0</v>
      </c>
      <c r="P184">
        <f>SUMPRODUCT((DATOS!$G$2:$G$20000=CONFIG_METADATA!$B$4)*(DATOS!$D$2:$D$20000=A184)*(DATOS!$I$2:$I$20000=B184)*(DATOS!$K$2:$K$20000=5))</f>
        <v>0</v>
      </c>
      <c r="Q184">
        <f>SUMPRODUCT((DATOS!$G$2:$G$20000=CONFIG_METADATA!$B$4)*(DATOS!$D$2:$D$20000=A184)*(DATOS!$I$2:$I$20000=B184)*(DATOS!$K$2:$K$20000=6))</f>
        <v>0</v>
      </c>
      <c r="R184">
        <f>SUMPRODUCT((DATOS!$G$2:$G$20000=CONFIG_METADATA!$B$4)*(DATOS!$D$2:$D$20000=A184)*(DATOS!$I$2:$I$20000=B184)*(DATOS!$K$2:$K$20000=7))</f>
        <v>0</v>
      </c>
      <c r="S184">
        <f>SUMPRODUCT((DATOS!$G$2:$G$20000=CONFIG_METADATA!$B$4)*(DATOS!$D$2:$D$20000=A184)*(DATOS!$I$2:$I$20000=B184)*(DATOS!$K$2:$K$20000=8))</f>
        <v>0</v>
      </c>
      <c r="T184">
        <f>SUMPRODUCT((DATOS!$G$2:$G$20000=CONFIG_METADATA!$B$4)*(DATOS!$D$2:$D$20000=A184)*(DATOS!$I$2:$I$20000=B184)*(DATOS!$K$2:$K$20000=9))</f>
        <v>0</v>
      </c>
      <c r="U184">
        <f>SUMPRODUCT((DATOS!$G$2:$G$20000=CONFIG_METADATA!$B$4)*(DATOS!$D$2:$D$20000=A184)*(DATOS!$I$2:$I$20000=B184)*(DATOS!$K$2:$K$20000=10))</f>
        <v>0</v>
      </c>
    </row>
    <row r="185" spans="1:21" x14ac:dyDescent="0.2">
      <c r="A185" t="s">
        <v>82</v>
      </c>
      <c r="B185" t="s">
        <v>37</v>
      </c>
      <c r="C185" t="s">
        <v>25</v>
      </c>
      <c r="D185">
        <f>SUMPRODUCT((DATOS!$G$2:$G$20000=CONFIG_METADATA!$B$4)*(DATOS!$D$2:$D$20000=A185)*(DATOS!$I$2:$I$20000=B185))</f>
        <v>0</v>
      </c>
      <c r="E185" s="10" t="str">
        <f>IFERROR(SUMPRODUCT((DATOS!$G$2:$G$20000=CONFIG_METADATA!$B$4)*(DATOS!$D$2:$D$20000=A185)*(DATOS!$I$2:$I$20000=B185)*(DATOS!$K$2:$K$20000))/D185,"—")</f>
        <v>—</v>
      </c>
      <c r="F185" s="10" t="str" cm="1">
        <f t="array" ref="F185">IFERROR(_xlfn.STDEV.P(_xlfn._xlws.FILTER(DATOS!$K$2:$K$20000,(DATOS!$G$2:$G$20000=CONFIG_METADATA!$B$4)*(DATOS!$D$2:$D$20000=A185)*(DATOS!$I$2:$I$20000=B185))),"—")</f>
        <v>—</v>
      </c>
      <c r="G185" t="str" cm="1">
        <f t="array" ref="G185">IFERROR(_xlfn.MODE.SNGL(_xlfn._xlws.FILTER(DATOS!$K$2:$K$20000,(DATOS!$G$2:$G$20000=CONFIG_METADATA!$B$4)*(DATOS!$D$2:$D$20000=A185)*(DATOS!$I$2:$I$20000=B185))),"—")</f>
        <v>—</v>
      </c>
      <c r="H185" s="11" t="str">
        <f>IFERROR(SUMPRODUCT((DATOS!$G$2:$G$20000=CONFIG_METADATA!$B$4)*(DATOS!$D$2:$D$20000=A185)*(DATOS!$I$2:$I$20000=B185)*(DATOS!$L$2:$L$20000="S"))/D185,"—")</f>
        <v>—</v>
      </c>
      <c r="I185" s="11" t="str">
        <f>IFERROR(SUMPRODUCT((DATOS!$G$2:$G$20000=CONFIG_METADATA!$B$4)*(DATOS!$D$2:$D$20000=A185)*(DATOS!$I$2:$I$20000=B185)*(DATOS!$L$2:$L$20000="N"))/D185,"—")</f>
        <v>—</v>
      </c>
      <c r="J185" t="str" cm="1">
        <f t="array" ref="J185">IFERROR(_xlfn.MODE.SNGL(_xlfn._xlws.FILTER(DATOS!$K$2:$K$20000,(DATOS!$G$2:$G$20000=CONFIG_METADATA!$B$4)*(DATOS!$D$2:$D$20000=A185)*(DATOS!$I$2:$I$20000=B185)*(DATOS!$L$2:$L$20000="S"))),"—")</f>
        <v>—</v>
      </c>
      <c r="K185" t="str" cm="1">
        <f t="array" ref="K185">IFERROR(_xlfn.MODE.SNGL(_xlfn._xlws.FILTER(DATOS!$K$2:$K$20000,(DATOS!$G$2:$G$20000=CONFIG_METADATA!$B$4)*(DATOS!$D$2:$D$20000=A185)*(DATOS!$I$2:$I$20000=B185)*(DATOS!$L$2:$L$20000="N"))),"—")</f>
        <v>—</v>
      </c>
      <c r="L185">
        <f>SUMPRODUCT((DATOS!$G$2:$G$20000=CONFIG_METADATA!$B$4)*(DATOS!$D$2:$D$20000=A185)*(DATOS!$I$2:$I$20000=B185)*(DATOS!$K$2:$K$20000=1))</f>
        <v>0</v>
      </c>
      <c r="M185">
        <f>SUMPRODUCT((DATOS!$G$2:$G$20000=CONFIG_METADATA!$B$4)*(DATOS!$D$2:$D$20000=A185)*(DATOS!$I$2:$I$20000=B185)*(DATOS!$K$2:$K$20000=2))</f>
        <v>0</v>
      </c>
      <c r="N185">
        <f>SUMPRODUCT((DATOS!$G$2:$G$20000=CONFIG_METADATA!$B$4)*(DATOS!$D$2:$D$20000=A185)*(DATOS!$I$2:$I$20000=B185)*(DATOS!$K$2:$K$20000=3))</f>
        <v>0</v>
      </c>
      <c r="O185">
        <f>SUMPRODUCT((DATOS!$G$2:$G$20000=CONFIG_METADATA!$B$4)*(DATOS!$D$2:$D$20000=A185)*(DATOS!$I$2:$I$20000=B185)*(DATOS!$K$2:$K$20000=4))</f>
        <v>0</v>
      </c>
      <c r="P185">
        <f>SUMPRODUCT((DATOS!$G$2:$G$20000=CONFIG_METADATA!$B$4)*(DATOS!$D$2:$D$20000=A185)*(DATOS!$I$2:$I$20000=B185)*(DATOS!$K$2:$K$20000=5))</f>
        <v>0</v>
      </c>
      <c r="Q185">
        <f>SUMPRODUCT((DATOS!$G$2:$G$20000=CONFIG_METADATA!$B$4)*(DATOS!$D$2:$D$20000=A185)*(DATOS!$I$2:$I$20000=B185)*(DATOS!$K$2:$K$20000=6))</f>
        <v>0</v>
      </c>
      <c r="R185">
        <f>SUMPRODUCT((DATOS!$G$2:$G$20000=CONFIG_METADATA!$B$4)*(DATOS!$D$2:$D$20000=A185)*(DATOS!$I$2:$I$20000=B185)*(DATOS!$K$2:$K$20000=7))</f>
        <v>0</v>
      </c>
      <c r="S185">
        <f>SUMPRODUCT((DATOS!$G$2:$G$20000=CONFIG_METADATA!$B$4)*(DATOS!$D$2:$D$20000=A185)*(DATOS!$I$2:$I$20000=B185)*(DATOS!$K$2:$K$20000=8))</f>
        <v>0</v>
      </c>
      <c r="T185">
        <f>SUMPRODUCT((DATOS!$G$2:$G$20000=CONFIG_METADATA!$B$4)*(DATOS!$D$2:$D$20000=A185)*(DATOS!$I$2:$I$20000=B185)*(DATOS!$K$2:$K$20000=9))</f>
        <v>0</v>
      </c>
      <c r="U185">
        <f>SUMPRODUCT((DATOS!$G$2:$G$20000=CONFIG_METADATA!$B$4)*(DATOS!$D$2:$D$20000=A185)*(DATOS!$I$2:$I$20000=B185)*(DATOS!$K$2:$K$20000=10))</f>
        <v>0</v>
      </c>
    </row>
    <row r="186" spans="1:21" x14ac:dyDescent="0.2">
      <c r="A186" t="s">
        <v>82</v>
      </c>
      <c r="B186" t="s">
        <v>38</v>
      </c>
      <c r="C186" t="s">
        <v>25</v>
      </c>
      <c r="D186">
        <f>SUMPRODUCT((DATOS!$G$2:$G$20000=CONFIG_METADATA!$B$4)*(DATOS!$D$2:$D$20000=A186)*(DATOS!$I$2:$I$20000=B186))</f>
        <v>0</v>
      </c>
      <c r="E186" s="10" t="str">
        <f>IFERROR(SUMPRODUCT((DATOS!$G$2:$G$20000=CONFIG_METADATA!$B$4)*(DATOS!$D$2:$D$20000=A186)*(DATOS!$I$2:$I$20000=B186)*(DATOS!$K$2:$K$20000))/D186,"—")</f>
        <v>—</v>
      </c>
      <c r="F186" s="10" t="str" cm="1">
        <f t="array" ref="F186">IFERROR(_xlfn.STDEV.P(_xlfn._xlws.FILTER(DATOS!$K$2:$K$20000,(DATOS!$G$2:$G$20000=CONFIG_METADATA!$B$4)*(DATOS!$D$2:$D$20000=A186)*(DATOS!$I$2:$I$20000=B186))),"—")</f>
        <v>—</v>
      </c>
      <c r="G186" t="str" cm="1">
        <f t="array" ref="G186">IFERROR(_xlfn.MODE.SNGL(_xlfn._xlws.FILTER(DATOS!$K$2:$K$20000,(DATOS!$G$2:$G$20000=CONFIG_METADATA!$B$4)*(DATOS!$D$2:$D$20000=A186)*(DATOS!$I$2:$I$20000=B186))),"—")</f>
        <v>—</v>
      </c>
      <c r="H186" s="11" t="str">
        <f>IFERROR(SUMPRODUCT((DATOS!$G$2:$G$20000=CONFIG_METADATA!$B$4)*(DATOS!$D$2:$D$20000=A186)*(DATOS!$I$2:$I$20000=B186)*(DATOS!$L$2:$L$20000="S"))/D186,"—")</f>
        <v>—</v>
      </c>
      <c r="I186" s="11" t="str">
        <f>IFERROR(SUMPRODUCT((DATOS!$G$2:$G$20000=CONFIG_METADATA!$B$4)*(DATOS!$D$2:$D$20000=A186)*(DATOS!$I$2:$I$20000=B186)*(DATOS!$L$2:$L$20000="N"))/D186,"—")</f>
        <v>—</v>
      </c>
      <c r="J186" t="str" cm="1">
        <f t="array" ref="J186">IFERROR(_xlfn.MODE.SNGL(_xlfn._xlws.FILTER(DATOS!$K$2:$K$20000,(DATOS!$G$2:$G$20000=CONFIG_METADATA!$B$4)*(DATOS!$D$2:$D$20000=A186)*(DATOS!$I$2:$I$20000=B186)*(DATOS!$L$2:$L$20000="S"))),"—")</f>
        <v>—</v>
      </c>
      <c r="K186" t="str" cm="1">
        <f t="array" ref="K186">IFERROR(_xlfn.MODE.SNGL(_xlfn._xlws.FILTER(DATOS!$K$2:$K$20000,(DATOS!$G$2:$G$20000=CONFIG_METADATA!$B$4)*(DATOS!$D$2:$D$20000=A186)*(DATOS!$I$2:$I$20000=B186)*(DATOS!$L$2:$L$20000="N"))),"—")</f>
        <v>—</v>
      </c>
      <c r="L186">
        <f>SUMPRODUCT((DATOS!$G$2:$G$20000=CONFIG_METADATA!$B$4)*(DATOS!$D$2:$D$20000=A186)*(DATOS!$I$2:$I$20000=B186)*(DATOS!$K$2:$K$20000=1))</f>
        <v>0</v>
      </c>
      <c r="M186">
        <f>SUMPRODUCT((DATOS!$G$2:$G$20000=CONFIG_METADATA!$B$4)*(DATOS!$D$2:$D$20000=A186)*(DATOS!$I$2:$I$20000=B186)*(DATOS!$K$2:$K$20000=2))</f>
        <v>0</v>
      </c>
      <c r="N186">
        <f>SUMPRODUCT((DATOS!$G$2:$G$20000=CONFIG_METADATA!$B$4)*(DATOS!$D$2:$D$20000=A186)*(DATOS!$I$2:$I$20000=B186)*(DATOS!$K$2:$K$20000=3))</f>
        <v>0</v>
      </c>
      <c r="O186">
        <f>SUMPRODUCT((DATOS!$G$2:$G$20000=CONFIG_METADATA!$B$4)*(DATOS!$D$2:$D$20000=A186)*(DATOS!$I$2:$I$20000=B186)*(DATOS!$K$2:$K$20000=4))</f>
        <v>0</v>
      </c>
      <c r="P186">
        <f>SUMPRODUCT((DATOS!$G$2:$G$20000=CONFIG_METADATA!$B$4)*(DATOS!$D$2:$D$20000=A186)*(DATOS!$I$2:$I$20000=B186)*(DATOS!$K$2:$K$20000=5))</f>
        <v>0</v>
      </c>
      <c r="Q186">
        <f>SUMPRODUCT((DATOS!$G$2:$G$20000=CONFIG_METADATA!$B$4)*(DATOS!$D$2:$D$20000=A186)*(DATOS!$I$2:$I$20000=B186)*(DATOS!$K$2:$K$20000=6))</f>
        <v>0</v>
      </c>
      <c r="R186">
        <f>SUMPRODUCT((DATOS!$G$2:$G$20000=CONFIG_METADATA!$B$4)*(DATOS!$D$2:$D$20000=A186)*(DATOS!$I$2:$I$20000=B186)*(DATOS!$K$2:$K$20000=7))</f>
        <v>0</v>
      </c>
      <c r="S186">
        <f>SUMPRODUCT((DATOS!$G$2:$G$20000=CONFIG_METADATA!$B$4)*(DATOS!$D$2:$D$20000=A186)*(DATOS!$I$2:$I$20000=B186)*(DATOS!$K$2:$K$20000=8))</f>
        <v>0</v>
      </c>
      <c r="T186">
        <f>SUMPRODUCT((DATOS!$G$2:$G$20000=CONFIG_METADATA!$B$4)*(DATOS!$D$2:$D$20000=A186)*(DATOS!$I$2:$I$20000=B186)*(DATOS!$K$2:$K$20000=9))</f>
        <v>0</v>
      </c>
      <c r="U186">
        <f>SUMPRODUCT((DATOS!$G$2:$G$20000=CONFIG_METADATA!$B$4)*(DATOS!$D$2:$D$20000=A186)*(DATOS!$I$2:$I$20000=B186)*(DATOS!$K$2:$K$20000=10))</f>
        <v>0</v>
      </c>
    </row>
    <row r="187" spans="1:21" x14ac:dyDescent="0.2">
      <c r="A187" t="s">
        <v>82</v>
      </c>
      <c r="B187" t="s">
        <v>39</v>
      </c>
      <c r="C187" t="s">
        <v>25</v>
      </c>
      <c r="D187">
        <f>SUMPRODUCT((DATOS!$G$2:$G$20000=CONFIG_METADATA!$B$4)*(DATOS!$D$2:$D$20000=A187)*(DATOS!$I$2:$I$20000=B187))</f>
        <v>0</v>
      </c>
      <c r="E187" s="10" t="str">
        <f>IFERROR(SUMPRODUCT((DATOS!$G$2:$G$20000=CONFIG_METADATA!$B$4)*(DATOS!$D$2:$D$20000=A187)*(DATOS!$I$2:$I$20000=B187)*(DATOS!$K$2:$K$20000))/D187,"—")</f>
        <v>—</v>
      </c>
      <c r="F187" s="10" t="str" cm="1">
        <f t="array" ref="F187">IFERROR(_xlfn.STDEV.P(_xlfn._xlws.FILTER(DATOS!$K$2:$K$20000,(DATOS!$G$2:$G$20000=CONFIG_METADATA!$B$4)*(DATOS!$D$2:$D$20000=A187)*(DATOS!$I$2:$I$20000=B187))),"—")</f>
        <v>—</v>
      </c>
      <c r="G187" t="str" cm="1">
        <f t="array" ref="G187">IFERROR(_xlfn.MODE.SNGL(_xlfn._xlws.FILTER(DATOS!$K$2:$K$20000,(DATOS!$G$2:$G$20000=CONFIG_METADATA!$B$4)*(DATOS!$D$2:$D$20000=A187)*(DATOS!$I$2:$I$20000=B187))),"—")</f>
        <v>—</v>
      </c>
      <c r="H187" s="11" t="str">
        <f>IFERROR(SUMPRODUCT((DATOS!$G$2:$G$20000=CONFIG_METADATA!$B$4)*(DATOS!$D$2:$D$20000=A187)*(DATOS!$I$2:$I$20000=B187)*(DATOS!$L$2:$L$20000="S"))/D187,"—")</f>
        <v>—</v>
      </c>
      <c r="I187" s="11" t="str">
        <f>IFERROR(SUMPRODUCT((DATOS!$G$2:$G$20000=CONFIG_METADATA!$B$4)*(DATOS!$D$2:$D$20000=A187)*(DATOS!$I$2:$I$20000=B187)*(DATOS!$L$2:$L$20000="N"))/D187,"—")</f>
        <v>—</v>
      </c>
      <c r="J187" t="str" cm="1">
        <f t="array" ref="J187">IFERROR(_xlfn.MODE.SNGL(_xlfn._xlws.FILTER(DATOS!$K$2:$K$20000,(DATOS!$G$2:$G$20000=CONFIG_METADATA!$B$4)*(DATOS!$D$2:$D$20000=A187)*(DATOS!$I$2:$I$20000=B187)*(DATOS!$L$2:$L$20000="S"))),"—")</f>
        <v>—</v>
      </c>
      <c r="K187" t="str" cm="1">
        <f t="array" ref="K187">IFERROR(_xlfn.MODE.SNGL(_xlfn._xlws.FILTER(DATOS!$K$2:$K$20000,(DATOS!$G$2:$G$20000=CONFIG_METADATA!$B$4)*(DATOS!$D$2:$D$20000=A187)*(DATOS!$I$2:$I$20000=B187)*(DATOS!$L$2:$L$20000="N"))),"—")</f>
        <v>—</v>
      </c>
      <c r="L187">
        <f>SUMPRODUCT((DATOS!$G$2:$G$20000=CONFIG_METADATA!$B$4)*(DATOS!$D$2:$D$20000=A187)*(DATOS!$I$2:$I$20000=B187)*(DATOS!$K$2:$K$20000=1))</f>
        <v>0</v>
      </c>
      <c r="M187">
        <f>SUMPRODUCT((DATOS!$G$2:$G$20000=CONFIG_METADATA!$B$4)*(DATOS!$D$2:$D$20000=A187)*(DATOS!$I$2:$I$20000=B187)*(DATOS!$K$2:$K$20000=2))</f>
        <v>0</v>
      </c>
      <c r="N187">
        <f>SUMPRODUCT((DATOS!$G$2:$G$20000=CONFIG_METADATA!$B$4)*(DATOS!$D$2:$D$20000=A187)*(DATOS!$I$2:$I$20000=B187)*(DATOS!$K$2:$K$20000=3))</f>
        <v>0</v>
      </c>
      <c r="O187">
        <f>SUMPRODUCT((DATOS!$G$2:$G$20000=CONFIG_METADATA!$B$4)*(DATOS!$D$2:$D$20000=A187)*(DATOS!$I$2:$I$20000=B187)*(DATOS!$K$2:$K$20000=4))</f>
        <v>0</v>
      </c>
      <c r="P187">
        <f>SUMPRODUCT((DATOS!$G$2:$G$20000=CONFIG_METADATA!$B$4)*(DATOS!$D$2:$D$20000=A187)*(DATOS!$I$2:$I$20000=B187)*(DATOS!$K$2:$K$20000=5))</f>
        <v>0</v>
      </c>
      <c r="Q187">
        <f>SUMPRODUCT((DATOS!$G$2:$G$20000=CONFIG_METADATA!$B$4)*(DATOS!$D$2:$D$20000=A187)*(DATOS!$I$2:$I$20000=B187)*(DATOS!$K$2:$K$20000=6))</f>
        <v>0</v>
      </c>
      <c r="R187">
        <f>SUMPRODUCT((DATOS!$G$2:$G$20000=CONFIG_METADATA!$B$4)*(DATOS!$D$2:$D$20000=A187)*(DATOS!$I$2:$I$20000=B187)*(DATOS!$K$2:$K$20000=7))</f>
        <v>0</v>
      </c>
      <c r="S187">
        <f>SUMPRODUCT((DATOS!$G$2:$G$20000=CONFIG_METADATA!$B$4)*(DATOS!$D$2:$D$20000=A187)*(DATOS!$I$2:$I$20000=B187)*(DATOS!$K$2:$K$20000=8))</f>
        <v>0</v>
      </c>
      <c r="T187">
        <f>SUMPRODUCT((DATOS!$G$2:$G$20000=CONFIG_METADATA!$B$4)*(DATOS!$D$2:$D$20000=A187)*(DATOS!$I$2:$I$20000=B187)*(DATOS!$K$2:$K$20000=9))</f>
        <v>0</v>
      </c>
      <c r="U187">
        <f>SUMPRODUCT((DATOS!$G$2:$G$20000=CONFIG_METADATA!$B$4)*(DATOS!$D$2:$D$20000=A187)*(DATOS!$I$2:$I$20000=B187)*(DATOS!$K$2:$K$20000=10))</f>
        <v>0</v>
      </c>
    </row>
    <row r="188" spans="1:21" x14ac:dyDescent="0.2">
      <c r="A188" t="s">
        <v>82</v>
      </c>
      <c r="B188" t="s">
        <v>41</v>
      </c>
      <c r="C188" t="s">
        <v>25</v>
      </c>
      <c r="D188">
        <f>SUMPRODUCT((DATOS!$G$2:$G$20000=CONFIG_METADATA!$B$4)*(DATOS!$D$2:$D$20000=A188)*(DATOS!$I$2:$I$20000=B188))</f>
        <v>0</v>
      </c>
      <c r="E188" s="10" t="str">
        <f>IFERROR(SUMPRODUCT((DATOS!$G$2:$G$20000=CONFIG_METADATA!$B$4)*(DATOS!$D$2:$D$20000=A188)*(DATOS!$I$2:$I$20000=B188)*(DATOS!$K$2:$K$20000))/D188,"—")</f>
        <v>—</v>
      </c>
      <c r="F188" s="10" t="str" cm="1">
        <f t="array" ref="F188">IFERROR(_xlfn.STDEV.P(_xlfn._xlws.FILTER(DATOS!$K$2:$K$20000,(DATOS!$G$2:$G$20000=CONFIG_METADATA!$B$4)*(DATOS!$D$2:$D$20000=A188)*(DATOS!$I$2:$I$20000=B188))),"—")</f>
        <v>—</v>
      </c>
      <c r="G188" t="str" cm="1">
        <f t="array" ref="G188">IFERROR(_xlfn.MODE.SNGL(_xlfn._xlws.FILTER(DATOS!$K$2:$K$20000,(DATOS!$G$2:$G$20000=CONFIG_METADATA!$B$4)*(DATOS!$D$2:$D$20000=A188)*(DATOS!$I$2:$I$20000=B188))),"—")</f>
        <v>—</v>
      </c>
      <c r="H188" s="11" t="str">
        <f>IFERROR(SUMPRODUCT((DATOS!$G$2:$G$20000=CONFIG_METADATA!$B$4)*(DATOS!$D$2:$D$20000=A188)*(DATOS!$I$2:$I$20000=B188)*(DATOS!$L$2:$L$20000="S"))/D188,"—")</f>
        <v>—</v>
      </c>
      <c r="I188" s="11" t="str">
        <f>IFERROR(SUMPRODUCT((DATOS!$G$2:$G$20000=CONFIG_METADATA!$B$4)*(DATOS!$D$2:$D$20000=A188)*(DATOS!$I$2:$I$20000=B188)*(DATOS!$L$2:$L$20000="N"))/D188,"—")</f>
        <v>—</v>
      </c>
      <c r="J188" t="str" cm="1">
        <f t="array" ref="J188">IFERROR(_xlfn.MODE.SNGL(_xlfn._xlws.FILTER(DATOS!$K$2:$K$20000,(DATOS!$G$2:$G$20000=CONFIG_METADATA!$B$4)*(DATOS!$D$2:$D$20000=A188)*(DATOS!$I$2:$I$20000=B188)*(DATOS!$L$2:$L$20000="S"))),"—")</f>
        <v>—</v>
      </c>
      <c r="K188" t="str" cm="1">
        <f t="array" ref="K188">IFERROR(_xlfn.MODE.SNGL(_xlfn._xlws.FILTER(DATOS!$K$2:$K$20000,(DATOS!$G$2:$G$20000=CONFIG_METADATA!$B$4)*(DATOS!$D$2:$D$20000=A188)*(DATOS!$I$2:$I$20000=B188)*(DATOS!$L$2:$L$20000="N"))),"—")</f>
        <v>—</v>
      </c>
      <c r="L188">
        <f>SUMPRODUCT((DATOS!$G$2:$G$20000=CONFIG_METADATA!$B$4)*(DATOS!$D$2:$D$20000=A188)*(DATOS!$I$2:$I$20000=B188)*(DATOS!$K$2:$K$20000=1))</f>
        <v>0</v>
      </c>
      <c r="M188">
        <f>SUMPRODUCT((DATOS!$G$2:$G$20000=CONFIG_METADATA!$B$4)*(DATOS!$D$2:$D$20000=A188)*(DATOS!$I$2:$I$20000=B188)*(DATOS!$K$2:$K$20000=2))</f>
        <v>0</v>
      </c>
      <c r="N188">
        <f>SUMPRODUCT((DATOS!$G$2:$G$20000=CONFIG_METADATA!$B$4)*(DATOS!$D$2:$D$20000=A188)*(DATOS!$I$2:$I$20000=B188)*(DATOS!$K$2:$K$20000=3))</f>
        <v>0</v>
      </c>
      <c r="O188">
        <f>SUMPRODUCT((DATOS!$G$2:$G$20000=CONFIG_METADATA!$B$4)*(DATOS!$D$2:$D$20000=A188)*(DATOS!$I$2:$I$20000=B188)*(DATOS!$K$2:$K$20000=4))</f>
        <v>0</v>
      </c>
      <c r="P188">
        <f>SUMPRODUCT((DATOS!$G$2:$G$20000=CONFIG_METADATA!$B$4)*(DATOS!$D$2:$D$20000=A188)*(DATOS!$I$2:$I$20000=B188)*(DATOS!$K$2:$K$20000=5))</f>
        <v>0</v>
      </c>
      <c r="Q188">
        <f>SUMPRODUCT((DATOS!$G$2:$G$20000=CONFIG_METADATA!$B$4)*(DATOS!$D$2:$D$20000=A188)*(DATOS!$I$2:$I$20000=B188)*(DATOS!$K$2:$K$20000=6))</f>
        <v>0</v>
      </c>
      <c r="R188">
        <f>SUMPRODUCT((DATOS!$G$2:$G$20000=CONFIG_METADATA!$B$4)*(DATOS!$D$2:$D$20000=A188)*(DATOS!$I$2:$I$20000=B188)*(DATOS!$K$2:$K$20000=7))</f>
        <v>0</v>
      </c>
      <c r="S188">
        <f>SUMPRODUCT((DATOS!$G$2:$G$20000=CONFIG_METADATA!$B$4)*(DATOS!$D$2:$D$20000=A188)*(DATOS!$I$2:$I$20000=B188)*(DATOS!$K$2:$K$20000=8))</f>
        <v>0</v>
      </c>
      <c r="T188">
        <f>SUMPRODUCT((DATOS!$G$2:$G$20000=CONFIG_METADATA!$B$4)*(DATOS!$D$2:$D$20000=A188)*(DATOS!$I$2:$I$20000=B188)*(DATOS!$K$2:$K$20000=9))</f>
        <v>0</v>
      </c>
      <c r="U188">
        <f>SUMPRODUCT((DATOS!$G$2:$G$20000=CONFIG_METADATA!$B$4)*(DATOS!$D$2:$D$20000=A188)*(DATOS!$I$2:$I$20000=B188)*(DATOS!$K$2:$K$20000=10))</f>
        <v>0</v>
      </c>
    </row>
    <row r="189" spans="1:21" x14ac:dyDescent="0.2">
      <c r="A189" t="s">
        <v>82</v>
      </c>
      <c r="B189" t="s">
        <v>43</v>
      </c>
      <c r="C189" t="s">
        <v>25</v>
      </c>
      <c r="D189">
        <f>SUMPRODUCT((DATOS!$G$2:$G$20000=CONFIG_METADATA!$B$4)*(DATOS!$D$2:$D$20000=A189)*(DATOS!$I$2:$I$20000=B189))</f>
        <v>0</v>
      </c>
      <c r="E189" s="10" t="str">
        <f>IFERROR(SUMPRODUCT((DATOS!$G$2:$G$20000=CONFIG_METADATA!$B$4)*(DATOS!$D$2:$D$20000=A189)*(DATOS!$I$2:$I$20000=B189)*(DATOS!$K$2:$K$20000))/D189,"—")</f>
        <v>—</v>
      </c>
      <c r="F189" s="10" t="str" cm="1">
        <f t="array" ref="F189">IFERROR(_xlfn.STDEV.P(_xlfn._xlws.FILTER(DATOS!$K$2:$K$20000,(DATOS!$G$2:$G$20000=CONFIG_METADATA!$B$4)*(DATOS!$D$2:$D$20000=A189)*(DATOS!$I$2:$I$20000=B189))),"—")</f>
        <v>—</v>
      </c>
      <c r="G189" t="str" cm="1">
        <f t="array" ref="G189">IFERROR(_xlfn.MODE.SNGL(_xlfn._xlws.FILTER(DATOS!$K$2:$K$20000,(DATOS!$G$2:$G$20000=CONFIG_METADATA!$B$4)*(DATOS!$D$2:$D$20000=A189)*(DATOS!$I$2:$I$20000=B189))),"—")</f>
        <v>—</v>
      </c>
      <c r="H189" s="11" t="str">
        <f>IFERROR(SUMPRODUCT((DATOS!$G$2:$G$20000=CONFIG_METADATA!$B$4)*(DATOS!$D$2:$D$20000=A189)*(DATOS!$I$2:$I$20000=B189)*(DATOS!$L$2:$L$20000="S"))/D189,"—")</f>
        <v>—</v>
      </c>
      <c r="I189" s="11" t="str">
        <f>IFERROR(SUMPRODUCT((DATOS!$G$2:$G$20000=CONFIG_METADATA!$B$4)*(DATOS!$D$2:$D$20000=A189)*(DATOS!$I$2:$I$20000=B189)*(DATOS!$L$2:$L$20000="N"))/D189,"—")</f>
        <v>—</v>
      </c>
      <c r="J189" t="str" cm="1">
        <f t="array" ref="J189">IFERROR(_xlfn.MODE.SNGL(_xlfn._xlws.FILTER(DATOS!$K$2:$K$20000,(DATOS!$G$2:$G$20000=CONFIG_METADATA!$B$4)*(DATOS!$D$2:$D$20000=A189)*(DATOS!$I$2:$I$20000=B189)*(DATOS!$L$2:$L$20000="S"))),"—")</f>
        <v>—</v>
      </c>
      <c r="K189" t="str" cm="1">
        <f t="array" ref="K189">IFERROR(_xlfn.MODE.SNGL(_xlfn._xlws.FILTER(DATOS!$K$2:$K$20000,(DATOS!$G$2:$G$20000=CONFIG_METADATA!$B$4)*(DATOS!$D$2:$D$20000=A189)*(DATOS!$I$2:$I$20000=B189)*(DATOS!$L$2:$L$20000="N"))),"—")</f>
        <v>—</v>
      </c>
      <c r="L189">
        <f>SUMPRODUCT((DATOS!$G$2:$G$20000=CONFIG_METADATA!$B$4)*(DATOS!$D$2:$D$20000=A189)*(DATOS!$I$2:$I$20000=B189)*(DATOS!$K$2:$K$20000=1))</f>
        <v>0</v>
      </c>
      <c r="M189">
        <f>SUMPRODUCT((DATOS!$G$2:$G$20000=CONFIG_METADATA!$B$4)*(DATOS!$D$2:$D$20000=A189)*(DATOS!$I$2:$I$20000=B189)*(DATOS!$K$2:$K$20000=2))</f>
        <v>0</v>
      </c>
      <c r="N189">
        <f>SUMPRODUCT((DATOS!$G$2:$G$20000=CONFIG_METADATA!$B$4)*(DATOS!$D$2:$D$20000=A189)*(DATOS!$I$2:$I$20000=B189)*(DATOS!$K$2:$K$20000=3))</f>
        <v>0</v>
      </c>
      <c r="O189">
        <f>SUMPRODUCT((DATOS!$G$2:$G$20000=CONFIG_METADATA!$B$4)*(DATOS!$D$2:$D$20000=A189)*(DATOS!$I$2:$I$20000=B189)*(DATOS!$K$2:$K$20000=4))</f>
        <v>0</v>
      </c>
      <c r="P189">
        <f>SUMPRODUCT((DATOS!$G$2:$G$20000=CONFIG_METADATA!$B$4)*(DATOS!$D$2:$D$20000=A189)*(DATOS!$I$2:$I$20000=B189)*(DATOS!$K$2:$K$20000=5))</f>
        <v>0</v>
      </c>
      <c r="Q189">
        <f>SUMPRODUCT((DATOS!$G$2:$G$20000=CONFIG_METADATA!$B$4)*(DATOS!$D$2:$D$20000=A189)*(DATOS!$I$2:$I$20000=B189)*(DATOS!$K$2:$K$20000=6))</f>
        <v>0</v>
      </c>
      <c r="R189">
        <f>SUMPRODUCT((DATOS!$G$2:$G$20000=CONFIG_METADATA!$B$4)*(DATOS!$D$2:$D$20000=A189)*(DATOS!$I$2:$I$20000=B189)*(DATOS!$K$2:$K$20000=7))</f>
        <v>0</v>
      </c>
      <c r="S189">
        <f>SUMPRODUCT((DATOS!$G$2:$G$20000=CONFIG_METADATA!$B$4)*(DATOS!$D$2:$D$20000=A189)*(DATOS!$I$2:$I$20000=B189)*(DATOS!$K$2:$K$20000=8))</f>
        <v>0</v>
      </c>
      <c r="T189">
        <f>SUMPRODUCT((DATOS!$G$2:$G$20000=CONFIG_METADATA!$B$4)*(DATOS!$D$2:$D$20000=A189)*(DATOS!$I$2:$I$20000=B189)*(DATOS!$K$2:$K$20000=9))</f>
        <v>0</v>
      </c>
      <c r="U189">
        <f>SUMPRODUCT((DATOS!$G$2:$G$20000=CONFIG_METADATA!$B$4)*(DATOS!$D$2:$D$20000=A189)*(DATOS!$I$2:$I$20000=B189)*(DATOS!$K$2:$K$20000=10))</f>
        <v>0</v>
      </c>
    </row>
    <row r="190" spans="1:21" x14ac:dyDescent="0.2">
      <c r="A190" t="s">
        <v>82</v>
      </c>
      <c r="B190" t="s">
        <v>44</v>
      </c>
      <c r="C190" t="s">
        <v>25</v>
      </c>
      <c r="D190">
        <f>SUMPRODUCT((DATOS!$G$2:$G$20000=CONFIG_METADATA!$B$4)*(DATOS!$D$2:$D$20000=A190)*(DATOS!$I$2:$I$20000=B190))</f>
        <v>0</v>
      </c>
      <c r="E190" s="10" t="str">
        <f>IFERROR(SUMPRODUCT((DATOS!$G$2:$G$20000=CONFIG_METADATA!$B$4)*(DATOS!$D$2:$D$20000=A190)*(DATOS!$I$2:$I$20000=B190)*(DATOS!$K$2:$K$20000))/D190,"—")</f>
        <v>—</v>
      </c>
      <c r="F190" s="10" t="str" cm="1">
        <f t="array" ref="F190">IFERROR(_xlfn.STDEV.P(_xlfn._xlws.FILTER(DATOS!$K$2:$K$20000,(DATOS!$G$2:$G$20000=CONFIG_METADATA!$B$4)*(DATOS!$D$2:$D$20000=A190)*(DATOS!$I$2:$I$20000=B190))),"—")</f>
        <v>—</v>
      </c>
      <c r="G190" t="str" cm="1">
        <f t="array" ref="G190">IFERROR(_xlfn.MODE.SNGL(_xlfn._xlws.FILTER(DATOS!$K$2:$K$20000,(DATOS!$G$2:$G$20000=CONFIG_METADATA!$B$4)*(DATOS!$D$2:$D$20000=A190)*(DATOS!$I$2:$I$20000=B190))),"—")</f>
        <v>—</v>
      </c>
      <c r="H190" s="11" t="str">
        <f>IFERROR(SUMPRODUCT((DATOS!$G$2:$G$20000=CONFIG_METADATA!$B$4)*(DATOS!$D$2:$D$20000=A190)*(DATOS!$I$2:$I$20000=B190)*(DATOS!$L$2:$L$20000="S"))/D190,"—")</f>
        <v>—</v>
      </c>
      <c r="I190" s="11" t="str">
        <f>IFERROR(SUMPRODUCT((DATOS!$G$2:$G$20000=CONFIG_METADATA!$B$4)*(DATOS!$D$2:$D$20000=A190)*(DATOS!$I$2:$I$20000=B190)*(DATOS!$L$2:$L$20000="N"))/D190,"—")</f>
        <v>—</v>
      </c>
      <c r="J190" t="str" cm="1">
        <f t="array" ref="J190">IFERROR(_xlfn.MODE.SNGL(_xlfn._xlws.FILTER(DATOS!$K$2:$K$20000,(DATOS!$G$2:$G$20000=CONFIG_METADATA!$B$4)*(DATOS!$D$2:$D$20000=A190)*(DATOS!$I$2:$I$20000=B190)*(DATOS!$L$2:$L$20000="S"))),"—")</f>
        <v>—</v>
      </c>
      <c r="K190" t="str" cm="1">
        <f t="array" ref="K190">IFERROR(_xlfn.MODE.SNGL(_xlfn._xlws.FILTER(DATOS!$K$2:$K$20000,(DATOS!$G$2:$G$20000=CONFIG_METADATA!$B$4)*(DATOS!$D$2:$D$20000=A190)*(DATOS!$I$2:$I$20000=B190)*(DATOS!$L$2:$L$20000="N"))),"—")</f>
        <v>—</v>
      </c>
      <c r="L190">
        <f>SUMPRODUCT((DATOS!$G$2:$G$20000=CONFIG_METADATA!$B$4)*(DATOS!$D$2:$D$20000=A190)*(DATOS!$I$2:$I$20000=B190)*(DATOS!$K$2:$K$20000=1))</f>
        <v>0</v>
      </c>
      <c r="M190">
        <f>SUMPRODUCT((DATOS!$G$2:$G$20000=CONFIG_METADATA!$B$4)*(DATOS!$D$2:$D$20000=A190)*(DATOS!$I$2:$I$20000=B190)*(DATOS!$K$2:$K$20000=2))</f>
        <v>0</v>
      </c>
      <c r="N190">
        <f>SUMPRODUCT((DATOS!$G$2:$G$20000=CONFIG_METADATA!$B$4)*(DATOS!$D$2:$D$20000=A190)*(DATOS!$I$2:$I$20000=B190)*(DATOS!$K$2:$K$20000=3))</f>
        <v>0</v>
      </c>
      <c r="O190">
        <f>SUMPRODUCT((DATOS!$G$2:$G$20000=CONFIG_METADATA!$B$4)*(DATOS!$D$2:$D$20000=A190)*(DATOS!$I$2:$I$20000=B190)*(DATOS!$K$2:$K$20000=4))</f>
        <v>0</v>
      </c>
      <c r="P190">
        <f>SUMPRODUCT((DATOS!$G$2:$G$20000=CONFIG_METADATA!$B$4)*(DATOS!$D$2:$D$20000=A190)*(DATOS!$I$2:$I$20000=B190)*(DATOS!$K$2:$K$20000=5))</f>
        <v>0</v>
      </c>
      <c r="Q190">
        <f>SUMPRODUCT((DATOS!$G$2:$G$20000=CONFIG_METADATA!$B$4)*(DATOS!$D$2:$D$20000=A190)*(DATOS!$I$2:$I$20000=B190)*(DATOS!$K$2:$K$20000=6))</f>
        <v>0</v>
      </c>
      <c r="R190">
        <f>SUMPRODUCT((DATOS!$G$2:$G$20000=CONFIG_METADATA!$B$4)*(DATOS!$D$2:$D$20000=A190)*(DATOS!$I$2:$I$20000=B190)*(DATOS!$K$2:$K$20000=7))</f>
        <v>0</v>
      </c>
      <c r="S190">
        <f>SUMPRODUCT((DATOS!$G$2:$G$20000=CONFIG_METADATA!$B$4)*(DATOS!$D$2:$D$20000=A190)*(DATOS!$I$2:$I$20000=B190)*(DATOS!$K$2:$K$20000=8))</f>
        <v>0</v>
      </c>
      <c r="T190">
        <f>SUMPRODUCT((DATOS!$G$2:$G$20000=CONFIG_METADATA!$B$4)*(DATOS!$D$2:$D$20000=A190)*(DATOS!$I$2:$I$20000=B190)*(DATOS!$K$2:$K$20000=9))</f>
        <v>0</v>
      </c>
      <c r="U190">
        <f>SUMPRODUCT((DATOS!$G$2:$G$20000=CONFIG_METADATA!$B$4)*(DATOS!$D$2:$D$20000=A190)*(DATOS!$I$2:$I$20000=B190)*(DATOS!$K$2:$K$20000=10))</f>
        <v>0</v>
      </c>
    </row>
    <row r="191" spans="1:21" x14ac:dyDescent="0.2">
      <c r="A191" t="s">
        <v>82</v>
      </c>
      <c r="B191" t="s">
        <v>45</v>
      </c>
      <c r="C191" t="s">
        <v>25</v>
      </c>
      <c r="D191">
        <f>SUMPRODUCT((DATOS!$G$2:$G$20000=CONFIG_METADATA!$B$4)*(DATOS!$D$2:$D$20000=A191)*(DATOS!$I$2:$I$20000=B191))</f>
        <v>0</v>
      </c>
      <c r="E191" s="10" t="str">
        <f>IFERROR(SUMPRODUCT((DATOS!$G$2:$G$20000=CONFIG_METADATA!$B$4)*(DATOS!$D$2:$D$20000=A191)*(DATOS!$I$2:$I$20000=B191)*(DATOS!$K$2:$K$20000))/D191,"—")</f>
        <v>—</v>
      </c>
      <c r="F191" s="10" t="str" cm="1">
        <f t="array" ref="F191">IFERROR(_xlfn.STDEV.P(_xlfn._xlws.FILTER(DATOS!$K$2:$K$20000,(DATOS!$G$2:$G$20000=CONFIG_METADATA!$B$4)*(DATOS!$D$2:$D$20000=A191)*(DATOS!$I$2:$I$20000=B191))),"—")</f>
        <v>—</v>
      </c>
      <c r="G191" t="str" cm="1">
        <f t="array" ref="G191">IFERROR(_xlfn.MODE.SNGL(_xlfn._xlws.FILTER(DATOS!$K$2:$K$20000,(DATOS!$G$2:$G$20000=CONFIG_METADATA!$B$4)*(DATOS!$D$2:$D$20000=A191)*(DATOS!$I$2:$I$20000=B191))),"—")</f>
        <v>—</v>
      </c>
      <c r="H191" s="11" t="str">
        <f>IFERROR(SUMPRODUCT((DATOS!$G$2:$G$20000=CONFIG_METADATA!$B$4)*(DATOS!$D$2:$D$20000=A191)*(DATOS!$I$2:$I$20000=B191)*(DATOS!$L$2:$L$20000="S"))/D191,"—")</f>
        <v>—</v>
      </c>
      <c r="I191" s="11" t="str">
        <f>IFERROR(SUMPRODUCT((DATOS!$G$2:$G$20000=CONFIG_METADATA!$B$4)*(DATOS!$D$2:$D$20000=A191)*(DATOS!$I$2:$I$20000=B191)*(DATOS!$L$2:$L$20000="N"))/D191,"—")</f>
        <v>—</v>
      </c>
      <c r="J191" t="str" cm="1">
        <f t="array" ref="J191">IFERROR(_xlfn.MODE.SNGL(_xlfn._xlws.FILTER(DATOS!$K$2:$K$20000,(DATOS!$G$2:$G$20000=CONFIG_METADATA!$B$4)*(DATOS!$D$2:$D$20000=A191)*(DATOS!$I$2:$I$20000=B191)*(DATOS!$L$2:$L$20000="S"))),"—")</f>
        <v>—</v>
      </c>
      <c r="K191" t="str" cm="1">
        <f t="array" ref="K191">IFERROR(_xlfn.MODE.SNGL(_xlfn._xlws.FILTER(DATOS!$K$2:$K$20000,(DATOS!$G$2:$G$20000=CONFIG_METADATA!$B$4)*(DATOS!$D$2:$D$20000=A191)*(DATOS!$I$2:$I$20000=B191)*(DATOS!$L$2:$L$20000="N"))),"—")</f>
        <v>—</v>
      </c>
      <c r="L191">
        <f>SUMPRODUCT((DATOS!$G$2:$G$20000=CONFIG_METADATA!$B$4)*(DATOS!$D$2:$D$20000=A191)*(DATOS!$I$2:$I$20000=B191)*(DATOS!$K$2:$K$20000=1))</f>
        <v>0</v>
      </c>
      <c r="M191">
        <f>SUMPRODUCT((DATOS!$G$2:$G$20000=CONFIG_METADATA!$B$4)*(DATOS!$D$2:$D$20000=A191)*(DATOS!$I$2:$I$20000=B191)*(DATOS!$K$2:$K$20000=2))</f>
        <v>0</v>
      </c>
      <c r="N191">
        <f>SUMPRODUCT((DATOS!$G$2:$G$20000=CONFIG_METADATA!$B$4)*(DATOS!$D$2:$D$20000=A191)*(DATOS!$I$2:$I$20000=B191)*(DATOS!$K$2:$K$20000=3))</f>
        <v>0</v>
      </c>
      <c r="O191">
        <f>SUMPRODUCT((DATOS!$G$2:$G$20000=CONFIG_METADATA!$B$4)*(DATOS!$D$2:$D$20000=A191)*(DATOS!$I$2:$I$20000=B191)*(DATOS!$K$2:$K$20000=4))</f>
        <v>0</v>
      </c>
      <c r="P191">
        <f>SUMPRODUCT((DATOS!$G$2:$G$20000=CONFIG_METADATA!$B$4)*(DATOS!$D$2:$D$20000=A191)*(DATOS!$I$2:$I$20000=B191)*(DATOS!$K$2:$K$20000=5))</f>
        <v>0</v>
      </c>
      <c r="Q191">
        <f>SUMPRODUCT((DATOS!$G$2:$G$20000=CONFIG_METADATA!$B$4)*(DATOS!$D$2:$D$20000=A191)*(DATOS!$I$2:$I$20000=B191)*(DATOS!$K$2:$K$20000=6))</f>
        <v>0</v>
      </c>
      <c r="R191">
        <f>SUMPRODUCT((DATOS!$G$2:$G$20000=CONFIG_METADATA!$B$4)*(DATOS!$D$2:$D$20000=A191)*(DATOS!$I$2:$I$20000=B191)*(DATOS!$K$2:$K$20000=7))</f>
        <v>0</v>
      </c>
      <c r="S191">
        <f>SUMPRODUCT((DATOS!$G$2:$G$20000=CONFIG_METADATA!$B$4)*(DATOS!$D$2:$D$20000=A191)*(DATOS!$I$2:$I$20000=B191)*(DATOS!$K$2:$K$20000=8))</f>
        <v>0</v>
      </c>
      <c r="T191">
        <f>SUMPRODUCT((DATOS!$G$2:$G$20000=CONFIG_METADATA!$B$4)*(DATOS!$D$2:$D$20000=A191)*(DATOS!$I$2:$I$20000=B191)*(DATOS!$K$2:$K$20000=9))</f>
        <v>0</v>
      </c>
      <c r="U191">
        <f>SUMPRODUCT((DATOS!$G$2:$G$20000=CONFIG_METADATA!$B$4)*(DATOS!$D$2:$D$20000=A191)*(DATOS!$I$2:$I$20000=B191)*(DATOS!$K$2:$K$20000=10))</f>
        <v>0</v>
      </c>
    </row>
    <row r="192" spans="1:21" x14ac:dyDescent="0.2">
      <c r="A192" t="s">
        <v>82</v>
      </c>
      <c r="B192" t="s">
        <v>46</v>
      </c>
      <c r="C192" t="s">
        <v>25</v>
      </c>
      <c r="D192">
        <f>SUMPRODUCT((DATOS!$G$2:$G$20000=CONFIG_METADATA!$B$4)*(DATOS!$D$2:$D$20000=A192)*(DATOS!$I$2:$I$20000=B192))</f>
        <v>0</v>
      </c>
      <c r="E192" s="10" t="str">
        <f>IFERROR(SUMPRODUCT((DATOS!$G$2:$G$20000=CONFIG_METADATA!$B$4)*(DATOS!$D$2:$D$20000=A192)*(DATOS!$I$2:$I$20000=B192)*(DATOS!$K$2:$K$20000))/D192,"—")</f>
        <v>—</v>
      </c>
      <c r="F192" s="10" t="str" cm="1">
        <f t="array" ref="F192">IFERROR(_xlfn.STDEV.P(_xlfn._xlws.FILTER(DATOS!$K$2:$K$20000,(DATOS!$G$2:$G$20000=CONFIG_METADATA!$B$4)*(DATOS!$D$2:$D$20000=A192)*(DATOS!$I$2:$I$20000=B192))),"—")</f>
        <v>—</v>
      </c>
      <c r="G192" t="str" cm="1">
        <f t="array" ref="G192">IFERROR(_xlfn.MODE.SNGL(_xlfn._xlws.FILTER(DATOS!$K$2:$K$20000,(DATOS!$G$2:$G$20000=CONFIG_METADATA!$B$4)*(DATOS!$D$2:$D$20000=A192)*(DATOS!$I$2:$I$20000=B192))),"—")</f>
        <v>—</v>
      </c>
      <c r="H192" s="11" t="str">
        <f>IFERROR(SUMPRODUCT((DATOS!$G$2:$G$20000=CONFIG_METADATA!$B$4)*(DATOS!$D$2:$D$20000=A192)*(DATOS!$I$2:$I$20000=B192)*(DATOS!$L$2:$L$20000="S"))/D192,"—")</f>
        <v>—</v>
      </c>
      <c r="I192" s="11" t="str">
        <f>IFERROR(SUMPRODUCT((DATOS!$G$2:$G$20000=CONFIG_METADATA!$B$4)*(DATOS!$D$2:$D$20000=A192)*(DATOS!$I$2:$I$20000=B192)*(DATOS!$L$2:$L$20000="N"))/D192,"—")</f>
        <v>—</v>
      </c>
      <c r="J192" t="str" cm="1">
        <f t="array" ref="J192">IFERROR(_xlfn.MODE.SNGL(_xlfn._xlws.FILTER(DATOS!$K$2:$K$20000,(DATOS!$G$2:$G$20000=CONFIG_METADATA!$B$4)*(DATOS!$D$2:$D$20000=A192)*(DATOS!$I$2:$I$20000=B192)*(DATOS!$L$2:$L$20000="S"))),"—")</f>
        <v>—</v>
      </c>
      <c r="K192" t="str" cm="1">
        <f t="array" ref="K192">IFERROR(_xlfn.MODE.SNGL(_xlfn._xlws.FILTER(DATOS!$K$2:$K$20000,(DATOS!$G$2:$G$20000=CONFIG_METADATA!$B$4)*(DATOS!$D$2:$D$20000=A192)*(DATOS!$I$2:$I$20000=B192)*(DATOS!$L$2:$L$20000="N"))),"—")</f>
        <v>—</v>
      </c>
      <c r="L192">
        <f>SUMPRODUCT((DATOS!$G$2:$G$20000=CONFIG_METADATA!$B$4)*(DATOS!$D$2:$D$20000=A192)*(DATOS!$I$2:$I$20000=B192)*(DATOS!$K$2:$K$20000=1))</f>
        <v>0</v>
      </c>
      <c r="M192">
        <f>SUMPRODUCT((DATOS!$G$2:$G$20000=CONFIG_METADATA!$B$4)*(DATOS!$D$2:$D$20000=A192)*(DATOS!$I$2:$I$20000=B192)*(DATOS!$K$2:$K$20000=2))</f>
        <v>0</v>
      </c>
      <c r="N192">
        <f>SUMPRODUCT((DATOS!$G$2:$G$20000=CONFIG_METADATA!$B$4)*(DATOS!$D$2:$D$20000=A192)*(DATOS!$I$2:$I$20000=B192)*(DATOS!$K$2:$K$20000=3))</f>
        <v>0</v>
      </c>
      <c r="O192">
        <f>SUMPRODUCT((DATOS!$G$2:$G$20000=CONFIG_METADATA!$B$4)*(DATOS!$D$2:$D$20000=A192)*(DATOS!$I$2:$I$20000=B192)*(DATOS!$K$2:$K$20000=4))</f>
        <v>0</v>
      </c>
      <c r="P192">
        <f>SUMPRODUCT((DATOS!$G$2:$G$20000=CONFIG_METADATA!$B$4)*(DATOS!$D$2:$D$20000=A192)*(DATOS!$I$2:$I$20000=B192)*(DATOS!$K$2:$K$20000=5))</f>
        <v>0</v>
      </c>
      <c r="Q192">
        <f>SUMPRODUCT((DATOS!$G$2:$G$20000=CONFIG_METADATA!$B$4)*(DATOS!$D$2:$D$20000=A192)*(DATOS!$I$2:$I$20000=B192)*(DATOS!$K$2:$K$20000=6))</f>
        <v>0</v>
      </c>
      <c r="R192">
        <f>SUMPRODUCT((DATOS!$G$2:$G$20000=CONFIG_METADATA!$B$4)*(DATOS!$D$2:$D$20000=A192)*(DATOS!$I$2:$I$20000=B192)*(DATOS!$K$2:$K$20000=7))</f>
        <v>0</v>
      </c>
      <c r="S192">
        <f>SUMPRODUCT((DATOS!$G$2:$G$20000=CONFIG_METADATA!$B$4)*(DATOS!$D$2:$D$20000=A192)*(DATOS!$I$2:$I$20000=B192)*(DATOS!$K$2:$K$20000=8))</f>
        <v>0</v>
      </c>
      <c r="T192">
        <f>SUMPRODUCT((DATOS!$G$2:$G$20000=CONFIG_METADATA!$B$4)*(DATOS!$D$2:$D$20000=A192)*(DATOS!$I$2:$I$20000=B192)*(DATOS!$K$2:$K$20000=9))</f>
        <v>0</v>
      </c>
      <c r="U192">
        <f>SUMPRODUCT((DATOS!$G$2:$G$20000=CONFIG_METADATA!$B$4)*(DATOS!$D$2:$D$20000=A192)*(DATOS!$I$2:$I$20000=B192)*(DATOS!$K$2:$K$20000=10))</f>
        <v>0</v>
      </c>
    </row>
    <row r="193" spans="1:21" x14ac:dyDescent="0.2">
      <c r="A193" t="s">
        <v>82</v>
      </c>
      <c r="B193" t="s">
        <v>47</v>
      </c>
      <c r="C193" t="s">
        <v>25</v>
      </c>
      <c r="D193">
        <f>SUMPRODUCT((DATOS!$G$2:$G$20000=CONFIG_METADATA!$B$4)*(DATOS!$D$2:$D$20000=A193)*(DATOS!$I$2:$I$20000=B193))</f>
        <v>0</v>
      </c>
      <c r="E193" s="10" t="str">
        <f>IFERROR(SUMPRODUCT((DATOS!$G$2:$G$20000=CONFIG_METADATA!$B$4)*(DATOS!$D$2:$D$20000=A193)*(DATOS!$I$2:$I$20000=B193)*(DATOS!$K$2:$K$20000))/D193,"—")</f>
        <v>—</v>
      </c>
      <c r="F193" s="10" t="str" cm="1">
        <f t="array" ref="F193">IFERROR(_xlfn.STDEV.P(_xlfn._xlws.FILTER(DATOS!$K$2:$K$20000,(DATOS!$G$2:$G$20000=CONFIG_METADATA!$B$4)*(DATOS!$D$2:$D$20000=A193)*(DATOS!$I$2:$I$20000=B193))),"—")</f>
        <v>—</v>
      </c>
      <c r="G193" t="str" cm="1">
        <f t="array" ref="G193">IFERROR(_xlfn.MODE.SNGL(_xlfn._xlws.FILTER(DATOS!$K$2:$K$20000,(DATOS!$G$2:$G$20000=CONFIG_METADATA!$B$4)*(DATOS!$D$2:$D$20000=A193)*(DATOS!$I$2:$I$20000=B193))),"—")</f>
        <v>—</v>
      </c>
      <c r="H193" s="11" t="str">
        <f>IFERROR(SUMPRODUCT((DATOS!$G$2:$G$20000=CONFIG_METADATA!$B$4)*(DATOS!$D$2:$D$20000=A193)*(DATOS!$I$2:$I$20000=B193)*(DATOS!$L$2:$L$20000="S"))/D193,"—")</f>
        <v>—</v>
      </c>
      <c r="I193" s="11" t="str">
        <f>IFERROR(SUMPRODUCT((DATOS!$G$2:$G$20000=CONFIG_METADATA!$B$4)*(DATOS!$D$2:$D$20000=A193)*(DATOS!$I$2:$I$20000=B193)*(DATOS!$L$2:$L$20000="N"))/D193,"—")</f>
        <v>—</v>
      </c>
      <c r="J193" t="str" cm="1">
        <f t="array" ref="J193">IFERROR(_xlfn.MODE.SNGL(_xlfn._xlws.FILTER(DATOS!$K$2:$K$20000,(DATOS!$G$2:$G$20000=CONFIG_METADATA!$B$4)*(DATOS!$D$2:$D$20000=A193)*(DATOS!$I$2:$I$20000=B193)*(DATOS!$L$2:$L$20000="S"))),"—")</f>
        <v>—</v>
      </c>
      <c r="K193" t="str" cm="1">
        <f t="array" ref="K193">IFERROR(_xlfn.MODE.SNGL(_xlfn._xlws.FILTER(DATOS!$K$2:$K$20000,(DATOS!$G$2:$G$20000=CONFIG_METADATA!$B$4)*(DATOS!$D$2:$D$20000=A193)*(DATOS!$I$2:$I$20000=B193)*(DATOS!$L$2:$L$20000="N"))),"—")</f>
        <v>—</v>
      </c>
      <c r="L193">
        <f>SUMPRODUCT((DATOS!$G$2:$G$20000=CONFIG_METADATA!$B$4)*(DATOS!$D$2:$D$20000=A193)*(DATOS!$I$2:$I$20000=B193)*(DATOS!$K$2:$K$20000=1))</f>
        <v>0</v>
      </c>
      <c r="M193">
        <f>SUMPRODUCT((DATOS!$G$2:$G$20000=CONFIG_METADATA!$B$4)*(DATOS!$D$2:$D$20000=A193)*(DATOS!$I$2:$I$20000=B193)*(DATOS!$K$2:$K$20000=2))</f>
        <v>0</v>
      </c>
      <c r="N193">
        <f>SUMPRODUCT((DATOS!$G$2:$G$20000=CONFIG_METADATA!$B$4)*(DATOS!$D$2:$D$20000=A193)*(DATOS!$I$2:$I$20000=B193)*(DATOS!$K$2:$K$20000=3))</f>
        <v>0</v>
      </c>
      <c r="O193">
        <f>SUMPRODUCT((DATOS!$G$2:$G$20000=CONFIG_METADATA!$B$4)*(DATOS!$D$2:$D$20000=A193)*(DATOS!$I$2:$I$20000=B193)*(DATOS!$K$2:$K$20000=4))</f>
        <v>0</v>
      </c>
      <c r="P193">
        <f>SUMPRODUCT((DATOS!$G$2:$G$20000=CONFIG_METADATA!$B$4)*(DATOS!$D$2:$D$20000=A193)*(DATOS!$I$2:$I$20000=B193)*(DATOS!$K$2:$K$20000=5))</f>
        <v>0</v>
      </c>
      <c r="Q193">
        <f>SUMPRODUCT((DATOS!$G$2:$G$20000=CONFIG_METADATA!$B$4)*(DATOS!$D$2:$D$20000=A193)*(DATOS!$I$2:$I$20000=B193)*(DATOS!$K$2:$K$20000=6))</f>
        <v>0</v>
      </c>
      <c r="R193">
        <f>SUMPRODUCT((DATOS!$G$2:$G$20000=CONFIG_METADATA!$B$4)*(DATOS!$D$2:$D$20000=A193)*(DATOS!$I$2:$I$20000=B193)*(DATOS!$K$2:$K$20000=7))</f>
        <v>0</v>
      </c>
      <c r="S193">
        <f>SUMPRODUCT((DATOS!$G$2:$G$20000=CONFIG_METADATA!$B$4)*(DATOS!$D$2:$D$20000=A193)*(DATOS!$I$2:$I$20000=B193)*(DATOS!$K$2:$K$20000=8))</f>
        <v>0</v>
      </c>
      <c r="T193">
        <f>SUMPRODUCT((DATOS!$G$2:$G$20000=CONFIG_METADATA!$B$4)*(DATOS!$D$2:$D$20000=A193)*(DATOS!$I$2:$I$20000=B193)*(DATOS!$K$2:$K$20000=9))</f>
        <v>0</v>
      </c>
      <c r="U193">
        <f>SUMPRODUCT((DATOS!$G$2:$G$20000=CONFIG_METADATA!$B$4)*(DATOS!$D$2:$D$20000=A193)*(DATOS!$I$2:$I$20000=B193)*(DATOS!$K$2:$K$20000=10))</f>
        <v>0</v>
      </c>
    </row>
    <row r="194" spans="1:21" x14ac:dyDescent="0.2">
      <c r="A194" t="s">
        <v>82</v>
      </c>
      <c r="B194" t="s">
        <v>48</v>
      </c>
      <c r="C194" t="s">
        <v>25</v>
      </c>
      <c r="D194">
        <f>SUMPRODUCT((DATOS!$G$2:$G$20000=CONFIG_METADATA!$B$4)*(DATOS!$D$2:$D$20000=A194)*(DATOS!$I$2:$I$20000=B194))</f>
        <v>0</v>
      </c>
      <c r="E194" s="10" t="str">
        <f>IFERROR(SUMPRODUCT((DATOS!$G$2:$G$20000=CONFIG_METADATA!$B$4)*(DATOS!$D$2:$D$20000=A194)*(DATOS!$I$2:$I$20000=B194)*(DATOS!$K$2:$K$20000))/D194,"—")</f>
        <v>—</v>
      </c>
      <c r="F194" s="10" t="str" cm="1">
        <f t="array" ref="F194">IFERROR(_xlfn.STDEV.P(_xlfn._xlws.FILTER(DATOS!$K$2:$K$20000,(DATOS!$G$2:$G$20000=CONFIG_METADATA!$B$4)*(DATOS!$D$2:$D$20000=A194)*(DATOS!$I$2:$I$20000=B194))),"—")</f>
        <v>—</v>
      </c>
      <c r="G194" t="str" cm="1">
        <f t="array" ref="G194">IFERROR(_xlfn.MODE.SNGL(_xlfn._xlws.FILTER(DATOS!$K$2:$K$20000,(DATOS!$G$2:$G$20000=CONFIG_METADATA!$B$4)*(DATOS!$D$2:$D$20000=A194)*(DATOS!$I$2:$I$20000=B194))),"—")</f>
        <v>—</v>
      </c>
      <c r="H194" s="11" t="str">
        <f>IFERROR(SUMPRODUCT((DATOS!$G$2:$G$20000=CONFIG_METADATA!$B$4)*(DATOS!$D$2:$D$20000=A194)*(DATOS!$I$2:$I$20000=B194)*(DATOS!$L$2:$L$20000="S"))/D194,"—")</f>
        <v>—</v>
      </c>
      <c r="I194" s="11" t="str">
        <f>IFERROR(SUMPRODUCT((DATOS!$G$2:$G$20000=CONFIG_METADATA!$B$4)*(DATOS!$D$2:$D$20000=A194)*(DATOS!$I$2:$I$20000=B194)*(DATOS!$L$2:$L$20000="N"))/D194,"—")</f>
        <v>—</v>
      </c>
      <c r="J194" t="str" cm="1">
        <f t="array" ref="J194">IFERROR(_xlfn.MODE.SNGL(_xlfn._xlws.FILTER(DATOS!$K$2:$K$20000,(DATOS!$G$2:$G$20000=CONFIG_METADATA!$B$4)*(DATOS!$D$2:$D$20000=A194)*(DATOS!$I$2:$I$20000=B194)*(DATOS!$L$2:$L$20000="S"))),"—")</f>
        <v>—</v>
      </c>
      <c r="K194" t="str" cm="1">
        <f t="array" ref="K194">IFERROR(_xlfn.MODE.SNGL(_xlfn._xlws.FILTER(DATOS!$K$2:$K$20000,(DATOS!$G$2:$G$20000=CONFIG_METADATA!$B$4)*(DATOS!$D$2:$D$20000=A194)*(DATOS!$I$2:$I$20000=B194)*(DATOS!$L$2:$L$20000="N"))),"—")</f>
        <v>—</v>
      </c>
      <c r="L194">
        <f>SUMPRODUCT((DATOS!$G$2:$G$20000=CONFIG_METADATA!$B$4)*(DATOS!$D$2:$D$20000=A194)*(DATOS!$I$2:$I$20000=B194)*(DATOS!$K$2:$K$20000=1))</f>
        <v>0</v>
      </c>
      <c r="M194">
        <f>SUMPRODUCT((DATOS!$G$2:$G$20000=CONFIG_METADATA!$B$4)*(DATOS!$D$2:$D$20000=A194)*(DATOS!$I$2:$I$20000=B194)*(DATOS!$K$2:$K$20000=2))</f>
        <v>0</v>
      </c>
      <c r="N194">
        <f>SUMPRODUCT((DATOS!$G$2:$G$20000=CONFIG_METADATA!$B$4)*(DATOS!$D$2:$D$20000=A194)*(DATOS!$I$2:$I$20000=B194)*(DATOS!$K$2:$K$20000=3))</f>
        <v>0</v>
      </c>
      <c r="O194">
        <f>SUMPRODUCT((DATOS!$G$2:$G$20000=CONFIG_METADATA!$B$4)*(DATOS!$D$2:$D$20000=A194)*(DATOS!$I$2:$I$20000=B194)*(DATOS!$K$2:$K$20000=4))</f>
        <v>0</v>
      </c>
      <c r="P194">
        <f>SUMPRODUCT((DATOS!$G$2:$G$20000=CONFIG_METADATA!$B$4)*(DATOS!$D$2:$D$20000=A194)*(DATOS!$I$2:$I$20000=B194)*(DATOS!$K$2:$K$20000=5))</f>
        <v>0</v>
      </c>
      <c r="Q194">
        <f>SUMPRODUCT((DATOS!$G$2:$G$20000=CONFIG_METADATA!$B$4)*(DATOS!$D$2:$D$20000=A194)*(DATOS!$I$2:$I$20000=B194)*(DATOS!$K$2:$K$20000=6))</f>
        <v>0</v>
      </c>
      <c r="R194">
        <f>SUMPRODUCT((DATOS!$G$2:$G$20000=CONFIG_METADATA!$B$4)*(DATOS!$D$2:$D$20000=A194)*(DATOS!$I$2:$I$20000=B194)*(DATOS!$K$2:$K$20000=7))</f>
        <v>0</v>
      </c>
      <c r="S194">
        <f>SUMPRODUCT((DATOS!$G$2:$G$20000=CONFIG_METADATA!$B$4)*(DATOS!$D$2:$D$20000=A194)*(DATOS!$I$2:$I$20000=B194)*(DATOS!$K$2:$K$20000=8))</f>
        <v>0</v>
      </c>
      <c r="T194">
        <f>SUMPRODUCT((DATOS!$G$2:$G$20000=CONFIG_METADATA!$B$4)*(DATOS!$D$2:$D$20000=A194)*(DATOS!$I$2:$I$20000=B194)*(DATOS!$K$2:$K$20000=9))</f>
        <v>0</v>
      </c>
      <c r="U194">
        <f>SUMPRODUCT((DATOS!$G$2:$G$20000=CONFIG_METADATA!$B$4)*(DATOS!$D$2:$D$20000=A194)*(DATOS!$I$2:$I$20000=B194)*(DATOS!$K$2:$K$20000=10))</f>
        <v>0</v>
      </c>
    </row>
    <row r="195" spans="1:21" x14ac:dyDescent="0.2">
      <c r="A195" t="s">
        <v>82</v>
      </c>
      <c r="B195" t="s">
        <v>49</v>
      </c>
      <c r="C195" t="s">
        <v>25</v>
      </c>
      <c r="D195">
        <f>SUMPRODUCT((DATOS!$G$2:$G$20000=CONFIG_METADATA!$B$4)*(DATOS!$D$2:$D$20000=A195)*(DATOS!$I$2:$I$20000=B195))</f>
        <v>0</v>
      </c>
      <c r="E195" s="10" t="str">
        <f>IFERROR(SUMPRODUCT((DATOS!$G$2:$G$20000=CONFIG_METADATA!$B$4)*(DATOS!$D$2:$D$20000=A195)*(DATOS!$I$2:$I$20000=B195)*(DATOS!$K$2:$K$20000))/D195,"—")</f>
        <v>—</v>
      </c>
      <c r="F195" s="10" t="str" cm="1">
        <f t="array" ref="F195">IFERROR(_xlfn.STDEV.P(_xlfn._xlws.FILTER(DATOS!$K$2:$K$20000,(DATOS!$G$2:$G$20000=CONFIG_METADATA!$B$4)*(DATOS!$D$2:$D$20000=A195)*(DATOS!$I$2:$I$20000=B195))),"—")</f>
        <v>—</v>
      </c>
      <c r="G195" t="str" cm="1">
        <f t="array" ref="G195">IFERROR(_xlfn.MODE.SNGL(_xlfn._xlws.FILTER(DATOS!$K$2:$K$20000,(DATOS!$G$2:$G$20000=CONFIG_METADATA!$B$4)*(DATOS!$D$2:$D$20000=A195)*(DATOS!$I$2:$I$20000=B195))),"—")</f>
        <v>—</v>
      </c>
      <c r="H195" s="11" t="str">
        <f>IFERROR(SUMPRODUCT((DATOS!$G$2:$G$20000=CONFIG_METADATA!$B$4)*(DATOS!$D$2:$D$20000=A195)*(DATOS!$I$2:$I$20000=B195)*(DATOS!$L$2:$L$20000="S"))/D195,"—")</f>
        <v>—</v>
      </c>
      <c r="I195" s="11" t="str">
        <f>IFERROR(SUMPRODUCT((DATOS!$G$2:$G$20000=CONFIG_METADATA!$B$4)*(DATOS!$D$2:$D$20000=A195)*(DATOS!$I$2:$I$20000=B195)*(DATOS!$L$2:$L$20000="N"))/D195,"—")</f>
        <v>—</v>
      </c>
      <c r="J195" t="str" cm="1">
        <f t="array" ref="J195">IFERROR(_xlfn.MODE.SNGL(_xlfn._xlws.FILTER(DATOS!$K$2:$K$20000,(DATOS!$G$2:$G$20000=CONFIG_METADATA!$B$4)*(DATOS!$D$2:$D$20000=A195)*(DATOS!$I$2:$I$20000=B195)*(DATOS!$L$2:$L$20000="S"))),"—")</f>
        <v>—</v>
      </c>
      <c r="K195" t="str" cm="1">
        <f t="array" ref="K195">IFERROR(_xlfn.MODE.SNGL(_xlfn._xlws.FILTER(DATOS!$K$2:$K$20000,(DATOS!$G$2:$G$20000=CONFIG_METADATA!$B$4)*(DATOS!$D$2:$D$20000=A195)*(DATOS!$I$2:$I$20000=B195)*(DATOS!$L$2:$L$20000="N"))),"—")</f>
        <v>—</v>
      </c>
      <c r="L195">
        <f>SUMPRODUCT((DATOS!$G$2:$G$20000=CONFIG_METADATA!$B$4)*(DATOS!$D$2:$D$20000=A195)*(DATOS!$I$2:$I$20000=B195)*(DATOS!$K$2:$K$20000=1))</f>
        <v>0</v>
      </c>
      <c r="M195">
        <f>SUMPRODUCT((DATOS!$G$2:$G$20000=CONFIG_METADATA!$B$4)*(DATOS!$D$2:$D$20000=A195)*(DATOS!$I$2:$I$20000=B195)*(DATOS!$K$2:$K$20000=2))</f>
        <v>0</v>
      </c>
      <c r="N195">
        <f>SUMPRODUCT((DATOS!$G$2:$G$20000=CONFIG_METADATA!$B$4)*(DATOS!$D$2:$D$20000=A195)*(DATOS!$I$2:$I$20000=B195)*(DATOS!$K$2:$K$20000=3))</f>
        <v>0</v>
      </c>
      <c r="O195">
        <f>SUMPRODUCT((DATOS!$G$2:$G$20000=CONFIG_METADATA!$B$4)*(DATOS!$D$2:$D$20000=A195)*(DATOS!$I$2:$I$20000=B195)*(DATOS!$K$2:$K$20000=4))</f>
        <v>0</v>
      </c>
      <c r="P195">
        <f>SUMPRODUCT((DATOS!$G$2:$G$20000=CONFIG_METADATA!$B$4)*(DATOS!$D$2:$D$20000=A195)*(DATOS!$I$2:$I$20000=B195)*(DATOS!$K$2:$K$20000=5))</f>
        <v>0</v>
      </c>
      <c r="Q195">
        <f>SUMPRODUCT((DATOS!$G$2:$G$20000=CONFIG_METADATA!$B$4)*(DATOS!$D$2:$D$20000=A195)*(DATOS!$I$2:$I$20000=B195)*(DATOS!$K$2:$K$20000=6))</f>
        <v>0</v>
      </c>
      <c r="R195">
        <f>SUMPRODUCT((DATOS!$G$2:$G$20000=CONFIG_METADATA!$B$4)*(DATOS!$D$2:$D$20000=A195)*(DATOS!$I$2:$I$20000=B195)*(DATOS!$K$2:$K$20000=7))</f>
        <v>0</v>
      </c>
      <c r="S195">
        <f>SUMPRODUCT((DATOS!$G$2:$G$20000=CONFIG_METADATA!$B$4)*(DATOS!$D$2:$D$20000=A195)*(DATOS!$I$2:$I$20000=B195)*(DATOS!$K$2:$K$20000=8))</f>
        <v>0</v>
      </c>
      <c r="T195">
        <f>SUMPRODUCT((DATOS!$G$2:$G$20000=CONFIG_METADATA!$B$4)*(DATOS!$D$2:$D$20000=A195)*(DATOS!$I$2:$I$20000=B195)*(DATOS!$K$2:$K$20000=9))</f>
        <v>0</v>
      </c>
      <c r="U195">
        <f>SUMPRODUCT((DATOS!$G$2:$G$20000=CONFIG_METADATA!$B$4)*(DATOS!$D$2:$D$20000=A195)*(DATOS!$I$2:$I$20000=B195)*(DATOS!$K$2:$K$20000=10))</f>
        <v>0</v>
      </c>
    </row>
    <row r="196" spans="1:21" x14ac:dyDescent="0.2">
      <c r="A196" t="s">
        <v>82</v>
      </c>
      <c r="B196" t="s">
        <v>50</v>
      </c>
      <c r="C196" t="s">
        <v>25</v>
      </c>
      <c r="D196">
        <f>SUMPRODUCT((DATOS!$G$2:$G$20000=CONFIG_METADATA!$B$4)*(DATOS!$D$2:$D$20000=A196)*(DATOS!$I$2:$I$20000=B196))</f>
        <v>0</v>
      </c>
      <c r="E196" s="10" t="str">
        <f>IFERROR(SUMPRODUCT((DATOS!$G$2:$G$20000=CONFIG_METADATA!$B$4)*(DATOS!$D$2:$D$20000=A196)*(DATOS!$I$2:$I$20000=B196)*(DATOS!$K$2:$K$20000))/D196,"—")</f>
        <v>—</v>
      </c>
      <c r="F196" s="10" t="str" cm="1">
        <f t="array" ref="F196">IFERROR(_xlfn.STDEV.P(_xlfn._xlws.FILTER(DATOS!$K$2:$K$20000,(DATOS!$G$2:$G$20000=CONFIG_METADATA!$B$4)*(DATOS!$D$2:$D$20000=A196)*(DATOS!$I$2:$I$20000=B196))),"—")</f>
        <v>—</v>
      </c>
      <c r="G196" t="str" cm="1">
        <f t="array" ref="G196">IFERROR(_xlfn.MODE.SNGL(_xlfn._xlws.FILTER(DATOS!$K$2:$K$20000,(DATOS!$G$2:$G$20000=CONFIG_METADATA!$B$4)*(DATOS!$D$2:$D$20000=A196)*(DATOS!$I$2:$I$20000=B196))),"—")</f>
        <v>—</v>
      </c>
      <c r="H196" s="11" t="str">
        <f>IFERROR(SUMPRODUCT((DATOS!$G$2:$G$20000=CONFIG_METADATA!$B$4)*(DATOS!$D$2:$D$20000=A196)*(DATOS!$I$2:$I$20000=B196)*(DATOS!$L$2:$L$20000="S"))/D196,"—")</f>
        <v>—</v>
      </c>
      <c r="I196" s="11" t="str">
        <f>IFERROR(SUMPRODUCT((DATOS!$G$2:$G$20000=CONFIG_METADATA!$B$4)*(DATOS!$D$2:$D$20000=A196)*(DATOS!$I$2:$I$20000=B196)*(DATOS!$L$2:$L$20000="N"))/D196,"—")</f>
        <v>—</v>
      </c>
      <c r="J196" t="str" cm="1">
        <f t="array" ref="J196">IFERROR(_xlfn.MODE.SNGL(_xlfn._xlws.FILTER(DATOS!$K$2:$K$20000,(DATOS!$G$2:$G$20000=CONFIG_METADATA!$B$4)*(DATOS!$D$2:$D$20000=A196)*(DATOS!$I$2:$I$20000=B196)*(DATOS!$L$2:$L$20000="S"))),"—")</f>
        <v>—</v>
      </c>
      <c r="K196" t="str" cm="1">
        <f t="array" ref="K196">IFERROR(_xlfn.MODE.SNGL(_xlfn._xlws.FILTER(DATOS!$K$2:$K$20000,(DATOS!$G$2:$G$20000=CONFIG_METADATA!$B$4)*(DATOS!$D$2:$D$20000=A196)*(DATOS!$I$2:$I$20000=B196)*(DATOS!$L$2:$L$20000="N"))),"—")</f>
        <v>—</v>
      </c>
      <c r="L196">
        <f>SUMPRODUCT((DATOS!$G$2:$G$20000=CONFIG_METADATA!$B$4)*(DATOS!$D$2:$D$20000=A196)*(DATOS!$I$2:$I$20000=B196)*(DATOS!$K$2:$K$20000=1))</f>
        <v>0</v>
      </c>
      <c r="M196">
        <f>SUMPRODUCT((DATOS!$G$2:$G$20000=CONFIG_METADATA!$B$4)*(DATOS!$D$2:$D$20000=A196)*(DATOS!$I$2:$I$20000=B196)*(DATOS!$K$2:$K$20000=2))</f>
        <v>0</v>
      </c>
      <c r="N196">
        <f>SUMPRODUCT((DATOS!$G$2:$G$20000=CONFIG_METADATA!$B$4)*(DATOS!$D$2:$D$20000=A196)*(DATOS!$I$2:$I$20000=B196)*(DATOS!$K$2:$K$20000=3))</f>
        <v>0</v>
      </c>
      <c r="O196">
        <f>SUMPRODUCT((DATOS!$G$2:$G$20000=CONFIG_METADATA!$B$4)*(DATOS!$D$2:$D$20000=A196)*(DATOS!$I$2:$I$20000=B196)*(DATOS!$K$2:$K$20000=4))</f>
        <v>0</v>
      </c>
      <c r="P196">
        <f>SUMPRODUCT((DATOS!$G$2:$G$20000=CONFIG_METADATA!$B$4)*(DATOS!$D$2:$D$20000=A196)*(DATOS!$I$2:$I$20000=B196)*(DATOS!$K$2:$K$20000=5))</f>
        <v>0</v>
      </c>
      <c r="Q196">
        <f>SUMPRODUCT((DATOS!$G$2:$G$20000=CONFIG_METADATA!$B$4)*(DATOS!$D$2:$D$20000=A196)*(DATOS!$I$2:$I$20000=B196)*(DATOS!$K$2:$K$20000=6))</f>
        <v>0</v>
      </c>
      <c r="R196">
        <f>SUMPRODUCT((DATOS!$G$2:$G$20000=CONFIG_METADATA!$B$4)*(DATOS!$D$2:$D$20000=A196)*(DATOS!$I$2:$I$20000=B196)*(DATOS!$K$2:$K$20000=7))</f>
        <v>0</v>
      </c>
      <c r="S196">
        <f>SUMPRODUCT((DATOS!$G$2:$G$20000=CONFIG_METADATA!$B$4)*(DATOS!$D$2:$D$20000=A196)*(DATOS!$I$2:$I$20000=B196)*(DATOS!$K$2:$K$20000=8))</f>
        <v>0</v>
      </c>
      <c r="T196">
        <f>SUMPRODUCT((DATOS!$G$2:$G$20000=CONFIG_METADATA!$B$4)*(DATOS!$D$2:$D$20000=A196)*(DATOS!$I$2:$I$20000=B196)*(DATOS!$K$2:$K$20000=9))</f>
        <v>0</v>
      </c>
      <c r="U196">
        <f>SUMPRODUCT((DATOS!$G$2:$G$20000=CONFIG_METADATA!$B$4)*(DATOS!$D$2:$D$20000=A196)*(DATOS!$I$2:$I$20000=B196)*(DATOS!$K$2:$K$20000=10))</f>
        <v>0</v>
      </c>
    </row>
    <row r="197" spans="1:21" x14ac:dyDescent="0.2">
      <c r="A197" t="s">
        <v>83</v>
      </c>
      <c r="B197" t="s">
        <v>17</v>
      </c>
      <c r="C197" t="s">
        <v>12</v>
      </c>
      <c r="D197">
        <f>SUMPRODUCT((DATOS!$G$2:$G$20000=CONFIG_METADATA!$B$4)*(DATOS!$D$2:$D$20000=A197)*(DATOS!$I$2:$I$20000=B197))</f>
        <v>0</v>
      </c>
      <c r="E197" s="10" t="str">
        <f>IFERROR(SUMPRODUCT((DATOS!$G$2:$G$20000=CONFIG_METADATA!$B$4)*(DATOS!$D$2:$D$20000=A197)*(DATOS!$I$2:$I$20000=B197)*(DATOS!$K$2:$K$20000))/D197,"—")</f>
        <v>—</v>
      </c>
      <c r="F197" s="10" t="str" cm="1">
        <f t="array" ref="F197">IFERROR(_xlfn.STDEV.P(_xlfn._xlws.FILTER(DATOS!$K$2:$K$20000,(DATOS!$G$2:$G$20000=CONFIG_METADATA!$B$4)*(DATOS!$D$2:$D$20000=A197)*(DATOS!$I$2:$I$20000=B197))),"—")</f>
        <v>—</v>
      </c>
      <c r="G197" t="str" cm="1">
        <f t="array" ref="G197">IFERROR(_xlfn.MODE.SNGL(_xlfn._xlws.FILTER(DATOS!$K$2:$K$20000,(DATOS!$G$2:$G$20000=CONFIG_METADATA!$B$4)*(DATOS!$D$2:$D$20000=A197)*(DATOS!$I$2:$I$20000=B197))),"—")</f>
        <v>—</v>
      </c>
      <c r="H197" s="11" t="str">
        <f>IFERROR(SUMPRODUCT((DATOS!$G$2:$G$20000=CONFIG_METADATA!$B$4)*(DATOS!$D$2:$D$20000=A197)*(DATOS!$I$2:$I$20000=B197)*(DATOS!$L$2:$L$20000="S"))/D197,"—")</f>
        <v>—</v>
      </c>
      <c r="I197" s="11" t="str">
        <f>IFERROR(SUMPRODUCT((DATOS!$G$2:$G$20000=CONFIG_METADATA!$B$4)*(DATOS!$D$2:$D$20000=A197)*(DATOS!$I$2:$I$20000=B197)*(DATOS!$L$2:$L$20000="N"))/D197,"—")</f>
        <v>—</v>
      </c>
      <c r="J197" t="str" cm="1">
        <f t="array" ref="J197">IFERROR(_xlfn.MODE.SNGL(_xlfn._xlws.FILTER(DATOS!$K$2:$K$20000,(DATOS!$G$2:$G$20000=CONFIG_METADATA!$B$4)*(DATOS!$D$2:$D$20000=A197)*(DATOS!$I$2:$I$20000=B197)*(DATOS!$L$2:$L$20000="S"))),"—")</f>
        <v>—</v>
      </c>
      <c r="K197" t="str" cm="1">
        <f t="array" ref="K197">IFERROR(_xlfn.MODE.SNGL(_xlfn._xlws.FILTER(DATOS!$K$2:$K$20000,(DATOS!$G$2:$G$20000=CONFIG_METADATA!$B$4)*(DATOS!$D$2:$D$20000=A197)*(DATOS!$I$2:$I$20000=B197)*(DATOS!$L$2:$L$20000="N"))),"—")</f>
        <v>—</v>
      </c>
      <c r="L197">
        <f>SUMPRODUCT((DATOS!$G$2:$G$20000=CONFIG_METADATA!$B$4)*(DATOS!$D$2:$D$20000=A197)*(DATOS!$I$2:$I$20000=B197)*(DATOS!$K$2:$K$20000=1))</f>
        <v>0</v>
      </c>
      <c r="M197">
        <f>SUMPRODUCT((DATOS!$G$2:$G$20000=CONFIG_METADATA!$B$4)*(DATOS!$D$2:$D$20000=A197)*(DATOS!$I$2:$I$20000=B197)*(DATOS!$K$2:$K$20000=2))</f>
        <v>0</v>
      </c>
      <c r="N197">
        <f>SUMPRODUCT((DATOS!$G$2:$G$20000=CONFIG_METADATA!$B$4)*(DATOS!$D$2:$D$20000=A197)*(DATOS!$I$2:$I$20000=B197)*(DATOS!$K$2:$K$20000=3))</f>
        <v>0</v>
      </c>
      <c r="O197">
        <f>SUMPRODUCT((DATOS!$G$2:$G$20000=CONFIG_METADATA!$B$4)*(DATOS!$D$2:$D$20000=A197)*(DATOS!$I$2:$I$20000=B197)*(DATOS!$K$2:$K$20000=4))</f>
        <v>0</v>
      </c>
      <c r="P197">
        <f>SUMPRODUCT((DATOS!$G$2:$G$20000=CONFIG_METADATA!$B$4)*(DATOS!$D$2:$D$20000=A197)*(DATOS!$I$2:$I$20000=B197)*(DATOS!$K$2:$K$20000=5))</f>
        <v>0</v>
      </c>
      <c r="Q197">
        <f>SUMPRODUCT((DATOS!$G$2:$G$20000=CONFIG_METADATA!$B$4)*(DATOS!$D$2:$D$20000=A197)*(DATOS!$I$2:$I$20000=B197)*(DATOS!$K$2:$K$20000=6))</f>
        <v>0</v>
      </c>
      <c r="R197">
        <f>SUMPRODUCT((DATOS!$G$2:$G$20000=CONFIG_METADATA!$B$4)*(DATOS!$D$2:$D$20000=A197)*(DATOS!$I$2:$I$20000=B197)*(DATOS!$K$2:$K$20000=7))</f>
        <v>0</v>
      </c>
      <c r="S197">
        <f>SUMPRODUCT((DATOS!$G$2:$G$20000=CONFIG_METADATA!$B$4)*(DATOS!$D$2:$D$20000=A197)*(DATOS!$I$2:$I$20000=B197)*(DATOS!$K$2:$K$20000=8))</f>
        <v>0</v>
      </c>
      <c r="T197">
        <f>SUMPRODUCT((DATOS!$G$2:$G$20000=CONFIG_METADATA!$B$4)*(DATOS!$D$2:$D$20000=A197)*(DATOS!$I$2:$I$20000=B197)*(DATOS!$K$2:$K$20000=9))</f>
        <v>0</v>
      </c>
      <c r="U197">
        <f>SUMPRODUCT((DATOS!$G$2:$G$20000=CONFIG_METADATA!$B$4)*(DATOS!$D$2:$D$20000=A197)*(DATOS!$I$2:$I$20000=B197)*(DATOS!$K$2:$K$20000=10))</f>
        <v>0</v>
      </c>
    </row>
    <row r="198" spans="1:21" x14ac:dyDescent="0.2">
      <c r="A198" t="s">
        <v>83</v>
      </c>
      <c r="B198" t="s">
        <v>19</v>
      </c>
      <c r="C198" t="s">
        <v>21</v>
      </c>
      <c r="D198">
        <f>SUMPRODUCT((DATOS!$G$2:$G$20000=CONFIG_METADATA!$B$4)*(DATOS!$D$2:$D$20000=A198)*(DATOS!$I$2:$I$20000=B198))</f>
        <v>0</v>
      </c>
      <c r="E198" s="10" t="str">
        <f>IFERROR(SUMPRODUCT((DATOS!$G$2:$G$20000=CONFIG_METADATA!$B$4)*(DATOS!$D$2:$D$20000=A198)*(DATOS!$I$2:$I$20000=B198)*(DATOS!$K$2:$K$20000))/D198,"—")</f>
        <v>—</v>
      </c>
      <c r="F198" s="10" t="str" cm="1">
        <f t="array" ref="F198">IFERROR(_xlfn.STDEV.P(_xlfn._xlws.FILTER(DATOS!$K$2:$K$20000,(DATOS!$G$2:$G$20000=CONFIG_METADATA!$B$4)*(DATOS!$D$2:$D$20000=A198)*(DATOS!$I$2:$I$20000=B198))),"—")</f>
        <v>—</v>
      </c>
      <c r="G198" t="str" cm="1">
        <f t="array" ref="G198">IFERROR(_xlfn.MODE.SNGL(_xlfn._xlws.FILTER(DATOS!$K$2:$K$20000,(DATOS!$G$2:$G$20000=CONFIG_METADATA!$B$4)*(DATOS!$D$2:$D$20000=A198)*(DATOS!$I$2:$I$20000=B198))),"—")</f>
        <v>—</v>
      </c>
      <c r="H198" s="11" t="str">
        <f>IFERROR(SUMPRODUCT((DATOS!$G$2:$G$20000=CONFIG_METADATA!$B$4)*(DATOS!$D$2:$D$20000=A198)*(DATOS!$I$2:$I$20000=B198)*(DATOS!$L$2:$L$20000="S"))/D198,"—")</f>
        <v>—</v>
      </c>
      <c r="I198" s="11" t="str">
        <f>IFERROR(SUMPRODUCT((DATOS!$G$2:$G$20000=CONFIG_METADATA!$B$4)*(DATOS!$D$2:$D$20000=A198)*(DATOS!$I$2:$I$20000=B198)*(DATOS!$L$2:$L$20000="N"))/D198,"—")</f>
        <v>—</v>
      </c>
      <c r="J198" t="str" cm="1">
        <f t="array" ref="J198">IFERROR(_xlfn.MODE.SNGL(_xlfn._xlws.FILTER(DATOS!$K$2:$K$20000,(DATOS!$G$2:$G$20000=CONFIG_METADATA!$B$4)*(DATOS!$D$2:$D$20000=A198)*(DATOS!$I$2:$I$20000=B198)*(DATOS!$L$2:$L$20000="S"))),"—")</f>
        <v>—</v>
      </c>
      <c r="K198" t="str" cm="1">
        <f t="array" ref="K198">IFERROR(_xlfn.MODE.SNGL(_xlfn._xlws.FILTER(DATOS!$K$2:$K$20000,(DATOS!$G$2:$G$20000=CONFIG_METADATA!$B$4)*(DATOS!$D$2:$D$20000=A198)*(DATOS!$I$2:$I$20000=B198)*(DATOS!$L$2:$L$20000="N"))),"—")</f>
        <v>—</v>
      </c>
      <c r="L198">
        <f>SUMPRODUCT((DATOS!$G$2:$G$20000=CONFIG_METADATA!$B$4)*(DATOS!$D$2:$D$20000=A198)*(DATOS!$I$2:$I$20000=B198)*(DATOS!$K$2:$K$20000=1))</f>
        <v>0</v>
      </c>
      <c r="M198">
        <f>SUMPRODUCT((DATOS!$G$2:$G$20000=CONFIG_METADATA!$B$4)*(DATOS!$D$2:$D$20000=A198)*(DATOS!$I$2:$I$20000=B198)*(DATOS!$K$2:$K$20000=2))</f>
        <v>0</v>
      </c>
      <c r="N198">
        <f>SUMPRODUCT((DATOS!$G$2:$G$20000=CONFIG_METADATA!$B$4)*(DATOS!$D$2:$D$20000=A198)*(DATOS!$I$2:$I$20000=B198)*(DATOS!$K$2:$K$20000=3))</f>
        <v>0</v>
      </c>
      <c r="O198">
        <f>SUMPRODUCT((DATOS!$G$2:$G$20000=CONFIG_METADATA!$B$4)*(DATOS!$D$2:$D$20000=A198)*(DATOS!$I$2:$I$20000=B198)*(DATOS!$K$2:$K$20000=4))</f>
        <v>0</v>
      </c>
      <c r="P198">
        <f>SUMPRODUCT((DATOS!$G$2:$G$20000=CONFIG_METADATA!$B$4)*(DATOS!$D$2:$D$20000=A198)*(DATOS!$I$2:$I$20000=B198)*(DATOS!$K$2:$K$20000=5))</f>
        <v>0</v>
      </c>
      <c r="Q198">
        <f>SUMPRODUCT((DATOS!$G$2:$G$20000=CONFIG_METADATA!$B$4)*(DATOS!$D$2:$D$20000=A198)*(DATOS!$I$2:$I$20000=B198)*(DATOS!$K$2:$K$20000=6))</f>
        <v>0</v>
      </c>
      <c r="R198">
        <f>SUMPRODUCT((DATOS!$G$2:$G$20000=CONFIG_METADATA!$B$4)*(DATOS!$D$2:$D$20000=A198)*(DATOS!$I$2:$I$20000=B198)*(DATOS!$K$2:$K$20000=7))</f>
        <v>0</v>
      </c>
      <c r="S198">
        <f>SUMPRODUCT((DATOS!$G$2:$G$20000=CONFIG_METADATA!$B$4)*(DATOS!$D$2:$D$20000=A198)*(DATOS!$I$2:$I$20000=B198)*(DATOS!$K$2:$K$20000=8))</f>
        <v>0</v>
      </c>
      <c r="T198">
        <f>SUMPRODUCT((DATOS!$G$2:$G$20000=CONFIG_METADATA!$B$4)*(DATOS!$D$2:$D$20000=A198)*(DATOS!$I$2:$I$20000=B198)*(DATOS!$K$2:$K$20000=9))</f>
        <v>0</v>
      </c>
      <c r="U198">
        <f>SUMPRODUCT((DATOS!$G$2:$G$20000=CONFIG_METADATA!$B$4)*(DATOS!$D$2:$D$20000=A198)*(DATOS!$I$2:$I$20000=B198)*(DATOS!$K$2:$K$20000=10))</f>
        <v>0</v>
      </c>
    </row>
    <row r="199" spans="1:21" x14ac:dyDescent="0.2">
      <c r="A199" t="s">
        <v>83</v>
      </c>
      <c r="B199" t="s">
        <v>22</v>
      </c>
      <c r="C199" t="s">
        <v>21</v>
      </c>
      <c r="D199">
        <f>SUMPRODUCT((DATOS!$G$2:$G$20000=CONFIG_METADATA!$B$4)*(DATOS!$D$2:$D$20000=A199)*(DATOS!$I$2:$I$20000=B199))</f>
        <v>0</v>
      </c>
      <c r="E199" s="10" t="str">
        <f>IFERROR(SUMPRODUCT((DATOS!$G$2:$G$20000=CONFIG_METADATA!$B$4)*(DATOS!$D$2:$D$20000=A199)*(DATOS!$I$2:$I$20000=B199)*(DATOS!$K$2:$K$20000))/D199,"—")</f>
        <v>—</v>
      </c>
      <c r="F199" s="10" t="str" cm="1">
        <f t="array" ref="F199">IFERROR(_xlfn.STDEV.P(_xlfn._xlws.FILTER(DATOS!$K$2:$K$20000,(DATOS!$G$2:$G$20000=CONFIG_METADATA!$B$4)*(DATOS!$D$2:$D$20000=A199)*(DATOS!$I$2:$I$20000=B199))),"—")</f>
        <v>—</v>
      </c>
      <c r="G199" t="str" cm="1">
        <f t="array" ref="G199">IFERROR(_xlfn.MODE.SNGL(_xlfn._xlws.FILTER(DATOS!$K$2:$K$20000,(DATOS!$G$2:$G$20000=CONFIG_METADATA!$B$4)*(DATOS!$D$2:$D$20000=A199)*(DATOS!$I$2:$I$20000=B199))),"—")</f>
        <v>—</v>
      </c>
      <c r="H199" s="11" t="str">
        <f>IFERROR(SUMPRODUCT((DATOS!$G$2:$G$20000=CONFIG_METADATA!$B$4)*(DATOS!$D$2:$D$20000=A199)*(DATOS!$I$2:$I$20000=B199)*(DATOS!$L$2:$L$20000="S"))/D199,"—")</f>
        <v>—</v>
      </c>
      <c r="I199" s="11" t="str">
        <f>IFERROR(SUMPRODUCT((DATOS!$G$2:$G$20000=CONFIG_METADATA!$B$4)*(DATOS!$D$2:$D$20000=A199)*(DATOS!$I$2:$I$20000=B199)*(DATOS!$L$2:$L$20000="N"))/D199,"—")</f>
        <v>—</v>
      </c>
      <c r="J199" t="str" cm="1">
        <f t="array" ref="J199">IFERROR(_xlfn.MODE.SNGL(_xlfn._xlws.FILTER(DATOS!$K$2:$K$20000,(DATOS!$G$2:$G$20000=CONFIG_METADATA!$B$4)*(DATOS!$D$2:$D$20000=A199)*(DATOS!$I$2:$I$20000=B199)*(DATOS!$L$2:$L$20000="S"))),"—")</f>
        <v>—</v>
      </c>
      <c r="K199" t="str" cm="1">
        <f t="array" ref="K199">IFERROR(_xlfn.MODE.SNGL(_xlfn._xlws.FILTER(DATOS!$K$2:$K$20000,(DATOS!$G$2:$G$20000=CONFIG_METADATA!$B$4)*(DATOS!$D$2:$D$20000=A199)*(DATOS!$I$2:$I$20000=B199)*(DATOS!$L$2:$L$20000="N"))),"—")</f>
        <v>—</v>
      </c>
      <c r="L199">
        <f>SUMPRODUCT((DATOS!$G$2:$G$20000=CONFIG_METADATA!$B$4)*(DATOS!$D$2:$D$20000=A199)*(DATOS!$I$2:$I$20000=B199)*(DATOS!$K$2:$K$20000=1))</f>
        <v>0</v>
      </c>
      <c r="M199">
        <f>SUMPRODUCT((DATOS!$G$2:$G$20000=CONFIG_METADATA!$B$4)*(DATOS!$D$2:$D$20000=A199)*(DATOS!$I$2:$I$20000=B199)*(DATOS!$K$2:$K$20000=2))</f>
        <v>0</v>
      </c>
      <c r="N199">
        <f>SUMPRODUCT((DATOS!$G$2:$G$20000=CONFIG_METADATA!$B$4)*(DATOS!$D$2:$D$20000=A199)*(DATOS!$I$2:$I$20000=B199)*(DATOS!$K$2:$K$20000=3))</f>
        <v>0</v>
      </c>
      <c r="O199">
        <f>SUMPRODUCT((DATOS!$G$2:$G$20000=CONFIG_METADATA!$B$4)*(DATOS!$D$2:$D$20000=A199)*(DATOS!$I$2:$I$20000=B199)*(DATOS!$K$2:$K$20000=4))</f>
        <v>0</v>
      </c>
      <c r="P199">
        <f>SUMPRODUCT((DATOS!$G$2:$G$20000=CONFIG_METADATA!$B$4)*(DATOS!$D$2:$D$20000=A199)*(DATOS!$I$2:$I$20000=B199)*(DATOS!$K$2:$K$20000=5))</f>
        <v>0</v>
      </c>
      <c r="Q199">
        <f>SUMPRODUCT((DATOS!$G$2:$G$20000=CONFIG_METADATA!$B$4)*(DATOS!$D$2:$D$20000=A199)*(DATOS!$I$2:$I$20000=B199)*(DATOS!$K$2:$K$20000=6))</f>
        <v>0</v>
      </c>
      <c r="R199">
        <f>SUMPRODUCT((DATOS!$G$2:$G$20000=CONFIG_METADATA!$B$4)*(DATOS!$D$2:$D$20000=A199)*(DATOS!$I$2:$I$20000=B199)*(DATOS!$K$2:$K$20000=7))</f>
        <v>0</v>
      </c>
      <c r="S199">
        <f>SUMPRODUCT((DATOS!$G$2:$G$20000=CONFIG_METADATA!$B$4)*(DATOS!$D$2:$D$20000=A199)*(DATOS!$I$2:$I$20000=B199)*(DATOS!$K$2:$K$20000=8))</f>
        <v>0</v>
      </c>
      <c r="T199">
        <f>SUMPRODUCT((DATOS!$G$2:$G$20000=CONFIG_METADATA!$B$4)*(DATOS!$D$2:$D$20000=A199)*(DATOS!$I$2:$I$20000=B199)*(DATOS!$K$2:$K$20000=9))</f>
        <v>0</v>
      </c>
      <c r="U199">
        <f>SUMPRODUCT((DATOS!$G$2:$G$20000=CONFIG_METADATA!$B$4)*(DATOS!$D$2:$D$20000=A199)*(DATOS!$I$2:$I$20000=B199)*(DATOS!$K$2:$K$20000=10))</f>
        <v>0</v>
      </c>
    </row>
    <row r="200" spans="1:21" x14ac:dyDescent="0.2">
      <c r="A200" t="s">
        <v>83</v>
      </c>
      <c r="B200" t="s">
        <v>54</v>
      </c>
      <c r="C200" t="s">
        <v>21</v>
      </c>
      <c r="D200">
        <f>SUMPRODUCT((DATOS!$G$2:$G$20000=CONFIG_METADATA!$B$4)*(DATOS!$D$2:$D$20000=A200)*(DATOS!$I$2:$I$20000=B200))</f>
        <v>0</v>
      </c>
      <c r="E200" s="10" t="str">
        <f>IFERROR(SUMPRODUCT((DATOS!$G$2:$G$20000=CONFIG_METADATA!$B$4)*(DATOS!$D$2:$D$20000=A200)*(DATOS!$I$2:$I$20000=B200)*(DATOS!$K$2:$K$20000))/D200,"—")</f>
        <v>—</v>
      </c>
      <c r="F200" s="10" t="str" cm="1">
        <f t="array" ref="F200">IFERROR(_xlfn.STDEV.P(_xlfn._xlws.FILTER(DATOS!$K$2:$K$20000,(DATOS!$G$2:$G$20000=CONFIG_METADATA!$B$4)*(DATOS!$D$2:$D$20000=A200)*(DATOS!$I$2:$I$20000=B200))),"—")</f>
        <v>—</v>
      </c>
      <c r="G200" t="str" cm="1">
        <f t="array" ref="G200">IFERROR(_xlfn.MODE.SNGL(_xlfn._xlws.FILTER(DATOS!$K$2:$K$20000,(DATOS!$G$2:$G$20000=CONFIG_METADATA!$B$4)*(DATOS!$D$2:$D$20000=A200)*(DATOS!$I$2:$I$20000=B200))),"—")</f>
        <v>—</v>
      </c>
      <c r="H200" s="11" t="str">
        <f>IFERROR(SUMPRODUCT((DATOS!$G$2:$G$20000=CONFIG_METADATA!$B$4)*(DATOS!$D$2:$D$20000=A200)*(DATOS!$I$2:$I$20000=B200)*(DATOS!$L$2:$L$20000="S"))/D200,"—")</f>
        <v>—</v>
      </c>
      <c r="I200" s="11" t="str">
        <f>IFERROR(SUMPRODUCT((DATOS!$G$2:$G$20000=CONFIG_METADATA!$B$4)*(DATOS!$D$2:$D$20000=A200)*(DATOS!$I$2:$I$20000=B200)*(DATOS!$L$2:$L$20000="N"))/D200,"—")</f>
        <v>—</v>
      </c>
      <c r="J200" t="str" cm="1">
        <f t="array" ref="J200">IFERROR(_xlfn.MODE.SNGL(_xlfn._xlws.FILTER(DATOS!$K$2:$K$20000,(DATOS!$G$2:$G$20000=CONFIG_METADATA!$B$4)*(DATOS!$D$2:$D$20000=A200)*(DATOS!$I$2:$I$20000=B200)*(DATOS!$L$2:$L$20000="S"))),"—")</f>
        <v>—</v>
      </c>
      <c r="K200" t="str" cm="1">
        <f t="array" ref="K200">IFERROR(_xlfn.MODE.SNGL(_xlfn._xlws.FILTER(DATOS!$K$2:$K$20000,(DATOS!$G$2:$G$20000=CONFIG_METADATA!$B$4)*(DATOS!$D$2:$D$20000=A200)*(DATOS!$I$2:$I$20000=B200)*(DATOS!$L$2:$L$20000="N"))),"—")</f>
        <v>—</v>
      </c>
      <c r="L200">
        <f>SUMPRODUCT((DATOS!$G$2:$G$20000=CONFIG_METADATA!$B$4)*(DATOS!$D$2:$D$20000=A200)*(DATOS!$I$2:$I$20000=B200)*(DATOS!$K$2:$K$20000=1))</f>
        <v>0</v>
      </c>
      <c r="M200">
        <f>SUMPRODUCT((DATOS!$G$2:$G$20000=CONFIG_METADATA!$B$4)*(DATOS!$D$2:$D$20000=A200)*(DATOS!$I$2:$I$20000=B200)*(DATOS!$K$2:$K$20000=2))</f>
        <v>0</v>
      </c>
      <c r="N200">
        <f>SUMPRODUCT((DATOS!$G$2:$G$20000=CONFIG_METADATA!$B$4)*(DATOS!$D$2:$D$20000=A200)*(DATOS!$I$2:$I$20000=B200)*(DATOS!$K$2:$K$20000=3))</f>
        <v>0</v>
      </c>
      <c r="O200">
        <f>SUMPRODUCT((DATOS!$G$2:$G$20000=CONFIG_METADATA!$B$4)*(DATOS!$D$2:$D$20000=A200)*(DATOS!$I$2:$I$20000=B200)*(DATOS!$K$2:$K$20000=4))</f>
        <v>0</v>
      </c>
      <c r="P200">
        <f>SUMPRODUCT((DATOS!$G$2:$G$20000=CONFIG_METADATA!$B$4)*(DATOS!$D$2:$D$20000=A200)*(DATOS!$I$2:$I$20000=B200)*(DATOS!$K$2:$K$20000=5))</f>
        <v>0</v>
      </c>
      <c r="Q200">
        <f>SUMPRODUCT((DATOS!$G$2:$G$20000=CONFIG_METADATA!$B$4)*(DATOS!$D$2:$D$20000=A200)*(DATOS!$I$2:$I$20000=B200)*(DATOS!$K$2:$K$20000=6))</f>
        <v>0</v>
      </c>
      <c r="R200">
        <f>SUMPRODUCT((DATOS!$G$2:$G$20000=CONFIG_METADATA!$B$4)*(DATOS!$D$2:$D$20000=A200)*(DATOS!$I$2:$I$20000=B200)*(DATOS!$K$2:$K$20000=7))</f>
        <v>0</v>
      </c>
      <c r="S200">
        <f>SUMPRODUCT((DATOS!$G$2:$G$20000=CONFIG_METADATA!$B$4)*(DATOS!$D$2:$D$20000=A200)*(DATOS!$I$2:$I$20000=B200)*(DATOS!$K$2:$K$20000=8))</f>
        <v>0</v>
      </c>
      <c r="T200">
        <f>SUMPRODUCT((DATOS!$G$2:$G$20000=CONFIG_METADATA!$B$4)*(DATOS!$D$2:$D$20000=A200)*(DATOS!$I$2:$I$20000=B200)*(DATOS!$K$2:$K$20000=9))</f>
        <v>0</v>
      </c>
      <c r="U200">
        <f>SUMPRODUCT((DATOS!$G$2:$G$20000=CONFIG_METADATA!$B$4)*(DATOS!$D$2:$D$20000=A200)*(DATOS!$I$2:$I$20000=B200)*(DATOS!$K$2:$K$20000=10))</f>
        <v>0</v>
      </c>
    </row>
    <row r="201" spans="1:21" x14ac:dyDescent="0.2">
      <c r="A201" t="s">
        <v>83</v>
      </c>
      <c r="B201" t="s">
        <v>56</v>
      </c>
      <c r="C201" t="s">
        <v>21</v>
      </c>
      <c r="D201">
        <f>SUMPRODUCT((DATOS!$G$2:$G$20000=CONFIG_METADATA!$B$4)*(DATOS!$D$2:$D$20000=A201)*(DATOS!$I$2:$I$20000=B201))</f>
        <v>0</v>
      </c>
      <c r="E201" s="10" t="str">
        <f>IFERROR(SUMPRODUCT((DATOS!$G$2:$G$20000=CONFIG_METADATA!$B$4)*(DATOS!$D$2:$D$20000=A201)*(DATOS!$I$2:$I$20000=B201)*(DATOS!$K$2:$K$20000))/D201,"—")</f>
        <v>—</v>
      </c>
      <c r="F201" s="10" t="str" cm="1">
        <f t="array" ref="F201">IFERROR(_xlfn.STDEV.P(_xlfn._xlws.FILTER(DATOS!$K$2:$K$20000,(DATOS!$G$2:$G$20000=CONFIG_METADATA!$B$4)*(DATOS!$D$2:$D$20000=A201)*(DATOS!$I$2:$I$20000=B201))),"—")</f>
        <v>—</v>
      </c>
      <c r="G201" t="str" cm="1">
        <f t="array" ref="G201">IFERROR(_xlfn.MODE.SNGL(_xlfn._xlws.FILTER(DATOS!$K$2:$K$20000,(DATOS!$G$2:$G$20000=CONFIG_METADATA!$B$4)*(DATOS!$D$2:$D$20000=A201)*(DATOS!$I$2:$I$20000=B201))),"—")</f>
        <v>—</v>
      </c>
      <c r="H201" s="11" t="str">
        <f>IFERROR(SUMPRODUCT((DATOS!$G$2:$G$20000=CONFIG_METADATA!$B$4)*(DATOS!$D$2:$D$20000=A201)*(DATOS!$I$2:$I$20000=B201)*(DATOS!$L$2:$L$20000="S"))/D201,"—")</f>
        <v>—</v>
      </c>
      <c r="I201" s="11" t="str">
        <f>IFERROR(SUMPRODUCT((DATOS!$G$2:$G$20000=CONFIG_METADATA!$B$4)*(DATOS!$D$2:$D$20000=A201)*(DATOS!$I$2:$I$20000=B201)*(DATOS!$L$2:$L$20000="N"))/D201,"—")</f>
        <v>—</v>
      </c>
      <c r="J201" t="str" cm="1">
        <f t="array" ref="J201">IFERROR(_xlfn.MODE.SNGL(_xlfn._xlws.FILTER(DATOS!$K$2:$K$20000,(DATOS!$G$2:$G$20000=CONFIG_METADATA!$B$4)*(DATOS!$D$2:$D$20000=A201)*(DATOS!$I$2:$I$20000=B201)*(DATOS!$L$2:$L$20000="S"))),"—")</f>
        <v>—</v>
      </c>
      <c r="K201" t="str" cm="1">
        <f t="array" ref="K201">IFERROR(_xlfn.MODE.SNGL(_xlfn._xlws.FILTER(DATOS!$K$2:$K$20000,(DATOS!$G$2:$G$20000=CONFIG_METADATA!$B$4)*(DATOS!$D$2:$D$20000=A201)*(DATOS!$I$2:$I$20000=B201)*(DATOS!$L$2:$L$20000="N"))),"—")</f>
        <v>—</v>
      </c>
      <c r="L201">
        <f>SUMPRODUCT((DATOS!$G$2:$G$20000=CONFIG_METADATA!$B$4)*(DATOS!$D$2:$D$20000=A201)*(DATOS!$I$2:$I$20000=B201)*(DATOS!$K$2:$K$20000=1))</f>
        <v>0</v>
      </c>
      <c r="M201">
        <f>SUMPRODUCT((DATOS!$G$2:$G$20000=CONFIG_METADATA!$B$4)*(DATOS!$D$2:$D$20000=A201)*(DATOS!$I$2:$I$20000=B201)*(DATOS!$K$2:$K$20000=2))</f>
        <v>0</v>
      </c>
      <c r="N201">
        <f>SUMPRODUCT((DATOS!$G$2:$G$20000=CONFIG_METADATA!$B$4)*(DATOS!$D$2:$D$20000=A201)*(DATOS!$I$2:$I$20000=B201)*(DATOS!$K$2:$K$20000=3))</f>
        <v>0</v>
      </c>
      <c r="O201">
        <f>SUMPRODUCT((DATOS!$G$2:$G$20000=CONFIG_METADATA!$B$4)*(DATOS!$D$2:$D$20000=A201)*(DATOS!$I$2:$I$20000=B201)*(DATOS!$K$2:$K$20000=4))</f>
        <v>0</v>
      </c>
      <c r="P201">
        <f>SUMPRODUCT((DATOS!$G$2:$G$20000=CONFIG_METADATA!$B$4)*(DATOS!$D$2:$D$20000=A201)*(DATOS!$I$2:$I$20000=B201)*(DATOS!$K$2:$K$20000=5))</f>
        <v>0</v>
      </c>
      <c r="Q201">
        <f>SUMPRODUCT((DATOS!$G$2:$G$20000=CONFIG_METADATA!$B$4)*(DATOS!$D$2:$D$20000=A201)*(DATOS!$I$2:$I$20000=B201)*(DATOS!$K$2:$K$20000=6))</f>
        <v>0</v>
      </c>
      <c r="R201">
        <f>SUMPRODUCT((DATOS!$G$2:$G$20000=CONFIG_METADATA!$B$4)*(DATOS!$D$2:$D$20000=A201)*(DATOS!$I$2:$I$20000=B201)*(DATOS!$K$2:$K$20000=7))</f>
        <v>0</v>
      </c>
      <c r="S201">
        <f>SUMPRODUCT((DATOS!$G$2:$G$20000=CONFIG_METADATA!$B$4)*(DATOS!$D$2:$D$20000=A201)*(DATOS!$I$2:$I$20000=B201)*(DATOS!$K$2:$K$20000=8))</f>
        <v>0</v>
      </c>
      <c r="T201">
        <f>SUMPRODUCT((DATOS!$G$2:$G$20000=CONFIG_METADATA!$B$4)*(DATOS!$D$2:$D$20000=A201)*(DATOS!$I$2:$I$20000=B201)*(DATOS!$K$2:$K$20000=9))</f>
        <v>0</v>
      </c>
      <c r="U201">
        <f>SUMPRODUCT((DATOS!$G$2:$G$20000=CONFIG_METADATA!$B$4)*(DATOS!$D$2:$D$20000=A201)*(DATOS!$I$2:$I$20000=B201)*(DATOS!$K$2:$K$20000=10))</f>
        <v>0</v>
      </c>
    </row>
    <row r="202" spans="1:21" x14ac:dyDescent="0.2">
      <c r="A202" t="s">
        <v>83</v>
      </c>
      <c r="B202" t="s">
        <v>58</v>
      </c>
      <c r="C202" t="s">
        <v>21</v>
      </c>
      <c r="D202">
        <f>SUMPRODUCT((DATOS!$G$2:$G$20000=CONFIG_METADATA!$B$4)*(DATOS!$D$2:$D$20000=A202)*(DATOS!$I$2:$I$20000=B202))</f>
        <v>0</v>
      </c>
      <c r="E202" s="10" t="str">
        <f>IFERROR(SUMPRODUCT((DATOS!$G$2:$G$20000=CONFIG_METADATA!$B$4)*(DATOS!$D$2:$D$20000=A202)*(DATOS!$I$2:$I$20000=B202)*(DATOS!$K$2:$K$20000))/D202,"—")</f>
        <v>—</v>
      </c>
      <c r="F202" s="10" t="str" cm="1">
        <f t="array" ref="F202">IFERROR(_xlfn.STDEV.P(_xlfn._xlws.FILTER(DATOS!$K$2:$K$20000,(DATOS!$G$2:$G$20000=CONFIG_METADATA!$B$4)*(DATOS!$D$2:$D$20000=A202)*(DATOS!$I$2:$I$20000=B202))),"—")</f>
        <v>—</v>
      </c>
      <c r="G202" t="str" cm="1">
        <f t="array" ref="G202">IFERROR(_xlfn.MODE.SNGL(_xlfn._xlws.FILTER(DATOS!$K$2:$K$20000,(DATOS!$G$2:$G$20000=CONFIG_METADATA!$B$4)*(DATOS!$D$2:$D$20000=A202)*(DATOS!$I$2:$I$20000=B202))),"—")</f>
        <v>—</v>
      </c>
      <c r="H202" s="11" t="str">
        <f>IFERROR(SUMPRODUCT((DATOS!$G$2:$G$20000=CONFIG_METADATA!$B$4)*(DATOS!$D$2:$D$20000=A202)*(DATOS!$I$2:$I$20000=B202)*(DATOS!$L$2:$L$20000="S"))/D202,"—")</f>
        <v>—</v>
      </c>
      <c r="I202" s="11" t="str">
        <f>IFERROR(SUMPRODUCT((DATOS!$G$2:$G$20000=CONFIG_METADATA!$B$4)*(DATOS!$D$2:$D$20000=A202)*(DATOS!$I$2:$I$20000=B202)*(DATOS!$L$2:$L$20000="N"))/D202,"—")</f>
        <v>—</v>
      </c>
      <c r="J202" t="str" cm="1">
        <f t="array" ref="J202">IFERROR(_xlfn.MODE.SNGL(_xlfn._xlws.FILTER(DATOS!$K$2:$K$20000,(DATOS!$G$2:$G$20000=CONFIG_METADATA!$B$4)*(DATOS!$D$2:$D$20000=A202)*(DATOS!$I$2:$I$20000=B202)*(DATOS!$L$2:$L$20000="S"))),"—")</f>
        <v>—</v>
      </c>
      <c r="K202" t="str" cm="1">
        <f t="array" ref="K202">IFERROR(_xlfn.MODE.SNGL(_xlfn._xlws.FILTER(DATOS!$K$2:$K$20000,(DATOS!$G$2:$G$20000=CONFIG_METADATA!$B$4)*(DATOS!$D$2:$D$20000=A202)*(DATOS!$I$2:$I$20000=B202)*(DATOS!$L$2:$L$20000="N"))),"—")</f>
        <v>—</v>
      </c>
      <c r="L202">
        <f>SUMPRODUCT((DATOS!$G$2:$G$20000=CONFIG_METADATA!$B$4)*(DATOS!$D$2:$D$20000=A202)*(DATOS!$I$2:$I$20000=B202)*(DATOS!$K$2:$K$20000=1))</f>
        <v>0</v>
      </c>
      <c r="M202">
        <f>SUMPRODUCT((DATOS!$G$2:$G$20000=CONFIG_METADATA!$B$4)*(DATOS!$D$2:$D$20000=A202)*(DATOS!$I$2:$I$20000=B202)*(DATOS!$K$2:$K$20000=2))</f>
        <v>0</v>
      </c>
      <c r="N202">
        <f>SUMPRODUCT((DATOS!$G$2:$G$20000=CONFIG_METADATA!$B$4)*(DATOS!$D$2:$D$20000=A202)*(DATOS!$I$2:$I$20000=B202)*(DATOS!$K$2:$K$20000=3))</f>
        <v>0</v>
      </c>
      <c r="O202">
        <f>SUMPRODUCT((DATOS!$G$2:$G$20000=CONFIG_METADATA!$B$4)*(DATOS!$D$2:$D$20000=A202)*(DATOS!$I$2:$I$20000=B202)*(DATOS!$K$2:$K$20000=4))</f>
        <v>0</v>
      </c>
      <c r="P202">
        <f>SUMPRODUCT((DATOS!$G$2:$G$20000=CONFIG_METADATA!$B$4)*(DATOS!$D$2:$D$20000=A202)*(DATOS!$I$2:$I$20000=B202)*(DATOS!$K$2:$K$20000=5))</f>
        <v>0</v>
      </c>
      <c r="Q202">
        <f>SUMPRODUCT((DATOS!$G$2:$G$20000=CONFIG_METADATA!$B$4)*(DATOS!$D$2:$D$20000=A202)*(DATOS!$I$2:$I$20000=B202)*(DATOS!$K$2:$K$20000=6))</f>
        <v>0</v>
      </c>
      <c r="R202">
        <f>SUMPRODUCT((DATOS!$G$2:$G$20000=CONFIG_METADATA!$B$4)*(DATOS!$D$2:$D$20000=A202)*(DATOS!$I$2:$I$20000=B202)*(DATOS!$K$2:$K$20000=7))</f>
        <v>0</v>
      </c>
      <c r="S202">
        <f>SUMPRODUCT((DATOS!$G$2:$G$20000=CONFIG_METADATA!$B$4)*(DATOS!$D$2:$D$20000=A202)*(DATOS!$I$2:$I$20000=B202)*(DATOS!$K$2:$K$20000=8))</f>
        <v>0</v>
      </c>
      <c r="T202">
        <f>SUMPRODUCT((DATOS!$G$2:$G$20000=CONFIG_METADATA!$B$4)*(DATOS!$D$2:$D$20000=A202)*(DATOS!$I$2:$I$20000=B202)*(DATOS!$K$2:$K$20000=9))</f>
        <v>0</v>
      </c>
      <c r="U202">
        <f>SUMPRODUCT((DATOS!$G$2:$G$20000=CONFIG_METADATA!$B$4)*(DATOS!$D$2:$D$20000=A202)*(DATOS!$I$2:$I$20000=B202)*(DATOS!$K$2:$K$20000=10))</f>
        <v>0</v>
      </c>
    </row>
    <row r="203" spans="1:21" x14ac:dyDescent="0.2">
      <c r="A203" t="s">
        <v>83</v>
      </c>
      <c r="B203" t="s">
        <v>24</v>
      </c>
      <c r="C203" t="s">
        <v>25</v>
      </c>
      <c r="D203">
        <f>SUMPRODUCT((DATOS!$G$2:$G$20000=CONFIG_METADATA!$B$4)*(DATOS!$D$2:$D$20000=A203)*(DATOS!$I$2:$I$20000=B203))</f>
        <v>0</v>
      </c>
      <c r="E203" s="10" t="str">
        <f>IFERROR(SUMPRODUCT((DATOS!$G$2:$G$20000=CONFIG_METADATA!$B$4)*(DATOS!$D$2:$D$20000=A203)*(DATOS!$I$2:$I$20000=B203)*(DATOS!$K$2:$K$20000))/D203,"—")</f>
        <v>—</v>
      </c>
      <c r="F203" s="10" t="str" cm="1">
        <f t="array" ref="F203">IFERROR(_xlfn.STDEV.P(_xlfn._xlws.FILTER(DATOS!$K$2:$K$20000,(DATOS!$G$2:$G$20000=CONFIG_METADATA!$B$4)*(DATOS!$D$2:$D$20000=A203)*(DATOS!$I$2:$I$20000=B203))),"—")</f>
        <v>—</v>
      </c>
      <c r="G203" t="str" cm="1">
        <f t="array" ref="G203">IFERROR(_xlfn.MODE.SNGL(_xlfn._xlws.FILTER(DATOS!$K$2:$K$20000,(DATOS!$G$2:$G$20000=CONFIG_METADATA!$B$4)*(DATOS!$D$2:$D$20000=A203)*(DATOS!$I$2:$I$20000=B203))),"—")</f>
        <v>—</v>
      </c>
      <c r="H203" s="11" t="str">
        <f>IFERROR(SUMPRODUCT((DATOS!$G$2:$G$20000=CONFIG_METADATA!$B$4)*(DATOS!$D$2:$D$20000=A203)*(DATOS!$I$2:$I$20000=B203)*(DATOS!$L$2:$L$20000="S"))/D203,"—")</f>
        <v>—</v>
      </c>
      <c r="I203" s="11" t="str">
        <f>IFERROR(SUMPRODUCT((DATOS!$G$2:$G$20000=CONFIG_METADATA!$B$4)*(DATOS!$D$2:$D$20000=A203)*(DATOS!$I$2:$I$20000=B203)*(DATOS!$L$2:$L$20000="N"))/D203,"—")</f>
        <v>—</v>
      </c>
      <c r="J203" t="str" cm="1">
        <f t="array" ref="J203">IFERROR(_xlfn.MODE.SNGL(_xlfn._xlws.FILTER(DATOS!$K$2:$K$20000,(DATOS!$G$2:$G$20000=CONFIG_METADATA!$B$4)*(DATOS!$D$2:$D$20000=A203)*(DATOS!$I$2:$I$20000=B203)*(DATOS!$L$2:$L$20000="S"))),"—")</f>
        <v>—</v>
      </c>
      <c r="K203" t="str" cm="1">
        <f t="array" ref="K203">IFERROR(_xlfn.MODE.SNGL(_xlfn._xlws.FILTER(DATOS!$K$2:$K$20000,(DATOS!$G$2:$G$20000=CONFIG_METADATA!$B$4)*(DATOS!$D$2:$D$20000=A203)*(DATOS!$I$2:$I$20000=B203)*(DATOS!$L$2:$L$20000="N"))),"—")</f>
        <v>—</v>
      </c>
      <c r="L203">
        <f>SUMPRODUCT((DATOS!$G$2:$G$20000=CONFIG_METADATA!$B$4)*(DATOS!$D$2:$D$20000=A203)*(DATOS!$I$2:$I$20000=B203)*(DATOS!$K$2:$K$20000=1))</f>
        <v>0</v>
      </c>
      <c r="M203">
        <f>SUMPRODUCT((DATOS!$G$2:$G$20000=CONFIG_METADATA!$B$4)*(DATOS!$D$2:$D$20000=A203)*(DATOS!$I$2:$I$20000=B203)*(DATOS!$K$2:$K$20000=2))</f>
        <v>0</v>
      </c>
      <c r="N203">
        <f>SUMPRODUCT((DATOS!$G$2:$G$20000=CONFIG_METADATA!$B$4)*(DATOS!$D$2:$D$20000=A203)*(DATOS!$I$2:$I$20000=B203)*(DATOS!$K$2:$K$20000=3))</f>
        <v>0</v>
      </c>
      <c r="O203">
        <f>SUMPRODUCT((DATOS!$G$2:$G$20000=CONFIG_METADATA!$B$4)*(DATOS!$D$2:$D$20000=A203)*(DATOS!$I$2:$I$20000=B203)*(DATOS!$K$2:$K$20000=4))</f>
        <v>0</v>
      </c>
      <c r="P203">
        <f>SUMPRODUCT((DATOS!$G$2:$G$20000=CONFIG_METADATA!$B$4)*(DATOS!$D$2:$D$20000=A203)*(DATOS!$I$2:$I$20000=B203)*(DATOS!$K$2:$K$20000=5))</f>
        <v>0</v>
      </c>
      <c r="Q203">
        <f>SUMPRODUCT((DATOS!$G$2:$G$20000=CONFIG_METADATA!$B$4)*(DATOS!$D$2:$D$20000=A203)*(DATOS!$I$2:$I$20000=B203)*(DATOS!$K$2:$K$20000=6))</f>
        <v>0</v>
      </c>
      <c r="R203">
        <f>SUMPRODUCT((DATOS!$G$2:$G$20000=CONFIG_METADATA!$B$4)*(DATOS!$D$2:$D$20000=A203)*(DATOS!$I$2:$I$20000=B203)*(DATOS!$K$2:$K$20000=7))</f>
        <v>0</v>
      </c>
      <c r="S203">
        <f>SUMPRODUCT((DATOS!$G$2:$G$20000=CONFIG_METADATA!$B$4)*(DATOS!$D$2:$D$20000=A203)*(DATOS!$I$2:$I$20000=B203)*(DATOS!$K$2:$K$20000=8))</f>
        <v>0</v>
      </c>
      <c r="T203">
        <f>SUMPRODUCT((DATOS!$G$2:$G$20000=CONFIG_METADATA!$B$4)*(DATOS!$D$2:$D$20000=A203)*(DATOS!$I$2:$I$20000=B203)*(DATOS!$K$2:$K$20000=9))</f>
        <v>0</v>
      </c>
      <c r="U203">
        <f>SUMPRODUCT((DATOS!$G$2:$G$20000=CONFIG_METADATA!$B$4)*(DATOS!$D$2:$D$20000=A203)*(DATOS!$I$2:$I$20000=B203)*(DATOS!$K$2:$K$20000=10))</f>
        <v>0</v>
      </c>
    </row>
    <row r="204" spans="1:21" x14ac:dyDescent="0.2">
      <c r="A204" t="s">
        <v>83</v>
      </c>
      <c r="B204" t="s">
        <v>27</v>
      </c>
      <c r="C204" t="s">
        <v>25</v>
      </c>
      <c r="D204">
        <f>SUMPRODUCT((DATOS!$G$2:$G$20000=CONFIG_METADATA!$B$4)*(DATOS!$D$2:$D$20000=A204)*(DATOS!$I$2:$I$20000=B204))</f>
        <v>0</v>
      </c>
      <c r="E204" s="10" t="str">
        <f>IFERROR(SUMPRODUCT((DATOS!$G$2:$G$20000=CONFIG_METADATA!$B$4)*(DATOS!$D$2:$D$20000=A204)*(DATOS!$I$2:$I$20000=B204)*(DATOS!$K$2:$K$20000))/D204,"—")</f>
        <v>—</v>
      </c>
      <c r="F204" s="10" t="str" cm="1">
        <f t="array" ref="F204">IFERROR(_xlfn.STDEV.P(_xlfn._xlws.FILTER(DATOS!$K$2:$K$20000,(DATOS!$G$2:$G$20000=CONFIG_METADATA!$B$4)*(DATOS!$D$2:$D$20000=A204)*(DATOS!$I$2:$I$20000=B204))),"—")</f>
        <v>—</v>
      </c>
      <c r="G204" t="str" cm="1">
        <f t="array" ref="G204">IFERROR(_xlfn.MODE.SNGL(_xlfn._xlws.FILTER(DATOS!$K$2:$K$20000,(DATOS!$G$2:$G$20000=CONFIG_METADATA!$B$4)*(DATOS!$D$2:$D$20000=A204)*(DATOS!$I$2:$I$20000=B204))),"—")</f>
        <v>—</v>
      </c>
      <c r="H204" s="11" t="str">
        <f>IFERROR(SUMPRODUCT((DATOS!$G$2:$G$20000=CONFIG_METADATA!$B$4)*(DATOS!$D$2:$D$20000=A204)*(DATOS!$I$2:$I$20000=B204)*(DATOS!$L$2:$L$20000="S"))/D204,"—")</f>
        <v>—</v>
      </c>
      <c r="I204" s="11" t="str">
        <f>IFERROR(SUMPRODUCT((DATOS!$G$2:$G$20000=CONFIG_METADATA!$B$4)*(DATOS!$D$2:$D$20000=A204)*(DATOS!$I$2:$I$20000=B204)*(DATOS!$L$2:$L$20000="N"))/D204,"—")</f>
        <v>—</v>
      </c>
      <c r="J204" t="str" cm="1">
        <f t="array" ref="J204">IFERROR(_xlfn.MODE.SNGL(_xlfn._xlws.FILTER(DATOS!$K$2:$K$20000,(DATOS!$G$2:$G$20000=CONFIG_METADATA!$B$4)*(DATOS!$D$2:$D$20000=A204)*(DATOS!$I$2:$I$20000=B204)*(DATOS!$L$2:$L$20000="S"))),"—")</f>
        <v>—</v>
      </c>
      <c r="K204" t="str" cm="1">
        <f t="array" ref="K204">IFERROR(_xlfn.MODE.SNGL(_xlfn._xlws.FILTER(DATOS!$K$2:$K$20000,(DATOS!$G$2:$G$20000=CONFIG_METADATA!$B$4)*(DATOS!$D$2:$D$20000=A204)*(DATOS!$I$2:$I$20000=B204)*(DATOS!$L$2:$L$20000="N"))),"—")</f>
        <v>—</v>
      </c>
      <c r="L204">
        <f>SUMPRODUCT((DATOS!$G$2:$G$20000=CONFIG_METADATA!$B$4)*(DATOS!$D$2:$D$20000=A204)*(DATOS!$I$2:$I$20000=B204)*(DATOS!$K$2:$K$20000=1))</f>
        <v>0</v>
      </c>
      <c r="M204">
        <f>SUMPRODUCT((DATOS!$G$2:$G$20000=CONFIG_METADATA!$B$4)*(DATOS!$D$2:$D$20000=A204)*(DATOS!$I$2:$I$20000=B204)*(DATOS!$K$2:$K$20000=2))</f>
        <v>0</v>
      </c>
      <c r="N204">
        <f>SUMPRODUCT((DATOS!$G$2:$G$20000=CONFIG_METADATA!$B$4)*(DATOS!$D$2:$D$20000=A204)*(DATOS!$I$2:$I$20000=B204)*(DATOS!$K$2:$K$20000=3))</f>
        <v>0</v>
      </c>
      <c r="O204">
        <f>SUMPRODUCT((DATOS!$G$2:$G$20000=CONFIG_METADATA!$B$4)*(DATOS!$D$2:$D$20000=A204)*(DATOS!$I$2:$I$20000=B204)*(DATOS!$K$2:$K$20000=4))</f>
        <v>0</v>
      </c>
      <c r="P204">
        <f>SUMPRODUCT((DATOS!$G$2:$G$20000=CONFIG_METADATA!$B$4)*(DATOS!$D$2:$D$20000=A204)*(DATOS!$I$2:$I$20000=B204)*(DATOS!$K$2:$K$20000=5))</f>
        <v>0</v>
      </c>
      <c r="Q204">
        <f>SUMPRODUCT((DATOS!$G$2:$G$20000=CONFIG_METADATA!$B$4)*(DATOS!$D$2:$D$20000=A204)*(DATOS!$I$2:$I$20000=B204)*(DATOS!$K$2:$K$20000=6))</f>
        <v>0</v>
      </c>
      <c r="R204">
        <f>SUMPRODUCT((DATOS!$G$2:$G$20000=CONFIG_METADATA!$B$4)*(DATOS!$D$2:$D$20000=A204)*(DATOS!$I$2:$I$20000=B204)*(DATOS!$K$2:$K$20000=7))</f>
        <v>0</v>
      </c>
      <c r="S204">
        <f>SUMPRODUCT((DATOS!$G$2:$G$20000=CONFIG_METADATA!$B$4)*(DATOS!$D$2:$D$20000=A204)*(DATOS!$I$2:$I$20000=B204)*(DATOS!$K$2:$K$20000=8))</f>
        <v>0</v>
      </c>
      <c r="T204">
        <f>SUMPRODUCT((DATOS!$G$2:$G$20000=CONFIG_METADATA!$B$4)*(DATOS!$D$2:$D$20000=A204)*(DATOS!$I$2:$I$20000=B204)*(DATOS!$K$2:$K$20000=9))</f>
        <v>0</v>
      </c>
      <c r="U204">
        <f>SUMPRODUCT((DATOS!$G$2:$G$20000=CONFIG_METADATA!$B$4)*(DATOS!$D$2:$D$20000=A204)*(DATOS!$I$2:$I$20000=B204)*(DATOS!$K$2:$K$20000=10))</f>
        <v>0</v>
      </c>
    </row>
    <row r="205" spans="1:21" x14ac:dyDescent="0.2">
      <c r="A205" t="s">
        <v>83</v>
      </c>
      <c r="B205" t="s">
        <v>28</v>
      </c>
      <c r="C205" t="s">
        <v>25</v>
      </c>
      <c r="D205">
        <f>SUMPRODUCT((DATOS!$G$2:$G$20000=CONFIG_METADATA!$B$4)*(DATOS!$D$2:$D$20000=A205)*(DATOS!$I$2:$I$20000=B205))</f>
        <v>0</v>
      </c>
      <c r="E205" s="10" t="str">
        <f>IFERROR(SUMPRODUCT((DATOS!$G$2:$G$20000=CONFIG_METADATA!$B$4)*(DATOS!$D$2:$D$20000=A205)*(DATOS!$I$2:$I$20000=B205)*(DATOS!$K$2:$K$20000))/D205,"—")</f>
        <v>—</v>
      </c>
      <c r="F205" s="10" t="str" cm="1">
        <f t="array" ref="F205">IFERROR(_xlfn.STDEV.P(_xlfn._xlws.FILTER(DATOS!$K$2:$K$20000,(DATOS!$G$2:$G$20000=CONFIG_METADATA!$B$4)*(DATOS!$D$2:$D$20000=A205)*(DATOS!$I$2:$I$20000=B205))),"—")</f>
        <v>—</v>
      </c>
      <c r="G205" t="str" cm="1">
        <f t="array" ref="G205">IFERROR(_xlfn.MODE.SNGL(_xlfn._xlws.FILTER(DATOS!$K$2:$K$20000,(DATOS!$G$2:$G$20000=CONFIG_METADATA!$B$4)*(DATOS!$D$2:$D$20000=A205)*(DATOS!$I$2:$I$20000=B205))),"—")</f>
        <v>—</v>
      </c>
      <c r="H205" s="11" t="str">
        <f>IFERROR(SUMPRODUCT((DATOS!$G$2:$G$20000=CONFIG_METADATA!$B$4)*(DATOS!$D$2:$D$20000=A205)*(DATOS!$I$2:$I$20000=B205)*(DATOS!$L$2:$L$20000="S"))/D205,"—")</f>
        <v>—</v>
      </c>
      <c r="I205" s="11" t="str">
        <f>IFERROR(SUMPRODUCT((DATOS!$G$2:$G$20000=CONFIG_METADATA!$B$4)*(DATOS!$D$2:$D$20000=A205)*(DATOS!$I$2:$I$20000=B205)*(DATOS!$L$2:$L$20000="N"))/D205,"—")</f>
        <v>—</v>
      </c>
      <c r="J205" t="str" cm="1">
        <f t="array" ref="J205">IFERROR(_xlfn.MODE.SNGL(_xlfn._xlws.FILTER(DATOS!$K$2:$K$20000,(DATOS!$G$2:$G$20000=CONFIG_METADATA!$B$4)*(DATOS!$D$2:$D$20000=A205)*(DATOS!$I$2:$I$20000=B205)*(DATOS!$L$2:$L$20000="S"))),"—")</f>
        <v>—</v>
      </c>
      <c r="K205" t="str" cm="1">
        <f t="array" ref="K205">IFERROR(_xlfn.MODE.SNGL(_xlfn._xlws.FILTER(DATOS!$K$2:$K$20000,(DATOS!$G$2:$G$20000=CONFIG_METADATA!$B$4)*(DATOS!$D$2:$D$20000=A205)*(DATOS!$I$2:$I$20000=B205)*(DATOS!$L$2:$L$20000="N"))),"—")</f>
        <v>—</v>
      </c>
      <c r="L205">
        <f>SUMPRODUCT((DATOS!$G$2:$G$20000=CONFIG_METADATA!$B$4)*(DATOS!$D$2:$D$20000=A205)*(DATOS!$I$2:$I$20000=B205)*(DATOS!$K$2:$K$20000=1))</f>
        <v>0</v>
      </c>
      <c r="M205">
        <f>SUMPRODUCT((DATOS!$G$2:$G$20000=CONFIG_METADATA!$B$4)*(DATOS!$D$2:$D$20000=A205)*(DATOS!$I$2:$I$20000=B205)*(DATOS!$K$2:$K$20000=2))</f>
        <v>0</v>
      </c>
      <c r="N205">
        <f>SUMPRODUCT((DATOS!$G$2:$G$20000=CONFIG_METADATA!$B$4)*(DATOS!$D$2:$D$20000=A205)*(DATOS!$I$2:$I$20000=B205)*(DATOS!$K$2:$K$20000=3))</f>
        <v>0</v>
      </c>
      <c r="O205">
        <f>SUMPRODUCT((DATOS!$G$2:$G$20000=CONFIG_METADATA!$B$4)*(DATOS!$D$2:$D$20000=A205)*(DATOS!$I$2:$I$20000=B205)*(DATOS!$K$2:$K$20000=4))</f>
        <v>0</v>
      </c>
      <c r="P205">
        <f>SUMPRODUCT((DATOS!$G$2:$G$20000=CONFIG_METADATA!$B$4)*(DATOS!$D$2:$D$20000=A205)*(DATOS!$I$2:$I$20000=B205)*(DATOS!$K$2:$K$20000=5))</f>
        <v>0</v>
      </c>
      <c r="Q205">
        <f>SUMPRODUCT((DATOS!$G$2:$G$20000=CONFIG_METADATA!$B$4)*(DATOS!$D$2:$D$20000=A205)*(DATOS!$I$2:$I$20000=B205)*(DATOS!$K$2:$K$20000=6))</f>
        <v>0</v>
      </c>
      <c r="R205">
        <f>SUMPRODUCT((DATOS!$G$2:$G$20000=CONFIG_METADATA!$B$4)*(DATOS!$D$2:$D$20000=A205)*(DATOS!$I$2:$I$20000=B205)*(DATOS!$K$2:$K$20000=7))</f>
        <v>0</v>
      </c>
      <c r="S205">
        <f>SUMPRODUCT((DATOS!$G$2:$G$20000=CONFIG_METADATA!$B$4)*(DATOS!$D$2:$D$20000=A205)*(DATOS!$I$2:$I$20000=B205)*(DATOS!$K$2:$K$20000=8))</f>
        <v>0</v>
      </c>
      <c r="T205">
        <f>SUMPRODUCT((DATOS!$G$2:$G$20000=CONFIG_METADATA!$B$4)*(DATOS!$D$2:$D$20000=A205)*(DATOS!$I$2:$I$20000=B205)*(DATOS!$K$2:$K$20000=9))</f>
        <v>0</v>
      </c>
      <c r="U205">
        <f>SUMPRODUCT((DATOS!$G$2:$G$20000=CONFIG_METADATA!$B$4)*(DATOS!$D$2:$D$20000=A205)*(DATOS!$I$2:$I$20000=B205)*(DATOS!$K$2:$K$20000=10))</f>
        <v>0</v>
      </c>
    </row>
    <row r="206" spans="1:21" x14ac:dyDescent="0.2">
      <c r="A206" t="s">
        <v>83</v>
      </c>
      <c r="B206" t="s">
        <v>30</v>
      </c>
      <c r="C206" t="s">
        <v>25</v>
      </c>
      <c r="D206">
        <f>SUMPRODUCT((DATOS!$G$2:$G$20000=CONFIG_METADATA!$B$4)*(DATOS!$D$2:$D$20000=A206)*(DATOS!$I$2:$I$20000=B206))</f>
        <v>0</v>
      </c>
      <c r="E206" s="10" t="str">
        <f>IFERROR(SUMPRODUCT((DATOS!$G$2:$G$20000=CONFIG_METADATA!$B$4)*(DATOS!$D$2:$D$20000=A206)*(DATOS!$I$2:$I$20000=B206)*(DATOS!$K$2:$K$20000))/D206,"—")</f>
        <v>—</v>
      </c>
      <c r="F206" s="10" t="str" cm="1">
        <f t="array" ref="F206">IFERROR(_xlfn.STDEV.P(_xlfn._xlws.FILTER(DATOS!$K$2:$K$20000,(DATOS!$G$2:$G$20000=CONFIG_METADATA!$B$4)*(DATOS!$D$2:$D$20000=A206)*(DATOS!$I$2:$I$20000=B206))),"—")</f>
        <v>—</v>
      </c>
      <c r="G206" t="str" cm="1">
        <f t="array" ref="G206">IFERROR(_xlfn.MODE.SNGL(_xlfn._xlws.FILTER(DATOS!$K$2:$K$20000,(DATOS!$G$2:$G$20000=CONFIG_METADATA!$B$4)*(DATOS!$D$2:$D$20000=A206)*(DATOS!$I$2:$I$20000=B206))),"—")</f>
        <v>—</v>
      </c>
      <c r="H206" s="11" t="str">
        <f>IFERROR(SUMPRODUCT((DATOS!$G$2:$G$20000=CONFIG_METADATA!$B$4)*(DATOS!$D$2:$D$20000=A206)*(DATOS!$I$2:$I$20000=B206)*(DATOS!$L$2:$L$20000="S"))/D206,"—")</f>
        <v>—</v>
      </c>
      <c r="I206" s="11" t="str">
        <f>IFERROR(SUMPRODUCT((DATOS!$G$2:$G$20000=CONFIG_METADATA!$B$4)*(DATOS!$D$2:$D$20000=A206)*(DATOS!$I$2:$I$20000=B206)*(DATOS!$L$2:$L$20000="N"))/D206,"—")</f>
        <v>—</v>
      </c>
      <c r="J206" t="str" cm="1">
        <f t="array" ref="J206">IFERROR(_xlfn.MODE.SNGL(_xlfn._xlws.FILTER(DATOS!$K$2:$K$20000,(DATOS!$G$2:$G$20000=CONFIG_METADATA!$B$4)*(DATOS!$D$2:$D$20000=A206)*(DATOS!$I$2:$I$20000=B206)*(DATOS!$L$2:$L$20000="S"))),"—")</f>
        <v>—</v>
      </c>
      <c r="K206" t="str" cm="1">
        <f t="array" ref="K206">IFERROR(_xlfn.MODE.SNGL(_xlfn._xlws.FILTER(DATOS!$K$2:$K$20000,(DATOS!$G$2:$G$20000=CONFIG_METADATA!$B$4)*(DATOS!$D$2:$D$20000=A206)*(DATOS!$I$2:$I$20000=B206)*(DATOS!$L$2:$L$20000="N"))),"—")</f>
        <v>—</v>
      </c>
      <c r="L206">
        <f>SUMPRODUCT((DATOS!$G$2:$G$20000=CONFIG_METADATA!$B$4)*(DATOS!$D$2:$D$20000=A206)*(DATOS!$I$2:$I$20000=B206)*(DATOS!$K$2:$K$20000=1))</f>
        <v>0</v>
      </c>
      <c r="M206">
        <f>SUMPRODUCT((DATOS!$G$2:$G$20000=CONFIG_METADATA!$B$4)*(DATOS!$D$2:$D$20000=A206)*(DATOS!$I$2:$I$20000=B206)*(DATOS!$K$2:$K$20000=2))</f>
        <v>0</v>
      </c>
      <c r="N206">
        <f>SUMPRODUCT((DATOS!$G$2:$G$20000=CONFIG_METADATA!$B$4)*(DATOS!$D$2:$D$20000=A206)*(DATOS!$I$2:$I$20000=B206)*(DATOS!$K$2:$K$20000=3))</f>
        <v>0</v>
      </c>
      <c r="O206">
        <f>SUMPRODUCT((DATOS!$G$2:$G$20000=CONFIG_METADATA!$B$4)*(DATOS!$D$2:$D$20000=A206)*(DATOS!$I$2:$I$20000=B206)*(DATOS!$K$2:$K$20000=4))</f>
        <v>0</v>
      </c>
      <c r="P206">
        <f>SUMPRODUCT((DATOS!$G$2:$G$20000=CONFIG_METADATA!$B$4)*(DATOS!$D$2:$D$20000=A206)*(DATOS!$I$2:$I$20000=B206)*(DATOS!$K$2:$K$20000=5))</f>
        <v>0</v>
      </c>
      <c r="Q206">
        <f>SUMPRODUCT((DATOS!$G$2:$G$20000=CONFIG_METADATA!$B$4)*(DATOS!$D$2:$D$20000=A206)*(DATOS!$I$2:$I$20000=B206)*(DATOS!$K$2:$K$20000=6))</f>
        <v>0</v>
      </c>
      <c r="R206">
        <f>SUMPRODUCT((DATOS!$G$2:$G$20000=CONFIG_METADATA!$B$4)*(DATOS!$D$2:$D$20000=A206)*(DATOS!$I$2:$I$20000=B206)*(DATOS!$K$2:$K$20000=7))</f>
        <v>0</v>
      </c>
      <c r="S206">
        <f>SUMPRODUCT((DATOS!$G$2:$G$20000=CONFIG_METADATA!$B$4)*(DATOS!$D$2:$D$20000=A206)*(DATOS!$I$2:$I$20000=B206)*(DATOS!$K$2:$K$20000=8))</f>
        <v>0</v>
      </c>
      <c r="T206">
        <f>SUMPRODUCT((DATOS!$G$2:$G$20000=CONFIG_METADATA!$B$4)*(DATOS!$D$2:$D$20000=A206)*(DATOS!$I$2:$I$20000=B206)*(DATOS!$K$2:$K$20000=9))</f>
        <v>0</v>
      </c>
      <c r="U206">
        <f>SUMPRODUCT((DATOS!$G$2:$G$20000=CONFIG_METADATA!$B$4)*(DATOS!$D$2:$D$20000=A206)*(DATOS!$I$2:$I$20000=B206)*(DATOS!$K$2:$K$20000=10))</f>
        <v>0</v>
      </c>
    </row>
    <row r="207" spans="1:21" x14ac:dyDescent="0.2">
      <c r="A207" t="s">
        <v>83</v>
      </c>
      <c r="B207" t="s">
        <v>32</v>
      </c>
      <c r="C207" t="s">
        <v>25</v>
      </c>
      <c r="D207">
        <f>SUMPRODUCT((DATOS!$G$2:$G$20000=CONFIG_METADATA!$B$4)*(DATOS!$D$2:$D$20000=A207)*(DATOS!$I$2:$I$20000=B207))</f>
        <v>0</v>
      </c>
      <c r="E207" s="10" t="str">
        <f>IFERROR(SUMPRODUCT((DATOS!$G$2:$G$20000=CONFIG_METADATA!$B$4)*(DATOS!$D$2:$D$20000=A207)*(DATOS!$I$2:$I$20000=B207)*(DATOS!$K$2:$K$20000))/D207,"—")</f>
        <v>—</v>
      </c>
      <c r="F207" s="10" t="str" cm="1">
        <f t="array" ref="F207">IFERROR(_xlfn.STDEV.P(_xlfn._xlws.FILTER(DATOS!$K$2:$K$20000,(DATOS!$G$2:$G$20000=CONFIG_METADATA!$B$4)*(DATOS!$D$2:$D$20000=A207)*(DATOS!$I$2:$I$20000=B207))),"—")</f>
        <v>—</v>
      </c>
      <c r="G207" t="str" cm="1">
        <f t="array" ref="G207">IFERROR(_xlfn.MODE.SNGL(_xlfn._xlws.FILTER(DATOS!$K$2:$K$20000,(DATOS!$G$2:$G$20000=CONFIG_METADATA!$B$4)*(DATOS!$D$2:$D$20000=A207)*(DATOS!$I$2:$I$20000=B207))),"—")</f>
        <v>—</v>
      </c>
      <c r="H207" s="11" t="str">
        <f>IFERROR(SUMPRODUCT((DATOS!$G$2:$G$20000=CONFIG_METADATA!$B$4)*(DATOS!$D$2:$D$20000=A207)*(DATOS!$I$2:$I$20000=B207)*(DATOS!$L$2:$L$20000="S"))/D207,"—")</f>
        <v>—</v>
      </c>
      <c r="I207" s="11" t="str">
        <f>IFERROR(SUMPRODUCT((DATOS!$G$2:$G$20000=CONFIG_METADATA!$B$4)*(DATOS!$D$2:$D$20000=A207)*(DATOS!$I$2:$I$20000=B207)*(DATOS!$L$2:$L$20000="N"))/D207,"—")</f>
        <v>—</v>
      </c>
      <c r="J207" t="str" cm="1">
        <f t="array" ref="J207">IFERROR(_xlfn.MODE.SNGL(_xlfn._xlws.FILTER(DATOS!$K$2:$K$20000,(DATOS!$G$2:$G$20000=CONFIG_METADATA!$B$4)*(DATOS!$D$2:$D$20000=A207)*(DATOS!$I$2:$I$20000=B207)*(DATOS!$L$2:$L$20000="S"))),"—")</f>
        <v>—</v>
      </c>
      <c r="K207" t="str" cm="1">
        <f t="array" ref="K207">IFERROR(_xlfn.MODE.SNGL(_xlfn._xlws.FILTER(DATOS!$K$2:$K$20000,(DATOS!$G$2:$G$20000=CONFIG_METADATA!$B$4)*(DATOS!$D$2:$D$20000=A207)*(DATOS!$I$2:$I$20000=B207)*(DATOS!$L$2:$L$20000="N"))),"—")</f>
        <v>—</v>
      </c>
      <c r="L207">
        <f>SUMPRODUCT((DATOS!$G$2:$G$20000=CONFIG_METADATA!$B$4)*(DATOS!$D$2:$D$20000=A207)*(DATOS!$I$2:$I$20000=B207)*(DATOS!$K$2:$K$20000=1))</f>
        <v>0</v>
      </c>
      <c r="M207">
        <f>SUMPRODUCT((DATOS!$G$2:$G$20000=CONFIG_METADATA!$B$4)*(DATOS!$D$2:$D$20000=A207)*(DATOS!$I$2:$I$20000=B207)*(DATOS!$K$2:$K$20000=2))</f>
        <v>0</v>
      </c>
      <c r="N207">
        <f>SUMPRODUCT((DATOS!$G$2:$G$20000=CONFIG_METADATA!$B$4)*(DATOS!$D$2:$D$20000=A207)*(DATOS!$I$2:$I$20000=B207)*(DATOS!$K$2:$K$20000=3))</f>
        <v>0</v>
      </c>
      <c r="O207">
        <f>SUMPRODUCT((DATOS!$G$2:$G$20000=CONFIG_METADATA!$B$4)*(DATOS!$D$2:$D$20000=A207)*(DATOS!$I$2:$I$20000=B207)*(DATOS!$K$2:$K$20000=4))</f>
        <v>0</v>
      </c>
      <c r="P207">
        <f>SUMPRODUCT((DATOS!$G$2:$G$20000=CONFIG_METADATA!$B$4)*(DATOS!$D$2:$D$20000=A207)*(DATOS!$I$2:$I$20000=B207)*(DATOS!$K$2:$K$20000=5))</f>
        <v>0</v>
      </c>
      <c r="Q207">
        <f>SUMPRODUCT((DATOS!$G$2:$G$20000=CONFIG_METADATA!$B$4)*(DATOS!$D$2:$D$20000=A207)*(DATOS!$I$2:$I$20000=B207)*(DATOS!$K$2:$K$20000=6))</f>
        <v>0</v>
      </c>
      <c r="R207">
        <f>SUMPRODUCT((DATOS!$G$2:$G$20000=CONFIG_METADATA!$B$4)*(DATOS!$D$2:$D$20000=A207)*(DATOS!$I$2:$I$20000=B207)*(DATOS!$K$2:$K$20000=7))</f>
        <v>0</v>
      </c>
      <c r="S207">
        <f>SUMPRODUCT((DATOS!$G$2:$G$20000=CONFIG_METADATA!$B$4)*(DATOS!$D$2:$D$20000=A207)*(DATOS!$I$2:$I$20000=B207)*(DATOS!$K$2:$K$20000=8))</f>
        <v>0</v>
      </c>
      <c r="T207">
        <f>SUMPRODUCT((DATOS!$G$2:$G$20000=CONFIG_METADATA!$B$4)*(DATOS!$D$2:$D$20000=A207)*(DATOS!$I$2:$I$20000=B207)*(DATOS!$K$2:$K$20000=9))</f>
        <v>0</v>
      </c>
      <c r="U207">
        <f>SUMPRODUCT((DATOS!$G$2:$G$20000=CONFIG_METADATA!$B$4)*(DATOS!$D$2:$D$20000=A207)*(DATOS!$I$2:$I$20000=B207)*(DATOS!$K$2:$K$20000=10))</f>
        <v>0</v>
      </c>
    </row>
    <row r="208" spans="1:21" x14ac:dyDescent="0.2">
      <c r="A208" t="s">
        <v>83</v>
      </c>
      <c r="B208" t="s">
        <v>33</v>
      </c>
      <c r="C208" t="s">
        <v>25</v>
      </c>
      <c r="D208">
        <f>SUMPRODUCT((DATOS!$G$2:$G$20000=CONFIG_METADATA!$B$4)*(DATOS!$D$2:$D$20000=A208)*(DATOS!$I$2:$I$20000=B208))</f>
        <v>0</v>
      </c>
      <c r="E208" s="10" t="str">
        <f>IFERROR(SUMPRODUCT((DATOS!$G$2:$G$20000=CONFIG_METADATA!$B$4)*(DATOS!$D$2:$D$20000=A208)*(DATOS!$I$2:$I$20000=B208)*(DATOS!$K$2:$K$20000))/D208,"—")</f>
        <v>—</v>
      </c>
      <c r="F208" s="10" t="str" cm="1">
        <f t="array" ref="F208">IFERROR(_xlfn.STDEV.P(_xlfn._xlws.FILTER(DATOS!$K$2:$K$20000,(DATOS!$G$2:$G$20000=CONFIG_METADATA!$B$4)*(DATOS!$D$2:$D$20000=A208)*(DATOS!$I$2:$I$20000=B208))),"—")</f>
        <v>—</v>
      </c>
      <c r="G208" t="str" cm="1">
        <f t="array" ref="G208">IFERROR(_xlfn.MODE.SNGL(_xlfn._xlws.FILTER(DATOS!$K$2:$K$20000,(DATOS!$G$2:$G$20000=CONFIG_METADATA!$B$4)*(DATOS!$D$2:$D$20000=A208)*(DATOS!$I$2:$I$20000=B208))),"—")</f>
        <v>—</v>
      </c>
      <c r="H208" s="11" t="str">
        <f>IFERROR(SUMPRODUCT((DATOS!$G$2:$G$20000=CONFIG_METADATA!$B$4)*(DATOS!$D$2:$D$20000=A208)*(DATOS!$I$2:$I$20000=B208)*(DATOS!$L$2:$L$20000="S"))/D208,"—")</f>
        <v>—</v>
      </c>
      <c r="I208" s="11" t="str">
        <f>IFERROR(SUMPRODUCT((DATOS!$G$2:$G$20000=CONFIG_METADATA!$B$4)*(DATOS!$D$2:$D$20000=A208)*(DATOS!$I$2:$I$20000=B208)*(DATOS!$L$2:$L$20000="N"))/D208,"—")</f>
        <v>—</v>
      </c>
      <c r="J208" t="str" cm="1">
        <f t="array" ref="J208">IFERROR(_xlfn.MODE.SNGL(_xlfn._xlws.FILTER(DATOS!$K$2:$K$20000,(DATOS!$G$2:$G$20000=CONFIG_METADATA!$B$4)*(DATOS!$D$2:$D$20000=A208)*(DATOS!$I$2:$I$20000=B208)*(DATOS!$L$2:$L$20000="S"))),"—")</f>
        <v>—</v>
      </c>
      <c r="K208" t="str" cm="1">
        <f t="array" ref="K208">IFERROR(_xlfn.MODE.SNGL(_xlfn._xlws.FILTER(DATOS!$K$2:$K$20000,(DATOS!$G$2:$G$20000=CONFIG_METADATA!$B$4)*(DATOS!$D$2:$D$20000=A208)*(DATOS!$I$2:$I$20000=B208)*(DATOS!$L$2:$L$20000="N"))),"—")</f>
        <v>—</v>
      </c>
      <c r="L208">
        <f>SUMPRODUCT((DATOS!$G$2:$G$20000=CONFIG_METADATA!$B$4)*(DATOS!$D$2:$D$20000=A208)*(DATOS!$I$2:$I$20000=B208)*(DATOS!$K$2:$K$20000=1))</f>
        <v>0</v>
      </c>
      <c r="M208">
        <f>SUMPRODUCT((DATOS!$G$2:$G$20000=CONFIG_METADATA!$B$4)*(DATOS!$D$2:$D$20000=A208)*(DATOS!$I$2:$I$20000=B208)*(DATOS!$K$2:$K$20000=2))</f>
        <v>0</v>
      </c>
      <c r="N208">
        <f>SUMPRODUCT((DATOS!$G$2:$G$20000=CONFIG_METADATA!$B$4)*(DATOS!$D$2:$D$20000=A208)*(DATOS!$I$2:$I$20000=B208)*(DATOS!$K$2:$K$20000=3))</f>
        <v>0</v>
      </c>
      <c r="O208">
        <f>SUMPRODUCT((DATOS!$G$2:$G$20000=CONFIG_METADATA!$B$4)*(DATOS!$D$2:$D$20000=A208)*(DATOS!$I$2:$I$20000=B208)*(DATOS!$K$2:$K$20000=4))</f>
        <v>0</v>
      </c>
      <c r="P208">
        <f>SUMPRODUCT((DATOS!$G$2:$G$20000=CONFIG_METADATA!$B$4)*(DATOS!$D$2:$D$20000=A208)*(DATOS!$I$2:$I$20000=B208)*(DATOS!$K$2:$K$20000=5))</f>
        <v>0</v>
      </c>
      <c r="Q208">
        <f>SUMPRODUCT((DATOS!$G$2:$G$20000=CONFIG_METADATA!$B$4)*(DATOS!$D$2:$D$20000=A208)*(DATOS!$I$2:$I$20000=B208)*(DATOS!$K$2:$K$20000=6))</f>
        <v>0</v>
      </c>
      <c r="R208">
        <f>SUMPRODUCT((DATOS!$G$2:$G$20000=CONFIG_METADATA!$B$4)*(DATOS!$D$2:$D$20000=A208)*(DATOS!$I$2:$I$20000=B208)*(DATOS!$K$2:$K$20000=7))</f>
        <v>0</v>
      </c>
      <c r="S208">
        <f>SUMPRODUCT((DATOS!$G$2:$G$20000=CONFIG_METADATA!$B$4)*(DATOS!$D$2:$D$20000=A208)*(DATOS!$I$2:$I$20000=B208)*(DATOS!$K$2:$K$20000=8))</f>
        <v>0</v>
      </c>
      <c r="T208">
        <f>SUMPRODUCT((DATOS!$G$2:$G$20000=CONFIG_METADATA!$B$4)*(DATOS!$D$2:$D$20000=A208)*(DATOS!$I$2:$I$20000=B208)*(DATOS!$K$2:$K$20000=9))</f>
        <v>0</v>
      </c>
      <c r="U208">
        <f>SUMPRODUCT((DATOS!$G$2:$G$20000=CONFIG_METADATA!$B$4)*(DATOS!$D$2:$D$20000=A208)*(DATOS!$I$2:$I$20000=B208)*(DATOS!$K$2:$K$20000=10))</f>
        <v>0</v>
      </c>
    </row>
    <row r="209" spans="1:21" x14ac:dyDescent="0.2">
      <c r="A209" t="s">
        <v>83</v>
      </c>
      <c r="B209" t="s">
        <v>34</v>
      </c>
      <c r="C209" t="s">
        <v>25</v>
      </c>
      <c r="D209">
        <f>SUMPRODUCT((DATOS!$G$2:$G$20000=CONFIG_METADATA!$B$4)*(DATOS!$D$2:$D$20000=A209)*(DATOS!$I$2:$I$20000=B209))</f>
        <v>0</v>
      </c>
      <c r="E209" s="10" t="str">
        <f>IFERROR(SUMPRODUCT((DATOS!$G$2:$G$20000=CONFIG_METADATA!$B$4)*(DATOS!$D$2:$D$20000=A209)*(DATOS!$I$2:$I$20000=B209)*(DATOS!$K$2:$K$20000))/D209,"—")</f>
        <v>—</v>
      </c>
      <c r="F209" s="10" t="str" cm="1">
        <f t="array" ref="F209">IFERROR(_xlfn.STDEV.P(_xlfn._xlws.FILTER(DATOS!$K$2:$K$20000,(DATOS!$G$2:$G$20000=CONFIG_METADATA!$B$4)*(DATOS!$D$2:$D$20000=A209)*(DATOS!$I$2:$I$20000=B209))),"—")</f>
        <v>—</v>
      </c>
      <c r="G209" t="str" cm="1">
        <f t="array" ref="G209">IFERROR(_xlfn.MODE.SNGL(_xlfn._xlws.FILTER(DATOS!$K$2:$K$20000,(DATOS!$G$2:$G$20000=CONFIG_METADATA!$B$4)*(DATOS!$D$2:$D$20000=A209)*(DATOS!$I$2:$I$20000=B209))),"—")</f>
        <v>—</v>
      </c>
      <c r="H209" s="11" t="str">
        <f>IFERROR(SUMPRODUCT((DATOS!$G$2:$G$20000=CONFIG_METADATA!$B$4)*(DATOS!$D$2:$D$20000=A209)*(DATOS!$I$2:$I$20000=B209)*(DATOS!$L$2:$L$20000="S"))/D209,"—")</f>
        <v>—</v>
      </c>
      <c r="I209" s="11" t="str">
        <f>IFERROR(SUMPRODUCT((DATOS!$G$2:$G$20000=CONFIG_METADATA!$B$4)*(DATOS!$D$2:$D$20000=A209)*(DATOS!$I$2:$I$20000=B209)*(DATOS!$L$2:$L$20000="N"))/D209,"—")</f>
        <v>—</v>
      </c>
      <c r="J209" t="str" cm="1">
        <f t="array" ref="J209">IFERROR(_xlfn.MODE.SNGL(_xlfn._xlws.FILTER(DATOS!$K$2:$K$20000,(DATOS!$G$2:$G$20000=CONFIG_METADATA!$B$4)*(DATOS!$D$2:$D$20000=A209)*(DATOS!$I$2:$I$20000=B209)*(DATOS!$L$2:$L$20000="S"))),"—")</f>
        <v>—</v>
      </c>
      <c r="K209" t="str" cm="1">
        <f t="array" ref="K209">IFERROR(_xlfn.MODE.SNGL(_xlfn._xlws.FILTER(DATOS!$K$2:$K$20000,(DATOS!$G$2:$G$20000=CONFIG_METADATA!$B$4)*(DATOS!$D$2:$D$20000=A209)*(DATOS!$I$2:$I$20000=B209)*(DATOS!$L$2:$L$20000="N"))),"—")</f>
        <v>—</v>
      </c>
      <c r="L209">
        <f>SUMPRODUCT((DATOS!$G$2:$G$20000=CONFIG_METADATA!$B$4)*(DATOS!$D$2:$D$20000=A209)*(DATOS!$I$2:$I$20000=B209)*(DATOS!$K$2:$K$20000=1))</f>
        <v>0</v>
      </c>
      <c r="M209">
        <f>SUMPRODUCT((DATOS!$G$2:$G$20000=CONFIG_METADATA!$B$4)*(DATOS!$D$2:$D$20000=A209)*(DATOS!$I$2:$I$20000=B209)*(DATOS!$K$2:$K$20000=2))</f>
        <v>0</v>
      </c>
      <c r="N209">
        <f>SUMPRODUCT((DATOS!$G$2:$G$20000=CONFIG_METADATA!$B$4)*(DATOS!$D$2:$D$20000=A209)*(DATOS!$I$2:$I$20000=B209)*(DATOS!$K$2:$K$20000=3))</f>
        <v>0</v>
      </c>
      <c r="O209">
        <f>SUMPRODUCT((DATOS!$G$2:$G$20000=CONFIG_METADATA!$B$4)*(DATOS!$D$2:$D$20000=A209)*(DATOS!$I$2:$I$20000=B209)*(DATOS!$K$2:$K$20000=4))</f>
        <v>0</v>
      </c>
      <c r="P209">
        <f>SUMPRODUCT((DATOS!$G$2:$G$20000=CONFIG_METADATA!$B$4)*(DATOS!$D$2:$D$20000=A209)*(DATOS!$I$2:$I$20000=B209)*(DATOS!$K$2:$K$20000=5))</f>
        <v>0</v>
      </c>
      <c r="Q209">
        <f>SUMPRODUCT((DATOS!$G$2:$G$20000=CONFIG_METADATA!$B$4)*(DATOS!$D$2:$D$20000=A209)*(DATOS!$I$2:$I$20000=B209)*(DATOS!$K$2:$K$20000=6))</f>
        <v>0</v>
      </c>
      <c r="R209">
        <f>SUMPRODUCT((DATOS!$G$2:$G$20000=CONFIG_METADATA!$B$4)*(DATOS!$D$2:$D$20000=A209)*(DATOS!$I$2:$I$20000=B209)*(DATOS!$K$2:$K$20000=7))</f>
        <v>0</v>
      </c>
      <c r="S209">
        <f>SUMPRODUCT((DATOS!$G$2:$G$20000=CONFIG_METADATA!$B$4)*(DATOS!$D$2:$D$20000=A209)*(DATOS!$I$2:$I$20000=B209)*(DATOS!$K$2:$K$20000=8))</f>
        <v>0</v>
      </c>
      <c r="T209">
        <f>SUMPRODUCT((DATOS!$G$2:$G$20000=CONFIG_METADATA!$B$4)*(DATOS!$D$2:$D$20000=A209)*(DATOS!$I$2:$I$20000=B209)*(DATOS!$K$2:$K$20000=9))</f>
        <v>0</v>
      </c>
      <c r="U209">
        <f>SUMPRODUCT((DATOS!$G$2:$G$20000=CONFIG_METADATA!$B$4)*(DATOS!$D$2:$D$20000=A209)*(DATOS!$I$2:$I$20000=B209)*(DATOS!$K$2:$K$20000=10))</f>
        <v>0</v>
      </c>
    </row>
    <row r="210" spans="1:21" x14ac:dyDescent="0.2">
      <c r="A210" t="s">
        <v>83</v>
      </c>
      <c r="B210" t="s">
        <v>35</v>
      </c>
      <c r="C210" t="s">
        <v>25</v>
      </c>
      <c r="D210">
        <f>SUMPRODUCT((DATOS!$G$2:$G$20000=CONFIG_METADATA!$B$4)*(DATOS!$D$2:$D$20000=A210)*(DATOS!$I$2:$I$20000=B210))</f>
        <v>0</v>
      </c>
      <c r="E210" s="10" t="str">
        <f>IFERROR(SUMPRODUCT((DATOS!$G$2:$G$20000=CONFIG_METADATA!$B$4)*(DATOS!$D$2:$D$20000=A210)*(DATOS!$I$2:$I$20000=B210)*(DATOS!$K$2:$K$20000))/D210,"—")</f>
        <v>—</v>
      </c>
      <c r="F210" s="10" t="str" cm="1">
        <f t="array" ref="F210">IFERROR(_xlfn.STDEV.P(_xlfn._xlws.FILTER(DATOS!$K$2:$K$20000,(DATOS!$G$2:$G$20000=CONFIG_METADATA!$B$4)*(DATOS!$D$2:$D$20000=A210)*(DATOS!$I$2:$I$20000=B210))),"—")</f>
        <v>—</v>
      </c>
      <c r="G210" t="str" cm="1">
        <f t="array" ref="G210">IFERROR(_xlfn.MODE.SNGL(_xlfn._xlws.FILTER(DATOS!$K$2:$K$20000,(DATOS!$G$2:$G$20000=CONFIG_METADATA!$B$4)*(DATOS!$D$2:$D$20000=A210)*(DATOS!$I$2:$I$20000=B210))),"—")</f>
        <v>—</v>
      </c>
      <c r="H210" s="11" t="str">
        <f>IFERROR(SUMPRODUCT((DATOS!$G$2:$G$20000=CONFIG_METADATA!$B$4)*(DATOS!$D$2:$D$20000=A210)*(DATOS!$I$2:$I$20000=B210)*(DATOS!$L$2:$L$20000="S"))/D210,"—")</f>
        <v>—</v>
      </c>
      <c r="I210" s="11" t="str">
        <f>IFERROR(SUMPRODUCT((DATOS!$G$2:$G$20000=CONFIG_METADATA!$B$4)*(DATOS!$D$2:$D$20000=A210)*(DATOS!$I$2:$I$20000=B210)*(DATOS!$L$2:$L$20000="N"))/D210,"—")</f>
        <v>—</v>
      </c>
      <c r="J210" t="str" cm="1">
        <f t="array" ref="J210">IFERROR(_xlfn.MODE.SNGL(_xlfn._xlws.FILTER(DATOS!$K$2:$K$20000,(DATOS!$G$2:$G$20000=CONFIG_METADATA!$B$4)*(DATOS!$D$2:$D$20000=A210)*(DATOS!$I$2:$I$20000=B210)*(DATOS!$L$2:$L$20000="S"))),"—")</f>
        <v>—</v>
      </c>
      <c r="K210" t="str" cm="1">
        <f t="array" ref="K210">IFERROR(_xlfn.MODE.SNGL(_xlfn._xlws.FILTER(DATOS!$K$2:$K$20000,(DATOS!$G$2:$G$20000=CONFIG_METADATA!$B$4)*(DATOS!$D$2:$D$20000=A210)*(DATOS!$I$2:$I$20000=B210)*(DATOS!$L$2:$L$20000="N"))),"—")</f>
        <v>—</v>
      </c>
      <c r="L210">
        <f>SUMPRODUCT((DATOS!$G$2:$G$20000=CONFIG_METADATA!$B$4)*(DATOS!$D$2:$D$20000=A210)*(DATOS!$I$2:$I$20000=B210)*(DATOS!$K$2:$K$20000=1))</f>
        <v>0</v>
      </c>
      <c r="M210">
        <f>SUMPRODUCT((DATOS!$G$2:$G$20000=CONFIG_METADATA!$B$4)*(DATOS!$D$2:$D$20000=A210)*(DATOS!$I$2:$I$20000=B210)*(DATOS!$K$2:$K$20000=2))</f>
        <v>0</v>
      </c>
      <c r="N210">
        <f>SUMPRODUCT((DATOS!$G$2:$G$20000=CONFIG_METADATA!$B$4)*(DATOS!$D$2:$D$20000=A210)*(DATOS!$I$2:$I$20000=B210)*(DATOS!$K$2:$K$20000=3))</f>
        <v>0</v>
      </c>
      <c r="O210">
        <f>SUMPRODUCT((DATOS!$G$2:$G$20000=CONFIG_METADATA!$B$4)*(DATOS!$D$2:$D$20000=A210)*(DATOS!$I$2:$I$20000=B210)*(DATOS!$K$2:$K$20000=4))</f>
        <v>0</v>
      </c>
      <c r="P210">
        <f>SUMPRODUCT((DATOS!$G$2:$G$20000=CONFIG_METADATA!$B$4)*(DATOS!$D$2:$D$20000=A210)*(DATOS!$I$2:$I$20000=B210)*(DATOS!$K$2:$K$20000=5))</f>
        <v>0</v>
      </c>
      <c r="Q210">
        <f>SUMPRODUCT((DATOS!$G$2:$G$20000=CONFIG_METADATA!$B$4)*(DATOS!$D$2:$D$20000=A210)*(DATOS!$I$2:$I$20000=B210)*(DATOS!$K$2:$K$20000=6))</f>
        <v>0</v>
      </c>
      <c r="R210">
        <f>SUMPRODUCT((DATOS!$G$2:$G$20000=CONFIG_METADATA!$B$4)*(DATOS!$D$2:$D$20000=A210)*(DATOS!$I$2:$I$20000=B210)*(DATOS!$K$2:$K$20000=7))</f>
        <v>0</v>
      </c>
      <c r="S210">
        <f>SUMPRODUCT((DATOS!$G$2:$G$20000=CONFIG_METADATA!$B$4)*(DATOS!$D$2:$D$20000=A210)*(DATOS!$I$2:$I$20000=B210)*(DATOS!$K$2:$K$20000=8))</f>
        <v>0</v>
      </c>
      <c r="T210">
        <f>SUMPRODUCT((DATOS!$G$2:$G$20000=CONFIG_METADATA!$B$4)*(DATOS!$D$2:$D$20000=A210)*(DATOS!$I$2:$I$20000=B210)*(DATOS!$K$2:$K$20000=9))</f>
        <v>0</v>
      </c>
      <c r="U210">
        <f>SUMPRODUCT((DATOS!$G$2:$G$20000=CONFIG_METADATA!$B$4)*(DATOS!$D$2:$D$20000=A210)*(DATOS!$I$2:$I$20000=B210)*(DATOS!$K$2:$K$20000=10))</f>
        <v>0</v>
      </c>
    </row>
    <row r="211" spans="1:21" x14ac:dyDescent="0.2">
      <c r="A211" t="s">
        <v>83</v>
      </c>
      <c r="B211" t="s">
        <v>36</v>
      </c>
      <c r="C211" t="s">
        <v>25</v>
      </c>
      <c r="D211">
        <f>SUMPRODUCT((DATOS!$G$2:$G$20000=CONFIG_METADATA!$B$4)*(DATOS!$D$2:$D$20000=A211)*(DATOS!$I$2:$I$20000=B211))</f>
        <v>0</v>
      </c>
      <c r="E211" s="10" t="str">
        <f>IFERROR(SUMPRODUCT((DATOS!$G$2:$G$20000=CONFIG_METADATA!$B$4)*(DATOS!$D$2:$D$20000=A211)*(DATOS!$I$2:$I$20000=B211)*(DATOS!$K$2:$K$20000))/D211,"—")</f>
        <v>—</v>
      </c>
      <c r="F211" s="10" t="str" cm="1">
        <f t="array" ref="F211">IFERROR(_xlfn.STDEV.P(_xlfn._xlws.FILTER(DATOS!$K$2:$K$20000,(DATOS!$G$2:$G$20000=CONFIG_METADATA!$B$4)*(DATOS!$D$2:$D$20000=A211)*(DATOS!$I$2:$I$20000=B211))),"—")</f>
        <v>—</v>
      </c>
      <c r="G211" t="str" cm="1">
        <f t="array" ref="G211">IFERROR(_xlfn.MODE.SNGL(_xlfn._xlws.FILTER(DATOS!$K$2:$K$20000,(DATOS!$G$2:$G$20000=CONFIG_METADATA!$B$4)*(DATOS!$D$2:$D$20000=A211)*(DATOS!$I$2:$I$20000=B211))),"—")</f>
        <v>—</v>
      </c>
      <c r="H211" s="11" t="str">
        <f>IFERROR(SUMPRODUCT((DATOS!$G$2:$G$20000=CONFIG_METADATA!$B$4)*(DATOS!$D$2:$D$20000=A211)*(DATOS!$I$2:$I$20000=B211)*(DATOS!$L$2:$L$20000="S"))/D211,"—")</f>
        <v>—</v>
      </c>
      <c r="I211" s="11" t="str">
        <f>IFERROR(SUMPRODUCT((DATOS!$G$2:$G$20000=CONFIG_METADATA!$B$4)*(DATOS!$D$2:$D$20000=A211)*(DATOS!$I$2:$I$20000=B211)*(DATOS!$L$2:$L$20000="N"))/D211,"—")</f>
        <v>—</v>
      </c>
      <c r="J211" t="str" cm="1">
        <f t="array" ref="J211">IFERROR(_xlfn.MODE.SNGL(_xlfn._xlws.FILTER(DATOS!$K$2:$K$20000,(DATOS!$G$2:$G$20000=CONFIG_METADATA!$B$4)*(DATOS!$D$2:$D$20000=A211)*(DATOS!$I$2:$I$20000=B211)*(DATOS!$L$2:$L$20000="S"))),"—")</f>
        <v>—</v>
      </c>
      <c r="K211" t="str" cm="1">
        <f t="array" ref="K211">IFERROR(_xlfn.MODE.SNGL(_xlfn._xlws.FILTER(DATOS!$K$2:$K$20000,(DATOS!$G$2:$G$20000=CONFIG_METADATA!$B$4)*(DATOS!$D$2:$D$20000=A211)*(DATOS!$I$2:$I$20000=B211)*(DATOS!$L$2:$L$20000="N"))),"—")</f>
        <v>—</v>
      </c>
      <c r="L211">
        <f>SUMPRODUCT((DATOS!$G$2:$G$20000=CONFIG_METADATA!$B$4)*(DATOS!$D$2:$D$20000=A211)*(DATOS!$I$2:$I$20000=B211)*(DATOS!$K$2:$K$20000=1))</f>
        <v>0</v>
      </c>
      <c r="M211">
        <f>SUMPRODUCT((DATOS!$G$2:$G$20000=CONFIG_METADATA!$B$4)*(DATOS!$D$2:$D$20000=A211)*(DATOS!$I$2:$I$20000=B211)*(DATOS!$K$2:$K$20000=2))</f>
        <v>0</v>
      </c>
      <c r="N211">
        <f>SUMPRODUCT((DATOS!$G$2:$G$20000=CONFIG_METADATA!$B$4)*(DATOS!$D$2:$D$20000=A211)*(DATOS!$I$2:$I$20000=B211)*(DATOS!$K$2:$K$20000=3))</f>
        <v>0</v>
      </c>
      <c r="O211">
        <f>SUMPRODUCT((DATOS!$G$2:$G$20000=CONFIG_METADATA!$B$4)*(DATOS!$D$2:$D$20000=A211)*(DATOS!$I$2:$I$20000=B211)*(DATOS!$K$2:$K$20000=4))</f>
        <v>0</v>
      </c>
      <c r="P211">
        <f>SUMPRODUCT((DATOS!$G$2:$G$20000=CONFIG_METADATA!$B$4)*(DATOS!$D$2:$D$20000=A211)*(DATOS!$I$2:$I$20000=B211)*(DATOS!$K$2:$K$20000=5))</f>
        <v>0</v>
      </c>
      <c r="Q211">
        <f>SUMPRODUCT((DATOS!$G$2:$G$20000=CONFIG_METADATA!$B$4)*(DATOS!$D$2:$D$20000=A211)*(DATOS!$I$2:$I$20000=B211)*(DATOS!$K$2:$K$20000=6))</f>
        <v>0</v>
      </c>
      <c r="R211">
        <f>SUMPRODUCT((DATOS!$G$2:$G$20000=CONFIG_METADATA!$B$4)*(DATOS!$D$2:$D$20000=A211)*(DATOS!$I$2:$I$20000=B211)*(DATOS!$K$2:$K$20000=7))</f>
        <v>0</v>
      </c>
      <c r="S211">
        <f>SUMPRODUCT((DATOS!$G$2:$G$20000=CONFIG_METADATA!$B$4)*(DATOS!$D$2:$D$20000=A211)*(DATOS!$I$2:$I$20000=B211)*(DATOS!$K$2:$K$20000=8))</f>
        <v>0</v>
      </c>
      <c r="T211">
        <f>SUMPRODUCT((DATOS!$G$2:$G$20000=CONFIG_METADATA!$B$4)*(DATOS!$D$2:$D$20000=A211)*(DATOS!$I$2:$I$20000=B211)*(DATOS!$K$2:$K$20000=9))</f>
        <v>0</v>
      </c>
      <c r="U211">
        <f>SUMPRODUCT((DATOS!$G$2:$G$20000=CONFIG_METADATA!$B$4)*(DATOS!$D$2:$D$20000=A211)*(DATOS!$I$2:$I$20000=B211)*(DATOS!$K$2:$K$20000=10))</f>
        <v>0</v>
      </c>
    </row>
    <row r="212" spans="1:21" x14ac:dyDescent="0.2">
      <c r="A212" t="s">
        <v>83</v>
      </c>
      <c r="B212" t="s">
        <v>37</v>
      </c>
      <c r="C212" t="s">
        <v>25</v>
      </c>
      <c r="D212">
        <f>SUMPRODUCT((DATOS!$G$2:$G$20000=CONFIG_METADATA!$B$4)*(DATOS!$D$2:$D$20000=A212)*(DATOS!$I$2:$I$20000=B212))</f>
        <v>0</v>
      </c>
      <c r="E212" s="10" t="str">
        <f>IFERROR(SUMPRODUCT((DATOS!$G$2:$G$20000=CONFIG_METADATA!$B$4)*(DATOS!$D$2:$D$20000=A212)*(DATOS!$I$2:$I$20000=B212)*(DATOS!$K$2:$K$20000))/D212,"—")</f>
        <v>—</v>
      </c>
      <c r="F212" s="10" t="str" cm="1">
        <f t="array" ref="F212">IFERROR(_xlfn.STDEV.P(_xlfn._xlws.FILTER(DATOS!$K$2:$K$20000,(DATOS!$G$2:$G$20000=CONFIG_METADATA!$B$4)*(DATOS!$D$2:$D$20000=A212)*(DATOS!$I$2:$I$20000=B212))),"—")</f>
        <v>—</v>
      </c>
      <c r="G212" t="str" cm="1">
        <f t="array" ref="G212">IFERROR(_xlfn.MODE.SNGL(_xlfn._xlws.FILTER(DATOS!$K$2:$K$20000,(DATOS!$G$2:$G$20000=CONFIG_METADATA!$B$4)*(DATOS!$D$2:$D$20000=A212)*(DATOS!$I$2:$I$20000=B212))),"—")</f>
        <v>—</v>
      </c>
      <c r="H212" s="11" t="str">
        <f>IFERROR(SUMPRODUCT((DATOS!$G$2:$G$20000=CONFIG_METADATA!$B$4)*(DATOS!$D$2:$D$20000=A212)*(DATOS!$I$2:$I$20000=B212)*(DATOS!$L$2:$L$20000="S"))/D212,"—")</f>
        <v>—</v>
      </c>
      <c r="I212" s="11" t="str">
        <f>IFERROR(SUMPRODUCT((DATOS!$G$2:$G$20000=CONFIG_METADATA!$B$4)*(DATOS!$D$2:$D$20000=A212)*(DATOS!$I$2:$I$20000=B212)*(DATOS!$L$2:$L$20000="N"))/D212,"—")</f>
        <v>—</v>
      </c>
      <c r="J212" t="str" cm="1">
        <f t="array" ref="J212">IFERROR(_xlfn.MODE.SNGL(_xlfn._xlws.FILTER(DATOS!$K$2:$K$20000,(DATOS!$G$2:$G$20000=CONFIG_METADATA!$B$4)*(DATOS!$D$2:$D$20000=A212)*(DATOS!$I$2:$I$20000=B212)*(DATOS!$L$2:$L$20000="S"))),"—")</f>
        <v>—</v>
      </c>
      <c r="K212" t="str" cm="1">
        <f t="array" ref="K212">IFERROR(_xlfn.MODE.SNGL(_xlfn._xlws.FILTER(DATOS!$K$2:$K$20000,(DATOS!$G$2:$G$20000=CONFIG_METADATA!$B$4)*(DATOS!$D$2:$D$20000=A212)*(DATOS!$I$2:$I$20000=B212)*(DATOS!$L$2:$L$20000="N"))),"—")</f>
        <v>—</v>
      </c>
      <c r="L212">
        <f>SUMPRODUCT((DATOS!$G$2:$G$20000=CONFIG_METADATA!$B$4)*(DATOS!$D$2:$D$20000=A212)*(DATOS!$I$2:$I$20000=B212)*(DATOS!$K$2:$K$20000=1))</f>
        <v>0</v>
      </c>
      <c r="M212">
        <f>SUMPRODUCT((DATOS!$G$2:$G$20000=CONFIG_METADATA!$B$4)*(DATOS!$D$2:$D$20000=A212)*(DATOS!$I$2:$I$20000=B212)*(DATOS!$K$2:$K$20000=2))</f>
        <v>0</v>
      </c>
      <c r="N212">
        <f>SUMPRODUCT((DATOS!$G$2:$G$20000=CONFIG_METADATA!$B$4)*(DATOS!$D$2:$D$20000=A212)*(DATOS!$I$2:$I$20000=B212)*(DATOS!$K$2:$K$20000=3))</f>
        <v>0</v>
      </c>
      <c r="O212">
        <f>SUMPRODUCT((DATOS!$G$2:$G$20000=CONFIG_METADATA!$B$4)*(DATOS!$D$2:$D$20000=A212)*(DATOS!$I$2:$I$20000=B212)*(DATOS!$K$2:$K$20000=4))</f>
        <v>0</v>
      </c>
      <c r="P212">
        <f>SUMPRODUCT((DATOS!$G$2:$G$20000=CONFIG_METADATA!$B$4)*(DATOS!$D$2:$D$20000=A212)*(DATOS!$I$2:$I$20000=B212)*(DATOS!$K$2:$K$20000=5))</f>
        <v>0</v>
      </c>
      <c r="Q212">
        <f>SUMPRODUCT((DATOS!$G$2:$G$20000=CONFIG_METADATA!$B$4)*(DATOS!$D$2:$D$20000=A212)*(DATOS!$I$2:$I$20000=B212)*(DATOS!$K$2:$K$20000=6))</f>
        <v>0</v>
      </c>
      <c r="R212">
        <f>SUMPRODUCT((DATOS!$G$2:$G$20000=CONFIG_METADATA!$B$4)*(DATOS!$D$2:$D$20000=A212)*(DATOS!$I$2:$I$20000=B212)*(DATOS!$K$2:$K$20000=7))</f>
        <v>0</v>
      </c>
      <c r="S212">
        <f>SUMPRODUCT((DATOS!$G$2:$G$20000=CONFIG_METADATA!$B$4)*(DATOS!$D$2:$D$20000=A212)*(DATOS!$I$2:$I$20000=B212)*(DATOS!$K$2:$K$20000=8))</f>
        <v>0</v>
      </c>
      <c r="T212">
        <f>SUMPRODUCT((DATOS!$G$2:$G$20000=CONFIG_METADATA!$B$4)*(DATOS!$D$2:$D$20000=A212)*(DATOS!$I$2:$I$20000=B212)*(DATOS!$K$2:$K$20000=9))</f>
        <v>0</v>
      </c>
      <c r="U212">
        <f>SUMPRODUCT((DATOS!$G$2:$G$20000=CONFIG_METADATA!$B$4)*(DATOS!$D$2:$D$20000=A212)*(DATOS!$I$2:$I$20000=B212)*(DATOS!$K$2:$K$20000=10))</f>
        <v>0</v>
      </c>
    </row>
    <row r="213" spans="1:21" x14ac:dyDescent="0.2">
      <c r="A213" t="s">
        <v>83</v>
      </c>
      <c r="B213" t="s">
        <v>38</v>
      </c>
      <c r="C213" t="s">
        <v>25</v>
      </c>
      <c r="D213">
        <f>SUMPRODUCT((DATOS!$G$2:$G$20000=CONFIG_METADATA!$B$4)*(DATOS!$D$2:$D$20000=A213)*(DATOS!$I$2:$I$20000=B213))</f>
        <v>0</v>
      </c>
      <c r="E213" s="10" t="str">
        <f>IFERROR(SUMPRODUCT((DATOS!$G$2:$G$20000=CONFIG_METADATA!$B$4)*(DATOS!$D$2:$D$20000=A213)*(DATOS!$I$2:$I$20000=B213)*(DATOS!$K$2:$K$20000))/D213,"—")</f>
        <v>—</v>
      </c>
      <c r="F213" s="10" t="str" cm="1">
        <f t="array" ref="F213">IFERROR(_xlfn.STDEV.P(_xlfn._xlws.FILTER(DATOS!$K$2:$K$20000,(DATOS!$G$2:$G$20000=CONFIG_METADATA!$B$4)*(DATOS!$D$2:$D$20000=A213)*(DATOS!$I$2:$I$20000=B213))),"—")</f>
        <v>—</v>
      </c>
      <c r="G213" t="str" cm="1">
        <f t="array" ref="G213">IFERROR(_xlfn.MODE.SNGL(_xlfn._xlws.FILTER(DATOS!$K$2:$K$20000,(DATOS!$G$2:$G$20000=CONFIG_METADATA!$B$4)*(DATOS!$D$2:$D$20000=A213)*(DATOS!$I$2:$I$20000=B213))),"—")</f>
        <v>—</v>
      </c>
      <c r="H213" s="11" t="str">
        <f>IFERROR(SUMPRODUCT((DATOS!$G$2:$G$20000=CONFIG_METADATA!$B$4)*(DATOS!$D$2:$D$20000=A213)*(DATOS!$I$2:$I$20000=B213)*(DATOS!$L$2:$L$20000="S"))/D213,"—")</f>
        <v>—</v>
      </c>
      <c r="I213" s="11" t="str">
        <f>IFERROR(SUMPRODUCT((DATOS!$G$2:$G$20000=CONFIG_METADATA!$B$4)*(DATOS!$D$2:$D$20000=A213)*(DATOS!$I$2:$I$20000=B213)*(DATOS!$L$2:$L$20000="N"))/D213,"—")</f>
        <v>—</v>
      </c>
      <c r="J213" t="str" cm="1">
        <f t="array" ref="J213">IFERROR(_xlfn.MODE.SNGL(_xlfn._xlws.FILTER(DATOS!$K$2:$K$20000,(DATOS!$G$2:$G$20000=CONFIG_METADATA!$B$4)*(DATOS!$D$2:$D$20000=A213)*(DATOS!$I$2:$I$20000=B213)*(DATOS!$L$2:$L$20000="S"))),"—")</f>
        <v>—</v>
      </c>
      <c r="K213" t="str" cm="1">
        <f t="array" ref="K213">IFERROR(_xlfn.MODE.SNGL(_xlfn._xlws.FILTER(DATOS!$K$2:$K$20000,(DATOS!$G$2:$G$20000=CONFIG_METADATA!$B$4)*(DATOS!$D$2:$D$20000=A213)*(DATOS!$I$2:$I$20000=B213)*(DATOS!$L$2:$L$20000="N"))),"—")</f>
        <v>—</v>
      </c>
      <c r="L213">
        <f>SUMPRODUCT((DATOS!$G$2:$G$20000=CONFIG_METADATA!$B$4)*(DATOS!$D$2:$D$20000=A213)*(DATOS!$I$2:$I$20000=B213)*(DATOS!$K$2:$K$20000=1))</f>
        <v>0</v>
      </c>
      <c r="M213">
        <f>SUMPRODUCT((DATOS!$G$2:$G$20000=CONFIG_METADATA!$B$4)*(DATOS!$D$2:$D$20000=A213)*(DATOS!$I$2:$I$20000=B213)*(DATOS!$K$2:$K$20000=2))</f>
        <v>0</v>
      </c>
      <c r="N213">
        <f>SUMPRODUCT((DATOS!$G$2:$G$20000=CONFIG_METADATA!$B$4)*(DATOS!$D$2:$D$20000=A213)*(DATOS!$I$2:$I$20000=B213)*(DATOS!$K$2:$K$20000=3))</f>
        <v>0</v>
      </c>
      <c r="O213">
        <f>SUMPRODUCT((DATOS!$G$2:$G$20000=CONFIG_METADATA!$B$4)*(DATOS!$D$2:$D$20000=A213)*(DATOS!$I$2:$I$20000=B213)*(DATOS!$K$2:$K$20000=4))</f>
        <v>0</v>
      </c>
      <c r="P213">
        <f>SUMPRODUCT((DATOS!$G$2:$G$20000=CONFIG_METADATA!$B$4)*(DATOS!$D$2:$D$20000=A213)*(DATOS!$I$2:$I$20000=B213)*(DATOS!$K$2:$K$20000=5))</f>
        <v>0</v>
      </c>
      <c r="Q213">
        <f>SUMPRODUCT((DATOS!$G$2:$G$20000=CONFIG_METADATA!$B$4)*(DATOS!$D$2:$D$20000=A213)*(DATOS!$I$2:$I$20000=B213)*(DATOS!$K$2:$K$20000=6))</f>
        <v>0</v>
      </c>
      <c r="R213">
        <f>SUMPRODUCT((DATOS!$G$2:$G$20000=CONFIG_METADATA!$B$4)*(DATOS!$D$2:$D$20000=A213)*(DATOS!$I$2:$I$20000=B213)*(DATOS!$K$2:$K$20000=7))</f>
        <v>0</v>
      </c>
      <c r="S213">
        <f>SUMPRODUCT((DATOS!$G$2:$G$20000=CONFIG_METADATA!$B$4)*(DATOS!$D$2:$D$20000=A213)*(DATOS!$I$2:$I$20000=B213)*(DATOS!$K$2:$K$20000=8))</f>
        <v>0</v>
      </c>
      <c r="T213">
        <f>SUMPRODUCT((DATOS!$G$2:$G$20000=CONFIG_METADATA!$B$4)*(DATOS!$D$2:$D$20000=A213)*(DATOS!$I$2:$I$20000=B213)*(DATOS!$K$2:$K$20000=9))</f>
        <v>0</v>
      </c>
      <c r="U213">
        <f>SUMPRODUCT((DATOS!$G$2:$G$20000=CONFIG_METADATA!$B$4)*(DATOS!$D$2:$D$20000=A213)*(DATOS!$I$2:$I$20000=B213)*(DATOS!$K$2:$K$20000=10))</f>
        <v>0</v>
      </c>
    </row>
    <row r="214" spans="1:21" x14ac:dyDescent="0.2">
      <c r="A214" t="s">
        <v>83</v>
      </c>
      <c r="B214" t="s">
        <v>39</v>
      </c>
      <c r="C214" t="s">
        <v>25</v>
      </c>
      <c r="D214">
        <f>SUMPRODUCT((DATOS!$G$2:$G$20000=CONFIG_METADATA!$B$4)*(DATOS!$D$2:$D$20000=A214)*(DATOS!$I$2:$I$20000=B214))</f>
        <v>0</v>
      </c>
      <c r="E214" s="10" t="str">
        <f>IFERROR(SUMPRODUCT((DATOS!$G$2:$G$20000=CONFIG_METADATA!$B$4)*(DATOS!$D$2:$D$20000=A214)*(DATOS!$I$2:$I$20000=B214)*(DATOS!$K$2:$K$20000))/D214,"—")</f>
        <v>—</v>
      </c>
      <c r="F214" s="10" t="str" cm="1">
        <f t="array" ref="F214">IFERROR(_xlfn.STDEV.P(_xlfn._xlws.FILTER(DATOS!$K$2:$K$20000,(DATOS!$G$2:$G$20000=CONFIG_METADATA!$B$4)*(DATOS!$D$2:$D$20000=A214)*(DATOS!$I$2:$I$20000=B214))),"—")</f>
        <v>—</v>
      </c>
      <c r="G214" t="str" cm="1">
        <f t="array" ref="G214">IFERROR(_xlfn.MODE.SNGL(_xlfn._xlws.FILTER(DATOS!$K$2:$K$20000,(DATOS!$G$2:$G$20000=CONFIG_METADATA!$B$4)*(DATOS!$D$2:$D$20000=A214)*(DATOS!$I$2:$I$20000=B214))),"—")</f>
        <v>—</v>
      </c>
      <c r="H214" s="11" t="str">
        <f>IFERROR(SUMPRODUCT((DATOS!$G$2:$G$20000=CONFIG_METADATA!$B$4)*(DATOS!$D$2:$D$20000=A214)*(DATOS!$I$2:$I$20000=B214)*(DATOS!$L$2:$L$20000="S"))/D214,"—")</f>
        <v>—</v>
      </c>
      <c r="I214" s="11" t="str">
        <f>IFERROR(SUMPRODUCT((DATOS!$G$2:$G$20000=CONFIG_METADATA!$B$4)*(DATOS!$D$2:$D$20000=A214)*(DATOS!$I$2:$I$20000=B214)*(DATOS!$L$2:$L$20000="N"))/D214,"—")</f>
        <v>—</v>
      </c>
      <c r="J214" t="str" cm="1">
        <f t="array" ref="J214">IFERROR(_xlfn.MODE.SNGL(_xlfn._xlws.FILTER(DATOS!$K$2:$K$20000,(DATOS!$G$2:$G$20000=CONFIG_METADATA!$B$4)*(DATOS!$D$2:$D$20000=A214)*(DATOS!$I$2:$I$20000=B214)*(DATOS!$L$2:$L$20000="S"))),"—")</f>
        <v>—</v>
      </c>
      <c r="K214" t="str" cm="1">
        <f t="array" ref="K214">IFERROR(_xlfn.MODE.SNGL(_xlfn._xlws.FILTER(DATOS!$K$2:$K$20000,(DATOS!$G$2:$G$20000=CONFIG_METADATA!$B$4)*(DATOS!$D$2:$D$20000=A214)*(DATOS!$I$2:$I$20000=B214)*(DATOS!$L$2:$L$20000="N"))),"—")</f>
        <v>—</v>
      </c>
      <c r="L214">
        <f>SUMPRODUCT((DATOS!$G$2:$G$20000=CONFIG_METADATA!$B$4)*(DATOS!$D$2:$D$20000=A214)*(DATOS!$I$2:$I$20000=B214)*(DATOS!$K$2:$K$20000=1))</f>
        <v>0</v>
      </c>
      <c r="M214">
        <f>SUMPRODUCT((DATOS!$G$2:$G$20000=CONFIG_METADATA!$B$4)*(DATOS!$D$2:$D$20000=A214)*(DATOS!$I$2:$I$20000=B214)*(DATOS!$K$2:$K$20000=2))</f>
        <v>0</v>
      </c>
      <c r="N214">
        <f>SUMPRODUCT((DATOS!$G$2:$G$20000=CONFIG_METADATA!$B$4)*(DATOS!$D$2:$D$20000=A214)*(DATOS!$I$2:$I$20000=B214)*(DATOS!$K$2:$K$20000=3))</f>
        <v>0</v>
      </c>
      <c r="O214">
        <f>SUMPRODUCT((DATOS!$G$2:$G$20000=CONFIG_METADATA!$B$4)*(DATOS!$D$2:$D$20000=A214)*(DATOS!$I$2:$I$20000=B214)*(DATOS!$K$2:$K$20000=4))</f>
        <v>0</v>
      </c>
      <c r="P214">
        <f>SUMPRODUCT((DATOS!$G$2:$G$20000=CONFIG_METADATA!$B$4)*(DATOS!$D$2:$D$20000=A214)*(DATOS!$I$2:$I$20000=B214)*(DATOS!$K$2:$K$20000=5))</f>
        <v>0</v>
      </c>
      <c r="Q214">
        <f>SUMPRODUCT((DATOS!$G$2:$G$20000=CONFIG_METADATA!$B$4)*(DATOS!$D$2:$D$20000=A214)*(DATOS!$I$2:$I$20000=B214)*(DATOS!$K$2:$K$20000=6))</f>
        <v>0</v>
      </c>
      <c r="R214">
        <f>SUMPRODUCT((DATOS!$G$2:$G$20000=CONFIG_METADATA!$B$4)*(DATOS!$D$2:$D$20000=A214)*(DATOS!$I$2:$I$20000=B214)*(DATOS!$K$2:$K$20000=7))</f>
        <v>0</v>
      </c>
      <c r="S214">
        <f>SUMPRODUCT((DATOS!$G$2:$G$20000=CONFIG_METADATA!$B$4)*(DATOS!$D$2:$D$20000=A214)*(DATOS!$I$2:$I$20000=B214)*(DATOS!$K$2:$K$20000=8))</f>
        <v>0</v>
      </c>
      <c r="T214">
        <f>SUMPRODUCT((DATOS!$G$2:$G$20000=CONFIG_METADATA!$B$4)*(DATOS!$D$2:$D$20000=A214)*(DATOS!$I$2:$I$20000=B214)*(DATOS!$K$2:$K$20000=9))</f>
        <v>0</v>
      </c>
      <c r="U214">
        <f>SUMPRODUCT((DATOS!$G$2:$G$20000=CONFIG_METADATA!$B$4)*(DATOS!$D$2:$D$20000=A214)*(DATOS!$I$2:$I$20000=B214)*(DATOS!$K$2:$K$20000=10))</f>
        <v>0</v>
      </c>
    </row>
    <row r="215" spans="1:21" x14ac:dyDescent="0.2">
      <c r="A215" t="s">
        <v>83</v>
      </c>
      <c r="B215" t="s">
        <v>41</v>
      </c>
      <c r="C215" t="s">
        <v>25</v>
      </c>
      <c r="D215">
        <f>SUMPRODUCT((DATOS!$G$2:$G$20000=CONFIG_METADATA!$B$4)*(DATOS!$D$2:$D$20000=A215)*(DATOS!$I$2:$I$20000=B215))</f>
        <v>0</v>
      </c>
      <c r="E215" s="10" t="str">
        <f>IFERROR(SUMPRODUCT((DATOS!$G$2:$G$20000=CONFIG_METADATA!$B$4)*(DATOS!$D$2:$D$20000=A215)*(DATOS!$I$2:$I$20000=B215)*(DATOS!$K$2:$K$20000))/D215,"—")</f>
        <v>—</v>
      </c>
      <c r="F215" s="10" t="str" cm="1">
        <f t="array" ref="F215">IFERROR(_xlfn.STDEV.P(_xlfn._xlws.FILTER(DATOS!$K$2:$K$20000,(DATOS!$G$2:$G$20000=CONFIG_METADATA!$B$4)*(DATOS!$D$2:$D$20000=A215)*(DATOS!$I$2:$I$20000=B215))),"—")</f>
        <v>—</v>
      </c>
      <c r="G215" t="str" cm="1">
        <f t="array" ref="G215">IFERROR(_xlfn.MODE.SNGL(_xlfn._xlws.FILTER(DATOS!$K$2:$K$20000,(DATOS!$G$2:$G$20000=CONFIG_METADATA!$B$4)*(DATOS!$D$2:$D$20000=A215)*(DATOS!$I$2:$I$20000=B215))),"—")</f>
        <v>—</v>
      </c>
      <c r="H215" s="11" t="str">
        <f>IFERROR(SUMPRODUCT((DATOS!$G$2:$G$20000=CONFIG_METADATA!$B$4)*(DATOS!$D$2:$D$20000=A215)*(DATOS!$I$2:$I$20000=B215)*(DATOS!$L$2:$L$20000="S"))/D215,"—")</f>
        <v>—</v>
      </c>
      <c r="I215" s="11" t="str">
        <f>IFERROR(SUMPRODUCT((DATOS!$G$2:$G$20000=CONFIG_METADATA!$B$4)*(DATOS!$D$2:$D$20000=A215)*(DATOS!$I$2:$I$20000=B215)*(DATOS!$L$2:$L$20000="N"))/D215,"—")</f>
        <v>—</v>
      </c>
      <c r="J215" t="str" cm="1">
        <f t="array" ref="J215">IFERROR(_xlfn.MODE.SNGL(_xlfn._xlws.FILTER(DATOS!$K$2:$K$20000,(DATOS!$G$2:$G$20000=CONFIG_METADATA!$B$4)*(DATOS!$D$2:$D$20000=A215)*(DATOS!$I$2:$I$20000=B215)*(DATOS!$L$2:$L$20000="S"))),"—")</f>
        <v>—</v>
      </c>
      <c r="K215" t="str" cm="1">
        <f t="array" ref="K215">IFERROR(_xlfn.MODE.SNGL(_xlfn._xlws.FILTER(DATOS!$K$2:$K$20000,(DATOS!$G$2:$G$20000=CONFIG_METADATA!$B$4)*(DATOS!$D$2:$D$20000=A215)*(DATOS!$I$2:$I$20000=B215)*(DATOS!$L$2:$L$20000="N"))),"—")</f>
        <v>—</v>
      </c>
      <c r="L215">
        <f>SUMPRODUCT((DATOS!$G$2:$G$20000=CONFIG_METADATA!$B$4)*(DATOS!$D$2:$D$20000=A215)*(DATOS!$I$2:$I$20000=B215)*(DATOS!$K$2:$K$20000=1))</f>
        <v>0</v>
      </c>
      <c r="M215">
        <f>SUMPRODUCT((DATOS!$G$2:$G$20000=CONFIG_METADATA!$B$4)*(DATOS!$D$2:$D$20000=A215)*(DATOS!$I$2:$I$20000=B215)*(DATOS!$K$2:$K$20000=2))</f>
        <v>0</v>
      </c>
      <c r="N215">
        <f>SUMPRODUCT((DATOS!$G$2:$G$20000=CONFIG_METADATA!$B$4)*(DATOS!$D$2:$D$20000=A215)*(DATOS!$I$2:$I$20000=B215)*(DATOS!$K$2:$K$20000=3))</f>
        <v>0</v>
      </c>
      <c r="O215">
        <f>SUMPRODUCT((DATOS!$G$2:$G$20000=CONFIG_METADATA!$B$4)*(DATOS!$D$2:$D$20000=A215)*(DATOS!$I$2:$I$20000=B215)*(DATOS!$K$2:$K$20000=4))</f>
        <v>0</v>
      </c>
      <c r="P215">
        <f>SUMPRODUCT((DATOS!$G$2:$G$20000=CONFIG_METADATA!$B$4)*(DATOS!$D$2:$D$20000=A215)*(DATOS!$I$2:$I$20000=B215)*(DATOS!$K$2:$K$20000=5))</f>
        <v>0</v>
      </c>
      <c r="Q215">
        <f>SUMPRODUCT((DATOS!$G$2:$G$20000=CONFIG_METADATA!$B$4)*(DATOS!$D$2:$D$20000=A215)*(DATOS!$I$2:$I$20000=B215)*(DATOS!$K$2:$K$20000=6))</f>
        <v>0</v>
      </c>
      <c r="R215">
        <f>SUMPRODUCT((DATOS!$G$2:$G$20000=CONFIG_METADATA!$B$4)*(DATOS!$D$2:$D$20000=A215)*(DATOS!$I$2:$I$20000=B215)*(DATOS!$K$2:$K$20000=7))</f>
        <v>0</v>
      </c>
      <c r="S215">
        <f>SUMPRODUCT((DATOS!$G$2:$G$20000=CONFIG_METADATA!$B$4)*(DATOS!$D$2:$D$20000=A215)*(DATOS!$I$2:$I$20000=B215)*(DATOS!$K$2:$K$20000=8))</f>
        <v>0</v>
      </c>
      <c r="T215">
        <f>SUMPRODUCT((DATOS!$G$2:$G$20000=CONFIG_METADATA!$B$4)*(DATOS!$D$2:$D$20000=A215)*(DATOS!$I$2:$I$20000=B215)*(DATOS!$K$2:$K$20000=9))</f>
        <v>0</v>
      </c>
      <c r="U215">
        <f>SUMPRODUCT((DATOS!$G$2:$G$20000=CONFIG_METADATA!$B$4)*(DATOS!$D$2:$D$20000=A215)*(DATOS!$I$2:$I$20000=B215)*(DATOS!$K$2:$K$20000=10))</f>
        <v>0</v>
      </c>
    </row>
    <row r="216" spans="1:21" x14ac:dyDescent="0.2">
      <c r="A216" t="s">
        <v>83</v>
      </c>
      <c r="B216" t="s">
        <v>43</v>
      </c>
      <c r="C216" t="s">
        <v>25</v>
      </c>
      <c r="D216">
        <f>SUMPRODUCT((DATOS!$G$2:$G$20000=CONFIG_METADATA!$B$4)*(DATOS!$D$2:$D$20000=A216)*(DATOS!$I$2:$I$20000=B216))</f>
        <v>0</v>
      </c>
      <c r="E216" s="10" t="str">
        <f>IFERROR(SUMPRODUCT((DATOS!$G$2:$G$20000=CONFIG_METADATA!$B$4)*(DATOS!$D$2:$D$20000=A216)*(DATOS!$I$2:$I$20000=B216)*(DATOS!$K$2:$K$20000))/D216,"—")</f>
        <v>—</v>
      </c>
      <c r="F216" s="10" t="str" cm="1">
        <f t="array" ref="F216">IFERROR(_xlfn.STDEV.P(_xlfn._xlws.FILTER(DATOS!$K$2:$K$20000,(DATOS!$G$2:$G$20000=CONFIG_METADATA!$B$4)*(DATOS!$D$2:$D$20000=A216)*(DATOS!$I$2:$I$20000=B216))),"—")</f>
        <v>—</v>
      </c>
      <c r="G216" t="str" cm="1">
        <f t="array" ref="G216">IFERROR(_xlfn.MODE.SNGL(_xlfn._xlws.FILTER(DATOS!$K$2:$K$20000,(DATOS!$G$2:$G$20000=CONFIG_METADATA!$B$4)*(DATOS!$D$2:$D$20000=A216)*(DATOS!$I$2:$I$20000=B216))),"—")</f>
        <v>—</v>
      </c>
      <c r="H216" s="11" t="str">
        <f>IFERROR(SUMPRODUCT((DATOS!$G$2:$G$20000=CONFIG_METADATA!$B$4)*(DATOS!$D$2:$D$20000=A216)*(DATOS!$I$2:$I$20000=B216)*(DATOS!$L$2:$L$20000="S"))/D216,"—")</f>
        <v>—</v>
      </c>
      <c r="I216" s="11" t="str">
        <f>IFERROR(SUMPRODUCT((DATOS!$G$2:$G$20000=CONFIG_METADATA!$B$4)*(DATOS!$D$2:$D$20000=A216)*(DATOS!$I$2:$I$20000=B216)*(DATOS!$L$2:$L$20000="N"))/D216,"—")</f>
        <v>—</v>
      </c>
      <c r="J216" t="str" cm="1">
        <f t="array" ref="J216">IFERROR(_xlfn.MODE.SNGL(_xlfn._xlws.FILTER(DATOS!$K$2:$K$20000,(DATOS!$G$2:$G$20000=CONFIG_METADATA!$B$4)*(DATOS!$D$2:$D$20000=A216)*(DATOS!$I$2:$I$20000=B216)*(DATOS!$L$2:$L$20000="S"))),"—")</f>
        <v>—</v>
      </c>
      <c r="K216" t="str" cm="1">
        <f t="array" ref="K216">IFERROR(_xlfn.MODE.SNGL(_xlfn._xlws.FILTER(DATOS!$K$2:$K$20000,(DATOS!$G$2:$G$20000=CONFIG_METADATA!$B$4)*(DATOS!$D$2:$D$20000=A216)*(DATOS!$I$2:$I$20000=B216)*(DATOS!$L$2:$L$20000="N"))),"—")</f>
        <v>—</v>
      </c>
      <c r="L216">
        <f>SUMPRODUCT((DATOS!$G$2:$G$20000=CONFIG_METADATA!$B$4)*(DATOS!$D$2:$D$20000=A216)*(DATOS!$I$2:$I$20000=B216)*(DATOS!$K$2:$K$20000=1))</f>
        <v>0</v>
      </c>
      <c r="M216">
        <f>SUMPRODUCT((DATOS!$G$2:$G$20000=CONFIG_METADATA!$B$4)*(DATOS!$D$2:$D$20000=A216)*(DATOS!$I$2:$I$20000=B216)*(DATOS!$K$2:$K$20000=2))</f>
        <v>0</v>
      </c>
      <c r="N216">
        <f>SUMPRODUCT((DATOS!$G$2:$G$20000=CONFIG_METADATA!$B$4)*(DATOS!$D$2:$D$20000=A216)*(DATOS!$I$2:$I$20000=B216)*(DATOS!$K$2:$K$20000=3))</f>
        <v>0</v>
      </c>
      <c r="O216">
        <f>SUMPRODUCT((DATOS!$G$2:$G$20000=CONFIG_METADATA!$B$4)*(DATOS!$D$2:$D$20000=A216)*(DATOS!$I$2:$I$20000=B216)*(DATOS!$K$2:$K$20000=4))</f>
        <v>0</v>
      </c>
      <c r="P216">
        <f>SUMPRODUCT((DATOS!$G$2:$G$20000=CONFIG_METADATA!$B$4)*(DATOS!$D$2:$D$20000=A216)*(DATOS!$I$2:$I$20000=B216)*(DATOS!$K$2:$K$20000=5))</f>
        <v>0</v>
      </c>
      <c r="Q216">
        <f>SUMPRODUCT((DATOS!$G$2:$G$20000=CONFIG_METADATA!$B$4)*(DATOS!$D$2:$D$20000=A216)*(DATOS!$I$2:$I$20000=B216)*(DATOS!$K$2:$K$20000=6))</f>
        <v>0</v>
      </c>
      <c r="R216">
        <f>SUMPRODUCT((DATOS!$G$2:$G$20000=CONFIG_METADATA!$B$4)*(DATOS!$D$2:$D$20000=A216)*(DATOS!$I$2:$I$20000=B216)*(DATOS!$K$2:$K$20000=7))</f>
        <v>0</v>
      </c>
      <c r="S216">
        <f>SUMPRODUCT((DATOS!$G$2:$G$20000=CONFIG_METADATA!$B$4)*(DATOS!$D$2:$D$20000=A216)*(DATOS!$I$2:$I$20000=B216)*(DATOS!$K$2:$K$20000=8))</f>
        <v>0</v>
      </c>
      <c r="T216">
        <f>SUMPRODUCT((DATOS!$G$2:$G$20000=CONFIG_METADATA!$B$4)*(DATOS!$D$2:$D$20000=A216)*(DATOS!$I$2:$I$20000=B216)*(DATOS!$K$2:$K$20000=9))</f>
        <v>0</v>
      </c>
      <c r="U216">
        <f>SUMPRODUCT((DATOS!$G$2:$G$20000=CONFIG_METADATA!$B$4)*(DATOS!$D$2:$D$20000=A216)*(DATOS!$I$2:$I$20000=B216)*(DATOS!$K$2:$K$20000=10))</f>
        <v>0</v>
      </c>
    </row>
    <row r="217" spans="1:21" x14ac:dyDescent="0.2">
      <c r="A217" t="s">
        <v>83</v>
      </c>
      <c r="B217" t="s">
        <v>44</v>
      </c>
      <c r="C217" t="s">
        <v>25</v>
      </c>
      <c r="D217">
        <f>SUMPRODUCT((DATOS!$G$2:$G$20000=CONFIG_METADATA!$B$4)*(DATOS!$D$2:$D$20000=A217)*(DATOS!$I$2:$I$20000=B217))</f>
        <v>0</v>
      </c>
      <c r="E217" s="10" t="str">
        <f>IFERROR(SUMPRODUCT((DATOS!$G$2:$G$20000=CONFIG_METADATA!$B$4)*(DATOS!$D$2:$D$20000=A217)*(DATOS!$I$2:$I$20000=B217)*(DATOS!$K$2:$K$20000))/D217,"—")</f>
        <v>—</v>
      </c>
      <c r="F217" s="10" t="str" cm="1">
        <f t="array" ref="F217">IFERROR(_xlfn.STDEV.P(_xlfn._xlws.FILTER(DATOS!$K$2:$K$20000,(DATOS!$G$2:$G$20000=CONFIG_METADATA!$B$4)*(DATOS!$D$2:$D$20000=A217)*(DATOS!$I$2:$I$20000=B217))),"—")</f>
        <v>—</v>
      </c>
      <c r="G217" t="str" cm="1">
        <f t="array" ref="G217">IFERROR(_xlfn.MODE.SNGL(_xlfn._xlws.FILTER(DATOS!$K$2:$K$20000,(DATOS!$G$2:$G$20000=CONFIG_METADATA!$B$4)*(DATOS!$D$2:$D$20000=A217)*(DATOS!$I$2:$I$20000=B217))),"—")</f>
        <v>—</v>
      </c>
      <c r="H217" s="11" t="str">
        <f>IFERROR(SUMPRODUCT((DATOS!$G$2:$G$20000=CONFIG_METADATA!$B$4)*(DATOS!$D$2:$D$20000=A217)*(DATOS!$I$2:$I$20000=B217)*(DATOS!$L$2:$L$20000="S"))/D217,"—")</f>
        <v>—</v>
      </c>
      <c r="I217" s="11" t="str">
        <f>IFERROR(SUMPRODUCT((DATOS!$G$2:$G$20000=CONFIG_METADATA!$B$4)*(DATOS!$D$2:$D$20000=A217)*(DATOS!$I$2:$I$20000=B217)*(DATOS!$L$2:$L$20000="N"))/D217,"—")</f>
        <v>—</v>
      </c>
      <c r="J217" t="str" cm="1">
        <f t="array" ref="J217">IFERROR(_xlfn.MODE.SNGL(_xlfn._xlws.FILTER(DATOS!$K$2:$K$20000,(DATOS!$G$2:$G$20000=CONFIG_METADATA!$B$4)*(DATOS!$D$2:$D$20000=A217)*(DATOS!$I$2:$I$20000=B217)*(DATOS!$L$2:$L$20000="S"))),"—")</f>
        <v>—</v>
      </c>
      <c r="K217" t="str" cm="1">
        <f t="array" ref="K217">IFERROR(_xlfn.MODE.SNGL(_xlfn._xlws.FILTER(DATOS!$K$2:$K$20000,(DATOS!$G$2:$G$20000=CONFIG_METADATA!$B$4)*(DATOS!$D$2:$D$20000=A217)*(DATOS!$I$2:$I$20000=B217)*(DATOS!$L$2:$L$20000="N"))),"—")</f>
        <v>—</v>
      </c>
      <c r="L217">
        <f>SUMPRODUCT((DATOS!$G$2:$G$20000=CONFIG_METADATA!$B$4)*(DATOS!$D$2:$D$20000=A217)*(DATOS!$I$2:$I$20000=B217)*(DATOS!$K$2:$K$20000=1))</f>
        <v>0</v>
      </c>
      <c r="M217">
        <f>SUMPRODUCT((DATOS!$G$2:$G$20000=CONFIG_METADATA!$B$4)*(DATOS!$D$2:$D$20000=A217)*(DATOS!$I$2:$I$20000=B217)*(DATOS!$K$2:$K$20000=2))</f>
        <v>0</v>
      </c>
      <c r="N217">
        <f>SUMPRODUCT((DATOS!$G$2:$G$20000=CONFIG_METADATA!$B$4)*(DATOS!$D$2:$D$20000=A217)*(DATOS!$I$2:$I$20000=B217)*(DATOS!$K$2:$K$20000=3))</f>
        <v>0</v>
      </c>
      <c r="O217">
        <f>SUMPRODUCT((DATOS!$G$2:$G$20000=CONFIG_METADATA!$B$4)*(DATOS!$D$2:$D$20000=A217)*(DATOS!$I$2:$I$20000=B217)*(DATOS!$K$2:$K$20000=4))</f>
        <v>0</v>
      </c>
      <c r="P217">
        <f>SUMPRODUCT((DATOS!$G$2:$G$20000=CONFIG_METADATA!$B$4)*(DATOS!$D$2:$D$20000=A217)*(DATOS!$I$2:$I$20000=B217)*(DATOS!$K$2:$K$20000=5))</f>
        <v>0</v>
      </c>
      <c r="Q217">
        <f>SUMPRODUCT((DATOS!$G$2:$G$20000=CONFIG_METADATA!$B$4)*(DATOS!$D$2:$D$20000=A217)*(DATOS!$I$2:$I$20000=B217)*(DATOS!$K$2:$K$20000=6))</f>
        <v>0</v>
      </c>
      <c r="R217">
        <f>SUMPRODUCT((DATOS!$G$2:$G$20000=CONFIG_METADATA!$B$4)*(DATOS!$D$2:$D$20000=A217)*(DATOS!$I$2:$I$20000=B217)*(DATOS!$K$2:$K$20000=7))</f>
        <v>0</v>
      </c>
      <c r="S217">
        <f>SUMPRODUCT((DATOS!$G$2:$G$20000=CONFIG_METADATA!$B$4)*(DATOS!$D$2:$D$20000=A217)*(DATOS!$I$2:$I$20000=B217)*(DATOS!$K$2:$K$20000=8))</f>
        <v>0</v>
      </c>
      <c r="T217">
        <f>SUMPRODUCT((DATOS!$G$2:$G$20000=CONFIG_METADATA!$B$4)*(DATOS!$D$2:$D$20000=A217)*(DATOS!$I$2:$I$20000=B217)*(DATOS!$K$2:$K$20000=9))</f>
        <v>0</v>
      </c>
      <c r="U217">
        <f>SUMPRODUCT((DATOS!$G$2:$G$20000=CONFIG_METADATA!$B$4)*(DATOS!$D$2:$D$20000=A217)*(DATOS!$I$2:$I$20000=B217)*(DATOS!$K$2:$K$20000=10))</f>
        <v>0</v>
      </c>
    </row>
    <row r="218" spans="1:21" x14ac:dyDescent="0.2">
      <c r="A218" t="s">
        <v>83</v>
      </c>
      <c r="B218" t="s">
        <v>45</v>
      </c>
      <c r="C218" t="s">
        <v>25</v>
      </c>
      <c r="D218">
        <f>SUMPRODUCT((DATOS!$G$2:$G$20000=CONFIG_METADATA!$B$4)*(DATOS!$D$2:$D$20000=A218)*(DATOS!$I$2:$I$20000=B218))</f>
        <v>0</v>
      </c>
      <c r="E218" s="10" t="str">
        <f>IFERROR(SUMPRODUCT((DATOS!$G$2:$G$20000=CONFIG_METADATA!$B$4)*(DATOS!$D$2:$D$20000=A218)*(DATOS!$I$2:$I$20000=B218)*(DATOS!$K$2:$K$20000))/D218,"—")</f>
        <v>—</v>
      </c>
      <c r="F218" s="10" t="str" cm="1">
        <f t="array" ref="F218">IFERROR(_xlfn.STDEV.P(_xlfn._xlws.FILTER(DATOS!$K$2:$K$20000,(DATOS!$G$2:$G$20000=CONFIG_METADATA!$B$4)*(DATOS!$D$2:$D$20000=A218)*(DATOS!$I$2:$I$20000=B218))),"—")</f>
        <v>—</v>
      </c>
      <c r="G218" t="str" cm="1">
        <f t="array" ref="G218">IFERROR(_xlfn.MODE.SNGL(_xlfn._xlws.FILTER(DATOS!$K$2:$K$20000,(DATOS!$G$2:$G$20000=CONFIG_METADATA!$B$4)*(DATOS!$D$2:$D$20000=A218)*(DATOS!$I$2:$I$20000=B218))),"—")</f>
        <v>—</v>
      </c>
      <c r="H218" s="11" t="str">
        <f>IFERROR(SUMPRODUCT((DATOS!$G$2:$G$20000=CONFIG_METADATA!$B$4)*(DATOS!$D$2:$D$20000=A218)*(DATOS!$I$2:$I$20000=B218)*(DATOS!$L$2:$L$20000="S"))/D218,"—")</f>
        <v>—</v>
      </c>
      <c r="I218" s="11" t="str">
        <f>IFERROR(SUMPRODUCT((DATOS!$G$2:$G$20000=CONFIG_METADATA!$B$4)*(DATOS!$D$2:$D$20000=A218)*(DATOS!$I$2:$I$20000=B218)*(DATOS!$L$2:$L$20000="N"))/D218,"—")</f>
        <v>—</v>
      </c>
      <c r="J218" t="str" cm="1">
        <f t="array" ref="J218">IFERROR(_xlfn.MODE.SNGL(_xlfn._xlws.FILTER(DATOS!$K$2:$K$20000,(DATOS!$G$2:$G$20000=CONFIG_METADATA!$B$4)*(DATOS!$D$2:$D$20000=A218)*(DATOS!$I$2:$I$20000=B218)*(DATOS!$L$2:$L$20000="S"))),"—")</f>
        <v>—</v>
      </c>
      <c r="K218" t="str" cm="1">
        <f t="array" ref="K218">IFERROR(_xlfn.MODE.SNGL(_xlfn._xlws.FILTER(DATOS!$K$2:$K$20000,(DATOS!$G$2:$G$20000=CONFIG_METADATA!$B$4)*(DATOS!$D$2:$D$20000=A218)*(DATOS!$I$2:$I$20000=B218)*(DATOS!$L$2:$L$20000="N"))),"—")</f>
        <v>—</v>
      </c>
      <c r="L218">
        <f>SUMPRODUCT((DATOS!$G$2:$G$20000=CONFIG_METADATA!$B$4)*(DATOS!$D$2:$D$20000=A218)*(DATOS!$I$2:$I$20000=B218)*(DATOS!$K$2:$K$20000=1))</f>
        <v>0</v>
      </c>
      <c r="M218">
        <f>SUMPRODUCT((DATOS!$G$2:$G$20000=CONFIG_METADATA!$B$4)*(DATOS!$D$2:$D$20000=A218)*(DATOS!$I$2:$I$20000=B218)*(DATOS!$K$2:$K$20000=2))</f>
        <v>0</v>
      </c>
      <c r="N218">
        <f>SUMPRODUCT((DATOS!$G$2:$G$20000=CONFIG_METADATA!$B$4)*(DATOS!$D$2:$D$20000=A218)*(DATOS!$I$2:$I$20000=B218)*(DATOS!$K$2:$K$20000=3))</f>
        <v>0</v>
      </c>
      <c r="O218">
        <f>SUMPRODUCT((DATOS!$G$2:$G$20000=CONFIG_METADATA!$B$4)*(DATOS!$D$2:$D$20000=A218)*(DATOS!$I$2:$I$20000=B218)*(DATOS!$K$2:$K$20000=4))</f>
        <v>0</v>
      </c>
      <c r="P218">
        <f>SUMPRODUCT((DATOS!$G$2:$G$20000=CONFIG_METADATA!$B$4)*(DATOS!$D$2:$D$20000=A218)*(DATOS!$I$2:$I$20000=B218)*(DATOS!$K$2:$K$20000=5))</f>
        <v>0</v>
      </c>
      <c r="Q218">
        <f>SUMPRODUCT((DATOS!$G$2:$G$20000=CONFIG_METADATA!$B$4)*(DATOS!$D$2:$D$20000=A218)*(DATOS!$I$2:$I$20000=B218)*(DATOS!$K$2:$K$20000=6))</f>
        <v>0</v>
      </c>
      <c r="R218">
        <f>SUMPRODUCT((DATOS!$G$2:$G$20000=CONFIG_METADATA!$B$4)*(DATOS!$D$2:$D$20000=A218)*(DATOS!$I$2:$I$20000=B218)*(DATOS!$K$2:$K$20000=7))</f>
        <v>0</v>
      </c>
      <c r="S218">
        <f>SUMPRODUCT((DATOS!$G$2:$G$20000=CONFIG_METADATA!$B$4)*(DATOS!$D$2:$D$20000=A218)*(DATOS!$I$2:$I$20000=B218)*(DATOS!$K$2:$K$20000=8))</f>
        <v>0</v>
      </c>
      <c r="T218">
        <f>SUMPRODUCT((DATOS!$G$2:$G$20000=CONFIG_METADATA!$B$4)*(DATOS!$D$2:$D$20000=A218)*(DATOS!$I$2:$I$20000=B218)*(DATOS!$K$2:$K$20000=9))</f>
        <v>0</v>
      </c>
      <c r="U218">
        <f>SUMPRODUCT((DATOS!$G$2:$G$20000=CONFIG_METADATA!$B$4)*(DATOS!$D$2:$D$20000=A218)*(DATOS!$I$2:$I$20000=B218)*(DATOS!$K$2:$K$20000=10))</f>
        <v>0</v>
      </c>
    </row>
    <row r="219" spans="1:21" x14ac:dyDescent="0.2">
      <c r="A219" t="s">
        <v>83</v>
      </c>
      <c r="B219" t="s">
        <v>46</v>
      </c>
      <c r="C219" t="s">
        <v>25</v>
      </c>
      <c r="D219">
        <f>SUMPRODUCT((DATOS!$G$2:$G$20000=CONFIG_METADATA!$B$4)*(DATOS!$D$2:$D$20000=A219)*(DATOS!$I$2:$I$20000=B219))</f>
        <v>0</v>
      </c>
      <c r="E219" s="10" t="str">
        <f>IFERROR(SUMPRODUCT((DATOS!$G$2:$G$20000=CONFIG_METADATA!$B$4)*(DATOS!$D$2:$D$20000=A219)*(DATOS!$I$2:$I$20000=B219)*(DATOS!$K$2:$K$20000))/D219,"—")</f>
        <v>—</v>
      </c>
      <c r="F219" s="10" t="str" cm="1">
        <f t="array" ref="F219">IFERROR(_xlfn.STDEV.P(_xlfn._xlws.FILTER(DATOS!$K$2:$K$20000,(DATOS!$G$2:$G$20000=CONFIG_METADATA!$B$4)*(DATOS!$D$2:$D$20000=A219)*(DATOS!$I$2:$I$20000=B219))),"—")</f>
        <v>—</v>
      </c>
      <c r="G219" t="str" cm="1">
        <f t="array" ref="G219">IFERROR(_xlfn.MODE.SNGL(_xlfn._xlws.FILTER(DATOS!$K$2:$K$20000,(DATOS!$G$2:$G$20000=CONFIG_METADATA!$B$4)*(DATOS!$D$2:$D$20000=A219)*(DATOS!$I$2:$I$20000=B219))),"—")</f>
        <v>—</v>
      </c>
      <c r="H219" s="11" t="str">
        <f>IFERROR(SUMPRODUCT((DATOS!$G$2:$G$20000=CONFIG_METADATA!$B$4)*(DATOS!$D$2:$D$20000=A219)*(DATOS!$I$2:$I$20000=B219)*(DATOS!$L$2:$L$20000="S"))/D219,"—")</f>
        <v>—</v>
      </c>
      <c r="I219" s="11" t="str">
        <f>IFERROR(SUMPRODUCT((DATOS!$G$2:$G$20000=CONFIG_METADATA!$B$4)*(DATOS!$D$2:$D$20000=A219)*(DATOS!$I$2:$I$20000=B219)*(DATOS!$L$2:$L$20000="N"))/D219,"—")</f>
        <v>—</v>
      </c>
      <c r="J219" t="str" cm="1">
        <f t="array" ref="J219">IFERROR(_xlfn.MODE.SNGL(_xlfn._xlws.FILTER(DATOS!$K$2:$K$20000,(DATOS!$G$2:$G$20000=CONFIG_METADATA!$B$4)*(DATOS!$D$2:$D$20000=A219)*(DATOS!$I$2:$I$20000=B219)*(DATOS!$L$2:$L$20000="S"))),"—")</f>
        <v>—</v>
      </c>
      <c r="K219" t="str" cm="1">
        <f t="array" ref="K219">IFERROR(_xlfn.MODE.SNGL(_xlfn._xlws.FILTER(DATOS!$K$2:$K$20000,(DATOS!$G$2:$G$20000=CONFIG_METADATA!$B$4)*(DATOS!$D$2:$D$20000=A219)*(DATOS!$I$2:$I$20000=B219)*(DATOS!$L$2:$L$20000="N"))),"—")</f>
        <v>—</v>
      </c>
      <c r="L219">
        <f>SUMPRODUCT((DATOS!$G$2:$G$20000=CONFIG_METADATA!$B$4)*(DATOS!$D$2:$D$20000=A219)*(DATOS!$I$2:$I$20000=B219)*(DATOS!$K$2:$K$20000=1))</f>
        <v>0</v>
      </c>
      <c r="M219">
        <f>SUMPRODUCT((DATOS!$G$2:$G$20000=CONFIG_METADATA!$B$4)*(DATOS!$D$2:$D$20000=A219)*(DATOS!$I$2:$I$20000=B219)*(DATOS!$K$2:$K$20000=2))</f>
        <v>0</v>
      </c>
      <c r="N219">
        <f>SUMPRODUCT((DATOS!$G$2:$G$20000=CONFIG_METADATA!$B$4)*(DATOS!$D$2:$D$20000=A219)*(DATOS!$I$2:$I$20000=B219)*(DATOS!$K$2:$K$20000=3))</f>
        <v>0</v>
      </c>
      <c r="O219">
        <f>SUMPRODUCT((DATOS!$G$2:$G$20000=CONFIG_METADATA!$B$4)*(DATOS!$D$2:$D$20000=A219)*(DATOS!$I$2:$I$20000=B219)*(DATOS!$K$2:$K$20000=4))</f>
        <v>0</v>
      </c>
      <c r="P219">
        <f>SUMPRODUCT((DATOS!$G$2:$G$20000=CONFIG_METADATA!$B$4)*(DATOS!$D$2:$D$20000=A219)*(DATOS!$I$2:$I$20000=B219)*(DATOS!$K$2:$K$20000=5))</f>
        <v>0</v>
      </c>
      <c r="Q219">
        <f>SUMPRODUCT((DATOS!$G$2:$G$20000=CONFIG_METADATA!$B$4)*(DATOS!$D$2:$D$20000=A219)*(DATOS!$I$2:$I$20000=B219)*(DATOS!$K$2:$K$20000=6))</f>
        <v>0</v>
      </c>
      <c r="R219">
        <f>SUMPRODUCT((DATOS!$G$2:$G$20000=CONFIG_METADATA!$B$4)*(DATOS!$D$2:$D$20000=A219)*(DATOS!$I$2:$I$20000=B219)*(DATOS!$K$2:$K$20000=7))</f>
        <v>0</v>
      </c>
      <c r="S219">
        <f>SUMPRODUCT((DATOS!$G$2:$G$20000=CONFIG_METADATA!$B$4)*(DATOS!$D$2:$D$20000=A219)*(DATOS!$I$2:$I$20000=B219)*(DATOS!$K$2:$K$20000=8))</f>
        <v>0</v>
      </c>
      <c r="T219">
        <f>SUMPRODUCT((DATOS!$G$2:$G$20000=CONFIG_METADATA!$B$4)*(DATOS!$D$2:$D$20000=A219)*(DATOS!$I$2:$I$20000=B219)*(DATOS!$K$2:$K$20000=9))</f>
        <v>0</v>
      </c>
      <c r="U219">
        <f>SUMPRODUCT((DATOS!$G$2:$G$20000=CONFIG_METADATA!$B$4)*(DATOS!$D$2:$D$20000=A219)*(DATOS!$I$2:$I$20000=B219)*(DATOS!$K$2:$K$20000=10))</f>
        <v>0</v>
      </c>
    </row>
    <row r="220" spans="1:21" x14ac:dyDescent="0.2">
      <c r="A220" t="s">
        <v>83</v>
      </c>
      <c r="B220" t="s">
        <v>47</v>
      </c>
      <c r="C220" t="s">
        <v>25</v>
      </c>
      <c r="D220">
        <f>SUMPRODUCT((DATOS!$G$2:$G$20000=CONFIG_METADATA!$B$4)*(DATOS!$D$2:$D$20000=A220)*(DATOS!$I$2:$I$20000=B220))</f>
        <v>0</v>
      </c>
      <c r="E220" s="10" t="str">
        <f>IFERROR(SUMPRODUCT((DATOS!$G$2:$G$20000=CONFIG_METADATA!$B$4)*(DATOS!$D$2:$D$20000=A220)*(DATOS!$I$2:$I$20000=B220)*(DATOS!$K$2:$K$20000))/D220,"—")</f>
        <v>—</v>
      </c>
      <c r="F220" s="10" t="str" cm="1">
        <f t="array" ref="F220">IFERROR(_xlfn.STDEV.P(_xlfn._xlws.FILTER(DATOS!$K$2:$K$20000,(DATOS!$G$2:$G$20000=CONFIG_METADATA!$B$4)*(DATOS!$D$2:$D$20000=A220)*(DATOS!$I$2:$I$20000=B220))),"—")</f>
        <v>—</v>
      </c>
      <c r="G220" t="str" cm="1">
        <f t="array" ref="G220">IFERROR(_xlfn.MODE.SNGL(_xlfn._xlws.FILTER(DATOS!$K$2:$K$20000,(DATOS!$G$2:$G$20000=CONFIG_METADATA!$B$4)*(DATOS!$D$2:$D$20000=A220)*(DATOS!$I$2:$I$20000=B220))),"—")</f>
        <v>—</v>
      </c>
      <c r="H220" s="11" t="str">
        <f>IFERROR(SUMPRODUCT((DATOS!$G$2:$G$20000=CONFIG_METADATA!$B$4)*(DATOS!$D$2:$D$20000=A220)*(DATOS!$I$2:$I$20000=B220)*(DATOS!$L$2:$L$20000="S"))/D220,"—")</f>
        <v>—</v>
      </c>
      <c r="I220" s="11" t="str">
        <f>IFERROR(SUMPRODUCT((DATOS!$G$2:$G$20000=CONFIG_METADATA!$B$4)*(DATOS!$D$2:$D$20000=A220)*(DATOS!$I$2:$I$20000=B220)*(DATOS!$L$2:$L$20000="N"))/D220,"—")</f>
        <v>—</v>
      </c>
      <c r="J220" t="str" cm="1">
        <f t="array" ref="J220">IFERROR(_xlfn.MODE.SNGL(_xlfn._xlws.FILTER(DATOS!$K$2:$K$20000,(DATOS!$G$2:$G$20000=CONFIG_METADATA!$B$4)*(DATOS!$D$2:$D$20000=A220)*(DATOS!$I$2:$I$20000=B220)*(DATOS!$L$2:$L$20000="S"))),"—")</f>
        <v>—</v>
      </c>
      <c r="K220" t="str" cm="1">
        <f t="array" ref="K220">IFERROR(_xlfn.MODE.SNGL(_xlfn._xlws.FILTER(DATOS!$K$2:$K$20000,(DATOS!$G$2:$G$20000=CONFIG_METADATA!$B$4)*(DATOS!$D$2:$D$20000=A220)*(DATOS!$I$2:$I$20000=B220)*(DATOS!$L$2:$L$20000="N"))),"—")</f>
        <v>—</v>
      </c>
      <c r="L220">
        <f>SUMPRODUCT((DATOS!$G$2:$G$20000=CONFIG_METADATA!$B$4)*(DATOS!$D$2:$D$20000=A220)*(DATOS!$I$2:$I$20000=B220)*(DATOS!$K$2:$K$20000=1))</f>
        <v>0</v>
      </c>
      <c r="M220">
        <f>SUMPRODUCT((DATOS!$G$2:$G$20000=CONFIG_METADATA!$B$4)*(DATOS!$D$2:$D$20000=A220)*(DATOS!$I$2:$I$20000=B220)*(DATOS!$K$2:$K$20000=2))</f>
        <v>0</v>
      </c>
      <c r="N220">
        <f>SUMPRODUCT((DATOS!$G$2:$G$20000=CONFIG_METADATA!$B$4)*(DATOS!$D$2:$D$20000=A220)*(DATOS!$I$2:$I$20000=B220)*(DATOS!$K$2:$K$20000=3))</f>
        <v>0</v>
      </c>
      <c r="O220">
        <f>SUMPRODUCT((DATOS!$G$2:$G$20000=CONFIG_METADATA!$B$4)*(DATOS!$D$2:$D$20000=A220)*(DATOS!$I$2:$I$20000=B220)*(DATOS!$K$2:$K$20000=4))</f>
        <v>0</v>
      </c>
      <c r="P220">
        <f>SUMPRODUCT((DATOS!$G$2:$G$20000=CONFIG_METADATA!$B$4)*(DATOS!$D$2:$D$20000=A220)*(DATOS!$I$2:$I$20000=B220)*(DATOS!$K$2:$K$20000=5))</f>
        <v>0</v>
      </c>
      <c r="Q220">
        <f>SUMPRODUCT((DATOS!$G$2:$G$20000=CONFIG_METADATA!$B$4)*(DATOS!$D$2:$D$20000=A220)*(DATOS!$I$2:$I$20000=B220)*(DATOS!$K$2:$K$20000=6))</f>
        <v>0</v>
      </c>
      <c r="R220">
        <f>SUMPRODUCT((DATOS!$G$2:$G$20000=CONFIG_METADATA!$B$4)*(DATOS!$D$2:$D$20000=A220)*(DATOS!$I$2:$I$20000=B220)*(DATOS!$K$2:$K$20000=7))</f>
        <v>0</v>
      </c>
      <c r="S220">
        <f>SUMPRODUCT((DATOS!$G$2:$G$20000=CONFIG_METADATA!$B$4)*(DATOS!$D$2:$D$20000=A220)*(DATOS!$I$2:$I$20000=B220)*(DATOS!$K$2:$K$20000=8))</f>
        <v>0</v>
      </c>
      <c r="T220">
        <f>SUMPRODUCT((DATOS!$G$2:$G$20000=CONFIG_METADATA!$B$4)*(DATOS!$D$2:$D$20000=A220)*(DATOS!$I$2:$I$20000=B220)*(DATOS!$K$2:$K$20000=9))</f>
        <v>0</v>
      </c>
      <c r="U220">
        <f>SUMPRODUCT((DATOS!$G$2:$G$20000=CONFIG_METADATA!$B$4)*(DATOS!$D$2:$D$20000=A220)*(DATOS!$I$2:$I$20000=B220)*(DATOS!$K$2:$K$20000=10))</f>
        <v>0</v>
      </c>
    </row>
    <row r="221" spans="1:21" x14ac:dyDescent="0.2">
      <c r="A221" t="s">
        <v>83</v>
      </c>
      <c r="B221" t="s">
        <v>48</v>
      </c>
      <c r="C221" t="s">
        <v>25</v>
      </c>
      <c r="D221">
        <f>SUMPRODUCT((DATOS!$G$2:$G$20000=CONFIG_METADATA!$B$4)*(DATOS!$D$2:$D$20000=A221)*(DATOS!$I$2:$I$20000=B221))</f>
        <v>0</v>
      </c>
      <c r="E221" s="10" t="str">
        <f>IFERROR(SUMPRODUCT((DATOS!$G$2:$G$20000=CONFIG_METADATA!$B$4)*(DATOS!$D$2:$D$20000=A221)*(DATOS!$I$2:$I$20000=B221)*(DATOS!$K$2:$K$20000))/D221,"—")</f>
        <v>—</v>
      </c>
      <c r="F221" s="10" t="str" cm="1">
        <f t="array" ref="F221">IFERROR(_xlfn.STDEV.P(_xlfn._xlws.FILTER(DATOS!$K$2:$K$20000,(DATOS!$G$2:$G$20000=CONFIG_METADATA!$B$4)*(DATOS!$D$2:$D$20000=A221)*(DATOS!$I$2:$I$20000=B221))),"—")</f>
        <v>—</v>
      </c>
      <c r="G221" t="str" cm="1">
        <f t="array" ref="G221">IFERROR(_xlfn.MODE.SNGL(_xlfn._xlws.FILTER(DATOS!$K$2:$K$20000,(DATOS!$G$2:$G$20000=CONFIG_METADATA!$B$4)*(DATOS!$D$2:$D$20000=A221)*(DATOS!$I$2:$I$20000=B221))),"—")</f>
        <v>—</v>
      </c>
      <c r="H221" s="11" t="str">
        <f>IFERROR(SUMPRODUCT((DATOS!$G$2:$G$20000=CONFIG_METADATA!$B$4)*(DATOS!$D$2:$D$20000=A221)*(DATOS!$I$2:$I$20000=B221)*(DATOS!$L$2:$L$20000="S"))/D221,"—")</f>
        <v>—</v>
      </c>
      <c r="I221" s="11" t="str">
        <f>IFERROR(SUMPRODUCT((DATOS!$G$2:$G$20000=CONFIG_METADATA!$B$4)*(DATOS!$D$2:$D$20000=A221)*(DATOS!$I$2:$I$20000=B221)*(DATOS!$L$2:$L$20000="N"))/D221,"—")</f>
        <v>—</v>
      </c>
      <c r="J221" t="str" cm="1">
        <f t="array" ref="J221">IFERROR(_xlfn.MODE.SNGL(_xlfn._xlws.FILTER(DATOS!$K$2:$K$20000,(DATOS!$G$2:$G$20000=CONFIG_METADATA!$B$4)*(DATOS!$D$2:$D$20000=A221)*(DATOS!$I$2:$I$20000=B221)*(DATOS!$L$2:$L$20000="S"))),"—")</f>
        <v>—</v>
      </c>
      <c r="K221" t="str" cm="1">
        <f t="array" ref="K221">IFERROR(_xlfn.MODE.SNGL(_xlfn._xlws.FILTER(DATOS!$K$2:$K$20000,(DATOS!$G$2:$G$20000=CONFIG_METADATA!$B$4)*(DATOS!$D$2:$D$20000=A221)*(DATOS!$I$2:$I$20000=B221)*(DATOS!$L$2:$L$20000="N"))),"—")</f>
        <v>—</v>
      </c>
      <c r="L221">
        <f>SUMPRODUCT((DATOS!$G$2:$G$20000=CONFIG_METADATA!$B$4)*(DATOS!$D$2:$D$20000=A221)*(DATOS!$I$2:$I$20000=B221)*(DATOS!$K$2:$K$20000=1))</f>
        <v>0</v>
      </c>
      <c r="M221">
        <f>SUMPRODUCT((DATOS!$G$2:$G$20000=CONFIG_METADATA!$B$4)*(DATOS!$D$2:$D$20000=A221)*(DATOS!$I$2:$I$20000=B221)*(DATOS!$K$2:$K$20000=2))</f>
        <v>0</v>
      </c>
      <c r="N221">
        <f>SUMPRODUCT((DATOS!$G$2:$G$20000=CONFIG_METADATA!$B$4)*(DATOS!$D$2:$D$20000=A221)*(DATOS!$I$2:$I$20000=B221)*(DATOS!$K$2:$K$20000=3))</f>
        <v>0</v>
      </c>
      <c r="O221">
        <f>SUMPRODUCT((DATOS!$G$2:$G$20000=CONFIG_METADATA!$B$4)*(DATOS!$D$2:$D$20000=A221)*(DATOS!$I$2:$I$20000=B221)*(DATOS!$K$2:$K$20000=4))</f>
        <v>0</v>
      </c>
      <c r="P221">
        <f>SUMPRODUCT((DATOS!$G$2:$G$20000=CONFIG_METADATA!$B$4)*(DATOS!$D$2:$D$20000=A221)*(DATOS!$I$2:$I$20000=B221)*(DATOS!$K$2:$K$20000=5))</f>
        <v>0</v>
      </c>
      <c r="Q221">
        <f>SUMPRODUCT((DATOS!$G$2:$G$20000=CONFIG_METADATA!$B$4)*(DATOS!$D$2:$D$20000=A221)*(DATOS!$I$2:$I$20000=B221)*(DATOS!$K$2:$K$20000=6))</f>
        <v>0</v>
      </c>
      <c r="R221">
        <f>SUMPRODUCT((DATOS!$G$2:$G$20000=CONFIG_METADATA!$B$4)*(DATOS!$D$2:$D$20000=A221)*(DATOS!$I$2:$I$20000=B221)*(DATOS!$K$2:$K$20000=7))</f>
        <v>0</v>
      </c>
      <c r="S221">
        <f>SUMPRODUCT((DATOS!$G$2:$G$20000=CONFIG_METADATA!$B$4)*(DATOS!$D$2:$D$20000=A221)*(DATOS!$I$2:$I$20000=B221)*(DATOS!$K$2:$K$20000=8))</f>
        <v>0</v>
      </c>
      <c r="T221">
        <f>SUMPRODUCT((DATOS!$G$2:$G$20000=CONFIG_METADATA!$B$4)*(DATOS!$D$2:$D$20000=A221)*(DATOS!$I$2:$I$20000=B221)*(DATOS!$K$2:$K$20000=9))</f>
        <v>0</v>
      </c>
      <c r="U221">
        <f>SUMPRODUCT((DATOS!$G$2:$G$20000=CONFIG_METADATA!$B$4)*(DATOS!$D$2:$D$20000=A221)*(DATOS!$I$2:$I$20000=B221)*(DATOS!$K$2:$K$20000=10))</f>
        <v>0</v>
      </c>
    </row>
    <row r="222" spans="1:21" x14ac:dyDescent="0.2">
      <c r="A222" t="s">
        <v>83</v>
      </c>
      <c r="B222" t="s">
        <v>49</v>
      </c>
      <c r="C222" t="s">
        <v>25</v>
      </c>
      <c r="D222">
        <f>SUMPRODUCT((DATOS!$G$2:$G$20000=CONFIG_METADATA!$B$4)*(DATOS!$D$2:$D$20000=A222)*(DATOS!$I$2:$I$20000=B222))</f>
        <v>0</v>
      </c>
      <c r="E222" s="10" t="str">
        <f>IFERROR(SUMPRODUCT((DATOS!$G$2:$G$20000=CONFIG_METADATA!$B$4)*(DATOS!$D$2:$D$20000=A222)*(DATOS!$I$2:$I$20000=B222)*(DATOS!$K$2:$K$20000))/D222,"—")</f>
        <v>—</v>
      </c>
      <c r="F222" s="10" t="str" cm="1">
        <f t="array" ref="F222">IFERROR(_xlfn.STDEV.P(_xlfn._xlws.FILTER(DATOS!$K$2:$K$20000,(DATOS!$G$2:$G$20000=CONFIG_METADATA!$B$4)*(DATOS!$D$2:$D$20000=A222)*(DATOS!$I$2:$I$20000=B222))),"—")</f>
        <v>—</v>
      </c>
      <c r="G222" t="str" cm="1">
        <f t="array" ref="G222">IFERROR(_xlfn.MODE.SNGL(_xlfn._xlws.FILTER(DATOS!$K$2:$K$20000,(DATOS!$G$2:$G$20000=CONFIG_METADATA!$B$4)*(DATOS!$D$2:$D$20000=A222)*(DATOS!$I$2:$I$20000=B222))),"—")</f>
        <v>—</v>
      </c>
      <c r="H222" s="11" t="str">
        <f>IFERROR(SUMPRODUCT((DATOS!$G$2:$G$20000=CONFIG_METADATA!$B$4)*(DATOS!$D$2:$D$20000=A222)*(DATOS!$I$2:$I$20000=B222)*(DATOS!$L$2:$L$20000="S"))/D222,"—")</f>
        <v>—</v>
      </c>
      <c r="I222" s="11" t="str">
        <f>IFERROR(SUMPRODUCT((DATOS!$G$2:$G$20000=CONFIG_METADATA!$B$4)*(DATOS!$D$2:$D$20000=A222)*(DATOS!$I$2:$I$20000=B222)*(DATOS!$L$2:$L$20000="N"))/D222,"—")</f>
        <v>—</v>
      </c>
      <c r="J222" t="str" cm="1">
        <f t="array" ref="J222">IFERROR(_xlfn.MODE.SNGL(_xlfn._xlws.FILTER(DATOS!$K$2:$K$20000,(DATOS!$G$2:$G$20000=CONFIG_METADATA!$B$4)*(DATOS!$D$2:$D$20000=A222)*(DATOS!$I$2:$I$20000=B222)*(DATOS!$L$2:$L$20000="S"))),"—")</f>
        <v>—</v>
      </c>
      <c r="K222" t="str" cm="1">
        <f t="array" ref="K222">IFERROR(_xlfn.MODE.SNGL(_xlfn._xlws.FILTER(DATOS!$K$2:$K$20000,(DATOS!$G$2:$G$20000=CONFIG_METADATA!$B$4)*(DATOS!$D$2:$D$20000=A222)*(DATOS!$I$2:$I$20000=B222)*(DATOS!$L$2:$L$20000="N"))),"—")</f>
        <v>—</v>
      </c>
      <c r="L222">
        <f>SUMPRODUCT((DATOS!$G$2:$G$20000=CONFIG_METADATA!$B$4)*(DATOS!$D$2:$D$20000=A222)*(DATOS!$I$2:$I$20000=B222)*(DATOS!$K$2:$K$20000=1))</f>
        <v>0</v>
      </c>
      <c r="M222">
        <f>SUMPRODUCT((DATOS!$G$2:$G$20000=CONFIG_METADATA!$B$4)*(DATOS!$D$2:$D$20000=A222)*(DATOS!$I$2:$I$20000=B222)*(DATOS!$K$2:$K$20000=2))</f>
        <v>0</v>
      </c>
      <c r="N222">
        <f>SUMPRODUCT((DATOS!$G$2:$G$20000=CONFIG_METADATA!$B$4)*(DATOS!$D$2:$D$20000=A222)*(DATOS!$I$2:$I$20000=B222)*(DATOS!$K$2:$K$20000=3))</f>
        <v>0</v>
      </c>
      <c r="O222">
        <f>SUMPRODUCT((DATOS!$G$2:$G$20000=CONFIG_METADATA!$B$4)*(DATOS!$D$2:$D$20000=A222)*(DATOS!$I$2:$I$20000=B222)*(DATOS!$K$2:$K$20000=4))</f>
        <v>0</v>
      </c>
      <c r="P222">
        <f>SUMPRODUCT((DATOS!$G$2:$G$20000=CONFIG_METADATA!$B$4)*(DATOS!$D$2:$D$20000=A222)*(DATOS!$I$2:$I$20000=B222)*(DATOS!$K$2:$K$20000=5))</f>
        <v>0</v>
      </c>
      <c r="Q222">
        <f>SUMPRODUCT((DATOS!$G$2:$G$20000=CONFIG_METADATA!$B$4)*(DATOS!$D$2:$D$20000=A222)*(DATOS!$I$2:$I$20000=B222)*(DATOS!$K$2:$K$20000=6))</f>
        <v>0</v>
      </c>
      <c r="R222">
        <f>SUMPRODUCT((DATOS!$G$2:$G$20000=CONFIG_METADATA!$B$4)*(DATOS!$D$2:$D$20000=A222)*(DATOS!$I$2:$I$20000=B222)*(DATOS!$K$2:$K$20000=7))</f>
        <v>0</v>
      </c>
      <c r="S222">
        <f>SUMPRODUCT((DATOS!$G$2:$G$20000=CONFIG_METADATA!$B$4)*(DATOS!$D$2:$D$20000=A222)*(DATOS!$I$2:$I$20000=B222)*(DATOS!$K$2:$K$20000=8))</f>
        <v>0</v>
      </c>
      <c r="T222">
        <f>SUMPRODUCT((DATOS!$G$2:$G$20000=CONFIG_METADATA!$B$4)*(DATOS!$D$2:$D$20000=A222)*(DATOS!$I$2:$I$20000=B222)*(DATOS!$K$2:$K$20000=9))</f>
        <v>0</v>
      </c>
      <c r="U222">
        <f>SUMPRODUCT((DATOS!$G$2:$G$20000=CONFIG_METADATA!$B$4)*(DATOS!$D$2:$D$20000=A222)*(DATOS!$I$2:$I$20000=B222)*(DATOS!$K$2:$K$20000=10))</f>
        <v>0</v>
      </c>
    </row>
    <row r="223" spans="1:21" x14ac:dyDescent="0.2">
      <c r="A223" t="s">
        <v>83</v>
      </c>
      <c r="B223" t="s">
        <v>50</v>
      </c>
      <c r="C223" t="s">
        <v>25</v>
      </c>
      <c r="D223">
        <f>SUMPRODUCT((DATOS!$G$2:$G$20000=CONFIG_METADATA!$B$4)*(DATOS!$D$2:$D$20000=A223)*(DATOS!$I$2:$I$20000=B223))</f>
        <v>0</v>
      </c>
      <c r="E223" s="10" t="str">
        <f>IFERROR(SUMPRODUCT((DATOS!$G$2:$G$20000=CONFIG_METADATA!$B$4)*(DATOS!$D$2:$D$20000=A223)*(DATOS!$I$2:$I$20000=B223)*(DATOS!$K$2:$K$20000))/D223,"—")</f>
        <v>—</v>
      </c>
      <c r="F223" s="10" t="str" cm="1">
        <f t="array" ref="F223">IFERROR(_xlfn.STDEV.P(_xlfn._xlws.FILTER(DATOS!$K$2:$K$20000,(DATOS!$G$2:$G$20000=CONFIG_METADATA!$B$4)*(DATOS!$D$2:$D$20000=A223)*(DATOS!$I$2:$I$20000=B223))),"—")</f>
        <v>—</v>
      </c>
      <c r="G223" t="str" cm="1">
        <f t="array" ref="G223">IFERROR(_xlfn.MODE.SNGL(_xlfn._xlws.FILTER(DATOS!$K$2:$K$20000,(DATOS!$G$2:$G$20000=CONFIG_METADATA!$B$4)*(DATOS!$D$2:$D$20000=A223)*(DATOS!$I$2:$I$20000=B223))),"—")</f>
        <v>—</v>
      </c>
      <c r="H223" s="11" t="str">
        <f>IFERROR(SUMPRODUCT((DATOS!$G$2:$G$20000=CONFIG_METADATA!$B$4)*(DATOS!$D$2:$D$20000=A223)*(DATOS!$I$2:$I$20000=B223)*(DATOS!$L$2:$L$20000="S"))/D223,"—")</f>
        <v>—</v>
      </c>
      <c r="I223" s="11" t="str">
        <f>IFERROR(SUMPRODUCT((DATOS!$G$2:$G$20000=CONFIG_METADATA!$B$4)*(DATOS!$D$2:$D$20000=A223)*(DATOS!$I$2:$I$20000=B223)*(DATOS!$L$2:$L$20000="N"))/D223,"—")</f>
        <v>—</v>
      </c>
      <c r="J223" t="str" cm="1">
        <f t="array" ref="J223">IFERROR(_xlfn.MODE.SNGL(_xlfn._xlws.FILTER(DATOS!$K$2:$K$20000,(DATOS!$G$2:$G$20000=CONFIG_METADATA!$B$4)*(DATOS!$D$2:$D$20000=A223)*(DATOS!$I$2:$I$20000=B223)*(DATOS!$L$2:$L$20000="S"))),"—")</f>
        <v>—</v>
      </c>
      <c r="K223" t="str" cm="1">
        <f t="array" ref="K223">IFERROR(_xlfn.MODE.SNGL(_xlfn._xlws.FILTER(DATOS!$K$2:$K$20000,(DATOS!$G$2:$G$20000=CONFIG_METADATA!$B$4)*(DATOS!$D$2:$D$20000=A223)*(DATOS!$I$2:$I$20000=B223)*(DATOS!$L$2:$L$20000="N"))),"—")</f>
        <v>—</v>
      </c>
      <c r="L223">
        <f>SUMPRODUCT((DATOS!$G$2:$G$20000=CONFIG_METADATA!$B$4)*(DATOS!$D$2:$D$20000=A223)*(DATOS!$I$2:$I$20000=B223)*(DATOS!$K$2:$K$20000=1))</f>
        <v>0</v>
      </c>
      <c r="M223">
        <f>SUMPRODUCT((DATOS!$G$2:$G$20000=CONFIG_METADATA!$B$4)*(DATOS!$D$2:$D$20000=A223)*(DATOS!$I$2:$I$20000=B223)*(DATOS!$K$2:$K$20000=2))</f>
        <v>0</v>
      </c>
      <c r="N223">
        <f>SUMPRODUCT((DATOS!$G$2:$G$20000=CONFIG_METADATA!$B$4)*(DATOS!$D$2:$D$20000=A223)*(DATOS!$I$2:$I$20000=B223)*(DATOS!$K$2:$K$20000=3))</f>
        <v>0</v>
      </c>
      <c r="O223">
        <f>SUMPRODUCT((DATOS!$G$2:$G$20000=CONFIG_METADATA!$B$4)*(DATOS!$D$2:$D$20000=A223)*(DATOS!$I$2:$I$20000=B223)*(DATOS!$K$2:$K$20000=4))</f>
        <v>0</v>
      </c>
      <c r="P223">
        <f>SUMPRODUCT((DATOS!$G$2:$G$20000=CONFIG_METADATA!$B$4)*(DATOS!$D$2:$D$20000=A223)*(DATOS!$I$2:$I$20000=B223)*(DATOS!$K$2:$K$20000=5))</f>
        <v>0</v>
      </c>
      <c r="Q223">
        <f>SUMPRODUCT((DATOS!$G$2:$G$20000=CONFIG_METADATA!$B$4)*(DATOS!$D$2:$D$20000=A223)*(DATOS!$I$2:$I$20000=B223)*(DATOS!$K$2:$K$20000=6))</f>
        <v>0</v>
      </c>
      <c r="R223">
        <f>SUMPRODUCT((DATOS!$G$2:$G$20000=CONFIG_METADATA!$B$4)*(DATOS!$D$2:$D$20000=A223)*(DATOS!$I$2:$I$20000=B223)*(DATOS!$K$2:$K$20000=7))</f>
        <v>0</v>
      </c>
      <c r="S223">
        <f>SUMPRODUCT((DATOS!$G$2:$G$20000=CONFIG_METADATA!$B$4)*(DATOS!$D$2:$D$20000=A223)*(DATOS!$I$2:$I$20000=B223)*(DATOS!$K$2:$K$20000=8))</f>
        <v>0</v>
      </c>
      <c r="T223">
        <f>SUMPRODUCT((DATOS!$G$2:$G$20000=CONFIG_METADATA!$B$4)*(DATOS!$D$2:$D$20000=A223)*(DATOS!$I$2:$I$20000=B223)*(DATOS!$K$2:$K$20000=9))</f>
        <v>0</v>
      </c>
      <c r="U223">
        <f>SUMPRODUCT((DATOS!$G$2:$G$20000=CONFIG_METADATA!$B$4)*(DATOS!$D$2:$D$20000=A223)*(DATOS!$I$2:$I$20000=B223)*(DATOS!$K$2:$K$20000=10))</f>
        <v>0</v>
      </c>
    </row>
    <row r="224" spans="1:21" x14ac:dyDescent="0.2">
      <c r="F224" s="10"/>
    </row>
    <row r="225" spans="6:6" x14ac:dyDescent="0.2">
      <c r="F225" s="10"/>
    </row>
    <row r="226" spans="6:6" x14ac:dyDescent="0.2">
      <c r="F226" s="10"/>
    </row>
    <row r="227" spans="6:6" x14ac:dyDescent="0.2">
      <c r="F227" s="10"/>
    </row>
    <row r="228" spans="6:6" x14ac:dyDescent="0.2">
      <c r="F228" s="10"/>
    </row>
    <row r="229" spans="6:6" x14ac:dyDescent="0.2">
      <c r="F229" s="10"/>
    </row>
    <row r="230" spans="6:6" x14ac:dyDescent="0.2">
      <c r="F230" s="10"/>
    </row>
    <row r="231" spans="6:6" x14ac:dyDescent="0.2">
      <c r="F231" s="10"/>
    </row>
    <row r="232" spans="6:6" x14ac:dyDescent="0.2">
      <c r="F232" s="10"/>
    </row>
    <row r="233" spans="6:6" x14ac:dyDescent="0.2">
      <c r="F233" s="10"/>
    </row>
    <row r="234" spans="6:6" x14ac:dyDescent="0.2">
      <c r="F234" s="10"/>
    </row>
    <row r="235" spans="6:6" x14ac:dyDescent="0.2">
      <c r="F235" s="10"/>
    </row>
    <row r="236" spans="6:6" x14ac:dyDescent="0.2">
      <c r="F236" s="10"/>
    </row>
    <row r="237" spans="6:6" x14ac:dyDescent="0.2">
      <c r="F237" s="10"/>
    </row>
    <row r="238" spans="6:6" x14ac:dyDescent="0.2">
      <c r="F238" s="10"/>
    </row>
    <row r="239" spans="6:6" x14ac:dyDescent="0.2">
      <c r="F239" s="10"/>
    </row>
    <row r="240" spans="6:6" x14ac:dyDescent="0.2">
      <c r="F240" s="10"/>
    </row>
    <row r="241" spans="6:6" x14ac:dyDescent="0.2">
      <c r="F241" s="10"/>
    </row>
    <row r="242" spans="6:6" x14ac:dyDescent="0.2">
      <c r="F242" s="10"/>
    </row>
    <row r="243" spans="6:6" x14ac:dyDescent="0.2">
      <c r="F243" s="10"/>
    </row>
    <row r="244" spans="6:6" x14ac:dyDescent="0.2">
      <c r="F244" s="10"/>
    </row>
    <row r="245" spans="6:6" x14ac:dyDescent="0.2">
      <c r="F245" s="10"/>
    </row>
    <row r="246" spans="6:6" x14ac:dyDescent="0.2">
      <c r="F246" s="10"/>
    </row>
    <row r="247" spans="6:6" x14ac:dyDescent="0.2">
      <c r="F247" s="10"/>
    </row>
    <row r="248" spans="6:6" x14ac:dyDescent="0.2">
      <c r="F248" s="10"/>
    </row>
    <row r="249" spans="6:6" x14ac:dyDescent="0.2">
      <c r="F249" s="10"/>
    </row>
    <row r="250" spans="6:6" x14ac:dyDescent="0.2">
      <c r="F250" s="10"/>
    </row>
    <row r="251" spans="6:6" x14ac:dyDescent="0.2">
      <c r="F251" s="10"/>
    </row>
    <row r="252" spans="6:6" x14ac:dyDescent="0.2">
      <c r="F252" s="10"/>
    </row>
    <row r="253" spans="6:6" x14ac:dyDescent="0.2">
      <c r="F253" s="10"/>
    </row>
    <row r="254" spans="6:6" x14ac:dyDescent="0.2">
      <c r="F254" s="10"/>
    </row>
    <row r="255" spans="6:6" x14ac:dyDescent="0.2">
      <c r="F255" s="10"/>
    </row>
    <row r="256" spans="6:6" x14ac:dyDescent="0.2">
      <c r="F256" s="10"/>
    </row>
    <row r="257" spans="6:6" x14ac:dyDescent="0.2">
      <c r="F257" s="10"/>
    </row>
    <row r="258" spans="6:6" x14ac:dyDescent="0.2">
      <c r="F258" s="10"/>
    </row>
    <row r="259" spans="6:6" x14ac:dyDescent="0.2">
      <c r="F259" s="10"/>
    </row>
    <row r="260" spans="6:6" x14ac:dyDescent="0.2">
      <c r="F260" s="10"/>
    </row>
    <row r="261" spans="6:6" x14ac:dyDescent="0.2">
      <c r="F261" s="10"/>
    </row>
    <row r="262" spans="6:6" x14ac:dyDescent="0.2">
      <c r="F262" s="10"/>
    </row>
    <row r="263" spans="6:6" x14ac:dyDescent="0.2">
      <c r="F263" s="10"/>
    </row>
    <row r="264" spans="6:6" x14ac:dyDescent="0.2">
      <c r="F264" s="10"/>
    </row>
    <row r="265" spans="6:6" x14ac:dyDescent="0.2">
      <c r="F265" s="10"/>
    </row>
    <row r="266" spans="6:6" x14ac:dyDescent="0.2">
      <c r="F266" s="10"/>
    </row>
    <row r="267" spans="6:6" x14ac:dyDescent="0.2">
      <c r="F267" s="10"/>
    </row>
    <row r="268" spans="6:6" x14ac:dyDescent="0.2">
      <c r="F268" s="10"/>
    </row>
    <row r="269" spans="6:6" x14ac:dyDescent="0.2">
      <c r="F269" s="10"/>
    </row>
    <row r="270" spans="6:6" x14ac:dyDescent="0.2">
      <c r="F270" s="10"/>
    </row>
    <row r="271" spans="6:6" x14ac:dyDescent="0.2">
      <c r="F271" s="10"/>
    </row>
    <row r="272" spans="6:6" x14ac:dyDescent="0.2">
      <c r="F272" s="10"/>
    </row>
    <row r="273" spans="6:6" x14ac:dyDescent="0.2">
      <c r="F273" s="10"/>
    </row>
    <row r="274" spans="6:6" x14ac:dyDescent="0.2">
      <c r="F274" s="10"/>
    </row>
    <row r="275" spans="6:6" x14ac:dyDescent="0.2">
      <c r="F275" s="10"/>
    </row>
    <row r="276" spans="6:6" x14ac:dyDescent="0.2">
      <c r="F276" s="10"/>
    </row>
    <row r="277" spans="6:6" x14ac:dyDescent="0.2">
      <c r="F277" s="10"/>
    </row>
    <row r="278" spans="6:6" x14ac:dyDescent="0.2">
      <c r="F278" s="10"/>
    </row>
    <row r="279" spans="6:6" x14ac:dyDescent="0.2">
      <c r="F279" s="10"/>
    </row>
    <row r="280" spans="6:6" x14ac:dyDescent="0.2">
      <c r="F280" s="10"/>
    </row>
    <row r="281" spans="6:6" x14ac:dyDescent="0.2">
      <c r="F281" s="10"/>
    </row>
    <row r="282" spans="6:6" x14ac:dyDescent="0.2">
      <c r="F282" s="10"/>
    </row>
    <row r="283" spans="6:6" x14ac:dyDescent="0.2">
      <c r="F283" s="10"/>
    </row>
    <row r="284" spans="6:6" x14ac:dyDescent="0.2">
      <c r="F284" s="10"/>
    </row>
    <row r="285" spans="6:6" x14ac:dyDescent="0.2">
      <c r="F285" s="10"/>
    </row>
    <row r="286" spans="6:6" x14ac:dyDescent="0.2">
      <c r="F286" s="10"/>
    </row>
    <row r="287" spans="6:6" x14ac:dyDescent="0.2">
      <c r="F287" s="10"/>
    </row>
    <row r="288" spans="6:6" x14ac:dyDescent="0.2">
      <c r="F288" s="10"/>
    </row>
    <row r="289" spans="6:6" x14ac:dyDescent="0.2">
      <c r="F289" s="10"/>
    </row>
    <row r="290" spans="6:6" x14ac:dyDescent="0.2">
      <c r="F290" s="10"/>
    </row>
    <row r="291" spans="6:6" x14ac:dyDescent="0.2">
      <c r="F291" s="10"/>
    </row>
    <row r="292" spans="6:6" x14ac:dyDescent="0.2">
      <c r="F292" s="10"/>
    </row>
    <row r="293" spans="6:6" x14ac:dyDescent="0.2">
      <c r="F293" s="10"/>
    </row>
    <row r="294" spans="6:6" x14ac:dyDescent="0.2">
      <c r="F294" s="10"/>
    </row>
    <row r="295" spans="6:6" x14ac:dyDescent="0.2">
      <c r="F295" s="10"/>
    </row>
    <row r="296" spans="6:6" x14ac:dyDescent="0.2">
      <c r="F296" s="10"/>
    </row>
    <row r="297" spans="6:6" x14ac:dyDescent="0.2">
      <c r="F297" s="10"/>
    </row>
    <row r="298" spans="6:6" x14ac:dyDescent="0.2">
      <c r="F298" s="10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1005"/>
  <sheetViews>
    <sheetView topLeftCell="R1" workbookViewId="0">
      <selection activeCell="AE6" sqref="AE6"/>
    </sheetView>
  </sheetViews>
  <sheetFormatPr baseColWidth="10" defaultColWidth="8.83203125" defaultRowHeight="15" x14ac:dyDescent="0.2"/>
  <cols>
    <col min="1" max="36" width="10" customWidth="1"/>
  </cols>
  <sheetData>
    <row r="1" spans="1:35" ht="16" x14ac:dyDescent="0.2">
      <c r="A1" s="6" t="s">
        <v>123</v>
      </c>
    </row>
    <row r="2" spans="1:35" x14ac:dyDescent="0.2">
      <c r="A2" s="3" t="s">
        <v>124</v>
      </c>
    </row>
    <row r="4" spans="1:35" x14ac:dyDescent="0.2">
      <c r="A4" s="4" t="s">
        <v>125</v>
      </c>
      <c r="B4" s="7" t="s">
        <v>78</v>
      </c>
      <c r="G4" s="4" t="s">
        <v>125</v>
      </c>
      <c r="H4" s="7" t="s">
        <v>79</v>
      </c>
      <c r="M4" s="4" t="s">
        <v>125</v>
      </c>
      <c r="N4" s="7" t="s">
        <v>80</v>
      </c>
      <c r="S4" s="4" t="s">
        <v>125</v>
      </c>
      <c r="T4" s="7" t="s">
        <v>81</v>
      </c>
      <c r="Y4" s="4" t="s">
        <v>125</v>
      </c>
      <c r="Z4" s="7" t="s">
        <v>82</v>
      </c>
      <c r="AE4" s="4" t="s">
        <v>125</v>
      </c>
      <c r="AF4" s="7" t="s">
        <v>83</v>
      </c>
    </row>
    <row r="5" spans="1:35" x14ac:dyDescent="0.2">
      <c r="A5" s="2" t="s">
        <v>84</v>
      </c>
      <c r="B5" s="2" t="s">
        <v>126</v>
      </c>
      <c r="C5" s="2" t="s">
        <v>127</v>
      </c>
      <c r="D5" s="2" t="s">
        <v>128</v>
      </c>
      <c r="E5" s="2" t="s">
        <v>129</v>
      </c>
      <c r="G5" s="2" t="s">
        <v>84</v>
      </c>
      <c r="H5" s="2" t="s">
        <v>126</v>
      </c>
      <c r="I5" s="2" t="s">
        <v>127</v>
      </c>
      <c r="J5" s="2" t="s">
        <v>128</v>
      </c>
      <c r="K5" s="2" t="s">
        <v>129</v>
      </c>
      <c r="M5" s="2" t="s">
        <v>84</v>
      </c>
      <c r="N5" s="2" t="s">
        <v>126</v>
      </c>
      <c r="O5" s="2" t="s">
        <v>127</v>
      </c>
      <c r="P5" s="2" t="s">
        <v>130</v>
      </c>
      <c r="Q5" s="2" t="s">
        <v>129</v>
      </c>
      <c r="S5" s="2" t="s">
        <v>84</v>
      </c>
      <c r="T5" s="2" t="s">
        <v>126</v>
      </c>
      <c r="U5" s="2" t="s">
        <v>127</v>
      </c>
      <c r="V5" s="2" t="s">
        <v>130</v>
      </c>
      <c r="W5" s="2" t="s">
        <v>129</v>
      </c>
      <c r="Y5" s="2" t="s">
        <v>84</v>
      </c>
      <c r="Z5" s="2" t="s">
        <v>126</v>
      </c>
      <c r="AA5" s="2" t="s">
        <v>127</v>
      </c>
      <c r="AB5" s="2" t="s">
        <v>130</v>
      </c>
      <c r="AC5" s="2" t="s">
        <v>129</v>
      </c>
      <c r="AE5" s="2" t="s">
        <v>84</v>
      </c>
      <c r="AF5" s="2" t="s">
        <v>126</v>
      </c>
      <c r="AG5" s="2" t="s">
        <v>127</v>
      </c>
      <c r="AH5" s="2" t="s">
        <v>130</v>
      </c>
      <c r="AI5" s="2" t="s">
        <v>129</v>
      </c>
    </row>
    <row r="6" spans="1:35" x14ac:dyDescent="0.2">
      <c r="A6" t="str" cm="1">
        <f t="array" ref="A6">IFERROR(_xlfn.UNIQUE(_xlfn._xlws.FILTER(DATOS!$A$2:$A$20000,(DATOS!$G$2:$G$20000=CONFIG_METADATA!$B$4)*(DATOS!$D$2:$D$20000="1EPM"))),"")</f>
        <v/>
      </c>
      <c r="B6" t="str">
        <f>IF(A6="","",IF(A6="[FÓRMULA MANUAL]","",IFERROR(AVERAGEIFS(DATOS!$K$2:$K$20000,DATOS!$A$2:$A$20000,A6,DATOS!$G$2:$G$20000,CONFIG_METADATA!$B$4,DATOS!$I$2:$I$20000,"Lenguaje Musical"),"")))</f>
        <v/>
      </c>
      <c r="C6" t="str">
        <f>IF(A6="","",IF(A6="[FÓRMULA MANUAL]","",IFERROR(AVERAGEIFS(DATOS!$K$2:$K$20000,DATOS!$A$2:$A$20000,A6,DATOS!$G$2:$G$20000,CONFIG_METADATA!$B$4,DATOS!$I$2:$I$20000,"Orquesta/Banda/Conjunto"),"")))</f>
        <v/>
      </c>
      <c r="D6" t="str">
        <f>IF(A6="","",IF(A6="[FÓRMULA MANUAL]","",IFERROR(AVERAGEIFS(DATOS!$K$2:$K$20000,DATOS!$A$2:$A$20000,A6,DATOS!$G$2:$G$20000,CONFIG_METADATA!$B$4,DATOS!$I$2:$I$20000,"Conjunto"),"")))</f>
        <v/>
      </c>
      <c r="E6" t="str">
        <f>IF(A6="","",IF(A6="[FÓRMULA MANUAL]","",IFERROR(SUMPRODUCT((DATOS!$A$2:$A$20000=A6)*(DATOS!$G$2:$G$20000=CONFIG_METADATA!$B$4)*(COUNTIF(CONFIG_ASIGNATURAS!$B$7:$B$27,DATOS!$I$2:$I$20000)&gt;0)*(DATOS!$K$2:$K$20000))/SUMPRODUCT((DATOS!$A$2:$A$20000=A6)*(DATOS!$G$2:$G$20000=CONFIG_METADATA!$B$4)*(COUNTIF(CONFIG_ASIGNATURAS!$B$7:$B$27,DATOS!$I$2:$I$20000)&gt;0)*1),"")))</f>
        <v/>
      </c>
      <c r="G6" t="str" cm="1">
        <f t="array" ref="G6">IFERROR(_xlfn.UNIQUE(_xlfn._xlws.FILTER(DATOS!$A$2:$A$20000,(DATOS!$G$2:$G$20000=CONFIG_METADATA!$B$4)*(DATOS!$D$2:$D$20000="2EPM"))),"")</f>
        <v/>
      </c>
      <c r="H6" t="str">
        <f>IF(G6="","",IF(G6="[FÓRMULA MANUAL]","",IFERROR(AVERAGEIFS(DATOS!$K$2:$K$20000,DATOS!$A$2:$A$20000,G6,DATOS!$G$2:$G$20000,CONFIG_METADATA!$B$4,DATOS!$I$2:$I$20000,"Lenguaje Musical"),"")))</f>
        <v/>
      </c>
      <c r="I6" t="str">
        <f>IF(G6="","",IF(G6="[FÓRMULA MANUAL]","",IFERROR(AVERAGEIFS(DATOS!$K$2:$K$20000,DATOS!$A$2:$A$20000,G6,DATOS!$G$2:$G$20000,CONFIG_METADATA!$B$4,DATOS!$I$2:$I$20000,"Orquesta/Banda/Conjunto"),"")))</f>
        <v/>
      </c>
      <c r="J6" t="str">
        <f>IF(G6="","",IF(G6="[FÓRMULA MANUAL]","",IFERROR(AVERAGEIFS(DATOS!$K$2:$K$20000,DATOS!$A$2:$A$20000,G6,DATOS!$G$2:$G$20000,CONFIG_METADATA!$B$4,DATOS!$I$2:$I$20000,"Conjunto"),"")))</f>
        <v/>
      </c>
      <c r="K6" t="str">
        <f>IF(G6="","",IF(G6="[FÓRMULA MANUAL]","",IFERROR(SUMPRODUCT((DATOS!$A$2:$A$20000=G6)*(DATOS!$G$2:$G$20000=CONFIG_METADATA!$B$4)*(COUNTIF(CONFIG_ASIGNATURAS!$B$7:$B$27,DATOS!$I$2:$I$20000)&gt;0)*(DATOS!$K$2:$K$20000))/SUMPRODUCT((DATOS!$A$2:$A$20000=G6)*(DATOS!$G$2:$G$20000=CONFIG_METADATA!$B$4)*(COUNTIF(CONFIG_ASIGNATURAS!$B$7:$B$27,DATOS!$I$2:$I$20000)&gt;0)*1),"")))</f>
        <v/>
      </c>
      <c r="M6" t="str" cm="1">
        <f t="array" ref="M6">IFERROR(_xlfn.UNIQUE(_xlfn._xlws.FILTER(DATOS!$A$2:$A$20000,(DATOS!$G$2:$G$20000=CONFIG_METADATA!$B$4)*(DATOS!$D$2:$D$20000="3EPM"))),"")</f>
        <v/>
      </c>
      <c r="N6" t="str">
        <f>IF(M6="","",IF(M6="[FÓRMULA MANUAL]","",IFERROR(AVERAGEIFS(DATOS!$K$2:$K$20000,DATOS!$A$2:$A$20000,M6,DATOS!$G$2:$G$20000,CONFIG_METADATA!$B$4,DATOS!$I$2:$I$20000,"Armonía"),"")))</f>
        <v/>
      </c>
      <c r="O6" t="str">
        <f>IF(M6="","",IF(M6="[FÓRMULA MANUAL]","",IFERROR(AVERAGEIFS(DATOS!$K$2:$K$20000,DATOS!$A$2:$A$20000,M6,DATOS!$G$2:$G$20000,CONFIG_METADATA!$B$4,DATOS!$I$2:$I$20000,"Orquesta/Banda/Conjunto"),"")))</f>
        <v/>
      </c>
      <c r="P6" t="str">
        <f>IF(M6="","",IF(M6="[FÓRMULA MANUAL]","",IFERROR(AVERAGEIFS(DATOS!$K$2:$K$20000,DATOS!$A$2:$A$20000,M6,DATOS!$G$2:$G$20000,CONFIG_METADATA!$B$4,DATOS!$I$2:$I$20000,"Música de Cámara"),"")))</f>
        <v/>
      </c>
      <c r="Q6" t="str">
        <f>IF(M6="","",IF(M6="[FÓRMULA MANUAL]","",IFERROR(SUMPRODUCT((DATOS!$A$2:$A$20000=M6)*(DATOS!$G$2:$G$20000=CONFIG_METADATA!$B$4)*(COUNTIF(CONFIG_ASIGNATURAS!$B$7:$B$27,DATOS!$I$2:$I$20000)&gt;0)*(DATOS!$K$2:$K$20000))/SUMPRODUCT((DATOS!$A$2:$A$20000=M6)*(DATOS!$G$2:$G$20000=CONFIG_METADATA!$B$4)*(COUNTIF(CONFIG_ASIGNATURAS!$B$7:$B$27,DATOS!$I$2:$I$20000)&gt;0)*1),"")))</f>
        <v/>
      </c>
      <c r="S6" t="str" cm="1">
        <f t="array" ref="S6">IFERROR(_xlfn.UNIQUE(_xlfn._xlws.FILTER(DATOS!$A$2:$A$20000,(DATOS!$G$2:$G$20000=CONFIG_METADATA!$B$4)*(DATOS!$D$2:$D$20000="4EPM"))),"")</f>
        <v/>
      </c>
      <c r="T6" t="str">
        <f>IF(S6="","",IF(S6="[FÓRMULA MANUAL]","",IFERROR(AVERAGEIFS(DATOS!$K$2:$K$20000,DATOS!$A$2:$A$20000,S6,DATOS!$G$2:$G$20000,CONFIG_METADATA!$B$4,DATOS!$I$2:$I$20000,"Armonía"),"")))</f>
        <v/>
      </c>
      <c r="U6" t="str">
        <f>IF(S6="","",IF(S6="[FÓRMULA MANUAL]","",IFERROR(AVERAGEIFS(DATOS!$K$2:$K$20000,DATOS!$A$2:$A$20000,S6,DATOS!$G$2:$G$20000,CONFIG_METADATA!$B$4,DATOS!$I$2:$I$20000,"Orquesta/Banda/Conjunto"),"")))</f>
        <v/>
      </c>
      <c r="V6" t="str">
        <f>IF(S6="","",IF(S6="[FÓRMULA MANUAL]","",IFERROR(AVERAGEIFS(DATOS!$K$2:$K$20000,DATOS!$A$2:$A$20000,S6,DATOS!$G$2:$G$20000,CONFIG_METADATA!$B$4,DATOS!$I$2:$I$20000,"Música de Cámara"),"")))</f>
        <v/>
      </c>
      <c r="W6" t="str">
        <f>IF(S6="","",IF(S6="[FÓRMULA MANUAL]","",IFERROR(SUMPRODUCT((DATOS!$A$2:$A$20000=S6)*(DATOS!$G$2:$G$20000=CONFIG_METADATA!$B$4)*(COUNTIF(CONFIG_ASIGNATURAS!$B$7:$B$27,DATOS!$I$2:$I$20000)&gt;0)*(DATOS!$K$2:$K$20000))/SUMPRODUCT((DATOS!$A$2:$A$20000=S6)*(DATOS!$G$2:$G$20000=CONFIG_METADATA!$B$4)*(COUNTIF(CONFIG_ASIGNATURAS!$B$7:$B$27,DATOS!$I$2:$I$20000)&gt;0)*1),"")))</f>
        <v/>
      </c>
      <c r="Y6" t="str" cm="1">
        <f t="array" ref="Y6">IFERROR(_xlfn.UNIQUE(_xlfn._xlws.FILTER(DATOS!$A$2:$A$20000,(DATOS!$G$2:$G$20000=CONFIG_METADATA!$B$4)*(DATOS!$D$2:$D$20000="5EPM"))),"")</f>
        <v/>
      </c>
      <c r="Z6" t="str">
        <f>IF(Y6="","",IF(Y6="[FÓRMULA MANUAL]","",IFERROR(AVERAGEIFS(DATOS!$K$2:$K$20000,DATOS!$A$2:$A$20000,Y6,DATOS!$G$2:$G$20000,CONFIG_METADATA!$B$4,DATOS!$I$2:$I$20000,"Análisis"),"")))</f>
        <v/>
      </c>
      <c r="AA6" t="str">
        <f>IF(Y6="","",IF(Y6="[FÓRMULA MANUAL]","",IFERROR(AVERAGEIFS(DATOS!$K$2:$K$20000,DATOS!$A$2:$A$20000,Y6,DATOS!$G$2:$G$20000,CONFIG_METADATA!$B$4,DATOS!$I$2:$I$20000,"Orquesta/Banda/Conjunto"),"")))</f>
        <v/>
      </c>
      <c r="AB6" t="str">
        <f>IF(Y6="","",IF(Y6="[FÓRMULA MANUAL]","",IFERROR(AVERAGEIFS(DATOS!$K$2:$K$20000,DATOS!$A$2:$A$20000,Y6,DATOS!$G$2:$G$20000,CONFIG_METADATA!$B$4,DATOS!$I$2:$I$20000,"Música de Cámara"),"")))</f>
        <v/>
      </c>
      <c r="AC6" t="str">
        <f>IF(Y6="","",IF(Y6="[FÓRMULA MANUAL]","",IFERROR(SUMPRODUCT((DATOS!$A$2:$A$20000=Y6)*(DATOS!$G$2:$G$20000=CONFIG_METADATA!$B$4)*(COUNTIF(CONFIG_ASIGNATURAS!$B$7:$B$27,DATOS!$I$2:$I$20000)&gt;0)*(DATOS!$K$2:$K$20000))/SUMPRODUCT((DATOS!$A$2:$A$20000=Y6)*(DATOS!$G$2:$G$20000=CONFIG_METADATA!$B$4)*(COUNTIF(CONFIG_ASIGNATURAS!$B$7:$B$27,DATOS!$I$2:$I$20000)&gt;0)*1),"")))</f>
        <v/>
      </c>
      <c r="AE6" t="str" cm="1">
        <f t="array" ref="AE6">IFERROR(_xlfn.UNIQUE(_xlfn._xlws.FILTER(DATOS!$A$2:$A$20000,(DATOS!$G$2:$G$20000=CONFIG_METADATA!$B$4)*(DATOS!$D$2:$D$20000="6EPM"))),"")</f>
        <v/>
      </c>
      <c r="AF6" t="str">
        <f>IF(AE6="","",IF(AE6="[FÓRMULA MANUAL]","",IFERROR(AVERAGEIFS(DATOS!$K$2:$K$20000,DATOS!$A$2:$A$20000,AE6,DATOS!$G$2:$G$20000,CONFIG_METADATA!$B$4,DATOS!$I$2:$I$20000,"Análisis"),"")))</f>
        <v/>
      </c>
      <c r="AG6" t="str">
        <f>IF(AE6="","",IF(AE6="[FÓRMULA MANUAL]","",IFERROR(AVERAGEIFS(DATOS!$K$2:$K$20000,DATOS!$A$2:$A$20000,AE6,DATOS!$G$2:$G$20000,CONFIG_METADATA!$B$4,DATOS!$I$2:$I$20000,"Orquesta/Banda/Conjunto"),"")))</f>
        <v/>
      </c>
      <c r="AH6" t="str">
        <f>IF(AE6="","",IF(AE6="[FÓRMULA MANUAL]","",IFERROR(AVERAGEIFS(DATOS!$K$2:$K$20000,DATOS!$A$2:$A$20000,AE6,DATOS!$G$2:$G$20000,CONFIG_METADATA!$B$4,DATOS!$I$2:$I$20000,"Música de Cámara"),"")))</f>
        <v/>
      </c>
      <c r="AI6" t="str">
        <f>IF(AE6="","",IF(AE6="[FÓRMULA MANUAL]","",IFERROR(SUMPRODUCT((DATOS!$A$2:$A$20000=AE6)*(DATOS!$G$2:$G$20000=CONFIG_METADATA!$B$4)*(COUNTIF(CONFIG_ASIGNATURAS!$B$7:$B$27,DATOS!$I$2:$I$20000)&gt;0)*(DATOS!$K$2:$K$20000))/SUMPRODUCT((DATOS!$A$2:$A$20000=AE6)*(DATOS!$G$2:$G$20000=CONFIG_METADATA!$B$4)*(COUNTIF(CONFIG_ASIGNATURAS!$B$7:$B$27,DATOS!$I$2:$I$20000)&gt;0)*1),"")))</f>
        <v/>
      </c>
    </row>
    <row r="7" spans="1:35" x14ac:dyDescent="0.2">
      <c r="B7" t="str">
        <f>IF(A7="","",IF(A7="[FÓRMULA MANUAL]","",IFERROR(AVERAGEIFS(DATOS!$K$2:$K$20000,DATOS!$A$2:$A$20000,A7,DATOS!$G$2:$G$20000,CONFIG_METADATA!$B$4,DATOS!$I$2:$I$20000,"Lenguaje Musical"),"")))</f>
        <v/>
      </c>
      <c r="C7" t="str">
        <f>IF(A7="","",IF(A7="[FÓRMULA MANUAL]","",IFERROR(AVERAGEIFS(DATOS!$K$2:$K$20000,DATOS!$A$2:$A$20000,A7,DATOS!$G$2:$G$20000,CONFIG_METADATA!$B$4,DATOS!$I$2:$I$20000,"Orquesta/Banda/Conjunto"),"")))</f>
        <v/>
      </c>
      <c r="D7" t="str">
        <f>IF(A7="","",IF(A7="[FÓRMULA MANUAL]","",IFERROR(AVERAGEIFS(DATOS!$K$2:$K$20000,DATOS!$A$2:$A$20000,A7,DATOS!$G$2:$G$20000,CONFIG_METADATA!$B$4,DATOS!$I$2:$I$20000,"Conjunto"),"")))</f>
        <v/>
      </c>
      <c r="E7" t="str">
        <f>IF(A7="","",IF(A7="[FÓRMULA MANUAL]","",IFERROR(SUMPRODUCT((DATOS!$A$2:$A$20000=A7)*(DATOS!$G$2:$G$20000=CONFIG_METADATA!$B$4)*(COUNTIF(CONFIG_ASIGNATURAS!$B$7:$B$27,DATOS!$I$2:$I$20000)&gt;0)*(DATOS!$K$2:$K$20000))/SUMPRODUCT((DATOS!$A$2:$A$20000=A7)*(DATOS!$G$2:$G$20000=CONFIG_METADATA!$B$4)*(COUNTIF(CONFIG_ASIGNATURAS!$B$7:$B$27,DATOS!$I$2:$I$20000)&gt;0)*1),"")))</f>
        <v/>
      </c>
      <c r="H7" t="str">
        <f>IF(G7="","",IF(G7="[FÓRMULA MANUAL]","",IFERROR(AVERAGEIFS(DATOS!$K$2:$K$20000,DATOS!$A$2:$A$20000,G7,DATOS!$G$2:$G$20000,CONFIG_METADATA!$B$4,DATOS!$I$2:$I$20000,"Lenguaje Musical"),"")))</f>
        <v/>
      </c>
      <c r="I7" t="str">
        <f>IF(G7="","",IF(G7="[FÓRMULA MANUAL]","",IFERROR(AVERAGEIFS(DATOS!$K$2:$K$20000,DATOS!$A$2:$A$20000,G7,DATOS!$G$2:$G$20000,CONFIG_METADATA!$B$4,DATOS!$I$2:$I$20000,"Orquesta/Banda/Conjunto"),"")))</f>
        <v/>
      </c>
      <c r="J7" t="str">
        <f>IF(G7="","",IF(G7="[FÓRMULA MANUAL]","",IFERROR(AVERAGEIFS(DATOS!$K$2:$K$20000,DATOS!$A$2:$A$20000,G7,DATOS!$G$2:$G$20000,CONFIG_METADATA!$B$4,DATOS!$I$2:$I$20000,"Conjunto"),"")))</f>
        <v/>
      </c>
      <c r="K7" t="str">
        <f>IF(G7="","",IF(G7="[FÓRMULA MANUAL]","",IFERROR(SUMPRODUCT((DATOS!$A$2:$A$20000=G7)*(DATOS!$G$2:$G$20000=CONFIG_METADATA!$B$4)*(COUNTIF(CONFIG_ASIGNATURAS!$B$7:$B$27,DATOS!$I$2:$I$20000)&gt;0)*(DATOS!$K$2:$K$20000))/SUMPRODUCT((DATOS!$A$2:$A$20000=G7)*(DATOS!$G$2:$G$20000=CONFIG_METADATA!$B$4)*(COUNTIF(CONFIG_ASIGNATURAS!$B$7:$B$27,DATOS!$I$2:$I$20000)&gt;0)*1),"")))</f>
        <v/>
      </c>
      <c r="N7" t="str">
        <f>IF(M7="","",IF(M7="[FÓRMULA MANUAL]","",IFERROR(AVERAGEIFS(DATOS!$K$2:$K$20000,DATOS!$A$2:$A$20000,M7,DATOS!$G$2:$G$20000,CONFIG_METADATA!$B$4,DATOS!$I$2:$I$20000,"Armonía"),"")))</f>
        <v/>
      </c>
      <c r="O7" t="str">
        <f>IF(M7="","",IF(M7="[FÓRMULA MANUAL]","",IFERROR(AVERAGEIFS(DATOS!$K$2:$K$20000,DATOS!$A$2:$A$20000,M7,DATOS!$G$2:$G$20000,CONFIG_METADATA!$B$4,DATOS!$I$2:$I$20000,"Orquesta/Banda/Conjunto"),"")))</f>
        <v/>
      </c>
      <c r="P7" t="str">
        <f>IF(M7="","",IF(M7="[FÓRMULA MANUAL]","",IFERROR(AVERAGEIFS(DATOS!$K$2:$K$20000,DATOS!$A$2:$A$20000,M7,DATOS!$G$2:$G$20000,CONFIG_METADATA!$B$4,DATOS!$I$2:$I$20000,"Música de Cámara"),"")))</f>
        <v/>
      </c>
      <c r="Q7" t="str">
        <f>IF(M7="","",IF(M7="[FÓRMULA MANUAL]","",IFERROR(SUMPRODUCT((DATOS!$A$2:$A$20000=M7)*(DATOS!$G$2:$G$20000=CONFIG_METADATA!$B$4)*(COUNTIF(CONFIG_ASIGNATURAS!$B$7:$B$27,DATOS!$I$2:$I$20000)&gt;0)*(DATOS!$K$2:$K$20000))/SUMPRODUCT((DATOS!$A$2:$A$20000=M7)*(DATOS!$G$2:$G$20000=CONFIG_METADATA!$B$4)*(COUNTIF(CONFIG_ASIGNATURAS!$B$7:$B$27,DATOS!$I$2:$I$20000)&gt;0)*1),"")))</f>
        <v/>
      </c>
      <c r="T7" t="str">
        <f>IF(S7="","",IF(S7="[FÓRMULA MANUAL]","",IFERROR(AVERAGEIFS(DATOS!$K$2:$K$20000,DATOS!$A$2:$A$20000,S7,DATOS!$G$2:$G$20000,CONFIG_METADATA!$B$4,DATOS!$I$2:$I$20000,"Armonía"),"")))</f>
        <v/>
      </c>
      <c r="U7" t="str">
        <f>IF(S7="","",IF(S7="[FÓRMULA MANUAL]","",IFERROR(AVERAGEIFS(DATOS!$K$2:$K$20000,DATOS!$A$2:$A$20000,S7,DATOS!$G$2:$G$20000,CONFIG_METADATA!$B$4,DATOS!$I$2:$I$20000,"Orquesta/Banda/Conjunto"),"")))</f>
        <v/>
      </c>
      <c r="V7" t="str">
        <f>IF(S7="","",IF(S7="[FÓRMULA MANUAL]","",IFERROR(AVERAGEIFS(DATOS!$K$2:$K$20000,DATOS!$A$2:$A$20000,S7,DATOS!$G$2:$G$20000,CONFIG_METADATA!$B$4,DATOS!$I$2:$I$20000,"Música de Cámara"),"")))</f>
        <v/>
      </c>
      <c r="W7" t="str">
        <f>IF(S7="","",IF(S7="[FÓRMULA MANUAL]","",IFERROR(SUMPRODUCT((DATOS!$A$2:$A$20000=S7)*(DATOS!$G$2:$G$20000=CONFIG_METADATA!$B$4)*(COUNTIF(CONFIG_ASIGNATURAS!$B$7:$B$27,DATOS!$I$2:$I$20000)&gt;0)*(DATOS!$K$2:$K$20000))/SUMPRODUCT((DATOS!$A$2:$A$20000=S7)*(DATOS!$G$2:$G$20000=CONFIG_METADATA!$B$4)*(COUNTIF(CONFIG_ASIGNATURAS!$B$7:$B$27,DATOS!$I$2:$I$20000)&gt;0)*1),"")))</f>
        <v/>
      </c>
      <c r="Z7" t="str">
        <f>IF(Y7="","",IF(Y7="[FÓRMULA MANUAL]","",IFERROR(AVERAGEIFS(DATOS!$K$2:$K$20000,DATOS!$A$2:$A$20000,Y7,DATOS!$G$2:$G$20000,CONFIG_METADATA!$B$4,DATOS!$I$2:$I$20000,"Análisis"),"")))</f>
        <v/>
      </c>
      <c r="AA7" t="str">
        <f>IF(Y7="","",IF(Y7="[FÓRMULA MANUAL]","",IFERROR(AVERAGEIFS(DATOS!$K$2:$K$20000,DATOS!$A$2:$A$20000,Y7,DATOS!$G$2:$G$20000,CONFIG_METADATA!$B$4,DATOS!$I$2:$I$20000,"Orquesta/Banda/Conjunto"),"")))</f>
        <v/>
      </c>
      <c r="AB7" t="str">
        <f>IF(Y7="","",IF(Y7="[FÓRMULA MANUAL]","",IFERROR(AVERAGEIFS(DATOS!$K$2:$K$20000,DATOS!$A$2:$A$20000,Y7,DATOS!$G$2:$G$20000,CONFIG_METADATA!$B$4,DATOS!$I$2:$I$20000,"Música de Cámara"),"")))</f>
        <v/>
      </c>
      <c r="AC7" t="str">
        <f>IF(Y7="","",IF(Y7="[FÓRMULA MANUAL]","",IFERROR(SUMPRODUCT((DATOS!$A$2:$A$20000=Y7)*(DATOS!$G$2:$G$20000=CONFIG_METADATA!$B$4)*(COUNTIF(CONFIG_ASIGNATURAS!$B$7:$B$27,DATOS!$I$2:$I$20000)&gt;0)*(DATOS!$K$2:$K$20000))/SUMPRODUCT((DATOS!$A$2:$A$20000=Y7)*(DATOS!$G$2:$G$20000=CONFIG_METADATA!$B$4)*(COUNTIF(CONFIG_ASIGNATURAS!$B$7:$B$27,DATOS!$I$2:$I$20000)&gt;0)*1),"")))</f>
        <v/>
      </c>
      <c r="AF7" t="str">
        <f>IF(AE7="","",IF(AE7="[FÓRMULA MANUAL]","",IFERROR(AVERAGEIFS(DATOS!$K$2:$K$20000,DATOS!$A$2:$A$20000,AE7,DATOS!$G$2:$G$20000,CONFIG_METADATA!$B$4,DATOS!$I$2:$I$20000,"Análisis"),"")))</f>
        <v/>
      </c>
      <c r="AG7" t="str">
        <f>IF(AE7="","",IF(AE7="[FÓRMULA MANUAL]","",IFERROR(AVERAGEIFS(DATOS!$K$2:$K$20000,DATOS!$A$2:$A$20000,AE7,DATOS!$G$2:$G$20000,CONFIG_METADATA!$B$4,DATOS!$I$2:$I$20000,"Orquesta/Banda/Conjunto"),"")))</f>
        <v/>
      </c>
      <c r="AH7" t="str">
        <f>IF(AE7="","",IF(AE7="[FÓRMULA MANUAL]","",IFERROR(AVERAGEIFS(DATOS!$K$2:$K$20000,DATOS!$A$2:$A$20000,AE7,DATOS!$G$2:$G$20000,CONFIG_METADATA!$B$4,DATOS!$I$2:$I$20000,"Música de Cámara"),"")))</f>
        <v/>
      </c>
      <c r="AI7" t="str">
        <f>IF(AE7="","",IF(AE7="[FÓRMULA MANUAL]","",IFERROR(SUMPRODUCT((DATOS!$A$2:$A$20000=AE7)*(DATOS!$G$2:$G$20000=CONFIG_METADATA!$B$4)*(COUNTIF(CONFIG_ASIGNATURAS!$B$7:$B$27,DATOS!$I$2:$I$20000)&gt;0)*(DATOS!$K$2:$K$20000))/SUMPRODUCT((DATOS!$A$2:$A$20000=AE7)*(DATOS!$G$2:$G$20000=CONFIG_METADATA!$B$4)*(COUNTIF(CONFIG_ASIGNATURAS!$B$7:$B$27,DATOS!$I$2:$I$20000)&gt;0)*1),"")))</f>
        <v/>
      </c>
    </row>
    <row r="8" spans="1:35" x14ac:dyDescent="0.2">
      <c r="B8" t="str">
        <f>IF(A8="","",IF(A8="[FÓRMULA MANUAL]","",IFERROR(AVERAGEIFS(DATOS!$K$2:$K$20000,DATOS!$A$2:$A$20000,A8,DATOS!$G$2:$G$20000,CONFIG_METADATA!$B$4,DATOS!$I$2:$I$20000,"Lenguaje Musical"),"")))</f>
        <v/>
      </c>
      <c r="C8" t="str">
        <f>IF(A8="","",IF(A8="[FÓRMULA MANUAL]","",IFERROR(AVERAGEIFS(DATOS!$K$2:$K$20000,DATOS!$A$2:$A$20000,A8,DATOS!$G$2:$G$20000,CONFIG_METADATA!$B$4,DATOS!$I$2:$I$20000,"Orquesta/Banda/Conjunto"),"")))</f>
        <v/>
      </c>
      <c r="D8" t="str">
        <f>IF(A8="","",IF(A8="[FÓRMULA MANUAL]","",IFERROR(AVERAGEIFS(DATOS!$K$2:$K$20000,DATOS!$A$2:$A$20000,A8,DATOS!$G$2:$G$20000,CONFIG_METADATA!$B$4,DATOS!$I$2:$I$20000,"Conjunto"),"")))</f>
        <v/>
      </c>
      <c r="E8" t="str">
        <f>IF(A8="","",IF(A8="[FÓRMULA MANUAL]","",IFERROR(SUMPRODUCT((DATOS!$A$2:$A$20000=A8)*(DATOS!$G$2:$G$20000=CONFIG_METADATA!$B$4)*(COUNTIF(CONFIG_ASIGNATURAS!$B$7:$B$27,DATOS!$I$2:$I$20000)&gt;0)*(DATOS!$K$2:$K$20000))/SUMPRODUCT((DATOS!$A$2:$A$20000=A8)*(DATOS!$G$2:$G$20000=CONFIG_METADATA!$B$4)*(COUNTIF(CONFIG_ASIGNATURAS!$B$7:$B$27,DATOS!$I$2:$I$20000)&gt;0)*1),"")))</f>
        <v/>
      </c>
      <c r="H8" t="str">
        <f>IF(G8="","",IF(G8="[FÓRMULA MANUAL]","",IFERROR(AVERAGEIFS(DATOS!$K$2:$K$20000,DATOS!$A$2:$A$20000,G8,DATOS!$G$2:$G$20000,CONFIG_METADATA!$B$4,DATOS!$I$2:$I$20000,"Lenguaje Musical"),"")))</f>
        <v/>
      </c>
      <c r="I8" t="str">
        <f>IF(G8="","",IF(G8="[FÓRMULA MANUAL]","",IFERROR(AVERAGEIFS(DATOS!$K$2:$K$20000,DATOS!$A$2:$A$20000,G8,DATOS!$G$2:$G$20000,CONFIG_METADATA!$B$4,DATOS!$I$2:$I$20000,"Orquesta/Banda/Conjunto"),"")))</f>
        <v/>
      </c>
      <c r="J8" t="str">
        <f>IF(G8="","",IF(G8="[FÓRMULA MANUAL]","",IFERROR(AVERAGEIFS(DATOS!$K$2:$K$20000,DATOS!$A$2:$A$20000,G8,DATOS!$G$2:$G$20000,CONFIG_METADATA!$B$4,DATOS!$I$2:$I$20000,"Conjunto"),"")))</f>
        <v/>
      </c>
      <c r="K8" t="str">
        <f>IF(G8="","",IF(G8="[FÓRMULA MANUAL]","",IFERROR(SUMPRODUCT((DATOS!$A$2:$A$20000=G8)*(DATOS!$G$2:$G$20000=CONFIG_METADATA!$B$4)*(COUNTIF(CONFIG_ASIGNATURAS!$B$7:$B$27,DATOS!$I$2:$I$20000)&gt;0)*(DATOS!$K$2:$K$20000))/SUMPRODUCT((DATOS!$A$2:$A$20000=G8)*(DATOS!$G$2:$G$20000=CONFIG_METADATA!$B$4)*(COUNTIF(CONFIG_ASIGNATURAS!$B$7:$B$27,DATOS!$I$2:$I$20000)&gt;0)*1),"")))</f>
        <v/>
      </c>
      <c r="N8" t="str">
        <f>IF(M8="","",IF(M8="[FÓRMULA MANUAL]","",IFERROR(AVERAGEIFS(DATOS!$K$2:$K$20000,DATOS!$A$2:$A$20000,M8,DATOS!$G$2:$G$20000,CONFIG_METADATA!$B$4,DATOS!$I$2:$I$20000,"Armonía"),"")))</f>
        <v/>
      </c>
      <c r="O8" t="str">
        <f>IF(M8="","",IF(M8="[FÓRMULA MANUAL]","",IFERROR(AVERAGEIFS(DATOS!$K$2:$K$20000,DATOS!$A$2:$A$20000,M8,DATOS!$G$2:$G$20000,CONFIG_METADATA!$B$4,DATOS!$I$2:$I$20000,"Orquesta/Banda/Conjunto"),"")))</f>
        <v/>
      </c>
      <c r="P8" t="str">
        <f>IF(M8="","",IF(M8="[FÓRMULA MANUAL]","",IFERROR(AVERAGEIFS(DATOS!$K$2:$K$20000,DATOS!$A$2:$A$20000,M8,DATOS!$G$2:$G$20000,CONFIG_METADATA!$B$4,DATOS!$I$2:$I$20000,"Música de Cámara"),"")))</f>
        <v/>
      </c>
      <c r="Q8" t="str">
        <f>IF(M8="","",IF(M8="[FÓRMULA MANUAL]","",IFERROR(SUMPRODUCT((DATOS!$A$2:$A$20000=M8)*(DATOS!$G$2:$G$20000=CONFIG_METADATA!$B$4)*(COUNTIF(CONFIG_ASIGNATURAS!$B$7:$B$27,DATOS!$I$2:$I$20000)&gt;0)*(DATOS!$K$2:$K$20000))/SUMPRODUCT((DATOS!$A$2:$A$20000=M8)*(DATOS!$G$2:$G$20000=CONFIG_METADATA!$B$4)*(COUNTIF(CONFIG_ASIGNATURAS!$B$7:$B$27,DATOS!$I$2:$I$20000)&gt;0)*1),"")))</f>
        <v/>
      </c>
      <c r="T8" t="str">
        <f>IF(S8="","",IF(S8="[FÓRMULA MANUAL]","",IFERROR(AVERAGEIFS(DATOS!$K$2:$K$20000,DATOS!$A$2:$A$20000,S8,DATOS!$G$2:$G$20000,CONFIG_METADATA!$B$4,DATOS!$I$2:$I$20000,"Armonía"),"")))</f>
        <v/>
      </c>
      <c r="U8" t="str">
        <f>IF(S8="","",IF(S8="[FÓRMULA MANUAL]","",IFERROR(AVERAGEIFS(DATOS!$K$2:$K$20000,DATOS!$A$2:$A$20000,S8,DATOS!$G$2:$G$20000,CONFIG_METADATA!$B$4,DATOS!$I$2:$I$20000,"Orquesta/Banda/Conjunto"),"")))</f>
        <v/>
      </c>
      <c r="V8" t="str">
        <f>IF(S8="","",IF(S8="[FÓRMULA MANUAL]","",IFERROR(AVERAGEIFS(DATOS!$K$2:$K$20000,DATOS!$A$2:$A$20000,S8,DATOS!$G$2:$G$20000,CONFIG_METADATA!$B$4,DATOS!$I$2:$I$20000,"Música de Cámara"),"")))</f>
        <v/>
      </c>
      <c r="W8" t="str">
        <f>IF(S8="","",IF(S8="[FÓRMULA MANUAL]","",IFERROR(SUMPRODUCT((DATOS!$A$2:$A$20000=S8)*(DATOS!$G$2:$G$20000=CONFIG_METADATA!$B$4)*(COUNTIF(CONFIG_ASIGNATURAS!$B$7:$B$27,DATOS!$I$2:$I$20000)&gt;0)*(DATOS!$K$2:$K$20000))/SUMPRODUCT((DATOS!$A$2:$A$20000=S8)*(DATOS!$G$2:$G$20000=CONFIG_METADATA!$B$4)*(COUNTIF(CONFIG_ASIGNATURAS!$B$7:$B$27,DATOS!$I$2:$I$20000)&gt;0)*1),"")))</f>
        <v/>
      </c>
      <c r="Z8" t="str">
        <f>IF(Y8="","",IF(Y8="[FÓRMULA MANUAL]","",IFERROR(AVERAGEIFS(DATOS!$K$2:$K$20000,DATOS!$A$2:$A$20000,Y8,DATOS!$G$2:$G$20000,CONFIG_METADATA!$B$4,DATOS!$I$2:$I$20000,"Análisis"),"")))</f>
        <v/>
      </c>
      <c r="AA8" t="str">
        <f>IF(Y8="","",IF(Y8="[FÓRMULA MANUAL]","",IFERROR(AVERAGEIFS(DATOS!$K$2:$K$20000,DATOS!$A$2:$A$20000,Y8,DATOS!$G$2:$G$20000,CONFIG_METADATA!$B$4,DATOS!$I$2:$I$20000,"Orquesta/Banda/Conjunto"),"")))</f>
        <v/>
      </c>
      <c r="AB8" t="str">
        <f>IF(Y8="","",IF(Y8="[FÓRMULA MANUAL]","",IFERROR(AVERAGEIFS(DATOS!$K$2:$K$20000,DATOS!$A$2:$A$20000,Y8,DATOS!$G$2:$G$20000,CONFIG_METADATA!$B$4,DATOS!$I$2:$I$20000,"Música de Cámara"),"")))</f>
        <v/>
      </c>
      <c r="AC8" t="str">
        <f>IF(Y8="","",IF(Y8="[FÓRMULA MANUAL]","",IFERROR(SUMPRODUCT((DATOS!$A$2:$A$20000=Y8)*(DATOS!$G$2:$G$20000=CONFIG_METADATA!$B$4)*(COUNTIF(CONFIG_ASIGNATURAS!$B$7:$B$27,DATOS!$I$2:$I$20000)&gt;0)*(DATOS!$K$2:$K$20000))/SUMPRODUCT((DATOS!$A$2:$A$20000=Y8)*(DATOS!$G$2:$G$20000=CONFIG_METADATA!$B$4)*(COUNTIF(CONFIG_ASIGNATURAS!$B$7:$B$27,DATOS!$I$2:$I$20000)&gt;0)*1),"")))</f>
        <v/>
      </c>
      <c r="AF8" t="str">
        <f>IF(AE8="","",IF(AE8="[FÓRMULA MANUAL]","",IFERROR(AVERAGEIFS(DATOS!$K$2:$K$20000,DATOS!$A$2:$A$20000,AE8,DATOS!$G$2:$G$20000,CONFIG_METADATA!$B$4,DATOS!$I$2:$I$20000,"Análisis"),"")))</f>
        <v/>
      </c>
      <c r="AG8" t="str">
        <f>IF(AE8="","",IF(AE8="[FÓRMULA MANUAL]","",IFERROR(AVERAGEIFS(DATOS!$K$2:$K$20000,DATOS!$A$2:$A$20000,AE8,DATOS!$G$2:$G$20000,CONFIG_METADATA!$B$4,DATOS!$I$2:$I$20000,"Orquesta/Banda/Conjunto"),"")))</f>
        <v/>
      </c>
      <c r="AH8" t="str">
        <f>IF(AE8="","",IF(AE8="[FÓRMULA MANUAL]","",IFERROR(AVERAGEIFS(DATOS!$K$2:$K$20000,DATOS!$A$2:$A$20000,AE8,DATOS!$G$2:$G$20000,CONFIG_METADATA!$B$4,DATOS!$I$2:$I$20000,"Música de Cámara"),"")))</f>
        <v/>
      </c>
      <c r="AI8" t="str">
        <f>IF(AE8="","",IF(AE8="[FÓRMULA MANUAL]","",IFERROR(SUMPRODUCT((DATOS!$A$2:$A$20000=AE8)*(DATOS!$G$2:$G$20000=CONFIG_METADATA!$B$4)*(COUNTIF(CONFIG_ASIGNATURAS!$B$7:$B$27,DATOS!$I$2:$I$20000)&gt;0)*(DATOS!$K$2:$K$20000))/SUMPRODUCT((DATOS!$A$2:$A$20000=AE8)*(DATOS!$G$2:$G$20000=CONFIG_METADATA!$B$4)*(COUNTIF(CONFIG_ASIGNATURAS!$B$7:$B$27,DATOS!$I$2:$I$20000)&gt;0)*1),"")))</f>
        <v/>
      </c>
    </row>
    <row r="9" spans="1:35" x14ac:dyDescent="0.2">
      <c r="B9" t="str">
        <f>IF(A9="","",IF(A9="[FÓRMULA MANUAL]","",IFERROR(AVERAGEIFS(DATOS!$K$2:$K$20000,DATOS!$A$2:$A$20000,A9,DATOS!$G$2:$G$20000,CONFIG_METADATA!$B$4,DATOS!$I$2:$I$20000,"Lenguaje Musical"),"")))</f>
        <v/>
      </c>
      <c r="C9" t="str">
        <f>IF(A9="","",IF(A9="[FÓRMULA MANUAL]","",IFERROR(AVERAGEIFS(DATOS!$K$2:$K$20000,DATOS!$A$2:$A$20000,A9,DATOS!$G$2:$G$20000,CONFIG_METADATA!$B$4,DATOS!$I$2:$I$20000,"Orquesta/Banda/Conjunto"),"")))</f>
        <v/>
      </c>
      <c r="D9" t="str">
        <f>IF(A9="","",IF(A9="[FÓRMULA MANUAL]","",IFERROR(AVERAGEIFS(DATOS!$K$2:$K$20000,DATOS!$A$2:$A$20000,A9,DATOS!$G$2:$G$20000,CONFIG_METADATA!$B$4,DATOS!$I$2:$I$20000,"Conjunto"),"")))</f>
        <v/>
      </c>
      <c r="E9" t="str">
        <f>IF(A9="","",IF(A9="[FÓRMULA MANUAL]","",IFERROR(SUMPRODUCT((DATOS!$A$2:$A$20000=A9)*(DATOS!$G$2:$G$20000=CONFIG_METADATA!$B$4)*(COUNTIF(CONFIG_ASIGNATURAS!$B$7:$B$27,DATOS!$I$2:$I$20000)&gt;0)*(DATOS!$K$2:$K$20000))/SUMPRODUCT((DATOS!$A$2:$A$20000=A9)*(DATOS!$G$2:$G$20000=CONFIG_METADATA!$B$4)*(COUNTIF(CONFIG_ASIGNATURAS!$B$7:$B$27,DATOS!$I$2:$I$20000)&gt;0)*1),"")))</f>
        <v/>
      </c>
      <c r="H9" t="str">
        <f>IF(G9="","",IF(G9="[FÓRMULA MANUAL]","",IFERROR(AVERAGEIFS(DATOS!$K$2:$K$20000,DATOS!$A$2:$A$20000,G9,DATOS!$G$2:$G$20000,CONFIG_METADATA!$B$4,DATOS!$I$2:$I$20000,"Lenguaje Musical"),"")))</f>
        <v/>
      </c>
      <c r="I9" t="str">
        <f>IF(G9="","",IF(G9="[FÓRMULA MANUAL]","",IFERROR(AVERAGEIFS(DATOS!$K$2:$K$20000,DATOS!$A$2:$A$20000,G9,DATOS!$G$2:$G$20000,CONFIG_METADATA!$B$4,DATOS!$I$2:$I$20000,"Orquesta/Banda/Conjunto"),"")))</f>
        <v/>
      </c>
      <c r="J9" t="str">
        <f>IF(G9="","",IF(G9="[FÓRMULA MANUAL]","",IFERROR(AVERAGEIFS(DATOS!$K$2:$K$20000,DATOS!$A$2:$A$20000,G9,DATOS!$G$2:$G$20000,CONFIG_METADATA!$B$4,DATOS!$I$2:$I$20000,"Conjunto"),"")))</f>
        <v/>
      </c>
      <c r="K9" t="str">
        <f>IF(G9="","",IF(G9="[FÓRMULA MANUAL]","",IFERROR(SUMPRODUCT((DATOS!$A$2:$A$20000=G9)*(DATOS!$G$2:$G$20000=CONFIG_METADATA!$B$4)*(COUNTIF(CONFIG_ASIGNATURAS!$B$7:$B$27,DATOS!$I$2:$I$20000)&gt;0)*(DATOS!$K$2:$K$20000))/SUMPRODUCT((DATOS!$A$2:$A$20000=G9)*(DATOS!$G$2:$G$20000=CONFIG_METADATA!$B$4)*(COUNTIF(CONFIG_ASIGNATURAS!$B$7:$B$27,DATOS!$I$2:$I$20000)&gt;0)*1),"")))</f>
        <v/>
      </c>
      <c r="N9" t="str">
        <f>IF(M9="","",IF(M9="[FÓRMULA MANUAL]","",IFERROR(AVERAGEIFS(DATOS!$K$2:$K$20000,DATOS!$A$2:$A$20000,M9,DATOS!$G$2:$G$20000,CONFIG_METADATA!$B$4,DATOS!$I$2:$I$20000,"Armonía"),"")))</f>
        <v/>
      </c>
      <c r="O9" t="str">
        <f>IF(M9="","",IF(M9="[FÓRMULA MANUAL]","",IFERROR(AVERAGEIFS(DATOS!$K$2:$K$20000,DATOS!$A$2:$A$20000,M9,DATOS!$G$2:$G$20000,CONFIG_METADATA!$B$4,DATOS!$I$2:$I$20000,"Orquesta/Banda/Conjunto"),"")))</f>
        <v/>
      </c>
      <c r="P9" t="str">
        <f>IF(M9="","",IF(M9="[FÓRMULA MANUAL]","",IFERROR(AVERAGEIFS(DATOS!$K$2:$K$20000,DATOS!$A$2:$A$20000,M9,DATOS!$G$2:$G$20000,CONFIG_METADATA!$B$4,DATOS!$I$2:$I$20000,"Música de Cámara"),"")))</f>
        <v/>
      </c>
      <c r="Q9" t="str">
        <f>IF(M9="","",IF(M9="[FÓRMULA MANUAL]","",IFERROR(SUMPRODUCT((DATOS!$A$2:$A$20000=M9)*(DATOS!$G$2:$G$20000=CONFIG_METADATA!$B$4)*(COUNTIF(CONFIG_ASIGNATURAS!$B$7:$B$27,DATOS!$I$2:$I$20000)&gt;0)*(DATOS!$K$2:$K$20000))/SUMPRODUCT((DATOS!$A$2:$A$20000=M9)*(DATOS!$G$2:$G$20000=CONFIG_METADATA!$B$4)*(COUNTIF(CONFIG_ASIGNATURAS!$B$7:$B$27,DATOS!$I$2:$I$20000)&gt;0)*1),"")))</f>
        <v/>
      </c>
      <c r="T9" t="str">
        <f>IF(S9="","",IF(S9="[FÓRMULA MANUAL]","",IFERROR(AVERAGEIFS(DATOS!$K$2:$K$20000,DATOS!$A$2:$A$20000,S9,DATOS!$G$2:$G$20000,CONFIG_METADATA!$B$4,DATOS!$I$2:$I$20000,"Armonía"),"")))</f>
        <v/>
      </c>
      <c r="U9" t="str">
        <f>IF(S9="","",IF(S9="[FÓRMULA MANUAL]","",IFERROR(AVERAGEIFS(DATOS!$K$2:$K$20000,DATOS!$A$2:$A$20000,S9,DATOS!$G$2:$G$20000,CONFIG_METADATA!$B$4,DATOS!$I$2:$I$20000,"Orquesta/Banda/Conjunto"),"")))</f>
        <v/>
      </c>
      <c r="V9" t="str">
        <f>IF(S9="","",IF(S9="[FÓRMULA MANUAL]","",IFERROR(AVERAGEIFS(DATOS!$K$2:$K$20000,DATOS!$A$2:$A$20000,S9,DATOS!$G$2:$G$20000,CONFIG_METADATA!$B$4,DATOS!$I$2:$I$20000,"Música de Cámara"),"")))</f>
        <v/>
      </c>
      <c r="W9" t="str">
        <f>IF(S9="","",IF(S9="[FÓRMULA MANUAL]","",IFERROR(SUMPRODUCT((DATOS!$A$2:$A$20000=S9)*(DATOS!$G$2:$G$20000=CONFIG_METADATA!$B$4)*(COUNTIF(CONFIG_ASIGNATURAS!$B$7:$B$27,DATOS!$I$2:$I$20000)&gt;0)*(DATOS!$K$2:$K$20000))/SUMPRODUCT((DATOS!$A$2:$A$20000=S9)*(DATOS!$G$2:$G$20000=CONFIG_METADATA!$B$4)*(COUNTIF(CONFIG_ASIGNATURAS!$B$7:$B$27,DATOS!$I$2:$I$20000)&gt;0)*1),"")))</f>
        <v/>
      </c>
      <c r="Z9" t="str">
        <f>IF(Y9="","",IF(Y9="[FÓRMULA MANUAL]","",IFERROR(AVERAGEIFS(DATOS!$K$2:$K$20000,DATOS!$A$2:$A$20000,Y9,DATOS!$G$2:$G$20000,CONFIG_METADATA!$B$4,DATOS!$I$2:$I$20000,"Análisis"),"")))</f>
        <v/>
      </c>
      <c r="AA9" t="str">
        <f>IF(Y9="","",IF(Y9="[FÓRMULA MANUAL]","",IFERROR(AVERAGEIFS(DATOS!$K$2:$K$20000,DATOS!$A$2:$A$20000,Y9,DATOS!$G$2:$G$20000,CONFIG_METADATA!$B$4,DATOS!$I$2:$I$20000,"Orquesta/Banda/Conjunto"),"")))</f>
        <v/>
      </c>
      <c r="AB9" t="str">
        <f>IF(Y9="","",IF(Y9="[FÓRMULA MANUAL]","",IFERROR(AVERAGEIFS(DATOS!$K$2:$K$20000,DATOS!$A$2:$A$20000,Y9,DATOS!$G$2:$G$20000,CONFIG_METADATA!$B$4,DATOS!$I$2:$I$20000,"Música de Cámara"),"")))</f>
        <v/>
      </c>
      <c r="AC9" t="str">
        <f>IF(Y9="","",IF(Y9="[FÓRMULA MANUAL]","",IFERROR(SUMPRODUCT((DATOS!$A$2:$A$20000=Y9)*(DATOS!$G$2:$G$20000=CONFIG_METADATA!$B$4)*(COUNTIF(CONFIG_ASIGNATURAS!$B$7:$B$27,DATOS!$I$2:$I$20000)&gt;0)*(DATOS!$K$2:$K$20000))/SUMPRODUCT((DATOS!$A$2:$A$20000=Y9)*(DATOS!$G$2:$G$20000=CONFIG_METADATA!$B$4)*(COUNTIF(CONFIG_ASIGNATURAS!$B$7:$B$27,DATOS!$I$2:$I$20000)&gt;0)*1),"")))</f>
        <v/>
      </c>
      <c r="AF9" t="str">
        <f>IF(AE9="","",IF(AE9="[FÓRMULA MANUAL]","",IFERROR(AVERAGEIFS(DATOS!$K$2:$K$20000,DATOS!$A$2:$A$20000,AE9,DATOS!$G$2:$G$20000,CONFIG_METADATA!$B$4,DATOS!$I$2:$I$20000,"Análisis"),"")))</f>
        <v/>
      </c>
      <c r="AG9" t="str">
        <f>IF(AE9="","",IF(AE9="[FÓRMULA MANUAL]","",IFERROR(AVERAGEIFS(DATOS!$K$2:$K$20000,DATOS!$A$2:$A$20000,AE9,DATOS!$G$2:$G$20000,CONFIG_METADATA!$B$4,DATOS!$I$2:$I$20000,"Orquesta/Banda/Conjunto"),"")))</f>
        <v/>
      </c>
      <c r="AH9" t="str">
        <f>IF(AE9="","",IF(AE9="[FÓRMULA MANUAL]","",IFERROR(AVERAGEIFS(DATOS!$K$2:$K$20000,DATOS!$A$2:$A$20000,AE9,DATOS!$G$2:$G$20000,CONFIG_METADATA!$B$4,DATOS!$I$2:$I$20000,"Música de Cámara"),"")))</f>
        <v/>
      </c>
      <c r="AI9" t="str">
        <f>IF(AE9="","",IF(AE9="[FÓRMULA MANUAL]","",IFERROR(SUMPRODUCT((DATOS!$A$2:$A$20000=AE9)*(DATOS!$G$2:$G$20000=CONFIG_METADATA!$B$4)*(COUNTIF(CONFIG_ASIGNATURAS!$B$7:$B$27,DATOS!$I$2:$I$20000)&gt;0)*(DATOS!$K$2:$K$20000))/SUMPRODUCT((DATOS!$A$2:$A$20000=AE9)*(DATOS!$G$2:$G$20000=CONFIG_METADATA!$B$4)*(COUNTIF(CONFIG_ASIGNATURAS!$B$7:$B$27,DATOS!$I$2:$I$20000)&gt;0)*1),"")))</f>
        <v/>
      </c>
    </row>
    <row r="10" spans="1:35" x14ac:dyDescent="0.2">
      <c r="B10" t="str">
        <f>IF(A10="","",IF(A10="[FÓRMULA MANUAL]","",IFERROR(AVERAGEIFS(DATOS!$K$2:$K$20000,DATOS!$A$2:$A$20000,A10,DATOS!$G$2:$G$20000,CONFIG_METADATA!$B$4,DATOS!$I$2:$I$20000,"Lenguaje Musical"),"")))</f>
        <v/>
      </c>
      <c r="C10" t="str">
        <f>IF(A10="","",IF(A10="[FÓRMULA MANUAL]","",IFERROR(AVERAGEIFS(DATOS!$K$2:$K$20000,DATOS!$A$2:$A$20000,A10,DATOS!$G$2:$G$20000,CONFIG_METADATA!$B$4,DATOS!$I$2:$I$20000,"Orquesta/Banda/Conjunto"),"")))</f>
        <v/>
      </c>
      <c r="D10" t="str">
        <f>IF(A10="","",IF(A10="[FÓRMULA MANUAL]","",IFERROR(AVERAGEIFS(DATOS!$K$2:$K$20000,DATOS!$A$2:$A$20000,A10,DATOS!$G$2:$G$20000,CONFIG_METADATA!$B$4,DATOS!$I$2:$I$20000,"Conjunto"),"")))</f>
        <v/>
      </c>
      <c r="E10" t="str">
        <f>IF(A10="","",IF(A10="[FÓRMULA MANUAL]","",IFERROR(SUMPRODUCT((DATOS!$A$2:$A$20000=A10)*(DATOS!$G$2:$G$20000=CONFIG_METADATA!$B$4)*(COUNTIF(CONFIG_ASIGNATURAS!$B$7:$B$27,DATOS!$I$2:$I$20000)&gt;0)*(DATOS!$K$2:$K$20000))/SUMPRODUCT((DATOS!$A$2:$A$20000=A10)*(DATOS!$G$2:$G$20000=CONFIG_METADATA!$B$4)*(COUNTIF(CONFIG_ASIGNATURAS!$B$7:$B$27,DATOS!$I$2:$I$20000)&gt;0)*1),"")))</f>
        <v/>
      </c>
      <c r="H10" t="str">
        <f>IF(G10="","",IF(G10="[FÓRMULA MANUAL]","",IFERROR(AVERAGEIFS(DATOS!$K$2:$K$20000,DATOS!$A$2:$A$20000,G10,DATOS!$G$2:$G$20000,CONFIG_METADATA!$B$4,DATOS!$I$2:$I$20000,"Lenguaje Musical"),"")))</f>
        <v/>
      </c>
      <c r="I10" t="str">
        <f>IF(G10="","",IF(G10="[FÓRMULA MANUAL]","",IFERROR(AVERAGEIFS(DATOS!$K$2:$K$20000,DATOS!$A$2:$A$20000,G10,DATOS!$G$2:$G$20000,CONFIG_METADATA!$B$4,DATOS!$I$2:$I$20000,"Orquesta/Banda/Conjunto"),"")))</f>
        <v/>
      </c>
      <c r="J10" t="str">
        <f>IF(G10="","",IF(G10="[FÓRMULA MANUAL]","",IFERROR(AVERAGEIFS(DATOS!$K$2:$K$20000,DATOS!$A$2:$A$20000,G10,DATOS!$G$2:$G$20000,CONFIG_METADATA!$B$4,DATOS!$I$2:$I$20000,"Conjunto"),"")))</f>
        <v/>
      </c>
      <c r="K10" t="str">
        <f>IF(G10="","",IF(G10="[FÓRMULA MANUAL]","",IFERROR(SUMPRODUCT((DATOS!$A$2:$A$20000=G10)*(DATOS!$G$2:$G$20000=CONFIG_METADATA!$B$4)*(COUNTIF(CONFIG_ASIGNATURAS!$B$7:$B$27,DATOS!$I$2:$I$20000)&gt;0)*(DATOS!$K$2:$K$20000))/SUMPRODUCT((DATOS!$A$2:$A$20000=G10)*(DATOS!$G$2:$G$20000=CONFIG_METADATA!$B$4)*(COUNTIF(CONFIG_ASIGNATURAS!$B$7:$B$27,DATOS!$I$2:$I$20000)&gt;0)*1),"")))</f>
        <v/>
      </c>
      <c r="N10" t="str">
        <f>IF(M10="","",IF(M10="[FÓRMULA MANUAL]","",IFERROR(AVERAGEIFS(DATOS!$K$2:$K$20000,DATOS!$A$2:$A$20000,M10,DATOS!$G$2:$G$20000,CONFIG_METADATA!$B$4,DATOS!$I$2:$I$20000,"Armonía"),"")))</f>
        <v/>
      </c>
      <c r="O10" t="str">
        <f>IF(M10="","",IF(M10="[FÓRMULA MANUAL]","",IFERROR(AVERAGEIFS(DATOS!$K$2:$K$20000,DATOS!$A$2:$A$20000,M10,DATOS!$G$2:$G$20000,CONFIG_METADATA!$B$4,DATOS!$I$2:$I$20000,"Orquesta/Banda/Conjunto"),"")))</f>
        <v/>
      </c>
      <c r="P10" t="str">
        <f>IF(M10="","",IF(M10="[FÓRMULA MANUAL]","",IFERROR(AVERAGEIFS(DATOS!$K$2:$K$20000,DATOS!$A$2:$A$20000,M10,DATOS!$G$2:$G$20000,CONFIG_METADATA!$B$4,DATOS!$I$2:$I$20000,"Música de Cámara"),"")))</f>
        <v/>
      </c>
      <c r="Q10" t="str">
        <f>IF(M10="","",IF(M10="[FÓRMULA MANUAL]","",IFERROR(SUMPRODUCT((DATOS!$A$2:$A$20000=M10)*(DATOS!$G$2:$G$20000=CONFIG_METADATA!$B$4)*(COUNTIF(CONFIG_ASIGNATURAS!$B$7:$B$27,DATOS!$I$2:$I$20000)&gt;0)*(DATOS!$K$2:$K$20000))/SUMPRODUCT((DATOS!$A$2:$A$20000=M10)*(DATOS!$G$2:$G$20000=CONFIG_METADATA!$B$4)*(COUNTIF(CONFIG_ASIGNATURAS!$B$7:$B$27,DATOS!$I$2:$I$20000)&gt;0)*1),"")))</f>
        <v/>
      </c>
      <c r="T10" t="str">
        <f>IF(S10="","",IF(S10="[FÓRMULA MANUAL]","",IFERROR(AVERAGEIFS(DATOS!$K$2:$K$20000,DATOS!$A$2:$A$20000,S10,DATOS!$G$2:$G$20000,CONFIG_METADATA!$B$4,DATOS!$I$2:$I$20000,"Armonía"),"")))</f>
        <v/>
      </c>
      <c r="U10" t="str">
        <f>IF(S10="","",IF(S10="[FÓRMULA MANUAL]","",IFERROR(AVERAGEIFS(DATOS!$K$2:$K$20000,DATOS!$A$2:$A$20000,S10,DATOS!$G$2:$G$20000,CONFIG_METADATA!$B$4,DATOS!$I$2:$I$20000,"Orquesta/Banda/Conjunto"),"")))</f>
        <v/>
      </c>
      <c r="V10" t="str">
        <f>IF(S10="","",IF(S10="[FÓRMULA MANUAL]","",IFERROR(AVERAGEIFS(DATOS!$K$2:$K$20000,DATOS!$A$2:$A$20000,S10,DATOS!$G$2:$G$20000,CONFIG_METADATA!$B$4,DATOS!$I$2:$I$20000,"Música de Cámara"),"")))</f>
        <v/>
      </c>
      <c r="W10" t="str">
        <f>IF(S10="","",IF(S10="[FÓRMULA MANUAL]","",IFERROR(SUMPRODUCT((DATOS!$A$2:$A$20000=S10)*(DATOS!$G$2:$G$20000=CONFIG_METADATA!$B$4)*(COUNTIF(CONFIG_ASIGNATURAS!$B$7:$B$27,DATOS!$I$2:$I$20000)&gt;0)*(DATOS!$K$2:$K$20000))/SUMPRODUCT((DATOS!$A$2:$A$20000=S10)*(DATOS!$G$2:$G$20000=CONFIG_METADATA!$B$4)*(COUNTIF(CONFIG_ASIGNATURAS!$B$7:$B$27,DATOS!$I$2:$I$20000)&gt;0)*1),"")))</f>
        <v/>
      </c>
      <c r="Z10" t="str">
        <f>IF(Y10="","",IF(Y10="[FÓRMULA MANUAL]","",IFERROR(AVERAGEIFS(DATOS!$K$2:$K$20000,DATOS!$A$2:$A$20000,Y10,DATOS!$G$2:$G$20000,CONFIG_METADATA!$B$4,DATOS!$I$2:$I$20000,"Análisis"),"")))</f>
        <v/>
      </c>
      <c r="AA10" t="str">
        <f>IF(Y10="","",IF(Y10="[FÓRMULA MANUAL]","",IFERROR(AVERAGEIFS(DATOS!$K$2:$K$20000,DATOS!$A$2:$A$20000,Y10,DATOS!$G$2:$G$20000,CONFIG_METADATA!$B$4,DATOS!$I$2:$I$20000,"Orquesta/Banda/Conjunto"),"")))</f>
        <v/>
      </c>
      <c r="AB10" t="str">
        <f>IF(Y10="","",IF(Y10="[FÓRMULA MANUAL]","",IFERROR(AVERAGEIFS(DATOS!$K$2:$K$20000,DATOS!$A$2:$A$20000,Y10,DATOS!$G$2:$G$20000,CONFIG_METADATA!$B$4,DATOS!$I$2:$I$20000,"Música de Cámara"),"")))</f>
        <v/>
      </c>
      <c r="AC10" t="str">
        <f>IF(Y10="","",IF(Y10="[FÓRMULA MANUAL]","",IFERROR(SUMPRODUCT((DATOS!$A$2:$A$20000=Y10)*(DATOS!$G$2:$G$20000=CONFIG_METADATA!$B$4)*(COUNTIF(CONFIG_ASIGNATURAS!$B$7:$B$27,DATOS!$I$2:$I$20000)&gt;0)*(DATOS!$K$2:$K$20000))/SUMPRODUCT((DATOS!$A$2:$A$20000=Y10)*(DATOS!$G$2:$G$20000=CONFIG_METADATA!$B$4)*(COUNTIF(CONFIG_ASIGNATURAS!$B$7:$B$27,DATOS!$I$2:$I$20000)&gt;0)*1),"")))</f>
        <v/>
      </c>
      <c r="AF10" t="str">
        <f>IF(AE10="","",IF(AE10="[FÓRMULA MANUAL]","",IFERROR(AVERAGEIFS(DATOS!$K$2:$K$20000,DATOS!$A$2:$A$20000,AE10,DATOS!$G$2:$G$20000,CONFIG_METADATA!$B$4,DATOS!$I$2:$I$20000,"Análisis"),"")))</f>
        <v/>
      </c>
      <c r="AG10" t="str">
        <f>IF(AE10="","",IF(AE10="[FÓRMULA MANUAL]","",IFERROR(AVERAGEIFS(DATOS!$K$2:$K$20000,DATOS!$A$2:$A$20000,AE10,DATOS!$G$2:$G$20000,CONFIG_METADATA!$B$4,DATOS!$I$2:$I$20000,"Orquesta/Banda/Conjunto"),"")))</f>
        <v/>
      </c>
      <c r="AH10" t="str">
        <f>IF(AE10="","",IF(AE10="[FÓRMULA MANUAL]","",IFERROR(AVERAGEIFS(DATOS!$K$2:$K$20000,DATOS!$A$2:$A$20000,AE10,DATOS!$G$2:$G$20000,CONFIG_METADATA!$B$4,DATOS!$I$2:$I$20000,"Música de Cámara"),"")))</f>
        <v/>
      </c>
      <c r="AI10" t="str">
        <f>IF(AE10="","",IF(AE10="[FÓRMULA MANUAL]","",IFERROR(SUMPRODUCT((DATOS!$A$2:$A$20000=AE10)*(DATOS!$G$2:$G$20000=CONFIG_METADATA!$B$4)*(COUNTIF(CONFIG_ASIGNATURAS!$B$7:$B$27,DATOS!$I$2:$I$20000)&gt;0)*(DATOS!$K$2:$K$20000))/SUMPRODUCT((DATOS!$A$2:$A$20000=AE10)*(DATOS!$G$2:$G$20000=CONFIG_METADATA!$B$4)*(COUNTIF(CONFIG_ASIGNATURAS!$B$7:$B$27,DATOS!$I$2:$I$20000)&gt;0)*1),"")))</f>
        <v/>
      </c>
    </row>
    <row r="11" spans="1:35" x14ac:dyDescent="0.2">
      <c r="B11" t="str">
        <f>IF(A11="","",IF(A11="[FÓRMULA MANUAL]","",IFERROR(AVERAGEIFS(DATOS!$K$2:$K$20000,DATOS!$A$2:$A$20000,A11,DATOS!$G$2:$G$20000,CONFIG_METADATA!$B$4,DATOS!$I$2:$I$20000,"Lenguaje Musical"),"")))</f>
        <v/>
      </c>
      <c r="C11" t="str">
        <f>IF(A11="","",IF(A11="[FÓRMULA MANUAL]","",IFERROR(AVERAGEIFS(DATOS!$K$2:$K$20000,DATOS!$A$2:$A$20000,A11,DATOS!$G$2:$G$20000,CONFIG_METADATA!$B$4,DATOS!$I$2:$I$20000,"Orquesta/Banda/Conjunto"),"")))</f>
        <v/>
      </c>
      <c r="D11" t="str">
        <f>IF(A11="","",IF(A11="[FÓRMULA MANUAL]","",IFERROR(AVERAGEIFS(DATOS!$K$2:$K$20000,DATOS!$A$2:$A$20000,A11,DATOS!$G$2:$G$20000,CONFIG_METADATA!$B$4,DATOS!$I$2:$I$20000,"Conjunto"),"")))</f>
        <v/>
      </c>
      <c r="E11" t="str">
        <f>IF(A11="","",IF(A11="[FÓRMULA MANUAL]","",IFERROR(SUMPRODUCT((DATOS!$A$2:$A$20000=A11)*(DATOS!$G$2:$G$20000=CONFIG_METADATA!$B$4)*(COUNTIF(CONFIG_ASIGNATURAS!$B$7:$B$27,DATOS!$I$2:$I$20000)&gt;0)*(DATOS!$K$2:$K$20000))/SUMPRODUCT((DATOS!$A$2:$A$20000=A11)*(DATOS!$G$2:$G$20000=CONFIG_METADATA!$B$4)*(COUNTIF(CONFIG_ASIGNATURAS!$B$7:$B$27,DATOS!$I$2:$I$20000)&gt;0)*1),"")))</f>
        <v/>
      </c>
      <c r="H11" t="str">
        <f>IF(G11="","",IF(G11="[FÓRMULA MANUAL]","",IFERROR(AVERAGEIFS(DATOS!$K$2:$K$20000,DATOS!$A$2:$A$20000,G11,DATOS!$G$2:$G$20000,CONFIG_METADATA!$B$4,DATOS!$I$2:$I$20000,"Lenguaje Musical"),"")))</f>
        <v/>
      </c>
      <c r="I11" t="str">
        <f>IF(G11="","",IF(G11="[FÓRMULA MANUAL]","",IFERROR(AVERAGEIFS(DATOS!$K$2:$K$20000,DATOS!$A$2:$A$20000,G11,DATOS!$G$2:$G$20000,CONFIG_METADATA!$B$4,DATOS!$I$2:$I$20000,"Orquesta/Banda/Conjunto"),"")))</f>
        <v/>
      </c>
      <c r="J11" t="str">
        <f>IF(G11="","",IF(G11="[FÓRMULA MANUAL]","",IFERROR(AVERAGEIFS(DATOS!$K$2:$K$20000,DATOS!$A$2:$A$20000,G11,DATOS!$G$2:$G$20000,CONFIG_METADATA!$B$4,DATOS!$I$2:$I$20000,"Conjunto"),"")))</f>
        <v/>
      </c>
      <c r="K11" t="str">
        <f>IF(G11="","",IF(G11="[FÓRMULA MANUAL]","",IFERROR(SUMPRODUCT((DATOS!$A$2:$A$20000=G11)*(DATOS!$G$2:$G$20000=CONFIG_METADATA!$B$4)*(COUNTIF(CONFIG_ASIGNATURAS!$B$7:$B$27,DATOS!$I$2:$I$20000)&gt;0)*(DATOS!$K$2:$K$20000))/SUMPRODUCT((DATOS!$A$2:$A$20000=G11)*(DATOS!$G$2:$G$20000=CONFIG_METADATA!$B$4)*(COUNTIF(CONFIG_ASIGNATURAS!$B$7:$B$27,DATOS!$I$2:$I$20000)&gt;0)*1),"")))</f>
        <v/>
      </c>
      <c r="N11" t="str">
        <f>IF(M11="","",IF(M11="[FÓRMULA MANUAL]","",IFERROR(AVERAGEIFS(DATOS!$K$2:$K$20000,DATOS!$A$2:$A$20000,M11,DATOS!$G$2:$G$20000,CONFIG_METADATA!$B$4,DATOS!$I$2:$I$20000,"Armonía"),"")))</f>
        <v/>
      </c>
      <c r="O11" t="str">
        <f>IF(M11="","",IF(M11="[FÓRMULA MANUAL]","",IFERROR(AVERAGEIFS(DATOS!$K$2:$K$20000,DATOS!$A$2:$A$20000,M11,DATOS!$G$2:$G$20000,CONFIG_METADATA!$B$4,DATOS!$I$2:$I$20000,"Orquesta/Banda/Conjunto"),"")))</f>
        <v/>
      </c>
      <c r="P11" t="str">
        <f>IF(M11="","",IF(M11="[FÓRMULA MANUAL]","",IFERROR(AVERAGEIFS(DATOS!$K$2:$K$20000,DATOS!$A$2:$A$20000,M11,DATOS!$G$2:$G$20000,CONFIG_METADATA!$B$4,DATOS!$I$2:$I$20000,"Música de Cámara"),"")))</f>
        <v/>
      </c>
      <c r="Q11" t="str">
        <f>IF(M11="","",IF(M11="[FÓRMULA MANUAL]","",IFERROR(SUMPRODUCT((DATOS!$A$2:$A$20000=M11)*(DATOS!$G$2:$G$20000=CONFIG_METADATA!$B$4)*(COUNTIF(CONFIG_ASIGNATURAS!$B$7:$B$27,DATOS!$I$2:$I$20000)&gt;0)*(DATOS!$K$2:$K$20000))/SUMPRODUCT((DATOS!$A$2:$A$20000=M11)*(DATOS!$G$2:$G$20000=CONFIG_METADATA!$B$4)*(COUNTIF(CONFIG_ASIGNATURAS!$B$7:$B$27,DATOS!$I$2:$I$20000)&gt;0)*1),"")))</f>
        <v/>
      </c>
      <c r="T11" t="str">
        <f>IF(S11="","",IF(S11="[FÓRMULA MANUAL]","",IFERROR(AVERAGEIFS(DATOS!$K$2:$K$20000,DATOS!$A$2:$A$20000,S11,DATOS!$G$2:$G$20000,CONFIG_METADATA!$B$4,DATOS!$I$2:$I$20000,"Armonía"),"")))</f>
        <v/>
      </c>
      <c r="U11" t="str">
        <f>IF(S11="","",IF(S11="[FÓRMULA MANUAL]","",IFERROR(AVERAGEIFS(DATOS!$K$2:$K$20000,DATOS!$A$2:$A$20000,S11,DATOS!$G$2:$G$20000,CONFIG_METADATA!$B$4,DATOS!$I$2:$I$20000,"Orquesta/Banda/Conjunto"),"")))</f>
        <v/>
      </c>
      <c r="V11" t="str">
        <f>IF(S11="","",IF(S11="[FÓRMULA MANUAL]","",IFERROR(AVERAGEIFS(DATOS!$K$2:$K$20000,DATOS!$A$2:$A$20000,S11,DATOS!$G$2:$G$20000,CONFIG_METADATA!$B$4,DATOS!$I$2:$I$20000,"Música de Cámara"),"")))</f>
        <v/>
      </c>
      <c r="W11" t="str">
        <f>IF(S11="","",IF(S11="[FÓRMULA MANUAL]","",IFERROR(SUMPRODUCT((DATOS!$A$2:$A$20000=S11)*(DATOS!$G$2:$G$20000=CONFIG_METADATA!$B$4)*(COUNTIF(CONFIG_ASIGNATURAS!$B$7:$B$27,DATOS!$I$2:$I$20000)&gt;0)*(DATOS!$K$2:$K$20000))/SUMPRODUCT((DATOS!$A$2:$A$20000=S11)*(DATOS!$G$2:$G$20000=CONFIG_METADATA!$B$4)*(COUNTIF(CONFIG_ASIGNATURAS!$B$7:$B$27,DATOS!$I$2:$I$20000)&gt;0)*1),"")))</f>
        <v/>
      </c>
      <c r="Z11" t="str">
        <f>IF(Y11="","",IF(Y11="[FÓRMULA MANUAL]","",IFERROR(AVERAGEIFS(DATOS!$K$2:$K$20000,DATOS!$A$2:$A$20000,Y11,DATOS!$G$2:$G$20000,CONFIG_METADATA!$B$4,DATOS!$I$2:$I$20000,"Análisis"),"")))</f>
        <v/>
      </c>
      <c r="AA11" t="str">
        <f>IF(Y11="","",IF(Y11="[FÓRMULA MANUAL]","",IFERROR(AVERAGEIFS(DATOS!$K$2:$K$20000,DATOS!$A$2:$A$20000,Y11,DATOS!$G$2:$G$20000,CONFIG_METADATA!$B$4,DATOS!$I$2:$I$20000,"Orquesta/Banda/Conjunto"),"")))</f>
        <v/>
      </c>
      <c r="AB11" t="str">
        <f>IF(Y11="","",IF(Y11="[FÓRMULA MANUAL]","",IFERROR(AVERAGEIFS(DATOS!$K$2:$K$20000,DATOS!$A$2:$A$20000,Y11,DATOS!$G$2:$G$20000,CONFIG_METADATA!$B$4,DATOS!$I$2:$I$20000,"Música de Cámara"),"")))</f>
        <v/>
      </c>
      <c r="AC11" t="str">
        <f>IF(Y11="","",IF(Y11="[FÓRMULA MANUAL]","",IFERROR(SUMPRODUCT((DATOS!$A$2:$A$20000=Y11)*(DATOS!$G$2:$G$20000=CONFIG_METADATA!$B$4)*(COUNTIF(CONFIG_ASIGNATURAS!$B$7:$B$27,DATOS!$I$2:$I$20000)&gt;0)*(DATOS!$K$2:$K$20000))/SUMPRODUCT((DATOS!$A$2:$A$20000=Y11)*(DATOS!$G$2:$G$20000=CONFIG_METADATA!$B$4)*(COUNTIF(CONFIG_ASIGNATURAS!$B$7:$B$27,DATOS!$I$2:$I$20000)&gt;0)*1),"")))</f>
        <v/>
      </c>
      <c r="AF11" t="str">
        <f>IF(AE11="","",IF(AE11="[FÓRMULA MANUAL]","",IFERROR(AVERAGEIFS(DATOS!$K$2:$K$20000,DATOS!$A$2:$A$20000,AE11,DATOS!$G$2:$G$20000,CONFIG_METADATA!$B$4,DATOS!$I$2:$I$20000,"Análisis"),"")))</f>
        <v/>
      </c>
      <c r="AG11" t="str">
        <f>IF(AE11="","",IF(AE11="[FÓRMULA MANUAL]","",IFERROR(AVERAGEIFS(DATOS!$K$2:$K$20000,DATOS!$A$2:$A$20000,AE11,DATOS!$G$2:$G$20000,CONFIG_METADATA!$B$4,DATOS!$I$2:$I$20000,"Orquesta/Banda/Conjunto"),"")))</f>
        <v/>
      </c>
      <c r="AH11" t="str">
        <f>IF(AE11="","",IF(AE11="[FÓRMULA MANUAL]","",IFERROR(AVERAGEIFS(DATOS!$K$2:$K$20000,DATOS!$A$2:$A$20000,AE11,DATOS!$G$2:$G$20000,CONFIG_METADATA!$B$4,DATOS!$I$2:$I$20000,"Música de Cámara"),"")))</f>
        <v/>
      </c>
      <c r="AI11" t="str">
        <f>IF(AE11="","",IF(AE11="[FÓRMULA MANUAL]","",IFERROR(SUMPRODUCT((DATOS!$A$2:$A$20000=AE11)*(DATOS!$G$2:$G$20000=CONFIG_METADATA!$B$4)*(COUNTIF(CONFIG_ASIGNATURAS!$B$7:$B$27,DATOS!$I$2:$I$20000)&gt;0)*(DATOS!$K$2:$K$20000))/SUMPRODUCT((DATOS!$A$2:$A$20000=AE11)*(DATOS!$G$2:$G$20000=CONFIG_METADATA!$B$4)*(COUNTIF(CONFIG_ASIGNATURAS!$B$7:$B$27,DATOS!$I$2:$I$20000)&gt;0)*1),"")))</f>
        <v/>
      </c>
    </row>
    <row r="12" spans="1:35" x14ac:dyDescent="0.2">
      <c r="B12" t="str">
        <f>IF(A12="","",IF(A12="[FÓRMULA MANUAL]","",IFERROR(AVERAGEIFS(DATOS!$K$2:$K$20000,DATOS!$A$2:$A$20000,A12,DATOS!$G$2:$G$20000,CONFIG_METADATA!$B$4,DATOS!$I$2:$I$20000,"Lenguaje Musical"),"")))</f>
        <v/>
      </c>
      <c r="C12" t="str">
        <f>IF(A12="","",IF(A12="[FÓRMULA MANUAL]","",IFERROR(AVERAGEIFS(DATOS!$K$2:$K$20000,DATOS!$A$2:$A$20000,A12,DATOS!$G$2:$G$20000,CONFIG_METADATA!$B$4,DATOS!$I$2:$I$20000,"Orquesta/Banda/Conjunto"),"")))</f>
        <v/>
      </c>
      <c r="D12" t="str">
        <f>IF(A12="","",IF(A12="[FÓRMULA MANUAL]","",IFERROR(AVERAGEIFS(DATOS!$K$2:$K$20000,DATOS!$A$2:$A$20000,A12,DATOS!$G$2:$G$20000,CONFIG_METADATA!$B$4,DATOS!$I$2:$I$20000,"Conjunto"),"")))</f>
        <v/>
      </c>
      <c r="E12" t="str">
        <f>IF(A12="","",IF(A12="[FÓRMULA MANUAL]","",IFERROR(SUMPRODUCT((DATOS!$A$2:$A$20000=A12)*(DATOS!$G$2:$G$20000=CONFIG_METADATA!$B$4)*(COUNTIF(CONFIG_ASIGNATURAS!$B$7:$B$27,DATOS!$I$2:$I$20000)&gt;0)*(DATOS!$K$2:$K$20000))/SUMPRODUCT((DATOS!$A$2:$A$20000=A12)*(DATOS!$G$2:$G$20000=CONFIG_METADATA!$B$4)*(COUNTIF(CONFIG_ASIGNATURAS!$B$7:$B$27,DATOS!$I$2:$I$20000)&gt;0)*1),"")))</f>
        <v/>
      </c>
      <c r="H12" t="str">
        <f>IF(G12="","",IF(G12="[FÓRMULA MANUAL]","",IFERROR(AVERAGEIFS(DATOS!$K$2:$K$20000,DATOS!$A$2:$A$20000,G12,DATOS!$G$2:$G$20000,CONFIG_METADATA!$B$4,DATOS!$I$2:$I$20000,"Lenguaje Musical"),"")))</f>
        <v/>
      </c>
      <c r="I12" t="str">
        <f>IF(G12="","",IF(G12="[FÓRMULA MANUAL]","",IFERROR(AVERAGEIFS(DATOS!$K$2:$K$20000,DATOS!$A$2:$A$20000,G12,DATOS!$G$2:$G$20000,CONFIG_METADATA!$B$4,DATOS!$I$2:$I$20000,"Orquesta/Banda/Conjunto"),"")))</f>
        <v/>
      </c>
      <c r="J12" t="str">
        <f>IF(G12="","",IF(G12="[FÓRMULA MANUAL]","",IFERROR(AVERAGEIFS(DATOS!$K$2:$K$20000,DATOS!$A$2:$A$20000,G12,DATOS!$G$2:$G$20000,CONFIG_METADATA!$B$4,DATOS!$I$2:$I$20000,"Conjunto"),"")))</f>
        <v/>
      </c>
      <c r="K12" t="str">
        <f>IF(G12="","",IF(G12="[FÓRMULA MANUAL]","",IFERROR(SUMPRODUCT((DATOS!$A$2:$A$20000=G12)*(DATOS!$G$2:$G$20000=CONFIG_METADATA!$B$4)*(COUNTIF(CONFIG_ASIGNATURAS!$B$7:$B$27,DATOS!$I$2:$I$20000)&gt;0)*(DATOS!$K$2:$K$20000))/SUMPRODUCT((DATOS!$A$2:$A$20000=G12)*(DATOS!$G$2:$G$20000=CONFIG_METADATA!$B$4)*(COUNTIF(CONFIG_ASIGNATURAS!$B$7:$B$27,DATOS!$I$2:$I$20000)&gt;0)*1),"")))</f>
        <v/>
      </c>
      <c r="N12" t="str">
        <f>IF(M12="","",IF(M12="[FÓRMULA MANUAL]","",IFERROR(AVERAGEIFS(DATOS!$K$2:$K$20000,DATOS!$A$2:$A$20000,M12,DATOS!$G$2:$G$20000,CONFIG_METADATA!$B$4,DATOS!$I$2:$I$20000,"Armonía"),"")))</f>
        <v/>
      </c>
      <c r="O12" t="str">
        <f>IF(M12="","",IF(M12="[FÓRMULA MANUAL]","",IFERROR(AVERAGEIFS(DATOS!$K$2:$K$20000,DATOS!$A$2:$A$20000,M12,DATOS!$G$2:$G$20000,CONFIG_METADATA!$B$4,DATOS!$I$2:$I$20000,"Orquesta/Banda/Conjunto"),"")))</f>
        <v/>
      </c>
      <c r="P12" t="str">
        <f>IF(M12="","",IF(M12="[FÓRMULA MANUAL]","",IFERROR(AVERAGEIFS(DATOS!$K$2:$K$20000,DATOS!$A$2:$A$20000,M12,DATOS!$G$2:$G$20000,CONFIG_METADATA!$B$4,DATOS!$I$2:$I$20000,"Música de Cámara"),"")))</f>
        <v/>
      </c>
      <c r="Q12" t="str">
        <f>IF(M12="","",IF(M12="[FÓRMULA MANUAL]","",IFERROR(SUMPRODUCT((DATOS!$A$2:$A$20000=M12)*(DATOS!$G$2:$G$20000=CONFIG_METADATA!$B$4)*(COUNTIF(CONFIG_ASIGNATURAS!$B$7:$B$27,DATOS!$I$2:$I$20000)&gt;0)*(DATOS!$K$2:$K$20000))/SUMPRODUCT((DATOS!$A$2:$A$20000=M12)*(DATOS!$G$2:$G$20000=CONFIG_METADATA!$B$4)*(COUNTIF(CONFIG_ASIGNATURAS!$B$7:$B$27,DATOS!$I$2:$I$20000)&gt;0)*1),"")))</f>
        <v/>
      </c>
      <c r="T12" t="str">
        <f>IF(S12="","",IF(S12="[FÓRMULA MANUAL]","",IFERROR(AVERAGEIFS(DATOS!$K$2:$K$20000,DATOS!$A$2:$A$20000,S12,DATOS!$G$2:$G$20000,CONFIG_METADATA!$B$4,DATOS!$I$2:$I$20000,"Armonía"),"")))</f>
        <v/>
      </c>
      <c r="U12" t="str">
        <f>IF(S12="","",IF(S12="[FÓRMULA MANUAL]","",IFERROR(AVERAGEIFS(DATOS!$K$2:$K$20000,DATOS!$A$2:$A$20000,S12,DATOS!$G$2:$G$20000,CONFIG_METADATA!$B$4,DATOS!$I$2:$I$20000,"Orquesta/Banda/Conjunto"),"")))</f>
        <v/>
      </c>
      <c r="V12" t="str">
        <f>IF(S12="","",IF(S12="[FÓRMULA MANUAL]","",IFERROR(AVERAGEIFS(DATOS!$K$2:$K$20000,DATOS!$A$2:$A$20000,S12,DATOS!$G$2:$G$20000,CONFIG_METADATA!$B$4,DATOS!$I$2:$I$20000,"Música de Cámara"),"")))</f>
        <v/>
      </c>
      <c r="W12" t="str">
        <f>IF(S12="","",IF(S12="[FÓRMULA MANUAL]","",IFERROR(SUMPRODUCT((DATOS!$A$2:$A$20000=S12)*(DATOS!$G$2:$G$20000=CONFIG_METADATA!$B$4)*(COUNTIF(CONFIG_ASIGNATURAS!$B$7:$B$27,DATOS!$I$2:$I$20000)&gt;0)*(DATOS!$K$2:$K$20000))/SUMPRODUCT((DATOS!$A$2:$A$20000=S12)*(DATOS!$G$2:$G$20000=CONFIG_METADATA!$B$4)*(COUNTIF(CONFIG_ASIGNATURAS!$B$7:$B$27,DATOS!$I$2:$I$20000)&gt;0)*1),"")))</f>
        <v/>
      </c>
      <c r="Z12" t="str">
        <f>IF(Y12="","",IF(Y12="[FÓRMULA MANUAL]","",IFERROR(AVERAGEIFS(DATOS!$K$2:$K$20000,DATOS!$A$2:$A$20000,Y12,DATOS!$G$2:$G$20000,CONFIG_METADATA!$B$4,DATOS!$I$2:$I$20000,"Análisis"),"")))</f>
        <v/>
      </c>
      <c r="AA12" t="str">
        <f>IF(Y12="","",IF(Y12="[FÓRMULA MANUAL]","",IFERROR(AVERAGEIFS(DATOS!$K$2:$K$20000,DATOS!$A$2:$A$20000,Y12,DATOS!$G$2:$G$20000,CONFIG_METADATA!$B$4,DATOS!$I$2:$I$20000,"Orquesta/Banda/Conjunto"),"")))</f>
        <v/>
      </c>
      <c r="AB12" t="str">
        <f>IF(Y12="","",IF(Y12="[FÓRMULA MANUAL]","",IFERROR(AVERAGEIFS(DATOS!$K$2:$K$20000,DATOS!$A$2:$A$20000,Y12,DATOS!$G$2:$G$20000,CONFIG_METADATA!$B$4,DATOS!$I$2:$I$20000,"Música de Cámara"),"")))</f>
        <v/>
      </c>
      <c r="AC12" t="str">
        <f>IF(Y12="","",IF(Y12="[FÓRMULA MANUAL]","",IFERROR(SUMPRODUCT((DATOS!$A$2:$A$20000=Y12)*(DATOS!$G$2:$G$20000=CONFIG_METADATA!$B$4)*(COUNTIF(CONFIG_ASIGNATURAS!$B$7:$B$27,DATOS!$I$2:$I$20000)&gt;0)*(DATOS!$K$2:$K$20000))/SUMPRODUCT((DATOS!$A$2:$A$20000=Y12)*(DATOS!$G$2:$G$20000=CONFIG_METADATA!$B$4)*(COUNTIF(CONFIG_ASIGNATURAS!$B$7:$B$27,DATOS!$I$2:$I$20000)&gt;0)*1),"")))</f>
        <v/>
      </c>
      <c r="AF12" t="str">
        <f>IF(AE12="","",IF(AE12="[FÓRMULA MANUAL]","",IFERROR(AVERAGEIFS(DATOS!$K$2:$K$20000,DATOS!$A$2:$A$20000,AE12,DATOS!$G$2:$G$20000,CONFIG_METADATA!$B$4,DATOS!$I$2:$I$20000,"Análisis"),"")))</f>
        <v/>
      </c>
      <c r="AG12" t="str">
        <f>IF(AE12="","",IF(AE12="[FÓRMULA MANUAL]","",IFERROR(AVERAGEIFS(DATOS!$K$2:$K$20000,DATOS!$A$2:$A$20000,AE12,DATOS!$G$2:$G$20000,CONFIG_METADATA!$B$4,DATOS!$I$2:$I$20000,"Orquesta/Banda/Conjunto"),"")))</f>
        <v/>
      </c>
      <c r="AH12" t="str">
        <f>IF(AE12="","",IF(AE12="[FÓRMULA MANUAL]","",IFERROR(AVERAGEIFS(DATOS!$K$2:$K$20000,DATOS!$A$2:$A$20000,AE12,DATOS!$G$2:$G$20000,CONFIG_METADATA!$B$4,DATOS!$I$2:$I$20000,"Música de Cámara"),"")))</f>
        <v/>
      </c>
      <c r="AI12" t="str">
        <f>IF(AE12="","",IF(AE12="[FÓRMULA MANUAL]","",IFERROR(SUMPRODUCT((DATOS!$A$2:$A$20000=AE12)*(DATOS!$G$2:$G$20000=CONFIG_METADATA!$B$4)*(COUNTIF(CONFIG_ASIGNATURAS!$B$7:$B$27,DATOS!$I$2:$I$20000)&gt;0)*(DATOS!$K$2:$K$20000))/SUMPRODUCT((DATOS!$A$2:$A$20000=AE12)*(DATOS!$G$2:$G$20000=CONFIG_METADATA!$B$4)*(COUNTIF(CONFIG_ASIGNATURAS!$B$7:$B$27,DATOS!$I$2:$I$20000)&gt;0)*1),"")))</f>
        <v/>
      </c>
    </row>
    <row r="13" spans="1:35" x14ac:dyDescent="0.2">
      <c r="B13" t="str">
        <f>IF(A13="","",IF(A13="[FÓRMULA MANUAL]","",IFERROR(AVERAGEIFS(DATOS!$K$2:$K$20000,DATOS!$A$2:$A$20000,A13,DATOS!$G$2:$G$20000,CONFIG_METADATA!$B$4,DATOS!$I$2:$I$20000,"Lenguaje Musical"),"")))</f>
        <v/>
      </c>
      <c r="C13" t="str">
        <f>IF(A13="","",IF(A13="[FÓRMULA MANUAL]","",IFERROR(AVERAGEIFS(DATOS!$K$2:$K$20000,DATOS!$A$2:$A$20000,A13,DATOS!$G$2:$G$20000,CONFIG_METADATA!$B$4,DATOS!$I$2:$I$20000,"Orquesta/Banda/Conjunto"),"")))</f>
        <v/>
      </c>
      <c r="D13" t="str">
        <f>IF(A13="","",IF(A13="[FÓRMULA MANUAL]","",IFERROR(AVERAGEIFS(DATOS!$K$2:$K$20000,DATOS!$A$2:$A$20000,A13,DATOS!$G$2:$G$20000,CONFIG_METADATA!$B$4,DATOS!$I$2:$I$20000,"Conjunto"),"")))</f>
        <v/>
      </c>
      <c r="E13" t="str">
        <f>IF(A13="","",IF(A13="[FÓRMULA MANUAL]","",IFERROR(SUMPRODUCT((DATOS!$A$2:$A$20000=A13)*(DATOS!$G$2:$G$20000=CONFIG_METADATA!$B$4)*(COUNTIF(CONFIG_ASIGNATURAS!$B$7:$B$27,DATOS!$I$2:$I$20000)&gt;0)*(DATOS!$K$2:$K$20000))/SUMPRODUCT((DATOS!$A$2:$A$20000=A13)*(DATOS!$G$2:$G$20000=CONFIG_METADATA!$B$4)*(COUNTIF(CONFIG_ASIGNATURAS!$B$7:$B$27,DATOS!$I$2:$I$20000)&gt;0)*1),"")))</f>
        <v/>
      </c>
      <c r="H13" t="str">
        <f>IF(G13="","",IF(G13="[FÓRMULA MANUAL]","",IFERROR(AVERAGEIFS(DATOS!$K$2:$K$20000,DATOS!$A$2:$A$20000,G13,DATOS!$G$2:$G$20000,CONFIG_METADATA!$B$4,DATOS!$I$2:$I$20000,"Lenguaje Musical"),"")))</f>
        <v/>
      </c>
      <c r="I13" t="str">
        <f>IF(G13="","",IF(G13="[FÓRMULA MANUAL]","",IFERROR(AVERAGEIFS(DATOS!$K$2:$K$20000,DATOS!$A$2:$A$20000,G13,DATOS!$G$2:$G$20000,CONFIG_METADATA!$B$4,DATOS!$I$2:$I$20000,"Orquesta/Banda/Conjunto"),"")))</f>
        <v/>
      </c>
      <c r="J13" t="str">
        <f>IF(G13="","",IF(G13="[FÓRMULA MANUAL]","",IFERROR(AVERAGEIFS(DATOS!$K$2:$K$20000,DATOS!$A$2:$A$20000,G13,DATOS!$G$2:$G$20000,CONFIG_METADATA!$B$4,DATOS!$I$2:$I$20000,"Conjunto"),"")))</f>
        <v/>
      </c>
      <c r="K13" t="str">
        <f>IF(G13="","",IF(G13="[FÓRMULA MANUAL]","",IFERROR(SUMPRODUCT((DATOS!$A$2:$A$20000=G13)*(DATOS!$G$2:$G$20000=CONFIG_METADATA!$B$4)*(COUNTIF(CONFIG_ASIGNATURAS!$B$7:$B$27,DATOS!$I$2:$I$20000)&gt;0)*(DATOS!$K$2:$K$20000))/SUMPRODUCT((DATOS!$A$2:$A$20000=G13)*(DATOS!$G$2:$G$20000=CONFIG_METADATA!$B$4)*(COUNTIF(CONFIG_ASIGNATURAS!$B$7:$B$27,DATOS!$I$2:$I$20000)&gt;0)*1),"")))</f>
        <v/>
      </c>
      <c r="N13" t="str">
        <f>IF(M13="","",IF(M13="[FÓRMULA MANUAL]","",IFERROR(AVERAGEIFS(DATOS!$K$2:$K$20000,DATOS!$A$2:$A$20000,M13,DATOS!$G$2:$G$20000,CONFIG_METADATA!$B$4,DATOS!$I$2:$I$20000,"Armonía"),"")))</f>
        <v/>
      </c>
      <c r="O13" t="str">
        <f>IF(M13="","",IF(M13="[FÓRMULA MANUAL]","",IFERROR(AVERAGEIFS(DATOS!$K$2:$K$20000,DATOS!$A$2:$A$20000,M13,DATOS!$G$2:$G$20000,CONFIG_METADATA!$B$4,DATOS!$I$2:$I$20000,"Orquesta/Banda/Conjunto"),"")))</f>
        <v/>
      </c>
      <c r="P13" t="str">
        <f>IF(M13="","",IF(M13="[FÓRMULA MANUAL]","",IFERROR(AVERAGEIFS(DATOS!$K$2:$K$20000,DATOS!$A$2:$A$20000,M13,DATOS!$G$2:$G$20000,CONFIG_METADATA!$B$4,DATOS!$I$2:$I$20000,"Música de Cámara"),"")))</f>
        <v/>
      </c>
      <c r="Q13" t="str">
        <f>IF(M13="","",IF(M13="[FÓRMULA MANUAL]","",IFERROR(SUMPRODUCT((DATOS!$A$2:$A$20000=M13)*(DATOS!$G$2:$G$20000=CONFIG_METADATA!$B$4)*(COUNTIF(CONFIG_ASIGNATURAS!$B$7:$B$27,DATOS!$I$2:$I$20000)&gt;0)*(DATOS!$K$2:$K$20000))/SUMPRODUCT((DATOS!$A$2:$A$20000=M13)*(DATOS!$G$2:$G$20000=CONFIG_METADATA!$B$4)*(COUNTIF(CONFIG_ASIGNATURAS!$B$7:$B$27,DATOS!$I$2:$I$20000)&gt;0)*1),"")))</f>
        <v/>
      </c>
      <c r="T13" t="str">
        <f>IF(S13="","",IF(S13="[FÓRMULA MANUAL]","",IFERROR(AVERAGEIFS(DATOS!$K$2:$K$20000,DATOS!$A$2:$A$20000,S13,DATOS!$G$2:$G$20000,CONFIG_METADATA!$B$4,DATOS!$I$2:$I$20000,"Armonía"),"")))</f>
        <v/>
      </c>
      <c r="U13" t="str">
        <f>IF(S13="","",IF(S13="[FÓRMULA MANUAL]","",IFERROR(AVERAGEIFS(DATOS!$K$2:$K$20000,DATOS!$A$2:$A$20000,S13,DATOS!$G$2:$G$20000,CONFIG_METADATA!$B$4,DATOS!$I$2:$I$20000,"Orquesta/Banda/Conjunto"),"")))</f>
        <v/>
      </c>
      <c r="V13" t="str">
        <f>IF(S13="","",IF(S13="[FÓRMULA MANUAL]","",IFERROR(AVERAGEIFS(DATOS!$K$2:$K$20000,DATOS!$A$2:$A$20000,S13,DATOS!$G$2:$G$20000,CONFIG_METADATA!$B$4,DATOS!$I$2:$I$20000,"Música de Cámara"),"")))</f>
        <v/>
      </c>
      <c r="W13" t="str">
        <f>IF(S13="","",IF(S13="[FÓRMULA MANUAL]","",IFERROR(SUMPRODUCT((DATOS!$A$2:$A$20000=S13)*(DATOS!$G$2:$G$20000=CONFIG_METADATA!$B$4)*(COUNTIF(CONFIG_ASIGNATURAS!$B$7:$B$27,DATOS!$I$2:$I$20000)&gt;0)*(DATOS!$K$2:$K$20000))/SUMPRODUCT((DATOS!$A$2:$A$20000=S13)*(DATOS!$G$2:$G$20000=CONFIG_METADATA!$B$4)*(COUNTIF(CONFIG_ASIGNATURAS!$B$7:$B$27,DATOS!$I$2:$I$20000)&gt;0)*1),"")))</f>
        <v/>
      </c>
      <c r="Z13" t="str">
        <f>IF(Y13="","",IF(Y13="[FÓRMULA MANUAL]","",IFERROR(AVERAGEIFS(DATOS!$K$2:$K$20000,DATOS!$A$2:$A$20000,Y13,DATOS!$G$2:$G$20000,CONFIG_METADATA!$B$4,DATOS!$I$2:$I$20000,"Análisis"),"")))</f>
        <v/>
      </c>
      <c r="AA13" t="str">
        <f>IF(Y13="","",IF(Y13="[FÓRMULA MANUAL]","",IFERROR(AVERAGEIFS(DATOS!$K$2:$K$20000,DATOS!$A$2:$A$20000,Y13,DATOS!$G$2:$G$20000,CONFIG_METADATA!$B$4,DATOS!$I$2:$I$20000,"Orquesta/Banda/Conjunto"),"")))</f>
        <v/>
      </c>
      <c r="AB13" t="str">
        <f>IF(Y13="","",IF(Y13="[FÓRMULA MANUAL]","",IFERROR(AVERAGEIFS(DATOS!$K$2:$K$20000,DATOS!$A$2:$A$20000,Y13,DATOS!$G$2:$G$20000,CONFIG_METADATA!$B$4,DATOS!$I$2:$I$20000,"Música de Cámara"),"")))</f>
        <v/>
      </c>
      <c r="AC13" t="str">
        <f>IF(Y13="","",IF(Y13="[FÓRMULA MANUAL]","",IFERROR(SUMPRODUCT((DATOS!$A$2:$A$20000=Y13)*(DATOS!$G$2:$G$20000=CONFIG_METADATA!$B$4)*(COUNTIF(CONFIG_ASIGNATURAS!$B$7:$B$27,DATOS!$I$2:$I$20000)&gt;0)*(DATOS!$K$2:$K$20000))/SUMPRODUCT((DATOS!$A$2:$A$20000=Y13)*(DATOS!$G$2:$G$20000=CONFIG_METADATA!$B$4)*(COUNTIF(CONFIG_ASIGNATURAS!$B$7:$B$27,DATOS!$I$2:$I$20000)&gt;0)*1),"")))</f>
        <v/>
      </c>
      <c r="AF13" t="str">
        <f>IF(AE13="","",IF(AE13="[FÓRMULA MANUAL]","",IFERROR(AVERAGEIFS(DATOS!$K$2:$K$20000,DATOS!$A$2:$A$20000,AE13,DATOS!$G$2:$G$20000,CONFIG_METADATA!$B$4,DATOS!$I$2:$I$20000,"Análisis"),"")))</f>
        <v/>
      </c>
      <c r="AG13" t="str">
        <f>IF(AE13="","",IF(AE13="[FÓRMULA MANUAL]","",IFERROR(AVERAGEIFS(DATOS!$K$2:$K$20000,DATOS!$A$2:$A$20000,AE13,DATOS!$G$2:$G$20000,CONFIG_METADATA!$B$4,DATOS!$I$2:$I$20000,"Orquesta/Banda/Conjunto"),"")))</f>
        <v/>
      </c>
      <c r="AH13" t="str">
        <f>IF(AE13="","",IF(AE13="[FÓRMULA MANUAL]","",IFERROR(AVERAGEIFS(DATOS!$K$2:$K$20000,DATOS!$A$2:$A$20000,AE13,DATOS!$G$2:$G$20000,CONFIG_METADATA!$B$4,DATOS!$I$2:$I$20000,"Música de Cámara"),"")))</f>
        <v/>
      </c>
      <c r="AI13" t="str">
        <f>IF(AE13="","",IF(AE13="[FÓRMULA MANUAL]","",IFERROR(SUMPRODUCT((DATOS!$A$2:$A$20000=AE13)*(DATOS!$G$2:$G$20000=CONFIG_METADATA!$B$4)*(COUNTIF(CONFIG_ASIGNATURAS!$B$7:$B$27,DATOS!$I$2:$I$20000)&gt;0)*(DATOS!$K$2:$K$20000))/SUMPRODUCT((DATOS!$A$2:$A$20000=AE13)*(DATOS!$G$2:$G$20000=CONFIG_METADATA!$B$4)*(COUNTIF(CONFIG_ASIGNATURAS!$B$7:$B$27,DATOS!$I$2:$I$20000)&gt;0)*1),"")))</f>
        <v/>
      </c>
    </row>
    <row r="14" spans="1:35" x14ac:dyDescent="0.2">
      <c r="B14" t="str">
        <f>IF(A14="","",IF(A14="[FÓRMULA MANUAL]","",IFERROR(AVERAGEIFS(DATOS!$K$2:$K$20000,DATOS!$A$2:$A$20000,A14,DATOS!$G$2:$G$20000,CONFIG_METADATA!$B$4,DATOS!$I$2:$I$20000,"Lenguaje Musical"),"")))</f>
        <v/>
      </c>
      <c r="C14" t="str">
        <f>IF(A14="","",IF(A14="[FÓRMULA MANUAL]","",IFERROR(AVERAGEIFS(DATOS!$K$2:$K$20000,DATOS!$A$2:$A$20000,A14,DATOS!$G$2:$G$20000,CONFIG_METADATA!$B$4,DATOS!$I$2:$I$20000,"Orquesta/Banda/Conjunto"),"")))</f>
        <v/>
      </c>
      <c r="D14" t="str">
        <f>IF(A14="","",IF(A14="[FÓRMULA MANUAL]","",IFERROR(AVERAGEIFS(DATOS!$K$2:$K$20000,DATOS!$A$2:$A$20000,A14,DATOS!$G$2:$G$20000,CONFIG_METADATA!$B$4,DATOS!$I$2:$I$20000,"Conjunto"),"")))</f>
        <v/>
      </c>
      <c r="E14" t="str">
        <f>IF(A14="","",IF(A14="[FÓRMULA MANUAL]","",IFERROR(SUMPRODUCT((DATOS!$A$2:$A$20000=A14)*(DATOS!$G$2:$G$20000=CONFIG_METADATA!$B$4)*(COUNTIF(CONFIG_ASIGNATURAS!$B$7:$B$27,DATOS!$I$2:$I$20000)&gt;0)*(DATOS!$K$2:$K$20000))/SUMPRODUCT((DATOS!$A$2:$A$20000=A14)*(DATOS!$G$2:$G$20000=CONFIG_METADATA!$B$4)*(COUNTIF(CONFIG_ASIGNATURAS!$B$7:$B$27,DATOS!$I$2:$I$20000)&gt;0)*1),"")))</f>
        <v/>
      </c>
      <c r="H14" t="str">
        <f>IF(G14="","",IF(G14="[FÓRMULA MANUAL]","",IFERROR(AVERAGEIFS(DATOS!$K$2:$K$20000,DATOS!$A$2:$A$20000,G14,DATOS!$G$2:$G$20000,CONFIG_METADATA!$B$4,DATOS!$I$2:$I$20000,"Lenguaje Musical"),"")))</f>
        <v/>
      </c>
      <c r="I14" t="str">
        <f>IF(G14="","",IF(G14="[FÓRMULA MANUAL]","",IFERROR(AVERAGEIFS(DATOS!$K$2:$K$20000,DATOS!$A$2:$A$20000,G14,DATOS!$G$2:$G$20000,CONFIG_METADATA!$B$4,DATOS!$I$2:$I$20000,"Orquesta/Banda/Conjunto"),"")))</f>
        <v/>
      </c>
      <c r="J14" t="str">
        <f>IF(G14="","",IF(G14="[FÓRMULA MANUAL]","",IFERROR(AVERAGEIFS(DATOS!$K$2:$K$20000,DATOS!$A$2:$A$20000,G14,DATOS!$G$2:$G$20000,CONFIG_METADATA!$B$4,DATOS!$I$2:$I$20000,"Conjunto"),"")))</f>
        <v/>
      </c>
      <c r="K14" t="str">
        <f>IF(G14="","",IF(G14="[FÓRMULA MANUAL]","",IFERROR(SUMPRODUCT((DATOS!$A$2:$A$20000=G14)*(DATOS!$G$2:$G$20000=CONFIG_METADATA!$B$4)*(COUNTIF(CONFIG_ASIGNATURAS!$B$7:$B$27,DATOS!$I$2:$I$20000)&gt;0)*(DATOS!$K$2:$K$20000))/SUMPRODUCT((DATOS!$A$2:$A$20000=G14)*(DATOS!$G$2:$G$20000=CONFIG_METADATA!$B$4)*(COUNTIF(CONFIG_ASIGNATURAS!$B$7:$B$27,DATOS!$I$2:$I$20000)&gt;0)*1),"")))</f>
        <v/>
      </c>
      <c r="N14" t="str">
        <f>IF(M14="","",IF(M14="[FÓRMULA MANUAL]","",IFERROR(AVERAGEIFS(DATOS!$K$2:$K$20000,DATOS!$A$2:$A$20000,M14,DATOS!$G$2:$G$20000,CONFIG_METADATA!$B$4,DATOS!$I$2:$I$20000,"Armonía"),"")))</f>
        <v/>
      </c>
      <c r="O14" t="str">
        <f>IF(M14="","",IF(M14="[FÓRMULA MANUAL]","",IFERROR(AVERAGEIFS(DATOS!$K$2:$K$20000,DATOS!$A$2:$A$20000,M14,DATOS!$G$2:$G$20000,CONFIG_METADATA!$B$4,DATOS!$I$2:$I$20000,"Orquesta/Banda/Conjunto"),"")))</f>
        <v/>
      </c>
      <c r="P14" t="str">
        <f>IF(M14="","",IF(M14="[FÓRMULA MANUAL]","",IFERROR(AVERAGEIFS(DATOS!$K$2:$K$20000,DATOS!$A$2:$A$20000,M14,DATOS!$G$2:$G$20000,CONFIG_METADATA!$B$4,DATOS!$I$2:$I$20000,"Música de Cámara"),"")))</f>
        <v/>
      </c>
      <c r="Q14" t="str">
        <f>IF(M14="","",IF(M14="[FÓRMULA MANUAL]","",IFERROR(SUMPRODUCT((DATOS!$A$2:$A$20000=M14)*(DATOS!$G$2:$G$20000=CONFIG_METADATA!$B$4)*(COUNTIF(CONFIG_ASIGNATURAS!$B$7:$B$27,DATOS!$I$2:$I$20000)&gt;0)*(DATOS!$K$2:$K$20000))/SUMPRODUCT((DATOS!$A$2:$A$20000=M14)*(DATOS!$G$2:$G$20000=CONFIG_METADATA!$B$4)*(COUNTIF(CONFIG_ASIGNATURAS!$B$7:$B$27,DATOS!$I$2:$I$20000)&gt;0)*1),"")))</f>
        <v/>
      </c>
      <c r="T14" t="str">
        <f>IF(S14="","",IF(S14="[FÓRMULA MANUAL]","",IFERROR(AVERAGEIFS(DATOS!$K$2:$K$20000,DATOS!$A$2:$A$20000,S14,DATOS!$G$2:$G$20000,CONFIG_METADATA!$B$4,DATOS!$I$2:$I$20000,"Armonía"),"")))</f>
        <v/>
      </c>
      <c r="U14" t="str">
        <f>IF(S14="","",IF(S14="[FÓRMULA MANUAL]","",IFERROR(AVERAGEIFS(DATOS!$K$2:$K$20000,DATOS!$A$2:$A$20000,S14,DATOS!$G$2:$G$20000,CONFIG_METADATA!$B$4,DATOS!$I$2:$I$20000,"Orquesta/Banda/Conjunto"),"")))</f>
        <v/>
      </c>
      <c r="V14" t="str">
        <f>IF(S14="","",IF(S14="[FÓRMULA MANUAL]","",IFERROR(AVERAGEIFS(DATOS!$K$2:$K$20000,DATOS!$A$2:$A$20000,S14,DATOS!$G$2:$G$20000,CONFIG_METADATA!$B$4,DATOS!$I$2:$I$20000,"Música de Cámara"),"")))</f>
        <v/>
      </c>
      <c r="W14" t="str">
        <f>IF(S14="","",IF(S14="[FÓRMULA MANUAL]","",IFERROR(SUMPRODUCT((DATOS!$A$2:$A$20000=S14)*(DATOS!$G$2:$G$20000=CONFIG_METADATA!$B$4)*(COUNTIF(CONFIG_ASIGNATURAS!$B$7:$B$27,DATOS!$I$2:$I$20000)&gt;0)*(DATOS!$K$2:$K$20000))/SUMPRODUCT((DATOS!$A$2:$A$20000=S14)*(DATOS!$G$2:$G$20000=CONFIG_METADATA!$B$4)*(COUNTIF(CONFIG_ASIGNATURAS!$B$7:$B$27,DATOS!$I$2:$I$20000)&gt;0)*1),"")))</f>
        <v/>
      </c>
      <c r="Z14" t="str">
        <f>IF(Y14="","",IF(Y14="[FÓRMULA MANUAL]","",IFERROR(AVERAGEIFS(DATOS!$K$2:$K$20000,DATOS!$A$2:$A$20000,Y14,DATOS!$G$2:$G$20000,CONFIG_METADATA!$B$4,DATOS!$I$2:$I$20000,"Análisis"),"")))</f>
        <v/>
      </c>
      <c r="AA14" t="str">
        <f>IF(Y14="","",IF(Y14="[FÓRMULA MANUAL]","",IFERROR(AVERAGEIFS(DATOS!$K$2:$K$20000,DATOS!$A$2:$A$20000,Y14,DATOS!$G$2:$G$20000,CONFIG_METADATA!$B$4,DATOS!$I$2:$I$20000,"Orquesta/Banda/Conjunto"),"")))</f>
        <v/>
      </c>
      <c r="AB14" t="str">
        <f>IF(Y14="","",IF(Y14="[FÓRMULA MANUAL]","",IFERROR(AVERAGEIFS(DATOS!$K$2:$K$20000,DATOS!$A$2:$A$20000,Y14,DATOS!$G$2:$G$20000,CONFIG_METADATA!$B$4,DATOS!$I$2:$I$20000,"Música de Cámara"),"")))</f>
        <v/>
      </c>
      <c r="AC14" t="str">
        <f>IF(Y14="","",IF(Y14="[FÓRMULA MANUAL]","",IFERROR(SUMPRODUCT((DATOS!$A$2:$A$20000=Y14)*(DATOS!$G$2:$G$20000=CONFIG_METADATA!$B$4)*(COUNTIF(CONFIG_ASIGNATURAS!$B$7:$B$27,DATOS!$I$2:$I$20000)&gt;0)*(DATOS!$K$2:$K$20000))/SUMPRODUCT((DATOS!$A$2:$A$20000=Y14)*(DATOS!$G$2:$G$20000=CONFIG_METADATA!$B$4)*(COUNTIF(CONFIG_ASIGNATURAS!$B$7:$B$27,DATOS!$I$2:$I$20000)&gt;0)*1),"")))</f>
        <v/>
      </c>
      <c r="AF14" t="str">
        <f>IF(AE14="","",IF(AE14="[FÓRMULA MANUAL]","",IFERROR(AVERAGEIFS(DATOS!$K$2:$K$20000,DATOS!$A$2:$A$20000,AE14,DATOS!$G$2:$G$20000,CONFIG_METADATA!$B$4,DATOS!$I$2:$I$20000,"Análisis"),"")))</f>
        <v/>
      </c>
      <c r="AG14" t="str">
        <f>IF(AE14="","",IF(AE14="[FÓRMULA MANUAL]","",IFERROR(AVERAGEIFS(DATOS!$K$2:$K$20000,DATOS!$A$2:$A$20000,AE14,DATOS!$G$2:$G$20000,CONFIG_METADATA!$B$4,DATOS!$I$2:$I$20000,"Orquesta/Banda/Conjunto"),"")))</f>
        <v/>
      </c>
      <c r="AH14" t="str">
        <f>IF(AE14="","",IF(AE14="[FÓRMULA MANUAL]","",IFERROR(AVERAGEIFS(DATOS!$K$2:$K$20000,DATOS!$A$2:$A$20000,AE14,DATOS!$G$2:$G$20000,CONFIG_METADATA!$B$4,DATOS!$I$2:$I$20000,"Música de Cámara"),"")))</f>
        <v/>
      </c>
      <c r="AI14" t="str">
        <f>IF(AE14="","",IF(AE14="[FÓRMULA MANUAL]","",IFERROR(SUMPRODUCT((DATOS!$A$2:$A$20000=AE14)*(DATOS!$G$2:$G$20000=CONFIG_METADATA!$B$4)*(COUNTIF(CONFIG_ASIGNATURAS!$B$7:$B$27,DATOS!$I$2:$I$20000)&gt;0)*(DATOS!$K$2:$K$20000))/SUMPRODUCT((DATOS!$A$2:$A$20000=AE14)*(DATOS!$G$2:$G$20000=CONFIG_METADATA!$B$4)*(COUNTIF(CONFIG_ASIGNATURAS!$B$7:$B$27,DATOS!$I$2:$I$20000)&gt;0)*1),"")))</f>
        <v/>
      </c>
    </row>
    <row r="15" spans="1:35" x14ac:dyDescent="0.2">
      <c r="B15" t="str">
        <f>IF(A15="","",IF(A15="[FÓRMULA MANUAL]","",IFERROR(AVERAGEIFS(DATOS!$K$2:$K$20000,DATOS!$A$2:$A$20000,A15,DATOS!$G$2:$G$20000,CONFIG_METADATA!$B$4,DATOS!$I$2:$I$20000,"Lenguaje Musical"),"")))</f>
        <v/>
      </c>
      <c r="C15" t="str">
        <f>IF(A15="","",IF(A15="[FÓRMULA MANUAL]","",IFERROR(AVERAGEIFS(DATOS!$K$2:$K$20000,DATOS!$A$2:$A$20000,A15,DATOS!$G$2:$G$20000,CONFIG_METADATA!$B$4,DATOS!$I$2:$I$20000,"Orquesta/Banda/Conjunto"),"")))</f>
        <v/>
      </c>
      <c r="D15" t="str">
        <f>IF(A15="","",IF(A15="[FÓRMULA MANUAL]","",IFERROR(AVERAGEIFS(DATOS!$K$2:$K$20000,DATOS!$A$2:$A$20000,A15,DATOS!$G$2:$G$20000,CONFIG_METADATA!$B$4,DATOS!$I$2:$I$20000,"Conjunto"),"")))</f>
        <v/>
      </c>
      <c r="E15" t="str">
        <f>IF(A15="","",IF(A15="[FÓRMULA MANUAL]","",IFERROR(SUMPRODUCT((DATOS!$A$2:$A$20000=A15)*(DATOS!$G$2:$G$20000=CONFIG_METADATA!$B$4)*(COUNTIF(CONFIG_ASIGNATURAS!$B$7:$B$27,DATOS!$I$2:$I$20000)&gt;0)*(DATOS!$K$2:$K$20000))/SUMPRODUCT((DATOS!$A$2:$A$20000=A15)*(DATOS!$G$2:$G$20000=CONFIG_METADATA!$B$4)*(COUNTIF(CONFIG_ASIGNATURAS!$B$7:$B$27,DATOS!$I$2:$I$20000)&gt;0)*1),"")))</f>
        <v/>
      </c>
      <c r="H15" t="str">
        <f>IF(G15="","",IF(G15="[FÓRMULA MANUAL]","",IFERROR(AVERAGEIFS(DATOS!$K$2:$K$20000,DATOS!$A$2:$A$20000,G15,DATOS!$G$2:$G$20000,CONFIG_METADATA!$B$4,DATOS!$I$2:$I$20000,"Lenguaje Musical"),"")))</f>
        <v/>
      </c>
      <c r="I15" t="str">
        <f>IF(G15="","",IF(G15="[FÓRMULA MANUAL]","",IFERROR(AVERAGEIFS(DATOS!$K$2:$K$20000,DATOS!$A$2:$A$20000,G15,DATOS!$G$2:$G$20000,CONFIG_METADATA!$B$4,DATOS!$I$2:$I$20000,"Orquesta/Banda/Conjunto"),"")))</f>
        <v/>
      </c>
      <c r="J15" t="str">
        <f>IF(G15="","",IF(G15="[FÓRMULA MANUAL]","",IFERROR(AVERAGEIFS(DATOS!$K$2:$K$20000,DATOS!$A$2:$A$20000,G15,DATOS!$G$2:$G$20000,CONFIG_METADATA!$B$4,DATOS!$I$2:$I$20000,"Conjunto"),"")))</f>
        <v/>
      </c>
      <c r="K15" t="str">
        <f>IF(G15="","",IF(G15="[FÓRMULA MANUAL]","",IFERROR(SUMPRODUCT((DATOS!$A$2:$A$20000=G15)*(DATOS!$G$2:$G$20000=CONFIG_METADATA!$B$4)*(COUNTIF(CONFIG_ASIGNATURAS!$B$7:$B$27,DATOS!$I$2:$I$20000)&gt;0)*(DATOS!$K$2:$K$20000))/SUMPRODUCT((DATOS!$A$2:$A$20000=G15)*(DATOS!$G$2:$G$20000=CONFIG_METADATA!$B$4)*(COUNTIF(CONFIG_ASIGNATURAS!$B$7:$B$27,DATOS!$I$2:$I$20000)&gt;0)*1),"")))</f>
        <v/>
      </c>
      <c r="N15" t="str">
        <f>IF(M15="","",IF(M15="[FÓRMULA MANUAL]","",IFERROR(AVERAGEIFS(DATOS!$K$2:$K$20000,DATOS!$A$2:$A$20000,M15,DATOS!$G$2:$G$20000,CONFIG_METADATA!$B$4,DATOS!$I$2:$I$20000,"Armonía"),"")))</f>
        <v/>
      </c>
      <c r="O15" t="str">
        <f>IF(M15="","",IF(M15="[FÓRMULA MANUAL]","",IFERROR(AVERAGEIFS(DATOS!$K$2:$K$20000,DATOS!$A$2:$A$20000,M15,DATOS!$G$2:$G$20000,CONFIG_METADATA!$B$4,DATOS!$I$2:$I$20000,"Orquesta/Banda/Conjunto"),"")))</f>
        <v/>
      </c>
      <c r="P15" t="str">
        <f>IF(M15="","",IF(M15="[FÓRMULA MANUAL]","",IFERROR(AVERAGEIFS(DATOS!$K$2:$K$20000,DATOS!$A$2:$A$20000,M15,DATOS!$G$2:$G$20000,CONFIG_METADATA!$B$4,DATOS!$I$2:$I$20000,"Música de Cámara"),"")))</f>
        <v/>
      </c>
      <c r="Q15" t="str">
        <f>IF(M15="","",IF(M15="[FÓRMULA MANUAL]","",IFERROR(SUMPRODUCT((DATOS!$A$2:$A$20000=M15)*(DATOS!$G$2:$G$20000=CONFIG_METADATA!$B$4)*(COUNTIF(CONFIG_ASIGNATURAS!$B$7:$B$27,DATOS!$I$2:$I$20000)&gt;0)*(DATOS!$K$2:$K$20000))/SUMPRODUCT((DATOS!$A$2:$A$20000=M15)*(DATOS!$G$2:$G$20000=CONFIG_METADATA!$B$4)*(COUNTIF(CONFIG_ASIGNATURAS!$B$7:$B$27,DATOS!$I$2:$I$20000)&gt;0)*1),"")))</f>
        <v/>
      </c>
      <c r="T15" t="str">
        <f>IF(S15="","",IF(S15="[FÓRMULA MANUAL]","",IFERROR(AVERAGEIFS(DATOS!$K$2:$K$20000,DATOS!$A$2:$A$20000,S15,DATOS!$G$2:$G$20000,CONFIG_METADATA!$B$4,DATOS!$I$2:$I$20000,"Armonía"),"")))</f>
        <v/>
      </c>
      <c r="U15" t="str">
        <f>IF(S15="","",IF(S15="[FÓRMULA MANUAL]","",IFERROR(AVERAGEIFS(DATOS!$K$2:$K$20000,DATOS!$A$2:$A$20000,S15,DATOS!$G$2:$G$20000,CONFIG_METADATA!$B$4,DATOS!$I$2:$I$20000,"Orquesta/Banda/Conjunto"),"")))</f>
        <v/>
      </c>
      <c r="V15" t="str">
        <f>IF(S15="","",IF(S15="[FÓRMULA MANUAL]","",IFERROR(AVERAGEIFS(DATOS!$K$2:$K$20000,DATOS!$A$2:$A$20000,S15,DATOS!$G$2:$G$20000,CONFIG_METADATA!$B$4,DATOS!$I$2:$I$20000,"Música de Cámara"),"")))</f>
        <v/>
      </c>
      <c r="W15" t="str">
        <f>IF(S15="","",IF(S15="[FÓRMULA MANUAL]","",IFERROR(SUMPRODUCT((DATOS!$A$2:$A$20000=S15)*(DATOS!$G$2:$G$20000=CONFIG_METADATA!$B$4)*(COUNTIF(CONFIG_ASIGNATURAS!$B$7:$B$27,DATOS!$I$2:$I$20000)&gt;0)*(DATOS!$K$2:$K$20000))/SUMPRODUCT((DATOS!$A$2:$A$20000=S15)*(DATOS!$G$2:$G$20000=CONFIG_METADATA!$B$4)*(COUNTIF(CONFIG_ASIGNATURAS!$B$7:$B$27,DATOS!$I$2:$I$20000)&gt;0)*1),"")))</f>
        <v/>
      </c>
      <c r="Z15" t="str">
        <f>IF(Y15="","",IF(Y15="[FÓRMULA MANUAL]","",IFERROR(AVERAGEIFS(DATOS!$K$2:$K$20000,DATOS!$A$2:$A$20000,Y15,DATOS!$G$2:$G$20000,CONFIG_METADATA!$B$4,DATOS!$I$2:$I$20000,"Análisis"),"")))</f>
        <v/>
      </c>
      <c r="AA15" t="str">
        <f>IF(Y15="","",IF(Y15="[FÓRMULA MANUAL]","",IFERROR(AVERAGEIFS(DATOS!$K$2:$K$20000,DATOS!$A$2:$A$20000,Y15,DATOS!$G$2:$G$20000,CONFIG_METADATA!$B$4,DATOS!$I$2:$I$20000,"Orquesta/Banda/Conjunto"),"")))</f>
        <v/>
      </c>
      <c r="AB15" t="str">
        <f>IF(Y15="","",IF(Y15="[FÓRMULA MANUAL]","",IFERROR(AVERAGEIFS(DATOS!$K$2:$K$20000,DATOS!$A$2:$A$20000,Y15,DATOS!$G$2:$G$20000,CONFIG_METADATA!$B$4,DATOS!$I$2:$I$20000,"Música de Cámara"),"")))</f>
        <v/>
      </c>
      <c r="AC15" t="str">
        <f>IF(Y15="","",IF(Y15="[FÓRMULA MANUAL]","",IFERROR(SUMPRODUCT((DATOS!$A$2:$A$20000=Y15)*(DATOS!$G$2:$G$20000=CONFIG_METADATA!$B$4)*(COUNTIF(CONFIG_ASIGNATURAS!$B$7:$B$27,DATOS!$I$2:$I$20000)&gt;0)*(DATOS!$K$2:$K$20000))/SUMPRODUCT((DATOS!$A$2:$A$20000=Y15)*(DATOS!$G$2:$G$20000=CONFIG_METADATA!$B$4)*(COUNTIF(CONFIG_ASIGNATURAS!$B$7:$B$27,DATOS!$I$2:$I$20000)&gt;0)*1),"")))</f>
        <v/>
      </c>
      <c r="AF15" t="str">
        <f>IF(AE15="","",IF(AE15="[FÓRMULA MANUAL]","",IFERROR(AVERAGEIFS(DATOS!$K$2:$K$20000,DATOS!$A$2:$A$20000,AE15,DATOS!$G$2:$G$20000,CONFIG_METADATA!$B$4,DATOS!$I$2:$I$20000,"Análisis"),"")))</f>
        <v/>
      </c>
      <c r="AG15" t="str">
        <f>IF(AE15="","",IF(AE15="[FÓRMULA MANUAL]","",IFERROR(AVERAGEIFS(DATOS!$K$2:$K$20000,DATOS!$A$2:$A$20000,AE15,DATOS!$G$2:$G$20000,CONFIG_METADATA!$B$4,DATOS!$I$2:$I$20000,"Orquesta/Banda/Conjunto"),"")))</f>
        <v/>
      </c>
      <c r="AH15" t="str">
        <f>IF(AE15="","",IF(AE15="[FÓRMULA MANUAL]","",IFERROR(AVERAGEIFS(DATOS!$K$2:$K$20000,DATOS!$A$2:$A$20000,AE15,DATOS!$G$2:$G$20000,CONFIG_METADATA!$B$4,DATOS!$I$2:$I$20000,"Música de Cámara"),"")))</f>
        <v/>
      </c>
      <c r="AI15" t="str">
        <f>IF(AE15="","",IF(AE15="[FÓRMULA MANUAL]","",IFERROR(SUMPRODUCT((DATOS!$A$2:$A$20000=AE15)*(DATOS!$G$2:$G$20000=CONFIG_METADATA!$B$4)*(COUNTIF(CONFIG_ASIGNATURAS!$B$7:$B$27,DATOS!$I$2:$I$20000)&gt;0)*(DATOS!$K$2:$K$20000))/SUMPRODUCT((DATOS!$A$2:$A$20000=AE15)*(DATOS!$G$2:$G$20000=CONFIG_METADATA!$B$4)*(COUNTIF(CONFIG_ASIGNATURAS!$B$7:$B$27,DATOS!$I$2:$I$20000)&gt;0)*1),"")))</f>
        <v/>
      </c>
    </row>
    <row r="16" spans="1:35" x14ac:dyDescent="0.2">
      <c r="B16" t="str">
        <f>IF(A16="","",IF(A16="[FÓRMULA MANUAL]","",IFERROR(AVERAGEIFS(DATOS!$K$2:$K$20000,DATOS!$A$2:$A$20000,A16,DATOS!$G$2:$G$20000,CONFIG_METADATA!$B$4,DATOS!$I$2:$I$20000,"Lenguaje Musical"),"")))</f>
        <v/>
      </c>
      <c r="C16" t="str">
        <f>IF(A16="","",IF(A16="[FÓRMULA MANUAL]","",IFERROR(AVERAGEIFS(DATOS!$K$2:$K$20000,DATOS!$A$2:$A$20000,A16,DATOS!$G$2:$G$20000,CONFIG_METADATA!$B$4,DATOS!$I$2:$I$20000,"Orquesta/Banda/Conjunto"),"")))</f>
        <v/>
      </c>
      <c r="D16" t="str">
        <f>IF(A16="","",IF(A16="[FÓRMULA MANUAL]","",IFERROR(AVERAGEIFS(DATOS!$K$2:$K$20000,DATOS!$A$2:$A$20000,A16,DATOS!$G$2:$G$20000,CONFIG_METADATA!$B$4,DATOS!$I$2:$I$20000,"Conjunto"),"")))</f>
        <v/>
      </c>
      <c r="E16" t="str">
        <f>IF(A16="","",IF(A16="[FÓRMULA MANUAL]","",IFERROR(SUMPRODUCT((DATOS!$A$2:$A$20000=A16)*(DATOS!$G$2:$G$20000=CONFIG_METADATA!$B$4)*(COUNTIF(CONFIG_ASIGNATURAS!$B$7:$B$27,DATOS!$I$2:$I$20000)&gt;0)*(DATOS!$K$2:$K$20000))/SUMPRODUCT((DATOS!$A$2:$A$20000=A16)*(DATOS!$G$2:$G$20000=CONFIG_METADATA!$B$4)*(COUNTIF(CONFIG_ASIGNATURAS!$B$7:$B$27,DATOS!$I$2:$I$20000)&gt;0)*1),"")))</f>
        <v/>
      </c>
      <c r="H16" t="str">
        <f>IF(G16="","",IF(G16="[FÓRMULA MANUAL]","",IFERROR(AVERAGEIFS(DATOS!$K$2:$K$20000,DATOS!$A$2:$A$20000,G16,DATOS!$G$2:$G$20000,CONFIG_METADATA!$B$4,DATOS!$I$2:$I$20000,"Lenguaje Musical"),"")))</f>
        <v/>
      </c>
      <c r="I16" t="str">
        <f>IF(G16="","",IF(G16="[FÓRMULA MANUAL]","",IFERROR(AVERAGEIFS(DATOS!$K$2:$K$20000,DATOS!$A$2:$A$20000,G16,DATOS!$G$2:$G$20000,CONFIG_METADATA!$B$4,DATOS!$I$2:$I$20000,"Orquesta/Banda/Conjunto"),"")))</f>
        <v/>
      </c>
      <c r="J16" t="str">
        <f>IF(G16="","",IF(G16="[FÓRMULA MANUAL]","",IFERROR(AVERAGEIFS(DATOS!$K$2:$K$20000,DATOS!$A$2:$A$20000,G16,DATOS!$G$2:$G$20000,CONFIG_METADATA!$B$4,DATOS!$I$2:$I$20000,"Conjunto"),"")))</f>
        <v/>
      </c>
      <c r="K16" t="str">
        <f>IF(G16="","",IF(G16="[FÓRMULA MANUAL]","",IFERROR(SUMPRODUCT((DATOS!$A$2:$A$20000=G16)*(DATOS!$G$2:$G$20000=CONFIG_METADATA!$B$4)*(COUNTIF(CONFIG_ASIGNATURAS!$B$7:$B$27,DATOS!$I$2:$I$20000)&gt;0)*(DATOS!$K$2:$K$20000))/SUMPRODUCT((DATOS!$A$2:$A$20000=G16)*(DATOS!$G$2:$G$20000=CONFIG_METADATA!$B$4)*(COUNTIF(CONFIG_ASIGNATURAS!$B$7:$B$27,DATOS!$I$2:$I$20000)&gt;0)*1),"")))</f>
        <v/>
      </c>
      <c r="N16" t="str">
        <f>IF(M16="","",IF(M16="[FÓRMULA MANUAL]","",IFERROR(AVERAGEIFS(DATOS!$K$2:$K$20000,DATOS!$A$2:$A$20000,M16,DATOS!$G$2:$G$20000,CONFIG_METADATA!$B$4,DATOS!$I$2:$I$20000,"Armonía"),"")))</f>
        <v/>
      </c>
      <c r="O16" t="str">
        <f>IF(M16="","",IF(M16="[FÓRMULA MANUAL]","",IFERROR(AVERAGEIFS(DATOS!$K$2:$K$20000,DATOS!$A$2:$A$20000,M16,DATOS!$G$2:$G$20000,CONFIG_METADATA!$B$4,DATOS!$I$2:$I$20000,"Orquesta/Banda/Conjunto"),"")))</f>
        <v/>
      </c>
      <c r="P16" t="str">
        <f>IF(M16="","",IF(M16="[FÓRMULA MANUAL]","",IFERROR(AVERAGEIFS(DATOS!$K$2:$K$20000,DATOS!$A$2:$A$20000,M16,DATOS!$G$2:$G$20000,CONFIG_METADATA!$B$4,DATOS!$I$2:$I$20000,"Música de Cámara"),"")))</f>
        <v/>
      </c>
      <c r="Q16" t="str">
        <f>IF(M16="","",IF(M16="[FÓRMULA MANUAL]","",IFERROR(SUMPRODUCT((DATOS!$A$2:$A$20000=M16)*(DATOS!$G$2:$G$20000=CONFIG_METADATA!$B$4)*(COUNTIF(CONFIG_ASIGNATURAS!$B$7:$B$27,DATOS!$I$2:$I$20000)&gt;0)*(DATOS!$K$2:$K$20000))/SUMPRODUCT((DATOS!$A$2:$A$20000=M16)*(DATOS!$G$2:$G$20000=CONFIG_METADATA!$B$4)*(COUNTIF(CONFIG_ASIGNATURAS!$B$7:$B$27,DATOS!$I$2:$I$20000)&gt;0)*1),"")))</f>
        <v/>
      </c>
      <c r="T16" t="str">
        <f>IF(S16="","",IF(S16="[FÓRMULA MANUAL]","",IFERROR(AVERAGEIFS(DATOS!$K$2:$K$20000,DATOS!$A$2:$A$20000,S16,DATOS!$G$2:$G$20000,CONFIG_METADATA!$B$4,DATOS!$I$2:$I$20000,"Armonía"),"")))</f>
        <v/>
      </c>
      <c r="U16" t="str">
        <f>IF(S16="","",IF(S16="[FÓRMULA MANUAL]","",IFERROR(AVERAGEIFS(DATOS!$K$2:$K$20000,DATOS!$A$2:$A$20000,S16,DATOS!$G$2:$G$20000,CONFIG_METADATA!$B$4,DATOS!$I$2:$I$20000,"Orquesta/Banda/Conjunto"),"")))</f>
        <v/>
      </c>
      <c r="V16" t="str">
        <f>IF(S16="","",IF(S16="[FÓRMULA MANUAL]","",IFERROR(AVERAGEIFS(DATOS!$K$2:$K$20000,DATOS!$A$2:$A$20000,S16,DATOS!$G$2:$G$20000,CONFIG_METADATA!$B$4,DATOS!$I$2:$I$20000,"Música de Cámara"),"")))</f>
        <v/>
      </c>
      <c r="W16" t="str">
        <f>IF(S16="","",IF(S16="[FÓRMULA MANUAL]","",IFERROR(SUMPRODUCT((DATOS!$A$2:$A$20000=S16)*(DATOS!$G$2:$G$20000=CONFIG_METADATA!$B$4)*(COUNTIF(CONFIG_ASIGNATURAS!$B$7:$B$27,DATOS!$I$2:$I$20000)&gt;0)*(DATOS!$K$2:$K$20000))/SUMPRODUCT((DATOS!$A$2:$A$20000=S16)*(DATOS!$G$2:$G$20000=CONFIG_METADATA!$B$4)*(COUNTIF(CONFIG_ASIGNATURAS!$B$7:$B$27,DATOS!$I$2:$I$20000)&gt;0)*1),"")))</f>
        <v/>
      </c>
      <c r="Z16" t="str">
        <f>IF(Y16="","",IF(Y16="[FÓRMULA MANUAL]","",IFERROR(AVERAGEIFS(DATOS!$K$2:$K$20000,DATOS!$A$2:$A$20000,Y16,DATOS!$G$2:$G$20000,CONFIG_METADATA!$B$4,DATOS!$I$2:$I$20000,"Análisis"),"")))</f>
        <v/>
      </c>
      <c r="AA16" t="str">
        <f>IF(Y16="","",IF(Y16="[FÓRMULA MANUAL]","",IFERROR(AVERAGEIFS(DATOS!$K$2:$K$20000,DATOS!$A$2:$A$20000,Y16,DATOS!$G$2:$G$20000,CONFIG_METADATA!$B$4,DATOS!$I$2:$I$20000,"Orquesta/Banda/Conjunto"),"")))</f>
        <v/>
      </c>
      <c r="AB16" t="str">
        <f>IF(Y16="","",IF(Y16="[FÓRMULA MANUAL]","",IFERROR(AVERAGEIFS(DATOS!$K$2:$K$20000,DATOS!$A$2:$A$20000,Y16,DATOS!$G$2:$G$20000,CONFIG_METADATA!$B$4,DATOS!$I$2:$I$20000,"Música de Cámara"),"")))</f>
        <v/>
      </c>
      <c r="AC16" t="str">
        <f>IF(Y16="","",IF(Y16="[FÓRMULA MANUAL]","",IFERROR(SUMPRODUCT((DATOS!$A$2:$A$20000=Y16)*(DATOS!$G$2:$G$20000=CONFIG_METADATA!$B$4)*(COUNTIF(CONFIG_ASIGNATURAS!$B$7:$B$27,DATOS!$I$2:$I$20000)&gt;0)*(DATOS!$K$2:$K$20000))/SUMPRODUCT((DATOS!$A$2:$A$20000=Y16)*(DATOS!$G$2:$G$20000=CONFIG_METADATA!$B$4)*(COUNTIF(CONFIG_ASIGNATURAS!$B$7:$B$27,DATOS!$I$2:$I$20000)&gt;0)*1),"")))</f>
        <v/>
      </c>
      <c r="AF16" t="str">
        <f>IF(AE16="","",IF(AE16="[FÓRMULA MANUAL]","",IFERROR(AVERAGEIFS(DATOS!$K$2:$K$20000,DATOS!$A$2:$A$20000,AE16,DATOS!$G$2:$G$20000,CONFIG_METADATA!$B$4,DATOS!$I$2:$I$20000,"Análisis"),"")))</f>
        <v/>
      </c>
      <c r="AG16" t="str">
        <f>IF(AE16="","",IF(AE16="[FÓRMULA MANUAL]","",IFERROR(AVERAGEIFS(DATOS!$K$2:$K$20000,DATOS!$A$2:$A$20000,AE16,DATOS!$G$2:$G$20000,CONFIG_METADATA!$B$4,DATOS!$I$2:$I$20000,"Orquesta/Banda/Conjunto"),"")))</f>
        <v/>
      </c>
      <c r="AH16" t="str">
        <f>IF(AE16="","",IF(AE16="[FÓRMULA MANUAL]","",IFERROR(AVERAGEIFS(DATOS!$K$2:$K$20000,DATOS!$A$2:$A$20000,AE16,DATOS!$G$2:$G$20000,CONFIG_METADATA!$B$4,DATOS!$I$2:$I$20000,"Música de Cámara"),"")))</f>
        <v/>
      </c>
      <c r="AI16" t="str">
        <f>IF(AE16="","",IF(AE16="[FÓRMULA MANUAL]","",IFERROR(SUMPRODUCT((DATOS!$A$2:$A$20000=AE16)*(DATOS!$G$2:$G$20000=CONFIG_METADATA!$B$4)*(COUNTIF(CONFIG_ASIGNATURAS!$B$7:$B$27,DATOS!$I$2:$I$20000)&gt;0)*(DATOS!$K$2:$K$20000))/SUMPRODUCT((DATOS!$A$2:$A$20000=AE16)*(DATOS!$G$2:$G$20000=CONFIG_METADATA!$B$4)*(COUNTIF(CONFIG_ASIGNATURAS!$B$7:$B$27,DATOS!$I$2:$I$20000)&gt;0)*1),"")))</f>
        <v/>
      </c>
    </row>
    <row r="17" spans="2:35" x14ac:dyDescent="0.2">
      <c r="B17" t="str">
        <f>IF(A17="","",IF(A17="[FÓRMULA MANUAL]","",IFERROR(AVERAGEIFS(DATOS!$K$2:$K$20000,DATOS!$A$2:$A$20000,A17,DATOS!$G$2:$G$20000,CONFIG_METADATA!$B$4,DATOS!$I$2:$I$20000,"Lenguaje Musical"),"")))</f>
        <v/>
      </c>
      <c r="C17" t="str">
        <f>IF(A17="","",IF(A17="[FÓRMULA MANUAL]","",IFERROR(AVERAGEIFS(DATOS!$K$2:$K$20000,DATOS!$A$2:$A$20000,A17,DATOS!$G$2:$G$20000,CONFIG_METADATA!$B$4,DATOS!$I$2:$I$20000,"Orquesta/Banda/Conjunto"),"")))</f>
        <v/>
      </c>
      <c r="D17" t="str">
        <f>IF(A17="","",IF(A17="[FÓRMULA MANUAL]","",IFERROR(AVERAGEIFS(DATOS!$K$2:$K$20000,DATOS!$A$2:$A$20000,A17,DATOS!$G$2:$G$20000,CONFIG_METADATA!$B$4,DATOS!$I$2:$I$20000,"Conjunto"),"")))</f>
        <v/>
      </c>
      <c r="E17" t="str">
        <f>IF(A17="","",IF(A17="[FÓRMULA MANUAL]","",IFERROR(SUMPRODUCT((DATOS!$A$2:$A$20000=A17)*(DATOS!$G$2:$G$20000=CONFIG_METADATA!$B$4)*(COUNTIF(CONFIG_ASIGNATURAS!$B$7:$B$27,DATOS!$I$2:$I$20000)&gt;0)*(DATOS!$K$2:$K$20000))/SUMPRODUCT((DATOS!$A$2:$A$20000=A17)*(DATOS!$G$2:$G$20000=CONFIG_METADATA!$B$4)*(COUNTIF(CONFIG_ASIGNATURAS!$B$7:$B$27,DATOS!$I$2:$I$20000)&gt;0)*1),"")))</f>
        <v/>
      </c>
      <c r="H17" t="str">
        <f>IF(G17="","",IF(G17="[FÓRMULA MANUAL]","",IFERROR(AVERAGEIFS(DATOS!$K$2:$K$20000,DATOS!$A$2:$A$20000,G17,DATOS!$G$2:$G$20000,CONFIG_METADATA!$B$4,DATOS!$I$2:$I$20000,"Lenguaje Musical"),"")))</f>
        <v/>
      </c>
      <c r="I17" t="str">
        <f>IF(G17="","",IF(G17="[FÓRMULA MANUAL]","",IFERROR(AVERAGEIFS(DATOS!$K$2:$K$20000,DATOS!$A$2:$A$20000,G17,DATOS!$G$2:$G$20000,CONFIG_METADATA!$B$4,DATOS!$I$2:$I$20000,"Orquesta/Banda/Conjunto"),"")))</f>
        <v/>
      </c>
      <c r="J17" t="str">
        <f>IF(G17="","",IF(G17="[FÓRMULA MANUAL]","",IFERROR(AVERAGEIFS(DATOS!$K$2:$K$20000,DATOS!$A$2:$A$20000,G17,DATOS!$G$2:$G$20000,CONFIG_METADATA!$B$4,DATOS!$I$2:$I$20000,"Conjunto"),"")))</f>
        <v/>
      </c>
      <c r="K17" t="str">
        <f>IF(G17="","",IF(G17="[FÓRMULA MANUAL]","",IFERROR(SUMPRODUCT((DATOS!$A$2:$A$20000=G17)*(DATOS!$G$2:$G$20000=CONFIG_METADATA!$B$4)*(COUNTIF(CONFIG_ASIGNATURAS!$B$7:$B$27,DATOS!$I$2:$I$20000)&gt;0)*(DATOS!$K$2:$K$20000))/SUMPRODUCT((DATOS!$A$2:$A$20000=G17)*(DATOS!$G$2:$G$20000=CONFIG_METADATA!$B$4)*(COUNTIF(CONFIG_ASIGNATURAS!$B$7:$B$27,DATOS!$I$2:$I$20000)&gt;0)*1),"")))</f>
        <v/>
      </c>
      <c r="N17" t="str">
        <f>IF(M17="","",IF(M17="[FÓRMULA MANUAL]","",IFERROR(AVERAGEIFS(DATOS!$K$2:$K$20000,DATOS!$A$2:$A$20000,M17,DATOS!$G$2:$G$20000,CONFIG_METADATA!$B$4,DATOS!$I$2:$I$20000,"Armonía"),"")))</f>
        <v/>
      </c>
      <c r="O17" t="str">
        <f>IF(M17="","",IF(M17="[FÓRMULA MANUAL]","",IFERROR(AVERAGEIFS(DATOS!$K$2:$K$20000,DATOS!$A$2:$A$20000,M17,DATOS!$G$2:$G$20000,CONFIG_METADATA!$B$4,DATOS!$I$2:$I$20000,"Orquesta/Banda/Conjunto"),"")))</f>
        <v/>
      </c>
      <c r="P17" t="str">
        <f>IF(M17="","",IF(M17="[FÓRMULA MANUAL]","",IFERROR(AVERAGEIFS(DATOS!$K$2:$K$20000,DATOS!$A$2:$A$20000,M17,DATOS!$G$2:$G$20000,CONFIG_METADATA!$B$4,DATOS!$I$2:$I$20000,"Música de Cámara"),"")))</f>
        <v/>
      </c>
      <c r="Q17" t="str">
        <f>IF(M17="","",IF(M17="[FÓRMULA MANUAL]","",IFERROR(SUMPRODUCT((DATOS!$A$2:$A$20000=M17)*(DATOS!$G$2:$G$20000=CONFIG_METADATA!$B$4)*(COUNTIF(CONFIG_ASIGNATURAS!$B$7:$B$27,DATOS!$I$2:$I$20000)&gt;0)*(DATOS!$K$2:$K$20000))/SUMPRODUCT((DATOS!$A$2:$A$20000=M17)*(DATOS!$G$2:$G$20000=CONFIG_METADATA!$B$4)*(COUNTIF(CONFIG_ASIGNATURAS!$B$7:$B$27,DATOS!$I$2:$I$20000)&gt;0)*1),"")))</f>
        <v/>
      </c>
      <c r="T17" t="str">
        <f>IF(S17="","",IF(S17="[FÓRMULA MANUAL]","",IFERROR(AVERAGEIFS(DATOS!$K$2:$K$20000,DATOS!$A$2:$A$20000,S17,DATOS!$G$2:$G$20000,CONFIG_METADATA!$B$4,DATOS!$I$2:$I$20000,"Armonía"),"")))</f>
        <v/>
      </c>
      <c r="U17" t="str">
        <f>IF(S17="","",IF(S17="[FÓRMULA MANUAL]","",IFERROR(AVERAGEIFS(DATOS!$K$2:$K$20000,DATOS!$A$2:$A$20000,S17,DATOS!$G$2:$G$20000,CONFIG_METADATA!$B$4,DATOS!$I$2:$I$20000,"Orquesta/Banda/Conjunto"),"")))</f>
        <v/>
      </c>
      <c r="V17" t="str">
        <f>IF(S17="","",IF(S17="[FÓRMULA MANUAL]","",IFERROR(AVERAGEIFS(DATOS!$K$2:$K$20000,DATOS!$A$2:$A$20000,S17,DATOS!$G$2:$G$20000,CONFIG_METADATA!$B$4,DATOS!$I$2:$I$20000,"Música de Cámara"),"")))</f>
        <v/>
      </c>
      <c r="W17" t="str">
        <f>IF(S17="","",IF(S17="[FÓRMULA MANUAL]","",IFERROR(SUMPRODUCT((DATOS!$A$2:$A$20000=S17)*(DATOS!$G$2:$G$20000=CONFIG_METADATA!$B$4)*(COUNTIF(CONFIG_ASIGNATURAS!$B$7:$B$27,DATOS!$I$2:$I$20000)&gt;0)*(DATOS!$K$2:$K$20000))/SUMPRODUCT((DATOS!$A$2:$A$20000=S17)*(DATOS!$G$2:$G$20000=CONFIG_METADATA!$B$4)*(COUNTIF(CONFIG_ASIGNATURAS!$B$7:$B$27,DATOS!$I$2:$I$20000)&gt;0)*1),"")))</f>
        <v/>
      </c>
      <c r="Z17" t="str">
        <f>IF(Y17="","",IF(Y17="[FÓRMULA MANUAL]","",IFERROR(AVERAGEIFS(DATOS!$K$2:$K$20000,DATOS!$A$2:$A$20000,Y17,DATOS!$G$2:$G$20000,CONFIG_METADATA!$B$4,DATOS!$I$2:$I$20000,"Análisis"),"")))</f>
        <v/>
      </c>
      <c r="AA17" t="str">
        <f>IF(Y17="","",IF(Y17="[FÓRMULA MANUAL]","",IFERROR(AVERAGEIFS(DATOS!$K$2:$K$20000,DATOS!$A$2:$A$20000,Y17,DATOS!$G$2:$G$20000,CONFIG_METADATA!$B$4,DATOS!$I$2:$I$20000,"Orquesta/Banda/Conjunto"),"")))</f>
        <v/>
      </c>
      <c r="AB17" t="str">
        <f>IF(Y17="","",IF(Y17="[FÓRMULA MANUAL]","",IFERROR(AVERAGEIFS(DATOS!$K$2:$K$20000,DATOS!$A$2:$A$20000,Y17,DATOS!$G$2:$G$20000,CONFIG_METADATA!$B$4,DATOS!$I$2:$I$20000,"Música de Cámara"),"")))</f>
        <v/>
      </c>
      <c r="AC17" t="str">
        <f>IF(Y17="","",IF(Y17="[FÓRMULA MANUAL]","",IFERROR(SUMPRODUCT((DATOS!$A$2:$A$20000=Y17)*(DATOS!$G$2:$G$20000=CONFIG_METADATA!$B$4)*(COUNTIF(CONFIG_ASIGNATURAS!$B$7:$B$27,DATOS!$I$2:$I$20000)&gt;0)*(DATOS!$K$2:$K$20000))/SUMPRODUCT((DATOS!$A$2:$A$20000=Y17)*(DATOS!$G$2:$G$20000=CONFIG_METADATA!$B$4)*(COUNTIF(CONFIG_ASIGNATURAS!$B$7:$B$27,DATOS!$I$2:$I$20000)&gt;0)*1),"")))</f>
        <v/>
      </c>
      <c r="AF17" t="str">
        <f>IF(AE17="","",IF(AE17="[FÓRMULA MANUAL]","",IFERROR(AVERAGEIFS(DATOS!$K$2:$K$20000,DATOS!$A$2:$A$20000,AE17,DATOS!$G$2:$G$20000,CONFIG_METADATA!$B$4,DATOS!$I$2:$I$20000,"Análisis"),"")))</f>
        <v/>
      </c>
      <c r="AG17" t="str">
        <f>IF(AE17="","",IF(AE17="[FÓRMULA MANUAL]","",IFERROR(AVERAGEIFS(DATOS!$K$2:$K$20000,DATOS!$A$2:$A$20000,AE17,DATOS!$G$2:$G$20000,CONFIG_METADATA!$B$4,DATOS!$I$2:$I$20000,"Orquesta/Banda/Conjunto"),"")))</f>
        <v/>
      </c>
      <c r="AH17" t="str">
        <f>IF(AE17="","",IF(AE17="[FÓRMULA MANUAL]","",IFERROR(AVERAGEIFS(DATOS!$K$2:$K$20000,DATOS!$A$2:$A$20000,AE17,DATOS!$G$2:$G$20000,CONFIG_METADATA!$B$4,DATOS!$I$2:$I$20000,"Música de Cámara"),"")))</f>
        <v/>
      </c>
      <c r="AI17" t="str">
        <f>IF(AE17="","",IF(AE17="[FÓRMULA MANUAL]","",IFERROR(SUMPRODUCT((DATOS!$A$2:$A$20000=AE17)*(DATOS!$G$2:$G$20000=CONFIG_METADATA!$B$4)*(COUNTIF(CONFIG_ASIGNATURAS!$B$7:$B$27,DATOS!$I$2:$I$20000)&gt;0)*(DATOS!$K$2:$K$20000))/SUMPRODUCT((DATOS!$A$2:$A$20000=AE17)*(DATOS!$G$2:$G$20000=CONFIG_METADATA!$B$4)*(COUNTIF(CONFIG_ASIGNATURAS!$B$7:$B$27,DATOS!$I$2:$I$20000)&gt;0)*1),"")))</f>
        <v/>
      </c>
    </row>
    <row r="18" spans="2:35" x14ac:dyDescent="0.2">
      <c r="B18" t="str">
        <f>IF(A18="","",IF(A18="[FÓRMULA MANUAL]","",IFERROR(AVERAGEIFS(DATOS!$K$2:$K$20000,DATOS!$A$2:$A$20000,A18,DATOS!$G$2:$G$20000,CONFIG_METADATA!$B$4,DATOS!$I$2:$I$20000,"Lenguaje Musical"),"")))</f>
        <v/>
      </c>
      <c r="C18" t="str">
        <f>IF(A18="","",IF(A18="[FÓRMULA MANUAL]","",IFERROR(AVERAGEIFS(DATOS!$K$2:$K$20000,DATOS!$A$2:$A$20000,A18,DATOS!$G$2:$G$20000,CONFIG_METADATA!$B$4,DATOS!$I$2:$I$20000,"Orquesta/Banda/Conjunto"),"")))</f>
        <v/>
      </c>
      <c r="D18" t="str">
        <f>IF(A18="","",IF(A18="[FÓRMULA MANUAL]","",IFERROR(AVERAGEIFS(DATOS!$K$2:$K$20000,DATOS!$A$2:$A$20000,A18,DATOS!$G$2:$G$20000,CONFIG_METADATA!$B$4,DATOS!$I$2:$I$20000,"Conjunto"),"")))</f>
        <v/>
      </c>
      <c r="E18" t="str">
        <f>IF(A18="","",IF(A18="[FÓRMULA MANUAL]","",IFERROR(SUMPRODUCT((DATOS!$A$2:$A$20000=A18)*(DATOS!$G$2:$G$20000=CONFIG_METADATA!$B$4)*(COUNTIF(CONFIG_ASIGNATURAS!$B$7:$B$27,DATOS!$I$2:$I$20000)&gt;0)*(DATOS!$K$2:$K$20000))/SUMPRODUCT((DATOS!$A$2:$A$20000=A18)*(DATOS!$G$2:$G$20000=CONFIG_METADATA!$B$4)*(COUNTIF(CONFIG_ASIGNATURAS!$B$7:$B$27,DATOS!$I$2:$I$20000)&gt;0)*1),"")))</f>
        <v/>
      </c>
      <c r="H18" t="str">
        <f>IF(G18="","",IF(G18="[FÓRMULA MANUAL]","",IFERROR(AVERAGEIFS(DATOS!$K$2:$K$20000,DATOS!$A$2:$A$20000,G18,DATOS!$G$2:$G$20000,CONFIG_METADATA!$B$4,DATOS!$I$2:$I$20000,"Lenguaje Musical"),"")))</f>
        <v/>
      </c>
      <c r="I18" t="str">
        <f>IF(G18="","",IF(G18="[FÓRMULA MANUAL]","",IFERROR(AVERAGEIFS(DATOS!$K$2:$K$20000,DATOS!$A$2:$A$20000,G18,DATOS!$G$2:$G$20000,CONFIG_METADATA!$B$4,DATOS!$I$2:$I$20000,"Orquesta/Banda/Conjunto"),"")))</f>
        <v/>
      </c>
      <c r="J18" t="str">
        <f>IF(G18="","",IF(G18="[FÓRMULA MANUAL]","",IFERROR(AVERAGEIFS(DATOS!$K$2:$K$20000,DATOS!$A$2:$A$20000,G18,DATOS!$G$2:$G$20000,CONFIG_METADATA!$B$4,DATOS!$I$2:$I$20000,"Conjunto"),"")))</f>
        <v/>
      </c>
      <c r="K18" t="str">
        <f>IF(G18="","",IF(G18="[FÓRMULA MANUAL]","",IFERROR(SUMPRODUCT((DATOS!$A$2:$A$20000=G18)*(DATOS!$G$2:$G$20000=CONFIG_METADATA!$B$4)*(COUNTIF(CONFIG_ASIGNATURAS!$B$7:$B$27,DATOS!$I$2:$I$20000)&gt;0)*(DATOS!$K$2:$K$20000))/SUMPRODUCT((DATOS!$A$2:$A$20000=G18)*(DATOS!$G$2:$G$20000=CONFIG_METADATA!$B$4)*(COUNTIF(CONFIG_ASIGNATURAS!$B$7:$B$27,DATOS!$I$2:$I$20000)&gt;0)*1),"")))</f>
        <v/>
      </c>
      <c r="N18" t="str">
        <f>IF(M18="","",IF(M18="[FÓRMULA MANUAL]","",IFERROR(AVERAGEIFS(DATOS!$K$2:$K$20000,DATOS!$A$2:$A$20000,M18,DATOS!$G$2:$G$20000,CONFIG_METADATA!$B$4,DATOS!$I$2:$I$20000,"Armonía"),"")))</f>
        <v/>
      </c>
      <c r="O18" t="str">
        <f>IF(M18="","",IF(M18="[FÓRMULA MANUAL]","",IFERROR(AVERAGEIFS(DATOS!$K$2:$K$20000,DATOS!$A$2:$A$20000,M18,DATOS!$G$2:$G$20000,CONFIG_METADATA!$B$4,DATOS!$I$2:$I$20000,"Orquesta/Banda/Conjunto"),"")))</f>
        <v/>
      </c>
      <c r="P18" t="str">
        <f>IF(M18="","",IF(M18="[FÓRMULA MANUAL]","",IFERROR(AVERAGEIFS(DATOS!$K$2:$K$20000,DATOS!$A$2:$A$20000,M18,DATOS!$G$2:$G$20000,CONFIG_METADATA!$B$4,DATOS!$I$2:$I$20000,"Música de Cámara"),"")))</f>
        <v/>
      </c>
      <c r="Q18" t="str">
        <f>IF(M18="","",IF(M18="[FÓRMULA MANUAL]","",IFERROR(SUMPRODUCT((DATOS!$A$2:$A$20000=M18)*(DATOS!$G$2:$G$20000=CONFIG_METADATA!$B$4)*(COUNTIF(CONFIG_ASIGNATURAS!$B$7:$B$27,DATOS!$I$2:$I$20000)&gt;0)*(DATOS!$K$2:$K$20000))/SUMPRODUCT((DATOS!$A$2:$A$20000=M18)*(DATOS!$G$2:$G$20000=CONFIG_METADATA!$B$4)*(COUNTIF(CONFIG_ASIGNATURAS!$B$7:$B$27,DATOS!$I$2:$I$20000)&gt;0)*1),"")))</f>
        <v/>
      </c>
      <c r="T18" t="str">
        <f>IF(S18="","",IF(S18="[FÓRMULA MANUAL]","",IFERROR(AVERAGEIFS(DATOS!$K$2:$K$20000,DATOS!$A$2:$A$20000,S18,DATOS!$G$2:$G$20000,CONFIG_METADATA!$B$4,DATOS!$I$2:$I$20000,"Armonía"),"")))</f>
        <v/>
      </c>
      <c r="U18" t="str">
        <f>IF(S18="","",IF(S18="[FÓRMULA MANUAL]","",IFERROR(AVERAGEIFS(DATOS!$K$2:$K$20000,DATOS!$A$2:$A$20000,S18,DATOS!$G$2:$G$20000,CONFIG_METADATA!$B$4,DATOS!$I$2:$I$20000,"Orquesta/Banda/Conjunto"),"")))</f>
        <v/>
      </c>
      <c r="V18" t="str">
        <f>IF(S18="","",IF(S18="[FÓRMULA MANUAL]","",IFERROR(AVERAGEIFS(DATOS!$K$2:$K$20000,DATOS!$A$2:$A$20000,S18,DATOS!$G$2:$G$20000,CONFIG_METADATA!$B$4,DATOS!$I$2:$I$20000,"Música de Cámara"),"")))</f>
        <v/>
      </c>
      <c r="W18" t="str">
        <f>IF(S18="","",IF(S18="[FÓRMULA MANUAL]","",IFERROR(SUMPRODUCT((DATOS!$A$2:$A$20000=S18)*(DATOS!$G$2:$G$20000=CONFIG_METADATA!$B$4)*(COUNTIF(CONFIG_ASIGNATURAS!$B$7:$B$27,DATOS!$I$2:$I$20000)&gt;0)*(DATOS!$K$2:$K$20000))/SUMPRODUCT((DATOS!$A$2:$A$20000=S18)*(DATOS!$G$2:$G$20000=CONFIG_METADATA!$B$4)*(COUNTIF(CONFIG_ASIGNATURAS!$B$7:$B$27,DATOS!$I$2:$I$20000)&gt;0)*1),"")))</f>
        <v/>
      </c>
      <c r="Z18" t="str">
        <f>IF(Y18="","",IF(Y18="[FÓRMULA MANUAL]","",IFERROR(AVERAGEIFS(DATOS!$K$2:$K$20000,DATOS!$A$2:$A$20000,Y18,DATOS!$G$2:$G$20000,CONFIG_METADATA!$B$4,DATOS!$I$2:$I$20000,"Análisis"),"")))</f>
        <v/>
      </c>
      <c r="AA18" t="str">
        <f>IF(Y18="","",IF(Y18="[FÓRMULA MANUAL]","",IFERROR(AVERAGEIFS(DATOS!$K$2:$K$20000,DATOS!$A$2:$A$20000,Y18,DATOS!$G$2:$G$20000,CONFIG_METADATA!$B$4,DATOS!$I$2:$I$20000,"Orquesta/Banda/Conjunto"),"")))</f>
        <v/>
      </c>
      <c r="AB18" t="str">
        <f>IF(Y18="","",IF(Y18="[FÓRMULA MANUAL]","",IFERROR(AVERAGEIFS(DATOS!$K$2:$K$20000,DATOS!$A$2:$A$20000,Y18,DATOS!$G$2:$G$20000,CONFIG_METADATA!$B$4,DATOS!$I$2:$I$20000,"Música de Cámara"),"")))</f>
        <v/>
      </c>
      <c r="AC18" t="str">
        <f>IF(Y18="","",IF(Y18="[FÓRMULA MANUAL]","",IFERROR(SUMPRODUCT((DATOS!$A$2:$A$20000=Y18)*(DATOS!$G$2:$G$20000=CONFIG_METADATA!$B$4)*(COUNTIF(CONFIG_ASIGNATURAS!$B$7:$B$27,DATOS!$I$2:$I$20000)&gt;0)*(DATOS!$K$2:$K$20000))/SUMPRODUCT((DATOS!$A$2:$A$20000=Y18)*(DATOS!$G$2:$G$20000=CONFIG_METADATA!$B$4)*(COUNTIF(CONFIG_ASIGNATURAS!$B$7:$B$27,DATOS!$I$2:$I$20000)&gt;0)*1),"")))</f>
        <v/>
      </c>
      <c r="AF18" t="str">
        <f>IF(AE18="","",IF(AE18="[FÓRMULA MANUAL]","",IFERROR(AVERAGEIFS(DATOS!$K$2:$K$20000,DATOS!$A$2:$A$20000,AE18,DATOS!$G$2:$G$20000,CONFIG_METADATA!$B$4,DATOS!$I$2:$I$20000,"Análisis"),"")))</f>
        <v/>
      </c>
      <c r="AG18" t="str">
        <f>IF(AE18="","",IF(AE18="[FÓRMULA MANUAL]","",IFERROR(AVERAGEIFS(DATOS!$K$2:$K$20000,DATOS!$A$2:$A$20000,AE18,DATOS!$G$2:$G$20000,CONFIG_METADATA!$B$4,DATOS!$I$2:$I$20000,"Orquesta/Banda/Conjunto"),"")))</f>
        <v/>
      </c>
      <c r="AH18" t="str">
        <f>IF(AE18="","",IF(AE18="[FÓRMULA MANUAL]","",IFERROR(AVERAGEIFS(DATOS!$K$2:$K$20000,DATOS!$A$2:$A$20000,AE18,DATOS!$G$2:$G$20000,CONFIG_METADATA!$B$4,DATOS!$I$2:$I$20000,"Música de Cámara"),"")))</f>
        <v/>
      </c>
      <c r="AI18" t="str">
        <f>IF(AE18="","",IF(AE18="[FÓRMULA MANUAL]","",IFERROR(SUMPRODUCT((DATOS!$A$2:$A$20000=AE18)*(DATOS!$G$2:$G$20000=CONFIG_METADATA!$B$4)*(COUNTIF(CONFIG_ASIGNATURAS!$B$7:$B$27,DATOS!$I$2:$I$20000)&gt;0)*(DATOS!$K$2:$K$20000))/SUMPRODUCT((DATOS!$A$2:$A$20000=AE18)*(DATOS!$G$2:$G$20000=CONFIG_METADATA!$B$4)*(COUNTIF(CONFIG_ASIGNATURAS!$B$7:$B$27,DATOS!$I$2:$I$20000)&gt;0)*1),"")))</f>
        <v/>
      </c>
    </row>
    <row r="19" spans="2:35" x14ac:dyDescent="0.2">
      <c r="B19" t="str">
        <f>IF(A19="","",IF(A19="[FÓRMULA MANUAL]","",IFERROR(AVERAGEIFS(DATOS!$K$2:$K$20000,DATOS!$A$2:$A$20000,A19,DATOS!$G$2:$G$20000,CONFIG_METADATA!$B$4,DATOS!$I$2:$I$20000,"Lenguaje Musical"),"")))</f>
        <v/>
      </c>
      <c r="C19" t="str">
        <f>IF(A19="","",IF(A19="[FÓRMULA MANUAL]","",IFERROR(AVERAGEIFS(DATOS!$K$2:$K$20000,DATOS!$A$2:$A$20000,A19,DATOS!$G$2:$G$20000,CONFIG_METADATA!$B$4,DATOS!$I$2:$I$20000,"Orquesta/Banda/Conjunto"),"")))</f>
        <v/>
      </c>
      <c r="D19" t="str">
        <f>IF(A19="","",IF(A19="[FÓRMULA MANUAL]","",IFERROR(AVERAGEIFS(DATOS!$K$2:$K$20000,DATOS!$A$2:$A$20000,A19,DATOS!$G$2:$G$20000,CONFIG_METADATA!$B$4,DATOS!$I$2:$I$20000,"Conjunto"),"")))</f>
        <v/>
      </c>
      <c r="E19" t="str">
        <f>IF(A19="","",IF(A19="[FÓRMULA MANUAL]","",IFERROR(SUMPRODUCT((DATOS!$A$2:$A$20000=A19)*(DATOS!$G$2:$G$20000=CONFIG_METADATA!$B$4)*(COUNTIF(CONFIG_ASIGNATURAS!$B$7:$B$27,DATOS!$I$2:$I$20000)&gt;0)*(DATOS!$K$2:$K$20000))/SUMPRODUCT((DATOS!$A$2:$A$20000=A19)*(DATOS!$G$2:$G$20000=CONFIG_METADATA!$B$4)*(COUNTIF(CONFIG_ASIGNATURAS!$B$7:$B$27,DATOS!$I$2:$I$20000)&gt;0)*1),"")))</f>
        <v/>
      </c>
      <c r="H19" t="str">
        <f>IF(G19="","",IF(G19="[FÓRMULA MANUAL]","",IFERROR(AVERAGEIFS(DATOS!$K$2:$K$20000,DATOS!$A$2:$A$20000,G19,DATOS!$G$2:$G$20000,CONFIG_METADATA!$B$4,DATOS!$I$2:$I$20000,"Lenguaje Musical"),"")))</f>
        <v/>
      </c>
      <c r="I19" t="str">
        <f>IF(G19="","",IF(G19="[FÓRMULA MANUAL]","",IFERROR(AVERAGEIFS(DATOS!$K$2:$K$20000,DATOS!$A$2:$A$20000,G19,DATOS!$G$2:$G$20000,CONFIG_METADATA!$B$4,DATOS!$I$2:$I$20000,"Orquesta/Banda/Conjunto"),"")))</f>
        <v/>
      </c>
      <c r="J19" t="str">
        <f>IF(G19="","",IF(G19="[FÓRMULA MANUAL]","",IFERROR(AVERAGEIFS(DATOS!$K$2:$K$20000,DATOS!$A$2:$A$20000,G19,DATOS!$G$2:$G$20000,CONFIG_METADATA!$B$4,DATOS!$I$2:$I$20000,"Conjunto"),"")))</f>
        <v/>
      </c>
      <c r="K19" t="str">
        <f>IF(G19="","",IF(G19="[FÓRMULA MANUAL]","",IFERROR(SUMPRODUCT((DATOS!$A$2:$A$20000=G19)*(DATOS!$G$2:$G$20000=CONFIG_METADATA!$B$4)*(COUNTIF(CONFIG_ASIGNATURAS!$B$7:$B$27,DATOS!$I$2:$I$20000)&gt;0)*(DATOS!$K$2:$K$20000))/SUMPRODUCT((DATOS!$A$2:$A$20000=G19)*(DATOS!$G$2:$G$20000=CONFIG_METADATA!$B$4)*(COUNTIF(CONFIG_ASIGNATURAS!$B$7:$B$27,DATOS!$I$2:$I$20000)&gt;0)*1),"")))</f>
        <v/>
      </c>
      <c r="N19" t="str">
        <f>IF(M19="","",IF(M19="[FÓRMULA MANUAL]","",IFERROR(AVERAGEIFS(DATOS!$K$2:$K$20000,DATOS!$A$2:$A$20000,M19,DATOS!$G$2:$G$20000,CONFIG_METADATA!$B$4,DATOS!$I$2:$I$20000,"Armonía"),"")))</f>
        <v/>
      </c>
      <c r="O19" t="str">
        <f>IF(M19="","",IF(M19="[FÓRMULA MANUAL]","",IFERROR(AVERAGEIFS(DATOS!$K$2:$K$20000,DATOS!$A$2:$A$20000,M19,DATOS!$G$2:$G$20000,CONFIG_METADATA!$B$4,DATOS!$I$2:$I$20000,"Orquesta/Banda/Conjunto"),"")))</f>
        <v/>
      </c>
      <c r="P19" t="str">
        <f>IF(M19="","",IF(M19="[FÓRMULA MANUAL]","",IFERROR(AVERAGEIFS(DATOS!$K$2:$K$20000,DATOS!$A$2:$A$20000,M19,DATOS!$G$2:$G$20000,CONFIG_METADATA!$B$4,DATOS!$I$2:$I$20000,"Música de Cámara"),"")))</f>
        <v/>
      </c>
      <c r="Q19" t="str">
        <f>IF(M19="","",IF(M19="[FÓRMULA MANUAL]","",IFERROR(SUMPRODUCT((DATOS!$A$2:$A$20000=M19)*(DATOS!$G$2:$G$20000=CONFIG_METADATA!$B$4)*(COUNTIF(CONFIG_ASIGNATURAS!$B$7:$B$27,DATOS!$I$2:$I$20000)&gt;0)*(DATOS!$K$2:$K$20000))/SUMPRODUCT((DATOS!$A$2:$A$20000=M19)*(DATOS!$G$2:$G$20000=CONFIG_METADATA!$B$4)*(COUNTIF(CONFIG_ASIGNATURAS!$B$7:$B$27,DATOS!$I$2:$I$20000)&gt;0)*1),"")))</f>
        <v/>
      </c>
      <c r="T19" t="str">
        <f>IF(S19="","",IF(S19="[FÓRMULA MANUAL]","",IFERROR(AVERAGEIFS(DATOS!$K$2:$K$20000,DATOS!$A$2:$A$20000,S19,DATOS!$G$2:$G$20000,CONFIG_METADATA!$B$4,DATOS!$I$2:$I$20000,"Armonía"),"")))</f>
        <v/>
      </c>
      <c r="U19" t="str">
        <f>IF(S19="","",IF(S19="[FÓRMULA MANUAL]","",IFERROR(AVERAGEIFS(DATOS!$K$2:$K$20000,DATOS!$A$2:$A$20000,S19,DATOS!$G$2:$G$20000,CONFIG_METADATA!$B$4,DATOS!$I$2:$I$20000,"Orquesta/Banda/Conjunto"),"")))</f>
        <v/>
      </c>
      <c r="V19" t="str">
        <f>IF(S19="","",IF(S19="[FÓRMULA MANUAL]","",IFERROR(AVERAGEIFS(DATOS!$K$2:$K$20000,DATOS!$A$2:$A$20000,S19,DATOS!$G$2:$G$20000,CONFIG_METADATA!$B$4,DATOS!$I$2:$I$20000,"Música de Cámara"),"")))</f>
        <v/>
      </c>
      <c r="W19" t="str">
        <f>IF(S19="","",IF(S19="[FÓRMULA MANUAL]","",IFERROR(SUMPRODUCT((DATOS!$A$2:$A$20000=S19)*(DATOS!$G$2:$G$20000=CONFIG_METADATA!$B$4)*(COUNTIF(CONFIG_ASIGNATURAS!$B$7:$B$27,DATOS!$I$2:$I$20000)&gt;0)*(DATOS!$K$2:$K$20000))/SUMPRODUCT((DATOS!$A$2:$A$20000=S19)*(DATOS!$G$2:$G$20000=CONFIG_METADATA!$B$4)*(COUNTIF(CONFIG_ASIGNATURAS!$B$7:$B$27,DATOS!$I$2:$I$20000)&gt;0)*1),"")))</f>
        <v/>
      </c>
      <c r="Z19" t="str">
        <f>IF(Y19="","",IF(Y19="[FÓRMULA MANUAL]","",IFERROR(AVERAGEIFS(DATOS!$K$2:$K$20000,DATOS!$A$2:$A$20000,Y19,DATOS!$G$2:$G$20000,CONFIG_METADATA!$B$4,DATOS!$I$2:$I$20000,"Análisis"),"")))</f>
        <v/>
      </c>
      <c r="AA19" t="str">
        <f>IF(Y19="","",IF(Y19="[FÓRMULA MANUAL]","",IFERROR(AVERAGEIFS(DATOS!$K$2:$K$20000,DATOS!$A$2:$A$20000,Y19,DATOS!$G$2:$G$20000,CONFIG_METADATA!$B$4,DATOS!$I$2:$I$20000,"Orquesta/Banda/Conjunto"),"")))</f>
        <v/>
      </c>
      <c r="AB19" t="str">
        <f>IF(Y19="","",IF(Y19="[FÓRMULA MANUAL]","",IFERROR(AVERAGEIFS(DATOS!$K$2:$K$20000,DATOS!$A$2:$A$20000,Y19,DATOS!$G$2:$G$20000,CONFIG_METADATA!$B$4,DATOS!$I$2:$I$20000,"Música de Cámara"),"")))</f>
        <v/>
      </c>
      <c r="AC19" t="str">
        <f>IF(Y19="","",IF(Y19="[FÓRMULA MANUAL]","",IFERROR(SUMPRODUCT((DATOS!$A$2:$A$20000=Y19)*(DATOS!$G$2:$G$20000=CONFIG_METADATA!$B$4)*(COUNTIF(CONFIG_ASIGNATURAS!$B$7:$B$27,DATOS!$I$2:$I$20000)&gt;0)*(DATOS!$K$2:$K$20000))/SUMPRODUCT((DATOS!$A$2:$A$20000=Y19)*(DATOS!$G$2:$G$20000=CONFIG_METADATA!$B$4)*(COUNTIF(CONFIG_ASIGNATURAS!$B$7:$B$27,DATOS!$I$2:$I$20000)&gt;0)*1),"")))</f>
        <v/>
      </c>
      <c r="AF19" t="str">
        <f>IF(AE19="","",IF(AE19="[FÓRMULA MANUAL]","",IFERROR(AVERAGEIFS(DATOS!$K$2:$K$20000,DATOS!$A$2:$A$20000,AE19,DATOS!$G$2:$G$20000,CONFIG_METADATA!$B$4,DATOS!$I$2:$I$20000,"Análisis"),"")))</f>
        <v/>
      </c>
      <c r="AG19" t="str">
        <f>IF(AE19="","",IF(AE19="[FÓRMULA MANUAL]","",IFERROR(AVERAGEIFS(DATOS!$K$2:$K$20000,DATOS!$A$2:$A$20000,AE19,DATOS!$G$2:$G$20000,CONFIG_METADATA!$B$4,DATOS!$I$2:$I$20000,"Orquesta/Banda/Conjunto"),"")))</f>
        <v/>
      </c>
      <c r="AH19" t="str">
        <f>IF(AE19="","",IF(AE19="[FÓRMULA MANUAL]","",IFERROR(AVERAGEIFS(DATOS!$K$2:$K$20000,DATOS!$A$2:$A$20000,AE19,DATOS!$G$2:$G$20000,CONFIG_METADATA!$B$4,DATOS!$I$2:$I$20000,"Música de Cámara"),"")))</f>
        <v/>
      </c>
      <c r="AI19" t="str">
        <f>IF(AE19="","",IF(AE19="[FÓRMULA MANUAL]","",IFERROR(SUMPRODUCT((DATOS!$A$2:$A$20000=AE19)*(DATOS!$G$2:$G$20000=CONFIG_METADATA!$B$4)*(COUNTIF(CONFIG_ASIGNATURAS!$B$7:$B$27,DATOS!$I$2:$I$20000)&gt;0)*(DATOS!$K$2:$K$20000))/SUMPRODUCT((DATOS!$A$2:$A$20000=AE19)*(DATOS!$G$2:$G$20000=CONFIG_METADATA!$B$4)*(COUNTIF(CONFIG_ASIGNATURAS!$B$7:$B$27,DATOS!$I$2:$I$20000)&gt;0)*1),"")))</f>
        <v/>
      </c>
    </row>
    <row r="20" spans="2:35" x14ac:dyDescent="0.2">
      <c r="B20" t="str">
        <f>IF(A20="","",IF(A20="[FÓRMULA MANUAL]","",IFERROR(AVERAGEIFS(DATOS!$K$2:$K$20000,DATOS!$A$2:$A$20000,A20,DATOS!$G$2:$G$20000,CONFIG_METADATA!$B$4,DATOS!$I$2:$I$20000,"Lenguaje Musical"),"")))</f>
        <v/>
      </c>
      <c r="C20" t="str">
        <f>IF(A20="","",IF(A20="[FÓRMULA MANUAL]","",IFERROR(AVERAGEIFS(DATOS!$K$2:$K$20000,DATOS!$A$2:$A$20000,A20,DATOS!$G$2:$G$20000,CONFIG_METADATA!$B$4,DATOS!$I$2:$I$20000,"Orquesta/Banda/Conjunto"),"")))</f>
        <v/>
      </c>
      <c r="D20" t="str">
        <f>IF(A20="","",IF(A20="[FÓRMULA MANUAL]","",IFERROR(AVERAGEIFS(DATOS!$K$2:$K$20000,DATOS!$A$2:$A$20000,A20,DATOS!$G$2:$G$20000,CONFIG_METADATA!$B$4,DATOS!$I$2:$I$20000,"Conjunto"),"")))</f>
        <v/>
      </c>
      <c r="E20" t="str">
        <f>IF(A20="","",IF(A20="[FÓRMULA MANUAL]","",IFERROR(SUMPRODUCT((DATOS!$A$2:$A$20000=A20)*(DATOS!$G$2:$G$20000=CONFIG_METADATA!$B$4)*(COUNTIF(CONFIG_ASIGNATURAS!$B$7:$B$27,DATOS!$I$2:$I$20000)&gt;0)*(DATOS!$K$2:$K$20000))/SUMPRODUCT((DATOS!$A$2:$A$20000=A20)*(DATOS!$G$2:$G$20000=CONFIG_METADATA!$B$4)*(COUNTIF(CONFIG_ASIGNATURAS!$B$7:$B$27,DATOS!$I$2:$I$20000)&gt;0)*1),"")))</f>
        <v/>
      </c>
      <c r="H20" t="str">
        <f>IF(G20="","",IF(G20="[FÓRMULA MANUAL]","",IFERROR(AVERAGEIFS(DATOS!$K$2:$K$20000,DATOS!$A$2:$A$20000,G20,DATOS!$G$2:$G$20000,CONFIG_METADATA!$B$4,DATOS!$I$2:$I$20000,"Lenguaje Musical"),"")))</f>
        <v/>
      </c>
      <c r="I20" t="str">
        <f>IF(G20="","",IF(G20="[FÓRMULA MANUAL]","",IFERROR(AVERAGEIFS(DATOS!$K$2:$K$20000,DATOS!$A$2:$A$20000,G20,DATOS!$G$2:$G$20000,CONFIG_METADATA!$B$4,DATOS!$I$2:$I$20000,"Orquesta/Banda/Conjunto"),"")))</f>
        <v/>
      </c>
      <c r="J20" t="str">
        <f>IF(G20="","",IF(G20="[FÓRMULA MANUAL]","",IFERROR(AVERAGEIFS(DATOS!$K$2:$K$20000,DATOS!$A$2:$A$20000,G20,DATOS!$G$2:$G$20000,CONFIG_METADATA!$B$4,DATOS!$I$2:$I$20000,"Conjunto"),"")))</f>
        <v/>
      </c>
      <c r="K20" t="str">
        <f>IF(G20="","",IF(G20="[FÓRMULA MANUAL]","",IFERROR(SUMPRODUCT((DATOS!$A$2:$A$20000=G20)*(DATOS!$G$2:$G$20000=CONFIG_METADATA!$B$4)*(COUNTIF(CONFIG_ASIGNATURAS!$B$7:$B$27,DATOS!$I$2:$I$20000)&gt;0)*(DATOS!$K$2:$K$20000))/SUMPRODUCT((DATOS!$A$2:$A$20000=G20)*(DATOS!$G$2:$G$20000=CONFIG_METADATA!$B$4)*(COUNTIF(CONFIG_ASIGNATURAS!$B$7:$B$27,DATOS!$I$2:$I$20000)&gt;0)*1),"")))</f>
        <v/>
      </c>
      <c r="N20" t="str">
        <f>IF(M20="","",IF(M20="[FÓRMULA MANUAL]","",IFERROR(AVERAGEIFS(DATOS!$K$2:$K$20000,DATOS!$A$2:$A$20000,M20,DATOS!$G$2:$G$20000,CONFIG_METADATA!$B$4,DATOS!$I$2:$I$20000,"Armonía"),"")))</f>
        <v/>
      </c>
      <c r="O20" t="str">
        <f>IF(M20="","",IF(M20="[FÓRMULA MANUAL]","",IFERROR(AVERAGEIFS(DATOS!$K$2:$K$20000,DATOS!$A$2:$A$20000,M20,DATOS!$G$2:$G$20000,CONFIG_METADATA!$B$4,DATOS!$I$2:$I$20000,"Orquesta/Banda/Conjunto"),"")))</f>
        <v/>
      </c>
      <c r="P20" t="str">
        <f>IF(M20="","",IF(M20="[FÓRMULA MANUAL]","",IFERROR(AVERAGEIFS(DATOS!$K$2:$K$20000,DATOS!$A$2:$A$20000,M20,DATOS!$G$2:$G$20000,CONFIG_METADATA!$B$4,DATOS!$I$2:$I$20000,"Música de Cámara"),"")))</f>
        <v/>
      </c>
      <c r="Q20" t="str">
        <f>IF(M20="","",IF(M20="[FÓRMULA MANUAL]","",IFERROR(SUMPRODUCT((DATOS!$A$2:$A$20000=M20)*(DATOS!$G$2:$G$20000=CONFIG_METADATA!$B$4)*(COUNTIF(CONFIG_ASIGNATURAS!$B$7:$B$27,DATOS!$I$2:$I$20000)&gt;0)*(DATOS!$K$2:$K$20000))/SUMPRODUCT((DATOS!$A$2:$A$20000=M20)*(DATOS!$G$2:$G$20000=CONFIG_METADATA!$B$4)*(COUNTIF(CONFIG_ASIGNATURAS!$B$7:$B$27,DATOS!$I$2:$I$20000)&gt;0)*1),"")))</f>
        <v/>
      </c>
      <c r="T20" t="str">
        <f>IF(S20="","",IF(S20="[FÓRMULA MANUAL]","",IFERROR(AVERAGEIFS(DATOS!$K$2:$K$20000,DATOS!$A$2:$A$20000,S20,DATOS!$G$2:$G$20000,CONFIG_METADATA!$B$4,DATOS!$I$2:$I$20000,"Armonía"),"")))</f>
        <v/>
      </c>
      <c r="U20" t="str">
        <f>IF(S20="","",IF(S20="[FÓRMULA MANUAL]","",IFERROR(AVERAGEIFS(DATOS!$K$2:$K$20000,DATOS!$A$2:$A$20000,S20,DATOS!$G$2:$G$20000,CONFIG_METADATA!$B$4,DATOS!$I$2:$I$20000,"Orquesta/Banda/Conjunto"),"")))</f>
        <v/>
      </c>
      <c r="V20" t="str">
        <f>IF(S20="","",IF(S20="[FÓRMULA MANUAL]","",IFERROR(AVERAGEIFS(DATOS!$K$2:$K$20000,DATOS!$A$2:$A$20000,S20,DATOS!$G$2:$G$20000,CONFIG_METADATA!$B$4,DATOS!$I$2:$I$20000,"Música de Cámara"),"")))</f>
        <v/>
      </c>
      <c r="W20" t="str">
        <f>IF(S20="","",IF(S20="[FÓRMULA MANUAL]","",IFERROR(SUMPRODUCT((DATOS!$A$2:$A$20000=S20)*(DATOS!$G$2:$G$20000=CONFIG_METADATA!$B$4)*(COUNTIF(CONFIG_ASIGNATURAS!$B$7:$B$27,DATOS!$I$2:$I$20000)&gt;0)*(DATOS!$K$2:$K$20000))/SUMPRODUCT((DATOS!$A$2:$A$20000=S20)*(DATOS!$G$2:$G$20000=CONFIG_METADATA!$B$4)*(COUNTIF(CONFIG_ASIGNATURAS!$B$7:$B$27,DATOS!$I$2:$I$20000)&gt;0)*1),"")))</f>
        <v/>
      </c>
      <c r="Z20" t="str">
        <f>IF(Y20="","",IF(Y20="[FÓRMULA MANUAL]","",IFERROR(AVERAGEIFS(DATOS!$K$2:$K$20000,DATOS!$A$2:$A$20000,Y20,DATOS!$G$2:$G$20000,CONFIG_METADATA!$B$4,DATOS!$I$2:$I$20000,"Análisis"),"")))</f>
        <v/>
      </c>
      <c r="AA20" t="str">
        <f>IF(Y20="","",IF(Y20="[FÓRMULA MANUAL]","",IFERROR(AVERAGEIFS(DATOS!$K$2:$K$20000,DATOS!$A$2:$A$20000,Y20,DATOS!$G$2:$G$20000,CONFIG_METADATA!$B$4,DATOS!$I$2:$I$20000,"Orquesta/Banda/Conjunto"),"")))</f>
        <v/>
      </c>
      <c r="AB20" t="str">
        <f>IF(Y20="","",IF(Y20="[FÓRMULA MANUAL]","",IFERROR(AVERAGEIFS(DATOS!$K$2:$K$20000,DATOS!$A$2:$A$20000,Y20,DATOS!$G$2:$G$20000,CONFIG_METADATA!$B$4,DATOS!$I$2:$I$20000,"Música de Cámara"),"")))</f>
        <v/>
      </c>
      <c r="AC20" t="str">
        <f>IF(Y20="","",IF(Y20="[FÓRMULA MANUAL]","",IFERROR(SUMPRODUCT((DATOS!$A$2:$A$20000=Y20)*(DATOS!$G$2:$G$20000=CONFIG_METADATA!$B$4)*(COUNTIF(CONFIG_ASIGNATURAS!$B$7:$B$27,DATOS!$I$2:$I$20000)&gt;0)*(DATOS!$K$2:$K$20000))/SUMPRODUCT((DATOS!$A$2:$A$20000=Y20)*(DATOS!$G$2:$G$20000=CONFIG_METADATA!$B$4)*(COUNTIF(CONFIG_ASIGNATURAS!$B$7:$B$27,DATOS!$I$2:$I$20000)&gt;0)*1),"")))</f>
        <v/>
      </c>
      <c r="AF20" t="str">
        <f>IF(AE20="","",IF(AE20="[FÓRMULA MANUAL]","",IFERROR(AVERAGEIFS(DATOS!$K$2:$K$20000,DATOS!$A$2:$A$20000,AE20,DATOS!$G$2:$G$20000,CONFIG_METADATA!$B$4,DATOS!$I$2:$I$20000,"Análisis"),"")))</f>
        <v/>
      </c>
      <c r="AG20" t="str">
        <f>IF(AE20="","",IF(AE20="[FÓRMULA MANUAL]","",IFERROR(AVERAGEIFS(DATOS!$K$2:$K$20000,DATOS!$A$2:$A$20000,AE20,DATOS!$G$2:$G$20000,CONFIG_METADATA!$B$4,DATOS!$I$2:$I$20000,"Orquesta/Banda/Conjunto"),"")))</f>
        <v/>
      </c>
      <c r="AH20" t="str">
        <f>IF(AE20="","",IF(AE20="[FÓRMULA MANUAL]","",IFERROR(AVERAGEIFS(DATOS!$K$2:$K$20000,DATOS!$A$2:$A$20000,AE20,DATOS!$G$2:$G$20000,CONFIG_METADATA!$B$4,DATOS!$I$2:$I$20000,"Música de Cámara"),"")))</f>
        <v/>
      </c>
      <c r="AI20" t="str">
        <f>IF(AE20="","",IF(AE20="[FÓRMULA MANUAL]","",IFERROR(SUMPRODUCT((DATOS!$A$2:$A$20000=AE20)*(DATOS!$G$2:$G$20000=CONFIG_METADATA!$B$4)*(COUNTIF(CONFIG_ASIGNATURAS!$B$7:$B$27,DATOS!$I$2:$I$20000)&gt;0)*(DATOS!$K$2:$K$20000))/SUMPRODUCT((DATOS!$A$2:$A$20000=AE20)*(DATOS!$G$2:$G$20000=CONFIG_METADATA!$B$4)*(COUNTIF(CONFIG_ASIGNATURAS!$B$7:$B$27,DATOS!$I$2:$I$20000)&gt;0)*1),"")))</f>
        <v/>
      </c>
    </row>
    <row r="21" spans="2:35" x14ac:dyDescent="0.2">
      <c r="B21" t="str">
        <f>IF(A21="","",IF(A21="[FÓRMULA MANUAL]","",IFERROR(AVERAGEIFS(DATOS!$K$2:$K$20000,DATOS!$A$2:$A$20000,A21,DATOS!$G$2:$G$20000,CONFIG_METADATA!$B$4,DATOS!$I$2:$I$20000,"Lenguaje Musical"),"")))</f>
        <v/>
      </c>
      <c r="C21" t="str">
        <f>IF(A21="","",IF(A21="[FÓRMULA MANUAL]","",IFERROR(AVERAGEIFS(DATOS!$K$2:$K$20000,DATOS!$A$2:$A$20000,A21,DATOS!$G$2:$G$20000,CONFIG_METADATA!$B$4,DATOS!$I$2:$I$20000,"Orquesta/Banda/Conjunto"),"")))</f>
        <v/>
      </c>
      <c r="D21" t="str">
        <f>IF(A21="","",IF(A21="[FÓRMULA MANUAL]","",IFERROR(AVERAGEIFS(DATOS!$K$2:$K$20000,DATOS!$A$2:$A$20000,A21,DATOS!$G$2:$G$20000,CONFIG_METADATA!$B$4,DATOS!$I$2:$I$20000,"Conjunto"),"")))</f>
        <v/>
      </c>
      <c r="E21" t="str">
        <f>IF(A21="","",IF(A21="[FÓRMULA MANUAL]","",IFERROR(SUMPRODUCT((DATOS!$A$2:$A$20000=A21)*(DATOS!$G$2:$G$20000=CONFIG_METADATA!$B$4)*(COUNTIF(CONFIG_ASIGNATURAS!$B$7:$B$27,DATOS!$I$2:$I$20000)&gt;0)*(DATOS!$K$2:$K$20000))/SUMPRODUCT((DATOS!$A$2:$A$20000=A21)*(DATOS!$G$2:$G$20000=CONFIG_METADATA!$B$4)*(COUNTIF(CONFIG_ASIGNATURAS!$B$7:$B$27,DATOS!$I$2:$I$20000)&gt;0)*1),"")))</f>
        <v/>
      </c>
      <c r="H21" t="str">
        <f>IF(G21="","",IF(G21="[FÓRMULA MANUAL]","",IFERROR(AVERAGEIFS(DATOS!$K$2:$K$20000,DATOS!$A$2:$A$20000,G21,DATOS!$G$2:$G$20000,CONFIG_METADATA!$B$4,DATOS!$I$2:$I$20000,"Lenguaje Musical"),"")))</f>
        <v/>
      </c>
      <c r="I21" t="str">
        <f>IF(G21="","",IF(G21="[FÓRMULA MANUAL]","",IFERROR(AVERAGEIFS(DATOS!$K$2:$K$20000,DATOS!$A$2:$A$20000,G21,DATOS!$G$2:$G$20000,CONFIG_METADATA!$B$4,DATOS!$I$2:$I$20000,"Orquesta/Banda/Conjunto"),"")))</f>
        <v/>
      </c>
      <c r="J21" t="str">
        <f>IF(G21="","",IF(G21="[FÓRMULA MANUAL]","",IFERROR(AVERAGEIFS(DATOS!$K$2:$K$20000,DATOS!$A$2:$A$20000,G21,DATOS!$G$2:$G$20000,CONFIG_METADATA!$B$4,DATOS!$I$2:$I$20000,"Conjunto"),"")))</f>
        <v/>
      </c>
      <c r="K21" t="str">
        <f>IF(G21="","",IF(G21="[FÓRMULA MANUAL]","",IFERROR(SUMPRODUCT((DATOS!$A$2:$A$20000=G21)*(DATOS!$G$2:$G$20000=CONFIG_METADATA!$B$4)*(COUNTIF(CONFIG_ASIGNATURAS!$B$7:$B$27,DATOS!$I$2:$I$20000)&gt;0)*(DATOS!$K$2:$K$20000))/SUMPRODUCT((DATOS!$A$2:$A$20000=G21)*(DATOS!$G$2:$G$20000=CONFIG_METADATA!$B$4)*(COUNTIF(CONFIG_ASIGNATURAS!$B$7:$B$27,DATOS!$I$2:$I$20000)&gt;0)*1),"")))</f>
        <v/>
      </c>
      <c r="N21" t="str">
        <f>IF(M21="","",IF(M21="[FÓRMULA MANUAL]","",IFERROR(AVERAGEIFS(DATOS!$K$2:$K$20000,DATOS!$A$2:$A$20000,M21,DATOS!$G$2:$G$20000,CONFIG_METADATA!$B$4,DATOS!$I$2:$I$20000,"Armonía"),"")))</f>
        <v/>
      </c>
      <c r="O21" t="str">
        <f>IF(M21="","",IF(M21="[FÓRMULA MANUAL]","",IFERROR(AVERAGEIFS(DATOS!$K$2:$K$20000,DATOS!$A$2:$A$20000,M21,DATOS!$G$2:$G$20000,CONFIG_METADATA!$B$4,DATOS!$I$2:$I$20000,"Orquesta/Banda/Conjunto"),"")))</f>
        <v/>
      </c>
      <c r="P21" t="str">
        <f>IF(M21="","",IF(M21="[FÓRMULA MANUAL]","",IFERROR(AVERAGEIFS(DATOS!$K$2:$K$20000,DATOS!$A$2:$A$20000,M21,DATOS!$G$2:$G$20000,CONFIG_METADATA!$B$4,DATOS!$I$2:$I$20000,"Música de Cámara"),"")))</f>
        <v/>
      </c>
      <c r="Q21" t="str">
        <f>IF(M21="","",IF(M21="[FÓRMULA MANUAL]","",IFERROR(SUMPRODUCT((DATOS!$A$2:$A$20000=M21)*(DATOS!$G$2:$G$20000=CONFIG_METADATA!$B$4)*(COUNTIF(CONFIG_ASIGNATURAS!$B$7:$B$27,DATOS!$I$2:$I$20000)&gt;0)*(DATOS!$K$2:$K$20000))/SUMPRODUCT((DATOS!$A$2:$A$20000=M21)*(DATOS!$G$2:$G$20000=CONFIG_METADATA!$B$4)*(COUNTIF(CONFIG_ASIGNATURAS!$B$7:$B$27,DATOS!$I$2:$I$20000)&gt;0)*1),"")))</f>
        <v/>
      </c>
      <c r="T21" t="str">
        <f>IF(S21="","",IF(S21="[FÓRMULA MANUAL]","",IFERROR(AVERAGEIFS(DATOS!$K$2:$K$20000,DATOS!$A$2:$A$20000,S21,DATOS!$G$2:$G$20000,CONFIG_METADATA!$B$4,DATOS!$I$2:$I$20000,"Armonía"),"")))</f>
        <v/>
      </c>
      <c r="U21" t="str">
        <f>IF(S21="","",IF(S21="[FÓRMULA MANUAL]","",IFERROR(AVERAGEIFS(DATOS!$K$2:$K$20000,DATOS!$A$2:$A$20000,S21,DATOS!$G$2:$G$20000,CONFIG_METADATA!$B$4,DATOS!$I$2:$I$20000,"Orquesta/Banda/Conjunto"),"")))</f>
        <v/>
      </c>
      <c r="V21" t="str">
        <f>IF(S21="","",IF(S21="[FÓRMULA MANUAL]","",IFERROR(AVERAGEIFS(DATOS!$K$2:$K$20000,DATOS!$A$2:$A$20000,S21,DATOS!$G$2:$G$20000,CONFIG_METADATA!$B$4,DATOS!$I$2:$I$20000,"Música de Cámara"),"")))</f>
        <v/>
      </c>
      <c r="W21" t="str">
        <f>IF(S21="","",IF(S21="[FÓRMULA MANUAL]","",IFERROR(SUMPRODUCT((DATOS!$A$2:$A$20000=S21)*(DATOS!$G$2:$G$20000=CONFIG_METADATA!$B$4)*(COUNTIF(CONFIG_ASIGNATURAS!$B$7:$B$27,DATOS!$I$2:$I$20000)&gt;0)*(DATOS!$K$2:$K$20000))/SUMPRODUCT((DATOS!$A$2:$A$20000=S21)*(DATOS!$G$2:$G$20000=CONFIG_METADATA!$B$4)*(COUNTIF(CONFIG_ASIGNATURAS!$B$7:$B$27,DATOS!$I$2:$I$20000)&gt;0)*1),"")))</f>
        <v/>
      </c>
      <c r="Z21" t="str">
        <f>IF(Y21="","",IF(Y21="[FÓRMULA MANUAL]","",IFERROR(AVERAGEIFS(DATOS!$K$2:$K$20000,DATOS!$A$2:$A$20000,Y21,DATOS!$G$2:$G$20000,CONFIG_METADATA!$B$4,DATOS!$I$2:$I$20000,"Análisis"),"")))</f>
        <v/>
      </c>
      <c r="AA21" t="str">
        <f>IF(Y21="","",IF(Y21="[FÓRMULA MANUAL]","",IFERROR(AVERAGEIFS(DATOS!$K$2:$K$20000,DATOS!$A$2:$A$20000,Y21,DATOS!$G$2:$G$20000,CONFIG_METADATA!$B$4,DATOS!$I$2:$I$20000,"Orquesta/Banda/Conjunto"),"")))</f>
        <v/>
      </c>
      <c r="AB21" t="str">
        <f>IF(Y21="","",IF(Y21="[FÓRMULA MANUAL]","",IFERROR(AVERAGEIFS(DATOS!$K$2:$K$20000,DATOS!$A$2:$A$20000,Y21,DATOS!$G$2:$G$20000,CONFIG_METADATA!$B$4,DATOS!$I$2:$I$20000,"Música de Cámara"),"")))</f>
        <v/>
      </c>
      <c r="AC21" t="str">
        <f>IF(Y21="","",IF(Y21="[FÓRMULA MANUAL]","",IFERROR(SUMPRODUCT((DATOS!$A$2:$A$20000=Y21)*(DATOS!$G$2:$G$20000=CONFIG_METADATA!$B$4)*(COUNTIF(CONFIG_ASIGNATURAS!$B$7:$B$27,DATOS!$I$2:$I$20000)&gt;0)*(DATOS!$K$2:$K$20000))/SUMPRODUCT((DATOS!$A$2:$A$20000=Y21)*(DATOS!$G$2:$G$20000=CONFIG_METADATA!$B$4)*(COUNTIF(CONFIG_ASIGNATURAS!$B$7:$B$27,DATOS!$I$2:$I$20000)&gt;0)*1),"")))</f>
        <v/>
      </c>
      <c r="AF21" t="str">
        <f>IF(AE21="","",IF(AE21="[FÓRMULA MANUAL]","",IFERROR(AVERAGEIFS(DATOS!$K$2:$K$20000,DATOS!$A$2:$A$20000,AE21,DATOS!$G$2:$G$20000,CONFIG_METADATA!$B$4,DATOS!$I$2:$I$20000,"Análisis"),"")))</f>
        <v/>
      </c>
      <c r="AG21" t="str">
        <f>IF(AE21="","",IF(AE21="[FÓRMULA MANUAL]","",IFERROR(AVERAGEIFS(DATOS!$K$2:$K$20000,DATOS!$A$2:$A$20000,AE21,DATOS!$G$2:$G$20000,CONFIG_METADATA!$B$4,DATOS!$I$2:$I$20000,"Orquesta/Banda/Conjunto"),"")))</f>
        <v/>
      </c>
      <c r="AH21" t="str">
        <f>IF(AE21="","",IF(AE21="[FÓRMULA MANUAL]","",IFERROR(AVERAGEIFS(DATOS!$K$2:$K$20000,DATOS!$A$2:$A$20000,AE21,DATOS!$G$2:$G$20000,CONFIG_METADATA!$B$4,DATOS!$I$2:$I$20000,"Música de Cámara"),"")))</f>
        <v/>
      </c>
      <c r="AI21" t="str">
        <f>IF(AE21="","",IF(AE21="[FÓRMULA MANUAL]","",IFERROR(SUMPRODUCT((DATOS!$A$2:$A$20000=AE21)*(DATOS!$G$2:$G$20000=CONFIG_METADATA!$B$4)*(COUNTIF(CONFIG_ASIGNATURAS!$B$7:$B$27,DATOS!$I$2:$I$20000)&gt;0)*(DATOS!$K$2:$K$20000))/SUMPRODUCT((DATOS!$A$2:$A$20000=AE21)*(DATOS!$G$2:$G$20000=CONFIG_METADATA!$B$4)*(COUNTIF(CONFIG_ASIGNATURAS!$B$7:$B$27,DATOS!$I$2:$I$20000)&gt;0)*1),"")))</f>
        <v/>
      </c>
    </row>
    <row r="22" spans="2:35" x14ac:dyDescent="0.2">
      <c r="B22" t="str">
        <f>IF(A22="","",IF(A22="[FÓRMULA MANUAL]","",IFERROR(AVERAGEIFS(DATOS!$K$2:$K$20000,DATOS!$A$2:$A$20000,A22,DATOS!$G$2:$G$20000,CONFIG_METADATA!$B$4,DATOS!$I$2:$I$20000,"Lenguaje Musical"),"")))</f>
        <v/>
      </c>
      <c r="C22" t="str">
        <f>IF(A22="","",IF(A22="[FÓRMULA MANUAL]","",IFERROR(AVERAGEIFS(DATOS!$K$2:$K$20000,DATOS!$A$2:$A$20000,A22,DATOS!$G$2:$G$20000,CONFIG_METADATA!$B$4,DATOS!$I$2:$I$20000,"Orquesta/Banda/Conjunto"),"")))</f>
        <v/>
      </c>
      <c r="D22" t="str">
        <f>IF(A22="","",IF(A22="[FÓRMULA MANUAL]","",IFERROR(AVERAGEIFS(DATOS!$K$2:$K$20000,DATOS!$A$2:$A$20000,A22,DATOS!$G$2:$G$20000,CONFIG_METADATA!$B$4,DATOS!$I$2:$I$20000,"Conjunto"),"")))</f>
        <v/>
      </c>
      <c r="E22" t="str">
        <f>IF(A22="","",IF(A22="[FÓRMULA MANUAL]","",IFERROR(SUMPRODUCT((DATOS!$A$2:$A$20000=A22)*(DATOS!$G$2:$G$20000=CONFIG_METADATA!$B$4)*(COUNTIF(CONFIG_ASIGNATURAS!$B$7:$B$27,DATOS!$I$2:$I$20000)&gt;0)*(DATOS!$K$2:$K$20000))/SUMPRODUCT((DATOS!$A$2:$A$20000=A22)*(DATOS!$G$2:$G$20000=CONFIG_METADATA!$B$4)*(COUNTIF(CONFIG_ASIGNATURAS!$B$7:$B$27,DATOS!$I$2:$I$20000)&gt;0)*1),"")))</f>
        <v/>
      </c>
      <c r="H22" t="str">
        <f>IF(G22="","",IF(G22="[FÓRMULA MANUAL]","",IFERROR(AVERAGEIFS(DATOS!$K$2:$K$20000,DATOS!$A$2:$A$20000,G22,DATOS!$G$2:$G$20000,CONFIG_METADATA!$B$4,DATOS!$I$2:$I$20000,"Lenguaje Musical"),"")))</f>
        <v/>
      </c>
      <c r="I22" t="str">
        <f>IF(G22="","",IF(G22="[FÓRMULA MANUAL]","",IFERROR(AVERAGEIFS(DATOS!$K$2:$K$20000,DATOS!$A$2:$A$20000,G22,DATOS!$G$2:$G$20000,CONFIG_METADATA!$B$4,DATOS!$I$2:$I$20000,"Orquesta/Banda/Conjunto"),"")))</f>
        <v/>
      </c>
      <c r="J22" t="str">
        <f>IF(G22="","",IF(G22="[FÓRMULA MANUAL]","",IFERROR(AVERAGEIFS(DATOS!$K$2:$K$20000,DATOS!$A$2:$A$20000,G22,DATOS!$G$2:$G$20000,CONFIG_METADATA!$B$4,DATOS!$I$2:$I$20000,"Conjunto"),"")))</f>
        <v/>
      </c>
      <c r="K22" t="str">
        <f>IF(G22="","",IF(G22="[FÓRMULA MANUAL]","",IFERROR(SUMPRODUCT((DATOS!$A$2:$A$20000=G22)*(DATOS!$G$2:$G$20000=CONFIG_METADATA!$B$4)*(COUNTIF(CONFIG_ASIGNATURAS!$B$7:$B$27,DATOS!$I$2:$I$20000)&gt;0)*(DATOS!$K$2:$K$20000))/SUMPRODUCT((DATOS!$A$2:$A$20000=G22)*(DATOS!$G$2:$G$20000=CONFIG_METADATA!$B$4)*(COUNTIF(CONFIG_ASIGNATURAS!$B$7:$B$27,DATOS!$I$2:$I$20000)&gt;0)*1),"")))</f>
        <v/>
      </c>
      <c r="N22" t="str">
        <f>IF(M22="","",IF(M22="[FÓRMULA MANUAL]","",IFERROR(AVERAGEIFS(DATOS!$K$2:$K$20000,DATOS!$A$2:$A$20000,M22,DATOS!$G$2:$G$20000,CONFIG_METADATA!$B$4,DATOS!$I$2:$I$20000,"Armonía"),"")))</f>
        <v/>
      </c>
      <c r="O22" t="str">
        <f>IF(M22="","",IF(M22="[FÓRMULA MANUAL]","",IFERROR(AVERAGEIFS(DATOS!$K$2:$K$20000,DATOS!$A$2:$A$20000,M22,DATOS!$G$2:$G$20000,CONFIG_METADATA!$B$4,DATOS!$I$2:$I$20000,"Orquesta/Banda/Conjunto"),"")))</f>
        <v/>
      </c>
      <c r="P22" t="str">
        <f>IF(M22="","",IF(M22="[FÓRMULA MANUAL]","",IFERROR(AVERAGEIFS(DATOS!$K$2:$K$20000,DATOS!$A$2:$A$20000,M22,DATOS!$G$2:$G$20000,CONFIG_METADATA!$B$4,DATOS!$I$2:$I$20000,"Música de Cámara"),"")))</f>
        <v/>
      </c>
      <c r="Q22" t="str">
        <f>IF(M22="","",IF(M22="[FÓRMULA MANUAL]","",IFERROR(SUMPRODUCT((DATOS!$A$2:$A$20000=M22)*(DATOS!$G$2:$G$20000=CONFIG_METADATA!$B$4)*(COUNTIF(CONFIG_ASIGNATURAS!$B$7:$B$27,DATOS!$I$2:$I$20000)&gt;0)*(DATOS!$K$2:$K$20000))/SUMPRODUCT((DATOS!$A$2:$A$20000=M22)*(DATOS!$G$2:$G$20000=CONFIG_METADATA!$B$4)*(COUNTIF(CONFIG_ASIGNATURAS!$B$7:$B$27,DATOS!$I$2:$I$20000)&gt;0)*1),"")))</f>
        <v/>
      </c>
      <c r="T22" t="str">
        <f>IF(S22="","",IF(S22="[FÓRMULA MANUAL]","",IFERROR(AVERAGEIFS(DATOS!$K$2:$K$20000,DATOS!$A$2:$A$20000,S22,DATOS!$G$2:$G$20000,CONFIG_METADATA!$B$4,DATOS!$I$2:$I$20000,"Armonía"),"")))</f>
        <v/>
      </c>
      <c r="U22" t="str">
        <f>IF(S22="","",IF(S22="[FÓRMULA MANUAL]","",IFERROR(AVERAGEIFS(DATOS!$K$2:$K$20000,DATOS!$A$2:$A$20000,S22,DATOS!$G$2:$G$20000,CONFIG_METADATA!$B$4,DATOS!$I$2:$I$20000,"Orquesta/Banda/Conjunto"),"")))</f>
        <v/>
      </c>
      <c r="V22" t="str">
        <f>IF(S22="","",IF(S22="[FÓRMULA MANUAL]","",IFERROR(AVERAGEIFS(DATOS!$K$2:$K$20000,DATOS!$A$2:$A$20000,S22,DATOS!$G$2:$G$20000,CONFIG_METADATA!$B$4,DATOS!$I$2:$I$20000,"Música de Cámara"),"")))</f>
        <v/>
      </c>
      <c r="W22" t="str">
        <f>IF(S22="","",IF(S22="[FÓRMULA MANUAL]","",IFERROR(SUMPRODUCT((DATOS!$A$2:$A$20000=S22)*(DATOS!$G$2:$G$20000=CONFIG_METADATA!$B$4)*(COUNTIF(CONFIG_ASIGNATURAS!$B$7:$B$27,DATOS!$I$2:$I$20000)&gt;0)*(DATOS!$K$2:$K$20000))/SUMPRODUCT((DATOS!$A$2:$A$20000=S22)*(DATOS!$G$2:$G$20000=CONFIG_METADATA!$B$4)*(COUNTIF(CONFIG_ASIGNATURAS!$B$7:$B$27,DATOS!$I$2:$I$20000)&gt;0)*1),"")))</f>
        <v/>
      </c>
      <c r="Z22" t="str">
        <f>IF(Y22="","",IF(Y22="[FÓRMULA MANUAL]","",IFERROR(AVERAGEIFS(DATOS!$K$2:$K$20000,DATOS!$A$2:$A$20000,Y22,DATOS!$G$2:$G$20000,CONFIG_METADATA!$B$4,DATOS!$I$2:$I$20000,"Análisis"),"")))</f>
        <v/>
      </c>
      <c r="AA22" t="str">
        <f>IF(Y22="","",IF(Y22="[FÓRMULA MANUAL]","",IFERROR(AVERAGEIFS(DATOS!$K$2:$K$20000,DATOS!$A$2:$A$20000,Y22,DATOS!$G$2:$G$20000,CONFIG_METADATA!$B$4,DATOS!$I$2:$I$20000,"Orquesta/Banda/Conjunto"),"")))</f>
        <v/>
      </c>
      <c r="AB22" t="str">
        <f>IF(Y22="","",IF(Y22="[FÓRMULA MANUAL]","",IFERROR(AVERAGEIFS(DATOS!$K$2:$K$20000,DATOS!$A$2:$A$20000,Y22,DATOS!$G$2:$G$20000,CONFIG_METADATA!$B$4,DATOS!$I$2:$I$20000,"Música de Cámara"),"")))</f>
        <v/>
      </c>
      <c r="AC22" t="str">
        <f>IF(Y22="","",IF(Y22="[FÓRMULA MANUAL]","",IFERROR(SUMPRODUCT((DATOS!$A$2:$A$20000=Y22)*(DATOS!$G$2:$G$20000=CONFIG_METADATA!$B$4)*(COUNTIF(CONFIG_ASIGNATURAS!$B$7:$B$27,DATOS!$I$2:$I$20000)&gt;0)*(DATOS!$K$2:$K$20000))/SUMPRODUCT((DATOS!$A$2:$A$20000=Y22)*(DATOS!$G$2:$G$20000=CONFIG_METADATA!$B$4)*(COUNTIF(CONFIG_ASIGNATURAS!$B$7:$B$27,DATOS!$I$2:$I$20000)&gt;0)*1),"")))</f>
        <v/>
      </c>
      <c r="AF22" t="str">
        <f>IF(AE22="","",IF(AE22="[FÓRMULA MANUAL]","",IFERROR(AVERAGEIFS(DATOS!$K$2:$K$20000,DATOS!$A$2:$A$20000,AE22,DATOS!$G$2:$G$20000,CONFIG_METADATA!$B$4,DATOS!$I$2:$I$20000,"Análisis"),"")))</f>
        <v/>
      </c>
      <c r="AG22" t="str">
        <f>IF(AE22="","",IF(AE22="[FÓRMULA MANUAL]","",IFERROR(AVERAGEIFS(DATOS!$K$2:$K$20000,DATOS!$A$2:$A$20000,AE22,DATOS!$G$2:$G$20000,CONFIG_METADATA!$B$4,DATOS!$I$2:$I$20000,"Orquesta/Banda/Conjunto"),"")))</f>
        <v/>
      </c>
      <c r="AH22" t="str">
        <f>IF(AE22="","",IF(AE22="[FÓRMULA MANUAL]","",IFERROR(AVERAGEIFS(DATOS!$K$2:$K$20000,DATOS!$A$2:$A$20000,AE22,DATOS!$G$2:$G$20000,CONFIG_METADATA!$B$4,DATOS!$I$2:$I$20000,"Música de Cámara"),"")))</f>
        <v/>
      </c>
      <c r="AI22" t="str">
        <f>IF(AE22="","",IF(AE22="[FÓRMULA MANUAL]","",IFERROR(SUMPRODUCT((DATOS!$A$2:$A$20000=AE22)*(DATOS!$G$2:$G$20000=CONFIG_METADATA!$B$4)*(COUNTIF(CONFIG_ASIGNATURAS!$B$7:$B$27,DATOS!$I$2:$I$20000)&gt;0)*(DATOS!$K$2:$K$20000))/SUMPRODUCT((DATOS!$A$2:$A$20000=AE22)*(DATOS!$G$2:$G$20000=CONFIG_METADATA!$B$4)*(COUNTIF(CONFIG_ASIGNATURAS!$B$7:$B$27,DATOS!$I$2:$I$20000)&gt;0)*1),"")))</f>
        <v/>
      </c>
    </row>
    <row r="23" spans="2:35" x14ac:dyDescent="0.2">
      <c r="B23" t="str">
        <f>IF(A23="","",IF(A23="[FÓRMULA MANUAL]","",IFERROR(AVERAGEIFS(DATOS!$K$2:$K$20000,DATOS!$A$2:$A$20000,A23,DATOS!$G$2:$G$20000,CONFIG_METADATA!$B$4,DATOS!$I$2:$I$20000,"Lenguaje Musical"),"")))</f>
        <v/>
      </c>
      <c r="C23" t="str">
        <f>IF(A23="","",IF(A23="[FÓRMULA MANUAL]","",IFERROR(AVERAGEIFS(DATOS!$K$2:$K$20000,DATOS!$A$2:$A$20000,A23,DATOS!$G$2:$G$20000,CONFIG_METADATA!$B$4,DATOS!$I$2:$I$20000,"Orquesta/Banda/Conjunto"),"")))</f>
        <v/>
      </c>
      <c r="D23" t="str">
        <f>IF(A23="","",IF(A23="[FÓRMULA MANUAL]","",IFERROR(AVERAGEIFS(DATOS!$K$2:$K$20000,DATOS!$A$2:$A$20000,A23,DATOS!$G$2:$G$20000,CONFIG_METADATA!$B$4,DATOS!$I$2:$I$20000,"Conjunto"),"")))</f>
        <v/>
      </c>
      <c r="E23" t="str">
        <f>IF(A23="","",IF(A23="[FÓRMULA MANUAL]","",IFERROR(SUMPRODUCT((DATOS!$A$2:$A$20000=A23)*(DATOS!$G$2:$G$20000=CONFIG_METADATA!$B$4)*(COUNTIF(CONFIG_ASIGNATURAS!$B$7:$B$27,DATOS!$I$2:$I$20000)&gt;0)*(DATOS!$K$2:$K$20000))/SUMPRODUCT((DATOS!$A$2:$A$20000=A23)*(DATOS!$G$2:$G$20000=CONFIG_METADATA!$B$4)*(COUNTIF(CONFIG_ASIGNATURAS!$B$7:$B$27,DATOS!$I$2:$I$20000)&gt;0)*1),"")))</f>
        <v/>
      </c>
      <c r="H23" t="str">
        <f>IF(G23="","",IF(G23="[FÓRMULA MANUAL]","",IFERROR(AVERAGEIFS(DATOS!$K$2:$K$20000,DATOS!$A$2:$A$20000,G23,DATOS!$G$2:$G$20000,CONFIG_METADATA!$B$4,DATOS!$I$2:$I$20000,"Lenguaje Musical"),"")))</f>
        <v/>
      </c>
      <c r="I23" t="str">
        <f>IF(G23="","",IF(G23="[FÓRMULA MANUAL]","",IFERROR(AVERAGEIFS(DATOS!$K$2:$K$20000,DATOS!$A$2:$A$20000,G23,DATOS!$G$2:$G$20000,CONFIG_METADATA!$B$4,DATOS!$I$2:$I$20000,"Orquesta/Banda/Conjunto"),"")))</f>
        <v/>
      </c>
      <c r="J23" t="str">
        <f>IF(G23="","",IF(G23="[FÓRMULA MANUAL]","",IFERROR(AVERAGEIFS(DATOS!$K$2:$K$20000,DATOS!$A$2:$A$20000,G23,DATOS!$G$2:$G$20000,CONFIG_METADATA!$B$4,DATOS!$I$2:$I$20000,"Conjunto"),"")))</f>
        <v/>
      </c>
      <c r="K23" t="str">
        <f>IF(G23="","",IF(G23="[FÓRMULA MANUAL]","",IFERROR(SUMPRODUCT((DATOS!$A$2:$A$20000=G23)*(DATOS!$G$2:$G$20000=CONFIG_METADATA!$B$4)*(COUNTIF(CONFIG_ASIGNATURAS!$B$7:$B$27,DATOS!$I$2:$I$20000)&gt;0)*(DATOS!$K$2:$K$20000))/SUMPRODUCT((DATOS!$A$2:$A$20000=G23)*(DATOS!$G$2:$G$20000=CONFIG_METADATA!$B$4)*(COUNTIF(CONFIG_ASIGNATURAS!$B$7:$B$27,DATOS!$I$2:$I$20000)&gt;0)*1),"")))</f>
        <v/>
      </c>
      <c r="N23" t="str">
        <f>IF(M23="","",IF(M23="[FÓRMULA MANUAL]","",IFERROR(AVERAGEIFS(DATOS!$K$2:$K$20000,DATOS!$A$2:$A$20000,M23,DATOS!$G$2:$G$20000,CONFIG_METADATA!$B$4,DATOS!$I$2:$I$20000,"Armonía"),"")))</f>
        <v/>
      </c>
      <c r="O23" t="str">
        <f>IF(M23="","",IF(M23="[FÓRMULA MANUAL]","",IFERROR(AVERAGEIFS(DATOS!$K$2:$K$20000,DATOS!$A$2:$A$20000,M23,DATOS!$G$2:$G$20000,CONFIG_METADATA!$B$4,DATOS!$I$2:$I$20000,"Orquesta/Banda/Conjunto"),"")))</f>
        <v/>
      </c>
      <c r="P23" t="str">
        <f>IF(M23="","",IF(M23="[FÓRMULA MANUAL]","",IFERROR(AVERAGEIFS(DATOS!$K$2:$K$20000,DATOS!$A$2:$A$20000,M23,DATOS!$G$2:$G$20000,CONFIG_METADATA!$B$4,DATOS!$I$2:$I$20000,"Música de Cámara"),"")))</f>
        <v/>
      </c>
      <c r="Q23" t="str">
        <f>IF(M23="","",IF(M23="[FÓRMULA MANUAL]","",IFERROR(SUMPRODUCT((DATOS!$A$2:$A$20000=M23)*(DATOS!$G$2:$G$20000=CONFIG_METADATA!$B$4)*(COUNTIF(CONFIG_ASIGNATURAS!$B$7:$B$27,DATOS!$I$2:$I$20000)&gt;0)*(DATOS!$K$2:$K$20000))/SUMPRODUCT((DATOS!$A$2:$A$20000=M23)*(DATOS!$G$2:$G$20000=CONFIG_METADATA!$B$4)*(COUNTIF(CONFIG_ASIGNATURAS!$B$7:$B$27,DATOS!$I$2:$I$20000)&gt;0)*1),"")))</f>
        <v/>
      </c>
      <c r="T23" t="str">
        <f>IF(S23="","",IF(S23="[FÓRMULA MANUAL]","",IFERROR(AVERAGEIFS(DATOS!$K$2:$K$20000,DATOS!$A$2:$A$20000,S23,DATOS!$G$2:$G$20000,CONFIG_METADATA!$B$4,DATOS!$I$2:$I$20000,"Armonía"),"")))</f>
        <v/>
      </c>
      <c r="U23" t="str">
        <f>IF(S23="","",IF(S23="[FÓRMULA MANUAL]","",IFERROR(AVERAGEIFS(DATOS!$K$2:$K$20000,DATOS!$A$2:$A$20000,S23,DATOS!$G$2:$G$20000,CONFIG_METADATA!$B$4,DATOS!$I$2:$I$20000,"Orquesta/Banda/Conjunto"),"")))</f>
        <v/>
      </c>
      <c r="V23" t="str">
        <f>IF(S23="","",IF(S23="[FÓRMULA MANUAL]","",IFERROR(AVERAGEIFS(DATOS!$K$2:$K$20000,DATOS!$A$2:$A$20000,S23,DATOS!$G$2:$G$20000,CONFIG_METADATA!$B$4,DATOS!$I$2:$I$20000,"Música de Cámara"),"")))</f>
        <v/>
      </c>
      <c r="W23" t="str">
        <f>IF(S23="","",IF(S23="[FÓRMULA MANUAL]","",IFERROR(SUMPRODUCT((DATOS!$A$2:$A$20000=S23)*(DATOS!$G$2:$G$20000=CONFIG_METADATA!$B$4)*(COUNTIF(CONFIG_ASIGNATURAS!$B$7:$B$27,DATOS!$I$2:$I$20000)&gt;0)*(DATOS!$K$2:$K$20000))/SUMPRODUCT((DATOS!$A$2:$A$20000=S23)*(DATOS!$G$2:$G$20000=CONFIG_METADATA!$B$4)*(COUNTIF(CONFIG_ASIGNATURAS!$B$7:$B$27,DATOS!$I$2:$I$20000)&gt;0)*1),"")))</f>
        <v/>
      </c>
      <c r="Z23" t="str">
        <f>IF(Y23="","",IF(Y23="[FÓRMULA MANUAL]","",IFERROR(AVERAGEIFS(DATOS!$K$2:$K$20000,DATOS!$A$2:$A$20000,Y23,DATOS!$G$2:$G$20000,CONFIG_METADATA!$B$4,DATOS!$I$2:$I$20000,"Análisis"),"")))</f>
        <v/>
      </c>
      <c r="AA23" t="str">
        <f>IF(Y23="","",IF(Y23="[FÓRMULA MANUAL]","",IFERROR(AVERAGEIFS(DATOS!$K$2:$K$20000,DATOS!$A$2:$A$20000,Y23,DATOS!$G$2:$G$20000,CONFIG_METADATA!$B$4,DATOS!$I$2:$I$20000,"Orquesta/Banda/Conjunto"),"")))</f>
        <v/>
      </c>
      <c r="AB23" t="str">
        <f>IF(Y23="","",IF(Y23="[FÓRMULA MANUAL]","",IFERROR(AVERAGEIFS(DATOS!$K$2:$K$20000,DATOS!$A$2:$A$20000,Y23,DATOS!$G$2:$G$20000,CONFIG_METADATA!$B$4,DATOS!$I$2:$I$20000,"Música de Cámara"),"")))</f>
        <v/>
      </c>
      <c r="AC23" t="str">
        <f>IF(Y23="","",IF(Y23="[FÓRMULA MANUAL]","",IFERROR(SUMPRODUCT((DATOS!$A$2:$A$20000=Y23)*(DATOS!$G$2:$G$20000=CONFIG_METADATA!$B$4)*(COUNTIF(CONFIG_ASIGNATURAS!$B$7:$B$27,DATOS!$I$2:$I$20000)&gt;0)*(DATOS!$K$2:$K$20000))/SUMPRODUCT((DATOS!$A$2:$A$20000=Y23)*(DATOS!$G$2:$G$20000=CONFIG_METADATA!$B$4)*(COUNTIF(CONFIG_ASIGNATURAS!$B$7:$B$27,DATOS!$I$2:$I$20000)&gt;0)*1),"")))</f>
        <v/>
      </c>
      <c r="AF23" t="str">
        <f>IF(AE23="","",IF(AE23="[FÓRMULA MANUAL]","",IFERROR(AVERAGEIFS(DATOS!$K$2:$K$20000,DATOS!$A$2:$A$20000,AE23,DATOS!$G$2:$G$20000,CONFIG_METADATA!$B$4,DATOS!$I$2:$I$20000,"Análisis"),"")))</f>
        <v/>
      </c>
      <c r="AG23" t="str">
        <f>IF(AE23="","",IF(AE23="[FÓRMULA MANUAL]","",IFERROR(AVERAGEIFS(DATOS!$K$2:$K$20000,DATOS!$A$2:$A$20000,AE23,DATOS!$G$2:$G$20000,CONFIG_METADATA!$B$4,DATOS!$I$2:$I$20000,"Orquesta/Banda/Conjunto"),"")))</f>
        <v/>
      </c>
      <c r="AH23" t="str">
        <f>IF(AE23="","",IF(AE23="[FÓRMULA MANUAL]","",IFERROR(AVERAGEIFS(DATOS!$K$2:$K$20000,DATOS!$A$2:$A$20000,AE23,DATOS!$G$2:$G$20000,CONFIG_METADATA!$B$4,DATOS!$I$2:$I$20000,"Música de Cámara"),"")))</f>
        <v/>
      </c>
      <c r="AI23" t="str">
        <f>IF(AE23="","",IF(AE23="[FÓRMULA MANUAL]","",IFERROR(SUMPRODUCT((DATOS!$A$2:$A$20000=AE23)*(DATOS!$G$2:$G$20000=CONFIG_METADATA!$B$4)*(COUNTIF(CONFIG_ASIGNATURAS!$B$7:$B$27,DATOS!$I$2:$I$20000)&gt;0)*(DATOS!$K$2:$K$20000))/SUMPRODUCT((DATOS!$A$2:$A$20000=AE23)*(DATOS!$G$2:$G$20000=CONFIG_METADATA!$B$4)*(COUNTIF(CONFIG_ASIGNATURAS!$B$7:$B$27,DATOS!$I$2:$I$20000)&gt;0)*1),"")))</f>
        <v/>
      </c>
    </row>
    <row r="24" spans="2:35" x14ac:dyDescent="0.2">
      <c r="B24" t="str">
        <f>IF(A24="","",IF(A24="[FÓRMULA MANUAL]","",IFERROR(AVERAGEIFS(DATOS!$K$2:$K$20000,DATOS!$A$2:$A$20000,A24,DATOS!$G$2:$G$20000,CONFIG_METADATA!$B$4,DATOS!$I$2:$I$20000,"Lenguaje Musical"),"")))</f>
        <v/>
      </c>
      <c r="C24" t="str">
        <f>IF(A24="","",IF(A24="[FÓRMULA MANUAL]","",IFERROR(AVERAGEIFS(DATOS!$K$2:$K$20000,DATOS!$A$2:$A$20000,A24,DATOS!$G$2:$G$20000,CONFIG_METADATA!$B$4,DATOS!$I$2:$I$20000,"Orquesta/Banda/Conjunto"),"")))</f>
        <v/>
      </c>
      <c r="D24" t="str">
        <f>IF(A24="","",IF(A24="[FÓRMULA MANUAL]","",IFERROR(AVERAGEIFS(DATOS!$K$2:$K$20000,DATOS!$A$2:$A$20000,A24,DATOS!$G$2:$G$20000,CONFIG_METADATA!$B$4,DATOS!$I$2:$I$20000,"Conjunto"),"")))</f>
        <v/>
      </c>
      <c r="E24" t="str">
        <f>IF(A24="","",IF(A24="[FÓRMULA MANUAL]","",IFERROR(SUMPRODUCT((DATOS!$A$2:$A$20000=A24)*(DATOS!$G$2:$G$20000=CONFIG_METADATA!$B$4)*(COUNTIF(CONFIG_ASIGNATURAS!$B$7:$B$27,DATOS!$I$2:$I$20000)&gt;0)*(DATOS!$K$2:$K$20000))/SUMPRODUCT((DATOS!$A$2:$A$20000=A24)*(DATOS!$G$2:$G$20000=CONFIG_METADATA!$B$4)*(COUNTIF(CONFIG_ASIGNATURAS!$B$7:$B$27,DATOS!$I$2:$I$20000)&gt;0)*1),"")))</f>
        <v/>
      </c>
      <c r="H24" t="str">
        <f>IF(G24="","",IF(G24="[FÓRMULA MANUAL]","",IFERROR(AVERAGEIFS(DATOS!$K$2:$K$20000,DATOS!$A$2:$A$20000,G24,DATOS!$G$2:$G$20000,CONFIG_METADATA!$B$4,DATOS!$I$2:$I$20000,"Lenguaje Musical"),"")))</f>
        <v/>
      </c>
      <c r="I24" t="str">
        <f>IF(G24="","",IF(G24="[FÓRMULA MANUAL]","",IFERROR(AVERAGEIFS(DATOS!$K$2:$K$20000,DATOS!$A$2:$A$20000,G24,DATOS!$G$2:$G$20000,CONFIG_METADATA!$B$4,DATOS!$I$2:$I$20000,"Orquesta/Banda/Conjunto"),"")))</f>
        <v/>
      </c>
      <c r="J24" t="str">
        <f>IF(G24="","",IF(G24="[FÓRMULA MANUAL]","",IFERROR(AVERAGEIFS(DATOS!$K$2:$K$20000,DATOS!$A$2:$A$20000,G24,DATOS!$G$2:$G$20000,CONFIG_METADATA!$B$4,DATOS!$I$2:$I$20000,"Conjunto"),"")))</f>
        <v/>
      </c>
      <c r="K24" t="str">
        <f>IF(G24="","",IF(G24="[FÓRMULA MANUAL]","",IFERROR(SUMPRODUCT((DATOS!$A$2:$A$20000=G24)*(DATOS!$G$2:$G$20000=CONFIG_METADATA!$B$4)*(COUNTIF(CONFIG_ASIGNATURAS!$B$7:$B$27,DATOS!$I$2:$I$20000)&gt;0)*(DATOS!$K$2:$K$20000))/SUMPRODUCT((DATOS!$A$2:$A$20000=G24)*(DATOS!$G$2:$G$20000=CONFIG_METADATA!$B$4)*(COUNTIF(CONFIG_ASIGNATURAS!$B$7:$B$27,DATOS!$I$2:$I$20000)&gt;0)*1),"")))</f>
        <v/>
      </c>
      <c r="N24" t="str">
        <f>IF(M24="","",IF(M24="[FÓRMULA MANUAL]","",IFERROR(AVERAGEIFS(DATOS!$K$2:$K$20000,DATOS!$A$2:$A$20000,M24,DATOS!$G$2:$G$20000,CONFIG_METADATA!$B$4,DATOS!$I$2:$I$20000,"Armonía"),"")))</f>
        <v/>
      </c>
      <c r="O24" t="str">
        <f>IF(M24="","",IF(M24="[FÓRMULA MANUAL]","",IFERROR(AVERAGEIFS(DATOS!$K$2:$K$20000,DATOS!$A$2:$A$20000,M24,DATOS!$G$2:$G$20000,CONFIG_METADATA!$B$4,DATOS!$I$2:$I$20000,"Orquesta/Banda/Conjunto"),"")))</f>
        <v/>
      </c>
      <c r="P24" t="str">
        <f>IF(M24="","",IF(M24="[FÓRMULA MANUAL]","",IFERROR(AVERAGEIFS(DATOS!$K$2:$K$20000,DATOS!$A$2:$A$20000,M24,DATOS!$G$2:$G$20000,CONFIG_METADATA!$B$4,DATOS!$I$2:$I$20000,"Música de Cámara"),"")))</f>
        <v/>
      </c>
      <c r="Q24" t="str">
        <f>IF(M24="","",IF(M24="[FÓRMULA MANUAL]","",IFERROR(SUMPRODUCT((DATOS!$A$2:$A$20000=M24)*(DATOS!$G$2:$G$20000=CONFIG_METADATA!$B$4)*(COUNTIF(CONFIG_ASIGNATURAS!$B$7:$B$27,DATOS!$I$2:$I$20000)&gt;0)*(DATOS!$K$2:$K$20000))/SUMPRODUCT((DATOS!$A$2:$A$20000=M24)*(DATOS!$G$2:$G$20000=CONFIG_METADATA!$B$4)*(COUNTIF(CONFIG_ASIGNATURAS!$B$7:$B$27,DATOS!$I$2:$I$20000)&gt;0)*1),"")))</f>
        <v/>
      </c>
      <c r="T24" t="str">
        <f>IF(S24="","",IF(S24="[FÓRMULA MANUAL]","",IFERROR(AVERAGEIFS(DATOS!$K$2:$K$20000,DATOS!$A$2:$A$20000,S24,DATOS!$G$2:$G$20000,CONFIG_METADATA!$B$4,DATOS!$I$2:$I$20000,"Armonía"),"")))</f>
        <v/>
      </c>
      <c r="U24" t="str">
        <f>IF(S24="","",IF(S24="[FÓRMULA MANUAL]","",IFERROR(AVERAGEIFS(DATOS!$K$2:$K$20000,DATOS!$A$2:$A$20000,S24,DATOS!$G$2:$G$20000,CONFIG_METADATA!$B$4,DATOS!$I$2:$I$20000,"Orquesta/Banda/Conjunto"),"")))</f>
        <v/>
      </c>
      <c r="V24" t="str">
        <f>IF(S24="","",IF(S24="[FÓRMULA MANUAL]","",IFERROR(AVERAGEIFS(DATOS!$K$2:$K$20000,DATOS!$A$2:$A$20000,S24,DATOS!$G$2:$G$20000,CONFIG_METADATA!$B$4,DATOS!$I$2:$I$20000,"Música de Cámara"),"")))</f>
        <v/>
      </c>
      <c r="W24" t="str">
        <f>IF(S24="","",IF(S24="[FÓRMULA MANUAL]","",IFERROR(SUMPRODUCT((DATOS!$A$2:$A$20000=S24)*(DATOS!$G$2:$G$20000=CONFIG_METADATA!$B$4)*(COUNTIF(CONFIG_ASIGNATURAS!$B$7:$B$27,DATOS!$I$2:$I$20000)&gt;0)*(DATOS!$K$2:$K$20000))/SUMPRODUCT((DATOS!$A$2:$A$20000=S24)*(DATOS!$G$2:$G$20000=CONFIG_METADATA!$B$4)*(COUNTIF(CONFIG_ASIGNATURAS!$B$7:$B$27,DATOS!$I$2:$I$20000)&gt;0)*1),"")))</f>
        <v/>
      </c>
      <c r="Z24" t="str">
        <f>IF(Y24="","",IF(Y24="[FÓRMULA MANUAL]","",IFERROR(AVERAGEIFS(DATOS!$K$2:$K$20000,DATOS!$A$2:$A$20000,Y24,DATOS!$G$2:$G$20000,CONFIG_METADATA!$B$4,DATOS!$I$2:$I$20000,"Análisis"),"")))</f>
        <v/>
      </c>
      <c r="AA24" t="str">
        <f>IF(Y24="","",IF(Y24="[FÓRMULA MANUAL]","",IFERROR(AVERAGEIFS(DATOS!$K$2:$K$20000,DATOS!$A$2:$A$20000,Y24,DATOS!$G$2:$G$20000,CONFIG_METADATA!$B$4,DATOS!$I$2:$I$20000,"Orquesta/Banda/Conjunto"),"")))</f>
        <v/>
      </c>
      <c r="AB24" t="str">
        <f>IF(Y24="","",IF(Y24="[FÓRMULA MANUAL]","",IFERROR(AVERAGEIFS(DATOS!$K$2:$K$20000,DATOS!$A$2:$A$20000,Y24,DATOS!$G$2:$G$20000,CONFIG_METADATA!$B$4,DATOS!$I$2:$I$20000,"Música de Cámara"),"")))</f>
        <v/>
      </c>
      <c r="AC24" t="str">
        <f>IF(Y24="","",IF(Y24="[FÓRMULA MANUAL]","",IFERROR(SUMPRODUCT((DATOS!$A$2:$A$20000=Y24)*(DATOS!$G$2:$G$20000=CONFIG_METADATA!$B$4)*(COUNTIF(CONFIG_ASIGNATURAS!$B$7:$B$27,DATOS!$I$2:$I$20000)&gt;0)*(DATOS!$K$2:$K$20000))/SUMPRODUCT((DATOS!$A$2:$A$20000=Y24)*(DATOS!$G$2:$G$20000=CONFIG_METADATA!$B$4)*(COUNTIF(CONFIG_ASIGNATURAS!$B$7:$B$27,DATOS!$I$2:$I$20000)&gt;0)*1),"")))</f>
        <v/>
      </c>
      <c r="AF24" t="str">
        <f>IF(AE24="","",IF(AE24="[FÓRMULA MANUAL]","",IFERROR(AVERAGEIFS(DATOS!$K$2:$K$20000,DATOS!$A$2:$A$20000,AE24,DATOS!$G$2:$G$20000,CONFIG_METADATA!$B$4,DATOS!$I$2:$I$20000,"Análisis"),"")))</f>
        <v/>
      </c>
      <c r="AG24" t="str">
        <f>IF(AE24="","",IF(AE24="[FÓRMULA MANUAL]","",IFERROR(AVERAGEIFS(DATOS!$K$2:$K$20000,DATOS!$A$2:$A$20000,AE24,DATOS!$G$2:$G$20000,CONFIG_METADATA!$B$4,DATOS!$I$2:$I$20000,"Orquesta/Banda/Conjunto"),"")))</f>
        <v/>
      </c>
      <c r="AH24" t="str">
        <f>IF(AE24="","",IF(AE24="[FÓRMULA MANUAL]","",IFERROR(AVERAGEIFS(DATOS!$K$2:$K$20000,DATOS!$A$2:$A$20000,AE24,DATOS!$G$2:$G$20000,CONFIG_METADATA!$B$4,DATOS!$I$2:$I$20000,"Música de Cámara"),"")))</f>
        <v/>
      </c>
      <c r="AI24" t="str">
        <f>IF(AE24="","",IF(AE24="[FÓRMULA MANUAL]","",IFERROR(SUMPRODUCT((DATOS!$A$2:$A$20000=AE24)*(DATOS!$G$2:$G$20000=CONFIG_METADATA!$B$4)*(COUNTIF(CONFIG_ASIGNATURAS!$B$7:$B$27,DATOS!$I$2:$I$20000)&gt;0)*(DATOS!$K$2:$K$20000))/SUMPRODUCT((DATOS!$A$2:$A$20000=AE24)*(DATOS!$G$2:$G$20000=CONFIG_METADATA!$B$4)*(COUNTIF(CONFIG_ASIGNATURAS!$B$7:$B$27,DATOS!$I$2:$I$20000)&gt;0)*1),"")))</f>
        <v/>
      </c>
    </row>
    <row r="25" spans="2:35" x14ac:dyDescent="0.2">
      <c r="B25" t="str">
        <f>IF(A25="","",IF(A25="[FÓRMULA MANUAL]","",IFERROR(AVERAGEIFS(DATOS!$K$2:$K$20000,DATOS!$A$2:$A$20000,A25,DATOS!$G$2:$G$20000,CONFIG_METADATA!$B$4,DATOS!$I$2:$I$20000,"Lenguaje Musical"),"")))</f>
        <v/>
      </c>
      <c r="C25" t="str">
        <f>IF(A25="","",IF(A25="[FÓRMULA MANUAL]","",IFERROR(AVERAGEIFS(DATOS!$K$2:$K$20000,DATOS!$A$2:$A$20000,A25,DATOS!$G$2:$G$20000,CONFIG_METADATA!$B$4,DATOS!$I$2:$I$20000,"Orquesta/Banda/Conjunto"),"")))</f>
        <v/>
      </c>
      <c r="D25" t="str">
        <f>IF(A25="","",IF(A25="[FÓRMULA MANUAL]","",IFERROR(AVERAGEIFS(DATOS!$K$2:$K$20000,DATOS!$A$2:$A$20000,A25,DATOS!$G$2:$G$20000,CONFIG_METADATA!$B$4,DATOS!$I$2:$I$20000,"Conjunto"),"")))</f>
        <v/>
      </c>
      <c r="E25" t="str">
        <f>IF(A25="","",IF(A25="[FÓRMULA MANUAL]","",IFERROR(SUMPRODUCT((DATOS!$A$2:$A$20000=A25)*(DATOS!$G$2:$G$20000=CONFIG_METADATA!$B$4)*(COUNTIF(CONFIG_ASIGNATURAS!$B$7:$B$27,DATOS!$I$2:$I$20000)&gt;0)*(DATOS!$K$2:$K$20000))/SUMPRODUCT((DATOS!$A$2:$A$20000=A25)*(DATOS!$G$2:$G$20000=CONFIG_METADATA!$B$4)*(COUNTIF(CONFIG_ASIGNATURAS!$B$7:$B$27,DATOS!$I$2:$I$20000)&gt;0)*1),"")))</f>
        <v/>
      </c>
      <c r="H25" t="str">
        <f>IF(G25="","",IF(G25="[FÓRMULA MANUAL]","",IFERROR(AVERAGEIFS(DATOS!$K$2:$K$20000,DATOS!$A$2:$A$20000,G25,DATOS!$G$2:$G$20000,CONFIG_METADATA!$B$4,DATOS!$I$2:$I$20000,"Lenguaje Musical"),"")))</f>
        <v/>
      </c>
      <c r="I25" t="str">
        <f>IF(G25="","",IF(G25="[FÓRMULA MANUAL]","",IFERROR(AVERAGEIFS(DATOS!$K$2:$K$20000,DATOS!$A$2:$A$20000,G25,DATOS!$G$2:$G$20000,CONFIG_METADATA!$B$4,DATOS!$I$2:$I$20000,"Orquesta/Banda/Conjunto"),"")))</f>
        <v/>
      </c>
      <c r="J25" t="str">
        <f>IF(G25="","",IF(G25="[FÓRMULA MANUAL]","",IFERROR(AVERAGEIFS(DATOS!$K$2:$K$20000,DATOS!$A$2:$A$20000,G25,DATOS!$G$2:$G$20000,CONFIG_METADATA!$B$4,DATOS!$I$2:$I$20000,"Conjunto"),"")))</f>
        <v/>
      </c>
      <c r="K25" t="str">
        <f>IF(G25="","",IF(G25="[FÓRMULA MANUAL]","",IFERROR(SUMPRODUCT((DATOS!$A$2:$A$20000=G25)*(DATOS!$G$2:$G$20000=CONFIG_METADATA!$B$4)*(COUNTIF(CONFIG_ASIGNATURAS!$B$7:$B$27,DATOS!$I$2:$I$20000)&gt;0)*(DATOS!$K$2:$K$20000))/SUMPRODUCT((DATOS!$A$2:$A$20000=G25)*(DATOS!$G$2:$G$20000=CONFIG_METADATA!$B$4)*(COUNTIF(CONFIG_ASIGNATURAS!$B$7:$B$27,DATOS!$I$2:$I$20000)&gt;0)*1),"")))</f>
        <v/>
      </c>
      <c r="N25" t="str">
        <f>IF(M25="","",IF(M25="[FÓRMULA MANUAL]","",IFERROR(AVERAGEIFS(DATOS!$K$2:$K$20000,DATOS!$A$2:$A$20000,M25,DATOS!$G$2:$G$20000,CONFIG_METADATA!$B$4,DATOS!$I$2:$I$20000,"Armonía"),"")))</f>
        <v/>
      </c>
      <c r="O25" t="str">
        <f>IF(M25="","",IF(M25="[FÓRMULA MANUAL]","",IFERROR(AVERAGEIFS(DATOS!$K$2:$K$20000,DATOS!$A$2:$A$20000,M25,DATOS!$G$2:$G$20000,CONFIG_METADATA!$B$4,DATOS!$I$2:$I$20000,"Orquesta/Banda/Conjunto"),"")))</f>
        <v/>
      </c>
      <c r="P25" t="str">
        <f>IF(M25="","",IF(M25="[FÓRMULA MANUAL]","",IFERROR(AVERAGEIFS(DATOS!$K$2:$K$20000,DATOS!$A$2:$A$20000,M25,DATOS!$G$2:$G$20000,CONFIG_METADATA!$B$4,DATOS!$I$2:$I$20000,"Música de Cámara"),"")))</f>
        <v/>
      </c>
      <c r="Q25" t="str">
        <f>IF(M25="","",IF(M25="[FÓRMULA MANUAL]","",IFERROR(SUMPRODUCT((DATOS!$A$2:$A$20000=M25)*(DATOS!$G$2:$G$20000=CONFIG_METADATA!$B$4)*(COUNTIF(CONFIG_ASIGNATURAS!$B$7:$B$27,DATOS!$I$2:$I$20000)&gt;0)*(DATOS!$K$2:$K$20000))/SUMPRODUCT((DATOS!$A$2:$A$20000=M25)*(DATOS!$G$2:$G$20000=CONFIG_METADATA!$B$4)*(COUNTIF(CONFIG_ASIGNATURAS!$B$7:$B$27,DATOS!$I$2:$I$20000)&gt;0)*1),"")))</f>
        <v/>
      </c>
      <c r="T25" t="str">
        <f>IF(S25="","",IF(S25="[FÓRMULA MANUAL]","",IFERROR(AVERAGEIFS(DATOS!$K$2:$K$20000,DATOS!$A$2:$A$20000,S25,DATOS!$G$2:$G$20000,CONFIG_METADATA!$B$4,DATOS!$I$2:$I$20000,"Armonía"),"")))</f>
        <v/>
      </c>
      <c r="U25" t="str">
        <f>IF(S25="","",IF(S25="[FÓRMULA MANUAL]","",IFERROR(AVERAGEIFS(DATOS!$K$2:$K$20000,DATOS!$A$2:$A$20000,S25,DATOS!$G$2:$G$20000,CONFIG_METADATA!$B$4,DATOS!$I$2:$I$20000,"Orquesta/Banda/Conjunto"),"")))</f>
        <v/>
      </c>
      <c r="V25" t="str">
        <f>IF(S25="","",IF(S25="[FÓRMULA MANUAL]","",IFERROR(AVERAGEIFS(DATOS!$K$2:$K$20000,DATOS!$A$2:$A$20000,S25,DATOS!$G$2:$G$20000,CONFIG_METADATA!$B$4,DATOS!$I$2:$I$20000,"Música de Cámara"),"")))</f>
        <v/>
      </c>
      <c r="W25" t="str">
        <f>IF(S25="","",IF(S25="[FÓRMULA MANUAL]","",IFERROR(SUMPRODUCT((DATOS!$A$2:$A$20000=S25)*(DATOS!$G$2:$G$20000=CONFIG_METADATA!$B$4)*(COUNTIF(CONFIG_ASIGNATURAS!$B$7:$B$27,DATOS!$I$2:$I$20000)&gt;0)*(DATOS!$K$2:$K$20000))/SUMPRODUCT((DATOS!$A$2:$A$20000=S25)*(DATOS!$G$2:$G$20000=CONFIG_METADATA!$B$4)*(COUNTIF(CONFIG_ASIGNATURAS!$B$7:$B$27,DATOS!$I$2:$I$20000)&gt;0)*1),"")))</f>
        <v/>
      </c>
      <c r="Z25" t="str">
        <f>IF(Y25="","",IF(Y25="[FÓRMULA MANUAL]","",IFERROR(AVERAGEIFS(DATOS!$K$2:$K$20000,DATOS!$A$2:$A$20000,Y25,DATOS!$G$2:$G$20000,CONFIG_METADATA!$B$4,DATOS!$I$2:$I$20000,"Análisis"),"")))</f>
        <v/>
      </c>
      <c r="AA25" t="str">
        <f>IF(Y25="","",IF(Y25="[FÓRMULA MANUAL]","",IFERROR(AVERAGEIFS(DATOS!$K$2:$K$20000,DATOS!$A$2:$A$20000,Y25,DATOS!$G$2:$G$20000,CONFIG_METADATA!$B$4,DATOS!$I$2:$I$20000,"Orquesta/Banda/Conjunto"),"")))</f>
        <v/>
      </c>
      <c r="AB25" t="str">
        <f>IF(Y25="","",IF(Y25="[FÓRMULA MANUAL]","",IFERROR(AVERAGEIFS(DATOS!$K$2:$K$20000,DATOS!$A$2:$A$20000,Y25,DATOS!$G$2:$G$20000,CONFIG_METADATA!$B$4,DATOS!$I$2:$I$20000,"Música de Cámara"),"")))</f>
        <v/>
      </c>
      <c r="AC25" t="str">
        <f>IF(Y25="","",IF(Y25="[FÓRMULA MANUAL]","",IFERROR(SUMPRODUCT((DATOS!$A$2:$A$20000=Y25)*(DATOS!$G$2:$G$20000=CONFIG_METADATA!$B$4)*(COUNTIF(CONFIG_ASIGNATURAS!$B$7:$B$27,DATOS!$I$2:$I$20000)&gt;0)*(DATOS!$K$2:$K$20000))/SUMPRODUCT((DATOS!$A$2:$A$20000=Y25)*(DATOS!$G$2:$G$20000=CONFIG_METADATA!$B$4)*(COUNTIF(CONFIG_ASIGNATURAS!$B$7:$B$27,DATOS!$I$2:$I$20000)&gt;0)*1),"")))</f>
        <v/>
      </c>
      <c r="AF25" t="str">
        <f>IF(AE25="","",IF(AE25="[FÓRMULA MANUAL]","",IFERROR(AVERAGEIFS(DATOS!$K$2:$K$20000,DATOS!$A$2:$A$20000,AE25,DATOS!$G$2:$G$20000,CONFIG_METADATA!$B$4,DATOS!$I$2:$I$20000,"Análisis"),"")))</f>
        <v/>
      </c>
      <c r="AG25" t="str">
        <f>IF(AE25="","",IF(AE25="[FÓRMULA MANUAL]","",IFERROR(AVERAGEIFS(DATOS!$K$2:$K$20000,DATOS!$A$2:$A$20000,AE25,DATOS!$G$2:$G$20000,CONFIG_METADATA!$B$4,DATOS!$I$2:$I$20000,"Orquesta/Banda/Conjunto"),"")))</f>
        <v/>
      </c>
      <c r="AH25" t="str">
        <f>IF(AE25="","",IF(AE25="[FÓRMULA MANUAL]","",IFERROR(AVERAGEIFS(DATOS!$K$2:$K$20000,DATOS!$A$2:$A$20000,AE25,DATOS!$G$2:$G$20000,CONFIG_METADATA!$B$4,DATOS!$I$2:$I$20000,"Música de Cámara"),"")))</f>
        <v/>
      </c>
      <c r="AI25" t="str">
        <f>IF(AE25="","",IF(AE25="[FÓRMULA MANUAL]","",IFERROR(SUMPRODUCT((DATOS!$A$2:$A$20000=AE25)*(DATOS!$G$2:$G$20000=CONFIG_METADATA!$B$4)*(COUNTIF(CONFIG_ASIGNATURAS!$B$7:$B$27,DATOS!$I$2:$I$20000)&gt;0)*(DATOS!$K$2:$K$20000))/SUMPRODUCT((DATOS!$A$2:$A$20000=AE25)*(DATOS!$G$2:$G$20000=CONFIG_METADATA!$B$4)*(COUNTIF(CONFIG_ASIGNATURAS!$B$7:$B$27,DATOS!$I$2:$I$20000)&gt;0)*1),"")))</f>
        <v/>
      </c>
    </row>
    <row r="26" spans="2:35" x14ac:dyDescent="0.2">
      <c r="B26" t="str">
        <f>IF(A26="","",IF(A26="[FÓRMULA MANUAL]","",IFERROR(AVERAGEIFS(DATOS!$K$2:$K$20000,DATOS!$A$2:$A$20000,A26,DATOS!$G$2:$G$20000,CONFIG_METADATA!$B$4,DATOS!$I$2:$I$20000,"Lenguaje Musical"),"")))</f>
        <v/>
      </c>
      <c r="C26" t="str">
        <f>IF(A26="","",IF(A26="[FÓRMULA MANUAL]","",IFERROR(AVERAGEIFS(DATOS!$K$2:$K$20000,DATOS!$A$2:$A$20000,A26,DATOS!$G$2:$G$20000,CONFIG_METADATA!$B$4,DATOS!$I$2:$I$20000,"Orquesta/Banda/Conjunto"),"")))</f>
        <v/>
      </c>
      <c r="D26" t="str">
        <f>IF(A26="","",IF(A26="[FÓRMULA MANUAL]","",IFERROR(AVERAGEIFS(DATOS!$K$2:$K$20000,DATOS!$A$2:$A$20000,A26,DATOS!$G$2:$G$20000,CONFIG_METADATA!$B$4,DATOS!$I$2:$I$20000,"Conjunto"),"")))</f>
        <v/>
      </c>
      <c r="E26" t="str">
        <f>IF(A26="","",IF(A26="[FÓRMULA MANUAL]","",IFERROR(SUMPRODUCT((DATOS!$A$2:$A$20000=A26)*(DATOS!$G$2:$G$20000=CONFIG_METADATA!$B$4)*(COUNTIF(CONFIG_ASIGNATURAS!$B$7:$B$27,DATOS!$I$2:$I$20000)&gt;0)*(DATOS!$K$2:$K$20000))/SUMPRODUCT((DATOS!$A$2:$A$20000=A26)*(DATOS!$G$2:$G$20000=CONFIG_METADATA!$B$4)*(COUNTIF(CONFIG_ASIGNATURAS!$B$7:$B$27,DATOS!$I$2:$I$20000)&gt;0)*1),"")))</f>
        <v/>
      </c>
      <c r="H26" t="str">
        <f>IF(G26="","",IF(G26="[FÓRMULA MANUAL]","",IFERROR(AVERAGEIFS(DATOS!$K$2:$K$20000,DATOS!$A$2:$A$20000,G26,DATOS!$G$2:$G$20000,CONFIG_METADATA!$B$4,DATOS!$I$2:$I$20000,"Lenguaje Musical"),"")))</f>
        <v/>
      </c>
      <c r="I26" t="str">
        <f>IF(G26="","",IF(G26="[FÓRMULA MANUAL]","",IFERROR(AVERAGEIFS(DATOS!$K$2:$K$20000,DATOS!$A$2:$A$20000,G26,DATOS!$G$2:$G$20000,CONFIG_METADATA!$B$4,DATOS!$I$2:$I$20000,"Orquesta/Banda/Conjunto"),"")))</f>
        <v/>
      </c>
      <c r="J26" t="str">
        <f>IF(G26="","",IF(G26="[FÓRMULA MANUAL]","",IFERROR(AVERAGEIFS(DATOS!$K$2:$K$20000,DATOS!$A$2:$A$20000,G26,DATOS!$G$2:$G$20000,CONFIG_METADATA!$B$4,DATOS!$I$2:$I$20000,"Conjunto"),"")))</f>
        <v/>
      </c>
      <c r="K26" t="str">
        <f>IF(G26="","",IF(G26="[FÓRMULA MANUAL]","",IFERROR(SUMPRODUCT((DATOS!$A$2:$A$20000=G26)*(DATOS!$G$2:$G$20000=CONFIG_METADATA!$B$4)*(COUNTIF(CONFIG_ASIGNATURAS!$B$7:$B$27,DATOS!$I$2:$I$20000)&gt;0)*(DATOS!$K$2:$K$20000))/SUMPRODUCT((DATOS!$A$2:$A$20000=G26)*(DATOS!$G$2:$G$20000=CONFIG_METADATA!$B$4)*(COUNTIF(CONFIG_ASIGNATURAS!$B$7:$B$27,DATOS!$I$2:$I$20000)&gt;0)*1),"")))</f>
        <v/>
      </c>
      <c r="N26" t="str">
        <f>IF(M26="","",IF(M26="[FÓRMULA MANUAL]","",IFERROR(AVERAGEIFS(DATOS!$K$2:$K$20000,DATOS!$A$2:$A$20000,M26,DATOS!$G$2:$G$20000,CONFIG_METADATA!$B$4,DATOS!$I$2:$I$20000,"Armonía"),"")))</f>
        <v/>
      </c>
      <c r="O26" t="str">
        <f>IF(M26="","",IF(M26="[FÓRMULA MANUAL]","",IFERROR(AVERAGEIFS(DATOS!$K$2:$K$20000,DATOS!$A$2:$A$20000,M26,DATOS!$G$2:$G$20000,CONFIG_METADATA!$B$4,DATOS!$I$2:$I$20000,"Orquesta/Banda/Conjunto"),"")))</f>
        <v/>
      </c>
      <c r="P26" t="str">
        <f>IF(M26="","",IF(M26="[FÓRMULA MANUAL]","",IFERROR(AVERAGEIFS(DATOS!$K$2:$K$20000,DATOS!$A$2:$A$20000,M26,DATOS!$G$2:$G$20000,CONFIG_METADATA!$B$4,DATOS!$I$2:$I$20000,"Música de Cámara"),"")))</f>
        <v/>
      </c>
      <c r="Q26" t="str">
        <f>IF(M26="","",IF(M26="[FÓRMULA MANUAL]","",IFERROR(SUMPRODUCT((DATOS!$A$2:$A$20000=M26)*(DATOS!$G$2:$G$20000=CONFIG_METADATA!$B$4)*(COUNTIF(CONFIG_ASIGNATURAS!$B$7:$B$27,DATOS!$I$2:$I$20000)&gt;0)*(DATOS!$K$2:$K$20000))/SUMPRODUCT((DATOS!$A$2:$A$20000=M26)*(DATOS!$G$2:$G$20000=CONFIG_METADATA!$B$4)*(COUNTIF(CONFIG_ASIGNATURAS!$B$7:$B$27,DATOS!$I$2:$I$20000)&gt;0)*1),"")))</f>
        <v/>
      </c>
      <c r="T26" t="str">
        <f>IF(S26="","",IF(S26="[FÓRMULA MANUAL]","",IFERROR(AVERAGEIFS(DATOS!$K$2:$K$20000,DATOS!$A$2:$A$20000,S26,DATOS!$G$2:$G$20000,CONFIG_METADATA!$B$4,DATOS!$I$2:$I$20000,"Armonía"),"")))</f>
        <v/>
      </c>
      <c r="U26" t="str">
        <f>IF(S26="","",IF(S26="[FÓRMULA MANUAL]","",IFERROR(AVERAGEIFS(DATOS!$K$2:$K$20000,DATOS!$A$2:$A$20000,S26,DATOS!$G$2:$G$20000,CONFIG_METADATA!$B$4,DATOS!$I$2:$I$20000,"Orquesta/Banda/Conjunto"),"")))</f>
        <v/>
      </c>
      <c r="V26" t="str">
        <f>IF(S26="","",IF(S26="[FÓRMULA MANUAL]","",IFERROR(AVERAGEIFS(DATOS!$K$2:$K$20000,DATOS!$A$2:$A$20000,S26,DATOS!$G$2:$G$20000,CONFIG_METADATA!$B$4,DATOS!$I$2:$I$20000,"Música de Cámara"),"")))</f>
        <v/>
      </c>
      <c r="W26" t="str">
        <f>IF(S26="","",IF(S26="[FÓRMULA MANUAL]","",IFERROR(SUMPRODUCT((DATOS!$A$2:$A$20000=S26)*(DATOS!$G$2:$G$20000=CONFIG_METADATA!$B$4)*(COUNTIF(CONFIG_ASIGNATURAS!$B$7:$B$27,DATOS!$I$2:$I$20000)&gt;0)*(DATOS!$K$2:$K$20000))/SUMPRODUCT((DATOS!$A$2:$A$20000=S26)*(DATOS!$G$2:$G$20000=CONFIG_METADATA!$B$4)*(COUNTIF(CONFIG_ASIGNATURAS!$B$7:$B$27,DATOS!$I$2:$I$20000)&gt;0)*1),"")))</f>
        <v/>
      </c>
      <c r="Z26" t="str">
        <f>IF(Y26="","",IF(Y26="[FÓRMULA MANUAL]","",IFERROR(AVERAGEIFS(DATOS!$K$2:$K$20000,DATOS!$A$2:$A$20000,Y26,DATOS!$G$2:$G$20000,CONFIG_METADATA!$B$4,DATOS!$I$2:$I$20000,"Análisis"),"")))</f>
        <v/>
      </c>
      <c r="AA26" t="str">
        <f>IF(Y26="","",IF(Y26="[FÓRMULA MANUAL]","",IFERROR(AVERAGEIFS(DATOS!$K$2:$K$20000,DATOS!$A$2:$A$20000,Y26,DATOS!$G$2:$G$20000,CONFIG_METADATA!$B$4,DATOS!$I$2:$I$20000,"Orquesta/Banda/Conjunto"),"")))</f>
        <v/>
      </c>
      <c r="AB26" t="str">
        <f>IF(Y26="","",IF(Y26="[FÓRMULA MANUAL]","",IFERROR(AVERAGEIFS(DATOS!$K$2:$K$20000,DATOS!$A$2:$A$20000,Y26,DATOS!$G$2:$G$20000,CONFIG_METADATA!$B$4,DATOS!$I$2:$I$20000,"Música de Cámara"),"")))</f>
        <v/>
      </c>
      <c r="AC26" t="str">
        <f>IF(Y26="","",IF(Y26="[FÓRMULA MANUAL]","",IFERROR(SUMPRODUCT((DATOS!$A$2:$A$20000=Y26)*(DATOS!$G$2:$G$20000=CONFIG_METADATA!$B$4)*(COUNTIF(CONFIG_ASIGNATURAS!$B$7:$B$27,DATOS!$I$2:$I$20000)&gt;0)*(DATOS!$K$2:$K$20000))/SUMPRODUCT((DATOS!$A$2:$A$20000=Y26)*(DATOS!$G$2:$G$20000=CONFIG_METADATA!$B$4)*(COUNTIF(CONFIG_ASIGNATURAS!$B$7:$B$27,DATOS!$I$2:$I$20000)&gt;0)*1),"")))</f>
        <v/>
      </c>
      <c r="AF26" t="str">
        <f>IF(AE26="","",IF(AE26="[FÓRMULA MANUAL]","",IFERROR(AVERAGEIFS(DATOS!$K$2:$K$20000,DATOS!$A$2:$A$20000,AE26,DATOS!$G$2:$G$20000,CONFIG_METADATA!$B$4,DATOS!$I$2:$I$20000,"Análisis"),"")))</f>
        <v/>
      </c>
      <c r="AG26" t="str">
        <f>IF(AE26="","",IF(AE26="[FÓRMULA MANUAL]","",IFERROR(AVERAGEIFS(DATOS!$K$2:$K$20000,DATOS!$A$2:$A$20000,AE26,DATOS!$G$2:$G$20000,CONFIG_METADATA!$B$4,DATOS!$I$2:$I$20000,"Orquesta/Banda/Conjunto"),"")))</f>
        <v/>
      </c>
      <c r="AH26" t="str">
        <f>IF(AE26="","",IF(AE26="[FÓRMULA MANUAL]","",IFERROR(AVERAGEIFS(DATOS!$K$2:$K$20000,DATOS!$A$2:$A$20000,AE26,DATOS!$G$2:$G$20000,CONFIG_METADATA!$B$4,DATOS!$I$2:$I$20000,"Música de Cámara"),"")))</f>
        <v/>
      </c>
      <c r="AI26" t="str">
        <f>IF(AE26="","",IF(AE26="[FÓRMULA MANUAL]","",IFERROR(SUMPRODUCT((DATOS!$A$2:$A$20000=AE26)*(DATOS!$G$2:$G$20000=CONFIG_METADATA!$B$4)*(COUNTIF(CONFIG_ASIGNATURAS!$B$7:$B$27,DATOS!$I$2:$I$20000)&gt;0)*(DATOS!$K$2:$K$20000))/SUMPRODUCT((DATOS!$A$2:$A$20000=AE26)*(DATOS!$G$2:$G$20000=CONFIG_METADATA!$B$4)*(COUNTIF(CONFIG_ASIGNATURAS!$B$7:$B$27,DATOS!$I$2:$I$20000)&gt;0)*1),"")))</f>
        <v/>
      </c>
    </row>
    <row r="27" spans="2:35" x14ac:dyDescent="0.2">
      <c r="B27" t="str">
        <f>IF(A27="","",IF(A27="[FÓRMULA MANUAL]","",IFERROR(AVERAGEIFS(DATOS!$K$2:$K$20000,DATOS!$A$2:$A$20000,A27,DATOS!$G$2:$G$20000,CONFIG_METADATA!$B$4,DATOS!$I$2:$I$20000,"Lenguaje Musical"),"")))</f>
        <v/>
      </c>
      <c r="C27" t="str">
        <f>IF(A27="","",IF(A27="[FÓRMULA MANUAL]","",IFERROR(AVERAGEIFS(DATOS!$K$2:$K$20000,DATOS!$A$2:$A$20000,A27,DATOS!$G$2:$G$20000,CONFIG_METADATA!$B$4,DATOS!$I$2:$I$20000,"Orquesta/Banda/Conjunto"),"")))</f>
        <v/>
      </c>
      <c r="D27" t="str">
        <f>IF(A27="","",IF(A27="[FÓRMULA MANUAL]","",IFERROR(AVERAGEIFS(DATOS!$K$2:$K$20000,DATOS!$A$2:$A$20000,A27,DATOS!$G$2:$G$20000,CONFIG_METADATA!$B$4,DATOS!$I$2:$I$20000,"Conjunto"),"")))</f>
        <v/>
      </c>
      <c r="E27" t="str">
        <f>IF(A27="","",IF(A27="[FÓRMULA MANUAL]","",IFERROR(SUMPRODUCT((DATOS!$A$2:$A$20000=A27)*(DATOS!$G$2:$G$20000=CONFIG_METADATA!$B$4)*(COUNTIF(CONFIG_ASIGNATURAS!$B$7:$B$27,DATOS!$I$2:$I$20000)&gt;0)*(DATOS!$K$2:$K$20000))/SUMPRODUCT((DATOS!$A$2:$A$20000=A27)*(DATOS!$G$2:$G$20000=CONFIG_METADATA!$B$4)*(COUNTIF(CONFIG_ASIGNATURAS!$B$7:$B$27,DATOS!$I$2:$I$20000)&gt;0)*1),"")))</f>
        <v/>
      </c>
      <c r="H27" t="str">
        <f>IF(G27="","",IF(G27="[FÓRMULA MANUAL]","",IFERROR(AVERAGEIFS(DATOS!$K$2:$K$20000,DATOS!$A$2:$A$20000,G27,DATOS!$G$2:$G$20000,CONFIG_METADATA!$B$4,DATOS!$I$2:$I$20000,"Lenguaje Musical"),"")))</f>
        <v/>
      </c>
      <c r="I27" t="str">
        <f>IF(G27="","",IF(G27="[FÓRMULA MANUAL]","",IFERROR(AVERAGEIFS(DATOS!$K$2:$K$20000,DATOS!$A$2:$A$20000,G27,DATOS!$G$2:$G$20000,CONFIG_METADATA!$B$4,DATOS!$I$2:$I$20000,"Orquesta/Banda/Conjunto"),"")))</f>
        <v/>
      </c>
      <c r="J27" t="str">
        <f>IF(G27="","",IF(G27="[FÓRMULA MANUAL]","",IFERROR(AVERAGEIFS(DATOS!$K$2:$K$20000,DATOS!$A$2:$A$20000,G27,DATOS!$G$2:$G$20000,CONFIG_METADATA!$B$4,DATOS!$I$2:$I$20000,"Conjunto"),"")))</f>
        <v/>
      </c>
      <c r="K27" t="str">
        <f>IF(G27="","",IF(G27="[FÓRMULA MANUAL]","",IFERROR(SUMPRODUCT((DATOS!$A$2:$A$20000=G27)*(DATOS!$G$2:$G$20000=CONFIG_METADATA!$B$4)*(COUNTIF(CONFIG_ASIGNATURAS!$B$7:$B$27,DATOS!$I$2:$I$20000)&gt;0)*(DATOS!$K$2:$K$20000))/SUMPRODUCT((DATOS!$A$2:$A$20000=G27)*(DATOS!$G$2:$G$20000=CONFIG_METADATA!$B$4)*(COUNTIF(CONFIG_ASIGNATURAS!$B$7:$B$27,DATOS!$I$2:$I$20000)&gt;0)*1),"")))</f>
        <v/>
      </c>
      <c r="N27" t="str">
        <f>IF(M27="","",IF(M27="[FÓRMULA MANUAL]","",IFERROR(AVERAGEIFS(DATOS!$K$2:$K$20000,DATOS!$A$2:$A$20000,M27,DATOS!$G$2:$G$20000,CONFIG_METADATA!$B$4,DATOS!$I$2:$I$20000,"Armonía"),"")))</f>
        <v/>
      </c>
      <c r="O27" t="str">
        <f>IF(M27="","",IF(M27="[FÓRMULA MANUAL]","",IFERROR(AVERAGEIFS(DATOS!$K$2:$K$20000,DATOS!$A$2:$A$20000,M27,DATOS!$G$2:$G$20000,CONFIG_METADATA!$B$4,DATOS!$I$2:$I$20000,"Orquesta/Banda/Conjunto"),"")))</f>
        <v/>
      </c>
      <c r="P27" t="str">
        <f>IF(M27="","",IF(M27="[FÓRMULA MANUAL]","",IFERROR(AVERAGEIFS(DATOS!$K$2:$K$20000,DATOS!$A$2:$A$20000,M27,DATOS!$G$2:$G$20000,CONFIG_METADATA!$B$4,DATOS!$I$2:$I$20000,"Música de Cámara"),"")))</f>
        <v/>
      </c>
      <c r="Q27" t="str">
        <f>IF(M27="","",IF(M27="[FÓRMULA MANUAL]","",IFERROR(SUMPRODUCT((DATOS!$A$2:$A$20000=M27)*(DATOS!$G$2:$G$20000=CONFIG_METADATA!$B$4)*(COUNTIF(CONFIG_ASIGNATURAS!$B$7:$B$27,DATOS!$I$2:$I$20000)&gt;0)*(DATOS!$K$2:$K$20000))/SUMPRODUCT((DATOS!$A$2:$A$20000=M27)*(DATOS!$G$2:$G$20000=CONFIG_METADATA!$B$4)*(COUNTIF(CONFIG_ASIGNATURAS!$B$7:$B$27,DATOS!$I$2:$I$20000)&gt;0)*1),"")))</f>
        <v/>
      </c>
      <c r="T27" t="str">
        <f>IF(S27="","",IF(S27="[FÓRMULA MANUAL]","",IFERROR(AVERAGEIFS(DATOS!$K$2:$K$20000,DATOS!$A$2:$A$20000,S27,DATOS!$G$2:$G$20000,CONFIG_METADATA!$B$4,DATOS!$I$2:$I$20000,"Armonía"),"")))</f>
        <v/>
      </c>
      <c r="U27" t="str">
        <f>IF(S27="","",IF(S27="[FÓRMULA MANUAL]","",IFERROR(AVERAGEIFS(DATOS!$K$2:$K$20000,DATOS!$A$2:$A$20000,S27,DATOS!$G$2:$G$20000,CONFIG_METADATA!$B$4,DATOS!$I$2:$I$20000,"Orquesta/Banda/Conjunto"),"")))</f>
        <v/>
      </c>
      <c r="V27" t="str">
        <f>IF(S27="","",IF(S27="[FÓRMULA MANUAL]","",IFERROR(AVERAGEIFS(DATOS!$K$2:$K$20000,DATOS!$A$2:$A$20000,S27,DATOS!$G$2:$G$20000,CONFIG_METADATA!$B$4,DATOS!$I$2:$I$20000,"Música de Cámara"),"")))</f>
        <v/>
      </c>
      <c r="W27" t="str">
        <f>IF(S27="","",IF(S27="[FÓRMULA MANUAL]","",IFERROR(SUMPRODUCT((DATOS!$A$2:$A$20000=S27)*(DATOS!$G$2:$G$20000=CONFIG_METADATA!$B$4)*(COUNTIF(CONFIG_ASIGNATURAS!$B$7:$B$27,DATOS!$I$2:$I$20000)&gt;0)*(DATOS!$K$2:$K$20000))/SUMPRODUCT((DATOS!$A$2:$A$20000=S27)*(DATOS!$G$2:$G$20000=CONFIG_METADATA!$B$4)*(COUNTIF(CONFIG_ASIGNATURAS!$B$7:$B$27,DATOS!$I$2:$I$20000)&gt;0)*1),"")))</f>
        <v/>
      </c>
      <c r="Z27" t="str">
        <f>IF(Y27="","",IF(Y27="[FÓRMULA MANUAL]","",IFERROR(AVERAGEIFS(DATOS!$K$2:$K$20000,DATOS!$A$2:$A$20000,Y27,DATOS!$G$2:$G$20000,CONFIG_METADATA!$B$4,DATOS!$I$2:$I$20000,"Análisis"),"")))</f>
        <v/>
      </c>
      <c r="AA27" t="str">
        <f>IF(Y27="","",IF(Y27="[FÓRMULA MANUAL]","",IFERROR(AVERAGEIFS(DATOS!$K$2:$K$20000,DATOS!$A$2:$A$20000,Y27,DATOS!$G$2:$G$20000,CONFIG_METADATA!$B$4,DATOS!$I$2:$I$20000,"Orquesta/Banda/Conjunto"),"")))</f>
        <v/>
      </c>
      <c r="AB27" t="str">
        <f>IF(Y27="","",IF(Y27="[FÓRMULA MANUAL]","",IFERROR(AVERAGEIFS(DATOS!$K$2:$K$20000,DATOS!$A$2:$A$20000,Y27,DATOS!$G$2:$G$20000,CONFIG_METADATA!$B$4,DATOS!$I$2:$I$20000,"Música de Cámara"),"")))</f>
        <v/>
      </c>
      <c r="AC27" t="str">
        <f>IF(Y27="","",IF(Y27="[FÓRMULA MANUAL]","",IFERROR(SUMPRODUCT((DATOS!$A$2:$A$20000=Y27)*(DATOS!$G$2:$G$20000=CONFIG_METADATA!$B$4)*(COUNTIF(CONFIG_ASIGNATURAS!$B$7:$B$27,DATOS!$I$2:$I$20000)&gt;0)*(DATOS!$K$2:$K$20000))/SUMPRODUCT((DATOS!$A$2:$A$20000=Y27)*(DATOS!$G$2:$G$20000=CONFIG_METADATA!$B$4)*(COUNTIF(CONFIG_ASIGNATURAS!$B$7:$B$27,DATOS!$I$2:$I$20000)&gt;0)*1),"")))</f>
        <v/>
      </c>
      <c r="AF27" t="str">
        <f>IF(AE27="","",IF(AE27="[FÓRMULA MANUAL]","",IFERROR(AVERAGEIFS(DATOS!$K$2:$K$20000,DATOS!$A$2:$A$20000,AE27,DATOS!$G$2:$G$20000,CONFIG_METADATA!$B$4,DATOS!$I$2:$I$20000,"Análisis"),"")))</f>
        <v/>
      </c>
      <c r="AG27" t="str">
        <f>IF(AE27="","",IF(AE27="[FÓRMULA MANUAL]","",IFERROR(AVERAGEIFS(DATOS!$K$2:$K$20000,DATOS!$A$2:$A$20000,AE27,DATOS!$G$2:$G$20000,CONFIG_METADATA!$B$4,DATOS!$I$2:$I$20000,"Orquesta/Banda/Conjunto"),"")))</f>
        <v/>
      </c>
      <c r="AH27" t="str">
        <f>IF(AE27="","",IF(AE27="[FÓRMULA MANUAL]","",IFERROR(AVERAGEIFS(DATOS!$K$2:$K$20000,DATOS!$A$2:$A$20000,AE27,DATOS!$G$2:$G$20000,CONFIG_METADATA!$B$4,DATOS!$I$2:$I$20000,"Música de Cámara"),"")))</f>
        <v/>
      </c>
      <c r="AI27" t="str">
        <f>IF(AE27="","",IF(AE27="[FÓRMULA MANUAL]","",IFERROR(SUMPRODUCT((DATOS!$A$2:$A$20000=AE27)*(DATOS!$G$2:$G$20000=CONFIG_METADATA!$B$4)*(COUNTIF(CONFIG_ASIGNATURAS!$B$7:$B$27,DATOS!$I$2:$I$20000)&gt;0)*(DATOS!$K$2:$K$20000))/SUMPRODUCT((DATOS!$A$2:$A$20000=AE27)*(DATOS!$G$2:$G$20000=CONFIG_METADATA!$B$4)*(COUNTIF(CONFIG_ASIGNATURAS!$B$7:$B$27,DATOS!$I$2:$I$20000)&gt;0)*1),"")))</f>
        <v/>
      </c>
    </row>
    <row r="28" spans="2:35" x14ac:dyDescent="0.2">
      <c r="B28" t="str">
        <f>IF(A28="","",IF(A28="[FÓRMULA MANUAL]","",IFERROR(AVERAGEIFS(DATOS!$K$2:$K$20000,DATOS!$A$2:$A$20000,A28,DATOS!$G$2:$G$20000,CONFIG_METADATA!$B$4,DATOS!$I$2:$I$20000,"Lenguaje Musical"),"")))</f>
        <v/>
      </c>
      <c r="C28" t="str">
        <f>IF(A28="","",IF(A28="[FÓRMULA MANUAL]","",IFERROR(AVERAGEIFS(DATOS!$K$2:$K$20000,DATOS!$A$2:$A$20000,A28,DATOS!$G$2:$G$20000,CONFIG_METADATA!$B$4,DATOS!$I$2:$I$20000,"Orquesta/Banda/Conjunto"),"")))</f>
        <v/>
      </c>
      <c r="D28" t="str">
        <f>IF(A28="","",IF(A28="[FÓRMULA MANUAL]","",IFERROR(AVERAGEIFS(DATOS!$K$2:$K$20000,DATOS!$A$2:$A$20000,A28,DATOS!$G$2:$G$20000,CONFIG_METADATA!$B$4,DATOS!$I$2:$I$20000,"Conjunto"),"")))</f>
        <v/>
      </c>
      <c r="E28" t="str">
        <f>IF(A28="","",IF(A28="[FÓRMULA MANUAL]","",IFERROR(SUMPRODUCT((DATOS!$A$2:$A$20000=A28)*(DATOS!$G$2:$G$20000=CONFIG_METADATA!$B$4)*(COUNTIF(CONFIG_ASIGNATURAS!$B$7:$B$27,DATOS!$I$2:$I$20000)&gt;0)*(DATOS!$K$2:$K$20000))/SUMPRODUCT((DATOS!$A$2:$A$20000=A28)*(DATOS!$G$2:$G$20000=CONFIG_METADATA!$B$4)*(COUNTIF(CONFIG_ASIGNATURAS!$B$7:$B$27,DATOS!$I$2:$I$20000)&gt;0)*1),"")))</f>
        <v/>
      </c>
      <c r="H28" t="str">
        <f>IF(G28="","",IF(G28="[FÓRMULA MANUAL]","",IFERROR(AVERAGEIFS(DATOS!$K$2:$K$20000,DATOS!$A$2:$A$20000,G28,DATOS!$G$2:$G$20000,CONFIG_METADATA!$B$4,DATOS!$I$2:$I$20000,"Lenguaje Musical"),"")))</f>
        <v/>
      </c>
      <c r="I28" t="str">
        <f>IF(G28="","",IF(G28="[FÓRMULA MANUAL]","",IFERROR(AVERAGEIFS(DATOS!$K$2:$K$20000,DATOS!$A$2:$A$20000,G28,DATOS!$G$2:$G$20000,CONFIG_METADATA!$B$4,DATOS!$I$2:$I$20000,"Orquesta/Banda/Conjunto"),"")))</f>
        <v/>
      </c>
      <c r="J28" t="str">
        <f>IF(G28="","",IF(G28="[FÓRMULA MANUAL]","",IFERROR(AVERAGEIFS(DATOS!$K$2:$K$20000,DATOS!$A$2:$A$20000,G28,DATOS!$G$2:$G$20000,CONFIG_METADATA!$B$4,DATOS!$I$2:$I$20000,"Conjunto"),"")))</f>
        <v/>
      </c>
      <c r="K28" t="str">
        <f>IF(G28="","",IF(G28="[FÓRMULA MANUAL]","",IFERROR(SUMPRODUCT((DATOS!$A$2:$A$20000=G28)*(DATOS!$G$2:$G$20000=CONFIG_METADATA!$B$4)*(COUNTIF(CONFIG_ASIGNATURAS!$B$7:$B$27,DATOS!$I$2:$I$20000)&gt;0)*(DATOS!$K$2:$K$20000))/SUMPRODUCT((DATOS!$A$2:$A$20000=G28)*(DATOS!$G$2:$G$20000=CONFIG_METADATA!$B$4)*(COUNTIF(CONFIG_ASIGNATURAS!$B$7:$B$27,DATOS!$I$2:$I$20000)&gt;0)*1),"")))</f>
        <v/>
      </c>
      <c r="N28" t="str">
        <f>IF(M28="","",IF(M28="[FÓRMULA MANUAL]","",IFERROR(AVERAGEIFS(DATOS!$K$2:$K$20000,DATOS!$A$2:$A$20000,M28,DATOS!$G$2:$G$20000,CONFIG_METADATA!$B$4,DATOS!$I$2:$I$20000,"Armonía"),"")))</f>
        <v/>
      </c>
      <c r="O28" t="str">
        <f>IF(M28="","",IF(M28="[FÓRMULA MANUAL]","",IFERROR(AVERAGEIFS(DATOS!$K$2:$K$20000,DATOS!$A$2:$A$20000,M28,DATOS!$G$2:$G$20000,CONFIG_METADATA!$B$4,DATOS!$I$2:$I$20000,"Orquesta/Banda/Conjunto"),"")))</f>
        <v/>
      </c>
      <c r="P28" t="str">
        <f>IF(M28="","",IF(M28="[FÓRMULA MANUAL]","",IFERROR(AVERAGEIFS(DATOS!$K$2:$K$20000,DATOS!$A$2:$A$20000,M28,DATOS!$G$2:$G$20000,CONFIG_METADATA!$B$4,DATOS!$I$2:$I$20000,"Música de Cámara"),"")))</f>
        <v/>
      </c>
      <c r="Q28" t="str">
        <f>IF(M28="","",IF(M28="[FÓRMULA MANUAL]","",IFERROR(SUMPRODUCT((DATOS!$A$2:$A$20000=M28)*(DATOS!$G$2:$G$20000=CONFIG_METADATA!$B$4)*(COUNTIF(CONFIG_ASIGNATURAS!$B$7:$B$27,DATOS!$I$2:$I$20000)&gt;0)*(DATOS!$K$2:$K$20000))/SUMPRODUCT((DATOS!$A$2:$A$20000=M28)*(DATOS!$G$2:$G$20000=CONFIG_METADATA!$B$4)*(COUNTIF(CONFIG_ASIGNATURAS!$B$7:$B$27,DATOS!$I$2:$I$20000)&gt;0)*1),"")))</f>
        <v/>
      </c>
      <c r="T28" t="str">
        <f>IF(S28="","",IF(S28="[FÓRMULA MANUAL]","",IFERROR(AVERAGEIFS(DATOS!$K$2:$K$20000,DATOS!$A$2:$A$20000,S28,DATOS!$G$2:$G$20000,CONFIG_METADATA!$B$4,DATOS!$I$2:$I$20000,"Armonía"),"")))</f>
        <v/>
      </c>
      <c r="U28" t="str">
        <f>IF(S28="","",IF(S28="[FÓRMULA MANUAL]","",IFERROR(AVERAGEIFS(DATOS!$K$2:$K$20000,DATOS!$A$2:$A$20000,S28,DATOS!$G$2:$G$20000,CONFIG_METADATA!$B$4,DATOS!$I$2:$I$20000,"Orquesta/Banda/Conjunto"),"")))</f>
        <v/>
      </c>
      <c r="V28" t="str">
        <f>IF(S28="","",IF(S28="[FÓRMULA MANUAL]","",IFERROR(AVERAGEIFS(DATOS!$K$2:$K$20000,DATOS!$A$2:$A$20000,S28,DATOS!$G$2:$G$20000,CONFIG_METADATA!$B$4,DATOS!$I$2:$I$20000,"Música de Cámara"),"")))</f>
        <v/>
      </c>
      <c r="W28" t="str">
        <f>IF(S28="","",IF(S28="[FÓRMULA MANUAL]","",IFERROR(SUMPRODUCT((DATOS!$A$2:$A$20000=S28)*(DATOS!$G$2:$G$20000=CONFIG_METADATA!$B$4)*(COUNTIF(CONFIG_ASIGNATURAS!$B$7:$B$27,DATOS!$I$2:$I$20000)&gt;0)*(DATOS!$K$2:$K$20000))/SUMPRODUCT((DATOS!$A$2:$A$20000=S28)*(DATOS!$G$2:$G$20000=CONFIG_METADATA!$B$4)*(COUNTIF(CONFIG_ASIGNATURAS!$B$7:$B$27,DATOS!$I$2:$I$20000)&gt;0)*1),"")))</f>
        <v/>
      </c>
      <c r="Z28" t="str">
        <f>IF(Y28="","",IF(Y28="[FÓRMULA MANUAL]","",IFERROR(AVERAGEIFS(DATOS!$K$2:$K$20000,DATOS!$A$2:$A$20000,Y28,DATOS!$G$2:$G$20000,CONFIG_METADATA!$B$4,DATOS!$I$2:$I$20000,"Análisis"),"")))</f>
        <v/>
      </c>
      <c r="AA28" t="str">
        <f>IF(Y28="","",IF(Y28="[FÓRMULA MANUAL]","",IFERROR(AVERAGEIFS(DATOS!$K$2:$K$20000,DATOS!$A$2:$A$20000,Y28,DATOS!$G$2:$G$20000,CONFIG_METADATA!$B$4,DATOS!$I$2:$I$20000,"Orquesta/Banda/Conjunto"),"")))</f>
        <v/>
      </c>
      <c r="AB28" t="str">
        <f>IF(Y28="","",IF(Y28="[FÓRMULA MANUAL]","",IFERROR(AVERAGEIFS(DATOS!$K$2:$K$20000,DATOS!$A$2:$A$20000,Y28,DATOS!$G$2:$G$20000,CONFIG_METADATA!$B$4,DATOS!$I$2:$I$20000,"Música de Cámara"),"")))</f>
        <v/>
      </c>
      <c r="AC28" t="str">
        <f>IF(Y28="","",IF(Y28="[FÓRMULA MANUAL]","",IFERROR(SUMPRODUCT((DATOS!$A$2:$A$20000=Y28)*(DATOS!$G$2:$G$20000=CONFIG_METADATA!$B$4)*(COUNTIF(CONFIG_ASIGNATURAS!$B$7:$B$27,DATOS!$I$2:$I$20000)&gt;0)*(DATOS!$K$2:$K$20000))/SUMPRODUCT((DATOS!$A$2:$A$20000=Y28)*(DATOS!$G$2:$G$20000=CONFIG_METADATA!$B$4)*(COUNTIF(CONFIG_ASIGNATURAS!$B$7:$B$27,DATOS!$I$2:$I$20000)&gt;0)*1),"")))</f>
        <v/>
      </c>
      <c r="AF28" t="str">
        <f>IF(AE28="","",IF(AE28="[FÓRMULA MANUAL]","",IFERROR(AVERAGEIFS(DATOS!$K$2:$K$20000,DATOS!$A$2:$A$20000,AE28,DATOS!$G$2:$G$20000,CONFIG_METADATA!$B$4,DATOS!$I$2:$I$20000,"Análisis"),"")))</f>
        <v/>
      </c>
      <c r="AG28" t="str">
        <f>IF(AE28="","",IF(AE28="[FÓRMULA MANUAL]","",IFERROR(AVERAGEIFS(DATOS!$K$2:$K$20000,DATOS!$A$2:$A$20000,AE28,DATOS!$G$2:$G$20000,CONFIG_METADATA!$B$4,DATOS!$I$2:$I$20000,"Orquesta/Banda/Conjunto"),"")))</f>
        <v/>
      </c>
      <c r="AH28" t="str">
        <f>IF(AE28="","",IF(AE28="[FÓRMULA MANUAL]","",IFERROR(AVERAGEIFS(DATOS!$K$2:$K$20000,DATOS!$A$2:$A$20000,AE28,DATOS!$G$2:$G$20000,CONFIG_METADATA!$B$4,DATOS!$I$2:$I$20000,"Música de Cámara"),"")))</f>
        <v/>
      </c>
      <c r="AI28" t="str">
        <f>IF(AE28="","",IF(AE28="[FÓRMULA MANUAL]","",IFERROR(SUMPRODUCT((DATOS!$A$2:$A$20000=AE28)*(DATOS!$G$2:$G$20000=CONFIG_METADATA!$B$4)*(COUNTIF(CONFIG_ASIGNATURAS!$B$7:$B$27,DATOS!$I$2:$I$20000)&gt;0)*(DATOS!$K$2:$K$20000))/SUMPRODUCT((DATOS!$A$2:$A$20000=AE28)*(DATOS!$G$2:$G$20000=CONFIG_METADATA!$B$4)*(COUNTIF(CONFIG_ASIGNATURAS!$B$7:$B$27,DATOS!$I$2:$I$20000)&gt;0)*1),"")))</f>
        <v/>
      </c>
    </row>
    <row r="29" spans="2:35" x14ac:dyDescent="0.2">
      <c r="B29" t="str">
        <f>IF(A29="","",IF(A29="[FÓRMULA MANUAL]","",IFERROR(AVERAGEIFS(DATOS!$K$2:$K$20000,DATOS!$A$2:$A$20000,A29,DATOS!$G$2:$G$20000,CONFIG_METADATA!$B$4,DATOS!$I$2:$I$20000,"Lenguaje Musical"),"")))</f>
        <v/>
      </c>
      <c r="C29" t="str">
        <f>IF(A29="","",IF(A29="[FÓRMULA MANUAL]","",IFERROR(AVERAGEIFS(DATOS!$K$2:$K$20000,DATOS!$A$2:$A$20000,A29,DATOS!$G$2:$G$20000,CONFIG_METADATA!$B$4,DATOS!$I$2:$I$20000,"Orquesta/Banda/Conjunto"),"")))</f>
        <v/>
      </c>
      <c r="D29" t="str">
        <f>IF(A29="","",IF(A29="[FÓRMULA MANUAL]","",IFERROR(AVERAGEIFS(DATOS!$K$2:$K$20000,DATOS!$A$2:$A$20000,A29,DATOS!$G$2:$G$20000,CONFIG_METADATA!$B$4,DATOS!$I$2:$I$20000,"Conjunto"),"")))</f>
        <v/>
      </c>
      <c r="E29" t="str">
        <f>IF(A29="","",IF(A29="[FÓRMULA MANUAL]","",IFERROR(SUMPRODUCT((DATOS!$A$2:$A$20000=A29)*(DATOS!$G$2:$G$20000=CONFIG_METADATA!$B$4)*(COUNTIF(CONFIG_ASIGNATURAS!$B$7:$B$27,DATOS!$I$2:$I$20000)&gt;0)*(DATOS!$K$2:$K$20000))/SUMPRODUCT((DATOS!$A$2:$A$20000=A29)*(DATOS!$G$2:$G$20000=CONFIG_METADATA!$B$4)*(COUNTIF(CONFIG_ASIGNATURAS!$B$7:$B$27,DATOS!$I$2:$I$20000)&gt;0)*1),"")))</f>
        <v/>
      </c>
      <c r="H29" t="str">
        <f>IF(G29="","",IF(G29="[FÓRMULA MANUAL]","",IFERROR(AVERAGEIFS(DATOS!$K$2:$K$20000,DATOS!$A$2:$A$20000,G29,DATOS!$G$2:$G$20000,CONFIG_METADATA!$B$4,DATOS!$I$2:$I$20000,"Lenguaje Musical"),"")))</f>
        <v/>
      </c>
      <c r="I29" t="str">
        <f>IF(G29="","",IF(G29="[FÓRMULA MANUAL]","",IFERROR(AVERAGEIFS(DATOS!$K$2:$K$20000,DATOS!$A$2:$A$20000,G29,DATOS!$G$2:$G$20000,CONFIG_METADATA!$B$4,DATOS!$I$2:$I$20000,"Orquesta/Banda/Conjunto"),"")))</f>
        <v/>
      </c>
      <c r="J29" t="str">
        <f>IF(G29="","",IF(G29="[FÓRMULA MANUAL]","",IFERROR(AVERAGEIFS(DATOS!$K$2:$K$20000,DATOS!$A$2:$A$20000,G29,DATOS!$G$2:$G$20000,CONFIG_METADATA!$B$4,DATOS!$I$2:$I$20000,"Conjunto"),"")))</f>
        <v/>
      </c>
      <c r="K29" t="str">
        <f>IF(G29="","",IF(G29="[FÓRMULA MANUAL]","",IFERROR(SUMPRODUCT((DATOS!$A$2:$A$20000=G29)*(DATOS!$G$2:$G$20000=CONFIG_METADATA!$B$4)*(COUNTIF(CONFIG_ASIGNATURAS!$B$7:$B$27,DATOS!$I$2:$I$20000)&gt;0)*(DATOS!$K$2:$K$20000))/SUMPRODUCT((DATOS!$A$2:$A$20000=G29)*(DATOS!$G$2:$G$20000=CONFIG_METADATA!$B$4)*(COUNTIF(CONFIG_ASIGNATURAS!$B$7:$B$27,DATOS!$I$2:$I$20000)&gt;0)*1),"")))</f>
        <v/>
      </c>
      <c r="N29" t="str">
        <f>IF(M29="","",IF(M29="[FÓRMULA MANUAL]","",IFERROR(AVERAGEIFS(DATOS!$K$2:$K$20000,DATOS!$A$2:$A$20000,M29,DATOS!$G$2:$G$20000,CONFIG_METADATA!$B$4,DATOS!$I$2:$I$20000,"Armonía"),"")))</f>
        <v/>
      </c>
      <c r="O29" t="str">
        <f>IF(M29="","",IF(M29="[FÓRMULA MANUAL]","",IFERROR(AVERAGEIFS(DATOS!$K$2:$K$20000,DATOS!$A$2:$A$20000,M29,DATOS!$G$2:$G$20000,CONFIG_METADATA!$B$4,DATOS!$I$2:$I$20000,"Orquesta/Banda/Conjunto"),"")))</f>
        <v/>
      </c>
      <c r="P29" t="str">
        <f>IF(M29="","",IF(M29="[FÓRMULA MANUAL]","",IFERROR(AVERAGEIFS(DATOS!$K$2:$K$20000,DATOS!$A$2:$A$20000,M29,DATOS!$G$2:$G$20000,CONFIG_METADATA!$B$4,DATOS!$I$2:$I$20000,"Música de Cámara"),"")))</f>
        <v/>
      </c>
      <c r="Q29" t="str">
        <f>IF(M29="","",IF(M29="[FÓRMULA MANUAL]","",IFERROR(SUMPRODUCT((DATOS!$A$2:$A$20000=M29)*(DATOS!$G$2:$G$20000=CONFIG_METADATA!$B$4)*(COUNTIF(CONFIG_ASIGNATURAS!$B$7:$B$27,DATOS!$I$2:$I$20000)&gt;0)*(DATOS!$K$2:$K$20000))/SUMPRODUCT((DATOS!$A$2:$A$20000=M29)*(DATOS!$G$2:$G$20000=CONFIG_METADATA!$B$4)*(COUNTIF(CONFIG_ASIGNATURAS!$B$7:$B$27,DATOS!$I$2:$I$20000)&gt;0)*1),"")))</f>
        <v/>
      </c>
      <c r="T29" t="str">
        <f>IF(S29="","",IF(S29="[FÓRMULA MANUAL]","",IFERROR(AVERAGEIFS(DATOS!$K$2:$K$20000,DATOS!$A$2:$A$20000,S29,DATOS!$G$2:$G$20000,CONFIG_METADATA!$B$4,DATOS!$I$2:$I$20000,"Armonía"),"")))</f>
        <v/>
      </c>
      <c r="U29" t="str">
        <f>IF(S29="","",IF(S29="[FÓRMULA MANUAL]","",IFERROR(AVERAGEIFS(DATOS!$K$2:$K$20000,DATOS!$A$2:$A$20000,S29,DATOS!$G$2:$G$20000,CONFIG_METADATA!$B$4,DATOS!$I$2:$I$20000,"Orquesta/Banda/Conjunto"),"")))</f>
        <v/>
      </c>
      <c r="V29" t="str">
        <f>IF(S29="","",IF(S29="[FÓRMULA MANUAL]","",IFERROR(AVERAGEIFS(DATOS!$K$2:$K$20000,DATOS!$A$2:$A$20000,S29,DATOS!$G$2:$G$20000,CONFIG_METADATA!$B$4,DATOS!$I$2:$I$20000,"Música de Cámara"),"")))</f>
        <v/>
      </c>
      <c r="W29" t="str">
        <f>IF(S29="","",IF(S29="[FÓRMULA MANUAL]","",IFERROR(SUMPRODUCT((DATOS!$A$2:$A$20000=S29)*(DATOS!$G$2:$G$20000=CONFIG_METADATA!$B$4)*(COUNTIF(CONFIG_ASIGNATURAS!$B$7:$B$27,DATOS!$I$2:$I$20000)&gt;0)*(DATOS!$K$2:$K$20000))/SUMPRODUCT((DATOS!$A$2:$A$20000=S29)*(DATOS!$G$2:$G$20000=CONFIG_METADATA!$B$4)*(COUNTIF(CONFIG_ASIGNATURAS!$B$7:$B$27,DATOS!$I$2:$I$20000)&gt;0)*1),"")))</f>
        <v/>
      </c>
      <c r="Z29" t="str">
        <f>IF(Y29="","",IF(Y29="[FÓRMULA MANUAL]","",IFERROR(AVERAGEIFS(DATOS!$K$2:$K$20000,DATOS!$A$2:$A$20000,Y29,DATOS!$G$2:$G$20000,CONFIG_METADATA!$B$4,DATOS!$I$2:$I$20000,"Análisis"),"")))</f>
        <v/>
      </c>
      <c r="AA29" t="str">
        <f>IF(Y29="","",IF(Y29="[FÓRMULA MANUAL]","",IFERROR(AVERAGEIFS(DATOS!$K$2:$K$20000,DATOS!$A$2:$A$20000,Y29,DATOS!$G$2:$G$20000,CONFIG_METADATA!$B$4,DATOS!$I$2:$I$20000,"Orquesta/Banda/Conjunto"),"")))</f>
        <v/>
      </c>
      <c r="AB29" t="str">
        <f>IF(Y29="","",IF(Y29="[FÓRMULA MANUAL]","",IFERROR(AVERAGEIFS(DATOS!$K$2:$K$20000,DATOS!$A$2:$A$20000,Y29,DATOS!$G$2:$G$20000,CONFIG_METADATA!$B$4,DATOS!$I$2:$I$20000,"Música de Cámara"),"")))</f>
        <v/>
      </c>
      <c r="AC29" t="str">
        <f>IF(Y29="","",IF(Y29="[FÓRMULA MANUAL]","",IFERROR(SUMPRODUCT((DATOS!$A$2:$A$20000=Y29)*(DATOS!$G$2:$G$20000=CONFIG_METADATA!$B$4)*(COUNTIF(CONFIG_ASIGNATURAS!$B$7:$B$27,DATOS!$I$2:$I$20000)&gt;0)*(DATOS!$K$2:$K$20000))/SUMPRODUCT((DATOS!$A$2:$A$20000=Y29)*(DATOS!$G$2:$G$20000=CONFIG_METADATA!$B$4)*(COUNTIF(CONFIG_ASIGNATURAS!$B$7:$B$27,DATOS!$I$2:$I$20000)&gt;0)*1),"")))</f>
        <v/>
      </c>
      <c r="AF29" t="str">
        <f>IF(AE29="","",IF(AE29="[FÓRMULA MANUAL]","",IFERROR(AVERAGEIFS(DATOS!$K$2:$K$20000,DATOS!$A$2:$A$20000,AE29,DATOS!$G$2:$G$20000,CONFIG_METADATA!$B$4,DATOS!$I$2:$I$20000,"Análisis"),"")))</f>
        <v/>
      </c>
      <c r="AG29" t="str">
        <f>IF(AE29="","",IF(AE29="[FÓRMULA MANUAL]","",IFERROR(AVERAGEIFS(DATOS!$K$2:$K$20000,DATOS!$A$2:$A$20000,AE29,DATOS!$G$2:$G$20000,CONFIG_METADATA!$B$4,DATOS!$I$2:$I$20000,"Orquesta/Banda/Conjunto"),"")))</f>
        <v/>
      </c>
      <c r="AH29" t="str">
        <f>IF(AE29="","",IF(AE29="[FÓRMULA MANUAL]","",IFERROR(AVERAGEIFS(DATOS!$K$2:$K$20000,DATOS!$A$2:$A$20000,AE29,DATOS!$G$2:$G$20000,CONFIG_METADATA!$B$4,DATOS!$I$2:$I$20000,"Música de Cámara"),"")))</f>
        <v/>
      </c>
      <c r="AI29" t="str">
        <f>IF(AE29="","",IF(AE29="[FÓRMULA MANUAL]","",IFERROR(SUMPRODUCT((DATOS!$A$2:$A$20000=AE29)*(DATOS!$G$2:$G$20000=CONFIG_METADATA!$B$4)*(COUNTIF(CONFIG_ASIGNATURAS!$B$7:$B$27,DATOS!$I$2:$I$20000)&gt;0)*(DATOS!$K$2:$K$20000))/SUMPRODUCT((DATOS!$A$2:$A$20000=AE29)*(DATOS!$G$2:$G$20000=CONFIG_METADATA!$B$4)*(COUNTIF(CONFIG_ASIGNATURAS!$B$7:$B$27,DATOS!$I$2:$I$20000)&gt;0)*1),"")))</f>
        <v/>
      </c>
    </row>
    <row r="30" spans="2:35" x14ac:dyDescent="0.2">
      <c r="B30" t="str">
        <f>IF(A30="","",IF(A30="[FÓRMULA MANUAL]","",IFERROR(AVERAGEIFS(DATOS!$K$2:$K$20000,DATOS!$A$2:$A$20000,A30,DATOS!$G$2:$G$20000,CONFIG_METADATA!$B$4,DATOS!$I$2:$I$20000,"Lenguaje Musical"),"")))</f>
        <v/>
      </c>
      <c r="C30" t="str">
        <f>IF(A30="","",IF(A30="[FÓRMULA MANUAL]","",IFERROR(AVERAGEIFS(DATOS!$K$2:$K$20000,DATOS!$A$2:$A$20000,A30,DATOS!$G$2:$G$20000,CONFIG_METADATA!$B$4,DATOS!$I$2:$I$20000,"Orquesta/Banda/Conjunto"),"")))</f>
        <v/>
      </c>
      <c r="D30" t="str">
        <f>IF(A30="","",IF(A30="[FÓRMULA MANUAL]","",IFERROR(AVERAGEIFS(DATOS!$K$2:$K$20000,DATOS!$A$2:$A$20000,A30,DATOS!$G$2:$G$20000,CONFIG_METADATA!$B$4,DATOS!$I$2:$I$20000,"Conjunto"),"")))</f>
        <v/>
      </c>
      <c r="E30" t="str">
        <f>IF(A30="","",IF(A30="[FÓRMULA MANUAL]","",IFERROR(SUMPRODUCT((DATOS!$A$2:$A$20000=A30)*(DATOS!$G$2:$G$20000=CONFIG_METADATA!$B$4)*(COUNTIF(CONFIG_ASIGNATURAS!$B$7:$B$27,DATOS!$I$2:$I$20000)&gt;0)*(DATOS!$K$2:$K$20000))/SUMPRODUCT((DATOS!$A$2:$A$20000=A30)*(DATOS!$G$2:$G$20000=CONFIG_METADATA!$B$4)*(COUNTIF(CONFIG_ASIGNATURAS!$B$7:$B$27,DATOS!$I$2:$I$20000)&gt;0)*1),"")))</f>
        <v/>
      </c>
      <c r="H30" t="str">
        <f>IF(G30="","",IF(G30="[FÓRMULA MANUAL]","",IFERROR(AVERAGEIFS(DATOS!$K$2:$K$20000,DATOS!$A$2:$A$20000,G30,DATOS!$G$2:$G$20000,CONFIG_METADATA!$B$4,DATOS!$I$2:$I$20000,"Lenguaje Musical"),"")))</f>
        <v/>
      </c>
      <c r="I30" t="str">
        <f>IF(G30="","",IF(G30="[FÓRMULA MANUAL]","",IFERROR(AVERAGEIFS(DATOS!$K$2:$K$20000,DATOS!$A$2:$A$20000,G30,DATOS!$G$2:$G$20000,CONFIG_METADATA!$B$4,DATOS!$I$2:$I$20000,"Orquesta/Banda/Conjunto"),"")))</f>
        <v/>
      </c>
      <c r="J30" t="str">
        <f>IF(G30="","",IF(G30="[FÓRMULA MANUAL]","",IFERROR(AVERAGEIFS(DATOS!$K$2:$K$20000,DATOS!$A$2:$A$20000,G30,DATOS!$G$2:$G$20000,CONFIG_METADATA!$B$4,DATOS!$I$2:$I$20000,"Conjunto"),"")))</f>
        <v/>
      </c>
      <c r="K30" t="str">
        <f>IF(G30="","",IF(G30="[FÓRMULA MANUAL]","",IFERROR(SUMPRODUCT((DATOS!$A$2:$A$20000=G30)*(DATOS!$G$2:$G$20000=CONFIG_METADATA!$B$4)*(COUNTIF(CONFIG_ASIGNATURAS!$B$7:$B$27,DATOS!$I$2:$I$20000)&gt;0)*(DATOS!$K$2:$K$20000))/SUMPRODUCT((DATOS!$A$2:$A$20000=G30)*(DATOS!$G$2:$G$20000=CONFIG_METADATA!$B$4)*(COUNTIF(CONFIG_ASIGNATURAS!$B$7:$B$27,DATOS!$I$2:$I$20000)&gt;0)*1),"")))</f>
        <v/>
      </c>
      <c r="N30" t="str">
        <f>IF(M30="","",IF(M30="[FÓRMULA MANUAL]","",IFERROR(AVERAGEIFS(DATOS!$K$2:$K$20000,DATOS!$A$2:$A$20000,M30,DATOS!$G$2:$G$20000,CONFIG_METADATA!$B$4,DATOS!$I$2:$I$20000,"Armonía"),"")))</f>
        <v/>
      </c>
      <c r="O30" t="str">
        <f>IF(M30="","",IF(M30="[FÓRMULA MANUAL]","",IFERROR(AVERAGEIFS(DATOS!$K$2:$K$20000,DATOS!$A$2:$A$20000,M30,DATOS!$G$2:$G$20000,CONFIG_METADATA!$B$4,DATOS!$I$2:$I$20000,"Orquesta/Banda/Conjunto"),"")))</f>
        <v/>
      </c>
      <c r="P30" t="str">
        <f>IF(M30="","",IF(M30="[FÓRMULA MANUAL]","",IFERROR(AVERAGEIFS(DATOS!$K$2:$K$20000,DATOS!$A$2:$A$20000,M30,DATOS!$G$2:$G$20000,CONFIG_METADATA!$B$4,DATOS!$I$2:$I$20000,"Música de Cámara"),"")))</f>
        <v/>
      </c>
      <c r="Q30" t="str">
        <f>IF(M30="","",IF(M30="[FÓRMULA MANUAL]","",IFERROR(SUMPRODUCT((DATOS!$A$2:$A$20000=M30)*(DATOS!$G$2:$G$20000=CONFIG_METADATA!$B$4)*(COUNTIF(CONFIG_ASIGNATURAS!$B$7:$B$27,DATOS!$I$2:$I$20000)&gt;0)*(DATOS!$K$2:$K$20000))/SUMPRODUCT((DATOS!$A$2:$A$20000=M30)*(DATOS!$G$2:$G$20000=CONFIG_METADATA!$B$4)*(COUNTIF(CONFIG_ASIGNATURAS!$B$7:$B$27,DATOS!$I$2:$I$20000)&gt;0)*1),"")))</f>
        <v/>
      </c>
      <c r="T30" t="str">
        <f>IF(S30="","",IF(S30="[FÓRMULA MANUAL]","",IFERROR(AVERAGEIFS(DATOS!$K$2:$K$20000,DATOS!$A$2:$A$20000,S30,DATOS!$G$2:$G$20000,CONFIG_METADATA!$B$4,DATOS!$I$2:$I$20000,"Armonía"),"")))</f>
        <v/>
      </c>
      <c r="U30" t="str">
        <f>IF(S30="","",IF(S30="[FÓRMULA MANUAL]","",IFERROR(AVERAGEIFS(DATOS!$K$2:$K$20000,DATOS!$A$2:$A$20000,S30,DATOS!$G$2:$G$20000,CONFIG_METADATA!$B$4,DATOS!$I$2:$I$20000,"Orquesta/Banda/Conjunto"),"")))</f>
        <v/>
      </c>
      <c r="V30" t="str">
        <f>IF(S30="","",IF(S30="[FÓRMULA MANUAL]","",IFERROR(AVERAGEIFS(DATOS!$K$2:$K$20000,DATOS!$A$2:$A$20000,S30,DATOS!$G$2:$G$20000,CONFIG_METADATA!$B$4,DATOS!$I$2:$I$20000,"Música de Cámara"),"")))</f>
        <v/>
      </c>
      <c r="W30" t="str">
        <f>IF(S30="","",IF(S30="[FÓRMULA MANUAL]","",IFERROR(SUMPRODUCT((DATOS!$A$2:$A$20000=S30)*(DATOS!$G$2:$G$20000=CONFIG_METADATA!$B$4)*(COUNTIF(CONFIG_ASIGNATURAS!$B$7:$B$27,DATOS!$I$2:$I$20000)&gt;0)*(DATOS!$K$2:$K$20000))/SUMPRODUCT((DATOS!$A$2:$A$20000=S30)*(DATOS!$G$2:$G$20000=CONFIG_METADATA!$B$4)*(COUNTIF(CONFIG_ASIGNATURAS!$B$7:$B$27,DATOS!$I$2:$I$20000)&gt;0)*1),"")))</f>
        <v/>
      </c>
      <c r="Z30" t="str">
        <f>IF(Y30="","",IF(Y30="[FÓRMULA MANUAL]","",IFERROR(AVERAGEIFS(DATOS!$K$2:$K$20000,DATOS!$A$2:$A$20000,Y30,DATOS!$G$2:$G$20000,CONFIG_METADATA!$B$4,DATOS!$I$2:$I$20000,"Análisis"),"")))</f>
        <v/>
      </c>
      <c r="AA30" t="str">
        <f>IF(Y30="","",IF(Y30="[FÓRMULA MANUAL]","",IFERROR(AVERAGEIFS(DATOS!$K$2:$K$20000,DATOS!$A$2:$A$20000,Y30,DATOS!$G$2:$G$20000,CONFIG_METADATA!$B$4,DATOS!$I$2:$I$20000,"Orquesta/Banda/Conjunto"),"")))</f>
        <v/>
      </c>
      <c r="AB30" t="str">
        <f>IF(Y30="","",IF(Y30="[FÓRMULA MANUAL]","",IFERROR(AVERAGEIFS(DATOS!$K$2:$K$20000,DATOS!$A$2:$A$20000,Y30,DATOS!$G$2:$G$20000,CONFIG_METADATA!$B$4,DATOS!$I$2:$I$20000,"Música de Cámara"),"")))</f>
        <v/>
      </c>
      <c r="AC30" t="str">
        <f>IF(Y30="","",IF(Y30="[FÓRMULA MANUAL]","",IFERROR(SUMPRODUCT((DATOS!$A$2:$A$20000=Y30)*(DATOS!$G$2:$G$20000=CONFIG_METADATA!$B$4)*(COUNTIF(CONFIG_ASIGNATURAS!$B$7:$B$27,DATOS!$I$2:$I$20000)&gt;0)*(DATOS!$K$2:$K$20000))/SUMPRODUCT((DATOS!$A$2:$A$20000=Y30)*(DATOS!$G$2:$G$20000=CONFIG_METADATA!$B$4)*(COUNTIF(CONFIG_ASIGNATURAS!$B$7:$B$27,DATOS!$I$2:$I$20000)&gt;0)*1),"")))</f>
        <v/>
      </c>
      <c r="AF30" t="str">
        <f>IF(AE30="","",IF(AE30="[FÓRMULA MANUAL]","",IFERROR(AVERAGEIFS(DATOS!$K$2:$K$20000,DATOS!$A$2:$A$20000,AE30,DATOS!$G$2:$G$20000,CONFIG_METADATA!$B$4,DATOS!$I$2:$I$20000,"Análisis"),"")))</f>
        <v/>
      </c>
      <c r="AG30" t="str">
        <f>IF(AE30="","",IF(AE30="[FÓRMULA MANUAL]","",IFERROR(AVERAGEIFS(DATOS!$K$2:$K$20000,DATOS!$A$2:$A$20000,AE30,DATOS!$G$2:$G$20000,CONFIG_METADATA!$B$4,DATOS!$I$2:$I$20000,"Orquesta/Banda/Conjunto"),"")))</f>
        <v/>
      </c>
      <c r="AH30" t="str">
        <f>IF(AE30="","",IF(AE30="[FÓRMULA MANUAL]","",IFERROR(AVERAGEIFS(DATOS!$K$2:$K$20000,DATOS!$A$2:$A$20000,AE30,DATOS!$G$2:$G$20000,CONFIG_METADATA!$B$4,DATOS!$I$2:$I$20000,"Música de Cámara"),"")))</f>
        <v/>
      </c>
      <c r="AI30" t="str">
        <f>IF(AE30="","",IF(AE30="[FÓRMULA MANUAL]","",IFERROR(SUMPRODUCT((DATOS!$A$2:$A$20000=AE30)*(DATOS!$G$2:$G$20000=CONFIG_METADATA!$B$4)*(COUNTIF(CONFIG_ASIGNATURAS!$B$7:$B$27,DATOS!$I$2:$I$20000)&gt;0)*(DATOS!$K$2:$K$20000))/SUMPRODUCT((DATOS!$A$2:$A$20000=AE30)*(DATOS!$G$2:$G$20000=CONFIG_METADATA!$B$4)*(COUNTIF(CONFIG_ASIGNATURAS!$B$7:$B$27,DATOS!$I$2:$I$20000)&gt;0)*1),"")))</f>
        <v/>
      </c>
    </row>
    <row r="31" spans="2:35" x14ac:dyDescent="0.2">
      <c r="B31" t="str">
        <f>IF(A31="","",IF(A31="[FÓRMULA MANUAL]","",IFERROR(AVERAGEIFS(DATOS!$K$2:$K$20000,DATOS!$A$2:$A$20000,A31,DATOS!$G$2:$G$20000,CONFIG_METADATA!$B$4,DATOS!$I$2:$I$20000,"Lenguaje Musical"),"")))</f>
        <v/>
      </c>
      <c r="C31" t="str">
        <f>IF(A31="","",IF(A31="[FÓRMULA MANUAL]","",IFERROR(AVERAGEIFS(DATOS!$K$2:$K$20000,DATOS!$A$2:$A$20000,A31,DATOS!$G$2:$G$20000,CONFIG_METADATA!$B$4,DATOS!$I$2:$I$20000,"Orquesta/Banda/Conjunto"),"")))</f>
        <v/>
      </c>
      <c r="D31" t="str">
        <f>IF(A31="","",IF(A31="[FÓRMULA MANUAL]","",IFERROR(AVERAGEIFS(DATOS!$K$2:$K$20000,DATOS!$A$2:$A$20000,A31,DATOS!$G$2:$G$20000,CONFIG_METADATA!$B$4,DATOS!$I$2:$I$20000,"Conjunto"),"")))</f>
        <v/>
      </c>
      <c r="E31" t="str">
        <f>IF(A31="","",IF(A31="[FÓRMULA MANUAL]","",IFERROR(SUMPRODUCT((DATOS!$A$2:$A$20000=A31)*(DATOS!$G$2:$G$20000=CONFIG_METADATA!$B$4)*(COUNTIF(CONFIG_ASIGNATURAS!$B$7:$B$27,DATOS!$I$2:$I$20000)&gt;0)*(DATOS!$K$2:$K$20000))/SUMPRODUCT((DATOS!$A$2:$A$20000=A31)*(DATOS!$G$2:$G$20000=CONFIG_METADATA!$B$4)*(COUNTIF(CONFIG_ASIGNATURAS!$B$7:$B$27,DATOS!$I$2:$I$20000)&gt;0)*1),"")))</f>
        <v/>
      </c>
      <c r="H31" t="str">
        <f>IF(G31="","",IF(G31="[FÓRMULA MANUAL]","",IFERROR(AVERAGEIFS(DATOS!$K$2:$K$20000,DATOS!$A$2:$A$20000,G31,DATOS!$G$2:$G$20000,CONFIG_METADATA!$B$4,DATOS!$I$2:$I$20000,"Lenguaje Musical"),"")))</f>
        <v/>
      </c>
      <c r="I31" t="str">
        <f>IF(G31="","",IF(G31="[FÓRMULA MANUAL]","",IFERROR(AVERAGEIFS(DATOS!$K$2:$K$20000,DATOS!$A$2:$A$20000,G31,DATOS!$G$2:$G$20000,CONFIG_METADATA!$B$4,DATOS!$I$2:$I$20000,"Orquesta/Banda/Conjunto"),"")))</f>
        <v/>
      </c>
      <c r="J31" t="str">
        <f>IF(G31="","",IF(G31="[FÓRMULA MANUAL]","",IFERROR(AVERAGEIFS(DATOS!$K$2:$K$20000,DATOS!$A$2:$A$20000,G31,DATOS!$G$2:$G$20000,CONFIG_METADATA!$B$4,DATOS!$I$2:$I$20000,"Conjunto"),"")))</f>
        <v/>
      </c>
      <c r="K31" t="str">
        <f>IF(G31="","",IF(G31="[FÓRMULA MANUAL]","",IFERROR(SUMPRODUCT((DATOS!$A$2:$A$20000=G31)*(DATOS!$G$2:$G$20000=CONFIG_METADATA!$B$4)*(COUNTIF(CONFIG_ASIGNATURAS!$B$7:$B$27,DATOS!$I$2:$I$20000)&gt;0)*(DATOS!$K$2:$K$20000))/SUMPRODUCT((DATOS!$A$2:$A$20000=G31)*(DATOS!$G$2:$G$20000=CONFIG_METADATA!$B$4)*(COUNTIF(CONFIG_ASIGNATURAS!$B$7:$B$27,DATOS!$I$2:$I$20000)&gt;0)*1),"")))</f>
        <v/>
      </c>
      <c r="N31" t="str">
        <f>IF(M31="","",IF(M31="[FÓRMULA MANUAL]","",IFERROR(AVERAGEIFS(DATOS!$K$2:$K$20000,DATOS!$A$2:$A$20000,M31,DATOS!$G$2:$G$20000,CONFIG_METADATA!$B$4,DATOS!$I$2:$I$20000,"Armonía"),"")))</f>
        <v/>
      </c>
      <c r="O31" t="str">
        <f>IF(M31="","",IF(M31="[FÓRMULA MANUAL]","",IFERROR(AVERAGEIFS(DATOS!$K$2:$K$20000,DATOS!$A$2:$A$20000,M31,DATOS!$G$2:$G$20000,CONFIG_METADATA!$B$4,DATOS!$I$2:$I$20000,"Orquesta/Banda/Conjunto"),"")))</f>
        <v/>
      </c>
      <c r="P31" t="str">
        <f>IF(M31="","",IF(M31="[FÓRMULA MANUAL]","",IFERROR(AVERAGEIFS(DATOS!$K$2:$K$20000,DATOS!$A$2:$A$20000,M31,DATOS!$G$2:$G$20000,CONFIG_METADATA!$B$4,DATOS!$I$2:$I$20000,"Música de Cámara"),"")))</f>
        <v/>
      </c>
      <c r="Q31" t="str">
        <f>IF(M31="","",IF(M31="[FÓRMULA MANUAL]","",IFERROR(SUMPRODUCT((DATOS!$A$2:$A$20000=M31)*(DATOS!$G$2:$G$20000=CONFIG_METADATA!$B$4)*(COUNTIF(CONFIG_ASIGNATURAS!$B$7:$B$27,DATOS!$I$2:$I$20000)&gt;0)*(DATOS!$K$2:$K$20000))/SUMPRODUCT((DATOS!$A$2:$A$20000=M31)*(DATOS!$G$2:$G$20000=CONFIG_METADATA!$B$4)*(COUNTIF(CONFIG_ASIGNATURAS!$B$7:$B$27,DATOS!$I$2:$I$20000)&gt;0)*1),"")))</f>
        <v/>
      </c>
      <c r="T31" t="str">
        <f>IF(S31="","",IF(S31="[FÓRMULA MANUAL]","",IFERROR(AVERAGEIFS(DATOS!$K$2:$K$20000,DATOS!$A$2:$A$20000,S31,DATOS!$G$2:$G$20000,CONFIG_METADATA!$B$4,DATOS!$I$2:$I$20000,"Armonía"),"")))</f>
        <v/>
      </c>
      <c r="U31" t="str">
        <f>IF(S31="","",IF(S31="[FÓRMULA MANUAL]","",IFERROR(AVERAGEIFS(DATOS!$K$2:$K$20000,DATOS!$A$2:$A$20000,S31,DATOS!$G$2:$G$20000,CONFIG_METADATA!$B$4,DATOS!$I$2:$I$20000,"Orquesta/Banda/Conjunto"),"")))</f>
        <v/>
      </c>
      <c r="V31" t="str">
        <f>IF(S31="","",IF(S31="[FÓRMULA MANUAL]","",IFERROR(AVERAGEIFS(DATOS!$K$2:$K$20000,DATOS!$A$2:$A$20000,S31,DATOS!$G$2:$G$20000,CONFIG_METADATA!$B$4,DATOS!$I$2:$I$20000,"Música de Cámara"),"")))</f>
        <v/>
      </c>
      <c r="W31" t="str">
        <f>IF(S31="","",IF(S31="[FÓRMULA MANUAL]","",IFERROR(SUMPRODUCT((DATOS!$A$2:$A$20000=S31)*(DATOS!$G$2:$G$20000=CONFIG_METADATA!$B$4)*(COUNTIF(CONFIG_ASIGNATURAS!$B$7:$B$27,DATOS!$I$2:$I$20000)&gt;0)*(DATOS!$K$2:$K$20000))/SUMPRODUCT((DATOS!$A$2:$A$20000=S31)*(DATOS!$G$2:$G$20000=CONFIG_METADATA!$B$4)*(COUNTIF(CONFIG_ASIGNATURAS!$B$7:$B$27,DATOS!$I$2:$I$20000)&gt;0)*1),"")))</f>
        <v/>
      </c>
      <c r="Z31" t="str">
        <f>IF(Y31="","",IF(Y31="[FÓRMULA MANUAL]","",IFERROR(AVERAGEIFS(DATOS!$K$2:$K$20000,DATOS!$A$2:$A$20000,Y31,DATOS!$G$2:$G$20000,CONFIG_METADATA!$B$4,DATOS!$I$2:$I$20000,"Análisis"),"")))</f>
        <v/>
      </c>
      <c r="AA31" t="str">
        <f>IF(Y31="","",IF(Y31="[FÓRMULA MANUAL]","",IFERROR(AVERAGEIFS(DATOS!$K$2:$K$20000,DATOS!$A$2:$A$20000,Y31,DATOS!$G$2:$G$20000,CONFIG_METADATA!$B$4,DATOS!$I$2:$I$20000,"Orquesta/Banda/Conjunto"),"")))</f>
        <v/>
      </c>
      <c r="AB31" t="str">
        <f>IF(Y31="","",IF(Y31="[FÓRMULA MANUAL]","",IFERROR(AVERAGEIFS(DATOS!$K$2:$K$20000,DATOS!$A$2:$A$20000,Y31,DATOS!$G$2:$G$20000,CONFIG_METADATA!$B$4,DATOS!$I$2:$I$20000,"Música de Cámara"),"")))</f>
        <v/>
      </c>
      <c r="AC31" t="str">
        <f>IF(Y31="","",IF(Y31="[FÓRMULA MANUAL]","",IFERROR(SUMPRODUCT((DATOS!$A$2:$A$20000=Y31)*(DATOS!$G$2:$G$20000=CONFIG_METADATA!$B$4)*(COUNTIF(CONFIG_ASIGNATURAS!$B$7:$B$27,DATOS!$I$2:$I$20000)&gt;0)*(DATOS!$K$2:$K$20000))/SUMPRODUCT((DATOS!$A$2:$A$20000=Y31)*(DATOS!$G$2:$G$20000=CONFIG_METADATA!$B$4)*(COUNTIF(CONFIG_ASIGNATURAS!$B$7:$B$27,DATOS!$I$2:$I$20000)&gt;0)*1),"")))</f>
        <v/>
      </c>
      <c r="AF31" t="str">
        <f>IF(AE31="","",IF(AE31="[FÓRMULA MANUAL]","",IFERROR(AVERAGEIFS(DATOS!$K$2:$K$20000,DATOS!$A$2:$A$20000,AE31,DATOS!$G$2:$G$20000,CONFIG_METADATA!$B$4,DATOS!$I$2:$I$20000,"Análisis"),"")))</f>
        <v/>
      </c>
      <c r="AG31" t="str">
        <f>IF(AE31="","",IF(AE31="[FÓRMULA MANUAL]","",IFERROR(AVERAGEIFS(DATOS!$K$2:$K$20000,DATOS!$A$2:$A$20000,AE31,DATOS!$G$2:$G$20000,CONFIG_METADATA!$B$4,DATOS!$I$2:$I$20000,"Orquesta/Banda/Conjunto"),"")))</f>
        <v/>
      </c>
      <c r="AH31" t="str">
        <f>IF(AE31="","",IF(AE31="[FÓRMULA MANUAL]","",IFERROR(AVERAGEIFS(DATOS!$K$2:$K$20000,DATOS!$A$2:$A$20000,AE31,DATOS!$G$2:$G$20000,CONFIG_METADATA!$B$4,DATOS!$I$2:$I$20000,"Música de Cámara"),"")))</f>
        <v/>
      </c>
      <c r="AI31" t="str">
        <f>IF(AE31="","",IF(AE31="[FÓRMULA MANUAL]","",IFERROR(SUMPRODUCT((DATOS!$A$2:$A$20000=AE31)*(DATOS!$G$2:$G$20000=CONFIG_METADATA!$B$4)*(COUNTIF(CONFIG_ASIGNATURAS!$B$7:$B$27,DATOS!$I$2:$I$20000)&gt;0)*(DATOS!$K$2:$K$20000))/SUMPRODUCT((DATOS!$A$2:$A$20000=AE31)*(DATOS!$G$2:$G$20000=CONFIG_METADATA!$B$4)*(COUNTIF(CONFIG_ASIGNATURAS!$B$7:$B$27,DATOS!$I$2:$I$20000)&gt;0)*1),"")))</f>
        <v/>
      </c>
    </row>
    <row r="32" spans="2:35" x14ac:dyDescent="0.2">
      <c r="B32" t="str">
        <f>IF(A32="","",IF(A32="[FÓRMULA MANUAL]","",IFERROR(AVERAGEIFS(DATOS!$K$2:$K$20000,DATOS!$A$2:$A$20000,A32,DATOS!$G$2:$G$20000,CONFIG_METADATA!$B$4,DATOS!$I$2:$I$20000,"Lenguaje Musical"),"")))</f>
        <v/>
      </c>
      <c r="C32" t="str">
        <f>IF(A32="","",IF(A32="[FÓRMULA MANUAL]","",IFERROR(AVERAGEIFS(DATOS!$K$2:$K$20000,DATOS!$A$2:$A$20000,A32,DATOS!$G$2:$G$20000,CONFIG_METADATA!$B$4,DATOS!$I$2:$I$20000,"Orquesta/Banda/Conjunto"),"")))</f>
        <v/>
      </c>
      <c r="D32" t="str">
        <f>IF(A32="","",IF(A32="[FÓRMULA MANUAL]","",IFERROR(AVERAGEIFS(DATOS!$K$2:$K$20000,DATOS!$A$2:$A$20000,A32,DATOS!$G$2:$G$20000,CONFIG_METADATA!$B$4,DATOS!$I$2:$I$20000,"Conjunto"),"")))</f>
        <v/>
      </c>
      <c r="E32" t="str">
        <f>IF(A32="","",IF(A32="[FÓRMULA MANUAL]","",IFERROR(SUMPRODUCT((DATOS!$A$2:$A$20000=A32)*(DATOS!$G$2:$G$20000=CONFIG_METADATA!$B$4)*(COUNTIF(CONFIG_ASIGNATURAS!$B$7:$B$27,DATOS!$I$2:$I$20000)&gt;0)*(DATOS!$K$2:$K$20000))/SUMPRODUCT((DATOS!$A$2:$A$20000=A32)*(DATOS!$G$2:$G$20000=CONFIG_METADATA!$B$4)*(COUNTIF(CONFIG_ASIGNATURAS!$B$7:$B$27,DATOS!$I$2:$I$20000)&gt;0)*1),"")))</f>
        <v/>
      </c>
      <c r="H32" t="str">
        <f>IF(G32="","",IF(G32="[FÓRMULA MANUAL]","",IFERROR(AVERAGEIFS(DATOS!$K$2:$K$20000,DATOS!$A$2:$A$20000,G32,DATOS!$G$2:$G$20000,CONFIG_METADATA!$B$4,DATOS!$I$2:$I$20000,"Lenguaje Musical"),"")))</f>
        <v/>
      </c>
      <c r="I32" t="str">
        <f>IF(G32="","",IF(G32="[FÓRMULA MANUAL]","",IFERROR(AVERAGEIFS(DATOS!$K$2:$K$20000,DATOS!$A$2:$A$20000,G32,DATOS!$G$2:$G$20000,CONFIG_METADATA!$B$4,DATOS!$I$2:$I$20000,"Orquesta/Banda/Conjunto"),"")))</f>
        <v/>
      </c>
      <c r="J32" t="str">
        <f>IF(G32="","",IF(G32="[FÓRMULA MANUAL]","",IFERROR(AVERAGEIFS(DATOS!$K$2:$K$20000,DATOS!$A$2:$A$20000,G32,DATOS!$G$2:$G$20000,CONFIG_METADATA!$B$4,DATOS!$I$2:$I$20000,"Conjunto"),"")))</f>
        <v/>
      </c>
      <c r="K32" t="str">
        <f>IF(G32="","",IF(G32="[FÓRMULA MANUAL]","",IFERROR(SUMPRODUCT((DATOS!$A$2:$A$20000=G32)*(DATOS!$G$2:$G$20000=CONFIG_METADATA!$B$4)*(COUNTIF(CONFIG_ASIGNATURAS!$B$7:$B$27,DATOS!$I$2:$I$20000)&gt;0)*(DATOS!$K$2:$K$20000))/SUMPRODUCT((DATOS!$A$2:$A$20000=G32)*(DATOS!$G$2:$G$20000=CONFIG_METADATA!$B$4)*(COUNTIF(CONFIG_ASIGNATURAS!$B$7:$B$27,DATOS!$I$2:$I$20000)&gt;0)*1),"")))</f>
        <v/>
      </c>
      <c r="N32" t="str">
        <f>IF(M32="","",IF(M32="[FÓRMULA MANUAL]","",IFERROR(AVERAGEIFS(DATOS!$K$2:$K$20000,DATOS!$A$2:$A$20000,M32,DATOS!$G$2:$G$20000,CONFIG_METADATA!$B$4,DATOS!$I$2:$I$20000,"Armonía"),"")))</f>
        <v/>
      </c>
      <c r="O32" t="str">
        <f>IF(M32="","",IF(M32="[FÓRMULA MANUAL]","",IFERROR(AVERAGEIFS(DATOS!$K$2:$K$20000,DATOS!$A$2:$A$20000,M32,DATOS!$G$2:$G$20000,CONFIG_METADATA!$B$4,DATOS!$I$2:$I$20000,"Orquesta/Banda/Conjunto"),"")))</f>
        <v/>
      </c>
      <c r="P32" t="str">
        <f>IF(M32="","",IF(M32="[FÓRMULA MANUAL]","",IFERROR(AVERAGEIFS(DATOS!$K$2:$K$20000,DATOS!$A$2:$A$20000,M32,DATOS!$G$2:$G$20000,CONFIG_METADATA!$B$4,DATOS!$I$2:$I$20000,"Música de Cámara"),"")))</f>
        <v/>
      </c>
      <c r="Q32" t="str">
        <f>IF(M32="","",IF(M32="[FÓRMULA MANUAL]","",IFERROR(SUMPRODUCT((DATOS!$A$2:$A$20000=M32)*(DATOS!$G$2:$G$20000=CONFIG_METADATA!$B$4)*(COUNTIF(CONFIG_ASIGNATURAS!$B$7:$B$27,DATOS!$I$2:$I$20000)&gt;0)*(DATOS!$K$2:$K$20000))/SUMPRODUCT((DATOS!$A$2:$A$20000=M32)*(DATOS!$G$2:$G$20000=CONFIG_METADATA!$B$4)*(COUNTIF(CONFIG_ASIGNATURAS!$B$7:$B$27,DATOS!$I$2:$I$20000)&gt;0)*1),"")))</f>
        <v/>
      </c>
      <c r="T32" t="str">
        <f>IF(S32="","",IF(S32="[FÓRMULA MANUAL]","",IFERROR(AVERAGEIFS(DATOS!$K$2:$K$20000,DATOS!$A$2:$A$20000,S32,DATOS!$G$2:$G$20000,CONFIG_METADATA!$B$4,DATOS!$I$2:$I$20000,"Armonía"),"")))</f>
        <v/>
      </c>
      <c r="U32" t="str">
        <f>IF(S32="","",IF(S32="[FÓRMULA MANUAL]","",IFERROR(AVERAGEIFS(DATOS!$K$2:$K$20000,DATOS!$A$2:$A$20000,S32,DATOS!$G$2:$G$20000,CONFIG_METADATA!$B$4,DATOS!$I$2:$I$20000,"Orquesta/Banda/Conjunto"),"")))</f>
        <v/>
      </c>
      <c r="V32" t="str">
        <f>IF(S32="","",IF(S32="[FÓRMULA MANUAL]","",IFERROR(AVERAGEIFS(DATOS!$K$2:$K$20000,DATOS!$A$2:$A$20000,S32,DATOS!$G$2:$G$20000,CONFIG_METADATA!$B$4,DATOS!$I$2:$I$20000,"Música de Cámara"),"")))</f>
        <v/>
      </c>
      <c r="W32" t="str">
        <f>IF(S32="","",IF(S32="[FÓRMULA MANUAL]","",IFERROR(SUMPRODUCT((DATOS!$A$2:$A$20000=S32)*(DATOS!$G$2:$G$20000=CONFIG_METADATA!$B$4)*(COUNTIF(CONFIG_ASIGNATURAS!$B$7:$B$27,DATOS!$I$2:$I$20000)&gt;0)*(DATOS!$K$2:$K$20000))/SUMPRODUCT((DATOS!$A$2:$A$20000=S32)*(DATOS!$G$2:$G$20000=CONFIG_METADATA!$B$4)*(COUNTIF(CONFIG_ASIGNATURAS!$B$7:$B$27,DATOS!$I$2:$I$20000)&gt;0)*1),"")))</f>
        <v/>
      </c>
      <c r="Z32" t="str">
        <f>IF(Y32="","",IF(Y32="[FÓRMULA MANUAL]","",IFERROR(AVERAGEIFS(DATOS!$K$2:$K$20000,DATOS!$A$2:$A$20000,Y32,DATOS!$G$2:$G$20000,CONFIG_METADATA!$B$4,DATOS!$I$2:$I$20000,"Análisis"),"")))</f>
        <v/>
      </c>
      <c r="AA32" t="str">
        <f>IF(Y32="","",IF(Y32="[FÓRMULA MANUAL]","",IFERROR(AVERAGEIFS(DATOS!$K$2:$K$20000,DATOS!$A$2:$A$20000,Y32,DATOS!$G$2:$G$20000,CONFIG_METADATA!$B$4,DATOS!$I$2:$I$20000,"Orquesta/Banda/Conjunto"),"")))</f>
        <v/>
      </c>
      <c r="AB32" t="str">
        <f>IF(Y32="","",IF(Y32="[FÓRMULA MANUAL]","",IFERROR(AVERAGEIFS(DATOS!$K$2:$K$20000,DATOS!$A$2:$A$20000,Y32,DATOS!$G$2:$G$20000,CONFIG_METADATA!$B$4,DATOS!$I$2:$I$20000,"Música de Cámara"),"")))</f>
        <v/>
      </c>
      <c r="AC32" t="str">
        <f>IF(Y32="","",IF(Y32="[FÓRMULA MANUAL]","",IFERROR(SUMPRODUCT((DATOS!$A$2:$A$20000=Y32)*(DATOS!$G$2:$G$20000=CONFIG_METADATA!$B$4)*(COUNTIF(CONFIG_ASIGNATURAS!$B$7:$B$27,DATOS!$I$2:$I$20000)&gt;0)*(DATOS!$K$2:$K$20000))/SUMPRODUCT((DATOS!$A$2:$A$20000=Y32)*(DATOS!$G$2:$G$20000=CONFIG_METADATA!$B$4)*(COUNTIF(CONFIG_ASIGNATURAS!$B$7:$B$27,DATOS!$I$2:$I$20000)&gt;0)*1),"")))</f>
        <v/>
      </c>
      <c r="AF32" t="str">
        <f>IF(AE32="","",IF(AE32="[FÓRMULA MANUAL]","",IFERROR(AVERAGEIFS(DATOS!$K$2:$K$20000,DATOS!$A$2:$A$20000,AE32,DATOS!$G$2:$G$20000,CONFIG_METADATA!$B$4,DATOS!$I$2:$I$20000,"Análisis"),"")))</f>
        <v/>
      </c>
      <c r="AG32" t="str">
        <f>IF(AE32="","",IF(AE32="[FÓRMULA MANUAL]","",IFERROR(AVERAGEIFS(DATOS!$K$2:$K$20000,DATOS!$A$2:$A$20000,AE32,DATOS!$G$2:$G$20000,CONFIG_METADATA!$B$4,DATOS!$I$2:$I$20000,"Orquesta/Banda/Conjunto"),"")))</f>
        <v/>
      </c>
      <c r="AH32" t="str">
        <f>IF(AE32="","",IF(AE32="[FÓRMULA MANUAL]","",IFERROR(AVERAGEIFS(DATOS!$K$2:$K$20000,DATOS!$A$2:$A$20000,AE32,DATOS!$G$2:$G$20000,CONFIG_METADATA!$B$4,DATOS!$I$2:$I$20000,"Música de Cámara"),"")))</f>
        <v/>
      </c>
      <c r="AI32" t="str">
        <f>IF(AE32="","",IF(AE32="[FÓRMULA MANUAL]","",IFERROR(SUMPRODUCT((DATOS!$A$2:$A$20000=AE32)*(DATOS!$G$2:$G$20000=CONFIG_METADATA!$B$4)*(COUNTIF(CONFIG_ASIGNATURAS!$B$7:$B$27,DATOS!$I$2:$I$20000)&gt;0)*(DATOS!$K$2:$K$20000))/SUMPRODUCT((DATOS!$A$2:$A$20000=AE32)*(DATOS!$G$2:$G$20000=CONFIG_METADATA!$B$4)*(COUNTIF(CONFIG_ASIGNATURAS!$B$7:$B$27,DATOS!$I$2:$I$20000)&gt;0)*1),"")))</f>
        <v/>
      </c>
    </row>
    <row r="33" spans="2:35" x14ac:dyDescent="0.2">
      <c r="B33" t="str">
        <f>IF(A33="","",IF(A33="[FÓRMULA MANUAL]","",IFERROR(AVERAGEIFS(DATOS!$K$2:$K$20000,DATOS!$A$2:$A$20000,A33,DATOS!$G$2:$G$20000,CONFIG_METADATA!$B$4,DATOS!$I$2:$I$20000,"Lenguaje Musical"),"")))</f>
        <v/>
      </c>
      <c r="C33" t="str">
        <f>IF(A33="","",IF(A33="[FÓRMULA MANUAL]","",IFERROR(AVERAGEIFS(DATOS!$K$2:$K$20000,DATOS!$A$2:$A$20000,A33,DATOS!$G$2:$G$20000,CONFIG_METADATA!$B$4,DATOS!$I$2:$I$20000,"Orquesta/Banda/Conjunto"),"")))</f>
        <v/>
      </c>
      <c r="D33" t="str">
        <f>IF(A33="","",IF(A33="[FÓRMULA MANUAL]","",IFERROR(AVERAGEIFS(DATOS!$K$2:$K$20000,DATOS!$A$2:$A$20000,A33,DATOS!$G$2:$G$20000,CONFIG_METADATA!$B$4,DATOS!$I$2:$I$20000,"Conjunto"),"")))</f>
        <v/>
      </c>
      <c r="E33" t="str">
        <f>IF(A33="","",IF(A33="[FÓRMULA MANUAL]","",IFERROR(SUMPRODUCT((DATOS!$A$2:$A$20000=A33)*(DATOS!$G$2:$G$20000=CONFIG_METADATA!$B$4)*(COUNTIF(CONFIG_ASIGNATURAS!$B$7:$B$27,DATOS!$I$2:$I$20000)&gt;0)*(DATOS!$K$2:$K$20000))/SUMPRODUCT((DATOS!$A$2:$A$20000=A33)*(DATOS!$G$2:$G$20000=CONFIG_METADATA!$B$4)*(COUNTIF(CONFIG_ASIGNATURAS!$B$7:$B$27,DATOS!$I$2:$I$20000)&gt;0)*1),"")))</f>
        <v/>
      </c>
      <c r="H33" t="str">
        <f>IF(G33="","",IF(G33="[FÓRMULA MANUAL]","",IFERROR(AVERAGEIFS(DATOS!$K$2:$K$20000,DATOS!$A$2:$A$20000,G33,DATOS!$G$2:$G$20000,CONFIG_METADATA!$B$4,DATOS!$I$2:$I$20000,"Lenguaje Musical"),"")))</f>
        <v/>
      </c>
      <c r="I33" t="str">
        <f>IF(G33="","",IF(G33="[FÓRMULA MANUAL]","",IFERROR(AVERAGEIFS(DATOS!$K$2:$K$20000,DATOS!$A$2:$A$20000,G33,DATOS!$G$2:$G$20000,CONFIG_METADATA!$B$4,DATOS!$I$2:$I$20000,"Orquesta/Banda/Conjunto"),"")))</f>
        <v/>
      </c>
      <c r="J33" t="str">
        <f>IF(G33="","",IF(G33="[FÓRMULA MANUAL]","",IFERROR(AVERAGEIFS(DATOS!$K$2:$K$20000,DATOS!$A$2:$A$20000,G33,DATOS!$G$2:$G$20000,CONFIG_METADATA!$B$4,DATOS!$I$2:$I$20000,"Conjunto"),"")))</f>
        <v/>
      </c>
      <c r="K33" t="str">
        <f>IF(G33="","",IF(G33="[FÓRMULA MANUAL]","",IFERROR(SUMPRODUCT((DATOS!$A$2:$A$20000=G33)*(DATOS!$G$2:$G$20000=CONFIG_METADATA!$B$4)*(COUNTIF(CONFIG_ASIGNATURAS!$B$7:$B$27,DATOS!$I$2:$I$20000)&gt;0)*(DATOS!$K$2:$K$20000))/SUMPRODUCT((DATOS!$A$2:$A$20000=G33)*(DATOS!$G$2:$G$20000=CONFIG_METADATA!$B$4)*(COUNTIF(CONFIG_ASIGNATURAS!$B$7:$B$27,DATOS!$I$2:$I$20000)&gt;0)*1),"")))</f>
        <v/>
      </c>
      <c r="N33" t="str">
        <f>IF(M33="","",IF(M33="[FÓRMULA MANUAL]","",IFERROR(AVERAGEIFS(DATOS!$K$2:$K$20000,DATOS!$A$2:$A$20000,M33,DATOS!$G$2:$G$20000,CONFIG_METADATA!$B$4,DATOS!$I$2:$I$20000,"Armonía"),"")))</f>
        <v/>
      </c>
      <c r="O33" t="str">
        <f>IF(M33="","",IF(M33="[FÓRMULA MANUAL]","",IFERROR(AVERAGEIFS(DATOS!$K$2:$K$20000,DATOS!$A$2:$A$20000,M33,DATOS!$G$2:$G$20000,CONFIG_METADATA!$B$4,DATOS!$I$2:$I$20000,"Orquesta/Banda/Conjunto"),"")))</f>
        <v/>
      </c>
      <c r="P33" t="str">
        <f>IF(M33="","",IF(M33="[FÓRMULA MANUAL]","",IFERROR(AVERAGEIFS(DATOS!$K$2:$K$20000,DATOS!$A$2:$A$20000,M33,DATOS!$G$2:$G$20000,CONFIG_METADATA!$B$4,DATOS!$I$2:$I$20000,"Música de Cámara"),"")))</f>
        <v/>
      </c>
      <c r="Q33" t="str">
        <f>IF(M33="","",IF(M33="[FÓRMULA MANUAL]","",IFERROR(SUMPRODUCT((DATOS!$A$2:$A$20000=M33)*(DATOS!$G$2:$G$20000=CONFIG_METADATA!$B$4)*(COUNTIF(CONFIG_ASIGNATURAS!$B$7:$B$27,DATOS!$I$2:$I$20000)&gt;0)*(DATOS!$K$2:$K$20000))/SUMPRODUCT((DATOS!$A$2:$A$20000=M33)*(DATOS!$G$2:$G$20000=CONFIG_METADATA!$B$4)*(COUNTIF(CONFIG_ASIGNATURAS!$B$7:$B$27,DATOS!$I$2:$I$20000)&gt;0)*1),"")))</f>
        <v/>
      </c>
      <c r="T33" t="str">
        <f>IF(S33="","",IF(S33="[FÓRMULA MANUAL]","",IFERROR(AVERAGEIFS(DATOS!$K$2:$K$20000,DATOS!$A$2:$A$20000,S33,DATOS!$G$2:$G$20000,CONFIG_METADATA!$B$4,DATOS!$I$2:$I$20000,"Armonía"),"")))</f>
        <v/>
      </c>
      <c r="U33" t="str">
        <f>IF(S33="","",IF(S33="[FÓRMULA MANUAL]","",IFERROR(AVERAGEIFS(DATOS!$K$2:$K$20000,DATOS!$A$2:$A$20000,S33,DATOS!$G$2:$G$20000,CONFIG_METADATA!$B$4,DATOS!$I$2:$I$20000,"Orquesta/Banda/Conjunto"),"")))</f>
        <v/>
      </c>
      <c r="V33" t="str">
        <f>IF(S33="","",IF(S33="[FÓRMULA MANUAL]","",IFERROR(AVERAGEIFS(DATOS!$K$2:$K$20000,DATOS!$A$2:$A$20000,S33,DATOS!$G$2:$G$20000,CONFIG_METADATA!$B$4,DATOS!$I$2:$I$20000,"Música de Cámara"),"")))</f>
        <v/>
      </c>
      <c r="W33" t="str">
        <f>IF(S33="","",IF(S33="[FÓRMULA MANUAL]","",IFERROR(SUMPRODUCT((DATOS!$A$2:$A$20000=S33)*(DATOS!$G$2:$G$20000=CONFIG_METADATA!$B$4)*(COUNTIF(CONFIG_ASIGNATURAS!$B$7:$B$27,DATOS!$I$2:$I$20000)&gt;0)*(DATOS!$K$2:$K$20000))/SUMPRODUCT((DATOS!$A$2:$A$20000=S33)*(DATOS!$G$2:$G$20000=CONFIG_METADATA!$B$4)*(COUNTIF(CONFIG_ASIGNATURAS!$B$7:$B$27,DATOS!$I$2:$I$20000)&gt;0)*1),"")))</f>
        <v/>
      </c>
      <c r="Z33" t="str">
        <f>IF(Y33="","",IF(Y33="[FÓRMULA MANUAL]","",IFERROR(AVERAGEIFS(DATOS!$K$2:$K$20000,DATOS!$A$2:$A$20000,Y33,DATOS!$G$2:$G$20000,CONFIG_METADATA!$B$4,DATOS!$I$2:$I$20000,"Análisis"),"")))</f>
        <v/>
      </c>
      <c r="AA33" t="str">
        <f>IF(Y33="","",IF(Y33="[FÓRMULA MANUAL]","",IFERROR(AVERAGEIFS(DATOS!$K$2:$K$20000,DATOS!$A$2:$A$20000,Y33,DATOS!$G$2:$G$20000,CONFIG_METADATA!$B$4,DATOS!$I$2:$I$20000,"Orquesta/Banda/Conjunto"),"")))</f>
        <v/>
      </c>
      <c r="AB33" t="str">
        <f>IF(Y33="","",IF(Y33="[FÓRMULA MANUAL]","",IFERROR(AVERAGEIFS(DATOS!$K$2:$K$20000,DATOS!$A$2:$A$20000,Y33,DATOS!$G$2:$G$20000,CONFIG_METADATA!$B$4,DATOS!$I$2:$I$20000,"Música de Cámara"),"")))</f>
        <v/>
      </c>
      <c r="AC33" t="str">
        <f>IF(Y33="","",IF(Y33="[FÓRMULA MANUAL]","",IFERROR(SUMPRODUCT((DATOS!$A$2:$A$20000=Y33)*(DATOS!$G$2:$G$20000=CONFIG_METADATA!$B$4)*(COUNTIF(CONFIG_ASIGNATURAS!$B$7:$B$27,DATOS!$I$2:$I$20000)&gt;0)*(DATOS!$K$2:$K$20000))/SUMPRODUCT((DATOS!$A$2:$A$20000=Y33)*(DATOS!$G$2:$G$20000=CONFIG_METADATA!$B$4)*(COUNTIF(CONFIG_ASIGNATURAS!$B$7:$B$27,DATOS!$I$2:$I$20000)&gt;0)*1),"")))</f>
        <v/>
      </c>
      <c r="AF33" t="str">
        <f>IF(AE33="","",IF(AE33="[FÓRMULA MANUAL]","",IFERROR(AVERAGEIFS(DATOS!$K$2:$K$20000,DATOS!$A$2:$A$20000,AE33,DATOS!$G$2:$G$20000,CONFIG_METADATA!$B$4,DATOS!$I$2:$I$20000,"Análisis"),"")))</f>
        <v/>
      </c>
      <c r="AG33" t="str">
        <f>IF(AE33="","",IF(AE33="[FÓRMULA MANUAL]","",IFERROR(AVERAGEIFS(DATOS!$K$2:$K$20000,DATOS!$A$2:$A$20000,AE33,DATOS!$G$2:$G$20000,CONFIG_METADATA!$B$4,DATOS!$I$2:$I$20000,"Orquesta/Banda/Conjunto"),"")))</f>
        <v/>
      </c>
      <c r="AH33" t="str">
        <f>IF(AE33="","",IF(AE33="[FÓRMULA MANUAL]","",IFERROR(AVERAGEIFS(DATOS!$K$2:$K$20000,DATOS!$A$2:$A$20000,AE33,DATOS!$G$2:$G$20000,CONFIG_METADATA!$B$4,DATOS!$I$2:$I$20000,"Música de Cámara"),"")))</f>
        <v/>
      </c>
      <c r="AI33" t="str">
        <f>IF(AE33="","",IF(AE33="[FÓRMULA MANUAL]","",IFERROR(SUMPRODUCT((DATOS!$A$2:$A$20000=AE33)*(DATOS!$G$2:$G$20000=CONFIG_METADATA!$B$4)*(COUNTIF(CONFIG_ASIGNATURAS!$B$7:$B$27,DATOS!$I$2:$I$20000)&gt;0)*(DATOS!$K$2:$K$20000))/SUMPRODUCT((DATOS!$A$2:$A$20000=AE33)*(DATOS!$G$2:$G$20000=CONFIG_METADATA!$B$4)*(COUNTIF(CONFIG_ASIGNATURAS!$B$7:$B$27,DATOS!$I$2:$I$20000)&gt;0)*1),"")))</f>
        <v/>
      </c>
    </row>
    <row r="34" spans="2:35" x14ac:dyDescent="0.2">
      <c r="B34" t="str">
        <f>IF(A34="","",IF(A34="[FÓRMULA MANUAL]","",IFERROR(AVERAGEIFS(DATOS!$K$2:$K$20000,DATOS!$A$2:$A$20000,A34,DATOS!$G$2:$G$20000,CONFIG_METADATA!$B$4,DATOS!$I$2:$I$20000,"Lenguaje Musical"),"")))</f>
        <v/>
      </c>
      <c r="C34" t="str">
        <f>IF(A34="","",IF(A34="[FÓRMULA MANUAL]","",IFERROR(AVERAGEIFS(DATOS!$K$2:$K$20000,DATOS!$A$2:$A$20000,A34,DATOS!$G$2:$G$20000,CONFIG_METADATA!$B$4,DATOS!$I$2:$I$20000,"Orquesta/Banda/Conjunto"),"")))</f>
        <v/>
      </c>
      <c r="D34" t="str">
        <f>IF(A34="","",IF(A34="[FÓRMULA MANUAL]","",IFERROR(AVERAGEIFS(DATOS!$K$2:$K$20000,DATOS!$A$2:$A$20000,A34,DATOS!$G$2:$G$20000,CONFIG_METADATA!$B$4,DATOS!$I$2:$I$20000,"Conjunto"),"")))</f>
        <v/>
      </c>
      <c r="E34" t="str">
        <f>IF(A34="","",IF(A34="[FÓRMULA MANUAL]","",IFERROR(SUMPRODUCT((DATOS!$A$2:$A$20000=A34)*(DATOS!$G$2:$G$20000=CONFIG_METADATA!$B$4)*(COUNTIF(CONFIG_ASIGNATURAS!$B$7:$B$27,DATOS!$I$2:$I$20000)&gt;0)*(DATOS!$K$2:$K$20000))/SUMPRODUCT((DATOS!$A$2:$A$20000=A34)*(DATOS!$G$2:$G$20000=CONFIG_METADATA!$B$4)*(COUNTIF(CONFIG_ASIGNATURAS!$B$7:$B$27,DATOS!$I$2:$I$20000)&gt;0)*1),"")))</f>
        <v/>
      </c>
      <c r="H34" t="str">
        <f>IF(G34="","",IF(G34="[FÓRMULA MANUAL]","",IFERROR(AVERAGEIFS(DATOS!$K$2:$K$20000,DATOS!$A$2:$A$20000,G34,DATOS!$G$2:$G$20000,CONFIG_METADATA!$B$4,DATOS!$I$2:$I$20000,"Lenguaje Musical"),"")))</f>
        <v/>
      </c>
      <c r="I34" t="str">
        <f>IF(G34="","",IF(G34="[FÓRMULA MANUAL]","",IFERROR(AVERAGEIFS(DATOS!$K$2:$K$20000,DATOS!$A$2:$A$20000,G34,DATOS!$G$2:$G$20000,CONFIG_METADATA!$B$4,DATOS!$I$2:$I$20000,"Orquesta/Banda/Conjunto"),"")))</f>
        <v/>
      </c>
      <c r="J34" t="str">
        <f>IF(G34="","",IF(G34="[FÓRMULA MANUAL]","",IFERROR(AVERAGEIFS(DATOS!$K$2:$K$20000,DATOS!$A$2:$A$20000,G34,DATOS!$G$2:$G$20000,CONFIG_METADATA!$B$4,DATOS!$I$2:$I$20000,"Conjunto"),"")))</f>
        <v/>
      </c>
      <c r="K34" t="str">
        <f>IF(G34="","",IF(G34="[FÓRMULA MANUAL]","",IFERROR(SUMPRODUCT((DATOS!$A$2:$A$20000=G34)*(DATOS!$G$2:$G$20000=CONFIG_METADATA!$B$4)*(COUNTIF(CONFIG_ASIGNATURAS!$B$7:$B$27,DATOS!$I$2:$I$20000)&gt;0)*(DATOS!$K$2:$K$20000))/SUMPRODUCT((DATOS!$A$2:$A$20000=G34)*(DATOS!$G$2:$G$20000=CONFIG_METADATA!$B$4)*(COUNTIF(CONFIG_ASIGNATURAS!$B$7:$B$27,DATOS!$I$2:$I$20000)&gt;0)*1),"")))</f>
        <v/>
      </c>
      <c r="N34" t="str">
        <f>IF(M34="","",IF(M34="[FÓRMULA MANUAL]","",IFERROR(AVERAGEIFS(DATOS!$K$2:$K$20000,DATOS!$A$2:$A$20000,M34,DATOS!$G$2:$G$20000,CONFIG_METADATA!$B$4,DATOS!$I$2:$I$20000,"Armonía"),"")))</f>
        <v/>
      </c>
      <c r="O34" t="str">
        <f>IF(M34="","",IF(M34="[FÓRMULA MANUAL]","",IFERROR(AVERAGEIFS(DATOS!$K$2:$K$20000,DATOS!$A$2:$A$20000,M34,DATOS!$G$2:$G$20000,CONFIG_METADATA!$B$4,DATOS!$I$2:$I$20000,"Orquesta/Banda/Conjunto"),"")))</f>
        <v/>
      </c>
      <c r="P34" t="str">
        <f>IF(M34="","",IF(M34="[FÓRMULA MANUAL]","",IFERROR(AVERAGEIFS(DATOS!$K$2:$K$20000,DATOS!$A$2:$A$20000,M34,DATOS!$G$2:$G$20000,CONFIG_METADATA!$B$4,DATOS!$I$2:$I$20000,"Música de Cámara"),"")))</f>
        <v/>
      </c>
      <c r="Q34" t="str">
        <f>IF(M34="","",IF(M34="[FÓRMULA MANUAL]","",IFERROR(SUMPRODUCT((DATOS!$A$2:$A$20000=M34)*(DATOS!$G$2:$G$20000=CONFIG_METADATA!$B$4)*(COUNTIF(CONFIG_ASIGNATURAS!$B$7:$B$27,DATOS!$I$2:$I$20000)&gt;0)*(DATOS!$K$2:$K$20000))/SUMPRODUCT((DATOS!$A$2:$A$20000=M34)*(DATOS!$G$2:$G$20000=CONFIG_METADATA!$B$4)*(COUNTIF(CONFIG_ASIGNATURAS!$B$7:$B$27,DATOS!$I$2:$I$20000)&gt;0)*1),"")))</f>
        <v/>
      </c>
      <c r="T34" t="str">
        <f>IF(S34="","",IF(S34="[FÓRMULA MANUAL]","",IFERROR(AVERAGEIFS(DATOS!$K$2:$K$20000,DATOS!$A$2:$A$20000,S34,DATOS!$G$2:$G$20000,CONFIG_METADATA!$B$4,DATOS!$I$2:$I$20000,"Armonía"),"")))</f>
        <v/>
      </c>
      <c r="U34" t="str">
        <f>IF(S34="","",IF(S34="[FÓRMULA MANUAL]","",IFERROR(AVERAGEIFS(DATOS!$K$2:$K$20000,DATOS!$A$2:$A$20000,S34,DATOS!$G$2:$G$20000,CONFIG_METADATA!$B$4,DATOS!$I$2:$I$20000,"Orquesta/Banda/Conjunto"),"")))</f>
        <v/>
      </c>
      <c r="V34" t="str">
        <f>IF(S34="","",IF(S34="[FÓRMULA MANUAL]","",IFERROR(AVERAGEIFS(DATOS!$K$2:$K$20000,DATOS!$A$2:$A$20000,S34,DATOS!$G$2:$G$20000,CONFIG_METADATA!$B$4,DATOS!$I$2:$I$20000,"Música de Cámara"),"")))</f>
        <v/>
      </c>
      <c r="W34" t="str">
        <f>IF(S34="","",IF(S34="[FÓRMULA MANUAL]","",IFERROR(SUMPRODUCT((DATOS!$A$2:$A$20000=S34)*(DATOS!$G$2:$G$20000=CONFIG_METADATA!$B$4)*(COUNTIF(CONFIG_ASIGNATURAS!$B$7:$B$27,DATOS!$I$2:$I$20000)&gt;0)*(DATOS!$K$2:$K$20000))/SUMPRODUCT((DATOS!$A$2:$A$20000=S34)*(DATOS!$G$2:$G$20000=CONFIG_METADATA!$B$4)*(COUNTIF(CONFIG_ASIGNATURAS!$B$7:$B$27,DATOS!$I$2:$I$20000)&gt;0)*1),"")))</f>
        <v/>
      </c>
      <c r="Z34" t="str">
        <f>IF(Y34="","",IF(Y34="[FÓRMULA MANUAL]","",IFERROR(AVERAGEIFS(DATOS!$K$2:$K$20000,DATOS!$A$2:$A$20000,Y34,DATOS!$G$2:$G$20000,CONFIG_METADATA!$B$4,DATOS!$I$2:$I$20000,"Análisis"),"")))</f>
        <v/>
      </c>
      <c r="AA34" t="str">
        <f>IF(Y34="","",IF(Y34="[FÓRMULA MANUAL]","",IFERROR(AVERAGEIFS(DATOS!$K$2:$K$20000,DATOS!$A$2:$A$20000,Y34,DATOS!$G$2:$G$20000,CONFIG_METADATA!$B$4,DATOS!$I$2:$I$20000,"Orquesta/Banda/Conjunto"),"")))</f>
        <v/>
      </c>
      <c r="AB34" t="str">
        <f>IF(Y34="","",IF(Y34="[FÓRMULA MANUAL]","",IFERROR(AVERAGEIFS(DATOS!$K$2:$K$20000,DATOS!$A$2:$A$20000,Y34,DATOS!$G$2:$G$20000,CONFIG_METADATA!$B$4,DATOS!$I$2:$I$20000,"Música de Cámara"),"")))</f>
        <v/>
      </c>
      <c r="AC34" t="str">
        <f>IF(Y34="","",IF(Y34="[FÓRMULA MANUAL]","",IFERROR(SUMPRODUCT((DATOS!$A$2:$A$20000=Y34)*(DATOS!$G$2:$G$20000=CONFIG_METADATA!$B$4)*(COUNTIF(CONFIG_ASIGNATURAS!$B$7:$B$27,DATOS!$I$2:$I$20000)&gt;0)*(DATOS!$K$2:$K$20000))/SUMPRODUCT((DATOS!$A$2:$A$20000=Y34)*(DATOS!$G$2:$G$20000=CONFIG_METADATA!$B$4)*(COUNTIF(CONFIG_ASIGNATURAS!$B$7:$B$27,DATOS!$I$2:$I$20000)&gt;0)*1),"")))</f>
        <v/>
      </c>
      <c r="AF34" t="str">
        <f>IF(AE34="","",IF(AE34="[FÓRMULA MANUAL]","",IFERROR(AVERAGEIFS(DATOS!$K$2:$K$20000,DATOS!$A$2:$A$20000,AE34,DATOS!$G$2:$G$20000,CONFIG_METADATA!$B$4,DATOS!$I$2:$I$20000,"Análisis"),"")))</f>
        <v/>
      </c>
      <c r="AG34" t="str">
        <f>IF(AE34="","",IF(AE34="[FÓRMULA MANUAL]","",IFERROR(AVERAGEIFS(DATOS!$K$2:$K$20000,DATOS!$A$2:$A$20000,AE34,DATOS!$G$2:$G$20000,CONFIG_METADATA!$B$4,DATOS!$I$2:$I$20000,"Orquesta/Banda/Conjunto"),"")))</f>
        <v/>
      </c>
      <c r="AH34" t="str">
        <f>IF(AE34="","",IF(AE34="[FÓRMULA MANUAL]","",IFERROR(AVERAGEIFS(DATOS!$K$2:$K$20000,DATOS!$A$2:$A$20000,AE34,DATOS!$G$2:$G$20000,CONFIG_METADATA!$B$4,DATOS!$I$2:$I$20000,"Música de Cámara"),"")))</f>
        <v/>
      </c>
      <c r="AI34" t="str">
        <f>IF(AE34="","",IF(AE34="[FÓRMULA MANUAL]","",IFERROR(SUMPRODUCT((DATOS!$A$2:$A$20000=AE34)*(DATOS!$G$2:$G$20000=CONFIG_METADATA!$B$4)*(COUNTIF(CONFIG_ASIGNATURAS!$B$7:$B$27,DATOS!$I$2:$I$20000)&gt;0)*(DATOS!$K$2:$K$20000))/SUMPRODUCT((DATOS!$A$2:$A$20000=AE34)*(DATOS!$G$2:$G$20000=CONFIG_METADATA!$B$4)*(COUNTIF(CONFIG_ASIGNATURAS!$B$7:$B$27,DATOS!$I$2:$I$20000)&gt;0)*1),"")))</f>
        <v/>
      </c>
    </row>
    <row r="35" spans="2:35" x14ac:dyDescent="0.2">
      <c r="B35" t="str">
        <f>IF(A35="","",IF(A35="[FÓRMULA MANUAL]","",IFERROR(AVERAGEIFS(DATOS!$K$2:$K$20000,DATOS!$A$2:$A$20000,A35,DATOS!$G$2:$G$20000,CONFIG_METADATA!$B$4,DATOS!$I$2:$I$20000,"Lenguaje Musical"),"")))</f>
        <v/>
      </c>
      <c r="C35" t="str">
        <f>IF(A35="","",IF(A35="[FÓRMULA MANUAL]","",IFERROR(AVERAGEIFS(DATOS!$K$2:$K$20000,DATOS!$A$2:$A$20000,A35,DATOS!$G$2:$G$20000,CONFIG_METADATA!$B$4,DATOS!$I$2:$I$20000,"Orquesta/Banda/Conjunto"),"")))</f>
        <v/>
      </c>
      <c r="D35" t="str">
        <f>IF(A35="","",IF(A35="[FÓRMULA MANUAL]","",IFERROR(AVERAGEIFS(DATOS!$K$2:$K$20000,DATOS!$A$2:$A$20000,A35,DATOS!$G$2:$G$20000,CONFIG_METADATA!$B$4,DATOS!$I$2:$I$20000,"Conjunto"),"")))</f>
        <v/>
      </c>
      <c r="E35" t="str">
        <f>IF(A35="","",IF(A35="[FÓRMULA MANUAL]","",IFERROR(SUMPRODUCT((DATOS!$A$2:$A$20000=A35)*(DATOS!$G$2:$G$20000=CONFIG_METADATA!$B$4)*(COUNTIF(CONFIG_ASIGNATURAS!$B$7:$B$27,DATOS!$I$2:$I$20000)&gt;0)*(DATOS!$K$2:$K$20000))/SUMPRODUCT((DATOS!$A$2:$A$20000=A35)*(DATOS!$G$2:$G$20000=CONFIG_METADATA!$B$4)*(COUNTIF(CONFIG_ASIGNATURAS!$B$7:$B$27,DATOS!$I$2:$I$20000)&gt;0)*1),"")))</f>
        <v/>
      </c>
      <c r="H35" t="str">
        <f>IF(G35="","",IF(G35="[FÓRMULA MANUAL]","",IFERROR(AVERAGEIFS(DATOS!$K$2:$K$20000,DATOS!$A$2:$A$20000,G35,DATOS!$G$2:$G$20000,CONFIG_METADATA!$B$4,DATOS!$I$2:$I$20000,"Lenguaje Musical"),"")))</f>
        <v/>
      </c>
      <c r="I35" t="str">
        <f>IF(G35="","",IF(G35="[FÓRMULA MANUAL]","",IFERROR(AVERAGEIFS(DATOS!$K$2:$K$20000,DATOS!$A$2:$A$20000,G35,DATOS!$G$2:$G$20000,CONFIG_METADATA!$B$4,DATOS!$I$2:$I$20000,"Orquesta/Banda/Conjunto"),"")))</f>
        <v/>
      </c>
      <c r="J35" t="str">
        <f>IF(G35="","",IF(G35="[FÓRMULA MANUAL]","",IFERROR(AVERAGEIFS(DATOS!$K$2:$K$20000,DATOS!$A$2:$A$20000,G35,DATOS!$G$2:$G$20000,CONFIG_METADATA!$B$4,DATOS!$I$2:$I$20000,"Conjunto"),"")))</f>
        <v/>
      </c>
      <c r="K35" t="str">
        <f>IF(G35="","",IF(G35="[FÓRMULA MANUAL]","",IFERROR(SUMPRODUCT((DATOS!$A$2:$A$20000=G35)*(DATOS!$G$2:$G$20000=CONFIG_METADATA!$B$4)*(COUNTIF(CONFIG_ASIGNATURAS!$B$7:$B$27,DATOS!$I$2:$I$20000)&gt;0)*(DATOS!$K$2:$K$20000))/SUMPRODUCT((DATOS!$A$2:$A$20000=G35)*(DATOS!$G$2:$G$20000=CONFIG_METADATA!$B$4)*(COUNTIF(CONFIG_ASIGNATURAS!$B$7:$B$27,DATOS!$I$2:$I$20000)&gt;0)*1),"")))</f>
        <v/>
      </c>
      <c r="N35" t="str">
        <f>IF(M35="","",IF(M35="[FÓRMULA MANUAL]","",IFERROR(AVERAGEIFS(DATOS!$K$2:$K$20000,DATOS!$A$2:$A$20000,M35,DATOS!$G$2:$G$20000,CONFIG_METADATA!$B$4,DATOS!$I$2:$I$20000,"Armonía"),"")))</f>
        <v/>
      </c>
      <c r="O35" t="str">
        <f>IF(M35="","",IF(M35="[FÓRMULA MANUAL]","",IFERROR(AVERAGEIFS(DATOS!$K$2:$K$20000,DATOS!$A$2:$A$20000,M35,DATOS!$G$2:$G$20000,CONFIG_METADATA!$B$4,DATOS!$I$2:$I$20000,"Orquesta/Banda/Conjunto"),"")))</f>
        <v/>
      </c>
      <c r="P35" t="str">
        <f>IF(M35="","",IF(M35="[FÓRMULA MANUAL]","",IFERROR(AVERAGEIFS(DATOS!$K$2:$K$20000,DATOS!$A$2:$A$20000,M35,DATOS!$G$2:$G$20000,CONFIG_METADATA!$B$4,DATOS!$I$2:$I$20000,"Música de Cámara"),"")))</f>
        <v/>
      </c>
      <c r="Q35" t="str">
        <f>IF(M35="","",IF(M35="[FÓRMULA MANUAL]","",IFERROR(SUMPRODUCT((DATOS!$A$2:$A$20000=M35)*(DATOS!$G$2:$G$20000=CONFIG_METADATA!$B$4)*(COUNTIF(CONFIG_ASIGNATURAS!$B$7:$B$27,DATOS!$I$2:$I$20000)&gt;0)*(DATOS!$K$2:$K$20000))/SUMPRODUCT((DATOS!$A$2:$A$20000=M35)*(DATOS!$G$2:$G$20000=CONFIG_METADATA!$B$4)*(COUNTIF(CONFIG_ASIGNATURAS!$B$7:$B$27,DATOS!$I$2:$I$20000)&gt;0)*1),"")))</f>
        <v/>
      </c>
      <c r="T35" t="str">
        <f>IF(S35="","",IF(S35="[FÓRMULA MANUAL]","",IFERROR(AVERAGEIFS(DATOS!$K$2:$K$20000,DATOS!$A$2:$A$20000,S35,DATOS!$G$2:$G$20000,CONFIG_METADATA!$B$4,DATOS!$I$2:$I$20000,"Armonía"),"")))</f>
        <v/>
      </c>
      <c r="U35" t="str">
        <f>IF(S35="","",IF(S35="[FÓRMULA MANUAL]","",IFERROR(AVERAGEIFS(DATOS!$K$2:$K$20000,DATOS!$A$2:$A$20000,S35,DATOS!$G$2:$G$20000,CONFIG_METADATA!$B$4,DATOS!$I$2:$I$20000,"Orquesta/Banda/Conjunto"),"")))</f>
        <v/>
      </c>
      <c r="V35" t="str">
        <f>IF(S35="","",IF(S35="[FÓRMULA MANUAL]","",IFERROR(AVERAGEIFS(DATOS!$K$2:$K$20000,DATOS!$A$2:$A$20000,S35,DATOS!$G$2:$G$20000,CONFIG_METADATA!$B$4,DATOS!$I$2:$I$20000,"Música de Cámara"),"")))</f>
        <v/>
      </c>
      <c r="W35" t="str">
        <f>IF(S35="","",IF(S35="[FÓRMULA MANUAL]","",IFERROR(SUMPRODUCT((DATOS!$A$2:$A$20000=S35)*(DATOS!$G$2:$G$20000=CONFIG_METADATA!$B$4)*(COUNTIF(CONFIG_ASIGNATURAS!$B$7:$B$27,DATOS!$I$2:$I$20000)&gt;0)*(DATOS!$K$2:$K$20000))/SUMPRODUCT((DATOS!$A$2:$A$20000=S35)*(DATOS!$G$2:$G$20000=CONFIG_METADATA!$B$4)*(COUNTIF(CONFIG_ASIGNATURAS!$B$7:$B$27,DATOS!$I$2:$I$20000)&gt;0)*1),"")))</f>
        <v/>
      </c>
      <c r="Z35" t="str">
        <f>IF(Y35="","",IF(Y35="[FÓRMULA MANUAL]","",IFERROR(AVERAGEIFS(DATOS!$K$2:$K$20000,DATOS!$A$2:$A$20000,Y35,DATOS!$G$2:$G$20000,CONFIG_METADATA!$B$4,DATOS!$I$2:$I$20000,"Análisis"),"")))</f>
        <v/>
      </c>
      <c r="AA35" t="str">
        <f>IF(Y35="","",IF(Y35="[FÓRMULA MANUAL]","",IFERROR(AVERAGEIFS(DATOS!$K$2:$K$20000,DATOS!$A$2:$A$20000,Y35,DATOS!$G$2:$G$20000,CONFIG_METADATA!$B$4,DATOS!$I$2:$I$20000,"Orquesta/Banda/Conjunto"),"")))</f>
        <v/>
      </c>
      <c r="AB35" t="str">
        <f>IF(Y35="","",IF(Y35="[FÓRMULA MANUAL]","",IFERROR(AVERAGEIFS(DATOS!$K$2:$K$20000,DATOS!$A$2:$A$20000,Y35,DATOS!$G$2:$G$20000,CONFIG_METADATA!$B$4,DATOS!$I$2:$I$20000,"Música de Cámara"),"")))</f>
        <v/>
      </c>
      <c r="AC35" t="str">
        <f>IF(Y35="","",IF(Y35="[FÓRMULA MANUAL]","",IFERROR(SUMPRODUCT((DATOS!$A$2:$A$20000=Y35)*(DATOS!$G$2:$G$20000=CONFIG_METADATA!$B$4)*(COUNTIF(CONFIG_ASIGNATURAS!$B$7:$B$27,DATOS!$I$2:$I$20000)&gt;0)*(DATOS!$K$2:$K$20000))/SUMPRODUCT((DATOS!$A$2:$A$20000=Y35)*(DATOS!$G$2:$G$20000=CONFIG_METADATA!$B$4)*(COUNTIF(CONFIG_ASIGNATURAS!$B$7:$B$27,DATOS!$I$2:$I$20000)&gt;0)*1),"")))</f>
        <v/>
      </c>
      <c r="AF35" t="str">
        <f>IF(AE35="","",IF(AE35="[FÓRMULA MANUAL]","",IFERROR(AVERAGEIFS(DATOS!$K$2:$K$20000,DATOS!$A$2:$A$20000,AE35,DATOS!$G$2:$G$20000,CONFIG_METADATA!$B$4,DATOS!$I$2:$I$20000,"Análisis"),"")))</f>
        <v/>
      </c>
      <c r="AG35" t="str">
        <f>IF(AE35="","",IF(AE35="[FÓRMULA MANUAL]","",IFERROR(AVERAGEIFS(DATOS!$K$2:$K$20000,DATOS!$A$2:$A$20000,AE35,DATOS!$G$2:$G$20000,CONFIG_METADATA!$B$4,DATOS!$I$2:$I$20000,"Orquesta/Banda/Conjunto"),"")))</f>
        <v/>
      </c>
      <c r="AH35" t="str">
        <f>IF(AE35="","",IF(AE35="[FÓRMULA MANUAL]","",IFERROR(AVERAGEIFS(DATOS!$K$2:$K$20000,DATOS!$A$2:$A$20000,AE35,DATOS!$G$2:$G$20000,CONFIG_METADATA!$B$4,DATOS!$I$2:$I$20000,"Música de Cámara"),"")))</f>
        <v/>
      </c>
      <c r="AI35" t="str">
        <f>IF(AE35="","",IF(AE35="[FÓRMULA MANUAL]","",IFERROR(SUMPRODUCT((DATOS!$A$2:$A$20000=AE35)*(DATOS!$G$2:$G$20000=CONFIG_METADATA!$B$4)*(COUNTIF(CONFIG_ASIGNATURAS!$B$7:$B$27,DATOS!$I$2:$I$20000)&gt;0)*(DATOS!$K$2:$K$20000))/SUMPRODUCT((DATOS!$A$2:$A$20000=AE35)*(DATOS!$G$2:$G$20000=CONFIG_METADATA!$B$4)*(COUNTIF(CONFIG_ASIGNATURAS!$B$7:$B$27,DATOS!$I$2:$I$20000)&gt;0)*1),"")))</f>
        <v/>
      </c>
    </row>
    <row r="36" spans="2:35" x14ac:dyDescent="0.2">
      <c r="B36" t="str">
        <f>IF(A36="","",IF(A36="[FÓRMULA MANUAL]","",IFERROR(AVERAGEIFS(DATOS!$K$2:$K$20000,DATOS!$A$2:$A$20000,A36,DATOS!$G$2:$G$20000,CONFIG_METADATA!$B$4,DATOS!$I$2:$I$20000,"Lenguaje Musical"),"")))</f>
        <v/>
      </c>
      <c r="C36" t="str">
        <f>IF(A36="","",IF(A36="[FÓRMULA MANUAL]","",IFERROR(AVERAGEIFS(DATOS!$K$2:$K$20000,DATOS!$A$2:$A$20000,A36,DATOS!$G$2:$G$20000,CONFIG_METADATA!$B$4,DATOS!$I$2:$I$20000,"Orquesta/Banda/Conjunto"),"")))</f>
        <v/>
      </c>
      <c r="D36" t="str">
        <f>IF(A36="","",IF(A36="[FÓRMULA MANUAL]","",IFERROR(AVERAGEIFS(DATOS!$K$2:$K$20000,DATOS!$A$2:$A$20000,A36,DATOS!$G$2:$G$20000,CONFIG_METADATA!$B$4,DATOS!$I$2:$I$20000,"Conjunto"),"")))</f>
        <v/>
      </c>
      <c r="E36" t="str">
        <f>IF(A36="","",IF(A36="[FÓRMULA MANUAL]","",IFERROR(SUMPRODUCT((DATOS!$A$2:$A$20000=A36)*(DATOS!$G$2:$G$20000=CONFIG_METADATA!$B$4)*(COUNTIF(CONFIG_ASIGNATURAS!$B$7:$B$27,DATOS!$I$2:$I$20000)&gt;0)*(DATOS!$K$2:$K$20000))/SUMPRODUCT((DATOS!$A$2:$A$20000=A36)*(DATOS!$G$2:$G$20000=CONFIG_METADATA!$B$4)*(COUNTIF(CONFIG_ASIGNATURAS!$B$7:$B$27,DATOS!$I$2:$I$20000)&gt;0)*1),"")))</f>
        <v/>
      </c>
      <c r="H36" t="str">
        <f>IF(G36="","",IF(G36="[FÓRMULA MANUAL]","",IFERROR(AVERAGEIFS(DATOS!$K$2:$K$20000,DATOS!$A$2:$A$20000,G36,DATOS!$G$2:$G$20000,CONFIG_METADATA!$B$4,DATOS!$I$2:$I$20000,"Lenguaje Musical"),"")))</f>
        <v/>
      </c>
      <c r="I36" t="str">
        <f>IF(G36="","",IF(G36="[FÓRMULA MANUAL]","",IFERROR(AVERAGEIFS(DATOS!$K$2:$K$20000,DATOS!$A$2:$A$20000,G36,DATOS!$G$2:$G$20000,CONFIG_METADATA!$B$4,DATOS!$I$2:$I$20000,"Orquesta/Banda/Conjunto"),"")))</f>
        <v/>
      </c>
      <c r="J36" t="str">
        <f>IF(G36="","",IF(G36="[FÓRMULA MANUAL]","",IFERROR(AVERAGEIFS(DATOS!$K$2:$K$20000,DATOS!$A$2:$A$20000,G36,DATOS!$G$2:$G$20000,CONFIG_METADATA!$B$4,DATOS!$I$2:$I$20000,"Conjunto"),"")))</f>
        <v/>
      </c>
      <c r="K36" t="str">
        <f>IF(G36="","",IF(G36="[FÓRMULA MANUAL]","",IFERROR(SUMPRODUCT((DATOS!$A$2:$A$20000=G36)*(DATOS!$G$2:$G$20000=CONFIG_METADATA!$B$4)*(COUNTIF(CONFIG_ASIGNATURAS!$B$7:$B$27,DATOS!$I$2:$I$20000)&gt;0)*(DATOS!$K$2:$K$20000))/SUMPRODUCT((DATOS!$A$2:$A$20000=G36)*(DATOS!$G$2:$G$20000=CONFIG_METADATA!$B$4)*(COUNTIF(CONFIG_ASIGNATURAS!$B$7:$B$27,DATOS!$I$2:$I$20000)&gt;0)*1),"")))</f>
        <v/>
      </c>
      <c r="N36" t="str">
        <f>IF(M36="","",IF(M36="[FÓRMULA MANUAL]","",IFERROR(AVERAGEIFS(DATOS!$K$2:$K$20000,DATOS!$A$2:$A$20000,M36,DATOS!$G$2:$G$20000,CONFIG_METADATA!$B$4,DATOS!$I$2:$I$20000,"Armonía"),"")))</f>
        <v/>
      </c>
      <c r="O36" t="str">
        <f>IF(M36="","",IF(M36="[FÓRMULA MANUAL]","",IFERROR(AVERAGEIFS(DATOS!$K$2:$K$20000,DATOS!$A$2:$A$20000,M36,DATOS!$G$2:$G$20000,CONFIG_METADATA!$B$4,DATOS!$I$2:$I$20000,"Orquesta/Banda/Conjunto"),"")))</f>
        <v/>
      </c>
      <c r="P36" t="str">
        <f>IF(M36="","",IF(M36="[FÓRMULA MANUAL]","",IFERROR(AVERAGEIFS(DATOS!$K$2:$K$20000,DATOS!$A$2:$A$20000,M36,DATOS!$G$2:$G$20000,CONFIG_METADATA!$B$4,DATOS!$I$2:$I$20000,"Música de Cámara"),"")))</f>
        <v/>
      </c>
      <c r="Q36" t="str">
        <f>IF(M36="","",IF(M36="[FÓRMULA MANUAL]","",IFERROR(SUMPRODUCT((DATOS!$A$2:$A$20000=M36)*(DATOS!$G$2:$G$20000=CONFIG_METADATA!$B$4)*(COUNTIF(CONFIG_ASIGNATURAS!$B$7:$B$27,DATOS!$I$2:$I$20000)&gt;0)*(DATOS!$K$2:$K$20000))/SUMPRODUCT((DATOS!$A$2:$A$20000=M36)*(DATOS!$G$2:$G$20000=CONFIG_METADATA!$B$4)*(COUNTIF(CONFIG_ASIGNATURAS!$B$7:$B$27,DATOS!$I$2:$I$20000)&gt;0)*1),"")))</f>
        <v/>
      </c>
      <c r="T36" t="str">
        <f>IF(S36="","",IF(S36="[FÓRMULA MANUAL]","",IFERROR(AVERAGEIFS(DATOS!$K$2:$K$20000,DATOS!$A$2:$A$20000,S36,DATOS!$G$2:$G$20000,CONFIG_METADATA!$B$4,DATOS!$I$2:$I$20000,"Armonía"),"")))</f>
        <v/>
      </c>
      <c r="U36" t="str">
        <f>IF(S36="","",IF(S36="[FÓRMULA MANUAL]","",IFERROR(AVERAGEIFS(DATOS!$K$2:$K$20000,DATOS!$A$2:$A$20000,S36,DATOS!$G$2:$G$20000,CONFIG_METADATA!$B$4,DATOS!$I$2:$I$20000,"Orquesta/Banda/Conjunto"),"")))</f>
        <v/>
      </c>
      <c r="V36" t="str">
        <f>IF(S36="","",IF(S36="[FÓRMULA MANUAL]","",IFERROR(AVERAGEIFS(DATOS!$K$2:$K$20000,DATOS!$A$2:$A$20000,S36,DATOS!$G$2:$G$20000,CONFIG_METADATA!$B$4,DATOS!$I$2:$I$20000,"Música de Cámara"),"")))</f>
        <v/>
      </c>
      <c r="W36" t="str">
        <f>IF(S36="","",IF(S36="[FÓRMULA MANUAL]","",IFERROR(SUMPRODUCT((DATOS!$A$2:$A$20000=S36)*(DATOS!$G$2:$G$20000=CONFIG_METADATA!$B$4)*(COUNTIF(CONFIG_ASIGNATURAS!$B$7:$B$27,DATOS!$I$2:$I$20000)&gt;0)*(DATOS!$K$2:$K$20000))/SUMPRODUCT((DATOS!$A$2:$A$20000=S36)*(DATOS!$G$2:$G$20000=CONFIG_METADATA!$B$4)*(COUNTIF(CONFIG_ASIGNATURAS!$B$7:$B$27,DATOS!$I$2:$I$20000)&gt;0)*1),"")))</f>
        <v/>
      </c>
      <c r="Z36" t="str">
        <f>IF(Y36="","",IF(Y36="[FÓRMULA MANUAL]","",IFERROR(AVERAGEIFS(DATOS!$K$2:$K$20000,DATOS!$A$2:$A$20000,Y36,DATOS!$G$2:$G$20000,CONFIG_METADATA!$B$4,DATOS!$I$2:$I$20000,"Análisis"),"")))</f>
        <v/>
      </c>
      <c r="AA36" t="str">
        <f>IF(Y36="","",IF(Y36="[FÓRMULA MANUAL]","",IFERROR(AVERAGEIFS(DATOS!$K$2:$K$20000,DATOS!$A$2:$A$20000,Y36,DATOS!$G$2:$G$20000,CONFIG_METADATA!$B$4,DATOS!$I$2:$I$20000,"Orquesta/Banda/Conjunto"),"")))</f>
        <v/>
      </c>
      <c r="AB36" t="str">
        <f>IF(Y36="","",IF(Y36="[FÓRMULA MANUAL]","",IFERROR(AVERAGEIFS(DATOS!$K$2:$K$20000,DATOS!$A$2:$A$20000,Y36,DATOS!$G$2:$G$20000,CONFIG_METADATA!$B$4,DATOS!$I$2:$I$20000,"Música de Cámara"),"")))</f>
        <v/>
      </c>
      <c r="AC36" t="str">
        <f>IF(Y36="","",IF(Y36="[FÓRMULA MANUAL]","",IFERROR(SUMPRODUCT((DATOS!$A$2:$A$20000=Y36)*(DATOS!$G$2:$G$20000=CONFIG_METADATA!$B$4)*(COUNTIF(CONFIG_ASIGNATURAS!$B$7:$B$27,DATOS!$I$2:$I$20000)&gt;0)*(DATOS!$K$2:$K$20000))/SUMPRODUCT((DATOS!$A$2:$A$20000=Y36)*(DATOS!$G$2:$G$20000=CONFIG_METADATA!$B$4)*(COUNTIF(CONFIG_ASIGNATURAS!$B$7:$B$27,DATOS!$I$2:$I$20000)&gt;0)*1),"")))</f>
        <v/>
      </c>
      <c r="AF36" t="str">
        <f>IF(AE36="","",IF(AE36="[FÓRMULA MANUAL]","",IFERROR(AVERAGEIFS(DATOS!$K$2:$K$20000,DATOS!$A$2:$A$20000,AE36,DATOS!$G$2:$G$20000,CONFIG_METADATA!$B$4,DATOS!$I$2:$I$20000,"Análisis"),"")))</f>
        <v/>
      </c>
      <c r="AG36" t="str">
        <f>IF(AE36="","",IF(AE36="[FÓRMULA MANUAL]","",IFERROR(AVERAGEIFS(DATOS!$K$2:$K$20000,DATOS!$A$2:$A$20000,AE36,DATOS!$G$2:$G$20000,CONFIG_METADATA!$B$4,DATOS!$I$2:$I$20000,"Orquesta/Banda/Conjunto"),"")))</f>
        <v/>
      </c>
      <c r="AH36" t="str">
        <f>IF(AE36="","",IF(AE36="[FÓRMULA MANUAL]","",IFERROR(AVERAGEIFS(DATOS!$K$2:$K$20000,DATOS!$A$2:$A$20000,AE36,DATOS!$G$2:$G$20000,CONFIG_METADATA!$B$4,DATOS!$I$2:$I$20000,"Música de Cámara"),"")))</f>
        <v/>
      </c>
      <c r="AI36" t="str">
        <f>IF(AE36="","",IF(AE36="[FÓRMULA MANUAL]","",IFERROR(SUMPRODUCT((DATOS!$A$2:$A$20000=AE36)*(DATOS!$G$2:$G$20000=CONFIG_METADATA!$B$4)*(COUNTIF(CONFIG_ASIGNATURAS!$B$7:$B$27,DATOS!$I$2:$I$20000)&gt;0)*(DATOS!$K$2:$K$20000))/SUMPRODUCT((DATOS!$A$2:$A$20000=AE36)*(DATOS!$G$2:$G$20000=CONFIG_METADATA!$B$4)*(COUNTIF(CONFIG_ASIGNATURAS!$B$7:$B$27,DATOS!$I$2:$I$20000)&gt;0)*1),"")))</f>
        <v/>
      </c>
    </row>
    <row r="37" spans="2:35" x14ac:dyDescent="0.2">
      <c r="B37" t="str">
        <f>IF(A37="","",IF(A37="[FÓRMULA MANUAL]","",IFERROR(AVERAGEIFS(DATOS!$K$2:$K$20000,DATOS!$A$2:$A$20000,A37,DATOS!$G$2:$G$20000,CONFIG_METADATA!$B$4,DATOS!$I$2:$I$20000,"Lenguaje Musical"),"")))</f>
        <v/>
      </c>
      <c r="C37" t="str">
        <f>IF(A37="","",IF(A37="[FÓRMULA MANUAL]","",IFERROR(AVERAGEIFS(DATOS!$K$2:$K$20000,DATOS!$A$2:$A$20000,A37,DATOS!$G$2:$G$20000,CONFIG_METADATA!$B$4,DATOS!$I$2:$I$20000,"Orquesta/Banda/Conjunto"),"")))</f>
        <v/>
      </c>
      <c r="D37" t="str">
        <f>IF(A37="","",IF(A37="[FÓRMULA MANUAL]","",IFERROR(AVERAGEIFS(DATOS!$K$2:$K$20000,DATOS!$A$2:$A$20000,A37,DATOS!$G$2:$G$20000,CONFIG_METADATA!$B$4,DATOS!$I$2:$I$20000,"Conjunto"),"")))</f>
        <v/>
      </c>
      <c r="E37" t="str">
        <f>IF(A37="","",IF(A37="[FÓRMULA MANUAL]","",IFERROR(SUMPRODUCT((DATOS!$A$2:$A$20000=A37)*(DATOS!$G$2:$G$20000=CONFIG_METADATA!$B$4)*(COUNTIF(CONFIG_ASIGNATURAS!$B$7:$B$27,DATOS!$I$2:$I$20000)&gt;0)*(DATOS!$K$2:$K$20000))/SUMPRODUCT((DATOS!$A$2:$A$20000=A37)*(DATOS!$G$2:$G$20000=CONFIG_METADATA!$B$4)*(COUNTIF(CONFIG_ASIGNATURAS!$B$7:$B$27,DATOS!$I$2:$I$20000)&gt;0)*1),"")))</f>
        <v/>
      </c>
      <c r="H37" t="str">
        <f>IF(G37="","",IF(G37="[FÓRMULA MANUAL]","",IFERROR(AVERAGEIFS(DATOS!$K$2:$K$20000,DATOS!$A$2:$A$20000,G37,DATOS!$G$2:$G$20000,CONFIG_METADATA!$B$4,DATOS!$I$2:$I$20000,"Lenguaje Musical"),"")))</f>
        <v/>
      </c>
      <c r="I37" t="str">
        <f>IF(G37="","",IF(G37="[FÓRMULA MANUAL]","",IFERROR(AVERAGEIFS(DATOS!$K$2:$K$20000,DATOS!$A$2:$A$20000,G37,DATOS!$G$2:$G$20000,CONFIG_METADATA!$B$4,DATOS!$I$2:$I$20000,"Orquesta/Banda/Conjunto"),"")))</f>
        <v/>
      </c>
      <c r="J37" t="str">
        <f>IF(G37="","",IF(G37="[FÓRMULA MANUAL]","",IFERROR(AVERAGEIFS(DATOS!$K$2:$K$20000,DATOS!$A$2:$A$20000,G37,DATOS!$G$2:$G$20000,CONFIG_METADATA!$B$4,DATOS!$I$2:$I$20000,"Conjunto"),"")))</f>
        <v/>
      </c>
      <c r="K37" t="str">
        <f>IF(G37="","",IF(G37="[FÓRMULA MANUAL]","",IFERROR(SUMPRODUCT((DATOS!$A$2:$A$20000=G37)*(DATOS!$G$2:$G$20000=CONFIG_METADATA!$B$4)*(COUNTIF(CONFIG_ASIGNATURAS!$B$7:$B$27,DATOS!$I$2:$I$20000)&gt;0)*(DATOS!$K$2:$K$20000))/SUMPRODUCT((DATOS!$A$2:$A$20000=G37)*(DATOS!$G$2:$G$20000=CONFIG_METADATA!$B$4)*(COUNTIF(CONFIG_ASIGNATURAS!$B$7:$B$27,DATOS!$I$2:$I$20000)&gt;0)*1),"")))</f>
        <v/>
      </c>
      <c r="N37" t="str">
        <f>IF(M37="","",IF(M37="[FÓRMULA MANUAL]","",IFERROR(AVERAGEIFS(DATOS!$K$2:$K$20000,DATOS!$A$2:$A$20000,M37,DATOS!$G$2:$G$20000,CONFIG_METADATA!$B$4,DATOS!$I$2:$I$20000,"Armonía"),"")))</f>
        <v/>
      </c>
      <c r="O37" t="str">
        <f>IF(M37="","",IF(M37="[FÓRMULA MANUAL]","",IFERROR(AVERAGEIFS(DATOS!$K$2:$K$20000,DATOS!$A$2:$A$20000,M37,DATOS!$G$2:$G$20000,CONFIG_METADATA!$B$4,DATOS!$I$2:$I$20000,"Orquesta/Banda/Conjunto"),"")))</f>
        <v/>
      </c>
      <c r="P37" t="str">
        <f>IF(M37="","",IF(M37="[FÓRMULA MANUAL]","",IFERROR(AVERAGEIFS(DATOS!$K$2:$K$20000,DATOS!$A$2:$A$20000,M37,DATOS!$G$2:$G$20000,CONFIG_METADATA!$B$4,DATOS!$I$2:$I$20000,"Música de Cámara"),"")))</f>
        <v/>
      </c>
      <c r="Q37" t="str">
        <f>IF(M37="","",IF(M37="[FÓRMULA MANUAL]","",IFERROR(SUMPRODUCT((DATOS!$A$2:$A$20000=M37)*(DATOS!$G$2:$G$20000=CONFIG_METADATA!$B$4)*(COUNTIF(CONFIG_ASIGNATURAS!$B$7:$B$27,DATOS!$I$2:$I$20000)&gt;0)*(DATOS!$K$2:$K$20000))/SUMPRODUCT((DATOS!$A$2:$A$20000=M37)*(DATOS!$G$2:$G$20000=CONFIG_METADATA!$B$4)*(COUNTIF(CONFIG_ASIGNATURAS!$B$7:$B$27,DATOS!$I$2:$I$20000)&gt;0)*1),"")))</f>
        <v/>
      </c>
      <c r="T37" t="str">
        <f>IF(S37="","",IF(S37="[FÓRMULA MANUAL]","",IFERROR(AVERAGEIFS(DATOS!$K$2:$K$20000,DATOS!$A$2:$A$20000,S37,DATOS!$G$2:$G$20000,CONFIG_METADATA!$B$4,DATOS!$I$2:$I$20000,"Armonía"),"")))</f>
        <v/>
      </c>
      <c r="U37" t="str">
        <f>IF(S37="","",IF(S37="[FÓRMULA MANUAL]","",IFERROR(AVERAGEIFS(DATOS!$K$2:$K$20000,DATOS!$A$2:$A$20000,S37,DATOS!$G$2:$G$20000,CONFIG_METADATA!$B$4,DATOS!$I$2:$I$20000,"Orquesta/Banda/Conjunto"),"")))</f>
        <v/>
      </c>
      <c r="V37" t="str">
        <f>IF(S37="","",IF(S37="[FÓRMULA MANUAL]","",IFERROR(AVERAGEIFS(DATOS!$K$2:$K$20000,DATOS!$A$2:$A$20000,S37,DATOS!$G$2:$G$20000,CONFIG_METADATA!$B$4,DATOS!$I$2:$I$20000,"Música de Cámara"),"")))</f>
        <v/>
      </c>
      <c r="W37" t="str">
        <f>IF(S37="","",IF(S37="[FÓRMULA MANUAL]","",IFERROR(SUMPRODUCT((DATOS!$A$2:$A$20000=S37)*(DATOS!$G$2:$G$20000=CONFIG_METADATA!$B$4)*(COUNTIF(CONFIG_ASIGNATURAS!$B$7:$B$27,DATOS!$I$2:$I$20000)&gt;0)*(DATOS!$K$2:$K$20000))/SUMPRODUCT((DATOS!$A$2:$A$20000=S37)*(DATOS!$G$2:$G$20000=CONFIG_METADATA!$B$4)*(COUNTIF(CONFIG_ASIGNATURAS!$B$7:$B$27,DATOS!$I$2:$I$20000)&gt;0)*1),"")))</f>
        <v/>
      </c>
      <c r="Z37" t="str">
        <f>IF(Y37="","",IF(Y37="[FÓRMULA MANUAL]","",IFERROR(AVERAGEIFS(DATOS!$K$2:$K$20000,DATOS!$A$2:$A$20000,Y37,DATOS!$G$2:$G$20000,CONFIG_METADATA!$B$4,DATOS!$I$2:$I$20000,"Análisis"),"")))</f>
        <v/>
      </c>
      <c r="AA37" t="str">
        <f>IF(Y37="","",IF(Y37="[FÓRMULA MANUAL]","",IFERROR(AVERAGEIFS(DATOS!$K$2:$K$20000,DATOS!$A$2:$A$20000,Y37,DATOS!$G$2:$G$20000,CONFIG_METADATA!$B$4,DATOS!$I$2:$I$20000,"Orquesta/Banda/Conjunto"),"")))</f>
        <v/>
      </c>
      <c r="AB37" t="str">
        <f>IF(Y37="","",IF(Y37="[FÓRMULA MANUAL]","",IFERROR(AVERAGEIFS(DATOS!$K$2:$K$20000,DATOS!$A$2:$A$20000,Y37,DATOS!$G$2:$G$20000,CONFIG_METADATA!$B$4,DATOS!$I$2:$I$20000,"Música de Cámara"),"")))</f>
        <v/>
      </c>
      <c r="AC37" t="str">
        <f>IF(Y37="","",IF(Y37="[FÓRMULA MANUAL]","",IFERROR(SUMPRODUCT((DATOS!$A$2:$A$20000=Y37)*(DATOS!$G$2:$G$20000=CONFIG_METADATA!$B$4)*(COUNTIF(CONFIG_ASIGNATURAS!$B$7:$B$27,DATOS!$I$2:$I$20000)&gt;0)*(DATOS!$K$2:$K$20000))/SUMPRODUCT((DATOS!$A$2:$A$20000=Y37)*(DATOS!$G$2:$G$20000=CONFIG_METADATA!$B$4)*(COUNTIF(CONFIG_ASIGNATURAS!$B$7:$B$27,DATOS!$I$2:$I$20000)&gt;0)*1),"")))</f>
        <v/>
      </c>
      <c r="AF37" t="str">
        <f>IF(AE37="","",IF(AE37="[FÓRMULA MANUAL]","",IFERROR(AVERAGEIFS(DATOS!$K$2:$K$20000,DATOS!$A$2:$A$20000,AE37,DATOS!$G$2:$G$20000,CONFIG_METADATA!$B$4,DATOS!$I$2:$I$20000,"Análisis"),"")))</f>
        <v/>
      </c>
      <c r="AG37" t="str">
        <f>IF(AE37="","",IF(AE37="[FÓRMULA MANUAL]","",IFERROR(AVERAGEIFS(DATOS!$K$2:$K$20000,DATOS!$A$2:$A$20000,AE37,DATOS!$G$2:$G$20000,CONFIG_METADATA!$B$4,DATOS!$I$2:$I$20000,"Orquesta/Banda/Conjunto"),"")))</f>
        <v/>
      </c>
      <c r="AH37" t="str">
        <f>IF(AE37="","",IF(AE37="[FÓRMULA MANUAL]","",IFERROR(AVERAGEIFS(DATOS!$K$2:$K$20000,DATOS!$A$2:$A$20000,AE37,DATOS!$G$2:$G$20000,CONFIG_METADATA!$B$4,DATOS!$I$2:$I$20000,"Música de Cámara"),"")))</f>
        <v/>
      </c>
      <c r="AI37" t="str">
        <f>IF(AE37="","",IF(AE37="[FÓRMULA MANUAL]","",IFERROR(SUMPRODUCT((DATOS!$A$2:$A$20000=AE37)*(DATOS!$G$2:$G$20000=CONFIG_METADATA!$B$4)*(COUNTIF(CONFIG_ASIGNATURAS!$B$7:$B$27,DATOS!$I$2:$I$20000)&gt;0)*(DATOS!$K$2:$K$20000))/SUMPRODUCT((DATOS!$A$2:$A$20000=AE37)*(DATOS!$G$2:$G$20000=CONFIG_METADATA!$B$4)*(COUNTIF(CONFIG_ASIGNATURAS!$B$7:$B$27,DATOS!$I$2:$I$20000)&gt;0)*1),"")))</f>
        <v/>
      </c>
    </row>
    <row r="38" spans="2:35" x14ac:dyDescent="0.2">
      <c r="B38" t="str">
        <f>IF(A38="","",IF(A38="[FÓRMULA MANUAL]","",IFERROR(AVERAGEIFS(DATOS!$K$2:$K$20000,DATOS!$A$2:$A$20000,A38,DATOS!$G$2:$G$20000,CONFIG_METADATA!$B$4,DATOS!$I$2:$I$20000,"Lenguaje Musical"),"")))</f>
        <v/>
      </c>
      <c r="C38" t="str">
        <f>IF(A38="","",IF(A38="[FÓRMULA MANUAL]","",IFERROR(AVERAGEIFS(DATOS!$K$2:$K$20000,DATOS!$A$2:$A$20000,A38,DATOS!$G$2:$G$20000,CONFIG_METADATA!$B$4,DATOS!$I$2:$I$20000,"Orquesta/Banda/Conjunto"),"")))</f>
        <v/>
      </c>
      <c r="D38" t="str">
        <f>IF(A38="","",IF(A38="[FÓRMULA MANUAL]","",IFERROR(AVERAGEIFS(DATOS!$K$2:$K$20000,DATOS!$A$2:$A$20000,A38,DATOS!$G$2:$G$20000,CONFIG_METADATA!$B$4,DATOS!$I$2:$I$20000,"Conjunto"),"")))</f>
        <v/>
      </c>
      <c r="E38" t="str">
        <f>IF(A38="","",IF(A38="[FÓRMULA MANUAL]","",IFERROR(SUMPRODUCT((DATOS!$A$2:$A$20000=A38)*(DATOS!$G$2:$G$20000=CONFIG_METADATA!$B$4)*(COUNTIF(CONFIG_ASIGNATURAS!$B$7:$B$27,DATOS!$I$2:$I$20000)&gt;0)*(DATOS!$K$2:$K$20000))/SUMPRODUCT((DATOS!$A$2:$A$20000=A38)*(DATOS!$G$2:$G$20000=CONFIG_METADATA!$B$4)*(COUNTIF(CONFIG_ASIGNATURAS!$B$7:$B$27,DATOS!$I$2:$I$20000)&gt;0)*1),"")))</f>
        <v/>
      </c>
      <c r="H38" t="str">
        <f>IF(G38="","",IF(G38="[FÓRMULA MANUAL]","",IFERROR(AVERAGEIFS(DATOS!$K$2:$K$20000,DATOS!$A$2:$A$20000,G38,DATOS!$G$2:$G$20000,CONFIG_METADATA!$B$4,DATOS!$I$2:$I$20000,"Lenguaje Musical"),"")))</f>
        <v/>
      </c>
      <c r="I38" t="str">
        <f>IF(G38="","",IF(G38="[FÓRMULA MANUAL]","",IFERROR(AVERAGEIFS(DATOS!$K$2:$K$20000,DATOS!$A$2:$A$20000,G38,DATOS!$G$2:$G$20000,CONFIG_METADATA!$B$4,DATOS!$I$2:$I$20000,"Orquesta/Banda/Conjunto"),"")))</f>
        <v/>
      </c>
      <c r="J38" t="str">
        <f>IF(G38="","",IF(G38="[FÓRMULA MANUAL]","",IFERROR(AVERAGEIFS(DATOS!$K$2:$K$20000,DATOS!$A$2:$A$20000,G38,DATOS!$G$2:$G$20000,CONFIG_METADATA!$B$4,DATOS!$I$2:$I$20000,"Conjunto"),"")))</f>
        <v/>
      </c>
      <c r="K38" t="str">
        <f>IF(G38="","",IF(G38="[FÓRMULA MANUAL]","",IFERROR(SUMPRODUCT((DATOS!$A$2:$A$20000=G38)*(DATOS!$G$2:$G$20000=CONFIG_METADATA!$B$4)*(COUNTIF(CONFIG_ASIGNATURAS!$B$7:$B$27,DATOS!$I$2:$I$20000)&gt;0)*(DATOS!$K$2:$K$20000))/SUMPRODUCT((DATOS!$A$2:$A$20000=G38)*(DATOS!$G$2:$G$20000=CONFIG_METADATA!$B$4)*(COUNTIF(CONFIG_ASIGNATURAS!$B$7:$B$27,DATOS!$I$2:$I$20000)&gt;0)*1),"")))</f>
        <v/>
      </c>
      <c r="N38" t="str">
        <f>IF(M38="","",IF(M38="[FÓRMULA MANUAL]","",IFERROR(AVERAGEIFS(DATOS!$K$2:$K$20000,DATOS!$A$2:$A$20000,M38,DATOS!$G$2:$G$20000,CONFIG_METADATA!$B$4,DATOS!$I$2:$I$20000,"Armonía"),"")))</f>
        <v/>
      </c>
      <c r="O38" t="str">
        <f>IF(M38="","",IF(M38="[FÓRMULA MANUAL]","",IFERROR(AVERAGEIFS(DATOS!$K$2:$K$20000,DATOS!$A$2:$A$20000,M38,DATOS!$G$2:$G$20000,CONFIG_METADATA!$B$4,DATOS!$I$2:$I$20000,"Orquesta/Banda/Conjunto"),"")))</f>
        <v/>
      </c>
      <c r="P38" t="str">
        <f>IF(M38="","",IF(M38="[FÓRMULA MANUAL]","",IFERROR(AVERAGEIFS(DATOS!$K$2:$K$20000,DATOS!$A$2:$A$20000,M38,DATOS!$G$2:$G$20000,CONFIG_METADATA!$B$4,DATOS!$I$2:$I$20000,"Música de Cámara"),"")))</f>
        <v/>
      </c>
      <c r="Q38" t="str">
        <f>IF(M38="","",IF(M38="[FÓRMULA MANUAL]","",IFERROR(SUMPRODUCT((DATOS!$A$2:$A$20000=M38)*(DATOS!$G$2:$G$20000=CONFIG_METADATA!$B$4)*(COUNTIF(CONFIG_ASIGNATURAS!$B$7:$B$27,DATOS!$I$2:$I$20000)&gt;0)*(DATOS!$K$2:$K$20000))/SUMPRODUCT((DATOS!$A$2:$A$20000=M38)*(DATOS!$G$2:$G$20000=CONFIG_METADATA!$B$4)*(COUNTIF(CONFIG_ASIGNATURAS!$B$7:$B$27,DATOS!$I$2:$I$20000)&gt;0)*1),"")))</f>
        <v/>
      </c>
      <c r="T38" t="str">
        <f>IF(S38="","",IF(S38="[FÓRMULA MANUAL]","",IFERROR(AVERAGEIFS(DATOS!$K$2:$K$20000,DATOS!$A$2:$A$20000,S38,DATOS!$G$2:$G$20000,CONFIG_METADATA!$B$4,DATOS!$I$2:$I$20000,"Armonía"),"")))</f>
        <v/>
      </c>
      <c r="U38" t="str">
        <f>IF(S38="","",IF(S38="[FÓRMULA MANUAL]","",IFERROR(AVERAGEIFS(DATOS!$K$2:$K$20000,DATOS!$A$2:$A$20000,S38,DATOS!$G$2:$G$20000,CONFIG_METADATA!$B$4,DATOS!$I$2:$I$20000,"Orquesta/Banda/Conjunto"),"")))</f>
        <v/>
      </c>
      <c r="V38" t="str">
        <f>IF(S38="","",IF(S38="[FÓRMULA MANUAL]","",IFERROR(AVERAGEIFS(DATOS!$K$2:$K$20000,DATOS!$A$2:$A$20000,S38,DATOS!$G$2:$G$20000,CONFIG_METADATA!$B$4,DATOS!$I$2:$I$20000,"Música de Cámara"),"")))</f>
        <v/>
      </c>
      <c r="W38" t="str">
        <f>IF(S38="","",IF(S38="[FÓRMULA MANUAL]","",IFERROR(SUMPRODUCT((DATOS!$A$2:$A$20000=S38)*(DATOS!$G$2:$G$20000=CONFIG_METADATA!$B$4)*(COUNTIF(CONFIG_ASIGNATURAS!$B$7:$B$27,DATOS!$I$2:$I$20000)&gt;0)*(DATOS!$K$2:$K$20000))/SUMPRODUCT((DATOS!$A$2:$A$20000=S38)*(DATOS!$G$2:$G$20000=CONFIG_METADATA!$B$4)*(COUNTIF(CONFIG_ASIGNATURAS!$B$7:$B$27,DATOS!$I$2:$I$20000)&gt;0)*1),"")))</f>
        <v/>
      </c>
      <c r="Z38" t="str">
        <f>IF(Y38="","",IF(Y38="[FÓRMULA MANUAL]","",IFERROR(AVERAGEIFS(DATOS!$K$2:$K$20000,DATOS!$A$2:$A$20000,Y38,DATOS!$G$2:$G$20000,CONFIG_METADATA!$B$4,DATOS!$I$2:$I$20000,"Análisis"),"")))</f>
        <v/>
      </c>
      <c r="AA38" t="str">
        <f>IF(Y38="","",IF(Y38="[FÓRMULA MANUAL]","",IFERROR(AVERAGEIFS(DATOS!$K$2:$K$20000,DATOS!$A$2:$A$20000,Y38,DATOS!$G$2:$G$20000,CONFIG_METADATA!$B$4,DATOS!$I$2:$I$20000,"Orquesta/Banda/Conjunto"),"")))</f>
        <v/>
      </c>
      <c r="AB38" t="str">
        <f>IF(Y38="","",IF(Y38="[FÓRMULA MANUAL]","",IFERROR(AVERAGEIFS(DATOS!$K$2:$K$20000,DATOS!$A$2:$A$20000,Y38,DATOS!$G$2:$G$20000,CONFIG_METADATA!$B$4,DATOS!$I$2:$I$20000,"Música de Cámara"),"")))</f>
        <v/>
      </c>
      <c r="AC38" t="str">
        <f>IF(Y38="","",IF(Y38="[FÓRMULA MANUAL]","",IFERROR(SUMPRODUCT((DATOS!$A$2:$A$20000=Y38)*(DATOS!$G$2:$G$20000=CONFIG_METADATA!$B$4)*(COUNTIF(CONFIG_ASIGNATURAS!$B$7:$B$27,DATOS!$I$2:$I$20000)&gt;0)*(DATOS!$K$2:$K$20000))/SUMPRODUCT((DATOS!$A$2:$A$20000=Y38)*(DATOS!$G$2:$G$20000=CONFIG_METADATA!$B$4)*(COUNTIF(CONFIG_ASIGNATURAS!$B$7:$B$27,DATOS!$I$2:$I$20000)&gt;0)*1),"")))</f>
        <v/>
      </c>
      <c r="AF38" t="str">
        <f>IF(AE38="","",IF(AE38="[FÓRMULA MANUAL]","",IFERROR(AVERAGEIFS(DATOS!$K$2:$K$20000,DATOS!$A$2:$A$20000,AE38,DATOS!$G$2:$G$20000,CONFIG_METADATA!$B$4,DATOS!$I$2:$I$20000,"Análisis"),"")))</f>
        <v/>
      </c>
      <c r="AG38" t="str">
        <f>IF(AE38="","",IF(AE38="[FÓRMULA MANUAL]","",IFERROR(AVERAGEIFS(DATOS!$K$2:$K$20000,DATOS!$A$2:$A$20000,AE38,DATOS!$G$2:$G$20000,CONFIG_METADATA!$B$4,DATOS!$I$2:$I$20000,"Orquesta/Banda/Conjunto"),"")))</f>
        <v/>
      </c>
      <c r="AH38" t="str">
        <f>IF(AE38="","",IF(AE38="[FÓRMULA MANUAL]","",IFERROR(AVERAGEIFS(DATOS!$K$2:$K$20000,DATOS!$A$2:$A$20000,AE38,DATOS!$G$2:$G$20000,CONFIG_METADATA!$B$4,DATOS!$I$2:$I$20000,"Música de Cámara"),"")))</f>
        <v/>
      </c>
      <c r="AI38" t="str">
        <f>IF(AE38="","",IF(AE38="[FÓRMULA MANUAL]","",IFERROR(SUMPRODUCT((DATOS!$A$2:$A$20000=AE38)*(DATOS!$G$2:$G$20000=CONFIG_METADATA!$B$4)*(COUNTIF(CONFIG_ASIGNATURAS!$B$7:$B$27,DATOS!$I$2:$I$20000)&gt;0)*(DATOS!$K$2:$K$20000))/SUMPRODUCT((DATOS!$A$2:$A$20000=AE38)*(DATOS!$G$2:$G$20000=CONFIG_METADATA!$B$4)*(COUNTIF(CONFIG_ASIGNATURAS!$B$7:$B$27,DATOS!$I$2:$I$20000)&gt;0)*1),"")))</f>
        <v/>
      </c>
    </row>
    <row r="39" spans="2:35" x14ac:dyDescent="0.2">
      <c r="B39" t="str">
        <f>IF(A39="","",IF(A39="[FÓRMULA MANUAL]","",IFERROR(AVERAGEIFS(DATOS!$K$2:$K$20000,DATOS!$A$2:$A$20000,A39,DATOS!$G$2:$G$20000,CONFIG_METADATA!$B$4,DATOS!$I$2:$I$20000,"Lenguaje Musical"),"")))</f>
        <v/>
      </c>
      <c r="C39" t="str">
        <f>IF(A39="","",IF(A39="[FÓRMULA MANUAL]","",IFERROR(AVERAGEIFS(DATOS!$K$2:$K$20000,DATOS!$A$2:$A$20000,A39,DATOS!$G$2:$G$20000,CONFIG_METADATA!$B$4,DATOS!$I$2:$I$20000,"Orquesta/Banda/Conjunto"),"")))</f>
        <v/>
      </c>
      <c r="D39" t="str">
        <f>IF(A39="","",IF(A39="[FÓRMULA MANUAL]","",IFERROR(AVERAGEIFS(DATOS!$K$2:$K$20000,DATOS!$A$2:$A$20000,A39,DATOS!$G$2:$G$20000,CONFIG_METADATA!$B$4,DATOS!$I$2:$I$20000,"Conjunto"),"")))</f>
        <v/>
      </c>
      <c r="E39" t="str">
        <f>IF(A39="","",IF(A39="[FÓRMULA MANUAL]","",IFERROR(SUMPRODUCT((DATOS!$A$2:$A$20000=A39)*(DATOS!$G$2:$G$20000=CONFIG_METADATA!$B$4)*(COUNTIF(CONFIG_ASIGNATURAS!$B$7:$B$27,DATOS!$I$2:$I$20000)&gt;0)*(DATOS!$K$2:$K$20000))/SUMPRODUCT((DATOS!$A$2:$A$20000=A39)*(DATOS!$G$2:$G$20000=CONFIG_METADATA!$B$4)*(COUNTIF(CONFIG_ASIGNATURAS!$B$7:$B$27,DATOS!$I$2:$I$20000)&gt;0)*1),"")))</f>
        <v/>
      </c>
      <c r="H39" t="str">
        <f>IF(G39="","",IF(G39="[FÓRMULA MANUAL]","",IFERROR(AVERAGEIFS(DATOS!$K$2:$K$20000,DATOS!$A$2:$A$20000,G39,DATOS!$G$2:$G$20000,CONFIG_METADATA!$B$4,DATOS!$I$2:$I$20000,"Lenguaje Musical"),"")))</f>
        <v/>
      </c>
      <c r="I39" t="str">
        <f>IF(G39="","",IF(G39="[FÓRMULA MANUAL]","",IFERROR(AVERAGEIFS(DATOS!$K$2:$K$20000,DATOS!$A$2:$A$20000,G39,DATOS!$G$2:$G$20000,CONFIG_METADATA!$B$4,DATOS!$I$2:$I$20000,"Orquesta/Banda/Conjunto"),"")))</f>
        <v/>
      </c>
      <c r="J39" t="str">
        <f>IF(G39="","",IF(G39="[FÓRMULA MANUAL]","",IFERROR(AVERAGEIFS(DATOS!$K$2:$K$20000,DATOS!$A$2:$A$20000,G39,DATOS!$G$2:$G$20000,CONFIG_METADATA!$B$4,DATOS!$I$2:$I$20000,"Conjunto"),"")))</f>
        <v/>
      </c>
      <c r="K39" t="str">
        <f>IF(G39="","",IF(G39="[FÓRMULA MANUAL]","",IFERROR(SUMPRODUCT((DATOS!$A$2:$A$20000=G39)*(DATOS!$G$2:$G$20000=CONFIG_METADATA!$B$4)*(COUNTIF(CONFIG_ASIGNATURAS!$B$7:$B$27,DATOS!$I$2:$I$20000)&gt;0)*(DATOS!$K$2:$K$20000))/SUMPRODUCT((DATOS!$A$2:$A$20000=G39)*(DATOS!$G$2:$G$20000=CONFIG_METADATA!$B$4)*(COUNTIF(CONFIG_ASIGNATURAS!$B$7:$B$27,DATOS!$I$2:$I$20000)&gt;0)*1),"")))</f>
        <v/>
      </c>
      <c r="N39" t="str">
        <f>IF(M39="","",IF(M39="[FÓRMULA MANUAL]","",IFERROR(AVERAGEIFS(DATOS!$K$2:$K$20000,DATOS!$A$2:$A$20000,M39,DATOS!$G$2:$G$20000,CONFIG_METADATA!$B$4,DATOS!$I$2:$I$20000,"Armonía"),"")))</f>
        <v/>
      </c>
      <c r="O39" t="str">
        <f>IF(M39="","",IF(M39="[FÓRMULA MANUAL]","",IFERROR(AVERAGEIFS(DATOS!$K$2:$K$20000,DATOS!$A$2:$A$20000,M39,DATOS!$G$2:$G$20000,CONFIG_METADATA!$B$4,DATOS!$I$2:$I$20000,"Orquesta/Banda/Conjunto"),"")))</f>
        <v/>
      </c>
      <c r="P39" t="str">
        <f>IF(M39="","",IF(M39="[FÓRMULA MANUAL]","",IFERROR(AVERAGEIFS(DATOS!$K$2:$K$20000,DATOS!$A$2:$A$20000,M39,DATOS!$G$2:$G$20000,CONFIG_METADATA!$B$4,DATOS!$I$2:$I$20000,"Música de Cámara"),"")))</f>
        <v/>
      </c>
      <c r="Q39" t="str">
        <f>IF(M39="","",IF(M39="[FÓRMULA MANUAL]","",IFERROR(SUMPRODUCT((DATOS!$A$2:$A$20000=M39)*(DATOS!$G$2:$G$20000=CONFIG_METADATA!$B$4)*(COUNTIF(CONFIG_ASIGNATURAS!$B$7:$B$27,DATOS!$I$2:$I$20000)&gt;0)*(DATOS!$K$2:$K$20000))/SUMPRODUCT((DATOS!$A$2:$A$20000=M39)*(DATOS!$G$2:$G$20000=CONFIG_METADATA!$B$4)*(COUNTIF(CONFIG_ASIGNATURAS!$B$7:$B$27,DATOS!$I$2:$I$20000)&gt;0)*1),"")))</f>
        <v/>
      </c>
      <c r="T39" t="str">
        <f>IF(S39="","",IF(S39="[FÓRMULA MANUAL]","",IFERROR(AVERAGEIFS(DATOS!$K$2:$K$20000,DATOS!$A$2:$A$20000,S39,DATOS!$G$2:$G$20000,CONFIG_METADATA!$B$4,DATOS!$I$2:$I$20000,"Armonía"),"")))</f>
        <v/>
      </c>
      <c r="U39" t="str">
        <f>IF(S39="","",IF(S39="[FÓRMULA MANUAL]","",IFERROR(AVERAGEIFS(DATOS!$K$2:$K$20000,DATOS!$A$2:$A$20000,S39,DATOS!$G$2:$G$20000,CONFIG_METADATA!$B$4,DATOS!$I$2:$I$20000,"Orquesta/Banda/Conjunto"),"")))</f>
        <v/>
      </c>
      <c r="V39" t="str">
        <f>IF(S39="","",IF(S39="[FÓRMULA MANUAL]","",IFERROR(AVERAGEIFS(DATOS!$K$2:$K$20000,DATOS!$A$2:$A$20000,S39,DATOS!$G$2:$G$20000,CONFIG_METADATA!$B$4,DATOS!$I$2:$I$20000,"Música de Cámara"),"")))</f>
        <v/>
      </c>
      <c r="W39" t="str">
        <f>IF(S39="","",IF(S39="[FÓRMULA MANUAL]","",IFERROR(SUMPRODUCT((DATOS!$A$2:$A$20000=S39)*(DATOS!$G$2:$G$20000=CONFIG_METADATA!$B$4)*(COUNTIF(CONFIG_ASIGNATURAS!$B$7:$B$27,DATOS!$I$2:$I$20000)&gt;0)*(DATOS!$K$2:$K$20000))/SUMPRODUCT((DATOS!$A$2:$A$20000=S39)*(DATOS!$G$2:$G$20000=CONFIG_METADATA!$B$4)*(COUNTIF(CONFIG_ASIGNATURAS!$B$7:$B$27,DATOS!$I$2:$I$20000)&gt;0)*1),"")))</f>
        <v/>
      </c>
      <c r="Z39" t="str">
        <f>IF(Y39="","",IF(Y39="[FÓRMULA MANUAL]","",IFERROR(AVERAGEIFS(DATOS!$K$2:$K$20000,DATOS!$A$2:$A$20000,Y39,DATOS!$G$2:$G$20000,CONFIG_METADATA!$B$4,DATOS!$I$2:$I$20000,"Análisis"),"")))</f>
        <v/>
      </c>
      <c r="AA39" t="str">
        <f>IF(Y39="","",IF(Y39="[FÓRMULA MANUAL]","",IFERROR(AVERAGEIFS(DATOS!$K$2:$K$20000,DATOS!$A$2:$A$20000,Y39,DATOS!$G$2:$G$20000,CONFIG_METADATA!$B$4,DATOS!$I$2:$I$20000,"Orquesta/Banda/Conjunto"),"")))</f>
        <v/>
      </c>
      <c r="AB39" t="str">
        <f>IF(Y39="","",IF(Y39="[FÓRMULA MANUAL]","",IFERROR(AVERAGEIFS(DATOS!$K$2:$K$20000,DATOS!$A$2:$A$20000,Y39,DATOS!$G$2:$G$20000,CONFIG_METADATA!$B$4,DATOS!$I$2:$I$20000,"Música de Cámara"),"")))</f>
        <v/>
      </c>
      <c r="AC39" t="str">
        <f>IF(Y39="","",IF(Y39="[FÓRMULA MANUAL]","",IFERROR(SUMPRODUCT((DATOS!$A$2:$A$20000=Y39)*(DATOS!$G$2:$G$20000=CONFIG_METADATA!$B$4)*(COUNTIF(CONFIG_ASIGNATURAS!$B$7:$B$27,DATOS!$I$2:$I$20000)&gt;0)*(DATOS!$K$2:$K$20000))/SUMPRODUCT((DATOS!$A$2:$A$20000=Y39)*(DATOS!$G$2:$G$20000=CONFIG_METADATA!$B$4)*(COUNTIF(CONFIG_ASIGNATURAS!$B$7:$B$27,DATOS!$I$2:$I$20000)&gt;0)*1),"")))</f>
        <v/>
      </c>
      <c r="AF39" t="str">
        <f>IF(AE39="","",IF(AE39="[FÓRMULA MANUAL]","",IFERROR(AVERAGEIFS(DATOS!$K$2:$K$20000,DATOS!$A$2:$A$20000,AE39,DATOS!$G$2:$G$20000,CONFIG_METADATA!$B$4,DATOS!$I$2:$I$20000,"Análisis"),"")))</f>
        <v/>
      </c>
      <c r="AG39" t="str">
        <f>IF(AE39="","",IF(AE39="[FÓRMULA MANUAL]","",IFERROR(AVERAGEIFS(DATOS!$K$2:$K$20000,DATOS!$A$2:$A$20000,AE39,DATOS!$G$2:$G$20000,CONFIG_METADATA!$B$4,DATOS!$I$2:$I$20000,"Orquesta/Banda/Conjunto"),"")))</f>
        <v/>
      </c>
      <c r="AH39" t="str">
        <f>IF(AE39="","",IF(AE39="[FÓRMULA MANUAL]","",IFERROR(AVERAGEIFS(DATOS!$K$2:$K$20000,DATOS!$A$2:$A$20000,AE39,DATOS!$G$2:$G$20000,CONFIG_METADATA!$B$4,DATOS!$I$2:$I$20000,"Música de Cámara"),"")))</f>
        <v/>
      </c>
      <c r="AI39" t="str">
        <f>IF(AE39="","",IF(AE39="[FÓRMULA MANUAL]","",IFERROR(SUMPRODUCT((DATOS!$A$2:$A$20000=AE39)*(DATOS!$G$2:$G$20000=CONFIG_METADATA!$B$4)*(COUNTIF(CONFIG_ASIGNATURAS!$B$7:$B$27,DATOS!$I$2:$I$20000)&gt;0)*(DATOS!$K$2:$K$20000))/SUMPRODUCT((DATOS!$A$2:$A$20000=AE39)*(DATOS!$G$2:$G$20000=CONFIG_METADATA!$B$4)*(COUNTIF(CONFIG_ASIGNATURAS!$B$7:$B$27,DATOS!$I$2:$I$20000)&gt;0)*1),"")))</f>
        <v/>
      </c>
    </row>
    <row r="40" spans="2:35" x14ac:dyDescent="0.2">
      <c r="B40" t="str">
        <f>IF(A40="","",IF(A40="[FÓRMULA MANUAL]","",IFERROR(AVERAGEIFS(DATOS!$K$2:$K$20000,DATOS!$A$2:$A$20000,A40,DATOS!$G$2:$G$20000,CONFIG_METADATA!$B$4,DATOS!$I$2:$I$20000,"Lenguaje Musical"),"")))</f>
        <v/>
      </c>
      <c r="C40" t="str">
        <f>IF(A40="","",IF(A40="[FÓRMULA MANUAL]","",IFERROR(AVERAGEIFS(DATOS!$K$2:$K$20000,DATOS!$A$2:$A$20000,A40,DATOS!$G$2:$G$20000,CONFIG_METADATA!$B$4,DATOS!$I$2:$I$20000,"Orquesta/Banda/Conjunto"),"")))</f>
        <v/>
      </c>
      <c r="D40" t="str">
        <f>IF(A40="","",IF(A40="[FÓRMULA MANUAL]","",IFERROR(AVERAGEIFS(DATOS!$K$2:$K$20000,DATOS!$A$2:$A$20000,A40,DATOS!$G$2:$G$20000,CONFIG_METADATA!$B$4,DATOS!$I$2:$I$20000,"Conjunto"),"")))</f>
        <v/>
      </c>
      <c r="E40" t="str">
        <f>IF(A40="","",IF(A40="[FÓRMULA MANUAL]","",IFERROR(SUMPRODUCT((DATOS!$A$2:$A$20000=A40)*(DATOS!$G$2:$G$20000=CONFIG_METADATA!$B$4)*(COUNTIF(CONFIG_ASIGNATURAS!$B$7:$B$27,DATOS!$I$2:$I$20000)&gt;0)*(DATOS!$K$2:$K$20000))/SUMPRODUCT((DATOS!$A$2:$A$20000=A40)*(DATOS!$G$2:$G$20000=CONFIG_METADATA!$B$4)*(COUNTIF(CONFIG_ASIGNATURAS!$B$7:$B$27,DATOS!$I$2:$I$20000)&gt;0)*1),"")))</f>
        <v/>
      </c>
      <c r="H40" t="str">
        <f>IF(G40="","",IF(G40="[FÓRMULA MANUAL]","",IFERROR(AVERAGEIFS(DATOS!$K$2:$K$20000,DATOS!$A$2:$A$20000,G40,DATOS!$G$2:$G$20000,CONFIG_METADATA!$B$4,DATOS!$I$2:$I$20000,"Lenguaje Musical"),"")))</f>
        <v/>
      </c>
      <c r="I40" t="str">
        <f>IF(G40="","",IF(G40="[FÓRMULA MANUAL]","",IFERROR(AVERAGEIFS(DATOS!$K$2:$K$20000,DATOS!$A$2:$A$20000,G40,DATOS!$G$2:$G$20000,CONFIG_METADATA!$B$4,DATOS!$I$2:$I$20000,"Orquesta/Banda/Conjunto"),"")))</f>
        <v/>
      </c>
      <c r="J40" t="str">
        <f>IF(G40="","",IF(G40="[FÓRMULA MANUAL]","",IFERROR(AVERAGEIFS(DATOS!$K$2:$K$20000,DATOS!$A$2:$A$20000,G40,DATOS!$G$2:$G$20000,CONFIG_METADATA!$B$4,DATOS!$I$2:$I$20000,"Conjunto"),"")))</f>
        <v/>
      </c>
      <c r="K40" t="str">
        <f>IF(G40="","",IF(G40="[FÓRMULA MANUAL]","",IFERROR(SUMPRODUCT((DATOS!$A$2:$A$20000=G40)*(DATOS!$G$2:$G$20000=CONFIG_METADATA!$B$4)*(COUNTIF(CONFIG_ASIGNATURAS!$B$7:$B$27,DATOS!$I$2:$I$20000)&gt;0)*(DATOS!$K$2:$K$20000))/SUMPRODUCT((DATOS!$A$2:$A$20000=G40)*(DATOS!$G$2:$G$20000=CONFIG_METADATA!$B$4)*(COUNTIF(CONFIG_ASIGNATURAS!$B$7:$B$27,DATOS!$I$2:$I$20000)&gt;0)*1),"")))</f>
        <v/>
      </c>
      <c r="N40" t="str">
        <f>IF(M40="","",IF(M40="[FÓRMULA MANUAL]","",IFERROR(AVERAGEIFS(DATOS!$K$2:$K$20000,DATOS!$A$2:$A$20000,M40,DATOS!$G$2:$G$20000,CONFIG_METADATA!$B$4,DATOS!$I$2:$I$20000,"Armonía"),"")))</f>
        <v/>
      </c>
      <c r="O40" t="str">
        <f>IF(M40="","",IF(M40="[FÓRMULA MANUAL]","",IFERROR(AVERAGEIFS(DATOS!$K$2:$K$20000,DATOS!$A$2:$A$20000,M40,DATOS!$G$2:$G$20000,CONFIG_METADATA!$B$4,DATOS!$I$2:$I$20000,"Orquesta/Banda/Conjunto"),"")))</f>
        <v/>
      </c>
      <c r="P40" t="str">
        <f>IF(M40="","",IF(M40="[FÓRMULA MANUAL]","",IFERROR(AVERAGEIFS(DATOS!$K$2:$K$20000,DATOS!$A$2:$A$20000,M40,DATOS!$G$2:$G$20000,CONFIG_METADATA!$B$4,DATOS!$I$2:$I$20000,"Música de Cámara"),"")))</f>
        <v/>
      </c>
      <c r="Q40" t="str">
        <f>IF(M40="","",IF(M40="[FÓRMULA MANUAL]","",IFERROR(SUMPRODUCT((DATOS!$A$2:$A$20000=M40)*(DATOS!$G$2:$G$20000=CONFIG_METADATA!$B$4)*(COUNTIF(CONFIG_ASIGNATURAS!$B$7:$B$27,DATOS!$I$2:$I$20000)&gt;0)*(DATOS!$K$2:$K$20000))/SUMPRODUCT((DATOS!$A$2:$A$20000=M40)*(DATOS!$G$2:$G$20000=CONFIG_METADATA!$B$4)*(COUNTIF(CONFIG_ASIGNATURAS!$B$7:$B$27,DATOS!$I$2:$I$20000)&gt;0)*1),"")))</f>
        <v/>
      </c>
      <c r="T40" t="str">
        <f>IF(S40="","",IF(S40="[FÓRMULA MANUAL]","",IFERROR(AVERAGEIFS(DATOS!$K$2:$K$20000,DATOS!$A$2:$A$20000,S40,DATOS!$G$2:$G$20000,CONFIG_METADATA!$B$4,DATOS!$I$2:$I$20000,"Armonía"),"")))</f>
        <v/>
      </c>
      <c r="U40" t="str">
        <f>IF(S40="","",IF(S40="[FÓRMULA MANUAL]","",IFERROR(AVERAGEIFS(DATOS!$K$2:$K$20000,DATOS!$A$2:$A$20000,S40,DATOS!$G$2:$G$20000,CONFIG_METADATA!$B$4,DATOS!$I$2:$I$20000,"Orquesta/Banda/Conjunto"),"")))</f>
        <v/>
      </c>
      <c r="V40" t="str">
        <f>IF(S40="","",IF(S40="[FÓRMULA MANUAL]","",IFERROR(AVERAGEIFS(DATOS!$K$2:$K$20000,DATOS!$A$2:$A$20000,S40,DATOS!$G$2:$G$20000,CONFIG_METADATA!$B$4,DATOS!$I$2:$I$20000,"Música de Cámara"),"")))</f>
        <v/>
      </c>
      <c r="W40" t="str">
        <f>IF(S40="","",IF(S40="[FÓRMULA MANUAL]","",IFERROR(SUMPRODUCT((DATOS!$A$2:$A$20000=S40)*(DATOS!$G$2:$G$20000=CONFIG_METADATA!$B$4)*(COUNTIF(CONFIG_ASIGNATURAS!$B$7:$B$27,DATOS!$I$2:$I$20000)&gt;0)*(DATOS!$K$2:$K$20000))/SUMPRODUCT((DATOS!$A$2:$A$20000=S40)*(DATOS!$G$2:$G$20000=CONFIG_METADATA!$B$4)*(COUNTIF(CONFIG_ASIGNATURAS!$B$7:$B$27,DATOS!$I$2:$I$20000)&gt;0)*1),"")))</f>
        <v/>
      </c>
      <c r="Z40" t="str">
        <f>IF(Y40="","",IF(Y40="[FÓRMULA MANUAL]","",IFERROR(AVERAGEIFS(DATOS!$K$2:$K$20000,DATOS!$A$2:$A$20000,Y40,DATOS!$G$2:$G$20000,CONFIG_METADATA!$B$4,DATOS!$I$2:$I$20000,"Análisis"),"")))</f>
        <v/>
      </c>
      <c r="AA40" t="str">
        <f>IF(Y40="","",IF(Y40="[FÓRMULA MANUAL]","",IFERROR(AVERAGEIFS(DATOS!$K$2:$K$20000,DATOS!$A$2:$A$20000,Y40,DATOS!$G$2:$G$20000,CONFIG_METADATA!$B$4,DATOS!$I$2:$I$20000,"Orquesta/Banda/Conjunto"),"")))</f>
        <v/>
      </c>
      <c r="AB40" t="str">
        <f>IF(Y40="","",IF(Y40="[FÓRMULA MANUAL]","",IFERROR(AVERAGEIFS(DATOS!$K$2:$K$20000,DATOS!$A$2:$A$20000,Y40,DATOS!$G$2:$G$20000,CONFIG_METADATA!$B$4,DATOS!$I$2:$I$20000,"Música de Cámara"),"")))</f>
        <v/>
      </c>
      <c r="AC40" t="str">
        <f>IF(Y40="","",IF(Y40="[FÓRMULA MANUAL]","",IFERROR(SUMPRODUCT((DATOS!$A$2:$A$20000=Y40)*(DATOS!$G$2:$G$20000=CONFIG_METADATA!$B$4)*(COUNTIF(CONFIG_ASIGNATURAS!$B$7:$B$27,DATOS!$I$2:$I$20000)&gt;0)*(DATOS!$K$2:$K$20000))/SUMPRODUCT((DATOS!$A$2:$A$20000=Y40)*(DATOS!$G$2:$G$20000=CONFIG_METADATA!$B$4)*(COUNTIF(CONFIG_ASIGNATURAS!$B$7:$B$27,DATOS!$I$2:$I$20000)&gt;0)*1),"")))</f>
        <v/>
      </c>
      <c r="AF40" t="str">
        <f>IF(AE40="","",IF(AE40="[FÓRMULA MANUAL]","",IFERROR(AVERAGEIFS(DATOS!$K$2:$K$20000,DATOS!$A$2:$A$20000,AE40,DATOS!$G$2:$G$20000,CONFIG_METADATA!$B$4,DATOS!$I$2:$I$20000,"Análisis"),"")))</f>
        <v/>
      </c>
      <c r="AG40" t="str">
        <f>IF(AE40="","",IF(AE40="[FÓRMULA MANUAL]","",IFERROR(AVERAGEIFS(DATOS!$K$2:$K$20000,DATOS!$A$2:$A$20000,AE40,DATOS!$G$2:$G$20000,CONFIG_METADATA!$B$4,DATOS!$I$2:$I$20000,"Orquesta/Banda/Conjunto"),"")))</f>
        <v/>
      </c>
      <c r="AH40" t="str">
        <f>IF(AE40="","",IF(AE40="[FÓRMULA MANUAL]","",IFERROR(AVERAGEIFS(DATOS!$K$2:$K$20000,DATOS!$A$2:$A$20000,AE40,DATOS!$G$2:$G$20000,CONFIG_METADATA!$B$4,DATOS!$I$2:$I$20000,"Música de Cámara"),"")))</f>
        <v/>
      </c>
      <c r="AI40" t="str">
        <f>IF(AE40="","",IF(AE40="[FÓRMULA MANUAL]","",IFERROR(SUMPRODUCT((DATOS!$A$2:$A$20000=AE40)*(DATOS!$G$2:$G$20000=CONFIG_METADATA!$B$4)*(COUNTIF(CONFIG_ASIGNATURAS!$B$7:$B$27,DATOS!$I$2:$I$20000)&gt;0)*(DATOS!$K$2:$K$20000))/SUMPRODUCT((DATOS!$A$2:$A$20000=AE40)*(DATOS!$G$2:$G$20000=CONFIG_METADATA!$B$4)*(COUNTIF(CONFIG_ASIGNATURAS!$B$7:$B$27,DATOS!$I$2:$I$20000)&gt;0)*1),"")))</f>
        <v/>
      </c>
    </row>
    <row r="41" spans="2:35" x14ac:dyDescent="0.2">
      <c r="B41" t="str">
        <f>IF(A41="","",IF(A41="[FÓRMULA MANUAL]","",IFERROR(AVERAGEIFS(DATOS!$K$2:$K$20000,DATOS!$A$2:$A$20000,A41,DATOS!$G$2:$G$20000,CONFIG_METADATA!$B$4,DATOS!$I$2:$I$20000,"Lenguaje Musical"),"")))</f>
        <v/>
      </c>
      <c r="C41" t="str">
        <f>IF(A41="","",IF(A41="[FÓRMULA MANUAL]","",IFERROR(AVERAGEIFS(DATOS!$K$2:$K$20000,DATOS!$A$2:$A$20000,A41,DATOS!$G$2:$G$20000,CONFIG_METADATA!$B$4,DATOS!$I$2:$I$20000,"Orquesta/Banda/Conjunto"),"")))</f>
        <v/>
      </c>
      <c r="D41" t="str">
        <f>IF(A41="","",IF(A41="[FÓRMULA MANUAL]","",IFERROR(AVERAGEIFS(DATOS!$K$2:$K$20000,DATOS!$A$2:$A$20000,A41,DATOS!$G$2:$G$20000,CONFIG_METADATA!$B$4,DATOS!$I$2:$I$20000,"Conjunto"),"")))</f>
        <v/>
      </c>
      <c r="E41" t="str">
        <f>IF(A41="","",IF(A41="[FÓRMULA MANUAL]","",IFERROR(SUMPRODUCT((DATOS!$A$2:$A$20000=A41)*(DATOS!$G$2:$G$20000=CONFIG_METADATA!$B$4)*(COUNTIF(CONFIG_ASIGNATURAS!$B$7:$B$27,DATOS!$I$2:$I$20000)&gt;0)*(DATOS!$K$2:$K$20000))/SUMPRODUCT((DATOS!$A$2:$A$20000=A41)*(DATOS!$G$2:$G$20000=CONFIG_METADATA!$B$4)*(COUNTIF(CONFIG_ASIGNATURAS!$B$7:$B$27,DATOS!$I$2:$I$20000)&gt;0)*1),"")))</f>
        <v/>
      </c>
      <c r="H41" t="str">
        <f>IF(G41="","",IF(G41="[FÓRMULA MANUAL]","",IFERROR(AVERAGEIFS(DATOS!$K$2:$K$20000,DATOS!$A$2:$A$20000,G41,DATOS!$G$2:$G$20000,CONFIG_METADATA!$B$4,DATOS!$I$2:$I$20000,"Lenguaje Musical"),"")))</f>
        <v/>
      </c>
      <c r="I41" t="str">
        <f>IF(G41="","",IF(G41="[FÓRMULA MANUAL]","",IFERROR(AVERAGEIFS(DATOS!$K$2:$K$20000,DATOS!$A$2:$A$20000,G41,DATOS!$G$2:$G$20000,CONFIG_METADATA!$B$4,DATOS!$I$2:$I$20000,"Orquesta/Banda/Conjunto"),"")))</f>
        <v/>
      </c>
      <c r="J41" t="str">
        <f>IF(G41="","",IF(G41="[FÓRMULA MANUAL]","",IFERROR(AVERAGEIFS(DATOS!$K$2:$K$20000,DATOS!$A$2:$A$20000,G41,DATOS!$G$2:$G$20000,CONFIG_METADATA!$B$4,DATOS!$I$2:$I$20000,"Conjunto"),"")))</f>
        <v/>
      </c>
      <c r="K41" t="str">
        <f>IF(G41="","",IF(G41="[FÓRMULA MANUAL]","",IFERROR(SUMPRODUCT((DATOS!$A$2:$A$20000=G41)*(DATOS!$G$2:$G$20000=CONFIG_METADATA!$B$4)*(COUNTIF(CONFIG_ASIGNATURAS!$B$7:$B$27,DATOS!$I$2:$I$20000)&gt;0)*(DATOS!$K$2:$K$20000))/SUMPRODUCT((DATOS!$A$2:$A$20000=G41)*(DATOS!$G$2:$G$20000=CONFIG_METADATA!$B$4)*(COUNTIF(CONFIG_ASIGNATURAS!$B$7:$B$27,DATOS!$I$2:$I$20000)&gt;0)*1),"")))</f>
        <v/>
      </c>
      <c r="N41" t="str">
        <f>IF(M41="","",IF(M41="[FÓRMULA MANUAL]","",IFERROR(AVERAGEIFS(DATOS!$K$2:$K$20000,DATOS!$A$2:$A$20000,M41,DATOS!$G$2:$G$20000,CONFIG_METADATA!$B$4,DATOS!$I$2:$I$20000,"Armonía"),"")))</f>
        <v/>
      </c>
      <c r="O41" t="str">
        <f>IF(M41="","",IF(M41="[FÓRMULA MANUAL]","",IFERROR(AVERAGEIFS(DATOS!$K$2:$K$20000,DATOS!$A$2:$A$20000,M41,DATOS!$G$2:$G$20000,CONFIG_METADATA!$B$4,DATOS!$I$2:$I$20000,"Orquesta/Banda/Conjunto"),"")))</f>
        <v/>
      </c>
      <c r="P41" t="str">
        <f>IF(M41="","",IF(M41="[FÓRMULA MANUAL]","",IFERROR(AVERAGEIFS(DATOS!$K$2:$K$20000,DATOS!$A$2:$A$20000,M41,DATOS!$G$2:$G$20000,CONFIG_METADATA!$B$4,DATOS!$I$2:$I$20000,"Música de Cámara"),"")))</f>
        <v/>
      </c>
      <c r="Q41" t="str">
        <f>IF(M41="","",IF(M41="[FÓRMULA MANUAL]","",IFERROR(SUMPRODUCT((DATOS!$A$2:$A$20000=M41)*(DATOS!$G$2:$G$20000=CONFIG_METADATA!$B$4)*(COUNTIF(CONFIG_ASIGNATURAS!$B$7:$B$27,DATOS!$I$2:$I$20000)&gt;0)*(DATOS!$K$2:$K$20000))/SUMPRODUCT((DATOS!$A$2:$A$20000=M41)*(DATOS!$G$2:$G$20000=CONFIG_METADATA!$B$4)*(COUNTIF(CONFIG_ASIGNATURAS!$B$7:$B$27,DATOS!$I$2:$I$20000)&gt;0)*1),"")))</f>
        <v/>
      </c>
      <c r="T41" t="str">
        <f>IF(S41="","",IF(S41="[FÓRMULA MANUAL]","",IFERROR(AVERAGEIFS(DATOS!$K$2:$K$20000,DATOS!$A$2:$A$20000,S41,DATOS!$G$2:$G$20000,CONFIG_METADATA!$B$4,DATOS!$I$2:$I$20000,"Armonía"),"")))</f>
        <v/>
      </c>
      <c r="U41" t="str">
        <f>IF(S41="","",IF(S41="[FÓRMULA MANUAL]","",IFERROR(AVERAGEIFS(DATOS!$K$2:$K$20000,DATOS!$A$2:$A$20000,S41,DATOS!$G$2:$G$20000,CONFIG_METADATA!$B$4,DATOS!$I$2:$I$20000,"Orquesta/Banda/Conjunto"),"")))</f>
        <v/>
      </c>
      <c r="V41" t="str">
        <f>IF(S41="","",IF(S41="[FÓRMULA MANUAL]","",IFERROR(AVERAGEIFS(DATOS!$K$2:$K$20000,DATOS!$A$2:$A$20000,S41,DATOS!$G$2:$G$20000,CONFIG_METADATA!$B$4,DATOS!$I$2:$I$20000,"Música de Cámara"),"")))</f>
        <v/>
      </c>
      <c r="W41" t="str">
        <f>IF(S41="","",IF(S41="[FÓRMULA MANUAL]","",IFERROR(SUMPRODUCT((DATOS!$A$2:$A$20000=S41)*(DATOS!$G$2:$G$20000=CONFIG_METADATA!$B$4)*(COUNTIF(CONFIG_ASIGNATURAS!$B$7:$B$27,DATOS!$I$2:$I$20000)&gt;0)*(DATOS!$K$2:$K$20000))/SUMPRODUCT((DATOS!$A$2:$A$20000=S41)*(DATOS!$G$2:$G$20000=CONFIG_METADATA!$B$4)*(COUNTIF(CONFIG_ASIGNATURAS!$B$7:$B$27,DATOS!$I$2:$I$20000)&gt;0)*1),"")))</f>
        <v/>
      </c>
      <c r="Z41" t="str">
        <f>IF(Y41="","",IF(Y41="[FÓRMULA MANUAL]","",IFERROR(AVERAGEIFS(DATOS!$K$2:$K$20000,DATOS!$A$2:$A$20000,Y41,DATOS!$G$2:$G$20000,CONFIG_METADATA!$B$4,DATOS!$I$2:$I$20000,"Análisis"),"")))</f>
        <v/>
      </c>
      <c r="AA41" t="str">
        <f>IF(Y41="","",IF(Y41="[FÓRMULA MANUAL]","",IFERROR(AVERAGEIFS(DATOS!$K$2:$K$20000,DATOS!$A$2:$A$20000,Y41,DATOS!$G$2:$G$20000,CONFIG_METADATA!$B$4,DATOS!$I$2:$I$20000,"Orquesta/Banda/Conjunto"),"")))</f>
        <v/>
      </c>
      <c r="AB41" t="str">
        <f>IF(Y41="","",IF(Y41="[FÓRMULA MANUAL]","",IFERROR(AVERAGEIFS(DATOS!$K$2:$K$20000,DATOS!$A$2:$A$20000,Y41,DATOS!$G$2:$G$20000,CONFIG_METADATA!$B$4,DATOS!$I$2:$I$20000,"Música de Cámara"),"")))</f>
        <v/>
      </c>
      <c r="AC41" t="str">
        <f>IF(Y41="","",IF(Y41="[FÓRMULA MANUAL]","",IFERROR(SUMPRODUCT((DATOS!$A$2:$A$20000=Y41)*(DATOS!$G$2:$G$20000=CONFIG_METADATA!$B$4)*(COUNTIF(CONFIG_ASIGNATURAS!$B$7:$B$27,DATOS!$I$2:$I$20000)&gt;0)*(DATOS!$K$2:$K$20000))/SUMPRODUCT((DATOS!$A$2:$A$20000=Y41)*(DATOS!$G$2:$G$20000=CONFIG_METADATA!$B$4)*(COUNTIF(CONFIG_ASIGNATURAS!$B$7:$B$27,DATOS!$I$2:$I$20000)&gt;0)*1),"")))</f>
        <v/>
      </c>
      <c r="AF41" t="str">
        <f>IF(AE41="","",IF(AE41="[FÓRMULA MANUAL]","",IFERROR(AVERAGEIFS(DATOS!$K$2:$K$20000,DATOS!$A$2:$A$20000,AE41,DATOS!$G$2:$G$20000,CONFIG_METADATA!$B$4,DATOS!$I$2:$I$20000,"Análisis"),"")))</f>
        <v/>
      </c>
      <c r="AG41" t="str">
        <f>IF(AE41="","",IF(AE41="[FÓRMULA MANUAL]","",IFERROR(AVERAGEIFS(DATOS!$K$2:$K$20000,DATOS!$A$2:$A$20000,AE41,DATOS!$G$2:$G$20000,CONFIG_METADATA!$B$4,DATOS!$I$2:$I$20000,"Orquesta/Banda/Conjunto"),"")))</f>
        <v/>
      </c>
      <c r="AH41" t="str">
        <f>IF(AE41="","",IF(AE41="[FÓRMULA MANUAL]","",IFERROR(AVERAGEIFS(DATOS!$K$2:$K$20000,DATOS!$A$2:$A$20000,AE41,DATOS!$G$2:$G$20000,CONFIG_METADATA!$B$4,DATOS!$I$2:$I$20000,"Música de Cámara"),"")))</f>
        <v/>
      </c>
      <c r="AI41" t="str">
        <f>IF(AE41="","",IF(AE41="[FÓRMULA MANUAL]","",IFERROR(SUMPRODUCT((DATOS!$A$2:$A$20000=AE41)*(DATOS!$G$2:$G$20000=CONFIG_METADATA!$B$4)*(COUNTIF(CONFIG_ASIGNATURAS!$B$7:$B$27,DATOS!$I$2:$I$20000)&gt;0)*(DATOS!$K$2:$K$20000))/SUMPRODUCT((DATOS!$A$2:$A$20000=AE41)*(DATOS!$G$2:$G$20000=CONFIG_METADATA!$B$4)*(COUNTIF(CONFIG_ASIGNATURAS!$B$7:$B$27,DATOS!$I$2:$I$20000)&gt;0)*1),"")))</f>
        <v/>
      </c>
    </row>
    <row r="42" spans="2:35" x14ac:dyDescent="0.2">
      <c r="B42" t="str">
        <f>IF(A42="","",IF(A42="[FÓRMULA MANUAL]","",IFERROR(AVERAGEIFS(DATOS!$K$2:$K$20000,DATOS!$A$2:$A$20000,A42,DATOS!$G$2:$G$20000,CONFIG_METADATA!$B$4,DATOS!$I$2:$I$20000,"Lenguaje Musical"),"")))</f>
        <v/>
      </c>
      <c r="C42" t="str">
        <f>IF(A42="","",IF(A42="[FÓRMULA MANUAL]","",IFERROR(AVERAGEIFS(DATOS!$K$2:$K$20000,DATOS!$A$2:$A$20000,A42,DATOS!$G$2:$G$20000,CONFIG_METADATA!$B$4,DATOS!$I$2:$I$20000,"Orquesta/Banda/Conjunto"),"")))</f>
        <v/>
      </c>
      <c r="D42" t="str">
        <f>IF(A42="","",IF(A42="[FÓRMULA MANUAL]","",IFERROR(AVERAGEIFS(DATOS!$K$2:$K$20000,DATOS!$A$2:$A$20000,A42,DATOS!$G$2:$G$20000,CONFIG_METADATA!$B$4,DATOS!$I$2:$I$20000,"Conjunto"),"")))</f>
        <v/>
      </c>
      <c r="E42" t="str">
        <f>IF(A42="","",IF(A42="[FÓRMULA MANUAL]","",IFERROR(SUMPRODUCT((DATOS!$A$2:$A$20000=A42)*(DATOS!$G$2:$G$20000=CONFIG_METADATA!$B$4)*(COUNTIF(CONFIG_ASIGNATURAS!$B$7:$B$27,DATOS!$I$2:$I$20000)&gt;0)*(DATOS!$K$2:$K$20000))/SUMPRODUCT((DATOS!$A$2:$A$20000=A42)*(DATOS!$G$2:$G$20000=CONFIG_METADATA!$B$4)*(COUNTIF(CONFIG_ASIGNATURAS!$B$7:$B$27,DATOS!$I$2:$I$20000)&gt;0)*1),"")))</f>
        <v/>
      </c>
      <c r="H42" t="str">
        <f>IF(G42="","",IF(G42="[FÓRMULA MANUAL]","",IFERROR(AVERAGEIFS(DATOS!$K$2:$K$20000,DATOS!$A$2:$A$20000,G42,DATOS!$G$2:$G$20000,CONFIG_METADATA!$B$4,DATOS!$I$2:$I$20000,"Lenguaje Musical"),"")))</f>
        <v/>
      </c>
      <c r="I42" t="str">
        <f>IF(G42="","",IF(G42="[FÓRMULA MANUAL]","",IFERROR(AVERAGEIFS(DATOS!$K$2:$K$20000,DATOS!$A$2:$A$20000,G42,DATOS!$G$2:$G$20000,CONFIG_METADATA!$B$4,DATOS!$I$2:$I$20000,"Orquesta/Banda/Conjunto"),"")))</f>
        <v/>
      </c>
      <c r="J42" t="str">
        <f>IF(G42="","",IF(G42="[FÓRMULA MANUAL]","",IFERROR(AVERAGEIFS(DATOS!$K$2:$K$20000,DATOS!$A$2:$A$20000,G42,DATOS!$G$2:$G$20000,CONFIG_METADATA!$B$4,DATOS!$I$2:$I$20000,"Conjunto"),"")))</f>
        <v/>
      </c>
      <c r="K42" t="str">
        <f>IF(G42="","",IF(G42="[FÓRMULA MANUAL]","",IFERROR(SUMPRODUCT((DATOS!$A$2:$A$20000=G42)*(DATOS!$G$2:$G$20000=CONFIG_METADATA!$B$4)*(COUNTIF(CONFIG_ASIGNATURAS!$B$7:$B$27,DATOS!$I$2:$I$20000)&gt;0)*(DATOS!$K$2:$K$20000))/SUMPRODUCT((DATOS!$A$2:$A$20000=G42)*(DATOS!$G$2:$G$20000=CONFIG_METADATA!$B$4)*(COUNTIF(CONFIG_ASIGNATURAS!$B$7:$B$27,DATOS!$I$2:$I$20000)&gt;0)*1),"")))</f>
        <v/>
      </c>
      <c r="N42" t="str">
        <f>IF(M42="","",IF(M42="[FÓRMULA MANUAL]","",IFERROR(AVERAGEIFS(DATOS!$K$2:$K$20000,DATOS!$A$2:$A$20000,M42,DATOS!$G$2:$G$20000,CONFIG_METADATA!$B$4,DATOS!$I$2:$I$20000,"Armonía"),"")))</f>
        <v/>
      </c>
      <c r="O42" t="str">
        <f>IF(M42="","",IF(M42="[FÓRMULA MANUAL]","",IFERROR(AVERAGEIFS(DATOS!$K$2:$K$20000,DATOS!$A$2:$A$20000,M42,DATOS!$G$2:$G$20000,CONFIG_METADATA!$B$4,DATOS!$I$2:$I$20000,"Orquesta/Banda/Conjunto"),"")))</f>
        <v/>
      </c>
      <c r="P42" t="str">
        <f>IF(M42="","",IF(M42="[FÓRMULA MANUAL]","",IFERROR(AVERAGEIFS(DATOS!$K$2:$K$20000,DATOS!$A$2:$A$20000,M42,DATOS!$G$2:$G$20000,CONFIG_METADATA!$B$4,DATOS!$I$2:$I$20000,"Música de Cámara"),"")))</f>
        <v/>
      </c>
      <c r="Q42" t="str">
        <f>IF(M42="","",IF(M42="[FÓRMULA MANUAL]","",IFERROR(SUMPRODUCT((DATOS!$A$2:$A$20000=M42)*(DATOS!$G$2:$G$20000=CONFIG_METADATA!$B$4)*(COUNTIF(CONFIG_ASIGNATURAS!$B$7:$B$27,DATOS!$I$2:$I$20000)&gt;0)*(DATOS!$K$2:$K$20000))/SUMPRODUCT((DATOS!$A$2:$A$20000=M42)*(DATOS!$G$2:$G$20000=CONFIG_METADATA!$B$4)*(COUNTIF(CONFIG_ASIGNATURAS!$B$7:$B$27,DATOS!$I$2:$I$20000)&gt;0)*1),"")))</f>
        <v/>
      </c>
      <c r="T42" t="str">
        <f>IF(S42="","",IF(S42="[FÓRMULA MANUAL]","",IFERROR(AVERAGEIFS(DATOS!$K$2:$K$20000,DATOS!$A$2:$A$20000,S42,DATOS!$G$2:$G$20000,CONFIG_METADATA!$B$4,DATOS!$I$2:$I$20000,"Armonía"),"")))</f>
        <v/>
      </c>
      <c r="U42" t="str">
        <f>IF(S42="","",IF(S42="[FÓRMULA MANUAL]","",IFERROR(AVERAGEIFS(DATOS!$K$2:$K$20000,DATOS!$A$2:$A$20000,S42,DATOS!$G$2:$G$20000,CONFIG_METADATA!$B$4,DATOS!$I$2:$I$20000,"Orquesta/Banda/Conjunto"),"")))</f>
        <v/>
      </c>
      <c r="V42" t="str">
        <f>IF(S42="","",IF(S42="[FÓRMULA MANUAL]","",IFERROR(AVERAGEIFS(DATOS!$K$2:$K$20000,DATOS!$A$2:$A$20000,S42,DATOS!$G$2:$G$20000,CONFIG_METADATA!$B$4,DATOS!$I$2:$I$20000,"Música de Cámara"),"")))</f>
        <v/>
      </c>
      <c r="W42" t="str">
        <f>IF(S42="","",IF(S42="[FÓRMULA MANUAL]","",IFERROR(SUMPRODUCT((DATOS!$A$2:$A$20000=S42)*(DATOS!$G$2:$G$20000=CONFIG_METADATA!$B$4)*(COUNTIF(CONFIG_ASIGNATURAS!$B$7:$B$27,DATOS!$I$2:$I$20000)&gt;0)*(DATOS!$K$2:$K$20000))/SUMPRODUCT((DATOS!$A$2:$A$20000=S42)*(DATOS!$G$2:$G$20000=CONFIG_METADATA!$B$4)*(COUNTIF(CONFIG_ASIGNATURAS!$B$7:$B$27,DATOS!$I$2:$I$20000)&gt;0)*1),"")))</f>
        <v/>
      </c>
      <c r="Z42" t="str">
        <f>IF(Y42="","",IF(Y42="[FÓRMULA MANUAL]","",IFERROR(AVERAGEIFS(DATOS!$K$2:$K$20000,DATOS!$A$2:$A$20000,Y42,DATOS!$G$2:$G$20000,CONFIG_METADATA!$B$4,DATOS!$I$2:$I$20000,"Análisis"),"")))</f>
        <v/>
      </c>
      <c r="AA42" t="str">
        <f>IF(Y42="","",IF(Y42="[FÓRMULA MANUAL]","",IFERROR(AVERAGEIFS(DATOS!$K$2:$K$20000,DATOS!$A$2:$A$20000,Y42,DATOS!$G$2:$G$20000,CONFIG_METADATA!$B$4,DATOS!$I$2:$I$20000,"Orquesta/Banda/Conjunto"),"")))</f>
        <v/>
      </c>
      <c r="AB42" t="str">
        <f>IF(Y42="","",IF(Y42="[FÓRMULA MANUAL]","",IFERROR(AVERAGEIFS(DATOS!$K$2:$K$20000,DATOS!$A$2:$A$20000,Y42,DATOS!$G$2:$G$20000,CONFIG_METADATA!$B$4,DATOS!$I$2:$I$20000,"Música de Cámara"),"")))</f>
        <v/>
      </c>
      <c r="AC42" t="str">
        <f>IF(Y42="","",IF(Y42="[FÓRMULA MANUAL]","",IFERROR(SUMPRODUCT((DATOS!$A$2:$A$20000=Y42)*(DATOS!$G$2:$G$20000=CONFIG_METADATA!$B$4)*(COUNTIF(CONFIG_ASIGNATURAS!$B$7:$B$27,DATOS!$I$2:$I$20000)&gt;0)*(DATOS!$K$2:$K$20000))/SUMPRODUCT((DATOS!$A$2:$A$20000=Y42)*(DATOS!$G$2:$G$20000=CONFIG_METADATA!$B$4)*(COUNTIF(CONFIG_ASIGNATURAS!$B$7:$B$27,DATOS!$I$2:$I$20000)&gt;0)*1),"")))</f>
        <v/>
      </c>
      <c r="AF42" t="str">
        <f>IF(AE42="","",IF(AE42="[FÓRMULA MANUAL]","",IFERROR(AVERAGEIFS(DATOS!$K$2:$K$20000,DATOS!$A$2:$A$20000,AE42,DATOS!$G$2:$G$20000,CONFIG_METADATA!$B$4,DATOS!$I$2:$I$20000,"Análisis"),"")))</f>
        <v/>
      </c>
      <c r="AG42" t="str">
        <f>IF(AE42="","",IF(AE42="[FÓRMULA MANUAL]","",IFERROR(AVERAGEIFS(DATOS!$K$2:$K$20000,DATOS!$A$2:$A$20000,AE42,DATOS!$G$2:$G$20000,CONFIG_METADATA!$B$4,DATOS!$I$2:$I$20000,"Orquesta/Banda/Conjunto"),"")))</f>
        <v/>
      </c>
      <c r="AH42" t="str">
        <f>IF(AE42="","",IF(AE42="[FÓRMULA MANUAL]","",IFERROR(AVERAGEIFS(DATOS!$K$2:$K$20000,DATOS!$A$2:$A$20000,AE42,DATOS!$G$2:$G$20000,CONFIG_METADATA!$B$4,DATOS!$I$2:$I$20000,"Música de Cámara"),"")))</f>
        <v/>
      </c>
      <c r="AI42" t="str">
        <f>IF(AE42="","",IF(AE42="[FÓRMULA MANUAL]","",IFERROR(SUMPRODUCT((DATOS!$A$2:$A$20000=AE42)*(DATOS!$G$2:$G$20000=CONFIG_METADATA!$B$4)*(COUNTIF(CONFIG_ASIGNATURAS!$B$7:$B$27,DATOS!$I$2:$I$20000)&gt;0)*(DATOS!$K$2:$K$20000))/SUMPRODUCT((DATOS!$A$2:$A$20000=AE42)*(DATOS!$G$2:$G$20000=CONFIG_METADATA!$B$4)*(COUNTIF(CONFIG_ASIGNATURAS!$B$7:$B$27,DATOS!$I$2:$I$20000)&gt;0)*1),"")))</f>
        <v/>
      </c>
    </row>
    <row r="43" spans="2:35" x14ac:dyDescent="0.2">
      <c r="B43" t="str">
        <f>IF(A43="","",IF(A43="[FÓRMULA MANUAL]","",IFERROR(AVERAGEIFS(DATOS!$K$2:$K$20000,DATOS!$A$2:$A$20000,A43,DATOS!$G$2:$G$20000,CONFIG_METADATA!$B$4,DATOS!$I$2:$I$20000,"Lenguaje Musical"),"")))</f>
        <v/>
      </c>
      <c r="C43" t="str">
        <f>IF(A43="","",IF(A43="[FÓRMULA MANUAL]","",IFERROR(AVERAGEIFS(DATOS!$K$2:$K$20000,DATOS!$A$2:$A$20000,A43,DATOS!$G$2:$G$20000,CONFIG_METADATA!$B$4,DATOS!$I$2:$I$20000,"Orquesta/Banda/Conjunto"),"")))</f>
        <v/>
      </c>
      <c r="D43" t="str">
        <f>IF(A43="","",IF(A43="[FÓRMULA MANUAL]","",IFERROR(AVERAGEIFS(DATOS!$K$2:$K$20000,DATOS!$A$2:$A$20000,A43,DATOS!$G$2:$G$20000,CONFIG_METADATA!$B$4,DATOS!$I$2:$I$20000,"Conjunto"),"")))</f>
        <v/>
      </c>
      <c r="E43" t="str">
        <f>IF(A43="","",IF(A43="[FÓRMULA MANUAL]","",IFERROR(SUMPRODUCT((DATOS!$A$2:$A$20000=A43)*(DATOS!$G$2:$G$20000=CONFIG_METADATA!$B$4)*(COUNTIF(CONFIG_ASIGNATURAS!$B$7:$B$27,DATOS!$I$2:$I$20000)&gt;0)*(DATOS!$K$2:$K$20000))/SUMPRODUCT((DATOS!$A$2:$A$20000=A43)*(DATOS!$G$2:$G$20000=CONFIG_METADATA!$B$4)*(COUNTIF(CONFIG_ASIGNATURAS!$B$7:$B$27,DATOS!$I$2:$I$20000)&gt;0)*1),"")))</f>
        <v/>
      </c>
      <c r="H43" t="str">
        <f>IF(G43="","",IF(G43="[FÓRMULA MANUAL]","",IFERROR(AVERAGEIFS(DATOS!$K$2:$K$20000,DATOS!$A$2:$A$20000,G43,DATOS!$G$2:$G$20000,CONFIG_METADATA!$B$4,DATOS!$I$2:$I$20000,"Lenguaje Musical"),"")))</f>
        <v/>
      </c>
      <c r="I43" t="str">
        <f>IF(G43="","",IF(G43="[FÓRMULA MANUAL]","",IFERROR(AVERAGEIFS(DATOS!$K$2:$K$20000,DATOS!$A$2:$A$20000,G43,DATOS!$G$2:$G$20000,CONFIG_METADATA!$B$4,DATOS!$I$2:$I$20000,"Orquesta/Banda/Conjunto"),"")))</f>
        <v/>
      </c>
      <c r="J43" t="str">
        <f>IF(G43="","",IF(G43="[FÓRMULA MANUAL]","",IFERROR(AVERAGEIFS(DATOS!$K$2:$K$20000,DATOS!$A$2:$A$20000,G43,DATOS!$G$2:$G$20000,CONFIG_METADATA!$B$4,DATOS!$I$2:$I$20000,"Conjunto"),"")))</f>
        <v/>
      </c>
      <c r="K43" t="str">
        <f>IF(G43="","",IF(G43="[FÓRMULA MANUAL]","",IFERROR(SUMPRODUCT((DATOS!$A$2:$A$20000=G43)*(DATOS!$G$2:$G$20000=CONFIG_METADATA!$B$4)*(COUNTIF(CONFIG_ASIGNATURAS!$B$7:$B$27,DATOS!$I$2:$I$20000)&gt;0)*(DATOS!$K$2:$K$20000))/SUMPRODUCT((DATOS!$A$2:$A$20000=G43)*(DATOS!$G$2:$G$20000=CONFIG_METADATA!$B$4)*(COUNTIF(CONFIG_ASIGNATURAS!$B$7:$B$27,DATOS!$I$2:$I$20000)&gt;0)*1),"")))</f>
        <v/>
      </c>
      <c r="N43" t="str">
        <f>IF(M43="","",IF(M43="[FÓRMULA MANUAL]","",IFERROR(AVERAGEIFS(DATOS!$K$2:$K$20000,DATOS!$A$2:$A$20000,M43,DATOS!$G$2:$G$20000,CONFIG_METADATA!$B$4,DATOS!$I$2:$I$20000,"Armonía"),"")))</f>
        <v/>
      </c>
      <c r="O43" t="str">
        <f>IF(M43="","",IF(M43="[FÓRMULA MANUAL]","",IFERROR(AVERAGEIFS(DATOS!$K$2:$K$20000,DATOS!$A$2:$A$20000,M43,DATOS!$G$2:$G$20000,CONFIG_METADATA!$B$4,DATOS!$I$2:$I$20000,"Orquesta/Banda/Conjunto"),"")))</f>
        <v/>
      </c>
      <c r="P43" t="str">
        <f>IF(M43="","",IF(M43="[FÓRMULA MANUAL]","",IFERROR(AVERAGEIFS(DATOS!$K$2:$K$20000,DATOS!$A$2:$A$20000,M43,DATOS!$G$2:$G$20000,CONFIG_METADATA!$B$4,DATOS!$I$2:$I$20000,"Música de Cámara"),"")))</f>
        <v/>
      </c>
      <c r="Q43" t="str">
        <f>IF(M43="","",IF(M43="[FÓRMULA MANUAL]","",IFERROR(SUMPRODUCT((DATOS!$A$2:$A$20000=M43)*(DATOS!$G$2:$G$20000=CONFIG_METADATA!$B$4)*(COUNTIF(CONFIG_ASIGNATURAS!$B$7:$B$27,DATOS!$I$2:$I$20000)&gt;0)*(DATOS!$K$2:$K$20000))/SUMPRODUCT((DATOS!$A$2:$A$20000=M43)*(DATOS!$G$2:$G$20000=CONFIG_METADATA!$B$4)*(COUNTIF(CONFIG_ASIGNATURAS!$B$7:$B$27,DATOS!$I$2:$I$20000)&gt;0)*1),"")))</f>
        <v/>
      </c>
      <c r="T43" t="str">
        <f>IF(S43="","",IF(S43="[FÓRMULA MANUAL]","",IFERROR(AVERAGEIFS(DATOS!$K$2:$K$20000,DATOS!$A$2:$A$20000,S43,DATOS!$G$2:$G$20000,CONFIG_METADATA!$B$4,DATOS!$I$2:$I$20000,"Armonía"),"")))</f>
        <v/>
      </c>
      <c r="U43" t="str">
        <f>IF(S43="","",IF(S43="[FÓRMULA MANUAL]","",IFERROR(AVERAGEIFS(DATOS!$K$2:$K$20000,DATOS!$A$2:$A$20000,S43,DATOS!$G$2:$G$20000,CONFIG_METADATA!$B$4,DATOS!$I$2:$I$20000,"Orquesta/Banda/Conjunto"),"")))</f>
        <v/>
      </c>
      <c r="V43" t="str">
        <f>IF(S43="","",IF(S43="[FÓRMULA MANUAL]","",IFERROR(AVERAGEIFS(DATOS!$K$2:$K$20000,DATOS!$A$2:$A$20000,S43,DATOS!$G$2:$G$20000,CONFIG_METADATA!$B$4,DATOS!$I$2:$I$20000,"Música de Cámara"),"")))</f>
        <v/>
      </c>
      <c r="W43" t="str">
        <f>IF(S43="","",IF(S43="[FÓRMULA MANUAL]","",IFERROR(SUMPRODUCT((DATOS!$A$2:$A$20000=S43)*(DATOS!$G$2:$G$20000=CONFIG_METADATA!$B$4)*(COUNTIF(CONFIG_ASIGNATURAS!$B$7:$B$27,DATOS!$I$2:$I$20000)&gt;0)*(DATOS!$K$2:$K$20000))/SUMPRODUCT((DATOS!$A$2:$A$20000=S43)*(DATOS!$G$2:$G$20000=CONFIG_METADATA!$B$4)*(COUNTIF(CONFIG_ASIGNATURAS!$B$7:$B$27,DATOS!$I$2:$I$20000)&gt;0)*1),"")))</f>
        <v/>
      </c>
      <c r="Z43" t="str">
        <f>IF(Y43="","",IF(Y43="[FÓRMULA MANUAL]","",IFERROR(AVERAGEIFS(DATOS!$K$2:$K$20000,DATOS!$A$2:$A$20000,Y43,DATOS!$G$2:$G$20000,CONFIG_METADATA!$B$4,DATOS!$I$2:$I$20000,"Análisis"),"")))</f>
        <v/>
      </c>
      <c r="AA43" t="str">
        <f>IF(Y43="","",IF(Y43="[FÓRMULA MANUAL]","",IFERROR(AVERAGEIFS(DATOS!$K$2:$K$20000,DATOS!$A$2:$A$20000,Y43,DATOS!$G$2:$G$20000,CONFIG_METADATA!$B$4,DATOS!$I$2:$I$20000,"Orquesta/Banda/Conjunto"),"")))</f>
        <v/>
      </c>
      <c r="AB43" t="str">
        <f>IF(Y43="","",IF(Y43="[FÓRMULA MANUAL]","",IFERROR(AVERAGEIFS(DATOS!$K$2:$K$20000,DATOS!$A$2:$A$20000,Y43,DATOS!$G$2:$G$20000,CONFIG_METADATA!$B$4,DATOS!$I$2:$I$20000,"Música de Cámara"),"")))</f>
        <v/>
      </c>
      <c r="AC43" t="str">
        <f>IF(Y43="","",IF(Y43="[FÓRMULA MANUAL]","",IFERROR(SUMPRODUCT((DATOS!$A$2:$A$20000=Y43)*(DATOS!$G$2:$G$20000=CONFIG_METADATA!$B$4)*(COUNTIF(CONFIG_ASIGNATURAS!$B$7:$B$27,DATOS!$I$2:$I$20000)&gt;0)*(DATOS!$K$2:$K$20000))/SUMPRODUCT((DATOS!$A$2:$A$20000=Y43)*(DATOS!$G$2:$G$20000=CONFIG_METADATA!$B$4)*(COUNTIF(CONFIG_ASIGNATURAS!$B$7:$B$27,DATOS!$I$2:$I$20000)&gt;0)*1),"")))</f>
        <v/>
      </c>
      <c r="AF43" t="str">
        <f>IF(AE43="","",IF(AE43="[FÓRMULA MANUAL]","",IFERROR(AVERAGEIFS(DATOS!$K$2:$K$20000,DATOS!$A$2:$A$20000,AE43,DATOS!$G$2:$G$20000,CONFIG_METADATA!$B$4,DATOS!$I$2:$I$20000,"Análisis"),"")))</f>
        <v/>
      </c>
      <c r="AG43" t="str">
        <f>IF(AE43="","",IF(AE43="[FÓRMULA MANUAL]","",IFERROR(AVERAGEIFS(DATOS!$K$2:$K$20000,DATOS!$A$2:$A$20000,AE43,DATOS!$G$2:$G$20000,CONFIG_METADATA!$B$4,DATOS!$I$2:$I$20000,"Orquesta/Banda/Conjunto"),"")))</f>
        <v/>
      </c>
      <c r="AH43" t="str">
        <f>IF(AE43="","",IF(AE43="[FÓRMULA MANUAL]","",IFERROR(AVERAGEIFS(DATOS!$K$2:$K$20000,DATOS!$A$2:$A$20000,AE43,DATOS!$G$2:$G$20000,CONFIG_METADATA!$B$4,DATOS!$I$2:$I$20000,"Música de Cámara"),"")))</f>
        <v/>
      </c>
      <c r="AI43" t="str">
        <f>IF(AE43="","",IF(AE43="[FÓRMULA MANUAL]","",IFERROR(SUMPRODUCT((DATOS!$A$2:$A$20000=AE43)*(DATOS!$G$2:$G$20000=CONFIG_METADATA!$B$4)*(COUNTIF(CONFIG_ASIGNATURAS!$B$7:$B$27,DATOS!$I$2:$I$20000)&gt;0)*(DATOS!$K$2:$K$20000))/SUMPRODUCT((DATOS!$A$2:$A$20000=AE43)*(DATOS!$G$2:$G$20000=CONFIG_METADATA!$B$4)*(COUNTIF(CONFIG_ASIGNATURAS!$B$7:$B$27,DATOS!$I$2:$I$20000)&gt;0)*1),"")))</f>
        <v/>
      </c>
    </row>
    <row r="44" spans="2:35" x14ac:dyDescent="0.2">
      <c r="B44" t="str">
        <f>IF(A44="","",IF(A44="[FÓRMULA MANUAL]","",IFERROR(AVERAGEIFS(DATOS!$K$2:$K$20000,DATOS!$A$2:$A$20000,A44,DATOS!$G$2:$G$20000,CONFIG_METADATA!$B$4,DATOS!$I$2:$I$20000,"Lenguaje Musical"),"")))</f>
        <v/>
      </c>
      <c r="C44" t="str">
        <f>IF(A44="","",IF(A44="[FÓRMULA MANUAL]","",IFERROR(AVERAGEIFS(DATOS!$K$2:$K$20000,DATOS!$A$2:$A$20000,A44,DATOS!$G$2:$G$20000,CONFIG_METADATA!$B$4,DATOS!$I$2:$I$20000,"Orquesta/Banda/Conjunto"),"")))</f>
        <v/>
      </c>
      <c r="D44" t="str">
        <f>IF(A44="","",IF(A44="[FÓRMULA MANUAL]","",IFERROR(AVERAGEIFS(DATOS!$K$2:$K$20000,DATOS!$A$2:$A$20000,A44,DATOS!$G$2:$G$20000,CONFIG_METADATA!$B$4,DATOS!$I$2:$I$20000,"Conjunto"),"")))</f>
        <v/>
      </c>
      <c r="E44" t="str">
        <f>IF(A44="","",IF(A44="[FÓRMULA MANUAL]","",IFERROR(SUMPRODUCT((DATOS!$A$2:$A$20000=A44)*(DATOS!$G$2:$G$20000=CONFIG_METADATA!$B$4)*(COUNTIF(CONFIG_ASIGNATURAS!$B$7:$B$27,DATOS!$I$2:$I$20000)&gt;0)*(DATOS!$K$2:$K$20000))/SUMPRODUCT((DATOS!$A$2:$A$20000=A44)*(DATOS!$G$2:$G$20000=CONFIG_METADATA!$B$4)*(COUNTIF(CONFIG_ASIGNATURAS!$B$7:$B$27,DATOS!$I$2:$I$20000)&gt;0)*1),"")))</f>
        <v/>
      </c>
      <c r="H44" t="str">
        <f>IF(G44="","",IF(G44="[FÓRMULA MANUAL]","",IFERROR(AVERAGEIFS(DATOS!$K$2:$K$20000,DATOS!$A$2:$A$20000,G44,DATOS!$G$2:$G$20000,CONFIG_METADATA!$B$4,DATOS!$I$2:$I$20000,"Lenguaje Musical"),"")))</f>
        <v/>
      </c>
      <c r="I44" t="str">
        <f>IF(G44="","",IF(G44="[FÓRMULA MANUAL]","",IFERROR(AVERAGEIFS(DATOS!$K$2:$K$20000,DATOS!$A$2:$A$20000,G44,DATOS!$G$2:$G$20000,CONFIG_METADATA!$B$4,DATOS!$I$2:$I$20000,"Orquesta/Banda/Conjunto"),"")))</f>
        <v/>
      </c>
      <c r="J44" t="str">
        <f>IF(G44="","",IF(G44="[FÓRMULA MANUAL]","",IFERROR(AVERAGEIFS(DATOS!$K$2:$K$20000,DATOS!$A$2:$A$20000,G44,DATOS!$G$2:$G$20000,CONFIG_METADATA!$B$4,DATOS!$I$2:$I$20000,"Conjunto"),"")))</f>
        <v/>
      </c>
      <c r="K44" t="str">
        <f>IF(G44="","",IF(G44="[FÓRMULA MANUAL]","",IFERROR(SUMPRODUCT((DATOS!$A$2:$A$20000=G44)*(DATOS!$G$2:$G$20000=CONFIG_METADATA!$B$4)*(COUNTIF(CONFIG_ASIGNATURAS!$B$7:$B$27,DATOS!$I$2:$I$20000)&gt;0)*(DATOS!$K$2:$K$20000))/SUMPRODUCT((DATOS!$A$2:$A$20000=G44)*(DATOS!$G$2:$G$20000=CONFIG_METADATA!$B$4)*(COUNTIF(CONFIG_ASIGNATURAS!$B$7:$B$27,DATOS!$I$2:$I$20000)&gt;0)*1),"")))</f>
        <v/>
      </c>
      <c r="N44" t="str">
        <f>IF(M44="","",IF(M44="[FÓRMULA MANUAL]","",IFERROR(AVERAGEIFS(DATOS!$K$2:$K$20000,DATOS!$A$2:$A$20000,M44,DATOS!$G$2:$G$20000,CONFIG_METADATA!$B$4,DATOS!$I$2:$I$20000,"Armonía"),"")))</f>
        <v/>
      </c>
      <c r="O44" t="str">
        <f>IF(M44="","",IF(M44="[FÓRMULA MANUAL]","",IFERROR(AVERAGEIFS(DATOS!$K$2:$K$20000,DATOS!$A$2:$A$20000,M44,DATOS!$G$2:$G$20000,CONFIG_METADATA!$B$4,DATOS!$I$2:$I$20000,"Orquesta/Banda/Conjunto"),"")))</f>
        <v/>
      </c>
      <c r="P44" t="str">
        <f>IF(M44="","",IF(M44="[FÓRMULA MANUAL]","",IFERROR(AVERAGEIFS(DATOS!$K$2:$K$20000,DATOS!$A$2:$A$20000,M44,DATOS!$G$2:$G$20000,CONFIG_METADATA!$B$4,DATOS!$I$2:$I$20000,"Música de Cámara"),"")))</f>
        <v/>
      </c>
      <c r="Q44" t="str">
        <f>IF(M44="","",IF(M44="[FÓRMULA MANUAL]","",IFERROR(SUMPRODUCT((DATOS!$A$2:$A$20000=M44)*(DATOS!$G$2:$G$20000=CONFIG_METADATA!$B$4)*(COUNTIF(CONFIG_ASIGNATURAS!$B$7:$B$27,DATOS!$I$2:$I$20000)&gt;0)*(DATOS!$K$2:$K$20000))/SUMPRODUCT((DATOS!$A$2:$A$20000=M44)*(DATOS!$G$2:$G$20000=CONFIG_METADATA!$B$4)*(COUNTIF(CONFIG_ASIGNATURAS!$B$7:$B$27,DATOS!$I$2:$I$20000)&gt;0)*1),"")))</f>
        <v/>
      </c>
      <c r="T44" t="str">
        <f>IF(S44="","",IF(S44="[FÓRMULA MANUAL]","",IFERROR(AVERAGEIFS(DATOS!$K$2:$K$20000,DATOS!$A$2:$A$20000,S44,DATOS!$G$2:$G$20000,CONFIG_METADATA!$B$4,DATOS!$I$2:$I$20000,"Armonía"),"")))</f>
        <v/>
      </c>
      <c r="U44" t="str">
        <f>IF(S44="","",IF(S44="[FÓRMULA MANUAL]","",IFERROR(AVERAGEIFS(DATOS!$K$2:$K$20000,DATOS!$A$2:$A$20000,S44,DATOS!$G$2:$G$20000,CONFIG_METADATA!$B$4,DATOS!$I$2:$I$20000,"Orquesta/Banda/Conjunto"),"")))</f>
        <v/>
      </c>
      <c r="V44" t="str">
        <f>IF(S44="","",IF(S44="[FÓRMULA MANUAL]","",IFERROR(AVERAGEIFS(DATOS!$K$2:$K$20000,DATOS!$A$2:$A$20000,S44,DATOS!$G$2:$G$20000,CONFIG_METADATA!$B$4,DATOS!$I$2:$I$20000,"Música de Cámara"),"")))</f>
        <v/>
      </c>
      <c r="W44" t="str">
        <f>IF(S44="","",IF(S44="[FÓRMULA MANUAL]","",IFERROR(SUMPRODUCT((DATOS!$A$2:$A$20000=S44)*(DATOS!$G$2:$G$20000=CONFIG_METADATA!$B$4)*(COUNTIF(CONFIG_ASIGNATURAS!$B$7:$B$27,DATOS!$I$2:$I$20000)&gt;0)*(DATOS!$K$2:$K$20000))/SUMPRODUCT((DATOS!$A$2:$A$20000=S44)*(DATOS!$G$2:$G$20000=CONFIG_METADATA!$B$4)*(COUNTIF(CONFIG_ASIGNATURAS!$B$7:$B$27,DATOS!$I$2:$I$20000)&gt;0)*1),"")))</f>
        <v/>
      </c>
      <c r="Z44" t="str">
        <f>IF(Y44="","",IF(Y44="[FÓRMULA MANUAL]","",IFERROR(AVERAGEIFS(DATOS!$K$2:$K$20000,DATOS!$A$2:$A$20000,Y44,DATOS!$G$2:$G$20000,CONFIG_METADATA!$B$4,DATOS!$I$2:$I$20000,"Análisis"),"")))</f>
        <v/>
      </c>
      <c r="AA44" t="str">
        <f>IF(Y44="","",IF(Y44="[FÓRMULA MANUAL]","",IFERROR(AVERAGEIFS(DATOS!$K$2:$K$20000,DATOS!$A$2:$A$20000,Y44,DATOS!$G$2:$G$20000,CONFIG_METADATA!$B$4,DATOS!$I$2:$I$20000,"Orquesta/Banda/Conjunto"),"")))</f>
        <v/>
      </c>
      <c r="AB44" t="str">
        <f>IF(Y44="","",IF(Y44="[FÓRMULA MANUAL]","",IFERROR(AVERAGEIFS(DATOS!$K$2:$K$20000,DATOS!$A$2:$A$20000,Y44,DATOS!$G$2:$G$20000,CONFIG_METADATA!$B$4,DATOS!$I$2:$I$20000,"Música de Cámara"),"")))</f>
        <v/>
      </c>
      <c r="AC44" t="str">
        <f>IF(Y44="","",IF(Y44="[FÓRMULA MANUAL]","",IFERROR(SUMPRODUCT((DATOS!$A$2:$A$20000=Y44)*(DATOS!$G$2:$G$20000=CONFIG_METADATA!$B$4)*(COUNTIF(CONFIG_ASIGNATURAS!$B$7:$B$27,DATOS!$I$2:$I$20000)&gt;0)*(DATOS!$K$2:$K$20000))/SUMPRODUCT((DATOS!$A$2:$A$20000=Y44)*(DATOS!$G$2:$G$20000=CONFIG_METADATA!$B$4)*(COUNTIF(CONFIG_ASIGNATURAS!$B$7:$B$27,DATOS!$I$2:$I$20000)&gt;0)*1),"")))</f>
        <v/>
      </c>
      <c r="AF44" t="str">
        <f>IF(AE44="","",IF(AE44="[FÓRMULA MANUAL]","",IFERROR(AVERAGEIFS(DATOS!$K$2:$K$20000,DATOS!$A$2:$A$20000,AE44,DATOS!$G$2:$G$20000,CONFIG_METADATA!$B$4,DATOS!$I$2:$I$20000,"Análisis"),"")))</f>
        <v/>
      </c>
      <c r="AG44" t="str">
        <f>IF(AE44="","",IF(AE44="[FÓRMULA MANUAL]","",IFERROR(AVERAGEIFS(DATOS!$K$2:$K$20000,DATOS!$A$2:$A$20000,AE44,DATOS!$G$2:$G$20000,CONFIG_METADATA!$B$4,DATOS!$I$2:$I$20000,"Orquesta/Banda/Conjunto"),"")))</f>
        <v/>
      </c>
      <c r="AH44" t="str">
        <f>IF(AE44="","",IF(AE44="[FÓRMULA MANUAL]","",IFERROR(AVERAGEIFS(DATOS!$K$2:$K$20000,DATOS!$A$2:$A$20000,AE44,DATOS!$G$2:$G$20000,CONFIG_METADATA!$B$4,DATOS!$I$2:$I$20000,"Música de Cámara"),"")))</f>
        <v/>
      </c>
      <c r="AI44" t="str">
        <f>IF(AE44="","",IF(AE44="[FÓRMULA MANUAL]","",IFERROR(SUMPRODUCT((DATOS!$A$2:$A$20000=AE44)*(DATOS!$G$2:$G$20000=CONFIG_METADATA!$B$4)*(COUNTIF(CONFIG_ASIGNATURAS!$B$7:$B$27,DATOS!$I$2:$I$20000)&gt;0)*(DATOS!$K$2:$K$20000))/SUMPRODUCT((DATOS!$A$2:$A$20000=AE44)*(DATOS!$G$2:$G$20000=CONFIG_METADATA!$B$4)*(COUNTIF(CONFIG_ASIGNATURAS!$B$7:$B$27,DATOS!$I$2:$I$20000)&gt;0)*1),"")))</f>
        <v/>
      </c>
    </row>
    <row r="45" spans="2:35" x14ac:dyDescent="0.2">
      <c r="B45" t="str">
        <f>IF(A45="","",IF(A45="[FÓRMULA MANUAL]","",IFERROR(AVERAGEIFS(DATOS!$K$2:$K$20000,DATOS!$A$2:$A$20000,A45,DATOS!$G$2:$G$20000,CONFIG_METADATA!$B$4,DATOS!$I$2:$I$20000,"Lenguaje Musical"),"")))</f>
        <v/>
      </c>
      <c r="C45" t="str">
        <f>IF(A45="","",IF(A45="[FÓRMULA MANUAL]","",IFERROR(AVERAGEIFS(DATOS!$K$2:$K$20000,DATOS!$A$2:$A$20000,A45,DATOS!$G$2:$G$20000,CONFIG_METADATA!$B$4,DATOS!$I$2:$I$20000,"Orquesta/Banda/Conjunto"),"")))</f>
        <v/>
      </c>
      <c r="D45" t="str">
        <f>IF(A45="","",IF(A45="[FÓRMULA MANUAL]","",IFERROR(AVERAGEIFS(DATOS!$K$2:$K$20000,DATOS!$A$2:$A$20000,A45,DATOS!$G$2:$G$20000,CONFIG_METADATA!$B$4,DATOS!$I$2:$I$20000,"Conjunto"),"")))</f>
        <v/>
      </c>
      <c r="E45" t="str">
        <f>IF(A45="","",IF(A45="[FÓRMULA MANUAL]","",IFERROR(SUMPRODUCT((DATOS!$A$2:$A$20000=A45)*(DATOS!$G$2:$G$20000=CONFIG_METADATA!$B$4)*(COUNTIF(CONFIG_ASIGNATURAS!$B$7:$B$27,DATOS!$I$2:$I$20000)&gt;0)*(DATOS!$K$2:$K$20000))/SUMPRODUCT((DATOS!$A$2:$A$20000=A45)*(DATOS!$G$2:$G$20000=CONFIG_METADATA!$B$4)*(COUNTIF(CONFIG_ASIGNATURAS!$B$7:$B$27,DATOS!$I$2:$I$20000)&gt;0)*1),"")))</f>
        <v/>
      </c>
      <c r="H45" t="str">
        <f>IF(G45="","",IF(G45="[FÓRMULA MANUAL]","",IFERROR(AVERAGEIFS(DATOS!$K$2:$K$20000,DATOS!$A$2:$A$20000,G45,DATOS!$G$2:$G$20000,CONFIG_METADATA!$B$4,DATOS!$I$2:$I$20000,"Lenguaje Musical"),"")))</f>
        <v/>
      </c>
      <c r="I45" t="str">
        <f>IF(G45="","",IF(G45="[FÓRMULA MANUAL]","",IFERROR(AVERAGEIFS(DATOS!$K$2:$K$20000,DATOS!$A$2:$A$20000,G45,DATOS!$G$2:$G$20000,CONFIG_METADATA!$B$4,DATOS!$I$2:$I$20000,"Orquesta/Banda/Conjunto"),"")))</f>
        <v/>
      </c>
      <c r="J45" t="str">
        <f>IF(G45="","",IF(G45="[FÓRMULA MANUAL]","",IFERROR(AVERAGEIFS(DATOS!$K$2:$K$20000,DATOS!$A$2:$A$20000,G45,DATOS!$G$2:$G$20000,CONFIG_METADATA!$B$4,DATOS!$I$2:$I$20000,"Conjunto"),"")))</f>
        <v/>
      </c>
      <c r="K45" t="str">
        <f>IF(G45="","",IF(G45="[FÓRMULA MANUAL]","",IFERROR(SUMPRODUCT((DATOS!$A$2:$A$20000=G45)*(DATOS!$G$2:$G$20000=CONFIG_METADATA!$B$4)*(COUNTIF(CONFIG_ASIGNATURAS!$B$7:$B$27,DATOS!$I$2:$I$20000)&gt;0)*(DATOS!$K$2:$K$20000))/SUMPRODUCT((DATOS!$A$2:$A$20000=G45)*(DATOS!$G$2:$G$20000=CONFIG_METADATA!$B$4)*(COUNTIF(CONFIG_ASIGNATURAS!$B$7:$B$27,DATOS!$I$2:$I$20000)&gt;0)*1),"")))</f>
        <v/>
      </c>
      <c r="N45" t="str">
        <f>IF(M45="","",IF(M45="[FÓRMULA MANUAL]","",IFERROR(AVERAGEIFS(DATOS!$K$2:$K$20000,DATOS!$A$2:$A$20000,M45,DATOS!$G$2:$G$20000,CONFIG_METADATA!$B$4,DATOS!$I$2:$I$20000,"Armonía"),"")))</f>
        <v/>
      </c>
      <c r="O45" t="str">
        <f>IF(M45="","",IF(M45="[FÓRMULA MANUAL]","",IFERROR(AVERAGEIFS(DATOS!$K$2:$K$20000,DATOS!$A$2:$A$20000,M45,DATOS!$G$2:$G$20000,CONFIG_METADATA!$B$4,DATOS!$I$2:$I$20000,"Orquesta/Banda/Conjunto"),"")))</f>
        <v/>
      </c>
      <c r="P45" t="str">
        <f>IF(M45="","",IF(M45="[FÓRMULA MANUAL]","",IFERROR(AVERAGEIFS(DATOS!$K$2:$K$20000,DATOS!$A$2:$A$20000,M45,DATOS!$G$2:$G$20000,CONFIG_METADATA!$B$4,DATOS!$I$2:$I$20000,"Música de Cámara"),"")))</f>
        <v/>
      </c>
      <c r="Q45" t="str">
        <f>IF(M45="","",IF(M45="[FÓRMULA MANUAL]","",IFERROR(SUMPRODUCT((DATOS!$A$2:$A$20000=M45)*(DATOS!$G$2:$G$20000=CONFIG_METADATA!$B$4)*(COUNTIF(CONFIG_ASIGNATURAS!$B$7:$B$27,DATOS!$I$2:$I$20000)&gt;0)*(DATOS!$K$2:$K$20000))/SUMPRODUCT((DATOS!$A$2:$A$20000=M45)*(DATOS!$G$2:$G$20000=CONFIG_METADATA!$B$4)*(COUNTIF(CONFIG_ASIGNATURAS!$B$7:$B$27,DATOS!$I$2:$I$20000)&gt;0)*1),"")))</f>
        <v/>
      </c>
      <c r="T45" t="str">
        <f>IF(S45="","",IF(S45="[FÓRMULA MANUAL]","",IFERROR(AVERAGEIFS(DATOS!$K$2:$K$20000,DATOS!$A$2:$A$20000,S45,DATOS!$G$2:$G$20000,CONFIG_METADATA!$B$4,DATOS!$I$2:$I$20000,"Armonía"),"")))</f>
        <v/>
      </c>
      <c r="U45" t="str">
        <f>IF(S45="","",IF(S45="[FÓRMULA MANUAL]","",IFERROR(AVERAGEIFS(DATOS!$K$2:$K$20000,DATOS!$A$2:$A$20000,S45,DATOS!$G$2:$G$20000,CONFIG_METADATA!$B$4,DATOS!$I$2:$I$20000,"Orquesta/Banda/Conjunto"),"")))</f>
        <v/>
      </c>
      <c r="V45" t="str">
        <f>IF(S45="","",IF(S45="[FÓRMULA MANUAL]","",IFERROR(AVERAGEIFS(DATOS!$K$2:$K$20000,DATOS!$A$2:$A$20000,S45,DATOS!$G$2:$G$20000,CONFIG_METADATA!$B$4,DATOS!$I$2:$I$20000,"Música de Cámara"),"")))</f>
        <v/>
      </c>
      <c r="W45" t="str">
        <f>IF(S45="","",IF(S45="[FÓRMULA MANUAL]","",IFERROR(SUMPRODUCT((DATOS!$A$2:$A$20000=S45)*(DATOS!$G$2:$G$20000=CONFIG_METADATA!$B$4)*(COUNTIF(CONFIG_ASIGNATURAS!$B$7:$B$27,DATOS!$I$2:$I$20000)&gt;0)*(DATOS!$K$2:$K$20000))/SUMPRODUCT((DATOS!$A$2:$A$20000=S45)*(DATOS!$G$2:$G$20000=CONFIG_METADATA!$B$4)*(COUNTIF(CONFIG_ASIGNATURAS!$B$7:$B$27,DATOS!$I$2:$I$20000)&gt;0)*1),"")))</f>
        <v/>
      </c>
      <c r="Z45" t="str">
        <f>IF(Y45="","",IF(Y45="[FÓRMULA MANUAL]","",IFERROR(AVERAGEIFS(DATOS!$K$2:$K$20000,DATOS!$A$2:$A$20000,Y45,DATOS!$G$2:$G$20000,CONFIG_METADATA!$B$4,DATOS!$I$2:$I$20000,"Análisis"),"")))</f>
        <v/>
      </c>
      <c r="AA45" t="str">
        <f>IF(Y45="","",IF(Y45="[FÓRMULA MANUAL]","",IFERROR(AVERAGEIFS(DATOS!$K$2:$K$20000,DATOS!$A$2:$A$20000,Y45,DATOS!$G$2:$G$20000,CONFIG_METADATA!$B$4,DATOS!$I$2:$I$20000,"Orquesta/Banda/Conjunto"),"")))</f>
        <v/>
      </c>
      <c r="AB45" t="str">
        <f>IF(Y45="","",IF(Y45="[FÓRMULA MANUAL]","",IFERROR(AVERAGEIFS(DATOS!$K$2:$K$20000,DATOS!$A$2:$A$20000,Y45,DATOS!$G$2:$G$20000,CONFIG_METADATA!$B$4,DATOS!$I$2:$I$20000,"Música de Cámara"),"")))</f>
        <v/>
      </c>
      <c r="AC45" t="str">
        <f>IF(Y45="","",IF(Y45="[FÓRMULA MANUAL]","",IFERROR(SUMPRODUCT((DATOS!$A$2:$A$20000=Y45)*(DATOS!$G$2:$G$20000=CONFIG_METADATA!$B$4)*(COUNTIF(CONFIG_ASIGNATURAS!$B$7:$B$27,DATOS!$I$2:$I$20000)&gt;0)*(DATOS!$K$2:$K$20000))/SUMPRODUCT((DATOS!$A$2:$A$20000=Y45)*(DATOS!$G$2:$G$20000=CONFIG_METADATA!$B$4)*(COUNTIF(CONFIG_ASIGNATURAS!$B$7:$B$27,DATOS!$I$2:$I$20000)&gt;0)*1),"")))</f>
        <v/>
      </c>
      <c r="AF45" t="str">
        <f>IF(AE45="","",IF(AE45="[FÓRMULA MANUAL]","",IFERROR(AVERAGEIFS(DATOS!$K$2:$K$20000,DATOS!$A$2:$A$20000,AE45,DATOS!$G$2:$G$20000,CONFIG_METADATA!$B$4,DATOS!$I$2:$I$20000,"Análisis"),"")))</f>
        <v/>
      </c>
      <c r="AG45" t="str">
        <f>IF(AE45="","",IF(AE45="[FÓRMULA MANUAL]","",IFERROR(AVERAGEIFS(DATOS!$K$2:$K$20000,DATOS!$A$2:$A$20000,AE45,DATOS!$G$2:$G$20000,CONFIG_METADATA!$B$4,DATOS!$I$2:$I$20000,"Orquesta/Banda/Conjunto"),"")))</f>
        <v/>
      </c>
      <c r="AH45" t="str">
        <f>IF(AE45="","",IF(AE45="[FÓRMULA MANUAL]","",IFERROR(AVERAGEIFS(DATOS!$K$2:$K$20000,DATOS!$A$2:$A$20000,AE45,DATOS!$G$2:$G$20000,CONFIG_METADATA!$B$4,DATOS!$I$2:$I$20000,"Música de Cámara"),"")))</f>
        <v/>
      </c>
      <c r="AI45" t="str">
        <f>IF(AE45="","",IF(AE45="[FÓRMULA MANUAL]","",IFERROR(SUMPRODUCT((DATOS!$A$2:$A$20000=AE45)*(DATOS!$G$2:$G$20000=CONFIG_METADATA!$B$4)*(COUNTIF(CONFIG_ASIGNATURAS!$B$7:$B$27,DATOS!$I$2:$I$20000)&gt;0)*(DATOS!$K$2:$K$20000))/SUMPRODUCT((DATOS!$A$2:$A$20000=AE45)*(DATOS!$G$2:$G$20000=CONFIG_METADATA!$B$4)*(COUNTIF(CONFIG_ASIGNATURAS!$B$7:$B$27,DATOS!$I$2:$I$20000)&gt;0)*1),"")))</f>
        <v/>
      </c>
    </row>
    <row r="46" spans="2:35" x14ac:dyDescent="0.2">
      <c r="B46" t="str">
        <f>IF(A46="","",IF(A46="[FÓRMULA MANUAL]","",IFERROR(AVERAGEIFS(DATOS!$K$2:$K$20000,DATOS!$A$2:$A$20000,A46,DATOS!$G$2:$G$20000,CONFIG_METADATA!$B$4,DATOS!$I$2:$I$20000,"Lenguaje Musical"),"")))</f>
        <v/>
      </c>
      <c r="C46" t="str">
        <f>IF(A46="","",IF(A46="[FÓRMULA MANUAL]","",IFERROR(AVERAGEIFS(DATOS!$K$2:$K$20000,DATOS!$A$2:$A$20000,A46,DATOS!$G$2:$G$20000,CONFIG_METADATA!$B$4,DATOS!$I$2:$I$20000,"Orquesta/Banda/Conjunto"),"")))</f>
        <v/>
      </c>
      <c r="D46" t="str">
        <f>IF(A46="","",IF(A46="[FÓRMULA MANUAL]","",IFERROR(AVERAGEIFS(DATOS!$K$2:$K$20000,DATOS!$A$2:$A$20000,A46,DATOS!$G$2:$G$20000,CONFIG_METADATA!$B$4,DATOS!$I$2:$I$20000,"Conjunto"),"")))</f>
        <v/>
      </c>
      <c r="E46" t="str">
        <f>IF(A46="","",IF(A46="[FÓRMULA MANUAL]","",IFERROR(SUMPRODUCT((DATOS!$A$2:$A$20000=A46)*(DATOS!$G$2:$G$20000=CONFIG_METADATA!$B$4)*(COUNTIF(CONFIG_ASIGNATURAS!$B$7:$B$27,DATOS!$I$2:$I$20000)&gt;0)*(DATOS!$K$2:$K$20000))/SUMPRODUCT((DATOS!$A$2:$A$20000=A46)*(DATOS!$G$2:$G$20000=CONFIG_METADATA!$B$4)*(COUNTIF(CONFIG_ASIGNATURAS!$B$7:$B$27,DATOS!$I$2:$I$20000)&gt;0)*1),"")))</f>
        <v/>
      </c>
      <c r="H46" t="str">
        <f>IF(G46="","",IF(G46="[FÓRMULA MANUAL]","",IFERROR(AVERAGEIFS(DATOS!$K$2:$K$20000,DATOS!$A$2:$A$20000,G46,DATOS!$G$2:$G$20000,CONFIG_METADATA!$B$4,DATOS!$I$2:$I$20000,"Lenguaje Musical"),"")))</f>
        <v/>
      </c>
      <c r="I46" t="str">
        <f>IF(G46="","",IF(G46="[FÓRMULA MANUAL]","",IFERROR(AVERAGEIFS(DATOS!$K$2:$K$20000,DATOS!$A$2:$A$20000,G46,DATOS!$G$2:$G$20000,CONFIG_METADATA!$B$4,DATOS!$I$2:$I$20000,"Orquesta/Banda/Conjunto"),"")))</f>
        <v/>
      </c>
      <c r="J46" t="str">
        <f>IF(G46="","",IF(G46="[FÓRMULA MANUAL]","",IFERROR(AVERAGEIFS(DATOS!$K$2:$K$20000,DATOS!$A$2:$A$20000,G46,DATOS!$G$2:$G$20000,CONFIG_METADATA!$B$4,DATOS!$I$2:$I$20000,"Conjunto"),"")))</f>
        <v/>
      </c>
      <c r="K46" t="str">
        <f>IF(G46="","",IF(G46="[FÓRMULA MANUAL]","",IFERROR(SUMPRODUCT((DATOS!$A$2:$A$20000=G46)*(DATOS!$G$2:$G$20000=CONFIG_METADATA!$B$4)*(COUNTIF(CONFIG_ASIGNATURAS!$B$7:$B$27,DATOS!$I$2:$I$20000)&gt;0)*(DATOS!$K$2:$K$20000))/SUMPRODUCT((DATOS!$A$2:$A$20000=G46)*(DATOS!$G$2:$G$20000=CONFIG_METADATA!$B$4)*(COUNTIF(CONFIG_ASIGNATURAS!$B$7:$B$27,DATOS!$I$2:$I$20000)&gt;0)*1),"")))</f>
        <v/>
      </c>
      <c r="N46" t="str">
        <f>IF(M46="","",IF(M46="[FÓRMULA MANUAL]","",IFERROR(AVERAGEIFS(DATOS!$K$2:$K$20000,DATOS!$A$2:$A$20000,M46,DATOS!$G$2:$G$20000,CONFIG_METADATA!$B$4,DATOS!$I$2:$I$20000,"Armonía"),"")))</f>
        <v/>
      </c>
      <c r="O46" t="str">
        <f>IF(M46="","",IF(M46="[FÓRMULA MANUAL]","",IFERROR(AVERAGEIFS(DATOS!$K$2:$K$20000,DATOS!$A$2:$A$20000,M46,DATOS!$G$2:$G$20000,CONFIG_METADATA!$B$4,DATOS!$I$2:$I$20000,"Orquesta/Banda/Conjunto"),"")))</f>
        <v/>
      </c>
      <c r="P46" t="str">
        <f>IF(M46="","",IF(M46="[FÓRMULA MANUAL]","",IFERROR(AVERAGEIFS(DATOS!$K$2:$K$20000,DATOS!$A$2:$A$20000,M46,DATOS!$G$2:$G$20000,CONFIG_METADATA!$B$4,DATOS!$I$2:$I$20000,"Música de Cámara"),"")))</f>
        <v/>
      </c>
      <c r="Q46" t="str">
        <f>IF(M46="","",IF(M46="[FÓRMULA MANUAL]","",IFERROR(SUMPRODUCT((DATOS!$A$2:$A$20000=M46)*(DATOS!$G$2:$G$20000=CONFIG_METADATA!$B$4)*(COUNTIF(CONFIG_ASIGNATURAS!$B$7:$B$27,DATOS!$I$2:$I$20000)&gt;0)*(DATOS!$K$2:$K$20000))/SUMPRODUCT((DATOS!$A$2:$A$20000=M46)*(DATOS!$G$2:$G$20000=CONFIG_METADATA!$B$4)*(COUNTIF(CONFIG_ASIGNATURAS!$B$7:$B$27,DATOS!$I$2:$I$20000)&gt;0)*1),"")))</f>
        <v/>
      </c>
      <c r="T46" t="str">
        <f>IF(S46="","",IF(S46="[FÓRMULA MANUAL]","",IFERROR(AVERAGEIFS(DATOS!$K$2:$K$20000,DATOS!$A$2:$A$20000,S46,DATOS!$G$2:$G$20000,CONFIG_METADATA!$B$4,DATOS!$I$2:$I$20000,"Armonía"),"")))</f>
        <v/>
      </c>
      <c r="U46" t="str">
        <f>IF(S46="","",IF(S46="[FÓRMULA MANUAL]","",IFERROR(AVERAGEIFS(DATOS!$K$2:$K$20000,DATOS!$A$2:$A$20000,S46,DATOS!$G$2:$G$20000,CONFIG_METADATA!$B$4,DATOS!$I$2:$I$20000,"Orquesta/Banda/Conjunto"),"")))</f>
        <v/>
      </c>
      <c r="V46" t="str">
        <f>IF(S46="","",IF(S46="[FÓRMULA MANUAL]","",IFERROR(AVERAGEIFS(DATOS!$K$2:$K$20000,DATOS!$A$2:$A$20000,S46,DATOS!$G$2:$G$20000,CONFIG_METADATA!$B$4,DATOS!$I$2:$I$20000,"Música de Cámara"),"")))</f>
        <v/>
      </c>
      <c r="W46" t="str">
        <f>IF(S46="","",IF(S46="[FÓRMULA MANUAL]","",IFERROR(SUMPRODUCT((DATOS!$A$2:$A$20000=S46)*(DATOS!$G$2:$G$20000=CONFIG_METADATA!$B$4)*(COUNTIF(CONFIG_ASIGNATURAS!$B$7:$B$27,DATOS!$I$2:$I$20000)&gt;0)*(DATOS!$K$2:$K$20000))/SUMPRODUCT((DATOS!$A$2:$A$20000=S46)*(DATOS!$G$2:$G$20000=CONFIG_METADATA!$B$4)*(COUNTIF(CONFIG_ASIGNATURAS!$B$7:$B$27,DATOS!$I$2:$I$20000)&gt;0)*1),"")))</f>
        <v/>
      </c>
      <c r="Z46" t="str">
        <f>IF(Y46="","",IF(Y46="[FÓRMULA MANUAL]","",IFERROR(AVERAGEIFS(DATOS!$K$2:$K$20000,DATOS!$A$2:$A$20000,Y46,DATOS!$G$2:$G$20000,CONFIG_METADATA!$B$4,DATOS!$I$2:$I$20000,"Análisis"),"")))</f>
        <v/>
      </c>
      <c r="AA46" t="str">
        <f>IF(Y46="","",IF(Y46="[FÓRMULA MANUAL]","",IFERROR(AVERAGEIFS(DATOS!$K$2:$K$20000,DATOS!$A$2:$A$20000,Y46,DATOS!$G$2:$G$20000,CONFIG_METADATA!$B$4,DATOS!$I$2:$I$20000,"Orquesta/Banda/Conjunto"),"")))</f>
        <v/>
      </c>
      <c r="AB46" t="str">
        <f>IF(Y46="","",IF(Y46="[FÓRMULA MANUAL]","",IFERROR(AVERAGEIFS(DATOS!$K$2:$K$20000,DATOS!$A$2:$A$20000,Y46,DATOS!$G$2:$G$20000,CONFIG_METADATA!$B$4,DATOS!$I$2:$I$20000,"Música de Cámara"),"")))</f>
        <v/>
      </c>
      <c r="AC46" t="str">
        <f>IF(Y46="","",IF(Y46="[FÓRMULA MANUAL]","",IFERROR(SUMPRODUCT((DATOS!$A$2:$A$20000=Y46)*(DATOS!$G$2:$G$20000=CONFIG_METADATA!$B$4)*(COUNTIF(CONFIG_ASIGNATURAS!$B$7:$B$27,DATOS!$I$2:$I$20000)&gt;0)*(DATOS!$K$2:$K$20000))/SUMPRODUCT((DATOS!$A$2:$A$20000=Y46)*(DATOS!$G$2:$G$20000=CONFIG_METADATA!$B$4)*(COUNTIF(CONFIG_ASIGNATURAS!$B$7:$B$27,DATOS!$I$2:$I$20000)&gt;0)*1),"")))</f>
        <v/>
      </c>
      <c r="AF46" t="str">
        <f>IF(AE46="","",IF(AE46="[FÓRMULA MANUAL]","",IFERROR(AVERAGEIFS(DATOS!$K$2:$K$20000,DATOS!$A$2:$A$20000,AE46,DATOS!$G$2:$G$20000,CONFIG_METADATA!$B$4,DATOS!$I$2:$I$20000,"Análisis"),"")))</f>
        <v/>
      </c>
      <c r="AG46" t="str">
        <f>IF(AE46="","",IF(AE46="[FÓRMULA MANUAL]","",IFERROR(AVERAGEIFS(DATOS!$K$2:$K$20000,DATOS!$A$2:$A$20000,AE46,DATOS!$G$2:$G$20000,CONFIG_METADATA!$B$4,DATOS!$I$2:$I$20000,"Orquesta/Banda/Conjunto"),"")))</f>
        <v/>
      </c>
      <c r="AH46" t="str">
        <f>IF(AE46="","",IF(AE46="[FÓRMULA MANUAL]","",IFERROR(AVERAGEIFS(DATOS!$K$2:$K$20000,DATOS!$A$2:$A$20000,AE46,DATOS!$G$2:$G$20000,CONFIG_METADATA!$B$4,DATOS!$I$2:$I$20000,"Música de Cámara"),"")))</f>
        <v/>
      </c>
      <c r="AI46" t="str">
        <f>IF(AE46="","",IF(AE46="[FÓRMULA MANUAL]","",IFERROR(SUMPRODUCT((DATOS!$A$2:$A$20000=AE46)*(DATOS!$G$2:$G$20000=CONFIG_METADATA!$B$4)*(COUNTIF(CONFIG_ASIGNATURAS!$B$7:$B$27,DATOS!$I$2:$I$20000)&gt;0)*(DATOS!$K$2:$K$20000))/SUMPRODUCT((DATOS!$A$2:$A$20000=AE46)*(DATOS!$G$2:$G$20000=CONFIG_METADATA!$B$4)*(COUNTIF(CONFIG_ASIGNATURAS!$B$7:$B$27,DATOS!$I$2:$I$20000)&gt;0)*1),"")))</f>
        <v/>
      </c>
    </row>
    <row r="47" spans="2:35" x14ac:dyDescent="0.2">
      <c r="B47" t="str">
        <f>IF(A47="","",IF(A47="[FÓRMULA MANUAL]","",IFERROR(AVERAGEIFS(DATOS!$K$2:$K$20000,DATOS!$A$2:$A$20000,A47,DATOS!$G$2:$G$20000,CONFIG_METADATA!$B$4,DATOS!$I$2:$I$20000,"Lenguaje Musical"),"")))</f>
        <v/>
      </c>
      <c r="C47" t="str">
        <f>IF(A47="","",IF(A47="[FÓRMULA MANUAL]","",IFERROR(AVERAGEIFS(DATOS!$K$2:$K$20000,DATOS!$A$2:$A$20000,A47,DATOS!$G$2:$G$20000,CONFIG_METADATA!$B$4,DATOS!$I$2:$I$20000,"Orquesta/Banda/Conjunto"),"")))</f>
        <v/>
      </c>
      <c r="D47" t="str">
        <f>IF(A47="","",IF(A47="[FÓRMULA MANUAL]","",IFERROR(AVERAGEIFS(DATOS!$K$2:$K$20000,DATOS!$A$2:$A$20000,A47,DATOS!$G$2:$G$20000,CONFIG_METADATA!$B$4,DATOS!$I$2:$I$20000,"Conjunto"),"")))</f>
        <v/>
      </c>
      <c r="E47" t="str">
        <f>IF(A47="","",IF(A47="[FÓRMULA MANUAL]","",IFERROR(SUMPRODUCT((DATOS!$A$2:$A$20000=A47)*(DATOS!$G$2:$G$20000=CONFIG_METADATA!$B$4)*(COUNTIF(CONFIG_ASIGNATURAS!$B$7:$B$27,DATOS!$I$2:$I$20000)&gt;0)*(DATOS!$K$2:$K$20000))/SUMPRODUCT((DATOS!$A$2:$A$20000=A47)*(DATOS!$G$2:$G$20000=CONFIG_METADATA!$B$4)*(COUNTIF(CONFIG_ASIGNATURAS!$B$7:$B$27,DATOS!$I$2:$I$20000)&gt;0)*1),"")))</f>
        <v/>
      </c>
      <c r="H47" t="str">
        <f>IF(G47="","",IF(G47="[FÓRMULA MANUAL]","",IFERROR(AVERAGEIFS(DATOS!$K$2:$K$20000,DATOS!$A$2:$A$20000,G47,DATOS!$G$2:$G$20000,CONFIG_METADATA!$B$4,DATOS!$I$2:$I$20000,"Lenguaje Musical"),"")))</f>
        <v/>
      </c>
      <c r="I47" t="str">
        <f>IF(G47="","",IF(G47="[FÓRMULA MANUAL]","",IFERROR(AVERAGEIFS(DATOS!$K$2:$K$20000,DATOS!$A$2:$A$20000,G47,DATOS!$G$2:$G$20000,CONFIG_METADATA!$B$4,DATOS!$I$2:$I$20000,"Orquesta/Banda/Conjunto"),"")))</f>
        <v/>
      </c>
      <c r="J47" t="str">
        <f>IF(G47="","",IF(G47="[FÓRMULA MANUAL]","",IFERROR(AVERAGEIFS(DATOS!$K$2:$K$20000,DATOS!$A$2:$A$20000,G47,DATOS!$G$2:$G$20000,CONFIG_METADATA!$B$4,DATOS!$I$2:$I$20000,"Conjunto"),"")))</f>
        <v/>
      </c>
      <c r="K47" t="str">
        <f>IF(G47="","",IF(G47="[FÓRMULA MANUAL]","",IFERROR(SUMPRODUCT((DATOS!$A$2:$A$20000=G47)*(DATOS!$G$2:$G$20000=CONFIG_METADATA!$B$4)*(COUNTIF(CONFIG_ASIGNATURAS!$B$7:$B$27,DATOS!$I$2:$I$20000)&gt;0)*(DATOS!$K$2:$K$20000))/SUMPRODUCT((DATOS!$A$2:$A$20000=G47)*(DATOS!$G$2:$G$20000=CONFIG_METADATA!$B$4)*(COUNTIF(CONFIG_ASIGNATURAS!$B$7:$B$27,DATOS!$I$2:$I$20000)&gt;0)*1),"")))</f>
        <v/>
      </c>
      <c r="N47" t="str">
        <f>IF(M47="","",IF(M47="[FÓRMULA MANUAL]","",IFERROR(AVERAGEIFS(DATOS!$K$2:$K$20000,DATOS!$A$2:$A$20000,M47,DATOS!$G$2:$G$20000,CONFIG_METADATA!$B$4,DATOS!$I$2:$I$20000,"Armonía"),"")))</f>
        <v/>
      </c>
      <c r="O47" t="str">
        <f>IF(M47="","",IF(M47="[FÓRMULA MANUAL]","",IFERROR(AVERAGEIFS(DATOS!$K$2:$K$20000,DATOS!$A$2:$A$20000,M47,DATOS!$G$2:$G$20000,CONFIG_METADATA!$B$4,DATOS!$I$2:$I$20000,"Orquesta/Banda/Conjunto"),"")))</f>
        <v/>
      </c>
      <c r="P47" t="str">
        <f>IF(M47="","",IF(M47="[FÓRMULA MANUAL]","",IFERROR(AVERAGEIFS(DATOS!$K$2:$K$20000,DATOS!$A$2:$A$20000,M47,DATOS!$G$2:$G$20000,CONFIG_METADATA!$B$4,DATOS!$I$2:$I$20000,"Música de Cámara"),"")))</f>
        <v/>
      </c>
      <c r="Q47" t="str">
        <f>IF(M47="","",IF(M47="[FÓRMULA MANUAL]","",IFERROR(SUMPRODUCT((DATOS!$A$2:$A$20000=M47)*(DATOS!$G$2:$G$20000=CONFIG_METADATA!$B$4)*(COUNTIF(CONFIG_ASIGNATURAS!$B$7:$B$27,DATOS!$I$2:$I$20000)&gt;0)*(DATOS!$K$2:$K$20000))/SUMPRODUCT((DATOS!$A$2:$A$20000=M47)*(DATOS!$G$2:$G$20000=CONFIG_METADATA!$B$4)*(COUNTIF(CONFIG_ASIGNATURAS!$B$7:$B$27,DATOS!$I$2:$I$20000)&gt;0)*1),"")))</f>
        <v/>
      </c>
      <c r="T47" t="str">
        <f>IF(S47="","",IF(S47="[FÓRMULA MANUAL]","",IFERROR(AVERAGEIFS(DATOS!$K$2:$K$20000,DATOS!$A$2:$A$20000,S47,DATOS!$G$2:$G$20000,CONFIG_METADATA!$B$4,DATOS!$I$2:$I$20000,"Armonía"),"")))</f>
        <v/>
      </c>
      <c r="U47" t="str">
        <f>IF(S47="","",IF(S47="[FÓRMULA MANUAL]","",IFERROR(AVERAGEIFS(DATOS!$K$2:$K$20000,DATOS!$A$2:$A$20000,S47,DATOS!$G$2:$G$20000,CONFIG_METADATA!$B$4,DATOS!$I$2:$I$20000,"Orquesta/Banda/Conjunto"),"")))</f>
        <v/>
      </c>
      <c r="V47" t="str">
        <f>IF(S47="","",IF(S47="[FÓRMULA MANUAL]","",IFERROR(AVERAGEIFS(DATOS!$K$2:$K$20000,DATOS!$A$2:$A$20000,S47,DATOS!$G$2:$G$20000,CONFIG_METADATA!$B$4,DATOS!$I$2:$I$20000,"Música de Cámara"),"")))</f>
        <v/>
      </c>
      <c r="W47" t="str">
        <f>IF(S47="","",IF(S47="[FÓRMULA MANUAL]","",IFERROR(SUMPRODUCT((DATOS!$A$2:$A$20000=S47)*(DATOS!$G$2:$G$20000=CONFIG_METADATA!$B$4)*(COUNTIF(CONFIG_ASIGNATURAS!$B$7:$B$27,DATOS!$I$2:$I$20000)&gt;0)*(DATOS!$K$2:$K$20000))/SUMPRODUCT((DATOS!$A$2:$A$20000=S47)*(DATOS!$G$2:$G$20000=CONFIG_METADATA!$B$4)*(COUNTIF(CONFIG_ASIGNATURAS!$B$7:$B$27,DATOS!$I$2:$I$20000)&gt;0)*1),"")))</f>
        <v/>
      </c>
      <c r="Z47" t="str">
        <f>IF(Y47="","",IF(Y47="[FÓRMULA MANUAL]","",IFERROR(AVERAGEIFS(DATOS!$K$2:$K$20000,DATOS!$A$2:$A$20000,Y47,DATOS!$G$2:$G$20000,CONFIG_METADATA!$B$4,DATOS!$I$2:$I$20000,"Análisis"),"")))</f>
        <v/>
      </c>
      <c r="AA47" t="str">
        <f>IF(Y47="","",IF(Y47="[FÓRMULA MANUAL]","",IFERROR(AVERAGEIFS(DATOS!$K$2:$K$20000,DATOS!$A$2:$A$20000,Y47,DATOS!$G$2:$G$20000,CONFIG_METADATA!$B$4,DATOS!$I$2:$I$20000,"Orquesta/Banda/Conjunto"),"")))</f>
        <v/>
      </c>
      <c r="AB47" t="str">
        <f>IF(Y47="","",IF(Y47="[FÓRMULA MANUAL]","",IFERROR(AVERAGEIFS(DATOS!$K$2:$K$20000,DATOS!$A$2:$A$20000,Y47,DATOS!$G$2:$G$20000,CONFIG_METADATA!$B$4,DATOS!$I$2:$I$20000,"Música de Cámara"),"")))</f>
        <v/>
      </c>
      <c r="AC47" t="str">
        <f>IF(Y47="","",IF(Y47="[FÓRMULA MANUAL]","",IFERROR(SUMPRODUCT((DATOS!$A$2:$A$20000=Y47)*(DATOS!$G$2:$G$20000=CONFIG_METADATA!$B$4)*(COUNTIF(CONFIG_ASIGNATURAS!$B$7:$B$27,DATOS!$I$2:$I$20000)&gt;0)*(DATOS!$K$2:$K$20000))/SUMPRODUCT((DATOS!$A$2:$A$20000=Y47)*(DATOS!$G$2:$G$20000=CONFIG_METADATA!$B$4)*(COUNTIF(CONFIG_ASIGNATURAS!$B$7:$B$27,DATOS!$I$2:$I$20000)&gt;0)*1),"")))</f>
        <v/>
      </c>
      <c r="AF47" t="str">
        <f>IF(AE47="","",IF(AE47="[FÓRMULA MANUAL]","",IFERROR(AVERAGEIFS(DATOS!$K$2:$K$20000,DATOS!$A$2:$A$20000,AE47,DATOS!$G$2:$G$20000,CONFIG_METADATA!$B$4,DATOS!$I$2:$I$20000,"Análisis"),"")))</f>
        <v/>
      </c>
      <c r="AG47" t="str">
        <f>IF(AE47="","",IF(AE47="[FÓRMULA MANUAL]","",IFERROR(AVERAGEIFS(DATOS!$K$2:$K$20000,DATOS!$A$2:$A$20000,AE47,DATOS!$G$2:$G$20000,CONFIG_METADATA!$B$4,DATOS!$I$2:$I$20000,"Orquesta/Banda/Conjunto"),"")))</f>
        <v/>
      </c>
      <c r="AH47" t="str">
        <f>IF(AE47="","",IF(AE47="[FÓRMULA MANUAL]","",IFERROR(AVERAGEIFS(DATOS!$K$2:$K$20000,DATOS!$A$2:$A$20000,AE47,DATOS!$G$2:$G$20000,CONFIG_METADATA!$B$4,DATOS!$I$2:$I$20000,"Música de Cámara"),"")))</f>
        <v/>
      </c>
      <c r="AI47" t="str">
        <f>IF(AE47="","",IF(AE47="[FÓRMULA MANUAL]","",IFERROR(SUMPRODUCT((DATOS!$A$2:$A$20000=AE47)*(DATOS!$G$2:$G$20000=CONFIG_METADATA!$B$4)*(COUNTIF(CONFIG_ASIGNATURAS!$B$7:$B$27,DATOS!$I$2:$I$20000)&gt;0)*(DATOS!$K$2:$K$20000))/SUMPRODUCT((DATOS!$A$2:$A$20000=AE47)*(DATOS!$G$2:$G$20000=CONFIG_METADATA!$B$4)*(COUNTIF(CONFIG_ASIGNATURAS!$B$7:$B$27,DATOS!$I$2:$I$20000)&gt;0)*1),"")))</f>
        <v/>
      </c>
    </row>
    <row r="48" spans="2:35" x14ac:dyDescent="0.2">
      <c r="B48" t="str">
        <f>IF(A48="","",IF(A48="[FÓRMULA MANUAL]","",IFERROR(AVERAGEIFS(DATOS!$K$2:$K$20000,DATOS!$A$2:$A$20000,A48,DATOS!$G$2:$G$20000,CONFIG_METADATA!$B$4,DATOS!$I$2:$I$20000,"Lenguaje Musical"),"")))</f>
        <v/>
      </c>
      <c r="C48" t="str">
        <f>IF(A48="","",IF(A48="[FÓRMULA MANUAL]","",IFERROR(AVERAGEIFS(DATOS!$K$2:$K$20000,DATOS!$A$2:$A$20000,A48,DATOS!$G$2:$G$20000,CONFIG_METADATA!$B$4,DATOS!$I$2:$I$20000,"Orquesta/Banda/Conjunto"),"")))</f>
        <v/>
      </c>
      <c r="D48" t="str">
        <f>IF(A48="","",IF(A48="[FÓRMULA MANUAL]","",IFERROR(AVERAGEIFS(DATOS!$K$2:$K$20000,DATOS!$A$2:$A$20000,A48,DATOS!$G$2:$G$20000,CONFIG_METADATA!$B$4,DATOS!$I$2:$I$20000,"Conjunto"),"")))</f>
        <v/>
      </c>
      <c r="E48" t="str">
        <f>IF(A48="","",IF(A48="[FÓRMULA MANUAL]","",IFERROR(SUMPRODUCT((DATOS!$A$2:$A$20000=A48)*(DATOS!$G$2:$G$20000=CONFIG_METADATA!$B$4)*(COUNTIF(CONFIG_ASIGNATURAS!$B$7:$B$27,DATOS!$I$2:$I$20000)&gt;0)*(DATOS!$K$2:$K$20000))/SUMPRODUCT((DATOS!$A$2:$A$20000=A48)*(DATOS!$G$2:$G$20000=CONFIG_METADATA!$B$4)*(COUNTIF(CONFIG_ASIGNATURAS!$B$7:$B$27,DATOS!$I$2:$I$20000)&gt;0)*1),"")))</f>
        <v/>
      </c>
      <c r="H48" t="str">
        <f>IF(G48="","",IF(G48="[FÓRMULA MANUAL]","",IFERROR(AVERAGEIFS(DATOS!$K$2:$K$20000,DATOS!$A$2:$A$20000,G48,DATOS!$G$2:$G$20000,CONFIG_METADATA!$B$4,DATOS!$I$2:$I$20000,"Lenguaje Musical"),"")))</f>
        <v/>
      </c>
      <c r="I48" t="str">
        <f>IF(G48="","",IF(G48="[FÓRMULA MANUAL]","",IFERROR(AVERAGEIFS(DATOS!$K$2:$K$20000,DATOS!$A$2:$A$20000,G48,DATOS!$G$2:$G$20000,CONFIG_METADATA!$B$4,DATOS!$I$2:$I$20000,"Orquesta/Banda/Conjunto"),"")))</f>
        <v/>
      </c>
      <c r="J48" t="str">
        <f>IF(G48="","",IF(G48="[FÓRMULA MANUAL]","",IFERROR(AVERAGEIFS(DATOS!$K$2:$K$20000,DATOS!$A$2:$A$20000,G48,DATOS!$G$2:$G$20000,CONFIG_METADATA!$B$4,DATOS!$I$2:$I$20000,"Conjunto"),"")))</f>
        <v/>
      </c>
      <c r="K48" t="str">
        <f>IF(G48="","",IF(G48="[FÓRMULA MANUAL]","",IFERROR(SUMPRODUCT((DATOS!$A$2:$A$20000=G48)*(DATOS!$G$2:$G$20000=CONFIG_METADATA!$B$4)*(COUNTIF(CONFIG_ASIGNATURAS!$B$7:$B$27,DATOS!$I$2:$I$20000)&gt;0)*(DATOS!$K$2:$K$20000))/SUMPRODUCT((DATOS!$A$2:$A$20000=G48)*(DATOS!$G$2:$G$20000=CONFIG_METADATA!$B$4)*(COUNTIF(CONFIG_ASIGNATURAS!$B$7:$B$27,DATOS!$I$2:$I$20000)&gt;0)*1),"")))</f>
        <v/>
      </c>
      <c r="N48" t="str">
        <f>IF(M48="","",IF(M48="[FÓRMULA MANUAL]","",IFERROR(AVERAGEIFS(DATOS!$K$2:$K$20000,DATOS!$A$2:$A$20000,M48,DATOS!$G$2:$G$20000,CONFIG_METADATA!$B$4,DATOS!$I$2:$I$20000,"Armonía"),"")))</f>
        <v/>
      </c>
      <c r="O48" t="str">
        <f>IF(M48="","",IF(M48="[FÓRMULA MANUAL]","",IFERROR(AVERAGEIFS(DATOS!$K$2:$K$20000,DATOS!$A$2:$A$20000,M48,DATOS!$G$2:$G$20000,CONFIG_METADATA!$B$4,DATOS!$I$2:$I$20000,"Orquesta/Banda/Conjunto"),"")))</f>
        <v/>
      </c>
      <c r="P48" t="str">
        <f>IF(M48="","",IF(M48="[FÓRMULA MANUAL]","",IFERROR(AVERAGEIFS(DATOS!$K$2:$K$20000,DATOS!$A$2:$A$20000,M48,DATOS!$G$2:$G$20000,CONFIG_METADATA!$B$4,DATOS!$I$2:$I$20000,"Música de Cámara"),"")))</f>
        <v/>
      </c>
      <c r="Q48" t="str">
        <f>IF(M48="","",IF(M48="[FÓRMULA MANUAL]","",IFERROR(SUMPRODUCT((DATOS!$A$2:$A$20000=M48)*(DATOS!$G$2:$G$20000=CONFIG_METADATA!$B$4)*(COUNTIF(CONFIG_ASIGNATURAS!$B$7:$B$27,DATOS!$I$2:$I$20000)&gt;0)*(DATOS!$K$2:$K$20000))/SUMPRODUCT((DATOS!$A$2:$A$20000=M48)*(DATOS!$G$2:$G$20000=CONFIG_METADATA!$B$4)*(COUNTIF(CONFIG_ASIGNATURAS!$B$7:$B$27,DATOS!$I$2:$I$20000)&gt;0)*1),"")))</f>
        <v/>
      </c>
      <c r="T48" t="str">
        <f>IF(S48="","",IF(S48="[FÓRMULA MANUAL]","",IFERROR(AVERAGEIFS(DATOS!$K$2:$K$20000,DATOS!$A$2:$A$20000,S48,DATOS!$G$2:$G$20000,CONFIG_METADATA!$B$4,DATOS!$I$2:$I$20000,"Armonía"),"")))</f>
        <v/>
      </c>
      <c r="U48" t="str">
        <f>IF(S48="","",IF(S48="[FÓRMULA MANUAL]","",IFERROR(AVERAGEIFS(DATOS!$K$2:$K$20000,DATOS!$A$2:$A$20000,S48,DATOS!$G$2:$G$20000,CONFIG_METADATA!$B$4,DATOS!$I$2:$I$20000,"Orquesta/Banda/Conjunto"),"")))</f>
        <v/>
      </c>
      <c r="V48" t="str">
        <f>IF(S48="","",IF(S48="[FÓRMULA MANUAL]","",IFERROR(AVERAGEIFS(DATOS!$K$2:$K$20000,DATOS!$A$2:$A$20000,S48,DATOS!$G$2:$G$20000,CONFIG_METADATA!$B$4,DATOS!$I$2:$I$20000,"Música de Cámara"),"")))</f>
        <v/>
      </c>
      <c r="W48" t="str">
        <f>IF(S48="","",IF(S48="[FÓRMULA MANUAL]","",IFERROR(SUMPRODUCT((DATOS!$A$2:$A$20000=S48)*(DATOS!$G$2:$G$20000=CONFIG_METADATA!$B$4)*(COUNTIF(CONFIG_ASIGNATURAS!$B$7:$B$27,DATOS!$I$2:$I$20000)&gt;0)*(DATOS!$K$2:$K$20000))/SUMPRODUCT((DATOS!$A$2:$A$20000=S48)*(DATOS!$G$2:$G$20000=CONFIG_METADATA!$B$4)*(COUNTIF(CONFIG_ASIGNATURAS!$B$7:$B$27,DATOS!$I$2:$I$20000)&gt;0)*1),"")))</f>
        <v/>
      </c>
      <c r="Z48" t="str">
        <f>IF(Y48="","",IF(Y48="[FÓRMULA MANUAL]","",IFERROR(AVERAGEIFS(DATOS!$K$2:$K$20000,DATOS!$A$2:$A$20000,Y48,DATOS!$G$2:$G$20000,CONFIG_METADATA!$B$4,DATOS!$I$2:$I$20000,"Análisis"),"")))</f>
        <v/>
      </c>
      <c r="AA48" t="str">
        <f>IF(Y48="","",IF(Y48="[FÓRMULA MANUAL]","",IFERROR(AVERAGEIFS(DATOS!$K$2:$K$20000,DATOS!$A$2:$A$20000,Y48,DATOS!$G$2:$G$20000,CONFIG_METADATA!$B$4,DATOS!$I$2:$I$20000,"Orquesta/Banda/Conjunto"),"")))</f>
        <v/>
      </c>
      <c r="AB48" t="str">
        <f>IF(Y48="","",IF(Y48="[FÓRMULA MANUAL]","",IFERROR(AVERAGEIFS(DATOS!$K$2:$K$20000,DATOS!$A$2:$A$20000,Y48,DATOS!$G$2:$G$20000,CONFIG_METADATA!$B$4,DATOS!$I$2:$I$20000,"Música de Cámara"),"")))</f>
        <v/>
      </c>
      <c r="AC48" t="str">
        <f>IF(Y48="","",IF(Y48="[FÓRMULA MANUAL]","",IFERROR(SUMPRODUCT((DATOS!$A$2:$A$20000=Y48)*(DATOS!$G$2:$G$20000=CONFIG_METADATA!$B$4)*(COUNTIF(CONFIG_ASIGNATURAS!$B$7:$B$27,DATOS!$I$2:$I$20000)&gt;0)*(DATOS!$K$2:$K$20000))/SUMPRODUCT((DATOS!$A$2:$A$20000=Y48)*(DATOS!$G$2:$G$20000=CONFIG_METADATA!$B$4)*(COUNTIF(CONFIG_ASIGNATURAS!$B$7:$B$27,DATOS!$I$2:$I$20000)&gt;0)*1),"")))</f>
        <v/>
      </c>
      <c r="AF48" t="str">
        <f>IF(AE48="","",IF(AE48="[FÓRMULA MANUAL]","",IFERROR(AVERAGEIFS(DATOS!$K$2:$K$20000,DATOS!$A$2:$A$20000,AE48,DATOS!$G$2:$G$20000,CONFIG_METADATA!$B$4,DATOS!$I$2:$I$20000,"Análisis"),"")))</f>
        <v/>
      </c>
      <c r="AG48" t="str">
        <f>IF(AE48="","",IF(AE48="[FÓRMULA MANUAL]","",IFERROR(AVERAGEIFS(DATOS!$K$2:$K$20000,DATOS!$A$2:$A$20000,AE48,DATOS!$G$2:$G$20000,CONFIG_METADATA!$B$4,DATOS!$I$2:$I$20000,"Orquesta/Banda/Conjunto"),"")))</f>
        <v/>
      </c>
      <c r="AH48" t="str">
        <f>IF(AE48="","",IF(AE48="[FÓRMULA MANUAL]","",IFERROR(AVERAGEIFS(DATOS!$K$2:$K$20000,DATOS!$A$2:$A$20000,AE48,DATOS!$G$2:$G$20000,CONFIG_METADATA!$B$4,DATOS!$I$2:$I$20000,"Música de Cámara"),"")))</f>
        <v/>
      </c>
      <c r="AI48" t="str">
        <f>IF(AE48="","",IF(AE48="[FÓRMULA MANUAL]","",IFERROR(SUMPRODUCT((DATOS!$A$2:$A$20000=AE48)*(DATOS!$G$2:$G$20000=CONFIG_METADATA!$B$4)*(COUNTIF(CONFIG_ASIGNATURAS!$B$7:$B$27,DATOS!$I$2:$I$20000)&gt;0)*(DATOS!$K$2:$K$20000))/SUMPRODUCT((DATOS!$A$2:$A$20000=AE48)*(DATOS!$G$2:$G$20000=CONFIG_METADATA!$B$4)*(COUNTIF(CONFIG_ASIGNATURAS!$B$7:$B$27,DATOS!$I$2:$I$20000)&gt;0)*1),"")))</f>
        <v/>
      </c>
    </row>
    <row r="49" spans="2:35" x14ac:dyDescent="0.2">
      <c r="B49" t="str">
        <f>IF(A49="","",IF(A49="[FÓRMULA MANUAL]","",IFERROR(AVERAGEIFS(DATOS!$K$2:$K$20000,DATOS!$A$2:$A$20000,A49,DATOS!$G$2:$G$20000,CONFIG_METADATA!$B$4,DATOS!$I$2:$I$20000,"Lenguaje Musical"),"")))</f>
        <v/>
      </c>
      <c r="C49" t="str">
        <f>IF(A49="","",IF(A49="[FÓRMULA MANUAL]","",IFERROR(AVERAGEIFS(DATOS!$K$2:$K$20000,DATOS!$A$2:$A$20000,A49,DATOS!$G$2:$G$20000,CONFIG_METADATA!$B$4,DATOS!$I$2:$I$20000,"Orquesta/Banda/Conjunto"),"")))</f>
        <v/>
      </c>
      <c r="D49" t="str">
        <f>IF(A49="","",IF(A49="[FÓRMULA MANUAL]","",IFERROR(AVERAGEIFS(DATOS!$K$2:$K$20000,DATOS!$A$2:$A$20000,A49,DATOS!$G$2:$G$20000,CONFIG_METADATA!$B$4,DATOS!$I$2:$I$20000,"Conjunto"),"")))</f>
        <v/>
      </c>
      <c r="E49" t="str">
        <f>IF(A49="","",IF(A49="[FÓRMULA MANUAL]","",IFERROR(SUMPRODUCT((DATOS!$A$2:$A$20000=A49)*(DATOS!$G$2:$G$20000=CONFIG_METADATA!$B$4)*(COUNTIF(CONFIG_ASIGNATURAS!$B$7:$B$27,DATOS!$I$2:$I$20000)&gt;0)*(DATOS!$K$2:$K$20000))/SUMPRODUCT((DATOS!$A$2:$A$20000=A49)*(DATOS!$G$2:$G$20000=CONFIG_METADATA!$B$4)*(COUNTIF(CONFIG_ASIGNATURAS!$B$7:$B$27,DATOS!$I$2:$I$20000)&gt;0)*1),"")))</f>
        <v/>
      </c>
      <c r="H49" t="str">
        <f>IF(G49="","",IF(G49="[FÓRMULA MANUAL]","",IFERROR(AVERAGEIFS(DATOS!$K$2:$K$20000,DATOS!$A$2:$A$20000,G49,DATOS!$G$2:$G$20000,CONFIG_METADATA!$B$4,DATOS!$I$2:$I$20000,"Lenguaje Musical"),"")))</f>
        <v/>
      </c>
      <c r="I49" t="str">
        <f>IF(G49="","",IF(G49="[FÓRMULA MANUAL]","",IFERROR(AVERAGEIFS(DATOS!$K$2:$K$20000,DATOS!$A$2:$A$20000,G49,DATOS!$G$2:$G$20000,CONFIG_METADATA!$B$4,DATOS!$I$2:$I$20000,"Orquesta/Banda/Conjunto"),"")))</f>
        <v/>
      </c>
      <c r="J49" t="str">
        <f>IF(G49="","",IF(G49="[FÓRMULA MANUAL]","",IFERROR(AVERAGEIFS(DATOS!$K$2:$K$20000,DATOS!$A$2:$A$20000,G49,DATOS!$G$2:$G$20000,CONFIG_METADATA!$B$4,DATOS!$I$2:$I$20000,"Conjunto"),"")))</f>
        <v/>
      </c>
      <c r="K49" t="str">
        <f>IF(G49="","",IF(G49="[FÓRMULA MANUAL]","",IFERROR(SUMPRODUCT((DATOS!$A$2:$A$20000=G49)*(DATOS!$G$2:$G$20000=CONFIG_METADATA!$B$4)*(COUNTIF(CONFIG_ASIGNATURAS!$B$7:$B$27,DATOS!$I$2:$I$20000)&gt;0)*(DATOS!$K$2:$K$20000))/SUMPRODUCT((DATOS!$A$2:$A$20000=G49)*(DATOS!$G$2:$G$20000=CONFIG_METADATA!$B$4)*(COUNTIF(CONFIG_ASIGNATURAS!$B$7:$B$27,DATOS!$I$2:$I$20000)&gt;0)*1),"")))</f>
        <v/>
      </c>
      <c r="N49" t="str">
        <f>IF(M49="","",IF(M49="[FÓRMULA MANUAL]","",IFERROR(AVERAGEIFS(DATOS!$K$2:$K$20000,DATOS!$A$2:$A$20000,M49,DATOS!$G$2:$G$20000,CONFIG_METADATA!$B$4,DATOS!$I$2:$I$20000,"Armonía"),"")))</f>
        <v/>
      </c>
      <c r="O49" t="str">
        <f>IF(M49="","",IF(M49="[FÓRMULA MANUAL]","",IFERROR(AVERAGEIFS(DATOS!$K$2:$K$20000,DATOS!$A$2:$A$20000,M49,DATOS!$G$2:$G$20000,CONFIG_METADATA!$B$4,DATOS!$I$2:$I$20000,"Orquesta/Banda/Conjunto"),"")))</f>
        <v/>
      </c>
      <c r="P49" t="str">
        <f>IF(M49="","",IF(M49="[FÓRMULA MANUAL]","",IFERROR(AVERAGEIFS(DATOS!$K$2:$K$20000,DATOS!$A$2:$A$20000,M49,DATOS!$G$2:$G$20000,CONFIG_METADATA!$B$4,DATOS!$I$2:$I$20000,"Música de Cámara"),"")))</f>
        <v/>
      </c>
      <c r="Q49" t="str">
        <f>IF(M49="","",IF(M49="[FÓRMULA MANUAL]","",IFERROR(SUMPRODUCT((DATOS!$A$2:$A$20000=M49)*(DATOS!$G$2:$G$20000=CONFIG_METADATA!$B$4)*(COUNTIF(CONFIG_ASIGNATURAS!$B$7:$B$27,DATOS!$I$2:$I$20000)&gt;0)*(DATOS!$K$2:$K$20000))/SUMPRODUCT((DATOS!$A$2:$A$20000=M49)*(DATOS!$G$2:$G$20000=CONFIG_METADATA!$B$4)*(COUNTIF(CONFIG_ASIGNATURAS!$B$7:$B$27,DATOS!$I$2:$I$20000)&gt;0)*1),"")))</f>
        <v/>
      </c>
      <c r="T49" t="str">
        <f>IF(S49="","",IF(S49="[FÓRMULA MANUAL]","",IFERROR(AVERAGEIFS(DATOS!$K$2:$K$20000,DATOS!$A$2:$A$20000,S49,DATOS!$G$2:$G$20000,CONFIG_METADATA!$B$4,DATOS!$I$2:$I$20000,"Armonía"),"")))</f>
        <v/>
      </c>
      <c r="U49" t="str">
        <f>IF(S49="","",IF(S49="[FÓRMULA MANUAL]","",IFERROR(AVERAGEIFS(DATOS!$K$2:$K$20000,DATOS!$A$2:$A$20000,S49,DATOS!$G$2:$G$20000,CONFIG_METADATA!$B$4,DATOS!$I$2:$I$20000,"Orquesta/Banda/Conjunto"),"")))</f>
        <v/>
      </c>
      <c r="V49" t="str">
        <f>IF(S49="","",IF(S49="[FÓRMULA MANUAL]","",IFERROR(AVERAGEIFS(DATOS!$K$2:$K$20000,DATOS!$A$2:$A$20000,S49,DATOS!$G$2:$G$20000,CONFIG_METADATA!$B$4,DATOS!$I$2:$I$20000,"Música de Cámara"),"")))</f>
        <v/>
      </c>
      <c r="W49" t="str">
        <f>IF(S49="","",IF(S49="[FÓRMULA MANUAL]","",IFERROR(SUMPRODUCT((DATOS!$A$2:$A$20000=S49)*(DATOS!$G$2:$G$20000=CONFIG_METADATA!$B$4)*(COUNTIF(CONFIG_ASIGNATURAS!$B$7:$B$27,DATOS!$I$2:$I$20000)&gt;0)*(DATOS!$K$2:$K$20000))/SUMPRODUCT((DATOS!$A$2:$A$20000=S49)*(DATOS!$G$2:$G$20000=CONFIG_METADATA!$B$4)*(COUNTIF(CONFIG_ASIGNATURAS!$B$7:$B$27,DATOS!$I$2:$I$20000)&gt;0)*1),"")))</f>
        <v/>
      </c>
      <c r="Z49" t="str">
        <f>IF(Y49="","",IF(Y49="[FÓRMULA MANUAL]","",IFERROR(AVERAGEIFS(DATOS!$K$2:$K$20000,DATOS!$A$2:$A$20000,Y49,DATOS!$G$2:$G$20000,CONFIG_METADATA!$B$4,DATOS!$I$2:$I$20000,"Análisis"),"")))</f>
        <v/>
      </c>
      <c r="AA49" t="str">
        <f>IF(Y49="","",IF(Y49="[FÓRMULA MANUAL]","",IFERROR(AVERAGEIFS(DATOS!$K$2:$K$20000,DATOS!$A$2:$A$20000,Y49,DATOS!$G$2:$G$20000,CONFIG_METADATA!$B$4,DATOS!$I$2:$I$20000,"Orquesta/Banda/Conjunto"),"")))</f>
        <v/>
      </c>
      <c r="AB49" t="str">
        <f>IF(Y49="","",IF(Y49="[FÓRMULA MANUAL]","",IFERROR(AVERAGEIFS(DATOS!$K$2:$K$20000,DATOS!$A$2:$A$20000,Y49,DATOS!$G$2:$G$20000,CONFIG_METADATA!$B$4,DATOS!$I$2:$I$20000,"Música de Cámara"),"")))</f>
        <v/>
      </c>
      <c r="AC49" t="str">
        <f>IF(Y49="","",IF(Y49="[FÓRMULA MANUAL]","",IFERROR(SUMPRODUCT((DATOS!$A$2:$A$20000=Y49)*(DATOS!$G$2:$G$20000=CONFIG_METADATA!$B$4)*(COUNTIF(CONFIG_ASIGNATURAS!$B$7:$B$27,DATOS!$I$2:$I$20000)&gt;0)*(DATOS!$K$2:$K$20000))/SUMPRODUCT((DATOS!$A$2:$A$20000=Y49)*(DATOS!$G$2:$G$20000=CONFIG_METADATA!$B$4)*(COUNTIF(CONFIG_ASIGNATURAS!$B$7:$B$27,DATOS!$I$2:$I$20000)&gt;0)*1),"")))</f>
        <v/>
      </c>
      <c r="AF49" t="str">
        <f>IF(AE49="","",IF(AE49="[FÓRMULA MANUAL]","",IFERROR(AVERAGEIFS(DATOS!$K$2:$K$20000,DATOS!$A$2:$A$20000,AE49,DATOS!$G$2:$G$20000,CONFIG_METADATA!$B$4,DATOS!$I$2:$I$20000,"Análisis"),"")))</f>
        <v/>
      </c>
      <c r="AG49" t="str">
        <f>IF(AE49="","",IF(AE49="[FÓRMULA MANUAL]","",IFERROR(AVERAGEIFS(DATOS!$K$2:$K$20000,DATOS!$A$2:$A$20000,AE49,DATOS!$G$2:$G$20000,CONFIG_METADATA!$B$4,DATOS!$I$2:$I$20000,"Orquesta/Banda/Conjunto"),"")))</f>
        <v/>
      </c>
      <c r="AH49" t="str">
        <f>IF(AE49="","",IF(AE49="[FÓRMULA MANUAL]","",IFERROR(AVERAGEIFS(DATOS!$K$2:$K$20000,DATOS!$A$2:$A$20000,AE49,DATOS!$G$2:$G$20000,CONFIG_METADATA!$B$4,DATOS!$I$2:$I$20000,"Música de Cámara"),"")))</f>
        <v/>
      </c>
      <c r="AI49" t="str">
        <f>IF(AE49="","",IF(AE49="[FÓRMULA MANUAL]","",IFERROR(SUMPRODUCT((DATOS!$A$2:$A$20000=AE49)*(DATOS!$G$2:$G$20000=CONFIG_METADATA!$B$4)*(COUNTIF(CONFIG_ASIGNATURAS!$B$7:$B$27,DATOS!$I$2:$I$20000)&gt;0)*(DATOS!$K$2:$K$20000))/SUMPRODUCT((DATOS!$A$2:$A$20000=AE49)*(DATOS!$G$2:$G$20000=CONFIG_METADATA!$B$4)*(COUNTIF(CONFIG_ASIGNATURAS!$B$7:$B$27,DATOS!$I$2:$I$20000)&gt;0)*1),"")))</f>
        <v/>
      </c>
    </row>
    <row r="50" spans="2:35" x14ac:dyDescent="0.2">
      <c r="B50" t="str">
        <f>IF(A50="","",IF(A50="[FÓRMULA MANUAL]","",IFERROR(AVERAGEIFS(DATOS!$K$2:$K$20000,DATOS!$A$2:$A$20000,A50,DATOS!$G$2:$G$20000,CONFIG_METADATA!$B$4,DATOS!$I$2:$I$20000,"Lenguaje Musical"),"")))</f>
        <v/>
      </c>
      <c r="C50" t="str">
        <f>IF(A50="","",IF(A50="[FÓRMULA MANUAL]","",IFERROR(AVERAGEIFS(DATOS!$K$2:$K$20000,DATOS!$A$2:$A$20000,A50,DATOS!$G$2:$G$20000,CONFIG_METADATA!$B$4,DATOS!$I$2:$I$20000,"Orquesta/Banda/Conjunto"),"")))</f>
        <v/>
      </c>
      <c r="D50" t="str">
        <f>IF(A50="","",IF(A50="[FÓRMULA MANUAL]","",IFERROR(AVERAGEIFS(DATOS!$K$2:$K$20000,DATOS!$A$2:$A$20000,A50,DATOS!$G$2:$G$20000,CONFIG_METADATA!$B$4,DATOS!$I$2:$I$20000,"Conjunto"),"")))</f>
        <v/>
      </c>
      <c r="E50" t="str">
        <f>IF(A50="","",IF(A50="[FÓRMULA MANUAL]","",IFERROR(SUMPRODUCT((DATOS!$A$2:$A$20000=A50)*(DATOS!$G$2:$G$20000=CONFIG_METADATA!$B$4)*(COUNTIF(CONFIG_ASIGNATURAS!$B$7:$B$27,DATOS!$I$2:$I$20000)&gt;0)*(DATOS!$K$2:$K$20000))/SUMPRODUCT((DATOS!$A$2:$A$20000=A50)*(DATOS!$G$2:$G$20000=CONFIG_METADATA!$B$4)*(COUNTIF(CONFIG_ASIGNATURAS!$B$7:$B$27,DATOS!$I$2:$I$20000)&gt;0)*1),"")))</f>
        <v/>
      </c>
      <c r="H50" t="str">
        <f>IF(G50="","",IF(G50="[FÓRMULA MANUAL]","",IFERROR(AVERAGEIFS(DATOS!$K$2:$K$20000,DATOS!$A$2:$A$20000,G50,DATOS!$G$2:$G$20000,CONFIG_METADATA!$B$4,DATOS!$I$2:$I$20000,"Lenguaje Musical"),"")))</f>
        <v/>
      </c>
      <c r="I50" t="str">
        <f>IF(G50="","",IF(G50="[FÓRMULA MANUAL]","",IFERROR(AVERAGEIFS(DATOS!$K$2:$K$20000,DATOS!$A$2:$A$20000,G50,DATOS!$G$2:$G$20000,CONFIG_METADATA!$B$4,DATOS!$I$2:$I$20000,"Orquesta/Banda/Conjunto"),"")))</f>
        <v/>
      </c>
      <c r="J50" t="str">
        <f>IF(G50="","",IF(G50="[FÓRMULA MANUAL]","",IFERROR(AVERAGEIFS(DATOS!$K$2:$K$20000,DATOS!$A$2:$A$20000,G50,DATOS!$G$2:$G$20000,CONFIG_METADATA!$B$4,DATOS!$I$2:$I$20000,"Conjunto"),"")))</f>
        <v/>
      </c>
      <c r="K50" t="str">
        <f>IF(G50="","",IF(G50="[FÓRMULA MANUAL]","",IFERROR(SUMPRODUCT((DATOS!$A$2:$A$20000=G50)*(DATOS!$G$2:$G$20000=CONFIG_METADATA!$B$4)*(COUNTIF(CONFIG_ASIGNATURAS!$B$7:$B$27,DATOS!$I$2:$I$20000)&gt;0)*(DATOS!$K$2:$K$20000))/SUMPRODUCT((DATOS!$A$2:$A$20000=G50)*(DATOS!$G$2:$G$20000=CONFIG_METADATA!$B$4)*(COUNTIF(CONFIG_ASIGNATURAS!$B$7:$B$27,DATOS!$I$2:$I$20000)&gt;0)*1),"")))</f>
        <v/>
      </c>
      <c r="N50" t="str">
        <f>IF(M50="","",IF(M50="[FÓRMULA MANUAL]","",IFERROR(AVERAGEIFS(DATOS!$K$2:$K$20000,DATOS!$A$2:$A$20000,M50,DATOS!$G$2:$G$20000,CONFIG_METADATA!$B$4,DATOS!$I$2:$I$20000,"Armonía"),"")))</f>
        <v/>
      </c>
      <c r="O50" t="str">
        <f>IF(M50="","",IF(M50="[FÓRMULA MANUAL]","",IFERROR(AVERAGEIFS(DATOS!$K$2:$K$20000,DATOS!$A$2:$A$20000,M50,DATOS!$G$2:$G$20000,CONFIG_METADATA!$B$4,DATOS!$I$2:$I$20000,"Orquesta/Banda/Conjunto"),"")))</f>
        <v/>
      </c>
      <c r="P50" t="str">
        <f>IF(M50="","",IF(M50="[FÓRMULA MANUAL]","",IFERROR(AVERAGEIFS(DATOS!$K$2:$K$20000,DATOS!$A$2:$A$20000,M50,DATOS!$G$2:$G$20000,CONFIG_METADATA!$B$4,DATOS!$I$2:$I$20000,"Música de Cámara"),"")))</f>
        <v/>
      </c>
      <c r="Q50" t="str">
        <f>IF(M50="","",IF(M50="[FÓRMULA MANUAL]","",IFERROR(SUMPRODUCT((DATOS!$A$2:$A$20000=M50)*(DATOS!$G$2:$G$20000=CONFIG_METADATA!$B$4)*(COUNTIF(CONFIG_ASIGNATURAS!$B$7:$B$27,DATOS!$I$2:$I$20000)&gt;0)*(DATOS!$K$2:$K$20000))/SUMPRODUCT((DATOS!$A$2:$A$20000=M50)*(DATOS!$G$2:$G$20000=CONFIG_METADATA!$B$4)*(COUNTIF(CONFIG_ASIGNATURAS!$B$7:$B$27,DATOS!$I$2:$I$20000)&gt;0)*1),"")))</f>
        <v/>
      </c>
      <c r="T50" t="str">
        <f>IF(S50="","",IF(S50="[FÓRMULA MANUAL]","",IFERROR(AVERAGEIFS(DATOS!$K$2:$K$20000,DATOS!$A$2:$A$20000,S50,DATOS!$G$2:$G$20000,CONFIG_METADATA!$B$4,DATOS!$I$2:$I$20000,"Armonía"),"")))</f>
        <v/>
      </c>
      <c r="U50" t="str">
        <f>IF(S50="","",IF(S50="[FÓRMULA MANUAL]","",IFERROR(AVERAGEIFS(DATOS!$K$2:$K$20000,DATOS!$A$2:$A$20000,S50,DATOS!$G$2:$G$20000,CONFIG_METADATA!$B$4,DATOS!$I$2:$I$20000,"Orquesta/Banda/Conjunto"),"")))</f>
        <v/>
      </c>
      <c r="V50" t="str">
        <f>IF(S50="","",IF(S50="[FÓRMULA MANUAL]","",IFERROR(AVERAGEIFS(DATOS!$K$2:$K$20000,DATOS!$A$2:$A$20000,S50,DATOS!$G$2:$G$20000,CONFIG_METADATA!$B$4,DATOS!$I$2:$I$20000,"Música de Cámara"),"")))</f>
        <v/>
      </c>
      <c r="W50" t="str">
        <f>IF(S50="","",IF(S50="[FÓRMULA MANUAL]","",IFERROR(SUMPRODUCT((DATOS!$A$2:$A$20000=S50)*(DATOS!$G$2:$G$20000=CONFIG_METADATA!$B$4)*(COUNTIF(CONFIG_ASIGNATURAS!$B$7:$B$27,DATOS!$I$2:$I$20000)&gt;0)*(DATOS!$K$2:$K$20000))/SUMPRODUCT((DATOS!$A$2:$A$20000=S50)*(DATOS!$G$2:$G$20000=CONFIG_METADATA!$B$4)*(COUNTIF(CONFIG_ASIGNATURAS!$B$7:$B$27,DATOS!$I$2:$I$20000)&gt;0)*1),"")))</f>
        <v/>
      </c>
      <c r="Z50" t="str">
        <f>IF(Y50="","",IF(Y50="[FÓRMULA MANUAL]","",IFERROR(AVERAGEIFS(DATOS!$K$2:$K$20000,DATOS!$A$2:$A$20000,Y50,DATOS!$G$2:$G$20000,CONFIG_METADATA!$B$4,DATOS!$I$2:$I$20000,"Análisis"),"")))</f>
        <v/>
      </c>
      <c r="AA50" t="str">
        <f>IF(Y50="","",IF(Y50="[FÓRMULA MANUAL]","",IFERROR(AVERAGEIFS(DATOS!$K$2:$K$20000,DATOS!$A$2:$A$20000,Y50,DATOS!$G$2:$G$20000,CONFIG_METADATA!$B$4,DATOS!$I$2:$I$20000,"Orquesta/Banda/Conjunto"),"")))</f>
        <v/>
      </c>
      <c r="AB50" t="str">
        <f>IF(Y50="","",IF(Y50="[FÓRMULA MANUAL]","",IFERROR(AVERAGEIFS(DATOS!$K$2:$K$20000,DATOS!$A$2:$A$20000,Y50,DATOS!$G$2:$G$20000,CONFIG_METADATA!$B$4,DATOS!$I$2:$I$20000,"Música de Cámara"),"")))</f>
        <v/>
      </c>
      <c r="AC50" t="str">
        <f>IF(Y50="","",IF(Y50="[FÓRMULA MANUAL]","",IFERROR(SUMPRODUCT((DATOS!$A$2:$A$20000=Y50)*(DATOS!$G$2:$G$20000=CONFIG_METADATA!$B$4)*(COUNTIF(CONFIG_ASIGNATURAS!$B$7:$B$27,DATOS!$I$2:$I$20000)&gt;0)*(DATOS!$K$2:$K$20000))/SUMPRODUCT((DATOS!$A$2:$A$20000=Y50)*(DATOS!$G$2:$G$20000=CONFIG_METADATA!$B$4)*(COUNTIF(CONFIG_ASIGNATURAS!$B$7:$B$27,DATOS!$I$2:$I$20000)&gt;0)*1),"")))</f>
        <v/>
      </c>
      <c r="AF50" t="str">
        <f>IF(AE50="","",IF(AE50="[FÓRMULA MANUAL]","",IFERROR(AVERAGEIFS(DATOS!$K$2:$K$20000,DATOS!$A$2:$A$20000,AE50,DATOS!$G$2:$G$20000,CONFIG_METADATA!$B$4,DATOS!$I$2:$I$20000,"Análisis"),"")))</f>
        <v/>
      </c>
      <c r="AG50" t="str">
        <f>IF(AE50="","",IF(AE50="[FÓRMULA MANUAL]","",IFERROR(AVERAGEIFS(DATOS!$K$2:$K$20000,DATOS!$A$2:$A$20000,AE50,DATOS!$G$2:$G$20000,CONFIG_METADATA!$B$4,DATOS!$I$2:$I$20000,"Orquesta/Banda/Conjunto"),"")))</f>
        <v/>
      </c>
      <c r="AH50" t="str">
        <f>IF(AE50="","",IF(AE50="[FÓRMULA MANUAL]","",IFERROR(AVERAGEIFS(DATOS!$K$2:$K$20000,DATOS!$A$2:$A$20000,AE50,DATOS!$G$2:$G$20000,CONFIG_METADATA!$B$4,DATOS!$I$2:$I$20000,"Música de Cámara"),"")))</f>
        <v/>
      </c>
      <c r="AI50" t="str">
        <f>IF(AE50="","",IF(AE50="[FÓRMULA MANUAL]","",IFERROR(SUMPRODUCT((DATOS!$A$2:$A$20000=AE50)*(DATOS!$G$2:$G$20000=CONFIG_METADATA!$B$4)*(COUNTIF(CONFIG_ASIGNATURAS!$B$7:$B$27,DATOS!$I$2:$I$20000)&gt;0)*(DATOS!$K$2:$K$20000))/SUMPRODUCT((DATOS!$A$2:$A$20000=AE50)*(DATOS!$G$2:$G$20000=CONFIG_METADATA!$B$4)*(COUNTIF(CONFIG_ASIGNATURAS!$B$7:$B$27,DATOS!$I$2:$I$20000)&gt;0)*1),"")))</f>
        <v/>
      </c>
    </row>
    <row r="51" spans="2:35" x14ac:dyDescent="0.2">
      <c r="B51" t="str">
        <f>IF(A51="","",IF(A51="[FÓRMULA MANUAL]","",IFERROR(AVERAGEIFS(DATOS!$K$2:$K$20000,DATOS!$A$2:$A$20000,A51,DATOS!$G$2:$G$20000,CONFIG_METADATA!$B$4,DATOS!$I$2:$I$20000,"Lenguaje Musical"),"")))</f>
        <v/>
      </c>
      <c r="C51" t="str">
        <f>IF(A51="","",IF(A51="[FÓRMULA MANUAL]","",IFERROR(AVERAGEIFS(DATOS!$K$2:$K$20000,DATOS!$A$2:$A$20000,A51,DATOS!$G$2:$G$20000,CONFIG_METADATA!$B$4,DATOS!$I$2:$I$20000,"Orquesta/Banda/Conjunto"),"")))</f>
        <v/>
      </c>
      <c r="D51" t="str">
        <f>IF(A51="","",IF(A51="[FÓRMULA MANUAL]","",IFERROR(AVERAGEIFS(DATOS!$K$2:$K$20000,DATOS!$A$2:$A$20000,A51,DATOS!$G$2:$G$20000,CONFIG_METADATA!$B$4,DATOS!$I$2:$I$20000,"Conjunto"),"")))</f>
        <v/>
      </c>
      <c r="E51" t="str">
        <f>IF(A51="","",IF(A51="[FÓRMULA MANUAL]","",IFERROR(SUMPRODUCT((DATOS!$A$2:$A$20000=A51)*(DATOS!$G$2:$G$20000=CONFIG_METADATA!$B$4)*(COUNTIF(CONFIG_ASIGNATURAS!$B$7:$B$27,DATOS!$I$2:$I$20000)&gt;0)*(DATOS!$K$2:$K$20000))/SUMPRODUCT((DATOS!$A$2:$A$20000=A51)*(DATOS!$G$2:$G$20000=CONFIG_METADATA!$B$4)*(COUNTIF(CONFIG_ASIGNATURAS!$B$7:$B$27,DATOS!$I$2:$I$20000)&gt;0)*1),"")))</f>
        <v/>
      </c>
      <c r="H51" t="str">
        <f>IF(G51="","",IF(G51="[FÓRMULA MANUAL]","",IFERROR(AVERAGEIFS(DATOS!$K$2:$K$20000,DATOS!$A$2:$A$20000,G51,DATOS!$G$2:$G$20000,CONFIG_METADATA!$B$4,DATOS!$I$2:$I$20000,"Lenguaje Musical"),"")))</f>
        <v/>
      </c>
      <c r="I51" t="str">
        <f>IF(G51="","",IF(G51="[FÓRMULA MANUAL]","",IFERROR(AVERAGEIFS(DATOS!$K$2:$K$20000,DATOS!$A$2:$A$20000,G51,DATOS!$G$2:$G$20000,CONFIG_METADATA!$B$4,DATOS!$I$2:$I$20000,"Orquesta/Banda/Conjunto"),"")))</f>
        <v/>
      </c>
      <c r="J51" t="str">
        <f>IF(G51="","",IF(G51="[FÓRMULA MANUAL]","",IFERROR(AVERAGEIFS(DATOS!$K$2:$K$20000,DATOS!$A$2:$A$20000,G51,DATOS!$G$2:$G$20000,CONFIG_METADATA!$B$4,DATOS!$I$2:$I$20000,"Conjunto"),"")))</f>
        <v/>
      </c>
      <c r="K51" t="str">
        <f>IF(G51="","",IF(G51="[FÓRMULA MANUAL]","",IFERROR(SUMPRODUCT((DATOS!$A$2:$A$20000=G51)*(DATOS!$G$2:$G$20000=CONFIG_METADATA!$B$4)*(COUNTIF(CONFIG_ASIGNATURAS!$B$7:$B$27,DATOS!$I$2:$I$20000)&gt;0)*(DATOS!$K$2:$K$20000))/SUMPRODUCT((DATOS!$A$2:$A$20000=G51)*(DATOS!$G$2:$G$20000=CONFIG_METADATA!$B$4)*(COUNTIF(CONFIG_ASIGNATURAS!$B$7:$B$27,DATOS!$I$2:$I$20000)&gt;0)*1),"")))</f>
        <v/>
      </c>
      <c r="N51" t="str">
        <f>IF(M51="","",IF(M51="[FÓRMULA MANUAL]","",IFERROR(AVERAGEIFS(DATOS!$K$2:$K$20000,DATOS!$A$2:$A$20000,M51,DATOS!$G$2:$G$20000,CONFIG_METADATA!$B$4,DATOS!$I$2:$I$20000,"Armonía"),"")))</f>
        <v/>
      </c>
      <c r="O51" t="str">
        <f>IF(M51="","",IF(M51="[FÓRMULA MANUAL]","",IFERROR(AVERAGEIFS(DATOS!$K$2:$K$20000,DATOS!$A$2:$A$20000,M51,DATOS!$G$2:$G$20000,CONFIG_METADATA!$B$4,DATOS!$I$2:$I$20000,"Orquesta/Banda/Conjunto"),"")))</f>
        <v/>
      </c>
      <c r="P51" t="str">
        <f>IF(M51="","",IF(M51="[FÓRMULA MANUAL]","",IFERROR(AVERAGEIFS(DATOS!$K$2:$K$20000,DATOS!$A$2:$A$20000,M51,DATOS!$G$2:$G$20000,CONFIG_METADATA!$B$4,DATOS!$I$2:$I$20000,"Música de Cámara"),"")))</f>
        <v/>
      </c>
      <c r="Q51" t="str">
        <f>IF(M51="","",IF(M51="[FÓRMULA MANUAL]","",IFERROR(SUMPRODUCT((DATOS!$A$2:$A$20000=M51)*(DATOS!$G$2:$G$20000=CONFIG_METADATA!$B$4)*(COUNTIF(CONFIG_ASIGNATURAS!$B$7:$B$27,DATOS!$I$2:$I$20000)&gt;0)*(DATOS!$K$2:$K$20000))/SUMPRODUCT((DATOS!$A$2:$A$20000=M51)*(DATOS!$G$2:$G$20000=CONFIG_METADATA!$B$4)*(COUNTIF(CONFIG_ASIGNATURAS!$B$7:$B$27,DATOS!$I$2:$I$20000)&gt;0)*1),"")))</f>
        <v/>
      </c>
      <c r="T51" t="str">
        <f>IF(S51="","",IF(S51="[FÓRMULA MANUAL]","",IFERROR(AVERAGEIFS(DATOS!$K$2:$K$20000,DATOS!$A$2:$A$20000,S51,DATOS!$G$2:$G$20000,CONFIG_METADATA!$B$4,DATOS!$I$2:$I$20000,"Armonía"),"")))</f>
        <v/>
      </c>
      <c r="U51" t="str">
        <f>IF(S51="","",IF(S51="[FÓRMULA MANUAL]","",IFERROR(AVERAGEIFS(DATOS!$K$2:$K$20000,DATOS!$A$2:$A$20000,S51,DATOS!$G$2:$G$20000,CONFIG_METADATA!$B$4,DATOS!$I$2:$I$20000,"Orquesta/Banda/Conjunto"),"")))</f>
        <v/>
      </c>
      <c r="V51" t="str">
        <f>IF(S51="","",IF(S51="[FÓRMULA MANUAL]","",IFERROR(AVERAGEIFS(DATOS!$K$2:$K$20000,DATOS!$A$2:$A$20000,S51,DATOS!$G$2:$G$20000,CONFIG_METADATA!$B$4,DATOS!$I$2:$I$20000,"Música de Cámara"),"")))</f>
        <v/>
      </c>
      <c r="W51" t="str">
        <f>IF(S51="","",IF(S51="[FÓRMULA MANUAL]","",IFERROR(SUMPRODUCT((DATOS!$A$2:$A$20000=S51)*(DATOS!$G$2:$G$20000=CONFIG_METADATA!$B$4)*(COUNTIF(CONFIG_ASIGNATURAS!$B$7:$B$27,DATOS!$I$2:$I$20000)&gt;0)*(DATOS!$K$2:$K$20000))/SUMPRODUCT((DATOS!$A$2:$A$20000=S51)*(DATOS!$G$2:$G$20000=CONFIG_METADATA!$B$4)*(COUNTIF(CONFIG_ASIGNATURAS!$B$7:$B$27,DATOS!$I$2:$I$20000)&gt;0)*1),"")))</f>
        <v/>
      </c>
      <c r="Z51" t="str">
        <f>IF(Y51="","",IF(Y51="[FÓRMULA MANUAL]","",IFERROR(AVERAGEIFS(DATOS!$K$2:$K$20000,DATOS!$A$2:$A$20000,Y51,DATOS!$G$2:$G$20000,CONFIG_METADATA!$B$4,DATOS!$I$2:$I$20000,"Análisis"),"")))</f>
        <v/>
      </c>
      <c r="AA51" t="str">
        <f>IF(Y51="","",IF(Y51="[FÓRMULA MANUAL]","",IFERROR(AVERAGEIFS(DATOS!$K$2:$K$20000,DATOS!$A$2:$A$20000,Y51,DATOS!$G$2:$G$20000,CONFIG_METADATA!$B$4,DATOS!$I$2:$I$20000,"Orquesta/Banda/Conjunto"),"")))</f>
        <v/>
      </c>
      <c r="AB51" t="str">
        <f>IF(Y51="","",IF(Y51="[FÓRMULA MANUAL]","",IFERROR(AVERAGEIFS(DATOS!$K$2:$K$20000,DATOS!$A$2:$A$20000,Y51,DATOS!$G$2:$G$20000,CONFIG_METADATA!$B$4,DATOS!$I$2:$I$20000,"Música de Cámara"),"")))</f>
        <v/>
      </c>
      <c r="AC51" t="str">
        <f>IF(Y51="","",IF(Y51="[FÓRMULA MANUAL]","",IFERROR(SUMPRODUCT((DATOS!$A$2:$A$20000=Y51)*(DATOS!$G$2:$G$20000=CONFIG_METADATA!$B$4)*(COUNTIF(CONFIG_ASIGNATURAS!$B$7:$B$27,DATOS!$I$2:$I$20000)&gt;0)*(DATOS!$K$2:$K$20000))/SUMPRODUCT((DATOS!$A$2:$A$20000=Y51)*(DATOS!$G$2:$G$20000=CONFIG_METADATA!$B$4)*(COUNTIF(CONFIG_ASIGNATURAS!$B$7:$B$27,DATOS!$I$2:$I$20000)&gt;0)*1),"")))</f>
        <v/>
      </c>
      <c r="AF51" t="str">
        <f>IF(AE51="","",IF(AE51="[FÓRMULA MANUAL]","",IFERROR(AVERAGEIFS(DATOS!$K$2:$K$20000,DATOS!$A$2:$A$20000,AE51,DATOS!$G$2:$G$20000,CONFIG_METADATA!$B$4,DATOS!$I$2:$I$20000,"Análisis"),"")))</f>
        <v/>
      </c>
      <c r="AG51" t="str">
        <f>IF(AE51="","",IF(AE51="[FÓRMULA MANUAL]","",IFERROR(AVERAGEIFS(DATOS!$K$2:$K$20000,DATOS!$A$2:$A$20000,AE51,DATOS!$G$2:$G$20000,CONFIG_METADATA!$B$4,DATOS!$I$2:$I$20000,"Orquesta/Banda/Conjunto"),"")))</f>
        <v/>
      </c>
      <c r="AH51" t="str">
        <f>IF(AE51="","",IF(AE51="[FÓRMULA MANUAL]","",IFERROR(AVERAGEIFS(DATOS!$K$2:$K$20000,DATOS!$A$2:$A$20000,AE51,DATOS!$G$2:$G$20000,CONFIG_METADATA!$B$4,DATOS!$I$2:$I$20000,"Música de Cámara"),"")))</f>
        <v/>
      </c>
      <c r="AI51" t="str">
        <f>IF(AE51="","",IF(AE51="[FÓRMULA MANUAL]","",IFERROR(SUMPRODUCT((DATOS!$A$2:$A$20000=AE51)*(DATOS!$G$2:$G$20000=CONFIG_METADATA!$B$4)*(COUNTIF(CONFIG_ASIGNATURAS!$B$7:$B$27,DATOS!$I$2:$I$20000)&gt;0)*(DATOS!$K$2:$K$20000))/SUMPRODUCT((DATOS!$A$2:$A$20000=AE51)*(DATOS!$G$2:$G$20000=CONFIG_METADATA!$B$4)*(COUNTIF(CONFIG_ASIGNATURAS!$B$7:$B$27,DATOS!$I$2:$I$20000)&gt;0)*1),"")))</f>
        <v/>
      </c>
    </row>
    <row r="52" spans="2:35" x14ac:dyDescent="0.2">
      <c r="B52" t="str">
        <f>IF(A52="","",IF(A52="[FÓRMULA MANUAL]","",IFERROR(AVERAGEIFS(DATOS!$K$2:$K$20000,DATOS!$A$2:$A$20000,A52,DATOS!$G$2:$G$20000,CONFIG_METADATA!$B$4,DATOS!$I$2:$I$20000,"Lenguaje Musical"),"")))</f>
        <v/>
      </c>
      <c r="C52" t="str">
        <f>IF(A52="","",IF(A52="[FÓRMULA MANUAL]","",IFERROR(AVERAGEIFS(DATOS!$K$2:$K$20000,DATOS!$A$2:$A$20000,A52,DATOS!$G$2:$G$20000,CONFIG_METADATA!$B$4,DATOS!$I$2:$I$20000,"Orquesta/Banda/Conjunto"),"")))</f>
        <v/>
      </c>
      <c r="D52" t="str">
        <f>IF(A52="","",IF(A52="[FÓRMULA MANUAL]","",IFERROR(AVERAGEIFS(DATOS!$K$2:$K$20000,DATOS!$A$2:$A$20000,A52,DATOS!$G$2:$G$20000,CONFIG_METADATA!$B$4,DATOS!$I$2:$I$20000,"Conjunto"),"")))</f>
        <v/>
      </c>
      <c r="E52" t="str">
        <f>IF(A52="","",IF(A52="[FÓRMULA MANUAL]","",IFERROR(SUMPRODUCT((DATOS!$A$2:$A$20000=A52)*(DATOS!$G$2:$G$20000=CONFIG_METADATA!$B$4)*(COUNTIF(CONFIG_ASIGNATURAS!$B$7:$B$27,DATOS!$I$2:$I$20000)&gt;0)*(DATOS!$K$2:$K$20000))/SUMPRODUCT((DATOS!$A$2:$A$20000=A52)*(DATOS!$G$2:$G$20000=CONFIG_METADATA!$B$4)*(COUNTIF(CONFIG_ASIGNATURAS!$B$7:$B$27,DATOS!$I$2:$I$20000)&gt;0)*1),"")))</f>
        <v/>
      </c>
      <c r="H52" t="str">
        <f>IF(G52="","",IF(G52="[FÓRMULA MANUAL]","",IFERROR(AVERAGEIFS(DATOS!$K$2:$K$20000,DATOS!$A$2:$A$20000,G52,DATOS!$G$2:$G$20000,CONFIG_METADATA!$B$4,DATOS!$I$2:$I$20000,"Lenguaje Musical"),"")))</f>
        <v/>
      </c>
      <c r="I52" t="str">
        <f>IF(G52="","",IF(G52="[FÓRMULA MANUAL]","",IFERROR(AVERAGEIFS(DATOS!$K$2:$K$20000,DATOS!$A$2:$A$20000,G52,DATOS!$G$2:$G$20000,CONFIG_METADATA!$B$4,DATOS!$I$2:$I$20000,"Orquesta/Banda/Conjunto"),"")))</f>
        <v/>
      </c>
      <c r="J52" t="str">
        <f>IF(G52="","",IF(G52="[FÓRMULA MANUAL]","",IFERROR(AVERAGEIFS(DATOS!$K$2:$K$20000,DATOS!$A$2:$A$20000,G52,DATOS!$G$2:$G$20000,CONFIG_METADATA!$B$4,DATOS!$I$2:$I$20000,"Conjunto"),"")))</f>
        <v/>
      </c>
      <c r="K52" t="str">
        <f>IF(G52="","",IF(G52="[FÓRMULA MANUAL]","",IFERROR(SUMPRODUCT((DATOS!$A$2:$A$20000=G52)*(DATOS!$G$2:$G$20000=CONFIG_METADATA!$B$4)*(COUNTIF(CONFIG_ASIGNATURAS!$B$7:$B$27,DATOS!$I$2:$I$20000)&gt;0)*(DATOS!$K$2:$K$20000))/SUMPRODUCT((DATOS!$A$2:$A$20000=G52)*(DATOS!$G$2:$G$20000=CONFIG_METADATA!$B$4)*(COUNTIF(CONFIG_ASIGNATURAS!$B$7:$B$27,DATOS!$I$2:$I$20000)&gt;0)*1),"")))</f>
        <v/>
      </c>
      <c r="N52" t="str">
        <f>IF(M52="","",IF(M52="[FÓRMULA MANUAL]","",IFERROR(AVERAGEIFS(DATOS!$K$2:$K$20000,DATOS!$A$2:$A$20000,M52,DATOS!$G$2:$G$20000,CONFIG_METADATA!$B$4,DATOS!$I$2:$I$20000,"Armonía"),"")))</f>
        <v/>
      </c>
      <c r="O52" t="str">
        <f>IF(M52="","",IF(M52="[FÓRMULA MANUAL]","",IFERROR(AVERAGEIFS(DATOS!$K$2:$K$20000,DATOS!$A$2:$A$20000,M52,DATOS!$G$2:$G$20000,CONFIG_METADATA!$B$4,DATOS!$I$2:$I$20000,"Orquesta/Banda/Conjunto"),"")))</f>
        <v/>
      </c>
      <c r="P52" t="str">
        <f>IF(M52="","",IF(M52="[FÓRMULA MANUAL]","",IFERROR(AVERAGEIFS(DATOS!$K$2:$K$20000,DATOS!$A$2:$A$20000,M52,DATOS!$G$2:$G$20000,CONFIG_METADATA!$B$4,DATOS!$I$2:$I$20000,"Música de Cámara"),"")))</f>
        <v/>
      </c>
      <c r="Q52" t="str">
        <f>IF(M52="","",IF(M52="[FÓRMULA MANUAL]","",IFERROR(SUMPRODUCT((DATOS!$A$2:$A$20000=M52)*(DATOS!$G$2:$G$20000=CONFIG_METADATA!$B$4)*(COUNTIF(CONFIG_ASIGNATURAS!$B$7:$B$27,DATOS!$I$2:$I$20000)&gt;0)*(DATOS!$K$2:$K$20000))/SUMPRODUCT((DATOS!$A$2:$A$20000=M52)*(DATOS!$G$2:$G$20000=CONFIG_METADATA!$B$4)*(COUNTIF(CONFIG_ASIGNATURAS!$B$7:$B$27,DATOS!$I$2:$I$20000)&gt;0)*1),"")))</f>
        <v/>
      </c>
      <c r="T52" t="str">
        <f>IF(S52="","",IF(S52="[FÓRMULA MANUAL]","",IFERROR(AVERAGEIFS(DATOS!$K$2:$K$20000,DATOS!$A$2:$A$20000,S52,DATOS!$G$2:$G$20000,CONFIG_METADATA!$B$4,DATOS!$I$2:$I$20000,"Armonía"),"")))</f>
        <v/>
      </c>
      <c r="U52" t="str">
        <f>IF(S52="","",IF(S52="[FÓRMULA MANUAL]","",IFERROR(AVERAGEIFS(DATOS!$K$2:$K$20000,DATOS!$A$2:$A$20000,S52,DATOS!$G$2:$G$20000,CONFIG_METADATA!$B$4,DATOS!$I$2:$I$20000,"Orquesta/Banda/Conjunto"),"")))</f>
        <v/>
      </c>
      <c r="V52" t="str">
        <f>IF(S52="","",IF(S52="[FÓRMULA MANUAL]","",IFERROR(AVERAGEIFS(DATOS!$K$2:$K$20000,DATOS!$A$2:$A$20000,S52,DATOS!$G$2:$G$20000,CONFIG_METADATA!$B$4,DATOS!$I$2:$I$20000,"Música de Cámara"),"")))</f>
        <v/>
      </c>
      <c r="W52" t="str">
        <f>IF(S52="","",IF(S52="[FÓRMULA MANUAL]","",IFERROR(SUMPRODUCT((DATOS!$A$2:$A$20000=S52)*(DATOS!$G$2:$G$20000=CONFIG_METADATA!$B$4)*(COUNTIF(CONFIG_ASIGNATURAS!$B$7:$B$27,DATOS!$I$2:$I$20000)&gt;0)*(DATOS!$K$2:$K$20000))/SUMPRODUCT((DATOS!$A$2:$A$20000=S52)*(DATOS!$G$2:$G$20000=CONFIG_METADATA!$B$4)*(COUNTIF(CONFIG_ASIGNATURAS!$B$7:$B$27,DATOS!$I$2:$I$20000)&gt;0)*1),"")))</f>
        <v/>
      </c>
      <c r="Z52" t="str">
        <f>IF(Y52="","",IF(Y52="[FÓRMULA MANUAL]","",IFERROR(AVERAGEIFS(DATOS!$K$2:$K$20000,DATOS!$A$2:$A$20000,Y52,DATOS!$G$2:$G$20000,CONFIG_METADATA!$B$4,DATOS!$I$2:$I$20000,"Análisis"),"")))</f>
        <v/>
      </c>
      <c r="AA52" t="str">
        <f>IF(Y52="","",IF(Y52="[FÓRMULA MANUAL]","",IFERROR(AVERAGEIFS(DATOS!$K$2:$K$20000,DATOS!$A$2:$A$20000,Y52,DATOS!$G$2:$G$20000,CONFIG_METADATA!$B$4,DATOS!$I$2:$I$20000,"Orquesta/Banda/Conjunto"),"")))</f>
        <v/>
      </c>
      <c r="AB52" t="str">
        <f>IF(Y52="","",IF(Y52="[FÓRMULA MANUAL]","",IFERROR(AVERAGEIFS(DATOS!$K$2:$K$20000,DATOS!$A$2:$A$20000,Y52,DATOS!$G$2:$G$20000,CONFIG_METADATA!$B$4,DATOS!$I$2:$I$20000,"Música de Cámara"),"")))</f>
        <v/>
      </c>
      <c r="AC52" t="str">
        <f>IF(Y52="","",IF(Y52="[FÓRMULA MANUAL]","",IFERROR(SUMPRODUCT((DATOS!$A$2:$A$20000=Y52)*(DATOS!$G$2:$G$20000=CONFIG_METADATA!$B$4)*(COUNTIF(CONFIG_ASIGNATURAS!$B$7:$B$27,DATOS!$I$2:$I$20000)&gt;0)*(DATOS!$K$2:$K$20000))/SUMPRODUCT((DATOS!$A$2:$A$20000=Y52)*(DATOS!$G$2:$G$20000=CONFIG_METADATA!$B$4)*(COUNTIF(CONFIG_ASIGNATURAS!$B$7:$B$27,DATOS!$I$2:$I$20000)&gt;0)*1),"")))</f>
        <v/>
      </c>
      <c r="AF52" t="str">
        <f>IF(AE52="","",IF(AE52="[FÓRMULA MANUAL]","",IFERROR(AVERAGEIFS(DATOS!$K$2:$K$20000,DATOS!$A$2:$A$20000,AE52,DATOS!$G$2:$G$20000,CONFIG_METADATA!$B$4,DATOS!$I$2:$I$20000,"Análisis"),"")))</f>
        <v/>
      </c>
      <c r="AG52" t="str">
        <f>IF(AE52="","",IF(AE52="[FÓRMULA MANUAL]","",IFERROR(AVERAGEIFS(DATOS!$K$2:$K$20000,DATOS!$A$2:$A$20000,AE52,DATOS!$G$2:$G$20000,CONFIG_METADATA!$B$4,DATOS!$I$2:$I$20000,"Orquesta/Banda/Conjunto"),"")))</f>
        <v/>
      </c>
      <c r="AH52" t="str">
        <f>IF(AE52="","",IF(AE52="[FÓRMULA MANUAL]","",IFERROR(AVERAGEIFS(DATOS!$K$2:$K$20000,DATOS!$A$2:$A$20000,AE52,DATOS!$G$2:$G$20000,CONFIG_METADATA!$B$4,DATOS!$I$2:$I$20000,"Música de Cámara"),"")))</f>
        <v/>
      </c>
      <c r="AI52" t="str">
        <f>IF(AE52="","",IF(AE52="[FÓRMULA MANUAL]","",IFERROR(SUMPRODUCT((DATOS!$A$2:$A$20000=AE52)*(DATOS!$G$2:$G$20000=CONFIG_METADATA!$B$4)*(COUNTIF(CONFIG_ASIGNATURAS!$B$7:$B$27,DATOS!$I$2:$I$20000)&gt;0)*(DATOS!$K$2:$K$20000))/SUMPRODUCT((DATOS!$A$2:$A$20000=AE52)*(DATOS!$G$2:$G$20000=CONFIG_METADATA!$B$4)*(COUNTIF(CONFIG_ASIGNATURAS!$B$7:$B$27,DATOS!$I$2:$I$20000)&gt;0)*1),"")))</f>
        <v/>
      </c>
    </row>
    <row r="53" spans="2:35" x14ac:dyDescent="0.2">
      <c r="B53" t="str">
        <f>IF(A53="","",IF(A53="[FÓRMULA MANUAL]","",IFERROR(AVERAGEIFS(DATOS!$K$2:$K$20000,DATOS!$A$2:$A$20000,A53,DATOS!$G$2:$G$20000,CONFIG_METADATA!$B$4,DATOS!$I$2:$I$20000,"Lenguaje Musical"),"")))</f>
        <v/>
      </c>
      <c r="C53" t="str">
        <f>IF(A53="","",IF(A53="[FÓRMULA MANUAL]","",IFERROR(AVERAGEIFS(DATOS!$K$2:$K$20000,DATOS!$A$2:$A$20000,A53,DATOS!$G$2:$G$20000,CONFIG_METADATA!$B$4,DATOS!$I$2:$I$20000,"Orquesta/Banda/Conjunto"),"")))</f>
        <v/>
      </c>
      <c r="D53" t="str">
        <f>IF(A53="","",IF(A53="[FÓRMULA MANUAL]","",IFERROR(AVERAGEIFS(DATOS!$K$2:$K$20000,DATOS!$A$2:$A$20000,A53,DATOS!$G$2:$G$20000,CONFIG_METADATA!$B$4,DATOS!$I$2:$I$20000,"Conjunto"),"")))</f>
        <v/>
      </c>
      <c r="E53" t="str">
        <f>IF(A53="","",IF(A53="[FÓRMULA MANUAL]","",IFERROR(SUMPRODUCT((DATOS!$A$2:$A$20000=A53)*(DATOS!$G$2:$G$20000=CONFIG_METADATA!$B$4)*(COUNTIF(CONFIG_ASIGNATURAS!$B$7:$B$27,DATOS!$I$2:$I$20000)&gt;0)*(DATOS!$K$2:$K$20000))/SUMPRODUCT((DATOS!$A$2:$A$20000=A53)*(DATOS!$G$2:$G$20000=CONFIG_METADATA!$B$4)*(COUNTIF(CONFIG_ASIGNATURAS!$B$7:$B$27,DATOS!$I$2:$I$20000)&gt;0)*1),"")))</f>
        <v/>
      </c>
      <c r="H53" t="str">
        <f>IF(G53="","",IF(G53="[FÓRMULA MANUAL]","",IFERROR(AVERAGEIFS(DATOS!$K$2:$K$20000,DATOS!$A$2:$A$20000,G53,DATOS!$G$2:$G$20000,CONFIG_METADATA!$B$4,DATOS!$I$2:$I$20000,"Lenguaje Musical"),"")))</f>
        <v/>
      </c>
      <c r="I53" t="str">
        <f>IF(G53="","",IF(G53="[FÓRMULA MANUAL]","",IFERROR(AVERAGEIFS(DATOS!$K$2:$K$20000,DATOS!$A$2:$A$20000,G53,DATOS!$G$2:$G$20000,CONFIG_METADATA!$B$4,DATOS!$I$2:$I$20000,"Orquesta/Banda/Conjunto"),"")))</f>
        <v/>
      </c>
      <c r="J53" t="str">
        <f>IF(G53="","",IF(G53="[FÓRMULA MANUAL]","",IFERROR(AVERAGEIFS(DATOS!$K$2:$K$20000,DATOS!$A$2:$A$20000,G53,DATOS!$G$2:$G$20000,CONFIG_METADATA!$B$4,DATOS!$I$2:$I$20000,"Conjunto"),"")))</f>
        <v/>
      </c>
      <c r="K53" t="str">
        <f>IF(G53="","",IF(G53="[FÓRMULA MANUAL]","",IFERROR(SUMPRODUCT((DATOS!$A$2:$A$20000=G53)*(DATOS!$G$2:$G$20000=CONFIG_METADATA!$B$4)*(COUNTIF(CONFIG_ASIGNATURAS!$B$7:$B$27,DATOS!$I$2:$I$20000)&gt;0)*(DATOS!$K$2:$K$20000))/SUMPRODUCT((DATOS!$A$2:$A$20000=G53)*(DATOS!$G$2:$G$20000=CONFIG_METADATA!$B$4)*(COUNTIF(CONFIG_ASIGNATURAS!$B$7:$B$27,DATOS!$I$2:$I$20000)&gt;0)*1),"")))</f>
        <v/>
      </c>
      <c r="N53" t="str">
        <f>IF(M53="","",IF(M53="[FÓRMULA MANUAL]","",IFERROR(AVERAGEIFS(DATOS!$K$2:$K$20000,DATOS!$A$2:$A$20000,M53,DATOS!$G$2:$G$20000,CONFIG_METADATA!$B$4,DATOS!$I$2:$I$20000,"Armonía"),"")))</f>
        <v/>
      </c>
      <c r="O53" t="str">
        <f>IF(M53="","",IF(M53="[FÓRMULA MANUAL]","",IFERROR(AVERAGEIFS(DATOS!$K$2:$K$20000,DATOS!$A$2:$A$20000,M53,DATOS!$G$2:$G$20000,CONFIG_METADATA!$B$4,DATOS!$I$2:$I$20000,"Orquesta/Banda/Conjunto"),"")))</f>
        <v/>
      </c>
      <c r="P53" t="str">
        <f>IF(M53="","",IF(M53="[FÓRMULA MANUAL]","",IFERROR(AVERAGEIFS(DATOS!$K$2:$K$20000,DATOS!$A$2:$A$20000,M53,DATOS!$G$2:$G$20000,CONFIG_METADATA!$B$4,DATOS!$I$2:$I$20000,"Música de Cámara"),"")))</f>
        <v/>
      </c>
      <c r="Q53" t="str">
        <f>IF(M53="","",IF(M53="[FÓRMULA MANUAL]","",IFERROR(SUMPRODUCT((DATOS!$A$2:$A$20000=M53)*(DATOS!$G$2:$G$20000=CONFIG_METADATA!$B$4)*(COUNTIF(CONFIG_ASIGNATURAS!$B$7:$B$27,DATOS!$I$2:$I$20000)&gt;0)*(DATOS!$K$2:$K$20000))/SUMPRODUCT((DATOS!$A$2:$A$20000=M53)*(DATOS!$G$2:$G$20000=CONFIG_METADATA!$B$4)*(COUNTIF(CONFIG_ASIGNATURAS!$B$7:$B$27,DATOS!$I$2:$I$20000)&gt;0)*1),"")))</f>
        <v/>
      </c>
      <c r="T53" t="str">
        <f>IF(S53="","",IF(S53="[FÓRMULA MANUAL]","",IFERROR(AVERAGEIFS(DATOS!$K$2:$K$20000,DATOS!$A$2:$A$20000,S53,DATOS!$G$2:$G$20000,CONFIG_METADATA!$B$4,DATOS!$I$2:$I$20000,"Armonía"),"")))</f>
        <v/>
      </c>
      <c r="U53" t="str">
        <f>IF(S53="","",IF(S53="[FÓRMULA MANUAL]","",IFERROR(AVERAGEIFS(DATOS!$K$2:$K$20000,DATOS!$A$2:$A$20000,S53,DATOS!$G$2:$G$20000,CONFIG_METADATA!$B$4,DATOS!$I$2:$I$20000,"Orquesta/Banda/Conjunto"),"")))</f>
        <v/>
      </c>
      <c r="V53" t="str">
        <f>IF(S53="","",IF(S53="[FÓRMULA MANUAL]","",IFERROR(AVERAGEIFS(DATOS!$K$2:$K$20000,DATOS!$A$2:$A$20000,S53,DATOS!$G$2:$G$20000,CONFIG_METADATA!$B$4,DATOS!$I$2:$I$20000,"Música de Cámara"),"")))</f>
        <v/>
      </c>
      <c r="W53" t="str">
        <f>IF(S53="","",IF(S53="[FÓRMULA MANUAL]","",IFERROR(SUMPRODUCT((DATOS!$A$2:$A$20000=S53)*(DATOS!$G$2:$G$20000=CONFIG_METADATA!$B$4)*(COUNTIF(CONFIG_ASIGNATURAS!$B$7:$B$27,DATOS!$I$2:$I$20000)&gt;0)*(DATOS!$K$2:$K$20000))/SUMPRODUCT((DATOS!$A$2:$A$20000=S53)*(DATOS!$G$2:$G$20000=CONFIG_METADATA!$B$4)*(COUNTIF(CONFIG_ASIGNATURAS!$B$7:$B$27,DATOS!$I$2:$I$20000)&gt;0)*1),"")))</f>
        <v/>
      </c>
      <c r="Z53" t="str">
        <f>IF(Y53="","",IF(Y53="[FÓRMULA MANUAL]","",IFERROR(AVERAGEIFS(DATOS!$K$2:$K$20000,DATOS!$A$2:$A$20000,Y53,DATOS!$G$2:$G$20000,CONFIG_METADATA!$B$4,DATOS!$I$2:$I$20000,"Análisis"),"")))</f>
        <v/>
      </c>
      <c r="AA53" t="str">
        <f>IF(Y53="","",IF(Y53="[FÓRMULA MANUAL]","",IFERROR(AVERAGEIFS(DATOS!$K$2:$K$20000,DATOS!$A$2:$A$20000,Y53,DATOS!$G$2:$G$20000,CONFIG_METADATA!$B$4,DATOS!$I$2:$I$20000,"Orquesta/Banda/Conjunto"),"")))</f>
        <v/>
      </c>
      <c r="AB53" t="str">
        <f>IF(Y53="","",IF(Y53="[FÓRMULA MANUAL]","",IFERROR(AVERAGEIFS(DATOS!$K$2:$K$20000,DATOS!$A$2:$A$20000,Y53,DATOS!$G$2:$G$20000,CONFIG_METADATA!$B$4,DATOS!$I$2:$I$20000,"Música de Cámara"),"")))</f>
        <v/>
      </c>
      <c r="AC53" t="str">
        <f>IF(Y53="","",IF(Y53="[FÓRMULA MANUAL]","",IFERROR(SUMPRODUCT((DATOS!$A$2:$A$20000=Y53)*(DATOS!$G$2:$G$20000=CONFIG_METADATA!$B$4)*(COUNTIF(CONFIG_ASIGNATURAS!$B$7:$B$27,DATOS!$I$2:$I$20000)&gt;0)*(DATOS!$K$2:$K$20000))/SUMPRODUCT((DATOS!$A$2:$A$20000=Y53)*(DATOS!$G$2:$G$20000=CONFIG_METADATA!$B$4)*(COUNTIF(CONFIG_ASIGNATURAS!$B$7:$B$27,DATOS!$I$2:$I$20000)&gt;0)*1),"")))</f>
        <v/>
      </c>
      <c r="AF53" t="str">
        <f>IF(AE53="","",IF(AE53="[FÓRMULA MANUAL]","",IFERROR(AVERAGEIFS(DATOS!$K$2:$K$20000,DATOS!$A$2:$A$20000,AE53,DATOS!$G$2:$G$20000,CONFIG_METADATA!$B$4,DATOS!$I$2:$I$20000,"Análisis"),"")))</f>
        <v/>
      </c>
      <c r="AG53" t="str">
        <f>IF(AE53="","",IF(AE53="[FÓRMULA MANUAL]","",IFERROR(AVERAGEIFS(DATOS!$K$2:$K$20000,DATOS!$A$2:$A$20000,AE53,DATOS!$G$2:$G$20000,CONFIG_METADATA!$B$4,DATOS!$I$2:$I$20000,"Orquesta/Banda/Conjunto"),"")))</f>
        <v/>
      </c>
      <c r="AH53" t="str">
        <f>IF(AE53="","",IF(AE53="[FÓRMULA MANUAL]","",IFERROR(AVERAGEIFS(DATOS!$K$2:$K$20000,DATOS!$A$2:$A$20000,AE53,DATOS!$G$2:$G$20000,CONFIG_METADATA!$B$4,DATOS!$I$2:$I$20000,"Música de Cámara"),"")))</f>
        <v/>
      </c>
      <c r="AI53" t="str">
        <f>IF(AE53="","",IF(AE53="[FÓRMULA MANUAL]","",IFERROR(SUMPRODUCT((DATOS!$A$2:$A$20000=AE53)*(DATOS!$G$2:$G$20000=CONFIG_METADATA!$B$4)*(COUNTIF(CONFIG_ASIGNATURAS!$B$7:$B$27,DATOS!$I$2:$I$20000)&gt;0)*(DATOS!$K$2:$K$20000))/SUMPRODUCT((DATOS!$A$2:$A$20000=AE53)*(DATOS!$G$2:$G$20000=CONFIG_METADATA!$B$4)*(COUNTIF(CONFIG_ASIGNATURAS!$B$7:$B$27,DATOS!$I$2:$I$20000)&gt;0)*1),"")))</f>
        <v/>
      </c>
    </row>
    <row r="54" spans="2:35" x14ac:dyDescent="0.2">
      <c r="B54" t="str">
        <f>IF(A54="","",IF(A54="[FÓRMULA MANUAL]","",IFERROR(AVERAGEIFS(DATOS!$K$2:$K$20000,DATOS!$A$2:$A$20000,A54,DATOS!$G$2:$G$20000,CONFIG_METADATA!$B$4,DATOS!$I$2:$I$20000,"Lenguaje Musical"),"")))</f>
        <v/>
      </c>
      <c r="C54" t="str">
        <f>IF(A54="","",IF(A54="[FÓRMULA MANUAL]","",IFERROR(AVERAGEIFS(DATOS!$K$2:$K$20000,DATOS!$A$2:$A$20000,A54,DATOS!$G$2:$G$20000,CONFIG_METADATA!$B$4,DATOS!$I$2:$I$20000,"Orquesta/Banda/Conjunto"),"")))</f>
        <v/>
      </c>
      <c r="D54" t="str">
        <f>IF(A54="","",IF(A54="[FÓRMULA MANUAL]","",IFERROR(AVERAGEIFS(DATOS!$K$2:$K$20000,DATOS!$A$2:$A$20000,A54,DATOS!$G$2:$G$20000,CONFIG_METADATA!$B$4,DATOS!$I$2:$I$20000,"Conjunto"),"")))</f>
        <v/>
      </c>
      <c r="E54" t="str">
        <f>IF(A54="","",IF(A54="[FÓRMULA MANUAL]","",IFERROR(SUMPRODUCT((DATOS!$A$2:$A$20000=A54)*(DATOS!$G$2:$G$20000=CONFIG_METADATA!$B$4)*(COUNTIF(CONFIG_ASIGNATURAS!$B$7:$B$27,DATOS!$I$2:$I$20000)&gt;0)*(DATOS!$K$2:$K$20000))/SUMPRODUCT((DATOS!$A$2:$A$20000=A54)*(DATOS!$G$2:$G$20000=CONFIG_METADATA!$B$4)*(COUNTIF(CONFIG_ASIGNATURAS!$B$7:$B$27,DATOS!$I$2:$I$20000)&gt;0)*1),"")))</f>
        <v/>
      </c>
      <c r="H54" t="str">
        <f>IF(G54="","",IF(G54="[FÓRMULA MANUAL]","",IFERROR(AVERAGEIFS(DATOS!$K$2:$K$20000,DATOS!$A$2:$A$20000,G54,DATOS!$G$2:$G$20000,CONFIG_METADATA!$B$4,DATOS!$I$2:$I$20000,"Lenguaje Musical"),"")))</f>
        <v/>
      </c>
      <c r="I54" t="str">
        <f>IF(G54="","",IF(G54="[FÓRMULA MANUAL]","",IFERROR(AVERAGEIFS(DATOS!$K$2:$K$20000,DATOS!$A$2:$A$20000,G54,DATOS!$G$2:$G$20000,CONFIG_METADATA!$B$4,DATOS!$I$2:$I$20000,"Orquesta/Banda/Conjunto"),"")))</f>
        <v/>
      </c>
      <c r="J54" t="str">
        <f>IF(G54="","",IF(G54="[FÓRMULA MANUAL]","",IFERROR(AVERAGEIFS(DATOS!$K$2:$K$20000,DATOS!$A$2:$A$20000,G54,DATOS!$G$2:$G$20000,CONFIG_METADATA!$B$4,DATOS!$I$2:$I$20000,"Conjunto"),"")))</f>
        <v/>
      </c>
      <c r="K54" t="str">
        <f>IF(G54="","",IF(G54="[FÓRMULA MANUAL]","",IFERROR(SUMPRODUCT((DATOS!$A$2:$A$20000=G54)*(DATOS!$G$2:$G$20000=CONFIG_METADATA!$B$4)*(COUNTIF(CONFIG_ASIGNATURAS!$B$7:$B$27,DATOS!$I$2:$I$20000)&gt;0)*(DATOS!$K$2:$K$20000))/SUMPRODUCT((DATOS!$A$2:$A$20000=G54)*(DATOS!$G$2:$G$20000=CONFIG_METADATA!$B$4)*(COUNTIF(CONFIG_ASIGNATURAS!$B$7:$B$27,DATOS!$I$2:$I$20000)&gt;0)*1),"")))</f>
        <v/>
      </c>
      <c r="N54" t="str">
        <f>IF(M54="","",IF(M54="[FÓRMULA MANUAL]","",IFERROR(AVERAGEIFS(DATOS!$K$2:$K$20000,DATOS!$A$2:$A$20000,M54,DATOS!$G$2:$G$20000,CONFIG_METADATA!$B$4,DATOS!$I$2:$I$20000,"Armonía"),"")))</f>
        <v/>
      </c>
      <c r="O54" t="str">
        <f>IF(M54="","",IF(M54="[FÓRMULA MANUAL]","",IFERROR(AVERAGEIFS(DATOS!$K$2:$K$20000,DATOS!$A$2:$A$20000,M54,DATOS!$G$2:$G$20000,CONFIG_METADATA!$B$4,DATOS!$I$2:$I$20000,"Orquesta/Banda/Conjunto"),"")))</f>
        <v/>
      </c>
      <c r="P54" t="str">
        <f>IF(M54="","",IF(M54="[FÓRMULA MANUAL]","",IFERROR(AVERAGEIFS(DATOS!$K$2:$K$20000,DATOS!$A$2:$A$20000,M54,DATOS!$G$2:$G$20000,CONFIG_METADATA!$B$4,DATOS!$I$2:$I$20000,"Música de Cámara"),"")))</f>
        <v/>
      </c>
      <c r="Q54" t="str">
        <f>IF(M54="","",IF(M54="[FÓRMULA MANUAL]","",IFERROR(SUMPRODUCT((DATOS!$A$2:$A$20000=M54)*(DATOS!$G$2:$G$20000=CONFIG_METADATA!$B$4)*(COUNTIF(CONFIG_ASIGNATURAS!$B$7:$B$27,DATOS!$I$2:$I$20000)&gt;0)*(DATOS!$K$2:$K$20000))/SUMPRODUCT((DATOS!$A$2:$A$20000=M54)*(DATOS!$G$2:$G$20000=CONFIG_METADATA!$B$4)*(COUNTIF(CONFIG_ASIGNATURAS!$B$7:$B$27,DATOS!$I$2:$I$20000)&gt;0)*1),"")))</f>
        <v/>
      </c>
      <c r="T54" t="str">
        <f>IF(S54="","",IF(S54="[FÓRMULA MANUAL]","",IFERROR(AVERAGEIFS(DATOS!$K$2:$K$20000,DATOS!$A$2:$A$20000,S54,DATOS!$G$2:$G$20000,CONFIG_METADATA!$B$4,DATOS!$I$2:$I$20000,"Armonía"),"")))</f>
        <v/>
      </c>
      <c r="U54" t="str">
        <f>IF(S54="","",IF(S54="[FÓRMULA MANUAL]","",IFERROR(AVERAGEIFS(DATOS!$K$2:$K$20000,DATOS!$A$2:$A$20000,S54,DATOS!$G$2:$G$20000,CONFIG_METADATA!$B$4,DATOS!$I$2:$I$20000,"Orquesta/Banda/Conjunto"),"")))</f>
        <v/>
      </c>
      <c r="V54" t="str">
        <f>IF(S54="","",IF(S54="[FÓRMULA MANUAL]","",IFERROR(AVERAGEIFS(DATOS!$K$2:$K$20000,DATOS!$A$2:$A$20000,S54,DATOS!$G$2:$G$20000,CONFIG_METADATA!$B$4,DATOS!$I$2:$I$20000,"Música de Cámara"),"")))</f>
        <v/>
      </c>
      <c r="W54" t="str">
        <f>IF(S54="","",IF(S54="[FÓRMULA MANUAL]","",IFERROR(SUMPRODUCT((DATOS!$A$2:$A$20000=S54)*(DATOS!$G$2:$G$20000=CONFIG_METADATA!$B$4)*(COUNTIF(CONFIG_ASIGNATURAS!$B$7:$B$27,DATOS!$I$2:$I$20000)&gt;0)*(DATOS!$K$2:$K$20000))/SUMPRODUCT((DATOS!$A$2:$A$20000=S54)*(DATOS!$G$2:$G$20000=CONFIG_METADATA!$B$4)*(COUNTIF(CONFIG_ASIGNATURAS!$B$7:$B$27,DATOS!$I$2:$I$20000)&gt;0)*1),"")))</f>
        <v/>
      </c>
      <c r="Z54" t="str">
        <f>IF(Y54="","",IF(Y54="[FÓRMULA MANUAL]","",IFERROR(AVERAGEIFS(DATOS!$K$2:$K$20000,DATOS!$A$2:$A$20000,Y54,DATOS!$G$2:$G$20000,CONFIG_METADATA!$B$4,DATOS!$I$2:$I$20000,"Análisis"),"")))</f>
        <v/>
      </c>
      <c r="AA54" t="str">
        <f>IF(Y54="","",IF(Y54="[FÓRMULA MANUAL]","",IFERROR(AVERAGEIFS(DATOS!$K$2:$K$20000,DATOS!$A$2:$A$20000,Y54,DATOS!$G$2:$G$20000,CONFIG_METADATA!$B$4,DATOS!$I$2:$I$20000,"Orquesta/Banda/Conjunto"),"")))</f>
        <v/>
      </c>
      <c r="AB54" t="str">
        <f>IF(Y54="","",IF(Y54="[FÓRMULA MANUAL]","",IFERROR(AVERAGEIFS(DATOS!$K$2:$K$20000,DATOS!$A$2:$A$20000,Y54,DATOS!$G$2:$G$20000,CONFIG_METADATA!$B$4,DATOS!$I$2:$I$20000,"Música de Cámara"),"")))</f>
        <v/>
      </c>
      <c r="AC54" t="str">
        <f>IF(Y54="","",IF(Y54="[FÓRMULA MANUAL]","",IFERROR(SUMPRODUCT((DATOS!$A$2:$A$20000=Y54)*(DATOS!$G$2:$G$20000=CONFIG_METADATA!$B$4)*(COUNTIF(CONFIG_ASIGNATURAS!$B$7:$B$27,DATOS!$I$2:$I$20000)&gt;0)*(DATOS!$K$2:$K$20000))/SUMPRODUCT((DATOS!$A$2:$A$20000=Y54)*(DATOS!$G$2:$G$20000=CONFIG_METADATA!$B$4)*(COUNTIF(CONFIG_ASIGNATURAS!$B$7:$B$27,DATOS!$I$2:$I$20000)&gt;0)*1),"")))</f>
        <v/>
      </c>
      <c r="AF54" t="str">
        <f>IF(AE54="","",IF(AE54="[FÓRMULA MANUAL]","",IFERROR(AVERAGEIFS(DATOS!$K$2:$K$20000,DATOS!$A$2:$A$20000,AE54,DATOS!$G$2:$G$20000,CONFIG_METADATA!$B$4,DATOS!$I$2:$I$20000,"Análisis"),"")))</f>
        <v/>
      </c>
      <c r="AG54" t="str">
        <f>IF(AE54="","",IF(AE54="[FÓRMULA MANUAL]","",IFERROR(AVERAGEIFS(DATOS!$K$2:$K$20000,DATOS!$A$2:$A$20000,AE54,DATOS!$G$2:$G$20000,CONFIG_METADATA!$B$4,DATOS!$I$2:$I$20000,"Orquesta/Banda/Conjunto"),"")))</f>
        <v/>
      </c>
      <c r="AH54" t="str">
        <f>IF(AE54="","",IF(AE54="[FÓRMULA MANUAL]","",IFERROR(AVERAGEIFS(DATOS!$K$2:$K$20000,DATOS!$A$2:$A$20000,AE54,DATOS!$G$2:$G$20000,CONFIG_METADATA!$B$4,DATOS!$I$2:$I$20000,"Música de Cámara"),"")))</f>
        <v/>
      </c>
      <c r="AI54" t="str">
        <f>IF(AE54="","",IF(AE54="[FÓRMULA MANUAL]","",IFERROR(SUMPRODUCT((DATOS!$A$2:$A$20000=AE54)*(DATOS!$G$2:$G$20000=CONFIG_METADATA!$B$4)*(COUNTIF(CONFIG_ASIGNATURAS!$B$7:$B$27,DATOS!$I$2:$I$20000)&gt;0)*(DATOS!$K$2:$K$20000))/SUMPRODUCT((DATOS!$A$2:$A$20000=AE54)*(DATOS!$G$2:$G$20000=CONFIG_METADATA!$B$4)*(COUNTIF(CONFIG_ASIGNATURAS!$B$7:$B$27,DATOS!$I$2:$I$20000)&gt;0)*1),"")))</f>
        <v/>
      </c>
    </row>
    <row r="55" spans="2:35" x14ac:dyDescent="0.2">
      <c r="B55" t="str">
        <f>IF(A55="","",IF(A55="[FÓRMULA MANUAL]","",IFERROR(AVERAGEIFS(DATOS!$K$2:$K$20000,DATOS!$A$2:$A$20000,A55,DATOS!$G$2:$G$20000,CONFIG_METADATA!$B$4,DATOS!$I$2:$I$20000,"Lenguaje Musical"),"")))</f>
        <v/>
      </c>
      <c r="C55" t="str">
        <f>IF(A55="","",IF(A55="[FÓRMULA MANUAL]","",IFERROR(AVERAGEIFS(DATOS!$K$2:$K$20000,DATOS!$A$2:$A$20000,A55,DATOS!$G$2:$G$20000,CONFIG_METADATA!$B$4,DATOS!$I$2:$I$20000,"Orquesta/Banda/Conjunto"),"")))</f>
        <v/>
      </c>
      <c r="D55" t="str">
        <f>IF(A55="","",IF(A55="[FÓRMULA MANUAL]","",IFERROR(AVERAGEIFS(DATOS!$K$2:$K$20000,DATOS!$A$2:$A$20000,A55,DATOS!$G$2:$G$20000,CONFIG_METADATA!$B$4,DATOS!$I$2:$I$20000,"Conjunto"),"")))</f>
        <v/>
      </c>
      <c r="E55" t="str">
        <f>IF(A55="","",IF(A55="[FÓRMULA MANUAL]","",IFERROR(SUMPRODUCT((DATOS!$A$2:$A$20000=A55)*(DATOS!$G$2:$G$20000=CONFIG_METADATA!$B$4)*(COUNTIF(CONFIG_ASIGNATURAS!$B$7:$B$27,DATOS!$I$2:$I$20000)&gt;0)*(DATOS!$K$2:$K$20000))/SUMPRODUCT((DATOS!$A$2:$A$20000=A55)*(DATOS!$G$2:$G$20000=CONFIG_METADATA!$B$4)*(COUNTIF(CONFIG_ASIGNATURAS!$B$7:$B$27,DATOS!$I$2:$I$20000)&gt;0)*1),"")))</f>
        <v/>
      </c>
      <c r="H55" t="str">
        <f>IF(G55="","",IF(G55="[FÓRMULA MANUAL]","",IFERROR(AVERAGEIFS(DATOS!$K$2:$K$20000,DATOS!$A$2:$A$20000,G55,DATOS!$G$2:$G$20000,CONFIG_METADATA!$B$4,DATOS!$I$2:$I$20000,"Lenguaje Musical"),"")))</f>
        <v/>
      </c>
      <c r="I55" t="str">
        <f>IF(G55="","",IF(G55="[FÓRMULA MANUAL]","",IFERROR(AVERAGEIFS(DATOS!$K$2:$K$20000,DATOS!$A$2:$A$20000,G55,DATOS!$G$2:$G$20000,CONFIG_METADATA!$B$4,DATOS!$I$2:$I$20000,"Orquesta/Banda/Conjunto"),"")))</f>
        <v/>
      </c>
      <c r="J55" t="str">
        <f>IF(G55="","",IF(G55="[FÓRMULA MANUAL]","",IFERROR(AVERAGEIFS(DATOS!$K$2:$K$20000,DATOS!$A$2:$A$20000,G55,DATOS!$G$2:$G$20000,CONFIG_METADATA!$B$4,DATOS!$I$2:$I$20000,"Conjunto"),"")))</f>
        <v/>
      </c>
      <c r="K55" t="str">
        <f>IF(G55="","",IF(G55="[FÓRMULA MANUAL]","",IFERROR(SUMPRODUCT((DATOS!$A$2:$A$20000=G55)*(DATOS!$G$2:$G$20000=CONFIG_METADATA!$B$4)*(COUNTIF(CONFIG_ASIGNATURAS!$B$7:$B$27,DATOS!$I$2:$I$20000)&gt;0)*(DATOS!$K$2:$K$20000))/SUMPRODUCT((DATOS!$A$2:$A$20000=G55)*(DATOS!$G$2:$G$20000=CONFIG_METADATA!$B$4)*(COUNTIF(CONFIG_ASIGNATURAS!$B$7:$B$27,DATOS!$I$2:$I$20000)&gt;0)*1),"")))</f>
        <v/>
      </c>
      <c r="N55" t="str">
        <f>IF(M55="","",IF(M55="[FÓRMULA MANUAL]","",IFERROR(AVERAGEIFS(DATOS!$K$2:$K$20000,DATOS!$A$2:$A$20000,M55,DATOS!$G$2:$G$20000,CONFIG_METADATA!$B$4,DATOS!$I$2:$I$20000,"Armonía"),"")))</f>
        <v/>
      </c>
      <c r="O55" t="str">
        <f>IF(M55="","",IF(M55="[FÓRMULA MANUAL]","",IFERROR(AVERAGEIFS(DATOS!$K$2:$K$20000,DATOS!$A$2:$A$20000,M55,DATOS!$G$2:$G$20000,CONFIG_METADATA!$B$4,DATOS!$I$2:$I$20000,"Orquesta/Banda/Conjunto"),"")))</f>
        <v/>
      </c>
      <c r="P55" t="str">
        <f>IF(M55="","",IF(M55="[FÓRMULA MANUAL]","",IFERROR(AVERAGEIFS(DATOS!$K$2:$K$20000,DATOS!$A$2:$A$20000,M55,DATOS!$G$2:$G$20000,CONFIG_METADATA!$B$4,DATOS!$I$2:$I$20000,"Música de Cámara"),"")))</f>
        <v/>
      </c>
      <c r="Q55" t="str">
        <f>IF(M55="","",IF(M55="[FÓRMULA MANUAL]","",IFERROR(SUMPRODUCT((DATOS!$A$2:$A$20000=M55)*(DATOS!$G$2:$G$20000=CONFIG_METADATA!$B$4)*(COUNTIF(CONFIG_ASIGNATURAS!$B$7:$B$27,DATOS!$I$2:$I$20000)&gt;0)*(DATOS!$K$2:$K$20000))/SUMPRODUCT((DATOS!$A$2:$A$20000=M55)*(DATOS!$G$2:$G$20000=CONFIG_METADATA!$B$4)*(COUNTIF(CONFIG_ASIGNATURAS!$B$7:$B$27,DATOS!$I$2:$I$20000)&gt;0)*1),"")))</f>
        <v/>
      </c>
      <c r="T55" t="str">
        <f>IF(S55="","",IF(S55="[FÓRMULA MANUAL]","",IFERROR(AVERAGEIFS(DATOS!$K$2:$K$20000,DATOS!$A$2:$A$20000,S55,DATOS!$G$2:$G$20000,CONFIG_METADATA!$B$4,DATOS!$I$2:$I$20000,"Armonía"),"")))</f>
        <v/>
      </c>
      <c r="U55" t="str">
        <f>IF(S55="","",IF(S55="[FÓRMULA MANUAL]","",IFERROR(AVERAGEIFS(DATOS!$K$2:$K$20000,DATOS!$A$2:$A$20000,S55,DATOS!$G$2:$G$20000,CONFIG_METADATA!$B$4,DATOS!$I$2:$I$20000,"Orquesta/Banda/Conjunto"),"")))</f>
        <v/>
      </c>
      <c r="V55" t="str">
        <f>IF(S55="","",IF(S55="[FÓRMULA MANUAL]","",IFERROR(AVERAGEIFS(DATOS!$K$2:$K$20000,DATOS!$A$2:$A$20000,S55,DATOS!$G$2:$G$20000,CONFIG_METADATA!$B$4,DATOS!$I$2:$I$20000,"Música de Cámara"),"")))</f>
        <v/>
      </c>
      <c r="W55" t="str">
        <f>IF(S55="","",IF(S55="[FÓRMULA MANUAL]","",IFERROR(SUMPRODUCT((DATOS!$A$2:$A$20000=S55)*(DATOS!$G$2:$G$20000=CONFIG_METADATA!$B$4)*(COUNTIF(CONFIG_ASIGNATURAS!$B$7:$B$27,DATOS!$I$2:$I$20000)&gt;0)*(DATOS!$K$2:$K$20000))/SUMPRODUCT((DATOS!$A$2:$A$20000=S55)*(DATOS!$G$2:$G$20000=CONFIG_METADATA!$B$4)*(COUNTIF(CONFIG_ASIGNATURAS!$B$7:$B$27,DATOS!$I$2:$I$20000)&gt;0)*1),"")))</f>
        <v/>
      </c>
      <c r="Z55" t="str">
        <f>IF(Y55="","",IF(Y55="[FÓRMULA MANUAL]","",IFERROR(AVERAGEIFS(DATOS!$K$2:$K$20000,DATOS!$A$2:$A$20000,Y55,DATOS!$G$2:$G$20000,CONFIG_METADATA!$B$4,DATOS!$I$2:$I$20000,"Análisis"),"")))</f>
        <v/>
      </c>
      <c r="AA55" t="str">
        <f>IF(Y55="","",IF(Y55="[FÓRMULA MANUAL]","",IFERROR(AVERAGEIFS(DATOS!$K$2:$K$20000,DATOS!$A$2:$A$20000,Y55,DATOS!$G$2:$G$20000,CONFIG_METADATA!$B$4,DATOS!$I$2:$I$20000,"Orquesta/Banda/Conjunto"),"")))</f>
        <v/>
      </c>
      <c r="AB55" t="str">
        <f>IF(Y55="","",IF(Y55="[FÓRMULA MANUAL]","",IFERROR(AVERAGEIFS(DATOS!$K$2:$K$20000,DATOS!$A$2:$A$20000,Y55,DATOS!$G$2:$G$20000,CONFIG_METADATA!$B$4,DATOS!$I$2:$I$20000,"Música de Cámara"),"")))</f>
        <v/>
      </c>
      <c r="AC55" t="str">
        <f>IF(Y55="","",IF(Y55="[FÓRMULA MANUAL]","",IFERROR(SUMPRODUCT((DATOS!$A$2:$A$20000=Y55)*(DATOS!$G$2:$G$20000=CONFIG_METADATA!$B$4)*(COUNTIF(CONFIG_ASIGNATURAS!$B$7:$B$27,DATOS!$I$2:$I$20000)&gt;0)*(DATOS!$K$2:$K$20000))/SUMPRODUCT((DATOS!$A$2:$A$20000=Y55)*(DATOS!$G$2:$G$20000=CONFIG_METADATA!$B$4)*(COUNTIF(CONFIG_ASIGNATURAS!$B$7:$B$27,DATOS!$I$2:$I$20000)&gt;0)*1),"")))</f>
        <v/>
      </c>
      <c r="AF55" t="str">
        <f>IF(AE55="","",IF(AE55="[FÓRMULA MANUAL]","",IFERROR(AVERAGEIFS(DATOS!$K$2:$K$20000,DATOS!$A$2:$A$20000,AE55,DATOS!$G$2:$G$20000,CONFIG_METADATA!$B$4,DATOS!$I$2:$I$20000,"Análisis"),"")))</f>
        <v/>
      </c>
      <c r="AG55" t="str">
        <f>IF(AE55="","",IF(AE55="[FÓRMULA MANUAL]","",IFERROR(AVERAGEIFS(DATOS!$K$2:$K$20000,DATOS!$A$2:$A$20000,AE55,DATOS!$G$2:$G$20000,CONFIG_METADATA!$B$4,DATOS!$I$2:$I$20000,"Orquesta/Banda/Conjunto"),"")))</f>
        <v/>
      </c>
      <c r="AH55" t="str">
        <f>IF(AE55="","",IF(AE55="[FÓRMULA MANUAL]","",IFERROR(AVERAGEIFS(DATOS!$K$2:$K$20000,DATOS!$A$2:$A$20000,AE55,DATOS!$G$2:$G$20000,CONFIG_METADATA!$B$4,DATOS!$I$2:$I$20000,"Música de Cámara"),"")))</f>
        <v/>
      </c>
      <c r="AI55" t="str">
        <f>IF(AE55="","",IF(AE55="[FÓRMULA MANUAL]","",IFERROR(SUMPRODUCT((DATOS!$A$2:$A$20000=AE55)*(DATOS!$G$2:$G$20000=CONFIG_METADATA!$B$4)*(COUNTIF(CONFIG_ASIGNATURAS!$B$7:$B$27,DATOS!$I$2:$I$20000)&gt;0)*(DATOS!$K$2:$K$20000))/SUMPRODUCT((DATOS!$A$2:$A$20000=AE55)*(DATOS!$G$2:$G$20000=CONFIG_METADATA!$B$4)*(COUNTIF(CONFIG_ASIGNATURAS!$B$7:$B$27,DATOS!$I$2:$I$20000)&gt;0)*1),"")))</f>
        <v/>
      </c>
    </row>
    <row r="56" spans="2:35" x14ac:dyDescent="0.2">
      <c r="B56" t="str">
        <f>IF(A56="","",IF(A56="[FÓRMULA MANUAL]","",IFERROR(AVERAGEIFS(DATOS!$K$2:$K$20000,DATOS!$A$2:$A$20000,A56,DATOS!$G$2:$G$20000,CONFIG_METADATA!$B$4,DATOS!$I$2:$I$20000,"Lenguaje Musical"),"")))</f>
        <v/>
      </c>
      <c r="C56" t="str">
        <f>IF(A56="","",IF(A56="[FÓRMULA MANUAL]","",IFERROR(AVERAGEIFS(DATOS!$K$2:$K$20000,DATOS!$A$2:$A$20000,A56,DATOS!$G$2:$G$20000,CONFIG_METADATA!$B$4,DATOS!$I$2:$I$20000,"Orquesta/Banda/Conjunto"),"")))</f>
        <v/>
      </c>
      <c r="D56" t="str">
        <f>IF(A56="","",IF(A56="[FÓRMULA MANUAL]","",IFERROR(AVERAGEIFS(DATOS!$K$2:$K$20000,DATOS!$A$2:$A$20000,A56,DATOS!$G$2:$G$20000,CONFIG_METADATA!$B$4,DATOS!$I$2:$I$20000,"Conjunto"),"")))</f>
        <v/>
      </c>
      <c r="E56" t="str">
        <f>IF(A56="","",IF(A56="[FÓRMULA MANUAL]","",IFERROR(SUMPRODUCT((DATOS!$A$2:$A$20000=A56)*(DATOS!$G$2:$G$20000=CONFIG_METADATA!$B$4)*(COUNTIF(CONFIG_ASIGNATURAS!$B$7:$B$27,DATOS!$I$2:$I$20000)&gt;0)*(DATOS!$K$2:$K$20000))/SUMPRODUCT((DATOS!$A$2:$A$20000=A56)*(DATOS!$G$2:$G$20000=CONFIG_METADATA!$B$4)*(COUNTIF(CONFIG_ASIGNATURAS!$B$7:$B$27,DATOS!$I$2:$I$20000)&gt;0)*1),"")))</f>
        <v/>
      </c>
      <c r="H56" t="str">
        <f>IF(G56="","",IF(G56="[FÓRMULA MANUAL]","",IFERROR(AVERAGEIFS(DATOS!$K$2:$K$20000,DATOS!$A$2:$A$20000,G56,DATOS!$G$2:$G$20000,CONFIG_METADATA!$B$4,DATOS!$I$2:$I$20000,"Lenguaje Musical"),"")))</f>
        <v/>
      </c>
      <c r="I56" t="str">
        <f>IF(G56="","",IF(G56="[FÓRMULA MANUAL]","",IFERROR(AVERAGEIFS(DATOS!$K$2:$K$20000,DATOS!$A$2:$A$20000,G56,DATOS!$G$2:$G$20000,CONFIG_METADATA!$B$4,DATOS!$I$2:$I$20000,"Orquesta/Banda/Conjunto"),"")))</f>
        <v/>
      </c>
      <c r="J56" t="str">
        <f>IF(G56="","",IF(G56="[FÓRMULA MANUAL]","",IFERROR(AVERAGEIFS(DATOS!$K$2:$K$20000,DATOS!$A$2:$A$20000,G56,DATOS!$G$2:$G$20000,CONFIG_METADATA!$B$4,DATOS!$I$2:$I$20000,"Conjunto"),"")))</f>
        <v/>
      </c>
      <c r="K56" t="str">
        <f>IF(G56="","",IF(G56="[FÓRMULA MANUAL]","",IFERROR(SUMPRODUCT((DATOS!$A$2:$A$20000=G56)*(DATOS!$G$2:$G$20000=CONFIG_METADATA!$B$4)*(COUNTIF(CONFIG_ASIGNATURAS!$B$7:$B$27,DATOS!$I$2:$I$20000)&gt;0)*(DATOS!$K$2:$K$20000))/SUMPRODUCT((DATOS!$A$2:$A$20000=G56)*(DATOS!$G$2:$G$20000=CONFIG_METADATA!$B$4)*(COUNTIF(CONFIG_ASIGNATURAS!$B$7:$B$27,DATOS!$I$2:$I$20000)&gt;0)*1),"")))</f>
        <v/>
      </c>
      <c r="N56" t="str">
        <f>IF(M56="","",IF(M56="[FÓRMULA MANUAL]","",IFERROR(AVERAGEIFS(DATOS!$K$2:$K$20000,DATOS!$A$2:$A$20000,M56,DATOS!$G$2:$G$20000,CONFIG_METADATA!$B$4,DATOS!$I$2:$I$20000,"Armonía"),"")))</f>
        <v/>
      </c>
      <c r="O56" t="str">
        <f>IF(M56="","",IF(M56="[FÓRMULA MANUAL]","",IFERROR(AVERAGEIFS(DATOS!$K$2:$K$20000,DATOS!$A$2:$A$20000,M56,DATOS!$G$2:$G$20000,CONFIG_METADATA!$B$4,DATOS!$I$2:$I$20000,"Orquesta/Banda/Conjunto"),"")))</f>
        <v/>
      </c>
      <c r="P56" t="str">
        <f>IF(M56="","",IF(M56="[FÓRMULA MANUAL]","",IFERROR(AVERAGEIFS(DATOS!$K$2:$K$20000,DATOS!$A$2:$A$20000,M56,DATOS!$G$2:$G$20000,CONFIG_METADATA!$B$4,DATOS!$I$2:$I$20000,"Música de Cámara"),"")))</f>
        <v/>
      </c>
      <c r="Q56" t="str">
        <f>IF(M56="","",IF(M56="[FÓRMULA MANUAL]","",IFERROR(SUMPRODUCT((DATOS!$A$2:$A$20000=M56)*(DATOS!$G$2:$G$20000=CONFIG_METADATA!$B$4)*(COUNTIF(CONFIG_ASIGNATURAS!$B$7:$B$27,DATOS!$I$2:$I$20000)&gt;0)*(DATOS!$K$2:$K$20000))/SUMPRODUCT((DATOS!$A$2:$A$20000=M56)*(DATOS!$G$2:$G$20000=CONFIG_METADATA!$B$4)*(COUNTIF(CONFIG_ASIGNATURAS!$B$7:$B$27,DATOS!$I$2:$I$20000)&gt;0)*1),"")))</f>
        <v/>
      </c>
      <c r="T56" t="str">
        <f>IF(S56="","",IF(S56="[FÓRMULA MANUAL]","",IFERROR(AVERAGEIFS(DATOS!$K$2:$K$20000,DATOS!$A$2:$A$20000,S56,DATOS!$G$2:$G$20000,CONFIG_METADATA!$B$4,DATOS!$I$2:$I$20000,"Armonía"),"")))</f>
        <v/>
      </c>
      <c r="U56" t="str">
        <f>IF(S56="","",IF(S56="[FÓRMULA MANUAL]","",IFERROR(AVERAGEIFS(DATOS!$K$2:$K$20000,DATOS!$A$2:$A$20000,S56,DATOS!$G$2:$G$20000,CONFIG_METADATA!$B$4,DATOS!$I$2:$I$20000,"Orquesta/Banda/Conjunto"),"")))</f>
        <v/>
      </c>
      <c r="V56" t="str">
        <f>IF(S56="","",IF(S56="[FÓRMULA MANUAL]","",IFERROR(AVERAGEIFS(DATOS!$K$2:$K$20000,DATOS!$A$2:$A$20000,S56,DATOS!$G$2:$G$20000,CONFIG_METADATA!$B$4,DATOS!$I$2:$I$20000,"Música de Cámara"),"")))</f>
        <v/>
      </c>
      <c r="W56" t="str">
        <f>IF(S56="","",IF(S56="[FÓRMULA MANUAL]","",IFERROR(SUMPRODUCT((DATOS!$A$2:$A$20000=S56)*(DATOS!$G$2:$G$20000=CONFIG_METADATA!$B$4)*(COUNTIF(CONFIG_ASIGNATURAS!$B$7:$B$27,DATOS!$I$2:$I$20000)&gt;0)*(DATOS!$K$2:$K$20000))/SUMPRODUCT((DATOS!$A$2:$A$20000=S56)*(DATOS!$G$2:$G$20000=CONFIG_METADATA!$B$4)*(COUNTIF(CONFIG_ASIGNATURAS!$B$7:$B$27,DATOS!$I$2:$I$20000)&gt;0)*1),"")))</f>
        <v/>
      </c>
      <c r="Z56" t="str">
        <f>IF(Y56="","",IF(Y56="[FÓRMULA MANUAL]","",IFERROR(AVERAGEIFS(DATOS!$K$2:$K$20000,DATOS!$A$2:$A$20000,Y56,DATOS!$G$2:$G$20000,CONFIG_METADATA!$B$4,DATOS!$I$2:$I$20000,"Análisis"),"")))</f>
        <v/>
      </c>
      <c r="AA56" t="str">
        <f>IF(Y56="","",IF(Y56="[FÓRMULA MANUAL]","",IFERROR(AVERAGEIFS(DATOS!$K$2:$K$20000,DATOS!$A$2:$A$20000,Y56,DATOS!$G$2:$G$20000,CONFIG_METADATA!$B$4,DATOS!$I$2:$I$20000,"Orquesta/Banda/Conjunto"),"")))</f>
        <v/>
      </c>
      <c r="AB56" t="str">
        <f>IF(Y56="","",IF(Y56="[FÓRMULA MANUAL]","",IFERROR(AVERAGEIFS(DATOS!$K$2:$K$20000,DATOS!$A$2:$A$20000,Y56,DATOS!$G$2:$G$20000,CONFIG_METADATA!$B$4,DATOS!$I$2:$I$20000,"Música de Cámara"),"")))</f>
        <v/>
      </c>
      <c r="AC56" t="str">
        <f>IF(Y56="","",IF(Y56="[FÓRMULA MANUAL]","",IFERROR(SUMPRODUCT((DATOS!$A$2:$A$20000=Y56)*(DATOS!$G$2:$G$20000=CONFIG_METADATA!$B$4)*(COUNTIF(CONFIG_ASIGNATURAS!$B$7:$B$27,DATOS!$I$2:$I$20000)&gt;0)*(DATOS!$K$2:$K$20000))/SUMPRODUCT((DATOS!$A$2:$A$20000=Y56)*(DATOS!$G$2:$G$20000=CONFIG_METADATA!$B$4)*(COUNTIF(CONFIG_ASIGNATURAS!$B$7:$B$27,DATOS!$I$2:$I$20000)&gt;0)*1),"")))</f>
        <v/>
      </c>
      <c r="AF56" t="str">
        <f>IF(AE56="","",IF(AE56="[FÓRMULA MANUAL]","",IFERROR(AVERAGEIFS(DATOS!$K$2:$K$20000,DATOS!$A$2:$A$20000,AE56,DATOS!$G$2:$G$20000,CONFIG_METADATA!$B$4,DATOS!$I$2:$I$20000,"Análisis"),"")))</f>
        <v/>
      </c>
      <c r="AG56" t="str">
        <f>IF(AE56="","",IF(AE56="[FÓRMULA MANUAL]","",IFERROR(AVERAGEIFS(DATOS!$K$2:$K$20000,DATOS!$A$2:$A$20000,AE56,DATOS!$G$2:$G$20000,CONFIG_METADATA!$B$4,DATOS!$I$2:$I$20000,"Orquesta/Banda/Conjunto"),"")))</f>
        <v/>
      </c>
      <c r="AH56" t="str">
        <f>IF(AE56="","",IF(AE56="[FÓRMULA MANUAL]","",IFERROR(AVERAGEIFS(DATOS!$K$2:$K$20000,DATOS!$A$2:$A$20000,AE56,DATOS!$G$2:$G$20000,CONFIG_METADATA!$B$4,DATOS!$I$2:$I$20000,"Música de Cámara"),"")))</f>
        <v/>
      </c>
      <c r="AI56" t="str">
        <f>IF(AE56="","",IF(AE56="[FÓRMULA MANUAL]","",IFERROR(SUMPRODUCT((DATOS!$A$2:$A$20000=AE56)*(DATOS!$G$2:$G$20000=CONFIG_METADATA!$B$4)*(COUNTIF(CONFIG_ASIGNATURAS!$B$7:$B$27,DATOS!$I$2:$I$20000)&gt;0)*(DATOS!$K$2:$K$20000))/SUMPRODUCT((DATOS!$A$2:$A$20000=AE56)*(DATOS!$G$2:$G$20000=CONFIG_METADATA!$B$4)*(COUNTIF(CONFIG_ASIGNATURAS!$B$7:$B$27,DATOS!$I$2:$I$20000)&gt;0)*1),"")))</f>
        <v/>
      </c>
    </row>
    <row r="57" spans="2:35" x14ac:dyDescent="0.2">
      <c r="B57" t="str">
        <f>IF(A57="","",IF(A57="[FÓRMULA MANUAL]","",IFERROR(AVERAGEIFS(DATOS!$K$2:$K$20000,DATOS!$A$2:$A$20000,A57,DATOS!$G$2:$G$20000,CONFIG_METADATA!$B$4,DATOS!$I$2:$I$20000,"Lenguaje Musical"),"")))</f>
        <v/>
      </c>
      <c r="C57" t="str">
        <f>IF(A57="","",IF(A57="[FÓRMULA MANUAL]","",IFERROR(AVERAGEIFS(DATOS!$K$2:$K$20000,DATOS!$A$2:$A$20000,A57,DATOS!$G$2:$G$20000,CONFIG_METADATA!$B$4,DATOS!$I$2:$I$20000,"Orquesta/Banda/Conjunto"),"")))</f>
        <v/>
      </c>
      <c r="D57" t="str">
        <f>IF(A57="","",IF(A57="[FÓRMULA MANUAL]","",IFERROR(AVERAGEIFS(DATOS!$K$2:$K$20000,DATOS!$A$2:$A$20000,A57,DATOS!$G$2:$G$20000,CONFIG_METADATA!$B$4,DATOS!$I$2:$I$20000,"Conjunto"),"")))</f>
        <v/>
      </c>
      <c r="E57" t="str">
        <f>IF(A57="","",IF(A57="[FÓRMULA MANUAL]","",IFERROR(SUMPRODUCT((DATOS!$A$2:$A$20000=A57)*(DATOS!$G$2:$G$20000=CONFIG_METADATA!$B$4)*(COUNTIF(CONFIG_ASIGNATURAS!$B$7:$B$27,DATOS!$I$2:$I$20000)&gt;0)*(DATOS!$K$2:$K$20000))/SUMPRODUCT((DATOS!$A$2:$A$20000=A57)*(DATOS!$G$2:$G$20000=CONFIG_METADATA!$B$4)*(COUNTIF(CONFIG_ASIGNATURAS!$B$7:$B$27,DATOS!$I$2:$I$20000)&gt;0)*1),"")))</f>
        <v/>
      </c>
      <c r="H57" t="str">
        <f>IF(G57="","",IF(G57="[FÓRMULA MANUAL]","",IFERROR(AVERAGEIFS(DATOS!$K$2:$K$20000,DATOS!$A$2:$A$20000,G57,DATOS!$G$2:$G$20000,CONFIG_METADATA!$B$4,DATOS!$I$2:$I$20000,"Lenguaje Musical"),"")))</f>
        <v/>
      </c>
      <c r="I57" t="str">
        <f>IF(G57="","",IF(G57="[FÓRMULA MANUAL]","",IFERROR(AVERAGEIFS(DATOS!$K$2:$K$20000,DATOS!$A$2:$A$20000,G57,DATOS!$G$2:$G$20000,CONFIG_METADATA!$B$4,DATOS!$I$2:$I$20000,"Orquesta/Banda/Conjunto"),"")))</f>
        <v/>
      </c>
      <c r="J57" t="str">
        <f>IF(G57="","",IF(G57="[FÓRMULA MANUAL]","",IFERROR(AVERAGEIFS(DATOS!$K$2:$K$20000,DATOS!$A$2:$A$20000,G57,DATOS!$G$2:$G$20000,CONFIG_METADATA!$B$4,DATOS!$I$2:$I$20000,"Conjunto"),"")))</f>
        <v/>
      </c>
      <c r="K57" t="str">
        <f>IF(G57="","",IF(G57="[FÓRMULA MANUAL]","",IFERROR(SUMPRODUCT((DATOS!$A$2:$A$20000=G57)*(DATOS!$G$2:$G$20000=CONFIG_METADATA!$B$4)*(COUNTIF(CONFIG_ASIGNATURAS!$B$7:$B$27,DATOS!$I$2:$I$20000)&gt;0)*(DATOS!$K$2:$K$20000))/SUMPRODUCT((DATOS!$A$2:$A$20000=G57)*(DATOS!$G$2:$G$20000=CONFIG_METADATA!$B$4)*(COUNTIF(CONFIG_ASIGNATURAS!$B$7:$B$27,DATOS!$I$2:$I$20000)&gt;0)*1),"")))</f>
        <v/>
      </c>
      <c r="N57" t="str">
        <f>IF(M57="","",IF(M57="[FÓRMULA MANUAL]","",IFERROR(AVERAGEIFS(DATOS!$K$2:$K$20000,DATOS!$A$2:$A$20000,M57,DATOS!$G$2:$G$20000,CONFIG_METADATA!$B$4,DATOS!$I$2:$I$20000,"Armonía"),"")))</f>
        <v/>
      </c>
      <c r="O57" t="str">
        <f>IF(M57="","",IF(M57="[FÓRMULA MANUAL]","",IFERROR(AVERAGEIFS(DATOS!$K$2:$K$20000,DATOS!$A$2:$A$20000,M57,DATOS!$G$2:$G$20000,CONFIG_METADATA!$B$4,DATOS!$I$2:$I$20000,"Orquesta/Banda/Conjunto"),"")))</f>
        <v/>
      </c>
      <c r="P57" t="str">
        <f>IF(M57="","",IF(M57="[FÓRMULA MANUAL]","",IFERROR(AVERAGEIFS(DATOS!$K$2:$K$20000,DATOS!$A$2:$A$20000,M57,DATOS!$G$2:$G$20000,CONFIG_METADATA!$B$4,DATOS!$I$2:$I$20000,"Música de Cámara"),"")))</f>
        <v/>
      </c>
      <c r="Q57" t="str">
        <f>IF(M57="","",IF(M57="[FÓRMULA MANUAL]","",IFERROR(SUMPRODUCT((DATOS!$A$2:$A$20000=M57)*(DATOS!$G$2:$G$20000=CONFIG_METADATA!$B$4)*(COUNTIF(CONFIG_ASIGNATURAS!$B$7:$B$27,DATOS!$I$2:$I$20000)&gt;0)*(DATOS!$K$2:$K$20000))/SUMPRODUCT((DATOS!$A$2:$A$20000=M57)*(DATOS!$G$2:$G$20000=CONFIG_METADATA!$B$4)*(COUNTIF(CONFIG_ASIGNATURAS!$B$7:$B$27,DATOS!$I$2:$I$20000)&gt;0)*1),"")))</f>
        <v/>
      </c>
      <c r="T57" t="str">
        <f>IF(S57="","",IF(S57="[FÓRMULA MANUAL]","",IFERROR(AVERAGEIFS(DATOS!$K$2:$K$20000,DATOS!$A$2:$A$20000,S57,DATOS!$G$2:$G$20000,CONFIG_METADATA!$B$4,DATOS!$I$2:$I$20000,"Armonía"),"")))</f>
        <v/>
      </c>
      <c r="U57" t="str">
        <f>IF(S57="","",IF(S57="[FÓRMULA MANUAL]","",IFERROR(AVERAGEIFS(DATOS!$K$2:$K$20000,DATOS!$A$2:$A$20000,S57,DATOS!$G$2:$G$20000,CONFIG_METADATA!$B$4,DATOS!$I$2:$I$20000,"Orquesta/Banda/Conjunto"),"")))</f>
        <v/>
      </c>
      <c r="V57" t="str">
        <f>IF(S57="","",IF(S57="[FÓRMULA MANUAL]","",IFERROR(AVERAGEIFS(DATOS!$K$2:$K$20000,DATOS!$A$2:$A$20000,S57,DATOS!$G$2:$G$20000,CONFIG_METADATA!$B$4,DATOS!$I$2:$I$20000,"Música de Cámara"),"")))</f>
        <v/>
      </c>
      <c r="W57" t="str">
        <f>IF(S57="","",IF(S57="[FÓRMULA MANUAL]","",IFERROR(SUMPRODUCT((DATOS!$A$2:$A$20000=S57)*(DATOS!$G$2:$G$20000=CONFIG_METADATA!$B$4)*(COUNTIF(CONFIG_ASIGNATURAS!$B$7:$B$27,DATOS!$I$2:$I$20000)&gt;0)*(DATOS!$K$2:$K$20000))/SUMPRODUCT((DATOS!$A$2:$A$20000=S57)*(DATOS!$G$2:$G$20000=CONFIG_METADATA!$B$4)*(COUNTIF(CONFIG_ASIGNATURAS!$B$7:$B$27,DATOS!$I$2:$I$20000)&gt;0)*1),"")))</f>
        <v/>
      </c>
      <c r="Z57" t="str">
        <f>IF(Y57="","",IF(Y57="[FÓRMULA MANUAL]","",IFERROR(AVERAGEIFS(DATOS!$K$2:$K$20000,DATOS!$A$2:$A$20000,Y57,DATOS!$G$2:$G$20000,CONFIG_METADATA!$B$4,DATOS!$I$2:$I$20000,"Análisis"),"")))</f>
        <v/>
      </c>
      <c r="AA57" t="str">
        <f>IF(Y57="","",IF(Y57="[FÓRMULA MANUAL]","",IFERROR(AVERAGEIFS(DATOS!$K$2:$K$20000,DATOS!$A$2:$A$20000,Y57,DATOS!$G$2:$G$20000,CONFIG_METADATA!$B$4,DATOS!$I$2:$I$20000,"Orquesta/Banda/Conjunto"),"")))</f>
        <v/>
      </c>
      <c r="AB57" t="str">
        <f>IF(Y57="","",IF(Y57="[FÓRMULA MANUAL]","",IFERROR(AVERAGEIFS(DATOS!$K$2:$K$20000,DATOS!$A$2:$A$20000,Y57,DATOS!$G$2:$G$20000,CONFIG_METADATA!$B$4,DATOS!$I$2:$I$20000,"Música de Cámara"),"")))</f>
        <v/>
      </c>
      <c r="AC57" t="str">
        <f>IF(Y57="","",IF(Y57="[FÓRMULA MANUAL]","",IFERROR(SUMPRODUCT((DATOS!$A$2:$A$20000=Y57)*(DATOS!$G$2:$G$20000=CONFIG_METADATA!$B$4)*(COUNTIF(CONFIG_ASIGNATURAS!$B$7:$B$27,DATOS!$I$2:$I$20000)&gt;0)*(DATOS!$K$2:$K$20000))/SUMPRODUCT((DATOS!$A$2:$A$20000=Y57)*(DATOS!$G$2:$G$20000=CONFIG_METADATA!$B$4)*(COUNTIF(CONFIG_ASIGNATURAS!$B$7:$B$27,DATOS!$I$2:$I$20000)&gt;0)*1),"")))</f>
        <v/>
      </c>
      <c r="AF57" t="str">
        <f>IF(AE57="","",IF(AE57="[FÓRMULA MANUAL]","",IFERROR(AVERAGEIFS(DATOS!$K$2:$K$20000,DATOS!$A$2:$A$20000,AE57,DATOS!$G$2:$G$20000,CONFIG_METADATA!$B$4,DATOS!$I$2:$I$20000,"Análisis"),"")))</f>
        <v/>
      </c>
      <c r="AG57" t="str">
        <f>IF(AE57="","",IF(AE57="[FÓRMULA MANUAL]","",IFERROR(AVERAGEIFS(DATOS!$K$2:$K$20000,DATOS!$A$2:$A$20000,AE57,DATOS!$G$2:$G$20000,CONFIG_METADATA!$B$4,DATOS!$I$2:$I$20000,"Orquesta/Banda/Conjunto"),"")))</f>
        <v/>
      </c>
      <c r="AH57" t="str">
        <f>IF(AE57="","",IF(AE57="[FÓRMULA MANUAL]","",IFERROR(AVERAGEIFS(DATOS!$K$2:$K$20000,DATOS!$A$2:$A$20000,AE57,DATOS!$G$2:$G$20000,CONFIG_METADATA!$B$4,DATOS!$I$2:$I$20000,"Música de Cámara"),"")))</f>
        <v/>
      </c>
      <c r="AI57" t="str">
        <f>IF(AE57="","",IF(AE57="[FÓRMULA MANUAL]","",IFERROR(SUMPRODUCT((DATOS!$A$2:$A$20000=AE57)*(DATOS!$G$2:$G$20000=CONFIG_METADATA!$B$4)*(COUNTIF(CONFIG_ASIGNATURAS!$B$7:$B$27,DATOS!$I$2:$I$20000)&gt;0)*(DATOS!$K$2:$K$20000))/SUMPRODUCT((DATOS!$A$2:$A$20000=AE57)*(DATOS!$G$2:$G$20000=CONFIG_METADATA!$B$4)*(COUNTIF(CONFIG_ASIGNATURAS!$B$7:$B$27,DATOS!$I$2:$I$20000)&gt;0)*1),"")))</f>
        <v/>
      </c>
    </row>
    <row r="58" spans="2:35" x14ac:dyDescent="0.2">
      <c r="B58" t="str">
        <f>IF(A58="","",IF(A58="[FÓRMULA MANUAL]","",IFERROR(AVERAGEIFS(DATOS!$K$2:$K$20000,DATOS!$A$2:$A$20000,A58,DATOS!$G$2:$G$20000,CONFIG_METADATA!$B$4,DATOS!$I$2:$I$20000,"Lenguaje Musical"),"")))</f>
        <v/>
      </c>
      <c r="C58" t="str">
        <f>IF(A58="","",IF(A58="[FÓRMULA MANUAL]","",IFERROR(AVERAGEIFS(DATOS!$K$2:$K$20000,DATOS!$A$2:$A$20000,A58,DATOS!$G$2:$G$20000,CONFIG_METADATA!$B$4,DATOS!$I$2:$I$20000,"Orquesta/Banda/Conjunto"),"")))</f>
        <v/>
      </c>
      <c r="D58" t="str">
        <f>IF(A58="","",IF(A58="[FÓRMULA MANUAL]","",IFERROR(AVERAGEIFS(DATOS!$K$2:$K$20000,DATOS!$A$2:$A$20000,A58,DATOS!$G$2:$G$20000,CONFIG_METADATA!$B$4,DATOS!$I$2:$I$20000,"Conjunto"),"")))</f>
        <v/>
      </c>
      <c r="E58" t="str">
        <f>IF(A58="","",IF(A58="[FÓRMULA MANUAL]","",IFERROR(SUMPRODUCT((DATOS!$A$2:$A$20000=A58)*(DATOS!$G$2:$G$20000=CONFIG_METADATA!$B$4)*(COUNTIF(CONFIG_ASIGNATURAS!$B$7:$B$27,DATOS!$I$2:$I$20000)&gt;0)*(DATOS!$K$2:$K$20000))/SUMPRODUCT((DATOS!$A$2:$A$20000=A58)*(DATOS!$G$2:$G$20000=CONFIG_METADATA!$B$4)*(COUNTIF(CONFIG_ASIGNATURAS!$B$7:$B$27,DATOS!$I$2:$I$20000)&gt;0)*1),"")))</f>
        <v/>
      </c>
      <c r="H58" t="str">
        <f>IF(G58="","",IF(G58="[FÓRMULA MANUAL]","",IFERROR(AVERAGEIFS(DATOS!$K$2:$K$20000,DATOS!$A$2:$A$20000,G58,DATOS!$G$2:$G$20000,CONFIG_METADATA!$B$4,DATOS!$I$2:$I$20000,"Lenguaje Musical"),"")))</f>
        <v/>
      </c>
      <c r="I58" t="str">
        <f>IF(G58="","",IF(G58="[FÓRMULA MANUAL]","",IFERROR(AVERAGEIFS(DATOS!$K$2:$K$20000,DATOS!$A$2:$A$20000,G58,DATOS!$G$2:$G$20000,CONFIG_METADATA!$B$4,DATOS!$I$2:$I$20000,"Orquesta/Banda/Conjunto"),"")))</f>
        <v/>
      </c>
      <c r="J58" t="str">
        <f>IF(G58="","",IF(G58="[FÓRMULA MANUAL]","",IFERROR(AVERAGEIFS(DATOS!$K$2:$K$20000,DATOS!$A$2:$A$20000,G58,DATOS!$G$2:$G$20000,CONFIG_METADATA!$B$4,DATOS!$I$2:$I$20000,"Conjunto"),"")))</f>
        <v/>
      </c>
      <c r="K58" t="str">
        <f>IF(G58="","",IF(G58="[FÓRMULA MANUAL]","",IFERROR(SUMPRODUCT((DATOS!$A$2:$A$20000=G58)*(DATOS!$G$2:$G$20000=CONFIG_METADATA!$B$4)*(COUNTIF(CONFIG_ASIGNATURAS!$B$7:$B$27,DATOS!$I$2:$I$20000)&gt;0)*(DATOS!$K$2:$K$20000))/SUMPRODUCT((DATOS!$A$2:$A$20000=G58)*(DATOS!$G$2:$G$20000=CONFIG_METADATA!$B$4)*(COUNTIF(CONFIG_ASIGNATURAS!$B$7:$B$27,DATOS!$I$2:$I$20000)&gt;0)*1),"")))</f>
        <v/>
      </c>
      <c r="N58" t="str">
        <f>IF(M58="","",IF(M58="[FÓRMULA MANUAL]","",IFERROR(AVERAGEIFS(DATOS!$K$2:$K$20000,DATOS!$A$2:$A$20000,M58,DATOS!$G$2:$G$20000,CONFIG_METADATA!$B$4,DATOS!$I$2:$I$20000,"Armonía"),"")))</f>
        <v/>
      </c>
      <c r="O58" t="str">
        <f>IF(M58="","",IF(M58="[FÓRMULA MANUAL]","",IFERROR(AVERAGEIFS(DATOS!$K$2:$K$20000,DATOS!$A$2:$A$20000,M58,DATOS!$G$2:$G$20000,CONFIG_METADATA!$B$4,DATOS!$I$2:$I$20000,"Orquesta/Banda/Conjunto"),"")))</f>
        <v/>
      </c>
      <c r="P58" t="str">
        <f>IF(M58="","",IF(M58="[FÓRMULA MANUAL]","",IFERROR(AVERAGEIFS(DATOS!$K$2:$K$20000,DATOS!$A$2:$A$20000,M58,DATOS!$G$2:$G$20000,CONFIG_METADATA!$B$4,DATOS!$I$2:$I$20000,"Música de Cámara"),"")))</f>
        <v/>
      </c>
      <c r="Q58" t="str">
        <f>IF(M58="","",IF(M58="[FÓRMULA MANUAL]","",IFERROR(SUMPRODUCT((DATOS!$A$2:$A$20000=M58)*(DATOS!$G$2:$G$20000=CONFIG_METADATA!$B$4)*(COUNTIF(CONFIG_ASIGNATURAS!$B$7:$B$27,DATOS!$I$2:$I$20000)&gt;0)*(DATOS!$K$2:$K$20000))/SUMPRODUCT((DATOS!$A$2:$A$20000=M58)*(DATOS!$G$2:$G$20000=CONFIG_METADATA!$B$4)*(COUNTIF(CONFIG_ASIGNATURAS!$B$7:$B$27,DATOS!$I$2:$I$20000)&gt;0)*1),"")))</f>
        <v/>
      </c>
      <c r="T58" t="str">
        <f>IF(S58="","",IF(S58="[FÓRMULA MANUAL]","",IFERROR(AVERAGEIFS(DATOS!$K$2:$K$20000,DATOS!$A$2:$A$20000,S58,DATOS!$G$2:$G$20000,CONFIG_METADATA!$B$4,DATOS!$I$2:$I$20000,"Armonía"),"")))</f>
        <v/>
      </c>
      <c r="U58" t="str">
        <f>IF(S58="","",IF(S58="[FÓRMULA MANUAL]","",IFERROR(AVERAGEIFS(DATOS!$K$2:$K$20000,DATOS!$A$2:$A$20000,S58,DATOS!$G$2:$G$20000,CONFIG_METADATA!$B$4,DATOS!$I$2:$I$20000,"Orquesta/Banda/Conjunto"),"")))</f>
        <v/>
      </c>
      <c r="V58" t="str">
        <f>IF(S58="","",IF(S58="[FÓRMULA MANUAL]","",IFERROR(AVERAGEIFS(DATOS!$K$2:$K$20000,DATOS!$A$2:$A$20000,S58,DATOS!$G$2:$G$20000,CONFIG_METADATA!$B$4,DATOS!$I$2:$I$20000,"Música de Cámara"),"")))</f>
        <v/>
      </c>
      <c r="W58" t="str">
        <f>IF(S58="","",IF(S58="[FÓRMULA MANUAL]","",IFERROR(SUMPRODUCT((DATOS!$A$2:$A$20000=S58)*(DATOS!$G$2:$G$20000=CONFIG_METADATA!$B$4)*(COUNTIF(CONFIG_ASIGNATURAS!$B$7:$B$27,DATOS!$I$2:$I$20000)&gt;0)*(DATOS!$K$2:$K$20000))/SUMPRODUCT((DATOS!$A$2:$A$20000=S58)*(DATOS!$G$2:$G$20000=CONFIG_METADATA!$B$4)*(COUNTIF(CONFIG_ASIGNATURAS!$B$7:$B$27,DATOS!$I$2:$I$20000)&gt;0)*1),"")))</f>
        <v/>
      </c>
      <c r="Z58" t="str">
        <f>IF(Y58="","",IF(Y58="[FÓRMULA MANUAL]","",IFERROR(AVERAGEIFS(DATOS!$K$2:$K$20000,DATOS!$A$2:$A$20000,Y58,DATOS!$G$2:$G$20000,CONFIG_METADATA!$B$4,DATOS!$I$2:$I$20000,"Análisis"),"")))</f>
        <v/>
      </c>
      <c r="AA58" t="str">
        <f>IF(Y58="","",IF(Y58="[FÓRMULA MANUAL]","",IFERROR(AVERAGEIFS(DATOS!$K$2:$K$20000,DATOS!$A$2:$A$20000,Y58,DATOS!$G$2:$G$20000,CONFIG_METADATA!$B$4,DATOS!$I$2:$I$20000,"Orquesta/Banda/Conjunto"),"")))</f>
        <v/>
      </c>
      <c r="AB58" t="str">
        <f>IF(Y58="","",IF(Y58="[FÓRMULA MANUAL]","",IFERROR(AVERAGEIFS(DATOS!$K$2:$K$20000,DATOS!$A$2:$A$20000,Y58,DATOS!$G$2:$G$20000,CONFIG_METADATA!$B$4,DATOS!$I$2:$I$20000,"Música de Cámara"),"")))</f>
        <v/>
      </c>
      <c r="AC58" t="str">
        <f>IF(Y58="","",IF(Y58="[FÓRMULA MANUAL]","",IFERROR(SUMPRODUCT((DATOS!$A$2:$A$20000=Y58)*(DATOS!$G$2:$G$20000=CONFIG_METADATA!$B$4)*(COUNTIF(CONFIG_ASIGNATURAS!$B$7:$B$27,DATOS!$I$2:$I$20000)&gt;0)*(DATOS!$K$2:$K$20000))/SUMPRODUCT((DATOS!$A$2:$A$20000=Y58)*(DATOS!$G$2:$G$20000=CONFIG_METADATA!$B$4)*(COUNTIF(CONFIG_ASIGNATURAS!$B$7:$B$27,DATOS!$I$2:$I$20000)&gt;0)*1),"")))</f>
        <v/>
      </c>
      <c r="AF58" t="str">
        <f>IF(AE58="","",IF(AE58="[FÓRMULA MANUAL]","",IFERROR(AVERAGEIFS(DATOS!$K$2:$K$20000,DATOS!$A$2:$A$20000,AE58,DATOS!$G$2:$G$20000,CONFIG_METADATA!$B$4,DATOS!$I$2:$I$20000,"Análisis"),"")))</f>
        <v/>
      </c>
      <c r="AG58" t="str">
        <f>IF(AE58="","",IF(AE58="[FÓRMULA MANUAL]","",IFERROR(AVERAGEIFS(DATOS!$K$2:$K$20000,DATOS!$A$2:$A$20000,AE58,DATOS!$G$2:$G$20000,CONFIG_METADATA!$B$4,DATOS!$I$2:$I$20000,"Orquesta/Banda/Conjunto"),"")))</f>
        <v/>
      </c>
      <c r="AH58" t="str">
        <f>IF(AE58="","",IF(AE58="[FÓRMULA MANUAL]","",IFERROR(AVERAGEIFS(DATOS!$K$2:$K$20000,DATOS!$A$2:$A$20000,AE58,DATOS!$G$2:$G$20000,CONFIG_METADATA!$B$4,DATOS!$I$2:$I$20000,"Música de Cámara"),"")))</f>
        <v/>
      </c>
      <c r="AI58" t="str">
        <f>IF(AE58="","",IF(AE58="[FÓRMULA MANUAL]","",IFERROR(SUMPRODUCT((DATOS!$A$2:$A$20000=AE58)*(DATOS!$G$2:$G$20000=CONFIG_METADATA!$B$4)*(COUNTIF(CONFIG_ASIGNATURAS!$B$7:$B$27,DATOS!$I$2:$I$20000)&gt;0)*(DATOS!$K$2:$K$20000))/SUMPRODUCT((DATOS!$A$2:$A$20000=AE58)*(DATOS!$G$2:$G$20000=CONFIG_METADATA!$B$4)*(COUNTIF(CONFIG_ASIGNATURAS!$B$7:$B$27,DATOS!$I$2:$I$20000)&gt;0)*1),"")))</f>
        <v/>
      </c>
    </row>
    <row r="59" spans="2:35" x14ac:dyDescent="0.2">
      <c r="B59" t="str">
        <f>IF(A59="","",IF(A59="[FÓRMULA MANUAL]","",IFERROR(AVERAGEIFS(DATOS!$K$2:$K$20000,DATOS!$A$2:$A$20000,A59,DATOS!$G$2:$G$20000,CONFIG_METADATA!$B$4,DATOS!$I$2:$I$20000,"Lenguaje Musical"),"")))</f>
        <v/>
      </c>
      <c r="C59" t="str">
        <f>IF(A59="","",IF(A59="[FÓRMULA MANUAL]","",IFERROR(AVERAGEIFS(DATOS!$K$2:$K$20000,DATOS!$A$2:$A$20000,A59,DATOS!$G$2:$G$20000,CONFIG_METADATA!$B$4,DATOS!$I$2:$I$20000,"Orquesta/Banda/Conjunto"),"")))</f>
        <v/>
      </c>
      <c r="D59" t="str">
        <f>IF(A59="","",IF(A59="[FÓRMULA MANUAL]","",IFERROR(AVERAGEIFS(DATOS!$K$2:$K$20000,DATOS!$A$2:$A$20000,A59,DATOS!$G$2:$G$20000,CONFIG_METADATA!$B$4,DATOS!$I$2:$I$20000,"Conjunto"),"")))</f>
        <v/>
      </c>
      <c r="E59" t="str">
        <f>IF(A59="","",IF(A59="[FÓRMULA MANUAL]","",IFERROR(SUMPRODUCT((DATOS!$A$2:$A$20000=A59)*(DATOS!$G$2:$G$20000=CONFIG_METADATA!$B$4)*(COUNTIF(CONFIG_ASIGNATURAS!$B$7:$B$27,DATOS!$I$2:$I$20000)&gt;0)*(DATOS!$K$2:$K$20000))/SUMPRODUCT((DATOS!$A$2:$A$20000=A59)*(DATOS!$G$2:$G$20000=CONFIG_METADATA!$B$4)*(COUNTIF(CONFIG_ASIGNATURAS!$B$7:$B$27,DATOS!$I$2:$I$20000)&gt;0)*1),"")))</f>
        <v/>
      </c>
      <c r="H59" t="str">
        <f>IF(G59="","",IF(G59="[FÓRMULA MANUAL]","",IFERROR(AVERAGEIFS(DATOS!$K$2:$K$20000,DATOS!$A$2:$A$20000,G59,DATOS!$G$2:$G$20000,CONFIG_METADATA!$B$4,DATOS!$I$2:$I$20000,"Lenguaje Musical"),"")))</f>
        <v/>
      </c>
      <c r="I59" t="str">
        <f>IF(G59="","",IF(G59="[FÓRMULA MANUAL]","",IFERROR(AVERAGEIFS(DATOS!$K$2:$K$20000,DATOS!$A$2:$A$20000,G59,DATOS!$G$2:$G$20000,CONFIG_METADATA!$B$4,DATOS!$I$2:$I$20000,"Orquesta/Banda/Conjunto"),"")))</f>
        <v/>
      </c>
      <c r="J59" t="str">
        <f>IF(G59="","",IF(G59="[FÓRMULA MANUAL]","",IFERROR(AVERAGEIFS(DATOS!$K$2:$K$20000,DATOS!$A$2:$A$20000,G59,DATOS!$G$2:$G$20000,CONFIG_METADATA!$B$4,DATOS!$I$2:$I$20000,"Conjunto"),"")))</f>
        <v/>
      </c>
      <c r="K59" t="str">
        <f>IF(G59="","",IF(G59="[FÓRMULA MANUAL]","",IFERROR(SUMPRODUCT((DATOS!$A$2:$A$20000=G59)*(DATOS!$G$2:$G$20000=CONFIG_METADATA!$B$4)*(COUNTIF(CONFIG_ASIGNATURAS!$B$7:$B$27,DATOS!$I$2:$I$20000)&gt;0)*(DATOS!$K$2:$K$20000))/SUMPRODUCT((DATOS!$A$2:$A$20000=G59)*(DATOS!$G$2:$G$20000=CONFIG_METADATA!$B$4)*(COUNTIF(CONFIG_ASIGNATURAS!$B$7:$B$27,DATOS!$I$2:$I$20000)&gt;0)*1),"")))</f>
        <v/>
      </c>
      <c r="N59" t="str">
        <f>IF(M59="","",IF(M59="[FÓRMULA MANUAL]","",IFERROR(AVERAGEIFS(DATOS!$K$2:$K$20000,DATOS!$A$2:$A$20000,M59,DATOS!$G$2:$G$20000,CONFIG_METADATA!$B$4,DATOS!$I$2:$I$20000,"Armonía"),"")))</f>
        <v/>
      </c>
      <c r="O59" t="str">
        <f>IF(M59="","",IF(M59="[FÓRMULA MANUAL]","",IFERROR(AVERAGEIFS(DATOS!$K$2:$K$20000,DATOS!$A$2:$A$20000,M59,DATOS!$G$2:$G$20000,CONFIG_METADATA!$B$4,DATOS!$I$2:$I$20000,"Orquesta/Banda/Conjunto"),"")))</f>
        <v/>
      </c>
      <c r="P59" t="str">
        <f>IF(M59="","",IF(M59="[FÓRMULA MANUAL]","",IFERROR(AVERAGEIFS(DATOS!$K$2:$K$20000,DATOS!$A$2:$A$20000,M59,DATOS!$G$2:$G$20000,CONFIG_METADATA!$B$4,DATOS!$I$2:$I$20000,"Música de Cámara"),"")))</f>
        <v/>
      </c>
      <c r="Q59" t="str">
        <f>IF(M59="","",IF(M59="[FÓRMULA MANUAL]","",IFERROR(SUMPRODUCT((DATOS!$A$2:$A$20000=M59)*(DATOS!$G$2:$G$20000=CONFIG_METADATA!$B$4)*(COUNTIF(CONFIG_ASIGNATURAS!$B$7:$B$27,DATOS!$I$2:$I$20000)&gt;0)*(DATOS!$K$2:$K$20000))/SUMPRODUCT((DATOS!$A$2:$A$20000=M59)*(DATOS!$G$2:$G$20000=CONFIG_METADATA!$B$4)*(COUNTIF(CONFIG_ASIGNATURAS!$B$7:$B$27,DATOS!$I$2:$I$20000)&gt;0)*1),"")))</f>
        <v/>
      </c>
      <c r="T59" t="str">
        <f>IF(S59="","",IF(S59="[FÓRMULA MANUAL]","",IFERROR(AVERAGEIFS(DATOS!$K$2:$K$20000,DATOS!$A$2:$A$20000,S59,DATOS!$G$2:$G$20000,CONFIG_METADATA!$B$4,DATOS!$I$2:$I$20000,"Armonía"),"")))</f>
        <v/>
      </c>
      <c r="U59" t="str">
        <f>IF(S59="","",IF(S59="[FÓRMULA MANUAL]","",IFERROR(AVERAGEIFS(DATOS!$K$2:$K$20000,DATOS!$A$2:$A$20000,S59,DATOS!$G$2:$G$20000,CONFIG_METADATA!$B$4,DATOS!$I$2:$I$20000,"Orquesta/Banda/Conjunto"),"")))</f>
        <v/>
      </c>
      <c r="V59" t="str">
        <f>IF(S59="","",IF(S59="[FÓRMULA MANUAL]","",IFERROR(AVERAGEIFS(DATOS!$K$2:$K$20000,DATOS!$A$2:$A$20000,S59,DATOS!$G$2:$G$20000,CONFIG_METADATA!$B$4,DATOS!$I$2:$I$20000,"Música de Cámara"),"")))</f>
        <v/>
      </c>
      <c r="W59" t="str">
        <f>IF(S59="","",IF(S59="[FÓRMULA MANUAL]","",IFERROR(SUMPRODUCT((DATOS!$A$2:$A$20000=S59)*(DATOS!$G$2:$G$20000=CONFIG_METADATA!$B$4)*(COUNTIF(CONFIG_ASIGNATURAS!$B$7:$B$27,DATOS!$I$2:$I$20000)&gt;0)*(DATOS!$K$2:$K$20000))/SUMPRODUCT((DATOS!$A$2:$A$20000=S59)*(DATOS!$G$2:$G$20000=CONFIG_METADATA!$B$4)*(COUNTIF(CONFIG_ASIGNATURAS!$B$7:$B$27,DATOS!$I$2:$I$20000)&gt;0)*1),"")))</f>
        <v/>
      </c>
      <c r="Z59" t="str">
        <f>IF(Y59="","",IF(Y59="[FÓRMULA MANUAL]","",IFERROR(AVERAGEIFS(DATOS!$K$2:$K$20000,DATOS!$A$2:$A$20000,Y59,DATOS!$G$2:$G$20000,CONFIG_METADATA!$B$4,DATOS!$I$2:$I$20000,"Análisis"),"")))</f>
        <v/>
      </c>
      <c r="AA59" t="str">
        <f>IF(Y59="","",IF(Y59="[FÓRMULA MANUAL]","",IFERROR(AVERAGEIFS(DATOS!$K$2:$K$20000,DATOS!$A$2:$A$20000,Y59,DATOS!$G$2:$G$20000,CONFIG_METADATA!$B$4,DATOS!$I$2:$I$20000,"Orquesta/Banda/Conjunto"),"")))</f>
        <v/>
      </c>
      <c r="AB59" t="str">
        <f>IF(Y59="","",IF(Y59="[FÓRMULA MANUAL]","",IFERROR(AVERAGEIFS(DATOS!$K$2:$K$20000,DATOS!$A$2:$A$20000,Y59,DATOS!$G$2:$G$20000,CONFIG_METADATA!$B$4,DATOS!$I$2:$I$20000,"Música de Cámara"),"")))</f>
        <v/>
      </c>
      <c r="AC59" t="str">
        <f>IF(Y59="","",IF(Y59="[FÓRMULA MANUAL]","",IFERROR(SUMPRODUCT((DATOS!$A$2:$A$20000=Y59)*(DATOS!$G$2:$G$20000=CONFIG_METADATA!$B$4)*(COUNTIF(CONFIG_ASIGNATURAS!$B$7:$B$27,DATOS!$I$2:$I$20000)&gt;0)*(DATOS!$K$2:$K$20000))/SUMPRODUCT((DATOS!$A$2:$A$20000=Y59)*(DATOS!$G$2:$G$20000=CONFIG_METADATA!$B$4)*(COUNTIF(CONFIG_ASIGNATURAS!$B$7:$B$27,DATOS!$I$2:$I$20000)&gt;0)*1),"")))</f>
        <v/>
      </c>
      <c r="AF59" t="str">
        <f>IF(AE59="","",IF(AE59="[FÓRMULA MANUAL]","",IFERROR(AVERAGEIFS(DATOS!$K$2:$K$20000,DATOS!$A$2:$A$20000,AE59,DATOS!$G$2:$G$20000,CONFIG_METADATA!$B$4,DATOS!$I$2:$I$20000,"Análisis"),"")))</f>
        <v/>
      </c>
      <c r="AG59" t="str">
        <f>IF(AE59="","",IF(AE59="[FÓRMULA MANUAL]","",IFERROR(AVERAGEIFS(DATOS!$K$2:$K$20000,DATOS!$A$2:$A$20000,AE59,DATOS!$G$2:$G$20000,CONFIG_METADATA!$B$4,DATOS!$I$2:$I$20000,"Orquesta/Banda/Conjunto"),"")))</f>
        <v/>
      </c>
      <c r="AH59" t="str">
        <f>IF(AE59="","",IF(AE59="[FÓRMULA MANUAL]","",IFERROR(AVERAGEIFS(DATOS!$K$2:$K$20000,DATOS!$A$2:$A$20000,AE59,DATOS!$G$2:$G$20000,CONFIG_METADATA!$B$4,DATOS!$I$2:$I$20000,"Música de Cámara"),"")))</f>
        <v/>
      </c>
      <c r="AI59" t="str">
        <f>IF(AE59="","",IF(AE59="[FÓRMULA MANUAL]","",IFERROR(SUMPRODUCT((DATOS!$A$2:$A$20000=AE59)*(DATOS!$G$2:$G$20000=CONFIG_METADATA!$B$4)*(COUNTIF(CONFIG_ASIGNATURAS!$B$7:$B$27,DATOS!$I$2:$I$20000)&gt;0)*(DATOS!$K$2:$K$20000))/SUMPRODUCT((DATOS!$A$2:$A$20000=AE59)*(DATOS!$G$2:$G$20000=CONFIG_METADATA!$B$4)*(COUNTIF(CONFIG_ASIGNATURAS!$B$7:$B$27,DATOS!$I$2:$I$20000)&gt;0)*1),"")))</f>
        <v/>
      </c>
    </row>
    <row r="60" spans="2:35" x14ac:dyDescent="0.2">
      <c r="B60" t="str">
        <f>IF(A60="","",IF(A60="[FÓRMULA MANUAL]","",IFERROR(AVERAGEIFS(DATOS!$K$2:$K$20000,DATOS!$A$2:$A$20000,A60,DATOS!$G$2:$G$20000,CONFIG_METADATA!$B$4,DATOS!$I$2:$I$20000,"Lenguaje Musical"),"")))</f>
        <v/>
      </c>
      <c r="C60" t="str">
        <f>IF(A60="","",IF(A60="[FÓRMULA MANUAL]","",IFERROR(AVERAGEIFS(DATOS!$K$2:$K$20000,DATOS!$A$2:$A$20000,A60,DATOS!$G$2:$G$20000,CONFIG_METADATA!$B$4,DATOS!$I$2:$I$20000,"Orquesta/Banda/Conjunto"),"")))</f>
        <v/>
      </c>
      <c r="D60" t="str">
        <f>IF(A60="","",IF(A60="[FÓRMULA MANUAL]","",IFERROR(AVERAGEIFS(DATOS!$K$2:$K$20000,DATOS!$A$2:$A$20000,A60,DATOS!$G$2:$G$20000,CONFIG_METADATA!$B$4,DATOS!$I$2:$I$20000,"Conjunto"),"")))</f>
        <v/>
      </c>
      <c r="E60" t="str">
        <f>IF(A60="","",IF(A60="[FÓRMULA MANUAL]","",IFERROR(SUMPRODUCT((DATOS!$A$2:$A$20000=A60)*(DATOS!$G$2:$G$20000=CONFIG_METADATA!$B$4)*(COUNTIF(CONFIG_ASIGNATURAS!$B$7:$B$27,DATOS!$I$2:$I$20000)&gt;0)*(DATOS!$K$2:$K$20000))/SUMPRODUCT((DATOS!$A$2:$A$20000=A60)*(DATOS!$G$2:$G$20000=CONFIG_METADATA!$B$4)*(COUNTIF(CONFIG_ASIGNATURAS!$B$7:$B$27,DATOS!$I$2:$I$20000)&gt;0)*1),"")))</f>
        <v/>
      </c>
      <c r="H60" t="str">
        <f>IF(G60="","",IF(G60="[FÓRMULA MANUAL]","",IFERROR(AVERAGEIFS(DATOS!$K$2:$K$20000,DATOS!$A$2:$A$20000,G60,DATOS!$G$2:$G$20000,CONFIG_METADATA!$B$4,DATOS!$I$2:$I$20000,"Lenguaje Musical"),"")))</f>
        <v/>
      </c>
      <c r="I60" t="str">
        <f>IF(G60="","",IF(G60="[FÓRMULA MANUAL]","",IFERROR(AVERAGEIFS(DATOS!$K$2:$K$20000,DATOS!$A$2:$A$20000,G60,DATOS!$G$2:$G$20000,CONFIG_METADATA!$B$4,DATOS!$I$2:$I$20000,"Orquesta/Banda/Conjunto"),"")))</f>
        <v/>
      </c>
      <c r="J60" t="str">
        <f>IF(G60="","",IF(G60="[FÓRMULA MANUAL]","",IFERROR(AVERAGEIFS(DATOS!$K$2:$K$20000,DATOS!$A$2:$A$20000,G60,DATOS!$G$2:$G$20000,CONFIG_METADATA!$B$4,DATOS!$I$2:$I$20000,"Conjunto"),"")))</f>
        <v/>
      </c>
      <c r="K60" t="str">
        <f>IF(G60="","",IF(G60="[FÓRMULA MANUAL]","",IFERROR(SUMPRODUCT((DATOS!$A$2:$A$20000=G60)*(DATOS!$G$2:$G$20000=CONFIG_METADATA!$B$4)*(COUNTIF(CONFIG_ASIGNATURAS!$B$7:$B$27,DATOS!$I$2:$I$20000)&gt;0)*(DATOS!$K$2:$K$20000))/SUMPRODUCT((DATOS!$A$2:$A$20000=G60)*(DATOS!$G$2:$G$20000=CONFIG_METADATA!$B$4)*(COUNTIF(CONFIG_ASIGNATURAS!$B$7:$B$27,DATOS!$I$2:$I$20000)&gt;0)*1),"")))</f>
        <v/>
      </c>
      <c r="N60" t="str">
        <f>IF(M60="","",IF(M60="[FÓRMULA MANUAL]","",IFERROR(AVERAGEIFS(DATOS!$K$2:$K$20000,DATOS!$A$2:$A$20000,M60,DATOS!$G$2:$G$20000,CONFIG_METADATA!$B$4,DATOS!$I$2:$I$20000,"Armonía"),"")))</f>
        <v/>
      </c>
      <c r="O60" t="str">
        <f>IF(M60="","",IF(M60="[FÓRMULA MANUAL]","",IFERROR(AVERAGEIFS(DATOS!$K$2:$K$20000,DATOS!$A$2:$A$20000,M60,DATOS!$G$2:$G$20000,CONFIG_METADATA!$B$4,DATOS!$I$2:$I$20000,"Orquesta/Banda/Conjunto"),"")))</f>
        <v/>
      </c>
      <c r="P60" t="str">
        <f>IF(M60="","",IF(M60="[FÓRMULA MANUAL]","",IFERROR(AVERAGEIFS(DATOS!$K$2:$K$20000,DATOS!$A$2:$A$20000,M60,DATOS!$G$2:$G$20000,CONFIG_METADATA!$B$4,DATOS!$I$2:$I$20000,"Música de Cámara"),"")))</f>
        <v/>
      </c>
      <c r="Q60" t="str">
        <f>IF(M60="","",IF(M60="[FÓRMULA MANUAL]","",IFERROR(SUMPRODUCT((DATOS!$A$2:$A$20000=M60)*(DATOS!$G$2:$G$20000=CONFIG_METADATA!$B$4)*(COUNTIF(CONFIG_ASIGNATURAS!$B$7:$B$27,DATOS!$I$2:$I$20000)&gt;0)*(DATOS!$K$2:$K$20000))/SUMPRODUCT((DATOS!$A$2:$A$20000=M60)*(DATOS!$G$2:$G$20000=CONFIG_METADATA!$B$4)*(COUNTIF(CONFIG_ASIGNATURAS!$B$7:$B$27,DATOS!$I$2:$I$20000)&gt;0)*1),"")))</f>
        <v/>
      </c>
      <c r="T60" t="str">
        <f>IF(S60="","",IF(S60="[FÓRMULA MANUAL]","",IFERROR(AVERAGEIFS(DATOS!$K$2:$K$20000,DATOS!$A$2:$A$20000,S60,DATOS!$G$2:$G$20000,CONFIG_METADATA!$B$4,DATOS!$I$2:$I$20000,"Armonía"),"")))</f>
        <v/>
      </c>
      <c r="U60" t="str">
        <f>IF(S60="","",IF(S60="[FÓRMULA MANUAL]","",IFERROR(AVERAGEIFS(DATOS!$K$2:$K$20000,DATOS!$A$2:$A$20000,S60,DATOS!$G$2:$G$20000,CONFIG_METADATA!$B$4,DATOS!$I$2:$I$20000,"Orquesta/Banda/Conjunto"),"")))</f>
        <v/>
      </c>
      <c r="V60" t="str">
        <f>IF(S60="","",IF(S60="[FÓRMULA MANUAL]","",IFERROR(AVERAGEIFS(DATOS!$K$2:$K$20000,DATOS!$A$2:$A$20000,S60,DATOS!$G$2:$G$20000,CONFIG_METADATA!$B$4,DATOS!$I$2:$I$20000,"Música de Cámara"),"")))</f>
        <v/>
      </c>
      <c r="W60" t="str">
        <f>IF(S60="","",IF(S60="[FÓRMULA MANUAL]","",IFERROR(SUMPRODUCT((DATOS!$A$2:$A$20000=S60)*(DATOS!$G$2:$G$20000=CONFIG_METADATA!$B$4)*(COUNTIF(CONFIG_ASIGNATURAS!$B$7:$B$27,DATOS!$I$2:$I$20000)&gt;0)*(DATOS!$K$2:$K$20000))/SUMPRODUCT((DATOS!$A$2:$A$20000=S60)*(DATOS!$G$2:$G$20000=CONFIG_METADATA!$B$4)*(COUNTIF(CONFIG_ASIGNATURAS!$B$7:$B$27,DATOS!$I$2:$I$20000)&gt;0)*1),"")))</f>
        <v/>
      </c>
      <c r="Z60" t="str">
        <f>IF(Y60="","",IF(Y60="[FÓRMULA MANUAL]","",IFERROR(AVERAGEIFS(DATOS!$K$2:$K$20000,DATOS!$A$2:$A$20000,Y60,DATOS!$G$2:$G$20000,CONFIG_METADATA!$B$4,DATOS!$I$2:$I$20000,"Análisis"),"")))</f>
        <v/>
      </c>
      <c r="AA60" t="str">
        <f>IF(Y60="","",IF(Y60="[FÓRMULA MANUAL]","",IFERROR(AVERAGEIFS(DATOS!$K$2:$K$20000,DATOS!$A$2:$A$20000,Y60,DATOS!$G$2:$G$20000,CONFIG_METADATA!$B$4,DATOS!$I$2:$I$20000,"Orquesta/Banda/Conjunto"),"")))</f>
        <v/>
      </c>
      <c r="AB60" t="str">
        <f>IF(Y60="","",IF(Y60="[FÓRMULA MANUAL]","",IFERROR(AVERAGEIFS(DATOS!$K$2:$K$20000,DATOS!$A$2:$A$20000,Y60,DATOS!$G$2:$G$20000,CONFIG_METADATA!$B$4,DATOS!$I$2:$I$20000,"Música de Cámara"),"")))</f>
        <v/>
      </c>
      <c r="AC60" t="str">
        <f>IF(Y60="","",IF(Y60="[FÓRMULA MANUAL]","",IFERROR(SUMPRODUCT((DATOS!$A$2:$A$20000=Y60)*(DATOS!$G$2:$G$20000=CONFIG_METADATA!$B$4)*(COUNTIF(CONFIG_ASIGNATURAS!$B$7:$B$27,DATOS!$I$2:$I$20000)&gt;0)*(DATOS!$K$2:$K$20000))/SUMPRODUCT((DATOS!$A$2:$A$20000=Y60)*(DATOS!$G$2:$G$20000=CONFIG_METADATA!$B$4)*(COUNTIF(CONFIG_ASIGNATURAS!$B$7:$B$27,DATOS!$I$2:$I$20000)&gt;0)*1),"")))</f>
        <v/>
      </c>
      <c r="AF60" t="str">
        <f>IF(AE60="","",IF(AE60="[FÓRMULA MANUAL]","",IFERROR(AVERAGEIFS(DATOS!$K$2:$K$20000,DATOS!$A$2:$A$20000,AE60,DATOS!$G$2:$G$20000,CONFIG_METADATA!$B$4,DATOS!$I$2:$I$20000,"Análisis"),"")))</f>
        <v/>
      </c>
      <c r="AG60" t="str">
        <f>IF(AE60="","",IF(AE60="[FÓRMULA MANUAL]","",IFERROR(AVERAGEIFS(DATOS!$K$2:$K$20000,DATOS!$A$2:$A$20000,AE60,DATOS!$G$2:$G$20000,CONFIG_METADATA!$B$4,DATOS!$I$2:$I$20000,"Orquesta/Banda/Conjunto"),"")))</f>
        <v/>
      </c>
      <c r="AH60" t="str">
        <f>IF(AE60="","",IF(AE60="[FÓRMULA MANUAL]","",IFERROR(AVERAGEIFS(DATOS!$K$2:$K$20000,DATOS!$A$2:$A$20000,AE60,DATOS!$G$2:$G$20000,CONFIG_METADATA!$B$4,DATOS!$I$2:$I$20000,"Música de Cámara"),"")))</f>
        <v/>
      </c>
      <c r="AI60" t="str">
        <f>IF(AE60="","",IF(AE60="[FÓRMULA MANUAL]","",IFERROR(SUMPRODUCT((DATOS!$A$2:$A$20000=AE60)*(DATOS!$G$2:$G$20000=CONFIG_METADATA!$B$4)*(COUNTIF(CONFIG_ASIGNATURAS!$B$7:$B$27,DATOS!$I$2:$I$20000)&gt;0)*(DATOS!$K$2:$K$20000))/SUMPRODUCT((DATOS!$A$2:$A$20000=AE60)*(DATOS!$G$2:$G$20000=CONFIG_METADATA!$B$4)*(COUNTIF(CONFIG_ASIGNATURAS!$B$7:$B$27,DATOS!$I$2:$I$20000)&gt;0)*1),"")))</f>
        <v/>
      </c>
    </row>
    <row r="61" spans="2:35" x14ac:dyDescent="0.2">
      <c r="B61" t="str">
        <f>IF(A61="","",IF(A61="[FÓRMULA MANUAL]","",IFERROR(AVERAGEIFS(DATOS!$K$2:$K$20000,DATOS!$A$2:$A$20000,A61,DATOS!$G$2:$G$20000,CONFIG_METADATA!$B$4,DATOS!$I$2:$I$20000,"Lenguaje Musical"),"")))</f>
        <v/>
      </c>
      <c r="C61" t="str">
        <f>IF(A61="","",IF(A61="[FÓRMULA MANUAL]","",IFERROR(AVERAGEIFS(DATOS!$K$2:$K$20000,DATOS!$A$2:$A$20000,A61,DATOS!$G$2:$G$20000,CONFIG_METADATA!$B$4,DATOS!$I$2:$I$20000,"Orquesta/Banda/Conjunto"),"")))</f>
        <v/>
      </c>
      <c r="D61" t="str">
        <f>IF(A61="","",IF(A61="[FÓRMULA MANUAL]","",IFERROR(AVERAGEIFS(DATOS!$K$2:$K$20000,DATOS!$A$2:$A$20000,A61,DATOS!$G$2:$G$20000,CONFIG_METADATA!$B$4,DATOS!$I$2:$I$20000,"Conjunto"),"")))</f>
        <v/>
      </c>
      <c r="E61" t="str">
        <f>IF(A61="","",IF(A61="[FÓRMULA MANUAL]","",IFERROR(SUMPRODUCT((DATOS!$A$2:$A$20000=A61)*(DATOS!$G$2:$G$20000=CONFIG_METADATA!$B$4)*(COUNTIF(CONFIG_ASIGNATURAS!$B$7:$B$27,DATOS!$I$2:$I$20000)&gt;0)*(DATOS!$K$2:$K$20000))/SUMPRODUCT((DATOS!$A$2:$A$20000=A61)*(DATOS!$G$2:$G$20000=CONFIG_METADATA!$B$4)*(COUNTIF(CONFIG_ASIGNATURAS!$B$7:$B$27,DATOS!$I$2:$I$20000)&gt;0)*1),"")))</f>
        <v/>
      </c>
      <c r="H61" t="str">
        <f>IF(G61="","",IF(G61="[FÓRMULA MANUAL]","",IFERROR(AVERAGEIFS(DATOS!$K$2:$K$20000,DATOS!$A$2:$A$20000,G61,DATOS!$G$2:$G$20000,CONFIG_METADATA!$B$4,DATOS!$I$2:$I$20000,"Lenguaje Musical"),"")))</f>
        <v/>
      </c>
      <c r="I61" t="str">
        <f>IF(G61="","",IF(G61="[FÓRMULA MANUAL]","",IFERROR(AVERAGEIFS(DATOS!$K$2:$K$20000,DATOS!$A$2:$A$20000,G61,DATOS!$G$2:$G$20000,CONFIG_METADATA!$B$4,DATOS!$I$2:$I$20000,"Orquesta/Banda/Conjunto"),"")))</f>
        <v/>
      </c>
      <c r="J61" t="str">
        <f>IF(G61="","",IF(G61="[FÓRMULA MANUAL]","",IFERROR(AVERAGEIFS(DATOS!$K$2:$K$20000,DATOS!$A$2:$A$20000,G61,DATOS!$G$2:$G$20000,CONFIG_METADATA!$B$4,DATOS!$I$2:$I$20000,"Conjunto"),"")))</f>
        <v/>
      </c>
      <c r="K61" t="str">
        <f>IF(G61="","",IF(G61="[FÓRMULA MANUAL]","",IFERROR(SUMPRODUCT((DATOS!$A$2:$A$20000=G61)*(DATOS!$G$2:$G$20000=CONFIG_METADATA!$B$4)*(COUNTIF(CONFIG_ASIGNATURAS!$B$7:$B$27,DATOS!$I$2:$I$20000)&gt;0)*(DATOS!$K$2:$K$20000))/SUMPRODUCT((DATOS!$A$2:$A$20000=G61)*(DATOS!$G$2:$G$20000=CONFIG_METADATA!$B$4)*(COUNTIF(CONFIG_ASIGNATURAS!$B$7:$B$27,DATOS!$I$2:$I$20000)&gt;0)*1),"")))</f>
        <v/>
      </c>
      <c r="N61" t="str">
        <f>IF(M61="","",IF(M61="[FÓRMULA MANUAL]","",IFERROR(AVERAGEIFS(DATOS!$K$2:$K$20000,DATOS!$A$2:$A$20000,M61,DATOS!$G$2:$G$20000,CONFIG_METADATA!$B$4,DATOS!$I$2:$I$20000,"Armonía"),"")))</f>
        <v/>
      </c>
      <c r="O61" t="str">
        <f>IF(M61="","",IF(M61="[FÓRMULA MANUAL]","",IFERROR(AVERAGEIFS(DATOS!$K$2:$K$20000,DATOS!$A$2:$A$20000,M61,DATOS!$G$2:$G$20000,CONFIG_METADATA!$B$4,DATOS!$I$2:$I$20000,"Orquesta/Banda/Conjunto"),"")))</f>
        <v/>
      </c>
      <c r="P61" t="str">
        <f>IF(M61="","",IF(M61="[FÓRMULA MANUAL]","",IFERROR(AVERAGEIFS(DATOS!$K$2:$K$20000,DATOS!$A$2:$A$20000,M61,DATOS!$G$2:$G$20000,CONFIG_METADATA!$B$4,DATOS!$I$2:$I$20000,"Música de Cámara"),"")))</f>
        <v/>
      </c>
      <c r="Q61" t="str">
        <f>IF(M61="","",IF(M61="[FÓRMULA MANUAL]","",IFERROR(SUMPRODUCT((DATOS!$A$2:$A$20000=M61)*(DATOS!$G$2:$G$20000=CONFIG_METADATA!$B$4)*(COUNTIF(CONFIG_ASIGNATURAS!$B$7:$B$27,DATOS!$I$2:$I$20000)&gt;0)*(DATOS!$K$2:$K$20000))/SUMPRODUCT((DATOS!$A$2:$A$20000=M61)*(DATOS!$G$2:$G$20000=CONFIG_METADATA!$B$4)*(COUNTIF(CONFIG_ASIGNATURAS!$B$7:$B$27,DATOS!$I$2:$I$20000)&gt;0)*1),"")))</f>
        <v/>
      </c>
      <c r="T61" t="str">
        <f>IF(S61="","",IF(S61="[FÓRMULA MANUAL]","",IFERROR(AVERAGEIFS(DATOS!$K$2:$K$20000,DATOS!$A$2:$A$20000,S61,DATOS!$G$2:$G$20000,CONFIG_METADATA!$B$4,DATOS!$I$2:$I$20000,"Armonía"),"")))</f>
        <v/>
      </c>
      <c r="U61" t="str">
        <f>IF(S61="","",IF(S61="[FÓRMULA MANUAL]","",IFERROR(AVERAGEIFS(DATOS!$K$2:$K$20000,DATOS!$A$2:$A$20000,S61,DATOS!$G$2:$G$20000,CONFIG_METADATA!$B$4,DATOS!$I$2:$I$20000,"Orquesta/Banda/Conjunto"),"")))</f>
        <v/>
      </c>
      <c r="V61" t="str">
        <f>IF(S61="","",IF(S61="[FÓRMULA MANUAL]","",IFERROR(AVERAGEIFS(DATOS!$K$2:$K$20000,DATOS!$A$2:$A$20000,S61,DATOS!$G$2:$G$20000,CONFIG_METADATA!$B$4,DATOS!$I$2:$I$20000,"Música de Cámara"),"")))</f>
        <v/>
      </c>
      <c r="W61" t="str">
        <f>IF(S61="","",IF(S61="[FÓRMULA MANUAL]","",IFERROR(SUMPRODUCT((DATOS!$A$2:$A$20000=S61)*(DATOS!$G$2:$G$20000=CONFIG_METADATA!$B$4)*(COUNTIF(CONFIG_ASIGNATURAS!$B$7:$B$27,DATOS!$I$2:$I$20000)&gt;0)*(DATOS!$K$2:$K$20000))/SUMPRODUCT((DATOS!$A$2:$A$20000=S61)*(DATOS!$G$2:$G$20000=CONFIG_METADATA!$B$4)*(COUNTIF(CONFIG_ASIGNATURAS!$B$7:$B$27,DATOS!$I$2:$I$20000)&gt;0)*1),"")))</f>
        <v/>
      </c>
      <c r="Z61" t="str">
        <f>IF(Y61="","",IF(Y61="[FÓRMULA MANUAL]","",IFERROR(AVERAGEIFS(DATOS!$K$2:$K$20000,DATOS!$A$2:$A$20000,Y61,DATOS!$G$2:$G$20000,CONFIG_METADATA!$B$4,DATOS!$I$2:$I$20000,"Análisis"),"")))</f>
        <v/>
      </c>
      <c r="AA61" t="str">
        <f>IF(Y61="","",IF(Y61="[FÓRMULA MANUAL]","",IFERROR(AVERAGEIFS(DATOS!$K$2:$K$20000,DATOS!$A$2:$A$20000,Y61,DATOS!$G$2:$G$20000,CONFIG_METADATA!$B$4,DATOS!$I$2:$I$20000,"Orquesta/Banda/Conjunto"),"")))</f>
        <v/>
      </c>
      <c r="AB61" t="str">
        <f>IF(Y61="","",IF(Y61="[FÓRMULA MANUAL]","",IFERROR(AVERAGEIFS(DATOS!$K$2:$K$20000,DATOS!$A$2:$A$20000,Y61,DATOS!$G$2:$G$20000,CONFIG_METADATA!$B$4,DATOS!$I$2:$I$20000,"Música de Cámara"),"")))</f>
        <v/>
      </c>
      <c r="AC61" t="str">
        <f>IF(Y61="","",IF(Y61="[FÓRMULA MANUAL]","",IFERROR(SUMPRODUCT((DATOS!$A$2:$A$20000=Y61)*(DATOS!$G$2:$G$20000=CONFIG_METADATA!$B$4)*(COUNTIF(CONFIG_ASIGNATURAS!$B$7:$B$27,DATOS!$I$2:$I$20000)&gt;0)*(DATOS!$K$2:$K$20000))/SUMPRODUCT((DATOS!$A$2:$A$20000=Y61)*(DATOS!$G$2:$G$20000=CONFIG_METADATA!$B$4)*(COUNTIF(CONFIG_ASIGNATURAS!$B$7:$B$27,DATOS!$I$2:$I$20000)&gt;0)*1),"")))</f>
        <v/>
      </c>
      <c r="AF61" t="str">
        <f>IF(AE61="","",IF(AE61="[FÓRMULA MANUAL]","",IFERROR(AVERAGEIFS(DATOS!$K$2:$K$20000,DATOS!$A$2:$A$20000,AE61,DATOS!$G$2:$G$20000,CONFIG_METADATA!$B$4,DATOS!$I$2:$I$20000,"Análisis"),"")))</f>
        <v/>
      </c>
      <c r="AG61" t="str">
        <f>IF(AE61="","",IF(AE61="[FÓRMULA MANUAL]","",IFERROR(AVERAGEIFS(DATOS!$K$2:$K$20000,DATOS!$A$2:$A$20000,AE61,DATOS!$G$2:$G$20000,CONFIG_METADATA!$B$4,DATOS!$I$2:$I$20000,"Orquesta/Banda/Conjunto"),"")))</f>
        <v/>
      </c>
      <c r="AH61" t="str">
        <f>IF(AE61="","",IF(AE61="[FÓRMULA MANUAL]","",IFERROR(AVERAGEIFS(DATOS!$K$2:$K$20000,DATOS!$A$2:$A$20000,AE61,DATOS!$G$2:$G$20000,CONFIG_METADATA!$B$4,DATOS!$I$2:$I$20000,"Música de Cámara"),"")))</f>
        <v/>
      </c>
      <c r="AI61" t="str">
        <f>IF(AE61="","",IF(AE61="[FÓRMULA MANUAL]","",IFERROR(SUMPRODUCT((DATOS!$A$2:$A$20000=AE61)*(DATOS!$G$2:$G$20000=CONFIG_METADATA!$B$4)*(COUNTIF(CONFIG_ASIGNATURAS!$B$7:$B$27,DATOS!$I$2:$I$20000)&gt;0)*(DATOS!$K$2:$K$20000))/SUMPRODUCT((DATOS!$A$2:$A$20000=AE61)*(DATOS!$G$2:$G$20000=CONFIG_METADATA!$B$4)*(COUNTIF(CONFIG_ASIGNATURAS!$B$7:$B$27,DATOS!$I$2:$I$20000)&gt;0)*1),"")))</f>
        <v/>
      </c>
    </row>
    <row r="62" spans="2:35" x14ac:dyDescent="0.2">
      <c r="B62" t="str">
        <f>IF(A62="","",IF(A62="[FÓRMULA MANUAL]","",IFERROR(AVERAGEIFS(DATOS!$K$2:$K$20000,DATOS!$A$2:$A$20000,A62,DATOS!$G$2:$G$20000,CONFIG_METADATA!$B$4,DATOS!$I$2:$I$20000,"Lenguaje Musical"),"")))</f>
        <v/>
      </c>
      <c r="C62" t="str">
        <f>IF(A62="","",IF(A62="[FÓRMULA MANUAL]","",IFERROR(AVERAGEIFS(DATOS!$K$2:$K$20000,DATOS!$A$2:$A$20000,A62,DATOS!$G$2:$G$20000,CONFIG_METADATA!$B$4,DATOS!$I$2:$I$20000,"Orquesta/Banda/Conjunto"),"")))</f>
        <v/>
      </c>
      <c r="D62" t="str">
        <f>IF(A62="","",IF(A62="[FÓRMULA MANUAL]","",IFERROR(AVERAGEIFS(DATOS!$K$2:$K$20000,DATOS!$A$2:$A$20000,A62,DATOS!$G$2:$G$20000,CONFIG_METADATA!$B$4,DATOS!$I$2:$I$20000,"Conjunto"),"")))</f>
        <v/>
      </c>
      <c r="E62" t="str">
        <f>IF(A62="","",IF(A62="[FÓRMULA MANUAL]","",IFERROR(SUMPRODUCT((DATOS!$A$2:$A$20000=A62)*(DATOS!$G$2:$G$20000=CONFIG_METADATA!$B$4)*(COUNTIF(CONFIG_ASIGNATURAS!$B$7:$B$27,DATOS!$I$2:$I$20000)&gt;0)*(DATOS!$K$2:$K$20000))/SUMPRODUCT((DATOS!$A$2:$A$20000=A62)*(DATOS!$G$2:$G$20000=CONFIG_METADATA!$B$4)*(COUNTIF(CONFIG_ASIGNATURAS!$B$7:$B$27,DATOS!$I$2:$I$20000)&gt;0)*1),"")))</f>
        <v/>
      </c>
      <c r="H62" t="str">
        <f>IF(G62="","",IF(G62="[FÓRMULA MANUAL]","",IFERROR(AVERAGEIFS(DATOS!$K$2:$K$20000,DATOS!$A$2:$A$20000,G62,DATOS!$G$2:$G$20000,CONFIG_METADATA!$B$4,DATOS!$I$2:$I$20000,"Lenguaje Musical"),"")))</f>
        <v/>
      </c>
      <c r="I62" t="str">
        <f>IF(G62="","",IF(G62="[FÓRMULA MANUAL]","",IFERROR(AVERAGEIFS(DATOS!$K$2:$K$20000,DATOS!$A$2:$A$20000,G62,DATOS!$G$2:$G$20000,CONFIG_METADATA!$B$4,DATOS!$I$2:$I$20000,"Orquesta/Banda/Conjunto"),"")))</f>
        <v/>
      </c>
      <c r="J62" t="str">
        <f>IF(G62="","",IF(G62="[FÓRMULA MANUAL]","",IFERROR(AVERAGEIFS(DATOS!$K$2:$K$20000,DATOS!$A$2:$A$20000,G62,DATOS!$G$2:$G$20000,CONFIG_METADATA!$B$4,DATOS!$I$2:$I$20000,"Conjunto"),"")))</f>
        <v/>
      </c>
      <c r="K62" t="str">
        <f>IF(G62="","",IF(G62="[FÓRMULA MANUAL]","",IFERROR(SUMPRODUCT((DATOS!$A$2:$A$20000=G62)*(DATOS!$G$2:$G$20000=CONFIG_METADATA!$B$4)*(COUNTIF(CONFIG_ASIGNATURAS!$B$7:$B$27,DATOS!$I$2:$I$20000)&gt;0)*(DATOS!$K$2:$K$20000))/SUMPRODUCT((DATOS!$A$2:$A$20000=G62)*(DATOS!$G$2:$G$20000=CONFIG_METADATA!$B$4)*(COUNTIF(CONFIG_ASIGNATURAS!$B$7:$B$27,DATOS!$I$2:$I$20000)&gt;0)*1),"")))</f>
        <v/>
      </c>
      <c r="N62" t="str">
        <f>IF(M62="","",IF(M62="[FÓRMULA MANUAL]","",IFERROR(AVERAGEIFS(DATOS!$K$2:$K$20000,DATOS!$A$2:$A$20000,M62,DATOS!$G$2:$G$20000,CONFIG_METADATA!$B$4,DATOS!$I$2:$I$20000,"Armonía"),"")))</f>
        <v/>
      </c>
      <c r="O62" t="str">
        <f>IF(M62="","",IF(M62="[FÓRMULA MANUAL]","",IFERROR(AVERAGEIFS(DATOS!$K$2:$K$20000,DATOS!$A$2:$A$20000,M62,DATOS!$G$2:$G$20000,CONFIG_METADATA!$B$4,DATOS!$I$2:$I$20000,"Orquesta/Banda/Conjunto"),"")))</f>
        <v/>
      </c>
      <c r="P62" t="str">
        <f>IF(M62="","",IF(M62="[FÓRMULA MANUAL]","",IFERROR(AVERAGEIFS(DATOS!$K$2:$K$20000,DATOS!$A$2:$A$20000,M62,DATOS!$G$2:$G$20000,CONFIG_METADATA!$B$4,DATOS!$I$2:$I$20000,"Música de Cámara"),"")))</f>
        <v/>
      </c>
      <c r="Q62" t="str">
        <f>IF(M62="","",IF(M62="[FÓRMULA MANUAL]","",IFERROR(SUMPRODUCT((DATOS!$A$2:$A$20000=M62)*(DATOS!$G$2:$G$20000=CONFIG_METADATA!$B$4)*(COUNTIF(CONFIG_ASIGNATURAS!$B$7:$B$27,DATOS!$I$2:$I$20000)&gt;0)*(DATOS!$K$2:$K$20000))/SUMPRODUCT((DATOS!$A$2:$A$20000=M62)*(DATOS!$G$2:$G$20000=CONFIG_METADATA!$B$4)*(COUNTIF(CONFIG_ASIGNATURAS!$B$7:$B$27,DATOS!$I$2:$I$20000)&gt;0)*1),"")))</f>
        <v/>
      </c>
      <c r="T62" t="str">
        <f>IF(S62="","",IF(S62="[FÓRMULA MANUAL]","",IFERROR(AVERAGEIFS(DATOS!$K$2:$K$20000,DATOS!$A$2:$A$20000,S62,DATOS!$G$2:$G$20000,CONFIG_METADATA!$B$4,DATOS!$I$2:$I$20000,"Armonía"),"")))</f>
        <v/>
      </c>
      <c r="U62" t="str">
        <f>IF(S62="","",IF(S62="[FÓRMULA MANUAL]","",IFERROR(AVERAGEIFS(DATOS!$K$2:$K$20000,DATOS!$A$2:$A$20000,S62,DATOS!$G$2:$G$20000,CONFIG_METADATA!$B$4,DATOS!$I$2:$I$20000,"Orquesta/Banda/Conjunto"),"")))</f>
        <v/>
      </c>
      <c r="V62" t="str">
        <f>IF(S62="","",IF(S62="[FÓRMULA MANUAL]","",IFERROR(AVERAGEIFS(DATOS!$K$2:$K$20000,DATOS!$A$2:$A$20000,S62,DATOS!$G$2:$G$20000,CONFIG_METADATA!$B$4,DATOS!$I$2:$I$20000,"Música de Cámara"),"")))</f>
        <v/>
      </c>
      <c r="W62" t="str">
        <f>IF(S62="","",IF(S62="[FÓRMULA MANUAL]","",IFERROR(SUMPRODUCT((DATOS!$A$2:$A$20000=S62)*(DATOS!$G$2:$G$20000=CONFIG_METADATA!$B$4)*(COUNTIF(CONFIG_ASIGNATURAS!$B$7:$B$27,DATOS!$I$2:$I$20000)&gt;0)*(DATOS!$K$2:$K$20000))/SUMPRODUCT((DATOS!$A$2:$A$20000=S62)*(DATOS!$G$2:$G$20000=CONFIG_METADATA!$B$4)*(COUNTIF(CONFIG_ASIGNATURAS!$B$7:$B$27,DATOS!$I$2:$I$20000)&gt;0)*1),"")))</f>
        <v/>
      </c>
      <c r="Z62" t="str">
        <f>IF(Y62="","",IF(Y62="[FÓRMULA MANUAL]","",IFERROR(AVERAGEIFS(DATOS!$K$2:$K$20000,DATOS!$A$2:$A$20000,Y62,DATOS!$G$2:$G$20000,CONFIG_METADATA!$B$4,DATOS!$I$2:$I$20000,"Análisis"),"")))</f>
        <v/>
      </c>
      <c r="AA62" t="str">
        <f>IF(Y62="","",IF(Y62="[FÓRMULA MANUAL]","",IFERROR(AVERAGEIFS(DATOS!$K$2:$K$20000,DATOS!$A$2:$A$20000,Y62,DATOS!$G$2:$G$20000,CONFIG_METADATA!$B$4,DATOS!$I$2:$I$20000,"Orquesta/Banda/Conjunto"),"")))</f>
        <v/>
      </c>
      <c r="AB62" t="str">
        <f>IF(Y62="","",IF(Y62="[FÓRMULA MANUAL]","",IFERROR(AVERAGEIFS(DATOS!$K$2:$K$20000,DATOS!$A$2:$A$20000,Y62,DATOS!$G$2:$G$20000,CONFIG_METADATA!$B$4,DATOS!$I$2:$I$20000,"Música de Cámara"),"")))</f>
        <v/>
      </c>
      <c r="AC62" t="str">
        <f>IF(Y62="","",IF(Y62="[FÓRMULA MANUAL]","",IFERROR(SUMPRODUCT((DATOS!$A$2:$A$20000=Y62)*(DATOS!$G$2:$G$20000=CONFIG_METADATA!$B$4)*(COUNTIF(CONFIG_ASIGNATURAS!$B$7:$B$27,DATOS!$I$2:$I$20000)&gt;0)*(DATOS!$K$2:$K$20000))/SUMPRODUCT((DATOS!$A$2:$A$20000=Y62)*(DATOS!$G$2:$G$20000=CONFIG_METADATA!$B$4)*(COUNTIF(CONFIG_ASIGNATURAS!$B$7:$B$27,DATOS!$I$2:$I$20000)&gt;0)*1),"")))</f>
        <v/>
      </c>
      <c r="AF62" t="str">
        <f>IF(AE62="","",IF(AE62="[FÓRMULA MANUAL]","",IFERROR(AVERAGEIFS(DATOS!$K$2:$K$20000,DATOS!$A$2:$A$20000,AE62,DATOS!$G$2:$G$20000,CONFIG_METADATA!$B$4,DATOS!$I$2:$I$20000,"Análisis"),"")))</f>
        <v/>
      </c>
      <c r="AG62" t="str">
        <f>IF(AE62="","",IF(AE62="[FÓRMULA MANUAL]","",IFERROR(AVERAGEIFS(DATOS!$K$2:$K$20000,DATOS!$A$2:$A$20000,AE62,DATOS!$G$2:$G$20000,CONFIG_METADATA!$B$4,DATOS!$I$2:$I$20000,"Orquesta/Banda/Conjunto"),"")))</f>
        <v/>
      </c>
      <c r="AH62" t="str">
        <f>IF(AE62="","",IF(AE62="[FÓRMULA MANUAL]","",IFERROR(AVERAGEIFS(DATOS!$K$2:$K$20000,DATOS!$A$2:$A$20000,AE62,DATOS!$G$2:$G$20000,CONFIG_METADATA!$B$4,DATOS!$I$2:$I$20000,"Música de Cámara"),"")))</f>
        <v/>
      </c>
      <c r="AI62" t="str">
        <f>IF(AE62="","",IF(AE62="[FÓRMULA MANUAL]","",IFERROR(SUMPRODUCT((DATOS!$A$2:$A$20000=AE62)*(DATOS!$G$2:$G$20000=CONFIG_METADATA!$B$4)*(COUNTIF(CONFIG_ASIGNATURAS!$B$7:$B$27,DATOS!$I$2:$I$20000)&gt;0)*(DATOS!$K$2:$K$20000))/SUMPRODUCT((DATOS!$A$2:$A$20000=AE62)*(DATOS!$G$2:$G$20000=CONFIG_METADATA!$B$4)*(COUNTIF(CONFIG_ASIGNATURAS!$B$7:$B$27,DATOS!$I$2:$I$20000)&gt;0)*1),"")))</f>
        <v/>
      </c>
    </row>
    <row r="63" spans="2:35" x14ac:dyDescent="0.2">
      <c r="B63" t="str">
        <f>IF(A63="","",IF(A63="[FÓRMULA MANUAL]","",IFERROR(AVERAGEIFS(DATOS!$K$2:$K$20000,DATOS!$A$2:$A$20000,A63,DATOS!$G$2:$G$20000,CONFIG_METADATA!$B$4,DATOS!$I$2:$I$20000,"Lenguaje Musical"),"")))</f>
        <v/>
      </c>
      <c r="C63" t="str">
        <f>IF(A63="","",IF(A63="[FÓRMULA MANUAL]","",IFERROR(AVERAGEIFS(DATOS!$K$2:$K$20000,DATOS!$A$2:$A$20000,A63,DATOS!$G$2:$G$20000,CONFIG_METADATA!$B$4,DATOS!$I$2:$I$20000,"Orquesta/Banda/Conjunto"),"")))</f>
        <v/>
      </c>
      <c r="D63" t="str">
        <f>IF(A63="","",IF(A63="[FÓRMULA MANUAL]","",IFERROR(AVERAGEIFS(DATOS!$K$2:$K$20000,DATOS!$A$2:$A$20000,A63,DATOS!$G$2:$G$20000,CONFIG_METADATA!$B$4,DATOS!$I$2:$I$20000,"Conjunto"),"")))</f>
        <v/>
      </c>
      <c r="E63" t="str">
        <f>IF(A63="","",IF(A63="[FÓRMULA MANUAL]","",IFERROR(SUMPRODUCT((DATOS!$A$2:$A$20000=A63)*(DATOS!$G$2:$G$20000=CONFIG_METADATA!$B$4)*(COUNTIF(CONFIG_ASIGNATURAS!$B$7:$B$27,DATOS!$I$2:$I$20000)&gt;0)*(DATOS!$K$2:$K$20000))/SUMPRODUCT((DATOS!$A$2:$A$20000=A63)*(DATOS!$G$2:$G$20000=CONFIG_METADATA!$B$4)*(COUNTIF(CONFIG_ASIGNATURAS!$B$7:$B$27,DATOS!$I$2:$I$20000)&gt;0)*1),"")))</f>
        <v/>
      </c>
      <c r="H63" t="str">
        <f>IF(G63="","",IF(G63="[FÓRMULA MANUAL]","",IFERROR(AVERAGEIFS(DATOS!$K$2:$K$20000,DATOS!$A$2:$A$20000,G63,DATOS!$G$2:$G$20000,CONFIG_METADATA!$B$4,DATOS!$I$2:$I$20000,"Lenguaje Musical"),"")))</f>
        <v/>
      </c>
      <c r="I63" t="str">
        <f>IF(G63="","",IF(G63="[FÓRMULA MANUAL]","",IFERROR(AVERAGEIFS(DATOS!$K$2:$K$20000,DATOS!$A$2:$A$20000,G63,DATOS!$G$2:$G$20000,CONFIG_METADATA!$B$4,DATOS!$I$2:$I$20000,"Orquesta/Banda/Conjunto"),"")))</f>
        <v/>
      </c>
      <c r="J63" t="str">
        <f>IF(G63="","",IF(G63="[FÓRMULA MANUAL]","",IFERROR(AVERAGEIFS(DATOS!$K$2:$K$20000,DATOS!$A$2:$A$20000,G63,DATOS!$G$2:$G$20000,CONFIG_METADATA!$B$4,DATOS!$I$2:$I$20000,"Conjunto"),"")))</f>
        <v/>
      </c>
      <c r="K63" t="str">
        <f>IF(G63="","",IF(G63="[FÓRMULA MANUAL]","",IFERROR(SUMPRODUCT((DATOS!$A$2:$A$20000=G63)*(DATOS!$G$2:$G$20000=CONFIG_METADATA!$B$4)*(COUNTIF(CONFIG_ASIGNATURAS!$B$7:$B$27,DATOS!$I$2:$I$20000)&gt;0)*(DATOS!$K$2:$K$20000))/SUMPRODUCT((DATOS!$A$2:$A$20000=G63)*(DATOS!$G$2:$G$20000=CONFIG_METADATA!$B$4)*(COUNTIF(CONFIG_ASIGNATURAS!$B$7:$B$27,DATOS!$I$2:$I$20000)&gt;0)*1),"")))</f>
        <v/>
      </c>
      <c r="N63" t="str">
        <f>IF(M63="","",IF(M63="[FÓRMULA MANUAL]","",IFERROR(AVERAGEIFS(DATOS!$K$2:$K$20000,DATOS!$A$2:$A$20000,M63,DATOS!$G$2:$G$20000,CONFIG_METADATA!$B$4,DATOS!$I$2:$I$20000,"Armonía"),"")))</f>
        <v/>
      </c>
      <c r="O63" t="str">
        <f>IF(M63="","",IF(M63="[FÓRMULA MANUAL]","",IFERROR(AVERAGEIFS(DATOS!$K$2:$K$20000,DATOS!$A$2:$A$20000,M63,DATOS!$G$2:$G$20000,CONFIG_METADATA!$B$4,DATOS!$I$2:$I$20000,"Orquesta/Banda/Conjunto"),"")))</f>
        <v/>
      </c>
      <c r="P63" t="str">
        <f>IF(M63="","",IF(M63="[FÓRMULA MANUAL]","",IFERROR(AVERAGEIFS(DATOS!$K$2:$K$20000,DATOS!$A$2:$A$20000,M63,DATOS!$G$2:$G$20000,CONFIG_METADATA!$B$4,DATOS!$I$2:$I$20000,"Música de Cámara"),"")))</f>
        <v/>
      </c>
      <c r="Q63" t="str">
        <f>IF(M63="","",IF(M63="[FÓRMULA MANUAL]","",IFERROR(SUMPRODUCT((DATOS!$A$2:$A$20000=M63)*(DATOS!$G$2:$G$20000=CONFIG_METADATA!$B$4)*(COUNTIF(CONFIG_ASIGNATURAS!$B$7:$B$27,DATOS!$I$2:$I$20000)&gt;0)*(DATOS!$K$2:$K$20000))/SUMPRODUCT((DATOS!$A$2:$A$20000=M63)*(DATOS!$G$2:$G$20000=CONFIG_METADATA!$B$4)*(COUNTIF(CONFIG_ASIGNATURAS!$B$7:$B$27,DATOS!$I$2:$I$20000)&gt;0)*1),"")))</f>
        <v/>
      </c>
      <c r="T63" t="str">
        <f>IF(S63="","",IF(S63="[FÓRMULA MANUAL]","",IFERROR(AVERAGEIFS(DATOS!$K$2:$K$20000,DATOS!$A$2:$A$20000,S63,DATOS!$G$2:$G$20000,CONFIG_METADATA!$B$4,DATOS!$I$2:$I$20000,"Armonía"),"")))</f>
        <v/>
      </c>
      <c r="U63" t="str">
        <f>IF(S63="","",IF(S63="[FÓRMULA MANUAL]","",IFERROR(AVERAGEIFS(DATOS!$K$2:$K$20000,DATOS!$A$2:$A$20000,S63,DATOS!$G$2:$G$20000,CONFIG_METADATA!$B$4,DATOS!$I$2:$I$20000,"Orquesta/Banda/Conjunto"),"")))</f>
        <v/>
      </c>
      <c r="V63" t="str">
        <f>IF(S63="","",IF(S63="[FÓRMULA MANUAL]","",IFERROR(AVERAGEIFS(DATOS!$K$2:$K$20000,DATOS!$A$2:$A$20000,S63,DATOS!$G$2:$G$20000,CONFIG_METADATA!$B$4,DATOS!$I$2:$I$20000,"Música de Cámara"),"")))</f>
        <v/>
      </c>
      <c r="W63" t="str">
        <f>IF(S63="","",IF(S63="[FÓRMULA MANUAL]","",IFERROR(SUMPRODUCT((DATOS!$A$2:$A$20000=S63)*(DATOS!$G$2:$G$20000=CONFIG_METADATA!$B$4)*(COUNTIF(CONFIG_ASIGNATURAS!$B$7:$B$27,DATOS!$I$2:$I$20000)&gt;0)*(DATOS!$K$2:$K$20000))/SUMPRODUCT((DATOS!$A$2:$A$20000=S63)*(DATOS!$G$2:$G$20000=CONFIG_METADATA!$B$4)*(COUNTIF(CONFIG_ASIGNATURAS!$B$7:$B$27,DATOS!$I$2:$I$20000)&gt;0)*1),"")))</f>
        <v/>
      </c>
      <c r="Z63" t="str">
        <f>IF(Y63="","",IF(Y63="[FÓRMULA MANUAL]","",IFERROR(AVERAGEIFS(DATOS!$K$2:$K$20000,DATOS!$A$2:$A$20000,Y63,DATOS!$G$2:$G$20000,CONFIG_METADATA!$B$4,DATOS!$I$2:$I$20000,"Análisis"),"")))</f>
        <v/>
      </c>
      <c r="AA63" t="str">
        <f>IF(Y63="","",IF(Y63="[FÓRMULA MANUAL]","",IFERROR(AVERAGEIFS(DATOS!$K$2:$K$20000,DATOS!$A$2:$A$20000,Y63,DATOS!$G$2:$G$20000,CONFIG_METADATA!$B$4,DATOS!$I$2:$I$20000,"Orquesta/Banda/Conjunto"),"")))</f>
        <v/>
      </c>
      <c r="AB63" t="str">
        <f>IF(Y63="","",IF(Y63="[FÓRMULA MANUAL]","",IFERROR(AVERAGEIFS(DATOS!$K$2:$K$20000,DATOS!$A$2:$A$20000,Y63,DATOS!$G$2:$G$20000,CONFIG_METADATA!$B$4,DATOS!$I$2:$I$20000,"Música de Cámara"),"")))</f>
        <v/>
      </c>
      <c r="AC63" t="str">
        <f>IF(Y63="","",IF(Y63="[FÓRMULA MANUAL]","",IFERROR(SUMPRODUCT((DATOS!$A$2:$A$20000=Y63)*(DATOS!$G$2:$G$20000=CONFIG_METADATA!$B$4)*(COUNTIF(CONFIG_ASIGNATURAS!$B$7:$B$27,DATOS!$I$2:$I$20000)&gt;0)*(DATOS!$K$2:$K$20000))/SUMPRODUCT((DATOS!$A$2:$A$20000=Y63)*(DATOS!$G$2:$G$20000=CONFIG_METADATA!$B$4)*(COUNTIF(CONFIG_ASIGNATURAS!$B$7:$B$27,DATOS!$I$2:$I$20000)&gt;0)*1),"")))</f>
        <v/>
      </c>
      <c r="AF63" t="str">
        <f>IF(AE63="","",IF(AE63="[FÓRMULA MANUAL]","",IFERROR(AVERAGEIFS(DATOS!$K$2:$K$20000,DATOS!$A$2:$A$20000,AE63,DATOS!$G$2:$G$20000,CONFIG_METADATA!$B$4,DATOS!$I$2:$I$20000,"Análisis"),"")))</f>
        <v/>
      </c>
      <c r="AG63" t="str">
        <f>IF(AE63="","",IF(AE63="[FÓRMULA MANUAL]","",IFERROR(AVERAGEIFS(DATOS!$K$2:$K$20000,DATOS!$A$2:$A$20000,AE63,DATOS!$G$2:$G$20000,CONFIG_METADATA!$B$4,DATOS!$I$2:$I$20000,"Orquesta/Banda/Conjunto"),"")))</f>
        <v/>
      </c>
      <c r="AH63" t="str">
        <f>IF(AE63="","",IF(AE63="[FÓRMULA MANUAL]","",IFERROR(AVERAGEIFS(DATOS!$K$2:$K$20000,DATOS!$A$2:$A$20000,AE63,DATOS!$G$2:$G$20000,CONFIG_METADATA!$B$4,DATOS!$I$2:$I$20000,"Música de Cámara"),"")))</f>
        <v/>
      </c>
      <c r="AI63" t="str">
        <f>IF(AE63="","",IF(AE63="[FÓRMULA MANUAL]","",IFERROR(SUMPRODUCT((DATOS!$A$2:$A$20000=AE63)*(DATOS!$G$2:$G$20000=CONFIG_METADATA!$B$4)*(COUNTIF(CONFIG_ASIGNATURAS!$B$7:$B$27,DATOS!$I$2:$I$20000)&gt;0)*(DATOS!$K$2:$K$20000))/SUMPRODUCT((DATOS!$A$2:$A$20000=AE63)*(DATOS!$G$2:$G$20000=CONFIG_METADATA!$B$4)*(COUNTIF(CONFIG_ASIGNATURAS!$B$7:$B$27,DATOS!$I$2:$I$20000)&gt;0)*1),"")))</f>
        <v/>
      </c>
    </row>
    <row r="64" spans="2:35" x14ac:dyDescent="0.2">
      <c r="B64" t="str">
        <f>IF(A64="","",IF(A64="[FÓRMULA MANUAL]","",IFERROR(AVERAGEIFS(DATOS!$K$2:$K$20000,DATOS!$A$2:$A$20000,A64,DATOS!$G$2:$G$20000,CONFIG_METADATA!$B$4,DATOS!$I$2:$I$20000,"Lenguaje Musical"),"")))</f>
        <v/>
      </c>
      <c r="C64" t="str">
        <f>IF(A64="","",IF(A64="[FÓRMULA MANUAL]","",IFERROR(AVERAGEIFS(DATOS!$K$2:$K$20000,DATOS!$A$2:$A$20000,A64,DATOS!$G$2:$G$20000,CONFIG_METADATA!$B$4,DATOS!$I$2:$I$20000,"Orquesta/Banda/Conjunto"),"")))</f>
        <v/>
      </c>
      <c r="D64" t="str">
        <f>IF(A64="","",IF(A64="[FÓRMULA MANUAL]","",IFERROR(AVERAGEIFS(DATOS!$K$2:$K$20000,DATOS!$A$2:$A$20000,A64,DATOS!$G$2:$G$20000,CONFIG_METADATA!$B$4,DATOS!$I$2:$I$20000,"Conjunto"),"")))</f>
        <v/>
      </c>
      <c r="E64" t="str">
        <f>IF(A64="","",IF(A64="[FÓRMULA MANUAL]","",IFERROR(SUMPRODUCT((DATOS!$A$2:$A$20000=A64)*(DATOS!$G$2:$G$20000=CONFIG_METADATA!$B$4)*(COUNTIF(CONFIG_ASIGNATURAS!$B$7:$B$27,DATOS!$I$2:$I$20000)&gt;0)*(DATOS!$K$2:$K$20000))/SUMPRODUCT((DATOS!$A$2:$A$20000=A64)*(DATOS!$G$2:$G$20000=CONFIG_METADATA!$B$4)*(COUNTIF(CONFIG_ASIGNATURAS!$B$7:$B$27,DATOS!$I$2:$I$20000)&gt;0)*1),"")))</f>
        <v/>
      </c>
      <c r="H64" t="str">
        <f>IF(G64="","",IF(G64="[FÓRMULA MANUAL]","",IFERROR(AVERAGEIFS(DATOS!$K$2:$K$20000,DATOS!$A$2:$A$20000,G64,DATOS!$G$2:$G$20000,CONFIG_METADATA!$B$4,DATOS!$I$2:$I$20000,"Lenguaje Musical"),"")))</f>
        <v/>
      </c>
      <c r="I64" t="str">
        <f>IF(G64="","",IF(G64="[FÓRMULA MANUAL]","",IFERROR(AVERAGEIFS(DATOS!$K$2:$K$20000,DATOS!$A$2:$A$20000,G64,DATOS!$G$2:$G$20000,CONFIG_METADATA!$B$4,DATOS!$I$2:$I$20000,"Orquesta/Banda/Conjunto"),"")))</f>
        <v/>
      </c>
      <c r="J64" t="str">
        <f>IF(G64="","",IF(G64="[FÓRMULA MANUAL]","",IFERROR(AVERAGEIFS(DATOS!$K$2:$K$20000,DATOS!$A$2:$A$20000,G64,DATOS!$G$2:$G$20000,CONFIG_METADATA!$B$4,DATOS!$I$2:$I$20000,"Conjunto"),"")))</f>
        <v/>
      </c>
      <c r="K64" t="str">
        <f>IF(G64="","",IF(G64="[FÓRMULA MANUAL]","",IFERROR(SUMPRODUCT((DATOS!$A$2:$A$20000=G64)*(DATOS!$G$2:$G$20000=CONFIG_METADATA!$B$4)*(COUNTIF(CONFIG_ASIGNATURAS!$B$7:$B$27,DATOS!$I$2:$I$20000)&gt;0)*(DATOS!$K$2:$K$20000))/SUMPRODUCT((DATOS!$A$2:$A$20000=G64)*(DATOS!$G$2:$G$20000=CONFIG_METADATA!$B$4)*(COUNTIF(CONFIG_ASIGNATURAS!$B$7:$B$27,DATOS!$I$2:$I$20000)&gt;0)*1),"")))</f>
        <v/>
      </c>
      <c r="N64" t="str">
        <f>IF(M64="","",IF(M64="[FÓRMULA MANUAL]","",IFERROR(AVERAGEIFS(DATOS!$K$2:$K$20000,DATOS!$A$2:$A$20000,M64,DATOS!$G$2:$G$20000,CONFIG_METADATA!$B$4,DATOS!$I$2:$I$20000,"Armonía"),"")))</f>
        <v/>
      </c>
      <c r="O64" t="str">
        <f>IF(M64="","",IF(M64="[FÓRMULA MANUAL]","",IFERROR(AVERAGEIFS(DATOS!$K$2:$K$20000,DATOS!$A$2:$A$20000,M64,DATOS!$G$2:$G$20000,CONFIG_METADATA!$B$4,DATOS!$I$2:$I$20000,"Orquesta/Banda/Conjunto"),"")))</f>
        <v/>
      </c>
      <c r="P64" t="str">
        <f>IF(M64="","",IF(M64="[FÓRMULA MANUAL]","",IFERROR(AVERAGEIFS(DATOS!$K$2:$K$20000,DATOS!$A$2:$A$20000,M64,DATOS!$G$2:$G$20000,CONFIG_METADATA!$B$4,DATOS!$I$2:$I$20000,"Música de Cámara"),"")))</f>
        <v/>
      </c>
      <c r="Q64" t="str">
        <f>IF(M64="","",IF(M64="[FÓRMULA MANUAL]","",IFERROR(SUMPRODUCT((DATOS!$A$2:$A$20000=M64)*(DATOS!$G$2:$G$20000=CONFIG_METADATA!$B$4)*(COUNTIF(CONFIG_ASIGNATURAS!$B$7:$B$27,DATOS!$I$2:$I$20000)&gt;0)*(DATOS!$K$2:$K$20000))/SUMPRODUCT((DATOS!$A$2:$A$20000=M64)*(DATOS!$G$2:$G$20000=CONFIG_METADATA!$B$4)*(COUNTIF(CONFIG_ASIGNATURAS!$B$7:$B$27,DATOS!$I$2:$I$20000)&gt;0)*1),"")))</f>
        <v/>
      </c>
      <c r="T64" t="str">
        <f>IF(S64="","",IF(S64="[FÓRMULA MANUAL]","",IFERROR(AVERAGEIFS(DATOS!$K$2:$K$20000,DATOS!$A$2:$A$20000,S64,DATOS!$G$2:$G$20000,CONFIG_METADATA!$B$4,DATOS!$I$2:$I$20000,"Armonía"),"")))</f>
        <v/>
      </c>
      <c r="U64" t="str">
        <f>IF(S64="","",IF(S64="[FÓRMULA MANUAL]","",IFERROR(AVERAGEIFS(DATOS!$K$2:$K$20000,DATOS!$A$2:$A$20000,S64,DATOS!$G$2:$G$20000,CONFIG_METADATA!$B$4,DATOS!$I$2:$I$20000,"Orquesta/Banda/Conjunto"),"")))</f>
        <v/>
      </c>
      <c r="V64" t="str">
        <f>IF(S64="","",IF(S64="[FÓRMULA MANUAL]","",IFERROR(AVERAGEIFS(DATOS!$K$2:$K$20000,DATOS!$A$2:$A$20000,S64,DATOS!$G$2:$G$20000,CONFIG_METADATA!$B$4,DATOS!$I$2:$I$20000,"Música de Cámara"),"")))</f>
        <v/>
      </c>
      <c r="W64" t="str">
        <f>IF(S64="","",IF(S64="[FÓRMULA MANUAL]","",IFERROR(SUMPRODUCT((DATOS!$A$2:$A$20000=S64)*(DATOS!$G$2:$G$20000=CONFIG_METADATA!$B$4)*(COUNTIF(CONFIG_ASIGNATURAS!$B$7:$B$27,DATOS!$I$2:$I$20000)&gt;0)*(DATOS!$K$2:$K$20000))/SUMPRODUCT((DATOS!$A$2:$A$20000=S64)*(DATOS!$G$2:$G$20000=CONFIG_METADATA!$B$4)*(COUNTIF(CONFIG_ASIGNATURAS!$B$7:$B$27,DATOS!$I$2:$I$20000)&gt;0)*1),"")))</f>
        <v/>
      </c>
      <c r="Z64" t="str">
        <f>IF(Y64="","",IF(Y64="[FÓRMULA MANUAL]","",IFERROR(AVERAGEIFS(DATOS!$K$2:$K$20000,DATOS!$A$2:$A$20000,Y64,DATOS!$G$2:$G$20000,CONFIG_METADATA!$B$4,DATOS!$I$2:$I$20000,"Análisis"),"")))</f>
        <v/>
      </c>
      <c r="AA64" t="str">
        <f>IF(Y64="","",IF(Y64="[FÓRMULA MANUAL]","",IFERROR(AVERAGEIFS(DATOS!$K$2:$K$20000,DATOS!$A$2:$A$20000,Y64,DATOS!$G$2:$G$20000,CONFIG_METADATA!$B$4,DATOS!$I$2:$I$20000,"Orquesta/Banda/Conjunto"),"")))</f>
        <v/>
      </c>
      <c r="AB64" t="str">
        <f>IF(Y64="","",IF(Y64="[FÓRMULA MANUAL]","",IFERROR(AVERAGEIFS(DATOS!$K$2:$K$20000,DATOS!$A$2:$A$20000,Y64,DATOS!$G$2:$G$20000,CONFIG_METADATA!$B$4,DATOS!$I$2:$I$20000,"Música de Cámara"),"")))</f>
        <v/>
      </c>
      <c r="AC64" t="str">
        <f>IF(Y64="","",IF(Y64="[FÓRMULA MANUAL]","",IFERROR(SUMPRODUCT((DATOS!$A$2:$A$20000=Y64)*(DATOS!$G$2:$G$20000=CONFIG_METADATA!$B$4)*(COUNTIF(CONFIG_ASIGNATURAS!$B$7:$B$27,DATOS!$I$2:$I$20000)&gt;0)*(DATOS!$K$2:$K$20000))/SUMPRODUCT((DATOS!$A$2:$A$20000=Y64)*(DATOS!$G$2:$G$20000=CONFIG_METADATA!$B$4)*(COUNTIF(CONFIG_ASIGNATURAS!$B$7:$B$27,DATOS!$I$2:$I$20000)&gt;0)*1),"")))</f>
        <v/>
      </c>
      <c r="AF64" t="str">
        <f>IF(AE64="","",IF(AE64="[FÓRMULA MANUAL]","",IFERROR(AVERAGEIFS(DATOS!$K$2:$K$20000,DATOS!$A$2:$A$20000,AE64,DATOS!$G$2:$G$20000,CONFIG_METADATA!$B$4,DATOS!$I$2:$I$20000,"Análisis"),"")))</f>
        <v/>
      </c>
      <c r="AG64" t="str">
        <f>IF(AE64="","",IF(AE64="[FÓRMULA MANUAL]","",IFERROR(AVERAGEIFS(DATOS!$K$2:$K$20000,DATOS!$A$2:$A$20000,AE64,DATOS!$G$2:$G$20000,CONFIG_METADATA!$B$4,DATOS!$I$2:$I$20000,"Orquesta/Banda/Conjunto"),"")))</f>
        <v/>
      </c>
      <c r="AH64" t="str">
        <f>IF(AE64="","",IF(AE64="[FÓRMULA MANUAL]","",IFERROR(AVERAGEIFS(DATOS!$K$2:$K$20000,DATOS!$A$2:$A$20000,AE64,DATOS!$G$2:$G$20000,CONFIG_METADATA!$B$4,DATOS!$I$2:$I$20000,"Música de Cámara"),"")))</f>
        <v/>
      </c>
      <c r="AI64" t="str">
        <f>IF(AE64="","",IF(AE64="[FÓRMULA MANUAL]","",IFERROR(SUMPRODUCT((DATOS!$A$2:$A$20000=AE64)*(DATOS!$G$2:$G$20000=CONFIG_METADATA!$B$4)*(COUNTIF(CONFIG_ASIGNATURAS!$B$7:$B$27,DATOS!$I$2:$I$20000)&gt;0)*(DATOS!$K$2:$K$20000))/SUMPRODUCT((DATOS!$A$2:$A$20000=AE64)*(DATOS!$G$2:$G$20000=CONFIG_METADATA!$B$4)*(COUNTIF(CONFIG_ASIGNATURAS!$B$7:$B$27,DATOS!$I$2:$I$20000)&gt;0)*1),"")))</f>
        <v/>
      </c>
    </row>
    <row r="65" spans="2:35" x14ac:dyDescent="0.2">
      <c r="B65" t="str">
        <f>IF(A65="","",IF(A65="[FÓRMULA MANUAL]","",IFERROR(AVERAGEIFS(DATOS!$K$2:$K$20000,DATOS!$A$2:$A$20000,A65,DATOS!$G$2:$G$20000,CONFIG_METADATA!$B$4,DATOS!$I$2:$I$20000,"Lenguaje Musical"),"")))</f>
        <v/>
      </c>
      <c r="C65" t="str">
        <f>IF(A65="","",IF(A65="[FÓRMULA MANUAL]","",IFERROR(AVERAGEIFS(DATOS!$K$2:$K$20000,DATOS!$A$2:$A$20000,A65,DATOS!$G$2:$G$20000,CONFIG_METADATA!$B$4,DATOS!$I$2:$I$20000,"Orquesta/Banda/Conjunto"),"")))</f>
        <v/>
      </c>
      <c r="D65" t="str">
        <f>IF(A65="","",IF(A65="[FÓRMULA MANUAL]","",IFERROR(AVERAGEIFS(DATOS!$K$2:$K$20000,DATOS!$A$2:$A$20000,A65,DATOS!$G$2:$G$20000,CONFIG_METADATA!$B$4,DATOS!$I$2:$I$20000,"Conjunto"),"")))</f>
        <v/>
      </c>
      <c r="E65" t="str">
        <f>IF(A65="","",IF(A65="[FÓRMULA MANUAL]","",IFERROR(SUMPRODUCT((DATOS!$A$2:$A$20000=A65)*(DATOS!$G$2:$G$20000=CONFIG_METADATA!$B$4)*(COUNTIF(CONFIG_ASIGNATURAS!$B$7:$B$27,DATOS!$I$2:$I$20000)&gt;0)*(DATOS!$K$2:$K$20000))/SUMPRODUCT((DATOS!$A$2:$A$20000=A65)*(DATOS!$G$2:$G$20000=CONFIG_METADATA!$B$4)*(COUNTIF(CONFIG_ASIGNATURAS!$B$7:$B$27,DATOS!$I$2:$I$20000)&gt;0)*1),"")))</f>
        <v/>
      </c>
      <c r="H65" t="str">
        <f>IF(G65="","",IF(G65="[FÓRMULA MANUAL]","",IFERROR(AVERAGEIFS(DATOS!$K$2:$K$20000,DATOS!$A$2:$A$20000,G65,DATOS!$G$2:$G$20000,CONFIG_METADATA!$B$4,DATOS!$I$2:$I$20000,"Lenguaje Musical"),"")))</f>
        <v/>
      </c>
      <c r="I65" t="str">
        <f>IF(G65="","",IF(G65="[FÓRMULA MANUAL]","",IFERROR(AVERAGEIFS(DATOS!$K$2:$K$20000,DATOS!$A$2:$A$20000,G65,DATOS!$G$2:$G$20000,CONFIG_METADATA!$B$4,DATOS!$I$2:$I$20000,"Orquesta/Banda/Conjunto"),"")))</f>
        <v/>
      </c>
      <c r="J65" t="str">
        <f>IF(G65="","",IF(G65="[FÓRMULA MANUAL]","",IFERROR(AVERAGEIFS(DATOS!$K$2:$K$20000,DATOS!$A$2:$A$20000,G65,DATOS!$G$2:$G$20000,CONFIG_METADATA!$B$4,DATOS!$I$2:$I$20000,"Conjunto"),"")))</f>
        <v/>
      </c>
      <c r="K65" t="str">
        <f>IF(G65="","",IF(G65="[FÓRMULA MANUAL]","",IFERROR(SUMPRODUCT((DATOS!$A$2:$A$20000=G65)*(DATOS!$G$2:$G$20000=CONFIG_METADATA!$B$4)*(COUNTIF(CONFIG_ASIGNATURAS!$B$7:$B$27,DATOS!$I$2:$I$20000)&gt;0)*(DATOS!$K$2:$K$20000))/SUMPRODUCT((DATOS!$A$2:$A$20000=G65)*(DATOS!$G$2:$G$20000=CONFIG_METADATA!$B$4)*(COUNTIF(CONFIG_ASIGNATURAS!$B$7:$B$27,DATOS!$I$2:$I$20000)&gt;0)*1),"")))</f>
        <v/>
      </c>
      <c r="N65" t="str">
        <f>IF(M65="","",IF(M65="[FÓRMULA MANUAL]","",IFERROR(AVERAGEIFS(DATOS!$K$2:$K$20000,DATOS!$A$2:$A$20000,M65,DATOS!$G$2:$G$20000,CONFIG_METADATA!$B$4,DATOS!$I$2:$I$20000,"Armonía"),"")))</f>
        <v/>
      </c>
      <c r="O65" t="str">
        <f>IF(M65="","",IF(M65="[FÓRMULA MANUAL]","",IFERROR(AVERAGEIFS(DATOS!$K$2:$K$20000,DATOS!$A$2:$A$20000,M65,DATOS!$G$2:$G$20000,CONFIG_METADATA!$B$4,DATOS!$I$2:$I$20000,"Orquesta/Banda/Conjunto"),"")))</f>
        <v/>
      </c>
      <c r="P65" t="str">
        <f>IF(M65="","",IF(M65="[FÓRMULA MANUAL]","",IFERROR(AVERAGEIFS(DATOS!$K$2:$K$20000,DATOS!$A$2:$A$20000,M65,DATOS!$G$2:$G$20000,CONFIG_METADATA!$B$4,DATOS!$I$2:$I$20000,"Música de Cámara"),"")))</f>
        <v/>
      </c>
      <c r="Q65" t="str">
        <f>IF(M65="","",IF(M65="[FÓRMULA MANUAL]","",IFERROR(SUMPRODUCT((DATOS!$A$2:$A$20000=M65)*(DATOS!$G$2:$G$20000=CONFIG_METADATA!$B$4)*(COUNTIF(CONFIG_ASIGNATURAS!$B$7:$B$27,DATOS!$I$2:$I$20000)&gt;0)*(DATOS!$K$2:$K$20000))/SUMPRODUCT((DATOS!$A$2:$A$20000=M65)*(DATOS!$G$2:$G$20000=CONFIG_METADATA!$B$4)*(COUNTIF(CONFIG_ASIGNATURAS!$B$7:$B$27,DATOS!$I$2:$I$20000)&gt;0)*1),"")))</f>
        <v/>
      </c>
      <c r="T65" t="str">
        <f>IF(S65="","",IF(S65="[FÓRMULA MANUAL]","",IFERROR(AVERAGEIFS(DATOS!$K$2:$K$20000,DATOS!$A$2:$A$20000,S65,DATOS!$G$2:$G$20000,CONFIG_METADATA!$B$4,DATOS!$I$2:$I$20000,"Armonía"),"")))</f>
        <v/>
      </c>
      <c r="U65" t="str">
        <f>IF(S65="","",IF(S65="[FÓRMULA MANUAL]","",IFERROR(AVERAGEIFS(DATOS!$K$2:$K$20000,DATOS!$A$2:$A$20000,S65,DATOS!$G$2:$G$20000,CONFIG_METADATA!$B$4,DATOS!$I$2:$I$20000,"Orquesta/Banda/Conjunto"),"")))</f>
        <v/>
      </c>
      <c r="V65" t="str">
        <f>IF(S65="","",IF(S65="[FÓRMULA MANUAL]","",IFERROR(AVERAGEIFS(DATOS!$K$2:$K$20000,DATOS!$A$2:$A$20000,S65,DATOS!$G$2:$G$20000,CONFIG_METADATA!$B$4,DATOS!$I$2:$I$20000,"Música de Cámara"),"")))</f>
        <v/>
      </c>
      <c r="W65" t="str">
        <f>IF(S65="","",IF(S65="[FÓRMULA MANUAL]","",IFERROR(SUMPRODUCT((DATOS!$A$2:$A$20000=S65)*(DATOS!$G$2:$G$20000=CONFIG_METADATA!$B$4)*(COUNTIF(CONFIG_ASIGNATURAS!$B$7:$B$27,DATOS!$I$2:$I$20000)&gt;0)*(DATOS!$K$2:$K$20000))/SUMPRODUCT((DATOS!$A$2:$A$20000=S65)*(DATOS!$G$2:$G$20000=CONFIG_METADATA!$B$4)*(COUNTIF(CONFIG_ASIGNATURAS!$B$7:$B$27,DATOS!$I$2:$I$20000)&gt;0)*1),"")))</f>
        <v/>
      </c>
      <c r="Z65" t="str">
        <f>IF(Y65="","",IF(Y65="[FÓRMULA MANUAL]","",IFERROR(AVERAGEIFS(DATOS!$K$2:$K$20000,DATOS!$A$2:$A$20000,Y65,DATOS!$G$2:$G$20000,CONFIG_METADATA!$B$4,DATOS!$I$2:$I$20000,"Análisis"),"")))</f>
        <v/>
      </c>
      <c r="AA65" t="str">
        <f>IF(Y65="","",IF(Y65="[FÓRMULA MANUAL]","",IFERROR(AVERAGEIFS(DATOS!$K$2:$K$20000,DATOS!$A$2:$A$20000,Y65,DATOS!$G$2:$G$20000,CONFIG_METADATA!$B$4,DATOS!$I$2:$I$20000,"Orquesta/Banda/Conjunto"),"")))</f>
        <v/>
      </c>
      <c r="AB65" t="str">
        <f>IF(Y65="","",IF(Y65="[FÓRMULA MANUAL]","",IFERROR(AVERAGEIFS(DATOS!$K$2:$K$20000,DATOS!$A$2:$A$20000,Y65,DATOS!$G$2:$G$20000,CONFIG_METADATA!$B$4,DATOS!$I$2:$I$20000,"Música de Cámara"),"")))</f>
        <v/>
      </c>
      <c r="AC65" t="str">
        <f>IF(Y65="","",IF(Y65="[FÓRMULA MANUAL]","",IFERROR(SUMPRODUCT((DATOS!$A$2:$A$20000=Y65)*(DATOS!$G$2:$G$20000=CONFIG_METADATA!$B$4)*(COUNTIF(CONFIG_ASIGNATURAS!$B$7:$B$27,DATOS!$I$2:$I$20000)&gt;0)*(DATOS!$K$2:$K$20000))/SUMPRODUCT((DATOS!$A$2:$A$20000=Y65)*(DATOS!$G$2:$G$20000=CONFIG_METADATA!$B$4)*(COUNTIF(CONFIG_ASIGNATURAS!$B$7:$B$27,DATOS!$I$2:$I$20000)&gt;0)*1),"")))</f>
        <v/>
      </c>
      <c r="AF65" t="str">
        <f>IF(AE65="","",IF(AE65="[FÓRMULA MANUAL]","",IFERROR(AVERAGEIFS(DATOS!$K$2:$K$20000,DATOS!$A$2:$A$20000,AE65,DATOS!$G$2:$G$20000,CONFIG_METADATA!$B$4,DATOS!$I$2:$I$20000,"Análisis"),"")))</f>
        <v/>
      </c>
      <c r="AG65" t="str">
        <f>IF(AE65="","",IF(AE65="[FÓRMULA MANUAL]","",IFERROR(AVERAGEIFS(DATOS!$K$2:$K$20000,DATOS!$A$2:$A$20000,AE65,DATOS!$G$2:$G$20000,CONFIG_METADATA!$B$4,DATOS!$I$2:$I$20000,"Orquesta/Banda/Conjunto"),"")))</f>
        <v/>
      </c>
      <c r="AH65" t="str">
        <f>IF(AE65="","",IF(AE65="[FÓRMULA MANUAL]","",IFERROR(AVERAGEIFS(DATOS!$K$2:$K$20000,DATOS!$A$2:$A$20000,AE65,DATOS!$G$2:$G$20000,CONFIG_METADATA!$B$4,DATOS!$I$2:$I$20000,"Música de Cámara"),"")))</f>
        <v/>
      </c>
      <c r="AI65" t="str">
        <f>IF(AE65="","",IF(AE65="[FÓRMULA MANUAL]","",IFERROR(SUMPRODUCT((DATOS!$A$2:$A$20000=AE65)*(DATOS!$G$2:$G$20000=CONFIG_METADATA!$B$4)*(COUNTIF(CONFIG_ASIGNATURAS!$B$7:$B$27,DATOS!$I$2:$I$20000)&gt;0)*(DATOS!$K$2:$K$20000))/SUMPRODUCT((DATOS!$A$2:$A$20000=AE65)*(DATOS!$G$2:$G$20000=CONFIG_METADATA!$B$4)*(COUNTIF(CONFIG_ASIGNATURAS!$B$7:$B$27,DATOS!$I$2:$I$20000)&gt;0)*1),"")))</f>
        <v/>
      </c>
    </row>
    <row r="66" spans="2:35" x14ac:dyDescent="0.2">
      <c r="B66" t="str">
        <f>IF(A66="","",IF(A66="[FÓRMULA MANUAL]","",IFERROR(AVERAGEIFS(DATOS!$K$2:$K$20000,DATOS!$A$2:$A$20000,A66,DATOS!$G$2:$G$20000,CONFIG_METADATA!$B$4,DATOS!$I$2:$I$20000,"Lenguaje Musical"),"")))</f>
        <v/>
      </c>
      <c r="C66" t="str">
        <f>IF(A66="","",IF(A66="[FÓRMULA MANUAL]","",IFERROR(AVERAGEIFS(DATOS!$K$2:$K$20000,DATOS!$A$2:$A$20000,A66,DATOS!$G$2:$G$20000,CONFIG_METADATA!$B$4,DATOS!$I$2:$I$20000,"Orquesta/Banda/Conjunto"),"")))</f>
        <v/>
      </c>
      <c r="D66" t="str">
        <f>IF(A66="","",IF(A66="[FÓRMULA MANUAL]","",IFERROR(AVERAGEIFS(DATOS!$K$2:$K$20000,DATOS!$A$2:$A$20000,A66,DATOS!$G$2:$G$20000,CONFIG_METADATA!$B$4,DATOS!$I$2:$I$20000,"Conjunto"),"")))</f>
        <v/>
      </c>
      <c r="E66" t="str">
        <f>IF(A66="","",IF(A66="[FÓRMULA MANUAL]","",IFERROR(SUMPRODUCT((DATOS!$A$2:$A$20000=A66)*(DATOS!$G$2:$G$20000=CONFIG_METADATA!$B$4)*(COUNTIF(CONFIG_ASIGNATURAS!$B$7:$B$27,DATOS!$I$2:$I$20000)&gt;0)*(DATOS!$K$2:$K$20000))/SUMPRODUCT((DATOS!$A$2:$A$20000=A66)*(DATOS!$G$2:$G$20000=CONFIG_METADATA!$B$4)*(COUNTIF(CONFIG_ASIGNATURAS!$B$7:$B$27,DATOS!$I$2:$I$20000)&gt;0)*1),"")))</f>
        <v/>
      </c>
      <c r="H66" t="str">
        <f>IF(G66="","",IF(G66="[FÓRMULA MANUAL]","",IFERROR(AVERAGEIFS(DATOS!$K$2:$K$20000,DATOS!$A$2:$A$20000,G66,DATOS!$G$2:$G$20000,CONFIG_METADATA!$B$4,DATOS!$I$2:$I$20000,"Lenguaje Musical"),"")))</f>
        <v/>
      </c>
      <c r="I66" t="str">
        <f>IF(G66="","",IF(G66="[FÓRMULA MANUAL]","",IFERROR(AVERAGEIFS(DATOS!$K$2:$K$20000,DATOS!$A$2:$A$20000,G66,DATOS!$G$2:$G$20000,CONFIG_METADATA!$B$4,DATOS!$I$2:$I$20000,"Orquesta/Banda/Conjunto"),"")))</f>
        <v/>
      </c>
      <c r="J66" t="str">
        <f>IF(G66="","",IF(G66="[FÓRMULA MANUAL]","",IFERROR(AVERAGEIFS(DATOS!$K$2:$K$20000,DATOS!$A$2:$A$20000,G66,DATOS!$G$2:$G$20000,CONFIG_METADATA!$B$4,DATOS!$I$2:$I$20000,"Conjunto"),"")))</f>
        <v/>
      </c>
      <c r="K66" t="str">
        <f>IF(G66="","",IF(G66="[FÓRMULA MANUAL]","",IFERROR(SUMPRODUCT((DATOS!$A$2:$A$20000=G66)*(DATOS!$G$2:$G$20000=CONFIG_METADATA!$B$4)*(COUNTIF(CONFIG_ASIGNATURAS!$B$7:$B$27,DATOS!$I$2:$I$20000)&gt;0)*(DATOS!$K$2:$K$20000))/SUMPRODUCT((DATOS!$A$2:$A$20000=G66)*(DATOS!$G$2:$G$20000=CONFIG_METADATA!$B$4)*(COUNTIF(CONFIG_ASIGNATURAS!$B$7:$B$27,DATOS!$I$2:$I$20000)&gt;0)*1),"")))</f>
        <v/>
      </c>
      <c r="N66" t="str">
        <f>IF(M66="","",IF(M66="[FÓRMULA MANUAL]","",IFERROR(AVERAGEIFS(DATOS!$K$2:$K$20000,DATOS!$A$2:$A$20000,M66,DATOS!$G$2:$G$20000,CONFIG_METADATA!$B$4,DATOS!$I$2:$I$20000,"Armonía"),"")))</f>
        <v/>
      </c>
      <c r="O66" t="str">
        <f>IF(M66="","",IF(M66="[FÓRMULA MANUAL]","",IFERROR(AVERAGEIFS(DATOS!$K$2:$K$20000,DATOS!$A$2:$A$20000,M66,DATOS!$G$2:$G$20000,CONFIG_METADATA!$B$4,DATOS!$I$2:$I$20000,"Orquesta/Banda/Conjunto"),"")))</f>
        <v/>
      </c>
      <c r="P66" t="str">
        <f>IF(M66="","",IF(M66="[FÓRMULA MANUAL]","",IFERROR(AVERAGEIFS(DATOS!$K$2:$K$20000,DATOS!$A$2:$A$20000,M66,DATOS!$G$2:$G$20000,CONFIG_METADATA!$B$4,DATOS!$I$2:$I$20000,"Música de Cámara"),"")))</f>
        <v/>
      </c>
      <c r="Q66" t="str">
        <f>IF(M66="","",IF(M66="[FÓRMULA MANUAL]","",IFERROR(SUMPRODUCT((DATOS!$A$2:$A$20000=M66)*(DATOS!$G$2:$G$20000=CONFIG_METADATA!$B$4)*(COUNTIF(CONFIG_ASIGNATURAS!$B$7:$B$27,DATOS!$I$2:$I$20000)&gt;0)*(DATOS!$K$2:$K$20000))/SUMPRODUCT((DATOS!$A$2:$A$20000=M66)*(DATOS!$G$2:$G$20000=CONFIG_METADATA!$B$4)*(COUNTIF(CONFIG_ASIGNATURAS!$B$7:$B$27,DATOS!$I$2:$I$20000)&gt;0)*1),"")))</f>
        <v/>
      </c>
      <c r="T66" t="str">
        <f>IF(S66="","",IF(S66="[FÓRMULA MANUAL]","",IFERROR(AVERAGEIFS(DATOS!$K$2:$K$20000,DATOS!$A$2:$A$20000,S66,DATOS!$G$2:$G$20000,CONFIG_METADATA!$B$4,DATOS!$I$2:$I$20000,"Armonía"),"")))</f>
        <v/>
      </c>
      <c r="U66" t="str">
        <f>IF(S66="","",IF(S66="[FÓRMULA MANUAL]","",IFERROR(AVERAGEIFS(DATOS!$K$2:$K$20000,DATOS!$A$2:$A$20000,S66,DATOS!$G$2:$G$20000,CONFIG_METADATA!$B$4,DATOS!$I$2:$I$20000,"Orquesta/Banda/Conjunto"),"")))</f>
        <v/>
      </c>
      <c r="V66" t="str">
        <f>IF(S66="","",IF(S66="[FÓRMULA MANUAL]","",IFERROR(AVERAGEIFS(DATOS!$K$2:$K$20000,DATOS!$A$2:$A$20000,S66,DATOS!$G$2:$G$20000,CONFIG_METADATA!$B$4,DATOS!$I$2:$I$20000,"Música de Cámara"),"")))</f>
        <v/>
      </c>
      <c r="W66" t="str">
        <f>IF(S66="","",IF(S66="[FÓRMULA MANUAL]","",IFERROR(SUMPRODUCT((DATOS!$A$2:$A$20000=S66)*(DATOS!$G$2:$G$20000=CONFIG_METADATA!$B$4)*(COUNTIF(CONFIG_ASIGNATURAS!$B$7:$B$27,DATOS!$I$2:$I$20000)&gt;0)*(DATOS!$K$2:$K$20000))/SUMPRODUCT((DATOS!$A$2:$A$20000=S66)*(DATOS!$G$2:$G$20000=CONFIG_METADATA!$B$4)*(COUNTIF(CONFIG_ASIGNATURAS!$B$7:$B$27,DATOS!$I$2:$I$20000)&gt;0)*1),"")))</f>
        <v/>
      </c>
      <c r="Z66" t="str">
        <f>IF(Y66="","",IF(Y66="[FÓRMULA MANUAL]","",IFERROR(AVERAGEIFS(DATOS!$K$2:$K$20000,DATOS!$A$2:$A$20000,Y66,DATOS!$G$2:$G$20000,CONFIG_METADATA!$B$4,DATOS!$I$2:$I$20000,"Análisis"),"")))</f>
        <v/>
      </c>
      <c r="AA66" t="str">
        <f>IF(Y66="","",IF(Y66="[FÓRMULA MANUAL]","",IFERROR(AVERAGEIFS(DATOS!$K$2:$K$20000,DATOS!$A$2:$A$20000,Y66,DATOS!$G$2:$G$20000,CONFIG_METADATA!$B$4,DATOS!$I$2:$I$20000,"Orquesta/Banda/Conjunto"),"")))</f>
        <v/>
      </c>
      <c r="AB66" t="str">
        <f>IF(Y66="","",IF(Y66="[FÓRMULA MANUAL]","",IFERROR(AVERAGEIFS(DATOS!$K$2:$K$20000,DATOS!$A$2:$A$20000,Y66,DATOS!$G$2:$G$20000,CONFIG_METADATA!$B$4,DATOS!$I$2:$I$20000,"Música de Cámara"),"")))</f>
        <v/>
      </c>
      <c r="AC66" t="str">
        <f>IF(Y66="","",IF(Y66="[FÓRMULA MANUAL]","",IFERROR(SUMPRODUCT((DATOS!$A$2:$A$20000=Y66)*(DATOS!$G$2:$G$20000=CONFIG_METADATA!$B$4)*(COUNTIF(CONFIG_ASIGNATURAS!$B$7:$B$27,DATOS!$I$2:$I$20000)&gt;0)*(DATOS!$K$2:$K$20000))/SUMPRODUCT((DATOS!$A$2:$A$20000=Y66)*(DATOS!$G$2:$G$20000=CONFIG_METADATA!$B$4)*(COUNTIF(CONFIG_ASIGNATURAS!$B$7:$B$27,DATOS!$I$2:$I$20000)&gt;0)*1),"")))</f>
        <v/>
      </c>
      <c r="AF66" t="str">
        <f>IF(AE66="","",IF(AE66="[FÓRMULA MANUAL]","",IFERROR(AVERAGEIFS(DATOS!$K$2:$K$20000,DATOS!$A$2:$A$20000,AE66,DATOS!$G$2:$G$20000,CONFIG_METADATA!$B$4,DATOS!$I$2:$I$20000,"Análisis"),"")))</f>
        <v/>
      </c>
      <c r="AG66" t="str">
        <f>IF(AE66="","",IF(AE66="[FÓRMULA MANUAL]","",IFERROR(AVERAGEIFS(DATOS!$K$2:$K$20000,DATOS!$A$2:$A$20000,AE66,DATOS!$G$2:$G$20000,CONFIG_METADATA!$B$4,DATOS!$I$2:$I$20000,"Orquesta/Banda/Conjunto"),"")))</f>
        <v/>
      </c>
      <c r="AH66" t="str">
        <f>IF(AE66="","",IF(AE66="[FÓRMULA MANUAL]","",IFERROR(AVERAGEIFS(DATOS!$K$2:$K$20000,DATOS!$A$2:$A$20000,AE66,DATOS!$G$2:$G$20000,CONFIG_METADATA!$B$4,DATOS!$I$2:$I$20000,"Música de Cámara"),"")))</f>
        <v/>
      </c>
      <c r="AI66" t="str">
        <f>IF(AE66="","",IF(AE66="[FÓRMULA MANUAL]","",IFERROR(SUMPRODUCT((DATOS!$A$2:$A$20000=AE66)*(DATOS!$G$2:$G$20000=CONFIG_METADATA!$B$4)*(COUNTIF(CONFIG_ASIGNATURAS!$B$7:$B$27,DATOS!$I$2:$I$20000)&gt;0)*(DATOS!$K$2:$K$20000))/SUMPRODUCT((DATOS!$A$2:$A$20000=AE66)*(DATOS!$G$2:$G$20000=CONFIG_METADATA!$B$4)*(COUNTIF(CONFIG_ASIGNATURAS!$B$7:$B$27,DATOS!$I$2:$I$20000)&gt;0)*1),"")))</f>
        <v/>
      </c>
    </row>
    <row r="67" spans="2:35" x14ac:dyDescent="0.2">
      <c r="B67" t="str">
        <f>IF(A67="","",IF(A67="[FÓRMULA MANUAL]","",IFERROR(AVERAGEIFS(DATOS!$K$2:$K$20000,DATOS!$A$2:$A$20000,A67,DATOS!$G$2:$G$20000,CONFIG_METADATA!$B$4,DATOS!$I$2:$I$20000,"Lenguaje Musical"),"")))</f>
        <v/>
      </c>
      <c r="C67" t="str">
        <f>IF(A67="","",IF(A67="[FÓRMULA MANUAL]","",IFERROR(AVERAGEIFS(DATOS!$K$2:$K$20000,DATOS!$A$2:$A$20000,A67,DATOS!$G$2:$G$20000,CONFIG_METADATA!$B$4,DATOS!$I$2:$I$20000,"Orquesta/Banda/Conjunto"),"")))</f>
        <v/>
      </c>
      <c r="D67" t="str">
        <f>IF(A67="","",IF(A67="[FÓRMULA MANUAL]","",IFERROR(AVERAGEIFS(DATOS!$K$2:$K$20000,DATOS!$A$2:$A$20000,A67,DATOS!$G$2:$G$20000,CONFIG_METADATA!$B$4,DATOS!$I$2:$I$20000,"Conjunto"),"")))</f>
        <v/>
      </c>
      <c r="E67" t="str">
        <f>IF(A67="","",IF(A67="[FÓRMULA MANUAL]","",IFERROR(SUMPRODUCT((DATOS!$A$2:$A$20000=A67)*(DATOS!$G$2:$G$20000=CONFIG_METADATA!$B$4)*(COUNTIF(CONFIG_ASIGNATURAS!$B$7:$B$27,DATOS!$I$2:$I$20000)&gt;0)*(DATOS!$K$2:$K$20000))/SUMPRODUCT((DATOS!$A$2:$A$20000=A67)*(DATOS!$G$2:$G$20000=CONFIG_METADATA!$B$4)*(COUNTIF(CONFIG_ASIGNATURAS!$B$7:$B$27,DATOS!$I$2:$I$20000)&gt;0)*1),"")))</f>
        <v/>
      </c>
      <c r="H67" t="str">
        <f>IF(G67="","",IF(G67="[FÓRMULA MANUAL]","",IFERROR(AVERAGEIFS(DATOS!$K$2:$K$20000,DATOS!$A$2:$A$20000,G67,DATOS!$G$2:$G$20000,CONFIG_METADATA!$B$4,DATOS!$I$2:$I$20000,"Lenguaje Musical"),"")))</f>
        <v/>
      </c>
      <c r="I67" t="str">
        <f>IF(G67="","",IF(G67="[FÓRMULA MANUAL]","",IFERROR(AVERAGEIFS(DATOS!$K$2:$K$20000,DATOS!$A$2:$A$20000,G67,DATOS!$G$2:$G$20000,CONFIG_METADATA!$B$4,DATOS!$I$2:$I$20000,"Orquesta/Banda/Conjunto"),"")))</f>
        <v/>
      </c>
      <c r="J67" t="str">
        <f>IF(G67="","",IF(G67="[FÓRMULA MANUAL]","",IFERROR(AVERAGEIFS(DATOS!$K$2:$K$20000,DATOS!$A$2:$A$20000,G67,DATOS!$G$2:$G$20000,CONFIG_METADATA!$B$4,DATOS!$I$2:$I$20000,"Conjunto"),"")))</f>
        <v/>
      </c>
      <c r="K67" t="str">
        <f>IF(G67="","",IF(G67="[FÓRMULA MANUAL]","",IFERROR(SUMPRODUCT((DATOS!$A$2:$A$20000=G67)*(DATOS!$G$2:$G$20000=CONFIG_METADATA!$B$4)*(COUNTIF(CONFIG_ASIGNATURAS!$B$7:$B$27,DATOS!$I$2:$I$20000)&gt;0)*(DATOS!$K$2:$K$20000))/SUMPRODUCT((DATOS!$A$2:$A$20000=G67)*(DATOS!$G$2:$G$20000=CONFIG_METADATA!$B$4)*(COUNTIF(CONFIG_ASIGNATURAS!$B$7:$B$27,DATOS!$I$2:$I$20000)&gt;0)*1),"")))</f>
        <v/>
      </c>
      <c r="N67" t="str">
        <f>IF(M67="","",IF(M67="[FÓRMULA MANUAL]","",IFERROR(AVERAGEIFS(DATOS!$K$2:$K$20000,DATOS!$A$2:$A$20000,M67,DATOS!$G$2:$G$20000,CONFIG_METADATA!$B$4,DATOS!$I$2:$I$20000,"Armonía"),"")))</f>
        <v/>
      </c>
      <c r="O67" t="str">
        <f>IF(M67="","",IF(M67="[FÓRMULA MANUAL]","",IFERROR(AVERAGEIFS(DATOS!$K$2:$K$20000,DATOS!$A$2:$A$20000,M67,DATOS!$G$2:$G$20000,CONFIG_METADATA!$B$4,DATOS!$I$2:$I$20000,"Orquesta/Banda/Conjunto"),"")))</f>
        <v/>
      </c>
      <c r="P67" t="str">
        <f>IF(M67="","",IF(M67="[FÓRMULA MANUAL]","",IFERROR(AVERAGEIFS(DATOS!$K$2:$K$20000,DATOS!$A$2:$A$20000,M67,DATOS!$G$2:$G$20000,CONFIG_METADATA!$B$4,DATOS!$I$2:$I$20000,"Música de Cámara"),"")))</f>
        <v/>
      </c>
      <c r="Q67" t="str">
        <f>IF(M67="","",IF(M67="[FÓRMULA MANUAL]","",IFERROR(SUMPRODUCT((DATOS!$A$2:$A$20000=M67)*(DATOS!$G$2:$G$20000=CONFIG_METADATA!$B$4)*(COUNTIF(CONFIG_ASIGNATURAS!$B$7:$B$27,DATOS!$I$2:$I$20000)&gt;0)*(DATOS!$K$2:$K$20000))/SUMPRODUCT((DATOS!$A$2:$A$20000=M67)*(DATOS!$G$2:$G$20000=CONFIG_METADATA!$B$4)*(COUNTIF(CONFIG_ASIGNATURAS!$B$7:$B$27,DATOS!$I$2:$I$20000)&gt;0)*1),"")))</f>
        <v/>
      </c>
      <c r="T67" t="str">
        <f>IF(S67="","",IF(S67="[FÓRMULA MANUAL]","",IFERROR(AVERAGEIFS(DATOS!$K$2:$K$20000,DATOS!$A$2:$A$20000,S67,DATOS!$G$2:$G$20000,CONFIG_METADATA!$B$4,DATOS!$I$2:$I$20000,"Armonía"),"")))</f>
        <v/>
      </c>
      <c r="U67" t="str">
        <f>IF(S67="","",IF(S67="[FÓRMULA MANUAL]","",IFERROR(AVERAGEIFS(DATOS!$K$2:$K$20000,DATOS!$A$2:$A$20000,S67,DATOS!$G$2:$G$20000,CONFIG_METADATA!$B$4,DATOS!$I$2:$I$20000,"Orquesta/Banda/Conjunto"),"")))</f>
        <v/>
      </c>
      <c r="V67" t="str">
        <f>IF(S67="","",IF(S67="[FÓRMULA MANUAL]","",IFERROR(AVERAGEIFS(DATOS!$K$2:$K$20000,DATOS!$A$2:$A$20000,S67,DATOS!$G$2:$G$20000,CONFIG_METADATA!$B$4,DATOS!$I$2:$I$20000,"Música de Cámara"),"")))</f>
        <v/>
      </c>
      <c r="W67" t="str">
        <f>IF(S67="","",IF(S67="[FÓRMULA MANUAL]","",IFERROR(SUMPRODUCT((DATOS!$A$2:$A$20000=S67)*(DATOS!$G$2:$G$20000=CONFIG_METADATA!$B$4)*(COUNTIF(CONFIG_ASIGNATURAS!$B$7:$B$27,DATOS!$I$2:$I$20000)&gt;0)*(DATOS!$K$2:$K$20000))/SUMPRODUCT((DATOS!$A$2:$A$20000=S67)*(DATOS!$G$2:$G$20000=CONFIG_METADATA!$B$4)*(COUNTIF(CONFIG_ASIGNATURAS!$B$7:$B$27,DATOS!$I$2:$I$20000)&gt;0)*1),"")))</f>
        <v/>
      </c>
      <c r="Z67" t="str">
        <f>IF(Y67="","",IF(Y67="[FÓRMULA MANUAL]","",IFERROR(AVERAGEIFS(DATOS!$K$2:$K$20000,DATOS!$A$2:$A$20000,Y67,DATOS!$G$2:$G$20000,CONFIG_METADATA!$B$4,DATOS!$I$2:$I$20000,"Análisis"),"")))</f>
        <v/>
      </c>
      <c r="AA67" t="str">
        <f>IF(Y67="","",IF(Y67="[FÓRMULA MANUAL]","",IFERROR(AVERAGEIFS(DATOS!$K$2:$K$20000,DATOS!$A$2:$A$20000,Y67,DATOS!$G$2:$G$20000,CONFIG_METADATA!$B$4,DATOS!$I$2:$I$20000,"Orquesta/Banda/Conjunto"),"")))</f>
        <v/>
      </c>
      <c r="AB67" t="str">
        <f>IF(Y67="","",IF(Y67="[FÓRMULA MANUAL]","",IFERROR(AVERAGEIFS(DATOS!$K$2:$K$20000,DATOS!$A$2:$A$20000,Y67,DATOS!$G$2:$G$20000,CONFIG_METADATA!$B$4,DATOS!$I$2:$I$20000,"Música de Cámara"),"")))</f>
        <v/>
      </c>
      <c r="AC67" t="str">
        <f>IF(Y67="","",IF(Y67="[FÓRMULA MANUAL]","",IFERROR(SUMPRODUCT((DATOS!$A$2:$A$20000=Y67)*(DATOS!$G$2:$G$20000=CONFIG_METADATA!$B$4)*(COUNTIF(CONFIG_ASIGNATURAS!$B$7:$B$27,DATOS!$I$2:$I$20000)&gt;0)*(DATOS!$K$2:$K$20000))/SUMPRODUCT((DATOS!$A$2:$A$20000=Y67)*(DATOS!$G$2:$G$20000=CONFIG_METADATA!$B$4)*(COUNTIF(CONFIG_ASIGNATURAS!$B$7:$B$27,DATOS!$I$2:$I$20000)&gt;0)*1),"")))</f>
        <v/>
      </c>
      <c r="AF67" t="str">
        <f>IF(AE67="","",IF(AE67="[FÓRMULA MANUAL]","",IFERROR(AVERAGEIFS(DATOS!$K$2:$K$20000,DATOS!$A$2:$A$20000,AE67,DATOS!$G$2:$G$20000,CONFIG_METADATA!$B$4,DATOS!$I$2:$I$20000,"Análisis"),"")))</f>
        <v/>
      </c>
      <c r="AG67" t="str">
        <f>IF(AE67="","",IF(AE67="[FÓRMULA MANUAL]","",IFERROR(AVERAGEIFS(DATOS!$K$2:$K$20000,DATOS!$A$2:$A$20000,AE67,DATOS!$G$2:$G$20000,CONFIG_METADATA!$B$4,DATOS!$I$2:$I$20000,"Orquesta/Banda/Conjunto"),"")))</f>
        <v/>
      </c>
      <c r="AH67" t="str">
        <f>IF(AE67="","",IF(AE67="[FÓRMULA MANUAL]","",IFERROR(AVERAGEIFS(DATOS!$K$2:$K$20000,DATOS!$A$2:$A$20000,AE67,DATOS!$G$2:$G$20000,CONFIG_METADATA!$B$4,DATOS!$I$2:$I$20000,"Música de Cámara"),"")))</f>
        <v/>
      </c>
      <c r="AI67" t="str">
        <f>IF(AE67="","",IF(AE67="[FÓRMULA MANUAL]","",IFERROR(SUMPRODUCT((DATOS!$A$2:$A$20000=AE67)*(DATOS!$G$2:$G$20000=CONFIG_METADATA!$B$4)*(COUNTIF(CONFIG_ASIGNATURAS!$B$7:$B$27,DATOS!$I$2:$I$20000)&gt;0)*(DATOS!$K$2:$K$20000))/SUMPRODUCT((DATOS!$A$2:$A$20000=AE67)*(DATOS!$G$2:$G$20000=CONFIG_METADATA!$B$4)*(COUNTIF(CONFIG_ASIGNATURAS!$B$7:$B$27,DATOS!$I$2:$I$20000)&gt;0)*1),"")))</f>
        <v/>
      </c>
    </row>
    <row r="68" spans="2:35" x14ac:dyDescent="0.2">
      <c r="B68" t="str">
        <f>IF(A68="","",IF(A68="[FÓRMULA MANUAL]","",IFERROR(AVERAGEIFS(DATOS!$K$2:$K$20000,DATOS!$A$2:$A$20000,A68,DATOS!$G$2:$G$20000,CONFIG_METADATA!$B$4,DATOS!$I$2:$I$20000,"Lenguaje Musical"),"")))</f>
        <v/>
      </c>
      <c r="C68" t="str">
        <f>IF(A68="","",IF(A68="[FÓRMULA MANUAL]","",IFERROR(AVERAGEIFS(DATOS!$K$2:$K$20000,DATOS!$A$2:$A$20000,A68,DATOS!$G$2:$G$20000,CONFIG_METADATA!$B$4,DATOS!$I$2:$I$20000,"Orquesta/Banda/Conjunto"),"")))</f>
        <v/>
      </c>
      <c r="D68" t="str">
        <f>IF(A68="","",IF(A68="[FÓRMULA MANUAL]","",IFERROR(AVERAGEIFS(DATOS!$K$2:$K$20000,DATOS!$A$2:$A$20000,A68,DATOS!$G$2:$G$20000,CONFIG_METADATA!$B$4,DATOS!$I$2:$I$20000,"Conjunto"),"")))</f>
        <v/>
      </c>
      <c r="E68" t="str">
        <f>IF(A68="","",IF(A68="[FÓRMULA MANUAL]","",IFERROR(SUMPRODUCT((DATOS!$A$2:$A$20000=A68)*(DATOS!$G$2:$G$20000=CONFIG_METADATA!$B$4)*(COUNTIF(CONFIG_ASIGNATURAS!$B$7:$B$27,DATOS!$I$2:$I$20000)&gt;0)*(DATOS!$K$2:$K$20000))/SUMPRODUCT((DATOS!$A$2:$A$20000=A68)*(DATOS!$G$2:$G$20000=CONFIG_METADATA!$B$4)*(COUNTIF(CONFIG_ASIGNATURAS!$B$7:$B$27,DATOS!$I$2:$I$20000)&gt;0)*1),"")))</f>
        <v/>
      </c>
      <c r="H68" t="str">
        <f>IF(G68="","",IF(G68="[FÓRMULA MANUAL]","",IFERROR(AVERAGEIFS(DATOS!$K$2:$K$20000,DATOS!$A$2:$A$20000,G68,DATOS!$G$2:$G$20000,CONFIG_METADATA!$B$4,DATOS!$I$2:$I$20000,"Lenguaje Musical"),"")))</f>
        <v/>
      </c>
      <c r="I68" t="str">
        <f>IF(G68="","",IF(G68="[FÓRMULA MANUAL]","",IFERROR(AVERAGEIFS(DATOS!$K$2:$K$20000,DATOS!$A$2:$A$20000,G68,DATOS!$G$2:$G$20000,CONFIG_METADATA!$B$4,DATOS!$I$2:$I$20000,"Orquesta/Banda/Conjunto"),"")))</f>
        <v/>
      </c>
      <c r="J68" t="str">
        <f>IF(G68="","",IF(G68="[FÓRMULA MANUAL]","",IFERROR(AVERAGEIFS(DATOS!$K$2:$K$20000,DATOS!$A$2:$A$20000,G68,DATOS!$G$2:$G$20000,CONFIG_METADATA!$B$4,DATOS!$I$2:$I$20000,"Conjunto"),"")))</f>
        <v/>
      </c>
      <c r="K68" t="str">
        <f>IF(G68="","",IF(G68="[FÓRMULA MANUAL]","",IFERROR(SUMPRODUCT((DATOS!$A$2:$A$20000=G68)*(DATOS!$G$2:$G$20000=CONFIG_METADATA!$B$4)*(COUNTIF(CONFIG_ASIGNATURAS!$B$7:$B$27,DATOS!$I$2:$I$20000)&gt;0)*(DATOS!$K$2:$K$20000))/SUMPRODUCT((DATOS!$A$2:$A$20000=G68)*(DATOS!$G$2:$G$20000=CONFIG_METADATA!$B$4)*(COUNTIF(CONFIG_ASIGNATURAS!$B$7:$B$27,DATOS!$I$2:$I$20000)&gt;0)*1),"")))</f>
        <v/>
      </c>
      <c r="N68" t="str">
        <f>IF(M68="","",IF(M68="[FÓRMULA MANUAL]","",IFERROR(AVERAGEIFS(DATOS!$K$2:$K$20000,DATOS!$A$2:$A$20000,M68,DATOS!$G$2:$G$20000,CONFIG_METADATA!$B$4,DATOS!$I$2:$I$20000,"Armonía"),"")))</f>
        <v/>
      </c>
      <c r="O68" t="str">
        <f>IF(M68="","",IF(M68="[FÓRMULA MANUAL]","",IFERROR(AVERAGEIFS(DATOS!$K$2:$K$20000,DATOS!$A$2:$A$20000,M68,DATOS!$G$2:$G$20000,CONFIG_METADATA!$B$4,DATOS!$I$2:$I$20000,"Orquesta/Banda/Conjunto"),"")))</f>
        <v/>
      </c>
      <c r="P68" t="str">
        <f>IF(M68="","",IF(M68="[FÓRMULA MANUAL]","",IFERROR(AVERAGEIFS(DATOS!$K$2:$K$20000,DATOS!$A$2:$A$20000,M68,DATOS!$G$2:$G$20000,CONFIG_METADATA!$B$4,DATOS!$I$2:$I$20000,"Música de Cámara"),"")))</f>
        <v/>
      </c>
      <c r="Q68" t="str">
        <f>IF(M68="","",IF(M68="[FÓRMULA MANUAL]","",IFERROR(SUMPRODUCT((DATOS!$A$2:$A$20000=M68)*(DATOS!$G$2:$G$20000=CONFIG_METADATA!$B$4)*(COUNTIF(CONFIG_ASIGNATURAS!$B$7:$B$27,DATOS!$I$2:$I$20000)&gt;0)*(DATOS!$K$2:$K$20000))/SUMPRODUCT((DATOS!$A$2:$A$20000=M68)*(DATOS!$G$2:$G$20000=CONFIG_METADATA!$B$4)*(COUNTIF(CONFIG_ASIGNATURAS!$B$7:$B$27,DATOS!$I$2:$I$20000)&gt;0)*1),"")))</f>
        <v/>
      </c>
      <c r="T68" t="str">
        <f>IF(S68="","",IF(S68="[FÓRMULA MANUAL]","",IFERROR(AVERAGEIFS(DATOS!$K$2:$K$20000,DATOS!$A$2:$A$20000,S68,DATOS!$G$2:$G$20000,CONFIG_METADATA!$B$4,DATOS!$I$2:$I$20000,"Armonía"),"")))</f>
        <v/>
      </c>
      <c r="U68" t="str">
        <f>IF(S68="","",IF(S68="[FÓRMULA MANUAL]","",IFERROR(AVERAGEIFS(DATOS!$K$2:$K$20000,DATOS!$A$2:$A$20000,S68,DATOS!$G$2:$G$20000,CONFIG_METADATA!$B$4,DATOS!$I$2:$I$20000,"Orquesta/Banda/Conjunto"),"")))</f>
        <v/>
      </c>
      <c r="V68" t="str">
        <f>IF(S68="","",IF(S68="[FÓRMULA MANUAL]","",IFERROR(AVERAGEIFS(DATOS!$K$2:$K$20000,DATOS!$A$2:$A$20000,S68,DATOS!$G$2:$G$20000,CONFIG_METADATA!$B$4,DATOS!$I$2:$I$20000,"Música de Cámara"),"")))</f>
        <v/>
      </c>
      <c r="W68" t="str">
        <f>IF(S68="","",IF(S68="[FÓRMULA MANUAL]","",IFERROR(SUMPRODUCT((DATOS!$A$2:$A$20000=S68)*(DATOS!$G$2:$G$20000=CONFIG_METADATA!$B$4)*(COUNTIF(CONFIG_ASIGNATURAS!$B$7:$B$27,DATOS!$I$2:$I$20000)&gt;0)*(DATOS!$K$2:$K$20000))/SUMPRODUCT((DATOS!$A$2:$A$20000=S68)*(DATOS!$G$2:$G$20000=CONFIG_METADATA!$B$4)*(COUNTIF(CONFIG_ASIGNATURAS!$B$7:$B$27,DATOS!$I$2:$I$20000)&gt;0)*1),"")))</f>
        <v/>
      </c>
      <c r="Z68" t="str">
        <f>IF(Y68="","",IF(Y68="[FÓRMULA MANUAL]","",IFERROR(AVERAGEIFS(DATOS!$K$2:$K$20000,DATOS!$A$2:$A$20000,Y68,DATOS!$G$2:$G$20000,CONFIG_METADATA!$B$4,DATOS!$I$2:$I$20000,"Análisis"),"")))</f>
        <v/>
      </c>
      <c r="AA68" t="str">
        <f>IF(Y68="","",IF(Y68="[FÓRMULA MANUAL]","",IFERROR(AVERAGEIFS(DATOS!$K$2:$K$20000,DATOS!$A$2:$A$20000,Y68,DATOS!$G$2:$G$20000,CONFIG_METADATA!$B$4,DATOS!$I$2:$I$20000,"Orquesta/Banda/Conjunto"),"")))</f>
        <v/>
      </c>
      <c r="AB68" t="str">
        <f>IF(Y68="","",IF(Y68="[FÓRMULA MANUAL]","",IFERROR(AVERAGEIFS(DATOS!$K$2:$K$20000,DATOS!$A$2:$A$20000,Y68,DATOS!$G$2:$G$20000,CONFIG_METADATA!$B$4,DATOS!$I$2:$I$20000,"Música de Cámara"),"")))</f>
        <v/>
      </c>
      <c r="AC68" t="str">
        <f>IF(Y68="","",IF(Y68="[FÓRMULA MANUAL]","",IFERROR(SUMPRODUCT((DATOS!$A$2:$A$20000=Y68)*(DATOS!$G$2:$G$20000=CONFIG_METADATA!$B$4)*(COUNTIF(CONFIG_ASIGNATURAS!$B$7:$B$27,DATOS!$I$2:$I$20000)&gt;0)*(DATOS!$K$2:$K$20000))/SUMPRODUCT((DATOS!$A$2:$A$20000=Y68)*(DATOS!$G$2:$G$20000=CONFIG_METADATA!$B$4)*(COUNTIF(CONFIG_ASIGNATURAS!$B$7:$B$27,DATOS!$I$2:$I$20000)&gt;0)*1),"")))</f>
        <v/>
      </c>
      <c r="AF68" t="str">
        <f>IF(AE68="","",IF(AE68="[FÓRMULA MANUAL]","",IFERROR(AVERAGEIFS(DATOS!$K$2:$K$20000,DATOS!$A$2:$A$20000,AE68,DATOS!$G$2:$G$20000,CONFIG_METADATA!$B$4,DATOS!$I$2:$I$20000,"Análisis"),"")))</f>
        <v/>
      </c>
      <c r="AG68" t="str">
        <f>IF(AE68="","",IF(AE68="[FÓRMULA MANUAL]","",IFERROR(AVERAGEIFS(DATOS!$K$2:$K$20000,DATOS!$A$2:$A$20000,AE68,DATOS!$G$2:$G$20000,CONFIG_METADATA!$B$4,DATOS!$I$2:$I$20000,"Orquesta/Banda/Conjunto"),"")))</f>
        <v/>
      </c>
      <c r="AH68" t="str">
        <f>IF(AE68="","",IF(AE68="[FÓRMULA MANUAL]","",IFERROR(AVERAGEIFS(DATOS!$K$2:$K$20000,DATOS!$A$2:$A$20000,AE68,DATOS!$G$2:$G$20000,CONFIG_METADATA!$B$4,DATOS!$I$2:$I$20000,"Música de Cámara"),"")))</f>
        <v/>
      </c>
      <c r="AI68" t="str">
        <f>IF(AE68="","",IF(AE68="[FÓRMULA MANUAL]","",IFERROR(SUMPRODUCT((DATOS!$A$2:$A$20000=AE68)*(DATOS!$G$2:$G$20000=CONFIG_METADATA!$B$4)*(COUNTIF(CONFIG_ASIGNATURAS!$B$7:$B$27,DATOS!$I$2:$I$20000)&gt;0)*(DATOS!$K$2:$K$20000))/SUMPRODUCT((DATOS!$A$2:$A$20000=AE68)*(DATOS!$G$2:$G$20000=CONFIG_METADATA!$B$4)*(COUNTIF(CONFIG_ASIGNATURAS!$B$7:$B$27,DATOS!$I$2:$I$20000)&gt;0)*1),"")))</f>
        <v/>
      </c>
    </row>
    <row r="69" spans="2:35" x14ac:dyDescent="0.2">
      <c r="B69" t="str">
        <f>IF(A69="","",IF(A69="[FÓRMULA MANUAL]","",IFERROR(AVERAGEIFS(DATOS!$K$2:$K$20000,DATOS!$A$2:$A$20000,A69,DATOS!$G$2:$G$20000,CONFIG_METADATA!$B$4,DATOS!$I$2:$I$20000,"Lenguaje Musical"),"")))</f>
        <v/>
      </c>
      <c r="C69" t="str">
        <f>IF(A69="","",IF(A69="[FÓRMULA MANUAL]","",IFERROR(AVERAGEIFS(DATOS!$K$2:$K$20000,DATOS!$A$2:$A$20000,A69,DATOS!$G$2:$G$20000,CONFIG_METADATA!$B$4,DATOS!$I$2:$I$20000,"Orquesta/Banda/Conjunto"),"")))</f>
        <v/>
      </c>
      <c r="D69" t="str">
        <f>IF(A69="","",IF(A69="[FÓRMULA MANUAL]","",IFERROR(AVERAGEIFS(DATOS!$K$2:$K$20000,DATOS!$A$2:$A$20000,A69,DATOS!$G$2:$G$20000,CONFIG_METADATA!$B$4,DATOS!$I$2:$I$20000,"Conjunto"),"")))</f>
        <v/>
      </c>
      <c r="E69" t="str">
        <f>IF(A69="","",IF(A69="[FÓRMULA MANUAL]","",IFERROR(SUMPRODUCT((DATOS!$A$2:$A$20000=A69)*(DATOS!$G$2:$G$20000=CONFIG_METADATA!$B$4)*(COUNTIF(CONFIG_ASIGNATURAS!$B$7:$B$27,DATOS!$I$2:$I$20000)&gt;0)*(DATOS!$K$2:$K$20000))/SUMPRODUCT((DATOS!$A$2:$A$20000=A69)*(DATOS!$G$2:$G$20000=CONFIG_METADATA!$B$4)*(COUNTIF(CONFIG_ASIGNATURAS!$B$7:$B$27,DATOS!$I$2:$I$20000)&gt;0)*1),"")))</f>
        <v/>
      </c>
      <c r="H69" t="str">
        <f>IF(G69="","",IF(G69="[FÓRMULA MANUAL]","",IFERROR(AVERAGEIFS(DATOS!$K$2:$K$20000,DATOS!$A$2:$A$20000,G69,DATOS!$G$2:$G$20000,CONFIG_METADATA!$B$4,DATOS!$I$2:$I$20000,"Lenguaje Musical"),"")))</f>
        <v/>
      </c>
      <c r="I69" t="str">
        <f>IF(G69="","",IF(G69="[FÓRMULA MANUAL]","",IFERROR(AVERAGEIFS(DATOS!$K$2:$K$20000,DATOS!$A$2:$A$20000,G69,DATOS!$G$2:$G$20000,CONFIG_METADATA!$B$4,DATOS!$I$2:$I$20000,"Orquesta/Banda/Conjunto"),"")))</f>
        <v/>
      </c>
      <c r="J69" t="str">
        <f>IF(G69="","",IF(G69="[FÓRMULA MANUAL]","",IFERROR(AVERAGEIFS(DATOS!$K$2:$K$20000,DATOS!$A$2:$A$20000,G69,DATOS!$G$2:$G$20000,CONFIG_METADATA!$B$4,DATOS!$I$2:$I$20000,"Conjunto"),"")))</f>
        <v/>
      </c>
      <c r="K69" t="str">
        <f>IF(G69="","",IF(G69="[FÓRMULA MANUAL]","",IFERROR(SUMPRODUCT((DATOS!$A$2:$A$20000=G69)*(DATOS!$G$2:$G$20000=CONFIG_METADATA!$B$4)*(COUNTIF(CONFIG_ASIGNATURAS!$B$7:$B$27,DATOS!$I$2:$I$20000)&gt;0)*(DATOS!$K$2:$K$20000))/SUMPRODUCT((DATOS!$A$2:$A$20000=G69)*(DATOS!$G$2:$G$20000=CONFIG_METADATA!$B$4)*(COUNTIF(CONFIG_ASIGNATURAS!$B$7:$B$27,DATOS!$I$2:$I$20000)&gt;0)*1),"")))</f>
        <v/>
      </c>
      <c r="N69" t="str">
        <f>IF(M69="","",IF(M69="[FÓRMULA MANUAL]","",IFERROR(AVERAGEIFS(DATOS!$K$2:$K$20000,DATOS!$A$2:$A$20000,M69,DATOS!$G$2:$G$20000,CONFIG_METADATA!$B$4,DATOS!$I$2:$I$20000,"Armonía"),"")))</f>
        <v/>
      </c>
      <c r="O69" t="str">
        <f>IF(M69="","",IF(M69="[FÓRMULA MANUAL]","",IFERROR(AVERAGEIFS(DATOS!$K$2:$K$20000,DATOS!$A$2:$A$20000,M69,DATOS!$G$2:$G$20000,CONFIG_METADATA!$B$4,DATOS!$I$2:$I$20000,"Orquesta/Banda/Conjunto"),"")))</f>
        <v/>
      </c>
      <c r="P69" t="str">
        <f>IF(M69="","",IF(M69="[FÓRMULA MANUAL]","",IFERROR(AVERAGEIFS(DATOS!$K$2:$K$20000,DATOS!$A$2:$A$20000,M69,DATOS!$G$2:$G$20000,CONFIG_METADATA!$B$4,DATOS!$I$2:$I$20000,"Música de Cámara"),"")))</f>
        <v/>
      </c>
      <c r="Q69" t="str">
        <f>IF(M69="","",IF(M69="[FÓRMULA MANUAL]","",IFERROR(SUMPRODUCT((DATOS!$A$2:$A$20000=M69)*(DATOS!$G$2:$G$20000=CONFIG_METADATA!$B$4)*(COUNTIF(CONFIG_ASIGNATURAS!$B$7:$B$27,DATOS!$I$2:$I$20000)&gt;0)*(DATOS!$K$2:$K$20000))/SUMPRODUCT((DATOS!$A$2:$A$20000=M69)*(DATOS!$G$2:$G$20000=CONFIG_METADATA!$B$4)*(COUNTIF(CONFIG_ASIGNATURAS!$B$7:$B$27,DATOS!$I$2:$I$20000)&gt;0)*1),"")))</f>
        <v/>
      </c>
      <c r="T69" t="str">
        <f>IF(S69="","",IF(S69="[FÓRMULA MANUAL]","",IFERROR(AVERAGEIFS(DATOS!$K$2:$K$20000,DATOS!$A$2:$A$20000,S69,DATOS!$G$2:$G$20000,CONFIG_METADATA!$B$4,DATOS!$I$2:$I$20000,"Armonía"),"")))</f>
        <v/>
      </c>
      <c r="U69" t="str">
        <f>IF(S69="","",IF(S69="[FÓRMULA MANUAL]","",IFERROR(AVERAGEIFS(DATOS!$K$2:$K$20000,DATOS!$A$2:$A$20000,S69,DATOS!$G$2:$G$20000,CONFIG_METADATA!$B$4,DATOS!$I$2:$I$20000,"Orquesta/Banda/Conjunto"),"")))</f>
        <v/>
      </c>
      <c r="V69" t="str">
        <f>IF(S69="","",IF(S69="[FÓRMULA MANUAL]","",IFERROR(AVERAGEIFS(DATOS!$K$2:$K$20000,DATOS!$A$2:$A$20000,S69,DATOS!$G$2:$G$20000,CONFIG_METADATA!$B$4,DATOS!$I$2:$I$20000,"Música de Cámara"),"")))</f>
        <v/>
      </c>
      <c r="W69" t="str">
        <f>IF(S69="","",IF(S69="[FÓRMULA MANUAL]","",IFERROR(SUMPRODUCT((DATOS!$A$2:$A$20000=S69)*(DATOS!$G$2:$G$20000=CONFIG_METADATA!$B$4)*(COUNTIF(CONFIG_ASIGNATURAS!$B$7:$B$27,DATOS!$I$2:$I$20000)&gt;0)*(DATOS!$K$2:$K$20000))/SUMPRODUCT((DATOS!$A$2:$A$20000=S69)*(DATOS!$G$2:$G$20000=CONFIG_METADATA!$B$4)*(COUNTIF(CONFIG_ASIGNATURAS!$B$7:$B$27,DATOS!$I$2:$I$20000)&gt;0)*1),"")))</f>
        <v/>
      </c>
      <c r="Z69" t="str">
        <f>IF(Y69="","",IF(Y69="[FÓRMULA MANUAL]","",IFERROR(AVERAGEIFS(DATOS!$K$2:$K$20000,DATOS!$A$2:$A$20000,Y69,DATOS!$G$2:$G$20000,CONFIG_METADATA!$B$4,DATOS!$I$2:$I$20000,"Análisis"),"")))</f>
        <v/>
      </c>
      <c r="AA69" t="str">
        <f>IF(Y69="","",IF(Y69="[FÓRMULA MANUAL]","",IFERROR(AVERAGEIFS(DATOS!$K$2:$K$20000,DATOS!$A$2:$A$20000,Y69,DATOS!$G$2:$G$20000,CONFIG_METADATA!$B$4,DATOS!$I$2:$I$20000,"Orquesta/Banda/Conjunto"),"")))</f>
        <v/>
      </c>
      <c r="AB69" t="str">
        <f>IF(Y69="","",IF(Y69="[FÓRMULA MANUAL]","",IFERROR(AVERAGEIFS(DATOS!$K$2:$K$20000,DATOS!$A$2:$A$20000,Y69,DATOS!$G$2:$G$20000,CONFIG_METADATA!$B$4,DATOS!$I$2:$I$20000,"Música de Cámara"),"")))</f>
        <v/>
      </c>
      <c r="AC69" t="str">
        <f>IF(Y69="","",IF(Y69="[FÓRMULA MANUAL]","",IFERROR(SUMPRODUCT((DATOS!$A$2:$A$20000=Y69)*(DATOS!$G$2:$G$20000=CONFIG_METADATA!$B$4)*(COUNTIF(CONFIG_ASIGNATURAS!$B$7:$B$27,DATOS!$I$2:$I$20000)&gt;0)*(DATOS!$K$2:$K$20000))/SUMPRODUCT((DATOS!$A$2:$A$20000=Y69)*(DATOS!$G$2:$G$20000=CONFIG_METADATA!$B$4)*(COUNTIF(CONFIG_ASIGNATURAS!$B$7:$B$27,DATOS!$I$2:$I$20000)&gt;0)*1),"")))</f>
        <v/>
      </c>
      <c r="AF69" t="str">
        <f>IF(AE69="","",IF(AE69="[FÓRMULA MANUAL]","",IFERROR(AVERAGEIFS(DATOS!$K$2:$K$20000,DATOS!$A$2:$A$20000,AE69,DATOS!$G$2:$G$20000,CONFIG_METADATA!$B$4,DATOS!$I$2:$I$20000,"Análisis"),"")))</f>
        <v/>
      </c>
      <c r="AG69" t="str">
        <f>IF(AE69="","",IF(AE69="[FÓRMULA MANUAL]","",IFERROR(AVERAGEIFS(DATOS!$K$2:$K$20000,DATOS!$A$2:$A$20000,AE69,DATOS!$G$2:$G$20000,CONFIG_METADATA!$B$4,DATOS!$I$2:$I$20000,"Orquesta/Banda/Conjunto"),"")))</f>
        <v/>
      </c>
      <c r="AH69" t="str">
        <f>IF(AE69="","",IF(AE69="[FÓRMULA MANUAL]","",IFERROR(AVERAGEIFS(DATOS!$K$2:$K$20000,DATOS!$A$2:$A$20000,AE69,DATOS!$G$2:$G$20000,CONFIG_METADATA!$B$4,DATOS!$I$2:$I$20000,"Música de Cámara"),"")))</f>
        <v/>
      </c>
      <c r="AI69" t="str">
        <f>IF(AE69="","",IF(AE69="[FÓRMULA MANUAL]","",IFERROR(SUMPRODUCT((DATOS!$A$2:$A$20000=AE69)*(DATOS!$G$2:$G$20000=CONFIG_METADATA!$B$4)*(COUNTIF(CONFIG_ASIGNATURAS!$B$7:$B$27,DATOS!$I$2:$I$20000)&gt;0)*(DATOS!$K$2:$K$20000))/SUMPRODUCT((DATOS!$A$2:$A$20000=AE69)*(DATOS!$G$2:$G$20000=CONFIG_METADATA!$B$4)*(COUNTIF(CONFIG_ASIGNATURAS!$B$7:$B$27,DATOS!$I$2:$I$20000)&gt;0)*1),"")))</f>
        <v/>
      </c>
    </row>
    <row r="70" spans="2:35" x14ac:dyDescent="0.2">
      <c r="B70" t="str">
        <f>IF(A70="","",IF(A70="[FÓRMULA MANUAL]","",IFERROR(AVERAGEIFS(DATOS!$K$2:$K$20000,DATOS!$A$2:$A$20000,A70,DATOS!$G$2:$G$20000,CONFIG_METADATA!$B$4,DATOS!$I$2:$I$20000,"Lenguaje Musical"),"")))</f>
        <v/>
      </c>
      <c r="C70" t="str">
        <f>IF(A70="","",IF(A70="[FÓRMULA MANUAL]","",IFERROR(AVERAGEIFS(DATOS!$K$2:$K$20000,DATOS!$A$2:$A$20000,A70,DATOS!$G$2:$G$20000,CONFIG_METADATA!$B$4,DATOS!$I$2:$I$20000,"Orquesta/Banda/Conjunto"),"")))</f>
        <v/>
      </c>
      <c r="D70" t="str">
        <f>IF(A70="","",IF(A70="[FÓRMULA MANUAL]","",IFERROR(AVERAGEIFS(DATOS!$K$2:$K$20000,DATOS!$A$2:$A$20000,A70,DATOS!$G$2:$G$20000,CONFIG_METADATA!$B$4,DATOS!$I$2:$I$20000,"Conjunto"),"")))</f>
        <v/>
      </c>
      <c r="E70" t="str">
        <f>IF(A70="","",IF(A70="[FÓRMULA MANUAL]","",IFERROR(SUMPRODUCT((DATOS!$A$2:$A$20000=A70)*(DATOS!$G$2:$G$20000=CONFIG_METADATA!$B$4)*(COUNTIF(CONFIG_ASIGNATURAS!$B$7:$B$27,DATOS!$I$2:$I$20000)&gt;0)*(DATOS!$K$2:$K$20000))/SUMPRODUCT((DATOS!$A$2:$A$20000=A70)*(DATOS!$G$2:$G$20000=CONFIG_METADATA!$B$4)*(COUNTIF(CONFIG_ASIGNATURAS!$B$7:$B$27,DATOS!$I$2:$I$20000)&gt;0)*1),"")))</f>
        <v/>
      </c>
      <c r="H70" t="str">
        <f>IF(G70="","",IF(G70="[FÓRMULA MANUAL]","",IFERROR(AVERAGEIFS(DATOS!$K$2:$K$20000,DATOS!$A$2:$A$20000,G70,DATOS!$G$2:$G$20000,CONFIG_METADATA!$B$4,DATOS!$I$2:$I$20000,"Lenguaje Musical"),"")))</f>
        <v/>
      </c>
      <c r="I70" t="str">
        <f>IF(G70="","",IF(G70="[FÓRMULA MANUAL]","",IFERROR(AVERAGEIFS(DATOS!$K$2:$K$20000,DATOS!$A$2:$A$20000,G70,DATOS!$G$2:$G$20000,CONFIG_METADATA!$B$4,DATOS!$I$2:$I$20000,"Orquesta/Banda/Conjunto"),"")))</f>
        <v/>
      </c>
      <c r="J70" t="str">
        <f>IF(G70="","",IF(G70="[FÓRMULA MANUAL]","",IFERROR(AVERAGEIFS(DATOS!$K$2:$K$20000,DATOS!$A$2:$A$20000,G70,DATOS!$G$2:$G$20000,CONFIG_METADATA!$B$4,DATOS!$I$2:$I$20000,"Conjunto"),"")))</f>
        <v/>
      </c>
      <c r="K70" t="str">
        <f>IF(G70="","",IF(G70="[FÓRMULA MANUAL]","",IFERROR(SUMPRODUCT((DATOS!$A$2:$A$20000=G70)*(DATOS!$G$2:$G$20000=CONFIG_METADATA!$B$4)*(COUNTIF(CONFIG_ASIGNATURAS!$B$7:$B$27,DATOS!$I$2:$I$20000)&gt;0)*(DATOS!$K$2:$K$20000))/SUMPRODUCT((DATOS!$A$2:$A$20000=G70)*(DATOS!$G$2:$G$20000=CONFIG_METADATA!$B$4)*(COUNTIF(CONFIG_ASIGNATURAS!$B$7:$B$27,DATOS!$I$2:$I$20000)&gt;0)*1),"")))</f>
        <v/>
      </c>
      <c r="N70" t="str">
        <f>IF(M70="","",IF(M70="[FÓRMULA MANUAL]","",IFERROR(AVERAGEIFS(DATOS!$K$2:$K$20000,DATOS!$A$2:$A$20000,M70,DATOS!$G$2:$G$20000,CONFIG_METADATA!$B$4,DATOS!$I$2:$I$20000,"Armonía"),"")))</f>
        <v/>
      </c>
      <c r="O70" t="str">
        <f>IF(M70="","",IF(M70="[FÓRMULA MANUAL]","",IFERROR(AVERAGEIFS(DATOS!$K$2:$K$20000,DATOS!$A$2:$A$20000,M70,DATOS!$G$2:$G$20000,CONFIG_METADATA!$B$4,DATOS!$I$2:$I$20000,"Orquesta/Banda/Conjunto"),"")))</f>
        <v/>
      </c>
      <c r="P70" t="str">
        <f>IF(M70="","",IF(M70="[FÓRMULA MANUAL]","",IFERROR(AVERAGEIFS(DATOS!$K$2:$K$20000,DATOS!$A$2:$A$20000,M70,DATOS!$G$2:$G$20000,CONFIG_METADATA!$B$4,DATOS!$I$2:$I$20000,"Música de Cámara"),"")))</f>
        <v/>
      </c>
      <c r="Q70" t="str">
        <f>IF(M70="","",IF(M70="[FÓRMULA MANUAL]","",IFERROR(SUMPRODUCT((DATOS!$A$2:$A$20000=M70)*(DATOS!$G$2:$G$20000=CONFIG_METADATA!$B$4)*(COUNTIF(CONFIG_ASIGNATURAS!$B$7:$B$27,DATOS!$I$2:$I$20000)&gt;0)*(DATOS!$K$2:$K$20000))/SUMPRODUCT((DATOS!$A$2:$A$20000=M70)*(DATOS!$G$2:$G$20000=CONFIG_METADATA!$B$4)*(COUNTIF(CONFIG_ASIGNATURAS!$B$7:$B$27,DATOS!$I$2:$I$20000)&gt;0)*1),"")))</f>
        <v/>
      </c>
      <c r="T70" t="str">
        <f>IF(S70="","",IF(S70="[FÓRMULA MANUAL]","",IFERROR(AVERAGEIFS(DATOS!$K$2:$K$20000,DATOS!$A$2:$A$20000,S70,DATOS!$G$2:$G$20000,CONFIG_METADATA!$B$4,DATOS!$I$2:$I$20000,"Armonía"),"")))</f>
        <v/>
      </c>
      <c r="U70" t="str">
        <f>IF(S70="","",IF(S70="[FÓRMULA MANUAL]","",IFERROR(AVERAGEIFS(DATOS!$K$2:$K$20000,DATOS!$A$2:$A$20000,S70,DATOS!$G$2:$G$20000,CONFIG_METADATA!$B$4,DATOS!$I$2:$I$20000,"Orquesta/Banda/Conjunto"),"")))</f>
        <v/>
      </c>
      <c r="V70" t="str">
        <f>IF(S70="","",IF(S70="[FÓRMULA MANUAL]","",IFERROR(AVERAGEIFS(DATOS!$K$2:$K$20000,DATOS!$A$2:$A$20000,S70,DATOS!$G$2:$G$20000,CONFIG_METADATA!$B$4,DATOS!$I$2:$I$20000,"Música de Cámara"),"")))</f>
        <v/>
      </c>
      <c r="W70" t="str">
        <f>IF(S70="","",IF(S70="[FÓRMULA MANUAL]","",IFERROR(SUMPRODUCT((DATOS!$A$2:$A$20000=S70)*(DATOS!$G$2:$G$20000=CONFIG_METADATA!$B$4)*(COUNTIF(CONFIG_ASIGNATURAS!$B$7:$B$27,DATOS!$I$2:$I$20000)&gt;0)*(DATOS!$K$2:$K$20000))/SUMPRODUCT((DATOS!$A$2:$A$20000=S70)*(DATOS!$G$2:$G$20000=CONFIG_METADATA!$B$4)*(COUNTIF(CONFIG_ASIGNATURAS!$B$7:$B$27,DATOS!$I$2:$I$20000)&gt;0)*1),"")))</f>
        <v/>
      </c>
      <c r="Z70" t="str">
        <f>IF(Y70="","",IF(Y70="[FÓRMULA MANUAL]","",IFERROR(AVERAGEIFS(DATOS!$K$2:$K$20000,DATOS!$A$2:$A$20000,Y70,DATOS!$G$2:$G$20000,CONFIG_METADATA!$B$4,DATOS!$I$2:$I$20000,"Análisis"),"")))</f>
        <v/>
      </c>
      <c r="AA70" t="str">
        <f>IF(Y70="","",IF(Y70="[FÓRMULA MANUAL]","",IFERROR(AVERAGEIFS(DATOS!$K$2:$K$20000,DATOS!$A$2:$A$20000,Y70,DATOS!$G$2:$G$20000,CONFIG_METADATA!$B$4,DATOS!$I$2:$I$20000,"Orquesta/Banda/Conjunto"),"")))</f>
        <v/>
      </c>
      <c r="AB70" t="str">
        <f>IF(Y70="","",IF(Y70="[FÓRMULA MANUAL]","",IFERROR(AVERAGEIFS(DATOS!$K$2:$K$20000,DATOS!$A$2:$A$20000,Y70,DATOS!$G$2:$G$20000,CONFIG_METADATA!$B$4,DATOS!$I$2:$I$20000,"Música de Cámara"),"")))</f>
        <v/>
      </c>
      <c r="AC70" t="str">
        <f>IF(Y70="","",IF(Y70="[FÓRMULA MANUAL]","",IFERROR(SUMPRODUCT((DATOS!$A$2:$A$20000=Y70)*(DATOS!$G$2:$G$20000=CONFIG_METADATA!$B$4)*(COUNTIF(CONFIG_ASIGNATURAS!$B$7:$B$27,DATOS!$I$2:$I$20000)&gt;0)*(DATOS!$K$2:$K$20000))/SUMPRODUCT((DATOS!$A$2:$A$20000=Y70)*(DATOS!$G$2:$G$20000=CONFIG_METADATA!$B$4)*(COUNTIF(CONFIG_ASIGNATURAS!$B$7:$B$27,DATOS!$I$2:$I$20000)&gt;0)*1),"")))</f>
        <v/>
      </c>
      <c r="AF70" t="str">
        <f>IF(AE70="","",IF(AE70="[FÓRMULA MANUAL]","",IFERROR(AVERAGEIFS(DATOS!$K$2:$K$20000,DATOS!$A$2:$A$20000,AE70,DATOS!$G$2:$G$20000,CONFIG_METADATA!$B$4,DATOS!$I$2:$I$20000,"Análisis"),"")))</f>
        <v/>
      </c>
      <c r="AG70" t="str">
        <f>IF(AE70="","",IF(AE70="[FÓRMULA MANUAL]","",IFERROR(AVERAGEIFS(DATOS!$K$2:$K$20000,DATOS!$A$2:$A$20000,AE70,DATOS!$G$2:$G$20000,CONFIG_METADATA!$B$4,DATOS!$I$2:$I$20000,"Orquesta/Banda/Conjunto"),"")))</f>
        <v/>
      </c>
      <c r="AH70" t="str">
        <f>IF(AE70="","",IF(AE70="[FÓRMULA MANUAL]","",IFERROR(AVERAGEIFS(DATOS!$K$2:$K$20000,DATOS!$A$2:$A$20000,AE70,DATOS!$G$2:$G$20000,CONFIG_METADATA!$B$4,DATOS!$I$2:$I$20000,"Música de Cámara"),"")))</f>
        <v/>
      </c>
      <c r="AI70" t="str">
        <f>IF(AE70="","",IF(AE70="[FÓRMULA MANUAL]","",IFERROR(SUMPRODUCT((DATOS!$A$2:$A$20000=AE70)*(DATOS!$G$2:$G$20000=CONFIG_METADATA!$B$4)*(COUNTIF(CONFIG_ASIGNATURAS!$B$7:$B$27,DATOS!$I$2:$I$20000)&gt;0)*(DATOS!$K$2:$K$20000))/SUMPRODUCT((DATOS!$A$2:$A$20000=AE70)*(DATOS!$G$2:$G$20000=CONFIG_METADATA!$B$4)*(COUNTIF(CONFIG_ASIGNATURAS!$B$7:$B$27,DATOS!$I$2:$I$20000)&gt;0)*1),"")))</f>
        <v/>
      </c>
    </row>
    <row r="71" spans="2:35" x14ac:dyDescent="0.2">
      <c r="B71" t="str">
        <f>IF(A71="","",IF(A71="[FÓRMULA MANUAL]","",IFERROR(AVERAGEIFS(DATOS!$K$2:$K$20000,DATOS!$A$2:$A$20000,A71,DATOS!$G$2:$G$20000,CONFIG_METADATA!$B$4,DATOS!$I$2:$I$20000,"Lenguaje Musical"),"")))</f>
        <v/>
      </c>
      <c r="C71" t="str">
        <f>IF(A71="","",IF(A71="[FÓRMULA MANUAL]","",IFERROR(AVERAGEIFS(DATOS!$K$2:$K$20000,DATOS!$A$2:$A$20000,A71,DATOS!$G$2:$G$20000,CONFIG_METADATA!$B$4,DATOS!$I$2:$I$20000,"Orquesta/Banda/Conjunto"),"")))</f>
        <v/>
      </c>
      <c r="D71" t="str">
        <f>IF(A71="","",IF(A71="[FÓRMULA MANUAL]","",IFERROR(AVERAGEIFS(DATOS!$K$2:$K$20000,DATOS!$A$2:$A$20000,A71,DATOS!$G$2:$G$20000,CONFIG_METADATA!$B$4,DATOS!$I$2:$I$20000,"Conjunto"),"")))</f>
        <v/>
      </c>
      <c r="E71" t="str">
        <f>IF(A71="","",IF(A71="[FÓRMULA MANUAL]","",IFERROR(SUMPRODUCT((DATOS!$A$2:$A$20000=A71)*(DATOS!$G$2:$G$20000=CONFIG_METADATA!$B$4)*(COUNTIF(CONFIG_ASIGNATURAS!$B$7:$B$27,DATOS!$I$2:$I$20000)&gt;0)*(DATOS!$K$2:$K$20000))/SUMPRODUCT((DATOS!$A$2:$A$20000=A71)*(DATOS!$G$2:$G$20000=CONFIG_METADATA!$B$4)*(COUNTIF(CONFIG_ASIGNATURAS!$B$7:$B$27,DATOS!$I$2:$I$20000)&gt;0)*1),"")))</f>
        <v/>
      </c>
      <c r="H71" t="str">
        <f>IF(G71="","",IF(G71="[FÓRMULA MANUAL]","",IFERROR(AVERAGEIFS(DATOS!$K$2:$K$20000,DATOS!$A$2:$A$20000,G71,DATOS!$G$2:$G$20000,CONFIG_METADATA!$B$4,DATOS!$I$2:$I$20000,"Lenguaje Musical"),"")))</f>
        <v/>
      </c>
      <c r="I71" t="str">
        <f>IF(G71="","",IF(G71="[FÓRMULA MANUAL]","",IFERROR(AVERAGEIFS(DATOS!$K$2:$K$20000,DATOS!$A$2:$A$20000,G71,DATOS!$G$2:$G$20000,CONFIG_METADATA!$B$4,DATOS!$I$2:$I$20000,"Orquesta/Banda/Conjunto"),"")))</f>
        <v/>
      </c>
      <c r="J71" t="str">
        <f>IF(G71="","",IF(G71="[FÓRMULA MANUAL]","",IFERROR(AVERAGEIFS(DATOS!$K$2:$K$20000,DATOS!$A$2:$A$20000,G71,DATOS!$G$2:$G$20000,CONFIG_METADATA!$B$4,DATOS!$I$2:$I$20000,"Conjunto"),"")))</f>
        <v/>
      </c>
      <c r="K71" t="str">
        <f>IF(G71="","",IF(G71="[FÓRMULA MANUAL]","",IFERROR(SUMPRODUCT((DATOS!$A$2:$A$20000=G71)*(DATOS!$G$2:$G$20000=CONFIG_METADATA!$B$4)*(COUNTIF(CONFIG_ASIGNATURAS!$B$7:$B$27,DATOS!$I$2:$I$20000)&gt;0)*(DATOS!$K$2:$K$20000))/SUMPRODUCT((DATOS!$A$2:$A$20000=G71)*(DATOS!$G$2:$G$20000=CONFIG_METADATA!$B$4)*(COUNTIF(CONFIG_ASIGNATURAS!$B$7:$B$27,DATOS!$I$2:$I$20000)&gt;0)*1),"")))</f>
        <v/>
      </c>
      <c r="N71" t="str">
        <f>IF(M71="","",IF(M71="[FÓRMULA MANUAL]","",IFERROR(AVERAGEIFS(DATOS!$K$2:$K$20000,DATOS!$A$2:$A$20000,M71,DATOS!$G$2:$G$20000,CONFIG_METADATA!$B$4,DATOS!$I$2:$I$20000,"Armonía"),"")))</f>
        <v/>
      </c>
      <c r="O71" t="str">
        <f>IF(M71="","",IF(M71="[FÓRMULA MANUAL]","",IFERROR(AVERAGEIFS(DATOS!$K$2:$K$20000,DATOS!$A$2:$A$20000,M71,DATOS!$G$2:$G$20000,CONFIG_METADATA!$B$4,DATOS!$I$2:$I$20000,"Orquesta/Banda/Conjunto"),"")))</f>
        <v/>
      </c>
      <c r="P71" t="str">
        <f>IF(M71="","",IF(M71="[FÓRMULA MANUAL]","",IFERROR(AVERAGEIFS(DATOS!$K$2:$K$20000,DATOS!$A$2:$A$20000,M71,DATOS!$G$2:$G$20000,CONFIG_METADATA!$B$4,DATOS!$I$2:$I$20000,"Música de Cámara"),"")))</f>
        <v/>
      </c>
      <c r="Q71" t="str">
        <f>IF(M71="","",IF(M71="[FÓRMULA MANUAL]","",IFERROR(SUMPRODUCT((DATOS!$A$2:$A$20000=M71)*(DATOS!$G$2:$G$20000=CONFIG_METADATA!$B$4)*(COUNTIF(CONFIG_ASIGNATURAS!$B$7:$B$27,DATOS!$I$2:$I$20000)&gt;0)*(DATOS!$K$2:$K$20000))/SUMPRODUCT((DATOS!$A$2:$A$20000=M71)*(DATOS!$G$2:$G$20000=CONFIG_METADATA!$B$4)*(COUNTIF(CONFIG_ASIGNATURAS!$B$7:$B$27,DATOS!$I$2:$I$20000)&gt;0)*1),"")))</f>
        <v/>
      </c>
      <c r="T71" t="str">
        <f>IF(S71="","",IF(S71="[FÓRMULA MANUAL]","",IFERROR(AVERAGEIFS(DATOS!$K$2:$K$20000,DATOS!$A$2:$A$20000,S71,DATOS!$G$2:$G$20000,CONFIG_METADATA!$B$4,DATOS!$I$2:$I$20000,"Armonía"),"")))</f>
        <v/>
      </c>
      <c r="U71" t="str">
        <f>IF(S71="","",IF(S71="[FÓRMULA MANUAL]","",IFERROR(AVERAGEIFS(DATOS!$K$2:$K$20000,DATOS!$A$2:$A$20000,S71,DATOS!$G$2:$G$20000,CONFIG_METADATA!$B$4,DATOS!$I$2:$I$20000,"Orquesta/Banda/Conjunto"),"")))</f>
        <v/>
      </c>
      <c r="V71" t="str">
        <f>IF(S71="","",IF(S71="[FÓRMULA MANUAL]","",IFERROR(AVERAGEIFS(DATOS!$K$2:$K$20000,DATOS!$A$2:$A$20000,S71,DATOS!$G$2:$G$20000,CONFIG_METADATA!$B$4,DATOS!$I$2:$I$20000,"Música de Cámara"),"")))</f>
        <v/>
      </c>
      <c r="W71" t="str">
        <f>IF(S71="","",IF(S71="[FÓRMULA MANUAL]","",IFERROR(SUMPRODUCT((DATOS!$A$2:$A$20000=S71)*(DATOS!$G$2:$G$20000=CONFIG_METADATA!$B$4)*(COUNTIF(CONFIG_ASIGNATURAS!$B$7:$B$27,DATOS!$I$2:$I$20000)&gt;0)*(DATOS!$K$2:$K$20000))/SUMPRODUCT((DATOS!$A$2:$A$20000=S71)*(DATOS!$G$2:$G$20000=CONFIG_METADATA!$B$4)*(COUNTIF(CONFIG_ASIGNATURAS!$B$7:$B$27,DATOS!$I$2:$I$20000)&gt;0)*1),"")))</f>
        <v/>
      </c>
      <c r="Z71" t="str">
        <f>IF(Y71="","",IF(Y71="[FÓRMULA MANUAL]","",IFERROR(AVERAGEIFS(DATOS!$K$2:$K$20000,DATOS!$A$2:$A$20000,Y71,DATOS!$G$2:$G$20000,CONFIG_METADATA!$B$4,DATOS!$I$2:$I$20000,"Análisis"),"")))</f>
        <v/>
      </c>
      <c r="AA71" t="str">
        <f>IF(Y71="","",IF(Y71="[FÓRMULA MANUAL]","",IFERROR(AVERAGEIFS(DATOS!$K$2:$K$20000,DATOS!$A$2:$A$20000,Y71,DATOS!$G$2:$G$20000,CONFIG_METADATA!$B$4,DATOS!$I$2:$I$20000,"Orquesta/Banda/Conjunto"),"")))</f>
        <v/>
      </c>
      <c r="AB71" t="str">
        <f>IF(Y71="","",IF(Y71="[FÓRMULA MANUAL]","",IFERROR(AVERAGEIFS(DATOS!$K$2:$K$20000,DATOS!$A$2:$A$20000,Y71,DATOS!$G$2:$G$20000,CONFIG_METADATA!$B$4,DATOS!$I$2:$I$20000,"Música de Cámara"),"")))</f>
        <v/>
      </c>
      <c r="AC71" t="str">
        <f>IF(Y71="","",IF(Y71="[FÓRMULA MANUAL]","",IFERROR(SUMPRODUCT((DATOS!$A$2:$A$20000=Y71)*(DATOS!$G$2:$G$20000=CONFIG_METADATA!$B$4)*(COUNTIF(CONFIG_ASIGNATURAS!$B$7:$B$27,DATOS!$I$2:$I$20000)&gt;0)*(DATOS!$K$2:$K$20000))/SUMPRODUCT((DATOS!$A$2:$A$20000=Y71)*(DATOS!$G$2:$G$20000=CONFIG_METADATA!$B$4)*(COUNTIF(CONFIG_ASIGNATURAS!$B$7:$B$27,DATOS!$I$2:$I$20000)&gt;0)*1),"")))</f>
        <v/>
      </c>
      <c r="AF71" t="str">
        <f>IF(AE71="","",IF(AE71="[FÓRMULA MANUAL]","",IFERROR(AVERAGEIFS(DATOS!$K$2:$K$20000,DATOS!$A$2:$A$20000,AE71,DATOS!$G$2:$G$20000,CONFIG_METADATA!$B$4,DATOS!$I$2:$I$20000,"Análisis"),"")))</f>
        <v/>
      </c>
      <c r="AG71" t="str">
        <f>IF(AE71="","",IF(AE71="[FÓRMULA MANUAL]","",IFERROR(AVERAGEIFS(DATOS!$K$2:$K$20000,DATOS!$A$2:$A$20000,AE71,DATOS!$G$2:$G$20000,CONFIG_METADATA!$B$4,DATOS!$I$2:$I$20000,"Orquesta/Banda/Conjunto"),"")))</f>
        <v/>
      </c>
      <c r="AH71" t="str">
        <f>IF(AE71="","",IF(AE71="[FÓRMULA MANUAL]","",IFERROR(AVERAGEIFS(DATOS!$K$2:$K$20000,DATOS!$A$2:$A$20000,AE71,DATOS!$G$2:$G$20000,CONFIG_METADATA!$B$4,DATOS!$I$2:$I$20000,"Música de Cámara"),"")))</f>
        <v/>
      </c>
      <c r="AI71" t="str">
        <f>IF(AE71="","",IF(AE71="[FÓRMULA MANUAL]","",IFERROR(SUMPRODUCT((DATOS!$A$2:$A$20000=AE71)*(DATOS!$G$2:$G$20000=CONFIG_METADATA!$B$4)*(COUNTIF(CONFIG_ASIGNATURAS!$B$7:$B$27,DATOS!$I$2:$I$20000)&gt;0)*(DATOS!$K$2:$K$20000))/SUMPRODUCT((DATOS!$A$2:$A$20000=AE71)*(DATOS!$G$2:$G$20000=CONFIG_METADATA!$B$4)*(COUNTIF(CONFIG_ASIGNATURAS!$B$7:$B$27,DATOS!$I$2:$I$20000)&gt;0)*1),"")))</f>
        <v/>
      </c>
    </row>
    <row r="72" spans="2:35" x14ac:dyDescent="0.2">
      <c r="B72" t="str">
        <f>IF(A72="","",IF(A72="[FÓRMULA MANUAL]","",IFERROR(AVERAGEIFS(DATOS!$K$2:$K$20000,DATOS!$A$2:$A$20000,A72,DATOS!$G$2:$G$20000,CONFIG_METADATA!$B$4,DATOS!$I$2:$I$20000,"Lenguaje Musical"),"")))</f>
        <v/>
      </c>
      <c r="C72" t="str">
        <f>IF(A72="","",IF(A72="[FÓRMULA MANUAL]","",IFERROR(AVERAGEIFS(DATOS!$K$2:$K$20000,DATOS!$A$2:$A$20000,A72,DATOS!$G$2:$G$20000,CONFIG_METADATA!$B$4,DATOS!$I$2:$I$20000,"Orquesta/Banda/Conjunto"),"")))</f>
        <v/>
      </c>
      <c r="D72" t="str">
        <f>IF(A72="","",IF(A72="[FÓRMULA MANUAL]","",IFERROR(AVERAGEIFS(DATOS!$K$2:$K$20000,DATOS!$A$2:$A$20000,A72,DATOS!$G$2:$G$20000,CONFIG_METADATA!$B$4,DATOS!$I$2:$I$20000,"Conjunto"),"")))</f>
        <v/>
      </c>
      <c r="E72" t="str">
        <f>IF(A72="","",IF(A72="[FÓRMULA MANUAL]","",IFERROR(SUMPRODUCT((DATOS!$A$2:$A$20000=A72)*(DATOS!$G$2:$G$20000=CONFIG_METADATA!$B$4)*(COUNTIF(CONFIG_ASIGNATURAS!$B$7:$B$27,DATOS!$I$2:$I$20000)&gt;0)*(DATOS!$K$2:$K$20000))/SUMPRODUCT((DATOS!$A$2:$A$20000=A72)*(DATOS!$G$2:$G$20000=CONFIG_METADATA!$B$4)*(COUNTIF(CONFIG_ASIGNATURAS!$B$7:$B$27,DATOS!$I$2:$I$20000)&gt;0)*1),"")))</f>
        <v/>
      </c>
      <c r="H72" t="str">
        <f>IF(G72="","",IF(G72="[FÓRMULA MANUAL]","",IFERROR(AVERAGEIFS(DATOS!$K$2:$K$20000,DATOS!$A$2:$A$20000,G72,DATOS!$G$2:$G$20000,CONFIG_METADATA!$B$4,DATOS!$I$2:$I$20000,"Lenguaje Musical"),"")))</f>
        <v/>
      </c>
      <c r="I72" t="str">
        <f>IF(G72="","",IF(G72="[FÓRMULA MANUAL]","",IFERROR(AVERAGEIFS(DATOS!$K$2:$K$20000,DATOS!$A$2:$A$20000,G72,DATOS!$G$2:$G$20000,CONFIG_METADATA!$B$4,DATOS!$I$2:$I$20000,"Orquesta/Banda/Conjunto"),"")))</f>
        <v/>
      </c>
      <c r="J72" t="str">
        <f>IF(G72="","",IF(G72="[FÓRMULA MANUAL]","",IFERROR(AVERAGEIFS(DATOS!$K$2:$K$20000,DATOS!$A$2:$A$20000,G72,DATOS!$G$2:$G$20000,CONFIG_METADATA!$B$4,DATOS!$I$2:$I$20000,"Conjunto"),"")))</f>
        <v/>
      </c>
      <c r="K72" t="str">
        <f>IF(G72="","",IF(G72="[FÓRMULA MANUAL]","",IFERROR(SUMPRODUCT((DATOS!$A$2:$A$20000=G72)*(DATOS!$G$2:$G$20000=CONFIG_METADATA!$B$4)*(COUNTIF(CONFIG_ASIGNATURAS!$B$7:$B$27,DATOS!$I$2:$I$20000)&gt;0)*(DATOS!$K$2:$K$20000))/SUMPRODUCT((DATOS!$A$2:$A$20000=G72)*(DATOS!$G$2:$G$20000=CONFIG_METADATA!$B$4)*(COUNTIF(CONFIG_ASIGNATURAS!$B$7:$B$27,DATOS!$I$2:$I$20000)&gt;0)*1),"")))</f>
        <v/>
      </c>
      <c r="N72" t="str">
        <f>IF(M72="","",IF(M72="[FÓRMULA MANUAL]","",IFERROR(AVERAGEIFS(DATOS!$K$2:$K$20000,DATOS!$A$2:$A$20000,M72,DATOS!$G$2:$G$20000,CONFIG_METADATA!$B$4,DATOS!$I$2:$I$20000,"Armonía"),"")))</f>
        <v/>
      </c>
      <c r="O72" t="str">
        <f>IF(M72="","",IF(M72="[FÓRMULA MANUAL]","",IFERROR(AVERAGEIFS(DATOS!$K$2:$K$20000,DATOS!$A$2:$A$20000,M72,DATOS!$G$2:$G$20000,CONFIG_METADATA!$B$4,DATOS!$I$2:$I$20000,"Orquesta/Banda/Conjunto"),"")))</f>
        <v/>
      </c>
      <c r="P72" t="str">
        <f>IF(M72="","",IF(M72="[FÓRMULA MANUAL]","",IFERROR(AVERAGEIFS(DATOS!$K$2:$K$20000,DATOS!$A$2:$A$20000,M72,DATOS!$G$2:$G$20000,CONFIG_METADATA!$B$4,DATOS!$I$2:$I$20000,"Música de Cámara"),"")))</f>
        <v/>
      </c>
      <c r="Q72" t="str">
        <f>IF(M72="","",IF(M72="[FÓRMULA MANUAL]","",IFERROR(SUMPRODUCT((DATOS!$A$2:$A$20000=M72)*(DATOS!$G$2:$G$20000=CONFIG_METADATA!$B$4)*(COUNTIF(CONFIG_ASIGNATURAS!$B$7:$B$27,DATOS!$I$2:$I$20000)&gt;0)*(DATOS!$K$2:$K$20000))/SUMPRODUCT((DATOS!$A$2:$A$20000=M72)*(DATOS!$G$2:$G$20000=CONFIG_METADATA!$B$4)*(COUNTIF(CONFIG_ASIGNATURAS!$B$7:$B$27,DATOS!$I$2:$I$20000)&gt;0)*1),"")))</f>
        <v/>
      </c>
      <c r="T72" t="str">
        <f>IF(S72="","",IF(S72="[FÓRMULA MANUAL]","",IFERROR(AVERAGEIFS(DATOS!$K$2:$K$20000,DATOS!$A$2:$A$20000,S72,DATOS!$G$2:$G$20000,CONFIG_METADATA!$B$4,DATOS!$I$2:$I$20000,"Armonía"),"")))</f>
        <v/>
      </c>
      <c r="U72" t="str">
        <f>IF(S72="","",IF(S72="[FÓRMULA MANUAL]","",IFERROR(AVERAGEIFS(DATOS!$K$2:$K$20000,DATOS!$A$2:$A$20000,S72,DATOS!$G$2:$G$20000,CONFIG_METADATA!$B$4,DATOS!$I$2:$I$20000,"Orquesta/Banda/Conjunto"),"")))</f>
        <v/>
      </c>
      <c r="V72" t="str">
        <f>IF(S72="","",IF(S72="[FÓRMULA MANUAL]","",IFERROR(AVERAGEIFS(DATOS!$K$2:$K$20000,DATOS!$A$2:$A$20000,S72,DATOS!$G$2:$G$20000,CONFIG_METADATA!$B$4,DATOS!$I$2:$I$20000,"Música de Cámara"),"")))</f>
        <v/>
      </c>
      <c r="W72" t="str">
        <f>IF(S72="","",IF(S72="[FÓRMULA MANUAL]","",IFERROR(SUMPRODUCT((DATOS!$A$2:$A$20000=S72)*(DATOS!$G$2:$G$20000=CONFIG_METADATA!$B$4)*(COUNTIF(CONFIG_ASIGNATURAS!$B$7:$B$27,DATOS!$I$2:$I$20000)&gt;0)*(DATOS!$K$2:$K$20000))/SUMPRODUCT((DATOS!$A$2:$A$20000=S72)*(DATOS!$G$2:$G$20000=CONFIG_METADATA!$B$4)*(COUNTIF(CONFIG_ASIGNATURAS!$B$7:$B$27,DATOS!$I$2:$I$20000)&gt;0)*1),"")))</f>
        <v/>
      </c>
      <c r="Z72" t="str">
        <f>IF(Y72="","",IF(Y72="[FÓRMULA MANUAL]","",IFERROR(AVERAGEIFS(DATOS!$K$2:$K$20000,DATOS!$A$2:$A$20000,Y72,DATOS!$G$2:$G$20000,CONFIG_METADATA!$B$4,DATOS!$I$2:$I$20000,"Análisis"),"")))</f>
        <v/>
      </c>
      <c r="AA72" t="str">
        <f>IF(Y72="","",IF(Y72="[FÓRMULA MANUAL]","",IFERROR(AVERAGEIFS(DATOS!$K$2:$K$20000,DATOS!$A$2:$A$20000,Y72,DATOS!$G$2:$G$20000,CONFIG_METADATA!$B$4,DATOS!$I$2:$I$20000,"Orquesta/Banda/Conjunto"),"")))</f>
        <v/>
      </c>
      <c r="AB72" t="str">
        <f>IF(Y72="","",IF(Y72="[FÓRMULA MANUAL]","",IFERROR(AVERAGEIFS(DATOS!$K$2:$K$20000,DATOS!$A$2:$A$20000,Y72,DATOS!$G$2:$G$20000,CONFIG_METADATA!$B$4,DATOS!$I$2:$I$20000,"Música de Cámara"),"")))</f>
        <v/>
      </c>
      <c r="AC72" t="str">
        <f>IF(Y72="","",IF(Y72="[FÓRMULA MANUAL]","",IFERROR(SUMPRODUCT((DATOS!$A$2:$A$20000=Y72)*(DATOS!$G$2:$G$20000=CONFIG_METADATA!$B$4)*(COUNTIF(CONFIG_ASIGNATURAS!$B$7:$B$27,DATOS!$I$2:$I$20000)&gt;0)*(DATOS!$K$2:$K$20000))/SUMPRODUCT((DATOS!$A$2:$A$20000=Y72)*(DATOS!$G$2:$G$20000=CONFIG_METADATA!$B$4)*(COUNTIF(CONFIG_ASIGNATURAS!$B$7:$B$27,DATOS!$I$2:$I$20000)&gt;0)*1),"")))</f>
        <v/>
      </c>
      <c r="AF72" t="str">
        <f>IF(AE72="","",IF(AE72="[FÓRMULA MANUAL]","",IFERROR(AVERAGEIFS(DATOS!$K$2:$K$20000,DATOS!$A$2:$A$20000,AE72,DATOS!$G$2:$G$20000,CONFIG_METADATA!$B$4,DATOS!$I$2:$I$20000,"Análisis"),"")))</f>
        <v/>
      </c>
      <c r="AG72" t="str">
        <f>IF(AE72="","",IF(AE72="[FÓRMULA MANUAL]","",IFERROR(AVERAGEIFS(DATOS!$K$2:$K$20000,DATOS!$A$2:$A$20000,AE72,DATOS!$G$2:$G$20000,CONFIG_METADATA!$B$4,DATOS!$I$2:$I$20000,"Orquesta/Banda/Conjunto"),"")))</f>
        <v/>
      </c>
      <c r="AH72" t="str">
        <f>IF(AE72="","",IF(AE72="[FÓRMULA MANUAL]","",IFERROR(AVERAGEIFS(DATOS!$K$2:$K$20000,DATOS!$A$2:$A$20000,AE72,DATOS!$G$2:$G$20000,CONFIG_METADATA!$B$4,DATOS!$I$2:$I$20000,"Música de Cámara"),"")))</f>
        <v/>
      </c>
      <c r="AI72" t="str">
        <f>IF(AE72="","",IF(AE72="[FÓRMULA MANUAL]","",IFERROR(SUMPRODUCT((DATOS!$A$2:$A$20000=AE72)*(DATOS!$G$2:$G$20000=CONFIG_METADATA!$B$4)*(COUNTIF(CONFIG_ASIGNATURAS!$B$7:$B$27,DATOS!$I$2:$I$20000)&gt;0)*(DATOS!$K$2:$K$20000))/SUMPRODUCT((DATOS!$A$2:$A$20000=AE72)*(DATOS!$G$2:$G$20000=CONFIG_METADATA!$B$4)*(COUNTIF(CONFIG_ASIGNATURAS!$B$7:$B$27,DATOS!$I$2:$I$20000)&gt;0)*1),"")))</f>
        <v/>
      </c>
    </row>
    <row r="73" spans="2:35" x14ac:dyDescent="0.2">
      <c r="B73" t="str">
        <f>IF(A73="","",IF(A73="[FÓRMULA MANUAL]","",IFERROR(AVERAGEIFS(DATOS!$K$2:$K$20000,DATOS!$A$2:$A$20000,A73,DATOS!$G$2:$G$20000,CONFIG_METADATA!$B$4,DATOS!$I$2:$I$20000,"Lenguaje Musical"),"")))</f>
        <v/>
      </c>
      <c r="C73" t="str">
        <f>IF(A73="","",IF(A73="[FÓRMULA MANUAL]","",IFERROR(AVERAGEIFS(DATOS!$K$2:$K$20000,DATOS!$A$2:$A$20000,A73,DATOS!$G$2:$G$20000,CONFIG_METADATA!$B$4,DATOS!$I$2:$I$20000,"Orquesta/Banda/Conjunto"),"")))</f>
        <v/>
      </c>
      <c r="D73" t="str">
        <f>IF(A73="","",IF(A73="[FÓRMULA MANUAL]","",IFERROR(AVERAGEIFS(DATOS!$K$2:$K$20000,DATOS!$A$2:$A$20000,A73,DATOS!$G$2:$G$20000,CONFIG_METADATA!$B$4,DATOS!$I$2:$I$20000,"Conjunto"),"")))</f>
        <v/>
      </c>
      <c r="E73" t="str">
        <f>IF(A73="","",IF(A73="[FÓRMULA MANUAL]","",IFERROR(SUMPRODUCT((DATOS!$A$2:$A$20000=A73)*(DATOS!$G$2:$G$20000=CONFIG_METADATA!$B$4)*(COUNTIF(CONFIG_ASIGNATURAS!$B$7:$B$27,DATOS!$I$2:$I$20000)&gt;0)*(DATOS!$K$2:$K$20000))/SUMPRODUCT((DATOS!$A$2:$A$20000=A73)*(DATOS!$G$2:$G$20000=CONFIG_METADATA!$B$4)*(COUNTIF(CONFIG_ASIGNATURAS!$B$7:$B$27,DATOS!$I$2:$I$20000)&gt;0)*1),"")))</f>
        <v/>
      </c>
      <c r="H73" t="str">
        <f>IF(G73="","",IF(G73="[FÓRMULA MANUAL]","",IFERROR(AVERAGEIFS(DATOS!$K$2:$K$20000,DATOS!$A$2:$A$20000,G73,DATOS!$G$2:$G$20000,CONFIG_METADATA!$B$4,DATOS!$I$2:$I$20000,"Lenguaje Musical"),"")))</f>
        <v/>
      </c>
      <c r="I73" t="str">
        <f>IF(G73="","",IF(G73="[FÓRMULA MANUAL]","",IFERROR(AVERAGEIFS(DATOS!$K$2:$K$20000,DATOS!$A$2:$A$20000,G73,DATOS!$G$2:$G$20000,CONFIG_METADATA!$B$4,DATOS!$I$2:$I$20000,"Orquesta/Banda/Conjunto"),"")))</f>
        <v/>
      </c>
      <c r="J73" t="str">
        <f>IF(G73="","",IF(G73="[FÓRMULA MANUAL]","",IFERROR(AVERAGEIFS(DATOS!$K$2:$K$20000,DATOS!$A$2:$A$20000,G73,DATOS!$G$2:$G$20000,CONFIG_METADATA!$B$4,DATOS!$I$2:$I$20000,"Conjunto"),"")))</f>
        <v/>
      </c>
      <c r="K73" t="str">
        <f>IF(G73="","",IF(G73="[FÓRMULA MANUAL]","",IFERROR(SUMPRODUCT((DATOS!$A$2:$A$20000=G73)*(DATOS!$G$2:$G$20000=CONFIG_METADATA!$B$4)*(COUNTIF(CONFIG_ASIGNATURAS!$B$7:$B$27,DATOS!$I$2:$I$20000)&gt;0)*(DATOS!$K$2:$K$20000))/SUMPRODUCT((DATOS!$A$2:$A$20000=G73)*(DATOS!$G$2:$G$20000=CONFIG_METADATA!$B$4)*(COUNTIF(CONFIG_ASIGNATURAS!$B$7:$B$27,DATOS!$I$2:$I$20000)&gt;0)*1),"")))</f>
        <v/>
      </c>
      <c r="N73" t="str">
        <f>IF(M73="","",IF(M73="[FÓRMULA MANUAL]","",IFERROR(AVERAGEIFS(DATOS!$K$2:$K$20000,DATOS!$A$2:$A$20000,M73,DATOS!$G$2:$G$20000,CONFIG_METADATA!$B$4,DATOS!$I$2:$I$20000,"Armonía"),"")))</f>
        <v/>
      </c>
      <c r="O73" t="str">
        <f>IF(M73="","",IF(M73="[FÓRMULA MANUAL]","",IFERROR(AVERAGEIFS(DATOS!$K$2:$K$20000,DATOS!$A$2:$A$20000,M73,DATOS!$G$2:$G$20000,CONFIG_METADATA!$B$4,DATOS!$I$2:$I$20000,"Orquesta/Banda/Conjunto"),"")))</f>
        <v/>
      </c>
      <c r="P73" t="str">
        <f>IF(M73="","",IF(M73="[FÓRMULA MANUAL]","",IFERROR(AVERAGEIFS(DATOS!$K$2:$K$20000,DATOS!$A$2:$A$20000,M73,DATOS!$G$2:$G$20000,CONFIG_METADATA!$B$4,DATOS!$I$2:$I$20000,"Música de Cámara"),"")))</f>
        <v/>
      </c>
      <c r="Q73" t="str">
        <f>IF(M73="","",IF(M73="[FÓRMULA MANUAL]","",IFERROR(SUMPRODUCT((DATOS!$A$2:$A$20000=M73)*(DATOS!$G$2:$G$20000=CONFIG_METADATA!$B$4)*(COUNTIF(CONFIG_ASIGNATURAS!$B$7:$B$27,DATOS!$I$2:$I$20000)&gt;0)*(DATOS!$K$2:$K$20000))/SUMPRODUCT((DATOS!$A$2:$A$20000=M73)*(DATOS!$G$2:$G$20000=CONFIG_METADATA!$B$4)*(COUNTIF(CONFIG_ASIGNATURAS!$B$7:$B$27,DATOS!$I$2:$I$20000)&gt;0)*1),"")))</f>
        <v/>
      </c>
      <c r="T73" t="str">
        <f>IF(S73="","",IF(S73="[FÓRMULA MANUAL]","",IFERROR(AVERAGEIFS(DATOS!$K$2:$K$20000,DATOS!$A$2:$A$20000,S73,DATOS!$G$2:$G$20000,CONFIG_METADATA!$B$4,DATOS!$I$2:$I$20000,"Armonía"),"")))</f>
        <v/>
      </c>
      <c r="U73" t="str">
        <f>IF(S73="","",IF(S73="[FÓRMULA MANUAL]","",IFERROR(AVERAGEIFS(DATOS!$K$2:$K$20000,DATOS!$A$2:$A$20000,S73,DATOS!$G$2:$G$20000,CONFIG_METADATA!$B$4,DATOS!$I$2:$I$20000,"Orquesta/Banda/Conjunto"),"")))</f>
        <v/>
      </c>
      <c r="V73" t="str">
        <f>IF(S73="","",IF(S73="[FÓRMULA MANUAL]","",IFERROR(AVERAGEIFS(DATOS!$K$2:$K$20000,DATOS!$A$2:$A$20000,S73,DATOS!$G$2:$G$20000,CONFIG_METADATA!$B$4,DATOS!$I$2:$I$20000,"Música de Cámara"),"")))</f>
        <v/>
      </c>
      <c r="W73" t="str">
        <f>IF(S73="","",IF(S73="[FÓRMULA MANUAL]","",IFERROR(SUMPRODUCT((DATOS!$A$2:$A$20000=S73)*(DATOS!$G$2:$G$20000=CONFIG_METADATA!$B$4)*(COUNTIF(CONFIG_ASIGNATURAS!$B$7:$B$27,DATOS!$I$2:$I$20000)&gt;0)*(DATOS!$K$2:$K$20000))/SUMPRODUCT((DATOS!$A$2:$A$20000=S73)*(DATOS!$G$2:$G$20000=CONFIG_METADATA!$B$4)*(COUNTIF(CONFIG_ASIGNATURAS!$B$7:$B$27,DATOS!$I$2:$I$20000)&gt;0)*1),"")))</f>
        <v/>
      </c>
      <c r="Z73" t="str">
        <f>IF(Y73="","",IF(Y73="[FÓRMULA MANUAL]","",IFERROR(AVERAGEIFS(DATOS!$K$2:$K$20000,DATOS!$A$2:$A$20000,Y73,DATOS!$G$2:$G$20000,CONFIG_METADATA!$B$4,DATOS!$I$2:$I$20000,"Análisis"),"")))</f>
        <v/>
      </c>
      <c r="AA73" t="str">
        <f>IF(Y73="","",IF(Y73="[FÓRMULA MANUAL]","",IFERROR(AVERAGEIFS(DATOS!$K$2:$K$20000,DATOS!$A$2:$A$20000,Y73,DATOS!$G$2:$G$20000,CONFIG_METADATA!$B$4,DATOS!$I$2:$I$20000,"Orquesta/Banda/Conjunto"),"")))</f>
        <v/>
      </c>
      <c r="AB73" t="str">
        <f>IF(Y73="","",IF(Y73="[FÓRMULA MANUAL]","",IFERROR(AVERAGEIFS(DATOS!$K$2:$K$20000,DATOS!$A$2:$A$20000,Y73,DATOS!$G$2:$G$20000,CONFIG_METADATA!$B$4,DATOS!$I$2:$I$20000,"Música de Cámara"),"")))</f>
        <v/>
      </c>
      <c r="AC73" t="str">
        <f>IF(Y73="","",IF(Y73="[FÓRMULA MANUAL]","",IFERROR(SUMPRODUCT((DATOS!$A$2:$A$20000=Y73)*(DATOS!$G$2:$G$20000=CONFIG_METADATA!$B$4)*(COUNTIF(CONFIG_ASIGNATURAS!$B$7:$B$27,DATOS!$I$2:$I$20000)&gt;0)*(DATOS!$K$2:$K$20000))/SUMPRODUCT((DATOS!$A$2:$A$20000=Y73)*(DATOS!$G$2:$G$20000=CONFIG_METADATA!$B$4)*(COUNTIF(CONFIG_ASIGNATURAS!$B$7:$B$27,DATOS!$I$2:$I$20000)&gt;0)*1),"")))</f>
        <v/>
      </c>
      <c r="AF73" t="str">
        <f>IF(AE73="","",IF(AE73="[FÓRMULA MANUAL]","",IFERROR(AVERAGEIFS(DATOS!$K$2:$K$20000,DATOS!$A$2:$A$20000,AE73,DATOS!$G$2:$G$20000,CONFIG_METADATA!$B$4,DATOS!$I$2:$I$20000,"Análisis"),"")))</f>
        <v/>
      </c>
      <c r="AG73" t="str">
        <f>IF(AE73="","",IF(AE73="[FÓRMULA MANUAL]","",IFERROR(AVERAGEIFS(DATOS!$K$2:$K$20000,DATOS!$A$2:$A$20000,AE73,DATOS!$G$2:$G$20000,CONFIG_METADATA!$B$4,DATOS!$I$2:$I$20000,"Orquesta/Banda/Conjunto"),"")))</f>
        <v/>
      </c>
      <c r="AH73" t="str">
        <f>IF(AE73="","",IF(AE73="[FÓRMULA MANUAL]","",IFERROR(AVERAGEIFS(DATOS!$K$2:$K$20000,DATOS!$A$2:$A$20000,AE73,DATOS!$G$2:$G$20000,CONFIG_METADATA!$B$4,DATOS!$I$2:$I$20000,"Música de Cámara"),"")))</f>
        <v/>
      </c>
      <c r="AI73" t="str">
        <f>IF(AE73="","",IF(AE73="[FÓRMULA MANUAL]","",IFERROR(SUMPRODUCT((DATOS!$A$2:$A$20000=AE73)*(DATOS!$G$2:$G$20000=CONFIG_METADATA!$B$4)*(COUNTIF(CONFIG_ASIGNATURAS!$B$7:$B$27,DATOS!$I$2:$I$20000)&gt;0)*(DATOS!$K$2:$K$20000))/SUMPRODUCT((DATOS!$A$2:$A$20000=AE73)*(DATOS!$G$2:$G$20000=CONFIG_METADATA!$B$4)*(COUNTIF(CONFIG_ASIGNATURAS!$B$7:$B$27,DATOS!$I$2:$I$20000)&gt;0)*1),"")))</f>
        <v/>
      </c>
    </row>
    <row r="74" spans="2:35" x14ac:dyDescent="0.2">
      <c r="B74" t="str">
        <f>IF(A74="","",IF(A74="[FÓRMULA MANUAL]","",IFERROR(AVERAGEIFS(DATOS!$K$2:$K$20000,DATOS!$A$2:$A$20000,A74,DATOS!$G$2:$G$20000,CONFIG_METADATA!$B$4,DATOS!$I$2:$I$20000,"Lenguaje Musical"),"")))</f>
        <v/>
      </c>
      <c r="C74" t="str">
        <f>IF(A74="","",IF(A74="[FÓRMULA MANUAL]","",IFERROR(AVERAGEIFS(DATOS!$K$2:$K$20000,DATOS!$A$2:$A$20000,A74,DATOS!$G$2:$G$20000,CONFIG_METADATA!$B$4,DATOS!$I$2:$I$20000,"Orquesta/Banda/Conjunto"),"")))</f>
        <v/>
      </c>
      <c r="D74" t="str">
        <f>IF(A74="","",IF(A74="[FÓRMULA MANUAL]","",IFERROR(AVERAGEIFS(DATOS!$K$2:$K$20000,DATOS!$A$2:$A$20000,A74,DATOS!$G$2:$G$20000,CONFIG_METADATA!$B$4,DATOS!$I$2:$I$20000,"Conjunto"),"")))</f>
        <v/>
      </c>
      <c r="E74" t="str">
        <f>IF(A74="","",IF(A74="[FÓRMULA MANUAL]","",IFERROR(SUMPRODUCT((DATOS!$A$2:$A$20000=A74)*(DATOS!$G$2:$G$20000=CONFIG_METADATA!$B$4)*(COUNTIF(CONFIG_ASIGNATURAS!$B$7:$B$27,DATOS!$I$2:$I$20000)&gt;0)*(DATOS!$K$2:$K$20000))/SUMPRODUCT((DATOS!$A$2:$A$20000=A74)*(DATOS!$G$2:$G$20000=CONFIG_METADATA!$B$4)*(COUNTIF(CONFIG_ASIGNATURAS!$B$7:$B$27,DATOS!$I$2:$I$20000)&gt;0)*1),"")))</f>
        <v/>
      </c>
      <c r="H74" t="str">
        <f>IF(G74="","",IF(G74="[FÓRMULA MANUAL]","",IFERROR(AVERAGEIFS(DATOS!$K$2:$K$20000,DATOS!$A$2:$A$20000,G74,DATOS!$G$2:$G$20000,CONFIG_METADATA!$B$4,DATOS!$I$2:$I$20000,"Lenguaje Musical"),"")))</f>
        <v/>
      </c>
      <c r="I74" t="str">
        <f>IF(G74="","",IF(G74="[FÓRMULA MANUAL]","",IFERROR(AVERAGEIFS(DATOS!$K$2:$K$20000,DATOS!$A$2:$A$20000,G74,DATOS!$G$2:$G$20000,CONFIG_METADATA!$B$4,DATOS!$I$2:$I$20000,"Orquesta/Banda/Conjunto"),"")))</f>
        <v/>
      </c>
      <c r="J74" t="str">
        <f>IF(G74="","",IF(G74="[FÓRMULA MANUAL]","",IFERROR(AVERAGEIFS(DATOS!$K$2:$K$20000,DATOS!$A$2:$A$20000,G74,DATOS!$G$2:$G$20000,CONFIG_METADATA!$B$4,DATOS!$I$2:$I$20000,"Conjunto"),"")))</f>
        <v/>
      </c>
      <c r="K74" t="str">
        <f>IF(G74="","",IF(G74="[FÓRMULA MANUAL]","",IFERROR(SUMPRODUCT((DATOS!$A$2:$A$20000=G74)*(DATOS!$G$2:$G$20000=CONFIG_METADATA!$B$4)*(COUNTIF(CONFIG_ASIGNATURAS!$B$7:$B$27,DATOS!$I$2:$I$20000)&gt;0)*(DATOS!$K$2:$K$20000))/SUMPRODUCT((DATOS!$A$2:$A$20000=G74)*(DATOS!$G$2:$G$20000=CONFIG_METADATA!$B$4)*(COUNTIF(CONFIG_ASIGNATURAS!$B$7:$B$27,DATOS!$I$2:$I$20000)&gt;0)*1),"")))</f>
        <v/>
      </c>
      <c r="N74" t="str">
        <f>IF(M74="","",IF(M74="[FÓRMULA MANUAL]","",IFERROR(AVERAGEIFS(DATOS!$K$2:$K$20000,DATOS!$A$2:$A$20000,M74,DATOS!$G$2:$G$20000,CONFIG_METADATA!$B$4,DATOS!$I$2:$I$20000,"Armonía"),"")))</f>
        <v/>
      </c>
      <c r="O74" t="str">
        <f>IF(M74="","",IF(M74="[FÓRMULA MANUAL]","",IFERROR(AVERAGEIFS(DATOS!$K$2:$K$20000,DATOS!$A$2:$A$20000,M74,DATOS!$G$2:$G$20000,CONFIG_METADATA!$B$4,DATOS!$I$2:$I$20000,"Orquesta/Banda/Conjunto"),"")))</f>
        <v/>
      </c>
      <c r="P74" t="str">
        <f>IF(M74="","",IF(M74="[FÓRMULA MANUAL]","",IFERROR(AVERAGEIFS(DATOS!$K$2:$K$20000,DATOS!$A$2:$A$20000,M74,DATOS!$G$2:$G$20000,CONFIG_METADATA!$B$4,DATOS!$I$2:$I$20000,"Música de Cámara"),"")))</f>
        <v/>
      </c>
      <c r="Q74" t="str">
        <f>IF(M74="","",IF(M74="[FÓRMULA MANUAL]","",IFERROR(SUMPRODUCT((DATOS!$A$2:$A$20000=M74)*(DATOS!$G$2:$G$20000=CONFIG_METADATA!$B$4)*(COUNTIF(CONFIG_ASIGNATURAS!$B$7:$B$27,DATOS!$I$2:$I$20000)&gt;0)*(DATOS!$K$2:$K$20000))/SUMPRODUCT((DATOS!$A$2:$A$20000=M74)*(DATOS!$G$2:$G$20000=CONFIG_METADATA!$B$4)*(COUNTIF(CONFIG_ASIGNATURAS!$B$7:$B$27,DATOS!$I$2:$I$20000)&gt;0)*1),"")))</f>
        <v/>
      </c>
      <c r="T74" t="str">
        <f>IF(S74="","",IF(S74="[FÓRMULA MANUAL]","",IFERROR(AVERAGEIFS(DATOS!$K$2:$K$20000,DATOS!$A$2:$A$20000,S74,DATOS!$G$2:$G$20000,CONFIG_METADATA!$B$4,DATOS!$I$2:$I$20000,"Armonía"),"")))</f>
        <v/>
      </c>
      <c r="U74" t="str">
        <f>IF(S74="","",IF(S74="[FÓRMULA MANUAL]","",IFERROR(AVERAGEIFS(DATOS!$K$2:$K$20000,DATOS!$A$2:$A$20000,S74,DATOS!$G$2:$G$20000,CONFIG_METADATA!$B$4,DATOS!$I$2:$I$20000,"Orquesta/Banda/Conjunto"),"")))</f>
        <v/>
      </c>
      <c r="V74" t="str">
        <f>IF(S74="","",IF(S74="[FÓRMULA MANUAL]","",IFERROR(AVERAGEIFS(DATOS!$K$2:$K$20000,DATOS!$A$2:$A$20000,S74,DATOS!$G$2:$G$20000,CONFIG_METADATA!$B$4,DATOS!$I$2:$I$20000,"Música de Cámara"),"")))</f>
        <v/>
      </c>
      <c r="W74" t="str">
        <f>IF(S74="","",IF(S74="[FÓRMULA MANUAL]","",IFERROR(SUMPRODUCT((DATOS!$A$2:$A$20000=S74)*(DATOS!$G$2:$G$20000=CONFIG_METADATA!$B$4)*(COUNTIF(CONFIG_ASIGNATURAS!$B$7:$B$27,DATOS!$I$2:$I$20000)&gt;0)*(DATOS!$K$2:$K$20000))/SUMPRODUCT((DATOS!$A$2:$A$20000=S74)*(DATOS!$G$2:$G$20000=CONFIG_METADATA!$B$4)*(COUNTIF(CONFIG_ASIGNATURAS!$B$7:$B$27,DATOS!$I$2:$I$20000)&gt;0)*1),"")))</f>
        <v/>
      </c>
      <c r="Z74" t="str">
        <f>IF(Y74="","",IF(Y74="[FÓRMULA MANUAL]","",IFERROR(AVERAGEIFS(DATOS!$K$2:$K$20000,DATOS!$A$2:$A$20000,Y74,DATOS!$G$2:$G$20000,CONFIG_METADATA!$B$4,DATOS!$I$2:$I$20000,"Análisis"),"")))</f>
        <v/>
      </c>
      <c r="AA74" t="str">
        <f>IF(Y74="","",IF(Y74="[FÓRMULA MANUAL]","",IFERROR(AVERAGEIFS(DATOS!$K$2:$K$20000,DATOS!$A$2:$A$20000,Y74,DATOS!$G$2:$G$20000,CONFIG_METADATA!$B$4,DATOS!$I$2:$I$20000,"Orquesta/Banda/Conjunto"),"")))</f>
        <v/>
      </c>
      <c r="AB74" t="str">
        <f>IF(Y74="","",IF(Y74="[FÓRMULA MANUAL]","",IFERROR(AVERAGEIFS(DATOS!$K$2:$K$20000,DATOS!$A$2:$A$20000,Y74,DATOS!$G$2:$G$20000,CONFIG_METADATA!$B$4,DATOS!$I$2:$I$20000,"Música de Cámara"),"")))</f>
        <v/>
      </c>
      <c r="AC74" t="str">
        <f>IF(Y74="","",IF(Y74="[FÓRMULA MANUAL]","",IFERROR(SUMPRODUCT((DATOS!$A$2:$A$20000=Y74)*(DATOS!$G$2:$G$20000=CONFIG_METADATA!$B$4)*(COUNTIF(CONFIG_ASIGNATURAS!$B$7:$B$27,DATOS!$I$2:$I$20000)&gt;0)*(DATOS!$K$2:$K$20000))/SUMPRODUCT((DATOS!$A$2:$A$20000=Y74)*(DATOS!$G$2:$G$20000=CONFIG_METADATA!$B$4)*(COUNTIF(CONFIG_ASIGNATURAS!$B$7:$B$27,DATOS!$I$2:$I$20000)&gt;0)*1),"")))</f>
        <v/>
      </c>
      <c r="AF74" t="str">
        <f>IF(AE74="","",IF(AE74="[FÓRMULA MANUAL]","",IFERROR(AVERAGEIFS(DATOS!$K$2:$K$20000,DATOS!$A$2:$A$20000,AE74,DATOS!$G$2:$G$20000,CONFIG_METADATA!$B$4,DATOS!$I$2:$I$20000,"Análisis"),"")))</f>
        <v/>
      </c>
      <c r="AG74" t="str">
        <f>IF(AE74="","",IF(AE74="[FÓRMULA MANUAL]","",IFERROR(AVERAGEIFS(DATOS!$K$2:$K$20000,DATOS!$A$2:$A$20000,AE74,DATOS!$G$2:$G$20000,CONFIG_METADATA!$B$4,DATOS!$I$2:$I$20000,"Orquesta/Banda/Conjunto"),"")))</f>
        <v/>
      </c>
      <c r="AH74" t="str">
        <f>IF(AE74="","",IF(AE74="[FÓRMULA MANUAL]","",IFERROR(AVERAGEIFS(DATOS!$K$2:$K$20000,DATOS!$A$2:$A$20000,AE74,DATOS!$G$2:$G$20000,CONFIG_METADATA!$B$4,DATOS!$I$2:$I$20000,"Música de Cámara"),"")))</f>
        <v/>
      </c>
      <c r="AI74" t="str">
        <f>IF(AE74="","",IF(AE74="[FÓRMULA MANUAL]","",IFERROR(SUMPRODUCT((DATOS!$A$2:$A$20000=AE74)*(DATOS!$G$2:$G$20000=CONFIG_METADATA!$B$4)*(COUNTIF(CONFIG_ASIGNATURAS!$B$7:$B$27,DATOS!$I$2:$I$20000)&gt;0)*(DATOS!$K$2:$K$20000))/SUMPRODUCT((DATOS!$A$2:$A$20000=AE74)*(DATOS!$G$2:$G$20000=CONFIG_METADATA!$B$4)*(COUNTIF(CONFIG_ASIGNATURAS!$B$7:$B$27,DATOS!$I$2:$I$20000)&gt;0)*1),"")))</f>
        <v/>
      </c>
    </row>
    <row r="75" spans="2:35" x14ac:dyDescent="0.2">
      <c r="B75" t="str">
        <f>IF(A75="","",IF(A75="[FÓRMULA MANUAL]","",IFERROR(AVERAGEIFS(DATOS!$K$2:$K$20000,DATOS!$A$2:$A$20000,A75,DATOS!$G$2:$G$20000,CONFIG_METADATA!$B$4,DATOS!$I$2:$I$20000,"Lenguaje Musical"),"")))</f>
        <v/>
      </c>
      <c r="C75" t="str">
        <f>IF(A75="","",IF(A75="[FÓRMULA MANUAL]","",IFERROR(AVERAGEIFS(DATOS!$K$2:$K$20000,DATOS!$A$2:$A$20000,A75,DATOS!$G$2:$G$20000,CONFIG_METADATA!$B$4,DATOS!$I$2:$I$20000,"Orquesta/Banda/Conjunto"),"")))</f>
        <v/>
      </c>
      <c r="D75" t="str">
        <f>IF(A75="","",IF(A75="[FÓRMULA MANUAL]","",IFERROR(AVERAGEIFS(DATOS!$K$2:$K$20000,DATOS!$A$2:$A$20000,A75,DATOS!$G$2:$G$20000,CONFIG_METADATA!$B$4,DATOS!$I$2:$I$20000,"Conjunto"),"")))</f>
        <v/>
      </c>
      <c r="E75" t="str">
        <f>IF(A75="","",IF(A75="[FÓRMULA MANUAL]","",IFERROR(SUMPRODUCT((DATOS!$A$2:$A$20000=A75)*(DATOS!$G$2:$G$20000=CONFIG_METADATA!$B$4)*(COUNTIF(CONFIG_ASIGNATURAS!$B$7:$B$27,DATOS!$I$2:$I$20000)&gt;0)*(DATOS!$K$2:$K$20000))/SUMPRODUCT((DATOS!$A$2:$A$20000=A75)*(DATOS!$G$2:$G$20000=CONFIG_METADATA!$B$4)*(COUNTIF(CONFIG_ASIGNATURAS!$B$7:$B$27,DATOS!$I$2:$I$20000)&gt;0)*1),"")))</f>
        <v/>
      </c>
      <c r="H75" t="str">
        <f>IF(G75="","",IF(G75="[FÓRMULA MANUAL]","",IFERROR(AVERAGEIFS(DATOS!$K$2:$K$20000,DATOS!$A$2:$A$20000,G75,DATOS!$G$2:$G$20000,CONFIG_METADATA!$B$4,DATOS!$I$2:$I$20000,"Lenguaje Musical"),"")))</f>
        <v/>
      </c>
      <c r="I75" t="str">
        <f>IF(G75="","",IF(G75="[FÓRMULA MANUAL]","",IFERROR(AVERAGEIFS(DATOS!$K$2:$K$20000,DATOS!$A$2:$A$20000,G75,DATOS!$G$2:$G$20000,CONFIG_METADATA!$B$4,DATOS!$I$2:$I$20000,"Orquesta/Banda/Conjunto"),"")))</f>
        <v/>
      </c>
      <c r="J75" t="str">
        <f>IF(G75="","",IF(G75="[FÓRMULA MANUAL]","",IFERROR(AVERAGEIFS(DATOS!$K$2:$K$20000,DATOS!$A$2:$A$20000,G75,DATOS!$G$2:$G$20000,CONFIG_METADATA!$B$4,DATOS!$I$2:$I$20000,"Conjunto"),"")))</f>
        <v/>
      </c>
      <c r="K75" t="str">
        <f>IF(G75="","",IF(G75="[FÓRMULA MANUAL]","",IFERROR(SUMPRODUCT((DATOS!$A$2:$A$20000=G75)*(DATOS!$G$2:$G$20000=CONFIG_METADATA!$B$4)*(COUNTIF(CONFIG_ASIGNATURAS!$B$7:$B$27,DATOS!$I$2:$I$20000)&gt;0)*(DATOS!$K$2:$K$20000))/SUMPRODUCT((DATOS!$A$2:$A$20000=G75)*(DATOS!$G$2:$G$20000=CONFIG_METADATA!$B$4)*(COUNTIF(CONFIG_ASIGNATURAS!$B$7:$B$27,DATOS!$I$2:$I$20000)&gt;0)*1),"")))</f>
        <v/>
      </c>
      <c r="N75" t="str">
        <f>IF(M75="","",IF(M75="[FÓRMULA MANUAL]","",IFERROR(AVERAGEIFS(DATOS!$K$2:$K$20000,DATOS!$A$2:$A$20000,M75,DATOS!$G$2:$G$20000,CONFIG_METADATA!$B$4,DATOS!$I$2:$I$20000,"Armonía"),"")))</f>
        <v/>
      </c>
      <c r="O75" t="str">
        <f>IF(M75="","",IF(M75="[FÓRMULA MANUAL]","",IFERROR(AVERAGEIFS(DATOS!$K$2:$K$20000,DATOS!$A$2:$A$20000,M75,DATOS!$G$2:$G$20000,CONFIG_METADATA!$B$4,DATOS!$I$2:$I$20000,"Orquesta/Banda/Conjunto"),"")))</f>
        <v/>
      </c>
      <c r="P75" t="str">
        <f>IF(M75="","",IF(M75="[FÓRMULA MANUAL]","",IFERROR(AVERAGEIFS(DATOS!$K$2:$K$20000,DATOS!$A$2:$A$20000,M75,DATOS!$G$2:$G$20000,CONFIG_METADATA!$B$4,DATOS!$I$2:$I$20000,"Música de Cámara"),"")))</f>
        <v/>
      </c>
      <c r="Q75" t="str">
        <f>IF(M75="","",IF(M75="[FÓRMULA MANUAL]","",IFERROR(SUMPRODUCT((DATOS!$A$2:$A$20000=M75)*(DATOS!$G$2:$G$20000=CONFIG_METADATA!$B$4)*(COUNTIF(CONFIG_ASIGNATURAS!$B$7:$B$27,DATOS!$I$2:$I$20000)&gt;0)*(DATOS!$K$2:$K$20000))/SUMPRODUCT((DATOS!$A$2:$A$20000=M75)*(DATOS!$G$2:$G$20000=CONFIG_METADATA!$B$4)*(COUNTIF(CONFIG_ASIGNATURAS!$B$7:$B$27,DATOS!$I$2:$I$20000)&gt;0)*1),"")))</f>
        <v/>
      </c>
      <c r="T75" t="str">
        <f>IF(S75="","",IF(S75="[FÓRMULA MANUAL]","",IFERROR(AVERAGEIFS(DATOS!$K$2:$K$20000,DATOS!$A$2:$A$20000,S75,DATOS!$G$2:$G$20000,CONFIG_METADATA!$B$4,DATOS!$I$2:$I$20000,"Armonía"),"")))</f>
        <v/>
      </c>
      <c r="U75" t="str">
        <f>IF(S75="","",IF(S75="[FÓRMULA MANUAL]","",IFERROR(AVERAGEIFS(DATOS!$K$2:$K$20000,DATOS!$A$2:$A$20000,S75,DATOS!$G$2:$G$20000,CONFIG_METADATA!$B$4,DATOS!$I$2:$I$20000,"Orquesta/Banda/Conjunto"),"")))</f>
        <v/>
      </c>
      <c r="V75" t="str">
        <f>IF(S75="","",IF(S75="[FÓRMULA MANUAL]","",IFERROR(AVERAGEIFS(DATOS!$K$2:$K$20000,DATOS!$A$2:$A$20000,S75,DATOS!$G$2:$G$20000,CONFIG_METADATA!$B$4,DATOS!$I$2:$I$20000,"Música de Cámara"),"")))</f>
        <v/>
      </c>
      <c r="W75" t="str">
        <f>IF(S75="","",IF(S75="[FÓRMULA MANUAL]","",IFERROR(SUMPRODUCT((DATOS!$A$2:$A$20000=S75)*(DATOS!$G$2:$G$20000=CONFIG_METADATA!$B$4)*(COUNTIF(CONFIG_ASIGNATURAS!$B$7:$B$27,DATOS!$I$2:$I$20000)&gt;0)*(DATOS!$K$2:$K$20000))/SUMPRODUCT((DATOS!$A$2:$A$20000=S75)*(DATOS!$G$2:$G$20000=CONFIG_METADATA!$B$4)*(COUNTIF(CONFIG_ASIGNATURAS!$B$7:$B$27,DATOS!$I$2:$I$20000)&gt;0)*1),"")))</f>
        <v/>
      </c>
      <c r="Z75" t="str">
        <f>IF(Y75="","",IF(Y75="[FÓRMULA MANUAL]","",IFERROR(AVERAGEIFS(DATOS!$K$2:$K$20000,DATOS!$A$2:$A$20000,Y75,DATOS!$G$2:$G$20000,CONFIG_METADATA!$B$4,DATOS!$I$2:$I$20000,"Análisis"),"")))</f>
        <v/>
      </c>
      <c r="AA75" t="str">
        <f>IF(Y75="","",IF(Y75="[FÓRMULA MANUAL]","",IFERROR(AVERAGEIFS(DATOS!$K$2:$K$20000,DATOS!$A$2:$A$20000,Y75,DATOS!$G$2:$G$20000,CONFIG_METADATA!$B$4,DATOS!$I$2:$I$20000,"Orquesta/Banda/Conjunto"),"")))</f>
        <v/>
      </c>
      <c r="AB75" t="str">
        <f>IF(Y75="","",IF(Y75="[FÓRMULA MANUAL]","",IFERROR(AVERAGEIFS(DATOS!$K$2:$K$20000,DATOS!$A$2:$A$20000,Y75,DATOS!$G$2:$G$20000,CONFIG_METADATA!$B$4,DATOS!$I$2:$I$20000,"Música de Cámara"),"")))</f>
        <v/>
      </c>
      <c r="AC75" t="str">
        <f>IF(Y75="","",IF(Y75="[FÓRMULA MANUAL]","",IFERROR(SUMPRODUCT((DATOS!$A$2:$A$20000=Y75)*(DATOS!$G$2:$G$20000=CONFIG_METADATA!$B$4)*(COUNTIF(CONFIG_ASIGNATURAS!$B$7:$B$27,DATOS!$I$2:$I$20000)&gt;0)*(DATOS!$K$2:$K$20000))/SUMPRODUCT((DATOS!$A$2:$A$20000=Y75)*(DATOS!$G$2:$G$20000=CONFIG_METADATA!$B$4)*(COUNTIF(CONFIG_ASIGNATURAS!$B$7:$B$27,DATOS!$I$2:$I$20000)&gt;0)*1),"")))</f>
        <v/>
      </c>
      <c r="AF75" t="str">
        <f>IF(AE75="","",IF(AE75="[FÓRMULA MANUAL]","",IFERROR(AVERAGEIFS(DATOS!$K$2:$K$20000,DATOS!$A$2:$A$20000,AE75,DATOS!$G$2:$G$20000,CONFIG_METADATA!$B$4,DATOS!$I$2:$I$20000,"Análisis"),"")))</f>
        <v/>
      </c>
      <c r="AG75" t="str">
        <f>IF(AE75="","",IF(AE75="[FÓRMULA MANUAL]","",IFERROR(AVERAGEIFS(DATOS!$K$2:$K$20000,DATOS!$A$2:$A$20000,AE75,DATOS!$G$2:$G$20000,CONFIG_METADATA!$B$4,DATOS!$I$2:$I$20000,"Orquesta/Banda/Conjunto"),"")))</f>
        <v/>
      </c>
      <c r="AH75" t="str">
        <f>IF(AE75="","",IF(AE75="[FÓRMULA MANUAL]","",IFERROR(AVERAGEIFS(DATOS!$K$2:$K$20000,DATOS!$A$2:$A$20000,AE75,DATOS!$G$2:$G$20000,CONFIG_METADATA!$B$4,DATOS!$I$2:$I$20000,"Música de Cámara"),"")))</f>
        <v/>
      </c>
      <c r="AI75" t="str">
        <f>IF(AE75="","",IF(AE75="[FÓRMULA MANUAL]","",IFERROR(SUMPRODUCT((DATOS!$A$2:$A$20000=AE75)*(DATOS!$G$2:$G$20000=CONFIG_METADATA!$B$4)*(COUNTIF(CONFIG_ASIGNATURAS!$B$7:$B$27,DATOS!$I$2:$I$20000)&gt;0)*(DATOS!$K$2:$K$20000))/SUMPRODUCT((DATOS!$A$2:$A$20000=AE75)*(DATOS!$G$2:$G$20000=CONFIG_METADATA!$B$4)*(COUNTIF(CONFIG_ASIGNATURAS!$B$7:$B$27,DATOS!$I$2:$I$20000)&gt;0)*1),"")))</f>
        <v/>
      </c>
    </row>
    <row r="76" spans="2:35" x14ac:dyDescent="0.2">
      <c r="B76" t="str">
        <f>IF(A76="","",IF(A76="[FÓRMULA MANUAL]","",IFERROR(AVERAGEIFS(DATOS!$K$2:$K$20000,DATOS!$A$2:$A$20000,A76,DATOS!$G$2:$G$20000,CONFIG_METADATA!$B$4,DATOS!$I$2:$I$20000,"Lenguaje Musical"),"")))</f>
        <v/>
      </c>
      <c r="C76" t="str">
        <f>IF(A76="","",IF(A76="[FÓRMULA MANUAL]","",IFERROR(AVERAGEIFS(DATOS!$K$2:$K$20000,DATOS!$A$2:$A$20000,A76,DATOS!$G$2:$G$20000,CONFIG_METADATA!$B$4,DATOS!$I$2:$I$20000,"Orquesta/Banda/Conjunto"),"")))</f>
        <v/>
      </c>
      <c r="D76" t="str">
        <f>IF(A76="","",IF(A76="[FÓRMULA MANUAL]","",IFERROR(AVERAGEIFS(DATOS!$K$2:$K$20000,DATOS!$A$2:$A$20000,A76,DATOS!$G$2:$G$20000,CONFIG_METADATA!$B$4,DATOS!$I$2:$I$20000,"Conjunto"),"")))</f>
        <v/>
      </c>
      <c r="E76" t="str">
        <f>IF(A76="","",IF(A76="[FÓRMULA MANUAL]","",IFERROR(SUMPRODUCT((DATOS!$A$2:$A$20000=A76)*(DATOS!$G$2:$G$20000=CONFIG_METADATA!$B$4)*(COUNTIF(CONFIG_ASIGNATURAS!$B$7:$B$27,DATOS!$I$2:$I$20000)&gt;0)*(DATOS!$K$2:$K$20000))/SUMPRODUCT((DATOS!$A$2:$A$20000=A76)*(DATOS!$G$2:$G$20000=CONFIG_METADATA!$B$4)*(COUNTIF(CONFIG_ASIGNATURAS!$B$7:$B$27,DATOS!$I$2:$I$20000)&gt;0)*1),"")))</f>
        <v/>
      </c>
      <c r="H76" t="str">
        <f>IF(G76="","",IF(G76="[FÓRMULA MANUAL]","",IFERROR(AVERAGEIFS(DATOS!$K$2:$K$20000,DATOS!$A$2:$A$20000,G76,DATOS!$G$2:$G$20000,CONFIG_METADATA!$B$4,DATOS!$I$2:$I$20000,"Lenguaje Musical"),"")))</f>
        <v/>
      </c>
      <c r="I76" t="str">
        <f>IF(G76="","",IF(G76="[FÓRMULA MANUAL]","",IFERROR(AVERAGEIFS(DATOS!$K$2:$K$20000,DATOS!$A$2:$A$20000,G76,DATOS!$G$2:$G$20000,CONFIG_METADATA!$B$4,DATOS!$I$2:$I$20000,"Orquesta/Banda/Conjunto"),"")))</f>
        <v/>
      </c>
      <c r="J76" t="str">
        <f>IF(G76="","",IF(G76="[FÓRMULA MANUAL]","",IFERROR(AVERAGEIFS(DATOS!$K$2:$K$20000,DATOS!$A$2:$A$20000,G76,DATOS!$G$2:$G$20000,CONFIG_METADATA!$B$4,DATOS!$I$2:$I$20000,"Conjunto"),"")))</f>
        <v/>
      </c>
      <c r="K76" t="str">
        <f>IF(G76="","",IF(G76="[FÓRMULA MANUAL]","",IFERROR(SUMPRODUCT((DATOS!$A$2:$A$20000=G76)*(DATOS!$G$2:$G$20000=CONFIG_METADATA!$B$4)*(COUNTIF(CONFIG_ASIGNATURAS!$B$7:$B$27,DATOS!$I$2:$I$20000)&gt;0)*(DATOS!$K$2:$K$20000))/SUMPRODUCT((DATOS!$A$2:$A$20000=G76)*(DATOS!$G$2:$G$20000=CONFIG_METADATA!$B$4)*(COUNTIF(CONFIG_ASIGNATURAS!$B$7:$B$27,DATOS!$I$2:$I$20000)&gt;0)*1),"")))</f>
        <v/>
      </c>
      <c r="N76" t="str">
        <f>IF(M76="","",IF(M76="[FÓRMULA MANUAL]","",IFERROR(AVERAGEIFS(DATOS!$K$2:$K$20000,DATOS!$A$2:$A$20000,M76,DATOS!$G$2:$G$20000,CONFIG_METADATA!$B$4,DATOS!$I$2:$I$20000,"Armonía"),"")))</f>
        <v/>
      </c>
      <c r="O76" t="str">
        <f>IF(M76="","",IF(M76="[FÓRMULA MANUAL]","",IFERROR(AVERAGEIFS(DATOS!$K$2:$K$20000,DATOS!$A$2:$A$20000,M76,DATOS!$G$2:$G$20000,CONFIG_METADATA!$B$4,DATOS!$I$2:$I$20000,"Orquesta/Banda/Conjunto"),"")))</f>
        <v/>
      </c>
      <c r="P76" t="str">
        <f>IF(M76="","",IF(M76="[FÓRMULA MANUAL]","",IFERROR(AVERAGEIFS(DATOS!$K$2:$K$20000,DATOS!$A$2:$A$20000,M76,DATOS!$G$2:$G$20000,CONFIG_METADATA!$B$4,DATOS!$I$2:$I$20000,"Música de Cámara"),"")))</f>
        <v/>
      </c>
      <c r="Q76" t="str">
        <f>IF(M76="","",IF(M76="[FÓRMULA MANUAL]","",IFERROR(SUMPRODUCT((DATOS!$A$2:$A$20000=M76)*(DATOS!$G$2:$G$20000=CONFIG_METADATA!$B$4)*(COUNTIF(CONFIG_ASIGNATURAS!$B$7:$B$27,DATOS!$I$2:$I$20000)&gt;0)*(DATOS!$K$2:$K$20000))/SUMPRODUCT((DATOS!$A$2:$A$20000=M76)*(DATOS!$G$2:$G$20000=CONFIG_METADATA!$B$4)*(COUNTIF(CONFIG_ASIGNATURAS!$B$7:$B$27,DATOS!$I$2:$I$20000)&gt;0)*1),"")))</f>
        <v/>
      </c>
      <c r="T76" t="str">
        <f>IF(S76="","",IF(S76="[FÓRMULA MANUAL]","",IFERROR(AVERAGEIFS(DATOS!$K$2:$K$20000,DATOS!$A$2:$A$20000,S76,DATOS!$G$2:$G$20000,CONFIG_METADATA!$B$4,DATOS!$I$2:$I$20000,"Armonía"),"")))</f>
        <v/>
      </c>
      <c r="U76" t="str">
        <f>IF(S76="","",IF(S76="[FÓRMULA MANUAL]","",IFERROR(AVERAGEIFS(DATOS!$K$2:$K$20000,DATOS!$A$2:$A$20000,S76,DATOS!$G$2:$G$20000,CONFIG_METADATA!$B$4,DATOS!$I$2:$I$20000,"Orquesta/Banda/Conjunto"),"")))</f>
        <v/>
      </c>
      <c r="V76" t="str">
        <f>IF(S76="","",IF(S76="[FÓRMULA MANUAL]","",IFERROR(AVERAGEIFS(DATOS!$K$2:$K$20000,DATOS!$A$2:$A$20000,S76,DATOS!$G$2:$G$20000,CONFIG_METADATA!$B$4,DATOS!$I$2:$I$20000,"Música de Cámara"),"")))</f>
        <v/>
      </c>
      <c r="W76" t="str">
        <f>IF(S76="","",IF(S76="[FÓRMULA MANUAL]","",IFERROR(SUMPRODUCT((DATOS!$A$2:$A$20000=S76)*(DATOS!$G$2:$G$20000=CONFIG_METADATA!$B$4)*(COUNTIF(CONFIG_ASIGNATURAS!$B$7:$B$27,DATOS!$I$2:$I$20000)&gt;0)*(DATOS!$K$2:$K$20000))/SUMPRODUCT((DATOS!$A$2:$A$20000=S76)*(DATOS!$G$2:$G$20000=CONFIG_METADATA!$B$4)*(COUNTIF(CONFIG_ASIGNATURAS!$B$7:$B$27,DATOS!$I$2:$I$20000)&gt;0)*1),"")))</f>
        <v/>
      </c>
      <c r="Z76" t="str">
        <f>IF(Y76="","",IF(Y76="[FÓRMULA MANUAL]","",IFERROR(AVERAGEIFS(DATOS!$K$2:$K$20000,DATOS!$A$2:$A$20000,Y76,DATOS!$G$2:$G$20000,CONFIG_METADATA!$B$4,DATOS!$I$2:$I$20000,"Análisis"),"")))</f>
        <v/>
      </c>
      <c r="AA76" t="str">
        <f>IF(Y76="","",IF(Y76="[FÓRMULA MANUAL]","",IFERROR(AVERAGEIFS(DATOS!$K$2:$K$20000,DATOS!$A$2:$A$20000,Y76,DATOS!$G$2:$G$20000,CONFIG_METADATA!$B$4,DATOS!$I$2:$I$20000,"Orquesta/Banda/Conjunto"),"")))</f>
        <v/>
      </c>
      <c r="AB76" t="str">
        <f>IF(Y76="","",IF(Y76="[FÓRMULA MANUAL]","",IFERROR(AVERAGEIFS(DATOS!$K$2:$K$20000,DATOS!$A$2:$A$20000,Y76,DATOS!$G$2:$G$20000,CONFIG_METADATA!$B$4,DATOS!$I$2:$I$20000,"Música de Cámara"),"")))</f>
        <v/>
      </c>
      <c r="AC76" t="str">
        <f>IF(Y76="","",IF(Y76="[FÓRMULA MANUAL]","",IFERROR(SUMPRODUCT((DATOS!$A$2:$A$20000=Y76)*(DATOS!$G$2:$G$20000=CONFIG_METADATA!$B$4)*(COUNTIF(CONFIG_ASIGNATURAS!$B$7:$B$27,DATOS!$I$2:$I$20000)&gt;0)*(DATOS!$K$2:$K$20000))/SUMPRODUCT((DATOS!$A$2:$A$20000=Y76)*(DATOS!$G$2:$G$20000=CONFIG_METADATA!$B$4)*(COUNTIF(CONFIG_ASIGNATURAS!$B$7:$B$27,DATOS!$I$2:$I$20000)&gt;0)*1),"")))</f>
        <v/>
      </c>
      <c r="AF76" t="str">
        <f>IF(AE76="","",IF(AE76="[FÓRMULA MANUAL]","",IFERROR(AVERAGEIFS(DATOS!$K$2:$K$20000,DATOS!$A$2:$A$20000,AE76,DATOS!$G$2:$G$20000,CONFIG_METADATA!$B$4,DATOS!$I$2:$I$20000,"Análisis"),"")))</f>
        <v/>
      </c>
      <c r="AG76" t="str">
        <f>IF(AE76="","",IF(AE76="[FÓRMULA MANUAL]","",IFERROR(AVERAGEIFS(DATOS!$K$2:$K$20000,DATOS!$A$2:$A$20000,AE76,DATOS!$G$2:$G$20000,CONFIG_METADATA!$B$4,DATOS!$I$2:$I$20000,"Orquesta/Banda/Conjunto"),"")))</f>
        <v/>
      </c>
      <c r="AH76" t="str">
        <f>IF(AE76="","",IF(AE76="[FÓRMULA MANUAL]","",IFERROR(AVERAGEIFS(DATOS!$K$2:$K$20000,DATOS!$A$2:$A$20000,AE76,DATOS!$G$2:$G$20000,CONFIG_METADATA!$B$4,DATOS!$I$2:$I$20000,"Música de Cámara"),"")))</f>
        <v/>
      </c>
      <c r="AI76" t="str">
        <f>IF(AE76="","",IF(AE76="[FÓRMULA MANUAL]","",IFERROR(SUMPRODUCT((DATOS!$A$2:$A$20000=AE76)*(DATOS!$G$2:$G$20000=CONFIG_METADATA!$B$4)*(COUNTIF(CONFIG_ASIGNATURAS!$B$7:$B$27,DATOS!$I$2:$I$20000)&gt;0)*(DATOS!$K$2:$K$20000))/SUMPRODUCT((DATOS!$A$2:$A$20000=AE76)*(DATOS!$G$2:$G$20000=CONFIG_METADATA!$B$4)*(COUNTIF(CONFIG_ASIGNATURAS!$B$7:$B$27,DATOS!$I$2:$I$20000)&gt;0)*1),"")))</f>
        <v/>
      </c>
    </row>
    <row r="77" spans="2:35" x14ac:dyDescent="0.2">
      <c r="B77" t="str">
        <f>IF(A77="","",IF(A77="[FÓRMULA MANUAL]","",IFERROR(AVERAGEIFS(DATOS!$K$2:$K$20000,DATOS!$A$2:$A$20000,A77,DATOS!$G$2:$G$20000,CONFIG_METADATA!$B$4,DATOS!$I$2:$I$20000,"Lenguaje Musical"),"")))</f>
        <v/>
      </c>
      <c r="C77" t="str">
        <f>IF(A77="","",IF(A77="[FÓRMULA MANUAL]","",IFERROR(AVERAGEIFS(DATOS!$K$2:$K$20000,DATOS!$A$2:$A$20000,A77,DATOS!$G$2:$G$20000,CONFIG_METADATA!$B$4,DATOS!$I$2:$I$20000,"Orquesta/Banda/Conjunto"),"")))</f>
        <v/>
      </c>
      <c r="D77" t="str">
        <f>IF(A77="","",IF(A77="[FÓRMULA MANUAL]","",IFERROR(AVERAGEIFS(DATOS!$K$2:$K$20000,DATOS!$A$2:$A$20000,A77,DATOS!$G$2:$G$20000,CONFIG_METADATA!$B$4,DATOS!$I$2:$I$20000,"Conjunto"),"")))</f>
        <v/>
      </c>
      <c r="E77" t="str">
        <f>IF(A77="","",IF(A77="[FÓRMULA MANUAL]","",IFERROR(SUMPRODUCT((DATOS!$A$2:$A$20000=A77)*(DATOS!$G$2:$G$20000=CONFIG_METADATA!$B$4)*(COUNTIF(CONFIG_ASIGNATURAS!$B$7:$B$27,DATOS!$I$2:$I$20000)&gt;0)*(DATOS!$K$2:$K$20000))/SUMPRODUCT((DATOS!$A$2:$A$20000=A77)*(DATOS!$G$2:$G$20000=CONFIG_METADATA!$B$4)*(COUNTIF(CONFIG_ASIGNATURAS!$B$7:$B$27,DATOS!$I$2:$I$20000)&gt;0)*1),"")))</f>
        <v/>
      </c>
      <c r="H77" t="str">
        <f>IF(G77="","",IF(G77="[FÓRMULA MANUAL]","",IFERROR(AVERAGEIFS(DATOS!$K$2:$K$20000,DATOS!$A$2:$A$20000,G77,DATOS!$G$2:$G$20000,CONFIG_METADATA!$B$4,DATOS!$I$2:$I$20000,"Lenguaje Musical"),"")))</f>
        <v/>
      </c>
      <c r="I77" t="str">
        <f>IF(G77="","",IF(G77="[FÓRMULA MANUAL]","",IFERROR(AVERAGEIFS(DATOS!$K$2:$K$20000,DATOS!$A$2:$A$20000,G77,DATOS!$G$2:$G$20000,CONFIG_METADATA!$B$4,DATOS!$I$2:$I$20000,"Orquesta/Banda/Conjunto"),"")))</f>
        <v/>
      </c>
      <c r="J77" t="str">
        <f>IF(G77="","",IF(G77="[FÓRMULA MANUAL]","",IFERROR(AVERAGEIFS(DATOS!$K$2:$K$20000,DATOS!$A$2:$A$20000,G77,DATOS!$G$2:$G$20000,CONFIG_METADATA!$B$4,DATOS!$I$2:$I$20000,"Conjunto"),"")))</f>
        <v/>
      </c>
      <c r="K77" t="str">
        <f>IF(G77="","",IF(G77="[FÓRMULA MANUAL]","",IFERROR(SUMPRODUCT((DATOS!$A$2:$A$20000=G77)*(DATOS!$G$2:$G$20000=CONFIG_METADATA!$B$4)*(COUNTIF(CONFIG_ASIGNATURAS!$B$7:$B$27,DATOS!$I$2:$I$20000)&gt;0)*(DATOS!$K$2:$K$20000))/SUMPRODUCT((DATOS!$A$2:$A$20000=G77)*(DATOS!$G$2:$G$20000=CONFIG_METADATA!$B$4)*(COUNTIF(CONFIG_ASIGNATURAS!$B$7:$B$27,DATOS!$I$2:$I$20000)&gt;0)*1),"")))</f>
        <v/>
      </c>
      <c r="N77" t="str">
        <f>IF(M77="","",IF(M77="[FÓRMULA MANUAL]","",IFERROR(AVERAGEIFS(DATOS!$K$2:$K$20000,DATOS!$A$2:$A$20000,M77,DATOS!$G$2:$G$20000,CONFIG_METADATA!$B$4,DATOS!$I$2:$I$20000,"Armonía"),"")))</f>
        <v/>
      </c>
      <c r="O77" t="str">
        <f>IF(M77="","",IF(M77="[FÓRMULA MANUAL]","",IFERROR(AVERAGEIFS(DATOS!$K$2:$K$20000,DATOS!$A$2:$A$20000,M77,DATOS!$G$2:$G$20000,CONFIG_METADATA!$B$4,DATOS!$I$2:$I$20000,"Orquesta/Banda/Conjunto"),"")))</f>
        <v/>
      </c>
      <c r="P77" t="str">
        <f>IF(M77="","",IF(M77="[FÓRMULA MANUAL]","",IFERROR(AVERAGEIFS(DATOS!$K$2:$K$20000,DATOS!$A$2:$A$20000,M77,DATOS!$G$2:$G$20000,CONFIG_METADATA!$B$4,DATOS!$I$2:$I$20000,"Música de Cámara"),"")))</f>
        <v/>
      </c>
      <c r="Q77" t="str">
        <f>IF(M77="","",IF(M77="[FÓRMULA MANUAL]","",IFERROR(SUMPRODUCT((DATOS!$A$2:$A$20000=M77)*(DATOS!$G$2:$G$20000=CONFIG_METADATA!$B$4)*(COUNTIF(CONFIG_ASIGNATURAS!$B$7:$B$27,DATOS!$I$2:$I$20000)&gt;0)*(DATOS!$K$2:$K$20000))/SUMPRODUCT((DATOS!$A$2:$A$20000=M77)*(DATOS!$G$2:$G$20000=CONFIG_METADATA!$B$4)*(COUNTIF(CONFIG_ASIGNATURAS!$B$7:$B$27,DATOS!$I$2:$I$20000)&gt;0)*1),"")))</f>
        <v/>
      </c>
      <c r="T77" t="str">
        <f>IF(S77="","",IF(S77="[FÓRMULA MANUAL]","",IFERROR(AVERAGEIFS(DATOS!$K$2:$K$20000,DATOS!$A$2:$A$20000,S77,DATOS!$G$2:$G$20000,CONFIG_METADATA!$B$4,DATOS!$I$2:$I$20000,"Armonía"),"")))</f>
        <v/>
      </c>
      <c r="U77" t="str">
        <f>IF(S77="","",IF(S77="[FÓRMULA MANUAL]","",IFERROR(AVERAGEIFS(DATOS!$K$2:$K$20000,DATOS!$A$2:$A$20000,S77,DATOS!$G$2:$G$20000,CONFIG_METADATA!$B$4,DATOS!$I$2:$I$20000,"Orquesta/Banda/Conjunto"),"")))</f>
        <v/>
      </c>
      <c r="V77" t="str">
        <f>IF(S77="","",IF(S77="[FÓRMULA MANUAL]","",IFERROR(AVERAGEIFS(DATOS!$K$2:$K$20000,DATOS!$A$2:$A$20000,S77,DATOS!$G$2:$G$20000,CONFIG_METADATA!$B$4,DATOS!$I$2:$I$20000,"Música de Cámara"),"")))</f>
        <v/>
      </c>
      <c r="W77" t="str">
        <f>IF(S77="","",IF(S77="[FÓRMULA MANUAL]","",IFERROR(SUMPRODUCT((DATOS!$A$2:$A$20000=S77)*(DATOS!$G$2:$G$20000=CONFIG_METADATA!$B$4)*(COUNTIF(CONFIG_ASIGNATURAS!$B$7:$B$27,DATOS!$I$2:$I$20000)&gt;0)*(DATOS!$K$2:$K$20000))/SUMPRODUCT((DATOS!$A$2:$A$20000=S77)*(DATOS!$G$2:$G$20000=CONFIG_METADATA!$B$4)*(COUNTIF(CONFIG_ASIGNATURAS!$B$7:$B$27,DATOS!$I$2:$I$20000)&gt;0)*1),"")))</f>
        <v/>
      </c>
      <c r="Z77" t="str">
        <f>IF(Y77="","",IF(Y77="[FÓRMULA MANUAL]","",IFERROR(AVERAGEIFS(DATOS!$K$2:$K$20000,DATOS!$A$2:$A$20000,Y77,DATOS!$G$2:$G$20000,CONFIG_METADATA!$B$4,DATOS!$I$2:$I$20000,"Análisis"),"")))</f>
        <v/>
      </c>
      <c r="AA77" t="str">
        <f>IF(Y77="","",IF(Y77="[FÓRMULA MANUAL]","",IFERROR(AVERAGEIFS(DATOS!$K$2:$K$20000,DATOS!$A$2:$A$20000,Y77,DATOS!$G$2:$G$20000,CONFIG_METADATA!$B$4,DATOS!$I$2:$I$20000,"Orquesta/Banda/Conjunto"),"")))</f>
        <v/>
      </c>
      <c r="AB77" t="str">
        <f>IF(Y77="","",IF(Y77="[FÓRMULA MANUAL]","",IFERROR(AVERAGEIFS(DATOS!$K$2:$K$20000,DATOS!$A$2:$A$20000,Y77,DATOS!$G$2:$G$20000,CONFIG_METADATA!$B$4,DATOS!$I$2:$I$20000,"Música de Cámara"),"")))</f>
        <v/>
      </c>
      <c r="AC77" t="str">
        <f>IF(Y77="","",IF(Y77="[FÓRMULA MANUAL]","",IFERROR(SUMPRODUCT((DATOS!$A$2:$A$20000=Y77)*(DATOS!$G$2:$G$20000=CONFIG_METADATA!$B$4)*(COUNTIF(CONFIG_ASIGNATURAS!$B$7:$B$27,DATOS!$I$2:$I$20000)&gt;0)*(DATOS!$K$2:$K$20000))/SUMPRODUCT((DATOS!$A$2:$A$20000=Y77)*(DATOS!$G$2:$G$20000=CONFIG_METADATA!$B$4)*(COUNTIF(CONFIG_ASIGNATURAS!$B$7:$B$27,DATOS!$I$2:$I$20000)&gt;0)*1),"")))</f>
        <v/>
      </c>
      <c r="AF77" t="str">
        <f>IF(AE77="","",IF(AE77="[FÓRMULA MANUAL]","",IFERROR(AVERAGEIFS(DATOS!$K$2:$K$20000,DATOS!$A$2:$A$20000,AE77,DATOS!$G$2:$G$20000,CONFIG_METADATA!$B$4,DATOS!$I$2:$I$20000,"Análisis"),"")))</f>
        <v/>
      </c>
      <c r="AG77" t="str">
        <f>IF(AE77="","",IF(AE77="[FÓRMULA MANUAL]","",IFERROR(AVERAGEIFS(DATOS!$K$2:$K$20000,DATOS!$A$2:$A$20000,AE77,DATOS!$G$2:$G$20000,CONFIG_METADATA!$B$4,DATOS!$I$2:$I$20000,"Orquesta/Banda/Conjunto"),"")))</f>
        <v/>
      </c>
      <c r="AH77" t="str">
        <f>IF(AE77="","",IF(AE77="[FÓRMULA MANUAL]","",IFERROR(AVERAGEIFS(DATOS!$K$2:$K$20000,DATOS!$A$2:$A$20000,AE77,DATOS!$G$2:$G$20000,CONFIG_METADATA!$B$4,DATOS!$I$2:$I$20000,"Música de Cámara"),"")))</f>
        <v/>
      </c>
      <c r="AI77" t="str">
        <f>IF(AE77="","",IF(AE77="[FÓRMULA MANUAL]","",IFERROR(SUMPRODUCT((DATOS!$A$2:$A$20000=AE77)*(DATOS!$G$2:$G$20000=CONFIG_METADATA!$B$4)*(COUNTIF(CONFIG_ASIGNATURAS!$B$7:$B$27,DATOS!$I$2:$I$20000)&gt;0)*(DATOS!$K$2:$K$20000))/SUMPRODUCT((DATOS!$A$2:$A$20000=AE77)*(DATOS!$G$2:$G$20000=CONFIG_METADATA!$B$4)*(COUNTIF(CONFIG_ASIGNATURAS!$B$7:$B$27,DATOS!$I$2:$I$20000)&gt;0)*1),"")))</f>
        <v/>
      </c>
    </row>
    <row r="78" spans="2:35" x14ac:dyDescent="0.2">
      <c r="B78" t="str">
        <f>IF(A78="","",IF(A78="[FÓRMULA MANUAL]","",IFERROR(AVERAGEIFS(DATOS!$K$2:$K$20000,DATOS!$A$2:$A$20000,A78,DATOS!$G$2:$G$20000,CONFIG_METADATA!$B$4,DATOS!$I$2:$I$20000,"Lenguaje Musical"),"")))</f>
        <v/>
      </c>
      <c r="C78" t="str">
        <f>IF(A78="","",IF(A78="[FÓRMULA MANUAL]","",IFERROR(AVERAGEIFS(DATOS!$K$2:$K$20000,DATOS!$A$2:$A$20000,A78,DATOS!$G$2:$G$20000,CONFIG_METADATA!$B$4,DATOS!$I$2:$I$20000,"Orquesta/Banda/Conjunto"),"")))</f>
        <v/>
      </c>
      <c r="D78" t="str">
        <f>IF(A78="","",IF(A78="[FÓRMULA MANUAL]","",IFERROR(AVERAGEIFS(DATOS!$K$2:$K$20000,DATOS!$A$2:$A$20000,A78,DATOS!$G$2:$G$20000,CONFIG_METADATA!$B$4,DATOS!$I$2:$I$20000,"Conjunto"),"")))</f>
        <v/>
      </c>
      <c r="E78" t="str">
        <f>IF(A78="","",IF(A78="[FÓRMULA MANUAL]","",IFERROR(SUMPRODUCT((DATOS!$A$2:$A$20000=A78)*(DATOS!$G$2:$G$20000=CONFIG_METADATA!$B$4)*(COUNTIF(CONFIG_ASIGNATURAS!$B$7:$B$27,DATOS!$I$2:$I$20000)&gt;0)*(DATOS!$K$2:$K$20000))/SUMPRODUCT((DATOS!$A$2:$A$20000=A78)*(DATOS!$G$2:$G$20000=CONFIG_METADATA!$B$4)*(COUNTIF(CONFIG_ASIGNATURAS!$B$7:$B$27,DATOS!$I$2:$I$20000)&gt;0)*1),"")))</f>
        <v/>
      </c>
      <c r="H78" t="str">
        <f>IF(G78="","",IF(G78="[FÓRMULA MANUAL]","",IFERROR(AVERAGEIFS(DATOS!$K$2:$K$20000,DATOS!$A$2:$A$20000,G78,DATOS!$G$2:$G$20000,CONFIG_METADATA!$B$4,DATOS!$I$2:$I$20000,"Lenguaje Musical"),"")))</f>
        <v/>
      </c>
      <c r="I78" t="str">
        <f>IF(G78="","",IF(G78="[FÓRMULA MANUAL]","",IFERROR(AVERAGEIFS(DATOS!$K$2:$K$20000,DATOS!$A$2:$A$20000,G78,DATOS!$G$2:$G$20000,CONFIG_METADATA!$B$4,DATOS!$I$2:$I$20000,"Orquesta/Banda/Conjunto"),"")))</f>
        <v/>
      </c>
      <c r="J78" t="str">
        <f>IF(G78="","",IF(G78="[FÓRMULA MANUAL]","",IFERROR(AVERAGEIFS(DATOS!$K$2:$K$20000,DATOS!$A$2:$A$20000,G78,DATOS!$G$2:$G$20000,CONFIG_METADATA!$B$4,DATOS!$I$2:$I$20000,"Conjunto"),"")))</f>
        <v/>
      </c>
      <c r="K78" t="str">
        <f>IF(G78="","",IF(G78="[FÓRMULA MANUAL]","",IFERROR(SUMPRODUCT((DATOS!$A$2:$A$20000=G78)*(DATOS!$G$2:$G$20000=CONFIG_METADATA!$B$4)*(COUNTIF(CONFIG_ASIGNATURAS!$B$7:$B$27,DATOS!$I$2:$I$20000)&gt;0)*(DATOS!$K$2:$K$20000))/SUMPRODUCT((DATOS!$A$2:$A$20000=G78)*(DATOS!$G$2:$G$20000=CONFIG_METADATA!$B$4)*(COUNTIF(CONFIG_ASIGNATURAS!$B$7:$B$27,DATOS!$I$2:$I$20000)&gt;0)*1),"")))</f>
        <v/>
      </c>
      <c r="N78" t="str">
        <f>IF(M78="","",IF(M78="[FÓRMULA MANUAL]","",IFERROR(AVERAGEIFS(DATOS!$K$2:$K$20000,DATOS!$A$2:$A$20000,M78,DATOS!$G$2:$G$20000,CONFIG_METADATA!$B$4,DATOS!$I$2:$I$20000,"Armonía"),"")))</f>
        <v/>
      </c>
      <c r="O78" t="str">
        <f>IF(M78="","",IF(M78="[FÓRMULA MANUAL]","",IFERROR(AVERAGEIFS(DATOS!$K$2:$K$20000,DATOS!$A$2:$A$20000,M78,DATOS!$G$2:$G$20000,CONFIG_METADATA!$B$4,DATOS!$I$2:$I$20000,"Orquesta/Banda/Conjunto"),"")))</f>
        <v/>
      </c>
      <c r="P78" t="str">
        <f>IF(M78="","",IF(M78="[FÓRMULA MANUAL]","",IFERROR(AVERAGEIFS(DATOS!$K$2:$K$20000,DATOS!$A$2:$A$20000,M78,DATOS!$G$2:$G$20000,CONFIG_METADATA!$B$4,DATOS!$I$2:$I$20000,"Música de Cámara"),"")))</f>
        <v/>
      </c>
      <c r="Q78" t="str">
        <f>IF(M78="","",IF(M78="[FÓRMULA MANUAL]","",IFERROR(SUMPRODUCT((DATOS!$A$2:$A$20000=M78)*(DATOS!$G$2:$G$20000=CONFIG_METADATA!$B$4)*(COUNTIF(CONFIG_ASIGNATURAS!$B$7:$B$27,DATOS!$I$2:$I$20000)&gt;0)*(DATOS!$K$2:$K$20000))/SUMPRODUCT((DATOS!$A$2:$A$20000=M78)*(DATOS!$G$2:$G$20000=CONFIG_METADATA!$B$4)*(COUNTIF(CONFIG_ASIGNATURAS!$B$7:$B$27,DATOS!$I$2:$I$20000)&gt;0)*1),"")))</f>
        <v/>
      </c>
      <c r="T78" t="str">
        <f>IF(S78="","",IF(S78="[FÓRMULA MANUAL]","",IFERROR(AVERAGEIFS(DATOS!$K$2:$K$20000,DATOS!$A$2:$A$20000,S78,DATOS!$G$2:$G$20000,CONFIG_METADATA!$B$4,DATOS!$I$2:$I$20000,"Armonía"),"")))</f>
        <v/>
      </c>
      <c r="U78" t="str">
        <f>IF(S78="","",IF(S78="[FÓRMULA MANUAL]","",IFERROR(AVERAGEIFS(DATOS!$K$2:$K$20000,DATOS!$A$2:$A$20000,S78,DATOS!$G$2:$G$20000,CONFIG_METADATA!$B$4,DATOS!$I$2:$I$20000,"Orquesta/Banda/Conjunto"),"")))</f>
        <v/>
      </c>
      <c r="V78" t="str">
        <f>IF(S78="","",IF(S78="[FÓRMULA MANUAL]","",IFERROR(AVERAGEIFS(DATOS!$K$2:$K$20000,DATOS!$A$2:$A$20000,S78,DATOS!$G$2:$G$20000,CONFIG_METADATA!$B$4,DATOS!$I$2:$I$20000,"Música de Cámara"),"")))</f>
        <v/>
      </c>
      <c r="W78" t="str">
        <f>IF(S78="","",IF(S78="[FÓRMULA MANUAL]","",IFERROR(SUMPRODUCT((DATOS!$A$2:$A$20000=S78)*(DATOS!$G$2:$G$20000=CONFIG_METADATA!$B$4)*(COUNTIF(CONFIG_ASIGNATURAS!$B$7:$B$27,DATOS!$I$2:$I$20000)&gt;0)*(DATOS!$K$2:$K$20000))/SUMPRODUCT((DATOS!$A$2:$A$20000=S78)*(DATOS!$G$2:$G$20000=CONFIG_METADATA!$B$4)*(COUNTIF(CONFIG_ASIGNATURAS!$B$7:$B$27,DATOS!$I$2:$I$20000)&gt;0)*1),"")))</f>
        <v/>
      </c>
      <c r="Z78" t="str">
        <f>IF(Y78="","",IF(Y78="[FÓRMULA MANUAL]","",IFERROR(AVERAGEIFS(DATOS!$K$2:$K$20000,DATOS!$A$2:$A$20000,Y78,DATOS!$G$2:$G$20000,CONFIG_METADATA!$B$4,DATOS!$I$2:$I$20000,"Análisis"),"")))</f>
        <v/>
      </c>
      <c r="AA78" t="str">
        <f>IF(Y78="","",IF(Y78="[FÓRMULA MANUAL]","",IFERROR(AVERAGEIFS(DATOS!$K$2:$K$20000,DATOS!$A$2:$A$20000,Y78,DATOS!$G$2:$G$20000,CONFIG_METADATA!$B$4,DATOS!$I$2:$I$20000,"Orquesta/Banda/Conjunto"),"")))</f>
        <v/>
      </c>
      <c r="AB78" t="str">
        <f>IF(Y78="","",IF(Y78="[FÓRMULA MANUAL]","",IFERROR(AVERAGEIFS(DATOS!$K$2:$K$20000,DATOS!$A$2:$A$20000,Y78,DATOS!$G$2:$G$20000,CONFIG_METADATA!$B$4,DATOS!$I$2:$I$20000,"Música de Cámara"),"")))</f>
        <v/>
      </c>
      <c r="AC78" t="str">
        <f>IF(Y78="","",IF(Y78="[FÓRMULA MANUAL]","",IFERROR(SUMPRODUCT((DATOS!$A$2:$A$20000=Y78)*(DATOS!$G$2:$G$20000=CONFIG_METADATA!$B$4)*(COUNTIF(CONFIG_ASIGNATURAS!$B$7:$B$27,DATOS!$I$2:$I$20000)&gt;0)*(DATOS!$K$2:$K$20000))/SUMPRODUCT((DATOS!$A$2:$A$20000=Y78)*(DATOS!$G$2:$G$20000=CONFIG_METADATA!$B$4)*(COUNTIF(CONFIG_ASIGNATURAS!$B$7:$B$27,DATOS!$I$2:$I$20000)&gt;0)*1),"")))</f>
        <v/>
      </c>
      <c r="AF78" t="str">
        <f>IF(AE78="","",IF(AE78="[FÓRMULA MANUAL]","",IFERROR(AVERAGEIFS(DATOS!$K$2:$K$20000,DATOS!$A$2:$A$20000,AE78,DATOS!$G$2:$G$20000,CONFIG_METADATA!$B$4,DATOS!$I$2:$I$20000,"Análisis"),"")))</f>
        <v/>
      </c>
      <c r="AG78" t="str">
        <f>IF(AE78="","",IF(AE78="[FÓRMULA MANUAL]","",IFERROR(AVERAGEIFS(DATOS!$K$2:$K$20000,DATOS!$A$2:$A$20000,AE78,DATOS!$G$2:$G$20000,CONFIG_METADATA!$B$4,DATOS!$I$2:$I$20000,"Orquesta/Banda/Conjunto"),"")))</f>
        <v/>
      </c>
      <c r="AH78" t="str">
        <f>IF(AE78="","",IF(AE78="[FÓRMULA MANUAL]","",IFERROR(AVERAGEIFS(DATOS!$K$2:$K$20000,DATOS!$A$2:$A$20000,AE78,DATOS!$G$2:$G$20000,CONFIG_METADATA!$B$4,DATOS!$I$2:$I$20000,"Música de Cámara"),"")))</f>
        <v/>
      </c>
      <c r="AI78" t="str">
        <f>IF(AE78="","",IF(AE78="[FÓRMULA MANUAL]","",IFERROR(SUMPRODUCT((DATOS!$A$2:$A$20000=AE78)*(DATOS!$G$2:$G$20000=CONFIG_METADATA!$B$4)*(COUNTIF(CONFIG_ASIGNATURAS!$B$7:$B$27,DATOS!$I$2:$I$20000)&gt;0)*(DATOS!$K$2:$K$20000))/SUMPRODUCT((DATOS!$A$2:$A$20000=AE78)*(DATOS!$G$2:$G$20000=CONFIG_METADATA!$B$4)*(COUNTIF(CONFIG_ASIGNATURAS!$B$7:$B$27,DATOS!$I$2:$I$20000)&gt;0)*1),"")))</f>
        <v/>
      </c>
    </row>
    <row r="79" spans="2:35" x14ac:dyDescent="0.2">
      <c r="B79" t="str">
        <f>IF(A79="","",IF(A79="[FÓRMULA MANUAL]","",IFERROR(AVERAGEIFS(DATOS!$K$2:$K$20000,DATOS!$A$2:$A$20000,A79,DATOS!$G$2:$G$20000,CONFIG_METADATA!$B$4,DATOS!$I$2:$I$20000,"Lenguaje Musical"),"")))</f>
        <v/>
      </c>
      <c r="C79" t="str">
        <f>IF(A79="","",IF(A79="[FÓRMULA MANUAL]","",IFERROR(AVERAGEIFS(DATOS!$K$2:$K$20000,DATOS!$A$2:$A$20000,A79,DATOS!$G$2:$G$20000,CONFIG_METADATA!$B$4,DATOS!$I$2:$I$20000,"Orquesta/Banda/Conjunto"),"")))</f>
        <v/>
      </c>
      <c r="D79" t="str">
        <f>IF(A79="","",IF(A79="[FÓRMULA MANUAL]","",IFERROR(AVERAGEIFS(DATOS!$K$2:$K$20000,DATOS!$A$2:$A$20000,A79,DATOS!$G$2:$G$20000,CONFIG_METADATA!$B$4,DATOS!$I$2:$I$20000,"Conjunto"),"")))</f>
        <v/>
      </c>
      <c r="E79" t="str">
        <f>IF(A79="","",IF(A79="[FÓRMULA MANUAL]","",IFERROR(SUMPRODUCT((DATOS!$A$2:$A$20000=A79)*(DATOS!$G$2:$G$20000=CONFIG_METADATA!$B$4)*(COUNTIF(CONFIG_ASIGNATURAS!$B$7:$B$27,DATOS!$I$2:$I$20000)&gt;0)*(DATOS!$K$2:$K$20000))/SUMPRODUCT((DATOS!$A$2:$A$20000=A79)*(DATOS!$G$2:$G$20000=CONFIG_METADATA!$B$4)*(COUNTIF(CONFIG_ASIGNATURAS!$B$7:$B$27,DATOS!$I$2:$I$20000)&gt;0)*1),"")))</f>
        <v/>
      </c>
      <c r="H79" t="str">
        <f>IF(G79="","",IF(G79="[FÓRMULA MANUAL]","",IFERROR(AVERAGEIFS(DATOS!$K$2:$K$20000,DATOS!$A$2:$A$20000,G79,DATOS!$G$2:$G$20000,CONFIG_METADATA!$B$4,DATOS!$I$2:$I$20000,"Lenguaje Musical"),"")))</f>
        <v/>
      </c>
      <c r="I79" t="str">
        <f>IF(G79="","",IF(G79="[FÓRMULA MANUAL]","",IFERROR(AVERAGEIFS(DATOS!$K$2:$K$20000,DATOS!$A$2:$A$20000,G79,DATOS!$G$2:$G$20000,CONFIG_METADATA!$B$4,DATOS!$I$2:$I$20000,"Orquesta/Banda/Conjunto"),"")))</f>
        <v/>
      </c>
      <c r="J79" t="str">
        <f>IF(G79="","",IF(G79="[FÓRMULA MANUAL]","",IFERROR(AVERAGEIFS(DATOS!$K$2:$K$20000,DATOS!$A$2:$A$20000,G79,DATOS!$G$2:$G$20000,CONFIG_METADATA!$B$4,DATOS!$I$2:$I$20000,"Conjunto"),"")))</f>
        <v/>
      </c>
      <c r="K79" t="str">
        <f>IF(G79="","",IF(G79="[FÓRMULA MANUAL]","",IFERROR(SUMPRODUCT((DATOS!$A$2:$A$20000=G79)*(DATOS!$G$2:$G$20000=CONFIG_METADATA!$B$4)*(COUNTIF(CONFIG_ASIGNATURAS!$B$7:$B$27,DATOS!$I$2:$I$20000)&gt;0)*(DATOS!$K$2:$K$20000))/SUMPRODUCT((DATOS!$A$2:$A$20000=G79)*(DATOS!$G$2:$G$20000=CONFIG_METADATA!$B$4)*(COUNTIF(CONFIG_ASIGNATURAS!$B$7:$B$27,DATOS!$I$2:$I$20000)&gt;0)*1),"")))</f>
        <v/>
      </c>
      <c r="N79" t="str">
        <f>IF(M79="","",IF(M79="[FÓRMULA MANUAL]","",IFERROR(AVERAGEIFS(DATOS!$K$2:$K$20000,DATOS!$A$2:$A$20000,M79,DATOS!$G$2:$G$20000,CONFIG_METADATA!$B$4,DATOS!$I$2:$I$20000,"Armonía"),"")))</f>
        <v/>
      </c>
      <c r="O79" t="str">
        <f>IF(M79="","",IF(M79="[FÓRMULA MANUAL]","",IFERROR(AVERAGEIFS(DATOS!$K$2:$K$20000,DATOS!$A$2:$A$20000,M79,DATOS!$G$2:$G$20000,CONFIG_METADATA!$B$4,DATOS!$I$2:$I$20000,"Orquesta/Banda/Conjunto"),"")))</f>
        <v/>
      </c>
      <c r="P79" t="str">
        <f>IF(M79="","",IF(M79="[FÓRMULA MANUAL]","",IFERROR(AVERAGEIFS(DATOS!$K$2:$K$20000,DATOS!$A$2:$A$20000,M79,DATOS!$G$2:$G$20000,CONFIG_METADATA!$B$4,DATOS!$I$2:$I$20000,"Música de Cámara"),"")))</f>
        <v/>
      </c>
      <c r="Q79" t="str">
        <f>IF(M79="","",IF(M79="[FÓRMULA MANUAL]","",IFERROR(SUMPRODUCT((DATOS!$A$2:$A$20000=M79)*(DATOS!$G$2:$G$20000=CONFIG_METADATA!$B$4)*(COUNTIF(CONFIG_ASIGNATURAS!$B$7:$B$27,DATOS!$I$2:$I$20000)&gt;0)*(DATOS!$K$2:$K$20000))/SUMPRODUCT((DATOS!$A$2:$A$20000=M79)*(DATOS!$G$2:$G$20000=CONFIG_METADATA!$B$4)*(COUNTIF(CONFIG_ASIGNATURAS!$B$7:$B$27,DATOS!$I$2:$I$20000)&gt;0)*1),"")))</f>
        <v/>
      </c>
      <c r="T79" t="str">
        <f>IF(S79="","",IF(S79="[FÓRMULA MANUAL]","",IFERROR(AVERAGEIFS(DATOS!$K$2:$K$20000,DATOS!$A$2:$A$20000,S79,DATOS!$G$2:$G$20000,CONFIG_METADATA!$B$4,DATOS!$I$2:$I$20000,"Armonía"),"")))</f>
        <v/>
      </c>
      <c r="U79" t="str">
        <f>IF(S79="","",IF(S79="[FÓRMULA MANUAL]","",IFERROR(AVERAGEIFS(DATOS!$K$2:$K$20000,DATOS!$A$2:$A$20000,S79,DATOS!$G$2:$G$20000,CONFIG_METADATA!$B$4,DATOS!$I$2:$I$20000,"Orquesta/Banda/Conjunto"),"")))</f>
        <v/>
      </c>
      <c r="V79" t="str">
        <f>IF(S79="","",IF(S79="[FÓRMULA MANUAL]","",IFERROR(AVERAGEIFS(DATOS!$K$2:$K$20000,DATOS!$A$2:$A$20000,S79,DATOS!$G$2:$G$20000,CONFIG_METADATA!$B$4,DATOS!$I$2:$I$20000,"Música de Cámara"),"")))</f>
        <v/>
      </c>
      <c r="W79" t="str">
        <f>IF(S79="","",IF(S79="[FÓRMULA MANUAL]","",IFERROR(SUMPRODUCT((DATOS!$A$2:$A$20000=S79)*(DATOS!$G$2:$G$20000=CONFIG_METADATA!$B$4)*(COUNTIF(CONFIG_ASIGNATURAS!$B$7:$B$27,DATOS!$I$2:$I$20000)&gt;0)*(DATOS!$K$2:$K$20000))/SUMPRODUCT((DATOS!$A$2:$A$20000=S79)*(DATOS!$G$2:$G$20000=CONFIG_METADATA!$B$4)*(COUNTIF(CONFIG_ASIGNATURAS!$B$7:$B$27,DATOS!$I$2:$I$20000)&gt;0)*1),"")))</f>
        <v/>
      </c>
      <c r="Z79" t="str">
        <f>IF(Y79="","",IF(Y79="[FÓRMULA MANUAL]","",IFERROR(AVERAGEIFS(DATOS!$K$2:$K$20000,DATOS!$A$2:$A$20000,Y79,DATOS!$G$2:$G$20000,CONFIG_METADATA!$B$4,DATOS!$I$2:$I$20000,"Análisis"),"")))</f>
        <v/>
      </c>
      <c r="AA79" t="str">
        <f>IF(Y79="","",IF(Y79="[FÓRMULA MANUAL]","",IFERROR(AVERAGEIFS(DATOS!$K$2:$K$20000,DATOS!$A$2:$A$20000,Y79,DATOS!$G$2:$G$20000,CONFIG_METADATA!$B$4,DATOS!$I$2:$I$20000,"Orquesta/Banda/Conjunto"),"")))</f>
        <v/>
      </c>
      <c r="AB79" t="str">
        <f>IF(Y79="","",IF(Y79="[FÓRMULA MANUAL]","",IFERROR(AVERAGEIFS(DATOS!$K$2:$K$20000,DATOS!$A$2:$A$20000,Y79,DATOS!$G$2:$G$20000,CONFIG_METADATA!$B$4,DATOS!$I$2:$I$20000,"Música de Cámara"),"")))</f>
        <v/>
      </c>
      <c r="AC79" t="str">
        <f>IF(Y79="","",IF(Y79="[FÓRMULA MANUAL]","",IFERROR(SUMPRODUCT((DATOS!$A$2:$A$20000=Y79)*(DATOS!$G$2:$G$20000=CONFIG_METADATA!$B$4)*(COUNTIF(CONFIG_ASIGNATURAS!$B$7:$B$27,DATOS!$I$2:$I$20000)&gt;0)*(DATOS!$K$2:$K$20000))/SUMPRODUCT((DATOS!$A$2:$A$20000=Y79)*(DATOS!$G$2:$G$20000=CONFIG_METADATA!$B$4)*(COUNTIF(CONFIG_ASIGNATURAS!$B$7:$B$27,DATOS!$I$2:$I$20000)&gt;0)*1),"")))</f>
        <v/>
      </c>
      <c r="AF79" t="str">
        <f>IF(AE79="","",IF(AE79="[FÓRMULA MANUAL]","",IFERROR(AVERAGEIFS(DATOS!$K$2:$K$20000,DATOS!$A$2:$A$20000,AE79,DATOS!$G$2:$G$20000,CONFIG_METADATA!$B$4,DATOS!$I$2:$I$20000,"Análisis"),"")))</f>
        <v/>
      </c>
      <c r="AG79" t="str">
        <f>IF(AE79="","",IF(AE79="[FÓRMULA MANUAL]","",IFERROR(AVERAGEIFS(DATOS!$K$2:$K$20000,DATOS!$A$2:$A$20000,AE79,DATOS!$G$2:$G$20000,CONFIG_METADATA!$B$4,DATOS!$I$2:$I$20000,"Orquesta/Banda/Conjunto"),"")))</f>
        <v/>
      </c>
      <c r="AH79" t="str">
        <f>IF(AE79="","",IF(AE79="[FÓRMULA MANUAL]","",IFERROR(AVERAGEIFS(DATOS!$K$2:$K$20000,DATOS!$A$2:$A$20000,AE79,DATOS!$G$2:$G$20000,CONFIG_METADATA!$B$4,DATOS!$I$2:$I$20000,"Música de Cámara"),"")))</f>
        <v/>
      </c>
      <c r="AI79" t="str">
        <f>IF(AE79="","",IF(AE79="[FÓRMULA MANUAL]","",IFERROR(SUMPRODUCT((DATOS!$A$2:$A$20000=AE79)*(DATOS!$G$2:$G$20000=CONFIG_METADATA!$B$4)*(COUNTIF(CONFIG_ASIGNATURAS!$B$7:$B$27,DATOS!$I$2:$I$20000)&gt;0)*(DATOS!$K$2:$K$20000))/SUMPRODUCT((DATOS!$A$2:$A$20000=AE79)*(DATOS!$G$2:$G$20000=CONFIG_METADATA!$B$4)*(COUNTIF(CONFIG_ASIGNATURAS!$B$7:$B$27,DATOS!$I$2:$I$20000)&gt;0)*1),"")))</f>
        <v/>
      </c>
    </row>
    <row r="80" spans="2:35" x14ac:dyDescent="0.2">
      <c r="B80" t="str">
        <f>IF(A80="","",IF(A80="[FÓRMULA MANUAL]","",IFERROR(AVERAGEIFS(DATOS!$K$2:$K$20000,DATOS!$A$2:$A$20000,A80,DATOS!$G$2:$G$20000,CONFIG_METADATA!$B$4,DATOS!$I$2:$I$20000,"Lenguaje Musical"),"")))</f>
        <v/>
      </c>
      <c r="C80" t="str">
        <f>IF(A80="","",IF(A80="[FÓRMULA MANUAL]","",IFERROR(AVERAGEIFS(DATOS!$K$2:$K$20000,DATOS!$A$2:$A$20000,A80,DATOS!$G$2:$G$20000,CONFIG_METADATA!$B$4,DATOS!$I$2:$I$20000,"Orquesta/Banda/Conjunto"),"")))</f>
        <v/>
      </c>
      <c r="D80" t="str">
        <f>IF(A80="","",IF(A80="[FÓRMULA MANUAL]","",IFERROR(AVERAGEIFS(DATOS!$K$2:$K$20000,DATOS!$A$2:$A$20000,A80,DATOS!$G$2:$G$20000,CONFIG_METADATA!$B$4,DATOS!$I$2:$I$20000,"Conjunto"),"")))</f>
        <v/>
      </c>
      <c r="E80" t="str">
        <f>IF(A80="","",IF(A80="[FÓRMULA MANUAL]","",IFERROR(SUMPRODUCT((DATOS!$A$2:$A$20000=A80)*(DATOS!$G$2:$G$20000=CONFIG_METADATA!$B$4)*(COUNTIF(CONFIG_ASIGNATURAS!$B$7:$B$27,DATOS!$I$2:$I$20000)&gt;0)*(DATOS!$K$2:$K$20000))/SUMPRODUCT((DATOS!$A$2:$A$20000=A80)*(DATOS!$G$2:$G$20000=CONFIG_METADATA!$B$4)*(COUNTIF(CONFIG_ASIGNATURAS!$B$7:$B$27,DATOS!$I$2:$I$20000)&gt;0)*1),"")))</f>
        <v/>
      </c>
      <c r="H80" t="str">
        <f>IF(G80="","",IF(G80="[FÓRMULA MANUAL]","",IFERROR(AVERAGEIFS(DATOS!$K$2:$K$20000,DATOS!$A$2:$A$20000,G80,DATOS!$G$2:$G$20000,CONFIG_METADATA!$B$4,DATOS!$I$2:$I$20000,"Lenguaje Musical"),"")))</f>
        <v/>
      </c>
      <c r="I80" t="str">
        <f>IF(G80="","",IF(G80="[FÓRMULA MANUAL]","",IFERROR(AVERAGEIFS(DATOS!$K$2:$K$20000,DATOS!$A$2:$A$20000,G80,DATOS!$G$2:$G$20000,CONFIG_METADATA!$B$4,DATOS!$I$2:$I$20000,"Orquesta/Banda/Conjunto"),"")))</f>
        <v/>
      </c>
      <c r="J80" t="str">
        <f>IF(G80="","",IF(G80="[FÓRMULA MANUAL]","",IFERROR(AVERAGEIFS(DATOS!$K$2:$K$20000,DATOS!$A$2:$A$20000,G80,DATOS!$G$2:$G$20000,CONFIG_METADATA!$B$4,DATOS!$I$2:$I$20000,"Conjunto"),"")))</f>
        <v/>
      </c>
      <c r="K80" t="str">
        <f>IF(G80="","",IF(G80="[FÓRMULA MANUAL]","",IFERROR(SUMPRODUCT((DATOS!$A$2:$A$20000=G80)*(DATOS!$G$2:$G$20000=CONFIG_METADATA!$B$4)*(COUNTIF(CONFIG_ASIGNATURAS!$B$7:$B$27,DATOS!$I$2:$I$20000)&gt;0)*(DATOS!$K$2:$K$20000))/SUMPRODUCT((DATOS!$A$2:$A$20000=G80)*(DATOS!$G$2:$G$20000=CONFIG_METADATA!$B$4)*(COUNTIF(CONFIG_ASIGNATURAS!$B$7:$B$27,DATOS!$I$2:$I$20000)&gt;0)*1),"")))</f>
        <v/>
      </c>
      <c r="N80" t="str">
        <f>IF(M80="","",IF(M80="[FÓRMULA MANUAL]","",IFERROR(AVERAGEIFS(DATOS!$K$2:$K$20000,DATOS!$A$2:$A$20000,M80,DATOS!$G$2:$G$20000,CONFIG_METADATA!$B$4,DATOS!$I$2:$I$20000,"Armonía"),"")))</f>
        <v/>
      </c>
      <c r="O80" t="str">
        <f>IF(M80="","",IF(M80="[FÓRMULA MANUAL]","",IFERROR(AVERAGEIFS(DATOS!$K$2:$K$20000,DATOS!$A$2:$A$20000,M80,DATOS!$G$2:$G$20000,CONFIG_METADATA!$B$4,DATOS!$I$2:$I$20000,"Orquesta/Banda/Conjunto"),"")))</f>
        <v/>
      </c>
      <c r="P80" t="str">
        <f>IF(M80="","",IF(M80="[FÓRMULA MANUAL]","",IFERROR(AVERAGEIFS(DATOS!$K$2:$K$20000,DATOS!$A$2:$A$20000,M80,DATOS!$G$2:$G$20000,CONFIG_METADATA!$B$4,DATOS!$I$2:$I$20000,"Música de Cámara"),"")))</f>
        <v/>
      </c>
      <c r="Q80" t="str">
        <f>IF(M80="","",IF(M80="[FÓRMULA MANUAL]","",IFERROR(SUMPRODUCT((DATOS!$A$2:$A$20000=M80)*(DATOS!$G$2:$G$20000=CONFIG_METADATA!$B$4)*(COUNTIF(CONFIG_ASIGNATURAS!$B$7:$B$27,DATOS!$I$2:$I$20000)&gt;0)*(DATOS!$K$2:$K$20000))/SUMPRODUCT((DATOS!$A$2:$A$20000=M80)*(DATOS!$G$2:$G$20000=CONFIG_METADATA!$B$4)*(COUNTIF(CONFIG_ASIGNATURAS!$B$7:$B$27,DATOS!$I$2:$I$20000)&gt;0)*1),"")))</f>
        <v/>
      </c>
      <c r="T80" t="str">
        <f>IF(S80="","",IF(S80="[FÓRMULA MANUAL]","",IFERROR(AVERAGEIFS(DATOS!$K$2:$K$20000,DATOS!$A$2:$A$20000,S80,DATOS!$G$2:$G$20000,CONFIG_METADATA!$B$4,DATOS!$I$2:$I$20000,"Armonía"),"")))</f>
        <v/>
      </c>
      <c r="U80" t="str">
        <f>IF(S80="","",IF(S80="[FÓRMULA MANUAL]","",IFERROR(AVERAGEIFS(DATOS!$K$2:$K$20000,DATOS!$A$2:$A$20000,S80,DATOS!$G$2:$G$20000,CONFIG_METADATA!$B$4,DATOS!$I$2:$I$20000,"Orquesta/Banda/Conjunto"),"")))</f>
        <v/>
      </c>
      <c r="V80" t="str">
        <f>IF(S80="","",IF(S80="[FÓRMULA MANUAL]","",IFERROR(AVERAGEIFS(DATOS!$K$2:$K$20000,DATOS!$A$2:$A$20000,S80,DATOS!$G$2:$G$20000,CONFIG_METADATA!$B$4,DATOS!$I$2:$I$20000,"Música de Cámara"),"")))</f>
        <v/>
      </c>
      <c r="W80" t="str">
        <f>IF(S80="","",IF(S80="[FÓRMULA MANUAL]","",IFERROR(SUMPRODUCT((DATOS!$A$2:$A$20000=S80)*(DATOS!$G$2:$G$20000=CONFIG_METADATA!$B$4)*(COUNTIF(CONFIG_ASIGNATURAS!$B$7:$B$27,DATOS!$I$2:$I$20000)&gt;0)*(DATOS!$K$2:$K$20000))/SUMPRODUCT((DATOS!$A$2:$A$20000=S80)*(DATOS!$G$2:$G$20000=CONFIG_METADATA!$B$4)*(COUNTIF(CONFIG_ASIGNATURAS!$B$7:$B$27,DATOS!$I$2:$I$20000)&gt;0)*1),"")))</f>
        <v/>
      </c>
      <c r="Z80" t="str">
        <f>IF(Y80="","",IF(Y80="[FÓRMULA MANUAL]","",IFERROR(AVERAGEIFS(DATOS!$K$2:$K$20000,DATOS!$A$2:$A$20000,Y80,DATOS!$G$2:$G$20000,CONFIG_METADATA!$B$4,DATOS!$I$2:$I$20000,"Análisis"),"")))</f>
        <v/>
      </c>
      <c r="AA80" t="str">
        <f>IF(Y80="","",IF(Y80="[FÓRMULA MANUAL]","",IFERROR(AVERAGEIFS(DATOS!$K$2:$K$20000,DATOS!$A$2:$A$20000,Y80,DATOS!$G$2:$G$20000,CONFIG_METADATA!$B$4,DATOS!$I$2:$I$20000,"Orquesta/Banda/Conjunto"),"")))</f>
        <v/>
      </c>
      <c r="AB80" t="str">
        <f>IF(Y80="","",IF(Y80="[FÓRMULA MANUAL]","",IFERROR(AVERAGEIFS(DATOS!$K$2:$K$20000,DATOS!$A$2:$A$20000,Y80,DATOS!$G$2:$G$20000,CONFIG_METADATA!$B$4,DATOS!$I$2:$I$20000,"Música de Cámara"),"")))</f>
        <v/>
      </c>
      <c r="AC80" t="str">
        <f>IF(Y80="","",IF(Y80="[FÓRMULA MANUAL]","",IFERROR(SUMPRODUCT((DATOS!$A$2:$A$20000=Y80)*(DATOS!$G$2:$G$20000=CONFIG_METADATA!$B$4)*(COUNTIF(CONFIG_ASIGNATURAS!$B$7:$B$27,DATOS!$I$2:$I$20000)&gt;0)*(DATOS!$K$2:$K$20000))/SUMPRODUCT((DATOS!$A$2:$A$20000=Y80)*(DATOS!$G$2:$G$20000=CONFIG_METADATA!$B$4)*(COUNTIF(CONFIG_ASIGNATURAS!$B$7:$B$27,DATOS!$I$2:$I$20000)&gt;0)*1),"")))</f>
        <v/>
      </c>
      <c r="AF80" t="str">
        <f>IF(AE80="","",IF(AE80="[FÓRMULA MANUAL]","",IFERROR(AVERAGEIFS(DATOS!$K$2:$K$20000,DATOS!$A$2:$A$20000,AE80,DATOS!$G$2:$G$20000,CONFIG_METADATA!$B$4,DATOS!$I$2:$I$20000,"Análisis"),"")))</f>
        <v/>
      </c>
      <c r="AG80" t="str">
        <f>IF(AE80="","",IF(AE80="[FÓRMULA MANUAL]","",IFERROR(AVERAGEIFS(DATOS!$K$2:$K$20000,DATOS!$A$2:$A$20000,AE80,DATOS!$G$2:$G$20000,CONFIG_METADATA!$B$4,DATOS!$I$2:$I$20000,"Orquesta/Banda/Conjunto"),"")))</f>
        <v/>
      </c>
      <c r="AH80" t="str">
        <f>IF(AE80="","",IF(AE80="[FÓRMULA MANUAL]","",IFERROR(AVERAGEIFS(DATOS!$K$2:$K$20000,DATOS!$A$2:$A$20000,AE80,DATOS!$G$2:$G$20000,CONFIG_METADATA!$B$4,DATOS!$I$2:$I$20000,"Música de Cámara"),"")))</f>
        <v/>
      </c>
      <c r="AI80" t="str">
        <f>IF(AE80="","",IF(AE80="[FÓRMULA MANUAL]","",IFERROR(SUMPRODUCT((DATOS!$A$2:$A$20000=AE80)*(DATOS!$G$2:$G$20000=CONFIG_METADATA!$B$4)*(COUNTIF(CONFIG_ASIGNATURAS!$B$7:$B$27,DATOS!$I$2:$I$20000)&gt;0)*(DATOS!$K$2:$K$20000))/SUMPRODUCT((DATOS!$A$2:$A$20000=AE80)*(DATOS!$G$2:$G$20000=CONFIG_METADATA!$B$4)*(COUNTIF(CONFIG_ASIGNATURAS!$B$7:$B$27,DATOS!$I$2:$I$20000)&gt;0)*1),"")))</f>
        <v/>
      </c>
    </row>
    <row r="81" spans="2:35" x14ac:dyDescent="0.2">
      <c r="B81" t="str">
        <f>IF(A81="","",IF(A81="[FÓRMULA MANUAL]","",IFERROR(AVERAGEIFS(DATOS!$K$2:$K$20000,DATOS!$A$2:$A$20000,A81,DATOS!$G$2:$G$20000,CONFIG_METADATA!$B$4,DATOS!$I$2:$I$20000,"Lenguaje Musical"),"")))</f>
        <v/>
      </c>
      <c r="C81" t="str">
        <f>IF(A81="","",IF(A81="[FÓRMULA MANUAL]","",IFERROR(AVERAGEIFS(DATOS!$K$2:$K$20000,DATOS!$A$2:$A$20000,A81,DATOS!$G$2:$G$20000,CONFIG_METADATA!$B$4,DATOS!$I$2:$I$20000,"Orquesta/Banda/Conjunto"),"")))</f>
        <v/>
      </c>
      <c r="D81" t="str">
        <f>IF(A81="","",IF(A81="[FÓRMULA MANUAL]","",IFERROR(AVERAGEIFS(DATOS!$K$2:$K$20000,DATOS!$A$2:$A$20000,A81,DATOS!$G$2:$G$20000,CONFIG_METADATA!$B$4,DATOS!$I$2:$I$20000,"Conjunto"),"")))</f>
        <v/>
      </c>
      <c r="E81" t="str">
        <f>IF(A81="","",IF(A81="[FÓRMULA MANUAL]","",IFERROR(SUMPRODUCT((DATOS!$A$2:$A$20000=A81)*(DATOS!$G$2:$G$20000=CONFIG_METADATA!$B$4)*(COUNTIF(CONFIG_ASIGNATURAS!$B$7:$B$27,DATOS!$I$2:$I$20000)&gt;0)*(DATOS!$K$2:$K$20000))/SUMPRODUCT((DATOS!$A$2:$A$20000=A81)*(DATOS!$G$2:$G$20000=CONFIG_METADATA!$B$4)*(COUNTIF(CONFIG_ASIGNATURAS!$B$7:$B$27,DATOS!$I$2:$I$20000)&gt;0)*1),"")))</f>
        <v/>
      </c>
      <c r="H81" t="str">
        <f>IF(G81="","",IF(G81="[FÓRMULA MANUAL]","",IFERROR(AVERAGEIFS(DATOS!$K$2:$K$20000,DATOS!$A$2:$A$20000,G81,DATOS!$G$2:$G$20000,CONFIG_METADATA!$B$4,DATOS!$I$2:$I$20000,"Lenguaje Musical"),"")))</f>
        <v/>
      </c>
      <c r="I81" t="str">
        <f>IF(G81="","",IF(G81="[FÓRMULA MANUAL]","",IFERROR(AVERAGEIFS(DATOS!$K$2:$K$20000,DATOS!$A$2:$A$20000,G81,DATOS!$G$2:$G$20000,CONFIG_METADATA!$B$4,DATOS!$I$2:$I$20000,"Orquesta/Banda/Conjunto"),"")))</f>
        <v/>
      </c>
      <c r="J81" t="str">
        <f>IF(G81="","",IF(G81="[FÓRMULA MANUAL]","",IFERROR(AVERAGEIFS(DATOS!$K$2:$K$20000,DATOS!$A$2:$A$20000,G81,DATOS!$G$2:$G$20000,CONFIG_METADATA!$B$4,DATOS!$I$2:$I$20000,"Conjunto"),"")))</f>
        <v/>
      </c>
      <c r="K81" t="str">
        <f>IF(G81="","",IF(G81="[FÓRMULA MANUAL]","",IFERROR(SUMPRODUCT((DATOS!$A$2:$A$20000=G81)*(DATOS!$G$2:$G$20000=CONFIG_METADATA!$B$4)*(COUNTIF(CONFIG_ASIGNATURAS!$B$7:$B$27,DATOS!$I$2:$I$20000)&gt;0)*(DATOS!$K$2:$K$20000))/SUMPRODUCT((DATOS!$A$2:$A$20000=G81)*(DATOS!$G$2:$G$20000=CONFIG_METADATA!$B$4)*(COUNTIF(CONFIG_ASIGNATURAS!$B$7:$B$27,DATOS!$I$2:$I$20000)&gt;0)*1),"")))</f>
        <v/>
      </c>
      <c r="N81" t="str">
        <f>IF(M81="","",IF(M81="[FÓRMULA MANUAL]","",IFERROR(AVERAGEIFS(DATOS!$K$2:$K$20000,DATOS!$A$2:$A$20000,M81,DATOS!$G$2:$G$20000,CONFIG_METADATA!$B$4,DATOS!$I$2:$I$20000,"Armonía"),"")))</f>
        <v/>
      </c>
      <c r="O81" t="str">
        <f>IF(M81="","",IF(M81="[FÓRMULA MANUAL]","",IFERROR(AVERAGEIFS(DATOS!$K$2:$K$20000,DATOS!$A$2:$A$20000,M81,DATOS!$G$2:$G$20000,CONFIG_METADATA!$B$4,DATOS!$I$2:$I$20000,"Orquesta/Banda/Conjunto"),"")))</f>
        <v/>
      </c>
      <c r="P81" t="str">
        <f>IF(M81="","",IF(M81="[FÓRMULA MANUAL]","",IFERROR(AVERAGEIFS(DATOS!$K$2:$K$20000,DATOS!$A$2:$A$20000,M81,DATOS!$G$2:$G$20000,CONFIG_METADATA!$B$4,DATOS!$I$2:$I$20000,"Música de Cámara"),"")))</f>
        <v/>
      </c>
      <c r="Q81" t="str">
        <f>IF(M81="","",IF(M81="[FÓRMULA MANUAL]","",IFERROR(SUMPRODUCT((DATOS!$A$2:$A$20000=M81)*(DATOS!$G$2:$G$20000=CONFIG_METADATA!$B$4)*(COUNTIF(CONFIG_ASIGNATURAS!$B$7:$B$27,DATOS!$I$2:$I$20000)&gt;0)*(DATOS!$K$2:$K$20000))/SUMPRODUCT((DATOS!$A$2:$A$20000=M81)*(DATOS!$G$2:$G$20000=CONFIG_METADATA!$B$4)*(COUNTIF(CONFIG_ASIGNATURAS!$B$7:$B$27,DATOS!$I$2:$I$20000)&gt;0)*1),"")))</f>
        <v/>
      </c>
      <c r="T81" t="str">
        <f>IF(S81="","",IF(S81="[FÓRMULA MANUAL]","",IFERROR(AVERAGEIFS(DATOS!$K$2:$K$20000,DATOS!$A$2:$A$20000,S81,DATOS!$G$2:$G$20000,CONFIG_METADATA!$B$4,DATOS!$I$2:$I$20000,"Armonía"),"")))</f>
        <v/>
      </c>
      <c r="U81" t="str">
        <f>IF(S81="","",IF(S81="[FÓRMULA MANUAL]","",IFERROR(AVERAGEIFS(DATOS!$K$2:$K$20000,DATOS!$A$2:$A$20000,S81,DATOS!$G$2:$G$20000,CONFIG_METADATA!$B$4,DATOS!$I$2:$I$20000,"Orquesta/Banda/Conjunto"),"")))</f>
        <v/>
      </c>
      <c r="V81" t="str">
        <f>IF(S81="","",IF(S81="[FÓRMULA MANUAL]","",IFERROR(AVERAGEIFS(DATOS!$K$2:$K$20000,DATOS!$A$2:$A$20000,S81,DATOS!$G$2:$G$20000,CONFIG_METADATA!$B$4,DATOS!$I$2:$I$20000,"Música de Cámara"),"")))</f>
        <v/>
      </c>
      <c r="W81" t="str">
        <f>IF(S81="","",IF(S81="[FÓRMULA MANUAL]","",IFERROR(SUMPRODUCT((DATOS!$A$2:$A$20000=S81)*(DATOS!$G$2:$G$20000=CONFIG_METADATA!$B$4)*(COUNTIF(CONFIG_ASIGNATURAS!$B$7:$B$27,DATOS!$I$2:$I$20000)&gt;0)*(DATOS!$K$2:$K$20000))/SUMPRODUCT((DATOS!$A$2:$A$20000=S81)*(DATOS!$G$2:$G$20000=CONFIG_METADATA!$B$4)*(COUNTIF(CONFIG_ASIGNATURAS!$B$7:$B$27,DATOS!$I$2:$I$20000)&gt;0)*1),"")))</f>
        <v/>
      </c>
      <c r="Z81" t="str">
        <f>IF(Y81="","",IF(Y81="[FÓRMULA MANUAL]","",IFERROR(AVERAGEIFS(DATOS!$K$2:$K$20000,DATOS!$A$2:$A$20000,Y81,DATOS!$G$2:$G$20000,CONFIG_METADATA!$B$4,DATOS!$I$2:$I$20000,"Análisis"),"")))</f>
        <v/>
      </c>
      <c r="AA81" t="str">
        <f>IF(Y81="","",IF(Y81="[FÓRMULA MANUAL]","",IFERROR(AVERAGEIFS(DATOS!$K$2:$K$20000,DATOS!$A$2:$A$20000,Y81,DATOS!$G$2:$G$20000,CONFIG_METADATA!$B$4,DATOS!$I$2:$I$20000,"Orquesta/Banda/Conjunto"),"")))</f>
        <v/>
      </c>
      <c r="AB81" t="str">
        <f>IF(Y81="","",IF(Y81="[FÓRMULA MANUAL]","",IFERROR(AVERAGEIFS(DATOS!$K$2:$K$20000,DATOS!$A$2:$A$20000,Y81,DATOS!$G$2:$G$20000,CONFIG_METADATA!$B$4,DATOS!$I$2:$I$20000,"Música de Cámara"),"")))</f>
        <v/>
      </c>
      <c r="AC81" t="str">
        <f>IF(Y81="","",IF(Y81="[FÓRMULA MANUAL]","",IFERROR(SUMPRODUCT((DATOS!$A$2:$A$20000=Y81)*(DATOS!$G$2:$G$20000=CONFIG_METADATA!$B$4)*(COUNTIF(CONFIG_ASIGNATURAS!$B$7:$B$27,DATOS!$I$2:$I$20000)&gt;0)*(DATOS!$K$2:$K$20000))/SUMPRODUCT((DATOS!$A$2:$A$20000=Y81)*(DATOS!$G$2:$G$20000=CONFIG_METADATA!$B$4)*(COUNTIF(CONFIG_ASIGNATURAS!$B$7:$B$27,DATOS!$I$2:$I$20000)&gt;0)*1),"")))</f>
        <v/>
      </c>
      <c r="AF81" t="str">
        <f>IF(AE81="","",IF(AE81="[FÓRMULA MANUAL]","",IFERROR(AVERAGEIFS(DATOS!$K$2:$K$20000,DATOS!$A$2:$A$20000,AE81,DATOS!$G$2:$G$20000,CONFIG_METADATA!$B$4,DATOS!$I$2:$I$20000,"Análisis"),"")))</f>
        <v/>
      </c>
      <c r="AG81" t="str">
        <f>IF(AE81="","",IF(AE81="[FÓRMULA MANUAL]","",IFERROR(AVERAGEIFS(DATOS!$K$2:$K$20000,DATOS!$A$2:$A$20000,AE81,DATOS!$G$2:$G$20000,CONFIG_METADATA!$B$4,DATOS!$I$2:$I$20000,"Orquesta/Banda/Conjunto"),"")))</f>
        <v/>
      </c>
      <c r="AH81" t="str">
        <f>IF(AE81="","",IF(AE81="[FÓRMULA MANUAL]","",IFERROR(AVERAGEIFS(DATOS!$K$2:$K$20000,DATOS!$A$2:$A$20000,AE81,DATOS!$G$2:$G$20000,CONFIG_METADATA!$B$4,DATOS!$I$2:$I$20000,"Música de Cámara"),"")))</f>
        <v/>
      </c>
      <c r="AI81" t="str">
        <f>IF(AE81="","",IF(AE81="[FÓRMULA MANUAL]","",IFERROR(SUMPRODUCT((DATOS!$A$2:$A$20000=AE81)*(DATOS!$G$2:$G$20000=CONFIG_METADATA!$B$4)*(COUNTIF(CONFIG_ASIGNATURAS!$B$7:$B$27,DATOS!$I$2:$I$20000)&gt;0)*(DATOS!$K$2:$K$20000))/SUMPRODUCT((DATOS!$A$2:$A$20000=AE81)*(DATOS!$G$2:$G$20000=CONFIG_METADATA!$B$4)*(COUNTIF(CONFIG_ASIGNATURAS!$B$7:$B$27,DATOS!$I$2:$I$20000)&gt;0)*1),"")))</f>
        <v/>
      </c>
    </row>
    <row r="82" spans="2:35" x14ac:dyDescent="0.2">
      <c r="B82" t="str">
        <f>IF(A82="","",IF(A82="[FÓRMULA MANUAL]","",IFERROR(AVERAGEIFS(DATOS!$K$2:$K$20000,DATOS!$A$2:$A$20000,A82,DATOS!$G$2:$G$20000,CONFIG_METADATA!$B$4,DATOS!$I$2:$I$20000,"Lenguaje Musical"),"")))</f>
        <v/>
      </c>
      <c r="C82" t="str">
        <f>IF(A82="","",IF(A82="[FÓRMULA MANUAL]","",IFERROR(AVERAGEIFS(DATOS!$K$2:$K$20000,DATOS!$A$2:$A$20000,A82,DATOS!$G$2:$G$20000,CONFIG_METADATA!$B$4,DATOS!$I$2:$I$20000,"Orquesta/Banda/Conjunto"),"")))</f>
        <v/>
      </c>
      <c r="D82" t="str">
        <f>IF(A82="","",IF(A82="[FÓRMULA MANUAL]","",IFERROR(AVERAGEIFS(DATOS!$K$2:$K$20000,DATOS!$A$2:$A$20000,A82,DATOS!$G$2:$G$20000,CONFIG_METADATA!$B$4,DATOS!$I$2:$I$20000,"Conjunto"),"")))</f>
        <v/>
      </c>
      <c r="E82" t="str">
        <f>IF(A82="","",IF(A82="[FÓRMULA MANUAL]","",IFERROR(SUMPRODUCT((DATOS!$A$2:$A$20000=A82)*(DATOS!$G$2:$G$20000=CONFIG_METADATA!$B$4)*(COUNTIF(CONFIG_ASIGNATURAS!$B$7:$B$27,DATOS!$I$2:$I$20000)&gt;0)*(DATOS!$K$2:$K$20000))/SUMPRODUCT((DATOS!$A$2:$A$20000=A82)*(DATOS!$G$2:$G$20000=CONFIG_METADATA!$B$4)*(COUNTIF(CONFIG_ASIGNATURAS!$B$7:$B$27,DATOS!$I$2:$I$20000)&gt;0)*1),"")))</f>
        <v/>
      </c>
      <c r="H82" t="str">
        <f>IF(G82="","",IF(G82="[FÓRMULA MANUAL]","",IFERROR(AVERAGEIFS(DATOS!$K$2:$K$20000,DATOS!$A$2:$A$20000,G82,DATOS!$G$2:$G$20000,CONFIG_METADATA!$B$4,DATOS!$I$2:$I$20000,"Lenguaje Musical"),"")))</f>
        <v/>
      </c>
      <c r="I82" t="str">
        <f>IF(G82="","",IF(G82="[FÓRMULA MANUAL]","",IFERROR(AVERAGEIFS(DATOS!$K$2:$K$20000,DATOS!$A$2:$A$20000,G82,DATOS!$G$2:$G$20000,CONFIG_METADATA!$B$4,DATOS!$I$2:$I$20000,"Orquesta/Banda/Conjunto"),"")))</f>
        <v/>
      </c>
      <c r="J82" t="str">
        <f>IF(G82="","",IF(G82="[FÓRMULA MANUAL]","",IFERROR(AVERAGEIFS(DATOS!$K$2:$K$20000,DATOS!$A$2:$A$20000,G82,DATOS!$G$2:$G$20000,CONFIG_METADATA!$B$4,DATOS!$I$2:$I$20000,"Conjunto"),"")))</f>
        <v/>
      </c>
      <c r="K82" t="str">
        <f>IF(G82="","",IF(G82="[FÓRMULA MANUAL]","",IFERROR(SUMPRODUCT((DATOS!$A$2:$A$20000=G82)*(DATOS!$G$2:$G$20000=CONFIG_METADATA!$B$4)*(COUNTIF(CONFIG_ASIGNATURAS!$B$7:$B$27,DATOS!$I$2:$I$20000)&gt;0)*(DATOS!$K$2:$K$20000))/SUMPRODUCT((DATOS!$A$2:$A$20000=G82)*(DATOS!$G$2:$G$20000=CONFIG_METADATA!$B$4)*(COUNTIF(CONFIG_ASIGNATURAS!$B$7:$B$27,DATOS!$I$2:$I$20000)&gt;0)*1),"")))</f>
        <v/>
      </c>
      <c r="N82" t="str">
        <f>IF(M82="","",IF(M82="[FÓRMULA MANUAL]","",IFERROR(AVERAGEIFS(DATOS!$K$2:$K$20000,DATOS!$A$2:$A$20000,M82,DATOS!$G$2:$G$20000,CONFIG_METADATA!$B$4,DATOS!$I$2:$I$20000,"Armonía"),"")))</f>
        <v/>
      </c>
      <c r="O82" t="str">
        <f>IF(M82="","",IF(M82="[FÓRMULA MANUAL]","",IFERROR(AVERAGEIFS(DATOS!$K$2:$K$20000,DATOS!$A$2:$A$20000,M82,DATOS!$G$2:$G$20000,CONFIG_METADATA!$B$4,DATOS!$I$2:$I$20000,"Orquesta/Banda/Conjunto"),"")))</f>
        <v/>
      </c>
      <c r="P82" t="str">
        <f>IF(M82="","",IF(M82="[FÓRMULA MANUAL]","",IFERROR(AVERAGEIFS(DATOS!$K$2:$K$20000,DATOS!$A$2:$A$20000,M82,DATOS!$G$2:$G$20000,CONFIG_METADATA!$B$4,DATOS!$I$2:$I$20000,"Música de Cámara"),"")))</f>
        <v/>
      </c>
      <c r="Q82" t="str">
        <f>IF(M82="","",IF(M82="[FÓRMULA MANUAL]","",IFERROR(SUMPRODUCT((DATOS!$A$2:$A$20000=M82)*(DATOS!$G$2:$G$20000=CONFIG_METADATA!$B$4)*(COUNTIF(CONFIG_ASIGNATURAS!$B$7:$B$27,DATOS!$I$2:$I$20000)&gt;0)*(DATOS!$K$2:$K$20000))/SUMPRODUCT((DATOS!$A$2:$A$20000=M82)*(DATOS!$G$2:$G$20000=CONFIG_METADATA!$B$4)*(COUNTIF(CONFIG_ASIGNATURAS!$B$7:$B$27,DATOS!$I$2:$I$20000)&gt;0)*1),"")))</f>
        <v/>
      </c>
      <c r="T82" t="str">
        <f>IF(S82="","",IF(S82="[FÓRMULA MANUAL]","",IFERROR(AVERAGEIFS(DATOS!$K$2:$K$20000,DATOS!$A$2:$A$20000,S82,DATOS!$G$2:$G$20000,CONFIG_METADATA!$B$4,DATOS!$I$2:$I$20000,"Armonía"),"")))</f>
        <v/>
      </c>
      <c r="U82" t="str">
        <f>IF(S82="","",IF(S82="[FÓRMULA MANUAL]","",IFERROR(AVERAGEIFS(DATOS!$K$2:$K$20000,DATOS!$A$2:$A$20000,S82,DATOS!$G$2:$G$20000,CONFIG_METADATA!$B$4,DATOS!$I$2:$I$20000,"Orquesta/Banda/Conjunto"),"")))</f>
        <v/>
      </c>
      <c r="V82" t="str">
        <f>IF(S82="","",IF(S82="[FÓRMULA MANUAL]","",IFERROR(AVERAGEIFS(DATOS!$K$2:$K$20000,DATOS!$A$2:$A$20000,S82,DATOS!$G$2:$G$20000,CONFIG_METADATA!$B$4,DATOS!$I$2:$I$20000,"Música de Cámara"),"")))</f>
        <v/>
      </c>
      <c r="W82" t="str">
        <f>IF(S82="","",IF(S82="[FÓRMULA MANUAL]","",IFERROR(SUMPRODUCT((DATOS!$A$2:$A$20000=S82)*(DATOS!$G$2:$G$20000=CONFIG_METADATA!$B$4)*(COUNTIF(CONFIG_ASIGNATURAS!$B$7:$B$27,DATOS!$I$2:$I$20000)&gt;0)*(DATOS!$K$2:$K$20000))/SUMPRODUCT((DATOS!$A$2:$A$20000=S82)*(DATOS!$G$2:$G$20000=CONFIG_METADATA!$B$4)*(COUNTIF(CONFIG_ASIGNATURAS!$B$7:$B$27,DATOS!$I$2:$I$20000)&gt;0)*1),"")))</f>
        <v/>
      </c>
      <c r="Z82" t="str">
        <f>IF(Y82="","",IF(Y82="[FÓRMULA MANUAL]","",IFERROR(AVERAGEIFS(DATOS!$K$2:$K$20000,DATOS!$A$2:$A$20000,Y82,DATOS!$G$2:$G$20000,CONFIG_METADATA!$B$4,DATOS!$I$2:$I$20000,"Análisis"),"")))</f>
        <v/>
      </c>
      <c r="AA82" t="str">
        <f>IF(Y82="","",IF(Y82="[FÓRMULA MANUAL]","",IFERROR(AVERAGEIFS(DATOS!$K$2:$K$20000,DATOS!$A$2:$A$20000,Y82,DATOS!$G$2:$G$20000,CONFIG_METADATA!$B$4,DATOS!$I$2:$I$20000,"Orquesta/Banda/Conjunto"),"")))</f>
        <v/>
      </c>
      <c r="AB82" t="str">
        <f>IF(Y82="","",IF(Y82="[FÓRMULA MANUAL]","",IFERROR(AVERAGEIFS(DATOS!$K$2:$K$20000,DATOS!$A$2:$A$20000,Y82,DATOS!$G$2:$G$20000,CONFIG_METADATA!$B$4,DATOS!$I$2:$I$20000,"Música de Cámara"),"")))</f>
        <v/>
      </c>
      <c r="AC82" t="str">
        <f>IF(Y82="","",IF(Y82="[FÓRMULA MANUAL]","",IFERROR(SUMPRODUCT((DATOS!$A$2:$A$20000=Y82)*(DATOS!$G$2:$G$20000=CONFIG_METADATA!$B$4)*(COUNTIF(CONFIG_ASIGNATURAS!$B$7:$B$27,DATOS!$I$2:$I$20000)&gt;0)*(DATOS!$K$2:$K$20000))/SUMPRODUCT((DATOS!$A$2:$A$20000=Y82)*(DATOS!$G$2:$G$20000=CONFIG_METADATA!$B$4)*(COUNTIF(CONFIG_ASIGNATURAS!$B$7:$B$27,DATOS!$I$2:$I$20000)&gt;0)*1),"")))</f>
        <v/>
      </c>
      <c r="AF82" t="str">
        <f>IF(AE82="","",IF(AE82="[FÓRMULA MANUAL]","",IFERROR(AVERAGEIFS(DATOS!$K$2:$K$20000,DATOS!$A$2:$A$20000,AE82,DATOS!$G$2:$G$20000,CONFIG_METADATA!$B$4,DATOS!$I$2:$I$20000,"Análisis"),"")))</f>
        <v/>
      </c>
      <c r="AG82" t="str">
        <f>IF(AE82="","",IF(AE82="[FÓRMULA MANUAL]","",IFERROR(AVERAGEIFS(DATOS!$K$2:$K$20000,DATOS!$A$2:$A$20000,AE82,DATOS!$G$2:$G$20000,CONFIG_METADATA!$B$4,DATOS!$I$2:$I$20000,"Orquesta/Banda/Conjunto"),"")))</f>
        <v/>
      </c>
      <c r="AH82" t="str">
        <f>IF(AE82="","",IF(AE82="[FÓRMULA MANUAL]","",IFERROR(AVERAGEIFS(DATOS!$K$2:$K$20000,DATOS!$A$2:$A$20000,AE82,DATOS!$G$2:$G$20000,CONFIG_METADATA!$B$4,DATOS!$I$2:$I$20000,"Música de Cámara"),"")))</f>
        <v/>
      </c>
      <c r="AI82" t="str">
        <f>IF(AE82="","",IF(AE82="[FÓRMULA MANUAL]","",IFERROR(SUMPRODUCT((DATOS!$A$2:$A$20000=AE82)*(DATOS!$G$2:$G$20000=CONFIG_METADATA!$B$4)*(COUNTIF(CONFIG_ASIGNATURAS!$B$7:$B$27,DATOS!$I$2:$I$20000)&gt;0)*(DATOS!$K$2:$K$20000))/SUMPRODUCT((DATOS!$A$2:$A$20000=AE82)*(DATOS!$G$2:$G$20000=CONFIG_METADATA!$B$4)*(COUNTIF(CONFIG_ASIGNATURAS!$B$7:$B$27,DATOS!$I$2:$I$20000)&gt;0)*1),"")))</f>
        <v/>
      </c>
    </row>
    <row r="83" spans="2:35" x14ac:dyDescent="0.2">
      <c r="B83" t="str">
        <f>IF(A83="","",IF(A83="[FÓRMULA MANUAL]","",IFERROR(AVERAGEIFS(DATOS!$K$2:$K$20000,DATOS!$A$2:$A$20000,A83,DATOS!$G$2:$G$20000,CONFIG_METADATA!$B$4,DATOS!$I$2:$I$20000,"Lenguaje Musical"),"")))</f>
        <v/>
      </c>
      <c r="C83" t="str">
        <f>IF(A83="","",IF(A83="[FÓRMULA MANUAL]","",IFERROR(AVERAGEIFS(DATOS!$K$2:$K$20000,DATOS!$A$2:$A$20000,A83,DATOS!$G$2:$G$20000,CONFIG_METADATA!$B$4,DATOS!$I$2:$I$20000,"Orquesta/Banda/Conjunto"),"")))</f>
        <v/>
      </c>
      <c r="D83" t="str">
        <f>IF(A83="","",IF(A83="[FÓRMULA MANUAL]","",IFERROR(AVERAGEIFS(DATOS!$K$2:$K$20000,DATOS!$A$2:$A$20000,A83,DATOS!$G$2:$G$20000,CONFIG_METADATA!$B$4,DATOS!$I$2:$I$20000,"Conjunto"),"")))</f>
        <v/>
      </c>
      <c r="E83" t="str">
        <f>IF(A83="","",IF(A83="[FÓRMULA MANUAL]","",IFERROR(SUMPRODUCT((DATOS!$A$2:$A$20000=A83)*(DATOS!$G$2:$G$20000=CONFIG_METADATA!$B$4)*(COUNTIF(CONFIG_ASIGNATURAS!$B$7:$B$27,DATOS!$I$2:$I$20000)&gt;0)*(DATOS!$K$2:$K$20000))/SUMPRODUCT((DATOS!$A$2:$A$20000=A83)*(DATOS!$G$2:$G$20000=CONFIG_METADATA!$B$4)*(COUNTIF(CONFIG_ASIGNATURAS!$B$7:$B$27,DATOS!$I$2:$I$20000)&gt;0)*1),"")))</f>
        <v/>
      </c>
      <c r="H83" t="str">
        <f>IF(G83="","",IF(G83="[FÓRMULA MANUAL]","",IFERROR(AVERAGEIFS(DATOS!$K$2:$K$20000,DATOS!$A$2:$A$20000,G83,DATOS!$G$2:$G$20000,CONFIG_METADATA!$B$4,DATOS!$I$2:$I$20000,"Lenguaje Musical"),"")))</f>
        <v/>
      </c>
      <c r="I83" t="str">
        <f>IF(G83="","",IF(G83="[FÓRMULA MANUAL]","",IFERROR(AVERAGEIFS(DATOS!$K$2:$K$20000,DATOS!$A$2:$A$20000,G83,DATOS!$G$2:$G$20000,CONFIG_METADATA!$B$4,DATOS!$I$2:$I$20000,"Orquesta/Banda/Conjunto"),"")))</f>
        <v/>
      </c>
      <c r="J83" t="str">
        <f>IF(G83="","",IF(G83="[FÓRMULA MANUAL]","",IFERROR(AVERAGEIFS(DATOS!$K$2:$K$20000,DATOS!$A$2:$A$20000,G83,DATOS!$G$2:$G$20000,CONFIG_METADATA!$B$4,DATOS!$I$2:$I$20000,"Conjunto"),"")))</f>
        <v/>
      </c>
      <c r="K83" t="str">
        <f>IF(G83="","",IF(G83="[FÓRMULA MANUAL]","",IFERROR(SUMPRODUCT((DATOS!$A$2:$A$20000=G83)*(DATOS!$G$2:$G$20000=CONFIG_METADATA!$B$4)*(COUNTIF(CONFIG_ASIGNATURAS!$B$7:$B$27,DATOS!$I$2:$I$20000)&gt;0)*(DATOS!$K$2:$K$20000))/SUMPRODUCT((DATOS!$A$2:$A$20000=G83)*(DATOS!$G$2:$G$20000=CONFIG_METADATA!$B$4)*(COUNTIF(CONFIG_ASIGNATURAS!$B$7:$B$27,DATOS!$I$2:$I$20000)&gt;0)*1),"")))</f>
        <v/>
      </c>
      <c r="N83" t="str">
        <f>IF(M83="","",IF(M83="[FÓRMULA MANUAL]","",IFERROR(AVERAGEIFS(DATOS!$K$2:$K$20000,DATOS!$A$2:$A$20000,M83,DATOS!$G$2:$G$20000,CONFIG_METADATA!$B$4,DATOS!$I$2:$I$20000,"Armonía"),"")))</f>
        <v/>
      </c>
      <c r="O83" t="str">
        <f>IF(M83="","",IF(M83="[FÓRMULA MANUAL]","",IFERROR(AVERAGEIFS(DATOS!$K$2:$K$20000,DATOS!$A$2:$A$20000,M83,DATOS!$G$2:$G$20000,CONFIG_METADATA!$B$4,DATOS!$I$2:$I$20000,"Orquesta/Banda/Conjunto"),"")))</f>
        <v/>
      </c>
      <c r="P83" t="str">
        <f>IF(M83="","",IF(M83="[FÓRMULA MANUAL]","",IFERROR(AVERAGEIFS(DATOS!$K$2:$K$20000,DATOS!$A$2:$A$20000,M83,DATOS!$G$2:$G$20000,CONFIG_METADATA!$B$4,DATOS!$I$2:$I$20000,"Música de Cámara"),"")))</f>
        <v/>
      </c>
      <c r="Q83" t="str">
        <f>IF(M83="","",IF(M83="[FÓRMULA MANUAL]","",IFERROR(SUMPRODUCT((DATOS!$A$2:$A$20000=M83)*(DATOS!$G$2:$G$20000=CONFIG_METADATA!$B$4)*(COUNTIF(CONFIG_ASIGNATURAS!$B$7:$B$27,DATOS!$I$2:$I$20000)&gt;0)*(DATOS!$K$2:$K$20000))/SUMPRODUCT((DATOS!$A$2:$A$20000=M83)*(DATOS!$G$2:$G$20000=CONFIG_METADATA!$B$4)*(COUNTIF(CONFIG_ASIGNATURAS!$B$7:$B$27,DATOS!$I$2:$I$20000)&gt;0)*1),"")))</f>
        <v/>
      </c>
      <c r="T83" t="str">
        <f>IF(S83="","",IF(S83="[FÓRMULA MANUAL]","",IFERROR(AVERAGEIFS(DATOS!$K$2:$K$20000,DATOS!$A$2:$A$20000,S83,DATOS!$G$2:$G$20000,CONFIG_METADATA!$B$4,DATOS!$I$2:$I$20000,"Armonía"),"")))</f>
        <v/>
      </c>
      <c r="U83" t="str">
        <f>IF(S83="","",IF(S83="[FÓRMULA MANUAL]","",IFERROR(AVERAGEIFS(DATOS!$K$2:$K$20000,DATOS!$A$2:$A$20000,S83,DATOS!$G$2:$G$20000,CONFIG_METADATA!$B$4,DATOS!$I$2:$I$20000,"Orquesta/Banda/Conjunto"),"")))</f>
        <v/>
      </c>
      <c r="V83" t="str">
        <f>IF(S83="","",IF(S83="[FÓRMULA MANUAL]","",IFERROR(AVERAGEIFS(DATOS!$K$2:$K$20000,DATOS!$A$2:$A$20000,S83,DATOS!$G$2:$G$20000,CONFIG_METADATA!$B$4,DATOS!$I$2:$I$20000,"Música de Cámara"),"")))</f>
        <v/>
      </c>
      <c r="W83" t="str">
        <f>IF(S83="","",IF(S83="[FÓRMULA MANUAL]","",IFERROR(SUMPRODUCT((DATOS!$A$2:$A$20000=S83)*(DATOS!$G$2:$G$20000=CONFIG_METADATA!$B$4)*(COUNTIF(CONFIG_ASIGNATURAS!$B$7:$B$27,DATOS!$I$2:$I$20000)&gt;0)*(DATOS!$K$2:$K$20000))/SUMPRODUCT((DATOS!$A$2:$A$20000=S83)*(DATOS!$G$2:$G$20000=CONFIG_METADATA!$B$4)*(COUNTIF(CONFIG_ASIGNATURAS!$B$7:$B$27,DATOS!$I$2:$I$20000)&gt;0)*1),"")))</f>
        <v/>
      </c>
      <c r="Z83" t="str">
        <f>IF(Y83="","",IF(Y83="[FÓRMULA MANUAL]","",IFERROR(AVERAGEIFS(DATOS!$K$2:$K$20000,DATOS!$A$2:$A$20000,Y83,DATOS!$G$2:$G$20000,CONFIG_METADATA!$B$4,DATOS!$I$2:$I$20000,"Análisis"),"")))</f>
        <v/>
      </c>
      <c r="AA83" t="str">
        <f>IF(Y83="","",IF(Y83="[FÓRMULA MANUAL]","",IFERROR(AVERAGEIFS(DATOS!$K$2:$K$20000,DATOS!$A$2:$A$20000,Y83,DATOS!$G$2:$G$20000,CONFIG_METADATA!$B$4,DATOS!$I$2:$I$20000,"Orquesta/Banda/Conjunto"),"")))</f>
        <v/>
      </c>
      <c r="AB83" t="str">
        <f>IF(Y83="","",IF(Y83="[FÓRMULA MANUAL]","",IFERROR(AVERAGEIFS(DATOS!$K$2:$K$20000,DATOS!$A$2:$A$20000,Y83,DATOS!$G$2:$G$20000,CONFIG_METADATA!$B$4,DATOS!$I$2:$I$20000,"Música de Cámara"),"")))</f>
        <v/>
      </c>
      <c r="AC83" t="str">
        <f>IF(Y83="","",IF(Y83="[FÓRMULA MANUAL]","",IFERROR(SUMPRODUCT((DATOS!$A$2:$A$20000=Y83)*(DATOS!$G$2:$G$20000=CONFIG_METADATA!$B$4)*(COUNTIF(CONFIG_ASIGNATURAS!$B$7:$B$27,DATOS!$I$2:$I$20000)&gt;0)*(DATOS!$K$2:$K$20000))/SUMPRODUCT((DATOS!$A$2:$A$20000=Y83)*(DATOS!$G$2:$G$20000=CONFIG_METADATA!$B$4)*(COUNTIF(CONFIG_ASIGNATURAS!$B$7:$B$27,DATOS!$I$2:$I$20000)&gt;0)*1),"")))</f>
        <v/>
      </c>
      <c r="AF83" t="str">
        <f>IF(AE83="","",IF(AE83="[FÓRMULA MANUAL]","",IFERROR(AVERAGEIFS(DATOS!$K$2:$K$20000,DATOS!$A$2:$A$20000,AE83,DATOS!$G$2:$G$20000,CONFIG_METADATA!$B$4,DATOS!$I$2:$I$20000,"Análisis"),"")))</f>
        <v/>
      </c>
      <c r="AG83" t="str">
        <f>IF(AE83="","",IF(AE83="[FÓRMULA MANUAL]","",IFERROR(AVERAGEIFS(DATOS!$K$2:$K$20000,DATOS!$A$2:$A$20000,AE83,DATOS!$G$2:$G$20000,CONFIG_METADATA!$B$4,DATOS!$I$2:$I$20000,"Orquesta/Banda/Conjunto"),"")))</f>
        <v/>
      </c>
      <c r="AH83" t="str">
        <f>IF(AE83="","",IF(AE83="[FÓRMULA MANUAL]","",IFERROR(AVERAGEIFS(DATOS!$K$2:$K$20000,DATOS!$A$2:$A$20000,AE83,DATOS!$G$2:$G$20000,CONFIG_METADATA!$B$4,DATOS!$I$2:$I$20000,"Música de Cámara"),"")))</f>
        <v/>
      </c>
      <c r="AI83" t="str">
        <f>IF(AE83="","",IF(AE83="[FÓRMULA MANUAL]","",IFERROR(SUMPRODUCT((DATOS!$A$2:$A$20000=AE83)*(DATOS!$G$2:$G$20000=CONFIG_METADATA!$B$4)*(COUNTIF(CONFIG_ASIGNATURAS!$B$7:$B$27,DATOS!$I$2:$I$20000)&gt;0)*(DATOS!$K$2:$K$20000))/SUMPRODUCT((DATOS!$A$2:$A$20000=AE83)*(DATOS!$G$2:$G$20000=CONFIG_METADATA!$B$4)*(COUNTIF(CONFIG_ASIGNATURAS!$B$7:$B$27,DATOS!$I$2:$I$20000)&gt;0)*1),"")))</f>
        <v/>
      </c>
    </row>
    <row r="84" spans="2:35" x14ac:dyDescent="0.2">
      <c r="B84" t="str">
        <f>IF(A84="","",IF(A84="[FÓRMULA MANUAL]","",IFERROR(AVERAGEIFS(DATOS!$K$2:$K$20000,DATOS!$A$2:$A$20000,A84,DATOS!$G$2:$G$20000,CONFIG_METADATA!$B$4,DATOS!$I$2:$I$20000,"Lenguaje Musical"),"")))</f>
        <v/>
      </c>
      <c r="C84" t="str">
        <f>IF(A84="","",IF(A84="[FÓRMULA MANUAL]","",IFERROR(AVERAGEIFS(DATOS!$K$2:$K$20000,DATOS!$A$2:$A$20000,A84,DATOS!$G$2:$G$20000,CONFIG_METADATA!$B$4,DATOS!$I$2:$I$20000,"Orquesta/Banda/Conjunto"),"")))</f>
        <v/>
      </c>
      <c r="D84" t="str">
        <f>IF(A84="","",IF(A84="[FÓRMULA MANUAL]","",IFERROR(AVERAGEIFS(DATOS!$K$2:$K$20000,DATOS!$A$2:$A$20000,A84,DATOS!$G$2:$G$20000,CONFIG_METADATA!$B$4,DATOS!$I$2:$I$20000,"Conjunto"),"")))</f>
        <v/>
      </c>
      <c r="E84" t="str">
        <f>IF(A84="","",IF(A84="[FÓRMULA MANUAL]","",IFERROR(SUMPRODUCT((DATOS!$A$2:$A$20000=A84)*(DATOS!$G$2:$G$20000=CONFIG_METADATA!$B$4)*(COUNTIF(CONFIG_ASIGNATURAS!$B$7:$B$27,DATOS!$I$2:$I$20000)&gt;0)*(DATOS!$K$2:$K$20000))/SUMPRODUCT((DATOS!$A$2:$A$20000=A84)*(DATOS!$G$2:$G$20000=CONFIG_METADATA!$B$4)*(COUNTIF(CONFIG_ASIGNATURAS!$B$7:$B$27,DATOS!$I$2:$I$20000)&gt;0)*1),"")))</f>
        <v/>
      </c>
      <c r="H84" t="str">
        <f>IF(G84="","",IF(G84="[FÓRMULA MANUAL]","",IFERROR(AVERAGEIFS(DATOS!$K$2:$K$20000,DATOS!$A$2:$A$20000,G84,DATOS!$G$2:$G$20000,CONFIG_METADATA!$B$4,DATOS!$I$2:$I$20000,"Lenguaje Musical"),"")))</f>
        <v/>
      </c>
      <c r="I84" t="str">
        <f>IF(G84="","",IF(G84="[FÓRMULA MANUAL]","",IFERROR(AVERAGEIFS(DATOS!$K$2:$K$20000,DATOS!$A$2:$A$20000,G84,DATOS!$G$2:$G$20000,CONFIG_METADATA!$B$4,DATOS!$I$2:$I$20000,"Orquesta/Banda/Conjunto"),"")))</f>
        <v/>
      </c>
      <c r="J84" t="str">
        <f>IF(G84="","",IF(G84="[FÓRMULA MANUAL]","",IFERROR(AVERAGEIFS(DATOS!$K$2:$K$20000,DATOS!$A$2:$A$20000,G84,DATOS!$G$2:$G$20000,CONFIG_METADATA!$B$4,DATOS!$I$2:$I$20000,"Conjunto"),"")))</f>
        <v/>
      </c>
      <c r="K84" t="str">
        <f>IF(G84="","",IF(G84="[FÓRMULA MANUAL]","",IFERROR(SUMPRODUCT((DATOS!$A$2:$A$20000=G84)*(DATOS!$G$2:$G$20000=CONFIG_METADATA!$B$4)*(COUNTIF(CONFIG_ASIGNATURAS!$B$7:$B$27,DATOS!$I$2:$I$20000)&gt;0)*(DATOS!$K$2:$K$20000))/SUMPRODUCT((DATOS!$A$2:$A$20000=G84)*(DATOS!$G$2:$G$20000=CONFIG_METADATA!$B$4)*(COUNTIF(CONFIG_ASIGNATURAS!$B$7:$B$27,DATOS!$I$2:$I$20000)&gt;0)*1),"")))</f>
        <v/>
      </c>
      <c r="N84" t="str">
        <f>IF(M84="","",IF(M84="[FÓRMULA MANUAL]","",IFERROR(AVERAGEIFS(DATOS!$K$2:$K$20000,DATOS!$A$2:$A$20000,M84,DATOS!$G$2:$G$20000,CONFIG_METADATA!$B$4,DATOS!$I$2:$I$20000,"Armonía"),"")))</f>
        <v/>
      </c>
      <c r="O84" t="str">
        <f>IF(M84="","",IF(M84="[FÓRMULA MANUAL]","",IFERROR(AVERAGEIFS(DATOS!$K$2:$K$20000,DATOS!$A$2:$A$20000,M84,DATOS!$G$2:$G$20000,CONFIG_METADATA!$B$4,DATOS!$I$2:$I$20000,"Orquesta/Banda/Conjunto"),"")))</f>
        <v/>
      </c>
      <c r="P84" t="str">
        <f>IF(M84="","",IF(M84="[FÓRMULA MANUAL]","",IFERROR(AVERAGEIFS(DATOS!$K$2:$K$20000,DATOS!$A$2:$A$20000,M84,DATOS!$G$2:$G$20000,CONFIG_METADATA!$B$4,DATOS!$I$2:$I$20000,"Música de Cámara"),"")))</f>
        <v/>
      </c>
      <c r="Q84" t="str">
        <f>IF(M84="","",IF(M84="[FÓRMULA MANUAL]","",IFERROR(SUMPRODUCT((DATOS!$A$2:$A$20000=M84)*(DATOS!$G$2:$G$20000=CONFIG_METADATA!$B$4)*(COUNTIF(CONFIG_ASIGNATURAS!$B$7:$B$27,DATOS!$I$2:$I$20000)&gt;0)*(DATOS!$K$2:$K$20000))/SUMPRODUCT((DATOS!$A$2:$A$20000=M84)*(DATOS!$G$2:$G$20000=CONFIG_METADATA!$B$4)*(COUNTIF(CONFIG_ASIGNATURAS!$B$7:$B$27,DATOS!$I$2:$I$20000)&gt;0)*1),"")))</f>
        <v/>
      </c>
      <c r="T84" t="str">
        <f>IF(S84="","",IF(S84="[FÓRMULA MANUAL]","",IFERROR(AVERAGEIFS(DATOS!$K$2:$K$20000,DATOS!$A$2:$A$20000,S84,DATOS!$G$2:$G$20000,CONFIG_METADATA!$B$4,DATOS!$I$2:$I$20000,"Armonía"),"")))</f>
        <v/>
      </c>
      <c r="U84" t="str">
        <f>IF(S84="","",IF(S84="[FÓRMULA MANUAL]","",IFERROR(AVERAGEIFS(DATOS!$K$2:$K$20000,DATOS!$A$2:$A$20000,S84,DATOS!$G$2:$G$20000,CONFIG_METADATA!$B$4,DATOS!$I$2:$I$20000,"Orquesta/Banda/Conjunto"),"")))</f>
        <v/>
      </c>
      <c r="V84" t="str">
        <f>IF(S84="","",IF(S84="[FÓRMULA MANUAL]","",IFERROR(AVERAGEIFS(DATOS!$K$2:$K$20000,DATOS!$A$2:$A$20000,S84,DATOS!$G$2:$G$20000,CONFIG_METADATA!$B$4,DATOS!$I$2:$I$20000,"Música de Cámara"),"")))</f>
        <v/>
      </c>
      <c r="W84" t="str">
        <f>IF(S84="","",IF(S84="[FÓRMULA MANUAL]","",IFERROR(SUMPRODUCT((DATOS!$A$2:$A$20000=S84)*(DATOS!$G$2:$G$20000=CONFIG_METADATA!$B$4)*(COUNTIF(CONFIG_ASIGNATURAS!$B$7:$B$27,DATOS!$I$2:$I$20000)&gt;0)*(DATOS!$K$2:$K$20000))/SUMPRODUCT((DATOS!$A$2:$A$20000=S84)*(DATOS!$G$2:$G$20000=CONFIG_METADATA!$B$4)*(COUNTIF(CONFIG_ASIGNATURAS!$B$7:$B$27,DATOS!$I$2:$I$20000)&gt;0)*1),"")))</f>
        <v/>
      </c>
      <c r="Z84" t="str">
        <f>IF(Y84="","",IF(Y84="[FÓRMULA MANUAL]","",IFERROR(AVERAGEIFS(DATOS!$K$2:$K$20000,DATOS!$A$2:$A$20000,Y84,DATOS!$G$2:$G$20000,CONFIG_METADATA!$B$4,DATOS!$I$2:$I$20000,"Análisis"),"")))</f>
        <v/>
      </c>
      <c r="AA84" t="str">
        <f>IF(Y84="","",IF(Y84="[FÓRMULA MANUAL]","",IFERROR(AVERAGEIFS(DATOS!$K$2:$K$20000,DATOS!$A$2:$A$20000,Y84,DATOS!$G$2:$G$20000,CONFIG_METADATA!$B$4,DATOS!$I$2:$I$20000,"Orquesta/Banda/Conjunto"),"")))</f>
        <v/>
      </c>
      <c r="AB84" t="str">
        <f>IF(Y84="","",IF(Y84="[FÓRMULA MANUAL]","",IFERROR(AVERAGEIFS(DATOS!$K$2:$K$20000,DATOS!$A$2:$A$20000,Y84,DATOS!$G$2:$G$20000,CONFIG_METADATA!$B$4,DATOS!$I$2:$I$20000,"Música de Cámara"),"")))</f>
        <v/>
      </c>
      <c r="AC84" t="str">
        <f>IF(Y84="","",IF(Y84="[FÓRMULA MANUAL]","",IFERROR(SUMPRODUCT((DATOS!$A$2:$A$20000=Y84)*(DATOS!$G$2:$G$20000=CONFIG_METADATA!$B$4)*(COUNTIF(CONFIG_ASIGNATURAS!$B$7:$B$27,DATOS!$I$2:$I$20000)&gt;0)*(DATOS!$K$2:$K$20000))/SUMPRODUCT((DATOS!$A$2:$A$20000=Y84)*(DATOS!$G$2:$G$20000=CONFIG_METADATA!$B$4)*(COUNTIF(CONFIG_ASIGNATURAS!$B$7:$B$27,DATOS!$I$2:$I$20000)&gt;0)*1),"")))</f>
        <v/>
      </c>
      <c r="AF84" t="str">
        <f>IF(AE84="","",IF(AE84="[FÓRMULA MANUAL]","",IFERROR(AVERAGEIFS(DATOS!$K$2:$K$20000,DATOS!$A$2:$A$20000,AE84,DATOS!$G$2:$G$20000,CONFIG_METADATA!$B$4,DATOS!$I$2:$I$20000,"Análisis"),"")))</f>
        <v/>
      </c>
      <c r="AG84" t="str">
        <f>IF(AE84="","",IF(AE84="[FÓRMULA MANUAL]","",IFERROR(AVERAGEIFS(DATOS!$K$2:$K$20000,DATOS!$A$2:$A$20000,AE84,DATOS!$G$2:$G$20000,CONFIG_METADATA!$B$4,DATOS!$I$2:$I$20000,"Orquesta/Banda/Conjunto"),"")))</f>
        <v/>
      </c>
      <c r="AH84" t="str">
        <f>IF(AE84="","",IF(AE84="[FÓRMULA MANUAL]","",IFERROR(AVERAGEIFS(DATOS!$K$2:$K$20000,DATOS!$A$2:$A$20000,AE84,DATOS!$G$2:$G$20000,CONFIG_METADATA!$B$4,DATOS!$I$2:$I$20000,"Música de Cámara"),"")))</f>
        <v/>
      </c>
      <c r="AI84" t="str">
        <f>IF(AE84="","",IF(AE84="[FÓRMULA MANUAL]","",IFERROR(SUMPRODUCT((DATOS!$A$2:$A$20000=AE84)*(DATOS!$G$2:$G$20000=CONFIG_METADATA!$B$4)*(COUNTIF(CONFIG_ASIGNATURAS!$B$7:$B$27,DATOS!$I$2:$I$20000)&gt;0)*(DATOS!$K$2:$K$20000))/SUMPRODUCT((DATOS!$A$2:$A$20000=AE84)*(DATOS!$G$2:$G$20000=CONFIG_METADATA!$B$4)*(COUNTIF(CONFIG_ASIGNATURAS!$B$7:$B$27,DATOS!$I$2:$I$20000)&gt;0)*1),"")))</f>
        <v/>
      </c>
    </row>
    <row r="85" spans="2:35" x14ac:dyDescent="0.2">
      <c r="B85" t="str">
        <f>IF(A85="","",IF(A85="[FÓRMULA MANUAL]","",IFERROR(AVERAGEIFS(DATOS!$K$2:$K$20000,DATOS!$A$2:$A$20000,A85,DATOS!$G$2:$G$20000,CONFIG_METADATA!$B$4,DATOS!$I$2:$I$20000,"Lenguaje Musical"),"")))</f>
        <v/>
      </c>
      <c r="C85" t="str">
        <f>IF(A85="","",IF(A85="[FÓRMULA MANUAL]","",IFERROR(AVERAGEIFS(DATOS!$K$2:$K$20000,DATOS!$A$2:$A$20000,A85,DATOS!$G$2:$G$20000,CONFIG_METADATA!$B$4,DATOS!$I$2:$I$20000,"Orquesta/Banda/Conjunto"),"")))</f>
        <v/>
      </c>
      <c r="D85" t="str">
        <f>IF(A85="","",IF(A85="[FÓRMULA MANUAL]","",IFERROR(AVERAGEIFS(DATOS!$K$2:$K$20000,DATOS!$A$2:$A$20000,A85,DATOS!$G$2:$G$20000,CONFIG_METADATA!$B$4,DATOS!$I$2:$I$20000,"Conjunto"),"")))</f>
        <v/>
      </c>
      <c r="E85" t="str">
        <f>IF(A85="","",IF(A85="[FÓRMULA MANUAL]","",IFERROR(SUMPRODUCT((DATOS!$A$2:$A$20000=A85)*(DATOS!$G$2:$G$20000=CONFIG_METADATA!$B$4)*(COUNTIF(CONFIG_ASIGNATURAS!$B$7:$B$27,DATOS!$I$2:$I$20000)&gt;0)*(DATOS!$K$2:$K$20000))/SUMPRODUCT((DATOS!$A$2:$A$20000=A85)*(DATOS!$G$2:$G$20000=CONFIG_METADATA!$B$4)*(COUNTIF(CONFIG_ASIGNATURAS!$B$7:$B$27,DATOS!$I$2:$I$20000)&gt;0)*1),"")))</f>
        <v/>
      </c>
      <c r="H85" t="str">
        <f>IF(G85="","",IF(G85="[FÓRMULA MANUAL]","",IFERROR(AVERAGEIFS(DATOS!$K$2:$K$20000,DATOS!$A$2:$A$20000,G85,DATOS!$G$2:$G$20000,CONFIG_METADATA!$B$4,DATOS!$I$2:$I$20000,"Lenguaje Musical"),"")))</f>
        <v/>
      </c>
      <c r="I85" t="str">
        <f>IF(G85="","",IF(G85="[FÓRMULA MANUAL]","",IFERROR(AVERAGEIFS(DATOS!$K$2:$K$20000,DATOS!$A$2:$A$20000,G85,DATOS!$G$2:$G$20000,CONFIG_METADATA!$B$4,DATOS!$I$2:$I$20000,"Orquesta/Banda/Conjunto"),"")))</f>
        <v/>
      </c>
      <c r="J85" t="str">
        <f>IF(G85="","",IF(G85="[FÓRMULA MANUAL]","",IFERROR(AVERAGEIFS(DATOS!$K$2:$K$20000,DATOS!$A$2:$A$20000,G85,DATOS!$G$2:$G$20000,CONFIG_METADATA!$B$4,DATOS!$I$2:$I$20000,"Conjunto"),"")))</f>
        <v/>
      </c>
      <c r="K85" t="str">
        <f>IF(G85="","",IF(G85="[FÓRMULA MANUAL]","",IFERROR(SUMPRODUCT((DATOS!$A$2:$A$20000=G85)*(DATOS!$G$2:$G$20000=CONFIG_METADATA!$B$4)*(COUNTIF(CONFIG_ASIGNATURAS!$B$7:$B$27,DATOS!$I$2:$I$20000)&gt;0)*(DATOS!$K$2:$K$20000))/SUMPRODUCT((DATOS!$A$2:$A$20000=G85)*(DATOS!$G$2:$G$20000=CONFIG_METADATA!$B$4)*(COUNTIF(CONFIG_ASIGNATURAS!$B$7:$B$27,DATOS!$I$2:$I$20000)&gt;0)*1),"")))</f>
        <v/>
      </c>
      <c r="N85" t="str">
        <f>IF(M85="","",IF(M85="[FÓRMULA MANUAL]","",IFERROR(AVERAGEIFS(DATOS!$K$2:$K$20000,DATOS!$A$2:$A$20000,M85,DATOS!$G$2:$G$20000,CONFIG_METADATA!$B$4,DATOS!$I$2:$I$20000,"Armonía"),"")))</f>
        <v/>
      </c>
      <c r="O85" t="str">
        <f>IF(M85="","",IF(M85="[FÓRMULA MANUAL]","",IFERROR(AVERAGEIFS(DATOS!$K$2:$K$20000,DATOS!$A$2:$A$20000,M85,DATOS!$G$2:$G$20000,CONFIG_METADATA!$B$4,DATOS!$I$2:$I$20000,"Orquesta/Banda/Conjunto"),"")))</f>
        <v/>
      </c>
      <c r="P85" t="str">
        <f>IF(M85="","",IF(M85="[FÓRMULA MANUAL]","",IFERROR(AVERAGEIFS(DATOS!$K$2:$K$20000,DATOS!$A$2:$A$20000,M85,DATOS!$G$2:$G$20000,CONFIG_METADATA!$B$4,DATOS!$I$2:$I$20000,"Música de Cámara"),"")))</f>
        <v/>
      </c>
      <c r="Q85" t="str">
        <f>IF(M85="","",IF(M85="[FÓRMULA MANUAL]","",IFERROR(SUMPRODUCT((DATOS!$A$2:$A$20000=M85)*(DATOS!$G$2:$G$20000=CONFIG_METADATA!$B$4)*(COUNTIF(CONFIG_ASIGNATURAS!$B$7:$B$27,DATOS!$I$2:$I$20000)&gt;0)*(DATOS!$K$2:$K$20000))/SUMPRODUCT((DATOS!$A$2:$A$20000=M85)*(DATOS!$G$2:$G$20000=CONFIG_METADATA!$B$4)*(COUNTIF(CONFIG_ASIGNATURAS!$B$7:$B$27,DATOS!$I$2:$I$20000)&gt;0)*1),"")))</f>
        <v/>
      </c>
      <c r="T85" t="str">
        <f>IF(S85="","",IF(S85="[FÓRMULA MANUAL]","",IFERROR(AVERAGEIFS(DATOS!$K$2:$K$20000,DATOS!$A$2:$A$20000,S85,DATOS!$G$2:$G$20000,CONFIG_METADATA!$B$4,DATOS!$I$2:$I$20000,"Armonía"),"")))</f>
        <v/>
      </c>
      <c r="U85" t="str">
        <f>IF(S85="","",IF(S85="[FÓRMULA MANUAL]","",IFERROR(AVERAGEIFS(DATOS!$K$2:$K$20000,DATOS!$A$2:$A$20000,S85,DATOS!$G$2:$G$20000,CONFIG_METADATA!$B$4,DATOS!$I$2:$I$20000,"Orquesta/Banda/Conjunto"),"")))</f>
        <v/>
      </c>
      <c r="V85" t="str">
        <f>IF(S85="","",IF(S85="[FÓRMULA MANUAL]","",IFERROR(AVERAGEIFS(DATOS!$K$2:$K$20000,DATOS!$A$2:$A$20000,S85,DATOS!$G$2:$G$20000,CONFIG_METADATA!$B$4,DATOS!$I$2:$I$20000,"Música de Cámara"),"")))</f>
        <v/>
      </c>
      <c r="W85" t="str">
        <f>IF(S85="","",IF(S85="[FÓRMULA MANUAL]","",IFERROR(SUMPRODUCT((DATOS!$A$2:$A$20000=S85)*(DATOS!$G$2:$G$20000=CONFIG_METADATA!$B$4)*(COUNTIF(CONFIG_ASIGNATURAS!$B$7:$B$27,DATOS!$I$2:$I$20000)&gt;0)*(DATOS!$K$2:$K$20000))/SUMPRODUCT((DATOS!$A$2:$A$20000=S85)*(DATOS!$G$2:$G$20000=CONFIG_METADATA!$B$4)*(COUNTIF(CONFIG_ASIGNATURAS!$B$7:$B$27,DATOS!$I$2:$I$20000)&gt;0)*1),"")))</f>
        <v/>
      </c>
      <c r="Z85" t="str">
        <f>IF(Y85="","",IF(Y85="[FÓRMULA MANUAL]","",IFERROR(AVERAGEIFS(DATOS!$K$2:$K$20000,DATOS!$A$2:$A$20000,Y85,DATOS!$G$2:$G$20000,CONFIG_METADATA!$B$4,DATOS!$I$2:$I$20000,"Análisis"),"")))</f>
        <v/>
      </c>
      <c r="AA85" t="str">
        <f>IF(Y85="","",IF(Y85="[FÓRMULA MANUAL]","",IFERROR(AVERAGEIFS(DATOS!$K$2:$K$20000,DATOS!$A$2:$A$20000,Y85,DATOS!$G$2:$G$20000,CONFIG_METADATA!$B$4,DATOS!$I$2:$I$20000,"Orquesta/Banda/Conjunto"),"")))</f>
        <v/>
      </c>
      <c r="AB85" t="str">
        <f>IF(Y85="","",IF(Y85="[FÓRMULA MANUAL]","",IFERROR(AVERAGEIFS(DATOS!$K$2:$K$20000,DATOS!$A$2:$A$20000,Y85,DATOS!$G$2:$G$20000,CONFIG_METADATA!$B$4,DATOS!$I$2:$I$20000,"Música de Cámara"),"")))</f>
        <v/>
      </c>
      <c r="AC85" t="str">
        <f>IF(Y85="","",IF(Y85="[FÓRMULA MANUAL]","",IFERROR(SUMPRODUCT((DATOS!$A$2:$A$20000=Y85)*(DATOS!$G$2:$G$20000=CONFIG_METADATA!$B$4)*(COUNTIF(CONFIG_ASIGNATURAS!$B$7:$B$27,DATOS!$I$2:$I$20000)&gt;0)*(DATOS!$K$2:$K$20000))/SUMPRODUCT((DATOS!$A$2:$A$20000=Y85)*(DATOS!$G$2:$G$20000=CONFIG_METADATA!$B$4)*(COUNTIF(CONFIG_ASIGNATURAS!$B$7:$B$27,DATOS!$I$2:$I$20000)&gt;0)*1),"")))</f>
        <v/>
      </c>
      <c r="AF85" t="str">
        <f>IF(AE85="","",IF(AE85="[FÓRMULA MANUAL]","",IFERROR(AVERAGEIFS(DATOS!$K$2:$K$20000,DATOS!$A$2:$A$20000,AE85,DATOS!$G$2:$G$20000,CONFIG_METADATA!$B$4,DATOS!$I$2:$I$20000,"Análisis"),"")))</f>
        <v/>
      </c>
      <c r="AG85" t="str">
        <f>IF(AE85="","",IF(AE85="[FÓRMULA MANUAL]","",IFERROR(AVERAGEIFS(DATOS!$K$2:$K$20000,DATOS!$A$2:$A$20000,AE85,DATOS!$G$2:$G$20000,CONFIG_METADATA!$B$4,DATOS!$I$2:$I$20000,"Orquesta/Banda/Conjunto"),"")))</f>
        <v/>
      </c>
      <c r="AH85" t="str">
        <f>IF(AE85="","",IF(AE85="[FÓRMULA MANUAL]","",IFERROR(AVERAGEIFS(DATOS!$K$2:$K$20000,DATOS!$A$2:$A$20000,AE85,DATOS!$G$2:$G$20000,CONFIG_METADATA!$B$4,DATOS!$I$2:$I$20000,"Música de Cámara"),"")))</f>
        <v/>
      </c>
      <c r="AI85" t="str">
        <f>IF(AE85="","",IF(AE85="[FÓRMULA MANUAL]","",IFERROR(SUMPRODUCT((DATOS!$A$2:$A$20000=AE85)*(DATOS!$G$2:$G$20000=CONFIG_METADATA!$B$4)*(COUNTIF(CONFIG_ASIGNATURAS!$B$7:$B$27,DATOS!$I$2:$I$20000)&gt;0)*(DATOS!$K$2:$K$20000))/SUMPRODUCT((DATOS!$A$2:$A$20000=AE85)*(DATOS!$G$2:$G$20000=CONFIG_METADATA!$B$4)*(COUNTIF(CONFIG_ASIGNATURAS!$B$7:$B$27,DATOS!$I$2:$I$20000)&gt;0)*1),"")))</f>
        <v/>
      </c>
    </row>
    <row r="86" spans="2:35" x14ac:dyDescent="0.2">
      <c r="B86" t="str">
        <f>IF(A86="","",IF(A86="[FÓRMULA MANUAL]","",IFERROR(AVERAGEIFS(DATOS!$K$2:$K$20000,DATOS!$A$2:$A$20000,A86,DATOS!$G$2:$G$20000,CONFIG_METADATA!$B$4,DATOS!$I$2:$I$20000,"Lenguaje Musical"),"")))</f>
        <v/>
      </c>
      <c r="C86" t="str">
        <f>IF(A86="","",IF(A86="[FÓRMULA MANUAL]","",IFERROR(AVERAGEIFS(DATOS!$K$2:$K$20000,DATOS!$A$2:$A$20000,A86,DATOS!$G$2:$G$20000,CONFIG_METADATA!$B$4,DATOS!$I$2:$I$20000,"Orquesta/Banda/Conjunto"),"")))</f>
        <v/>
      </c>
      <c r="D86" t="str">
        <f>IF(A86="","",IF(A86="[FÓRMULA MANUAL]","",IFERROR(AVERAGEIFS(DATOS!$K$2:$K$20000,DATOS!$A$2:$A$20000,A86,DATOS!$G$2:$G$20000,CONFIG_METADATA!$B$4,DATOS!$I$2:$I$20000,"Conjunto"),"")))</f>
        <v/>
      </c>
      <c r="E86" t="str">
        <f>IF(A86="","",IF(A86="[FÓRMULA MANUAL]","",IFERROR(SUMPRODUCT((DATOS!$A$2:$A$20000=A86)*(DATOS!$G$2:$G$20000=CONFIG_METADATA!$B$4)*(COUNTIF(CONFIG_ASIGNATURAS!$B$7:$B$27,DATOS!$I$2:$I$20000)&gt;0)*(DATOS!$K$2:$K$20000))/SUMPRODUCT((DATOS!$A$2:$A$20000=A86)*(DATOS!$G$2:$G$20000=CONFIG_METADATA!$B$4)*(COUNTIF(CONFIG_ASIGNATURAS!$B$7:$B$27,DATOS!$I$2:$I$20000)&gt;0)*1),"")))</f>
        <v/>
      </c>
      <c r="H86" t="str">
        <f>IF(G86="","",IF(G86="[FÓRMULA MANUAL]","",IFERROR(AVERAGEIFS(DATOS!$K$2:$K$20000,DATOS!$A$2:$A$20000,G86,DATOS!$G$2:$G$20000,CONFIG_METADATA!$B$4,DATOS!$I$2:$I$20000,"Lenguaje Musical"),"")))</f>
        <v/>
      </c>
      <c r="I86" t="str">
        <f>IF(G86="","",IF(G86="[FÓRMULA MANUAL]","",IFERROR(AVERAGEIFS(DATOS!$K$2:$K$20000,DATOS!$A$2:$A$20000,G86,DATOS!$G$2:$G$20000,CONFIG_METADATA!$B$4,DATOS!$I$2:$I$20000,"Orquesta/Banda/Conjunto"),"")))</f>
        <v/>
      </c>
      <c r="J86" t="str">
        <f>IF(G86="","",IF(G86="[FÓRMULA MANUAL]","",IFERROR(AVERAGEIFS(DATOS!$K$2:$K$20000,DATOS!$A$2:$A$20000,G86,DATOS!$G$2:$G$20000,CONFIG_METADATA!$B$4,DATOS!$I$2:$I$20000,"Conjunto"),"")))</f>
        <v/>
      </c>
      <c r="K86" t="str">
        <f>IF(G86="","",IF(G86="[FÓRMULA MANUAL]","",IFERROR(SUMPRODUCT((DATOS!$A$2:$A$20000=G86)*(DATOS!$G$2:$G$20000=CONFIG_METADATA!$B$4)*(COUNTIF(CONFIG_ASIGNATURAS!$B$7:$B$27,DATOS!$I$2:$I$20000)&gt;0)*(DATOS!$K$2:$K$20000))/SUMPRODUCT((DATOS!$A$2:$A$20000=G86)*(DATOS!$G$2:$G$20000=CONFIG_METADATA!$B$4)*(COUNTIF(CONFIG_ASIGNATURAS!$B$7:$B$27,DATOS!$I$2:$I$20000)&gt;0)*1),"")))</f>
        <v/>
      </c>
      <c r="N86" t="str">
        <f>IF(M86="","",IF(M86="[FÓRMULA MANUAL]","",IFERROR(AVERAGEIFS(DATOS!$K$2:$K$20000,DATOS!$A$2:$A$20000,M86,DATOS!$G$2:$G$20000,CONFIG_METADATA!$B$4,DATOS!$I$2:$I$20000,"Armonía"),"")))</f>
        <v/>
      </c>
      <c r="O86" t="str">
        <f>IF(M86="","",IF(M86="[FÓRMULA MANUAL]","",IFERROR(AVERAGEIFS(DATOS!$K$2:$K$20000,DATOS!$A$2:$A$20000,M86,DATOS!$G$2:$G$20000,CONFIG_METADATA!$B$4,DATOS!$I$2:$I$20000,"Orquesta/Banda/Conjunto"),"")))</f>
        <v/>
      </c>
      <c r="P86" t="str">
        <f>IF(M86="","",IF(M86="[FÓRMULA MANUAL]","",IFERROR(AVERAGEIFS(DATOS!$K$2:$K$20000,DATOS!$A$2:$A$20000,M86,DATOS!$G$2:$G$20000,CONFIG_METADATA!$B$4,DATOS!$I$2:$I$20000,"Música de Cámara"),"")))</f>
        <v/>
      </c>
      <c r="Q86" t="str">
        <f>IF(M86="","",IF(M86="[FÓRMULA MANUAL]","",IFERROR(SUMPRODUCT((DATOS!$A$2:$A$20000=M86)*(DATOS!$G$2:$G$20000=CONFIG_METADATA!$B$4)*(COUNTIF(CONFIG_ASIGNATURAS!$B$7:$B$27,DATOS!$I$2:$I$20000)&gt;0)*(DATOS!$K$2:$K$20000))/SUMPRODUCT((DATOS!$A$2:$A$20000=M86)*(DATOS!$G$2:$G$20000=CONFIG_METADATA!$B$4)*(COUNTIF(CONFIG_ASIGNATURAS!$B$7:$B$27,DATOS!$I$2:$I$20000)&gt;0)*1),"")))</f>
        <v/>
      </c>
      <c r="T86" t="str">
        <f>IF(S86="","",IF(S86="[FÓRMULA MANUAL]","",IFERROR(AVERAGEIFS(DATOS!$K$2:$K$20000,DATOS!$A$2:$A$20000,S86,DATOS!$G$2:$G$20000,CONFIG_METADATA!$B$4,DATOS!$I$2:$I$20000,"Armonía"),"")))</f>
        <v/>
      </c>
      <c r="U86" t="str">
        <f>IF(S86="","",IF(S86="[FÓRMULA MANUAL]","",IFERROR(AVERAGEIFS(DATOS!$K$2:$K$20000,DATOS!$A$2:$A$20000,S86,DATOS!$G$2:$G$20000,CONFIG_METADATA!$B$4,DATOS!$I$2:$I$20000,"Orquesta/Banda/Conjunto"),"")))</f>
        <v/>
      </c>
      <c r="V86" t="str">
        <f>IF(S86="","",IF(S86="[FÓRMULA MANUAL]","",IFERROR(AVERAGEIFS(DATOS!$K$2:$K$20000,DATOS!$A$2:$A$20000,S86,DATOS!$G$2:$G$20000,CONFIG_METADATA!$B$4,DATOS!$I$2:$I$20000,"Música de Cámara"),"")))</f>
        <v/>
      </c>
      <c r="W86" t="str">
        <f>IF(S86="","",IF(S86="[FÓRMULA MANUAL]","",IFERROR(SUMPRODUCT((DATOS!$A$2:$A$20000=S86)*(DATOS!$G$2:$G$20000=CONFIG_METADATA!$B$4)*(COUNTIF(CONFIG_ASIGNATURAS!$B$7:$B$27,DATOS!$I$2:$I$20000)&gt;0)*(DATOS!$K$2:$K$20000))/SUMPRODUCT((DATOS!$A$2:$A$20000=S86)*(DATOS!$G$2:$G$20000=CONFIG_METADATA!$B$4)*(COUNTIF(CONFIG_ASIGNATURAS!$B$7:$B$27,DATOS!$I$2:$I$20000)&gt;0)*1),"")))</f>
        <v/>
      </c>
      <c r="Z86" t="str">
        <f>IF(Y86="","",IF(Y86="[FÓRMULA MANUAL]","",IFERROR(AVERAGEIFS(DATOS!$K$2:$K$20000,DATOS!$A$2:$A$20000,Y86,DATOS!$G$2:$G$20000,CONFIG_METADATA!$B$4,DATOS!$I$2:$I$20000,"Análisis"),"")))</f>
        <v/>
      </c>
      <c r="AA86" t="str">
        <f>IF(Y86="","",IF(Y86="[FÓRMULA MANUAL]","",IFERROR(AVERAGEIFS(DATOS!$K$2:$K$20000,DATOS!$A$2:$A$20000,Y86,DATOS!$G$2:$G$20000,CONFIG_METADATA!$B$4,DATOS!$I$2:$I$20000,"Orquesta/Banda/Conjunto"),"")))</f>
        <v/>
      </c>
      <c r="AB86" t="str">
        <f>IF(Y86="","",IF(Y86="[FÓRMULA MANUAL]","",IFERROR(AVERAGEIFS(DATOS!$K$2:$K$20000,DATOS!$A$2:$A$20000,Y86,DATOS!$G$2:$G$20000,CONFIG_METADATA!$B$4,DATOS!$I$2:$I$20000,"Música de Cámara"),"")))</f>
        <v/>
      </c>
      <c r="AC86" t="str">
        <f>IF(Y86="","",IF(Y86="[FÓRMULA MANUAL]","",IFERROR(SUMPRODUCT((DATOS!$A$2:$A$20000=Y86)*(DATOS!$G$2:$G$20000=CONFIG_METADATA!$B$4)*(COUNTIF(CONFIG_ASIGNATURAS!$B$7:$B$27,DATOS!$I$2:$I$20000)&gt;0)*(DATOS!$K$2:$K$20000))/SUMPRODUCT((DATOS!$A$2:$A$20000=Y86)*(DATOS!$G$2:$G$20000=CONFIG_METADATA!$B$4)*(COUNTIF(CONFIG_ASIGNATURAS!$B$7:$B$27,DATOS!$I$2:$I$20000)&gt;0)*1),"")))</f>
        <v/>
      </c>
      <c r="AF86" t="str">
        <f>IF(AE86="","",IF(AE86="[FÓRMULA MANUAL]","",IFERROR(AVERAGEIFS(DATOS!$K$2:$K$20000,DATOS!$A$2:$A$20000,AE86,DATOS!$G$2:$G$20000,CONFIG_METADATA!$B$4,DATOS!$I$2:$I$20000,"Análisis"),"")))</f>
        <v/>
      </c>
      <c r="AG86" t="str">
        <f>IF(AE86="","",IF(AE86="[FÓRMULA MANUAL]","",IFERROR(AVERAGEIFS(DATOS!$K$2:$K$20000,DATOS!$A$2:$A$20000,AE86,DATOS!$G$2:$G$20000,CONFIG_METADATA!$B$4,DATOS!$I$2:$I$20000,"Orquesta/Banda/Conjunto"),"")))</f>
        <v/>
      </c>
      <c r="AH86" t="str">
        <f>IF(AE86="","",IF(AE86="[FÓRMULA MANUAL]","",IFERROR(AVERAGEIFS(DATOS!$K$2:$K$20000,DATOS!$A$2:$A$20000,AE86,DATOS!$G$2:$G$20000,CONFIG_METADATA!$B$4,DATOS!$I$2:$I$20000,"Música de Cámara"),"")))</f>
        <v/>
      </c>
      <c r="AI86" t="str">
        <f>IF(AE86="","",IF(AE86="[FÓRMULA MANUAL]","",IFERROR(SUMPRODUCT((DATOS!$A$2:$A$20000=AE86)*(DATOS!$G$2:$G$20000=CONFIG_METADATA!$B$4)*(COUNTIF(CONFIG_ASIGNATURAS!$B$7:$B$27,DATOS!$I$2:$I$20000)&gt;0)*(DATOS!$K$2:$K$20000))/SUMPRODUCT((DATOS!$A$2:$A$20000=AE86)*(DATOS!$G$2:$G$20000=CONFIG_METADATA!$B$4)*(COUNTIF(CONFIG_ASIGNATURAS!$B$7:$B$27,DATOS!$I$2:$I$20000)&gt;0)*1),"")))</f>
        <v/>
      </c>
    </row>
    <row r="87" spans="2:35" x14ac:dyDescent="0.2">
      <c r="B87" t="str">
        <f>IF(A87="","",IF(A87="[FÓRMULA MANUAL]","",IFERROR(AVERAGEIFS(DATOS!$K$2:$K$20000,DATOS!$A$2:$A$20000,A87,DATOS!$G$2:$G$20000,CONFIG_METADATA!$B$4,DATOS!$I$2:$I$20000,"Lenguaje Musical"),"")))</f>
        <v/>
      </c>
      <c r="C87" t="str">
        <f>IF(A87="","",IF(A87="[FÓRMULA MANUAL]","",IFERROR(AVERAGEIFS(DATOS!$K$2:$K$20000,DATOS!$A$2:$A$20000,A87,DATOS!$G$2:$G$20000,CONFIG_METADATA!$B$4,DATOS!$I$2:$I$20000,"Orquesta/Banda/Conjunto"),"")))</f>
        <v/>
      </c>
      <c r="D87" t="str">
        <f>IF(A87="","",IF(A87="[FÓRMULA MANUAL]","",IFERROR(AVERAGEIFS(DATOS!$K$2:$K$20000,DATOS!$A$2:$A$20000,A87,DATOS!$G$2:$G$20000,CONFIG_METADATA!$B$4,DATOS!$I$2:$I$20000,"Conjunto"),"")))</f>
        <v/>
      </c>
      <c r="E87" t="str">
        <f>IF(A87="","",IF(A87="[FÓRMULA MANUAL]","",IFERROR(SUMPRODUCT((DATOS!$A$2:$A$20000=A87)*(DATOS!$G$2:$G$20000=CONFIG_METADATA!$B$4)*(COUNTIF(CONFIG_ASIGNATURAS!$B$7:$B$27,DATOS!$I$2:$I$20000)&gt;0)*(DATOS!$K$2:$K$20000))/SUMPRODUCT((DATOS!$A$2:$A$20000=A87)*(DATOS!$G$2:$G$20000=CONFIG_METADATA!$B$4)*(COUNTIF(CONFIG_ASIGNATURAS!$B$7:$B$27,DATOS!$I$2:$I$20000)&gt;0)*1),"")))</f>
        <v/>
      </c>
      <c r="H87" t="str">
        <f>IF(G87="","",IF(G87="[FÓRMULA MANUAL]","",IFERROR(AVERAGEIFS(DATOS!$K$2:$K$20000,DATOS!$A$2:$A$20000,G87,DATOS!$G$2:$G$20000,CONFIG_METADATA!$B$4,DATOS!$I$2:$I$20000,"Lenguaje Musical"),"")))</f>
        <v/>
      </c>
      <c r="I87" t="str">
        <f>IF(G87="","",IF(G87="[FÓRMULA MANUAL]","",IFERROR(AVERAGEIFS(DATOS!$K$2:$K$20000,DATOS!$A$2:$A$20000,G87,DATOS!$G$2:$G$20000,CONFIG_METADATA!$B$4,DATOS!$I$2:$I$20000,"Orquesta/Banda/Conjunto"),"")))</f>
        <v/>
      </c>
      <c r="J87" t="str">
        <f>IF(G87="","",IF(G87="[FÓRMULA MANUAL]","",IFERROR(AVERAGEIFS(DATOS!$K$2:$K$20000,DATOS!$A$2:$A$20000,G87,DATOS!$G$2:$G$20000,CONFIG_METADATA!$B$4,DATOS!$I$2:$I$20000,"Conjunto"),"")))</f>
        <v/>
      </c>
      <c r="K87" t="str">
        <f>IF(G87="","",IF(G87="[FÓRMULA MANUAL]","",IFERROR(SUMPRODUCT((DATOS!$A$2:$A$20000=G87)*(DATOS!$G$2:$G$20000=CONFIG_METADATA!$B$4)*(COUNTIF(CONFIG_ASIGNATURAS!$B$7:$B$27,DATOS!$I$2:$I$20000)&gt;0)*(DATOS!$K$2:$K$20000))/SUMPRODUCT((DATOS!$A$2:$A$20000=G87)*(DATOS!$G$2:$G$20000=CONFIG_METADATA!$B$4)*(COUNTIF(CONFIG_ASIGNATURAS!$B$7:$B$27,DATOS!$I$2:$I$20000)&gt;0)*1),"")))</f>
        <v/>
      </c>
      <c r="N87" t="str">
        <f>IF(M87="","",IF(M87="[FÓRMULA MANUAL]","",IFERROR(AVERAGEIFS(DATOS!$K$2:$K$20000,DATOS!$A$2:$A$20000,M87,DATOS!$G$2:$G$20000,CONFIG_METADATA!$B$4,DATOS!$I$2:$I$20000,"Armonía"),"")))</f>
        <v/>
      </c>
      <c r="O87" t="str">
        <f>IF(M87="","",IF(M87="[FÓRMULA MANUAL]","",IFERROR(AVERAGEIFS(DATOS!$K$2:$K$20000,DATOS!$A$2:$A$20000,M87,DATOS!$G$2:$G$20000,CONFIG_METADATA!$B$4,DATOS!$I$2:$I$20000,"Orquesta/Banda/Conjunto"),"")))</f>
        <v/>
      </c>
      <c r="P87" t="str">
        <f>IF(M87="","",IF(M87="[FÓRMULA MANUAL]","",IFERROR(AVERAGEIFS(DATOS!$K$2:$K$20000,DATOS!$A$2:$A$20000,M87,DATOS!$G$2:$G$20000,CONFIG_METADATA!$B$4,DATOS!$I$2:$I$20000,"Música de Cámara"),"")))</f>
        <v/>
      </c>
      <c r="Q87" t="str">
        <f>IF(M87="","",IF(M87="[FÓRMULA MANUAL]","",IFERROR(SUMPRODUCT((DATOS!$A$2:$A$20000=M87)*(DATOS!$G$2:$G$20000=CONFIG_METADATA!$B$4)*(COUNTIF(CONFIG_ASIGNATURAS!$B$7:$B$27,DATOS!$I$2:$I$20000)&gt;0)*(DATOS!$K$2:$K$20000))/SUMPRODUCT((DATOS!$A$2:$A$20000=M87)*(DATOS!$G$2:$G$20000=CONFIG_METADATA!$B$4)*(COUNTIF(CONFIG_ASIGNATURAS!$B$7:$B$27,DATOS!$I$2:$I$20000)&gt;0)*1),"")))</f>
        <v/>
      </c>
      <c r="T87" t="str">
        <f>IF(S87="","",IF(S87="[FÓRMULA MANUAL]","",IFERROR(AVERAGEIFS(DATOS!$K$2:$K$20000,DATOS!$A$2:$A$20000,S87,DATOS!$G$2:$G$20000,CONFIG_METADATA!$B$4,DATOS!$I$2:$I$20000,"Armonía"),"")))</f>
        <v/>
      </c>
      <c r="U87" t="str">
        <f>IF(S87="","",IF(S87="[FÓRMULA MANUAL]","",IFERROR(AVERAGEIFS(DATOS!$K$2:$K$20000,DATOS!$A$2:$A$20000,S87,DATOS!$G$2:$G$20000,CONFIG_METADATA!$B$4,DATOS!$I$2:$I$20000,"Orquesta/Banda/Conjunto"),"")))</f>
        <v/>
      </c>
      <c r="V87" t="str">
        <f>IF(S87="","",IF(S87="[FÓRMULA MANUAL]","",IFERROR(AVERAGEIFS(DATOS!$K$2:$K$20000,DATOS!$A$2:$A$20000,S87,DATOS!$G$2:$G$20000,CONFIG_METADATA!$B$4,DATOS!$I$2:$I$20000,"Música de Cámara"),"")))</f>
        <v/>
      </c>
      <c r="W87" t="str">
        <f>IF(S87="","",IF(S87="[FÓRMULA MANUAL]","",IFERROR(SUMPRODUCT((DATOS!$A$2:$A$20000=S87)*(DATOS!$G$2:$G$20000=CONFIG_METADATA!$B$4)*(COUNTIF(CONFIG_ASIGNATURAS!$B$7:$B$27,DATOS!$I$2:$I$20000)&gt;0)*(DATOS!$K$2:$K$20000))/SUMPRODUCT((DATOS!$A$2:$A$20000=S87)*(DATOS!$G$2:$G$20000=CONFIG_METADATA!$B$4)*(COUNTIF(CONFIG_ASIGNATURAS!$B$7:$B$27,DATOS!$I$2:$I$20000)&gt;0)*1),"")))</f>
        <v/>
      </c>
      <c r="Z87" t="str">
        <f>IF(Y87="","",IF(Y87="[FÓRMULA MANUAL]","",IFERROR(AVERAGEIFS(DATOS!$K$2:$K$20000,DATOS!$A$2:$A$20000,Y87,DATOS!$G$2:$G$20000,CONFIG_METADATA!$B$4,DATOS!$I$2:$I$20000,"Análisis"),"")))</f>
        <v/>
      </c>
      <c r="AA87" t="str">
        <f>IF(Y87="","",IF(Y87="[FÓRMULA MANUAL]","",IFERROR(AVERAGEIFS(DATOS!$K$2:$K$20000,DATOS!$A$2:$A$20000,Y87,DATOS!$G$2:$G$20000,CONFIG_METADATA!$B$4,DATOS!$I$2:$I$20000,"Orquesta/Banda/Conjunto"),"")))</f>
        <v/>
      </c>
      <c r="AB87" t="str">
        <f>IF(Y87="","",IF(Y87="[FÓRMULA MANUAL]","",IFERROR(AVERAGEIFS(DATOS!$K$2:$K$20000,DATOS!$A$2:$A$20000,Y87,DATOS!$G$2:$G$20000,CONFIG_METADATA!$B$4,DATOS!$I$2:$I$20000,"Música de Cámara"),"")))</f>
        <v/>
      </c>
      <c r="AC87" t="str">
        <f>IF(Y87="","",IF(Y87="[FÓRMULA MANUAL]","",IFERROR(SUMPRODUCT((DATOS!$A$2:$A$20000=Y87)*(DATOS!$G$2:$G$20000=CONFIG_METADATA!$B$4)*(COUNTIF(CONFIG_ASIGNATURAS!$B$7:$B$27,DATOS!$I$2:$I$20000)&gt;0)*(DATOS!$K$2:$K$20000))/SUMPRODUCT((DATOS!$A$2:$A$20000=Y87)*(DATOS!$G$2:$G$20000=CONFIG_METADATA!$B$4)*(COUNTIF(CONFIG_ASIGNATURAS!$B$7:$B$27,DATOS!$I$2:$I$20000)&gt;0)*1),"")))</f>
        <v/>
      </c>
      <c r="AF87" t="str">
        <f>IF(AE87="","",IF(AE87="[FÓRMULA MANUAL]","",IFERROR(AVERAGEIFS(DATOS!$K$2:$K$20000,DATOS!$A$2:$A$20000,AE87,DATOS!$G$2:$G$20000,CONFIG_METADATA!$B$4,DATOS!$I$2:$I$20000,"Análisis"),"")))</f>
        <v/>
      </c>
      <c r="AG87" t="str">
        <f>IF(AE87="","",IF(AE87="[FÓRMULA MANUAL]","",IFERROR(AVERAGEIFS(DATOS!$K$2:$K$20000,DATOS!$A$2:$A$20000,AE87,DATOS!$G$2:$G$20000,CONFIG_METADATA!$B$4,DATOS!$I$2:$I$20000,"Orquesta/Banda/Conjunto"),"")))</f>
        <v/>
      </c>
      <c r="AH87" t="str">
        <f>IF(AE87="","",IF(AE87="[FÓRMULA MANUAL]","",IFERROR(AVERAGEIFS(DATOS!$K$2:$K$20000,DATOS!$A$2:$A$20000,AE87,DATOS!$G$2:$G$20000,CONFIG_METADATA!$B$4,DATOS!$I$2:$I$20000,"Música de Cámara"),"")))</f>
        <v/>
      </c>
      <c r="AI87" t="str">
        <f>IF(AE87="","",IF(AE87="[FÓRMULA MANUAL]","",IFERROR(SUMPRODUCT((DATOS!$A$2:$A$20000=AE87)*(DATOS!$G$2:$G$20000=CONFIG_METADATA!$B$4)*(COUNTIF(CONFIG_ASIGNATURAS!$B$7:$B$27,DATOS!$I$2:$I$20000)&gt;0)*(DATOS!$K$2:$K$20000))/SUMPRODUCT((DATOS!$A$2:$A$20000=AE87)*(DATOS!$G$2:$G$20000=CONFIG_METADATA!$B$4)*(COUNTIF(CONFIG_ASIGNATURAS!$B$7:$B$27,DATOS!$I$2:$I$20000)&gt;0)*1),"")))</f>
        <v/>
      </c>
    </row>
    <row r="88" spans="2:35" x14ac:dyDescent="0.2">
      <c r="B88" t="str">
        <f>IF(A88="","",IF(A88="[FÓRMULA MANUAL]","",IFERROR(AVERAGEIFS(DATOS!$K$2:$K$20000,DATOS!$A$2:$A$20000,A88,DATOS!$G$2:$G$20000,CONFIG_METADATA!$B$4,DATOS!$I$2:$I$20000,"Lenguaje Musical"),"")))</f>
        <v/>
      </c>
      <c r="C88" t="str">
        <f>IF(A88="","",IF(A88="[FÓRMULA MANUAL]","",IFERROR(AVERAGEIFS(DATOS!$K$2:$K$20000,DATOS!$A$2:$A$20000,A88,DATOS!$G$2:$G$20000,CONFIG_METADATA!$B$4,DATOS!$I$2:$I$20000,"Orquesta/Banda/Conjunto"),"")))</f>
        <v/>
      </c>
      <c r="D88" t="str">
        <f>IF(A88="","",IF(A88="[FÓRMULA MANUAL]","",IFERROR(AVERAGEIFS(DATOS!$K$2:$K$20000,DATOS!$A$2:$A$20000,A88,DATOS!$G$2:$G$20000,CONFIG_METADATA!$B$4,DATOS!$I$2:$I$20000,"Conjunto"),"")))</f>
        <v/>
      </c>
      <c r="E88" t="str">
        <f>IF(A88="","",IF(A88="[FÓRMULA MANUAL]","",IFERROR(SUMPRODUCT((DATOS!$A$2:$A$20000=A88)*(DATOS!$G$2:$G$20000=CONFIG_METADATA!$B$4)*(COUNTIF(CONFIG_ASIGNATURAS!$B$7:$B$27,DATOS!$I$2:$I$20000)&gt;0)*(DATOS!$K$2:$K$20000))/SUMPRODUCT((DATOS!$A$2:$A$20000=A88)*(DATOS!$G$2:$G$20000=CONFIG_METADATA!$B$4)*(COUNTIF(CONFIG_ASIGNATURAS!$B$7:$B$27,DATOS!$I$2:$I$20000)&gt;0)*1),"")))</f>
        <v/>
      </c>
      <c r="H88" t="str">
        <f>IF(G88="","",IF(G88="[FÓRMULA MANUAL]","",IFERROR(AVERAGEIFS(DATOS!$K$2:$K$20000,DATOS!$A$2:$A$20000,G88,DATOS!$G$2:$G$20000,CONFIG_METADATA!$B$4,DATOS!$I$2:$I$20000,"Lenguaje Musical"),"")))</f>
        <v/>
      </c>
      <c r="I88" t="str">
        <f>IF(G88="","",IF(G88="[FÓRMULA MANUAL]","",IFERROR(AVERAGEIFS(DATOS!$K$2:$K$20000,DATOS!$A$2:$A$20000,G88,DATOS!$G$2:$G$20000,CONFIG_METADATA!$B$4,DATOS!$I$2:$I$20000,"Orquesta/Banda/Conjunto"),"")))</f>
        <v/>
      </c>
      <c r="J88" t="str">
        <f>IF(G88="","",IF(G88="[FÓRMULA MANUAL]","",IFERROR(AVERAGEIFS(DATOS!$K$2:$K$20000,DATOS!$A$2:$A$20000,G88,DATOS!$G$2:$G$20000,CONFIG_METADATA!$B$4,DATOS!$I$2:$I$20000,"Conjunto"),"")))</f>
        <v/>
      </c>
      <c r="K88" t="str">
        <f>IF(G88="","",IF(G88="[FÓRMULA MANUAL]","",IFERROR(SUMPRODUCT((DATOS!$A$2:$A$20000=G88)*(DATOS!$G$2:$G$20000=CONFIG_METADATA!$B$4)*(COUNTIF(CONFIG_ASIGNATURAS!$B$7:$B$27,DATOS!$I$2:$I$20000)&gt;0)*(DATOS!$K$2:$K$20000))/SUMPRODUCT((DATOS!$A$2:$A$20000=G88)*(DATOS!$G$2:$G$20000=CONFIG_METADATA!$B$4)*(COUNTIF(CONFIG_ASIGNATURAS!$B$7:$B$27,DATOS!$I$2:$I$20000)&gt;0)*1),"")))</f>
        <v/>
      </c>
      <c r="N88" t="str">
        <f>IF(M88="","",IF(M88="[FÓRMULA MANUAL]","",IFERROR(AVERAGEIFS(DATOS!$K$2:$K$20000,DATOS!$A$2:$A$20000,M88,DATOS!$G$2:$G$20000,CONFIG_METADATA!$B$4,DATOS!$I$2:$I$20000,"Armonía"),"")))</f>
        <v/>
      </c>
      <c r="O88" t="str">
        <f>IF(M88="","",IF(M88="[FÓRMULA MANUAL]","",IFERROR(AVERAGEIFS(DATOS!$K$2:$K$20000,DATOS!$A$2:$A$20000,M88,DATOS!$G$2:$G$20000,CONFIG_METADATA!$B$4,DATOS!$I$2:$I$20000,"Orquesta/Banda/Conjunto"),"")))</f>
        <v/>
      </c>
      <c r="P88" t="str">
        <f>IF(M88="","",IF(M88="[FÓRMULA MANUAL]","",IFERROR(AVERAGEIFS(DATOS!$K$2:$K$20000,DATOS!$A$2:$A$20000,M88,DATOS!$G$2:$G$20000,CONFIG_METADATA!$B$4,DATOS!$I$2:$I$20000,"Música de Cámara"),"")))</f>
        <v/>
      </c>
      <c r="Q88" t="str">
        <f>IF(M88="","",IF(M88="[FÓRMULA MANUAL]","",IFERROR(SUMPRODUCT((DATOS!$A$2:$A$20000=M88)*(DATOS!$G$2:$G$20000=CONFIG_METADATA!$B$4)*(COUNTIF(CONFIG_ASIGNATURAS!$B$7:$B$27,DATOS!$I$2:$I$20000)&gt;0)*(DATOS!$K$2:$K$20000))/SUMPRODUCT((DATOS!$A$2:$A$20000=M88)*(DATOS!$G$2:$G$20000=CONFIG_METADATA!$B$4)*(COUNTIF(CONFIG_ASIGNATURAS!$B$7:$B$27,DATOS!$I$2:$I$20000)&gt;0)*1),"")))</f>
        <v/>
      </c>
      <c r="T88" t="str">
        <f>IF(S88="","",IF(S88="[FÓRMULA MANUAL]","",IFERROR(AVERAGEIFS(DATOS!$K$2:$K$20000,DATOS!$A$2:$A$20000,S88,DATOS!$G$2:$G$20000,CONFIG_METADATA!$B$4,DATOS!$I$2:$I$20000,"Armonía"),"")))</f>
        <v/>
      </c>
      <c r="U88" t="str">
        <f>IF(S88="","",IF(S88="[FÓRMULA MANUAL]","",IFERROR(AVERAGEIFS(DATOS!$K$2:$K$20000,DATOS!$A$2:$A$20000,S88,DATOS!$G$2:$G$20000,CONFIG_METADATA!$B$4,DATOS!$I$2:$I$20000,"Orquesta/Banda/Conjunto"),"")))</f>
        <v/>
      </c>
      <c r="V88" t="str">
        <f>IF(S88="","",IF(S88="[FÓRMULA MANUAL]","",IFERROR(AVERAGEIFS(DATOS!$K$2:$K$20000,DATOS!$A$2:$A$20000,S88,DATOS!$G$2:$G$20000,CONFIG_METADATA!$B$4,DATOS!$I$2:$I$20000,"Música de Cámara"),"")))</f>
        <v/>
      </c>
      <c r="W88" t="str">
        <f>IF(S88="","",IF(S88="[FÓRMULA MANUAL]","",IFERROR(SUMPRODUCT((DATOS!$A$2:$A$20000=S88)*(DATOS!$G$2:$G$20000=CONFIG_METADATA!$B$4)*(COUNTIF(CONFIG_ASIGNATURAS!$B$7:$B$27,DATOS!$I$2:$I$20000)&gt;0)*(DATOS!$K$2:$K$20000))/SUMPRODUCT((DATOS!$A$2:$A$20000=S88)*(DATOS!$G$2:$G$20000=CONFIG_METADATA!$B$4)*(COUNTIF(CONFIG_ASIGNATURAS!$B$7:$B$27,DATOS!$I$2:$I$20000)&gt;0)*1),"")))</f>
        <v/>
      </c>
      <c r="Z88" t="str">
        <f>IF(Y88="","",IF(Y88="[FÓRMULA MANUAL]","",IFERROR(AVERAGEIFS(DATOS!$K$2:$K$20000,DATOS!$A$2:$A$20000,Y88,DATOS!$G$2:$G$20000,CONFIG_METADATA!$B$4,DATOS!$I$2:$I$20000,"Análisis"),"")))</f>
        <v/>
      </c>
      <c r="AA88" t="str">
        <f>IF(Y88="","",IF(Y88="[FÓRMULA MANUAL]","",IFERROR(AVERAGEIFS(DATOS!$K$2:$K$20000,DATOS!$A$2:$A$20000,Y88,DATOS!$G$2:$G$20000,CONFIG_METADATA!$B$4,DATOS!$I$2:$I$20000,"Orquesta/Banda/Conjunto"),"")))</f>
        <v/>
      </c>
      <c r="AB88" t="str">
        <f>IF(Y88="","",IF(Y88="[FÓRMULA MANUAL]","",IFERROR(AVERAGEIFS(DATOS!$K$2:$K$20000,DATOS!$A$2:$A$20000,Y88,DATOS!$G$2:$G$20000,CONFIG_METADATA!$B$4,DATOS!$I$2:$I$20000,"Música de Cámara"),"")))</f>
        <v/>
      </c>
      <c r="AC88" t="str">
        <f>IF(Y88="","",IF(Y88="[FÓRMULA MANUAL]","",IFERROR(SUMPRODUCT((DATOS!$A$2:$A$20000=Y88)*(DATOS!$G$2:$G$20000=CONFIG_METADATA!$B$4)*(COUNTIF(CONFIG_ASIGNATURAS!$B$7:$B$27,DATOS!$I$2:$I$20000)&gt;0)*(DATOS!$K$2:$K$20000))/SUMPRODUCT((DATOS!$A$2:$A$20000=Y88)*(DATOS!$G$2:$G$20000=CONFIG_METADATA!$B$4)*(COUNTIF(CONFIG_ASIGNATURAS!$B$7:$B$27,DATOS!$I$2:$I$20000)&gt;0)*1),"")))</f>
        <v/>
      </c>
      <c r="AF88" t="str">
        <f>IF(AE88="","",IF(AE88="[FÓRMULA MANUAL]","",IFERROR(AVERAGEIFS(DATOS!$K$2:$K$20000,DATOS!$A$2:$A$20000,AE88,DATOS!$G$2:$G$20000,CONFIG_METADATA!$B$4,DATOS!$I$2:$I$20000,"Análisis"),"")))</f>
        <v/>
      </c>
      <c r="AG88" t="str">
        <f>IF(AE88="","",IF(AE88="[FÓRMULA MANUAL]","",IFERROR(AVERAGEIFS(DATOS!$K$2:$K$20000,DATOS!$A$2:$A$20000,AE88,DATOS!$G$2:$G$20000,CONFIG_METADATA!$B$4,DATOS!$I$2:$I$20000,"Orquesta/Banda/Conjunto"),"")))</f>
        <v/>
      </c>
      <c r="AH88" t="str">
        <f>IF(AE88="","",IF(AE88="[FÓRMULA MANUAL]","",IFERROR(AVERAGEIFS(DATOS!$K$2:$K$20000,DATOS!$A$2:$A$20000,AE88,DATOS!$G$2:$G$20000,CONFIG_METADATA!$B$4,DATOS!$I$2:$I$20000,"Música de Cámara"),"")))</f>
        <v/>
      </c>
      <c r="AI88" t="str">
        <f>IF(AE88="","",IF(AE88="[FÓRMULA MANUAL]","",IFERROR(SUMPRODUCT((DATOS!$A$2:$A$20000=AE88)*(DATOS!$G$2:$G$20000=CONFIG_METADATA!$B$4)*(COUNTIF(CONFIG_ASIGNATURAS!$B$7:$B$27,DATOS!$I$2:$I$20000)&gt;0)*(DATOS!$K$2:$K$20000))/SUMPRODUCT((DATOS!$A$2:$A$20000=AE88)*(DATOS!$G$2:$G$20000=CONFIG_METADATA!$B$4)*(COUNTIF(CONFIG_ASIGNATURAS!$B$7:$B$27,DATOS!$I$2:$I$20000)&gt;0)*1),"")))</f>
        <v/>
      </c>
    </row>
    <row r="89" spans="2:35" x14ac:dyDescent="0.2">
      <c r="B89" t="str">
        <f>IF(A89="","",IF(A89="[FÓRMULA MANUAL]","",IFERROR(AVERAGEIFS(DATOS!$K$2:$K$20000,DATOS!$A$2:$A$20000,A89,DATOS!$G$2:$G$20000,CONFIG_METADATA!$B$4,DATOS!$I$2:$I$20000,"Lenguaje Musical"),"")))</f>
        <v/>
      </c>
      <c r="C89" t="str">
        <f>IF(A89="","",IF(A89="[FÓRMULA MANUAL]","",IFERROR(AVERAGEIFS(DATOS!$K$2:$K$20000,DATOS!$A$2:$A$20000,A89,DATOS!$G$2:$G$20000,CONFIG_METADATA!$B$4,DATOS!$I$2:$I$20000,"Orquesta/Banda/Conjunto"),"")))</f>
        <v/>
      </c>
      <c r="D89" t="str">
        <f>IF(A89="","",IF(A89="[FÓRMULA MANUAL]","",IFERROR(AVERAGEIFS(DATOS!$K$2:$K$20000,DATOS!$A$2:$A$20000,A89,DATOS!$G$2:$G$20000,CONFIG_METADATA!$B$4,DATOS!$I$2:$I$20000,"Conjunto"),"")))</f>
        <v/>
      </c>
      <c r="E89" t="str">
        <f>IF(A89="","",IF(A89="[FÓRMULA MANUAL]","",IFERROR(SUMPRODUCT((DATOS!$A$2:$A$20000=A89)*(DATOS!$G$2:$G$20000=CONFIG_METADATA!$B$4)*(COUNTIF(CONFIG_ASIGNATURAS!$B$7:$B$27,DATOS!$I$2:$I$20000)&gt;0)*(DATOS!$K$2:$K$20000))/SUMPRODUCT((DATOS!$A$2:$A$20000=A89)*(DATOS!$G$2:$G$20000=CONFIG_METADATA!$B$4)*(COUNTIF(CONFIG_ASIGNATURAS!$B$7:$B$27,DATOS!$I$2:$I$20000)&gt;0)*1),"")))</f>
        <v/>
      </c>
      <c r="H89" t="str">
        <f>IF(G89="","",IF(G89="[FÓRMULA MANUAL]","",IFERROR(AVERAGEIFS(DATOS!$K$2:$K$20000,DATOS!$A$2:$A$20000,G89,DATOS!$G$2:$G$20000,CONFIG_METADATA!$B$4,DATOS!$I$2:$I$20000,"Lenguaje Musical"),"")))</f>
        <v/>
      </c>
      <c r="I89" t="str">
        <f>IF(G89="","",IF(G89="[FÓRMULA MANUAL]","",IFERROR(AVERAGEIFS(DATOS!$K$2:$K$20000,DATOS!$A$2:$A$20000,G89,DATOS!$G$2:$G$20000,CONFIG_METADATA!$B$4,DATOS!$I$2:$I$20000,"Orquesta/Banda/Conjunto"),"")))</f>
        <v/>
      </c>
      <c r="J89" t="str">
        <f>IF(G89="","",IF(G89="[FÓRMULA MANUAL]","",IFERROR(AVERAGEIFS(DATOS!$K$2:$K$20000,DATOS!$A$2:$A$20000,G89,DATOS!$G$2:$G$20000,CONFIG_METADATA!$B$4,DATOS!$I$2:$I$20000,"Conjunto"),"")))</f>
        <v/>
      </c>
      <c r="K89" t="str">
        <f>IF(G89="","",IF(G89="[FÓRMULA MANUAL]","",IFERROR(SUMPRODUCT((DATOS!$A$2:$A$20000=G89)*(DATOS!$G$2:$G$20000=CONFIG_METADATA!$B$4)*(COUNTIF(CONFIG_ASIGNATURAS!$B$7:$B$27,DATOS!$I$2:$I$20000)&gt;0)*(DATOS!$K$2:$K$20000))/SUMPRODUCT((DATOS!$A$2:$A$20000=G89)*(DATOS!$G$2:$G$20000=CONFIG_METADATA!$B$4)*(COUNTIF(CONFIG_ASIGNATURAS!$B$7:$B$27,DATOS!$I$2:$I$20000)&gt;0)*1),"")))</f>
        <v/>
      </c>
      <c r="N89" t="str">
        <f>IF(M89="","",IF(M89="[FÓRMULA MANUAL]","",IFERROR(AVERAGEIFS(DATOS!$K$2:$K$20000,DATOS!$A$2:$A$20000,M89,DATOS!$G$2:$G$20000,CONFIG_METADATA!$B$4,DATOS!$I$2:$I$20000,"Armonía"),"")))</f>
        <v/>
      </c>
      <c r="O89" t="str">
        <f>IF(M89="","",IF(M89="[FÓRMULA MANUAL]","",IFERROR(AVERAGEIFS(DATOS!$K$2:$K$20000,DATOS!$A$2:$A$20000,M89,DATOS!$G$2:$G$20000,CONFIG_METADATA!$B$4,DATOS!$I$2:$I$20000,"Orquesta/Banda/Conjunto"),"")))</f>
        <v/>
      </c>
      <c r="P89" t="str">
        <f>IF(M89="","",IF(M89="[FÓRMULA MANUAL]","",IFERROR(AVERAGEIFS(DATOS!$K$2:$K$20000,DATOS!$A$2:$A$20000,M89,DATOS!$G$2:$G$20000,CONFIG_METADATA!$B$4,DATOS!$I$2:$I$20000,"Música de Cámara"),"")))</f>
        <v/>
      </c>
      <c r="Q89" t="str">
        <f>IF(M89="","",IF(M89="[FÓRMULA MANUAL]","",IFERROR(SUMPRODUCT((DATOS!$A$2:$A$20000=M89)*(DATOS!$G$2:$G$20000=CONFIG_METADATA!$B$4)*(COUNTIF(CONFIG_ASIGNATURAS!$B$7:$B$27,DATOS!$I$2:$I$20000)&gt;0)*(DATOS!$K$2:$K$20000))/SUMPRODUCT((DATOS!$A$2:$A$20000=M89)*(DATOS!$G$2:$G$20000=CONFIG_METADATA!$B$4)*(COUNTIF(CONFIG_ASIGNATURAS!$B$7:$B$27,DATOS!$I$2:$I$20000)&gt;0)*1),"")))</f>
        <v/>
      </c>
      <c r="T89" t="str">
        <f>IF(S89="","",IF(S89="[FÓRMULA MANUAL]","",IFERROR(AVERAGEIFS(DATOS!$K$2:$K$20000,DATOS!$A$2:$A$20000,S89,DATOS!$G$2:$G$20000,CONFIG_METADATA!$B$4,DATOS!$I$2:$I$20000,"Armonía"),"")))</f>
        <v/>
      </c>
      <c r="U89" t="str">
        <f>IF(S89="","",IF(S89="[FÓRMULA MANUAL]","",IFERROR(AVERAGEIFS(DATOS!$K$2:$K$20000,DATOS!$A$2:$A$20000,S89,DATOS!$G$2:$G$20000,CONFIG_METADATA!$B$4,DATOS!$I$2:$I$20000,"Orquesta/Banda/Conjunto"),"")))</f>
        <v/>
      </c>
      <c r="V89" t="str">
        <f>IF(S89="","",IF(S89="[FÓRMULA MANUAL]","",IFERROR(AVERAGEIFS(DATOS!$K$2:$K$20000,DATOS!$A$2:$A$20000,S89,DATOS!$G$2:$G$20000,CONFIG_METADATA!$B$4,DATOS!$I$2:$I$20000,"Música de Cámara"),"")))</f>
        <v/>
      </c>
      <c r="W89" t="str">
        <f>IF(S89="","",IF(S89="[FÓRMULA MANUAL]","",IFERROR(SUMPRODUCT((DATOS!$A$2:$A$20000=S89)*(DATOS!$G$2:$G$20000=CONFIG_METADATA!$B$4)*(COUNTIF(CONFIG_ASIGNATURAS!$B$7:$B$27,DATOS!$I$2:$I$20000)&gt;0)*(DATOS!$K$2:$K$20000))/SUMPRODUCT((DATOS!$A$2:$A$20000=S89)*(DATOS!$G$2:$G$20000=CONFIG_METADATA!$B$4)*(COUNTIF(CONFIG_ASIGNATURAS!$B$7:$B$27,DATOS!$I$2:$I$20000)&gt;0)*1),"")))</f>
        <v/>
      </c>
      <c r="Z89" t="str">
        <f>IF(Y89="","",IF(Y89="[FÓRMULA MANUAL]","",IFERROR(AVERAGEIFS(DATOS!$K$2:$K$20000,DATOS!$A$2:$A$20000,Y89,DATOS!$G$2:$G$20000,CONFIG_METADATA!$B$4,DATOS!$I$2:$I$20000,"Análisis"),"")))</f>
        <v/>
      </c>
      <c r="AA89" t="str">
        <f>IF(Y89="","",IF(Y89="[FÓRMULA MANUAL]","",IFERROR(AVERAGEIFS(DATOS!$K$2:$K$20000,DATOS!$A$2:$A$20000,Y89,DATOS!$G$2:$G$20000,CONFIG_METADATA!$B$4,DATOS!$I$2:$I$20000,"Orquesta/Banda/Conjunto"),"")))</f>
        <v/>
      </c>
      <c r="AB89" t="str">
        <f>IF(Y89="","",IF(Y89="[FÓRMULA MANUAL]","",IFERROR(AVERAGEIFS(DATOS!$K$2:$K$20000,DATOS!$A$2:$A$20000,Y89,DATOS!$G$2:$G$20000,CONFIG_METADATA!$B$4,DATOS!$I$2:$I$20000,"Música de Cámara"),"")))</f>
        <v/>
      </c>
      <c r="AC89" t="str">
        <f>IF(Y89="","",IF(Y89="[FÓRMULA MANUAL]","",IFERROR(SUMPRODUCT((DATOS!$A$2:$A$20000=Y89)*(DATOS!$G$2:$G$20000=CONFIG_METADATA!$B$4)*(COUNTIF(CONFIG_ASIGNATURAS!$B$7:$B$27,DATOS!$I$2:$I$20000)&gt;0)*(DATOS!$K$2:$K$20000))/SUMPRODUCT((DATOS!$A$2:$A$20000=Y89)*(DATOS!$G$2:$G$20000=CONFIG_METADATA!$B$4)*(COUNTIF(CONFIG_ASIGNATURAS!$B$7:$B$27,DATOS!$I$2:$I$20000)&gt;0)*1),"")))</f>
        <v/>
      </c>
      <c r="AF89" t="str">
        <f>IF(AE89="","",IF(AE89="[FÓRMULA MANUAL]","",IFERROR(AVERAGEIFS(DATOS!$K$2:$K$20000,DATOS!$A$2:$A$20000,AE89,DATOS!$G$2:$G$20000,CONFIG_METADATA!$B$4,DATOS!$I$2:$I$20000,"Análisis"),"")))</f>
        <v/>
      </c>
      <c r="AG89" t="str">
        <f>IF(AE89="","",IF(AE89="[FÓRMULA MANUAL]","",IFERROR(AVERAGEIFS(DATOS!$K$2:$K$20000,DATOS!$A$2:$A$20000,AE89,DATOS!$G$2:$G$20000,CONFIG_METADATA!$B$4,DATOS!$I$2:$I$20000,"Orquesta/Banda/Conjunto"),"")))</f>
        <v/>
      </c>
      <c r="AH89" t="str">
        <f>IF(AE89="","",IF(AE89="[FÓRMULA MANUAL]","",IFERROR(AVERAGEIFS(DATOS!$K$2:$K$20000,DATOS!$A$2:$A$20000,AE89,DATOS!$G$2:$G$20000,CONFIG_METADATA!$B$4,DATOS!$I$2:$I$20000,"Música de Cámara"),"")))</f>
        <v/>
      </c>
      <c r="AI89" t="str">
        <f>IF(AE89="","",IF(AE89="[FÓRMULA MANUAL]","",IFERROR(SUMPRODUCT((DATOS!$A$2:$A$20000=AE89)*(DATOS!$G$2:$G$20000=CONFIG_METADATA!$B$4)*(COUNTIF(CONFIG_ASIGNATURAS!$B$7:$B$27,DATOS!$I$2:$I$20000)&gt;0)*(DATOS!$K$2:$K$20000))/SUMPRODUCT((DATOS!$A$2:$A$20000=AE89)*(DATOS!$G$2:$G$20000=CONFIG_METADATA!$B$4)*(COUNTIF(CONFIG_ASIGNATURAS!$B$7:$B$27,DATOS!$I$2:$I$20000)&gt;0)*1),"")))</f>
        <v/>
      </c>
    </row>
    <row r="90" spans="2:35" x14ac:dyDescent="0.2">
      <c r="B90" t="str">
        <f>IF(A90="","",IF(A90="[FÓRMULA MANUAL]","",IFERROR(AVERAGEIFS(DATOS!$K$2:$K$20000,DATOS!$A$2:$A$20000,A90,DATOS!$G$2:$G$20000,CONFIG_METADATA!$B$4,DATOS!$I$2:$I$20000,"Lenguaje Musical"),"")))</f>
        <v/>
      </c>
      <c r="C90" t="str">
        <f>IF(A90="","",IF(A90="[FÓRMULA MANUAL]","",IFERROR(AVERAGEIFS(DATOS!$K$2:$K$20000,DATOS!$A$2:$A$20000,A90,DATOS!$G$2:$G$20000,CONFIG_METADATA!$B$4,DATOS!$I$2:$I$20000,"Orquesta/Banda/Conjunto"),"")))</f>
        <v/>
      </c>
      <c r="D90" t="str">
        <f>IF(A90="","",IF(A90="[FÓRMULA MANUAL]","",IFERROR(AVERAGEIFS(DATOS!$K$2:$K$20000,DATOS!$A$2:$A$20000,A90,DATOS!$G$2:$G$20000,CONFIG_METADATA!$B$4,DATOS!$I$2:$I$20000,"Conjunto"),"")))</f>
        <v/>
      </c>
      <c r="E90" t="str">
        <f>IF(A90="","",IF(A90="[FÓRMULA MANUAL]","",IFERROR(SUMPRODUCT((DATOS!$A$2:$A$20000=A90)*(DATOS!$G$2:$G$20000=CONFIG_METADATA!$B$4)*(COUNTIF(CONFIG_ASIGNATURAS!$B$7:$B$27,DATOS!$I$2:$I$20000)&gt;0)*(DATOS!$K$2:$K$20000))/SUMPRODUCT((DATOS!$A$2:$A$20000=A90)*(DATOS!$G$2:$G$20000=CONFIG_METADATA!$B$4)*(COUNTIF(CONFIG_ASIGNATURAS!$B$7:$B$27,DATOS!$I$2:$I$20000)&gt;0)*1),"")))</f>
        <v/>
      </c>
      <c r="H90" t="str">
        <f>IF(G90="","",IF(G90="[FÓRMULA MANUAL]","",IFERROR(AVERAGEIFS(DATOS!$K$2:$K$20000,DATOS!$A$2:$A$20000,G90,DATOS!$G$2:$G$20000,CONFIG_METADATA!$B$4,DATOS!$I$2:$I$20000,"Lenguaje Musical"),"")))</f>
        <v/>
      </c>
      <c r="I90" t="str">
        <f>IF(G90="","",IF(G90="[FÓRMULA MANUAL]","",IFERROR(AVERAGEIFS(DATOS!$K$2:$K$20000,DATOS!$A$2:$A$20000,G90,DATOS!$G$2:$G$20000,CONFIG_METADATA!$B$4,DATOS!$I$2:$I$20000,"Orquesta/Banda/Conjunto"),"")))</f>
        <v/>
      </c>
      <c r="J90" t="str">
        <f>IF(G90="","",IF(G90="[FÓRMULA MANUAL]","",IFERROR(AVERAGEIFS(DATOS!$K$2:$K$20000,DATOS!$A$2:$A$20000,G90,DATOS!$G$2:$G$20000,CONFIG_METADATA!$B$4,DATOS!$I$2:$I$20000,"Conjunto"),"")))</f>
        <v/>
      </c>
      <c r="K90" t="str">
        <f>IF(G90="","",IF(G90="[FÓRMULA MANUAL]","",IFERROR(SUMPRODUCT((DATOS!$A$2:$A$20000=G90)*(DATOS!$G$2:$G$20000=CONFIG_METADATA!$B$4)*(COUNTIF(CONFIG_ASIGNATURAS!$B$7:$B$27,DATOS!$I$2:$I$20000)&gt;0)*(DATOS!$K$2:$K$20000))/SUMPRODUCT((DATOS!$A$2:$A$20000=G90)*(DATOS!$G$2:$G$20000=CONFIG_METADATA!$B$4)*(COUNTIF(CONFIG_ASIGNATURAS!$B$7:$B$27,DATOS!$I$2:$I$20000)&gt;0)*1),"")))</f>
        <v/>
      </c>
      <c r="N90" t="str">
        <f>IF(M90="","",IF(M90="[FÓRMULA MANUAL]","",IFERROR(AVERAGEIFS(DATOS!$K$2:$K$20000,DATOS!$A$2:$A$20000,M90,DATOS!$G$2:$G$20000,CONFIG_METADATA!$B$4,DATOS!$I$2:$I$20000,"Armonía"),"")))</f>
        <v/>
      </c>
      <c r="O90" t="str">
        <f>IF(M90="","",IF(M90="[FÓRMULA MANUAL]","",IFERROR(AVERAGEIFS(DATOS!$K$2:$K$20000,DATOS!$A$2:$A$20000,M90,DATOS!$G$2:$G$20000,CONFIG_METADATA!$B$4,DATOS!$I$2:$I$20000,"Orquesta/Banda/Conjunto"),"")))</f>
        <v/>
      </c>
      <c r="P90" t="str">
        <f>IF(M90="","",IF(M90="[FÓRMULA MANUAL]","",IFERROR(AVERAGEIFS(DATOS!$K$2:$K$20000,DATOS!$A$2:$A$20000,M90,DATOS!$G$2:$G$20000,CONFIG_METADATA!$B$4,DATOS!$I$2:$I$20000,"Música de Cámara"),"")))</f>
        <v/>
      </c>
      <c r="Q90" t="str">
        <f>IF(M90="","",IF(M90="[FÓRMULA MANUAL]","",IFERROR(SUMPRODUCT((DATOS!$A$2:$A$20000=M90)*(DATOS!$G$2:$G$20000=CONFIG_METADATA!$B$4)*(COUNTIF(CONFIG_ASIGNATURAS!$B$7:$B$27,DATOS!$I$2:$I$20000)&gt;0)*(DATOS!$K$2:$K$20000))/SUMPRODUCT((DATOS!$A$2:$A$20000=M90)*(DATOS!$G$2:$G$20000=CONFIG_METADATA!$B$4)*(COUNTIF(CONFIG_ASIGNATURAS!$B$7:$B$27,DATOS!$I$2:$I$20000)&gt;0)*1),"")))</f>
        <v/>
      </c>
      <c r="T90" t="str">
        <f>IF(S90="","",IF(S90="[FÓRMULA MANUAL]","",IFERROR(AVERAGEIFS(DATOS!$K$2:$K$20000,DATOS!$A$2:$A$20000,S90,DATOS!$G$2:$G$20000,CONFIG_METADATA!$B$4,DATOS!$I$2:$I$20000,"Armonía"),"")))</f>
        <v/>
      </c>
      <c r="U90" t="str">
        <f>IF(S90="","",IF(S90="[FÓRMULA MANUAL]","",IFERROR(AVERAGEIFS(DATOS!$K$2:$K$20000,DATOS!$A$2:$A$20000,S90,DATOS!$G$2:$G$20000,CONFIG_METADATA!$B$4,DATOS!$I$2:$I$20000,"Orquesta/Banda/Conjunto"),"")))</f>
        <v/>
      </c>
      <c r="V90" t="str">
        <f>IF(S90="","",IF(S90="[FÓRMULA MANUAL]","",IFERROR(AVERAGEIFS(DATOS!$K$2:$K$20000,DATOS!$A$2:$A$20000,S90,DATOS!$G$2:$G$20000,CONFIG_METADATA!$B$4,DATOS!$I$2:$I$20000,"Música de Cámara"),"")))</f>
        <v/>
      </c>
      <c r="W90" t="str">
        <f>IF(S90="","",IF(S90="[FÓRMULA MANUAL]","",IFERROR(SUMPRODUCT((DATOS!$A$2:$A$20000=S90)*(DATOS!$G$2:$G$20000=CONFIG_METADATA!$B$4)*(COUNTIF(CONFIG_ASIGNATURAS!$B$7:$B$27,DATOS!$I$2:$I$20000)&gt;0)*(DATOS!$K$2:$K$20000))/SUMPRODUCT((DATOS!$A$2:$A$20000=S90)*(DATOS!$G$2:$G$20000=CONFIG_METADATA!$B$4)*(COUNTIF(CONFIG_ASIGNATURAS!$B$7:$B$27,DATOS!$I$2:$I$20000)&gt;0)*1),"")))</f>
        <v/>
      </c>
      <c r="Z90" t="str">
        <f>IF(Y90="","",IF(Y90="[FÓRMULA MANUAL]","",IFERROR(AVERAGEIFS(DATOS!$K$2:$K$20000,DATOS!$A$2:$A$20000,Y90,DATOS!$G$2:$G$20000,CONFIG_METADATA!$B$4,DATOS!$I$2:$I$20000,"Análisis"),"")))</f>
        <v/>
      </c>
      <c r="AA90" t="str">
        <f>IF(Y90="","",IF(Y90="[FÓRMULA MANUAL]","",IFERROR(AVERAGEIFS(DATOS!$K$2:$K$20000,DATOS!$A$2:$A$20000,Y90,DATOS!$G$2:$G$20000,CONFIG_METADATA!$B$4,DATOS!$I$2:$I$20000,"Orquesta/Banda/Conjunto"),"")))</f>
        <v/>
      </c>
      <c r="AB90" t="str">
        <f>IF(Y90="","",IF(Y90="[FÓRMULA MANUAL]","",IFERROR(AVERAGEIFS(DATOS!$K$2:$K$20000,DATOS!$A$2:$A$20000,Y90,DATOS!$G$2:$G$20000,CONFIG_METADATA!$B$4,DATOS!$I$2:$I$20000,"Música de Cámara"),"")))</f>
        <v/>
      </c>
      <c r="AC90" t="str">
        <f>IF(Y90="","",IF(Y90="[FÓRMULA MANUAL]","",IFERROR(SUMPRODUCT((DATOS!$A$2:$A$20000=Y90)*(DATOS!$G$2:$G$20000=CONFIG_METADATA!$B$4)*(COUNTIF(CONFIG_ASIGNATURAS!$B$7:$B$27,DATOS!$I$2:$I$20000)&gt;0)*(DATOS!$K$2:$K$20000))/SUMPRODUCT((DATOS!$A$2:$A$20000=Y90)*(DATOS!$G$2:$G$20000=CONFIG_METADATA!$B$4)*(COUNTIF(CONFIG_ASIGNATURAS!$B$7:$B$27,DATOS!$I$2:$I$20000)&gt;0)*1),"")))</f>
        <v/>
      </c>
      <c r="AF90" t="str">
        <f>IF(AE90="","",IF(AE90="[FÓRMULA MANUAL]","",IFERROR(AVERAGEIFS(DATOS!$K$2:$K$20000,DATOS!$A$2:$A$20000,AE90,DATOS!$G$2:$G$20000,CONFIG_METADATA!$B$4,DATOS!$I$2:$I$20000,"Análisis"),"")))</f>
        <v/>
      </c>
      <c r="AG90" t="str">
        <f>IF(AE90="","",IF(AE90="[FÓRMULA MANUAL]","",IFERROR(AVERAGEIFS(DATOS!$K$2:$K$20000,DATOS!$A$2:$A$20000,AE90,DATOS!$G$2:$G$20000,CONFIG_METADATA!$B$4,DATOS!$I$2:$I$20000,"Orquesta/Banda/Conjunto"),"")))</f>
        <v/>
      </c>
      <c r="AH90" t="str">
        <f>IF(AE90="","",IF(AE90="[FÓRMULA MANUAL]","",IFERROR(AVERAGEIFS(DATOS!$K$2:$K$20000,DATOS!$A$2:$A$20000,AE90,DATOS!$G$2:$G$20000,CONFIG_METADATA!$B$4,DATOS!$I$2:$I$20000,"Música de Cámara"),"")))</f>
        <v/>
      </c>
      <c r="AI90" t="str">
        <f>IF(AE90="","",IF(AE90="[FÓRMULA MANUAL]","",IFERROR(SUMPRODUCT((DATOS!$A$2:$A$20000=AE90)*(DATOS!$G$2:$G$20000=CONFIG_METADATA!$B$4)*(COUNTIF(CONFIG_ASIGNATURAS!$B$7:$B$27,DATOS!$I$2:$I$20000)&gt;0)*(DATOS!$K$2:$K$20000))/SUMPRODUCT((DATOS!$A$2:$A$20000=AE90)*(DATOS!$G$2:$G$20000=CONFIG_METADATA!$B$4)*(COUNTIF(CONFIG_ASIGNATURAS!$B$7:$B$27,DATOS!$I$2:$I$20000)&gt;0)*1),"")))</f>
        <v/>
      </c>
    </row>
    <row r="91" spans="2:35" x14ac:dyDescent="0.2">
      <c r="B91" t="str">
        <f>IF(A91="","",IF(A91="[FÓRMULA MANUAL]","",IFERROR(AVERAGEIFS(DATOS!$K$2:$K$20000,DATOS!$A$2:$A$20000,A91,DATOS!$G$2:$G$20000,CONFIG_METADATA!$B$4,DATOS!$I$2:$I$20000,"Lenguaje Musical"),"")))</f>
        <v/>
      </c>
      <c r="C91" t="str">
        <f>IF(A91="","",IF(A91="[FÓRMULA MANUAL]","",IFERROR(AVERAGEIFS(DATOS!$K$2:$K$20000,DATOS!$A$2:$A$20000,A91,DATOS!$G$2:$G$20000,CONFIG_METADATA!$B$4,DATOS!$I$2:$I$20000,"Orquesta/Banda/Conjunto"),"")))</f>
        <v/>
      </c>
      <c r="D91" t="str">
        <f>IF(A91="","",IF(A91="[FÓRMULA MANUAL]","",IFERROR(AVERAGEIFS(DATOS!$K$2:$K$20000,DATOS!$A$2:$A$20000,A91,DATOS!$G$2:$G$20000,CONFIG_METADATA!$B$4,DATOS!$I$2:$I$20000,"Conjunto"),"")))</f>
        <v/>
      </c>
      <c r="E91" t="str">
        <f>IF(A91="","",IF(A91="[FÓRMULA MANUAL]","",IFERROR(SUMPRODUCT((DATOS!$A$2:$A$20000=A91)*(DATOS!$G$2:$G$20000=CONFIG_METADATA!$B$4)*(COUNTIF(CONFIG_ASIGNATURAS!$B$7:$B$27,DATOS!$I$2:$I$20000)&gt;0)*(DATOS!$K$2:$K$20000))/SUMPRODUCT((DATOS!$A$2:$A$20000=A91)*(DATOS!$G$2:$G$20000=CONFIG_METADATA!$B$4)*(COUNTIF(CONFIG_ASIGNATURAS!$B$7:$B$27,DATOS!$I$2:$I$20000)&gt;0)*1),"")))</f>
        <v/>
      </c>
      <c r="H91" t="str">
        <f>IF(G91="","",IF(G91="[FÓRMULA MANUAL]","",IFERROR(AVERAGEIFS(DATOS!$K$2:$K$20000,DATOS!$A$2:$A$20000,G91,DATOS!$G$2:$G$20000,CONFIG_METADATA!$B$4,DATOS!$I$2:$I$20000,"Lenguaje Musical"),"")))</f>
        <v/>
      </c>
      <c r="I91" t="str">
        <f>IF(G91="","",IF(G91="[FÓRMULA MANUAL]","",IFERROR(AVERAGEIFS(DATOS!$K$2:$K$20000,DATOS!$A$2:$A$20000,G91,DATOS!$G$2:$G$20000,CONFIG_METADATA!$B$4,DATOS!$I$2:$I$20000,"Orquesta/Banda/Conjunto"),"")))</f>
        <v/>
      </c>
      <c r="J91" t="str">
        <f>IF(G91="","",IF(G91="[FÓRMULA MANUAL]","",IFERROR(AVERAGEIFS(DATOS!$K$2:$K$20000,DATOS!$A$2:$A$20000,G91,DATOS!$G$2:$G$20000,CONFIG_METADATA!$B$4,DATOS!$I$2:$I$20000,"Conjunto"),"")))</f>
        <v/>
      </c>
      <c r="K91" t="str">
        <f>IF(G91="","",IF(G91="[FÓRMULA MANUAL]","",IFERROR(SUMPRODUCT((DATOS!$A$2:$A$20000=G91)*(DATOS!$G$2:$G$20000=CONFIG_METADATA!$B$4)*(COUNTIF(CONFIG_ASIGNATURAS!$B$7:$B$27,DATOS!$I$2:$I$20000)&gt;0)*(DATOS!$K$2:$K$20000))/SUMPRODUCT((DATOS!$A$2:$A$20000=G91)*(DATOS!$G$2:$G$20000=CONFIG_METADATA!$B$4)*(COUNTIF(CONFIG_ASIGNATURAS!$B$7:$B$27,DATOS!$I$2:$I$20000)&gt;0)*1),"")))</f>
        <v/>
      </c>
      <c r="N91" t="str">
        <f>IF(M91="","",IF(M91="[FÓRMULA MANUAL]","",IFERROR(AVERAGEIFS(DATOS!$K$2:$K$20000,DATOS!$A$2:$A$20000,M91,DATOS!$G$2:$G$20000,CONFIG_METADATA!$B$4,DATOS!$I$2:$I$20000,"Armonía"),"")))</f>
        <v/>
      </c>
      <c r="O91" t="str">
        <f>IF(M91="","",IF(M91="[FÓRMULA MANUAL]","",IFERROR(AVERAGEIFS(DATOS!$K$2:$K$20000,DATOS!$A$2:$A$20000,M91,DATOS!$G$2:$G$20000,CONFIG_METADATA!$B$4,DATOS!$I$2:$I$20000,"Orquesta/Banda/Conjunto"),"")))</f>
        <v/>
      </c>
      <c r="P91" t="str">
        <f>IF(M91="","",IF(M91="[FÓRMULA MANUAL]","",IFERROR(AVERAGEIFS(DATOS!$K$2:$K$20000,DATOS!$A$2:$A$20000,M91,DATOS!$G$2:$G$20000,CONFIG_METADATA!$B$4,DATOS!$I$2:$I$20000,"Música de Cámara"),"")))</f>
        <v/>
      </c>
      <c r="Q91" t="str">
        <f>IF(M91="","",IF(M91="[FÓRMULA MANUAL]","",IFERROR(SUMPRODUCT((DATOS!$A$2:$A$20000=M91)*(DATOS!$G$2:$G$20000=CONFIG_METADATA!$B$4)*(COUNTIF(CONFIG_ASIGNATURAS!$B$7:$B$27,DATOS!$I$2:$I$20000)&gt;0)*(DATOS!$K$2:$K$20000))/SUMPRODUCT((DATOS!$A$2:$A$20000=M91)*(DATOS!$G$2:$G$20000=CONFIG_METADATA!$B$4)*(COUNTIF(CONFIG_ASIGNATURAS!$B$7:$B$27,DATOS!$I$2:$I$20000)&gt;0)*1),"")))</f>
        <v/>
      </c>
      <c r="T91" t="str">
        <f>IF(S91="","",IF(S91="[FÓRMULA MANUAL]","",IFERROR(AVERAGEIFS(DATOS!$K$2:$K$20000,DATOS!$A$2:$A$20000,S91,DATOS!$G$2:$G$20000,CONFIG_METADATA!$B$4,DATOS!$I$2:$I$20000,"Armonía"),"")))</f>
        <v/>
      </c>
      <c r="U91" t="str">
        <f>IF(S91="","",IF(S91="[FÓRMULA MANUAL]","",IFERROR(AVERAGEIFS(DATOS!$K$2:$K$20000,DATOS!$A$2:$A$20000,S91,DATOS!$G$2:$G$20000,CONFIG_METADATA!$B$4,DATOS!$I$2:$I$20000,"Orquesta/Banda/Conjunto"),"")))</f>
        <v/>
      </c>
      <c r="V91" t="str">
        <f>IF(S91="","",IF(S91="[FÓRMULA MANUAL]","",IFERROR(AVERAGEIFS(DATOS!$K$2:$K$20000,DATOS!$A$2:$A$20000,S91,DATOS!$G$2:$G$20000,CONFIG_METADATA!$B$4,DATOS!$I$2:$I$20000,"Música de Cámara"),"")))</f>
        <v/>
      </c>
      <c r="W91" t="str">
        <f>IF(S91="","",IF(S91="[FÓRMULA MANUAL]","",IFERROR(SUMPRODUCT((DATOS!$A$2:$A$20000=S91)*(DATOS!$G$2:$G$20000=CONFIG_METADATA!$B$4)*(COUNTIF(CONFIG_ASIGNATURAS!$B$7:$B$27,DATOS!$I$2:$I$20000)&gt;0)*(DATOS!$K$2:$K$20000))/SUMPRODUCT((DATOS!$A$2:$A$20000=S91)*(DATOS!$G$2:$G$20000=CONFIG_METADATA!$B$4)*(COUNTIF(CONFIG_ASIGNATURAS!$B$7:$B$27,DATOS!$I$2:$I$20000)&gt;0)*1),"")))</f>
        <v/>
      </c>
      <c r="Z91" t="str">
        <f>IF(Y91="","",IF(Y91="[FÓRMULA MANUAL]","",IFERROR(AVERAGEIFS(DATOS!$K$2:$K$20000,DATOS!$A$2:$A$20000,Y91,DATOS!$G$2:$G$20000,CONFIG_METADATA!$B$4,DATOS!$I$2:$I$20000,"Análisis"),"")))</f>
        <v/>
      </c>
      <c r="AA91" t="str">
        <f>IF(Y91="","",IF(Y91="[FÓRMULA MANUAL]","",IFERROR(AVERAGEIFS(DATOS!$K$2:$K$20000,DATOS!$A$2:$A$20000,Y91,DATOS!$G$2:$G$20000,CONFIG_METADATA!$B$4,DATOS!$I$2:$I$20000,"Orquesta/Banda/Conjunto"),"")))</f>
        <v/>
      </c>
      <c r="AB91" t="str">
        <f>IF(Y91="","",IF(Y91="[FÓRMULA MANUAL]","",IFERROR(AVERAGEIFS(DATOS!$K$2:$K$20000,DATOS!$A$2:$A$20000,Y91,DATOS!$G$2:$G$20000,CONFIG_METADATA!$B$4,DATOS!$I$2:$I$20000,"Música de Cámara"),"")))</f>
        <v/>
      </c>
      <c r="AC91" t="str">
        <f>IF(Y91="","",IF(Y91="[FÓRMULA MANUAL]","",IFERROR(SUMPRODUCT((DATOS!$A$2:$A$20000=Y91)*(DATOS!$G$2:$G$20000=CONFIG_METADATA!$B$4)*(COUNTIF(CONFIG_ASIGNATURAS!$B$7:$B$27,DATOS!$I$2:$I$20000)&gt;0)*(DATOS!$K$2:$K$20000))/SUMPRODUCT((DATOS!$A$2:$A$20000=Y91)*(DATOS!$G$2:$G$20000=CONFIG_METADATA!$B$4)*(COUNTIF(CONFIG_ASIGNATURAS!$B$7:$B$27,DATOS!$I$2:$I$20000)&gt;0)*1),"")))</f>
        <v/>
      </c>
      <c r="AF91" t="str">
        <f>IF(AE91="","",IF(AE91="[FÓRMULA MANUAL]","",IFERROR(AVERAGEIFS(DATOS!$K$2:$K$20000,DATOS!$A$2:$A$20000,AE91,DATOS!$G$2:$G$20000,CONFIG_METADATA!$B$4,DATOS!$I$2:$I$20000,"Análisis"),"")))</f>
        <v/>
      </c>
      <c r="AG91" t="str">
        <f>IF(AE91="","",IF(AE91="[FÓRMULA MANUAL]","",IFERROR(AVERAGEIFS(DATOS!$K$2:$K$20000,DATOS!$A$2:$A$20000,AE91,DATOS!$G$2:$G$20000,CONFIG_METADATA!$B$4,DATOS!$I$2:$I$20000,"Orquesta/Banda/Conjunto"),"")))</f>
        <v/>
      </c>
      <c r="AH91" t="str">
        <f>IF(AE91="","",IF(AE91="[FÓRMULA MANUAL]","",IFERROR(AVERAGEIFS(DATOS!$K$2:$K$20000,DATOS!$A$2:$A$20000,AE91,DATOS!$G$2:$G$20000,CONFIG_METADATA!$B$4,DATOS!$I$2:$I$20000,"Música de Cámara"),"")))</f>
        <v/>
      </c>
      <c r="AI91" t="str">
        <f>IF(AE91="","",IF(AE91="[FÓRMULA MANUAL]","",IFERROR(SUMPRODUCT((DATOS!$A$2:$A$20000=AE91)*(DATOS!$G$2:$G$20000=CONFIG_METADATA!$B$4)*(COUNTIF(CONFIG_ASIGNATURAS!$B$7:$B$27,DATOS!$I$2:$I$20000)&gt;0)*(DATOS!$K$2:$K$20000))/SUMPRODUCT((DATOS!$A$2:$A$20000=AE91)*(DATOS!$G$2:$G$20000=CONFIG_METADATA!$B$4)*(COUNTIF(CONFIG_ASIGNATURAS!$B$7:$B$27,DATOS!$I$2:$I$20000)&gt;0)*1),"")))</f>
        <v/>
      </c>
    </row>
    <row r="92" spans="2:35" x14ac:dyDescent="0.2">
      <c r="B92" t="str">
        <f>IF(A92="","",IF(A92="[FÓRMULA MANUAL]","",IFERROR(AVERAGEIFS(DATOS!$K$2:$K$20000,DATOS!$A$2:$A$20000,A92,DATOS!$G$2:$G$20000,CONFIG_METADATA!$B$4,DATOS!$I$2:$I$20000,"Lenguaje Musical"),"")))</f>
        <v/>
      </c>
      <c r="C92" t="str">
        <f>IF(A92="","",IF(A92="[FÓRMULA MANUAL]","",IFERROR(AVERAGEIFS(DATOS!$K$2:$K$20000,DATOS!$A$2:$A$20000,A92,DATOS!$G$2:$G$20000,CONFIG_METADATA!$B$4,DATOS!$I$2:$I$20000,"Orquesta/Banda/Conjunto"),"")))</f>
        <v/>
      </c>
      <c r="D92" t="str">
        <f>IF(A92="","",IF(A92="[FÓRMULA MANUAL]","",IFERROR(AVERAGEIFS(DATOS!$K$2:$K$20000,DATOS!$A$2:$A$20000,A92,DATOS!$G$2:$G$20000,CONFIG_METADATA!$B$4,DATOS!$I$2:$I$20000,"Conjunto"),"")))</f>
        <v/>
      </c>
      <c r="E92" t="str">
        <f>IF(A92="","",IF(A92="[FÓRMULA MANUAL]","",IFERROR(SUMPRODUCT((DATOS!$A$2:$A$20000=A92)*(DATOS!$G$2:$G$20000=CONFIG_METADATA!$B$4)*(COUNTIF(CONFIG_ASIGNATURAS!$B$7:$B$27,DATOS!$I$2:$I$20000)&gt;0)*(DATOS!$K$2:$K$20000))/SUMPRODUCT((DATOS!$A$2:$A$20000=A92)*(DATOS!$G$2:$G$20000=CONFIG_METADATA!$B$4)*(COUNTIF(CONFIG_ASIGNATURAS!$B$7:$B$27,DATOS!$I$2:$I$20000)&gt;0)*1),"")))</f>
        <v/>
      </c>
      <c r="H92" t="str">
        <f>IF(G92="","",IF(G92="[FÓRMULA MANUAL]","",IFERROR(AVERAGEIFS(DATOS!$K$2:$K$20000,DATOS!$A$2:$A$20000,G92,DATOS!$G$2:$G$20000,CONFIG_METADATA!$B$4,DATOS!$I$2:$I$20000,"Lenguaje Musical"),"")))</f>
        <v/>
      </c>
      <c r="I92" t="str">
        <f>IF(G92="","",IF(G92="[FÓRMULA MANUAL]","",IFERROR(AVERAGEIFS(DATOS!$K$2:$K$20000,DATOS!$A$2:$A$20000,G92,DATOS!$G$2:$G$20000,CONFIG_METADATA!$B$4,DATOS!$I$2:$I$20000,"Orquesta/Banda/Conjunto"),"")))</f>
        <v/>
      </c>
      <c r="J92" t="str">
        <f>IF(G92="","",IF(G92="[FÓRMULA MANUAL]","",IFERROR(AVERAGEIFS(DATOS!$K$2:$K$20000,DATOS!$A$2:$A$20000,G92,DATOS!$G$2:$G$20000,CONFIG_METADATA!$B$4,DATOS!$I$2:$I$20000,"Conjunto"),"")))</f>
        <v/>
      </c>
      <c r="K92" t="str">
        <f>IF(G92="","",IF(G92="[FÓRMULA MANUAL]","",IFERROR(SUMPRODUCT((DATOS!$A$2:$A$20000=G92)*(DATOS!$G$2:$G$20000=CONFIG_METADATA!$B$4)*(COUNTIF(CONFIG_ASIGNATURAS!$B$7:$B$27,DATOS!$I$2:$I$20000)&gt;0)*(DATOS!$K$2:$K$20000))/SUMPRODUCT((DATOS!$A$2:$A$20000=G92)*(DATOS!$G$2:$G$20000=CONFIG_METADATA!$B$4)*(COUNTIF(CONFIG_ASIGNATURAS!$B$7:$B$27,DATOS!$I$2:$I$20000)&gt;0)*1),"")))</f>
        <v/>
      </c>
      <c r="N92" t="str">
        <f>IF(M92="","",IF(M92="[FÓRMULA MANUAL]","",IFERROR(AVERAGEIFS(DATOS!$K$2:$K$20000,DATOS!$A$2:$A$20000,M92,DATOS!$G$2:$G$20000,CONFIG_METADATA!$B$4,DATOS!$I$2:$I$20000,"Armonía"),"")))</f>
        <v/>
      </c>
      <c r="O92" t="str">
        <f>IF(M92="","",IF(M92="[FÓRMULA MANUAL]","",IFERROR(AVERAGEIFS(DATOS!$K$2:$K$20000,DATOS!$A$2:$A$20000,M92,DATOS!$G$2:$G$20000,CONFIG_METADATA!$B$4,DATOS!$I$2:$I$20000,"Orquesta/Banda/Conjunto"),"")))</f>
        <v/>
      </c>
      <c r="P92" t="str">
        <f>IF(M92="","",IF(M92="[FÓRMULA MANUAL]","",IFERROR(AVERAGEIFS(DATOS!$K$2:$K$20000,DATOS!$A$2:$A$20000,M92,DATOS!$G$2:$G$20000,CONFIG_METADATA!$B$4,DATOS!$I$2:$I$20000,"Música de Cámara"),"")))</f>
        <v/>
      </c>
      <c r="Q92" t="str">
        <f>IF(M92="","",IF(M92="[FÓRMULA MANUAL]","",IFERROR(SUMPRODUCT((DATOS!$A$2:$A$20000=M92)*(DATOS!$G$2:$G$20000=CONFIG_METADATA!$B$4)*(COUNTIF(CONFIG_ASIGNATURAS!$B$7:$B$27,DATOS!$I$2:$I$20000)&gt;0)*(DATOS!$K$2:$K$20000))/SUMPRODUCT((DATOS!$A$2:$A$20000=M92)*(DATOS!$G$2:$G$20000=CONFIG_METADATA!$B$4)*(COUNTIF(CONFIG_ASIGNATURAS!$B$7:$B$27,DATOS!$I$2:$I$20000)&gt;0)*1),"")))</f>
        <v/>
      </c>
      <c r="T92" t="str">
        <f>IF(S92="","",IF(S92="[FÓRMULA MANUAL]","",IFERROR(AVERAGEIFS(DATOS!$K$2:$K$20000,DATOS!$A$2:$A$20000,S92,DATOS!$G$2:$G$20000,CONFIG_METADATA!$B$4,DATOS!$I$2:$I$20000,"Armonía"),"")))</f>
        <v/>
      </c>
      <c r="U92" t="str">
        <f>IF(S92="","",IF(S92="[FÓRMULA MANUAL]","",IFERROR(AVERAGEIFS(DATOS!$K$2:$K$20000,DATOS!$A$2:$A$20000,S92,DATOS!$G$2:$G$20000,CONFIG_METADATA!$B$4,DATOS!$I$2:$I$20000,"Orquesta/Banda/Conjunto"),"")))</f>
        <v/>
      </c>
      <c r="V92" t="str">
        <f>IF(S92="","",IF(S92="[FÓRMULA MANUAL]","",IFERROR(AVERAGEIFS(DATOS!$K$2:$K$20000,DATOS!$A$2:$A$20000,S92,DATOS!$G$2:$G$20000,CONFIG_METADATA!$B$4,DATOS!$I$2:$I$20000,"Música de Cámara"),"")))</f>
        <v/>
      </c>
      <c r="W92" t="str">
        <f>IF(S92="","",IF(S92="[FÓRMULA MANUAL]","",IFERROR(SUMPRODUCT((DATOS!$A$2:$A$20000=S92)*(DATOS!$G$2:$G$20000=CONFIG_METADATA!$B$4)*(COUNTIF(CONFIG_ASIGNATURAS!$B$7:$B$27,DATOS!$I$2:$I$20000)&gt;0)*(DATOS!$K$2:$K$20000))/SUMPRODUCT((DATOS!$A$2:$A$20000=S92)*(DATOS!$G$2:$G$20000=CONFIG_METADATA!$B$4)*(COUNTIF(CONFIG_ASIGNATURAS!$B$7:$B$27,DATOS!$I$2:$I$20000)&gt;0)*1),"")))</f>
        <v/>
      </c>
      <c r="Z92" t="str">
        <f>IF(Y92="","",IF(Y92="[FÓRMULA MANUAL]","",IFERROR(AVERAGEIFS(DATOS!$K$2:$K$20000,DATOS!$A$2:$A$20000,Y92,DATOS!$G$2:$G$20000,CONFIG_METADATA!$B$4,DATOS!$I$2:$I$20000,"Análisis"),"")))</f>
        <v/>
      </c>
      <c r="AA92" t="str">
        <f>IF(Y92="","",IF(Y92="[FÓRMULA MANUAL]","",IFERROR(AVERAGEIFS(DATOS!$K$2:$K$20000,DATOS!$A$2:$A$20000,Y92,DATOS!$G$2:$G$20000,CONFIG_METADATA!$B$4,DATOS!$I$2:$I$20000,"Orquesta/Banda/Conjunto"),"")))</f>
        <v/>
      </c>
      <c r="AB92" t="str">
        <f>IF(Y92="","",IF(Y92="[FÓRMULA MANUAL]","",IFERROR(AVERAGEIFS(DATOS!$K$2:$K$20000,DATOS!$A$2:$A$20000,Y92,DATOS!$G$2:$G$20000,CONFIG_METADATA!$B$4,DATOS!$I$2:$I$20000,"Música de Cámara"),"")))</f>
        <v/>
      </c>
      <c r="AC92" t="str">
        <f>IF(Y92="","",IF(Y92="[FÓRMULA MANUAL]","",IFERROR(SUMPRODUCT((DATOS!$A$2:$A$20000=Y92)*(DATOS!$G$2:$G$20000=CONFIG_METADATA!$B$4)*(COUNTIF(CONFIG_ASIGNATURAS!$B$7:$B$27,DATOS!$I$2:$I$20000)&gt;0)*(DATOS!$K$2:$K$20000))/SUMPRODUCT((DATOS!$A$2:$A$20000=Y92)*(DATOS!$G$2:$G$20000=CONFIG_METADATA!$B$4)*(COUNTIF(CONFIG_ASIGNATURAS!$B$7:$B$27,DATOS!$I$2:$I$20000)&gt;0)*1),"")))</f>
        <v/>
      </c>
      <c r="AF92" t="str">
        <f>IF(AE92="","",IF(AE92="[FÓRMULA MANUAL]","",IFERROR(AVERAGEIFS(DATOS!$K$2:$K$20000,DATOS!$A$2:$A$20000,AE92,DATOS!$G$2:$G$20000,CONFIG_METADATA!$B$4,DATOS!$I$2:$I$20000,"Análisis"),"")))</f>
        <v/>
      </c>
      <c r="AG92" t="str">
        <f>IF(AE92="","",IF(AE92="[FÓRMULA MANUAL]","",IFERROR(AVERAGEIFS(DATOS!$K$2:$K$20000,DATOS!$A$2:$A$20000,AE92,DATOS!$G$2:$G$20000,CONFIG_METADATA!$B$4,DATOS!$I$2:$I$20000,"Orquesta/Banda/Conjunto"),"")))</f>
        <v/>
      </c>
      <c r="AH92" t="str">
        <f>IF(AE92="","",IF(AE92="[FÓRMULA MANUAL]","",IFERROR(AVERAGEIFS(DATOS!$K$2:$K$20000,DATOS!$A$2:$A$20000,AE92,DATOS!$G$2:$G$20000,CONFIG_METADATA!$B$4,DATOS!$I$2:$I$20000,"Música de Cámara"),"")))</f>
        <v/>
      </c>
      <c r="AI92" t="str">
        <f>IF(AE92="","",IF(AE92="[FÓRMULA MANUAL]","",IFERROR(SUMPRODUCT((DATOS!$A$2:$A$20000=AE92)*(DATOS!$G$2:$G$20000=CONFIG_METADATA!$B$4)*(COUNTIF(CONFIG_ASIGNATURAS!$B$7:$B$27,DATOS!$I$2:$I$20000)&gt;0)*(DATOS!$K$2:$K$20000))/SUMPRODUCT((DATOS!$A$2:$A$20000=AE92)*(DATOS!$G$2:$G$20000=CONFIG_METADATA!$B$4)*(COUNTIF(CONFIG_ASIGNATURAS!$B$7:$B$27,DATOS!$I$2:$I$20000)&gt;0)*1),"")))</f>
        <v/>
      </c>
    </row>
    <row r="93" spans="2:35" x14ac:dyDescent="0.2">
      <c r="B93" t="str">
        <f>IF(A93="","",IF(A93="[FÓRMULA MANUAL]","",IFERROR(AVERAGEIFS(DATOS!$K$2:$K$20000,DATOS!$A$2:$A$20000,A93,DATOS!$G$2:$G$20000,CONFIG_METADATA!$B$4,DATOS!$I$2:$I$20000,"Lenguaje Musical"),"")))</f>
        <v/>
      </c>
      <c r="C93" t="str">
        <f>IF(A93="","",IF(A93="[FÓRMULA MANUAL]","",IFERROR(AVERAGEIFS(DATOS!$K$2:$K$20000,DATOS!$A$2:$A$20000,A93,DATOS!$G$2:$G$20000,CONFIG_METADATA!$B$4,DATOS!$I$2:$I$20000,"Orquesta/Banda/Conjunto"),"")))</f>
        <v/>
      </c>
      <c r="D93" t="str">
        <f>IF(A93="","",IF(A93="[FÓRMULA MANUAL]","",IFERROR(AVERAGEIFS(DATOS!$K$2:$K$20000,DATOS!$A$2:$A$20000,A93,DATOS!$G$2:$G$20000,CONFIG_METADATA!$B$4,DATOS!$I$2:$I$20000,"Conjunto"),"")))</f>
        <v/>
      </c>
      <c r="E93" t="str">
        <f>IF(A93="","",IF(A93="[FÓRMULA MANUAL]","",IFERROR(SUMPRODUCT((DATOS!$A$2:$A$20000=A93)*(DATOS!$G$2:$G$20000=CONFIG_METADATA!$B$4)*(COUNTIF(CONFIG_ASIGNATURAS!$B$7:$B$27,DATOS!$I$2:$I$20000)&gt;0)*(DATOS!$K$2:$K$20000))/SUMPRODUCT((DATOS!$A$2:$A$20000=A93)*(DATOS!$G$2:$G$20000=CONFIG_METADATA!$B$4)*(COUNTIF(CONFIG_ASIGNATURAS!$B$7:$B$27,DATOS!$I$2:$I$20000)&gt;0)*1),"")))</f>
        <v/>
      </c>
      <c r="H93" t="str">
        <f>IF(G93="","",IF(G93="[FÓRMULA MANUAL]","",IFERROR(AVERAGEIFS(DATOS!$K$2:$K$20000,DATOS!$A$2:$A$20000,G93,DATOS!$G$2:$G$20000,CONFIG_METADATA!$B$4,DATOS!$I$2:$I$20000,"Lenguaje Musical"),"")))</f>
        <v/>
      </c>
      <c r="I93" t="str">
        <f>IF(G93="","",IF(G93="[FÓRMULA MANUAL]","",IFERROR(AVERAGEIFS(DATOS!$K$2:$K$20000,DATOS!$A$2:$A$20000,G93,DATOS!$G$2:$G$20000,CONFIG_METADATA!$B$4,DATOS!$I$2:$I$20000,"Orquesta/Banda/Conjunto"),"")))</f>
        <v/>
      </c>
      <c r="J93" t="str">
        <f>IF(G93="","",IF(G93="[FÓRMULA MANUAL]","",IFERROR(AVERAGEIFS(DATOS!$K$2:$K$20000,DATOS!$A$2:$A$20000,G93,DATOS!$G$2:$G$20000,CONFIG_METADATA!$B$4,DATOS!$I$2:$I$20000,"Conjunto"),"")))</f>
        <v/>
      </c>
      <c r="K93" t="str">
        <f>IF(G93="","",IF(G93="[FÓRMULA MANUAL]","",IFERROR(SUMPRODUCT((DATOS!$A$2:$A$20000=G93)*(DATOS!$G$2:$G$20000=CONFIG_METADATA!$B$4)*(COUNTIF(CONFIG_ASIGNATURAS!$B$7:$B$27,DATOS!$I$2:$I$20000)&gt;0)*(DATOS!$K$2:$K$20000))/SUMPRODUCT((DATOS!$A$2:$A$20000=G93)*(DATOS!$G$2:$G$20000=CONFIG_METADATA!$B$4)*(COUNTIF(CONFIG_ASIGNATURAS!$B$7:$B$27,DATOS!$I$2:$I$20000)&gt;0)*1),"")))</f>
        <v/>
      </c>
      <c r="N93" t="str">
        <f>IF(M93="","",IF(M93="[FÓRMULA MANUAL]","",IFERROR(AVERAGEIFS(DATOS!$K$2:$K$20000,DATOS!$A$2:$A$20000,M93,DATOS!$G$2:$G$20000,CONFIG_METADATA!$B$4,DATOS!$I$2:$I$20000,"Armonía"),"")))</f>
        <v/>
      </c>
      <c r="O93" t="str">
        <f>IF(M93="","",IF(M93="[FÓRMULA MANUAL]","",IFERROR(AVERAGEIFS(DATOS!$K$2:$K$20000,DATOS!$A$2:$A$20000,M93,DATOS!$G$2:$G$20000,CONFIG_METADATA!$B$4,DATOS!$I$2:$I$20000,"Orquesta/Banda/Conjunto"),"")))</f>
        <v/>
      </c>
      <c r="P93" t="str">
        <f>IF(M93="","",IF(M93="[FÓRMULA MANUAL]","",IFERROR(AVERAGEIFS(DATOS!$K$2:$K$20000,DATOS!$A$2:$A$20000,M93,DATOS!$G$2:$G$20000,CONFIG_METADATA!$B$4,DATOS!$I$2:$I$20000,"Música de Cámara"),"")))</f>
        <v/>
      </c>
      <c r="Q93" t="str">
        <f>IF(M93="","",IF(M93="[FÓRMULA MANUAL]","",IFERROR(SUMPRODUCT((DATOS!$A$2:$A$20000=M93)*(DATOS!$G$2:$G$20000=CONFIG_METADATA!$B$4)*(COUNTIF(CONFIG_ASIGNATURAS!$B$7:$B$27,DATOS!$I$2:$I$20000)&gt;0)*(DATOS!$K$2:$K$20000))/SUMPRODUCT((DATOS!$A$2:$A$20000=M93)*(DATOS!$G$2:$G$20000=CONFIG_METADATA!$B$4)*(COUNTIF(CONFIG_ASIGNATURAS!$B$7:$B$27,DATOS!$I$2:$I$20000)&gt;0)*1),"")))</f>
        <v/>
      </c>
      <c r="T93" t="str">
        <f>IF(S93="","",IF(S93="[FÓRMULA MANUAL]","",IFERROR(AVERAGEIFS(DATOS!$K$2:$K$20000,DATOS!$A$2:$A$20000,S93,DATOS!$G$2:$G$20000,CONFIG_METADATA!$B$4,DATOS!$I$2:$I$20000,"Armonía"),"")))</f>
        <v/>
      </c>
      <c r="U93" t="str">
        <f>IF(S93="","",IF(S93="[FÓRMULA MANUAL]","",IFERROR(AVERAGEIFS(DATOS!$K$2:$K$20000,DATOS!$A$2:$A$20000,S93,DATOS!$G$2:$G$20000,CONFIG_METADATA!$B$4,DATOS!$I$2:$I$20000,"Orquesta/Banda/Conjunto"),"")))</f>
        <v/>
      </c>
      <c r="V93" t="str">
        <f>IF(S93="","",IF(S93="[FÓRMULA MANUAL]","",IFERROR(AVERAGEIFS(DATOS!$K$2:$K$20000,DATOS!$A$2:$A$20000,S93,DATOS!$G$2:$G$20000,CONFIG_METADATA!$B$4,DATOS!$I$2:$I$20000,"Música de Cámara"),"")))</f>
        <v/>
      </c>
      <c r="W93" t="str">
        <f>IF(S93="","",IF(S93="[FÓRMULA MANUAL]","",IFERROR(SUMPRODUCT((DATOS!$A$2:$A$20000=S93)*(DATOS!$G$2:$G$20000=CONFIG_METADATA!$B$4)*(COUNTIF(CONFIG_ASIGNATURAS!$B$7:$B$27,DATOS!$I$2:$I$20000)&gt;0)*(DATOS!$K$2:$K$20000))/SUMPRODUCT((DATOS!$A$2:$A$20000=S93)*(DATOS!$G$2:$G$20000=CONFIG_METADATA!$B$4)*(COUNTIF(CONFIG_ASIGNATURAS!$B$7:$B$27,DATOS!$I$2:$I$20000)&gt;0)*1),"")))</f>
        <v/>
      </c>
      <c r="Z93" t="str">
        <f>IF(Y93="","",IF(Y93="[FÓRMULA MANUAL]","",IFERROR(AVERAGEIFS(DATOS!$K$2:$K$20000,DATOS!$A$2:$A$20000,Y93,DATOS!$G$2:$G$20000,CONFIG_METADATA!$B$4,DATOS!$I$2:$I$20000,"Análisis"),"")))</f>
        <v/>
      </c>
      <c r="AA93" t="str">
        <f>IF(Y93="","",IF(Y93="[FÓRMULA MANUAL]","",IFERROR(AVERAGEIFS(DATOS!$K$2:$K$20000,DATOS!$A$2:$A$20000,Y93,DATOS!$G$2:$G$20000,CONFIG_METADATA!$B$4,DATOS!$I$2:$I$20000,"Orquesta/Banda/Conjunto"),"")))</f>
        <v/>
      </c>
      <c r="AB93" t="str">
        <f>IF(Y93="","",IF(Y93="[FÓRMULA MANUAL]","",IFERROR(AVERAGEIFS(DATOS!$K$2:$K$20000,DATOS!$A$2:$A$20000,Y93,DATOS!$G$2:$G$20000,CONFIG_METADATA!$B$4,DATOS!$I$2:$I$20000,"Música de Cámara"),"")))</f>
        <v/>
      </c>
      <c r="AC93" t="str">
        <f>IF(Y93="","",IF(Y93="[FÓRMULA MANUAL]","",IFERROR(SUMPRODUCT((DATOS!$A$2:$A$20000=Y93)*(DATOS!$G$2:$G$20000=CONFIG_METADATA!$B$4)*(COUNTIF(CONFIG_ASIGNATURAS!$B$7:$B$27,DATOS!$I$2:$I$20000)&gt;0)*(DATOS!$K$2:$K$20000))/SUMPRODUCT((DATOS!$A$2:$A$20000=Y93)*(DATOS!$G$2:$G$20000=CONFIG_METADATA!$B$4)*(COUNTIF(CONFIG_ASIGNATURAS!$B$7:$B$27,DATOS!$I$2:$I$20000)&gt;0)*1),"")))</f>
        <v/>
      </c>
      <c r="AF93" t="str">
        <f>IF(AE93="","",IF(AE93="[FÓRMULA MANUAL]","",IFERROR(AVERAGEIFS(DATOS!$K$2:$K$20000,DATOS!$A$2:$A$20000,AE93,DATOS!$G$2:$G$20000,CONFIG_METADATA!$B$4,DATOS!$I$2:$I$20000,"Análisis"),"")))</f>
        <v/>
      </c>
      <c r="AG93" t="str">
        <f>IF(AE93="","",IF(AE93="[FÓRMULA MANUAL]","",IFERROR(AVERAGEIFS(DATOS!$K$2:$K$20000,DATOS!$A$2:$A$20000,AE93,DATOS!$G$2:$G$20000,CONFIG_METADATA!$B$4,DATOS!$I$2:$I$20000,"Orquesta/Banda/Conjunto"),"")))</f>
        <v/>
      </c>
      <c r="AH93" t="str">
        <f>IF(AE93="","",IF(AE93="[FÓRMULA MANUAL]","",IFERROR(AVERAGEIFS(DATOS!$K$2:$K$20000,DATOS!$A$2:$A$20000,AE93,DATOS!$G$2:$G$20000,CONFIG_METADATA!$B$4,DATOS!$I$2:$I$20000,"Música de Cámara"),"")))</f>
        <v/>
      </c>
      <c r="AI93" t="str">
        <f>IF(AE93="","",IF(AE93="[FÓRMULA MANUAL]","",IFERROR(SUMPRODUCT((DATOS!$A$2:$A$20000=AE93)*(DATOS!$G$2:$G$20000=CONFIG_METADATA!$B$4)*(COUNTIF(CONFIG_ASIGNATURAS!$B$7:$B$27,DATOS!$I$2:$I$20000)&gt;0)*(DATOS!$K$2:$K$20000))/SUMPRODUCT((DATOS!$A$2:$A$20000=AE93)*(DATOS!$G$2:$G$20000=CONFIG_METADATA!$B$4)*(COUNTIF(CONFIG_ASIGNATURAS!$B$7:$B$27,DATOS!$I$2:$I$20000)&gt;0)*1),"")))</f>
        <v/>
      </c>
    </row>
    <row r="94" spans="2:35" x14ac:dyDescent="0.2">
      <c r="B94" t="str">
        <f>IF(A94="","",IF(A94="[FÓRMULA MANUAL]","",IFERROR(AVERAGEIFS(DATOS!$K$2:$K$20000,DATOS!$A$2:$A$20000,A94,DATOS!$G$2:$G$20000,CONFIG_METADATA!$B$4,DATOS!$I$2:$I$20000,"Lenguaje Musical"),"")))</f>
        <v/>
      </c>
      <c r="C94" t="str">
        <f>IF(A94="","",IF(A94="[FÓRMULA MANUAL]","",IFERROR(AVERAGEIFS(DATOS!$K$2:$K$20000,DATOS!$A$2:$A$20000,A94,DATOS!$G$2:$G$20000,CONFIG_METADATA!$B$4,DATOS!$I$2:$I$20000,"Orquesta/Banda/Conjunto"),"")))</f>
        <v/>
      </c>
      <c r="D94" t="str">
        <f>IF(A94="","",IF(A94="[FÓRMULA MANUAL]","",IFERROR(AVERAGEIFS(DATOS!$K$2:$K$20000,DATOS!$A$2:$A$20000,A94,DATOS!$G$2:$G$20000,CONFIG_METADATA!$B$4,DATOS!$I$2:$I$20000,"Conjunto"),"")))</f>
        <v/>
      </c>
      <c r="E94" t="str">
        <f>IF(A94="","",IF(A94="[FÓRMULA MANUAL]","",IFERROR(SUMPRODUCT((DATOS!$A$2:$A$20000=A94)*(DATOS!$G$2:$G$20000=CONFIG_METADATA!$B$4)*(COUNTIF(CONFIG_ASIGNATURAS!$B$7:$B$27,DATOS!$I$2:$I$20000)&gt;0)*(DATOS!$K$2:$K$20000))/SUMPRODUCT((DATOS!$A$2:$A$20000=A94)*(DATOS!$G$2:$G$20000=CONFIG_METADATA!$B$4)*(COUNTIF(CONFIG_ASIGNATURAS!$B$7:$B$27,DATOS!$I$2:$I$20000)&gt;0)*1),"")))</f>
        <v/>
      </c>
      <c r="H94" t="str">
        <f>IF(G94="","",IF(G94="[FÓRMULA MANUAL]","",IFERROR(AVERAGEIFS(DATOS!$K$2:$K$20000,DATOS!$A$2:$A$20000,G94,DATOS!$G$2:$G$20000,CONFIG_METADATA!$B$4,DATOS!$I$2:$I$20000,"Lenguaje Musical"),"")))</f>
        <v/>
      </c>
      <c r="I94" t="str">
        <f>IF(G94="","",IF(G94="[FÓRMULA MANUAL]","",IFERROR(AVERAGEIFS(DATOS!$K$2:$K$20000,DATOS!$A$2:$A$20000,G94,DATOS!$G$2:$G$20000,CONFIG_METADATA!$B$4,DATOS!$I$2:$I$20000,"Orquesta/Banda/Conjunto"),"")))</f>
        <v/>
      </c>
      <c r="J94" t="str">
        <f>IF(G94="","",IF(G94="[FÓRMULA MANUAL]","",IFERROR(AVERAGEIFS(DATOS!$K$2:$K$20000,DATOS!$A$2:$A$20000,G94,DATOS!$G$2:$G$20000,CONFIG_METADATA!$B$4,DATOS!$I$2:$I$20000,"Conjunto"),"")))</f>
        <v/>
      </c>
      <c r="K94" t="str">
        <f>IF(G94="","",IF(G94="[FÓRMULA MANUAL]","",IFERROR(SUMPRODUCT((DATOS!$A$2:$A$20000=G94)*(DATOS!$G$2:$G$20000=CONFIG_METADATA!$B$4)*(COUNTIF(CONFIG_ASIGNATURAS!$B$7:$B$27,DATOS!$I$2:$I$20000)&gt;0)*(DATOS!$K$2:$K$20000))/SUMPRODUCT((DATOS!$A$2:$A$20000=G94)*(DATOS!$G$2:$G$20000=CONFIG_METADATA!$B$4)*(COUNTIF(CONFIG_ASIGNATURAS!$B$7:$B$27,DATOS!$I$2:$I$20000)&gt;0)*1),"")))</f>
        <v/>
      </c>
      <c r="N94" t="str">
        <f>IF(M94="","",IF(M94="[FÓRMULA MANUAL]","",IFERROR(AVERAGEIFS(DATOS!$K$2:$K$20000,DATOS!$A$2:$A$20000,M94,DATOS!$G$2:$G$20000,CONFIG_METADATA!$B$4,DATOS!$I$2:$I$20000,"Armonía"),"")))</f>
        <v/>
      </c>
      <c r="O94" t="str">
        <f>IF(M94="","",IF(M94="[FÓRMULA MANUAL]","",IFERROR(AVERAGEIFS(DATOS!$K$2:$K$20000,DATOS!$A$2:$A$20000,M94,DATOS!$G$2:$G$20000,CONFIG_METADATA!$B$4,DATOS!$I$2:$I$20000,"Orquesta/Banda/Conjunto"),"")))</f>
        <v/>
      </c>
      <c r="P94" t="str">
        <f>IF(M94="","",IF(M94="[FÓRMULA MANUAL]","",IFERROR(AVERAGEIFS(DATOS!$K$2:$K$20000,DATOS!$A$2:$A$20000,M94,DATOS!$G$2:$G$20000,CONFIG_METADATA!$B$4,DATOS!$I$2:$I$20000,"Música de Cámara"),"")))</f>
        <v/>
      </c>
      <c r="Q94" t="str">
        <f>IF(M94="","",IF(M94="[FÓRMULA MANUAL]","",IFERROR(SUMPRODUCT((DATOS!$A$2:$A$20000=M94)*(DATOS!$G$2:$G$20000=CONFIG_METADATA!$B$4)*(COUNTIF(CONFIG_ASIGNATURAS!$B$7:$B$27,DATOS!$I$2:$I$20000)&gt;0)*(DATOS!$K$2:$K$20000))/SUMPRODUCT((DATOS!$A$2:$A$20000=M94)*(DATOS!$G$2:$G$20000=CONFIG_METADATA!$B$4)*(COUNTIF(CONFIG_ASIGNATURAS!$B$7:$B$27,DATOS!$I$2:$I$20000)&gt;0)*1),"")))</f>
        <v/>
      </c>
      <c r="T94" t="str">
        <f>IF(S94="","",IF(S94="[FÓRMULA MANUAL]","",IFERROR(AVERAGEIFS(DATOS!$K$2:$K$20000,DATOS!$A$2:$A$20000,S94,DATOS!$G$2:$G$20000,CONFIG_METADATA!$B$4,DATOS!$I$2:$I$20000,"Armonía"),"")))</f>
        <v/>
      </c>
      <c r="U94" t="str">
        <f>IF(S94="","",IF(S94="[FÓRMULA MANUAL]","",IFERROR(AVERAGEIFS(DATOS!$K$2:$K$20000,DATOS!$A$2:$A$20000,S94,DATOS!$G$2:$G$20000,CONFIG_METADATA!$B$4,DATOS!$I$2:$I$20000,"Orquesta/Banda/Conjunto"),"")))</f>
        <v/>
      </c>
      <c r="V94" t="str">
        <f>IF(S94="","",IF(S94="[FÓRMULA MANUAL]","",IFERROR(AVERAGEIFS(DATOS!$K$2:$K$20000,DATOS!$A$2:$A$20000,S94,DATOS!$G$2:$G$20000,CONFIG_METADATA!$B$4,DATOS!$I$2:$I$20000,"Música de Cámara"),"")))</f>
        <v/>
      </c>
      <c r="W94" t="str">
        <f>IF(S94="","",IF(S94="[FÓRMULA MANUAL]","",IFERROR(SUMPRODUCT((DATOS!$A$2:$A$20000=S94)*(DATOS!$G$2:$G$20000=CONFIG_METADATA!$B$4)*(COUNTIF(CONFIG_ASIGNATURAS!$B$7:$B$27,DATOS!$I$2:$I$20000)&gt;0)*(DATOS!$K$2:$K$20000))/SUMPRODUCT((DATOS!$A$2:$A$20000=S94)*(DATOS!$G$2:$G$20000=CONFIG_METADATA!$B$4)*(COUNTIF(CONFIG_ASIGNATURAS!$B$7:$B$27,DATOS!$I$2:$I$20000)&gt;0)*1),"")))</f>
        <v/>
      </c>
      <c r="Z94" t="str">
        <f>IF(Y94="","",IF(Y94="[FÓRMULA MANUAL]","",IFERROR(AVERAGEIFS(DATOS!$K$2:$K$20000,DATOS!$A$2:$A$20000,Y94,DATOS!$G$2:$G$20000,CONFIG_METADATA!$B$4,DATOS!$I$2:$I$20000,"Análisis"),"")))</f>
        <v/>
      </c>
      <c r="AA94" t="str">
        <f>IF(Y94="","",IF(Y94="[FÓRMULA MANUAL]","",IFERROR(AVERAGEIFS(DATOS!$K$2:$K$20000,DATOS!$A$2:$A$20000,Y94,DATOS!$G$2:$G$20000,CONFIG_METADATA!$B$4,DATOS!$I$2:$I$20000,"Orquesta/Banda/Conjunto"),"")))</f>
        <v/>
      </c>
      <c r="AB94" t="str">
        <f>IF(Y94="","",IF(Y94="[FÓRMULA MANUAL]","",IFERROR(AVERAGEIFS(DATOS!$K$2:$K$20000,DATOS!$A$2:$A$20000,Y94,DATOS!$G$2:$G$20000,CONFIG_METADATA!$B$4,DATOS!$I$2:$I$20000,"Música de Cámara"),"")))</f>
        <v/>
      </c>
      <c r="AC94" t="str">
        <f>IF(Y94="","",IF(Y94="[FÓRMULA MANUAL]","",IFERROR(SUMPRODUCT((DATOS!$A$2:$A$20000=Y94)*(DATOS!$G$2:$G$20000=CONFIG_METADATA!$B$4)*(COUNTIF(CONFIG_ASIGNATURAS!$B$7:$B$27,DATOS!$I$2:$I$20000)&gt;0)*(DATOS!$K$2:$K$20000))/SUMPRODUCT((DATOS!$A$2:$A$20000=Y94)*(DATOS!$G$2:$G$20000=CONFIG_METADATA!$B$4)*(COUNTIF(CONFIG_ASIGNATURAS!$B$7:$B$27,DATOS!$I$2:$I$20000)&gt;0)*1),"")))</f>
        <v/>
      </c>
      <c r="AF94" t="str">
        <f>IF(AE94="","",IF(AE94="[FÓRMULA MANUAL]","",IFERROR(AVERAGEIFS(DATOS!$K$2:$K$20000,DATOS!$A$2:$A$20000,AE94,DATOS!$G$2:$G$20000,CONFIG_METADATA!$B$4,DATOS!$I$2:$I$20000,"Análisis"),"")))</f>
        <v/>
      </c>
      <c r="AG94" t="str">
        <f>IF(AE94="","",IF(AE94="[FÓRMULA MANUAL]","",IFERROR(AVERAGEIFS(DATOS!$K$2:$K$20000,DATOS!$A$2:$A$20000,AE94,DATOS!$G$2:$G$20000,CONFIG_METADATA!$B$4,DATOS!$I$2:$I$20000,"Orquesta/Banda/Conjunto"),"")))</f>
        <v/>
      </c>
      <c r="AH94" t="str">
        <f>IF(AE94="","",IF(AE94="[FÓRMULA MANUAL]","",IFERROR(AVERAGEIFS(DATOS!$K$2:$K$20000,DATOS!$A$2:$A$20000,AE94,DATOS!$G$2:$G$20000,CONFIG_METADATA!$B$4,DATOS!$I$2:$I$20000,"Música de Cámara"),"")))</f>
        <v/>
      </c>
      <c r="AI94" t="str">
        <f>IF(AE94="","",IF(AE94="[FÓRMULA MANUAL]","",IFERROR(SUMPRODUCT((DATOS!$A$2:$A$20000=AE94)*(DATOS!$G$2:$G$20000=CONFIG_METADATA!$B$4)*(COUNTIF(CONFIG_ASIGNATURAS!$B$7:$B$27,DATOS!$I$2:$I$20000)&gt;0)*(DATOS!$K$2:$K$20000))/SUMPRODUCT((DATOS!$A$2:$A$20000=AE94)*(DATOS!$G$2:$G$20000=CONFIG_METADATA!$B$4)*(COUNTIF(CONFIG_ASIGNATURAS!$B$7:$B$27,DATOS!$I$2:$I$20000)&gt;0)*1),"")))</f>
        <v/>
      </c>
    </row>
    <row r="95" spans="2:35" x14ac:dyDescent="0.2">
      <c r="B95" t="str">
        <f>IF(A95="","",IF(A95="[FÓRMULA MANUAL]","",IFERROR(AVERAGEIFS(DATOS!$K$2:$K$20000,DATOS!$A$2:$A$20000,A95,DATOS!$G$2:$G$20000,CONFIG_METADATA!$B$4,DATOS!$I$2:$I$20000,"Lenguaje Musical"),"")))</f>
        <v/>
      </c>
      <c r="C95" t="str">
        <f>IF(A95="","",IF(A95="[FÓRMULA MANUAL]","",IFERROR(AVERAGEIFS(DATOS!$K$2:$K$20000,DATOS!$A$2:$A$20000,A95,DATOS!$G$2:$G$20000,CONFIG_METADATA!$B$4,DATOS!$I$2:$I$20000,"Orquesta/Banda/Conjunto"),"")))</f>
        <v/>
      </c>
      <c r="D95" t="str">
        <f>IF(A95="","",IF(A95="[FÓRMULA MANUAL]","",IFERROR(AVERAGEIFS(DATOS!$K$2:$K$20000,DATOS!$A$2:$A$20000,A95,DATOS!$G$2:$G$20000,CONFIG_METADATA!$B$4,DATOS!$I$2:$I$20000,"Conjunto"),"")))</f>
        <v/>
      </c>
      <c r="E95" t="str">
        <f>IF(A95="","",IF(A95="[FÓRMULA MANUAL]","",IFERROR(SUMPRODUCT((DATOS!$A$2:$A$20000=A95)*(DATOS!$G$2:$G$20000=CONFIG_METADATA!$B$4)*(COUNTIF(CONFIG_ASIGNATURAS!$B$7:$B$27,DATOS!$I$2:$I$20000)&gt;0)*(DATOS!$K$2:$K$20000))/SUMPRODUCT((DATOS!$A$2:$A$20000=A95)*(DATOS!$G$2:$G$20000=CONFIG_METADATA!$B$4)*(COUNTIF(CONFIG_ASIGNATURAS!$B$7:$B$27,DATOS!$I$2:$I$20000)&gt;0)*1),"")))</f>
        <v/>
      </c>
      <c r="H95" t="str">
        <f>IF(G95="","",IF(G95="[FÓRMULA MANUAL]","",IFERROR(AVERAGEIFS(DATOS!$K$2:$K$20000,DATOS!$A$2:$A$20000,G95,DATOS!$G$2:$G$20000,CONFIG_METADATA!$B$4,DATOS!$I$2:$I$20000,"Lenguaje Musical"),"")))</f>
        <v/>
      </c>
      <c r="I95" t="str">
        <f>IF(G95="","",IF(G95="[FÓRMULA MANUAL]","",IFERROR(AVERAGEIFS(DATOS!$K$2:$K$20000,DATOS!$A$2:$A$20000,G95,DATOS!$G$2:$G$20000,CONFIG_METADATA!$B$4,DATOS!$I$2:$I$20000,"Orquesta/Banda/Conjunto"),"")))</f>
        <v/>
      </c>
      <c r="J95" t="str">
        <f>IF(G95="","",IF(G95="[FÓRMULA MANUAL]","",IFERROR(AVERAGEIFS(DATOS!$K$2:$K$20000,DATOS!$A$2:$A$20000,G95,DATOS!$G$2:$G$20000,CONFIG_METADATA!$B$4,DATOS!$I$2:$I$20000,"Conjunto"),"")))</f>
        <v/>
      </c>
      <c r="K95" t="str">
        <f>IF(G95="","",IF(G95="[FÓRMULA MANUAL]","",IFERROR(SUMPRODUCT((DATOS!$A$2:$A$20000=G95)*(DATOS!$G$2:$G$20000=CONFIG_METADATA!$B$4)*(COUNTIF(CONFIG_ASIGNATURAS!$B$7:$B$27,DATOS!$I$2:$I$20000)&gt;0)*(DATOS!$K$2:$K$20000))/SUMPRODUCT((DATOS!$A$2:$A$20000=G95)*(DATOS!$G$2:$G$20000=CONFIG_METADATA!$B$4)*(COUNTIF(CONFIG_ASIGNATURAS!$B$7:$B$27,DATOS!$I$2:$I$20000)&gt;0)*1),"")))</f>
        <v/>
      </c>
      <c r="N95" t="str">
        <f>IF(M95="","",IF(M95="[FÓRMULA MANUAL]","",IFERROR(AVERAGEIFS(DATOS!$K$2:$K$20000,DATOS!$A$2:$A$20000,M95,DATOS!$G$2:$G$20000,CONFIG_METADATA!$B$4,DATOS!$I$2:$I$20000,"Armonía"),"")))</f>
        <v/>
      </c>
      <c r="O95" t="str">
        <f>IF(M95="","",IF(M95="[FÓRMULA MANUAL]","",IFERROR(AVERAGEIFS(DATOS!$K$2:$K$20000,DATOS!$A$2:$A$20000,M95,DATOS!$G$2:$G$20000,CONFIG_METADATA!$B$4,DATOS!$I$2:$I$20000,"Orquesta/Banda/Conjunto"),"")))</f>
        <v/>
      </c>
      <c r="P95" t="str">
        <f>IF(M95="","",IF(M95="[FÓRMULA MANUAL]","",IFERROR(AVERAGEIFS(DATOS!$K$2:$K$20000,DATOS!$A$2:$A$20000,M95,DATOS!$G$2:$G$20000,CONFIG_METADATA!$B$4,DATOS!$I$2:$I$20000,"Música de Cámara"),"")))</f>
        <v/>
      </c>
      <c r="Q95" t="str">
        <f>IF(M95="","",IF(M95="[FÓRMULA MANUAL]","",IFERROR(SUMPRODUCT((DATOS!$A$2:$A$20000=M95)*(DATOS!$G$2:$G$20000=CONFIG_METADATA!$B$4)*(COUNTIF(CONFIG_ASIGNATURAS!$B$7:$B$27,DATOS!$I$2:$I$20000)&gt;0)*(DATOS!$K$2:$K$20000))/SUMPRODUCT((DATOS!$A$2:$A$20000=M95)*(DATOS!$G$2:$G$20000=CONFIG_METADATA!$B$4)*(COUNTIF(CONFIG_ASIGNATURAS!$B$7:$B$27,DATOS!$I$2:$I$20000)&gt;0)*1),"")))</f>
        <v/>
      </c>
      <c r="T95" t="str">
        <f>IF(S95="","",IF(S95="[FÓRMULA MANUAL]","",IFERROR(AVERAGEIFS(DATOS!$K$2:$K$20000,DATOS!$A$2:$A$20000,S95,DATOS!$G$2:$G$20000,CONFIG_METADATA!$B$4,DATOS!$I$2:$I$20000,"Armonía"),"")))</f>
        <v/>
      </c>
      <c r="U95" t="str">
        <f>IF(S95="","",IF(S95="[FÓRMULA MANUAL]","",IFERROR(AVERAGEIFS(DATOS!$K$2:$K$20000,DATOS!$A$2:$A$20000,S95,DATOS!$G$2:$G$20000,CONFIG_METADATA!$B$4,DATOS!$I$2:$I$20000,"Orquesta/Banda/Conjunto"),"")))</f>
        <v/>
      </c>
      <c r="V95" t="str">
        <f>IF(S95="","",IF(S95="[FÓRMULA MANUAL]","",IFERROR(AVERAGEIFS(DATOS!$K$2:$K$20000,DATOS!$A$2:$A$20000,S95,DATOS!$G$2:$G$20000,CONFIG_METADATA!$B$4,DATOS!$I$2:$I$20000,"Música de Cámara"),"")))</f>
        <v/>
      </c>
      <c r="W95" t="str">
        <f>IF(S95="","",IF(S95="[FÓRMULA MANUAL]","",IFERROR(SUMPRODUCT((DATOS!$A$2:$A$20000=S95)*(DATOS!$G$2:$G$20000=CONFIG_METADATA!$B$4)*(COUNTIF(CONFIG_ASIGNATURAS!$B$7:$B$27,DATOS!$I$2:$I$20000)&gt;0)*(DATOS!$K$2:$K$20000))/SUMPRODUCT((DATOS!$A$2:$A$20000=S95)*(DATOS!$G$2:$G$20000=CONFIG_METADATA!$B$4)*(COUNTIF(CONFIG_ASIGNATURAS!$B$7:$B$27,DATOS!$I$2:$I$20000)&gt;0)*1),"")))</f>
        <v/>
      </c>
      <c r="Z95" t="str">
        <f>IF(Y95="","",IF(Y95="[FÓRMULA MANUAL]","",IFERROR(AVERAGEIFS(DATOS!$K$2:$K$20000,DATOS!$A$2:$A$20000,Y95,DATOS!$G$2:$G$20000,CONFIG_METADATA!$B$4,DATOS!$I$2:$I$20000,"Análisis"),"")))</f>
        <v/>
      </c>
      <c r="AA95" t="str">
        <f>IF(Y95="","",IF(Y95="[FÓRMULA MANUAL]","",IFERROR(AVERAGEIFS(DATOS!$K$2:$K$20000,DATOS!$A$2:$A$20000,Y95,DATOS!$G$2:$G$20000,CONFIG_METADATA!$B$4,DATOS!$I$2:$I$20000,"Orquesta/Banda/Conjunto"),"")))</f>
        <v/>
      </c>
      <c r="AB95" t="str">
        <f>IF(Y95="","",IF(Y95="[FÓRMULA MANUAL]","",IFERROR(AVERAGEIFS(DATOS!$K$2:$K$20000,DATOS!$A$2:$A$20000,Y95,DATOS!$G$2:$G$20000,CONFIG_METADATA!$B$4,DATOS!$I$2:$I$20000,"Música de Cámara"),"")))</f>
        <v/>
      </c>
      <c r="AC95" t="str">
        <f>IF(Y95="","",IF(Y95="[FÓRMULA MANUAL]","",IFERROR(SUMPRODUCT((DATOS!$A$2:$A$20000=Y95)*(DATOS!$G$2:$G$20000=CONFIG_METADATA!$B$4)*(COUNTIF(CONFIG_ASIGNATURAS!$B$7:$B$27,DATOS!$I$2:$I$20000)&gt;0)*(DATOS!$K$2:$K$20000))/SUMPRODUCT((DATOS!$A$2:$A$20000=Y95)*(DATOS!$G$2:$G$20000=CONFIG_METADATA!$B$4)*(COUNTIF(CONFIG_ASIGNATURAS!$B$7:$B$27,DATOS!$I$2:$I$20000)&gt;0)*1),"")))</f>
        <v/>
      </c>
      <c r="AF95" t="str">
        <f>IF(AE95="","",IF(AE95="[FÓRMULA MANUAL]","",IFERROR(AVERAGEIFS(DATOS!$K$2:$K$20000,DATOS!$A$2:$A$20000,AE95,DATOS!$G$2:$G$20000,CONFIG_METADATA!$B$4,DATOS!$I$2:$I$20000,"Análisis"),"")))</f>
        <v/>
      </c>
      <c r="AG95" t="str">
        <f>IF(AE95="","",IF(AE95="[FÓRMULA MANUAL]","",IFERROR(AVERAGEIFS(DATOS!$K$2:$K$20000,DATOS!$A$2:$A$20000,AE95,DATOS!$G$2:$G$20000,CONFIG_METADATA!$B$4,DATOS!$I$2:$I$20000,"Orquesta/Banda/Conjunto"),"")))</f>
        <v/>
      </c>
      <c r="AH95" t="str">
        <f>IF(AE95="","",IF(AE95="[FÓRMULA MANUAL]","",IFERROR(AVERAGEIFS(DATOS!$K$2:$K$20000,DATOS!$A$2:$A$20000,AE95,DATOS!$G$2:$G$20000,CONFIG_METADATA!$B$4,DATOS!$I$2:$I$20000,"Música de Cámara"),"")))</f>
        <v/>
      </c>
      <c r="AI95" t="str">
        <f>IF(AE95="","",IF(AE95="[FÓRMULA MANUAL]","",IFERROR(SUMPRODUCT((DATOS!$A$2:$A$20000=AE95)*(DATOS!$G$2:$G$20000=CONFIG_METADATA!$B$4)*(COUNTIF(CONFIG_ASIGNATURAS!$B$7:$B$27,DATOS!$I$2:$I$20000)&gt;0)*(DATOS!$K$2:$K$20000))/SUMPRODUCT((DATOS!$A$2:$A$20000=AE95)*(DATOS!$G$2:$G$20000=CONFIG_METADATA!$B$4)*(COUNTIF(CONFIG_ASIGNATURAS!$B$7:$B$27,DATOS!$I$2:$I$20000)&gt;0)*1),"")))</f>
        <v/>
      </c>
    </row>
    <row r="96" spans="2:35" x14ac:dyDescent="0.2">
      <c r="B96" t="str">
        <f>IF(A96="","",IF(A96="[FÓRMULA MANUAL]","",IFERROR(AVERAGEIFS(DATOS!$K$2:$K$20000,DATOS!$A$2:$A$20000,A96,DATOS!$G$2:$G$20000,CONFIG_METADATA!$B$4,DATOS!$I$2:$I$20000,"Lenguaje Musical"),"")))</f>
        <v/>
      </c>
      <c r="C96" t="str">
        <f>IF(A96="","",IF(A96="[FÓRMULA MANUAL]","",IFERROR(AVERAGEIFS(DATOS!$K$2:$K$20000,DATOS!$A$2:$A$20000,A96,DATOS!$G$2:$G$20000,CONFIG_METADATA!$B$4,DATOS!$I$2:$I$20000,"Orquesta/Banda/Conjunto"),"")))</f>
        <v/>
      </c>
      <c r="D96" t="str">
        <f>IF(A96="","",IF(A96="[FÓRMULA MANUAL]","",IFERROR(AVERAGEIFS(DATOS!$K$2:$K$20000,DATOS!$A$2:$A$20000,A96,DATOS!$G$2:$G$20000,CONFIG_METADATA!$B$4,DATOS!$I$2:$I$20000,"Conjunto"),"")))</f>
        <v/>
      </c>
      <c r="E96" t="str">
        <f>IF(A96="","",IF(A96="[FÓRMULA MANUAL]","",IFERROR(SUMPRODUCT((DATOS!$A$2:$A$20000=A96)*(DATOS!$G$2:$G$20000=CONFIG_METADATA!$B$4)*(COUNTIF(CONFIG_ASIGNATURAS!$B$7:$B$27,DATOS!$I$2:$I$20000)&gt;0)*(DATOS!$K$2:$K$20000))/SUMPRODUCT((DATOS!$A$2:$A$20000=A96)*(DATOS!$G$2:$G$20000=CONFIG_METADATA!$B$4)*(COUNTIF(CONFIG_ASIGNATURAS!$B$7:$B$27,DATOS!$I$2:$I$20000)&gt;0)*1),"")))</f>
        <v/>
      </c>
      <c r="H96" t="str">
        <f>IF(G96="","",IF(G96="[FÓRMULA MANUAL]","",IFERROR(AVERAGEIFS(DATOS!$K$2:$K$20000,DATOS!$A$2:$A$20000,G96,DATOS!$G$2:$G$20000,CONFIG_METADATA!$B$4,DATOS!$I$2:$I$20000,"Lenguaje Musical"),"")))</f>
        <v/>
      </c>
      <c r="I96" t="str">
        <f>IF(G96="","",IF(G96="[FÓRMULA MANUAL]","",IFERROR(AVERAGEIFS(DATOS!$K$2:$K$20000,DATOS!$A$2:$A$20000,G96,DATOS!$G$2:$G$20000,CONFIG_METADATA!$B$4,DATOS!$I$2:$I$20000,"Orquesta/Banda/Conjunto"),"")))</f>
        <v/>
      </c>
      <c r="J96" t="str">
        <f>IF(G96="","",IF(G96="[FÓRMULA MANUAL]","",IFERROR(AVERAGEIFS(DATOS!$K$2:$K$20000,DATOS!$A$2:$A$20000,G96,DATOS!$G$2:$G$20000,CONFIG_METADATA!$B$4,DATOS!$I$2:$I$20000,"Conjunto"),"")))</f>
        <v/>
      </c>
      <c r="K96" t="str">
        <f>IF(G96="","",IF(G96="[FÓRMULA MANUAL]","",IFERROR(SUMPRODUCT((DATOS!$A$2:$A$20000=G96)*(DATOS!$G$2:$G$20000=CONFIG_METADATA!$B$4)*(COUNTIF(CONFIG_ASIGNATURAS!$B$7:$B$27,DATOS!$I$2:$I$20000)&gt;0)*(DATOS!$K$2:$K$20000))/SUMPRODUCT((DATOS!$A$2:$A$20000=G96)*(DATOS!$G$2:$G$20000=CONFIG_METADATA!$B$4)*(COUNTIF(CONFIG_ASIGNATURAS!$B$7:$B$27,DATOS!$I$2:$I$20000)&gt;0)*1),"")))</f>
        <v/>
      </c>
      <c r="N96" t="str">
        <f>IF(M96="","",IF(M96="[FÓRMULA MANUAL]","",IFERROR(AVERAGEIFS(DATOS!$K$2:$K$20000,DATOS!$A$2:$A$20000,M96,DATOS!$G$2:$G$20000,CONFIG_METADATA!$B$4,DATOS!$I$2:$I$20000,"Armonía"),"")))</f>
        <v/>
      </c>
      <c r="O96" t="str">
        <f>IF(M96="","",IF(M96="[FÓRMULA MANUAL]","",IFERROR(AVERAGEIFS(DATOS!$K$2:$K$20000,DATOS!$A$2:$A$20000,M96,DATOS!$G$2:$G$20000,CONFIG_METADATA!$B$4,DATOS!$I$2:$I$20000,"Orquesta/Banda/Conjunto"),"")))</f>
        <v/>
      </c>
      <c r="P96" t="str">
        <f>IF(M96="","",IF(M96="[FÓRMULA MANUAL]","",IFERROR(AVERAGEIFS(DATOS!$K$2:$K$20000,DATOS!$A$2:$A$20000,M96,DATOS!$G$2:$G$20000,CONFIG_METADATA!$B$4,DATOS!$I$2:$I$20000,"Música de Cámara"),"")))</f>
        <v/>
      </c>
      <c r="Q96" t="str">
        <f>IF(M96="","",IF(M96="[FÓRMULA MANUAL]","",IFERROR(SUMPRODUCT((DATOS!$A$2:$A$20000=M96)*(DATOS!$G$2:$G$20000=CONFIG_METADATA!$B$4)*(COUNTIF(CONFIG_ASIGNATURAS!$B$7:$B$27,DATOS!$I$2:$I$20000)&gt;0)*(DATOS!$K$2:$K$20000))/SUMPRODUCT((DATOS!$A$2:$A$20000=M96)*(DATOS!$G$2:$G$20000=CONFIG_METADATA!$B$4)*(COUNTIF(CONFIG_ASIGNATURAS!$B$7:$B$27,DATOS!$I$2:$I$20000)&gt;0)*1),"")))</f>
        <v/>
      </c>
      <c r="T96" t="str">
        <f>IF(S96="","",IF(S96="[FÓRMULA MANUAL]","",IFERROR(AVERAGEIFS(DATOS!$K$2:$K$20000,DATOS!$A$2:$A$20000,S96,DATOS!$G$2:$G$20000,CONFIG_METADATA!$B$4,DATOS!$I$2:$I$20000,"Armonía"),"")))</f>
        <v/>
      </c>
      <c r="U96" t="str">
        <f>IF(S96="","",IF(S96="[FÓRMULA MANUAL]","",IFERROR(AVERAGEIFS(DATOS!$K$2:$K$20000,DATOS!$A$2:$A$20000,S96,DATOS!$G$2:$G$20000,CONFIG_METADATA!$B$4,DATOS!$I$2:$I$20000,"Orquesta/Banda/Conjunto"),"")))</f>
        <v/>
      </c>
      <c r="V96" t="str">
        <f>IF(S96="","",IF(S96="[FÓRMULA MANUAL]","",IFERROR(AVERAGEIFS(DATOS!$K$2:$K$20000,DATOS!$A$2:$A$20000,S96,DATOS!$G$2:$G$20000,CONFIG_METADATA!$B$4,DATOS!$I$2:$I$20000,"Música de Cámara"),"")))</f>
        <v/>
      </c>
      <c r="W96" t="str">
        <f>IF(S96="","",IF(S96="[FÓRMULA MANUAL]","",IFERROR(SUMPRODUCT((DATOS!$A$2:$A$20000=S96)*(DATOS!$G$2:$G$20000=CONFIG_METADATA!$B$4)*(COUNTIF(CONFIG_ASIGNATURAS!$B$7:$B$27,DATOS!$I$2:$I$20000)&gt;0)*(DATOS!$K$2:$K$20000))/SUMPRODUCT((DATOS!$A$2:$A$20000=S96)*(DATOS!$G$2:$G$20000=CONFIG_METADATA!$B$4)*(COUNTIF(CONFIG_ASIGNATURAS!$B$7:$B$27,DATOS!$I$2:$I$20000)&gt;0)*1),"")))</f>
        <v/>
      </c>
      <c r="Z96" t="str">
        <f>IF(Y96="","",IF(Y96="[FÓRMULA MANUAL]","",IFERROR(AVERAGEIFS(DATOS!$K$2:$K$20000,DATOS!$A$2:$A$20000,Y96,DATOS!$G$2:$G$20000,CONFIG_METADATA!$B$4,DATOS!$I$2:$I$20000,"Análisis"),"")))</f>
        <v/>
      </c>
      <c r="AA96" t="str">
        <f>IF(Y96="","",IF(Y96="[FÓRMULA MANUAL]","",IFERROR(AVERAGEIFS(DATOS!$K$2:$K$20000,DATOS!$A$2:$A$20000,Y96,DATOS!$G$2:$G$20000,CONFIG_METADATA!$B$4,DATOS!$I$2:$I$20000,"Orquesta/Banda/Conjunto"),"")))</f>
        <v/>
      </c>
      <c r="AB96" t="str">
        <f>IF(Y96="","",IF(Y96="[FÓRMULA MANUAL]","",IFERROR(AVERAGEIFS(DATOS!$K$2:$K$20000,DATOS!$A$2:$A$20000,Y96,DATOS!$G$2:$G$20000,CONFIG_METADATA!$B$4,DATOS!$I$2:$I$20000,"Música de Cámara"),"")))</f>
        <v/>
      </c>
      <c r="AC96" t="str">
        <f>IF(Y96="","",IF(Y96="[FÓRMULA MANUAL]","",IFERROR(SUMPRODUCT((DATOS!$A$2:$A$20000=Y96)*(DATOS!$G$2:$G$20000=CONFIG_METADATA!$B$4)*(COUNTIF(CONFIG_ASIGNATURAS!$B$7:$B$27,DATOS!$I$2:$I$20000)&gt;0)*(DATOS!$K$2:$K$20000))/SUMPRODUCT((DATOS!$A$2:$A$20000=Y96)*(DATOS!$G$2:$G$20000=CONFIG_METADATA!$B$4)*(COUNTIF(CONFIG_ASIGNATURAS!$B$7:$B$27,DATOS!$I$2:$I$20000)&gt;0)*1),"")))</f>
        <v/>
      </c>
      <c r="AF96" t="str">
        <f>IF(AE96="","",IF(AE96="[FÓRMULA MANUAL]","",IFERROR(AVERAGEIFS(DATOS!$K$2:$K$20000,DATOS!$A$2:$A$20000,AE96,DATOS!$G$2:$G$20000,CONFIG_METADATA!$B$4,DATOS!$I$2:$I$20000,"Análisis"),"")))</f>
        <v/>
      </c>
      <c r="AG96" t="str">
        <f>IF(AE96="","",IF(AE96="[FÓRMULA MANUAL]","",IFERROR(AVERAGEIFS(DATOS!$K$2:$K$20000,DATOS!$A$2:$A$20000,AE96,DATOS!$G$2:$G$20000,CONFIG_METADATA!$B$4,DATOS!$I$2:$I$20000,"Orquesta/Banda/Conjunto"),"")))</f>
        <v/>
      </c>
      <c r="AH96" t="str">
        <f>IF(AE96="","",IF(AE96="[FÓRMULA MANUAL]","",IFERROR(AVERAGEIFS(DATOS!$K$2:$K$20000,DATOS!$A$2:$A$20000,AE96,DATOS!$G$2:$G$20000,CONFIG_METADATA!$B$4,DATOS!$I$2:$I$20000,"Música de Cámara"),"")))</f>
        <v/>
      </c>
      <c r="AI96" t="str">
        <f>IF(AE96="","",IF(AE96="[FÓRMULA MANUAL]","",IFERROR(SUMPRODUCT((DATOS!$A$2:$A$20000=AE96)*(DATOS!$G$2:$G$20000=CONFIG_METADATA!$B$4)*(COUNTIF(CONFIG_ASIGNATURAS!$B$7:$B$27,DATOS!$I$2:$I$20000)&gt;0)*(DATOS!$K$2:$K$20000))/SUMPRODUCT((DATOS!$A$2:$A$20000=AE96)*(DATOS!$G$2:$G$20000=CONFIG_METADATA!$B$4)*(COUNTIF(CONFIG_ASIGNATURAS!$B$7:$B$27,DATOS!$I$2:$I$20000)&gt;0)*1),"")))</f>
        <v/>
      </c>
    </row>
    <row r="97" spans="2:35" x14ac:dyDescent="0.2">
      <c r="B97" t="str">
        <f>IF(A97="","",IF(A97="[FÓRMULA MANUAL]","",IFERROR(AVERAGEIFS(DATOS!$K$2:$K$20000,DATOS!$A$2:$A$20000,A97,DATOS!$G$2:$G$20000,CONFIG_METADATA!$B$4,DATOS!$I$2:$I$20000,"Lenguaje Musical"),"")))</f>
        <v/>
      </c>
      <c r="C97" t="str">
        <f>IF(A97="","",IF(A97="[FÓRMULA MANUAL]","",IFERROR(AVERAGEIFS(DATOS!$K$2:$K$20000,DATOS!$A$2:$A$20000,A97,DATOS!$G$2:$G$20000,CONFIG_METADATA!$B$4,DATOS!$I$2:$I$20000,"Orquesta/Banda/Conjunto"),"")))</f>
        <v/>
      </c>
      <c r="D97" t="str">
        <f>IF(A97="","",IF(A97="[FÓRMULA MANUAL]","",IFERROR(AVERAGEIFS(DATOS!$K$2:$K$20000,DATOS!$A$2:$A$20000,A97,DATOS!$G$2:$G$20000,CONFIG_METADATA!$B$4,DATOS!$I$2:$I$20000,"Conjunto"),"")))</f>
        <v/>
      </c>
      <c r="E97" t="str">
        <f>IF(A97="","",IF(A97="[FÓRMULA MANUAL]","",IFERROR(SUMPRODUCT((DATOS!$A$2:$A$20000=A97)*(DATOS!$G$2:$G$20000=CONFIG_METADATA!$B$4)*(COUNTIF(CONFIG_ASIGNATURAS!$B$7:$B$27,DATOS!$I$2:$I$20000)&gt;0)*(DATOS!$K$2:$K$20000))/SUMPRODUCT((DATOS!$A$2:$A$20000=A97)*(DATOS!$G$2:$G$20000=CONFIG_METADATA!$B$4)*(COUNTIF(CONFIG_ASIGNATURAS!$B$7:$B$27,DATOS!$I$2:$I$20000)&gt;0)*1),"")))</f>
        <v/>
      </c>
      <c r="H97" t="str">
        <f>IF(G97="","",IF(G97="[FÓRMULA MANUAL]","",IFERROR(AVERAGEIFS(DATOS!$K$2:$K$20000,DATOS!$A$2:$A$20000,G97,DATOS!$G$2:$G$20000,CONFIG_METADATA!$B$4,DATOS!$I$2:$I$20000,"Lenguaje Musical"),"")))</f>
        <v/>
      </c>
      <c r="I97" t="str">
        <f>IF(G97="","",IF(G97="[FÓRMULA MANUAL]","",IFERROR(AVERAGEIFS(DATOS!$K$2:$K$20000,DATOS!$A$2:$A$20000,G97,DATOS!$G$2:$G$20000,CONFIG_METADATA!$B$4,DATOS!$I$2:$I$20000,"Orquesta/Banda/Conjunto"),"")))</f>
        <v/>
      </c>
      <c r="J97" t="str">
        <f>IF(G97="","",IF(G97="[FÓRMULA MANUAL]","",IFERROR(AVERAGEIFS(DATOS!$K$2:$K$20000,DATOS!$A$2:$A$20000,G97,DATOS!$G$2:$G$20000,CONFIG_METADATA!$B$4,DATOS!$I$2:$I$20000,"Conjunto"),"")))</f>
        <v/>
      </c>
      <c r="K97" t="str">
        <f>IF(G97="","",IF(G97="[FÓRMULA MANUAL]","",IFERROR(SUMPRODUCT((DATOS!$A$2:$A$20000=G97)*(DATOS!$G$2:$G$20000=CONFIG_METADATA!$B$4)*(COUNTIF(CONFIG_ASIGNATURAS!$B$7:$B$27,DATOS!$I$2:$I$20000)&gt;0)*(DATOS!$K$2:$K$20000))/SUMPRODUCT((DATOS!$A$2:$A$20000=G97)*(DATOS!$G$2:$G$20000=CONFIG_METADATA!$B$4)*(COUNTIF(CONFIG_ASIGNATURAS!$B$7:$B$27,DATOS!$I$2:$I$20000)&gt;0)*1),"")))</f>
        <v/>
      </c>
      <c r="N97" t="str">
        <f>IF(M97="","",IF(M97="[FÓRMULA MANUAL]","",IFERROR(AVERAGEIFS(DATOS!$K$2:$K$20000,DATOS!$A$2:$A$20000,M97,DATOS!$G$2:$G$20000,CONFIG_METADATA!$B$4,DATOS!$I$2:$I$20000,"Armonía"),"")))</f>
        <v/>
      </c>
      <c r="O97" t="str">
        <f>IF(M97="","",IF(M97="[FÓRMULA MANUAL]","",IFERROR(AVERAGEIFS(DATOS!$K$2:$K$20000,DATOS!$A$2:$A$20000,M97,DATOS!$G$2:$G$20000,CONFIG_METADATA!$B$4,DATOS!$I$2:$I$20000,"Orquesta/Banda/Conjunto"),"")))</f>
        <v/>
      </c>
      <c r="P97" t="str">
        <f>IF(M97="","",IF(M97="[FÓRMULA MANUAL]","",IFERROR(AVERAGEIFS(DATOS!$K$2:$K$20000,DATOS!$A$2:$A$20000,M97,DATOS!$G$2:$G$20000,CONFIG_METADATA!$B$4,DATOS!$I$2:$I$20000,"Música de Cámara"),"")))</f>
        <v/>
      </c>
      <c r="Q97" t="str">
        <f>IF(M97="","",IF(M97="[FÓRMULA MANUAL]","",IFERROR(SUMPRODUCT((DATOS!$A$2:$A$20000=M97)*(DATOS!$G$2:$G$20000=CONFIG_METADATA!$B$4)*(COUNTIF(CONFIG_ASIGNATURAS!$B$7:$B$27,DATOS!$I$2:$I$20000)&gt;0)*(DATOS!$K$2:$K$20000))/SUMPRODUCT((DATOS!$A$2:$A$20000=M97)*(DATOS!$G$2:$G$20000=CONFIG_METADATA!$B$4)*(COUNTIF(CONFIG_ASIGNATURAS!$B$7:$B$27,DATOS!$I$2:$I$20000)&gt;0)*1),"")))</f>
        <v/>
      </c>
      <c r="T97" t="str">
        <f>IF(S97="","",IF(S97="[FÓRMULA MANUAL]","",IFERROR(AVERAGEIFS(DATOS!$K$2:$K$20000,DATOS!$A$2:$A$20000,S97,DATOS!$G$2:$G$20000,CONFIG_METADATA!$B$4,DATOS!$I$2:$I$20000,"Armonía"),"")))</f>
        <v/>
      </c>
      <c r="U97" t="str">
        <f>IF(S97="","",IF(S97="[FÓRMULA MANUAL]","",IFERROR(AVERAGEIFS(DATOS!$K$2:$K$20000,DATOS!$A$2:$A$20000,S97,DATOS!$G$2:$G$20000,CONFIG_METADATA!$B$4,DATOS!$I$2:$I$20000,"Orquesta/Banda/Conjunto"),"")))</f>
        <v/>
      </c>
      <c r="V97" t="str">
        <f>IF(S97="","",IF(S97="[FÓRMULA MANUAL]","",IFERROR(AVERAGEIFS(DATOS!$K$2:$K$20000,DATOS!$A$2:$A$20000,S97,DATOS!$G$2:$G$20000,CONFIG_METADATA!$B$4,DATOS!$I$2:$I$20000,"Música de Cámara"),"")))</f>
        <v/>
      </c>
      <c r="W97" t="str">
        <f>IF(S97="","",IF(S97="[FÓRMULA MANUAL]","",IFERROR(SUMPRODUCT((DATOS!$A$2:$A$20000=S97)*(DATOS!$G$2:$G$20000=CONFIG_METADATA!$B$4)*(COUNTIF(CONFIG_ASIGNATURAS!$B$7:$B$27,DATOS!$I$2:$I$20000)&gt;0)*(DATOS!$K$2:$K$20000))/SUMPRODUCT((DATOS!$A$2:$A$20000=S97)*(DATOS!$G$2:$G$20000=CONFIG_METADATA!$B$4)*(COUNTIF(CONFIG_ASIGNATURAS!$B$7:$B$27,DATOS!$I$2:$I$20000)&gt;0)*1),"")))</f>
        <v/>
      </c>
      <c r="Z97" t="str">
        <f>IF(Y97="","",IF(Y97="[FÓRMULA MANUAL]","",IFERROR(AVERAGEIFS(DATOS!$K$2:$K$20000,DATOS!$A$2:$A$20000,Y97,DATOS!$G$2:$G$20000,CONFIG_METADATA!$B$4,DATOS!$I$2:$I$20000,"Análisis"),"")))</f>
        <v/>
      </c>
      <c r="AA97" t="str">
        <f>IF(Y97="","",IF(Y97="[FÓRMULA MANUAL]","",IFERROR(AVERAGEIFS(DATOS!$K$2:$K$20000,DATOS!$A$2:$A$20000,Y97,DATOS!$G$2:$G$20000,CONFIG_METADATA!$B$4,DATOS!$I$2:$I$20000,"Orquesta/Banda/Conjunto"),"")))</f>
        <v/>
      </c>
      <c r="AB97" t="str">
        <f>IF(Y97="","",IF(Y97="[FÓRMULA MANUAL]","",IFERROR(AVERAGEIFS(DATOS!$K$2:$K$20000,DATOS!$A$2:$A$20000,Y97,DATOS!$G$2:$G$20000,CONFIG_METADATA!$B$4,DATOS!$I$2:$I$20000,"Música de Cámara"),"")))</f>
        <v/>
      </c>
      <c r="AC97" t="str">
        <f>IF(Y97="","",IF(Y97="[FÓRMULA MANUAL]","",IFERROR(SUMPRODUCT((DATOS!$A$2:$A$20000=Y97)*(DATOS!$G$2:$G$20000=CONFIG_METADATA!$B$4)*(COUNTIF(CONFIG_ASIGNATURAS!$B$7:$B$27,DATOS!$I$2:$I$20000)&gt;0)*(DATOS!$K$2:$K$20000))/SUMPRODUCT((DATOS!$A$2:$A$20000=Y97)*(DATOS!$G$2:$G$20000=CONFIG_METADATA!$B$4)*(COUNTIF(CONFIG_ASIGNATURAS!$B$7:$B$27,DATOS!$I$2:$I$20000)&gt;0)*1),"")))</f>
        <v/>
      </c>
      <c r="AF97" t="str">
        <f>IF(AE97="","",IF(AE97="[FÓRMULA MANUAL]","",IFERROR(AVERAGEIFS(DATOS!$K$2:$K$20000,DATOS!$A$2:$A$20000,AE97,DATOS!$G$2:$G$20000,CONFIG_METADATA!$B$4,DATOS!$I$2:$I$20000,"Análisis"),"")))</f>
        <v/>
      </c>
      <c r="AG97" t="str">
        <f>IF(AE97="","",IF(AE97="[FÓRMULA MANUAL]","",IFERROR(AVERAGEIFS(DATOS!$K$2:$K$20000,DATOS!$A$2:$A$20000,AE97,DATOS!$G$2:$G$20000,CONFIG_METADATA!$B$4,DATOS!$I$2:$I$20000,"Orquesta/Banda/Conjunto"),"")))</f>
        <v/>
      </c>
      <c r="AH97" t="str">
        <f>IF(AE97="","",IF(AE97="[FÓRMULA MANUAL]","",IFERROR(AVERAGEIFS(DATOS!$K$2:$K$20000,DATOS!$A$2:$A$20000,AE97,DATOS!$G$2:$G$20000,CONFIG_METADATA!$B$4,DATOS!$I$2:$I$20000,"Música de Cámara"),"")))</f>
        <v/>
      </c>
      <c r="AI97" t="str">
        <f>IF(AE97="","",IF(AE97="[FÓRMULA MANUAL]","",IFERROR(SUMPRODUCT((DATOS!$A$2:$A$20000=AE97)*(DATOS!$G$2:$G$20000=CONFIG_METADATA!$B$4)*(COUNTIF(CONFIG_ASIGNATURAS!$B$7:$B$27,DATOS!$I$2:$I$20000)&gt;0)*(DATOS!$K$2:$K$20000))/SUMPRODUCT((DATOS!$A$2:$A$20000=AE97)*(DATOS!$G$2:$G$20000=CONFIG_METADATA!$B$4)*(COUNTIF(CONFIG_ASIGNATURAS!$B$7:$B$27,DATOS!$I$2:$I$20000)&gt;0)*1),"")))</f>
        <v/>
      </c>
    </row>
    <row r="98" spans="2:35" x14ac:dyDescent="0.2">
      <c r="B98" t="str">
        <f>IF(A98="","",IF(A98="[FÓRMULA MANUAL]","",IFERROR(AVERAGEIFS(DATOS!$K$2:$K$20000,DATOS!$A$2:$A$20000,A98,DATOS!$G$2:$G$20000,CONFIG_METADATA!$B$4,DATOS!$I$2:$I$20000,"Lenguaje Musical"),"")))</f>
        <v/>
      </c>
      <c r="C98" t="str">
        <f>IF(A98="","",IF(A98="[FÓRMULA MANUAL]","",IFERROR(AVERAGEIFS(DATOS!$K$2:$K$20000,DATOS!$A$2:$A$20000,A98,DATOS!$G$2:$G$20000,CONFIG_METADATA!$B$4,DATOS!$I$2:$I$20000,"Orquesta/Banda/Conjunto"),"")))</f>
        <v/>
      </c>
      <c r="D98" t="str">
        <f>IF(A98="","",IF(A98="[FÓRMULA MANUAL]","",IFERROR(AVERAGEIFS(DATOS!$K$2:$K$20000,DATOS!$A$2:$A$20000,A98,DATOS!$G$2:$G$20000,CONFIG_METADATA!$B$4,DATOS!$I$2:$I$20000,"Conjunto"),"")))</f>
        <v/>
      </c>
      <c r="E98" t="str">
        <f>IF(A98="","",IF(A98="[FÓRMULA MANUAL]","",IFERROR(SUMPRODUCT((DATOS!$A$2:$A$20000=A98)*(DATOS!$G$2:$G$20000=CONFIG_METADATA!$B$4)*(COUNTIF(CONFIG_ASIGNATURAS!$B$7:$B$27,DATOS!$I$2:$I$20000)&gt;0)*(DATOS!$K$2:$K$20000))/SUMPRODUCT((DATOS!$A$2:$A$20000=A98)*(DATOS!$G$2:$G$20000=CONFIG_METADATA!$B$4)*(COUNTIF(CONFIG_ASIGNATURAS!$B$7:$B$27,DATOS!$I$2:$I$20000)&gt;0)*1),"")))</f>
        <v/>
      </c>
      <c r="H98" t="str">
        <f>IF(G98="","",IF(G98="[FÓRMULA MANUAL]","",IFERROR(AVERAGEIFS(DATOS!$K$2:$K$20000,DATOS!$A$2:$A$20000,G98,DATOS!$G$2:$G$20000,CONFIG_METADATA!$B$4,DATOS!$I$2:$I$20000,"Lenguaje Musical"),"")))</f>
        <v/>
      </c>
      <c r="I98" t="str">
        <f>IF(G98="","",IF(G98="[FÓRMULA MANUAL]","",IFERROR(AVERAGEIFS(DATOS!$K$2:$K$20000,DATOS!$A$2:$A$20000,G98,DATOS!$G$2:$G$20000,CONFIG_METADATA!$B$4,DATOS!$I$2:$I$20000,"Orquesta/Banda/Conjunto"),"")))</f>
        <v/>
      </c>
      <c r="J98" t="str">
        <f>IF(G98="","",IF(G98="[FÓRMULA MANUAL]","",IFERROR(AVERAGEIFS(DATOS!$K$2:$K$20000,DATOS!$A$2:$A$20000,G98,DATOS!$G$2:$G$20000,CONFIG_METADATA!$B$4,DATOS!$I$2:$I$20000,"Conjunto"),"")))</f>
        <v/>
      </c>
      <c r="K98" t="str">
        <f>IF(G98="","",IF(G98="[FÓRMULA MANUAL]","",IFERROR(SUMPRODUCT((DATOS!$A$2:$A$20000=G98)*(DATOS!$G$2:$G$20000=CONFIG_METADATA!$B$4)*(COUNTIF(CONFIG_ASIGNATURAS!$B$7:$B$27,DATOS!$I$2:$I$20000)&gt;0)*(DATOS!$K$2:$K$20000))/SUMPRODUCT((DATOS!$A$2:$A$20000=G98)*(DATOS!$G$2:$G$20000=CONFIG_METADATA!$B$4)*(COUNTIF(CONFIG_ASIGNATURAS!$B$7:$B$27,DATOS!$I$2:$I$20000)&gt;0)*1),"")))</f>
        <v/>
      </c>
      <c r="N98" t="str">
        <f>IF(M98="","",IF(M98="[FÓRMULA MANUAL]","",IFERROR(AVERAGEIFS(DATOS!$K$2:$K$20000,DATOS!$A$2:$A$20000,M98,DATOS!$G$2:$G$20000,CONFIG_METADATA!$B$4,DATOS!$I$2:$I$20000,"Armonía"),"")))</f>
        <v/>
      </c>
      <c r="O98" t="str">
        <f>IF(M98="","",IF(M98="[FÓRMULA MANUAL]","",IFERROR(AVERAGEIFS(DATOS!$K$2:$K$20000,DATOS!$A$2:$A$20000,M98,DATOS!$G$2:$G$20000,CONFIG_METADATA!$B$4,DATOS!$I$2:$I$20000,"Orquesta/Banda/Conjunto"),"")))</f>
        <v/>
      </c>
      <c r="P98" t="str">
        <f>IF(M98="","",IF(M98="[FÓRMULA MANUAL]","",IFERROR(AVERAGEIFS(DATOS!$K$2:$K$20000,DATOS!$A$2:$A$20000,M98,DATOS!$G$2:$G$20000,CONFIG_METADATA!$B$4,DATOS!$I$2:$I$20000,"Música de Cámara"),"")))</f>
        <v/>
      </c>
      <c r="Q98" t="str">
        <f>IF(M98="","",IF(M98="[FÓRMULA MANUAL]","",IFERROR(SUMPRODUCT((DATOS!$A$2:$A$20000=M98)*(DATOS!$G$2:$G$20000=CONFIG_METADATA!$B$4)*(COUNTIF(CONFIG_ASIGNATURAS!$B$7:$B$27,DATOS!$I$2:$I$20000)&gt;0)*(DATOS!$K$2:$K$20000))/SUMPRODUCT((DATOS!$A$2:$A$20000=M98)*(DATOS!$G$2:$G$20000=CONFIG_METADATA!$B$4)*(COUNTIF(CONFIG_ASIGNATURAS!$B$7:$B$27,DATOS!$I$2:$I$20000)&gt;0)*1),"")))</f>
        <v/>
      </c>
      <c r="T98" t="str">
        <f>IF(S98="","",IF(S98="[FÓRMULA MANUAL]","",IFERROR(AVERAGEIFS(DATOS!$K$2:$K$20000,DATOS!$A$2:$A$20000,S98,DATOS!$G$2:$G$20000,CONFIG_METADATA!$B$4,DATOS!$I$2:$I$20000,"Armonía"),"")))</f>
        <v/>
      </c>
      <c r="U98" t="str">
        <f>IF(S98="","",IF(S98="[FÓRMULA MANUAL]","",IFERROR(AVERAGEIFS(DATOS!$K$2:$K$20000,DATOS!$A$2:$A$20000,S98,DATOS!$G$2:$G$20000,CONFIG_METADATA!$B$4,DATOS!$I$2:$I$20000,"Orquesta/Banda/Conjunto"),"")))</f>
        <v/>
      </c>
      <c r="V98" t="str">
        <f>IF(S98="","",IF(S98="[FÓRMULA MANUAL]","",IFERROR(AVERAGEIFS(DATOS!$K$2:$K$20000,DATOS!$A$2:$A$20000,S98,DATOS!$G$2:$G$20000,CONFIG_METADATA!$B$4,DATOS!$I$2:$I$20000,"Música de Cámara"),"")))</f>
        <v/>
      </c>
      <c r="W98" t="str">
        <f>IF(S98="","",IF(S98="[FÓRMULA MANUAL]","",IFERROR(SUMPRODUCT((DATOS!$A$2:$A$20000=S98)*(DATOS!$G$2:$G$20000=CONFIG_METADATA!$B$4)*(COUNTIF(CONFIG_ASIGNATURAS!$B$7:$B$27,DATOS!$I$2:$I$20000)&gt;0)*(DATOS!$K$2:$K$20000))/SUMPRODUCT((DATOS!$A$2:$A$20000=S98)*(DATOS!$G$2:$G$20000=CONFIG_METADATA!$B$4)*(COUNTIF(CONFIG_ASIGNATURAS!$B$7:$B$27,DATOS!$I$2:$I$20000)&gt;0)*1),"")))</f>
        <v/>
      </c>
      <c r="Z98" t="str">
        <f>IF(Y98="","",IF(Y98="[FÓRMULA MANUAL]","",IFERROR(AVERAGEIFS(DATOS!$K$2:$K$20000,DATOS!$A$2:$A$20000,Y98,DATOS!$G$2:$G$20000,CONFIG_METADATA!$B$4,DATOS!$I$2:$I$20000,"Análisis"),"")))</f>
        <v/>
      </c>
      <c r="AA98" t="str">
        <f>IF(Y98="","",IF(Y98="[FÓRMULA MANUAL]","",IFERROR(AVERAGEIFS(DATOS!$K$2:$K$20000,DATOS!$A$2:$A$20000,Y98,DATOS!$G$2:$G$20000,CONFIG_METADATA!$B$4,DATOS!$I$2:$I$20000,"Orquesta/Banda/Conjunto"),"")))</f>
        <v/>
      </c>
      <c r="AB98" t="str">
        <f>IF(Y98="","",IF(Y98="[FÓRMULA MANUAL]","",IFERROR(AVERAGEIFS(DATOS!$K$2:$K$20000,DATOS!$A$2:$A$20000,Y98,DATOS!$G$2:$G$20000,CONFIG_METADATA!$B$4,DATOS!$I$2:$I$20000,"Música de Cámara"),"")))</f>
        <v/>
      </c>
      <c r="AC98" t="str">
        <f>IF(Y98="","",IF(Y98="[FÓRMULA MANUAL]","",IFERROR(SUMPRODUCT((DATOS!$A$2:$A$20000=Y98)*(DATOS!$G$2:$G$20000=CONFIG_METADATA!$B$4)*(COUNTIF(CONFIG_ASIGNATURAS!$B$7:$B$27,DATOS!$I$2:$I$20000)&gt;0)*(DATOS!$K$2:$K$20000))/SUMPRODUCT((DATOS!$A$2:$A$20000=Y98)*(DATOS!$G$2:$G$20000=CONFIG_METADATA!$B$4)*(COUNTIF(CONFIG_ASIGNATURAS!$B$7:$B$27,DATOS!$I$2:$I$20000)&gt;0)*1),"")))</f>
        <v/>
      </c>
      <c r="AF98" t="str">
        <f>IF(AE98="","",IF(AE98="[FÓRMULA MANUAL]","",IFERROR(AVERAGEIFS(DATOS!$K$2:$K$20000,DATOS!$A$2:$A$20000,AE98,DATOS!$G$2:$G$20000,CONFIG_METADATA!$B$4,DATOS!$I$2:$I$20000,"Análisis"),"")))</f>
        <v/>
      </c>
      <c r="AG98" t="str">
        <f>IF(AE98="","",IF(AE98="[FÓRMULA MANUAL]","",IFERROR(AVERAGEIFS(DATOS!$K$2:$K$20000,DATOS!$A$2:$A$20000,AE98,DATOS!$G$2:$G$20000,CONFIG_METADATA!$B$4,DATOS!$I$2:$I$20000,"Orquesta/Banda/Conjunto"),"")))</f>
        <v/>
      </c>
      <c r="AH98" t="str">
        <f>IF(AE98="","",IF(AE98="[FÓRMULA MANUAL]","",IFERROR(AVERAGEIFS(DATOS!$K$2:$K$20000,DATOS!$A$2:$A$20000,AE98,DATOS!$G$2:$G$20000,CONFIG_METADATA!$B$4,DATOS!$I$2:$I$20000,"Música de Cámara"),"")))</f>
        <v/>
      </c>
      <c r="AI98" t="str">
        <f>IF(AE98="","",IF(AE98="[FÓRMULA MANUAL]","",IFERROR(SUMPRODUCT((DATOS!$A$2:$A$20000=AE98)*(DATOS!$G$2:$G$20000=CONFIG_METADATA!$B$4)*(COUNTIF(CONFIG_ASIGNATURAS!$B$7:$B$27,DATOS!$I$2:$I$20000)&gt;0)*(DATOS!$K$2:$K$20000))/SUMPRODUCT((DATOS!$A$2:$A$20000=AE98)*(DATOS!$G$2:$G$20000=CONFIG_METADATA!$B$4)*(COUNTIF(CONFIG_ASIGNATURAS!$B$7:$B$27,DATOS!$I$2:$I$20000)&gt;0)*1),"")))</f>
        <v/>
      </c>
    </row>
    <row r="99" spans="2:35" x14ac:dyDescent="0.2">
      <c r="B99" t="str">
        <f>IF(A99="","",IF(A99="[FÓRMULA MANUAL]","",IFERROR(AVERAGEIFS(DATOS!$K$2:$K$20000,DATOS!$A$2:$A$20000,A99,DATOS!$G$2:$G$20000,CONFIG_METADATA!$B$4,DATOS!$I$2:$I$20000,"Lenguaje Musical"),"")))</f>
        <v/>
      </c>
      <c r="C99" t="str">
        <f>IF(A99="","",IF(A99="[FÓRMULA MANUAL]","",IFERROR(AVERAGEIFS(DATOS!$K$2:$K$20000,DATOS!$A$2:$A$20000,A99,DATOS!$G$2:$G$20000,CONFIG_METADATA!$B$4,DATOS!$I$2:$I$20000,"Orquesta/Banda/Conjunto"),"")))</f>
        <v/>
      </c>
      <c r="D99" t="str">
        <f>IF(A99="","",IF(A99="[FÓRMULA MANUAL]","",IFERROR(AVERAGEIFS(DATOS!$K$2:$K$20000,DATOS!$A$2:$A$20000,A99,DATOS!$G$2:$G$20000,CONFIG_METADATA!$B$4,DATOS!$I$2:$I$20000,"Conjunto"),"")))</f>
        <v/>
      </c>
      <c r="E99" t="str">
        <f>IF(A99="","",IF(A99="[FÓRMULA MANUAL]","",IFERROR(SUMPRODUCT((DATOS!$A$2:$A$20000=A99)*(DATOS!$G$2:$G$20000=CONFIG_METADATA!$B$4)*(COUNTIF(CONFIG_ASIGNATURAS!$B$7:$B$27,DATOS!$I$2:$I$20000)&gt;0)*(DATOS!$K$2:$K$20000))/SUMPRODUCT((DATOS!$A$2:$A$20000=A99)*(DATOS!$G$2:$G$20000=CONFIG_METADATA!$B$4)*(COUNTIF(CONFIG_ASIGNATURAS!$B$7:$B$27,DATOS!$I$2:$I$20000)&gt;0)*1),"")))</f>
        <v/>
      </c>
      <c r="H99" t="str">
        <f>IF(G99="","",IF(G99="[FÓRMULA MANUAL]","",IFERROR(AVERAGEIFS(DATOS!$K$2:$K$20000,DATOS!$A$2:$A$20000,G99,DATOS!$G$2:$G$20000,CONFIG_METADATA!$B$4,DATOS!$I$2:$I$20000,"Lenguaje Musical"),"")))</f>
        <v/>
      </c>
      <c r="I99" t="str">
        <f>IF(G99="","",IF(G99="[FÓRMULA MANUAL]","",IFERROR(AVERAGEIFS(DATOS!$K$2:$K$20000,DATOS!$A$2:$A$20000,G99,DATOS!$G$2:$G$20000,CONFIG_METADATA!$B$4,DATOS!$I$2:$I$20000,"Orquesta/Banda/Conjunto"),"")))</f>
        <v/>
      </c>
      <c r="J99" t="str">
        <f>IF(G99="","",IF(G99="[FÓRMULA MANUAL]","",IFERROR(AVERAGEIFS(DATOS!$K$2:$K$20000,DATOS!$A$2:$A$20000,G99,DATOS!$G$2:$G$20000,CONFIG_METADATA!$B$4,DATOS!$I$2:$I$20000,"Conjunto"),"")))</f>
        <v/>
      </c>
      <c r="K99" t="str">
        <f>IF(G99="","",IF(G99="[FÓRMULA MANUAL]","",IFERROR(SUMPRODUCT((DATOS!$A$2:$A$20000=G99)*(DATOS!$G$2:$G$20000=CONFIG_METADATA!$B$4)*(COUNTIF(CONFIG_ASIGNATURAS!$B$7:$B$27,DATOS!$I$2:$I$20000)&gt;0)*(DATOS!$K$2:$K$20000))/SUMPRODUCT((DATOS!$A$2:$A$20000=G99)*(DATOS!$G$2:$G$20000=CONFIG_METADATA!$B$4)*(COUNTIF(CONFIG_ASIGNATURAS!$B$7:$B$27,DATOS!$I$2:$I$20000)&gt;0)*1),"")))</f>
        <v/>
      </c>
      <c r="N99" t="str">
        <f>IF(M99="","",IF(M99="[FÓRMULA MANUAL]","",IFERROR(AVERAGEIFS(DATOS!$K$2:$K$20000,DATOS!$A$2:$A$20000,M99,DATOS!$G$2:$G$20000,CONFIG_METADATA!$B$4,DATOS!$I$2:$I$20000,"Armonía"),"")))</f>
        <v/>
      </c>
      <c r="O99" t="str">
        <f>IF(M99="","",IF(M99="[FÓRMULA MANUAL]","",IFERROR(AVERAGEIFS(DATOS!$K$2:$K$20000,DATOS!$A$2:$A$20000,M99,DATOS!$G$2:$G$20000,CONFIG_METADATA!$B$4,DATOS!$I$2:$I$20000,"Orquesta/Banda/Conjunto"),"")))</f>
        <v/>
      </c>
      <c r="P99" t="str">
        <f>IF(M99="","",IF(M99="[FÓRMULA MANUAL]","",IFERROR(AVERAGEIFS(DATOS!$K$2:$K$20000,DATOS!$A$2:$A$20000,M99,DATOS!$G$2:$G$20000,CONFIG_METADATA!$B$4,DATOS!$I$2:$I$20000,"Música de Cámara"),"")))</f>
        <v/>
      </c>
      <c r="Q99" t="str">
        <f>IF(M99="","",IF(M99="[FÓRMULA MANUAL]","",IFERROR(SUMPRODUCT((DATOS!$A$2:$A$20000=M99)*(DATOS!$G$2:$G$20000=CONFIG_METADATA!$B$4)*(COUNTIF(CONFIG_ASIGNATURAS!$B$7:$B$27,DATOS!$I$2:$I$20000)&gt;0)*(DATOS!$K$2:$K$20000))/SUMPRODUCT((DATOS!$A$2:$A$20000=M99)*(DATOS!$G$2:$G$20000=CONFIG_METADATA!$B$4)*(COUNTIF(CONFIG_ASIGNATURAS!$B$7:$B$27,DATOS!$I$2:$I$20000)&gt;0)*1),"")))</f>
        <v/>
      </c>
      <c r="T99" t="str">
        <f>IF(S99="","",IF(S99="[FÓRMULA MANUAL]","",IFERROR(AVERAGEIFS(DATOS!$K$2:$K$20000,DATOS!$A$2:$A$20000,S99,DATOS!$G$2:$G$20000,CONFIG_METADATA!$B$4,DATOS!$I$2:$I$20000,"Armonía"),"")))</f>
        <v/>
      </c>
      <c r="U99" t="str">
        <f>IF(S99="","",IF(S99="[FÓRMULA MANUAL]","",IFERROR(AVERAGEIFS(DATOS!$K$2:$K$20000,DATOS!$A$2:$A$20000,S99,DATOS!$G$2:$G$20000,CONFIG_METADATA!$B$4,DATOS!$I$2:$I$20000,"Orquesta/Banda/Conjunto"),"")))</f>
        <v/>
      </c>
      <c r="V99" t="str">
        <f>IF(S99="","",IF(S99="[FÓRMULA MANUAL]","",IFERROR(AVERAGEIFS(DATOS!$K$2:$K$20000,DATOS!$A$2:$A$20000,S99,DATOS!$G$2:$G$20000,CONFIG_METADATA!$B$4,DATOS!$I$2:$I$20000,"Música de Cámara"),"")))</f>
        <v/>
      </c>
      <c r="W99" t="str">
        <f>IF(S99="","",IF(S99="[FÓRMULA MANUAL]","",IFERROR(SUMPRODUCT((DATOS!$A$2:$A$20000=S99)*(DATOS!$G$2:$G$20000=CONFIG_METADATA!$B$4)*(COUNTIF(CONFIG_ASIGNATURAS!$B$7:$B$27,DATOS!$I$2:$I$20000)&gt;0)*(DATOS!$K$2:$K$20000))/SUMPRODUCT((DATOS!$A$2:$A$20000=S99)*(DATOS!$G$2:$G$20000=CONFIG_METADATA!$B$4)*(COUNTIF(CONFIG_ASIGNATURAS!$B$7:$B$27,DATOS!$I$2:$I$20000)&gt;0)*1),"")))</f>
        <v/>
      </c>
      <c r="Z99" t="str">
        <f>IF(Y99="","",IF(Y99="[FÓRMULA MANUAL]","",IFERROR(AVERAGEIFS(DATOS!$K$2:$K$20000,DATOS!$A$2:$A$20000,Y99,DATOS!$G$2:$G$20000,CONFIG_METADATA!$B$4,DATOS!$I$2:$I$20000,"Análisis"),"")))</f>
        <v/>
      </c>
      <c r="AA99" t="str">
        <f>IF(Y99="","",IF(Y99="[FÓRMULA MANUAL]","",IFERROR(AVERAGEIFS(DATOS!$K$2:$K$20000,DATOS!$A$2:$A$20000,Y99,DATOS!$G$2:$G$20000,CONFIG_METADATA!$B$4,DATOS!$I$2:$I$20000,"Orquesta/Banda/Conjunto"),"")))</f>
        <v/>
      </c>
      <c r="AB99" t="str">
        <f>IF(Y99="","",IF(Y99="[FÓRMULA MANUAL]","",IFERROR(AVERAGEIFS(DATOS!$K$2:$K$20000,DATOS!$A$2:$A$20000,Y99,DATOS!$G$2:$G$20000,CONFIG_METADATA!$B$4,DATOS!$I$2:$I$20000,"Música de Cámara"),"")))</f>
        <v/>
      </c>
      <c r="AC99" t="str">
        <f>IF(Y99="","",IF(Y99="[FÓRMULA MANUAL]","",IFERROR(SUMPRODUCT((DATOS!$A$2:$A$20000=Y99)*(DATOS!$G$2:$G$20000=CONFIG_METADATA!$B$4)*(COUNTIF(CONFIG_ASIGNATURAS!$B$7:$B$27,DATOS!$I$2:$I$20000)&gt;0)*(DATOS!$K$2:$K$20000))/SUMPRODUCT((DATOS!$A$2:$A$20000=Y99)*(DATOS!$G$2:$G$20000=CONFIG_METADATA!$B$4)*(COUNTIF(CONFIG_ASIGNATURAS!$B$7:$B$27,DATOS!$I$2:$I$20000)&gt;0)*1),"")))</f>
        <v/>
      </c>
      <c r="AF99" t="str">
        <f>IF(AE99="","",IF(AE99="[FÓRMULA MANUAL]","",IFERROR(AVERAGEIFS(DATOS!$K$2:$K$20000,DATOS!$A$2:$A$20000,AE99,DATOS!$G$2:$G$20000,CONFIG_METADATA!$B$4,DATOS!$I$2:$I$20000,"Análisis"),"")))</f>
        <v/>
      </c>
      <c r="AG99" t="str">
        <f>IF(AE99="","",IF(AE99="[FÓRMULA MANUAL]","",IFERROR(AVERAGEIFS(DATOS!$K$2:$K$20000,DATOS!$A$2:$A$20000,AE99,DATOS!$G$2:$G$20000,CONFIG_METADATA!$B$4,DATOS!$I$2:$I$20000,"Orquesta/Banda/Conjunto"),"")))</f>
        <v/>
      </c>
      <c r="AH99" t="str">
        <f>IF(AE99="","",IF(AE99="[FÓRMULA MANUAL]","",IFERROR(AVERAGEIFS(DATOS!$K$2:$K$20000,DATOS!$A$2:$A$20000,AE99,DATOS!$G$2:$G$20000,CONFIG_METADATA!$B$4,DATOS!$I$2:$I$20000,"Música de Cámara"),"")))</f>
        <v/>
      </c>
      <c r="AI99" t="str">
        <f>IF(AE99="","",IF(AE99="[FÓRMULA MANUAL]","",IFERROR(SUMPRODUCT((DATOS!$A$2:$A$20000=AE99)*(DATOS!$G$2:$G$20000=CONFIG_METADATA!$B$4)*(COUNTIF(CONFIG_ASIGNATURAS!$B$7:$B$27,DATOS!$I$2:$I$20000)&gt;0)*(DATOS!$K$2:$K$20000))/SUMPRODUCT((DATOS!$A$2:$A$20000=AE99)*(DATOS!$G$2:$G$20000=CONFIG_METADATA!$B$4)*(COUNTIF(CONFIG_ASIGNATURAS!$B$7:$B$27,DATOS!$I$2:$I$20000)&gt;0)*1),"")))</f>
        <v/>
      </c>
    </row>
    <row r="100" spans="2:35" x14ac:dyDescent="0.2">
      <c r="B100" t="str">
        <f>IF(A100="","",IF(A100="[FÓRMULA MANUAL]","",IFERROR(AVERAGEIFS(DATOS!$K$2:$K$20000,DATOS!$A$2:$A$20000,A100,DATOS!$G$2:$G$20000,CONFIG_METADATA!$B$4,DATOS!$I$2:$I$20000,"Lenguaje Musical"),"")))</f>
        <v/>
      </c>
      <c r="C100" t="str">
        <f>IF(A100="","",IF(A100="[FÓRMULA MANUAL]","",IFERROR(AVERAGEIFS(DATOS!$K$2:$K$20000,DATOS!$A$2:$A$20000,A100,DATOS!$G$2:$G$20000,CONFIG_METADATA!$B$4,DATOS!$I$2:$I$20000,"Orquesta/Banda/Conjunto"),"")))</f>
        <v/>
      </c>
      <c r="D100" t="str">
        <f>IF(A100="","",IF(A100="[FÓRMULA MANUAL]","",IFERROR(AVERAGEIFS(DATOS!$K$2:$K$20000,DATOS!$A$2:$A$20000,A100,DATOS!$G$2:$G$20000,CONFIG_METADATA!$B$4,DATOS!$I$2:$I$20000,"Conjunto"),"")))</f>
        <v/>
      </c>
      <c r="E100" t="str">
        <f>IF(A100="","",IF(A100="[FÓRMULA MANUAL]","",IFERROR(SUMPRODUCT((DATOS!$A$2:$A$20000=A100)*(DATOS!$G$2:$G$20000=CONFIG_METADATA!$B$4)*(COUNTIF(CONFIG_ASIGNATURAS!$B$7:$B$27,DATOS!$I$2:$I$20000)&gt;0)*(DATOS!$K$2:$K$20000))/SUMPRODUCT((DATOS!$A$2:$A$20000=A100)*(DATOS!$G$2:$G$20000=CONFIG_METADATA!$B$4)*(COUNTIF(CONFIG_ASIGNATURAS!$B$7:$B$27,DATOS!$I$2:$I$20000)&gt;0)*1),"")))</f>
        <v/>
      </c>
      <c r="H100" t="str">
        <f>IF(G100="","",IF(G100="[FÓRMULA MANUAL]","",IFERROR(AVERAGEIFS(DATOS!$K$2:$K$20000,DATOS!$A$2:$A$20000,G100,DATOS!$G$2:$G$20000,CONFIG_METADATA!$B$4,DATOS!$I$2:$I$20000,"Lenguaje Musical"),"")))</f>
        <v/>
      </c>
      <c r="I100" t="str">
        <f>IF(G100="","",IF(G100="[FÓRMULA MANUAL]","",IFERROR(AVERAGEIFS(DATOS!$K$2:$K$20000,DATOS!$A$2:$A$20000,G100,DATOS!$G$2:$G$20000,CONFIG_METADATA!$B$4,DATOS!$I$2:$I$20000,"Orquesta/Banda/Conjunto"),"")))</f>
        <v/>
      </c>
      <c r="J100" t="str">
        <f>IF(G100="","",IF(G100="[FÓRMULA MANUAL]","",IFERROR(AVERAGEIFS(DATOS!$K$2:$K$20000,DATOS!$A$2:$A$20000,G100,DATOS!$G$2:$G$20000,CONFIG_METADATA!$B$4,DATOS!$I$2:$I$20000,"Conjunto"),"")))</f>
        <v/>
      </c>
      <c r="K100" t="str">
        <f>IF(G100="","",IF(G100="[FÓRMULA MANUAL]","",IFERROR(SUMPRODUCT((DATOS!$A$2:$A$20000=G100)*(DATOS!$G$2:$G$20000=CONFIG_METADATA!$B$4)*(COUNTIF(CONFIG_ASIGNATURAS!$B$7:$B$27,DATOS!$I$2:$I$20000)&gt;0)*(DATOS!$K$2:$K$20000))/SUMPRODUCT((DATOS!$A$2:$A$20000=G100)*(DATOS!$G$2:$G$20000=CONFIG_METADATA!$B$4)*(COUNTIF(CONFIG_ASIGNATURAS!$B$7:$B$27,DATOS!$I$2:$I$20000)&gt;0)*1),"")))</f>
        <v/>
      </c>
      <c r="N100" t="str">
        <f>IF(M100="","",IF(M100="[FÓRMULA MANUAL]","",IFERROR(AVERAGEIFS(DATOS!$K$2:$K$20000,DATOS!$A$2:$A$20000,M100,DATOS!$G$2:$G$20000,CONFIG_METADATA!$B$4,DATOS!$I$2:$I$20000,"Armonía"),"")))</f>
        <v/>
      </c>
      <c r="O100" t="str">
        <f>IF(M100="","",IF(M100="[FÓRMULA MANUAL]","",IFERROR(AVERAGEIFS(DATOS!$K$2:$K$20000,DATOS!$A$2:$A$20000,M100,DATOS!$G$2:$G$20000,CONFIG_METADATA!$B$4,DATOS!$I$2:$I$20000,"Orquesta/Banda/Conjunto"),"")))</f>
        <v/>
      </c>
      <c r="P100" t="str">
        <f>IF(M100="","",IF(M100="[FÓRMULA MANUAL]","",IFERROR(AVERAGEIFS(DATOS!$K$2:$K$20000,DATOS!$A$2:$A$20000,M100,DATOS!$G$2:$G$20000,CONFIG_METADATA!$B$4,DATOS!$I$2:$I$20000,"Música de Cámara"),"")))</f>
        <v/>
      </c>
      <c r="Q100" t="str">
        <f>IF(M100="","",IF(M100="[FÓRMULA MANUAL]","",IFERROR(SUMPRODUCT((DATOS!$A$2:$A$20000=M100)*(DATOS!$G$2:$G$20000=CONFIG_METADATA!$B$4)*(COUNTIF(CONFIG_ASIGNATURAS!$B$7:$B$27,DATOS!$I$2:$I$20000)&gt;0)*(DATOS!$K$2:$K$20000))/SUMPRODUCT((DATOS!$A$2:$A$20000=M100)*(DATOS!$G$2:$G$20000=CONFIG_METADATA!$B$4)*(COUNTIF(CONFIG_ASIGNATURAS!$B$7:$B$27,DATOS!$I$2:$I$20000)&gt;0)*1),"")))</f>
        <v/>
      </c>
      <c r="T100" t="str">
        <f>IF(S100="","",IF(S100="[FÓRMULA MANUAL]","",IFERROR(AVERAGEIFS(DATOS!$K$2:$K$20000,DATOS!$A$2:$A$20000,S100,DATOS!$G$2:$G$20000,CONFIG_METADATA!$B$4,DATOS!$I$2:$I$20000,"Armonía"),"")))</f>
        <v/>
      </c>
      <c r="U100" t="str">
        <f>IF(S100="","",IF(S100="[FÓRMULA MANUAL]","",IFERROR(AVERAGEIFS(DATOS!$K$2:$K$20000,DATOS!$A$2:$A$20000,S100,DATOS!$G$2:$G$20000,CONFIG_METADATA!$B$4,DATOS!$I$2:$I$20000,"Orquesta/Banda/Conjunto"),"")))</f>
        <v/>
      </c>
      <c r="V100" t="str">
        <f>IF(S100="","",IF(S100="[FÓRMULA MANUAL]","",IFERROR(AVERAGEIFS(DATOS!$K$2:$K$20000,DATOS!$A$2:$A$20000,S100,DATOS!$G$2:$G$20000,CONFIG_METADATA!$B$4,DATOS!$I$2:$I$20000,"Música de Cámara"),"")))</f>
        <v/>
      </c>
      <c r="W100" t="str">
        <f>IF(S100="","",IF(S100="[FÓRMULA MANUAL]","",IFERROR(SUMPRODUCT((DATOS!$A$2:$A$20000=S100)*(DATOS!$G$2:$G$20000=CONFIG_METADATA!$B$4)*(COUNTIF(CONFIG_ASIGNATURAS!$B$7:$B$27,DATOS!$I$2:$I$20000)&gt;0)*(DATOS!$K$2:$K$20000))/SUMPRODUCT((DATOS!$A$2:$A$20000=S100)*(DATOS!$G$2:$G$20000=CONFIG_METADATA!$B$4)*(COUNTIF(CONFIG_ASIGNATURAS!$B$7:$B$27,DATOS!$I$2:$I$20000)&gt;0)*1),"")))</f>
        <v/>
      </c>
      <c r="Z100" t="str">
        <f>IF(Y100="","",IF(Y100="[FÓRMULA MANUAL]","",IFERROR(AVERAGEIFS(DATOS!$K$2:$K$20000,DATOS!$A$2:$A$20000,Y100,DATOS!$G$2:$G$20000,CONFIG_METADATA!$B$4,DATOS!$I$2:$I$20000,"Análisis"),"")))</f>
        <v/>
      </c>
      <c r="AA100" t="str">
        <f>IF(Y100="","",IF(Y100="[FÓRMULA MANUAL]","",IFERROR(AVERAGEIFS(DATOS!$K$2:$K$20000,DATOS!$A$2:$A$20000,Y100,DATOS!$G$2:$G$20000,CONFIG_METADATA!$B$4,DATOS!$I$2:$I$20000,"Orquesta/Banda/Conjunto"),"")))</f>
        <v/>
      </c>
      <c r="AB100" t="str">
        <f>IF(Y100="","",IF(Y100="[FÓRMULA MANUAL]","",IFERROR(AVERAGEIFS(DATOS!$K$2:$K$20000,DATOS!$A$2:$A$20000,Y100,DATOS!$G$2:$G$20000,CONFIG_METADATA!$B$4,DATOS!$I$2:$I$20000,"Música de Cámara"),"")))</f>
        <v/>
      </c>
      <c r="AC100" t="str">
        <f>IF(Y100="","",IF(Y100="[FÓRMULA MANUAL]","",IFERROR(SUMPRODUCT((DATOS!$A$2:$A$20000=Y100)*(DATOS!$G$2:$G$20000=CONFIG_METADATA!$B$4)*(COUNTIF(CONFIG_ASIGNATURAS!$B$7:$B$27,DATOS!$I$2:$I$20000)&gt;0)*(DATOS!$K$2:$K$20000))/SUMPRODUCT((DATOS!$A$2:$A$20000=Y100)*(DATOS!$G$2:$G$20000=CONFIG_METADATA!$B$4)*(COUNTIF(CONFIG_ASIGNATURAS!$B$7:$B$27,DATOS!$I$2:$I$20000)&gt;0)*1),"")))</f>
        <v/>
      </c>
      <c r="AF100" t="str">
        <f>IF(AE100="","",IF(AE100="[FÓRMULA MANUAL]","",IFERROR(AVERAGEIFS(DATOS!$K$2:$K$20000,DATOS!$A$2:$A$20000,AE100,DATOS!$G$2:$G$20000,CONFIG_METADATA!$B$4,DATOS!$I$2:$I$20000,"Análisis"),"")))</f>
        <v/>
      </c>
      <c r="AG100" t="str">
        <f>IF(AE100="","",IF(AE100="[FÓRMULA MANUAL]","",IFERROR(AVERAGEIFS(DATOS!$K$2:$K$20000,DATOS!$A$2:$A$20000,AE100,DATOS!$G$2:$G$20000,CONFIG_METADATA!$B$4,DATOS!$I$2:$I$20000,"Orquesta/Banda/Conjunto"),"")))</f>
        <v/>
      </c>
      <c r="AH100" t="str">
        <f>IF(AE100="","",IF(AE100="[FÓRMULA MANUAL]","",IFERROR(AVERAGEIFS(DATOS!$K$2:$K$20000,DATOS!$A$2:$A$20000,AE100,DATOS!$G$2:$G$20000,CONFIG_METADATA!$B$4,DATOS!$I$2:$I$20000,"Música de Cámara"),"")))</f>
        <v/>
      </c>
      <c r="AI100" t="str">
        <f>IF(AE100="","",IF(AE100="[FÓRMULA MANUAL]","",IFERROR(SUMPRODUCT((DATOS!$A$2:$A$20000=AE100)*(DATOS!$G$2:$G$20000=CONFIG_METADATA!$B$4)*(COUNTIF(CONFIG_ASIGNATURAS!$B$7:$B$27,DATOS!$I$2:$I$20000)&gt;0)*(DATOS!$K$2:$K$20000))/SUMPRODUCT((DATOS!$A$2:$A$20000=AE100)*(DATOS!$G$2:$G$20000=CONFIG_METADATA!$B$4)*(COUNTIF(CONFIG_ASIGNATURAS!$B$7:$B$27,DATOS!$I$2:$I$20000)&gt;0)*1),"")))</f>
        <v/>
      </c>
    </row>
    <row r="101" spans="2:35" x14ac:dyDescent="0.2">
      <c r="B101" t="str">
        <f>IF(A101="","",IF(A101="[FÓRMULA MANUAL]","",IFERROR(AVERAGEIFS(DATOS!$K$2:$K$20000,DATOS!$A$2:$A$20000,A101,DATOS!$G$2:$G$20000,CONFIG_METADATA!$B$4,DATOS!$I$2:$I$20000,"Lenguaje Musical"),"")))</f>
        <v/>
      </c>
      <c r="C101" t="str">
        <f>IF(A101="","",IF(A101="[FÓRMULA MANUAL]","",IFERROR(AVERAGEIFS(DATOS!$K$2:$K$20000,DATOS!$A$2:$A$20000,A101,DATOS!$G$2:$G$20000,CONFIG_METADATA!$B$4,DATOS!$I$2:$I$20000,"Orquesta/Banda/Conjunto"),"")))</f>
        <v/>
      </c>
      <c r="D101" t="str">
        <f>IF(A101="","",IF(A101="[FÓRMULA MANUAL]","",IFERROR(AVERAGEIFS(DATOS!$K$2:$K$20000,DATOS!$A$2:$A$20000,A101,DATOS!$G$2:$G$20000,CONFIG_METADATA!$B$4,DATOS!$I$2:$I$20000,"Conjunto"),"")))</f>
        <v/>
      </c>
      <c r="E101" t="str">
        <f>IF(A101="","",IF(A101="[FÓRMULA MANUAL]","",IFERROR(SUMPRODUCT((DATOS!$A$2:$A$20000=A101)*(DATOS!$G$2:$G$20000=CONFIG_METADATA!$B$4)*(COUNTIF(CONFIG_ASIGNATURAS!$B$7:$B$27,DATOS!$I$2:$I$20000)&gt;0)*(DATOS!$K$2:$K$20000))/SUMPRODUCT((DATOS!$A$2:$A$20000=A101)*(DATOS!$G$2:$G$20000=CONFIG_METADATA!$B$4)*(COUNTIF(CONFIG_ASIGNATURAS!$B$7:$B$27,DATOS!$I$2:$I$20000)&gt;0)*1),"")))</f>
        <v/>
      </c>
      <c r="H101" t="str">
        <f>IF(G101="","",IF(G101="[FÓRMULA MANUAL]","",IFERROR(AVERAGEIFS(DATOS!$K$2:$K$20000,DATOS!$A$2:$A$20000,G101,DATOS!$G$2:$G$20000,CONFIG_METADATA!$B$4,DATOS!$I$2:$I$20000,"Lenguaje Musical"),"")))</f>
        <v/>
      </c>
      <c r="I101" t="str">
        <f>IF(G101="","",IF(G101="[FÓRMULA MANUAL]","",IFERROR(AVERAGEIFS(DATOS!$K$2:$K$20000,DATOS!$A$2:$A$20000,G101,DATOS!$G$2:$G$20000,CONFIG_METADATA!$B$4,DATOS!$I$2:$I$20000,"Orquesta/Banda/Conjunto"),"")))</f>
        <v/>
      </c>
      <c r="J101" t="str">
        <f>IF(G101="","",IF(G101="[FÓRMULA MANUAL]","",IFERROR(AVERAGEIFS(DATOS!$K$2:$K$20000,DATOS!$A$2:$A$20000,G101,DATOS!$G$2:$G$20000,CONFIG_METADATA!$B$4,DATOS!$I$2:$I$20000,"Conjunto"),"")))</f>
        <v/>
      </c>
      <c r="K101" t="str">
        <f>IF(G101="","",IF(G101="[FÓRMULA MANUAL]","",IFERROR(SUMPRODUCT((DATOS!$A$2:$A$20000=G101)*(DATOS!$G$2:$G$20000=CONFIG_METADATA!$B$4)*(COUNTIF(CONFIG_ASIGNATURAS!$B$7:$B$27,DATOS!$I$2:$I$20000)&gt;0)*(DATOS!$K$2:$K$20000))/SUMPRODUCT((DATOS!$A$2:$A$20000=G101)*(DATOS!$G$2:$G$20000=CONFIG_METADATA!$B$4)*(COUNTIF(CONFIG_ASIGNATURAS!$B$7:$B$27,DATOS!$I$2:$I$20000)&gt;0)*1),"")))</f>
        <v/>
      </c>
      <c r="N101" t="str">
        <f>IF(M101="","",IF(M101="[FÓRMULA MANUAL]","",IFERROR(AVERAGEIFS(DATOS!$K$2:$K$20000,DATOS!$A$2:$A$20000,M101,DATOS!$G$2:$G$20000,CONFIG_METADATA!$B$4,DATOS!$I$2:$I$20000,"Armonía"),"")))</f>
        <v/>
      </c>
      <c r="O101" t="str">
        <f>IF(M101="","",IF(M101="[FÓRMULA MANUAL]","",IFERROR(AVERAGEIFS(DATOS!$K$2:$K$20000,DATOS!$A$2:$A$20000,M101,DATOS!$G$2:$G$20000,CONFIG_METADATA!$B$4,DATOS!$I$2:$I$20000,"Orquesta/Banda/Conjunto"),"")))</f>
        <v/>
      </c>
      <c r="P101" t="str">
        <f>IF(M101="","",IF(M101="[FÓRMULA MANUAL]","",IFERROR(AVERAGEIFS(DATOS!$K$2:$K$20000,DATOS!$A$2:$A$20000,M101,DATOS!$G$2:$G$20000,CONFIG_METADATA!$B$4,DATOS!$I$2:$I$20000,"Música de Cámara"),"")))</f>
        <v/>
      </c>
      <c r="Q101" t="str">
        <f>IF(M101="","",IF(M101="[FÓRMULA MANUAL]","",IFERROR(SUMPRODUCT((DATOS!$A$2:$A$20000=M101)*(DATOS!$G$2:$G$20000=CONFIG_METADATA!$B$4)*(COUNTIF(CONFIG_ASIGNATURAS!$B$7:$B$27,DATOS!$I$2:$I$20000)&gt;0)*(DATOS!$K$2:$K$20000))/SUMPRODUCT((DATOS!$A$2:$A$20000=M101)*(DATOS!$G$2:$G$20000=CONFIG_METADATA!$B$4)*(COUNTIF(CONFIG_ASIGNATURAS!$B$7:$B$27,DATOS!$I$2:$I$20000)&gt;0)*1),"")))</f>
        <v/>
      </c>
      <c r="T101" t="str">
        <f>IF(S101="","",IF(S101="[FÓRMULA MANUAL]","",IFERROR(AVERAGEIFS(DATOS!$K$2:$K$20000,DATOS!$A$2:$A$20000,S101,DATOS!$G$2:$G$20000,CONFIG_METADATA!$B$4,DATOS!$I$2:$I$20000,"Armonía"),"")))</f>
        <v/>
      </c>
      <c r="U101" t="str">
        <f>IF(S101="","",IF(S101="[FÓRMULA MANUAL]","",IFERROR(AVERAGEIFS(DATOS!$K$2:$K$20000,DATOS!$A$2:$A$20000,S101,DATOS!$G$2:$G$20000,CONFIG_METADATA!$B$4,DATOS!$I$2:$I$20000,"Orquesta/Banda/Conjunto"),"")))</f>
        <v/>
      </c>
      <c r="V101" t="str">
        <f>IF(S101="","",IF(S101="[FÓRMULA MANUAL]","",IFERROR(AVERAGEIFS(DATOS!$K$2:$K$20000,DATOS!$A$2:$A$20000,S101,DATOS!$G$2:$G$20000,CONFIG_METADATA!$B$4,DATOS!$I$2:$I$20000,"Música de Cámara"),"")))</f>
        <v/>
      </c>
      <c r="W101" t="str">
        <f>IF(S101="","",IF(S101="[FÓRMULA MANUAL]","",IFERROR(SUMPRODUCT((DATOS!$A$2:$A$20000=S101)*(DATOS!$G$2:$G$20000=CONFIG_METADATA!$B$4)*(COUNTIF(CONFIG_ASIGNATURAS!$B$7:$B$27,DATOS!$I$2:$I$20000)&gt;0)*(DATOS!$K$2:$K$20000))/SUMPRODUCT((DATOS!$A$2:$A$20000=S101)*(DATOS!$G$2:$G$20000=CONFIG_METADATA!$B$4)*(COUNTIF(CONFIG_ASIGNATURAS!$B$7:$B$27,DATOS!$I$2:$I$20000)&gt;0)*1),"")))</f>
        <v/>
      </c>
      <c r="Z101" t="str">
        <f>IF(Y101="","",IF(Y101="[FÓRMULA MANUAL]","",IFERROR(AVERAGEIFS(DATOS!$K$2:$K$20000,DATOS!$A$2:$A$20000,Y101,DATOS!$G$2:$G$20000,CONFIG_METADATA!$B$4,DATOS!$I$2:$I$20000,"Análisis"),"")))</f>
        <v/>
      </c>
      <c r="AA101" t="str">
        <f>IF(Y101="","",IF(Y101="[FÓRMULA MANUAL]","",IFERROR(AVERAGEIFS(DATOS!$K$2:$K$20000,DATOS!$A$2:$A$20000,Y101,DATOS!$G$2:$G$20000,CONFIG_METADATA!$B$4,DATOS!$I$2:$I$20000,"Orquesta/Banda/Conjunto"),"")))</f>
        <v/>
      </c>
      <c r="AB101" t="str">
        <f>IF(Y101="","",IF(Y101="[FÓRMULA MANUAL]","",IFERROR(AVERAGEIFS(DATOS!$K$2:$K$20000,DATOS!$A$2:$A$20000,Y101,DATOS!$G$2:$G$20000,CONFIG_METADATA!$B$4,DATOS!$I$2:$I$20000,"Música de Cámara"),"")))</f>
        <v/>
      </c>
      <c r="AC101" t="str">
        <f>IF(Y101="","",IF(Y101="[FÓRMULA MANUAL]","",IFERROR(SUMPRODUCT((DATOS!$A$2:$A$20000=Y101)*(DATOS!$G$2:$G$20000=CONFIG_METADATA!$B$4)*(COUNTIF(CONFIG_ASIGNATURAS!$B$7:$B$27,DATOS!$I$2:$I$20000)&gt;0)*(DATOS!$K$2:$K$20000))/SUMPRODUCT((DATOS!$A$2:$A$20000=Y101)*(DATOS!$G$2:$G$20000=CONFIG_METADATA!$B$4)*(COUNTIF(CONFIG_ASIGNATURAS!$B$7:$B$27,DATOS!$I$2:$I$20000)&gt;0)*1),"")))</f>
        <v/>
      </c>
      <c r="AF101" t="str">
        <f>IF(AE101="","",IF(AE101="[FÓRMULA MANUAL]","",IFERROR(AVERAGEIFS(DATOS!$K$2:$K$20000,DATOS!$A$2:$A$20000,AE101,DATOS!$G$2:$G$20000,CONFIG_METADATA!$B$4,DATOS!$I$2:$I$20000,"Análisis"),"")))</f>
        <v/>
      </c>
      <c r="AG101" t="str">
        <f>IF(AE101="","",IF(AE101="[FÓRMULA MANUAL]","",IFERROR(AVERAGEIFS(DATOS!$K$2:$K$20000,DATOS!$A$2:$A$20000,AE101,DATOS!$G$2:$G$20000,CONFIG_METADATA!$B$4,DATOS!$I$2:$I$20000,"Orquesta/Banda/Conjunto"),"")))</f>
        <v/>
      </c>
      <c r="AH101" t="str">
        <f>IF(AE101="","",IF(AE101="[FÓRMULA MANUAL]","",IFERROR(AVERAGEIFS(DATOS!$K$2:$K$20000,DATOS!$A$2:$A$20000,AE101,DATOS!$G$2:$G$20000,CONFIG_METADATA!$B$4,DATOS!$I$2:$I$20000,"Música de Cámara"),"")))</f>
        <v/>
      </c>
      <c r="AI101" t="str">
        <f>IF(AE101="","",IF(AE101="[FÓRMULA MANUAL]","",IFERROR(SUMPRODUCT((DATOS!$A$2:$A$20000=AE101)*(DATOS!$G$2:$G$20000=CONFIG_METADATA!$B$4)*(COUNTIF(CONFIG_ASIGNATURAS!$B$7:$B$27,DATOS!$I$2:$I$20000)&gt;0)*(DATOS!$K$2:$K$20000))/SUMPRODUCT((DATOS!$A$2:$A$20000=AE101)*(DATOS!$G$2:$G$20000=CONFIG_METADATA!$B$4)*(COUNTIF(CONFIG_ASIGNATURAS!$B$7:$B$27,DATOS!$I$2:$I$20000)&gt;0)*1),"")))</f>
        <v/>
      </c>
    </row>
    <row r="102" spans="2:35" x14ac:dyDescent="0.2">
      <c r="B102" t="str">
        <f>IF(A102="","",IF(A102="[FÓRMULA MANUAL]","",IFERROR(AVERAGEIFS(DATOS!$K$2:$K$20000,DATOS!$A$2:$A$20000,A102,DATOS!$G$2:$G$20000,CONFIG_METADATA!$B$4,DATOS!$I$2:$I$20000,"Lenguaje Musical"),"")))</f>
        <v/>
      </c>
      <c r="C102" t="str">
        <f>IF(A102="","",IF(A102="[FÓRMULA MANUAL]","",IFERROR(AVERAGEIFS(DATOS!$K$2:$K$20000,DATOS!$A$2:$A$20000,A102,DATOS!$G$2:$G$20000,CONFIG_METADATA!$B$4,DATOS!$I$2:$I$20000,"Orquesta/Banda/Conjunto"),"")))</f>
        <v/>
      </c>
      <c r="D102" t="str">
        <f>IF(A102="","",IF(A102="[FÓRMULA MANUAL]","",IFERROR(AVERAGEIFS(DATOS!$K$2:$K$20000,DATOS!$A$2:$A$20000,A102,DATOS!$G$2:$G$20000,CONFIG_METADATA!$B$4,DATOS!$I$2:$I$20000,"Conjunto"),"")))</f>
        <v/>
      </c>
      <c r="E102" t="str">
        <f>IF(A102="","",IF(A102="[FÓRMULA MANUAL]","",IFERROR(SUMPRODUCT((DATOS!$A$2:$A$20000=A102)*(DATOS!$G$2:$G$20000=CONFIG_METADATA!$B$4)*(COUNTIF(CONFIG_ASIGNATURAS!$B$7:$B$27,DATOS!$I$2:$I$20000)&gt;0)*(DATOS!$K$2:$K$20000))/SUMPRODUCT((DATOS!$A$2:$A$20000=A102)*(DATOS!$G$2:$G$20000=CONFIG_METADATA!$B$4)*(COUNTIF(CONFIG_ASIGNATURAS!$B$7:$B$27,DATOS!$I$2:$I$20000)&gt;0)*1),"")))</f>
        <v/>
      </c>
      <c r="H102" t="str">
        <f>IF(G102="","",IF(G102="[FÓRMULA MANUAL]","",IFERROR(AVERAGEIFS(DATOS!$K$2:$K$20000,DATOS!$A$2:$A$20000,G102,DATOS!$G$2:$G$20000,CONFIG_METADATA!$B$4,DATOS!$I$2:$I$20000,"Lenguaje Musical"),"")))</f>
        <v/>
      </c>
      <c r="I102" t="str">
        <f>IF(G102="","",IF(G102="[FÓRMULA MANUAL]","",IFERROR(AVERAGEIFS(DATOS!$K$2:$K$20000,DATOS!$A$2:$A$20000,G102,DATOS!$G$2:$G$20000,CONFIG_METADATA!$B$4,DATOS!$I$2:$I$20000,"Orquesta/Banda/Conjunto"),"")))</f>
        <v/>
      </c>
      <c r="J102" t="str">
        <f>IF(G102="","",IF(G102="[FÓRMULA MANUAL]","",IFERROR(AVERAGEIFS(DATOS!$K$2:$K$20000,DATOS!$A$2:$A$20000,G102,DATOS!$G$2:$G$20000,CONFIG_METADATA!$B$4,DATOS!$I$2:$I$20000,"Conjunto"),"")))</f>
        <v/>
      </c>
      <c r="K102" t="str">
        <f>IF(G102="","",IF(G102="[FÓRMULA MANUAL]","",IFERROR(SUMPRODUCT((DATOS!$A$2:$A$20000=G102)*(DATOS!$G$2:$G$20000=CONFIG_METADATA!$B$4)*(COUNTIF(CONFIG_ASIGNATURAS!$B$7:$B$27,DATOS!$I$2:$I$20000)&gt;0)*(DATOS!$K$2:$K$20000))/SUMPRODUCT((DATOS!$A$2:$A$20000=G102)*(DATOS!$G$2:$G$20000=CONFIG_METADATA!$B$4)*(COUNTIF(CONFIG_ASIGNATURAS!$B$7:$B$27,DATOS!$I$2:$I$20000)&gt;0)*1),"")))</f>
        <v/>
      </c>
      <c r="N102" t="str">
        <f>IF(M102="","",IF(M102="[FÓRMULA MANUAL]","",IFERROR(AVERAGEIFS(DATOS!$K$2:$K$20000,DATOS!$A$2:$A$20000,M102,DATOS!$G$2:$G$20000,CONFIG_METADATA!$B$4,DATOS!$I$2:$I$20000,"Armonía"),"")))</f>
        <v/>
      </c>
      <c r="O102" t="str">
        <f>IF(M102="","",IF(M102="[FÓRMULA MANUAL]","",IFERROR(AVERAGEIFS(DATOS!$K$2:$K$20000,DATOS!$A$2:$A$20000,M102,DATOS!$G$2:$G$20000,CONFIG_METADATA!$B$4,DATOS!$I$2:$I$20000,"Orquesta/Banda/Conjunto"),"")))</f>
        <v/>
      </c>
      <c r="P102" t="str">
        <f>IF(M102="","",IF(M102="[FÓRMULA MANUAL]","",IFERROR(AVERAGEIFS(DATOS!$K$2:$K$20000,DATOS!$A$2:$A$20000,M102,DATOS!$G$2:$G$20000,CONFIG_METADATA!$B$4,DATOS!$I$2:$I$20000,"Música de Cámara"),"")))</f>
        <v/>
      </c>
      <c r="Q102" t="str">
        <f>IF(M102="","",IF(M102="[FÓRMULA MANUAL]","",IFERROR(SUMPRODUCT((DATOS!$A$2:$A$20000=M102)*(DATOS!$G$2:$G$20000=CONFIG_METADATA!$B$4)*(COUNTIF(CONFIG_ASIGNATURAS!$B$7:$B$27,DATOS!$I$2:$I$20000)&gt;0)*(DATOS!$K$2:$K$20000))/SUMPRODUCT((DATOS!$A$2:$A$20000=M102)*(DATOS!$G$2:$G$20000=CONFIG_METADATA!$B$4)*(COUNTIF(CONFIG_ASIGNATURAS!$B$7:$B$27,DATOS!$I$2:$I$20000)&gt;0)*1),"")))</f>
        <v/>
      </c>
      <c r="T102" t="str">
        <f>IF(S102="","",IF(S102="[FÓRMULA MANUAL]","",IFERROR(AVERAGEIFS(DATOS!$K$2:$K$20000,DATOS!$A$2:$A$20000,S102,DATOS!$G$2:$G$20000,CONFIG_METADATA!$B$4,DATOS!$I$2:$I$20000,"Armonía"),"")))</f>
        <v/>
      </c>
      <c r="U102" t="str">
        <f>IF(S102="","",IF(S102="[FÓRMULA MANUAL]","",IFERROR(AVERAGEIFS(DATOS!$K$2:$K$20000,DATOS!$A$2:$A$20000,S102,DATOS!$G$2:$G$20000,CONFIG_METADATA!$B$4,DATOS!$I$2:$I$20000,"Orquesta/Banda/Conjunto"),"")))</f>
        <v/>
      </c>
      <c r="V102" t="str">
        <f>IF(S102="","",IF(S102="[FÓRMULA MANUAL]","",IFERROR(AVERAGEIFS(DATOS!$K$2:$K$20000,DATOS!$A$2:$A$20000,S102,DATOS!$G$2:$G$20000,CONFIG_METADATA!$B$4,DATOS!$I$2:$I$20000,"Música de Cámara"),"")))</f>
        <v/>
      </c>
      <c r="W102" t="str">
        <f>IF(S102="","",IF(S102="[FÓRMULA MANUAL]","",IFERROR(SUMPRODUCT((DATOS!$A$2:$A$20000=S102)*(DATOS!$G$2:$G$20000=CONFIG_METADATA!$B$4)*(COUNTIF(CONFIG_ASIGNATURAS!$B$7:$B$27,DATOS!$I$2:$I$20000)&gt;0)*(DATOS!$K$2:$K$20000))/SUMPRODUCT((DATOS!$A$2:$A$20000=S102)*(DATOS!$G$2:$G$20000=CONFIG_METADATA!$B$4)*(COUNTIF(CONFIG_ASIGNATURAS!$B$7:$B$27,DATOS!$I$2:$I$20000)&gt;0)*1),"")))</f>
        <v/>
      </c>
      <c r="Z102" t="str">
        <f>IF(Y102="","",IF(Y102="[FÓRMULA MANUAL]","",IFERROR(AVERAGEIFS(DATOS!$K$2:$K$20000,DATOS!$A$2:$A$20000,Y102,DATOS!$G$2:$G$20000,CONFIG_METADATA!$B$4,DATOS!$I$2:$I$20000,"Análisis"),"")))</f>
        <v/>
      </c>
      <c r="AA102" t="str">
        <f>IF(Y102="","",IF(Y102="[FÓRMULA MANUAL]","",IFERROR(AVERAGEIFS(DATOS!$K$2:$K$20000,DATOS!$A$2:$A$20000,Y102,DATOS!$G$2:$G$20000,CONFIG_METADATA!$B$4,DATOS!$I$2:$I$20000,"Orquesta/Banda/Conjunto"),"")))</f>
        <v/>
      </c>
      <c r="AB102" t="str">
        <f>IF(Y102="","",IF(Y102="[FÓRMULA MANUAL]","",IFERROR(AVERAGEIFS(DATOS!$K$2:$K$20000,DATOS!$A$2:$A$20000,Y102,DATOS!$G$2:$G$20000,CONFIG_METADATA!$B$4,DATOS!$I$2:$I$20000,"Música de Cámara"),"")))</f>
        <v/>
      </c>
      <c r="AC102" t="str">
        <f>IF(Y102="","",IF(Y102="[FÓRMULA MANUAL]","",IFERROR(SUMPRODUCT((DATOS!$A$2:$A$20000=Y102)*(DATOS!$G$2:$G$20000=CONFIG_METADATA!$B$4)*(COUNTIF(CONFIG_ASIGNATURAS!$B$7:$B$27,DATOS!$I$2:$I$20000)&gt;0)*(DATOS!$K$2:$K$20000))/SUMPRODUCT((DATOS!$A$2:$A$20000=Y102)*(DATOS!$G$2:$G$20000=CONFIG_METADATA!$B$4)*(COUNTIF(CONFIG_ASIGNATURAS!$B$7:$B$27,DATOS!$I$2:$I$20000)&gt;0)*1),"")))</f>
        <v/>
      </c>
      <c r="AF102" t="str">
        <f>IF(AE102="","",IF(AE102="[FÓRMULA MANUAL]","",IFERROR(AVERAGEIFS(DATOS!$K$2:$K$20000,DATOS!$A$2:$A$20000,AE102,DATOS!$G$2:$G$20000,CONFIG_METADATA!$B$4,DATOS!$I$2:$I$20000,"Análisis"),"")))</f>
        <v/>
      </c>
      <c r="AG102" t="str">
        <f>IF(AE102="","",IF(AE102="[FÓRMULA MANUAL]","",IFERROR(AVERAGEIFS(DATOS!$K$2:$K$20000,DATOS!$A$2:$A$20000,AE102,DATOS!$G$2:$G$20000,CONFIG_METADATA!$B$4,DATOS!$I$2:$I$20000,"Orquesta/Banda/Conjunto"),"")))</f>
        <v/>
      </c>
      <c r="AH102" t="str">
        <f>IF(AE102="","",IF(AE102="[FÓRMULA MANUAL]","",IFERROR(AVERAGEIFS(DATOS!$K$2:$K$20000,DATOS!$A$2:$A$20000,AE102,DATOS!$G$2:$G$20000,CONFIG_METADATA!$B$4,DATOS!$I$2:$I$20000,"Música de Cámara"),"")))</f>
        <v/>
      </c>
      <c r="AI102" t="str">
        <f>IF(AE102="","",IF(AE102="[FÓRMULA MANUAL]","",IFERROR(SUMPRODUCT((DATOS!$A$2:$A$20000=AE102)*(DATOS!$G$2:$G$20000=CONFIG_METADATA!$B$4)*(COUNTIF(CONFIG_ASIGNATURAS!$B$7:$B$27,DATOS!$I$2:$I$20000)&gt;0)*(DATOS!$K$2:$K$20000))/SUMPRODUCT((DATOS!$A$2:$A$20000=AE102)*(DATOS!$G$2:$G$20000=CONFIG_METADATA!$B$4)*(COUNTIF(CONFIG_ASIGNATURAS!$B$7:$B$27,DATOS!$I$2:$I$20000)&gt;0)*1),"")))</f>
        <v/>
      </c>
    </row>
    <row r="103" spans="2:35" x14ac:dyDescent="0.2">
      <c r="B103" t="str">
        <f>IF(A103="","",IF(A103="[FÓRMULA MANUAL]","",IFERROR(AVERAGEIFS(DATOS!$K$2:$K$20000,DATOS!$A$2:$A$20000,A103,DATOS!$G$2:$G$20000,CONFIG_METADATA!$B$4,DATOS!$I$2:$I$20000,"Lenguaje Musical"),"")))</f>
        <v/>
      </c>
      <c r="C103" t="str">
        <f>IF(A103="","",IF(A103="[FÓRMULA MANUAL]","",IFERROR(AVERAGEIFS(DATOS!$K$2:$K$20000,DATOS!$A$2:$A$20000,A103,DATOS!$G$2:$G$20000,CONFIG_METADATA!$B$4,DATOS!$I$2:$I$20000,"Orquesta/Banda/Conjunto"),"")))</f>
        <v/>
      </c>
      <c r="D103" t="str">
        <f>IF(A103="","",IF(A103="[FÓRMULA MANUAL]","",IFERROR(AVERAGEIFS(DATOS!$K$2:$K$20000,DATOS!$A$2:$A$20000,A103,DATOS!$G$2:$G$20000,CONFIG_METADATA!$B$4,DATOS!$I$2:$I$20000,"Conjunto"),"")))</f>
        <v/>
      </c>
      <c r="E103" t="str">
        <f>IF(A103="","",IF(A103="[FÓRMULA MANUAL]","",IFERROR(SUMPRODUCT((DATOS!$A$2:$A$20000=A103)*(DATOS!$G$2:$G$20000=CONFIG_METADATA!$B$4)*(COUNTIF(CONFIG_ASIGNATURAS!$B$7:$B$27,DATOS!$I$2:$I$20000)&gt;0)*(DATOS!$K$2:$K$20000))/SUMPRODUCT((DATOS!$A$2:$A$20000=A103)*(DATOS!$G$2:$G$20000=CONFIG_METADATA!$B$4)*(COUNTIF(CONFIG_ASIGNATURAS!$B$7:$B$27,DATOS!$I$2:$I$20000)&gt;0)*1),"")))</f>
        <v/>
      </c>
      <c r="H103" t="str">
        <f>IF(G103="","",IF(G103="[FÓRMULA MANUAL]","",IFERROR(AVERAGEIFS(DATOS!$K$2:$K$20000,DATOS!$A$2:$A$20000,G103,DATOS!$G$2:$G$20000,CONFIG_METADATA!$B$4,DATOS!$I$2:$I$20000,"Lenguaje Musical"),"")))</f>
        <v/>
      </c>
      <c r="I103" t="str">
        <f>IF(G103="","",IF(G103="[FÓRMULA MANUAL]","",IFERROR(AVERAGEIFS(DATOS!$K$2:$K$20000,DATOS!$A$2:$A$20000,G103,DATOS!$G$2:$G$20000,CONFIG_METADATA!$B$4,DATOS!$I$2:$I$20000,"Orquesta/Banda/Conjunto"),"")))</f>
        <v/>
      </c>
      <c r="J103" t="str">
        <f>IF(G103="","",IF(G103="[FÓRMULA MANUAL]","",IFERROR(AVERAGEIFS(DATOS!$K$2:$K$20000,DATOS!$A$2:$A$20000,G103,DATOS!$G$2:$G$20000,CONFIG_METADATA!$B$4,DATOS!$I$2:$I$20000,"Conjunto"),"")))</f>
        <v/>
      </c>
      <c r="K103" t="str">
        <f>IF(G103="","",IF(G103="[FÓRMULA MANUAL]","",IFERROR(SUMPRODUCT((DATOS!$A$2:$A$20000=G103)*(DATOS!$G$2:$G$20000=CONFIG_METADATA!$B$4)*(COUNTIF(CONFIG_ASIGNATURAS!$B$7:$B$27,DATOS!$I$2:$I$20000)&gt;0)*(DATOS!$K$2:$K$20000))/SUMPRODUCT((DATOS!$A$2:$A$20000=G103)*(DATOS!$G$2:$G$20000=CONFIG_METADATA!$B$4)*(COUNTIF(CONFIG_ASIGNATURAS!$B$7:$B$27,DATOS!$I$2:$I$20000)&gt;0)*1),"")))</f>
        <v/>
      </c>
      <c r="N103" t="str">
        <f>IF(M103="","",IF(M103="[FÓRMULA MANUAL]","",IFERROR(AVERAGEIFS(DATOS!$K$2:$K$20000,DATOS!$A$2:$A$20000,M103,DATOS!$G$2:$G$20000,CONFIG_METADATA!$B$4,DATOS!$I$2:$I$20000,"Armonía"),"")))</f>
        <v/>
      </c>
      <c r="O103" t="str">
        <f>IF(M103="","",IF(M103="[FÓRMULA MANUAL]","",IFERROR(AVERAGEIFS(DATOS!$K$2:$K$20000,DATOS!$A$2:$A$20000,M103,DATOS!$G$2:$G$20000,CONFIG_METADATA!$B$4,DATOS!$I$2:$I$20000,"Orquesta/Banda/Conjunto"),"")))</f>
        <v/>
      </c>
      <c r="P103" t="str">
        <f>IF(M103="","",IF(M103="[FÓRMULA MANUAL]","",IFERROR(AVERAGEIFS(DATOS!$K$2:$K$20000,DATOS!$A$2:$A$20000,M103,DATOS!$G$2:$G$20000,CONFIG_METADATA!$B$4,DATOS!$I$2:$I$20000,"Música de Cámara"),"")))</f>
        <v/>
      </c>
      <c r="Q103" t="str">
        <f>IF(M103="","",IF(M103="[FÓRMULA MANUAL]","",IFERROR(SUMPRODUCT((DATOS!$A$2:$A$20000=M103)*(DATOS!$G$2:$G$20000=CONFIG_METADATA!$B$4)*(COUNTIF(CONFIG_ASIGNATURAS!$B$7:$B$27,DATOS!$I$2:$I$20000)&gt;0)*(DATOS!$K$2:$K$20000))/SUMPRODUCT((DATOS!$A$2:$A$20000=M103)*(DATOS!$G$2:$G$20000=CONFIG_METADATA!$B$4)*(COUNTIF(CONFIG_ASIGNATURAS!$B$7:$B$27,DATOS!$I$2:$I$20000)&gt;0)*1),"")))</f>
        <v/>
      </c>
      <c r="T103" t="str">
        <f>IF(S103="","",IF(S103="[FÓRMULA MANUAL]","",IFERROR(AVERAGEIFS(DATOS!$K$2:$K$20000,DATOS!$A$2:$A$20000,S103,DATOS!$G$2:$G$20000,CONFIG_METADATA!$B$4,DATOS!$I$2:$I$20000,"Armonía"),"")))</f>
        <v/>
      </c>
      <c r="U103" t="str">
        <f>IF(S103="","",IF(S103="[FÓRMULA MANUAL]","",IFERROR(AVERAGEIFS(DATOS!$K$2:$K$20000,DATOS!$A$2:$A$20000,S103,DATOS!$G$2:$G$20000,CONFIG_METADATA!$B$4,DATOS!$I$2:$I$20000,"Orquesta/Banda/Conjunto"),"")))</f>
        <v/>
      </c>
      <c r="V103" t="str">
        <f>IF(S103="","",IF(S103="[FÓRMULA MANUAL]","",IFERROR(AVERAGEIFS(DATOS!$K$2:$K$20000,DATOS!$A$2:$A$20000,S103,DATOS!$G$2:$G$20000,CONFIG_METADATA!$B$4,DATOS!$I$2:$I$20000,"Música de Cámara"),"")))</f>
        <v/>
      </c>
      <c r="W103" t="str">
        <f>IF(S103="","",IF(S103="[FÓRMULA MANUAL]","",IFERROR(SUMPRODUCT((DATOS!$A$2:$A$20000=S103)*(DATOS!$G$2:$G$20000=CONFIG_METADATA!$B$4)*(COUNTIF(CONFIG_ASIGNATURAS!$B$7:$B$27,DATOS!$I$2:$I$20000)&gt;0)*(DATOS!$K$2:$K$20000))/SUMPRODUCT((DATOS!$A$2:$A$20000=S103)*(DATOS!$G$2:$G$20000=CONFIG_METADATA!$B$4)*(COUNTIF(CONFIG_ASIGNATURAS!$B$7:$B$27,DATOS!$I$2:$I$20000)&gt;0)*1),"")))</f>
        <v/>
      </c>
      <c r="Z103" t="str">
        <f>IF(Y103="","",IF(Y103="[FÓRMULA MANUAL]","",IFERROR(AVERAGEIFS(DATOS!$K$2:$K$20000,DATOS!$A$2:$A$20000,Y103,DATOS!$G$2:$G$20000,CONFIG_METADATA!$B$4,DATOS!$I$2:$I$20000,"Análisis"),"")))</f>
        <v/>
      </c>
      <c r="AA103" t="str">
        <f>IF(Y103="","",IF(Y103="[FÓRMULA MANUAL]","",IFERROR(AVERAGEIFS(DATOS!$K$2:$K$20000,DATOS!$A$2:$A$20000,Y103,DATOS!$G$2:$G$20000,CONFIG_METADATA!$B$4,DATOS!$I$2:$I$20000,"Orquesta/Banda/Conjunto"),"")))</f>
        <v/>
      </c>
      <c r="AB103" t="str">
        <f>IF(Y103="","",IF(Y103="[FÓRMULA MANUAL]","",IFERROR(AVERAGEIFS(DATOS!$K$2:$K$20000,DATOS!$A$2:$A$20000,Y103,DATOS!$G$2:$G$20000,CONFIG_METADATA!$B$4,DATOS!$I$2:$I$20000,"Música de Cámara"),"")))</f>
        <v/>
      </c>
      <c r="AC103" t="str">
        <f>IF(Y103="","",IF(Y103="[FÓRMULA MANUAL]","",IFERROR(SUMPRODUCT((DATOS!$A$2:$A$20000=Y103)*(DATOS!$G$2:$G$20000=CONFIG_METADATA!$B$4)*(COUNTIF(CONFIG_ASIGNATURAS!$B$7:$B$27,DATOS!$I$2:$I$20000)&gt;0)*(DATOS!$K$2:$K$20000))/SUMPRODUCT((DATOS!$A$2:$A$20000=Y103)*(DATOS!$G$2:$G$20000=CONFIG_METADATA!$B$4)*(COUNTIF(CONFIG_ASIGNATURAS!$B$7:$B$27,DATOS!$I$2:$I$20000)&gt;0)*1),"")))</f>
        <v/>
      </c>
      <c r="AF103" t="str">
        <f>IF(AE103="","",IF(AE103="[FÓRMULA MANUAL]","",IFERROR(AVERAGEIFS(DATOS!$K$2:$K$20000,DATOS!$A$2:$A$20000,AE103,DATOS!$G$2:$G$20000,CONFIG_METADATA!$B$4,DATOS!$I$2:$I$20000,"Análisis"),"")))</f>
        <v/>
      </c>
      <c r="AG103" t="str">
        <f>IF(AE103="","",IF(AE103="[FÓRMULA MANUAL]","",IFERROR(AVERAGEIFS(DATOS!$K$2:$K$20000,DATOS!$A$2:$A$20000,AE103,DATOS!$G$2:$G$20000,CONFIG_METADATA!$B$4,DATOS!$I$2:$I$20000,"Orquesta/Banda/Conjunto"),"")))</f>
        <v/>
      </c>
      <c r="AH103" t="str">
        <f>IF(AE103="","",IF(AE103="[FÓRMULA MANUAL]","",IFERROR(AVERAGEIFS(DATOS!$K$2:$K$20000,DATOS!$A$2:$A$20000,AE103,DATOS!$G$2:$G$20000,CONFIG_METADATA!$B$4,DATOS!$I$2:$I$20000,"Música de Cámara"),"")))</f>
        <v/>
      </c>
      <c r="AI103" t="str">
        <f>IF(AE103="","",IF(AE103="[FÓRMULA MANUAL]","",IFERROR(SUMPRODUCT((DATOS!$A$2:$A$20000=AE103)*(DATOS!$G$2:$G$20000=CONFIG_METADATA!$B$4)*(COUNTIF(CONFIG_ASIGNATURAS!$B$7:$B$27,DATOS!$I$2:$I$20000)&gt;0)*(DATOS!$K$2:$K$20000))/SUMPRODUCT((DATOS!$A$2:$A$20000=AE103)*(DATOS!$G$2:$G$20000=CONFIG_METADATA!$B$4)*(COUNTIF(CONFIG_ASIGNATURAS!$B$7:$B$27,DATOS!$I$2:$I$20000)&gt;0)*1),"")))</f>
        <v/>
      </c>
    </row>
    <row r="104" spans="2:35" x14ac:dyDescent="0.2">
      <c r="B104" t="str">
        <f>IF(A104="","",IF(A104="[FÓRMULA MANUAL]","",IFERROR(AVERAGEIFS(DATOS!$K$2:$K$20000,DATOS!$A$2:$A$20000,A104,DATOS!$G$2:$G$20000,CONFIG_METADATA!$B$4,DATOS!$I$2:$I$20000,"Lenguaje Musical"),"")))</f>
        <v/>
      </c>
      <c r="C104" t="str">
        <f>IF(A104="","",IF(A104="[FÓRMULA MANUAL]","",IFERROR(AVERAGEIFS(DATOS!$K$2:$K$20000,DATOS!$A$2:$A$20000,A104,DATOS!$G$2:$G$20000,CONFIG_METADATA!$B$4,DATOS!$I$2:$I$20000,"Orquesta/Banda/Conjunto"),"")))</f>
        <v/>
      </c>
      <c r="D104" t="str">
        <f>IF(A104="","",IF(A104="[FÓRMULA MANUAL]","",IFERROR(AVERAGEIFS(DATOS!$K$2:$K$20000,DATOS!$A$2:$A$20000,A104,DATOS!$G$2:$G$20000,CONFIG_METADATA!$B$4,DATOS!$I$2:$I$20000,"Conjunto"),"")))</f>
        <v/>
      </c>
      <c r="E104" t="str">
        <f>IF(A104="","",IF(A104="[FÓRMULA MANUAL]","",IFERROR(SUMPRODUCT((DATOS!$A$2:$A$20000=A104)*(DATOS!$G$2:$G$20000=CONFIG_METADATA!$B$4)*(COUNTIF(CONFIG_ASIGNATURAS!$B$7:$B$27,DATOS!$I$2:$I$20000)&gt;0)*(DATOS!$K$2:$K$20000))/SUMPRODUCT((DATOS!$A$2:$A$20000=A104)*(DATOS!$G$2:$G$20000=CONFIG_METADATA!$B$4)*(COUNTIF(CONFIG_ASIGNATURAS!$B$7:$B$27,DATOS!$I$2:$I$20000)&gt;0)*1),"")))</f>
        <v/>
      </c>
      <c r="H104" t="str">
        <f>IF(G104="","",IF(G104="[FÓRMULA MANUAL]","",IFERROR(AVERAGEIFS(DATOS!$K$2:$K$20000,DATOS!$A$2:$A$20000,G104,DATOS!$G$2:$G$20000,CONFIG_METADATA!$B$4,DATOS!$I$2:$I$20000,"Lenguaje Musical"),"")))</f>
        <v/>
      </c>
      <c r="I104" t="str">
        <f>IF(G104="","",IF(G104="[FÓRMULA MANUAL]","",IFERROR(AVERAGEIFS(DATOS!$K$2:$K$20000,DATOS!$A$2:$A$20000,G104,DATOS!$G$2:$G$20000,CONFIG_METADATA!$B$4,DATOS!$I$2:$I$20000,"Orquesta/Banda/Conjunto"),"")))</f>
        <v/>
      </c>
      <c r="J104" t="str">
        <f>IF(G104="","",IF(G104="[FÓRMULA MANUAL]","",IFERROR(AVERAGEIFS(DATOS!$K$2:$K$20000,DATOS!$A$2:$A$20000,G104,DATOS!$G$2:$G$20000,CONFIG_METADATA!$B$4,DATOS!$I$2:$I$20000,"Conjunto"),"")))</f>
        <v/>
      </c>
      <c r="K104" t="str">
        <f>IF(G104="","",IF(G104="[FÓRMULA MANUAL]","",IFERROR(SUMPRODUCT((DATOS!$A$2:$A$20000=G104)*(DATOS!$G$2:$G$20000=CONFIG_METADATA!$B$4)*(COUNTIF(CONFIG_ASIGNATURAS!$B$7:$B$27,DATOS!$I$2:$I$20000)&gt;0)*(DATOS!$K$2:$K$20000))/SUMPRODUCT((DATOS!$A$2:$A$20000=G104)*(DATOS!$G$2:$G$20000=CONFIG_METADATA!$B$4)*(COUNTIF(CONFIG_ASIGNATURAS!$B$7:$B$27,DATOS!$I$2:$I$20000)&gt;0)*1),"")))</f>
        <v/>
      </c>
      <c r="N104" t="str">
        <f>IF(M104="","",IF(M104="[FÓRMULA MANUAL]","",IFERROR(AVERAGEIFS(DATOS!$K$2:$K$20000,DATOS!$A$2:$A$20000,M104,DATOS!$G$2:$G$20000,CONFIG_METADATA!$B$4,DATOS!$I$2:$I$20000,"Armonía"),"")))</f>
        <v/>
      </c>
      <c r="O104" t="str">
        <f>IF(M104="","",IF(M104="[FÓRMULA MANUAL]","",IFERROR(AVERAGEIFS(DATOS!$K$2:$K$20000,DATOS!$A$2:$A$20000,M104,DATOS!$G$2:$G$20000,CONFIG_METADATA!$B$4,DATOS!$I$2:$I$20000,"Orquesta/Banda/Conjunto"),"")))</f>
        <v/>
      </c>
      <c r="P104" t="str">
        <f>IF(M104="","",IF(M104="[FÓRMULA MANUAL]","",IFERROR(AVERAGEIFS(DATOS!$K$2:$K$20000,DATOS!$A$2:$A$20000,M104,DATOS!$G$2:$G$20000,CONFIG_METADATA!$B$4,DATOS!$I$2:$I$20000,"Música de Cámara"),"")))</f>
        <v/>
      </c>
      <c r="Q104" t="str">
        <f>IF(M104="","",IF(M104="[FÓRMULA MANUAL]","",IFERROR(SUMPRODUCT((DATOS!$A$2:$A$20000=M104)*(DATOS!$G$2:$G$20000=CONFIG_METADATA!$B$4)*(COUNTIF(CONFIG_ASIGNATURAS!$B$7:$B$27,DATOS!$I$2:$I$20000)&gt;0)*(DATOS!$K$2:$K$20000))/SUMPRODUCT((DATOS!$A$2:$A$20000=M104)*(DATOS!$G$2:$G$20000=CONFIG_METADATA!$B$4)*(COUNTIF(CONFIG_ASIGNATURAS!$B$7:$B$27,DATOS!$I$2:$I$20000)&gt;0)*1),"")))</f>
        <v/>
      </c>
      <c r="T104" t="str">
        <f>IF(S104="","",IF(S104="[FÓRMULA MANUAL]","",IFERROR(AVERAGEIFS(DATOS!$K$2:$K$20000,DATOS!$A$2:$A$20000,S104,DATOS!$G$2:$G$20000,CONFIG_METADATA!$B$4,DATOS!$I$2:$I$20000,"Armonía"),"")))</f>
        <v/>
      </c>
      <c r="U104" t="str">
        <f>IF(S104="","",IF(S104="[FÓRMULA MANUAL]","",IFERROR(AVERAGEIFS(DATOS!$K$2:$K$20000,DATOS!$A$2:$A$20000,S104,DATOS!$G$2:$G$20000,CONFIG_METADATA!$B$4,DATOS!$I$2:$I$20000,"Orquesta/Banda/Conjunto"),"")))</f>
        <v/>
      </c>
      <c r="V104" t="str">
        <f>IF(S104="","",IF(S104="[FÓRMULA MANUAL]","",IFERROR(AVERAGEIFS(DATOS!$K$2:$K$20000,DATOS!$A$2:$A$20000,S104,DATOS!$G$2:$G$20000,CONFIG_METADATA!$B$4,DATOS!$I$2:$I$20000,"Música de Cámara"),"")))</f>
        <v/>
      </c>
      <c r="W104" t="str">
        <f>IF(S104="","",IF(S104="[FÓRMULA MANUAL]","",IFERROR(SUMPRODUCT((DATOS!$A$2:$A$20000=S104)*(DATOS!$G$2:$G$20000=CONFIG_METADATA!$B$4)*(COUNTIF(CONFIG_ASIGNATURAS!$B$7:$B$27,DATOS!$I$2:$I$20000)&gt;0)*(DATOS!$K$2:$K$20000))/SUMPRODUCT((DATOS!$A$2:$A$20000=S104)*(DATOS!$G$2:$G$20000=CONFIG_METADATA!$B$4)*(COUNTIF(CONFIG_ASIGNATURAS!$B$7:$B$27,DATOS!$I$2:$I$20000)&gt;0)*1),"")))</f>
        <v/>
      </c>
      <c r="Z104" t="str">
        <f>IF(Y104="","",IF(Y104="[FÓRMULA MANUAL]","",IFERROR(AVERAGEIFS(DATOS!$K$2:$K$20000,DATOS!$A$2:$A$20000,Y104,DATOS!$G$2:$G$20000,CONFIG_METADATA!$B$4,DATOS!$I$2:$I$20000,"Análisis"),"")))</f>
        <v/>
      </c>
      <c r="AA104" t="str">
        <f>IF(Y104="","",IF(Y104="[FÓRMULA MANUAL]","",IFERROR(AVERAGEIFS(DATOS!$K$2:$K$20000,DATOS!$A$2:$A$20000,Y104,DATOS!$G$2:$G$20000,CONFIG_METADATA!$B$4,DATOS!$I$2:$I$20000,"Orquesta/Banda/Conjunto"),"")))</f>
        <v/>
      </c>
      <c r="AB104" t="str">
        <f>IF(Y104="","",IF(Y104="[FÓRMULA MANUAL]","",IFERROR(AVERAGEIFS(DATOS!$K$2:$K$20000,DATOS!$A$2:$A$20000,Y104,DATOS!$G$2:$G$20000,CONFIG_METADATA!$B$4,DATOS!$I$2:$I$20000,"Música de Cámara"),"")))</f>
        <v/>
      </c>
      <c r="AC104" t="str">
        <f>IF(Y104="","",IF(Y104="[FÓRMULA MANUAL]","",IFERROR(SUMPRODUCT((DATOS!$A$2:$A$20000=Y104)*(DATOS!$G$2:$G$20000=CONFIG_METADATA!$B$4)*(COUNTIF(CONFIG_ASIGNATURAS!$B$7:$B$27,DATOS!$I$2:$I$20000)&gt;0)*(DATOS!$K$2:$K$20000))/SUMPRODUCT((DATOS!$A$2:$A$20000=Y104)*(DATOS!$G$2:$G$20000=CONFIG_METADATA!$B$4)*(COUNTIF(CONFIG_ASIGNATURAS!$B$7:$B$27,DATOS!$I$2:$I$20000)&gt;0)*1),"")))</f>
        <v/>
      </c>
      <c r="AF104" t="str">
        <f>IF(AE104="","",IF(AE104="[FÓRMULA MANUAL]","",IFERROR(AVERAGEIFS(DATOS!$K$2:$K$20000,DATOS!$A$2:$A$20000,AE104,DATOS!$G$2:$G$20000,CONFIG_METADATA!$B$4,DATOS!$I$2:$I$20000,"Análisis"),"")))</f>
        <v/>
      </c>
      <c r="AG104" t="str">
        <f>IF(AE104="","",IF(AE104="[FÓRMULA MANUAL]","",IFERROR(AVERAGEIFS(DATOS!$K$2:$K$20000,DATOS!$A$2:$A$20000,AE104,DATOS!$G$2:$G$20000,CONFIG_METADATA!$B$4,DATOS!$I$2:$I$20000,"Orquesta/Banda/Conjunto"),"")))</f>
        <v/>
      </c>
      <c r="AH104" t="str">
        <f>IF(AE104="","",IF(AE104="[FÓRMULA MANUAL]","",IFERROR(AVERAGEIFS(DATOS!$K$2:$K$20000,DATOS!$A$2:$A$20000,AE104,DATOS!$G$2:$G$20000,CONFIG_METADATA!$B$4,DATOS!$I$2:$I$20000,"Música de Cámara"),"")))</f>
        <v/>
      </c>
      <c r="AI104" t="str">
        <f>IF(AE104="","",IF(AE104="[FÓRMULA MANUAL]","",IFERROR(SUMPRODUCT((DATOS!$A$2:$A$20000=AE104)*(DATOS!$G$2:$G$20000=CONFIG_METADATA!$B$4)*(COUNTIF(CONFIG_ASIGNATURAS!$B$7:$B$27,DATOS!$I$2:$I$20000)&gt;0)*(DATOS!$K$2:$K$20000))/SUMPRODUCT((DATOS!$A$2:$A$20000=AE104)*(DATOS!$G$2:$G$20000=CONFIG_METADATA!$B$4)*(COUNTIF(CONFIG_ASIGNATURAS!$B$7:$B$27,DATOS!$I$2:$I$20000)&gt;0)*1),"")))</f>
        <v/>
      </c>
    </row>
    <row r="105" spans="2:35" x14ac:dyDescent="0.2">
      <c r="B105" t="str">
        <f>IF(A105="","",IF(A105="[FÓRMULA MANUAL]","",IFERROR(AVERAGEIFS(DATOS!$K$2:$K$20000,DATOS!$A$2:$A$20000,A105,DATOS!$G$2:$G$20000,CONFIG_METADATA!$B$4,DATOS!$I$2:$I$20000,"Lenguaje Musical"),"")))</f>
        <v/>
      </c>
      <c r="C105" t="str">
        <f>IF(A105="","",IF(A105="[FÓRMULA MANUAL]","",IFERROR(AVERAGEIFS(DATOS!$K$2:$K$20000,DATOS!$A$2:$A$20000,A105,DATOS!$G$2:$G$20000,CONFIG_METADATA!$B$4,DATOS!$I$2:$I$20000,"Orquesta/Banda/Conjunto"),"")))</f>
        <v/>
      </c>
      <c r="D105" t="str">
        <f>IF(A105="","",IF(A105="[FÓRMULA MANUAL]","",IFERROR(AVERAGEIFS(DATOS!$K$2:$K$20000,DATOS!$A$2:$A$20000,A105,DATOS!$G$2:$G$20000,CONFIG_METADATA!$B$4,DATOS!$I$2:$I$20000,"Conjunto"),"")))</f>
        <v/>
      </c>
      <c r="E105" t="str">
        <f>IF(A105="","",IF(A105="[FÓRMULA MANUAL]","",IFERROR(SUMPRODUCT((DATOS!$A$2:$A$20000=A105)*(DATOS!$G$2:$G$20000=CONFIG_METADATA!$B$4)*(COUNTIF(CONFIG_ASIGNATURAS!$B$7:$B$27,DATOS!$I$2:$I$20000)&gt;0)*(DATOS!$K$2:$K$20000))/SUMPRODUCT((DATOS!$A$2:$A$20000=A105)*(DATOS!$G$2:$G$20000=CONFIG_METADATA!$B$4)*(COUNTIF(CONFIG_ASIGNATURAS!$B$7:$B$27,DATOS!$I$2:$I$20000)&gt;0)*1),"")))</f>
        <v/>
      </c>
      <c r="H105" t="str">
        <f>IF(G105="","",IF(G105="[FÓRMULA MANUAL]","",IFERROR(AVERAGEIFS(DATOS!$K$2:$K$20000,DATOS!$A$2:$A$20000,G105,DATOS!$G$2:$G$20000,CONFIG_METADATA!$B$4,DATOS!$I$2:$I$20000,"Lenguaje Musical"),"")))</f>
        <v/>
      </c>
      <c r="I105" t="str">
        <f>IF(G105="","",IF(G105="[FÓRMULA MANUAL]","",IFERROR(AVERAGEIFS(DATOS!$K$2:$K$20000,DATOS!$A$2:$A$20000,G105,DATOS!$G$2:$G$20000,CONFIG_METADATA!$B$4,DATOS!$I$2:$I$20000,"Orquesta/Banda/Conjunto"),"")))</f>
        <v/>
      </c>
      <c r="J105" t="str">
        <f>IF(G105="","",IF(G105="[FÓRMULA MANUAL]","",IFERROR(AVERAGEIFS(DATOS!$K$2:$K$20000,DATOS!$A$2:$A$20000,G105,DATOS!$G$2:$G$20000,CONFIG_METADATA!$B$4,DATOS!$I$2:$I$20000,"Conjunto"),"")))</f>
        <v/>
      </c>
      <c r="K105" t="str">
        <f>IF(G105="","",IF(G105="[FÓRMULA MANUAL]","",IFERROR(SUMPRODUCT((DATOS!$A$2:$A$20000=G105)*(DATOS!$G$2:$G$20000=CONFIG_METADATA!$B$4)*(COUNTIF(CONFIG_ASIGNATURAS!$B$7:$B$27,DATOS!$I$2:$I$20000)&gt;0)*(DATOS!$K$2:$K$20000))/SUMPRODUCT((DATOS!$A$2:$A$20000=G105)*(DATOS!$G$2:$G$20000=CONFIG_METADATA!$B$4)*(COUNTIF(CONFIG_ASIGNATURAS!$B$7:$B$27,DATOS!$I$2:$I$20000)&gt;0)*1),"")))</f>
        <v/>
      </c>
      <c r="N105" t="str">
        <f>IF(M105="","",IF(M105="[FÓRMULA MANUAL]","",IFERROR(AVERAGEIFS(DATOS!$K$2:$K$20000,DATOS!$A$2:$A$20000,M105,DATOS!$G$2:$G$20000,CONFIG_METADATA!$B$4,DATOS!$I$2:$I$20000,"Armonía"),"")))</f>
        <v/>
      </c>
      <c r="O105" t="str">
        <f>IF(M105="","",IF(M105="[FÓRMULA MANUAL]","",IFERROR(AVERAGEIFS(DATOS!$K$2:$K$20000,DATOS!$A$2:$A$20000,M105,DATOS!$G$2:$G$20000,CONFIG_METADATA!$B$4,DATOS!$I$2:$I$20000,"Orquesta/Banda/Conjunto"),"")))</f>
        <v/>
      </c>
      <c r="P105" t="str">
        <f>IF(M105="","",IF(M105="[FÓRMULA MANUAL]","",IFERROR(AVERAGEIFS(DATOS!$K$2:$K$20000,DATOS!$A$2:$A$20000,M105,DATOS!$G$2:$G$20000,CONFIG_METADATA!$B$4,DATOS!$I$2:$I$20000,"Música de Cámara"),"")))</f>
        <v/>
      </c>
      <c r="Q105" t="str">
        <f>IF(M105="","",IF(M105="[FÓRMULA MANUAL]","",IFERROR(SUMPRODUCT((DATOS!$A$2:$A$20000=M105)*(DATOS!$G$2:$G$20000=CONFIG_METADATA!$B$4)*(COUNTIF(CONFIG_ASIGNATURAS!$B$7:$B$27,DATOS!$I$2:$I$20000)&gt;0)*(DATOS!$K$2:$K$20000))/SUMPRODUCT((DATOS!$A$2:$A$20000=M105)*(DATOS!$G$2:$G$20000=CONFIG_METADATA!$B$4)*(COUNTIF(CONFIG_ASIGNATURAS!$B$7:$B$27,DATOS!$I$2:$I$20000)&gt;0)*1),"")))</f>
        <v/>
      </c>
      <c r="T105" t="str">
        <f>IF(S105="","",IF(S105="[FÓRMULA MANUAL]","",IFERROR(AVERAGEIFS(DATOS!$K$2:$K$20000,DATOS!$A$2:$A$20000,S105,DATOS!$G$2:$G$20000,CONFIG_METADATA!$B$4,DATOS!$I$2:$I$20000,"Armonía"),"")))</f>
        <v/>
      </c>
      <c r="U105" t="str">
        <f>IF(S105="","",IF(S105="[FÓRMULA MANUAL]","",IFERROR(AVERAGEIFS(DATOS!$K$2:$K$20000,DATOS!$A$2:$A$20000,S105,DATOS!$G$2:$G$20000,CONFIG_METADATA!$B$4,DATOS!$I$2:$I$20000,"Orquesta/Banda/Conjunto"),"")))</f>
        <v/>
      </c>
      <c r="V105" t="str">
        <f>IF(S105="","",IF(S105="[FÓRMULA MANUAL]","",IFERROR(AVERAGEIFS(DATOS!$K$2:$K$20000,DATOS!$A$2:$A$20000,S105,DATOS!$G$2:$G$20000,CONFIG_METADATA!$B$4,DATOS!$I$2:$I$20000,"Música de Cámara"),"")))</f>
        <v/>
      </c>
      <c r="W105" t="str">
        <f>IF(S105="","",IF(S105="[FÓRMULA MANUAL]","",IFERROR(SUMPRODUCT((DATOS!$A$2:$A$20000=S105)*(DATOS!$G$2:$G$20000=CONFIG_METADATA!$B$4)*(COUNTIF(CONFIG_ASIGNATURAS!$B$7:$B$27,DATOS!$I$2:$I$20000)&gt;0)*(DATOS!$K$2:$K$20000))/SUMPRODUCT((DATOS!$A$2:$A$20000=S105)*(DATOS!$G$2:$G$20000=CONFIG_METADATA!$B$4)*(COUNTIF(CONFIG_ASIGNATURAS!$B$7:$B$27,DATOS!$I$2:$I$20000)&gt;0)*1),"")))</f>
        <v/>
      </c>
      <c r="Z105" t="str">
        <f>IF(Y105="","",IF(Y105="[FÓRMULA MANUAL]","",IFERROR(AVERAGEIFS(DATOS!$K$2:$K$20000,DATOS!$A$2:$A$20000,Y105,DATOS!$G$2:$G$20000,CONFIG_METADATA!$B$4,DATOS!$I$2:$I$20000,"Análisis"),"")))</f>
        <v/>
      </c>
      <c r="AA105" t="str">
        <f>IF(Y105="","",IF(Y105="[FÓRMULA MANUAL]","",IFERROR(AVERAGEIFS(DATOS!$K$2:$K$20000,DATOS!$A$2:$A$20000,Y105,DATOS!$G$2:$G$20000,CONFIG_METADATA!$B$4,DATOS!$I$2:$I$20000,"Orquesta/Banda/Conjunto"),"")))</f>
        <v/>
      </c>
      <c r="AB105" t="str">
        <f>IF(Y105="","",IF(Y105="[FÓRMULA MANUAL]","",IFERROR(AVERAGEIFS(DATOS!$K$2:$K$20000,DATOS!$A$2:$A$20000,Y105,DATOS!$G$2:$G$20000,CONFIG_METADATA!$B$4,DATOS!$I$2:$I$20000,"Música de Cámara"),"")))</f>
        <v/>
      </c>
      <c r="AC105" t="str">
        <f>IF(Y105="","",IF(Y105="[FÓRMULA MANUAL]","",IFERROR(SUMPRODUCT((DATOS!$A$2:$A$20000=Y105)*(DATOS!$G$2:$G$20000=CONFIG_METADATA!$B$4)*(COUNTIF(CONFIG_ASIGNATURAS!$B$7:$B$27,DATOS!$I$2:$I$20000)&gt;0)*(DATOS!$K$2:$K$20000))/SUMPRODUCT((DATOS!$A$2:$A$20000=Y105)*(DATOS!$G$2:$G$20000=CONFIG_METADATA!$B$4)*(COUNTIF(CONFIG_ASIGNATURAS!$B$7:$B$27,DATOS!$I$2:$I$20000)&gt;0)*1),"")))</f>
        <v/>
      </c>
      <c r="AF105" t="str">
        <f>IF(AE105="","",IF(AE105="[FÓRMULA MANUAL]","",IFERROR(AVERAGEIFS(DATOS!$K$2:$K$20000,DATOS!$A$2:$A$20000,AE105,DATOS!$G$2:$G$20000,CONFIG_METADATA!$B$4,DATOS!$I$2:$I$20000,"Análisis"),"")))</f>
        <v/>
      </c>
      <c r="AG105" t="str">
        <f>IF(AE105="","",IF(AE105="[FÓRMULA MANUAL]","",IFERROR(AVERAGEIFS(DATOS!$K$2:$K$20000,DATOS!$A$2:$A$20000,AE105,DATOS!$G$2:$G$20000,CONFIG_METADATA!$B$4,DATOS!$I$2:$I$20000,"Orquesta/Banda/Conjunto"),"")))</f>
        <v/>
      </c>
      <c r="AH105" t="str">
        <f>IF(AE105="","",IF(AE105="[FÓRMULA MANUAL]","",IFERROR(AVERAGEIFS(DATOS!$K$2:$K$20000,DATOS!$A$2:$A$20000,AE105,DATOS!$G$2:$G$20000,CONFIG_METADATA!$B$4,DATOS!$I$2:$I$20000,"Música de Cámara"),"")))</f>
        <v/>
      </c>
      <c r="AI105" t="str">
        <f>IF(AE105="","",IF(AE105="[FÓRMULA MANUAL]","",IFERROR(SUMPRODUCT((DATOS!$A$2:$A$20000=AE105)*(DATOS!$G$2:$G$20000=CONFIG_METADATA!$B$4)*(COUNTIF(CONFIG_ASIGNATURAS!$B$7:$B$27,DATOS!$I$2:$I$20000)&gt;0)*(DATOS!$K$2:$K$20000))/SUMPRODUCT((DATOS!$A$2:$A$20000=AE105)*(DATOS!$G$2:$G$20000=CONFIG_METADATA!$B$4)*(COUNTIF(CONFIG_ASIGNATURAS!$B$7:$B$27,DATOS!$I$2:$I$20000)&gt;0)*1),"")))</f>
        <v/>
      </c>
    </row>
    <row r="106" spans="2:35" x14ac:dyDescent="0.2">
      <c r="B106" t="str">
        <f>IF(A106="","",IF(A106="[FÓRMULA MANUAL]","",IFERROR(AVERAGEIFS(DATOS!$K$2:$K$20000,DATOS!$A$2:$A$20000,A106,DATOS!$G$2:$G$20000,CONFIG_METADATA!$B$4,DATOS!$I$2:$I$20000,"Lenguaje Musical"),"")))</f>
        <v/>
      </c>
      <c r="C106" t="str">
        <f>IF(A106="","",IF(A106="[FÓRMULA MANUAL]","",IFERROR(AVERAGEIFS(DATOS!$K$2:$K$20000,DATOS!$A$2:$A$20000,A106,DATOS!$G$2:$G$20000,CONFIG_METADATA!$B$4,DATOS!$I$2:$I$20000,"Orquesta/Banda/Conjunto"),"")))</f>
        <v/>
      </c>
      <c r="D106" t="str">
        <f>IF(A106="","",IF(A106="[FÓRMULA MANUAL]","",IFERROR(AVERAGEIFS(DATOS!$K$2:$K$20000,DATOS!$A$2:$A$20000,A106,DATOS!$G$2:$G$20000,CONFIG_METADATA!$B$4,DATOS!$I$2:$I$20000,"Conjunto"),"")))</f>
        <v/>
      </c>
      <c r="E106" t="str">
        <f>IF(A106="","",IF(A106="[FÓRMULA MANUAL]","",IFERROR(SUMPRODUCT((DATOS!$A$2:$A$20000=A106)*(DATOS!$G$2:$G$20000=CONFIG_METADATA!$B$4)*(COUNTIF(CONFIG_ASIGNATURAS!$B$7:$B$27,DATOS!$I$2:$I$20000)&gt;0)*(DATOS!$K$2:$K$20000))/SUMPRODUCT((DATOS!$A$2:$A$20000=A106)*(DATOS!$G$2:$G$20000=CONFIG_METADATA!$B$4)*(COUNTIF(CONFIG_ASIGNATURAS!$B$7:$B$27,DATOS!$I$2:$I$20000)&gt;0)*1),"")))</f>
        <v/>
      </c>
      <c r="H106" t="str">
        <f>IF(G106="","",IF(G106="[FÓRMULA MANUAL]","",IFERROR(AVERAGEIFS(DATOS!$K$2:$K$20000,DATOS!$A$2:$A$20000,G106,DATOS!$G$2:$G$20000,CONFIG_METADATA!$B$4,DATOS!$I$2:$I$20000,"Lenguaje Musical"),"")))</f>
        <v/>
      </c>
      <c r="I106" t="str">
        <f>IF(G106="","",IF(G106="[FÓRMULA MANUAL]","",IFERROR(AVERAGEIFS(DATOS!$K$2:$K$20000,DATOS!$A$2:$A$20000,G106,DATOS!$G$2:$G$20000,CONFIG_METADATA!$B$4,DATOS!$I$2:$I$20000,"Orquesta/Banda/Conjunto"),"")))</f>
        <v/>
      </c>
      <c r="J106" t="str">
        <f>IF(G106="","",IF(G106="[FÓRMULA MANUAL]","",IFERROR(AVERAGEIFS(DATOS!$K$2:$K$20000,DATOS!$A$2:$A$20000,G106,DATOS!$G$2:$G$20000,CONFIG_METADATA!$B$4,DATOS!$I$2:$I$20000,"Conjunto"),"")))</f>
        <v/>
      </c>
      <c r="K106" t="str">
        <f>IF(G106="","",IF(G106="[FÓRMULA MANUAL]","",IFERROR(SUMPRODUCT((DATOS!$A$2:$A$20000=G106)*(DATOS!$G$2:$G$20000=CONFIG_METADATA!$B$4)*(COUNTIF(CONFIG_ASIGNATURAS!$B$7:$B$27,DATOS!$I$2:$I$20000)&gt;0)*(DATOS!$K$2:$K$20000))/SUMPRODUCT((DATOS!$A$2:$A$20000=G106)*(DATOS!$G$2:$G$20000=CONFIG_METADATA!$B$4)*(COUNTIF(CONFIG_ASIGNATURAS!$B$7:$B$27,DATOS!$I$2:$I$20000)&gt;0)*1),"")))</f>
        <v/>
      </c>
      <c r="N106" t="str">
        <f>IF(M106="","",IF(M106="[FÓRMULA MANUAL]","",IFERROR(AVERAGEIFS(DATOS!$K$2:$K$20000,DATOS!$A$2:$A$20000,M106,DATOS!$G$2:$G$20000,CONFIG_METADATA!$B$4,DATOS!$I$2:$I$20000,"Armonía"),"")))</f>
        <v/>
      </c>
      <c r="O106" t="str">
        <f>IF(M106="","",IF(M106="[FÓRMULA MANUAL]","",IFERROR(AVERAGEIFS(DATOS!$K$2:$K$20000,DATOS!$A$2:$A$20000,M106,DATOS!$G$2:$G$20000,CONFIG_METADATA!$B$4,DATOS!$I$2:$I$20000,"Orquesta/Banda/Conjunto"),"")))</f>
        <v/>
      </c>
      <c r="P106" t="str">
        <f>IF(M106="","",IF(M106="[FÓRMULA MANUAL]","",IFERROR(AVERAGEIFS(DATOS!$K$2:$K$20000,DATOS!$A$2:$A$20000,M106,DATOS!$G$2:$G$20000,CONFIG_METADATA!$B$4,DATOS!$I$2:$I$20000,"Música de Cámara"),"")))</f>
        <v/>
      </c>
      <c r="Q106" t="str">
        <f>IF(M106="","",IF(M106="[FÓRMULA MANUAL]","",IFERROR(SUMPRODUCT((DATOS!$A$2:$A$20000=M106)*(DATOS!$G$2:$G$20000=CONFIG_METADATA!$B$4)*(COUNTIF(CONFIG_ASIGNATURAS!$B$7:$B$27,DATOS!$I$2:$I$20000)&gt;0)*(DATOS!$K$2:$K$20000))/SUMPRODUCT((DATOS!$A$2:$A$20000=M106)*(DATOS!$G$2:$G$20000=CONFIG_METADATA!$B$4)*(COUNTIF(CONFIG_ASIGNATURAS!$B$7:$B$27,DATOS!$I$2:$I$20000)&gt;0)*1),"")))</f>
        <v/>
      </c>
      <c r="T106" t="str">
        <f>IF(S106="","",IF(S106="[FÓRMULA MANUAL]","",IFERROR(AVERAGEIFS(DATOS!$K$2:$K$20000,DATOS!$A$2:$A$20000,S106,DATOS!$G$2:$G$20000,CONFIG_METADATA!$B$4,DATOS!$I$2:$I$20000,"Armonía"),"")))</f>
        <v/>
      </c>
      <c r="U106" t="str">
        <f>IF(S106="","",IF(S106="[FÓRMULA MANUAL]","",IFERROR(AVERAGEIFS(DATOS!$K$2:$K$20000,DATOS!$A$2:$A$20000,S106,DATOS!$G$2:$G$20000,CONFIG_METADATA!$B$4,DATOS!$I$2:$I$20000,"Orquesta/Banda/Conjunto"),"")))</f>
        <v/>
      </c>
      <c r="V106" t="str">
        <f>IF(S106="","",IF(S106="[FÓRMULA MANUAL]","",IFERROR(AVERAGEIFS(DATOS!$K$2:$K$20000,DATOS!$A$2:$A$20000,S106,DATOS!$G$2:$G$20000,CONFIG_METADATA!$B$4,DATOS!$I$2:$I$20000,"Música de Cámara"),"")))</f>
        <v/>
      </c>
      <c r="W106" t="str">
        <f>IF(S106="","",IF(S106="[FÓRMULA MANUAL]","",IFERROR(SUMPRODUCT((DATOS!$A$2:$A$20000=S106)*(DATOS!$G$2:$G$20000=CONFIG_METADATA!$B$4)*(COUNTIF(CONFIG_ASIGNATURAS!$B$7:$B$27,DATOS!$I$2:$I$20000)&gt;0)*(DATOS!$K$2:$K$20000))/SUMPRODUCT((DATOS!$A$2:$A$20000=S106)*(DATOS!$G$2:$G$20000=CONFIG_METADATA!$B$4)*(COUNTIF(CONFIG_ASIGNATURAS!$B$7:$B$27,DATOS!$I$2:$I$20000)&gt;0)*1),"")))</f>
        <v/>
      </c>
      <c r="Z106" t="str">
        <f>IF(Y106="","",IF(Y106="[FÓRMULA MANUAL]","",IFERROR(AVERAGEIFS(DATOS!$K$2:$K$20000,DATOS!$A$2:$A$20000,Y106,DATOS!$G$2:$G$20000,CONFIG_METADATA!$B$4,DATOS!$I$2:$I$20000,"Análisis"),"")))</f>
        <v/>
      </c>
      <c r="AA106" t="str">
        <f>IF(Y106="","",IF(Y106="[FÓRMULA MANUAL]","",IFERROR(AVERAGEIFS(DATOS!$K$2:$K$20000,DATOS!$A$2:$A$20000,Y106,DATOS!$G$2:$G$20000,CONFIG_METADATA!$B$4,DATOS!$I$2:$I$20000,"Orquesta/Banda/Conjunto"),"")))</f>
        <v/>
      </c>
      <c r="AB106" t="str">
        <f>IF(Y106="","",IF(Y106="[FÓRMULA MANUAL]","",IFERROR(AVERAGEIFS(DATOS!$K$2:$K$20000,DATOS!$A$2:$A$20000,Y106,DATOS!$G$2:$G$20000,CONFIG_METADATA!$B$4,DATOS!$I$2:$I$20000,"Música de Cámara"),"")))</f>
        <v/>
      </c>
      <c r="AC106" t="str">
        <f>IF(Y106="","",IF(Y106="[FÓRMULA MANUAL]","",IFERROR(SUMPRODUCT((DATOS!$A$2:$A$20000=Y106)*(DATOS!$G$2:$G$20000=CONFIG_METADATA!$B$4)*(COUNTIF(CONFIG_ASIGNATURAS!$B$7:$B$27,DATOS!$I$2:$I$20000)&gt;0)*(DATOS!$K$2:$K$20000))/SUMPRODUCT((DATOS!$A$2:$A$20000=Y106)*(DATOS!$G$2:$G$20000=CONFIG_METADATA!$B$4)*(COUNTIF(CONFIG_ASIGNATURAS!$B$7:$B$27,DATOS!$I$2:$I$20000)&gt;0)*1),"")))</f>
        <v/>
      </c>
      <c r="AF106" t="str">
        <f>IF(AE106="","",IF(AE106="[FÓRMULA MANUAL]","",IFERROR(AVERAGEIFS(DATOS!$K$2:$K$20000,DATOS!$A$2:$A$20000,AE106,DATOS!$G$2:$G$20000,CONFIG_METADATA!$B$4,DATOS!$I$2:$I$20000,"Análisis"),"")))</f>
        <v/>
      </c>
      <c r="AG106" t="str">
        <f>IF(AE106="","",IF(AE106="[FÓRMULA MANUAL]","",IFERROR(AVERAGEIFS(DATOS!$K$2:$K$20000,DATOS!$A$2:$A$20000,AE106,DATOS!$G$2:$G$20000,CONFIG_METADATA!$B$4,DATOS!$I$2:$I$20000,"Orquesta/Banda/Conjunto"),"")))</f>
        <v/>
      </c>
      <c r="AH106" t="str">
        <f>IF(AE106="","",IF(AE106="[FÓRMULA MANUAL]","",IFERROR(AVERAGEIFS(DATOS!$K$2:$K$20000,DATOS!$A$2:$A$20000,AE106,DATOS!$G$2:$G$20000,CONFIG_METADATA!$B$4,DATOS!$I$2:$I$20000,"Música de Cámara"),"")))</f>
        <v/>
      </c>
      <c r="AI106" t="str">
        <f>IF(AE106="","",IF(AE106="[FÓRMULA MANUAL]","",IFERROR(SUMPRODUCT((DATOS!$A$2:$A$20000=AE106)*(DATOS!$G$2:$G$20000=CONFIG_METADATA!$B$4)*(COUNTIF(CONFIG_ASIGNATURAS!$B$7:$B$27,DATOS!$I$2:$I$20000)&gt;0)*(DATOS!$K$2:$K$20000))/SUMPRODUCT((DATOS!$A$2:$A$20000=AE106)*(DATOS!$G$2:$G$20000=CONFIG_METADATA!$B$4)*(COUNTIF(CONFIG_ASIGNATURAS!$B$7:$B$27,DATOS!$I$2:$I$20000)&gt;0)*1),"")))</f>
        <v/>
      </c>
    </row>
    <row r="107" spans="2:35" x14ac:dyDescent="0.2">
      <c r="B107" t="str">
        <f>IF(A107="","",IF(A107="[FÓRMULA MANUAL]","",IFERROR(AVERAGEIFS(DATOS!$K$2:$K$20000,DATOS!$A$2:$A$20000,A107,DATOS!$G$2:$G$20000,CONFIG_METADATA!$B$4,DATOS!$I$2:$I$20000,"Lenguaje Musical"),"")))</f>
        <v/>
      </c>
      <c r="C107" t="str">
        <f>IF(A107="","",IF(A107="[FÓRMULA MANUAL]","",IFERROR(AVERAGEIFS(DATOS!$K$2:$K$20000,DATOS!$A$2:$A$20000,A107,DATOS!$G$2:$G$20000,CONFIG_METADATA!$B$4,DATOS!$I$2:$I$20000,"Orquesta/Banda/Conjunto"),"")))</f>
        <v/>
      </c>
      <c r="D107" t="str">
        <f>IF(A107="","",IF(A107="[FÓRMULA MANUAL]","",IFERROR(AVERAGEIFS(DATOS!$K$2:$K$20000,DATOS!$A$2:$A$20000,A107,DATOS!$G$2:$G$20000,CONFIG_METADATA!$B$4,DATOS!$I$2:$I$20000,"Conjunto"),"")))</f>
        <v/>
      </c>
      <c r="E107" t="str">
        <f>IF(A107="","",IF(A107="[FÓRMULA MANUAL]","",IFERROR(SUMPRODUCT((DATOS!$A$2:$A$20000=A107)*(DATOS!$G$2:$G$20000=CONFIG_METADATA!$B$4)*(COUNTIF(CONFIG_ASIGNATURAS!$B$7:$B$27,DATOS!$I$2:$I$20000)&gt;0)*(DATOS!$K$2:$K$20000))/SUMPRODUCT((DATOS!$A$2:$A$20000=A107)*(DATOS!$G$2:$G$20000=CONFIG_METADATA!$B$4)*(COUNTIF(CONFIG_ASIGNATURAS!$B$7:$B$27,DATOS!$I$2:$I$20000)&gt;0)*1),"")))</f>
        <v/>
      </c>
      <c r="H107" t="str">
        <f>IF(G107="","",IF(G107="[FÓRMULA MANUAL]","",IFERROR(AVERAGEIFS(DATOS!$K$2:$K$20000,DATOS!$A$2:$A$20000,G107,DATOS!$G$2:$G$20000,CONFIG_METADATA!$B$4,DATOS!$I$2:$I$20000,"Lenguaje Musical"),"")))</f>
        <v/>
      </c>
      <c r="I107" t="str">
        <f>IF(G107="","",IF(G107="[FÓRMULA MANUAL]","",IFERROR(AVERAGEIFS(DATOS!$K$2:$K$20000,DATOS!$A$2:$A$20000,G107,DATOS!$G$2:$G$20000,CONFIG_METADATA!$B$4,DATOS!$I$2:$I$20000,"Orquesta/Banda/Conjunto"),"")))</f>
        <v/>
      </c>
      <c r="J107" t="str">
        <f>IF(G107="","",IF(G107="[FÓRMULA MANUAL]","",IFERROR(AVERAGEIFS(DATOS!$K$2:$K$20000,DATOS!$A$2:$A$20000,G107,DATOS!$G$2:$G$20000,CONFIG_METADATA!$B$4,DATOS!$I$2:$I$20000,"Conjunto"),"")))</f>
        <v/>
      </c>
      <c r="K107" t="str">
        <f>IF(G107="","",IF(G107="[FÓRMULA MANUAL]","",IFERROR(SUMPRODUCT((DATOS!$A$2:$A$20000=G107)*(DATOS!$G$2:$G$20000=CONFIG_METADATA!$B$4)*(COUNTIF(CONFIG_ASIGNATURAS!$B$7:$B$27,DATOS!$I$2:$I$20000)&gt;0)*(DATOS!$K$2:$K$20000))/SUMPRODUCT((DATOS!$A$2:$A$20000=G107)*(DATOS!$G$2:$G$20000=CONFIG_METADATA!$B$4)*(COUNTIF(CONFIG_ASIGNATURAS!$B$7:$B$27,DATOS!$I$2:$I$20000)&gt;0)*1),"")))</f>
        <v/>
      </c>
      <c r="N107" t="str">
        <f>IF(M107="","",IF(M107="[FÓRMULA MANUAL]","",IFERROR(AVERAGEIFS(DATOS!$K$2:$K$20000,DATOS!$A$2:$A$20000,M107,DATOS!$G$2:$G$20000,CONFIG_METADATA!$B$4,DATOS!$I$2:$I$20000,"Armonía"),"")))</f>
        <v/>
      </c>
      <c r="O107" t="str">
        <f>IF(M107="","",IF(M107="[FÓRMULA MANUAL]","",IFERROR(AVERAGEIFS(DATOS!$K$2:$K$20000,DATOS!$A$2:$A$20000,M107,DATOS!$G$2:$G$20000,CONFIG_METADATA!$B$4,DATOS!$I$2:$I$20000,"Orquesta/Banda/Conjunto"),"")))</f>
        <v/>
      </c>
      <c r="P107" t="str">
        <f>IF(M107="","",IF(M107="[FÓRMULA MANUAL]","",IFERROR(AVERAGEIFS(DATOS!$K$2:$K$20000,DATOS!$A$2:$A$20000,M107,DATOS!$G$2:$G$20000,CONFIG_METADATA!$B$4,DATOS!$I$2:$I$20000,"Música de Cámara"),"")))</f>
        <v/>
      </c>
      <c r="Q107" t="str">
        <f>IF(M107="","",IF(M107="[FÓRMULA MANUAL]","",IFERROR(SUMPRODUCT((DATOS!$A$2:$A$20000=M107)*(DATOS!$G$2:$G$20000=CONFIG_METADATA!$B$4)*(COUNTIF(CONFIG_ASIGNATURAS!$B$7:$B$27,DATOS!$I$2:$I$20000)&gt;0)*(DATOS!$K$2:$K$20000))/SUMPRODUCT((DATOS!$A$2:$A$20000=M107)*(DATOS!$G$2:$G$20000=CONFIG_METADATA!$B$4)*(COUNTIF(CONFIG_ASIGNATURAS!$B$7:$B$27,DATOS!$I$2:$I$20000)&gt;0)*1),"")))</f>
        <v/>
      </c>
      <c r="T107" t="str">
        <f>IF(S107="","",IF(S107="[FÓRMULA MANUAL]","",IFERROR(AVERAGEIFS(DATOS!$K$2:$K$20000,DATOS!$A$2:$A$20000,S107,DATOS!$G$2:$G$20000,CONFIG_METADATA!$B$4,DATOS!$I$2:$I$20000,"Armonía"),"")))</f>
        <v/>
      </c>
      <c r="U107" t="str">
        <f>IF(S107="","",IF(S107="[FÓRMULA MANUAL]","",IFERROR(AVERAGEIFS(DATOS!$K$2:$K$20000,DATOS!$A$2:$A$20000,S107,DATOS!$G$2:$G$20000,CONFIG_METADATA!$B$4,DATOS!$I$2:$I$20000,"Orquesta/Banda/Conjunto"),"")))</f>
        <v/>
      </c>
      <c r="V107" t="str">
        <f>IF(S107="","",IF(S107="[FÓRMULA MANUAL]","",IFERROR(AVERAGEIFS(DATOS!$K$2:$K$20000,DATOS!$A$2:$A$20000,S107,DATOS!$G$2:$G$20000,CONFIG_METADATA!$B$4,DATOS!$I$2:$I$20000,"Música de Cámara"),"")))</f>
        <v/>
      </c>
      <c r="W107" t="str">
        <f>IF(S107="","",IF(S107="[FÓRMULA MANUAL]","",IFERROR(SUMPRODUCT((DATOS!$A$2:$A$20000=S107)*(DATOS!$G$2:$G$20000=CONFIG_METADATA!$B$4)*(COUNTIF(CONFIG_ASIGNATURAS!$B$7:$B$27,DATOS!$I$2:$I$20000)&gt;0)*(DATOS!$K$2:$K$20000))/SUMPRODUCT((DATOS!$A$2:$A$20000=S107)*(DATOS!$G$2:$G$20000=CONFIG_METADATA!$B$4)*(COUNTIF(CONFIG_ASIGNATURAS!$B$7:$B$27,DATOS!$I$2:$I$20000)&gt;0)*1),"")))</f>
        <v/>
      </c>
      <c r="Z107" t="str">
        <f>IF(Y107="","",IF(Y107="[FÓRMULA MANUAL]","",IFERROR(AVERAGEIFS(DATOS!$K$2:$K$20000,DATOS!$A$2:$A$20000,Y107,DATOS!$G$2:$G$20000,CONFIG_METADATA!$B$4,DATOS!$I$2:$I$20000,"Análisis"),"")))</f>
        <v/>
      </c>
      <c r="AA107" t="str">
        <f>IF(Y107="","",IF(Y107="[FÓRMULA MANUAL]","",IFERROR(AVERAGEIFS(DATOS!$K$2:$K$20000,DATOS!$A$2:$A$20000,Y107,DATOS!$G$2:$G$20000,CONFIG_METADATA!$B$4,DATOS!$I$2:$I$20000,"Orquesta/Banda/Conjunto"),"")))</f>
        <v/>
      </c>
      <c r="AB107" t="str">
        <f>IF(Y107="","",IF(Y107="[FÓRMULA MANUAL]","",IFERROR(AVERAGEIFS(DATOS!$K$2:$K$20000,DATOS!$A$2:$A$20000,Y107,DATOS!$G$2:$G$20000,CONFIG_METADATA!$B$4,DATOS!$I$2:$I$20000,"Música de Cámara"),"")))</f>
        <v/>
      </c>
      <c r="AC107" t="str">
        <f>IF(Y107="","",IF(Y107="[FÓRMULA MANUAL]","",IFERROR(SUMPRODUCT((DATOS!$A$2:$A$20000=Y107)*(DATOS!$G$2:$G$20000=CONFIG_METADATA!$B$4)*(COUNTIF(CONFIG_ASIGNATURAS!$B$7:$B$27,DATOS!$I$2:$I$20000)&gt;0)*(DATOS!$K$2:$K$20000))/SUMPRODUCT((DATOS!$A$2:$A$20000=Y107)*(DATOS!$G$2:$G$20000=CONFIG_METADATA!$B$4)*(COUNTIF(CONFIG_ASIGNATURAS!$B$7:$B$27,DATOS!$I$2:$I$20000)&gt;0)*1),"")))</f>
        <v/>
      </c>
      <c r="AF107" t="str">
        <f>IF(AE107="","",IF(AE107="[FÓRMULA MANUAL]","",IFERROR(AVERAGEIFS(DATOS!$K$2:$K$20000,DATOS!$A$2:$A$20000,AE107,DATOS!$G$2:$G$20000,CONFIG_METADATA!$B$4,DATOS!$I$2:$I$20000,"Análisis"),"")))</f>
        <v/>
      </c>
      <c r="AG107" t="str">
        <f>IF(AE107="","",IF(AE107="[FÓRMULA MANUAL]","",IFERROR(AVERAGEIFS(DATOS!$K$2:$K$20000,DATOS!$A$2:$A$20000,AE107,DATOS!$G$2:$G$20000,CONFIG_METADATA!$B$4,DATOS!$I$2:$I$20000,"Orquesta/Banda/Conjunto"),"")))</f>
        <v/>
      </c>
      <c r="AH107" t="str">
        <f>IF(AE107="","",IF(AE107="[FÓRMULA MANUAL]","",IFERROR(AVERAGEIFS(DATOS!$K$2:$K$20000,DATOS!$A$2:$A$20000,AE107,DATOS!$G$2:$G$20000,CONFIG_METADATA!$B$4,DATOS!$I$2:$I$20000,"Música de Cámara"),"")))</f>
        <v/>
      </c>
      <c r="AI107" t="str">
        <f>IF(AE107="","",IF(AE107="[FÓRMULA MANUAL]","",IFERROR(SUMPRODUCT((DATOS!$A$2:$A$20000=AE107)*(DATOS!$G$2:$G$20000=CONFIG_METADATA!$B$4)*(COUNTIF(CONFIG_ASIGNATURAS!$B$7:$B$27,DATOS!$I$2:$I$20000)&gt;0)*(DATOS!$K$2:$K$20000))/SUMPRODUCT((DATOS!$A$2:$A$20000=AE107)*(DATOS!$G$2:$G$20000=CONFIG_METADATA!$B$4)*(COUNTIF(CONFIG_ASIGNATURAS!$B$7:$B$27,DATOS!$I$2:$I$20000)&gt;0)*1),"")))</f>
        <v/>
      </c>
    </row>
    <row r="108" spans="2:35" x14ac:dyDescent="0.2">
      <c r="B108" t="str">
        <f>IF(A108="","",IF(A108="[FÓRMULA MANUAL]","",IFERROR(AVERAGEIFS(DATOS!$K$2:$K$20000,DATOS!$A$2:$A$20000,A108,DATOS!$G$2:$G$20000,CONFIG_METADATA!$B$4,DATOS!$I$2:$I$20000,"Lenguaje Musical"),"")))</f>
        <v/>
      </c>
      <c r="C108" t="str">
        <f>IF(A108="","",IF(A108="[FÓRMULA MANUAL]","",IFERROR(AVERAGEIFS(DATOS!$K$2:$K$20000,DATOS!$A$2:$A$20000,A108,DATOS!$G$2:$G$20000,CONFIG_METADATA!$B$4,DATOS!$I$2:$I$20000,"Orquesta/Banda/Conjunto"),"")))</f>
        <v/>
      </c>
      <c r="D108" t="str">
        <f>IF(A108="","",IF(A108="[FÓRMULA MANUAL]","",IFERROR(AVERAGEIFS(DATOS!$K$2:$K$20000,DATOS!$A$2:$A$20000,A108,DATOS!$G$2:$G$20000,CONFIG_METADATA!$B$4,DATOS!$I$2:$I$20000,"Conjunto"),"")))</f>
        <v/>
      </c>
      <c r="E108" t="str">
        <f>IF(A108="","",IF(A108="[FÓRMULA MANUAL]","",IFERROR(SUMPRODUCT((DATOS!$A$2:$A$20000=A108)*(DATOS!$G$2:$G$20000=CONFIG_METADATA!$B$4)*(COUNTIF(CONFIG_ASIGNATURAS!$B$7:$B$27,DATOS!$I$2:$I$20000)&gt;0)*(DATOS!$K$2:$K$20000))/SUMPRODUCT((DATOS!$A$2:$A$20000=A108)*(DATOS!$G$2:$G$20000=CONFIG_METADATA!$B$4)*(COUNTIF(CONFIG_ASIGNATURAS!$B$7:$B$27,DATOS!$I$2:$I$20000)&gt;0)*1),"")))</f>
        <v/>
      </c>
      <c r="H108" t="str">
        <f>IF(G108="","",IF(G108="[FÓRMULA MANUAL]","",IFERROR(AVERAGEIFS(DATOS!$K$2:$K$20000,DATOS!$A$2:$A$20000,G108,DATOS!$G$2:$G$20000,CONFIG_METADATA!$B$4,DATOS!$I$2:$I$20000,"Lenguaje Musical"),"")))</f>
        <v/>
      </c>
      <c r="I108" t="str">
        <f>IF(G108="","",IF(G108="[FÓRMULA MANUAL]","",IFERROR(AVERAGEIFS(DATOS!$K$2:$K$20000,DATOS!$A$2:$A$20000,G108,DATOS!$G$2:$G$20000,CONFIG_METADATA!$B$4,DATOS!$I$2:$I$20000,"Orquesta/Banda/Conjunto"),"")))</f>
        <v/>
      </c>
      <c r="J108" t="str">
        <f>IF(G108="","",IF(G108="[FÓRMULA MANUAL]","",IFERROR(AVERAGEIFS(DATOS!$K$2:$K$20000,DATOS!$A$2:$A$20000,G108,DATOS!$G$2:$G$20000,CONFIG_METADATA!$B$4,DATOS!$I$2:$I$20000,"Conjunto"),"")))</f>
        <v/>
      </c>
      <c r="K108" t="str">
        <f>IF(G108="","",IF(G108="[FÓRMULA MANUAL]","",IFERROR(SUMPRODUCT((DATOS!$A$2:$A$20000=G108)*(DATOS!$G$2:$G$20000=CONFIG_METADATA!$B$4)*(COUNTIF(CONFIG_ASIGNATURAS!$B$7:$B$27,DATOS!$I$2:$I$20000)&gt;0)*(DATOS!$K$2:$K$20000))/SUMPRODUCT((DATOS!$A$2:$A$20000=G108)*(DATOS!$G$2:$G$20000=CONFIG_METADATA!$B$4)*(COUNTIF(CONFIG_ASIGNATURAS!$B$7:$B$27,DATOS!$I$2:$I$20000)&gt;0)*1),"")))</f>
        <v/>
      </c>
      <c r="N108" t="str">
        <f>IF(M108="","",IF(M108="[FÓRMULA MANUAL]","",IFERROR(AVERAGEIFS(DATOS!$K$2:$K$20000,DATOS!$A$2:$A$20000,M108,DATOS!$G$2:$G$20000,CONFIG_METADATA!$B$4,DATOS!$I$2:$I$20000,"Armonía"),"")))</f>
        <v/>
      </c>
      <c r="O108" t="str">
        <f>IF(M108="","",IF(M108="[FÓRMULA MANUAL]","",IFERROR(AVERAGEIFS(DATOS!$K$2:$K$20000,DATOS!$A$2:$A$20000,M108,DATOS!$G$2:$G$20000,CONFIG_METADATA!$B$4,DATOS!$I$2:$I$20000,"Orquesta/Banda/Conjunto"),"")))</f>
        <v/>
      </c>
      <c r="P108" t="str">
        <f>IF(M108="","",IF(M108="[FÓRMULA MANUAL]","",IFERROR(AVERAGEIFS(DATOS!$K$2:$K$20000,DATOS!$A$2:$A$20000,M108,DATOS!$G$2:$G$20000,CONFIG_METADATA!$B$4,DATOS!$I$2:$I$20000,"Música de Cámara"),"")))</f>
        <v/>
      </c>
      <c r="Q108" t="str">
        <f>IF(M108="","",IF(M108="[FÓRMULA MANUAL]","",IFERROR(SUMPRODUCT((DATOS!$A$2:$A$20000=M108)*(DATOS!$G$2:$G$20000=CONFIG_METADATA!$B$4)*(COUNTIF(CONFIG_ASIGNATURAS!$B$7:$B$27,DATOS!$I$2:$I$20000)&gt;0)*(DATOS!$K$2:$K$20000))/SUMPRODUCT((DATOS!$A$2:$A$20000=M108)*(DATOS!$G$2:$G$20000=CONFIG_METADATA!$B$4)*(COUNTIF(CONFIG_ASIGNATURAS!$B$7:$B$27,DATOS!$I$2:$I$20000)&gt;0)*1),"")))</f>
        <v/>
      </c>
      <c r="T108" t="str">
        <f>IF(S108="","",IF(S108="[FÓRMULA MANUAL]","",IFERROR(AVERAGEIFS(DATOS!$K$2:$K$20000,DATOS!$A$2:$A$20000,S108,DATOS!$G$2:$G$20000,CONFIG_METADATA!$B$4,DATOS!$I$2:$I$20000,"Armonía"),"")))</f>
        <v/>
      </c>
      <c r="U108" t="str">
        <f>IF(S108="","",IF(S108="[FÓRMULA MANUAL]","",IFERROR(AVERAGEIFS(DATOS!$K$2:$K$20000,DATOS!$A$2:$A$20000,S108,DATOS!$G$2:$G$20000,CONFIG_METADATA!$B$4,DATOS!$I$2:$I$20000,"Orquesta/Banda/Conjunto"),"")))</f>
        <v/>
      </c>
      <c r="V108" t="str">
        <f>IF(S108="","",IF(S108="[FÓRMULA MANUAL]","",IFERROR(AVERAGEIFS(DATOS!$K$2:$K$20000,DATOS!$A$2:$A$20000,S108,DATOS!$G$2:$G$20000,CONFIG_METADATA!$B$4,DATOS!$I$2:$I$20000,"Música de Cámara"),"")))</f>
        <v/>
      </c>
      <c r="W108" t="str">
        <f>IF(S108="","",IF(S108="[FÓRMULA MANUAL]","",IFERROR(SUMPRODUCT((DATOS!$A$2:$A$20000=S108)*(DATOS!$G$2:$G$20000=CONFIG_METADATA!$B$4)*(COUNTIF(CONFIG_ASIGNATURAS!$B$7:$B$27,DATOS!$I$2:$I$20000)&gt;0)*(DATOS!$K$2:$K$20000))/SUMPRODUCT((DATOS!$A$2:$A$20000=S108)*(DATOS!$G$2:$G$20000=CONFIG_METADATA!$B$4)*(COUNTIF(CONFIG_ASIGNATURAS!$B$7:$B$27,DATOS!$I$2:$I$20000)&gt;0)*1),"")))</f>
        <v/>
      </c>
      <c r="Z108" t="str">
        <f>IF(Y108="","",IF(Y108="[FÓRMULA MANUAL]","",IFERROR(AVERAGEIFS(DATOS!$K$2:$K$20000,DATOS!$A$2:$A$20000,Y108,DATOS!$G$2:$G$20000,CONFIG_METADATA!$B$4,DATOS!$I$2:$I$20000,"Análisis"),"")))</f>
        <v/>
      </c>
      <c r="AA108" t="str">
        <f>IF(Y108="","",IF(Y108="[FÓRMULA MANUAL]","",IFERROR(AVERAGEIFS(DATOS!$K$2:$K$20000,DATOS!$A$2:$A$20000,Y108,DATOS!$G$2:$G$20000,CONFIG_METADATA!$B$4,DATOS!$I$2:$I$20000,"Orquesta/Banda/Conjunto"),"")))</f>
        <v/>
      </c>
      <c r="AB108" t="str">
        <f>IF(Y108="","",IF(Y108="[FÓRMULA MANUAL]","",IFERROR(AVERAGEIFS(DATOS!$K$2:$K$20000,DATOS!$A$2:$A$20000,Y108,DATOS!$G$2:$G$20000,CONFIG_METADATA!$B$4,DATOS!$I$2:$I$20000,"Música de Cámara"),"")))</f>
        <v/>
      </c>
      <c r="AC108" t="str">
        <f>IF(Y108="","",IF(Y108="[FÓRMULA MANUAL]","",IFERROR(SUMPRODUCT((DATOS!$A$2:$A$20000=Y108)*(DATOS!$G$2:$G$20000=CONFIG_METADATA!$B$4)*(COUNTIF(CONFIG_ASIGNATURAS!$B$7:$B$27,DATOS!$I$2:$I$20000)&gt;0)*(DATOS!$K$2:$K$20000))/SUMPRODUCT((DATOS!$A$2:$A$20000=Y108)*(DATOS!$G$2:$G$20000=CONFIG_METADATA!$B$4)*(COUNTIF(CONFIG_ASIGNATURAS!$B$7:$B$27,DATOS!$I$2:$I$20000)&gt;0)*1),"")))</f>
        <v/>
      </c>
      <c r="AF108" t="str">
        <f>IF(AE108="","",IF(AE108="[FÓRMULA MANUAL]","",IFERROR(AVERAGEIFS(DATOS!$K$2:$K$20000,DATOS!$A$2:$A$20000,AE108,DATOS!$G$2:$G$20000,CONFIG_METADATA!$B$4,DATOS!$I$2:$I$20000,"Análisis"),"")))</f>
        <v/>
      </c>
      <c r="AG108" t="str">
        <f>IF(AE108="","",IF(AE108="[FÓRMULA MANUAL]","",IFERROR(AVERAGEIFS(DATOS!$K$2:$K$20000,DATOS!$A$2:$A$20000,AE108,DATOS!$G$2:$G$20000,CONFIG_METADATA!$B$4,DATOS!$I$2:$I$20000,"Orquesta/Banda/Conjunto"),"")))</f>
        <v/>
      </c>
      <c r="AH108" t="str">
        <f>IF(AE108="","",IF(AE108="[FÓRMULA MANUAL]","",IFERROR(AVERAGEIFS(DATOS!$K$2:$K$20000,DATOS!$A$2:$A$20000,AE108,DATOS!$G$2:$G$20000,CONFIG_METADATA!$B$4,DATOS!$I$2:$I$20000,"Música de Cámara"),"")))</f>
        <v/>
      </c>
      <c r="AI108" t="str">
        <f>IF(AE108="","",IF(AE108="[FÓRMULA MANUAL]","",IFERROR(SUMPRODUCT((DATOS!$A$2:$A$20000=AE108)*(DATOS!$G$2:$G$20000=CONFIG_METADATA!$B$4)*(COUNTIF(CONFIG_ASIGNATURAS!$B$7:$B$27,DATOS!$I$2:$I$20000)&gt;0)*(DATOS!$K$2:$K$20000))/SUMPRODUCT((DATOS!$A$2:$A$20000=AE108)*(DATOS!$G$2:$G$20000=CONFIG_METADATA!$B$4)*(COUNTIF(CONFIG_ASIGNATURAS!$B$7:$B$27,DATOS!$I$2:$I$20000)&gt;0)*1),"")))</f>
        <v/>
      </c>
    </row>
    <row r="109" spans="2:35" x14ac:dyDescent="0.2">
      <c r="B109" t="str">
        <f>IF(A109="","",IF(A109="[FÓRMULA MANUAL]","",IFERROR(AVERAGEIFS(DATOS!$K$2:$K$20000,DATOS!$A$2:$A$20000,A109,DATOS!$G$2:$G$20000,CONFIG_METADATA!$B$4,DATOS!$I$2:$I$20000,"Lenguaje Musical"),"")))</f>
        <v/>
      </c>
      <c r="C109" t="str">
        <f>IF(A109="","",IF(A109="[FÓRMULA MANUAL]","",IFERROR(AVERAGEIFS(DATOS!$K$2:$K$20000,DATOS!$A$2:$A$20000,A109,DATOS!$G$2:$G$20000,CONFIG_METADATA!$B$4,DATOS!$I$2:$I$20000,"Orquesta/Banda/Conjunto"),"")))</f>
        <v/>
      </c>
      <c r="D109" t="str">
        <f>IF(A109="","",IF(A109="[FÓRMULA MANUAL]","",IFERROR(AVERAGEIFS(DATOS!$K$2:$K$20000,DATOS!$A$2:$A$20000,A109,DATOS!$G$2:$G$20000,CONFIG_METADATA!$B$4,DATOS!$I$2:$I$20000,"Conjunto"),"")))</f>
        <v/>
      </c>
      <c r="E109" t="str">
        <f>IF(A109="","",IF(A109="[FÓRMULA MANUAL]","",IFERROR(SUMPRODUCT((DATOS!$A$2:$A$20000=A109)*(DATOS!$G$2:$G$20000=CONFIG_METADATA!$B$4)*(COUNTIF(CONFIG_ASIGNATURAS!$B$7:$B$27,DATOS!$I$2:$I$20000)&gt;0)*(DATOS!$K$2:$K$20000))/SUMPRODUCT((DATOS!$A$2:$A$20000=A109)*(DATOS!$G$2:$G$20000=CONFIG_METADATA!$B$4)*(COUNTIF(CONFIG_ASIGNATURAS!$B$7:$B$27,DATOS!$I$2:$I$20000)&gt;0)*1),"")))</f>
        <v/>
      </c>
      <c r="H109" t="str">
        <f>IF(G109="","",IF(G109="[FÓRMULA MANUAL]","",IFERROR(AVERAGEIFS(DATOS!$K$2:$K$20000,DATOS!$A$2:$A$20000,G109,DATOS!$G$2:$G$20000,CONFIG_METADATA!$B$4,DATOS!$I$2:$I$20000,"Lenguaje Musical"),"")))</f>
        <v/>
      </c>
      <c r="I109" t="str">
        <f>IF(G109="","",IF(G109="[FÓRMULA MANUAL]","",IFERROR(AVERAGEIFS(DATOS!$K$2:$K$20000,DATOS!$A$2:$A$20000,G109,DATOS!$G$2:$G$20000,CONFIG_METADATA!$B$4,DATOS!$I$2:$I$20000,"Orquesta/Banda/Conjunto"),"")))</f>
        <v/>
      </c>
      <c r="J109" t="str">
        <f>IF(G109="","",IF(G109="[FÓRMULA MANUAL]","",IFERROR(AVERAGEIFS(DATOS!$K$2:$K$20000,DATOS!$A$2:$A$20000,G109,DATOS!$G$2:$G$20000,CONFIG_METADATA!$B$4,DATOS!$I$2:$I$20000,"Conjunto"),"")))</f>
        <v/>
      </c>
      <c r="K109" t="str">
        <f>IF(G109="","",IF(G109="[FÓRMULA MANUAL]","",IFERROR(SUMPRODUCT((DATOS!$A$2:$A$20000=G109)*(DATOS!$G$2:$G$20000=CONFIG_METADATA!$B$4)*(COUNTIF(CONFIG_ASIGNATURAS!$B$7:$B$27,DATOS!$I$2:$I$20000)&gt;0)*(DATOS!$K$2:$K$20000))/SUMPRODUCT((DATOS!$A$2:$A$20000=G109)*(DATOS!$G$2:$G$20000=CONFIG_METADATA!$B$4)*(COUNTIF(CONFIG_ASIGNATURAS!$B$7:$B$27,DATOS!$I$2:$I$20000)&gt;0)*1),"")))</f>
        <v/>
      </c>
      <c r="N109" t="str">
        <f>IF(M109="","",IF(M109="[FÓRMULA MANUAL]","",IFERROR(AVERAGEIFS(DATOS!$K$2:$K$20000,DATOS!$A$2:$A$20000,M109,DATOS!$G$2:$G$20000,CONFIG_METADATA!$B$4,DATOS!$I$2:$I$20000,"Armonía"),"")))</f>
        <v/>
      </c>
      <c r="O109" t="str">
        <f>IF(M109="","",IF(M109="[FÓRMULA MANUAL]","",IFERROR(AVERAGEIFS(DATOS!$K$2:$K$20000,DATOS!$A$2:$A$20000,M109,DATOS!$G$2:$G$20000,CONFIG_METADATA!$B$4,DATOS!$I$2:$I$20000,"Orquesta/Banda/Conjunto"),"")))</f>
        <v/>
      </c>
      <c r="P109" t="str">
        <f>IF(M109="","",IF(M109="[FÓRMULA MANUAL]","",IFERROR(AVERAGEIFS(DATOS!$K$2:$K$20000,DATOS!$A$2:$A$20000,M109,DATOS!$G$2:$G$20000,CONFIG_METADATA!$B$4,DATOS!$I$2:$I$20000,"Música de Cámara"),"")))</f>
        <v/>
      </c>
      <c r="Q109" t="str">
        <f>IF(M109="","",IF(M109="[FÓRMULA MANUAL]","",IFERROR(SUMPRODUCT((DATOS!$A$2:$A$20000=M109)*(DATOS!$G$2:$G$20000=CONFIG_METADATA!$B$4)*(COUNTIF(CONFIG_ASIGNATURAS!$B$7:$B$27,DATOS!$I$2:$I$20000)&gt;0)*(DATOS!$K$2:$K$20000))/SUMPRODUCT((DATOS!$A$2:$A$20000=M109)*(DATOS!$G$2:$G$20000=CONFIG_METADATA!$B$4)*(COUNTIF(CONFIG_ASIGNATURAS!$B$7:$B$27,DATOS!$I$2:$I$20000)&gt;0)*1),"")))</f>
        <v/>
      </c>
      <c r="T109" t="str">
        <f>IF(S109="","",IF(S109="[FÓRMULA MANUAL]","",IFERROR(AVERAGEIFS(DATOS!$K$2:$K$20000,DATOS!$A$2:$A$20000,S109,DATOS!$G$2:$G$20000,CONFIG_METADATA!$B$4,DATOS!$I$2:$I$20000,"Armonía"),"")))</f>
        <v/>
      </c>
      <c r="U109" t="str">
        <f>IF(S109="","",IF(S109="[FÓRMULA MANUAL]","",IFERROR(AVERAGEIFS(DATOS!$K$2:$K$20000,DATOS!$A$2:$A$20000,S109,DATOS!$G$2:$G$20000,CONFIG_METADATA!$B$4,DATOS!$I$2:$I$20000,"Orquesta/Banda/Conjunto"),"")))</f>
        <v/>
      </c>
      <c r="V109" t="str">
        <f>IF(S109="","",IF(S109="[FÓRMULA MANUAL]","",IFERROR(AVERAGEIFS(DATOS!$K$2:$K$20000,DATOS!$A$2:$A$20000,S109,DATOS!$G$2:$G$20000,CONFIG_METADATA!$B$4,DATOS!$I$2:$I$20000,"Música de Cámara"),"")))</f>
        <v/>
      </c>
      <c r="W109" t="str">
        <f>IF(S109="","",IF(S109="[FÓRMULA MANUAL]","",IFERROR(SUMPRODUCT((DATOS!$A$2:$A$20000=S109)*(DATOS!$G$2:$G$20000=CONFIG_METADATA!$B$4)*(COUNTIF(CONFIG_ASIGNATURAS!$B$7:$B$27,DATOS!$I$2:$I$20000)&gt;0)*(DATOS!$K$2:$K$20000))/SUMPRODUCT((DATOS!$A$2:$A$20000=S109)*(DATOS!$G$2:$G$20000=CONFIG_METADATA!$B$4)*(COUNTIF(CONFIG_ASIGNATURAS!$B$7:$B$27,DATOS!$I$2:$I$20000)&gt;0)*1),"")))</f>
        <v/>
      </c>
      <c r="Z109" t="str">
        <f>IF(Y109="","",IF(Y109="[FÓRMULA MANUAL]","",IFERROR(AVERAGEIFS(DATOS!$K$2:$K$20000,DATOS!$A$2:$A$20000,Y109,DATOS!$G$2:$G$20000,CONFIG_METADATA!$B$4,DATOS!$I$2:$I$20000,"Análisis"),"")))</f>
        <v/>
      </c>
      <c r="AA109" t="str">
        <f>IF(Y109="","",IF(Y109="[FÓRMULA MANUAL]","",IFERROR(AVERAGEIFS(DATOS!$K$2:$K$20000,DATOS!$A$2:$A$20000,Y109,DATOS!$G$2:$G$20000,CONFIG_METADATA!$B$4,DATOS!$I$2:$I$20000,"Orquesta/Banda/Conjunto"),"")))</f>
        <v/>
      </c>
      <c r="AB109" t="str">
        <f>IF(Y109="","",IF(Y109="[FÓRMULA MANUAL]","",IFERROR(AVERAGEIFS(DATOS!$K$2:$K$20000,DATOS!$A$2:$A$20000,Y109,DATOS!$G$2:$G$20000,CONFIG_METADATA!$B$4,DATOS!$I$2:$I$20000,"Música de Cámara"),"")))</f>
        <v/>
      </c>
      <c r="AC109" t="str">
        <f>IF(Y109="","",IF(Y109="[FÓRMULA MANUAL]","",IFERROR(SUMPRODUCT((DATOS!$A$2:$A$20000=Y109)*(DATOS!$G$2:$G$20000=CONFIG_METADATA!$B$4)*(COUNTIF(CONFIG_ASIGNATURAS!$B$7:$B$27,DATOS!$I$2:$I$20000)&gt;0)*(DATOS!$K$2:$K$20000))/SUMPRODUCT((DATOS!$A$2:$A$20000=Y109)*(DATOS!$G$2:$G$20000=CONFIG_METADATA!$B$4)*(COUNTIF(CONFIG_ASIGNATURAS!$B$7:$B$27,DATOS!$I$2:$I$20000)&gt;0)*1),"")))</f>
        <v/>
      </c>
      <c r="AF109" t="str">
        <f>IF(AE109="","",IF(AE109="[FÓRMULA MANUAL]","",IFERROR(AVERAGEIFS(DATOS!$K$2:$K$20000,DATOS!$A$2:$A$20000,AE109,DATOS!$G$2:$G$20000,CONFIG_METADATA!$B$4,DATOS!$I$2:$I$20000,"Análisis"),"")))</f>
        <v/>
      </c>
      <c r="AG109" t="str">
        <f>IF(AE109="","",IF(AE109="[FÓRMULA MANUAL]","",IFERROR(AVERAGEIFS(DATOS!$K$2:$K$20000,DATOS!$A$2:$A$20000,AE109,DATOS!$G$2:$G$20000,CONFIG_METADATA!$B$4,DATOS!$I$2:$I$20000,"Orquesta/Banda/Conjunto"),"")))</f>
        <v/>
      </c>
      <c r="AH109" t="str">
        <f>IF(AE109="","",IF(AE109="[FÓRMULA MANUAL]","",IFERROR(AVERAGEIFS(DATOS!$K$2:$K$20000,DATOS!$A$2:$A$20000,AE109,DATOS!$G$2:$G$20000,CONFIG_METADATA!$B$4,DATOS!$I$2:$I$20000,"Música de Cámara"),"")))</f>
        <v/>
      </c>
      <c r="AI109" t="str">
        <f>IF(AE109="","",IF(AE109="[FÓRMULA MANUAL]","",IFERROR(SUMPRODUCT((DATOS!$A$2:$A$20000=AE109)*(DATOS!$G$2:$G$20000=CONFIG_METADATA!$B$4)*(COUNTIF(CONFIG_ASIGNATURAS!$B$7:$B$27,DATOS!$I$2:$I$20000)&gt;0)*(DATOS!$K$2:$K$20000))/SUMPRODUCT((DATOS!$A$2:$A$20000=AE109)*(DATOS!$G$2:$G$20000=CONFIG_METADATA!$B$4)*(COUNTIF(CONFIG_ASIGNATURAS!$B$7:$B$27,DATOS!$I$2:$I$20000)&gt;0)*1),"")))</f>
        <v/>
      </c>
    </row>
    <row r="110" spans="2:35" x14ac:dyDescent="0.2">
      <c r="B110" t="str">
        <f>IF(A110="","",IF(A110="[FÓRMULA MANUAL]","",IFERROR(AVERAGEIFS(DATOS!$K$2:$K$20000,DATOS!$A$2:$A$20000,A110,DATOS!$G$2:$G$20000,CONFIG_METADATA!$B$4,DATOS!$I$2:$I$20000,"Lenguaje Musical"),"")))</f>
        <v/>
      </c>
      <c r="C110" t="str">
        <f>IF(A110="","",IF(A110="[FÓRMULA MANUAL]","",IFERROR(AVERAGEIFS(DATOS!$K$2:$K$20000,DATOS!$A$2:$A$20000,A110,DATOS!$G$2:$G$20000,CONFIG_METADATA!$B$4,DATOS!$I$2:$I$20000,"Orquesta/Banda/Conjunto"),"")))</f>
        <v/>
      </c>
      <c r="D110" t="str">
        <f>IF(A110="","",IF(A110="[FÓRMULA MANUAL]","",IFERROR(AVERAGEIFS(DATOS!$K$2:$K$20000,DATOS!$A$2:$A$20000,A110,DATOS!$G$2:$G$20000,CONFIG_METADATA!$B$4,DATOS!$I$2:$I$20000,"Conjunto"),"")))</f>
        <v/>
      </c>
      <c r="E110" t="str">
        <f>IF(A110="","",IF(A110="[FÓRMULA MANUAL]","",IFERROR(SUMPRODUCT((DATOS!$A$2:$A$20000=A110)*(DATOS!$G$2:$G$20000=CONFIG_METADATA!$B$4)*(COUNTIF(CONFIG_ASIGNATURAS!$B$7:$B$27,DATOS!$I$2:$I$20000)&gt;0)*(DATOS!$K$2:$K$20000))/SUMPRODUCT((DATOS!$A$2:$A$20000=A110)*(DATOS!$G$2:$G$20000=CONFIG_METADATA!$B$4)*(COUNTIF(CONFIG_ASIGNATURAS!$B$7:$B$27,DATOS!$I$2:$I$20000)&gt;0)*1),"")))</f>
        <v/>
      </c>
      <c r="H110" t="str">
        <f>IF(G110="","",IF(G110="[FÓRMULA MANUAL]","",IFERROR(AVERAGEIFS(DATOS!$K$2:$K$20000,DATOS!$A$2:$A$20000,G110,DATOS!$G$2:$G$20000,CONFIG_METADATA!$B$4,DATOS!$I$2:$I$20000,"Lenguaje Musical"),"")))</f>
        <v/>
      </c>
      <c r="I110" t="str">
        <f>IF(G110="","",IF(G110="[FÓRMULA MANUAL]","",IFERROR(AVERAGEIFS(DATOS!$K$2:$K$20000,DATOS!$A$2:$A$20000,G110,DATOS!$G$2:$G$20000,CONFIG_METADATA!$B$4,DATOS!$I$2:$I$20000,"Orquesta/Banda/Conjunto"),"")))</f>
        <v/>
      </c>
      <c r="J110" t="str">
        <f>IF(G110="","",IF(G110="[FÓRMULA MANUAL]","",IFERROR(AVERAGEIFS(DATOS!$K$2:$K$20000,DATOS!$A$2:$A$20000,G110,DATOS!$G$2:$G$20000,CONFIG_METADATA!$B$4,DATOS!$I$2:$I$20000,"Conjunto"),"")))</f>
        <v/>
      </c>
      <c r="K110" t="str">
        <f>IF(G110="","",IF(G110="[FÓRMULA MANUAL]","",IFERROR(SUMPRODUCT((DATOS!$A$2:$A$20000=G110)*(DATOS!$G$2:$G$20000=CONFIG_METADATA!$B$4)*(COUNTIF(CONFIG_ASIGNATURAS!$B$7:$B$27,DATOS!$I$2:$I$20000)&gt;0)*(DATOS!$K$2:$K$20000))/SUMPRODUCT((DATOS!$A$2:$A$20000=G110)*(DATOS!$G$2:$G$20000=CONFIG_METADATA!$B$4)*(COUNTIF(CONFIG_ASIGNATURAS!$B$7:$B$27,DATOS!$I$2:$I$20000)&gt;0)*1),"")))</f>
        <v/>
      </c>
      <c r="N110" t="str">
        <f>IF(M110="","",IF(M110="[FÓRMULA MANUAL]","",IFERROR(AVERAGEIFS(DATOS!$K$2:$K$20000,DATOS!$A$2:$A$20000,M110,DATOS!$G$2:$G$20000,CONFIG_METADATA!$B$4,DATOS!$I$2:$I$20000,"Armonía"),"")))</f>
        <v/>
      </c>
      <c r="O110" t="str">
        <f>IF(M110="","",IF(M110="[FÓRMULA MANUAL]","",IFERROR(AVERAGEIFS(DATOS!$K$2:$K$20000,DATOS!$A$2:$A$20000,M110,DATOS!$G$2:$G$20000,CONFIG_METADATA!$B$4,DATOS!$I$2:$I$20000,"Orquesta/Banda/Conjunto"),"")))</f>
        <v/>
      </c>
      <c r="P110" t="str">
        <f>IF(M110="","",IF(M110="[FÓRMULA MANUAL]","",IFERROR(AVERAGEIFS(DATOS!$K$2:$K$20000,DATOS!$A$2:$A$20000,M110,DATOS!$G$2:$G$20000,CONFIG_METADATA!$B$4,DATOS!$I$2:$I$20000,"Música de Cámara"),"")))</f>
        <v/>
      </c>
      <c r="Q110" t="str">
        <f>IF(M110="","",IF(M110="[FÓRMULA MANUAL]","",IFERROR(SUMPRODUCT((DATOS!$A$2:$A$20000=M110)*(DATOS!$G$2:$G$20000=CONFIG_METADATA!$B$4)*(COUNTIF(CONFIG_ASIGNATURAS!$B$7:$B$27,DATOS!$I$2:$I$20000)&gt;0)*(DATOS!$K$2:$K$20000))/SUMPRODUCT((DATOS!$A$2:$A$20000=M110)*(DATOS!$G$2:$G$20000=CONFIG_METADATA!$B$4)*(COUNTIF(CONFIG_ASIGNATURAS!$B$7:$B$27,DATOS!$I$2:$I$20000)&gt;0)*1),"")))</f>
        <v/>
      </c>
      <c r="T110" t="str">
        <f>IF(S110="","",IF(S110="[FÓRMULA MANUAL]","",IFERROR(AVERAGEIFS(DATOS!$K$2:$K$20000,DATOS!$A$2:$A$20000,S110,DATOS!$G$2:$G$20000,CONFIG_METADATA!$B$4,DATOS!$I$2:$I$20000,"Armonía"),"")))</f>
        <v/>
      </c>
      <c r="U110" t="str">
        <f>IF(S110="","",IF(S110="[FÓRMULA MANUAL]","",IFERROR(AVERAGEIFS(DATOS!$K$2:$K$20000,DATOS!$A$2:$A$20000,S110,DATOS!$G$2:$G$20000,CONFIG_METADATA!$B$4,DATOS!$I$2:$I$20000,"Orquesta/Banda/Conjunto"),"")))</f>
        <v/>
      </c>
      <c r="V110" t="str">
        <f>IF(S110="","",IF(S110="[FÓRMULA MANUAL]","",IFERROR(AVERAGEIFS(DATOS!$K$2:$K$20000,DATOS!$A$2:$A$20000,S110,DATOS!$G$2:$G$20000,CONFIG_METADATA!$B$4,DATOS!$I$2:$I$20000,"Música de Cámara"),"")))</f>
        <v/>
      </c>
      <c r="W110" t="str">
        <f>IF(S110="","",IF(S110="[FÓRMULA MANUAL]","",IFERROR(SUMPRODUCT((DATOS!$A$2:$A$20000=S110)*(DATOS!$G$2:$G$20000=CONFIG_METADATA!$B$4)*(COUNTIF(CONFIG_ASIGNATURAS!$B$7:$B$27,DATOS!$I$2:$I$20000)&gt;0)*(DATOS!$K$2:$K$20000))/SUMPRODUCT((DATOS!$A$2:$A$20000=S110)*(DATOS!$G$2:$G$20000=CONFIG_METADATA!$B$4)*(COUNTIF(CONFIG_ASIGNATURAS!$B$7:$B$27,DATOS!$I$2:$I$20000)&gt;0)*1),"")))</f>
        <v/>
      </c>
      <c r="Z110" t="str">
        <f>IF(Y110="","",IF(Y110="[FÓRMULA MANUAL]","",IFERROR(AVERAGEIFS(DATOS!$K$2:$K$20000,DATOS!$A$2:$A$20000,Y110,DATOS!$G$2:$G$20000,CONFIG_METADATA!$B$4,DATOS!$I$2:$I$20000,"Análisis"),"")))</f>
        <v/>
      </c>
      <c r="AA110" t="str">
        <f>IF(Y110="","",IF(Y110="[FÓRMULA MANUAL]","",IFERROR(AVERAGEIFS(DATOS!$K$2:$K$20000,DATOS!$A$2:$A$20000,Y110,DATOS!$G$2:$G$20000,CONFIG_METADATA!$B$4,DATOS!$I$2:$I$20000,"Orquesta/Banda/Conjunto"),"")))</f>
        <v/>
      </c>
      <c r="AB110" t="str">
        <f>IF(Y110="","",IF(Y110="[FÓRMULA MANUAL]","",IFERROR(AVERAGEIFS(DATOS!$K$2:$K$20000,DATOS!$A$2:$A$20000,Y110,DATOS!$G$2:$G$20000,CONFIG_METADATA!$B$4,DATOS!$I$2:$I$20000,"Música de Cámara"),"")))</f>
        <v/>
      </c>
      <c r="AC110" t="str">
        <f>IF(Y110="","",IF(Y110="[FÓRMULA MANUAL]","",IFERROR(SUMPRODUCT((DATOS!$A$2:$A$20000=Y110)*(DATOS!$G$2:$G$20000=CONFIG_METADATA!$B$4)*(COUNTIF(CONFIG_ASIGNATURAS!$B$7:$B$27,DATOS!$I$2:$I$20000)&gt;0)*(DATOS!$K$2:$K$20000))/SUMPRODUCT((DATOS!$A$2:$A$20000=Y110)*(DATOS!$G$2:$G$20000=CONFIG_METADATA!$B$4)*(COUNTIF(CONFIG_ASIGNATURAS!$B$7:$B$27,DATOS!$I$2:$I$20000)&gt;0)*1),"")))</f>
        <v/>
      </c>
      <c r="AF110" t="str">
        <f>IF(AE110="","",IF(AE110="[FÓRMULA MANUAL]","",IFERROR(AVERAGEIFS(DATOS!$K$2:$K$20000,DATOS!$A$2:$A$20000,AE110,DATOS!$G$2:$G$20000,CONFIG_METADATA!$B$4,DATOS!$I$2:$I$20000,"Análisis"),"")))</f>
        <v/>
      </c>
      <c r="AG110" t="str">
        <f>IF(AE110="","",IF(AE110="[FÓRMULA MANUAL]","",IFERROR(AVERAGEIFS(DATOS!$K$2:$K$20000,DATOS!$A$2:$A$20000,AE110,DATOS!$G$2:$G$20000,CONFIG_METADATA!$B$4,DATOS!$I$2:$I$20000,"Orquesta/Banda/Conjunto"),"")))</f>
        <v/>
      </c>
      <c r="AH110" t="str">
        <f>IF(AE110="","",IF(AE110="[FÓRMULA MANUAL]","",IFERROR(AVERAGEIFS(DATOS!$K$2:$K$20000,DATOS!$A$2:$A$20000,AE110,DATOS!$G$2:$G$20000,CONFIG_METADATA!$B$4,DATOS!$I$2:$I$20000,"Música de Cámara"),"")))</f>
        <v/>
      </c>
      <c r="AI110" t="str">
        <f>IF(AE110="","",IF(AE110="[FÓRMULA MANUAL]","",IFERROR(SUMPRODUCT((DATOS!$A$2:$A$20000=AE110)*(DATOS!$G$2:$G$20000=CONFIG_METADATA!$B$4)*(COUNTIF(CONFIG_ASIGNATURAS!$B$7:$B$27,DATOS!$I$2:$I$20000)&gt;0)*(DATOS!$K$2:$K$20000))/SUMPRODUCT((DATOS!$A$2:$A$20000=AE110)*(DATOS!$G$2:$G$20000=CONFIG_METADATA!$B$4)*(COUNTIF(CONFIG_ASIGNATURAS!$B$7:$B$27,DATOS!$I$2:$I$20000)&gt;0)*1),"")))</f>
        <v/>
      </c>
    </row>
    <row r="111" spans="2:35" x14ac:dyDescent="0.2">
      <c r="B111" t="str">
        <f>IF(A111="","",IF(A111="[FÓRMULA MANUAL]","",IFERROR(AVERAGEIFS(DATOS!$K$2:$K$20000,DATOS!$A$2:$A$20000,A111,DATOS!$G$2:$G$20000,CONFIG_METADATA!$B$4,DATOS!$I$2:$I$20000,"Lenguaje Musical"),"")))</f>
        <v/>
      </c>
      <c r="C111" t="str">
        <f>IF(A111="","",IF(A111="[FÓRMULA MANUAL]","",IFERROR(AVERAGEIFS(DATOS!$K$2:$K$20000,DATOS!$A$2:$A$20000,A111,DATOS!$G$2:$G$20000,CONFIG_METADATA!$B$4,DATOS!$I$2:$I$20000,"Orquesta/Banda/Conjunto"),"")))</f>
        <v/>
      </c>
      <c r="D111" t="str">
        <f>IF(A111="","",IF(A111="[FÓRMULA MANUAL]","",IFERROR(AVERAGEIFS(DATOS!$K$2:$K$20000,DATOS!$A$2:$A$20000,A111,DATOS!$G$2:$G$20000,CONFIG_METADATA!$B$4,DATOS!$I$2:$I$20000,"Conjunto"),"")))</f>
        <v/>
      </c>
      <c r="E111" t="str">
        <f>IF(A111="","",IF(A111="[FÓRMULA MANUAL]","",IFERROR(SUMPRODUCT((DATOS!$A$2:$A$20000=A111)*(DATOS!$G$2:$G$20000=CONFIG_METADATA!$B$4)*(COUNTIF(CONFIG_ASIGNATURAS!$B$7:$B$27,DATOS!$I$2:$I$20000)&gt;0)*(DATOS!$K$2:$K$20000))/SUMPRODUCT((DATOS!$A$2:$A$20000=A111)*(DATOS!$G$2:$G$20000=CONFIG_METADATA!$B$4)*(COUNTIF(CONFIG_ASIGNATURAS!$B$7:$B$27,DATOS!$I$2:$I$20000)&gt;0)*1),"")))</f>
        <v/>
      </c>
      <c r="H111" t="str">
        <f>IF(G111="","",IF(G111="[FÓRMULA MANUAL]","",IFERROR(AVERAGEIFS(DATOS!$K$2:$K$20000,DATOS!$A$2:$A$20000,G111,DATOS!$G$2:$G$20000,CONFIG_METADATA!$B$4,DATOS!$I$2:$I$20000,"Lenguaje Musical"),"")))</f>
        <v/>
      </c>
      <c r="I111" t="str">
        <f>IF(G111="","",IF(G111="[FÓRMULA MANUAL]","",IFERROR(AVERAGEIFS(DATOS!$K$2:$K$20000,DATOS!$A$2:$A$20000,G111,DATOS!$G$2:$G$20000,CONFIG_METADATA!$B$4,DATOS!$I$2:$I$20000,"Orquesta/Banda/Conjunto"),"")))</f>
        <v/>
      </c>
      <c r="J111" t="str">
        <f>IF(G111="","",IF(G111="[FÓRMULA MANUAL]","",IFERROR(AVERAGEIFS(DATOS!$K$2:$K$20000,DATOS!$A$2:$A$20000,G111,DATOS!$G$2:$G$20000,CONFIG_METADATA!$B$4,DATOS!$I$2:$I$20000,"Conjunto"),"")))</f>
        <v/>
      </c>
      <c r="K111" t="str">
        <f>IF(G111="","",IF(G111="[FÓRMULA MANUAL]","",IFERROR(SUMPRODUCT((DATOS!$A$2:$A$20000=G111)*(DATOS!$G$2:$G$20000=CONFIG_METADATA!$B$4)*(COUNTIF(CONFIG_ASIGNATURAS!$B$7:$B$27,DATOS!$I$2:$I$20000)&gt;0)*(DATOS!$K$2:$K$20000))/SUMPRODUCT((DATOS!$A$2:$A$20000=G111)*(DATOS!$G$2:$G$20000=CONFIG_METADATA!$B$4)*(COUNTIF(CONFIG_ASIGNATURAS!$B$7:$B$27,DATOS!$I$2:$I$20000)&gt;0)*1),"")))</f>
        <v/>
      </c>
      <c r="N111" t="str">
        <f>IF(M111="","",IF(M111="[FÓRMULA MANUAL]","",IFERROR(AVERAGEIFS(DATOS!$K$2:$K$20000,DATOS!$A$2:$A$20000,M111,DATOS!$G$2:$G$20000,CONFIG_METADATA!$B$4,DATOS!$I$2:$I$20000,"Armonía"),"")))</f>
        <v/>
      </c>
      <c r="O111" t="str">
        <f>IF(M111="","",IF(M111="[FÓRMULA MANUAL]","",IFERROR(AVERAGEIFS(DATOS!$K$2:$K$20000,DATOS!$A$2:$A$20000,M111,DATOS!$G$2:$G$20000,CONFIG_METADATA!$B$4,DATOS!$I$2:$I$20000,"Orquesta/Banda/Conjunto"),"")))</f>
        <v/>
      </c>
      <c r="P111" t="str">
        <f>IF(M111="","",IF(M111="[FÓRMULA MANUAL]","",IFERROR(AVERAGEIFS(DATOS!$K$2:$K$20000,DATOS!$A$2:$A$20000,M111,DATOS!$G$2:$G$20000,CONFIG_METADATA!$B$4,DATOS!$I$2:$I$20000,"Música de Cámara"),"")))</f>
        <v/>
      </c>
      <c r="Q111" t="str">
        <f>IF(M111="","",IF(M111="[FÓRMULA MANUAL]","",IFERROR(SUMPRODUCT((DATOS!$A$2:$A$20000=M111)*(DATOS!$G$2:$G$20000=CONFIG_METADATA!$B$4)*(COUNTIF(CONFIG_ASIGNATURAS!$B$7:$B$27,DATOS!$I$2:$I$20000)&gt;0)*(DATOS!$K$2:$K$20000))/SUMPRODUCT((DATOS!$A$2:$A$20000=M111)*(DATOS!$G$2:$G$20000=CONFIG_METADATA!$B$4)*(COUNTIF(CONFIG_ASIGNATURAS!$B$7:$B$27,DATOS!$I$2:$I$20000)&gt;0)*1),"")))</f>
        <v/>
      </c>
      <c r="T111" t="str">
        <f>IF(S111="","",IF(S111="[FÓRMULA MANUAL]","",IFERROR(AVERAGEIFS(DATOS!$K$2:$K$20000,DATOS!$A$2:$A$20000,S111,DATOS!$G$2:$G$20000,CONFIG_METADATA!$B$4,DATOS!$I$2:$I$20000,"Armonía"),"")))</f>
        <v/>
      </c>
      <c r="U111" t="str">
        <f>IF(S111="","",IF(S111="[FÓRMULA MANUAL]","",IFERROR(AVERAGEIFS(DATOS!$K$2:$K$20000,DATOS!$A$2:$A$20000,S111,DATOS!$G$2:$G$20000,CONFIG_METADATA!$B$4,DATOS!$I$2:$I$20000,"Orquesta/Banda/Conjunto"),"")))</f>
        <v/>
      </c>
      <c r="V111" t="str">
        <f>IF(S111="","",IF(S111="[FÓRMULA MANUAL]","",IFERROR(AVERAGEIFS(DATOS!$K$2:$K$20000,DATOS!$A$2:$A$20000,S111,DATOS!$G$2:$G$20000,CONFIG_METADATA!$B$4,DATOS!$I$2:$I$20000,"Música de Cámara"),"")))</f>
        <v/>
      </c>
      <c r="W111" t="str">
        <f>IF(S111="","",IF(S111="[FÓRMULA MANUAL]","",IFERROR(SUMPRODUCT((DATOS!$A$2:$A$20000=S111)*(DATOS!$G$2:$G$20000=CONFIG_METADATA!$B$4)*(COUNTIF(CONFIG_ASIGNATURAS!$B$7:$B$27,DATOS!$I$2:$I$20000)&gt;0)*(DATOS!$K$2:$K$20000))/SUMPRODUCT((DATOS!$A$2:$A$20000=S111)*(DATOS!$G$2:$G$20000=CONFIG_METADATA!$B$4)*(COUNTIF(CONFIG_ASIGNATURAS!$B$7:$B$27,DATOS!$I$2:$I$20000)&gt;0)*1),"")))</f>
        <v/>
      </c>
      <c r="Z111" t="str">
        <f>IF(Y111="","",IF(Y111="[FÓRMULA MANUAL]","",IFERROR(AVERAGEIFS(DATOS!$K$2:$K$20000,DATOS!$A$2:$A$20000,Y111,DATOS!$G$2:$G$20000,CONFIG_METADATA!$B$4,DATOS!$I$2:$I$20000,"Análisis"),"")))</f>
        <v/>
      </c>
      <c r="AA111" t="str">
        <f>IF(Y111="","",IF(Y111="[FÓRMULA MANUAL]","",IFERROR(AVERAGEIFS(DATOS!$K$2:$K$20000,DATOS!$A$2:$A$20000,Y111,DATOS!$G$2:$G$20000,CONFIG_METADATA!$B$4,DATOS!$I$2:$I$20000,"Orquesta/Banda/Conjunto"),"")))</f>
        <v/>
      </c>
      <c r="AB111" t="str">
        <f>IF(Y111="","",IF(Y111="[FÓRMULA MANUAL]","",IFERROR(AVERAGEIFS(DATOS!$K$2:$K$20000,DATOS!$A$2:$A$20000,Y111,DATOS!$G$2:$G$20000,CONFIG_METADATA!$B$4,DATOS!$I$2:$I$20000,"Música de Cámara"),"")))</f>
        <v/>
      </c>
      <c r="AC111" t="str">
        <f>IF(Y111="","",IF(Y111="[FÓRMULA MANUAL]","",IFERROR(SUMPRODUCT((DATOS!$A$2:$A$20000=Y111)*(DATOS!$G$2:$G$20000=CONFIG_METADATA!$B$4)*(COUNTIF(CONFIG_ASIGNATURAS!$B$7:$B$27,DATOS!$I$2:$I$20000)&gt;0)*(DATOS!$K$2:$K$20000))/SUMPRODUCT((DATOS!$A$2:$A$20000=Y111)*(DATOS!$G$2:$G$20000=CONFIG_METADATA!$B$4)*(COUNTIF(CONFIG_ASIGNATURAS!$B$7:$B$27,DATOS!$I$2:$I$20000)&gt;0)*1),"")))</f>
        <v/>
      </c>
      <c r="AF111" t="str">
        <f>IF(AE111="","",IF(AE111="[FÓRMULA MANUAL]","",IFERROR(AVERAGEIFS(DATOS!$K$2:$K$20000,DATOS!$A$2:$A$20000,AE111,DATOS!$G$2:$G$20000,CONFIG_METADATA!$B$4,DATOS!$I$2:$I$20000,"Análisis"),"")))</f>
        <v/>
      </c>
      <c r="AG111" t="str">
        <f>IF(AE111="","",IF(AE111="[FÓRMULA MANUAL]","",IFERROR(AVERAGEIFS(DATOS!$K$2:$K$20000,DATOS!$A$2:$A$20000,AE111,DATOS!$G$2:$G$20000,CONFIG_METADATA!$B$4,DATOS!$I$2:$I$20000,"Orquesta/Banda/Conjunto"),"")))</f>
        <v/>
      </c>
      <c r="AH111" t="str">
        <f>IF(AE111="","",IF(AE111="[FÓRMULA MANUAL]","",IFERROR(AVERAGEIFS(DATOS!$K$2:$K$20000,DATOS!$A$2:$A$20000,AE111,DATOS!$G$2:$G$20000,CONFIG_METADATA!$B$4,DATOS!$I$2:$I$20000,"Música de Cámara"),"")))</f>
        <v/>
      </c>
      <c r="AI111" t="str">
        <f>IF(AE111="","",IF(AE111="[FÓRMULA MANUAL]","",IFERROR(SUMPRODUCT((DATOS!$A$2:$A$20000=AE111)*(DATOS!$G$2:$G$20000=CONFIG_METADATA!$B$4)*(COUNTIF(CONFIG_ASIGNATURAS!$B$7:$B$27,DATOS!$I$2:$I$20000)&gt;0)*(DATOS!$K$2:$K$20000))/SUMPRODUCT((DATOS!$A$2:$A$20000=AE111)*(DATOS!$G$2:$G$20000=CONFIG_METADATA!$B$4)*(COUNTIF(CONFIG_ASIGNATURAS!$B$7:$B$27,DATOS!$I$2:$I$20000)&gt;0)*1),"")))</f>
        <v/>
      </c>
    </row>
    <row r="112" spans="2:35" x14ac:dyDescent="0.2">
      <c r="B112" t="str">
        <f>IF(A112="","",IF(A112="[FÓRMULA MANUAL]","",IFERROR(AVERAGEIFS(DATOS!$K$2:$K$20000,DATOS!$A$2:$A$20000,A112,DATOS!$G$2:$G$20000,CONFIG_METADATA!$B$4,DATOS!$I$2:$I$20000,"Lenguaje Musical"),"")))</f>
        <v/>
      </c>
      <c r="C112" t="str">
        <f>IF(A112="","",IF(A112="[FÓRMULA MANUAL]","",IFERROR(AVERAGEIFS(DATOS!$K$2:$K$20000,DATOS!$A$2:$A$20000,A112,DATOS!$G$2:$G$20000,CONFIG_METADATA!$B$4,DATOS!$I$2:$I$20000,"Orquesta/Banda/Conjunto"),"")))</f>
        <v/>
      </c>
      <c r="D112" t="str">
        <f>IF(A112="","",IF(A112="[FÓRMULA MANUAL]","",IFERROR(AVERAGEIFS(DATOS!$K$2:$K$20000,DATOS!$A$2:$A$20000,A112,DATOS!$G$2:$G$20000,CONFIG_METADATA!$B$4,DATOS!$I$2:$I$20000,"Conjunto"),"")))</f>
        <v/>
      </c>
      <c r="E112" t="str">
        <f>IF(A112="","",IF(A112="[FÓRMULA MANUAL]","",IFERROR(SUMPRODUCT((DATOS!$A$2:$A$20000=A112)*(DATOS!$G$2:$G$20000=CONFIG_METADATA!$B$4)*(COUNTIF(CONFIG_ASIGNATURAS!$B$7:$B$27,DATOS!$I$2:$I$20000)&gt;0)*(DATOS!$K$2:$K$20000))/SUMPRODUCT((DATOS!$A$2:$A$20000=A112)*(DATOS!$G$2:$G$20000=CONFIG_METADATA!$B$4)*(COUNTIF(CONFIG_ASIGNATURAS!$B$7:$B$27,DATOS!$I$2:$I$20000)&gt;0)*1),"")))</f>
        <v/>
      </c>
      <c r="H112" t="str">
        <f>IF(G112="","",IF(G112="[FÓRMULA MANUAL]","",IFERROR(AVERAGEIFS(DATOS!$K$2:$K$20000,DATOS!$A$2:$A$20000,G112,DATOS!$G$2:$G$20000,CONFIG_METADATA!$B$4,DATOS!$I$2:$I$20000,"Lenguaje Musical"),"")))</f>
        <v/>
      </c>
      <c r="I112" t="str">
        <f>IF(G112="","",IF(G112="[FÓRMULA MANUAL]","",IFERROR(AVERAGEIFS(DATOS!$K$2:$K$20000,DATOS!$A$2:$A$20000,G112,DATOS!$G$2:$G$20000,CONFIG_METADATA!$B$4,DATOS!$I$2:$I$20000,"Orquesta/Banda/Conjunto"),"")))</f>
        <v/>
      </c>
      <c r="J112" t="str">
        <f>IF(G112="","",IF(G112="[FÓRMULA MANUAL]","",IFERROR(AVERAGEIFS(DATOS!$K$2:$K$20000,DATOS!$A$2:$A$20000,G112,DATOS!$G$2:$G$20000,CONFIG_METADATA!$B$4,DATOS!$I$2:$I$20000,"Conjunto"),"")))</f>
        <v/>
      </c>
      <c r="K112" t="str">
        <f>IF(G112="","",IF(G112="[FÓRMULA MANUAL]","",IFERROR(SUMPRODUCT((DATOS!$A$2:$A$20000=G112)*(DATOS!$G$2:$G$20000=CONFIG_METADATA!$B$4)*(COUNTIF(CONFIG_ASIGNATURAS!$B$7:$B$27,DATOS!$I$2:$I$20000)&gt;0)*(DATOS!$K$2:$K$20000))/SUMPRODUCT((DATOS!$A$2:$A$20000=G112)*(DATOS!$G$2:$G$20000=CONFIG_METADATA!$B$4)*(COUNTIF(CONFIG_ASIGNATURAS!$B$7:$B$27,DATOS!$I$2:$I$20000)&gt;0)*1),"")))</f>
        <v/>
      </c>
      <c r="N112" t="str">
        <f>IF(M112="","",IF(M112="[FÓRMULA MANUAL]","",IFERROR(AVERAGEIFS(DATOS!$K$2:$K$20000,DATOS!$A$2:$A$20000,M112,DATOS!$G$2:$G$20000,CONFIG_METADATA!$B$4,DATOS!$I$2:$I$20000,"Armonía"),"")))</f>
        <v/>
      </c>
      <c r="O112" t="str">
        <f>IF(M112="","",IF(M112="[FÓRMULA MANUAL]","",IFERROR(AVERAGEIFS(DATOS!$K$2:$K$20000,DATOS!$A$2:$A$20000,M112,DATOS!$G$2:$G$20000,CONFIG_METADATA!$B$4,DATOS!$I$2:$I$20000,"Orquesta/Banda/Conjunto"),"")))</f>
        <v/>
      </c>
      <c r="P112" t="str">
        <f>IF(M112="","",IF(M112="[FÓRMULA MANUAL]","",IFERROR(AVERAGEIFS(DATOS!$K$2:$K$20000,DATOS!$A$2:$A$20000,M112,DATOS!$G$2:$G$20000,CONFIG_METADATA!$B$4,DATOS!$I$2:$I$20000,"Música de Cámara"),"")))</f>
        <v/>
      </c>
      <c r="Q112" t="str">
        <f>IF(M112="","",IF(M112="[FÓRMULA MANUAL]","",IFERROR(SUMPRODUCT((DATOS!$A$2:$A$20000=M112)*(DATOS!$G$2:$G$20000=CONFIG_METADATA!$B$4)*(COUNTIF(CONFIG_ASIGNATURAS!$B$7:$B$27,DATOS!$I$2:$I$20000)&gt;0)*(DATOS!$K$2:$K$20000))/SUMPRODUCT((DATOS!$A$2:$A$20000=M112)*(DATOS!$G$2:$G$20000=CONFIG_METADATA!$B$4)*(COUNTIF(CONFIG_ASIGNATURAS!$B$7:$B$27,DATOS!$I$2:$I$20000)&gt;0)*1),"")))</f>
        <v/>
      </c>
      <c r="T112" t="str">
        <f>IF(S112="","",IF(S112="[FÓRMULA MANUAL]","",IFERROR(AVERAGEIFS(DATOS!$K$2:$K$20000,DATOS!$A$2:$A$20000,S112,DATOS!$G$2:$G$20000,CONFIG_METADATA!$B$4,DATOS!$I$2:$I$20000,"Armonía"),"")))</f>
        <v/>
      </c>
      <c r="U112" t="str">
        <f>IF(S112="","",IF(S112="[FÓRMULA MANUAL]","",IFERROR(AVERAGEIFS(DATOS!$K$2:$K$20000,DATOS!$A$2:$A$20000,S112,DATOS!$G$2:$G$20000,CONFIG_METADATA!$B$4,DATOS!$I$2:$I$20000,"Orquesta/Banda/Conjunto"),"")))</f>
        <v/>
      </c>
      <c r="V112" t="str">
        <f>IF(S112="","",IF(S112="[FÓRMULA MANUAL]","",IFERROR(AVERAGEIFS(DATOS!$K$2:$K$20000,DATOS!$A$2:$A$20000,S112,DATOS!$G$2:$G$20000,CONFIG_METADATA!$B$4,DATOS!$I$2:$I$20000,"Música de Cámara"),"")))</f>
        <v/>
      </c>
      <c r="W112" t="str">
        <f>IF(S112="","",IF(S112="[FÓRMULA MANUAL]","",IFERROR(SUMPRODUCT((DATOS!$A$2:$A$20000=S112)*(DATOS!$G$2:$G$20000=CONFIG_METADATA!$B$4)*(COUNTIF(CONFIG_ASIGNATURAS!$B$7:$B$27,DATOS!$I$2:$I$20000)&gt;0)*(DATOS!$K$2:$K$20000))/SUMPRODUCT((DATOS!$A$2:$A$20000=S112)*(DATOS!$G$2:$G$20000=CONFIG_METADATA!$B$4)*(COUNTIF(CONFIG_ASIGNATURAS!$B$7:$B$27,DATOS!$I$2:$I$20000)&gt;0)*1),"")))</f>
        <v/>
      </c>
      <c r="Z112" t="str">
        <f>IF(Y112="","",IF(Y112="[FÓRMULA MANUAL]","",IFERROR(AVERAGEIFS(DATOS!$K$2:$K$20000,DATOS!$A$2:$A$20000,Y112,DATOS!$G$2:$G$20000,CONFIG_METADATA!$B$4,DATOS!$I$2:$I$20000,"Análisis"),"")))</f>
        <v/>
      </c>
      <c r="AA112" t="str">
        <f>IF(Y112="","",IF(Y112="[FÓRMULA MANUAL]","",IFERROR(AVERAGEIFS(DATOS!$K$2:$K$20000,DATOS!$A$2:$A$20000,Y112,DATOS!$G$2:$G$20000,CONFIG_METADATA!$B$4,DATOS!$I$2:$I$20000,"Orquesta/Banda/Conjunto"),"")))</f>
        <v/>
      </c>
      <c r="AB112" t="str">
        <f>IF(Y112="","",IF(Y112="[FÓRMULA MANUAL]","",IFERROR(AVERAGEIFS(DATOS!$K$2:$K$20000,DATOS!$A$2:$A$20000,Y112,DATOS!$G$2:$G$20000,CONFIG_METADATA!$B$4,DATOS!$I$2:$I$20000,"Música de Cámara"),"")))</f>
        <v/>
      </c>
      <c r="AC112" t="str">
        <f>IF(Y112="","",IF(Y112="[FÓRMULA MANUAL]","",IFERROR(SUMPRODUCT((DATOS!$A$2:$A$20000=Y112)*(DATOS!$G$2:$G$20000=CONFIG_METADATA!$B$4)*(COUNTIF(CONFIG_ASIGNATURAS!$B$7:$B$27,DATOS!$I$2:$I$20000)&gt;0)*(DATOS!$K$2:$K$20000))/SUMPRODUCT((DATOS!$A$2:$A$20000=Y112)*(DATOS!$G$2:$G$20000=CONFIG_METADATA!$B$4)*(COUNTIF(CONFIG_ASIGNATURAS!$B$7:$B$27,DATOS!$I$2:$I$20000)&gt;0)*1),"")))</f>
        <v/>
      </c>
      <c r="AF112" t="str">
        <f>IF(AE112="","",IF(AE112="[FÓRMULA MANUAL]","",IFERROR(AVERAGEIFS(DATOS!$K$2:$K$20000,DATOS!$A$2:$A$20000,AE112,DATOS!$G$2:$G$20000,CONFIG_METADATA!$B$4,DATOS!$I$2:$I$20000,"Análisis"),"")))</f>
        <v/>
      </c>
      <c r="AG112" t="str">
        <f>IF(AE112="","",IF(AE112="[FÓRMULA MANUAL]","",IFERROR(AVERAGEIFS(DATOS!$K$2:$K$20000,DATOS!$A$2:$A$20000,AE112,DATOS!$G$2:$G$20000,CONFIG_METADATA!$B$4,DATOS!$I$2:$I$20000,"Orquesta/Banda/Conjunto"),"")))</f>
        <v/>
      </c>
      <c r="AH112" t="str">
        <f>IF(AE112="","",IF(AE112="[FÓRMULA MANUAL]","",IFERROR(AVERAGEIFS(DATOS!$K$2:$K$20000,DATOS!$A$2:$A$20000,AE112,DATOS!$G$2:$G$20000,CONFIG_METADATA!$B$4,DATOS!$I$2:$I$20000,"Música de Cámara"),"")))</f>
        <v/>
      </c>
      <c r="AI112" t="str">
        <f>IF(AE112="","",IF(AE112="[FÓRMULA MANUAL]","",IFERROR(SUMPRODUCT((DATOS!$A$2:$A$20000=AE112)*(DATOS!$G$2:$G$20000=CONFIG_METADATA!$B$4)*(COUNTIF(CONFIG_ASIGNATURAS!$B$7:$B$27,DATOS!$I$2:$I$20000)&gt;0)*(DATOS!$K$2:$K$20000))/SUMPRODUCT((DATOS!$A$2:$A$20000=AE112)*(DATOS!$G$2:$G$20000=CONFIG_METADATA!$B$4)*(COUNTIF(CONFIG_ASIGNATURAS!$B$7:$B$27,DATOS!$I$2:$I$20000)&gt;0)*1),"")))</f>
        <v/>
      </c>
    </row>
    <row r="113" spans="2:35" x14ac:dyDescent="0.2">
      <c r="B113" t="str">
        <f>IF(A113="","",IF(A113="[FÓRMULA MANUAL]","",IFERROR(AVERAGEIFS(DATOS!$K$2:$K$20000,DATOS!$A$2:$A$20000,A113,DATOS!$G$2:$G$20000,CONFIG_METADATA!$B$4,DATOS!$I$2:$I$20000,"Lenguaje Musical"),"")))</f>
        <v/>
      </c>
      <c r="C113" t="str">
        <f>IF(A113="","",IF(A113="[FÓRMULA MANUAL]","",IFERROR(AVERAGEIFS(DATOS!$K$2:$K$20000,DATOS!$A$2:$A$20000,A113,DATOS!$G$2:$G$20000,CONFIG_METADATA!$B$4,DATOS!$I$2:$I$20000,"Orquesta/Banda/Conjunto"),"")))</f>
        <v/>
      </c>
      <c r="D113" t="str">
        <f>IF(A113="","",IF(A113="[FÓRMULA MANUAL]","",IFERROR(AVERAGEIFS(DATOS!$K$2:$K$20000,DATOS!$A$2:$A$20000,A113,DATOS!$G$2:$G$20000,CONFIG_METADATA!$B$4,DATOS!$I$2:$I$20000,"Conjunto"),"")))</f>
        <v/>
      </c>
      <c r="E113" t="str">
        <f>IF(A113="","",IF(A113="[FÓRMULA MANUAL]","",IFERROR(SUMPRODUCT((DATOS!$A$2:$A$20000=A113)*(DATOS!$G$2:$G$20000=CONFIG_METADATA!$B$4)*(COUNTIF(CONFIG_ASIGNATURAS!$B$7:$B$27,DATOS!$I$2:$I$20000)&gt;0)*(DATOS!$K$2:$K$20000))/SUMPRODUCT((DATOS!$A$2:$A$20000=A113)*(DATOS!$G$2:$G$20000=CONFIG_METADATA!$B$4)*(COUNTIF(CONFIG_ASIGNATURAS!$B$7:$B$27,DATOS!$I$2:$I$20000)&gt;0)*1),"")))</f>
        <v/>
      </c>
      <c r="H113" t="str">
        <f>IF(G113="","",IF(G113="[FÓRMULA MANUAL]","",IFERROR(AVERAGEIFS(DATOS!$K$2:$K$20000,DATOS!$A$2:$A$20000,G113,DATOS!$G$2:$G$20000,CONFIG_METADATA!$B$4,DATOS!$I$2:$I$20000,"Lenguaje Musical"),"")))</f>
        <v/>
      </c>
      <c r="I113" t="str">
        <f>IF(G113="","",IF(G113="[FÓRMULA MANUAL]","",IFERROR(AVERAGEIFS(DATOS!$K$2:$K$20000,DATOS!$A$2:$A$20000,G113,DATOS!$G$2:$G$20000,CONFIG_METADATA!$B$4,DATOS!$I$2:$I$20000,"Orquesta/Banda/Conjunto"),"")))</f>
        <v/>
      </c>
      <c r="J113" t="str">
        <f>IF(G113="","",IF(G113="[FÓRMULA MANUAL]","",IFERROR(AVERAGEIFS(DATOS!$K$2:$K$20000,DATOS!$A$2:$A$20000,G113,DATOS!$G$2:$G$20000,CONFIG_METADATA!$B$4,DATOS!$I$2:$I$20000,"Conjunto"),"")))</f>
        <v/>
      </c>
      <c r="K113" t="str">
        <f>IF(G113="","",IF(G113="[FÓRMULA MANUAL]","",IFERROR(SUMPRODUCT((DATOS!$A$2:$A$20000=G113)*(DATOS!$G$2:$G$20000=CONFIG_METADATA!$B$4)*(COUNTIF(CONFIG_ASIGNATURAS!$B$7:$B$27,DATOS!$I$2:$I$20000)&gt;0)*(DATOS!$K$2:$K$20000))/SUMPRODUCT((DATOS!$A$2:$A$20000=G113)*(DATOS!$G$2:$G$20000=CONFIG_METADATA!$B$4)*(COUNTIF(CONFIG_ASIGNATURAS!$B$7:$B$27,DATOS!$I$2:$I$20000)&gt;0)*1),"")))</f>
        <v/>
      </c>
      <c r="N113" t="str">
        <f>IF(M113="","",IF(M113="[FÓRMULA MANUAL]","",IFERROR(AVERAGEIFS(DATOS!$K$2:$K$20000,DATOS!$A$2:$A$20000,M113,DATOS!$G$2:$G$20000,CONFIG_METADATA!$B$4,DATOS!$I$2:$I$20000,"Armonía"),"")))</f>
        <v/>
      </c>
      <c r="O113" t="str">
        <f>IF(M113="","",IF(M113="[FÓRMULA MANUAL]","",IFERROR(AVERAGEIFS(DATOS!$K$2:$K$20000,DATOS!$A$2:$A$20000,M113,DATOS!$G$2:$G$20000,CONFIG_METADATA!$B$4,DATOS!$I$2:$I$20000,"Orquesta/Banda/Conjunto"),"")))</f>
        <v/>
      </c>
      <c r="P113" t="str">
        <f>IF(M113="","",IF(M113="[FÓRMULA MANUAL]","",IFERROR(AVERAGEIFS(DATOS!$K$2:$K$20000,DATOS!$A$2:$A$20000,M113,DATOS!$G$2:$G$20000,CONFIG_METADATA!$B$4,DATOS!$I$2:$I$20000,"Música de Cámara"),"")))</f>
        <v/>
      </c>
      <c r="Q113" t="str">
        <f>IF(M113="","",IF(M113="[FÓRMULA MANUAL]","",IFERROR(SUMPRODUCT((DATOS!$A$2:$A$20000=M113)*(DATOS!$G$2:$G$20000=CONFIG_METADATA!$B$4)*(COUNTIF(CONFIG_ASIGNATURAS!$B$7:$B$27,DATOS!$I$2:$I$20000)&gt;0)*(DATOS!$K$2:$K$20000))/SUMPRODUCT((DATOS!$A$2:$A$20000=M113)*(DATOS!$G$2:$G$20000=CONFIG_METADATA!$B$4)*(COUNTIF(CONFIG_ASIGNATURAS!$B$7:$B$27,DATOS!$I$2:$I$20000)&gt;0)*1),"")))</f>
        <v/>
      </c>
      <c r="T113" t="str">
        <f>IF(S113="","",IF(S113="[FÓRMULA MANUAL]","",IFERROR(AVERAGEIFS(DATOS!$K$2:$K$20000,DATOS!$A$2:$A$20000,S113,DATOS!$G$2:$G$20000,CONFIG_METADATA!$B$4,DATOS!$I$2:$I$20000,"Armonía"),"")))</f>
        <v/>
      </c>
      <c r="U113" t="str">
        <f>IF(S113="","",IF(S113="[FÓRMULA MANUAL]","",IFERROR(AVERAGEIFS(DATOS!$K$2:$K$20000,DATOS!$A$2:$A$20000,S113,DATOS!$G$2:$G$20000,CONFIG_METADATA!$B$4,DATOS!$I$2:$I$20000,"Orquesta/Banda/Conjunto"),"")))</f>
        <v/>
      </c>
      <c r="V113" t="str">
        <f>IF(S113="","",IF(S113="[FÓRMULA MANUAL]","",IFERROR(AVERAGEIFS(DATOS!$K$2:$K$20000,DATOS!$A$2:$A$20000,S113,DATOS!$G$2:$G$20000,CONFIG_METADATA!$B$4,DATOS!$I$2:$I$20000,"Música de Cámara"),"")))</f>
        <v/>
      </c>
      <c r="W113" t="str">
        <f>IF(S113="","",IF(S113="[FÓRMULA MANUAL]","",IFERROR(SUMPRODUCT((DATOS!$A$2:$A$20000=S113)*(DATOS!$G$2:$G$20000=CONFIG_METADATA!$B$4)*(COUNTIF(CONFIG_ASIGNATURAS!$B$7:$B$27,DATOS!$I$2:$I$20000)&gt;0)*(DATOS!$K$2:$K$20000))/SUMPRODUCT((DATOS!$A$2:$A$20000=S113)*(DATOS!$G$2:$G$20000=CONFIG_METADATA!$B$4)*(COUNTIF(CONFIG_ASIGNATURAS!$B$7:$B$27,DATOS!$I$2:$I$20000)&gt;0)*1),"")))</f>
        <v/>
      </c>
      <c r="Z113" t="str">
        <f>IF(Y113="","",IF(Y113="[FÓRMULA MANUAL]","",IFERROR(AVERAGEIFS(DATOS!$K$2:$K$20000,DATOS!$A$2:$A$20000,Y113,DATOS!$G$2:$G$20000,CONFIG_METADATA!$B$4,DATOS!$I$2:$I$20000,"Análisis"),"")))</f>
        <v/>
      </c>
      <c r="AA113" t="str">
        <f>IF(Y113="","",IF(Y113="[FÓRMULA MANUAL]","",IFERROR(AVERAGEIFS(DATOS!$K$2:$K$20000,DATOS!$A$2:$A$20000,Y113,DATOS!$G$2:$G$20000,CONFIG_METADATA!$B$4,DATOS!$I$2:$I$20000,"Orquesta/Banda/Conjunto"),"")))</f>
        <v/>
      </c>
      <c r="AB113" t="str">
        <f>IF(Y113="","",IF(Y113="[FÓRMULA MANUAL]","",IFERROR(AVERAGEIFS(DATOS!$K$2:$K$20000,DATOS!$A$2:$A$20000,Y113,DATOS!$G$2:$G$20000,CONFIG_METADATA!$B$4,DATOS!$I$2:$I$20000,"Música de Cámara"),"")))</f>
        <v/>
      </c>
      <c r="AC113" t="str">
        <f>IF(Y113="","",IF(Y113="[FÓRMULA MANUAL]","",IFERROR(SUMPRODUCT((DATOS!$A$2:$A$20000=Y113)*(DATOS!$G$2:$G$20000=CONFIG_METADATA!$B$4)*(COUNTIF(CONFIG_ASIGNATURAS!$B$7:$B$27,DATOS!$I$2:$I$20000)&gt;0)*(DATOS!$K$2:$K$20000))/SUMPRODUCT((DATOS!$A$2:$A$20000=Y113)*(DATOS!$G$2:$G$20000=CONFIG_METADATA!$B$4)*(COUNTIF(CONFIG_ASIGNATURAS!$B$7:$B$27,DATOS!$I$2:$I$20000)&gt;0)*1),"")))</f>
        <v/>
      </c>
      <c r="AF113" t="str">
        <f>IF(AE113="","",IF(AE113="[FÓRMULA MANUAL]","",IFERROR(AVERAGEIFS(DATOS!$K$2:$K$20000,DATOS!$A$2:$A$20000,AE113,DATOS!$G$2:$G$20000,CONFIG_METADATA!$B$4,DATOS!$I$2:$I$20000,"Análisis"),"")))</f>
        <v/>
      </c>
      <c r="AG113" t="str">
        <f>IF(AE113="","",IF(AE113="[FÓRMULA MANUAL]","",IFERROR(AVERAGEIFS(DATOS!$K$2:$K$20000,DATOS!$A$2:$A$20000,AE113,DATOS!$G$2:$G$20000,CONFIG_METADATA!$B$4,DATOS!$I$2:$I$20000,"Orquesta/Banda/Conjunto"),"")))</f>
        <v/>
      </c>
      <c r="AH113" t="str">
        <f>IF(AE113="","",IF(AE113="[FÓRMULA MANUAL]","",IFERROR(AVERAGEIFS(DATOS!$K$2:$K$20000,DATOS!$A$2:$A$20000,AE113,DATOS!$G$2:$G$20000,CONFIG_METADATA!$B$4,DATOS!$I$2:$I$20000,"Música de Cámara"),"")))</f>
        <v/>
      </c>
      <c r="AI113" t="str">
        <f>IF(AE113="","",IF(AE113="[FÓRMULA MANUAL]","",IFERROR(SUMPRODUCT((DATOS!$A$2:$A$20000=AE113)*(DATOS!$G$2:$G$20000=CONFIG_METADATA!$B$4)*(COUNTIF(CONFIG_ASIGNATURAS!$B$7:$B$27,DATOS!$I$2:$I$20000)&gt;0)*(DATOS!$K$2:$K$20000))/SUMPRODUCT((DATOS!$A$2:$A$20000=AE113)*(DATOS!$G$2:$G$20000=CONFIG_METADATA!$B$4)*(COUNTIF(CONFIG_ASIGNATURAS!$B$7:$B$27,DATOS!$I$2:$I$20000)&gt;0)*1),"")))</f>
        <v/>
      </c>
    </row>
    <row r="114" spans="2:35" x14ac:dyDescent="0.2">
      <c r="B114" t="str">
        <f>IF(A114="","",IF(A114="[FÓRMULA MANUAL]","",IFERROR(AVERAGEIFS(DATOS!$K$2:$K$20000,DATOS!$A$2:$A$20000,A114,DATOS!$G$2:$G$20000,CONFIG_METADATA!$B$4,DATOS!$I$2:$I$20000,"Lenguaje Musical"),"")))</f>
        <v/>
      </c>
      <c r="C114" t="str">
        <f>IF(A114="","",IF(A114="[FÓRMULA MANUAL]","",IFERROR(AVERAGEIFS(DATOS!$K$2:$K$20000,DATOS!$A$2:$A$20000,A114,DATOS!$G$2:$G$20000,CONFIG_METADATA!$B$4,DATOS!$I$2:$I$20000,"Orquesta/Banda/Conjunto"),"")))</f>
        <v/>
      </c>
      <c r="D114" t="str">
        <f>IF(A114="","",IF(A114="[FÓRMULA MANUAL]","",IFERROR(AVERAGEIFS(DATOS!$K$2:$K$20000,DATOS!$A$2:$A$20000,A114,DATOS!$G$2:$G$20000,CONFIG_METADATA!$B$4,DATOS!$I$2:$I$20000,"Conjunto"),"")))</f>
        <v/>
      </c>
      <c r="E114" t="str">
        <f>IF(A114="","",IF(A114="[FÓRMULA MANUAL]","",IFERROR(SUMPRODUCT((DATOS!$A$2:$A$20000=A114)*(DATOS!$G$2:$G$20000=CONFIG_METADATA!$B$4)*(COUNTIF(CONFIG_ASIGNATURAS!$B$7:$B$27,DATOS!$I$2:$I$20000)&gt;0)*(DATOS!$K$2:$K$20000))/SUMPRODUCT((DATOS!$A$2:$A$20000=A114)*(DATOS!$G$2:$G$20000=CONFIG_METADATA!$B$4)*(COUNTIF(CONFIG_ASIGNATURAS!$B$7:$B$27,DATOS!$I$2:$I$20000)&gt;0)*1),"")))</f>
        <v/>
      </c>
      <c r="H114" t="str">
        <f>IF(G114="","",IF(G114="[FÓRMULA MANUAL]","",IFERROR(AVERAGEIFS(DATOS!$K$2:$K$20000,DATOS!$A$2:$A$20000,G114,DATOS!$G$2:$G$20000,CONFIG_METADATA!$B$4,DATOS!$I$2:$I$20000,"Lenguaje Musical"),"")))</f>
        <v/>
      </c>
      <c r="I114" t="str">
        <f>IF(G114="","",IF(G114="[FÓRMULA MANUAL]","",IFERROR(AVERAGEIFS(DATOS!$K$2:$K$20000,DATOS!$A$2:$A$20000,G114,DATOS!$G$2:$G$20000,CONFIG_METADATA!$B$4,DATOS!$I$2:$I$20000,"Orquesta/Banda/Conjunto"),"")))</f>
        <v/>
      </c>
      <c r="J114" t="str">
        <f>IF(G114="","",IF(G114="[FÓRMULA MANUAL]","",IFERROR(AVERAGEIFS(DATOS!$K$2:$K$20000,DATOS!$A$2:$A$20000,G114,DATOS!$G$2:$G$20000,CONFIG_METADATA!$B$4,DATOS!$I$2:$I$20000,"Conjunto"),"")))</f>
        <v/>
      </c>
      <c r="K114" t="str">
        <f>IF(G114="","",IF(G114="[FÓRMULA MANUAL]","",IFERROR(SUMPRODUCT((DATOS!$A$2:$A$20000=G114)*(DATOS!$G$2:$G$20000=CONFIG_METADATA!$B$4)*(COUNTIF(CONFIG_ASIGNATURAS!$B$7:$B$27,DATOS!$I$2:$I$20000)&gt;0)*(DATOS!$K$2:$K$20000))/SUMPRODUCT((DATOS!$A$2:$A$20000=G114)*(DATOS!$G$2:$G$20000=CONFIG_METADATA!$B$4)*(COUNTIF(CONFIG_ASIGNATURAS!$B$7:$B$27,DATOS!$I$2:$I$20000)&gt;0)*1),"")))</f>
        <v/>
      </c>
      <c r="N114" t="str">
        <f>IF(M114="","",IF(M114="[FÓRMULA MANUAL]","",IFERROR(AVERAGEIFS(DATOS!$K$2:$K$20000,DATOS!$A$2:$A$20000,M114,DATOS!$G$2:$G$20000,CONFIG_METADATA!$B$4,DATOS!$I$2:$I$20000,"Armonía"),"")))</f>
        <v/>
      </c>
      <c r="O114" t="str">
        <f>IF(M114="","",IF(M114="[FÓRMULA MANUAL]","",IFERROR(AVERAGEIFS(DATOS!$K$2:$K$20000,DATOS!$A$2:$A$20000,M114,DATOS!$G$2:$G$20000,CONFIG_METADATA!$B$4,DATOS!$I$2:$I$20000,"Orquesta/Banda/Conjunto"),"")))</f>
        <v/>
      </c>
      <c r="P114" t="str">
        <f>IF(M114="","",IF(M114="[FÓRMULA MANUAL]","",IFERROR(AVERAGEIFS(DATOS!$K$2:$K$20000,DATOS!$A$2:$A$20000,M114,DATOS!$G$2:$G$20000,CONFIG_METADATA!$B$4,DATOS!$I$2:$I$20000,"Música de Cámara"),"")))</f>
        <v/>
      </c>
      <c r="Q114" t="str">
        <f>IF(M114="","",IF(M114="[FÓRMULA MANUAL]","",IFERROR(SUMPRODUCT((DATOS!$A$2:$A$20000=M114)*(DATOS!$G$2:$G$20000=CONFIG_METADATA!$B$4)*(COUNTIF(CONFIG_ASIGNATURAS!$B$7:$B$27,DATOS!$I$2:$I$20000)&gt;0)*(DATOS!$K$2:$K$20000))/SUMPRODUCT((DATOS!$A$2:$A$20000=M114)*(DATOS!$G$2:$G$20000=CONFIG_METADATA!$B$4)*(COUNTIF(CONFIG_ASIGNATURAS!$B$7:$B$27,DATOS!$I$2:$I$20000)&gt;0)*1),"")))</f>
        <v/>
      </c>
      <c r="T114" t="str">
        <f>IF(S114="","",IF(S114="[FÓRMULA MANUAL]","",IFERROR(AVERAGEIFS(DATOS!$K$2:$K$20000,DATOS!$A$2:$A$20000,S114,DATOS!$G$2:$G$20000,CONFIG_METADATA!$B$4,DATOS!$I$2:$I$20000,"Armonía"),"")))</f>
        <v/>
      </c>
      <c r="U114" t="str">
        <f>IF(S114="","",IF(S114="[FÓRMULA MANUAL]","",IFERROR(AVERAGEIFS(DATOS!$K$2:$K$20000,DATOS!$A$2:$A$20000,S114,DATOS!$G$2:$G$20000,CONFIG_METADATA!$B$4,DATOS!$I$2:$I$20000,"Orquesta/Banda/Conjunto"),"")))</f>
        <v/>
      </c>
      <c r="V114" t="str">
        <f>IF(S114="","",IF(S114="[FÓRMULA MANUAL]","",IFERROR(AVERAGEIFS(DATOS!$K$2:$K$20000,DATOS!$A$2:$A$20000,S114,DATOS!$G$2:$G$20000,CONFIG_METADATA!$B$4,DATOS!$I$2:$I$20000,"Música de Cámara"),"")))</f>
        <v/>
      </c>
      <c r="W114" t="str">
        <f>IF(S114="","",IF(S114="[FÓRMULA MANUAL]","",IFERROR(SUMPRODUCT((DATOS!$A$2:$A$20000=S114)*(DATOS!$G$2:$G$20000=CONFIG_METADATA!$B$4)*(COUNTIF(CONFIG_ASIGNATURAS!$B$7:$B$27,DATOS!$I$2:$I$20000)&gt;0)*(DATOS!$K$2:$K$20000))/SUMPRODUCT((DATOS!$A$2:$A$20000=S114)*(DATOS!$G$2:$G$20000=CONFIG_METADATA!$B$4)*(COUNTIF(CONFIG_ASIGNATURAS!$B$7:$B$27,DATOS!$I$2:$I$20000)&gt;0)*1),"")))</f>
        <v/>
      </c>
      <c r="Z114" t="str">
        <f>IF(Y114="","",IF(Y114="[FÓRMULA MANUAL]","",IFERROR(AVERAGEIFS(DATOS!$K$2:$K$20000,DATOS!$A$2:$A$20000,Y114,DATOS!$G$2:$G$20000,CONFIG_METADATA!$B$4,DATOS!$I$2:$I$20000,"Análisis"),"")))</f>
        <v/>
      </c>
      <c r="AA114" t="str">
        <f>IF(Y114="","",IF(Y114="[FÓRMULA MANUAL]","",IFERROR(AVERAGEIFS(DATOS!$K$2:$K$20000,DATOS!$A$2:$A$20000,Y114,DATOS!$G$2:$G$20000,CONFIG_METADATA!$B$4,DATOS!$I$2:$I$20000,"Orquesta/Banda/Conjunto"),"")))</f>
        <v/>
      </c>
      <c r="AB114" t="str">
        <f>IF(Y114="","",IF(Y114="[FÓRMULA MANUAL]","",IFERROR(AVERAGEIFS(DATOS!$K$2:$K$20000,DATOS!$A$2:$A$20000,Y114,DATOS!$G$2:$G$20000,CONFIG_METADATA!$B$4,DATOS!$I$2:$I$20000,"Música de Cámara"),"")))</f>
        <v/>
      </c>
      <c r="AC114" t="str">
        <f>IF(Y114="","",IF(Y114="[FÓRMULA MANUAL]","",IFERROR(SUMPRODUCT((DATOS!$A$2:$A$20000=Y114)*(DATOS!$G$2:$G$20000=CONFIG_METADATA!$B$4)*(COUNTIF(CONFIG_ASIGNATURAS!$B$7:$B$27,DATOS!$I$2:$I$20000)&gt;0)*(DATOS!$K$2:$K$20000))/SUMPRODUCT((DATOS!$A$2:$A$20000=Y114)*(DATOS!$G$2:$G$20000=CONFIG_METADATA!$B$4)*(COUNTIF(CONFIG_ASIGNATURAS!$B$7:$B$27,DATOS!$I$2:$I$20000)&gt;0)*1),"")))</f>
        <v/>
      </c>
      <c r="AF114" t="str">
        <f>IF(AE114="","",IF(AE114="[FÓRMULA MANUAL]","",IFERROR(AVERAGEIFS(DATOS!$K$2:$K$20000,DATOS!$A$2:$A$20000,AE114,DATOS!$G$2:$G$20000,CONFIG_METADATA!$B$4,DATOS!$I$2:$I$20000,"Análisis"),"")))</f>
        <v/>
      </c>
      <c r="AG114" t="str">
        <f>IF(AE114="","",IF(AE114="[FÓRMULA MANUAL]","",IFERROR(AVERAGEIFS(DATOS!$K$2:$K$20000,DATOS!$A$2:$A$20000,AE114,DATOS!$G$2:$G$20000,CONFIG_METADATA!$B$4,DATOS!$I$2:$I$20000,"Orquesta/Banda/Conjunto"),"")))</f>
        <v/>
      </c>
      <c r="AH114" t="str">
        <f>IF(AE114="","",IF(AE114="[FÓRMULA MANUAL]","",IFERROR(AVERAGEIFS(DATOS!$K$2:$K$20000,DATOS!$A$2:$A$20000,AE114,DATOS!$G$2:$G$20000,CONFIG_METADATA!$B$4,DATOS!$I$2:$I$20000,"Música de Cámara"),"")))</f>
        <v/>
      </c>
      <c r="AI114" t="str">
        <f>IF(AE114="","",IF(AE114="[FÓRMULA MANUAL]","",IFERROR(SUMPRODUCT((DATOS!$A$2:$A$20000=AE114)*(DATOS!$G$2:$G$20000=CONFIG_METADATA!$B$4)*(COUNTIF(CONFIG_ASIGNATURAS!$B$7:$B$27,DATOS!$I$2:$I$20000)&gt;0)*(DATOS!$K$2:$K$20000))/SUMPRODUCT((DATOS!$A$2:$A$20000=AE114)*(DATOS!$G$2:$G$20000=CONFIG_METADATA!$B$4)*(COUNTIF(CONFIG_ASIGNATURAS!$B$7:$B$27,DATOS!$I$2:$I$20000)&gt;0)*1),"")))</f>
        <v/>
      </c>
    </row>
    <row r="115" spans="2:35" x14ac:dyDescent="0.2">
      <c r="B115" t="str">
        <f>IF(A115="","",IF(A115="[FÓRMULA MANUAL]","",IFERROR(AVERAGEIFS(DATOS!$K$2:$K$20000,DATOS!$A$2:$A$20000,A115,DATOS!$G$2:$G$20000,CONFIG_METADATA!$B$4,DATOS!$I$2:$I$20000,"Lenguaje Musical"),"")))</f>
        <v/>
      </c>
      <c r="C115" t="str">
        <f>IF(A115="","",IF(A115="[FÓRMULA MANUAL]","",IFERROR(AVERAGEIFS(DATOS!$K$2:$K$20000,DATOS!$A$2:$A$20000,A115,DATOS!$G$2:$G$20000,CONFIG_METADATA!$B$4,DATOS!$I$2:$I$20000,"Orquesta/Banda/Conjunto"),"")))</f>
        <v/>
      </c>
      <c r="D115" t="str">
        <f>IF(A115="","",IF(A115="[FÓRMULA MANUAL]","",IFERROR(AVERAGEIFS(DATOS!$K$2:$K$20000,DATOS!$A$2:$A$20000,A115,DATOS!$G$2:$G$20000,CONFIG_METADATA!$B$4,DATOS!$I$2:$I$20000,"Conjunto"),"")))</f>
        <v/>
      </c>
      <c r="E115" t="str">
        <f>IF(A115="","",IF(A115="[FÓRMULA MANUAL]","",IFERROR(SUMPRODUCT((DATOS!$A$2:$A$20000=A115)*(DATOS!$G$2:$G$20000=CONFIG_METADATA!$B$4)*(COUNTIF(CONFIG_ASIGNATURAS!$B$7:$B$27,DATOS!$I$2:$I$20000)&gt;0)*(DATOS!$K$2:$K$20000))/SUMPRODUCT((DATOS!$A$2:$A$20000=A115)*(DATOS!$G$2:$G$20000=CONFIG_METADATA!$B$4)*(COUNTIF(CONFIG_ASIGNATURAS!$B$7:$B$27,DATOS!$I$2:$I$20000)&gt;0)*1),"")))</f>
        <v/>
      </c>
      <c r="H115" t="str">
        <f>IF(G115="","",IF(G115="[FÓRMULA MANUAL]","",IFERROR(AVERAGEIFS(DATOS!$K$2:$K$20000,DATOS!$A$2:$A$20000,G115,DATOS!$G$2:$G$20000,CONFIG_METADATA!$B$4,DATOS!$I$2:$I$20000,"Lenguaje Musical"),"")))</f>
        <v/>
      </c>
      <c r="I115" t="str">
        <f>IF(G115="","",IF(G115="[FÓRMULA MANUAL]","",IFERROR(AVERAGEIFS(DATOS!$K$2:$K$20000,DATOS!$A$2:$A$20000,G115,DATOS!$G$2:$G$20000,CONFIG_METADATA!$B$4,DATOS!$I$2:$I$20000,"Orquesta/Banda/Conjunto"),"")))</f>
        <v/>
      </c>
      <c r="J115" t="str">
        <f>IF(G115="","",IF(G115="[FÓRMULA MANUAL]","",IFERROR(AVERAGEIFS(DATOS!$K$2:$K$20000,DATOS!$A$2:$A$20000,G115,DATOS!$G$2:$G$20000,CONFIG_METADATA!$B$4,DATOS!$I$2:$I$20000,"Conjunto"),"")))</f>
        <v/>
      </c>
      <c r="K115" t="str">
        <f>IF(G115="","",IF(G115="[FÓRMULA MANUAL]","",IFERROR(SUMPRODUCT((DATOS!$A$2:$A$20000=G115)*(DATOS!$G$2:$G$20000=CONFIG_METADATA!$B$4)*(COUNTIF(CONFIG_ASIGNATURAS!$B$7:$B$27,DATOS!$I$2:$I$20000)&gt;0)*(DATOS!$K$2:$K$20000))/SUMPRODUCT((DATOS!$A$2:$A$20000=G115)*(DATOS!$G$2:$G$20000=CONFIG_METADATA!$B$4)*(COUNTIF(CONFIG_ASIGNATURAS!$B$7:$B$27,DATOS!$I$2:$I$20000)&gt;0)*1),"")))</f>
        <v/>
      </c>
      <c r="N115" t="str">
        <f>IF(M115="","",IF(M115="[FÓRMULA MANUAL]","",IFERROR(AVERAGEIFS(DATOS!$K$2:$K$20000,DATOS!$A$2:$A$20000,M115,DATOS!$G$2:$G$20000,CONFIG_METADATA!$B$4,DATOS!$I$2:$I$20000,"Armonía"),"")))</f>
        <v/>
      </c>
      <c r="O115" t="str">
        <f>IF(M115="","",IF(M115="[FÓRMULA MANUAL]","",IFERROR(AVERAGEIFS(DATOS!$K$2:$K$20000,DATOS!$A$2:$A$20000,M115,DATOS!$G$2:$G$20000,CONFIG_METADATA!$B$4,DATOS!$I$2:$I$20000,"Orquesta/Banda/Conjunto"),"")))</f>
        <v/>
      </c>
      <c r="P115" t="str">
        <f>IF(M115="","",IF(M115="[FÓRMULA MANUAL]","",IFERROR(AVERAGEIFS(DATOS!$K$2:$K$20000,DATOS!$A$2:$A$20000,M115,DATOS!$G$2:$G$20000,CONFIG_METADATA!$B$4,DATOS!$I$2:$I$20000,"Música de Cámara"),"")))</f>
        <v/>
      </c>
      <c r="Q115" t="str">
        <f>IF(M115="","",IF(M115="[FÓRMULA MANUAL]","",IFERROR(SUMPRODUCT((DATOS!$A$2:$A$20000=M115)*(DATOS!$G$2:$G$20000=CONFIG_METADATA!$B$4)*(COUNTIF(CONFIG_ASIGNATURAS!$B$7:$B$27,DATOS!$I$2:$I$20000)&gt;0)*(DATOS!$K$2:$K$20000))/SUMPRODUCT((DATOS!$A$2:$A$20000=M115)*(DATOS!$G$2:$G$20000=CONFIG_METADATA!$B$4)*(COUNTIF(CONFIG_ASIGNATURAS!$B$7:$B$27,DATOS!$I$2:$I$20000)&gt;0)*1),"")))</f>
        <v/>
      </c>
      <c r="T115" t="str">
        <f>IF(S115="","",IF(S115="[FÓRMULA MANUAL]","",IFERROR(AVERAGEIFS(DATOS!$K$2:$K$20000,DATOS!$A$2:$A$20000,S115,DATOS!$G$2:$G$20000,CONFIG_METADATA!$B$4,DATOS!$I$2:$I$20000,"Armonía"),"")))</f>
        <v/>
      </c>
      <c r="U115" t="str">
        <f>IF(S115="","",IF(S115="[FÓRMULA MANUAL]","",IFERROR(AVERAGEIFS(DATOS!$K$2:$K$20000,DATOS!$A$2:$A$20000,S115,DATOS!$G$2:$G$20000,CONFIG_METADATA!$B$4,DATOS!$I$2:$I$20000,"Orquesta/Banda/Conjunto"),"")))</f>
        <v/>
      </c>
      <c r="V115" t="str">
        <f>IF(S115="","",IF(S115="[FÓRMULA MANUAL]","",IFERROR(AVERAGEIFS(DATOS!$K$2:$K$20000,DATOS!$A$2:$A$20000,S115,DATOS!$G$2:$G$20000,CONFIG_METADATA!$B$4,DATOS!$I$2:$I$20000,"Música de Cámara"),"")))</f>
        <v/>
      </c>
      <c r="W115" t="str">
        <f>IF(S115="","",IF(S115="[FÓRMULA MANUAL]","",IFERROR(SUMPRODUCT((DATOS!$A$2:$A$20000=S115)*(DATOS!$G$2:$G$20000=CONFIG_METADATA!$B$4)*(COUNTIF(CONFIG_ASIGNATURAS!$B$7:$B$27,DATOS!$I$2:$I$20000)&gt;0)*(DATOS!$K$2:$K$20000))/SUMPRODUCT((DATOS!$A$2:$A$20000=S115)*(DATOS!$G$2:$G$20000=CONFIG_METADATA!$B$4)*(COUNTIF(CONFIG_ASIGNATURAS!$B$7:$B$27,DATOS!$I$2:$I$20000)&gt;0)*1),"")))</f>
        <v/>
      </c>
      <c r="Z115" t="str">
        <f>IF(Y115="","",IF(Y115="[FÓRMULA MANUAL]","",IFERROR(AVERAGEIFS(DATOS!$K$2:$K$20000,DATOS!$A$2:$A$20000,Y115,DATOS!$G$2:$G$20000,CONFIG_METADATA!$B$4,DATOS!$I$2:$I$20000,"Análisis"),"")))</f>
        <v/>
      </c>
      <c r="AA115" t="str">
        <f>IF(Y115="","",IF(Y115="[FÓRMULA MANUAL]","",IFERROR(AVERAGEIFS(DATOS!$K$2:$K$20000,DATOS!$A$2:$A$20000,Y115,DATOS!$G$2:$G$20000,CONFIG_METADATA!$B$4,DATOS!$I$2:$I$20000,"Orquesta/Banda/Conjunto"),"")))</f>
        <v/>
      </c>
      <c r="AB115" t="str">
        <f>IF(Y115="","",IF(Y115="[FÓRMULA MANUAL]","",IFERROR(AVERAGEIFS(DATOS!$K$2:$K$20000,DATOS!$A$2:$A$20000,Y115,DATOS!$G$2:$G$20000,CONFIG_METADATA!$B$4,DATOS!$I$2:$I$20000,"Música de Cámara"),"")))</f>
        <v/>
      </c>
      <c r="AC115" t="str">
        <f>IF(Y115="","",IF(Y115="[FÓRMULA MANUAL]","",IFERROR(SUMPRODUCT((DATOS!$A$2:$A$20000=Y115)*(DATOS!$G$2:$G$20000=CONFIG_METADATA!$B$4)*(COUNTIF(CONFIG_ASIGNATURAS!$B$7:$B$27,DATOS!$I$2:$I$20000)&gt;0)*(DATOS!$K$2:$K$20000))/SUMPRODUCT((DATOS!$A$2:$A$20000=Y115)*(DATOS!$G$2:$G$20000=CONFIG_METADATA!$B$4)*(COUNTIF(CONFIG_ASIGNATURAS!$B$7:$B$27,DATOS!$I$2:$I$20000)&gt;0)*1),"")))</f>
        <v/>
      </c>
      <c r="AF115" t="str">
        <f>IF(AE115="","",IF(AE115="[FÓRMULA MANUAL]","",IFERROR(AVERAGEIFS(DATOS!$K$2:$K$20000,DATOS!$A$2:$A$20000,AE115,DATOS!$G$2:$G$20000,CONFIG_METADATA!$B$4,DATOS!$I$2:$I$20000,"Análisis"),"")))</f>
        <v/>
      </c>
      <c r="AG115" t="str">
        <f>IF(AE115="","",IF(AE115="[FÓRMULA MANUAL]","",IFERROR(AVERAGEIFS(DATOS!$K$2:$K$20000,DATOS!$A$2:$A$20000,AE115,DATOS!$G$2:$G$20000,CONFIG_METADATA!$B$4,DATOS!$I$2:$I$20000,"Orquesta/Banda/Conjunto"),"")))</f>
        <v/>
      </c>
      <c r="AH115" t="str">
        <f>IF(AE115="","",IF(AE115="[FÓRMULA MANUAL]","",IFERROR(AVERAGEIFS(DATOS!$K$2:$K$20000,DATOS!$A$2:$A$20000,AE115,DATOS!$G$2:$G$20000,CONFIG_METADATA!$B$4,DATOS!$I$2:$I$20000,"Música de Cámara"),"")))</f>
        <v/>
      </c>
      <c r="AI115" t="str">
        <f>IF(AE115="","",IF(AE115="[FÓRMULA MANUAL]","",IFERROR(SUMPRODUCT((DATOS!$A$2:$A$20000=AE115)*(DATOS!$G$2:$G$20000=CONFIG_METADATA!$B$4)*(COUNTIF(CONFIG_ASIGNATURAS!$B$7:$B$27,DATOS!$I$2:$I$20000)&gt;0)*(DATOS!$K$2:$K$20000))/SUMPRODUCT((DATOS!$A$2:$A$20000=AE115)*(DATOS!$G$2:$G$20000=CONFIG_METADATA!$B$4)*(COUNTIF(CONFIG_ASIGNATURAS!$B$7:$B$27,DATOS!$I$2:$I$20000)&gt;0)*1),"")))</f>
        <v/>
      </c>
    </row>
    <row r="116" spans="2:35" x14ac:dyDescent="0.2">
      <c r="B116" t="str">
        <f>IF(A116="","",IF(A116="[FÓRMULA MANUAL]","",IFERROR(AVERAGEIFS(DATOS!$K$2:$K$20000,DATOS!$A$2:$A$20000,A116,DATOS!$G$2:$G$20000,CONFIG_METADATA!$B$4,DATOS!$I$2:$I$20000,"Lenguaje Musical"),"")))</f>
        <v/>
      </c>
      <c r="C116" t="str">
        <f>IF(A116="","",IF(A116="[FÓRMULA MANUAL]","",IFERROR(AVERAGEIFS(DATOS!$K$2:$K$20000,DATOS!$A$2:$A$20000,A116,DATOS!$G$2:$G$20000,CONFIG_METADATA!$B$4,DATOS!$I$2:$I$20000,"Orquesta/Banda/Conjunto"),"")))</f>
        <v/>
      </c>
      <c r="D116" t="str">
        <f>IF(A116="","",IF(A116="[FÓRMULA MANUAL]","",IFERROR(AVERAGEIFS(DATOS!$K$2:$K$20000,DATOS!$A$2:$A$20000,A116,DATOS!$G$2:$G$20000,CONFIG_METADATA!$B$4,DATOS!$I$2:$I$20000,"Conjunto"),"")))</f>
        <v/>
      </c>
      <c r="E116" t="str">
        <f>IF(A116="","",IF(A116="[FÓRMULA MANUAL]","",IFERROR(SUMPRODUCT((DATOS!$A$2:$A$20000=A116)*(DATOS!$G$2:$G$20000=CONFIG_METADATA!$B$4)*(COUNTIF(CONFIG_ASIGNATURAS!$B$7:$B$27,DATOS!$I$2:$I$20000)&gt;0)*(DATOS!$K$2:$K$20000))/SUMPRODUCT((DATOS!$A$2:$A$20000=A116)*(DATOS!$G$2:$G$20000=CONFIG_METADATA!$B$4)*(COUNTIF(CONFIG_ASIGNATURAS!$B$7:$B$27,DATOS!$I$2:$I$20000)&gt;0)*1),"")))</f>
        <v/>
      </c>
      <c r="H116" t="str">
        <f>IF(G116="","",IF(G116="[FÓRMULA MANUAL]","",IFERROR(AVERAGEIFS(DATOS!$K$2:$K$20000,DATOS!$A$2:$A$20000,G116,DATOS!$G$2:$G$20000,CONFIG_METADATA!$B$4,DATOS!$I$2:$I$20000,"Lenguaje Musical"),"")))</f>
        <v/>
      </c>
      <c r="I116" t="str">
        <f>IF(G116="","",IF(G116="[FÓRMULA MANUAL]","",IFERROR(AVERAGEIFS(DATOS!$K$2:$K$20000,DATOS!$A$2:$A$20000,G116,DATOS!$G$2:$G$20000,CONFIG_METADATA!$B$4,DATOS!$I$2:$I$20000,"Orquesta/Banda/Conjunto"),"")))</f>
        <v/>
      </c>
      <c r="J116" t="str">
        <f>IF(G116="","",IF(G116="[FÓRMULA MANUAL]","",IFERROR(AVERAGEIFS(DATOS!$K$2:$K$20000,DATOS!$A$2:$A$20000,G116,DATOS!$G$2:$G$20000,CONFIG_METADATA!$B$4,DATOS!$I$2:$I$20000,"Conjunto"),"")))</f>
        <v/>
      </c>
      <c r="K116" t="str">
        <f>IF(G116="","",IF(G116="[FÓRMULA MANUAL]","",IFERROR(SUMPRODUCT((DATOS!$A$2:$A$20000=G116)*(DATOS!$G$2:$G$20000=CONFIG_METADATA!$B$4)*(COUNTIF(CONFIG_ASIGNATURAS!$B$7:$B$27,DATOS!$I$2:$I$20000)&gt;0)*(DATOS!$K$2:$K$20000))/SUMPRODUCT((DATOS!$A$2:$A$20000=G116)*(DATOS!$G$2:$G$20000=CONFIG_METADATA!$B$4)*(COUNTIF(CONFIG_ASIGNATURAS!$B$7:$B$27,DATOS!$I$2:$I$20000)&gt;0)*1),"")))</f>
        <v/>
      </c>
      <c r="N116" t="str">
        <f>IF(M116="","",IF(M116="[FÓRMULA MANUAL]","",IFERROR(AVERAGEIFS(DATOS!$K$2:$K$20000,DATOS!$A$2:$A$20000,M116,DATOS!$G$2:$G$20000,CONFIG_METADATA!$B$4,DATOS!$I$2:$I$20000,"Armonía"),"")))</f>
        <v/>
      </c>
      <c r="O116" t="str">
        <f>IF(M116="","",IF(M116="[FÓRMULA MANUAL]","",IFERROR(AVERAGEIFS(DATOS!$K$2:$K$20000,DATOS!$A$2:$A$20000,M116,DATOS!$G$2:$G$20000,CONFIG_METADATA!$B$4,DATOS!$I$2:$I$20000,"Orquesta/Banda/Conjunto"),"")))</f>
        <v/>
      </c>
      <c r="P116" t="str">
        <f>IF(M116="","",IF(M116="[FÓRMULA MANUAL]","",IFERROR(AVERAGEIFS(DATOS!$K$2:$K$20000,DATOS!$A$2:$A$20000,M116,DATOS!$G$2:$G$20000,CONFIG_METADATA!$B$4,DATOS!$I$2:$I$20000,"Música de Cámara"),"")))</f>
        <v/>
      </c>
      <c r="Q116" t="str">
        <f>IF(M116="","",IF(M116="[FÓRMULA MANUAL]","",IFERROR(SUMPRODUCT((DATOS!$A$2:$A$20000=M116)*(DATOS!$G$2:$G$20000=CONFIG_METADATA!$B$4)*(COUNTIF(CONFIG_ASIGNATURAS!$B$7:$B$27,DATOS!$I$2:$I$20000)&gt;0)*(DATOS!$K$2:$K$20000))/SUMPRODUCT((DATOS!$A$2:$A$20000=M116)*(DATOS!$G$2:$G$20000=CONFIG_METADATA!$B$4)*(COUNTIF(CONFIG_ASIGNATURAS!$B$7:$B$27,DATOS!$I$2:$I$20000)&gt;0)*1),"")))</f>
        <v/>
      </c>
      <c r="T116" t="str">
        <f>IF(S116="","",IF(S116="[FÓRMULA MANUAL]","",IFERROR(AVERAGEIFS(DATOS!$K$2:$K$20000,DATOS!$A$2:$A$20000,S116,DATOS!$G$2:$G$20000,CONFIG_METADATA!$B$4,DATOS!$I$2:$I$20000,"Armonía"),"")))</f>
        <v/>
      </c>
      <c r="U116" t="str">
        <f>IF(S116="","",IF(S116="[FÓRMULA MANUAL]","",IFERROR(AVERAGEIFS(DATOS!$K$2:$K$20000,DATOS!$A$2:$A$20000,S116,DATOS!$G$2:$G$20000,CONFIG_METADATA!$B$4,DATOS!$I$2:$I$20000,"Orquesta/Banda/Conjunto"),"")))</f>
        <v/>
      </c>
      <c r="V116" t="str">
        <f>IF(S116="","",IF(S116="[FÓRMULA MANUAL]","",IFERROR(AVERAGEIFS(DATOS!$K$2:$K$20000,DATOS!$A$2:$A$20000,S116,DATOS!$G$2:$G$20000,CONFIG_METADATA!$B$4,DATOS!$I$2:$I$20000,"Música de Cámara"),"")))</f>
        <v/>
      </c>
      <c r="W116" t="str">
        <f>IF(S116="","",IF(S116="[FÓRMULA MANUAL]","",IFERROR(SUMPRODUCT((DATOS!$A$2:$A$20000=S116)*(DATOS!$G$2:$G$20000=CONFIG_METADATA!$B$4)*(COUNTIF(CONFIG_ASIGNATURAS!$B$7:$B$27,DATOS!$I$2:$I$20000)&gt;0)*(DATOS!$K$2:$K$20000))/SUMPRODUCT((DATOS!$A$2:$A$20000=S116)*(DATOS!$G$2:$G$20000=CONFIG_METADATA!$B$4)*(COUNTIF(CONFIG_ASIGNATURAS!$B$7:$B$27,DATOS!$I$2:$I$20000)&gt;0)*1),"")))</f>
        <v/>
      </c>
      <c r="Z116" t="str">
        <f>IF(Y116="","",IF(Y116="[FÓRMULA MANUAL]","",IFERROR(AVERAGEIFS(DATOS!$K$2:$K$20000,DATOS!$A$2:$A$20000,Y116,DATOS!$G$2:$G$20000,CONFIG_METADATA!$B$4,DATOS!$I$2:$I$20000,"Análisis"),"")))</f>
        <v/>
      </c>
      <c r="AA116" t="str">
        <f>IF(Y116="","",IF(Y116="[FÓRMULA MANUAL]","",IFERROR(AVERAGEIFS(DATOS!$K$2:$K$20000,DATOS!$A$2:$A$20000,Y116,DATOS!$G$2:$G$20000,CONFIG_METADATA!$B$4,DATOS!$I$2:$I$20000,"Orquesta/Banda/Conjunto"),"")))</f>
        <v/>
      </c>
      <c r="AB116" t="str">
        <f>IF(Y116="","",IF(Y116="[FÓRMULA MANUAL]","",IFERROR(AVERAGEIFS(DATOS!$K$2:$K$20000,DATOS!$A$2:$A$20000,Y116,DATOS!$G$2:$G$20000,CONFIG_METADATA!$B$4,DATOS!$I$2:$I$20000,"Música de Cámara"),"")))</f>
        <v/>
      </c>
      <c r="AC116" t="str">
        <f>IF(Y116="","",IF(Y116="[FÓRMULA MANUAL]","",IFERROR(SUMPRODUCT((DATOS!$A$2:$A$20000=Y116)*(DATOS!$G$2:$G$20000=CONFIG_METADATA!$B$4)*(COUNTIF(CONFIG_ASIGNATURAS!$B$7:$B$27,DATOS!$I$2:$I$20000)&gt;0)*(DATOS!$K$2:$K$20000))/SUMPRODUCT((DATOS!$A$2:$A$20000=Y116)*(DATOS!$G$2:$G$20000=CONFIG_METADATA!$B$4)*(COUNTIF(CONFIG_ASIGNATURAS!$B$7:$B$27,DATOS!$I$2:$I$20000)&gt;0)*1),"")))</f>
        <v/>
      </c>
      <c r="AF116" t="str">
        <f>IF(AE116="","",IF(AE116="[FÓRMULA MANUAL]","",IFERROR(AVERAGEIFS(DATOS!$K$2:$K$20000,DATOS!$A$2:$A$20000,AE116,DATOS!$G$2:$G$20000,CONFIG_METADATA!$B$4,DATOS!$I$2:$I$20000,"Análisis"),"")))</f>
        <v/>
      </c>
      <c r="AG116" t="str">
        <f>IF(AE116="","",IF(AE116="[FÓRMULA MANUAL]","",IFERROR(AVERAGEIFS(DATOS!$K$2:$K$20000,DATOS!$A$2:$A$20000,AE116,DATOS!$G$2:$G$20000,CONFIG_METADATA!$B$4,DATOS!$I$2:$I$20000,"Orquesta/Banda/Conjunto"),"")))</f>
        <v/>
      </c>
      <c r="AH116" t="str">
        <f>IF(AE116="","",IF(AE116="[FÓRMULA MANUAL]","",IFERROR(AVERAGEIFS(DATOS!$K$2:$K$20000,DATOS!$A$2:$A$20000,AE116,DATOS!$G$2:$G$20000,CONFIG_METADATA!$B$4,DATOS!$I$2:$I$20000,"Música de Cámara"),"")))</f>
        <v/>
      </c>
      <c r="AI116" t="str">
        <f>IF(AE116="","",IF(AE116="[FÓRMULA MANUAL]","",IFERROR(SUMPRODUCT((DATOS!$A$2:$A$20000=AE116)*(DATOS!$G$2:$G$20000=CONFIG_METADATA!$B$4)*(COUNTIF(CONFIG_ASIGNATURAS!$B$7:$B$27,DATOS!$I$2:$I$20000)&gt;0)*(DATOS!$K$2:$K$20000))/SUMPRODUCT((DATOS!$A$2:$A$20000=AE116)*(DATOS!$G$2:$G$20000=CONFIG_METADATA!$B$4)*(COUNTIF(CONFIG_ASIGNATURAS!$B$7:$B$27,DATOS!$I$2:$I$20000)&gt;0)*1),"")))</f>
        <v/>
      </c>
    </row>
    <row r="117" spans="2:35" x14ac:dyDescent="0.2">
      <c r="B117" t="str">
        <f>IF(A117="","",IF(A117="[FÓRMULA MANUAL]","",IFERROR(AVERAGEIFS(DATOS!$K$2:$K$20000,DATOS!$A$2:$A$20000,A117,DATOS!$G$2:$G$20000,CONFIG_METADATA!$B$4,DATOS!$I$2:$I$20000,"Lenguaje Musical"),"")))</f>
        <v/>
      </c>
      <c r="C117" t="str">
        <f>IF(A117="","",IF(A117="[FÓRMULA MANUAL]","",IFERROR(AVERAGEIFS(DATOS!$K$2:$K$20000,DATOS!$A$2:$A$20000,A117,DATOS!$G$2:$G$20000,CONFIG_METADATA!$B$4,DATOS!$I$2:$I$20000,"Orquesta/Banda/Conjunto"),"")))</f>
        <v/>
      </c>
      <c r="D117" t="str">
        <f>IF(A117="","",IF(A117="[FÓRMULA MANUAL]","",IFERROR(AVERAGEIFS(DATOS!$K$2:$K$20000,DATOS!$A$2:$A$20000,A117,DATOS!$G$2:$G$20000,CONFIG_METADATA!$B$4,DATOS!$I$2:$I$20000,"Conjunto"),"")))</f>
        <v/>
      </c>
      <c r="E117" t="str">
        <f>IF(A117="","",IF(A117="[FÓRMULA MANUAL]","",IFERROR(SUMPRODUCT((DATOS!$A$2:$A$20000=A117)*(DATOS!$G$2:$G$20000=CONFIG_METADATA!$B$4)*(COUNTIF(CONFIG_ASIGNATURAS!$B$7:$B$27,DATOS!$I$2:$I$20000)&gt;0)*(DATOS!$K$2:$K$20000))/SUMPRODUCT((DATOS!$A$2:$A$20000=A117)*(DATOS!$G$2:$G$20000=CONFIG_METADATA!$B$4)*(COUNTIF(CONFIG_ASIGNATURAS!$B$7:$B$27,DATOS!$I$2:$I$20000)&gt;0)*1),"")))</f>
        <v/>
      </c>
      <c r="H117" t="str">
        <f>IF(G117="","",IF(G117="[FÓRMULA MANUAL]","",IFERROR(AVERAGEIFS(DATOS!$K$2:$K$20000,DATOS!$A$2:$A$20000,G117,DATOS!$G$2:$G$20000,CONFIG_METADATA!$B$4,DATOS!$I$2:$I$20000,"Lenguaje Musical"),"")))</f>
        <v/>
      </c>
      <c r="I117" t="str">
        <f>IF(G117="","",IF(G117="[FÓRMULA MANUAL]","",IFERROR(AVERAGEIFS(DATOS!$K$2:$K$20000,DATOS!$A$2:$A$20000,G117,DATOS!$G$2:$G$20000,CONFIG_METADATA!$B$4,DATOS!$I$2:$I$20000,"Orquesta/Banda/Conjunto"),"")))</f>
        <v/>
      </c>
      <c r="J117" t="str">
        <f>IF(G117="","",IF(G117="[FÓRMULA MANUAL]","",IFERROR(AVERAGEIFS(DATOS!$K$2:$K$20000,DATOS!$A$2:$A$20000,G117,DATOS!$G$2:$G$20000,CONFIG_METADATA!$B$4,DATOS!$I$2:$I$20000,"Conjunto"),"")))</f>
        <v/>
      </c>
      <c r="K117" t="str">
        <f>IF(G117="","",IF(G117="[FÓRMULA MANUAL]","",IFERROR(SUMPRODUCT((DATOS!$A$2:$A$20000=G117)*(DATOS!$G$2:$G$20000=CONFIG_METADATA!$B$4)*(COUNTIF(CONFIG_ASIGNATURAS!$B$7:$B$27,DATOS!$I$2:$I$20000)&gt;0)*(DATOS!$K$2:$K$20000))/SUMPRODUCT((DATOS!$A$2:$A$20000=G117)*(DATOS!$G$2:$G$20000=CONFIG_METADATA!$B$4)*(COUNTIF(CONFIG_ASIGNATURAS!$B$7:$B$27,DATOS!$I$2:$I$20000)&gt;0)*1),"")))</f>
        <v/>
      </c>
      <c r="N117" t="str">
        <f>IF(M117="","",IF(M117="[FÓRMULA MANUAL]","",IFERROR(AVERAGEIFS(DATOS!$K$2:$K$20000,DATOS!$A$2:$A$20000,M117,DATOS!$G$2:$G$20000,CONFIG_METADATA!$B$4,DATOS!$I$2:$I$20000,"Armonía"),"")))</f>
        <v/>
      </c>
      <c r="O117" t="str">
        <f>IF(M117="","",IF(M117="[FÓRMULA MANUAL]","",IFERROR(AVERAGEIFS(DATOS!$K$2:$K$20000,DATOS!$A$2:$A$20000,M117,DATOS!$G$2:$G$20000,CONFIG_METADATA!$B$4,DATOS!$I$2:$I$20000,"Orquesta/Banda/Conjunto"),"")))</f>
        <v/>
      </c>
      <c r="P117" t="str">
        <f>IF(M117="","",IF(M117="[FÓRMULA MANUAL]","",IFERROR(AVERAGEIFS(DATOS!$K$2:$K$20000,DATOS!$A$2:$A$20000,M117,DATOS!$G$2:$G$20000,CONFIG_METADATA!$B$4,DATOS!$I$2:$I$20000,"Música de Cámara"),"")))</f>
        <v/>
      </c>
      <c r="Q117" t="str">
        <f>IF(M117="","",IF(M117="[FÓRMULA MANUAL]","",IFERROR(SUMPRODUCT((DATOS!$A$2:$A$20000=M117)*(DATOS!$G$2:$G$20000=CONFIG_METADATA!$B$4)*(COUNTIF(CONFIG_ASIGNATURAS!$B$7:$B$27,DATOS!$I$2:$I$20000)&gt;0)*(DATOS!$K$2:$K$20000))/SUMPRODUCT((DATOS!$A$2:$A$20000=M117)*(DATOS!$G$2:$G$20000=CONFIG_METADATA!$B$4)*(COUNTIF(CONFIG_ASIGNATURAS!$B$7:$B$27,DATOS!$I$2:$I$20000)&gt;0)*1),"")))</f>
        <v/>
      </c>
      <c r="T117" t="str">
        <f>IF(S117="","",IF(S117="[FÓRMULA MANUAL]","",IFERROR(AVERAGEIFS(DATOS!$K$2:$K$20000,DATOS!$A$2:$A$20000,S117,DATOS!$G$2:$G$20000,CONFIG_METADATA!$B$4,DATOS!$I$2:$I$20000,"Armonía"),"")))</f>
        <v/>
      </c>
      <c r="U117" t="str">
        <f>IF(S117="","",IF(S117="[FÓRMULA MANUAL]","",IFERROR(AVERAGEIFS(DATOS!$K$2:$K$20000,DATOS!$A$2:$A$20000,S117,DATOS!$G$2:$G$20000,CONFIG_METADATA!$B$4,DATOS!$I$2:$I$20000,"Orquesta/Banda/Conjunto"),"")))</f>
        <v/>
      </c>
      <c r="V117" t="str">
        <f>IF(S117="","",IF(S117="[FÓRMULA MANUAL]","",IFERROR(AVERAGEIFS(DATOS!$K$2:$K$20000,DATOS!$A$2:$A$20000,S117,DATOS!$G$2:$G$20000,CONFIG_METADATA!$B$4,DATOS!$I$2:$I$20000,"Música de Cámara"),"")))</f>
        <v/>
      </c>
      <c r="W117" t="str">
        <f>IF(S117="","",IF(S117="[FÓRMULA MANUAL]","",IFERROR(SUMPRODUCT((DATOS!$A$2:$A$20000=S117)*(DATOS!$G$2:$G$20000=CONFIG_METADATA!$B$4)*(COUNTIF(CONFIG_ASIGNATURAS!$B$7:$B$27,DATOS!$I$2:$I$20000)&gt;0)*(DATOS!$K$2:$K$20000))/SUMPRODUCT((DATOS!$A$2:$A$20000=S117)*(DATOS!$G$2:$G$20000=CONFIG_METADATA!$B$4)*(COUNTIF(CONFIG_ASIGNATURAS!$B$7:$B$27,DATOS!$I$2:$I$20000)&gt;0)*1),"")))</f>
        <v/>
      </c>
      <c r="Z117" t="str">
        <f>IF(Y117="","",IF(Y117="[FÓRMULA MANUAL]","",IFERROR(AVERAGEIFS(DATOS!$K$2:$K$20000,DATOS!$A$2:$A$20000,Y117,DATOS!$G$2:$G$20000,CONFIG_METADATA!$B$4,DATOS!$I$2:$I$20000,"Análisis"),"")))</f>
        <v/>
      </c>
      <c r="AA117" t="str">
        <f>IF(Y117="","",IF(Y117="[FÓRMULA MANUAL]","",IFERROR(AVERAGEIFS(DATOS!$K$2:$K$20000,DATOS!$A$2:$A$20000,Y117,DATOS!$G$2:$G$20000,CONFIG_METADATA!$B$4,DATOS!$I$2:$I$20000,"Orquesta/Banda/Conjunto"),"")))</f>
        <v/>
      </c>
      <c r="AB117" t="str">
        <f>IF(Y117="","",IF(Y117="[FÓRMULA MANUAL]","",IFERROR(AVERAGEIFS(DATOS!$K$2:$K$20000,DATOS!$A$2:$A$20000,Y117,DATOS!$G$2:$G$20000,CONFIG_METADATA!$B$4,DATOS!$I$2:$I$20000,"Música de Cámara"),"")))</f>
        <v/>
      </c>
      <c r="AC117" t="str">
        <f>IF(Y117="","",IF(Y117="[FÓRMULA MANUAL]","",IFERROR(SUMPRODUCT((DATOS!$A$2:$A$20000=Y117)*(DATOS!$G$2:$G$20000=CONFIG_METADATA!$B$4)*(COUNTIF(CONFIG_ASIGNATURAS!$B$7:$B$27,DATOS!$I$2:$I$20000)&gt;0)*(DATOS!$K$2:$K$20000))/SUMPRODUCT((DATOS!$A$2:$A$20000=Y117)*(DATOS!$G$2:$G$20000=CONFIG_METADATA!$B$4)*(COUNTIF(CONFIG_ASIGNATURAS!$B$7:$B$27,DATOS!$I$2:$I$20000)&gt;0)*1),"")))</f>
        <v/>
      </c>
      <c r="AF117" t="str">
        <f>IF(AE117="","",IF(AE117="[FÓRMULA MANUAL]","",IFERROR(AVERAGEIFS(DATOS!$K$2:$K$20000,DATOS!$A$2:$A$20000,AE117,DATOS!$G$2:$G$20000,CONFIG_METADATA!$B$4,DATOS!$I$2:$I$20000,"Análisis"),"")))</f>
        <v/>
      </c>
      <c r="AG117" t="str">
        <f>IF(AE117="","",IF(AE117="[FÓRMULA MANUAL]","",IFERROR(AVERAGEIFS(DATOS!$K$2:$K$20000,DATOS!$A$2:$A$20000,AE117,DATOS!$G$2:$G$20000,CONFIG_METADATA!$B$4,DATOS!$I$2:$I$20000,"Orquesta/Banda/Conjunto"),"")))</f>
        <v/>
      </c>
      <c r="AH117" t="str">
        <f>IF(AE117="","",IF(AE117="[FÓRMULA MANUAL]","",IFERROR(AVERAGEIFS(DATOS!$K$2:$K$20000,DATOS!$A$2:$A$20000,AE117,DATOS!$G$2:$G$20000,CONFIG_METADATA!$B$4,DATOS!$I$2:$I$20000,"Música de Cámara"),"")))</f>
        <v/>
      </c>
      <c r="AI117" t="str">
        <f>IF(AE117="","",IF(AE117="[FÓRMULA MANUAL]","",IFERROR(SUMPRODUCT((DATOS!$A$2:$A$20000=AE117)*(DATOS!$G$2:$G$20000=CONFIG_METADATA!$B$4)*(COUNTIF(CONFIG_ASIGNATURAS!$B$7:$B$27,DATOS!$I$2:$I$20000)&gt;0)*(DATOS!$K$2:$K$20000))/SUMPRODUCT((DATOS!$A$2:$A$20000=AE117)*(DATOS!$G$2:$G$20000=CONFIG_METADATA!$B$4)*(COUNTIF(CONFIG_ASIGNATURAS!$B$7:$B$27,DATOS!$I$2:$I$20000)&gt;0)*1),"")))</f>
        <v/>
      </c>
    </row>
    <row r="118" spans="2:35" x14ac:dyDescent="0.2">
      <c r="B118" t="str">
        <f>IF(A118="","",IF(A118="[FÓRMULA MANUAL]","",IFERROR(AVERAGEIFS(DATOS!$K$2:$K$20000,DATOS!$A$2:$A$20000,A118,DATOS!$G$2:$G$20000,CONFIG_METADATA!$B$4,DATOS!$I$2:$I$20000,"Lenguaje Musical"),"")))</f>
        <v/>
      </c>
      <c r="C118" t="str">
        <f>IF(A118="","",IF(A118="[FÓRMULA MANUAL]","",IFERROR(AVERAGEIFS(DATOS!$K$2:$K$20000,DATOS!$A$2:$A$20000,A118,DATOS!$G$2:$G$20000,CONFIG_METADATA!$B$4,DATOS!$I$2:$I$20000,"Orquesta/Banda/Conjunto"),"")))</f>
        <v/>
      </c>
      <c r="D118" t="str">
        <f>IF(A118="","",IF(A118="[FÓRMULA MANUAL]","",IFERROR(AVERAGEIFS(DATOS!$K$2:$K$20000,DATOS!$A$2:$A$20000,A118,DATOS!$G$2:$G$20000,CONFIG_METADATA!$B$4,DATOS!$I$2:$I$20000,"Conjunto"),"")))</f>
        <v/>
      </c>
      <c r="E118" t="str">
        <f>IF(A118="","",IF(A118="[FÓRMULA MANUAL]","",IFERROR(SUMPRODUCT((DATOS!$A$2:$A$20000=A118)*(DATOS!$G$2:$G$20000=CONFIG_METADATA!$B$4)*(COUNTIF(CONFIG_ASIGNATURAS!$B$7:$B$27,DATOS!$I$2:$I$20000)&gt;0)*(DATOS!$K$2:$K$20000))/SUMPRODUCT((DATOS!$A$2:$A$20000=A118)*(DATOS!$G$2:$G$20000=CONFIG_METADATA!$B$4)*(COUNTIF(CONFIG_ASIGNATURAS!$B$7:$B$27,DATOS!$I$2:$I$20000)&gt;0)*1),"")))</f>
        <v/>
      </c>
      <c r="H118" t="str">
        <f>IF(G118="","",IF(G118="[FÓRMULA MANUAL]","",IFERROR(AVERAGEIFS(DATOS!$K$2:$K$20000,DATOS!$A$2:$A$20000,G118,DATOS!$G$2:$G$20000,CONFIG_METADATA!$B$4,DATOS!$I$2:$I$20000,"Lenguaje Musical"),"")))</f>
        <v/>
      </c>
      <c r="I118" t="str">
        <f>IF(G118="","",IF(G118="[FÓRMULA MANUAL]","",IFERROR(AVERAGEIFS(DATOS!$K$2:$K$20000,DATOS!$A$2:$A$20000,G118,DATOS!$G$2:$G$20000,CONFIG_METADATA!$B$4,DATOS!$I$2:$I$20000,"Orquesta/Banda/Conjunto"),"")))</f>
        <v/>
      </c>
      <c r="J118" t="str">
        <f>IF(G118="","",IF(G118="[FÓRMULA MANUAL]","",IFERROR(AVERAGEIFS(DATOS!$K$2:$K$20000,DATOS!$A$2:$A$20000,G118,DATOS!$G$2:$G$20000,CONFIG_METADATA!$B$4,DATOS!$I$2:$I$20000,"Conjunto"),"")))</f>
        <v/>
      </c>
      <c r="K118" t="str">
        <f>IF(G118="","",IF(G118="[FÓRMULA MANUAL]","",IFERROR(SUMPRODUCT((DATOS!$A$2:$A$20000=G118)*(DATOS!$G$2:$G$20000=CONFIG_METADATA!$B$4)*(COUNTIF(CONFIG_ASIGNATURAS!$B$7:$B$27,DATOS!$I$2:$I$20000)&gt;0)*(DATOS!$K$2:$K$20000))/SUMPRODUCT((DATOS!$A$2:$A$20000=G118)*(DATOS!$G$2:$G$20000=CONFIG_METADATA!$B$4)*(COUNTIF(CONFIG_ASIGNATURAS!$B$7:$B$27,DATOS!$I$2:$I$20000)&gt;0)*1),"")))</f>
        <v/>
      </c>
      <c r="N118" t="str">
        <f>IF(M118="","",IF(M118="[FÓRMULA MANUAL]","",IFERROR(AVERAGEIFS(DATOS!$K$2:$K$20000,DATOS!$A$2:$A$20000,M118,DATOS!$G$2:$G$20000,CONFIG_METADATA!$B$4,DATOS!$I$2:$I$20000,"Armonía"),"")))</f>
        <v/>
      </c>
      <c r="O118" t="str">
        <f>IF(M118="","",IF(M118="[FÓRMULA MANUAL]","",IFERROR(AVERAGEIFS(DATOS!$K$2:$K$20000,DATOS!$A$2:$A$20000,M118,DATOS!$G$2:$G$20000,CONFIG_METADATA!$B$4,DATOS!$I$2:$I$20000,"Orquesta/Banda/Conjunto"),"")))</f>
        <v/>
      </c>
      <c r="P118" t="str">
        <f>IF(M118="","",IF(M118="[FÓRMULA MANUAL]","",IFERROR(AVERAGEIFS(DATOS!$K$2:$K$20000,DATOS!$A$2:$A$20000,M118,DATOS!$G$2:$G$20000,CONFIG_METADATA!$B$4,DATOS!$I$2:$I$20000,"Música de Cámara"),"")))</f>
        <v/>
      </c>
      <c r="Q118" t="str">
        <f>IF(M118="","",IF(M118="[FÓRMULA MANUAL]","",IFERROR(SUMPRODUCT((DATOS!$A$2:$A$20000=M118)*(DATOS!$G$2:$G$20000=CONFIG_METADATA!$B$4)*(COUNTIF(CONFIG_ASIGNATURAS!$B$7:$B$27,DATOS!$I$2:$I$20000)&gt;0)*(DATOS!$K$2:$K$20000))/SUMPRODUCT((DATOS!$A$2:$A$20000=M118)*(DATOS!$G$2:$G$20000=CONFIG_METADATA!$B$4)*(COUNTIF(CONFIG_ASIGNATURAS!$B$7:$B$27,DATOS!$I$2:$I$20000)&gt;0)*1),"")))</f>
        <v/>
      </c>
      <c r="T118" t="str">
        <f>IF(S118="","",IF(S118="[FÓRMULA MANUAL]","",IFERROR(AVERAGEIFS(DATOS!$K$2:$K$20000,DATOS!$A$2:$A$20000,S118,DATOS!$G$2:$G$20000,CONFIG_METADATA!$B$4,DATOS!$I$2:$I$20000,"Armonía"),"")))</f>
        <v/>
      </c>
      <c r="U118" t="str">
        <f>IF(S118="","",IF(S118="[FÓRMULA MANUAL]","",IFERROR(AVERAGEIFS(DATOS!$K$2:$K$20000,DATOS!$A$2:$A$20000,S118,DATOS!$G$2:$G$20000,CONFIG_METADATA!$B$4,DATOS!$I$2:$I$20000,"Orquesta/Banda/Conjunto"),"")))</f>
        <v/>
      </c>
      <c r="V118" t="str">
        <f>IF(S118="","",IF(S118="[FÓRMULA MANUAL]","",IFERROR(AVERAGEIFS(DATOS!$K$2:$K$20000,DATOS!$A$2:$A$20000,S118,DATOS!$G$2:$G$20000,CONFIG_METADATA!$B$4,DATOS!$I$2:$I$20000,"Música de Cámara"),"")))</f>
        <v/>
      </c>
      <c r="W118" t="str">
        <f>IF(S118="","",IF(S118="[FÓRMULA MANUAL]","",IFERROR(SUMPRODUCT((DATOS!$A$2:$A$20000=S118)*(DATOS!$G$2:$G$20000=CONFIG_METADATA!$B$4)*(COUNTIF(CONFIG_ASIGNATURAS!$B$7:$B$27,DATOS!$I$2:$I$20000)&gt;0)*(DATOS!$K$2:$K$20000))/SUMPRODUCT((DATOS!$A$2:$A$20000=S118)*(DATOS!$G$2:$G$20000=CONFIG_METADATA!$B$4)*(COUNTIF(CONFIG_ASIGNATURAS!$B$7:$B$27,DATOS!$I$2:$I$20000)&gt;0)*1),"")))</f>
        <v/>
      </c>
      <c r="Z118" t="str">
        <f>IF(Y118="","",IF(Y118="[FÓRMULA MANUAL]","",IFERROR(AVERAGEIFS(DATOS!$K$2:$K$20000,DATOS!$A$2:$A$20000,Y118,DATOS!$G$2:$G$20000,CONFIG_METADATA!$B$4,DATOS!$I$2:$I$20000,"Análisis"),"")))</f>
        <v/>
      </c>
      <c r="AA118" t="str">
        <f>IF(Y118="","",IF(Y118="[FÓRMULA MANUAL]","",IFERROR(AVERAGEIFS(DATOS!$K$2:$K$20000,DATOS!$A$2:$A$20000,Y118,DATOS!$G$2:$G$20000,CONFIG_METADATA!$B$4,DATOS!$I$2:$I$20000,"Orquesta/Banda/Conjunto"),"")))</f>
        <v/>
      </c>
      <c r="AB118" t="str">
        <f>IF(Y118="","",IF(Y118="[FÓRMULA MANUAL]","",IFERROR(AVERAGEIFS(DATOS!$K$2:$K$20000,DATOS!$A$2:$A$20000,Y118,DATOS!$G$2:$G$20000,CONFIG_METADATA!$B$4,DATOS!$I$2:$I$20000,"Música de Cámara"),"")))</f>
        <v/>
      </c>
      <c r="AC118" t="str">
        <f>IF(Y118="","",IF(Y118="[FÓRMULA MANUAL]","",IFERROR(SUMPRODUCT((DATOS!$A$2:$A$20000=Y118)*(DATOS!$G$2:$G$20000=CONFIG_METADATA!$B$4)*(COUNTIF(CONFIG_ASIGNATURAS!$B$7:$B$27,DATOS!$I$2:$I$20000)&gt;0)*(DATOS!$K$2:$K$20000))/SUMPRODUCT((DATOS!$A$2:$A$20000=Y118)*(DATOS!$G$2:$G$20000=CONFIG_METADATA!$B$4)*(COUNTIF(CONFIG_ASIGNATURAS!$B$7:$B$27,DATOS!$I$2:$I$20000)&gt;0)*1),"")))</f>
        <v/>
      </c>
      <c r="AF118" t="str">
        <f>IF(AE118="","",IF(AE118="[FÓRMULA MANUAL]","",IFERROR(AVERAGEIFS(DATOS!$K$2:$K$20000,DATOS!$A$2:$A$20000,AE118,DATOS!$G$2:$G$20000,CONFIG_METADATA!$B$4,DATOS!$I$2:$I$20000,"Análisis"),"")))</f>
        <v/>
      </c>
      <c r="AG118" t="str">
        <f>IF(AE118="","",IF(AE118="[FÓRMULA MANUAL]","",IFERROR(AVERAGEIFS(DATOS!$K$2:$K$20000,DATOS!$A$2:$A$20000,AE118,DATOS!$G$2:$G$20000,CONFIG_METADATA!$B$4,DATOS!$I$2:$I$20000,"Orquesta/Banda/Conjunto"),"")))</f>
        <v/>
      </c>
      <c r="AH118" t="str">
        <f>IF(AE118="","",IF(AE118="[FÓRMULA MANUAL]","",IFERROR(AVERAGEIFS(DATOS!$K$2:$K$20000,DATOS!$A$2:$A$20000,AE118,DATOS!$G$2:$G$20000,CONFIG_METADATA!$B$4,DATOS!$I$2:$I$20000,"Música de Cámara"),"")))</f>
        <v/>
      </c>
      <c r="AI118" t="str">
        <f>IF(AE118="","",IF(AE118="[FÓRMULA MANUAL]","",IFERROR(SUMPRODUCT((DATOS!$A$2:$A$20000=AE118)*(DATOS!$G$2:$G$20000=CONFIG_METADATA!$B$4)*(COUNTIF(CONFIG_ASIGNATURAS!$B$7:$B$27,DATOS!$I$2:$I$20000)&gt;0)*(DATOS!$K$2:$K$20000))/SUMPRODUCT((DATOS!$A$2:$A$20000=AE118)*(DATOS!$G$2:$G$20000=CONFIG_METADATA!$B$4)*(COUNTIF(CONFIG_ASIGNATURAS!$B$7:$B$27,DATOS!$I$2:$I$20000)&gt;0)*1),"")))</f>
        <v/>
      </c>
    </row>
    <row r="119" spans="2:35" x14ac:dyDescent="0.2">
      <c r="B119" t="str">
        <f>IF(A119="","",IF(A119="[FÓRMULA MANUAL]","",IFERROR(AVERAGEIFS(DATOS!$K$2:$K$20000,DATOS!$A$2:$A$20000,A119,DATOS!$G$2:$G$20000,CONFIG_METADATA!$B$4,DATOS!$I$2:$I$20000,"Lenguaje Musical"),"")))</f>
        <v/>
      </c>
      <c r="C119" t="str">
        <f>IF(A119="","",IF(A119="[FÓRMULA MANUAL]","",IFERROR(AVERAGEIFS(DATOS!$K$2:$K$20000,DATOS!$A$2:$A$20000,A119,DATOS!$G$2:$G$20000,CONFIG_METADATA!$B$4,DATOS!$I$2:$I$20000,"Orquesta/Banda/Conjunto"),"")))</f>
        <v/>
      </c>
      <c r="D119" t="str">
        <f>IF(A119="","",IF(A119="[FÓRMULA MANUAL]","",IFERROR(AVERAGEIFS(DATOS!$K$2:$K$20000,DATOS!$A$2:$A$20000,A119,DATOS!$G$2:$G$20000,CONFIG_METADATA!$B$4,DATOS!$I$2:$I$20000,"Conjunto"),"")))</f>
        <v/>
      </c>
      <c r="E119" t="str">
        <f>IF(A119="","",IF(A119="[FÓRMULA MANUAL]","",IFERROR(SUMPRODUCT((DATOS!$A$2:$A$20000=A119)*(DATOS!$G$2:$G$20000=CONFIG_METADATA!$B$4)*(COUNTIF(CONFIG_ASIGNATURAS!$B$7:$B$27,DATOS!$I$2:$I$20000)&gt;0)*(DATOS!$K$2:$K$20000))/SUMPRODUCT((DATOS!$A$2:$A$20000=A119)*(DATOS!$G$2:$G$20000=CONFIG_METADATA!$B$4)*(COUNTIF(CONFIG_ASIGNATURAS!$B$7:$B$27,DATOS!$I$2:$I$20000)&gt;0)*1),"")))</f>
        <v/>
      </c>
      <c r="H119" t="str">
        <f>IF(G119="","",IF(G119="[FÓRMULA MANUAL]","",IFERROR(AVERAGEIFS(DATOS!$K$2:$K$20000,DATOS!$A$2:$A$20000,G119,DATOS!$G$2:$G$20000,CONFIG_METADATA!$B$4,DATOS!$I$2:$I$20000,"Lenguaje Musical"),"")))</f>
        <v/>
      </c>
      <c r="I119" t="str">
        <f>IF(G119="","",IF(G119="[FÓRMULA MANUAL]","",IFERROR(AVERAGEIFS(DATOS!$K$2:$K$20000,DATOS!$A$2:$A$20000,G119,DATOS!$G$2:$G$20000,CONFIG_METADATA!$B$4,DATOS!$I$2:$I$20000,"Orquesta/Banda/Conjunto"),"")))</f>
        <v/>
      </c>
      <c r="J119" t="str">
        <f>IF(G119="","",IF(G119="[FÓRMULA MANUAL]","",IFERROR(AVERAGEIFS(DATOS!$K$2:$K$20000,DATOS!$A$2:$A$20000,G119,DATOS!$G$2:$G$20000,CONFIG_METADATA!$B$4,DATOS!$I$2:$I$20000,"Conjunto"),"")))</f>
        <v/>
      </c>
      <c r="K119" t="str">
        <f>IF(G119="","",IF(G119="[FÓRMULA MANUAL]","",IFERROR(SUMPRODUCT((DATOS!$A$2:$A$20000=G119)*(DATOS!$G$2:$G$20000=CONFIG_METADATA!$B$4)*(COUNTIF(CONFIG_ASIGNATURAS!$B$7:$B$27,DATOS!$I$2:$I$20000)&gt;0)*(DATOS!$K$2:$K$20000))/SUMPRODUCT((DATOS!$A$2:$A$20000=G119)*(DATOS!$G$2:$G$20000=CONFIG_METADATA!$B$4)*(COUNTIF(CONFIG_ASIGNATURAS!$B$7:$B$27,DATOS!$I$2:$I$20000)&gt;0)*1),"")))</f>
        <v/>
      </c>
      <c r="N119" t="str">
        <f>IF(M119="","",IF(M119="[FÓRMULA MANUAL]","",IFERROR(AVERAGEIFS(DATOS!$K$2:$K$20000,DATOS!$A$2:$A$20000,M119,DATOS!$G$2:$G$20000,CONFIG_METADATA!$B$4,DATOS!$I$2:$I$20000,"Armonía"),"")))</f>
        <v/>
      </c>
      <c r="O119" t="str">
        <f>IF(M119="","",IF(M119="[FÓRMULA MANUAL]","",IFERROR(AVERAGEIFS(DATOS!$K$2:$K$20000,DATOS!$A$2:$A$20000,M119,DATOS!$G$2:$G$20000,CONFIG_METADATA!$B$4,DATOS!$I$2:$I$20000,"Orquesta/Banda/Conjunto"),"")))</f>
        <v/>
      </c>
      <c r="P119" t="str">
        <f>IF(M119="","",IF(M119="[FÓRMULA MANUAL]","",IFERROR(AVERAGEIFS(DATOS!$K$2:$K$20000,DATOS!$A$2:$A$20000,M119,DATOS!$G$2:$G$20000,CONFIG_METADATA!$B$4,DATOS!$I$2:$I$20000,"Música de Cámara"),"")))</f>
        <v/>
      </c>
      <c r="Q119" t="str">
        <f>IF(M119="","",IF(M119="[FÓRMULA MANUAL]","",IFERROR(SUMPRODUCT((DATOS!$A$2:$A$20000=M119)*(DATOS!$G$2:$G$20000=CONFIG_METADATA!$B$4)*(COUNTIF(CONFIG_ASIGNATURAS!$B$7:$B$27,DATOS!$I$2:$I$20000)&gt;0)*(DATOS!$K$2:$K$20000))/SUMPRODUCT((DATOS!$A$2:$A$20000=M119)*(DATOS!$G$2:$G$20000=CONFIG_METADATA!$B$4)*(COUNTIF(CONFIG_ASIGNATURAS!$B$7:$B$27,DATOS!$I$2:$I$20000)&gt;0)*1),"")))</f>
        <v/>
      </c>
      <c r="T119" t="str">
        <f>IF(S119="","",IF(S119="[FÓRMULA MANUAL]","",IFERROR(AVERAGEIFS(DATOS!$K$2:$K$20000,DATOS!$A$2:$A$20000,S119,DATOS!$G$2:$G$20000,CONFIG_METADATA!$B$4,DATOS!$I$2:$I$20000,"Armonía"),"")))</f>
        <v/>
      </c>
      <c r="U119" t="str">
        <f>IF(S119="","",IF(S119="[FÓRMULA MANUAL]","",IFERROR(AVERAGEIFS(DATOS!$K$2:$K$20000,DATOS!$A$2:$A$20000,S119,DATOS!$G$2:$G$20000,CONFIG_METADATA!$B$4,DATOS!$I$2:$I$20000,"Orquesta/Banda/Conjunto"),"")))</f>
        <v/>
      </c>
      <c r="V119" t="str">
        <f>IF(S119="","",IF(S119="[FÓRMULA MANUAL]","",IFERROR(AVERAGEIFS(DATOS!$K$2:$K$20000,DATOS!$A$2:$A$20000,S119,DATOS!$G$2:$G$20000,CONFIG_METADATA!$B$4,DATOS!$I$2:$I$20000,"Música de Cámara"),"")))</f>
        <v/>
      </c>
      <c r="W119" t="str">
        <f>IF(S119="","",IF(S119="[FÓRMULA MANUAL]","",IFERROR(SUMPRODUCT((DATOS!$A$2:$A$20000=S119)*(DATOS!$G$2:$G$20000=CONFIG_METADATA!$B$4)*(COUNTIF(CONFIG_ASIGNATURAS!$B$7:$B$27,DATOS!$I$2:$I$20000)&gt;0)*(DATOS!$K$2:$K$20000))/SUMPRODUCT((DATOS!$A$2:$A$20000=S119)*(DATOS!$G$2:$G$20000=CONFIG_METADATA!$B$4)*(COUNTIF(CONFIG_ASIGNATURAS!$B$7:$B$27,DATOS!$I$2:$I$20000)&gt;0)*1),"")))</f>
        <v/>
      </c>
      <c r="Z119" t="str">
        <f>IF(Y119="","",IF(Y119="[FÓRMULA MANUAL]","",IFERROR(AVERAGEIFS(DATOS!$K$2:$K$20000,DATOS!$A$2:$A$20000,Y119,DATOS!$G$2:$G$20000,CONFIG_METADATA!$B$4,DATOS!$I$2:$I$20000,"Análisis"),"")))</f>
        <v/>
      </c>
      <c r="AA119" t="str">
        <f>IF(Y119="","",IF(Y119="[FÓRMULA MANUAL]","",IFERROR(AVERAGEIFS(DATOS!$K$2:$K$20000,DATOS!$A$2:$A$20000,Y119,DATOS!$G$2:$G$20000,CONFIG_METADATA!$B$4,DATOS!$I$2:$I$20000,"Orquesta/Banda/Conjunto"),"")))</f>
        <v/>
      </c>
      <c r="AB119" t="str">
        <f>IF(Y119="","",IF(Y119="[FÓRMULA MANUAL]","",IFERROR(AVERAGEIFS(DATOS!$K$2:$K$20000,DATOS!$A$2:$A$20000,Y119,DATOS!$G$2:$G$20000,CONFIG_METADATA!$B$4,DATOS!$I$2:$I$20000,"Música de Cámara"),"")))</f>
        <v/>
      </c>
      <c r="AC119" t="str">
        <f>IF(Y119="","",IF(Y119="[FÓRMULA MANUAL]","",IFERROR(SUMPRODUCT((DATOS!$A$2:$A$20000=Y119)*(DATOS!$G$2:$G$20000=CONFIG_METADATA!$B$4)*(COUNTIF(CONFIG_ASIGNATURAS!$B$7:$B$27,DATOS!$I$2:$I$20000)&gt;0)*(DATOS!$K$2:$K$20000))/SUMPRODUCT((DATOS!$A$2:$A$20000=Y119)*(DATOS!$G$2:$G$20000=CONFIG_METADATA!$B$4)*(COUNTIF(CONFIG_ASIGNATURAS!$B$7:$B$27,DATOS!$I$2:$I$20000)&gt;0)*1),"")))</f>
        <v/>
      </c>
      <c r="AF119" t="str">
        <f>IF(AE119="","",IF(AE119="[FÓRMULA MANUAL]","",IFERROR(AVERAGEIFS(DATOS!$K$2:$K$20000,DATOS!$A$2:$A$20000,AE119,DATOS!$G$2:$G$20000,CONFIG_METADATA!$B$4,DATOS!$I$2:$I$20000,"Análisis"),"")))</f>
        <v/>
      </c>
      <c r="AG119" t="str">
        <f>IF(AE119="","",IF(AE119="[FÓRMULA MANUAL]","",IFERROR(AVERAGEIFS(DATOS!$K$2:$K$20000,DATOS!$A$2:$A$20000,AE119,DATOS!$G$2:$G$20000,CONFIG_METADATA!$B$4,DATOS!$I$2:$I$20000,"Orquesta/Banda/Conjunto"),"")))</f>
        <v/>
      </c>
      <c r="AH119" t="str">
        <f>IF(AE119="","",IF(AE119="[FÓRMULA MANUAL]","",IFERROR(AVERAGEIFS(DATOS!$K$2:$K$20000,DATOS!$A$2:$A$20000,AE119,DATOS!$G$2:$G$20000,CONFIG_METADATA!$B$4,DATOS!$I$2:$I$20000,"Música de Cámara"),"")))</f>
        <v/>
      </c>
      <c r="AI119" t="str">
        <f>IF(AE119="","",IF(AE119="[FÓRMULA MANUAL]","",IFERROR(SUMPRODUCT((DATOS!$A$2:$A$20000=AE119)*(DATOS!$G$2:$G$20000=CONFIG_METADATA!$B$4)*(COUNTIF(CONFIG_ASIGNATURAS!$B$7:$B$27,DATOS!$I$2:$I$20000)&gt;0)*(DATOS!$K$2:$K$20000))/SUMPRODUCT((DATOS!$A$2:$A$20000=AE119)*(DATOS!$G$2:$G$20000=CONFIG_METADATA!$B$4)*(COUNTIF(CONFIG_ASIGNATURAS!$B$7:$B$27,DATOS!$I$2:$I$20000)&gt;0)*1),"")))</f>
        <v/>
      </c>
    </row>
    <row r="120" spans="2:35" x14ac:dyDescent="0.2">
      <c r="B120" t="str">
        <f>IF(A120="","",IF(A120="[FÓRMULA MANUAL]","",IFERROR(AVERAGEIFS(DATOS!$K$2:$K$20000,DATOS!$A$2:$A$20000,A120,DATOS!$G$2:$G$20000,CONFIG_METADATA!$B$4,DATOS!$I$2:$I$20000,"Lenguaje Musical"),"")))</f>
        <v/>
      </c>
      <c r="C120" t="str">
        <f>IF(A120="","",IF(A120="[FÓRMULA MANUAL]","",IFERROR(AVERAGEIFS(DATOS!$K$2:$K$20000,DATOS!$A$2:$A$20000,A120,DATOS!$G$2:$G$20000,CONFIG_METADATA!$B$4,DATOS!$I$2:$I$20000,"Orquesta/Banda/Conjunto"),"")))</f>
        <v/>
      </c>
      <c r="D120" t="str">
        <f>IF(A120="","",IF(A120="[FÓRMULA MANUAL]","",IFERROR(AVERAGEIFS(DATOS!$K$2:$K$20000,DATOS!$A$2:$A$20000,A120,DATOS!$G$2:$G$20000,CONFIG_METADATA!$B$4,DATOS!$I$2:$I$20000,"Conjunto"),"")))</f>
        <v/>
      </c>
      <c r="E120" t="str">
        <f>IF(A120="","",IF(A120="[FÓRMULA MANUAL]","",IFERROR(SUMPRODUCT((DATOS!$A$2:$A$20000=A120)*(DATOS!$G$2:$G$20000=CONFIG_METADATA!$B$4)*(COUNTIF(CONFIG_ASIGNATURAS!$B$7:$B$27,DATOS!$I$2:$I$20000)&gt;0)*(DATOS!$K$2:$K$20000))/SUMPRODUCT((DATOS!$A$2:$A$20000=A120)*(DATOS!$G$2:$G$20000=CONFIG_METADATA!$B$4)*(COUNTIF(CONFIG_ASIGNATURAS!$B$7:$B$27,DATOS!$I$2:$I$20000)&gt;0)*1),"")))</f>
        <v/>
      </c>
      <c r="H120" t="str">
        <f>IF(G120="","",IF(G120="[FÓRMULA MANUAL]","",IFERROR(AVERAGEIFS(DATOS!$K$2:$K$20000,DATOS!$A$2:$A$20000,G120,DATOS!$G$2:$G$20000,CONFIG_METADATA!$B$4,DATOS!$I$2:$I$20000,"Lenguaje Musical"),"")))</f>
        <v/>
      </c>
      <c r="I120" t="str">
        <f>IF(G120="","",IF(G120="[FÓRMULA MANUAL]","",IFERROR(AVERAGEIFS(DATOS!$K$2:$K$20000,DATOS!$A$2:$A$20000,G120,DATOS!$G$2:$G$20000,CONFIG_METADATA!$B$4,DATOS!$I$2:$I$20000,"Orquesta/Banda/Conjunto"),"")))</f>
        <v/>
      </c>
      <c r="J120" t="str">
        <f>IF(G120="","",IF(G120="[FÓRMULA MANUAL]","",IFERROR(AVERAGEIFS(DATOS!$K$2:$K$20000,DATOS!$A$2:$A$20000,G120,DATOS!$G$2:$G$20000,CONFIG_METADATA!$B$4,DATOS!$I$2:$I$20000,"Conjunto"),"")))</f>
        <v/>
      </c>
      <c r="K120" t="str">
        <f>IF(G120="","",IF(G120="[FÓRMULA MANUAL]","",IFERROR(SUMPRODUCT((DATOS!$A$2:$A$20000=G120)*(DATOS!$G$2:$G$20000=CONFIG_METADATA!$B$4)*(COUNTIF(CONFIG_ASIGNATURAS!$B$7:$B$27,DATOS!$I$2:$I$20000)&gt;0)*(DATOS!$K$2:$K$20000))/SUMPRODUCT((DATOS!$A$2:$A$20000=G120)*(DATOS!$G$2:$G$20000=CONFIG_METADATA!$B$4)*(COUNTIF(CONFIG_ASIGNATURAS!$B$7:$B$27,DATOS!$I$2:$I$20000)&gt;0)*1),"")))</f>
        <v/>
      </c>
      <c r="N120" t="str">
        <f>IF(M120="","",IF(M120="[FÓRMULA MANUAL]","",IFERROR(AVERAGEIFS(DATOS!$K$2:$K$20000,DATOS!$A$2:$A$20000,M120,DATOS!$G$2:$G$20000,CONFIG_METADATA!$B$4,DATOS!$I$2:$I$20000,"Armonía"),"")))</f>
        <v/>
      </c>
      <c r="O120" t="str">
        <f>IF(M120="","",IF(M120="[FÓRMULA MANUAL]","",IFERROR(AVERAGEIFS(DATOS!$K$2:$K$20000,DATOS!$A$2:$A$20000,M120,DATOS!$G$2:$G$20000,CONFIG_METADATA!$B$4,DATOS!$I$2:$I$20000,"Orquesta/Banda/Conjunto"),"")))</f>
        <v/>
      </c>
      <c r="P120" t="str">
        <f>IF(M120="","",IF(M120="[FÓRMULA MANUAL]","",IFERROR(AVERAGEIFS(DATOS!$K$2:$K$20000,DATOS!$A$2:$A$20000,M120,DATOS!$G$2:$G$20000,CONFIG_METADATA!$B$4,DATOS!$I$2:$I$20000,"Música de Cámara"),"")))</f>
        <v/>
      </c>
      <c r="Q120" t="str">
        <f>IF(M120="","",IF(M120="[FÓRMULA MANUAL]","",IFERROR(SUMPRODUCT((DATOS!$A$2:$A$20000=M120)*(DATOS!$G$2:$G$20000=CONFIG_METADATA!$B$4)*(COUNTIF(CONFIG_ASIGNATURAS!$B$7:$B$27,DATOS!$I$2:$I$20000)&gt;0)*(DATOS!$K$2:$K$20000))/SUMPRODUCT((DATOS!$A$2:$A$20000=M120)*(DATOS!$G$2:$G$20000=CONFIG_METADATA!$B$4)*(COUNTIF(CONFIG_ASIGNATURAS!$B$7:$B$27,DATOS!$I$2:$I$20000)&gt;0)*1),"")))</f>
        <v/>
      </c>
      <c r="T120" t="str">
        <f>IF(S120="","",IF(S120="[FÓRMULA MANUAL]","",IFERROR(AVERAGEIFS(DATOS!$K$2:$K$20000,DATOS!$A$2:$A$20000,S120,DATOS!$G$2:$G$20000,CONFIG_METADATA!$B$4,DATOS!$I$2:$I$20000,"Armonía"),"")))</f>
        <v/>
      </c>
      <c r="U120" t="str">
        <f>IF(S120="","",IF(S120="[FÓRMULA MANUAL]","",IFERROR(AVERAGEIFS(DATOS!$K$2:$K$20000,DATOS!$A$2:$A$20000,S120,DATOS!$G$2:$G$20000,CONFIG_METADATA!$B$4,DATOS!$I$2:$I$20000,"Orquesta/Banda/Conjunto"),"")))</f>
        <v/>
      </c>
      <c r="V120" t="str">
        <f>IF(S120="","",IF(S120="[FÓRMULA MANUAL]","",IFERROR(AVERAGEIFS(DATOS!$K$2:$K$20000,DATOS!$A$2:$A$20000,S120,DATOS!$G$2:$G$20000,CONFIG_METADATA!$B$4,DATOS!$I$2:$I$20000,"Música de Cámara"),"")))</f>
        <v/>
      </c>
      <c r="W120" t="str">
        <f>IF(S120="","",IF(S120="[FÓRMULA MANUAL]","",IFERROR(SUMPRODUCT((DATOS!$A$2:$A$20000=S120)*(DATOS!$G$2:$G$20000=CONFIG_METADATA!$B$4)*(COUNTIF(CONFIG_ASIGNATURAS!$B$7:$B$27,DATOS!$I$2:$I$20000)&gt;0)*(DATOS!$K$2:$K$20000))/SUMPRODUCT((DATOS!$A$2:$A$20000=S120)*(DATOS!$G$2:$G$20000=CONFIG_METADATA!$B$4)*(COUNTIF(CONFIG_ASIGNATURAS!$B$7:$B$27,DATOS!$I$2:$I$20000)&gt;0)*1),"")))</f>
        <v/>
      </c>
      <c r="Z120" t="str">
        <f>IF(Y120="","",IF(Y120="[FÓRMULA MANUAL]","",IFERROR(AVERAGEIFS(DATOS!$K$2:$K$20000,DATOS!$A$2:$A$20000,Y120,DATOS!$G$2:$G$20000,CONFIG_METADATA!$B$4,DATOS!$I$2:$I$20000,"Análisis"),"")))</f>
        <v/>
      </c>
      <c r="AA120" t="str">
        <f>IF(Y120="","",IF(Y120="[FÓRMULA MANUAL]","",IFERROR(AVERAGEIFS(DATOS!$K$2:$K$20000,DATOS!$A$2:$A$20000,Y120,DATOS!$G$2:$G$20000,CONFIG_METADATA!$B$4,DATOS!$I$2:$I$20000,"Orquesta/Banda/Conjunto"),"")))</f>
        <v/>
      </c>
      <c r="AB120" t="str">
        <f>IF(Y120="","",IF(Y120="[FÓRMULA MANUAL]","",IFERROR(AVERAGEIFS(DATOS!$K$2:$K$20000,DATOS!$A$2:$A$20000,Y120,DATOS!$G$2:$G$20000,CONFIG_METADATA!$B$4,DATOS!$I$2:$I$20000,"Música de Cámara"),"")))</f>
        <v/>
      </c>
      <c r="AC120" t="str">
        <f>IF(Y120="","",IF(Y120="[FÓRMULA MANUAL]","",IFERROR(SUMPRODUCT((DATOS!$A$2:$A$20000=Y120)*(DATOS!$G$2:$G$20000=CONFIG_METADATA!$B$4)*(COUNTIF(CONFIG_ASIGNATURAS!$B$7:$B$27,DATOS!$I$2:$I$20000)&gt;0)*(DATOS!$K$2:$K$20000))/SUMPRODUCT((DATOS!$A$2:$A$20000=Y120)*(DATOS!$G$2:$G$20000=CONFIG_METADATA!$B$4)*(COUNTIF(CONFIG_ASIGNATURAS!$B$7:$B$27,DATOS!$I$2:$I$20000)&gt;0)*1),"")))</f>
        <v/>
      </c>
      <c r="AF120" t="str">
        <f>IF(AE120="","",IF(AE120="[FÓRMULA MANUAL]","",IFERROR(AVERAGEIFS(DATOS!$K$2:$K$20000,DATOS!$A$2:$A$20000,AE120,DATOS!$G$2:$G$20000,CONFIG_METADATA!$B$4,DATOS!$I$2:$I$20000,"Análisis"),"")))</f>
        <v/>
      </c>
      <c r="AG120" t="str">
        <f>IF(AE120="","",IF(AE120="[FÓRMULA MANUAL]","",IFERROR(AVERAGEIFS(DATOS!$K$2:$K$20000,DATOS!$A$2:$A$20000,AE120,DATOS!$G$2:$G$20000,CONFIG_METADATA!$B$4,DATOS!$I$2:$I$20000,"Orquesta/Banda/Conjunto"),"")))</f>
        <v/>
      </c>
      <c r="AH120" t="str">
        <f>IF(AE120="","",IF(AE120="[FÓRMULA MANUAL]","",IFERROR(AVERAGEIFS(DATOS!$K$2:$K$20000,DATOS!$A$2:$A$20000,AE120,DATOS!$G$2:$G$20000,CONFIG_METADATA!$B$4,DATOS!$I$2:$I$20000,"Música de Cámara"),"")))</f>
        <v/>
      </c>
      <c r="AI120" t="str">
        <f>IF(AE120="","",IF(AE120="[FÓRMULA MANUAL]","",IFERROR(SUMPRODUCT((DATOS!$A$2:$A$20000=AE120)*(DATOS!$G$2:$G$20000=CONFIG_METADATA!$B$4)*(COUNTIF(CONFIG_ASIGNATURAS!$B$7:$B$27,DATOS!$I$2:$I$20000)&gt;0)*(DATOS!$K$2:$K$20000))/SUMPRODUCT((DATOS!$A$2:$A$20000=AE120)*(DATOS!$G$2:$G$20000=CONFIG_METADATA!$B$4)*(COUNTIF(CONFIG_ASIGNATURAS!$B$7:$B$27,DATOS!$I$2:$I$20000)&gt;0)*1),"")))</f>
        <v/>
      </c>
    </row>
    <row r="121" spans="2:35" x14ac:dyDescent="0.2">
      <c r="B121" t="str">
        <f>IF(A121="","",IF(A121="[FÓRMULA MANUAL]","",IFERROR(AVERAGEIFS(DATOS!$K$2:$K$20000,DATOS!$A$2:$A$20000,A121,DATOS!$G$2:$G$20000,CONFIG_METADATA!$B$4,DATOS!$I$2:$I$20000,"Lenguaje Musical"),"")))</f>
        <v/>
      </c>
      <c r="C121" t="str">
        <f>IF(A121="","",IF(A121="[FÓRMULA MANUAL]","",IFERROR(AVERAGEIFS(DATOS!$K$2:$K$20000,DATOS!$A$2:$A$20000,A121,DATOS!$G$2:$G$20000,CONFIG_METADATA!$B$4,DATOS!$I$2:$I$20000,"Orquesta/Banda/Conjunto"),"")))</f>
        <v/>
      </c>
      <c r="D121" t="str">
        <f>IF(A121="","",IF(A121="[FÓRMULA MANUAL]","",IFERROR(AVERAGEIFS(DATOS!$K$2:$K$20000,DATOS!$A$2:$A$20000,A121,DATOS!$G$2:$G$20000,CONFIG_METADATA!$B$4,DATOS!$I$2:$I$20000,"Conjunto"),"")))</f>
        <v/>
      </c>
      <c r="E121" t="str">
        <f>IF(A121="","",IF(A121="[FÓRMULA MANUAL]","",IFERROR(SUMPRODUCT((DATOS!$A$2:$A$20000=A121)*(DATOS!$G$2:$G$20000=CONFIG_METADATA!$B$4)*(COUNTIF(CONFIG_ASIGNATURAS!$B$7:$B$27,DATOS!$I$2:$I$20000)&gt;0)*(DATOS!$K$2:$K$20000))/SUMPRODUCT((DATOS!$A$2:$A$20000=A121)*(DATOS!$G$2:$G$20000=CONFIG_METADATA!$B$4)*(COUNTIF(CONFIG_ASIGNATURAS!$B$7:$B$27,DATOS!$I$2:$I$20000)&gt;0)*1),"")))</f>
        <v/>
      </c>
      <c r="H121" t="str">
        <f>IF(G121="","",IF(G121="[FÓRMULA MANUAL]","",IFERROR(AVERAGEIFS(DATOS!$K$2:$K$20000,DATOS!$A$2:$A$20000,G121,DATOS!$G$2:$G$20000,CONFIG_METADATA!$B$4,DATOS!$I$2:$I$20000,"Lenguaje Musical"),"")))</f>
        <v/>
      </c>
      <c r="I121" t="str">
        <f>IF(G121="","",IF(G121="[FÓRMULA MANUAL]","",IFERROR(AVERAGEIFS(DATOS!$K$2:$K$20000,DATOS!$A$2:$A$20000,G121,DATOS!$G$2:$G$20000,CONFIG_METADATA!$B$4,DATOS!$I$2:$I$20000,"Orquesta/Banda/Conjunto"),"")))</f>
        <v/>
      </c>
      <c r="J121" t="str">
        <f>IF(G121="","",IF(G121="[FÓRMULA MANUAL]","",IFERROR(AVERAGEIFS(DATOS!$K$2:$K$20000,DATOS!$A$2:$A$20000,G121,DATOS!$G$2:$G$20000,CONFIG_METADATA!$B$4,DATOS!$I$2:$I$20000,"Conjunto"),"")))</f>
        <v/>
      </c>
      <c r="K121" t="str">
        <f>IF(G121="","",IF(G121="[FÓRMULA MANUAL]","",IFERROR(SUMPRODUCT((DATOS!$A$2:$A$20000=G121)*(DATOS!$G$2:$G$20000=CONFIG_METADATA!$B$4)*(COUNTIF(CONFIG_ASIGNATURAS!$B$7:$B$27,DATOS!$I$2:$I$20000)&gt;0)*(DATOS!$K$2:$K$20000))/SUMPRODUCT((DATOS!$A$2:$A$20000=G121)*(DATOS!$G$2:$G$20000=CONFIG_METADATA!$B$4)*(COUNTIF(CONFIG_ASIGNATURAS!$B$7:$B$27,DATOS!$I$2:$I$20000)&gt;0)*1),"")))</f>
        <v/>
      </c>
      <c r="N121" t="str">
        <f>IF(M121="","",IF(M121="[FÓRMULA MANUAL]","",IFERROR(AVERAGEIFS(DATOS!$K$2:$K$20000,DATOS!$A$2:$A$20000,M121,DATOS!$G$2:$G$20000,CONFIG_METADATA!$B$4,DATOS!$I$2:$I$20000,"Armonía"),"")))</f>
        <v/>
      </c>
      <c r="O121" t="str">
        <f>IF(M121="","",IF(M121="[FÓRMULA MANUAL]","",IFERROR(AVERAGEIFS(DATOS!$K$2:$K$20000,DATOS!$A$2:$A$20000,M121,DATOS!$G$2:$G$20000,CONFIG_METADATA!$B$4,DATOS!$I$2:$I$20000,"Orquesta/Banda/Conjunto"),"")))</f>
        <v/>
      </c>
      <c r="P121" t="str">
        <f>IF(M121="","",IF(M121="[FÓRMULA MANUAL]","",IFERROR(AVERAGEIFS(DATOS!$K$2:$K$20000,DATOS!$A$2:$A$20000,M121,DATOS!$G$2:$G$20000,CONFIG_METADATA!$B$4,DATOS!$I$2:$I$20000,"Música de Cámara"),"")))</f>
        <v/>
      </c>
      <c r="Q121" t="str">
        <f>IF(M121="","",IF(M121="[FÓRMULA MANUAL]","",IFERROR(SUMPRODUCT((DATOS!$A$2:$A$20000=M121)*(DATOS!$G$2:$G$20000=CONFIG_METADATA!$B$4)*(COUNTIF(CONFIG_ASIGNATURAS!$B$7:$B$27,DATOS!$I$2:$I$20000)&gt;0)*(DATOS!$K$2:$K$20000))/SUMPRODUCT((DATOS!$A$2:$A$20000=M121)*(DATOS!$G$2:$G$20000=CONFIG_METADATA!$B$4)*(COUNTIF(CONFIG_ASIGNATURAS!$B$7:$B$27,DATOS!$I$2:$I$20000)&gt;0)*1),"")))</f>
        <v/>
      </c>
      <c r="T121" t="str">
        <f>IF(S121="","",IF(S121="[FÓRMULA MANUAL]","",IFERROR(AVERAGEIFS(DATOS!$K$2:$K$20000,DATOS!$A$2:$A$20000,S121,DATOS!$G$2:$G$20000,CONFIG_METADATA!$B$4,DATOS!$I$2:$I$20000,"Armonía"),"")))</f>
        <v/>
      </c>
      <c r="U121" t="str">
        <f>IF(S121="","",IF(S121="[FÓRMULA MANUAL]","",IFERROR(AVERAGEIFS(DATOS!$K$2:$K$20000,DATOS!$A$2:$A$20000,S121,DATOS!$G$2:$G$20000,CONFIG_METADATA!$B$4,DATOS!$I$2:$I$20000,"Orquesta/Banda/Conjunto"),"")))</f>
        <v/>
      </c>
      <c r="V121" t="str">
        <f>IF(S121="","",IF(S121="[FÓRMULA MANUAL]","",IFERROR(AVERAGEIFS(DATOS!$K$2:$K$20000,DATOS!$A$2:$A$20000,S121,DATOS!$G$2:$G$20000,CONFIG_METADATA!$B$4,DATOS!$I$2:$I$20000,"Música de Cámara"),"")))</f>
        <v/>
      </c>
      <c r="W121" t="str">
        <f>IF(S121="","",IF(S121="[FÓRMULA MANUAL]","",IFERROR(SUMPRODUCT((DATOS!$A$2:$A$20000=S121)*(DATOS!$G$2:$G$20000=CONFIG_METADATA!$B$4)*(COUNTIF(CONFIG_ASIGNATURAS!$B$7:$B$27,DATOS!$I$2:$I$20000)&gt;0)*(DATOS!$K$2:$K$20000))/SUMPRODUCT((DATOS!$A$2:$A$20000=S121)*(DATOS!$G$2:$G$20000=CONFIG_METADATA!$B$4)*(COUNTIF(CONFIG_ASIGNATURAS!$B$7:$B$27,DATOS!$I$2:$I$20000)&gt;0)*1),"")))</f>
        <v/>
      </c>
      <c r="Z121" t="str">
        <f>IF(Y121="","",IF(Y121="[FÓRMULA MANUAL]","",IFERROR(AVERAGEIFS(DATOS!$K$2:$K$20000,DATOS!$A$2:$A$20000,Y121,DATOS!$G$2:$G$20000,CONFIG_METADATA!$B$4,DATOS!$I$2:$I$20000,"Análisis"),"")))</f>
        <v/>
      </c>
      <c r="AA121" t="str">
        <f>IF(Y121="","",IF(Y121="[FÓRMULA MANUAL]","",IFERROR(AVERAGEIFS(DATOS!$K$2:$K$20000,DATOS!$A$2:$A$20000,Y121,DATOS!$G$2:$G$20000,CONFIG_METADATA!$B$4,DATOS!$I$2:$I$20000,"Orquesta/Banda/Conjunto"),"")))</f>
        <v/>
      </c>
      <c r="AB121" t="str">
        <f>IF(Y121="","",IF(Y121="[FÓRMULA MANUAL]","",IFERROR(AVERAGEIFS(DATOS!$K$2:$K$20000,DATOS!$A$2:$A$20000,Y121,DATOS!$G$2:$G$20000,CONFIG_METADATA!$B$4,DATOS!$I$2:$I$20000,"Música de Cámara"),"")))</f>
        <v/>
      </c>
      <c r="AC121" t="str">
        <f>IF(Y121="","",IF(Y121="[FÓRMULA MANUAL]","",IFERROR(SUMPRODUCT((DATOS!$A$2:$A$20000=Y121)*(DATOS!$G$2:$G$20000=CONFIG_METADATA!$B$4)*(COUNTIF(CONFIG_ASIGNATURAS!$B$7:$B$27,DATOS!$I$2:$I$20000)&gt;0)*(DATOS!$K$2:$K$20000))/SUMPRODUCT((DATOS!$A$2:$A$20000=Y121)*(DATOS!$G$2:$G$20000=CONFIG_METADATA!$B$4)*(COUNTIF(CONFIG_ASIGNATURAS!$B$7:$B$27,DATOS!$I$2:$I$20000)&gt;0)*1),"")))</f>
        <v/>
      </c>
      <c r="AF121" t="str">
        <f>IF(AE121="","",IF(AE121="[FÓRMULA MANUAL]","",IFERROR(AVERAGEIFS(DATOS!$K$2:$K$20000,DATOS!$A$2:$A$20000,AE121,DATOS!$G$2:$G$20000,CONFIG_METADATA!$B$4,DATOS!$I$2:$I$20000,"Análisis"),"")))</f>
        <v/>
      </c>
      <c r="AG121" t="str">
        <f>IF(AE121="","",IF(AE121="[FÓRMULA MANUAL]","",IFERROR(AVERAGEIFS(DATOS!$K$2:$K$20000,DATOS!$A$2:$A$20000,AE121,DATOS!$G$2:$G$20000,CONFIG_METADATA!$B$4,DATOS!$I$2:$I$20000,"Orquesta/Banda/Conjunto"),"")))</f>
        <v/>
      </c>
      <c r="AH121" t="str">
        <f>IF(AE121="","",IF(AE121="[FÓRMULA MANUAL]","",IFERROR(AVERAGEIFS(DATOS!$K$2:$K$20000,DATOS!$A$2:$A$20000,AE121,DATOS!$G$2:$G$20000,CONFIG_METADATA!$B$4,DATOS!$I$2:$I$20000,"Música de Cámara"),"")))</f>
        <v/>
      </c>
      <c r="AI121" t="str">
        <f>IF(AE121="","",IF(AE121="[FÓRMULA MANUAL]","",IFERROR(SUMPRODUCT((DATOS!$A$2:$A$20000=AE121)*(DATOS!$G$2:$G$20000=CONFIG_METADATA!$B$4)*(COUNTIF(CONFIG_ASIGNATURAS!$B$7:$B$27,DATOS!$I$2:$I$20000)&gt;0)*(DATOS!$K$2:$K$20000))/SUMPRODUCT((DATOS!$A$2:$A$20000=AE121)*(DATOS!$G$2:$G$20000=CONFIG_METADATA!$B$4)*(COUNTIF(CONFIG_ASIGNATURAS!$B$7:$B$27,DATOS!$I$2:$I$20000)&gt;0)*1),"")))</f>
        <v/>
      </c>
    </row>
    <row r="122" spans="2:35" x14ac:dyDescent="0.2">
      <c r="B122" t="str">
        <f>IF(A122="","",IF(A122="[FÓRMULA MANUAL]","",IFERROR(AVERAGEIFS(DATOS!$K$2:$K$20000,DATOS!$A$2:$A$20000,A122,DATOS!$G$2:$G$20000,CONFIG_METADATA!$B$4,DATOS!$I$2:$I$20000,"Lenguaje Musical"),"")))</f>
        <v/>
      </c>
      <c r="C122" t="str">
        <f>IF(A122="","",IF(A122="[FÓRMULA MANUAL]","",IFERROR(AVERAGEIFS(DATOS!$K$2:$K$20000,DATOS!$A$2:$A$20000,A122,DATOS!$G$2:$G$20000,CONFIG_METADATA!$B$4,DATOS!$I$2:$I$20000,"Orquesta/Banda/Conjunto"),"")))</f>
        <v/>
      </c>
      <c r="D122" t="str">
        <f>IF(A122="","",IF(A122="[FÓRMULA MANUAL]","",IFERROR(AVERAGEIFS(DATOS!$K$2:$K$20000,DATOS!$A$2:$A$20000,A122,DATOS!$G$2:$G$20000,CONFIG_METADATA!$B$4,DATOS!$I$2:$I$20000,"Conjunto"),"")))</f>
        <v/>
      </c>
      <c r="E122" t="str">
        <f>IF(A122="","",IF(A122="[FÓRMULA MANUAL]","",IFERROR(SUMPRODUCT((DATOS!$A$2:$A$20000=A122)*(DATOS!$G$2:$G$20000=CONFIG_METADATA!$B$4)*(COUNTIF(CONFIG_ASIGNATURAS!$B$7:$B$27,DATOS!$I$2:$I$20000)&gt;0)*(DATOS!$K$2:$K$20000))/SUMPRODUCT((DATOS!$A$2:$A$20000=A122)*(DATOS!$G$2:$G$20000=CONFIG_METADATA!$B$4)*(COUNTIF(CONFIG_ASIGNATURAS!$B$7:$B$27,DATOS!$I$2:$I$20000)&gt;0)*1),"")))</f>
        <v/>
      </c>
      <c r="H122" t="str">
        <f>IF(G122="","",IF(G122="[FÓRMULA MANUAL]","",IFERROR(AVERAGEIFS(DATOS!$K$2:$K$20000,DATOS!$A$2:$A$20000,G122,DATOS!$G$2:$G$20000,CONFIG_METADATA!$B$4,DATOS!$I$2:$I$20000,"Lenguaje Musical"),"")))</f>
        <v/>
      </c>
      <c r="I122" t="str">
        <f>IF(G122="","",IF(G122="[FÓRMULA MANUAL]","",IFERROR(AVERAGEIFS(DATOS!$K$2:$K$20000,DATOS!$A$2:$A$20000,G122,DATOS!$G$2:$G$20000,CONFIG_METADATA!$B$4,DATOS!$I$2:$I$20000,"Orquesta/Banda/Conjunto"),"")))</f>
        <v/>
      </c>
      <c r="J122" t="str">
        <f>IF(G122="","",IF(G122="[FÓRMULA MANUAL]","",IFERROR(AVERAGEIFS(DATOS!$K$2:$K$20000,DATOS!$A$2:$A$20000,G122,DATOS!$G$2:$G$20000,CONFIG_METADATA!$B$4,DATOS!$I$2:$I$20000,"Conjunto"),"")))</f>
        <v/>
      </c>
      <c r="K122" t="str">
        <f>IF(G122="","",IF(G122="[FÓRMULA MANUAL]","",IFERROR(SUMPRODUCT((DATOS!$A$2:$A$20000=G122)*(DATOS!$G$2:$G$20000=CONFIG_METADATA!$B$4)*(COUNTIF(CONFIG_ASIGNATURAS!$B$7:$B$27,DATOS!$I$2:$I$20000)&gt;0)*(DATOS!$K$2:$K$20000))/SUMPRODUCT((DATOS!$A$2:$A$20000=G122)*(DATOS!$G$2:$G$20000=CONFIG_METADATA!$B$4)*(COUNTIF(CONFIG_ASIGNATURAS!$B$7:$B$27,DATOS!$I$2:$I$20000)&gt;0)*1),"")))</f>
        <v/>
      </c>
      <c r="N122" t="str">
        <f>IF(M122="","",IF(M122="[FÓRMULA MANUAL]","",IFERROR(AVERAGEIFS(DATOS!$K$2:$K$20000,DATOS!$A$2:$A$20000,M122,DATOS!$G$2:$G$20000,CONFIG_METADATA!$B$4,DATOS!$I$2:$I$20000,"Armonía"),"")))</f>
        <v/>
      </c>
      <c r="O122" t="str">
        <f>IF(M122="","",IF(M122="[FÓRMULA MANUAL]","",IFERROR(AVERAGEIFS(DATOS!$K$2:$K$20000,DATOS!$A$2:$A$20000,M122,DATOS!$G$2:$G$20000,CONFIG_METADATA!$B$4,DATOS!$I$2:$I$20000,"Orquesta/Banda/Conjunto"),"")))</f>
        <v/>
      </c>
      <c r="P122" t="str">
        <f>IF(M122="","",IF(M122="[FÓRMULA MANUAL]","",IFERROR(AVERAGEIFS(DATOS!$K$2:$K$20000,DATOS!$A$2:$A$20000,M122,DATOS!$G$2:$G$20000,CONFIG_METADATA!$B$4,DATOS!$I$2:$I$20000,"Música de Cámara"),"")))</f>
        <v/>
      </c>
      <c r="Q122" t="str">
        <f>IF(M122="","",IF(M122="[FÓRMULA MANUAL]","",IFERROR(SUMPRODUCT((DATOS!$A$2:$A$20000=M122)*(DATOS!$G$2:$G$20000=CONFIG_METADATA!$B$4)*(COUNTIF(CONFIG_ASIGNATURAS!$B$7:$B$27,DATOS!$I$2:$I$20000)&gt;0)*(DATOS!$K$2:$K$20000))/SUMPRODUCT((DATOS!$A$2:$A$20000=M122)*(DATOS!$G$2:$G$20000=CONFIG_METADATA!$B$4)*(COUNTIF(CONFIG_ASIGNATURAS!$B$7:$B$27,DATOS!$I$2:$I$20000)&gt;0)*1),"")))</f>
        <v/>
      </c>
      <c r="T122" t="str">
        <f>IF(S122="","",IF(S122="[FÓRMULA MANUAL]","",IFERROR(AVERAGEIFS(DATOS!$K$2:$K$20000,DATOS!$A$2:$A$20000,S122,DATOS!$G$2:$G$20000,CONFIG_METADATA!$B$4,DATOS!$I$2:$I$20000,"Armonía"),"")))</f>
        <v/>
      </c>
      <c r="U122" t="str">
        <f>IF(S122="","",IF(S122="[FÓRMULA MANUAL]","",IFERROR(AVERAGEIFS(DATOS!$K$2:$K$20000,DATOS!$A$2:$A$20000,S122,DATOS!$G$2:$G$20000,CONFIG_METADATA!$B$4,DATOS!$I$2:$I$20000,"Orquesta/Banda/Conjunto"),"")))</f>
        <v/>
      </c>
      <c r="V122" t="str">
        <f>IF(S122="","",IF(S122="[FÓRMULA MANUAL]","",IFERROR(AVERAGEIFS(DATOS!$K$2:$K$20000,DATOS!$A$2:$A$20000,S122,DATOS!$G$2:$G$20000,CONFIG_METADATA!$B$4,DATOS!$I$2:$I$20000,"Música de Cámara"),"")))</f>
        <v/>
      </c>
      <c r="W122" t="str">
        <f>IF(S122="","",IF(S122="[FÓRMULA MANUAL]","",IFERROR(SUMPRODUCT((DATOS!$A$2:$A$20000=S122)*(DATOS!$G$2:$G$20000=CONFIG_METADATA!$B$4)*(COUNTIF(CONFIG_ASIGNATURAS!$B$7:$B$27,DATOS!$I$2:$I$20000)&gt;0)*(DATOS!$K$2:$K$20000))/SUMPRODUCT((DATOS!$A$2:$A$20000=S122)*(DATOS!$G$2:$G$20000=CONFIG_METADATA!$B$4)*(COUNTIF(CONFIG_ASIGNATURAS!$B$7:$B$27,DATOS!$I$2:$I$20000)&gt;0)*1),"")))</f>
        <v/>
      </c>
      <c r="Z122" t="str">
        <f>IF(Y122="","",IF(Y122="[FÓRMULA MANUAL]","",IFERROR(AVERAGEIFS(DATOS!$K$2:$K$20000,DATOS!$A$2:$A$20000,Y122,DATOS!$G$2:$G$20000,CONFIG_METADATA!$B$4,DATOS!$I$2:$I$20000,"Análisis"),"")))</f>
        <v/>
      </c>
      <c r="AA122" t="str">
        <f>IF(Y122="","",IF(Y122="[FÓRMULA MANUAL]","",IFERROR(AVERAGEIFS(DATOS!$K$2:$K$20000,DATOS!$A$2:$A$20000,Y122,DATOS!$G$2:$G$20000,CONFIG_METADATA!$B$4,DATOS!$I$2:$I$20000,"Orquesta/Banda/Conjunto"),"")))</f>
        <v/>
      </c>
      <c r="AB122" t="str">
        <f>IF(Y122="","",IF(Y122="[FÓRMULA MANUAL]","",IFERROR(AVERAGEIFS(DATOS!$K$2:$K$20000,DATOS!$A$2:$A$20000,Y122,DATOS!$G$2:$G$20000,CONFIG_METADATA!$B$4,DATOS!$I$2:$I$20000,"Música de Cámara"),"")))</f>
        <v/>
      </c>
      <c r="AC122" t="str">
        <f>IF(Y122="","",IF(Y122="[FÓRMULA MANUAL]","",IFERROR(SUMPRODUCT((DATOS!$A$2:$A$20000=Y122)*(DATOS!$G$2:$G$20000=CONFIG_METADATA!$B$4)*(COUNTIF(CONFIG_ASIGNATURAS!$B$7:$B$27,DATOS!$I$2:$I$20000)&gt;0)*(DATOS!$K$2:$K$20000))/SUMPRODUCT((DATOS!$A$2:$A$20000=Y122)*(DATOS!$G$2:$G$20000=CONFIG_METADATA!$B$4)*(COUNTIF(CONFIG_ASIGNATURAS!$B$7:$B$27,DATOS!$I$2:$I$20000)&gt;0)*1),"")))</f>
        <v/>
      </c>
      <c r="AF122" t="str">
        <f>IF(AE122="","",IF(AE122="[FÓRMULA MANUAL]","",IFERROR(AVERAGEIFS(DATOS!$K$2:$K$20000,DATOS!$A$2:$A$20000,AE122,DATOS!$G$2:$G$20000,CONFIG_METADATA!$B$4,DATOS!$I$2:$I$20000,"Análisis"),"")))</f>
        <v/>
      </c>
      <c r="AG122" t="str">
        <f>IF(AE122="","",IF(AE122="[FÓRMULA MANUAL]","",IFERROR(AVERAGEIFS(DATOS!$K$2:$K$20000,DATOS!$A$2:$A$20000,AE122,DATOS!$G$2:$G$20000,CONFIG_METADATA!$B$4,DATOS!$I$2:$I$20000,"Orquesta/Banda/Conjunto"),"")))</f>
        <v/>
      </c>
      <c r="AH122" t="str">
        <f>IF(AE122="","",IF(AE122="[FÓRMULA MANUAL]","",IFERROR(AVERAGEIFS(DATOS!$K$2:$K$20000,DATOS!$A$2:$A$20000,AE122,DATOS!$G$2:$G$20000,CONFIG_METADATA!$B$4,DATOS!$I$2:$I$20000,"Música de Cámara"),"")))</f>
        <v/>
      </c>
      <c r="AI122" t="str">
        <f>IF(AE122="","",IF(AE122="[FÓRMULA MANUAL]","",IFERROR(SUMPRODUCT((DATOS!$A$2:$A$20000=AE122)*(DATOS!$G$2:$G$20000=CONFIG_METADATA!$B$4)*(COUNTIF(CONFIG_ASIGNATURAS!$B$7:$B$27,DATOS!$I$2:$I$20000)&gt;0)*(DATOS!$K$2:$K$20000))/SUMPRODUCT((DATOS!$A$2:$A$20000=AE122)*(DATOS!$G$2:$G$20000=CONFIG_METADATA!$B$4)*(COUNTIF(CONFIG_ASIGNATURAS!$B$7:$B$27,DATOS!$I$2:$I$20000)&gt;0)*1),"")))</f>
        <v/>
      </c>
    </row>
    <row r="123" spans="2:35" x14ac:dyDescent="0.2">
      <c r="B123" t="str">
        <f>IF(A123="","",IF(A123="[FÓRMULA MANUAL]","",IFERROR(AVERAGEIFS(DATOS!$K$2:$K$20000,DATOS!$A$2:$A$20000,A123,DATOS!$G$2:$G$20000,CONFIG_METADATA!$B$4,DATOS!$I$2:$I$20000,"Lenguaje Musical"),"")))</f>
        <v/>
      </c>
      <c r="C123" t="str">
        <f>IF(A123="","",IF(A123="[FÓRMULA MANUAL]","",IFERROR(AVERAGEIFS(DATOS!$K$2:$K$20000,DATOS!$A$2:$A$20000,A123,DATOS!$G$2:$G$20000,CONFIG_METADATA!$B$4,DATOS!$I$2:$I$20000,"Orquesta/Banda/Conjunto"),"")))</f>
        <v/>
      </c>
      <c r="D123" t="str">
        <f>IF(A123="","",IF(A123="[FÓRMULA MANUAL]","",IFERROR(AVERAGEIFS(DATOS!$K$2:$K$20000,DATOS!$A$2:$A$20000,A123,DATOS!$G$2:$G$20000,CONFIG_METADATA!$B$4,DATOS!$I$2:$I$20000,"Conjunto"),"")))</f>
        <v/>
      </c>
      <c r="E123" t="str">
        <f>IF(A123="","",IF(A123="[FÓRMULA MANUAL]","",IFERROR(SUMPRODUCT((DATOS!$A$2:$A$20000=A123)*(DATOS!$G$2:$G$20000=CONFIG_METADATA!$B$4)*(COUNTIF(CONFIG_ASIGNATURAS!$B$7:$B$27,DATOS!$I$2:$I$20000)&gt;0)*(DATOS!$K$2:$K$20000))/SUMPRODUCT((DATOS!$A$2:$A$20000=A123)*(DATOS!$G$2:$G$20000=CONFIG_METADATA!$B$4)*(COUNTIF(CONFIG_ASIGNATURAS!$B$7:$B$27,DATOS!$I$2:$I$20000)&gt;0)*1),"")))</f>
        <v/>
      </c>
      <c r="H123" t="str">
        <f>IF(G123="","",IF(G123="[FÓRMULA MANUAL]","",IFERROR(AVERAGEIFS(DATOS!$K$2:$K$20000,DATOS!$A$2:$A$20000,G123,DATOS!$G$2:$G$20000,CONFIG_METADATA!$B$4,DATOS!$I$2:$I$20000,"Lenguaje Musical"),"")))</f>
        <v/>
      </c>
      <c r="I123" t="str">
        <f>IF(G123="","",IF(G123="[FÓRMULA MANUAL]","",IFERROR(AVERAGEIFS(DATOS!$K$2:$K$20000,DATOS!$A$2:$A$20000,G123,DATOS!$G$2:$G$20000,CONFIG_METADATA!$B$4,DATOS!$I$2:$I$20000,"Orquesta/Banda/Conjunto"),"")))</f>
        <v/>
      </c>
      <c r="J123" t="str">
        <f>IF(G123="","",IF(G123="[FÓRMULA MANUAL]","",IFERROR(AVERAGEIFS(DATOS!$K$2:$K$20000,DATOS!$A$2:$A$20000,G123,DATOS!$G$2:$G$20000,CONFIG_METADATA!$B$4,DATOS!$I$2:$I$20000,"Conjunto"),"")))</f>
        <v/>
      </c>
      <c r="K123" t="str">
        <f>IF(G123="","",IF(G123="[FÓRMULA MANUAL]","",IFERROR(SUMPRODUCT((DATOS!$A$2:$A$20000=G123)*(DATOS!$G$2:$G$20000=CONFIG_METADATA!$B$4)*(COUNTIF(CONFIG_ASIGNATURAS!$B$7:$B$27,DATOS!$I$2:$I$20000)&gt;0)*(DATOS!$K$2:$K$20000))/SUMPRODUCT((DATOS!$A$2:$A$20000=G123)*(DATOS!$G$2:$G$20000=CONFIG_METADATA!$B$4)*(COUNTIF(CONFIG_ASIGNATURAS!$B$7:$B$27,DATOS!$I$2:$I$20000)&gt;0)*1),"")))</f>
        <v/>
      </c>
      <c r="N123" t="str">
        <f>IF(M123="","",IF(M123="[FÓRMULA MANUAL]","",IFERROR(AVERAGEIFS(DATOS!$K$2:$K$20000,DATOS!$A$2:$A$20000,M123,DATOS!$G$2:$G$20000,CONFIG_METADATA!$B$4,DATOS!$I$2:$I$20000,"Armonía"),"")))</f>
        <v/>
      </c>
      <c r="O123" t="str">
        <f>IF(M123="","",IF(M123="[FÓRMULA MANUAL]","",IFERROR(AVERAGEIFS(DATOS!$K$2:$K$20000,DATOS!$A$2:$A$20000,M123,DATOS!$G$2:$G$20000,CONFIG_METADATA!$B$4,DATOS!$I$2:$I$20000,"Orquesta/Banda/Conjunto"),"")))</f>
        <v/>
      </c>
      <c r="P123" t="str">
        <f>IF(M123="","",IF(M123="[FÓRMULA MANUAL]","",IFERROR(AVERAGEIFS(DATOS!$K$2:$K$20000,DATOS!$A$2:$A$20000,M123,DATOS!$G$2:$G$20000,CONFIG_METADATA!$B$4,DATOS!$I$2:$I$20000,"Música de Cámara"),"")))</f>
        <v/>
      </c>
      <c r="Q123" t="str">
        <f>IF(M123="","",IF(M123="[FÓRMULA MANUAL]","",IFERROR(SUMPRODUCT((DATOS!$A$2:$A$20000=M123)*(DATOS!$G$2:$G$20000=CONFIG_METADATA!$B$4)*(COUNTIF(CONFIG_ASIGNATURAS!$B$7:$B$27,DATOS!$I$2:$I$20000)&gt;0)*(DATOS!$K$2:$K$20000))/SUMPRODUCT((DATOS!$A$2:$A$20000=M123)*(DATOS!$G$2:$G$20000=CONFIG_METADATA!$B$4)*(COUNTIF(CONFIG_ASIGNATURAS!$B$7:$B$27,DATOS!$I$2:$I$20000)&gt;0)*1),"")))</f>
        <v/>
      </c>
      <c r="T123" t="str">
        <f>IF(S123="","",IF(S123="[FÓRMULA MANUAL]","",IFERROR(AVERAGEIFS(DATOS!$K$2:$K$20000,DATOS!$A$2:$A$20000,S123,DATOS!$G$2:$G$20000,CONFIG_METADATA!$B$4,DATOS!$I$2:$I$20000,"Armonía"),"")))</f>
        <v/>
      </c>
      <c r="U123" t="str">
        <f>IF(S123="","",IF(S123="[FÓRMULA MANUAL]","",IFERROR(AVERAGEIFS(DATOS!$K$2:$K$20000,DATOS!$A$2:$A$20000,S123,DATOS!$G$2:$G$20000,CONFIG_METADATA!$B$4,DATOS!$I$2:$I$20000,"Orquesta/Banda/Conjunto"),"")))</f>
        <v/>
      </c>
      <c r="V123" t="str">
        <f>IF(S123="","",IF(S123="[FÓRMULA MANUAL]","",IFERROR(AVERAGEIFS(DATOS!$K$2:$K$20000,DATOS!$A$2:$A$20000,S123,DATOS!$G$2:$G$20000,CONFIG_METADATA!$B$4,DATOS!$I$2:$I$20000,"Música de Cámara"),"")))</f>
        <v/>
      </c>
      <c r="W123" t="str">
        <f>IF(S123="","",IF(S123="[FÓRMULA MANUAL]","",IFERROR(SUMPRODUCT((DATOS!$A$2:$A$20000=S123)*(DATOS!$G$2:$G$20000=CONFIG_METADATA!$B$4)*(COUNTIF(CONFIG_ASIGNATURAS!$B$7:$B$27,DATOS!$I$2:$I$20000)&gt;0)*(DATOS!$K$2:$K$20000))/SUMPRODUCT((DATOS!$A$2:$A$20000=S123)*(DATOS!$G$2:$G$20000=CONFIG_METADATA!$B$4)*(COUNTIF(CONFIG_ASIGNATURAS!$B$7:$B$27,DATOS!$I$2:$I$20000)&gt;0)*1),"")))</f>
        <v/>
      </c>
      <c r="Z123" t="str">
        <f>IF(Y123="","",IF(Y123="[FÓRMULA MANUAL]","",IFERROR(AVERAGEIFS(DATOS!$K$2:$K$20000,DATOS!$A$2:$A$20000,Y123,DATOS!$G$2:$G$20000,CONFIG_METADATA!$B$4,DATOS!$I$2:$I$20000,"Análisis"),"")))</f>
        <v/>
      </c>
      <c r="AA123" t="str">
        <f>IF(Y123="","",IF(Y123="[FÓRMULA MANUAL]","",IFERROR(AVERAGEIFS(DATOS!$K$2:$K$20000,DATOS!$A$2:$A$20000,Y123,DATOS!$G$2:$G$20000,CONFIG_METADATA!$B$4,DATOS!$I$2:$I$20000,"Orquesta/Banda/Conjunto"),"")))</f>
        <v/>
      </c>
      <c r="AB123" t="str">
        <f>IF(Y123="","",IF(Y123="[FÓRMULA MANUAL]","",IFERROR(AVERAGEIFS(DATOS!$K$2:$K$20000,DATOS!$A$2:$A$20000,Y123,DATOS!$G$2:$G$20000,CONFIG_METADATA!$B$4,DATOS!$I$2:$I$20000,"Música de Cámara"),"")))</f>
        <v/>
      </c>
      <c r="AC123" t="str">
        <f>IF(Y123="","",IF(Y123="[FÓRMULA MANUAL]","",IFERROR(SUMPRODUCT((DATOS!$A$2:$A$20000=Y123)*(DATOS!$G$2:$G$20000=CONFIG_METADATA!$B$4)*(COUNTIF(CONFIG_ASIGNATURAS!$B$7:$B$27,DATOS!$I$2:$I$20000)&gt;0)*(DATOS!$K$2:$K$20000))/SUMPRODUCT((DATOS!$A$2:$A$20000=Y123)*(DATOS!$G$2:$G$20000=CONFIG_METADATA!$B$4)*(COUNTIF(CONFIG_ASIGNATURAS!$B$7:$B$27,DATOS!$I$2:$I$20000)&gt;0)*1),"")))</f>
        <v/>
      </c>
      <c r="AF123" t="str">
        <f>IF(AE123="","",IF(AE123="[FÓRMULA MANUAL]","",IFERROR(AVERAGEIFS(DATOS!$K$2:$K$20000,DATOS!$A$2:$A$20000,AE123,DATOS!$G$2:$G$20000,CONFIG_METADATA!$B$4,DATOS!$I$2:$I$20000,"Análisis"),"")))</f>
        <v/>
      </c>
      <c r="AG123" t="str">
        <f>IF(AE123="","",IF(AE123="[FÓRMULA MANUAL]","",IFERROR(AVERAGEIFS(DATOS!$K$2:$K$20000,DATOS!$A$2:$A$20000,AE123,DATOS!$G$2:$G$20000,CONFIG_METADATA!$B$4,DATOS!$I$2:$I$20000,"Orquesta/Banda/Conjunto"),"")))</f>
        <v/>
      </c>
      <c r="AH123" t="str">
        <f>IF(AE123="","",IF(AE123="[FÓRMULA MANUAL]","",IFERROR(AVERAGEIFS(DATOS!$K$2:$K$20000,DATOS!$A$2:$A$20000,AE123,DATOS!$G$2:$G$20000,CONFIG_METADATA!$B$4,DATOS!$I$2:$I$20000,"Música de Cámara"),"")))</f>
        <v/>
      </c>
      <c r="AI123" t="str">
        <f>IF(AE123="","",IF(AE123="[FÓRMULA MANUAL]","",IFERROR(SUMPRODUCT((DATOS!$A$2:$A$20000=AE123)*(DATOS!$G$2:$G$20000=CONFIG_METADATA!$B$4)*(COUNTIF(CONFIG_ASIGNATURAS!$B$7:$B$27,DATOS!$I$2:$I$20000)&gt;0)*(DATOS!$K$2:$K$20000))/SUMPRODUCT((DATOS!$A$2:$A$20000=AE123)*(DATOS!$G$2:$G$20000=CONFIG_METADATA!$B$4)*(COUNTIF(CONFIG_ASIGNATURAS!$B$7:$B$27,DATOS!$I$2:$I$20000)&gt;0)*1),"")))</f>
        <v/>
      </c>
    </row>
    <row r="124" spans="2:35" x14ac:dyDescent="0.2">
      <c r="B124" t="str">
        <f>IF(A124="","",IF(A124="[FÓRMULA MANUAL]","",IFERROR(AVERAGEIFS(DATOS!$K$2:$K$20000,DATOS!$A$2:$A$20000,A124,DATOS!$G$2:$G$20000,CONFIG_METADATA!$B$4,DATOS!$I$2:$I$20000,"Lenguaje Musical"),"")))</f>
        <v/>
      </c>
      <c r="C124" t="str">
        <f>IF(A124="","",IF(A124="[FÓRMULA MANUAL]","",IFERROR(AVERAGEIFS(DATOS!$K$2:$K$20000,DATOS!$A$2:$A$20000,A124,DATOS!$G$2:$G$20000,CONFIG_METADATA!$B$4,DATOS!$I$2:$I$20000,"Orquesta/Banda/Conjunto"),"")))</f>
        <v/>
      </c>
      <c r="D124" t="str">
        <f>IF(A124="","",IF(A124="[FÓRMULA MANUAL]","",IFERROR(AVERAGEIFS(DATOS!$K$2:$K$20000,DATOS!$A$2:$A$20000,A124,DATOS!$G$2:$G$20000,CONFIG_METADATA!$B$4,DATOS!$I$2:$I$20000,"Conjunto"),"")))</f>
        <v/>
      </c>
      <c r="E124" t="str">
        <f>IF(A124="","",IF(A124="[FÓRMULA MANUAL]","",IFERROR(SUMPRODUCT((DATOS!$A$2:$A$20000=A124)*(DATOS!$G$2:$G$20000=CONFIG_METADATA!$B$4)*(COUNTIF(CONFIG_ASIGNATURAS!$B$7:$B$27,DATOS!$I$2:$I$20000)&gt;0)*(DATOS!$K$2:$K$20000))/SUMPRODUCT((DATOS!$A$2:$A$20000=A124)*(DATOS!$G$2:$G$20000=CONFIG_METADATA!$B$4)*(COUNTIF(CONFIG_ASIGNATURAS!$B$7:$B$27,DATOS!$I$2:$I$20000)&gt;0)*1),"")))</f>
        <v/>
      </c>
      <c r="H124" t="str">
        <f>IF(G124="","",IF(G124="[FÓRMULA MANUAL]","",IFERROR(AVERAGEIFS(DATOS!$K$2:$K$20000,DATOS!$A$2:$A$20000,G124,DATOS!$G$2:$G$20000,CONFIG_METADATA!$B$4,DATOS!$I$2:$I$20000,"Lenguaje Musical"),"")))</f>
        <v/>
      </c>
      <c r="I124" t="str">
        <f>IF(G124="","",IF(G124="[FÓRMULA MANUAL]","",IFERROR(AVERAGEIFS(DATOS!$K$2:$K$20000,DATOS!$A$2:$A$20000,G124,DATOS!$G$2:$G$20000,CONFIG_METADATA!$B$4,DATOS!$I$2:$I$20000,"Orquesta/Banda/Conjunto"),"")))</f>
        <v/>
      </c>
      <c r="J124" t="str">
        <f>IF(G124="","",IF(G124="[FÓRMULA MANUAL]","",IFERROR(AVERAGEIFS(DATOS!$K$2:$K$20000,DATOS!$A$2:$A$20000,G124,DATOS!$G$2:$G$20000,CONFIG_METADATA!$B$4,DATOS!$I$2:$I$20000,"Conjunto"),"")))</f>
        <v/>
      </c>
      <c r="K124" t="str">
        <f>IF(G124="","",IF(G124="[FÓRMULA MANUAL]","",IFERROR(SUMPRODUCT((DATOS!$A$2:$A$20000=G124)*(DATOS!$G$2:$G$20000=CONFIG_METADATA!$B$4)*(COUNTIF(CONFIG_ASIGNATURAS!$B$7:$B$27,DATOS!$I$2:$I$20000)&gt;0)*(DATOS!$K$2:$K$20000))/SUMPRODUCT((DATOS!$A$2:$A$20000=G124)*(DATOS!$G$2:$G$20000=CONFIG_METADATA!$B$4)*(COUNTIF(CONFIG_ASIGNATURAS!$B$7:$B$27,DATOS!$I$2:$I$20000)&gt;0)*1),"")))</f>
        <v/>
      </c>
      <c r="N124" t="str">
        <f>IF(M124="","",IF(M124="[FÓRMULA MANUAL]","",IFERROR(AVERAGEIFS(DATOS!$K$2:$K$20000,DATOS!$A$2:$A$20000,M124,DATOS!$G$2:$G$20000,CONFIG_METADATA!$B$4,DATOS!$I$2:$I$20000,"Armonía"),"")))</f>
        <v/>
      </c>
      <c r="O124" t="str">
        <f>IF(M124="","",IF(M124="[FÓRMULA MANUAL]","",IFERROR(AVERAGEIFS(DATOS!$K$2:$K$20000,DATOS!$A$2:$A$20000,M124,DATOS!$G$2:$G$20000,CONFIG_METADATA!$B$4,DATOS!$I$2:$I$20000,"Orquesta/Banda/Conjunto"),"")))</f>
        <v/>
      </c>
      <c r="P124" t="str">
        <f>IF(M124="","",IF(M124="[FÓRMULA MANUAL]","",IFERROR(AVERAGEIFS(DATOS!$K$2:$K$20000,DATOS!$A$2:$A$20000,M124,DATOS!$G$2:$G$20000,CONFIG_METADATA!$B$4,DATOS!$I$2:$I$20000,"Música de Cámara"),"")))</f>
        <v/>
      </c>
      <c r="Q124" t="str">
        <f>IF(M124="","",IF(M124="[FÓRMULA MANUAL]","",IFERROR(SUMPRODUCT((DATOS!$A$2:$A$20000=M124)*(DATOS!$G$2:$G$20000=CONFIG_METADATA!$B$4)*(COUNTIF(CONFIG_ASIGNATURAS!$B$7:$B$27,DATOS!$I$2:$I$20000)&gt;0)*(DATOS!$K$2:$K$20000))/SUMPRODUCT((DATOS!$A$2:$A$20000=M124)*(DATOS!$G$2:$G$20000=CONFIG_METADATA!$B$4)*(COUNTIF(CONFIG_ASIGNATURAS!$B$7:$B$27,DATOS!$I$2:$I$20000)&gt;0)*1),"")))</f>
        <v/>
      </c>
      <c r="T124" t="str">
        <f>IF(S124="","",IF(S124="[FÓRMULA MANUAL]","",IFERROR(AVERAGEIFS(DATOS!$K$2:$K$20000,DATOS!$A$2:$A$20000,S124,DATOS!$G$2:$G$20000,CONFIG_METADATA!$B$4,DATOS!$I$2:$I$20000,"Armonía"),"")))</f>
        <v/>
      </c>
      <c r="U124" t="str">
        <f>IF(S124="","",IF(S124="[FÓRMULA MANUAL]","",IFERROR(AVERAGEIFS(DATOS!$K$2:$K$20000,DATOS!$A$2:$A$20000,S124,DATOS!$G$2:$G$20000,CONFIG_METADATA!$B$4,DATOS!$I$2:$I$20000,"Orquesta/Banda/Conjunto"),"")))</f>
        <v/>
      </c>
      <c r="V124" t="str">
        <f>IF(S124="","",IF(S124="[FÓRMULA MANUAL]","",IFERROR(AVERAGEIFS(DATOS!$K$2:$K$20000,DATOS!$A$2:$A$20000,S124,DATOS!$G$2:$G$20000,CONFIG_METADATA!$B$4,DATOS!$I$2:$I$20000,"Música de Cámara"),"")))</f>
        <v/>
      </c>
      <c r="W124" t="str">
        <f>IF(S124="","",IF(S124="[FÓRMULA MANUAL]","",IFERROR(SUMPRODUCT((DATOS!$A$2:$A$20000=S124)*(DATOS!$G$2:$G$20000=CONFIG_METADATA!$B$4)*(COUNTIF(CONFIG_ASIGNATURAS!$B$7:$B$27,DATOS!$I$2:$I$20000)&gt;0)*(DATOS!$K$2:$K$20000))/SUMPRODUCT((DATOS!$A$2:$A$20000=S124)*(DATOS!$G$2:$G$20000=CONFIG_METADATA!$B$4)*(COUNTIF(CONFIG_ASIGNATURAS!$B$7:$B$27,DATOS!$I$2:$I$20000)&gt;0)*1),"")))</f>
        <v/>
      </c>
      <c r="Z124" t="str">
        <f>IF(Y124="","",IF(Y124="[FÓRMULA MANUAL]","",IFERROR(AVERAGEIFS(DATOS!$K$2:$K$20000,DATOS!$A$2:$A$20000,Y124,DATOS!$G$2:$G$20000,CONFIG_METADATA!$B$4,DATOS!$I$2:$I$20000,"Análisis"),"")))</f>
        <v/>
      </c>
      <c r="AA124" t="str">
        <f>IF(Y124="","",IF(Y124="[FÓRMULA MANUAL]","",IFERROR(AVERAGEIFS(DATOS!$K$2:$K$20000,DATOS!$A$2:$A$20000,Y124,DATOS!$G$2:$G$20000,CONFIG_METADATA!$B$4,DATOS!$I$2:$I$20000,"Orquesta/Banda/Conjunto"),"")))</f>
        <v/>
      </c>
      <c r="AB124" t="str">
        <f>IF(Y124="","",IF(Y124="[FÓRMULA MANUAL]","",IFERROR(AVERAGEIFS(DATOS!$K$2:$K$20000,DATOS!$A$2:$A$20000,Y124,DATOS!$G$2:$G$20000,CONFIG_METADATA!$B$4,DATOS!$I$2:$I$20000,"Música de Cámara"),"")))</f>
        <v/>
      </c>
      <c r="AC124" t="str">
        <f>IF(Y124="","",IF(Y124="[FÓRMULA MANUAL]","",IFERROR(SUMPRODUCT((DATOS!$A$2:$A$20000=Y124)*(DATOS!$G$2:$G$20000=CONFIG_METADATA!$B$4)*(COUNTIF(CONFIG_ASIGNATURAS!$B$7:$B$27,DATOS!$I$2:$I$20000)&gt;0)*(DATOS!$K$2:$K$20000))/SUMPRODUCT((DATOS!$A$2:$A$20000=Y124)*(DATOS!$G$2:$G$20000=CONFIG_METADATA!$B$4)*(COUNTIF(CONFIG_ASIGNATURAS!$B$7:$B$27,DATOS!$I$2:$I$20000)&gt;0)*1),"")))</f>
        <v/>
      </c>
      <c r="AF124" t="str">
        <f>IF(AE124="","",IF(AE124="[FÓRMULA MANUAL]","",IFERROR(AVERAGEIFS(DATOS!$K$2:$K$20000,DATOS!$A$2:$A$20000,AE124,DATOS!$G$2:$G$20000,CONFIG_METADATA!$B$4,DATOS!$I$2:$I$20000,"Análisis"),"")))</f>
        <v/>
      </c>
      <c r="AG124" t="str">
        <f>IF(AE124="","",IF(AE124="[FÓRMULA MANUAL]","",IFERROR(AVERAGEIFS(DATOS!$K$2:$K$20000,DATOS!$A$2:$A$20000,AE124,DATOS!$G$2:$G$20000,CONFIG_METADATA!$B$4,DATOS!$I$2:$I$20000,"Orquesta/Banda/Conjunto"),"")))</f>
        <v/>
      </c>
      <c r="AH124" t="str">
        <f>IF(AE124="","",IF(AE124="[FÓRMULA MANUAL]","",IFERROR(AVERAGEIFS(DATOS!$K$2:$K$20000,DATOS!$A$2:$A$20000,AE124,DATOS!$G$2:$G$20000,CONFIG_METADATA!$B$4,DATOS!$I$2:$I$20000,"Música de Cámara"),"")))</f>
        <v/>
      </c>
      <c r="AI124" t="str">
        <f>IF(AE124="","",IF(AE124="[FÓRMULA MANUAL]","",IFERROR(SUMPRODUCT((DATOS!$A$2:$A$20000=AE124)*(DATOS!$G$2:$G$20000=CONFIG_METADATA!$B$4)*(COUNTIF(CONFIG_ASIGNATURAS!$B$7:$B$27,DATOS!$I$2:$I$20000)&gt;0)*(DATOS!$K$2:$K$20000))/SUMPRODUCT((DATOS!$A$2:$A$20000=AE124)*(DATOS!$G$2:$G$20000=CONFIG_METADATA!$B$4)*(COUNTIF(CONFIG_ASIGNATURAS!$B$7:$B$27,DATOS!$I$2:$I$20000)&gt;0)*1),"")))</f>
        <v/>
      </c>
    </row>
    <row r="125" spans="2:35" x14ac:dyDescent="0.2">
      <c r="B125" t="str">
        <f>IF(A125="","",IF(A125="[FÓRMULA MANUAL]","",IFERROR(AVERAGEIFS(DATOS!$K$2:$K$20000,DATOS!$A$2:$A$20000,A125,DATOS!$G$2:$G$20000,CONFIG_METADATA!$B$4,DATOS!$I$2:$I$20000,"Lenguaje Musical"),"")))</f>
        <v/>
      </c>
      <c r="C125" t="str">
        <f>IF(A125="","",IF(A125="[FÓRMULA MANUAL]","",IFERROR(AVERAGEIFS(DATOS!$K$2:$K$20000,DATOS!$A$2:$A$20000,A125,DATOS!$G$2:$G$20000,CONFIG_METADATA!$B$4,DATOS!$I$2:$I$20000,"Orquesta/Banda/Conjunto"),"")))</f>
        <v/>
      </c>
      <c r="D125" t="str">
        <f>IF(A125="","",IF(A125="[FÓRMULA MANUAL]","",IFERROR(AVERAGEIFS(DATOS!$K$2:$K$20000,DATOS!$A$2:$A$20000,A125,DATOS!$G$2:$G$20000,CONFIG_METADATA!$B$4,DATOS!$I$2:$I$20000,"Conjunto"),"")))</f>
        <v/>
      </c>
      <c r="E125" t="str">
        <f>IF(A125="","",IF(A125="[FÓRMULA MANUAL]","",IFERROR(SUMPRODUCT((DATOS!$A$2:$A$20000=A125)*(DATOS!$G$2:$G$20000=CONFIG_METADATA!$B$4)*(COUNTIF(CONFIG_ASIGNATURAS!$B$7:$B$27,DATOS!$I$2:$I$20000)&gt;0)*(DATOS!$K$2:$K$20000))/SUMPRODUCT((DATOS!$A$2:$A$20000=A125)*(DATOS!$G$2:$G$20000=CONFIG_METADATA!$B$4)*(COUNTIF(CONFIG_ASIGNATURAS!$B$7:$B$27,DATOS!$I$2:$I$20000)&gt;0)*1),"")))</f>
        <v/>
      </c>
      <c r="H125" t="str">
        <f>IF(G125="","",IF(G125="[FÓRMULA MANUAL]","",IFERROR(AVERAGEIFS(DATOS!$K$2:$K$20000,DATOS!$A$2:$A$20000,G125,DATOS!$G$2:$G$20000,CONFIG_METADATA!$B$4,DATOS!$I$2:$I$20000,"Lenguaje Musical"),"")))</f>
        <v/>
      </c>
      <c r="I125" t="str">
        <f>IF(G125="","",IF(G125="[FÓRMULA MANUAL]","",IFERROR(AVERAGEIFS(DATOS!$K$2:$K$20000,DATOS!$A$2:$A$20000,G125,DATOS!$G$2:$G$20000,CONFIG_METADATA!$B$4,DATOS!$I$2:$I$20000,"Orquesta/Banda/Conjunto"),"")))</f>
        <v/>
      </c>
      <c r="J125" t="str">
        <f>IF(G125="","",IF(G125="[FÓRMULA MANUAL]","",IFERROR(AVERAGEIFS(DATOS!$K$2:$K$20000,DATOS!$A$2:$A$20000,G125,DATOS!$G$2:$G$20000,CONFIG_METADATA!$B$4,DATOS!$I$2:$I$20000,"Conjunto"),"")))</f>
        <v/>
      </c>
      <c r="K125" t="str">
        <f>IF(G125="","",IF(G125="[FÓRMULA MANUAL]","",IFERROR(SUMPRODUCT((DATOS!$A$2:$A$20000=G125)*(DATOS!$G$2:$G$20000=CONFIG_METADATA!$B$4)*(COUNTIF(CONFIG_ASIGNATURAS!$B$7:$B$27,DATOS!$I$2:$I$20000)&gt;0)*(DATOS!$K$2:$K$20000))/SUMPRODUCT((DATOS!$A$2:$A$20000=G125)*(DATOS!$G$2:$G$20000=CONFIG_METADATA!$B$4)*(COUNTIF(CONFIG_ASIGNATURAS!$B$7:$B$27,DATOS!$I$2:$I$20000)&gt;0)*1),"")))</f>
        <v/>
      </c>
      <c r="N125" t="str">
        <f>IF(M125="","",IF(M125="[FÓRMULA MANUAL]","",IFERROR(AVERAGEIFS(DATOS!$K$2:$K$20000,DATOS!$A$2:$A$20000,M125,DATOS!$G$2:$G$20000,CONFIG_METADATA!$B$4,DATOS!$I$2:$I$20000,"Armonía"),"")))</f>
        <v/>
      </c>
      <c r="O125" t="str">
        <f>IF(M125="","",IF(M125="[FÓRMULA MANUAL]","",IFERROR(AVERAGEIFS(DATOS!$K$2:$K$20000,DATOS!$A$2:$A$20000,M125,DATOS!$G$2:$G$20000,CONFIG_METADATA!$B$4,DATOS!$I$2:$I$20000,"Orquesta/Banda/Conjunto"),"")))</f>
        <v/>
      </c>
      <c r="P125" t="str">
        <f>IF(M125="","",IF(M125="[FÓRMULA MANUAL]","",IFERROR(AVERAGEIFS(DATOS!$K$2:$K$20000,DATOS!$A$2:$A$20000,M125,DATOS!$G$2:$G$20000,CONFIG_METADATA!$B$4,DATOS!$I$2:$I$20000,"Música de Cámara"),"")))</f>
        <v/>
      </c>
      <c r="Q125" t="str">
        <f>IF(M125="","",IF(M125="[FÓRMULA MANUAL]","",IFERROR(SUMPRODUCT((DATOS!$A$2:$A$20000=M125)*(DATOS!$G$2:$G$20000=CONFIG_METADATA!$B$4)*(COUNTIF(CONFIG_ASIGNATURAS!$B$7:$B$27,DATOS!$I$2:$I$20000)&gt;0)*(DATOS!$K$2:$K$20000))/SUMPRODUCT((DATOS!$A$2:$A$20000=M125)*(DATOS!$G$2:$G$20000=CONFIG_METADATA!$B$4)*(COUNTIF(CONFIG_ASIGNATURAS!$B$7:$B$27,DATOS!$I$2:$I$20000)&gt;0)*1),"")))</f>
        <v/>
      </c>
      <c r="T125" t="str">
        <f>IF(S125="","",IF(S125="[FÓRMULA MANUAL]","",IFERROR(AVERAGEIFS(DATOS!$K$2:$K$20000,DATOS!$A$2:$A$20000,S125,DATOS!$G$2:$G$20000,CONFIG_METADATA!$B$4,DATOS!$I$2:$I$20000,"Armonía"),"")))</f>
        <v/>
      </c>
      <c r="U125" t="str">
        <f>IF(S125="","",IF(S125="[FÓRMULA MANUAL]","",IFERROR(AVERAGEIFS(DATOS!$K$2:$K$20000,DATOS!$A$2:$A$20000,S125,DATOS!$G$2:$G$20000,CONFIG_METADATA!$B$4,DATOS!$I$2:$I$20000,"Orquesta/Banda/Conjunto"),"")))</f>
        <v/>
      </c>
      <c r="V125" t="str">
        <f>IF(S125="","",IF(S125="[FÓRMULA MANUAL]","",IFERROR(AVERAGEIFS(DATOS!$K$2:$K$20000,DATOS!$A$2:$A$20000,S125,DATOS!$G$2:$G$20000,CONFIG_METADATA!$B$4,DATOS!$I$2:$I$20000,"Música de Cámara"),"")))</f>
        <v/>
      </c>
      <c r="W125" t="str">
        <f>IF(S125="","",IF(S125="[FÓRMULA MANUAL]","",IFERROR(SUMPRODUCT((DATOS!$A$2:$A$20000=S125)*(DATOS!$G$2:$G$20000=CONFIG_METADATA!$B$4)*(COUNTIF(CONFIG_ASIGNATURAS!$B$7:$B$27,DATOS!$I$2:$I$20000)&gt;0)*(DATOS!$K$2:$K$20000))/SUMPRODUCT((DATOS!$A$2:$A$20000=S125)*(DATOS!$G$2:$G$20000=CONFIG_METADATA!$B$4)*(COUNTIF(CONFIG_ASIGNATURAS!$B$7:$B$27,DATOS!$I$2:$I$20000)&gt;0)*1),"")))</f>
        <v/>
      </c>
      <c r="Z125" t="str">
        <f>IF(Y125="","",IF(Y125="[FÓRMULA MANUAL]","",IFERROR(AVERAGEIFS(DATOS!$K$2:$K$20000,DATOS!$A$2:$A$20000,Y125,DATOS!$G$2:$G$20000,CONFIG_METADATA!$B$4,DATOS!$I$2:$I$20000,"Análisis"),"")))</f>
        <v/>
      </c>
      <c r="AA125" t="str">
        <f>IF(Y125="","",IF(Y125="[FÓRMULA MANUAL]","",IFERROR(AVERAGEIFS(DATOS!$K$2:$K$20000,DATOS!$A$2:$A$20000,Y125,DATOS!$G$2:$G$20000,CONFIG_METADATA!$B$4,DATOS!$I$2:$I$20000,"Orquesta/Banda/Conjunto"),"")))</f>
        <v/>
      </c>
      <c r="AB125" t="str">
        <f>IF(Y125="","",IF(Y125="[FÓRMULA MANUAL]","",IFERROR(AVERAGEIFS(DATOS!$K$2:$K$20000,DATOS!$A$2:$A$20000,Y125,DATOS!$G$2:$G$20000,CONFIG_METADATA!$B$4,DATOS!$I$2:$I$20000,"Música de Cámara"),"")))</f>
        <v/>
      </c>
      <c r="AC125" t="str">
        <f>IF(Y125="","",IF(Y125="[FÓRMULA MANUAL]","",IFERROR(SUMPRODUCT((DATOS!$A$2:$A$20000=Y125)*(DATOS!$G$2:$G$20000=CONFIG_METADATA!$B$4)*(COUNTIF(CONFIG_ASIGNATURAS!$B$7:$B$27,DATOS!$I$2:$I$20000)&gt;0)*(DATOS!$K$2:$K$20000))/SUMPRODUCT((DATOS!$A$2:$A$20000=Y125)*(DATOS!$G$2:$G$20000=CONFIG_METADATA!$B$4)*(COUNTIF(CONFIG_ASIGNATURAS!$B$7:$B$27,DATOS!$I$2:$I$20000)&gt;0)*1),"")))</f>
        <v/>
      </c>
      <c r="AF125" t="str">
        <f>IF(AE125="","",IF(AE125="[FÓRMULA MANUAL]","",IFERROR(AVERAGEIFS(DATOS!$K$2:$K$20000,DATOS!$A$2:$A$20000,AE125,DATOS!$G$2:$G$20000,CONFIG_METADATA!$B$4,DATOS!$I$2:$I$20000,"Análisis"),"")))</f>
        <v/>
      </c>
      <c r="AG125" t="str">
        <f>IF(AE125="","",IF(AE125="[FÓRMULA MANUAL]","",IFERROR(AVERAGEIFS(DATOS!$K$2:$K$20000,DATOS!$A$2:$A$20000,AE125,DATOS!$G$2:$G$20000,CONFIG_METADATA!$B$4,DATOS!$I$2:$I$20000,"Orquesta/Banda/Conjunto"),"")))</f>
        <v/>
      </c>
      <c r="AH125" t="str">
        <f>IF(AE125="","",IF(AE125="[FÓRMULA MANUAL]","",IFERROR(AVERAGEIFS(DATOS!$K$2:$K$20000,DATOS!$A$2:$A$20000,AE125,DATOS!$G$2:$G$20000,CONFIG_METADATA!$B$4,DATOS!$I$2:$I$20000,"Música de Cámara"),"")))</f>
        <v/>
      </c>
      <c r="AI125" t="str">
        <f>IF(AE125="","",IF(AE125="[FÓRMULA MANUAL]","",IFERROR(SUMPRODUCT((DATOS!$A$2:$A$20000=AE125)*(DATOS!$G$2:$G$20000=CONFIG_METADATA!$B$4)*(COUNTIF(CONFIG_ASIGNATURAS!$B$7:$B$27,DATOS!$I$2:$I$20000)&gt;0)*(DATOS!$K$2:$K$20000))/SUMPRODUCT((DATOS!$A$2:$A$20000=AE125)*(DATOS!$G$2:$G$20000=CONFIG_METADATA!$B$4)*(COUNTIF(CONFIG_ASIGNATURAS!$B$7:$B$27,DATOS!$I$2:$I$20000)&gt;0)*1),"")))</f>
        <v/>
      </c>
    </row>
    <row r="126" spans="2:35" x14ac:dyDescent="0.2">
      <c r="B126" t="str">
        <f>IF(A126="","",IF(A126="[FÓRMULA MANUAL]","",IFERROR(AVERAGEIFS(DATOS!$K$2:$K$20000,DATOS!$A$2:$A$20000,A126,DATOS!$G$2:$G$20000,CONFIG_METADATA!$B$4,DATOS!$I$2:$I$20000,"Lenguaje Musical"),"")))</f>
        <v/>
      </c>
      <c r="C126" t="str">
        <f>IF(A126="","",IF(A126="[FÓRMULA MANUAL]","",IFERROR(AVERAGEIFS(DATOS!$K$2:$K$20000,DATOS!$A$2:$A$20000,A126,DATOS!$G$2:$G$20000,CONFIG_METADATA!$B$4,DATOS!$I$2:$I$20000,"Orquesta/Banda/Conjunto"),"")))</f>
        <v/>
      </c>
      <c r="D126" t="str">
        <f>IF(A126="","",IF(A126="[FÓRMULA MANUAL]","",IFERROR(AVERAGEIFS(DATOS!$K$2:$K$20000,DATOS!$A$2:$A$20000,A126,DATOS!$G$2:$G$20000,CONFIG_METADATA!$B$4,DATOS!$I$2:$I$20000,"Conjunto"),"")))</f>
        <v/>
      </c>
      <c r="E126" t="str">
        <f>IF(A126="","",IF(A126="[FÓRMULA MANUAL]","",IFERROR(SUMPRODUCT((DATOS!$A$2:$A$20000=A126)*(DATOS!$G$2:$G$20000=CONFIG_METADATA!$B$4)*(COUNTIF(CONFIG_ASIGNATURAS!$B$7:$B$27,DATOS!$I$2:$I$20000)&gt;0)*(DATOS!$K$2:$K$20000))/SUMPRODUCT((DATOS!$A$2:$A$20000=A126)*(DATOS!$G$2:$G$20000=CONFIG_METADATA!$B$4)*(COUNTIF(CONFIG_ASIGNATURAS!$B$7:$B$27,DATOS!$I$2:$I$20000)&gt;0)*1),"")))</f>
        <v/>
      </c>
      <c r="H126" t="str">
        <f>IF(G126="","",IF(G126="[FÓRMULA MANUAL]","",IFERROR(AVERAGEIFS(DATOS!$K$2:$K$20000,DATOS!$A$2:$A$20000,G126,DATOS!$G$2:$G$20000,CONFIG_METADATA!$B$4,DATOS!$I$2:$I$20000,"Lenguaje Musical"),"")))</f>
        <v/>
      </c>
      <c r="I126" t="str">
        <f>IF(G126="","",IF(G126="[FÓRMULA MANUAL]","",IFERROR(AVERAGEIFS(DATOS!$K$2:$K$20000,DATOS!$A$2:$A$20000,G126,DATOS!$G$2:$G$20000,CONFIG_METADATA!$B$4,DATOS!$I$2:$I$20000,"Orquesta/Banda/Conjunto"),"")))</f>
        <v/>
      </c>
      <c r="J126" t="str">
        <f>IF(G126="","",IF(G126="[FÓRMULA MANUAL]","",IFERROR(AVERAGEIFS(DATOS!$K$2:$K$20000,DATOS!$A$2:$A$20000,G126,DATOS!$G$2:$G$20000,CONFIG_METADATA!$B$4,DATOS!$I$2:$I$20000,"Conjunto"),"")))</f>
        <v/>
      </c>
      <c r="K126" t="str">
        <f>IF(G126="","",IF(G126="[FÓRMULA MANUAL]","",IFERROR(SUMPRODUCT((DATOS!$A$2:$A$20000=G126)*(DATOS!$G$2:$G$20000=CONFIG_METADATA!$B$4)*(COUNTIF(CONFIG_ASIGNATURAS!$B$7:$B$27,DATOS!$I$2:$I$20000)&gt;0)*(DATOS!$K$2:$K$20000))/SUMPRODUCT((DATOS!$A$2:$A$20000=G126)*(DATOS!$G$2:$G$20000=CONFIG_METADATA!$B$4)*(COUNTIF(CONFIG_ASIGNATURAS!$B$7:$B$27,DATOS!$I$2:$I$20000)&gt;0)*1),"")))</f>
        <v/>
      </c>
      <c r="N126" t="str">
        <f>IF(M126="","",IF(M126="[FÓRMULA MANUAL]","",IFERROR(AVERAGEIFS(DATOS!$K$2:$K$20000,DATOS!$A$2:$A$20000,M126,DATOS!$G$2:$G$20000,CONFIG_METADATA!$B$4,DATOS!$I$2:$I$20000,"Armonía"),"")))</f>
        <v/>
      </c>
      <c r="O126" t="str">
        <f>IF(M126="","",IF(M126="[FÓRMULA MANUAL]","",IFERROR(AVERAGEIFS(DATOS!$K$2:$K$20000,DATOS!$A$2:$A$20000,M126,DATOS!$G$2:$G$20000,CONFIG_METADATA!$B$4,DATOS!$I$2:$I$20000,"Orquesta/Banda/Conjunto"),"")))</f>
        <v/>
      </c>
      <c r="P126" t="str">
        <f>IF(M126="","",IF(M126="[FÓRMULA MANUAL]","",IFERROR(AVERAGEIFS(DATOS!$K$2:$K$20000,DATOS!$A$2:$A$20000,M126,DATOS!$G$2:$G$20000,CONFIG_METADATA!$B$4,DATOS!$I$2:$I$20000,"Música de Cámara"),"")))</f>
        <v/>
      </c>
      <c r="Q126" t="str">
        <f>IF(M126="","",IF(M126="[FÓRMULA MANUAL]","",IFERROR(SUMPRODUCT((DATOS!$A$2:$A$20000=M126)*(DATOS!$G$2:$G$20000=CONFIG_METADATA!$B$4)*(COUNTIF(CONFIG_ASIGNATURAS!$B$7:$B$27,DATOS!$I$2:$I$20000)&gt;0)*(DATOS!$K$2:$K$20000))/SUMPRODUCT((DATOS!$A$2:$A$20000=M126)*(DATOS!$G$2:$G$20000=CONFIG_METADATA!$B$4)*(COUNTIF(CONFIG_ASIGNATURAS!$B$7:$B$27,DATOS!$I$2:$I$20000)&gt;0)*1),"")))</f>
        <v/>
      </c>
      <c r="T126" t="str">
        <f>IF(S126="","",IF(S126="[FÓRMULA MANUAL]","",IFERROR(AVERAGEIFS(DATOS!$K$2:$K$20000,DATOS!$A$2:$A$20000,S126,DATOS!$G$2:$G$20000,CONFIG_METADATA!$B$4,DATOS!$I$2:$I$20000,"Armonía"),"")))</f>
        <v/>
      </c>
      <c r="U126" t="str">
        <f>IF(S126="","",IF(S126="[FÓRMULA MANUAL]","",IFERROR(AVERAGEIFS(DATOS!$K$2:$K$20000,DATOS!$A$2:$A$20000,S126,DATOS!$G$2:$G$20000,CONFIG_METADATA!$B$4,DATOS!$I$2:$I$20000,"Orquesta/Banda/Conjunto"),"")))</f>
        <v/>
      </c>
      <c r="V126" t="str">
        <f>IF(S126="","",IF(S126="[FÓRMULA MANUAL]","",IFERROR(AVERAGEIFS(DATOS!$K$2:$K$20000,DATOS!$A$2:$A$20000,S126,DATOS!$G$2:$G$20000,CONFIG_METADATA!$B$4,DATOS!$I$2:$I$20000,"Música de Cámara"),"")))</f>
        <v/>
      </c>
      <c r="W126" t="str">
        <f>IF(S126="","",IF(S126="[FÓRMULA MANUAL]","",IFERROR(SUMPRODUCT((DATOS!$A$2:$A$20000=S126)*(DATOS!$G$2:$G$20000=CONFIG_METADATA!$B$4)*(COUNTIF(CONFIG_ASIGNATURAS!$B$7:$B$27,DATOS!$I$2:$I$20000)&gt;0)*(DATOS!$K$2:$K$20000))/SUMPRODUCT((DATOS!$A$2:$A$20000=S126)*(DATOS!$G$2:$G$20000=CONFIG_METADATA!$B$4)*(COUNTIF(CONFIG_ASIGNATURAS!$B$7:$B$27,DATOS!$I$2:$I$20000)&gt;0)*1),"")))</f>
        <v/>
      </c>
      <c r="Z126" t="str">
        <f>IF(Y126="","",IF(Y126="[FÓRMULA MANUAL]","",IFERROR(AVERAGEIFS(DATOS!$K$2:$K$20000,DATOS!$A$2:$A$20000,Y126,DATOS!$G$2:$G$20000,CONFIG_METADATA!$B$4,DATOS!$I$2:$I$20000,"Análisis"),"")))</f>
        <v/>
      </c>
      <c r="AA126" t="str">
        <f>IF(Y126="","",IF(Y126="[FÓRMULA MANUAL]","",IFERROR(AVERAGEIFS(DATOS!$K$2:$K$20000,DATOS!$A$2:$A$20000,Y126,DATOS!$G$2:$G$20000,CONFIG_METADATA!$B$4,DATOS!$I$2:$I$20000,"Orquesta/Banda/Conjunto"),"")))</f>
        <v/>
      </c>
      <c r="AB126" t="str">
        <f>IF(Y126="","",IF(Y126="[FÓRMULA MANUAL]","",IFERROR(AVERAGEIFS(DATOS!$K$2:$K$20000,DATOS!$A$2:$A$20000,Y126,DATOS!$G$2:$G$20000,CONFIG_METADATA!$B$4,DATOS!$I$2:$I$20000,"Música de Cámara"),"")))</f>
        <v/>
      </c>
      <c r="AC126" t="str">
        <f>IF(Y126="","",IF(Y126="[FÓRMULA MANUAL]","",IFERROR(SUMPRODUCT((DATOS!$A$2:$A$20000=Y126)*(DATOS!$G$2:$G$20000=CONFIG_METADATA!$B$4)*(COUNTIF(CONFIG_ASIGNATURAS!$B$7:$B$27,DATOS!$I$2:$I$20000)&gt;0)*(DATOS!$K$2:$K$20000))/SUMPRODUCT((DATOS!$A$2:$A$20000=Y126)*(DATOS!$G$2:$G$20000=CONFIG_METADATA!$B$4)*(COUNTIF(CONFIG_ASIGNATURAS!$B$7:$B$27,DATOS!$I$2:$I$20000)&gt;0)*1),"")))</f>
        <v/>
      </c>
      <c r="AF126" t="str">
        <f>IF(AE126="","",IF(AE126="[FÓRMULA MANUAL]","",IFERROR(AVERAGEIFS(DATOS!$K$2:$K$20000,DATOS!$A$2:$A$20000,AE126,DATOS!$G$2:$G$20000,CONFIG_METADATA!$B$4,DATOS!$I$2:$I$20000,"Análisis"),"")))</f>
        <v/>
      </c>
      <c r="AG126" t="str">
        <f>IF(AE126="","",IF(AE126="[FÓRMULA MANUAL]","",IFERROR(AVERAGEIFS(DATOS!$K$2:$K$20000,DATOS!$A$2:$A$20000,AE126,DATOS!$G$2:$G$20000,CONFIG_METADATA!$B$4,DATOS!$I$2:$I$20000,"Orquesta/Banda/Conjunto"),"")))</f>
        <v/>
      </c>
      <c r="AH126" t="str">
        <f>IF(AE126="","",IF(AE126="[FÓRMULA MANUAL]","",IFERROR(AVERAGEIFS(DATOS!$K$2:$K$20000,DATOS!$A$2:$A$20000,AE126,DATOS!$G$2:$G$20000,CONFIG_METADATA!$B$4,DATOS!$I$2:$I$20000,"Música de Cámara"),"")))</f>
        <v/>
      </c>
      <c r="AI126" t="str">
        <f>IF(AE126="","",IF(AE126="[FÓRMULA MANUAL]","",IFERROR(SUMPRODUCT((DATOS!$A$2:$A$20000=AE126)*(DATOS!$G$2:$G$20000=CONFIG_METADATA!$B$4)*(COUNTIF(CONFIG_ASIGNATURAS!$B$7:$B$27,DATOS!$I$2:$I$20000)&gt;0)*(DATOS!$K$2:$K$20000))/SUMPRODUCT((DATOS!$A$2:$A$20000=AE126)*(DATOS!$G$2:$G$20000=CONFIG_METADATA!$B$4)*(COUNTIF(CONFIG_ASIGNATURAS!$B$7:$B$27,DATOS!$I$2:$I$20000)&gt;0)*1),"")))</f>
        <v/>
      </c>
    </row>
    <row r="127" spans="2:35" x14ac:dyDescent="0.2">
      <c r="B127" t="str">
        <f>IF(A127="","",IF(A127="[FÓRMULA MANUAL]","",IFERROR(AVERAGEIFS(DATOS!$K$2:$K$20000,DATOS!$A$2:$A$20000,A127,DATOS!$G$2:$G$20000,CONFIG_METADATA!$B$4,DATOS!$I$2:$I$20000,"Lenguaje Musical"),"")))</f>
        <v/>
      </c>
      <c r="C127" t="str">
        <f>IF(A127="","",IF(A127="[FÓRMULA MANUAL]","",IFERROR(AVERAGEIFS(DATOS!$K$2:$K$20000,DATOS!$A$2:$A$20000,A127,DATOS!$G$2:$G$20000,CONFIG_METADATA!$B$4,DATOS!$I$2:$I$20000,"Orquesta/Banda/Conjunto"),"")))</f>
        <v/>
      </c>
      <c r="D127" t="str">
        <f>IF(A127="","",IF(A127="[FÓRMULA MANUAL]","",IFERROR(AVERAGEIFS(DATOS!$K$2:$K$20000,DATOS!$A$2:$A$20000,A127,DATOS!$G$2:$G$20000,CONFIG_METADATA!$B$4,DATOS!$I$2:$I$20000,"Conjunto"),"")))</f>
        <v/>
      </c>
      <c r="E127" t="str">
        <f>IF(A127="","",IF(A127="[FÓRMULA MANUAL]","",IFERROR(SUMPRODUCT((DATOS!$A$2:$A$20000=A127)*(DATOS!$G$2:$G$20000=CONFIG_METADATA!$B$4)*(COUNTIF(CONFIG_ASIGNATURAS!$B$7:$B$27,DATOS!$I$2:$I$20000)&gt;0)*(DATOS!$K$2:$K$20000))/SUMPRODUCT((DATOS!$A$2:$A$20000=A127)*(DATOS!$G$2:$G$20000=CONFIG_METADATA!$B$4)*(COUNTIF(CONFIG_ASIGNATURAS!$B$7:$B$27,DATOS!$I$2:$I$20000)&gt;0)*1),"")))</f>
        <v/>
      </c>
      <c r="H127" t="str">
        <f>IF(G127="","",IF(G127="[FÓRMULA MANUAL]","",IFERROR(AVERAGEIFS(DATOS!$K$2:$K$20000,DATOS!$A$2:$A$20000,G127,DATOS!$G$2:$G$20000,CONFIG_METADATA!$B$4,DATOS!$I$2:$I$20000,"Lenguaje Musical"),"")))</f>
        <v/>
      </c>
      <c r="I127" t="str">
        <f>IF(G127="","",IF(G127="[FÓRMULA MANUAL]","",IFERROR(AVERAGEIFS(DATOS!$K$2:$K$20000,DATOS!$A$2:$A$20000,G127,DATOS!$G$2:$G$20000,CONFIG_METADATA!$B$4,DATOS!$I$2:$I$20000,"Orquesta/Banda/Conjunto"),"")))</f>
        <v/>
      </c>
      <c r="J127" t="str">
        <f>IF(G127="","",IF(G127="[FÓRMULA MANUAL]","",IFERROR(AVERAGEIFS(DATOS!$K$2:$K$20000,DATOS!$A$2:$A$20000,G127,DATOS!$G$2:$G$20000,CONFIG_METADATA!$B$4,DATOS!$I$2:$I$20000,"Conjunto"),"")))</f>
        <v/>
      </c>
      <c r="K127" t="str">
        <f>IF(G127="","",IF(G127="[FÓRMULA MANUAL]","",IFERROR(SUMPRODUCT((DATOS!$A$2:$A$20000=G127)*(DATOS!$G$2:$G$20000=CONFIG_METADATA!$B$4)*(COUNTIF(CONFIG_ASIGNATURAS!$B$7:$B$27,DATOS!$I$2:$I$20000)&gt;0)*(DATOS!$K$2:$K$20000))/SUMPRODUCT((DATOS!$A$2:$A$20000=G127)*(DATOS!$G$2:$G$20000=CONFIG_METADATA!$B$4)*(COUNTIF(CONFIG_ASIGNATURAS!$B$7:$B$27,DATOS!$I$2:$I$20000)&gt;0)*1),"")))</f>
        <v/>
      </c>
      <c r="N127" t="str">
        <f>IF(M127="","",IF(M127="[FÓRMULA MANUAL]","",IFERROR(AVERAGEIFS(DATOS!$K$2:$K$20000,DATOS!$A$2:$A$20000,M127,DATOS!$G$2:$G$20000,CONFIG_METADATA!$B$4,DATOS!$I$2:$I$20000,"Armonía"),"")))</f>
        <v/>
      </c>
      <c r="O127" t="str">
        <f>IF(M127="","",IF(M127="[FÓRMULA MANUAL]","",IFERROR(AVERAGEIFS(DATOS!$K$2:$K$20000,DATOS!$A$2:$A$20000,M127,DATOS!$G$2:$G$20000,CONFIG_METADATA!$B$4,DATOS!$I$2:$I$20000,"Orquesta/Banda/Conjunto"),"")))</f>
        <v/>
      </c>
      <c r="P127" t="str">
        <f>IF(M127="","",IF(M127="[FÓRMULA MANUAL]","",IFERROR(AVERAGEIFS(DATOS!$K$2:$K$20000,DATOS!$A$2:$A$20000,M127,DATOS!$G$2:$G$20000,CONFIG_METADATA!$B$4,DATOS!$I$2:$I$20000,"Música de Cámara"),"")))</f>
        <v/>
      </c>
      <c r="Q127" t="str">
        <f>IF(M127="","",IF(M127="[FÓRMULA MANUAL]","",IFERROR(SUMPRODUCT((DATOS!$A$2:$A$20000=M127)*(DATOS!$G$2:$G$20000=CONFIG_METADATA!$B$4)*(COUNTIF(CONFIG_ASIGNATURAS!$B$7:$B$27,DATOS!$I$2:$I$20000)&gt;0)*(DATOS!$K$2:$K$20000))/SUMPRODUCT((DATOS!$A$2:$A$20000=M127)*(DATOS!$G$2:$G$20000=CONFIG_METADATA!$B$4)*(COUNTIF(CONFIG_ASIGNATURAS!$B$7:$B$27,DATOS!$I$2:$I$20000)&gt;0)*1),"")))</f>
        <v/>
      </c>
      <c r="T127" t="str">
        <f>IF(S127="","",IF(S127="[FÓRMULA MANUAL]","",IFERROR(AVERAGEIFS(DATOS!$K$2:$K$20000,DATOS!$A$2:$A$20000,S127,DATOS!$G$2:$G$20000,CONFIG_METADATA!$B$4,DATOS!$I$2:$I$20000,"Armonía"),"")))</f>
        <v/>
      </c>
      <c r="U127" t="str">
        <f>IF(S127="","",IF(S127="[FÓRMULA MANUAL]","",IFERROR(AVERAGEIFS(DATOS!$K$2:$K$20000,DATOS!$A$2:$A$20000,S127,DATOS!$G$2:$G$20000,CONFIG_METADATA!$B$4,DATOS!$I$2:$I$20000,"Orquesta/Banda/Conjunto"),"")))</f>
        <v/>
      </c>
      <c r="V127" t="str">
        <f>IF(S127="","",IF(S127="[FÓRMULA MANUAL]","",IFERROR(AVERAGEIFS(DATOS!$K$2:$K$20000,DATOS!$A$2:$A$20000,S127,DATOS!$G$2:$G$20000,CONFIG_METADATA!$B$4,DATOS!$I$2:$I$20000,"Música de Cámara"),"")))</f>
        <v/>
      </c>
      <c r="W127" t="str">
        <f>IF(S127="","",IF(S127="[FÓRMULA MANUAL]","",IFERROR(SUMPRODUCT((DATOS!$A$2:$A$20000=S127)*(DATOS!$G$2:$G$20000=CONFIG_METADATA!$B$4)*(COUNTIF(CONFIG_ASIGNATURAS!$B$7:$B$27,DATOS!$I$2:$I$20000)&gt;0)*(DATOS!$K$2:$K$20000))/SUMPRODUCT((DATOS!$A$2:$A$20000=S127)*(DATOS!$G$2:$G$20000=CONFIG_METADATA!$B$4)*(COUNTIF(CONFIG_ASIGNATURAS!$B$7:$B$27,DATOS!$I$2:$I$20000)&gt;0)*1),"")))</f>
        <v/>
      </c>
      <c r="Z127" t="str">
        <f>IF(Y127="","",IF(Y127="[FÓRMULA MANUAL]","",IFERROR(AVERAGEIFS(DATOS!$K$2:$K$20000,DATOS!$A$2:$A$20000,Y127,DATOS!$G$2:$G$20000,CONFIG_METADATA!$B$4,DATOS!$I$2:$I$20000,"Análisis"),"")))</f>
        <v/>
      </c>
      <c r="AA127" t="str">
        <f>IF(Y127="","",IF(Y127="[FÓRMULA MANUAL]","",IFERROR(AVERAGEIFS(DATOS!$K$2:$K$20000,DATOS!$A$2:$A$20000,Y127,DATOS!$G$2:$G$20000,CONFIG_METADATA!$B$4,DATOS!$I$2:$I$20000,"Orquesta/Banda/Conjunto"),"")))</f>
        <v/>
      </c>
      <c r="AB127" t="str">
        <f>IF(Y127="","",IF(Y127="[FÓRMULA MANUAL]","",IFERROR(AVERAGEIFS(DATOS!$K$2:$K$20000,DATOS!$A$2:$A$20000,Y127,DATOS!$G$2:$G$20000,CONFIG_METADATA!$B$4,DATOS!$I$2:$I$20000,"Música de Cámara"),"")))</f>
        <v/>
      </c>
      <c r="AC127" t="str">
        <f>IF(Y127="","",IF(Y127="[FÓRMULA MANUAL]","",IFERROR(SUMPRODUCT((DATOS!$A$2:$A$20000=Y127)*(DATOS!$G$2:$G$20000=CONFIG_METADATA!$B$4)*(COUNTIF(CONFIG_ASIGNATURAS!$B$7:$B$27,DATOS!$I$2:$I$20000)&gt;0)*(DATOS!$K$2:$K$20000))/SUMPRODUCT((DATOS!$A$2:$A$20000=Y127)*(DATOS!$G$2:$G$20000=CONFIG_METADATA!$B$4)*(COUNTIF(CONFIG_ASIGNATURAS!$B$7:$B$27,DATOS!$I$2:$I$20000)&gt;0)*1),"")))</f>
        <v/>
      </c>
      <c r="AF127" t="str">
        <f>IF(AE127="","",IF(AE127="[FÓRMULA MANUAL]","",IFERROR(AVERAGEIFS(DATOS!$K$2:$K$20000,DATOS!$A$2:$A$20000,AE127,DATOS!$G$2:$G$20000,CONFIG_METADATA!$B$4,DATOS!$I$2:$I$20000,"Análisis"),"")))</f>
        <v/>
      </c>
      <c r="AG127" t="str">
        <f>IF(AE127="","",IF(AE127="[FÓRMULA MANUAL]","",IFERROR(AVERAGEIFS(DATOS!$K$2:$K$20000,DATOS!$A$2:$A$20000,AE127,DATOS!$G$2:$G$20000,CONFIG_METADATA!$B$4,DATOS!$I$2:$I$20000,"Orquesta/Banda/Conjunto"),"")))</f>
        <v/>
      </c>
      <c r="AH127" t="str">
        <f>IF(AE127="","",IF(AE127="[FÓRMULA MANUAL]","",IFERROR(AVERAGEIFS(DATOS!$K$2:$K$20000,DATOS!$A$2:$A$20000,AE127,DATOS!$G$2:$G$20000,CONFIG_METADATA!$B$4,DATOS!$I$2:$I$20000,"Música de Cámara"),"")))</f>
        <v/>
      </c>
      <c r="AI127" t="str">
        <f>IF(AE127="","",IF(AE127="[FÓRMULA MANUAL]","",IFERROR(SUMPRODUCT((DATOS!$A$2:$A$20000=AE127)*(DATOS!$G$2:$G$20000=CONFIG_METADATA!$B$4)*(COUNTIF(CONFIG_ASIGNATURAS!$B$7:$B$27,DATOS!$I$2:$I$20000)&gt;0)*(DATOS!$K$2:$K$20000))/SUMPRODUCT((DATOS!$A$2:$A$20000=AE127)*(DATOS!$G$2:$G$20000=CONFIG_METADATA!$B$4)*(COUNTIF(CONFIG_ASIGNATURAS!$B$7:$B$27,DATOS!$I$2:$I$20000)&gt;0)*1),"")))</f>
        <v/>
      </c>
    </row>
    <row r="128" spans="2:35" x14ac:dyDescent="0.2">
      <c r="B128" t="str">
        <f>IF(A128="","",IF(A128="[FÓRMULA MANUAL]","",IFERROR(AVERAGEIFS(DATOS!$K$2:$K$20000,DATOS!$A$2:$A$20000,A128,DATOS!$G$2:$G$20000,CONFIG_METADATA!$B$4,DATOS!$I$2:$I$20000,"Lenguaje Musical"),"")))</f>
        <v/>
      </c>
      <c r="C128" t="str">
        <f>IF(A128="","",IF(A128="[FÓRMULA MANUAL]","",IFERROR(AVERAGEIFS(DATOS!$K$2:$K$20000,DATOS!$A$2:$A$20000,A128,DATOS!$G$2:$G$20000,CONFIG_METADATA!$B$4,DATOS!$I$2:$I$20000,"Orquesta/Banda/Conjunto"),"")))</f>
        <v/>
      </c>
      <c r="D128" t="str">
        <f>IF(A128="","",IF(A128="[FÓRMULA MANUAL]","",IFERROR(AVERAGEIFS(DATOS!$K$2:$K$20000,DATOS!$A$2:$A$20000,A128,DATOS!$G$2:$G$20000,CONFIG_METADATA!$B$4,DATOS!$I$2:$I$20000,"Conjunto"),"")))</f>
        <v/>
      </c>
      <c r="E128" t="str">
        <f>IF(A128="","",IF(A128="[FÓRMULA MANUAL]","",IFERROR(SUMPRODUCT((DATOS!$A$2:$A$20000=A128)*(DATOS!$G$2:$G$20000=CONFIG_METADATA!$B$4)*(COUNTIF(CONFIG_ASIGNATURAS!$B$7:$B$27,DATOS!$I$2:$I$20000)&gt;0)*(DATOS!$K$2:$K$20000))/SUMPRODUCT((DATOS!$A$2:$A$20000=A128)*(DATOS!$G$2:$G$20000=CONFIG_METADATA!$B$4)*(COUNTIF(CONFIG_ASIGNATURAS!$B$7:$B$27,DATOS!$I$2:$I$20000)&gt;0)*1),"")))</f>
        <v/>
      </c>
      <c r="H128" t="str">
        <f>IF(G128="","",IF(G128="[FÓRMULA MANUAL]","",IFERROR(AVERAGEIFS(DATOS!$K$2:$K$20000,DATOS!$A$2:$A$20000,G128,DATOS!$G$2:$G$20000,CONFIG_METADATA!$B$4,DATOS!$I$2:$I$20000,"Lenguaje Musical"),"")))</f>
        <v/>
      </c>
      <c r="I128" t="str">
        <f>IF(G128="","",IF(G128="[FÓRMULA MANUAL]","",IFERROR(AVERAGEIFS(DATOS!$K$2:$K$20000,DATOS!$A$2:$A$20000,G128,DATOS!$G$2:$G$20000,CONFIG_METADATA!$B$4,DATOS!$I$2:$I$20000,"Orquesta/Banda/Conjunto"),"")))</f>
        <v/>
      </c>
      <c r="J128" t="str">
        <f>IF(G128="","",IF(G128="[FÓRMULA MANUAL]","",IFERROR(AVERAGEIFS(DATOS!$K$2:$K$20000,DATOS!$A$2:$A$20000,G128,DATOS!$G$2:$G$20000,CONFIG_METADATA!$B$4,DATOS!$I$2:$I$20000,"Conjunto"),"")))</f>
        <v/>
      </c>
      <c r="K128" t="str">
        <f>IF(G128="","",IF(G128="[FÓRMULA MANUAL]","",IFERROR(SUMPRODUCT((DATOS!$A$2:$A$20000=G128)*(DATOS!$G$2:$G$20000=CONFIG_METADATA!$B$4)*(COUNTIF(CONFIG_ASIGNATURAS!$B$7:$B$27,DATOS!$I$2:$I$20000)&gt;0)*(DATOS!$K$2:$K$20000))/SUMPRODUCT((DATOS!$A$2:$A$20000=G128)*(DATOS!$G$2:$G$20000=CONFIG_METADATA!$B$4)*(COUNTIF(CONFIG_ASIGNATURAS!$B$7:$B$27,DATOS!$I$2:$I$20000)&gt;0)*1),"")))</f>
        <v/>
      </c>
      <c r="N128" t="str">
        <f>IF(M128="","",IF(M128="[FÓRMULA MANUAL]","",IFERROR(AVERAGEIFS(DATOS!$K$2:$K$20000,DATOS!$A$2:$A$20000,M128,DATOS!$G$2:$G$20000,CONFIG_METADATA!$B$4,DATOS!$I$2:$I$20000,"Armonía"),"")))</f>
        <v/>
      </c>
      <c r="O128" t="str">
        <f>IF(M128="","",IF(M128="[FÓRMULA MANUAL]","",IFERROR(AVERAGEIFS(DATOS!$K$2:$K$20000,DATOS!$A$2:$A$20000,M128,DATOS!$G$2:$G$20000,CONFIG_METADATA!$B$4,DATOS!$I$2:$I$20000,"Orquesta/Banda/Conjunto"),"")))</f>
        <v/>
      </c>
      <c r="P128" t="str">
        <f>IF(M128="","",IF(M128="[FÓRMULA MANUAL]","",IFERROR(AVERAGEIFS(DATOS!$K$2:$K$20000,DATOS!$A$2:$A$20000,M128,DATOS!$G$2:$G$20000,CONFIG_METADATA!$B$4,DATOS!$I$2:$I$20000,"Música de Cámara"),"")))</f>
        <v/>
      </c>
      <c r="Q128" t="str">
        <f>IF(M128="","",IF(M128="[FÓRMULA MANUAL]","",IFERROR(SUMPRODUCT((DATOS!$A$2:$A$20000=M128)*(DATOS!$G$2:$G$20000=CONFIG_METADATA!$B$4)*(COUNTIF(CONFIG_ASIGNATURAS!$B$7:$B$27,DATOS!$I$2:$I$20000)&gt;0)*(DATOS!$K$2:$K$20000))/SUMPRODUCT((DATOS!$A$2:$A$20000=M128)*(DATOS!$G$2:$G$20000=CONFIG_METADATA!$B$4)*(COUNTIF(CONFIG_ASIGNATURAS!$B$7:$B$27,DATOS!$I$2:$I$20000)&gt;0)*1),"")))</f>
        <v/>
      </c>
      <c r="T128" t="str">
        <f>IF(S128="","",IF(S128="[FÓRMULA MANUAL]","",IFERROR(AVERAGEIFS(DATOS!$K$2:$K$20000,DATOS!$A$2:$A$20000,S128,DATOS!$G$2:$G$20000,CONFIG_METADATA!$B$4,DATOS!$I$2:$I$20000,"Armonía"),"")))</f>
        <v/>
      </c>
      <c r="U128" t="str">
        <f>IF(S128="","",IF(S128="[FÓRMULA MANUAL]","",IFERROR(AVERAGEIFS(DATOS!$K$2:$K$20000,DATOS!$A$2:$A$20000,S128,DATOS!$G$2:$G$20000,CONFIG_METADATA!$B$4,DATOS!$I$2:$I$20000,"Orquesta/Banda/Conjunto"),"")))</f>
        <v/>
      </c>
      <c r="V128" t="str">
        <f>IF(S128="","",IF(S128="[FÓRMULA MANUAL]","",IFERROR(AVERAGEIFS(DATOS!$K$2:$K$20000,DATOS!$A$2:$A$20000,S128,DATOS!$G$2:$G$20000,CONFIG_METADATA!$B$4,DATOS!$I$2:$I$20000,"Música de Cámara"),"")))</f>
        <v/>
      </c>
      <c r="W128" t="str">
        <f>IF(S128="","",IF(S128="[FÓRMULA MANUAL]","",IFERROR(SUMPRODUCT((DATOS!$A$2:$A$20000=S128)*(DATOS!$G$2:$G$20000=CONFIG_METADATA!$B$4)*(COUNTIF(CONFIG_ASIGNATURAS!$B$7:$B$27,DATOS!$I$2:$I$20000)&gt;0)*(DATOS!$K$2:$K$20000))/SUMPRODUCT((DATOS!$A$2:$A$20000=S128)*(DATOS!$G$2:$G$20000=CONFIG_METADATA!$B$4)*(COUNTIF(CONFIG_ASIGNATURAS!$B$7:$B$27,DATOS!$I$2:$I$20000)&gt;0)*1),"")))</f>
        <v/>
      </c>
      <c r="Z128" t="str">
        <f>IF(Y128="","",IF(Y128="[FÓRMULA MANUAL]","",IFERROR(AVERAGEIFS(DATOS!$K$2:$K$20000,DATOS!$A$2:$A$20000,Y128,DATOS!$G$2:$G$20000,CONFIG_METADATA!$B$4,DATOS!$I$2:$I$20000,"Análisis"),"")))</f>
        <v/>
      </c>
      <c r="AA128" t="str">
        <f>IF(Y128="","",IF(Y128="[FÓRMULA MANUAL]","",IFERROR(AVERAGEIFS(DATOS!$K$2:$K$20000,DATOS!$A$2:$A$20000,Y128,DATOS!$G$2:$G$20000,CONFIG_METADATA!$B$4,DATOS!$I$2:$I$20000,"Orquesta/Banda/Conjunto"),"")))</f>
        <v/>
      </c>
      <c r="AB128" t="str">
        <f>IF(Y128="","",IF(Y128="[FÓRMULA MANUAL]","",IFERROR(AVERAGEIFS(DATOS!$K$2:$K$20000,DATOS!$A$2:$A$20000,Y128,DATOS!$G$2:$G$20000,CONFIG_METADATA!$B$4,DATOS!$I$2:$I$20000,"Música de Cámara"),"")))</f>
        <v/>
      </c>
      <c r="AC128" t="str">
        <f>IF(Y128="","",IF(Y128="[FÓRMULA MANUAL]","",IFERROR(SUMPRODUCT((DATOS!$A$2:$A$20000=Y128)*(DATOS!$G$2:$G$20000=CONFIG_METADATA!$B$4)*(COUNTIF(CONFIG_ASIGNATURAS!$B$7:$B$27,DATOS!$I$2:$I$20000)&gt;0)*(DATOS!$K$2:$K$20000))/SUMPRODUCT((DATOS!$A$2:$A$20000=Y128)*(DATOS!$G$2:$G$20000=CONFIG_METADATA!$B$4)*(COUNTIF(CONFIG_ASIGNATURAS!$B$7:$B$27,DATOS!$I$2:$I$20000)&gt;0)*1),"")))</f>
        <v/>
      </c>
      <c r="AF128" t="str">
        <f>IF(AE128="","",IF(AE128="[FÓRMULA MANUAL]","",IFERROR(AVERAGEIFS(DATOS!$K$2:$K$20000,DATOS!$A$2:$A$20000,AE128,DATOS!$G$2:$G$20000,CONFIG_METADATA!$B$4,DATOS!$I$2:$I$20000,"Análisis"),"")))</f>
        <v/>
      </c>
      <c r="AG128" t="str">
        <f>IF(AE128="","",IF(AE128="[FÓRMULA MANUAL]","",IFERROR(AVERAGEIFS(DATOS!$K$2:$K$20000,DATOS!$A$2:$A$20000,AE128,DATOS!$G$2:$G$20000,CONFIG_METADATA!$B$4,DATOS!$I$2:$I$20000,"Orquesta/Banda/Conjunto"),"")))</f>
        <v/>
      </c>
      <c r="AH128" t="str">
        <f>IF(AE128="","",IF(AE128="[FÓRMULA MANUAL]","",IFERROR(AVERAGEIFS(DATOS!$K$2:$K$20000,DATOS!$A$2:$A$20000,AE128,DATOS!$G$2:$G$20000,CONFIG_METADATA!$B$4,DATOS!$I$2:$I$20000,"Música de Cámara"),"")))</f>
        <v/>
      </c>
      <c r="AI128" t="str">
        <f>IF(AE128="","",IF(AE128="[FÓRMULA MANUAL]","",IFERROR(SUMPRODUCT((DATOS!$A$2:$A$20000=AE128)*(DATOS!$G$2:$G$20000=CONFIG_METADATA!$B$4)*(COUNTIF(CONFIG_ASIGNATURAS!$B$7:$B$27,DATOS!$I$2:$I$20000)&gt;0)*(DATOS!$K$2:$K$20000))/SUMPRODUCT((DATOS!$A$2:$A$20000=AE128)*(DATOS!$G$2:$G$20000=CONFIG_METADATA!$B$4)*(COUNTIF(CONFIG_ASIGNATURAS!$B$7:$B$27,DATOS!$I$2:$I$20000)&gt;0)*1),"")))</f>
        <v/>
      </c>
    </row>
    <row r="129" spans="2:35" x14ac:dyDescent="0.2">
      <c r="B129" t="str">
        <f>IF(A129="","",IF(A129="[FÓRMULA MANUAL]","",IFERROR(AVERAGEIFS(DATOS!$K$2:$K$20000,DATOS!$A$2:$A$20000,A129,DATOS!$G$2:$G$20000,CONFIG_METADATA!$B$4,DATOS!$I$2:$I$20000,"Lenguaje Musical"),"")))</f>
        <v/>
      </c>
      <c r="C129" t="str">
        <f>IF(A129="","",IF(A129="[FÓRMULA MANUAL]","",IFERROR(AVERAGEIFS(DATOS!$K$2:$K$20000,DATOS!$A$2:$A$20000,A129,DATOS!$G$2:$G$20000,CONFIG_METADATA!$B$4,DATOS!$I$2:$I$20000,"Orquesta/Banda/Conjunto"),"")))</f>
        <v/>
      </c>
      <c r="D129" t="str">
        <f>IF(A129="","",IF(A129="[FÓRMULA MANUAL]","",IFERROR(AVERAGEIFS(DATOS!$K$2:$K$20000,DATOS!$A$2:$A$20000,A129,DATOS!$G$2:$G$20000,CONFIG_METADATA!$B$4,DATOS!$I$2:$I$20000,"Conjunto"),"")))</f>
        <v/>
      </c>
      <c r="E129" t="str">
        <f>IF(A129="","",IF(A129="[FÓRMULA MANUAL]","",IFERROR(SUMPRODUCT((DATOS!$A$2:$A$20000=A129)*(DATOS!$G$2:$G$20000=CONFIG_METADATA!$B$4)*(COUNTIF(CONFIG_ASIGNATURAS!$B$7:$B$27,DATOS!$I$2:$I$20000)&gt;0)*(DATOS!$K$2:$K$20000))/SUMPRODUCT((DATOS!$A$2:$A$20000=A129)*(DATOS!$G$2:$G$20000=CONFIG_METADATA!$B$4)*(COUNTIF(CONFIG_ASIGNATURAS!$B$7:$B$27,DATOS!$I$2:$I$20000)&gt;0)*1),"")))</f>
        <v/>
      </c>
      <c r="H129" t="str">
        <f>IF(G129="","",IF(G129="[FÓRMULA MANUAL]","",IFERROR(AVERAGEIFS(DATOS!$K$2:$K$20000,DATOS!$A$2:$A$20000,G129,DATOS!$G$2:$G$20000,CONFIG_METADATA!$B$4,DATOS!$I$2:$I$20000,"Lenguaje Musical"),"")))</f>
        <v/>
      </c>
      <c r="I129" t="str">
        <f>IF(G129="","",IF(G129="[FÓRMULA MANUAL]","",IFERROR(AVERAGEIFS(DATOS!$K$2:$K$20000,DATOS!$A$2:$A$20000,G129,DATOS!$G$2:$G$20000,CONFIG_METADATA!$B$4,DATOS!$I$2:$I$20000,"Orquesta/Banda/Conjunto"),"")))</f>
        <v/>
      </c>
      <c r="J129" t="str">
        <f>IF(G129="","",IF(G129="[FÓRMULA MANUAL]","",IFERROR(AVERAGEIFS(DATOS!$K$2:$K$20000,DATOS!$A$2:$A$20000,G129,DATOS!$G$2:$G$20000,CONFIG_METADATA!$B$4,DATOS!$I$2:$I$20000,"Conjunto"),"")))</f>
        <v/>
      </c>
      <c r="K129" t="str">
        <f>IF(G129="","",IF(G129="[FÓRMULA MANUAL]","",IFERROR(SUMPRODUCT((DATOS!$A$2:$A$20000=G129)*(DATOS!$G$2:$G$20000=CONFIG_METADATA!$B$4)*(COUNTIF(CONFIG_ASIGNATURAS!$B$7:$B$27,DATOS!$I$2:$I$20000)&gt;0)*(DATOS!$K$2:$K$20000))/SUMPRODUCT((DATOS!$A$2:$A$20000=G129)*(DATOS!$G$2:$G$20000=CONFIG_METADATA!$B$4)*(COUNTIF(CONFIG_ASIGNATURAS!$B$7:$B$27,DATOS!$I$2:$I$20000)&gt;0)*1),"")))</f>
        <v/>
      </c>
      <c r="N129" t="str">
        <f>IF(M129="","",IF(M129="[FÓRMULA MANUAL]","",IFERROR(AVERAGEIFS(DATOS!$K$2:$K$20000,DATOS!$A$2:$A$20000,M129,DATOS!$G$2:$G$20000,CONFIG_METADATA!$B$4,DATOS!$I$2:$I$20000,"Armonía"),"")))</f>
        <v/>
      </c>
      <c r="O129" t="str">
        <f>IF(M129="","",IF(M129="[FÓRMULA MANUAL]","",IFERROR(AVERAGEIFS(DATOS!$K$2:$K$20000,DATOS!$A$2:$A$20000,M129,DATOS!$G$2:$G$20000,CONFIG_METADATA!$B$4,DATOS!$I$2:$I$20000,"Orquesta/Banda/Conjunto"),"")))</f>
        <v/>
      </c>
      <c r="P129" t="str">
        <f>IF(M129="","",IF(M129="[FÓRMULA MANUAL]","",IFERROR(AVERAGEIFS(DATOS!$K$2:$K$20000,DATOS!$A$2:$A$20000,M129,DATOS!$G$2:$G$20000,CONFIG_METADATA!$B$4,DATOS!$I$2:$I$20000,"Música de Cámara"),"")))</f>
        <v/>
      </c>
      <c r="Q129" t="str">
        <f>IF(M129="","",IF(M129="[FÓRMULA MANUAL]","",IFERROR(SUMPRODUCT((DATOS!$A$2:$A$20000=M129)*(DATOS!$G$2:$G$20000=CONFIG_METADATA!$B$4)*(COUNTIF(CONFIG_ASIGNATURAS!$B$7:$B$27,DATOS!$I$2:$I$20000)&gt;0)*(DATOS!$K$2:$K$20000))/SUMPRODUCT((DATOS!$A$2:$A$20000=M129)*(DATOS!$G$2:$G$20000=CONFIG_METADATA!$B$4)*(COUNTIF(CONFIG_ASIGNATURAS!$B$7:$B$27,DATOS!$I$2:$I$20000)&gt;0)*1),"")))</f>
        <v/>
      </c>
      <c r="T129" t="str">
        <f>IF(S129="","",IF(S129="[FÓRMULA MANUAL]","",IFERROR(AVERAGEIFS(DATOS!$K$2:$K$20000,DATOS!$A$2:$A$20000,S129,DATOS!$G$2:$G$20000,CONFIG_METADATA!$B$4,DATOS!$I$2:$I$20000,"Armonía"),"")))</f>
        <v/>
      </c>
      <c r="U129" t="str">
        <f>IF(S129="","",IF(S129="[FÓRMULA MANUAL]","",IFERROR(AVERAGEIFS(DATOS!$K$2:$K$20000,DATOS!$A$2:$A$20000,S129,DATOS!$G$2:$G$20000,CONFIG_METADATA!$B$4,DATOS!$I$2:$I$20000,"Orquesta/Banda/Conjunto"),"")))</f>
        <v/>
      </c>
      <c r="V129" t="str">
        <f>IF(S129="","",IF(S129="[FÓRMULA MANUAL]","",IFERROR(AVERAGEIFS(DATOS!$K$2:$K$20000,DATOS!$A$2:$A$20000,S129,DATOS!$G$2:$G$20000,CONFIG_METADATA!$B$4,DATOS!$I$2:$I$20000,"Música de Cámara"),"")))</f>
        <v/>
      </c>
      <c r="W129" t="str">
        <f>IF(S129="","",IF(S129="[FÓRMULA MANUAL]","",IFERROR(SUMPRODUCT((DATOS!$A$2:$A$20000=S129)*(DATOS!$G$2:$G$20000=CONFIG_METADATA!$B$4)*(COUNTIF(CONFIG_ASIGNATURAS!$B$7:$B$27,DATOS!$I$2:$I$20000)&gt;0)*(DATOS!$K$2:$K$20000))/SUMPRODUCT((DATOS!$A$2:$A$20000=S129)*(DATOS!$G$2:$G$20000=CONFIG_METADATA!$B$4)*(COUNTIF(CONFIG_ASIGNATURAS!$B$7:$B$27,DATOS!$I$2:$I$20000)&gt;0)*1),"")))</f>
        <v/>
      </c>
      <c r="Z129" t="str">
        <f>IF(Y129="","",IF(Y129="[FÓRMULA MANUAL]","",IFERROR(AVERAGEIFS(DATOS!$K$2:$K$20000,DATOS!$A$2:$A$20000,Y129,DATOS!$G$2:$G$20000,CONFIG_METADATA!$B$4,DATOS!$I$2:$I$20000,"Análisis"),"")))</f>
        <v/>
      </c>
      <c r="AA129" t="str">
        <f>IF(Y129="","",IF(Y129="[FÓRMULA MANUAL]","",IFERROR(AVERAGEIFS(DATOS!$K$2:$K$20000,DATOS!$A$2:$A$20000,Y129,DATOS!$G$2:$G$20000,CONFIG_METADATA!$B$4,DATOS!$I$2:$I$20000,"Orquesta/Banda/Conjunto"),"")))</f>
        <v/>
      </c>
      <c r="AB129" t="str">
        <f>IF(Y129="","",IF(Y129="[FÓRMULA MANUAL]","",IFERROR(AVERAGEIFS(DATOS!$K$2:$K$20000,DATOS!$A$2:$A$20000,Y129,DATOS!$G$2:$G$20000,CONFIG_METADATA!$B$4,DATOS!$I$2:$I$20000,"Música de Cámara"),"")))</f>
        <v/>
      </c>
      <c r="AC129" t="str">
        <f>IF(Y129="","",IF(Y129="[FÓRMULA MANUAL]","",IFERROR(SUMPRODUCT((DATOS!$A$2:$A$20000=Y129)*(DATOS!$G$2:$G$20000=CONFIG_METADATA!$B$4)*(COUNTIF(CONFIG_ASIGNATURAS!$B$7:$B$27,DATOS!$I$2:$I$20000)&gt;0)*(DATOS!$K$2:$K$20000))/SUMPRODUCT((DATOS!$A$2:$A$20000=Y129)*(DATOS!$G$2:$G$20000=CONFIG_METADATA!$B$4)*(COUNTIF(CONFIG_ASIGNATURAS!$B$7:$B$27,DATOS!$I$2:$I$20000)&gt;0)*1),"")))</f>
        <v/>
      </c>
      <c r="AF129" t="str">
        <f>IF(AE129="","",IF(AE129="[FÓRMULA MANUAL]","",IFERROR(AVERAGEIFS(DATOS!$K$2:$K$20000,DATOS!$A$2:$A$20000,AE129,DATOS!$G$2:$G$20000,CONFIG_METADATA!$B$4,DATOS!$I$2:$I$20000,"Análisis"),"")))</f>
        <v/>
      </c>
      <c r="AG129" t="str">
        <f>IF(AE129="","",IF(AE129="[FÓRMULA MANUAL]","",IFERROR(AVERAGEIFS(DATOS!$K$2:$K$20000,DATOS!$A$2:$A$20000,AE129,DATOS!$G$2:$G$20000,CONFIG_METADATA!$B$4,DATOS!$I$2:$I$20000,"Orquesta/Banda/Conjunto"),"")))</f>
        <v/>
      </c>
      <c r="AH129" t="str">
        <f>IF(AE129="","",IF(AE129="[FÓRMULA MANUAL]","",IFERROR(AVERAGEIFS(DATOS!$K$2:$K$20000,DATOS!$A$2:$A$20000,AE129,DATOS!$G$2:$G$20000,CONFIG_METADATA!$B$4,DATOS!$I$2:$I$20000,"Música de Cámara"),"")))</f>
        <v/>
      </c>
      <c r="AI129" t="str">
        <f>IF(AE129="","",IF(AE129="[FÓRMULA MANUAL]","",IFERROR(SUMPRODUCT((DATOS!$A$2:$A$20000=AE129)*(DATOS!$G$2:$G$20000=CONFIG_METADATA!$B$4)*(COUNTIF(CONFIG_ASIGNATURAS!$B$7:$B$27,DATOS!$I$2:$I$20000)&gt;0)*(DATOS!$K$2:$K$20000))/SUMPRODUCT((DATOS!$A$2:$A$20000=AE129)*(DATOS!$G$2:$G$20000=CONFIG_METADATA!$B$4)*(COUNTIF(CONFIG_ASIGNATURAS!$B$7:$B$27,DATOS!$I$2:$I$20000)&gt;0)*1),"")))</f>
        <v/>
      </c>
    </row>
    <row r="130" spans="2:35" x14ac:dyDescent="0.2">
      <c r="B130" t="str">
        <f>IF(A130="","",IF(A130="[FÓRMULA MANUAL]","",IFERROR(AVERAGEIFS(DATOS!$K$2:$K$20000,DATOS!$A$2:$A$20000,A130,DATOS!$G$2:$G$20000,CONFIG_METADATA!$B$4,DATOS!$I$2:$I$20000,"Lenguaje Musical"),"")))</f>
        <v/>
      </c>
      <c r="C130" t="str">
        <f>IF(A130="","",IF(A130="[FÓRMULA MANUAL]","",IFERROR(AVERAGEIFS(DATOS!$K$2:$K$20000,DATOS!$A$2:$A$20000,A130,DATOS!$G$2:$G$20000,CONFIG_METADATA!$B$4,DATOS!$I$2:$I$20000,"Orquesta/Banda/Conjunto"),"")))</f>
        <v/>
      </c>
      <c r="D130" t="str">
        <f>IF(A130="","",IF(A130="[FÓRMULA MANUAL]","",IFERROR(AVERAGEIFS(DATOS!$K$2:$K$20000,DATOS!$A$2:$A$20000,A130,DATOS!$G$2:$G$20000,CONFIG_METADATA!$B$4,DATOS!$I$2:$I$20000,"Conjunto"),"")))</f>
        <v/>
      </c>
      <c r="E130" t="str">
        <f>IF(A130="","",IF(A130="[FÓRMULA MANUAL]","",IFERROR(SUMPRODUCT((DATOS!$A$2:$A$20000=A130)*(DATOS!$G$2:$G$20000=CONFIG_METADATA!$B$4)*(COUNTIF(CONFIG_ASIGNATURAS!$B$7:$B$27,DATOS!$I$2:$I$20000)&gt;0)*(DATOS!$K$2:$K$20000))/SUMPRODUCT((DATOS!$A$2:$A$20000=A130)*(DATOS!$G$2:$G$20000=CONFIG_METADATA!$B$4)*(COUNTIF(CONFIG_ASIGNATURAS!$B$7:$B$27,DATOS!$I$2:$I$20000)&gt;0)*1),"")))</f>
        <v/>
      </c>
      <c r="H130" t="str">
        <f>IF(G130="","",IF(G130="[FÓRMULA MANUAL]","",IFERROR(AVERAGEIFS(DATOS!$K$2:$K$20000,DATOS!$A$2:$A$20000,G130,DATOS!$G$2:$G$20000,CONFIG_METADATA!$B$4,DATOS!$I$2:$I$20000,"Lenguaje Musical"),"")))</f>
        <v/>
      </c>
      <c r="I130" t="str">
        <f>IF(G130="","",IF(G130="[FÓRMULA MANUAL]","",IFERROR(AVERAGEIFS(DATOS!$K$2:$K$20000,DATOS!$A$2:$A$20000,G130,DATOS!$G$2:$G$20000,CONFIG_METADATA!$B$4,DATOS!$I$2:$I$20000,"Orquesta/Banda/Conjunto"),"")))</f>
        <v/>
      </c>
      <c r="J130" t="str">
        <f>IF(G130="","",IF(G130="[FÓRMULA MANUAL]","",IFERROR(AVERAGEIFS(DATOS!$K$2:$K$20000,DATOS!$A$2:$A$20000,G130,DATOS!$G$2:$G$20000,CONFIG_METADATA!$B$4,DATOS!$I$2:$I$20000,"Conjunto"),"")))</f>
        <v/>
      </c>
      <c r="K130" t="str">
        <f>IF(G130="","",IF(G130="[FÓRMULA MANUAL]","",IFERROR(SUMPRODUCT((DATOS!$A$2:$A$20000=G130)*(DATOS!$G$2:$G$20000=CONFIG_METADATA!$B$4)*(COUNTIF(CONFIG_ASIGNATURAS!$B$7:$B$27,DATOS!$I$2:$I$20000)&gt;0)*(DATOS!$K$2:$K$20000))/SUMPRODUCT((DATOS!$A$2:$A$20000=G130)*(DATOS!$G$2:$G$20000=CONFIG_METADATA!$B$4)*(COUNTIF(CONFIG_ASIGNATURAS!$B$7:$B$27,DATOS!$I$2:$I$20000)&gt;0)*1),"")))</f>
        <v/>
      </c>
      <c r="N130" t="str">
        <f>IF(M130="","",IF(M130="[FÓRMULA MANUAL]","",IFERROR(AVERAGEIFS(DATOS!$K$2:$K$20000,DATOS!$A$2:$A$20000,M130,DATOS!$G$2:$G$20000,CONFIG_METADATA!$B$4,DATOS!$I$2:$I$20000,"Armonía"),"")))</f>
        <v/>
      </c>
      <c r="O130" t="str">
        <f>IF(M130="","",IF(M130="[FÓRMULA MANUAL]","",IFERROR(AVERAGEIFS(DATOS!$K$2:$K$20000,DATOS!$A$2:$A$20000,M130,DATOS!$G$2:$G$20000,CONFIG_METADATA!$B$4,DATOS!$I$2:$I$20000,"Orquesta/Banda/Conjunto"),"")))</f>
        <v/>
      </c>
      <c r="P130" t="str">
        <f>IF(M130="","",IF(M130="[FÓRMULA MANUAL]","",IFERROR(AVERAGEIFS(DATOS!$K$2:$K$20000,DATOS!$A$2:$A$20000,M130,DATOS!$G$2:$G$20000,CONFIG_METADATA!$B$4,DATOS!$I$2:$I$20000,"Música de Cámara"),"")))</f>
        <v/>
      </c>
      <c r="Q130" t="str">
        <f>IF(M130="","",IF(M130="[FÓRMULA MANUAL]","",IFERROR(SUMPRODUCT((DATOS!$A$2:$A$20000=M130)*(DATOS!$G$2:$G$20000=CONFIG_METADATA!$B$4)*(COUNTIF(CONFIG_ASIGNATURAS!$B$7:$B$27,DATOS!$I$2:$I$20000)&gt;0)*(DATOS!$K$2:$K$20000))/SUMPRODUCT((DATOS!$A$2:$A$20000=M130)*(DATOS!$G$2:$G$20000=CONFIG_METADATA!$B$4)*(COUNTIF(CONFIG_ASIGNATURAS!$B$7:$B$27,DATOS!$I$2:$I$20000)&gt;0)*1),"")))</f>
        <v/>
      </c>
      <c r="T130" t="str">
        <f>IF(S130="","",IF(S130="[FÓRMULA MANUAL]","",IFERROR(AVERAGEIFS(DATOS!$K$2:$K$20000,DATOS!$A$2:$A$20000,S130,DATOS!$G$2:$G$20000,CONFIG_METADATA!$B$4,DATOS!$I$2:$I$20000,"Armonía"),"")))</f>
        <v/>
      </c>
      <c r="U130" t="str">
        <f>IF(S130="","",IF(S130="[FÓRMULA MANUAL]","",IFERROR(AVERAGEIFS(DATOS!$K$2:$K$20000,DATOS!$A$2:$A$20000,S130,DATOS!$G$2:$G$20000,CONFIG_METADATA!$B$4,DATOS!$I$2:$I$20000,"Orquesta/Banda/Conjunto"),"")))</f>
        <v/>
      </c>
      <c r="V130" t="str">
        <f>IF(S130="","",IF(S130="[FÓRMULA MANUAL]","",IFERROR(AVERAGEIFS(DATOS!$K$2:$K$20000,DATOS!$A$2:$A$20000,S130,DATOS!$G$2:$G$20000,CONFIG_METADATA!$B$4,DATOS!$I$2:$I$20000,"Música de Cámara"),"")))</f>
        <v/>
      </c>
      <c r="W130" t="str">
        <f>IF(S130="","",IF(S130="[FÓRMULA MANUAL]","",IFERROR(SUMPRODUCT((DATOS!$A$2:$A$20000=S130)*(DATOS!$G$2:$G$20000=CONFIG_METADATA!$B$4)*(COUNTIF(CONFIG_ASIGNATURAS!$B$7:$B$27,DATOS!$I$2:$I$20000)&gt;0)*(DATOS!$K$2:$K$20000))/SUMPRODUCT((DATOS!$A$2:$A$20000=S130)*(DATOS!$G$2:$G$20000=CONFIG_METADATA!$B$4)*(COUNTIF(CONFIG_ASIGNATURAS!$B$7:$B$27,DATOS!$I$2:$I$20000)&gt;0)*1),"")))</f>
        <v/>
      </c>
      <c r="Z130" t="str">
        <f>IF(Y130="","",IF(Y130="[FÓRMULA MANUAL]","",IFERROR(AVERAGEIFS(DATOS!$K$2:$K$20000,DATOS!$A$2:$A$20000,Y130,DATOS!$G$2:$G$20000,CONFIG_METADATA!$B$4,DATOS!$I$2:$I$20000,"Análisis"),"")))</f>
        <v/>
      </c>
      <c r="AA130" t="str">
        <f>IF(Y130="","",IF(Y130="[FÓRMULA MANUAL]","",IFERROR(AVERAGEIFS(DATOS!$K$2:$K$20000,DATOS!$A$2:$A$20000,Y130,DATOS!$G$2:$G$20000,CONFIG_METADATA!$B$4,DATOS!$I$2:$I$20000,"Orquesta/Banda/Conjunto"),"")))</f>
        <v/>
      </c>
      <c r="AB130" t="str">
        <f>IF(Y130="","",IF(Y130="[FÓRMULA MANUAL]","",IFERROR(AVERAGEIFS(DATOS!$K$2:$K$20000,DATOS!$A$2:$A$20000,Y130,DATOS!$G$2:$G$20000,CONFIG_METADATA!$B$4,DATOS!$I$2:$I$20000,"Música de Cámara"),"")))</f>
        <v/>
      </c>
      <c r="AC130" t="str">
        <f>IF(Y130="","",IF(Y130="[FÓRMULA MANUAL]","",IFERROR(SUMPRODUCT((DATOS!$A$2:$A$20000=Y130)*(DATOS!$G$2:$G$20000=CONFIG_METADATA!$B$4)*(COUNTIF(CONFIG_ASIGNATURAS!$B$7:$B$27,DATOS!$I$2:$I$20000)&gt;0)*(DATOS!$K$2:$K$20000))/SUMPRODUCT((DATOS!$A$2:$A$20000=Y130)*(DATOS!$G$2:$G$20000=CONFIG_METADATA!$B$4)*(COUNTIF(CONFIG_ASIGNATURAS!$B$7:$B$27,DATOS!$I$2:$I$20000)&gt;0)*1),"")))</f>
        <v/>
      </c>
      <c r="AF130" t="str">
        <f>IF(AE130="","",IF(AE130="[FÓRMULA MANUAL]","",IFERROR(AVERAGEIFS(DATOS!$K$2:$K$20000,DATOS!$A$2:$A$20000,AE130,DATOS!$G$2:$G$20000,CONFIG_METADATA!$B$4,DATOS!$I$2:$I$20000,"Análisis"),"")))</f>
        <v/>
      </c>
      <c r="AG130" t="str">
        <f>IF(AE130="","",IF(AE130="[FÓRMULA MANUAL]","",IFERROR(AVERAGEIFS(DATOS!$K$2:$K$20000,DATOS!$A$2:$A$20000,AE130,DATOS!$G$2:$G$20000,CONFIG_METADATA!$B$4,DATOS!$I$2:$I$20000,"Orquesta/Banda/Conjunto"),"")))</f>
        <v/>
      </c>
      <c r="AH130" t="str">
        <f>IF(AE130="","",IF(AE130="[FÓRMULA MANUAL]","",IFERROR(AVERAGEIFS(DATOS!$K$2:$K$20000,DATOS!$A$2:$A$20000,AE130,DATOS!$G$2:$G$20000,CONFIG_METADATA!$B$4,DATOS!$I$2:$I$20000,"Música de Cámara"),"")))</f>
        <v/>
      </c>
      <c r="AI130" t="str">
        <f>IF(AE130="","",IF(AE130="[FÓRMULA MANUAL]","",IFERROR(SUMPRODUCT((DATOS!$A$2:$A$20000=AE130)*(DATOS!$G$2:$G$20000=CONFIG_METADATA!$B$4)*(COUNTIF(CONFIG_ASIGNATURAS!$B$7:$B$27,DATOS!$I$2:$I$20000)&gt;0)*(DATOS!$K$2:$K$20000))/SUMPRODUCT((DATOS!$A$2:$A$20000=AE130)*(DATOS!$G$2:$G$20000=CONFIG_METADATA!$B$4)*(COUNTIF(CONFIG_ASIGNATURAS!$B$7:$B$27,DATOS!$I$2:$I$20000)&gt;0)*1),"")))</f>
        <v/>
      </c>
    </row>
    <row r="131" spans="2:35" x14ac:dyDescent="0.2">
      <c r="B131" t="str">
        <f>IF(A131="","",IF(A131="[FÓRMULA MANUAL]","",IFERROR(AVERAGEIFS(DATOS!$K$2:$K$20000,DATOS!$A$2:$A$20000,A131,DATOS!$G$2:$G$20000,CONFIG_METADATA!$B$4,DATOS!$I$2:$I$20000,"Lenguaje Musical"),"")))</f>
        <v/>
      </c>
      <c r="C131" t="str">
        <f>IF(A131="","",IF(A131="[FÓRMULA MANUAL]","",IFERROR(AVERAGEIFS(DATOS!$K$2:$K$20000,DATOS!$A$2:$A$20000,A131,DATOS!$G$2:$G$20000,CONFIG_METADATA!$B$4,DATOS!$I$2:$I$20000,"Orquesta/Banda/Conjunto"),"")))</f>
        <v/>
      </c>
      <c r="D131" t="str">
        <f>IF(A131="","",IF(A131="[FÓRMULA MANUAL]","",IFERROR(AVERAGEIFS(DATOS!$K$2:$K$20000,DATOS!$A$2:$A$20000,A131,DATOS!$G$2:$G$20000,CONFIG_METADATA!$B$4,DATOS!$I$2:$I$20000,"Conjunto"),"")))</f>
        <v/>
      </c>
      <c r="E131" t="str">
        <f>IF(A131="","",IF(A131="[FÓRMULA MANUAL]","",IFERROR(SUMPRODUCT((DATOS!$A$2:$A$20000=A131)*(DATOS!$G$2:$G$20000=CONFIG_METADATA!$B$4)*(COUNTIF(CONFIG_ASIGNATURAS!$B$7:$B$27,DATOS!$I$2:$I$20000)&gt;0)*(DATOS!$K$2:$K$20000))/SUMPRODUCT((DATOS!$A$2:$A$20000=A131)*(DATOS!$G$2:$G$20000=CONFIG_METADATA!$B$4)*(COUNTIF(CONFIG_ASIGNATURAS!$B$7:$B$27,DATOS!$I$2:$I$20000)&gt;0)*1),"")))</f>
        <v/>
      </c>
      <c r="H131" t="str">
        <f>IF(G131="","",IF(G131="[FÓRMULA MANUAL]","",IFERROR(AVERAGEIFS(DATOS!$K$2:$K$20000,DATOS!$A$2:$A$20000,G131,DATOS!$G$2:$G$20000,CONFIG_METADATA!$B$4,DATOS!$I$2:$I$20000,"Lenguaje Musical"),"")))</f>
        <v/>
      </c>
      <c r="I131" t="str">
        <f>IF(G131="","",IF(G131="[FÓRMULA MANUAL]","",IFERROR(AVERAGEIFS(DATOS!$K$2:$K$20000,DATOS!$A$2:$A$20000,G131,DATOS!$G$2:$G$20000,CONFIG_METADATA!$B$4,DATOS!$I$2:$I$20000,"Orquesta/Banda/Conjunto"),"")))</f>
        <v/>
      </c>
      <c r="J131" t="str">
        <f>IF(G131="","",IF(G131="[FÓRMULA MANUAL]","",IFERROR(AVERAGEIFS(DATOS!$K$2:$K$20000,DATOS!$A$2:$A$20000,G131,DATOS!$G$2:$G$20000,CONFIG_METADATA!$B$4,DATOS!$I$2:$I$20000,"Conjunto"),"")))</f>
        <v/>
      </c>
      <c r="K131" t="str">
        <f>IF(G131="","",IF(G131="[FÓRMULA MANUAL]","",IFERROR(SUMPRODUCT((DATOS!$A$2:$A$20000=G131)*(DATOS!$G$2:$G$20000=CONFIG_METADATA!$B$4)*(COUNTIF(CONFIG_ASIGNATURAS!$B$7:$B$27,DATOS!$I$2:$I$20000)&gt;0)*(DATOS!$K$2:$K$20000))/SUMPRODUCT((DATOS!$A$2:$A$20000=G131)*(DATOS!$G$2:$G$20000=CONFIG_METADATA!$B$4)*(COUNTIF(CONFIG_ASIGNATURAS!$B$7:$B$27,DATOS!$I$2:$I$20000)&gt;0)*1),"")))</f>
        <v/>
      </c>
      <c r="N131" t="str">
        <f>IF(M131="","",IF(M131="[FÓRMULA MANUAL]","",IFERROR(AVERAGEIFS(DATOS!$K$2:$K$20000,DATOS!$A$2:$A$20000,M131,DATOS!$G$2:$G$20000,CONFIG_METADATA!$B$4,DATOS!$I$2:$I$20000,"Armonía"),"")))</f>
        <v/>
      </c>
      <c r="O131" t="str">
        <f>IF(M131="","",IF(M131="[FÓRMULA MANUAL]","",IFERROR(AVERAGEIFS(DATOS!$K$2:$K$20000,DATOS!$A$2:$A$20000,M131,DATOS!$G$2:$G$20000,CONFIG_METADATA!$B$4,DATOS!$I$2:$I$20000,"Orquesta/Banda/Conjunto"),"")))</f>
        <v/>
      </c>
      <c r="P131" t="str">
        <f>IF(M131="","",IF(M131="[FÓRMULA MANUAL]","",IFERROR(AVERAGEIFS(DATOS!$K$2:$K$20000,DATOS!$A$2:$A$20000,M131,DATOS!$G$2:$G$20000,CONFIG_METADATA!$B$4,DATOS!$I$2:$I$20000,"Música de Cámara"),"")))</f>
        <v/>
      </c>
      <c r="Q131" t="str">
        <f>IF(M131="","",IF(M131="[FÓRMULA MANUAL]","",IFERROR(SUMPRODUCT((DATOS!$A$2:$A$20000=M131)*(DATOS!$G$2:$G$20000=CONFIG_METADATA!$B$4)*(COUNTIF(CONFIG_ASIGNATURAS!$B$7:$B$27,DATOS!$I$2:$I$20000)&gt;0)*(DATOS!$K$2:$K$20000))/SUMPRODUCT((DATOS!$A$2:$A$20000=M131)*(DATOS!$G$2:$G$20000=CONFIG_METADATA!$B$4)*(COUNTIF(CONFIG_ASIGNATURAS!$B$7:$B$27,DATOS!$I$2:$I$20000)&gt;0)*1),"")))</f>
        <v/>
      </c>
      <c r="T131" t="str">
        <f>IF(S131="","",IF(S131="[FÓRMULA MANUAL]","",IFERROR(AVERAGEIFS(DATOS!$K$2:$K$20000,DATOS!$A$2:$A$20000,S131,DATOS!$G$2:$G$20000,CONFIG_METADATA!$B$4,DATOS!$I$2:$I$20000,"Armonía"),"")))</f>
        <v/>
      </c>
      <c r="U131" t="str">
        <f>IF(S131="","",IF(S131="[FÓRMULA MANUAL]","",IFERROR(AVERAGEIFS(DATOS!$K$2:$K$20000,DATOS!$A$2:$A$20000,S131,DATOS!$G$2:$G$20000,CONFIG_METADATA!$B$4,DATOS!$I$2:$I$20000,"Orquesta/Banda/Conjunto"),"")))</f>
        <v/>
      </c>
      <c r="V131" t="str">
        <f>IF(S131="","",IF(S131="[FÓRMULA MANUAL]","",IFERROR(AVERAGEIFS(DATOS!$K$2:$K$20000,DATOS!$A$2:$A$20000,S131,DATOS!$G$2:$G$20000,CONFIG_METADATA!$B$4,DATOS!$I$2:$I$20000,"Música de Cámara"),"")))</f>
        <v/>
      </c>
      <c r="W131" t="str">
        <f>IF(S131="","",IF(S131="[FÓRMULA MANUAL]","",IFERROR(SUMPRODUCT((DATOS!$A$2:$A$20000=S131)*(DATOS!$G$2:$G$20000=CONFIG_METADATA!$B$4)*(COUNTIF(CONFIG_ASIGNATURAS!$B$7:$B$27,DATOS!$I$2:$I$20000)&gt;0)*(DATOS!$K$2:$K$20000))/SUMPRODUCT((DATOS!$A$2:$A$20000=S131)*(DATOS!$G$2:$G$20000=CONFIG_METADATA!$B$4)*(COUNTIF(CONFIG_ASIGNATURAS!$B$7:$B$27,DATOS!$I$2:$I$20000)&gt;0)*1),"")))</f>
        <v/>
      </c>
      <c r="Z131" t="str">
        <f>IF(Y131="","",IF(Y131="[FÓRMULA MANUAL]","",IFERROR(AVERAGEIFS(DATOS!$K$2:$K$20000,DATOS!$A$2:$A$20000,Y131,DATOS!$G$2:$G$20000,CONFIG_METADATA!$B$4,DATOS!$I$2:$I$20000,"Análisis"),"")))</f>
        <v/>
      </c>
      <c r="AA131" t="str">
        <f>IF(Y131="","",IF(Y131="[FÓRMULA MANUAL]","",IFERROR(AVERAGEIFS(DATOS!$K$2:$K$20000,DATOS!$A$2:$A$20000,Y131,DATOS!$G$2:$G$20000,CONFIG_METADATA!$B$4,DATOS!$I$2:$I$20000,"Orquesta/Banda/Conjunto"),"")))</f>
        <v/>
      </c>
      <c r="AB131" t="str">
        <f>IF(Y131="","",IF(Y131="[FÓRMULA MANUAL]","",IFERROR(AVERAGEIFS(DATOS!$K$2:$K$20000,DATOS!$A$2:$A$20000,Y131,DATOS!$G$2:$G$20000,CONFIG_METADATA!$B$4,DATOS!$I$2:$I$20000,"Música de Cámara"),"")))</f>
        <v/>
      </c>
      <c r="AC131" t="str">
        <f>IF(Y131="","",IF(Y131="[FÓRMULA MANUAL]","",IFERROR(SUMPRODUCT((DATOS!$A$2:$A$20000=Y131)*(DATOS!$G$2:$G$20000=CONFIG_METADATA!$B$4)*(COUNTIF(CONFIG_ASIGNATURAS!$B$7:$B$27,DATOS!$I$2:$I$20000)&gt;0)*(DATOS!$K$2:$K$20000))/SUMPRODUCT((DATOS!$A$2:$A$20000=Y131)*(DATOS!$G$2:$G$20000=CONFIG_METADATA!$B$4)*(COUNTIF(CONFIG_ASIGNATURAS!$B$7:$B$27,DATOS!$I$2:$I$20000)&gt;0)*1),"")))</f>
        <v/>
      </c>
      <c r="AF131" t="str">
        <f>IF(AE131="","",IF(AE131="[FÓRMULA MANUAL]","",IFERROR(AVERAGEIFS(DATOS!$K$2:$K$20000,DATOS!$A$2:$A$20000,AE131,DATOS!$G$2:$G$20000,CONFIG_METADATA!$B$4,DATOS!$I$2:$I$20000,"Análisis"),"")))</f>
        <v/>
      </c>
      <c r="AG131" t="str">
        <f>IF(AE131="","",IF(AE131="[FÓRMULA MANUAL]","",IFERROR(AVERAGEIFS(DATOS!$K$2:$K$20000,DATOS!$A$2:$A$20000,AE131,DATOS!$G$2:$G$20000,CONFIG_METADATA!$B$4,DATOS!$I$2:$I$20000,"Orquesta/Banda/Conjunto"),"")))</f>
        <v/>
      </c>
      <c r="AH131" t="str">
        <f>IF(AE131="","",IF(AE131="[FÓRMULA MANUAL]","",IFERROR(AVERAGEIFS(DATOS!$K$2:$K$20000,DATOS!$A$2:$A$20000,AE131,DATOS!$G$2:$G$20000,CONFIG_METADATA!$B$4,DATOS!$I$2:$I$20000,"Música de Cámara"),"")))</f>
        <v/>
      </c>
      <c r="AI131" t="str">
        <f>IF(AE131="","",IF(AE131="[FÓRMULA MANUAL]","",IFERROR(SUMPRODUCT((DATOS!$A$2:$A$20000=AE131)*(DATOS!$G$2:$G$20000=CONFIG_METADATA!$B$4)*(COUNTIF(CONFIG_ASIGNATURAS!$B$7:$B$27,DATOS!$I$2:$I$20000)&gt;0)*(DATOS!$K$2:$K$20000))/SUMPRODUCT((DATOS!$A$2:$A$20000=AE131)*(DATOS!$G$2:$G$20000=CONFIG_METADATA!$B$4)*(COUNTIF(CONFIG_ASIGNATURAS!$B$7:$B$27,DATOS!$I$2:$I$20000)&gt;0)*1),"")))</f>
        <v/>
      </c>
    </row>
    <row r="132" spans="2:35" x14ac:dyDescent="0.2">
      <c r="B132" t="str">
        <f>IF(A132="","",IF(A132="[FÓRMULA MANUAL]","",IFERROR(AVERAGEIFS(DATOS!$K$2:$K$20000,DATOS!$A$2:$A$20000,A132,DATOS!$G$2:$G$20000,CONFIG_METADATA!$B$4,DATOS!$I$2:$I$20000,"Lenguaje Musical"),"")))</f>
        <v/>
      </c>
      <c r="C132" t="str">
        <f>IF(A132="","",IF(A132="[FÓRMULA MANUAL]","",IFERROR(AVERAGEIFS(DATOS!$K$2:$K$20000,DATOS!$A$2:$A$20000,A132,DATOS!$G$2:$G$20000,CONFIG_METADATA!$B$4,DATOS!$I$2:$I$20000,"Orquesta/Banda/Conjunto"),"")))</f>
        <v/>
      </c>
      <c r="D132" t="str">
        <f>IF(A132="","",IF(A132="[FÓRMULA MANUAL]","",IFERROR(AVERAGEIFS(DATOS!$K$2:$K$20000,DATOS!$A$2:$A$20000,A132,DATOS!$G$2:$G$20000,CONFIG_METADATA!$B$4,DATOS!$I$2:$I$20000,"Conjunto"),"")))</f>
        <v/>
      </c>
      <c r="E132" t="str">
        <f>IF(A132="","",IF(A132="[FÓRMULA MANUAL]","",IFERROR(SUMPRODUCT((DATOS!$A$2:$A$20000=A132)*(DATOS!$G$2:$G$20000=CONFIG_METADATA!$B$4)*(COUNTIF(CONFIG_ASIGNATURAS!$B$7:$B$27,DATOS!$I$2:$I$20000)&gt;0)*(DATOS!$K$2:$K$20000))/SUMPRODUCT((DATOS!$A$2:$A$20000=A132)*(DATOS!$G$2:$G$20000=CONFIG_METADATA!$B$4)*(COUNTIF(CONFIG_ASIGNATURAS!$B$7:$B$27,DATOS!$I$2:$I$20000)&gt;0)*1),"")))</f>
        <v/>
      </c>
      <c r="H132" t="str">
        <f>IF(G132="","",IF(G132="[FÓRMULA MANUAL]","",IFERROR(AVERAGEIFS(DATOS!$K$2:$K$20000,DATOS!$A$2:$A$20000,G132,DATOS!$G$2:$G$20000,CONFIG_METADATA!$B$4,DATOS!$I$2:$I$20000,"Lenguaje Musical"),"")))</f>
        <v/>
      </c>
      <c r="I132" t="str">
        <f>IF(G132="","",IF(G132="[FÓRMULA MANUAL]","",IFERROR(AVERAGEIFS(DATOS!$K$2:$K$20000,DATOS!$A$2:$A$20000,G132,DATOS!$G$2:$G$20000,CONFIG_METADATA!$B$4,DATOS!$I$2:$I$20000,"Orquesta/Banda/Conjunto"),"")))</f>
        <v/>
      </c>
      <c r="J132" t="str">
        <f>IF(G132="","",IF(G132="[FÓRMULA MANUAL]","",IFERROR(AVERAGEIFS(DATOS!$K$2:$K$20000,DATOS!$A$2:$A$20000,G132,DATOS!$G$2:$G$20000,CONFIG_METADATA!$B$4,DATOS!$I$2:$I$20000,"Conjunto"),"")))</f>
        <v/>
      </c>
      <c r="K132" t="str">
        <f>IF(G132="","",IF(G132="[FÓRMULA MANUAL]","",IFERROR(SUMPRODUCT((DATOS!$A$2:$A$20000=G132)*(DATOS!$G$2:$G$20000=CONFIG_METADATA!$B$4)*(COUNTIF(CONFIG_ASIGNATURAS!$B$7:$B$27,DATOS!$I$2:$I$20000)&gt;0)*(DATOS!$K$2:$K$20000))/SUMPRODUCT((DATOS!$A$2:$A$20000=G132)*(DATOS!$G$2:$G$20000=CONFIG_METADATA!$B$4)*(COUNTIF(CONFIG_ASIGNATURAS!$B$7:$B$27,DATOS!$I$2:$I$20000)&gt;0)*1),"")))</f>
        <v/>
      </c>
      <c r="N132" t="str">
        <f>IF(M132="","",IF(M132="[FÓRMULA MANUAL]","",IFERROR(AVERAGEIFS(DATOS!$K$2:$K$20000,DATOS!$A$2:$A$20000,M132,DATOS!$G$2:$G$20000,CONFIG_METADATA!$B$4,DATOS!$I$2:$I$20000,"Armonía"),"")))</f>
        <v/>
      </c>
      <c r="O132" t="str">
        <f>IF(M132="","",IF(M132="[FÓRMULA MANUAL]","",IFERROR(AVERAGEIFS(DATOS!$K$2:$K$20000,DATOS!$A$2:$A$20000,M132,DATOS!$G$2:$G$20000,CONFIG_METADATA!$B$4,DATOS!$I$2:$I$20000,"Orquesta/Banda/Conjunto"),"")))</f>
        <v/>
      </c>
      <c r="P132" t="str">
        <f>IF(M132="","",IF(M132="[FÓRMULA MANUAL]","",IFERROR(AVERAGEIFS(DATOS!$K$2:$K$20000,DATOS!$A$2:$A$20000,M132,DATOS!$G$2:$G$20000,CONFIG_METADATA!$B$4,DATOS!$I$2:$I$20000,"Música de Cámara"),"")))</f>
        <v/>
      </c>
      <c r="Q132" t="str">
        <f>IF(M132="","",IF(M132="[FÓRMULA MANUAL]","",IFERROR(SUMPRODUCT((DATOS!$A$2:$A$20000=M132)*(DATOS!$G$2:$G$20000=CONFIG_METADATA!$B$4)*(COUNTIF(CONFIG_ASIGNATURAS!$B$7:$B$27,DATOS!$I$2:$I$20000)&gt;0)*(DATOS!$K$2:$K$20000))/SUMPRODUCT((DATOS!$A$2:$A$20000=M132)*(DATOS!$G$2:$G$20000=CONFIG_METADATA!$B$4)*(COUNTIF(CONFIG_ASIGNATURAS!$B$7:$B$27,DATOS!$I$2:$I$20000)&gt;0)*1),"")))</f>
        <v/>
      </c>
      <c r="T132" t="str">
        <f>IF(S132="","",IF(S132="[FÓRMULA MANUAL]","",IFERROR(AVERAGEIFS(DATOS!$K$2:$K$20000,DATOS!$A$2:$A$20000,S132,DATOS!$G$2:$G$20000,CONFIG_METADATA!$B$4,DATOS!$I$2:$I$20000,"Armonía"),"")))</f>
        <v/>
      </c>
      <c r="U132" t="str">
        <f>IF(S132="","",IF(S132="[FÓRMULA MANUAL]","",IFERROR(AVERAGEIFS(DATOS!$K$2:$K$20000,DATOS!$A$2:$A$20000,S132,DATOS!$G$2:$G$20000,CONFIG_METADATA!$B$4,DATOS!$I$2:$I$20000,"Orquesta/Banda/Conjunto"),"")))</f>
        <v/>
      </c>
      <c r="V132" t="str">
        <f>IF(S132="","",IF(S132="[FÓRMULA MANUAL]","",IFERROR(AVERAGEIFS(DATOS!$K$2:$K$20000,DATOS!$A$2:$A$20000,S132,DATOS!$G$2:$G$20000,CONFIG_METADATA!$B$4,DATOS!$I$2:$I$20000,"Música de Cámara"),"")))</f>
        <v/>
      </c>
      <c r="W132" t="str">
        <f>IF(S132="","",IF(S132="[FÓRMULA MANUAL]","",IFERROR(SUMPRODUCT((DATOS!$A$2:$A$20000=S132)*(DATOS!$G$2:$G$20000=CONFIG_METADATA!$B$4)*(COUNTIF(CONFIG_ASIGNATURAS!$B$7:$B$27,DATOS!$I$2:$I$20000)&gt;0)*(DATOS!$K$2:$K$20000))/SUMPRODUCT((DATOS!$A$2:$A$20000=S132)*(DATOS!$G$2:$G$20000=CONFIG_METADATA!$B$4)*(COUNTIF(CONFIG_ASIGNATURAS!$B$7:$B$27,DATOS!$I$2:$I$20000)&gt;0)*1),"")))</f>
        <v/>
      </c>
      <c r="Z132" t="str">
        <f>IF(Y132="","",IF(Y132="[FÓRMULA MANUAL]","",IFERROR(AVERAGEIFS(DATOS!$K$2:$K$20000,DATOS!$A$2:$A$20000,Y132,DATOS!$G$2:$G$20000,CONFIG_METADATA!$B$4,DATOS!$I$2:$I$20000,"Análisis"),"")))</f>
        <v/>
      </c>
      <c r="AA132" t="str">
        <f>IF(Y132="","",IF(Y132="[FÓRMULA MANUAL]","",IFERROR(AVERAGEIFS(DATOS!$K$2:$K$20000,DATOS!$A$2:$A$20000,Y132,DATOS!$G$2:$G$20000,CONFIG_METADATA!$B$4,DATOS!$I$2:$I$20000,"Orquesta/Banda/Conjunto"),"")))</f>
        <v/>
      </c>
      <c r="AB132" t="str">
        <f>IF(Y132="","",IF(Y132="[FÓRMULA MANUAL]","",IFERROR(AVERAGEIFS(DATOS!$K$2:$K$20000,DATOS!$A$2:$A$20000,Y132,DATOS!$G$2:$G$20000,CONFIG_METADATA!$B$4,DATOS!$I$2:$I$20000,"Música de Cámara"),"")))</f>
        <v/>
      </c>
      <c r="AC132" t="str">
        <f>IF(Y132="","",IF(Y132="[FÓRMULA MANUAL]","",IFERROR(SUMPRODUCT((DATOS!$A$2:$A$20000=Y132)*(DATOS!$G$2:$G$20000=CONFIG_METADATA!$B$4)*(COUNTIF(CONFIG_ASIGNATURAS!$B$7:$B$27,DATOS!$I$2:$I$20000)&gt;0)*(DATOS!$K$2:$K$20000))/SUMPRODUCT((DATOS!$A$2:$A$20000=Y132)*(DATOS!$G$2:$G$20000=CONFIG_METADATA!$B$4)*(COUNTIF(CONFIG_ASIGNATURAS!$B$7:$B$27,DATOS!$I$2:$I$20000)&gt;0)*1),"")))</f>
        <v/>
      </c>
      <c r="AF132" t="str">
        <f>IF(AE132="","",IF(AE132="[FÓRMULA MANUAL]","",IFERROR(AVERAGEIFS(DATOS!$K$2:$K$20000,DATOS!$A$2:$A$20000,AE132,DATOS!$G$2:$G$20000,CONFIG_METADATA!$B$4,DATOS!$I$2:$I$20000,"Análisis"),"")))</f>
        <v/>
      </c>
      <c r="AG132" t="str">
        <f>IF(AE132="","",IF(AE132="[FÓRMULA MANUAL]","",IFERROR(AVERAGEIFS(DATOS!$K$2:$K$20000,DATOS!$A$2:$A$20000,AE132,DATOS!$G$2:$G$20000,CONFIG_METADATA!$B$4,DATOS!$I$2:$I$20000,"Orquesta/Banda/Conjunto"),"")))</f>
        <v/>
      </c>
      <c r="AH132" t="str">
        <f>IF(AE132="","",IF(AE132="[FÓRMULA MANUAL]","",IFERROR(AVERAGEIFS(DATOS!$K$2:$K$20000,DATOS!$A$2:$A$20000,AE132,DATOS!$G$2:$G$20000,CONFIG_METADATA!$B$4,DATOS!$I$2:$I$20000,"Música de Cámara"),"")))</f>
        <v/>
      </c>
      <c r="AI132" t="str">
        <f>IF(AE132="","",IF(AE132="[FÓRMULA MANUAL]","",IFERROR(SUMPRODUCT((DATOS!$A$2:$A$20000=AE132)*(DATOS!$G$2:$G$20000=CONFIG_METADATA!$B$4)*(COUNTIF(CONFIG_ASIGNATURAS!$B$7:$B$27,DATOS!$I$2:$I$20000)&gt;0)*(DATOS!$K$2:$K$20000))/SUMPRODUCT((DATOS!$A$2:$A$20000=AE132)*(DATOS!$G$2:$G$20000=CONFIG_METADATA!$B$4)*(COUNTIF(CONFIG_ASIGNATURAS!$B$7:$B$27,DATOS!$I$2:$I$20000)&gt;0)*1),"")))</f>
        <v/>
      </c>
    </row>
    <row r="133" spans="2:35" x14ac:dyDescent="0.2">
      <c r="B133" t="str">
        <f>IF(A133="","",IF(A133="[FÓRMULA MANUAL]","",IFERROR(AVERAGEIFS(DATOS!$K$2:$K$20000,DATOS!$A$2:$A$20000,A133,DATOS!$G$2:$G$20000,CONFIG_METADATA!$B$4,DATOS!$I$2:$I$20000,"Lenguaje Musical"),"")))</f>
        <v/>
      </c>
      <c r="C133" t="str">
        <f>IF(A133="","",IF(A133="[FÓRMULA MANUAL]","",IFERROR(AVERAGEIFS(DATOS!$K$2:$K$20000,DATOS!$A$2:$A$20000,A133,DATOS!$G$2:$G$20000,CONFIG_METADATA!$B$4,DATOS!$I$2:$I$20000,"Orquesta/Banda/Conjunto"),"")))</f>
        <v/>
      </c>
      <c r="D133" t="str">
        <f>IF(A133="","",IF(A133="[FÓRMULA MANUAL]","",IFERROR(AVERAGEIFS(DATOS!$K$2:$K$20000,DATOS!$A$2:$A$20000,A133,DATOS!$G$2:$G$20000,CONFIG_METADATA!$B$4,DATOS!$I$2:$I$20000,"Conjunto"),"")))</f>
        <v/>
      </c>
      <c r="E133" t="str">
        <f>IF(A133="","",IF(A133="[FÓRMULA MANUAL]","",IFERROR(SUMPRODUCT((DATOS!$A$2:$A$20000=A133)*(DATOS!$G$2:$G$20000=CONFIG_METADATA!$B$4)*(COUNTIF(CONFIG_ASIGNATURAS!$B$7:$B$27,DATOS!$I$2:$I$20000)&gt;0)*(DATOS!$K$2:$K$20000))/SUMPRODUCT((DATOS!$A$2:$A$20000=A133)*(DATOS!$G$2:$G$20000=CONFIG_METADATA!$B$4)*(COUNTIF(CONFIG_ASIGNATURAS!$B$7:$B$27,DATOS!$I$2:$I$20000)&gt;0)*1),"")))</f>
        <v/>
      </c>
      <c r="H133" t="str">
        <f>IF(G133="","",IF(G133="[FÓRMULA MANUAL]","",IFERROR(AVERAGEIFS(DATOS!$K$2:$K$20000,DATOS!$A$2:$A$20000,G133,DATOS!$G$2:$G$20000,CONFIG_METADATA!$B$4,DATOS!$I$2:$I$20000,"Lenguaje Musical"),"")))</f>
        <v/>
      </c>
      <c r="I133" t="str">
        <f>IF(G133="","",IF(G133="[FÓRMULA MANUAL]","",IFERROR(AVERAGEIFS(DATOS!$K$2:$K$20000,DATOS!$A$2:$A$20000,G133,DATOS!$G$2:$G$20000,CONFIG_METADATA!$B$4,DATOS!$I$2:$I$20000,"Orquesta/Banda/Conjunto"),"")))</f>
        <v/>
      </c>
      <c r="J133" t="str">
        <f>IF(G133="","",IF(G133="[FÓRMULA MANUAL]","",IFERROR(AVERAGEIFS(DATOS!$K$2:$K$20000,DATOS!$A$2:$A$20000,G133,DATOS!$G$2:$G$20000,CONFIG_METADATA!$B$4,DATOS!$I$2:$I$20000,"Conjunto"),"")))</f>
        <v/>
      </c>
      <c r="K133" t="str">
        <f>IF(G133="","",IF(G133="[FÓRMULA MANUAL]","",IFERROR(SUMPRODUCT((DATOS!$A$2:$A$20000=G133)*(DATOS!$G$2:$G$20000=CONFIG_METADATA!$B$4)*(COUNTIF(CONFIG_ASIGNATURAS!$B$7:$B$27,DATOS!$I$2:$I$20000)&gt;0)*(DATOS!$K$2:$K$20000))/SUMPRODUCT((DATOS!$A$2:$A$20000=G133)*(DATOS!$G$2:$G$20000=CONFIG_METADATA!$B$4)*(COUNTIF(CONFIG_ASIGNATURAS!$B$7:$B$27,DATOS!$I$2:$I$20000)&gt;0)*1),"")))</f>
        <v/>
      </c>
      <c r="N133" t="str">
        <f>IF(M133="","",IF(M133="[FÓRMULA MANUAL]","",IFERROR(AVERAGEIFS(DATOS!$K$2:$K$20000,DATOS!$A$2:$A$20000,M133,DATOS!$G$2:$G$20000,CONFIG_METADATA!$B$4,DATOS!$I$2:$I$20000,"Armonía"),"")))</f>
        <v/>
      </c>
      <c r="O133" t="str">
        <f>IF(M133="","",IF(M133="[FÓRMULA MANUAL]","",IFERROR(AVERAGEIFS(DATOS!$K$2:$K$20000,DATOS!$A$2:$A$20000,M133,DATOS!$G$2:$G$20000,CONFIG_METADATA!$B$4,DATOS!$I$2:$I$20000,"Orquesta/Banda/Conjunto"),"")))</f>
        <v/>
      </c>
      <c r="P133" t="str">
        <f>IF(M133="","",IF(M133="[FÓRMULA MANUAL]","",IFERROR(AVERAGEIFS(DATOS!$K$2:$K$20000,DATOS!$A$2:$A$20000,M133,DATOS!$G$2:$G$20000,CONFIG_METADATA!$B$4,DATOS!$I$2:$I$20000,"Música de Cámara"),"")))</f>
        <v/>
      </c>
      <c r="Q133" t="str">
        <f>IF(M133="","",IF(M133="[FÓRMULA MANUAL]","",IFERROR(SUMPRODUCT((DATOS!$A$2:$A$20000=M133)*(DATOS!$G$2:$G$20000=CONFIG_METADATA!$B$4)*(COUNTIF(CONFIG_ASIGNATURAS!$B$7:$B$27,DATOS!$I$2:$I$20000)&gt;0)*(DATOS!$K$2:$K$20000))/SUMPRODUCT((DATOS!$A$2:$A$20000=M133)*(DATOS!$G$2:$G$20000=CONFIG_METADATA!$B$4)*(COUNTIF(CONFIG_ASIGNATURAS!$B$7:$B$27,DATOS!$I$2:$I$20000)&gt;0)*1),"")))</f>
        <v/>
      </c>
      <c r="T133" t="str">
        <f>IF(S133="","",IF(S133="[FÓRMULA MANUAL]","",IFERROR(AVERAGEIFS(DATOS!$K$2:$K$20000,DATOS!$A$2:$A$20000,S133,DATOS!$G$2:$G$20000,CONFIG_METADATA!$B$4,DATOS!$I$2:$I$20000,"Armonía"),"")))</f>
        <v/>
      </c>
      <c r="U133" t="str">
        <f>IF(S133="","",IF(S133="[FÓRMULA MANUAL]","",IFERROR(AVERAGEIFS(DATOS!$K$2:$K$20000,DATOS!$A$2:$A$20000,S133,DATOS!$G$2:$G$20000,CONFIG_METADATA!$B$4,DATOS!$I$2:$I$20000,"Orquesta/Banda/Conjunto"),"")))</f>
        <v/>
      </c>
      <c r="V133" t="str">
        <f>IF(S133="","",IF(S133="[FÓRMULA MANUAL]","",IFERROR(AVERAGEIFS(DATOS!$K$2:$K$20000,DATOS!$A$2:$A$20000,S133,DATOS!$G$2:$G$20000,CONFIG_METADATA!$B$4,DATOS!$I$2:$I$20000,"Música de Cámara"),"")))</f>
        <v/>
      </c>
      <c r="W133" t="str">
        <f>IF(S133="","",IF(S133="[FÓRMULA MANUAL]","",IFERROR(SUMPRODUCT((DATOS!$A$2:$A$20000=S133)*(DATOS!$G$2:$G$20000=CONFIG_METADATA!$B$4)*(COUNTIF(CONFIG_ASIGNATURAS!$B$7:$B$27,DATOS!$I$2:$I$20000)&gt;0)*(DATOS!$K$2:$K$20000))/SUMPRODUCT((DATOS!$A$2:$A$20000=S133)*(DATOS!$G$2:$G$20000=CONFIG_METADATA!$B$4)*(COUNTIF(CONFIG_ASIGNATURAS!$B$7:$B$27,DATOS!$I$2:$I$20000)&gt;0)*1),"")))</f>
        <v/>
      </c>
      <c r="Z133" t="str">
        <f>IF(Y133="","",IF(Y133="[FÓRMULA MANUAL]","",IFERROR(AVERAGEIFS(DATOS!$K$2:$K$20000,DATOS!$A$2:$A$20000,Y133,DATOS!$G$2:$G$20000,CONFIG_METADATA!$B$4,DATOS!$I$2:$I$20000,"Análisis"),"")))</f>
        <v/>
      </c>
      <c r="AA133" t="str">
        <f>IF(Y133="","",IF(Y133="[FÓRMULA MANUAL]","",IFERROR(AVERAGEIFS(DATOS!$K$2:$K$20000,DATOS!$A$2:$A$20000,Y133,DATOS!$G$2:$G$20000,CONFIG_METADATA!$B$4,DATOS!$I$2:$I$20000,"Orquesta/Banda/Conjunto"),"")))</f>
        <v/>
      </c>
      <c r="AB133" t="str">
        <f>IF(Y133="","",IF(Y133="[FÓRMULA MANUAL]","",IFERROR(AVERAGEIFS(DATOS!$K$2:$K$20000,DATOS!$A$2:$A$20000,Y133,DATOS!$G$2:$G$20000,CONFIG_METADATA!$B$4,DATOS!$I$2:$I$20000,"Música de Cámara"),"")))</f>
        <v/>
      </c>
      <c r="AC133" t="str">
        <f>IF(Y133="","",IF(Y133="[FÓRMULA MANUAL]","",IFERROR(SUMPRODUCT((DATOS!$A$2:$A$20000=Y133)*(DATOS!$G$2:$G$20000=CONFIG_METADATA!$B$4)*(COUNTIF(CONFIG_ASIGNATURAS!$B$7:$B$27,DATOS!$I$2:$I$20000)&gt;0)*(DATOS!$K$2:$K$20000))/SUMPRODUCT((DATOS!$A$2:$A$20000=Y133)*(DATOS!$G$2:$G$20000=CONFIG_METADATA!$B$4)*(COUNTIF(CONFIG_ASIGNATURAS!$B$7:$B$27,DATOS!$I$2:$I$20000)&gt;0)*1),"")))</f>
        <v/>
      </c>
      <c r="AF133" t="str">
        <f>IF(AE133="","",IF(AE133="[FÓRMULA MANUAL]","",IFERROR(AVERAGEIFS(DATOS!$K$2:$K$20000,DATOS!$A$2:$A$20000,AE133,DATOS!$G$2:$G$20000,CONFIG_METADATA!$B$4,DATOS!$I$2:$I$20000,"Análisis"),"")))</f>
        <v/>
      </c>
      <c r="AG133" t="str">
        <f>IF(AE133="","",IF(AE133="[FÓRMULA MANUAL]","",IFERROR(AVERAGEIFS(DATOS!$K$2:$K$20000,DATOS!$A$2:$A$20000,AE133,DATOS!$G$2:$G$20000,CONFIG_METADATA!$B$4,DATOS!$I$2:$I$20000,"Orquesta/Banda/Conjunto"),"")))</f>
        <v/>
      </c>
      <c r="AH133" t="str">
        <f>IF(AE133="","",IF(AE133="[FÓRMULA MANUAL]","",IFERROR(AVERAGEIFS(DATOS!$K$2:$K$20000,DATOS!$A$2:$A$20000,AE133,DATOS!$G$2:$G$20000,CONFIG_METADATA!$B$4,DATOS!$I$2:$I$20000,"Música de Cámara"),"")))</f>
        <v/>
      </c>
      <c r="AI133" t="str">
        <f>IF(AE133="","",IF(AE133="[FÓRMULA MANUAL]","",IFERROR(SUMPRODUCT((DATOS!$A$2:$A$20000=AE133)*(DATOS!$G$2:$G$20000=CONFIG_METADATA!$B$4)*(COUNTIF(CONFIG_ASIGNATURAS!$B$7:$B$27,DATOS!$I$2:$I$20000)&gt;0)*(DATOS!$K$2:$K$20000))/SUMPRODUCT((DATOS!$A$2:$A$20000=AE133)*(DATOS!$G$2:$G$20000=CONFIG_METADATA!$B$4)*(COUNTIF(CONFIG_ASIGNATURAS!$B$7:$B$27,DATOS!$I$2:$I$20000)&gt;0)*1),"")))</f>
        <v/>
      </c>
    </row>
    <row r="134" spans="2:35" x14ac:dyDescent="0.2">
      <c r="B134" t="str">
        <f>IF(A134="","",IF(A134="[FÓRMULA MANUAL]","",IFERROR(AVERAGEIFS(DATOS!$K$2:$K$20000,DATOS!$A$2:$A$20000,A134,DATOS!$G$2:$G$20000,CONFIG_METADATA!$B$4,DATOS!$I$2:$I$20000,"Lenguaje Musical"),"")))</f>
        <v/>
      </c>
      <c r="C134" t="str">
        <f>IF(A134="","",IF(A134="[FÓRMULA MANUAL]","",IFERROR(AVERAGEIFS(DATOS!$K$2:$K$20000,DATOS!$A$2:$A$20000,A134,DATOS!$G$2:$G$20000,CONFIG_METADATA!$B$4,DATOS!$I$2:$I$20000,"Orquesta/Banda/Conjunto"),"")))</f>
        <v/>
      </c>
      <c r="D134" t="str">
        <f>IF(A134="","",IF(A134="[FÓRMULA MANUAL]","",IFERROR(AVERAGEIFS(DATOS!$K$2:$K$20000,DATOS!$A$2:$A$20000,A134,DATOS!$G$2:$G$20000,CONFIG_METADATA!$B$4,DATOS!$I$2:$I$20000,"Conjunto"),"")))</f>
        <v/>
      </c>
      <c r="E134" t="str">
        <f>IF(A134="","",IF(A134="[FÓRMULA MANUAL]","",IFERROR(SUMPRODUCT((DATOS!$A$2:$A$20000=A134)*(DATOS!$G$2:$G$20000=CONFIG_METADATA!$B$4)*(COUNTIF(CONFIG_ASIGNATURAS!$B$7:$B$27,DATOS!$I$2:$I$20000)&gt;0)*(DATOS!$K$2:$K$20000))/SUMPRODUCT((DATOS!$A$2:$A$20000=A134)*(DATOS!$G$2:$G$20000=CONFIG_METADATA!$B$4)*(COUNTIF(CONFIG_ASIGNATURAS!$B$7:$B$27,DATOS!$I$2:$I$20000)&gt;0)*1),"")))</f>
        <v/>
      </c>
      <c r="H134" t="str">
        <f>IF(G134="","",IF(G134="[FÓRMULA MANUAL]","",IFERROR(AVERAGEIFS(DATOS!$K$2:$K$20000,DATOS!$A$2:$A$20000,G134,DATOS!$G$2:$G$20000,CONFIG_METADATA!$B$4,DATOS!$I$2:$I$20000,"Lenguaje Musical"),"")))</f>
        <v/>
      </c>
      <c r="I134" t="str">
        <f>IF(G134="","",IF(G134="[FÓRMULA MANUAL]","",IFERROR(AVERAGEIFS(DATOS!$K$2:$K$20000,DATOS!$A$2:$A$20000,G134,DATOS!$G$2:$G$20000,CONFIG_METADATA!$B$4,DATOS!$I$2:$I$20000,"Orquesta/Banda/Conjunto"),"")))</f>
        <v/>
      </c>
      <c r="J134" t="str">
        <f>IF(G134="","",IF(G134="[FÓRMULA MANUAL]","",IFERROR(AVERAGEIFS(DATOS!$K$2:$K$20000,DATOS!$A$2:$A$20000,G134,DATOS!$G$2:$G$20000,CONFIG_METADATA!$B$4,DATOS!$I$2:$I$20000,"Conjunto"),"")))</f>
        <v/>
      </c>
      <c r="K134" t="str">
        <f>IF(G134="","",IF(G134="[FÓRMULA MANUAL]","",IFERROR(SUMPRODUCT((DATOS!$A$2:$A$20000=G134)*(DATOS!$G$2:$G$20000=CONFIG_METADATA!$B$4)*(COUNTIF(CONFIG_ASIGNATURAS!$B$7:$B$27,DATOS!$I$2:$I$20000)&gt;0)*(DATOS!$K$2:$K$20000))/SUMPRODUCT((DATOS!$A$2:$A$20000=G134)*(DATOS!$G$2:$G$20000=CONFIG_METADATA!$B$4)*(COUNTIF(CONFIG_ASIGNATURAS!$B$7:$B$27,DATOS!$I$2:$I$20000)&gt;0)*1),"")))</f>
        <v/>
      </c>
      <c r="N134" t="str">
        <f>IF(M134="","",IF(M134="[FÓRMULA MANUAL]","",IFERROR(AVERAGEIFS(DATOS!$K$2:$K$20000,DATOS!$A$2:$A$20000,M134,DATOS!$G$2:$G$20000,CONFIG_METADATA!$B$4,DATOS!$I$2:$I$20000,"Armonía"),"")))</f>
        <v/>
      </c>
      <c r="O134" t="str">
        <f>IF(M134="","",IF(M134="[FÓRMULA MANUAL]","",IFERROR(AVERAGEIFS(DATOS!$K$2:$K$20000,DATOS!$A$2:$A$20000,M134,DATOS!$G$2:$G$20000,CONFIG_METADATA!$B$4,DATOS!$I$2:$I$20000,"Orquesta/Banda/Conjunto"),"")))</f>
        <v/>
      </c>
      <c r="P134" t="str">
        <f>IF(M134="","",IF(M134="[FÓRMULA MANUAL]","",IFERROR(AVERAGEIFS(DATOS!$K$2:$K$20000,DATOS!$A$2:$A$20000,M134,DATOS!$G$2:$G$20000,CONFIG_METADATA!$B$4,DATOS!$I$2:$I$20000,"Música de Cámara"),"")))</f>
        <v/>
      </c>
      <c r="Q134" t="str">
        <f>IF(M134="","",IF(M134="[FÓRMULA MANUAL]","",IFERROR(SUMPRODUCT((DATOS!$A$2:$A$20000=M134)*(DATOS!$G$2:$G$20000=CONFIG_METADATA!$B$4)*(COUNTIF(CONFIG_ASIGNATURAS!$B$7:$B$27,DATOS!$I$2:$I$20000)&gt;0)*(DATOS!$K$2:$K$20000))/SUMPRODUCT((DATOS!$A$2:$A$20000=M134)*(DATOS!$G$2:$G$20000=CONFIG_METADATA!$B$4)*(COUNTIF(CONFIG_ASIGNATURAS!$B$7:$B$27,DATOS!$I$2:$I$20000)&gt;0)*1),"")))</f>
        <v/>
      </c>
      <c r="T134" t="str">
        <f>IF(S134="","",IF(S134="[FÓRMULA MANUAL]","",IFERROR(AVERAGEIFS(DATOS!$K$2:$K$20000,DATOS!$A$2:$A$20000,S134,DATOS!$G$2:$G$20000,CONFIG_METADATA!$B$4,DATOS!$I$2:$I$20000,"Armonía"),"")))</f>
        <v/>
      </c>
      <c r="U134" t="str">
        <f>IF(S134="","",IF(S134="[FÓRMULA MANUAL]","",IFERROR(AVERAGEIFS(DATOS!$K$2:$K$20000,DATOS!$A$2:$A$20000,S134,DATOS!$G$2:$G$20000,CONFIG_METADATA!$B$4,DATOS!$I$2:$I$20000,"Orquesta/Banda/Conjunto"),"")))</f>
        <v/>
      </c>
      <c r="V134" t="str">
        <f>IF(S134="","",IF(S134="[FÓRMULA MANUAL]","",IFERROR(AVERAGEIFS(DATOS!$K$2:$K$20000,DATOS!$A$2:$A$20000,S134,DATOS!$G$2:$G$20000,CONFIG_METADATA!$B$4,DATOS!$I$2:$I$20000,"Música de Cámara"),"")))</f>
        <v/>
      </c>
      <c r="W134" t="str">
        <f>IF(S134="","",IF(S134="[FÓRMULA MANUAL]","",IFERROR(SUMPRODUCT((DATOS!$A$2:$A$20000=S134)*(DATOS!$G$2:$G$20000=CONFIG_METADATA!$B$4)*(COUNTIF(CONFIG_ASIGNATURAS!$B$7:$B$27,DATOS!$I$2:$I$20000)&gt;0)*(DATOS!$K$2:$K$20000))/SUMPRODUCT((DATOS!$A$2:$A$20000=S134)*(DATOS!$G$2:$G$20000=CONFIG_METADATA!$B$4)*(COUNTIF(CONFIG_ASIGNATURAS!$B$7:$B$27,DATOS!$I$2:$I$20000)&gt;0)*1),"")))</f>
        <v/>
      </c>
      <c r="Z134" t="str">
        <f>IF(Y134="","",IF(Y134="[FÓRMULA MANUAL]","",IFERROR(AVERAGEIFS(DATOS!$K$2:$K$20000,DATOS!$A$2:$A$20000,Y134,DATOS!$G$2:$G$20000,CONFIG_METADATA!$B$4,DATOS!$I$2:$I$20000,"Análisis"),"")))</f>
        <v/>
      </c>
      <c r="AA134" t="str">
        <f>IF(Y134="","",IF(Y134="[FÓRMULA MANUAL]","",IFERROR(AVERAGEIFS(DATOS!$K$2:$K$20000,DATOS!$A$2:$A$20000,Y134,DATOS!$G$2:$G$20000,CONFIG_METADATA!$B$4,DATOS!$I$2:$I$20000,"Orquesta/Banda/Conjunto"),"")))</f>
        <v/>
      </c>
      <c r="AB134" t="str">
        <f>IF(Y134="","",IF(Y134="[FÓRMULA MANUAL]","",IFERROR(AVERAGEIFS(DATOS!$K$2:$K$20000,DATOS!$A$2:$A$20000,Y134,DATOS!$G$2:$G$20000,CONFIG_METADATA!$B$4,DATOS!$I$2:$I$20000,"Música de Cámara"),"")))</f>
        <v/>
      </c>
      <c r="AC134" t="str">
        <f>IF(Y134="","",IF(Y134="[FÓRMULA MANUAL]","",IFERROR(SUMPRODUCT((DATOS!$A$2:$A$20000=Y134)*(DATOS!$G$2:$G$20000=CONFIG_METADATA!$B$4)*(COUNTIF(CONFIG_ASIGNATURAS!$B$7:$B$27,DATOS!$I$2:$I$20000)&gt;0)*(DATOS!$K$2:$K$20000))/SUMPRODUCT((DATOS!$A$2:$A$20000=Y134)*(DATOS!$G$2:$G$20000=CONFIG_METADATA!$B$4)*(COUNTIF(CONFIG_ASIGNATURAS!$B$7:$B$27,DATOS!$I$2:$I$20000)&gt;0)*1),"")))</f>
        <v/>
      </c>
      <c r="AF134" t="str">
        <f>IF(AE134="","",IF(AE134="[FÓRMULA MANUAL]","",IFERROR(AVERAGEIFS(DATOS!$K$2:$K$20000,DATOS!$A$2:$A$20000,AE134,DATOS!$G$2:$G$20000,CONFIG_METADATA!$B$4,DATOS!$I$2:$I$20000,"Análisis"),"")))</f>
        <v/>
      </c>
      <c r="AG134" t="str">
        <f>IF(AE134="","",IF(AE134="[FÓRMULA MANUAL]","",IFERROR(AVERAGEIFS(DATOS!$K$2:$K$20000,DATOS!$A$2:$A$20000,AE134,DATOS!$G$2:$G$20000,CONFIG_METADATA!$B$4,DATOS!$I$2:$I$20000,"Orquesta/Banda/Conjunto"),"")))</f>
        <v/>
      </c>
      <c r="AH134" t="str">
        <f>IF(AE134="","",IF(AE134="[FÓRMULA MANUAL]","",IFERROR(AVERAGEIFS(DATOS!$K$2:$K$20000,DATOS!$A$2:$A$20000,AE134,DATOS!$G$2:$G$20000,CONFIG_METADATA!$B$4,DATOS!$I$2:$I$20000,"Música de Cámara"),"")))</f>
        <v/>
      </c>
      <c r="AI134" t="str">
        <f>IF(AE134="","",IF(AE134="[FÓRMULA MANUAL]","",IFERROR(SUMPRODUCT((DATOS!$A$2:$A$20000=AE134)*(DATOS!$G$2:$G$20000=CONFIG_METADATA!$B$4)*(COUNTIF(CONFIG_ASIGNATURAS!$B$7:$B$27,DATOS!$I$2:$I$20000)&gt;0)*(DATOS!$K$2:$K$20000))/SUMPRODUCT((DATOS!$A$2:$A$20000=AE134)*(DATOS!$G$2:$G$20000=CONFIG_METADATA!$B$4)*(COUNTIF(CONFIG_ASIGNATURAS!$B$7:$B$27,DATOS!$I$2:$I$20000)&gt;0)*1),"")))</f>
        <v/>
      </c>
    </row>
    <row r="135" spans="2:35" x14ac:dyDescent="0.2">
      <c r="B135" t="str">
        <f>IF(A135="","",IF(A135="[FÓRMULA MANUAL]","",IFERROR(AVERAGEIFS(DATOS!$K$2:$K$20000,DATOS!$A$2:$A$20000,A135,DATOS!$G$2:$G$20000,CONFIG_METADATA!$B$4,DATOS!$I$2:$I$20000,"Lenguaje Musical"),"")))</f>
        <v/>
      </c>
      <c r="C135" t="str">
        <f>IF(A135="","",IF(A135="[FÓRMULA MANUAL]","",IFERROR(AVERAGEIFS(DATOS!$K$2:$K$20000,DATOS!$A$2:$A$20000,A135,DATOS!$G$2:$G$20000,CONFIG_METADATA!$B$4,DATOS!$I$2:$I$20000,"Orquesta/Banda/Conjunto"),"")))</f>
        <v/>
      </c>
      <c r="D135" t="str">
        <f>IF(A135="","",IF(A135="[FÓRMULA MANUAL]","",IFERROR(AVERAGEIFS(DATOS!$K$2:$K$20000,DATOS!$A$2:$A$20000,A135,DATOS!$G$2:$G$20000,CONFIG_METADATA!$B$4,DATOS!$I$2:$I$20000,"Conjunto"),"")))</f>
        <v/>
      </c>
      <c r="E135" t="str">
        <f>IF(A135="","",IF(A135="[FÓRMULA MANUAL]","",IFERROR(SUMPRODUCT((DATOS!$A$2:$A$20000=A135)*(DATOS!$G$2:$G$20000=CONFIG_METADATA!$B$4)*(COUNTIF(CONFIG_ASIGNATURAS!$B$7:$B$27,DATOS!$I$2:$I$20000)&gt;0)*(DATOS!$K$2:$K$20000))/SUMPRODUCT((DATOS!$A$2:$A$20000=A135)*(DATOS!$G$2:$G$20000=CONFIG_METADATA!$B$4)*(COUNTIF(CONFIG_ASIGNATURAS!$B$7:$B$27,DATOS!$I$2:$I$20000)&gt;0)*1),"")))</f>
        <v/>
      </c>
      <c r="H135" t="str">
        <f>IF(G135="","",IF(G135="[FÓRMULA MANUAL]","",IFERROR(AVERAGEIFS(DATOS!$K$2:$K$20000,DATOS!$A$2:$A$20000,G135,DATOS!$G$2:$G$20000,CONFIG_METADATA!$B$4,DATOS!$I$2:$I$20000,"Lenguaje Musical"),"")))</f>
        <v/>
      </c>
      <c r="I135" t="str">
        <f>IF(G135="","",IF(G135="[FÓRMULA MANUAL]","",IFERROR(AVERAGEIFS(DATOS!$K$2:$K$20000,DATOS!$A$2:$A$20000,G135,DATOS!$G$2:$G$20000,CONFIG_METADATA!$B$4,DATOS!$I$2:$I$20000,"Orquesta/Banda/Conjunto"),"")))</f>
        <v/>
      </c>
      <c r="J135" t="str">
        <f>IF(G135="","",IF(G135="[FÓRMULA MANUAL]","",IFERROR(AVERAGEIFS(DATOS!$K$2:$K$20000,DATOS!$A$2:$A$20000,G135,DATOS!$G$2:$G$20000,CONFIG_METADATA!$B$4,DATOS!$I$2:$I$20000,"Conjunto"),"")))</f>
        <v/>
      </c>
      <c r="K135" t="str">
        <f>IF(G135="","",IF(G135="[FÓRMULA MANUAL]","",IFERROR(SUMPRODUCT((DATOS!$A$2:$A$20000=G135)*(DATOS!$G$2:$G$20000=CONFIG_METADATA!$B$4)*(COUNTIF(CONFIG_ASIGNATURAS!$B$7:$B$27,DATOS!$I$2:$I$20000)&gt;0)*(DATOS!$K$2:$K$20000))/SUMPRODUCT((DATOS!$A$2:$A$20000=G135)*(DATOS!$G$2:$G$20000=CONFIG_METADATA!$B$4)*(COUNTIF(CONFIG_ASIGNATURAS!$B$7:$B$27,DATOS!$I$2:$I$20000)&gt;0)*1),"")))</f>
        <v/>
      </c>
      <c r="N135" t="str">
        <f>IF(M135="","",IF(M135="[FÓRMULA MANUAL]","",IFERROR(AVERAGEIFS(DATOS!$K$2:$K$20000,DATOS!$A$2:$A$20000,M135,DATOS!$G$2:$G$20000,CONFIG_METADATA!$B$4,DATOS!$I$2:$I$20000,"Armonía"),"")))</f>
        <v/>
      </c>
      <c r="O135" t="str">
        <f>IF(M135="","",IF(M135="[FÓRMULA MANUAL]","",IFERROR(AVERAGEIFS(DATOS!$K$2:$K$20000,DATOS!$A$2:$A$20000,M135,DATOS!$G$2:$G$20000,CONFIG_METADATA!$B$4,DATOS!$I$2:$I$20000,"Orquesta/Banda/Conjunto"),"")))</f>
        <v/>
      </c>
      <c r="P135" t="str">
        <f>IF(M135="","",IF(M135="[FÓRMULA MANUAL]","",IFERROR(AVERAGEIFS(DATOS!$K$2:$K$20000,DATOS!$A$2:$A$20000,M135,DATOS!$G$2:$G$20000,CONFIG_METADATA!$B$4,DATOS!$I$2:$I$20000,"Música de Cámara"),"")))</f>
        <v/>
      </c>
      <c r="Q135" t="str">
        <f>IF(M135="","",IF(M135="[FÓRMULA MANUAL]","",IFERROR(SUMPRODUCT((DATOS!$A$2:$A$20000=M135)*(DATOS!$G$2:$G$20000=CONFIG_METADATA!$B$4)*(COUNTIF(CONFIG_ASIGNATURAS!$B$7:$B$27,DATOS!$I$2:$I$20000)&gt;0)*(DATOS!$K$2:$K$20000))/SUMPRODUCT((DATOS!$A$2:$A$20000=M135)*(DATOS!$G$2:$G$20000=CONFIG_METADATA!$B$4)*(COUNTIF(CONFIG_ASIGNATURAS!$B$7:$B$27,DATOS!$I$2:$I$20000)&gt;0)*1),"")))</f>
        <v/>
      </c>
      <c r="T135" t="str">
        <f>IF(S135="","",IF(S135="[FÓRMULA MANUAL]","",IFERROR(AVERAGEIFS(DATOS!$K$2:$K$20000,DATOS!$A$2:$A$20000,S135,DATOS!$G$2:$G$20000,CONFIG_METADATA!$B$4,DATOS!$I$2:$I$20000,"Armonía"),"")))</f>
        <v/>
      </c>
      <c r="U135" t="str">
        <f>IF(S135="","",IF(S135="[FÓRMULA MANUAL]","",IFERROR(AVERAGEIFS(DATOS!$K$2:$K$20000,DATOS!$A$2:$A$20000,S135,DATOS!$G$2:$G$20000,CONFIG_METADATA!$B$4,DATOS!$I$2:$I$20000,"Orquesta/Banda/Conjunto"),"")))</f>
        <v/>
      </c>
      <c r="V135" t="str">
        <f>IF(S135="","",IF(S135="[FÓRMULA MANUAL]","",IFERROR(AVERAGEIFS(DATOS!$K$2:$K$20000,DATOS!$A$2:$A$20000,S135,DATOS!$G$2:$G$20000,CONFIG_METADATA!$B$4,DATOS!$I$2:$I$20000,"Música de Cámara"),"")))</f>
        <v/>
      </c>
      <c r="W135" t="str">
        <f>IF(S135="","",IF(S135="[FÓRMULA MANUAL]","",IFERROR(SUMPRODUCT((DATOS!$A$2:$A$20000=S135)*(DATOS!$G$2:$G$20000=CONFIG_METADATA!$B$4)*(COUNTIF(CONFIG_ASIGNATURAS!$B$7:$B$27,DATOS!$I$2:$I$20000)&gt;0)*(DATOS!$K$2:$K$20000))/SUMPRODUCT((DATOS!$A$2:$A$20000=S135)*(DATOS!$G$2:$G$20000=CONFIG_METADATA!$B$4)*(COUNTIF(CONFIG_ASIGNATURAS!$B$7:$B$27,DATOS!$I$2:$I$20000)&gt;0)*1),"")))</f>
        <v/>
      </c>
      <c r="Z135" t="str">
        <f>IF(Y135="","",IF(Y135="[FÓRMULA MANUAL]","",IFERROR(AVERAGEIFS(DATOS!$K$2:$K$20000,DATOS!$A$2:$A$20000,Y135,DATOS!$G$2:$G$20000,CONFIG_METADATA!$B$4,DATOS!$I$2:$I$20000,"Análisis"),"")))</f>
        <v/>
      </c>
      <c r="AA135" t="str">
        <f>IF(Y135="","",IF(Y135="[FÓRMULA MANUAL]","",IFERROR(AVERAGEIFS(DATOS!$K$2:$K$20000,DATOS!$A$2:$A$20000,Y135,DATOS!$G$2:$G$20000,CONFIG_METADATA!$B$4,DATOS!$I$2:$I$20000,"Orquesta/Banda/Conjunto"),"")))</f>
        <v/>
      </c>
      <c r="AB135" t="str">
        <f>IF(Y135="","",IF(Y135="[FÓRMULA MANUAL]","",IFERROR(AVERAGEIFS(DATOS!$K$2:$K$20000,DATOS!$A$2:$A$20000,Y135,DATOS!$G$2:$G$20000,CONFIG_METADATA!$B$4,DATOS!$I$2:$I$20000,"Música de Cámara"),"")))</f>
        <v/>
      </c>
      <c r="AC135" t="str">
        <f>IF(Y135="","",IF(Y135="[FÓRMULA MANUAL]","",IFERROR(SUMPRODUCT((DATOS!$A$2:$A$20000=Y135)*(DATOS!$G$2:$G$20000=CONFIG_METADATA!$B$4)*(COUNTIF(CONFIG_ASIGNATURAS!$B$7:$B$27,DATOS!$I$2:$I$20000)&gt;0)*(DATOS!$K$2:$K$20000))/SUMPRODUCT((DATOS!$A$2:$A$20000=Y135)*(DATOS!$G$2:$G$20000=CONFIG_METADATA!$B$4)*(COUNTIF(CONFIG_ASIGNATURAS!$B$7:$B$27,DATOS!$I$2:$I$20000)&gt;0)*1),"")))</f>
        <v/>
      </c>
      <c r="AF135" t="str">
        <f>IF(AE135="","",IF(AE135="[FÓRMULA MANUAL]","",IFERROR(AVERAGEIFS(DATOS!$K$2:$K$20000,DATOS!$A$2:$A$20000,AE135,DATOS!$G$2:$G$20000,CONFIG_METADATA!$B$4,DATOS!$I$2:$I$20000,"Análisis"),"")))</f>
        <v/>
      </c>
      <c r="AG135" t="str">
        <f>IF(AE135="","",IF(AE135="[FÓRMULA MANUAL]","",IFERROR(AVERAGEIFS(DATOS!$K$2:$K$20000,DATOS!$A$2:$A$20000,AE135,DATOS!$G$2:$G$20000,CONFIG_METADATA!$B$4,DATOS!$I$2:$I$20000,"Orquesta/Banda/Conjunto"),"")))</f>
        <v/>
      </c>
      <c r="AH135" t="str">
        <f>IF(AE135="","",IF(AE135="[FÓRMULA MANUAL]","",IFERROR(AVERAGEIFS(DATOS!$K$2:$K$20000,DATOS!$A$2:$A$20000,AE135,DATOS!$G$2:$G$20000,CONFIG_METADATA!$B$4,DATOS!$I$2:$I$20000,"Música de Cámara"),"")))</f>
        <v/>
      </c>
      <c r="AI135" t="str">
        <f>IF(AE135="","",IF(AE135="[FÓRMULA MANUAL]","",IFERROR(SUMPRODUCT((DATOS!$A$2:$A$20000=AE135)*(DATOS!$G$2:$G$20000=CONFIG_METADATA!$B$4)*(COUNTIF(CONFIG_ASIGNATURAS!$B$7:$B$27,DATOS!$I$2:$I$20000)&gt;0)*(DATOS!$K$2:$K$20000))/SUMPRODUCT((DATOS!$A$2:$A$20000=AE135)*(DATOS!$G$2:$G$20000=CONFIG_METADATA!$B$4)*(COUNTIF(CONFIG_ASIGNATURAS!$B$7:$B$27,DATOS!$I$2:$I$20000)&gt;0)*1),"")))</f>
        <v/>
      </c>
    </row>
    <row r="136" spans="2:35" x14ac:dyDescent="0.2">
      <c r="B136" t="str">
        <f>IF(A136="","",IF(A136="[FÓRMULA MANUAL]","",IFERROR(AVERAGEIFS(DATOS!$K$2:$K$20000,DATOS!$A$2:$A$20000,A136,DATOS!$G$2:$G$20000,CONFIG_METADATA!$B$4,DATOS!$I$2:$I$20000,"Lenguaje Musical"),"")))</f>
        <v/>
      </c>
      <c r="C136" t="str">
        <f>IF(A136="","",IF(A136="[FÓRMULA MANUAL]","",IFERROR(AVERAGEIFS(DATOS!$K$2:$K$20000,DATOS!$A$2:$A$20000,A136,DATOS!$G$2:$G$20000,CONFIG_METADATA!$B$4,DATOS!$I$2:$I$20000,"Orquesta/Banda/Conjunto"),"")))</f>
        <v/>
      </c>
      <c r="D136" t="str">
        <f>IF(A136="","",IF(A136="[FÓRMULA MANUAL]","",IFERROR(AVERAGEIFS(DATOS!$K$2:$K$20000,DATOS!$A$2:$A$20000,A136,DATOS!$G$2:$G$20000,CONFIG_METADATA!$B$4,DATOS!$I$2:$I$20000,"Conjunto"),"")))</f>
        <v/>
      </c>
      <c r="E136" t="str">
        <f>IF(A136="","",IF(A136="[FÓRMULA MANUAL]","",IFERROR(SUMPRODUCT((DATOS!$A$2:$A$20000=A136)*(DATOS!$G$2:$G$20000=CONFIG_METADATA!$B$4)*(COUNTIF(CONFIG_ASIGNATURAS!$B$7:$B$27,DATOS!$I$2:$I$20000)&gt;0)*(DATOS!$K$2:$K$20000))/SUMPRODUCT((DATOS!$A$2:$A$20000=A136)*(DATOS!$G$2:$G$20000=CONFIG_METADATA!$B$4)*(COUNTIF(CONFIG_ASIGNATURAS!$B$7:$B$27,DATOS!$I$2:$I$20000)&gt;0)*1),"")))</f>
        <v/>
      </c>
      <c r="H136" t="str">
        <f>IF(G136="","",IF(G136="[FÓRMULA MANUAL]","",IFERROR(AVERAGEIFS(DATOS!$K$2:$K$20000,DATOS!$A$2:$A$20000,G136,DATOS!$G$2:$G$20000,CONFIG_METADATA!$B$4,DATOS!$I$2:$I$20000,"Lenguaje Musical"),"")))</f>
        <v/>
      </c>
      <c r="I136" t="str">
        <f>IF(G136="","",IF(G136="[FÓRMULA MANUAL]","",IFERROR(AVERAGEIFS(DATOS!$K$2:$K$20000,DATOS!$A$2:$A$20000,G136,DATOS!$G$2:$G$20000,CONFIG_METADATA!$B$4,DATOS!$I$2:$I$20000,"Orquesta/Banda/Conjunto"),"")))</f>
        <v/>
      </c>
      <c r="J136" t="str">
        <f>IF(G136="","",IF(G136="[FÓRMULA MANUAL]","",IFERROR(AVERAGEIFS(DATOS!$K$2:$K$20000,DATOS!$A$2:$A$20000,G136,DATOS!$G$2:$G$20000,CONFIG_METADATA!$B$4,DATOS!$I$2:$I$20000,"Conjunto"),"")))</f>
        <v/>
      </c>
      <c r="K136" t="str">
        <f>IF(G136="","",IF(G136="[FÓRMULA MANUAL]","",IFERROR(SUMPRODUCT((DATOS!$A$2:$A$20000=G136)*(DATOS!$G$2:$G$20000=CONFIG_METADATA!$B$4)*(COUNTIF(CONFIG_ASIGNATURAS!$B$7:$B$27,DATOS!$I$2:$I$20000)&gt;0)*(DATOS!$K$2:$K$20000))/SUMPRODUCT((DATOS!$A$2:$A$20000=G136)*(DATOS!$G$2:$G$20000=CONFIG_METADATA!$B$4)*(COUNTIF(CONFIG_ASIGNATURAS!$B$7:$B$27,DATOS!$I$2:$I$20000)&gt;0)*1),"")))</f>
        <v/>
      </c>
      <c r="N136" t="str">
        <f>IF(M136="","",IF(M136="[FÓRMULA MANUAL]","",IFERROR(AVERAGEIFS(DATOS!$K$2:$K$20000,DATOS!$A$2:$A$20000,M136,DATOS!$G$2:$G$20000,CONFIG_METADATA!$B$4,DATOS!$I$2:$I$20000,"Armonía"),"")))</f>
        <v/>
      </c>
      <c r="O136" t="str">
        <f>IF(M136="","",IF(M136="[FÓRMULA MANUAL]","",IFERROR(AVERAGEIFS(DATOS!$K$2:$K$20000,DATOS!$A$2:$A$20000,M136,DATOS!$G$2:$G$20000,CONFIG_METADATA!$B$4,DATOS!$I$2:$I$20000,"Orquesta/Banda/Conjunto"),"")))</f>
        <v/>
      </c>
      <c r="P136" t="str">
        <f>IF(M136="","",IF(M136="[FÓRMULA MANUAL]","",IFERROR(AVERAGEIFS(DATOS!$K$2:$K$20000,DATOS!$A$2:$A$20000,M136,DATOS!$G$2:$G$20000,CONFIG_METADATA!$B$4,DATOS!$I$2:$I$20000,"Música de Cámara"),"")))</f>
        <v/>
      </c>
      <c r="Q136" t="str">
        <f>IF(M136="","",IF(M136="[FÓRMULA MANUAL]","",IFERROR(SUMPRODUCT((DATOS!$A$2:$A$20000=M136)*(DATOS!$G$2:$G$20000=CONFIG_METADATA!$B$4)*(COUNTIF(CONFIG_ASIGNATURAS!$B$7:$B$27,DATOS!$I$2:$I$20000)&gt;0)*(DATOS!$K$2:$K$20000))/SUMPRODUCT((DATOS!$A$2:$A$20000=M136)*(DATOS!$G$2:$G$20000=CONFIG_METADATA!$B$4)*(COUNTIF(CONFIG_ASIGNATURAS!$B$7:$B$27,DATOS!$I$2:$I$20000)&gt;0)*1),"")))</f>
        <v/>
      </c>
      <c r="T136" t="str">
        <f>IF(S136="","",IF(S136="[FÓRMULA MANUAL]","",IFERROR(AVERAGEIFS(DATOS!$K$2:$K$20000,DATOS!$A$2:$A$20000,S136,DATOS!$G$2:$G$20000,CONFIG_METADATA!$B$4,DATOS!$I$2:$I$20000,"Armonía"),"")))</f>
        <v/>
      </c>
      <c r="U136" t="str">
        <f>IF(S136="","",IF(S136="[FÓRMULA MANUAL]","",IFERROR(AVERAGEIFS(DATOS!$K$2:$K$20000,DATOS!$A$2:$A$20000,S136,DATOS!$G$2:$G$20000,CONFIG_METADATA!$B$4,DATOS!$I$2:$I$20000,"Orquesta/Banda/Conjunto"),"")))</f>
        <v/>
      </c>
      <c r="V136" t="str">
        <f>IF(S136="","",IF(S136="[FÓRMULA MANUAL]","",IFERROR(AVERAGEIFS(DATOS!$K$2:$K$20000,DATOS!$A$2:$A$20000,S136,DATOS!$G$2:$G$20000,CONFIG_METADATA!$B$4,DATOS!$I$2:$I$20000,"Música de Cámara"),"")))</f>
        <v/>
      </c>
      <c r="W136" t="str">
        <f>IF(S136="","",IF(S136="[FÓRMULA MANUAL]","",IFERROR(SUMPRODUCT((DATOS!$A$2:$A$20000=S136)*(DATOS!$G$2:$G$20000=CONFIG_METADATA!$B$4)*(COUNTIF(CONFIG_ASIGNATURAS!$B$7:$B$27,DATOS!$I$2:$I$20000)&gt;0)*(DATOS!$K$2:$K$20000))/SUMPRODUCT((DATOS!$A$2:$A$20000=S136)*(DATOS!$G$2:$G$20000=CONFIG_METADATA!$B$4)*(COUNTIF(CONFIG_ASIGNATURAS!$B$7:$B$27,DATOS!$I$2:$I$20000)&gt;0)*1),"")))</f>
        <v/>
      </c>
      <c r="Z136" t="str">
        <f>IF(Y136="","",IF(Y136="[FÓRMULA MANUAL]","",IFERROR(AVERAGEIFS(DATOS!$K$2:$K$20000,DATOS!$A$2:$A$20000,Y136,DATOS!$G$2:$G$20000,CONFIG_METADATA!$B$4,DATOS!$I$2:$I$20000,"Análisis"),"")))</f>
        <v/>
      </c>
      <c r="AA136" t="str">
        <f>IF(Y136="","",IF(Y136="[FÓRMULA MANUAL]","",IFERROR(AVERAGEIFS(DATOS!$K$2:$K$20000,DATOS!$A$2:$A$20000,Y136,DATOS!$G$2:$G$20000,CONFIG_METADATA!$B$4,DATOS!$I$2:$I$20000,"Orquesta/Banda/Conjunto"),"")))</f>
        <v/>
      </c>
      <c r="AB136" t="str">
        <f>IF(Y136="","",IF(Y136="[FÓRMULA MANUAL]","",IFERROR(AVERAGEIFS(DATOS!$K$2:$K$20000,DATOS!$A$2:$A$20000,Y136,DATOS!$G$2:$G$20000,CONFIG_METADATA!$B$4,DATOS!$I$2:$I$20000,"Música de Cámara"),"")))</f>
        <v/>
      </c>
      <c r="AC136" t="str">
        <f>IF(Y136="","",IF(Y136="[FÓRMULA MANUAL]","",IFERROR(SUMPRODUCT((DATOS!$A$2:$A$20000=Y136)*(DATOS!$G$2:$G$20000=CONFIG_METADATA!$B$4)*(COUNTIF(CONFIG_ASIGNATURAS!$B$7:$B$27,DATOS!$I$2:$I$20000)&gt;0)*(DATOS!$K$2:$K$20000))/SUMPRODUCT((DATOS!$A$2:$A$20000=Y136)*(DATOS!$G$2:$G$20000=CONFIG_METADATA!$B$4)*(COUNTIF(CONFIG_ASIGNATURAS!$B$7:$B$27,DATOS!$I$2:$I$20000)&gt;0)*1),"")))</f>
        <v/>
      </c>
      <c r="AF136" t="str">
        <f>IF(AE136="","",IF(AE136="[FÓRMULA MANUAL]","",IFERROR(AVERAGEIFS(DATOS!$K$2:$K$20000,DATOS!$A$2:$A$20000,AE136,DATOS!$G$2:$G$20000,CONFIG_METADATA!$B$4,DATOS!$I$2:$I$20000,"Análisis"),"")))</f>
        <v/>
      </c>
      <c r="AG136" t="str">
        <f>IF(AE136="","",IF(AE136="[FÓRMULA MANUAL]","",IFERROR(AVERAGEIFS(DATOS!$K$2:$K$20000,DATOS!$A$2:$A$20000,AE136,DATOS!$G$2:$G$20000,CONFIG_METADATA!$B$4,DATOS!$I$2:$I$20000,"Orquesta/Banda/Conjunto"),"")))</f>
        <v/>
      </c>
      <c r="AH136" t="str">
        <f>IF(AE136="","",IF(AE136="[FÓRMULA MANUAL]","",IFERROR(AVERAGEIFS(DATOS!$K$2:$K$20000,DATOS!$A$2:$A$20000,AE136,DATOS!$G$2:$G$20000,CONFIG_METADATA!$B$4,DATOS!$I$2:$I$20000,"Música de Cámara"),"")))</f>
        <v/>
      </c>
      <c r="AI136" t="str">
        <f>IF(AE136="","",IF(AE136="[FÓRMULA MANUAL]","",IFERROR(SUMPRODUCT((DATOS!$A$2:$A$20000=AE136)*(DATOS!$G$2:$G$20000=CONFIG_METADATA!$B$4)*(COUNTIF(CONFIG_ASIGNATURAS!$B$7:$B$27,DATOS!$I$2:$I$20000)&gt;0)*(DATOS!$K$2:$K$20000))/SUMPRODUCT((DATOS!$A$2:$A$20000=AE136)*(DATOS!$G$2:$G$20000=CONFIG_METADATA!$B$4)*(COUNTIF(CONFIG_ASIGNATURAS!$B$7:$B$27,DATOS!$I$2:$I$20000)&gt;0)*1),"")))</f>
        <v/>
      </c>
    </row>
    <row r="137" spans="2:35" x14ac:dyDescent="0.2">
      <c r="B137" t="str">
        <f>IF(A137="","",IF(A137="[FÓRMULA MANUAL]","",IFERROR(AVERAGEIFS(DATOS!$K$2:$K$20000,DATOS!$A$2:$A$20000,A137,DATOS!$G$2:$G$20000,CONFIG_METADATA!$B$4,DATOS!$I$2:$I$20000,"Lenguaje Musical"),"")))</f>
        <v/>
      </c>
      <c r="C137" t="str">
        <f>IF(A137="","",IF(A137="[FÓRMULA MANUAL]","",IFERROR(AVERAGEIFS(DATOS!$K$2:$K$20000,DATOS!$A$2:$A$20000,A137,DATOS!$G$2:$G$20000,CONFIG_METADATA!$B$4,DATOS!$I$2:$I$20000,"Orquesta/Banda/Conjunto"),"")))</f>
        <v/>
      </c>
      <c r="D137" t="str">
        <f>IF(A137="","",IF(A137="[FÓRMULA MANUAL]","",IFERROR(AVERAGEIFS(DATOS!$K$2:$K$20000,DATOS!$A$2:$A$20000,A137,DATOS!$G$2:$G$20000,CONFIG_METADATA!$B$4,DATOS!$I$2:$I$20000,"Conjunto"),"")))</f>
        <v/>
      </c>
      <c r="E137" t="str">
        <f>IF(A137="","",IF(A137="[FÓRMULA MANUAL]","",IFERROR(SUMPRODUCT((DATOS!$A$2:$A$20000=A137)*(DATOS!$G$2:$G$20000=CONFIG_METADATA!$B$4)*(COUNTIF(CONFIG_ASIGNATURAS!$B$7:$B$27,DATOS!$I$2:$I$20000)&gt;0)*(DATOS!$K$2:$K$20000))/SUMPRODUCT((DATOS!$A$2:$A$20000=A137)*(DATOS!$G$2:$G$20000=CONFIG_METADATA!$B$4)*(COUNTIF(CONFIG_ASIGNATURAS!$B$7:$B$27,DATOS!$I$2:$I$20000)&gt;0)*1),"")))</f>
        <v/>
      </c>
      <c r="H137" t="str">
        <f>IF(G137="","",IF(G137="[FÓRMULA MANUAL]","",IFERROR(AVERAGEIFS(DATOS!$K$2:$K$20000,DATOS!$A$2:$A$20000,G137,DATOS!$G$2:$G$20000,CONFIG_METADATA!$B$4,DATOS!$I$2:$I$20000,"Lenguaje Musical"),"")))</f>
        <v/>
      </c>
      <c r="I137" t="str">
        <f>IF(G137="","",IF(G137="[FÓRMULA MANUAL]","",IFERROR(AVERAGEIFS(DATOS!$K$2:$K$20000,DATOS!$A$2:$A$20000,G137,DATOS!$G$2:$G$20000,CONFIG_METADATA!$B$4,DATOS!$I$2:$I$20000,"Orquesta/Banda/Conjunto"),"")))</f>
        <v/>
      </c>
      <c r="J137" t="str">
        <f>IF(G137="","",IF(G137="[FÓRMULA MANUAL]","",IFERROR(AVERAGEIFS(DATOS!$K$2:$K$20000,DATOS!$A$2:$A$20000,G137,DATOS!$G$2:$G$20000,CONFIG_METADATA!$B$4,DATOS!$I$2:$I$20000,"Conjunto"),"")))</f>
        <v/>
      </c>
      <c r="K137" t="str">
        <f>IF(G137="","",IF(G137="[FÓRMULA MANUAL]","",IFERROR(SUMPRODUCT((DATOS!$A$2:$A$20000=G137)*(DATOS!$G$2:$G$20000=CONFIG_METADATA!$B$4)*(COUNTIF(CONFIG_ASIGNATURAS!$B$7:$B$27,DATOS!$I$2:$I$20000)&gt;0)*(DATOS!$K$2:$K$20000))/SUMPRODUCT((DATOS!$A$2:$A$20000=G137)*(DATOS!$G$2:$G$20000=CONFIG_METADATA!$B$4)*(COUNTIF(CONFIG_ASIGNATURAS!$B$7:$B$27,DATOS!$I$2:$I$20000)&gt;0)*1),"")))</f>
        <v/>
      </c>
      <c r="N137" t="str">
        <f>IF(M137="","",IF(M137="[FÓRMULA MANUAL]","",IFERROR(AVERAGEIFS(DATOS!$K$2:$K$20000,DATOS!$A$2:$A$20000,M137,DATOS!$G$2:$G$20000,CONFIG_METADATA!$B$4,DATOS!$I$2:$I$20000,"Armonía"),"")))</f>
        <v/>
      </c>
      <c r="O137" t="str">
        <f>IF(M137="","",IF(M137="[FÓRMULA MANUAL]","",IFERROR(AVERAGEIFS(DATOS!$K$2:$K$20000,DATOS!$A$2:$A$20000,M137,DATOS!$G$2:$G$20000,CONFIG_METADATA!$B$4,DATOS!$I$2:$I$20000,"Orquesta/Banda/Conjunto"),"")))</f>
        <v/>
      </c>
      <c r="P137" t="str">
        <f>IF(M137="","",IF(M137="[FÓRMULA MANUAL]","",IFERROR(AVERAGEIFS(DATOS!$K$2:$K$20000,DATOS!$A$2:$A$20000,M137,DATOS!$G$2:$G$20000,CONFIG_METADATA!$B$4,DATOS!$I$2:$I$20000,"Música de Cámara"),"")))</f>
        <v/>
      </c>
      <c r="Q137" t="str">
        <f>IF(M137="","",IF(M137="[FÓRMULA MANUAL]","",IFERROR(SUMPRODUCT((DATOS!$A$2:$A$20000=M137)*(DATOS!$G$2:$G$20000=CONFIG_METADATA!$B$4)*(COUNTIF(CONFIG_ASIGNATURAS!$B$7:$B$27,DATOS!$I$2:$I$20000)&gt;0)*(DATOS!$K$2:$K$20000))/SUMPRODUCT((DATOS!$A$2:$A$20000=M137)*(DATOS!$G$2:$G$20000=CONFIG_METADATA!$B$4)*(COUNTIF(CONFIG_ASIGNATURAS!$B$7:$B$27,DATOS!$I$2:$I$20000)&gt;0)*1),"")))</f>
        <v/>
      </c>
      <c r="T137" t="str">
        <f>IF(S137="","",IF(S137="[FÓRMULA MANUAL]","",IFERROR(AVERAGEIFS(DATOS!$K$2:$K$20000,DATOS!$A$2:$A$20000,S137,DATOS!$G$2:$G$20000,CONFIG_METADATA!$B$4,DATOS!$I$2:$I$20000,"Armonía"),"")))</f>
        <v/>
      </c>
      <c r="U137" t="str">
        <f>IF(S137="","",IF(S137="[FÓRMULA MANUAL]","",IFERROR(AVERAGEIFS(DATOS!$K$2:$K$20000,DATOS!$A$2:$A$20000,S137,DATOS!$G$2:$G$20000,CONFIG_METADATA!$B$4,DATOS!$I$2:$I$20000,"Orquesta/Banda/Conjunto"),"")))</f>
        <v/>
      </c>
      <c r="V137" t="str">
        <f>IF(S137="","",IF(S137="[FÓRMULA MANUAL]","",IFERROR(AVERAGEIFS(DATOS!$K$2:$K$20000,DATOS!$A$2:$A$20000,S137,DATOS!$G$2:$G$20000,CONFIG_METADATA!$B$4,DATOS!$I$2:$I$20000,"Música de Cámara"),"")))</f>
        <v/>
      </c>
      <c r="W137" t="str">
        <f>IF(S137="","",IF(S137="[FÓRMULA MANUAL]","",IFERROR(SUMPRODUCT((DATOS!$A$2:$A$20000=S137)*(DATOS!$G$2:$G$20000=CONFIG_METADATA!$B$4)*(COUNTIF(CONFIG_ASIGNATURAS!$B$7:$B$27,DATOS!$I$2:$I$20000)&gt;0)*(DATOS!$K$2:$K$20000))/SUMPRODUCT((DATOS!$A$2:$A$20000=S137)*(DATOS!$G$2:$G$20000=CONFIG_METADATA!$B$4)*(COUNTIF(CONFIG_ASIGNATURAS!$B$7:$B$27,DATOS!$I$2:$I$20000)&gt;0)*1),"")))</f>
        <v/>
      </c>
      <c r="Z137" t="str">
        <f>IF(Y137="","",IF(Y137="[FÓRMULA MANUAL]","",IFERROR(AVERAGEIFS(DATOS!$K$2:$K$20000,DATOS!$A$2:$A$20000,Y137,DATOS!$G$2:$G$20000,CONFIG_METADATA!$B$4,DATOS!$I$2:$I$20000,"Análisis"),"")))</f>
        <v/>
      </c>
      <c r="AA137" t="str">
        <f>IF(Y137="","",IF(Y137="[FÓRMULA MANUAL]","",IFERROR(AVERAGEIFS(DATOS!$K$2:$K$20000,DATOS!$A$2:$A$20000,Y137,DATOS!$G$2:$G$20000,CONFIG_METADATA!$B$4,DATOS!$I$2:$I$20000,"Orquesta/Banda/Conjunto"),"")))</f>
        <v/>
      </c>
      <c r="AB137" t="str">
        <f>IF(Y137="","",IF(Y137="[FÓRMULA MANUAL]","",IFERROR(AVERAGEIFS(DATOS!$K$2:$K$20000,DATOS!$A$2:$A$20000,Y137,DATOS!$G$2:$G$20000,CONFIG_METADATA!$B$4,DATOS!$I$2:$I$20000,"Música de Cámara"),"")))</f>
        <v/>
      </c>
      <c r="AC137" t="str">
        <f>IF(Y137="","",IF(Y137="[FÓRMULA MANUAL]","",IFERROR(SUMPRODUCT((DATOS!$A$2:$A$20000=Y137)*(DATOS!$G$2:$G$20000=CONFIG_METADATA!$B$4)*(COUNTIF(CONFIG_ASIGNATURAS!$B$7:$B$27,DATOS!$I$2:$I$20000)&gt;0)*(DATOS!$K$2:$K$20000))/SUMPRODUCT((DATOS!$A$2:$A$20000=Y137)*(DATOS!$G$2:$G$20000=CONFIG_METADATA!$B$4)*(COUNTIF(CONFIG_ASIGNATURAS!$B$7:$B$27,DATOS!$I$2:$I$20000)&gt;0)*1),"")))</f>
        <v/>
      </c>
      <c r="AF137" t="str">
        <f>IF(AE137="","",IF(AE137="[FÓRMULA MANUAL]","",IFERROR(AVERAGEIFS(DATOS!$K$2:$K$20000,DATOS!$A$2:$A$20000,AE137,DATOS!$G$2:$G$20000,CONFIG_METADATA!$B$4,DATOS!$I$2:$I$20000,"Análisis"),"")))</f>
        <v/>
      </c>
      <c r="AG137" t="str">
        <f>IF(AE137="","",IF(AE137="[FÓRMULA MANUAL]","",IFERROR(AVERAGEIFS(DATOS!$K$2:$K$20000,DATOS!$A$2:$A$20000,AE137,DATOS!$G$2:$G$20000,CONFIG_METADATA!$B$4,DATOS!$I$2:$I$20000,"Orquesta/Banda/Conjunto"),"")))</f>
        <v/>
      </c>
      <c r="AH137" t="str">
        <f>IF(AE137="","",IF(AE137="[FÓRMULA MANUAL]","",IFERROR(AVERAGEIFS(DATOS!$K$2:$K$20000,DATOS!$A$2:$A$20000,AE137,DATOS!$G$2:$G$20000,CONFIG_METADATA!$B$4,DATOS!$I$2:$I$20000,"Música de Cámara"),"")))</f>
        <v/>
      </c>
      <c r="AI137" t="str">
        <f>IF(AE137="","",IF(AE137="[FÓRMULA MANUAL]","",IFERROR(SUMPRODUCT((DATOS!$A$2:$A$20000=AE137)*(DATOS!$G$2:$G$20000=CONFIG_METADATA!$B$4)*(COUNTIF(CONFIG_ASIGNATURAS!$B$7:$B$27,DATOS!$I$2:$I$20000)&gt;0)*(DATOS!$K$2:$K$20000))/SUMPRODUCT((DATOS!$A$2:$A$20000=AE137)*(DATOS!$G$2:$G$20000=CONFIG_METADATA!$B$4)*(COUNTIF(CONFIG_ASIGNATURAS!$B$7:$B$27,DATOS!$I$2:$I$20000)&gt;0)*1),"")))</f>
        <v/>
      </c>
    </row>
    <row r="138" spans="2:35" x14ac:dyDescent="0.2">
      <c r="B138" t="str">
        <f>IF(A138="","",IF(A138="[FÓRMULA MANUAL]","",IFERROR(AVERAGEIFS(DATOS!$K$2:$K$20000,DATOS!$A$2:$A$20000,A138,DATOS!$G$2:$G$20000,CONFIG_METADATA!$B$4,DATOS!$I$2:$I$20000,"Lenguaje Musical"),"")))</f>
        <v/>
      </c>
      <c r="C138" t="str">
        <f>IF(A138="","",IF(A138="[FÓRMULA MANUAL]","",IFERROR(AVERAGEIFS(DATOS!$K$2:$K$20000,DATOS!$A$2:$A$20000,A138,DATOS!$G$2:$G$20000,CONFIG_METADATA!$B$4,DATOS!$I$2:$I$20000,"Orquesta/Banda/Conjunto"),"")))</f>
        <v/>
      </c>
      <c r="D138" t="str">
        <f>IF(A138="","",IF(A138="[FÓRMULA MANUAL]","",IFERROR(AVERAGEIFS(DATOS!$K$2:$K$20000,DATOS!$A$2:$A$20000,A138,DATOS!$G$2:$G$20000,CONFIG_METADATA!$B$4,DATOS!$I$2:$I$20000,"Conjunto"),"")))</f>
        <v/>
      </c>
      <c r="E138" t="str">
        <f>IF(A138="","",IF(A138="[FÓRMULA MANUAL]","",IFERROR(SUMPRODUCT((DATOS!$A$2:$A$20000=A138)*(DATOS!$G$2:$G$20000=CONFIG_METADATA!$B$4)*(COUNTIF(CONFIG_ASIGNATURAS!$B$7:$B$27,DATOS!$I$2:$I$20000)&gt;0)*(DATOS!$K$2:$K$20000))/SUMPRODUCT((DATOS!$A$2:$A$20000=A138)*(DATOS!$G$2:$G$20000=CONFIG_METADATA!$B$4)*(COUNTIF(CONFIG_ASIGNATURAS!$B$7:$B$27,DATOS!$I$2:$I$20000)&gt;0)*1),"")))</f>
        <v/>
      </c>
      <c r="H138" t="str">
        <f>IF(G138="","",IF(G138="[FÓRMULA MANUAL]","",IFERROR(AVERAGEIFS(DATOS!$K$2:$K$20000,DATOS!$A$2:$A$20000,G138,DATOS!$G$2:$G$20000,CONFIG_METADATA!$B$4,DATOS!$I$2:$I$20000,"Lenguaje Musical"),"")))</f>
        <v/>
      </c>
      <c r="I138" t="str">
        <f>IF(G138="","",IF(G138="[FÓRMULA MANUAL]","",IFERROR(AVERAGEIFS(DATOS!$K$2:$K$20000,DATOS!$A$2:$A$20000,G138,DATOS!$G$2:$G$20000,CONFIG_METADATA!$B$4,DATOS!$I$2:$I$20000,"Orquesta/Banda/Conjunto"),"")))</f>
        <v/>
      </c>
      <c r="J138" t="str">
        <f>IF(G138="","",IF(G138="[FÓRMULA MANUAL]","",IFERROR(AVERAGEIFS(DATOS!$K$2:$K$20000,DATOS!$A$2:$A$20000,G138,DATOS!$G$2:$G$20000,CONFIG_METADATA!$B$4,DATOS!$I$2:$I$20000,"Conjunto"),"")))</f>
        <v/>
      </c>
      <c r="K138" t="str">
        <f>IF(G138="","",IF(G138="[FÓRMULA MANUAL]","",IFERROR(SUMPRODUCT((DATOS!$A$2:$A$20000=G138)*(DATOS!$G$2:$G$20000=CONFIG_METADATA!$B$4)*(COUNTIF(CONFIG_ASIGNATURAS!$B$7:$B$27,DATOS!$I$2:$I$20000)&gt;0)*(DATOS!$K$2:$K$20000))/SUMPRODUCT((DATOS!$A$2:$A$20000=G138)*(DATOS!$G$2:$G$20000=CONFIG_METADATA!$B$4)*(COUNTIF(CONFIG_ASIGNATURAS!$B$7:$B$27,DATOS!$I$2:$I$20000)&gt;0)*1),"")))</f>
        <v/>
      </c>
      <c r="N138" t="str">
        <f>IF(M138="","",IF(M138="[FÓRMULA MANUAL]","",IFERROR(AVERAGEIFS(DATOS!$K$2:$K$20000,DATOS!$A$2:$A$20000,M138,DATOS!$G$2:$G$20000,CONFIG_METADATA!$B$4,DATOS!$I$2:$I$20000,"Armonía"),"")))</f>
        <v/>
      </c>
      <c r="O138" t="str">
        <f>IF(M138="","",IF(M138="[FÓRMULA MANUAL]","",IFERROR(AVERAGEIFS(DATOS!$K$2:$K$20000,DATOS!$A$2:$A$20000,M138,DATOS!$G$2:$G$20000,CONFIG_METADATA!$B$4,DATOS!$I$2:$I$20000,"Orquesta/Banda/Conjunto"),"")))</f>
        <v/>
      </c>
      <c r="P138" t="str">
        <f>IF(M138="","",IF(M138="[FÓRMULA MANUAL]","",IFERROR(AVERAGEIFS(DATOS!$K$2:$K$20000,DATOS!$A$2:$A$20000,M138,DATOS!$G$2:$G$20000,CONFIG_METADATA!$B$4,DATOS!$I$2:$I$20000,"Música de Cámara"),"")))</f>
        <v/>
      </c>
      <c r="Q138" t="str">
        <f>IF(M138="","",IF(M138="[FÓRMULA MANUAL]","",IFERROR(SUMPRODUCT((DATOS!$A$2:$A$20000=M138)*(DATOS!$G$2:$G$20000=CONFIG_METADATA!$B$4)*(COUNTIF(CONFIG_ASIGNATURAS!$B$7:$B$27,DATOS!$I$2:$I$20000)&gt;0)*(DATOS!$K$2:$K$20000))/SUMPRODUCT((DATOS!$A$2:$A$20000=M138)*(DATOS!$G$2:$G$20000=CONFIG_METADATA!$B$4)*(COUNTIF(CONFIG_ASIGNATURAS!$B$7:$B$27,DATOS!$I$2:$I$20000)&gt;0)*1),"")))</f>
        <v/>
      </c>
      <c r="T138" t="str">
        <f>IF(S138="","",IF(S138="[FÓRMULA MANUAL]","",IFERROR(AVERAGEIFS(DATOS!$K$2:$K$20000,DATOS!$A$2:$A$20000,S138,DATOS!$G$2:$G$20000,CONFIG_METADATA!$B$4,DATOS!$I$2:$I$20000,"Armonía"),"")))</f>
        <v/>
      </c>
      <c r="U138" t="str">
        <f>IF(S138="","",IF(S138="[FÓRMULA MANUAL]","",IFERROR(AVERAGEIFS(DATOS!$K$2:$K$20000,DATOS!$A$2:$A$20000,S138,DATOS!$G$2:$G$20000,CONFIG_METADATA!$B$4,DATOS!$I$2:$I$20000,"Orquesta/Banda/Conjunto"),"")))</f>
        <v/>
      </c>
      <c r="V138" t="str">
        <f>IF(S138="","",IF(S138="[FÓRMULA MANUAL]","",IFERROR(AVERAGEIFS(DATOS!$K$2:$K$20000,DATOS!$A$2:$A$20000,S138,DATOS!$G$2:$G$20000,CONFIG_METADATA!$B$4,DATOS!$I$2:$I$20000,"Música de Cámara"),"")))</f>
        <v/>
      </c>
      <c r="W138" t="str">
        <f>IF(S138="","",IF(S138="[FÓRMULA MANUAL]","",IFERROR(SUMPRODUCT((DATOS!$A$2:$A$20000=S138)*(DATOS!$G$2:$G$20000=CONFIG_METADATA!$B$4)*(COUNTIF(CONFIG_ASIGNATURAS!$B$7:$B$27,DATOS!$I$2:$I$20000)&gt;0)*(DATOS!$K$2:$K$20000))/SUMPRODUCT((DATOS!$A$2:$A$20000=S138)*(DATOS!$G$2:$G$20000=CONFIG_METADATA!$B$4)*(COUNTIF(CONFIG_ASIGNATURAS!$B$7:$B$27,DATOS!$I$2:$I$20000)&gt;0)*1),"")))</f>
        <v/>
      </c>
      <c r="Z138" t="str">
        <f>IF(Y138="","",IF(Y138="[FÓRMULA MANUAL]","",IFERROR(AVERAGEIFS(DATOS!$K$2:$K$20000,DATOS!$A$2:$A$20000,Y138,DATOS!$G$2:$G$20000,CONFIG_METADATA!$B$4,DATOS!$I$2:$I$20000,"Análisis"),"")))</f>
        <v/>
      </c>
      <c r="AA138" t="str">
        <f>IF(Y138="","",IF(Y138="[FÓRMULA MANUAL]","",IFERROR(AVERAGEIFS(DATOS!$K$2:$K$20000,DATOS!$A$2:$A$20000,Y138,DATOS!$G$2:$G$20000,CONFIG_METADATA!$B$4,DATOS!$I$2:$I$20000,"Orquesta/Banda/Conjunto"),"")))</f>
        <v/>
      </c>
      <c r="AB138" t="str">
        <f>IF(Y138="","",IF(Y138="[FÓRMULA MANUAL]","",IFERROR(AVERAGEIFS(DATOS!$K$2:$K$20000,DATOS!$A$2:$A$20000,Y138,DATOS!$G$2:$G$20000,CONFIG_METADATA!$B$4,DATOS!$I$2:$I$20000,"Música de Cámara"),"")))</f>
        <v/>
      </c>
      <c r="AC138" t="str">
        <f>IF(Y138="","",IF(Y138="[FÓRMULA MANUAL]","",IFERROR(SUMPRODUCT((DATOS!$A$2:$A$20000=Y138)*(DATOS!$G$2:$G$20000=CONFIG_METADATA!$B$4)*(COUNTIF(CONFIG_ASIGNATURAS!$B$7:$B$27,DATOS!$I$2:$I$20000)&gt;0)*(DATOS!$K$2:$K$20000))/SUMPRODUCT((DATOS!$A$2:$A$20000=Y138)*(DATOS!$G$2:$G$20000=CONFIG_METADATA!$B$4)*(COUNTIF(CONFIG_ASIGNATURAS!$B$7:$B$27,DATOS!$I$2:$I$20000)&gt;0)*1),"")))</f>
        <v/>
      </c>
      <c r="AF138" t="str">
        <f>IF(AE138="","",IF(AE138="[FÓRMULA MANUAL]","",IFERROR(AVERAGEIFS(DATOS!$K$2:$K$20000,DATOS!$A$2:$A$20000,AE138,DATOS!$G$2:$G$20000,CONFIG_METADATA!$B$4,DATOS!$I$2:$I$20000,"Análisis"),"")))</f>
        <v/>
      </c>
      <c r="AG138" t="str">
        <f>IF(AE138="","",IF(AE138="[FÓRMULA MANUAL]","",IFERROR(AVERAGEIFS(DATOS!$K$2:$K$20000,DATOS!$A$2:$A$20000,AE138,DATOS!$G$2:$G$20000,CONFIG_METADATA!$B$4,DATOS!$I$2:$I$20000,"Orquesta/Banda/Conjunto"),"")))</f>
        <v/>
      </c>
      <c r="AH138" t="str">
        <f>IF(AE138="","",IF(AE138="[FÓRMULA MANUAL]","",IFERROR(AVERAGEIFS(DATOS!$K$2:$K$20000,DATOS!$A$2:$A$20000,AE138,DATOS!$G$2:$G$20000,CONFIG_METADATA!$B$4,DATOS!$I$2:$I$20000,"Música de Cámara"),"")))</f>
        <v/>
      </c>
      <c r="AI138" t="str">
        <f>IF(AE138="","",IF(AE138="[FÓRMULA MANUAL]","",IFERROR(SUMPRODUCT((DATOS!$A$2:$A$20000=AE138)*(DATOS!$G$2:$G$20000=CONFIG_METADATA!$B$4)*(COUNTIF(CONFIG_ASIGNATURAS!$B$7:$B$27,DATOS!$I$2:$I$20000)&gt;0)*(DATOS!$K$2:$K$20000))/SUMPRODUCT((DATOS!$A$2:$A$20000=AE138)*(DATOS!$G$2:$G$20000=CONFIG_METADATA!$B$4)*(COUNTIF(CONFIG_ASIGNATURAS!$B$7:$B$27,DATOS!$I$2:$I$20000)&gt;0)*1),"")))</f>
        <v/>
      </c>
    </row>
    <row r="139" spans="2:35" x14ac:dyDescent="0.2">
      <c r="B139" t="str">
        <f>IF(A139="","",IF(A139="[FÓRMULA MANUAL]","",IFERROR(AVERAGEIFS(DATOS!$K$2:$K$20000,DATOS!$A$2:$A$20000,A139,DATOS!$G$2:$G$20000,CONFIG_METADATA!$B$4,DATOS!$I$2:$I$20000,"Lenguaje Musical"),"")))</f>
        <v/>
      </c>
      <c r="C139" t="str">
        <f>IF(A139="","",IF(A139="[FÓRMULA MANUAL]","",IFERROR(AVERAGEIFS(DATOS!$K$2:$K$20000,DATOS!$A$2:$A$20000,A139,DATOS!$G$2:$G$20000,CONFIG_METADATA!$B$4,DATOS!$I$2:$I$20000,"Orquesta/Banda/Conjunto"),"")))</f>
        <v/>
      </c>
      <c r="D139" t="str">
        <f>IF(A139="","",IF(A139="[FÓRMULA MANUAL]","",IFERROR(AVERAGEIFS(DATOS!$K$2:$K$20000,DATOS!$A$2:$A$20000,A139,DATOS!$G$2:$G$20000,CONFIG_METADATA!$B$4,DATOS!$I$2:$I$20000,"Conjunto"),"")))</f>
        <v/>
      </c>
      <c r="E139" t="str">
        <f>IF(A139="","",IF(A139="[FÓRMULA MANUAL]","",IFERROR(SUMPRODUCT((DATOS!$A$2:$A$20000=A139)*(DATOS!$G$2:$G$20000=CONFIG_METADATA!$B$4)*(COUNTIF(CONFIG_ASIGNATURAS!$B$7:$B$27,DATOS!$I$2:$I$20000)&gt;0)*(DATOS!$K$2:$K$20000))/SUMPRODUCT((DATOS!$A$2:$A$20000=A139)*(DATOS!$G$2:$G$20000=CONFIG_METADATA!$B$4)*(COUNTIF(CONFIG_ASIGNATURAS!$B$7:$B$27,DATOS!$I$2:$I$20000)&gt;0)*1),"")))</f>
        <v/>
      </c>
      <c r="H139" t="str">
        <f>IF(G139="","",IF(G139="[FÓRMULA MANUAL]","",IFERROR(AVERAGEIFS(DATOS!$K$2:$K$20000,DATOS!$A$2:$A$20000,G139,DATOS!$G$2:$G$20000,CONFIG_METADATA!$B$4,DATOS!$I$2:$I$20000,"Lenguaje Musical"),"")))</f>
        <v/>
      </c>
      <c r="I139" t="str">
        <f>IF(G139="","",IF(G139="[FÓRMULA MANUAL]","",IFERROR(AVERAGEIFS(DATOS!$K$2:$K$20000,DATOS!$A$2:$A$20000,G139,DATOS!$G$2:$G$20000,CONFIG_METADATA!$B$4,DATOS!$I$2:$I$20000,"Orquesta/Banda/Conjunto"),"")))</f>
        <v/>
      </c>
      <c r="J139" t="str">
        <f>IF(G139="","",IF(G139="[FÓRMULA MANUAL]","",IFERROR(AVERAGEIFS(DATOS!$K$2:$K$20000,DATOS!$A$2:$A$20000,G139,DATOS!$G$2:$G$20000,CONFIG_METADATA!$B$4,DATOS!$I$2:$I$20000,"Conjunto"),"")))</f>
        <v/>
      </c>
      <c r="K139" t="str">
        <f>IF(G139="","",IF(G139="[FÓRMULA MANUAL]","",IFERROR(SUMPRODUCT((DATOS!$A$2:$A$20000=G139)*(DATOS!$G$2:$G$20000=CONFIG_METADATA!$B$4)*(COUNTIF(CONFIG_ASIGNATURAS!$B$7:$B$27,DATOS!$I$2:$I$20000)&gt;0)*(DATOS!$K$2:$K$20000))/SUMPRODUCT((DATOS!$A$2:$A$20000=G139)*(DATOS!$G$2:$G$20000=CONFIG_METADATA!$B$4)*(COUNTIF(CONFIG_ASIGNATURAS!$B$7:$B$27,DATOS!$I$2:$I$20000)&gt;0)*1),"")))</f>
        <v/>
      </c>
      <c r="N139" t="str">
        <f>IF(M139="","",IF(M139="[FÓRMULA MANUAL]","",IFERROR(AVERAGEIFS(DATOS!$K$2:$K$20000,DATOS!$A$2:$A$20000,M139,DATOS!$G$2:$G$20000,CONFIG_METADATA!$B$4,DATOS!$I$2:$I$20000,"Armonía"),"")))</f>
        <v/>
      </c>
      <c r="O139" t="str">
        <f>IF(M139="","",IF(M139="[FÓRMULA MANUAL]","",IFERROR(AVERAGEIFS(DATOS!$K$2:$K$20000,DATOS!$A$2:$A$20000,M139,DATOS!$G$2:$G$20000,CONFIG_METADATA!$B$4,DATOS!$I$2:$I$20000,"Orquesta/Banda/Conjunto"),"")))</f>
        <v/>
      </c>
      <c r="P139" t="str">
        <f>IF(M139="","",IF(M139="[FÓRMULA MANUAL]","",IFERROR(AVERAGEIFS(DATOS!$K$2:$K$20000,DATOS!$A$2:$A$20000,M139,DATOS!$G$2:$G$20000,CONFIG_METADATA!$B$4,DATOS!$I$2:$I$20000,"Música de Cámara"),"")))</f>
        <v/>
      </c>
      <c r="Q139" t="str">
        <f>IF(M139="","",IF(M139="[FÓRMULA MANUAL]","",IFERROR(SUMPRODUCT((DATOS!$A$2:$A$20000=M139)*(DATOS!$G$2:$G$20000=CONFIG_METADATA!$B$4)*(COUNTIF(CONFIG_ASIGNATURAS!$B$7:$B$27,DATOS!$I$2:$I$20000)&gt;0)*(DATOS!$K$2:$K$20000))/SUMPRODUCT((DATOS!$A$2:$A$20000=M139)*(DATOS!$G$2:$G$20000=CONFIG_METADATA!$B$4)*(COUNTIF(CONFIG_ASIGNATURAS!$B$7:$B$27,DATOS!$I$2:$I$20000)&gt;0)*1),"")))</f>
        <v/>
      </c>
      <c r="T139" t="str">
        <f>IF(S139="","",IF(S139="[FÓRMULA MANUAL]","",IFERROR(AVERAGEIFS(DATOS!$K$2:$K$20000,DATOS!$A$2:$A$20000,S139,DATOS!$G$2:$G$20000,CONFIG_METADATA!$B$4,DATOS!$I$2:$I$20000,"Armonía"),"")))</f>
        <v/>
      </c>
      <c r="U139" t="str">
        <f>IF(S139="","",IF(S139="[FÓRMULA MANUAL]","",IFERROR(AVERAGEIFS(DATOS!$K$2:$K$20000,DATOS!$A$2:$A$20000,S139,DATOS!$G$2:$G$20000,CONFIG_METADATA!$B$4,DATOS!$I$2:$I$20000,"Orquesta/Banda/Conjunto"),"")))</f>
        <v/>
      </c>
      <c r="V139" t="str">
        <f>IF(S139="","",IF(S139="[FÓRMULA MANUAL]","",IFERROR(AVERAGEIFS(DATOS!$K$2:$K$20000,DATOS!$A$2:$A$20000,S139,DATOS!$G$2:$G$20000,CONFIG_METADATA!$B$4,DATOS!$I$2:$I$20000,"Música de Cámara"),"")))</f>
        <v/>
      </c>
      <c r="W139" t="str">
        <f>IF(S139="","",IF(S139="[FÓRMULA MANUAL]","",IFERROR(SUMPRODUCT((DATOS!$A$2:$A$20000=S139)*(DATOS!$G$2:$G$20000=CONFIG_METADATA!$B$4)*(COUNTIF(CONFIG_ASIGNATURAS!$B$7:$B$27,DATOS!$I$2:$I$20000)&gt;0)*(DATOS!$K$2:$K$20000))/SUMPRODUCT((DATOS!$A$2:$A$20000=S139)*(DATOS!$G$2:$G$20000=CONFIG_METADATA!$B$4)*(COUNTIF(CONFIG_ASIGNATURAS!$B$7:$B$27,DATOS!$I$2:$I$20000)&gt;0)*1),"")))</f>
        <v/>
      </c>
      <c r="Z139" t="str">
        <f>IF(Y139="","",IF(Y139="[FÓRMULA MANUAL]","",IFERROR(AVERAGEIFS(DATOS!$K$2:$K$20000,DATOS!$A$2:$A$20000,Y139,DATOS!$G$2:$G$20000,CONFIG_METADATA!$B$4,DATOS!$I$2:$I$20000,"Análisis"),"")))</f>
        <v/>
      </c>
      <c r="AA139" t="str">
        <f>IF(Y139="","",IF(Y139="[FÓRMULA MANUAL]","",IFERROR(AVERAGEIFS(DATOS!$K$2:$K$20000,DATOS!$A$2:$A$20000,Y139,DATOS!$G$2:$G$20000,CONFIG_METADATA!$B$4,DATOS!$I$2:$I$20000,"Orquesta/Banda/Conjunto"),"")))</f>
        <v/>
      </c>
      <c r="AB139" t="str">
        <f>IF(Y139="","",IF(Y139="[FÓRMULA MANUAL]","",IFERROR(AVERAGEIFS(DATOS!$K$2:$K$20000,DATOS!$A$2:$A$20000,Y139,DATOS!$G$2:$G$20000,CONFIG_METADATA!$B$4,DATOS!$I$2:$I$20000,"Música de Cámara"),"")))</f>
        <v/>
      </c>
      <c r="AC139" t="str">
        <f>IF(Y139="","",IF(Y139="[FÓRMULA MANUAL]","",IFERROR(SUMPRODUCT((DATOS!$A$2:$A$20000=Y139)*(DATOS!$G$2:$G$20000=CONFIG_METADATA!$B$4)*(COUNTIF(CONFIG_ASIGNATURAS!$B$7:$B$27,DATOS!$I$2:$I$20000)&gt;0)*(DATOS!$K$2:$K$20000))/SUMPRODUCT((DATOS!$A$2:$A$20000=Y139)*(DATOS!$G$2:$G$20000=CONFIG_METADATA!$B$4)*(COUNTIF(CONFIG_ASIGNATURAS!$B$7:$B$27,DATOS!$I$2:$I$20000)&gt;0)*1),"")))</f>
        <v/>
      </c>
      <c r="AF139" t="str">
        <f>IF(AE139="","",IF(AE139="[FÓRMULA MANUAL]","",IFERROR(AVERAGEIFS(DATOS!$K$2:$K$20000,DATOS!$A$2:$A$20000,AE139,DATOS!$G$2:$G$20000,CONFIG_METADATA!$B$4,DATOS!$I$2:$I$20000,"Análisis"),"")))</f>
        <v/>
      </c>
      <c r="AG139" t="str">
        <f>IF(AE139="","",IF(AE139="[FÓRMULA MANUAL]","",IFERROR(AVERAGEIFS(DATOS!$K$2:$K$20000,DATOS!$A$2:$A$20000,AE139,DATOS!$G$2:$G$20000,CONFIG_METADATA!$B$4,DATOS!$I$2:$I$20000,"Orquesta/Banda/Conjunto"),"")))</f>
        <v/>
      </c>
      <c r="AH139" t="str">
        <f>IF(AE139="","",IF(AE139="[FÓRMULA MANUAL]","",IFERROR(AVERAGEIFS(DATOS!$K$2:$K$20000,DATOS!$A$2:$A$20000,AE139,DATOS!$G$2:$G$20000,CONFIG_METADATA!$B$4,DATOS!$I$2:$I$20000,"Música de Cámara"),"")))</f>
        <v/>
      </c>
      <c r="AI139" t="str">
        <f>IF(AE139="","",IF(AE139="[FÓRMULA MANUAL]","",IFERROR(SUMPRODUCT((DATOS!$A$2:$A$20000=AE139)*(DATOS!$G$2:$G$20000=CONFIG_METADATA!$B$4)*(COUNTIF(CONFIG_ASIGNATURAS!$B$7:$B$27,DATOS!$I$2:$I$20000)&gt;0)*(DATOS!$K$2:$K$20000))/SUMPRODUCT((DATOS!$A$2:$A$20000=AE139)*(DATOS!$G$2:$G$20000=CONFIG_METADATA!$B$4)*(COUNTIF(CONFIG_ASIGNATURAS!$B$7:$B$27,DATOS!$I$2:$I$20000)&gt;0)*1),"")))</f>
        <v/>
      </c>
    </row>
    <row r="140" spans="2:35" x14ac:dyDescent="0.2">
      <c r="B140" t="str">
        <f>IF(A140="","",IF(A140="[FÓRMULA MANUAL]","",IFERROR(AVERAGEIFS(DATOS!$K$2:$K$20000,DATOS!$A$2:$A$20000,A140,DATOS!$G$2:$G$20000,CONFIG_METADATA!$B$4,DATOS!$I$2:$I$20000,"Lenguaje Musical"),"")))</f>
        <v/>
      </c>
      <c r="C140" t="str">
        <f>IF(A140="","",IF(A140="[FÓRMULA MANUAL]","",IFERROR(AVERAGEIFS(DATOS!$K$2:$K$20000,DATOS!$A$2:$A$20000,A140,DATOS!$G$2:$G$20000,CONFIG_METADATA!$B$4,DATOS!$I$2:$I$20000,"Orquesta/Banda/Conjunto"),"")))</f>
        <v/>
      </c>
      <c r="D140" t="str">
        <f>IF(A140="","",IF(A140="[FÓRMULA MANUAL]","",IFERROR(AVERAGEIFS(DATOS!$K$2:$K$20000,DATOS!$A$2:$A$20000,A140,DATOS!$G$2:$G$20000,CONFIG_METADATA!$B$4,DATOS!$I$2:$I$20000,"Conjunto"),"")))</f>
        <v/>
      </c>
      <c r="E140" t="str">
        <f>IF(A140="","",IF(A140="[FÓRMULA MANUAL]","",IFERROR(SUMPRODUCT((DATOS!$A$2:$A$20000=A140)*(DATOS!$G$2:$G$20000=CONFIG_METADATA!$B$4)*(COUNTIF(CONFIG_ASIGNATURAS!$B$7:$B$27,DATOS!$I$2:$I$20000)&gt;0)*(DATOS!$K$2:$K$20000))/SUMPRODUCT((DATOS!$A$2:$A$20000=A140)*(DATOS!$G$2:$G$20000=CONFIG_METADATA!$B$4)*(COUNTIF(CONFIG_ASIGNATURAS!$B$7:$B$27,DATOS!$I$2:$I$20000)&gt;0)*1),"")))</f>
        <v/>
      </c>
      <c r="H140" t="str">
        <f>IF(G140="","",IF(G140="[FÓRMULA MANUAL]","",IFERROR(AVERAGEIFS(DATOS!$K$2:$K$20000,DATOS!$A$2:$A$20000,G140,DATOS!$G$2:$G$20000,CONFIG_METADATA!$B$4,DATOS!$I$2:$I$20000,"Lenguaje Musical"),"")))</f>
        <v/>
      </c>
      <c r="I140" t="str">
        <f>IF(G140="","",IF(G140="[FÓRMULA MANUAL]","",IFERROR(AVERAGEIFS(DATOS!$K$2:$K$20000,DATOS!$A$2:$A$20000,G140,DATOS!$G$2:$G$20000,CONFIG_METADATA!$B$4,DATOS!$I$2:$I$20000,"Orquesta/Banda/Conjunto"),"")))</f>
        <v/>
      </c>
      <c r="J140" t="str">
        <f>IF(G140="","",IF(G140="[FÓRMULA MANUAL]","",IFERROR(AVERAGEIFS(DATOS!$K$2:$K$20000,DATOS!$A$2:$A$20000,G140,DATOS!$G$2:$G$20000,CONFIG_METADATA!$B$4,DATOS!$I$2:$I$20000,"Conjunto"),"")))</f>
        <v/>
      </c>
      <c r="K140" t="str">
        <f>IF(G140="","",IF(G140="[FÓRMULA MANUAL]","",IFERROR(SUMPRODUCT((DATOS!$A$2:$A$20000=G140)*(DATOS!$G$2:$G$20000=CONFIG_METADATA!$B$4)*(COUNTIF(CONFIG_ASIGNATURAS!$B$7:$B$27,DATOS!$I$2:$I$20000)&gt;0)*(DATOS!$K$2:$K$20000))/SUMPRODUCT((DATOS!$A$2:$A$20000=G140)*(DATOS!$G$2:$G$20000=CONFIG_METADATA!$B$4)*(COUNTIF(CONFIG_ASIGNATURAS!$B$7:$B$27,DATOS!$I$2:$I$20000)&gt;0)*1),"")))</f>
        <v/>
      </c>
      <c r="N140" t="str">
        <f>IF(M140="","",IF(M140="[FÓRMULA MANUAL]","",IFERROR(AVERAGEIFS(DATOS!$K$2:$K$20000,DATOS!$A$2:$A$20000,M140,DATOS!$G$2:$G$20000,CONFIG_METADATA!$B$4,DATOS!$I$2:$I$20000,"Armonía"),"")))</f>
        <v/>
      </c>
      <c r="O140" t="str">
        <f>IF(M140="","",IF(M140="[FÓRMULA MANUAL]","",IFERROR(AVERAGEIFS(DATOS!$K$2:$K$20000,DATOS!$A$2:$A$20000,M140,DATOS!$G$2:$G$20000,CONFIG_METADATA!$B$4,DATOS!$I$2:$I$20000,"Orquesta/Banda/Conjunto"),"")))</f>
        <v/>
      </c>
      <c r="P140" t="str">
        <f>IF(M140="","",IF(M140="[FÓRMULA MANUAL]","",IFERROR(AVERAGEIFS(DATOS!$K$2:$K$20000,DATOS!$A$2:$A$20000,M140,DATOS!$G$2:$G$20000,CONFIG_METADATA!$B$4,DATOS!$I$2:$I$20000,"Música de Cámara"),"")))</f>
        <v/>
      </c>
      <c r="Q140" t="str">
        <f>IF(M140="","",IF(M140="[FÓRMULA MANUAL]","",IFERROR(SUMPRODUCT((DATOS!$A$2:$A$20000=M140)*(DATOS!$G$2:$G$20000=CONFIG_METADATA!$B$4)*(COUNTIF(CONFIG_ASIGNATURAS!$B$7:$B$27,DATOS!$I$2:$I$20000)&gt;0)*(DATOS!$K$2:$K$20000))/SUMPRODUCT((DATOS!$A$2:$A$20000=M140)*(DATOS!$G$2:$G$20000=CONFIG_METADATA!$B$4)*(COUNTIF(CONFIG_ASIGNATURAS!$B$7:$B$27,DATOS!$I$2:$I$20000)&gt;0)*1),"")))</f>
        <v/>
      </c>
      <c r="T140" t="str">
        <f>IF(S140="","",IF(S140="[FÓRMULA MANUAL]","",IFERROR(AVERAGEIFS(DATOS!$K$2:$K$20000,DATOS!$A$2:$A$20000,S140,DATOS!$G$2:$G$20000,CONFIG_METADATA!$B$4,DATOS!$I$2:$I$20000,"Armonía"),"")))</f>
        <v/>
      </c>
      <c r="U140" t="str">
        <f>IF(S140="","",IF(S140="[FÓRMULA MANUAL]","",IFERROR(AVERAGEIFS(DATOS!$K$2:$K$20000,DATOS!$A$2:$A$20000,S140,DATOS!$G$2:$G$20000,CONFIG_METADATA!$B$4,DATOS!$I$2:$I$20000,"Orquesta/Banda/Conjunto"),"")))</f>
        <v/>
      </c>
      <c r="V140" t="str">
        <f>IF(S140="","",IF(S140="[FÓRMULA MANUAL]","",IFERROR(AVERAGEIFS(DATOS!$K$2:$K$20000,DATOS!$A$2:$A$20000,S140,DATOS!$G$2:$G$20000,CONFIG_METADATA!$B$4,DATOS!$I$2:$I$20000,"Música de Cámara"),"")))</f>
        <v/>
      </c>
      <c r="W140" t="str">
        <f>IF(S140="","",IF(S140="[FÓRMULA MANUAL]","",IFERROR(SUMPRODUCT((DATOS!$A$2:$A$20000=S140)*(DATOS!$G$2:$G$20000=CONFIG_METADATA!$B$4)*(COUNTIF(CONFIG_ASIGNATURAS!$B$7:$B$27,DATOS!$I$2:$I$20000)&gt;0)*(DATOS!$K$2:$K$20000))/SUMPRODUCT((DATOS!$A$2:$A$20000=S140)*(DATOS!$G$2:$G$20000=CONFIG_METADATA!$B$4)*(COUNTIF(CONFIG_ASIGNATURAS!$B$7:$B$27,DATOS!$I$2:$I$20000)&gt;0)*1),"")))</f>
        <v/>
      </c>
      <c r="Z140" t="str">
        <f>IF(Y140="","",IF(Y140="[FÓRMULA MANUAL]","",IFERROR(AVERAGEIFS(DATOS!$K$2:$K$20000,DATOS!$A$2:$A$20000,Y140,DATOS!$G$2:$G$20000,CONFIG_METADATA!$B$4,DATOS!$I$2:$I$20000,"Análisis"),"")))</f>
        <v/>
      </c>
      <c r="AA140" t="str">
        <f>IF(Y140="","",IF(Y140="[FÓRMULA MANUAL]","",IFERROR(AVERAGEIFS(DATOS!$K$2:$K$20000,DATOS!$A$2:$A$20000,Y140,DATOS!$G$2:$G$20000,CONFIG_METADATA!$B$4,DATOS!$I$2:$I$20000,"Orquesta/Banda/Conjunto"),"")))</f>
        <v/>
      </c>
      <c r="AB140" t="str">
        <f>IF(Y140="","",IF(Y140="[FÓRMULA MANUAL]","",IFERROR(AVERAGEIFS(DATOS!$K$2:$K$20000,DATOS!$A$2:$A$20000,Y140,DATOS!$G$2:$G$20000,CONFIG_METADATA!$B$4,DATOS!$I$2:$I$20000,"Música de Cámara"),"")))</f>
        <v/>
      </c>
      <c r="AC140" t="str">
        <f>IF(Y140="","",IF(Y140="[FÓRMULA MANUAL]","",IFERROR(SUMPRODUCT((DATOS!$A$2:$A$20000=Y140)*(DATOS!$G$2:$G$20000=CONFIG_METADATA!$B$4)*(COUNTIF(CONFIG_ASIGNATURAS!$B$7:$B$27,DATOS!$I$2:$I$20000)&gt;0)*(DATOS!$K$2:$K$20000))/SUMPRODUCT((DATOS!$A$2:$A$20000=Y140)*(DATOS!$G$2:$G$20000=CONFIG_METADATA!$B$4)*(COUNTIF(CONFIG_ASIGNATURAS!$B$7:$B$27,DATOS!$I$2:$I$20000)&gt;0)*1),"")))</f>
        <v/>
      </c>
      <c r="AF140" t="str">
        <f>IF(AE140="","",IF(AE140="[FÓRMULA MANUAL]","",IFERROR(AVERAGEIFS(DATOS!$K$2:$K$20000,DATOS!$A$2:$A$20000,AE140,DATOS!$G$2:$G$20000,CONFIG_METADATA!$B$4,DATOS!$I$2:$I$20000,"Análisis"),"")))</f>
        <v/>
      </c>
      <c r="AG140" t="str">
        <f>IF(AE140="","",IF(AE140="[FÓRMULA MANUAL]","",IFERROR(AVERAGEIFS(DATOS!$K$2:$K$20000,DATOS!$A$2:$A$20000,AE140,DATOS!$G$2:$G$20000,CONFIG_METADATA!$B$4,DATOS!$I$2:$I$20000,"Orquesta/Banda/Conjunto"),"")))</f>
        <v/>
      </c>
      <c r="AH140" t="str">
        <f>IF(AE140="","",IF(AE140="[FÓRMULA MANUAL]","",IFERROR(AVERAGEIFS(DATOS!$K$2:$K$20000,DATOS!$A$2:$A$20000,AE140,DATOS!$G$2:$G$20000,CONFIG_METADATA!$B$4,DATOS!$I$2:$I$20000,"Música de Cámara"),"")))</f>
        <v/>
      </c>
      <c r="AI140" t="str">
        <f>IF(AE140="","",IF(AE140="[FÓRMULA MANUAL]","",IFERROR(SUMPRODUCT((DATOS!$A$2:$A$20000=AE140)*(DATOS!$G$2:$G$20000=CONFIG_METADATA!$B$4)*(COUNTIF(CONFIG_ASIGNATURAS!$B$7:$B$27,DATOS!$I$2:$I$20000)&gt;0)*(DATOS!$K$2:$K$20000))/SUMPRODUCT((DATOS!$A$2:$A$20000=AE140)*(DATOS!$G$2:$G$20000=CONFIG_METADATA!$B$4)*(COUNTIF(CONFIG_ASIGNATURAS!$B$7:$B$27,DATOS!$I$2:$I$20000)&gt;0)*1),"")))</f>
        <v/>
      </c>
    </row>
    <row r="141" spans="2:35" x14ac:dyDescent="0.2">
      <c r="B141" t="str">
        <f>IF(A141="","",IF(A141="[FÓRMULA MANUAL]","",IFERROR(AVERAGEIFS(DATOS!$K$2:$K$20000,DATOS!$A$2:$A$20000,A141,DATOS!$G$2:$G$20000,CONFIG_METADATA!$B$4,DATOS!$I$2:$I$20000,"Lenguaje Musical"),"")))</f>
        <v/>
      </c>
      <c r="C141" t="str">
        <f>IF(A141="","",IF(A141="[FÓRMULA MANUAL]","",IFERROR(AVERAGEIFS(DATOS!$K$2:$K$20000,DATOS!$A$2:$A$20000,A141,DATOS!$G$2:$G$20000,CONFIG_METADATA!$B$4,DATOS!$I$2:$I$20000,"Orquesta/Banda/Conjunto"),"")))</f>
        <v/>
      </c>
      <c r="D141" t="str">
        <f>IF(A141="","",IF(A141="[FÓRMULA MANUAL]","",IFERROR(AVERAGEIFS(DATOS!$K$2:$K$20000,DATOS!$A$2:$A$20000,A141,DATOS!$G$2:$G$20000,CONFIG_METADATA!$B$4,DATOS!$I$2:$I$20000,"Conjunto"),"")))</f>
        <v/>
      </c>
      <c r="E141" t="str">
        <f>IF(A141="","",IF(A141="[FÓRMULA MANUAL]","",IFERROR(SUMPRODUCT((DATOS!$A$2:$A$20000=A141)*(DATOS!$G$2:$G$20000=CONFIG_METADATA!$B$4)*(COUNTIF(CONFIG_ASIGNATURAS!$B$7:$B$27,DATOS!$I$2:$I$20000)&gt;0)*(DATOS!$K$2:$K$20000))/SUMPRODUCT((DATOS!$A$2:$A$20000=A141)*(DATOS!$G$2:$G$20000=CONFIG_METADATA!$B$4)*(COUNTIF(CONFIG_ASIGNATURAS!$B$7:$B$27,DATOS!$I$2:$I$20000)&gt;0)*1),"")))</f>
        <v/>
      </c>
      <c r="H141" t="str">
        <f>IF(G141="","",IF(G141="[FÓRMULA MANUAL]","",IFERROR(AVERAGEIFS(DATOS!$K$2:$K$20000,DATOS!$A$2:$A$20000,G141,DATOS!$G$2:$G$20000,CONFIG_METADATA!$B$4,DATOS!$I$2:$I$20000,"Lenguaje Musical"),"")))</f>
        <v/>
      </c>
      <c r="I141" t="str">
        <f>IF(G141="","",IF(G141="[FÓRMULA MANUAL]","",IFERROR(AVERAGEIFS(DATOS!$K$2:$K$20000,DATOS!$A$2:$A$20000,G141,DATOS!$G$2:$G$20000,CONFIG_METADATA!$B$4,DATOS!$I$2:$I$20000,"Orquesta/Banda/Conjunto"),"")))</f>
        <v/>
      </c>
      <c r="J141" t="str">
        <f>IF(G141="","",IF(G141="[FÓRMULA MANUAL]","",IFERROR(AVERAGEIFS(DATOS!$K$2:$K$20000,DATOS!$A$2:$A$20000,G141,DATOS!$G$2:$G$20000,CONFIG_METADATA!$B$4,DATOS!$I$2:$I$20000,"Conjunto"),"")))</f>
        <v/>
      </c>
      <c r="K141" t="str">
        <f>IF(G141="","",IF(G141="[FÓRMULA MANUAL]","",IFERROR(SUMPRODUCT((DATOS!$A$2:$A$20000=G141)*(DATOS!$G$2:$G$20000=CONFIG_METADATA!$B$4)*(COUNTIF(CONFIG_ASIGNATURAS!$B$7:$B$27,DATOS!$I$2:$I$20000)&gt;0)*(DATOS!$K$2:$K$20000))/SUMPRODUCT((DATOS!$A$2:$A$20000=G141)*(DATOS!$G$2:$G$20000=CONFIG_METADATA!$B$4)*(COUNTIF(CONFIG_ASIGNATURAS!$B$7:$B$27,DATOS!$I$2:$I$20000)&gt;0)*1),"")))</f>
        <v/>
      </c>
      <c r="N141" t="str">
        <f>IF(M141="","",IF(M141="[FÓRMULA MANUAL]","",IFERROR(AVERAGEIFS(DATOS!$K$2:$K$20000,DATOS!$A$2:$A$20000,M141,DATOS!$G$2:$G$20000,CONFIG_METADATA!$B$4,DATOS!$I$2:$I$20000,"Armonía"),"")))</f>
        <v/>
      </c>
      <c r="O141" t="str">
        <f>IF(M141="","",IF(M141="[FÓRMULA MANUAL]","",IFERROR(AVERAGEIFS(DATOS!$K$2:$K$20000,DATOS!$A$2:$A$20000,M141,DATOS!$G$2:$G$20000,CONFIG_METADATA!$B$4,DATOS!$I$2:$I$20000,"Orquesta/Banda/Conjunto"),"")))</f>
        <v/>
      </c>
      <c r="P141" t="str">
        <f>IF(M141="","",IF(M141="[FÓRMULA MANUAL]","",IFERROR(AVERAGEIFS(DATOS!$K$2:$K$20000,DATOS!$A$2:$A$20000,M141,DATOS!$G$2:$G$20000,CONFIG_METADATA!$B$4,DATOS!$I$2:$I$20000,"Música de Cámara"),"")))</f>
        <v/>
      </c>
      <c r="Q141" t="str">
        <f>IF(M141="","",IF(M141="[FÓRMULA MANUAL]","",IFERROR(SUMPRODUCT((DATOS!$A$2:$A$20000=M141)*(DATOS!$G$2:$G$20000=CONFIG_METADATA!$B$4)*(COUNTIF(CONFIG_ASIGNATURAS!$B$7:$B$27,DATOS!$I$2:$I$20000)&gt;0)*(DATOS!$K$2:$K$20000))/SUMPRODUCT((DATOS!$A$2:$A$20000=M141)*(DATOS!$G$2:$G$20000=CONFIG_METADATA!$B$4)*(COUNTIF(CONFIG_ASIGNATURAS!$B$7:$B$27,DATOS!$I$2:$I$20000)&gt;0)*1),"")))</f>
        <v/>
      </c>
      <c r="T141" t="str">
        <f>IF(S141="","",IF(S141="[FÓRMULA MANUAL]","",IFERROR(AVERAGEIFS(DATOS!$K$2:$K$20000,DATOS!$A$2:$A$20000,S141,DATOS!$G$2:$G$20000,CONFIG_METADATA!$B$4,DATOS!$I$2:$I$20000,"Armonía"),"")))</f>
        <v/>
      </c>
      <c r="U141" t="str">
        <f>IF(S141="","",IF(S141="[FÓRMULA MANUAL]","",IFERROR(AVERAGEIFS(DATOS!$K$2:$K$20000,DATOS!$A$2:$A$20000,S141,DATOS!$G$2:$G$20000,CONFIG_METADATA!$B$4,DATOS!$I$2:$I$20000,"Orquesta/Banda/Conjunto"),"")))</f>
        <v/>
      </c>
      <c r="V141" t="str">
        <f>IF(S141="","",IF(S141="[FÓRMULA MANUAL]","",IFERROR(AVERAGEIFS(DATOS!$K$2:$K$20000,DATOS!$A$2:$A$20000,S141,DATOS!$G$2:$G$20000,CONFIG_METADATA!$B$4,DATOS!$I$2:$I$20000,"Música de Cámara"),"")))</f>
        <v/>
      </c>
      <c r="W141" t="str">
        <f>IF(S141="","",IF(S141="[FÓRMULA MANUAL]","",IFERROR(SUMPRODUCT((DATOS!$A$2:$A$20000=S141)*(DATOS!$G$2:$G$20000=CONFIG_METADATA!$B$4)*(COUNTIF(CONFIG_ASIGNATURAS!$B$7:$B$27,DATOS!$I$2:$I$20000)&gt;0)*(DATOS!$K$2:$K$20000))/SUMPRODUCT((DATOS!$A$2:$A$20000=S141)*(DATOS!$G$2:$G$20000=CONFIG_METADATA!$B$4)*(COUNTIF(CONFIG_ASIGNATURAS!$B$7:$B$27,DATOS!$I$2:$I$20000)&gt;0)*1),"")))</f>
        <v/>
      </c>
      <c r="Z141" t="str">
        <f>IF(Y141="","",IF(Y141="[FÓRMULA MANUAL]","",IFERROR(AVERAGEIFS(DATOS!$K$2:$K$20000,DATOS!$A$2:$A$20000,Y141,DATOS!$G$2:$G$20000,CONFIG_METADATA!$B$4,DATOS!$I$2:$I$20000,"Análisis"),"")))</f>
        <v/>
      </c>
      <c r="AA141" t="str">
        <f>IF(Y141="","",IF(Y141="[FÓRMULA MANUAL]","",IFERROR(AVERAGEIFS(DATOS!$K$2:$K$20000,DATOS!$A$2:$A$20000,Y141,DATOS!$G$2:$G$20000,CONFIG_METADATA!$B$4,DATOS!$I$2:$I$20000,"Orquesta/Banda/Conjunto"),"")))</f>
        <v/>
      </c>
      <c r="AB141" t="str">
        <f>IF(Y141="","",IF(Y141="[FÓRMULA MANUAL]","",IFERROR(AVERAGEIFS(DATOS!$K$2:$K$20000,DATOS!$A$2:$A$20000,Y141,DATOS!$G$2:$G$20000,CONFIG_METADATA!$B$4,DATOS!$I$2:$I$20000,"Música de Cámara"),"")))</f>
        <v/>
      </c>
      <c r="AC141" t="str">
        <f>IF(Y141="","",IF(Y141="[FÓRMULA MANUAL]","",IFERROR(SUMPRODUCT((DATOS!$A$2:$A$20000=Y141)*(DATOS!$G$2:$G$20000=CONFIG_METADATA!$B$4)*(COUNTIF(CONFIG_ASIGNATURAS!$B$7:$B$27,DATOS!$I$2:$I$20000)&gt;0)*(DATOS!$K$2:$K$20000))/SUMPRODUCT((DATOS!$A$2:$A$20000=Y141)*(DATOS!$G$2:$G$20000=CONFIG_METADATA!$B$4)*(COUNTIF(CONFIG_ASIGNATURAS!$B$7:$B$27,DATOS!$I$2:$I$20000)&gt;0)*1),"")))</f>
        <v/>
      </c>
      <c r="AF141" t="str">
        <f>IF(AE141="","",IF(AE141="[FÓRMULA MANUAL]","",IFERROR(AVERAGEIFS(DATOS!$K$2:$K$20000,DATOS!$A$2:$A$20000,AE141,DATOS!$G$2:$G$20000,CONFIG_METADATA!$B$4,DATOS!$I$2:$I$20000,"Análisis"),"")))</f>
        <v/>
      </c>
      <c r="AG141" t="str">
        <f>IF(AE141="","",IF(AE141="[FÓRMULA MANUAL]","",IFERROR(AVERAGEIFS(DATOS!$K$2:$K$20000,DATOS!$A$2:$A$20000,AE141,DATOS!$G$2:$G$20000,CONFIG_METADATA!$B$4,DATOS!$I$2:$I$20000,"Orquesta/Banda/Conjunto"),"")))</f>
        <v/>
      </c>
      <c r="AH141" t="str">
        <f>IF(AE141="","",IF(AE141="[FÓRMULA MANUAL]","",IFERROR(AVERAGEIFS(DATOS!$K$2:$K$20000,DATOS!$A$2:$A$20000,AE141,DATOS!$G$2:$G$20000,CONFIG_METADATA!$B$4,DATOS!$I$2:$I$20000,"Música de Cámara"),"")))</f>
        <v/>
      </c>
      <c r="AI141" t="str">
        <f>IF(AE141="","",IF(AE141="[FÓRMULA MANUAL]","",IFERROR(SUMPRODUCT((DATOS!$A$2:$A$20000=AE141)*(DATOS!$G$2:$G$20000=CONFIG_METADATA!$B$4)*(COUNTIF(CONFIG_ASIGNATURAS!$B$7:$B$27,DATOS!$I$2:$I$20000)&gt;0)*(DATOS!$K$2:$K$20000))/SUMPRODUCT((DATOS!$A$2:$A$20000=AE141)*(DATOS!$G$2:$G$20000=CONFIG_METADATA!$B$4)*(COUNTIF(CONFIG_ASIGNATURAS!$B$7:$B$27,DATOS!$I$2:$I$20000)&gt;0)*1),"")))</f>
        <v/>
      </c>
    </row>
    <row r="142" spans="2:35" x14ac:dyDescent="0.2">
      <c r="B142" t="str">
        <f>IF(A142="","",IF(A142="[FÓRMULA MANUAL]","",IFERROR(AVERAGEIFS(DATOS!$K$2:$K$20000,DATOS!$A$2:$A$20000,A142,DATOS!$G$2:$G$20000,CONFIG_METADATA!$B$4,DATOS!$I$2:$I$20000,"Lenguaje Musical"),"")))</f>
        <v/>
      </c>
      <c r="C142" t="str">
        <f>IF(A142="","",IF(A142="[FÓRMULA MANUAL]","",IFERROR(AVERAGEIFS(DATOS!$K$2:$K$20000,DATOS!$A$2:$A$20000,A142,DATOS!$G$2:$G$20000,CONFIG_METADATA!$B$4,DATOS!$I$2:$I$20000,"Orquesta/Banda/Conjunto"),"")))</f>
        <v/>
      </c>
      <c r="D142" t="str">
        <f>IF(A142="","",IF(A142="[FÓRMULA MANUAL]","",IFERROR(AVERAGEIFS(DATOS!$K$2:$K$20000,DATOS!$A$2:$A$20000,A142,DATOS!$G$2:$G$20000,CONFIG_METADATA!$B$4,DATOS!$I$2:$I$20000,"Conjunto"),"")))</f>
        <v/>
      </c>
      <c r="E142" t="str">
        <f>IF(A142="","",IF(A142="[FÓRMULA MANUAL]","",IFERROR(SUMPRODUCT((DATOS!$A$2:$A$20000=A142)*(DATOS!$G$2:$G$20000=CONFIG_METADATA!$B$4)*(COUNTIF(CONFIG_ASIGNATURAS!$B$7:$B$27,DATOS!$I$2:$I$20000)&gt;0)*(DATOS!$K$2:$K$20000))/SUMPRODUCT((DATOS!$A$2:$A$20000=A142)*(DATOS!$G$2:$G$20000=CONFIG_METADATA!$B$4)*(COUNTIF(CONFIG_ASIGNATURAS!$B$7:$B$27,DATOS!$I$2:$I$20000)&gt;0)*1),"")))</f>
        <v/>
      </c>
      <c r="H142" t="str">
        <f>IF(G142="","",IF(G142="[FÓRMULA MANUAL]","",IFERROR(AVERAGEIFS(DATOS!$K$2:$K$20000,DATOS!$A$2:$A$20000,G142,DATOS!$G$2:$G$20000,CONFIG_METADATA!$B$4,DATOS!$I$2:$I$20000,"Lenguaje Musical"),"")))</f>
        <v/>
      </c>
      <c r="I142" t="str">
        <f>IF(G142="","",IF(G142="[FÓRMULA MANUAL]","",IFERROR(AVERAGEIFS(DATOS!$K$2:$K$20000,DATOS!$A$2:$A$20000,G142,DATOS!$G$2:$G$20000,CONFIG_METADATA!$B$4,DATOS!$I$2:$I$20000,"Orquesta/Banda/Conjunto"),"")))</f>
        <v/>
      </c>
      <c r="J142" t="str">
        <f>IF(G142="","",IF(G142="[FÓRMULA MANUAL]","",IFERROR(AVERAGEIFS(DATOS!$K$2:$K$20000,DATOS!$A$2:$A$20000,G142,DATOS!$G$2:$G$20000,CONFIG_METADATA!$B$4,DATOS!$I$2:$I$20000,"Conjunto"),"")))</f>
        <v/>
      </c>
      <c r="K142" t="str">
        <f>IF(G142="","",IF(G142="[FÓRMULA MANUAL]","",IFERROR(SUMPRODUCT((DATOS!$A$2:$A$20000=G142)*(DATOS!$G$2:$G$20000=CONFIG_METADATA!$B$4)*(COUNTIF(CONFIG_ASIGNATURAS!$B$7:$B$27,DATOS!$I$2:$I$20000)&gt;0)*(DATOS!$K$2:$K$20000))/SUMPRODUCT((DATOS!$A$2:$A$20000=G142)*(DATOS!$G$2:$G$20000=CONFIG_METADATA!$B$4)*(COUNTIF(CONFIG_ASIGNATURAS!$B$7:$B$27,DATOS!$I$2:$I$20000)&gt;0)*1),"")))</f>
        <v/>
      </c>
      <c r="N142" t="str">
        <f>IF(M142="","",IF(M142="[FÓRMULA MANUAL]","",IFERROR(AVERAGEIFS(DATOS!$K$2:$K$20000,DATOS!$A$2:$A$20000,M142,DATOS!$G$2:$G$20000,CONFIG_METADATA!$B$4,DATOS!$I$2:$I$20000,"Armonía"),"")))</f>
        <v/>
      </c>
      <c r="O142" t="str">
        <f>IF(M142="","",IF(M142="[FÓRMULA MANUAL]","",IFERROR(AVERAGEIFS(DATOS!$K$2:$K$20000,DATOS!$A$2:$A$20000,M142,DATOS!$G$2:$G$20000,CONFIG_METADATA!$B$4,DATOS!$I$2:$I$20000,"Orquesta/Banda/Conjunto"),"")))</f>
        <v/>
      </c>
      <c r="P142" t="str">
        <f>IF(M142="","",IF(M142="[FÓRMULA MANUAL]","",IFERROR(AVERAGEIFS(DATOS!$K$2:$K$20000,DATOS!$A$2:$A$20000,M142,DATOS!$G$2:$G$20000,CONFIG_METADATA!$B$4,DATOS!$I$2:$I$20000,"Música de Cámara"),"")))</f>
        <v/>
      </c>
      <c r="Q142" t="str">
        <f>IF(M142="","",IF(M142="[FÓRMULA MANUAL]","",IFERROR(SUMPRODUCT((DATOS!$A$2:$A$20000=M142)*(DATOS!$G$2:$G$20000=CONFIG_METADATA!$B$4)*(COUNTIF(CONFIG_ASIGNATURAS!$B$7:$B$27,DATOS!$I$2:$I$20000)&gt;0)*(DATOS!$K$2:$K$20000))/SUMPRODUCT((DATOS!$A$2:$A$20000=M142)*(DATOS!$G$2:$G$20000=CONFIG_METADATA!$B$4)*(COUNTIF(CONFIG_ASIGNATURAS!$B$7:$B$27,DATOS!$I$2:$I$20000)&gt;0)*1),"")))</f>
        <v/>
      </c>
      <c r="T142" t="str">
        <f>IF(S142="","",IF(S142="[FÓRMULA MANUAL]","",IFERROR(AVERAGEIFS(DATOS!$K$2:$K$20000,DATOS!$A$2:$A$20000,S142,DATOS!$G$2:$G$20000,CONFIG_METADATA!$B$4,DATOS!$I$2:$I$20000,"Armonía"),"")))</f>
        <v/>
      </c>
      <c r="U142" t="str">
        <f>IF(S142="","",IF(S142="[FÓRMULA MANUAL]","",IFERROR(AVERAGEIFS(DATOS!$K$2:$K$20000,DATOS!$A$2:$A$20000,S142,DATOS!$G$2:$G$20000,CONFIG_METADATA!$B$4,DATOS!$I$2:$I$20000,"Orquesta/Banda/Conjunto"),"")))</f>
        <v/>
      </c>
      <c r="V142" t="str">
        <f>IF(S142="","",IF(S142="[FÓRMULA MANUAL]","",IFERROR(AVERAGEIFS(DATOS!$K$2:$K$20000,DATOS!$A$2:$A$20000,S142,DATOS!$G$2:$G$20000,CONFIG_METADATA!$B$4,DATOS!$I$2:$I$20000,"Música de Cámara"),"")))</f>
        <v/>
      </c>
      <c r="W142" t="str">
        <f>IF(S142="","",IF(S142="[FÓRMULA MANUAL]","",IFERROR(SUMPRODUCT((DATOS!$A$2:$A$20000=S142)*(DATOS!$G$2:$G$20000=CONFIG_METADATA!$B$4)*(COUNTIF(CONFIG_ASIGNATURAS!$B$7:$B$27,DATOS!$I$2:$I$20000)&gt;0)*(DATOS!$K$2:$K$20000))/SUMPRODUCT((DATOS!$A$2:$A$20000=S142)*(DATOS!$G$2:$G$20000=CONFIG_METADATA!$B$4)*(COUNTIF(CONFIG_ASIGNATURAS!$B$7:$B$27,DATOS!$I$2:$I$20000)&gt;0)*1),"")))</f>
        <v/>
      </c>
      <c r="Z142" t="str">
        <f>IF(Y142="","",IF(Y142="[FÓRMULA MANUAL]","",IFERROR(AVERAGEIFS(DATOS!$K$2:$K$20000,DATOS!$A$2:$A$20000,Y142,DATOS!$G$2:$G$20000,CONFIG_METADATA!$B$4,DATOS!$I$2:$I$20000,"Análisis"),"")))</f>
        <v/>
      </c>
      <c r="AA142" t="str">
        <f>IF(Y142="","",IF(Y142="[FÓRMULA MANUAL]","",IFERROR(AVERAGEIFS(DATOS!$K$2:$K$20000,DATOS!$A$2:$A$20000,Y142,DATOS!$G$2:$G$20000,CONFIG_METADATA!$B$4,DATOS!$I$2:$I$20000,"Orquesta/Banda/Conjunto"),"")))</f>
        <v/>
      </c>
      <c r="AB142" t="str">
        <f>IF(Y142="","",IF(Y142="[FÓRMULA MANUAL]","",IFERROR(AVERAGEIFS(DATOS!$K$2:$K$20000,DATOS!$A$2:$A$20000,Y142,DATOS!$G$2:$G$20000,CONFIG_METADATA!$B$4,DATOS!$I$2:$I$20000,"Música de Cámara"),"")))</f>
        <v/>
      </c>
      <c r="AC142" t="str">
        <f>IF(Y142="","",IF(Y142="[FÓRMULA MANUAL]","",IFERROR(SUMPRODUCT((DATOS!$A$2:$A$20000=Y142)*(DATOS!$G$2:$G$20000=CONFIG_METADATA!$B$4)*(COUNTIF(CONFIG_ASIGNATURAS!$B$7:$B$27,DATOS!$I$2:$I$20000)&gt;0)*(DATOS!$K$2:$K$20000))/SUMPRODUCT((DATOS!$A$2:$A$20000=Y142)*(DATOS!$G$2:$G$20000=CONFIG_METADATA!$B$4)*(COUNTIF(CONFIG_ASIGNATURAS!$B$7:$B$27,DATOS!$I$2:$I$20000)&gt;0)*1),"")))</f>
        <v/>
      </c>
      <c r="AF142" t="str">
        <f>IF(AE142="","",IF(AE142="[FÓRMULA MANUAL]","",IFERROR(AVERAGEIFS(DATOS!$K$2:$K$20000,DATOS!$A$2:$A$20000,AE142,DATOS!$G$2:$G$20000,CONFIG_METADATA!$B$4,DATOS!$I$2:$I$20000,"Análisis"),"")))</f>
        <v/>
      </c>
      <c r="AG142" t="str">
        <f>IF(AE142="","",IF(AE142="[FÓRMULA MANUAL]","",IFERROR(AVERAGEIFS(DATOS!$K$2:$K$20000,DATOS!$A$2:$A$20000,AE142,DATOS!$G$2:$G$20000,CONFIG_METADATA!$B$4,DATOS!$I$2:$I$20000,"Orquesta/Banda/Conjunto"),"")))</f>
        <v/>
      </c>
      <c r="AH142" t="str">
        <f>IF(AE142="","",IF(AE142="[FÓRMULA MANUAL]","",IFERROR(AVERAGEIFS(DATOS!$K$2:$K$20000,DATOS!$A$2:$A$20000,AE142,DATOS!$G$2:$G$20000,CONFIG_METADATA!$B$4,DATOS!$I$2:$I$20000,"Música de Cámara"),"")))</f>
        <v/>
      </c>
      <c r="AI142" t="str">
        <f>IF(AE142="","",IF(AE142="[FÓRMULA MANUAL]","",IFERROR(SUMPRODUCT((DATOS!$A$2:$A$20000=AE142)*(DATOS!$G$2:$G$20000=CONFIG_METADATA!$B$4)*(COUNTIF(CONFIG_ASIGNATURAS!$B$7:$B$27,DATOS!$I$2:$I$20000)&gt;0)*(DATOS!$K$2:$K$20000))/SUMPRODUCT((DATOS!$A$2:$A$20000=AE142)*(DATOS!$G$2:$G$20000=CONFIG_METADATA!$B$4)*(COUNTIF(CONFIG_ASIGNATURAS!$B$7:$B$27,DATOS!$I$2:$I$20000)&gt;0)*1),"")))</f>
        <v/>
      </c>
    </row>
    <row r="143" spans="2:35" x14ac:dyDescent="0.2">
      <c r="B143" t="str">
        <f>IF(A143="","",IF(A143="[FÓRMULA MANUAL]","",IFERROR(AVERAGEIFS(DATOS!$K$2:$K$20000,DATOS!$A$2:$A$20000,A143,DATOS!$G$2:$G$20000,CONFIG_METADATA!$B$4,DATOS!$I$2:$I$20000,"Lenguaje Musical"),"")))</f>
        <v/>
      </c>
      <c r="C143" t="str">
        <f>IF(A143="","",IF(A143="[FÓRMULA MANUAL]","",IFERROR(AVERAGEIFS(DATOS!$K$2:$K$20000,DATOS!$A$2:$A$20000,A143,DATOS!$G$2:$G$20000,CONFIG_METADATA!$B$4,DATOS!$I$2:$I$20000,"Orquesta/Banda/Conjunto"),"")))</f>
        <v/>
      </c>
      <c r="D143" t="str">
        <f>IF(A143="","",IF(A143="[FÓRMULA MANUAL]","",IFERROR(AVERAGEIFS(DATOS!$K$2:$K$20000,DATOS!$A$2:$A$20000,A143,DATOS!$G$2:$G$20000,CONFIG_METADATA!$B$4,DATOS!$I$2:$I$20000,"Conjunto"),"")))</f>
        <v/>
      </c>
      <c r="E143" t="str">
        <f>IF(A143="","",IF(A143="[FÓRMULA MANUAL]","",IFERROR(SUMPRODUCT((DATOS!$A$2:$A$20000=A143)*(DATOS!$G$2:$G$20000=CONFIG_METADATA!$B$4)*(COUNTIF(CONFIG_ASIGNATURAS!$B$7:$B$27,DATOS!$I$2:$I$20000)&gt;0)*(DATOS!$K$2:$K$20000))/SUMPRODUCT((DATOS!$A$2:$A$20000=A143)*(DATOS!$G$2:$G$20000=CONFIG_METADATA!$B$4)*(COUNTIF(CONFIG_ASIGNATURAS!$B$7:$B$27,DATOS!$I$2:$I$20000)&gt;0)*1),"")))</f>
        <v/>
      </c>
      <c r="H143" t="str">
        <f>IF(G143="","",IF(G143="[FÓRMULA MANUAL]","",IFERROR(AVERAGEIFS(DATOS!$K$2:$K$20000,DATOS!$A$2:$A$20000,G143,DATOS!$G$2:$G$20000,CONFIG_METADATA!$B$4,DATOS!$I$2:$I$20000,"Lenguaje Musical"),"")))</f>
        <v/>
      </c>
      <c r="I143" t="str">
        <f>IF(G143="","",IF(G143="[FÓRMULA MANUAL]","",IFERROR(AVERAGEIFS(DATOS!$K$2:$K$20000,DATOS!$A$2:$A$20000,G143,DATOS!$G$2:$G$20000,CONFIG_METADATA!$B$4,DATOS!$I$2:$I$20000,"Orquesta/Banda/Conjunto"),"")))</f>
        <v/>
      </c>
      <c r="J143" t="str">
        <f>IF(G143="","",IF(G143="[FÓRMULA MANUAL]","",IFERROR(AVERAGEIFS(DATOS!$K$2:$K$20000,DATOS!$A$2:$A$20000,G143,DATOS!$G$2:$G$20000,CONFIG_METADATA!$B$4,DATOS!$I$2:$I$20000,"Conjunto"),"")))</f>
        <v/>
      </c>
      <c r="K143" t="str">
        <f>IF(G143="","",IF(G143="[FÓRMULA MANUAL]","",IFERROR(SUMPRODUCT((DATOS!$A$2:$A$20000=G143)*(DATOS!$G$2:$G$20000=CONFIG_METADATA!$B$4)*(COUNTIF(CONFIG_ASIGNATURAS!$B$7:$B$27,DATOS!$I$2:$I$20000)&gt;0)*(DATOS!$K$2:$K$20000))/SUMPRODUCT((DATOS!$A$2:$A$20000=G143)*(DATOS!$G$2:$G$20000=CONFIG_METADATA!$B$4)*(COUNTIF(CONFIG_ASIGNATURAS!$B$7:$B$27,DATOS!$I$2:$I$20000)&gt;0)*1),"")))</f>
        <v/>
      </c>
      <c r="N143" t="str">
        <f>IF(M143="","",IF(M143="[FÓRMULA MANUAL]","",IFERROR(AVERAGEIFS(DATOS!$K$2:$K$20000,DATOS!$A$2:$A$20000,M143,DATOS!$G$2:$G$20000,CONFIG_METADATA!$B$4,DATOS!$I$2:$I$20000,"Armonía"),"")))</f>
        <v/>
      </c>
      <c r="O143" t="str">
        <f>IF(M143="","",IF(M143="[FÓRMULA MANUAL]","",IFERROR(AVERAGEIFS(DATOS!$K$2:$K$20000,DATOS!$A$2:$A$20000,M143,DATOS!$G$2:$G$20000,CONFIG_METADATA!$B$4,DATOS!$I$2:$I$20000,"Orquesta/Banda/Conjunto"),"")))</f>
        <v/>
      </c>
      <c r="P143" t="str">
        <f>IF(M143="","",IF(M143="[FÓRMULA MANUAL]","",IFERROR(AVERAGEIFS(DATOS!$K$2:$K$20000,DATOS!$A$2:$A$20000,M143,DATOS!$G$2:$G$20000,CONFIG_METADATA!$B$4,DATOS!$I$2:$I$20000,"Música de Cámara"),"")))</f>
        <v/>
      </c>
      <c r="Q143" t="str">
        <f>IF(M143="","",IF(M143="[FÓRMULA MANUAL]","",IFERROR(SUMPRODUCT((DATOS!$A$2:$A$20000=M143)*(DATOS!$G$2:$G$20000=CONFIG_METADATA!$B$4)*(COUNTIF(CONFIG_ASIGNATURAS!$B$7:$B$27,DATOS!$I$2:$I$20000)&gt;0)*(DATOS!$K$2:$K$20000))/SUMPRODUCT((DATOS!$A$2:$A$20000=M143)*(DATOS!$G$2:$G$20000=CONFIG_METADATA!$B$4)*(COUNTIF(CONFIG_ASIGNATURAS!$B$7:$B$27,DATOS!$I$2:$I$20000)&gt;0)*1),"")))</f>
        <v/>
      </c>
      <c r="T143" t="str">
        <f>IF(S143="","",IF(S143="[FÓRMULA MANUAL]","",IFERROR(AVERAGEIFS(DATOS!$K$2:$K$20000,DATOS!$A$2:$A$20000,S143,DATOS!$G$2:$G$20000,CONFIG_METADATA!$B$4,DATOS!$I$2:$I$20000,"Armonía"),"")))</f>
        <v/>
      </c>
      <c r="U143" t="str">
        <f>IF(S143="","",IF(S143="[FÓRMULA MANUAL]","",IFERROR(AVERAGEIFS(DATOS!$K$2:$K$20000,DATOS!$A$2:$A$20000,S143,DATOS!$G$2:$G$20000,CONFIG_METADATA!$B$4,DATOS!$I$2:$I$20000,"Orquesta/Banda/Conjunto"),"")))</f>
        <v/>
      </c>
      <c r="V143" t="str">
        <f>IF(S143="","",IF(S143="[FÓRMULA MANUAL]","",IFERROR(AVERAGEIFS(DATOS!$K$2:$K$20000,DATOS!$A$2:$A$20000,S143,DATOS!$G$2:$G$20000,CONFIG_METADATA!$B$4,DATOS!$I$2:$I$20000,"Música de Cámara"),"")))</f>
        <v/>
      </c>
      <c r="W143" t="str">
        <f>IF(S143="","",IF(S143="[FÓRMULA MANUAL]","",IFERROR(SUMPRODUCT((DATOS!$A$2:$A$20000=S143)*(DATOS!$G$2:$G$20000=CONFIG_METADATA!$B$4)*(COUNTIF(CONFIG_ASIGNATURAS!$B$7:$B$27,DATOS!$I$2:$I$20000)&gt;0)*(DATOS!$K$2:$K$20000))/SUMPRODUCT((DATOS!$A$2:$A$20000=S143)*(DATOS!$G$2:$G$20000=CONFIG_METADATA!$B$4)*(COUNTIF(CONFIG_ASIGNATURAS!$B$7:$B$27,DATOS!$I$2:$I$20000)&gt;0)*1),"")))</f>
        <v/>
      </c>
      <c r="Z143" t="str">
        <f>IF(Y143="","",IF(Y143="[FÓRMULA MANUAL]","",IFERROR(AVERAGEIFS(DATOS!$K$2:$K$20000,DATOS!$A$2:$A$20000,Y143,DATOS!$G$2:$G$20000,CONFIG_METADATA!$B$4,DATOS!$I$2:$I$20000,"Análisis"),"")))</f>
        <v/>
      </c>
      <c r="AA143" t="str">
        <f>IF(Y143="","",IF(Y143="[FÓRMULA MANUAL]","",IFERROR(AVERAGEIFS(DATOS!$K$2:$K$20000,DATOS!$A$2:$A$20000,Y143,DATOS!$G$2:$G$20000,CONFIG_METADATA!$B$4,DATOS!$I$2:$I$20000,"Orquesta/Banda/Conjunto"),"")))</f>
        <v/>
      </c>
      <c r="AB143" t="str">
        <f>IF(Y143="","",IF(Y143="[FÓRMULA MANUAL]","",IFERROR(AVERAGEIFS(DATOS!$K$2:$K$20000,DATOS!$A$2:$A$20000,Y143,DATOS!$G$2:$G$20000,CONFIG_METADATA!$B$4,DATOS!$I$2:$I$20000,"Música de Cámara"),"")))</f>
        <v/>
      </c>
      <c r="AC143" t="str">
        <f>IF(Y143="","",IF(Y143="[FÓRMULA MANUAL]","",IFERROR(SUMPRODUCT((DATOS!$A$2:$A$20000=Y143)*(DATOS!$G$2:$G$20000=CONFIG_METADATA!$B$4)*(COUNTIF(CONFIG_ASIGNATURAS!$B$7:$B$27,DATOS!$I$2:$I$20000)&gt;0)*(DATOS!$K$2:$K$20000))/SUMPRODUCT((DATOS!$A$2:$A$20000=Y143)*(DATOS!$G$2:$G$20000=CONFIG_METADATA!$B$4)*(COUNTIF(CONFIG_ASIGNATURAS!$B$7:$B$27,DATOS!$I$2:$I$20000)&gt;0)*1),"")))</f>
        <v/>
      </c>
      <c r="AF143" t="str">
        <f>IF(AE143="","",IF(AE143="[FÓRMULA MANUAL]","",IFERROR(AVERAGEIFS(DATOS!$K$2:$K$20000,DATOS!$A$2:$A$20000,AE143,DATOS!$G$2:$G$20000,CONFIG_METADATA!$B$4,DATOS!$I$2:$I$20000,"Análisis"),"")))</f>
        <v/>
      </c>
      <c r="AG143" t="str">
        <f>IF(AE143="","",IF(AE143="[FÓRMULA MANUAL]","",IFERROR(AVERAGEIFS(DATOS!$K$2:$K$20000,DATOS!$A$2:$A$20000,AE143,DATOS!$G$2:$G$20000,CONFIG_METADATA!$B$4,DATOS!$I$2:$I$20000,"Orquesta/Banda/Conjunto"),"")))</f>
        <v/>
      </c>
      <c r="AH143" t="str">
        <f>IF(AE143="","",IF(AE143="[FÓRMULA MANUAL]","",IFERROR(AVERAGEIFS(DATOS!$K$2:$K$20000,DATOS!$A$2:$A$20000,AE143,DATOS!$G$2:$G$20000,CONFIG_METADATA!$B$4,DATOS!$I$2:$I$20000,"Música de Cámara"),"")))</f>
        <v/>
      </c>
      <c r="AI143" t="str">
        <f>IF(AE143="","",IF(AE143="[FÓRMULA MANUAL]","",IFERROR(SUMPRODUCT((DATOS!$A$2:$A$20000=AE143)*(DATOS!$G$2:$G$20000=CONFIG_METADATA!$B$4)*(COUNTIF(CONFIG_ASIGNATURAS!$B$7:$B$27,DATOS!$I$2:$I$20000)&gt;0)*(DATOS!$K$2:$K$20000))/SUMPRODUCT((DATOS!$A$2:$A$20000=AE143)*(DATOS!$G$2:$G$20000=CONFIG_METADATA!$B$4)*(COUNTIF(CONFIG_ASIGNATURAS!$B$7:$B$27,DATOS!$I$2:$I$20000)&gt;0)*1),"")))</f>
        <v/>
      </c>
    </row>
    <row r="144" spans="2:35" x14ac:dyDescent="0.2">
      <c r="B144" t="str">
        <f>IF(A144="","",IF(A144="[FÓRMULA MANUAL]","",IFERROR(AVERAGEIFS(DATOS!$K$2:$K$20000,DATOS!$A$2:$A$20000,A144,DATOS!$G$2:$G$20000,CONFIG_METADATA!$B$4,DATOS!$I$2:$I$20000,"Lenguaje Musical"),"")))</f>
        <v/>
      </c>
      <c r="C144" t="str">
        <f>IF(A144="","",IF(A144="[FÓRMULA MANUAL]","",IFERROR(AVERAGEIFS(DATOS!$K$2:$K$20000,DATOS!$A$2:$A$20000,A144,DATOS!$G$2:$G$20000,CONFIG_METADATA!$B$4,DATOS!$I$2:$I$20000,"Orquesta/Banda/Conjunto"),"")))</f>
        <v/>
      </c>
      <c r="D144" t="str">
        <f>IF(A144="","",IF(A144="[FÓRMULA MANUAL]","",IFERROR(AVERAGEIFS(DATOS!$K$2:$K$20000,DATOS!$A$2:$A$20000,A144,DATOS!$G$2:$G$20000,CONFIG_METADATA!$B$4,DATOS!$I$2:$I$20000,"Conjunto"),"")))</f>
        <v/>
      </c>
      <c r="E144" t="str">
        <f>IF(A144="","",IF(A144="[FÓRMULA MANUAL]","",IFERROR(SUMPRODUCT((DATOS!$A$2:$A$20000=A144)*(DATOS!$G$2:$G$20000=CONFIG_METADATA!$B$4)*(COUNTIF(CONFIG_ASIGNATURAS!$B$7:$B$27,DATOS!$I$2:$I$20000)&gt;0)*(DATOS!$K$2:$K$20000))/SUMPRODUCT((DATOS!$A$2:$A$20000=A144)*(DATOS!$G$2:$G$20000=CONFIG_METADATA!$B$4)*(COUNTIF(CONFIG_ASIGNATURAS!$B$7:$B$27,DATOS!$I$2:$I$20000)&gt;0)*1),"")))</f>
        <v/>
      </c>
      <c r="H144" t="str">
        <f>IF(G144="","",IF(G144="[FÓRMULA MANUAL]","",IFERROR(AVERAGEIFS(DATOS!$K$2:$K$20000,DATOS!$A$2:$A$20000,G144,DATOS!$G$2:$G$20000,CONFIG_METADATA!$B$4,DATOS!$I$2:$I$20000,"Lenguaje Musical"),"")))</f>
        <v/>
      </c>
      <c r="I144" t="str">
        <f>IF(G144="","",IF(G144="[FÓRMULA MANUAL]","",IFERROR(AVERAGEIFS(DATOS!$K$2:$K$20000,DATOS!$A$2:$A$20000,G144,DATOS!$G$2:$G$20000,CONFIG_METADATA!$B$4,DATOS!$I$2:$I$20000,"Orquesta/Banda/Conjunto"),"")))</f>
        <v/>
      </c>
      <c r="J144" t="str">
        <f>IF(G144="","",IF(G144="[FÓRMULA MANUAL]","",IFERROR(AVERAGEIFS(DATOS!$K$2:$K$20000,DATOS!$A$2:$A$20000,G144,DATOS!$G$2:$G$20000,CONFIG_METADATA!$B$4,DATOS!$I$2:$I$20000,"Conjunto"),"")))</f>
        <v/>
      </c>
      <c r="K144" t="str">
        <f>IF(G144="","",IF(G144="[FÓRMULA MANUAL]","",IFERROR(SUMPRODUCT((DATOS!$A$2:$A$20000=G144)*(DATOS!$G$2:$G$20000=CONFIG_METADATA!$B$4)*(COUNTIF(CONFIG_ASIGNATURAS!$B$7:$B$27,DATOS!$I$2:$I$20000)&gt;0)*(DATOS!$K$2:$K$20000))/SUMPRODUCT((DATOS!$A$2:$A$20000=G144)*(DATOS!$G$2:$G$20000=CONFIG_METADATA!$B$4)*(COUNTIF(CONFIG_ASIGNATURAS!$B$7:$B$27,DATOS!$I$2:$I$20000)&gt;0)*1),"")))</f>
        <v/>
      </c>
      <c r="N144" t="str">
        <f>IF(M144="","",IF(M144="[FÓRMULA MANUAL]","",IFERROR(AVERAGEIFS(DATOS!$K$2:$K$20000,DATOS!$A$2:$A$20000,M144,DATOS!$G$2:$G$20000,CONFIG_METADATA!$B$4,DATOS!$I$2:$I$20000,"Armonía"),"")))</f>
        <v/>
      </c>
      <c r="O144" t="str">
        <f>IF(M144="","",IF(M144="[FÓRMULA MANUAL]","",IFERROR(AVERAGEIFS(DATOS!$K$2:$K$20000,DATOS!$A$2:$A$20000,M144,DATOS!$G$2:$G$20000,CONFIG_METADATA!$B$4,DATOS!$I$2:$I$20000,"Orquesta/Banda/Conjunto"),"")))</f>
        <v/>
      </c>
      <c r="P144" t="str">
        <f>IF(M144="","",IF(M144="[FÓRMULA MANUAL]","",IFERROR(AVERAGEIFS(DATOS!$K$2:$K$20000,DATOS!$A$2:$A$20000,M144,DATOS!$G$2:$G$20000,CONFIG_METADATA!$B$4,DATOS!$I$2:$I$20000,"Música de Cámara"),"")))</f>
        <v/>
      </c>
      <c r="Q144" t="str">
        <f>IF(M144="","",IF(M144="[FÓRMULA MANUAL]","",IFERROR(SUMPRODUCT((DATOS!$A$2:$A$20000=M144)*(DATOS!$G$2:$G$20000=CONFIG_METADATA!$B$4)*(COUNTIF(CONFIG_ASIGNATURAS!$B$7:$B$27,DATOS!$I$2:$I$20000)&gt;0)*(DATOS!$K$2:$K$20000))/SUMPRODUCT((DATOS!$A$2:$A$20000=M144)*(DATOS!$G$2:$G$20000=CONFIG_METADATA!$B$4)*(COUNTIF(CONFIG_ASIGNATURAS!$B$7:$B$27,DATOS!$I$2:$I$20000)&gt;0)*1),"")))</f>
        <v/>
      </c>
      <c r="T144" t="str">
        <f>IF(S144="","",IF(S144="[FÓRMULA MANUAL]","",IFERROR(AVERAGEIFS(DATOS!$K$2:$K$20000,DATOS!$A$2:$A$20000,S144,DATOS!$G$2:$G$20000,CONFIG_METADATA!$B$4,DATOS!$I$2:$I$20000,"Armonía"),"")))</f>
        <v/>
      </c>
      <c r="U144" t="str">
        <f>IF(S144="","",IF(S144="[FÓRMULA MANUAL]","",IFERROR(AVERAGEIFS(DATOS!$K$2:$K$20000,DATOS!$A$2:$A$20000,S144,DATOS!$G$2:$G$20000,CONFIG_METADATA!$B$4,DATOS!$I$2:$I$20000,"Orquesta/Banda/Conjunto"),"")))</f>
        <v/>
      </c>
      <c r="V144" t="str">
        <f>IF(S144="","",IF(S144="[FÓRMULA MANUAL]","",IFERROR(AVERAGEIFS(DATOS!$K$2:$K$20000,DATOS!$A$2:$A$20000,S144,DATOS!$G$2:$G$20000,CONFIG_METADATA!$B$4,DATOS!$I$2:$I$20000,"Música de Cámara"),"")))</f>
        <v/>
      </c>
      <c r="W144" t="str">
        <f>IF(S144="","",IF(S144="[FÓRMULA MANUAL]","",IFERROR(SUMPRODUCT((DATOS!$A$2:$A$20000=S144)*(DATOS!$G$2:$G$20000=CONFIG_METADATA!$B$4)*(COUNTIF(CONFIG_ASIGNATURAS!$B$7:$B$27,DATOS!$I$2:$I$20000)&gt;0)*(DATOS!$K$2:$K$20000))/SUMPRODUCT((DATOS!$A$2:$A$20000=S144)*(DATOS!$G$2:$G$20000=CONFIG_METADATA!$B$4)*(COUNTIF(CONFIG_ASIGNATURAS!$B$7:$B$27,DATOS!$I$2:$I$20000)&gt;0)*1),"")))</f>
        <v/>
      </c>
      <c r="Z144" t="str">
        <f>IF(Y144="","",IF(Y144="[FÓRMULA MANUAL]","",IFERROR(AVERAGEIFS(DATOS!$K$2:$K$20000,DATOS!$A$2:$A$20000,Y144,DATOS!$G$2:$G$20000,CONFIG_METADATA!$B$4,DATOS!$I$2:$I$20000,"Análisis"),"")))</f>
        <v/>
      </c>
      <c r="AA144" t="str">
        <f>IF(Y144="","",IF(Y144="[FÓRMULA MANUAL]","",IFERROR(AVERAGEIFS(DATOS!$K$2:$K$20000,DATOS!$A$2:$A$20000,Y144,DATOS!$G$2:$G$20000,CONFIG_METADATA!$B$4,DATOS!$I$2:$I$20000,"Orquesta/Banda/Conjunto"),"")))</f>
        <v/>
      </c>
      <c r="AB144" t="str">
        <f>IF(Y144="","",IF(Y144="[FÓRMULA MANUAL]","",IFERROR(AVERAGEIFS(DATOS!$K$2:$K$20000,DATOS!$A$2:$A$20000,Y144,DATOS!$G$2:$G$20000,CONFIG_METADATA!$B$4,DATOS!$I$2:$I$20000,"Música de Cámara"),"")))</f>
        <v/>
      </c>
      <c r="AC144" t="str">
        <f>IF(Y144="","",IF(Y144="[FÓRMULA MANUAL]","",IFERROR(SUMPRODUCT((DATOS!$A$2:$A$20000=Y144)*(DATOS!$G$2:$G$20000=CONFIG_METADATA!$B$4)*(COUNTIF(CONFIG_ASIGNATURAS!$B$7:$B$27,DATOS!$I$2:$I$20000)&gt;0)*(DATOS!$K$2:$K$20000))/SUMPRODUCT((DATOS!$A$2:$A$20000=Y144)*(DATOS!$G$2:$G$20000=CONFIG_METADATA!$B$4)*(COUNTIF(CONFIG_ASIGNATURAS!$B$7:$B$27,DATOS!$I$2:$I$20000)&gt;0)*1),"")))</f>
        <v/>
      </c>
      <c r="AF144" t="str">
        <f>IF(AE144="","",IF(AE144="[FÓRMULA MANUAL]","",IFERROR(AVERAGEIFS(DATOS!$K$2:$K$20000,DATOS!$A$2:$A$20000,AE144,DATOS!$G$2:$G$20000,CONFIG_METADATA!$B$4,DATOS!$I$2:$I$20000,"Análisis"),"")))</f>
        <v/>
      </c>
      <c r="AG144" t="str">
        <f>IF(AE144="","",IF(AE144="[FÓRMULA MANUAL]","",IFERROR(AVERAGEIFS(DATOS!$K$2:$K$20000,DATOS!$A$2:$A$20000,AE144,DATOS!$G$2:$G$20000,CONFIG_METADATA!$B$4,DATOS!$I$2:$I$20000,"Orquesta/Banda/Conjunto"),"")))</f>
        <v/>
      </c>
      <c r="AH144" t="str">
        <f>IF(AE144="","",IF(AE144="[FÓRMULA MANUAL]","",IFERROR(AVERAGEIFS(DATOS!$K$2:$K$20000,DATOS!$A$2:$A$20000,AE144,DATOS!$G$2:$G$20000,CONFIG_METADATA!$B$4,DATOS!$I$2:$I$20000,"Música de Cámara"),"")))</f>
        <v/>
      </c>
      <c r="AI144" t="str">
        <f>IF(AE144="","",IF(AE144="[FÓRMULA MANUAL]","",IFERROR(SUMPRODUCT((DATOS!$A$2:$A$20000=AE144)*(DATOS!$G$2:$G$20000=CONFIG_METADATA!$B$4)*(COUNTIF(CONFIG_ASIGNATURAS!$B$7:$B$27,DATOS!$I$2:$I$20000)&gt;0)*(DATOS!$K$2:$K$20000))/SUMPRODUCT((DATOS!$A$2:$A$20000=AE144)*(DATOS!$G$2:$G$20000=CONFIG_METADATA!$B$4)*(COUNTIF(CONFIG_ASIGNATURAS!$B$7:$B$27,DATOS!$I$2:$I$20000)&gt;0)*1),"")))</f>
        <v/>
      </c>
    </row>
    <row r="145" spans="2:35" x14ac:dyDescent="0.2">
      <c r="B145" t="str">
        <f>IF(A145="","",IF(A145="[FÓRMULA MANUAL]","",IFERROR(AVERAGEIFS(DATOS!$K$2:$K$20000,DATOS!$A$2:$A$20000,A145,DATOS!$G$2:$G$20000,CONFIG_METADATA!$B$4,DATOS!$I$2:$I$20000,"Lenguaje Musical"),"")))</f>
        <v/>
      </c>
      <c r="C145" t="str">
        <f>IF(A145="","",IF(A145="[FÓRMULA MANUAL]","",IFERROR(AVERAGEIFS(DATOS!$K$2:$K$20000,DATOS!$A$2:$A$20000,A145,DATOS!$G$2:$G$20000,CONFIG_METADATA!$B$4,DATOS!$I$2:$I$20000,"Orquesta/Banda/Conjunto"),"")))</f>
        <v/>
      </c>
      <c r="D145" t="str">
        <f>IF(A145="","",IF(A145="[FÓRMULA MANUAL]","",IFERROR(AVERAGEIFS(DATOS!$K$2:$K$20000,DATOS!$A$2:$A$20000,A145,DATOS!$G$2:$G$20000,CONFIG_METADATA!$B$4,DATOS!$I$2:$I$20000,"Conjunto"),"")))</f>
        <v/>
      </c>
      <c r="E145" t="str">
        <f>IF(A145="","",IF(A145="[FÓRMULA MANUAL]","",IFERROR(SUMPRODUCT((DATOS!$A$2:$A$20000=A145)*(DATOS!$G$2:$G$20000=CONFIG_METADATA!$B$4)*(COUNTIF(CONFIG_ASIGNATURAS!$B$7:$B$27,DATOS!$I$2:$I$20000)&gt;0)*(DATOS!$K$2:$K$20000))/SUMPRODUCT((DATOS!$A$2:$A$20000=A145)*(DATOS!$G$2:$G$20000=CONFIG_METADATA!$B$4)*(COUNTIF(CONFIG_ASIGNATURAS!$B$7:$B$27,DATOS!$I$2:$I$20000)&gt;0)*1),"")))</f>
        <v/>
      </c>
      <c r="H145" t="str">
        <f>IF(G145="","",IF(G145="[FÓRMULA MANUAL]","",IFERROR(AVERAGEIFS(DATOS!$K$2:$K$20000,DATOS!$A$2:$A$20000,G145,DATOS!$G$2:$G$20000,CONFIG_METADATA!$B$4,DATOS!$I$2:$I$20000,"Lenguaje Musical"),"")))</f>
        <v/>
      </c>
      <c r="I145" t="str">
        <f>IF(G145="","",IF(G145="[FÓRMULA MANUAL]","",IFERROR(AVERAGEIFS(DATOS!$K$2:$K$20000,DATOS!$A$2:$A$20000,G145,DATOS!$G$2:$G$20000,CONFIG_METADATA!$B$4,DATOS!$I$2:$I$20000,"Orquesta/Banda/Conjunto"),"")))</f>
        <v/>
      </c>
      <c r="J145" t="str">
        <f>IF(G145="","",IF(G145="[FÓRMULA MANUAL]","",IFERROR(AVERAGEIFS(DATOS!$K$2:$K$20000,DATOS!$A$2:$A$20000,G145,DATOS!$G$2:$G$20000,CONFIG_METADATA!$B$4,DATOS!$I$2:$I$20000,"Conjunto"),"")))</f>
        <v/>
      </c>
      <c r="K145" t="str">
        <f>IF(G145="","",IF(G145="[FÓRMULA MANUAL]","",IFERROR(SUMPRODUCT((DATOS!$A$2:$A$20000=G145)*(DATOS!$G$2:$G$20000=CONFIG_METADATA!$B$4)*(COUNTIF(CONFIG_ASIGNATURAS!$B$7:$B$27,DATOS!$I$2:$I$20000)&gt;0)*(DATOS!$K$2:$K$20000))/SUMPRODUCT((DATOS!$A$2:$A$20000=G145)*(DATOS!$G$2:$G$20000=CONFIG_METADATA!$B$4)*(COUNTIF(CONFIG_ASIGNATURAS!$B$7:$B$27,DATOS!$I$2:$I$20000)&gt;0)*1),"")))</f>
        <v/>
      </c>
      <c r="N145" t="str">
        <f>IF(M145="","",IF(M145="[FÓRMULA MANUAL]","",IFERROR(AVERAGEIFS(DATOS!$K$2:$K$20000,DATOS!$A$2:$A$20000,M145,DATOS!$G$2:$G$20000,CONFIG_METADATA!$B$4,DATOS!$I$2:$I$20000,"Armonía"),"")))</f>
        <v/>
      </c>
      <c r="O145" t="str">
        <f>IF(M145="","",IF(M145="[FÓRMULA MANUAL]","",IFERROR(AVERAGEIFS(DATOS!$K$2:$K$20000,DATOS!$A$2:$A$20000,M145,DATOS!$G$2:$G$20000,CONFIG_METADATA!$B$4,DATOS!$I$2:$I$20000,"Orquesta/Banda/Conjunto"),"")))</f>
        <v/>
      </c>
      <c r="P145" t="str">
        <f>IF(M145="","",IF(M145="[FÓRMULA MANUAL]","",IFERROR(AVERAGEIFS(DATOS!$K$2:$K$20000,DATOS!$A$2:$A$20000,M145,DATOS!$G$2:$G$20000,CONFIG_METADATA!$B$4,DATOS!$I$2:$I$20000,"Música de Cámara"),"")))</f>
        <v/>
      </c>
      <c r="Q145" t="str">
        <f>IF(M145="","",IF(M145="[FÓRMULA MANUAL]","",IFERROR(SUMPRODUCT((DATOS!$A$2:$A$20000=M145)*(DATOS!$G$2:$G$20000=CONFIG_METADATA!$B$4)*(COUNTIF(CONFIG_ASIGNATURAS!$B$7:$B$27,DATOS!$I$2:$I$20000)&gt;0)*(DATOS!$K$2:$K$20000))/SUMPRODUCT((DATOS!$A$2:$A$20000=M145)*(DATOS!$G$2:$G$20000=CONFIG_METADATA!$B$4)*(COUNTIF(CONFIG_ASIGNATURAS!$B$7:$B$27,DATOS!$I$2:$I$20000)&gt;0)*1),"")))</f>
        <v/>
      </c>
      <c r="T145" t="str">
        <f>IF(S145="","",IF(S145="[FÓRMULA MANUAL]","",IFERROR(AVERAGEIFS(DATOS!$K$2:$K$20000,DATOS!$A$2:$A$20000,S145,DATOS!$G$2:$G$20000,CONFIG_METADATA!$B$4,DATOS!$I$2:$I$20000,"Armonía"),"")))</f>
        <v/>
      </c>
      <c r="U145" t="str">
        <f>IF(S145="","",IF(S145="[FÓRMULA MANUAL]","",IFERROR(AVERAGEIFS(DATOS!$K$2:$K$20000,DATOS!$A$2:$A$20000,S145,DATOS!$G$2:$G$20000,CONFIG_METADATA!$B$4,DATOS!$I$2:$I$20000,"Orquesta/Banda/Conjunto"),"")))</f>
        <v/>
      </c>
      <c r="V145" t="str">
        <f>IF(S145="","",IF(S145="[FÓRMULA MANUAL]","",IFERROR(AVERAGEIFS(DATOS!$K$2:$K$20000,DATOS!$A$2:$A$20000,S145,DATOS!$G$2:$G$20000,CONFIG_METADATA!$B$4,DATOS!$I$2:$I$20000,"Música de Cámara"),"")))</f>
        <v/>
      </c>
      <c r="W145" t="str">
        <f>IF(S145="","",IF(S145="[FÓRMULA MANUAL]","",IFERROR(SUMPRODUCT((DATOS!$A$2:$A$20000=S145)*(DATOS!$G$2:$G$20000=CONFIG_METADATA!$B$4)*(COUNTIF(CONFIG_ASIGNATURAS!$B$7:$B$27,DATOS!$I$2:$I$20000)&gt;0)*(DATOS!$K$2:$K$20000))/SUMPRODUCT((DATOS!$A$2:$A$20000=S145)*(DATOS!$G$2:$G$20000=CONFIG_METADATA!$B$4)*(COUNTIF(CONFIG_ASIGNATURAS!$B$7:$B$27,DATOS!$I$2:$I$20000)&gt;0)*1),"")))</f>
        <v/>
      </c>
      <c r="Z145" t="str">
        <f>IF(Y145="","",IF(Y145="[FÓRMULA MANUAL]","",IFERROR(AVERAGEIFS(DATOS!$K$2:$K$20000,DATOS!$A$2:$A$20000,Y145,DATOS!$G$2:$G$20000,CONFIG_METADATA!$B$4,DATOS!$I$2:$I$20000,"Análisis"),"")))</f>
        <v/>
      </c>
      <c r="AA145" t="str">
        <f>IF(Y145="","",IF(Y145="[FÓRMULA MANUAL]","",IFERROR(AVERAGEIFS(DATOS!$K$2:$K$20000,DATOS!$A$2:$A$20000,Y145,DATOS!$G$2:$G$20000,CONFIG_METADATA!$B$4,DATOS!$I$2:$I$20000,"Orquesta/Banda/Conjunto"),"")))</f>
        <v/>
      </c>
      <c r="AB145" t="str">
        <f>IF(Y145="","",IF(Y145="[FÓRMULA MANUAL]","",IFERROR(AVERAGEIFS(DATOS!$K$2:$K$20000,DATOS!$A$2:$A$20000,Y145,DATOS!$G$2:$G$20000,CONFIG_METADATA!$B$4,DATOS!$I$2:$I$20000,"Música de Cámara"),"")))</f>
        <v/>
      </c>
      <c r="AC145" t="str">
        <f>IF(Y145="","",IF(Y145="[FÓRMULA MANUAL]","",IFERROR(SUMPRODUCT((DATOS!$A$2:$A$20000=Y145)*(DATOS!$G$2:$G$20000=CONFIG_METADATA!$B$4)*(COUNTIF(CONFIG_ASIGNATURAS!$B$7:$B$27,DATOS!$I$2:$I$20000)&gt;0)*(DATOS!$K$2:$K$20000))/SUMPRODUCT((DATOS!$A$2:$A$20000=Y145)*(DATOS!$G$2:$G$20000=CONFIG_METADATA!$B$4)*(COUNTIF(CONFIG_ASIGNATURAS!$B$7:$B$27,DATOS!$I$2:$I$20000)&gt;0)*1),"")))</f>
        <v/>
      </c>
      <c r="AF145" t="str">
        <f>IF(AE145="","",IF(AE145="[FÓRMULA MANUAL]","",IFERROR(AVERAGEIFS(DATOS!$K$2:$K$20000,DATOS!$A$2:$A$20000,AE145,DATOS!$G$2:$G$20000,CONFIG_METADATA!$B$4,DATOS!$I$2:$I$20000,"Análisis"),"")))</f>
        <v/>
      </c>
      <c r="AG145" t="str">
        <f>IF(AE145="","",IF(AE145="[FÓRMULA MANUAL]","",IFERROR(AVERAGEIFS(DATOS!$K$2:$K$20000,DATOS!$A$2:$A$20000,AE145,DATOS!$G$2:$G$20000,CONFIG_METADATA!$B$4,DATOS!$I$2:$I$20000,"Orquesta/Banda/Conjunto"),"")))</f>
        <v/>
      </c>
      <c r="AH145" t="str">
        <f>IF(AE145="","",IF(AE145="[FÓRMULA MANUAL]","",IFERROR(AVERAGEIFS(DATOS!$K$2:$K$20000,DATOS!$A$2:$A$20000,AE145,DATOS!$G$2:$G$20000,CONFIG_METADATA!$B$4,DATOS!$I$2:$I$20000,"Música de Cámara"),"")))</f>
        <v/>
      </c>
      <c r="AI145" t="str">
        <f>IF(AE145="","",IF(AE145="[FÓRMULA MANUAL]","",IFERROR(SUMPRODUCT((DATOS!$A$2:$A$20000=AE145)*(DATOS!$G$2:$G$20000=CONFIG_METADATA!$B$4)*(COUNTIF(CONFIG_ASIGNATURAS!$B$7:$B$27,DATOS!$I$2:$I$20000)&gt;0)*(DATOS!$K$2:$K$20000))/SUMPRODUCT((DATOS!$A$2:$A$20000=AE145)*(DATOS!$G$2:$G$20000=CONFIG_METADATA!$B$4)*(COUNTIF(CONFIG_ASIGNATURAS!$B$7:$B$27,DATOS!$I$2:$I$20000)&gt;0)*1),"")))</f>
        <v/>
      </c>
    </row>
    <row r="146" spans="2:35" x14ac:dyDescent="0.2">
      <c r="B146" t="str">
        <f>IF(A146="","",IF(A146="[FÓRMULA MANUAL]","",IFERROR(AVERAGEIFS(DATOS!$K$2:$K$20000,DATOS!$A$2:$A$20000,A146,DATOS!$G$2:$G$20000,CONFIG_METADATA!$B$4,DATOS!$I$2:$I$20000,"Lenguaje Musical"),"")))</f>
        <v/>
      </c>
      <c r="C146" t="str">
        <f>IF(A146="","",IF(A146="[FÓRMULA MANUAL]","",IFERROR(AVERAGEIFS(DATOS!$K$2:$K$20000,DATOS!$A$2:$A$20000,A146,DATOS!$G$2:$G$20000,CONFIG_METADATA!$B$4,DATOS!$I$2:$I$20000,"Orquesta/Banda/Conjunto"),"")))</f>
        <v/>
      </c>
      <c r="D146" t="str">
        <f>IF(A146="","",IF(A146="[FÓRMULA MANUAL]","",IFERROR(AVERAGEIFS(DATOS!$K$2:$K$20000,DATOS!$A$2:$A$20000,A146,DATOS!$G$2:$G$20000,CONFIG_METADATA!$B$4,DATOS!$I$2:$I$20000,"Conjunto"),"")))</f>
        <v/>
      </c>
      <c r="E146" t="str">
        <f>IF(A146="","",IF(A146="[FÓRMULA MANUAL]","",IFERROR(SUMPRODUCT((DATOS!$A$2:$A$20000=A146)*(DATOS!$G$2:$G$20000=CONFIG_METADATA!$B$4)*(COUNTIF(CONFIG_ASIGNATURAS!$B$7:$B$27,DATOS!$I$2:$I$20000)&gt;0)*(DATOS!$K$2:$K$20000))/SUMPRODUCT((DATOS!$A$2:$A$20000=A146)*(DATOS!$G$2:$G$20000=CONFIG_METADATA!$B$4)*(COUNTIF(CONFIG_ASIGNATURAS!$B$7:$B$27,DATOS!$I$2:$I$20000)&gt;0)*1),"")))</f>
        <v/>
      </c>
      <c r="H146" t="str">
        <f>IF(G146="","",IF(G146="[FÓRMULA MANUAL]","",IFERROR(AVERAGEIFS(DATOS!$K$2:$K$20000,DATOS!$A$2:$A$20000,G146,DATOS!$G$2:$G$20000,CONFIG_METADATA!$B$4,DATOS!$I$2:$I$20000,"Lenguaje Musical"),"")))</f>
        <v/>
      </c>
      <c r="I146" t="str">
        <f>IF(G146="","",IF(G146="[FÓRMULA MANUAL]","",IFERROR(AVERAGEIFS(DATOS!$K$2:$K$20000,DATOS!$A$2:$A$20000,G146,DATOS!$G$2:$G$20000,CONFIG_METADATA!$B$4,DATOS!$I$2:$I$20000,"Orquesta/Banda/Conjunto"),"")))</f>
        <v/>
      </c>
      <c r="J146" t="str">
        <f>IF(G146="","",IF(G146="[FÓRMULA MANUAL]","",IFERROR(AVERAGEIFS(DATOS!$K$2:$K$20000,DATOS!$A$2:$A$20000,G146,DATOS!$G$2:$G$20000,CONFIG_METADATA!$B$4,DATOS!$I$2:$I$20000,"Conjunto"),"")))</f>
        <v/>
      </c>
      <c r="K146" t="str">
        <f>IF(G146="","",IF(G146="[FÓRMULA MANUAL]","",IFERROR(SUMPRODUCT((DATOS!$A$2:$A$20000=G146)*(DATOS!$G$2:$G$20000=CONFIG_METADATA!$B$4)*(COUNTIF(CONFIG_ASIGNATURAS!$B$7:$B$27,DATOS!$I$2:$I$20000)&gt;0)*(DATOS!$K$2:$K$20000))/SUMPRODUCT((DATOS!$A$2:$A$20000=G146)*(DATOS!$G$2:$G$20000=CONFIG_METADATA!$B$4)*(COUNTIF(CONFIG_ASIGNATURAS!$B$7:$B$27,DATOS!$I$2:$I$20000)&gt;0)*1),"")))</f>
        <v/>
      </c>
      <c r="N146" t="str">
        <f>IF(M146="","",IF(M146="[FÓRMULA MANUAL]","",IFERROR(AVERAGEIFS(DATOS!$K$2:$K$20000,DATOS!$A$2:$A$20000,M146,DATOS!$G$2:$G$20000,CONFIG_METADATA!$B$4,DATOS!$I$2:$I$20000,"Armonía"),"")))</f>
        <v/>
      </c>
      <c r="O146" t="str">
        <f>IF(M146="","",IF(M146="[FÓRMULA MANUAL]","",IFERROR(AVERAGEIFS(DATOS!$K$2:$K$20000,DATOS!$A$2:$A$20000,M146,DATOS!$G$2:$G$20000,CONFIG_METADATA!$B$4,DATOS!$I$2:$I$20000,"Orquesta/Banda/Conjunto"),"")))</f>
        <v/>
      </c>
      <c r="P146" t="str">
        <f>IF(M146="","",IF(M146="[FÓRMULA MANUAL]","",IFERROR(AVERAGEIFS(DATOS!$K$2:$K$20000,DATOS!$A$2:$A$20000,M146,DATOS!$G$2:$G$20000,CONFIG_METADATA!$B$4,DATOS!$I$2:$I$20000,"Música de Cámara"),"")))</f>
        <v/>
      </c>
      <c r="Q146" t="str">
        <f>IF(M146="","",IF(M146="[FÓRMULA MANUAL]","",IFERROR(SUMPRODUCT((DATOS!$A$2:$A$20000=M146)*(DATOS!$G$2:$G$20000=CONFIG_METADATA!$B$4)*(COUNTIF(CONFIG_ASIGNATURAS!$B$7:$B$27,DATOS!$I$2:$I$20000)&gt;0)*(DATOS!$K$2:$K$20000))/SUMPRODUCT((DATOS!$A$2:$A$20000=M146)*(DATOS!$G$2:$G$20000=CONFIG_METADATA!$B$4)*(COUNTIF(CONFIG_ASIGNATURAS!$B$7:$B$27,DATOS!$I$2:$I$20000)&gt;0)*1),"")))</f>
        <v/>
      </c>
      <c r="T146" t="str">
        <f>IF(S146="","",IF(S146="[FÓRMULA MANUAL]","",IFERROR(AVERAGEIFS(DATOS!$K$2:$K$20000,DATOS!$A$2:$A$20000,S146,DATOS!$G$2:$G$20000,CONFIG_METADATA!$B$4,DATOS!$I$2:$I$20000,"Armonía"),"")))</f>
        <v/>
      </c>
      <c r="U146" t="str">
        <f>IF(S146="","",IF(S146="[FÓRMULA MANUAL]","",IFERROR(AVERAGEIFS(DATOS!$K$2:$K$20000,DATOS!$A$2:$A$20000,S146,DATOS!$G$2:$G$20000,CONFIG_METADATA!$B$4,DATOS!$I$2:$I$20000,"Orquesta/Banda/Conjunto"),"")))</f>
        <v/>
      </c>
      <c r="V146" t="str">
        <f>IF(S146="","",IF(S146="[FÓRMULA MANUAL]","",IFERROR(AVERAGEIFS(DATOS!$K$2:$K$20000,DATOS!$A$2:$A$20000,S146,DATOS!$G$2:$G$20000,CONFIG_METADATA!$B$4,DATOS!$I$2:$I$20000,"Música de Cámara"),"")))</f>
        <v/>
      </c>
      <c r="W146" t="str">
        <f>IF(S146="","",IF(S146="[FÓRMULA MANUAL]","",IFERROR(SUMPRODUCT((DATOS!$A$2:$A$20000=S146)*(DATOS!$G$2:$G$20000=CONFIG_METADATA!$B$4)*(COUNTIF(CONFIG_ASIGNATURAS!$B$7:$B$27,DATOS!$I$2:$I$20000)&gt;0)*(DATOS!$K$2:$K$20000))/SUMPRODUCT((DATOS!$A$2:$A$20000=S146)*(DATOS!$G$2:$G$20000=CONFIG_METADATA!$B$4)*(COUNTIF(CONFIG_ASIGNATURAS!$B$7:$B$27,DATOS!$I$2:$I$20000)&gt;0)*1),"")))</f>
        <v/>
      </c>
      <c r="Z146" t="str">
        <f>IF(Y146="","",IF(Y146="[FÓRMULA MANUAL]","",IFERROR(AVERAGEIFS(DATOS!$K$2:$K$20000,DATOS!$A$2:$A$20000,Y146,DATOS!$G$2:$G$20000,CONFIG_METADATA!$B$4,DATOS!$I$2:$I$20000,"Análisis"),"")))</f>
        <v/>
      </c>
      <c r="AA146" t="str">
        <f>IF(Y146="","",IF(Y146="[FÓRMULA MANUAL]","",IFERROR(AVERAGEIFS(DATOS!$K$2:$K$20000,DATOS!$A$2:$A$20000,Y146,DATOS!$G$2:$G$20000,CONFIG_METADATA!$B$4,DATOS!$I$2:$I$20000,"Orquesta/Banda/Conjunto"),"")))</f>
        <v/>
      </c>
      <c r="AB146" t="str">
        <f>IF(Y146="","",IF(Y146="[FÓRMULA MANUAL]","",IFERROR(AVERAGEIFS(DATOS!$K$2:$K$20000,DATOS!$A$2:$A$20000,Y146,DATOS!$G$2:$G$20000,CONFIG_METADATA!$B$4,DATOS!$I$2:$I$20000,"Música de Cámara"),"")))</f>
        <v/>
      </c>
      <c r="AC146" t="str">
        <f>IF(Y146="","",IF(Y146="[FÓRMULA MANUAL]","",IFERROR(SUMPRODUCT((DATOS!$A$2:$A$20000=Y146)*(DATOS!$G$2:$G$20000=CONFIG_METADATA!$B$4)*(COUNTIF(CONFIG_ASIGNATURAS!$B$7:$B$27,DATOS!$I$2:$I$20000)&gt;0)*(DATOS!$K$2:$K$20000))/SUMPRODUCT((DATOS!$A$2:$A$20000=Y146)*(DATOS!$G$2:$G$20000=CONFIG_METADATA!$B$4)*(COUNTIF(CONFIG_ASIGNATURAS!$B$7:$B$27,DATOS!$I$2:$I$20000)&gt;0)*1),"")))</f>
        <v/>
      </c>
      <c r="AF146" t="str">
        <f>IF(AE146="","",IF(AE146="[FÓRMULA MANUAL]","",IFERROR(AVERAGEIFS(DATOS!$K$2:$K$20000,DATOS!$A$2:$A$20000,AE146,DATOS!$G$2:$G$20000,CONFIG_METADATA!$B$4,DATOS!$I$2:$I$20000,"Análisis"),"")))</f>
        <v/>
      </c>
      <c r="AG146" t="str">
        <f>IF(AE146="","",IF(AE146="[FÓRMULA MANUAL]","",IFERROR(AVERAGEIFS(DATOS!$K$2:$K$20000,DATOS!$A$2:$A$20000,AE146,DATOS!$G$2:$G$20000,CONFIG_METADATA!$B$4,DATOS!$I$2:$I$20000,"Orquesta/Banda/Conjunto"),"")))</f>
        <v/>
      </c>
      <c r="AH146" t="str">
        <f>IF(AE146="","",IF(AE146="[FÓRMULA MANUAL]","",IFERROR(AVERAGEIFS(DATOS!$K$2:$K$20000,DATOS!$A$2:$A$20000,AE146,DATOS!$G$2:$G$20000,CONFIG_METADATA!$B$4,DATOS!$I$2:$I$20000,"Música de Cámara"),"")))</f>
        <v/>
      </c>
      <c r="AI146" t="str">
        <f>IF(AE146="","",IF(AE146="[FÓRMULA MANUAL]","",IFERROR(SUMPRODUCT((DATOS!$A$2:$A$20000=AE146)*(DATOS!$G$2:$G$20000=CONFIG_METADATA!$B$4)*(COUNTIF(CONFIG_ASIGNATURAS!$B$7:$B$27,DATOS!$I$2:$I$20000)&gt;0)*(DATOS!$K$2:$K$20000))/SUMPRODUCT((DATOS!$A$2:$A$20000=AE146)*(DATOS!$G$2:$G$20000=CONFIG_METADATA!$B$4)*(COUNTIF(CONFIG_ASIGNATURAS!$B$7:$B$27,DATOS!$I$2:$I$20000)&gt;0)*1),"")))</f>
        <v/>
      </c>
    </row>
    <row r="147" spans="2:35" x14ac:dyDescent="0.2">
      <c r="B147" t="str">
        <f>IF(A147="","",IF(A147="[FÓRMULA MANUAL]","",IFERROR(AVERAGEIFS(DATOS!$K$2:$K$20000,DATOS!$A$2:$A$20000,A147,DATOS!$G$2:$G$20000,CONFIG_METADATA!$B$4,DATOS!$I$2:$I$20000,"Lenguaje Musical"),"")))</f>
        <v/>
      </c>
      <c r="C147" t="str">
        <f>IF(A147="","",IF(A147="[FÓRMULA MANUAL]","",IFERROR(AVERAGEIFS(DATOS!$K$2:$K$20000,DATOS!$A$2:$A$20000,A147,DATOS!$G$2:$G$20000,CONFIG_METADATA!$B$4,DATOS!$I$2:$I$20000,"Orquesta/Banda/Conjunto"),"")))</f>
        <v/>
      </c>
      <c r="D147" t="str">
        <f>IF(A147="","",IF(A147="[FÓRMULA MANUAL]","",IFERROR(AVERAGEIFS(DATOS!$K$2:$K$20000,DATOS!$A$2:$A$20000,A147,DATOS!$G$2:$G$20000,CONFIG_METADATA!$B$4,DATOS!$I$2:$I$20000,"Conjunto"),"")))</f>
        <v/>
      </c>
      <c r="E147" t="str">
        <f>IF(A147="","",IF(A147="[FÓRMULA MANUAL]","",IFERROR(SUMPRODUCT((DATOS!$A$2:$A$20000=A147)*(DATOS!$G$2:$G$20000=CONFIG_METADATA!$B$4)*(COUNTIF(CONFIG_ASIGNATURAS!$B$7:$B$27,DATOS!$I$2:$I$20000)&gt;0)*(DATOS!$K$2:$K$20000))/SUMPRODUCT((DATOS!$A$2:$A$20000=A147)*(DATOS!$G$2:$G$20000=CONFIG_METADATA!$B$4)*(COUNTIF(CONFIG_ASIGNATURAS!$B$7:$B$27,DATOS!$I$2:$I$20000)&gt;0)*1),"")))</f>
        <v/>
      </c>
      <c r="H147" t="str">
        <f>IF(G147="","",IF(G147="[FÓRMULA MANUAL]","",IFERROR(AVERAGEIFS(DATOS!$K$2:$K$20000,DATOS!$A$2:$A$20000,G147,DATOS!$G$2:$G$20000,CONFIG_METADATA!$B$4,DATOS!$I$2:$I$20000,"Lenguaje Musical"),"")))</f>
        <v/>
      </c>
      <c r="I147" t="str">
        <f>IF(G147="","",IF(G147="[FÓRMULA MANUAL]","",IFERROR(AVERAGEIFS(DATOS!$K$2:$K$20000,DATOS!$A$2:$A$20000,G147,DATOS!$G$2:$G$20000,CONFIG_METADATA!$B$4,DATOS!$I$2:$I$20000,"Orquesta/Banda/Conjunto"),"")))</f>
        <v/>
      </c>
      <c r="J147" t="str">
        <f>IF(G147="","",IF(G147="[FÓRMULA MANUAL]","",IFERROR(AVERAGEIFS(DATOS!$K$2:$K$20000,DATOS!$A$2:$A$20000,G147,DATOS!$G$2:$G$20000,CONFIG_METADATA!$B$4,DATOS!$I$2:$I$20000,"Conjunto"),"")))</f>
        <v/>
      </c>
      <c r="K147" t="str">
        <f>IF(G147="","",IF(G147="[FÓRMULA MANUAL]","",IFERROR(SUMPRODUCT((DATOS!$A$2:$A$20000=G147)*(DATOS!$G$2:$G$20000=CONFIG_METADATA!$B$4)*(COUNTIF(CONFIG_ASIGNATURAS!$B$7:$B$27,DATOS!$I$2:$I$20000)&gt;0)*(DATOS!$K$2:$K$20000))/SUMPRODUCT((DATOS!$A$2:$A$20000=G147)*(DATOS!$G$2:$G$20000=CONFIG_METADATA!$B$4)*(COUNTIF(CONFIG_ASIGNATURAS!$B$7:$B$27,DATOS!$I$2:$I$20000)&gt;0)*1),"")))</f>
        <v/>
      </c>
      <c r="N147" t="str">
        <f>IF(M147="","",IF(M147="[FÓRMULA MANUAL]","",IFERROR(AVERAGEIFS(DATOS!$K$2:$K$20000,DATOS!$A$2:$A$20000,M147,DATOS!$G$2:$G$20000,CONFIG_METADATA!$B$4,DATOS!$I$2:$I$20000,"Armonía"),"")))</f>
        <v/>
      </c>
      <c r="O147" t="str">
        <f>IF(M147="","",IF(M147="[FÓRMULA MANUAL]","",IFERROR(AVERAGEIFS(DATOS!$K$2:$K$20000,DATOS!$A$2:$A$20000,M147,DATOS!$G$2:$G$20000,CONFIG_METADATA!$B$4,DATOS!$I$2:$I$20000,"Orquesta/Banda/Conjunto"),"")))</f>
        <v/>
      </c>
      <c r="P147" t="str">
        <f>IF(M147="","",IF(M147="[FÓRMULA MANUAL]","",IFERROR(AVERAGEIFS(DATOS!$K$2:$K$20000,DATOS!$A$2:$A$20000,M147,DATOS!$G$2:$G$20000,CONFIG_METADATA!$B$4,DATOS!$I$2:$I$20000,"Música de Cámara"),"")))</f>
        <v/>
      </c>
      <c r="Q147" t="str">
        <f>IF(M147="","",IF(M147="[FÓRMULA MANUAL]","",IFERROR(SUMPRODUCT((DATOS!$A$2:$A$20000=M147)*(DATOS!$G$2:$G$20000=CONFIG_METADATA!$B$4)*(COUNTIF(CONFIG_ASIGNATURAS!$B$7:$B$27,DATOS!$I$2:$I$20000)&gt;0)*(DATOS!$K$2:$K$20000))/SUMPRODUCT((DATOS!$A$2:$A$20000=M147)*(DATOS!$G$2:$G$20000=CONFIG_METADATA!$B$4)*(COUNTIF(CONFIG_ASIGNATURAS!$B$7:$B$27,DATOS!$I$2:$I$20000)&gt;0)*1),"")))</f>
        <v/>
      </c>
      <c r="T147" t="str">
        <f>IF(S147="","",IF(S147="[FÓRMULA MANUAL]","",IFERROR(AVERAGEIFS(DATOS!$K$2:$K$20000,DATOS!$A$2:$A$20000,S147,DATOS!$G$2:$G$20000,CONFIG_METADATA!$B$4,DATOS!$I$2:$I$20000,"Armonía"),"")))</f>
        <v/>
      </c>
      <c r="U147" t="str">
        <f>IF(S147="","",IF(S147="[FÓRMULA MANUAL]","",IFERROR(AVERAGEIFS(DATOS!$K$2:$K$20000,DATOS!$A$2:$A$20000,S147,DATOS!$G$2:$G$20000,CONFIG_METADATA!$B$4,DATOS!$I$2:$I$20000,"Orquesta/Banda/Conjunto"),"")))</f>
        <v/>
      </c>
      <c r="V147" t="str">
        <f>IF(S147="","",IF(S147="[FÓRMULA MANUAL]","",IFERROR(AVERAGEIFS(DATOS!$K$2:$K$20000,DATOS!$A$2:$A$20000,S147,DATOS!$G$2:$G$20000,CONFIG_METADATA!$B$4,DATOS!$I$2:$I$20000,"Música de Cámara"),"")))</f>
        <v/>
      </c>
      <c r="W147" t="str">
        <f>IF(S147="","",IF(S147="[FÓRMULA MANUAL]","",IFERROR(SUMPRODUCT((DATOS!$A$2:$A$20000=S147)*(DATOS!$G$2:$G$20000=CONFIG_METADATA!$B$4)*(COUNTIF(CONFIG_ASIGNATURAS!$B$7:$B$27,DATOS!$I$2:$I$20000)&gt;0)*(DATOS!$K$2:$K$20000))/SUMPRODUCT((DATOS!$A$2:$A$20000=S147)*(DATOS!$G$2:$G$20000=CONFIG_METADATA!$B$4)*(COUNTIF(CONFIG_ASIGNATURAS!$B$7:$B$27,DATOS!$I$2:$I$20000)&gt;0)*1),"")))</f>
        <v/>
      </c>
      <c r="Z147" t="str">
        <f>IF(Y147="","",IF(Y147="[FÓRMULA MANUAL]","",IFERROR(AVERAGEIFS(DATOS!$K$2:$K$20000,DATOS!$A$2:$A$20000,Y147,DATOS!$G$2:$G$20000,CONFIG_METADATA!$B$4,DATOS!$I$2:$I$20000,"Análisis"),"")))</f>
        <v/>
      </c>
      <c r="AA147" t="str">
        <f>IF(Y147="","",IF(Y147="[FÓRMULA MANUAL]","",IFERROR(AVERAGEIFS(DATOS!$K$2:$K$20000,DATOS!$A$2:$A$20000,Y147,DATOS!$G$2:$G$20000,CONFIG_METADATA!$B$4,DATOS!$I$2:$I$20000,"Orquesta/Banda/Conjunto"),"")))</f>
        <v/>
      </c>
      <c r="AB147" t="str">
        <f>IF(Y147="","",IF(Y147="[FÓRMULA MANUAL]","",IFERROR(AVERAGEIFS(DATOS!$K$2:$K$20000,DATOS!$A$2:$A$20000,Y147,DATOS!$G$2:$G$20000,CONFIG_METADATA!$B$4,DATOS!$I$2:$I$20000,"Música de Cámara"),"")))</f>
        <v/>
      </c>
      <c r="AC147" t="str">
        <f>IF(Y147="","",IF(Y147="[FÓRMULA MANUAL]","",IFERROR(SUMPRODUCT((DATOS!$A$2:$A$20000=Y147)*(DATOS!$G$2:$G$20000=CONFIG_METADATA!$B$4)*(COUNTIF(CONFIG_ASIGNATURAS!$B$7:$B$27,DATOS!$I$2:$I$20000)&gt;0)*(DATOS!$K$2:$K$20000))/SUMPRODUCT((DATOS!$A$2:$A$20000=Y147)*(DATOS!$G$2:$G$20000=CONFIG_METADATA!$B$4)*(COUNTIF(CONFIG_ASIGNATURAS!$B$7:$B$27,DATOS!$I$2:$I$20000)&gt;0)*1),"")))</f>
        <v/>
      </c>
      <c r="AF147" t="str">
        <f>IF(AE147="","",IF(AE147="[FÓRMULA MANUAL]","",IFERROR(AVERAGEIFS(DATOS!$K$2:$K$20000,DATOS!$A$2:$A$20000,AE147,DATOS!$G$2:$G$20000,CONFIG_METADATA!$B$4,DATOS!$I$2:$I$20000,"Análisis"),"")))</f>
        <v/>
      </c>
      <c r="AG147" t="str">
        <f>IF(AE147="","",IF(AE147="[FÓRMULA MANUAL]","",IFERROR(AVERAGEIFS(DATOS!$K$2:$K$20000,DATOS!$A$2:$A$20000,AE147,DATOS!$G$2:$G$20000,CONFIG_METADATA!$B$4,DATOS!$I$2:$I$20000,"Orquesta/Banda/Conjunto"),"")))</f>
        <v/>
      </c>
      <c r="AH147" t="str">
        <f>IF(AE147="","",IF(AE147="[FÓRMULA MANUAL]","",IFERROR(AVERAGEIFS(DATOS!$K$2:$K$20000,DATOS!$A$2:$A$20000,AE147,DATOS!$G$2:$G$20000,CONFIG_METADATA!$B$4,DATOS!$I$2:$I$20000,"Música de Cámara"),"")))</f>
        <v/>
      </c>
      <c r="AI147" t="str">
        <f>IF(AE147="","",IF(AE147="[FÓRMULA MANUAL]","",IFERROR(SUMPRODUCT((DATOS!$A$2:$A$20000=AE147)*(DATOS!$G$2:$G$20000=CONFIG_METADATA!$B$4)*(COUNTIF(CONFIG_ASIGNATURAS!$B$7:$B$27,DATOS!$I$2:$I$20000)&gt;0)*(DATOS!$K$2:$K$20000))/SUMPRODUCT((DATOS!$A$2:$A$20000=AE147)*(DATOS!$G$2:$G$20000=CONFIG_METADATA!$B$4)*(COUNTIF(CONFIG_ASIGNATURAS!$B$7:$B$27,DATOS!$I$2:$I$20000)&gt;0)*1),"")))</f>
        <v/>
      </c>
    </row>
    <row r="148" spans="2:35" x14ac:dyDescent="0.2">
      <c r="B148" t="str">
        <f>IF(A148="","",IF(A148="[FÓRMULA MANUAL]","",IFERROR(AVERAGEIFS(DATOS!$K$2:$K$20000,DATOS!$A$2:$A$20000,A148,DATOS!$G$2:$G$20000,CONFIG_METADATA!$B$4,DATOS!$I$2:$I$20000,"Lenguaje Musical"),"")))</f>
        <v/>
      </c>
      <c r="C148" t="str">
        <f>IF(A148="","",IF(A148="[FÓRMULA MANUAL]","",IFERROR(AVERAGEIFS(DATOS!$K$2:$K$20000,DATOS!$A$2:$A$20000,A148,DATOS!$G$2:$G$20000,CONFIG_METADATA!$B$4,DATOS!$I$2:$I$20000,"Orquesta/Banda/Conjunto"),"")))</f>
        <v/>
      </c>
      <c r="D148" t="str">
        <f>IF(A148="","",IF(A148="[FÓRMULA MANUAL]","",IFERROR(AVERAGEIFS(DATOS!$K$2:$K$20000,DATOS!$A$2:$A$20000,A148,DATOS!$G$2:$G$20000,CONFIG_METADATA!$B$4,DATOS!$I$2:$I$20000,"Conjunto"),"")))</f>
        <v/>
      </c>
      <c r="E148" t="str">
        <f>IF(A148="","",IF(A148="[FÓRMULA MANUAL]","",IFERROR(SUMPRODUCT((DATOS!$A$2:$A$20000=A148)*(DATOS!$G$2:$G$20000=CONFIG_METADATA!$B$4)*(COUNTIF(CONFIG_ASIGNATURAS!$B$7:$B$27,DATOS!$I$2:$I$20000)&gt;0)*(DATOS!$K$2:$K$20000))/SUMPRODUCT((DATOS!$A$2:$A$20000=A148)*(DATOS!$G$2:$G$20000=CONFIG_METADATA!$B$4)*(COUNTIF(CONFIG_ASIGNATURAS!$B$7:$B$27,DATOS!$I$2:$I$20000)&gt;0)*1),"")))</f>
        <v/>
      </c>
      <c r="H148" t="str">
        <f>IF(G148="","",IF(G148="[FÓRMULA MANUAL]","",IFERROR(AVERAGEIFS(DATOS!$K$2:$K$20000,DATOS!$A$2:$A$20000,G148,DATOS!$G$2:$G$20000,CONFIG_METADATA!$B$4,DATOS!$I$2:$I$20000,"Lenguaje Musical"),"")))</f>
        <v/>
      </c>
      <c r="I148" t="str">
        <f>IF(G148="","",IF(G148="[FÓRMULA MANUAL]","",IFERROR(AVERAGEIFS(DATOS!$K$2:$K$20000,DATOS!$A$2:$A$20000,G148,DATOS!$G$2:$G$20000,CONFIG_METADATA!$B$4,DATOS!$I$2:$I$20000,"Orquesta/Banda/Conjunto"),"")))</f>
        <v/>
      </c>
      <c r="J148" t="str">
        <f>IF(G148="","",IF(G148="[FÓRMULA MANUAL]","",IFERROR(AVERAGEIFS(DATOS!$K$2:$K$20000,DATOS!$A$2:$A$20000,G148,DATOS!$G$2:$G$20000,CONFIG_METADATA!$B$4,DATOS!$I$2:$I$20000,"Conjunto"),"")))</f>
        <v/>
      </c>
      <c r="K148" t="str">
        <f>IF(G148="","",IF(G148="[FÓRMULA MANUAL]","",IFERROR(SUMPRODUCT((DATOS!$A$2:$A$20000=G148)*(DATOS!$G$2:$G$20000=CONFIG_METADATA!$B$4)*(COUNTIF(CONFIG_ASIGNATURAS!$B$7:$B$27,DATOS!$I$2:$I$20000)&gt;0)*(DATOS!$K$2:$K$20000))/SUMPRODUCT((DATOS!$A$2:$A$20000=G148)*(DATOS!$G$2:$G$20000=CONFIG_METADATA!$B$4)*(COUNTIF(CONFIG_ASIGNATURAS!$B$7:$B$27,DATOS!$I$2:$I$20000)&gt;0)*1),"")))</f>
        <v/>
      </c>
      <c r="N148" t="str">
        <f>IF(M148="","",IF(M148="[FÓRMULA MANUAL]","",IFERROR(AVERAGEIFS(DATOS!$K$2:$K$20000,DATOS!$A$2:$A$20000,M148,DATOS!$G$2:$G$20000,CONFIG_METADATA!$B$4,DATOS!$I$2:$I$20000,"Armonía"),"")))</f>
        <v/>
      </c>
      <c r="O148" t="str">
        <f>IF(M148="","",IF(M148="[FÓRMULA MANUAL]","",IFERROR(AVERAGEIFS(DATOS!$K$2:$K$20000,DATOS!$A$2:$A$20000,M148,DATOS!$G$2:$G$20000,CONFIG_METADATA!$B$4,DATOS!$I$2:$I$20000,"Orquesta/Banda/Conjunto"),"")))</f>
        <v/>
      </c>
      <c r="P148" t="str">
        <f>IF(M148="","",IF(M148="[FÓRMULA MANUAL]","",IFERROR(AVERAGEIFS(DATOS!$K$2:$K$20000,DATOS!$A$2:$A$20000,M148,DATOS!$G$2:$G$20000,CONFIG_METADATA!$B$4,DATOS!$I$2:$I$20000,"Música de Cámara"),"")))</f>
        <v/>
      </c>
      <c r="Q148" t="str">
        <f>IF(M148="","",IF(M148="[FÓRMULA MANUAL]","",IFERROR(SUMPRODUCT((DATOS!$A$2:$A$20000=M148)*(DATOS!$G$2:$G$20000=CONFIG_METADATA!$B$4)*(COUNTIF(CONFIG_ASIGNATURAS!$B$7:$B$27,DATOS!$I$2:$I$20000)&gt;0)*(DATOS!$K$2:$K$20000))/SUMPRODUCT((DATOS!$A$2:$A$20000=M148)*(DATOS!$G$2:$G$20000=CONFIG_METADATA!$B$4)*(COUNTIF(CONFIG_ASIGNATURAS!$B$7:$B$27,DATOS!$I$2:$I$20000)&gt;0)*1),"")))</f>
        <v/>
      </c>
      <c r="T148" t="str">
        <f>IF(S148="","",IF(S148="[FÓRMULA MANUAL]","",IFERROR(AVERAGEIFS(DATOS!$K$2:$K$20000,DATOS!$A$2:$A$20000,S148,DATOS!$G$2:$G$20000,CONFIG_METADATA!$B$4,DATOS!$I$2:$I$20000,"Armonía"),"")))</f>
        <v/>
      </c>
      <c r="U148" t="str">
        <f>IF(S148="","",IF(S148="[FÓRMULA MANUAL]","",IFERROR(AVERAGEIFS(DATOS!$K$2:$K$20000,DATOS!$A$2:$A$20000,S148,DATOS!$G$2:$G$20000,CONFIG_METADATA!$B$4,DATOS!$I$2:$I$20000,"Orquesta/Banda/Conjunto"),"")))</f>
        <v/>
      </c>
      <c r="V148" t="str">
        <f>IF(S148="","",IF(S148="[FÓRMULA MANUAL]","",IFERROR(AVERAGEIFS(DATOS!$K$2:$K$20000,DATOS!$A$2:$A$20000,S148,DATOS!$G$2:$G$20000,CONFIG_METADATA!$B$4,DATOS!$I$2:$I$20000,"Música de Cámara"),"")))</f>
        <v/>
      </c>
      <c r="W148" t="str">
        <f>IF(S148="","",IF(S148="[FÓRMULA MANUAL]","",IFERROR(SUMPRODUCT((DATOS!$A$2:$A$20000=S148)*(DATOS!$G$2:$G$20000=CONFIG_METADATA!$B$4)*(COUNTIF(CONFIG_ASIGNATURAS!$B$7:$B$27,DATOS!$I$2:$I$20000)&gt;0)*(DATOS!$K$2:$K$20000))/SUMPRODUCT((DATOS!$A$2:$A$20000=S148)*(DATOS!$G$2:$G$20000=CONFIG_METADATA!$B$4)*(COUNTIF(CONFIG_ASIGNATURAS!$B$7:$B$27,DATOS!$I$2:$I$20000)&gt;0)*1),"")))</f>
        <v/>
      </c>
      <c r="Z148" t="str">
        <f>IF(Y148="","",IF(Y148="[FÓRMULA MANUAL]","",IFERROR(AVERAGEIFS(DATOS!$K$2:$K$20000,DATOS!$A$2:$A$20000,Y148,DATOS!$G$2:$G$20000,CONFIG_METADATA!$B$4,DATOS!$I$2:$I$20000,"Análisis"),"")))</f>
        <v/>
      </c>
      <c r="AA148" t="str">
        <f>IF(Y148="","",IF(Y148="[FÓRMULA MANUAL]","",IFERROR(AVERAGEIFS(DATOS!$K$2:$K$20000,DATOS!$A$2:$A$20000,Y148,DATOS!$G$2:$G$20000,CONFIG_METADATA!$B$4,DATOS!$I$2:$I$20000,"Orquesta/Banda/Conjunto"),"")))</f>
        <v/>
      </c>
      <c r="AB148" t="str">
        <f>IF(Y148="","",IF(Y148="[FÓRMULA MANUAL]","",IFERROR(AVERAGEIFS(DATOS!$K$2:$K$20000,DATOS!$A$2:$A$20000,Y148,DATOS!$G$2:$G$20000,CONFIG_METADATA!$B$4,DATOS!$I$2:$I$20000,"Música de Cámara"),"")))</f>
        <v/>
      </c>
      <c r="AC148" t="str">
        <f>IF(Y148="","",IF(Y148="[FÓRMULA MANUAL]","",IFERROR(SUMPRODUCT((DATOS!$A$2:$A$20000=Y148)*(DATOS!$G$2:$G$20000=CONFIG_METADATA!$B$4)*(COUNTIF(CONFIG_ASIGNATURAS!$B$7:$B$27,DATOS!$I$2:$I$20000)&gt;0)*(DATOS!$K$2:$K$20000))/SUMPRODUCT((DATOS!$A$2:$A$20000=Y148)*(DATOS!$G$2:$G$20000=CONFIG_METADATA!$B$4)*(COUNTIF(CONFIG_ASIGNATURAS!$B$7:$B$27,DATOS!$I$2:$I$20000)&gt;0)*1),"")))</f>
        <v/>
      </c>
      <c r="AF148" t="str">
        <f>IF(AE148="","",IF(AE148="[FÓRMULA MANUAL]","",IFERROR(AVERAGEIFS(DATOS!$K$2:$K$20000,DATOS!$A$2:$A$20000,AE148,DATOS!$G$2:$G$20000,CONFIG_METADATA!$B$4,DATOS!$I$2:$I$20000,"Análisis"),"")))</f>
        <v/>
      </c>
      <c r="AG148" t="str">
        <f>IF(AE148="","",IF(AE148="[FÓRMULA MANUAL]","",IFERROR(AVERAGEIFS(DATOS!$K$2:$K$20000,DATOS!$A$2:$A$20000,AE148,DATOS!$G$2:$G$20000,CONFIG_METADATA!$B$4,DATOS!$I$2:$I$20000,"Orquesta/Banda/Conjunto"),"")))</f>
        <v/>
      </c>
      <c r="AH148" t="str">
        <f>IF(AE148="","",IF(AE148="[FÓRMULA MANUAL]","",IFERROR(AVERAGEIFS(DATOS!$K$2:$K$20000,DATOS!$A$2:$A$20000,AE148,DATOS!$G$2:$G$20000,CONFIG_METADATA!$B$4,DATOS!$I$2:$I$20000,"Música de Cámara"),"")))</f>
        <v/>
      </c>
      <c r="AI148" t="str">
        <f>IF(AE148="","",IF(AE148="[FÓRMULA MANUAL]","",IFERROR(SUMPRODUCT((DATOS!$A$2:$A$20000=AE148)*(DATOS!$G$2:$G$20000=CONFIG_METADATA!$B$4)*(COUNTIF(CONFIG_ASIGNATURAS!$B$7:$B$27,DATOS!$I$2:$I$20000)&gt;0)*(DATOS!$K$2:$K$20000))/SUMPRODUCT((DATOS!$A$2:$A$20000=AE148)*(DATOS!$G$2:$G$20000=CONFIG_METADATA!$B$4)*(COUNTIF(CONFIG_ASIGNATURAS!$B$7:$B$27,DATOS!$I$2:$I$20000)&gt;0)*1),"")))</f>
        <v/>
      </c>
    </row>
    <row r="149" spans="2:35" x14ac:dyDescent="0.2">
      <c r="B149" t="str">
        <f>IF(A149="","",IF(A149="[FÓRMULA MANUAL]","",IFERROR(AVERAGEIFS(DATOS!$K$2:$K$20000,DATOS!$A$2:$A$20000,A149,DATOS!$G$2:$G$20000,CONFIG_METADATA!$B$4,DATOS!$I$2:$I$20000,"Lenguaje Musical"),"")))</f>
        <v/>
      </c>
      <c r="C149" t="str">
        <f>IF(A149="","",IF(A149="[FÓRMULA MANUAL]","",IFERROR(AVERAGEIFS(DATOS!$K$2:$K$20000,DATOS!$A$2:$A$20000,A149,DATOS!$G$2:$G$20000,CONFIG_METADATA!$B$4,DATOS!$I$2:$I$20000,"Orquesta/Banda/Conjunto"),"")))</f>
        <v/>
      </c>
      <c r="D149" t="str">
        <f>IF(A149="","",IF(A149="[FÓRMULA MANUAL]","",IFERROR(AVERAGEIFS(DATOS!$K$2:$K$20000,DATOS!$A$2:$A$20000,A149,DATOS!$G$2:$G$20000,CONFIG_METADATA!$B$4,DATOS!$I$2:$I$20000,"Conjunto"),"")))</f>
        <v/>
      </c>
      <c r="E149" t="str">
        <f>IF(A149="","",IF(A149="[FÓRMULA MANUAL]","",IFERROR(SUMPRODUCT((DATOS!$A$2:$A$20000=A149)*(DATOS!$G$2:$G$20000=CONFIG_METADATA!$B$4)*(COUNTIF(CONFIG_ASIGNATURAS!$B$7:$B$27,DATOS!$I$2:$I$20000)&gt;0)*(DATOS!$K$2:$K$20000))/SUMPRODUCT((DATOS!$A$2:$A$20000=A149)*(DATOS!$G$2:$G$20000=CONFIG_METADATA!$B$4)*(COUNTIF(CONFIG_ASIGNATURAS!$B$7:$B$27,DATOS!$I$2:$I$20000)&gt;0)*1),"")))</f>
        <v/>
      </c>
      <c r="H149" t="str">
        <f>IF(G149="","",IF(G149="[FÓRMULA MANUAL]","",IFERROR(AVERAGEIFS(DATOS!$K$2:$K$20000,DATOS!$A$2:$A$20000,G149,DATOS!$G$2:$G$20000,CONFIG_METADATA!$B$4,DATOS!$I$2:$I$20000,"Lenguaje Musical"),"")))</f>
        <v/>
      </c>
      <c r="I149" t="str">
        <f>IF(G149="","",IF(G149="[FÓRMULA MANUAL]","",IFERROR(AVERAGEIFS(DATOS!$K$2:$K$20000,DATOS!$A$2:$A$20000,G149,DATOS!$G$2:$G$20000,CONFIG_METADATA!$B$4,DATOS!$I$2:$I$20000,"Orquesta/Banda/Conjunto"),"")))</f>
        <v/>
      </c>
      <c r="J149" t="str">
        <f>IF(G149="","",IF(G149="[FÓRMULA MANUAL]","",IFERROR(AVERAGEIFS(DATOS!$K$2:$K$20000,DATOS!$A$2:$A$20000,G149,DATOS!$G$2:$G$20000,CONFIG_METADATA!$B$4,DATOS!$I$2:$I$20000,"Conjunto"),"")))</f>
        <v/>
      </c>
      <c r="K149" t="str">
        <f>IF(G149="","",IF(G149="[FÓRMULA MANUAL]","",IFERROR(SUMPRODUCT((DATOS!$A$2:$A$20000=G149)*(DATOS!$G$2:$G$20000=CONFIG_METADATA!$B$4)*(COUNTIF(CONFIG_ASIGNATURAS!$B$7:$B$27,DATOS!$I$2:$I$20000)&gt;0)*(DATOS!$K$2:$K$20000))/SUMPRODUCT((DATOS!$A$2:$A$20000=G149)*(DATOS!$G$2:$G$20000=CONFIG_METADATA!$B$4)*(COUNTIF(CONFIG_ASIGNATURAS!$B$7:$B$27,DATOS!$I$2:$I$20000)&gt;0)*1),"")))</f>
        <v/>
      </c>
      <c r="N149" t="str">
        <f>IF(M149="","",IF(M149="[FÓRMULA MANUAL]","",IFERROR(AVERAGEIFS(DATOS!$K$2:$K$20000,DATOS!$A$2:$A$20000,M149,DATOS!$G$2:$G$20000,CONFIG_METADATA!$B$4,DATOS!$I$2:$I$20000,"Armonía"),"")))</f>
        <v/>
      </c>
      <c r="O149" t="str">
        <f>IF(M149="","",IF(M149="[FÓRMULA MANUAL]","",IFERROR(AVERAGEIFS(DATOS!$K$2:$K$20000,DATOS!$A$2:$A$20000,M149,DATOS!$G$2:$G$20000,CONFIG_METADATA!$B$4,DATOS!$I$2:$I$20000,"Orquesta/Banda/Conjunto"),"")))</f>
        <v/>
      </c>
      <c r="P149" t="str">
        <f>IF(M149="","",IF(M149="[FÓRMULA MANUAL]","",IFERROR(AVERAGEIFS(DATOS!$K$2:$K$20000,DATOS!$A$2:$A$20000,M149,DATOS!$G$2:$G$20000,CONFIG_METADATA!$B$4,DATOS!$I$2:$I$20000,"Música de Cámara"),"")))</f>
        <v/>
      </c>
      <c r="Q149" t="str">
        <f>IF(M149="","",IF(M149="[FÓRMULA MANUAL]","",IFERROR(SUMPRODUCT((DATOS!$A$2:$A$20000=M149)*(DATOS!$G$2:$G$20000=CONFIG_METADATA!$B$4)*(COUNTIF(CONFIG_ASIGNATURAS!$B$7:$B$27,DATOS!$I$2:$I$20000)&gt;0)*(DATOS!$K$2:$K$20000))/SUMPRODUCT((DATOS!$A$2:$A$20000=M149)*(DATOS!$G$2:$G$20000=CONFIG_METADATA!$B$4)*(COUNTIF(CONFIG_ASIGNATURAS!$B$7:$B$27,DATOS!$I$2:$I$20000)&gt;0)*1),"")))</f>
        <v/>
      </c>
      <c r="T149" t="str">
        <f>IF(S149="","",IF(S149="[FÓRMULA MANUAL]","",IFERROR(AVERAGEIFS(DATOS!$K$2:$K$20000,DATOS!$A$2:$A$20000,S149,DATOS!$G$2:$G$20000,CONFIG_METADATA!$B$4,DATOS!$I$2:$I$20000,"Armonía"),"")))</f>
        <v/>
      </c>
      <c r="U149" t="str">
        <f>IF(S149="","",IF(S149="[FÓRMULA MANUAL]","",IFERROR(AVERAGEIFS(DATOS!$K$2:$K$20000,DATOS!$A$2:$A$20000,S149,DATOS!$G$2:$G$20000,CONFIG_METADATA!$B$4,DATOS!$I$2:$I$20000,"Orquesta/Banda/Conjunto"),"")))</f>
        <v/>
      </c>
      <c r="V149" t="str">
        <f>IF(S149="","",IF(S149="[FÓRMULA MANUAL]","",IFERROR(AVERAGEIFS(DATOS!$K$2:$K$20000,DATOS!$A$2:$A$20000,S149,DATOS!$G$2:$G$20000,CONFIG_METADATA!$B$4,DATOS!$I$2:$I$20000,"Música de Cámara"),"")))</f>
        <v/>
      </c>
      <c r="W149" t="str">
        <f>IF(S149="","",IF(S149="[FÓRMULA MANUAL]","",IFERROR(SUMPRODUCT((DATOS!$A$2:$A$20000=S149)*(DATOS!$G$2:$G$20000=CONFIG_METADATA!$B$4)*(COUNTIF(CONFIG_ASIGNATURAS!$B$7:$B$27,DATOS!$I$2:$I$20000)&gt;0)*(DATOS!$K$2:$K$20000))/SUMPRODUCT((DATOS!$A$2:$A$20000=S149)*(DATOS!$G$2:$G$20000=CONFIG_METADATA!$B$4)*(COUNTIF(CONFIG_ASIGNATURAS!$B$7:$B$27,DATOS!$I$2:$I$20000)&gt;0)*1),"")))</f>
        <v/>
      </c>
      <c r="Z149" t="str">
        <f>IF(Y149="","",IF(Y149="[FÓRMULA MANUAL]","",IFERROR(AVERAGEIFS(DATOS!$K$2:$K$20000,DATOS!$A$2:$A$20000,Y149,DATOS!$G$2:$G$20000,CONFIG_METADATA!$B$4,DATOS!$I$2:$I$20000,"Análisis"),"")))</f>
        <v/>
      </c>
      <c r="AA149" t="str">
        <f>IF(Y149="","",IF(Y149="[FÓRMULA MANUAL]","",IFERROR(AVERAGEIFS(DATOS!$K$2:$K$20000,DATOS!$A$2:$A$20000,Y149,DATOS!$G$2:$G$20000,CONFIG_METADATA!$B$4,DATOS!$I$2:$I$20000,"Orquesta/Banda/Conjunto"),"")))</f>
        <v/>
      </c>
      <c r="AB149" t="str">
        <f>IF(Y149="","",IF(Y149="[FÓRMULA MANUAL]","",IFERROR(AVERAGEIFS(DATOS!$K$2:$K$20000,DATOS!$A$2:$A$20000,Y149,DATOS!$G$2:$G$20000,CONFIG_METADATA!$B$4,DATOS!$I$2:$I$20000,"Música de Cámara"),"")))</f>
        <v/>
      </c>
      <c r="AC149" t="str">
        <f>IF(Y149="","",IF(Y149="[FÓRMULA MANUAL]","",IFERROR(SUMPRODUCT((DATOS!$A$2:$A$20000=Y149)*(DATOS!$G$2:$G$20000=CONFIG_METADATA!$B$4)*(COUNTIF(CONFIG_ASIGNATURAS!$B$7:$B$27,DATOS!$I$2:$I$20000)&gt;0)*(DATOS!$K$2:$K$20000))/SUMPRODUCT((DATOS!$A$2:$A$20000=Y149)*(DATOS!$G$2:$G$20000=CONFIG_METADATA!$B$4)*(COUNTIF(CONFIG_ASIGNATURAS!$B$7:$B$27,DATOS!$I$2:$I$20000)&gt;0)*1),"")))</f>
        <v/>
      </c>
      <c r="AF149" t="str">
        <f>IF(AE149="","",IF(AE149="[FÓRMULA MANUAL]","",IFERROR(AVERAGEIFS(DATOS!$K$2:$K$20000,DATOS!$A$2:$A$20000,AE149,DATOS!$G$2:$G$20000,CONFIG_METADATA!$B$4,DATOS!$I$2:$I$20000,"Análisis"),"")))</f>
        <v/>
      </c>
      <c r="AG149" t="str">
        <f>IF(AE149="","",IF(AE149="[FÓRMULA MANUAL]","",IFERROR(AVERAGEIFS(DATOS!$K$2:$K$20000,DATOS!$A$2:$A$20000,AE149,DATOS!$G$2:$G$20000,CONFIG_METADATA!$B$4,DATOS!$I$2:$I$20000,"Orquesta/Banda/Conjunto"),"")))</f>
        <v/>
      </c>
      <c r="AH149" t="str">
        <f>IF(AE149="","",IF(AE149="[FÓRMULA MANUAL]","",IFERROR(AVERAGEIFS(DATOS!$K$2:$K$20000,DATOS!$A$2:$A$20000,AE149,DATOS!$G$2:$G$20000,CONFIG_METADATA!$B$4,DATOS!$I$2:$I$20000,"Música de Cámara"),"")))</f>
        <v/>
      </c>
      <c r="AI149" t="str">
        <f>IF(AE149="","",IF(AE149="[FÓRMULA MANUAL]","",IFERROR(SUMPRODUCT((DATOS!$A$2:$A$20000=AE149)*(DATOS!$G$2:$G$20000=CONFIG_METADATA!$B$4)*(COUNTIF(CONFIG_ASIGNATURAS!$B$7:$B$27,DATOS!$I$2:$I$20000)&gt;0)*(DATOS!$K$2:$K$20000))/SUMPRODUCT((DATOS!$A$2:$A$20000=AE149)*(DATOS!$G$2:$G$20000=CONFIG_METADATA!$B$4)*(COUNTIF(CONFIG_ASIGNATURAS!$B$7:$B$27,DATOS!$I$2:$I$20000)&gt;0)*1),"")))</f>
        <v/>
      </c>
    </row>
    <row r="150" spans="2:35" x14ac:dyDescent="0.2">
      <c r="B150" t="str">
        <f>IF(A150="","",IF(A150="[FÓRMULA MANUAL]","",IFERROR(AVERAGEIFS(DATOS!$K$2:$K$20000,DATOS!$A$2:$A$20000,A150,DATOS!$G$2:$G$20000,CONFIG_METADATA!$B$4,DATOS!$I$2:$I$20000,"Lenguaje Musical"),"")))</f>
        <v/>
      </c>
      <c r="C150" t="str">
        <f>IF(A150="","",IF(A150="[FÓRMULA MANUAL]","",IFERROR(AVERAGEIFS(DATOS!$K$2:$K$20000,DATOS!$A$2:$A$20000,A150,DATOS!$G$2:$G$20000,CONFIG_METADATA!$B$4,DATOS!$I$2:$I$20000,"Orquesta/Banda/Conjunto"),"")))</f>
        <v/>
      </c>
      <c r="D150" t="str">
        <f>IF(A150="","",IF(A150="[FÓRMULA MANUAL]","",IFERROR(AVERAGEIFS(DATOS!$K$2:$K$20000,DATOS!$A$2:$A$20000,A150,DATOS!$G$2:$G$20000,CONFIG_METADATA!$B$4,DATOS!$I$2:$I$20000,"Conjunto"),"")))</f>
        <v/>
      </c>
      <c r="E150" t="str">
        <f>IF(A150="","",IF(A150="[FÓRMULA MANUAL]","",IFERROR(SUMPRODUCT((DATOS!$A$2:$A$20000=A150)*(DATOS!$G$2:$G$20000=CONFIG_METADATA!$B$4)*(COUNTIF(CONFIG_ASIGNATURAS!$B$7:$B$27,DATOS!$I$2:$I$20000)&gt;0)*(DATOS!$K$2:$K$20000))/SUMPRODUCT((DATOS!$A$2:$A$20000=A150)*(DATOS!$G$2:$G$20000=CONFIG_METADATA!$B$4)*(COUNTIF(CONFIG_ASIGNATURAS!$B$7:$B$27,DATOS!$I$2:$I$20000)&gt;0)*1),"")))</f>
        <v/>
      </c>
      <c r="H150" t="str">
        <f>IF(G150="","",IF(G150="[FÓRMULA MANUAL]","",IFERROR(AVERAGEIFS(DATOS!$K$2:$K$20000,DATOS!$A$2:$A$20000,G150,DATOS!$G$2:$G$20000,CONFIG_METADATA!$B$4,DATOS!$I$2:$I$20000,"Lenguaje Musical"),"")))</f>
        <v/>
      </c>
      <c r="I150" t="str">
        <f>IF(G150="","",IF(G150="[FÓRMULA MANUAL]","",IFERROR(AVERAGEIFS(DATOS!$K$2:$K$20000,DATOS!$A$2:$A$20000,G150,DATOS!$G$2:$G$20000,CONFIG_METADATA!$B$4,DATOS!$I$2:$I$20000,"Orquesta/Banda/Conjunto"),"")))</f>
        <v/>
      </c>
      <c r="J150" t="str">
        <f>IF(G150="","",IF(G150="[FÓRMULA MANUAL]","",IFERROR(AVERAGEIFS(DATOS!$K$2:$K$20000,DATOS!$A$2:$A$20000,G150,DATOS!$G$2:$G$20000,CONFIG_METADATA!$B$4,DATOS!$I$2:$I$20000,"Conjunto"),"")))</f>
        <v/>
      </c>
      <c r="K150" t="str">
        <f>IF(G150="","",IF(G150="[FÓRMULA MANUAL]","",IFERROR(SUMPRODUCT((DATOS!$A$2:$A$20000=G150)*(DATOS!$G$2:$G$20000=CONFIG_METADATA!$B$4)*(COUNTIF(CONFIG_ASIGNATURAS!$B$7:$B$27,DATOS!$I$2:$I$20000)&gt;0)*(DATOS!$K$2:$K$20000))/SUMPRODUCT((DATOS!$A$2:$A$20000=G150)*(DATOS!$G$2:$G$20000=CONFIG_METADATA!$B$4)*(COUNTIF(CONFIG_ASIGNATURAS!$B$7:$B$27,DATOS!$I$2:$I$20000)&gt;0)*1),"")))</f>
        <v/>
      </c>
      <c r="N150" t="str">
        <f>IF(M150="","",IF(M150="[FÓRMULA MANUAL]","",IFERROR(AVERAGEIFS(DATOS!$K$2:$K$20000,DATOS!$A$2:$A$20000,M150,DATOS!$G$2:$G$20000,CONFIG_METADATA!$B$4,DATOS!$I$2:$I$20000,"Armonía"),"")))</f>
        <v/>
      </c>
      <c r="O150" t="str">
        <f>IF(M150="","",IF(M150="[FÓRMULA MANUAL]","",IFERROR(AVERAGEIFS(DATOS!$K$2:$K$20000,DATOS!$A$2:$A$20000,M150,DATOS!$G$2:$G$20000,CONFIG_METADATA!$B$4,DATOS!$I$2:$I$20000,"Orquesta/Banda/Conjunto"),"")))</f>
        <v/>
      </c>
      <c r="P150" t="str">
        <f>IF(M150="","",IF(M150="[FÓRMULA MANUAL]","",IFERROR(AVERAGEIFS(DATOS!$K$2:$K$20000,DATOS!$A$2:$A$20000,M150,DATOS!$G$2:$G$20000,CONFIG_METADATA!$B$4,DATOS!$I$2:$I$20000,"Música de Cámara"),"")))</f>
        <v/>
      </c>
      <c r="Q150" t="str">
        <f>IF(M150="","",IF(M150="[FÓRMULA MANUAL]","",IFERROR(SUMPRODUCT((DATOS!$A$2:$A$20000=M150)*(DATOS!$G$2:$G$20000=CONFIG_METADATA!$B$4)*(COUNTIF(CONFIG_ASIGNATURAS!$B$7:$B$27,DATOS!$I$2:$I$20000)&gt;0)*(DATOS!$K$2:$K$20000))/SUMPRODUCT((DATOS!$A$2:$A$20000=M150)*(DATOS!$G$2:$G$20000=CONFIG_METADATA!$B$4)*(COUNTIF(CONFIG_ASIGNATURAS!$B$7:$B$27,DATOS!$I$2:$I$20000)&gt;0)*1),"")))</f>
        <v/>
      </c>
      <c r="T150" t="str">
        <f>IF(S150="","",IF(S150="[FÓRMULA MANUAL]","",IFERROR(AVERAGEIFS(DATOS!$K$2:$K$20000,DATOS!$A$2:$A$20000,S150,DATOS!$G$2:$G$20000,CONFIG_METADATA!$B$4,DATOS!$I$2:$I$20000,"Armonía"),"")))</f>
        <v/>
      </c>
      <c r="U150" t="str">
        <f>IF(S150="","",IF(S150="[FÓRMULA MANUAL]","",IFERROR(AVERAGEIFS(DATOS!$K$2:$K$20000,DATOS!$A$2:$A$20000,S150,DATOS!$G$2:$G$20000,CONFIG_METADATA!$B$4,DATOS!$I$2:$I$20000,"Orquesta/Banda/Conjunto"),"")))</f>
        <v/>
      </c>
      <c r="V150" t="str">
        <f>IF(S150="","",IF(S150="[FÓRMULA MANUAL]","",IFERROR(AVERAGEIFS(DATOS!$K$2:$K$20000,DATOS!$A$2:$A$20000,S150,DATOS!$G$2:$G$20000,CONFIG_METADATA!$B$4,DATOS!$I$2:$I$20000,"Música de Cámara"),"")))</f>
        <v/>
      </c>
      <c r="W150" t="str">
        <f>IF(S150="","",IF(S150="[FÓRMULA MANUAL]","",IFERROR(SUMPRODUCT((DATOS!$A$2:$A$20000=S150)*(DATOS!$G$2:$G$20000=CONFIG_METADATA!$B$4)*(COUNTIF(CONFIG_ASIGNATURAS!$B$7:$B$27,DATOS!$I$2:$I$20000)&gt;0)*(DATOS!$K$2:$K$20000))/SUMPRODUCT((DATOS!$A$2:$A$20000=S150)*(DATOS!$G$2:$G$20000=CONFIG_METADATA!$B$4)*(COUNTIF(CONFIG_ASIGNATURAS!$B$7:$B$27,DATOS!$I$2:$I$20000)&gt;0)*1),"")))</f>
        <v/>
      </c>
      <c r="Z150" t="str">
        <f>IF(Y150="","",IF(Y150="[FÓRMULA MANUAL]","",IFERROR(AVERAGEIFS(DATOS!$K$2:$K$20000,DATOS!$A$2:$A$20000,Y150,DATOS!$G$2:$G$20000,CONFIG_METADATA!$B$4,DATOS!$I$2:$I$20000,"Análisis"),"")))</f>
        <v/>
      </c>
      <c r="AA150" t="str">
        <f>IF(Y150="","",IF(Y150="[FÓRMULA MANUAL]","",IFERROR(AVERAGEIFS(DATOS!$K$2:$K$20000,DATOS!$A$2:$A$20000,Y150,DATOS!$G$2:$G$20000,CONFIG_METADATA!$B$4,DATOS!$I$2:$I$20000,"Orquesta/Banda/Conjunto"),"")))</f>
        <v/>
      </c>
      <c r="AB150" t="str">
        <f>IF(Y150="","",IF(Y150="[FÓRMULA MANUAL]","",IFERROR(AVERAGEIFS(DATOS!$K$2:$K$20000,DATOS!$A$2:$A$20000,Y150,DATOS!$G$2:$G$20000,CONFIG_METADATA!$B$4,DATOS!$I$2:$I$20000,"Música de Cámara"),"")))</f>
        <v/>
      </c>
      <c r="AC150" t="str">
        <f>IF(Y150="","",IF(Y150="[FÓRMULA MANUAL]","",IFERROR(SUMPRODUCT((DATOS!$A$2:$A$20000=Y150)*(DATOS!$G$2:$G$20000=CONFIG_METADATA!$B$4)*(COUNTIF(CONFIG_ASIGNATURAS!$B$7:$B$27,DATOS!$I$2:$I$20000)&gt;0)*(DATOS!$K$2:$K$20000))/SUMPRODUCT((DATOS!$A$2:$A$20000=Y150)*(DATOS!$G$2:$G$20000=CONFIG_METADATA!$B$4)*(COUNTIF(CONFIG_ASIGNATURAS!$B$7:$B$27,DATOS!$I$2:$I$20000)&gt;0)*1),"")))</f>
        <v/>
      </c>
      <c r="AF150" t="str">
        <f>IF(AE150="","",IF(AE150="[FÓRMULA MANUAL]","",IFERROR(AVERAGEIFS(DATOS!$K$2:$K$20000,DATOS!$A$2:$A$20000,AE150,DATOS!$G$2:$G$20000,CONFIG_METADATA!$B$4,DATOS!$I$2:$I$20000,"Análisis"),"")))</f>
        <v/>
      </c>
      <c r="AG150" t="str">
        <f>IF(AE150="","",IF(AE150="[FÓRMULA MANUAL]","",IFERROR(AVERAGEIFS(DATOS!$K$2:$K$20000,DATOS!$A$2:$A$20000,AE150,DATOS!$G$2:$G$20000,CONFIG_METADATA!$B$4,DATOS!$I$2:$I$20000,"Orquesta/Banda/Conjunto"),"")))</f>
        <v/>
      </c>
      <c r="AH150" t="str">
        <f>IF(AE150="","",IF(AE150="[FÓRMULA MANUAL]","",IFERROR(AVERAGEIFS(DATOS!$K$2:$K$20000,DATOS!$A$2:$A$20000,AE150,DATOS!$G$2:$G$20000,CONFIG_METADATA!$B$4,DATOS!$I$2:$I$20000,"Música de Cámara"),"")))</f>
        <v/>
      </c>
      <c r="AI150" t="str">
        <f>IF(AE150="","",IF(AE150="[FÓRMULA MANUAL]","",IFERROR(SUMPRODUCT((DATOS!$A$2:$A$20000=AE150)*(DATOS!$G$2:$G$20000=CONFIG_METADATA!$B$4)*(COUNTIF(CONFIG_ASIGNATURAS!$B$7:$B$27,DATOS!$I$2:$I$20000)&gt;0)*(DATOS!$K$2:$K$20000))/SUMPRODUCT((DATOS!$A$2:$A$20000=AE150)*(DATOS!$G$2:$G$20000=CONFIG_METADATA!$B$4)*(COUNTIF(CONFIG_ASIGNATURAS!$B$7:$B$27,DATOS!$I$2:$I$20000)&gt;0)*1),"")))</f>
        <v/>
      </c>
    </row>
    <row r="151" spans="2:35" x14ac:dyDescent="0.2">
      <c r="B151" t="str">
        <f>IF(A151="","",IF(A151="[FÓRMULA MANUAL]","",IFERROR(AVERAGEIFS(DATOS!$K$2:$K$20000,DATOS!$A$2:$A$20000,A151,DATOS!$G$2:$G$20000,CONFIG_METADATA!$B$4,DATOS!$I$2:$I$20000,"Lenguaje Musical"),"")))</f>
        <v/>
      </c>
      <c r="C151" t="str">
        <f>IF(A151="","",IF(A151="[FÓRMULA MANUAL]","",IFERROR(AVERAGEIFS(DATOS!$K$2:$K$20000,DATOS!$A$2:$A$20000,A151,DATOS!$G$2:$G$20000,CONFIG_METADATA!$B$4,DATOS!$I$2:$I$20000,"Orquesta/Banda/Conjunto"),"")))</f>
        <v/>
      </c>
      <c r="D151" t="str">
        <f>IF(A151="","",IF(A151="[FÓRMULA MANUAL]","",IFERROR(AVERAGEIFS(DATOS!$K$2:$K$20000,DATOS!$A$2:$A$20000,A151,DATOS!$G$2:$G$20000,CONFIG_METADATA!$B$4,DATOS!$I$2:$I$20000,"Conjunto"),"")))</f>
        <v/>
      </c>
      <c r="E151" t="str">
        <f>IF(A151="","",IF(A151="[FÓRMULA MANUAL]","",IFERROR(SUMPRODUCT((DATOS!$A$2:$A$20000=A151)*(DATOS!$G$2:$G$20000=CONFIG_METADATA!$B$4)*(COUNTIF(CONFIG_ASIGNATURAS!$B$7:$B$27,DATOS!$I$2:$I$20000)&gt;0)*(DATOS!$K$2:$K$20000))/SUMPRODUCT((DATOS!$A$2:$A$20000=A151)*(DATOS!$G$2:$G$20000=CONFIG_METADATA!$B$4)*(COUNTIF(CONFIG_ASIGNATURAS!$B$7:$B$27,DATOS!$I$2:$I$20000)&gt;0)*1),"")))</f>
        <v/>
      </c>
      <c r="H151" t="str">
        <f>IF(G151="","",IF(G151="[FÓRMULA MANUAL]","",IFERROR(AVERAGEIFS(DATOS!$K$2:$K$20000,DATOS!$A$2:$A$20000,G151,DATOS!$G$2:$G$20000,CONFIG_METADATA!$B$4,DATOS!$I$2:$I$20000,"Lenguaje Musical"),"")))</f>
        <v/>
      </c>
      <c r="I151" t="str">
        <f>IF(G151="","",IF(G151="[FÓRMULA MANUAL]","",IFERROR(AVERAGEIFS(DATOS!$K$2:$K$20000,DATOS!$A$2:$A$20000,G151,DATOS!$G$2:$G$20000,CONFIG_METADATA!$B$4,DATOS!$I$2:$I$20000,"Orquesta/Banda/Conjunto"),"")))</f>
        <v/>
      </c>
      <c r="J151" t="str">
        <f>IF(G151="","",IF(G151="[FÓRMULA MANUAL]","",IFERROR(AVERAGEIFS(DATOS!$K$2:$K$20000,DATOS!$A$2:$A$20000,G151,DATOS!$G$2:$G$20000,CONFIG_METADATA!$B$4,DATOS!$I$2:$I$20000,"Conjunto"),"")))</f>
        <v/>
      </c>
      <c r="K151" t="str">
        <f>IF(G151="","",IF(G151="[FÓRMULA MANUAL]","",IFERROR(SUMPRODUCT((DATOS!$A$2:$A$20000=G151)*(DATOS!$G$2:$G$20000=CONFIG_METADATA!$B$4)*(COUNTIF(CONFIG_ASIGNATURAS!$B$7:$B$27,DATOS!$I$2:$I$20000)&gt;0)*(DATOS!$K$2:$K$20000))/SUMPRODUCT((DATOS!$A$2:$A$20000=G151)*(DATOS!$G$2:$G$20000=CONFIG_METADATA!$B$4)*(COUNTIF(CONFIG_ASIGNATURAS!$B$7:$B$27,DATOS!$I$2:$I$20000)&gt;0)*1),"")))</f>
        <v/>
      </c>
      <c r="N151" t="str">
        <f>IF(M151="","",IF(M151="[FÓRMULA MANUAL]","",IFERROR(AVERAGEIFS(DATOS!$K$2:$K$20000,DATOS!$A$2:$A$20000,M151,DATOS!$G$2:$G$20000,CONFIG_METADATA!$B$4,DATOS!$I$2:$I$20000,"Armonía"),"")))</f>
        <v/>
      </c>
      <c r="O151" t="str">
        <f>IF(M151="","",IF(M151="[FÓRMULA MANUAL]","",IFERROR(AVERAGEIFS(DATOS!$K$2:$K$20000,DATOS!$A$2:$A$20000,M151,DATOS!$G$2:$G$20000,CONFIG_METADATA!$B$4,DATOS!$I$2:$I$20000,"Orquesta/Banda/Conjunto"),"")))</f>
        <v/>
      </c>
      <c r="P151" t="str">
        <f>IF(M151="","",IF(M151="[FÓRMULA MANUAL]","",IFERROR(AVERAGEIFS(DATOS!$K$2:$K$20000,DATOS!$A$2:$A$20000,M151,DATOS!$G$2:$G$20000,CONFIG_METADATA!$B$4,DATOS!$I$2:$I$20000,"Música de Cámara"),"")))</f>
        <v/>
      </c>
      <c r="Q151" t="str">
        <f>IF(M151="","",IF(M151="[FÓRMULA MANUAL]","",IFERROR(SUMPRODUCT((DATOS!$A$2:$A$20000=M151)*(DATOS!$G$2:$G$20000=CONFIG_METADATA!$B$4)*(COUNTIF(CONFIG_ASIGNATURAS!$B$7:$B$27,DATOS!$I$2:$I$20000)&gt;0)*(DATOS!$K$2:$K$20000))/SUMPRODUCT((DATOS!$A$2:$A$20000=M151)*(DATOS!$G$2:$G$20000=CONFIG_METADATA!$B$4)*(COUNTIF(CONFIG_ASIGNATURAS!$B$7:$B$27,DATOS!$I$2:$I$20000)&gt;0)*1),"")))</f>
        <v/>
      </c>
      <c r="T151" t="str">
        <f>IF(S151="","",IF(S151="[FÓRMULA MANUAL]","",IFERROR(AVERAGEIFS(DATOS!$K$2:$K$20000,DATOS!$A$2:$A$20000,S151,DATOS!$G$2:$G$20000,CONFIG_METADATA!$B$4,DATOS!$I$2:$I$20000,"Armonía"),"")))</f>
        <v/>
      </c>
      <c r="U151" t="str">
        <f>IF(S151="","",IF(S151="[FÓRMULA MANUAL]","",IFERROR(AVERAGEIFS(DATOS!$K$2:$K$20000,DATOS!$A$2:$A$20000,S151,DATOS!$G$2:$G$20000,CONFIG_METADATA!$B$4,DATOS!$I$2:$I$20000,"Orquesta/Banda/Conjunto"),"")))</f>
        <v/>
      </c>
      <c r="V151" t="str">
        <f>IF(S151="","",IF(S151="[FÓRMULA MANUAL]","",IFERROR(AVERAGEIFS(DATOS!$K$2:$K$20000,DATOS!$A$2:$A$20000,S151,DATOS!$G$2:$G$20000,CONFIG_METADATA!$B$4,DATOS!$I$2:$I$20000,"Música de Cámara"),"")))</f>
        <v/>
      </c>
      <c r="W151" t="str">
        <f>IF(S151="","",IF(S151="[FÓRMULA MANUAL]","",IFERROR(SUMPRODUCT((DATOS!$A$2:$A$20000=S151)*(DATOS!$G$2:$G$20000=CONFIG_METADATA!$B$4)*(COUNTIF(CONFIG_ASIGNATURAS!$B$7:$B$27,DATOS!$I$2:$I$20000)&gt;0)*(DATOS!$K$2:$K$20000))/SUMPRODUCT((DATOS!$A$2:$A$20000=S151)*(DATOS!$G$2:$G$20000=CONFIG_METADATA!$B$4)*(COUNTIF(CONFIG_ASIGNATURAS!$B$7:$B$27,DATOS!$I$2:$I$20000)&gt;0)*1),"")))</f>
        <v/>
      </c>
      <c r="Z151" t="str">
        <f>IF(Y151="","",IF(Y151="[FÓRMULA MANUAL]","",IFERROR(AVERAGEIFS(DATOS!$K$2:$K$20000,DATOS!$A$2:$A$20000,Y151,DATOS!$G$2:$G$20000,CONFIG_METADATA!$B$4,DATOS!$I$2:$I$20000,"Análisis"),"")))</f>
        <v/>
      </c>
      <c r="AA151" t="str">
        <f>IF(Y151="","",IF(Y151="[FÓRMULA MANUAL]","",IFERROR(AVERAGEIFS(DATOS!$K$2:$K$20000,DATOS!$A$2:$A$20000,Y151,DATOS!$G$2:$G$20000,CONFIG_METADATA!$B$4,DATOS!$I$2:$I$20000,"Orquesta/Banda/Conjunto"),"")))</f>
        <v/>
      </c>
      <c r="AB151" t="str">
        <f>IF(Y151="","",IF(Y151="[FÓRMULA MANUAL]","",IFERROR(AVERAGEIFS(DATOS!$K$2:$K$20000,DATOS!$A$2:$A$20000,Y151,DATOS!$G$2:$G$20000,CONFIG_METADATA!$B$4,DATOS!$I$2:$I$20000,"Música de Cámara"),"")))</f>
        <v/>
      </c>
      <c r="AC151" t="str">
        <f>IF(Y151="","",IF(Y151="[FÓRMULA MANUAL]","",IFERROR(SUMPRODUCT((DATOS!$A$2:$A$20000=Y151)*(DATOS!$G$2:$G$20000=CONFIG_METADATA!$B$4)*(COUNTIF(CONFIG_ASIGNATURAS!$B$7:$B$27,DATOS!$I$2:$I$20000)&gt;0)*(DATOS!$K$2:$K$20000))/SUMPRODUCT((DATOS!$A$2:$A$20000=Y151)*(DATOS!$G$2:$G$20000=CONFIG_METADATA!$B$4)*(COUNTIF(CONFIG_ASIGNATURAS!$B$7:$B$27,DATOS!$I$2:$I$20000)&gt;0)*1),"")))</f>
        <v/>
      </c>
      <c r="AF151" t="str">
        <f>IF(AE151="","",IF(AE151="[FÓRMULA MANUAL]","",IFERROR(AVERAGEIFS(DATOS!$K$2:$K$20000,DATOS!$A$2:$A$20000,AE151,DATOS!$G$2:$G$20000,CONFIG_METADATA!$B$4,DATOS!$I$2:$I$20000,"Análisis"),"")))</f>
        <v/>
      </c>
      <c r="AG151" t="str">
        <f>IF(AE151="","",IF(AE151="[FÓRMULA MANUAL]","",IFERROR(AVERAGEIFS(DATOS!$K$2:$K$20000,DATOS!$A$2:$A$20000,AE151,DATOS!$G$2:$G$20000,CONFIG_METADATA!$B$4,DATOS!$I$2:$I$20000,"Orquesta/Banda/Conjunto"),"")))</f>
        <v/>
      </c>
      <c r="AH151" t="str">
        <f>IF(AE151="","",IF(AE151="[FÓRMULA MANUAL]","",IFERROR(AVERAGEIFS(DATOS!$K$2:$K$20000,DATOS!$A$2:$A$20000,AE151,DATOS!$G$2:$G$20000,CONFIG_METADATA!$B$4,DATOS!$I$2:$I$20000,"Música de Cámara"),"")))</f>
        <v/>
      </c>
      <c r="AI151" t="str">
        <f>IF(AE151="","",IF(AE151="[FÓRMULA MANUAL]","",IFERROR(SUMPRODUCT((DATOS!$A$2:$A$20000=AE151)*(DATOS!$G$2:$G$20000=CONFIG_METADATA!$B$4)*(COUNTIF(CONFIG_ASIGNATURAS!$B$7:$B$27,DATOS!$I$2:$I$20000)&gt;0)*(DATOS!$K$2:$K$20000))/SUMPRODUCT((DATOS!$A$2:$A$20000=AE151)*(DATOS!$G$2:$G$20000=CONFIG_METADATA!$B$4)*(COUNTIF(CONFIG_ASIGNATURAS!$B$7:$B$27,DATOS!$I$2:$I$20000)&gt;0)*1),"")))</f>
        <v/>
      </c>
    </row>
    <row r="152" spans="2:35" x14ac:dyDescent="0.2">
      <c r="B152" t="str">
        <f>IF(A152="","",IF(A152="[FÓRMULA MANUAL]","",IFERROR(AVERAGEIFS(DATOS!$K$2:$K$20000,DATOS!$A$2:$A$20000,A152,DATOS!$G$2:$G$20000,CONFIG_METADATA!$B$4,DATOS!$I$2:$I$20000,"Lenguaje Musical"),"")))</f>
        <v/>
      </c>
      <c r="C152" t="str">
        <f>IF(A152="","",IF(A152="[FÓRMULA MANUAL]","",IFERROR(AVERAGEIFS(DATOS!$K$2:$K$20000,DATOS!$A$2:$A$20000,A152,DATOS!$G$2:$G$20000,CONFIG_METADATA!$B$4,DATOS!$I$2:$I$20000,"Orquesta/Banda/Conjunto"),"")))</f>
        <v/>
      </c>
      <c r="D152" t="str">
        <f>IF(A152="","",IF(A152="[FÓRMULA MANUAL]","",IFERROR(AVERAGEIFS(DATOS!$K$2:$K$20000,DATOS!$A$2:$A$20000,A152,DATOS!$G$2:$G$20000,CONFIG_METADATA!$B$4,DATOS!$I$2:$I$20000,"Conjunto"),"")))</f>
        <v/>
      </c>
      <c r="E152" t="str">
        <f>IF(A152="","",IF(A152="[FÓRMULA MANUAL]","",IFERROR(SUMPRODUCT((DATOS!$A$2:$A$20000=A152)*(DATOS!$G$2:$G$20000=CONFIG_METADATA!$B$4)*(COUNTIF(CONFIG_ASIGNATURAS!$B$7:$B$27,DATOS!$I$2:$I$20000)&gt;0)*(DATOS!$K$2:$K$20000))/SUMPRODUCT((DATOS!$A$2:$A$20000=A152)*(DATOS!$G$2:$G$20000=CONFIG_METADATA!$B$4)*(COUNTIF(CONFIG_ASIGNATURAS!$B$7:$B$27,DATOS!$I$2:$I$20000)&gt;0)*1),"")))</f>
        <v/>
      </c>
      <c r="H152" t="str">
        <f>IF(G152="","",IF(G152="[FÓRMULA MANUAL]","",IFERROR(AVERAGEIFS(DATOS!$K$2:$K$20000,DATOS!$A$2:$A$20000,G152,DATOS!$G$2:$G$20000,CONFIG_METADATA!$B$4,DATOS!$I$2:$I$20000,"Lenguaje Musical"),"")))</f>
        <v/>
      </c>
      <c r="I152" t="str">
        <f>IF(G152="","",IF(G152="[FÓRMULA MANUAL]","",IFERROR(AVERAGEIFS(DATOS!$K$2:$K$20000,DATOS!$A$2:$A$20000,G152,DATOS!$G$2:$G$20000,CONFIG_METADATA!$B$4,DATOS!$I$2:$I$20000,"Orquesta/Banda/Conjunto"),"")))</f>
        <v/>
      </c>
      <c r="J152" t="str">
        <f>IF(G152="","",IF(G152="[FÓRMULA MANUAL]","",IFERROR(AVERAGEIFS(DATOS!$K$2:$K$20000,DATOS!$A$2:$A$20000,G152,DATOS!$G$2:$G$20000,CONFIG_METADATA!$B$4,DATOS!$I$2:$I$20000,"Conjunto"),"")))</f>
        <v/>
      </c>
      <c r="K152" t="str">
        <f>IF(G152="","",IF(G152="[FÓRMULA MANUAL]","",IFERROR(SUMPRODUCT((DATOS!$A$2:$A$20000=G152)*(DATOS!$G$2:$G$20000=CONFIG_METADATA!$B$4)*(COUNTIF(CONFIG_ASIGNATURAS!$B$7:$B$27,DATOS!$I$2:$I$20000)&gt;0)*(DATOS!$K$2:$K$20000))/SUMPRODUCT((DATOS!$A$2:$A$20000=G152)*(DATOS!$G$2:$G$20000=CONFIG_METADATA!$B$4)*(COUNTIF(CONFIG_ASIGNATURAS!$B$7:$B$27,DATOS!$I$2:$I$20000)&gt;0)*1),"")))</f>
        <v/>
      </c>
      <c r="N152" t="str">
        <f>IF(M152="","",IF(M152="[FÓRMULA MANUAL]","",IFERROR(AVERAGEIFS(DATOS!$K$2:$K$20000,DATOS!$A$2:$A$20000,M152,DATOS!$G$2:$G$20000,CONFIG_METADATA!$B$4,DATOS!$I$2:$I$20000,"Armonía"),"")))</f>
        <v/>
      </c>
      <c r="O152" t="str">
        <f>IF(M152="","",IF(M152="[FÓRMULA MANUAL]","",IFERROR(AVERAGEIFS(DATOS!$K$2:$K$20000,DATOS!$A$2:$A$20000,M152,DATOS!$G$2:$G$20000,CONFIG_METADATA!$B$4,DATOS!$I$2:$I$20000,"Orquesta/Banda/Conjunto"),"")))</f>
        <v/>
      </c>
      <c r="P152" t="str">
        <f>IF(M152="","",IF(M152="[FÓRMULA MANUAL]","",IFERROR(AVERAGEIFS(DATOS!$K$2:$K$20000,DATOS!$A$2:$A$20000,M152,DATOS!$G$2:$G$20000,CONFIG_METADATA!$B$4,DATOS!$I$2:$I$20000,"Música de Cámara"),"")))</f>
        <v/>
      </c>
      <c r="Q152" t="str">
        <f>IF(M152="","",IF(M152="[FÓRMULA MANUAL]","",IFERROR(SUMPRODUCT((DATOS!$A$2:$A$20000=M152)*(DATOS!$G$2:$G$20000=CONFIG_METADATA!$B$4)*(COUNTIF(CONFIG_ASIGNATURAS!$B$7:$B$27,DATOS!$I$2:$I$20000)&gt;0)*(DATOS!$K$2:$K$20000))/SUMPRODUCT((DATOS!$A$2:$A$20000=M152)*(DATOS!$G$2:$G$20000=CONFIG_METADATA!$B$4)*(COUNTIF(CONFIG_ASIGNATURAS!$B$7:$B$27,DATOS!$I$2:$I$20000)&gt;0)*1),"")))</f>
        <v/>
      </c>
      <c r="T152" t="str">
        <f>IF(S152="","",IF(S152="[FÓRMULA MANUAL]","",IFERROR(AVERAGEIFS(DATOS!$K$2:$K$20000,DATOS!$A$2:$A$20000,S152,DATOS!$G$2:$G$20000,CONFIG_METADATA!$B$4,DATOS!$I$2:$I$20000,"Armonía"),"")))</f>
        <v/>
      </c>
      <c r="U152" t="str">
        <f>IF(S152="","",IF(S152="[FÓRMULA MANUAL]","",IFERROR(AVERAGEIFS(DATOS!$K$2:$K$20000,DATOS!$A$2:$A$20000,S152,DATOS!$G$2:$G$20000,CONFIG_METADATA!$B$4,DATOS!$I$2:$I$20000,"Orquesta/Banda/Conjunto"),"")))</f>
        <v/>
      </c>
      <c r="V152" t="str">
        <f>IF(S152="","",IF(S152="[FÓRMULA MANUAL]","",IFERROR(AVERAGEIFS(DATOS!$K$2:$K$20000,DATOS!$A$2:$A$20000,S152,DATOS!$G$2:$G$20000,CONFIG_METADATA!$B$4,DATOS!$I$2:$I$20000,"Música de Cámara"),"")))</f>
        <v/>
      </c>
      <c r="W152" t="str">
        <f>IF(S152="","",IF(S152="[FÓRMULA MANUAL]","",IFERROR(SUMPRODUCT((DATOS!$A$2:$A$20000=S152)*(DATOS!$G$2:$G$20000=CONFIG_METADATA!$B$4)*(COUNTIF(CONFIG_ASIGNATURAS!$B$7:$B$27,DATOS!$I$2:$I$20000)&gt;0)*(DATOS!$K$2:$K$20000))/SUMPRODUCT((DATOS!$A$2:$A$20000=S152)*(DATOS!$G$2:$G$20000=CONFIG_METADATA!$B$4)*(COUNTIF(CONFIG_ASIGNATURAS!$B$7:$B$27,DATOS!$I$2:$I$20000)&gt;0)*1),"")))</f>
        <v/>
      </c>
      <c r="Z152" t="str">
        <f>IF(Y152="","",IF(Y152="[FÓRMULA MANUAL]","",IFERROR(AVERAGEIFS(DATOS!$K$2:$K$20000,DATOS!$A$2:$A$20000,Y152,DATOS!$G$2:$G$20000,CONFIG_METADATA!$B$4,DATOS!$I$2:$I$20000,"Análisis"),"")))</f>
        <v/>
      </c>
      <c r="AA152" t="str">
        <f>IF(Y152="","",IF(Y152="[FÓRMULA MANUAL]","",IFERROR(AVERAGEIFS(DATOS!$K$2:$K$20000,DATOS!$A$2:$A$20000,Y152,DATOS!$G$2:$G$20000,CONFIG_METADATA!$B$4,DATOS!$I$2:$I$20000,"Orquesta/Banda/Conjunto"),"")))</f>
        <v/>
      </c>
      <c r="AB152" t="str">
        <f>IF(Y152="","",IF(Y152="[FÓRMULA MANUAL]","",IFERROR(AVERAGEIFS(DATOS!$K$2:$K$20000,DATOS!$A$2:$A$20000,Y152,DATOS!$G$2:$G$20000,CONFIG_METADATA!$B$4,DATOS!$I$2:$I$20000,"Música de Cámara"),"")))</f>
        <v/>
      </c>
      <c r="AC152" t="str">
        <f>IF(Y152="","",IF(Y152="[FÓRMULA MANUAL]","",IFERROR(SUMPRODUCT((DATOS!$A$2:$A$20000=Y152)*(DATOS!$G$2:$G$20000=CONFIG_METADATA!$B$4)*(COUNTIF(CONFIG_ASIGNATURAS!$B$7:$B$27,DATOS!$I$2:$I$20000)&gt;0)*(DATOS!$K$2:$K$20000))/SUMPRODUCT((DATOS!$A$2:$A$20000=Y152)*(DATOS!$G$2:$G$20000=CONFIG_METADATA!$B$4)*(COUNTIF(CONFIG_ASIGNATURAS!$B$7:$B$27,DATOS!$I$2:$I$20000)&gt;0)*1),"")))</f>
        <v/>
      </c>
      <c r="AF152" t="str">
        <f>IF(AE152="","",IF(AE152="[FÓRMULA MANUAL]","",IFERROR(AVERAGEIFS(DATOS!$K$2:$K$20000,DATOS!$A$2:$A$20000,AE152,DATOS!$G$2:$G$20000,CONFIG_METADATA!$B$4,DATOS!$I$2:$I$20000,"Análisis"),"")))</f>
        <v/>
      </c>
      <c r="AG152" t="str">
        <f>IF(AE152="","",IF(AE152="[FÓRMULA MANUAL]","",IFERROR(AVERAGEIFS(DATOS!$K$2:$K$20000,DATOS!$A$2:$A$20000,AE152,DATOS!$G$2:$G$20000,CONFIG_METADATA!$B$4,DATOS!$I$2:$I$20000,"Orquesta/Banda/Conjunto"),"")))</f>
        <v/>
      </c>
      <c r="AH152" t="str">
        <f>IF(AE152="","",IF(AE152="[FÓRMULA MANUAL]","",IFERROR(AVERAGEIFS(DATOS!$K$2:$K$20000,DATOS!$A$2:$A$20000,AE152,DATOS!$G$2:$G$20000,CONFIG_METADATA!$B$4,DATOS!$I$2:$I$20000,"Música de Cámara"),"")))</f>
        <v/>
      </c>
      <c r="AI152" t="str">
        <f>IF(AE152="","",IF(AE152="[FÓRMULA MANUAL]","",IFERROR(SUMPRODUCT((DATOS!$A$2:$A$20000=AE152)*(DATOS!$G$2:$G$20000=CONFIG_METADATA!$B$4)*(COUNTIF(CONFIG_ASIGNATURAS!$B$7:$B$27,DATOS!$I$2:$I$20000)&gt;0)*(DATOS!$K$2:$K$20000))/SUMPRODUCT((DATOS!$A$2:$A$20000=AE152)*(DATOS!$G$2:$G$20000=CONFIG_METADATA!$B$4)*(COUNTIF(CONFIG_ASIGNATURAS!$B$7:$B$27,DATOS!$I$2:$I$20000)&gt;0)*1),"")))</f>
        <v/>
      </c>
    </row>
    <row r="153" spans="2:35" x14ac:dyDescent="0.2">
      <c r="B153" t="str">
        <f>IF(A153="","",IF(A153="[FÓRMULA MANUAL]","",IFERROR(AVERAGEIFS(DATOS!$K$2:$K$20000,DATOS!$A$2:$A$20000,A153,DATOS!$G$2:$G$20000,CONFIG_METADATA!$B$4,DATOS!$I$2:$I$20000,"Lenguaje Musical"),"")))</f>
        <v/>
      </c>
      <c r="C153" t="str">
        <f>IF(A153="","",IF(A153="[FÓRMULA MANUAL]","",IFERROR(AVERAGEIFS(DATOS!$K$2:$K$20000,DATOS!$A$2:$A$20000,A153,DATOS!$G$2:$G$20000,CONFIG_METADATA!$B$4,DATOS!$I$2:$I$20000,"Orquesta/Banda/Conjunto"),"")))</f>
        <v/>
      </c>
      <c r="D153" t="str">
        <f>IF(A153="","",IF(A153="[FÓRMULA MANUAL]","",IFERROR(AVERAGEIFS(DATOS!$K$2:$K$20000,DATOS!$A$2:$A$20000,A153,DATOS!$G$2:$G$20000,CONFIG_METADATA!$B$4,DATOS!$I$2:$I$20000,"Conjunto"),"")))</f>
        <v/>
      </c>
      <c r="E153" t="str">
        <f>IF(A153="","",IF(A153="[FÓRMULA MANUAL]","",IFERROR(SUMPRODUCT((DATOS!$A$2:$A$20000=A153)*(DATOS!$G$2:$G$20000=CONFIG_METADATA!$B$4)*(COUNTIF(CONFIG_ASIGNATURAS!$B$7:$B$27,DATOS!$I$2:$I$20000)&gt;0)*(DATOS!$K$2:$K$20000))/SUMPRODUCT((DATOS!$A$2:$A$20000=A153)*(DATOS!$G$2:$G$20000=CONFIG_METADATA!$B$4)*(COUNTIF(CONFIG_ASIGNATURAS!$B$7:$B$27,DATOS!$I$2:$I$20000)&gt;0)*1),"")))</f>
        <v/>
      </c>
      <c r="H153" t="str">
        <f>IF(G153="","",IF(G153="[FÓRMULA MANUAL]","",IFERROR(AVERAGEIFS(DATOS!$K$2:$K$20000,DATOS!$A$2:$A$20000,G153,DATOS!$G$2:$G$20000,CONFIG_METADATA!$B$4,DATOS!$I$2:$I$20000,"Lenguaje Musical"),"")))</f>
        <v/>
      </c>
      <c r="I153" t="str">
        <f>IF(G153="","",IF(G153="[FÓRMULA MANUAL]","",IFERROR(AVERAGEIFS(DATOS!$K$2:$K$20000,DATOS!$A$2:$A$20000,G153,DATOS!$G$2:$G$20000,CONFIG_METADATA!$B$4,DATOS!$I$2:$I$20000,"Orquesta/Banda/Conjunto"),"")))</f>
        <v/>
      </c>
      <c r="J153" t="str">
        <f>IF(G153="","",IF(G153="[FÓRMULA MANUAL]","",IFERROR(AVERAGEIFS(DATOS!$K$2:$K$20000,DATOS!$A$2:$A$20000,G153,DATOS!$G$2:$G$20000,CONFIG_METADATA!$B$4,DATOS!$I$2:$I$20000,"Conjunto"),"")))</f>
        <v/>
      </c>
      <c r="K153" t="str">
        <f>IF(G153="","",IF(G153="[FÓRMULA MANUAL]","",IFERROR(SUMPRODUCT((DATOS!$A$2:$A$20000=G153)*(DATOS!$G$2:$G$20000=CONFIG_METADATA!$B$4)*(COUNTIF(CONFIG_ASIGNATURAS!$B$7:$B$27,DATOS!$I$2:$I$20000)&gt;0)*(DATOS!$K$2:$K$20000))/SUMPRODUCT((DATOS!$A$2:$A$20000=G153)*(DATOS!$G$2:$G$20000=CONFIG_METADATA!$B$4)*(COUNTIF(CONFIG_ASIGNATURAS!$B$7:$B$27,DATOS!$I$2:$I$20000)&gt;0)*1),"")))</f>
        <v/>
      </c>
      <c r="N153" t="str">
        <f>IF(M153="","",IF(M153="[FÓRMULA MANUAL]","",IFERROR(AVERAGEIFS(DATOS!$K$2:$K$20000,DATOS!$A$2:$A$20000,M153,DATOS!$G$2:$G$20000,CONFIG_METADATA!$B$4,DATOS!$I$2:$I$20000,"Armonía"),"")))</f>
        <v/>
      </c>
      <c r="O153" t="str">
        <f>IF(M153="","",IF(M153="[FÓRMULA MANUAL]","",IFERROR(AVERAGEIFS(DATOS!$K$2:$K$20000,DATOS!$A$2:$A$20000,M153,DATOS!$G$2:$G$20000,CONFIG_METADATA!$B$4,DATOS!$I$2:$I$20000,"Orquesta/Banda/Conjunto"),"")))</f>
        <v/>
      </c>
      <c r="P153" t="str">
        <f>IF(M153="","",IF(M153="[FÓRMULA MANUAL]","",IFERROR(AVERAGEIFS(DATOS!$K$2:$K$20000,DATOS!$A$2:$A$20000,M153,DATOS!$G$2:$G$20000,CONFIG_METADATA!$B$4,DATOS!$I$2:$I$20000,"Música de Cámara"),"")))</f>
        <v/>
      </c>
      <c r="Q153" t="str">
        <f>IF(M153="","",IF(M153="[FÓRMULA MANUAL]","",IFERROR(SUMPRODUCT((DATOS!$A$2:$A$20000=M153)*(DATOS!$G$2:$G$20000=CONFIG_METADATA!$B$4)*(COUNTIF(CONFIG_ASIGNATURAS!$B$7:$B$27,DATOS!$I$2:$I$20000)&gt;0)*(DATOS!$K$2:$K$20000))/SUMPRODUCT((DATOS!$A$2:$A$20000=M153)*(DATOS!$G$2:$G$20000=CONFIG_METADATA!$B$4)*(COUNTIF(CONFIG_ASIGNATURAS!$B$7:$B$27,DATOS!$I$2:$I$20000)&gt;0)*1),"")))</f>
        <v/>
      </c>
      <c r="T153" t="str">
        <f>IF(S153="","",IF(S153="[FÓRMULA MANUAL]","",IFERROR(AVERAGEIFS(DATOS!$K$2:$K$20000,DATOS!$A$2:$A$20000,S153,DATOS!$G$2:$G$20000,CONFIG_METADATA!$B$4,DATOS!$I$2:$I$20000,"Armonía"),"")))</f>
        <v/>
      </c>
      <c r="U153" t="str">
        <f>IF(S153="","",IF(S153="[FÓRMULA MANUAL]","",IFERROR(AVERAGEIFS(DATOS!$K$2:$K$20000,DATOS!$A$2:$A$20000,S153,DATOS!$G$2:$G$20000,CONFIG_METADATA!$B$4,DATOS!$I$2:$I$20000,"Orquesta/Banda/Conjunto"),"")))</f>
        <v/>
      </c>
      <c r="V153" t="str">
        <f>IF(S153="","",IF(S153="[FÓRMULA MANUAL]","",IFERROR(AVERAGEIFS(DATOS!$K$2:$K$20000,DATOS!$A$2:$A$20000,S153,DATOS!$G$2:$G$20000,CONFIG_METADATA!$B$4,DATOS!$I$2:$I$20000,"Música de Cámara"),"")))</f>
        <v/>
      </c>
      <c r="W153" t="str">
        <f>IF(S153="","",IF(S153="[FÓRMULA MANUAL]","",IFERROR(SUMPRODUCT((DATOS!$A$2:$A$20000=S153)*(DATOS!$G$2:$G$20000=CONFIG_METADATA!$B$4)*(COUNTIF(CONFIG_ASIGNATURAS!$B$7:$B$27,DATOS!$I$2:$I$20000)&gt;0)*(DATOS!$K$2:$K$20000))/SUMPRODUCT((DATOS!$A$2:$A$20000=S153)*(DATOS!$G$2:$G$20000=CONFIG_METADATA!$B$4)*(COUNTIF(CONFIG_ASIGNATURAS!$B$7:$B$27,DATOS!$I$2:$I$20000)&gt;0)*1),"")))</f>
        <v/>
      </c>
      <c r="Z153" t="str">
        <f>IF(Y153="","",IF(Y153="[FÓRMULA MANUAL]","",IFERROR(AVERAGEIFS(DATOS!$K$2:$K$20000,DATOS!$A$2:$A$20000,Y153,DATOS!$G$2:$G$20000,CONFIG_METADATA!$B$4,DATOS!$I$2:$I$20000,"Análisis"),"")))</f>
        <v/>
      </c>
      <c r="AA153" t="str">
        <f>IF(Y153="","",IF(Y153="[FÓRMULA MANUAL]","",IFERROR(AVERAGEIFS(DATOS!$K$2:$K$20000,DATOS!$A$2:$A$20000,Y153,DATOS!$G$2:$G$20000,CONFIG_METADATA!$B$4,DATOS!$I$2:$I$20000,"Orquesta/Banda/Conjunto"),"")))</f>
        <v/>
      </c>
      <c r="AB153" t="str">
        <f>IF(Y153="","",IF(Y153="[FÓRMULA MANUAL]","",IFERROR(AVERAGEIFS(DATOS!$K$2:$K$20000,DATOS!$A$2:$A$20000,Y153,DATOS!$G$2:$G$20000,CONFIG_METADATA!$B$4,DATOS!$I$2:$I$20000,"Música de Cámara"),"")))</f>
        <v/>
      </c>
      <c r="AC153" t="str">
        <f>IF(Y153="","",IF(Y153="[FÓRMULA MANUAL]","",IFERROR(SUMPRODUCT((DATOS!$A$2:$A$20000=Y153)*(DATOS!$G$2:$G$20000=CONFIG_METADATA!$B$4)*(COUNTIF(CONFIG_ASIGNATURAS!$B$7:$B$27,DATOS!$I$2:$I$20000)&gt;0)*(DATOS!$K$2:$K$20000))/SUMPRODUCT((DATOS!$A$2:$A$20000=Y153)*(DATOS!$G$2:$G$20000=CONFIG_METADATA!$B$4)*(COUNTIF(CONFIG_ASIGNATURAS!$B$7:$B$27,DATOS!$I$2:$I$20000)&gt;0)*1),"")))</f>
        <v/>
      </c>
      <c r="AF153" t="str">
        <f>IF(AE153="","",IF(AE153="[FÓRMULA MANUAL]","",IFERROR(AVERAGEIFS(DATOS!$K$2:$K$20000,DATOS!$A$2:$A$20000,AE153,DATOS!$G$2:$G$20000,CONFIG_METADATA!$B$4,DATOS!$I$2:$I$20000,"Análisis"),"")))</f>
        <v/>
      </c>
      <c r="AG153" t="str">
        <f>IF(AE153="","",IF(AE153="[FÓRMULA MANUAL]","",IFERROR(AVERAGEIFS(DATOS!$K$2:$K$20000,DATOS!$A$2:$A$20000,AE153,DATOS!$G$2:$G$20000,CONFIG_METADATA!$B$4,DATOS!$I$2:$I$20000,"Orquesta/Banda/Conjunto"),"")))</f>
        <v/>
      </c>
      <c r="AH153" t="str">
        <f>IF(AE153="","",IF(AE153="[FÓRMULA MANUAL]","",IFERROR(AVERAGEIFS(DATOS!$K$2:$K$20000,DATOS!$A$2:$A$20000,AE153,DATOS!$G$2:$G$20000,CONFIG_METADATA!$B$4,DATOS!$I$2:$I$20000,"Música de Cámara"),"")))</f>
        <v/>
      </c>
      <c r="AI153" t="str">
        <f>IF(AE153="","",IF(AE153="[FÓRMULA MANUAL]","",IFERROR(SUMPRODUCT((DATOS!$A$2:$A$20000=AE153)*(DATOS!$G$2:$G$20000=CONFIG_METADATA!$B$4)*(COUNTIF(CONFIG_ASIGNATURAS!$B$7:$B$27,DATOS!$I$2:$I$20000)&gt;0)*(DATOS!$K$2:$K$20000))/SUMPRODUCT((DATOS!$A$2:$A$20000=AE153)*(DATOS!$G$2:$G$20000=CONFIG_METADATA!$B$4)*(COUNTIF(CONFIG_ASIGNATURAS!$B$7:$B$27,DATOS!$I$2:$I$20000)&gt;0)*1),"")))</f>
        <v/>
      </c>
    </row>
    <row r="154" spans="2:35" x14ac:dyDescent="0.2">
      <c r="B154" t="str">
        <f>IF(A154="","",IF(A154="[FÓRMULA MANUAL]","",IFERROR(AVERAGEIFS(DATOS!$K$2:$K$20000,DATOS!$A$2:$A$20000,A154,DATOS!$G$2:$G$20000,CONFIG_METADATA!$B$4,DATOS!$I$2:$I$20000,"Lenguaje Musical"),"")))</f>
        <v/>
      </c>
      <c r="C154" t="str">
        <f>IF(A154="","",IF(A154="[FÓRMULA MANUAL]","",IFERROR(AVERAGEIFS(DATOS!$K$2:$K$20000,DATOS!$A$2:$A$20000,A154,DATOS!$G$2:$G$20000,CONFIG_METADATA!$B$4,DATOS!$I$2:$I$20000,"Orquesta/Banda/Conjunto"),"")))</f>
        <v/>
      </c>
      <c r="D154" t="str">
        <f>IF(A154="","",IF(A154="[FÓRMULA MANUAL]","",IFERROR(AVERAGEIFS(DATOS!$K$2:$K$20000,DATOS!$A$2:$A$20000,A154,DATOS!$G$2:$G$20000,CONFIG_METADATA!$B$4,DATOS!$I$2:$I$20000,"Conjunto"),"")))</f>
        <v/>
      </c>
      <c r="E154" t="str">
        <f>IF(A154="","",IF(A154="[FÓRMULA MANUAL]","",IFERROR(SUMPRODUCT((DATOS!$A$2:$A$20000=A154)*(DATOS!$G$2:$G$20000=CONFIG_METADATA!$B$4)*(COUNTIF(CONFIG_ASIGNATURAS!$B$7:$B$27,DATOS!$I$2:$I$20000)&gt;0)*(DATOS!$K$2:$K$20000))/SUMPRODUCT((DATOS!$A$2:$A$20000=A154)*(DATOS!$G$2:$G$20000=CONFIG_METADATA!$B$4)*(COUNTIF(CONFIG_ASIGNATURAS!$B$7:$B$27,DATOS!$I$2:$I$20000)&gt;0)*1),"")))</f>
        <v/>
      </c>
      <c r="H154" t="str">
        <f>IF(G154="","",IF(G154="[FÓRMULA MANUAL]","",IFERROR(AVERAGEIFS(DATOS!$K$2:$K$20000,DATOS!$A$2:$A$20000,G154,DATOS!$G$2:$G$20000,CONFIG_METADATA!$B$4,DATOS!$I$2:$I$20000,"Lenguaje Musical"),"")))</f>
        <v/>
      </c>
      <c r="I154" t="str">
        <f>IF(G154="","",IF(G154="[FÓRMULA MANUAL]","",IFERROR(AVERAGEIFS(DATOS!$K$2:$K$20000,DATOS!$A$2:$A$20000,G154,DATOS!$G$2:$G$20000,CONFIG_METADATA!$B$4,DATOS!$I$2:$I$20000,"Orquesta/Banda/Conjunto"),"")))</f>
        <v/>
      </c>
      <c r="J154" t="str">
        <f>IF(G154="","",IF(G154="[FÓRMULA MANUAL]","",IFERROR(AVERAGEIFS(DATOS!$K$2:$K$20000,DATOS!$A$2:$A$20000,G154,DATOS!$G$2:$G$20000,CONFIG_METADATA!$B$4,DATOS!$I$2:$I$20000,"Conjunto"),"")))</f>
        <v/>
      </c>
      <c r="K154" t="str">
        <f>IF(G154="","",IF(G154="[FÓRMULA MANUAL]","",IFERROR(SUMPRODUCT((DATOS!$A$2:$A$20000=G154)*(DATOS!$G$2:$G$20000=CONFIG_METADATA!$B$4)*(COUNTIF(CONFIG_ASIGNATURAS!$B$7:$B$27,DATOS!$I$2:$I$20000)&gt;0)*(DATOS!$K$2:$K$20000))/SUMPRODUCT((DATOS!$A$2:$A$20000=G154)*(DATOS!$G$2:$G$20000=CONFIG_METADATA!$B$4)*(COUNTIF(CONFIG_ASIGNATURAS!$B$7:$B$27,DATOS!$I$2:$I$20000)&gt;0)*1),"")))</f>
        <v/>
      </c>
      <c r="N154" t="str">
        <f>IF(M154="","",IF(M154="[FÓRMULA MANUAL]","",IFERROR(AVERAGEIFS(DATOS!$K$2:$K$20000,DATOS!$A$2:$A$20000,M154,DATOS!$G$2:$G$20000,CONFIG_METADATA!$B$4,DATOS!$I$2:$I$20000,"Armonía"),"")))</f>
        <v/>
      </c>
      <c r="O154" t="str">
        <f>IF(M154="","",IF(M154="[FÓRMULA MANUAL]","",IFERROR(AVERAGEIFS(DATOS!$K$2:$K$20000,DATOS!$A$2:$A$20000,M154,DATOS!$G$2:$G$20000,CONFIG_METADATA!$B$4,DATOS!$I$2:$I$20000,"Orquesta/Banda/Conjunto"),"")))</f>
        <v/>
      </c>
      <c r="P154" t="str">
        <f>IF(M154="","",IF(M154="[FÓRMULA MANUAL]","",IFERROR(AVERAGEIFS(DATOS!$K$2:$K$20000,DATOS!$A$2:$A$20000,M154,DATOS!$G$2:$G$20000,CONFIG_METADATA!$B$4,DATOS!$I$2:$I$20000,"Música de Cámara"),"")))</f>
        <v/>
      </c>
      <c r="Q154" t="str">
        <f>IF(M154="","",IF(M154="[FÓRMULA MANUAL]","",IFERROR(SUMPRODUCT((DATOS!$A$2:$A$20000=M154)*(DATOS!$G$2:$G$20000=CONFIG_METADATA!$B$4)*(COUNTIF(CONFIG_ASIGNATURAS!$B$7:$B$27,DATOS!$I$2:$I$20000)&gt;0)*(DATOS!$K$2:$K$20000))/SUMPRODUCT((DATOS!$A$2:$A$20000=M154)*(DATOS!$G$2:$G$20000=CONFIG_METADATA!$B$4)*(COUNTIF(CONFIG_ASIGNATURAS!$B$7:$B$27,DATOS!$I$2:$I$20000)&gt;0)*1),"")))</f>
        <v/>
      </c>
      <c r="T154" t="str">
        <f>IF(S154="","",IF(S154="[FÓRMULA MANUAL]","",IFERROR(AVERAGEIFS(DATOS!$K$2:$K$20000,DATOS!$A$2:$A$20000,S154,DATOS!$G$2:$G$20000,CONFIG_METADATA!$B$4,DATOS!$I$2:$I$20000,"Armonía"),"")))</f>
        <v/>
      </c>
      <c r="U154" t="str">
        <f>IF(S154="","",IF(S154="[FÓRMULA MANUAL]","",IFERROR(AVERAGEIFS(DATOS!$K$2:$K$20000,DATOS!$A$2:$A$20000,S154,DATOS!$G$2:$G$20000,CONFIG_METADATA!$B$4,DATOS!$I$2:$I$20000,"Orquesta/Banda/Conjunto"),"")))</f>
        <v/>
      </c>
      <c r="V154" t="str">
        <f>IF(S154="","",IF(S154="[FÓRMULA MANUAL]","",IFERROR(AVERAGEIFS(DATOS!$K$2:$K$20000,DATOS!$A$2:$A$20000,S154,DATOS!$G$2:$G$20000,CONFIG_METADATA!$B$4,DATOS!$I$2:$I$20000,"Música de Cámara"),"")))</f>
        <v/>
      </c>
      <c r="W154" t="str">
        <f>IF(S154="","",IF(S154="[FÓRMULA MANUAL]","",IFERROR(SUMPRODUCT((DATOS!$A$2:$A$20000=S154)*(DATOS!$G$2:$G$20000=CONFIG_METADATA!$B$4)*(COUNTIF(CONFIG_ASIGNATURAS!$B$7:$B$27,DATOS!$I$2:$I$20000)&gt;0)*(DATOS!$K$2:$K$20000))/SUMPRODUCT((DATOS!$A$2:$A$20000=S154)*(DATOS!$G$2:$G$20000=CONFIG_METADATA!$B$4)*(COUNTIF(CONFIG_ASIGNATURAS!$B$7:$B$27,DATOS!$I$2:$I$20000)&gt;0)*1),"")))</f>
        <v/>
      </c>
      <c r="Z154" t="str">
        <f>IF(Y154="","",IF(Y154="[FÓRMULA MANUAL]","",IFERROR(AVERAGEIFS(DATOS!$K$2:$K$20000,DATOS!$A$2:$A$20000,Y154,DATOS!$G$2:$G$20000,CONFIG_METADATA!$B$4,DATOS!$I$2:$I$20000,"Análisis"),"")))</f>
        <v/>
      </c>
      <c r="AA154" t="str">
        <f>IF(Y154="","",IF(Y154="[FÓRMULA MANUAL]","",IFERROR(AVERAGEIFS(DATOS!$K$2:$K$20000,DATOS!$A$2:$A$20000,Y154,DATOS!$G$2:$G$20000,CONFIG_METADATA!$B$4,DATOS!$I$2:$I$20000,"Orquesta/Banda/Conjunto"),"")))</f>
        <v/>
      </c>
      <c r="AB154" t="str">
        <f>IF(Y154="","",IF(Y154="[FÓRMULA MANUAL]","",IFERROR(AVERAGEIFS(DATOS!$K$2:$K$20000,DATOS!$A$2:$A$20000,Y154,DATOS!$G$2:$G$20000,CONFIG_METADATA!$B$4,DATOS!$I$2:$I$20000,"Música de Cámara"),"")))</f>
        <v/>
      </c>
      <c r="AC154" t="str">
        <f>IF(Y154="","",IF(Y154="[FÓRMULA MANUAL]","",IFERROR(SUMPRODUCT((DATOS!$A$2:$A$20000=Y154)*(DATOS!$G$2:$G$20000=CONFIG_METADATA!$B$4)*(COUNTIF(CONFIG_ASIGNATURAS!$B$7:$B$27,DATOS!$I$2:$I$20000)&gt;0)*(DATOS!$K$2:$K$20000))/SUMPRODUCT((DATOS!$A$2:$A$20000=Y154)*(DATOS!$G$2:$G$20000=CONFIG_METADATA!$B$4)*(COUNTIF(CONFIG_ASIGNATURAS!$B$7:$B$27,DATOS!$I$2:$I$20000)&gt;0)*1),"")))</f>
        <v/>
      </c>
      <c r="AF154" t="str">
        <f>IF(AE154="","",IF(AE154="[FÓRMULA MANUAL]","",IFERROR(AVERAGEIFS(DATOS!$K$2:$K$20000,DATOS!$A$2:$A$20000,AE154,DATOS!$G$2:$G$20000,CONFIG_METADATA!$B$4,DATOS!$I$2:$I$20000,"Análisis"),"")))</f>
        <v/>
      </c>
      <c r="AG154" t="str">
        <f>IF(AE154="","",IF(AE154="[FÓRMULA MANUAL]","",IFERROR(AVERAGEIFS(DATOS!$K$2:$K$20000,DATOS!$A$2:$A$20000,AE154,DATOS!$G$2:$G$20000,CONFIG_METADATA!$B$4,DATOS!$I$2:$I$20000,"Orquesta/Banda/Conjunto"),"")))</f>
        <v/>
      </c>
      <c r="AH154" t="str">
        <f>IF(AE154="","",IF(AE154="[FÓRMULA MANUAL]","",IFERROR(AVERAGEIFS(DATOS!$K$2:$K$20000,DATOS!$A$2:$A$20000,AE154,DATOS!$G$2:$G$20000,CONFIG_METADATA!$B$4,DATOS!$I$2:$I$20000,"Música de Cámara"),"")))</f>
        <v/>
      </c>
      <c r="AI154" t="str">
        <f>IF(AE154="","",IF(AE154="[FÓRMULA MANUAL]","",IFERROR(SUMPRODUCT((DATOS!$A$2:$A$20000=AE154)*(DATOS!$G$2:$G$20000=CONFIG_METADATA!$B$4)*(COUNTIF(CONFIG_ASIGNATURAS!$B$7:$B$27,DATOS!$I$2:$I$20000)&gt;0)*(DATOS!$K$2:$K$20000))/SUMPRODUCT((DATOS!$A$2:$A$20000=AE154)*(DATOS!$G$2:$G$20000=CONFIG_METADATA!$B$4)*(COUNTIF(CONFIG_ASIGNATURAS!$B$7:$B$27,DATOS!$I$2:$I$20000)&gt;0)*1),"")))</f>
        <v/>
      </c>
    </row>
    <row r="155" spans="2:35" x14ac:dyDescent="0.2">
      <c r="B155" t="str">
        <f>IF(A155="","",IF(A155="[FÓRMULA MANUAL]","",IFERROR(AVERAGEIFS(DATOS!$K$2:$K$20000,DATOS!$A$2:$A$20000,A155,DATOS!$G$2:$G$20000,CONFIG_METADATA!$B$4,DATOS!$I$2:$I$20000,"Lenguaje Musical"),"")))</f>
        <v/>
      </c>
      <c r="C155" t="str">
        <f>IF(A155="","",IF(A155="[FÓRMULA MANUAL]","",IFERROR(AVERAGEIFS(DATOS!$K$2:$K$20000,DATOS!$A$2:$A$20000,A155,DATOS!$G$2:$G$20000,CONFIG_METADATA!$B$4,DATOS!$I$2:$I$20000,"Orquesta/Banda/Conjunto"),"")))</f>
        <v/>
      </c>
      <c r="D155" t="str">
        <f>IF(A155="","",IF(A155="[FÓRMULA MANUAL]","",IFERROR(AVERAGEIFS(DATOS!$K$2:$K$20000,DATOS!$A$2:$A$20000,A155,DATOS!$G$2:$G$20000,CONFIG_METADATA!$B$4,DATOS!$I$2:$I$20000,"Conjunto"),"")))</f>
        <v/>
      </c>
      <c r="E155" t="str">
        <f>IF(A155="","",IF(A155="[FÓRMULA MANUAL]","",IFERROR(SUMPRODUCT((DATOS!$A$2:$A$20000=A155)*(DATOS!$G$2:$G$20000=CONFIG_METADATA!$B$4)*(COUNTIF(CONFIG_ASIGNATURAS!$B$7:$B$27,DATOS!$I$2:$I$20000)&gt;0)*(DATOS!$K$2:$K$20000))/SUMPRODUCT((DATOS!$A$2:$A$20000=A155)*(DATOS!$G$2:$G$20000=CONFIG_METADATA!$B$4)*(COUNTIF(CONFIG_ASIGNATURAS!$B$7:$B$27,DATOS!$I$2:$I$20000)&gt;0)*1),"")))</f>
        <v/>
      </c>
      <c r="H155" t="str">
        <f>IF(G155="","",IF(G155="[FÓRMULA MANUAL]","",IFERROR(AVERAGEIFS(DATOS!$K$2:$K$20000,DATOS!$A$2:$A$20000,G155,DATOS!$G$2:$G$20000,CONFIG_METADATA!$B$4,DATOS!$I$2:$I$20000,"Lenguaje Musical"),"")))</f>
        <v/>
      </c>
      <c r="I155" t="str">
        <f>IF(G155="","",IF(G155="[FÓRMULA MANUAL]","",IFERROR(AVERAGEIFS(DATOS!$K$2:$K$20000,DATOS!$A$2:$A$20000,G155,DATOS!$G$2:$G$20000,CONFIG_METADATA!$B$4,DATOS!$I$2:$I$20000,"Orquesta/Banda/Conjunto"),"")))</f>
        <v/>
      </c>
      <c r="J155" t="str">
        <f>IF(G155="","",IF(G155="[FÓRMULA MANUAL]","",IFERROR(AVERAGEIFS(DATOS!$K$2:$K$20000,DATOS!$A$2:$A$20000,G155,DATOS!$G$2:$G$20000,CONFIG_METADATA!$B$4,DATOS!$I$2:$I$20000,"Conjunto"),"")))</f>
        <v/>
      </c>
      <c r="K155" t="str">
        <f>IF(G155="","",IF(G155="[FÓRMULA MANUAL]","",IFERROR(SUMPRODUCT((DATOS!$A$2:$A$20000=G155)*(DATOS!$G$2:$G$20000=CONFIG_METADATA!$B$4)*(COUNTIF(CONFIG_ASIGNATURAS!$B$7:$B$27,DATOS!$I$2:$I$20000)&gt;0)*(DATOS!$K$2:$K$20000))/SUMPRODUCT((DATOS!$A$2:$A$20000=G155)*(DATOS!$G$2:$G$20000=CONFIG_METADATA!$B$4)*(COUNTIF(CONFIG_ASIGNATURAS!$B$7:$B$27,DATOS!$I$2:$I$20000)&gt;0)*1),"")))</f>
        <v/>
      </c>
      <c r="N155" t="str">
        <f>IF(M155="","",IF(M155="[FÓRMULA MANUAL]","",IFERROR(AVERAGEIFS(DATOS!$K$2:$K$20000,DATOS!$A$2:$A$20000,M155,DATOS!$G$2:$G$20000,CONFIG_METADATA!$B$4,DATOS!$I$2:$I$20000,"Armonía"),"")))</f>
        <v/>
      </c>
      <c r="O155" t="str">
        <f>IF(M155="","",IF(M155="[FÓRMULA MANUAL]","",IFERROR(AVERAGEIFS(DATOS!$K$2:$K$20000,DATOS!$A$2:$A$20000,M155,DATOS!$G$2:$G$20000,CONFIG_METADATA!$B$4,DATOS!$I$2:$I$20000,"Orquesta/Banda/Conjunto"),"")))</f>
        <v/>
      </c>
      <c r="P155" t="str">
        <f>IF(M155="","",IF(M155="[FÓRMULA MANUAL]","",IFERROR(AVERAGEIFS(DATOS!$K$2:$K$20000,DATOS!$A$2:$A$20000,M155,DATOS!$G$2:$G$20000,CONFIG_METADATA!$B$4,DATOS!$I$2:$I$20000,"Música de Cámara"),"")))</f>
        <v/>
      </c>
      <c r="Q155" t="str">
        <f>IF(M155="","",IF(M155="[FÓRMULA MANUAL]","",IFERROR(SUMPRODUCT((DATOS!$A$2:$A$20000=M155)*(DATOS!$G$2:$G$20000=CONFIG_METADATA!$B$4)*(COUNTIF(CONFIG_ASIGNATURAS!$B$7:$B$27,DATOS!$I$2:$I$20000)&gt;0)*(DATOS!$K$2:$K$20000))/SUMPRODUCT((DATOS!$A$2:$A$20000=M155)*(DATOS!$G$2:$G$20000=CONFIG_METADATA!$B$4)*(COUNTIF(CONFIG_ASIGNATURAS!$B$7:$B$27,DATOS!$I$2:$I$20000)&gt;0)*1),"")))</f>
        <v/>
      </c>
      <c r="T155" t="str">
        <f>IF(S155="","",IF(S155="[FÓRMULA MANUAL]","",IFERROR(AVERAGEIFS(DATOS!$K$2:$K$20000,DATOS!$A$2:$A$20000,S155,DATOS!$G$2:$G$20000,CONFIG_METADATA!$B$4,DATOS!$I$2:$I$20000,"Armonía"),"")))</f>
        <v/>
      </c>
      <c r="U155" t="str">
        <f>IF(S155="","",IF(S155="[FÓRMULA MANUAL]","",IFERROR(AVERAGEIFS(DATOS!$K$2:$K$20000,DATOS!$A$2:$A$20000,S155,DATOS!$G$2:$G$20000,CONFIG_METADATA!$B$4,DATOS!$I$2:$I$20000,"Orquesta/Banda/Conjunto"),"")))</f>
        <v/>
      </c>
      <c r="V155" t="str">
        <f>IF(S155="","",IF(S155="[FÓRMULA MANUAL]","",IFERROR(AVERAGEIFS(DATOS!$K$2:$K$20000,DATOS!$A$2:$A$20000,S155,DATOS!$G$2:$G$20000,CONFIG_METADATA!$B$4,DATOS!$I$2:$I$20000,"Música de Cámara"),"")))</f>
        <v/>
      </c>
      <c r="W155" t="str">
        <f>IF(S155="","",IF(S155="[FÓRMULA MANUAL]","",IFERROR(SUMPRODUCT((DATOS!$A$2:$A$20000=S155)*(DATOS!$G$2:$G$20000=CONFIG_METADATA!$B$4)*(COUNTIF(CONFIG_ASIGNATURAS!$B$7:$B$27,DATOS!$I$2:$I$20000)&gt;0)*(DATOS!$K$2:$K$20000))/SUMPRODUCT((DATOS!$A$2:$A$20000=S155)*(DATOS!$G$2:$G$20000=CONFIG_METADATA!$B$4)*(COUNTIF(CONFIG_ASIGNATURAS!$B$7:$B$27,DATOS!$I$2:$I$20000)&gt;0)*1),"")))</f>
        <v/>
      </c>
      <c r="Z155" t="str">
        <f>IF(Y155="","",IF(Y155="[FÓRMULA MANUAL]","",IFERROR(AVERAGEIFS(DATOS!$K$2:$K$20000,DATOS!$A$2:$A$20000,Y155,DATOS!$G$2:$G$20000,CONFIG_METADATA!$B$4,DATOS!$I$2:$I$20000,"Análisis"),"")))</f>
        <v/>
      </c>
      <c r="AA155" t="str">
        <f>IF(Y155="","",IF(Y155="[FÓRMULA MANUAL]","",IFERROR(AVERAGEIFS(DATOS!$K$2:$K$20000,DATOS!$A$2:$A$20000,Y155,DATOS!$G$2:$G$20000,CONFIG_METADATA!$B$4,DATOS!$I$2:$I$20000,"Orquesta/Banda/Conjunto"),"")))</f>
        <v/>
      </c>
      <c r="AB155" t="str">
        <f>IF(Y155="","",IF(Y155="[FÓRMULA MANUAL]","",IFERROR(AVERAGEIFS(DATOS!$K$2:$K$20000,DATOS!$A$2:$A$20000,Y155,DATOS!$G$2:$G$20000,CONFIG_METADATA!$B$4,DATOS!$I$2:$I$20000,"Música de Cámara"),"")))</f>
        <v/>
      </c>
      <c r="AC155" t="str">
        <f>IF(Y155="","",IF(Y155="[FÓRMULA MANUAL]","",IFERROR(SUMPRODUCT((DATOS!$A$2:$A$20000=Y155)*(DATOS!$G$2:$G$20000=CONFIG_METADATA!$B$4)*(COUNTIF(CONFIG_ASIGNATURAS!$B$7:$B$27,DATOS!$I$2:$I$20000)&gt;0)*(DATOS!$K$2:$K$20000))/SUMPRODUCT((DATOS!$A$2:$A$20000=Y155)*(DATOS!$G$2:$G$20000=CONFIG_METADATA!$B$4)*(COUNTIF(CONFIG_ASIGNATURAS!$B$7:$B$27,DATOS!$I$2:$I$20000)&gt;0)*1),"")))</f>
        <v/>
      </c>
      <c r="AF155" t="str">
        <f>IF(AE155="","",IF(AE155="[FÓRMULA MANUAL]","",IFERROR(AVERAGEIFS(DATOS!$K$2:$K$20000,DATOS!$A$2:$A$20000,AE155,DATOS!$G$2:$G$20000,CONFIG_METADATA!$B$4,DATOS!$I$2:$I$20000,"Análisis"),"")))</f>
        <v/>
      </c>
      <c r="AG155" t="str">
        <f>IF(AE155="","",IF(AE155="[FÓRMULA MANUAL]","",IFERROR(AVERAGEIFS(DATOS!$K$2:$K$20000,DATOS!$A$2:$A$20000,AE155,DATOS!$G$2:$G$20000,CONFIG_METADATA!$B$4,DATOS!$I$2:$I$20000,"Orquesta/Banda/Conjunto"),"")))</f>
        <v/>
      </c>
      <c r="AH155" t="str">
        <f>IF(AE155="","",IF(AE155="[FÓRMULA MANUAL]","",IFERROR(AVERAGEIFS(DATOS!$K$2:$K$20000,DATOS!$A$2:$A$20000,AE155,DATOS!$G$2:$G$20000,CONFIG_METADATA!$B$4,DATOS!$I$2:$I$20000,"Música de Cámara"),"")))</f>
        <v/>
      </c>
      <c r="AI155" t="str">
        <f>IF(AE155="","",IF(AE155="[FÓRMULA MANUAL]","",IFERROR(SUMPRODUCT((DATOS!$A$2:$A$20000=AE155)*(DATOS!$G$2:$G$20000=CONFIG_METADATA!$B$4)*(COUNTIF(CONFIG_ASIGNATURAS!$B$7:$B$27,DATOS!$I$2:$I$20000)&gt;0)*(DATOS!$K$2:$K$20000))/SUMPRODUCT((DATOS!$A$2:$A$20000=AE155)*(DATOS!$G$2:$G$20000=CONFIG_METADATA!$B$4)*(COUNTIF(CONFIG_ASIGNATURAS!$B$7:$B$27,DATOS!$I$2:$I$20000)&gt;0)*1),"")))</f>
        <v/>
      </c>
    </row>
    <row r="156" spans="2:35" x14ac:dyDescent="0.2">
      <c r="B156" t="str">
        <f>IF(A156="","",IF(A156="[FÓRMULA MANUAL]","",IFERROR(AVERAGEIFS(DATOS!$K$2:$K$20000,DATOS!$A$2:$A$20000,A156,DATOS!$G$2:$G$20000,CONFIG_METADATA!$B$4,DATOS!$I$2:$I$20000,"Lenguaje Musical"),"")))</f>
        <v/>
      </c>
      <c r="C156" t="str">
        <f>IF(A156="","",IF(A156="[FÓRMULA MANUAL]","",IFERROR(AVERAGEIFS(DATOS!$K$2:$K$20000,DATOS!$A$2:$A$20000,A156,DATOS!$G$2:$G$20000,CONFIG_METADATA!$B$4,DATOS!$I$2:$I$20000,"Orquesta/Banda/Conjunto"),"")))</f>
        <v/>
      </c>
      <c r="D156" t="str">
        <f>IF(A156="","",IF(A156="[FÓRMULA MANUAL]","",IFERROR(AVERAGEIFS(DATOS!$K$2:$K$20000,DATOS!$A$2:$A$20000,A156,DATOS!$G$2:$G$20000,CONFIG_METADATA!$B$4,DATOS!$I$2:$I$20000,"Conjunto"),"")))</f>
        <v/>
      </c>
      <c r="E156" t="str">
        <f>IF(A156="","",IF(A156="[FÓRMULA MANUAL]","",IFERROR(SUMPRODUCT((DATOS!$A$2:$A$20000=A156)*(DATOS!$G$2:$G$20000=CONFIG_METADATA!$B$4)*(COUNTIF(CONFIG_ASIGNATURAS!$B$7:$B$27,DATOS!$I$2:$I$20000)&gt;0)*(DATOS!$K$2:$K$20000))/SUMPRODUCT((DATOS!$A$2:$A$20000=A156)*(DATOS!$G$2:$G$20000=CONFIG_METADATA!$B$4)*(COUNTIF(CONFIG_ASIGNATURAS!$B$7:$B$27,DATOS!$I$2:$I$20000)&gt;0)*1),"")))</f>
        <v/>
      </c>
      <c r="H156" t="str">
        <f>IF(G156="","",IF(G156="[FÓRMULA MANUAL]","",IFERROR(AVERAGEIFS(DATOS!$K$2:$K$20000,DATOS!$A$2:$A$20000,G156,DATOS!$G$2:$G$20000,CONFIG_METADATA!$B$4,DATOS!$I$2:$I$20000,"Lenguaje Musical"),"")))</f>
        <v/>
      </c>
      <c r="I156" t="str">
        <f>IF(G156="","",IF(G156="[FÓRMULA MANUAL]","",IFERROR(AVERAGEIFS(DATOS!$K$2:$K$20000,DATOS!$A$2:$A$20000,G156,DATOS!$G$2:$G$20000,CONFIG_METADATA!$B$4,DATOS!$I$2:$I$20000,"Orquesta/Banda/Conjunto"),"")))</f>
        <v/>
      </c>
      <c r="J156" t="str">
        <f>IF(G156="","",IF(G156="[FÓRMULA MANUAL]","",IFERROR(AVERAGEIFS(DATOS!$K$2:$K$20000,DATOS!$A$2:$A$20000,G156,DATOS!$G$2:$G$20000,CONFIG_METADATA!$B$4,DATOS!$I$2:$I$20000,"Conjunto"),"")))</f>
        <v/>
      </c>
      <c r="K156" t="str">
        <f>IF(G156="","",IF(G156="[FÓRMULA MANUAL]","",IFERROR(SUMPRODUCT((DATOS!$A$2:$A$20000=G156)*(DATOS!$G$2:$G$20000=CONFIG_METADATA!$B$4)*(COUNTIF(CONFIG_ASIGNATURAS!$B$7:$B$27,DATOS!$I$2:$I$20000)&gt;0)*(DATOS!$K$2:$K$20000))/SUMPRODUCT((DATOS!$A$2:$A$20000=G156)*(DATOS!$G$2:$G$20000=CONFIG_METADATA!$B$4)*(COUNTIF(CONFIG_ASIGNATURAS!$B$7:$B$27,DATOS!$I$2:$I$20000)&gt;0)*1),"")))</f>
        <v/>
      </c>
      <c r="N156" t="str">
        <f>IF(M156="","",IF(M156="[FÓRMULA MANUAL]","",IFERROR(AVERAGEIFS(DATOS!$K$2:$K$20000,DATOS!$A$2:$A$20000,M156,DATOS!$G$2:$G$20000,CONFIG_METADATA!$B$4,DATOS!$I$2:$I$20000,"Armonía"),"")))</f>
        <v/>
      </c>
      <c r="O156" t="str">
        <f>IF(M156="","",IF(M156="[FÓRMULA MANUAL]","",IFERROR(AVERAGEIFS(DATOS!$K$2:$K$20000,DATOS!$A$2:$A$20000,M156,DATOS!$G$2:$G$20000,CONFIG_METADATA!$B$4,DATOS!$I$2:$I$20000,"Orquesta/Banda/Conjunto"),"")))</f>
        <v/>
      </c>
      <c r="P156" t="str">
        <f>IF(M156="","",IF(M156="[FÓRMULA MANUAL]","",IFERROR(AVERAGEIFS(DATOS!$K$2:$K$20000,DATOS!$A$2:$A$20000,M156,DATOS!$G$2:$G$20000,CONFIG_METADATA!$B$4,DATOS!$I$2:$I$20000,"Música de Cámara"),"")))</f>
        <v/>
      </c>
      <c r="Q156" t="str">
        <f>IF(M156="","",IF(M156="[FÓRMULA MANUAL]","",IFERROR(SUMPRODUCT((DATOS!$A$2:$A$20000=M156)*(DATOS!$G$2:$G$20000=CONFIG_METADATA!$B$4)*(COUNTIF(CONFIG_ASIGNATURAS!$B$7:$B$27,DATOS!$I$2:$I$20000)&gt;0)*(DATOS!$K$2:$K$20000))/SUMPRODUCT((DATOS!$A$2:$A$20000=M156)*(DATOS!$G$2:$G$20000=CONFIG_METADATA!$B$4)*(COUNTIF(CONFIG_ASIGNATURAS!$B$7:$B$27,DATOS!$I$2:$I$20000)&gt;0)*1),"")))</f>
        <v/>
      </c>
      <c r="T156" t="str">
        <f>IF(S156="","",IF(S156="[FÓRMULA MANUAL]","",IFERROR(AVERAGEIFS(DATOS!$K$2:$K$20000,DATOS!$A$2:$A$20000,S156,DATOS!$G$2:$G$20000,CONFIG_METADATA!$B$4,DATOS!$I$2:$I$20000,"Armonía"),"")))</f>
        <v/>
      </c>
      <c r="U156" t="str">
        <f>IF(S156="","",IF(S156="[FÓRMULA MANUAL]","",IFERROR(AVERAGEIFS(DATOS!$K$2:$K$20000,DATOS!$A$2:$A$20000,S156,DATOS!$G$2:$G$20000,CONFIG_METADATA!$B$4,DATOS!$I$2:$I$20000,"Orquesta/Banda/Conjunto"),"")))</f>
        <v/>
      </c>
      <c r="V156" t="str">
        <f>IF(S156="","",IF(S156="[FÓRMULA MANUAL]","",IFERROR(AVERAGEIFS(DATOS!$K$2:$K$20000,DATOS!$A$2:$A$20000,S156,DATOS!$G$2:$G$20000,CONFIG_METADATA!$B$4,DATOS!$I$2:$I$20000,"Música de Cámara"),"")))</f>
        <v/>
      </c>
      <c r="W156" t="str">
        <f>IF(S156="","",IF(S156="[FÓRMULA MANUAL]","",IFERROR(SUMPRODUCT((DATOS!$A$2:$A$20000=S156)*(DATOS!$G$2:$G$20000=CONFIG_METADATA!$B$4)*(COUNTIF(CONFIG_ASIGNATURAS!$B$7:$B$27,DATOS!$I$2:$I$20000)&gt;0)*(DATOS!$K$2:$K$20000))/SUMPRODUCT((DATOS!$A$2:$A$20000=S156)*(DATOS!$G$2:$G$20000=CONFIG_METADATA!$B$4)*(COUNTIF(CONFIG_ASIGNATURAS!$B$7:$B$27,DATOS!$I$2:$I$20000)&gt;0)*1),"")))</f>
        <v/>
      </c>
      <c r="Z156" t="str">
        <f>IF(Y156="","",IF(Y156="[FÓRMULA MANUAL]","",IFERROR(AVERAGEIFS(DATOS!$K$2:$K$20000,DATOS!$A$2:$A$20000,Y156,DATOS!$G$2:$G$20000,CONFIG_METADATA!$B$4,DATOS!$I$2:$I$20000,"Análisis"),"")))</f>
        <v/>
      </c>
      <c r="AA156" t="str">
        <f>IF(Y156="","",IF(Y156="[FÓRMULA MANUAL]","",IFERROR(AVERAGEIFS(DATOS!$K$2:$K$20000,DATOS!$A$2:$A$20000,Y156,DATOS!$G$2:$G$20000,CONFIG_METADATA!$B$4,DATOS!$I$2:$I$20000,"Orquesta/Banda/Conjunto"),"")))</f>
        <v/>
      </c>
      <c r="AB156" t="str">
        <f>IF(Y156="","",IF(Y156="[FÓRMULA MANUAL]","",IFERROR(AVERAGEIFS(DATOS!$K$2:$K$20000,DATOS!$A$2:$A$20000,Y156,DATOS!$G$2:$G$20000,CONFIG_METADATA!$B$4,DATOS!$I$2:$I$20000,"Música de Cámara"),"")))</f>
        <v/>
      </c>
      <c r="AC156" t="str">
        <f>IF(Y156="","",IF(Y156="[FÓRMULA MANUAL]","",IFERROR(SUMPRODUCT((DATOS!$A$2:$A$20000=Y156)*(DATOS!$G$2:$G$20000=CONFIG_METADATA!$B$4)*(COUNTIF(CONFIG_ASIGNATURAS!$B$7:$B$27,DATOS!$I$2:$I$20000)&gt;0)*(DATOS!$K$2:$K$20000))/SUMPRODUCT((DATOS!$A$2:$A$20000=Y156)*(DATOS!$G$2:$G$20000=CONFIG_METADATA!$B$4)*(COUNTIF(CONFIG_ASIGNATURAS!$B$7:$B$27,DATOS!$I$2:$I$20000)&gt;0)*1),"")))</f>
        <v/>
      </c>
      <c r="AF156" t="str">
        <f>IF(AE156="","",IF(AE156="[FÓRMULA MANUAL]","",IFERROR(AVERAGEIFS(DATOS!$K$2:$K$20000,DATOS!$A$2:$A$20000,AE156,DATOS!$G$2:$G$20000,CONFIG_METADATA!$B$4,DATOS!$I$2:$I$20000,"Análisis"),"")))</f>
        <v/>
      </c>
      <c r="AG156" t="str">
        <f>IF(AE156="","",IF(AE156="[FÓRMULA MANUAL]","",IFERROR(AVERAGEIFS(DATOS!$K$2:$K$20000,DATOS!$A$2:$A$20000,AE156,DATOS!$G$2:$G$20000,CONFIG_METADATA!$B$4,DATOS!$I$2:$I$20000,"Orquesta/Banda/Conjunto"),"")))</f>
        <v/>
      </c>
      <c r="AH156" t="str">
        <f>IF(AE156="","",IF(AE156="[FÓRMULA MANUAL]","",IFERROR(AVERAGEIFS(DATOS!$K$2:$K$20000,DATOS!$A$2:$A$20000,AE156,DATOS!$G$2:$G$20000,CONFIG_METADATA!$B$4,DATOS!$I$2:$I$20000,"Música de Cámara"),"")))</f>
        <v/>
      </c>
      <c r="AI156" t="str">
        <f>IF(AE156="","",IF(AE156="[FÓRMULA MANUAL]","",IFERROR(SUMPRODUCT((DATOS!$A$2:$A$20000=AE156)*(DATOS!$G$2:$G$20000=CONFIG_METADATA!$B$4)*(COUNTIF(CONFIG_ASIGNATURAS!$B$7:$B$27,DATOS!$I$2:$I$20000)&gt;0)*(DATOS!$K$2:$K$20000))/SUMPRODUCT((DATOS!$A$2:$A$20000=AE156)*(DATOS!$G$2:$G$20000=CONFIG_METADATA!$B$4)*(COUNTIF(CONFIG_ASIGNATURAS!$B$7:$B$27,DATOS!$I$2:$I$20000)&gt;0)*1),"")))</f>
        <v/>
      </c>
    </row>
    <row r="157" spans="2:35" x14ac:dyDescent="0.2">
      <c r="B157" t="str">
        <f>IF(A157="","",IF(A157="[FÓRMULA MANUAL]","",IFERROR(AVERAGEIFS(DATOS!$K$2:$K$20000,DATOS!$A$2:$A$20000,A157,DATOS!$G$2:$G$20000,CONFIG_METADATA!$B$4,DATOS!$I$2:$I$20000,"Lenguaje Musical"),"")))</f>
        <v/>
      </c>
      <c r="C157" t="str">
        <f>IF(A157="","",IF(A157="[FÓRMULA MANUAL]","",IFERROR(AVERAGEIFS(DATOS!$K$2:$K$20000,DATOS!$A$2:$A$20000,A157,DATOS!$G$2:$G$20000,CONFIG_METADATA!$B$4,DATOS!$I$2:$I$20000,"Orquesta/Banda/Conjunto"),"")))</f>
        <v/>
      </c>
      <c r="D157" t="str">
        <f>IF(A157="","",IF(A157="[FÓRMULA MANUAL]","",IFERROR(AVERAGEIFS(DATOS!$K$2:$K$20000,DATOS!$A$2:$A$20000,A157,DATOS!$G$2:$G$20000,CONFIG_METADATA!$B$4,DATOS!$I$2:$I$20000,"Conjunto"),"")))</f>
        <v/>
      </c>
      <c r="E157" t="str">
        <f>IF(A157="","",IF(A157="[FÓRMULA MANUAL]","",IFERROR(SUMPRODUCT((DATOS!$A$2:$A$20000=A157)*(DATOS!$G$2:$G$20000=CONFIG_METADATA!$B$4)*(COUNTIF(CONFIG_ASIGNATURAS!$B$7:$B$27,DATOS!$I$2:$I$20000)&gt;0)*(DATOS!$K$2:$K$20000))/SUMPRODUCT((DATOS!$A$2:$A$20000=A157)*(DATOS!$G$2:$G$20000=CONFIG_METADATA!$B$4)*(COUNTIF(CONFIG_ASIGNATURAS!$B$7:$B$27,DATOS!$I$2:$I$20000)&gt;0)*1),"")))</f>
        <v/>
      </c>
      <c r="H157" t="str">
        <f>IF(G157="","",IF(G157="[FÓRMULA MANUAL]","",IFERROR(AVERAGEIFS(DATOS!$K$2:$K$20000,DATOS!$A$2:$A$20000,G157,DATOS!$G$2:$G$20000,CONFIG_METADATA!$B$4,DATOS!$I$2:$I$20000,"Lenguaje Musical"),"")))</f>
        <v/>
      </c>
      <c r="I157" t="str">
        <f>IF(G157="","",IF(G157="[FÓRMULA MANUAL]","",IFERROR(AVERAGEIFS(DATOS!$K$2:$K$20000,DATOS!$A$2:$A$20000,G157,DATOS!$G$2:$G$20000,CONFIG_METADATA!$B$4,DATOS!$I$2:$I$20000,"Orquesta/Banda/Conjunto"),"")))</f>
        <v/>
      </c>
      <c r="J157" t="str">
        <f>IF(G157="","",IF(G157="[FÓRMULA MANUAL]","",IFERROR(AVERAGEIFS(DATOS!$K$2:$K$20000,DATOS!$A$2:$A$20000,G157,DATOS!$G$2:$G$20000,CONFIG_METADATA!$B$4,DATOS!$I$2:$I$20000,"Conjunto"),"")))</f>
        <v/>
      </c>
      <c r="K157" t="str">
        <f>IF(G157="","",IF(G157="[FÓRMULA MANUAL]","",IFERROR(SUMPRODUCT((DATOS!$A$2:$A$20000=G157)*(DATOS!$G$2:$G$20000=CONFIG_METADATA!$B$4)*(COUNTIF(CONFIG_ASIGNATURAS!$B$7:$B$27,DATOS!$I$2:$I$20000)&gt;0)*(DATOS!$K$2:$K$20000))/SUMPRODUCT((DATOS!$A$2:$A$20000=G157)*(DATOS!$G$2:$G$20000=CONFIG_METADATA!$B$4)*(COUNTIF(CONFIG_ASIGNATURAS!$B$7:$B$27,DATOS!$I$2:$I$20000)&gt;0)*1),"")))</f>
        <v/>
      </c>
      <c r="N157" t="str">
        <f>IF(M157="","",IF(M157="[FÓRMULA MANUAL]","",IFERROR(AVERAGEIFS(DATOS!$K$2:$K$20000,DATOS!$A$2:$A$20000,M157,DATOS!$G$2:$G$20000,CONFIG_METADATA!$B$4,DATOS!$I$2:$I$20000,"Armonía"),"")))</f>
        <v/>
      </c>
      <c r="O157" t="str">
        <f>IF(M157="","",IF(M157="[FÓRMULA MANUAL]","",IFERROR(AVERAGEIFS(DATOS!$K$2:$K$20000,DATOS!$A$2:$A$20000,M157,DATOS!$G$2:$G$20000,CONFIG_METADATA!$B$4,DATOS!$I$2:$I$20000,"Orquesta/Banda/Conjunto"),"")))</f>
        <v/>
      </c>
      <c r="P157" t="str">
        <f>IF(M157="","",IF(M157="[FÓRMULA MANUAL]","",IFERROR(AVERAGEIFS(DATOS!$K$2:$K$20000,DATOS!$A$2:$A$20000,M157,DATOS!$G$2:$G$20000,CONFIG_METADATA!$B$4,DATOS!$I$2:$I$20000,"Música de Cámara"),"")))</f>
        <v/>
      </c>
      <c r="Q157" t="str">
        <f>IF(M157="","",IF(M157="[FÓRMULA MANUAL]","",IFERROR(SUMPRODUCT((DATOS!$A$2:$A$20000=M157)*(DATOS!$G$2:$G$20000=CONFIG_METADATA!$B$4)*(COUNTIF(CONFIG_ASIGNATURAS!$B$7:$B$27,DATOS!$I$2:$I$20000)&gt;0)*(DATOS!$K$2:$K$20000))/SUMPRODUCT((DATOS!$A$2:$A$20000=M157)*(DATOS!$G$2:$G$20000=CONFIG_METADATA!$B$4)*(COUNTIF(CONFIG_ASIGNATURAS!$B$7:$B$27,DATOS!$I$2:$I$20000)&gt;0)*1),"")))</f>
        <v/>
      </c>
      <c r="T157" t="str">
        <f>IF(S157="","",IF(S157="[FÓRMULA MANUAL]","",IFERROR(AVERAGEIFS(DATOS!$K$2:$K$20000,DATOS!$A$2:$A$20000,S157,DATOS!$G$2:$G$20000,CONFIG_METADATA!$B$4,DATOS!$I$2:$I$20000,"Armonía"),"")))</f>
        <v/>
      </c>
      <c r="U157" t="str">
        <f>IF(S157="","",IF(S157="[FÓRMULA MANUAL]","",IFERROR(AVERAGEIFS(DATOS!$K$2:$K$20000,DATOS!$A$2:$A$20000,S157,DATOS!$G$2:$G$20000,CONFIG_METADATA!$B$4,DATOS!$I$2:$I$20000,"Orquesta/Banda/Conjunto"),"")))</f>
        <v/>
      </c>
      <c r="V157" t="str">
        <f>IF(S157="","",IF(S157="[FÓRMULA MANUAL]","",IFERROR(AVERAGEIFS(DATOS!$K$2:$K$20000,DATOS!$A$2:$A$20000,S157,DATOS!$G$2:$G$20000,CONFIG_METADATA!$B$4,DATOS!$I$2:$I$20000,"Música de Cámara"),"")))</f>
        <v/>
      </c>
      <c r="W157" t="str">
        <f>IF(S157="","",IF(S157="[FÓRMULA MANUAL]","",IFERROR(SUMPRODUCT((DATOS!$A$2:$A$20000=S157)*(DATOS!$G$2:$G$20000=CONFIG_METADATA!$B$4)*(COUNTIF(CONFIG_ASIGNATURAS!$B$7:$B$27,DATOS!$I$2:$I$20000)&gt;0)*(DATOS!$K$2:$K$20000))/SUMPRODUCT((DATOS!$A$2:$A$20000=S157)*(DATOS!$G$2:$G$20000=CONFIG_METADATA!$B$4)*(COUNTIF(CONFIG_ASIGNATURAS!$B$7:$B$27,DATOS!$I$2:$I$20000)&gt;0)*1),"")))</f>
        <v/>
      </c>
      <c r="Z157" t="str">
        <f>IF(Y157="","",IF(Y157="[FÓRMULA MANUAL]","",IFERROR(AVERAGEIFS(DATOS!$K$2:$K$20000,DATOS!$A$2:$A$20000,Y157,DATOS!$G$2:$G$20000,CONFIG_METADATA!$B$4,DATOS!$I$2:$I$20000,"Análisis"),"")))</f>
        <v/>
      </c>
      <c r="AA157" t="str">
        <f>IF(Y157="","",IF(Y157="[FÓRMULA MANUAL]","",IFERROR(AVERAGEIFS(DATOS!$K$2:$K$20000,DATOS!$A$2:$A$20000,Y157,DATOS!$G$2:$G$20000,CONFIG_METADATA!$B$4,DATOS!$I$2:$I$20000,"Orquesta/Banda/Conjunto"),"")))</f>
        <v/>
      </c>
      <c r="AB157" t="str">
        <f>IF(Y157="","",IF(Y157="[FÓRMULA MANUAL]","",IFERROR(AVERAGEIFS(DATOS!$K$2:$K$20000,DATOS!$A$2:$A$20000,Y157,DATOS!$G$2:$G$20000,CONFIG_METADATA!$B$4,DATOS!$I$2:$I$20000,"Música de Cámara"),"")))</f>
        <v/>
      </c>
      <c r="AC157" t="str">
        <f>IF(Y157="","",IF(Y157="[FÓRMULA MANUAL]","",IFERROR(SUMPRODUCT((DATOS!$A$2:$A$20000=Y157)*(DATOS!$G$2:$G$20000=CONFIG_METADATA!$B$4)*(COUNTIF(CONFIG_ASIGNATURAS!$B$7:$B$27,DATOS!$I$2:$I$20000)&gt;0)*(DATOS!$K$2:$K$20000))/SUMPRODUCT((DATOS!$A$2:$A$20000=Y157)*(DATOS!$G$2:$G$20000=CONFIG_METADATA!$B$4)*(COUNTIF(CONFIG_ASIGNATURAS!$B$7:$B$27,DATOS!$I$2:$I$20000)&gt;0)*1),"")))</f>
        <v/>
      </c>
      <c r="AF157" t="str">
        <f>IF(AE157="","",IF(AE157="[FÓRMULA MANUAL]","",IFERROR(AVERAGEIFS(DATOS!$K$2:$K$20000,DATOS!$A$2:$A$20000,AE157,DATOS!$G$2:$G$20000,CONFIG_METADATA!$B$4,DATOS!$I$2:$I$20000,"Análisis"),"")))</f>
        <v/>
      </c>
      <c r="AG157" t="str">
        <f>IF(AE157="","",IF(AE157="[FÓRMULA MANUAL]","",IFERROR(AVERAGEIFS(DATOS!$K$2:$K$20000,DATOS!$A$2:$A$20000,AE157,DATOS!$G$2:$G$20000,CONFIG_METADATA!$B$4,DATOS!$I$2:$I$20000,"Orquesta/Banda/Conjunto"),"")))</f>
        <v/>
      </c>
      <c r="AH157" t="str">
        <f>IF(AE157="","",IF(AE157="[FÓRMULA MANUAL]","",IFERROR(AVERAGEIFS(DATOS!$K$2:$K$20000,DATOS!$A$2:$A$20000,AE157,DATOS!$G$2:$G$20000,CONFIG_METADATA!$B$4,DATOS!$I$2:$I$20000,"Música de Cámara"),"")))</f>
        <v/>
      </c>
      <c r="AI157" t="str">
        <f>IF(AE157="","",IF(AE157="[FÓRMULA MANUAL]","",IFERROR(SUMPRODUCT((DATOS!$A$2:$A$20000=AE157)*(DATOS!$G$2:$G$20000=CONFIG_METADATA!$B$4)*(COUNTIF(CONFIG_ASIGNATURAS!$B$7:$B$27,DATOS!$I$2:$I$20000)&gt;0)*(DATOS!$K$2:$K$20000))/SUMPRODUCT((DATOS!$A$2:$A$20000=AE157)*(DATOS!$G$2:$G$20000=CONFIG_METADATA!$B$4)*(COUNTIF(CONFIG_ASIGNATURAS!$B$7:$B$27,DATOS!$I$2:$I$20000)&gt;0)*1),"")))</f>
        <v/>
      </c>
    </row>
    <row r="158" spans="2:35" x14ac:dyDescent="0.2">
      <c r="B158" t="str">
        <f>IF(A158="","",IF(A158="[FÓRMULA MANUAL]","",IFERROR(AVERAGEIFS(DATOS!$K$2:$K$20000,DATOS!$A$2:$A$20000,A158,DATOS!$G$2:$G$20000,CONFIG_METADATA!$B$4,DATOS!$I$2:$I$20000,"Lenguaje Musical"),"")))</f>
        <v/>
      </c>
      <c r="C158" t="str">
        <f>IF(A158="","",IF(A158="[FÓRMULA MANUAL]","",IFERROR(AVERAGEIFS(DATOS!$K$2:$K$20000,DATOS!$A$2:$A$20000,A158,DATOS!$G$2:$G$20000,CONFIG_METADATA!$B$4,DATOS!$I$2:$I$20000,"Orquesta/Banda/Conjunto"),"")))</f>
        <v/>
      </c>
      <c r="D158" t="str">
        <f>IF(A158="","",IF(A158="[FÓRMULA MANUAL]","",IFERROR(AVERAGEIFS(DATOS!$K$2:$K$20000,DATOS!$A$2:$A$20000,A158,DATOS!$G$2:$G$20000,CONFIG_METADATA!$B$4,DATOS!$I$2:$I$20000,"Conjunto"),"")))</f>
        <v/>
      </c>
      <c r="E158" t="str">
        <f>IF(A158="","",IF(A158="[FÓRMULA MANUAL]","",IFERROR(SUMPRODUCT((DATOS!$A$2:$A$20000=A158)*(DATOS!$G$2:$G$20000=CONFIG_METADATA!$B$4)*(COUNTIF(CONFIG_ASIGNATURAS!$B$7:$B$27,DATOS!$I$2:$I$20000)&gt;0)*(DATOS!$K$2:$K$20000))/SUMPRODUCT((DATOS!$A$2:$A$20000=A158)*(DATOS!$G$2:$G$20000=CONFIG_METADATA!$B$4)*(COUNTIF(CONFIG_ASIGNATURAS!$B$7:$B$27,DATOS!$I$2:$I$20000)&gt;0)*1),"")))</f>
        <v/>
      </c>
      <c r="H158" t="str">
        <f>IF(G158="","",IF(G158="[FÓRMULA MANUAL]","",IFERROR(AVERAGEIFS(DATOS!$K$2:$K$20000,DATOS!$A$2:$A$20000,G158,DATOS!$G$2:$G$20000,CONFIG_METADATA!$B$4,DATOS!$I$2:$I$20000,"Lenguaje Musical"),"")))</f>
        <v/>
      </c>
      <c r="I158" t="str">
        <f>IF(G158="","",IF(G158="[FÓRMULA MANUAL]","",IFERROR(AVERAGEIFS(DATOS!$K$2:$K$20000,DATOS!$A$2:$A$20000,G158,DATOS!$G$2:$G$20000,CONFIG_METADATA!$B$4,DATOS!$I$2:$I$20000,"Orquesta/Banda/Conjunto"),"")))</f>
        <v/>
      </c>
      <c r="J158" t="str">
        <f>IF(G158="","",IF(G158="[FÓRMULA MANUAL]","",IFERROR(AVERAGEIFS(DATOS!$K$2:$K$20000,DATOS!$A$2:$A$20000,G158,DATOS!$G$2:$G$20000,CONFIG_METADATA!$B$4,DATOS!$I$2:$I$20000,"Conjunto"),"")))</f>
        <v/>
      </c>
      <c r="K158" t="str">
        <f>IF(G158="","",IF(G158="[FÓRMULA MANUAL]","",IFERROR(SUMPRODUCT((DATOS!$A$2:$A$20000=G158)*(DATOS!$G$2:$G$20000=CONFIG_METADATA!$B$4)*(COUNTIF(CONFIG_ASIGNATURAS!$B$7:$B$27,DATOS!$I$2:$I$20000)&gt;0)*(DATOS!$K$2:$K$20000))/SUMPRODUCT((DATOS!$A$2:$A$20000=G158)*(DATOS!$G$2:$G$20000=CONFIG_METADATA!$B$4)*(COUNTIF(CONFIG_ASIGNATURAS!$B$7:$B$27,DATOS!$I$2:$I$20000)&gt;0)*1),"")))</f>
        <v/>
      </c>
      <c r="N158" t="str">
        <f>IF(M158="","",IF(M158="[FÓRMULA MANUAL]","",IFERROR(AVERAGEIFS(DATOS!$K$2:$K$20000,DATOS!$A$2:$A$20000,M158,DATOS!$G$2:$G$20000,CONFIG_METADATA!$B$4,DATOS!$I$2:$I$20000,"Armonía"),"")))</f>
        <v/>
      </c>
      <c r="O158" t="str">
        <f>IF(M158="","",IF(M158="[FÓRMULA MANUAL]","",IFERROR(AVERAGEIFS(DATOS!$K$2:$K$20000,DATOS!$A$2:$A$20000,M158,DATOS!$G$2:$G$20000,CONFIG_METADATA!$B$4,DATOS!$I$2:$I$20000,"Orquesta/Banda/Conjunto"),"")))</f>
        <v/>
      </c>
      <c r="P158" t="str">
        <f>IF(M158="","",IF(M158="[FÓRMULA MANUAL]","",IFERROR(AVERAGEIFS(DATOS!$K$2:$K$20000,DATOS!$A$2:$A$20000,M158,DATOS!$G$2:$G$20000,CONFIG_METADATA!$B$4,DATOS!$I$2:$I$20000,"Música de Cámara"),"")))</f>
        <v/>
      </c>
      <c r="Q158" t="str">
        <f>IF(M158="","",IF(M158="[FÓRMULA MANUAL]","",IFERROR(SUMPRODUCT((DATOS!$A$2:$A$20000=M158)*(DATOS!$G$2:$G$20000=CONFIG_METADATA!$B$4)*(COUNTIF(CONFIG_ASIGNATURAS!$B$7:$B$27,DATOS!$I$2:$I$20000)&gt;0)*(DATOS!$K$2:$K$20000))/SUMPRODUCT((DATOS!$A$2:$A$20000=M158)*(DATOS!$G$2:$G$20000=CONFIG_METADATA!$B$4)*(COUNTIF(CONFIG_ASIGNATURAS!$B$7:$B$27,DATOS!$I$2:$I$20000)&gt;0)*1),"")))</f>
        <v/>
      </c>
      <c r="T158" t="str">
        <f>IF(S158="","",IF(S158="[FÓRMULA MANUAL]","",IFERROR(AVERAGEIFS(DATOS!$K$2:$K$20000,DATOS!$A$2:$A$20000,S158,DATOS!$G$2:$G$20000,CONFIG_METADATA!$B$4,DATOS!$I$2:$I$20000,"Armonía"),"")))</f>
        <v/>
      </c>
      <c r="U158" t="str">
        <f>IF(S158="","",IF(S158="[FÓRMULA MANUAL]","",IFERROR(AVERAGEIFS(DATOS!$K$2:$K$20000,DATOS!$A$2:$A$20000,S158,DATOS!$G$2:$G$20000,CONFIG_METADATA!$B$4,DATOS!$I$2:$I$20000,"Orquesta/Banda/Conjunto"),"")))</f>
        <v/>
      </c>
      <c r="V158" t="str">
        <f>IF(S158="","",IF(S158="[FÓRMULA MANUAL]","",IFERROR(AVERAGEIFS(DATOS!$K$2:$K$20000,DATOS!$A$2:$A$20000,S158,DATOS!$G$2:$G$20000,CONFIG_METADATA!$B$4,DATOS!$I$2:$I$20000,"Música de Cámara"),"")))</f>
        <v/>
      </c>
      <c r="W158" t="str">
        <f>IF(S158="","",IF(S158="[FÓRMULA MANUAL]","",IFERROR(SUMPRODUCT((DATOS!$A$2:$A$20000=S158)*(DATOS!$G$2:$G$20000=CONFIG_METADATA!$B$4)*(COUNTIF(CONFIG_ASIGNATURAS!$B$7:$B$27,DATOS!$I$2:$I$20000)&gt;0)*(DATOS!$K$2:$K$20000))/SUMPRODUCT((DATOS!$A$2:$A$20000=S158)*(DATOS!$G$2:$G$20000=CONFIG_METADATA!$B$4)*(COUNTIF(CONFIG_ASIGNATURAS!$B$7:$B$27,DATOS!$I$2:$I$20000)&gt;0)*1),"")))</f>
        <v/>
      </c>
      <c r="Z158" t="str">
        <f>IF(Y158="","",IF(Y158="[FÓRMULA MANUAL]","",IFERROR(AVERAGEIFS(DATOS!$K$2:$K$20000,DATOS!$A$2:$A$20000,Y158,DATOS!$G$2:$G$20000,CONFIG_METADATA!$B$4,DATOS!$I$2:$I$20000,"Análisis"),"")))</f>
        <v/>
      </c>
      <c r="AA158" t="str">
        <f>IF(Y158="","",IF(Y158="[FÓRMULA MANUAL]","",IFERROR(AVERAGEIFS(DATOS!$K$2:$K$20000,DATOS!$A$2:$A$20000,Y158,DATOS!$G$2:$G$20000,CONFIG_METADATA!$B$4,DATOS!$I$2:$I$20000,"Orquesta/Banda/Conjunto"),"")))</f>
        <v/>
      </c>
      <c r="AB158" t="str">
        <f>IF(Y158="","",IF(Y158="[FÓRMULA MANUAL]","",IFERROR(AVERAGEIFS(DATOS!$K$2:$K$20000,DATOS!$A$2:$A$20000,Y158,DATOS!$G$2:$G$20000,CONFIG_METADATA!$B$4,DATOS!$I$2:$I$20000,"Música de Cámara"),"")))</f>
        <v/>
      </c>
      <c r="AC158" t="str">
        <f>IF(Y158="","",IF(Y158="[FÓRMULA MANUAL]","",IFERROR(SUMPRODUCT((DATOS!$A$2:$A$20000=Y158)*(DATOS!$G$2:$G$20000=CONFIG_METADATA!$B$4)*(COUNTIF(CONFIG_ASIGNATURAS!$B$7:$B$27,DATOS!$I$2:$I$20000)&gt;0)*(DATOS!$K$2:$K$20000))/SUMPRODUCT((DATOS!$A$2:$A$20000=Y158)*(DATOS!$G$2:$G$20000=CONFIG_METADATA!$B$4)*(COUNTIF(CONFIG_ASIGNATURAS!$B$7:$B$27,DATOS!$I$2:$I$20000)&gt;0)*1),"")))</f>
        <v/>
      </c>
      <c r="AF158" t="str">
        <f>IF(AE158="","",IF(AE158="[FÓRMULA MANUAL]","",IFERROR(AVERAGEIFS(DATOS!$K$2:$K$20000,DATOS!$A$2:$A$20000,AE158,DATOS!$G$2:$G$20000,CONFIG_METADATA!$B$4,DATOS!$I$2:$I$20000,"Análisis"),"")))</f>
        <v/>
      </c>
      <c r="AG158" t="str">
        <f>IF(AE158="","",IF(AE158="[FÓRMULA MANUAL]","",IFERROR(AVERAGEIFS(DATOS!$K$2:$K$20000,DATOS!$A$2:$A$20000,AE158,DATOS!$G$2:$G$20000,CONFIG_METADATA!$B$4,DATOS!$I$2:$I$20000,"Orquesta/Banda/Conjunto"),"")))</f>
        <v/>
      </c>
      <c r="AH158" t="str">
        <f>IF(AE158="","",IF(AE158="[FÓRMULA MANUAL]","",IFERROR(AVERAGEIFS(DATOS!$K$2:$K$20000,DATOS!$A$2:$A$20000,AE158,DATOS!$G$2:$G$20000,CONFIG_METADATA!$B$4,DATOS!$I$2:$I$20000,"Música de Cámara"),"")))</f>
        <v/>
      </c>
      <c r="AI158" t="str">
        <f>IF(AE158="","",IF(AE158="[FÓRMULA MANUAL]","",IFERROR(SUMPRODUCT((DATOS!$A$2:$A$20000=AE158)*(DATOS!$G$2:$G$20000=CONFIG_METADATA!$B$4)*(COUNTIF(CONFIG_ASIGNATURAS!$B$7:$B$27,DATOS!$I$2:$I$20000)&gt;0)*(DATOS!$K$2:$K$20000))/SUMPRODUCT((DATOS!$A$2:$A$20000=AE158)*(DATOS!$G$2:$G$20000=CONFIG_METADATA!$B$4)*(COUNTIF(CONFIG_ASIGNATURAS!$B$7:$B$27,DATOS!$I$2:$I$20000)&gt;0)*1),"")))</f>
        <v/>
      </c>
    </row>
    <row r="159" spans="2:35" x14ac:dyDescent="0.2">
      <c r="B159" t="str">
        <f>IF(A159="","",IF(A159="[FÓRMULA MANUAL]","",IFERROR(AVERAGEIFS(DATOS!$K$2:$K$20000,DATOS!$A$2:$A$20000,A159,DATOS!$G$2:$G$20000,CONFIG_METADATA!$B$4,DATOS!$I$2:$I$20000,"Lenguaje Musical"),"")))</f>
        <v/>
      </c>
      <c r="C159" t="str">
        <f>IF(A159="","",IF(A159="[FÓRMULA MANUAL]","",IFERROR(AVERAGEIFS(DATOS!$K$2:$K$20000,DATOS!$A$2:$A$20000,A159,DATOS!$G$2:$G$20000,CONFIG_METADATA!$B$4,DATOS!$I$2:$I$20000,"Orquesta/Banda/Conjunto"),"")))</f>
        <v/>
      </c>
      <c r="D159" t="str">
        <f>IF(A159="","",IF(A159="[FÓRMULA MANUAL]","",IFERROR(AVERAGEIFS(DATOS!$K$2:$K$20000,DATOS!$A$2:$A$20000,A159,DATOS!$G$2:$G$20000,CONFIG_METADATA!$B$4,DATOS!$I$2:$I$20000,"Conjunto"),"")))</f>
        <v/>
      </c>
      <c r="E159" t="str">
        <f>IF(A159="","",IF(A159="[FÓRMULA MANUAL]","",IFERROR(SUMPRODUCT((DATOS!$A$2:$A$20000=A159)*(DATOS!$G$2:$G$20000=CONFIG_METADATA!$B$4)*(COUNTIF(CONFIG_ASIGNATURAS!$B$7:$B$27,DATOS!$I$2:$I$20000)&gt;0)*(DATOS!$K$2:$K$20000))/SUMPRODUCT((DATOS!$A$2:$A$20000=A159)*(DATOS!$G$2:$G$20000=CONFIG_METADATA!$B$4)*(COUNTIF(CONFIG_ASIGNATURAS!$B$7:$B$27,DATOS!$I$2:$I$20000)&gt;0)*1),"")))</f>
        <v/>
      </c>
      <c r="H159" t="str">
        <f>IF(G159="","",IF(G159="[FÓRMULA MANUAL]","",IFERROR(AVERAGEIFS(DATOS!$K$2:$K$20000,DATOS!$A$2:$A$20000,G159,DATOS!$G$2:$G$20000,CONFIG_METADATA!$B$4,DATOS!$I$2:$I$20000,"Lenguaje Musical"),"")))</f>
        <v/>
      </c>
      <c r="I159" t="str">
        <f>IF(G159="","",IF(G159="[FÓRMULA MANUAL]","",IFERROR(AVERAGEIFS(DATOS!$K$2:$K$20000,DATOS!$A$2:$A$20000,G159,DATOS!$G$2:$G$20000,CONFIG_METADATA!$B$4,DATOS!$I$2:$I$20000,"Orquesta/Banda/Conjunto"),"")))</f>
        <v/>
      </c>
      <c r="J159" t="str">
        <f>IF(G159="","",IF(G159="[FÓRMULA MANUAL]","",IFERROR(AVERAGEIFS(DATOS!$K$2:$K$20000,DATOS!$A$2:$A$20000,G159,DATOS!$G$2:$G$20000,CONFIG_METADATA!$B$4,DATOS!$I$2:$I$20000,"Conjunto"),"")))</f>
        <v/>
      </c>
      <c r="K159" t="str">
        <f>IF(G159="","",IF(G159="[FÓRMULA MANUAL]","",IFERROR(SUMPRODUCT((DATOS!$A$2:$A$20000=G159)*(DATOS!$G$2:$G$20000=CONFIG_METADATA!$B$4)*(COUNTIF(CONFIG_ASIGNATURAS!$B$7:$B$27,DATOS!$I$2:$I$20000)&gt;0)*(DATOS!$K$2:$K$20000))/SUMPRODUCT((DATOS!$A$2:$A$20000=G159)*(DATOS!$G$2:$G$20000=CONFIG_METADATA!$B$4)*(COUNTIF(CONFIG_ASIGNATURAS!$B$7:$B$27,DATOS!$I$2:$I$20000)&gt;0)*1),"")))</f>
        <v/>
      </c>
      <c r="N159" t="str">
        <f>IF(M159="","",IF(M159="[FÓRMULA MANUAL]","",IFERROR(AVERAGEIFS(DATOS!$K$2:$K$20000,DATOS!$A$2:$A$20000,M159,DATOS!$G$2:$G$20000,CONFIG_METADATA!$B$4,DATOS!$I$2:$I$20000,"Armonía"),"")))</f>
        <v/>
      </c>
      <c r="O159" t="str">
        <f>IF(M159="","",IF(M159="[FÓRMULA MANUAL]","",IFERROR(AVERAGEIFS(DATOS!$K$2:$K$20000,DATOS!$A$2:$A$20000,M159,DATOS!$G$2:$G$20000,CONFIG_METADATA!$B$4,DATOS!$I$2:$I$20000,"Orquesta/Banda/Conjunto"),"")))</f>
        <v/>
      </c>
      <c r="P159" t="str">
        <f>IF(M159="","",IF(M159="[FÓRMULA MANUAL]","",IFERROR(AVERAGEIFS(DATOS!$K$2:$K$20000,DATOS!$A$2:$A$20000,M159,DATOS!$G$2:$G$20000,CONFIG_METADATA!$B$4,DATOS!$I$2:$I$20000,"Música de Cámara"),"")))</f>
        <v/>
      </c>
      <c r="Q159" t="str">
        <f>IF(M159="","",IF(M159="[FÓRMULA MANUAL]","",IFERROR(SUMPRODUCT((DATOS!$A$2:$A$20000=M159)*(DATOS!$G$2:$G$20000=CONFIG_METADATA!$B$4)*(COUNTIF(CONFIG_ASIGNATURAS!$B$7:$B$27,DATOS!$I$2:$I$20000)&gt;0)*(DATOS!$K$2:$K$20000))/SUMPRODUCT((DATOS!$A$2:$A$20000=M159)*(DATOS!$G$2:$G$20000=CONFIG_METADATA!$B$4)*(COUNTIF(CONFIG_ASIGNATURAS!$B$7:$B$27,DATOS!$I$2:$I$20000)&gt;0)*1),"")))</f>
        <v/>
      </c>
      <c r="T159" t="str">
        <f>IF(S159="","",IF(S159="[FÓRMULA MANUAL]","",IFERROR(AVERAGEIFS(DATOS!$K$2:$K$20000,DATOS!$A$2:$A$20000,S159,DATOS!$G$2:$G$20000,CONFIG_METADATA!$B$4,DATOS!$I$2:$I$20000,"Armonía"),"")))</f>
        <v/>
      </c>
      <c r="U159" t="str">
        <f>IF(S159="","",IF(S159="[FÓRMULA MANUAL]","",IFERROR(AVERAGEIFS(DATOS!$K$2:$K$20000,DATOS!$A$2:$A$20000,S159,DATOS!$G$2:$G$20000,CONFIG_METADATA!$B$4,DATOS!$I$2:$I$20000,"Orquesta/Banda/Conjunto"),"")))</f>
        <v/>
      </c>
      <c r="V159" t="str">
        <f>IF(S159="","",IF(S159="[FÓRMULA MANUAL]","",IFERROR(AVERAGEIFS(DATOS!$K$2:$K$20000,DATOS!$A$2:$A$20000,S159,DATOS!$G$2:$G$20000,CONFIG_METADATA!$B$4,DATOS!$I$2:$I$20000,"Música de Cámara"),"")))</f>
        <v/>
      </c>
      <c r="W159" t="str">
        <f>IF(S159="","",IF(S159="[FÓRMULA MANUAL]","",IFERROR(SUMPRODUCT((DATOS!$A$2:$A$20000=S159)*(DATOS!$G$2:$G$20000=CONFIG_METADATA!$B$4)*(COUNTIF(CONFIG_ASIGNATURAS!$B$7:$B$27,DATOS!$I$2:$I$20000)&gt;0)*(DATOS!$K$2:$K$20000))/SUMPRODUCT((DATOS!$A$2:$A$20000=S159)*(DATOS!$G$2:$G$20000=CONFIG_METADATA!$B$4)*(COUNTIF(CONFIG_ASIGNATURAS!$B$7:$B$27,DATOS!$I$2:$I$20000)&gt;0)*1),"")))</f>
        <v/>
      </c>
      <c r="Z159" t="str">
        <f>IF(Y159="","",IF(Y159="[FÓRMULA MANUAL]","",IFERROR(AVERAGEIFS(DATOS!$K$2:$K$20000,DATOS!$A$2:$A$20000,Y159,DATOS!$G$2:$G$20000,CONFIG_METADATA!$B$4,DATOS!$I$2:$I$20000,"Análisis"),"")))</f>
        <v/>
      </c>
      <c r="AA159" t="str">
        <f>IF(Y159="","",IF(Y159="[FÓRMULA MANUAL]","",IFERROR(AVERAGEIFS(DATOS!$K$2:$K$20000,DATOS!$A$2:$A$20000,Y159,DATOS!$G$2:$G$20000,CONFIG_METADATA!$B$4,DATOS!$I$2:$I$20000,"Orquesta/Banda/Conjunto"),"")))</f>
        <v/>
      </c>
      <c r="AB159" t="str">
        <f>IF(Y159="","",IF(Y159="[FÓRMULA MANUAL]","",IFERROR(AVERAGEIFS(DATOS!$K$2:$K$20000,DATOS!$A$2:$A$20000,Y159,DATOS!$G$2:$G$20000,CONFIG_METADATA!$B$4,DATOS!$I$2:$I$20000,"Música de Cámara"),"")))</f>
        <v/>
      </c>
      <c r="AC159" t="str">
        <f>IF(Y159="","",IF(Y159="[FÓRMULA MANUAL]","",IFERROR(SUMPRODUCT((DATOS!$A$2:$A$20000=Y159)*(DATOS!$G$2:$G$20000=CONFIG_METADATA!$B$4)*(COUNTIF(CONFIG_ASIGNATURAS!$B$7:$B$27,DATOS!$I$2:$I$20000)&gt;0)*(DATOS!$K$2:$K$20000))/SUMPRODUCT((DATOS!$A$2:$A$20000=Y159)*(DATOS!$G$2:$G$20000=CONFIG_METADATA!$B$4)*(COUNTIF(CONFIG_ASIGNATURAS!$B$7:$B$27,DATOS!$I$2:$I$20000)&gt;0)*1),"")))</f>
        <v/>
      </c>
      <c r="AF159" t="str">
        <f>IF(AE159="","",IF(AE159="[FÓRMULA MANUAL]","",IFERROR(AVERAGEIFS(DATOS!$K$2:$K$20000,DATOS!$A$2:$A$20000,AE159,DATOS!$G$2:$G$20000,CONFIG_METADATA!$B$4,DATOS!$I$2:$I$20000,"Análisis"),"")))</f>
        <v/>
      </c>
      <c r="AG159" t="str">
        <f>IF(AE159="","",IF(AE159="[FÓRMULA MANUAL]","",IFERROR(AVERAGEIFS(DATOS!$K$2:$K$20000,DATOS!$A$2:$A$20000,AE159,DATOS!$G$2:$G$20000,CONFIG_METADATA!$B$4,DATOS!$I$2:$I$20000,"Orquesta/Banda/Conjunto"),"")))</f>
        <v/>
      </c>
      <c r="AH159" t="str">
        <f>IF(AE159="","",IF(AE159="[FÓRMULA MANUAL]","",IFERROR(AVERAGEIFS(DATOS!$K$2:$K$20000,DATOS!$A$2:$A$20000,AE159,DATOS!$G$2:$G$20000,CONFIG_METADATA!$B$4,DATOS!$I$2:$I$20000,"Música de Cámara"),"")))</f>
        <v/>
      </c>
      <c r="AI159" t="str">
        <f>IF(AE159="","",IF(AE159="[FÓRMULA MANUAL]","",IFERROR(SUMPRODUCT((DATOS!$A$2:$A$20000=AE159)*(DATOS!$G$2:$G$20000=CONFIG_METADATA!$B$4)*(COUNTIF(CONFIG_ASIGNATURAS!$B$7:$B$27,DATOS!$I$2:$I$20000)&gt;0)*(DATOS!$K$2:$K$20000))/SUMPRODUCT((DATOS!$A$2:$A$20000=AE159)*(DATOS!$G$2:$G$20000=CONFIG_METADATA!$B$4)*(COUNTIF(CONFIG_ASIGNATURAS!$B$7:$B$27,DATOS!$I$2:$I$20000)&gt;0)*1),"")))</f>
        <v/>
      </c>
    </row>
    <row r="160" spans="2:35" x14ac:dyDescent="0.2">
      <c r="B160" t="str">
        <f>IF(A160="","",IF(A160="[FÓRMULA MANUAL]","",IFERROR(AVERAGEIFS(DATOS!$K$2:$K$20000,DATOS!$A$2:$A$20000,A160,DATOS!$G$2:$G$20000,CONFIG_METADATA!$B$4,DATOS!$I$2:$I$20000,"Lenguaje Musical"),"")))</f>
        <v/>
      </c>
      <c r="C160" t="str">
        <f>IF(A160="","",IF(A160="[FÓRMULA MANUAL]","",IFERROR(AVERAGEIFS(DATOS!$K$2:$K$20000,DATOS!$A$2:$A$20000,A160,DATOS!$G$2:$G$20000,CONFIG_METADATA!$B$4,DATOS!$I$2:$I$20000,"Orquesta/Banda/Conjunto"),"")))</f>
        <v/>
      </c>
      <c r="D160" t="str">
        <f>IF(A160="","",IF(A160="[FÓRMULA MANUAL]","",IFERROR(AVERAGEIFS(DATOS!$K$2:$K$20000,DATOS!$A$2:$A$20000,A160,DATOS!$G$2:$G$20000,CONFIG_METADATA!$B$4,DATOS!$I$2:$I$20000,"Conjunto"),"")))</f>
        <v/>
      </c>
      <c r="E160" t="str">
        <f>IF(A160="","",IF(A160="[FÓRMULA MANUAL]","",IFERROR(SUMPRODUCT((DATOS!$A$2:$A$20000=A160)*(DATOS!$G$2:$G$20000=CONFIG_METADATA!$B$4)*(COUNTIF(CONFIG_ASIGNATURAS!$B$7:$B$27,DATOS!$I$2:$I$20000)&gt;0)*(DATOS!$K$2:$K$20000))/SUMPRODUCT((DATOS!$A$2:$A$20000=A160)*(DATOS!$G$2:$G$20000=CONFIG_METADATA!$B$4)*(COUNTIF(CONFIG_ASIGNATURAS!$B$7:$B$27,DATOS!$I$2:$I$20000)&gt;0)*1),"")))</f>
        <v/>
      </c>
      <c r="H160" t="str">
        <f>IF(G160="","",IF(G160="[FÓRMULA MANUAL]","",IFERROR(AVERAGEIFS(DATOS!$K$2:$K$20000,DATOS!$A$2:$A$20000,G160,DATOS!$G$2:$G$20000,CONFIG_METADATA!$B$4,DATOS!$I$2:$I$20000,"Lenguaje Musical"),"")))</f>
        <v/>
      </c>
      <c r="I160" t="str">
        <f>IF(G160="","",IF(G160="[FÓRMULA MANUAL]","",IFERROR(AVERAGEIFS(DATOS!$K$2:$K$20000,DATOS!$A$2:$A$20000,G160,DATOS!$G$2:$G$20000,CONFIG_METADATA!$B$4,DATOS!$I$2:$I$20000,"Orquesta/Banda/Conjunto"),"")))</f>
        <v/>
      </c>
      <c r="J160" t="str">
        <f>IF(G160="","",IF(G160="[FÓRMULA MANUAL]","",IFERROR(AVERAGEIFS(DATOS!$K$2:$K$20000,DATOS!$A$2:$A$20000,G160,DATOS!$G$2:$G$20000,CONFIG_METADATA!$B$4,DATOS!$I$2:$I$20000,"Conjunto"),"")))</f>
        <v/>
      </c>
      <c r="K160" t="str">
        <f>IF(G160="","",IF(G160="[FÓRMULA MANUAL]","",IFERROR(SUMPRODUCT((DATOS!$A$2:$A$20000=G160)*(DATOS!$G$2:$G$20000=CONFIG_METADATA!$B$4)*(COUNTIF(CONFIG_ASIGNATURAS!$B$7:$B$27,DATOS!$I$2:$I$20000)&gt;0)*(DATOS!$K$2:$K$20000))/SUMPRODUCT((DATOS!$A$2:$A$20000=G160)*(DATOS!$G$2:$G$20000=CONFIG_METADATA!$B$4)*(COUNTIF(CONFIG_ASIGNATURAS!$B$7:$B$27,DATOS!$I$2:$I$20000)&gt;0)*1),"")))</f>
        <v/>
      </c>
      <c r="N160" t="str">
        <f>IF(M160="","",IF(M160="[FÓRMULA MANUAL]","",IFERROR(AVERAGEIFS(DATOS!$K$2:$K$20000,DATOS!$A$2:$A$20000,M160,DATOS!$G$2:$G$20000,CONFIG_METADATA!$B$4,DATOS!$I$2:$I$20000,"Armonía"),"")))</f>
        <v/>
      </c>
      <c r="O160" t="str">
        <f>IF(M160="","",IF(M160="[FÓRMULA MANUAL]","",IFERROR(AVERAGEIFS(DATOS!$K$2:$K$20000,DATOS!$A$2:$A$20000,M160,DATOS!$G$2:$G$20000,CONFIG_METADATA!$B$4,DATOS!$I$2:$I$20000,"Orquesta/Banda/Conjunto"),"")))</f>
        <v/>
      </c>
      <c r="P160" t="str">
        <f>IF(M160="","",IF(M160="[FÓRMULA MANUAL]","",IFERROR(AVERAGEIFS(DATOS!$K$2:$K$20000,DATOS!$A$2:$A$20000,M160,DATOS!$G$2:$G$20000,CONFIG_METADATA!$B$4,DATOS!$I$2:$I$20000,"Música de Cámara"),"")))</f>
        <v/>
      </c>
      <c r="Q160" t="str">
        <f>IF(M160="","",IF(M160="[FÓRMULA MANUAL]","",IFERROR(SUMPRODUCT((DATOS!$A$2:$A$20000=M160)*(DATOS!$G$2:$G$20000=CONFIG_METADATA!$B$4)*(COUNTIF(CONFIG_ASIGNATURAS!$B$7:$B$27,DATOS!$I$2:$I$20000)&gt;0)*(DATOS!$K$2:$K$20000))/SUMPRODUCT((DATOS!$A$2:$A$20000=M160)*(DATOS!$G$2:$G$20000=CONFIG_METADATA!$B$4)*(COUNTIF(CONFIG_ASIGNATURAS!$B$7:$B$27,DATOS!$I$2:$I$20000)&gt;0)*1),"")))</f>
        <v/>
      </c>
      <c r="T160" t="str">
        <f>IF(S160="","",IF(S160="[FÓRMULA MANUAL]","",IFERROR(AVERAGEIFS(DATOS!$K$2:$K$20000,DATOS!$A$2:$A$20000,S160,DATOS!$G$2:$G$20000,CONFIG_METADATA!$B$4,DATOS!$I$2:$I$20000,"Armonía"),"")))</f>
        <v/>
      </c>
      <c r="U160" t="str">
        <f>IF(S160="","",IF(S160="[FÓRMULA MANUAL]","",IFERROR(AVERAGEIFS(DATOS!$K$2:$K$20000,DATOS!$A$2:$A$20000,S160,DATOS!$G$2:$G$20000,CONFIG_METADATA!$B$4,DATOS!$I$2:$I$20000,"Orquesta/Banda/Conjunto"),"")))</f>
        <v/>
      </c>
      <c r="V160" t="str">
        <f>IF(S160="","",IF(S160="[FÓRMULA MANUAL]","",IFERROR(AVERAGEIFS(DATOS!$K$2:$K$20000,DATOS!$A$2:$A$20000,S160,DATOS!$G$2:$G$20000,CONFIG_METADATA!$B$4,DATOS!$I$2:$I$20000,"Música de Cámara"),"")))</f>
        <v/>
      </c>
      <c r="W160" t="str">
        <f>IF(S160="","",IF(S160="[FÓRMULA MANUAL]","",IFERROR(SUMPRODUCT((DATOS!$A$2:$A$20000=S160)*(DATOS!$G$2:$G$20000=CONFIG_METADATA!$B$4)*(COUNTIF(CONFIG_ASIGNATURAS!$B$7:$B$27,DATOS!$I$2:$I$20000)&gt;0)*(DATOS!$K$2:$K$20000))/SUMPRODUCT((DATOS!$A$2:$A$20000=S160)*(DATOS!$G$2:$G$20000=CONFIG_METADATA!$B$4)*(COUNTIF(CONFIG_ASIGNATURAS!$B$7:$B$27,DATOS!$I$2:$I$20000)&gt;0)*1),"")))</f>
        <v/>
      </c>
      <c r="Z160" t="str">
        <f>IF(Y160="","",IF(Y160="[FÓRMULA MANUAL]","",IFERROR(AVERAGEIFS(DATOS!$K$2:$K$20000,DATOS!$A$2:$A$20000,Y160,DATOS!$G$2:$G$20000,CONFIG_METADATA!$B$4,DATOS!$I$2:$I$20000,"Análisis"),"")))</f>
        <v/>
      </c>
      <c r="AA160" t="str">
        <f>IF(Y160="","",IF(Y160="[FÓRMULA MANUAL]","",IFERROR(AVERAGEIFS(DATOS!$K$2:$K$20000,DATOS!$A$2:$A$20000,Y160,DATOS!$G$2:$G$20000,CONFIG_METADATA!$B$4,DATOS!$I$2:$I$20000,"Orquesta/Banda/Conjunto"),"")))</f>
        <v/>
      </c>
      <c r="AB160" t="str">
        <f>IF(Y160="","",IF(Y160="[FÓRMULA MANUAL]","",IFERROR(AVERAGEIFS(DATOS!$K$2:$K$20000,DATOS!$A$2:$A$20000,Y160,DATOS!$G$2:$G$20000,CONFIG_METADATA!$B$4,DATOS!$I$2:$I$20000,"Música de Cámara"),"")))</f>
        <v/>
      </c>
      <c r="AC160" t="str">
        <f>IF(Y160="","",IF(Y160="[FÓRMULA MANUAL]","",IFERROR(SUMPRODUCT((DATOS!$A$2:$A$20000=Y160)*(DATOS!$G$2:$G$20000=CONFIG_METADATA!$B$4)*(COUNTIF(CONFIG_ASIGNATURAS!$B$7:$B$27,DATOS!$I$2:$I$20000)&gt;0)*(DATOS!$K$2:$K$20000))/SUMPRODUCT((DATOS!$A$2:$A$20000=Y160)*(DATOS!$G$2:$G$20000=CONFIG_METADATA!$B$4)*(COUNTIF(CONFIG_ASIGNATURAS!$B$7:$B$27,DATOS!$I$2:$I$20000)&gt;0)*1),"")))</f>
        <v/>
      </c>
      <c r="AF160" t="str">
        <f>IF(AE160="","",IF(AE160="[FÓRMULA MANUAL]","",IFERROR(AVERAGEIFS(DATOS!$K$2:$K$20000,DATOS!$A$2:$A$20000,AE160,DATOS!$G$2:$G$20000,CONFIG_METADATA!$B$4,DATOS!$I$2:$I$20000,"Análisis"),"")))</f>
        <v/>
      </c>
      <c r="AG160" t="str">
        <f>IF(AE160="","",IF(AE160="[FÓRMULA MANUAL]","",IFERROR(AVERAGEIFS(DATOS!$K$2:$K$20000,DATOS!$A$2:$A$20000,AE160,DATOS!$G$2:$G$20000,CONFIG_METADATA!$B$4,DATOS!$I$2:$I$20000,"Orquesta/Banda/Conjunto"),"")))</f>
        <v/>
      </c>
      <c r="AH160" t="str">
        <f>IF(AE160="","",IF(AE160="[FÓRMULA MANUAL]","",IFERROR(AVERAGEIFS(DATOS!$K$2:$K$20000,DATOS!$A$2:$A$20000,AE160,DATOS!$G$2:$G$20000,CONFIG_METADATA!$B$4,DATOS!$I$2:$I$20000,"Música de Cámara"),"")))</f>
        <v/>
      </c>
      <c r="AI160" t="str">
        <f>IF(AE160="","",IF(AE160="[FÓRMULA MANUAL]","",IFERROR(SUMPRODUCT((DATOS!$A$2:$A$20000=AE160)*(DATOS!$G$2:$G$20000=CONFIG_METADATA!$B$4)*(COUNTIF(CONFIG_ASIGNATURAS!$B$7:$B$27,DATOS!$I$2:$I$20000)&gt;0)*(DATOS!$K$2:$K$20000))/SUMPRODUCT((DATOS!$A$2:$A$20000=AE160)*(DATOS!$G$2:$G$20000=CONFIG_METADATA!$B$4)*(COUNTIF(CONFIG_ASIGNATURAS!$B$7:$B$27,DATOS!$I$2:$I$20000)&gt;0)*1),"")))</f>
        <v/>
      </c>
    </row>
    <row r="161" spans="2:35" x14ac:dyDescent="0.2">
      <c r="B161" t="str">
        <f>IF(A161="","",IF(A161="[FÓRMULA MANUAL]","",IFERROR(AVERAGEIFS(DATOS!$K$2:$K$20000,DATOS!$A$2:$A$20000,A161,DATOS!$G$2:$G$20000,CONFIG_METADATA!$B$4,DATOS!$I$2:$I$20000,"Lenguaje Musical"),"")))</f>
        <v/>
      </c>
      <c r="C161" t="str">
        <f>IF(A161="","",IF(A161="[FÓRMULA MANUAL]","",IFERROR(AVERAGEIFS(DATOS!$K$2:$K$20000,DATOS!$A$2:$A$20000,A161,DATOS!$G$2:$G$20000,CONFIG_METADATA!$B$4,DATOS!$I$2:$I$20000,"Orquesta/Banda/Conjunto"),"")))</f>
        <v/>
      </c>
      <c r="D161" t="str">
        <f>IF(A161="","",IF(A161="[FÓRMULA MANUAL]","",IFERROR(AVERAGEIFS(DATOS!$K$2:$K$20000,DATOS!$A$2:$A$20000,A161,DATOS!$G$2:$G$20000,CONFIG_METADATA!$B$4,DATOS!$I$2:$I$20000,"Conjunto"),"")))</f>
        <v/>
      </c>
      <c r="E161" t="str">
        <f>IF(A161="","",IF(A161="[FÓRMULA MANUAL]","",IFERROR(SUMPRODUCT((DATOS!$A$2:$A$20000=A161)*(DATOS!$G$2:$G$20000=CONFIG_METADATA!$B$4)*(COUNTIF(CONFIG_ASIGNATURAS!$B$7:$B$27,DATOS!$I$2:$I$20000)&gt;0)*(DATOS!$K$2:$K$20000))/SUMPRODUCT((DATOS!$A$2:$A$20000=A161)*(DATOS!$G$2:$G$20000=CONFIG_METADATA!$B$4)*(COUNTIF(CONFIG_ASIGNATURAS!$B$7:$B$27,DATOS!$I$2:$I$20000)&gt;0)*1),"")))</f>
        <v/>
      </c>
      <c r="H161" t="str">
        <f>IF(G161="","",IF(G161="[FÓRMULA MANUAL]","",IFERROR(AVERAGEIFS(DATOS!$K$2:$K$20000,DATOS!$A$2:$A$20000,G161,DATOS!$G$2:$G$20000,CONFIG_METADATA!$B$4,DATOS!$I$2:$I$20000,"Lenguaje Musical"),"")))</f>
        <v/>
      </c>
      <c r="I161" t="str">
        <f>IF(G161="","",IF(G161="[FÓRMULA MANUAL]","",IFERROR(AVERAGEIFS(DATOS!$K$2:$K$20000,DATOS!$A$2:$A$20000,G161,DATOS!$G$2:$G$20000,CONFIG_METADATA!$B$4,DATOS!$I$2:$I$20000,"Orquesta/Banda/Conjunto"),"")))</f>
        <v/>
      </c>
      <c r="J161" t="str">
        <f>IF(G161="","",IF(G161="[FÓRMULA MANUAL]","",IFERROR(AVERAGEIFS(DATOS!$K$2:$K$20000,DATOS!$A$2:$A$20000,G161,DATOS!$G$2:$G$20000,CONFIG_METADATA!$B$4,DATOS!$I$2:$I$20000,"Conjunto"),"")))</f>
        <v/>
      </c>
      <c r="K161" t="str">
        <f>IF(G161="","",IF(G161="[FÓRMULA MANUAL]","",IFERROR(SUMPRODUCT((DATOS!$A$2:$A$20000=G161)*(DATOS!$G$2:$G$20000=CONFIG_METADATA!$B$4)*(COUNTIF(CONFIG_ASIGNATURAS!$B$7:$B$27,DATOS!$I$2:$I$20000)&gt;0)*(DATOS!$K$2:$K$20000))/SUMPRODUCT((DATOS!$A$2:$A$20000=G161)*(DATOS!$G$2:$G$20000=CONFIG_METADATA!$B$4)*(COUNTIF(CONFIG_ASIGNATURAS!$B$7:$B$27,DATOS!$I$2:$I$20000)&gt;0)*1),"")))</f>
        <v/>
      </c>
      <c r="N161" t="str">
        <f>IF(M161="","",IF(M161="[FÓRMULA MANUAL]","",IFERROR(AVERAGEIFS(DATOS!$K$2:$K$20000,DATOS!$A$2:$A$20000,M161,DATOS!$G$2:$G$20000,CONFIG_METADATA!$B$4,DATOS!$I$2:$I$20000,"Armonía"),"")))</f>
        <v/>
      </c>
      <c r="O161" t="str">
        <f>IF(M161="","",IF(M161="[FÓRMULA MANUAL]","",IFERROR(AVERAGEIFS(DATOS!$K$2:$K$20000,DATOS!$A$2:$A$20000,M161,DATOS!$G$2:$G$20000,CONFIG_METADATA!$B$4,DATOS!$I$2:$I$20000,"Orquesta/Banda/Conjunto"),"")))</f>
        <v/>
      </c>
      <c r="P161" t="str">
        <f>IF(M161="","",IF(M161="[FÓRMULA MANUAL]","",IFERROR(AVERAGEIFS(DATOS!$K$2:$K$20000,DATOS!$A$2:$A$20000,M161,DATOS!$G$2:$G$20000,CONFIG_METADATA!$B$4,DATOS!$I$2:$I$20000,"Música de Cámara"),"")))</f>
        <v/>
      </c>
      <c r="Q161" t="str">
        <f>IF(M161="","",IF(M161="[FÓRMULA MANUAL]","",IFERROR(SUMPRODUCT((DATOS!$A$2:$A$20000=M161)*(DATOS!$G$2:$G$20000=CONFIG_METADATA!$B$4)*(COUNTIF(CONFIG_ASIGNATURAS!$B$7:$B$27,DATOS!$I$2:$I$20000)&gt;0)*(DATOS!$K$2:$K$20000))/SUMPRODUCT((DATOS!$A$2:$A$20000=M161)*(DATOS!$G$2:$G$20000=CONFIG_METADATA!$B$4)*(COUNTIF(CONFIG_ASIGNATURAS!$B$7:$B$27,DATOS!$I$2:$I$20000)&gt;0)*1),"")))</f>
        <v/>
      </c>
      <c r="T161" t="str">
        <f>IF(S161="","",IF(S161="[FÓRMULA MANUAL]","",IFERROR(AVERAGEIFS(DATOS!$K$2:$K$20000,DATOS!$A$2:$A$20000,S161,DATOS!$G$2:$G$20000,CONFIG_METADATA!$B$4,DATOS!$I$2:$I$20000,"Armonía"),"")))</f>
        <v/>
      </c>
      <c r="U161" t="str">
        <f>IF(S161="","",IF(S161="[FÓRMULA MANUAL]","",IFERROR(AVERAGEIFS(DATOS!$K$2:$K$20000,DATOS!$A$2:$A$20000,S161,DATOS!$G$2:$G$20000,CONFIG_METADATA!$B$4,DATOS!$I$2:$I$20000,"Orquesta/Banda/Conjunto"),"")))</f>
        <v/>
      </c>
      <c r="V161" t="str">
        <f>IF(S161="","",IF(S161="[FÓRMULA MANUAL]","",IFERROR(AVERAGEIFS(DATOS!$K$2:$K$20000,DATOS!$A$2:$A$20000,S161,DATOS!$G$2:$G$20000,CONFIG_METADATA!$B$4,DATOS!$I$2:$I$20000,"Música de Cámara"),"")))</f>
        <v/>
      </c>
      <c r="W161" t="str">
        <f>IF(S161="","",IF(S161="[FÓRMULA MANUAL]","",IFERROR(SUMPRODUCT((DATOS!$A$2:$A$20000=S161)*(DATOS!$G$2:$G$20000=CONFIG_METADATA!$B$4)*(COUNTIF(CONFIG_ASIGNATURAS!$B$7:$B$27,DATOS!$I$2:$I$20000)&gt;0)*(DATOS!$K$2:$K$20000))/SUMPRODUCT((DATOS!$A$2:$A$20000=S161)*(DATOS!$G$2:$G$20000=CONFIG_METADATA!$B$4)*(COUNTIF(CONFIG_ASIGNATURAS!$B$7:$B$27,DATOS!$I$2:$I$20000)&gt;0)*1),"")))</f>
        <v/>
      </c>
      <c r="Z161" t="str">
        <f>IF(Y161="","",IF(Y161="[FÓRMULA MANUAL]","",IFERROR(AVERAGEIFS(DATOS!$K$2:$K$20000,DATOS!$A$2:$A$20000,Y161,DATOS!$G$2:$G$20000,CONFIG_METADATA!$B$4,DATOS!$I$2:$I$20000,"Análisis"),"")))</f>
        <v/>
      </c>
      <c r="AA161" t="str">
        <f>IF(Y161="","",IF(Y161="[FÓRMULA MANUAL]","",IFERROR(AVERAGEIFS(DATOS!$K$2:$K$20000,DATOS!$A$2:$A$20000,Y161,DATOS!$G$2:$G$20000,CONFIG_METADATA!$B$4,DATOS!$I$2:$I$20000,"Orquesta/Banda/Conjunto"),"")))</f>
        <v/>
      </c>
      <c r="AB161" t="str">
        <f>IF(Y161="","",IF(Y161="[FÓRMULA MANUAL]","",IFERROR(AVERAGEIFS(DATOS!$K$2:$K$20000,DATOS!$A$2:$A$20000,Y161,DATOS!$G$2:$G$20000,CONFIG_METADATA!$B$4,DATOS!$I$2:$I$20000,"Música de Cámara"),"")))</f>
        <v/>
      </c>
      <c r="AC161" t="str">
        <f>IF(Y161="","",IF(Y161="[FÓRMULA MANUAL]","",IFERROR(SUMPRODUCT((DATOS!$A$2:$A$20000=Y161)*(DATOS!$G$2:$G$20000=CONFIG_METADATA!$B$4)*(COUNTIF(CONFIG_ASIGNATURAS!$B$7:$B$27,DATOS!$I$2:$I$20000)&gt;0)*(DATOS!$K$2:$K$20000))/SUMPRODUCT((DATOS!$A$2:$A$20000=Y161)*(DATOS!$G$2:$G$20000=CONFIG_METADATA!$B$4)*(COUNTIF(CONFIG_ASIGNATURAS!$B$7:$B$27,DATOS!$I$2:$I$20000)&gt;0)*1),"")))</f>
        <v/>
      </c>
      <c r="AF161" t="str">
        <f>IF(AE161="","",IF(AE161="[FÓRMULA MANUAL]","",IFERROR(AVERAGEIFS(DATOS!$K$2:$K$20000,DATOS!$A$2:$A$20000,AE161,DATOS!$G$2:$G$20000,CONFIG_METADATA!$B$4,DATOS!$I$2:$I$20000,"Análisis"),"")))</f>
        <v/>
      </c>
      <c r="AG161" t="str">
        <f>IF(AE161="","",IF(AE161="[FÓRMULA MANUAL]","",IFERROR(AVERAGEIFS(DATOS!$K$2:$K$20000,DATOS!$A$2:$A$20000,AE161,DATOS!$G$2:$G$20000,CONFIG_METADATA!$B$4,DATOS!$I$2:$I$20000,"Orquesta/Banda/Conjunto"),"")))</f>
        <v/>
      </c>
      <c r="AH161" t="str">
        <f>IF(AE161="","",IF(AE161="[FÓRMULA MANUAL]","",IFERROR(AVERAGEIFS(DATOS!$K$2:$K$20000,DATOS!$A$2:$A$20000,AE161,DATOS!$G$2:$G$20000,CONFIG_METADATA!$B$4,DATOS!$I$2:$I$20000,"Música de Cámara"),"")))</f>
        <v/>
      </c>
      <c r="AI161" t="str">
        <f>IF(AE161="","",IF(AE161="[FÓRMULA MANUAL]","",IFERROR(SUMPRODUCT((DATOS!$A$2:$A$20000=AE161)*(DATOS!$G$2:$G$20000=CONFIG_METADATA!$B$4)*(COUNTIF(CONFIG_ASIGNATURAS!$B$7:$B$27,DATOS!$I$2:$I$20000)&gt;0)*(DATOS!$K$2:$K$20000))/SUMPRODUCT((DATOS!$A$2:$A$20000=AE161)*(DATOS!$G$2:$G$20000=CONFIG_METADATA!$B$4)*(COUNTIF(CONFIG_ASIGNATURAS!$B$7:$B$27,DATOS!$I$2:$I$20000)&gt;0)*1),"")))</f>
        <v/>
      </c>
    </row>
    <row r="162" spans="2:35" x14ac:dyDescent="0.2">
      <c r="B162" t="str">
        <f>IF(A162="","",IF(A162="[FÓRMULA MANUAL]","",IFERROR(AVERAGEIFS(DATOS!$K$2:$K$20000,DATOS!$A$2:$A$20000,A162,DATOS!$G$2:$G$20000,CONFIG_METADATA!$B$4,DATOS!$I$2:$I$20000,"Lenguaje Musical"),"")))</f>
        <v/>
      </c>
      <c r="C162" t="str">
        <f>IF(A162="","",IF(A162="[FÓRMULA MANUAL]","",IFERROR(AVERAGEIFS(DATOS!$K$2:$K$20000,DATOS!$A$2:$A$20000,A162,DATOS!$G$2:$G$20000,CONFIG_METADATA!$B$4,DATOS!$I$2:$I$20000,"Orquesta/Banda/Conjunto"),"")))</f>
        <v/>
      </c>
      <c r="D162" t="str">
        <f>IF(A162="","",IF(A162="[FÓRMULA MANUAL]","",IFERROR(AVERAGEIFS(DATOS!$K$2:$K$20000,DATOS!$A$2:$A$20000,A162,DATOS!$G$2:$G$20000,CONFIG_METADATA!$B$4,DATOS!$I$2:$I$20000,"Conjunto"),"")))</f>
        <v/>
      </c>
      <c r="E162" t="str">
        <f>IF(A162="","",IF(A162="[FÓRMULA MANUAL]","",IFERROR(SUMPRODUCT((DATOS!$A$2:$A$20000=A162)*(DATOS!$G$2:$G$20000=CONFIG_METADATA!$B$4)*(COUNTIF(CONFIG_ASIGNATURAS!$B$7:$B$27,DATOS!$I$2:$I$20000)&gt;0)*(DATOS!$K$2:$K$20000))/SUMPRODUCT((DATOS!$A$2:$A$20000=A162)*(DATOS!$G$2:$G$20000=CONFIG_METADATA!$B$4)*(COUNTIF(CONFIG_ASIGNATURAS!$B$7:$B$27,DATOS!$I$2:$I$20000)&gt;0)*1),"")))</f>
        <v/>
      </c>
      <c r="H162" t="str">
        <f>IF(G162="","",IF(G162="[FÓRMULA MANUAL]","",IFERROR(AVERAGEIFS(DATOS!$K$2:$K$20000,DATOS!$A$2:$A$20000,G162,DATOS!$G$2:$G$20000,CONFIG_METADATA!$B$4,DATOS!$I$2:$I$20000,"Lenguaje Musical"),"")))</f>
        <v/>
      </c>
      <c r="I162" t="str">
        <f>IF(G162="","",IF(G162="[FÓRMULA MANUAL]","",IFERROR(AVERAGEIFS(DATOS!$K$2:$K$20000,DATOS!$A$2:$A$20000,G162,DATOS!$G$2:$G$20000,CONFIG_METADATA!$B$4,DATOS!$I$2:$I$20000,"Orquesta/Banda/Conjunto"),"")))</f>
        <v/>
      </c>
      <c r="J162" t="str">
        <f>IF(G162="","",IF(G162="[FÓRMULA MANUAL]","",IFERROR(AVERAGEIFS(DATOS!$K$2:$K$20000,DATOS!$A$2:$A$20000,G162,DATOS!$G$2:$G$20000,CONFIG_METADATA!$B$4,DATOS!$I$2:$I$20000,"Conjunto"),"")))</f>
        <v/>
      </c>
      <c r="K162" t="str">
        <f>IF(G162="","",IF(G162="[FÓRMULA MANUAL]","",IFERROR(SUMPRODUCT((DATOS!$A$2:$A$20000=G162)*(DATOS!$G$2:$G$20000=CONFIG_METADATA!$B$4)*(COUNTIF(CONFIG_ASIGNATURAS!$B$7:$B$27,DATOS!$I$2:$I$20000)&gt;0)*(DATOS!$K$2:$K$20000))/SUMPRODUCT((DATOS!$A$2:$A$20000=G162)*(DATOS!$G$2:$G$20000=CONFIG_METADATA!$B$4)*(COUNTIF(CONFIG_ASIGNATURAS!$B$7:$B$27,DATOS!$I$2:$I$20000)&gt;0)*1),"")))</f>
        <v/>
      </c>
      <c r="N162" t="str">
        <f>IF(M162="","",IF(M162="[FÓRMULA MANUAL]","",IFERROR(AVERAGEIFS(DATOS!$K$2:$K$20000,DATOS!$A$2:$A$20000,M162,DATOS!$G$2:$G$20000,CONFIG_METADATA!$B$4,DATOS!$I$2:$I$20000,"Armonía"),"")))</f>
        <v/>
      </c>
      <c r="O162" t="str">
        <f>IF(M162="","",IF(M162="[FÓRMULA MANUAL]","",IFERROR(AVERAGEIFS(DATOS!$K$2:$K$20000,DATOS!$A$2:$A$20000,M162,DATOS!$G$2:$G$20000,CONFIG_METADATA!$B$4,DATOS!$I$2:$I$20000,"Orquesta/Banda/Conjunto"),"")))</f>
        <v/>
      </c>
      <c r="P162" t="str">
        <f>IF(M162="","",IF(M162="[FÓRMULA MANUAL]","",IFERROR(AVERAGEIFS(DATOS!$K$2:$K$20000,DATOS!$A$2:$A$20000,M162,DATOS!$G$2:$G$20000,CONFIG_METADATA!$B$4,DATOS!$I$2:$I$20000,"Música de Cámara"),"")))</f>
        <v/>
      </c>
      <c r="Q162" t="str">
        <f>IF(M162="","",IF(M162="[FÓRMULA MANUAL]","",IFERROR(SUMPRODUCT((DATOS!$A$2:$A$20000=M162)*(DATOS!$G$2:$G$20000=CONFIG_METADATA!$B$4)*(COUNTIF(CONFIG_ASIGNATURAS!$B$7:$B$27,DATOS!$I$2:$I$20000)&gt;0)*(DATOS!$K$2:$K$20000))/SUMPRODUCT((DATOS!$A$2:$A$20000=M162)*(DATOS!$G$2:$G$20000=CONFIG_METADATA!$B$4)*(COUNTIF(CONFIG_ASIGNATURAS!$B$7:$B$27,DATOS!$I$2:$I$20000)&gt;0)*1),"")))</f>
        <v/>
      </c>
      <c r="T162" t="str">
        <f>IF(S162="","",IF(S162="[FÓRMULA MANUAL]","",IFERROR(AVERAGEIFS(DATOS!$K$2:$K$20000,DATOS!$A$2:$A$20000,S162,DATOS!$G$2:$G$20000,CONFIG_METADATA!$B$4,DATOS!$I$2:$I$20000,"Armonía"),"")))</f>
        <v/>
      </c>
      <c r="U162" t="str">
        <f>IF(S162="","",IF(S162="[FÓRMULA MANUAL]","",IFERROR(AVERAGEIFS(DATOS!$K$2:$K$20000,DATOS!$A$2:$A$20000,S162,DATOS!$G$2:$G$20000,CONFIG_METADATA!$B$4,DATOS!$I$2:$I$20000,"Orquesta/Banda/Conjunto"),"")))</f>
        <v/>
      </c>
      <c r="V162" t="str">
        <f>IF(S162="","",IF(S162="[FÓRMULA MANUAL]","",IFERROR(AVERAGEIFS(DATOS!$K$2:$K$20000,DATOS!$A$2:$A$20000,S162,DATOS!$G$2:$G$20000,CONFIG_METADATA!$B$4,DATOS!$I$2:$I$20000,"Música de Cámara"),"")))</f>
        <v/>
      </c>
      <c r="W162" t="str">
        <f>IF(S162="","",IF(S162="[FÓRMULA MANUAL]","",IFERROR(SUMPRODUCT((DATOS!$A$2:$A$20000=S162)*(DATOS!$G$2:$G$20000=CONFIG_METADATA!$B$4)*(COUNTIF(CONFIG_ASIGNATURAS!$B$7:$B$27,DATOS!$I$2:$I$20000)&gt;0)*(DATOS!$K$2:$K$20000))/SUMPRODUCT((DATOS!$A$2:$A$20000=S162)*(DATOS!$G$2:$G$20000=CONFIG_METADATA!$B$4)*(COUNTIF(CONFIG_ASIGNATURAS!$B$7:$B$27,DATOS!$I$2:$I$20000)&gt;0)*1),"")))</f>
        <v/>
      </c>
      <c r="Z162" t="str">
        <f>IF(Y162="","",IF(Y162="[FÓRMULA MANUAL]","",IFERROR(AVERAGEIFS(DATOS!$K$2:$K$20000,DATOS!$A$2:$A$20000,Y162,DATOS!$G$2:$G$20000,CONFIG_METADATA!$B$4,DATOS!$I$2:$I$20000,"Análisis"),"")))</f>
        <v/>
      </c>
      <c r="AA162" t="str">
        <f>IF(Y162="","",IF(Y162="[FÓRMULA MANUAL]","",IFERROR(AVERAGEIFS(DATOS!$K$2:$K$20000,DATOS!$A$2:$A$20000,Y162,DATOS!$G$2:$G$20000,CONFIG_METADATA!$B$4,DATOS!$I$2:$I$20000,"Orquesta/Banda/Conjunto"),"")))</f>
        <v/>
      </c>
      <c r="AB162" t="str">
        <f>IF(Y162="","",IF(Y162="[FÓRMULA MANUAL]","",IFERROR(AVERAGEIFS(DATOS!$K$2:$K$20000,DATOS!$A$2:$A$20000,Y162,DATOS!$G$2:$G$20000,CONFIG_METADATA!$B$4,DATOS!$I$2:$I$20000,"Música de Cámara"),"")))</f>
        <v/>
      </c>
      <c r="AC162" t="str">
        <f>IF(Y162="","",IF(Y162="[FÓRMULA MANUAL]","",IFERROR(SUMPRODUCT((DATOS!$A$2:$A$20000=Y162)*(DATOS!$G$2:$G$20000=CONFIG_METADATA!$B$4)*(COUNTIF(CONFIG_ASIGNATURAS!$B$7:$B$27,DATOS!$I$2:$I$20000)&gt;0)*(DATOS!$K$2:$K$20000))/SUMPRODUCT((DATOS!$A$2:$A$20000=Y162)*(DATOS!$G$2:$G$20000=CONFIG_METADATA!$B$4)*(COUNTIF(CONFIG_ASIGNATURAS!$B$7:$B$27,DATOS!$I$2:$I$20000)&gt;0)*1),"")))</f>
        <v/>
      </c>
      <c r="AF162" t="str">
        <f>IF(AE162="","",IF(AE162="[FÓRMULA MANUAL]","",IFERROR(AVERAGEIFS(DATOS!$K$2:$K$20000,DATOS!$A$2:$A$20000,AE162,DATOS!$G$2:$G$20000,CONFIG_METADATA!$B$4,DATOS!$I$2:$I$20000,"Análisis"),"")))</f>
        <v/>
      </c>
      <c r="AG162" t="str">
        <f>IF(AE162="","",IF(AE162="[FÓRMULA MANUAL]","",IFERROR(AVERAGEIFS(DATOS!$K$2:$K$20000,DATOS!$A$2:$A$20000,AE162,DATOS!$G$2:$G$20000,CONFIG_METADATA!$B$4,DATOS!$I$2:$I$20000,"Orquesta/Banda/Conjunto"),"")))</f>
        <v/>
      </c>
      <c r="AH162" t="str">
        <f>IF(AE162="","",IF(AE162="[FÓRMULA MANUAL]","",IFERROR(AVERAGEIFS(DATOS!$K$2:$K$20000,DATOS!$A$2:$A$20000,AE162,DATOS!$G$2:$G$20000,CONFIG_METADATA!$B$4,DATOS!$I$2:$I$20000,"Música de Cámara"),"")))</f>
        <v/>
      </c>
      <c r="AI162" t="str">
        <f>IF(AE162="","",IF(AE162="[FÓRMULA MANUAL]","",IFERROR(SUMPRODUCT((DATOS!$A$2:$A$20000=AE162)*(DATOS!$G$2:$G$20000=CONFIG_METADATA!$B$4)*(COUNTIF(CONFIG_ASIGNATURAS!$B$7:$B$27,DATOS!$I$2:$I$20000)&gt;0)*(DATOS!$K$2:$K$20000))/SUMPRODUCT((DATOS!$A$2:$A$20000=AE162)*(DATOS!$G$2:$G$20000=CONFIG_METADATA!$B$4)*(COUNTIF(CONFIG_ASIGNATURAS!$B$7:$B$27,DATOS!$I$2:$I$20000)&gt;0)*1),"")))</f>
        <v/>
      </c>
    </row>
    <row r="163" spans="2:35" x14ac:dyDescent="0.2">
      <c r="B163" t="str">
        <f>IF(A163="","",IF(A163="[FÓRMULA MANUAL]","",IFERROR(AVERAGEIFS(DATOS!$K$2:$K$20000,DATOS!$A$2:$A$20000,A163,DATOS!$G$2:$G$20000,CONFIG_METADATA!$B$4,DATOS!$I$2:$I$20000,"Lenguaje Musical"),"")))</f>
        <v/>
      </c>
      <c r="C163" t="str">
        <f>IF(A163="","",IF(A163="[FÓRMULA MANUAL]","",IFERROR(AVERAGEIFS(DATOS!$K$2:$K$20000,DATOS!$A$2:$A$20000,A163,DATOS!$G$2:$G$20000,CONFIG_METADATA!$B$4,DATOS!$I$2:$I$20000,"Orquesta/Banda/Conjunto"),"")))</f>
        <v/>
      </c>
      <c r="D163" t="str">
        <f>IF(A163="","",IF(A163="[FÓRMULA MANUAL]","",IFERROR(AVERAGEIFS(DATOS!$K$2:$K$20000,DATOS!$A$2:$A$20000,A163,DATOS!$G$2:$G$20000,CONFIG_METADATA!$B$4,DATOS!$I$2:$I$20000,"Conjunto"),"")))</f>
        <v/>
      </c>
      <c r="E163" t="str">
        <f>IF(A163="","",IF(A163="[FÓRMULA MANUAL]","",IFERROR(SUMPRODUCT((DATOS!$A$2:$A$20000=A163)*(DATOS!$G$2:$G$20000=CONFIG_METADATA!$B$4)*(COUNTIF(CONFIG_ASIGNATURAS!$B$7:$B$27,DATOS!$I$2:$I$20000)&gt;0)*(DATOS!$K$2:$K$20000))/SUMPRODUCT((DATOS!$A$2:$A$20000=A163)*(DATOS!$G$2:$G$20000=CONFIG_METADATA!$B$4)*(COUNTIF(CONFIG_ASIGNATURAS!$B$7:$B$27,DATOS!$I$2:$I$20000)&gt;0)*1),"")))</f>
        <v/>
      </c>
      <c r="H163" t="str">
        <f>IF(G163="","",IF(G163="[FÓRMULA MANUAL]","",IFERROR(AVERAGEIFS(DATOS!$K$2:$K$20000,DATOS!$A$2:$A$20000,G163,DATOS!$G$2:$G$20000,CONFIG_METADATA!$B$4,DATOS!$I$2:$I$20000,"Lenguaje Musical"),"")))</f>
        <v/>
      </c>
      <c r="I163" t="str">
        <f>IF(G163="","",IF(G163="[FÓRMULA MANUAL]","",IFERROR(AVERAGEIFS(DATOS!$K$2:$K$20000,DATOS!$A$2:$A$20000,G163,DATOS!$G$2:$G$20000,CONFIG_METADATA!$B$4,DATOS!$I$2:$I$20000,"Orquesta/Banda/Conjunto"),"")))</f>
        <v/>
      </c>
      <c r="J163" t="str">
        <f>IF(G163="","",IF(G163="[FÓRMULA MANUAL]","",IFERROR(AVERAGEIFS(DATOS!$K$2:$K$20000,DATOS!$A$2:$A$20000,G163,DATOS!$G$2:$G$20000,CONFIG_METADATA!$B$4,DATOS!$I$2:$I$20000,"Conjunto"),"")))</f>
        <v/>
      </c>
      <c r="K163" t="str">
        <f>IF(G163="","",IF(G163="[FÓRMULA MANUAL]","",IFERROR(SUMPRODUCT((DATOS!$A$2:$A$20000=G163)*(DATOS!$G$2:$G$20000=CONFIG_METADATA!$B$4)*(COUNTIF(CONFIG_ASIGNATURAS!$B$7:$B$27,DATOS!$I$2:$I$20000)&gt;0)*(DATOS!$K$2:$K$20000))/SUMPRODUCT((DATOS!$A$2:$A$20000=G163)*(DATOS!$G$2:$G$20000=CONFIG_METADATA!$B$4)*(COUNTIF(CONFIG_ASIGNATURAS!$B$7:$B$27,DATOS!$I$2:$I$20000)&gt;0)*1),"")))</f>
        <v/>
      </c>
      <c r="N163" t="str">
        <f>IF(M163="","",IF(M163="[FÓRMULA MANUAL]","",IFERROR(AVERAGEIFS(DATOS!$K$2:$K$20000,DATOS!$A$2:$A$20000,M163,DATOS!$G$2:$G$20000,CONFIG_METADATA!$B$4,DATOS!$I$2:$I$20000,"Armonía"),"")))</f>
        <v/>
      </c>
      <c r="O163" t="str">
        <f>IF(M163="","",IF(M163="[FÓRMULA MANUAL]","",IFERROR(AVERAGEIFS(DATOS!$K$2:$K$20000,DATOS!$A$2:$A$20000,M163,DATOS!$G$2:$G$20000,CONFIG_METADATA!$B$4,DATOS!$I$2:$I$20000,"Orquesta/Banda/Conjunto"),"")))</f>
        <v/>
      </c>
      <c r="P163" t="str">
        <f>IF(M163="","",IF(M163="[FÓRMULA MANUAL]","",IFERROR(AVERAGEIFS(DATOS!$K$2:$K$20000,DATOS!$A$2:$A$20000,M163,DATOS!$G$2:$G$20000,CONFIG_METADATA!$B$4,DATOS!$I$2:$I$20000,"Música de Cámara"),"")))</f>
        <v/>
      </c>
      <c r="Q163" t="str">
        <f>IF(M163="","",IF(M163="[FÓRMULA MANUAL]","",IFERROR(SUMPRODUCT((DATOS!$A$2:$A$20000=M163)*(DATOS!$G$2:$G$20000=CONFIG_METADATA!$B$4)*(COUNTIF(CONFIG_ASIGNATURAS!$B$7:$B$27,DATOS!$I$2:$I$20000)&gt;0)*(DATOS!$K$2:$K$20000))/SUMPRODUCT((DATOS!$A$2:$A$20000=M163)*(DATOS!$G$2:$G$20000=CONFIG_METADATA!$B$4)*(COUNTIF(CONFIG_ASIGNATURAS!$B$7:$B$27,DATOS!$I$2:$I$20000)&gt;0)*1),"")))</f>
        <v/>
      </c>
      <c r="T163" t="str">
        <f>IF(S163="","",IF(S163="[FÓRMULA MANUAL]","",IFERROR(AVERAGEIFS(DATOS!$K$2:$K$20000,DATOS!$A$2:$A$20000,S163,DATOS!$G$2:$G$20000,CONFIG_METADATA!$B$4,DATOS!$I$2:$I$20000,"Armonía"),"")))</f>
        <v/>
      </c>
      <c r="U163" t="str">
        <f>IF(S163="","",IF(S163="[FÓRMULA MANUAL]","",IFERROR(AVERAGEIFS(DATOS!$K$2:$K$20000,DATOS!$A$2:$A$20000,S163,DATOS!$G$2:$G$20000,CONFIG_METADATA!$B$4,DATOS!$I$2:$I$20000,"Orquesta/Banda/Conjunto"),"")))</f>
        <v/>
      </c>
      <c r="V163" t="str">
        <f>IF(S163="","",IF(S163="[FÓRMULA MANUAL]","",IFERROR(AVERAGEIFS(DATOS!$K$2:$K$20000,DATOS!$A$2:$A$20000,S163,DATOS!$G$2:$G$20000,CONFIG_METADATA!$B$4,DATOS!$I$2:$I$20000,"Música de Cámara"),"")))</f>
        <v/>
      </c>
      <c r="W163" t="str">
        <f>IF(S163="","",IF(S163="[FÓRMULA MANUAL]","",IFERROR(SUMPRODUCT((DATOS!$A$2:$A$20000=S163)*(DATOS!$G$2:$G$20000=CONFIG_METADATA!$B$4)*(COUNTIF(CONFIG_ASIGNATURAS!$B$7:$B$27,DATOS!$I$2:$I$20000)&gt;0)*(DATOS!$K$2:$K$20000))/SUMPRODUCT((DATOS!$A$2:$A$20000=S163)*(DATOS!$G$2:$G$20000=CONFIG_METADATA!$B$4)*(COUNTIF(CONFIG_ASIGNATURAS!$B$7:$B$27,DATOS!$I$2:$I$20000)&gt;0)*1),"")))</f>
        <v/>
      </c>
      <c r="Z163" t="str">
        <f>IF(Y163="","",IF(Y163="[FÓRMULA MANUAL]","",IFERROR(AVERAGEIFS(DATOS!$K$2:$K$20000,DATOS!$A$2:$A$20000,Y163,DATOS!$G$2:$G$20000,CONFIG_METADATA!$B$4,DATOS!$I$2:$I$20000,"Análisis"),"")))</f>
        <v/>
      </c>
      <c r="AA163" t="str">
        <f>IF(Y163="","",IF(Y163="[FÓRMULA MANUAL]","",IFERROR(AVERAGEIFS(DATOS!$K$2:$K$20000,DATOS!$A$2:$A$20000,Y163,DATOS!$G$2:$G$20000,CONFIG_METADATA!$B$4,DATOS!$I$2:$I$20000,"Orquesta/Banda/Conjunto"),"")))</f>
        <v/>
      </c>
      <c r="AB163" t="str">
        <f>IF(Y163="","",IF(Y163="[FÓRMULA MANUAL]","",IFERROR(AVERAGEIFS(DATOS!$K$2:$K$20000,DATOS!$A$2:$A$20000,Y163,DATOS!$G$2:$G$20000,CONFIG_METADATA!$B$4,DATOS!$I$2:$I$20000,"Música de Cámara"),"")))</f>
        <v/>
      </c>
      <c r="AC163" t="str">
        <f>IF(Y163="","",IF(Y163="[FÓRMULA MANUAL]","",IFERROR(SUMPRODUCT((DATOS!$A$2:$A$20000=Y163)*(DATOS!$G$2:$G$20000=CONFIG_METADATA!$B$4)*(COUNTIF(CONFIG_ASIGNATURAS!$B$7:$B$27,DATOS!$I$2:$I$20000)&gt;0)*(DATOS!$K$2:$K$20000))/SUMPRODUCT((DATOS!$A$2:$A$20000=Y163)*(DATOS!$G$2:$G$20000=CONFIG_METADATA!$B$4)*(COUNTIF(CONFIG_ASIGNATURAS!$B$7:$B$27,DATOS!$I$2:$I$20000)&gt;0)*1),"")))</f>
        <v/>
      </c>
      <c r="AF163" t="str">
        <f>IF(AE163="","",IF(AE163="[FÓRMULA MANUAL]","",IFERROR(AVERAGEIFS(DATOS!$K$2:$K$20000,DATOS!$A$2:$A$20000,AE163,DATOS!$G$2:$G$20000,CONFIG_METADATA!$B$4,DATOS!$I$2:$I$20000,"Análisis"),"")))</f>
        <v/>
      </c>
      <c r="AG163" t="str">
        <f>IF(AE163="","",IF(AE163="[FÓRMULA MANUAL]","",IFERROR(AVERAGEIFS(DATOS!$K$2:$K$20000,DATOS!$A$2:$A$20000,AE163,DATOS!$G$2:$G$20000,CONFIG_METADATA!$B$4,DATOS!$I$2:$I$20000,"Orquesta/Banda/Conjunto"),"")))</f>
        <v/>
      </c>
      <c r="AH163" t="str">
        <f>IF(AE163="","",IF(AE163="[FÓRMULA MANUAL]","",IFERROR(AVERAGEIFS(DATOS!$K$2:$K$20000,DATOS!$A$2:$A$20000,AE163,DATOS!$G$2:$G$20000,CONFIG_METADATA!$B$4,DATOS!$I$2:$I$20000,"Música de Cámara"),"")))</f>
        <v/>
      </c>
      <c r="AI163" t="str">
        <f>IF(AE163="","",IF(AE163="[FÓRMULA MANUAL]","",IFERROR(SUMPRODUCT((DATOS!$A$2:$A$20000=AE163)*(DATOS!$G$2:$G$20000=CONFIG_METADATA!$B$4)*(COUNTIF(CONFIG_ASIGNATURAS!$B$7:$B$27,DATOS!$I$2:$I$20000)&gt;0)*(DATOS!$K$2:$K$20000))/SUMPRODUCT((DATOS!$A$2:$A$20000=AE163)*(DATOS!$G$2:$G$20000=CONFIG_METADATA!$B$4)*(COUNTIF(CONFIG_ASIGNATURAS!$B$7:$B$27,DATOS!$I$2:$I$20000)&gt;0)*1),"")))</f>
        <v/>
      </c>
    </row>
    <row r="164" spans="2:35" x14ac:dyDescent="0.2">
      <c r="B164" t="str">
        <f>IF(A164="","",IF(A164="[FÓRMULA MANUAL]","",IFERROR(AVERAGEIFS(DATOS!$K$2:$K$20000,DATOS!$A$2:$A$20000,A164,DATOS!$G$2:$G$20000,CONFIG_METADATA!$B$4,DATOS!$I$2:$I$20000,"Lenguaje Musical"),"")))</f>
        <v/>
      </c>
      <c r="C164" t="str">
        <f>IF(A164="","",IF(A164="[FÓRMULA MANUAL]","",IFERROR(AVERAGEIFS(DATOS!$K$2:$K$20000,DATOS!$A$2:$A$20000,A164,DATOS!$G$2:$G$20000,CONFIG_METADATA!$B$4,DATOS!$I$2:$I$20000,"Orquesta/Banda/Conjunto"),"")))</f>
        <v/>
      </c>
      <c r="D164" t="str">
        <f>IF(A164="","",IF(A164="[FÓRMULA MANUAL]","",IFERROR(AVERAGEIFS(DATOS!$K$2:$K$20000,DATOS!$A$2:$A$20000,A164,DATOS!$G$2:$G$20000,CONFIG_METADATA!$B$4,DATOS!$I$2:$I$20000,"Conjunto"),"")))</f>
        <v/>
      </c>
      <c r="E164" t="str">
        <f>IF(A164="","",IF(A164="[FÓRMULA MANUAL]","",IFERROR(SUMPRODUCT((DATOS!$A$2:$A$20000=A164)*(DATOS!$G$2:$G$20000=CONFIG_METADATA!$B$4)*(COUNTIF(CONFIG_ASIGNATURAS!$B$7:$B$27,DATOS!$I$2:$I$20000)&gt;0)*(DATOS!$K$2:$K$20000))/SUMPRODUCT((DATOS!$A$2:$A$20000=A164)*(DATOS!$G$2:$G$20000=CONFIG_METADATA!$B$4)*(COUNTIF(CONFIG_ASIGNATURAS!$B$7:$B$27,DATOS!$I$2:$I$20000)&gt;0)*1),"")))</f>
        <v/>
      </c>
      <c r="H164" t="str">
        <f>IF(G164="","",IF(G164="[FÓRMULA MANUAL]","",IFERROR(AVERAGEIFS(DATOS!$K$2:$K$20000,DATOS!$A$2:$A$20000,G164,DATOS!$G$2:$G$20000,CONFIG_METADATA!$B$4,DATOS!$I$2:$I$20000,"Lenguaje Musical"),"")))</f>
        <v/>
      </c>
      <c r="I164" t="str">
        <f>IF(G164="","",IF(G164="[FÓRMULA MANUAL]","",IFERROR(AVERAGEIFS(DATOS!$K$2:$K$20000,DATOS!$A$2:$A$20000,G164,DATOS!$G$2:$G$20000,CONFIG_METADATA!$B$4,DATOS!$I$2:$I$20000,"Orquesta/Banda/Conjunto"),"")))</f>
        <v/>
      </c>
      <c r="J164" t="str">
        <f>IF(G164="","",IF(G164="[FÓRMULA MANUAL]","",IFERROR(AVERAGEIFS(DATOS!$K$2:$K$20000,DATOS!$A$2:$A$20000,G164,DATOS!$G$2:$G$20000,CONFIG_METADATA!$B$4,DATOS!$I$2:$I$20000,"Conjunto"),"")))</f>
        <v/>
      </c>
      <c r="K164" t="str">
        <f>IF(G164="","",IF(G164="[FÓRMULA MANUAL]","",IFERROR(SUMPRODUCT((DATOS!$A$2:$A$20000=G164)*(DATOS!$G$2:$G$20000=CONFIG_METADATA!$B$4)*(COUNTIF(CONFIG_ASIGNATURAS!$B$7:$B$27,DATOS!$I$2:$I$20000)&gt;0)*(DATOS!$K$2:$K$20000))/SUMPRODUCT((DATOS!$A$2:$A$20000=G164)*(DATOS!$G$2:$G$20000=CONFIG_METADATA!$B$4)*(COUNTIF(CONFIG_ASIGNATURAS!$B$7:$B$27,DATOS!$I$2:$I$20000)&gt;0)*1),"")))</f>
        <v/>
      </c>
      <c r="N164" t="str">
        <f>IF(M164="","",IF(M164="[FÓRMULA MANUAL]","",IFERROR(AVERAGEIFS(DATOS!$K$2:$K$20000,DATOS!$A$2:$A$20000,M164,DATOS!$G$2:$G$20000,CONFIG_METADATA!$B$4,DATOS!$I$2:$I$20000,"Armonía"),"")))</f>
        <v/>
      </c>
      <c r="O164" t="str">
        <f>IF(M164="","",IF(M164="[FÓRMULA MANUAL]","",IFERROR(AVERAGEIFS(DATOS!$K$2:$K$20000,DATOS!$A$2:$A$20000,M164,DATOS!$G$2:$G$20000,CONFIG_METADATA!$B$4,DATOS!$I$2:$I$20000,"Orquesta/Banda/Conjunto"),"")))</f>
        <v/>
      </c>
      <c r="P164" t="str">
        <f>IF(M164="","",IF(M164="[FÓRMULA MANUAL]","",IFERROR(AVERAGEIFS(DATOS!$K$2:$K$20000,DATOS!$A$2:$A$20000,M164,DATOS!$G$2:$G$20000,CONFIG_METADATA!$B$4,DATOS!$I$2:$I$20000,"Música de Cámara"),"")))</f>
        <v/>
      </c>
      <c r="Q164" t="str">
        <f>IF(M164="","",IF(M164="[FÓRMULA MANUAL]","",IFERROR(SUMPRODUCT((DATOS!$A$2:$A$20000=M164)*(DATOS!$G$2:$G$20000=CONFIG_METADATA!$B$4)*(COUNTIF(CONFIG_ASIGNATURAS!$B$7:$B$27,DATOS!$I$2:$I$20000)&gt;0)*(DATOS!$K$2:$K$20000))/SUMPRODUCT((DATOS!$A$2:$A$20000=M164)*(DATOS!$G$2:$G$20000=CONFIG_METADATA!$B$4)*(COUNTIF(CONFIG_ASIGNATURAS!$B$7:$B$27,DATOS!$I$2:$I$20000)&gt;0)*1),"")))</f>
        <v/>
      </c>
      <c r="T164" t="str">
        <f>IF(S164="","",IF(S164="[FÓRMULA MANUAL]","",IFERROR(AVERAGEIFS(DATOS!$K$2:$K$20000,DATOS!$A$2:$A$20000,S164,DATOS!$G$2:$G$20000,CONFIG_METADATA!$B$4,DATOS!$I$2:$I$20000,"Armonía"),"")))</f>
        <v/>
      </c>
      <c r="U164" t="str">
        <f>IF(S164="","",IF(S164="[FÓRMULA MANUAL]","",IFERROR(AVERAGEIFS(DATOS!$K$2:$K$20000,DATOS!$A$2:$A$20000,S164,DATOS!$G$2:$G$20000,CONFIG_METADATA!$B$4,DATOS!$I$2:$I$20000,"Orquesta/Banda/Conjunto"),"")))</f>
        <v/>
      </c>
      <c r="V164" t="str">
        <f>IF(S164="","",IF(S164="[FÓRMULA MANUAL]","",IFERROR(AVERAGEIFS(DATOS!$K$2:$K$20000,DATOS!$A$2:$A$20000,S164,DATOS!$G$2:$G$20000,CONFIG_METADATA!$B$4,DATOS!$I$2:$I$20000,"Música de Cámara"),"")))</f>
        <v/>
      </c>
      <c r="W164" t="str">
        <f>IF(S164="","",IF(S164="[FÓRMULA MANUAL]","",IFERROR(SUMPRODUCT((DATOS!$A$2:$A$20000=S164)*(DATOS!$G$2:$G$20000=CONFIG_METADATA!$B$4)*(COUNTIF(CONFIG_ASIGNATURAS!$B$7:$B$27,DATOS!$I$2:$I$20000)&gt;0)*(DATOS!$K$2:$K$20000))/SUMPRODUCT((DATOS!$A$2:$A$20000=S164)*(DATOS!$G$2:$G$20000=CONFIG_METADATA!$B$4)*(COUNTIF(CONFIG_ASIGNATURAS!$B$7:$B$27,DATOS!$I$2:$I$20000)&gt;0)*1),"")))</f>
        <v/>
      </c>
      <c r="Z164" t="str">
        <f>IF(Y164="","",IF(Y164="[FÓRMULA MANUAL]","",IFERROR(AVERAGEIFS(DATOS!$K$2:$K$20000,DATOS!$A$2:$A$20000,Y164,DATOS!$G$2:$G$20000,CONFIG_METADATA!$B$4,DATOS!$I$2:$I$20000,"Análisis"),"")))</f>
        <v/>
      </c>
      <c r="AA164" t="str">
        <f>IF(Y164="","",IF(Y164="[FÓRMULA MANUAL]","",IFERROR(AVERAGEIFS(DATOS!$K$2:$K$20000,DATOS!$A$2:$A$20000,Y164,DATOS!$G$2:$G$20000,CONFIG_METADATA!$B$4,DATOS!$I$2:$I$20000,"Orquesta/Banda/Conjunto"),"")))</f>
        <v/>
      </c>
      <c r="AB164" t="str">
        <f>IF(Y164="","",IF(Y164="[FÓRMULA MANUAL]","",IFERROR(AVERAGEIFS(DATOS!$K$2:$K$20000,DATOS!$A$2:$A$20000,Y164,DATOS!$G$2:$G$20000,CONFIG_METADATA!$B$4,DATOS!$I$2:$I$20000,"Música de Cámara"),"")))</f>
        <v/>
      </c>
      <c r="AC164" t="str">
        <f>IF(Y164="","",IF(Y164="[FÓRMULA MANUAL]","",IFERROR(SUMPRODUCT((DATOS!$A$2:$A$20000=Y164)*(DATOS!$G$2:$G$20000=CONFIG_METADATA!$B$4)*(COUNTIF(CONFIG_ASIGNATURAS!$B$7:$B$27,DATOS!$I$2:$I$20000)&gt;0)*(DATOS!$K$2:$K$20000))/SUMPRODUCT((DATOS!$A$2:$A$20000=Y164)*(DATOS!$G$2:$G$20000=CONFIG_METADATA!$B$4)*(COUNTIF(CONFIG_ASIGNATURAS!$B$7:$B$27,DATOS!$I$2:$I$20000)&gt;0)*1),"")))</f>
        <v/>
      </c>
      <c r="AF164" t="str">
        <f>IF(AE164="","",IF(AE164="[FÓRMULA MANUAL]","",IFERROR(AVERAGEIFS(DATOS!$K$2:$K$20000,DATOS!$A$2:$A$20000,AE164,DATOS!$G$2:$G$20000,CONFIG_METADATA!$B$4,DATOS!$I$2:$I$20000,"Análisis"),"")))</f>
        <v/>
      </c>
      <c r="AG164" t="str">
        <f>IF(AE164="","",IF(AE164="[FÓRMULA MANUAL]","",IFERROR(AVERAGEIFS(DATOS!$K$2:$K$20000,DATOS!$A$2:$A$20000,AE164,DATOS!$G$2:$G$20000,CONFIG_METADATA!$B$4,DATOS!$I$2:$I$20000,"Orquesta/Banda/Conjunto"),"")))</f>
        <v/>
      </c>
      <c r="AH164" t="str">
        <f>IF(AE164="","",IF(AE164="[FÓRMULA MANUAL]","",IFERROR(AVERAGEIFS(DATOS!$K$2:$K$20000,DATOS!$A$2:$A$20000,AE164,DATOS!$G$2:$G$20000,CONFIG_METADATA!$B$4,DATOS!$I$2:$I$20000,"Música de Cámara"),"")))</f>
        <v/>
      </c>
      <c r="AI164" t="str">
        <f>IF(AE164="","",IF(AE164="[FÓRMULA MANUAL]","",IFERROR(SUMPRODUCT((DATOS!$A$2:$A$20000=AE164)*(DATOS!$G$2:$G$20000=CONFIG_METADATA!$B$4)*(COUNTIF(CONFIG_ASIGNATURAS!$B$7:$B$27,DATOS!$I$2:$I$20000)&gt;0)*(DATOS!$K$2:$K$20000))/SUMPRODUCT((DATOS!$A$2:$A$20000=AE164)*(DATOS!$G$2:$G$20000=CONFIG_METADATA!$B$4)*(COUNTIF(CONFIG_ASIGNATURAS!$B$7:$B$27,DATOS!$I$2:$I$20000)&gt;0)*1),"")))</f>
        <v/>
      </c>
    </row>
    <row r="165" spans="2:35" x14ac:dyDescent="0.2">
      <c r="B165" t="str">
        <f>IF(A165="","",IF(A165="[FÓRMULA MANUAL]","",IFERROR(AVERAGEIFS(DATOS!$K$2:$K$20000,DATOS!$A$2:$A$20000,A165,DATOS!$G$2:$G$20000,CONFIG_METADATA!$B$4,DATOS!$I$2:$I$20000,"Lenguaje Musical"),"")))</f>
        <v/>
      </c>
      <c r="C165" t="str">
        <f>IF(A165="","",IF(A165="[FÓRMULA MANUAL]","",IFERROR(AVERAGEIFS(DATOS!$K$2:$K$20000,DATOS!$A$2:$A$20000,A165,DATOS!$G$2:$G$20000,CONFIG_METADATA!$B$4,DATOS!$I$2:$I$20000,"Orquesta/Banda/Conjunto"),"")))</f>
        <v/>
      </c>
      <c r="D165" t="str">
        <f>IF(A165="","",IF(A165="[FÓRMULA MANUAL]","",IFERROR(AVERAGEIFS(DATOS!$K$2:$K$20000,DATOS!$A$2:$A$20000,A165,DATOS!$G$2:$G$20000,CONFIG_METADATA!$B$4,DATOS!$I$2:$I$20000,"Conjunto"),"")))</f>
        <v/>
      </c>
      <c r="E165" t="str">
        <f>IF(A165="","",IF(A165="[FÓRMULA MANUAL]","",IFERROR(SUMPRODUCT((DATOS!$A$2:$A$20000=A165)*(DATOS!$G$2:$G$20000=CONFIG_METADATA!$B$4)*(COUNTIF(CONFIG_ASIGNATURAS!$B$7:$B$27,DATOS!$I$2:$I$20000)&gt;0)*(DATOS!$K$2:$K$20000))/SUMPRODUCT((DATOS!$A$2:$A$20000=A165)*(DATOS!$G$2:$G$20000=CONFIG_METADATA!$B$4)*(COUNTIF(CONFIG_ASIGNATURAS!$B$7:$B$27,DATOS!$I$2:$I$20000)&gt;0)*1),"")))</f>
        <v/>
      </c>
      <c r="H165" t="str">
        <f>IF(G165="","",IF(G165="[FÓRMULA MANUAL]","",IFERROR(AVERAGEIFS(DATOS!$K$2:$K$20000,DATOS!$A$2:$A$20000,G165,DATOS!$G$2:$G$20000,CONFIG_METADATA!$B$4,DATOS!$I$2:$I$20000,"Lenguaje Musical"),"")))</f>
        <v/>
      </c>
      <c r="I165" t="str">
        <f>IF(G165="","",IF(G165="[FÓRMULA MANUAL]","",IFERROR(AVERAGEIFS(DATOS!$K$2:$K$20000,DATOS!$A$2:$A$20000,G165,DATOS!$G$2:$G$20000,CONFIG_METADATA!$B$4,DATOS!$I$2:$I$20000,"Orquesta/Banda/Conjunto"),"")))</f>
        <v/>
      </c>
      <c r="J165" t="str">
        <f>IF(G165="","",IF(G165="[FÓRMULA MANUAL]","",IFERROR(AVERAGEIFS(DATOS!$K$2:$K$20000,DATOS!$A$2:$A$20000,G165,DATOS!$G$2:$G$20000,CONFIG_METADATA!$B$4,DATOS!$I$2:$I$20000,"Conjunto"),"")))</f>
        <v/>
      </c>
      <c r="K165" t="str">
        <f>IF(G165="","",IF(G165="[FÓRMULA MANUAL]","",IFERROR(SUMPRODUCT((DATOS!$A$2:$A$20000=G165)*(DATOS!$G$2:$G$20000=CONFIG_METADATA!$B$4)*(COUNTIF(CONFIG_ASIGNATURAS!$B$7:$B$27,DATOS!$I$2:$I$20000)&gt;0)*(DATOS!$K$2:$K$20000))/SUMPRODUCT((DATOS!$A$2:$A$20000=G165)*(DATOS!$G$2:$G$20000=CONFIG_METADATA!$B$4)*(COUNTIF(CONFIG_ASIGNATURAS!$B$7:$B$27,DATOS!$I$2:$I$20000)&gt;0)*1),"")))</f>
        <v/>
      </c>
      <c r="N165" t="str">
        <f>IF(M165="","",IF(M165="[FÓRMULA MANUAL]","",IFERROR(AVERAGEIFS(DATOS!$K$2:$K$20000,DATOS!$A$2:$A$20000,M165,DATOS!$G$2:$G$20000,CONFIG_METADATA!$B$4,DATOS!$I$2:$I$20000,"Armonía"),"")))</f>
        <v/>
      </c>
      <c r="O165" t="str">
        <f>IF(M165="","",IF(M165="[FÓRMULA MANUAL]","",IFERROR(AVERAGEIFS(DATOS!$K$2:$K$20000,DATOS!$A$2:$A$20000,M165,DATOS!$G$2:$G$20000,CONFIG_METADATA!$B$4,DATOS!$I$2:$I$20000,"Orquesta/Banda/Conjunto"),"")))</f>
        <v/>
      </c>
      <c r="P165" t="str">
        <f>IF(M165="","",IF(M165="[FÓRMULA MANUAL]","",IFERROR(AVERAGEIFS(DATOS!$K$2:$K$20000,DATOS!$A$2:$A$20000,M165,DATOS!$G$2:$G$20000,CONFIG_METADATA!$B$4,DATOS!$I$2:$I$20000,"Música de Cámara"),"")))</f>
        <v/>
      </c>
      <c r="Q165" t="str">
        <f>IF(M165="","",IF(M165="[FÓRMULA MANUAL]","",IFERROR(SUMPRODUCT((DATOS!$A$2:$A$20000=M165)*(DATOS!$G$2:$G$20000=CONFIG_METADATA!$B$4)*(COUNTIF(CONFIG_ASIGNATURAS!$B$7:$B$27,DATOS!$I$2:$I$20000)&gt;0)*(DATOS!$K$2:$K$20000))/SUMPRODUCT((DATOS!$A$2:$A$20000=M165)*(DATOS!$G$2:$G$20000=CONFIG_METADATA!$B$4)*(COUNTIF(CONFIG_ASIGNATURAS!$B$7:$B$27,DATOS!$I$2:$I$20000)&gt;0)*1),"")))</f>
        <v/>
      </c>
      <c r="T165" t="str">
        <f>IF(S165="","",IF(S165="[FÓRMULA MANUAL]","",IFERROR(AVERAGEIFS(DATOS!$K$2:$K$20000,DATOS!$A$2:$A$20000,S165,DATOS!$G$2:$G$20000,CONFIG_METADATA!$B$4,DATOS!$I$2:$I$20000,"Armonía"),"")))</f>
        <v/>
      </c>
      <c r="U165" t="str">
        <f>IF(S165="","",IF(S165="[FÓRMULA MANUAL]","",IFERROR(AVERAGEIFS(DATOS!$K$2:$K$20000,DATOS!$A$2:$A$20000,S165,DATOS!$G$2:$G$20000,CONFIG_METADATA!$B$4,DATOS!$I$2:$I$20000,"Orquesta/Banda/Conjunto"),"")))</f>
        <v/>
      </c>
      <c r="V165" t="str">
        <f>IF(S165="","",IF(S165="[FÓRMULA MANUAL]","",IFERROR(AVERAGEIFS(DATOS!$K$2:$K$20000,DATOS!$A$2:$A$20000,S165,DATOS!$G$2:$G$20000,CONFIG_METADATA!$B$4,DATOS!$I$2:$I$20000,"Música de Cámara"),"")))</f>
        <v/>
      </c>
      <c r="W165" t="str">
        <f>IF(S165="","",IF(S165="[FÓRMULA MANUAL]","",IFERROR(SUMPRODUCT((DATOS!$A$2:$A$20000=S165)*(DATOS!$G$2:$G$20000=CONFIG_METADATA!$B$4)*(COUNTIF(CONFIG_ASIGNATURAS!$B$7:$B$27,DATOS!$I$2:$I$20000)&gt;0)*(DATOS!$K$2:$K$20000))/SUMPRODUCT((DATOS!$A$2:$A$20000=S165)*(DATOS!$G$2:$G$20000=CONFIG_METADATA!$B$4)*(COUNTIF(CONFIG_ASIGNATURAS!$B$7:$B$27,DATOS!$I$2:$I$20000)&gt;0)*1),"")))</f>
        <v/>
      </c>
      <c r="Z165" t="str">
        <f>IF(Y165="","",IF(Y165="[FÓRMULA MANUAL]","",IFERROR(AVERAGEIFS(DATOS!$K$2:$K$20000,DATOS!$A$2:$A$20000,Y165,DATOS!$G$2:$G$20000,CONFIG_METADATA!$B$4,DATOS!$I$2:$I$20000,"Análisis"),"")))</f>
        <v/>
      </c>
      <c r="AA165" t="str">
        <f>IF(Y165="","",IF(Y165="[FÓRMULA MANUAL]","",IFERROR(AVERAGEIFS(DATOS!$K$2:$K$20000,DATOS!$A$2:$A$20000,Y165,DATOS!$G$2:$G$20000,CONFIG_METADATA!$B$4,DATOS!$I$2:$I$20000,"Orquesta/Banda/Conjunto"),"")))</f>
        <v/>
      </c>
      <c r="AB165" t="str">
        <f>IF(Y165="","",IF(Y165="[FÓRMULA MANUAL]","",IFERROR(AVERAGEIFS(DATOS!$K$2:$K$20000,DATOS!$A$2:$A$20000,Y165,DATOS!$G$2:$G$20000,CONFIG_METADATA!$B$4,DATOS!$I$2:$I$20000,"Música de Cámara"),"")))</f>
        <v/>
      </c>
      <c r="AC165" t="str">
        <f>IF(Y165="","",IF(Y165="[FÓRMULA MANUAL]","",IFERROR(SUMPRODUCT((DATOS!$A$2:$A$20000=Y165)*(DATOS!$G$2:$G$20000=CONFIG_METADATA!$B$4)*(COUNTIF(CONFIG_ASIGNATURAS!$B$7:$B$27,DATOS!$I$2:$I$20000)&gt;0)*(DATOS!$K$2:$K$20000))/SUMPRODUCT((DATOS!$A$2:$A$20000=Y165)*(DATOS!$G$2:$G$20000=CONFIG_METADATA!$B$4)*(COUNTIF(CONFIG_ASIGNATURAS!$B$7:$B$27,DATOS!$I$2:$I$20000)&gt;0)*1),"")))</f>
        <v/>
      </c>
      <c r="AF165" t="str">
        <f>IF(AE165="","",IF(AE165="[FÓRMULA MANUAL]","",IFERROR(AVERAGEIFS(DATOS!$K$2:$K$20000,DATOS!$A$2:$A$20000,AE165,DATOS!$G$2:$G$20000,CONFIG_METADATA!$B$4,DATOS!$I$2:$I$20000,"Análisis"),"")))</f>
        <v/>
      </c>
      <c r="AG165" t="str">
        <f>IF(AE165="","",IF(AE165="[FÓRMULA MANUAL]","",IFERROR(AVERAGEIFS(DATOS!$K$2:$K$20000,DATOS!$A$2:$A$20000,AE165,DATOS!$G$2:$G$20000,CONFIG_METADATA!$B$4,DATOS!$I$2:$I$20000,"Orquesta/Banda/Conjunto"),"")))</f>
        <v/>
      </c>
      <c r="AH165" t="str">
        <f>IF(AE165="","",IF(AE165="[FÓRMULA MANUAL]","",IFERROR(AVERAGEIFS(DATOS!$K$2:$K$20000,DATOS!$A$2:$A$20000,AE165,DATOS!$G$2:$G$20000,CONFIG_METADATA!$B$4,DATOS!$I$2:$I$20000,"Música de Cámara"),"")))</f>
        <v/>
      </c>
      <c r="AI165" t="str">
        <f>IF(AE165="","",IF(AE165="[FÓRMULA MANUAL]","",IFERROR(SUMPRODUCT((DATOS!$A$2:$A$20000=AE165)*(DATOS!$G$2:$G$20000=CONFIG_METADATA!$B$4)*(COUNTIF(CONFIG_ASIGNATURAS!$B$7:$B$27,DATOS!$I$2:$I$20000)&gt;0)*(DATOS!$K$2:$K$20000))/SUMPRODUCT((DATOS!$A$2:$A$20000=AE165)*(DATOS!$G$2:$G$20000=CONFIG_METADATA!$B$4)*(COUNTIF(CONFIG_ASIGNATURAS!$B$7:$B$27,DATOS!$I$2:$I$20000)&gt;0)*1),"")))</f>
        <v/>
      </c>
    </row>
    <row r="166" spans="2:35" x14ac:dyDescent="0.2">
      <c r="B166" t="str">
        <f>IF(A166="","",IF(A166="[FÓRMULA MANUAL]","",IFERROR(AVERAGEIFS(DATOS!$K$2:$K$20000,DATOS!$A$2:$A$20000,A166,DATOS!$G$2:$G$20000,CONFIG_METADATA!$B$4,DATOS!$I$2:$I$20000,"Lenguaje Musical"),"")))</f>
        <v/>
      </c>
      <c r="C166" t="str">
        <f>IF(A166="","",IF(A166="[FÓRMULA MANUAL]","",IFERROR(AVERAGEIFS(DATOS!$K$2:$K$20000,DATOS!$A$2:$A$20000,A166,DATOS!$G$2:$G$20000,CONFIG_METADATA!$B$4,DATOS!$I$2:$I$20000,"Orquesta/Banda/Conjunto"),"")))</f>
        <v/>
      </c>
      <c r="D166" t="str">
        <f>IF(A166="","",IF(A166="[FÓRMULA MANUAL]","",IFERROR(AVERAGEIFS(DATOS!$K$2:$K$20000,DATOS!$A$2:$A$20000,A166,DATOS!$G$2:$G$20000,CONFIG_METADATA!$B$4,DATOS!$I$2:$I$20000,"Conjunto"),"")))</f>
        <v/>
      </c>
      <c r="E166" t="str">
        <f>IF(A166="","",IF(A166="[FÓRMULA MANUAL]","",IFERROR(SUMPRODUCT((DATOS!$A$2:$A$20000=A166)*(DATOS!$G$2:$G$20000=CONFIG_METADATA!$B$4)*(COUNTIF(CONFIG_ASIGNATURAS!$B$7:$B$27,DATOS!$I$2:$I$20000)&gt;0)*(DATOS!$K$2:$K$20000))/SUMPRODUCT((DATOS!$A$2:$A$20000=A166)*(DATOS!$G$2:$G$20000=CONFIG_METADATA!$B$4)*(COUNTIF(CONFIG_ASIGNATURAS!$B$7:$B$27,DATOS!$I$2:$I$20000)&gt;0)*1),"")))</f>
        <v/>
      </c>
      <c r="H166" t="str">
        <f>IF(G166="","",IF(G166="[FÓRMULA MANUAL]","",IFERROR(AVERAGEIFS(DATOS!$K$2:$K$20000,DATOS!$A$2:$A$20000,G166,DATOS!$G$2:$G$20000,CONFIG_METADATA!$B$4,DATOS!$I$2:$I$20000,"Lenguaje Musical"),"")))</f>
        <v/>
      </c>
      <c r="I166" t="str">
        <f>IF(G166="","",IF(G166="[FÓRMULA MANUAL]","",IFERROR(AVERAGEIFS(DATOS!$K$2:$K$20000,DATOS!$A$2:$A$20000,G166,DATOS!$G$2:$G$20000,CONFIG_METADATA!$B$4,DATOS!$I$2:$I$20000,"Orquesta/Banda/Conjunto"),"")))</f>
        <v/>
      </c>
      <c r="J166" t="str">
        <f>IF(G166="","",IF(G166="[FÓRMULA MANUAL]","",IFERROR(AVERAGEIFS(DATOS!$K$2:$K$20000,DATOS!$A$2:$A$20000,G166,DATOS!$G$2:$G$20000,CONFIG_METADATA!$B$4,DATOS!$I$2:$I$20000,"Conjunto"),"")))</f>
        <v/>
      </c>
      <c r="K166" t="str">
        <f>IF(G166="","",IF(G166="[FÓRMULA MANUAL]","",IFERROR(SUMPRODUCT((DATOS!$A$2:$A$20000=G166)*(DATOS!$G$2:$G$20000=CONFIG_METADATA!$B$4)*(COUNTIF(CONFIG_ASIGNATURAS!$B$7:$B$27,DATOS!$I$2:$I$20000)&gt;0)*(DATOS!$K$2:$K$20000))/SUMPRODUCT((DATOS!$A$2:$A$20000=G166)*(DATOS!$G$2:$G$20000=CONFIG_METADATA!$B$4)*(COUNTIF(CONFIG_ASIGNATURAS!$B$7:$B$27,DATOS!$I$2:$I$20000)&gt;0)*1),"")))</f>
        <v/>
      </c>
      <c r="N166" t="str">
        <f>IF(M166="","",IF(M166="[FÓRMULA MANUAL]","",IFERROR(AVERAGEIFS(DATOS!$K$2:$K$20000,DATOS!$A$2:$A$20000,M166,DATOS!$G$2:$G$20000,CONFIG_METADATA!$B$4,DATOS!$I$2:$I$20000,"Armonía"),"")))</f>
        <v/>
      </c>
      <c r="O166" t="str">
        <f>IF(M166="","",IF(M166="[FÓRMULA MANUAL]","",IFERROR(AVERAGEIFS(DATOS!$K$2:$K$20000,DATOS!$A$2:$A$20000,M166,DATOS!$G$2:$G$20000,CONFIG_METADATA!$B$4,DATOS!$I$2:$I$20000,"Orquesta/Banda/Conjunto"),"")))</f>
        <v/>
      </c>
      <c r="P166" t="str">
        <f>IF(M166="","",IF(M166="[FÓRMULA MANUAL]","",IFERROR(AVERAGEIFS(DATOS!$K$2:$K$20000,DATOS!$A$2:$A$20000,M166,DATOS!$G$2:$G$20000,CONFIG_METADATA!$B$4,DATOS!$I$2:$I$20000,"Música de Cámara"),"")))</f>
        <v/>
      </c>
      <c r="Q166" t="str">
        <f>IF(M166="","",IF(M166="[FÓRMULA MANUAL]","",IFERROR(SUMPRODUCT((DATOS!$A$2:$A$20000=M166)*(DATOS!$G$2:$G$20000=CONFIG_METADATA!$B$4)*(COUNTIF(CONFIG_ASIGNATURAS!$B$7:$B$27,DATOS!$I$2:$I$20000)&gt;0)*(DATOS!$K$2:$K$20000))/SUMPRODUCT((DATOS!$A$2:$A$20000=M166)*(DATOS!$G$2:$G$20000=CONFIG_METADATA!$B$4)*(COUNTIF(CONFIG_ASIGNATURAS!$B$7:$B$27,DATOS!$I$2:$I$20000)&gt;0)*1),"")))</f>
        <v/>
      </c>
      <c r="T166" t="str">
        <f>IF(S166="","",IF(S166="[FÓRMULA MANUAL]","",IFERROR(AVERAGEIFS(DATOS!$K$2:$K$20000,DATOS!$A$2:$A$20000,S166,DATOS!$G$2:$G$20000,CONFIG_METADATA!$B$4,DATOS!$I$2:$I$20000,"Armonía"),"")))</f>
        <v/>
      </c>
      <c r="U166" t="str">
        <f>IF(S166="","",IF(S166="[FÓRMULA MANUAL]","",IFERROR(AVERAGEIFS(DATOS!$K$2:$K$20000,DATOS!$A$2:$A$20000,S166,DATOS!$G$2:$G$20000,CONFIG_METADATA!$B$4,DATOS!$I$2:$I$20000,"Orquesta/Banda/Conjunto"),"")))</f>
        <v/>
      </c>
      <c r="V166" t="str">
        <f>IF(S166="","",IF(S166="[FÓRMULA MANUAL]","",IFERROR(AVERAGEIFS(DATOS!$K$2:$K$20000,DATOS!$A$2:$A$20000,S166,DATOS!$G$2:$G$20000,CONFIG_METADATA!$B$4,DATOS!$I$2:$I$20000,"Música de Cámara"),"")))</f>
        <v/>
      </c>
      <c r="W166" t="str">
        <f>IF(S166="","",IF(S166="[FÓRMULA MANUAL]","",IFERROR(SUMPRODUCT((DATOS!$A$2:$A$20000=S166)*(DATOS!$G$2:$G$20000=CONFIG_METADATA!$B$4)*(COUNTIF(CONFIG_ASIGNATURAS!$B$7:$B$27,DATOS!$I$2:$I$20000)&gt;0)*(DATOS!$K$2:$K$20000))/SUMPRODUCT((DATOS!$A$2:$A$20000=S166)*(DATOS!$G$2:$G$20000=CONFIG_METADATA!$B$4)*(COUNTIF(CONFIG_ASIGNATURAS!$B$7:$B$27,DATOS!$I$2:$I$20000)&gt;0)*1),"")))</f>
        <v/>
      </c>
      <c r="Z166" t="str">
        <f>IF(Y166="","",IF(Y166="[FÓRMULA MANUAL]","",IFERROR(AVERAGEIFS(DATOS!$K$2:$K$20000,DATOS!$A$2:$A$20000,Y166,DATOS!$G$2:$G$20000,CONFIG_METADATA!$B$4,DATOS!$I$2:$I$20000,"Análisis"),"")))</f>
        <v/>
      </c>
      <c r="AA166" t="str">
        <f>IF(Y166="","",IF(Y166="[FÓRMULA MANUAL]","",IFERROR(AVERAGEIFS(DATOS!$K$2:$K$20000,DATOS!$A$2:$A$20000,Y166,DATOS!$G$2:$G$20000,CONFIG_METADATA!$B$4,DATOS!$I$2:$I$20000,"Orquesta/Banda/Conjunto"),"")))</f>
        <v/>
      </c>
      <c r="AB166" t="str">
        <f>IF(Y166="","",IF(Y166="[FÓRMULA MANUAL]","",IFERROR(AVERAGEIFS(DATOS!$K$2:$K$20000,DATOS!$A$2:$A$20000,Y166,DATOS!$G$2:$G$20000,CONFIG_METADATA!$B$4,DATOS!$I$2:$I$20000,"Música de Cámara"),"")))</f>
        <v/>
      </c>
      <c r="AC166" t="str">
        <f>IF(Y166="","",IF(Y166="[FÓRMULA MANUAL]","",IFERROR(SUMPRODUCT((DATOS!$A$2:$A$20000=Y166)*(DATOS!$G$2:$G$20000=CONFIG_METADATA!$B$4)*(COUNTIF(CONFIG_ASIGNATURAS!$B$7:$B$27,DATOS!$I$2:$I$20000)&gt;0)*(DATOS!$K$2:$K$20000))/SUMPRODUCT((DATOS!$A$2:$A$20000=Y166)*(DATOS!$G$2:$G$20000=CONFIG_METADATA!$B$4)*(COUNTIF(CONFIG_ASIGNATURAS!$B$7:$B$27,DATOS!$I$2:$I$20000)&gt;0)*1),"")))</f>
        <v/>
      </c>
      <c r="AF166" t="str">
        <f>IF(AE166="","",IF(AE166="[FÓRMULA MANUAL]","",IFERROR(AVERAGEIFS(DATOS!$K$2:$K$20000,DATOS!$A$2:$A$20000,AE166,DATOS!$G$2:$G$20000,CONFIG_METADATA!$B$4,DATOS!$I$2:$I$20000,"Análisis"),"")))</f>
        <v/>
      </c>
      <c r="AG166" t="str">
        <f>IF(AE166="","",IF(AE166="[FÓRMULA MANUAL]","",IFERROR(AVERAGEIFS(DATOS!$K$2:$K$20000,DATOS!$A$2:$A$20000,AE166,DATOS!$G$2:$G$20000,CONFIG_METADATA!$B$4,DATOS!$I$2:$I$20000,"Orquesta/Banda/Conjunto"),"")))</f>
        <v/>
      </c>
      <c r="AH166" t="str">
        <f>IF(AE166="","",IF(AE166="[FÓRMULA MANUAL]","",IFERROR(AVERAGEIFS(DATOS!$K$2:$K$20000,DATOS!$A$2:$A$20000,AE166,DATOS!$G$2:$G$20000,CONFIG_METADATA!$B$4,DATOS!$I$2:$I$20000,"Música de Cámara"),"")))</f>
        <v/>
      </c>
      <c r="AI166" t="str">
        <f>IF(AE166="","",IF(AE166="[FÓRMULA MANUAL]","",IFERROR(SUMPRODUCT((DATOS!$A$2:$A$20000=AE166)*(DATOS!$G$2:$G$20000=CONFIG_METADATA!$B$4)*(COUNTIF(CONFIG_ASIGNATURAS!$B$7:$B$27,DATOS!$I$2:$I$20000)&gt;0)*(DATOS!$K$2:$K$20000))/SUMPRODUCT((DATOS!$A$2:$A$20000=AE166)*(DATOS!$G$2:$G$20000=CONFIG_METADATA!$B$4)*(COUNTIF(CONFIG_ASIGNATURAS!$B$7:$B$27,DATOS!$I$2:$I$20000)&gt;0)*1),"")))</f>
        <v/>
      </c>
    </row>
    <row r="167" spans="2:35" x14ac:dyDescent="0.2">
      <c r="B167" t="str">
        <f>IF(A167="","",IF(A167="[FÓRMULA MANUAL]","",IFERROR(AVERAGEIFS(DATOS!$K$2:$K$20000,DATOS!$A$2:$A$20000,A167,DATOS!$G$2:$G$20000,CONFIG_METADATA!$B$4,DATOS!$I$2:$I$20000,"Lenguaje Musical"),"")))</f>
        <v/>
      </c>
      <c r="C167" t="str">
        <f>IF(A167="","",IF(A167="[FÓRMULA MANUAL]","",IFERROR(AVERAGEIFS(DATOS!$K$2:$K$20000,DATOS!$A$2:$A$20000,A167,DATOS!$G$2:$G$20000,CONFIG_METADATA!$B$4,DATOS!$I$2:$I$20000,"Orquesta/Banda/Conjunto"),"")))</f>
        <v/>
      </c>
      <c r="D167" t="str">
        <f>IF(A167="","",IF(A167="[FÓRMULA MANUAL]","",IFERROR(AVERAGEIFS(DATOS!$K$2:$K$20000,DATOS!$A$2:$A$20000,A167,DATOS!$G$2:$G$20000,CONFIG_METADATA!$B$4,DATOS!$I$2:$I$20000,"Conjunto"),"")))</f>
        <v/>
      </c>
      <c r="E167" t="str">
        <f>IF(A167="","",IF(A167="[FÓRMULA MANUAL]","",IFERROR(SUMPRODUCT((DATOS!$A$2:$A$20000=A167)*(DATOS!$G$2:$G$20000=CONFIG_METADATA!$B$4)*(COUNTIF(CONFIG_ASIGNATURAS!$B$7:$B$27,DATOS!$I$2:$I$20000)&gt;0)*(DATOS!$K$2:$K$20000))/SUMPRODUCT((DATOS!$A$2:$A$20000=A167)*(DATOS!$G$2:$G$20000=CONFIG_METADATA!$B$4)*(COUNTIF(CONFIG_ASIGNATURAS!$B$7:$B$27,DATOS!$I$2:$I$20000)&gt;0)*1),"")))</f>
        <v/>
      </c>
      <c r="H167" t="str">
        <f>IF(G167="","",IF(G167="[FÓRMULA MANUAL]","",IFERROR(AVERAGEIFS(DATOS!$K$2:$K$20000,DATOS!$A$2:$A$20000,G167,DATOS!$G$2:$G$20000,CONFIG_METADATA!$B$4,DATOS!$I$2:$I$20000,"Lenguaje Musical"),"")))</f>
        <v/>
      </c>
      <c r="I167" t="str">
        <f>IF(G167="","",IF(G167="[FÓRMULA MANUAL]","",IFERROR(AVERAGEIFS(DATOS!$K$2:$K$20000,DATOS!$A$2:$A$20000,G167,DATOS!$G$2:$G$20000,CONFIG_METADATA!$B$4,DATOS!$I$2:$I$20000,"Orquesta/Banda/Conjunto"),"")))</f>
        <v/>
      </c>
      <c r="J167" t="str">
        <f>IF(G167="","",IF(G167="[FÓRMULA MANUAL]","",IFERROR(AVERAGEIFS(DATOS!$K$2:$K$20000,DATOS!$A$2:$A$20000,G167,DATOS!$G$2:$G$20000,CONFIG_METADATA!$B$4,DATOS!$I$2:$I$20000,"Conjunto"),"")))</f>
        <v/>
      </c>
      <c r="K167" t="str">
        <f>IF(G167="","",IF(G167="[FÓRMULA MANUAL]","",IFERROR(SUMPRODUCT((DATOS!$A$2:$A$20000=G167)*(DATOS!$G$2:$G$20000=CONFIG_METADATA!$B$4)*(COUNTIF(CONFIG_ASIGNATURAS!$B$7:$B$27,DATOS!$I$2:$I$20000)&gt;0)*(DATOS!$K$2:$K$20000))/SUMPRODUCT((DATOS!$A$2:$A$20000=G167)*(DATOS!$G$2:$G$20000=CONFIG_METADATA!$B$4)*(COUNTIF(CONFIG_ASIGNATURAS!$B$7:$B$27,DATOS!$I$2:$I$20000)&gt;0)*1),"")))</f>
        <v/>
      </c>
      <c r="N167" t="str">
        <f>IF(M167="","",IF(M167="[FÓRMULA MANUAL]","",IFERROR(AVERAGEIFS(DATOS!$K$2:$K$20000,DATOS!$A$2:$A$20000,M167,DATOS!$G$2:$G$20000,CONFIG_METADATA!$B$4,DATOS!$I$2:$I$20000,"Armonía"),"")))</f>
        <v/>
      </c>
      <c r="O167" t="str">
        <f>IF(M167="","",IF(M167="[FÓRMULA MANUAL]","",IFERROR(AVERAGEIFS(DATOS!$K$2:$K$20000,DATOS!$A$2:$A$20000,M167,DATOS!$G$2:$G$20000,CONFIG_METADATA!$B$4,DATOS!$I$2:$I$20000,"Orquesta/Banda/Conjunto"),"")))</f>
        <v/>
      </c>
      <c r="P167" t="str">
        <f>IF(M167="","",IF(M167="[FÓRMULA MANUAL]","",IFERROR(AVERAGEIFS(DATOS!$K$2:$K$20000,DATOS!$A$2:$A$20000,M167,DATOS!$G$2:$G$20000,CONFIG_METADATA!$B$4,DATOS!$I$2:$I$20000,"Música de Cámara"),"")))</f>
        <v/>
      </c>
      <c r="Q167" t="str">
        <f>IF(M167="","",IF(M167="[FÓRMULA MANUAL]","",IFERROR(SUMPRODUCT((DATOS!$A$2:$A$20000=M167)*(DATOS!$G$2:$G$20000=CONFIG_METADATA!$B$4)*(COUNTIF(CONFIG_ASIGNATURAS!$B$7:$B$27,DATOS!$I$2:$I$20000)&gt;0)*(DATOS!$K$2:$K$20000))/SUMPRODUCT((DATOS!$A$2:$A$20000=M167)*(DATOS!$G$2:$G$20000=CONFIG_METADATA!$B$4)*(COUNTIF(CONFIG_ASIGNATURAS!$B$7:$B$27,DATOS!$I$2:$I$20000)&gt;0)*1),"")))</f>
        <v/>
      </c>
      <c r="T167" t="str">
        <f>IF(S167="","",IF(S167="[FÓRMULA MANUAL]","",IFERROR(AVERAGEIFS(DATOS!$K$2:$K$20000,DATOS!$A$2:$A$20000,S167,DATOS!$G$2:$G$20000,CONFIG_METADATA!$B$4,DATOS!$I$2:$I$20000,"Armonía"),"")))</f>
        <v/>
      </c>
      <c r="U167" t="str">
        <f>IF(S167="","",IF(S167="[FÓRMULA MANUAL]","",IFERROR(AVERAGEIFS(DATOS!$K$2:$K$20000,DATOS!$A$2:$A$20000,S167,DATOS!$G$2:$G$20000,CONFIG_METADATA!$B$4,DATOS!$I$2:$I$20000,"Orquesta/Banda/Conjunto"),"")))</f>
        <v/>
      </c>
      <c r="V167" t="str">
        <f>IF(S167="","",IF(S167="[FÓRMULA MANUAL]","",IFERROR(AVERAGEIFS(DATOS!$K$2:$K$20000,DATOS!$A$2:$A$20000,S167,DATOS!$G$2:$G$20000,CONFIG_METADATA!$B$4,DATOS!$I$2:$I$20000,"Música de Cámara"),"")))</f>
        <v/>
      </c>
      <c r="W167" t="str">
        <f>IF(S167="","",IF(S167="[FÓRMULA MANUAL]","",IFERROR(SUMPRODUCT((DATOS!$A$2:$A$20000=S167)*(DATOS!$G$2:$G$20000=CONFIG_METADATA!$B$4)*(COUNTIF(CONFIG_ASIGNATURAS!$B$7:$B$27,DATOS!$I$2:$I$20000)&gt;0)*(DATOS!$K$2:$K$20000))/SUMPRODUCT((DATOS!$A$2:$A$20000=S167)*(DATOS!$G$2:$G$20000=CONFIG_METADATA!$B$4)*(COUNTIF(CONFIG_ASIGNATURAS!$B$7:$B$27,DATOS!$I$2:$I$20000)&gt;0)*1),"")))</f>
        <v/>
      </c>
      <c r="Z167" t="str">
        <f>IF(Y167="","",IF(Y167="[FÓRMULA MANUAL]","",IFERROR(AVERAGEIFS(DATOS!$K$2:$K$20000,DATOS!$A$2:$A$20000,Y167,DATOS!$G$2:$G$20000,CONFIG_METADATA!$B$4,DATOS!$I$2:$I$20000,"Análisis"),"")))</f>
        <v/>
      </c>
      <c r="AA167" t="str">
        <f>IF(Y167="","",IF(Y167="[FÓRMULA MANUAL]","",IFERROR(AVERAGEIFS(DATOS!$K$2:$K$20000,DATOS!$A$2:$A$20000,Y167,DATOS!$G$2:$G$20000,CONFIG_METADATA!$B$4,DATOS!$I$2:$I$20000,"Orquesta/Banda/Conjunto"),"")))</f>
        <v/>
      </c>
      <c r="AB167" t="str">
        <f>IF(Y167="","",IF(Y167="[FÓRMULA MANUAL]","",IFERROR(AVERAGEIFS(DATOS!$K$2:$K$20000,DATOS!$A$2:$A$20000,Y167,DATOS!$G$2:$G$20000,CONFIG_METADATA!$B$4,DATOS!$I$2:$I$20000,"Música de Cámara"),"")))</f>
        <v/>
      </c>
      <c r="AC167" t="str">
        <f>IF(Y167="","",IF(Y167="[FÓRMULA MANUAL]","",IFERROR(SUMPRODUCT((DATOS!$A$2:$A$20000=Y167)*(DATOS!$G$2:$G$20000=CONFIG_METADATA!$B$4)*(COUNTIF(CONFIG_ASIGNATURAS!$B$7:$B$27,DATOS!$I$2:$I$20000)&gt;0)*(DATOS!$K$2:$K$20000))/SUMPRODUCT((DATOS!$A$2:$A$20000=Y167)*(DATOS!$G$2:$G$20000=CONFIG_METADATA!$B$4)*(COUNTIF(CONFIG_ASIGNATURAS!$B$7:$B$27,DATOS!$I$2:$I$20000)&gt;0)*1),"")))</f>
        <v/>
      </c>
      <c r="AF167" t="str">
        <f>IF(AE167="","",IF(AE167="[FÓRMULA MANUAL]","",IFERROR(AVERAGEIFS(DATOS!$K$2:$K$20000,DATOS!$A$2:$A$20000,AE167,DATOS!$G$2:$G$20000,CONFIG_METADATA!$B$4,DATOS!$I$2:$I$20000,"Análisis"),"")))</f>
        <v/>
      </c>
      <c r="AG167" t="str">
        <f>IF(AE167="","",IF(AE167="[FÓRMULA MANUAL]","",IFERROR(AVERAGEIFS(DATOS!$K$2:$K$20000,DATOS!$A$2:$A$20000,AE167,DATOS!$G$2:$G$20000,CONFIG_METADATA!$B$4,DATOS!$I$2:$I$20000,"Orquesta/Banda/Conjunto"),"")))</f>
        <v/>
      </c>
      <c r="AH167" t="str">
        <f>IF(AE167="","",IF(AE167="[FÓRMULA MANUAL]","",IFERROR(AVERAGEIFS(DATOS!$K$2:$K$20000,DATOS!$A$2:$A$20000,AE167,DATOS!$G$2:$G$20000,CONFIG_METADATA!$B$4,DATOS!$I$2:$I$20000,"Música de Cámara"),"")))</f>
        <v/>
      </c>
      <c r="AI167" t="str">
        <f>IF(AE167="","",IF(AE167="[FÓRMULA MANUAL]","",IFERROR(SUMPRODUCT((DATOS!$A$2:$A$20000=AE167)*(DATOS!$G$2:$G$20000=CONFIG_METADATA!$B$4)*(COUNTIF(CONFIG_ASIGNATURAS!$B$7:$B$27,DATOS!$I$2:$I$20000)&gt;0)*(DATOS!$K$2:$K$20000))/SUMPRODUCT((DATOS!$A$2:$A$20000=AE167)*(DATOS!$G$2:$G$20000=CONFIG_METADATA!$B$4)*(COUNTIF(CONFIG_ASIGNATURAS!$B$7:$B$27,DATOS!$I$2:$I$20000)&gt;0)*1),"")))</f>
        <v/>
      </c>
    </row>
    <row r="168" spans="2:35" x14ac:dyDescent="0.2">
      <c r="B168" t="str">
        <f>IF(A168="","",IF(A168="[FÓRMULA MANUAL]","",IFERROR(AVERAGEIFS(DATOS!$K$2:$K$20000,DATOS!$A$2:$A$20000,A168,DATOS!$G$2:$G$20000,CONFIG_METADATA!$B$4,DATOS!$I$2:$I$20000,"Lenguaje Musical"),"")))</f>
        <v/>
      </c>
      <c r="C168" t="str">
        <f>IF(A168="","",IF(A168="[FÓRMULA MANUAL]","",IFERROR(AVERAGEIFS(DATOS!$K$2:$K$20000,DATOS!$A$2:$A$20000,A168,DATOS!$G$2:$G$20000,CONFIG_METADATA!$B$4,DATOS!$I$2:$I$20000,"Orquesta/Banda/Conjunto"),"")))</f>
        <v/>
      </c>
      <c r="D168" t="str">
        <f>IF(A168="","",IF(A168="[FÓRMULA MANUAL]","",IFERROR(AVERAGEIFS(DATOS!$K$2:$K$20000,DATOS!$A$2:$A$20000,A168,DATOS!$G$2:$G$20000,CONFIG_METADATA!$B$4,DATOS!$I$2:$I$20000,"Conjunto"),"")))</f>
        <v/>
      </c>
      <c r="E168" t="str">
        <f>IF(A168="","",IF(A168="[FÓRMULA MANUAL]","",IFERROR(SUMPRODUCT((DATOS!$A$2:$A$20000=A168)*(DATOS!$G$2:$G$20000=CONFIG_METADATA!$B$4)*(COUNTIF(CONFIG_ASIGNATURAS!$B$7:$B$27,DATOS!$I$2:$I$20000)&gt;0)*(DATOS!$K$2:$K$20000))/SUMPRODUCT((DATOS!$A$2:$A$20000=A168)*(DATOS!$G$2:$G$20000=CONFIG_METADATA!$B$4)*(COUNTIF(CONFIG_ASIGNATURAS!$B$7:$B$27,DATOS!$I$2:$I$20000)&gt;0)*1),"")))</f>
        <v/>
      </c>
      <c r="H168" t="str">
        <f>IF(G168="","",IF(G168="[FÓRMULA MANUAL]","",IFERROR(AVERAGEIFS(DATOS!$K$2:$K$20000,DATOS!$A$2:$A$20000,G168,DATOS!$G$2:$G$20000,CONFIG_METADATA!$B$4,DATOS!$I$2:$I$20000,"Lenguaje Musical"),"")))</f>
        <v/>
      </c>
      <c r="I168" t="str">
        <f>IF(G168="","",IF(G168="[FÓRMULA MANUAL]","",IFERROR(AVERAGEIFS(DATOS!$K$2:$K$20000,DATOS!$A$2:$A$20000,G168,DATOS!$G$2:$G$20000,CONFIG_METADATA!$B$4,DATOS!$I$2:$I$20000,"Orquesta/Banda/Conjunto"),"")))</f>
        <v/>
      </c>
      <c r="J168" t="str">
        <f>IF(G168="","",IF(G168="[FÓRMULA MANUAL]","",IFERROR(AVERAGEIFS(DATOS!$K$2:$K$20000,DATOS!$A$2:$A$20000,G168,DATOS!$G$2:$G$20000,CONFIG_METADATA!$B$4,DATOS!$I$2:$I$20000,"Conjunto"),"")))</f>
        <v/>
      </c>
      <c r="K168" t="str">
        <f>IF(G168="","",IF(G168="[FÓRMULA MANUAL]","",IFERROR(SUMPRODUCT((DATOS!$A$2:$A$20000=G168)*(DATOS!$G$2:$G$20000=CONFIG_METADATA!$B$4)*(COUNTIF(CONFIG_ASIGNATURAS!$B$7:$B$27,DATOS!$I$2:$I$20000)&gt;0)*(DATOS!$K$2:$K$20000))/SUMPRODUCT((DATOS!$A$2:$A$20000=G168)*(DATOS!$G$2:$G$20000=CONFIG_METADATA!$B$4)*(COUNTIF(CONFIG_ASIGNATURAS!$B$7:$B$27,DATOS!$I$2:$I$20000)&gt;0)*1),"")))</f>
        <v/>
      </c>
      <c r="N168" t="str">
        <f>IF(M168="","",IF(M168="[FÓRMULA MANUAL]","",IFERROR(AVERAGEIFS(DATOS!$K$2:$K$20000,DATOS!$A$2:$A$20000,M168,DATOS!$G$2:$G$20000,CONFIG_METADATA!$B$4,DATOS!$I$2:$I$20000,"Armonía"),"")))</f>
        <v/>
      </c>
      <c r="O168" t="str">
        <f>IF(M168="","",IF(M168="[FÓRMULA MANUAL]","",IFERROR(AVERAGEIFS(DATOS!$K$2:$K$20000,DATOS!$A$2:$A$20000,M168,DATOS!$G$2:$G$20000,CONFIG_METADATA!$B$4,DATOS!$I$2:$I$20000,"Orquesta/Banda/Conjunto"),"")))</f>
        <v/>
      </c>
      <c r="P168" t="str">
        <f>IF(M168="","",IF(M168="[FÓRMULA MANUAL]","",IFERROR(AVERAGEIFS(DATOS!$K$2:$K$20000,DATOS!$A$2:$A$20000,M168,DATOS!$G$2:$G$20000,CONFIG_METADATA!$B$4,DATOS!$I$2:$I$20000,"Música de Cámara"),"")))</f>
        <v/>
      </c>
      <c r="Q168" t="str">
        <f>IF(M168="","",IF(M168="[FÓRMULA MANUAL]","",IFERROR(SUMPRODUCT((DATOS!$A$2:$A$20000=M168)*(DATOS!$G$2:$G$20000=CONFIG_METADATA!$B$4)*(COUNTIF(CONFIG_ASIGNATURAS!$B$7:$B$27,DATOS!$I$2:$I$20000)&gt;0)*(DATOS!$K$2:$K$20000))/SUMPRODUCT((DATOS!$A$2:$A$20000=M168)*(DATOS!$G$2:$G$20000=CONFIG_METADATA!$B$4)*(COUNTIF(CONFIG_ASIGNATURAS!$B$7:$B$27,DATOS!$I$2:$I$20000)&gt;0)*1),"")))</f>
        <v/>
      </c>
      <c r="T168" t="str">
        <f>IF(S168="","",IF(S168="[FÓRMULA MANUAL]","",IFERROR(AVERAGEIFS(DATOS!$K$2:$K$20000,DATOS!$A$2:$A$20000,S168,DATOS!$G$2:$G$20000,CONFIG_METADATA!$B$4,DATOS!$I$2:$I$20000,"Armonía"),"")))</f>
        <v/>
      </c>
      <c r="U168" t="str">
        <f>IF(S168="","",IF(S168="[FÓRMULA MANUAL]","",IFERROR(AVERAGEIFS(DATOS!$K$2:$K$20000,DATOS!$A$2:$A$20000,S168,DATOS!$G$2:$G$20000,CONFIG_METADATA!$B$4,DATOS!$I$2:$I$20000,"Orquesta/Banda/Conjunto"),"")))</f>
        <v/>
      </c>
      <c r="V168" t="str">
        <f>IF(S168="","",IF(S168="[FÓRMULA MANUAL]","",IFERROR(AVERAGEIFS(DATOS!$K$2:$K$20000,DATOS!$A$2:$A$20000,S168,DATOS!$G$2:$G$20000,CONFIG_METADATA!$B$4,DATOS!$I$2:$I$20000,"Música de Cámara"),"")))</f>
        <v/>
      </c>
      <c r="W168" t="str">
        <f>IF(S168="","",IF(S168="[FÓRMULA MANUAL]","",IFERROR(SUMPRODUCT((DATOS!$A$2:$A$20000=S168)*(DATOS!$G$2:$G$20000=CONFIG_METADATA!$B$4)*(COUNTIF(CONFIG_ASIGNATURAS!$B$7:$B$27,DATOS!$I$2:$I$20000)&gt;0)*(DATOS!$K$2:$K$20000))/SUMPRODUCT((DATOS!$A$2:$A$20000=S168)*(DATOS!$G$2:$G$20000=CONFIG_METADATA!$B$4)*(COUNTIF(CONFIG_ASIGNATURAS!$B$7:$B$27,DATOS!$I$2:$I$20000)&gt;0)*1),"")))</f>
        <v/>
      </c>
      <c r="Z168" t="str">
        <f>IF(Y168="","",IF(Y168="[FÓRMULA MANUAL]","",IFERROR(AVERAGEIFS(DATOS!$K$2:$K$20000,DATOS!$A$2:$A$20000,Y168,DATOS!$G$2:$G$20000,CONFIG_METADATA!$B$4,DATOS!$I$2:$I$20000,"Análisis"),"")))</f>
        <v/>
      </c>
      <c r="AA168" t="str">
        <f>IF(Y168="","",IF(Y168="[FÓRMULA MANUAL]","",IFERROR(AVERAGEIFS(DATOS!$K$2:$K$20000,DATOS!$A$2:$A$20000,Y168,DATOS!$G$2:$G$20000,CONFIG_METADATA!$B$4,DATOS!$I$2:$I$20000,"Orquesta/Banda/Conjunto"),"")))</f>
        <v/>
      </c>
      <c r="AB168" t="str">
        <f>IF(Y168="","",IF(Y168="[FÓRMULA MANUAL]","",IFERROR(AVERAGEIFS(DATOS!$K$2:$K$20000,DATOS!$A$2:$A$20000,Y168,DATOS!$G$2:$G$20000,CONFIG_METADATA!$B$4,DATOS!$I$2:$I$20000,"Música de Cámara"),"")))</f>
        <v/>
      </c>
      <c r="AC168" t="str">
        <f>IF(Y168="","",IF(Y168="[FÓRMULA MANUAL]","",IFERROR(SUMPRODUCT((DATOS!$A$2:$A$20000=Y168)*(DATOS!$G$2:$G$20000=CONFIG_METADATA!$B$4)*(COUNTIF(CONFIG_ASIGNATURAS!$B$7:$B$27,DATOS!$I$2:$I$20000)&gt;0)*(DATOS!$K$2:$K$20000))/SUMPRODUCT((DATOS!$A$2:$A$20000=Y168)*(DATOS!$G$2:$G$20000=CONFIG_METADATA!$B$4)*(COUNTIF(CONFIG_ASIGNATURAS!$B$7:$B$27,DATOS!$I$2:$I$20000)&gt;0)*1),"")))</f>
        <v/>
      </c>
      <c r="AF168" t="str">
        <f>IF(AE168="","",IF(AE168="[FÓRMULA MANUAL]","",IFERROR(AVERAGEIFS(DATOS!$K$2:$K$20000,DATOS!$A$2:$A$20000,AE168,DATOS!$G$2:$G$20000,CONFIG_METADATA!$B$4,DATOS!$I$2:$I$20000,"Análisis"),"")))</f>
        <v/>
      </c>
      <c r="AG168" t="str">
        <f>IF(AE168="","",IF(AE168="[FÓRMULA MANUAL]","",IFERROR(AVERAGEIFS(DATOS!$K$2:$K$20000,DATOS!$A$2:$A$20000,AE168,DATOS!$G$2:$G$20000,CONFIG_METADATA!$B$4,DATOS!$I$2:$I$20000,"Orquesta/Banda/Conjunto"),"")))</f>
        <v/>
      </c>
      <c r="AH168" t="str">
        <f>IF(AE168="","",IF(AE168="[FÓRMULA MANUAL]","",IFERROR(AVERAGEIFS(DATOS!$K$2:$K$20000,DATOS!$A$2:$A$20000,AE168,DATOS!$G$2:$G$20000,CONFIG_METADATA!$B$4,DATOS!$I$2:$I$20000,"Música de Cámara"),"")))</f>
        <v/>
      </c>
      <c r="AI168" t="str">
        <f>IF(AE168="","",IF(AE168="[FÓRMULA MANUAL]","",IFERROR(SUMPRODUCT((DATOS!$A$2:$A$20000=AE168)*(DATOS!$G$2:$G$20000=CONFIG_METADATA!$B$4)*(COUNTIF(CONFIG_ASIGNATURAS!$B$7:$B$27,DATOS!$I$2:$I$20000)&gt;0)*(DATOS!$K$2:$K$20000))/SUMPRODUCT((DATOS!$A$2:$A$20000=AE168)*(DATOS!$G$2:$G$20000=CONFIG_METADATA!$B$4)*(COUNTIF(CONFIG_ASIGNATURAS!$B$7:$B$27,DATOS!$I$2:$I$20000)&gt;0)*1),"")))</f>
        <v/>
      </c>
    </row>
    <row r="169" spans="2:35" x14ac:dyDescent="0.2">
      <c r="B169" t="str">
        <f>IF(A169="","",IF(A169="[FÓRMULA MANUAL]","",IFERROR(AVERAGEIFS(DATOS!$K$2:$K$20000,DATOS!$A$2:$A$20000,A169,DATOS!$G$2:$G$20000,CONFIG_METADATA!$B$4,DATOS!$I$2:$I$20000,"Lenguaje Musical"),"")))</f>
        <v/>
      </c>
      <c r="C169" t="str">
        <f>IF(A169="","",IF(A169="[FÓRMULA MANUAL]","",IFERROR(AVERAGEIFS(DATOS!$K$2:$K$20000,DATOS!$A$2:$A$20000,A169,DATOS!$G$2:$G$20000,CONFIG_METADATA!$B$4,DATOS!$I$2:$I$20000,"Orquesta/Banda/Conjunto"),"")))</f>
        <v/>
      </c>
      <c r="D169" t="str">
        <f>IF(A169="","",IF(A169="[FÓRMULA MANUAL]","",IFERROR(AVERAGEIFS(DATOS!$K$2:$K$20000,DATOS!$A$2:$A$20000,A169,DATOS!$G$2:$G$20000,CONFIG_METADATA!$B$4,DATOS!$I$2:$I$20000,"Conjunto"),"")))</f>
        <v/>
      </c>
      <c r="E169" t="str">
        <f>IF(A169="","",IF(A169="[FÓRMULA MANUAL]","",IFERROR(SUMPRODUCT((DATOS!$A$2:$A$20000=A169)*(DATOS!$G$2:$G$20000=CONFIG_METADATA!$B$4)*(COUNTIF(CONFIG_ASIGNATURAS!$B$7:$B$27,DATOS!$I$2:$I$20000)&gt;0)*(DATOS!$K$2:$K$20000))/SUMPRODUCT((DATOS!$A$2:$A$20000=A169)*(DATOS!$G$2:$G$20000=CONFIG_METADATA!$B$4)*(COUNTIF(CONFIG_ASIGNATURAS!$B$7:$B$27,DATOS!$I$2:$I$20000)&gt;0)*1),"")))</f>
        <v/>
      </c>
      <c r="H169" t="str">
        <f>IF(G169="","",IF(G169="[FÓRMULA MANUAL]","",IFERROR(AVERAGEIFS(DATOS!$K$2:$K$20000,DATOS!$A$2:$A$20000,G169,DATOS!$G$2:$G$20000,CONFIG_METADATA!$B$4,DATOS!$I$2:$I$20000,"Lenguaje Musical"),"")))</f>
        <v/>
      </c>
      <c r="I169" t="str">
        <f>IF(G169="","",IF(G169="[FÓRMULA MANUAL]","",IFERROR(AVERAGEIFS(DATOS!$K$2:$K$20000,DATOS!$A$2:$A$20000,G169,DATOS!$G$2:$G$20000,CONFIG_METADATA!$B$4,DATOS!$I$2:$I$20000,"Orquesta/Banda/Conjunto"),"")))</f>
        <v/>
      </c>
      <c r="J169" t="str">
        <f>IF(G169="","",IF(G169="[FÓRMULA MANUAL]","",IFERROR(AVERAGEIFS(DATOS!$K$2:$K$20000,DATOS!$A$2:$A$20000,G169,DATOS!$G$2:$G$20000,CONFIG_METADATA!$B$4,DATOS!$I$2:$I$20000,"Conjunto"),"")))</f>
        <v/>
      </c>
      <c r="K169" t="str">
        <f>IF(G169="","",IF(G169="[FÓRMULA MANUAL]","",IFERROR(SUMPRODUCT((DATOS!$A$2:$A$20000=G169)*(DATOS!$G$2:$G$20000=CONFIG_METADATA!$B$4)*(COUNTIF(CONFIG_ASIGNATURAS!$B$7:$B$27,DATOS!$I$2:$I$20000)&gt;0)*(DATOS!$K$2:$K$20000))/SUMPRODUCT((DATOS!$A$2:$A$20000=G169)*(DATOS!$G$2:$G$20000=CONFIG_METADATA!$B$4)*(COUNTIF(CONFIG_ASIGNATURAS!$B$7:$B$27,DATOS!$I$2:$I$20000)&gt;0)*1),"")))</f>
        <v/>
      </c>
      <c r="N169" t="str">
        <f>IF(M169="","",IF(M169="[FÓRMULA MANUAL]","",IFERROR(AVERAGEIFS(DATOS!$K$2:$K$20000,DATOS!$A$2:$A$20000,M169,DATOS!$G$2:$G$20000,CONFIG_METADATA!$B$4,DATOS!$I$2:$I$20000,"Armonía"),"")))</f>
        <v/>
      </c>
      <c r="O169" t="str">
        <f>IF(M169="","",IF(M169="[FÓRMULA MANUAL]","",IFERROR(AVERAGEIFS(DATOS!$K$2:$K$20000,DATOS!$A$2:$A$20000,M169,DATOS!$G$2:$G$20000,CONFIG_METADATA!$B$4,DATOS!$I$2:$I$20000,"Orquesta/Banda/Conjunto"),"")))</f>
        <v/>
      </c>
      <c r="P169" t="str">
        <f>IF(M169="","",IF(M169="[FÓRMULA MANUAL]","",IFERROR(AVERAGEIFS(DATOS!$K$2:$K$20000,DATOS!$A$2:$A$20000,M169,DATOS!$G$2:$G$20000,CONFIG_METADATA!$B$4,DATOS!$I$2:$I$20000,"Música de Cámara"),"")))</f>
        <v/>
      </c>
      <c r="Q169" t="str">
        <f>IF(M169="","",IF(M169="[FÓRMULA MANUAL]","",IFERROR(SUMPRODUCT((DATOS!$A$2:$A$20000=M169)*(DATOS!$G$2:$G$20000=CONFIG_METADATA!$B$4)*(COUNTIF(CONFIG_ASIGNATURAS!$B$7:$B$27,DATOS!$I$2:$I$20000)&gt;0)*(DATOS!$K$2:$K$20000))/SUMPRODUCT((DATOS!$A$2:$A$20000=M169)*(DATOS!$G$2:$G$20000=CONFIG_METADATA!$B$4)*(COUNTIF(CONFIG_ASIGNATURAS!$B$7:$B$27,DATOS!$I$2:$I$20000)&gt;0)*1),"")))</f>
        <v/>
      </c>
      <c r="T169" t="str">
        <f>IF(S169="","",IF(S169="[FÓRMULA MANUAL]","",IFERROR(AVERAGEIFS(DATOS!$K$2:$K$20000,DATOS!$A$2:$A$20000,S169,DATOS!$G$2:$G$20000,CONFIG_METADATA!$B$4,DATOS!$I$2:$I$20000,"Armonía"),"")))</f>
        <v/>
      </c>
      <c r="U169" t="str">
        <f>IF(S169="","",IF(S169="[FÓRMULA MANUAL]","",IFERROR(AVERAGEIFS(DATOS!$K$2:$K$20000,DATOS!$A$2:$A$20000,S169,DATOS!$G$2:$G$20000,CONFIG_METADATA!$B$4,DATOS!$I$2:$I$20000,"Orquesta/Banda/Conjunto"),"")))</f>
        <v/>
      </c>
      <c r="V169" t="str">
        <f>IF(S169="","",IF(S169="[FÓRMULA MANUAL]","",IFERROR(AVERAGEIFS(DATOS!$K$2:$K$20000,DATOS!$A$2:$A$20000,S169,DATOS!$G$2:$G$20000,CONFIG_METADATA!$B$4,DATOS!$I$2:$I$20000,"Música de Cámara"),"")))</f>
        <v/>
      </c>
      <c r="W169" t="str">
        <f>IF(S169="","",IF(S169="[FÓRMULA MANUAL]","",IFERROR(SUMPRODUCT((DATOS!$A$2:$A$20000=S169)*(DATOS!$G$2:$G$20000=CONFIG_METADATA!$B$4)*(COUNTIF(CONFIG_ASIGNATURAS!$B$7:$B$27,DATOS!$I$2:$I$20000)&gt;0)*(DATOS!$K$2:$K$20000))/SUMPRODUCT((DATOS!$A$2:$A$20000=S169)*(DATOS!$G$2:$G$20000=CONFIG_METADATA!$B$4)*(COUNTIF(CONFIG_ASIGNATURAS!$B$7:$B$27,DATOS!$I$2:$I$20000)&gt;0)*1),"")))</f>
        <v/>
      </c>
      <c r="Z169" t="str">
        <f>IF(Y169="","",IF(Y169="[FÓRMULA MANUAL]","",IFERROR(AVERAGEIFS(DATOS!$K$2:$K$20000,DATOS!$A$2:$A$20000,Y169,DATOS!$G$2:$G$20000,CONFIG_METADATA!$B$4,DATOS!$I$2:$I$20000,"Análisis"),"")))</f>
        <v/>
      </c>
      <c r="AA169" t="str">
        <f>IF(Y169="","",IF(Y169="[FÓRMULA MANUAL]","",IFERROR(AVERAGEIFS(DATOS!$K$2:$K$20000,DATOS!$A$2:$A$20000,Y169,DATOS!$G$2:$G$20000,CONFIG_METADATA!$B$4,DATOS!$I$2:$I$20000,"Orquesta/Banda/Conjunto"),"")))</f>
        <v/>
      </c>
      <c r="AB169" t="str">
        <f>IF(Y169="","",IF(Y169="[FÓRMULA MANUAL]","",IFERROR(AVERAGEIFS(DATOS!$K$2:$K$20000,DATOS!$A$2:$A$20000,Y169,DATOS!$G$2:$G$20000,CONFIG_METADATA!$B$4,DATOS!$I$2:$I$20000,"Música de Cámara"),"")))</f>
        <v/>
      </c>
      <c r="AC169" t="str">
        <f>IF(Y169="","",IF(Y169="[FÓRMULA MANUAL]","",IFERROR(SUMPRODUCT((DATOS!$A$2:$A$20000=Y169)*(DATOS!$G$2:$G$20000=CONFIG_METADATA!$B$4)*(COUNTIF(CONFIG_ASIGNATURAS!$B$7:$B$27,DATOS!$I$2:$I$20000)&gt;0)*(DATOS!$K$2:$K$20000))/SUMPRODUCT((DATOS!$A$2:$A$20000=Y169)*(DATOS!$G$2:$G$20000=CONFIG_METADATA!$B$4)*(COUNTIF(CONFIG_ASIGNATURAS!$B$7:$B$27,DATOS!$I$2:$I$20000)&gt;0)*1),"")))</f>
        <v/>
      </c>
      <c r="AF169" t="str">
        <f>IF(AE169="","",IF(AE169="[FÓRMULA MANUAL]","",IFERROR(AVERAGEIFS(DATOS!$K$2:$K$20000,DATOS!$A$2:$A$20000,AE169,DATOS!$G$2:$G$20000,CONFIG_METADATA!$B$4,DATOS!$I$2:$I$20000,"Análisis"),"")))</f>
        <v/>
      </c>
      <c r="AG169" t="str">
        <f>IF(AE169="","",IF(AE169="[FÓRMULA MANUAL]","",IFERROR(AVERAGEIFS(DATOS!$K$2:$K$20000,DATOS!$A$2:$A$20000,AE169,DATOS!$G$2:$G$20000,CONFIG_METADATA!$B$4,DATOS!$I$2:$I$20000,"Orquesta/Banda/Conjunto"),"")))</f>
        <v/>
      </c>
      <c r="AH169" t="str">
        <f>IF(AE169="","",IF(AE169="[FÓRMULA MANUAL]","",IFERROR(AVERAGEIFS(DATOS!$K$2:$K$20000,DATOS!$A$2:$A$20000,AE169,DATOS!$G$2:$G$20000,CONFIG_METADATA!$B$4,DATOS!$I$2:$I$20000,"Música de Cámara"),"")))</f>
        <v/>
      </c>
      <c r="AI169" t="str">
        <f>IF(AE169="","",IF(AE169="[FÓRMULA MANUAL]","",IFERROR(SUMPRODUCT((DATOS!$A$2:$A$20000=AE169)*(DATOS!$G$2:$G$20000=CONFIG_METADATA!$B$4)*(COUNTIF(CONFIG_ASIGNATURAS!$B$7:$B$27,DATOS!$I$2:$I$20000)&gt;0)*(DATOS!$K$2:$K$20000))/SUMPRODUCT((DATOS!$A$2:$A$20000=AE169)*(DATOS!$G$2:$G$20000=CONFIG_METADATA!$B$4)*(COUNTIF(CONFIG_ASIGNATURAS!$B$7:$B$27,DATOS!$I$2:$I$20000)&gt;0)*1),"")))</f>
        <v/>
      </c>
    </row>
    <row r="170" spans="2:35" x14ac:dyDescent="0.2">
      <c r="B170" t="str">
        <f>IF(A170="","",IF(A170="[FÓRMULA MANUAL]","",IFERROR(AVERAGEIFS(DATOS!$K$2:$K$20000,DATOS!$A$2:$A$20000,A170,DATOS!$G$2:$G$20000,CONFIG_METADATA!$B$4,DATOS!$I$2:$I$20000,"Lenguaje Musical"),"")))</f>
        <v/>
      </c>
      <c r="C170" t="str">
        <f>IF(A170="","",IF(A170="[FÓRMULA MANUAL]","",IFERROR(AVERAGEIFS(DATOS!$K$2:$K$20000,DATOS!$A$2:$A$20000,A170,DATOS!$G$2:$G$20000,CONFIG_METADATA!$B$4,DATOS!$I$2:$I$20000,"Orquesta/Banda/Conjunto"),"")))</f>
        <v/>
      </c>
      <c r="D170" t="str">
        <f>IF(A170="","",IF(A170="[FÓRMULA MANUAL]","",IFERROR(AVERAGEIFS(DATOS!$K$2:$K$20000,DATOS!$A$2:$A$20000,A170,DATOS!$G$2:$G$20000,CONFIG_METADATA!$B$4,DATOS!$I$2:$I$20000,"Conjunto"),"")))</f>
        <v/>
      </c>
      <c r="E170" t="str">
        <f>IF(A170="","",IF(A170="[FÓRMULA MANUAL]","",IFERROR(SUMPRODUCT((DATOS!$A$2:$A$20000=A170)*(DATOS!$G$2:$G$20000=CONFIG_METADATA!$B$4)*(COUNTIF(CONFIG_ASIGNATURAS!$B$7:$B$27,DATOS!$I$2:$I$20000)&gt;0)*(DATOS!$K$2:$K$20000))/SUMPRODUCT((DATOS!$A$2:$A$20000=A170)*(DATOS!$G$2:$G$20000=CONFIG_METADATA!$B$4)*(COUNTIF(CONFIG_ASIGNATURAS!$B$7:$B$27,DATOS!$I$2:$I$20000)&gt;0)*1),"")))</f>
        <v/>
      </c>
      <c r="H170" t="str">
        <f>IF(G170="","",IF(G170="[FÓRMULA MANUAL]","",IFERROR(AVERAGEIFS(DATOS!$K$2:$K$20000,DATOS!$A$2:$A$20000,G170,DATOS!$G$2:$G$20000,CONFIG_METADATA!$B$4,DATOS!$I$2:$I$20000,"Lenguaje Musical"),"")))</f>
        <v/>
      </c>
      <c r="I170" t="str">
        <f>IF(G170="","",IF(G170="[FÓRMULA MANUAL]","",IFERROR(AVERAGEIFS(DATOS!$K$2:$K$20000,DATOS!$A$2:$A$20000,G170,DATOS!$G$2:$G$20000,CONFIG_METADATA!$B$4,DATOS!$I$2:$I$20000,"Orquesta/Banda/Conjunto"),"")))</f>
        <v/>
      </c>
      <c r="J170" t="str">
        <f>IF(G170="","",IF(G170="[FÓRMULA MANUAL]","",IFERROR(AVERAGEIFS(DATOS!$K$2:$K$20000,DATOS!$A$2:$A$20000,G170,DATOS!$G$2:$G$20000,CONFIG_METADATA!$B$4,DATOS!$I$2:$I$20000,"Conjunto"),"")))</f>
        <v/>
      </c>
      <c r="K170" t="str">
        <f>IF(G170="","",IF(G170="[FÓRMULA MANUAL]","",IFERROR(SUMPRODUCT((DATOS!$A$2:$A$20000=G170)*(DATOS!$G$2:$G$20000=CONFIG_METADATA!$B$4)*(COUNTIF(CONFIG_ASIGNATURAS!$B$7:$B$27,DATOS!$I$2:$I$20000)&gt;0)*(DATOS!$K$2:$K$20000))/SUMPRODUCT((DATOS!$A$2:$A$20000=G170)*(DATOS!$G$2:$G$20000=CONFIG_METADATA!$B$4)*(COUNTIF(CONFIG_ASIGNATURAS!$B$7:$B$27,DATOS!$I$2:$I$20000)&gt;0)*1),"")))</f>
        <v/>
      </c>
      <c r="N170" t="str">
        <f>IF(M170="","",IF(M170="[FÓRMULA MANUAL]","",IFERROR(AVERAGEIFS(DATOS!$K$2:$K$20000,DATOS!$A$2:$A$20000,M170,DATOS!$G$2:$G$20000,CONFIG_METADATA!$B$4,DATOS!$I$2:$I$20000,"Armonía"),"")))</f>
        <v/>
      </c>
      <c r="O170" t="str">
        <f>IF(M170="","",IF(M170="[FÓRMULA MANUAL]","",IFERROR(AVERAGEIFS(DATOS!$K$2:$K$20000,DATOS!$A$2:$A$20000,M170,DATOS!$G$2:$G$20000,CONFIG_METADATA!$B$4,DATOS!$I$2:$I$20000,"Orquesta/Banda/Conjunto"),"")))</f>
        <v/>
      </c>
      <c r="P170" t="str">
        <f>IF(M170="","",IF(M170="[FÓRMULA MANUAL]","",IFERROR(AVERAGEIFS(DATOS!$K$2:$K$20000,DATOS!$A$2:$A$20000,M170,DATOS!$G$2:$G$20000,CONFIG_METADATA!$B$4,DATOS!$I$2:$I$20000,"Música de Cámara"),"")))</f>
        <v/>
      </c>
      <c r="Q170" t="str">
        <f>IF(M170="","",IF(M170="[FÓRMULA MANUAL]","",IFERROR(SUMPRODUCT((DATOS!$A$2:$A$20000=M170)*(DATOS!$G$2:$G$20000=CONFIG_METADATA!$B$4)*(COUNTIF(CONFIG_ASIGNATURAS!$B$7:$B$27,DATOS!$I$2:$I$20000)&gt;0)*(DATOS!$K$2:$K$20000))/SUMPRODUCT((DATOS!$A$2:$A$20000=M170)*(DATOS!$G$2:$G$20000=CONFIG_METADATA!$B$4)*(COUNTIF(CONFIG_ASIGNATURAS!$B$7:$B$27,DATOS!$I$2:$I$20000)&gt;0)*1),"")))</f>
        <v/>
      </c>
      <c r="T170" t="str">
        <f>IF(S170="","",IF(S170="[FÓRMULA MANUAL]","",IFERROR(AVERAGEIFS(DATOS!$K$2:$K$20000,DATOS!$A$2:$A$20000,S170,DATOS!$G$2:$G$20000,CONFIG_METADATA!$B$4,DATOS!$I$2:$I$20000,"Armonía"),"")))</f>
        <v/>
      </c>
      <c r="U170" t="str">
        <f>IF(S170="","",IF(S170="[FÓRMULA MANUAL]","",IFERROR(AVERAGEIFS(DATOS!$K$2:$K$20000,DATOS!$A$2:$A$20000,S170,DATOS!$G$2:$G$20000,CONFIG_METADATA!$B$4,DATOS!$I$2:$I$20000,"Orquesta/Banda/Conjunto"),"")))</f>
        <v/>
      </c>
      <c r="V170" t="str">
        <f>IF(S170="","",IF(S170="[FÓRMULA MANUAL]","",IFERROR(AVERAGEIFS(DATOS!$K$2:$K$20000,DATOS!$A$2:$A$20000,S170,DATOS!$G$2:$G$20000,CONFIG_METADATA!$B$4,DATOS!$I$2:$I$20000,"Música de Cámara"),"")))</f>
        <v/>
      </c>
      <c r="W170" t="str">
        <f>IF(S170="","",IF(S170="[FÓRMULA MANUAL]","",IFERROR(SUMPRODUCT((DATOS!$A$2:$A$20000=S170)*(DATOS!$G$2:$G$20000=CONFIG_METADATA!$B$4)*(COUNTIF(CONFIG_ASIGNATURAS!$B$7:$B$27,DATOS!$I$2:$I$20000)&gt;0)*(DATOS!$K$2:$K$20000))/SUMPRODUCT((DATOS!$A$2:$A$20000=S170)*(DATOS!$G$2:$G$20000=CONFIG_METADATA!$B$4)*(COUNTIF(CONFIG_ASIGNATURAS!$B$7:$B$27,DATOS!$I$2:$I$20000)&gt;0)*1),"")))</f>
        <v/>
      </c>
      <c r="Z170" t="str">
        <f>IF(Y170="","",IF(Y170="[FÓRMULA MANUAL]","",IFERROR(AVERAGEIFS(DATOS!$K$2:$K$20000,DATOS!$A$2:$A$20000,Y170,DATOS!$G$2:$G$20000,CONFIG_METADATA!$B$4,DATOS!$I$2:$I$20000,"Análisis"),"")))</f>
        <v/>
      </c>
      <c r="AA170" t="str">
        <f>IF(Y170="","",IF(Y170="[FÓRMULA MANUAL]","",IFERROR(AVERAGEIFS(DATOS!$K$2:$K$20000,DATOS!$A$2:$A$20000,Y170,DATOS!$G$2:$G$20000,CONFIG_METADATA!$B$4,DATOS!$I$2:$I$20000,"Orquesta/Banda/Conjunto"),"")))</f>
        <v/>
      </c>
      <c r="AB170" t="str">
        <f>IF(Y170="","",IF(Y170="[FÓRMULA MANUAL]","",IFERROR(AVERAGEIFS(DATOS!$K$2:$K$20000,DATOS!$A$2:$A$20000,Y170,DATOS!$G$2:$G$20000,CONFIG_METADATA!$B$4,DATOS!$I$2:$I$20000,"Música de Cámara"),"")))</f>
        <v/>
      </c>
      <c r="AC170" t="str">
        <f>IF(Y170="","",IF(Y170="[FÓRMULA MANUAL]","",IFERROR(SUMPRODUCT((DATOS!$A$2:$A$20000=Y170)*(DATOS!$G$2:$G$20000=CONFIG_METADATA!$B$4)*(COUNTIF(CONFIG_ASIGNATURAS!$B$7:$B$27,DATOS!$I$2:$I$20000)&gt;0)*(DATOS!$K$2:$K$20000))/SUMPRODUCT((DATOS!$A$2:$A$20000=Y170)*(DATOS!$G$2:$G$20000=CONFIG_METADATA!$B$4)*(COUNTIF(CONFIG_ASIGNATURAS!$B$7:$B$27,DATOS!$I$2:$I$20000)&gt;0)*1),"")))</f>
        <v/>
      </c>
      <c r="AF170" t="str">
        <f>IF(AE170="","",IF(AE170="[FÓRMULA MANUAL]","",IFERROR(AVERAGEIFS(DATOS!$K$2:$K$20000,DATOS!$A$2:$A$20000,AE170,DATOS!$G$2:$G$20000,CONFIG_METADATA!$B$4,DATOS!$I$2:$I$20000,"Análisis"),"")))</f>
        <v/>
      </c>
      <c r="AG170" t="str">
        <f>IF(AE170="","",IF(AE170="[FÓRMULA MANUAL]","",IFERROR(AVERAGEIFS(DATOS!$K$2:$K$20000,DATOS!$A$2:$A$20000,AE170,DATOS!$G$2:$G$20000,CONFIG_METADATA!$B$4,DATOS!$I$2:$I$20000,"Orquesta/Banda/Conjunto"),"")))</f>
        <v/>
      </c>
      <c r="AH170" t="str">
        <f>IF(AE170="","",IF(AE170="[FÓRMULA MANUAL]","",IFERROR(AVERAGEIFS(DATOS!$K$2:$K$20000,DATOS!$A$2:$A$20000,AE170,DATOS!$G$2:$G$20000,CONFIG_METADATA!$B$4,DATOS!$I$2:$I$20000,"Música de Cámara"),"")))</f>
        <v/>
      </c>
      <c r="AI170" t="str">
        <f>IF(AE170="","",IF(AE170="[FÓRMULA MANUAL]","",IFERROR(SUMPRODUCT((DATOS!$A$2:$A$20000=AE170)*(DATOS!$G$2:$G$20000=CONFIG_METADATA!$B$4)*(COUNTIF(CONFIG_ASIGNATURAS!$B$7:$B$27,DATOS!$I$2:$I$20000)&gt;0)*(DATOS!$K$2:$K$20000))/SUMPRODUCT((DATOS!$A$2:$A$20000=AE170)*(DATOS!$G$2:$G$20000=CONFIG_METADATA!$B$4)*(COUNTIF(CONFIG_ASIGNATURAS!$B$7:$B$27,DATOS!$I$2:$I$20000)&gt;0)*1),"")))</f>
        <v/>
      </c>
    </row>
    <row r="171" spans="2:35" x14ac:dyDescent="0.2">
      <c r="B171" t="str">
        <f>IF(A171="","",IF(A171="[FÓRMULA MANUAL]","",IFERROR(AVERAGEIFS(DATOS!$K$2:$K$20000,DATOS!$A$2:$A$20000,A171,DATOS!$G$2:$G$20000,CONFIG_METADATA!$B$4,DATOS!$I$2:$I$20000,"Lenguaje Musical"),"")))</f>
        <v/>
      </c>
      <c r="C171" t="str">
        <f>IF(A171="","",IF(A171="[FÓRMULA MANUAL]","",IFERROR(AVERAGEIFS(DATOS!$K$2:$K$20000,DATOS!$A$2:$A$20000,A171,DATOS!$G$2:$G$20000,CONFIG_METADATA!$B$4,DATOS!$I$2:$I$20000,"Orquesta/Banda/Conjunto"),"")))</f>
        <v/>
      </c>
      <c r="D171" t="str">
        <f>IF(A171="","",IF(A171="[FÓRMULA MANUAL]","",IFERROR(AVERAGEIFS(DATOS!$K$2:$K$20000,DATOS!$A$2:$A$20000,A171,DATOS!$G$2:$G$20000,CONFIG_METADATA!$B$4,DATOS!$I$2:$I$20000,"Conjunto"),"")))</f>
        <v/>
      </c>
      <c r="E171" t="str">
        <f>IF(A171="","",IF(A171="[FÓRMULA MANUAL]","",IFERROR(SUMPRODUCT((DATOS!$A$2:$A$20000=A171)*(DATOS!$G$2:$G$20000=CONFIG_METADATA!$B$4)*(COUNTIF(CONFIG_ASIGNATURAS!$B$7:$B$27,DATOS!$I$2:$I$20000)&gt;0)*(DATOS!$K$2:$K$20000))/SUMPRODUCT((DATOS!$A$2:$A$20000=A171)*(DATOS!$G$2:$G$20000=CONFIG_METADATA!$B$4)*(COUNTIF(CONFIG_ASIGNATURAS!$B$7:$B$27,DATOS!$I$2:$I$20000)&gt;0)*1),"")))</f>
        <v/>
      </c>
      <c r="H171" t="str">
        <f>IF(G171="","",IF(G171="[FÓRMULA MANUAL]","",IFERROR(AVERAGEIFS(DATOS!$K$2:$K$20000,DATOS!$A$2:$A$20000,G171,DATOS!$G$2:$G$20000,CONFIG_METADATA!$B$4,DATOS!$I$2:$I$20000,"Lenguaje Musical"),"")))</f>
        <v/>
      </c>
      <c r="I171" t="str">
        <f>IF(G171="","",IF(G171="[FÓRMULA MANUAL]","",IFERROR(AVERAGEIFS(DATOS!$K$2:$K$20000,DATOS!$A$2:$A$20000,G171,DATOS!$G$2:$G$20000,CONFIG_METADATA!$B$4,DATOS!$I$2:$I$20000,"Orquesta/Banda/Conjunto"),"")))</f>
        <v/>
      </c>
      <c r="J171" t="str">
        <f>IF(G171="","",IF(G171="[FÓRMULA MANUAL]","",IFERROR(AVERAGEIFS(DATOS!$K$2:$K$20000,DATOS!$A$2:$A$20000,G171,DATOS!$G$2:$G$20000,CONFIG_METADATA!$B$4,DATOS!$I$2:$I$20000,"Conjunto"),"")))</f>
        <v/>
      </c>
      <c r="K171" t="str">
        <f>IF(G171="","",IF(G171="[FÓRMULA MANUAL]","",IFERROR(SUMPRODUCT((DATOS!$A$2:$A$20000=G171)*(DATOS!$G$2:$G$20000=CONFIG_METADATA!$B$4)*(COUNTIF(CONFIG_ASIGNATURAS!$B$7:$B$27,DATOS!$I$2:$I$20000)&gt;0)*(DATOS!$K$2:$K$20000))/SUMPRODUCT((DATOS!$A$2:$A$20000=G171)*(DATOS!$G$2:$G$20000=CONFIG_METADATA!$B$4)*(COUNTIF(CONFIG_ASIGNATURAS!$B$7:$B$27,DATOS!$I$2:$I$20000)&gt;0)*1),"")))</f>
        <v/>
      </c>
      <c r="N171" t="str">
        <f>IF(M171="","",IF(M171="[FÓRMULA MANUAL]","",IFERROR(AVERAGEIFS(DATOS!$K$2:$K$20000,DATOS!$A$2:$A$20000,M171,DATOS!$G$2:$G$20000,CONFIG_METADATA!$B$4,DATOS!$I$2:$I$20000,"Armonía"),"")))</f>
        <v/>
      </c>
      <c r="O171" t="str">
        <f>IF(M171="","",IF(M171="[FÓRMULA MANUAL]","",IFERROR(AVERAGEIFS(DATOS!$K$2:$K$20000,DATOS!$A$2:$A$20000,M171,DATOS!$G$2:$G$20000,CONFIG_METADATA!$B$4,DATOS!$I$2:$I$20000,"Orquesta/Banda/Conjunto"),"")))</f>
        <v/>
      </c>
      <c r="P171" t="str">
        <f>IF(M171="","",IF(M171="[FÓRMULA MANUAL]","",IFERROR(AVERAGEIFS(DATOS!$K$2:$K$20000,DATOS!$A$2:$A$20000,M171,DATOS!$G$2:$G$20000,CONFIG_METADATA!$B$4,DATOS!$I$2:$I$20000,"Música de Cámara"),"")))</f>
        <v/>
      </c>
      <c r="Q171" t="str">
        <f>IF(M171="","",IF(M171="[FÓRMULA MANUAL]","",IFERROR(SUMPRODUCT((DATOS!$A$2:$A$20000=M171)*(DATOS!$G$2:$G$20000=CONFIG_METADATA!$B$4)*(COUNTIF(CONFIG_ASIGNATURAS!$B$7:$B$27,DATOS!$I$2:$I$20000)&gt;0)*(DATOS!$K$2:$K$20000))/SUMPRODUCT((DATOS!$A$2:$A$20000=M171)*(DATOS!$G$2:$G$20000=CONFIG_METADATA!$B$4)*(COUNTIF(CONFIG_ASIGNATURAS!$B$7:$B$27,DATOS!$I$2:$I$20000)&gt;0)*1),"")))</f>
        <v/>
      </c>
      <c r="T171" t="str">
        <f>IF(S171="","",IF(S171="[FÓRMULA MANUAL]","",IFERROR(AVERAGEIFS(DATOS!$K$2:$K$20000,DATOS!$A$2:$A$20000,S171,DATOS!$G$2:$G$20000,CONFIG_METADATA!$B$4,DATOS!$I$2:$I$20000,"Armonía"),"")))</f>
        <v/>
      </c>
      <c r="U171" t="str">
        <f>IF(S171="","",IF(S171="[FÓRMULA MANUAL]","",IFERROR(AVERAGEIFS(DATOS!$K$2:$K$20000,DATOS!$A$2:$A$20000,S171,DATOS!$G$2:$G$20000,CONFIG_METADATA!$B$4,DATOS!$I$2:$I$20000,"Orquesta/Banda/Conjunto"),"")))</f>
        <v/>
      </c>
      <c r="V171" t="str">
        <f>IF(S171="","",IF(S171="[FÓRMULA MANUAL]","",IFERROR(AVERAGEIFS(DATOS!$K$2:$K$20000,DATOS!$A$2:$A$20000,S171,DATOS!$G$2:$G$20000,CONFIG_METADATA!$B$4,DATOS!$I$2:$I$20000,"Música de Cámara"),"")))</f>
        <v/>
      </c>
      <c r="W171" t="str">
        <f>IF(S171="","",IF(S171="[FÓRMULA MANUAL]","",IFERROR(SUMPRODUCT((DATOS!$A$2:$A$20000=S171)*(DATOS!$G$2:$G$20000=CONFIG_METADATA!$B$4)*(COUNTIF(CONFIG_ASIGNATURAS!$B$7:$B$27,DATOS!$I$2:$I$20000)&gt;0)*(DATOS!$K$2:$K$20000))/SUMPRODUCT((DATOS!$A$2:$A$20000=S171)*(DATOS!$G$2:$G$20000=CONFIG_METADATA!$B$4)*(COUNTIF(CONFIG_ASIGNATURAS!$B$7:$B$27,DATOS!$I$2:$I$20000)&gt;0)*1),"")))</f>
        <v/>
      </c>
      <c r="Z171" t="str">
        <f>IF(Y171="","",IF(Y171="[FÓRMULA MANUAL]","",IFERROR(AVERAGEIFS(DATOS!$K$2:$K$20000,DATOS!$A$2:$A$20000,Y171,DATOS!$G$2:$G$20000,CONFIG_METADATA!$B$4,DATOS!$I$2:$I$20000,"Análisis"),"")))</f>
        <v/>
      </c>
      <c r="AA171" t="str">
        <f>IF(Y171="","",IF(Y171="[FÓRMULA MANUAL]","",IFERROR(AVERAGEIFS(DATOS!$K$2:$K$20000,DATOS!$A$2:$A$20000,Y171,DATOS!$G$2:$G$20000,CONFIG_METADATA!$B$4,DATOS!$I$2:$I$20000,"Orquesta/Banda/Conjunto"),"")))</f>
        <v/>
      </c>
      <c r="AB171" t="str">
        <f>IF(Y171="","",IF(Y171="[FÓRMULA MANUAL]","",IFERROR(AVERAGEIFS(DATOS!$K$2:$K$20000,DATOS!$A$2:$A$20000,Y171,DATOS!$G$2:$G$20000,CONFIG_METADATA!$B$4,DATOS!$I$2:$I$20000,"Música de Cámara"),"")))</f>
        <v/>
      </c>
      <c r="AC171" t="str">
        <f>IF(Y171="","",IF(Y171="[FÓRMULA MANUAL]","",IFERROR(SUMPRODUCT((DATOS!$A$2:$A$20000=Y171)*(DATOS!$G$2:$G$20000=CONFIG_METADATA!$B$4)*(COUNTIF(CONFIG_ASIGNATURAS!$B$7:$B$27,DATOS!$I$2:$I$20000)&gt;0)*(DATOS!$K$2:$K$20000))/SUMPRODUCT((DATOS!$A$2:$A$20000=Y171)*(DATOS!$G$2:$G$20000=CONFIG_METADATA!$B$4)*(COUNTIF(CONFIG_ASIGNATURAS!$B$7:$B$27,DATOS!$I$2:$I$20000)&gt;0)*1),"")))</f>
        <v/>
      </c>
      <c r="AF171" t="str">
        <f>IF(AE171="","",IF(AE171="[FÓRMULA MANUAL]","",IFERROR(AVERAGEIFS(DATOS!$K$2:$K$20000,DATOS!$A$2:$A$20000,AE171,DATOS!$G$2:$G$20000,CONFIG_METADATA!$B$4,DATOS!$I$2:$I$20000,"Análisis"),"")))</f>
        <v/>
      </c>
      <c r="AG171" t="str">
        <f>IF(AE171="","",IF(AE171="[FÓRMULA MANUAL]","",IFERROR(AVERAGEIFS(DATOS!$K$2:$K$20000,DATOS!$A$2:$A$20000,AE171,DATOS!$G$2:$G$20000,CONFIG_METADATA!$B$4,DATOS!$I$2:$I$20000,"Orquesta/Banda/Conjunto"),"")))</f>
        <v/>
      </c>
      <c r="AH171" t="str">
        <f>IF(AE171="","",IF(AE171="[FÓRMULA MANUAL]","",IFERROR(AVERAGEIFS(DATOS!$K$2:$K$20000,DATOS!$A$2:$A$20000,AE171,DATOS!$G$2:$G$20000,CONFIG_METADATA!$B$4,DATOS!$I$2:$I$20000,"Música de Cámara"),"")))</f>
        <v/>
      </c>
      <c r="AI171" t="str">
        <f>IF(AE171="","",IF(AE171="[FÓRMULA MANUAL]","",IFERROR(SUMPRODUCT((DATOS!$A$2:$A$20000=AE171)*(DATOS!$G$2:$G$20000=CONFIG_METADATA!$B$4)*(COUNTIF(CONFIG_ASIGNATURAS!$B$7:$B$27,DATOS!$I$2:$I$20000)&gt;0)*(DATOS!$K$2:$K$20000))/SUMPRODUCT((DATOS!$A$2:$A$20000=AE171)*(DATOS!$G$2:$G$20000=CONFIG_METADATA!$B$4)*(COUNTIF(CONFIG_ASIGNATURAS!$B$7:$B$27,DATOS!$I$2:$I$20000)&gt;0)*1),"")))</f>
        <v/>
      </c>
    </row>
    <row r="172" spans="2:35" x14ac:dyDescent="0.2">
      <c r="B172" t="str">
        <f>IF(A172="","",IF(A172="[FÓRMULA MANUAL]","",IFERROR(AVERAGEIFS(DATOS!$K$2:$K$20000,DATOS!$A$2:$A$20000,A172,DATOS!$G$2:$G$20000,CONFIG_METADATA!$B$4,DATOS!$I$2:$I$20000,"Lenguaje Musical"),"")))</f>
        <v/>
      </c>
      <c r="C172" t="str">
        <f>IF(A172="","",IF(A172="[FÓRMULA MANUAL]","",IFERROR(AVERAGEIFS(DATOS!$K$2:$K$20000,DATOS!$A$2:$A$20000,A172,DATOS!$G$2:$G$20000,CONFIG_METADATA!$B$4,DATOS!$I$2:$I$20000,"Orquesta/Banda/Conjunto"),"")))</f>
        <v/>
      </c>
      <c r="D172" t="str">
        <f>IF(A172="","",IF(A172="[FÓRMULA MANUAL]","",IFERROR(AVERAGEIFS(DATOS!$K$2:$K$20000,DATOS!$A$2:$A$20000,A172,DATOS!$G$2:$G$20000,CONFIG_METADATA!$B$4,DATOS!$I$2:$I$20000,"Conjunto"),"")))</f>
        <v/>
      </c>
      <c r="E172" t="str">
        <f>IF(A172="","",IF(A172="[FÓRMULA MANUAL]","",IFERROR(SUMPRODUCT((DATOS!$A$2:$A$20000=A172)*(DATOS!$G$2:$G$20000=CONFIG_METADATA!$B$4)*(COUNTIF(CONFIG_ASIGNATURAS!$B$7:$B$27,DATOS!$I$2:$I$20000)&gt;0)*(DATOS!$K$2:$K$20000))/SUMPRODUCT((DATOS!$A$2:$A$20000=A172)*(DATOS!$G$2:$G$20000=CONFIG_METADATA!$B$4)*(COUNTIF(CONFIG_ASIGNATURAS!$B$7:$B$27,DATOS!$I$2:$I$20000)&gt;0)*1),"")))</f>
        <v/>
      </c>
      <c r="H172" t="str">
        <f>IF(G172="","",IF(G172="[FÓRMULA MANUAL]","",IFERROR(AVERAGEIFS(DATOS!$K$2:$K$20000,DATOS!$A$2:$A$20000,G172,DATOS!$G$2:$G$20000,CONFIG_METADATA!$B$4,DATOS!$I$2:$I$20000,"Lenguaje Musical"),"")))</f>
        <v/>
      </c>
      <c r="I172" t="str">
        <f>IF(G172="","",IF(G172="[FÓRMULA MANUAL]","",IFERROR(AVERAGEIFS(DATOS!$K$2:$K$20000,DATOS!$A$2:$A$20000,G172,DATOS!$G$2:$G$20000,CONFIG_METADATA!$B$4,DATOS!$I$2:$I$20000,"Orquesta/Banda/Conjunto"),"")))</f>
        <v/>
      </c>
      <c r="J172" t="str">
        <f>IF(G172="","",IF(G172="[FÓRMULA MANUAL]","",IFERROR(AVERAGEIFS(DATOS!$K$2:$K$20000,DATOS!$A$2:$A$20000,G172,DATOS!$G$2:$G$20000,CONFIG_METADATA!$B$4,DATOS!$I$2:$I$20000,"Conjunto"),"")))</f>
        <v/>
      </c>
      <c r="K172" t="str">
        <f>IF(G172="","",IF(G172="[FÓRMULA MANUAL]","",IFERROR(SUMPRODUCT((DATOS!$A$2:$A$20000=G172)*(DATOS!$G$2:$G$20000=CONFIG_METADATA!$B$4)*(COUNTIF(CONFIG_ASIGNATURAS!$B$7:$B$27,DATOS!$I$2:$I$20000)&gt;0)*(DATOS!$K$2:$K$20000))/SUMPRODUCT((DATOS!$A$2:$A$20000=G172)*(DATOS!$G$2:$G$20000=CONFIG_METADATA!$B$4)*(COUNTIF(CONFIG_ASIGNATURAS!$B$7:$B$27,DATOS!$I$2:$I$20000)&gt;0)*1),"")))</f>
        <v/>
      </c>
      <c r="N172" t="str">
        <f>IF(M172="","",IF(M172="[FÓRMULA MANUAL]","",IFERROR(AVERAGEIFS(DATOS!$K$2:$K$20000,DATOS!$A$2:$A$20000,M172,DATOS!$G$2:$G$20000,CONFIG_METADATA!$B$4,DATOS!$I$2:$I$20000,"Armonía"),"")))</f>
        <v/>
      </c>
      <c r="O172" t="str">
        <f>IF(M172="","",IF(M172="[FÓRMULA MANUAL]","",IFERROR(AVERAGEIFS(DATOS!$K$2:$K$20000,DATOS!$A$2:$A$20000,M172,DATOS!$G$2:$G$20000,CONFIG_METADATA!$B$4,DATOS!$I$2:$I$20000,"Orquesta/Banda/Conjunto"),"")))</f>
        <v/>
      </c>
      <c r="P172" t="str">
        <f>IF(M172="","",IF(M172="[FÓRMULA MANUAL]","",IFERROR(AVERAGEIFS(DATOS!$K$2:$K$20000,DATOS!$A$2:$A$20000,M172,DATOS!$G$2:$G$20000,CONFIG_METADATA!$B$4,DATOS!$I$2:$I$20000,"Música de Cámara"),"")))</f>
        <v/>
      </c>
      <c r="Q172" t="str">
        <f>IF(M172="","",IF(M172="[FÓRMULA MANUAL]","",IFERROR(SUMPRODUCT((DATOS!$A$2:$A$20000=M172)*(DATOS!$G$2:$G$20000=CONFIG_METADATA!$B$4)*(COUNTIF(CONFIG_ASIGNATURAS!$B$7:$B$27,DATOS!$I$2:$I$20000)&gt;0)*(DATOS!$K$2:$K$20000))/SUMPRODUCT((DATOS!$A$2:$A$20000=M172)*(DATOS!$G$2:$G$20000=CONFIG_METADATA!$B$4)*(COUNTIF(CONFIG_ASIGNATURAS!$B$7:$B$27,DATOS!$I$2:$I$20000)&gt;0)*1),"")))</f>
        <v/>
      </c>
      <c r="T172" t="str">
        <f>IF(S172="","",IF(S172="[FÓRMULA MANUAL]","",IFERROR(AVERAGEIFS(DATOS!$K$2:$K$20000,DATOS!$A$2:$A$20000,S172,DATOS!$G$2:$G$20000,CONFIG_METADATA!$B$4,DATOS!$I$2:$I$20000,"Armonía"),"")))</f>
        <v/>
      </c>
      <c r="U172" t="str">
        <f>IF(S172="","",IF(S172="[FÓRMULA MANUAL]","",IFERROR(AVERAGEIFS(DATOS!$K$2:$K$20000,DATOS!$A$2:$A$20000,S172,DATOS!$G$2:$G$20000,CONFIG_METADATA!$B$4,DATOS!$I$2:$I$20000,"Orquesta/Banda/Conjunto"),"")))</f>
        <v/>
      </c>
      <c r="V172" t="str">
        <f>IF(S172="","",IF(S172="[FÓRMULA MANUAL]","",IFERROR(AVERAGEIFS(DATOS!$K$2:$K$20000,DATOS!$A$2:$A$20000,S172,DATOS!$G$2:$G$20000,CONFIG_METADATA!$B$4,DATOS!$I$2:$I$20000,"Música de Cámara"),"")))</f>
        <v/>
      </c>
      <c r="W172" t="str">
        <f>IF(S172="","",IF(S172="[FÓRMULA MANUAL]","",IFERROR(SUMPRODUCT((DATOS!$A$2:$A$20000=S172)*(DATOS!$G$2:$G$20000=CONFIG_METADATA!$B$4)*(COUNTIF(CONFIG_ASIGNATURAS!$B$7:$B$27,DATOS!$I$2:$I$20000)&gt;0)*(DATOS!$K$2:$K$20000))/SUMPRODUCT((DATOS!$A$2:$A$20000=S172)*(DATOS!$G$2:$G$20000=CONFIG_METADATA!$B$4)*(COUNTIF(CONFIG_ASIGNATURAS!$B$7:$B$27,DATOS!$I$2:$I$20000)&gt;0)*1),"")))</f>
        <v/>
      </c>
      <c r="Z172" t="str">
        <f>IF(Y172="","",IF(Y172="[FÓRMULA MANUAL]","",IFERROR(AVERAGEIFS(DATOS!$K$2:$K$20000,DATOS!$A$2:$A$20000,Y172,DATOS!$G$2:$G$20000,CONFIG_METADATA!$B$4,DATOS!$I$2:$I$20000,"Análisis"),"")))</f>
        <v/>
      </c>
      <c r="AA172" t="str">
        <f>IF(Y172="","",IF(Y172="[FÓRMULA MANUAL]","",IFERROR(AVERAGEIFS(DATOS!$K$2:$K$20000,DATOS!$A$2:$A$20000,Y172,DATOS!$G$2:$G$20000,CONFIG_METADATA!$B$4,DATOS!$I$2:$I$20000,"Orquesta/Banda/Conjunto"),"")))</f>
        <v/>
      </c>
      <c r="AB172" t="str">
        <f>IF(Y172="","",IF(Y172="[FÓRMULA MANUAL]","",IFERROR(AVERAGEIFS(DATOS!$K$2:$K$20000,DATOS!$A$2:$A$20000,Y172,DATOS!$G$2:$G$20000,CONFIG_METADATA!$B$4,DATOS!$I$2:$I$20000,"Música de Cámara"),"")))</f>
        <v/>
      </c>
      <c r="AC172" t="str">
        <f>IF(Y172="","",IF(Y172="[FÓRMULA MANUAL]","",IFERROR(SUMPRODUCT((DATOS!$A$2:$A$20000=Y172)*(DATOS!$G$2:$G$20000=CONFIG_METADATA!$B$4)*(COUNTIF(CONFIG_ASIGNATURAS!$B$7:$B$27,DATOS!$I$2:$I$20000)&gt;0)*(DATOS!$K$2:$K$20000))/SUMPRODUCT((DATOS!$A$2:$A$20000=Y172)*(DATOS!$G$2:$G$20000=CONFIG_METADATA!$B$4)*(COUNTIF(CONFIG_ASIGNATURAS!$B$7:$B$27,DATOS!$I$2:$I$20000)&gt;0)*1),"")))</f>
        <v/>
      </c>
      <c r="AF172" t="str">
        <f>IF(AE172="","",IF(AE172="[FÓRMULA MANUAL]","",IFERROR(AVERAGEIFS(DATOS!$K$2:$K$20000,DATOS!$A$2:$A$20000,AE172,DATOS!$G$2:$G$20000,CONFIG_METADATA!$B$4,DATOS!$I$2:$I$20000,"Análisis"),"")))</f>
        <v/>
      </c>
      <c r="AG172" t="str">
        <f>IF(AE172="","",IF(AE172="[FÓRMULA MANUAL]","",IFERROR(AVERAGEIFS(DATOS!$K$2:$K$20000,DATOS!$A$2:$A$20000,AE172,DATOS!$G$2:$G$20000,CONFIG_METADATA!$B$4,DATOS!$I$2:$I$20000,"Orquesta/Banda/Conjunto"),"")))</f>
        <v/>
      </c>
      <c r="AH172" t="str">
        <f>IF(AE172="","",IF(AE172="[FÓRMULA MANUAL]","",IFERROR(AVERAGEIFS(DATOS!$K$2:$K$20000,DATOS!$A$2:$A$20000,AE172,DATOS!$G$2:$G$20000,CONFIG_METADATA!$B$4,DATOS!$I$2:$I$20000,"Música de Cámara"),"")))</f>
        <v/>
      </c>
      <c r="AI172" t="str">
        <f>IF(AE172="","",IF(AE172="[FÓRMULA MANUAL]","",IFERROR(SUMPRODUCT((DATOS!$A$2:$A$20000=AE172)*(DATOS!$G$2:$G$20000=CONFIG_METADATA!$B$4)*(COUNTIF(CONFIG_ASIGNATURAS!$B$7:$B$27,DATOS!$I$2:$I$20000)&gt;0)*(DATOS!$K$2:$K$20000))/SUMPRODUCT((DATOS!$A$2:$A$20000=AE172)*(DATOS!$G$2:$G$20000=CONFIG_METADATA!$B$4)*(COUNTIF(CONFIG_ASIGNATURAS!$B$7:$B$27,DATOS!$I$2:$I$20000)&gt;0)*1),"")))</f>
        <v/>
      </c>
    </row>
    <row r="173" spans="2:35" x14ac:dyDescent="0.2">
      <c r="B173" t="str">
        <f>IF(A173="","",IF(A173="[FÓRMULA MANUAL]","",IFERROR(AVERAGEIFS(DATOS!$K$2:$K$20000,DATOS!$A$2:$A$20000,A173,DATOS!$G$2:$G$20000,CONFIG_METADATA!$B$4,DATOS!$I$2:$I$20000,"Lenguaje Musical"),"")))</f>
        <v/>
      </c>
      <c r="C173" t="str">
        <f>IF(A173="","",IF(A173="[FÓRMULA MANUAL]","",IFERROR(AVERAGEIFS(DATOS!$K$2:$K$20000,DATOS!$A$2:$A$20000,A173,DATOS!$G$2:$G$20000,CONFIG_METADATA!$B$4,DATOS!$I$2:$I$20000,"Orquesta/Banda/Conjunto"),"")))</f>
        <v/>
      </c>
      <c r="D173" t="str">
        <f>IF(A173="","",IF(A173="[FÓRMULA MANUAL]","",IFERROR(AVERAGEIFS(DATOS!$K$2:$K$20000,DATOS!$A$2:$A$20000,A173,DATOS!$G$2:$G$20000,CONFIG_METADATA!$B$4,DATOS!$I$2:$I$20000,"Conjunto"),"")))</f>
        <v/>
      </c>
      <c r="E173" t="str">
        <f>IF(A173="","",IF(A173="[FÓRMULA MANUAL]","",IFERROR(SUMPRODUCT((DATOS!$A$2:$A$20000=A173)*(DATOS!$G$2:$G$20000=CONFIG_METADATA!$B$4)*(COUNTIF(CONFIG_ASIGNATURAS!$B$7:$B$27,DATOS!$I$2:$I$20000)&gt;0)*(DATOS!$K$2:$K$20000))/SUMPRODUCT((DATOS!$A$2:$A$20000=A173)*(DATOS!$G$2:$G$20000=CONFIG_METADATA!$B$4)*(COUNTIF(CONFIG_ASIGNATURAS!$B$7:$B$27,DATOS!$I$2:$I$20000)&gt;0)*1),"")))</f>
        <v/>
      </c>
      <c r="H173" t="str">
        <f>IF(G173="","",IF(G173="[FÓRMULA MANUAL]","",IFERROR(AVERAGEIFS(DATOS!$K$2:$K$20000,DATOS!$A$2:$A$20000,G173,DATOS!$G$2:$G$20000,CONFIG_METADATA!$B$4,DATOS!$I$2:$I$20000,"Lenguaje Musical"),"")))</f>
        <v/>
      </c>
      <c r="I173" t="str">
        <f>IF(G173="","",IF(G173="[FÓRMULA MANUAL]","",IFERROR(AVERAGEIFS(DATOS!$K$2:$K$20000,DATOS!$A$2:$A$20000,G173,DATOS!$G$2:$G$20000,CONFIG_METADATA!$B$4,DATOS!$I$2:$I$20000,"Orquesta/Banda/Conjunto"),"")))</f>
        <v/>
      </c>
      <c r="J173" t="str">
        <f>IF(G173="","",IF(G173="[FÓRMULA MANUAL]","",IFERROR(AVERAGEIFS(DATOS!$K$2:$K$20000,DATOS!$A$2:$A$20000,G173,DATOS!$G$2:$G$20000,CONFIG_METADATA!$B$4,DATOS!$I$2:$I$20000,"Conjunto"),"")))</f>
        <v/>
      </c>
      <c r="K173" t="str">
        <f>IF(G173="","",IF(G173="[FÓRMULA MANUAL]","",IFERROR(SUMPRODUCT((DATOS!$A$2:$A$20000=G173)*(DATOS!$G$2:$G$20000=CONFIG_METADATA!$B$4)*(COUNTIF(CONFIG_ASIGNATURAS!$B$7:$B$27,DATOS!$I$2:$I$20000)&gt;0)*(DATOS!$K$2:$K$20000))/SUMPRODUCT((DATOS!$A$2:$A$20000=G173)*(DATOS!$G$2:$G$20000=CONFIG_METADATA!$B$4)*(COUNTIF(CONFIG_ASIGNATURAS!$B$7:$B$27,DATOS!$I$2:$I$20000)&gt;0)*1),"")))</f>
        <v/>
      </c>
      <c r="N173" t="str">
        <f>IF(M173="","",IF(M173="[FÓRMULA MANUAL]","",IFERROR(AVERAGEIFS(DATOS!$K$2:$K$20000,DATOS!$A$2:$A$20000,M173,DATOS!$G$2:$G$20000,CONFIG_METADATA!$B$4,DATOS!$I$2:$I$20000,"Armonía"),"")))</f>
        <v/>
      </c>
      <c r="O173" t="str">
        <f>IF(M173="","",IF(M173="[FÓRMULA MANUAL]","",IFERROR(AVERAGEIFS(DATOS!$K$2:$K$20000,DATOS!$A$2:$A$20000,M173,DATOS!$G$2:$G$20000,CONFIG_METADATA!$B$4,DATOS!$I$2:$I$20000,"Orquesta/Banda/Conjunto"),"")))</f>
        <v/>
      </c>
      <c r="P173" t="str">
        <f>IF(M173="","",IF(M173="[FÓRMULA MANUAL]","",IFERROR(AVERAGEIFS(DATOS!$K$2:$K$20000,DATOS!$A$2:$A$20000,M173,DATOS!$G$2:$G$20000,CONFIG_METADATA!$B$4,DATOS!$I$2:$I$20000,"Música de Cámara"),"")))</f>
        <v/>
      </c>
      <c r="Q173" t="str">
        <f>IF(M173="","",IF(M173="[FÓRMULA MANUAL]","",IFERROR(SUMPRODUCT((DATOS!$A$2:$A$20000=M173)*(DATOS!$G$2:$G$20000=CONFIG_METADATA!$B$4)*(COUNTIF(CONFIG_ASIGNATURAS!$B$7:$B$27,DATOS!$I$2:$I$20000)&gt;0)*(DATOS!$K$2:$K$20000))/SUMPRODUCT((DATOS!$A$2:$A$20000=M173)*(DATOS!$G$2:$G$20000=CONFIG_METADATA!$B$4)*(COUNTIF(CONFIG_ASIGNATURAS!$B$7:$B$27,DATOS!$I$2:$I$20000)&gt;0)*1),"")))</f>
        <v/>
      </c>
      <c r="T173" t="str">
        <f>IF(S173="","",IF(S173="[FÓRMULA MANUAL]","",IFERROR(AVERAGEIFS(DATOS!$K$2:$K$20000,DATOS!$A$2:$A$20000,S173,DATOS!$G$2:$G$20000,CONFIG_METADATA!$B$4,DATOS!$I$2:$I$20000,"Armonía"),"")))</f>
        <v/>
      </c>
      <c r="U173" t="str">
        <f>IF(S173="","",IF(S173="[FÓRMULA MANUAL]","",IFERROR(AVERAGEIFS(DATOS!$K$2:$K$20000,DATOS!$A$2:$A$20000,S173,DATOS!$G$2:$G$20000,CONFIG_METADATA!$B$4,DATOS!$I$2:$I$20000,"Orquesta/Banda/Conjunto"),"")))</f>
        <v/>
      </c>
      <c r="V173" t="str">
        <f>IF(S173="","",IF(S173="[FÓRMULA MANUAL]","",IFERROR(AVERAGEIFS(DATOS!$K$2:$K$20000,DATOS!$A$2:$A$20000,S173,DATOS!$G$2:$G$20000,CONFIG_METADATA!$B$4,DATOS!$I$2:$I$20000,"Música de Cámara"),"")))</f>
        <v/>
      </c>
      <c r="W173" t="str">
        <f>IF(S173="","",IF(S173="[FÓRMULA MANUAL]","",IFERROR(SUMPRODUCT((DATOS!$A$2:$A$20000=S173)*(DATOS!$G$2:$G$20000=CONFIG_METADATA!$B$4)*(COUNTIF(CONFIG_ASIGNATURAS!$B$7:$B$27,DATOS!$I$2:$I$20000)&gt;0)*(DATOS!$K$2:$K$20000))/SUMPRODUCT((DATOS!$A$2:$A$20000=S173)*(DATOS!$G$2:$G$20000=CONFIG_METADATA!$B$4)*(COUNTIF(CONFIG_ASIGNATURAS!$B$7:$B$27,DATOS!$I$2:$I$20000)&gt;0)*1),"")))</f>
        <v/>
      </c>
      <c r="Z173" t="str">
        <f>IF(Y173="","",IF(Y173="[FÓRMULA MANUAL]","",IFERROR(AVERAGEIFS(DATOS!$K$2:$K$20000,DATOS!$A$2:$A$20000,Y173,DATOS!$G$2:$G$20000,CONFIG_METADATA!$B$4,DATOS!$I$2:$I$20000,"Análisis"),"")))</f>
        <v/>
      </c>
      <c r="AA173" t="str">
        <f>IF(Y173="","",IF(Y173="[FÓRMULA MANUAL]","",IFERROR(AVERAGEIFS(DATOS!$K$2:$K$20000,DATOS!$A$2:$A$20000,Y173,DATOS!$G$2:$G$20000,CONFIG_METADATA!$B$4,DATOS!$I$2:$I$20000,"Orquesta/Banda/Conjunto"),"")))</f>
        <v/>
      </c>
      <c r="AB173" t="str">
        <f>IF(Y173="","",IF(Y173="[FÓRMULA MANUAL]","",IFERROR(AVERAGEIFS(DATOS!$K$2:$K$20000,DATOS!$A$2:$A$20000,Y173,DATOS!$G$2:$G$20000,CONFIG_METADATA!$B$4,DATOS!$I$2:$I$20000,"Música de Cámara"),"")))</f>
        <v/>
      </c>
      <c r="AC173" t="str">
        <f>IF(Y173="","",IF(Y173="[FÓRMULA MANUAL]","",IFERROR(SUMPRODUCT((DATOS!$A$2:$A$20000=Y173)*(DATOS!$G$2:$G$20000=CONFIG_METADATA!$B$4)*(COUNTIF(CONFIG_ASIGNATURAS!$B$7:$B$27,DATOS!$I$2:$I$20000)&gt;0)*(DATOS!$K$2:$K$20000))/SUMPRODUCT((DATOS!$A$2:$A$20000=Y173)*(DATOS!$G$2:$G$20000=CONFIG_METADATA!$B$4)*(COUNTIF(CONFIG_ASIGNATURAS!$B$7:$B$27,DATOS!$I$2:$I$20000)&gt;0)*1),"")))</f>
        <v/>
      </c>
      <c r="AF173" t="str">
        <f>IF(AE173="","",IF(AE173="[FÓRMULA MANUAL]","",IFERROR(AVERAGEIFS(DATOS!$K$2:$K$20000,DATOS!$A$2:$A$20000,AE173,DATOS!$G$2:$G$20000,CONFIG_METADATA!$B$4,DATOS!$I$2:$I$20000,"Análisis"),"")))</f>
        <v/>
      </c>
      <c r="AG173" t="str">
        <f>IF(AE173="","",IF(AE173="[FÓRMULA MANUAL]","",IFERROR(AVERAGEIFS(DATOS!$K$2:$K$20000,DATOS!$A$2:$A$20000,AE173,DATOS!$G$2:$G$20000,CONFIG_METADATA!$B$4,DATOS!$I$2:$I$20000,"Orquesta/Banda/Conjunto"),"")))</f>
        <v/>
      </c>
      <c r="AH173" t="str">
        <f>IF(AE173="","",IF(AE173="[FÓRMULA MANUAL]","",IFERROR(AVERAGEIFS(DATOS!$K$2:$K$20000,DATOS!$A$2:$A$20000,AE173,DATOS!$G$2:$G$20000,CONFIG_METADATA!$B$4,DATOS!$I$2:$I$20000,"Música de Cámara"),"")))</f>
        <v/>
      </c>
      <c r="AI173" t="str">
        <f>IF(AE173="","",IF(AE173="[FÓRMULA MANUAL]","",IFERROR(SUMPRODUCT((DATOS!$A$2:$A$20000=AE173)*(DATOS!$G$2:$G$20000=CONFIG_METADATA!$B$4)*(COUNTIF(CONFIG_ASIGNATURAS!$B$7:$B$27,DATOS!$I$2:$I$20000)&gt;0)*(DATOS!$K$2:$K$20000))/SUMPRODUCT((DATOS!$A$2:$A$20000=AE173)*(DATOS!$G$2:$G$20000=CONFIG_METADATA!$B$4)*(COUNTIF(CONFIG_ASIGNATURAS!$B$7:$B$27,DATOS!$I$2:$I$20000)&gt;0)*1),"")))</f>
        <v/>
      </c>
    </row>
    <row r="174" spans="2:35" x14ac:dyDescent="0.2">
      <c r="B174" t="str">
        <f>IF(A174="","",IF(A174="[FÓRMULA MANUAL]","",IFERROR(AVERAGEIFS(DATOS!$K$2:$K$20000,DATOS!$A$2:$A$20000,A174,DATOS!$G$2:$G$20000,CONFIG_METADATA!$B$4,DATOS!$I$2:$I$20000,"Lenguaje Musical"),"")))</f>
        <v/>
      </c>
      <c r="C174" t="str">
        <f>IF(A174="","",IF(A174="[FÓRMULA MANUAL]","",IFERROR(AVERAGEIFS(DATOS!$K$2:$K$20000,DATOS!$A$2:$A$20000,A174,DATOS!$G$2:$G$20000,CONFIG_METADATA!$B$4,DATOS!$I$2:$I$20000,"Orquesta/Banda/Conjunto"),"")))</f>
        <v/>
      </c>
      <c r="D174" t="str">
        <f>IF(A174="","",IF(A174="[FÓRMULA MANUAL]","",IFERROR(AVERAGEIFS(DATOS!$K$2:$K$20000,DATOS!$A$2:$A$20000,A174,DATOS!$G$2:$G$20000,CONFIG_METADATA!$B$4,DATOS!$I$2:$I$20000,"Conjunto"),"")))</f>
        <v/>
      </c>
      <c r="E174" t="str">
        <f>IF(A174="","",IF(A174="[FÓRMULA MANUAL]","",IFERROR(SUMPRODUCT((DATOS!$A$2:$A$20000=A174)*(DATOS!$G$2:$G$20000=CONFIG_METADATA!$B$4)*(COUNTIF(CONFIG_ASIGNATURAS!$B$7:$B$27,DATOS!$I$2:$I$20000)&gt;0)*(DATOS!$K$2:$K$20000))/SUMPRODUCT((DATOS!$A$2:$A$20000=A174)*(DATOS!$G$2:$G$20000=CONFIG_METADATA!$B$4)*(COUNTIF(CONFIG_ASIGNATURAS!$B$7:$B$27,DATOS!$I$2:$I$20000)&gt;0)*1),"")))</f>
        <v/>
      </c>
      <c r="H174" t="str">
        <f>IF(G174="","",IF(G174="[FÓRMULA MANUAL]","",IFERROR(AVERAGEIFS(DATOS!$K$2:$K$20000,DATOS!$A$2:$A$20000,G174,DATOS!$G$2:$G$20000,CONFIG_METADATA!$B$4,DATOS!$I$2:$I$20000,"Lenguaje Musical"),"")))</f>
        <v/>
      </c>
      <c r="I174" t="str">
        <f>IF(G174="","",IF(G174="[FÓRMULA MANUAL]","",IFERROR(AVERAGEIFS(DATOS!$K$2:$K$20000,DATOS!$A$2:$A$20000,G174,DATOS!$G$2:$G$20000,CONFIG_METADATA!$B$4,DATOS!$I$2:$I$20000,"Orquesta/Banda/Conjunto"),"")))</f>
        <v/>
      </c>
      <c r="J174" t="str">
        <f>IF(G174="","",IF(G174="[FÓRMULA MANUAL]","",IFERROR(AVERAGEIFS(DATOS!$K$2:$K$20000,DATOS!$A$2:$A$20000,G174,DATOS!$G$2:$G$20000,CONFIG_METADATA!$B$4,DATOS!$I$2:$I$20000,"Conjunto"),"")))</f>
        <v/>
      </c>
      <c r="K174" t="str">
        <f>IF(G174="","",IF(G174="[FÓRMULA MANUAL]","",IFERROR(SUMPRODUCT((DATOS!$A$2:$A$20000=G174)*(DATOS!$G$2:$G$20000=CONFIG_METADATA!$B$4)*(COUNTIF(CONFIG_ASIGNATURAS!$B$7:$B$27,DATOS!$I$2:$I$20000)&gt;0)*(DATOS!$K$2:$K$20000))/SUMPRODUCT((DATOS!$A$2:$A$20000=G174)*(DATOS!$G$2:$G$20000=CONFIG_METADATA!$B$4)*(COUNTIF(CONFIG_ASIGNATURAS!$B$7:$B$27,DATOS!$I$2:$I$20000)&gt;0)*1),"")))</f>
        <v/>
      </c>
      <c r="N174" t="str">
        <f>IF(M174="","",IF(M174="[FÓRMULA MANUAL]","",IFERROR(AVERAGEIFS(DATOS!$K$2:$K$20000,DATOS!$A$2:$A$20000,M174,DATOS!$G$2:$G$20000,CONFIG_METADATA!$B$4,DATOS!$I$2:$I$20000,"Armonía"),"")))</f>
        <v/>
      </c>
      <c r="O174" t="str">
        <f>IF(M174="","",IF(M174="[FÓRMULA MANUAL]","",IFERROR(AVERAGEIFS(DATOS!$K$2:$K$20000,DATOS!$A$2:$A$20000,M174,DATOS!$G$2:$G$20000,CONFIG_METADATA!$B$4,DATOS!$I$2:$I$20000,"Orquesta/Banda/Conjunto"),"")))</f>
        <v/>
      </c>
      <c r="P174" t="str">
        <f>IF(M174="","",IF(M174="[FÓRMULA MANUAL]","",IFERROR(AVERAGEIFS(DATOS!$K$2:$K$20000,DATOS!$A$2:$A$20000,M174,DATOS!$G$2:$G$20000,CONFIG_METADATA!$B$4,DATOS!$I$2:$I$20000,"Música de Cámara"),"")))</f>
        <v/>
      </c>
      <c r="Q174" t="str">
        <f>IF(M174="","",IF(M174="[FÓRMULA MANUAL]","",IFERROR(SUMPRODUCT((DATOS!$A$2:$A$20000=M174)*(DATOS!$G$2:$G$20000=CONFIG_METADATA!$B$4)*(COUNTIF(CONFIG_ASIGNATURAS!$B$7:$B$27,DATOS!$I$2:$I$20000)&gt;0)*(DATOS!$K$2:$K$20000))/SUMPRODUCT((DATOS!$A$2:$A$20000=M174)*(DATOS!$G$2:$G$20000=CONFIG_METADATA!$B$4)*(COUNTIF(CONFIG_ASIGNATURAS!$B$7:$B$27,DATOS!$I$2:$I$20000)&gt;0)*1),"")))</f>
        <v/>
      </c>
      <c r="T174" t="str">
        <f>IF(S174="","",IF(S174="[FÓRMULA MANUAL]","",IFERROR(AVERAGEIFS(DATOS!$K$2:$K$20000,DATOS!$A$2:$A$20000,S174,DATOS!$G$2:$G$20000,CONFIG_METADATA!$B$4,DATOS!$I$2:$I$20000,"Armonía"),"")))</f>
        <v/>
      </c>
      <c r="U174" t="str">
        <f>IF(S174="","",IF(S174="[FÓRMULA MANUAL]","",IFERROR(AVERAGEIFS(DATOS!$K$2:$K$20000,DATOS!$A$2:$A$20000,S174,DATOS!$G$2:$G$20000,CONFIG_METADATA!$B$4,DATOS!$I$2:$I$20000,"Orquesta/Banda/Conjunto"),"")))</f>
        <v/>
      </c>
      <c r="V174" t="str">
        <f>IF(S174="","",IF(S174="[FÓRMULA MANUAL]","",IFERROR(AVERAGEIFS(DATOS!$K$2:$K$20000,DATOS!$A$2:$A$20000,S174,DATOS!$G$2:$G$20000,CONFIG_METADATA!$B$4,DATOS!$I$2:$I$20000,"Música de Cámara"),"")))</f>
        <v/>
      </c>
      <c r="W174" t="str">
        <f>IF(S174="","",IF(S174="[FÓRMULA MANUAL]","",IFERROR(SUMPRODUCT((DATOS!$A$2:$A$20000=S174)*(DATOS!$G$2:$G$20000=CONFIG_METADATA!$B$4)*(COUNTIF(CONFIG_ASIGNATURAS!$B$7:$B$27,DATOS!$I$2:$I$20000)&gt;0)*(DATOS!$K$2:$K$20000))/SUMPRODUCT((DATOS!$A$2:$A$20000=S174)*(DATOS!$G$2:$G$20000=CONFIG_METADATA!$B$4)*(COUNTIF(CONFIG_ASIGNATURAS!$B$7:$B$27,DATOS!$I$2:$I$20000)&gt;0)*1),"")))</f>
        <v/>
      </c>
      <c r="Z174" t="str">
        <f>IF(Y174="","",IF(Y174="[FÓRMULA MANUAL]","",IFERROR(AVERAGEIFS(DATOS!$K$2:$K$20000,DATOS!$A$2:$A$20000,Y174,DATOS!$G$2:$G$20000,CONFIG_METADATA!$B$4,DATOS!$I$2:$I$20000,"Análisis"),"")))</f>
        <v/>
      </c>
      <c r="AA174" t="str">
        <f>IF(Y174="","",IF(Y174="[FÓRMULA MANUAL]","",IFERROR(AVERAGEIFS(DATOS!$K$2:$K$20000,DATOS!$A$2:$A$20000,Y174,DATOS!$G$2:$G$20000,CONFIG_METADATA!$B$4,DATOS!$I$2:$I$20000,"Orquesta/Banda/Conjunto"),"")))</f>
        <v/>
      </c>
      <c r="AB174" t="str">
        <f>IF(Y174="","",IF(Y174="[FÓRMULA MANUAL]","",IFERROR(AVERAGEIFS(DATOS!$K$2:$K$20000,DATOS!$A$2:$A$20000,Y174,DATOS!$G$2:$G$20000,CONFIG_METADATA!$B$4,DATOS!$I$2:$I$20000,"Música de Cámara"),"")))</f>
        <v/>
      </c>
      <c r="AC174" t="str">
        <f>IF(Y174="","",IF(Y174="[FÓRMULA MANUAL]","",IFERROR(SUMPRODUCT((DATOS!$A$2:$A$20000=Y174)*(DATOS!$G$2:$G$20000=CONFIG_METADATA!$B$4)*(COUNTIF(CONFIG_ASIGNATURAS!$B$7:$B$27,DATOS!$I$2:$I$20000)&gt;0)*(DATOS!$K$2:$K$20000))/SUMPRODUCT((DATOS!$A$2:$A$20000=Y174)*(DATOS!$G$2:$G$20000=CONFIG_METADATA!$B$4)*(COUNTIF(CONFIG_ASIGNATURAS!$B$7:$B$27,DATOS!$I$2:$I$20000)&gt;0)*1),"")))</f>
        <v/>
      </c>
      <c r="AF174" t="str">
        <f>IF(AE174="","",IF(AE174="[FÓRMULA MANUAL]","",IFERROR(AVERAGEIFS(DATOS!$K$2:$K$20000,DATOS!$A$2:$A$20000,AE174,DATOS!$G$2:$G$20000,CONFIG_METADATA!$B$4,DATOS!$I$2:$I$20000,"Análisis"),"")))</f>
        <v/>
      </c>
      <c r="AG174" t="str">
        <f>IF(AE174="","",IF(AE174="[FÓRMULA MANUAL]","",IFERROR(AVERAGEIFS(DATOS!$K$2:$K$20000,DATOS!$A$2:$A$20000,AE174,DATOS!$G$2:$G$20000,CONFIG_METADATA!$B$4,DATOS!$I$2:$I$20000,"Orquesta/Banda/Conjunto"),"")))</f>
        <v/>
      </c>
      <c r="AH174" t="str">
        <f>IF(AE174="","",IF(AE174="[FÓRMULA MANUAL]","",IFERROR(AVERAGEIFS(DATOS!$K$2:$K$20000,DATOS!$A$2:$A$20000,AE174,DATOS!$G$2:$G$20000,CONFIG_METADATA!$B$4,DATOS!$I$2:$I$20000,"Música de Cámara"),"")))</f>
        <v/>
      </c>
      <c r="AI174" t="str">
        <f>IF(AE174="","",IF(AE174="[FÓRMULA MANUAL]","",IFERROR(SUMPRODUCT((DATOS!$A$2:$A$20000=AE174)*(DATOS!$G$2:$G$20000=CONFIG_METADATA!$B$4)*(COUNTIF(CONFIG_ASIGNATURAS!$B$7:$B$27,DATOS!$I$2:$I$20000)&gt;0)*(DATOS!$K$2:$K$20000))/SUMPRODUCT((DATOS!$A$2:$A$20000=AE174)*(DATOS!$G$2:$G$20000=CONFIG_METADATA!$B$4)*(COUNTIF(CONFIG_ASIGNATURAS!$B$7:$B$27,DATOS!$I$2:$I$20000)&gt;0)*1),"")))</f>
        <v/>
      </c>
    </row>
    <row r="175" spans="2:35" x14ac:dyDescent="0.2">
      <c r="B175" t="str">
        <f>IF(A175="","",IF(A175="[FÓRMULA MANUAL]","",IFERROR(AVERAGEIFS(DATOS!$K$2:$K$20000,DATOS!$A$2:$A$20000,A175,DATOS!$G$2:$G$20000,CONFIG_METADATA!$B$4,DATOS!$I$2:$I$20000,"Lenguaje Musical"),"")))</f>
        <v/>
      </c>
      <c r="C175" t="str">
        <f>IF(A175="","",IF(A175="[FÓRMULA MANUAL]","",IFERROR(AVERAGEIFS(DATOS!$K$2:$K$20000,DATOS!$A$2:$A$20000,A175,DATOS!$G$2:$G$20000,CONFIG_METADATA!$B$4,DATOS!$I$2:$I$20000,"Orquesta/Banda/Conjunto"),"")))</f>
        <v/>
      </c>
      <c r="D175" t="str">
        <f>IF(A175="","",IF(A175="[FÓRMULA MANUAL]","",IFERROR(AVERAGEIFS(DATOS!$K$2:$K$20000,DATOS!$A$2:$A$20000,A175,DATOS!$G$2:$G$20000,CONFIG_METADATA!$B$4,DATOS!$I$2:$I$20000,"Conjunto"),"")))</f>
        <v/>
      </c>
      <c r="E175" t="str">
        <f>IF(A175="","",IF(A175="[FÓRMULA MANUAL]","",IFERROR(SUMPRODUCT((DATOS!$A$2:$A$20000=A175)*(DATOS!$G$2:$G$20000=CONFIG_METADATA!$B$4)*(COUNTIF(CONFIG_ASIGNATURAS!$B$7:$B$27,DATOS!$I$2:$I$20000)&gt;0)*(DATOS!$K$2:$K$20000))/SUMPRODUCT((DATOS!$A$2:$A$20000=A175)*(DATOS!$G$2:$G$20000=CONFIG_METADATA!$B$4)*(COUNTIF(CONFIG_ASIGNATURAS!$B$7:$B$27,DATOS!$I$2:$I$20000)&gt;0)*1),"")))</f>
        <v/>
      </c>
      <c r="H175" t="str">
        <f>IF(G175="","",IF(G175="[FÓRMULA MANUAL]","",IFERROR(AVERAGEIFS(DATOS!$K$2:$K$20000,DATOS!$A$2:$A$20000,G175,DATOS!$G$2:$G$20000,CONFIG_METADATA!$B$4,DATOS!$I$2:$I$20000,"Lenguaje Musical"),"")))</f>
        <v/>
      </c>
      <c r="I175" t="str">
        <f>IF(G175="","",IF(G175="[FÓRMULA MANUAL]","",IFERROR(AVERAGEIFS(DATOS!$K$2:$K$20000,DATOS!$A$2:$A$20000,G175,DATOS!$G$2:$G$20000,CONFIG_METADATA!$B$4,DATOS!$I$2:$I$20000,"Orquesta/Banda/Conjunto"),"")))</f>
        <v/>
      </c>
      <c r="J175" t="str">
        <f>IF(G175="","",IF(G175="[FÓRMULA MANUAL]","",IFERROR(AVERAGEIFS(DATOS!$K$2:$K$20000,DATOS!$A$2:$A$20000,G175,DATOS!$G$2:$G$20000,CONFIG_METADATA!$B$4,DATOS!$I$2:$I$20000,"Conjunto"),"")))</f>
        <v/>
      </c>
      <c r="K175" t="str">
        <f>IF(G175="","",IF(G175="[FÓRMULA MANUAL]","",IFERROR(SUMPRODUCT((DATOS!$A$2:$A$20000=G175)*(DATOS!$G$2:$G$20000=CONFIG_METADATA!$B$4)*(COUNTIF(CONFIG_ASIGNATURAS!$B$7:$B$27,DATOS!$I$2:$I$20000)&gt;0)*(DATOS!$K$2:$K$20000))/SUMPRODUCT((DATOS!$A$2:$A$20000=G175)*(DATOS!$G$2:$G$20000=CONFIG_METADATA!$B$4)*(COUNTIF(CONFIG_ASIGNATURAS!$B$7:$B$27,DATOS!$I$2:$I$20000)&gt;0)*1),"")))</f>
        <v/>
      </c>
      <c r="N175" t="str">
        <f>IF(M175="","",IF(M175="[FÓRMULA MANUAL]","",IFERROR(AVERAGEIFS(DATOS!$K$2:$K$20000,DATOS!$A$2:$A$20000,M175,DATOS!$G$2:$G$20000,CONFIG_METADATA!$B$4,DATOS!$I$2:$I$20000,"Armonía"),"")))</f>
        <v/>
      </c>
      <c r="O175" t="str">
        <f>IF(M175="","",IF(M175="[FÓRMULA MANUAL]","",IFERROR(AVERAGEIFS(DATOS!$K$2:$K$20000,DATOS!$A$2:$A$20000,M175,DATOS!$G$2:$G$20000,CONFIG_METADATA!$B$4,DATOS!$I$2:$I$20000,"Orquesta/Banda/Conjunto"),"")))</f>
        <v/>
      </c>
      <c r="P175" t="str">
        <f>IF(M175="","",IF(M175="[FÓRMULA MANUAL]","",IFERROR(AVERAGEIFS(DATOS!$K$2:$K$20000,DATOS!$A$2:$A$20000,M175,DATOS!$G$2:$G$20000,CONFIG_METADATA!$B$4,DATOS!$I$2:$I$20000,"Música de Cámara"),"")))</f>
        <v/>
      </c>
      <c r="Q175" t="str">
        <f>IF(M175="","",IF(M175="[FÓRMULA MANUAL]","",IFERROR(SUMPRODUCT((DATOS!$A$2:$A$20000=M175)*(DATOS!$G$2:$G$20000=CONFIG_METADATA!$B$4)*(COUNTIF(CONFIG_ASIGNATURAS!$B$7:$B$27,DATOS!$I$2:$I$20000)&gt;0)*(DATOS!$K$2:$K$20000))/SUMPRODUCT((DATOS!$A$2:$A$20000=M175)*(DATOS!$G$2:$G$20000=CONFIG_METADATA!$B$4)*(COUNTIF(CONFIG_ASIGNATURAS!$B$7:$B$27,DATOS!$I$2:$I$20000)&gt;0)*1),"")))</f>
        <v/>
      </c>
      <c r="T175" t="str">
        <f>IF(S175="","",IF(S175="[FÓRMULA MANUAL]","",IFERROR(AVERAGEIFS(DATOS!$K$2:$K$20000,DATOS!$A$2:$A$20000,S175,DATOS!$G$2:$G$20000,CONFIG_METADATA!$B$4,DATOS!$I$2:$I$20000,"Armonía"),"")))</f>
        <v/>
      </c>
      <c r="U175" t="str">
        <f>IF(S175="","",IF(S175="[FÓRMULA MANUAL]","",IFERROR(AVERAGEIFS(DATOS!$K$2:$K$20000,DATOS!$A$2:$A$20000,S175,DATOS!$G$2:$G$20000,CONFIG_METADATA!$B$4,DATOS!$I$2:$I$20000,"Orquesta/Banda/Conjunto"),"")))</f>
        <v/>
      </c>
      <c r="V175" t="str">
        <f>IF(S175="","",IF(S175="[FÓRMULA MANUAL]","",IFERROR(AVERAGEIFS(DATOS!$K$2:$K$20000,DATOS!$A$2:$A$20000,S175,DATOS!$G$2:$G$20000,CONFIG_METADATA!$B$4,DATOS!$I$2:$I$20000,"Música de Cámara"),"")))</f>
        <v/>
      </c>
      <c r="W175" t="str">
        <f>IF(S175="","",IF(S175="[FÓRMULA MANUAL]","",IFERROR(SUMPRODUCT((DATOS!$A$2:$A$20000=S175)*(DATOS!$G$2:$G$20000=CONFIG_METADATA!$B$4)*(COUNTIF(CONFIG_ASIGNATURAS!$B$7:$B$27,DATOS!$I$2:$I$20000)&gt;0)*(DATOS!$K$2:$K$20000))/SUMPRODUCT((DATOS!$A$2:$A$20000=S175)*(DATOS!$G$2:$G$20000=CONFIG_METADATA!$B$4)*(COUNTIF(CONFIG_ASIGNATURAS!$B$7:$B$27,DATOS!$I$2:$I$20000)&gt;0)*1),"")))</f>
        <v/>
      </c>
      <c r="Z175" t="str">
        <f>IF(Y175="","",IF(Y175="[FÓRMULA MANUAL]","",IFERROR(AVERAGEIFS(DATOS!$K$2:$K$20000,DATOS!$A$2:$A$20000,Y175,DATOS!$G$2:$G$20000,CONFIG_METADATA!$B$4,DATOS!$I$2:$I$20000,"Análisis"),"")))</f>
        <v/>
      </c>
      <c r="AA175" t="str">
        <f>IF(Y175="","",IF(Y175="[FÓRMULA MANUAL]","",IFERROR(AVERAGEIFS(DATOS!$K$2:$K$20000,DATOS!$A$2:$A$20000,Y175,DATOS!$G$2:$G$20000,CONFIG_METADATA!$B$4,DATOS!$I$2:$I$20000,"Orquesta/Banda/Conjunto"),"")))</f>
        <v/>
      </c>
      <c r="AB175" t="str">
        <f>IF(Y175="","",IF(Y175="[FÓRMULA MANUAL]","",IFERROR(AVERAGEIFS(DATOS!$K$2:$K$20000,DATOS!$A$2:$A$20000,Y175,DATOS!$G$2:$G$20000,CONFIG_METADATA!$B$4,DATOS!$I$2:$I$20000,"Música de Cámara"),"")))</f>
        <v/>
      </c>
      <c r="AC175" t="str">
        <f>IF(Y175="","",IF(Y175="[FÓRMULA MANUAL]","",IFERROR(SUMPRODUCT((DATOS!$A$2:$A$20000=Y175)*(DATOS!$G$2:$G$20000=CONFIG_METADATA!$B$4)*(COUNTIF(CONFIG_ASIGNATURAS!$B$7:$B$27,DATOS!$I$2:$I$20000)&gt;0)*(DATOS!$K$2:$K$20000))/SUMPRODUCT((DATOS!$A$2:$A$20000=Y175)*(DATOS!$G$2:$G$20000=CONFIG_METADATA!$B$4)*(COUNTIF(CONFIG_ASIGNATURAS!$B$7:$B$27,DATOS!$I$2:$I$20000)&gt;0)*1),"")))</f>
        <v/>
      </c>
      <c r="AF175" t="str">
        <f>IF(AE175="","",IF(AE175="[FÓRMULA MANUAL]","",IFERROR(AVERAGEIFS(DATOS!$K$2:$K$20000,DATOS!$A$2:$A$20000,AE175,DATOS!$G$2:$G$20000,CONFIG_METADATA!$B$4,DATOS!$I$2:$I$20000,"Análisis"),"")))</f>
        <v/>
      </c>
      <c r="AG175" t="str">
        <f>IF(AE175="","",IF(AE175="[FÓRMULA MANUAL]","",IFERROR(AVERAGEIFS(DATOS!$K$2:$K$20000,DATOS!$A$2:$A$20000,AE175,DATOS!$G$2:$G$20000,CONFIG_METADATA!$B$4,DATOS!$I$2:$I$20000,"Orquesta/Banda/Conjunto"),"")))</f>
        <v/>
      </c>
      <c r="AH175" t="str">
        <f>IF(AE175="","",IF(AE175="[FÓRMULA MANUAL]","",IFERROR(AVERAGEIFS(DATOS!$K$2:$K$20000,DATOS!$A$2:$A$20000,AE175,DATOS!$G$2:$G$20000,CONFIG_METADATA!$B$4,DATOS!$I$2:$I$20000,"Música de Cámara"),"")))</f>
        <v/>
      </c>
      <c r="AI175" t="str">
        <f>IF(AE175="","",IF(AE175="[FÓRMULA MANUAL]","",IFERROR(SUMPRODUCT((DATOS!$A$2:$A$20000=AE175)*(DATOS!$G$2:$G$20000=CONFIG_METADATA!$B$4)*(COUNTIF(CONFIG_ASIGNATURAS!$B$7:$B$27,DATOS!$I$2:$I$20000)&gt;0)*(DATOS!$K$2:$K$20000))/SUMPRODUCT((DATOS!$A$2:$A$20000=AE175)*(DATOS!$G$2:$G$20000=CONFIG_METADATA!$B$4)*(COUNTIF(CONFIG_ASIGNATURAS!$B$7:$B$27,DATOS!$I$2:$I$20000)&gt;0)*1),"")))</f>
        <v/>
      </c>
    </row>
    <row r="176" spans="2:35" x14ac:dyDescent="0.2">
      <c r="B176" t="str">
        <f>IF(A176="","",IF(A176="[FÓRMULA MANUAL]","",IFERROR(AVERAGEIFS(DATOS!$K$2:$K$20000,DATOS!$A$2:$A$20000,A176,DATOS!$G$2:$G$20000,CONFIG_METADATA!$B$4,DATOS!$I$2:$I$20000,"Lenguaje Musical"),"")))</f>
        <v/>
      </c>
      <c r="C176" t="str">
        <f>IF(A176="","",IF(A176="[FÓRMULA MANUAL]","",IFERROR(AVERAGEIFS(DATOS!$K$2:$K$20000,DATOS!$A$2:$A$20000,A176,DATOS!$G$2:$G$20000,CONFIG_METADATA!$B$4,DATOS!$I$2:$I$20000,"Orquesta/Banda/Conjunto"),"")))</f>
        <v/>
      </c>
      <c r="D176" t="str">
        <f>IF(A176="","",IF(A176="[FÓRMULA MANUAL]","",IFERROR(AVERAGEIFS(DATOS!$K$2:$K$20000,DATOS!$A$2:$A$20000,A176,DATOS!$G$2:$G$20000,CONFIG_METADATA!$B$4,DATOS!$I$2:$I$20000,"Conjunto"),"")))</f>
        <v/>
      </c>
      <c r="E176" t="str">
        <f>IF(A176="","",IF(A176="[FÓRMULA MANUAL]","",IFERROR(SUMPRODUCT((DATOS!$A$2:$A$20000=A176)*(DATOS!$G$2:$G$20000=CONFIG_METADATA!$B$4)*(COUNTIF(CONFIG_ASIGNATURAS!$B$7:$B$27,DATOS!$I$2:$I$20000)&gt;0)*(DATOS!$K$2:$K$20000))/SUMPRODUCT((DATOS!$A$2:$A$20000=A176)*(DATOS!$G$2:$G$20000=CONFIG_METADATA!$B$4)*(COUNTIF(CONFIG_ASIGNATURAS!$B$7:$B$27,DATOS!$I$2:$I$20000)&gt;0)*1),"")))</f>
        <v/>
      </c>
      <c r="H176" t="str">
        <f>IF(G176="","",IF(G176="[FÓRMULA MANUAL]","",IFERROR(AVERAGEIFS(DATOS!$K$2:$K$20000,DATOS!$A$2:$A$20000,G176,DATOS!$G$2:$G$20000,CONFIG_METADATA!$B$4,DATOS!$I$2:$I$20000,"Lenguaje Musical"),"")))</f>
        <v/>
      </c>
      <c r="I176" t="str">
        <f>IF(G176="","",IF(G176="[FÓRMULA MANUAL]","",IFERROR(AVERAGEIFS(DATOS!$K$2:$K$20000,DATOS!$A$2:$A$20000,G176,DATOS!$G$2:$G$20000,CONFIG_METADATA!$B$4,DATOS!$I$2:$I$20000,"Orquesta/Banda/Conjunto"),"")))</f>
        <v/>
      </c>
      <c r="J176" t="str">
        <f>IF(G176="","",IF(G176="[FÓRMULA MANUAL]","",IFERROR(AVERAGEIFS(DATOS!$K$2:$K$20000,DATOS!$A$2:$A$20000,G176,DATOS!$G$2:$G$20000,CONFIG_METADATA!$B$4,DATOS!$I$2:$I$20000,"Conjunto"),"")))</f>
        <v/>
      </c>
      <c r="K176" t="str">
        <f>IF(G176="","",IF(G176="[FÓRMULA MANUAL]","",IFERROR(SUMPRODUCT((DATOS!$A$2:$A$20000=G176)*(DATOS!$G$2:$G$20000=CONFIG_METADATA!$B$4)*(COUNTIF(CONFIG_ASIGNATURAS!$B$7:$B$27,DATOS!$I$2:$I$20000)&gt;0)*(DATOS!$K$2:$K$20000))/SUMPRODUCT((DATOS!$A$2:$A$20000=G176)*(DATOS!$G$2:$G$20000=CONFIG_METADATA!$B$4)*(COUNTIF(CONFIG_ASIGNATURAS!$B$7:$B$27,DATOS!$I$2:$I$20000)&gt;0)*1),"")))</f>
        <v/>
      </c>
      <c r="N176" t="str">
        <f>IF(M176="","",IF(M176="[FÓRMULA MANUAL]","",IFERROR(AVERAGEIFS(DATOS!$K$2:$K$20000,DATOS!$A$2:$A$20000,M176,DATOS!$G$2:$G$20000,CONFIG_METADATA!$B$4,DATOS!$I$2:$I$20000,"Armonía"),"")))</f>
        <v/>
      </c>
      <c r="O176" t="str">
        <f>IF(M176="","",IF(M176="[FÓRMULA MANUAL]","",IFERROR(AVERAGEIFS(DATOS!$K$2:$K$20000,DATOS!$A$2:$A$20000,M176,DATOS!$G$2:$G$20000,CONFIG_METADATA!$B$4,DATOS!$I$2:$I$20000,"Orquesta/Banda/Conjunto"),"")))</f>
        <v/>
      </c>
      <c r="P176" t="str">
        <f>IF(M176="","",IF(M176="[FÓRMULA MANUAL]","",IFERROR(AVERAGEIFS(DATOS!$K$2:$K$20000,DATOS!$A$2:$A$20000,M176,DATOS!$G$2:$G$20000,CONFIG_METADATA!$B$4,DATOS!$I$2:$I$20000,"Música de Cámara"),"")))</f>
        <v/>
      </c>
      <c r="Q176" t="str">
        <f>IF(M176="","",IF(M176="[FÓRMULA MANUAL]","",IFERROR(SUMPRODUCT((DATOS!$A$2:$A$20000=M176)*(DATOS!$G$2:$G$20000=CONFIG_METADATA!$B$4)*(COUNTIF(CONFIG_ASIGNATURAS!$B$7:$B$27,DATOS!$I$2:$I$20000)&gt;0)*(DATOS!$K$2:$K$20000))/SUMPRODUCT((DATOS!$A$2:$A$20000=M176)*(DATOS!$G$2:$G$20000=CONFIG_METADATA!$B$4)*(COUNTIF(CONFIG_ASIGNATURAS!$B$7:$B$27,DATOS!$I$2:$I$20000)&gt;0)*1),"")))</f>
        <v/>
      </c>
      <c r="T176" t="str">
        <f>IF(S176="","",IF(S176="[FÓRMULA MANUAL]","",IFERROR(AVERAGEIFS(DATOS!$K$2:$K$20000,DATOS!$A$2:$A$20000,S176,DATOS!$G$2:$G$20000,CONFIG_METADATA!$B$4,DATOS!$I$2:$I$20000,"Armonía"),"")))</f>
        <v/>
      </c>
      <c r="U176" t="str">
        <f>IF(S176="","",IF(S176="[FÓRMULA MANUAL]","",IFERROR(AVERAGEIFS(DATOS!$K$2:$K$20000,DATOS!$A$2:$A$20000,S176,DATOS!$G$2:$G$20000,CONFIG_METADATA!$B$4,DATOS!$I$2:$I$20000,"Orquesta/Banda/Conjunto"),"")))</f>
        <v/>
      </c>
      <c r="V176" t="str">
        <f>IF(S176="","",IF(S176="[FÓRMULA MANUAL]","",IFERROR(AVERAGEIFS(DATOS!$K$2:$K$20000,DATOS!$A$2:$A$20000,S176,DATOS!$G$2:$G$20000,CONFIG_METADATA!$B$4,DATOS!$I$2:$I$20000,"Música de Cámara"),"")))</f>
        <v/>
      </c>
      <c r="W176" t="str">
        <f>IF(S176="","",IF(S176="[FÓRMULA MANUAL]","",IFERROR(SUMPRODUCT((DATOS!$A$2:$A$20000=S176)*(DATOS!$G$2:$G$20000=CONFIG_METADATA!$B$4)*(COUNTIF(CONFIG_ASIGNATURAS!$B$7:$B$27,DATOS!$I$2:$I$20000)&gt;0)*(DATOS!$K$2:$K$20000))/SUMPRODUCT((DATOS!$A$2:$A$20000=S176)*(DATOS!$G$2:$G$20000=CONFIG_METADATA!$B$4)*(COUNTIF(CONFIG_ASIGNATURAS!$B$7:$B$27,DATOS!$I$2:$I$20000)&gt;0)*1),"")))</f>
        <v/>
      </c>
      <c r="Z176" t="str">
        <f>IF(Y176="","",IF(Y176="[FÓRMULA MANUAL]","",IFERROR(AVERAGEIFS(DATOS!$K$2:$K$20000,DATOS!$A$2:$A$20000,Y176,DATOS!$G$2:$G$20000,CONFIG_METADATA!$B$4,DATOS!$I$2:$I$20000,"Análisis"),"")))</f>
        <v/>
      </c>
      <c r="AA176" t="str">
        <f>IF(Y176="","",IF(Y176="[FÓRMULA MANUAL]","",IFERROR(AVERAGEIFS(DATOS!$K$2:$K$20000,DATOS!$A$2:$A$20000,Y176,DATOS!$G$2:$G$20000,CONFIG_METADATA!$B$4,DATOS!$I$2:$I$20000,"Orquesta/Banda/Conjunto"),"")))</f>
        <v/>
      </c>
      <c r="AB176" t="str">
        <f>IF(Y176="","",IF(Y176="[FÓRMULA MANUAL]","",IFERROR(AVERAGEIFS(DATOS!$K$2:$K$20000,DATOS!$A$2:$A$20000,Y176,DATOS!$G$2:$G$20000,CONFIG_METADATA!$B$4,DATOS!$I$2:$I$20000,"Música de Cámara"),"")))</f>
        <v/>
      </c>
      <c r="AC176" t="str">
        <f>IF(Y176="","",IF(Y176="[FÓRMULA MANUAL]","",IFERROR(SUMPRODUCT((DATOS!$A$2:$A$20000=Y176)*(DATOS!$G$2:$G$20000=CONFIG_METADATA!$B$4)*(COUNTIF(CONFIG_ASIGNATURAS!$B$7:$B$27,DATOS!$I$2:$I$20000)&gt;0)*(DATOS!$K$2:$K$20000))/SUMPRODUCT((DATOS!$A$2:$A$20000=Y176)*(DATOS!$G$2:$G$20000=CONFIG_METADATA!$B$4)*(COUNTIF(CONFIG_ASIGNATURAS!$B$7:$B$27,DATOS!$I$2:$I$20000)&gt;0)*1),"")))</f>
        <v/>
      </c>
      <c r="AF176" t="str">
        <f>IF(AE176="","",IF(AE176="[FÓRMULA MANUAL]","",IFERROR(AVERAGEIFS(DATOS!$K$2:$K$20000,DATOS!$A$2:$A$20000,AE176,DATOS!$G$2:$G$20000,CONFIG_METADATA!$B$4,DATOS!$I$2:$I$20000,"Análisis"),"")))</f>
        <v/>
      </c>
      <c r="AG176" t="str">
        <f>IF(AE176="","",IF(AE176="[FÓRMULA MANUAL]","",IFERROR(AVERAGEIFS(DATOS!$K$2:$K$20000,DATOS!$A$2:$A$20000,AE176,DATOS!$G$2:$G$20000,CONFIG_METADATA!$B$4,DATOS!$I$2:$I$20000,"Orquesta/Banda/Conjunto"),"")))</f>
        <v/>
      </c>
      <c r="AH176" t="str">
        <f>IF(AE176="","",IF(AE176="[FÓRMULA MANUAL]","",IFERROR(AVERAGEIFS(DATOS!$K$2:$K$20000,DATOS!$A$2:$A$20000,AE176,DATOS!$G$2:$G$20000,CONFIG_METADATA!$B$4,DATOS!$I$2:$I$20000,"Música de Cámara"),"")))</f>
        <v/>
      </c>
      <c r="AI176" t="str">
        <f>IF(AE176="","",IF(AE176="[FÓRMULA MANUAL]","",IFERROR(SUMPRODUCT((DATOS!$A$2:$A$20000=AE176)*(DATOS!$G$2:$G$20000=CONFIG_METADATA!$B$4)*(COUNTIF(CONFIG_ASIGNATURAS!$B$7:$B$27,DATOS!$I$2:$I$20000)&gt;0)*(DATOS!$K$2:$K$20000))/SUMPRODUCT((DATOS!$A$2:$A$20000=AE176)*(DATOS!$G$2:$G$20000=CONFIG_METADATA!$B$4)*(COUNTIF(CONFIG_ASIGNATURAS!$B$7:$B$27,DATOS!$I$2:$I$20000)&gt;0)*1),"")))</f>
        <v/>
      </c>
    </row>
    <row r="177" spans="2:35" x14ac:dyDescent="0.2">
      <c r="B177" t="str">
        <f>IF(A177="","",IF(A177="[FÓRMULA MANUAL]","",IFERROR(AVERAGEIFS(DATOS!$K$2:$K$20000,DATOS!$A$2:$A$20000,A177,DATOS!$G$2:$G$20000,CONFIG_METADATA!$B$4,DATOS!$I$2:$I$20000,"Lenguaje Musical"),"")))</f>
        <v/>
      </c>
      <c r="C177" t="str">
        <f>IF(A177="","",IF(A177="[FÓRMULA MANUAL]","",IFERROR(AVERAGEIFS(DATOS!$K$2:$K$20000,DATOS!$A$2:$A$20000,A177,DATOS!$G$2:$G$20000,CONFIG_METADATA!$B$4,DATOS!$I$2:$I$20000,"Orquesta/Banda/Conjunto"),"")))</f>
        <v/>
      </c>
      <c r="D177" t="str">
        <f>IF(A177="","",IF(A177="[FÓRMULA MANUAL]","",IFERROR(AVERAGEIFS(DATOS!$K$2:$K$20000,DATOS!$A$2:$A$20000,A177,DATOS!$G$2:$G$20000,CONFIG_METADATA!$B$4,DATOS!$I$2:$I$20000,"Conjunto"),"")))</f>
        <v/>
      </c>
      <c r="E177" t="str">
        <f>IF(A177="","",IF(A177="[FÓRMULA MANUAL]","",IFERROR(SUMPRODUCT((DATOS!$A$2:$A$20000=A177)*(DATOS!$G$2:$G$20000=CONFIG_METADATA!$B$4)*(COUNTIF(CONFIG_ASIGNATURAS!$B$7:$B$27,DATOS!$I$2:$I$20000)&gt;0)*(DATOS!$K$2:$K$20000))/SUMPRODUCT((DATOS!$A$2:$A$20000=A177)*(DATOS!$G$2:$G$20000=CONFIG_METADATA!$B$4)*(COUNTIF(CONFIG_ASIGNATURAS!$B$7:$B$27,DATOS!$I$2:$I$20000)&gt;0)*1),"")))</f>
        <v/>
      </c>
      <c r="H177" t="str">
        <f>IF(G177="","",IF(G177="[FÓRMULA MANUAL]","",IFERROR(AVERAGEIFS(DATOS!$K$2:$K$20000,DATOS!$A$2:$A$20000,G177,DATOS!$G$2:$G$20000,CONFIG_METADATA!$B$4,DATOS!$I$2:$I$20000,"Lenguaje Musical"),"")))</f>
        <v/>
      </c>
      <c r="I177" t="str">
        <f>IF(G177="","",IF(G177="[FÓRMULA MANUAL]","",IFERROR(AVERAGEIFS(DATOS!$K$2:$K$20000,DATOS!$A$2:$A$20000,G177,DATOS!$G$2:$G$20000,CONFIG_METADATA!$B$4,DATOS!$I$2:$I$20000,"Orquesta/Banda/Conjunto"),"")))</f>
        <v/>
      </c>
      <c r="J177" t="str">
        <f>IF(G177="","",IF(G177="[FÓRMULA MANUAL]","",IFERROR(AVERAGEIFS(DATOS!$K$2:$K$20000,DATOS!$A$2:$A$20000,G177,DATOS!$G$2:$G$20000,CONFIG_METADATA!$B$4,DATOS!$I$2:$I$20000,"Conjunto"),"")))</f>
        <v/>
      </c>
      <c r="K177" t="str">
        <f>IF(G177="","",IF(G177="[FÓRMULA MANUAL]","",IFERROR(SUMPRODUCT((DATOS!$A$2:$A$20000=G177)*(DATOS!$G$2:$G$20000=CONFIG_METADATA!$B$4)*(COUNTIF(CONFIG_ASIGNATURAS!$B$7:$B$27,DATOS!$I$2:$I$20000)&gt;0)*(DATOS!$K$2:$K$20000))/SUMPRODUCT((DATOS!$A$2:$A$20000=G177)*(DATOS!$G$2:$G$20000=CONFIG_METADATA!$B$4)*(COUNTIF(CONFIG_ASIGNATURAS!$B$7:$B$27,DATOS!$I$2:$I$20000)&gt;0)*1),"")))</f>
        <v/>
      </c>
      <c r="N177" t="str">
        <f>IF(M177="","",IF(M177="[FÓRMULA MANUAL]","",IFERROR(AVERAGEIFS(DATOS!$K$2:$K$20000,DATOS!$A$2:$A$20000,M177,DATOS!$G$2:$G$20000,CONFIG_METADATA!$B$4,DATOS!$I$2:$I$20000,"Armonía"),"")))</f>
        <v/>
      </c>
      <c r="O177" t="str">
        <f>IF(M177="","",IF(M177="[FÓRMULA MANUAL]","",IFERROR(AVERAGEIFS(DATOS!$K$2:$K$20000,DATOS!$A$2:$A$20000,M177,DATOS!$G$2:$G$20000,CONFIG_METADATA!$B$4,DATOS!$I$2:$I$20000,"Orquesta/Banda/Conjunto"),"")))</f>
        <v/>
      </c>
      <c r="P177" t="str">
        <f>IF(M177="","",IF(M177="[FÓRMULA MANUAL]","",IFERROR(AVERAGEIFS(DATOS!$K$2:$K$20000,DATOS!$A$2:$A$20000,M177,DATOS!$G$2:$G$20000,CONFIG_METADATA!$B$4,DATOS!$I$2:$I$20000,"Música de Cámara"),"")))</f>
        <v/>
      </c>
      <c r="Q177" t="str">
        <f>IF(M177="","",IF(M177="[FÓRMULA MANUAL]","",IFERROR(SUMPRODUCT((DATOS!$A$2:$A$20000=M177)*(DATOS!$G$2:$G$20000=CONFIG_METADATA!$B$4)*(COUNTIF(CONFIG_ASIGNATURAS!$B$7:$B$27,DATOS!$I$2:$I$20000)&gt;0)*(DATOS!$K$2:$K$20000))/SUMPRODUCT((DATOS!$A$2:$A$20000=M177)*(DATOS!$G$2:$G$20000=CONFIG_METADATA!$B$4)*(COUNTIF(CONFIG_ASIGNATURAS!$B$7:$B$27,DATOS!$I$2:$I$20000)&gt;0)*1),"")))</f>
        <v/>
      </c>
      <c r="T177" t="str">
        <f>IF(S177="","",IF(S177="[FÓRMULA MANUAL]","",IFERROR(AVERAGEIFS(DATOS!$K$2:$K$20000,DATOS!$A$2:$A$20000,S177,DATOS!$G$2:$G$20000,CONFIG_METADATA!$B$4,DATOS!$I$2:$I$20000,"Armonía"),"")))</f>
        <v/>
      </c>
      <c r="U177" t="str">
        <f>IF(S177="","",IF(S177="[FÓRMULA MANUAL]","",IFERROR(AVERAGEIFS(DATOS!$K$2:$K$20000,DATOS!$A$2:$A$20000,S177,DATOS!$G$2:$G$20000,CONFIG_METADATA!$B$4,DATOS!$I$2:$I$20000,"Orquesta/Banda/Conjunto"),"")))</f>
        <v/>
      </c>
      <c r="V177" t="str">
        <f>IF(S177="","",IF(S177="[FÓRMULA MANUAL]","",IFERROR(AVERAGEIFS(DATOS!$K$2:$K$20000,DATOS!$A$2:$A$20000,S177,DATOS!$G$2:$G$20000,CONFIG_METADATA!$B$4,DATOS!$I$2:$I$20000,"Música de Cámara"),"")))</f>
        <v/>
      </c>
      <c r="W177" t="str">
        <f>IF(S177="","",IF(S177="[FÓRMULA MANUAL]","",IFERROR(SUMPRODUCT((DATOS!$A$2:$A$20000=S177)*(DATOS!$G$2:$G$20000=CONFIG_METADATA!$B$4)*(COUNTIF(CONFIG_ASIGNATURAS!$B$7:$B$27,DATOS!$I$2:$I$20000)&gt;0)*(DATOS!$K$2:$K$20000))/SUMPRODUCT((DATOS!$A$2:$A$20000=S177)*(DATOS!$G$2:$G$20000=CONFIG_METADATA!$B$4)*(COUNTIF(CONFIG_ASIGNATURAS!$B$7:$B$27,DATOS!$I$2:$I$20000)&gt;0)*1),"")))</f>
        <v/>
      </c>
      <c r="Z177" t="str">
        <f>IF(Y177="","",IF(Y177="[FÓRMULA MANUAL]","",IFERROR(AVERAGEIFS(DATOS!$K$2:$K$20000,DATOS!$A$2:$A$20000,Y177,DATOS!$G$2:$G$20000,CONFIG_METADATA!$B$4,DATOS!$I$2:$I$20000,"Análisis"),"")))</f>
        <v/>
      </c>
      <c r="AA177" t="str">
        <f>IF(Y177="","",IF(Y177="[FÓRMULA MANUAL]","",IFERROR(AVERAGEIFS(DATOS!$K$2:$K$20000,DATOS!$A$2:$A$20000,Y177,DATOS!$G$2:$G$20000,CONFIG_METADATA!$B$4,DATOS!$I$2:$I$20000,"Orquesta/Banda/Conjunto"),"")))</f>
        <v/>
      </c>
      <c r="AB177" t="str">
        <f>IF(Y177="","",IF(Y177="[FÓRMULA MANUAL]","",IFERROR(AVERAGEIFS(DATOS!$K$2:$K$20000,DATOS!$A$2:$A$20000,Y177,DATOS!$G$2:$G$20000,CONFIG_METADATA!$B$4,DATOS!$I$2:$I$20000,"Música de Cámara"),"")))</f>
        <v/>
      </c>
      <c r="AC177" t="str">
        <f>IF(Y177="","",IF(Y177="[FÓRMULA MANUAL]","",IFERROR(SUMPRODUCT((DATOS!$A$2:$A$20000=Y177)*(DATOS!$G$2:$G$20000=CONFIG_METADATA!$B$4)*(COUNTIF(CONFIG_ASIGNATURAS!$B$7:$B$27,DATOS!$I$2:$I$20000)&gt;0)*(DATOS!$K$2:$K$20000))/SUMPRODUCT((DATOS!$A$2:$A$20000=Y177)*(DATOS!$G$2:$G$20000=CONFIG_METADATA!$B$4)*(COUNTIF(CONFIG_ASIGNATURAS!$B$7:$B$27,DATOS!$I$2:$I$20000)&gt;0)*1),"")))</f>
        <v/>
      </c>
      <c r="AF177" t="str">
        <f>IF(AE177="","",IF(AE177="[FÓRMULA MANUAL]","",IFERROR(AVERAGEIFS(DATOS!$K$2:$K$20000,DATOS!$A$2:$A$20000,AE177,DATOS!$G$2:$G$20000,CONFIG_METADATA!$B$4,DATOS!$I$2:$I$20000,"Análisis"),"")))</f>
        <v/>
      </c>
      <c r="AG177" t="str">
        <f>IF(AE177="","",IF(AE177="[FÓRMULA MANUAL]","",IFERROR(AVERAGEIFS(DATOS!$K$2:$K$20000,DATOS!$A$2:$A$20000,AE177,DATOS!$G$2:$G$20000,CONFIG_METADATA!$B$4,DATOS!$I$2:$I$20000,"Orquesta/Banda/Conjunto"),"")))</f>
        <v/>
      </c>
      <c r="AH177" t="str">
        <f>IF(AE177="","",IF(AE177="[FÓRMULA MANUAL]","",IFERROR(AVERAGEIFS(DATOS!$K$2:$K$20000,DATOS!$A$2:$A$20000,AE177,DATOS!$G$2:$G$20000,CONFIG_METADATA!$B$4,DATOS!$I$2:$I$20000,"Música de Cámara"),"")))</f>
        <v/>
      </c>
      <c r="AI177" t="str">
        <f>IF(AE177="","",IF(AE177="[FÓRMULA MANUAL]","",IFERROR(SUMPRODUCT((DATOS!$A$2:$A$20000=AE177)*(DATOS!$G$2:$G$20000=CONFIG_METADATA!$B$4)*(COUNTIF(CONFIG_ASIGNATURAS!$B$7:$B$27,DATOS!$I$2:$I$20000)&gt;0)*(DATOS!$K$2:$K$20000))/SUMPRODUCT((DATOS!$A$2:$A$20000=AE177)*(DATOS!$G$2:$G$20000=CONFIG_METADATA!$B$4)*(COUNTIF(CONFIG_ASIGNATURAS!$B$7:$B$27,DATOS!$I$2:$I$20000)&gt;0)*1),"")))</f>
        <v/>
      </c>
    </row>
    <row r="178" spans="2:35" x14ac:dyDescent="0.2">
      <c r="B178" t="str">
        <f>IF(A178="","",IF(A178="[FÓRMULA MANUAL]","",IFERROR(AVERAGEIFS(DATOS!$K$2:$K$20000,DATOS!$A$2:$A$20000,A178,DATOS!$G$2:$G$20000,CONFIG_METADATA!$B$4,DATOS!$I$2:$I$20000,"Lenguaje Musical"),"")))</f>
        <v/>
      </c>
      <c r="C178" t="str">
        <f>IF(A178="","",IF(A178="[FÓRMULA MANUAL]","",IFERROR(AVERAGEIFS(DATOS!$K$2:$K$20000,DATOS!$A$2:$A$20000,A178,DATOS!$G$2:$G$20000,CONFIG_METADATA!$B$4,DATOS!$I$2:$I$20000,"Orquesta/Banda/Conjunto"),"")))</f>
        <v/>
      </c>
      <c r="D178" t="str">
        <f>IF(A178="","",IF(A178="[FÓRMULA MANUAL]","",IFERROR(AVERAGEIFS(DATOS!$K$2:$K$20000,DATOS!$A$2:$A$20000,A178,DATOS!$G$2:$G$20000,CONFIG_METADATA!$B$4,DATOS!$I$2:$I$20000,"Conjunto"),"")))</f>
        <v/>
      </c>
      <c r="E178" t="str">
        <f>IF(A178="","",IF(A178="[FÓRMULA MANUAL]","",IFERROR(SUMPRODUCT((DATOS!$A$2:$A$20000=A178)*(DATOS!$G$2:$G$20000=CONFIG_METADATA!$B$4)*(COUNTIF(CONFIG_ASIGNATURAS!$B$7:$B$27,DATOS!$I$2:$I$20000)&gt;0)*(DATOS!$K$2:$K$20000))/SUMPRODUCT((DATOS!$A$2:$A$20000=A178)*(DATOS!$G$2:$G$20000=CONFIG_METADATA!$B$4)*(COUNTIF(CONFIG_ASIGNATURAS!$B$7:$B$27,DATOS!$I$2:$I$20000)&gt;0)*1),"")))</f>
        <v/>
      </c>
      <c r="H178" t="str">
        <f>IF(G178="","",IF(G178="[FÓRMULA MANUAL]","",IFERROR(AVERAGEIFS(DATOS!$K$2:$K$20000,DATOS!$A$2:$A$20000,G178,DATOS!$G$2:$G$20000,CONFIG_METADATA!$B$4,DATOS!$I$2:$I$20000,"Lenguaje Musical"),"")))</f>
        <v/>
      </c>
      <c r="I178" t="str">
        <f>IF(G178="","",IF(G178="[FÓRMULA MANUAL]","",IFERROR(AVERAGEIFS(DATOS!$K$2:$K$20000,DATOS!$A$2:$A$20000,G178,DATOS!$G$2:$G$20000,CONFIG_METADATA!$B$4,DATOS!$I$2:$I$20000,"Orquesta/Banda/Conjunto"),"")))</f>
        <v/>
      </c>
      <c r="J178" t="str">
        <f>IF(G178="","",IF(G178="[FÓRMULA MANUAL]","",IFERROR(AVERAGEIFS(DATOS!$K$2:$K$20000,DATOS!$A$2:$A$20000,G178,DATOS!$G$2:$G$20000,CONFIG_METADATA!$B$4,DATOS!$I$2:$I$20000,"Conjunto"),"")))</f>
        <v/>
      </c>
      <c r="K178" t="str">
        <f>IF(G178="","",IF(G178="[FÓRMULA MANUAL]","",IFERROR(SUMPRODUCT((DATOS!$A$2:$A$20000=G178)*(DATOS!$G$2:$G$20000=CONFIG_METADATA!$B$4)*(COUNTIF(CONFIG_ASIGNATURAS!$B$7:$B$27,DATOS!$I$2:$I$20000)&gt;0)*(DATOS!$K$2:$K$20000))/SUMPRODUCT((DATOS!$A$2:$A$20000=G178)*(DATOS!$G$2:$G$20000=CONFIG_METADATA!$B$4)*(COUNTIF(CONFIG_ASIGNATURAS!$B$7:$B$27,DATOS!$I$2:$I$20000)&gt;0)*1),"")))</f>
        <v/>
      </c>
      <c r="N178" t="str">
        <f>IF(M178="","",IF(M178="[FÓRMULA MANUAL]","",IFERROR(AVERAGEIFS(DATOS!$K$2:$K$20000,DATOS!$A$2:$A$20000,M178,DATOS!$G$2:$G$20000,CONFIG_METADATA!$B$4,DATOS!$I$2:$I$20000,"Armonía"),"")))</f>
        <v/>
      </c>
      <c r="O178" t="str">
        <f>IF(M178="","",IF(M178="[FÓRMULA MANUAL]","",IFERROR(AVERAGEIFS(DATOS!$K$2:$K$20000,DATOS!$A$2:$A$20000,M178,DATOS!$G$2:$G$20000,CONFIG_METADATA!$B$4,DATOS!$I$2:$I$20000,"Orquesta/Banda/Conjunto"),"")))</f>
        <v/>
      </c>
      <c r="P178" t="str">
        <f>IF(M178="","",IF(M178="[FÓRMULA MANUAL]","",IFERROR(AVERAGEIFS(DATOS!$K$2:$K$20000,DATOS!$A$2:$A$20000,M178,DATOS!$G$2:$G$20000,CONFIG_METADATA!$B$4,DATOS!$I$2:$I$20000,"Música de Cámara"),"")))</f>
        <v/>
      </c>
      <c r="Q178" t="str">
        <f>IF(M178="","",IF(M178="[FÓRMULA MANUAL]","",IFERROR(SUMPRODUCT((DATOS!$A$2:$A$20000=M178)*(DATOS!$G$2:$G$20000=CONFIG_METADATA!$B$4)*(COUNTIF(CONFIG_ASIGNATURAS!$B$7:$B$27,DATOS!$I$2:$I$20000)&gt;0)*(DATOS!$K$2:$K$20000))/SUMPRODUCT((DATOS!$A$2:$A$20000=M178)*(DATOS!$G$2:$G$20000=CONFIG_METADATA!$B$4)*(COUNTIF(CONFIG_ASIGNATURAS!$B$7:$B$27,DATOS!$I$2:$I$20000)&gt;0)*1),"")))</f>
        <v/>
      </c>
      <c r="T178" t="str">
        <f>IF(S178="","",IF(S178="[FÓRMULA MANUAL]","",IFERROR(AVERAGEIFS(DATOS!$K$2:$K$20000,DATOS!$A$2:$A$20000,S178,DATOS!$G$2:$G$20000,CONFIG_METADATA!$B$4,DATOS!$I$2:$I$20000,"Armonía"),"")))</f>
        <v/>
      </c>
      <c r="U178" t="str">
        <f>IF(S178="","",IF(S178="[FÓRMULA MANUAL]","",IFERROR(AVERAGEIFS(DATOS!$K$2:$K$20000,DATOS!$A$2:$A$20000,S178,DATOS!$G$2:$G$20000,CONFIG_METADATA!$B$4,DATOS!$I$2:$I$20000,"Orquesta/Banda/Conjunto"),"")))</f>
        <v/>
      </c>
      <c r="V178" t="str">
        <f>IF(S178="","",IF(S178="[FÓRMULA MANUAL]","",IFERROR(AVERAGEIFS(DATOS!$K$2:$K$20000,DATOS!$A$2:$A$20000,S178,DATOS!$G$2:$G$20000,CONFIG_METADATA!$B$4,DATOS!$I$2:$I$20000,"Música de Cámara"),"")))</f>
        <v/>
      </c>
      <c r="W178" t="str">
        <f>IF(S178="","",IF(S178="[FÓRMULA MANUAL]","",IFERROR(SUMPRODUCT((DATOS!$A$2:$A$20000=S178)*(DATOS!$G$2:$G$20000=CONFIG_METADATA!$B$4)*(COUNTIF(CONFIG_ASIGNATURAS!$B$7:$B$27,DATOS!$I$2:$I$20000)&gt;0)*(DATOS!$K$2:$K$20000))/SUMPRODUCT((DATOS!$A$2:$A$20000=S178)*(DATOS!$G$2:$G$20000=CONFIG_METADATA!$B$4)*(COUNTIF(CONFIG_ASIGNATURAS!$B$7:$B$27,DATOS!$I$2:$I$20000)&gt;0)*1),"")))</f>
        <v/>
      </c>
      <c r="Z178" t="str">
        <f>IF(Y178="","",IF(Y178="[FÓRMULA MANUAL]","",IFERROR(AVERAGEIFS(DATOS!$K$2:$K$20000,DATOS!$A$2:$A$20000,Y178,DATOS!$G$2:$G$20000,CONFIG_METADATA!$B$4,DATOS!$I$2:$I$20000,"Análisis"),"")))</f>
        <v/>
      </c>
      <c r="AA178" t="str">
        <f>IF(Y178="","",IF(Y178="[FÓRMULA MANUAL]","",IFERROR(AVERAGEIFS(DATOS!$K$2:$K$20000,DATOS!$A$2:$A$20000,Y178,DATOS!$G$2:$G$20000,CONFIG_METADATA!$B$4,DATOS!$I$2:$I$20000,"Orquesta/Banda/Conjunto"),"")))</f>
        <v/>
      </c>
      <c r="AB178" t="str">
        <f>IF(Y178="","",IF(Y178="[FÓRMULA MANUAL]","",IFERROR(AVERAGEIFS(DATOS!$K$2:$K$20000,DATOS!$A$2:$A$20000,Y178,DATOS!$G$2:$G$20000,CONFIG_METADATA!$B$4,DATOS!$I$2:$I$20000,"Música de Cámara"),"")))</f>
        <v/>
      </c>
      <c r="AC178" t="str">
        <f>IF(Y178="","",IF(Y178="[FÓRMULA MANUAL]","",IFERROR(SUMPRODUCT((DATOS!$A$2:$A$20000=Y178)*(DATOS!$G$2:$G$20000=CONFIG_METADATA!$B$4)*(COUNTIF(CONFIG_ASIGNATURAS!$B$7:$B$27,DATOS!$I$2:$I$20000)&gt;0)*(DATOS!$K$2:$K$20000))/SUMPRODUCT((DATOS!$A$2:$A$20000=Y178)*(DATOS!$G$2:$G$20000=CONFIG_METADATA!$B$4)*(COUNTIF(CONFIG_ASIGNATURAS!$B$7:$B$27,DATOS!$I$2:$I$20000)&gt;0)*1),"")))</f>
        <v/>
      </c>
      <c r="AF178" t="str">
        <f>IF(AE178="","",IF(AE178="[FÓRMULA MANUAL]","",IFERROR(AVERAGEIFS(DATOS!$K$2:$K$20000,DATOS!$A$2:$A$20000,AE178,DATOS!$G$2:$G$20000,CONFIG_METADATA!$B$4,DATOS!$I$2:$I$20000,"Análisis"),"")))</f>
        <v/>
      </c>
      <c r="AG178" t="str">
        <f>IF(AE178="","",IF(AE178="[FÓRMULA MANUAL]","",IFERROR(AVERAGEIFS(DATOS!$K$2:$K$20000,DATOS!$A$2:$A$20000,AE178,DATOS!$G$2:$G$20000,CONFIG_METADATA!$B$4,DATOS!$I$2:$I$20000,"Orquesta/Banda/Conjunto"),"")))</f>
        <v/>
      </c>
      <c r="AH178" t="str">
        <f>IF(AE178="","",IF(AE178="[FÓRMULA MANUAL]","",IFERROR(AVERAGEIFS(DATOS!$K$2:$K$20000,DATOS!$A$2:$A$20000,AE178,DATOS!$G$2:$G$20000,CONFIG_METADATA!$B$4,DATOS!$I$2:$I$20000,"Música de Cámara"),"")))</f>
        <v/>
      </c>
      <c r="AI178" t="str">
        <f>IF(AE178="","",IF(AE178="[FÓRMULA MANUAL]","",IFERROR(SUMPRODUCT((DATOS!$A$2:$A$20000=AE178)*(DATOS!$G$2:$G$20000=CONFIG_METADATA!$B$4)*(COUNTIF(CONFIG_ASIGNATURAS!$B$7:$B$27,DATOS!$I$2:$I$20000)&gt;0)*(DATOS!$K$2:$K$20000))/SUMPRODUCT((DATOS!$A$2:$A$20000=AE178)*(DATOS!$G$2:$G$20000=CONFIG_METADATA!$B$4)*(COUNTIF(CONFIG_ASIGNATURAS!$B$7:$B$27,DATOS!$I$2:$I$20000)&gt;0)*1),"")))</f>
        <v/>
      </c>
    </row>
    <row r="179" spans="2:35" x14ac:dyDescent="0.2">
      <c r="B179" t="str">
        <f>IF(A179="","",IF(A179="[FÓRMULA MANUAL]","",IFERROR(AVERAGEIFS(DATOS!$K$2:$K$20000,DATOS!$A$2:$A$20000,A179,DATOS!$G$2:$G$20000,CONFIG_METADATA!$B$4,DATOS!$I$2:$I$20000,"Lenguaje Musical"),"")))</f>
        <v/>
      </c>
      <c r="C179" t="str">
        <f>IF(A179="","",IF(A179="[FÓRMULA MANUAL]","",IFERROR(AVERAGEIFS(DATOS!$K$2:$K$20000,DATOS!$A$2:$A$20000,A179,DATOS!$G$2:$G$20000,CONFIG_METADATA!$B$4,DATOS!$I$2:$I$20000,"Orquesta/Banda/Conjunto"),"")))</f>
        <v/>
      </c>
      <c r="D179" t="str">
        <f>IF(A179="","",IF(A179="[FÓRMULA MANUAL]","",IFERROR(AVERAGEIFS(DATOS!$K$2:$K$20000,DATOS!$A$2:$A$20000,A179,DATOS!$G$2:$G$20000,CONFIG_METADATA!$B$4,DATOS!$I$2:$I$20000,"Conjunto"),"")))</f>
        <v/>
      </c>
      <c r="E179" t="str">
        <f>IF(A179="","",IF(A179="[FÓRMULA MANUAL]","",IFERROR(SUMPRODUCT((DATOS!$A$2:$A$20000=A179)*(DATOS!$G$2:$G$20000=CONFIG_METADATA!$B$4)*(COUNTIF(CONFIG_ASIGNATURAS!$B$7:$B$27,DATOS!$I$2:$I$20000)&gt;0)*(DATOS!$K$2:$K$20000))/SUMPRODUCT((DATOS!$A$2:$A$20000=A179)*(DATOS!$G$2:$G$20000=CONFIG_METADATA!$B$4)*(COUNTIF(CONFIG_ASIGNATURAS!$B$7:$B$27,DATOS!$I$2:$I$20000)&gt;0)*1),"")))</f>
        <v/>
      </c>
      <c r="H179" t="str">
        <f>IF(G179="","",IF(G179="[FÓRMULA MANUAL]","",IFERROR(AVERAGEIFS(DATOS!$K$2:$K$20000,DATOS!$A$2:$A$20000,G179,DATOS!$G$2:$G$20000,CONFIG_METADATA!$B$4,DATOS!$I$2:$I$20000,"Lenguaje Musical"),"")))</f>
        <v/>
      </c>
      <c r="I179" t="str">
        <f>IF(G179="","",IF(G179="[FÓRMULA MANUAL]","",IFERROR(AVERAGEIFS(DATOS!$K$2:$K$20000,DATOS!$A$2:$A$20000,G179,DATOS!$G$2:$G$20000,CONFIG_METADATA!$B$4,DATOS!$I$2:$I$20000,"Orquesta/Banda/Conjunto"),"")))</f>
        <v/>
      </c>
      <c r="J179" t="str">
        <f>IF(G179="","",IF(G179="[FÓRMULA MANUAL]","",IFERROR(AVERAGEIFS(DATOS!$K$2:$K$20000,DATOS!$A$2:$A$20000,G179,DATOS!$G$2:$G$20000,CONFIG_METADATA!$B$4,DATOS!$I$2:$I$20000,"Conjunto"),"")))</f>
        <v/>
      </c>
      <c r="K179" t="str">
        <f>IF(G179="","",IF(G179="[FÓRMULA MANUAL]","",IFERROR(SUMPRODUCT((DATOS!$A$2:$A$20000=G179)*(DATOS!$G$2:$G$20000=CONFIG_METADATA!$B$4)*(COUNTIF(CONFIG_ASIGNATURAS!$B$7:$B$27,DATOS!$I$2:$I$20000)&gt;0)*(DATOS!$K$2:$K$20000))/SUMPRODUCT((DATOS!$A$2:$A$20000=G179)*(DATOS!$G$2:$G$20000=CONFIG_METADATA!$B$4)*(COUNTIF(CONFIG_ASIGNATURAS!$B$7:$B$27,DATOS!$I$2:$I$20000)&gt;0)*1),"")))</f>
        <v/>
      </c>
      <c r="N179" t="str">
        <f>IF(M179="","",IF(M179="[FÓRMULA MANUAL]","",IFERROR(AVERAGEIFS(DATOS!$K$2:$K$20000,DATOS!$A$2:$A$20000,M179,DATOS!$G$2:$G$20000,CONFIG_METADATA!$B$4,DATOS!$I$2:$I$20000,"Armonía"),"")))</f>
        <v/>
      </c>
      <c r="O179" t="str">
        <f>IF(M179="","",IF(M179="[FÓRMULA MANUAL]","",IFERROR(AVERAGEIFS(DATOS!$K$2:$K$20000,DATOS!$A$2:$A$20000,M179,DATOS!$G$2:$G$20000,CONFIG_METADATA!$B$4,DATOS!$I$2:$I$20000,"Orquesta/Banda/Conjunto"),"")))</f>
        <v/>
      </c>
      <c r="P179" t="str">
        <f>IF(M179="","",IF(M179="[FÓRMULA MANUAL]","",IFERROR(AVERAGEIFS(DATOS!$K$2:$K$20000,DATOS!$A$2:$A$20000,M179,DATOS!$G$2:$G$20000,CONFIG_METADATA!$B$4,DATOS!$I$2:$I$20000,"Música de Cámara"),"")))</f>
        <v/>
      </c>
      <c r="Q179" t="str">
        <f>IF(M179="","",IF(M179="[FÓRMULA MANUAL]","",IFERROR(SUMPRODUCT((DATOS!$A$2:$A$20000=M179)*(DATOS!$G$2:$G$20000=CONFIG_METADATA!$B$4)*(COUNTIF(CONFIG_ASIGNATURAS!$B$7:$B$27,DATOS!$I$2:$I$20000)&gt;0)*(DATOS!$K$2:$K$20000))/SUMPRODUCT((DATOS!$A$2:$A$20000=M179)*(DATOS!$G$2:$G$20000=CONFIG_METADATA!$B$4)*(COUNTIF(CONFIG_ASIGNATURAS!$B$7:$B$27,DATOS!$I$2:$I$20000)&gt;0)*1),"")))</f>
        <v/>
      </c>
      <c r="T179" t="str">
        <f>IF(S179="","",IF(S179="[FÓRMULA MANUAL]","",IFERROR(AVERAGEIFS(DATOS!$K$2:$K$20000,DATOS!$A$2:$A$20000,S179,DATOS!$G$2:$G$20000,CONFIG_METADATA!$B$4,DATOS!$I$2:$I$20000,"Armonía"),"")))</f>
        <v/>
      </c>
      <c r="U179" t="str">
        <f>IF(S179="","",IF(S179="[FÓRMULA MANUAL]","",IFERROR(AVERAGEIFS(DATOS!$K$2:$K$20000,DATOS!$A$2:$A$20000,S179,DATOS!$G$2:$G$20000,CONFIG_METADATA!$B$4,DATOS!$I$2:$I$20000,"Orquesta/Banda/Conjunto"),"")))</f>
        <v/>
      </c>
      <c r="V179" t="str">
        <f>IF(S179="","",IF(S179="[FÓRMULA MANUAL]","",IFERROR(AVERAGEIFS(DATOS!$K$2:$K$20000,DATOS!$A$2:$A$20000,S179,DATOS!$G$2:$G$20000,CONFIG_METADATA!$B$4,DATOS!$I$2:$I$20000,"Música de Cámara"),"")))</f>
        <v/>
      </c>
      <c r="W179" t="str">
        <f>IF(S179="","",IF(S179="[FÓRMULA MANUAL]","",IFERROR(SUMPRODUCT((DATOS!$A$2:$A$20000=S179)*(DATOS!$G$2:$G$20000=CONFIG_METADATA!$B$4)*(COUNTIF(CONFIG_ASIGNATURAS!$B$7:$B$27,DATOS!$I$2:$I$20000)&gt;0)*(DATOS!$K$2:$K$20000))/SUMPRODUCT((DATOS!$A$2:$A$20000=S179)*(DATOS!$G$2:$G$20000=CONFIG_METADATA!$B$4)*(COUNTIF(CONFIG_ASIGNATURAS!$B$7:$B$27,DATOS!$I$2:$I$20000)&gt;0)*1),"")))</f>
        <v/>
      </c>
      <c r="Z179" t="str">
        <f>IF(Y179="","",IF(Y179="[FÓRMULA MANUAL]","",IFERROR(AVERAGEIFS(DATOS!$K$2:$K$20000,DATOS!$A$2:$A$20000,Y179,DATOS!$G$2:$G$20000,CONFIG_METADATA!$B$4,DATOS!$I$2:$I$20000,"Análisis"),"")))</f>
        <v/>
      </c>
      <c r="AA179" t="str">
        <f>IF(Y179="","",IF(Y179="[FÓRMULA MANUAL]","",IFERROR(AVERAGEIFS(DATOS!$K$2:$K$20000,DATOS!$A$2:$A$20000,Y179,DATOS!$G$2:$G$20000,CONFIG_METADATA!$B$4,DATOS!$I$2:$I$20000,"Orquesta/Banda/Conjunto"),"")))</f>
        <v/>
      </c>
      <c r="AB179" t="str">
        <f>IF(Y179="","",IF(Y179="[FÓRMULA MANUAL]","",IFERROR(AVERAGEIFS(DATOS!$K$2:$K$20000,DATOS!$A$2:$A$20000,Y179,DATOS!$G$2:$G$20000,CONFIG_METADATA!$B$4,DATOS!$I$2:$I$20000,"Música de Cámara"),"")))</f>
        <v/>
      </c>
      <c r="AC179" t="str">
        <f>IF(Y179="","",IF(Y179="[FÓRMULA MANUAL]","",IFERROR(SUMPRODUCT((DATOS!$A$2:$A$20000=Y179)*(DATOS!$G$2:$G$20000=CONFIG_METADATA!$B$4)*(COUNTIF(CONFIG_ASIGNATURAS!$B$7:$B$27,DATOS!$I$2:$I$20000)&gt;0)*(DATOS!$K$2:$K$20000))/SUMPRODUCT((DATOS!$A$2:$A$20000=Y179)*(DATOS!$G$2:$G$20000=CONFIG_METADATA!$B$4)*(COUNTIF(CONFIG_ASIGNATURAS!$B$7:$B$27,DATOS!$I$2:$I$20000)&gt;0)*1),"")))</f>
        <v/>
      </c>
      <c r="AF179" t="str">
        <f>IF(AE179="","",IF(AE179="[FÓRMULA MANUAL]","",IFERROR(AVERAGEIFS(DATOS!$K$2:$K$20000,DATOS!$A$2:$A$20000,AE179,DATOS!$G$2:$G$20000,CONFIG_METADATA!$B$4,DATOS!$I$2:$I$20000,"Análisis"),"")))</f>
        <v/>
      </c>
      <c r="AG179" t="str">
        <f>IF(AE179="","",IF(AE179="[FÓRMULA MANUAL]","",IFERROR(AVERAGEIFS(DATOS!$K$2:$K$20000,DATOS!$A$2:$A$20000,AE179,DATOS!$G$2:$G$20000,CONFIG_METADATA!$B$4,DATOS!$I$2:$I$20000,"Orquesta/Banda/Conjunto"),"")))</f>
        <v/>
      </c>
      <c r="AH179" t="str">
        <f>IF(AE179="","",IF(AE179="[FÓRMULA MANUAL]","",IFERROR(AVERAGEIFS(DATOS!$K$2:$K$20000,DATOS!$A$2:$A$20000,AE179,DATOS!$G$2:$G$20000,CONFIG_METADATA!$B$4,DATOS!$I$2:$I$20000,"Música de Cámara"),"")))</f>
        <v/>
      </c>
      <c r="AI179" t="str">
        <f>IF(AE179="","",IF(AE179="[FÓRMULA MANUAL]","",IFERROR(SUMPRODUCT((DATOS!$A$2:$A$20000=AE179)*(DATOS!$G$2:$G$20000=CONFIG_METADATA!$B$4)*(COUNTIF(CONFIG_ASIGNATURAS!$B$7:$B$27,DATOS!$I$2:$I$20000)&gt;0)*(DATOS!$K$2:$K$20000))/SUMPRODUCT((DATOS!$A$2:$A$20000=AE179)*(DATOS!$G$2:$G$20000=CONFIG_METADATA!$B$4)*(COUNTIF(CONFIG_ASIGNATURAS!$B$7:$B$27,DATOS!$I$2:$I$20000)&gt;0)*1),"")))</f>
        <v/>
      </c>
    </row>
    <row r="180" spans="2:35" x14ac:dyDescent="0.2">
      <c r="B180" t="str">
        <f>IF(A180="","",IF(A180="[FÓRMULA MANUAL]","",IFERROR(AVERAGEIFS(DATOS!$K$2:$K$20000,DATOS!$A$2:$A$20000,A180,DATOS!$G$2:$G$20000,CONFIG_METADATA!$B$4,DATOS!$I$2:$I$20000,"Lenguaje Musical"),"")))</f>
        <v/>
      </c>
      <c r="C180" t="str">
        <f>IF(A180="","",IF(A180="[FÓRMULA MANUAL]","",IFERROR(AVERAGEIFS(DATOS!$K$2:$K$20000,DATOS!$A$2:$A$20000,A180,DATOS!$G$2:$G$20000,CONFIG_METADATA!$B$4,DATOS!$I$2:$I$20000,"Orquesta/Banda/Conjunto"),"")))</f>
        <v/>
      </c>
      <c r="D180" t="str">
        <f>IF(A180="","",IF(A180="[FÓRMULA MANUAL]","",IFERROR(AVERAGEIFS(DATOS!$K$2:$K$20000,DATOS!$A$2:$A$20000,A180,DATOS!$G$2:$G$20000,CONFIG_METADATA!$B$4,DATOS!$I$2:$I$20000,"Conjunto"),"")))</f>
        <v/>
      </c>
      <c r="E180" t="str">
        <f>IF(A180="","",IF(A180="[FÓRMULA MANUAL]","",IFERROR(SUMPRODUCT((DATOS!$A$2:$A$20000=A180)*(DATOS!$G$2:$G$20000=CONFIG_METADATA!$B$4)*(COUNTIF(CONFIG_ASIGNATURAS!$B$7:$B$27,DATOS!$I$2:$I$20000)&gt;0)*(DATOS!$K$2:$K$20000))/SUMPRODUCT((DATOS!$A$2:$A$20000=A180)*(DATOS!$G$2:$G$20000=CONFIG_METADATA!$B$4)*(COUNTIF(CONFIG_ASIGNATURAS!$B$7:$B$27,DATOS!$I$2:$I$20000)&gt;0)*1),"")))</f>
        <v/>
      </c>
      <c r="H180" t="str">
        <f>IF(G180="","",IF(G180="[FÓRMULA MANUAL]","",IFERROR(AVERAGEIFS(DATOS!$K$2:$K$20000,DATOS!$A$2:$A$20000,G180,DATOS!$G$2:$G$20000,CONFIG_METADATA!$B$4,DATOS!$I$2:$I$20000,"Lenguaje Musical"),"")))</f>
        <v/>
      </c>
      <c r="I180" t="str">
        <f>IF(G180="","",IF(G180="[FÓRMULA MANUAL]","",IFERROR(AVERAGEIFS(DATOS!$K$2:$K$20000,DATOS!$A$2:$A$20000,G180,DATOS!$G$2:$G$20000,CONFIG_METADATA!$B$4,DATOS!$I$2:$I$20000,"Orquesta/Banda/Conjunto"),"")))</f>
        <v/>
      </c>
      <c r="J180" t="str">
        <f>IF(G180="","",IF(G180="[FÓRMULA MANUAL]","",IFERROR(AVERAGEIFS(DATOS!$K$2:$K$20000,DATOS!$A$2:$A$20000,G180,DATOS!$G$2:$G$20000,CONFIG_METADATA!$B$4,DATOS!$I$2:$I$20000,"Conjunto"),"")))</f>
        <v/>
      </c>
      <c r="K180" t="str">
        <f>IF(G180="","",IF(G180="[FÓRMULA MANUAL]","",IFERROR(SUMPRODUCT((DATOS!$A$2:$A$20000=G180)*(DATOS!$G$2:$G$20000=CONFIG_METADATA!$B$4)*(COUNTIF(CONFIG_ASIGNATURAS!$B$7:$B$27,DATOS!$I$2:$I$20000)&gt;0)*(DATOS!$K$2:$K$20000))/SUMPRODUCT((DATOS!$A$2:$A$20000=G180)*(DATOS!$G$2:$G$20000=CONFIG_METADATA!$B$4)*(COUNTIF(CONFIG_ASIGNATURAS!$B$7:$B$27,DATOS!$I$2:$I$20000)&gt;0)*1),"")))</f>
        <v/>
      </c>
      <c r="N180" t="str">
        <f>IF(M180="","",IF(M180="[FÓRMULA MANUAL]","",IFERROR(AVERAGEIFS(DATOS!$K$2:$K$20000,DATOS!$A$2:$A$20000,M180,DATOS!$G$2:$G$20000,CONFIG_METADATA!$B$4,DATOS!$I$2:$I$20000,"Armonía"),"")))</f>
        <v/>
      </c>
      <c r="O180" t="str">
        <f>IF(M180="","",IF(M180="[FÓRMULA MANUAL]","",IFERROR(AVERAGEIFS(DATOS!$K$2:$K$20000,DATOS!$A$2:$A$20000,M180,DATOS!$G$2:$G$20000,CONFIG_METADATA!$B$4,DATOS!$I$2:$I$20000,"Orquesta/Banda/Conjunto"),"")))</f>
        <v/>
      </c>
      <c r="P180" t="str">
        <f>IF(M180="","",IF(M180="[FÓRMULA MANUAL]","",IFERROR(AVERAGEIFS(DATOS!$K$2:$K$20000,DATOS!$A$2:$A$20000,M180,DATOS!$G$2:$G$20000,CONFIG_METADATA!$B$4,DATOS!$I$2:$I$20000,"Música de Cámara"),"")))</f>
        <v/>
      </c>
      <c r="Q180" t="str">
        <f>IF(M180="","",IF(M180="[FÓRMULA MANUAL]","",IFERROR(SUMPRODUCT((DATOS!$A$2:$A$20000=M180)*(DATOS!$G$2:$G$20000=CONFIG_METADATA!$B$4)*(COUNTIF(CONFIG_ASIGNATURAS!$B$7:$B$27,DATOS!$I$2:$I$20000)&gt;0)*(DATOS!$K$2:$K$20000))/SUMPRODUCT((DATOS!$A$2:$A$20000=M180)*(DATOS!$G$2:$G$20000=CONFIG_METADATA!$B$4)*(COUNTIF(CONFIG_ASIGNATURAS!$B$7:$B$27,DATOS!$I$2:$I$20000)&gt;0)*1),"")))</f>
        <v/>
      </c>
      <c r="T180" t="str">
        <f>IF(S180="","",IF(S180="[FÓRMULA MANUAL]","",IFERROR(AVERAGEIFS(DATOS!$K$2:$K$20000,DATOS!$A$2:$A$20000,S180,DATOS!$G$2:$G$20000,CONFIG_METADATA!$B$4,DATOS!$I$2:$I$20000,"Armonía"),"")))</f>
        <v/>
      </c>
      <c r="U180" t="str">
        <f>IF(S180="","",IF(S180="[FÓRMULA MANUAL]","",IFERROR(AVERAGEIFS(DATOS!$K$2:$K$20000,DATOS!$A$2:$A$20000,S180,DATOS!$G$2:$G$20000,CONFIG_METADATA!$B$4,DATOS!$I$2:$I$20000,"Orquesta/Banda/Conjunto"),"")))</f>
        <v/>
      </c>
      <c r="V180" t="str">
        <f>IF(S180="","",IF(S180="[FÓRMULA MANUAL]","",IFERROR(AVERAGEIFS(DATOS!$K$2:$K$20000,DATOS!$A$2:$A$20000,S180,DATOS!$G$2:$G$20000,CONFIG_METADATA!$B$4,DATOS!$I$2:$I$20000,"Música de Cámara"),"")))</f>
        <v/>
      </c>
      <c r="W180" t="str">
        <f>IF(S180="","",IF(S180="[FÓRMULA MANUAL]","",IFERROR(SUMPRODUCT((DATOS!$A$2:$A$20000=S180)*(DATOS!$G$2:$G$20000=CONFIG_METADATA!$B$4)*(COUNTIF(CONFIG_ASIGNATURAS!$B$7:$B$27,DATOS!$I$2:$I$20000)&gt;0)*(DATOS!$K$2:$K$20000))/SUMPRODUCT((DATOS!$A$2:$A$20000=S180)*(DATOS!$G$2:$G$20000=CONFIG_METADATA!$B$4)*(COUNTIF(CONFIG_ASIGNATURAS!$B$7:$B$27,DATOS!$I$2:$I$20000)&gt;0)*1),"")))</f>
        <v/>
      </c>
      <c r="Z180" t="str">
        <f>IF(Y180="","",IF(Y180="[FÓRMULA MANUAL]","",IFERROR(AVERAGEIFS(DATOS!$K$2:$K$20000,DATOS!$A$2:$A$20000,Y180,DATOS!$G$2:$G$20000,CONFIG_METADATA!$B$4,DATOS!$I$2:$I$20000,"Análisis"),"")))</f>
        <v/>
      </c>
      <c r="AA180" t="str">
        <f>IF(Y180="","",IF(Y180="[FÓRMULA MANUAL]","",IFERROR(AVERAGEIFS(DATOS!$K$2:$K$20000,DATOS!$A$2:$A$20000,Y180,DATOS!$G$2:$G$20000,CONFIG_METADATA!$B$4,DATOS!$I$2:$I$20000,"Orquesta/Banda/Conjunto"),"")))</f>
        <v/>
      </c>
      <c r="AB180" t="str">
        <f>IF(Y180="","",IF(Y180="[FÓRMULA MANUAL]","",IFERROR(AVERAGEIFS(DATOS!$K$2:$K$20000,DATOS!$A$2:$A$20000,Y180,DATOS!$G$2:$G$20000,CONFIG_METADATA!$B$4,DATOS!$I$2:$I$20000,"Música de Cámara"),"")))</f>
        <v/>
      </c>
      <c r="AC180" t="str">
        <f>IF(Y180="","",IF(Y180="[FÓRMULA MANUAL]","",IFERROR(SUMPRODUCT((DATOS!$A$2:$A$20000=Y180)*(DATOS!$G$2:$G$20000=CONFIG_METADATA!$B$4)*(COUNTIF(CONFIG_ASIGNATURAS!$B$7:$B$27,DATOS!$I$2:$I$20000)&gt;0)*(DATOS!$K$2:$K$20000))/SUMPRODUCT((DATOS!$A$2:$A$20000=Y180)*(DATOS!$G$2:$G$20000=CONFIG_METADATA!$B$4)*(COUNTIF(CONFIG_ASIGNATURAS!$B$7:$B$27,DATOS!$I$2:$I$20000)&gt;0)*1),"")))</f>
        <v/>
      </c>
      <c r="AF180" t="str">
        <f>IF(AE180="","",IF(AE180="[FÓRMULA MANUAL]","",IFERROR(AVERAGEIFS(DATOS!$K$2:$K$20000,DATOS!$A$2:$A$20000,AE180,DATOS!$G$2:$G$20000,CONFIG_METADATA!$B$4,DATOS!$I$2:$I$20000,"Análisis"),"")))</f>
        <v/>
      </c>
      <c r="AG180" t="str">
        <f>IF(AE180="","",IF(AE180="[FÓRMULA MANUAL]","",IFERROR(AVERAGEIFS(DATOS!$K$2:$K$20000,DATOS!$A$2:$A$20000,AE180,DATOS!$G$2:$G$20000,CONFIG_METADATA!$B$4,DATOS!$I$2:$I$20000,"Orquesta/Banda/Conjunto"),"")))</f>
        <v/>
      </c>
      <c r="AH180" t="str">
        <f>IF(AE180="","",IF(AE180="[FÓRMULA MANUAL]","",IFERROR(AVERAGEIFS(DATOS!$K$2:$K$20000,DATOS!$A$2:$A$20000,AE180,DATOS!$G$2:$G$20000,CONFIG_METADATA!$B$4,DATOS!$I$2:$I$20000,"Música de Cámara"),"")))</f>
        <v/>
      </c>
      <c r="AI180" t="str">
        <f>IF(AE180="","",IF(AE180="[FÓRMULA MANUAL]","",IFERROR(SUMPRODUCT((DATOS!$A$2:$A$20000=AE180)*(DATOS!$G$2:$G$20000=CONFIG_METADATA!$B$4)*(COUNTIF(CONFIG_ASIGNATURAS!$B$7:$B$27,DATOS!$I$2:$I$20000)&gt;0)*(DATOS!$K$2:$K$20000))/SUMPRODUCT((DATOS!$A$2:$A$20000=AE180)*(DATOS!$G$2:$G$20000=CONFIG_METADATA!$B$4)*(COUNTIF(CONFIG_ASIGNATURAS!$B$7:$B$27,DATOS!$I$2:$I$20000)&gt;0)*1),"")))</f>
        <v/>
      </c>
    </row>
    <row r="181" spans="2:35" x14ac:dyDescent="0.2">
      <c r="B181" t="str">
        <f>IF(A181="","",IF(A181="[FÓRMULA MANUAL]","",IFERROR(AVERAGEIFS(DATOS!$K$2:$K$20000,DATOS!$A$2:$A$20000,A181,DATOS!$G$2:$G$20000,CONFIG_METADATA!$B$4,DATOS!$I$2:$I$20000,"Lenguaje Musical"),"")))</f>
        <v/>
      </c>
      <c r="C181" t="str">
        <f>IF(A181="","",IF(A181="[FÓRMULA MANUAL]","",IFERROR(AVERAGEIFS(DATOS!$K$2:$K$20000,DATOS!$A$2:$A$20000,A181,DATOS!$G$2:$G$20000,CONFIG_METADATA!$B$4,DATOS!$I$2:$I$20000,"Orquesta/Banda/Conjunto"),"")))</f>
        <v/>
      </c>
      <c r="D181" t="str">
        <f>IF(A181="","",IF(A181="[FÓRMULA MANUAL]","",IFERROR(AVERAGEIFS(DATOS!$K$2:$K$20000,DATOS!$A$2:$A$20000,A181,DATOS!$G$2:$G$20000,CONFIG_METADATA!$B$4,DATOS!$I$2:$I$20000,"Conjunto"),"")))</f>
        <v/>
      </c>
      <c r="E181" t="str">
        <f>IF(A181="","",IF(A181="[FÓRMULA MANUAL]","",IFERROR(SUMPRODUCT((DATOS!$A$2:$A$20000=A181)*(DATOS!$G$2:$G$20000=CONFIG_METADATA!$B$4)*(COUNTIF(CONFIG_ASIGNATURAS!$B$7:$B$27,DATOS!$I$2:$I$20000)&gt;0)*(DATOS!$K$2:$K$20000))/SUMPRODUCT((DATOS!$A$2:$A$20000=A181)*(DATOS!$G$2:$G$20000=CONFIG_METADATA!$B$4)*(COUNTIF(CONFIG_ASIGNATURAS!$B$7:$B$27,DATOS!$I$2:$I$20000)&gt;0)*1),"")))</f>
        <v/>
      </c>
      <c r="H181" t="str">
        <f>IF(G181="","",IF(G181="[FÓRMULA MANUAL]","",IFERROR(AVERAGEIFS(DATOS!$K$2:$K$20000,DATOS!$A$2:$A$20000,G181,DATOS!$G$2:$G$20000,CONFIG_METADATA!$B$4,DATOS!$I$2:$I$20000,"Lenguaje Musical"),"")))</f>
        <v/>
      </c>
      <c r="I181" t="str">
        <f>IF(G181="","",IF(G181="[FÓRMULA MANUAL]","",IFERROR(AVERAGEIFS(DATOS!$K$2:$K$20000,DATOS!$A$2:$A$20000,G181,DATOS!$G$2:$G$20000,CONFIG_METADATA!$B$4,DATOS!$I$2:$I$20000,"Orquesta/Banda/Conjunto"),"")))</f>
        <v/>
      </c>
      <c r="J181" t="str">
        <f>IF(G181="","",IF(G181="[FÓRMULA MANUAL]","",IFERROR(AVERAGEIFS(DATOS!$K$2:$K$20000,DATOS!$A$2:$A$20000,G181,DATOS!$G$2:$G$20000,CONFIG_METADATA!$B$4,DATOS!$I$2:$I$20000,"Conjunto"),"")))</f>
        <v/>
      </c>
      <c r="K181" t="str">
        <f>IF(G181="","",IF(G181="[FÓRMULA MANUAL]","",IFERROR(SUMPRODUCT((DATOS!$A$2:$A$20000=G181)*(DATOS!$G$2:$G$20000=CONFIG_METADATA!$B$4)*(COUNTIF(CONFIG_ASIGNATURAS!$B$7:$B$27,DATOS!$I$2:$I$20000)&gt;0)*(DATOS!$K$2:$K$20000))/SUMPRODUCT((DATOS!$A$2:$A$20000=G181)*(DATOS!$G$2:$G$20000=CONFIG_METADATA!$B$4)*(COUNTIF(CONFIG_ASIGNATURAS!$B$7:$B$27,DATOS!$I$2:$I$20000)&gt;0)*1),"")))</f>
        <v/>
      </c>
      <c r="N181" t="str">
        <f>IF(M181="","",IF(M181="[FÓRMULA MANUAL]","",IFERROR(AVERAGEIFS(DATOS!$K$2:$K$20000,DATOS!$A$2:$A$20000,M181,DATOS!$G$2:$G$20000,CONFIG_METADATA!$B$4,DATOS!$I$2:$I$20000,"Armonía"),"")))</f>
        <v/>
      </c>
      <c r="O181" t="str">
        <f>IF(M181="","",IF(M181="[FÓRMULA MANUAL]","",IFERROR(AVERAGEIFS(DATOS!$K$2:$K$20000,DATOS!$A$2:$A$20000,M181,DATOS!$G$2:$G$20000,CONFIG_METADATA!$B$4,DATOS!$I$2:$I$20000,"Orquesta/Banda/Conjunto"),"")))</f>
        <v/>
      </c>
      <c r="P181" t="str">
        <f>IF(M181="","",IF(M181="[FÓRMULA MANUAL]","",IFERROR(AVERAGEIFS(DATOS!$K$2:$K$20000,DATOS!$A$2:$A$20000,M181,DATOS!$G$2:$G$20000,CONFIG_METADATA!$B$4,DATOS!$I$2:$I$20000,"Música de Cámara"),"")))</f>
        <v/>
      </c>
      <c r="Q181" t="str">
        <f>IF(M181="","",IF(M181="[FÓRMULA MANUAL]","",IFERROR(SUMPRODUCT((DATOS!$A$2:$A$20000=M181)*(DATOS!$G$2:$G$20000=CONFIG_METADATA!$B$4)*(COUNTIF(CONFIG_ASIGNATURAS!$B$7:$B$27,DATOS!$I$2:$I$20000)&gt;0)*(DATOS!$K$2:$K$20000))/SUMPRODUCT((DATOS!$A$2:$A$20000=M181)*(DATOS!$G$2:$G$20000=CONFIG_METADATA!$B$4)*(COUNTIF(CONFIG_ASIGNATURAS!$B$7:$B$27,DATOS!$I$2:$I$20000)&gt;0)*1),"")))</f>
        <v/>
      </c>
      <c r="T181" t="str">
        <f>IF(S181="","",IF(S181="[FÓRMULA MANUAL]","",IFERROR(AVERAGEIFS(DATOS!$K$2:$K$20000,DATOS!$A$2:$A$20000,S181,DATOS!$G$2:$G$20000,CONFIG_METADATA!$B$4,DATOS!$I$2:$I$20000,"Armonía"),"")))</f>
        <v/>
      </c>
      <c r="U181" t="str">
        <f>IF(S181="","",IF(S181="[FÓRMULA MANUAL]","",IFERROR(AVERAGEIFS(DATOS!$K$2:$K$20000,DATOS!$A$2:$A$20000,S181,DATOS!$G$2:$G$20000,CONFIG_METADATA!$B$4,DATOS!$I$2:$I$20000,"Orquesta/Banda/Conjunto"),"")))</f>
        <v/>
      </c>
      <c r="V181" t="str">
        <f>IF(S181="","",IF(S181="[FÓRMULA MANUAL]","",IFERROR(AVERAGEIFS(DATOS!$K$2:$K$20000,DATOS!$A$2:$A$20000,S181,DATOS!$G$2:$G$20000,CONFIG_METADATA!$B$4,DATOS!$I$2:$I$20000,"Música de Cámara"),"")))</f>
        <v/>
      </c>
      <c r="W181" t="str">
        <f>IF(S181="","",IF(S181="[FÓRMULA MANUAL]","",IFERROR(SUMPRODUCT((DATOS!$A$2:$A$20000=S181)*(DATOS!$G$2:$G$20000=CONFIG_METADATA!$B$4)*(COUNTIF(CONFIG_ASIGNATURAS!$B$7:$B$27,DATOS!$I$2:$I$20000)&gt;0)*(DATOS!$K$2:$K$20000))/SUMPRODUCT((DATOS!$A$2:$A$20000=S181)*(DATOS!$G$2:$G$20000=CONFIG_METADATA!$B$4)*(COUNTIF(CONFIG_ASIGNATURAS!$B$7:$B$27,DATOS!$I$2:$I$20000)&gt;0)*1),"")))</f>
        <v/>
      </c>
      <c r="Z181" t="str">
        <f>IF(Y181="","",IF(Y181="[FÓRMULA MANUAL]","",IFERROR(AVERAGEIFS(DATOS!$K$2:$K$20000,DATOS!$A$2:$A$20000,Y181,DATOS!$G$2:$G$20000,CONFIG_METADATA!$B$4,DATOS!$I$2:$I$20000,"Análisis"),"")))</f>
        <v/>
      </c>
      <c r="AA181" t="str">
        <f>IF(Y181="","",IF(Y181="[FÓRMULA MANUAL]","",IFERROR(AVERAGEIFS(DATOS!$K$2:$K$20000,DATOS!$A$2:$A$20000,Y181,DATOS!$G$2:$G$20000,CONFIG_METADATA!$B$4,DATOS!$I$2:$I$20000,"Orquesta/Banda/Conjunto"),"")))</f>
        <v/>
      </c>
      <c r="AB181" t="str">
        <f>IF(Y181="","",IF(Y181="[FÓRMULA MANUAL]","",IFERROR(AVERAGEIFS(DATOS!$K$2:$K$20000,DATOS!$A$2:$A$20000,Y181,DATOS!$G$2:$G$20000,CONFIG_METADATA!$B$4,DATOS!$I$2:$I$20000,"Música de Cámara"),"")))</f>
        <v/>
      </c>
      <c r="AC181" t="str">
        <f>IF(Y181="","",IF(Y181="[FÓRMULA MANUAL]","",IFERROR(SUMPRODUCT((DATOS!$A$2:$A$20000=Y181)*(DATOS!$G$2:$G$20000=CONFIG_METADATA!$B$4)*(COUNTIF(CONFIG_ASIGNATURAS!$B$7:$B$27,DATOS!$I$2:$I$20000)&gt;0)*(DATOS!$K$2:$K$20000))/SUMPRODUCT((DATOS!$A$2:$A$20000=Y181)*(DATOS!$G$2:$G$20000=CONFIG_METADATA!$B$4)*(COUNTIF(CONFIG_ASIGNATURAS!$B$7:$B$27,DATOS!$I$2:$I$20000)&gt;0)*1),"")))</f>
        <v/>
      </c>
      <c r="AF181" t="str">
        <f>IF(AE181="","",IF(AE181="[FÓRMULA MANUAL]","",IFERROR(AVERAGEIFS(DATOS!$K$2:$K$20000,DATOS!$A$2:$A$20000,AE181,DATOS!$G$2:$G$20000,CONFIG_METADATA!$B$4,DATOS!$I$2:$I$20000,"Análisis"),"")))</f>
        <v/>
      </c>
      <c r="AG181" t="str">
        <f>IF(AE181="","",IF(AE181="[FÓRMULA MANUAL]","",IFERROR(AVERAGEIFS(DATOS!$K$2:$K$20000,DATOS!$A$2:$A$20000,AE181,DATOS!$G$2:$G$20000,CONFIG_METADATA!$B$4,DATOS!$I$2:$I$20000,"Orquesta/Banda/Conjunto"),"")))</f>
        <v/>
      </c>
      <c r="AH181" t="str">
        <f>IF(AE181="","",IF(AE181="[FÓRMULA MANUAL]","",IFERROR(AVERAGEIFS(DATOS!$K$2:$K$20000,DATOS!$A$2:$A$20000,AE181,DATOS!$G$2:$G$20000,CONFIG_METADATA!$B$4,DATOS!$I$2:$I$20000,"Música de Cámara"),"")))</f>
        <v/>
      </c>
      <c r="AI181" t="str">
        <f>IF(AE181="","",IF(AE181="[FÓRMULA MANUAL]","",IFERROR(SUMPRODUCT((DATOS!$A$2:$A$20000=AE181)*(DATOS!$G$2:$G$20000=CONFIG_METADATA!$B$4)*(COUNTIF(CONFIG_ASIGNATURAS!$B$7:$B$27,DATOS!$I$2:$I$20000)&gt;0)*(DATOS!$K$2:$K$20000))/SUMPRODUCT((DATOS!$A$2:$A$20000=AE181)*(DATOS!$G$2:$G$20000=CONFIG_METADATA!$B$4)*(COUNTIF(CONFIG_ASIGNATURAS!$B$7:$B$27,DATOS!$I$2:$I$20000)&gt;0)*1),"")))</f>
        <v/>
      </c>
    </row>
    <row r="182" spans="2:35" x14ac:dyDescent="0.2">
      <c r="B182" t="str">
        <f>IF(A182="","",IF(A182="[FÓRMULA MANUAL]","",IFERROR(AVERAGEIFS(DATOS!$K$2:$K$20000,DATOS!$A$2:$A$20000,A182,DATOS!$G$2:$G$20000,CONFIG_METADATA!$B$4,DATOS!$I$2:$I$20000,"Lenguaje Musical"),"")))</f>
        <v/>
      </c>
      <c r="C182" t="str">
        <f>IF(A182="","",IF(A182="[FÓRMULA MANUAL]","",IFERROR(AVERAGEIFS(DATOS!$K$2:$K$20000,DATOS!$A$2:$A$20000,A182,DATOS!$G$2:$G$20000,CONFIG_METADATA!$B$4,DATOS!$I$2:$I$20000,"Orquesta/Banda/Conjunto"),"")))</f>
        <v/>
      </c>
      <c r="D182" t="str">
        <f>IF(A182="","",IF(A182="[FÓRMULA MANUAL]","",IFERROR(AVERAGEIFS(DATOS!$K$2:$K$20000,DATOS!$A$2:$A$20000,A182,DATOS!$G$2:$G$20000,CONFIG_METADATA!$B$4,DATOS!$I$2:$I$20000,"Conjunto"),"")))</f>
        <v/>
      </c>
      <c r="E182" t="str">
        <f>IF(A182="","",IF(A182="[FÓRMULA MANUAL]","",IFERROR(SUMPRODUCT((DATOS!$A$2:$A$20000=A182)*(DATOS!$G$2:$G$20000=CONFIG_METADATA!$B$4)*(COUNTIF(CONFIG_ASIGNATURAS!$B$7:$B$27,DATOS!$I$2:$I$20000)&gt;0)*(DATOS!$K$2:$K$20000))/SUMPRODUCT((DATOS!$A$2:$A$20000=A182)*(DATOS!$G$2:$G$20000=CONFIG_METADATA!$B$4)*(COUNTIF(CONFIG_ASIGNATURAS!$B$7:$B$27,DATOS!$I$2:$I$20000)&gt;0)*1),"")))</f>
        <v/>
      </c>
      <c r="H182" t="str">
        <f>IF(G182="","",IF(G182="[FÓRMULA MANUAL]","",IFERROR(AVERAGEIFS(DATOS!$K$2:$K$20000,DATOS!$A$2:$A$20000,G182,DATOS!$G$2:$G$20000,CONFIG_METADATA!$B$4,DATOS!$I$2:$I$20000,"Lenguaje Musical"),"")))</f>
        <v/>
      </c>
      <c r="I182" t="str">
        <f>IF(G182="","",IF(G182="[FÓRMULA MANUAL]","",IFERROR(AVERAGEIFS(DATOS!$K$2:$K$20000,DATOS!$A$2:$A$20000,G182,DATOS!$G$2:$G$20000,CONFIG_METADATA!$B$4,DATOS!$I$2:$I$20000,"Orquesta/Banda/Conjunto"),"")))</f>
        <v/>
      </c>
      <c r="J182" t="str">
        <f>IF(G182="","",IF(G182="[FÓRMULA MANUAL]","",IFERROR(AVERAGEIFS(DATOS!$K$2:$K$20000,DATOS!$A$2:$A$20000,G182,DATOS!$G$2:$G$20000,CONFIG_METADATA!$B$4,DATOS!$I$2:$I$20000,"Conjunto"),"")))</f>
        <v/>
      </c>
      <c r="K182" t="str">
        <f>IF(G182="","",IF(G182="[FÓRMULA MANUAL]","",IFERROR(SUMPRODUCT((DATOS!$A$2:$A$20000=G182)*(DATOS!$G$2:$G$20000=CONFIG_METADATA!$B$4)*(COUNTIF(CONFIG_ASIGNATURAS!$B$7:$B$27,DATOS!$I$2:$I$20000)&gt;0)*(DATOS!$K$2:$K$20000))/SUMPRODUCT((DATOS!$A$2:$A$20000=G182)*(DATOS!$G$2:$G$20000=CONFIG_METADATA!$B$4)*(COUNTIF(CONFIG_ASIGNATURAS!$B$7:$B$27,DATOS!$I$2:$I$20000)&gt;0)*1),"")))</f>
        <v/>
      </c>
      <c r="N182" t="str">
        <f>IF(M182="","",IF(M182="[FÓRMULA MANUAL]","",IFERROR(AVERAGEIFS(DATOS!$K$2:$K$20000,DATOS!$A$2:$A$20000,M182,DATOS!$G$2:$G$20000,CONFIG_METADATA!$B$4,DATOS!$I$2:$I$20000,"Armonía"),"")))</f>
        <v/>
      </c>
      <c r="O182" t="str">
        <f>IF(M182="","",IF(M182="[FÓRMULA MANUAL]","",IFERROR(AVERAGEIFS(DATOS!$K$2:$K$20000,DATOS!$A$2:$A$20000,M182,DATOS!$G$2:$G$20000,CONFIG_METADATA!$B$4,DATOS!$I$2:$I$20000,"Orquesta/Banda/Conjunto"),"")))</f>
        <v/>
      </c>
      <c r="P182" t="str">
        <f>IF(M182="","",IF(M182="[FÓRMULA MANUAL]","",IFERROR(AVERAGEIFS(DATOS!$K$2:$K$20000,DATOS!$A$2:$A$20000,M182,DATOS!$G$2:$G$20000,CONFIG_METADATA!$B$4,DATOS!$I$2:$I$20000,"Música de Cámara"),"")))</f>
        <v/>
      </c>
      <c r="Q182" t="str">
        <f>IF(M182="","",IF(M182="[FÓRMULA MANUAL]","",IFERROR(SUMPRODUCT((DATOS!$A$2:$A$20000=M182)*(DATOS!$G$2:$G$20000=CONFIG_METADATA!$B$4)*(COUNTIF(CONFIG_ASIGNATURAS!$B$7:$B$27,DATOS!$I$2:$I$20000)&gt;0)*(DATOS!$K$2:$K$20000))/SUMPRODUCT((DATOS!$A$2:$A$20000=M182)*(DATOS!$G$2:$G$20000=CONFIG_METADATA!$B$4)*(COUNTIF(CONFIG_ASIGNATURAS!$B$7:$B$27,DATOS!$I$2:$I$20000)&gt;0)*1),"")))</f>
        <v/>
      </c>
      <c r="T182" t="str">
        <f>IF(S182="","",IF(S182="[FÓRMULA MANUAL]","",IFERROR(AVERAGEIFS(DATOS!$K$2:$K$20000,DATOS!$A$2:$A$20000,S182,DATOS!$G$2:$G$20000,CONFIG_METADATA!$B$4,DATOS!$I$2:$I$20000,"Armonía"),"")))</f>
        <v/>
      </c>
      <c r="U182" t="str">
        <f>IF(S182="","",IF(S182="[FÓRMULA MANUAL]","",IFERROR(AVERAGEIFS(DATOS!$K$2:$K$20000,DATOS!$A$2:$A$20000,S182,DATOS!$G$2:$G$20000,CONFIG_METADATA!$B$4,DATOS!$I$2:$I$20000,"Orquesta/Banda/Conjunto"),"")))</f>
        <v/>
      </c>
      <c r="V182" t="str">
        <f>IF(S182="","",IF(S182="[FÓRMULA MANUAL]","",IFERROR(AVERAGEIFS(DATOS!$K$2:$K$20000,DATOS!$A$2:$A$20000,S182,DATOS!$G$2:$G$20000,CONFIG_METADATA!$B$4,DATOS!$I$2:$I$20000,"Música de Cámara"),"")))</f>
        <v/>
      </c>
      <c r="W182" t="str">
        <f>IF(S182="","",IF(S182="[FÓRMULA MANUAL]","",IFERROR(SUMPRODUCT((DATOS!$A$2:$A$20000=S182)*(DATOS!$G$2:$G$20000=CONFIG_METADATA!$B$4)*(COUNTIF(CONFIG_ASIGNATURAS!$B$7:$B$27,DATOS!$I$2:$I$20000)&gt;0)*(DATOS!$K$2:$K$20000))/SUMPRODUCT((DATOS!$A$2:$A$20000=S182)*(DATOS!$G$2:$G$20000=CONFIG_METADATA!$B$4)*(COUNTIF(CONFIG_ASIGNATURAS!$B$7:$B$27,DATOS!$I$2:$I$20000)&gt;0)*1),"")))</f>
        <v/>
      </c>
      <c r="Z182" t="str">
        <f>IF(Y182="","",IF(Y182="[FÓRMULA MANUAL]","",IFERROR(AVERAGEIFS(DATOS!$K$2:$K$20000,DATOS!$A$2:$A$20000,Y182,DATOS!$G$2:$G$20000,CONFIG_METADATA!$B$4,DATOS!$I$2:$I$20000,"Análisis"),"")))</f>
        <v/>
      </c>
      <c r="AA182" t="str">
        <f>IF(Y182="","",IF(Y182="[FÓRMULA MANUAL]","",IFERROR(AVERAGEIFS(DATOS!$K$2:$K$20000,DATOS!$A$2:$A$20000,Y182,DATOS!$G$2:$G$20000,CONFIG_METADATA!$B$4,DATOS!$I$2:$I$20000,"Orquesta/Banda/Conjunto"),"")))</f>
        <v/>
      </c>
      <c r="AB182" t="str">
        <f>IF(Y182="","",IF(Y182="[FÓRMULA MANUAL]","",IFERROR(AVERAGEIFS(DATOS!$K$2:$K$20000,DATOS!$A$2:$A$20000,Y182,DATOS!$G$2:$G$20000,CONFIG_METADATA!$B$4,DATOS!$I$2:$I$20000,"Música de Cámara"),"")))</f>
        <v/>
      </c>
      <c r="AC182" t="str">
        <f>IF(Y182="","",IF(Y182="[FÓRMULA MANUAL]","",IFERROR(SUMPRODUCT((DATOS!$A$2:$A$20000=Y182)*(DATOS!$G$2:$G$20000=CONFIG_METADATA!$B$4)*(COUNTIF(CONFIG_ASIGNATURAS!$B$7:$B$27,DATOS!$I$2:$I$20000)&gt;0)*(DATOS!$K$2:$K$20000))/SUMPRODUCT((DATOS!$A$2:$A$20000=Y182)*(DATOS!$G$2:$G$20000=CONFIG_METADATA!$B$4)*(COUNTIF(CONFIG_ASIGNATURAS!$B$7:$B$27,DATOS!$I$2:$I$20000)&gt;0)*1),"")))</f>
        <v/>
      </c>
      <c r="AF182" t="str">
        <f>IF(AE182="","",IF(AE182="[FÓRMULA MANUAL]","",IFERROR(AVERAGEIFS(DATOS!$K$2:$K$20000,DATOS!$A$2:$A$20000,AE182,DATOS!$G$2:$G$20000,CONFIG_METADATA!$B$4,DATOS!$I$2:$I$20000,"Análisis"),"")))</f>
        <v/>
      </c>
      <c r="AG182" t="str">
        <f>IF(AE182="","",IF(AE182="[FÓRMULA MANUAL]","",IFERROR(AVERAGEIFS(DATOS!$K$2:$K$20000,DATOS!$A$2:$A$20000,AE182,DATOS!$G$2:$G$20000,CONFIG_METADATA!$B$4,DATOS!$I$2:$I$20000,"Orquesta/Banda/Conjunto"),"")))</f>
        <v/>
      </c>
      <c r="AH182" t="str">
        <f>IF(AE182="","",IF(AE182="[FÓRMULA MANUAL]","",IFERROR(AVERAGEIFS(DATOS!$K$2:$K$20000,DATOS!$A$2:$A$20000,AE182,DATOS!$G$2:$G$20000,CONFIG_METADATA!$B$4,DATOS!$I$2:$I$20000,"Música de Cámara"),"")))</f>
        <v/>
      </c>
      <c r="AI182" t="str">
        <f>IF(AE182="","",IF(AE182="[FÓRMULA MANUAL]","",IFERROR(SUMPRODUCT((DATOS!$A$2:$A$20000=AE182)*(DATOS!$G$2:$G$20000=CONFIG_METADATA!$B$4)*(COUNTIF(CONFIG_ASIGNATURAS!$B$7:$B$27,DATOS!$I$2:$I$20000)&gt;0)*(DATOS!$K$2:$K$20000))/SUMPRODUCT((DATOS!$A$2:$A$20000=AE182)*(DATOS!$G$2:$G$20000=CONFIG_METADATA!$B$4)*(COUNTIF(CONFIG_ASIGNATURAS!$B$7:$B$27,DATOS!$I$2:$I$20000)&gt;0)*1),"")))</f>
        <v/>
      </c>
    </row>
    <row r="183" spans="2:35" x14ac:dyDescent="0.2">
      <c r="B183" t="str">
        <f>IF(A183="","",IF(A183="[FÓRMULA MANUAL]","",IFERROR(AVERAGEIFS(DATOS!$K$2:$K$20000,DATOS!$A$2:$A$20000,A183,DATOS!$G$2:$G$20000,CONFIG_METADATA!$B$4,DATOS!$I$2:$I$20000,"Lenguaje Musical"),"")))</f>
        <v/>
      </c>
      <c r="C183" t="str">
        <f>IF(A183="","",IF(A183="[FÓRMULA MANUAL]","",IFERROR(AVERAGEIFS(DATOS!$K$2:$K$20000,DATOS!$A$2:$A$20000,A183,DATOS!$G$2:$G$20000,CONFIG_METADATA!$B$4,DATOS!$I$2:$I$20000,"Orquesta/Banda/Conjunto"),"")))</f>
        <v/>
      </c>
      <c r="D183" t="str">
        <f>IF(A183="","",IF(A183="[FÓRMULA MANUAL]","",IFERROR(AVERAGEIFS(DATOS!$K$2:$K$20000,DATOS!$A$2:$A$20000,A183,DATOS!$G$2:$G$20000,CONFIG_METADATA!$B$4,DATOS!$I$2:$I$20000,"Conjunto"),"")))</f>
        <v/>
      </c>
      <c r="E183" t="str">
        <f>IF(A183="","",IF(A183="[FÓRMULA MANUAL]","",IFERROR(SUMPRODUCT((DATOS!$A$2:$A$20000=A183)*(DATOS!$G$2:$G$20000=CONFIG_METADATA!$B$4)*(COUNTIF(CONFIG_ASIGNATURAS!$B$7:$B$27,DATOS!$I$2:$I$20000)&gt;0)*(DATOS!$K$2:$K$20000))/SUMPRODUCT((DATOS!$A$2:$A$20000=A183)*(DATOS!$G$2:$G$20000=CONFIG_METADATA!$B$4)*(COUNTIF(CONFIG_ASIGNATURAS!$B$7:$B$27,DATOS!$I$2:$I$20000)&gt;0)*1),"")))</f>
        <v/>
      </c>
      <c r="H183" t="str">
        <f>IF(G183="","",IF(G183="[FÓRMULA MANUAL]","",IFERROR(AVERAGEIFS(DATOS!$K$2:$K$20000,DATOS!$A$2:$A$20000,G183,DATOS!$G$2:$G$20000,CONFIG_METADATA!$B$4,DATOS!$I$2:$I$20000,"Lenguaje Musical"),"")))</f>
        <v/>
      </c>
      <c r="I183" t="str">
        <f>IF(G183="","",IF(G183="[FÓRMULA MANUAL]","",IFERROR(AVERAGEIFS(DATOS!$K$2:$K$20000,DATOS!$A$2:$A$20000,G183,DATOS!$G$2:$G$20000,CONFIG_METADATA!$B$4,DATOS!$I$2:$I$20000,"Orquesta/Banda/Conjunto"),"")))</f>
        <v/>
      </c>
      <c r="J183" t="str">
        <f>IF(G183="","",IF(G183="[FÓRMULA MANUAL]","",IFERROR(AVERAGEIFS(DATOS!$K$2:$K$20000,DATOS!$A$2:$A$20000,G183,DATOS!$G$2:$G$20000,CONFIG_METADATA!$B$4,DATOS!$I$2:$I$20000,"Conjunto"),"")))</f>
        <v/>
      </c>
      <c r="K183" t="str">
        <f>IF(G183="","",IF(G183="[FÓRMULA MANUAL]","",IFERROR(SUMPRODUCT((DATOS!$A$2:$A$20000=G183)*(DATOS!$G$2:$G$20000=CONFIG_METADATA!$B$4)*(COUNTIF(CONFIG_ASIGNATURAS!$B$7:$B$27,DATOS!$I$2:$I$20000)&gt;0)*(DATOS!$K$2:$K$20000))/SUMPRODUCT((DATOS!$A$2:$A$20000=G183)*(DATOS!$G$2:$G$20000=CONFIG_METADATA!$B$4)*(COUNTIF(CONFIG_ASIGNATURAS!$B$7:$B$27,DATOS!$I$2:$I$20000)&gt;0)*1),"")))</f>
        <v/>
      </c>
      <c r="N183" t="str">
        <f>IF(M183="","",IF(M183="[FÓRMULA MANUAL]","",IFERROR(AVERAGEIFS(DATOS!$K$2:$K$20000,DATOS!$A$2:$A$20000,M183,DATOS!$G$2:$G$20000,CONFIG_METADATA!$B$4,DATOS!$I$2:$I$20000,"Armonía"),"")))</f>
        <v/>
      </c>
      <c r="O183" t="str">
        <f>IF(M183="","",IF(M183="[FÓRMULA MANUAL]","",IFERROR(AVERAGEIFS(DATOS!$K$2:$K$20000,DATOS!$A$2:$A$20000,M183,DATOS!$G$2:$G$20000,CONFIG_METADATA!$B$4,DATOS!$I$2:$I$20000,"Orquesta/Banda/Conjunto"),"")))</f>
        <v/>
      </c>
      <c r="P183" t="str">
        <f>IF(M183="","",IF(M183="[FÓRMULA MANUAL]","",IFERROR(AVERAGEIFS(DATOS!$K$2:$K$20000,DATOS!$A$2:$A$20000,M183,DATOS!$G$2:$G$20000,CONFIG_METADATA!$B$4,DATOS!$I$2:$I$20000,"Música de Cámara"),"")))</f>
        <v/>
      </c>
      <c r="Q183" t="str">
        <f>IF(M183="","",IF(M183="[FÓRMULA MANUAL]","",IFERROR(SUMPRODUCT((DATOS!$A$2:$A$20000=M183)*(DATOS!$G$2:$G$20000=CONFIG_METADATA!$B$4)*(COUNTIF(CONFIG_ASIGNATURAS!$B$7:$B$27,DATOS!$I$2:$I$20000)&gt;0)*(DATOS!$K$2:$K$20000))/SUMPRODUCT((DATOS!$A$2:$A$20000=M183)*(DATOS!$G$2:$G$20000=CONFIG_METADATA!$B$4)*(COUNTIF(CONFIG_ASIGNATURAS!$B$7:$B$27,DATOS!$I$2:$I$20000)&gt;0)*1),"")))</f>
        <v/>
      </c>
      <c r="T183" t="str">
        <f>IF(S183="","",IF(S183="[FÓRMULA MANUAL]","",IFERROR(AVERAGEIFS(DATOS!$K$2:$K$20000,DATOS!$A$2:$A$20000,S183,DATOS!$G$2:$G$20000,CONFIG_METADATA!$B$4,DATOS!$I$2:$I$20000,"Armonía"),"")))</f>
        <v/>
      </c>
      <c r="U183" t="str">
        <f>IF(S183="","",IF(S183="[FÓRMULA MANUAL]","",IFERROR(AVERAGEIFS(DATOS!$K$2:$K$20000,DATOS!$A$2:$A$20000,S183,DATOS!$G$2:$G$20000,CONFIG_METADATA!$B$4,DATOS!$I$2:$I$20000,"Orquesta/Banda/Conjunto"),"")))</f>
        <v/>
      </c>
      <c r="V183" t="str">
        <f>IF(S183="","",IF(S183="[FÓRMULA MANUAL]","",IFERROR(AVERAGEIFS(DATOS!$K$2:$K$20000,DATOS!$A$2:$A$20000,S183,DATOS!$G$2:$G$20000,CONFIG_METADATA!$B$4,DATOS!$I$2:$I$20000,"Música de Cámara"),"")))</f>
        <v/>
      </c>
      <c r="W183" t="str">
        <f>IF(S183="","",IF(S183="[FÓRMULA MANUAL]","",IFERROR(SUMPRODUCT((DATOS!$A$2:$A$20000=S183)*(DATOS!$G$2:$G$20000=CONFIG_METADATA!$B$4)*(COUNTIF(CONFIG_ASIGNATURAS!$B$7:$B$27,DATOS!$I$2:$I$20000)&gt;0)*(DATOS!$K$2:$K$20000))/SUMPRODUCT((DATOS!$A$2:$A$20000=S183)*(DATOS!$G$2:$G$20000=CONFIG_METADATA!$B$4)*(COUNTIF(CONFIG_ASIGNATURAS!$B$7:$B$27,DATOS!$I$2:$I$20000)&gt;0)*1),"")))</f>
        <v/>
      </c>
      <c r="Z183" t="str">
        <f>IF(Y183="","",IF(Y183="[FÓRMULA MANUAL]","",IFERROR(AVERAGEIFS(DATOS!$K$2:$K$20000,DATOS!$A$2:$A$20000,Y183,DATOS!$G$2:$G$20000,CONFIG_METADATA!$B$4,DATOS!$I$2:$I$20000,"Análisis"),"")))</f>
        <v/>
      </c>
      <c r="AA183" t="str">
        <f>IF(Y183="","",IF(Y183="[FÓRMULA MANUAL]","",IFERROR(AVERAGEIFS(DATOS!$K$2:$K$20000,DATOS!$A$2:$A$20000,Y183,DATOS!$G$2:$G$20000,CONFIG_METADATA!$B$4,DATOS!$I$2:$I$20000,"Orquesta/Banda/Conjunto"),"")))</f>
        <v/>
      </c>
      <c r="AB183" t="str">
        <f>IF(Y183="","",IF(Y183="[FÓRMULA MANUAL]","",IFERROR(AVERAGEIFS(DATOS!$K$2:$K$20000,DATOS!$A$2:$A$20000,Y183,DATOS!$G$2:$G$20000,CONFIG_METADATA!$B$4,DATOS!$I$2:$I$20000,"Música de Cámara"),"")))</f>
        <v/>
      </c>
      <c r="AC183" t="str">
        <f>IF(Y183="","",IF(Y183="[FÓRMULA MANUAL]","",IFERROR(SUMPRODUCT((DATOS!$A$2:$A$20000=Y183)*(DATOS!$G$2:$G$20000=CONFIG_METADATA!$B$4)*(COUNTIF(CONFIG_ASIGNATURAS!$B$7:$B$27,DATOS!$I$2:$I$20000)&gt;0)*(DATOS!$K$2:$K$20000))/SUMPRODUCT((DATOS!$A$2:$A$20000=Y183)*(DATOS!$G$2:$G$20000=CONFIG_METADATA!$B$4)*(COUNTIF(CONFIG_ASIGNATURAS!$B$7:$B$27,DATOS!$I$2:$I$20000)&gt;0)*1),"")))</f>
        <v/>
      </c>
      <c r="AF183" t="str">
        <f>IF(AE183="","",IF(AE183="[FÓRMULA MANUAL]","",IFERROR(AVERAGEIFS(DATOS!$K$2:$K$20000,DATOS!$A$2:$A$20000,AE183,DATOS!$G$2:$G$20000,CONFIG_METADATA!$B$4,DATOS!$I$2:$I$20000,"Análisis"),"")))</f>
        <v/>
      </c>
      <c r="AG183" t="str">
        <f>IF(AE183="","",IF(AE183="[FÓRMULA MANUAL]","",IFERROR(AVERAGEIFS(DATOS!$K$2:$K$20000,DATOS!$A$2:$A$20000,AE183,DATOS!$G$2:$G$20000,CONFIG_METADATA!$B$4,DATOS!$I$2:$I$20000,"Orquesta/Banda/Conjunto"),"")))</f>
        <v/>
      </c>
      <c r="AH183" t="str">
        <f>IF(AE183="","",IF(AE183="[FÓRMULA MANUAL]","",IFERROR(AVERAGEIFS(DATOS!$K$2:$K$20000,DATOS!$A$2:$A$20000,AE183,DATOS!$G$2:$G$20000,CONFIG_METADATA!$B$4,DATOS!$I$2:$I$20000,"Música de Cámara"),"")))</f>
        <v/>
      </c>
      <c r="AI183" t="str">
        <f>IF(AE183="","",IF(AE183="[FÓRMULA MANUAL]","",IFERROR(SUMPRODUCT((DATOS!$A$2:$A$20000=AE183)*(DATOS!$G$2:$G$20000=CONFIG_METADATA!$B$4)*(COUNTIF(CONFIG_ASIGNATURAS!$B$7:$B$27,DATOS!$I$2:$I$20000)&gt;0)*(DATOS!$K$2:$K$20000))/SUMPRODUCT((DATOS!$A$2:$A$20000=AE183)*(DATOS!$G$2:$G$20000=CONFIG_METADATA!$B$4)*(COUNTIF(CONFIG_ASIGNATURAS!$B$7:$B$27,DATOS!$I$2:$I$20000)&gt;0)*1),"")))</f>
        <v/>
      </c>
    </row>
    <row r="184" spans="2:35" x14ac:dyDescent="0.2">
      <c r="B184" t="str">
        <f>IF(A184="","",IF(A184="[FÓRMULA MANUAL]","",IFERROR(AVERAGEIFS(DATOS!$K$2:$K$20000,DATOS!$A$2:$A$20000,A184,DATOS!$G$2:$G$20000,CONFIG_METADATA!$B$4,DATOS!$I$2:$I$20000,"Lenguaje Musical"),"")))</f>
        <v/>
      </c>
      <c r="C184" t="str">
        <f>IF(A184="","",IF(A184="[FÓRMULA MANUAL]","",IFERROR(AVERAGEIFS(DATOS!$K$2:$K$20000,DATOS!$A$2:$A$20000,A184,DATOS!$G$2:$G$20000,CONFIG_METADATA!$B$4,DATOS!$I$2:$I$20000,"Orquesta/Banda/Conjunto"),"")))</f>
        <v/>
      </c>
      <c r="D184" t="str">
        <f>IF(A184="","",IF(A184="[FÓRMULA MANUAL]","",IFERROR(AVERAGEIFS(DATOS!$K$2:$K$20000,DATOS!$A$2:$A$20000,A184,DATOS!$G$2:$G$20000,CONFIG_METADATA!$B$4,DATOS!$I$2:$I$20000,"Conjunto"),"")))</f>
        <v/>
      </c>
      <c r="E184" t="str">
        <f>IF(A184="","",IF(A184="[FÓRMULA MANUAL]","",IFERROR(SUMPRODUCT((DATOS!$A$2:$A$20000=A184)*(DATOS!$G$2:$G$20000=CONFIG_METADATA!$B$4)*(COUNTIF(CONFIG_ASIGNATURAS!$B$7:$B$27,DATOS!$I$2:$I$20000)&gt;0)*(DATOS!$K$2:$K$20000))/SUMPRODUCT((DATOS!$A$2:$A$20000=A184)*(DATOS!$G$2:$G$20000=CONFIG_METADATA!$B$4)*(COUNTIF(CONFIG_ASIGNATURAS!$B$7:$B$27,DATOS!$I$2:$I$20000)&gt;0)*1),"")))</f>
        <v/>
      </c>
      <c r="H184" t="str">
        <f>IF(G184="","",IF(G184="[FÓRMULA MANUAL]","",IFERROR(AVERAGEIFS(DATOS!$K$2:$K$20000,DATOS!$A$2:$A$20000,G184,DATOS!$G$2:$G$20000,CONFIG_METADATA!$B$4,DATOS!$I$2:$I$20000,"Lenguaje Musical"),"")))</f>
        <v/>
      </c>
      <c r="I184" t="str">
        <f>IF(G184="","",IF(G184="[FÓRMULA MANUAL]","",IFERROR(AVERAGEIFS(DATOS!$K$2:$K$20000,DATOS!$A$2:$A$20000,G184,DATOS!$G$2:$G$20000,CONFIG_METADATA!$B$4,DATOS!$I$2:$I$20000,"Orquesta/Banda/Conjunto"),"")))</f>
        <v/>
      </c>
      <c r="J184" t="str">
        <f>IF(G184="","",IF(G184="[FÓRMULA MANUAL]","",IFERROR(AVERAGEIFS(DATOS!$K$2:$K$20000,DATOS!$A$2:$A$20000,G184,DATOS!$G$2:$G$20000,CONFIG_METADATA!$B$4,DATOS!$I$2:$I$20000,"Conjunto"),"")))</f>
        <v/>
      </c>
      <c r="K184" t="str">
        <f>IF(G184="","",IF(G184="[FÓRMULA MANUAL]","",IFERROR(SUMPRODUCT((DATOS!$A$2:$A$20000=G184)*(DATOS!$G$2:$G$20000=CONFIG_METADATA!$B$4)*(COUNTIF(CONFIG_ASIGNATURAS!$B$7:$B$27,DATOS!$I$2:$I$20000)&gt;0)*(DATOS!$K$2:$K$20000))/SUMPRODUCT((DATOS!$A$2:$A$20000=G184)*(DATOS!$G$2:$G$20000=CONFIG_METADATA!$B$4)*(COUNTIF(CONFIG_ASIGNATURAS!$B$7:$B$27,DATOS!$I$2:$I$20000)&gt;0)*1),"")))</f>
        <v/>
      </c>
      <c r="N184" t="str">
        <f>IF(M184="","",IF(M184="[FÓRMULA MANUAL]","",IFERROR(AVERAGEIFS(DATOS!$K$2:$K$20000,DATOS!$A$2:$A$20000,M184,DATOS!$G$2:$G$20000,CONFIG_METADATA!$B$4,DATOS!$I$2:$I$20000,"Armonía"),"")))</f>
        <v/>
      </c>
      <c r="O184" t="str">
        <f>IF(M184="","",IF(M184="[FÓRMULA MANUAL]","",IFERROR(AVERAGEIFS(DATOS!$K$2:$K$20000,DATOS!$A$2:$A$20000,M184,DATOS!$G$2:$G$20000,CONFIG_METADATA!$B$4,DATOS!$I$2:$I$20000,"Orquesta/Banda/Conjunto"),"")))</f>
        <v/>
      </c>
      <c r="P184" t="str">
        <f>IF(M184="","",IF(M184="[FÓRMULA MANUAL]","",IFERROR(AVERAGEIFS(DATOS!$K$2:$K$20000,DATOS!$A$2:$A$20000,M184,DATOS!$G$2:$G$20000,CONFIG_METADATA!$B$4,DATOS!$I$2:$I$20000,"Música de Cámara"),"")))</f>
        <v/>
      </c>
      <c r="Q184" t="str">
        <f>IF(M184="","",IF(M184="[FÓRMULA MANUAL]","",IFERROR(SUMPRODUCT((DATOS!$A$2:$A$20000=M184)*(DATOS!$G$2:$G$20000=CONFIG_METADATA!$B$4)*(COUNTIF(CONFIG_ASIGNATURAS!$B$7:$B$27,DATOS!$I$2:$I$20000)&gt;0)*(DATOS!$K$2:$K$20000))/SUMPRODUCT((DATOS!$A$2:$A$20000=M184)*(DATOS!$G$2:$G$20000=CONFIG_METADATA!$B$4)*(COUNTIF(CONFIG_ASIGNATURAS!$B$7:$B$27,DATOS!$I$2:$I$20000)&gt;0)*1),"")))</f>
        <v/>
      </c>
      <c r="T184" t="str">
        <f>IF(S184="","",IF(S184="[FÓRMULA MANUAL]","",IFERROR(AVERAGEIFS(DATOS!$K$2:$K$20000,DATOS!$A$2:$A$20000,S184,DATOS!$G$2:$G$20000,CONFIG_METADATA!$B$4,DATOS!$I$2:$I$20000,"Armonía"),"")))</f>
        <v/>
      </c>
      <c r="U184" t="str">
        <f>IF(S184="","",IF(S184="[FÓRMULA MANUAL]","",IFERROR(AVERAGEIFS(DATOS!$K$2:$K$20000,DATOS!$A$2:$A$20000,S184,DATOS!$G$2:$G$20000,CONFIG_METADATA!$B$4,DATOS!$I$2:$I$20000,"Orquesta/Banda/Conjunto"),"")))</f>
        <v/>
      </c>
      <c r="V184" t="str">
        <f>IF(S184="","",IF(S184="[FÓRMULA MANUAL]","",IFERROR(AVERAGEIFS(DATOS!$K$2:$K$20000,DATOS!$A$2:$A$20000,S184,DATOS!$G$2:$G$20000,CONFIG_METADATA!$B$4,DATOS!$I$2:$I$20000,"Música de Cámara"),"")))</f>
        <v/>
      </c>
      <c r="W184" t="str">
        <f>IF(S184="","",IF(S184="[FÓRMULA MANUAL]","",IFERROR(SUMPRODUCT((DATOS!$A$2:$A$20000=S184)*(DATOS!$G$2:$G$20000=CONFIG_METADATA!$B$4)*(COUNTIF(CONFIG_ASIGNATURAS!$B$7:$B$27,DATOS!$I$2:$I$20000)&gt;0)*(DATOS!$K$2:$K$20000))/SUMPRODUCT((DATOS!$A$2:$A$20000=S184)*(DATOS!$G$2:$G$20000=CONFIG_METADATA!$B$4)*(COUNTIF(CONFIG_ASIGNATURAS!$B$7:$B$27,DATOS!$I$2:$I$20000)&gt;0)*1),"")))</f>
        <v/>
      </c>
      <c r="Z184" t="str">
        <f>IF(Y184="","",IF(Y184="[FÓRMULA MANUAL]","",IFERROR(AVERAGEIFS(DATOS!$K$2:$K$20000,DATOS!$A$2:$A$20000,Y184,DATOS!$G$2:$G$20000,CONFIG_METADATA!$B$4,DATOS!$I$2:$I$20000,"Análisis"),"")))</f>
        <v/>
      </c>
      <c r="AA184" t="str">
        <f>IF(Y184="","",IF(Y184="[FÓRMULA MANUAL]","",IFERROR(AVERAGEIFS(DATOS!$K$2:$K$20000,DATOS!$A$2:$A$20000,Y184,DATOS!$G$2:$G$20000,CONFIG_METADATA!$B$4,DATOS!$I$2:$I$20000,"Orquesta/Banda/Conjunto"),"")))</f>
        <v/>
      </c>
      <c r="AB184" t="str">
        <f>IF(Y184="","",IF(Y184="[FÓRMULA MANUAL]","",IFERROR(AVERAGEIFS(DATOS!$K$2:$K$20000,DATOS!$A$2:$A$20000,Y184,DATOS!$G$2:$G$20000,CONFIG_METADATA!$B$4,DATOS!$I$2:$I$20000,"Música de Cámara"),"")))</f>
        <v/>
      </c>
      <c r="AC184" t="str">
        <f>IF(Y184="","",IF(Y184="[FÓRMULA MANUAL]","",IFERROR(SUMPRODUCT((DATOS!$A$2:$A$20000=Y184)*(DATOS!$G$2:$G$20000=CONFIG_METADATA!$B$4)*(COUNTIF(CONFIG_ASIGNATURAS!$B$7:$B$27,DATOS!$I$2:$I$20000)&gt;0)*(DATOS!$K$2:$K$20000))/SUMPRODUCT((DATOS!$A$2:$A$20000=Y184)*(DATOS!$G$2:$G$20000=CONFIG_METADATA!$B$4)*(COUNTIF(CONFIG_ASIGNATURAS!$B$7:$B$27,DATOS!$I$2:$I$20000)&gt;0)*1),"")))</f>
        <v/>
      </c>
      <c r="AF184" t="str">
        <f>IF(AE184="","",IF(AE184="[FÓRMULA MANUAL]","",IFERROR(AVERAGEIFS(DATOS!$K$2:$K$20000,DATOS!$A$2:$A$20000,AE184,DATOS!$G$2:$G$20000,CONFIG_METADATA!$B$4,DATOS!$I$2:$I$20000,"Análisis"),"")))</f>
        <v/>
      </c>
      <c r="AG184" t="str">
        <f>IF(AE184="","",IF(AE184="[FÓRMULA MANUAL]","",IFERROR(AVERAGEIFS(DATOS!$K$2:$K$20000,DATOS!$A$2:$A$20000,AE184,DATOS!$G$2:$G$20000,CONFIG_METADATA!$B$4,DATOS!$I$2:$I$20000,"Orquesta/Banda/Conjunto"),"")))</f>
        <v/>
      </c>
      <c r="AH184" t="str">
        <f>IF(AE184="","",IF(AE184="[FÓRMULA MANUAL]","",IFERROR(AVERAGEIFS(DATOS!$K$2:$K$20000,DATOS!$A$2:$A$20000,AE184,DATOS!$G$2:$G$20000,CONFIG_METADATA!$B$4,DATOS!$I$2:$I$20000,"Música de Cámara"),"")))</f>
        <v/>
      </c>
      <c r="AI184" t="str">
        <f>IF(AE184="","",IF(AE184="[FÓRMULA MANUAL]","",IFERROR(SUMPRODUCT((DATOS!$A$2:$A$20000=AE184)*(DATOS!$G$2:$G$20000=CONFIG_METADATA!$B$4)*(COUNTIF(CONFIG_ASIGNATURAS!$B$7:$B$27,DATOS!$I$2:$I$20000)&gt;0)*(DATOS!$K$2:$K$20000))/SUMPRODUCT((DATOS!$A$2:$A$20000=AE184)*(DATOS!$G$2:$G$20000=CONFIG_METADATA!$B$4)*(COUNTIF(CONFIG_ASIGNATURAS!$B$7:$B$27,DATOS!$I$2:$I$20000)&gt;0)*1),"")))</f>
        <v/>
      </c>
    </row>
    <row r="185" spans="2:35" x14ac:dyDescent="0.2">
      <c r="B185" t="str">
        <f>IF(A185="","",IF(A185="[FÓRMULA MANUAL]","",IFERROR(AVERAGEIFS(DATOS!$K$2:$K$20000,DATOS!$A$2:$A$20000,A185,DATOS!$G$2:$G$20000,CONFIG_METADATA!$B$4,DATOS!$I$2:$I$20000,"Lenguaje Musical"),"")))</f>
        <v/>
      </c>
      <c r="C185" t="str">
        <f>IF(A185="","",IF(A185="[FÓRMULA MANUAL]","",IFERROR(AVERAGEIFS(DATOS!$K$2:$K$20000,DATOS!$A$2:$A$20000,A185,DATOS!$G$2:$G$20000,CONFIG_METADATA!$B$4,DATOS!$I$2:$I$20000,"Orquesta/Banda/Conjunto"),"")))</f>
        <v/>
      </c>
      <c r="D185" t="str">
        <f>IF(A185="","",IF(A185="[FÓRMULA MANUAL]","",IFERROR(AVERAGEIFS(DATOS!$K$2:$K$20000,DATOS!$A$2:$A$20000,A185,DATOS!$G$2:$G$20000,CONFIG_METADATA!$B$4,DATOS!$I$2:$I$20000,"Conjunto"),"")))</f>
        <v/>
      </c>
      <c r="E185" t="str">
        <f>IF(A185="","",IF(A185="[FÓRMULA MANUAL]","",IFERROR(SUMPRODUCT((DATOS!$A$2:$A$20000=A185)*(DATOS!$G$2:$G$20000=CONFIG_METADATA!$B$4)*(COUNTIF(CONFIG_ASIGNATURAS!$B$7:$B$27,DATOS!$I$2:$I$20000)&gt;0)*(DATOS!$K$2:$K$20000))/SUMPRODUCT((DATOS!$A$2:$A$20000=A185)*(DATOS!$G$2:$G$20000=CONFIG_METADATA!$B$4)*(COUNTIF(CONFIG_ASIGNATURAS!$B$7:$B$27,DATOS!$I$2:$I$20000)&gt;0)*1),"")))</f>
        <v/>
      </c>
      <c r="H185" t="str">
        <f>IF(G185="","",IF(G185="[FÓRMULA MANUAL]","",IFERROR(AVERAGEIFS(DATOS!$K$2:$K$20000,DATOS!$A$2:$A$20000,G185,DATOS!$G$2:$G$20000,CONFIG_METADATA!$B$4,DATOS!$I$2:$I$20000,"Lenguaje Musical"),"")))</f>
        <v/>
      </c>
      <c r="I185" t="str">
        <f>IF(G185="","",IF(G185="[FÓRMULA MANUAL]","",IFERROR(AVERAGEIFS(DATOS!$K$2:$K$20000,DATOS!$A$2:$A$20000,G185,DATOS!$G$2:$G$20000,CONFIG_METADATA!$B$4,DATOS!$I$2:$I$20000,"Orquesta/Banda/Conjunto"),"")))</f>
        <v/>
      </c>
      <c r="J185" t="str">
        <f>IF(G185="","",IF(G185="[FÓRMULA MANUAL]","",IFERROR(AVERAGEIFS(DATOS!$K$2:$K$20000,DATOS!$A$2:$A$20000,G185,DATOS!$G$2:$G$20000,CONFIG_METADATA!$B$4,DATOS!$I$2:$I$20000,"Conjunto"),"")))</f>
        <v/>
      </c>
      <c r="K185" t="str">
        <f>IF(G185="","",IF(G185="[FÓRMULA MANUAL]","",IFERROR(SUMPRODUCT((DATOS!$A$2:$A$20000=G185)*(DATOS!$G$2:$G$20000=CONFIG_METADATA!$B$4)*(COUNTIF(CONFIG_ASIGNATURAS!$B$7:$B$27,DATOS!$I$2:$I$20000)&gt;0)*(DATOS!$K$2:$K$20000))/SUMPRODUCT((DATOS!$A$2:$A$20000=G185)*(DATOS!$G$2:$G$20000=CONFIG_METADATA!$B$4)*(COUNTIF(CONFIG_ASIGNATURAS!$B$7:$B$27,DATOS!$I$2:$I$20000)&gt;0)*1),"")))</f>
        <v/>
      </c>
      <c r="N185" t="str">
        <f>IF(M185="","",IF(M185="[FÓRMULA MANUAL]","",IFERROR(AVERAGEIFS(DATOS!$K$2:$K$20000,DATOS!$A$2:$A$20000,M185,DATOS!$G$2:$G$20000,CONFIG_METADATA!$B$4,DATOS!$I$2:$I$20000,"Armonía"),"")))</f>
        <v/>
      </c>
      <c r="O185" t="str">
        <f>IF(M185="","",IF(M185="[FÓRMULA MANUAL]","",IFERROR(AVERAGEIFS(DATOS!$K$2:$K$20000,DATOS!$A$2:$A$20000,M185,DATOS!$G$2:$G$20000,CONFIG_METADATA!$B$4,DATOS!$I$2:$I$20000,"Orquesta/Banda/Conjunto"),"")))</f>
        <v/>
      </c>
      <c r="P185" t="str">
        <f>IF(M185="","",IF(M185="[FÓRMULA MANUAL]","",IFERROR(AVERAGEIFS(DATOS!$K$2:$K$20000,DATOS!$A$2:$A$20000,M185,DATOS!$G$2:$G$20000,CONFIG_METADATA!$B$4,DATOS!$I$2:$I$20000,"Música de Cámara"),"")))</f>
        <v/>
      </c>
      <c r="Q185" t="str">
        <f>IF(M185="","",IF(M185="[FÓRMULA MANUAL]","",IFERROR(SUMPRODUCT((DATOS!$A$2:$A$20000=M185)*(DATOS!$G$2:$G$20000=CONFIG_METADATA!$B$4)*(COUNTIF(CONFIG_ASIGNATURAS!$B$7:$B$27,DATOS!$I$2:$I$20000)&gt;0)*(DATOS!$K$2:$K$20000))/SUMPRODUCT((DATOS!$A$2:$A$20000=M185)*(DATOS!$G$2:$G$20000=CONFIG_METADATA!$B$4)*(COUNTIF(CONFIG_ASIGNATURAS!$B$7:$B$27,DATOS!$I$2:$I$20000)&gt;0)*1),"")))</f>
        <v/>
      </c>
      <c r="T185" t="str">
        <f>IF(S185="","",IF(S185="[FÓRMULA MANUAL]","",IFERROR(AVERAGEIFS(DATOS!$K$2:$K$20000,DATOS!$A$2:$A$20000,S185,DATOS!$G$2:$G$20000,CONFIG_METADATA!$B$4,DATOS!$I$2:$I$20000,"Armonía"),"")))</f>
        <v/>
      </c>
      <c r="U185" t="str">
        <f>IF(S185="","",IF(S185="[FÓRMULA MANUAL]","",IFERROR(AVERAGEIFS(DATOS!$K$2:$K$20000,DATOS!$A$2:$A$20000,S185,DATOS!$G$2:$G$20000,CONFIG_METADATA!$B$4,DATOS!$I$2:$I$20000,"Orquesta/Banda/Conjunto"),"")))</f>
        <v/>
      </c>
      <c r="V185" t="str">
        <f>IF(S185="","",IF(S185="[FÓRMULA MANUAL]","",IFERROR(AVERAGEIFS(DATOS!$K$2:$K$20000,DATOS!$A$2:$A$20000,S185,DATOS!$G$2:$G$20000,CONFIG_METADATA!$B$4,DATOS!$I$2:$I$20000,"Música de Cámara"),"")))</f>
        <v/>
      </c>
      <c r="W185" t="str">
        <f>IF(S185="","",IF(S185="[FÓRMULA MANUAL]","",IFERROR(SUMPRODUCT((DATOS!$A$2:$A$20000=S185)*(DATOS!$G$2:$G$20000=CONFIG_METADATA!$B$4)*(COUNTIF(CONFIG_ASIGNATURAS!$B$7:$B$27,DATOS!$I$2:$I$20000)&gt;0)*(DATOS!$K$2:$K$20000))/SUMPRODUCT((DATOS!$A$2:$A$20000=S185)*(DATOS!$G$2:$G$20000=CONFIG_METADATA!$B$4)*(COUNTIF(CONFIG_ASIGNATURAS!$B$7:$B$27,DATOS!$I$2:$I$20000)&gt;0)*1),"")))</f>
        <v/>
      </c>
      <c r="Z185" t="str">
        <f>IF(Y185="","",IF(Y185="[FÓRMULA MANUAL]","",IFERROR(AVERAGEIFS(DATOS!$K$2:$K$20000,DATOS!$A$2:$A$20000,Y185,DATOS!$G$2:$G$20000,CONFIG_METADATA!$B$4,DATOS!$I$2:$I$20000,"Análisis"),"")))</f>
        <v/>
      </c>
      <c r="AA185" t="str">
        <f>IF(Y185="","",IF(Y185="[FÓRMULA MANUAL]","",IFERROR(AVERAGEIFS(DATOS!$K$2:$K$20000,DATOS!$A$2:$A$20000,Y185,DATOS!$G$2:$G$20000,CONFIG_METADATA!$B$4,DATOS!$I$2:$I$20000,"Orquesta/Banda/Conjunto"),"")))</f>
        <v/>
      </c>
      <c r="AB185" t="str">
        <f>IF(Y185="","",IF(Y185="[FÓRMULA MANUAL]","",IFERROR(AVERAGEIFS(DATOS!$K$2:$K$20000,DATOS!$A$2:$A$20000,Y185,DATOS!$G$2:$G$20000,CONFIG_METADATA!$B$4,DATOS!$I$2:$I$20000,"Música de Cámara"),"")))</f>
        <v/>
      </c>
      <c r="AC185" t="str">
        <f>IF(Y185="","",IF(Y185="[FÓRMULA MANUAL]","",IFERROR(SUMPRODUCT((DATOS!$A$2:$A$20000=Y185)*(DATOS!$G$2:$G$20000=CONFIG_METADATA!$B$4)*(COUNTIF(CONFIG_ASIGNATURAS!$B$7:$B$27,DATOS!$I$2:$I$20000)&gt;0)*(DATOS!$K$2:$K$20000))/SUMPRODUCT((DATOS!$A$2:$A$20000=Y185)*(DATOS!$G$2:$G$20000=CONFIG_METADATA!$B$4)*(COUNTIF(CONFIG_ASIGNATURAS!$B$7:$B$27,DATOS!$I$2:$I$20000)&gt;0)*1),"")))</f>
        <v/>
      </c>
      <c r="AF185" t="str">
        <f>IF(AE185="","",IF(AE185="[FÓRMULA MANUAL]","",IFERROR(AVERAGEIFS(DATOS!$K$2:$K$20000,DATOS!$A$2:$A$20000,AE185,DATOS!$G$2:$G$20000,CONFIG_METADATA!$B$4,DATOS!$I$2:$I$20000,"Análisis"),"")))</f>
        <v/>
      </c>
      <c r="AG185" t="str">
        <f>IF(AE185="","",IF(AE185="[FÓRMULA MANUAL]","",IFERROR(AVERAGEIFS(DATOS!$K$2:$K$20000,DATOS!$A$2:$A$20000,AE185,DATOS!$G$2:$G$20000,CONFIG_METADATA!$B$4,DATOS!$I$2:$I$20000,"Orquesta/Banda/Conjunto"),"")))</f>
        <v/>
      </c>
      <c r="AH185" t="str">
        <f>IF(AE185="","",IF(AE185="[FÓRMULA MANUAL]","",IFERROR(AVERAGEIFS(DATOS!$K$2:$K$20000,DATOS!$A$2:$A$20000,AE185,DATOS!$G$2:$G$20000,CONFIG_METADATA!$B$4,DATOS!$I$2:$I$20000,"Música de Cámara"),"")))</f>
        <v/>
      </c>
      <c r="AI185" t="str">
        <f>IF(AE185="","",IF(AE185="[FÓRMULA MANUAL]","",IFERROR(SUMPRODUCT((DATOS!$A$2:$A$20000=AE185)*(DATOS!$G$2:$G$20000=CONFIG_METADATA!$B$4)*(COUNTIF(CONFIG_ASIGNATURAS!$B$7:$B$27,DATOS!$I$2:$I$20000)&gt;0)*(DATOS!$K$2:$K$20000))/SUMPRODUCT((DATOS!$A$2:$A$20000=AE185)*(DATOS!$G$2:$G$20000=CONFIG_METADATA!$B$4)*(COUNTIF(CONFIG_ASIGNATURAS!$B$7:$B$27,DATOS!$I$2:$I$20000)&gt;0)*1),"")))</f>
        <v/>
      </c>
    </row>
    <row r="186" spans="2:35" x14ac:dyDescent="0.2">
      <c r="B186" t="str">
        <f>IF(A186="","",IF(A186="[FÓRMULA MANUAL]","",IFERROR(AVERAGEIFS(DATOS!$K$2:$K$20000,DATOS!$A$2:$A$20000,A186,DATOS!$G$2:$G$20000,CONFIG_METADATA!$B$4,DATOS!$I$2:$I$20000,"Lenguaje Musical"),"")))</f>
        <v/>
      </c>
      <c r="C186" t="str">
        <f>IF(A186="","",IF(A186="[FÓRMULA MANUAL]","",IFERROR(AVERAGEIFS(DATOS!$K$2:$K$20000,DATOS!$A$2:$A$20000,A186,DATOS!$G$2:$G$20000,CONFIG_METADATA!$B$4,DATOS!$I$2:$I$20000,"Orquesta/Banda/Conjunto"),"")))</f>
        <v/>
      </c>
      <c r="D186" t="str">
        <f>IF(A186="","",IF(A186="[FÓRMULA MANUAL]","",IFERROR(AVERAGEIFS(DATOS!$K$2:$K$20000,DATOS!$A$2:$A$20000,A186,DATOS!$G$2:$G$20000,CONFIG_METADATA!$B$4,DATOS!$I$2:$I$20000,"Conjunto"),"")))</f>
        <v/>
      </c>
      <c r="E186" t="str">
        <f>IF(A186="","",IF(A186="[FÓRMULA MANUAL]","",IFERROR(SUMPRODUCT((DATOS!$A$2:$A$20000=A186)*(DATOS!$G$2:$G$20000=CONFIG_METADATA!$B$4)*(COUNTIF(CONFIG_ASIGNATURAS!$B$7:$B$27,DATOS!$I$2:$I$20000)&gt;0)*(DATOS!$K$2:$K$20000))/SUMPRODUCT((DATOS!$A$2:$A$20000=A186)*(DATOS!$G$2:$G$20000=CONFIG_METADATA!$B$4)*(COUNTIF(CONFIG_ASIGNATURAS!$B$7:$B$27,DATOS!$I$2:$I$20000)&gt;0)*1),"")))</f>
        <v/>
      </c>
      <c r="H186" t="str">
        <f>IF(G186="","",IF(G186="[FÓRMULA MANUAL]","",IFERROR(AVERAGEIFS(DATOS!$K$2:$K$20000,DATOS!$A$2:$A$20000,G186,DATOS!$G$2:$G$20000,CONFIG_METADATA!$B$4,DATOS!$I$2:$I$20000,"Lenguaje Musical"),"")))</f>
        <v/>
      </c>
      <c r="I186" t="str">
        <f>IF(G186="","",IF(G186="[FÓRMULA MANUAL]","",IFERROR(AVERAGEIFS(DATOS!$K$2:$K$20000,DATOS!$A$2:$A$20000,G186,DATOS!$G$2:$G$20000,CONFIG_METADATA!$B$4,DATOS!$I$2:$I$20000,"Orquesta/Banda/Conjunto"),"")))</f>
        <v/>
      </c>
      <c r="J186" t="str">
        <f>IF(G186="","",IF(G186="[FÓRMULA MANUAL]","",IFERROR(AVERAGEIFS(DATOS!$K$2:$K$20000,DATOS!$A$2:$A$20000,G186,DATOS!$G$2:$G$20000,CONFIG_METADATA!$B$4,DATOS!$I$2:$I$20000,"Conjunto"),"")))</f>
        <v/>
      </c>
      <c r="K186" t="str">
        <f>IF(G186="","",IF(G186="[FÓRMULA MANUAL]","",IFERROR(SUMPRODUCT((DATOS!$A$2:$A$20000=G186)*(DATOS!$G$2:$G$20000=CONFIG_METADATA!$B$4)*(COUNTIF(CONFIG_ASIGNATURAS!$B$7:$B$27,DATOS!$I$2:$I$20000)&gt;0)*(DATOS!$K$2:$K$20000))/SUMPRODUCT((DATOS!$A$2:$A$20000=G186)*(DATOS!$G$2:$G$20000=CONFIG_METADATA!$B$4)*(COUNTIF(CONFIG_ASIGNATURAS!$B$7:$B$27,DATOS!$I$2:$I$20000)&gt;0)*1),"")))</f>
        <v/>
      </c>
      <c r="N186" t="str">
        <f>IF(M186="","",IF(M186="[FÓRMULA MANUAL]","",IFERROR(AVERAGEIFS(DATOS!$K$2:$K$20000,DATOS!$A$2:$A$20000,M186,DATOS!$G$2:$G$20000,CONFIG_METADATA!$B$4,DATOS!$I$2:$I$20000,"Armonía"),"")))</f>
        <v/>
      </c>
      <c r="O186" t="str">
        <f>IF(M186="","",IF(M186="[FÓRMULA MANUAL]","",IFERROR(AVERAGEIFS(DATOS!$K$2:$K$20000,DATOS!$A$2:$A$20000,M186,DATOS!$G$2:$G$20000,CONFIG_METADATA!$B$4,DATOS!$I$2:$I$20000,"Orquesta/Banda/Conjunto"),"")))</f>
        <v/>
      </c>
      <c r="P186" t="str">
        <f>IF(M186="","",IF(M186="[FÓRMULA MANUAL]","",IFERROR(AVERAGEIFS(DATOS!$K$2:$K$20000,DATOS!$A$2:$A$20000,M186,DATOS!$G$2:$G$20000,CONFIG_METADATA!$B$4,DATOS!$I$2:$I$20000,"Música de Cámara"),"")))</f>
        <v/>
      </c>
      <c r="Q186" t="str">
        <f>IF(M186="","",IF(M186="[FÓRMULA MANUAL]","",IFERROR(SUMPRODUCT((DATOS!$A$2:$A$20000=M186)*(DATOS!$G$2:$G$20000=CONFIG_METADATA!$B$4)*(COUNTIF(CONFIG_ASIGNATURAS!$B$7:$B$27,DATOS!$I$2:$I$20000)&gt;0)*(DATOS!$K$2:$K$20000))/SUMPRODUCT((DATOS!$A$2:$A$20000=M186)*(DATOS!$G$2:$G$20000=CONFIG_METADATA!$B$4)*(COUNTIF(CONFIG_ASIGNATURAS!$B$7:$B$27,DATOS!$I$2:$I$20000)&gt;0)*1),"")))</f>
        <v/>
      </c>
      <c r="T186" t="str">
        <f>IF(S186="","",IF(S186="[FÓRMULA MANUAL]","",IFERROR(AVERAGEIFS(DATOS!$K$2:$K$20000,DATOS!$A$2:$A$20000,S186,DATOS!$G$2:$G$20000,CONFIG_METADATA!$B$4,DATOS!$I$2:$I$20000,"Armonía"),"")))</f>
        <v/>
      </c>
      <c r="U186" t="str">
        <f>IF(S186="","",IF(S186="[FÓRMULA MANUAL]","",IFERROR(AVERAGEIFS(DATOS!$K$2:$K$20000,DATOS!$A$2:$A$20000,S186,DATOS!$G$2:$G$20000,CONFIG_METADATA!$B$4,DATOS!$I$2:$I$20000,"Orquesta/Banda/Conjunto"),"")))</f>
        <v/>
      </c>
      <c r="V186" t="str">
        <f>IF(S186="","",IF(S186="[FÓRMULA MANUAL]","",IFERROR(AVERAGEIFS(DATOS!$K$2:$K$20000,DATOS!$A$2:$A$20000,S186,DATOS!$G$2:$G$20000,CONFIG_METADATA!$B$4,DATOS!$I$2:$I$20000,"Música de Cámara"),"")))</f>
        <v/>
      </c>
      <c r="W186" t="str">
        <f>IF(S186="","",IF(S186="[FÓRMULA MANUAL]","",IFERROR(SUMPRODUCT((DATOS!$A$2:$A$20000=S186)*(DATOS!$G$2:$G$20000=CONFIG_METADATA!$B$4)*(COUNTIF(CONFIG_ASIGNATURAS!$B$7:$B$27,DATOS!$I$2:$I$20000)&gt;0)*(DATOS!$K$2:$K$20000))/SUMPRODUCT((DATOS!$A$2:$A$20000=S186)*(DATOS!$G$2:$G$20000=CONFIG_METADATA!$B$4)*(COUNTIF(CONFIG_ASIGNATURAS!$B$7:$B$27,DATOS!$I$2:$I$20000)&gt;0)*1),"")))</f>
        <v/>
      </c>
      <c r="Z186" t="str">
        <f>IF(Y186="","",IF(Y186="[FÓRMULA MANUAL]","",IFERROR(AVERAGEIFS(DATOS!$K$2:$K$20000,DATOS!$A$2:$A$20000,Y186,DATOS!$G$2:$G$20000,CONFIG_METADATA!$B$4,DATOS!$I$2:$I$20000,"Análisis"),"")))</f>
        <v/>
      </c>
      <c r="AA186" t="str">
        <f>IF(Y186="","",IF(Y186="[FÓRMULA MANUAL]","",IFERROR(AVERAGEIFS(DATOS!$K$2:$K$20000,DATOS!$A$2:$A$20000,Y186,DATOS!$G$2:$G$20000,CONFIG_METADATA!$B$4,DATOS!$I$2:$I$20000,"Orquesta/Banda/Conjunto"),"")))</f>
        <v/>
      </c>
      <c r="AB186" t="str">
        <f>IF(Y186="","",IF(Y186="[FÓRMULA MANUAL]","",IFERROR(AVERAGEIFS(DATOS!$K$2:$K$20000,DATOS!$A$2:$A$20000,Y186,DATOS!$G$2:$G$20000,CONFIG_METADATA!$B$4,DATOS!$I$2:$I$20000,"Música de Cámara"),"")))</f>
        <v/>
      </c>
      <c r="AC186" t="str">
        <f>IF(Y186="","",IF(Y186="[FÓRMULA MANUAL]","",IFERROR(SUMPRODUCT((DATOS!$A$2:$A$20000=Y186)*(DATOS!$G$2:$G$20000=CONFIG_METADATA!$B$4)*(COUNTIF(CONFIG_ASIGNATURAS!$B$7:$B$27,DATOS!$I$2:$I$20000)&gt;0)*(DATOS!$K$2:$K$20000))/SUMPRODUCT((DATOS!$A$2:$A$20000=Y186)*(DATOS!$G$2:$G$20000=CONFIG_METADATA!$B$4)*(COUNTIF(CONFIG_ASIGNATURAS!$B$7:$B$27,DATOS!$I$2:$I$20000)&gt;0)*1),"")))</f>
        <v/>
      </c>
      <c r="AF186" t="str">
        <f>IF(AE186="","",IF(AE186="[FÓRMULA MANUAL]","",IFERROR(AVERAGEIFS(DATOS!$K$2:$K$20000,DATOS!$A$2:$A$20000,AE186,DATOS!$G$2:$G$20000,CONFIG_METADATA!$B$4,DATOS!$I$2:$I$20000,"Análisis"),"")))</f>
        <v/>
      </c>
      <c r="AG186" t="str">
        <f>IF(AE186="","",IF(AE186="[FÓRMULA MANUAL]","",IFERROR(AVERAGEIFS(DATOS!$K$2:$K$20000,DATOS!$A$2:$A$20000,AE186,DATOS!$G$2:$G$20000,CONFIG_METADATA!$B$4,DATOS!$I$2:$I$20000,"Orquesta/Banda/Conjunto"),"")))</f>
        <v/>
      </c>
      <c r="AH186" t="str">
        <f>IF(AE186="","",IF(AE186="[FÓRMULA MANUAL]","",IFERROR(AVERAGEIFS(DATOS!$K$2:$K$20000,DATOS!$A$2:$A$20000,AE186,DATOS!$G$2:$G$20000,CONFIG_METADATA!$B$4,DATOS!$I$2:$I$20000,"Música de Cámara"),"")))</f>
        <v/>
      </c>
      <c r="AI186" t="str">
        <f>IF(AE186="","",IF(AE186="[FÓRMULA MANUAL]","",IFERROR(SUMPRODUCT((DATOS!$A$2:$A$20000=AE186)*(DATOS!$G$2:$G$20000=CONFIG_METADATA!$B$4)*(COUNTIF(CONFIG_ASIGNATURAS!$B$7:$B$27,DATOS!$I$2:$I$20000)&gt;0)*(DATOS!$K$2:$K$20000))/SUMPRODUCT((DATOS!$A$2:$A$20000=AE186)*(DATOS!$G$2:$G$20000=CONFIG_METADATA!$B$4)*(COUNTIF(CONFIG_ASIGNATURAS!$B$7:$B$27,DATOS!$I$2:$I$20000)&gt;0)*1),"")))</f>
        <v/>
      </c>
    </row>
    <row r="187" spans="2:35" x14ac:dyDescent="0.2">
      <c r="B187" t="str">
        <f>IF(A187="","",IF(A187="[FÓRMULA MANUAL]","",IFERROR(AVERAGEIFS(DATOS!$K$2:$K$20000,DATOS!$A$2:$A$20000,A187,DATOS!$G$2:$G$20000,CONFIG_METADATA!$B$4,DATOS!$I$2:$I$20000,"Lenguaje Musical"),"")))</f>
        <v/>
      </c>
      <c r="C187" t="str">
        <f>IF(A187="","",IF(A187="[FÓRMULA MANUAL]","",IFERROR(AVERAGEIFS(DATOS!$K$2:$K$20000,DATOS!$A$2:$A$20000,A187,DATOS!$G$2:$G$20000,CONFIG_METADATA!$B$4,DATOS!$I$2:$I$20000,"Orquesta/Banda/Conjunto"),"")))</f>
        <v/>
      </c>
      <c r="D187" t="str">
        <f>IF(A187="","",IF(A187="[FÓRMULA MANUAL]","",IFERROR(AVERAGEIFS(DATOS!$K$2:$K$20000,DATOS!$A$2:$A$20000,A187,DATOS!$G$2:$G$20000,CONFIG_METADATA!$B$4,DATOS!$I$2:$I$20000,"Conjunto"),"")))</f>
        <v/>
      </c>
      <c r="E187" t="str">
        <f>IF(A187="","",IF(A187="[FÓRMULA MANUAL]","",IFERROR(SUMPRODUCT((DATOS!$A$2:$A$20000=A187)*(DATOS!$G$2:$G$20000=CONFIG_METADATA!$B$4)*(COUNTIF(CONFIG_ASIGNATURAS!$B$7:$B$27,DATOS!$I$2:$I$20000)&gt;0)*(DATOS!$K$2:$K$20000))/SUMPRODUCT((DATOS!$A$2:$A$20000=A187)*(DATOS!$G$2:$G$20000=CONFIG_METADATA!$B$4)*(COUNTIF(CONFIG_ASIGNATURAS!$B$7:$B$27,DATOS!$I$2:$I$20000)&gt;0)*1),"")))</f>
        <v/>
      </c>
      <c r="H187" t="str">
        <f>IF(G187="","",IF(G187="[FÓRMULA MANUAL]","",IFERROR(AVERAGEIFS(DATOS!$K$2:$K$20000,DATOS!$A$2:$A$20000,G187,DATOS!$G$2:$G$20000,CONFIG_METADATA!$B$4,DATOS!$I$2:$I$20000,"Lenguaje Musical"),"")))</f>
        <v/>
      </c>
      <c r="I187" t="str">
        <f>IF(G187="","",IF(G187="[FÓRMULA MANUAL]","",IFERROR(AVERAGEIFS(DATOS!$K$2:$K$20000,DATOS!$A$2:$A$20000,G187,DATOS!$G$2:$G$20000,CONFIG_METADATA!$B$4,DATOS!$I$2:$I$20000,"Orquesta/Banda/Conjunto"),"")))</f>
        <v/>
      </c>
      <c r="J187" t="str">
        <f>IF(G187="","",IF(G187="[FÓRMULA MANUAL]","",IFERROR(AVERAGEIFS(DATOS!$K$2:$K$20000,DATOS!$A$2:$A$20000,G187,DATOS!$G$2:$G$20000,CONFIG_METADATA!$B$4,DATOS!$I$2:$I$20000,"Conjunto"),"")))</f>
        <v/>
      </c>
      <c r="K187" t="str">
        <f>IF(G187="","",IF(G187="[FÓRMULA MANUAL]","",IFERROR(SUMPRODUCT((DATOS!$A$2:$A$20000=G187)*(DATOS!$G$2:$G$20000=CONFIG_METADATA!$B$4)*(COUNTIF(CONFIG_ASIGNATURAS!$B$7:$B$27,DATOS!$I$2:$I$20000)&gt;0)*(DATOS!$K$2:$K$20000))/SUMPRODUCT((DATOS!$A$2:$A$20000=G187)*(DATOS!$G$2:$G$20000=CONFIG_METADATA!$B$4)*(COUNTIF(CONFIG_ASIGNATURAS!$B$7:$B$27,DATOS!$I$2:$I$20000)&gt;0)*1),"")))</f>
        <v/>
      </c>
      <c r="N187" t="str">
        <f>IF(M187="","",IF(M187="[FÓRMULA MANUAL]","",IFERROR(AVERAGEIFS(DATOS!$K$2:$K$20000,DATOS!$A$2:$A$20000,M187,DATOS!$G$2:$G$20000,CONFIG_METADATA!$B$4,DATOS!$I$2:$I$20000,"Armonía"),"")))</f>
        <v/>
      </c>
      <c r="O187" t="str">
        <f>IF(M187="","",IF(M187="[FÓRMULA MANUAL]","",IFERROR(AVERAGEIFS(DATOS!$K$2:$K$20000,DATOS!$A$2:$A$20000,M187,DATOS!$G$2:$G$20000,CONFIG_METADATA!$B$4,DATOS!$I$2:$I$20000,"Orquesta/Banda/Conjunto"),"")))</f>
        <v/>
      </c>
      <c r="P187" t="str">
        <f>IF(M187="","",IF(M187="[FÓRMULA MANUAL]","",IFERROR(AVERAGEIFS(DATOS!$K$2:$K$20000,DATOS!$A$2:$A$20000,M187,DATOS!$G$2:$G$20000,CONFIG_METADATA!$B$4,DATOS!$I$2:$I$20000,"Música de Cámara"),"")))</f>
        <v/>
      </c>
      <c r="Q187" t="str">
        <f>IF(M187="","",IF(M187="[FÓRMULA MANUAL]","",IFERROR(SUMPRODUCT((DATOS!$A$2:$A$20000=M187)*(DATOS!$G$2:$G$20000=CONFIG_METADATA!$B$4)*(COUNTIF(CONFIG_ASIGNATURAS!$B$7:$B$27,DATOS!$I$2:$I$20000)&gt;0)*(DATOS!$K$2:$K$20000))/SUMPRODUCT((DATOS!$A$2:$A$20000=M187)*(DATOS!$G$2:$G$20000=CONFIG_METADATA!$B$4)*(COUNTIF(CONFIG_ASIGNATURAS!$B$7:$B$27,DATOS!$I$2:$I$20000)&gt;0)*1),"")))</f>
        <v/>
      </c>
      <c r="T187" t="str">
        <f>IF(S187="","",IF(S187="[FÓRMULA MANUAL]","",IFERROR(AVERAGEIFS(DATOS!$K$2:$K$20000,DATOS!$A$2:$A$20000,S187,DATOS!$G$2:$G$20000,CONFIG_METADATA!$B$4,DATOS!$I$2:$I$20000,"Armonía"),"")))</f>
        <v/>
      </c>
      <c r="U187" t="str">
        <f>IF(S187="","",IF(S187="[FÓRMULA MANUAL]","",IFERROR(AVERAGEIFS(DATOS!$K$2:$K$20000,DATOS!$A$2:$A$20000,S187,DATOS!$G$2:$G$20000,CONFIG_METADATA!$B$4,DATOS!$I$2:$I$20000,"Orquesta/Banda/Conjunto"),"")))</f>
        <v/>
      </c>
      <c r="V187" t="str">
        <f>IF(S187="","",IF(S187="[FÓRMULA MANUAL]","",IFERROR(AVERAGEIFS(DATOS!$K$2:$K$20000,DATOS!$A$2:$A$20000,S187,DATOS!$G$2:$G$20000,CONFIG_METADATA!$B$4,DATOS!$I$2:$I$20000,"Música de Cámara"),"")))</f>
        <v/>
      </c>
      <c r="W187" t="str">
        <f>IF(S187="","",IF(S187="[FÓRMULA MANUAL]","",IFERROR(SUMPRODUCT((DATOS!$A$2:$A$20000=S187)*(DATOS!$G$2:$G$20000=CONFIG_METADATA!$B$4)*(COUNTIF(CONFIG_ASIGNATURAS!$B$7:$B$27,DATOS!$I$2:$I$20000)&gt;0)*(DATOS!$K$2:$K$20000))/SUMPRODUCT((DATOS!$A$2:$A$20000=S187)*(DATOS!$G$2:$G$20000=CONFIG_METADATA!$B$4)*(COUNTIF(CONFIG_ASIGNATURAS!$B$7:$B$27,DATOS!$I$2:$I$20000)&gt;0)*1),"")))</f>
        <v/>
      </c>
      <c r="Z187" t="str">
        <f>IF(Y187="","",IF(Y187="[FÓRMULA MANUAL]","",IFERROR(AVERAGEIFS(DATOS!$K$2:$K$20000,DATOS!$A$2:$A$20000,Y187,DATOS!$G$2:$G$20000,CONFIG_METADATA!$B$4,DATOS!$I$2:$I$20000,"Análisis"),"")))</f>
        <v/>
      </c>
      <c r="AA187" t="str">
        <f>IF(Y187="","",IF(Y187="[FÓRMULA MANUAL]","",IFERROR(AVERAGEIFS(DATOS!$K$2:$K$20000,DATOS!$A$2:$A$20000,Y187,DATOS!$G$2:$G$20000,CONFIG_METADATA!$B$4,DATOS!$I$2:$I$20000,"Orquesta/Banda/Conjunto"),"")))</f>
        <v/>
      </c>
      <c r="AB187" t="str">
        <f>IF(Y187="","",IF(Y187="[FÓRMULA MANUAL]","",IFERROR(AVERAGEIFS(DATOS!$K$2:$K$20000,DATOS!$A$2:$A$20000,Y187,DATOS!$G$2:$G$20000,CONFIG_METADATA!$B$4,DATOS!$I$2:$I$20000,"Música de Cámara"),"")))</f>
        <v/>
      </c>
      <c r="AC187" t="str">
        <f>IF(Y187="","",IF(Y187="[FÓRMULA MANUAL]","",IFERROR(SUMPRODUCT((DATOS!$A$2:$A$20000=Y187)*(DATOS!$G$2:$G$20000=CONFIG_METADATA!$B$4)*(COUNTIF(CONFIG_ASIGNATURAS!$B$7:$B$27,DATOS!$I$2:$I$20000)&gt;0)*(DATOS!$K$2:$K$20000))/SUMPRODUCT((DATOS!$A$2:$A$20000=Y187)*(DATOS!$G$2:$G$20000=CONFIG_METADATA!$B$4)*(COUNTIF(CONFIG_ASIGNATURAS!$B$7:$B$27,DATOS!$I$2:$I$20000)&gt;0)*1),"")))</f>
        <v/>
      </c>
      <c r="AF187" t="str">
        <f>IF(AE187="","",IF(AE187="[FÓRMULA MANUAL]","",IFERROR(AVERAGEIFS(DATOS!$K$2:$K$20000,DATOS!$A$2:$A$20000,AE187,DATOS!$G$2:$G$20000,CONFIG_METADATA!$B$4,DATOS!$I$2:$I$20000,"Análisis"),"")))</f>
        <v/>
      </c>
      <c r="AG187" t="str">
        <f>IF(AE187="","",IF(AE187="[FÓRMULA MANUAL]","",IFERROR(AVERAGEIFS(DATOS!$K$2:$K$20000,DATOS!$A$2:$A$20000,AE187,DATOS!$G$2:$G$20000,CONFIG_METADATA!$B$4,DATOS!$I$2:$I$20000,"Orquesta/Banda/Conjunto"),"")))</f>
        <v/>
      </c>
      <c r="AH187" t="str">
        <f>IF(AE187="","",IF(AE187="[FÓRMULA MANUAL]","",IFERROR(AVERAGEIFS(DATOS!$K$2:$K$20000,DATOS!$A$2:$A$20000,AE187,DATOS!$G$2:$G$20000,CONFIG_METADATA!$B$4,DATOS!$I$2:$I$20000,"Música de Cámara"),"")))</f>
        <v/>
      </c>
      <c r="AI187" t="str">
        <f>IF(AE187="","",IF(AE187="[FÓRMULA MANUAL]","",IFERROR(SUMPRODUCT((DATOS!$A$2:$A$20000=AE187)*(DATOS!$G$2:$G$20000=CONFIG_METADATA!$B$4)*(COUNTIF(CONFIG_ASIGNATURAS!$B$7:$B$27,DATOS!$I$2:$I$20000)&gt;0)*(DATOS!$K$2:$K$20000))/SUMPRODUCT((DATOS!$A$2:$A$20000=AE187)*(DATOS!$G$2:$G$20000=CONFIG_METADATA!$B$4)*(COUNTIF(CONFIG_ASIGNATURAS!$B$7:$B$27,DATOS!$I$2:$I$20000)&gt;0)*1),"")))</f>
        <v/>
      </c>
    </row>
    <row r="188" spans="2:35" x14ac:dyDescent="0.2">
      <c r="B188" t="str">
        <f>IF(A188="","",IF(A188="[FÓRMULA MANUAL]","",IFERROR(AVERAGEIFS(DATOS!$K$2:$K$20000,DATOS!$A$2:$A$20000,A188,DATOS!$G$2:$G$20000,CONFIG_METADATA!$B$4,DATOS!$I$2:$I$20000,"Lenguaje Musical"),"")))</f>
        <v/>
      </c>
      <c r="C188" t="str">
        <f>IF(A188="","",IF(A188="[FÓRMULA MANUAL]","",IFERROR(AVERAGEIFS(DATOS!$K$2:$K$20000,DATOS!$A$2:$A$20000,A188,DATOS!$G$2:$G$20000,CONFIG_METADATA!$B$4,DATOS!$I$2:$I$20000,"Orquesta/Banda/Conjunto"),"")))</f>
        <v/>
      </c>
      <c r="D188" t="str">
        <f>IF(A188="","",IF(A188="[FÓRMULA MANUAL]","",IFERROR(AVERAGEIFS(DATOS!$K$2:$K$20000,DATOS!$A$2:$A$20000,A188,DATOS!$G$2:$G$20000,CONFIG_METADATA!$B$4,DATOS!$I$2:$I$20000,"Conjunto"),"")))</f>
        <v/>
      </c>
      <c r="E188" t="str">
        <f>IF(A188="","",IF(A188="[FÓRMULA MANUAL]","",IFERROR(SUMPRODUCT((DATOS!$A$2:$A$20000=A188)*(DATOS!$G$2:$G$20000=CONFIG_METADATA!$B$4)*(COUNTIF(CONFIG_ASIGNATURAS!$B$7:$B$27,DATOS!$I$2:$I$20000)&gt;0)*(DATOS!$K$2:$K$20000))/SUMPRODUCT((DATOS!$A$2:$A$20000=A188)*(DATOS!$G$2:$G$20000=CONFIG_METADATA!$B$4)*(COUNTIF(CONFIG_ASIGNATURAS!$B$7:$B$27,DATOS!$I$2:$I$20000)&gt;0)*1),"")))</f>
        <v/>
      </c>
      <c r="H188" t="str">
        <f>IF(G188="","",IF(G188="[FÓRMULA MANUAL]","",IFERROR(AVERAGEIFS(DATOS!$K$2:$K$20000,DATOS!$A$2:$A$20000,G188,DATOS!$G$2:$G$20000,CONFIG_METADATA!$B$4,DATOS!$I$2:$I$20000,"Lenguaje Musical"),"")))</f>
        <v/>
      </c>
      <c r="I188" t="str">
        <f>IF(G188="","",IF(G188="[FÓRMULA MANUAL]","",IFERROR(AVERAGEIFS(DATOS!$K$2:$K$20000,DATOS!$A$2:$A$20000,G188,DATOS!$G$2:$G$20000,CONFIG_METADATA!$B$4,DATOS!$I$2:$I$20000,"Orquesta/Banda/Conjunto"),"")))</f>
        <v/>
      </c>
      <c r="J188" t="str">
        <f>IF(G188="","",IF(G188="[FÓRMULA MANUAL]","",IFERROR(AVERAGEIFS(DATOS!$K$2:$K$20000,DATOS!$A$2:$A$20000,G188,DATOS!$G$2:$G$20000,CONFIG_METADATA!$B$4,DATOS!$I$2:$I$20000,"Conjunto"),"")))</f>
        <v/>
      </c>
      <c r="K188" t="str">
        <f>IF(G188="","",IF(G188="[FÓRMULA MANUAL]","",IFERROR(SUMPRODUCT((DATOS!$A$2:$A$20000=G188)*(DATOS!$G$2:$G$20000=CONFIG_METADATA!$B$4)*(COUNTIF(CONFIG_ASIGNATURAS!$B$7:$B$27,DATOS!$I$2:$I$20000)&gt;0)*(DATOS!$K$2:$K$20000))/SUMPRODUCT((DATOS!$A$2:$A$20000=G188)*(DATOS!$G$2:$G$20000=CONFIG_METADATA!$B$4)*(COUNTIF(CONFIG_ASIGNATURAS!$B$7:$B$27,DATOS!$I$2:$I$20000)&gt;0)*1),"")))</f>
        <v/>
      </c>
      <c r="N188" t="str">
        <f>IF(M188="","",IF(M188="[FÓRMULA MANUAL]","",IFERROR(AVERAGEIFS(DATOS!$K$2:$K$20000,DATOS!$A$2:$A$20000,M188,DATOS!$G$2:$G$20000,CONFIG_METADATA!$B$4,DATOS!$I$2:$I$20000,"Armonía"),"")))</f>
        <v/>
      </c>
      <c r="O188" t="str">
        <f>IF(M188="","",IF(M188="[FÓRMULA MANUAL]","",IFERROR(AVERAGEIFS(DATOS!$K$2:$K$20000,DATOS!$A$2:$A$20000,M188,DATOS!$G$2:$G$20000,CONFIG_METADATA!$B$4,DATOS!$I$2:$I$20000,"Orquesta/Banda/Conjunto"),"")))</f>
        <v/>
      </c>
      <c r="P188" t="str">
        <f>IF(M188="","",IF(M188="[FÓRMULA MANUAL]","",IFERROR(AVERAGEIFS(DATOS!$K$2:$K$20000,DATOS!$A$2:$A$20000,M188,DATOS!$G$2:$G$20000,CONFIG_METADATA!$B$4,DATOS!$I$2:$I$20000,"Música de Cámara"),"")))</f>
        <v/>
      </c>
      <c r="Q188" t="str">
        <f>IF(M188="","",IF(M188="[FÓRMULA MANUAL]","",IFERROR(SUMPRODUCT((DATOS!$A$2:$A$20000=M188)*(DATOS!$G$2:$G$20000=CONFIG_METADATA!$B$4)*(COUNTIF(CONFIG_ASIGNATURAS!$B$7:$B$27,DATOS!$I$2:$I$20000)&gt;0)*(DATOS!$K$2:$K$20000))/SUMPRODUCT((DATOS!$A$2:$A$20000=M188)*(DATOS!$G$2:$G$20000=CONFIG_METADATA!$B$4)*(COUNTIF(CONFIG_ASIGNATURAS!$B$7:$B$27,DATOS!$I$2:$I$20000)&gt;0)*1),"")))</f>
        <v/>
      </c>
      <c r="T188" t="str">
        <f>IF(S188="","",IF(S188="[FÓRMULA MANUAL]","",IFERROR(AVERAGEIFS(DATOS!$K$2:$K$20000,DATOS!$A$2:$A$20000,S188,DATOS!$G$2:$G$20000,CONFIG_METADATA!$B$4,DATOS!$I$2:$I$20000,"Armonía"),"")))</f>
        <v/>
      </c>
      <c r="U188" t="str">
        <f>IF(S188="","",IF(S188="[FÓRMULA MANUAL]","",IFERROR(AVERAGEIFS(DATOS!$K$2:$K$20000,DATOS!$A$2:$A$20000,S188,DATOS!$G$2:$G$20000,CONFIG_METADATA!$B$4,DATOS!$I$2:$I$20000,"Orquesta/Banda/Conjunto"),"")))</f>
        <v/>
      </c>
      <c r="V188" t="str">
        <f>IF(S188="","",IF(S188="[FÓRMULA MANUAL]","",IFERROR(AVERAGEIFS(DATOS!$K$2:$K$20000,DATOS!$A$2:$A$20000,S188,DATOS!$G$2:$G$20000,CONFIG_METADATA!$B$4,DATOS!$I$2:$I$20000,"Música de Cámara"),"")))</f>
        <v/>
      </c>
      <c r="W188" t="str">
        <f>IF(S188="","",IF(S188="[FÓRMULA MANUAL]","",IFERROR(SUMPRODUCT((DATOS!$A$2:$A$20000=S188)*(DATOS!$G$2:$G$20000=CONFIG_METADATA!$B$4)*(COUNTIF(CONFIG_ASIGNATURAS!$B$7:$B$27,DATOS!$I$2:$I$20000)&gt;0)*(DATOS!$K$2:$K$20000))/SUMPRODUCT((DATOS!$A$2:$A$20000=S188)*(DATOS!$G$2:$G$20000=CONFIG_METADATA!$B$4)*(COUNTIF(CONFIG_ASIGNATURAS!$B$7:$B$27,DATOS!$I$2:$I$20000)&gt;0)*1),"")))</f>
        <v/>
      </c>
      <c r="Z188" t="str">
        <f>IF(Y188="","",IF(Y188="[FÓRMULA MANUAL]","",IFERROR(AVERAGEIFS(DATOS!$K$2:$K$20000,DATOS!$A$2:$A$20000,Y188,DATOS!$G$2:$G$20000,CONFIG_METADATA!$B$4,DATOS!$I$2:$I$20000,"Análisis"),"")))</f>
        <v/>
      </c>
      <c r="AA188" t="str">
        <f>IF(Y188="","",IF(Y188="[FÓRMULA MANUAL]","",IFERROR(AVERAGEIFS(DATOS!$K$2:$K$20000,DATOS!$A$2:$A$20000,Y188,DATOS!$G$2:$G$20000,CONFIG_METADATA!$B$4,DATOS!$I$2:$I$20000,"Orquesta/Banda/Conjunto"),"")))</f>
        <v/>
      </c>
      <c r="AB188" t="str">
        <f>IF(Y188="","",IF(Y188="[FÓRMULA MANUAL]","",IFERROR(AVERAGEIFS(DATOS!$K$2:$K$20000,DATOS!$A$2:$A$20000,Y188,DATOS!$G$2:$G$20000,CONFIG_METADATA!$B$4,DATOS!$I$2:$I$20000,"Música de Cámara"),"")))</f>
        <v/>
      </c>
      <c r="AC188" t="str">
        <f>IF(Y188="","",IF(Y188="[FÓRMULA MANUAL]","",IFERROR(SUMPRODUCT((DATOS!$A$2:$A$20000=Y188)*(DATOS!$G$2:$G$20000=CONFIG_METADATA!$B$4)*(COUNTIF(CONFIG_ASIGNATURAS!$B$7:$B$27,DATOS!$I$2:$I$20000)&gt;0)*(DATOS!$K$2:$K$20000))/SUMPRODUCT((DATOS!$A$2:$A$20000=Y188)*(DATOS!$G$2:$G$20000=CONFIG_METADATA!$B$4)*(COUNTIF(CONFIG_ASIGNATURAS!$B$7:$B$27,DATOS!$I$2:$I$20000)&gt;0)*1),"")))</f>
        <v/>
      </c>
      <c r="AF188" t="str">
        <f>IF(AE188="","",IF(AE188="[FÓRMULA MANUAL]","",IFERROR(AVERAGEIFS(DATOS!$K$2:$K$20000,DATOS!$A$2:$A$20000,AE188,DATOS!$G$2:$G$20000,CONFIG_METADATA!$B$4,DATOS!$I$2:$I$20000,"Análisis"),"")))</f>
        <v/>
      </c>
      <c r="AG188" t="str">
        <f>IF(AE188="","",IF(AE188="[FÓRMULA MANUAL]","",IFERROR(AVERAGEIFS(DATOS!$K$2:$K$20000,DATOS!$A$2:$A$20000,AE188,DATOS!$G$2:$G$20000,CONFIG_METADATA!$B$4,DATOS!$I$2:$I$20000,"Orquesta/Banda/Conjunto"),"")))</f>
        <v/>
      </c>
      <c r="AH188" t="str">
        <f>IF(AE188="","",IF(AE188="[FÓRMULA MANUAL]","",IFERROR(AVERAGEIFS(DATOS!$K$2:$K$20000,DATOS!$A$2:$A$20000,AE188,DATOS!$G$2:$G$20000,CONFIG_METADATA!$B$4,DATOS!$I$2:$I$20000,"Música de Cámara"),"")))</f>
        <v/>
      </c>
      <c r="AI188" t="str">
        <f>IF(AE188="","",IF(AE188="[FÓRMULA MANUAL]","",IFERROR(SUMPRODUCT((DATOS!$A$2:$A$20000=AE188)*(DATOS!$G$2:$G$20000=CONFIG_METADATA!$B$4)*(COUNTIF(CONFIG_ASIGNATURAS!$B$7:$B$27,DATOS!$I$2:$I$20000)&gt;0)*(DATOS!$K$2:$K$20000))/SUMPRODUCT((DATOS!$A$2:$A$20000=AE188)*(DATOS!$G$2:$G$20000=CONFIG_METADATA!$B$4)*(COUNTIF(CONFIG_ASIGNATURAS!$B$7:$B$27,DATOS!$I$2:$I$20000)&gt;0)*1),"")))</f>
        <v/>
      </c>
    </row>
    <row r="189" spans="2:35" x14ac:dyDescent="0.2">
      <c r="B189" t="str">
        <f>IF(A189="","",IF(A189="[FÓRMULA MANUAL]","",IFERROR(AVERAGEIFS(DATOS!$K$2:$K$20000,DATOS!$A$2:$A$20000,A189,DATOS!$G$2:$G$20000,CONFIG_METADATA!$B$4,DATOS!$I$2:$I$20000,"Lenguaje Musical"),"")))</f>
        <v/>
      </c>
      <c r="C189" t="str">
        <f>IF(A189="","",IF(A189="[FÓRMULA MANUAL]","",IFERROR(AVERAGEIFS(DATOS!$K$2:$K$20000,DATOS!$A$2:$A$20000,A189,DATOS!$G$2:$G$20000,CONFIG_METADATA!$B$4,DATOS!$I$2:$I$20000,"Orquesta/Banda/Conjunto"),"")))</f>
        <v/>
      </c>
      <c r="D189" t="str">
        <f>IF(A189="","",IF(A189="[FÓRMULA MANUAL]","",IFERROR(AVERAGEIFS(DATOS!$K$2:$K$20000,DATOS!$A$2:$A$20000,A189,DATOS!$G$2:$G$20000,CONFIG_METADATA!$B$4,DATOS!$I$2:$I$20000,"Conjunto"),"")))</f>
        <v/>
      </c>
      <c r="E189" t="str">
        <f>IF(A189="","",IF(A189="[FÓRMULA MANUAL]","",IFERROR(SUMPRODUCT((DATOS!$A$2:$A$20000=A189)*(DATOS!$G$2:$G$20000=CONFIG_METADATA!$B$4)*(COUNTIF(CONFIG_ASIGNATURAS!$B$7:$B$27,DATOS!$I$2:$I$20000)&gt;0)*(DATOS!$K$2:$K$20000))/SUMPRODUCT((DATOS!$A$2:$A$20000=A189)*(DATOS!$G$2:$G$20000=CONFIG_METADATA!$B$4)*(COUNTIF(CONFIG_ASIGNATURAS!$B$7:$B$27,DATOS!$I$2:$I$20000)&gt;0)*1),"")))</f>
        <v/>
      </c>
      <c r="H189" t="str">
        <f>IF(G189="","",IF(G189="[FÓRMULA MANUAL]","",IFERROR(AVERAGEIFS(DATOS!$K$2:$K$20000,DATOS!$A$2:$A$20000,G189,DATOS!$G$2:$G$20000,CONFIG_METADATA!$B$4,DATOS!$I$2:$I$20000,"Lenguaje Musical"),"")))</f>
        <v/>
      </c>
      <c r="I189" t="str">
        <f>IF(G189="","",IF(G189="[FÓRMULA MANUAL]","",IFERROR(AVERAGEIFS(DATOS!$K$2:$K$20000,DATOS!$A$2:$A$20000,G189,DATOS!$G$2:$G$20000,CONFIG_METADATA!$B$4,DATOS!$I$2:$I$20000,"Orquesta/Banda/Conjunto"),"")))</f>
        <v/>
      </c>
      <c r="J189" t="str">
        <f>IF(G189="","",IF(G189="[FÓRMULA MANUAL]","",IFERROR(AVERAGEIFS(DATOS!$K$2:$K$20000,DATOS!$A$2:$A$20000,G189,DATOS!$G$2:$G$20000,CONFIG_METADATA!$B$4,DATOS!$I$2:$I$20000,"Conjunto"),"")))</f>
        <v/>
      </c>
      <c r="K189" t="str">
        <f>IF(G189="","",IF(G189="[FÓRMULA MANUAL]","",IFERROR(SUMPRODUCT((DATOS!$A$2:$A$20000=G189)*(DATOS!$G$2:$G$20000=CONFIG_METADATA!$B$4)*(COUNTIF(CONFIG_ASIGNATURAS!$B$7:$B$27,DATOS!$I$2:$I$20000)&gt;0)*(DATOS!$K$2:$K$20000))/SUMPRODUCT((DATOS!$A$2:$A$20000=G189)*(DATOS!$G$2:$G$20000=CONFIG_METADATA!$B$4)*(COUNTIF(CONFIG_ASIGNATURAS!$B$7:$B$27,DATOS!$I$2:$I$20000)&gt;0)*1),"")))</f>
        <v/>
      </c>
      <c r="N189" t="str">
        <f>IF(M189="","",IF(M189="[FÓRMULA MANUAL]","",IFERROR(AVERAGEIFS(DATOS!$K$2:$K$20000,DATOS!$A$2:$A$20000,M189,DATOS!$G$2:$G$20000,CONFIG_METADATA!$B$4,DATOS!$I$2:$I$20000,"Armonía"),"")))</f>
        <v/>
      </c>
      <c r="O189" t="str">
        <f>IF(M189="","",IF(M189="[FÓRMULA MANUAL]","",IFERROR(AVERAGEIFS(DATOS!$K$2:$K$20000,DATOS!$A$2:$A$20000,M189,DATOS!$G$2:$G$20000,CONFIG_METADATA!$B$4,DATOS!$I$2:$I$20000,"Orquesta/Banda/Conjunto"),"")))</f>
        <v/>
      </c>
      <c r="P189" t="str">
        <f>IF(M189="","",IF(M189="[FÓRMULA MANUAL]","",IFERROR(AVERAGEIFS(DATOS!$K$2:$K$20000,DATOS!$A$2:$A$20000,M189,DATOS!$G$2:$G$20000,CONFIG_METADATA!$B$4,DATOS!$I$2:$I$20000,"Música de Cámara"),"")))</f>
        <v/>
      </c>
      <c r="Q189" t="str">
        <f>IF(M189="","",IF(M189="[FÓRMULA MANUAL]","",IFERROR(SUMPRODUCT((DATOS!$A$2:$A$20000=M189)*(DATOS!$G$2:$G$20000=CONFIG_METADATA!$B$4)*(COUNTIF(CONFIG_ASIGNATURAS!$B$7:$B$27,DATOS!$I$2:$I$20000)&gt;0)*(DATOS!$K$2:$K$20000))/SUMPRODUCT((DATOS!$A$2:$A$20000=M189)*(DATOS!$G$2:$G$20000=CONFIG_METADATA!$B$4)*(COUNTIF(CONFIG_ASIGNATURAS!$B$7:$B$27,DATOS!$I$2:$I$20000)&gt;0)*1),"")))</f>
        <v/>
      </c>
      <c r="T189" t="str">
        <f>IF(S189="","",IF(S189="[FÓRMULA MANUAL]","",IFERROR(AVERAGEIFS(DATOS!$K$2:$K$20000,DATOS!$A$2:$A$20000,S189,DATOS!$G$2:$G$20000,CONFIG_METADATA!$B$4,DATOS!$I$2:$I$20000,"Armonía"),"")))</f>
        <v/>
      </c>
      <c r="U189" t="str">
        <f>IF(S189="","",IF(S189="[FÓRMULA MANUAL]","",IFERROR(AVERAGEIFS(DATOS!$K$2:$K$20000,DATOS!$A$2:$A$20000,S189,DATOS!$G$2:$G$20000,CONFIG_METADATA!$B$4,DATOS!$I$2:$I$20000,"Orquesta/Banda/Conjunto"),"")))</f>
        <v/>
      </c>
      <c r="V189" t="str">
        <f>IF(S189="","",IF(S189="[FÓRMULA MANUAL]","",IFERROR(AVERAGEIFS(DATOS!$K$2:$K$20000,DATOS!$A$2:$A$20000,S189,DATOS!$G$2:$G$20000,CONFIG_METADATA!$B$4,DATOS!$I$2:$I$20000,"Música de Cámara"),"")))</f>
        <v/>
      </c>
      <c r="W189" t="str">
        <f>IF(S189="","",IF(S189="[FÓRMULA MANUAL]","",IFERROR(SUMPRODUCT((DATOS!$A$2:$A$20000=S189)*(DATOS!$G$2:$G$20000=CONFIG_METADATA!$B$4)*(COUNTIF(CONFIG_ASIGNATURAS!$B$7:$B$27,DATOS!$I$2:$I$20000)&gt;0)*(DATOS!$K$2:$K$20000))/SUMPRODUCT((DATOS!$A$2:$A$20000=S189)*(DATOS!$G$2:$G$20000=CONFIG_METADATA!$B$4)*(COUNTIF(CONFIG_ASIGNATURAS!$B$7:$B$27,DATOS!$I$2:$I$20000)&gt;0)*1),"")))</f>
        <v/>
      </c>
      <c r="Z189" t="str">
        <f>IF(Y189="","",IF(Y189="[FÓRMULA MANUAL]","",IFERROR(AVERAGEIFS(DATOS!$K$2:$K$20000,DATOS!$A$2:$A$20000,Y189,DATOS!$G$2:$G$20000,CONFIG_METADATA!$B$4,DATOS!$I$2:$I$20000,"Análisis"),"")))</f>
        <v/>
      </c>
      <c r="AA189" t="str">
        <f>IF(Y189="","",IF(Y189="[FÓRMULA MANUAL]","",IFERROR(AVERAGEIFS(DATOS!$K$2:$K$20000,DATOS!$A$2:$A$20000,Y189,DATOS!$G$2:$G$20000,CONFIG_METADATA!$B$4,DATOS!$I$2:$I$20000,"Orquesta/Banda/Conjunto"),"")))</f>
        <v/>
      </c>
      <c r="AB189" t="str">
        <f>IF(Y189="","",IF(Y189="[FÓRMULA MANUAL]","",IFERROR(AVERAGEIFS(DATOS!$K$2:$K$20000,DATOS!$A$2:$A$20000,Y189,DATOS!$G$2:$G$20000,CONFIG_METADATA!$B$4,DATOS!$I$2:$I$20000,"Música de Cámara"),"")))</f>
        <v/>
      </c>
      <c r="AC189" t="str">
        <f>IF(Y189="","",IF(Y189="[FÓRMULA MANUAL]","",IFERROR(SUMPRODUCT((DATOS!$A$2:$A$20000=Y189)*(DATOS!$G$2:$G$20000=CONFIG_METADATA!$B$4)*(COUNTIF(CONFIG_ASIGNATURAS!$B$7:$B$27,DATOS!$I$2:$I$20000)&gt;0)*(DATOS!$K$2:$K$20000))/SUMPRODUCT((DATOS!$A$2:$A$20000=Y189)*(DATOS!$G$2:$G$20000=CONFIG_METADATA!$B$4)*(COUNTIF(CONFIG_ASIGNATURAS!$B$7:$B$27,DATOS!$I$2:$I$20000)&gt;0)*1),"")))</f>
        <v/>
      </c>
      <c r="AF189" t="str">
        <f>IF(AE189="","",IF(AE189="[FÓRMULA MANUAL]","",IFERROR(AVERAGEIFS(DATOS!$K$2:$K$20000,DATOS!$A$2:$A$20000,AE189,DATOS!$G$2:$G$20000,CONFIG_METADATA!$B$4,DATOS!$I$2:$I$20000,"Análisis"),"")))</f>
        <v/>
      </c>
      <c r="AG189" t="str">
        <f>IF(AE189="","",IF(AE189="[FÓRMULA MANUAL]","",IFERROR(AVERAGEIFS(DATOS!$K$2:$K$20000,DATOS!$A$2:$A$20000,AE189,DATOS!$G$2:$G$20000,CONFIG_METADATA!$B$4,DATOS!$I$2:$I$20000,"Orquesta/Banda/Conjunto"),"")))</f>
        <v/>
      </c>
      <c r="AH189" t="str">
        <f>IF(AE189="","",IF(AE189="[FÓRMULA MANUAL]","",IFERROR(AVERAGEIFS(DATOS!$K$2:$K$20000,DATOS!$A$2:$A$20000,AE189,DATOS!$G$2:$G$20000,CONFIG_METADATA!$B$4,DATOS!$I$2:$I$20000,"Música de Cámara"),"")))</f>
        <v/>
      </c>
      <c r="AI189" t="str">
        <f>IF(AE189="","",IF(AE189="[FÓRMULA MANUAL]","",IFERROR(SUMPRODUCT((DATOS!$A$2:$A$20000=AE189)*(DATOS!$G$2:$G$20000=CONFIG_METADATA!$B$4)*(COUNTIF(CONFIG_ASIGNATURAS!$B$7:$B$27,DATOS!$I$2:$I$20000)&gt;0)*(DATOS!$K$2:$K$20000))/SUMPRODUCT((DATOS!$A$2:$A$20000=AE189)*(DATOS!$G$2:$G$20000=CONFIG_METADATA!$B$4)*(COUNTIF(CONFIG_ASIGNATURAS!$B$7:$B$27,DATOS!$I$2:$I$20000)&gt;0)*1),"")))</f>
        <v/>
      </c>
    </row>
    <row r="190" spans="2:35" x14ac:dyDescent="0.2">
      <c r="B190" t="str">
        <f>IF(A190="","",IF(A190="[FÓRMULA MANUAL]","",IFERROR(AVERAGEIFS(DATOS!$K$2:$K$20000,DATOS!$A$2:$A$20000,A190,DATOS!$G$2:$G$20000,CONFIG_METADATA!$B$4,DATOS!$I$2:$I$20000,"Lenguaje Musical"),"")))</f>
        <v/>
      </c>
      <c r="C190" t="str">
        <f>IF(A190="","",IF(A190="[FÓRMULA MANUAL]","",IFERROR(AVERAGEIFS(DATOS!$K$2:$K$20000,DATOS!$A$2:$A$20000,A190,DATOS!$G$2:$G$20000,CONFIG_METADATA!$B$4,DATOS!$I$2:$I$20000,"Orquesta/Banda/Conjunto"),"")))</f>
        <v/>
      </c>
      <c r="D190" t="str">
        <f>IF(A190="","",IF(A190="[FÓRMULA MANUAL]","",IFERROR(AVERAGEIFS(DATOS!$K$2:$K$20000,DATOS!$A$2:$A$20000,A190,DATOS!$G$2:$G$20000,CONFIG_METADATA!$B$4,DATOS!$I$2:$I$20000,"Conjunto"),"")))</f>
        <v/>
      </c>
      <c r="E190" t="str">
        <f>IF(A190="","",IF(A190="[FÓRMULA MANUAL]","",IFERROR(SUMPRODUCT((DATOS!$A$2:$A$20000=A190)*(DATOS!$G$2:$G$20000=CONFIG_METADATA!$B$4)*(COUNTIF(CONFIG_ASIGNATURAS!$B$7:$B$27,DATOS!$I$2:$I$20000)&gt;0)*(DATOS!$K$2:$K$20000))/SUMPRODUCT((DATOS!$A$2:$A$20000=A190)*(DATOS!$G$2:$G$20000=CONFIG_METADATA!$B$4)*(COUNTIF(CONFIG_ASIGNATURAS!$B$7:$B$27,DATOS!$I$2:$I$20000)&gt;0)*1),"")))</f>
        <v/>
      </c>
      <c r="H190" t="str">
        <f>IF(G190="","",IF(G190="[FÓRMULA MANUAL]","",IFERROR(AVERAGEIFS(DATOS!$K$2:$K$20000,DATOS!$A$2:$A$20000,G190,DATOS!$G$2:$G$20000,CONFIG_METADATA!$B$4,DATOS!$I$2:$I$20000,"Lenguaje Musical"),"")))</f>
        <v/>
      </c>
      <c r="I190" t="str">
        <f>IF(G190="","",IF(G190="[FÓRMULA MANUAL]","",IFERROR(AVERAGEIFS(DATOS!$K$2:$K$20000,DATOS!$A$2:$A$20000,G190,DATOS!$G$2:$G$20000,CONFIG_METADATA!$B$4,DATOS!$I$2:$I$20000,"Orquesta/Banda/Conjunto"),"")))</f>
        <v/>
      </c>
      <c r="J190" t="str">
        <f>IF(G190="","",IF(G190="[FÓRMULA MANUAL]","",IFERROR(AVERAGEIFS(DATOS!$K$2:$K$20000,DATOS!$A$2:$A$20000,G190,DATOS!$G$2:$G$20000,CONFIG_METADATA!$B$4,DATOS!$I$2:$I$20000,"Conjunto"),"")))</f>
        <v/>
      </c>
      <c r="K190" t="str">
        <f>IF(G190="","",IF(G190="[FÓRMULA MANUAL]","",IFERROR(SUMPRODUCT((DATOS!$A$2:$A$20000=G190)*(DATOS!$G$2:$G$20000=CONFIG_METADATA!$B$4)*(COUNTIF(CONFIG_ASIGNATURAS!$B$7:$B$27,DATOS!$I$2:$I$20000)&gt;0)*(DATOS!$K$2:$K$20000))/SUMPRODUCT((DATOS!$A$2:$A$20000=G190)*(DATOS!$G$2:$G$20000=CONFIG_METADATA!$B$4)*(COUNTIF(CONFIG_ASIGNATURAS!$B$7:$B$27,DATOS!$I$2:$I$20000)&gt;0)*1),"")))</f>
        <v/>
      </c>
      <c r="N190" t="str">
        <f>IF(M190="","",IF(M190="[FÓRMULA MANUAL]","",IFERROR(AVERAGEIFS(DATOS!$K$2:$K$20000,DATOS!$A$2:$A$20000,M190,DATOS!$G$2:$G$20000,CONFIG_METADATA!$B$4,DATOS!$I$2:$I$20000,"Armonía"),"")))</f>
        <v/>
      </c>
      <c r="O190" t="str">
        <f>IF(M190="","",IF(M190="[FÓRMULA MANUAL]","",IFERROR(AVERAGEIFS(DATOS!$K$2:$K$20000,DATOS!$A$2:$A$20000,M190,DATOS!$G$2:$G$20000,CONFIG_METADATA!$B$4,DATOS!$I$2:$I$20000,"Orquesta/Banda/Conjunto"),"")))</f>
        <v/>
      </c>
      <c r="P190" t="str">
        <f>IF(M190="","",IF(M190="[FÓRMULA MANUAL]","",IFERROR(AVERAGEIFS(DATOS!$K$2:$K$20000,DATOS!$A$2:$A$20000,M190,DATOS!$G$2:$G$20000,CONFIG_METADATA!$B$4,DATOS!$I$2:$I$20000,"Música de Cámara"),"")))</f>
        <v/>
      </c>
      <c r="Q190" t="str">
        <f>IF(M190="","",IF(M190="[FÓRMULA MANUAL]","",IFERROR(SUMPRODUCT((DATOS!$A$2:$A$20000=M190)*(DATOS!$G$2:$G$20000=CONFIG_METADATA!$B$4)*(COUNTIF(CONFIG_ASIGNATURAS!$B$7:$B$27,DATOS!$I$2:$I$20000)&gt;0)*(DATOS!$K$2:$K$20000))/SUMPRODUCT((DATOS!$A$2:$A$20000=M190)*(DATOS!$G$2:$G$20000=CONFIG_METADATA!$B$4)*(COUNTIF(CONFIG_ASIGNATURAS!$B$7:$B$27,DATOS!$I$2:$I$20000)&gt;0)*1),"")))</f>
        <v/>
      </c>
      <c r="T190" t="str">
        <f>IF(S190="","",IF(S190="[FÓRMULA MANUAL]","",IFERROR(AVERAGEIFS(DATOS!$K$2:$K$20000,DATOS!$A$2:$A$20000,S190,DATOS!$G$2:$G$20000,CONFIG_METADATA!$B$4,DATOS!$I$2:$I$20000,"Armonía"),"")))</f>
        <v/>
      </c>
      <c r="U190" t="str">
        <f>IF(S190="","",IF(S190="[FÓRMULA MANUAL]","",IFERROR(AVERAGEIFS(DATOS!$K$2:$K$20000,DATOS!$A$2:$A$20000,S190,DATOS!$G$2:$G$20000,CONFIG_METADATA!$B$4,DATOS!$I$2:$I$20000,"Orquesta/Banda/Conjunto"),"")))</f>
        <v/>
      </c>
      <c r="V190" t="str">
        <f>IF(S190="","",IF(S190="[FÓRMULA MANUAL]","",IFERROR(AVERAGEIFS(DATOS!$K$2:$K$20000,DATOS!$A$2:$A$20000,S190,DATOS!$G$2:$G$20000,CONFIG_METADATA!$B$4,DATOS!$I$2:$I$20000,"Música de Cámara"),"")))</f>
        <v/>
      </c>
      <c r="W190" t="str">
        <f>IF(S190="","",IF(S190="[FÓRMULA MANUAL]","",IFERROR(SUMPRODUCT((DATOS!$A$2:$A$20000=S190)*(DATOS!$G$2:$G$20000=CONFIG_METADATA!$B$4)*(COUNTIF(CONFIG_ASIGNATURAS!$B$7:$B$27,DATOS!$I$2:$I$20000)&gt;0)*(DATOS!$K$2:$K$20000))/SUMPRODUCT((DATOS!$A$2:$A$20000=S190)*(DATOS!$G$2:$G$20000=CONFIG_METADATA!$B$4)*(COUNTIF(CONFIG_ASIGNATURAS!$B$7:$B$27,DATOS!$I$2:$I$20000)&gt;0)*1),"")))</f>
        <v/>
      </c>
      <c r="Z190" t="str">
        <f>IF(Y190="","",IF(Y190="[FÓRMULA MANUAL]","",IFERROR(AVERAGEIFS(DATOS!$K$2:$K$20000,DATOS!$A$2:$A$20000,Y190,DATOS!$G$2:$G$20000,CONFIG_METADATA!$B$4,DATOS!$I$2:$I$20000,"Análisis"),"")))</f>
        <v/>
      </c>
      <c r="AA190" t="str">
        <f>IF(Y190="","",IF(Y190="[FÓRMULA MANUAL]","",IFERROR(AVERAGEIFS(DATOS!$K$2:$K$20000,DATOS!$A$2:$A$20000,Y190,DATOS!$G$2:$G$20000,CONFIG_METADATA!$B$4,DATOS!$I$2:$I$20000,"Orquesta/Banda/Conjunto"),"")))</f>
        <v/>
      </c>
      <c r="AB190" t="str">
        <f>IF(Y190="","",IF(Y190="[FÓRMULA MANUAL]","",IFERROR(AVERAGEIFS(DATOS!$K$2:$K$20000,DATOS!$A$2:$A$20000,Y190,DATOS!$G$2:$G$20000,CONFIG_METADATA!$B$4,DATOS!$I$2:$I$20000,"Música de Cámara"),"")))</f>
        <v/>
      </c>
      <c r="AC190" t="str">
        <f>IF(Y190="","",IF(Y190="[FÓRMULA MANUAL]","",IFERROR(SUMPRODUCT((DATOS!$A$2:$A$20000=Y190)*(DATOS!$G$2:$G$20000=CONFIG_METADATA!$B$4)*(COUNTIF(CONFIG_ASIGNATURAS!$B$7:$B$27,DATOS!$I$2:$I$20000)&gt;0)*(DATOS!$K$2:$K$20000))/SUMPRODUCT((DATOS!$A$2:$A$20000=Y190)*(DATOS!$G$2:$G$20000=CONFIG_METADATA!$B$4)*(COUNTIF(CONFIG_ASIGNATURAS!$B$7:$B$27,DATOS!$I$2:$I$20000)&gt;0)*1),"")))</f>
        <v/>
      </c>
      <c r="AF190" t="str">
        <f>IF(AE190="","",IF(AE190="[FÓRMULA MANUAL]","",IFERROR(AVERAGEIFS(DATOS!$K$2:$K$20000,DATOS!$A$2:$A$20000,AE190,DATOS!$G$2:$G$20000,CONFIG_METADATA!$B$4,DATOS!$I$2:$I$20000,"Análisis"),"")))</f>
        <v/>
      </c>
      <c r="AG190" t="str">
        <f>IF(AE190="","",IF(AE190="[FÓRMULA MANUAL]","",IFERROR(AVERAGEIFS(DATOS!$K$2:$K$20000,DATOS!$A$2:$A$20000,AE190,DATOS!$G$2:$G$20000,CONFIG_METADATA!$B$4,DATOS!$I$2:$I$20000,"Orquesta/Banda/Conjunto"),"")))</f>
        <v/>
      </c>
      <c r="AH190" t="str">
        <f>IF(AE190="","",IF(AE190="[FÓRMULA MANUAL]","",IFERROR(AVERAGEIFS(DATOS!$K$2:$K$20000,DATOS!$A$2:$A$20000,AE190,DATOS!$G$2:$G$20000,CONFIG_METADATA!$B$4,DATOS!$I$2:$I$20000,"Música de Cámara"),"")))</f>
        <v/>
      </c>
      <c r="AI190" t="str">
        <f>IF(AE190="","",IF(AE190="[FÓRMULA MANUAL]","",IFERROR(SUMPRODUCT((DATOS!$A$2:$A$20000=AE190)*(DATOS!$G$2:$G$20000=CONFIG_METADATA!$B$4)*(COUNTIF(CONFIG_ASIGNATURAS!$B$7:$B$27,DATOS!$I$2:$I$20000)&gt;0)*(DATOS!$K$2:$K$20000))/SUMPRODUCT((DATOS!$A$2:$A$20000=AE190)*(DATOS!$G$2:$G$20000=CONFIG_METADATA!$B$4)*(COUNTIF(CONFIG_ASIGNATURAS!$B$7:$B$27,DATOS!$I$2:$I$20000)&gt;0)*1),"")))</f>
        <v/>
      </c>
    </row>
    <row r="191" spans="2:35" x14ac:dyDescent="0.2">
      <c r="B191" t="str">
        <f>IF(A191="","",IF(A191="[FÓRMULA MANUAL]","",IFERROR(AVERAGEIFS(DATOS!$K$2:$K$20000,DATOS!$A$2:$A$20000,A191,DATOS!$G$2:$G$20000,CONFIG_METADATA!$B$4,DATOS!$I$2:$I$20000,"Lenguaje Musical"),"")))</f>
        <v/>
      </c>
      <c r="C191" t="str">
        <f>IF(A191="","",IF(A191="[FÓRMULA MANUAL]","",IFERROR(AVERAGEIFS(DATOS!$K$2:$K$20000,DATOS!$A$2:$A$20000,A191,DATOS!$G$2:$G$20000,CONFIG_METADATA!$B$4,DATOS!$I$2:$I$20000,"Orquesta/Banda/Conjunto"),"")))</f>
        <v/>
      </c>
      <c r="D191" t="str">
        <f>IF(A191="","",IF(A191="[FÓRMULA MANUAL]","",IFERROR(AVERAGEIFS(DATOS!$K$2:$K$20000,DATOS!$A$2:$A$20000,A191,DATOS!$G$2:$G$20000,CONFIG_METADATA!$B$4,DATOS!$I$2:$I$20000,"Conjunto"),"")))</f>
        <v/>
      </c>
      <c r="E191" t="str">
        <f>IF(A191="","",IF(A191="[FÓRMULA MANUAL]","",IFERROR(SUMPRODUCT((DATOS!$A$2:$A$20000=A191)*(DATOS!$G$2:$G$20000=CONFIG_METADATA!$B$4)*(COUNTIF(CONFIG_ASIGNATURAS!$B$7:$B$27,DATOS!$I$2:$I$20000)&gt;0)*(DATOS!$K$2:$K$20000))/SUMPRODUCT((DATOS!$A$2:$A$20000=A191)*(DATOS!$G$2:$G$20000=CONFIG_METADATA!$B$4)*(COUNTIF(CONFIG_ASIGNATURAS!$B$7:$B$27,DATOS!$I$2:$I$20000)&gt;0)*1),"")))</f>
        <v/>
      </c>
      <c r="H191" t="str">
        <f>IF(G191="","",IF(G191="[FÓRMULA MANUAL]","",IFERROR(AVERAGEIFS(DATOS!$K$2:$K$20000,DATOS!$A$2:$A$20000,G191,DATOS!$G$2:$G$20000,CONFIG_METADATA!$B$4,DATOS!$I$2:$I$20000,"Lenguaje Musical"),"")))</f>
        <v/>
      </c>
      <c r="I191" t="str">
        <f>IF(G191="","",IF(G191="[FÓRMULA MANUAL]","",IFERROR(AVERAGEIFS(DATOS!$K$2:$K$20000,DATOS!$A$2:$A$20000,G191,DATOS!$G$2:$G$20000,CONFIG_METADATA!$B$4,DATOS!$I$2:$I$20000,"Orquesta/Banda/Conjunto"),"")))</f>
        <v/>
      </c>
      <c r="J191" t="str">
        <f>IF(G191="","",IF(G191="[FÓRMULA MANUAL]","",IFERROR(AVERAGEIFS(DATOS!$K$2:$K$20000,DATOS!$A$2:$A$20000,G191,DATOS!$G$2:$G$20000,CONFIG_METADATA!$B$4,DATOS!$I$2:$I$20000,"Conjunto"),"")))</f>
        <v/>
      </c>
      <c r="K191" t="str">
        <f>IF(G191="","",IF(G191="[FÓRMULA MANUAL]","",IFERROR(SUMPRODUCT((DATOS!$A$2:$A$20000=G191)*(DATOS!$G$2:$G$20000=CONFIG_METADATA!$B$4)*(COUNTIF(CONFIG_ASIGNATURAS!$B$7:$B$27,DATOS!$I$2:$I$20000)&gt;0)*(DATOS!$K$2:$K$20000))/SUMPRODUCT((DATOS!$A$2:$A$20000=G191)*(DATOS!$G$2:$G$20000=CONFIG_METADATA!$B$4)*(COUNTIF(CONFIG_ASIGNATURAS!$B$7:$B$27,DATOS!$I$2:$I$20000)&gt;0)*1),"")))</f>
        <v/>
      </c>
      <c r="N191" t="str">
        <f>IF(M191="","",IF(M191="[FÓRMULA MANUAL]","",IFERROR(AVERAGEIFS(DATOS!$K$2:$K$20000,DATOS!$A$2:$A$20000,M191,DATOS!$G$2:$G$20000,CONFIG_METADATA!$B$4,DATOS!$I$2:$I$20000,"Armonía"),"")))</f>
        <v/>
      </c>
      <c r="O191" t="str">
        <f>IF(M191="","",IF(M191="[FÓRMULA MANUAL]","",IFERROR(AVERAGEIFS(DATOS!$K$2:$K$20000,DATOS!$A$2:$A$20000,M191,DATOS!$G$2:$G$20000,CONFIG_METADATA!$B$4,DATOS!$I$2:$I$20000,"Orquesta/Banda/Conjunto"),"")))</f>
        <v/>
      </c>
      <c r="P191" t="str">
        <f>IF(M191="","",IF(M191="[FÓRMULA MANUAL]","",IFERROR(AVERAGEIFS(DATOS!$K$2:$K$20000,DATOS!$A$2:$A$20000,M191,DATOS!$G$2:$G$20000,CONFIG_METADATA!$B$4,DATOS!$I$2:$I$20000,"Música de Cámara"),"")))</f>
        <v/>
      </c>
      <c r="Q191" t="str">
        <f>IF(M191="","",IF(M191="[FÓRMULA MANUAL]","",IFERROR(SUMPRODUCT((DATOS!$A$2:$A$20000=M191)*(DATOS!$G$2:$G$20000=CONFIG_METADATA!$B$4)*(COUNTIF(CONFIG_ASIGNATURAS!$B$7:$B$27,DATOS!$I$2:$I$20000)&gt;0)*(DATOS!$K$2:$K$20000))/SUMPRODUCT((DATOS!$A$2:$A$20000=M191)*(DATOS!$G$2:$G$20000=CONFIG_METADATA!$B$4)*(COUNTIF(CONFIG_ASIGNATURAS!$B$7:$B$27,DATOS!$I$2:$I$20000)&gt;0)*1),"")))</f>
        <v/>
      </c>
      <c r="T191" t="str">
        <f>IF(S191="","",IF(S191="[FÓRMULA MANUAL]","",IFERROR(AVERAGEIFS(DATOS!$K$2:$K$20000,DATOS!$A$2:$A$20000,S191,DATOS!$G$2:$G$20000,CONFIG_METADATA!$B$4,DATOS!$I$2:$I$20000,"Armonía"),"")))</f>
        <v/>
      </c>
      <c r="U191" t="str">
        <f>IF(S191="","",IF(S191="[FÓRMULA MANUAL]","",IFERROR(AVERAGEIFS(DATOS!$K$2:$K$20000,DATOS!$A$2:$A$20000,S191,DATOS!$G$2:$G$20000,CONFIG_METADATA!$B$4,DATOS!$I$2:$I$20000,"Orquesta/Banda/Conjunto"),"")))</f>
        <v/>
      </c>
      <c r="V191" t="str">
        <f>IF(S191="","",IF(S191="[FÓRMULA MANUAL]","",IFERROR(AVERAGEIFS(DATOS!$K$2:$K$20000,DATOS!$A$2:$A$20000,S191,DATOS!$G$2:$G$20000,CONFIG_METADATA!$B$4,DATOS!$I$2:$I$20000,"Música de Cámara"),"")))</f>
        <v/>
      </c>
      <c r="W191" t="str">
        <f>IF(S191="","",IF(S191="[FÓRMULA MANUAL]","",IFERROR(SUMPRODUCT((DATOS!$A$2:$A$20000=S191)*(DATOS!$G$2:$G$20000=CONFIG_METADATA!$B$4)*(COUNTIF(CONFIG_ASIGNATURAS!$B$7:$B$27,DATOS!$I$2:$I$20000)&gt;0)*(DATOS!$K$2:$K$20000))/SUMPRODUCT((DATOS!$A$2:$A$20000=S191)*(DATOS!$G$2:$G$20000=CONFIG_METADATA!$B$4)*(COUNTIF(CONFIG_ASIGNATURAS!$B$7:$B$27,DATOS!$I$2:$I$20000)&gt;0)*1),"")))</f>
        <v/>
      </c>
      <c r="Z191" t="str">
        <f>IF(Y191="","",IF(Y191="[FÓRMULA MANUAL]","",IFERROR(AVERAGEIFS(DATOS!$K$2:$K$20000,DATOS!$A$2:$A$20000,Y191,DATOS!$G$2:$G$20000,CONFIG_METADATA!$B$4,DATOS!$I$2:$I$20000,"Análisis"),"")))</f>
        <v/>
      </c>
      <c r="AA191" t="str">
        <f>IF(Y191="","",IF(Y191="[FÓRMULA MANUAL]","",IFERROR(AVERAGEIFS(DATOS!$K$2:$K$20000,DATOS!$A$2:$A$20000,Y191,DATOS!$G$2:$G$20000,CONFIG_METADATA!$B$4,DATOS!$I$2:$I$20000,"Orquesta/Banda/Conjunto"),"")))</f>
        <v/>
      </c>
      <c r="AB191" t="str">
        <f>IF(Y191="","",IF(Y191="[FÓRMULA MANUAL]","",IFERROR(AVERAGEIFS(DATOS!$K$2:$K$20000,DATOS!$A$2:$A$20000,Y191,DATOS!$G$2:$G$20000,CONFIG_METADATA!$B$4,DATOS!$I$2:$I$20000,"Música de Cámara"),"")))</f>
        <v/>
      </c>
      <c r="AC191" t="str">
        <f>IF(Y191="","",IF(Y191="[FÓRMULA MANUAL]","",IFERROR(SUMPRODUCT((DATOS!$A$2:$A$20000=Y191)*(DATOS!$G$2:$G$20000=CONFIG_METADATA!$B$4)*(COUNTIF(CONFIG_ASIGNATURAS!$B$7:$B$27,DATOS!$I$2:$I$20000)&gt;0)*(DATOS!$K$2:$K$20000))/SUMPRODUCT((DATOS!$A$2:$A$20000=Y191)*(DATOS!$G$2:$G$20000=CONFIG_METADATA!$B$4)*(COUNTIF(CONFIG_ASIGNATURAS!$B$7:$B$27,DATOS!$I$2:$I$20000)&gt;0)*1),"")))</f>
        <v/>
      </c>
      <c r="AF191" t="str">
        <f>IF(AE191="","",IF(AE191="[FÓRMULA MANUAL]","",IFERROR(AVERAGEIFS(DATOS!$K$2:$K$20000,DATOS!$A$2:$A$20000,AE191,DATOS!$G$2:$G$20000,CONFIG_METADATA!$B$4,DATOS!$I$2:$I$20000,"Análisis"),"")))</f>
        <v/>
      </c>
      <c r="AG191" t="str">
        <f>IF(AE191="","",IF(AE191="[FÓRMULA MANUAL]","",IFERROR(AVERAGEIFS(DATOS!$K$2:$K$20000,DATOS!$A$2:$A$20000,AE191,DATOS!$G$2:$G$20000,CONFIG_METADATA!$B$4,DATOS!$I$2:$I$20000,"Orquesta/Banda/Conjunto"),"")))</f>
        <v/>
      </c>
      <c r="AH191" t="str">
        <f>IF(AE191="","",IF(AE191="[FÓRMULA MANUAL]","",IFERROR(AVERAGEIFS(DATOS!$K$2:$K$20000,DATOS!$A$2:$A$20000,AE191,DATOS!$G$2:$G$20000,CONFIG_METADATA!$B$4,DATOS!$I$2:$I$20000,"Música de Cámara"),"")))</f>
        <v/>
      </c>
      <c r="AI191" t="str">
        <f>IF(AE191="","",IF(AE191="[FÓRMULA MANUAL]","",IFERROR(SUMPRODUCT((DATOS!$A$2:$A$20000=AE191)*(DATOS!$G$2:$G$20000=CONFIG_METADATA!$B$4)*(COUNTIF(CONFIG_ASIGNATURAS!$B$7:$B$27,DATOS!$I$2:$I$20000)&gt;0)*(DATOS!$K$2:$K$20000))/SUMPRODUCT((DATOS!$A$2:$A$20000=AE191)*(DATOS!$G$2:$G$20000=CONFIG_METADATA!$B$4)*(COUNTIF(CONFIG_ASIGNATURAS!$B$7:$B$27,DATOS!$I$2:$I$20000)&gt;0)*1),"")))</f>
        <v/>
      </c>
    </row>
    <row r="192" spans="2:35" x14ac:dyDescent="0.2">
      <c r="B192" t="str">
        <f>IF(A192="","",IF(A192="[FÓRMULA MANUAL]","",IFERROR(AVERAGEIFS(DATOS!$K$2:$K$20000,DATOS!$A$2:$A$20000,A192,DATOS!$G$2:$G$20000,CONFIG_METADATA!$B$4,DATOS!$I$2:$I$20000,"Lenguaje Musical"),"")))</f>
        <v/>
      </c>
      <c r="C192" t="str">
        <f>IF(A192="","",IF(A192="[FÓRMULA MANUAL]","",IFERROR(AVERAGEIFS(DATOS!$K$2:$K$20000,DATOS!$A$2:$A$20000,A192,DATOS!$G$2:$G$20000,CONFIG_METADATA!$B$4,DATOS!$I$2:$I$20000,"Orquesta/Banda/Conjunto"),"")))</f>
        <v/>
      </c>
      <c r="D192" t="str">
        <f>IF(A192="","",IF(A192="[FÓRMULA MANUAL]","",IFERROR(AVERAGEIFS(DATOS!$K$2:$K$20000,DATOS!$A$2:$A$20000,A192,DATOS!$G$2:$G$20000,CONFIG_METADATA!$B$4,DATOS!$I$2:$I$20000,"Conjunto"),"")))</f>
        <v/>
      </c>
      <c r="E192" t="str">
        <f>IF(A192="","",IF(A192="[FÓRMULA MANUAL]","",IFERROR(SUMPRODUCT((DATOS!$A$2:$A$20000=A192)*(DATOS!$G$2:$G$20000=CONFIG_METADATA!$B$4)*(COUNTIF(CONFIG_ASIGNATURAS!$B$7:$B$27,DATOS!$I$2:$I$20000)&gt;0)*(DATOS!$K$2:$K$20000))/SUMPRODUCT((DATOS!$A$2:$A$20000=A192)*(DATOS!$G$2:$G$20000=CONFIG_METADATA!$B$4)*(COUNTIF(CONFIG_ASIGNATURAS!$B$7:$B$27,DATOS!$I$2:$I$20000)&gt;0)*1),"")))</f>
        <v/>
      </c>
      <c r="H192" t="str">
        <f>IF(G192="","",IF(G192="[FÓRMULA MANUAL]","",IFERROR(AVERAGEIFS(DATOS!$K$2:$K$20000,DATOS!$A$2:$A$20000,G192,DATOS!$G$2:$G$20000,CONFIG_METADATA!$B$4,DATOS!$I$2:$I$20000,"Lenguaje Musical"),"")))</f>
        <v/>
      </c>
      <c r="I192" t="str">
        <f>IF(G192="","",IF(G192="[FÓRMULA MANUAL]","",IFERROR(AVERAGEIFS(DATOS!$K$2:$K$20000,DATOS!$A$2:$A$20000,G192,DATOS!$G$2:$G$20000,CONFIG_METADATA!$B$4,DATOS!$I$2:$I$20000,"Orquesta/Banda/Conjunto"),"")))</f>
        <v/>
      </c>
      <c r="J192" t="str">
        <f>IF(G192="","",IF(G192="[FÓRMULA MANUAL]","",IFERROR(AVERAGEIFS(DATOS!$K$2:$K$20000,DATOS!$A$2:$A$20000,G192,DATOS!$G$2:$G$20000,CONFIG_METADATA!$B$4,DATOS!$I$2:$I$20000,"Conjunto"),"")))</f>
        <v/>
      </c>
      <c r="K192" t="str">
        <f>IF(G192="","",IF(G192="[FÓRMULA MANUAL]","",IFERROR(SUMPRODUCT((DATOS!$A$2:$A$20000=G192)*(DATOS!$G$2:$G$20000=CONFIG_METADATA!$B$4)*(COUNTIF(CONFIG_ASIGNATURAS!$B$7:$B$27,DATOS!$I$2:$I$20000)&gt;0)*(DATOS!$K$2:$K$20000))/SUMPRODUCT((DATOS!$A$2:$A$20000=G192)*(DATOS!$G$2:$G$20000=CONFIG_METADATA!$B$4)*(COUNTIF(CONFIG_ASIGNATURAS!$B$7:$B$27,DATOS!$I$2:$I$20000)&gt;0)*1),"")))</f>
        <v/>
      </c>
      <c r="N192" t="str">
        <f>IF(M192="","",IF(M192="[FÓRMULA MANUAL]","",IFERROR(AVERAGEIFS(DATOS!$K$2:$K$20000,DATOS!$A$2:$A$20000,M192,DATOS!$G$2:$G$20000,CONFIG_METADATA!$B$4,DATOS!$I$2:$I$20000,"Armonía"),"")))</f>
        <v/>
      </c>
      <c r="O192" t="str">
        <f>IF(M192="","",IF(M192="[FÓRMULA MANUAL]","",IFERROR(AVERAGEIFS(DATOS!$K$2:$K$20000,DATOS!$A$2:$A$20000,M192,DATOS!$G$2:$G$20000,CONFIG_METADATA!$B$4,DATOS!$I$2:$I$20000,"Orquesta/Banda/Conjunto"),"")))</f>
        <v/>
      </c>
      <c r="P192" t="str">
        <f>IF(M192="","",IF(M192="[FÓRMULA MANUAL]","",IFERROR(AVERAGEIFS(DATOS!$K$2:$K$20000,DATOS!$A$2:$A$20000,M192,DATOS!$G$2:$G$20000,CONFIG_METADATA!$B$4,DATOS!$I$2:$I$20000,"Música de Cámara"),"")))</f>
        <v/>
      </c>
      <c r="Q192" t="str">
        <f>IF(M192="","",IF(M192="[FÓRMULA MANUAL]","",IFERROR(SUMPRODUCT((DATOS!$A$2:$A$20000=M192)*(DATOS!$G$2:$G$20000=CONFIG_METADATA!$B$4)*(COUNTIF(CONFIG_ASIGNATURAS!$B$7:$B$27,DATOS!$I$2:$I$20000)&gt;0)*(DATOS!$K$2:$K$20000))/SUMPRODUCT((DATOS!$A$2:$A$20000=M192)*(DATOS!$G$2:$G$20000=CONFIG_METADATA!$B$4)*(COUNTIF(CONFIG_ASIGNATURAS!$B$7:$B$27,DATOS!$I$2:$I$20000)&gt;0)*1),"")))</f>
        <v/>
      </c>
      <c r="T192" t="str">
        <f>IF(S192="","",IF(S192="[FÓRMULA MANUAL]","",IFERROR(AVERAGEIFS(DATOS!$K$2:$K$20000,DATOS!$A$2:$A$20000,S192,DATOS!$G$2:$G$20000,CONFIG_METADATA!$B$4,DATOS!$I$2:$I$20000,"Armonía"),"")))</f>
        <v/>
      </c>
      <c r="U192" t="str">
        <f>IF(S192="","",IF(S192="[FÓRMULA MANUAL]","",IFERROR(AVERAGEIFS(DATOS!$K$2:$K$20000,DATOS!$A$2:$A$20000,S192,DATOS!$G$2:$G$20000,CONFIG_METADATA!$B$4,DATOS!$I$2:$I$20000,"Orquesta/Banda/Conjunto"),"")))</f>
        <v/>
      </c>
      <c r="V192" t="str">
        <f>IF(S192="","",IF(S192="[FÓRMULA MANUAL]","",IFERROR(AVERAGEIFS(DATOS!$K$2:$K$20000,DATOS!$A$2:$A$20000,S192,DATOS!$G$2:$G$20000,CONFIG_METADATA!$B$4,DATOS!$I$2:$I$20000,"Música de Cámara"),"")))</f>
        <v/>
      </c>
      <c r="W192" t="str">
        <f>IF(S192="","",IF(S192="[FÓRMULA MANUAL]","",IFERROR(SUMPRODUCT((DATOS!$A$2:$A$20000=S192)*(DATOS!$G$2:$G$20000=CONFIG_METADATA!$B$4)*(COUNTIF(CONFIG_ASIGNATURAS!$B$7:$B$27,DATOS!$I$2:$I$20000)&gt;0)*(DATOS!$K$2:$K$20000))/SUMPRODUCT((DATOS!$A$2:$A$20000=S192)*(DATOS!$G$2:$G$20000=CONFIG_METADATA!$B$4)*(COUNTIF(CONFIG_ASIGNATURAS!$B$7:$B$27,DATOS!$I$2:$I$20000)&gt;0)*1),"")))</f>
        <v/>
      </c>
      <c r="Z192" t="str">
        <f>IF(Y192="","",IF(Y192="[FÓRMULA MANUAL]","",IFERROR(AVERAGEIFS(DATOS!$K$2:$K$20000,DATOS!$A$2:$A$20000,Y192,DATOS!$G$2:$G$20000,CONFIG_METADATA!$B$4,DATOS!$I$2:$I$20000,"Análisis"),"")))</f>
        <v/>
      </c>
      <c r="AA192" t="str">
        <f>IF(Y192="","",IF(Y192="[FÓRMULA MANUAL]","",IFERROR(AVERAGEIFS(DATOS!$K$2:$K$20000,DATOS!$A$2:$A$20000,Y192,DATOS!$G$2:$G$20000,CONFIG_METADATA!$B$4,DATOS!$I$2:$I$20000,"Orquesta/Banda/Conjunto"),"")))</f>
        <v/>
      </c>
      <c r="AB192" t="str">
        <f>IF(Y192="","",IF(Y192="[FÓRMULA MANUAL]","",IFERROR(AVERAGEIFS(DATOS!$K$2:$K$20000,DATOS!$A$2:$A$20000,Y192,DATOS!$G$2:$G$20000,CONFIG_METADATA!$B$4,DATOS!$I$2:$I$20000,"Música de Cámara"),"")))</f>
        <v/>
      </c>
      <c r="AC192" t="str">
        <f>IF(Y192="","",IF(Y192="[FÓRMULA MANUAL]","",IFERROR(SUMPRODUCT((DATOS!$A$2:$A$20000=Y192)*(DATOS!$G$2:$G$20000=CONFIG_METADATA!$B$4)*(COUNTIF(CONFIG_ASIGNATURAS!$B$7:$B$27,DATOS!$I$2:$I$20000)&gt;0)*(DATOS!$K$2:$K$20000))/SUMPRODUCT((DATOS!$A$2:$A$20000=Y192)*(DATOS!$G$2:$G$20000=CONFIG_METADATA!$B$4)*(COUNTIF(CONFIG_ASIGNATURAS!$B$7:$B$27,DATOS!$I$2:$I$20000)&gt;0)*1),"")))</f>
        <v/>
      </c>
      <c r="AF192" t="str">
        <f>IF(AE192="","",IF(AE192="[FÓRMULA MANUAL]","",IFERROR(AVERAGEIFS(DATOS!$K$2:$K$20000,DATOS!$A$2:$A$20000,AE192,DATOS!$G$2:$G$20000,CONFIG_METADATA!$B$4,DATOS!$I$2:$I$20000,"Análisis"),"")))</f>
        <v/>
      </c>
      <c r="AG192" t="str">
        <f>IF(AE192="","",IF(AE192="[FÓRMULA MANUAL]","",IFERROR(AVERAGEIFS(DATOS!$K$2:$K$20000,DATOS!$A$2:$A$20000,AE192,DATOS!$G$2:$G$20000,CONFIG_METADATA!$B$4,DATOS!$I$2:$I$20000,"Orquesta/Banda/Conjunto"),"")))</f>
        <v/>
      </c>
      <c r="AH192" t="str">
        <f>IF(AE192="","",IF(AE192="[FÓRMULA MANUAL]","",IFERROR(AVERAGEIFS(DATOS!$K$2:$K$20000,DATOS!$A$2:$A$20000,AE192,DATOS!$G$2:$G$20000,CONFIG_METADATA!$B$4,DATOS!$I$2:$I$20000,"Música de Cámara"),"")))</f>
        <v/>
      </c>
      <c r="AI192" t="str">
        <f>IF(AE192="","",IF(AE192="[FÓRMULA MANUAL]","",IFERROR(SUMPRODUCT((DATOS!$A$2:$A$20000=AE192)*(DATOS!$G$2:$G$20000=CONFIG_METADATA!$B$4)*(COUNTIF(CONFIG_ASIGNATURAS!$B$7:$B$27,DATOS!$I$2:$I$20000)&gt;0)*(DATOS!$K$2:$K$20000))/SUMPRODUCT((DATOS!$A$2:$A$20000=AE192)*(DATOS!$G$2:$G$20000=CONFIG_METADATA!$B$4)*(COUNTIF(CONFIG_ASIGNATURAS!$B$7:$B$27,DATOS!$I$2:$I$20000)&gt;0)*1),"")))</f>
        <v/>
      </c>
    </row>
    <row r="193" spans="2:35" x14ac:dyDescent="0.2">
      <c r="B193" t="str">
        <f>IF(A193="","",IF(A193="[FÓRMULA MANUAL]","",IFERROR(AVERAGEIFS(DATOS!$K$2:$K$20000,DATOS!$A$2:$A$20000,A193,DATOS!$G$2:$G$20000,CONFIG_METADATA!$B$4,DATOS!$I$2:$I$20000,"Lenguaje Musical"),"")))</f>
        <v/>
      </c>
      <c r="C193" t="str">
        <f>IF(A193="","",IF(A193="[FÓRMULA MANUAL]","",IFERROR(AVERAGEIFS(DATOS!$K$2:$K$20000,DATOS!$A$2:$A$20000,A193,DATOS!$G$2:$G$20000,CONFIG_METADATA!$B$4,DATOS!$I$2:$I$20000,"Orquesta/Banda/Conjunto"),"")))</f>
        <v/>
      </c>
      <c r="D193" t="str">
        <f>IF(A193="","",IF(A193="[FÓRMULA MANUAL]","",IFERROR(AVERAGEIFS(DATOS!$K$2:$K$20000,DATOS!$A$2:$A$20000,A193,DATOS!$G$2:$G$20000,CONFIG_METADATA!$B$4,DATOS!$I$2:$I$20000,"Conjunto"),"")))</f>
        <v/>
      </c>
      <c r="E193" t="str">
        <f>IF(A193="","",IF(A193="[FÓRMULA MANUAL]","",IFERROR(SUMPRODUCT((DATOS!$A$2:$A$20000=A193)*(DATOS!$G$2:$G$20000=CONFIG_METADATA!$B$4)*(COUNTIF(CONFIG_ASIGNATURAS!$B$7:$B$27,DATOS!$I$2:$I$20000)&gt;0)*(DATOS!$K$2:$K$20000))/SUMPRODUCT((DATOS!$A$2:$A$20000=A193)*(DATOS!$G$2:$G$20000=CONFIG_METADATA!$B$4)*(COUNTIF(CONFIG_ASIGNATURAS!$B$7:$B$27,DATOS!$I$2:$I$20000)&gt;0)*1),"")))</f>
        <v/>
      </c>
      <c r="H193" t="str">
        <f>IF(G193="","",IF(G193="[FÓRMULA MANUAL]","",IFERROR(AVERAGEIFS(DATOS!$K$2:$K$20000,DATOS!$A$2:$A$20000,G193,DATOS!$G$2:$G$20000,CONFIG_METADATA!$B$4,DATOS!$I$2:$I$20000,"Lenguaje Musical"),"")))</f>
        <v/>
      </c>
      <c r="I193" t="str">
        <f>IF(G193="","",IF(G193="[FÓRMULA MANUAL]","",IFERROR(AVERAGEIFS(DATOS!$K$2:$K$20000,DATOS!$A$2:$A$20000,G193,DATOS!$G$2:$G$20000,CONFIG_METADATA!$B$4,DATOS!$I$2:$I$20000,"Orquesta/Banda/Conjunto"),"")))</f>
        <v/>
      </c>
      <c r="J193" t="str">
        <f>IF(G193="","",IF(G193="[FÓRMULA MANUAL]","",IFERROR(AVERAGEIFS(DATOS!$K$2:$K$20000,DATOS!$A$2:$A$20000,G193,DATOS!$G$2:$G$20000,CONFIG_METADATA!$B$4,DATOS!$I$2:$I$20000,"Conjunto"),"")))</f>
        <v/>
      </c>
      <c r="K193" t="str">
        <f>IF(G193="","",IF(G193="[FÓRMULA MANUAL]","",IFERROR(SUMPRODUCT((DATOS!$A$2:$A$20000=G193)*(DATOS!$G$2:$G$20000=CONFIG_METADATA!$B$4)*(COUNTIF(CONFIG_ASIGNATURAS!$B$7:$B$27,DATOS!$I$2:$I$20000)&gt;0)*(DATOS!$K$2:$K$20000))/SUMPRODUCT((DATOS!$A$2:$A$20000=G193)*(DATOS!$G$2:$G$20000=CONFIG_METADATA!$B$4)*(COUNTIF(CONFIG_ASIGNATURAS!$B$7:$B$27,DATOS!$I$2:$I$20000)&gt;0)*1),"")))</f>
        <v/>
      </c>
      <c r="N193" t="str">
        <f>IF(M193="","",IF(M193="[FÓRMULA MANUAL]","",IFERROR(AVERAGEIFS(DATOS!$K$2:$K$20000,DATOS!$A$2:$A$20000,M193,DATOS!$G$2:$G$20000,CONFIG_METADATA!$B$4,DATOS!$I$2:$I$20000,"Armonía"),"")))</f>
        <v/>
      </c>
      <c r="O193" t="str">
        <f>IF(M193="","",IF(M193="[FÓRMULA MANUAL]","",IFERROR(AVERAGEIFS(DATOS!$K$2:$K$20000,DATOS!$A$2:$A$20000,M193,DATOS!$G$2:$G$20000,CONFIG_METADATA!$B$4,DATOS!$I$2:$I$20000,"Orquesta/Banda/Conjunto"),"")))</f>
        <v/>
      </c>
      <c r="P193" t="str">
        <f>IF(M193="","",IF(M193="[FÓRMULA MANUAL]","",IFERROR(AVERAGEIFS(DATOS!$K$2:$K$20000,DATOS!$A$2:$A$20000,M193,DATOS!$G$2:$G$20000,CONFIG_METADATA!$B$4,DATOS!$I$2:$I$20000,"Música de Cámara"),"")))</f>
        <v/>
      </c>
      <c r="Q193" t="str">
        <f>IF(M193="","",IF(M193="[FÓRMULA MANUAL]","",IFERROR(SUMPRODUCT((DATOS!$A$2:$A$20000=M193)*(DATOS!$G$2:$G$20000=CONFIG_METADATA!$B$4)*(COUNTIF(CONFIG_ASIGNATURAS!$B$7:$B$27,DATOS!$I$2:$I$20000)&gt;0)*(DATOS!$K$2:$K$20000))/SUMPRODUCT((DATOS!$A$2:$A$20000=M193)*(DATOS!$G$2:$G$20000=CONFIG_METADATA!$B$4)*(COUNTIF(CONFIG_ASIGNATURAS!$B$7:$B$27,DATOS!$I$2:$I$20000)&gt;0)*1),"")))</f>
        <v/>
      </c>
      <c r="T193" t="str">
        <f>IF(S193="","",IF(S193="[FÓRMULA MANUAL]","",IFERROR(AVERAGEIFS(DATOS!$K$2:$K$20000,DATOS!$A$2:$A$20000,S193,DATOS!$G$2:$G$20000,CONFIG_METADATA!$B$4,DATOS!$I$2:$I$20000,"Armonía"),"")))</f>
        <v/>
      </c>
      <c r="U193" t="str">
        <f>IF(S193="","",IF(S193="[FÓRMULA MANUAL]","",IFERROR(AVERAGEIFS(DATOS!$K$2:$K$20000,DATOS!$A$2:$A$20000,S193,DATOS!$G$2:$G$20000,CONFIG_METADATA!$B$4,DATOS!$I$2:$I$20000,"Orquesta/Banda/Conjunto"),"")))</f>
        <v/>
      </c>
      <c r="V193" t="str">
        <f>IF(S193="","",IF(S193="[FÓRMULA MANUAL]","",IFERROR(AVERAGEIFS(DATOS!$K$2:$K$20000,DATOS!$A$2:$A$20000,S193,DATOS!$G$2:$G$20000,CONFIG_METADATA!$B$4,DATOS!$I$2:$I$20000,"Música de Cámara"),"")))</f>
        <v/>
      </c>
      <c r="W193" t="str">
        <f>IF(S193="","",IF(S193="[FÓRMULA MANUAL]","",IFERROR(SUMPRODUCT((DATOS!$A$2:$A$20000=S193)*(DATOS!$G$2:$G$20000=CONFIG_METADATA!$B$4)*(COUNTIF(CONFIG_ASIGNATURAS!$B$7:$B$27,DATOS!$I$2:$I$20000)&gt;0)*(DATOS!$K$2:$K$20000))/SUMPRODUCT((DATOS!$A$2:$A$20000=S193)*(DATOS!$G$2:$G$20000=CONFIG_METADATA!$B$4)*(COUNTIF(CONFIG_ASIGNATURAS!$B$7:$B$27,DATOS!$I$2:$I$20000)&gt;0)*1),"")))</f>
        <v/>
      </c>
      <c r="Z193" t="str">
        <f>IF(Y193="","",IF(Y193="[FÓRMULA MANUAL]","",IFERROR(AVERAGEIFS(DATOS!$K$2:$K$20000,DATOS!$A$2:$A$20000,Y193,DATOS!$G$2:$G$20000,CONFIG_METADATA!$B$4,DATOS!$I$2:$I$20000,"Análisis"),"")))</f>
        <v/>
      </c>
      <c r="AA193" t="str">
        <f>IF(Y193="","",IF(Y193="[FÓRMULA MANUAL]","",IFERROR(AVERAGEIFS(DATOS!$K$2:$K$20000,DATOS!$A$2:$A$20000,Y193,DATOS!$G$2:$G$20000,CONFIG_METADATA!$B$4,DATOS!$I$2:$I$20000,"Orquesta/Banda/Conjunto"),"")))</f>
        <v/>
      </c>
      <c r="AB193" t="str">
        <f>IF(Y193="","",IF(Y193="[FÓRMULA MANUAL]","",IFERROR(AVERAGEIFS(DATOS!$K$2:$K$20000,DATOS!$A$2:$A$20000,Y193,DATOS!$G$2:$G$20000,CONFIG_METADATA!$B$4,DATOS!$I$2:$I$20000,"Música de Cámara"),"")))</f>
        <v/>
      </c>
      <c r="AC193" t="str">
        <f>IF(Y193="","",IF(Y193="[FÓRMULA MANUAL]","",IFERROR(SUMPRODUCT((DATOS!$A$2:$A$20000=Y193)*(DATOS!$G$2:$G$20000=CONFIG_METADATA!$B$4)*(COUNTIF(CONFIG_ASIGNATURAS!$B$7:$B$27,DATOS!$I$2:$I$20000)&gt;0)*(DATOS!$K$2:$K$20000))/SUMPRODUCT((DATOS!$A$2:$A$20000=Y193)*(DATOS!$G$2:$G$20000=CONFIG_METADATA!$B$4)*(COUNTIF(CONFIG_ASIGNATURAS!$B$7:$B$27,DATOS!$I$2:$I$20000)&gt;0)*1),"")))</f>
        <v/>
      </c>
      <c r="AF193" t="str">
        <f>IF(AE193="","",IF(AE193="[FÓRMULA MANUAL]","",IFERROR(AVERAGEIFS(DATOS!$K$2:$K$20000,DATOS!$A$2:$A$20000,AE193,DATOS!$G$2:$G$20000,CONFIG_METADATA!$B$4,DATOS!$I$2:$I$20000,"Análisis"),"")))</f>
        <v/>
      </c>
      <c r="AG193" t="str">
        <f>IF(AE193="","",IF(AE193="[FÓRMULA MANUAL]","",IFERROR(AVERAGEIFS(DATOS!$K$2:$K$20000,DATOS!$A$2:$A$20000,AE193,DATOS!$G$2:$G$20000,CONFIG_METADATA!$B$4,DATOS!$I$2:$I$20000,"Orquesta/Banda/Conjunto"),"")))</f>
        <v/>
      </c>
      <c r="AH193" t="str">
        <f>IF(AE193="","",IF(AE193="[FÓRMULA MANUAL]","",IFERROR(AVERAGEIFS(DATOS!$K$2:$K$20000,DATOS!$A$2:$A$20000,AE193,DATOS!$G$2:$G$20000,CONFIG_METADATA!$B$4,DATOS!$I$2:$I$20000,"Música de Cámara"),"")))</f>
        <v/>
      </c>
      <c r="AI193" t="str">
        <f>IF(AE193="","",IF(AE193="[FÓRMULA MANUAL]","",IFERROR(SUMPRODUCT((DATOS!$A$2:$A$20000=AE193)*(DATOS!$G$2:$G$20000=CONFIG_METADATA!$B$4)*(COUNTIF(CONFIG_ASIGNATURAS!$B$7:$B$27,DATOS!$I$2:$I$20000)&gt;0)*(DATOS!$K$2:$K$20000))/SUMPRODUCT((DATOS!$A$2:$A$20000=AE193)*(DATOS!$G$2:$G$20000=CONFIG_METADATA!$B$4)*(COUNTIF(CONFIG_ASIGNATURAS!$B$7:$B$27,DATOS!$I$2:$I$20000)&gt;0)*1),"")))</f>
        <v/>
      </c>
    </row>
    <row r="194" spans="2:35" x14ac:dyDescent="0.2">
      <c r="B194" t="str">
        <f>IF(A194="","",IF(A194="[FÓRMULA MANUAL]","",IFERROR(AVERAGEIFS(DATOS!$K$2:$K$20000,DATOS!$A$2:$A$20000,A194,DATOS!$G$2:$G$20000,CONFIG_METADATA!$B$4,DATOS!$I$2:$I$20000,"Lenguaje Musical"),"")))</f>
        <v/>
      </c>
      <c r="C194" t="str">
        <f>IF(A194="","",IF(A194="[FÓRMULA MANUAL]","",IFERROR(AVERAGEIFS(DATOS!$K$2:$K$20000,DATOS!$A$2:$A$20000,A194,DATOS!$G$2:$G$20000,CONFIG_METADATA!$B$4,DATOS!$I$2:$I$20000,"Orquesta/Banda/Conjunto"),"")))</f>
        <v/>
      </c>
      <c r="D194" t="str">
        <f>IF(A194="","",IF(A194="[FÓRMULA MANUAL]","",IFERROR(AVERAGEIFS(DATOS!$K$2:$K$20000,DATOS!$A$2:$A$20000,A194,DATOS!$G$2:$G$20000,CONFIG_METADATA!$B$4,DATOS!$I$2:$I$20000,"Conjunto"),"")))</f>
        <v/>
      </c>
      <c r="E194" t="str">
        <f>IF(A194="","",IF(A194="[FÓRMULA MANUAL]","",IFERROR(SUMPRODUCT((DATOS!$A$2:$A$20000=A194)*(DATOS!$G$2:$G$20000=CONFIG_METADATA!$B$4)*(COUNTIF(CONFIG_ASIGNATURAS!$B$7:$B$27,DATOS!$I$2:$I$20000)&gt;0)*(DATOS!$K$2:$K$20000))/SUMPRODUCT((DATOS!$A$2:$A$20000=A194)*(DATOS!$G$2:$G$20000=CONFIG_METADATA!$B$4)*(COUNTIF(CONFIG_ASIGNATURAS!$B$7:$B$27,DATOS!$I$2:$I$20000)&gt;0)*1),"")))</f>
        <v/>
      </c>
      <c r="H194" t="str">
        <f>IF(G194="","",IF(G194="[FÓRMULA MANUAL]","",IFERROR(AVERAGEIFS(DATOS!$K$2:$K$20000,DATOS!$A$2:$A$20000,G194,DATOS!$G$2:$G$20000,CONFIG_METADATA!$B$4,DATOS!$I$2:$I$20000,"Lenguaje Musical"),"")))</f>
        <v/>
      </c>
      <c r="I194" t="str">
        <f>IF(G194="","",IF(G194="[FÓRMULA MANUAL]","",IFERROR(AVERAGEIFS(DATOS!$K$2:$K$20000,DATOS!$A$2:$A$20000,G194,DATOS!$G$2:$G$20000,CONFIG_METADATA!$B$4,DATOS!$I$2:$I$20000,"Orquesta/Banda/Conjunto"),"")))</f>
        <v/>
      </c>
      <c r="J194" t="str">
        <f>IF(G194="","",IF(G194="[FÓRMULA MANUAL]","",IFERROR(AVERAGEIFS(DATOS!$K$2:$K$20000,DATOS!$A$2:$A$20000,G194,DATOS!$G$2:$G$20000,CONFIG_METADATA!$B$4,DATOS!$I$2:$I$20000,"Conjunto"),"")))</f>
        <v/>
      </c>
      <c r="K194" t="str">
        <f>IF(G194="","",IF(G194="[FÓRMULA MANUAL]","",IFERROR(SUMPRODUCT((DATOS!$A$2:$A$20000=G194)*(DATOS!$G$2:$G$20000=CONFIG_METADATA!$B$4)*(COUNTIF(CONFIG_ASIGNATURAS!$B$7:$B$27,DATOS!$I$2:$I$20000)&gt;0)*(DATOS!$K$2:$K$20000))/SUMPRODUCT((DATOS!$A$2:$A$20000=G194)*(DATOS!$G$2:$G$20000=CONFIG_METADATA!$B$4)*(COUNTIF(CONFIG_ASIGNATURAS!$B$7:$B$27,DATOS!$I$2:$I$20000)&gt;0)*1),"")))</f>
        <v/>
      </c>
      <c r="N194" t="str">
        <f>IF(M194="","",IF(M194="[FÓRMULA MANUAL]","",IFERROR(AVERAGEIFS(DATOS!$K$2:$K$20000,DATOS!$A$2:$A$20000,M194,DATOS!$G$2:$G$20000,CONFIG_METADATA!$B$4,DATOS!$I$2:$I$20000,"Armonía"),"")))</f>
        <v/>
      </c>
      <c r="O194" t="str">
        <f>IF(M194="","",IF(M194="[FÓRMULA MANUAL]","",IFERROR(AVERAGEIFS(DATOS!$K$2:$K$20000,DATOS!$A$2:$A$20000,M194,DATOS!$G$2:$G$20000,CONFIG_METADATA!$B$4,DATOS!$I$2:$I$20000,"Orquesta/Banda/Conjunto"),"")))</f>
        <v/>
      </c>
      <c r="P194" t="str">
        <f>IF(M194="","",IF(M194="[FÓRMULA MANUAL]","",IFERROR(AVERAGEIFS(DATOS!$K$2:$K$20000,DATOS!$A$2:$A$20000,M194,DATOS!$G$2:$G$20000,CONFIG_METADATA!$B$4,DATOS!$I$2:$I$20000,"Música de Cámara"),"")))</f>
        <v/>
      </c>
      <c r="Q194" t="str">
        <f>IF(M194="","",IF(M194="[FÓRMULA MANUAL]","",IFERROR(SUMPRODUCT((DATOS!$A$2:$A$20000=M194)*(DATOS!$G$2:$G$20000=CONFIG_METADATA!$B$4)*(COUNTIF(CONFIG_ASIGNATURAS!$B$7:$B$27,DATOS!$I$2:$I$20000)&gt;0)*(DATOS!$K$2:$K$20000))/SUMPRODUCT((DATOS!$A$2:$A$20000=M194)*(DATOS!$G$2:$G$20000=CONFIG_METADATA!$B$4)*(COUNTIF(CONFIG_ASIGNATURAS!$B$7:$B$27,DATOS!$I$2:$I$20000)&gt;0)*1),"")))</f>
        <v/>
      </c>
      <c r="T194" t="str">
        <f>IF(S194="","",IF(S194="[FÓRMULA MANUAL]","",IFERROR(AVERAGEIFS(DATOS!$K$2:$K$20000,DATOS!$A$2:$A$20000,S194,DATOS!$G$2:$G$20000,CONFIG_METADATA!$B$4,DATOS!$I$2:$I$20000,"Armonía"),"")))</f>
        <v/>
      </c>
      <c r="U194" t="str">
        <f>IF(S194="","",IF(S194="[FÓRMULA MANUAL]","",IFERROR(AVERAGEIFS(DATOS!$K$2:$K$20000,DATOS!$A$2:$A$20000,S194,DATOS!$G$2:$G$20000,CONFIG_METADATA!$B$4,DATOS!$I$2:$I$20000,"Orquesta/Banda/Conjunto"),"")))</f>
        <v/>
      </c>
      <c r="V194" t="str">
        <f>IF(S194="","",IF(S194="[FÓRMULA MANUAL]","",IFERROR(AVERAGEIFS(DATOS!$K$2:$K$20000,DATOS!$A$2:$A$20000,S194,DATOS!$G$2:$G$20000,CONFIG_METADATA!$B$4,DATOS!$I$2:$I$20000,"Música de Cámara"),"")))</f>
        <v/>
      </c>
      <c r="W194" t="str">
        <f>IF(S194="","",IF(S194="[FÓRMULA MANUAL]","",IFERROR(SUMPRODUCT((DATOS!$A$2:$A$20000=S194)*(DATOS!$G$2:$G$20000=CONFIG_METADATA!$B$4)*(COUNTIF(CONFIG_ASIGNATURAS!$B$7:$B$27,DATOS!$I$2:$I$20000)&gt;0)*(DATOS!$K$2:$K$20000))/SUMPRODUCT((DATOS!$A$2:$A$20000=S194)*(DATOS!$G$2:$G$20000=CONFIG_METADATA!$B$4)*(COUNTIF(CONFIG_ASIGNATURAS!$B$7:$B$27,DATOS!$I$2:$I$20000)&gt;0)*1),"")))</f>
        <v/>
      </c>
      <c r="Z194" t="str">
        <f>IF(Y194="","",IF(Y194="[FÓRMULA MANUAL]","",IFERROR(AVERAGEIFS(DATOS!$K$2:$K$20000,DATOS!$A$2:$A$20000,Y194,DATOS!$G$2:$G$20000,CONFIG_METADATA!$B$4,DATOS!$I$2:$I$20000,"Análisis"),"")))</f>
        <v/>
      </c>
      <c r="AA194" t="str">
        <f>IF(Y194="","",IF(Y194="[FÓRMULA MANUAL]","",IFERROR(AVERAGEIFS(DATOS!$K$2:$K$20000,DATOS!$A$2:$A$20000,Y194,DATOS!$G$2:$G$20000,CONFIG_METADATA!$B$4,DATOS!$I$2:$I$20000,"Orquesta/Banda/Conjunto"),"")))</f>
        <v/>
      </c>
      <c r="AB194" t="str">
        <f>IF(Y194="","",IF(Y194="[FÓRMULA MANUAL]","",IFERROR(AVERAGEIFS(DATOS!$K$2:$K$20000,DATOS!$A$2:$A$20000,Y194,DATOS!$G$2:$G$20000,CONFIG_METADATA!$B$4,DATOS!$I$2:$I$20000,"Música de Cámara"),"")))</f>
        <v/>
      </c>
      <c r="AC194" t="str">
        <f>IF(Y194="","",IF(Y194="[FÓRMULA MANUAL]","",IFERROR(SUMPRODUCT((DATOS!$A$2:$A$20000=Y194)*(DATOS!$G$2:$G$20000=CONFIG_METADATA!$B$4)*(COUNTIF(CONFIG_ASIGNATURAS!$B$7:$B$27,DATOS!$I$2:$I$20000)&gt;0)*(DATOS!$K$2:$K$20000))/SUMPRODUCT((DATOS!$A$2:$A$20000=Y194)*(DATOS!$G$2:$G$20000=CONFIG_METADATA!$B$4)*(COUNTIF(CONFIG_ASIGNATURAS!$B$7:$B$27,DATOS!$I$2:$I$20000)&gt;0)*1),"")))</f>
        <v/>
      </c>
      <c r="AF194" t="str">
        <f>IF(AE194="","",IF(AE194="[FÓRMULA MANUAL]","",IFERROR(AVERAGEIFS(DATOS!$K$2:$K$20000,DATOS!$A$2:$A$20000,AE194,DATOS!$G$2:$G$20000,CONFIG_METADATA!$B$4,DATOS!$I$2:$I$20000,"Análisis"),"")))</f>
        <v/>
      </c>
      <c r="AG194" t="str">
        <f>IF(AE194="","",IF(AE194="[FÓRMULA MANUAL]","",IFERROR(AVERAGEIFS(DATOS!$K$2:$K$20000,DATOS!$A$2:$A$20000,AE194,DATOS!$G$2:$G$20000,CONFIG_METADATA!$B$4,DATOS!$I$2:$I$20000,"Orquesta/Banda/Conjunto"),"")))</f>
        <v/>
      </c>
      <c r="AH194" t="str">
        <f>IF(AE194="","",IF(AE194="[FÓRMULA MANUAL]","",IFERROR(AVERAGEIFS(DATOS!$K$2:$K$20000,DATOS!$A$2:$A$20000,AE194,DATOS!$G$2:$G$20000,CONFIG_METADATA!$B$4,DATOS!$I$2:$I$20000,"Música de Cámara"),"")))</f>
        <v/>
      </c>
      <c r="AI194" t="str">
        <f>IF(AE194="","",IF(AE194="[FÓRMULA MANUAL]","",IFERROR(SUMPRODUCT((DATOS!$A$2:$A$20000=AE194)*(DATOS!$G$2:$G$20000=CONFIG_METADATA!$B$4)*(COUNTIF(CONFIG_ASIGNATURAS!$B$7:$B$27,DATOS!$I$2:$I$20000)&gt;0)*(DATOS!$K$2:$K$20000))/SUMPRODUCT((DATOS!$A$2:$A$20000=AE194)*(DATOS!$G$2:$G$20000=CONFIG_METADATA!$B$4)*(COUNTIF(CONFIG_ASIGNATURAS!$B$7:$B$27,DATOS!$I$2:$I$20000)&gt;0)*1),"")))</f>
        <v/>
      </c>
    </row>
    <row r="195" spans="2:35" x14ac:dyDescent="0.2">
      <c r="B195" t="str">
        <f>IF(A195="","",IF(A195="[FÓRMULA MANUAL]","",IFERROR(AVERAGEIFS(DATOS!$K$2:$K$20000,DATOS!$A$2:$A$20000,A195,DATOS!$G$2:$G$20000,CONFIG_METADATA!$B$4,DATOS!$I$2:$I$20000,"Lenguaje Musical"),"")))</f>
        <v/>
      </c>
      <c r="C195" t="str">
        <f>IF(A195="","",IF(A195="[FÓRMULA MANUAL]","",IFERROR(AVERAGEIFS(DATOS!$K$2:$K$20000,DATOS!$A$2:$A$20000,A195,DATOS!$G$2:$G$20000,CONFIG_METADATA!$B$4,DATOS!$I$2:$I$20000,"Orquesta/Banda/Conjunto"),"")))</f>
        <v/>
      </c>
      <c r="D195" t="str">
        <f>IF(A195="","",IF(A195="[FÓRMULA MANUAL]","",IFERROR(AVERAGEIFS(DATOS!$K$2:$K$20000,DATOS!$A$2:$A$20000,A195,DATOS!$G$2:$G$20000,CONFIG_METADATA!$B$4,DATOS!$I$2:$I$20000,"Conjunto"),"")))</f>
        <v/>
      </c>
      <c r="E195" t="str">
        <f>IF(A195="","",IF(A195="[FÓRMULA MANUAL]","",IFERROR(SUMPRODUCT((DATOS!$A$2:$A$20000=A195)*(DATOS!$G$2:$G$20000=CONFIG_METADATA!$B$4)*(COUNTIF(CONFIG_ASIGNATURAS!$B$7:$B$27,DATOS!$I$2:$I$20000)&gt;0)*(DATOS!$K$2:$K$20000))/SUMPRODUCT((DATOS!$A$2:$A$20000=A195)*(DATOS!$G$2:$G$20000=CONFIG_METADATA!$B$4)*(COUNTIF(CONFIG_ASIGNATURAS!$B$7:$B$27,DATOS!$I$2:$I$20000)&gt;0)*1),"")))</f>
        <v/>
      </c>
      <c r="H195" t="str">
        <f>IF(G195="","",IF(G195="[FÓRMULA MANUAL]","",IFERROR(AVERAGEIFS(DATOS!$K$2:$K$20000,DATOS!$A$2:$A$20000,G195,DATOS!$G$2:$G$20000,CONFIG_METADATA!$B$4,DATOS!$I$2:$I$20000,"Lenguaje Musical"),"")))</f>
        <v/>
      </c>
      <c r="I195" t="str">
        <f>IF(G195="","",IF(G195="[FÓRMULA MANUAL]","",IFERROR(AVERAGEIFS(DATOS!$K$2:$K$20000,DATOS!$A$2:$A$20000,G195,DATOS!$G$2:$G$20000,CONFIG_METADATA!$B$4,DATOS!$I$2:$I$20000,"Orquesta/Banda/Conjunto"),"")))</f>
        <v/>
      </c>
      <c r="J195" t="str">
        <f>IF(G195="","",IF(G195="[FÓRMULA MANUAL]","",IFERROR(AVERAGEIFS(DATOS!$K$2:$K$20000,DATOS!$A$2:$A$20000,G195,DATOS!$G$2:$G$20000,CONFIG_METADATA!$B$4,DATOS!$I$2:$I$20000,"Conjunto"),"")))</f>
        <v/>
      </c>
      <c r="K195" t="str">
        <f>IF(G195="","",IF(G195="[FÓRMULA MANUAL]","",IFERROR(SUMPRODUCT((DATOS!$A$2:$A$20000=G195)*(DATOS!$G$2:$G$20000=CONFIG_METADATA!$B$4)*(COUNTIF(CONFIG_ASIGNATURAS!$B$7:$B$27,DATOS!$I$2:$I$20000)&gt;0)*(DATOS!$K$2:$K$20000))/SUMPRODUCT((DATOS!$A$2:$A$20000=G195)*(DATOS!$G$2:$G$20000=CONFIG_METADATA!$B$4)*(COUNTIF(CONFIG_ASIGNATURAS!$B$7:$B$27,DATOS!$I$2:$I$20000)&gt;0)*1),"")))</f>
        <v/>
      </c>
      <c r="N195" t="str">
        <f>IF(M195="","",IF(M195="[FÓRMULA MANUAL]","",IFERROR(AVERAGEIFS(DATOS!$K$2:$K$20000,DATOS!$A$2:$A$20000,M195,DATOS!$G$2:$G$20000,CONFIG_METADATA!$B$4,DATOS!$I$2:$I$20000,"Armonía"),"")))</f>
        <v/>
      </c>
      <c r="O195" t="str">
        <f>IF(M195="","",IF(M195="[FÓRMULA MANUAL]","",IFERROR(AVERAGEIFS(DATOS!$K$2:$K$20000,DATOS!$A$2:$A$20000,M195,DATOS!$G$2:$G$20000,CONFIG_METADATA!$B$4,DATOS!$I$2:$I$20000,"Orquesta/Banda/Conjunto"),"")))</f>
        <v/>
      </c>
      <c r="P195" t="str">
        <f>IF(M195="","",IF(M195="[FÓRMULA MANUAL]","",IFERROR(AVERAGEIFS(DATOS!$K$2:$K$20000,DATOS!$A$2:$A$20000,M195,DATOS!$G$2:$G$20000,CONFIG_METADATA!$B$4,DATOS!$I$2:$I$20000,"Música de Cámara"),"")))</f>
        <v/>
      </c>
      <c r="Q195" t="str">
        <f>IF(M195="","",IF(M195="[FÓRMULA MANUAL]","",IFERROR(SUMPRODUCT((DATOS!$A$2:$A$20000=M195)*(DATOS!$G$2:$G$20000=CONFIG_METADATA!$B$4)*(COUNTIF(CONFIG_ASIGNATURAS!$B$7:$B$27,DATOS!$I$2:$I$20000)&gt;0)*(DATOS!$K$2:$K$20000))/SUMPRODUCT((DATOS!$A$2:$A$20000=M195)*(DATOS!$G$2:$G$20000=CONFIG_METADATA!$B$4)*(COUNTIF(CONFIG_ASIGNATURAS!$B$7:$B$27,DATOS!$I$2:$I$20000)&gt;0)*1),"")))</f>
        <v/>
      </c>
      <c r="T195" t="str">
        <f>IF(S195="","",IF(S195="[FÓRMULA MANUAL]","",IFERROR(AVERAGEIFS(DATOS!$K$2:$K$20000,DATOS!$A$2:$A$20000,S195,DATOS!$G$2:$G$20000,CONFIG_METADATA!$B$4,DATOS!$I$2:$I$20000,"Armonía"),"")))</f>
        <v/>
      </c>
      <c r="U195" t="str">
        <f>IF(S195="","",IF(S195="[FÓRMULA MANUAL]","",IFERROR(AVERAGEIFS(DATOS!$K$2:$K$20000,DATOS!$A$2:$A$20000,S195,DATOS!$G$2:$G$20000,CONFIG_METADATA!$B$4,DATOS!$I$2:$I$20000,"Orquesta/Banda/Conjunto"),"")))</f>
        <v/>
      </c>
      <c r="V195" t="str">
        <f>IF(S195="","",IF(S195="[FÓRMULA MANUAL]","",IFERROR(AVERAGEIFS(DATOS!$K$2:$K$20000,DATOS!$A$2:$A$20000,S195,DATOS!$G$2:$G$20000,CONFIG_METADATA!$B$4,DATOS!$I$2:$I$20000,"Música de Cámara"),"")))</f>
        <v/>
      </c>
      <c r="W195" t="str">
        <f>IF(S195="","",IF(S195="[FÓRMULA MANUAL]","",IFERROR(SUMPRODUCT((DATOS!$A$2:$A$20000=S195)*(DATOS!$G$2:$G$20000=CONFIG_METADATA!$B$4)*(COUNTIF(CONFIG_ASIGNATURAS!$B$7:$B$27,DATOS!$I$2:$I$20000)&gt;0)*(DATOS!$K$2:$K$20000))/SUMPRODUCT((DATOS!$A$2:$A$20000=S195)*(DATOS!$G$2:$G$20000=CONFIG_METADATA!$B$4)*(COUNTIF(CONFIG_ASIGNATURAS!$B$7:$B$27,DATOS!$I$2:$I$20000)&gt;0)*1),"")))</f>
        <v/>
      </c>
      <c r="Z195" t="str">
        <f>IF(Y195="","",IF(Y195="[FÓRMULA MANUAL]","",IFERROR(AVERAGEIFS(DATOS!$K$2:$K$20000,DATOS!$A$2:$A$20000,Y195,DATOS!$G$2:$G$20000,CONFIG_METADATA!$B$4,DATOS!$I$2:$I$20000,"Análisis"),"")))</f>
        <v/>
      </c>
      <c r="AA195" t="str">
        <f>IF(Y195="","",IF(Y195="[FÓRMULA MANUAL]","",IFERROR(AVERAGEIFS(DATOS!$K$2:$K$20000,DATOS!$A$2:$A$20000,Y195,DATOS!$G$2:$G$20000,CONFIG_METADATA!$B$4,DATOS!$I$2:$I$20000,"Orquesta/Banda/Conjunto"),"")))</f>
        <v/>
      </c>
      <c r="AB195" t="str">
        <f>IF(Y195="","",IF(Y195="[FÓRMULA MANUAL]","",IFERROR(AVERAGEIFS(DATOS!$K$2:$K$20000,DATOS!$A$2:$A$20000,Y195,DATOS!$G$2:$G$20000,CONFIG_METADATA!$B$4,DATOS!$I$2:$I$20000,"Música de Cámara"),"")))</f>
        <v/>
      </c>
      <c r="AC195" t="str">
        <f>IF(Y195="","",IF(Y195="[FÓRMULA MANUAL]","",IFERROR(SUMPRODUCT((DATOS!$A$2:$A$20000=Y195)*(DATOS!$G$2:$G$20000=CONFIG_METADATA!$B$4)*(COUNTIF(CONFIG_ASIGNATURAS!$B$7:$B$27,DATOS!$I$2:$I$20000)&gt;0)*(DATOS!$K$2:$K$20000))/SUMPRODUCT((DATOS!$A$2:$A$20000=Y195)*(DATOS!$G$2:$G$20000=CONFIG_METADATA!$B$4)*(COUNTIF(CONFIG_ASIGNATURAS!$B$7:$B$27,DATOS!$I$2:$I$20000)&gt;0)*1),"")))</f>
        <v/>
      </c>
      <c r="AF195" t="str">
        <f>IF(AE195="","",IF(AE195="[FÓRMULA MANUAL]","",IFERROR(AVERAGEIFS(DATOS!$K$2:$K$20000,DATOS!$A$2:$A$20000,AE195,DATOS!$G$2:$G$20000,CONFIG_METADATA!$B$4,DATOS!$I$2:$I$20000,"Análisis"),"")))</f>
        <v/>
      </c>
      <c r="AG195" t="str">
        <f>IF(AE195="","",IF(AE195="[FÓRMULA MANUAL]","",IFERROR(AVERAGEIFS(DATOS!$K$2:$K$20000,DATOS!$A$2:$A$20000,AE195,DATOS!$G$2:$G$20000,CONFIG_METADATA!$B$4,DATOS!$I$2:$I$20000,"Orquesta/Banda/Conjunto"),"")))</f>
        <v/>
      </c>
      <c r="AH195" t="str">
        <f>IF(AE195="","",IF(AE195="[FÓRMULA MANUAL]","",IFERROR(AVERAGEIFS(DATOS!$K$2:$K$20000,DATOS!$A$2:$A$20000,AE195,DATOS!$G$2:$G$20000,CONFIG_METADATA!$B$4,DATOS!$I$2:$I$20000,"Música de Cámara"),"")))</f>
        <v/>
      </c>
      <c r="AI195" t="str">
        <f>IF(AE195="","",IF(AE195="[FÓRMULA MANUAL]","",IFERROR(SUMPRODUCT((DATOS!$A$2:$A$20000=AE195)*(DATOS!$G$2:$G$20000=CONFIG_METADATA!$B$4)*(COUNTIF(CONFIG_ASIGNATURAS!$B$7:$B$27,DATOS!$I$2:$I$20000)&gt;0)*(DATOS!$K$2:$K$20000))/SUMPRODUCT((DATOS!$A$2:$A$20000=AE195)*(DATOS!$G$2:$G$20000=CONFIG_METADATA!$B$4)*(COUNTIF(CONFIG_ASIGNATURAS!$B$7:$B$27,DATOS!$I$2:$I$20000)&gt;0)*1),"")))</f>
        <v/>
      </c>
    </row>
    <row r="196" spans="2:35" x14ac:dyDescent="0.2">
      <c r="B196" t="str">
        <f>IF(A196="","",IF(A196="[FÓRMULA MANUAL]","",IFERROR(AVERAGEIFS(DATOS!$K$2:$K$20000,DATOS!$A$2:$A$20000,A196,DATOS!$G$2:$G$20000,CONFIG_METADATA!$B$4,DATOS!$I$2:$I$20000,"Lenguaje Musical"),"")))</f>
        <v/>
      </c>
      <c r="C196" t="str">
        <f>IF(A196="","",IF(A196="[FÓRMULA MANUAL]","",IFERROR(AVERAGEIFS(DATOS!$K$2:$K$20000,DATOS!$A$2:$A$20000,A196,DATOS!$G$2:$G$20000,CONFIG_METADATA!$B$4,DATOS!$I$2:$I$20000,"Orquesta/Banda/Conjunto"),"")))</f>
        <v/>
      </c>
      <c r="D196" t="str">
        <f>IF(A196="","",IF(A196="[FÓRMULA MANUAL]","",IFERROR(AVERAGEIFS(DATOS!$K$2:$K$20000,DATOS!$A$2:$A$20000,A196,DATOS!$G$2:$G$20000,CONFIG_METADATA!$B$4,DATOS!$I$2:$I$20000,"Conjunto"),"")))</f>
        <v/>
      </c>
      <c r="E196" t="str">
        <f>IF(A196="","",IF(A196="[FÓRMULA MANUAL]","",IFERROR(SUMPRODUCT((DATOS!$A$2:$A$20000=A196)*(DATOS!$G$2:$G$20000=CONFIG_METADATA!$B$4)*(COUNTIF(CONFIG_ASIGNATURAS!$B$7:$B$27,DATOS!$I$2:$I$20000)&gt;0)*(DATOS!$K$2:$K$20000))/SUMPRODUCT((DATOS!$A$2:$A$20000=A196)*(DATOS!$G$2:$G$20000=CONFIG_METADATA!$B$4)*(COUNTIF(CONFIG_ASIGNATURAS!$B$7:$B$27,DATOS!$I$2:$I$20000)&gt;0)*1),"")))</f>
        <v/>
      </c>
      <c r="H196" t="str">
        <f>IF(G196="","",IF(G196="[FÓRMULA MANUAL]","",IFERROR(AVERAGEIFS(DATOS!$K$2:$K$20000,DATOS!$A$2:$A$20000,G196,DATOS!$G$2:$G$20000,CONFIG_METADATA!$B$4,DATOS!$I$2:$I$20000,"Lenguaje Musical"),"")))</f>
        <v/>
      </c>
      <c r="I196" t="str">
        <f>IF(G196="","",IF(G196="[FÓRMULA MANUAL]","",IFERROR(AVERAGEIFS(DATOS!$K$2:$K$20000,DATOS!$A$2:$A$20000,G196,DATOS!$G$2:$G$20000,CONFIG_METADATA!$B$4,DATOS!$I$2:$I$20000,"Orquesta/Banda/Conjunto"),"")))</f>
        <v/>
      </c>
      <c r="J196" t="str">
        <f>IF(G196="","",IF(G196="[FÓRMULA MANUAL]","",IFERROR(AVERAGEIFS(DATOS!$K$2:$K$20000,DATOS!$A$2:$A$20000,G196,DATOS!$G$2:$G$20000,CONFIG_METADATA!$B$4,DATOS!$I$2:$I$20000,"Conjunto"),"")))</f>
        <v/>
      </c>
      <c r="K196" t="str">
        <f>IF(G196="","",IF(G196="[FÓRMULA MANUAL]","",IFERROR(SUMPRODUCT((DATOS!$A$2:$A$20000=G196)*(DATOS!$G$2:$G$20000=CONFIG_METADATA!$B$4)*(COUNTIF(CONFIG_ASIGNATURAS!$B$7:$B$27,DATOS!$I$2:$I$20000)&gt;0)*(DATOS!$K$2:$K$20000))/SUMPRODUCT((DATOS!$A$2:$A$20000=G196)*(DATOS!$G$2:$G$20000=CONFIG_METADATA!$B$4)*(COUNTIF(CONFIG_ASIGNATURAS!$B$7:$B$27,DATOS!$I$2:$I$20000)&gt;0)*1),"")))</f>
        <v/>
      </c>
      <c r="N196" t="str">
        <f>IF(M196="","",IF(M196="[FÓRMULA MANUAL]","",IFERROR(AVERAGEIFS(DATOS!$K$2:$K$20000,DATOS!$A$2:$A$20000,M196,DATOS!$G$2:$G$20000,CONFIG_METADATA!$B$4,DATOS!$I$2:$I$20000,"Armonía"),"")))</f>
        <v/>
      </c>
      <c r="O196" t="str">
        <f>IF(M196="","",IF(M196="[FÓRMULA MANUAL]","",IFERROR(AVERAGEIFS(DATOS!$K$2:$K$20000,DATOS!$A$2:$A$20000,M196,DATOS!$G$2:$G$20000,CONFIG_METADATA!$B$4,DATOS!$I$2:$I$20000,"Orquesta/Banda/Conjunto"),"")))</f>
        <v/>
      </c>
      <c r="P196" t="str">
        <f>IF(M196="","",IF(M196="[FÓRMULA MANUAL]","",IFERROR(AVERAGEIFS(DATOS!$K$2:$K$20000,DATOS!$A$2:$A$20000,M196,DATOS!$G$2:$G$20000,CONFIG_METADATA!$B$4,DATOS!$I$2:$I$20000,"Música de Cámara"),"")))</f>
        <v/>
      </c>
      <c r="Q196" t="str">
        <f>IF(M196="","",IF(M196="[FÓRMULA MANUAL]","",IFERROR(SUMPRODUCT((DATOS!$A$2:$A$20000=M196)*(DATOS!$G$2:$G$20000=CONFIG_METADATA!$B$4)*(COUNTIF(CONFIG_ASIGNATURAS!$B$7:$B$27,DATOS!$I$2:$I$20000)&gt;0)*(DATOS!$K$2:$K$20000))/SUMPRODUCT((DATOS!$A$2:$A$20000=M196)*(DATOS!$G$2:$G$20000=CONFIG_METADATA!$B$4)*(COUNTIF(CONFIG_ASIGNATURAS!$B$7:$B$27,DATOS!$I$2:$I$20000)&gt;0)*1),"")))</f>
        <v/>
      </c>
      <c r="T196" t="str">
        <f>IF(S196="","",IF(S196="[FÓRMULA MANUAL]","",IFERROR(AVERAGEIFS(DATOS!$K$2:$K$20000,DATOS!$A$2:$A$20000,S196,DATOS!$G$2:$G$20000,CONFIG_METADATA!$B$4,DATOS!$I$2:$I$20000,"Armonía"),"")))</f>
        <v/>
      </c>
      <c r="U196" t="str">
        <f>IF(S196="","",IF(S196="[FÓRMULA MANUAL]","",IFERROR(AVERAGEIFS(DATOS!$K$2:$K$20000,DATOS!$A$2:$A$20000,S196,DATOS!$G$2:$G$20000,CONFIG_METADATA!$B$4,DATOS!$I$2:$I$20000,"Orquesta/Banda/Conjunto"),"")))</f>
        <v/>
      </c>
      <c r="V196" t="str">
        <f>IF(S196="","",IF(S196="[FÓRMULA MANUAL]","",IFERROR(AVERAGEIFS(DATOS!$K$2:$K$20000,DATOS!$A$2:$A$20000,S196,DATOS!$G$2:$G$20000,CONFIG_METADATA!$B$4,DATOS!$I$2:$I$20000,"Música de Cámara"),"")))</f>
        <v/>
      </c>
      <c r="W196" t="str">
        <f>IF(S196="","",IF(S196="[FÓRMULA MANUAL]","",IFERROR(SUMPRODUCT((DATOS!$A$2:$A$20000=S196)*(DATOS!$G$2:$G$20000=CONFIG_METADATA!$B$4)*(COUNTIF(CONFIG_ASIGNATURAS!$B$7:$B$27,DATOS!$I$2:$I$20000)&gt;0)*(DATOS!$K$2:$K$20000))/SUMPRODUCT((DATOS!$A$2:$A$20000=S196)*(DATOS!$G$2:$G$20000=CONFIG_METADATA!$B$4)*(COUNTIF(CONFIG_ASIGNATURAS!$B$7:$B$27,DATOS!$I$2:$I$20000)&gt;0)*1),"")))</f>
        <v/>
      </c>
      <c r="Z196" t="str">
        <f>IF(Y196="","",IF(Y196="[FÓRMULA MANUAL]","",IFERROR(AVERAGEIFS(DATOS!$K$2:$K$20000,DATOS!$A$2:$A$20000,Y196,DATOS!$G$2:$G$20000,CONFIG_METADATA!$B$4,DATOS!$I$2:$I$20000,"Análisis"),"")))</f>
        <v/>
      </c>
      <c r="AA196" t="str">
        <f>IF(Y196="","",IF(Y196="[FÓRMULA MANUAL]","",IFERROR(AVERAGEIFS(DATOS!$K$2:$K$20000,DATOS!$A$2:$A$20000,Y196,DATOS!$G$2:$G$20000,CONFIG_METADATA!$B$4,DATOS!$I$2:$I$20000,"Orquesta/Banda/Conjunto"),"")))</f>
        <v/>
      </c>
      <c r="AB196" t="str">
        <f>IF(Y196="","",IF(Y196="[FÓRMULA MANUAL]","",IFERROR(AVERAGEIFS(DATOS!$K$2:$K$20000,DATOS!$A$2:$A$20000,Y196,DATOS!$G$2:$G$20000,CONFIG_METADATA!$B$4,DATOS!$I$2:$I$20000,"Música de Cámara"),"")))</f>
        <v/>
      </c>
      <c r="AC196" t="str">
        <f>IF(Y196="","",IF(Y196="[FÓRMULA MANUAL]","",IFERROR(SUMPRODUCT((DATOS!$A$2:$A$20000=Y196)*(DATOS!$G$2:$G$20000=CONFIG_METADATA!$B$4)*(COUNTIF(CONFIG_ASIGNATURAS!$B$7:$B$27,DATOS!$I$2:$I$20000)&gt;0)*(DATOS!$K$2:$K$20000))/SUMPRODUCT((DATOS!$A$2:$A$20000=Y196)*(DATOS!$G$2:$G$20000=CONFIG_METADATA!$B$4)*(COUNTIF(CONFIG_ASIGNATURAS!$B$7:$B$27,DATOS!$I$2:$I$20000)&gt;0)*1),"")))</f>
        <v/>
      </c>
      <c r="AF196" t="str">
        <f>IF(AE196="","",IF(AE196="[FÓRMULA MANUAL]","",IFERROR(AVERAGEIFS(DATOS!$K$2:$K$20000,DATOS!$A$2:$A$20000,AE196,DATOS!$G$2:$G$20000,CONFIG_METADATA!$B$4,DATOS!$I$2:$I$20000,"Análisis"),"")))</f>
        <v/>
      </c>
      <c r="AG196" t="str">
        <f>IF(AE196="","",IF(AE196="[FÓRMULA MANUAL]","",IFERROR(AVERAGEIFS(DATOS!$K$2:$K$20000,DATOS!$A$2:$A$20000,AE196,DATOS!$G$2:$G$20000,CONFIG_METADATA!$B$4,DATOS!$I$2:$I$20000,"Orquesta/Banda/Conjunto"),"")))</f>
        <v/>
      </c>
      <c r="AH196" t="str">
        <f>IF(AE196="","",IF(AE196="[FÓRMULA MANUAL]","",IFERROR(AVERAGEIFS(DATOS!$K$2:$K$20000,DATOS!$A$2:$A$20000,AE196,DATOS!$G$2:$G$20000,CONFIG_METADATA!$B$4,DATOS!$I$2:$I$20000,"Música de Cámara"),"")))</f>
        <v/>
      </c>
      <c r="AI196" t="str">
        <f>IF(AE196="","",IF(AE196="[FÓRMULA MANUAL]","",IFERROR(SUMPRODUCT((DATOS!$A$2:$A$20000=AE196)*(DATOS!$G$2:$G$20000=CONFIG_METADATA!$B$4)*(COUNTIF(CONFIG_ASIGNATURAS!$B$7:$B$27,DATOS!$I$2:$I$20000)&gt;0)*(DATOS!$K$2:$K$20000))/SUMPRODUCT((DATOS!$A$2:$A$20000=AE196)*(DATOS!$G$2:$G$20000=CONFIG_METADATA!$B$4)*(COUNTIF(CONFIG_ASIGNATURAS!$B$7:$B$27,DATOS!$I$2:$I$20000)&gt;0)*1),"")))</f>
        <v/>
      </c>
    </row>
    <row r="197" spans="2:35" x14ac:dyDescent="0.2">
      <c r="B197" t="str">
        <f>IF(A197="","",IF(A197="[FÓRMULA MANUAL]","",IFERROR(AVERAGEIFS(DATOS!$K$2:$K$20000,DATOS!$A$2:$A$20000,A197,DATOS!$G$2:$G$20000,CONFIG_METADATA!$B$4,DATOS!$I$2:$I$20000,"Lenguaje Musical"),"")))</f>
        <v/>
      </c>
      <c r="C197" t="str">
        <f>IF(A197="","",IF(A197="[FÓRMULA MANUAL]","",IFERROR(AVERAGEIFS(DATOS!$K$2:$K$20000,DATOS!$A$2:$A$20000,A197,DATOS!$G$2:$G$20000,CONFIG_METADATA!$B$4,DATOS!$I$2:$I$20000,"Orquesta/Banda/Conjunto"),"")))</f>
        <v/>
      </c>
      <c r="D197" t="str">
        <f>IF(A197="","",IF(A197="[FÓRMULA MANUAL]","",IFERROR(AVERAGEIFS(DATOS!$K$2:$K$20000,DATOS!$A$2:$A$20000,A197,DATOS!$G$2:$G$20000,CONFIG_METADATA!$B$4,DATOS!$I$2:$I$20000,"Conjunto"),"")))</f>
        <v/>
      </c>
      <c r="E197" t="str">
        <f>IF(A197="","",IF(A197="[FÓRMULA MANUAL]","",IFERROR(SUMPRODUCT((DATOS!$A$2:$A$20000=A197)*(DATOS!$G$2:$G$20000=CONFIG_METADATA!$B$4)*(COUNTIF(CONFIG_ASIGNATURAS!$B$7:$B$27,DATOS!$I$2:$I$20000)&gt;0)*(DATOS!$K$2:$K$20000))/SUMPRODUCT((DATOS!$A$2:$A$20000=A197)*(DATOS!$G$2:$G$20000=CONFIG_METADATA!$B$4)*(COUNTIF(CONFIG_ASIGNATURAS!$B$7:$B$27,DATOS!$I$2:$I$20000)&gt;0)*1),"")))</f>
        <v/>
      </c>
      <c r="H197" t="str">
        <f>IF(G197="","",IF(G197="[FÓRMULA MANUAL]","",IFERROR(AVERAGEIFS(DATOS!$K$2:$K$20000,DATOS!$A$2:$A$20000,G197,DATOS!$G$2:$G$20000,CONFIG_METADATA!$B$4,DATOS!$I$2:$I$20000,"Lenguaje Musical"),"")))</f>
        <v/>
      </c>
      <c r="I197" t="str">
        <f>IF(G197="","",IF(G197="[FÓRMULA MANUAL]","",IFERROR(AVERAGEIFS(DATOS!$K$2:$K$20000,DATOS!$A$2:$A$20000,G197,DATOS!$G$2:$G$20000,CONFIG_METADATA!$B$4,DATOS!$I$2:$I$20000,"Orquesta/Banda/Conjunto"),"")))</f>
        <v/>
      </c>
      <c r="J197" t="str">
        <f>IF(G197="","",IF(G197="[FÓRMULA MANUAL]","",IFERROR(AVERAGEIFS(DATOS!$K$2:$K$20000,DATOS!$A$2:$A$20000,G197,DATOS!$G$2:$G$20000,CONFIG_METADATA!$B$4,DATOS!$I$2:$I$20000,"Conjunto"),"")))</f>
        <v/>
      </c>
      <c r="K197" t="str">
        <f>IF(G197="","",IF(G197="[FÓRMULA MANUAL]","",IFERROR(SUMPRODUCT((DATOS!$A$2:$A$20000=G197)*(DATOS!$G$2:$G$20000=CONFIG_METADATA!$B$4)*(COUNTIF(CONFIG_ASIGNATURAS!$B$7:$B$27,DATOS!$I$2:$I$20000)&gt;0)*(DATOS!$K$2:$K$20000))/SUMPRODUCT((DATOS!$A$2:$A$20000=G197)*(DATOS!$G$2:$G$20000=CONFIG_METADATA!$B$4)*(COUNTIF(CONFIG_ASIGNATURAS!$B$7:$B$27,DATOS!$I$2:$I$20000)&gt;0)*1),"")))</f>
        <v/>
      </c>
      <c r="N197" t="str">
        <f>IF(M197="","",IF(M197="[FÓRMULA MANUAL]","",IFERROR(AVERAGEIFS(DATOS!$K$2:$K$20000,DATOS!$A$2:$A$20000,M197,DATOS!$G$2:$G$20000,CONFIG_METADATA!$B$4,DATOS!$I$2:$I$20000,"Armonía"),"")))</f>
        <v/>
      </c>
      <c r="O197" t="str">
        <f>IF(M197="","",IF(M197="[FÓRMULA MANUAL]","",IFERROR(AVERAGEIFS(DATOS!$K$2:$K$20000,DATOS!$A$2:$A$20000,M197,DATOS!$G$2:$G$20000,CONFIG_METADATA!$B$4,DATOS!$I$2:$I$20000,"Orquesta/Banda/Conjunto"),"")))</f>
        <v/>
      </c>
      <c r="P197" t="str">
        <f>IF(M197="","",IF(M197="[FÓRMULA MANUAL]","",IFERROR(AVERAGEIFS(DATOS!$K$2:$K$20000,DATOS!$A$2:$A$20000,M197,DATOS!$G$2:$G$20000,CONFIG_METADATA!$B$4,DATOS!$I$2:$I$20000,"Música de Cámara"),"")))</f>
        <v/>
      </c>
      <c r="Q197" t="str">
        <f>IF(M197="","",IF(M197="[FÓRMULA MANUAL]","",IFERROR(SUMPRODUCT((DATOS!$A$2:$A$20000=M197)*(DATOS!$G$2:$G$20000=CONFIG_METADATA!$B$4)*(COUNTIF(CONFIG_ASIGNATURAS!$B$7:$B$27,DATOS!$I$2:$I$20000)&gt;0)*(DATOS!$K$2:$K$20000))/SUMPRODUCT((DATOS!$A$2:$A$20000=M197)*(DATOS!$G$2:$G$20000=CONFIG_METADATA!$B$4)*(COUNTIF(CONFIG_ASIGNATURAS!$B$7:$B$27,DATOS!$I$2:$I$20000)&gt;0)*1),"")))</f>
        <v/>
      </c>
      <c r="T197" t="str">
        <f>IF(S197="","",IF(S197="[FÓRMULA MANUAL]","",IFERROR(AVERAGEIFS(DATOS!$K$2:$K$20000,DATOS!$A$2:$A$20000,S197,DATOS!$G$2:$G$20000,CONFIG_METADATA!$B$4,DATOS!$I$2:$I$20000,"Armonía"),"")))</f>
        <v/>
      </c>
      <c r="U197" t="str">
        <f>IF(S197="","",IF(S197="[FÓRMULA MANUAL]","",IFERROR(AVERAGEIFS(DATOS!$K$2:$K$20000,DATOS!$A$2:$A$20000,S197,DATOS!$G$2:$G$20000,CONFIG_METADATA!$B$4,DATOS!$I$2:$I$20000,"Orquesta/Banda/Conjunto"),"")))</f>
        <v/>
      </c>
      <c r="V197" t="str">
        <f>IF(S197="","",IF(S197="[FÓRMULA MANUAL]","",IFERROR(AVERAGEIFS(DATOS!$K$2:$K$20000,DATOS!$A$2:$A$20000,S197,DATOS!$G$2:$G$20000,CONFIG_METADATA!$B$4,DATOS!$I$2:$I$20000,"Música de Cámara"),"")))</f>
        <v/>
      </c>
      <c r="W197" t="str">
        <f>IF(S197="","",IF(S197="[FÓRMULA MANUAL]","",IFERROR(SUMPRODUCT((DATOS!$A$2:$A$20000=S197)*(DATOS!$G$2:$G$20000=CONFIG_METADATA!$B$4)*(COUNTIF(CONFIG_ASIGNATURAS!$B$7:$B$27,DATOS!$I$2:$I$20000)&gt;0)*(DATOS!$K$2:$K$20000))/SUMPRODUCT((DATOS!$A$2:$A$20000=S197)*(DATOS!$G$2:$G$20000=CONFIG_METADATA!$B$4)*(COUNTIF(CONFIG_ASIGNATURAS!$B$7:$B$27,DATOS!$I$2:$I$20000)&gt;0)*1),"")))</f>
        <v/>
      </c>
      <c r="Z197" t="str">
        <f>IF(Y197="","",IF(Y197="[FÓRMULA MANUAL]","",IFERROR(AVERAGEIFS(DATOS!$K$2:$K$20000,DATOS!$A$2:$A$20000,Y197,DATOS!$G$2:$G$20000,CONFIG_METADATA!$B$4,DATOS!$I$2:$I$20000,"Análisis"),"")))</f>
        <v/>
      </c>
      <c r="AA197" t="str">
        <f>IF(Y197="","",IF(Y197="[FÓRMULA MANUAL]","",IFERROR(AVERAGEIFS(DATOS!$K$2:$K$20000,DATOS!$A$2:$A$20000,Y197,DATOS!$G$2:$G$20000,CONFIG_METADATA!$B$4,DATOS!$I$2:$I$20000,"Orquesta/Banda/Conjunto"),"")))</f>
        <v/>
      </c>
      <c r="AB197" t="str">
        <f>IF(Y197="","",IF(Y197="[FÓRMULA MANUAL]","",IFERROR(AVERAGEIFS(DATOS!$K$2:$K$20000,DATOS!$A$2:$A$20000,Y197,DATOS!$G$2:$G$20000,CONFIG_METADATA!$B$4,DATOS!$I$2:$I$20000,"Música de Cámara"),"")))</f>
        <v/>
      </c>
      <c r="AC197" t="str">
        <f>IF(Y197="","",IF(Y197="[FÓRMULA MANUAL]","",IFERROR(SUMPRODUCT((DATOS!$A$2:$A$20000=Y197)*(DATOS!$G$2:$G$20000=CONFIG_METADATA!$B$4)*(COUNTIF(CONFIG_ASIGNATURAS!$B$7:$B$27,DATOS!$I$2:$I$20000)&gt;0)*(DATOS!$K$2:$K$20000))/SUMPRODUCT((DATOS!$A$2:$A$20000=Y197)*(DATOS!$G$2:$G$20000=CONFIG_METADATA!$B$4)*(COUNTIF(CONFIG_ASIGNATURAS!$B$7:$B$27,DATOS!$I$2:$I$20000)&gt;0)*1),"")))</f>
        <v/>
      </c>
      <c r="AF197" t="str">
        <f>IF(AE197="","",IF(AE197="[FÓRMULA MANUAL]","",IFERROR(AVERAGEIFS(DATOS!$K$2:$K$20000,DATOS!$A$2:$A$20000,AE197,DATOS!$G$2:$G$20000,CONFIG_METADATA!$B$4,DATOS!$I$2:$I$20000,"Análisis"),"")))</f>
        <v/>
      </c>
      <c r="AG197" t="str">
        <f>IF(AE197="","",IF(AE197="[FÓRMULA MANUAL]","",IFERROR(AVERAGEIFS(DATOS!$K$2:$K$20000,DATOS!$A$2:$A$20000,AE197,DATOS!$G$2:$G$20000,CONFIG_METADATA!$B$4,DATOS!$I$2:$I$20000,"Orquesta/Banda/Conjunto"),"")))</f>
        <v/>
      </c>
      <c r="AH197" t="str">
        <f>IF(AE197="","",IF(AE197="[FÓRMULA MANUAL]","",IFERROR(AVERAGEIFS(DATOS!$K$2:$K$20000,DATOS!$A$2:$A$20000,AE197,DATOS!$G$2:$G$20000,CONFIG_METADATA!$B$4,DATOS!$I$2:$I$20000,"Música de Cámara"),"")))</f>
        <v/>
      </c>
      <c r="AI197" t="str">
        <f>IF(AE197="","",IF(AE197="[FÓRMULA MANUAL]","",IFERROR(SUMPRODUCT((DATOS!$A$2:$A$20000=AE197)*(DATOS!$G$2:$G$20000=CONFIG_METADATA!$B$4)*(COUNTIF(CONFIG_ASIGNATURAS!$B$7:$B$27,DATOS!$I$2:$I$20000)&gt;0)*(DATOS!$K$2:$K$20000))/SUMPRODUCT((DATOS!$A$2:$A$20000=AE197)*(DATOS!$G$2:$G$20000=CONFIG_METADATA!$B$4)*(COUNTIF(CONFIG_ASIGNATURAS!$B$7:$B$27,DATOS!$I$2:$I$20000)&gt;0)*1),"")))</f>
        <v/>
      </c>
    </row>
    <row r="198" spans="2:35" x14ac:dyDescent="0.2">
      <c r="B198" t="str">
        <f>IF(A198="","",IF(A198="[FÓRMULA MANUAL]","",IFERROR(AVERAGEIFS(DATOS!$K$2:$K$20000,DATOS!$A$2:$A$20000,A198,DATOS!$G$2:$G$20000,CONFIG_METADATA!$B$4,DATOS!$I$2:$I$20000,"Lenguaje Musical"),"")))</f>
        <v/>
      </c>
      <c r="C198" t="str">
        <f>IF(A198="","",IF(A198="[FÓRMULA MANUAL]","",IFERROR(AVERAGEIFS(DATOS!$K$2:$K$20000,DATOS!$A$2:$A$20000,A198,DATOS!$G$2:$G$20000,CONFIG_METADATA!$B$4,DATOS!$I$2:$I$20000,"Orquesta/Banda/Conjunto"),"")))</f>
        <v/>
      </c>
      <c r="D198" t="str">
        <f>IF(A198="","",IF(A198="[FÓRMULA MANUAL]","",IFERROR(AVERAGEIFS(DATOS!$K$2:$K$20000,DATOS!$A$2:$A$20000,A198,DATOS!$G$2:$G$20000,CONFIG_METADATA!$B$4,DATOS!$I$2:$I$20000,"Conjunto"),"")))</f>
        <v/>
      </c>
      <c r="E198" t="str">
        <f>IF(A198="","",IF(A198="[FÓRMULA MANUAL]","",IFERROR(SUMPRODUCT((DATOS!$A$2:$A$20000=A198)*(DATOS!$G$2:$G$20000=CONFIG_METADATA!$B$4)*(COUNTIF(CONFIG_ASIGNATURAS!$B$7:$B$27,DATOS!$I$2:$I$20000)&gt;0)*(DATOS!$K$2:$K$20000))/SUMPRODUCT((DATOS!$A$2:$A$20000=A198)*(DATOS!$G$2:$G$20000=CONFIG_METADATA!$B$4)*(COUNTIF(CONFIG_ASIGNATURAS!$B$7:$B$27,DATOS!$I$2:$I$20000)&gt;0)*1),"")))</f>
        <v/>
      </c>
      <c r="H198" t="str">
        <f>IF(G198="","",IF(G198="[FÓRMULA MANUAL]","",IFERROR(AVERAGEIFS(DATOS!$K$2:$K$20000,DATOS!$A$2:$A$20000,G198,DATOS!$G$2:$G$20000,CONFIG_METADATA!$B$4,DATOS!$I$2:$I$20000,"Lenguaje Musical"),"")))</f>
        <v/>
      </c>
      <c r="I198" t="str">
        <f>IF(G198="","",IF(G198="[FÓRMULA MANUAL]","",IFERROR(AVERAGEIFS(DATOS!$K$2:$K$20000,DATOS!$A$2:$A$20000,G198,DATOS!$G$2:$G$20000,CONFIG_METADATA!$B$4,DATOS!$I$2:$I$20000,"Orquesta/Banda/Conjunto"),"")))</f>
        <v/>
      </c>
      <c r="J198" t="str">
        <f>IF(G198="","",IF(G198="[FÓRMULA MANUAL]","",IFERROR(AVERAGEIFS(DATOS!$K$2:$K$20000,DATOS!$A$2:$A$20000,G198,DATOS!$G$2:$G$20000,CONFIG_METADATA!$B$4,DATOS!$I$2:$I$20000,"Conjunto"),"")))</f>
        <v/>
      </c>
      <c r="K198" t="str">
        <f>IF(G198="","",IF(G198="[FÓRMULA MANUAL]","",IFERROR(SUMPRODUCT((DATOS!$A$2:$A$20000=G198)*(DATOS!$G$2:$G$20000=CONFIG_METADATA!$B$4)*(COUNTIF(CONFIG_ASIGNATURAS!$B$7:$B$27,DATOS!$I$2:$I$20000)&gt;0)*(DATOS!$K$2:$K$20000))/SUMPRODUCT((DATOS!$A$2:$A$20000=G198)*(DATOS!$G$2:$G$20000=CONFIG_METADATA!$B$4)*(COUNTIF(CONFIG_ASIGNATURAS!$B$7:$B$27,DATOS!$I$2:$I$20000)&gt;0)*1),"")))</f>
        <v/>
      </c>
      <c r="N198" t="str">
        <f>IF(M198="","",IF(M198="[FÓRMULA MANUAL]","",IFERROR(AVERAGEIFS(DATOS!$K$2:$K$20000,DATOS!$A$2:$A$20000,M198,DATOS!$G$2:$G$20000,CONFIG_METADATA!$B$4,DATOS!$I$2:$I$20000,"Armonía"),"")))</f>
        <v/>
      </c>
      <c r="O198" t="str">
        <f>IF(M198="","",IF(M198="[FÓRMULA MANUAL]","",IFERROR(AVERAGEIFS(DATOS!$K$2:$K$20000,DATOS!$A$2:$A$20000,M198,DATOS!$G$2:$G$20000,CONFIG_METADATA!$B$4,DATOS!$I$2:$I$20000,"Orquesta/Banda/Conjunto"),"")))</f>
        <v/>
      </c>
      <c r="P198" t="str">
        <f>IF(M198="","",IF(M198="[FÓRMULA MANUAL]","",IFERROR(AVERAGEIFS(DATOS!$K$2:$K$20000,DATOS!$A$2:$A$20000,M198,DATOS!$G$2:$G$20000,CONFIG_METADATA!$B$4,DATOS!$I$2:$I$20000,"Música de Cámara"),"")))</f>
        <v/>
      </c>
      <c r="Q198" t="str">
        <f>IF(M198="","",IF(M198="[FÓRMULA MANUAL]","",IFERROR(SUMPRODUCT((DATOS!$A$2:$A$20000=M198)*(DATOS!$G$2:$G$20000=CONFIG_METADATA!$B$4)*(COUNTIF(CONFIG_ASIGNATURAS!$B$7:$B$27,DATOS!$I$2:$I$20000)&gt;0)*(DATOS!$K$2:$K$20000))/SUMPRODUCT((DATOS!$A$2:$A$20000=M198)*(DATOS!$G$2:$G$20000=CONFIG_METADATA!$B$4)*(COUNTIF(CONFIG_ASIGNATURAS!$B$7:$B$27,DATOS!$I$2:$I$20000)&gt;0)*1),"")))</f>
        <v/>
      </c>
      <c r="T198" t="str">
        <f>IF(S198="","",IF(S198="[FÓRMULA MANUAL]","",IFERROR(AVERAGEIFS(DATOS!$K$2:$K$20000,DATOS!$A$2:$A$20000,S198,DATOS!$G$2:$G$20000,CONFIG_METADATA!$B$4,DATOS!$I$2:$I$20000,"Armonía"),"")))</f>
        <v/>
      </c>
      <c r="U198" t="str">
        <f>IF(S198="","",IF(S198="[FÓRMULA MANUAL]","",IFERROR(AVERAGEIFS(DATOS!$K$2:$K$20000,DATOS!$A$2:$A$20000,S198,DATOS!$G$2:$G$20000,CONFIG_METADATA!$B$4,DATOS!$I$2:$I$20000,"Orquesta/Banda/Conjunto"),"")))</f>
        <v/>
      </c>
      <c r="V198" t="str">
        <f>IF(S198="","",IF(S198="[FÓRMULA MANUAL]","",IFERROR(AVERAGEIFS(DATOS!$K$2:$K$20000,DATOS!$A$2:$A$20000,S198,DATOS!$G$2:$G$20000,CONFIG_METADATA!$B$4,DATOS!$I$2:$I$20000,"Música de Cámara"),"")))</f>
        <v/>
      </c>
      <c r="W198" t="str">
        <f>IF(S198="","",IF(S198="[FÓRMULA MANUAL]","",IFERROR(SUMPRODUCT((DATOS!$A$2:$A$20000=S198)*(DATOS!$G$2:$G$20000=CONFIG_METADATA!$B$4)*(COUNTIF(CONFIG_ASIGNATURAS!$B$7:$B$27,DATOS!$I$2:$I$20000)&gt;0)*(DATOS!$K$2:$K$20000))/SUMPRODUCT((DATOS!$A$2:$A$20000=S198)*(DATOS!$G$2:$G$20000=CONFIG_METADATA!$B$4)*(COUNTIF(CONFIG_ASIGNATURAS!$B$7:$B$27,DATOS!$I$2:$I$20000)&gt;0)*1),"")))</f>
        <v/>
      </c>
      <c r="Z198" t="str">
        <f>IF(Y198="","",IF(Y198="[FÓRMULA MANUAL]","",IFERROR(AVERAGEIFS(DATOS!$K$2:$K$20000,DATOS!$A$2:$A$20000,Y198,DATOS!$G$2:$G$20000,CONFIG_METADATA!$B$4,DATOS!$I$2:$I$20000,"Análisis"),"")))</f>
        <v/>
      </c>
      <c r="AA198" t="str">
        <f>IF(Y198="","",IF(Y198="[FÓRMULA MANUAL]","",IFERROR(AVERAGEIFS(DATOS!$K$2:$K$20000,DATOS!$A$2:$A$20000,Y198,DATOS!$G$2:$G$20000,CONFIG_METADATA!$B$4,DATOS!$I$2:$I$20000,"Orquesta/Banda/Conjunto"),"")))</f>
        <v/>
      </c>
      <c r="AB198" t="str">
        <f>IF(Y198="","",IF(Y198="[FÓRMULA MANUAL]","",IFERROR(AVERAGEIFS(DATOS!$K$2:$K$20000,DATOS!$A$2:$A$20000,Y198,DATOS!$G$2:$G$20000,CONFIG_METADATA!$B$4,DATOS!$I$2:$I$20000,"Música de Cámara"),"")))</f>
        <v/>
      </c>
      <c r="AC198" t="str">
        <f>IF(Y198="","",IF(Y198="[FÓRMULA MANUAL]","",IFERROR(SUMPRODUCT((DATOS!$A$2:$A$20000=Y198)*(DATOS!$G$2:$G$20000=CONFIG_METADATA!$B$4)*(COUNTIF(CONFIG_ASIGNATURAS!$B$7:$B$27,DATOS!$I$2:$I$20000)&gt;0)*(DATOS!$K$2:$K$20000))/SUMPRODUCT((DATOS!$A$2:$A$20000=Y198)*(DATOS!$G$2:$G$20000=CONFIG_METADATA!$B$4)*(COUNTIF(CONFIG_ASIGNATURAS!$B$7:$B$27,DATOS!$I$2:$I$20000)&gt;0)*1),"")))</f>
        <v/>
      </c>
      <c r="AF198" t="str">
        <f>IF(AE198="","",IF(AE198="[FÓRMULA MANUAL]","",IFERROR(AVERAGEIFS(DATOS!$K$2:$K$20000,DATOS!$A$2:$A$20000,AE198,DATOS!$G$2:$G$20000,CONFIG_METADATA!$B$4,DATOS!$I$2:$I$20000,"Análisis"),"")))</f>
        <v/>
      </c>
      <c r="AG198" t="str">
        <f>IF(AE198="","",IF(AE198="[FÓRMULA MANUAL]","",IFERROR(AVERAGEIFS(DATOS!$K$2:$K$20000,DATOS!$A$2:$A$20000,AE198,DATOS!$G$2:$G$20000,CONFIG_METADATA!$B$4,DATOS!$I$2:$I$20000,"Orquesta/Banda/Conjunto"),"")))</f>
        <v/>
      </c>
      <c r="AH198" t="str">
        <f>IF(AE198="","",IF(AE198="[FÓRMULA MANUAL]","",IFERROR(AVERAGEIFS(DATOS!$K$2:$K$20000,DATOS!$A$2:$A$20000,AE198,DATOS!$G$2:$G$20000,CONFIG_METADATA!$B$4,DATOS!$I$2:$I$20000,"Música de Cámara"),"")))</f>
        <v/>
      </c>
      <c r="AI198" t="str">
        <f>IF(AE198="","",IF(AE198="[FÓRMULA MANUAL]","",IFERROR(SUMPRODUCT((DATOS!$A$2:$A$20000=AE198)*(DATOS!$G$2:$G$20000=CONFIG_METADATA!$B$4)*(COUNTIF(CONFIG_ASIGNATURAS!$B$7:$B$27,DATOS!$I$2:$I$20000)&gt;0)*(DATOS!$K$2:$K$20000))/SUMPRODUCT((DATOS!$A$2:$A$20000=AE198)*(DATOS!$G$2:$G$20000=CONFIG_METADATA!$B$4)*(COUNTIF(CONFIG_ASIGNATURAS!$B$7:$B$27,DATOS!$I$2:$I$20000)&gt;0)*1),"")))</f>
        <v/>
      </c>
    </row>
    <row r="199" spans="2:35" x14ac:dyDescent="0.2">
      <c r="B199" t="str">
        <f>IF(A199="","",IF(A199="[FÓRMULA MANUAL]","",IFERROR(AVERAGEIFS(DATOS!$K$2:$K$20000,DATOS!$A$2:$A$20000,A199,DATOS!$G$2:$G$20000,CONFIG_METADATA!$B$4,DATOS!$I$2:$I$20000,"Lenguaje Musical"),"")))</f>
        <v/>
      </c>
      <c r="C199" t="str">
        <f>IF(A199="","",IF(A199="[FÓRMULA MANUAL]","",IFERROR(AVERAGEIFS(DATOS!$K$2:$K$20000,DATOS!$A$2:$A$20000,A199,DATOS!$G$2:$G$20000,CONFIG_METADATA!$B$4,DATOS!$I$2:$I$20000,"Orquesta/Banda/Conjunto"),"")))</f>
        <v/>
      </c>
      <c r="D199" t="str">
        <f>IF(A199="","",IF(A199="[FÓRMULA MANUAL]","",IFERROR(AVERAGEIFS(DATOS!$K$2:$K$20000,DATOS!$A$2:$A$20000,A199,DATOS!$G$2:$G$20000,CONFIG_METADATA!$B$4,DATOS!$I$2:$I$20000,"Conjunto"),"")))</f>
        <v/>
      </c>
      <c r="E199" t="str">
        <f>IF(A199="","",IF(A199="[FÓRMULA MANUAL]","",IFERROR(SUMPRODUCT((DATOS!$A$2:$A$20000=A199)*(DATOS!$G$2:$G$20000=CONFIG_METADATA!$B$4)*(COUNTIF(CONFIG_ASIGNATURAS!$B$7:$B$27,DATOS!$I$2:$I$20000)&gt;0)*(DATOS!$K$2:$K$20000))/SUMPRODUCT((DATOS!$A$2:$A$20000=A199)*(DATOS!$G$2:$G$20000=CONFIG_METADATA!$B$4)*(COUNTIF(CONFIG_ASIGNATURAS!$B$7:$B$27,DATOS!$I$2:$I$20000)&gt;0)*1),"")))</f>
        <v/>
      </c>
      <c r="H199" t="str">
        <f>IF(G199="","",IF(G199="[FÓRMULA MANUAL]","",IFERROR(AVERAGEIFS(DATOS!$K$2:$K$20000,DATOS!$A$2:$A$20000,G199,DATOS!$G$2:$G$20000,CONFIG_METADATA!$B$4,DATOS!$I$2:$I$20000,"Lenguaje Musical"),"")))</f>
        <v/>
      </c>
      <c r="I199" t="str">
        <f>IF(G199="","",IF(G199="[FÓRMULA MANUAL]","",IFERROR(AVERAGEIFS(DATOS!$K$2:$K$20000,DATOS!$A$2:$A$20000,G199,DATOS!$G$2:$G$20000,CONFIG_METADATA!$B$4,DATOS!$I$2:$I$20000,"Orquesta/Banda/Conjunto"),"")))</f>
        <v/>
      </c>
      <c r="J199" t="str">
        <f>IF(G199="","",IF(G199="[FÓRMULA MANUAL]","",IFERROR(AVERAGEIFS(DATOS!$K$2:$K$20000,DATOS!$A$2:$A$20000,G199,DATOS!$G$2:$G$20000,CONFIG_METADATA!$B$4,DATOS!$I$2:$I$20000,"Conjunto"),"")))</f>
        <v/>
      </c>
      <c r="K199" t="str">
        <f>IF(G199="","",IF(G199="[FÓRMULA MANUAL]","",IFERROR(SUMPRODUCT((DATOS!$A$2:$A$20000=G199)*(DATOS!$G$2:$G$20000=CONFIG_METADATA!$B$4)*(COUNTIF(CONFIG_ASIGNATURAS!$B$7:$B$27,DATOS!$I$2:$I$20000)&gt;0)*(DATOS!$K$2:$K$20000))/SUMPRODUCT((DATOS!$A$2:$A$20000=G199)*(DATOS!$G$2:$G$20000=CONFIG_METADATA!$B$4)*(COUNTIF(CONFIG_ASIGNATURAS!$B$7:$B$27,DATOS!$I$2:$I$20000)&gt;0)*1),"")))</f>
        <v/>
      </c>
      <c r="N199" t="str">
        <f>IF(M199="","",IF(M199="[FÓRMULA MANUAL]","",IFERROR(AVERAGEIFS(DATOS!$K$2:$K$20000,DATOS!$A$2:$A$20000,M199,DATOS!$G$2:$G$20000,CONFIG_METADATA!$B$4,DATOS!$I$2:$I$20000,"Armonía"),"")))</f>
        <v/>
      </c>
      <c r="O199" t="str">
        <f>IF(M199="","",IF(M199="[FÓRMULA MANUAL]","",IFERROR(AVERAGEIFS(DATOS!$K$2:$K$20000,DATOS!$A$2:$A$20000,M199,DATOS!$G$2:$G$20000,CONFIG_METADATA!$B$4,DATOS!$I$2:$I$20000,"Orquesta/Banda/Conjunto"),"")))</f>
        <v/>
      </c>
      <c r="P199" t="str">
        <f>IF(M199="","",IF(M199="[FÓRMULA MANUAL]","",IFERROR(AVERAGEIFS(DATOS!$K$2:$K$20000,DATOS!$A$2:$A$20000,M199,DATOS!$G$2:$G$20000,CONFIG_METADATA!$B$4,DATOS!$I$2:$I$20000,"Música de Cámara"),"")))</f>
        <v/>
      </c>
      <c r="Q199" t="str">
        <f>IF(M199="","",IF(M199="[FÓRMULA MANUAL]","",IFERROR(SUMPRODUCT((DATOS!$A$2:$A$20000=M199)*(DATOS!$G$2:$G$20000=CONFIG_METADATA!$B$4)*(COUNTIF(CONFIG_ASIGNATURAS!$B$7:$B$27,DATOS!$I$2:$I$20000)&gt;0)*(DATOS!$K$2:$K$20000))/SUMPRODUCT((DATOS!$A$2:$A$20000=M199)*(DATOS!$G$2:$G$20000=CONFIG_METADATA!$B$4)*(COUNTIF(CONFIG_ASIGNATURAS!$B$7:$B$27,DATOS!$I$2:$I$20000)&gt;0)*1),"")))</f>
        <v/>
      </c>
      <c r="T199" t="str">
        <f>IF(S199="","",IF(S199="[FÓRMULA MANUAL]","",IFERROR(AVERAGEIFS(DATOS!$K$2:$K$20000,DATOS!$A$2:$A$20000,S199,DATOS!$G$2:$G$20000,CONFIG_METADATA!$B$4,DATOS!$I$2:$I$20000,"Armonía"),"")))</f>
        <v/>
      </c>
      <c r="U199" t="str">
        <f>IF(S199="","",IF(S199="[FÓRMULA MANUAL]","",IFERROR(AVERAGEIFS(DATOS!$K$2:$K$20000,DATOS!$A$2:$A$20000,S199,DATOS!$G$2:$G$20000,CONFIG_METADATA!$B$4,DATOS!$I$2:$I$20000,"Orquesta/Banda/Conjunto"),"")))</f>
        <v/>
      </c>
      <c r="V199" t="str">
        <f>IF(S199="","",IF(S199="[FÓRMULA MANUAL]","",IFERROR(AVERAGEIFS(DATOS!$K$2:$K$20000,DATOS!$A$2:$A$20000,S199,DATOS!$G$2:$G$20000,CONFIG_METADATA!$B$4,DATOS!$I$2:$I$20000,"Música de Cámara"),"")))</f>
        <v/>
      </c>
      <c r="W199" t="str">
        <f>IF(S199="","",IF(S199="[FÓRMULA MANUAL]","",IFERROR(SUMPRODUCT((DATOS!$A$2:$A$20000=S199)*(DATOS!$G$2:$G$20000=CONFIG_METADATA!$B$4)*(COUNTIF(CONFIG_ASIGNATURAS!$B$7:$B$27,DATOS!$I$2:$I$20000)&gt;0)*(DATOS!$K$2:$K$20000))/SUMPRODUCT((DATOS!$A$2:$A$20000=S199)*(DATOS!$G$2:$G$20000=CONFIG_METADATA!$B$4)*(COUNTIF(CONFIG_ASIGNATURAS!$B$7:$B$27,DATOS!$I$2:$I$20000)&gt;0)*1),"")))</f>
        <v/>
      </c>
      <c r="Z199" t="str">
        <f>IF(Y199="","",IF(Y199="[FÓRMULA MANUAL]","",IFERROR(AVERAGEIFS(DATOS!$K$2:$K$20000,DATOS!$A$2:$A$20000,Y199,DATOS!$G$2:$G$20000,CONFIG_METADATA!$B$4,DATOS!$I$2:$I$20000,"Análisis"),"")))</f>
        <v/>
      </c>
      <c r="AA199" t="str">
        <f>IF(Y199="","",IF(Y199="[FÓRMULA MANUAL]","",IFERROR(AVERAGEIFS(DATOS!$K$2:$K$20000,DATOS!$A$2:$A$20000,Y199,DATOS!$G$2:$G$20000,CONFIG_METADATA!$B$4,DATOS!$I$2:$I$20000,"Orquesta/Banda/Conjunto"),"")))</f>
        <v/>
      </c>
      <c r="AB199" t="str">
        <f>IF(Y199="","",IF(Y199="[FÓRMULA MANUAL]","",IFERROR(AVERAGEIFS(DATOS!$K$2:$K$20000,DATOS!$A$2:$A$20000,Y199,DATOS!$G$2:$G$20000,CONFIG_METADATA!$B$4,DATOS!$I$2:$I$20000,"Música de Cámara"),"")))</f>
        <v/>
      </c>
      <c r="AC199" t="str">
        <f>IF(Y199="","",IF(Y199="[FÓRMULA MANUAL]","",IFERROR(SUMPRODUCT((DATOS!$A$2:$A$20000=Y199)*(DATOS!$G$2:$G$20000=CONFIG_METADATA!$B$4)*(COUNTIF(CONFIG_ASIGNATURAS!$B$7:$B$27,DATOS!$I$2:$I$20000)&gt;0)*(DATOS!$K$2:$K$20000))/SUMPRODUCT((DATOS!$A$2:$A$20000=Y199)*(DATOS!$G$2:$G$20000=CONFIG_METADATA!$B$4)*(COUNTIF(CONFIG_ASIGNATURAS!$B$7:$B$27,DATOS!$I$2:$I$20000)&gt;0)*1),"")))</f>
        <v/>
      </c>
      <c r="AF199" t="str">
        <f>IF(AE199="","",IF(AE199="[FÓRMULA MANUAL]","",IFERROR(AVERAGEIFS(DATOS!$K$2:$K$20000,DATOS!$A$2:$A$20000,AE199,DATOS!$G$2:$G$20000,CONFIG_METADATA!$B$4,DATOS!$I$2:$I$20000,"Análisis"),"")))</f>
        <v/>
      </c>
      <c r="AG199" t="str">
        <f>IF(AE199="","",IF(AE199="[FÓRMULA MANUAL]","",IFERROR(AVERAGEIFS(DATOS!$K$2:$K$20000,DATOS!$A$2:$A$20000,AE199,DATOS!$G$2:$G$20000,CONFIG_METADATA!$B$4,DATOS!$I$2:$I$20000,"Orquesta/Banda/Conjunto"),"")))</f>
        <v/>
      </c>
      <c r="AH199" t="str">
        <f>IF(AE199="","",IF(AE199="[FÓRMULA MANUAL]","",IFERROR(AVERAGEIFS(DATOS!$K$2:$K$20000,DATOS!$A$2:$A$20000,AE199,DATOS!$G$2:$G$20000,CONFIG_METADATA!$B$4,DATOS!$I$2:$I$20000,"Música de Cámara"),"")))</f>
        <v/>
      </c>
      <c r="AI199" t="str">
        <f>IF(AE199="","",IF(AE199="[FÓRMULA MANUAL]","",IFERROR(SUMPRODUCT((DATOS!$A$2:$A$20000=AE199)*(DATOS!$G$2:$G$20000=CONFIG_METADATA!$B$4)*(COUNTIF(CONFIG_ASIGNATURAS!$B$7:$B$27,DATOS!$I$2:$I$20000)&gt;0)*(DATOS!$K$2:$K$20000))/SUMPRODUCT((DATOS!$A$2:$A$20000=AE199)*(DATOS!$G$2:$G$20000=CONFIG_METADATA!$B$4)*(COUNTIF(CONFIG_ASIGNATURAS!$B$7:$B$27,DATOS!$I$2:$I$20000)&gt;0)*1),"")))</f>
        <v/>
      </c>
    </row>
    <row r="200" spans="2:35" x14ac:dyDescent="0.2">
      <c r="B200" t="str">
        <f>IF(A200="","",IF(A200="[FÓRMULA MANUAL]","",IFERROR(AVERAGEIFS(DATOS!$K$2:$K$20000,DATOS!$A$2:$A$20000,A200,DATOS!$G$2:$G$20000,CONFIG_METADATA!$B$4,DATOS!$I$2:$I$20000,"Lenguaje Musical"),"")))</f>
        <v/>
      </c>
      <c r="C200" t="str">
        <f>IF(A200="","",IF(A200="[FÓRMULA MANUAL]","",IFERROR(AVERAGEIFS(DATOS!$K$2:$K$20000,DATOS!$A$2:$A$20000,A200,DATOS!$G$2:$G$20000,CONFIG_METADATA!$B$4,DATOS!$I$2:$I$20000,"Orquesta/Banda/Conjunto"),"")))</f>
        <v/>
      </c>
      <c r="D200" t="str">
        <f>IF(A200="","",IF(A200="[FÓRMULA MANUAL]","",IFERROR(AVERAGEIFS(DATOS!$K$2:$K$20000,DATOS!$A$2:$A$20000,A200,DATOS!$G$2:$G$20000,CONFIG_METADATA!$B$4,DATOS!$I$2:$I$20000,"Conjunto"),"")))</f>
        <v/>
      </c>
      <c r="E200" t="str">
        <f>IF(A200="","",IF(A200="[FÓRMULA MANUAL]","",IFERROR(SUMPRODUCT((DATOS!$A$2:$A$20000=A200)*(DATOS!$G$2:$G$20000=CONFIG_METADATA!$B$4)*(COUNTIF(CONFIG_ASIGNATURAS!$B$7:$B$27,DATOS!$I$2:$I$20000)&gt;0)*(DATOS!$K$2:$K$20000))/SUMPRODUCT((DATOS!$A$2:$A$20000=A200)*(DATOS!$G$2:$G$20000=CONFIG_METADATA!$B$4)*(COUNTIF(CONFIG_ASIGNATURAS!$B$7:$B$27,DATOS!$I$2:$I$20000)&gt;0)*1),"")))</f>
        <v/>
      </c>
      <c r="H200" t="str">
        <f>IF(G200="","",IF(G200="[FÓRMULA MANUAL]","",IFERROR(AVERAGEIFS(DATOS!$K$2:$K$20000,DATOS!$A$2:$A$20000,G200,DATOS!$G$2:$G$20000,CONFIG_METADATA!$B$4,DATOS!$I$2:$I$20000,"Lenguaje Musical"),"")))</f>
        <v/>
      </c>
      <c r="I200" t="str">
        <f>IF(G200="","",IF(G200="[FÓRMULA MANUAL]","",IFERROR(AVERAGEIFS(DATOS!$K$2:$K$20000,DATOS!$A$2:$A$20000,G200,DATOS!$G$2:$G$20000,CONFIG_METADATA!$B$4,DATOS!$I$2:$I$20000,"Orquesta/Banda/Conjunto"),"")))</f>
        <v/>
      </c>
      <c r="J200" t="str">
        <f>IF(G200="","",IF(G200="[FÓRMULA MANUAL]","",IFERROR(AVERAGEIFS(DATOS!$K$2:$K$20000,DATOS!$A$2:$A$20000,G200,DATOS!$G$2:$G$20000,CONFIG_METADATA!$B$4,DATOS!$I$2:$I$20000,"Conjunto"),"")))</f>
        <v/>
      </c>
      <c r="K200" t="str">
        <f>IF(G200="","",IF(G200="[FÓRMULA MANUAL]","",IFERROR(SUMPRODUCT((DATOS!$A$2:$A$20000=G200)*(DATOS!$G$2:$G$20000=CONFIG_METADATA!$B$4)*(COUNTIF(CONFIG_ASIGNATURAS!$B$7:$B$27,DATOS!$I$2:$I$20000)&gt;0)*(DATOS!$K$2:$K$20000))/SUMPRODUCT((DATOS!$A$2:$A$20000=G200)*(DATOS!$G$2:$G$20000=CONFIG_METADATA!$B$4)*(COUNTIF(CONFIG_ASIGNATURAS!$B$7:$B$27,DATOS!$I$2:$I$20000)&gt;0)*1),"")))</f>
        <v/>
      </c>
      <c r="N200" t="str">
        <f>IF(M200="","",IF(M200="[FÓRMULA MANUAL]","",IFERROR(AVERAGEIFS(DATOS!$K$2:$K$20000,DATOS!$A$2:$A$20000,M200,DATOS!$G$2:$G$20000,CONFIG_METADATA!$B$4,DATOS!$I$2:$I$20000,"Armonía"),"")))</f>
        <v/>
      </c>
      <c r="O200" t="str">
        <f>IF(M200="","",IF(M200="[FÓRMULA MANUAL]","",IFERROR(AVERAGEIFS(DATOS!$K$2:$K$20000,DATOS!$A$2:$A$20000,M200,DATOS!$G$2:$G$20000,CONFIG_METADATA!$B$4,DATOS!$I$2:$I$20000,"Orquesta/Banda/Conjunto"),"")))</f>
        <v/>
      </c>
      <c r="P200" t="str">
        <f>IF(M200="","",IF(M200="[FÓRMULA MANUAL]","",IFERROR(AVERAGEIFS(DATOS!$K$2:$K$20000,DATOS!$A$2:$A$20000,M200,DATOS!$G$2:$G$20000,CONFIG_METADATA!$B$4,DATOS!$I$2:$I$20000,"Música de Cámara"),"")))</f>
        <v/>
      </c>
      <c r="Q200" t="str">
        <f>IF(M200="","",IF(M200="[FÓRMULA MANUAL]","",IFERROR(SUMPRODUCT((DATOS!$A$2:$A$20000=M200)*(DATOS!$G$2:$G$20000=CONFIG_METADATA!$B$4)*(COUNTIF(CONFIG_ASIGNATURAS!$B$7:$B$27,DATOS!$I$2:$I$20000)&gt;0)*(DATOS!$K$2:$K$20000))/SUMPRODUCT((DATOS!$A$2:$A$20000=M200)*(DATOS!$G$2:$G$20000=CONFIG_METADATA!$B$4)*(COUNTIF(CONFIG_ASIGNATURAS!$B$7:$B$27,DATOS!$I$2:$I$20000)&gt;0)*1),"")))</f>
        <v/>
      </c>
      <c r="T200" t="str">
        <f>IF(S200="","",IF(S200="[FÓRMULA MANUAL]","",IFERROR(AVERAGEIFS(DATOS!$K$2:$K$20000,DATOS!$A$2:$A$20000,S200,DATOS!$G$2:$G$20000,CONFIG_METADATA!$B$4,DATOS!$I$2:$I$20000,"Armonía"),"")))</f>
        <v/>
      </c>
      <c r="U200" t="str">
        <f>IF(S200="","",IF(S200="[FÓRMULA MANUAL]","",IFERROR(AVERAGEIFS(DATOS!$K$2:$K$20000,DATOS!$A$2:$A$20000,S200,DATOS!$G$2:$G$20000,CONFIG_METADATA!$B$4,DATOS!$I$2:$I$20000,"Orquesta/Banda/Conjunto"),"")))</f>
        <v/>
      </c>
      <c r="V200" t="str">
        <f>IF(S200="","",IF(S200="[FÓRMULA MANUAL]","",IFERROR(AVERAGEIFS(DATOS!$K$2:$K$20000,DATOS!$A$2:$A$20000,S200,DATOS!$G$2:$G$20000,CONFIG_METADATA!$B$4,DATOS!$I$2:$I$20000,"Música de Cámara"),"")))</f>
        <v/>
      </c>
      <c r="W200" t="str">
        <f>IF(S200="","",IF(S200="[FÓRMULA MANUAL]","",IFERROR(SUMPRODUCT((DATOS!$A$2:$A$20000=S200)*(DATOS!$G$2:$G$20000=CONFIG_METADATA!$B$4)*(COUNTIF(CONFIG_ASIGNATURAS!$B$7:$B$27,DATOS!$I$2:$I$20000)&gt;0)*(DATOS!$K$2:$K$20000))/SUMPRODUCT((DATOS!$A$2:$A$20000=S200)*(DATOS!$G$2:$G$20000=CONFIG_METADATA!$B$4)*(COUNTIF(CONFIG_ASIGNATURAS!$B$7:$B$27,DATOS!$I$2:$I$20000)&gt;0)*1),"")))</f>
        <v/>
      </c>
      <c r="Z200" t="str">
        <f>IF(Y200="","",IF(Y200="[FÓRMULA MANUAL]","",IFERROR(AVERAGEIFS(DATOS!$K$2:$K$20000,DATOS!$A$2:$A$20000,Y200,DATOS!$G$2:$G$20000,CONFIG_METADATA!$B$4,DATOS!$I$2:$I$20000,"Análisis"),"")))</f>
        <v/>
      </c>
      <c r="AA200" t="str">
        <f>IF(Y200="","",IF(Y200="[FÓRMULA MANUAL]","",IFERROR(AVERAGEIFS(DATOS!$K$2:$K$20000,DATOS!$A$2:$A$20000,Y200,DATOS!$G$2:$G$20000,CONFIG_METADATA!$B$4,DATOS!$I$2:$I$20000,"Orquesta/Banda/Conjunto"),"")))</f>
        <v/>
      </c>
      <c r="AB200" t="str">
        <f>IF(Y200="","",IF(Y200="[FÓRMULA MANUAL]","",IFERROR(AVERAGEIFS(DATOS!$K$2:$K$20000,DATOS!$A$2:$A$20000,Y200,DATOS!$G$2:$G$20000,CONFIG_METADATA!$B$4,DATOS!$I$2:$I$20000,"Música de Cámara"),"")))</f>
        <v/>
      </c>
      <c r="AC200" t="str">
        <f>IF(Y200="","",IF(Y200="[FÓRMULA MANUAL]","",IFERROR(SUMPRODUCT((DATOS!$A$2:$A$20000=Y200)*(DATOS!$G$2:$G$20000=CONFIG_METADATA!$B$4)*(COUNTIF(CONFIG_ASIGNATURAS!$B$7:$B$27,DATOS!$I$2:$I$20000)&gt;0)*(DATOS!$K$2:$K$20000))/SUMPRODUCT((DATOS!$A$2:$A$20000=Y200)*(DATOS!$G$2:$G$20000=CONFIG_METADATA!$B$4)*(COUNTIF(CONFIG_ASIGNATURAS!$B$7:$B$27,DATOS!$I$2:$I$20000)&gt;0)*1),"")))</f>
        <v/>
      </c>
      <c r="AF200" t="str">
        <f>IF(AE200="","",IF(AE200="[FÓRMULA MANUAL]","",IFERROR(AVERAGEIFS(DATOS!$K$2:$K$20000,DATOS!$A$2:$A$20000,AE200,DATOS!$G$2:$G$20000,CONFIG_METADATA!$B$4,DATOS!$I$2:$I$20000,"Análisis"),"")))</f>
        <v/>
      </c>
      <c r="AG200" t="str">
        <f>IF(AE200="","",IF(AE200="[FÓRMULA MANUAL]","",IFERROR(AVERAGEIFS(DATOS!$K$2:$K$20000,DATOS!$A$2:$A$20000,AE200,DATOS!$G$2:$G$20000,CONFIG_METADATA!$B$4,DATOS!$I$2:$I$20000,"Orquesta/Banda/Conjunto"),"")))</f>
        <v/>
      </c>
      <c r="AH200" t="str">
        <f>IF(AE200="","",IF(AE200="[FÓRMULA MANUAL]","",IFERROR(AVERAGEIFS(DATOS!$K$2:$K$20000,DATOS!$A$2:$A$20000,AE200,DATOS!$G$2:$G$20000,CONFIG_METADATA!$B$4,DATOS!$I$2:$I$20000,"Música de Cámara"),"")))</f>
        <v/>
      </c>
      <c r="AI200" t="str">
        <f>IF(AE200="","",IF(AE200="[FÓRMULA MANUAL]","",IFERROR(SUMPRODUCT((DATOS!$A$2:$A$20000=AE200)*(DATOS!$G$2:$G$20000=CONFIG_METADATA!$B$4)*(COUNTIF(CONFIG_ASIGNATURAS!$B$7:$B$27,DATOS!$I$2:$I$20000)&gt;0)*(DATOS!$K$2:$K$20000))/SUMPRODUCT((DATOS!$A$2:$A$20000=AE200)*(DATOS!$G$2:$G$20000=CONFIG_METADATA!$B$4)*(COUNTIF(CONFIG_ASIGNATURAS!$B$7:$B$27,DATOS!$I$2:$I$20000)&gt;0)*1),"")))</f>
        <v/>
      </c>
    </row>
    <row r="201" spans="2:35" x14ac:dyDescent="0.2">
      <c r="B201" t="str">
        <f>IF(A201="","",IF(A201="[FÓRMULA MANUAL]","",IFERROR(AVERAGEIFS(DATOS!$K$2:$K$20000,DATOS!$A$2:$A$20000,A201,DATOS!$G$2:$G$20000,CONFIG_METADATA!$B$4,DATOS!$I$2:$I$20000,"Lenguaje Musical"),"")))</f>
        <v/>
      </c>
      <c r="C201" t="str">
        <f>IF(A201="","",IF(A201="[FÓRMULA MANUAL]","",IFERROR(AVERAGEIFS(DATOS!$K$2:$K$20000,DATOS!$A$2:$A$20000,A201,DATOS!$G$2:$G$20000,CONFIG_METADATA!$B$4,DATOS!$I$2:$I$20000,"Orquesta/Banda/Conjunto"),"")))</f>
        <v/>
      </c>
      <c r="D201" t="str">
        <f>IF(A201="","",IF(A201="[FÓRMULA MANUAL]","",IFERROR(AVERAGEIFS(DATOS!$K$2:$K$20000,DATOS!$A$2:$A$20000,A201,DATOS!$G$2:$G$20000,CONFIG_METADATA!$B$4,DATOS!$I$2:$I$20000,"Conjunto"),"")))</f>
        <v/>
      </c>
      <c r="E201" t="str">
        <f>IF(A201="","",IF(A201="[FÓRMULA MANUAL]","",IFERROR(SUMPRODUCT((DATOS!$A$2:$A$20000=A201)*(DATOS!$G$2:$G$20000=CONFIG_METADATA!$B$4)*(COUNTIF(CONFIG_ASIGNATURAS!$B$7:$B$27,DATOS!$I$2:$I$20000)&gt;0)*(DATOS!$K$2:$K$20000))/SUMPRODUCT((DATOS!$A$2:$A$20000=A201)*(DATOS!$G$2:$G$20000=CONFIG_METADATA!$B$4)*(COUNTIF(CONFIG_ASIGNATURAS!$B$7:$B$27,DATOS!$I$2:$I$20000)&gt;0)*1),"")))</f>
        <v/>
      </c>
      <c r="H201" t="str">
        <f>IF(G201="","",IF(G201="[FÓRMULA MANUAL]","",IFERROR(AVERAGEIFS(DATOS!$K$2:$K$20000,DATOS!$A$2:$A$20000,G201,DATOS!$G$2:$G$20000,CONFIG_METADATA!$B$4,DATOS!$I$2:$I$20000,"Lenguaje Musical"),"")))</f>
        <v/>
      </c>
      <c r="I201" t="str">
        <f>IF(G201="","",IF(G201="[FÓRMULA MANUAL]","",IFERROR(AVERAGEIFS(DATOS!$K$2:$K$20000,DATOS!$A$2:$A$20000,G201,DATOS!$G$2:$G$20000,CONFIG_METADATA!$B$4,DATOS!$I$2:$I$20000,"Orquesta/Banda/Conjunto"),"")))</f>
        <v/>
      </c>
      <c r="J201" t="str">
        <f>IF(G201="","",IF(G201="[FÓRMULA MANUAL]","",IFERROR(AVERAGEIFS(DATOS!$K$2:$K$20000,DATOS!$A$2:$A$20000,G201,DATOS!$G$2:$G$20000,CONFIG_METADATA!$B$4,DATOS!$I$2:$I$20000,"Conjunto"),"")))</f>
        <v/>
      </c>
      <c r="K201" t="str">
        <f>IF(G201="","",IF(G201="[FÓRMULA MANUAL]","",IFERROR(SUMPRODUCT((DATOS!$A$2:$A$20000=G201)*(DATOS!$G$2:$G$20000=CONFIG_METADATA!$B$4)*(COUNTIF(CONFIG_ASIGNATURAS!$B$7:$B$27,DATOS!$I$2:$I$20000)&gt;0)*(DATOS!$K$2:$K$20000))/SUMPRODUCT((DATOS!$A$2:$A$20000=G201)*(DATOS!$G$2:$G$20000=CONFIG_METADATA!$B$4)*(COUNTIF(CONFIG_ASIGNATURAS!$B$7:$B$27,DATOS!$I$2:$I$20000)&gt;0)*1),"")))</f>
        <v/>
      </c>
      <c r="N201" t="str">
        <f>IF(M201="","",IF(M201="[FÓRMULA MANUAL]","",IFERROR(AVERAGEIFS(DATOS!$K$2:$K$20000,DATOS!$A$2:$A$20000,M201,DATOS!$G$2:$G$20000,CONFIG_METADATA!$B$4,DATOS!$I$2:$I$20000,"Armonía"),"")))</f>
        <v/>
      </c>
      <c r="O201" t="str">
        <f>IF(M201="","",IF(M201="[FÓRMULA MANUAL]","",IFERROR(AVERAGEIFS(DATOS!$K$2:$K$20000,DATOS!$A$2:$A$20000,M201,DATOS!$G$2:$G$20000,CONFIG_METADATA!$B$4,DATOS!$I$2:$I$20000,"Orquesta/Banda/Conjunto"),"")))</f>
        <v/>
      </c>
      <c r="P201" t="str">
        <f>IF(M201="","",IF(M201="[FÓRMULA MANUAL]","",IFERROR(AVERAGEIFS(DATOS!$K$2:$K$20000,DATOS!$A$2:$A$20000,M201,DATOS!$G$2:$G$20000,CONFIG_METADATA!$B$4,DATOS!$I$2:$I$20000,"Música de Cámara"),"")))</f>
        <v/>
      </c>
      <c r="Q201" t="str">
        <f>IF(M201="","",IF(M201="[FÓRMULA MANUAL]","",IFERROR(SUMPRODUCT((DATOS!$A$2:$A$20000=M201)*(DATOS!$G$2:$G$20000=CONFIG_METADATA!$B$4)*(COUNTIF(CONFIG_ASIGNATURAS!$B$7:$B$27,DATOS!$I$2:$I$20000)&gt;0)*(DATOS!$K$2:$K$20000))/SUMPRODUCT((DATOS!$A$2:$A$20000=M201)*(DATOS!$G$2:$G$20000=CONFIG_METADATA!$B$4)*(COUNTIF(CONFIG_ASIGNATURAS!$B$7:$B$27,DATOS!$I$2:$I$20000)&gt;0)*1),"")))</f>
        <v/>
      </c>
      <c r="T201" t="str">
        <f>IF(S201="","",IF(S201="[FÓRMULA MANUAL]","",IFERROR(AVERAGEIFS(DATOS!$K$2:$K$20000,DATOS!$A$2:$A$20000,S201,DATOS!$G$2:$G$20000,CONFIG_METADATA!$B$4,DATOS!$I$2:$I$20000,"Armonía"),"")))</f>
        <v/>
      </c>
      <c r="U201" t="str">
        <f>IF(S201="","",IF(S201="[FÓRMULA MANUAL]","",IFERROR(AVERAGEIFS(DATOS!$K$2:$K$20000,DATOS!$A$2:$A$20000,S201,DATOS!$G$2:$G$20000,CONFIG_METADATA!$B$4,DATOS!$I$2:$I$20000,"Orquesta/Banda/Conjunto"),"")))</f>
        <v/>
      </c>
      <c r="V201" t="str">
        <f>IF(S201="","",IF(S201="[FÓRMULA MANUAL]","",IFERROR(AVERAGEIFS(DATOS!$K$2:$K$20000,DATOS!$A$2:$A$20000,S201,DATOS!$G$2:$G$20000,CONFIG_METADATA!$B$4,DATOS!$I$2:$I$20000,"Música de Cámara"),"")))</f>
        <v/>
      </c>
      <c r="W201" t="str">
        <f>IF(S201="","",IF(S201="[FÓRMULA MANUAL]","",IFERROR(SUMPRODUCT((DATOS!$A$2:$A$20000=S201)*(DATOS!$G$2:$G$20000=CONFIG_METADATA!$B$4)*(COUNTIF(CONFIG_ASIGNATURAS!$B$7:$B$27,DATOS!$I$2:$I$20000)&gt;0)*(DATOS!$K$2:$K$20000))/SUMPRODUCT((DATOS!$A$2:$A$20000=S201)*(DATOS!$G$2:$G$20000=CONFIG_METADATA!$B$4)*(COUNTIF(CONFIG_ASIGNATURAS!$B$7:$B$27,DATOS!$I$2:$I$20000)&gt;0)*1),"")))</f>
        <v/>
      </c>
      <c r="Z201" t="str">
        <f>IF(Y201="","",IF(Y201="[FÓRMULA MANUAL]","",IFERROR(AVERAGEIFS(DATOS!$K$2:$K$20000,DATOS!$A$2:$A$20000,Y201,DATOS!$G$2:$G$20000,CONFIG_METADATA!$B$4,DATOS!$I$2:$I$20000,"Análisis"),"")))</f>
        <v/>
      </c>
      <c r="AA201" t="str">
        <f>IF(Y201="","",IF(Y201="[FÓRMULA MANUAL]","",IFERROR(AVERAGEIFS(DATOS!$K$2:$K$20000,DATOS!$A$2:$A$20000,Y201,DATOS!$G$2:$G$20000,CONFIG_METADATA!$B$4,DATOS!$I$2:$I$20000,"Orquesta/Banda/Conjunto"),"")))</f>
        <v/>
      </c>
      <c r="AB201" t="str">
        <f>IF(Y201="","",IF(Y201="[FÓRMULA MANUAL]","",IFERROR(AVERAGEIFS(DATOS!$K$2:$K$20000,DATOS!$A$2:$A$20000,Y201,DATOS!$G$2:$G$20000,CONFIG_METADATA!$B$4,DATOS!$I$2:$I$20000,"Música de Cámara"),"")))</f>
        <v/>
      </c>
      <c r="AC201" t="str">
        <f>IF(Y201="","",IF(Y201="[FÓRMULA MANUAL]","",IFERROR(SUMPRODUCT((DATOS!$A$2:$A$20000=Y201)*(DATOS!$G$2:$G$20000=CONFIG_METADATA!$B$4)*(COUNTIF(CONFIG_ASIGNATURAS!$B$7:$B$27,DATOS!$I$2:$I$20000)&gt;0)*(DATOS!$K$2:$K$20000))/SUMPRODUCT((DATOS!$A$2:$A$20000=Y201)*(DATOS!$G$2:$G$20000=CONFIG_METADATA!$B$4)*(COUNTIF(CONFIG_ASIGNATURAS!$B$7:$B$27,DATOS!$I$2:$I$20000)&gt;0)*1),"")))</f>
        <v/>
      </c>
      <c r="AF201" t="str">
        <f>IF(AE201="","",IF(AE201="[FÓRMULA MANUAL]","",IFERROR(AVERAGEIFS(DATOS!$K$2:$K$20000,DATOS!$A$2:$A$20000,AE201,DATOS!$G$2:$G$20000,CONFIG_METADATA!$B$4,DATOS!$I$2:$I$20000,"Análisis"),"")))</f>
        <v/>
      </c>
      <c r="AG201" t="str">
        <f>IF(AE201="","",IF(AE201="[FÓRMULA MANUAL]","",IFERROR(AVERAGEIFS(DATOS!$K$2:$K$20000,DATOS!$A$2:$A$20000,AE201,DATOS!$G$2:$G$20000,CONFIG_METADATA!$B$4,DATOS!$I$2:$I$20000,"Orquesta/Banda/Conjunto"),"")))</f>
        <v/>
      </c>
      <c r="AH201" t="str">
        <f>IF(AE201="","",IF(AE201="[FÓRMULA MANUAL]","",IFERROR(AVERAGEIFS(DATOS!$K$2:$K$20000,DATOS!$A$2:$A$20000,AE201,DATOS!$G$2:$G$20000,CONFIG_METADATA!$B$4,DATOS!$I$2:$I$20000,"Música de Cámara"),"")))</f>
        <v/>
      </c>
      <c r="AI201" t="str">
        <f>IF(AE201="","",IF(AE201="[FÓRMULA MANUAL]","",IFERROR(SUMPRODUCT((DATOS!$A$2:$A$20000=AE201)*(DATOS!$G$2:$G$20000=CONFIG_METADATA!$B$4)*(COUNTIF(CONFIG_ASIGNATURAS!$B$7:$B$27,DATOS!$I$2:$I$20000)&gt;0)*(DATOS!$K$2:$K$20000))/SUMPRODUCT((DATOS!$A$2:$A$20000=AE201)*(DATOS!$G$2:$G$20000=CONFIG_METADATA!$B$4)*(COUNTIF(CONFIG_ASIGNATURAS!$B$7:$B$27,DATOS!$I$2:$I$20000)&gt;0)*1),"")))</f>
        <v/>
      </c>
    </row>
    <row r="202" spans="2:35" x14ac:dyDescent="0.2">
      <c r="B202" t="str">
        <f>IF(A202="","",IF(A202="[FÓRMULA MANUAL]","",IFERROR(AVERAGEIFS(DATOS!$K$2:$K$20000,DATOS!$A$2:$A$20000,A202,DATOS!$G$2:$G$20000,CONFIG_METADATA!$B$4,DATOS!$I$2:$I$20000,"Lenguaje Musical"),"")))</f>
        <v/>
      </c>
      <c r="C202" t="str">
        <f>IF(A202="","",IF(A202="[FÓRMULA MANUAL]","",IFERROR(AVERAGEIFS(DATOS!$K$2:$K$20000,DATOS!$A$2:$A$20000,A202,DATOS!$G$2:$G$20000,CONFIG_METADATA!$B$4,DATOS!$I$2:$I$20000,"Orquesta/Banda/Conjunto"),"")))</f>
        <v/>
      </c>
      <c r="D202" t="str">
        <f>IF(A202="","",IF(A202="[FÓRMULA MANUAL]","",IFERROR(AVERAGEIFS(DATOS!$K$2:$K$20000,DATOS!$A$2:$A$20000,A202,DATOS!$G$2:$G$20000,CONFIG_METADATA!$B$4,DATOS!$I$2:$I$20000,"Conjunto"),"")))</f>
        <v/>
      </c>
      <c r="E202" t="str">
        <f>IF(A202="","",IF(A202="[FÓRMULA MANUAL]","",IFERROR(SUMPRODUCT((DATOS!$A$2:$A$20000=A202)*(DATOS!$G$2:$G$20000=CONFIG_METADATA!$B$4)*(COUNTIF(CONFIG_ASIGNATURAS!$B$7:$B$27,DATOS!$I$2:$I$20000)&gt;0)*(DATOS!$K$2:$K$20000))/SUMPRODUCT((DATOS!$A$2:$A$20000=A202)*(DATOS!$G$2:$G$20000=CONFIG_METADATA!$B$4)*(COUNTIF(CONFIG_ASIGNATURAS!$B$7:$B$27,DATOS!$I$2:$I$20000)&gt;0)*1),"")))</f>
        <v/>
      </c>
      <c r="H202" t="str">
        <f>IF(G202="","",IF(G202="[FÓRMULA MANUAL]","",IFERROR(AVERAGEIFS(DATOS!$K$2:$K$20000,DATOS!$A$2:$A$20000,G202,DATOS!$G$2:$G$20000,CONFIG_METADATA!$B$4,DATOS!$I$2:$I$20000,"Lenguaje Musical"),"")))</f>
        <v/>
      </c>
      <c r="I202" t="str">
        <f>IF(G202="","",IF(G202="[FÓRMULA MANUAL]","",IFERROR(AVERAGEIFS(DATOS!$K$2:$K$20000,DATOS!$A$2:$A$20000,G202,DATOS!$G$2:$G$20000,CONFIG_METADATA!$B$4,DATOS!$I$2:$I$20000,"Orquesta/Banda/Conjunto"),"")))</f>
        <v/>
      </c>
      <c r="J202" t="str">
        <f>IF(G202="","",IF(G202="[FÓRMULA MANUAL]","",IFERROR(AVERAGEIFS(DATOS!$K$2:$K$20000,DATOS!$A$2:$A$20000,G202,DATOS!$G$2:$G$20000,CONFIG_METADATA!$B$4,DATOS!$I$2:$I$20000,"Conjunto"),"")))</f>
        <v/>
      </c>
      <c r="K202" t="str">
        <f>IF(G202="","",IF(G202="[FÓRMULA MANUAL]","",IFERROR(SUMPRODUCT((DATOS!$A$2:$A$20000=G202)*(DATOS!$G$2:$G$20000=CONFIG_METADATA!$B$4)*(COUNTIF(CONFIG_ASIGNATURAS!$B$7:$B$27,DATOS!$I$2:$I$20000)&gt;0)*(DATOS!$K$2:$K$20000))/SUMPRODUCT((DATOS!$A$2:$A$20000=G202)*(DATOS!$G$2:$G$20000=CONFIG_METADATA!$B$4)*(COUNTIF(CONFIG_ASIGNATURAS!$B$7:$B$27,DATOS!$I$2:$I$20000)&gt;0)*1),"")))</f>
        <v/>
      </c>
      <c r="N202" t="str">
        <f>IF(M202="","",IF(M202="[FÓRMULA MANUAL]","",IFERROR(AVERAGEIFS(DATOS!$K$2:$K$20000,DATOS!$A$2:$A$20000,M202,DATOS!$G$2:$G$20000,CONFIG_METADATA!$B$4,DATOS!$I$2:$I$20000,"Armonía"),"")))</f>
        <v/>
      </c>
      <c r="O202" t="str">
        <f>IF(M202="","",IF(M202="[FÓRMULA MANUAL]","",IFERROR(AVERAGEIFS(DATOS!$K$2:$K$20000,DATOS!$A$2:$A$20000,M202,DATOS!$G$2:$G$20000,CONFIG_METADATA!$B$4,DATOS!$I$2:$I$20000,"Orquesta/Banda/Conjunto"),"")))</f>
        <v/>
      </c>
      <c r="P202" t="str">
        <f>IF(M202="","",IF(M202="[FÓRMULA MANUAL]","",IFERROR(AVERAGEIFS(DATOS!$K$2:$K$20000,DATOS!$A$2:$A$20000,M202,DATOS!$G$2:$G$20000,CONFIG_METADATA!$B$4,DATOS!$I$2:$I$20000,"Música de Cámara"),"")))</f>
        <v/>
      </c>
      <c r="Q202" t="str">
        <f>IF(M202="","",IF(M202="[FÓRMULA MANUAL]","",IFERROR(SUMPRODUCT((DATOS!$A$2:$A$20000=M202)*(DATOS!$G$2:$G$20000=CONFIG_METADATA!$B$4)*(COUNTIF(CONFIG_ASIGNATURAS!$B$7:$B$27,DATOS!$I$2:$I$20000)&gt;0)*(DATOS!$K$2:$K$20000))/SUMPRODUCT((DATOS!$A$2:$A$20000=M202)*(DATOS!$G$2:$G$20000=CONFIG_METADATA!$B$4)*(COUNTIF(CONFIG_ASIGNATURAS!$B$7:$B$27,DATOS!$I$2:$I$20000)&gt;0)*1),"")))</f>
        <v/>
      </c>
      <c r="T202" t="str">
        <f>IF(S202="","",IF(S202="[FÓRMULA MANUAL]","",IFERROR(AVERAGEIFS(DATOS!$K$2:$K$20000,DATOS!$A$2:$A$20000,S202,DATOS!$G$2:$G$20000,CONFIG_METADATA!$B$4,DATOS!$I$2:$I$20000,"Armonía"),"")))</f>
        <v/>
      </c>
      <c r="U202" t="str">
        <f>IF(S202="","",IF(S202="[FÓRMULA MANUAL]","",IFERROR(AVERAGEIFS(DATOS!$K$2:$K$20000,DATOS!$A$2:$A$20000,S202,DATOS!$G$2:$G$20000,CONFIG_METADATA!$B$4,DATOS!$I$2:$I$20000,"Orquesta/Banda/Conjunto"),"")))</f>
        <v/>
      </c>
      <c r="V202" t="str">
        <f>IF(S202="","",IF(S202="[FÓRMULA MANUAL]","",IFERROR(AVERAGEIFS(DATOS!$K$2:$K$20000,DATOS!$A$2:$A$20000,S202,DATOS!$G$2:$G$20000,CONFIG_METADATA!$B$4,DATOS!$I$2:$I$20000,"Música de Cámara"),"")))</f>
        <v/>
      </c>
      <c r="W202" t="str">
        <f>IF(S202="","",IF(S202="[FÓRMULA MANUAL]","",IFERROR(SUMPRODUCT((DATOS!$A$2:$A$20000=S202)*(DATOS!$G$2:$G$20000=CONFIG_METADATA!$B$4)*(COUNTIF(CONFIG_ASIGNATURAS!$B$7:$B$27,DATOS!$I$2:$I$20000)&gt;0)*(DATOS!$K$2:$K$20000))/SUMPRODUCT((DATOS!$A$2:$A$20000=S202)*(DATOS!$G$2:$G$20000=CONFIG_METADATA!$B$4)*(COUNTIF(CONFIG_ASIGNATURAS!$B$7:$B$27,DATOS!$I$2:$I$20000)&gt;0)*1),"")))</f>
        <v/>
      </c>
      <c r="Z202" t="str">
        <f>IF(Y202="","",IF(Y202="[FÓRMULA MANUAL]","",IFERROR(AVERAGEIFS(DATOS!$K$2:$K$20000,DATOS!$A$2:$A$20000,Y202,DATOS!$G$2:$G$20000,CONFIG_METADATA!$B$4,DATOS!$I$2:$I$20000,"Análisis"),"")))</f>
        <v/>
      </c>
      <c r="AA202" t="str">
        <f>IF(Y202="","",IF(Y202="[FÓRMULA MANUAL]","",IFERROR(AVERAGEIFS(DATOS!$K$2:$K$20000,DATOS!$A$2:$A$20000,Y202,DATOS!$G$2:$G$20000,CONFIG_METADATA!$B$4,DATOS!$I$2:$I$20000,"Orquesta/Banda/Conjunto"),"")))</f>
        <v/>
      </c>
      <c r="AB202" t="str">
        <f>IF(Y202="","",IF(Y202="[FÓRMULA MANUAL]","",IFERROR(AVERAGEIFS(DATOS!$K$2:$K$20000,DATOS!$A$2:$A$20000,Y202,DATOS!$G$2:$G$20000,CONFIG_METADATA!$B$4,DATOS!$I$2:$I$20000,"Música de Cámara"),"")))</f>
        <v/>
      </c>
      <c r="AC202" t="str">
        <f>IF(Y202="","",IF(Y202="[FÓRMULA MANUAL]","",IFERROR(SUMPRODUCT((DATOS!$A$2:$A$20000=Y202)*(DATOS!$G$2:$G$20000=CONFIG_METADATA!$B$4)*(COUNTIF(CONFIG_ASIGNATURAS!$B$7:$B$27,DATOS!$I$2:$I$20000)&gt;0)*(DATOS!$K$2:$K$20000))/SUMPRODUCT((DATOS!$A$2:$A$20000=Y202)*(DATOS!$G$2:$G$20000=CONFIG_METADATA!$B$4)*(COUNTIF(CONFIG_ASIGNATURAS!$B$7:$B$27,DATOS!$I$2:$I$20000)&gt;0)*1),"")))</f>
        <v/>
      </c>
      <c r="AF202" t="str">
        <f>IF(AE202="","",IF(AE202="[FÓRMULA MANUAL]","",IFERROR(AVERAGEIFS(DATOS!$K$2:$K$20000,DATOS!$A$2:$A$20000,AE202,DATOS!$G$2:$G$20000,CONFIG_METADATA!$B$4,DATOS!$I$2:$I$20000,"Análisis"),"")))</f>
        <v/>
      </c>
      <c r="AG202" t="str">
        <f>IF(AE202="","",IF(AE202="[FÓRMULA MANUAL]","",IFERROR(AVERAGEIFS(DATOS!$K$2:$K$20000,DATOS!$A$2:$A$20000,AE202,DATOS!$G$2:$G$20000,CONFIG_METADATA!$B$4,DATOS!$I$2:$I$20000,"Orquesta/Banda/Conjunto"),"")))</f>
        <v/>
      </c>
      <c r="AH202" t="str">
        <f>IF(AE202="","",IF(AE202="[FÓRMULA MANUAL]","",IFERROR(AVERAGEIFS(DATOS!$K$2:$K$20000,DATOS!$A$2:$A$20000,AE202,DATOS!$G$2:$G$20000,CONFIG_METADATA!$B$4,DATOS!$I$2:$I$20000,"Música de Cámara"),"")))</f>
        <v/>
      </c>
      <c r="AI202" t="str">
        <f>IF(AE202="","",IF(AE202="[FÓRMULA MANUAL]","",IFERROR(SUMPRODUCT((DATOS!$A$2:$A$20000=AE202)*(DATOS!$G$2:$G$20000=CONFIG_METADATA!$B$4)*(COUNTIF(CONFIG_ASIGNATURAS!$B$7:$B$27,DATOS!$I$2:$I$20000)&gt;0)*(DATOS!$K$2:$K$20000))/SUMPRODUCT((DATOS!$A$2:$A$20000=AE202)*(DATOS!$G$2:$G$20000=CONFIG_METADATA!$B$4)*(COUNTIF(CONFIG_ASIGNATURAS!$B$7:$B$27,DATOS!$I$2:$I$20000)&gt;0)*1),"")))</f>
        <v/>
      </c>
    </row>
    <row r="203" spans="2:35" x14ac:dyDescent="0.2">
      <c r="B203" t="str">
        <f>IF(A203="","",IF(A203="[FÓRMULA MANUAL]","",IFERROR(AVERAGEIFS(DATOS!$K$2:$K$20000,DATOS!$A$2:$A$20000,A203,DATOS!$G$2:$G$20000,CONFIG_METADATA!$B$4,DATOS!$I$2:$I$20000,"Lenguaje Musical"),"")))</f>
        <v/>
      </c>
      <c r="C203" t="str">
        <f>IF(A203="","",IF(A203="[FÓRMULA MANUAL]","",IFERROR(AVERAGEIFS(DATOS!$K$2:$K$20000,DATOS!$A$2:$A$20000,A203,DATOS!$G$2:$G$20000,CONFIG_METADATA!$B$4,DATOS!$I$2:$I$20000,"Orquesta/Banda/Conjunto"),"")))</f>
        <v/>
      </c>
      <c r="D203" t="str">
        <f>IF(A203="","",IF(A203="[FÓRMULA MANUAL]","",IFERROR(AVERAGEIFS(DATOS!$K$2:$K$20000,DATOS!$A$2:$A$20000,A203,DATOS!$G$2:$G$20000,CONFIG_METADATA!$B$4,DATOS!$I$2:$I$20000,"Conjunto"),"")))</f>
        <v/>
      </c>
      <c r="E203" t="str">
        <f>IF(A203="","",IF(A203="[FÓRMULA MANUAL]","",IFERROR(SUMPRODUCT((DATOS!$A$2:$A$20000=A203)*(DATOS!$G$2:$G$20000=CONFIG_METADATA!$B$4)*(COUNTIF(CONFIG_ASIGNATURAS!$B$7:$B$27,DATOS!$I$2:$I$20000)&gt;0)*(DATOS!$K$2:$K$20000))/SUMPRODUCT((DATOS!$A$2:$A$20000=A203)*(DATOS!$G$2:$G$20000=CONFIG_METADATA!$B$4)*(COUNTIF(CONFIG_ASIGNATURAS!$B$7:$B$27,DATOS!$I$2:$I$20000)&gt;0)*1),"")))</f>
        <v/>
      </c>
      <c r="H203" t="str">
        <f>IF(G203="","",IF(G203="[FÓRMULA MANUAL]","",IFERROR(AVERAGEIFS(DATOS!$K$2:$K$20000,DATOS!$A$2:$A$20000,G203,DATOS!$G$2:$G$20000,CONFIG_METADATA!$B$4,DATOS!$I$2:$I$20000,"Lenguaje Musical"),"")))</f>
        <v/>
      </c>
      <c r="I203" t="str">
        <f>IF(G203="","",IF(G203="[FÓRMULA MANUAL]","",IFERROR(AVERAGEIFS(DATOS!$K$2:$K$20000,DATOS!$A$2:$A$20000,G203,DATOS!$G$2:$G$20000,CONFIG_METADATA!$B$4,DATOS!$I$2:$I$20000,"Orquesta/Banda/Conjunto"),"")))</f>
        <v/>
      </c>
      <c r="J203" t="str">
        <f>IF(G203="","",IF(G203="[FÓRMULA MANUAL]","",IFERROR(AVERAGEIFS(DATOS!$K$2:$K$20000,DATOS!$A$2:$A$20000,G203,DATOS!$G$2:$G$20000,CONFIG_METADATA!$B$4,DATOS!$I$2:$I$20000,"Conjunto"),"")))</f>
        <v/>
      </c>
      <c r="K203" t="str">
        <f>IF(G203="","",IF(G203="[FÓRMULA MANUAL]","",IFERROR(SUMPRODUCT((DATOS!$A$2:$A$20000=G203)*(DATOS!$G$2:$G$20000=CONFIG_METADATA!$B$4)*(COUNTIF(CONFIG_ASIGNATURAS!$B$7:$B$27,DATOS!$I$2:$I$20000)&gt;0)*(DATOS!$K$2:$K$20000))/SUMPRODUCT((DATOS!$A$2:$A$20000=G203)*(DATOS!$G$2:$G$20000=CONFIG_METADATA!$B$4)*(COUNTIF(CONFIG_ASIGNATURAS!$B$7:$B$27,DATOS!$I$2:$I$20000)&gt;0)*1),"")))</f>
        <v/>
      </c>
      <c r="N203" t="str">
        <f>IF(M203="","",IF(M203="[FÓRMULA MANUAL]","",IFERROR(AVERAGEIFS(DATOS!$K$2:$K$20000,DATOS!$A$2:$A$20000,M203,DATOS!$G$2:$G$20000,CONFIG_METADATA!$B$4,DATOS!$I$2:$I$20000,"Armonía"),"")))</f>
        <v/>
      </c>
      <c r="O203" t="str">
        <f>IF(M203="","",IF(M203="[FÓRMULA MANUAL]","",IFERROR(AVERAGEIFS(DATOS!$K$2:$K$20000,DATOS!$A$2:$A$20000,M203,DATOS!$G$2:$G$20000,CONFIG_METADATA!$B$4,DATOS!$I$2:$I$20000,"Orquesta/Banda/Conjunto"),"")))</f>
        <v/>
      </c>
      <c r="P203" t="str">
        <f>IF(M203="","",IF(M203="[FÓRMULA MANUAL]","",IFERROR(AVERAGEIFS(DATOS!$K$2:$K$20000,DATOS!$A$2:$A$20000,M203,DATOS!$G$2:$G$20000,CONFIG_METADATA!$B$4,DATOS!$I$2:$I$20000,"Música de Cámara"),"")))</f>
        <v/>
      </c>
      <c r="Q203" t="str">
        <f>IF(M203="","",IF(M203="[FÓRMULA MANUAL]","",IFERROR(SUMPRODUCT((DATOS!$A$2:$A$20000=M203)*(DATOS!$G$2:$G$20000=CONFIG_METADATA!$B$4)*(COUNTIF(CONFIG_ASIGNATURAS!$B$7:$B$27,DATOS!$I$2:$I$20000)&gt;0)*(DATOS!$K$2:$K$20000))/SUMPRODUCT((DATOS!$A$2:$A$20000=M203)*(DATOS!$G$2:$G$20000=CONFIG_METADATA!$B$4)*(COUNTIF(CONFIG_ASIGNATURAS!$B$7:$B$27,DATOS!$I$2:$I$20000)&gt;0)*1),"")))</f>
        <v/>
      </c>
      <c r="T203" t="str">
        <f>IF(S203="","",IF(S203="[FÓRMULA MANUAL]","",IFERROR(AVERAGEIFS(DATOS!$K$2:$K$20000,DATOS!$A$2:$A$20000,S203,DATOS!$G$2:$G$20000,CONFIG_METADATA!$B$4,DATOS!$I$2:$I$20000,"Armonía"),"")))</f>
        <v/>
      </c>
      <c r="U203" t="str">
        <f>IF(S203="","",IF(S203="[FÓRMULA MANUAL]","",IFERROR(AVERAGEIFS(DATOS!$K$2:$K$20000,DATOS!$A$2:$A$20000,S203,DATOS!$G$2:$G$20000,CONFIG_METADATA!$B$4,DATOS!$I$2:$I$20000,"Orquesta/Banda/Conjunto"),"")))</f>
        <v/>
      </c>
      <c r="V203" t="str">
        <f>IF(S203="","",IF(S203="[FÓRMULA MANUAL]","",IFERROR(AVERAGEIFS(DATOS!$K$2:$K$20000,DATOS!$A$2:$A$20000,S203,DATOS!$G$2:$G$20000,CONFIG_METADATA!$B$4,DATOS!$I$2:$I$20000,"Música de Cámara"),"")))</f>
        <v/>
      </c>
      <c r="W203" t="str">
        <f>IF(S203="","",IF(S203="[FÓRMULA MANUAL]","",IFERROR(SUMPRODUCT((DATOS!$A$2:$A$20000=S203)*(DATOS!$G$2:$G$20000=CONFIG_METADATA!$B$4)*(COUNTIF(CONFIG_ASIGNATURAS!$B$7:$B$27,DATOS!$I$2:$I$20000)&gt;0)*(DATOS!$K$2:$K$20000))/SUMPRODUCT((DATOS!$A$2:$A$20000=S203)*(DATOS!$G$2:$G$20000=CONFIG_METADATA!$B$4)*(COUNTIF(CONFIG_ASIGNATURAS!$B$7:$B$27,DATOS!$I$2:$I$20000)&gt;0)*1),"")))</f>
        <v/>
      </c>
      <c r="Z203" t="str">
        <f>IF(Y203="","",IF(Y203="[FÓRMULA MANUAL]","",IFERROR(AVERAGEIFS(DATOS!$K$2:$K$20000,DATOS!$A$2:$A$20000,Y203,DATOS!$G$2:$G$20000,CONFIG_METADATA!$B$4,DATOS!$I$2:$I$20000,"Análisis"),"")))</f>
        <v/>
      </c>
      <c r="AA203" t="str">
        <f>IF(Y203="","",IF(Y203="[FÓRMULA MANUAL]","",IFERROR(AVERAGEIFS(DATOS!$K$2:$K$20000,DATOS!$A$2:$A$20000,Y203,DATOS!$G$2:$G$20000,CONFIG_METADATA!$B$4,DATOS!$I$2:$I$20000,"Orquesta/Banda/Conjunto"),"")))</f>
        <v/>
      </c>
      <c r="AB203" t="str">
        <f>IF(Y203="","",IF(Y203="[FÓRMULA MANUAL]","",IFERROR(AVERAGEIFS(DATOS!$K$2:$K$20000,DATOS!$A$2:$A$20000,Y203,DATOS!$G$2:$G$20000,CONFIG_METADATA!$B$4,DATOS!$I$2:$I$20000,"Música de Cámara"),"")))</f>
        <v/>
      </c>
      <c r="AC203" t="str">
        <f>IF(Y203="","",IF(Y203="[FÓRMULA MANUAL]","",IFERROR(SUMPRODUCT((DATOS!$A$2:$A$20000=Y203)*(DATOS!$G$2:$G$20000=CONFIG_METADATA!$B$4)*(COUNTIF(CONFIG_ASIGNATURAS!$B$7:$B$27,DATOS!$I$2:$I$20000)&gt;0)*(DATOS!$K$2:$K$20000))/SUMPRODUCT((DATOS!$A$2:$A$20000=Y203)*(DATOS!$G$2:$G$20000=CONFIG_METADATA!$B$4)*(COUNTIF(CONFIG_ASIGNATURAS!$B$7:$B$27,DATOS!$I$2:$I$20000)&gt;0)*1),"")))</f>
        <v/>
      </c>
      <c r="AF203" t="str">
        <f>IF(AE203="","",IF(AE203="[FÓRMULA MANUAL]","",IFERROR(AVERAGEIFS(DATOS!$K$2:$K$20000,DATOS!$A$2:$A$20000,AE203,DATOS!$G$2:$G$20000,CONFIG_METADATA!$B$4,DATOS!$I$2:$I$20000,"Análisis"),"")))</f>
        <v/>
      </c>
      <c r="AG203" t="str">
        <f>IF(AE203="","",IF(AE203="[FÓRMULA MANUAL]","",IFERROR(AVERAGEIFS(DATOS!$K$2:$K$20000,DATOS!$A$2:$A$20000,AE203,DATOS!$G$2:$G$20000,CONFIG_METADATA!$B$4,DATOS!$I$2:$I$20000,"Orquesta/Banda/Conjunto"),"")))</f>
        <v/>
      </c>
      <c r="AH203" t="str">
        <f>IF(AE203="","",IF(AE203="[FÓRMULA MANUAL]","",IFERROR(AVERAGEIFS(DATOS!$K$2:$K$20000,DATOS!$A$2:$A$20000,AE203,DATOS!$G$2:$G$20000,CONFIG_METADATA!$B$4,DATOS!$I$2:$I$20000,"Música de Cámara"),"")))</f>
        <v/>
      </c>
      <c r="AI203" t="str">
        <f>IF(AE203="","",IF(AE203="[FÓRMULA MANUAL]","",IFERROR(SUMPRODUCT((DATOS!$A$2:$A$20000=AE203)*(DATOS!$G$2:$G$20000=CONFIG_METADATA!$B$4)*(COUNTIF(CONFIG_ASIGNATURAS!$B$7:$B$27,DATOS!$I$2:$I$20000)&gt;0)*(DATOS!$K$2:$K$20000))/SUMPRODUCT((DATOS!$A$2:$A$20000=AE203)*(DATOS!$G$2:$G$20000=CONFIG_METADATA!$B$4)*(COUNTIF(CONFIG_ASIGNATURAS!$B$7:$B$27,DATOS!$I$2:$I$20000)&gt;0)*1),"")))</f>
        <v/>
      </c>
    </row>
    <row r="204" spans="2:35" x14ac:dyDescent="0.2">
      <c r="B204" t="str">
        <f>IF(A204="","",IF(A204="[FÓRMULA MANUAL]","",IFERROR(AVERAGEIFS(DATOS!$K$2:$K$20000,DATOS!$A$2:$A$20000,A204,DATOS!$G$2:$G$20000,CONFIG_METADATA!$B$4,DATOS!$I$2:$I$20000,"Lenguaje Musical"),"")))</f>
        <v/>
      </c>
      <c r="C204" t="str">
        <f>IF(A204="","",IF(A204="[FÓRMULA MANUAL]","",IFERROR(AVERAGEIFS(DATOS!$K$2:$K$20000,DATOS!$A$2:$A$20000,A204,DATOS!$G$2:$G$20000,CONFIG_METADATA!$B$4,DATOS!$I$2:$I$20000,"Orquesta/Banda/Conjunto"),"")))</f>
        <v/>
      </c>
      <c r="D204" t="str">
        <f>IF(A204="","",IF(A204="[FÓRMULA MANUAL]","",IFERROR(AVERAGEIFS(DATOS!$K$2:$K$20000,DATOS!$A$2:$A$20000,A204,DATOS!$G$2:$G$20000,CONFIG_METADATA!$B$4,DATOS!$I$2:$I$20000,"Conjunto"),"")))</f>
        <v/>
      </c>
      <c r="E204" t="str">
        <f>IF(A204="","",IF(A204="[FÓRMULA MANUAL]","",IFERROR(SUMPRODUCT((DATOS!$A$2:$A$20000=A204)*(DATOS!$G$2:$G$20000=CONFIG_METADATA!$B$4)*(COUNTIF(CONFIG_ASIGNATURAS!$B$7:$B$27,DATOS!$I$2:$I$20000)&gt;0)*(DATOS!$K$2:$K$20000))/SUMPRODUCT((DATOS!$A$2:$A$20000=A204)*(DATOS!$G$2:$G$20000=CONFIG_METADATA!$B$4)*(COUNTIF(CONFIG_ASIGNATURAS!$B$7:$B$27,DATOS!$I$2:$I$20000)&gt;0)*1),"")))</f>
        <v/>
      </c>
      <c r="H204" t="str">
        <f>IF(G204="","",IF(G204="[FÓRMULA MANUAL]","",IFERROR(AVERAGEIFS(DATOS!$K$2:$K$20000,DATOS!$A$2:$A$20000,G204,DATOS!$G$2:$G$20000,CONFIG_METADATA!$B$4,DATOS!$I$2:$I$20000,"Lenguaje Musical"),"")))</f>
        <v/>
      </c>
      <c r="I204" t="str">
        <f>IF(G204="","",IF(G204="[FÓRMULA MANUAL]","",IFERROR(AVERAGEIFS(DATOS!$K$2:$K$20000,DATOS!$A$2:$A$20000,G204,DATOS!$G$2:$G$20000,CONFIG_METADATA!$B$4,DATOS!$I$2:$I$20000,"Orquesta/Banda/Conjunto"),"")))</f>
        <v/>
      </c>
      <c r="J204" t="str">
        <f>IF(G204="","",IF(G204="[FÓRMULA MANUAL]","",IFERROR(AVERAGEIFS(DATOS!$K$2:$K$20000,DATOS!$A$2:$A$20000,G204,DATOS!$G$2:$G$20000,CONFIG_METADATA!$B$4,DATOS!$I$2:$I$20000,"Conjunto"),"")))</f>
        <v/>
      </c>
      <c r="K204" t="str">
        <f>IF(G204="","",IF(G204="[FÓRMULA MANUAL]","",IFERROR(SUMPRODUCT((DATOS!$A$2:$A$20000=G204)*(DATOS!$G$2:$G$20000=CONFIG_METADATA!$B$4)*(COUNTIF(CONFIG_ASIGNATURAS!$B$7:$B$27,DATOS!$I$2:$I$20000)&gt;0)*(DATOS!$K$2:$K$20000))/SUMPRODUCT((DATOS!$A$2:$A$20000=G204)*(DATOS!$G$2:$G$20000=CONFIG_METADATA!$B$4)*(COUNTIF(CONFIG_ASIGNATURAS!$B$7:$B$27,DATOS!$I$2:$I$20000)&gt;0)*1),"")))</f>
        <v/>
      </c>
      <c r="N204" t="str">
        <f>IF(M204="","",IF(M204="[FÓRMULA MANUAL]","",IFERROR(AVERAGEIFS(DATOS!$K$2:$K$20000,DATOS!$A$2:$A$20000,M204,DATOS!$G$2:$G$20000,CONFIG_METADATA!$B$4,DATOS!$I$2:$I$20000,"Armonía"),"")))</f>
        <v/>
      </c>
      <c r="O204" t="str">
        <f>IF(M204="","",IF(M204="[FÓRMULA MANUAL]","",IFERROR(AVERAGEIFS(DATOS!$K$2:$K$20000,DATOS!$A$2:$A$20000,M204,DATOS!$G$2:$G$20000,CONFIG_METADATA!$B$4,DATOS!$I$2:$I$20000,"Orquesta/Banda/Conjunto"),"")))</f>
        <v/>
      </c>
      <c r="P204" t="str">
        <f>IF(M204="","",IF(M204="[FÓRMULA MANUAL]","",IFERROR(AVERAGEIFS(DATOS!$K$2:$K$20000,DATOS!$A$2:$A$20000,M204,DATOS!$G$2:$G$20000,CONFIG_METADATA!$B$4,DATOS!$I$2:$I$20000,"Música de Cámara"),"")))</f>
        <v/>
      </c>
      <c r="Q204" t="str">
        <f>IF(M204="","",IF(M204="[FÓRMULA MANUAL]","",IFERROR(SUMPRODUCT((DATOS!$A$2:$A$20000=M204)*(DATOS!$G$2:$G$20000=CONFIG_METADATA!$B$4)*(COUNTIF(CONFIG_ASIGNATURAS!$B$7:$B$27,DATOS!$I$2:$I$20000)&gt;0)*(DATOS!$K$2:$K$20000))/SUMPRODUCT((DATOS!$A$2:$A$20000=M204)*(DATOS!$G$2:$G$20000=CONFIG_METADATA!$B$4)*(COUNTIF(CONFIG_ASIGNATURAS!$B$7:$B$27,DATOS!$I$2:$I$20000)&gt;0)*1),"")))</f>
        <v/>
      </c>
      <c r="T204" t="str">
        <f>IF(S204="","",IF(S204="[FÓRMULA MANUAL]","",IFERROR(AVERAGEIFS(DATOS!$K$2:$K$20000,DATOS!$A$2:$A$20000,S204,DATOS!$G$2:$G$20000,CONFIG_METADATA!$B$4,DATOS!$I$2:$I$20000,"Armonía"),"")))</f>
        <v/>
      </c>
      <c r="U204" t="str">
        <f>IF(S204="","",IF(S204="[FÓRMULA MANUAL]","",IFERROR(AVERAGEIFS(DATOS!$K$2:$K$20000,DATOS!$A$2:$A$20000,S204,DATOS!$G$2:$G$20000,CONFIG_METADATA!$B$4,DATOS!$I$2:$I$20000,"Orquesta/Banda/Conjunto"),"")))</f>
        <v/>
      </c>
      <c r="V204" t="str">
        <f>IF(S204="","",IF(S204="[FÓRMULA MANUAL]","",IFERROR(AVERAGEIFS(DATOS!$K$2:$K$20000,DATOS!$A$2:$A$20000,S204,DATOS!$G$2:$G$20000,CONFIG_METADATA!$B$4,DATOS!$I$2:$I$20000,"Música de Cámara"),"")))</f>
        <v/>
      </c>
      <c r="W204" t="str">
        <f>IF(S204="","",IF(S204="[FÓRMULA MANUAL]","",IFERROR(SUMPRODUCT((DATOS!$A$2:$A$20000=S204)*(DATOS!$G$2:$G$20000=CONFIG_METADATA!$B$4)*(COUNTIF(CONFIG_ASIGNATURAS!$B$7:$B$27,DATOS!$I$2:$I$20000)&gt;0)*(DATOS!$K$2:$K$20000))/SUMPRODUCT((DATOS!$A$2:$A$20000=S204)*(DATOS!$G$2:$G$20000=CONFIG_METADATA!$B$4)*(COUNTIF(CONFIG_ASIGNATURAS!$B$7:$B$27,DATOS!$I$2:$I$20000)&gt;0)*1),"")))</f>
        <v/>
      </c>
      <c r="Z204" t="str">
        <f>IF(Y204="","",IF(Y204="[FÓRMULA MANUAL]","",IFERROR(AVERAGEIFS(DATOS!$K$2:$K$20000,DATOS!$A$2:$A$20000,Y204,DATOS!$G$2:$G$20000,CONFIG_METADATA!$B$4,DATOS!$I$2:$I$20000,"Análisis"),"")))</f>
        <v/>
      </c>
      <c r="AA204" t="str">
        <f>IF(Y204="","",IF(Y204="[FÓRMULA MANUAL]","",IFERROR(AVERAGEIFS(DATOS!$K$2:$K$20000,DATOS!$A$2:$A$20000,Y204,DATOS!$G$2:$G$20000,CONFIG_METADATA!$B$4,DATOS!$I$2:$I$20000,"Orquesta/Banda/Conjunto"),"")))</f>
        <v/>
      </c>
      <c r="AB204" t="str">
        <f>IF(Y204="","",IF(Y204="[FÓRMULA MANUAL]","",IFERROR(AVERAGEIFS(DATOS!$K$2:$K$20000,DATOS!$A$2:$A$20000,Y204,DATOS!$G$2:$G$20000,CONFIG_METADATA!$B$4,DATOS!$I$2:$I$20000,"Música de Cámara"),"")))</f>
        <v/>
      </c>
      <c r="AC204" t="str">
        <f>IF(Y204="","",IF(Y204="[FÓRMULA MANUAL]","",IFERROR(SUMPRODUCT((DATOS!$A$2:$A$20000=Y204)*(DATOS!$G$2:$G$20000=CONFIG_METADATA!$B$4)*(COUNTIF(CONFIG_ASIGNATURAS!$B$7:$B$27,DATOS!$I$2:$I$20000)&gt;0)*(DATOS!$K$2:$K$20000))/SUMPRODUCT((DATOS!$A$2:$A$20000=Y204)*(DATOS!$G$2:$G$20000=CONFIG_METADATA!$B$4)*(COUNTIF(CONFIG_ASIGNATURAS!$B$7:$B$27,DATOS!$I$2:$I$20000)&gt;0)*1),"")))</f>
        <v/>
      </c>
      <c r="AF204" t="str">
        <f>IF(AE204="","",IF(AE204="[FÓRMULA MANUAL]","",IFERROR(AVERAGEIFS(DATOS!$K$2:$K$20000,DATOS!$A$2:$A$20000,AE204,DATOS!$G$2:$G$20000,CONFIG_METADATA!$B$4,DATOS!$I$2:$I$20000,"Análisis"),"")))</f>
        <v/>
      </c>
      <c r="AG204" t="str">
        <f>IF(AE204="","",IF(AE204="[FÓRMULA MANUAL]","",IFERROR(AVERAGEIFS(DATOS!$K$2:$K$20000,DATOS!$A$2:$A$20000,AE204,DATOS!$G$2:$G$20000,CONFIG_METADATA!$B$4,DATOS!$I$2:$I$20000,"Orquesta/Banda/Conjunto"),"")))</f>
        <v/>
      </c>
      <c r="AH204" t="str">
        <f>IF(AE204="","",IF(AE204="[FÓRMULA MANUAL]","",IFERROR(AVERAGEIFS(DATOS!$K$2:$K$20000,DATOS!$A$2:$A$20000,AE204,DATOS!$G$2:$G$20000,CONFIG_METADATA!$B$4,DATOS!$I$2:$I$20000,"Música de Cámara"),"")))</f>
        <v/>
      </c>
      <c r="AI204" t="str">
        <f>IF(AE204="","",IF(AE204="[FÓRMULA MANUAL]","",IFERROR(SUMPRODUCT((DATOS!$A$2:$A$20000=AE204)*(DATOS!$G$2:$G$20000=CONFIG_METADATA!$B$4)*(COUNTIF(CONFIG_ASIGNATURAS!$B$7:$B$27,DATOS!$I$2:$I$20000)&gt;0)*(DATOS!$K$2:$K$20000))/SUMPRODUCT((DATOS!$A$2:$A$20000=AE204)*(DATOS!$G$2:$G$20000=CONFIG_METADATA!$B$4)*(COUNTIF(CONFIG_ASIGNATURAS!$B$7:$B$27,DATOS!$I$2:$I$20000)&gt;0)*1),"")))</f>
        <v/>
      </c>
    </row>
    <row r="205" spans="2:35" x14ac:dyDescent="0.2">
      <c r="B205" t="str">
        <f>IF(A205="","",IF(A205="[FÓRMULA MANUAL]","",IFERROR(AVERAGEIFS(DATOS!$K$2:$K$20000,DATOS!$A$2:$A$20000,A205,DATOS!$G$2:$G$20000,CONFIG_METADATA!$B$4,DATOS!$I$2:$I$20000,"Lenguaje Musical"),"")))</f>
        <v/>
      </c>
      <c r="C205" t="str">
        <f>IF(A205="","",IF(A205="[FÓRMULA MANUAL]","",IFERROR(AVERAGEIFS(DATOS!$K$2:$K$20000,DATOS!$A$2:$A$20000,A205,DATOS!$G$2:$G$20000,CONFIG_METADATA!$B$4,DATOS!$I$2:$I$20000,"Orquesta/Banda/Conjunto"),"")))</f>
        <v/>
      </c>
      <c r="D205" t="str">
        <f>IF(A205="","",IF(A205="[FÓRMULA MANUAL]","",IFERROR(AVERAGEIFS(DATOS!$K$2:$K$20000,DATOS!$A$2:$A$20000,A205,DATOS!$G$2:$G$20000,CONFIG_METADATA!$B$4,DATOS!$I$2:$I$20000,"Conjunto"),"")))</f>
        <v/>
      </c>
      <c r="E205" t="str">
        <f>IF(A205="","",IF(A205="[FÓRMULA MANUAL]","",IFERROR(SUMPRODUCT((DATOS!$A$2:$A$20000=A205)*(DATOS!$G$2:$G$20000=CONFIG_METADATA!$B$4)*(COUNTIF(CONFIG_ASIGNATURAS!$B$7:$B$27,DATOS!$I$2:$I$20000)&gt;0)*(DATOS!$K$2:$K$20000))/SUMPRODUCT((DATOS!$A$2:$A$20000=A205)*(DATOS!$G$2:$G$20000=CONFIG_METADATA!$B$4)*(COUNTIF(CONFIG_ASIGNATURAS!$B$7:$B$27,DATOS!$I$2:$I$20000)&gt;0)*1),"")))</f>
        <v/>
      </c>
      <c r="H205" t="str">
        <f>IF(G205="","",IF(G205="[FÓRMULA MANUAL]","",IFERROR(AVERAGEIFS(DATOS!$K$2:$K$20000,DATOS!$A$2:$A$20000,G205,DATOS!$G$2:$G$20000,CONFIG_METADATA!$B$4,DATOS!$I$2:$I$20000,"Lenguaje Musical"),"")))</f>
        <v/>
      </c>
      <c r="I205" t="str">
        <f>IF(G205="","",IF(G205="[FÓRMULA MANUAL]","",IFERROR(AVERAGEIFS(DATOS!$K$2:$K$20000,DATOS!$A$2:$A$20000,G205,DATOS!$G$2:$G$20000,CONFIG_METADATA!$B$4,DATOS!$I$2:$I$20000,"Orquesta/Banda/Conjunto"),"")))</f>
        <v/>
      </c>
      <c r="J205" t="str">
        <f>IF(G205="","",IF(G205="[FÓRMULA MANUAL]","",IFERROR(AVERAGEIFS(DATOS!$K$2:$K$20000,DATOS!$A$2:$A$20000,G205,DATOS!$G$2:$G$20000,CONFIG_METADATA!$B$4,DATOS!$I$2:$I$20000,"Conjunto"),"")))</f>
        <v/>
      </c>
      <c r="K205" t="str">
        <f>IF(G205="","",IF(G205="[FÓRMULA MANUAL]","",IFERROR(SUMPRODUCT((DATOS!$A$2:$A$20000=G205)*(DATOS!$G$2:$G$20000=CONFIG_METADATA!$B$4)*(COUNTIF(CONFIG_ASIGNATURAS!$B$7:$B$27,DATOS!$I$2:$I$20000)&gt;0)*(DATOS!$K$2:$K$20000))/SUMPRODUCT((DATOS!$A$2:$A$20000=G205)*(DATOS!$G$2:$G$20000=CONFIG_METADATA!$B$4)*(COUNTIF(CONFIG_ASIGNATURAS!$B$7:$B$27,DATOS!$I$2:$I$20000)&gt;0)*1),"")))</f>
        <v/>
      </c>
      <c r="N205" t="str">
        <f>IF(M205="","",IF(M205="[FÓRMULA MANUAL]","",IFERROR(AVERAGEIFS(DATOS!$K$2:$K$20000,DATOS!$A$2:$A$20000,M205,DATOS!$G$2:$G$20000,CONFIG_METADATA!$B$4,DATOS!$I$2:$I$20000,"Armonía"),"")))</f>
        <v/>
      </c>
      <c r="O205" t="str">
        <f>IF(M205="","",IF(M205="[FÓRMULA MANUAL]","",IFERROR(AVERAGEIFS(DATOS!$K$2:$K$20000,DATOS!$A$2:$A$20000,M205,DATOS!$G$2:$G$20000,CONFIG_METADATA!$B$4,DATOS!$I$2:$I$20000,"Orquesta/Banda/Conjunto"),"")))</f>
        <v/>
      </c>
      <c r="P205" t="str">
        <f>IF(M205="","",IF(M205="[FÓRMULA MANUAL]","",IFERROR(AVERAGEIFS(DATOS!$K$2:$K$20000,DATOS!$A$2:$A$20000,M205,DATOS!$G$2:$G$20000,CONFIG_METADATA!$B$4,DATOS!$I$2:$I$20000,"Música de Cámara"),"")))</f>
        <v/>
      </c>
      <c r="Q205" t="str">
        <f>IF(M205="","",IF(M205="[FÓRMULA MANUAL]","",IFERROR(SUMPRODUCT((DATOS!$A$2:$A$20000=M205)*(DATOS!$G$2:$G$20000=CONFIG_METADATA!$B$4)*(COUNTIF(CONFIG_ASIGNATURAS!$B$7:$B$27,DATOS!$I$2:$I$20000)&gt;0)*(DATOS!$K$2:$K$20000))/SUMPRODUCT((DATOS!$A$2:$A$20000=M205)*(DATOS!$G$2:$G$20000=CONFIG_METADATA!$B$4)*(COUNTIF(CONFIG_ASIGNATURAS!$B$7:$B$27,DATOS!$I$2:$I$20000)&gt;0)*1),"")))</f>
        <v/>
      </c>
      <c r="T205" t="str">
        <f>IF(S205="","",IF(S205="[FÓRMULA MANUAL]","",IFERROR(AVERAGEIFS(DATOS!$K$2:$K$20000,DATOS!$A$2:$A$20000,S205,DATOS!$G$2:$G$20000,CONFIG_METADATA!$B$4,DATOS!$I$2:$I$20000,"Armonía"),"")))</f>
        <v/>
      </c>
      <c r="U205" t="str">
        <f>IF(S205="","",IF(S205="[FÓRMULA MANUAL]","",IFERROR(AVERAGEIFS(DATOS!$K$2:$K$20000,DATOS!$A$2:$A$20000,S205,DATOS!$G$2:$G$20000,CONFIG_METADATA!$B$4,DATOS!$I$2:$I$20000,"Orquesta/Banda/Conjunto"),"")))</f>
        <v/>
      </c>
      <c r="V205" t="str">
        <f>IF(S205="","",IF(S205="[FÓRMULA MANUAL]","",IFERROR(AVERAGEIFS(DATOS!$K$2:$K$20000,DATOS!$A$2:$A$20000,S205,DATOS!$G$2:$G$20000,CONFIG_METADATA!$B$4,DATOS!$I$2:$I$20000,"Música de Cámara"),"")))</f>
        <v/>
      </c>
      <c r="W205" t="str">
        <f>IF(S205="","",IF(S205="[FÓRMULA MANUAL]","",IFERROR(SUMPRODUCT((DATOS!$A$2:$A$20000=S205)*(DATOS!$G$2:$G$20000=CONFIG_METADATA!$B$4)*(COUNTIF(CONFIG_ASIGNATURAS!$B$7:$B$27,DATOS!$I$2:$I$20000)&gt;0)*(DATOS!$K$2:$K$20000))/SUMPRODUCT((DATOS!$A$2:$A$20000=S205)*(DATOS!$G$2:$G$20000=CONFIG_METADATA!$B$4)*(COUNTIF(CONFIG_ASIGNATURAS!$B$7:$B$27,DATOS!$I$2:$I$20000)&gt;0)*1),"")))</f>
        <v/>
      </c>
      <c r="Z205" t="str">
        <f>IF(Y205="","",IF(Y205="[FÓRMULA MANUAL]","",IFERROR(AVERAGEIFS(DATOS!$K$2:$K$20000,DATOS!$A$2:$A$20000,Y205,DATOS!$G$2:$G$20000,CONFIG_METADATA!$B$4,DATOS!$I$2:$I$20000,"Análisis"),"")))</f>
        <v/>
      </c>
      <c r="AA205" t="str">
        <f>IF(Y205="","",IF(Y205="[FÓRMULA MANUAL]","",IFERROR(AVERAGEIFS(DATOS!$K$2:$K$20000,DATOS!$A$2:$A$20000,Y205,DATOS!$G$2:$G$20000,CONFIG_METADATA!$B$4,DATOS!$I$2:$I$20000,"Orquesta/Banda/Conjunto"),"")))</f>
        <v/>
      </c>
      <c r="AB205" t="str">
        <f>IF(Y205="","",IF(Y205="[FÓRMULA MANUAL]","",IFERROR(AVERAGEIFS(DATOS!$K$2:$K$20000,DATOS!$A$2:$A$20000,Y205,DATOS!$G$2:$G$20000,CONFIG_METADATA!$B$4,DATOS!$I$2:$I$20000,"Música de Cámara"),"")))</f>
        <v/>
      </c>
      <c r="AC205" t="str">
        <f>IF(Y205="","",IF(Y205="[FÓRMULA MANUAL]","",IFERROR(SUMPRODUCT((DATOS!$A$2:$A$20000=Y205)*(DATOS!$G$2:$G$20000=CONFIG_METADATA!$B$4)*(COUNTIF(CONFIG_ASIGNATURAS!$B$7:$B$27,DATOS!$I$2:$I$20000)&gt;0)*(DATOS!$K$2:$K$20000))/SUMPRODUCT((DATOS!$A$2:$A$20000=Y205)*(DATOS!$G$2:$G$20000=CONFIG_METADATA!$B$4)*(COUNTIF(CONFIG_ASIGNATURAS!$B$7:$B$27,DATOS!$I$2:$I$20000)&gt;0)*1),"")))</f>
        <v/>
      </c>
      <c r="AF205" t="str">
        <f>IF(AE205="","",IF(AE205="[FÓRMULA MANUAL]","",IFERROR(AVERAGEIFS(DATOS!$K$2:$K$20000,DATOS!$A$2:$A$20000,AE205,DATOS!$G$2:$G$20000,CONFIG_METADATA!$B$4,DATOS!$I$2:$I$20000,"Análisis"),"")))</f>
        <v/>
      </c>
      <c r="AG205" t="str">
        <f>IF(AE205="","",IF(AE205="[FÓRMULA MANUAL]","",IFERROR(AVERAGEIFS(DATOS!$K$2:$K$20000,DATOS!$A$2:$A$20000,AE205,DATOS!$G$2:$G$20000,CONFIG_METADATA!$B$4,DATOS!$I$2:$I$20000,"Orquesta/Banda/Conjunto"),"")))</f>
        <v/>
      </c>
      <c r="AH205" t="str">
        <f>IF(AE205="","",IF(AE205="[FÓRMULA MANUAL]","",IFERROR(AVERAGEIFS(DATOS!$K$2:$K$20000,DATOS!$A$2:$A$20000,AE205,DATOS!$G$2:$G$20000,CONFIG_METADATA!$B$4,DATOS!$I$2:$I$20000,"Música de Cámara"),"")))</f>
        <v/>
      </c>
      <c r="AI205" t="str">
        <f>IF(AE205="","",IF(AE205="[FÓRMULA MANUAL]","",IFERROR(SUMPRODUCT((DATOS!$A$2:$A$20000=AE205)*(DATOS!$G$2:$G$20000=CONFIG_METADATA!$B$4)*(COUNTIF(CONFIG_ASIGNATURAS!$B$7:$B$27,DATOS!$I$2:$I$20000)&gt;0)*(DATOS!$K$2:$K$20000))/SUMPRODUCT((DATOS!$A$2:$A$20000=AE205)*(DATOS!$G$2:$G$20000=CONFIG_METADATA!$B$4)*(COUNTIF(CONFIG_ASIGNATURAS!$B$7:$B$27,DATOS!$I$2:$I$20000)&gt;0)*1),"")))</f>
        <v/>
      </c>
    </row>
    <row r="206" spans="2:35" x14ac:dyDescent="0.2">
      <c r="B206" t="str">
        <f>IF(A206="","",IF(A206="[FÓRMULA MANUAL]","",IFERROR(AVERAGEIFS(DATOS!$K$2:$K$20000,DATOS!$A$2:$A$20000,A206,DATOS!$G$2:$G$20000,CONFIG_METADATA!$B$4,DATOS!$I$2:$I$20000,"Lenguaje Musical"),"")))</f>
        <v/>
      </c>
      <c r="C206" t="str">
        <f>IF(A206="","",IF(A206="[FÓRMULA MANUAL]","",IFERROR(AVERAGEIFS(DATOS!$K$2:$K$20000,DATOS!$A$2:$A$20000,A206,DATOS!$G$2:$G$20000,CONFIG_METADATA!$B$4,DATOS!$I$2:$I$20000,"Orquesta/Banda/Conjunto"),"")))</f>
        <v/>
      </c>
      <c r="D206" t="str">
        <f>IF(A206="","",IF(A206="[FÓRMULA MANUAL]","",IFERROR(AVERAGEIFS(DATOS!$K$2:$K$20000,DATOS!$A$2:$A$20000,A206,DATOS!$G$2:$G$20000,CONFIG_METADATA!$B$4,DATOS!$I$2:$I$20000,"Conjunto"),"")))</f>
        <v/>
      </c>
      <c r="E206" t="str">
        <f>IF(A206="","",IF(A206="[FÓRMULA MANUAL]","",IFERROR(SUMPRODUCT((DATOS!$A$2:$A$20000=A206)*(DATOS!$G$2:$G$20000=CONFIG_METADATA!$B$4)*(COUNTIF(CONFIG_ASIGNATURAS!$B$7:$B$27,DATOS!$I$2:$I$20000)&gt;0)*(DATOS!$K$2:$K$20000))/SUMPRODUCT((DATOS!$A$2:$A$20000=A206)*(DATOS!$G$2:$G$20000=CONFIG_METADATA!$B$4)*(COUNTIF(CONFIG_ASIGNATURAS!$B$7:$B$27,DATOS!$I$2:$I$20000)&gt;0)*1),"")))</f>
        <v/>
      </c>
      <c r="H206" t="str">
        <f>IF(G206="","",IF(G206="[FÓRMULA MANUAL]","",IFERROR(AVERAGEIFS(DATOS!$K$2:$K$20000,DATOS!$A$2:$A$20000,G206,DATOS!$G$2:$G$20000,CONFIG_METADATA!$B$4,DATOS!$I$2:$I$20000,"Lenguaje Musical"),"")))</f>
        <v/>
      </c>
      <c r="I206" t="str">
        <f>IF(G206="","",IF(G206="[FÓRMULA MANUAL]","",IFERROR(AVERAGEIFS(DATOS!$K$2:$K$20000,DATOS!$A$2:$A$20000,G206,DATOS!$G$2:$G$20000,CONFIG_METADATA!$B$4,DATOS!$I$2:$I$20000,"Orquesta/Banda/Conjunto"),"")))</f>
        <v/>
      </c>
      <c r="J206" t="str">
        <f>IF(G206="","",IF(G206="[FÓRMULA MANUAL]","",IFERROR(AVERAGEIFS(DATOS!$K$2:$K$20000,DATOS!$A$2:$A$20000,G206,DATOS!$G$2:$G$20000,CONFIG_METADATA!$B$4,DATOS!$I$2:$I$20000,"Conjunto"),"")))</f>
        <v/>
      </c>
      <c r="K206" t="str">
        <f>IF(G206="","",IF(G206="[FÓRMULA MANUAL]","",IFERROR(SUMPRODUCT((DATOS!$A$2:$A$20000=G206)*(DATOS!$G$2:$G$20000=CONFIG_METADATA!$B$4)*(COUNTIF(CONFIG_ASIGNATURAS!$B$7:$B$27,DATOS!$I$2:$I$20000)&gt;0)*(DATOS!$K$2:$K$20000))/SUMPRODUCT((DATOS!$A$2:$A$20000=G206)*(DATOS!$G$2:$G$20000=CONFIG_METADATA!$B$4)*(COUNTIF(CONFIG_ASIGNATURAS!$B$7:$B$27,DATOS!$I$2:$I$20000)&gt;0)*1),"")))</f>
        <v/>
      </c>
      <c r="N206" t="str">
        <f>IF(M206="","",IF(M206="[FÓRMULA MANUAL]","",IFERROR(AVERAGEIFS(DATOS!$K$2:$K$20000,DATOS!$A$2:$A$20000,M206,DATOS!$G$2:$G$20000,CONFIG_METADATA!$B$4,DATOS!$I$2:$I$20000,"Armonía"),"")))</f>
        <v/>
      </c>
      <c r="O206" t="str">
        <f>IF(M206="","",IF(M206="[FÓRMULA MANUAL]","",IFERROR(AVERAGEIFS(DATOS!$K$2:$K$20000,DATOS!$A$2:$A$20000,M206,DATOS!$G$2:$G$20000,CONFIG_METADATA!$B$4,DATOS!$I$2:$I$20000,"Orquesta/Banda/Conjunto"),"")))</f>
        <v/>
      </c>
      <c r="P206" t="str">
        <f>IF(M206="","",IF(M206="[FÓRMULA MANUAL]","",IFERROR(AVERAGEIFS(DATOS!$K$2:$K$20000,DATOS!$A$2:$A$20000,M206,DATOS!$G$2:$G$20000,CONFIG_METADATA!$B$4,DATOS!$I$2:$I$20000,"Música de Cámara"),"")))</f>
        <v/>
      </c>
      <c r="Q206" t="str">
        <f>IF(M206="","",IF(M206="[FÓRMULA MANUAL]","",IFERROR(SUMPRODUCT((DATOS!$A$2:$A$20000=M206)*(DATOS!$G$2:$G$20000=CONFIG_METADATA!$B$4)*(COUNTIF(CONFIG_ASIGNATURAS!$B$7:$B$27,DATOS!$I$2:$I$20000)&gt;0)*(DATOS!$K$2:$K$20000))/SUMPRODUCT((DATOS!$A$2:$A$20000=M206)*(DATOS!$G$2:$G$20000=CONFIG_METADATA!$B$4)*(COUNTIF(CONFIG_ASIGNATURAS!$B$7:$B$27,DATOS!$I$2:$I$20000)&gt;0)*1),"")))</f>
        <v/>
      </c>
      <c r="T206" t="str">
        <f>IF(S206="","",IF(S206="[FÓRMULA MANUAL]","",IFERROR(AVERAGEIFS(DATOS!$K$2:$K$20000,DATOS!$A$2:$A$20000,S206,DATOS!$G$2:$G$20000,CONFIG_METADATA!$B$4,DATOS!$I$2:$I$20000,"Armonía"),"")))</f>
        <v/>
      </c>
      <c r="U206" t="str">
        <f>IF(S206="","",IF(S206="[FÓRMULA MANUAL]","",IFERROR(AVERAGEIFS(DATOS!$K$2:$K$20000,DATOS!$A$2:$A$20000,S206,DATOS!$G$2:$G$20000,CONFIG_METADATA!$B$4,DATOS!$I$2:$I$20000,"Orquesta/Banda/Conjunto"),"")))</f>
        <v/>
      </c>
      <c r="V206" t="str">
        <f>IF(S206="","",IF(S206="[FÓRMULA MANUAL]","",IFERROR(AVERAGEIFS(DATOS!$K$2:$K$20000,DATOS!$A$2:$A$20000,S206,DATOS!$G$2:$G$20000,CONFIG_METADATA!$B$4,DATOS!$I$2:$I$20000,"Música de Cámara"),"")))</f>
        <v/>
      </c>
      <c r="W206" t="str">
        <f>IF(S206="","",IF(S206="[FÓRMULA MANUAL]","",IFERROR(SUMPRODUCT((DATOS!$A$2:$A$20000=S206)*(DATOS!$G$2:$G$20000=CONFIG_METADATA!$B$4)*(COUNTIF(CONFIG_ASIGNATURAS!$B$7:$B$27,DATOS!$I$2:$I$20000)&gt;0)*(DATOS!$K$2:$K$20000))/SUMPRODUCT((DATOS!$A$2:$A$20000=S206)*(DATOS!$G$2:$G$20000=CONFIG_METADATA!$B$4)*(COUNTIF(CONFIG_ASIGNATURAS!$B$7:$B$27,DATOS!$I$2:$I$20000)&gt;0)*1),"")))</f>
        <v/>
      </c>
      <c r="Z206" t="str">
        <f>IF(Y206="","",IF(Y206="[FÓRMULA MANUAL]","",IFERROR(AVERAGEIFS(DATOS!$K$2:$K$20000,DATOS!$A$2:$A$20000,Y206,DATOS!$G$2:$G$20000,CONFIG_METADATA!$B$4,DATOS!$I$2:$I$20000,"Análisis"),"")))</f>
        <v/>
      </c>
      <c r="AA206" t="str">
        <f>IF(Y206="","",IF(Y206="[FÓRMULA MANUAL]","",IFERROR(AVERAGEIFS(DATOS!$K$2:$K$20000,DATOS!$A$2:$A$20000,Y206,DATOS!$G$2:$G$20000,CONFIG_METADATA!$B$4,DATOS!$I$2:$I$20000,"Orquesta/Banda/Conjunto"),"")))</f>
        <v/>
      </c>
      <c r="AB206" t="str">
        <f>IF(Y206="","",IF(Y206="[FÓRMULA MANUAL]","",IFERROR(AVERAGEIFS(DATOS!$K$2:$K$20000,DATOS!$A$2:$A$20000,Y206,DATOS!$G$2:$G$20000,CONFIG_METADATA!$B$4,DATOS!$I$2:$I$20000,"Música de Cámara"),"")))</f>
        <v/>
      </c>
      <c r="AC206" t="str">
        <f>IF(Y206="","",IF(Y206="[FÓRMULA MANUAL]","",IFERROR(SUMPRODUCT((DATOS!$A$2:$A$20000=Y206)*(DATOS!$G$2:$G$20000=CONFIG_METADATA!$B$4)*(COUNTIF(CONFIG_ASIGNATURAS!$B$7:$B$27,DATOS!$I$2:$I$20000)&gt;0)*(DATOS!$K$2:$K$20000))/SUMPRODUCT((DATOS!$A$2:$A$20000=Y206)*(DATOS!$G$2:$G$20000=CONFIG_METADATA!$B$4)*(COUNTIF(CONFIG_ASIGNATURAS!$B$7:$B$27,DATOS!$I$2:$I$20000)&gt;0)*1),"")))</f>
        <v/>
      </c>
      <c r="AF206" t="str">
        <f>IF(AE206="","",IF(AE206="[FÓRMULA MANUAL]","",IFERROR(AVERAGEIFS(DATOS!$K$2:$K$20000,DATOS!$A$2:$A$20000,AE206,DATOS!$G$2:$G$20000,CONFIG_METADATA!$B$4,DATOS!$I$2:$I$20000,"Análisis"),"")))</f>
        <v/>
      </c>
      <c r="AG206" t="str">
        <f>IF(AE206="","",IF(AE206="[FÓRMULA MANUAL]","",IFERROR(AVERAGEIFS(DATOS!$K$2:$K$20000,DATOS!$A$2:$A$20000,AE206,DATOS!$G$2:$G$20000,CONFIG_METADATA!$B$4,DATOS!$I$2:$I$20000,"Orquesta/Banda/Conjunto"),"")))</f>
        <v/>
      </c>
      <c r="AH206" t="str">
        <f>IF(AE206="","",IF(AE206="[FÓRMULA MANUAL]","",IFERROR(AVERAGEIFS(DATOS!$K$2:$K$20000,DATOS!$A$2:$A$20000,AE206,DATOS!$G$2:$G$20000,CONFIG_METADATA!$B$4,DATOS!$I$2:$I$20000,"Música de Cámara"),"")))</f>
        <v/>
      </c>
      <c r="AI206" t="str">
        <f>IF(AE206="","",IF(AE206="[FÓRMULA MANUAL]","",IFERROR(SUMPRODUCT((DATOS!$A$2:$A$20000=AE206)*(DATOS!$G$2:$G$20000=CONFIG_METADATA!$B$4)*(COUNTIF(CONFIG_ASIGNATURAS!$B$7:$B$27,DATOS!$I$2:$I$20000)&gt;0)*(DATOS!$K$2:$K$20000))/SUMPRODUCT((DATOS!$A$2:$A$20000=AE206)*(DATOS!$G$2:$G$20000=CONFIG_METADATA!$B$4)*(COUNTIF(CONFIG_ASIGNATURAS!$B$7:$B$27,DATOS!$I$2:$I$20000)&gt;0)*1),"")))</f>
        <v/>
      </c>
    </row>
    <row r="207" spans="2:35" x14ac:dyDescent="0.2">
      <c r="B207" t="str">
        <f>IF(A207="","",IF(A207="[FÓRMULA MANUAL]","",IFERROR(AVERAGEIFS(DATOS!$K$2:$K$20000,DATOS!$A$2:$A$20000,A207,DATOS!$G$2:$G$20000,CONFIG_METADATA!$B$4,DATOS!$I$2:$I$20000,"Lenguaje Musical"),"")))</f>
        <v/>
      </c>
      <c r="C207" t="str">
        <f>IF(A207="","",IF(A207="[FÓRMULA MANUAL]","",IFERROR(AVERAGEIFS(DATOS!$K$2:$K$20000,DATOS!$A$2:$A$20000,A207,DATOS!$G$2:$G$20000,CONFIG_METADATA!$B$4,DATOS!$I$2:$I$20000,"Orquesta/Banda/Conjunto"),"")))</f>
        <v/>
      </c>
      <c r="D207" t="str">
        <f>IF(A207="","",IF(A207="[FÓRMULA MANUAL]","",IFERROR(AVERAGEIFS(DATOS!$K$2:$K$20000,DATOS!$A$2:$A$20000,A207,DATOS!$G$2:$G$20000,CONFIG_METADATA!$B$4,DATOS!$I$2:$I$20000,"Conjunto"),"")))</f>
        <v/>
      </c>
      <c r="E207" t="str">
        <f>IF(A207="","",IF(A207="[FÓRMULA MANUAL]","",IFERROR(SUMPRODUCT((DATOS!$A$2:$A$20000=A207)*(DATOS!$G$2:$G$20000=CONFIG_METADATA!$B$4)*(COUNTIF(CONFIG_ASIGNATURAS!$B$7:$B$27,DATOS!$I$2:$I$20000)&gt;0)*(DATOS!$K$2:$K$20000))/SUMPRODUCT((DATOS!$A$2:$A$20000=A207)*(DATOS!$G$2:$G$20000=CONFIG_METADATA!$B$4)*(COUNTIF(CONFIG_ASIGNATURAS!$B$7:$B$27,DATOS!$I$2:$I$20000)&gt;0)*1),"")))</f>
        <v/>
      </c>
      <c r="H207" t="str">
        <f>IF(G207="","",IF(G207="[FÓRMULA MANUAL]","",IFERROR(AVERAGEIFS(DATOS!$K$2:$K$20000,DATOS!$A$2:$A$20000,G207,DATOS!$G$2:$G$20000,CONFIG_METADATA!$B$4,DATOS!$I$2:$I$20000,"Lenguaje Musical"),"")))</f>
        <v/>
      </c>
      <c r="I207" t="str">
        <f>IF(G207="","",IF(G207="[FÓRMULA MANUAL]","",IFERROR(AVERAGEIFS(DATOS!$K$2:$K$20000,DATOS!$A$2:$A$20000,G207,DATOS!$G$2:$G$20000,CONFIG_METADATA!$B$4,DATOS!$I$2:$I$20000,"Orquesta/Banda/Conjunto"),"")))</f>
        <v/>
      </c>
      <c r="J207" t="str">
        <f>IF(G207="","",IF(G207="[FÓRMULA MANUAL]","",IFERROR(AVERAGEIFS(DATOS!$K$2:$K$20000,DATOS!$A$2:$A$20000,G207,DATOS!$G$2:$G$20000,CONFIG_METADATA!$B$4,DATOS!$I$2:$I$20000,"Conjunto"),"")))</f>
        <v/>
      </c>
      <c r="K207" t="str">
        <f>IF(G207="","",IF(G207="[FÓRMULA MANUAL]","",IFERROR(SUMPRODUCT((DATOS!$A$2:$A$20000=G207)*(DATOS!$G$2:$G$20000=CONFIG_METADATA!$B$4)*(COUNTIF(CONFIG_ASIGNATURAS!$B$7:$B$27,DATOS!$I$2:$I$20000)&gt;0)*(DATOS!$K$2:$K$20000))/SUMPRODUCT((DATOS!$A$2:$A$20000=G207)*(DATOS!$G$2:$G$20000=CONFIG_METADATA!$B$4)*(COUNTIF(CONFIG_ASIGNATURAS!$B$7:$B$27,DATOS!$I$2:$I$20000)&gt;0)*1),"")))</f>
        <v/>
      </c>
      <c r="N207" t="str">
        <f>IF(M207="","",IF(M207="[FÓRMULA MANUAL]","",IFERROR(AVERAGEIFS(DATOS!$K$2:$K$20000,DATOS!$A$2:$A$20000,M207,DATOS!$G$2:$G$20000,CONFIG_METADATA!$B$4,DATOS!$I$2:$I$20000,"Armonía"),"")))</f>
        <v/>
      </c>
      <c r="O207" t="str">
        <f>IF(M207="","",IF(M207="[FÓRMULA MANUAL]","",IFERROR(AVERAGEIFS(DATOS!$K$2:$K$20000,DATOS!$A$2:$A$20000,M207,DATOS!$G$2:$G$20000,CONFIG_METADATA!$B$4,DATOS!$I$2:$I$20000,"Orquesta/Banda/Conjunto"),"")))</f>
        <v/>
      </c>
      <c r="P207" t="str">
        <f>IF(M207="","",IF(M207="[FÓRMULA MANUAL]","",IFERROR(AVERAGEIFS(DATOS!$K$2:$K$20000,DATOS!$A$2:$A$20000,M207,DATOS!$G$2:$G$20000,CONFIG_METADATA!$B$4,DATOS!$I$2:$I$20000,"Música de Cámara"),"")))</f>
        <v/>
      </c>
      <c r="Q207" t="str">
        <f>IF(M207="","",IF(M207="[FÓRMULA MANUAL]","",IFERROR(SUMPRODUCT((DATOS!$A$2:$A$20000=M207)*(DATOS!$G$2:$G$20000=CONFIG_METADATA!$B$4)*(COUNTIF(CONFIG_ASIGNATURAS!$B$7:$B$27,DATOS!$I$2:$I$20000)&gt;0)*(DATOS!$K$2:$K$20000))/SUMPRODUCT((DATOS!$A$2:$A$20000=M207)*(DATOS!$G$2:$G$20000=CONFIG_METADATA!$B$4)*(COUNTIF(CONFIG_ASIGNATURAS!$B$7:$B$27,DATOS!$I$2:$I$20000)&gt;0)*1),"")))</f>
        <v/>
      </c>
      <c r="T207" t="str">
        <f>IF(S207="","",IF(S207="[FÓRMULA MANUAL]","",IFERROR(AVERAGEIFS(DATOS!$K$2:$K$20000,DATOS!$A$2:$A$20000,S207,DATOS!$G$2:$G$20000,CONFIG_METADATA!$B$4,DATOS!$I$2:$I$20000,"Armonía"),"")))</f>
        <v/>
      </c>
      <c r="U207" t="str">
        <f>IF(S207="","",IF(S207="[FÓRMULA MANUAL]","",IFERROR(AVERAGEIFS(DATOS!$K$2:$K$20000,DATOS!$A$2:$A$20000,S207,DATOS!$G$2:$G$20000,CONFIG_METADATA!$B$4,DATOS!$I$2:$I$20000,"Orquesta/Banda/Conjunto"),"")))</f>
        <v/>
      </c>
      <c r="V207" t="str">
        <f>IF(S207="","",IF(S207="[FÓRMULA MANUAL]","",IFERROR(AVERAGEIFS(DATOS!$K$2:$K$20000,DATOS!$A$2:$A$20000,S207,DATOS!$G$2:$G$20000,CONFIG_METADATA!$B$4,DATOS!$I$2:$I$20000,"Música de Cámara"),"")))</f>
        <v/>
      </c>
      <c r="W207" t="str">
        <f>IF(S207="","",IF(S207="[FÓRMULA MANUAL]","",IFERROR(SUMPRODUCT((DATOS!$A$2:$A$20000=S207)*(DATOS!$G$2:$G$20000=CONFIG_METADATA!$B$4)*(COUNTIF(CONFIG_ASIGNATURAS!$B$7:$B$27,DATOS!$I$2:$I$20000)&gt;0)*(DATOS!$K$2:$K$20000))/SUMPRODUCT((DATOS!$A$2:$A$20000=S207)*(DATOS!$G$2:$G$20000=CONFIG_METADATA!$B$4)*(COUNTIF(CONFIG_ASIGNATURAS!$B$7:$B$27,DATOS!$I$2:$I$20000)&gt;0)*1),"")))</f>
        <v/>
      </c>
      <c r="Z207" t="str">
        <f>IF(Y207="","",IF(Y207="[FÓRMULA MANUAL]","",IFERROR(AVERAGEIFS(DATOS!$K$2:$K$20000,DATOS!$A$2:$A$20000,Y207,DATOS!$G$2:$G$20000,CONFIG_METADATA!$B$4,DATOS!$I$2:$I$20000,"Análisis"),"")))</f>
        <v/>
      </c>
      <c r="AA207" t="str">
        <f>IF(Y207="","",IF(Y207="[FÓRMULA MANUAL]","",IFERROR(AVERAGEIFS(DATOS!$K$2:$K$20000,DATOS!$A$2:$A$20000,Y207,DATOS!$G$2:$G$20000,CONFIG_METADATA!$B$4,DATOS!$I$2:$I$20000,"Orquesta/Banda/Conjunto"),"")))</f>
        <v/>
      </c>
      <c r="AB207" t="str">
        <f>IF(Y207="","",IF(Y207="[FÓRMULA MANUAL]","",IFERROR(AVERAGEIFS(DATOS!$K$2:$K$20000,DATOS!$A$2:$A$20000,Y207,DATOS!$G$2:$G$20000,CONFIG_METADATA!$B$4,DATOS!$I$2:$I$20000,"Música de Cámara"),"")))</f>
        <v/>
      </c>
      <c r="AC207" t="str">
        <f>IF(Y207="","",IF(Y207="[FÓRMULA MANUAL]","",IFERROR(SUMPRODUCT((DATOS!$A$2:$A$20000=Y207)*(DATOS!$G$2:$G$20000=CONFIG_METADATA!$B$4)*(COUNTIF(CONFIG_ASIGNATURAS!$B$7:$B$27,DATOS!$I$2:$I$20000)&gt;0)*(DATOS!$K$2:$K$20000))/SUMPRODUCT((DATOS!$A$2:$A$20000=Y207)*(DATOS!$G$2:$G$20000=CONFIG_METADATA!$B$4)*(COUNTIF(CONFIG_ASIGNATURAS!$B$7:$B$27,DATOS!$I$2:$I$20000)&gt;0)*1),"")))</f>
        <v/>
      </c>
      <c r="AF207" t="str">
        <f>IF(AE207="","",IF(AE207="[FÓRMULA MANUAL]","",IFERROR(AVERAGEIFS(DATOS!$K$2:$K$20000,DATOS!$A$2:$A$20000,AE207,DATOS!$G$2:$G$20000,CONFIG_METADATA!$B$4,DATOS!$I$2:$I$20000,"Análisis"),"")))</f>
        <v/>
      </c>
      <c r="AG207" t="str">
        <f>IF(AE207="","",IF(AE207="[FÓRMULA MANUAL]","",IFERROR(AVERAGEIFS(DATOS!$K$2:$K$20000,DATOS!$A$2:$A$20000,AE207,DATOS!$G$2:$G$20000,CONFIG_METADATA!$B$4,DATOS!$I$2:$I$20000,"Orquesta/Banda/Conjunto"),"")))</f>
        <v/>
      </c>
      <c r="AH207" t="str">
        <f>IF(AE207="","",IF(AE207="[FÓRMULA MANUAL]","",IFERROR(AVERAGEIFS(DATOS!$K$2:$K$20000,DATOS!$A$2:$A$20000,AE207,DATOS!$G$2:$G$20000,CONFIG_METADATA!$B$4,DATOS!$I$2:$I$20000,"Música de Cámara"),"")))</f>
        <v/>
      </c>
      <c r="AI207" t="str">
        <f>IF(AE207="","",IF(AE207="[FÓRMULA MANUAL]","",IFERROR(SUMPRODUCT((DATOS!$A$2:$A$20000=AE207)*(DATOS!$G$2:$G$20000=CONFIG_METADATA!$B$4)*(COUNTIF(CONFIG_ASIGNATURAS!$B$7:$B$27,DATOS!$I$2:$I$20000)&gt;0)*(DATOS!$K$2:$K$20000))/SUMPRODUCT((DATOS!$A$2:$A$20000=AE207)*(DATOS!$G$2:$G$20000=CONFIG_METADATA!$B$4)*(COUNTIF(CONFIG_ASIGNATURAS!$B$7:$B$27,DATOS!$I$2:$I$20000)&gt;0)*1),"")))</f>
        <v/>
      </c>
    </row>
    <row r="208" spans="2:35" x14ac:dyDescent="0.2">
      <c r="B208" t="str">
        <f>IF(A208="","",IF(A208="[FÓRMULA MANUAL]","",IFERROR(AVERAGEIFS(DATOS!$K$2:$K$20000,DATOS!$A$2:$A$20000,A208,DATOS!$G$2:$G$20000,CONFIG_METADATA!$B$4,DATOS!$I$2:$I$20000,"Lenguaje Musical"),"")))</f>
        <v/>
      </c>
      <c r="C208" t="str">
        <f>IF(A208="","",IF(A208="[FÓRMULA MANUAL]","",IFERROR(AVERAGEIFS(DATOS!$K$2:$K$20000,DATOS!$A$2:$A$20000,A208,DATOS!$G$2:$G$20000,CONFIG_METADATA!$B$4,DATOS!$I$2:$I$20000,"Orquesta/Banda/Conjunto"),"")))</f>
        <v/>
      </c>
      <c r="D208" t="str">
        <f>IF(A208="","",IF(A208="[FÓRMULA MANUAL]","",IFERROR(AVERAGEIFS(DATOS!$K$2:$K$20000,DATOS!$A$2:$A$20000,A208,DATOS!$G$2:$G$20000,CONFIG_METADATA!$B$4,DATOS!$I$2:$I$20000,"Conjunto"),"")))</f>
        <v/>
      </c>
      <c r="E208" t="str">
        <f>IF(A208="","",IF(A208="[FÓRMULA MANUAL]","",IFERROR(SUMPRODUCT((DATOS!$A$2:$A$20000=A208)*(DATOS!$G$2:$G$20000=CONFIG_METADATA!$B$4)*(COUNTIF(CONFIG_ASIGNATURAS!$B$7:$B$27,DATOS!$I$2:$I$20000)&gt;0)*(DATOS!$K$2:$K$20000))/SUMPRODUCT((DATOS!$A$2:$A$20000=A208)*(DATOS!$G$2:$G$20000=CONFIG_METADATA!$B$4)*(COUNTIF(CONFIG_ASIGNATURAS!$B$7:$B$27,DATOS!$I$2:$I$20000)&gt;0)*1),"")))</f>
        <v/>
      </c>
      <c r="H208" t="str">
        <f>IF(G208="","",IF(G208="[FÓRMULA MANUAL]","",IFERROR(AVERAGEIFS(DATOS!$K$2:$K$20000,DATOS!$A$2:$A$20000,G208,DATOS!$G$2:$G$20000,CONFIG_METADATA!$B$4,DATOS!$I$2:$I$20000,"Lenguaje Musical"),"")))</f>
        <v/>
      </c>
      <c r="I208" t="str">
        <f>IF(G208="","",IF(G208="[FÓRMULA MANUAL]","",IFERROR(AVERAGEIFS(DATOS!$K$2:$K$20000,DATOS!$A$2:$A$20000,G208,DATOS!$G$2:$G$20000,CONFIG_METADATA!$B$4,DATOS!$I$2:$I$20000,"Orquesta/Banda/Conjunto"),"")))</f>
        <v/>
      </c>
      <c r="J208" t="str">
        <f>IF(G208="","",IF(G208="[FÓRMULA MANUAL]","",IFERROR(AVERAGEIFS(DATOS!$K$2:$K$20000,DATOS!$A$2:$A$20000,G208,DATOS!$G$2:$G$20000,CONFIG_METADATA!$B$4,DATOS!$I$2:$I$20000,"Conjunto"),"")))</f>
        <v/>
      </c>
      <c r="K208" t="str">
        <f>IF(G208="","",IF(G208="[FÓRMULA MANUAL]","",IFERROR(SUMPRODUCT((DATOS!$A$2:$A$20000=G208)*(DATOS!$G$2:$G$20000=CONFIG_METADATA!$B$4)*(COUNTIF(CONFIG_ASIGNATURAS!$B$7:$B$27,DATOS!$I$2:$I$20000)&gt;0)*(DATOS!$K$2:$K$20000))/SUMPRODUCT((DATOS!$A$2:$A$20000=G208)*(DATOS!$G$2:$G$20000=CONFIG_METADATA!$B$4)*(COUNTIF(CONFIG_ASIGNATURAS!$B$7:$B$27,DATOS!$I$2:$I$20000)&gt;0)*1),"")))</f>
        <v/>
      </c>
      <c r="N208" t="str">
        <f>IF(M208="","",IF(M208="[FÓRMULA MANUAL]","",IFERROR(AVERAGEIFS(DATOS!$K$2:$K$20000,DATOS!$A$2:$A$20000,M208,DATOS!$G$2:$G$20000,CONFIG_METADATA!$B$4,DATOS!$I$2:$I$20000,"Armonía"),"")))</f>
        <v/>
      </c>
      <c r="O208" t="str">
        <f>IF(M208="","",IF(M208="[FÓRMULA MANUAL]","",IFERROR(AVERAGEIFS(DATOS!$K$2:$K$20000,DATOS!$A$2:$A$20000,M208,DATOS!$G$2:$G$20000,CONFIG_METADATA!$B$4,DATOS!$I$2:$I$20000,"Orquesta/Banda/Conjunto"),"")))</f>
        <v/>
      </c>
      <c r="P208" t="str">
        <f>IF(M208="","",IF(M208="[FÓRMULA MANUAL]","",IFERROR(AVERAGEIFS(DATOS!$K$2:$K$20000,DATOS!$A$2:$A$20000,M208,DATOS!$G$2:$G$20000,CONFIG_METADATA!$B$4,DATOS!$I$2:$I$20000,"Música de Cámara"),"")))</f>
        <v/>
      </c>
      <c r="Q208" t="str">
        <f>IF(M208="","",IF(M208="[FÓRMULA MANUAL]","",IFERROR(SUMPRODUCT((DATOS!$A$2:$A$20000=M208)*(DATOS!$G$2:$G$20000=CONFIG_METADATA!$B$4)*(COUNTIF(CONFIG_ASIGNATURAS!$B$7:$B$27,DATOS!$I$2:$I$20000)&gt;0)*(DATOS!$K$2:$K$20000))/SUMPRODUCT((DATOS!$A$2:$A$20000=M208)*(DATOS!$G$2:$G$20000=CONFIG_METADATA!$B$4)*(COUNTIF(CONFIG_ASIGNATURAS!$B$7:$B$27,DATOS!$I$2:$I$20000)&gt;0)*1),"")))</f>
        <v/>
      </c>
      <c r="T208" t="str">
        <f>IF(S208="","",IF(S208="[FÓRMULA MANUAL]","",IFERROR(AVERAGEIFS(DATOS!$K$2:$K$20000,DATOS!$A$2:$A$20000,S208,DATOS!$G$2:$G$20000,CONFIG_METADATA!$B$4,DATOS!$I$2:$I$20000,"Armonía"),"")))</f>
        <v/>
      </c>
      <c r="U208" t="str">
        <f>IF(S208="","",IF(S208="[FÓRMULA MANUAL]","",IFERROR(AVERAGEIFS(DATOS!$K$2:$K$20000,DATOS!$A$2:$A$20000,S208,DATOS!$G$2:$G$20000,CONFIG_METADATA!$B$4,DATOS!$I$2:$I$20000,"Orquesta/Banda/Conjunto"),"")))</f>
        <v/>
      </c>
      <c r="V208" t="str">
        <f>IF(S208="","",IF(S208="[FÓRMULA MANUAL]","",IFERROR(AVERAGEIFS(DATOS!$K$2:$K$20000,DATOS!$A$2:$A$20000,S208,DATOS!$G$2:$G$20000,CONFIG_METADATA!$B$4,DATOS!$I$2:$I$20000,"Música de Cámara"),"")))</f>
        <v/>
      </c>
      <c r="W208" t="str">
        <f>IF(S208="","",IF(S208="[FÓRMULA MANUAL]","",IFERROR(SUMPRODUCT((DATOS!$A$2:$A$20000=S208)*(DATOS!$G$2:$G$20000=CONFIG_METADATA!$B$4)*(COUNTIF(CONFIG_ASIGNATURAS!$B$7:$B$27,DATOS!$I$2:$I$20000)&gt;0)*(DATOS!$K$2:$K$20000))/SUMPRODUCT((DATOS!$A$2:$A$20000=S208)*(DATOS!$G$2:$G$20000=CONFIG_METADATA!$B$4)*(COUNTIF(CONFIG_ASIGNATURAS!$B$7:$B$27,DATOS!$I$2:$I$20000)&gt;0)*1),"")))</f>
        <v/>
      </c>
      <c r="Z208" t="str">
        <f>IF(Y208="","",IF(Y208="[FÓRMULA MANUAL]","",IFERROR(AVERAGEIFS(DATOS!$K$2:$K$20000,DATOS!$A$2:$A$20000,Y208,DATOS!$G$2:$G$20000,CONFIG_METADATA!$B$4,DATOS!$I$2:$I$20000,"Análisis"),"")))</f>
        <v/>
      </c>
      <c r="AA208" t="str">
        <f>IF(Y208="","",IF(Y208="[FÓRMULA MANUAL]","",IFERROR(AVERAGEIFS(DATOS!$K$2:$K$20000,DATOS!$A$2:$A$20000,Y208,DATOS!$G$2:$G$20000,CONFIG_METADATA!$B$4,DATOS!$I$2:$I$20000,"Orquesta/Banda/Conjunto"),"")))</f>
        <v/>
      </c>
      <c r="AB208" t="str">
        <f>IF(Y208="","",IF(Y208="[FÓRMULA MANUAL]","",IFERROR(AVERAGEIFS(DATOS!$K$2:$K$20000,DATOS!$A$2:$A$20000,Y208,DATOS!$G$2:$G$20000,CONFIG_METADATA!$B$4,DATOS!$I$2:$I$20000,"Música de Cámara"),"")))</f>
        <v/>
      </c>
      <c r="AC208" t="str">
        <f>IF(Y208="","",IF(Y208="[FÓRMULA MANUAL]","",IFERROR(SUMPRODUCT((DATOS!$A$2:$A$20000=Y208)*(DATOS!$G$2:$G$20000=CONFIG_METADATA!$B$4)*(COUNTIF(CONFIG_ASIGNATURAS!$B$7:$B$27,DATOS!$I$2:$I$20000)&gt;0)*(DATOS!$K$2:$K$20000))/SUMPRODUCT((DATOS!$A$2:$A$20000=Y208)*(DATOS!$G$2:$G$20000=CONFIG_METADATA!$B$4)*(COUNTIF(CONFIG_ASIGNATURAS!$B$7:$B$27,DATOS!$I$2:$I$20000)&gt;0)*1),"")))</f>
        <v/>
      </c>
      <c r="AF208" t="str">
        <f>IF(AE208="","",IF(AE208="[FÓRMULA MANUAL]","",IFERROR(AVERAGEIFS(DATOS!$K$2:$K$20000,DATOS!$A$2:$A$20000,AE208,DATOS!$G$2:$G$20000,CONFIG_METADATA!$B$4,DATOS!$I$2:$I$20000,"Análisis"),"")))</f>
        <v/>
      </c>
      <c r="AG208" t="str">
        <f>IF(AE208="","",IF(AE208="[FÓRMULA MANUAL]","",IFERROR(AVERAGEIFS(DATOS!$K$2:$K$20000,DATOS!$A$2:$A$20000,AE208,DATOS!$G$2:$G$20000,CONFIG_METADATA!$B$4,DATOS!$I$2:$I$20000,"Orquesta/Banda/Conjunto"),"")))</f>
        <v/>
      </c>
      <c r="AH208" t="str">
        <f>IF(AE208="","",IF(AE208="[FÓRMULA MANUAL]","",IFERROR(AVERAGEIFS(DATOS!$K$2:$K$20000,DATOS!$A$2:$A$20000,AE208,DATOS!$G$2:$G$20000,CONFIG_METADATA!$B$4,DATOS!$I$2:$I$20000,"Música de Cámara"),"")))</f>
        <v/>
      </c>
      <c r="AI208" t="str">
        <f>IF(AE208="","",IF(AE208="[FÓRMULA MANUAL]","",IFERROR(SUMPRODUCT((DATOS!$A$2:$A$20000=AE208)*(DATOS!$G$2:$G$20000=CONFIG_METADATA!$B$4)*(COUNTIF(CONFIG_ASIGNATURAS!$B$7:$B$27,DATOS!$I$2:$I$20000)&gt;0)*(DATOS!$K$2:$K$20000))/SUMPRODUCT((DATOS!$A$2:$A$20000=AE208)*(DATOS!$G$2:$G$20000=CONFIG_METADATA!$B$4)*(COUNTIF(CONFIG_ASIGNATURAS!$B$7:$B$27,DATOS!$I$2:$I$20000)&gt;0)*1),"")))</f>
        <v/>
      </c>
    </row>
    <row r="209" spans="2:35" x14ac:dyDescent="0.2">
      <c r="B209" t="str">
        <f>IF(A209="","",IF(A209="[FÓRMULA MANUAL]","",IFERROR(AVERAGEIFS(DATOS!$K$2:$K$20000,DATOS!$A$2:$A$20000,A209,DATOS!$G$2:$G$20000,CONFIG_METADATA!$B$4,DATOS!$I$2:$I$20000,"Lenguaje Musical"),"")))</f>
        <v/>
      </c>
      <c r="C209" t="str">
        <f>IF(A209="","",IF(A209="[FÓRMULA MANUAL]","",IFERROR(AVERAGEIFS(DATOS!$K$2:$K$20000,DATOS!$A$2:$A$20000,A209,DATOS!$G$2:$G$20000,CONFIG_METADATA!$B$4,DATOS!$I$2:$I$20000,"Orquesta/Banda/Conjunto"),"")))</f>
        <v/>
      </c>
      <c r="D209" t="str">
        <f>IF(A209="","",IF(A209="[FÓRMULA MANUAL]","",IFERROR(AVERAGEIFS(DATOS!$K$2:$K$20000,DATOS!$A$2:$A$20000,A209,DATOS!$G$2:$G$20000,CONFIG_METADATA!$B$4,DATOS!$I$2:$I$20000,"Conjunto"),"")))</f>
        <v/>
      </c>
      <c r="E209" t="str">
        <f>IF(A209="","",IF(A209="[FÓRMULA MANUAL]","",IFERROR(SUMPRODUCT((DATOS!$A$2:$A$20000=A209)*(DATOS!$G$2:$G$20000=CONFIG_METADATA!$B$4)*(COUNTIF(CONFIG_ASIGNATURAS!$B$7:$B$27,DATOS!$I$2:$I$20000)&gt;0)*(DATOS!$K$2:$K$20000))/SUMPRODUCT((DATOS!$A$2:$A$20000=A209)*(DATOS!$G$2:$G$20000=CONFIG_METADATA!$B$4)*(COUNTIF(CONFIG_ASIGNATURAS!$B$7:$B$27,DATOS!$I$2:$I$20000)&gt;0)*1),"")))</f>
        <v/>
      </c>
      <c r="H209" t="str">
        <f>IF(G209="","",IF(G209="[FÓRMULA MANUAL]","",IFERROR(AVERAGEIFS(DATOS!$K$2:$K$20000,DATOS!$A$2:$A$20000,G209,DATOS!$G$2:$G$20000,CONFIG_METADATA!$B$4,DATOS!$I$2:$I$20000,"Lenguaje Musical"),"")))</f>
        <v/>
      </c>
      <c r="I209" t="str">
        <f>IF(G209="","",IF(G209="[FÓRMULA MANUAL]","",IFERROR(AVERAGEIFS(DATOS!$K$2:$K$20000,DATOS!$A$2:$A$20000,G209,DATOS!$G$2:$G$20000,CONFIG_METADATA!$B$4,DATOS!$I$2:$I$20000,"Orquesta/Banda/Conjunto"),"")))</f>
        <v/>
      </c>
      <c r="J209" t="str">
        <f>IF(G209="","",IF(G209="[FÓRMULA MANUAL]","",IFERROR(AVERAGEIFS(DATOS!$K$2:$K$20000,DATOS!$A$2:$A$20000,G209,DATOS!$G$2:$G$20000,CONFIG_METADATA!$B$4,DATOS!$I$2:$I$20000,"Conjunto"),"")))</f>
        <v/>
      </c>
      <c r="K209" t="str">
        <f>IF(G209="","",IF(G209="[FÓRMULA MANUAL]","",IFERROR(SUMPRODUCT((DATOS!$A$2:$A$20000=G209)*(DATOS!$G$2:$G$20000=CONFIG_METADATA!$B$4)*(COUNTIF(CONFIG_ASIGNATURAS!$B$7:$B$27,DATOS!$I$2:$I$20000)&gt;0)*(DATOS!$K$2:$K$20000))/SUMPRODUCT((DATOS!$A$2:$A$20000=G209)*(DATOS!$G$2:$G$20000=CONFIG_METADATA!$B$4)*(COUNTIF(CONFIG_ASIGNATURAS!$B$7:$B$27,DATOS!$I$2:$I$20000)&gt;0)*1),"")))</f>
        <v/>
      </c>
      <c r="N209" t="str">
        <f>IF(M209="","",IF(M209="[FÓRMULA MANUAL]","",IFERROR(AVERAGEIFS(DATOS!$K$2:$K$20000,DATOS!$A$2:$A$20000,M209,DATOS!$G$2:$G$20000,CONFIG_METADATA!$B$4,DATOS!$I$2:$I$20000,"Armonía"),"")))</f>
        <v/>
      </c>
      <c r="O209" t="str">
        <f>IF(M209="","",IF(M209="[FÓRMULA MANUAL]","",IFERROR(AVERAGEIFS(DATOS!$K$2:$K$20000,DATOS!$A$2:$A$20000,M209,DATOS!$G$2:$G$20000,CONFIG_METADATA!$B$4,DATOS!$I$2:$I$20000,"Orquesta/Banda/Conjunto"),"")))</f>
        <v/>
      </c>
      <c r="P209" t="str">
        <f>IF(M209="","",IF(M209="[FÓRMULA MANUAL]","",IFERROR(AVERAGEIFS(DATOS!$K$2:$K$20000,DATOS!$A$2:$A$20000,M209,DATOS!$G$2:$G$20000,CONFIG_METADATA!$B$4,DATOS!$I$2:$I$20000,"Música de Cámara"),"")))</f>
        <v/>
      </c>
      <c r="Q209" t="str">
        <f>IF(M209="","",IF(M209="[FÓRMULA MANUAL]","",IFERROR(SUMPRODUCT((DATOS!$A$2:$A$20000=M209)*(DATOS!$G$2:$G$20000=CONFIG_METADATA!$B$4)*(COUNTIF(CONFIG_ASIGNATURAS!$B$7:$B$27,DATOS!$I$2:$I$20000)&gt;0)*(DATOS!$K$2:$K$20000))/SUMPRODUCT((DATOS!$A$2:$A$20000=M209)*(DATOS!$G$2:$G$20000=CONFIG_METADATA!$B$4)*(COUNTIF(CONFIG_ASIGNATURAS!$B$7:$B$27,DATOS!$I$2:$I$20000)&gt;0)*1),"")))</f>
        <v/>
      </c>
      <c r="T209" t="str">
        <f>IF(S209="","",IF(S209="[FÓRMULA MANUAL]","",IFERROR(AVERAGEIFS(DATOS!$K$2:$K$20000,DATOS!$A$2:$A$20000,S209,DATOS!$G$2:$G$20000,CONFIG_METADATA!$B$4,DATOS!$I$2:$I$20000,"Armonía"),"")))</f>
        <v/>
      </c>
      <c r="U209" t="str">
        <f>IF(S209="","",IF(S209="[FÓRMULA MANUAL]","",IFERROR(AVERAGEIFS(DATOS!$K$2:$K$20000,DATOS!$A$2:$A$20000,S209,DATOS!$G$2:$G$20000,CONFIG_METADATA!$B$4,DATOS!$I$2:$I$20000,"Orquesta/Banda/Conjunto"),"")))</f>
        <v/>
      </c>
      <c r="V209" t="str">
        <f>IF(S209="","",IF(S209="[FÓRMULA MANUAL]","",IFERROR(AVERAGEIFS(DATOS!$K$2:$K$20000,DATOS!$A$2:$A$20000,S209,DATOS!$G$2:$G$20000,CONFIG_METADATA!$B$4,DATOS!$I$2:$I$20000,"Música de Cámara"),"")))</f>
        <v/>
      </c>
      <c r="W209" t="str">
        <f>IF(S209="","",IF(S209="[FÓRMULA MANUAL]","",IFERROR(SUMPRODUCT((DATOS!$A$2:$A$20000=S209)*(DATOS!$G$2:$G$20000=CONFIG_METADATA!$B$4)*(COUNTIF(CONFIG_ASIGNATURAS!$B$7:$B$27,DATOS!$I$2:$I$20000)&gt;0)*(DATOS!$K$2:$K$20000))/SUMPRODUCT((DATOS!$A$2:$A$20000=S209)*(DATOS!$G$2:$G$20000=CONFIG_METADATA!$B$4)*(COUNTIF(CONFIG_ASIGNATURAS!$B$7:$B$27,DATOS!$I$2:$I$20000)&gt;0)*1),"")))</f>
        <v/>
      </c>
      <c r="Z209" t="str">
        <f>IF(Y209="","",IF(Y209="[FÓRMULA MANUAL]","",IFERROR(AVERAGEIFS(DATOS!$K$2:$K$20000,DATOS!$A$2:$A$20000,Y209,DATOS!$G$2:$G$20000,CONFIG_METADATA!$B$4,DATOS!$I$2:$I$20000,"Análisis"),"")))</f>
        <v/>
      </c>
      <c r="AA209" t="str">
        <f>IF(Y209="","",IF(Y209="[FÓRMULA MANUAL]","",IFERROR(AVERAGEIFS(DATOS!$K$2:$K$20000,DATOS!$A$2:$A$20000,Y209,DATOS!$G$2:$G$20000,CONFIG_METADATA!$B$4,DATOS!$I$2:$I$20000,"Orquesta/Banda/Conjunto"),"")))</f>
        <v/>
      </c>
      <c r="AB209" t="str">
        <f>IF(Y209="","",IF(Y209="[FÓRMULA MANUAL]","",IFERROR(AVERAGEIFS(DATOS!$K$2:$K$20000,DATOS!$A$2:$A$20000,Y209,DATOS!$G$2:$G$20000,CONFIG_METADATA!$B$4,DATOS!$I$2:$I$20000,"Música de Cámara"),"")))</f>
        <v/>
      </c>
      <c r="AC209" t="str">
        <f>IF(Y209="","",IF(Y209="[FÓRMULA MANUAL]","",IFERROR(SUMPRODUCT((DATOS!$A$2:$A$20000=Y209)*(DATOS!$G$2:$G$20000=CONFIG_METADATA!$B$4)*(COUNTIF(CONFIG_ASIGNATURAS!$B$7:$B$27,DATOS!$I$2:$I$20000)&gt;0)*(DATOS!$K$2:$K$20000))/SUMPRODUCT((DATOS!$A$2:$A$20000=Y209)*(DATOS!$G$2:$G$20000=CONFIG_METADATA!$B$4)*(COUNTIF(CONFIG_ASIGNATURAS!$B$7:$B$27,DATOS!$I$2:$I$20000)&gt;0)*1),"")))</f>
        <v/>
      </c>
      <c r="AF209" t="str">
        <f>IF(AE209="","",IF(AE209="[FÓRMULA MANUAL]","",IFERROR(AVERAGEIFS(DATOS!$K$2:$K$20000,DATOS!$A$2:$A$20000,AE209,DATOS!$G$2:$G$20000,CONFIG_METADATA!$B$4,DATOS!$I$2:$I$20000,"Análisis"),"")))</f>
        <v/>
      </c>
      <c r="AG209" t="str">
        <f>IF(AE209="","",IF(AE209="[FÓRMULA MANUAL]","",IFERROR(AVERAGEIFS(DATOS!$K$2:$K$20000,DATOS!$A$2:$A$20000,AE209,DATOS!$G$2:$G$20000,CONFIG_METADATA!$B$4,DATOS!$I$2:$I$20000,"Orquesta/Banda/Conjunto"),"")))</f>
        <v/>
      </c>
      <c r="AH209" t="str">
        <f>IF(AE209="","",IF(AE209="[FÓRMULA MANUAL]","",IFERROR(AVERAGEIFS(DATOS!$K$2:$K$20000,DATOS!$A$2:$A$20000,AE209,DATOS!$G$2:$G$20000,CONFIG_METADATA!$B$4,DATOS!$I$2:$I$20000,"Música de Cámara"),"")))</f>
        <v/>
      </c>
      <c r="AI209" t="str">
        <f>IF(AE209="","",IF(AE209="[FÓRMULA MANUAL]","",IFERROR(SUMPRODUCT((DATOS!$A$2:$A$20000=AE209)*(DATOS!$G$2:$G$20000=CONFIG_METADATA!$B$4)*(COUNTIF(CONFIG_ASIGNATURAS!$B$7:$B$27,DATOS!$I$2:$I$20000)&gt;0)*(DATOS!$K$2:$K$20000))/SUMPRODUCT((DATOS!$A$2:$A$20000=AE209)*(DATOS!$G$2:$G$20000=CONFIG_METADATA!$B$4)*(COUNTIF(CONFIG_ASIGNATURAS!$B$7:$B$27,DATOS!$I$2:$I$20000)&gt;0)*1),"")))</f>
        <v/>
      </c>
    </row>
    <row r="210" spans="2:35" x14ac:dyDescent="0.2">
      <c r="B210" t="str">
        <f>IF(A210="","",IF(A210="[FÓRMULA MANUAL]","",IFERROR(AVERAGEIFS(DATOS!$K$2:$K$20000,DATOS!$A$2:$A$20000,A210,DATOS!$G$2:$G$20000,CONFIG_METADATA!$B$4,DATOS!$I$2:$I$20000,"Lenguaje Musical"),"")))</f>
        <v/>
      </c>
      <c r="C210" t="str">
        <f>IF(A210="","",IF(A210="[FÓRMULA MANUAL]","",IFERROR(AVERAGEIFS(DATOS!$K$2:$K$20000,DATOS!$A$2:$A$20000,A210,DATOS!$G$2:$G$20000,CONFIG_METADATA!$B$4,DATOS!$I$2:$I$20000,"Orquesta/Banda/Conjunto"),"")))</f>
        <v/>
      </c>
      <c r="D210" t="str">
        <f>IF(A210="","",IF(A210="[FÓRMULA MANUAL]","",IFERROR(AVERAGEIFS(DATOS!$K$2:$K$20000,DATOS!$A$2:$A$20000,A210,DATOS!$G$2:$G$20000,CONFIG_METADATA!$B$4,DATOS!$I$2:$I$20000,"Conjunto"),"")))</f>
        <v/>
      </c>
      <c r="E210" t="str">
        <f>IF(A210="","",IF(A210="[FÓRMULA MANUAL]","",IFERROR(SUMPRODUCT((DATOS!$A$2:$A$20000=A210)*(DATOS!$G$2:$G$20000=CONFIG_METADATA!$B$4)*(COUNTIF(CONFIG_ASIGNATURAS!$B$7:$B$27,DATOS!$I$2:$I$20000)&gt;0)*(DATOS!$K$2:$K$20000))/SUMPRODUCT((DATOS!$A$2:$A$20000=A210)*(DATOS!$G$2:$G$20000=CONFIG_METADATA!$B$4)*(COUNTIF(CONFIG_ASIGNATURAS!$B$7:$B$27,DATOS!$I$2:$I$20000)&gt;0)*1),"")))</f>
        <v/>
      </c>
      <c r="H210" t="str">
        <f>IF(G210="","",IF(G210="[FÓRMULA MANUAL]","",IFERROR(AVERAGEIFS(DATOS!$K$2:$K$20000,DATOS!$A$2:$A$20000,G210,DATOS!$G$2:$G$20000,CONFIG_METADATA!$B$4,DATOS!$I$2:$I$20000,"Lenguaje Musical"),"")))</f>
        <v/>
      </c>
      <c r="I210" t="str">
        <f>IF(G210="","",IF(G210="[FÓRMULA MANUAL]","",IFERROR(AVERAGEIFS(DATOS!$K$2:$K$20000,DATOS!$A$2:$A$20000,G210,DATOS!$G$2:$G$20000,CONFIG_METADATA!$B$4,DATOS!$I$2:$I$20000,"Orquesta/Banda/Conjunto"),"")))</f>
        <v/>
      </c>
      <c r="J210" t="str">
        <f>IF(G210="","",IF(G210="[FÓRMULA MANUAL]","",IFERROR(AVERAGEIFS(DATOS!$K$2:$K$20000,DATOS!$A$2:$A$20000,G210,DATOS!$G$2:$G$20000,CONFIG_METADATA!$B$4,DATOS!$I$2:$I$20000,"Conjunto"),"")))</f>
        <v/>
      </c>
      <c r="K210" t="str">
        <f>IF(G210="","",IF(G210="[FÓRMULA MANUAL]","",IFERROR(SUMPRODUCT((DATOS!$A$2:$A$20000=G210)*(DATOS!$G$2:$G$20000=CONFIG_METADATA!$B$4)*(COUNTIF(CONFIG_ASIGNATURAS!$B$7:$B$27,DATOS!$I$2:$I$20000)&gt;0)*(DATOS!$K$2:$K$20000))/SUMPRODUCT((DATOS!$A$2:$A$20000=G210)*(DATOS!$G$2:$G$20000=CONFIG_METADATA!$B$4)*(COUNTIF(CONFIG_ASIGNATURAS!$B$7:$B$27,DATOS!$I$2:$I$20000)&gt;0)*1),"")))</f>
        <v/>
      </c>
      <c r="N210" t="str">
        <f>IF(M210="","",IF(M210="[FÓRMULA MANUAL]","",IFERROR(AVERAGEIFS(DATOS!$K$2:$K$20000,DATOS!$A$2:$A$20000,M210,DATOS!$G$2:$G$20000,CONFIG_METADATA!$B$4,DATOS!$I$2:$I$20000,"Armonía"),"")))</f>
        <v/>
      </c>
      <c r="O210" t="str">
        <f>IF(M210="","",IF(M210="[FÓRMULA MANUAL]","",IFERROR(AVERAGEIFS(DATOS!$K$2:$K$20000,DATOS!$A$2:$A$20000,M210,DATOS!$G$2:$G$20000,CONFIG_METADATA!$B$4,DATOS!$I$2:$I$20000,"Orquesta/Banda/Conjunto"),"")))</f>
        <v/>
      </c>
      <c r="P210" t="str">
        <f>IF(M210="","",IF(M210="[FÓRMULA MANUAL]","",IFERROR(AVERAGEIFS(DATOS!$K$2:$K$20000,DATOS!$A$2:$A$20000,M210,DATOS!$G$2:$G$20000,CONFIG_METADATA!$B$4,DATOS!$I$2:$I$20000,"Música de Cámara"),"")))</f>
        <v/>
      </c>
      <c r="Q210" t="str">
        <f>IF(M210="","",IF(M210="[FÓRMULA MANUAL]","",IFERROR(SUMPRODUCT((DATOS!$A$2:$A$20000=M210)*(DATOS!$G$2:$G$20000=CONFIG_METADATA!$B$4)*(COUNTIF(CONFIG_ASIGNATURAS!$B$7:$B$27,DATOS!$I$2:$I$20000)&gt;0)*(DATOS!$K$2:$K$20000))/SUMPRODUCT((DATOS!$A$2:$A$20000=M210)*(DATOS!$G$2:$G$20000=CONFIG_METADATA!$B$4)*(COUNTIF(CONFIG_ASIGNATURAS!$B$7:$B$27,DATOS!$I$2:$I$20000)&gt;0)*1),"")))</f>
        <v/>
      </c>
      <c r="T210" t="str">
        <f>IF(S210="","",IF(S210="[FÓRMULA MANUAL]","",IFERROR(AVERAGEIFS(DATOS!$K$2:$K$20000,DATOS!$A$2:$A$20000,S210,DATOS!$G$2:$G$20000,CONFIG_METADATA!$B$4,DATOS!$I$2:$I$20000,"Armonía"),"")))</f>
        <v/>
      </c>
      <c r="U210" t="str">
        <f>IF(S210="","",IF(S210="[FÓRMULA MANUAL]","",IFERROR(AVERAGEIFS(DATOS!$K$2:$K$20000,DATOS!$A$2:$A$20000,S210,DATOS!$G$2:$G$20000,CONFIG_METADATA!$B$4,DATOS!$I$2:$I$20000,"Orquesta/Banda/Conjunto"),"")))</f>
        <v/>
      </c>
      <c r="V210" t="str">
        <f>IF(S210="","",IF(S210="[FÓRMULA MANUAL]","",IFERROR(AVERAGEIFS(DATOS!$K$2:$K$20000,DATOS!$A$2:$A$20000,S210,DATOS!$G$2:$G$20000,CONFIG_METADATA!$B$4,DATOS!$I$2:$I$20000,"Música de Cámara"),"")))</f>
        <v/>
      </c>
      <c r="W210" t="str">
        <f>IF(S210="","",IF(S210="[FÓRMULA MANUAL]","",IFERROR(SUMPRODUCT((DATOS!$A$2:$A$20000=S210)*(DATOS!$G$2:$G$20000=CONFIG_METADATA!$B$4)*(COUNTIF(CONFIG_ASIGNATURAS!$B$7:$B$27,DATOS!$I$2:$I$20000)&gt;0)*(DATOS!$K$2:$K$20000))/SUMPRODUCT((DATOS!$A$2:$A$20000=S210)*(DATOS!$G$2:$G$20000=CONFIG_METADATA!$B$4)*(COUNTIF(CONFIG_ASIGNATURAS!$B$7:$B$27,DATOS!$I$2:$I$20000)&gt;0)*1),"")))</f>
        <v/>
      </c>
      <c r="Z210" t="str">
        <f>IF(Y210="","",IF(Y210="[FÓRMULA MANUAL]","",IFERROR(AVERAGEIFS(DATOS!$K$2:$K$20000,DATOS!$A$2:$A$20000,Y210,DATOS!$G$2:$G$20000,CONFIG_METADATA!$B$4,DATOS!$I$2:$I$20000,"Análisis"),"")))</f>
        <v/>
      </c>
      <c r="AA210" t="str">
        <f>IF(Y210="","",IF(Y210="[FÓRMULA MANUAL]","",IFERROR(AVERAGEIFS(DATOS!$K$2:$K$20000,DATOS!$A$2:$A$20000,Y210,DATOS!$G$2:$G$20000,CONFIG_METADATA!$B$4,DATOS!$I$2:$I$20000,"Orquesta/Banda/Conjunto"),"")))</f>
        <v/>
      </c>
      <c r="AB210" t="str">
        <f>IF(Y210="","",IF(Y210="[FÓRMULA MANUAL]","",IFERROR(AVERAGEIFS(DATOS!$K$2:$K$20000,DATOS!$A$2:$A$20000,Y210,DATOS!$G$2:$G$20000,CONFIG_METADATA!$B$4,DATOS!$I$2:$I$20000,"Música de Cámara"),"")))</f>
        <v/>
      </c>
      <c r="AC210" t="str">
        <f>IF(Y210="","",IF(Y210="[FÓRMULA MANUAL]","",IFERROR(SUMPRODUCT((DATOS!$A$2:$A$20000=Y210)*(DATOS!$G$2:$G$20000=CONFIG_METADATA!$B$4)*(COUNTIF(CONFIG_ASIGNATURAS!$B$7:$B$27,DATOS!$I$2:$I$20000)&gt;0)*(DATOS!$K$2:$K$20000))/SUMPRODUCT((DATOS!$A$2:$A$20000=Y210)*(DATOS!$G$2:$G$20000=CONFIG_METADATA!$B$4)*(COUNTIF(CONFIG_ASIGNATURAS!$B$7:$B$27,DATOS!$I$2:$I$20000)&gt;0)*1),"")))</f>
        <v/>
      </c>
      <c r="AF210" t="str">
        <f>IF(AE210="","",IF(AE210="[FÓRMULA MANUAL]","",IFERROR(AVERAGEIFS(DATOS!$K$2:$K$20000,DATOS!$A$2:$A$20000,AE210,DATOS!$G$2:$G$20000,CONFIG_METADATA!$B$4,DATOS!$I$2:$I$20000,"Análisis"),"")))</f>
        <v/>
      </c>
      <c r="AG210" t="str">
        <f>IF(AE210="","",IF(AE210="[FÓRMULA MANUAL]","",IFERROR(AVERAGEIFS(DATOS!$K$2:$K$20000,DATOS!$A$2:$A$20000,AE210,DATOS!$G$2:$G$20000,CONFIG_METADATA!$B$4,DATOS!$I$2:$I$20000,"Orquesta/Banda/Conjunto"),"")))</f>
        <v/>
      </c>
      <c r="AH210" t="str">
        <f>IF(AE210="","",IF(AE210="[FÓRMULA MANUAL]","",IFERROR(AVERAGEIFS(DATOS!$K$2:$K$20000,DATOS!$A$2:$A$20000,AE210,DATOS!$G$2:$G$20000,CONFIG_METADATA!$B$4,DATOS!$I$2:$I$20000,"Música de Cámara"),"")))</f>
        <v/>
      </c>
      <c r="AI210" t="str">
        <f>IF(AE210="","",IF(AE210="[FÓRMULA MANUAL]","",IFERROR(SUMPRODUCT((DATOS!$A$2:$A$20000=AE210)*(DATOS!$G$2:$G$20000=CONFIG_METADATA!$B$4)*(COUNTIF(CONFIG_ASIGNATURAS!$B$7:$B$27,DATOS!$I$2:$I$20000)&gt;0)*(DATOS!$K$2:$K$20000))/SUMPRODUCT((DATOS!$A$2:$A$20000=AE210)*(DATOS!$G$2:$G$20000=CONFIG_METADATA!$B$4)*(COUNTIF(CONFIG_ASIGNATURAS!$B$7:$B$27,DATOS!$I$2:$I$20000)&gt;0)*1),"")))</f>
        <v/>
      </c>
    </row>
    <row r="211" spans="2:35" x14ac:dyDescent="0.2">
      <c r="B211" t="str">
        <f>IF(A211="","",IF(A211="[FÓRMULA MANUAL]","",IFERROR(AVERAGEIFS(DATOS!$K$2:$K$20000,DATOS!$A$2:$A$20000,A211,DATOS!$G$2:$G$20000,CONFIG_METADATA!$B$4,DATOS!$I$2:$I$20000,"Lenguaje Musical"),"")))</f>
        <v/>
      </c>
      <c r="C211" t="str">
        <f>IF(A211="","",IF(A211="[FÓRMULA MANUAL]","",IFERROR(AVERAGEIFS(DATOS!$K$2:$K$20000,DATOS!$A$2:$A$20000,A211,DATOS!$G$2:$G$20000,CONFIG_METADATA!$B$4,DATOS!$I$2:$I$20000,"Orquesta/Banda/Conjunto"),"")))</f>
        <v/>
      </c>
      <c r="D211" t="str">
        <f>IF(A211="","",IF(A211="[FÓRMULA MANUAL]","",IFERROR(AVERAGEIFS(DATOS!$K$2:$K$20000,DATOS!$A$2:$A$20000,A211,DATOS!$G$2:$G$20000,CONFIG_METADATA!$B$4,DATOS!$I$2:$I$20000,"Conjunto"),"")))</f>
        <v/>
      </c>
      <c r="E211" t="str">
        <f>IF(A211="","",IF(A211="[FÓRMULA MANUAL]","",IFERROR(SUMPRODUCT((DATOS!$A$2:$A$20000=A211)*(DATOS!$G$2:$G$20000=CONFIG_METADATA!$B$4)*(COUNTIF(CONFIG_ASIGNATURAS!$B$7:$B$27,DATOS!$I$2:$I$20000)&gt;0)*(DATOS!$K$2:$K$20000))/SUMPRODUCT((DATOS!$A$2:$A$20000=A211)*(DATOS!$G$2:$G$20000=CONFIG_METADATA!$B$4)*(COUNTIF(CONFIG_ASIGNATURAS!$B$7:$B$27,DATOS!$I$2:$I$20000)&gt;0)*1),"")))</f>
        <v/>
      </c>
      <c r="H211" t="str">
        <f>IF(G211="","",IF(G211="[FÓRMULA MANUAL]","",IFERROR(AVERAGEIFS(DATOS!$K$2:$K$20000,DATOS!$A$2:$A$20000,G211,DATOS!$G$2:$G$20000,CONFIG_METADATA!$B$4,DATOS!$I$2:$I$20000,"Lenguaje Musical"),"")))</f>
        <v/>
      </c>
      <c r="I211" t="str">
        <f>IF(G211="","",IF(G211="[FÓRMULA MANUAL]","",IFERROR(AVERAGEIFS(DATOS!$K$2:$K$20000,DATOS!$A$2:$A$20000,G211,DATOS!$G$2:$G$20000,CONFIG_METADATA!$B$4,DATOS!$I$2:$I$20000,"Orquesta/Banda/Conjunto"),"")))</f>
        <v/>
      </c>
      <c r="J211" t="str">
        <f>IF(G211="","",IF(G211="[FÓRMULA MANUAL]","",IFERROR(AVERAGEIFS(DATOS!$K$2:$K$20000,DATOS!$A$2:$A$20000,G211,DATOS!$G$2:$G$20000,CONFIG_METADATA!$B$4,DATOS!$I$2:$I$20000,"Conjunto"),"")))</f>
        <v/>
      </c>
      <c r="K211" t="str">
        <f>IF(G211="","",IF(G211="[FÓRMULA MANUAL]","",IFERROR(SUMPRODUCT((DATOS!$A$2:$A$20000=G211)*(DATOS!$G$2:$G$20000=CONFIG_METADATA!$B$4)*(COUNTIF(CONFIG_ASIGNATURAS!$B$7:$B$27,DATOS!$I$2:$I$20000)&gt;0)*(DATOS!$K$2:$K$20000))/SUMPRODUCT((DATOS!$A$2:$A$20000=G211)*(DATOS!$G$2:$G$20000=CONFIG_METADATA!$B$4)*(COUNTIF(CONFIG_ASIGNATURAS!$B$7:$B$27,DATOS!$I$2:$I$20000)&gt;0)*1),"")))</f>
        <v/>
      </c>
      <c r="N211" t="str">
        <f>IF(M211="","",IF(M211="[FÓRMULA MANUAL]","",IFERROR(AVERAGEIFS(DATOS!$K$2:$K$20000,DATOS!$A$2:$A$20000,M211,DATOS!$G$2:$G$20000,CONFIG_METADATA!$B$4,DATOS!$I$2:$I$20000,"Armonía"),"")))</f>
        <v/>
      </c>
      <c r="O211" t="str">
        <f>IF(M211="","",IF(M211="[FÓRMULA MANUAL]","",IFERROR(AVERAGEIFS(DATOS!$K$2:$K$20000,DATOS!$A$2:$A$20000,M211,DATOS!$G$2:$G$20000,CONFIG_METADATA!$B$4,DATOS!$I$2:$I$20000,"Orquesta/Banda/Conjunto"),"")))</f>
        <v/>
      </c>
      <c r="P211" t="str">
        <f>IF(M211="","",IF(M211="[FÓRMULA MANUAL]","",IFERROR(AVERAGEIFS(DATOS!$K$2:$K$20000,DATOS!$A$2:$A$20000,M211,DATOS!$G$2:$G$20000,CONFIG_METADATA!$B$4,DATOS!$I$2:$I$20000,"Música de Cámara"),"")))</f>
        <v/>
      </c>
      <c r="Q211" t="str">
        <f>IF(M211="","",IF(M211="[FÓRMULA MANUAL]","",IFERROR(SUMPRODUCT((DATOS!$A$2:$A$20000=M211)*(DATOS!$G$2:$G$20000=CONFIG_METADATA!$B$4)*(COUNTIF(CONFIG_ASIGNATURAS!$B$7:$B$27,DATOS!$I$2:$I$20000)&gt;0)*(DATOS!$K$2:$K$20000))/SUMPRODUCT((DATOS!$A$2:$A$20000=M211)*(DATOS!$G$2:$G$20000=CONFIG_METADATA!$B$4)*(COUNTIF(CONFIG_ASIGNATURAS!$B$7:$B$27,DATOS!$I$2:$I$20000)&gt;0)*1),"")))</f>
        <v/>
      </c>
      <c r="T211" t="str">
        <f>IF(S211="","",IF(S211="[FÓRMULA MANUAL]","",IFERROR(AVERAGEIFS(DATOS!$K$2:$K$20000,DATOS!$A$2:$A$20000,S211,DATOS!$G$2:$G$20000,CONFIG_METADATA!$B$4,DATOS!$I$2:$I$20000,"Armonía"),"")))</f>
        <v/>
      </c>
      <c r="U211" t="str">
        <f>IF(S211="","",IF(S211="[FÓRMULA MANUAL]","",IFERROR(AVERAGEIFS(DATOS!$K$2:$K$20000,DATOS!$A$2:$A$20000,S211,DATOS!$G$2:$G$20000,CONFIG_METADATA!$B$4,DATOS!$I$2:$I$20000,"Orquesta/Banda/Conjunto"),"")))</f>
        <v/>
      </c>
      <c r="V211" t="str">
        <f>IF(S211="","",IF(S211="[FÓRMULA MANUAL]","",IFERROR(AVERAGEIFS(DATOS!$K$2:$K$20000,DATOS!$A$2:$A$20000,S211,DATOS!$G$2:$G$20000,CONFIG_METADATA!$B$4,DATOS!$I$2:$I$20000,"Música de Cámara"),"")))</f>
        <v/>
      </c>
      <c r="W211" t="str">
        <f>IF(S211="","",IF(S211="[FÓRMULA MANUAL]","",IFERROR(SUMPRODUCT((DATOS!$A$2:$A$20000=S211)*(DATOS!$G$2:$G$20000=CONFIG_METADATA!$B$4)*(COUNTIF(CONFIG_ASIGNATURAS!$B$7:$B$27,DATOS!$I$2:$I$20000)&gt;0)*(DATOS!$K$2:$K$20000))/SUMPRODUCT((DATOS!$A$2:$A$20000=S211)*(DATOS!$G$2:$G$20000=CONFIG_METADATA!$B$4)*(COUNTIF(CONFIG_ASIGNATURAS!$B$7:$B$27,DATOS!$I$2:$I$20000)&gt;0)*1),"")))</f>
        <v/>
      </c>
      <c r="Z211" t="str">
        <f>IF(Y211="","",IF(Y211="[FÓRMULA MANUAL]","",IFERROR(AVERAGEIFS(DATOS!$K$2:$K$20000,DATOS!$A$2:$A$20000,Y211,DATOS!$G$2:$G$20000,CONFIG_METADATA!$B$4,DATOS!$I$2:$I$20000,"Análisis"),"")))</f>
        <v/>
      </c>
      <c r="AA211" t="str">
        <f>IF(Y211="","",IF(Y211="[FÓRMULA MANUAL]","",IFERROR(AVERAGEIFS(DATOS!$K$2:$K$20000,DATOS!$A$2:$A$20000,Y211,DATOS!$G$2:$G$20000,CONFIG_METADATA!$B$4,DATOS!$I$2:$I$20000,"Orquesta/Banda/Conjunto"),"")))</f>
        <v/>
      </c>
      <c r="AB211" t="str">
        <f>IF(Y211="","",IF(Y211="[FÓRMULA MANUAL]","",IFERROR(AVERAGEIFS(DATOS!$K$2:$K$20000,DATOS!$A$2:$A$20000,Y211,DATOS!$G$2:$G$20000,CONFIG_METADATA!$B$4,DATOS!$I$2:$I$20000,"Música de Cámara"),"")))</f>
        <v/>
      </c>
      <c r="AC211" t="str">
        <f>IF(Y211="","",IF(Y211="[FÓRMULA MANUAL]","",IFERROR(SUMPRODUCT((DATOS!$A$2:$A$20000=Y211)*(DATOS!$G$2:$G$20000=CONFIG_METADATA!$B$4)*(COUNTIF(CONFIG_ASIGNATURAS!$B$7:$B$27,DATOS!$I$2:$I$20000)&gt;0)*(DATOS!$K$2:$K$20000))/SUMPRODUCT((DATOS!$A$2:$A$20000=Y211)*(DATOS!$G$2:$G$20000=CONFIG_METADATA!$B$4)*(COUNTIF(CONFIG_ASIGNATURAS!$B$7:$B$27,DATOS!$I$2:$I$20000)&gt;0)*1),"")))</f>
        <v/>
      </c>
      <c r="AF211" t="str">
        <f>IF(AE211="","",IF(AE211="[FÓRMULA MANUAL]","",IFERROR(AVERAGEIFS(DATOS!$K$2:$K$20000,DATOS!$A$2:$A$20000,AE211,DATOS!$G$2:$G$20000,CONFIG_METADATA!$B$4,DATOS!$I$2:$I$20000,"Análisis"),"")))</f>
        <v/>
      </c>
      <c r="AG211" t="str">
        <f>IF(AE211="","",IF(AE211="[FÓRMULA MANUAL]","",IFERROR(AVERAGEIFS(DATOS!$K$2:$K$20000,DATOS!$A$2:$A$20000,AE211,DATOS!$G$2:$G$20000,CONFIG_METADATA!$B$4,DATOS!$I$2:$I$20000,"Orquesta/Banda/Conjunto"),"")))</f>
        <v/>
      </c>
      <c r="AH211" t="str">
        <f>IF(AE211="","",IF(AE211="[FÓRMULA MANUAL]","",IFERROR(AVERAGEIFS(DATOS!$K$2:$K$20000,DATOS!$A$2:$A$20000,AE211,DATOS!$G$2:$G$20000,CONFIG_METADATA!$B$4,DATOS!$I$2:$I$20000,"Música de Cámara"),"")))</f>
        <v/>
      </c>
      <c r="AI211" t="str">
        <f>IF(AE211="","",IF(AE211="[FÓRMULA MANUAL]","",IFERROR(SUMPRODUCT((DATOS!$A$2:$A$20000=AE211)*(DATOS!$G$2:$G$20000=CONFIG_METADATA!$B$4)*(COUNTIF(CONFIG_ASIGNATURAS!$B$7:$B$27,DATOS!$I$2:$I$20000)&gt;0)*(DATOS!$K$2:$K$20000))/SUMPRODUCT((DATOS!$A$2:$A$20000=AE211)*(DATOS!$G$2:$G$20000=CONFIG_METADATA!$B$4)*(COUNTIF(CONFIG_ASIGNATURAS!$B$7:$B$27,DATOS!$I$2:$I$20000)&gt;0)*1),"")))</f>
        <v/>
      </c>
    </row>
    <row r="212" spans="2:35" x14ac:dyDescent="0.2">
      <c r="B212" t="str">
        <f>IF(A212="","",IF(A212="[FÓRMULA MANUAL]","",IFERROR(AVERAGEIFS(DATOS!$K$2:$K$20000,DATOS!$A$2:$A$20000,A212,DATOS!$G$2:$G$20000,CONFIG_METADATA!$B$4,DATOS!$I$2:$I$20000,"Lenguaje Musical"),"")))</f>
        <v/>
      </c>
      <c r="C212" t="str">
        <f>IF(A212="","",IF(A212="[FÓRMULA MANUAL]","",IFERROR(AVERAGEIFS(DATOS!$K$2:$K$20000,DATOS!$A$2:$A$20000,A212,DATOS!$G$2:$G$20000,CONFIG_METADATA!$B$4,DATOS!$I$2:$I$20000,"Orquesta/Banda/Conjunto"),"")))</f>
        <v/>
      </c>
      <c r="D212" t="str">
        <f>IF(A212="","",IF(A212="[FÓRMULA MANUAL]","",IFERROR(AVERAGEIFS(DATOS!$K$2:$K$20000,DATOS!$A$2:$A$20000,A212,DATOS!$G$2:$G$20000,CONFIG_METADATA!$B$4,DATOS!$I$2:$I$20000,"Conjunto"),"")))</f>
        <v/>
      </c>
      <c r="E212" t="str">
        <f>IF(A212="","",IF(A212="[FÓRMULA MANUAL]","",IFERROR(SUMPRODUCT((DATOS!$A$2:$A$20000=A212)*(DATOS!$G$2:$G$20000=CONFIG_METADATA!$B$4)*(COUNTIF(CONFIG_ASIGNATURAS!$B$7:$B$27,DATOS!$I$2:$I$20000)&gt;0)*(DATOS!$K$2:$K$20000))/SUMPRODUCT((DATOS!$A$2:$A$20000=A212)*(DATOS!$G$2:$G$20000=CONFIG_METADATA!$B$4)*(COUNTIF(CONFIG_ASIGNATURAS!$B$7:$B$27,DATOS!$I$2:$I$20000)&gt;0)*1),"")))</f>
        <v/>
      </c>
      <c r="H212" t="str">
        <f>IF(G212="","",IF(G212="[FÓRMULA MANUAL]","",IFERROR(AVERAGEIFS(DATOS!$K$2:$K$20000,DATOS!$A$2:$A$20000,G212,DATOS!$G$2:$G$20000,CONFIG_METADATA!$B$4,DATOS!$I$2:$I$20000,"Lenguaje Musical"),"")))</f>
        <v/>
      </c>
      <c r="I212" t="str">
        <f>IF(G212="","",IF(G212="[FÓRMULA MANUAL]","",IFERROR(AVERAGEIFS(DATOS!$K$2:$K$20000,DATOS!$A$2:$A$20000,G212,DATOS!$G$2:$G$20000,CONFIG_METADATA!$B$4,DATOS!$I$2:$I$20000,"Orquesta/Banda/Conjunto"),"")))</f>
        <v/>
      </c>
      <c r="J212" t="str">
        <f>IF(G212="","",IF(G212="[FÓRMULA MANUAL]","",IFERROR(AVERAGEIFS(DATOS!$K$2:$K$20000,DATOS!$A$2:$A$20000,G212,DATOS!$G$2:$G$20000,CONFIG_METADATA!$B$4,DATOS!$I$2:$I$20000,"Conjunto"),"")))</f>
        <v/>
      </c>
      <c r="K212" t="str">
        <f>IF(G212="","",IF(G212="[FÓRMULA MANUAL]","",IFERROR(SUMPRODUCT((DATOS!$A$2:$A$20000=G212)*(DATOS!$G$2:$G$20000=CONFIG_METADATA!$B$4)*(COUNTIF(CONFIG_ASIGNATURAS!$B$7:$B$27,DATOS!$I$2:$I$20000)&gt;0)*(DATOS!$K$2:$K$20000))/SUMPRODUCT((DATOS!$A$2:$A$20000=G212)*(DATOS!$G$2:$G$20000=CONFIG_METADATA!$B$4)*(COUNTIF(CONFIG_ASIGNATURAS!$B$7:$B$27,DATOS!$I$2:$I$20000)&gt;0)*1),"")))</f>
        <v/>
      </c>
      <c r="N212" t="str">
        <f>IF(M212="","",IF(M212="[FÓRMULA MANUAL]","",IFERROR(AVERAGEIFS(DATOS!$K$2:$K$20000,DATOS!$A$2:$A$20000,M212,DATOS!$G$2:$G$20000,CONFIG_METADATA!$B$4,DATOS!$I$2:$I$20000,"Armonía"),"")))</f>
        <v/>
      </c>
      <c r="O212" t="str">
        <f>IF(M212="","",IF(M212="[FÓRMULA MANUAL]","",IFERROR(AVERAGEIFS(DATOS!$K$2:$K$20000,DATOS!$A$2:$A$20000,M212,DATOS!$G$2:$G$20000,CONFIG_METADATA!$B$4,DATOS!$I$2:$I$20000,"Orquesta/Banda/Conjunto"),"")))</f>
        <v/>
      </c>
      <c r="P212" t="str">
        <f>IF(M212="","",IF(M212="[FÓRMULA MANUAL]","",IFERROR(AVERAGEIFS(DATOS!$K$2:$K$20000,DATOS!$A$2:$A$20000,M212,DATOS!$G$2:$G$20000,CONFIG_METADATA!$B$4,DATOS!$I$2:$I$20000,"Música de Cámara"),"")))</f>
        <v/>
      </c>
      <c r="Q212" t="str">
        <f>IF(M212="","",IF(M212="[FÓRMULA MANUAL]","",IFERROR(SUMPRODUCT((DATOS!$A$2:$A$20000=M212)*(DATOS!$G$2:$G$20000=CONFIG_METADATA!$B$4)*(COUNTIF(CONFIG_ASIGNATURAS!$B$7:$B$27,DATOS!$I$2:$I$20000)&gt;0)*(DATOS!$K$2:$K$20000))/SUMPRODUCT((DATOS!$A$2:$A$20000=M212)*(DATOS!$G$2:$G$20000=CONFIG_METADATA!$B$4)*(COUNTIF(CONFIG_ASIGNATURAS!$B$7:$B$27,DATOS!$I$2:$I$20000)&gt;0)*1),"")))</f>
        <v/>
      </c>
      <c r="T212" t="str">
        <f>IF(S212="","",IF(S212="[FÓRMULA MANUAL]","",IFERROR(AVERAGEIFS(DATOS!$K$2:$K$20000,DATOS!$A$2:$A$20000,S212,DATOS!$G$2:$G$20000,CONFIG_METADATA!$B$4,DATOS!$I$2:$I$20000,"Armonía"),"")))</f>
        <v/>
      </c>
      <c r="U212" t="str">
        <f>IF(S212="","",IF(S212="[FÓRMULA MANUAL]","",IFERROR(AVERAGEIFS(DATOS!$K$2:$K$20000,DATOS!$A$2:$A$20000,S212,DATOS!$G$2:$G$20000,CONFIG_METADATA!$B$4,DATOS!$I$2:$I$20000,"Orquesta/Banda/Conjunto"),"")))</f>
        <v/>
      </c>
      <c r="V212" t="str">
        <f>IF(S212="","",IF(S212="[FÓRMULA MANUAL]","",IFERROR(AVERAGEIFS(DATOS!$K$2:$K$20000,DATOS!$A$2:$A$20000,S212,DATOS!$G$2:$G$20000,CONFIG_METADATA!$B$4,DATOS!$I$2:$I$20000,"Música de Cámara"),"")))</f>
        <v/>
      </c>
      <c r="W212" t="str">
        <f>IF(S212="","",IF(S212="[FÓRMULA MANUAL]","",IFERROR(SUMPRODUCT((DATOS!$A$2:$A$20000=S212)*(DATOS!$G$2:$G$20000=CONFIG_METADATA!$B$4)*(COUNTIF(CONFIG_ASIGNATURAS!$B$7:$B$27,DATOS!$I$2:$I$20000)&gt;0)*(DATOS!$K$2:$K$20000))/SUMPRODUCT((DATOS!$A$2:$A$20000=S212)*(DATOS!$G$2:$G$20000=CONFIG_METADATA!$B$4)*(COUNTIF(CONFIG_ASIGNATURAS!$B$7:$B$27,DATOS!$I$2:$I$20000)&gt;0)*1),"")))</f>
        <v/>
      </c>
      <c r="Z212" t="str">
        <f>IF(Y212="","",IF(Y212="[FÓRMULA MANUAL]","",IFERROR(AVERAGEIFS(DATOS!$K$2:$K$20000,DATOS!$A$2:$A$20000,Y212,DATOS!$G$2:$G$20000,CONFIG_METADATA!$B$4,DATOS!$I$2:$I$20000,"Análisis"),"")))</f>
        <v/>
      </c>
      <c r="AA212" t="str">
        <f>IF(Y212="","",IF(Y212="[FÓRMULA MANUAL]","",IFERROR(AVERAGEIFS(DATOS!$K$2:$K$20000,DATOS!$A$2:$A$20000,Y212,DATOS!$G$2:$G$20000,CONFIG_METADATA!$B$4,DATOS!$I$2:$I$20000,"Orquesta/Banda/Conjunto"),"")))</f>
        <v/>
      </c>
      <c r="AB212" t="str">
        <f>IF(Y212="","",IF(Y212="[FÓRMULA MANUAL]","",IFERROR(AVERAGEIFS(DATOS!$K$2:$K$20000,DATOS!$A$2:$A$20000,Y212,DATOS!$G$2:$G$20000,CONFIG_METADATA!$B$4,DATOS!$I$2:$I$20000,"Música de Cámara"),"")))</f>
        <v/>
      </c>
      <c r="AC212" t="str">
        <f>IF(Y212="","",IF(Y212="[FÓRMULA MANUAL]","",IFERROR(SUMPRODUCT((DATOS!$A$2:$A$20000=Y212)*(DATOS!$G$2:$G$20000=CONFIG_METADATA!$B$4)*(COUNTIF(CONFIG_ASIGNATURAS!$B$7:$B$27,DATOS!$I$2:$I$20000)&gt;0)*(DATOS!$K$2:$K$20000))/SUMPRODUCT((DATOS!$A$2:$A$20000=Y212)*(DATOS!$G$2:$G$20000=CONFIG_METADATA!$B$4)*(COUNTIF(CONFIG_ASIGNATURAS!$B$7:$B$27,DATOS!$I$2:$I$20000)&gt;0)*1),"")))</f>
        <v/>
      </c>
      <c r="AF212" t="str">
        <f>IF(AE212="","",IF(AE212="[FÓRMULA MANUAL]","",IFERROR(AVERAGEIFS(DATOS!$K$2:$K$20000,DATOS!$A$2:$A$20000,AE212,DATOS!$G$2:$G$20000,CONFIG_METADATA!$B$4,DATOS!$I$2:$I$20000,"Análisis"),"")))</f>
        <v/>
      </c>
      <c r="AG212" t="str">
        <f>IF(AE212="","",IF(AE212="[FÓRMULA MANUAL]","",IFERROR(AVERAGEIFS(DATOS!$K$2:$K$20000,DATOS!$A$2:$A$20000,AE212,DATOS!$G$2:$G$20000,CONFIG_METADATA!$B$4,DATOS!$I$2:$I$20000,"Orquesta/Banda/Conjunto"),"")))</f>
        <v/>
      </c>
      <c r="AH212" t="str">
        <f>IF(AE212="","",IF(AE212="[FÓRMULA MANUAL]","",IFERROR(AVERAGEIFS(DATOS!$K$2:$K$20000,DATOS!$A$2:$A$20000,AE212,DATOS!$G$2:$G$20000,CONFIG_METADATA!$B$4,DATOS!$I$2:$I$20000,"Música de Cámara"),"")))</f>
        <v/>
      </c>
      <c r="AI212" t="str">
        <f>IF(AE212="","",IF(AE212="[FÓRMULA MANUAL]","",IFERROR(SUMPRODUCT((DATOS!$A$2:$A$20000=AE212)*(DATOS!$G$2:$G$20000=CONFIG_METADATA!$B$4)*(COUNTIF(CONFIG_ASIGNATURAS!$B$7:$B$27,DATOS!$I$2:$I$20000)&gt;0)*(DATOS!$K$2:$K$20000))/SUMPRODUCT((DATOS!$A$2:$A$20000=AE212)*(DATOS!$G$2:$G$20000=CONFIG_METADATA!$B$4)*(COUNTIF(CONFIG_ASIGNATURAS!$B$7:$B$27,DATOS!$I$2:$I$20000)&gt;0)*1),"")))</f>
        <v/>
      </c>
    </row>
    <row r="213" spans="2:35" x14ac:dyDescent="0.2">
      <c r="B213" t="str">
        <f>IF(A213="","",IF(A213="[FÓRMULA MANUAL]","",IFERROR(AVERAGEIFS(DATOS!$K$2:$K$20000,DATOS!$A$2:$A$20000,A213,DATOS!$G$2:$G$20000,CONFIG_METADATA!$B$4,DATOS!$I$2:$I$20000,"Lenguaje Musical"),"")))</f>
        <v/>
      </c>
      <c r="C213" t="str">
        <f>IF(A213="","",IF(A213="[FÓRMULA MANUAL]","",IFERROR(AVERAGEIFS(DATOS!$K$2:$K$20000,DATOS!$A$2:$A$20000,A213,DATOS!$G$2:$G$20000,CONFIG_METADATA!$B$4,DATOS!$I$2:$I$20000,"Orquesta/Banda/Conjunto"),"")))</f>
        <v/>
      </c>
      <c r="D213" t="str">
        <f>IF(A213="","",IF(A213="[FÓRMULA MANUAL]","",IFERROR(AVERAGEIFS(DATOS!$K$2:$K$20000,DATOS!$A$2:$A$20000,A213,DATOS!$G$2:$G$20000,CONFIG_METADATA!$B$4,DATOS!$I$2:$I$20000,"Conjunto"),"")))</f>
        <v/>
      </c>
      <c r="E213" t="str">
        <f>IF(A213="","",IF(A213="[FÓRMULA MANUAL]","",IFERROR(SUMPRODUCT((DATOS!$A$2:$A$20000=A213)*(DATOS!$G$2:$G$20000=CONFIG_METADATA!$B$4)*(COUNTIF(CONFIG_ASIGNATURAS!$B$7:$B$27,DATOS!$I$2:$I$20000)&gt;0)*(DATOS!$K$2:$K$20000))/SUMPRODUCT((DATOS!$A$2:$A$20000=A213)*(DATOS!$G$2:$G$20000=CONFIG_METADATA!$B$4)*(COUNTIF(CONFIG_ASIGNATURAS!$B$7:$B$27,DATOS!$I$2:$I$20000)&gt;0)*1),"")))</f>
        <v/>
      </c>
      <c r="H213" t="str">
        <f>IF(G213="","",IF(G213="[FÓRMULA MANUAL]","",IFERROR(AVERAGEIFS(DATOS!$K$2:$K$20000,DATOS!$A$2:$A$20000,G213,DATOS!$G$2:$G$20000,CONFIG_METADATA!$B$4,DATOS!$I$2:$I$20000,"Lenguaje Musical"),"")))</f>
        <v/>
      </c>
      <c r="I213" t="str">
        <f>IF(G213="","",IF(G213="[FÓRMULA MANUAL]","",IFERROR(AVERAGEIFS(DATOS!$K$2:$K$20000,DATOS!$A$2:$A$20000,G213,DATOS!$G$2:$G$20000,CONFIG_METADATA!$B$4,DATOS!$I$2:$I$20000,"Orquesta/Banda/Conjunto"),"")))</f>
        <v/>
      </c>
      <c r="J213" t="str">
        <f>IF(G213="","",IF(G213="[FÓRMULA MANUAL]","",IFERROR(AVERAGEIFS(DATOS!$K$2:$K$20000,DATOS!$A$2:$A$20000,G213,DATOS!$G$2:$G$20000,CONFIG_METADATA!$B$4,DATOS!$I$2:$I$20000,"Conjunto"),"")))</f>
        <v/>
      </c>
      <c r="K213" t="str">
        <f>IF(G213="","",IF(G213="[FÓRMULA MANUAL]","",IFERROR(SUMPRODUCT((DATOS!$A$2:$A$20000=G213)*(DATOS!$G$2:$G$20000=CONFIG_METADATA!$B$4)*(COUNTIF(CONFIG_ASIGNATURAS!$B$7:$B$27,DATOS!$I$2:$I$20000)&gt;0)*(DATOS!$K$2:$K$20000))/SUMPRODUCT((DATOS!$A$2:$A$20000=G213)*(DATOS!$G$2:$G$20000=CONFIG_METADATA!$B$4)*(COUNTIF(CONFIG_ASIGNATURAS!$B$7:$B$27,DATOS!$I$2:$I$20000)&gt;0)*1),"")))</f>
        <v/>
      </c>
      <c r="N213" t="str">
        <f>IF(M213="","",IF(M213="[FÓRMULA MANUAL]","",IFERROR(AVERAGEIFS(DATOS!$K$2:$K$20000,DATOS!$A$2:$A$20000,M213,DATOS!$G$2:$G$20000,CONFIG_METADATA!$B$4,DATOS!$I$2:$I$20000,"Armonía"),"")))</f>
        <v/>
      </c>
      <c r="O213" t="str">
        <f>IF(M213="","",IF(M213="[FÓRMULA MANUAL]","",IFERROR(AVERAGEIFS(DATOS!$K$2:$K$20000,DATOS!$A$2:$A$20000,M213,DATOS!$G$2:$G$20000,CONFIG_METADATA!$B$4,DATOS!$I$2:$I$20000,"Orquesta/Banda/Conjunto"),"")))</f>
        <v/>
      </c>
      <c r="P213" t="str">
        <f>IF(M213="","",IF(M213="[FÓRMULA MANUAL]","",IFERROR(AVERAGEIFS(DATOS!$K$2:$K$20000,DATOS!$A$2:$A$20000,M213,DATOS!$G$2:$G$20000,CONFIG_METADATA!$B$4,DATOS!$I$2:$I$20000,"Música de Cámara"),"")))</f>
        <v/>
      </c>
      <c r="Q213" t="str">
        <f>IF(M213="","",IF(M213="[FÓRMULA MANUAL]","",IFERROR(SUMPRODUCT((DATOS!$A$2:$A$20000=M213)*(DATOS!$G$2:$G$20000=CONFIG_METADATA!$B$4)*(COUNTIF(CONFIG_ASIGNATURAS!$B$7:$B$27,DATOS!$I$2:$I$20000)&gt;0)*(DATOS!$K$2:$K$20000))/SUMPRODUCT((DATOS!$A$2:$A$20000=M213)*(DATOS!$G$2:$G$20000=CONFIG_METADATA!$B$4)*(COUNTIF(CONFIG_ASIGNATURAS!$B$7:$B$27,DATOS!$I$2:$I$20000)&gt;0)*1),"")))</f>
        <v/>
      </c>
      <c r="T213" t="str">
        <f>IF(S213="","",IF(S213="[FÓRMULA MANUAL]","",IFERROR(AVERAGEIFS(DATOS!$K$2:$K$20000,DATOS!$A$2:$A$20000,S213,DATOS!$G$2:$G$20000,CONFIG_METADATA!$B$4,DATOS!$I$2:$I$20000,"Armonía"),"")))</f>
        <v/>
      </c>
      <c r="U213" t="str">
        <f>IF(S213="","",IF(S213="[FÓRMULA MANUAL]","",IFERROR(AVERAGEIFS(DATOS!$K$2:$K$20000,DATOS!$A$2:$A$20000,S213,DATOS!$G$2:$G$20000,CONFIG_METADATA!$B$4,DATOS!$I$2:$I$20000,"Orquesta/Banda/Conjunto"),"")))</f>
        <v/>
      </c>
      <c r="V213" t="str">
        <f>IF(S213="","",IF(S213="[FÓRMULA MANUAL]","",IFERROR(AVERAGEIFS(DATOS!$K$2:$K$20000,DATOS!$A$2:$A$20000,S213,DATOS!$G$2:$G$20000,CONFIG_METADATA!$B$4,DATOS!$I$2:$I$20000,"Música de Cámara"),"")))</f>
        <v/>
      </c>
      <c r="W213" t="str">
        <f>IF(S213="","",IF(S213="[FÓRMULA MANUAL]","",IFERROR(SUMPRODUCT((DATOS!$A$2:$A$20000=S213)*(DATOS!$G$2:$G$20000=CONFIG_METADATA!$B$4)*(COUNTIF(CONFIG_ASIGNATURAS!$B$7:$B$27,DATOS!$I$2:$I$20000)&gt;0)*(DATOS!$K$2:$K$20000))/SUMPRODUCT((DATOS!$A$2:$A$20000=S213)*(DATOS!$G$2:$G$20000=CONFIG_METADATA!$B$4)*(COUNTIF(CONFIG_ASIGNATURAS!$B$7:$B$27,DATOS!$I$2:$I$20000)&gt;0)*1),"")))</f>
        <v/>
      </c>
      <c r="Z213" t="str">
        <f>IF(Y213="","",IF(Y213="[FÓRMULA MANUAL]","",IFERROR(AVERAGEIFS(DATOS!$K$2:$K$20000,DATOS!$A$2:$A$20000,Y213,DATOS!$G$2:$G$20000,CONFIG_METADATA!$B$4,DATOS!$I$2:$I$20000,"Análisis"),"")))</f>
        <v/>
      </c>
      <c r="AA213" t="str">
        <f>IF(Y213="","",IF(Y213="[FÓRMULA MANUAL]","",IFERROR(AVERAGEIFS(DATOS!$K$2:$K$20000,DATOS!$A$2:$A$20000,Y213,DATOS!$G$2:$G$20000,CONFIG_METADATA!$B$4,DATOS!$I$2:$I$20000,"Orquesta/Banda/Conjunto"),"")))</f>
        <v/>
      </c>
      <c r="AB213" t="str">
        <f>IF(Y213="","",IF(Y213="[FÓRMULA MANUAL]","",IFERROR(AVERAGEIFS(DATOS!$K$2:$K$20000,DATOS!$A$2:$A$20000,Y213,DATOS!$G$2:$G$20000,CONFIG_METADATA!$B$4,DATOS!$I$2:$I$20000,"Música de Cámara"),"")))</f>
        <v/>
      </c>
      <c r="AC213" t="str">
        <f>IF(Y213="","",IF(Y213="[FÓRMULA MANUAL]","",IFERROR(SUMPRODUCT((DATOS!$A$2:$A$20000=Y213)*(DATOS!$G$2:$G$20000=CONFIG_METADATA!$B$4)*(COUNTIF(CONFIG_ASIGNATURAS!$B$7:$B$27,DATOS!$I$2:$I$20000)&gt;0)*(DATOS!$K$2:$K$20000))/SUMPRODUCT((DATOS!$A$2:$A$20000=Y213)*(DATOS!$G$2:$G$20000=CONFIG_METADATA!$B$4)*(COUNTIF(CONFIG_ASIGNATURAS!$B$7:$B$27,DATOS!$I$2:$I$20000)&gt;0)*1),"")))</f>
        <v/>
      </c>
      <c r="AF213" t="str">
        <f>IF(AE213="","",IF(AE213="[FÓRMULA MANUAL]","",IFERROR(AVERAGEIFS(DATOS!$K$2:$K$20000,DATOS!$A$2:$A$20000,AE213,DATOS!$G$2:$G$20000,CONFIG_METADATA!$B$4,DATOS!$I$2:$I$20000,"Análisis"),"")))</f>
        <v/>
      </c>
      <c r="AG213" t="str">
        <f>IF(AE213="","",IF(AE213="[FÓRMULA MANUAL]","",IFERROR(AVERAGEIFS(DATOS!$K$2:$K$20000,DATOS!$A$2:$A$20000,AE213,DATOS!$G$2:$G$20000,CONFIG_METADATA!$B$4,DATOS!$I$2:$I$20000,"Orquesta/Banda/Conjunto"),"")))</f>
        <v/>
      </c>
      <c r="AH213" t="str">
        <f>IF(AE213="","",IF(AE213="[FÓRMULA MANUAL]","",IFERROR(AVERAGEIFS(DATOS!$K$2:$K$20000,DATOS!$A$2:$A$20000,AE213,DATOS!$G$2:$G$20000,CONFIG_METADATA!$B$4,DATOS!$I$2:$I$20000,"Música de Cámara"),"")))</f>
        <v/>
      </c>
      <c r="AI213" t="str">
        <f>IF(AE213="","",IF(AE213="[FÓRMULA MANUAL]","",IFERROR(SUMPRODUCT((DATOS!$A$2:$A$20000=AE213)*(DATOS!$G$2:$G$20000=CONFIG_METADATA!$B$4)*(COUNTIF(CONFIG_ASIGNATURAS!$B$7:$B$27,DATOS!$I$2:$I$20000)&gt;0)*(DATOS!$K$2:$K$20000))/SUMPRODUCT((DATOS!$A$2:$A$20000=AE213)*(DATOS!$G$2:$G$20000=CONFIG_METADATA!$B$4)*(COUNTIF(CONFIG_ASIGNATURAS!$B$7:$B$27,DATOS!$I$2:$I$20000)&gt;0)*1),"")))</f>
        <v/>
      </c>
    </row>
    <row r="214" spans="2:35" x14ac:dyDescent="0.2">
      <c r="B214" t="str">
        <f>IF(A214="","",IF(A214="[FÓRMULA MANUAL]","",IFERROR(AVERAGEIFS(DATOS!$K$2:$K$20000,DATOS!$A$2:$A$20000,A214,DATOS!$G$2:$G$20000,CONFIG_METADATA!$B$4,DATOS!$I$2:$I$20000,"Lenguaje Musical"),"")))</f>
        <v/>
      </c>
      <c r="C214" t="str">
        <f>IF(A214="","",IF(A214="[FÓRMULA MANUAL]","",IFERROR(AVERAGEIFS(DATOS!$K$2:$K$20000,DATOS!$A$2:$A$20000,A214,DATOS!$G$2:$G$20000,CONFIG_METADATA!$B$4,DATOS!$I$2:$I$20000,"Orquesta/Banda/Conjunto"),"")))</f>
        <v/>
      </c>
      <c r="D214" t="str">
        <f>IF(A214="","",IF(A214="[FÓRMULA MANUAL]","",IFERROR(AVERAGEIFS(DATOS!$K$2:$K$20000,DATOS!$A$2:$A$20000,A214,DATOS!$G$2:$G$20000,CONFIG_METADATA!$B$4,DATOS!$I$2:$I$20000,"Conjunto"),"")))</f>
        <v/>
      </c>
      <c r="E214" t="str">
        <f>IF(A214="","",IF(A214="[FÓRMULA MANUAL]","",IFERROR(SUMPRODUCT((DATOS!$A$2:$A$20000=A214)*(DATOS!$G$2:$G$20000=CONFIG_METADATA!$B$4)*(COUNTIF(CONFIG_ASIGNATURAS!$B$7:$B$27,DATOS!$I$2:$I$20000)&gt;0)*(DATOS!$K$2:$K$20000))/SUMPRODUCT((DATOS!$A$2:$A$20000=A214)*(DATOS!$G$2:$G$20000=CONFIG_METADATA!$B$4)*(COUNTIF(CONFIG_ASIGNATURAS!$B$7:$B$27,DATOS!$I$2:$I$20000)&gt;0)*1),"")))</f>
        <v/>
      </c>
      <c r="H214" t="str">
        <f>IF(G214="","",IF(G214="[FÓRMULA MANUAL]","",IFERROR(AVERAGEIFS(DATOS!$K$2:$K$20000,DATOS!$A$2:$A$20000,G214,DATOS!$G$2:$G$20000,CONFIG_METADATA!$B$4,DATOS!$I$2:$I$20000,"Lenguaje Musical"),"")))</f>
        <v/>
      </c>
      <c r="I214" t="str">
        <f>IF(G214="","",IF(G214="[FÓRMULA MANUAL]","",IFERROR(AVERAGEIFS(DATOS!$K$2:$K$20000,DATOS!$A$2:$A$20000,G214,DATOS!$G$2:$G$20000,CONFIG_METADATA!$B$4,DATOS!$I$2:$I$20000,"Orquesta/Banda/Conjunto"),"")))</f>
        <v/>
      </c>
      <c r="J214" t="str">
        <f>IF(G214="","",IF(G214="[FÓRMULA MANUAL]","",IFERROR(AVERAGEIFS(DATOS!$K$2:$K$20000,DATOS!$A$2:$A$20000,G214,DATOS!$G$2:$G$20000,CONFIG_METADATA!$B$4,DATOS!$I$2:$I$20000,"Conjunto"),"")))</f>
        <v/>
      </c>
      <c r="K214" t="str">
        <f>IF(G214="","",IF(G214="[FÓRMULA MANUAL]","",IFERROR(SUMPRODUCT((DATOS!$A$2:$A$20000=G214)*(DATOS!$G$2:$G$20000=CONFIG_METADATA!$B$4)*(COUNTIF(CONFIG_ASIGNATURAS!$B$7:$B$27,DATOS!$I$2:$I$20000)&gt;0)*(DATOS!$K$2:$K$20000))/SUMPRODUCT((DATOS!$A$2:$A$20000=G214)*(DATOS!$G$2:$G$20000=CONFIG_METADATA!$B$4)*(COUNTIF(CONFIG_ASIGNATURAS!$B$7:$B$27,DATOS!$I$2:$I$20000)&gt;0)*1),"")))</f>
        <v/>
      </c>
      <c r="N214" t="str">
        <f>IF(M214="","",IF(M214="[FÓRMULA MANUAL]","",IFERROR(AVERAGEIFS(DATOS!$K$2:$K$20000,DATOS!$A$2:$A$20000,M214,DATOS!$G$2:$G$20000,CONFIG_METADATA!$B$4,DATOS!$I$2:$I$20000,"Armonía"),"")))</f>
        <v/>
      </c>
      <c r="O214" t="str">
        <f>IF(M214="","",IF(M214="[FÓRMULA MANUAL]","",IFERROR(AVERAGEIFS(DATOS!$K$2:$K$20000,DATOS!$A$2:$A$20000,M214,DATOS!$G$2:$G$20000,CONFIG_METADATA!$B$4,DATOS!$I$2:$I$20000,"Orquesta/Banda/Conjunto"),"")))</f>
        <v/>
      </c>
      <c r="P214" t="str">
        <f>IF(M214="","",IF(M214="[FÓRMULA MANUAL]","",IFERROR(AVERAGEIFS(DATOS!$K$2:$K$20000,DATOS!$A$2:$A$20000,M214,DATOS!$G$2:$G$20000,CONFIG_METADATA!$B$4,DATOS!$I$2:$I$20000,"Música de Cámara"),"")))</f>
        <v/>
      </c>
      <c r="Q214" t="str">
        <f>IF(M214="","",IF(M214="[FÓRMULA MANUAL]","",IFERROR(SUMPRODUCT((DATOS!$A$2:$A$20000=M214)*(DATOS!$G$2:$G$20000=CONFIG_METADATA!$B$4)*(COUNTIF(CONFIG_ASIGNATURAS!$B$7:$B$27,DATOS!$I$2:$I$20000)&gt;0)*(DATOS!$K$2:$K$20000))/SUMPRODUCT((DATOS!$A$2:$A$20000=M214)*(DATOS!$G$2:$G$20000=CONFIG_METADATA!$B$4)*(COUNTIF(CONFIG_ASIGNATURAS!$B$7:$B$27,DATOS!$I$2:$I$20000)&gt;0)*1),"")))</f>
        <v/>
      </c>
      <c r="T214" t="str">
        <f>IF(S214="","",IF(S214="[FÓRMULA MANUAL]","",IFERROR(AVERAGEIFS(DATOS!$K$2:$K$20000,DATOS!$A$2:$A$20000,S214,DATOS!$G$2:$G$20000,CONFIG_METADATA!$B$4,DATOS!$I$2:$I$20000,"Armonía"),"")))</f>
        <v/>
      </c>
      <c r="U214" t="str">
        <f>IF(S214="","",IF(S214="[FÓRMULA MANUAL]","",IFERROR(AVERAGEIFS(DATOS!$K$2:$K$20000,DATOS!$A$2:$A$20000,S214,DATOS!$G$2:$G$20000,CONFIG_METADATA!$B$4,DATOS!$I$2:$I$20000,"Orquesta/Banda/Conjunto"),"")))</f>
        <v/>
      </c>
      <c r="V214" t="str">
        <f>IF(S214="","",IF(S214="[FÓRMULA MANUAL]","",IFERROR(AVERAGEIFS(DATOS!$K$2:$K$20000,DATOS!$A$2:$A$20000,S214,DATOS!$G$2:$G$20000,CONFIG_METADATA!$B$4,DATOS!$I$2:$I$20000,"Música de Cámara"),"")))</f>
        <v/>
      </c>
      <c r="W214" t="str">
        <f>IF(S214="","",IF(S214="[FÓRMULA MANUAL]","",IFERROR(SUMPRODUCT((DATOS!$A$2:$A$20000=S214)*(DATOS!$G$2:$G$20000=CONFIG_METADATA!$B$4)*(COUNTIF(CONFIG_ASIGNATURAS!$B$7:$B$27,DATOS!$I$2:$I$20000)&gt;0)*(DATOS!$K$2:$K$20000))/SUMPRODUCT((DATOS!$A$2:$A$20000=S214)*(DATOS!$G$2:$G$20000=CONFIG_METADATA!$B$4)*(COUNTIF(CONFIG_ASIGNATURAS!$B$7:$B$27,DATOS!$I$2:$I$20000)&gt;0)*1),"")))</f>
        <v/>
      </c>
      <c r="Z214" t="str">
        <f>IF(Y214="","",IF(Y214="[FÓRMULA MANUAL]","",IFERROR(AVERAGEIFS(DATOS!$K$2:$K$20000,DATOS!$A$2:$A$20000,Y214,DATOS!$G$2:$G$20000,CONFIG_METADATA!$B$4,DATOS!$I$2:$I$20000,"Análisis"),"")))</f>
        <v/>
      </c>
      <c r="AA214" t="str">
        <f>IF(Y214="","",IF(Y214="[FÓRMULA MANUAL]","",IFERROR(AVERAGEIFS(DATOS!$K$2:$K$20000,DATOS!$A$2:$A$20000,Y214,DATOS!$G$2:$G$20000,CONFIG_METADATA!$B$4,DATOS!$I$2:$I$20000,"Orquesta/Banda/Conjunto"),"")))</f>
        <v/>
      </c>
      <c r="AB214" t="str">
        <f>IF(Y214="","",IF(Y214="[FÓRMULA MANUAL]","",IFERROR(AVERAGEIFS(DATOS!$K$2:$K$20000,DATOS!$A$2:$A$20000,Y214,DATOS!$G$2:$G$20000,CONFIG_METADATA!$B$4,DATOS!$I$2:$I$20000,"Música de Cámara"),"")))</f>
        <v/>
      </c>
      <c r="AC214" t="str">
        <f>IF(Y214="","",IF(Y214="[FÓRMULA MANUAL]","",IFERROR(SUMPRODUCT((DATOS!$A$2:$A$20000=Y214)*(DATOS!$G$2:$G$20000=CONFIG_METADATA!$B$4)*(COUNTIF(CONFIG_ASIGNATURAS!$B$7:$B$27,DATOS!$I$2:$I$20000)&gt;0)*(DATOS!$K$2:$K$20000))/SUMPRODUCT((DATOS!$A$2:$A$20000=Y214)*(DATOS!$G$2:$G$20000=CONFIG_METADATA!$B$4)*(COUNTIF(CONFIG_ASIGNATURAS!$B$7:$B$27,DATOS!$I$2:$I$20000)&gt;0)*1),"")))</f>
        <v/>
      </c>
      <c r="AF214" t="str">
        <f>IF(AE214="","",IF(AE214="[FÓRMULA MANUAL]","",IFERROR(AVERAGEIFS(DATOS!$K$2:$K$20000,DATOS!$A$2:$A$20000,AE214,DATOS!$G$2:$G$20000,CONFIG_METADATA!$B$4,DATOS!$I$2:$I$20000,"Análisis"),"")))</f>
        <v/>
      </c>
      <c r="AG214" t="str">
        <f>IF(AE214="","",IF(AE214="[FÓRMULA MANUAL]","",IFERROR(AVERAGEIFS(DATOS!$K$2:$K$20000,DATOS!$A$2:$A$20000,AE214,DATOS!$G$2:$G$20000,CONFIG_METADATA!$B$4,DATOS!$I$2:$I$20000,"Orquesta/Banda/Conjunto"),"")))</f>
        <v/>
      </c>
      <c r="AH214" t="str">
        <f>IF(AE214="","",IF(AE214="[FÓRMULA MANUAL]","",IFERROR(AVERAGEIFS(DATOS!$K$2:$K$20000,DATOS!$A$2:$A$20000,AE214,DATOS!$G$2:$G$20000,CONFIG_METADATA!$B$4,DATOS!$I$2:$I$20000,"Música de Cámara"),"")))</f>
        <v/>
      </c>
      <c r="AI214" t="str">
        <f>IF(AE214="","",IF(AE214="[FÓRMULA MANUAL]","",IFERROR(SUMPRODUCT((DATOS!$A$2:$A$20000=AE214)*(DATOS!$G$2:$G$20000=CONFIG_METADATA!$B$4)*(COUNTIF(CONFIG_ASIGNATURAS!$B$7:$B$27,DATOS!$I$2:$I$20000)&gt;0)*(DATOS!$K$2:$K$20000))/SUMPRODUCT((DATOS!$A$2:$A$20000=AE214)*(DATOS!$G$2:$G$20000=CONFIG_METADATA!$B$4)*(COUNTIF(CONFIG_ASIGNATURAS!$B$7:$B$27,DATOS!$I$2:$I$20000)&gt;0)*1),"")))</f>
        <v/>
      </c>
    </row>
    <row r="215" spans="2:35" x14ac:dyDescent="0.2">
      <c r="B215" t="str">
        <f>IF(A215="","",IF(A215="[FÓRMULA MANUAL]","",IFERROR(AVERAGEIFS(DATOS!$K$2:$K$20000,DATOS!$A$2:$A$20000,A215,DATOS!$G$2:$G$20000,CONFIG_METADATA!$B$4,DATOS!$I$2:$I$20000,"Lenguaje Musical"),"")))</f>
        <v/>
      </c>
      <c r="C215" t="str">
        <f>IF(A215="","",IF(A215="[FÓRMULA MANUAL]","",IFERROR(AVERAGEIFS(DATOS!$K$2:$K$20000,DATOS!$A$2:$A$20000,A215,DATOS!$G$2:$G$20000,CONFIG_METADATA!$B$4,DATOS!$I$2:$I$20000,"Orquesta/Banda/Conjunto"),"")))</f>
        <v/>
      </c>
      <c r="D215" t="str">
        <f>IF(A215="","",IF(A215="[FÓRMULA MANUAL]","",IFERROR(AVERAGEIFS(DATOS!$K$2:$K$20000,DATOS!$A$2:$A$20000,A215,DATOS!$G$2:$G$20000,CONFIG_METADATA!$B$4,DATOS!$I$2:$I$20000,"Conjunto"),"")))</f>
        <v/>
      </c>
      <c r="E215" t="str">
        <f>IF(A215="","",IF(A215="[FÓRMULA MANUAL]","",IFERROR(SUMPRODUCT((DATOS!$A$2:$A$20000=A215)*(DATOS!$G$2:$G$20000=CONFIG_METADATA!$B$4)*(COUNTIF(CONFIG_ASIGNATURAS!$B$7:$B$27,DATOS!$I$2:$I$20000)&gt;0)*(DATOS!$K$2:$K$20000))/SUMPRODUCT((DATOS!$A$2:$A$20000=A215)*(DATOS!$G$2:$G$20000=CONFIG_METADATA!$B$4)*(COUNTIF(CONFIG_ASIGNATURAS!$B$7:$B$27,DATOS!$I$2:$I$20000)&gt;0)*1),"")))</f>
        <v/>
      </c>
      <c r="H215" t="str">
        <f>IF(G215="","",IF(G215="[FÓRMULA MANUAL]","",IFERROR(AVERAGEIFS(DATOS!$K$2:$K$20000,DATOS!$A$2:$A$20000,G215,DATOS!$G$2:$G$20000,CONFIG_METADATA!$B$4,DATOS!$I$2:$I$20000,"Lenguaje Musical"),"")))</f>
        <v/>
      </c>
      <c r="I215" t="str">
        <f>IF(G215="","",IF(G215="[FÓRMULA MANUAL]","",IFERROR(AVERAGEIFS(DATOS!$K$2:$K$20000,DATOS!$A$2:$A$20000,G215,DATOS!$G$2:$G$20000,CONFIG_METADATA!$B$4,DATOS!$I$2:$I$20000,"Orquesta/Banda/Conjunto"),"")))</f>
        <v/>
      </c>
      <c r="J215" t="str">
        <f>IF(G215="","",IF(G215="[FÓRMULA MANUAL]","",IFERROR(AVERAGEIFS(DATOS!$K$2:$K$20000,DATOS!$A$2:$A$20000,G215,DATOS!$G$2:$G$20000,CONFIG_METADATA!$B$4,DATOS!$I$2:$I$20000,"Conjunto"),"")))</f>
        <v/>
      </c>
      <c r="K215" t="str">
        <f>IF(G215="","",IF(G215="[FÓRMULA MANUAL]","",IFERROR(SUMPRODUCT((DATOS!$A$2:$A$20000=G215)*(DATOS!$G$2:$G$20000=CONFIG_METADATA!$B$4)*(COUNTIF(CONFIG_ASIGNATURAS!$B$7:$B$27,DATOS!$I$2:$I$20000)&gt;0)*(DATOS!$K$2:$K$20000))/SUMPRODUCT((DATOS!$A$2:$A$20000=G215)*(DATOS!$G$2:$G$20000=CONFIG_METADATA!$B$4)*(COUNTIF(CONFIG_ASIGNATURAS!$B$7:$B$27,DATOS!$I$2:$I$20000)&gt;0)*1),"")))</f>
        <v/>
      </c>
      <c r="N215" t="str">
        <f>IF(M215="","",IF(M215="[FÓRMULA MANUAL]","",IFERROR(AVERAGEIFS(DATOS!$K$2:$K$20000,DATOS!$A$2:$A$20000,M215,DATOS!$G$2:$G$20000,CONFIG_METADATA!$B$4,DATOS!$I$2:$I$20000,"Armonía"),"")))</f>
        <v/>
      </c>
      <c r="O215" t="str">
        <f>IF(M215="","",IF(M215="[FÓRMULA MANUAL]","",IFERROR(AVERAGEIFS(DATOS!$K$2:$K$20000,DATOS!$A$2:$A$20000,M215,DATOS!$G$2:$G$20000,CONFIG_METADATA!$B$4,DATOS!$I$2:$I$20000,"Orquesta/Banda/Conjunto"),"")))</f>
        <v/>
      </c>
      <c r="P215" t="str">
        <f>IF(M215="","",IF(M215="[FÓRMULA MANUAL]","",IFERROR(AVERAGEIFS(DATOS!$K$2:$K$20000,DATOS!$A$2:$A$20000,M215,DATOS!$G$2:$G$20000,CONFIG_METADATA!$B$4,DATOS!$I$2:$I$20000,"Música de Cámara"),"")))</f>
        <v/>
      </c>
      <c r="Q215" t="str">
        <f>IF(M215="","",IF(M215="[FÓRMULA MANUAL]","",IFERROR(SUMPRODUCT((DATOS!$A$2:$A$20000=M215)*(DATOS!$G$2:$G$20000=CONFIG_METADATA!$B$4)*(COUNTIF(CONFIG_ASIGNATURAS!$B$7:$B$27,DATOS!$I$2:$I$20000)&gt;0)*(DATOS!$K$2:$K$20000))/SUMPRODUCT((DATOS!$A$2:$A$20000=M215)*(DATOS!$G$2:$G$20000=CONFIG_METADATA!$B$4)*(COUNTIF(CONFIG_ASIGNATURAS!$B$7:$B$27,DATOS!$I$2:$I$20000)&gt;0)*1),"")))</f>
        <v/>
      </c>
      <c r="T215" t="str">
        <f>IF(S215="","",IF(S215="[FÓRMULA MANUAL]","",IFERROR(AVERAGEIFS(DATOS!$K$2:$K$20000,DATOS!$A$2:$A$20000,S215,DATOS!$G$2:$G$20000,CONFIG_METADATA!$B$4,DATOS!$I$2:$I$20000,"Armonía"),"")))</f>
        <v/>
      </c>
      <c r="U215" t="str">
        <f>IF(S215="","",IF(S215="[FÓRMULA MANUAL]","",IFERROR(AVERAGEIFS(DATOS!$K$2:$K$20000,DATOS!$A$2:$A$20000,S215,DATOS!$G$2:$G$20000,CONFIG_METADATA!$B$4,DATOS!$I$2:$I$20000,"Orquesta/Banda/Conjunto"),"")))</f>
        <v/>
      </c>
      <c r="V215" t="str">
        <f>IF(S215="","",IF(S215="[FÓRMULA MANUAL]","",IFERROR(AVERAGEIFS(DATOS!$K$2:$K$20000,DATOS!$A$2:$A$20000,S215,DATOS!$G$2:$G$20000,CONFIG_METADATA!$B$4,DATOS!$I$2:$I$20000,"Música de Cámara"),"")))</f>
        <v/>
      </c>
      <c r="W215" t="str">
        <f>IF(S215="","",IF(S215="[FÓRMULA MANUAL]","",IFERROR(SUMPRODUCT((DATOS!$A$2:$A$20000=S215)*(DATOS!$G$2:$G$20000=CONFIG_METADATA!$B$4)*(COUNTIF(CONFIG_ASIGNATURAS!$B$7:$B$27,DATOS!$I$2:$I$20000)&gt;0)*(DATOS!$K$2:$K$20000))/SUMPRODUCT((DATOS!$A$2:$A$20000=S215)*(DATOS!$G$2:$G$20000=CONFIG_METADATA!$B$4)*(COUNTIF(CONFIG_ASIGNATURAS!$B$7:$B$27,DATOS!$I$2:$I$20000)&gt;0)*1),"")))</f>
        <v/>
      </c>
      <c r="Z215" t="str">
        <f>IF(Y215="","",IF(Y215="[FÓRMULA MANUAL]","",IFERROR(AVERAGEIFS(DATOS!$K$2:$K$20000,DATOS!$A$2:$A$20000,Y215,DATOS!$G$2:$G$20000,CONFIG_METADATA!$B$4,DATOS!$I$2:$I$20000,"Análisis"),"")))</f>
        <v/>
      </c>
      <c r="AA215" t="str">
        <f>IF(Y215="","",IF(Y215="[FÓRMULA MANUAL]","",IFERROR(AVERAGEIFS(DATOS!$K$2:$K$20000,DATOS!$A$2:$A$20000,Y215,DATOS!$G$2:$G$20000,CONFIG_METADATA!$B$4,DATOS!$I$2:$I$20000,"Orquesta/Banda/Conjunto"),"")))</f>
        <v/>
      </c>
      <c r="AB215" t="str">
        <f>IF(Y215="","",IF(Y215="[FÓRMULA MANUAL]","",IFERROR(AVERAGEIFS(DATOS!$K$2:$K$20000,DATOS!$A$2:$A$20000,Y215,DATOS!$G$2:$G$20000,CONFIG_METADATA!$B$4,DATOS!$I$2:$I$20000,"Música de Cámara"),"")))</f>
        <v/>
      </c>
      <c r="AC215" t="str">
        <f>IF(Y215="","",IF(Y215="[FÓRMULA MANUAL]","",IFERROR(SUMPRODUCT((DATOS!$A$2:$A$20000=Y215)*(DATOS!$G$2:$G$20000=CONFIG_METADATA!$B$4)*(COUNTIF(CONFIG_ASIGNATURAS!$B$7:$B$27,DATOS!$I$2:$I$20000)&gt;0)*(DATOS!$K$2:$K$20000))/SUMPRODUCT((DATOS!$A$2:$A$20000=Y215)*(DATOS!$G$2:$G$20000=CONFIG_METADATA!$B$4)*(COUNTIF(CONFIG_ASIGNATURAS!$B$7:$B$27,DATOS!$I$2:$I$20000)&gt;0)*1),"")))</f>
        <v/>
      </c>
      <c r="AF215" t="str">
        <f>IF(AE215="","",IF(AE215="[FÓRMULA MANUAL]","",IFERROR(AVERAGEIFS(DATOS!$K$2:$K$20000,DATOS!$A$2:$A$20000,AE215,DATOS!$G$2:$G$20000,CONFIG_METADATA!$B$4,DATOS!$I$2:$I$20000,"Análisis"),"")))</f>
        <v/>
      </c>
      <c r="AG215" t="str">
        <f>IF(AE215="","",IF(AE215="[FÓRMULA MANUAL]","",IFERROR(AVERAGEIFS(DATOS!$K$2:$K$20000,DATOS!$A$2:$A$20000,AE215,DATOS!$G$2:$G$20000,CONFIG_METADATA!$B$4,DATOS!$I$2:$I$20000,"Orquesta/Banda/Conjunto"),"")))</f>
        <v/>
      </c>
      <c r="AH215" t="str">
        <f>IF(AE215="","",IF(AE215="[FÓRMULA MANUAL]","",IFERROR(AVERAGEIFS(DATOS!$K$2:$K$20000,DATOS!$A$2:$A$20000,AE215,DATOS!$G$2:$G$20000,CONFIG_METADATA!$B$4,DATOS!$I$2:$I$20000,"Música de Cámara"),"")))</f>
        <v/>
      </c>
      <c r="AI215" t="str">
        <f>IF(AE215="","",IF(AE215="[FÓRMULA MANUAL]","",IFERROR(SUMPRODUCT((DATOS!$A$2:$A$20000=AE215)*(DATOS!$G$2:$G$20000=CONFIG_METADATA!$B$4)*(COUNTIF(CONFIG_ASIGNATURAS!$B$7:$B$27,DATOS!$I$2:$I$20000)&gt;0)*(DATOS!$K$2:$K$20000))/SUMPRODUCT((DATOS!$A$2:$A$20000=AE215)*(DATOS!$G$2:$G$20000=CONFIG_METADATA!$B$4)*(COUNTIF(CONFIG_ASIGNATURAS!$B$7:$B$27,DATOS!$I$2:$I$20000)&gt;0)*1),"")))</f>
        <v/>
      </c>
    </row>
    <row r="216" spans="2:35" x14ac:dyDescent="0.2">
      <c r="B216" t="str">
        <f>IF(A216="","",IF(A216="[FÓRMULA MANUAL]","",IFERROR(AVERAGEIFS(DATOS!$K$2:$K$20000,DATOS!$A$2:$A$20000,A216,DATOS!$G$2:$G$20000,CONFIG_METADATA!$B$4,DATOS!$I$2:$I$20000,"Lenguaje Musical"),"")))</f>
        <v/>
      </c>
      <c r="C216" t="str">
        <f>IF(A216="","",IF(A216="[FÓRMULA MANUAL]","",IFERROR(AVERAGEIFS(DATOS!$K$2:$K$20000,DATOS!$A$2:$A$20000,A216,DATOS!$G$2:$G$20000,CONFIG_METADATA!$B$4,DATOS!$I$2:$I$20000,"Orquesta/Banda/Conjunto"),"")))</f>
        <v/>
      </c>
      <c r="D216" t="str">
        <f>IF(A216="","",IF(A216="[FÓRMULA MANUAL]","",IFERROR(AVERAGEIFS(DATOS!$K$2:$K$20000,DATOS!$A$2:$A$20000,A216,DATOS!$G$2:$G$20000,CONFIG_METADATA!$B$4,DATOS!$I$2:$I$20000,"Conjunto"),"")))</f>
        <v/>
      </c>
      <c r="E216" t="str">
        <f>IF(A216="","",IF(A216="[FÓRMULA MANUAL]","",IFERROR(SUMPRODUCT((DATOS!$A$2:$A$20000=A216)*(DATOS!$G$2:$G$20000=CONFIG_METADATA!$B$4)*(COUNTIF(CONFIG_ASIGNATURAS!$B$7:$B$27,DATOS!$I$2:$I$20000)&gt;0)*(DATOS!$K$2:$K$20000))/SUMPRODUCT((DATOS!$A$2:$A$20000=A216)*(DATOS!$G$2:$G$20000=CONFIG_METADATA!$B$4)*(COUNTIF(CONFIG_ASIGNATURAS!$B$7:$B$27,DATOS!$I$2:$I$20000)&gt;0)*1),"")))</f>
        <v/>
      </c>
      <c r="H216" t="str">
        <f>IF(G216="","",IF(G216="[FÓRMULA MANUAL]","",IFERROR(AVERAGEIFS(DATOS!$K$2:$K$20000,DATOS!$A$2:$A$20000,G216,DATOS!$G$2:$G$20000,CONFIG_METADATA!$B$4,DATOS!$I$2:$I$20000,"Lenguaje Musical"),"")))</f>
        <v/>
      </c>
      <c r="I216" t="str">
        <f>IF(G216="","",IF(G216="[FÓRMULA MANUAL]","",IFERROR(AVERAGEIFS(DATOS!$K$2:$K$20000,DATOS!$A$2:$A$20000,G216,DATOS!$G$2:$G$20000,CONFIG_METADATA!$B$4,DATOS!$I$2:$I$20000,"Orquesta/Banda/Conjunto"),"")))</f>
        <v/>
      </c>
      <c r="J216" t="str">
        <f>IF(G216="","",IF(G216="[FÓRMULA MANUAL]","",IFERROR(AVERAGEIFS(DATOS!$K$2:$K$20000,DATOS!$A$2:$A$20000,G216,DATOS!$G$2:$G$20000,CONFIG_METADATA!$B$4,DATOS!$I$2:$I$20000,"Conjunto"),"")))</f>
        <v/>
      </c>
      <c r="K216" t="str">
        <f>IF(G216="","",IF(G216="[FÓRMULA MANUAL]","",IFERROR(SUMPRODUCT((DATOS!$A$2:$A$20000=G216)*(DATOS!$G$2:$G$20000=CONFIG_METADATA!$B$4)*(COUNTIF(CONFIG_ASIGNATURAS!$B$7:$B$27,DATOS!$I$2:$I$20000)&gt;0)*(DATOS!$K$2:$K$20000))/SUMPRODUCT((DATOS!$A$2:$A$20000=G216)*(DATOS!$G$2:$G$20000=CONFIG_METADATA!$B$4)*(COUNTIF(CONFIG_ASIGNATURAS!$B$7:$B$27,DATOS!$I$2:$I$20000)&gt;0)*1),"")))</f>
        <v/>
      </c>
      <c r="N216" t="str">
        <f>IF(M216="","",IF(M216="[FÓRMULA MANUAL]","",IFERROR(AVERAGEIFS(DATOS!$K$2:$K$20000,DATOS!$A$2:$A$20000,M216,DATOS!$G$2:$G$20000,CONFIG_METADATA!$B$4,DATOS!$I$2:$I$20000,"Armonía"),"")))</f>
        <v/>
      </c>
      <c r="O216" t="str">
        <f>IF(M216="","",IF(M216="[FÓRMULA MANUAL]","",IFERROR(AVERAGEIFS(DATOS!$K$2:$K$20000,DATOS!$A$2:$A$20000,M216,DATOS!$G$2:$G$20000,CONFIG_METADATA!$B$4,DATOS!$I$2:$I$20000,"Orquesta/Banda/Conjunto"),"")))</f>
        <v/>
      </c>
      <c r="P216" t="str">
        <f>IF(M216="","",IF(M216="[FÓRMULA MANUAL]","",IFERROR(AVERAGEIFS(DATOS!$K$2:$K$20000,DATOS!$A$2:$A$20000,M216,DATOS!$G$2:$G$20000,CONFIG_METADATA!$B$4,DATOS!$I$2:$I$20000,"Música de Cámara"),"")))</f>
        <v/>
      </c>
      <c r="Q216" t="str">
        <f>IF(M216="","",IF(M216="[FÓRMULA MANUAL]","",IFERROR(SUMPRODUCT((DATOS!$A$2:$A$20000=M216)*(DATOS!$G$2:$G$20000=CONFIG_METADATA!$B$4)*(COUNTIF(CONFIG_ASIGNATURAS!$B$7:$B$27,DATOS!$I$2:$I$20000)&gt;0)*(DATOS!$K$2:$K$20000))/SUMPRODUCT((DATOS!$A$2:$A$20000=M216)*(DATOS!$G$2:$G$20000=CONFIG_METADATA!$B$4)*(COUNTIF(CONFIG_ASIGNATURAS!$B$7:$B$27,DATOS!$I$2:$I$20000)&gt;0)*1),"")))</f>
        <v/>
      </c>
      <c r="T216" t="str">
        <f>IF(S216="","",IF(S216="[FÓRMULA MANUAL]","",IFERROR(AVERAGEIFS(DATOS!$K$2:$K$20000,DATOS!$A$2:$A$20000,S216,DATOS!$G$2:$G$20000,CONFIG_METADATA!$B$4,DATOS!$I$2:$I$20000,"Armonía"),"")))</f>
        <v/>
      </c>
      <c r="U216" t="str">
        <f>IF(S216="","",IF(S216="[FÓRMULA MANUAL]","",IFERROR(AVERAGEIFS(DATOS!$K$2:$K$20000,DATOS!$A$2:$A$20000,S216,DATOS!$G$2:$G$20000,CONFIG_METADATA!$B$4,DATOS!$I$2:$I$20000,"Orquesta/Banda/Conjunto"),"")))</f>
        <v/>
      </c>
      <c r="V216" t="str">
        <f>IF(S216="","",IF(S216="[FÓRMULA MANUAL]","",IFERROR(AVERAGEIFS(DATOS!$K$2:$K$20000,DATOS!$A$2:$A$20000,S216,DATOS!$G$2:$G$20000,CONFIG_METADATA!$B$4,DATOS!$I$2:$I$20000,"Música de Cámara"),"")))</f>
        <v/>
      </c>
      <c r="W216" t="str">
        <f>IF(S216="","",IF(S216="[FÓRMULA MANUAL]","",IFERROR(SUMPRODUCT((DATOS!$A$2:$A$20000=S216)*(DATOS!$G$2:$G$20000=CONFIG_METADATA!$B$4)*(COUNTIF(CONFIG_ASIGNATURAS!$B$7:$B$27,DATOS!$I$2:$I$20000)&gt;0)*(DATOS!$K$2:$K$20000))/SUMPRODUCT((DATOS!$A$2:$A$20000=S216)*(DATOS!$G$2:$G$20000=CONFIG_METADATA!$B$4)*(COUNTIF(CONFIG_ASIGNATURAS!$B$7:$B$27,DATOS!$I$2:$I$20000)&gt;0)*1),"")))</f>
        <v/>
      </c>
      <c r="Z216" t="str">
        <f>IF(Y216="","",IF(Y216="[FÓRMULA MANUAL]","",IFERROR(AVERAGEIFS(DATOS!$K$2:$K$20000,DATOS!$A$2:$A$20000,Y216,DATOS!$G$2:$G$20000,CONFIG_METADATA!$B$4,DATOS!$I$2:$I$20000,"Análisis"),"")))</f>
        <v/>
      </c>
      <c r="AA216" t="str">
        <f>IF(Y216="","",IF(Y216="[FÓRMULA MANUAL]","",IFERROR(AVERAGEIFS(DATOS!$K$2:$K$20000,DATOS!$A$2:$A$20000,Y216,DATOS!$G$2:$G$20000,CONFIG_METADATA!$B$4,DATOS!$I$2:$I$20000,"Orquesta/Banda/Conjunto"),"")))</f>
        <v/>
      </c>
      <c r="AB216" t="str">
        <f>IF(Y216="","",IF(Y216="[FÓRMULA MANUAL]","",IFERROR(AVERAGEIFS(DATOS!$K$2:$K$20000,DATOS!$A$2:$A$20000,Y216,DATOS!$G$2:$G$20000,CONFIG_METADATA!$B$4,DATOS!$I$2:$I$20000,"Música de Cámara"),"")))</f>
        <v/>
      </c>
      <c r="AC216" t="str">
        <f>IF(Y216="","",IF(Y216="[FÓRMULA MANUAL]","",IFERROR(SUMPRODUCT((DATOS!$A$2:$A$20000=Y216)*(DATOS!$G$2:$G$20000=CONFIG_METADATA!$B$4)*(COUNTIF(CONFIG_ASIGNATURAS!$B$7:$B$27,DATOS!$I$2:$I$20000)&gt;0)*(DATOS!$K$2:$K$20000))/SUMPRODUCT((DATOS!$A$2:$A$20000=Y216)*(DATOS!$G$2:$G$20000=CONFIG_METADATA!$B$4)*(COUNTIF(CONFIG_ASIGNATURAS!$B$7:$B$27,DATOS!$I$2:$I$20000)&gt;0)*1),"")))</f>
        <v/>
      </c>
      <c r="AF216" t="str">
        <f>IF(AE216="","",IF(AE216="[FÓRMULA MANUAL]","",IFERROR(AVERAGEIFS(DATOS!$K$2:$K$20000,DATOS!$A$2:$A$20000,AE216,DATOS!$G$2:$G$20000,CONFIG_METADATA!$B$4,DATOS!$I$2:$I$20000,"Análisis"),"")))</f>
        <v/>
      </c>
      <c r="AG216" t="str">
        <f>IF(AE216="","",IF(AE216="[FÓRMULA MANUAL]","",IFERROR(AVERAGEIFS(DATOS!$K$2:$K$20000,DATOS!$A$2:$A$20000,AE216,DATOS!$G$2:$G$20000,CONFIG_METADATA!$B$4,DATOS!$I$2:$I$20000,"Orquesta/Banda/Conjunto"),"")))</f>
        <v/>
      </c>
      <c r="AH216" t="str">
        <f>IF(AE216="","",IF(AE216="[FÓRMULA MANUAL]","",IFERROR(AVERAGEIFS(DATOS!$K$2:$K$20000,DATOS!$A$2:$A$20000,AE216,DATOS!$G$2:$G$20000,CONFIG_METADATA!$B$4,DATOS!$I$2:$I$20000,"Música de Cámara"),"")))</f>
        <v/>
      </c>
      <c r="AI216" t="str">
        <f>IF(AE216="","",IF(AE216="[FÓRMULA MANUAL]","",IFERROR(SUMPRODUCT((DATOS!$A$2:$A$20000=AE216)*(DATOS!$G$2:$G$20000=CONFIG_METADATA!$B$4)*(COUNTIF(CONFIG_ASIGNATURAS!$B$7:$B$27,DATOS!$I$2:$I$20000)&gt;0)*(DATOS!$K$2:$K$20000))/SUMPRODUCT((DATOS!$A$2:$A$20000=AE216)*(DATOS!$G$2:$G$20000=CONFIG_METADATA!$B$4)*(COUNTIF(CONFIG_ASIGNATURAS!$B$7:$B$27,DATOS!$I$2:$I$20000)&gt;0)*1),"")))</f>
        <v/>
      </c>
    </row>
    <row r="217" spans="2:35" x14ac:dyDescent="0.2">
      <c r="B217" t="str">
        <f>IF(A217="","",IF(A217="[FÓRMULA MANUAL]","",IFERROR(AVERAGEIFS(DATOS!$K$2:$K$20000,DATOS!$A$2:$A$20000,A217,DATOS!$G$2:$G$20000,CONFIG_METADATA!$B$4,DATOS!$I$2:$I$20000,"Lenguaje Musical"),"")))</f>
        <v/>
      </c>
      <c r="C217" t="str">
        <f>IF(A217="","",IF(A217="[FÓRMULA MANUAL]","",IFERROR(AVERAGEIFS(DATOS!$K$2:$K$20000,DATOS!$A$2:$A$20000,A217,DATOS!$G$2:$G$20000,CONFIG_METADATA!$B$4,DATOS!$I$2:$I$20000,"Orquesta/Banda/Conjunto"),"")))</f>
        <v/>
      </c>
      <c r="D217" t="str">
        <f>IF(A217="","",IF(A217="[FÓRMULA MANUAL]","",IFERROR(AVERAGEIFS(DATOS!$K$2:$K$20000,DATOS!$A$2:$A$20000,A217,DATOS!$G$2:$G$20000,CONFIG_METADATA!$B$4,DATOS!$I$2:$I$20000,"Conjunto"),"")))</f>
        <v/>
      </c>
      <c r="E217" t="str">
        <f>IF(A217="","",IF(A217="[FÓRMULA MANUAL]","",IFERROR(SUMPRODUCT((DATOS!$A$2:$A$20000=A217)*(DATOS!$G$2:$G$20000=CONFIG_METADATA!$B$4)*(COUNTIF(CONFIG_ASIGNATURAS!$B$7:$B$27,DATOS!$I$2:$I$20000)&gt;0)*(DATOS!$K$2:$K$20000))/SUMPRODUCT((DATOS!$A$2:$A$20000=A217)*(DATOS!$G$2:$G$20000=CONFIG_METADATA!$B$4)*(COUNTIF(CONFIG_ASIGNATURAS!$B$7:$B$27,DATOS!$I$2:$I$20000)&gt;0)*1),"")))</f>
        <v/>
      </c>
      <c r="H217" t="str">
        <f>IF(G217="","",IF(G217="[FÓRMULA MANUAL]","",IFERROR(AVERAGEIFS(DATOS!$K$2:$K$20000,DATOS!$A$2:$A$20000,G217,DATOS!$G$2:$G$20000,CONFIG_METADATA!$B$4,DATOS!$I$2:$I$20000,"Lenguaje Musical"),"")))</f>
        <v/>
      </c>
      <c r="I217" t="str">
        <f>IF(G217="","",IF(G217="[FÓRMULA MANUAL]","",IFERROR(AVERAGEIFS(DATOS!$K$2:$K$20000,DATOS!$A$2:$A$20000,G217,DATOS!$G$2:$G$20000,CONFIG_METADATA!$B$4,DATOS!$I$2:$I$20000,"Orquesta/Banda/Conjunto"),"")))</f>
        <v/>
      </c>
      <c r="J217" t="str">
        <f>IF(G217="","",IF(G217="[FÓRMULA MANUAL]","",IFERROR(AVERAGEIFS(DATOS!$K$2:$K$20000,DATOS!$A$2:$A$20000,G217,DATOS!$G$2:$G$20000,CONFIG_METADATA!$B$4,DATOS!$I$2:$I$20000,"Conjunto"),"")))</f>
        <v/>
      </c>
      <c r="K217" t="str">
        <f>IF(G217="","",IF(G217="[FÓRMULA MANUAL]","",IFERROR(SUMPRODUCT((DATOS!$A$2:$A$20000=G217)*(DATOS!$G$2:$G$20000=CONFIG_METADATA!$B$4)*(COUNTIF(CONFIG_ASIGNATURAS!$B$7:$B$27,DATOS!$I$2:$I$20000)&gt;0)*(DATOS!$K$2:$K$20000))/SUMPRODUCT((DATOS!$A$2:$A$20000=G217)*(DATOS!$G$2:$G$20000=CONFIG_METADATA!$B$4)*(COUNTIF(CONFIG_ASIGNATURAS!$B$7:$B$27,DATOS!$I$2:$I$20000)&gt;0)*1),"")))</f>
        <v/>
      </c>
      <c r="N217" t="str">
        <f>IF(M217="","",IF(M217="[FÓRMULA MANUAL]","",IFERROR(AVERAGEIFS(DATOS!$K$2:$K$20000,DATOS!$A$2:$A$20000,M217,DATOS!$G$2:$G$20000,CONFIG_METADATA!$B$4,DATOS!$I$2:$I$20000,"Armonía"),"")))</f>
        <v/>
      </c>
      <c r="O217" t="str">
        <f>IF(M217="","",IF(M217="[FÓRMULA MANUAL]","",IFERROR(AVERAGEIFS(DATOS!$K$2:$K$20000,DATOS!$A$2:$A$20000,M217,DATOS!$G$2:$G$20000,CONFIG_METADATA!$B$4,DATOS!$I$2:$I$20000,"Orquesta/Banda/Conjunto"),"")))</f>
        <v/>
      </c>
      <c r="P217" t="str">
        <f>IF(M217="","",IF(M217="[FÓRMULA MANUAL]","",IFERROR(AVERAGEIFS(DATOS!$K$2:$K$20000,DATOS!$A$2:$A$20000,M217,DATOS!$G$2:$G$20000,CONFIG_METADATA!$B$4,DATOS!$I$2:$I$20000,"Música de Cámara"),"")))</f>
        <v/>
      </c>
      <c r="Q217" t="str">
        <f>IF(M217="","",IF(M217="[FÓRMULA MANUAL]","",IFERROR(SUMPRODUCT((DATOS!$A$2:$A$20000=M217)*(DATOS!$G$2:$G$20000=CONFIG_METADATA!$B$4)*(COUNTIF(CONFIG_ASIGNATURAS!$B$7:$B$27,DATOS!$I$2:$I$20000)&gt;0)*(DATOS!$K$2:$K$20000))/SUMPRODUCT((DATOS!$A$2:$A$20000=M217)*(DATOS!$G$2:$G$20000=CONFIG_METADATA!$B$4)*(COUNTIF(CONFIG_ASIGNATURAS!$B$7:$B$27,DATOS!$I$2:$I$20000)&gt;0)*1),"")))</f>
        <v/>
      </c>
      <c r="T217" t="str">
        <f>IF(S217="","",IF(S217="[FÓRMULA MANUAL]","",IFERROR(AVERAGEIFS(DATOS!$K$2:$K$20000,DATOS!$A$2:$A$20000,S217,DATOS!$G$2:$G$20000,CONFIG_METADATA!$B$4,DATOS!$I$2:$I$20000,"Armonía"),"")))</f>
        <v/>
      </c>
      <c r="U217" t="str">
        <f>IF(S217="","",IF(S217="[FÓRMULA MANUAL]","",IFERROR(AVERAGEIFS(DATOS!$K$2:$K$20000,DATOS!$A$2:$A$20000,S217,DATOS!$G$2:$G$20000,CONFIG_METADATA!$B$4,DATOS!$I$2:$I$20000,"Orquesta/Banda/Conjunto"),"")))</f>
        <v/>
      </c>
      <c r="V217" t="str">
        <f>IF(S217="","",IF(S217="[FÓRMULA MANUAL]","",IFERROR(AVERAGEIFS(DATOS!$K$2:$K$20000,DATOS!$A$2:$A$20000,S217,DATOS!$G$2:$G$20000,CONFIG_METADATA!$B$4,DATOS!$I$2:$I$20000,"Música de Cámara"),"")))</f>
        <v/>
      </c>
      <c r="W217" t="str">
        <f>IF(S217="","",IF(S217="[FÓRMULA MANUAL]","",IFERROR(SUMPRODUCT((DATOS!$A$2:$A$20000=S217)*(DATOS!$G$2:$G$20000=CONFIG_METADATA!$B$4)*(COUNTIF(CONFIG_ASIGNATURAS!$B$7:$B$27,DATOS!$I$2:$I$20000)&gt;0)*(DATOS!$K$2:$K$20000))/SUMPRODUCT((DATOS!$A$2:$A$20000=S217)*(DATOS!$G$2:$G$20000=CONFIG_METADATA!$B$4)*(COUNTIF(CONFIG_ASIGNATURAS!$B$7:$B$27,DATOS!$I$2:$I$20000)&gt;0)*1),"")))</f>
        <v/>
      </c>
      <c r="Z217" t="str">
        <f>IF(Y217="","",IF(Y217="[FÓRMULA MANUAL]","",IFERROR(AVERAGEIFS(DATOS!$K$2:$K$20000,DATOS!$A$2:$A$20000,Y217,DATOS!$G$2:$G$20000,CONFIG_METADATA!$B$4,DATOS!$I$2:$I$20000,"Análisis"),"")))</f>
        <v/>
      </c>
      <c r="AA217" t="str">
        <f>IF(Y217="","",IF(Y217="[FÓRMULA MANUAL]","",IFERROR(AVERAGEIFS(DATOS!$K$2:$K$20000,DATOS!$A$2:$A$20000,Y217,DATOS!$G$2:$G$20000,CONFIG_METADATA!$B$4,DATOS!$I$2:$I$20000,"Orquesta/Banda/Conjunto"),"")))</f>
        <v/>
      </c>
      <c r="AB217" t="str">
        <f>IF(Y217="","",IF(Y217="[FÓRMULA MANUAL]","",IFERROR(AVERAGEIFS(DATOS!$K$2:$K$20000,DATOS!$A$2:$A$20000,Y217,DATOS!$G$2:$G$20000,CONFIG_METADATA!$B$4,DATOS!$I$2:$I$20000,"Música de Cámara"),"")))</f>
        <v/>
      </c>
      <c r="AC217" t="str">
        <f>IF(Y217="","",IF(Y217="[FÓRMULA MANUAL]","",IFERROR(SUMPRODUCT((DATOS!$A$2:$A$20000=Y217)*(DATOS!$G$2:$G$20000=CONFIG_METADATA!$B$4)*(COUNTIF(CONFIG_ASIGNATURAS!$B$7:$B$27,DATOS!$I$2:$I$20000)&gt;0)*(DATOS!$K$2:$K$20000))/SUMPRODUCT((DATOS!$A$2:$A$20000=Y217)*(DATOS!$G$2:$G$20000=CONFIG_METADATA!$B$4)*(COUNTIF(CONFIG_ASIGNATURAS!$B$7:$B$27,DATOS!$I$2:$I$20000)&gt;0)*1),"")))</f>
        <v/>
      </c>
      <c r="AF217" t="str">
        <f>IF(AE217="","",IF(AE217="[FÓRMULA MANUAL]","",IFERROR(AVERAGEIFS(DATOS!$K$2:$K$20000,DATOS!$A$2:$A$20000,AE217,DATOS!$G$2:$G$20000,CONFIG_METADATA!$B$4,DATOS!$I$2:$I$20000,"Análisis"),"")))</f>
        <v/>
      </c>
      <c r="AG217" t="str">
        <f>IF(AE217="","",IF(AE217="[FÓRMULA MANUAL]","",IFERROR(AVERAGEIFS(DATOS!$K$2:$K$20000,DATOS!$A$2:$A$20000,AE217,DATOS!$G$2:$G$20000,CONFIG_METADATA!$B$4,DATOS!$I$2:$I$20000,"Orquesta/Banda/Conjunto"),"")))</f>
        <v/>
      </c>
      <c r="AH217" t="str">
        <f>IF(AE217="","",IF(AE217="[FÓRMULA MANUAL]","",IFERROR(AVERAGEIFS(DATOS!$K$2:$K$20000,DATOS!$A$2:$A$20000,AE217,DATOS!$G$2:$G$20000,CONFIG_METADATA!$B$4,DATOS!$I$2:$I$20000,"Música de Cámara"),"")))</f>
        <v/>
      </c>
      <c r="AI217" t="str">
        <f>IF(AE217="","",IF(AE217="[FÓRMULA MANUAL]","",IFERROR(SUMPRODUCT((DATOS!$A$2:$A$20000=AE217)*(DATOS!$G$2:$G$20000=CONFIG_METADATA!$B$4)*(COUNTIF(CONFIG_ASIGNATURAS!$B$7:$B$27,DATOS!$I$2:$I$20000)&gt;0)*(DATOS!$K$2:$K$20000))/SUMPRODUCT((DATOS!$A$2:$A$20000=AE217)*(DATOS!$G$2:$G$20000=CONFIG_METADATA!$B$4)*(COUNTIF(CONFIG_ASIGNATURAS!$B$7:$B$27,DATOS!$I$2:$I$20000)&gt;0)*1),"")))</f>
        <v/>
      </c>
    </row>
    <row r="218" spans="2:35" x14ac:dyDescent="0.2">
      <c r="B218" t="str">
        <f>IF(A218="","",IF(A218="[FÓRMULA MANUAL]","",IFERROR(AVERAGEIFS(DATOS!$K$2:$K$20000,DATOS!$A$2:$A$20000,A218,DATOS!$G$2:$G$20000,CONFIG_METADATA!$B$4,DATOS!$I$2:$I$20000,"Lenguaje Musical"),"")))</f>
        <v/>
      </c>
      <c r="C218" t="str">
        <f>IF(A218="","",IF(A218="[FÓRMULA MANUAL]","",IFERROR(AVERAGEIFS(DATOS!$K$2:$K$20000,DATOS!$A$2:$A$20000,A218,DATOS!$G$2:$G$20000,CONFIG_METADATA!$B$4,DATOS!$I$2:$I$20000,"Orquesta/Banda/Conjunto"),"")))</f>
        <v/>
      </c>
      <c r="D218" t="str">
        <f>IF(A218="","",IF(A218="[FÓRMULA MANUAL]","",IFERROR(AVERAGEIFS(DATOS!$K$2:$K$20000,DATOS!$A$2:$A$20000,A218,DATOS!$G$2:$G$20000,CONFIG_METADATA!$B$4,DATOS!$I$2:$I$20000,"Conjunto"),"")))</f>
        <v/>
      </c>
      <c r="E218" t="str">
        <f>IF(A218="","",IF(A218="[FÓRMULA MANUAL]","",IFERROR(SUMPRODUCT((DATOS!$A$2:$A$20000=A218)*(DATOS!$G$2:$G$20000=CONFIG_METADATA!$B$4)*(COUNTIF(CONFIG_ASIGNATURAS!$B$7:$B$27,DATOS!$I$2:$I$20000)&gt;0)*(DATOS!$K$2:$K$20000))/SUMPRODUCT((DATOS!$A$2:$A$20000=A218)*(DATOS!$G$2:$G$20000=CONFIG_METADATA!$B$4)*(COUNTIF(CONFIG_ASIGNATURAS!$B$7:$B$27,DATOS!$I$2:$I$20000)&gt;0)*1),"")))</f>
        <v/>
      </c>
      <c r="H218" t="str">
        <f>IF(G218="","",IF(G218="[FÓRMULA MANUAL]","",IFERROR(AVERAGEIFS(DATOS!$K$2:$K$20000,DATOS!$A$2:$A$20000,G218,DATOS!$G$2:$G$20000,CONFIG_METADATA!$B$4,DATOS!$I$2:$I$20000,"Lenguaje Musical"),"")))</f>
        <v/>
      </c>
      <c r="I218" t="str">
        <f>IF(G218="","",IF(G218="[FÓRMULA MANUAL]","",IFERROR(AVERAGEIFS(DATOS!$K$2:$K$20000,DATOS!$A$2:$A$20000,G218,DATOS!$G$2:$G$20000,CONFIG_METADATA!$B$4,DATOS!$I$2:$I$20000,"Orquesta/Banda/Conjunto"),"")))</f>
        <v/>
      </c>
      <c r="J218" t="str">
        <f>IF(G218="","",IF(G218="[FÓRMULA MANUAL]","",IFERROR(AVERAGEIFS(DATOS!$K$2:$K$20000,DATOS!$A$2:$A$20000,G218,DATOS!$G$2:$G$20000,CONFIG_METADATA!$B$4,DATOS!$I$2:$I$20000,"Conjunto"),"")))</f>
        <v/>
      </c>
      <c r="K218" t="str">
        <f>IF(G218="","",IF(G218="[FÓRMULA MANUAL]","",IFERROR(SUMPRODUCT((DATOS!$A$2:$A$20000=G218)*(DATOS!$G$2:$G$20000=CONFIG_METADATA!$B$4)*(COUNTIF(CONFIG_ASIGNATURAS!$B$7:$B$27,DATOS!$I$2:$I$20000)&gt;0)*(DATOS!$K$2:$K$20000))/SUMPRODUCT((DATOS!$A$2:$A$20000=G218)*(DATOS!$G$2:$G$20000=CONFIG_METADATA!$B$4)*(COUNTIF(CONFIG_ASIGNATURAS!$B$7:$B$27,DATOS!$I$2:$I$20000)&gt;0)*1),"")))</f>
        <v/>
      </c>
      <c r="N218" t="str">
        <f>IF(M218="","",IF(M218="[FÓRMULA MANUAL]","",IFERROR(AVERAGEIFS(DATOS!$K$2:$K$20000,DATOS!$A$2:$A$20000,M218,DATOS!$G$2:$G$20000,CONFIG_METADATA!$B$4,DATOS!$I$2:$I$20000,"Armonía"),"")))</f>
        <v/>
      </c>
      <c r="O218" t="str">
        <f>IF(M218="","",IF(M218="[FÓRMULA MANUAL]","",IFERROR(AVERAGEIFS(DATOS!$K$2:$K$20000,DATOS!$A$2:$A$20000,M218,DATOS!$G$2:$G$20000,CONFIG_METADATA!$B$4,DATOS!$I$2:$I$20000,"Orquesta/Banda/Conjunto"),"")))</f>
        <v/>
      </c>
      <c r="P218" t="str">
        <f>IF(M218="","",IF(M218="[FÓRMULA MANUAL]","",IFERROR(AVERAGEIFS(DATOS!$K$2:$K$20000,DATOS!$A$2:$A$20000,M218,DATOS!$G$2:$G$20000,CONFIG_METADATA!$B$4,DATOS!$I$2:$I$20000,"Música de Cámara"),"")))</f>
        <v/>
      </c>
      <c r="Q218" t="str">
        <f>IF(M218="","",IF(M218="[FÓRMULA MANUAL]","",IFERROR(SUMPRODUCT((DATOS!$A$2:$A$20000=M218)*(DATOS!$G$2:$G$20000=CONFIG_METADATA!$B$4)*(COUNTIF(CONFIG_ASIGNATURAS!$B$7:$B$27,DATOS!$I$2:$I$20000)&gt;0)*(DATOS!$K$2:$K$20000))/SUMPRODUCT((DATOS!$A$2:$A$20000=M218)*(DATOS!$G$2:$G$20000=CONFIG_METADATA!$B$4)*(COUNTIF(CONFIG_ASIGNATURAS!$B$7:$B$27,DATOS!$I$2:$I$20000)&gt;0)*1),"")))</f>
        <v/>
      </c>
      <c r="T218" t="str">
        <f>IF(S218="","",IF(S218="[FÓRMULA MANUAL]","",IFERROR(AVERAGEIFS(DATOS!$K$2:$K$20000,DATOS!$A$2:$A$20000,S218,DATOS!$G$2:$G$20000,CONFIG_METADATA!$B$4,DATOS!$I$2:$I$20000,"Armonía"),"")))</f>
        <v/>
      </c>
      <c r="U218" t="str">
        <f>IF(S218="","",IF(S218="[FÓRMULA MANUAL]","",IFERROR(AVERAGEIFS(DATOS!$K$2:$K$20000,DATOS!$A$2:$A$20000,S218,DATOS!$G$2:$G$20000,CONFIG_METADATA!$B$4,DATOS!$I$2:$I$20000,"Orquesta/Banda/Conjunto"),"")))</f>
        <v/>
      </c>
      <c r="V218" t="str">
        <f>IF(S218="","",IF(S218="[FÓRMULA MANUAL]","",IFERROR(AVERAGEIFS(DATOS!$K$2:$K$20000,DATOS!$A$2:$A$20000,S218,DATOS!$G$2:$G$20000,CONFIG_METADATA!$B$4,DATOS!$I$2:$I$20000,"Música de Cámara"),"")))</f>
        <v/>
      </c>
      <c r="W218" t="str">
        <f>IF(S218="","",IF(S218="[FÓRMULA MANUAL]","",IFERROR(SUMPRODUCT((DATOS!$A$2:$A$20000=S218)*(DATOS!$G$2:$G$20000=CONFIG_METADATA!$B$4)*(COUNTIF(CONFIG_ASIGNATURAS!$B$7:$B$27,DATOS!$I$2:$I$20000)&gt;0)*(DATOS!$K$2:$K$20000))/SUMPRODUCT((DATOS!$A$2:$A$20000=S218)*(DATOS!$G$2:$G$20000=CONFIG_METADATA!$B$4)*(COUNTIF(CONFIG_ASIGNATURAS!$B$7:$B$27,DATOS!$I$2:$I$20000)&gt;0)*1),"")))</f>
        <v/>
      </c>
      <c r="Z218" t="str">
        <f>IF(Y218="","",IF(Y218="[FÓRMULA MANUAL]","",IFERROR(AVERAGEIFS(DATOS!$K$2:$K$20000,DATOS!$A$2:$A$20000,Y218,DATOS!$G$2:$G$20000,CONFIG_METADATA!$B$4,DATOS!$I$2:$I$20000,"Análisis"),"")))</f>
        <v/>
      </c>
      <c r="AA218" t="str">
        <f>IF(Y218="","",IF(Y218="[FÓRMULA MANUAL]","",IFERROR(AVERAGEIFS(DATOS!$K$2:$K$20000,DATOS!$A$2:$A$20000,Y218,DATOS!$G$2:$G$20000,CONFIG_METADATA!$B$4,DATOS!$I$2:$I$20000,"Orquesta/Banda/Conjunto"),"")))</f>
        <v/>
      </c>
      <c r="AB218" t="str">
        <f>IF(Y218="","",IF(Y218="[FÓRMULA MANUAL]","",IFERROR(AVERAGEIFS(DATOS!$K$2:$K$20000,DATOS!$A$2:$A$20000,Y218,DATOS!$G$2:$G$20000,CONFIG_METADATA!$B$4,DATOS!$I$2:$I$20000,"Música de Cámara"),"")))</f>
        <v/>
      </c>
      <c r="AC218" t="str">
        <f>IF(Y218="","",IF(Y218="[FÓRMULA MANUAL]","",IFERROR(SUMPRODUCT((DATOS!$A$2:$A$20000=Y218)*(DATOS!$G$2:$G$20000=CONFIG_METADATA!$B$4)*(COUNTIF(CONFIG_ASIGNATURAS!$B$7:$B$27,DATOS!$I$2:$I$20000)&gt;0)*(DATOS!$K$2:$K$20000))/SUMPRODUCT((DATOS!$A$2:$A$20000=Y218)*(DATOS!$G$2:$G$20000=CONFIG_METADATA!$B$4)*(COUNTIF(CONFIG_ASIGNATURAS!$B$7:$B$27,DATOS!$I$2:$I$20000)&gt;0)*1),"")))</f>
        <v/>
      </c>
      <c r="AF218" t="str">
        <f>IF(AE218="","",IF(AE218="[FÓRMULA MANUAL]","",IFERROR(AVERAGEIFS(DATOS!$K$2:$K$20000,DATOS!$A$2:$A$20000,AE218,DATOS!$G$2:$G$20000,CONFIG_METADATA!$B$4,DATOS!$I$2:$I$20000,"Análisis"),"")))</f>
        <v/>
      </c>
      <c r="AG218" t="str">
        <f>IF(AE218="","",IF(AE218="[FÓRMULA MANUAL]","",IFERROR(AVERAGEIFS(DATOS!$K$2:$K$20000,DATOS!$A$2:$A$20000,AE218,DATOS!$G$2:$G$20000,CONFIG_METADATA!$B$4,DATOS!$I$2:$I$20000,"Orquesta/Banda/Conjunto"),"")))</f>
        <v/>
      </c>
      <c r="AH218" t="str">
        <f>IF(AE218="","",IF(AE218="[FÓRMULA MANUAL]","",IFERROR(AVERAGEIFS(DATOS!$K$2:$K$20000,DATOS!$A$2:$A$20000,AE218,DATOS!$G$2:$G$20000,CONFIG_METADATA!$B$4,DATOS!$I$2:$I$20000,"Música de Cámara"),"")))</f>
        <v/>
      </c>
      <c r="AI218" t="str">
        <f>IF(AE218="","",IF(AE218="[FÓRMULA MANUAL]","",IFERROR(SUMPRODUCT((DATOS!$A$2:$A$20000=AE218)*(DATOS!$G$2:$G$20000=CONFIG_METADATA!$B$4)*(COUNTIF(CONFIG_ASIGNATURAS!$B$7:$B$27,DATOS!$I$2:$I$20000)&gt;0)*(DATOS!$K$2:$K$20000))/SUMPRODUCT((DATOS!$A$2:$A$20000=AE218)*(DATOS!$G$2:$G$20000=CONFIG_METADATA!$B$4)*(COUNTIF(CONFIG_ASIGNATURAS!$B$7:$B$27,DATOS!$I$2:$I$20000)&gt;0)*1),"")))</f>
        <v/>
      </c>
    </row>
    <row r="219" spans="2:35" x14ac:dyDescent="0.2">
      <c r="B219" t="str">
        <f>IF(A219="","",IF(A219="[FÓRMULA MANUAL]","",IFERROR(AVERAGEIFS(DATOS!$K$2:$K$20000,DATOS!$A$2:$A$20000,A219,DATOS!$G$2:$G$20000,CONFIG_METADATA!$B$4,DATOS!$I$2:$I$20000,"Lenguaje Musical"),"")))</f>
        <v/>
      </c>
      <c r="C219" t="str">
        <f>IF(A219="","",IF(A219="[FÓRMULA MANUAL]","",IFERROR(AVERAGEIFS(DATOS!$K$2:$K$20000,DATOS!$A$2:$A$20000,A219,DATOS!$G$2:$G$20000,CONFIG_METADATA!$B$4,DATOS!$I$2:$I$20000,"Orquesta/Banda/Conjunto"),"")))</f>
        <v/>
      </c>
      <c r="D219" t="str">
        <f>IF(A219="","",IF(A219="[FÓRMULA MANUAL]","",IFERROR(AVERAGEIFS(DATOS!$K$2:$K$20000,DATOS!$A$2:$A$20000,A219,DATOS!$G$2:$G$20000,CONFIG_METADATA!$B$4,DATOS!$I$2:$I$20000,"Conjunto"),"")))</f>
        <v/>
      </c>
      <c r="E219" t="str">
        <f>IF(A219="","",IF(A219="[FÓRMULA MANUAL]","",IFERROR(SUMPRODUCT((DATOS!$A$2:$A$20000=A219)*(DATOS!$G$2:$G$20000=CONFIG_METADATA!$B$4)*(COUNTIF(CONFIG_ASIGNATURAS!$B$7:$B$27,DATOS!$I$2:$I$20000)&gt;0)*(DATOS!$K$2:$K$20000))/SUMPRODUCT((DATOS!$A$2:$A$20000=A219)*(DATOS!$G$2:$G$20000=CONFIG_METADATA!$B$4)*(COUNTIF(CONFIG_ASIGNATURAS!$B$7:$B$27,DATOS!$I$2:$I$20000)&gt;0)*1),"")))</f>
        <v/>
      </c>
      <c r="H219" t="str">
        <f>IF(G219="","",IF(G219="[FÓRMULA MANUAL]","",IFERROR(AVERAGEIFS(DATOS!$K$2:$K$20000,DATOS!$A$2:$A$20000,G219,DATOS!$G$2:$G$20000,CONFIG_METADATA!$B$4,DATOS!$I$2:$I$20000,"Lenguaje Musical"),"")))</f>
        <v/>
      </c>
      <c r="I219" t="str">
        <f>IF(G219="","",IF(G219="[FÓRMULA MANUAL]","",IFERROR(AVERAGEIFS(DATOS!$K$2:$K$20000,DATOS!$A$2:$A$20000,G219,DATOS!$G$2:$G$20000,CONFIG_METADATA!$B$4,DATOS!$I$2:$I$20000,"Orquesta/Banda/Conjunto"),"")))</f>
        <v/>
      </c>
      <c r="J219" t="str">
        <f>IF(G219="","",IF(G219="[FÓRMULA MANUAL]","",IFERROR(AVERAGEIFS(DATOS!$K$2:$K$20000,DATOS!$A$2:$A$20000,G219,DATOS!$G$2:$G$20000,CONFIG_METADATA!$B$4,DATOS!$I$2:$I$20000,"Conjunto"),"")))</f>
        <v/>
      </c>
      <c r="K219" t="str">
        <f>IF(G219="","",IF(G219="[FÓRMULA MANUAL]","",IFERROR(SUMPRODUCT((DATOS!$A$2:$A$20000=G219)*(DATOS!$G$2:$G$20000=CONFIG_METADATA!$B$4)*(COUNTIF(CONFIG_ASIGNATURAS!$B$7:$B$27,DATOS!$I$2:$I$20000)&gt;0)*(DATOS!$K$2:$K$20000))/SUMPRODUCT((DATOS!$A$2:$A$20000=G219)*(DATOS!$G$2:$G$20000=CONFIG_METADATA!$B$4)*(COUNTIF(CONFIG_ASIGNATURAS!$B$7:$B$27,DATOS!$I$2:$I$20000)&gt;0)*1),"")))</f>
        <v/>
      </c>
      <c r="N219" t="str">
        <f>IF(M219="","",IF(M219="[FÓRMULA MANUAL]","",IFERROR(AVERAGEIFS(DATOS!$K$2:$K$20000,DATOS!$A$2:$A$20000,M219,DATOS!$G$2:$G$20000,CONFIG_METADATA!$B$4,DATOS!$I$2:$I$20000,"Armonía"),"")))</f>
        <v/>
      </c>
      <c r="O219" t="str">
        <f>IF(M219="","",IF(M219="[FÓRMULA MANUAL]","",IFERROR(AVERAGEIFS(DATOS!$K$2:$K$20000,DATOS!$A$2:$A$20000,M219,DATOS!$G$2:$G$20000,CONFIG_METADATA!$B$4,DATOS!$I$2:$I$20000,"Orquesta/Banda/Conjunto"),"")))</f>
        <v/>
      </c>
      <c r="P219" t="str">
        <f>IF(M219="","",IF(M219="[FÓRMULA MANUAL]","",IFERROR(AVERAGEIFS(DATOS!$K$2:$K$20000,DATOS!$A$2:$A$20000,M219,DATOS!$G$2:$G$20000,CONFIG_METADATA!$B$4,DATOS!$I$2:$I$20000,"Música de Cámara"),"")))</f>
        <v/>
      </c>
      <c r="Q219" t="str">
        <f>IF(M219="","",IF(M219="[FÓRMULA MANUAL]","",IFERROR(SUMPRODUCT((DATOS!$A$2:$A$20000=M219)*(DATOS!$G$2:$G$20000=CONFIG_METADATA!$B$4)*(COUNTIF(CONFIG_ASIGNATURAS!$B$7:$B$27,DATOS!$I$2:$I$20000)&gt;0)*(DATOS!$K$2:$K$20000))/SUMPRODUCT((DATOS!$A$2:$A$20000=M219)*(DATOS!$G$2:$G$20000=CONFIG_METADATA!$B$4)*(COUNTIF(CONFIG_ASIGNATURAS!$B$7:$B$27,DATOS!$I$2:$I$20000)&gt;0)*1),"")))</f>
        <v/>
      </c>
      <c r="T219" t="str">
        <f>IF(S219="","",IF(S219="[FÓRMULA MANUAL]","",IFERROR(AVERAGEIFS(DATOS!$K$2:$K$20000,DATOS!$A$2:$A$20000,S219,DATOS!$G$2:$G$20000,CONFIG_METADATA!$B$4,DATOS!$I$2:$I$20000,"Armonía"),"")))</f>
        <v/>
      </c>
      <c r="U219" t="str">
        <f>IF(S219="","",IF(S219="[FÓRMULA MANUAL]","",IFERROR(AVERAGEIFS(DATOS!$K$2:$K$20000,DATOS!$A$2:$A$20000,S219,DATOS!$G$2:$G$20000,CONFIG_METADATA!$B$4,DATOS!$I$2:$I$20000,"Orquesta/Banda/Conjunto"),"")))</f>
        <v/>
      </c>
      <c r="V219" t="str">
        <f>IF(S219="","",IF(S219="[FÓRMULA MANUAL]","",IFERROR(AVERAGEIFS(DATOS!$K$2:$K$20000,DATOS!$A$2:$A$20000,S219,DATOS!$G$2:$G$20000,CONFIG_METADATA!$B$4,DATOS!$I$2:$I$20000,"Música de Cámara"),"")))</f>
        <v/>
      </c>
      <c r="W219" t="str">
        <f>IF(S219="","",IF(S219="[FÓRMULA MANUAL]","",IFERROR(SUMPRODUCT((DATOS!$A$2:$A$20000=S219)*(DATOS!$G$2:$G$20000=CONFIG_METADATA!$B$4)*(COUNTIF(CONFIG_ASIGNATURAS!$B$7:$B$27,DATOS!$I$2:$I$20000)&gt;0)*(DATOS!$K$2:$K$20000))/SUMPRODUCT((DATOS!$A$2:$A$20000=S219)*(DATOS!$G$2:$G$20000=CONFIG_METADATA!$B$4)*(COUNTIF(CONFIG_ASIGNATURAS!$B$7:$B$27,DATOS!$I$2:$I$20000)&gt;0)*1),"")))</f>
        <v/>
      </c>
      <c r="Z219" t="str">
        <f>IF(Y219="","",IF(Y219="[FÓRMULA MANUAL]","",IFERROR(AVERAGEIFS(DATOS!$K$2:$K$20000,DATOS!$A$2:$A$20000,Y219,DATOS!$G$2:$G$20000,CONFIG_METADATA!$B$4,DATOS!$I$2:$I$20000,"Análisis"),"")))</f>
        <v/>
      </c>
      <c r="AA219" t="str">
        <f>IF(Y219="","",IF(Y219="[FÓRMULA MANUAL]","",IFERROR(AVERAGEIFS(DATOS!$K$2:$K$20000,DATOS!$A$2:$A$20000,Y219,DATOS!$G$2:$G$20000,CONFIG_METADATA!$B$4,DATOS!$I$2:$I$20000,"Orquesta/Banda/Conjunto"),"")))</f>
        <v/>
      </c>
      <c r="AB219" t="str">
        <f>IF(Y219="","",IF(Y219="[FÓRMULA MANUAL]","",IFERROR(AVERAGEIFS(DATOS!$K$2:$K$20000,DATOS!$A$2:$A$20000,Y219,DATOS!$G$2:$G$20000,CONFIG_METADATA!$B$4,DATOS!$I$2:$I$20000,"Música de Cámara"),"")))</f>
        <v/>
      </c>
      <c r="AC219" t="str">
        <f>IF(Y219="","",IF(Y219="[FÓRMULA MANUAL]","",IFERROR(SUMPRODUCT((DATOS!$A$2:$A$20000=Y219)*(DATOS!$G$2:$G$20000=CONFIG_METADATA!$B$4)*(COUNTIF(CONFIG_ASIGNATURAS!$B$7:$B$27,DATOS!$I$2:$I$20000)&gt;0)*(DATOS!$K$2:$K$20000))/SUMPRODUCT((DATOS!$A$2:$A$20000=Y219)*(DATOS!$G$2:$G$20000=CONFIG_METADATA!$B$4)*(COUNTIF(CONFIG_ASIGNATURAS!$B$7:$B$27,DATOS!$I$2:$I$20000)&gt;0)*1),"")))</f>
        <v/>
      </c>
      <c r="AF219" t="str">
        <f>IF(AE219="","",IF(AE219="[FÓRMULA MANUAL]","",IFERROR(AVERAGEIFS(DATOS!$K$2:$K$20000,DATOS!$A$2:$A$20000,AE219,DATOS!$G$2:$G$20000,CONFIG_METADATA!$B$4,DATOS!$I$2:$I$20000,"Análisis"),"")))</f>
        <v/>
      </c>
      <c r="AG219" t="str">
        <f>IF(AE219="","",IF(AE219="[FÓRMULA MANUAL]","",IFERROR(AVERAGEIFS(DATOS!$K$2:$K$20000,DATOS!$A$2:$A$20000,AE219,DATOS!$G$2:$G$20000,CONFIG_METADATA!$B$4,DATOS!$I$2:$I$20000,"Orquesta/Banda/Conjunto"),"")))</f>
        <v/>
      </c>
      <c r="AH219" t="str">
        <f>IF(AE219="","",IF(AE219="[FÓRMULA MANUAL]","",IFERROR(AVERAGEIFS(DATOS!$K$2:$K$20000,DATOS!$A$2:$A$20000,AE219,DATOS!$G$2:$G$20000,CONFIG_METADATA!$B$4,DATOS!$I$2:$I$20000,"Música de Cámara"),"")))</f>
        <v/>
      </c>
      <c r="AI219" t="str">
        <f>IF(AE219="","",IF(AE219="[FÓRMULA MANUAL]","",IFERROR(SUMPRODUCT((DATOS!$A$2:$A$20000=AE219)*(DATOS!$G$2:$G$20000=CONFIG_METADATA!$B$4)*(COUNTIF(CONFIG_ASIGNATURAS!$B$7:$B$27,DATOS!$I$2:$I$20000)&gt;0)*(DATOS!$K$2:$K$20000))/SUMPRODUCT((DATOS!$A$2:$A$20000=AE219)*(DATOS!$G$2:$G$20000=CONFIG_METADATA!$B$4)*(COUNTIF(CONFIG_ASIGNATURAS!$B$7:$B$27,DATOS!$I$2:$I$20000)&gt;0)*1),"")))</f>
        <v/>
      </c>
    </row>
    <row r="220" spans="2:35" x14ac:dyDescent="0.2">
      <c r="B220" t="str">
        <f>IF(A220="","",IF(A220="[FÓRMULA MANUAL]","",IFERROR(AVERAGEIFS(DATOS!$K$2:$K$20000,DATOS!$A$2:$A$20000,A220,DATOS!$G$2:$G$20000,CONFIG_METADATA!$B$4,DATOS!$I$2:$I$20000,"Lenguaje Musical"),"")))</f>
        <v/>
      </c>
      <c r="C220" t="str">
        <f>IF(A220="","",IF(A220="[FÓRMULA MANUAL]","",IFERROR(AVERAGEIFS(DATOS!$K$2:$K$20000,DATOS!$A$2:$A$20000,A220,DATOS!$G$2:$G$20000,CONFIG_METADATA!$B$4,DATOS!$I$2:$I$20000,"Orquesta/Banda/Conjunto"),"")))</f>
        <v/>
      </c>
      <c r="D220" t="str">
        <f>IF(A220="","",IF(A220="[FÓRMULA MANUAL]","",IFERROR(AVERAGEIFS(DATOS!$K$2:$K$20000,DATOS!$A$2:$A$20000,A220,DATOS!$G$2:$G$20000,CONFIG_METADATA!$B$4,DATOS!$I$2:$I$20000,"Conjunto"),"")))</f>
        <v/>
      </c>
      <c r="E220" t="str">
        <f>IF(A220="","",IF(A220="[FÓRMULA MANUAL]","",IFERROR(SUMPRODUCT((DATOS!$A$2:$A$20000=A220)*(DATOS!$G$2:$G$20000=CONFIG_METADATA!$B$4)*(COUNTIF(CONFIG_ASIGNATURAS!$B$7:$B$27,DATOS!$I$2:$I$20000)&gt;0)*(DATOS!$K$2:$K$20000))/SUMPRODUCT((DATOS!$A$2:$A$20000=A220)*(DATOS!$G$2:$G$20000=CONFIG_METADATA!$B$4)*(COUNTIF(CONFIG_ASIGNATURAS!$B$7:$B$27,DATOS!$I$2:$I$20000)&gt;0)*1),"")))</f>
        <v/>
      </c>
      <c r="H220" t="str">
        <f>IF(G220="","",IF(G220="[FÓRMULA MANUAL]","",IFERROR(AVERAGEIFS(DATOS!$K$2:$K$20000,DATOS!$A$2:$A$20000,G220,DATOS!$G$2:$G$20000,CONFIG_METADATA!$B$4,DATOS!$I$2:$I$20000,"Lenguaje Musical"),"")))</f>
        <v/>
      </c>
      <c r="I220" t="str">
        <f>IF(G220="","",IF(G220="[FÓRMULA MANUAL]","",IFERROR(AVERAGEIFS(DATOS!$K$2:$K$20000,DATOS!$A$2:$A$20000,G220,DATOS!$G$2:$G$20000,CONFIG_METADATA!$B$4,DATOS!$I$2:$I$20000,"Orquesta/Banda/Conjunto"),"")))</f>
        <v/>
      </c>
      <c r="J220" t="str">
        <f>IF(G220="","",IF(G220="[FÓRMULA MANUAL]","",IFERROR(AVERAGEIFS(DATOS!$K$2:$K$20000,DATOS!$A$2:$A$20000,G220,DATOS!$G$2:$G$20000,CONFIG_METADATA!$B$4,DATOS!$I$2:$I$20000,"Conjunto"),"")))</f>
        <v/>
      </c>
      <c r="K220" t="str">
        <f>IF(G220="","",IF(G220="[FÓRMULA MANUAL]","",IFERROR(SUMPRODUCT((DATOS!$A$2:$A$20000=G220)*(DATOS!$G$2:$G$20000=CONFIG_METADATA!$B$4)*(COUNTIF(CONFIG_ASIGNATURAS!$B$7:$B$27,DATOS!$I$2:$I$20000)&gt;0)*(DATOS!$K$2:$K$20000))/SUMPRODUCT((DATOS!$A$2:$A$20000=G220)*(DATOS!$G$2:$G$20000=CONFIG_METADATA!$B$4)*(COUNTIF(CONFIG_ASIGNATURAS!$B$7:$B$27,DATOS!$I$2:$I$20000)&gt;0)*1),"")))</f>
        <v/>
      </c>
      <c r="N220" t="str">
        <f>IF(M220="","",IF(M220="[FÓRMULA MANUAL]","",IFERROR(AVERAGEIFS(DATOS!$K$2:$K$20000,DATOS!$A$2:$A$20000,M220,DATOS!$G$2:$G$20000,CONFIG_METADATA!$B$4,DATOS!$I$2:$I$20000,"Armonía"),"")))</f>
        <v/>
      </c>
      <c r="O220" t="str">
        <f>IF(M220="","",IF(M220="[FÓRMULA MANUAL]","",IFERROR(AVERAGEIFS(DATOS!$K$2:$K$20000,DATOS!$A$2:$A$20000,M220,DATOS!$G$2:$G$20000,CONFIG_METADATA!$B$4,DATOS!$I$2:$I$20000,"Orquesta/Banda/Conjunto"),"")))</f>
        <v/>
      </c>
      <c r="P220" t="str">
        <f>IF(M220="","",IF(M220="[FÓRMULA MANUAL]","",IFERROR(AVERAGEIFS(DATOS!$K$2:$K$20000,DATOS!$A$2:$A$20000,M220,DATOS!$G$2:$G$20000,CONFIG_METADATA!$B$4,DATOS!$I$2:$I$20000,"Música de Cámara"),"")))</f>
        <v/>
      </c>
      <c r="Q220" t="str">
        <f>IF(M220="","",IF(M220="[FÓRMULA MANUAL]","",IFERROR(SUMPRODUCT((DATOS!$A$2:$A$20000=M220)*(DATOS!$G$2:$G$20000=CONFIG_METADATA!$B$4)*(COUNTIF(CONFIG_ASIGNATURAS!$B$7:$B$27,DATOS!$I$2:$I$20000)&gt;0)*(DATOS!$K$2:$K$20000))/SUMPRODUCT((DATOS!$A$2:$A$20000=M220)*(DATOS!$G$2:$G$20000=CONFIG_METADATA!$B$4)*(COUNTIF(CONFIG_ASIGNATURAS!$B$7:$B$27,DATOS!$I$2:$I$20000)&gt;0)*1),"")))</f>
        <v/>
      </c>
      <c r="T220" t="str">
        <f>IF(S220="","",IF(S220="[FÓRMULA MANUAL]","",IFERROR(AVERAGEIFS(DATOS!$K$2:$K$20000,DATOS!$A$2:$A$20000,S220,DATOS!$G$2:$G$20000,CONFIG_METADATA!$B$4,DATOS!$I$2:$I$20000,"Armonía"),"")))</f>
        <v/>
      </c>
      <c r="U220" t="str">
        <f>IF(S220="","",IF(S220="[FÓRMULA MANUAL]","",IFERROR(AVERAGEIFS(DATOS!$K$2:$K$20000,DATOS!$A$2:$A$20000,S220,DATOS!$G$2:$G$20000,CONFIG_METADATA!$B$4,DATOS!$I$2:$I$20000,"Orquesta/Banda/Conjunto"),"")))</f>
        <v/>
      </c>
      <c r="V220" t="str">
        <f>IF(S220="","",IF(S220="[FÓRMULA MANUAL]","",IFERROR(AVERAGEIFS(DATOS!$K$2:$K$20000,DATOS!$A$2:$A$20000,S220,DATOS!$G$2:$G$20000,CONFIG_METADATA!$B$4,DATOS!$I$2:$I$20000,"Música de Cámara"),"")))</f>
        <v/>
      </c>
      <c r="W220" t="str">
        <f>IF(S220="","",IF(S220="[FÓRMULA MANUAL]","",IFERROR(SUMPRODUCT((DATOS!$A$2:$A$20000=S220)*(DATOS!$G$2:$G$20000=CONFIG_METADATA!$B$4)*(COUNTIF(CONFIG_ASIGNATURAS!$B$7:$B$27,DATOS!$I$2:$I$20000)&gt;0)*(DATOS!$K$2:$K$20000))/SUMPRODUCT((DATOS!$A$2:$A$20000=S220)*(DATOS!$G$2:$G$20000=CONFIG_METADATA!$B$4)*(COUNTIF(CONFIG_ASIGNATURAS!$B$7:$B$27,DATOS!$I$2:$I$20000)&gt;0)*1),"")))</f>
        <v/>
      </c>
      <c r="Z220" t="str">
        <f>IF(Y220="","",IF(Y220="[FÓRMULA MANUAL]","",IFERROR(AVERAGEIFS(DATOS!$K$2:$K$20000,DATOS!$A$2:$A$20000,Y220,DATOS!$G$2:$G$20000,CONFIG_METADATA!$B$4,DATOS!$I$2:$I$20000,"Análisis"),"")))</f>
        <v/>
      </c>
      <c r="AA220" t="str">
        <f>IF(Y220="","",IF(Y220="[FÓRMULA MANUAL]","",IFERROR(AVERAGEIFS(DATOS!$K$2:$K$20000,DATOS!$A$2:$A$20000,Y220,DATOS!$G$2:$G$20000,CONFIG_METADATA!$B$4,DATOS!$I$2:$I$20000,"Orquesta/Banda/Conjunto"),"")))</f>
        <v/>
      </c>
      <c r="AB220" t="str">
        <f>IF(Y220="","",IF(Y220="[FÓRMULA MANUAL]","",IFERROR(AVERAGEIFS(DATOS!$K$2:$K$20000,DATOS!$A$2:$A$20000,Y220,DATOS!$G$2:$G$20000,CONFIG_METADATA!$B$4,DATOS!$I$2:$I$20000,"Música de Cámara"),"")))</f>
        <v/>
      </c>
      <c r="AC220" t="str">
        <f>IF(Y220="","",IF(Y220="[FÓRMULA MANUAL]","",IFERROR(SUMPRODUCT((DATOS!$A$2:$A$20000=Y220)*(DATOS!$G$2:$G$20000=CONFIG_METADATA!$B$4)*(COUNTIF(CONFIG_ASIGNATURAS!$B$7:$B$27,DATOS!$I$2:$I$20000)&gt;0)*(DATOS!$K$2:$K$20000))/SUMPRODUCT((DATOS!$A$2:$A$20000=Y220)*(DATOS!$G$2:$G$20000=CONFIG_METADATA!$B$4)*(COUNTIF(CONFIG_ASIGNATURAS!$B$7:$B$27,DATOS!$I$2:$I$20000)&gt;0)*1),"")))</f>
        <v/>
      </c>
      <c r="AF220" t="str">
        <f>IF(AE220="","",IF(AE220="[FÓRMULA MANUAL]","",IFERROR(AVERAGEIFS(DATOS!$K$2:$K$20000,DATOS!$A$2:$A$20000,AE220,DATOS!$G$2:$G$20000,CONFIG_METADATA!$B$4,DATOS!$I$2:$I$20000,"Análisis"),"")))</f>
        <v/>
      </c>
      <c r="AG220" t="str">
        <f>IF(AE220="","",IF(AE220="[FÓRMULA MANUAL]","",IFERROR(AVERAGEIFS(DATOS!$K$2:$K$20000,DATOS!$A$2:$A$20000,AE220,DATOS!$G$2:$G$20000,CONFIG_METADATA!$B$4,DATOS!$I$2:$I$20000,"Orquesta/Banda/Conjunto"),"")))</f>
        <v/>
      </c>
      <c r="AH220" t="str">
        <f>IF(AE220="","",IF(AE220="[FÓRMULA MANUAL]","",IFERROR(AVERAGEIFS(DATOS!$K$2:$K$20000,DATOS!$A$2:$A$20000,AE220,DATOS!$G$2:$G$20000,CONFIG_METADATA!$B$4,DATOS!$I$2:$I$20000,"Música de Cámara"),"")))</f>
        <v/>
      </c>
      <c r="AI220" t="str">
        <f>IF(AE220="","",IF(AE220="[FÓRMULA MANUAL]","",IFERROR(SUMPRODUCT((DATOS!$A$2:$A$20000=AE220)*(DATOS!$G$2:$G$20000=CONFIG_METADATA!$B$4)*(COUNTIF(CONFIG_ASIGNATURAS!$B$7:$B$27,DATOS!$I$2:$I$20000)&gt;0)*(DATOS!$K$2:$K$20000))/SUMPRODUCT((DATOS!$A$2:$A$20000=AE220)*(DATOS!$G$2:$G$20000=CONFIG_METADATA!$B$4)*(COUNTIF(CONFIG_ASIGNATURAS!$B$7:$B$27,DATOS!$I$2:$I$20000)&gt;0)*1),"")))</f>
        <v/>
      </c>
    </row>
    <row r="221" spans="2:35" x14ac:dyDescent="0.2">
      <c r="B221" t="str">
        <f>IF(A221="","",IF(A221="[FÓRMULA MANUAL]","",IFERROR(AVERAGEIFS(DATOS!$K$2:$K$20000,DATOS!$A$2:$A$20000,A221,DATOS!$G$2:$G$20000,CONFIG_METADATA!$B$4,DATOS!$I$2:$I$20000,"Lenguaje Musical"),"")))</f>
        <v/>
      </c>
      <c r="C221" t="str">
        <f>IF(A221="","",IF(A221="[FÓRMULA MANUAL]","",IFERROR(AVERAGEIFS(DATOS!$K$2:$K$20000,DATOS!$A$2:$A$20000,A221,DATOS!$G$2:$G$20000,CONFIG_METADATA!$B$4,DATOS!$I$2:$I$20000,"Orquesta/Banda/Conjunto"),"")))</f>
        <v/>
      </c>
      <c r="D221" t="str">
        <f>IF(A221="","",IF(A221="[FÓRMULA MANUAL]","",IFERROR(AVERAGEIFS(DATOS!$K$2:$K$20000,DATOS!$A$2:$A$20000,A221,DATOS!$G$2:$G$20000,CONFIG_METADATA!$B$4,DATOS!$I$2:$I$20000,"Conjunto"),"")))</f>
        <v/>
      </c>
      <c r="E221" t="str">
        <f>IF(A221="","",IF(A221="[FÓRMULA MANUAL]","",IFERROR(SUMPRODUCT((DATOS!$A$2:$A$20000=A221)*(DATOS!$G$2:$G$20000=CONFIG_METADATA!$B$4)*(COUNTIF(CONFIG_ASIGNATURAS!$B$7:$B$27,DATOS!$I$2:$I$20000)&gt;0)*(DATOS!$K$2:$K$20000))/SUMPRODUCT((DATOS!$A$2:$A$20000=A221)*(DATOS!$G$2:$G$20000=CONFIG_METADATA!$B$4)*(COUNTIF(CONFIG_ASIGNATURAS!$B$7:$B$27,DATOS!$I$2:$I$20000)&gt;0)*1),"")))</f>
        <v/>
      </c>
      <c r="H221" t="str">
        <f>IF(G221="","",IF(G221="[FÓRMULA MANUAL]","",IFERROR(AVERAGEIFS(DATOS!$K$2:$K$20000,DATOS!$A$2:$A$20000,G221,DATOS!$G$2:$G$20000,CONFIG_METADATA!$B$4,DATOS!$I$2:$I$20000,"Lenguaje Musical"),"")))</f>
        <v/>
      </c>
      <c r="I221" t="str">
        <f>IF(G221="","",IF(G221="[FÓRMULA MANUAL]","",IFERROR(AVERAGEIFS(DATOS!$K$2:$K$20000,DATOS!$A$2:$A$20000,G221,DATOS!$G$2:$G$20000,CONFIG_METADATA!$B$4,DATOS!$I$2:$I$20000,"Orquesta/Banda/Conjunto"),"")))</f>
        <v/>
      </c>
      <c r="J221" t="str">
        <f>IF(G221="","",IF(G221="[FÓRMULA MANUAL]","",IFERROR(AVERAGEIFS(DATOS!$K$2:$K$20000,DATOS!$A$2:$A$20000,G221,DATOS!$G$2:$G$20000,CONFIG_METADATA!$B$4,DATOS!$I$2:$I$20000,"Conjunto"),"")))</f>
        <v/>
      </c>
      <c r="K221" t="str">
        <f>IF(G221="","",IF(G221="[FÓRMULA MANUAL]","",IFERROR(SUMPRODUCT((DATOS!$A$2:$A$20000=G221)*(DATOS!$G$2:$G$20000=CONFIG_METADATA!$B$4)*(COUNTIF(CONFIG_ASIGNATURAS!$B$7:$B$27,DATOS!$I$2:$I$20000)&gt;0)*(DATOS!$K$2:$K$20000))/SUMPRODUCT((DATOS!$A$2:$A$20000=G221)*(DATOS!$G$2:$G$20000=CONFIG_METADATA!$B$4)*(COUNTIF(CONFIG_ASIGNATURAS!$B$7:$B$27,DATOS!$I$2:$I$20000)&gt;0)*1),"")))</f>
        <v/>
      </c>
      <c r="N221" t="str">
        <f>IF(M221="","",IF(M221="[FÓRMULA MANUAL]","",IFERROR(AVERAGEIFS(DATOS!$K$2:$K$20000,DATOS!$A$2:$A$20000,M221,DATOS!$G$2:$G$20000,CONFIG_METADATA!$B$4,DATOS!$I$2:$I$20000,"Armonía"),"")))</f>
        <v/>
      </c>
      <c r="O221" t="str">
        <f>IF(M221="","",IF(M221="[FÓRMULA MANUAL]","",IFERROR(AVERAGEIFS(DATOS!$K$2:$K$20000,DATOS!$A$2:$A$20000,M221,DATOS!$G$2:$G$20000,CONFIG_METADATA!$B$4,DATOS!$I$2:$I$20000,"Orquesta/Banda/Conjunto"),"")))</f>
        <v/>
      </c>
      <c r="P221" t="str">
        <f>IF(M221="","",IF(M221="[FÓRMULA MANUAL]","",IFERROR(AVERAGEIFS(DATOS!$K$2:$K$20000,DATOS!$A$2:$A$20000,M221,DATOS!$G$2:$G$20000,CONFIG_METADATA!$B$4,DATOS!$I$2:$I$20000,"Música de Cámara"),"")))</f>
        <v/>
      </c>
      <c r="Q221" t="str">
        <f>IF(M221="","",IF(M221="[FÓRMULA MANUAL]","",IFERROR(SUMPRODUCT((DATOS!$A$2:$A$20000=M221)*(DATOS!$G$2:$G$20000=CONFIG_METADATA!$B$4)*(COUNTIF(CONFIG_ASIGNATURAS!$B$7:$B$27,DATOS!$I$2:$I$20000)&gt;0)*(DATOS!$K$2:$K$20000))/SUMPRODUCT((DATOS!$A$2:$A$20000=M221)*(DATOS!$G$2:$G$20000=CONFIG_METADATA!$B$4)*(COUNTIF(CONFIG_ASIGNATURAS!$B$7:$B$27,DATOS!$I$2:$I$20000)&gt;0)*1),"")))</f>
        <v/>
      </c>
      <c r="T221" t="str">
        <f>IF(S221="","",IF(S221="[FÓRMULA MANUAL]","",IFERROR(AVERAGEIFS(DATOS!$K$2:$K$20000,DATOS!$A$2:$A$20000,S221,DATOS!$G$2:$G$20000,CONFIG_METADATA!$B$4,DATOS!$I$2:$I$20000,"Armonía"),"")))</f>
        <v/>
      </c>
      <c r="U221" t="str">
        <f>IF(S221="","",IF(S221="[FÓRMULA MANUAL]","",IFERROR(AVERAGEIFS(DATOS!$K$2:$K$20000,DATOS!$A$2:$A$20000,S221,DATOS!$G$2:$G$20000,CONFIG_METADATA!$B$4,DATOS!$I$2:$I$20000,"Orquesta/Banda/Conjunto"),"")))</f>
        <v/>
      </c>
      <c r="V221" t="str">
        <f>IF(S221="","",IF(S221="[FÓRMULA MANUAL]","",IFERROR(AVERAGEIFS(DATOS!$K$2:$K$20000,DATOS!$A$2:$A$20000,S221,DATOS!$G$2:$G$20000,CONFIG_METADATA!$B$4,DATOS!$I$2:$I$20000,"Música de Cámara"),"")))</f>
        <v/>
      </c>
      <c r="W221" t="str">
        <f>IF(S221="","",IF(S221="[FÓRMULA MANUAL]","",IFERROR(SUMPRODUCT((DATOS!$A$2:$A$20000=S221)*(DATOS!$G$2:$G$20000=CONFIG_METADATA!$B$4)*(COUNTIF(CONFIG_ASIGNATURAS!$B$7:$B$27,DATOS!$I$2:$I$20000)&gt;0)*(DATOS!$K$2:$K$20000))/SUMPRODUCT((DATOS!$A$2:$A$20000=S221)*(DATOS!$G$2:$G$20000=CONFIG_METADATA!$B$4)*(COUNTIF(CONFIG_ASIGNATURAS!$B$7:$B$27,DATOS!$I$2:$I$20000)&gt;0)*1),"")))</f>
        <v/>
      </c>
      <c r="Z221" t="str">
        <f>IF(Y221="","",IF(Y221="[FÓRMULA MANUAL]","",IFERROR(AVERAGEIFS(DATOS!$K$2:$K$20000,DATOS!$A$2:$A$20000,Y221,DATOS!$G$2:$G$20000,CONFIG_METADATA!$B$4,DATOS!$I$2:$I$20000,"Análisis"),"")))</f>
        <v/>
      </c>
      <c r="AA221" t="str">
        <f>IF(Y221="","",IF(Y221="[FÓRMULA MANUAL]","",IFERROR(AVERAGEIFS(DATOS!$K$2:$K$20000,DATOS!$A$2:$A$20000,Y221,DATOS!$G$2:$G$20000,CONFIG_METADATA!$B$4,DATOS!$I$2:$I$20000,"Orquesta/Banda/Conjunto"),"")))</f>
        <v/>
      </c>
      <c r="AB221" t="str">
        <f>IF(Y221="","",IF(Y221="[FÓRMULA MANUAL]","",IFERROR(AVERAGEIFS(DATOS!$K$2:$K$20000,DATOS!$A$2:$A$20000,Y221,DATOS!$G$2:$G$20000,CONFIG_METADATA!$B$4,DATOS!$I$2:$I$20000,"Música de Cámara"),"")))</f>
        <v/>
      </c>
      <c r="AC221" t="str">
        <f>IF(Y221="","",IF(Y221="[FÓRMULA MANUAL]","",IFERROR(SUMPRODUCT((DATOS!$A$2:$A$20000=Y221)*(DATOS!$G$2:$G$20000=CONFIG_METADATA!$B$4)*(COUNTIF(CONFIG_ASIGNATURAS!$B$7:$B$27,DATOS!$I$2:$I$20000)&gt;0)*(DATOS!$K$2:$K$20000))/SUMPRODUCT((DATOS!$A$2:$A$20000=Y221)*(DATOS!$G$2:$G$20000=CONFIG_METADATA!$B$4)*(COUNTIF(CONFIG_ASIGNATURAS!$B$7:$B$27,DATOS!$I$2:$I$20000)&gt;0)*1),"")))</f>
        <v/>
      </c>
      <c r="AF221" t="str">
        <f>IF(AE221="","",IF(AE221="[FÓRMULA MANUAL]","",IFERROR(AVERAGEIFS(DATOS!$K$2:$K$20000,DATOS!$A$2:$A$20000,AE221,DATOS!$G$2:$G$20000,CONFIG_METADATA!$B$4,DATOS!$I$2:$I$20000,"Análisis"),"")))</f>
        <v/>
      </c>
      <c r="AG221" t="str">
        <f>IF(AE221="","",IF(AE221="[FÓRMULA MANUAL]","",IFERROR(AVERAGEIFS(DATOS!$K$2:$K$20000,DATOS!$A$2:$A$20000,AE221,DATOS!$G$2:$G$20000,CONFIG_METADATA!$B$4,DATOS!$I$2:$I$20000,"Orquesta/Banda/Conjunto"),"")))</f>
        <v/>
      </c>
      <c r="AH221" t="str">
        <f>IF(AE221="","",IF(AE221="[FÓRMULA MANUAL]","",IFERROR(AVERAGEIFS(DATOS!$K$2:$K$20000,DATOS!$A$2:$A$20000,AE221,DATOS!$G$2:$G$20000,CONFIG_METADATA!$B$4,DATOS!$I$2:$I$20000,"Música de Cámara"),"")))</f>
        <v/>
      </c>
      <c r="AI221" t="str">
        <f>IF(AE221="","",IF(AE221="[FÓRMULA MANUAL]","",IFERROR(SUMPRODUCT((DATOS!$A$2:$A$20000=AE221)*(DATOS!$G$2:$G$20000=CONFIG_METADATA!$B$4)*(COUNTIF(CONFIG_ASIGNATURAS!$B$7:$B$27,DATOS!$I$2:$I$20000)&gt;0)*(DATOS!$K$2:$K$20000))/SUMPRODUCT((DATOS!$A$2:$A$20000=AE221)*(DATOS!$G$2:$G$20000=CONFIG_METADATA!$B$4)*(COUNTIF(CONFIG_ASIGNATURAS!$B$7:$B$27,DATOS!$I$2:$I$20000)&gt;0)*1),"")))</f>
        <v/>
      </c>
    </row>
    <row r="222" spans="2:35" x14ac:dyDescent="0.2">
      <c r="B222" t="str">
        <f>IF(A222="","",IF(A222="[FÓRMULA MANUAL]","",IFERROR(AVERAGEIFS(DATOS!$K$2:$K$20000,DATOS!$A$2:$A$20000,A222,DATOS!$G$2:$G$20000,CONFIG_METADATA!$B$4,DATOS!$I$2:$I$20000,"Lenguaje Musical"),"")))</f>
        <v/>
      </c>
      <c r="C222" t="str">
        <f>IF(A222="","",IF(A222="[FÓRMULA MANUAL]","",IFERROR(AVERAGEIFS(DATOS!$K$2:$K$20000,DATOS!$A$2:$A$20000,A222,DATOS!$G$2:$G$20000,CONFIG_METADATA!$B$4,DATOS!$I$2:$I$20000,"Orquesta/Banda/Conjunto"),"")))</f>
        <v/>
      </c>
      <c r="D222" t="str">
        <f>IF(A222="","",IF(A222="[FÓRMULA MANUAL]","",IFERROR(AVERAGEIFS(DATOS!$K$2:$K$20000,DATOS!$A$2:$A$20000,A222,DATOS!$G$2:$G$20000,CONFIG_METADATA!$B$4,DATOS!$I$2:$I$20000,"Conjunto"),"")))</f>
        <v/>
      </c>
      <c r="E222" t="str">
        <f>IF(A222="","",IF(A222="[FÓRMULA MANUAL]","",IFERROR(SUMPRODUCT((DATOS!$A$2:$A$20000=A222)*(DATOS!$G$2:$G$20000=CONFIG_METADATA!$B$4)*(COUNTIF(CONFIG_ASIGNATURAS!$B$7:$B$27,DATOS!$I$2:$I$20000)&gt;0)*(DATOS!$K$2:$K$20000))/SUMPRODUCT((DATOS!$A$2:$A$20000=A222)*(DATOS!$G$2:$G$20000=CONFIG_METADATA!$B$4)*(COUNTIF(CONFIG_ASIGNATURAS!$B$7:$B$27,DATOS!$I$2:$I$20000)&gt;0)*1),"")))</f>
        <v/>
      </c>
      <c r="H222" t="str">
        <f>IF(G222="","",IF(G222="[FÓRMULA MANUAL]","",IFERROR(AVERAGEIFS(DATOS!$K$2:$K$20000,DATOS!$A$2:$A$20000,G222,DATOS!$G$2:$G$20000,CONFIG_METADATA!$B$4,DATOS!$I$2:$I$20000,"Lenguaje Musical"),"")))</f>
        <v/>
      </c>
      <c r="I222" t="str">
        <f>IF(G222="","",IF(G222="[FÓRMULA MANUAL]","",IFERROR(AVERAGEIFS(DATOS!$K$2:$K$20000,DATOS!$A$2:$A$20000,G222,DATOS!$G$2:$G$20000,CONFIG_METADATA!$B$4,DATOS!$I$2:$I$20000,"Orquesta/Banda/Conjunto"),"")))</f>
        <v/>
      </c>
      <c r="J222" t="str">
        <f>IF(G222="","",IF(G222="[FÓRMULA MANUAL]","",IFERROR(AVERAGEIFS(DATOS!$K$2:$K$20000,DATOS!$A$2:$A$20000,G222,DATOS!$G$2:$G$20000,CONFIG_METADATA!$B$4,DATOS!$I$2:$I$20000,"Conjunto"),"")))</f>
        <v/>
      </c>
      <c r="K222" t="str">
        <f>IF(G222="","",IF(G222="[FÓRMULA MANUAL]","",IFERROR(SUMPRODUCT((DATOS!$A$2:$A$20000=G222)*(DATOS!$G$2:$G$20000=CONFIG_METADATA!$B$4)*(COUNTIF(CONFIG_ASIGNATURAS!$B$7:$B$27,DATOS!$I$2:$I$20000)&gt;0)*(DATOS!$K$2:$K$20000))/SUMPRODUCT((DATOS!$A$2:$A$20000=G222)*(DATOS!$G$2:$G$20000=CONFIG_METADATA!$B$4)*(COUNTIF(CONFIG_ASIGNATURAS!$B$7:$B$27,DATOS!$I$2:$I$20000)&gt;0)*1),"")))</f>
        <v/>
      </c>
      <c r="N222" t="str">
        <f>IF(M222="","",IF(M222="[FÓRMULA MANUAL]","",IFERROR(AVERAGEIFS(DATOS!$K$2:$K$20000,DATOS!$A$2:$A$20000,M222,DATOS!$G$2:$G$20000,CONFIG_METADATA!$B$4,DATOS!$I$2:$I$20000,"Armonía"),"")))</f>
        <v/>
      </c>
      <c r="O222" t="str">
        <f>IF(M222="","",IF(M222="[FÓRMULA MANUAL]","",IFERROR(AVERAGEIFS(DATOS!$K$2:$K$20000,DATOS!$A$2:$A$20000,M222,DATOS!$G$2:$G$20000,CONFIG_METADATA!$B$4,DATOS!$I$2:$I$20000,"Orquesta/Banda/Conjunto"),"")))</f>
        <v/>
      </c>
      <c r="P222" t="str">
        <f>IF(M222="","",IF(M222="[FÓRMULA MANUAL]","",IFERROR(AVERAGEIFS(DATOS!$K$2:$K$20000,DATOS!$A$2:$A$20000,M222,DATOS!$G$2:$G$20000,CONFIG_METADATA!$B$4,DATOS!$I$2:$I$20000,"Música de Cámara"),"")))</f>
        <v/>
      </c>
      <c r="Q222" t="str">
        <f>IF(M222="","",IF(M222="[FÓRMULA MANUAL]","",IFERROR(SUMPRODUCT((DATOS!$A$2:$A$20000=M222)*(DATOS!$G$2:$G$20000=CONFIG_METADATA!$B$4)*(COUNTIF(CONFIG_ASIGNATURAS!$B$7:$B$27,DATOS!$I$2:$I$20000)&gt;0)*(DATOS!$K$2:$K$20000))/SUMPRODUCT((DATOS!$A$2:$A$20000=M222)*(DATOS!$G$2:$G$20000=CONFIG_METADATA!$B$4)*(COUNTIF(CONFIG_ASIGNATURAS!$B$7:$B$27,DATOS!$I$2:$I$20000)&gt;0)*1),"")))</f>
        <v/>
      </c>
      <c r="T222" t="str">
        <f>IF(S222="","",IF(S222="[FÓRMULA MANUAL]","",IFERROR(AVERAGEIFS(DATOS!$K$2:$K$20000,DATOS!$A$2:$A$20000,S222,DATOS!$G$2:$G$20000,CONFIG_METADATA!$B$4,DATOS!$I$2:$I$20000,"Armonía"),"")))</f>
        <v/>
      </c>
      <c r="U222" t="str">
        <f>IF(S222="","",IF(S222="[FÓRMULA MANUAL]","",IFERROR(AVERAGEIFS(DATOS!$K$2:$K$20000,DATOS!$A$2:$A$20000,S222,DATOS!$G$2:$G$20000,CONFIG_METADATA!$B$4,DATOS!$I$2:$I$20000,"Orquesta/Banda/Conjunto"),"")))</f>
        <v/>
      </c>
      <c r="V222" t="str">
        <f>IF(S222="","",IF(S222="[FÓRMULA MANUAL]","",IFERROR(AVERAGEIFS(DATOS!$K$2:$K$20000,DATOS!$A$2:$A$20000,S222,DATOS!$G$2:$G$20000,CONFIG_METADATA!$B$4,DATOS!$I$2:$I$20000,"Música de Cámara"),"")))</f>
        <v/>
      </c>
      <c r="W222" t="str">
        <f>IF(S222="","",IF(S222="[FÓRMULA MANUAL]","",IFERROR(SUMPRODUCT((DATOS!$A$2:$A$20000=S222)*(DATOS!$G$2:$G$20000=CONFIG_METADATA!$B$4)*(COUNTIF(CONFIG_ASIGNATURAS!$B$7:$B$27,DATOS!$I$2:$I$20000)&gt;0)*(DATOS!$K$2:$K$20000))/SUMPRODUCT((DATOS!$A$2:$A$20000=S222)*(DATOS!$G$2:$G$20000=CONFIG_METADATA!$B$4)*(COUNTIF(CONFIG_ASIGNATURAS!$B$7:$B$27,DATOS!$I$2:$I$20000)&gt;0)*1),"")))</f>
        <v/>
      </c>
      <c r="Z222" t="str">
        <f>IF(Y222="","",IF(Y222="[FÓRMULA MANUAL]","",IFERROR(AVERAGEIFS(DATOS!$K$2:$K$20000,DATOS!$A$2:$A$20000,Y222,DATOS!$G$2:$G$20000,CONFIG_METADATA!$B$4,DATOS!$I$2:$I$20000,"Análisis"),"")))</f>
        <v/>
      </c>
      <c r="AA222" t="str">
        <f>IF(Y222="","",IF(Y222="[FÓRMULA MANUAL]","",IFERROR(AVERAGEIFS(DATOS!$K$2:$K$20000,DATOS!$A$2:$A$20000,Y222,DATOS!$G$2:$G$20000,CONFIG_METADATA!$B$4,DATOS!$I$2:$I$20000,"Orquesta/Banda/Conjunto"),"")))</f>
        <v/>
      </c>
      <c r="AB222" t="str">
        <f>IF(Y222="","",IF(Y222="[FÓRMULA MANUAL]","",IFERROR(AVERAGEIFS(DATOS!$K$2:$K$20000,DATOS!$A$2:$A$20000,Y222,DATOS!$G$2:$G$20000,CONFIG_METADATA!$B$4,DATOS!$I$2:$I$20000,"Música de Cámara"),"")))</f>
        <v/>
      </c>
      <c r="AC222" t="str">
        <f>IF(Y222="","",IF(Y222="[FÓRMULA MANUAL]","",IFERROR(SUMPRODUCT((DATOS!$A$2:$A$20000=Y222)*(DATOS!$G$2:$G$20000=CONFIG_METADATA!$B$4)*(COUNTIF(CONFIG_ASIGNATURAS!$B$7:$B$27,DATOS!$I$2:$I$20000)&gt;0)*(DATOS!$K$2:$K$20000))/SUMPRODUCT((DATOS!$A$2:$A$20000=Y222)*(DATOS!$G$2:$G$20000=CONFIG_METADATA!$B$4)*(COUNTIF(CONFIG_ASIGNATURAS!$B$7:$B$27,DATOS!$I$2:$I$20000)&gt;0)*1),"")))</f>
        <v/>
      </c>
      <c r="AF222" t="str">
        <f>IF(AE222="","",IF(AE222="[FÓRMULA MANUAL]","",IFERROR(AVERAGEIFS(DATOS!$K$2:$K$20000,DATOS!$A$2:$A$20000,AE222,DATOS!$G$2:$G$20000,CONFIG_METADATA!$B$4,DATOS!$I$2:$I$20000,"Análisis"),"")))</f>
        <v/>
      </c>
      <c r="AG222" t="str">
        <f>IF(AE222="","",IF(AE222="[FÓRMULA MANUAL]","",IFERROR(AVERAGEIFS(DATOS!$K$2:$K$20000,DATOS!$A$2:$A$20000,AE222,DATOS!$G$2:$G$20000,CONFIG_METADATA!$B$4,DATOS!$I$2:$I$20000,"Orquesta/Banda/Conjunto"),"")))</f>
        <v/>
      </c>
      <c r="AH222" t="str">
        <f>IF(AE222="","",IF(AE222="[FÓRMULA MANUAL]","",IFERROR(AVERAGEIFS(DATOS!$K$2:$K$20000,DATOS!$A$2:$A$20000,AE222,DATOS!$G$2:$G$20000,CONFIG_METADATA!$B$4,DATOS!$I$2:$I$20000,"Música de Cámara"),"")))</f>
        <v/>
      </c>
      <c r="AI222" t="str">
        <f>IF(AE222="","",IF(AE222="[FÓRMULA MANUAL]","",IFERROR(SUMPRODUCT((DATOS!$A$2:$A$20000=AE222)*(DATOS!$G$2:$G$20000=CONFIG_METADATA!$B$4)*(COUNTIF(CONFIG_ASIGNATURAS!$B$7:$B$27,DATOS!$I$2:$I$20000)&gt;0)*(DATOS!$K$2:$K$20000))/SUMPRODUCT((DATOS!$A$2:$A$20000=AE222)*(DATOS!$G$2:$G$20000=CONFIG_METADATA!$B$4)*(COUNTIF(CONFIG_ASIGNATURAS!$B$7:$B$27,DATOS!$I$2:$I$20000)&gt;0)*1),"")))</f>
        <v/>
      </c>
    </row>
    <row r="223" spans="2:35" x14ac:dyDescent="0.2">
      <c r="B223" t="str">
        <f>IF(A223="","",IF(A223="[FÓRMULA MANUAL]","",IFERROR(AVERAGEIFS(DATOS!$K$2:$K$20000,DATOS!$A$2:$A$20000,A223,DATOS!$G$2:$G$20000,CONFIG_METADATA!$B$4,DATOS!$I$2:$I$20000,"Lenguaje Musical"),"")))</f>
        <v/>
      </c>
      <c r="C223" t="str">
        <f>IF(A223="","",IF(A223="[FÓRMULA MANUAL]","",IFERROR(AVERAGEIFS(DATOS!$K$2:$K$20000,DATOS!$A$2:$A$20000,A223,DATOS!$G$2:$G$20000,CONFIG_METADATA!$B$4,DATOS!$I$2:$I$20000,"Orquesta/Banda/Conjunto"),"")))</f>
        <v/>
      </c>
      <c r="D223" t="str">
        <f>IF(A223="","",IF(A223="[FÓRMULA MANUAL]","",IFERROR(AVERAGEIFS(DATOS!$K$2:$K$20000,DATOS!$A$2:$A$20000,A223,DATOS!$G$2:$G$20000,CONFIG_METADATA!$B$4,DATOS!$I$2:$I$20000,"Conjunto"),"")))</f>
        <v/>
      </c>
      <c r="E223" t="str">
        <f>IF(A223="","",IF(A223="[FÓRMULA MANUAL]","",IFERROR(SUMPRODUCT((DATOS!$A$2:$A$20000=A223)*(DATOS!$G$2:$G$20000=CONFIG_METADATA!$B$4)*(COUNTIF(CONFIG_ASIGNATURAS!$B$7:$B$27,DATOS!$I$2:$I$20000)&gt;0)*(DATOS!$K$2:$K$20000))/SUMPRODUCT((DATOS!$A$2:$A$20000=A223)*(DATOS!$G$2:$G$20000=CONFIG_METADATA!$B$4)*(COUNTIF(CONFIG_ASIGNATURAS!$B$7:$B$27,DATOS!$I$2:$I$20000)&gt;0)*1),"")))</f>
        <v/>
      </c>
      <c r="H223" t="str">
        <f>IF(G223="","",IF(G223="[FÓRMULA MANUAL]","",IFERROR(AVERAGEIFS(DATOS!$K$2:$K$20000,DATOS!$A$2:$A$20000,G223,DATOS!$G$2:$G$20000,CONFIG_METADATA!$B$4,DATOS!$I$2:$I$20000,"Lenguaje Musical"),"")))</f>
        <v/>
      </c>
      <c r="I223" t="str">
        <f>IF(G223="","",IF(G223="[FÓRMULA MANUAL]","",IFERROR(AVERAGEIFS(DATOS!$K$2:$K$20000,DATOS!$A$2:$A$20000,G223,DATOS!$G$2:$G$20000,CONFIG_METADATA!$B$4,DATOS!$I$2:$I$20000,"Orquesta/Banda/Conjunto"),"")))</f>
        <v/>
      </c>
      <c r="J223" t="str">
        <f>IF(G223="","",IF(G223="[FÓRMULA MANUAL]","",IFERROR(AVERAGEIFS(DATOS!$K$2:$K$20000,DATOS!$A$2:$A$20000,G223,DATOS!$G$2:$G$20000,CONFIG_METADATA!$B$4,DATOS!$I$2:$I$20000,"Conjunto"),"")))</f>
        <v/>
      </c>
      <c r="K223" t="str">
        <f>IF(G223="","",IF(G223="[FÓRMULA MANUAL]","",IFERROR(SUMPRODUCT((DATOS!$A$2:$A$20000=G223)*(DATOS!$G$2:$G$20000=CONFIG_METADATA!$B$4)*(COUNTIF(CONFIG_ASIGNATURAS!$B$7:$B$27,DATOS!$I$2:$I$20000)&gt;0)*(DATOS!$K$2:$K$20000))/SUMPRODUCT((DATOS!$A$2:$A$20000=G223)*(DATOS!$G$2:$G$20000=CONFIG_METADATA!$B$4)*(COUNTIF(CONFIG_ASIGNATURAS!$B$7:$B$27,DATOS!$I$2:$I$20000)&gt;0)*1),"")))</f>
        <v/>
      </c>
      <c r="N223" t="str">
        <f>IF(M223="","",IF(M223="[FÓRMULA MANUAL]","",IFERROR(AVERAGEIFS(DATOS!$K$2:$K$20000,DATOS!$A$2:$A$20000,M223,DATOS!$G$2:$G$20000,CONFIG_METADATA!$B$4,DATOS!$I$2:$I$20000,"Armonía"),"")))</f>
        <v/>
      </c>
      <c r="O223" t="str">
        <f>IF(M223="","",IF(M223="[FÓRMULA MANUAL]","",IFERROR(AVERAGEIFS(DATOS!$K$2:$K$20000,DATOS!$A$2:$A$20000,M223,DATOS!$G$2:$G$20000,CONFIG_METADATA!$B$4,DATOS!$I$2:$I$20000,"Orquesta/Banda/Conjunto"),"")))</f>
        <v/>
      </c>
      <c r="P223" t="str">
        <f>IF(M223="","",IF(M223="[FÓRMULA MANUAL]","",IFERROR(AVERAGEIFS(DATOS!$K$2:$K$20000,DATOS!$A$2:$A$20000,M223,DATOS!$G$2:$G$20000,CONFIG_METADATA!$B$4,DATOS!$I$2:$I$20000,"Música de Cámara"),"")))</f>
        <v/>
      </c>
      <c r="Q223" t="str">
        <f>IF(M223="","",IF(M223="[FÓRMULA MANUAL]","",IFERROR(SUMPRODUCT((DATOS!$A$2:$A$20000=M223)*(DATOS!$G$2:$G$20000=CONFIG_METADATA!$B$4)*(COUNTIF(CONFIG_ASIGNATURAS!$B$7:$B$27,DATOS!$I$2:$I$20000)&gt;0)*(DATOS!$K$2:$K$20000))/SUMPRODUCT((DATOS!$A$2:$A$20000=M223)*(DATOS!$G$2:$G$20000=CONFIG_METADATA!$B$4)*(COUNTIF(CONFIG_ASIGNATURAS!$B$7:$B$27,DATOS!$I$2:$I$20000)&gt;0)*1),"")))</f>
        <v/>
      </c>
      <c r="T223" t="str">
        <f>IF(S223="","",IF(S223="[FÓRMULA MANUAL]","",IFERROR(AVERAGEIFS(DATOS!$K$2:$K$20000,DATOS!$A$2:$A$20000,S223,DATOS!$G$2:$G$20000,CONFIG_METADATA!$B$4,DATOS!$I$2:$I$20000,"Armonía"),"")))</f>
        <v/>
      </c>
      <c r="U223" t="str">
        <f>IF(S223="","",IF(S223="[FÓRMULA MANUAL]","",IFERROR(AVERAGEIFS(DATOS!$K$2:$K$20000,DATOS!$A$2:$A$20000,S223,DATOS!$G$2:$G$20000,CONFIG_METADATA!$B$4,DATOS!$I$2:$I$20000,"Orquesta/Banda/Conjunto"),"")))</f>
        <v/>
      </c>
      <c r="V223" t="str">
        <f>IF(S223="","",IF(S223="[FÓRMULA MANUAL]","",IFERROR(AVERAGEIFS(DATOS!$K$2:$K$20000,DATOS!$A$2:$A$20000,S223,DATOS!$G$2:$G$20000,CONFIG_METADATA!$B$4,DATOS!$I$2:$I$20000,"Música de Cámara"),"")))</f>
        <v/>
      </c>
      <c r="W223" t="str">
        <f>IF(S223="","",IF(S223="[FÓRMULA MANUAL]","",IFERROR(SUMPRODUCT((DATOS!$A$2:$A$20000=S223)*(DATOS!$G$2:$G$20000=CONFIG_METADATA!$B$4)*(COUNTIF(CONFIG_ASIGNATURAS!$B$7:$B$27,DATOS!$I$2:$I$20000)&gt;0)*(DATOS!$K$2:$K$20000))/SUMPRODUCT((DATOS!$A$2:$A$20000=S223)*(DATOS!$G$2:$G$20000=CONFIG_METADATA!$B$4)*(COUNTIF(CONFIG_ASIGNATURAS!$B$7:$B$27,DATOS!$I$2:$I$20000)&gt;0)*1),"")))</f>
        <v/>
      </c>
      <c r="Z223" t="str">
        <f>IF(Y223="","",IF(Y223="[FÓRMULA MANUAL]","",IFERROR(AVERAGEIFS(DATOS!$K$2:$K$20000,DATOS!$A$2:$A$20000,Y223,DATOS!$G$2:$G$20000,CONFIG_METADATA!$B$4,DATOS!$I$2:$I$20000,"Análisis"),"")))</f>
        <v/>
      </c>
      <c r="AA223" t="str">
        <f>IF(Y223="","",IF(Y223="[FÓRMULA MANUAL]","",IFERROR(AVERAGEIFS(DATOS!$K$2:$K$20000,DATOS!$A$2:$A$20000,Y223,DATOS!$G$2:$G$20000,CONFIG_METADATA!$B$4,DATOS!$I$2:$I$20000,"Orquesta/Banda/Conjunto"),"")))</f>
        <v/>
      </c>
      <c r="AB223" t="str">
        <f>IF(Y223="","",IF(Y223="[FÓRMULA MANUAL]","",IFERROR(AVERAGEIFS(DATOS!$K$2:$K$20000,DATOS!$A$2:$A$20000,Y223,DATOS!$G$2:$G$20000,CONFIG_METADATA!$B$4,DATOS!$I$2:$I$20000,"Música de Cámara"),"")))</f>
        <v/>
      </c>
      <c r="AC223" t="str">
        <f>IF(Y223="","",IF(Y223="[FÓRMULA MANUAL]","",IFERROR(SUMPRODUCT((DATOS!$A$2:$A$20000=Y223)*(DATOS!$G$2:$G$20000=CONFIG_METADATA!$B$4)*(COUNTIF(CONFIG_ASIGNATURAS!$B$7:$B$27,DATOS!$I$2:$I$20000)&gt;0)*(DATOS!$K$2:$K$20000))/SUMPRODUCT((DATOS!$A$2:$A$20000=Y223)*(DATOS!$G$2:$G$20000=CONFIG_METADATA!$B$4)*(COUNTIF(CONFIG_ASIGNATURAS!$B$7:$B$27,DATOS!$I$2:$I$20000)&gt;0)*1),"")))</f>
        <v/>
      </c>
      <c r="AF223" t="str">
        <f>IF(AE223="","",IF(AE223="[FÓRMULA MANUAL]","",IFERROR(AVERAGEIFS(DATOS!$K$2:$K$20000,DATOS!$A$2:$A$20000,AE223,DATOS!$G$2:$G$20000,CONFIG_METADATA!$B$4,DATOS!$I$2:$I$20000,"Análisis"),"")))</f>
        <v/>
      </c>
      <c r="AG223" t="str">
        <f>IF(AE223="","",IF(AE223="[FÓRMULA MANUAL]","",IFERROR(AVERAGEIFS(DATOS!$K$2:$K$20000,DATOS!$A$2:$A$20000,AE223,DATOS!$G$2:$G$20000,CONFIG_METADATA!$B$4,DATOS!$I$2:$I$20000,"Orquesta/Banda/Conjunto"),"")))</f>
        <v/>
      </c>
      <c r="AH223" t="str">
        <f>IF(AE223="","",IF(AE223="[FÓRMULA MANUAL]","",IFERROR(AVERAGEIFS(DATOS!$K$2:$K$20000,DATOS!$A$2:$A$20000,AE223,DATOS!$G$2:$G$20000,CONFIG_METADATA!$B$4,DATOS!$I$2:$I$20000,"Música de Cámara"),"")))</f>
        <v/>
      </c>
      <c r="AI223" t="str">
        <f>IF(AE223="","",IF(AE223="[FÓRMULA MANUAL]","",IFERROR(SUMPRODUCT((DATOS!$A$2:$A$20000=AE223)*(DATOS!$G$2:$G$20000=CONFIG_METADATA!$B$4)*(COUNTIF(CONFIG_ASIGNATURAS!$B$7:$B$27,DATOS!$I$2:$I$20000)&gt;0)*(DATOS!$K$2:$K$20000))/SUMPRODUCT((DATOS!$A$2:$A$20000=AE223)*(DATOS!$G$2:$G$20000=CONFIG_METADATA!$B$4)*(COUNTIF(CONFIG_ASIGNATURAS!$B$7:$B$27,DATOS!$I$2:$I$20000)&gt;0)*1),"")))</f>
        <v/>
      </c>
    </row>
    <row r="224" spans="2:35" x14ac:dyDescent="0.2">
      <c r="B224" t="str">
        <f>IF(A224="","",IF(A224="[FÓRMULA MANUAL]","",IFERROR(AVERAGEIFS(DATOS!$K$2:$K$20000,DATOS!$A$2:$A$20000,A224,DATOS!$G$2:$G$20000,CONFIG_METADATA!$B$4,DATOS!$I$2:$I$20000,"Lenguaje Musical"),"")))</f>
        <v/>
      </c>
      <c r="C224" t="str">
        <f>IF(A224="","",IF(A224="[FÓRMULA MANUAL]","",IFERROR(AVERAGEIFS(DATOS!$K$2:$K$20000,DATOS!$A$2:$A$20000,A224,DATOS!$G$2:$G$20000,CONFIG_METADATA!$B$4,DATOS!$I$2:$I$20000,"Orquesta/Banda/Conjunto"),"")))</f>
        <v/>
      </c>
      <c r="D224" t="str">
        <f>IF(A224="","",IF(A224="[FÓRMULA MANUAL]","",IFERROR(AVERAGEIFS(DATOS!$K$2:$K$20000,DATOS!$A$2:$A$20000,A224,DATOS!$G$2:$G$20000,CONFIG_METADATA!$B$4,DATOS!$I$2:$I$20000,"Conjunto"),"")))</f>
        <v/>
      </c>
      <c r="E224" t="str">
        <f>IF(A224="","",IF(A224="[FÓRMULA MANUAL]","",IFERROR(SUMPRODUCT((DATOS!$A$2:$A$20000=A224)*(DATOS!$G$2:$G$20000=CONFIG_METADATA!$B$4)*(COUNTIF(CONFIG_ASIGNATURAS!$B$7:$B$27,DATOS!$I$2:$I$20000)&gt;0)*(DATOS!$K$2:$K$20000))/SUMPRODUCT((DATOS!$A$2:$A$20000=A224)*(DATOS!$G$2:$G$20000=CONFIG_METADATA!$B$4)*(COUNTIF(CONFIG_ASIGNATURAS!$B$7:$B$27,DATOS!$I$2:$I$20000)&gt;0)*1),"")))</f>
        <v/>
      </c>
      <c r="H224" t="str">
        <f>IF(G224="","",IF(G224="[FÓRMULA MANUAL]","",IFERROR(AVERAGEIFS(DATOS!$K$2:$K$20000,DATOS!$A$2:$A$20000,G224,DATOS!$G$2:$G$20000,CONFIG_METADATA!$B$4,DATOS!$I$2:$I$20000,"Lenguaje Musical"),"")))</f>
        <v/>
      </c>
      <c r="I224" t="str">
        <f>IF(G224="","",IF(G224="[FÓRMULA MANUAL]","",IFERROR(AVERAGEIFS(DATOS!$K$2:$K$20000,DATOS!$A$2:$A$20000,G224,DATOS!$G$2:$G$20000,CONFIG_METADATA!$B$4,DATOS!$I$2:$I$20000,"Orquesta/Banda/Conjunto"),"")))</f>
        <v/>
      </c>
      <c r="J224" t="str">
        <f>IF(G224="","",IF(G224="[FÓRMULA MANUAL]","",IFERROR(AVERAGEIFS(DATOS!$K$2:$K$20000,DATOS!$A$2:$A$20000,G224,DATOS!$G$2:$G$20000,CONFIG_METADATA!$B$4,DATOS!$I$2:$I$20000,"Conjunto"),"")))</f>
        <v/>
      </c>
      <c r="K224" t="str">
        <f>IF(G224="","",IF(G224="[FÓRMULA MANUAL]","",IFERROR(SUMPRODUCT((DATOS!$A$2:$A$20000=G224)*(DATOS!$G$2:$G$20000=CONFIG_METADATA!$B$4)*(COUNTIF(CONFIG_ASIGNATURAS!$B$7:$B$27,DATOS!$I$2:$I$20000)&gt;0)*(DATOS!$K$2:$K$20000))/SUMPRODUCT((DATOS!$A$2:$A$20000=G224)*(DATOS!$G$2:$G$20000=CONFIG_METADATA!$B$4)*(COUNTIF(CONFIG_ASIGNATURAS!$B$7:$B$27,DATOS!$I$2:$I$20000)&gt;0)*1),"")))</f>
        <v/>
      </c>
      <c r="N224" t="str">
        <f>IF(M224="","",IF(M224="[FÓRMULA MANUAL]","",IFERROR(AVERAGEIFS(DATOS!$K$2:$K$20000,DATOS!$A$2:$A$20000,M224,DATOS!$G$2:$G$20000,CONFIG_METADATA!$B$4,DATOS!$I$2:$I$20000,"Armonía"),"")))</f>
        <v/>
      </c>
      <c r="O224" t="str">
        <f>IF(M224="","",IF(M224="[FÓRMULA MANUAL]","",IFERROR(AVERAGEIFS(DATOS!$K$2:$K$20000,DATOS!$A$2:$A$20000,M224,DATOS!$G$2:$G$20000,CONFIG_METADATA!$B$4,DATOS!$I$2:$I$20000,"Orquesta/Banda/Conjunto"),"")))</f>
        <v/>
      </c>
      <c r="P224" t="str">
        <f>IF(M224="","",IF(M224="[FÓRMULA MANUAL]","",IFERROR(AVERAGEIFS(DATOS!$K$2:$K$20000,DATOS!$A$2:$A$20000,M224,DATOS!$G$2:$G$20000,CONFIG_METADATA!$B$4,DATOS!$I$2:$I$20000,"Música de Cámara"),"")))</f>
        <v/>
      </c>
      <c r="Q224" t="str">
        <f>IF(M224="","",IF(M224="[FÓRMULA MANUAL]","",IFERROR(SUMPRODUCT((DATOS!$A$2:$A$20000=M224)*(DATOS!$G$2:$G$20000=CONFIG_METADATA!$B$4)*(COUNTIF(CONFIG_ASIGNATURAS!$B$7:$B$27,DATOS!$I$2:$I$20000)&gt;0)*(DATOS!$K$2:$K$20000))/SUMPRODUCT((DATOS!$A$2:$A$20000=M224)*(DATOS!$G$2:$G$20000=CONFIG_METADATA!$B$4)*(COUNTIF(CONFIG_ASIGNATURAS!$B$7:$B$27,DATOS!$I$2:$I$20000)&gt;0)*1),"")))</f>
        <v/>
      </c>
      <c r="T224" t="str">
        <f>IF(S224="","",IF(S224="[FÓRMULA MANUAL]","",IFERROR(AVERAGEIFS(DATOS!$K$2:$K$20000,DATOS!$A$2:$A$20000,S224,DATOS!$G$2:$G$20000,CONFIG_METADATA!$B$4,DATOS!$I$2:$I$20000,"Armonía"),"")))</f>
        <v/>
      </c>
      <c r="U224" t="str">
        <f>IF(S224="","",IF(S224="[FÓRMULA MANUAL]","",IFERROR(AVERAGEIFS(DATOS!$K$2:$K$20000,DATOS!$A$2:$A$20000,S224,DATOS!$G$2:$G$20000,CONFIG_METADATA!$B$4,DATOS!$I$2:$I$20000,"Orquesta/Banda/Conjunto"),"")))</f>
        <v/>
      </c>
      <c r="V224" t="str">
        <f>IF(S224="","",IF(S224="[FÓRMULA MANUAL]","",IFERROR(AVERAGEIFS(DATOS!$K$2:$K$20000,DATOS!$A$2:$A$20000,S224,DATOS!$G$2:$G$20000,CONFIG_METADATA!$B$4,DATOS!$I$2:$I$20000,"Música de Cámara"),"")))</f>
        <v/>
      </c>
      <c r="W224" t="str">
        <f>IF(S224="","",IF(S224="[FÓRMULA MANUAL]","",IFERROR(SUMPRODUCT((DATOS!$A$2:$A$20000=S224)*(DATOS!$G$2:$G$20000=CONFIG_METADATA!$B$4)*(COUNTIF(CONFIG_ASIGNATURAS!$B$7:$B$27,DATOS!$I$2:$I$20000)&gt;0)*(DATOS!$K$2:$K$20000))/SUMPRODUCT((DATOS!$A$2:$A$20000=S224)*(DATOS!$G$2:$G$20000=CONFIG_METADATA!$B$4)*(COUNTIF(CONFIG_ASIGNATURAS!$B$7:$B$27,DATOS!$I$2:$I$20000)&gt;0)*1),"")))</f>
        <v/>
      </c>
      <c r="Z224" t="str">
        <f>IF(Y224="","",IF(Y224="[FÓRMULA MANUAL]","",IFERROR(AVERAGEIFS(DATOS!$K$2:$K$20000,DATOS!$A$2:$A$20000,Y224,DATOS!$G$2:$G$20000,CONFIG_METADATA!$B$4,DATOS!$I$2:$I$20000,"Análisis"),"")))</f>
        <v/>
      </c>
      <c r="AA224" t="str">
        <f>IF(Y224="","",IF(Y224="[FÓRMULA MANUAL]","",IFERROR(AVERAGEIFS(DATOS!$K$2:$K$20000,DATOS!$A$2:$A$20000,Y224,DATOS!$G$2:$G$20000,CONFIG_METADATA!$B$4,DATOS!$I$2:$I$20000,"Orquesta/Banda/Conjunto"),"")))</f>
        <v/>
      </c>
      <c r="AB224" t="str">
        <f>IF(Y224="","",IF(Y224="[FÓRMULA MANUAL]","",IFERROR(AVERAGEIFS(DATOS!$K$2:$K$20000,DATOS!$A$2:$A$20000,Y224,DATOS!$G$2:$G$20000,CONFIG_METADATA!$B$4,DATOS!$I$2:$I$20000,"Música de Cámara"),"")))</f>
        <v/>
      </c>
      <c r="AC224" t="str">
        <f>IF(Y224="","",IF(Y224="[FÓRMULA MANUAL]","",IFERROR(SUMPRODUCT((DATOS!$A$2:$A$20000=Y224)*(DATOS!$G$2:$G$20000=CONFIG_METADATA!$B$4)*(COUNTIF(CONFIG_ASIGNATURAS!$B$7:$B$27,DATOS!$I$2:$I$20000)&gt;0)*(DATOS!$K$2:$K$20000))/SUMPRODUCT((DATOS!$A$2:$A$20000=Y224)*(DATOS!$G$2:$G$20000=CONFIG_METADATA!$B$4)*(COUNTIF(CONFIG_ASIGNATURAS!$B$7:$B$27,DATOS!$I$2:$I$20000)&gt;0)*1),"")))</f>
        <v/>
      </c>
      <c r="AF224" t="str">
        <f>IF(AE224="","",IF(AE224="[FÓRMULA MANUAL]","",IFERROR(AVERAGEIFS(DATOS!$K$2:$K$20000,DATOS!$A$2:$A$20000,AE224,DATOS!$G$2:$G$20000,CONFIG_METADATA!$B$4,DATOS!$I$2:$I$20000,"Análisis"),"")))</f>
        <v/>
      </c>
      <c r="AG224" t="str">
        <f>IF(AE224="","",IF(AE224="[FÓRMULA MANUAL]","",IFERROR(AVERAGEIFS(DATOS!$K$2:$K$20000,DATOS!$A$2:$A$20000,AE224,DATOS!$G$2:$G$20000,CONFIG_METADATA!$B$4,DATOS!$I$2:$I$20000,"Orquesta/Banda/Conjunto"),"")))</f>
        <v/>
      </c>
      <c r="AH224" t="str">
        <f>IF(AE224="","",IF(AE224="[FÓRMULA MANUAL]","",IFERROR(AVERAGEIFS(DATOS!$K$2:$K$20000,DATOS!$A$2:$A$20000,AE224,DATOS!$G$2:$G$20000,CONFIG_METADATA!$B$4,DATOS!$I$2:$I$20000,"Música de Cámara"),"")))</f>
        <v/>
      </c>
      <c r="AI224" t="str">
        <f>IF(AE224="","",IF(AE224="[FÓRMULA MANUAL]","",IFERROR(SUMPRODUCT((DATOS!$A$2:$A$20000=AE224)*(DATOS!$G$2:$G$20000=CONFIG_METADATA!$B$4)*(COUNTIF(CONFIG_ASIGNATURAS!$B$7:$B$27,DATOS!$I$2:$I$20000)&gt;0)*(DATOS!$K$2:$K$20000))/SUMPRODUCT((DATOS!$A$2:$A$20000=AE224)*(DATOS!$G$2:$G$20000=CONFIG_METADATA!$B$4)*(COUNTIF(CONFIG_ASIGNATURAS!$B$7:$B$27,DATOS!$I$2:$I$20000)&gt;0)*1),"")))</f>
        <v/>
      </c>
    </row>
    <row r="225" spans="2:35" x14ac:dyDescent="0.2">
      <c r="B225" t="str">
        <f>IF(A225="","",IF(A225="[FÓRMULA MANUAL]","",IFERROR(AVERAGEIFS(DATOS!$K$2:$K$20000,DATOS!$A$2:$A$20000,A225,DATOS!$G$2:$G$20000,CONFIG_METADATA!$B$4,DATOS!$I$2:$I$20000,"Lenguaje Musical"),"")))</f>
        <v/>
      </c>
      <c r="C225" t="str">
        <f>IF(A225="","",IF(A225="[FÓRMULA MANUAL]","",IFERROR(AVERAGEIFS(DATOS!$K$2:$K$20000,DATOS!$A$2:$A$20000,A225,DATOS!$G$2:$G$20000,CONFIG_METADATA!$B$4,DATOS!$I$2:$I$20000,"Orquesta/Banda/Conjunto"),"")))</f>
        <v/>
      </c>
      <c r="D225" t="str">
        <f>IF(A225="","",IF(A225="[FÓRMULA MANUAL]","",IFERROR(AVERAGEIFS(DATOS!$K$2:$K$20000,DATOS!$A$2:$A$20000,A225,DATOS!$G$2:$G$20000,CONFIG_METADATA!$B$4,DATOS!$I$2:$I$20000,"Conjunto"),"")))</f>
        <v/>
      </c>
      <c r="E225" t="str">
        <f>IF(A225="","",IF(A225="[FÓRMULA MANUAL]","",IFERROR(SUMPRODUCT((DATOS!$A$2:$A$20000=A225)*(DATOS!$G$2:$G$20000=CONFIG_METADATA!$B$4)*(COUNTIF(CONFIG_ASIGNATURAS!$B$7:$B$27,DATOS!$I$2:$I$20000)&gt;0)*(DATOS!$K$2:$K$20000))/SUMPRODUCT((DATOS!$A$2:$A$20000=A225)*(DATOS!$G$2:$G$20000=CONFIG_METADATA!$B$4)*(COUNTIF(CONFIG_ASIGNATURAS!$B$7:$B$27,DATOS!$I$2:$I$20000)&gt;0)*1),"")))</f>
        <v/>
      </c>
      <c r="H225" t="str">
        <f>IF(G225="","",IF(G225="[FÓRMULA MANUAL]","",IFERROR(AVERAGEIFS(DATOS!$K$2:$K$20000,DATOS!$A$2:$A$20000,G225,DATOS!$G$2:$G$20000,CONFIG_METADATA!$B$4,DATOS!$I$2:$I$20000,"Lenguaje Musical"),"")))</f>
        <v/>
      </c>
      <c r="I225" t="str">
        <f>IF(G225="","",IF(G225="[FÓRMULA MANUAL]","",IFERROR(AVERAGEIFS(DATOS!$K$2:$K$20000,DATOS!$A$2:$A$20000,G225,DATOS!$G$2:$G$20000,CONFIG_METADATA!$B$4,DATOS!$I$2:$I$20000,"Orquesta/Banda/Conjunto"),"")))</f>
        <v/>
      </c>
      <c r="J225" t="str">
        <f>IF(G225="","",IF(G225="[FÓRMULA MANUAL]","",IFERROR(AVERAGEIFS(DATOS!$K$2:$K$20000,DATOS!$A$2:$A$20000,G225,DATOS!$G$2:$G$20000,CONFIG_METADATA!$B$4,DATOS!$I$2:$I$20000,"Conjunto"),"")))</f>
        <v/>
      </c>
      <c r="K225" t="str">
        <f>IF(G225="","",IF(G225="[FÓRMULA MANUAL]","",IFERROR(SUMPRODUCT((DATOS!$A$2:$A$20000=G225)*(DATOS!$G$2:$G$20000=CONFIG_METADATA!$B$4)*(COUNTIF(CONFIG_ASIGNATURAS!$B$7:$B$27,DATOS!$I$2:$I$20000)&gt;0)*(DATOS!$K$2:$K$20000))/SUMPRODUCT((DATOS!$A$2:$A$20000=G225)*(DATOS!$G$2:$G$20000=CONFIG_METADATA!$B$4)*(COUNTIF(CONFIG_ASIGNATURAS!$B$7:$B$27,DATOS!$I$2:$I$20000)&gt;0)*1),"")))</f>
        <v/>
      </c>
      <c r="N225" t="str">
        <f>IF(M225="","",IF(M225="[FÓRMULA MANUAL]","",IFERROR(AVERAGEIFS(DATOS!$K$2:$K$20000,DATOS!$A$2:$A$20000,M225,DATOS!$G$2:$G$20000,CONFIG_METADATA!$B$4,DATOS!$I$2:$I$20000,"Armonía"),"")))</f>
        <v/>
      </c>
      <c r="O225" t="str">
        <f>IF(M225="","",IF(M225="[FÓRMULA MANUAL]","",IFERROR(AVERAGEIFS(DATOS!$K$2:$K$20000,DATOS!$A$2:$A$20000,M225,DATOS!$G$2:$G$20000,CONFIG_METADATA!$B$4,DATOS!$I$2:$I$20000,"Orquesta/Banda/Conjunto"),"")))</f>
        <v/>
      </c>
      <c r="P225" t="str">
        <f>IF(M225="","",IF(M225="[FÓRMULA MANUAL]","",IFERROR(AVERAGEIFS(DATOS!$K$2:$K$20000,DATOS!$A$2:$A$20000,M225,DATOS!$G$2:$G$20000,CONFIG_METADATA!$B$4,DATOS!$I$2:$I$20000,"Música de Cámara"),"")))</f>
        <v/>
      </c>
      <c r="Q225" t="str">
        <f>IF(M225="","",IF(M225="[FÓRMULA MANUAL]","",IFERROR(SUMPRODUCT((DATOS!$A$2:$A$20000=M225)*(DATOS!$G$2:$G$20000=CONFIG_METADATA!$B$4)*(COUNTIF(CONFIG_ASIGNATURAS!$B$7:$B$27,DATOS!$I$2:$I$20000)&gt;0)*(DATOS!$K$2:$K$20000))/SUMPRODUCT((DATOS!$A$2:$A$20000=M225)*(DATOS!$G$2:$G$20000=CONFIG_METADATA!$B$4)*(COUNTIF(CONFIG_ASIGNATURAS!$B$7:$B$27,DATOS!$I$2:$I$20000)&gt;0)*1),"")))</f>
        <v/>
      </c>
      <c r="T225" t="str">
        <f>IF(S225="","",IF(S225="[FÓRMULA MANUAL]","",IFERROR(AVERAGEIFS(DATOS!$K$2:$K$20000,DATOS!$A$2:$A$20000,S225,DATOS!$G$2:$G$20000,CONFIG_METADATA!$B$4,DATOS!$I$2:$I$20000,"Armonía"),"")))</f>
        <v/>
      </c>
      <c r="U225" t="str">
        <f>IF(S225="","",IF(S225="[FÓRMULA MANUAL]","",IFERROR(AVERAGEIFS(DATOS!$K$2:$K$20000,DATOS!$A$2:$A$20000,S225,DATOS!$G$2:$G$20000,CONFIG_METADATA!$B$4,DATOS!$I$2:$I$20000,"Orquesta/Banda/Conjunto"),"")))</f>
        <v/>
      </c>
      <c r="V225" t="str">
        <f>IF(S225="","",IF(S225="[FÓRMULA MANUAL]","",IFERROR(AVERAGEIFS(DATOS!$K$2:$K$20000,DATOS!$A$2:$A$20000,S225,DATOS!$G$2:$G$20000,CONFIG_METADATA!$B$4,DATOS!$I$2:$I$20000,"Música de Cámara"),"")))</f>
        <v/>
      </c>
      <c r="W225" t="str">
        <f>IF(S225="","",IF(S225="[FÓRMULA MANUAL]","",IFERROR(SUMPRODUCT((DATOS!$A$2:$A$20000=S225)*(DATOS!$G$2:$G$20000=CONFIG_METADATA!$B$4)*(COUNTIF(CONFIG_ASIGNATURAS!$B$7:$B$27,DATOS!$I$2:$I$20000)&gt;0)*(DATOS!$K$2:$K$20000))/SUMPRODUCT((DATOS!$A$2:$A$20000=S225)*(DATOS!$G$2:$G$20000=CONFIG_METADATA!$B$4)*(COUNTIF(CONFIG_ASIGNATURAS!$B$7:$B$27,DATOS!$I$2:$I$20000)&gt;0)*1),"")))</f>
        <v/>
      </c>
      <c r="Z225" t="str">
        <f>IF(Y225="","",IF(Y225="[FÓRMULA MANUAL]","",IFERROR(AVERAGEIFS(DATOS!$K$2:$K$20000,DATOS!$A$2:$A$20000,Y225,DATOS!$G$2:$G$20000,CONFIG_METADATA!$B$4,DATOS!$I$2:$I$20000,"Análisis"),"")))</f>
        <v/>
      </c>
      <c r="AA225" t="str">
        <f>IF(Y225="","",IF(Y225="[FÓRMULA MANUAL]","",IFERROR(AVERAGEIFS(DATOS!$K$2:$K$20000,DATOS!$A$2:$A$20000,Y225,DATOS!$G$2:$G$20000,CONFIG_METADATA!$B$4,DATOS!$I$2:$I$20000,"Orquesta/Banda/Conjunto"),"")))</f>
        <v/>
      </c>
      <c r="AB225" t="str">
        <f>IF(Y225="","",IF(Y225="[FÓRMULA MANUAL]","",IFERROR(AVERAGEIFS(DATOS!$K$2:$K$20000,DATOS!$A$2:$A$20000,Y225,DATOS!$G$2:$G$20000,CONFIG_METADATA!$B$4,DATOS!$I$2:$I$20000,"Música de Cámara"),"")))</f>
        <v/>
      </c>
      <c r="AC225" t="str">
        <f>IF(Y225="","",IF(Y225="[FÓRMULA MANUAL]","",IFERROR(SUMPRODUCT((DATOS!$A$2:$A$20000=Y225)*(DATOS!$G$2:$G$20000=CONFIG_METADATA!$B$4)*(COUNTIF(CONFIG_ASIGNATURAS!$B$7:$B$27,DATOS!$I$2:$I$20000)&gt;0)*(DATOS!$K$2:$K$20000))/SUMPRODUCT((DATOS!$A$2:$A$20000=Y225)*(DATOS!$G$2:$G$20000=CONFIG_METADATA!$B$4)*(COUNTIF(CONFIG_ASIGNATURAS!$B$7:$B$27,DATOS!$I$2:$I$20000)&gt;0)*1),"")))</f>
        <v/>
      </c>
      <c r="AF225" t="str">
        <f>IF(AE225="","",IF(AE225="[FÓRMULA MANUAL]","",IFERROR(AVERAGEIFS(DATOS!$K$2:$K$20000,DATOS!$A$2:$A$20000,AE225,DATOS!$G$2:$G$20000,CONFIG_METADATA!$B$4,DATOS!$I$2:$I$20000,"Análisis"),"")))</f>
        <v/>
      </c>
      <c r="AG225" t="str">
        <f>IF(AE225="","",IF(AE225="[FÓRMULA MANUAL]","",IFERROR(AVERAGEIFS(DATOS!$K$2:$K$20000,DATOS!$A$2:$A$20000,AE225,DATOS!$G$2:$G$20000,CONFIG_METADATA!$B$4,DATOS!$I$2:$I$20000,"Orquesta/Banda/Conjunto"),"")))</f>
        <v/>
      </c>
      <c r="AH225" t="str">
        <f>IF(AE225="","",IF(AE225="[FÓRMULA MANUAL]","",IFERROR(AVERAGEIFS(DATOS!$K$2:$K$20000,DATOS!$A$2:$A$20000,AE225,DATOS!$G$2:$G$20000,CONFIG_METADATA!$B$4,DATOS!$I$2:$I$20000,"Música de Cámara"),"")))</f>
        <v/>
      </c>
      <c r="AI225" t="str">
        <f>IF(AE225="","",IF(AE225="[FÓRMULA MANUAL]","",IFERROR(SUMPRODUCT((DATOS!$A$2:$A$20000=AE225)*(DATOS!$G$2:$G$20000=CONFIG_METADATA!$B$4)*(COUNTIF(CONFIG_ASIGNATURAS!$B$7:$B$27,DATOS!$I$2:$I$20000)&gt;0)*(DATOS!$K$2:$K$20000))/SUMPRODUCT((DATOS!$A$2:$A$20000=AE225)*(DATOS!$G$2:$G$20000=CONFIG_METADATA!$B$4)*(COUNTIF(CONFIG_ASIGNATURAS!$B$7:$B$27,DATOS!$I$2:$I$20000)&gt;0)*1),"")))</f>
        <v/>
      </c>
    </row>
    <row r="226" spans="2:35" x14ac:dyDescent="0.2">
      <c r="B226" t="str">
        <f>IF(A226="","",IF(A226="[FÓRMULA MANUAL]","",IFERROR(AVERAGEIFS(DATOS!$K$2:$K$20000,DATOS!$A$2:$A$20000,A226,DATOS!$G$2:$G$20000,CONFIG_METADATA!$B$4,DATOS!$I$2:$I$20000,"Lenguaje Musical"),"")))</f>
        <v/>
      </c>
      <c r="C226" t="str">
        <f>IF(A226="","",IF(A226="[FÓRMULA MANUAL]","",IFERROR(AVERAGEIFS(DATOS!$K$2:$K$20000,DATOS!$A$2:$A$20000,A226,DATOS!$G$2:$G$20000,CONFIG_METADATA!$B$4,DATOS!$I$2:$I$20000,"Orquesta/Banda/Conjunto"),"")))</f>
        <v/>
      </c>
      <c r="D226" t="str">
        <f>IF(A226="","",IF(A226="[FÓRMULA MANUAL]","",IFERROR(AVERAGEIFS(DATOS!$K$2:$K$20000,DATOS!$A$2:$A$20000,A226,DATOS!$G$2:$G$20000,CONFIG_METADATA!$B$4,DATOS!$I$2:$I$20000,"Conjunto"),"")))</f>
        <v/>
      </c>
      <c r="E226" t="str">
        <f>IF(A226="","",IF(A226="[FÓRMULA MANUAL]","",IFERROR(SUMPRODUCT((DATOS!$A$2:$A$20000=A226)*(DATOS!$G$2:$G$20000=CONFIG_METADATA!$B$4)*(COUNTIF(CONFIG_ASIGNATURAS!$B$7:$B$27,DATOS!$I$2:$I$20000)&gt;0)*(DATOS!$K$2:$K$20000))/SUMPRODUCT((DATOS!$A$2:$A$20000=A226)*(DATOS!$G$2:$G$20000=CONFIG_METADATA!$B$4)*(COUNTIF(CONFIG_ASIGNATURAS!$B$7:$B$27,DATOS!$I$2:$I$20000)&gt;0)*1),"")))</f>
        <v/>
      </c>
      <c r="H226" t="str">
        <f>IF(G226="","",IF(G226="[FÓRMULA MANUAL]","",IFERROR(AVERAGEIFS(DATOS!$K$2:$K$20000,DATOS!$A$2:$A$20000,G226,DATOS!$G$2:$G$20000,CONFIG_METADATA!$B$4,DATOS!$I$2:$I$20000,"Lenguaje Musical"),"")))</f>
        <v/>
      </c>
      <c r="I226" t="str">
        <f>IF(G226="","",IF(G226="[FÓRMULA MANUAL]","",IFERROR(AVERAGEIFS(DATOS!$K$2:$K$20000,DATOS!$A$2:$A$20000,G226,DATOS!$G$2:$G$20000,CONFIG_METADATA!$B$4,DATOS!$I$2:$I$20000,"Orquesta/Banda/Conjunto"),"")))</f>
        <v/>
      </c>
      <c r="J226" t="str">
        <f>IF(G226="","",IF(G226="[FÓRMULA MANUAL]","",IFERROR(AVERAGEIFS(DATOS!$K$2:$K$20000,DATOS!$A$2:$A$20000,G226,DATOS!$G$2:$G$20000,CONFIG_METADATA!$B$4,DATOS!$I$2:$I$20000,"Conjunto"),"")))</f>
        <v/>
      </c>
      <c r="K226" t="str">
        <f>IF(G226="","",IF(G226="[FÓRMULA MANUAL]","",IFERROR(SUMPRODUCT((DATOS!$A$2:$A$20000=G226)*(DATOS!$G$2:$G$20000=CONFIG_METADATA!$B$4)*(COUNTIF(CONFIG_ASIGNATURAS!$B$7:$B$27,DATOS!$I$2:$I$20000)&gt;0)*(DATOS!$K$2:$K$20000))/SUMPRODUCT((DATOS!$A$2:$A$20000=G226)*(DATOS!$G$2:$G$20000=CONFIG_METADATA!$B$4)*(COUNTIF(CONFIG_ASIGNATURAS!$B$7:$B$27,DATOS!$I$2:$I$20000)&gt;0)*1),"")))</f>
        <v/>
      </c>
      <c r="N226" t="str">
        <f>IF(M226="","",IF(M226="[FÓRMULA MANUAL]","",IFERROR(AVERAGEIFS(DATOS!$K$2:$K$20000,DATOS!$A$2:$A$20000,M226,DATOS!$G$2:$G$20000,CONFIG_METADATA!$B$4,DATOS!$I$2:$I$20000,"Armonía"),"")))</f>
        <v/>
      </c>
      <c r="O226" t="str">
        <f>IF(M226="","",IF(M226="[FÓRMULA MANUAL]","",IFERROR(AVERAGEIFS(DATOS!$K$2:$K$20000,DATOS!$A$2:$A$20000,M226,DATOS!$G$2:$G$20000,CONFIG_METADATA!$B$4,DATOS!$I$2:$I$20000,"Orquesta/Banda/Conjunto"),"")))</f>
        <v/>
      </c>
      <c r="P226" t="str">
        <f>IF(M226="","",IF(M226="[FÓRMULA MANUAL]","",IFERROR(AVERAGEIFS(DATOS!$K$2:$K$20000,DATOS!$A$2:$A$20000,M226,DATOS!$G$2:$G$20000,CONFIG_METADATA!$B$4,DATOS!$I$2:$I$20000,"Música de Cámara"),"")))</f>
        <v/>
      </c>
      <c r="Q226" t="str">
        <f>IF(M226="","",IF(M226="[FÓRMULA MANUAL]","",IFERROR(SUMPRODUCT((DATOS!$A$2:$A$20000=M226)*(DATOS!$G$2:$G$20000=CONFIG_METADATA!$B$4)*(COUNTIF(CONFIG_ASIGNATURAS!$B$7:$B$27,DATOS!$I$2:$I$20000)&gt;0)*(DATOS!$K$2:$K$20000))/SUMPRODUCT((DATOS!$A$2:$A$20000=M226)*(DATOS!$G$2:$G$20000=CONFIG_METADATA!$B$4)*(COUNTIF(CONFIG_ASIGNATURAS!$B$7:$B$27,DATOS!$I$2:$I$20000)&gt;0)*1),"")))</f>
        <v/>
      </c>
      <c r="T226" t="str">
        <f>IF(S226="","",IF(S226="[FÓRMULA MANUAL]","",IFERROR(AVERAGEIFS(DATOS!$K$2:$K$20000,DATOS!$A$2:$A$20000,S226,DATOS!$G$2:$G$20000,CONFIG_METADATA!$B$4,DATOS!$I$2:$I$20000,"Armonía"),"")))</f>
        <v/>
      </c>
      <c r="U226" t="str">
        <f>IF(S226="","",IF(S226="[FÓRMULA MANUAL]","",IFERROR(AVERAGEIFS(DATOS!$K$2:$K$20000,DATOS!$A$2:$A$20000,S226,DATOS!$G$2:$G$20000,CONFIG_METADATA!$B$4,DATOS!$I$2:$I$20000,"Orquesta/Banda/Conjunto"),"")))</f>
        <v/>
      </c>
      <c r="V226" t="str">
        <f>IF(S226="","",IF(S226="[FÓRMULA MANUAL]","",IFERROR(AVERAGEIFS(DATOS!$K$2:$K$20000,DATOS!$A$2:$A$20000,S226,DATOS!$G$2:$G$20000,CONFIG_METADATA!$B$4,DATOS!$I$2:$I$20000,"Música de Cámara"),"")))</f>
        <v/>
      </c>
      <c r="W226" t="str">
        <f>IF(S226="","",IF(S226="[FÓRMULA MANUAL]","",IFERROR(SUMPRODUCT((DATOS!$A$2:$A$20000=S226)*(DATOS!$G$2:$G$20000=CONFIG_METADATA!$B$4)*(COUNTIF(CONFIG_ASIGNATURAS!$B$7:$B$27,DATOS!$I$2:$I$20000)&gt;0)*(DATOS!$K$2:$K$20000))/SUMPRODUCT((DATOS!$A$2:$A$20000=S226)*(DATOS!$G$2:$G$20000=CONFIG_METADATA!$B$4)*(COUNTIF(CONFIG_ASIGNATURAS!$B$7:$B$27,DATOS!$I$2:$I$20000)&gt;0)*1),"")))</f>
        <v/>
      </c>
      <c r="Z226" t="str">
        <f>IF(Y226="","",IF(Y226="[FÓRMULA MANUAL]","",IFERROR(AVERAGEIFS(DATOS!$K$2:$K$20000,DATOS!$A$2:$A$20000,Y226,DATOS!$G$2:$G$20000,CONFIG_METADATA!$B$4,DATOS!$I$2:$I$20000,"Análisis"),"")))</f>
        <v/>
      </c>
      <c r="AA226" t="str">
        <f>IF(Y226="","",IF(Y226="[FÓRMULA MANUAL]","",IFERROR(AVERAGEIFS(DATOS!$K$2:$K$20000,DATOS!$A$2:$A$20000,Y226,DATOS!$G$2:$G$20000,CONFIG_METADATA!$B$4,DATOS!$I$2:$I$20000,"Orquesta/Banda/Conjunto"),"")))</f>
        <v/>
      </c>
      <c r="AB226" t="str">
        <f>IF(Y226="","",IF(Y226="[FÓRMULA MANUAL]","",IFERROR(AVERAGEIFS(DATOS!$K$2:$K$20000,DATOS!$A$2:$A$20000,Y226,DATOS!$G$2:$G$20000,CONFIG_METADATA!$B$4,DATOS!$I$2:$I$20000,"Música de Cámara"),"")))</f>
        <v/>
      </c>
      <c r="AC226" t="str">
        <f>IF(Y226="","",IF(Y226="[FÓRMULA MANUAL]","",IFERROR(SUMPRODUCT((DATOS!$A$2:$A$20000=Y226)*(DATOS!$G$2:$G$20000=CONFIG_METADATA!$B$4)*(COUNTIF(CONFIG_ASIGNATURAS!$B$7:$B$27,DATOS!$I$2:$I$20000)&gt;0)*(DATOS!$K$2:$K$20000))/SUMPRODUCT((DATOS!$A$2:$A$20000=Y226)*(DATOS!$G$2:$G$20000=CONFIG_METADATA!$B$4)*(COUNTIF(CONFIG_ASIGNATURAS!$B$7:$B$27,DATOS!$I$2:$I$20000)&gt;0)*1),"")))</f>
        <v/>
      </c>
      <c r="AF226" t="str">
        <f>IF(AE226="","",IF(AE226="[FÓRMULA MANUAL]","",IFERROR(AVERAGEIFS(DATOS!$K$2:$K$20000,DATOS!$A$2:$A$20000,AE226,DATOS!$G$2:$G$20000,CONFIG_METADATA!$B$4,DATOS!$I$2:$I$20000,"Análisis"),"")))</f>
        <v/>
      </c>
      <c r="AG226" t="str">
        <f>IF(AE226="","",IF(AE226="[FÓRMULA MANUAL]","",IFERROR(AVERAGEIFS(DATOS!$K$2:$K$20000,DATOS!$A$2:$A$20000,AE226,DATOS!$G$2:$G$20000,CONFIG_METADATA!$B$4,DATOS!$I$2:$I$20000,"Orquesta/Banda/Conjunto"),"")))</f>
        <v/>
      </c>
      <c r="AH226" t="str">
        <f>IF(AE226="","",IF(AE226="[FÓRMULA MANUAL]","",IFERROR(AVERAGEIFS(DATOS!$K$2:$K$20000,DATOS!$A$2:$A$20000,AE226,DATOS!$G$2:$G$20000,CONFIG_METADATA!$B$4,DATOS!$I$2:$I$20000,"Música de Cámara"),"")))</f>
        <v/>
      </c>
      <c r="AI226" t="str">
        <f>IF(AE226="","",IF(AE226="[FÓRMULA MANUAL]","",IFERROR(SUMPRODUCT((DATOS!$A$2:$A$20000=AE226)*(DATOS!$G$2:$G$20000=CONFIG_METADATA!$B$4)*(COUNTIF(CONFIG_ASIGNATURAS!$B$7:$B$27,DATOS!$I$2:$I$20000)&gt;0)*(DATOS!$K$2:$K$20000))/SUMPRODUCT((DATOS!$A$2:$A$20000=AE226)*(DATOS!$G$2:$G$20000=CONFIG_METADATA!$B$4)*(COUNTIF(CONFIG_ASIGNATURAS!$B$7:$B$27,DATOS!$I$2:$I$20000)&gt;0)*1),"")))</f>
        <v/>
      </c>
    </row>
    <row r="227" spans="2:35" x14ac:dyDescent="0.2">
      <c r="B227" t="str">
        <f>IF(A227="","",IF(A227="[FÓRMULA MANUAL]","",IFERROR(AVERAGEIFS(DATOS!$K$2:$K$20000,DATOS!$A$2:$A$20000,A227,DATOS!$G$2:$G$20000,CONFIG_METADATA!$B$4,DATOS!$I$2:$I$20000,"Lenguaje Musical"),"")))</f>
        <v/>
      </c>
      <c r="C227" t="str">
        <f>IF(A227="","",IF(A227="[FÓRMULA MANUAL]","",IFERROR(AVERAGEIFS(DATOS!$K$2:$K$20000,DATOS!$A$2:$A$20000,A227,DATOS!$G$2:$G$20000,CONFIG_METADATA!$B$4,DATOS!$I$2:$I$20000,"Orquesta/Banda/Conjunto"),"")))</f>
        <v/>
      </c>
      <c r="D227" t="str">
        <f>IF(A227="","",IF(A227="[FÓRMULA MANUAL]","",IFERROR(AVERAGEIFS(DATOS!$K$2:$K$20000,DATOS!$A$2:$A$20000,A227,DATOS!$G$2:$G$20000,CONFIG_METADATA!$B$4,DATOS!$I$2:$I$20000,"Conjunto"),"")))</f>
        <v/>
      </c>
      <c r="E227" t="str">
        <f>IF(A227="","",IF(A227="[FÓRMULA MANUAL]","",IFERROR(SUMPRODUCT((DATOS!$A$2:$A$20000=A227)*(DATOS!$G$2:$G$20000=CONFIG_METADATA!$B$4)*(COUNTIF(CONFIG_ASIGNATURAS!$B$7:$B$27,DATOS!$I$2:$I$20000)&gt;0)*(DATOS!$K$2:$K$20000))/SUMPRODUCT((DATOS!$A$2:$A$20000=A227)*(DATOS!$G$2:$G$20000=CONFIG_METADATA!$B$4)*(COUNTIF(CONFIG_ASIGNATURAS!$B$7:$B$27,DATOS!$I$2:$I$20000)&gt;0)*1),"")))</f>
        <v/>
      </c>
      <c r="H227" t="str">
        <f>IF(G227="","",IF(G227="[FÓRMULA MANUAL]","",IFERROR(AVERAGEIFS(DATOS!$K$2:$K$20000,DATOS!$A$2:$A$20000,G227,DATOS!$G$2:$G$20000,CONFIG_METADATA!$B$4,DATOS!$I$2:$I$20000,"Lenguaje Musical"),"")))</f>
        <v/>
      </c>
      <c r="I227" t="str">
        <f>IF(G227="","",IF(G227="[FÓRMULA MANUAL]","",IFERROR(AVERAGEIFS(DATOS!$K$2:$K$20000,DATOS!$A$2:$A$20000,G227,DATOS!$G$2:$G$20000,CONFIG_METADATA!$B$4,DATOS!$I$2:$I$20000,"Orquesta/Banda/Conjunto"),"")))</f>
        <v/>
      </c>
      <c r="J227" t="str">
        <f>IF(G227="","",IF(G227="[FÓRMULA MANUAL]","",IFERROR(AVERAGEIFS(DATOS!$K$2:$K$20000,DATOS!$A$2:$A$20000,G227,DATOS!$G$2:$G$20000,CONFIG_METADATA!$B$4,DATOS!$I$2:$I$20000,"Conjunto"),"")))</f>
        <v/>
      </c>
      <c r="K227" t="str">
        <f>IF(G227="","",IF(G227="[FÓRMULA MANUAL]","",IFERROR(SUMPRODUCT((DATOS!$A$2:$A$20000=G227)*(DATOS!$G$2:$G$20000=CONFIG_METADATA!$B$4)*(COUNTIF(CONFIG_ASIGNATURAS!$B$7:$B$27,DATOS!$I$2:$I$20000)&gt;0)*(DATOS!$K$2:$K$20000))/SUMPRODUCT((DATOS!$A$2:$A$20000=G227)*(DATOS!$G$2:$G$20000=CONFIG_METADATA!$B$4)*(COUNTIF(CONFIG_ASIGNATURAS!$B$7:$B$27,DATOS!$I$2:$I$20000)&gt;0)*1),"")))</f>
        <v/>
      </c>
      <c r="N227" t="str">
        <f>IF(M227="","",IF(M227="[FÓRMULA MANUAL]","",IFERROR(AVERAGEIFS(DATOS!$K$2:$K$20000,DATOS!$A$2:$A$20000,M227,DATOS!$G$2:$G$20000,CONFIG_METADATA!$B$4,DATOS!$I$2:$I$20000,"Armonía"),"")))</f>
        <v/>
      </c>
      <c r="O227" t="str">
        <f>IF(M227="","",IF(M227="[FÓRMULA MANUAL]","",IFERROR(AVERAGEIFS(DATOS!$K$2:$K$20000,DATOS!$A$2:$A$20000,M227,DATOS!$G$2:$G$20000,CONFIG_METADATA!$B$4,DATOS!$I$2:$I$20000,"Orquesta/Banda/Conjunto"),"")))</f>
        <v/>
      </c>
      <c r="P227" t="str">
        <f>IF(M227="","",IF(M227="[FÓRMULA MANUAL]","",IFERROR(AVERAGEIFS(DATOS!$K$2:$K$20000,DATOS!$A$2:$A$20000,M227,DATOS!$G$2:$G$20000,CONFIG_METADATA!$B$4,DATOS!$I$2:$I$20000,"Música de Cámara"),"")))</f>
        <v/>
      </c>
      <c r="Q227" t="str">
        <f>IF(M227="","",IF(M227="[FÓRMULA MANUAL]","",IFERROR(SUMPRODUCT((DATOS!$A$2:$A$20000=M227)*(DATOS!$G$2:$G$20000=CONFIG_METADATA!$B$4)*(COUNTIF(CONFIG_ASIGNATURAS!$B$7:$B$27,DATOS!$I$2:$I$20000)&gt;0)*(DATOS!$K$2:$K$20000))/SUMPRODUCT((DATOS!$A$2:$A$20000=M227)*(DATOS!$G$2:$G$20000=CONFIG_METADATA!$B$4)*(COUNTIF(CONFIG_ASIGNATURAS!$B$7:$B$27,DATOS!$I$2:$I$20000)&gt;0)*1),"")))</f>
        <v/>
      </c>
      <c r="T227" t="str">
        <f>IF(S227="","",IF(S227="[FÓRMULA MANUAL]","",IFERROR(AVERAGEIFS(DATOS!$K$2:$K$20000,DATOS!$A$2:$A$20000,S227,DATOS!$G$2:$G$20000,CONFIG_METADATA!$B$4,DATOS!$I$2:$I$20000,"Armonía"),"")))</f>
        <v/>
      </c>
      <c r="U227" t="str">
        <f>IF(S227="","",IF(S227="[FÓRMULA MANUAL]","",IFERROR(AVERAGEIFS(DATOS!$K$2:$K$20000,DATOS!$A$2:$A$20000,S227,DATOS!$G$2:$G$20000,CONFIG_METADATA!$B$4,DATOS!$I$2:$I$20000,"Orquesta/Banda/Conjunto"),"")))</f>
        <v/>
      </c>
      <c r="V227" t="str">
        <f>IF(S227="","",IF(S227="[FÓRMULA MANUAL]","",IFERROR(AVERAGEIFS(DATOS!$K$2:$K$20000,DATOS!$A$2:$A$20000,S227,DATOS!$G$2:$G$20000,CONFIG_METADATA!$B$4,DATOS!$I$2:$I$20000,"Música de Cámara"),"")))</f>
        <v/>
      </c>
      <c r="W227" t="str">
        <f>IF(S227="","",IF(S227="[FÓRMULA MANUAL]","",IFERROR(SUMPRODUCT((DATOS!$A$2:$A$20000=S227)*(DATOS!$G$2:$G$20000=CONFIG_METADATA!$B$4)*(COUNTIF(CONFIG_ASIGNATURAS!$B$7:$B$27,DATOS!$I$2:$I$20000)&gt;0)*(DATOS!$K$2:$K$20000))/SUMPRODUCT((DATOS!$A$2:$A$20000=S227)*(DATOS!$G$2:$G$20000=CONFIG_METADATA!$B$4)*(COUNTIF(CONFIG_ASIGNATURAS!$B$7:$B$27,DATOS!$I$2:$I$20000)&gt;0)*1),"")))</f>
        <v/>
      </c>
      <c r="Z227" t="str">
        <f>IF(Y227="","",IF(Y227="[FÓRMULA MANUAL]","",IFERROR(AVERAGEIFS(DATOS!$K$2:$K$20000,DATOS!$A$2:$A$20000,Y227,DATOS!$G$2:$G$20000,CONFIG_METADATA!$B$4,DATOS!$I$2:$I$20000,"Análisis"),"")))</f>
        <v/>
      </c>
      <c r="AA227" t="str">
        <f>IF(Y227="","",IF(Y227="[FÓRMULA MANUAL]","",IFERROR(AVERAGEIFS(DATOS!$K$2:$K$20000,DATOS!$A$2:$A$20000,Y227,DATOS!$G$2:$G$20000,CONFIG_METADATA!$B$4,DATOS!$I$2:$I$20000,"Orquesta/Banda/Conjunto"),"")))</f>
        <v/>
      </c>
      <c r="AB227" t="str">
        <f>IF(Y227="","",IF(Y227="[FÓRMULA MANUAL]","",IFERROR(AVERAGEIFS(DATOS!$K$2:$K$20000,DATOS!$A$2:$A$20000,Y227,DATOS!$G$2:$G$20000,CONFIG_METADATA!$B$4,DATOS!$I$2:$I$20000,"Música de Cámara"),"")))</f>
        <v/>
      </c>
      <c r="AC227" t="str">
        <f>IF(Y227="","",IF(Y227="[FÓRMULA MANUAL]","",IFERROR(SUMPRODUCT((DATOS!$A$2:$A$20000=Y227)*(DATOS!$G$2:$G$20000=CONFIG_METADATA!$B$4)*(COUNTIF(CONFIG_ASIGNATURAS!$B$7:$B$27,DATOS!$I$2:$I$20000)&gt;0)*(DATOS!$K$2:$K$20000))/SUMPRODUCT((DATOS!$A$2:$A$20000=Y227)*(DATOS!$G$2:$G$20000=CONFIG_METADATA!$B$4)*(COUNTIF(CONFIG_ASIGNATURAS!$B$7:$B$27,DATOS!$I$2:$I$20000)&gt;0)*1),"")))</f>
        <v/>
      </c>
      <c r="AF227" t="str">
        <f>IF(AE227="","",IF(AE227="[FÓRMULA MANUAL]","",IFERROR(AVERAGEIFS(DATOS!$K$2:$K$20000,DATOS!$A$2:$A$20000,AE227,DATOS!$G$2:$G$20000,CONFIG_METADATA!$B$4,DATOS!$I$2:$I$20000,"Análisis"),"")))</f>
        <v/>
      </c>
      <c r="AG227" t="str">
        <f>IF(AE227="","",IF(AE227="[FÓRMULA MANUAL]","",IFERROR(AVERAGEIFS(DATOS!$K$2:$K$20000,DATOS!$A$2:$A$20000,AE227,DATOS!$G$2:$G$20000,CONFIG_METADATA!$B$4,DATOS!$I$2:$I$20000,"Orquesta/Banda/Conjunto"),"")))</f>
        <v/>
      </c>
      <c r="AH227" t="str">
        <f>IF(AE227="","",IF(AE227="[FÓRMULA MANUAL]","",IFERROR(AVERAGEIFS(DATOS!$K$2:$K$20000,DATOS!$A$2:$A$20000,AE227,DATOS!$G$2:$G$20000,CONFIG_METADATA!$B$4,DATOS!$I$2:$I$20000,"Música de Cámara"),"")))</f>
        <v/>
      </c>
      <c r="AI227" t="str">
        <f>IF(AE227="","",IF(AE227="[FÓRMULA MANUAL]","",IFERROR(SUMPRODUCT((DATOS!$A$2:$A$20000=AE227)*(DATOS!$G$2:$G$20000=CONFIG_METADATA!$B$4)*(COUNTIF(CONFIG_ASIGNATURAS!$B$7:$B$27,DATOS!$I$2:$I$20000)&gt;0)*(DATOS!$K$2:$K$20000))/SUMPRODUCT((DATOS!$A$2:$A$20000=AE227)*(DATOS!$G$2:$G$20000=CONFIG_METADATA!$B$4)*(COUNTIF(CONFIG_ASIGNATURAS!$B$7:$B$27,DATOS!$I$2:$I$20000)&gt;0)*1),"")))</f>
        <v/>
      </c>
    </row>
    <row r="228" spans="2:35" x14ac:dyDescent="0.2">
      <c r="B228" t="str">
        <f>IF(A228="","",IF(A228="[FÓRMULA MANUAL]","",IFERROR(AVERAGEIFS(DATOS!$K$2:$K$20000,DATOS!$A$2:$A$20000,A228,DATOS!$G$2:$G$20000,CONFIG_METADATA!$B$4,DATOS!$I$2:$I$20000,"Lenguaje Musical"),"")))</f>
        <v/>
      </c>
      <c r="C228" t="str">
        <f>IF(A228="","",IF(A228="[FÓRMULA MANUAL]","",IFERROR(AVERAGEIFS(DATOS!$K$2:$K$20000,DATOS!$A$2:$A$20000,A228,DATOS!$G$2:$G$20000,CONFIG_METADATA!$B$4,DATOS!$I$2:$I$20000,"Orquesta/Banda/Conjunto"),"")))</f>
        <v/>
      </c>
      <c r="D228" t="str">
        <f>IF(A228="","",IF(A228="[FÓRMULA MANUAL]","",IFERROR(AVERAGEIFS(DATOS!$K$2:$K$20000,DATOS!$A$2:$A$20000,A228,DATOS!$G$2:$G$20000,CONFIG_METADATA!$B$4,DATOS!$I$2:$I$20000,"Conjunto"),"")))</f>
        <v/>
      </c>
      <c r="E228" t="str">
        <f>IF(A228="","",IF(A228="[FÓRMULA MANUAL]","",IFERROR(SUMPRODUCT((DATOS!$A$2:$A$20000=A228)*(DATOS!$G$2:$G$20000=CONFIG_METADATA!$B$4)*(COUNTIF(CONFIG_ASIGNATURAS!$B$7:$B$27,DATOS!$I$2:$I$20000)&gt;0)*(DATOS!$K$2:$K$20000))/SUMPRODUCT((DATOS!$A$2:$A$20000=A228)*(DATOS!$G$2:$G$20000=CONFIG_METADATA!$B$4)*(COUNTIF(CONFIG_ASIGNATURAS!$B$7:$B$27,DATOS!$I$2:$I$20000)&gt;0)*1),"")))</f>
        <v/>
      </c>
      <c r="H228" t="str">
        <f>IF(G228="","",IF(G228="[FÓRMULA MANUAL]","",IFERROR(AVERAGEIFS(DATOS!$K$2:$K$20000,DATOS!$A$2:$A$20000,G228,DATOS!$G$2:$G$20000,CONFIG_METADATA!$B$4,DATOS!$I$2:$I$20000,"Lenguaje Musical"),"")))</f>
        <v/>
      </c>
      <c r="I228" t="str">
        <f>IF(G228="","",IF(G228="[FÓRMULA MANUAL]","",IFERROR(AVERAGEIFS(DATOS!$K$2:$K$20000,DATOS!$A$2:$A$20000,G228,DATOS!$G$2:$G$20000,CONFIG_METADATA!$B$4,DATOS!$I$2:$I$20000,"Orquesta/Banda/Conjunto"),"")))</f>
        <v/>
      </c>
      <c r="J228" t="str">
        <f>IF(G228="","",IF(G228="[FÓRMULA MANUAL]","",IFERROR(AVERAGEIFS(DATOS!$K$2:$K$20000,DATOS!$A$2:$A$20000,G228,DATOS!$G$2:$G$20000,CONFIG_METADATA!$B$4,DATOS!$I$2:$I$20000,"Conjunto"),"")))</f>
        <v/>
      </c>
      <c r="K228" t="str">
        <f>IF(G228="","",IF(G228="[FÓRMULA MANUAL]","",IFERROR(SUMPRODUCT((DATOS!$A$2:$A$20000=G228)*(DATOS!$G$2:$G$20000=CONFIG_METADATA!$B$4)*(COUNTIF(CONFIG_ASIGNATURAS!$B$7:$B$27,DATOS!$I$2:$I$20000)&gt;0)*(DATOS!$K$2:$K$20000))/SUMPRODUCT((DATOS!$A$2:$A$20000=G228)*(DATOS!$G$2:$G$20000=CONFIG_METADATA!$B$4)*(COUNTIF(CONFIG_ASIGNATURAS!$B$7:$B$27,DATOS!$I$2:$I$20000)&gt;0)*1),"")))</f>
        <v/>
      </c>
      <c r="N228" t="str">
        <f>IF(M228="","",IF(M228="[FÓRMULA MANUAL]","",IFERROR(AVERAGEIFS(DATOS!$K$2:$K$20000,DATOS!$A$2:$A$20000,M228,DATOS!$G$2:$G$20000,CONFIG_METADATA!$B$4,DATOS!$I$2:$I$20000,"Armonía"),"")))</f>
        <v/>
      </c>
      <c r="O228" t="str">
        <f>IF(M228="","",IF(M228="[FÓRMULA MANUAL]","",IFERROR(AVERAGEIFS(DATOS!$K$2:$K$20000,DATOS!$A$2:$A$20000,M228,DATOS!$G$2:$G$20000,CONFIG_METADATA!$B$4,DATOS!$I$2:$I$20000,"Orquesta/Banda/Conjunto"),"")))</f>
        <v/>
      </c>
      <c r="P228" t="str">
        <f>IF(M228="","",IF(M228="[FÓRMULA MANUAL]","",IFERROR(AVERAGEIFS(DATOS!$K$2:$K$20000,DATOS!$A$2:$A$20000,M228,DATOS!$G$2:$G$20000,CONFIG_METADATA!$B$4,DATOS!$I$2:$I$20000,"Música de Cámara"),"")))</f>
        <v/>
      </c>
      <c r="Q228" t="str">
        <f>IF(M228="","",IF(M228="[FÓRMULA MANUAL]","",IFERROR(SUMPRODUCT((DATOS!$A$2:$A$20000=M228)*(DATOS!$G$2:$G$20000=CONFIG_METADATA!$B$4)*(COUNTIF(CONFIG_ASIGNATURAS!$B$7:$B$27,DATOS!$I$2:$I$20000)&gt;0)*(DATOS!$K$2:$K$20000))/SUMPRODUCT((DATOS!$A$2:$A$20000=M228)*(DATOS!$G$2:$G$20000=CONFIG_METADATA!$B$4)*(COUNTIF(CONFIG_ASIGNATURAS!$B$7:$B$27,DATOS!$I$2:$I$20000)&gt;0)*1),"")))</f>
        <v/>
      </c>
      <c r="T228" t="str">
        <f>IF(S228="","",IF(S228="[FÓRMULA MANUAL]","",IFERROR(AVERAGEIFS(DATOS!$K$2:$K$20000,DATOS!$A$2:$A$20000,S228,DATOS!$G$2:$G$20000,CONFIG_METADATA!$B$4,DATOS!$I$2:$I$20000,"Armonía"),"")))</f>
        <v/>
      </c>
      <c r="U228" t="str">
        <f>IF(S228="","",IF(S228="[FÓRMULA MANUAL]","",IFERROR(AVERAGEIFS(DATOS!$K$2:$K$20000,DATOS!$A$2:$A$20000,S228,DATOS!$G$2:$G$20000,CONFIG_METADATA!$B$4,DATOS!$I$2:$I$20000,"Orquesta/Banda/Conjunto"),"")))</f>
        <v/>
      </c>
      <c r="V228" t="str">
        <f>IF(S228="","",IF(S228="[FÓRMULA MANUAL]","",IFERROR(AVERAGEIFS(DATOS!$K$2:$K$20000,DATOS!$A$2:$A$20000,S228,DATOS!$G$2:$G$20000,CONFIG_METADATA!$B$4,DATOS!$I$2:$I$20000,"Música de Cámara"),"")))</f>
        <v/>
      </c>
      <c r="W228" t="str">
        <f>IF(S228="","",IF(S228="[FÓRMULA MANUAL]","",IFERROR(SUMPRODUCT((DATOS!$A$2:$A$20000=S228)*(DATOS!$G$2:$G$20000=CONFIG_METADATA!$B$4)*(COUNTIF(CONFIG_ASIGNATURAS!$B$7:$B$27,DATOS!$I$2:$I$20000)&gt;0)*(DATOS!$K$2:$K$20000))/SUMPRODUCT((DATOS!$A$2:$A$20000=S228)*(DATOS!$G$2:$G$20000=CONFIG_METADATA!$B$4)*(COUNTIF(CONFIG_ASIGNATURAS!$B$7:$B$27,DATOS!$I$2:$I$20000)&gt;0)*1),"")))</f>
        <v/>
      </c>
      <c r="Z228" t="str">
        <f>IF(Y228="","",IF(Y228="[FÓRMULA MANUAL]","",IFERROR(AVERAGEIFS(DATOS!$K$2:$K$20000,DATOS!$A$2:$A$20000,Y228,DATOS!$G$2:$G$20000,CONFIG_METADATA!$B$4,DATOS!$I$2:$I$20000,"Análisis"),"")))</f>
        <v/>
      </c>
      <c r="AA228" t="str">
        <f>IF(Y228="","",IF(Y228="[FÓRMULA MANUAL]","",IFERROR(AVERAGEIFS(DATOS!$K$2:$K$20000,DATOS!$A$2:$A$20000,Y228,DATOS!$G$2:$G$20000,CONFIG_METADATA!$B$4,DATOS!$I$2:$I$20000,"Orquesta/Banda/Conjunto"),"")))</f>
        <v/>
      </c>
      <c r="AB228" t="str">
        <f>IF(Y228="","",IF(Y228="[FÓRMULA MANUAL]","",IFERROR(AVERAGEIFS(DATOS!$K$2:$K$20000,DATOS!$A$2:$A$20000,Y228,DATOS!$G$2:$G$20000,CONFIG_METADATA!$B$4,DATOS!$I$2:$I$20000,"Música de Cámara"),"")))</f>
        <v/>
      </c>
      <c r="AC228" t="str">
        <f>IF(Y228="","",IF(Y228="[FÓRMULA MANUAL]","",IFERROR(SUMPRODUCT((DATOS!$A$2:$A$20000=Y228)*(DATOS!$G$2:$G$20000=CONFIG_METADATA!$B$4)*(COUNTIF(CONFIG_ASIGNATURAS!$B$7:$B$27,DATOS!$I$2:$I$20000)&gt;0)*(DATOS!$K$2:$K$20000))/SUMPRODUCT((DATOS!$A$2:$A$20000=Y228)*(DATOS!$G$2:$G$20000=CONFIG_METADATA!$B$4)*(COUNTIF(CONFIG_ASIGNATURAS!$B$7:$B$27,DATOS!$I$2:$I$20000)&gt;0)*1),"")))</f>
        <v/>
      </c>
      <c r="AF228" t="str">
        <f>IF(AE228="","",IF(AE228="[FÓRMULA MANUAL]","",IFERROR(AVERAGEIFS(DATOS!$K$2:$K$20000,DATOS!$A$2:$A$20000,AE228,DATOS!$G$2:$G$20000,CONFIG_METADATA!$B$4,DATOS!$I$2:$I$20000,"Análisis"),"")))</f>
        <v/>
      </c>
      <c r="AG228" t="str">
        <f>IF(AE228="","",IF(AE228="[FÓRMULA MANUAL]","",IFERROR(AVERAGEIFS(DATOS!$K$2:$K$20000,DATOS!$A$2:$A$20000,AE228,DATOS!$G$2:$G$20000,CONFIG_METADATA!$B$4,DATOS!$I$2:$I$20000,"Orquesta/Banda/Conjunto"),"")))</f>
        <v/>
      </c>
      <c r="AH228" t="str">
        <f>IF(AE228="","",IF(AE228="[FÓRMULA MANUAL]","",IFERROR(AVERAGEIFS(DATOS!$K$2:$K$20000,DATOS!$A$2:$A$20000,AE228,DATOS!$G$2:$G$20000,CONFIG_METADATA!$B$4,DATOS!$I$2:$I$20000,"Música de Cámara"),"")))</f>
        <v/>
      </c>
      <c r="AI228" t="str">
        <f>IF(AE228="","",IF(AE228="[FÓRMULA MANUAL]","",IFERROR(SUMPRODUCT((DATOS!$A$2:$A$20000=AE228)*(DATOS!$G$2:$G$20000=CONFIG_METADATA!$B$4)*(COUNTIF(CONFIG_ASIGNATURAS!$B$7:$B$27,DATOS!$I$2:$I$20000)&gt;0)*(DATOS!$K$2:$K$20000))/SUMPRODUCT((DATOS!$A$2:$A$20000=AE228)*(DATOS!$G$2:$G$20000=CONFIG_METADATA!$B$4)*(COUNTIF(CONFIG_ASIGNATURAS!$B$7:$B$27,DATOS!$I$2:$I$20000)&gt;0)*1),"")))</f>
        <v/>
      </c>
    </row>
    <row r="229" spans="2:35" x14ac:dyDescent="0.2">
      <c r="B229" t="str">
        <f>IF(A229="","",IF(A229="[FÓRMULA MANUAL]","",IFERROR(AVERAGEIFS(DATOS!$K$2:$K$20000,DATOS!$A$2:$A$20000,A229,DATOS!$G$2:$G$20000,CONFIG_METADATA!$B$4,DATOS!$I$2:$I$20000,"Lenguaje Musical"),"")))</f>
        <v/>
      </c>
      <c r="C229" t="str">
        <f>IF(A229="","",IF(A229="[FÓRMULA MANUAL]","",IFERROR(AVERAGEIFS(DATOS!$K$2:$K$20000,DATOS!$A$2:$A$20000,A229,DATOS!$G$2:$G$20000,CONFIG_METADATA!$B$4,DATOS!$I$2:$I$20000,"Orquesta/Banda/Conjunto"),"")))</f>
        <v/>
      </c>
      <c r="D229" t="str">
        <f>IF(A229="","",IF(A229="[FÓRMULA MANUAL]","",IFERROR(AVERAGEIFS(DATOS!$K$2:$K$20000,DATOS!$A$2:$A$20000,A229,DATOS!$G$2:$G$20000,CONFIG_METADATA!$B$4,DATOS!$I$2:$I$20000,"Conjunto"),"")))</f>
        <v/>
      </c>
      <c r="E229" t="str">
        <f>IF(A229="","",IF(A229="[FÓRMULA MANUAL]","",IFERROR(SUMPRODUCT((DATOS!$A$2:$A$20000=A229)*(DATOS!$G$2:$G$20000=CONFIG_METADATA!$B$4)*(COUNTIF(CONFIG_ASIGNATURAS!$B$7:$B$27,DATOS!$I$2:$I$20000)&gt;0)*(DATOS!$K$2:$K$20000))/SUMPRODUCT((DATOS!$A$2:$A$20000=A229)*(DATOS!$G$2:$G$20000=CONFIG_METADATA!$B$4)*(COUNTIF(CONFIG_ASIGNATURAS!$B$7:$B$27,DATOS!$I$2:$I$20000)&gt;0)*1),"")))</f>
        <v/>
      </c>
      <c r="H229" t="str">
        <f>IF(G229="","",IF(G229="[FÓRMULA MANUAL]","",IFERROR(AVERAGEIFS(DATOS!$K$2:$K$20000,DATOS!$A$2:$A$20000,G229,DATOS!$G$2:$G$20000,CONFIG_METADATA!$B$4,DATOS!$I$2:$I$20000,"Lenguaje Musical"),"")))</f>
        <v/>
      </c>
      <c r="I229" t="str">
        <f>IF(G229="","",IF(G229="[FÓRMULA MANUAL]","",IFERROR(AVERAGEIFS(DATOS!$K$2:$K$20000,DATOS!$A$2:$A$20000,G229,DATOS!$G$2:$G$20000,CONFIG_METADATA!$B$4,DATOS!$I$2:$I$20000,"Orquesta/Banda/Conjunto"),"")))</f>
        <v/>
      </c>
      <c r="J229" t="str">
        <f>IF(G229="","",IF(G229="[FÓRMULA MANUAL]","",IFERROR(AVERAGEIFS(DATOS!$K$2:$K$20000,DATOS!$A$2:$A$20000,G229,DATOS!$G$2:$G$20000,CONFIG_METADATA!$B$4,DATOS!$I$2:$I$20000,"Conjunto"),"")))</f>
        <v/>
      </c>
      <c r="K229" t="str">
        <f>IF(G229="","",IF(G229="[FÓRMULA MANUAL]","",IFERROR(SUMPRODUCT((DATOS!$A$2:$A$20000=G229)*(DATOS!$G$2:$G$20000=CONFIG_METADATA!$B$4)*(COUNTIF(CONFIG_ASIGNATURAS!$B$7:$B$27,DATOS!$I$2:$I$20000)&gt;0)*(DATOS!$K$2:$K$20000))/SUMPRODUCT((DATOS!$A$2:$A$20000=G229)*(DATOS!$G$2:$G$20000=CONFIG_METADATA!$B$4)*(COUNTIF(CONFIG_ASIGNATURAS!$B$7:$B$27,DATOS!$I$2:$I$20000)&gt;0)*1),"")))</f>
        <v/>
      </c>
      <c r="N229" t="str">
        <f>IF(M229="","",IF(M229="[FÓRMULA MANUAL]","",IFERROR(AVERAGEIFS(DATOS!$K$2:$K$20000,DATOS!$A$2:$A$20000,M229,DATOS!$G$2:$G$20000,CONFIG_METADATA!$B$4,DATOS!$I$2:$I$20000,"Armonía"),"")))</f>
        <v/>
      </c>
      <c r="O229" t="str">
        <f>IF(M229="","",IF(M229="[FÓRMULA MANUAL]","",IFERROR(AVERAGEIFS(DATOS!$K$2:$K$20000,DATOS!$A$2:$A$20000,M229,DATOS!$G$2:$G$20000,CONFIG_METADATA!$B$4,DATOS!$I$2:$I$20000,"Orquesta/Banda/Conjunto"),"")))</f>
        <v/>
      </c>
      <c r="P229" t="str">
        <f>IF(M229="","",IF(M229="[FÓRMULA MANUAL]","",IFERROR(AVERAGEIFS(DATOS!$K$2:$K$20000,DATOS!$A$2:$A$20000,M229,DATOS!$G$2:$G$20000,CONFIG_METADATA!$B$4,DATOS!$I$2:$I$20000,"Música de Cámara"),"")))</f>
        <v/>
      </c>
      <c r="Q229" t="str">
        <f>IF(M229="","",IF(M229="[FÓRMULA MANUAL]","",IFERROR(SUMPRODUCT((DATOS!$A$2:$A$20000=M229)*(DATOS!$G$2:$G$20000=CONFIG_METADATA!$B$4)*(COUNTIF(CONFIG_ASIGNATURAS!$B$7:$B$27,DATOS!$I$2:$I$20000)&gt;0)*(DATOS!$K$2:$K$20000))/SUMPRODUCT((DATOS!$A$2:$A$20000=M229)*(DATOS!$G$2:$G$20000=CONFIG_METADATA!$B$4)*(COUNTIF(CONFIG_ASIGNATURAS!$B$7:$B$27,DATOS!$I$2:$I$20000)&gt;0)*1),"")))</f>
        <v/>
      </c>
      <c r="T229" t="str">
        <f>IF(S229="","",IF(S229="[FÓRMULA MANUAL]","",IFERROR(AVERAGEIFS(DATOS!$K$2:$K$20000,DATOS!$A$2:$A$20000,S229,DATOS!$G$2:$G$20000,CONFIG_METADATA!$B$4,DATOS!$I$2:$I$20000,"Armonía"),"")))</f>
        <v/>
      </c>
      <c r="U229" t="str">
        <f>IF(S229="","",IF(S229="[FÓRMULA MANUAL]","",IFERROR(AVERAGEIFS(DATOS!$K$2:$K$20000,DATOS!$A$2:$A$20000,S229,DATOS!$G$2:$G$20000,CONFIG_METADATA!$B$4,DATOS!$I$2:$I$20000,"Orquesta/Banda/Conjunto"),"")))</f>
        <v/>
      </c>
      <c r="V229" t="str">
        <f>IF(S229="","",IF(S229="[FÓRMULA MANUAL]","",IFERROR(AVERAGEIFS(DATOS!$K$2:$K$20000,DATOS!$A$2:$A$20000,S229,DATOS!$G$2:$G$20000,CONFIG_METADATA!$B$4,DATOS!$I$2:$I$20000,"Música de Cámara"),"")))</f>
        <v/>
      </c>
      <c r="W229" t="str">
        <f>IF(S229="","",IF(S229="[FÓRMULA MANUAL]","",IFERROR(SUMPRODUCT((DATOS!$A$2:$A$20000=S229)*(DATOS!$G$2:$G$20000=CONFIG_METADATA!$B$4)*(COUNTIF(CONFIG_ASIGNATURAS!$B$7:$B$27,DATOS!$I$2:$I$20000)&gt;0)*(DATOS!$K$2:$K$20000))/SUMPRODUCT((DATOS!$A$2:$A$20000=S229)*(DATOS!$G$2:$G$20000=CONFIG_METADATA!$B$4)*(COUNTIF(CONFIG_ASIGNATURAS!$B$7:$B$27,DATOS!$I$2:$I$20000)&gt;0)*1),"")))</f>
        <v/>
      </c>
      <c r="Z229" t="str">
        <f>IF(Y229="","",IF(Y229="[FÓRMULA MANUAL]","",IFERROR(AVERAGEIFS(DATOS!$K$2:$K$20000,DATOS!$A$2:$A$20000,Y229,DATOS!$G$2:$G$20000,CONFIG_METADATA!$B$4,DATOS!$I$2:$I$20000,"Análisis"),"")))</f>
        <v/>
      </c>
      <c r="AA229" t="str">
        <f>IF(Y229="","",IF(Y229="[FÓRMULA MANUAL]","",IFERROR(AVERAGEIFS(DATOS!$K$2:$K$20000,DATOS!$A$2:$A$20000,Y229,DATOS!$G$2:$G$20000,CONFIG_METADATA!$B$4,DATOS!$I$2:$I$20000,"Orquesta/Banda/Conjunto"),"")))</f>
        <v/>
      </c>
      <c r="AB229" t="str">
        <f>IF(Y229="","",IF(Y229="[FÓRMULA MANUAL]","",IFERROR(AVERAGEIFS(DATOS!$K$2:$K$20000,DATOS!$A$2:$A$20000,Y229,DATOS!$G$2:$G$20000,CONFIG_METADATA!$B$4,DATOS!$I$2:$I$20000,"Música de Cámara"),"")))</f>
        <v/>
      </c>
      <c r="AC229" t="str">
        <f>IF(Y229="","",IF(Y229="[FÓRMULA MANUAL]","",IFERROR(SUMPRODUCT((DATOS!$A$2:$A$20000=Y229)*(DATOS!$G$2:$G$20000=CONFIG_METADATA!$B$4)*(COUNTIF(CONFIG_ASIGNATURAS!$B$7:$B$27,DATOS!$I$2:$I$20000)&gt;0)*(DATOS!$K$2:$K$20000))/SUMPRODUCT((DATOS!$A$2:$A$20000=Y229)*(DATOS!$G$2:$G$20000=CONFIG_METADATA!$B$4)*(COUNTIF(CONFIG_ASIGNATURAS!$B$7:$B$27,DATOS!$I$2:$I$20000)&gt;0)*1),"")))</f>
        <v/>
      </c>
      <c r="AF229" t="str">
        <f>IF(AE229="","",IF(AE229="[FÓRMULA MANUAL]","",IFERROR(AVERAGEIFS(DATOS!$K$2:$K$20000,DATOS!$A$2:$A$20000,AE229,DATOS!$G$2:$G$20000,CONFIG_METADATA!$B$4,DATOS!$I$2:$I$20000,"Análisis"),"")))</f>
        <v/>
      </c>
      <c r="AG229" t="str">
        <f>IF(AE229="","",IF(AE229="[FÓRMULA MANUAL]","",IFERROR(AVERAGEIFS(DATOS!$K$2:$K$20000,DATOS!$A$2:$A$20000,AE229,DATOS!$G$2:$G$20000,CONFIG_METADATA!$B$4,DATOS!$I$2:$I$20000,"Orquesta/Banda/Conjunto"),"")))</f>
        <v/>
      </c>
      <c r="AH229" t="str">
        <f>IF(AE229="","",IF(AE229="[FÓRMULA MANUAL]","",IFERROR(AVERAGEIFS(DATOS!$K$2:$K$20000,DATOS!$A$2:$A$20000,AE229,DATOS!$G$2:$G$20000,CONFIG_METADATA!$B$4,DATOS!$I$2:$I$20000,"Música de Cámara"),"")))</f>
        <v/>
      </c>
      <c r="AI229" t="str">
        <f>IF(AE229="","",IF(AE229="[FÓRMULA MANUAL]","",IFERROR(SUMPRODUCT((DATOS!$A$2:$A$20000=AE229)*(DATOS!$G$2:$G$20000=CONFIG_METADATA!$B$4)*(COUNTIF(CONFIG_ASIGNATURAS!$B$7:$B$27,DATOS!$I$2:$I$20000)&gt;0)*(DATOS!$K$2:$K$20000))/SUMPRODUCT((DATOS!$A$2:$A$20000=AE229)*(DATOS!$G$2:$G$20000=CONFIG_METADATA!$B$4)*(COUNTIF(CONFIG_ASIGNATURAS!$B$7:$B$27,DATOS!$I$2:$I$20000)&gt;0)*1),"")))</f>
        <v/>
      </c>
    </row>
    <row r="230" spans="2:35" x14ac:dyDescent="0.2">
      <c r="B230" t="str">
        <f>IF(A230="","",IF(A230="[FÓRMULA MANUAL]","",IFERROR(AVERAGEIFS(DATOS!$K$2:$K$20000,DATOS!$A$2:$A$20000,A230,DATOS!$G$2:$G$20000,CONFIG_METADATA!$B$4,DATOS!$I$2:$I$20000,"Lenguaje Musical"),"")))</f>
        <v/>
      </c>
      <c r="C230" t="str">
        <f>IF(A230="","",IF(A230="[FÓRMULA MANUAL]","",IFERROR(AVERAGEIFS(DATOS!$K$2:$K$20000,DATOS!$A$2:$A$20000,A230,DATOS!$G$2:$G$20000,CONFIG_METADATA!$B$4,DATOS!$I$2:$I$20000,"Orquesta/Banda/Conjunto"),"")))</f>
        <v/>
      </c>
      <c r="D230" t="str">
        <f>IF(A230="","",IF(A230="[FÓRMULA MANUAL]","",IFERROR(AVERAGEIFS(DATOS!$K$2:$K$20000,DATOS!$A$2:$A$20000,A230,DATOS!$G$2:$G$20000,CONFIG_METADATA!$B$4,DATOS!$I$2:$I$20000,"Conjunto"),"")))</f>
        <v/>
      </c>
      <c r="E230" t="str">
        <f>IF(A230="","",IF(A230="[FÓRMULA MANUAL]","",IFERROR(SUMPRODUCT((DATOS!$A$2:$A$20000=A230)*(DATOS!$G$2:$G$20000=CONFIG_METADATA!$B$4)*(COUNTIF(CONFIG_ASIGNATURAS!$B$7:$B$27,DATOS!$I$2:$I$20000)&gt;0)*(DATOS!$K$2:$K$20000))/SUMPRODUCT((DATOS!$A$2:$A$20000=A230)*(DATOS!$G$2:$G$20000=CONFIG_METADATA!$B$4)*(COUNTIF(CONFIG_ASIGNATURAS!$B$7:$B$27,DATOS!$I$2:$I$20000)&gt;0)*1),"")))</f>
        <v/>
      </c>
      <c r="H230" t="str">
        <f>IF(G230="","",IF(G230="[FÓRMULA MANUAL]","",IFERROR(AVERAGEIFS(DATOS!$K$2:$K$20000,DATOS!$A$2:$A$20000,G230,DATOS!$G$2:$G$20000,CONFIG_METADATA!$B$4,DATOS!$I$2:$I$20000,"Lenguaje Musical"),"")))</f>
        <v/>
      </c>
      <c r="I230" t="str">
        <f>IF(G230="","",IF(G230="[FÓRMULA MANUAL]","",IFERROR(AVERAGEIFS(DATOS!$K$2:$K$20000,DATOS!$A$2:$A$20000,G230,DATOS!$G$2:$G$20000,CONFIG_METADATA!$B$4,DATOS!$I$2:$I$20000,"Orquesta/Banda/Conjunto"),"")))</f>
        <v/>
      </c>
      <c r="J230" t="str">
        <f>IF(G230="","",IF(G230="[FÓRMULA MANUAL]","",IFERROR(AVERAGEIFS(DATOS!$K$2:$K$20000,DATOS!$A$2:$A$20000,G230,DATOS!$G$2:$G$20000,CONFIG_METADATA!$B$4,DATOS!$I$2:$I$20000,"Conjunto"),"")))</f>
        <v/>
      </c>
      <c r="K230" t="str">
        <f>IF(G230="","",IF(G230="[FÓRMULA MANUAL]","",IFERROR(SUMPRODUCT((DATOS!$A$2:$A$20000=G230)*(DATOS!$G$2:$G$20000=CONFIG_METADATA!$B$4)*(COUNTIF(CONFIG_ASIGNATURAS!$B$7:$B$27,DATOS!$I$2:$I$20000)&gt;0)*(DATOS!$K$2:$K$20000))/SUMPRODUCT((DATOS!$A$2:$A$20000=G230)*(DATOS!$G$2:$G$20000=CONFIG_METADATA!$B$4)*(COUNTIF(CONFIG_ASIGNATURAS!$B$7:$B$27,DATOS!$I$2:$I$20000)&gt;0)*1),"")))</f>
        <v/>
      </c>
      <c r="N230" t="str">
        <f>IF(M230="","",IF(M230="[FÓRMULA MANUAL]","",IFERROR(AVERAGEIFS(DATOS!$K$2:$K$20000,DATOS!$A$2:$A$20000,M230,DATOS!$G$2:$G$20000,CONFIG_METADATA!$B$4,DATOS!$I$2:$I$20000,"Armonía"),"")))</f>
        <v/>
      </c>
      <c r="O230" t="str">
        <f>IF(M230="","",IF(M230="[FÓRMULA MANUAL]","",IFERROR(AVERAGEIFS(DATOS!$K$2:$K$20000,DATOS!$A$2:$A$20000,M230,DATOS!$G$2:$G$20000,CONFIG_METADATA!$B$4,DATOS!$I$2:$I$20000,"Orquesta/Banda/Conjunto"),"")))</f>
        <v/>
      </c>
      <c r="P230" t="str">
        <f>IF(M230="","",IF(M230="[FÓRMULA MANUAL]","",IFERROR(AVERAGEIFS(DATOS!$K$2:$K$20000,DATOS!$A$2:$A$20000,M230,DATOS!$G$2:$G$20000,CONFIG_METADATA!$B$4,DATOS!$I$2:$I$20000,"Música de Cámara"),"")))</f>
        <v/>
      </c>
      <c r="Q230" t="str">
        <f>IF(M230="","",IF(M230="[FÓRMULA MANUAL]","",IFERROR(SUMPRODUCT((DATOS!$A$2:$A$20000=M230)*(DATOS!$G$2:$G$20000=CONFIG_METADATA!$B$4)*(COUNTIF(CONFIG_ASIGNATURAS!$B$7:$B$27,DATOS!$I$2:$I$20000)&gt;0)*(DATOS!$K$2:$K$20000))/SUMPRODUCT((DATOS!$A$2:$A$20000=M230)*(DATOS!$G$2:$G$20000=CONFIG_METADATA!$B$4)*(COUNTIF(CONFIG_ASIGNATURAS!$B$7:$B$27,DATOS!$I$2:$I$20000)&gt;0)*1),"")))</f>
        <v/>
      </c>
      <c r="T230" t="str">
        <f>IF(S230="","",IF(S230="[FÓRMULA MANUAL]","",IFERROR(AVERAGEIFS(DATOS!$K$2:$K$20000,DATOS!$A$2:$A$20000,S230,DATOS!$G$2:$G$20000,CONFIG_METADATA!$B$4,DATOS!$I$2:$I$20000,"Armonía"),"")))</f>
        <v/>
      </c>
      <c r="U230" t="str">
        <f>IF(S230="","",IF(S230="[FÓRMULA MANUAL]","",IFERROR(AVERAGEIFS(DATOS!$K$2:$K$20000,DATOS!$A$2:$A$20000,S230,DATOS!$G$2:$G$20000,CONFIG_METADATA!$B$4,DATOS!$I$2:$I$20000,"Orquesta/Banda/Conjunto"),"")))</f>
        <v/>
      </c>
      <c r="V230" t="str">
        <f>IF(S230="","",IF(S230="[FÓRMULA MANUAL]","",IFERROR(AVERAGEIFS(DATOS!$K$2:$K$20000,DATOS!$A$2:$A$20000,S230,DATOS!$G$2:$G$20000,CONFIG_METADATA!$B$4,DATOS!$I$2:$I$20000,"Música de Cámara"),"")))</f>
        <v/>
      </c>
      <c r="W230" t="str">
        <f>IF(S230="","",IF(S230="[FÓRMULA MANUAL]","",IFERROR(SUMPRODUCT((DATOS!$A$2:$A$20000=S230)*(DATOS!$G$2:$G$20000=CONFIG_METADATA!$B$4)*(COUNTIF(CONFIG_ASIGNATURAS!$B$7:$B$27,DATOS!$I$2:$I$20000)&gt;0)*(DATOS!$K$2:$K$20000))/SUMPRODUCT((DATOS!$A$2:$A$20000=S230)*(DATOS!$G$2:$G$20000=CONFIG_METADATA!$B$4)*(COUNTIF(CONFIG_ASIGNATURAS!$B$7:$B$27,DATOS!$I$2:$I$20000)&gt;0)*1),"")))</f>
        <v/>
      </c>
      <c r="Z230" t="str">
        <f>IF(Y230="","",IF(Y230="[FÓRMULA MANUAL]","",IFERROR(AVERAGEIFS(DATOS!$K$2:$K$20000,DATOS!$A$2:$A$20000,Y230,DATOS!$G$2:$G$20000,CONFIG_METADATA!$B$4,DATOS!$I$2:$I$20000,"Análisis"),"")))</f>
        <v/>
      </c>
      <c r="AA230" t="str">
        <f>IF(Y230="","",IF(Y230="[FÓRMULA MANUAL]","",IFERROR(AVERAGEIFS(DATOS!$K$2:$K$20000,DATOS!$A$2:$A$20000,Y230,DATOS!$G$2:$G$20000,CONFIG_METADATA!$B$4,DATOS!$I$2:$I$20000,"Orquesta/Banda/Conjunto"),"")))</f>
        <v/>
      </c>
      <c r="AB230" t="str">
        <f>IF(Y230="","",IF(Y230="[FÓRMULA MANUAL]","",IFERROR(AVERAGEIFS(DATOS!$K$2:$K$20000,DATOS!$A$2:$A$20000,Y230,DATOS!$G$2:$G$20000,CONFIG_METADATA!$B$4,DATOS!$I$2:$I$20000,"Música de Cámara"),"")))</f>
        <v/>
      </c>
      <c r="AC230" t="str">
        <f>IF(Y230="","",IF(Y230="[FÓRMULA MANUAL]","",IFERROR(SUMPRODUCT((DATOS!$A$2:$A$20000=Y230)*(DATOS!$G$2:$G$20000=CONFIG_METADATA!$B$4)*(COUNTIF(CONFIG_ASIGNATURAS!$B$7:$B$27,DATOS!$I$2:$I$20000)&gt;0)*(DATOS!$K$2:$K$20000))/SUMPRODUCT((DATOS!$A$2:$A$20000=Y230)*(DATOS!$G$2:$G$20000=CONFIG_METADATA!$B$4)*(COUNTIF(CONFIG_ASIGNATURAS!$B$7:$B$27,DATOS!$I$2:$I$20000)&gt;0)*1),"")))</f>
        <v/>
      </c>
      <c r="AF230" t="str">
        <f>IF(AE230="","",IF(AE230="[FÓRMULA MANUAL]","",IFERROR(AVERAGEIFS(DATOS!$K$2:$K$20000,DATOS!$A$2:$A$20000,AE230,DATOS!$G$2:$G$20000,CONFIG_METADATA!$B$4,DATOS!$I$2:$I$20000,"Análisis"),"")))</f>
        <v/>
      </c>
      <c r="AG230" t="str">
        <f>IF(AE230="","",IF(AE230="[FÓRMULA MANUAL]","",IFERROR(AVERAGEIFS(DATOS!$K$2:$K$20000,DATOS!$A$2:$A$20000,AE230,DATOS!$G$2:$G$20000,CONFIG_METADATA!$B$4,DATOS!$I$2:$I$20000,"Orquesta/Banda/Conjunto"),"")))</f>
        <v/>
      </c>
      <c r="AH230" t="str">
        <f>IF(AE230="","",IF(AE230="[FÓRMULA MANUAL]","",IFERROR(AVERAGEIFS(DATOS!$K$2:$K$20000,DATOS!$A$2:$A$20000,AE230,DATOS!$G$2:$G$20000,CONFIG_METADATA!$B$4,DATOS!$I$2:$I$20000,"Música de Cámara"),"")))</f>
        <v/>
      </c>
      <c r="AI230" t="str">
        <f>IF(AE230="","",IF(AE230="[FÓRMULA MANUAL]","",IFERROR(SUMPRODUCT((DATOS!$A$2:$A$20000=AE230)*(DATOS!$G$2:$G$20000=CONFIG_METADATA!$B$4)*(COUNTIF(CONFIG_ASIGNATURAS!$B$7:$B$27,DATOS!$I$2:$I$20000)&gt;0)*(DATOS!$K$2:$K$20000))/SUMPRODUCT((DATOS!$A$2:$A$20000=AE230)*(DATOS!$G$2:$G$20000=CONFIG_METADATA!$B$4)*(COUNTIF(CONFIG_ASIGNATURAS!$B$7:$B$27,DATOS!$I$2:$I$20000)&gt;0)*1),"")))</f>
        <v/>
      </c>
    </row>
    <row r="231" spans="2:35" x14ac:dyDescent="0.2">
      <c r="B231" t="str">
        <f>IF(A231="","",IF(A231="[FÓRMULA MANUAL]","",IFERROR(AVERAGEIFS(DATOS!$K$2:$K$20000,DATOS!$A$2:$A$20000,A231,DATOS!$G$2:$G$20000,CONFIG_METADATA!$B$4,DATOS!$I$2:$I$20000,"Lenguaje Musical"),"")))</f>
        <v/>
      </c>
      <c r="C231" t="str">
        <f>IF(A231="","",IF(A231="[FÓRMULA MANUAL]","",IFERROR(AVERAGEIFS(DATOS!$K$2:$K$20000,DATOS!$A$2:$A$20000,A231,DATOS!$G$2:$G$20000,CONFIG_METADATA!$B$4,DATOS!$I$2:$I$20000,"Orquesta/Banda/Conjunto"),"")))</f>
        <v/>
      </c>
      <c r="D231" t="str">
        <f>IF(A231="","",IF(A231="[FÓRMULA MANUAL]","",IFERROR(AVERAGEIFS(DATOS!$K$2:$K$20000,DATOS!$A$2:$A$20000,A231,DATOS!$G$2:$G$20000,CONFIG_METADATA!$B$4,DATOS!$I$2:$I$20000,"Conjunto"),"")))</f>
        <v/>
      </c>
      <c r="E231" t="str">
        <f>IF(A231="","",IF(A231="[FÓRMULA MANUAL]","",IFERROR(SUMPRODUCT((DATOS!$A$2:$A$20000=A231)*(DATOS!$G$2:$G$20000=CONFIG_METADATA!$B$4)*(COUNTIF(CONFIG_ASIGNATURAS!$B$7:$B$27,DATOS!$I$2:$I$20000)&gt;0)*(DATOS!$K$2:$K$20000))/SUMPRODUCT((DATOS!$A$2:$A$20000=A231)*(DATOS!$G$2:$G$20000=CONFIG_METADATA!$B$4)*(COUNTIF(CONFIG_ASIGNATURAS!$B$7:$B$27,DATOS!$I$2:$I$20000)&gt;0)*1),"")))</f>
        <v/>
      </c>
      <c r="H231" t="str">
        <f>IF(G231="","",IF(G231="[FÓRMULA MANUAL]","",IFERROR(AVERAGEIFS(DATOS!$K$2:$K$20000,DATOS!$A$2:$A$20000,G231,DATOS!$G$2:$G$20000,CONFIG_METADATA!$B$4,DATOS!$I$2:$I$20000,"Lenguaje Musical"),"")))</f>
        <v/>
      </c>
      <c r="I231" t="str">
        <f>IF(G231="","",IF(G231="[FÓRMULA MANUAL]","",IFERROR(AVERAGEIFS(DATOS!$K$2:$K$20000,DATOS!$A$2:$A$20000,G231,DATOS!$G$2:$G$20000,CONFIG_METADATA!$B$4,DATOS!$I$2:$I$20000,"Orquesta/Banda/Conjunto"),"")))</f>
        <v/>
      </c>
      <c r="J231" t="str">
        <f>IF(G231="","",IF(G231="[FÓRMULA MANUAL]","",IFERROR(AVERAGEIFS(DATOS!$K$2:$K$20000,DATOS!$A$2:$A$20000,G231,DATOS!$G$2:$G$20000,CONFIG_METADATA!$B$4,DATOS!$I$2:$I$20000,"Conjunto"),"")))</f>
        <v/>
      </c>
      <c r="K231" t="str">
        <f>IF(G231="","",IF(G231="[FÓRMULA MANUAL]","",IFERROR(SUMPRODUCT((DATOS!$A$2:$A$20000=G231)*(DATOS!$G$2:$G$20000=CONFIG_METADATA!$B$4)*(COUNTIF(CONFIG_ASIGNATURAS!$B$7:$B$27,DATOS!$I$2:$I$20000)&gt;0)*(DATOS!$K$2:$K$20000))/SUMPRODUCT((DATOS!$A$2:$A$20000=G231)*(DATOS!$G$2:$G$20000=CONFIG_METADATA!$B$4)*(COUNTIF(CONFIG_ASIGNATURAS!$B$7:$B$27,DATOS!$I$2:$I$20000)&gt;0)*1),"")))</f>
        <v/>
      </c>
      <c r="N231" t="str">
        <f>IF(M231="","",IF(M231="[FÓRMULA MANUAL]","",IFERROR(AVERAGEIFS(DATOS!$K$2:$K$20000,DATOS!$A$2:$A$20000,M231,DATOS!$G$2:$G$20000,CONFIG_METADATA!$B$4,DATOS!$I$2:$I$20000,"Armonía"),"")))</f>
        <v/>
      </c>
      <c r="O231" t="str">
        <f>IF(M231="","",IF(M231="[FÓRMULA MANUAL]","",IFERROR(AVERAGEIFS(DATOS!$K$2:$K$20000,DATOS!$A$2:$A$20000,M231,DATOS!$G$2:$G$20000,CONFIG_METADATA!$B$4,DATOS!$I$2:$I$20000,"Orquesta/Banda/Conjunto"),"")))</f>
        <v/>
      </c>
      <c r="P231" t="str">
        <f>IF(M231="","",IF(M231="[FÓRMULA MANUAL]","",IFERROR(AVERAGEIFS(DATOS!$K$2:$K$20000,DATOS!$A$2:$A$20000,M231,DATOS!$G$2:$G$20000,CONFIG_METADATA!$B$4,DATOS!$I$2:$I$20000,"Música de Cámara"),"")))</f>
        <v/>
      </c>
      <c r="Q231" t="str">
        <f>IF(M231="","",IF(M231="[FÓRMULA MANUAL]","",IFERROR(SUMPRODUCT((DATOS!$A$2:$A$20000=M231)*(DATOS!$G$2:$G$20000=CONFIG_METADATA!$B$4)*(COUNTIF(CONFIG_ASIGNATURAS!$B$7:$B$27,DATOS!$I$2:$I$20000)&gt;0)*(DATOS!$K$2:$K$20000))/SUMPRODUCT((DATOS!$A$2:$A$20000=M231)*(DATOS!$G$2:$G$20000=CONFIG_METADATA!$B$4)*(COUNTIF(CONFIG_ASIGNATURAS!$B$7:$B$27,DATOS!$I$2:$I$20000)&gt;0)*1),"")))</f>
        <v/>
      </c>
      <c r="T231" t="str">
        <f>IF(S231="","",IF(S231="[FÓRMULA MANUAL]","",IFERROR(AVERAGEIFS(DATOS!$K$2:$K$20000,DATOS!$A$2:$A$20000,S231,DATOS!$G$2:$G$20000,CONFIG_METADATA!$B$4,DATOS!$I$2:$I$20000,"Armonía"),"")))</f>
        <v/>
      </c>
      <c r="U231" t="str">
        <f>IF(S231="","",IF(S231="[FÓRMULA MANUAL]","",IFERROR(AVERAGEIFS(DATOS!$K$2:$K$20000,DATOS!$A$2:$A$20000,S231,DATOS!$G$2:$G$20000,CONFIG_METADATA!$B$4,DATOS!$I$2:$I$20000,"Orquesta/Banda/Conjunto"),"")))</f>
        <v/>
      </c>
      <c r="V231" t="str">
        <f>IF(S231="","",IF(S231="[FÓRMULA MANUAL]","",IFERROR(AVERAGEIFS(DATOS!$K$2:$K$20000,DATOS!$A$2:$A$20000,S231,DATOS!$G$2:$G$20000,CONFIG_METADATA!$B$4,DATOS!$I$2:$I$20000,"Música de Cámara"),"")))</f>
        <v/>
      </c>
      <c r="W231" t="str">
        <f>IF(S231="","",IF(S231="[FÓRMULA MANUAL]","",IFERROR(SUMPRODUCT((DATOS!$A$2:$A$20000=S231)*(DATOS!$G$2:$G$20000=CONFIG_METADATA!$B$4)*(COUNTIF(CONFIG_ASIGNATURAS!$B$7:$B$27,DATOS!$I$2:$I$20000)&gt;0)*(DATOS!$K$2:$K$20000))/SUMPRODUCT((DATOS!$A$2:$A$20000=S231)*(DATOS!$G$2:$G$20000=CONFIG_METADATA!$B$4)*(COUNTIF(CONFIG_ASIGNATURAS!$B$7:$B$27,DATOS!$I$2:$I$20000)&gt;0)*1),"")))</f>
        <v/>
      </c>
      <c r="Z231" t="str">
        <f>IF(Y231="","",IF(Y231="[FÓRMULA MANUAL]","",IFERROR(AVERAGEIFS(DATOS!$K$2:$K$20000,DATOS!$A$2:$A$20000,Y231,DATOS!$G$2:$G$20000,CONFIG_METADATA!$B$4,DATOS!$I$2:$I$20000,"Análisis"),"")))</f>
        <v/>
      </c>
      <c r="AA231" t="str">
        <f>IF(Y231="","",IF(Y231="[FÓRMULA MANUAL]","",IFERROR(AVERAGEIFS(DATOS!$K$2:$K$20000,DATOS!$A$2:$A$20000,Y231,DATOS!$G$2:$G$20000,CONFIG_METADATA!$B$4,DATOS!$I$2:$I$20000,"Orquesta/Banda/Conjunto"),"")))</f>
        <v/>
      </c>
      <c r="AB231" t="str">
        <f>IF(Y231="","",IF(Y231="[FÓRMULA MANUAL]","",IFERROR(AVERAGEIFS(DATOS!$K$2:$K$20000,DATOS!$A$2:$A$20000,Y231,DATOS!$G$2:$G$20000,CONFIG_METADATA!$B$4,DATOS!$I$2:$I$20000,"Música de Cámara"),"")))</f>
        <v/>
      </c>
      <c r="AC231" t="str">
        <f>IF(Y231="","",IF(Y231="[FÓRMULA MANUAL]","",IFERROR(SUMPRODUCT((DATOS!$A$2:$A$20000=Y231)*(DATOS!$G$2:$G$20000=CONFIG_METADATA!$B$4)*(COUNTIF(CONFIG_ASIGNATURAS!$B$7:$B$27,DATOS!$I$2:$I$20000)&gt;0)*(DATOS!$K$2:$K$20000))/SUMPRODUCT((DATOS!$A$2:$A$20000=Y231)*(DATOS!$G$2:$G$20000=CONFIG_METADATA!$B$4)*(COUNTIF(CONFIG_ASIGNATURAS!$B$7:$B$27,DATOS!$I$2:$I$20000)&gt;0)*1),"")))</f>
        <v/>
      </c>
      <c r="AF231" t="str">
        <f>IF(AE231="","",IF(AE231="[FÓRMULA MANUAL]","",IFERROR(AVERAGEIFS(DATOS!$K$2:$K$20000,DATOS!$A$2:$A$20000,AE231,DATOS!$G$2:$G$20000,CONFIG_METADATA!$B$4,DATOS!$I$2:$I$20000,"Análisis"),"")))</f>
        <v/>
      </c>
      <c r="AG231" t="str">
        <f>IF(AE231="","",IF(AE231="[FÓRMULA MANUAL]","",IFERROR(AVERAGEIFS(DATOS!$K$2:$K$20000,DATOS!$A$2:$A$20000,AE231,DATOS!$G$2:$G$20000,CONFIG_METADATA!$B$4,DATOS!$I$2:$I$20000,"Orquesta/Banda/Conjunto"),"")))</f>
        <v/>
      </c>
      <c r="AH231" t="str">
        <f>IF(AE231="","",IF(AE231="[FÓRMULA MANUAL]","",IFERROR(AVERAGEIFS(DATOS!$K$2:$K$20000,DATOS!$A$2:$A$20000,AE231,DATOS!$G$2:$G$20000,CONFIG_METADATA!$B$4,DATOS!$I$2:$I$20000,"Música de Cámara"),"")))</f>
        <v/>
      </c>
      <c r="AI231" t="str">
        <f>IF(AE231="","",IF(AE231="[FÓRMULA MANUAL]","",IFERROR(SUMPRODUCT((DATOS!$A$2:$A$20000=AE231)*(DATOS!$G$2:$G$20000=CONFIG_METADATA!$B$4)*(COUNTIF(CONFIG_ASIGNATURAS!$B$7:$B$27,DATOS!$I$2:$I$20000)&gt;0)*(DATOS!$K$2:$K$20000))/SUMPRODUCT((DATOS!$A$2:$A$20000=AE231)*(DATOS!$G$2:$G$20000=CONFIG_METADATA!$B$4)*(COUNTIF(CONFIG_ASIGNATURAS!$B$7:$B$27,DATOS!$I$2:$I$20000)&gt;0)*1),"")))</f>
        <v/>
      </c>
    </row>
    <row r="232" spans="2:35" x14ac:dyDescent="0.2">
      <c r="B232" t="str">
        <f>IF(A232="","",IF(A232="[FÓRMULA MANUAL]","",IFERROR(AVERAGEIFS(DATOS!$K$2:$K$20000,DATOS!$A$2:$A$20000,A232,DATOS!$G$2:$G$20000,CONFIG_METADATA!$B$4,DATOS!$I$2:$I$20000,"Lenguaje Musical"),"")))</f>
        <v/>
      </c>
      <c r="C232" t="str">
        <f>IF(A232="","",IF(A232="[FÓRMULA MANUAL]","",IFERROR(AVERAGEIFS(DATOS!$K$2:$K$20000,DATOS!$A$2:$A$20000,A232,DATOS!$G$2:$G$20000,CONFIG_METADATA!$B$4,DATOS!$I$2:$I$20000,"Orquesta/Banda/Conjunto"),"")))</f>
        <v/>
      </c>
      <c r="D232" t="str">
        <f>IF(A232="","",IF(A232="[FÓRMULA MANUAL]","",IFERROR(AVERAGEIFS(DATOS!$K$2:$K$20000,DATOS!$A$2:$A$20000,A232,DATOS!$G$2:$G$20000,CONFIG_METADATA!$B$4,DATOS!$I$2:$I$20000,"Conjunto"),"")))</f>
        <v/>
      </c>
      <c r="E232" t="str">
        <f>IF(A232="","",IF(A232="[FÓRMULA MANUAL]","",IFERROR(SUMPRODUCT((DATOS!$A$2:$A$20000=A232)*(DATOS!$G$2:$G$20000=CONFIG_METADATA!$B$4)*(COUNTIF(CONFIG_ASIGNATURAS!$B$7:$B$27,DATOS!$I$2:$I$20000)&gt;0)*(DATOS!$K$2:$K$20000))/SUMPRODUCT((DATOS!$A$2:$A$20000=A232)*(DATOS!$G$2:$G$20000=CONFIG_METADATA!$B$4)*(COUNTIF(CONFIG_ASIGNATURAS!$B$7:$B$27,DATOS!$I$2:$I$20000)&gt;0)*1),"")))</f>
        <v/>
      </c>
      <c r="H232" t="str">
        <f>IF(G232="","",IF(G232="[FÓRMULA MANUAL]","",IFERROR(AVERAGEIFS(DATOS!$K$2:$K$20000,DATOS!$A$2:$A$20000,G232,DATOS!$G$2:$G$20000,CONFIG_METADATA!$B$4,DATOS!$I$2:$I$20000,"Lenguaje Musical"),"")))</f>
        <v/>
      </c>
      <c r="I232" t="str">
        <f>IF(G232="","",IF(G232="[FÓRMULA MANUAL]","",IFERROR(AVERAGEIFS(DATOS!$K$2:$K$20000,DATOS!$A$2:$A$20000,G232,DATOS!$G$2:$G$20000,CONFIG_METADATA!$B$4,DATOS!$I$2:$I$20000,"Orquesta/Banda/Conjunto"),"")))</f>
        <v/>
      </c>
      <c r="J232" t="str">
        <f>IF(G232="","",IF(G232="[FÓRMULA MANUAL]","",IFERROR(AVERAGEIFS(DATOS!$K$2:$K$20000,DATOS!$A$2:$A$20000,G232,DATOS!$G$2:$G$20000,CONFIG_METADATA!$B$4,DATOS!$I$2:$I$20000,"Conjunto"),"")))</f>
        <v/>
      </c>
      <c r="K232" t="str">
        <f>IF(G232="","",IF(G232="[FÓRMULA MANUAL]","",IFERROR(SUMPRODUCT((DATOS!$A$2:$A$20000=G232)*(DATOS!$G$2:$G$20000=CONFIG_METADATA!$B$4)*(COUNTIF(CONFIG_ASIGNATURAS!$B$7:$B$27,DATOS!$I$2:$I$20000)&gt;0)*(DATOS!$K$2:$K$20000))/SUMPRODUCT((DATOS!$A$2:$A$20000=G232)*(DATOS!$G$2:$G$20000=CONFIG_METADATA!$B$4)*(COUNTIF(CONFIG_ASIGNATURAS!$B$7:$B$27,DATOS!$I$2:$I$20000)&gt;0)*1),"")))</f>
        <v/>
      </c>
      <c r="N232" t="str">
        <f>IF(M232="","",IF(M232="[FÓRMULA MANUAL]","",IFERROR(AVERAGEIFS(DATOS!$K$2:$K$20000,DATOS!$A$2:$A$20000,M232,DATOS!$G$2:$G$20000,CONFIG_METADATA!$B$4,DATOS!$I$2:$I$20000,"Armonía"),"")))</f>
        <v/>
      </c>
      <c r="O232" t="str">
        <f>IF(M232="","",IF(M232="[FÓRMULA MANUAL]","",IFERROR(AVERAGEIFS(DATOS!$K$2:$K$20000,DATOS!$A$2:$A$20000,M232,DATOS!$G$2:$G$20000,CONFIG_METADATA!$B$4,DATOS!$I$2:$I$20000,"Orquesta/Banda/Conjunto"),"")))</f>
        <v/>
      </c>
      <c r="P232" t="str">
        <f>IF(M232="","",IF(M232="[FÓRMULA MANUAL]","",IFERROR(AVERAGEIFS(DATOS!$K$2:$K$20000,DATOS!$A$2:$A$20000,M232,DATOS!$G$2:$G$20000,CONFIG_METADATA!$B$4,DATOS!$I$2:$I$20000,"Música de Cámara"),"")))</f>
        <v/>
      </c>
      <c r="Q232" t="str">
        <f>IF(M232="","",IF(M232="[FÓRMULA MANUAL]","",IFERROR(SUMPRODUCT((DATOS!$A$2:$A$20000=M232)*(DATOS!$G$2:$G$20000=CONFIG_METADATA!$B$4)*(COUNTIF(CONFIG_ASIGNATURAS!$B$7:$B$27,DATOS!$I$2:$I$20000)&gt;0)*(DATOS!$K$2:$K$20000))/SUMPRODUCT((DATOS!$A$2:$A$20000=M232)*(DATOS!$G$2:$G$20000=CONFIG_METADATA!$B$4)*(COUNTIF(CONFIG_ASIGNATURAS!$B$7:$B$27,DATOS!$I$2:$I$20000)&gt;0)*1),"")))</f>
        <v/>
      </c>
      <c r="T232" t="str">
        <f>IF(S232="","",IF(S232="[FÓRMULA MANUAL]","",IFERROR(AVERAGEIFS(DATOS!$K$2:$K$20000,DATOS!$A$2:$A$20000,S232,DATOS!$G$2:$G$20000,CONFIG_METADATA!$B$4,DATOS!$I$2:$I$20000,"Armonía"),"")))</f>
        <v/>
      </c>
      <c r="U232" t="str">
        <f>IF(S232="","",IF(S232="[FÓRMULA MANUAL]","",IFERROR(AVERAGEIFS(DATOS!$K$2:$K$20000,DATOS!$A$2:$A$20000,S232,DATOS!$G$2:$G$20000,CONFIG_METADATA!$B$4,DATOS!$I$2:$I$20000,"Orquesta/Banda/Conjunto"),"")))</f>
        <v/>
      </c>
      <c r="V232" t="str">
        <f>IF(S232="","",IF(S232="[FÓRMULA MANUAL]","",IFERROR(AVERAGEIFS(DATOS!$K$2:$K$20000,DATOS!$A$2:$A$20000,S232,DATOS!$G$2:$G$20000,CONFIG_METADATA!$B$4,DATOS!$I$2:$I$20000,"Música de Cámara"),"")))</f>
        <v/>
      </c>
      <c r="W232" t="str">
        <f>IF(S232="","",IF(S232="[FÓRMULA MANUAL]","",IFERROR(SUMPRODUCT((DATOS!$A$2:$A$20000=S232)*(DATOS!$G$2:$G$20000=CONFIG_METADATA!$B$4)*(COUNTIF(CONFIG_ASIGNATURAS!$B$7:$B$27,DATOS!$I$2:$I$20000)&gt;0)*(DATOS!$K$2:$K$20000))/SUMPRODUCT((DATOS!$A$2:$A$20000=S232)*(DATOS!$G$2:$G$20000=CONFIG_METADATA!$B$4)*(COUNTIF(CONFIG_ASIGNATURAS!$B$7:$B$27,DATOS!$I$2:$I$20000)&gt;0)*1),"")))</f>
        <v/>
      </c>
      <c r="Z232" t="str">
        <f>IF(Y232="","",IF(Y232="[FÓRMULA MANUAL]","",IFERROR(AVERAGEIFS(DATOS!$K$2:$K$20000,DATOS!$A$2:$A$20000,Y232,DATOS!$G$2:$G$20000,CONFIG_METADATA!$B$4,DATOS!$I$2:$I$20000,"Análisis"),"")))</f>
        <v/>
      </c>
      <c r="AA232" t="str">
        <f>IF(Y232="","",IF(Y232="[FÓRMULA MANUAL]","",IFERROR(AVERAGEIFS(DATOS!$K$2:$K$20000,DATOS!$A$2:$A$20000,Y232,DATOS!$G$2:$G$20000,CONFIG_METADATA!$B$4,DATOS!$I$2:$I$20000,"Orquesta/Banda/Conjunto"),"")))</f>
        <v/>
      </c>
      <c r="AB232" t="str">
        <f>IF(Y232="","",IF(Y232="[FÓRMULA MANUAL]","",IFERROR(AVERAGEIFS(DATOS!$K$2:$K$20000,DATOS!$A$2:$A$20000,Y232,DATOS!$G$2:$G$20000,CONFIG_METADATA!$B$4,DATOS!$I$2:$I$20000,"Música de Cámara"),"")))</f>
        <v/>
      </c>
      <c r="AC232" t="str">
        <f>IF(Y232="","",IF(Y232="[FÓRMULA MANUAL]","",IFERROR(SUMPRODUCT((DATOS!$A$2:$A$20000=Y232)*(DATOS!$G$2:$G$20000=CONFIG_METADATA!$B$4)*(COUNTIF(CONFIG_ASIGNATURAS!$B$7:$B$27,DATOS!$I$2:$I$20000)&gt;0)*(DATOS!$K$2:$K$20000))/SUMPRODUCT((DATOS!$A$2:$A$20000=Y232)*(DATOS!$G$2:$G$20000=CONFIG_METADATA!$B$4)*(COUNTIF(CONFIG_ASIGNATURAS!$B$7:$B$27,DATOS!$I$2:$I$20000)&gt;0)*1),"")))</f>
        <v/>
      </c>
      <c r="AF232" t="str">
        <f>IF(AE232="","",IF(AE232="[FÓRMULA MANUAL]","",IFERROR(AVERAGEIFS(DATOS!$K$2:$K$20000,DATOS!$A$2:$A$20000,AE232,DATOS!$G$2:$G$20000,CONFIG_METADATA!$B$4,DATOS!$I$2:$I$20000,"Análisis"),"")))</f>
        <v/>
      </c>
      <c r="AG232" t="str">
        <f>IF(AE232="","",IF(AE232="[FÓRMULA MANUAL]","",IFERROR(AVERAGEIFS(DATOS!$K$2:$K$20000,DATOS!$A$2:$A$20000,AE232,DATOS!$G$2:$G$20000,CONFIG_METADATA!$B$4,DATOS!$I$2:$I$20000,"Orquesta/Banda/Conjunto"),"")))</f>
        <v/>
      </c>
      <c r="AH232" t="str">
        <f>IF(AE232="","",IF(AE232="[FÓRMULA MANUAL]","",IFERROR(AVERAGEIFS(DATOS!$K$2:$K$20000,DATOS!$A$2:$A$20000,AE232,DATOS!$G$2:$G$20000,CONFIG_METADATA!$B$4,DATOS!$I$2:$I$20000,"Música de Cámara"),"")))</f>
        <v/>
      </c>
      <c r="AI232" t="str">
        <f>IF(AE232="","",IF(AE232="[FÓRMULA MANUAL]","",IFERROR(SUMPRODUCT((DATOS!$A$2:$A$20000=AE232)*(DATOS!$G$2:$G$20000=CONFIG_METADATA!$B$4)*(COUNTIF(CONFIG_ASIGNATURAS!$B$7:$B$27,DATOS!$I$2:$I$20000)&gt;0)*(DATOS!$K$2:$K$20000))/SUMPRODUCT((DATOS!$A$2:$A$20000=AE232)*(DATOS!$G$2:$G$20000=CONFIG_METADATA!$B$4)*(COUNTIF(CONFIG_ASIGNATURAS!$B$7:$B$27,DATOS!$I$2:$I$20000)&gt;0)*1),"")))</f>
        <v/>
      </c>
    </row>
    <row r="233" spans="2:35" x14ac:dyDescent="0.2">
      <c r="B233" t="str">
        <f>IF(A233="","",IF(A233="[FÓRMULA MANUAL]","",IFERROR(AVERAGEIFS(DATOS!$K$2:$K$20000,DATOS!$A$2:$A$20000,A233,DATOS!$G$2:$G$20000,CONFIG_METADATA!$B$4,DATOS!$I$2:$I$20000,"Lenguaje Musical"),"")))</f>
        <v/>
      </c>
      <c r="C233" t="str">
        <f>IF(A233="","",IF(A233="[FÓRMULA MANUAL]","",IFERROR(AVERAGEIFS(DATOS!$K$2:$K$20000,DATOS!$A$2:$A$20000,A233,DATOS!$G$2:$G$20000,CONFIG_METADATA!$B$4,DATOS!$I$2:$I$20000,"Orquesta/Banda/Conjunto"),"")))</f>
        <v/>
      </c>
      <c r="D233" t="str">
        <f>IF(A233="","",IF(A233="[FÓRMULA MANUAL]","",IFERROR(AVERAGEIFS(DATOS!$K$2:$K$20000,DATOS!$A$2:$A$20000,A233,DATOS!$G$2:$G$20000,CONFIG_METADATA!$B$4,DATOS!$I$2:$I$20000,"Conjunto"),"")))</f>
        <v/>
      </c>
      <c r="E233" t="str">
        <f>IF(A233="","",IF(A233="[FÓRMULA MANUAL]","",IFERROR(SUMPRODUCT((DATOS!$A$2:$A$20000=A233)*(DATOS!$G$2:$G$20000=CONFIG_METADATA!$B$4)*(COUNTIF(CONFIG_ASIGNATURAS!$B$7:$B$27,DATOS!$I$2:$I$20000)&gt;0)*(DATOS!$K$2:$K$20000))/SUMPRODUCT((DATOS!$A$2:$A$20000=A233)*(DATOS!$G$2:$G$20000=CONFIG_METADATA!$B$4)*(COUNTIF(CONFIG_ASIGNATURAS!$B$7:$B$27,DATOS!$I$2:$I$20000)&gt;0)*1),"")))</f>
        <v/>
      </c>
      <c r="H233" t="str">
        <f>IF(G233="","",IF(G233="[FÓRMULA MANUAL]","",IFERROR(AVERAGEIFS(DATOS!$K$2:$K$20000,DATOS!$A$2:$A$20000,G233,DATOS!$G$2:$G$20000,CONFIG_METADATA!$B$4,DATOS!$I$2:$I$20000,"Lenguaje Musical"),"")))</f>
        <v/>
      </c>
      <c r="I233" t="str">
        <f>IF(G233="","",IF(G233="[FÓRMULA MANUAL]","",IFERROR(AVERAGEIFS(DATOS!$K$2:$K$20000,DATOS!$A$2:$A$20000,G233,DATOS!$G$2:$G$20000,CONFIG_METADATA!$B$4,DATOS!$I$2:$I$20000,"Orquesta/Banda/Conjunto"),"")))</f>
        <v/>
      </c>
      <c r="J233" t="str">
        <f>IF(G233="","",IF(G233="[FÓRMULA MANUAL]","",IFERROR(AVERAGEIFS(DATOS!$K$2:$K$20000,DATOS!$A$2:$A$20000,G233,DATOS!$G$2:$G$20000,CONFIG_METADATA!$B$4,DATOS!$I$2:$I$20000,"Conjunto"),"")))</f>
        <v/>
      </c>
      <c r="K233" t="str">
        <f>IF(G233="","",IF(G233="[FÓRMULA MANUAL]","",IFERROR(SUMPRODUCT((DATOS!$A$2:$A$20000=G233)*(DATOS!$G$2:$G$20000=CONFIG_METADATA!$B$4)*(COUNTIF(CONFIG_ASIGNATURAS!$B$7:$B$27,DATOS!$I$2:$I$20000)&gt;0)*(DATOS!$K$2:$K$20000))/SUMPRODUCT((DATOS!$A$2:$A$20000=G233)*(DATOS!$G$2:$G$20000=CONFIG_METADATA!$B$4)*(COUNTIF(CONFIG_ASIGNATURAS!$B$7:$B$27,DATOS!$I$2:$I$20000)&gt;0)*1),"")))</f>
        <v/>
      </c>
      <c r="N233" t="str">
        <f>IF(M233="","",IF(M233="[FÓRMULA MANUAL]","",IFERROR(AVERAGEIFS(DATOS!$K$2:$K$20000,DATOS!$A$2:$A$20000,M233,DATOS!$G$2:$G$20000,CONFIG_METADATA!$B$4,DATOS!$I$2:$I$20000,"Armonía"),"")))</f>
        <v/>
      </c>
      <c r="O233" t="str">
        <f>IF(M233="","",IF(M233="[FÓRMULA MANUAL]","",IFERROR(AVERAGEIFS(DATOS!$K$2:$K$20000,DATOS!$A$2:$A$20000,M233,DATOS!$G$2:$G$20000,CONFIG_METADATA!$B$4,DATOS!$I$2:$I$20000,"Orquesta/Banda/Conjunto"),"")))</f>
        <v/>
      </c>
      <c r="P233" t="str">
        <f>IF(M233="","",IF(M233="[FÓRMULA MANUAL]","",IFERROR(AVERAGEIFS(DATOS!$K$2:$K$20000,DATOS!$A$2:$A$20000,M233,DATOS!$G$2:$G$20000,CONFIG_METADATA!$B$4,DATOS!$I$2:$I$20000,"Música de Cámara"),"")))</f>
        <v/>
      </c>
      <c r="Q233" t="str">
        <f>IF(M233="","",IF(M233="[FÓRMULA MANUAL]","",IFERROR(SUMPRODUCT((DATOS!$A$2:$A$20000=M233)*(DATOS!$G$2:$G$20000=CONFIG_METADATA!$B$4)*(COUNTIF(CONFIG_ASIGNATURAS!$B$7:$B$27,DATOS!$I$2:$I$20000)&gt;0)*(DATOS!$K$2:$K$20000))/SUMPRODUCT((DATOS!$A$2:$A$20000=M233)*(DATOS!$G$2:$G$20000=CONFIG_METADATA!$B$4)*(COUNTIF(CONFIG_ASIGNATURAS!$B$7:$B$27,DATOS!$I$2:$I$20000)&gt;0)*1),"")))</f>
        <v/>
      </c>
      <c r="T233" t="str">
        <f>IF(S233="","",IF(S233="[FÓRMULA MANUAL]","",IFERROR(AVERAGEIFS(DATOS!$K$2:$K$20000,DATOS!$A$2:$A$20000,S233,DATOS!$G$2:$G$20000,CONFIG_METADATA!$B$4,DATOS!$I$2:$I$20000,"Armonía"),"")))</f>
        <v/>
      </c>
      <c r="U233" t="str">
        <f>IF(S233="","",IF(S233="[FÓRMULA MANUAL]","",IFERROR(AVERAGEIFS(DATOS!$K$2:$K$20000,DATOS!$A$2:$A$20000,S233,DATOS!$G$2:$G$20000,CONFIG_METADATA!$B$4,DATOS!$I$2:$I$20000,"Orquesta/Banda/Conjunto"),"")))</f>
        <v/>
      </c>
      <c r="V233" t="str">
        <f>IF(S233="","",IF(S233="[FÓRMULA MANUAL]","",IFERROR(AVERAGEIFS(DATOS!$K$2:$K$20000,DATOS!$A$2:$A$20000,S233,DATOS!$G$2:$G$20000,CONFIG_METADATA!$B$4,DATOS!$I$2:$I$20000,"Música de Cámara"),"")))</f>
        <v/>
      </c>
      <c r="W233" t="str">
        <f>IF(S233="","",IF(S233="[FÓRMULA MANUAL]","",IFERROR(SUMPRODUCT((DATOS!$A$2:$A$20000=S233)*(DATOS!$G$2:$G$20000=CONFIG_METADATA!$B$4)*(COUNTIF(CONFIG_ASIGNATURAS!$B$7:$B$27,DATOS!$I$2:$I$20000)&gt;0)*(DATOS!$K$2:$K$20000))/SUMPRODUCT((DATOS!$A$2:$A$20000=S233)*(DATOS!$G$2:$G$20000=CONFIG_METADATA!$B$4)*(COUNTIF(CONFIG_ASIGNATURAS!$B$7:$B$27,DATOS!$I$2:$I$20000)&gt;0)*1),"")))</f>
        <v/>
      </c>
      <c r="Z233" t="str">
        <f>IF(Y233="","",IF(Y233="[FÓRMULA MANUAL]","",IFERROR(AVERAGEIFS(DATOS!$K$2:$K$20000,DATOS!$A$2:$A$20000,Y233,DATOS!$G$2:$G$20000,CONFIG_METADATA!$B$4,DATOS!$I$2:$I$20000,"Análisis"),"")))</f>
        <v/>
      </c>
      <c r="AA233" t="str">
        <f>IF(Y233="","",IF(Y233="[FÓRMULA MANUAL]","",IFERROR(AVERAGEIFS(DATOS!$K$2:$K$20000,DATOS!$A$2:$A$20000,Y233,DATOS!$G$2:$G$20000,CONFIG_METADATA!$B$4,DATOS!$I$2:$I$20000,"Orquesta/Banda/Conjunto"),"")))</f>
        <v/>
      </c>
      <c r="AB233" t="str">
        <f>IF(Y233="","",IF(Y233="[FÓRMULA MANUAL]","",IFERROR(AVERAGEIFS(DATOS!$K$2:$K$20000,DATOS!$A$2:$A$20000,Y233,DATOS!$G$2:$G$20000,CONFIG_METADATA!$B$4,DATOS!$I$2:$I$20000,"Música de Cámara"),"")))</f>
        <v/>
      </c>
      <c r="AC233" t="str">
        <f>IF(Y233="","",IF(Y233="[FÓRMULA MANUAL]","",IFERROR(SUMPRODUCT((DATOS!$A$2:$A$20000=Y233)*(DATOS!$G$2:$G$20000=CONFIG_METADATA!$B$4)*(COUNTIF(CONFIG_ASIGNATURAS!$B$7:$B$27,DATOS!$I$2:$I$20000)&gt;0)*(DATOS!$K$2:$K$20000))/SUMPRODUCT((DATOS!$A$2:$A$20000=Y233)*(DATOS!$G$2:$G$20000=CONFIG_METADATA!$B$4)*(COUNTIF(CONFIG_ASIGNATURAS!$B$7:$B$27,DATOS!$I$2:$I$20000)&gt;0)*1),"")))</f>
        <v/>
      </c>
      <c r="AF233" t="str">
        <f>IF(AE233="","",IF(AE233="[FÓRMULA MANUAL]","",IFERROR(AVERAGEIFS(DATOS!$K$2:$K$20000,DATOS!$A$2:$A$20000,AE233,DATOS!$G$2:$G$20000,CONFIG_METADATA!$B$4,DATOS!$I$2:$I$20000,"Análisis"),"")))</f>
        <v/>
      </c>
      <c r="AG233" t="str">
        <f>IF(AE233="","",IF(AE233="[FÓRMULA MANUAL]","",IFERROR(AVERAGEIFS(DATOS!$K$2:$K$20000,DATOS!$A$2:$A$20000,AE233,DATOS!$G$2:$G$20000,CONFIG_METADATA!$B$4,DATOS!$I$2:$I$20000,"Orquesta/Banda/Conjunto"),"")))</f>
        <v/>
      </c>
      <c r="AH233" t="str">
        <f>IF(AE233="","",IF(AE233="[FÓRMULA MANUAL]","",IFERROR(AVERAGEIFS(DATOS!$K$2:$K$20000,DATOS!$A$2:$A$20000,AE233,DATOS!$G$2:$G$20000,CONFIG_METADATA!$B$4,DATOS!$I$2:$I$20000,"Música de Cámara"),"")))</f>
        <v/>
      </c>
      <c r="AI233" t="str">
        <f>IF(AE233="","",IF(AE233="[FÓRMULA MANUAL]","",IFERROR(SUMPRODUCT((DATOS!$A$2:$A$20000=AE233)*(DATOS!$G$2:$G$20000=CONFIG_METADATA!$B$4)*(COUNTIF(CONFIG_ASIGNATURAS!$B$7:$B$27,DATOS!$I$2:$I$20000)&gt;0)*(DATOS!$K$2:$K$20000))/SUMPRODUCT((DATOS!$A$2:$A$20000=AE233)*(DATOS!$G$2:$G$20000=CONFIG_METADATA!$B$4)*(COUNTIF(CONFIG_ASIGNATURAS!$B$7:$B$27,DATOS!$I$2:$I$20000)&gt;0)*1),"")))</f>
        <v/>
      </c>
    </row>
    <row r="234" spans="2:35" x14ac:dyDescent="0.2">
      <c r="B234" t="str">
        <f>IF(A234="","",IF(A234="[FÓRMULA MANUAL]","",IFERROR(AVERAGEIFS(DATOS!$K$2:$K$20000,DATOS!$A$2:$A$20000,A234,DATOS!$G$2:$G$20000,CONFIG_METADATA!$B$4,DATOS!$I$2:$I$20000,"Lenguaje Musical"),"")))</f>
        <v/>
      </c>
      <c r="C234" t="str">
        <f>IF(A234="","",IF(A234="[FÓRMULA MANUAL]","",IFERROR(AVERAGEIFS(DATOS!$K$2:$K$20000,DATOS!$A$2:$A$20000,A234,DATOS!$G$2:$G$20000,CONFIG_METADATA!$B$4,DATOS!$I$2:$I$20000,"Orquesta/Banda/Conjunto"),"")))</f>
        <v/>
      </c>
      <c r="D234" t="str">
        <f>IF(A234="","",IF(A234="[FÓRMULA MANUAL]","",IFERROR(AVERAGEIFS(DATOS!$K$2:$K$20000,DATOS!$A$2:$A$20000,A234,DATOS!$G$2:$G$20000,CONFIG_METADATA!$B$4,DATOS!$I$2:$I$20000,"Conjunto"),"")))</f>
        <v/>
      </c>
      <c r="E234" t="str">
        <f>IF(A234="","",IF(A234="[FÓRMULA MANUAL]","",IFERROR(SUMPRODUCT((DATOS!$A$2:$A$20000=A234)*(DATOS!$G$2:$G$20000=CONFIG_METADATA!$B$4)*(COUNTIF(CONFIG_ASIGNATURAS!$B$7:$B$27,DATOS!$I$2:$I$20000)&gt;0)*(DATOS!$K$2:$K$20000))/SUMPRODUCT((DATOS!$A$2:$A$20000=A234)*(DATOS!$G$2:$G$20000=CONFIG_METADATA!$B$4)*(COUNTIF(CONFIG_ASIGNATURAS!$B$7:$B$27,DATOS!$I$2:$I$20000)&gt;0)*1),"")))</f>
        <v/>
      </c>
      <c r="H234" t="str">
        <f>IF(G234="","",IF(G234="[FÓRMULA MANUAL]","",IFERROR(AVERAGEIFS(DATOS!$K$2:$K$20000,DATOS!$A$2:$A$20000,G234,DATOS!$G$2:$G$20000,CONFIG_METADATA!$B$4,DATOS!$I$2:$I$20000,"Lenguaje Musical"),"")))</f>
        <v/>
      </c>
      <c r="I234" t="str">
        <f>IF(G234="","",IF(G234="[FÓRMULA MANUAL]","",IFERROR(AVERAGEIFS(DATOS!$K$2:$K$20000,DATOS!$A$2:$A$20000,G234,DATOS!$G$2:$G$20000,CONFIG_METADATA!$B$4,DATOS!$I$2:$I$20000,"Orquesta/Banda/Conjunto"),"")))</f>
        <v/>
      </c>
      <c r="J234" t="str">
        <f>IF(G234="","",IF(G234="[FÓRMULA MANUAL]","",IFERROR(AVERAGEIFS(DATOS!$K$2:$K$20000,DATOS!$A$2:$A$20000,G234,DATOS!$G$2:$G$20000,CONFIG_METADATA!$B$4,DATOS!$I$2:$I$20000,"Conjunto"),"")))</f>
        <v/>
      </c>
      <c r="K234" t="str">
        <f>IF(G234="","",IF(G234="[FÓRMULA MANUAL]","",IFERROR(SUMPRODUCT((DATOS!$A$2:$A$20000=G234)*(DATOS!$G$2:$G$20000=CONFIG_METADATA!$B$4)*(COUNTIF(CONFIG_ASIGNATURAS!$B$7:$B$27,DATOS!$I$2:$I$20000)&gt;0)*(DATOS!$K$2:$K$20000))/SUMPRODUCT((DATOS!$A$2:$A$20000=G234)*(DATOS!$G$2:$G$20000=CONFIG_METADATA!$B$4)*(COUNTIF(CONFIG_ASIGNATURAS!$B$7:$B$27,DATOS!$I$2:$I$20000)&gt;0)*1),"")))</f>
        <v/>
      </c>
      <c r="N234" t="str">
        <f>IF(M234="","",IF(M234="[FÓRMULA MANUAL]","",IFERROR(AVERAGEIFS(DATOS!$K$2:$K$20000,DATOS!$A$2:$A$20000,M234,DATOS!$G$2:$G$20000,CONFIG_METADATA!$B$4,DATOS!$I$2:$I$20000,"Armonía"),"")))</f>
        <v/>
      </c>
      <c r="O234" t="str">
        <f>IF(M234="","",IF(M234="[FÓRMULA MANUAL]","",IFERROR(AVERAGEIFS(DATOS!$K$2:$K$20000,DATOS!$A$2:$A$20000,M234,DATOS!$G$2:$G$20000,CONFIG_METADATA!$B$4,DATOS!$I$2:$I$20000,"Orquesta/Banda/Conjunto"),"")))</f>
        <v/>
      </c>
      <c r="P234" t="str">
        <f>IF(M234="","",IF(M234="[FÓRMULA MANUAL]","",IFERROR(AVERAGEIFS(DATOS!$K$2:$K$20000,DATOS!$A$2:$A$20000,M234,DATOS!$G$2:$G$20000,CONFIG_METADATA!$B$4,DATOS!$I$2:$I$20000,"Música de Cámara"),"")))</f>
        <v/>
      </c>
      <c r="Q234" t="str">
        <f>IF(M234="","",IF(M234="[FÓRMULA MANUAL]","",IFERROR(SUMPRODUCT((DATOS!$A$2:$A$20000=M234)*(DATOS!$G$2:$G$20000=CONFIG_METADATA!$B$4)*(COUNTIF(CONFIG_ASIGNATURAS!$B$7:$B$27,DATOS!$I$2:$I$20000)&gt;0)*(DATOS!$K$2:$K$20000))/SUMPRODUCT((DATOS!$A$2:$A$20000=M234)*(DATOS!$G$2:$G$20000=CONFIG_METADATA!$B$4)*(COUNTIF(CONFIG_ASIGNATURAS!$B$7:$B$27,DATOS!$I$2:$I$20000)&gt;0)*1),"")))</f>
        <v/>
      </c>
      <c r="T234" t="str">
        <f>IF(S234="","",IF(S234="[FÓRMULA MANUAL]","",IFERROR(AVERAGEIFS(DATOS!$K$2:$K$20000,DATOS!$A$2:$A$20000,S234,DATOS!$G$2:$G$20000,CONFIG_METADATA!$B$4,DATOS!$I$2:$I$20000,"Armonía"),"")))</f>
        <v/>
      </c>
      <c r="U234" t="str">
        <f>IF(S234="","",IF(S234="[FÓRMULA MANUAL]","",IFERROR(AVERAGEIFS(DATOS!$K$2:$K$20000,DATOS!$A$2:$A$20000,S234,DATOS!$G$2:$G$20000,CONFIG_METADATA!$B$4,DATOS!$I$2:$I$20000,"Orquesta/Banda/Conjunto"),"")))</f>
        <v/>
      </c>
      <c r="V234" t="str">
        <f>IF(S234="","",IF(S234="[FÓRMULA MANUAL]","",IFERROR(AVERAGEIFS(DATOS!$K$2:$K$20000,DATOS!$A$2:$A$20000,S234,DATOS!$G$2:$G$20000,CONFIG_METADATA!$B$4,DATOS!$I$2:$I$20000,"Música de Cámara"),"")))</f>
        <v/>
      </c>
      <c r="W234" t="str">
        <f>IF(S234="","",IF(S234="[FÓRMULA MANUAL]","",IFERROR(SUMPRODUCT((DATOS!$A$2:$A$20000=S234)*(DATOS!$G$2:$G$20000=CONFIG_METADATA!$B$4)*(COUNTIF(CONFIG_ASIGNATURAS!$B$7:$B$27,DATOS!$I$2:$I$20000)&gt;0)*(DATOS!$K$2:$K$20000))/SUMPRODUCT((DATOS!$A$2:$A$20000=S234)*(DATOS!$G$2:$G$20000=CONFIG_METADATA!$B$4)*(COUNTIF(CONFIG_ASIGNATURAS!$B$7:$B$27,DATOS!$I$2:$I$20000)&gt;0)*1),"")))</f>
        <v/>
      </c>
      <c r="Z234" t="str">
        <f>IF(Y234="","",IF(Y234="[FÓRMULA MANUAL]","",IFERROR(AVERAGEIFS(DATOS!$K$2:$K$20000,DATOS!$A$2:$A$20000,Y234,DATOS!$G$2:$G$20000,CONFIG_METADATA!$B$4,DATOS!$I$2:$I$20000,"Análisis"),"")))</f>
        <v/>
      </c>
      <c r="AA234" t="str">
        <f>IF(Y234="","",IF(Y234="[FÓRMULA MANUAL]","",IFERROR(AVERAGEIFS(DATOS!$K$2:$K$20000,DATOS!$A$2:$A$20000,Y234,DATOS!$G$2:$G$20000,CONFIG_METADATA!$B$4,DATOS!$I$2:$I$20000,"Orquesta/Banda/Conjunto"),"")))</f>
        <v/>
      </c>
      <c r="AB234" t="str">
        <f>IF(Y234="","",IF(Y234="[FÓRMULA MANUAL]","",IFERROR(AVERAGEIFS(DATOS!$K$2:$K$20000,DATOS!$A$2:$A$20000,Y234,DATOS!$G$2:$G$20000,CONFIG_METADATA!$B$4,DATOS!$I$2:$I$20000,"Música de Cámara"),"")))</f>
        <v/>
      </c>
      <c r="AC234" t="str">
        <f>IF(Y234="","",IF(Y234="[FÓRMULA MANUAL]","",IFERROR(SUMPRODUCT((DATOS!$A$2:$A$20000=Y234)*(DATOS!$G$2:$G$20000=CONFIG_METADATA!$B$4)*(COUNTIF(CONFIG_ASIGNATURAS!$B$7:$B$27,DATOS!$I$2:$I$20000)&gt;0)*(DATOS!$K$2:$K$20000))/SUMPRODUCT((DATOS!$A$2:$A$20000=Y234)*(DATOS!$G$2:$G$20000=CONFIG_METADATA!$B$4)*(COUNTIF(CONFIG_ASIGNATURAS!$B$7:$B$27,DATOS!$I$2:$I$20000)&gt;0)*1),"")))</f>
        <v/>
      </c>
      <c r="AF234" t="str">
        <f>IF(AE234="","",IF(AE234="[FÓRMULA MANUAL]","",IFERROR(AVERAGEIFS(DATOS!$K$2:$K$20000,DATOS!$A$2:$A$20000,AE234,DATOS!$G$2:$G$20000,CONFIG_METADATA!$B$4,DATOS!$I$2:$I$20000,"Análisis"),"")))</f>
        <v/>
      </c>
      <c r="AG234" t="str">
        <f>IF(AE234="","",IF(AE234="[FÓRMULA MANUAL]","",IFERROR(AVERAGEIFS(DATOS!$K$2:$K$20000,DATOS!$A$2:$A$20000,AE234,DATOS!$G$2:$G$20000,CONFIG_METADATA!$B$4,DATOS!$I$2:$I$20000,"Orquesta/Banda/Conjunto"),"")))</f>
        <v/>
      </c>
      <c r="AH234" t="str">
        <f>IF(AE234="","",IF(AE234="[FÓRMULA MANUAL]","",IFERROR(AVERAGEIFS(DATOS!$K$2:$K$20000,DATOS!$A$2:$A$20000,AE234,DATOS!$G$2:$G$20000,CONFIG_METADATA!$B$4,DATOS!$I$2:$I$20000,"Música de Cámara"),"")))</f>
        <v/>
      </c>
      <c r="AI234" t="str">
        <f>IF(AE234="","",IF(AE234="[FÓRMULA MANUAL]","",IFERROR(SUMPRODUCT((DATOS!$A$2:$A$20000=AE234)*(DATOS!$G$2:$G$20000=CONFIG_METADATA!$B$4)*(COUNTIF(CONFIG_ASIGNATURAS!$B$7:$B$27,DATOS!$I$2:$I$20000)&gt;0)*(DATOS!$K$2:$K$20000))/SUMPRODUCT((DATOS!$A$2:$A$20000=AE234)*(DATOS!$G$2:$G$20000=CONFIG_METADATA!$B$4)*(COUNTIF(CONFIG_ASIGNATURAS!$B$7:$B$27,DATOS!$I$2:$I$20000)&gt;0)*1),"")))</f>
        <v/>
      </c>
    </row>
    <row r="235" spans="2:35" x14ac:dyDescent="0.2">
      <c r="B235" t="str">
        <f>IF(A235="","",IF(A235="[FÓRMULA MANUAL]","",IFERROR(AVERAGEIFS(DATOS!$K$2:$K$20000,DATOS!$A$2:$A$20000,A235,DATOS!$G$2:$G$20000,CONFIG_METADATA!$B$4,DATOS!$I$2:$I$20000,"Lenguaje Musical"),"")))</f>
        <v/>
      </c>
      <c r="C235" t="str">
        <f>IF(A235="","",IF(A235="[FÓRMULA MANUAL]","",IFERROR(AVERAGEIFS(DATOS!$K$2:$K$20000,DATOS!$A$2:$A$20000,A235,DATOS!$G$2:$G$20000,CONFIG_METADATA!$B$4,DATOS!$I$2:$I$20000,"Orquesta/Banda/Conjunto"),"")))</f>
        <v/>
      </c>
      <c r="D235" t="str">
        <f>IF(A235="","",IF(A235="[FÓRMULA MANUAL]","",IFERROR(AVERAGEIFS(DATOS!$K$2:$K$20000,DATOS!$A$2:$A$20000,A235,DATOS!$G$2:$G$20000,CONFIG_METADATA!$B$4,DATOS!$I$2:$I$20000,"Conjunto"),"")))</f>
        <v/>
      </c>
      <c r="E235" t="str">
        <f>IF(A235="","",IF(A235="[FÓRMULA MANUAL]","",IFERROR(SUMPRODUCT((DATOS!$A$2:$A$20000=A235)*(DATOS!$G$2:$G$20000=CONFIG_METADATA!$B$4)*(COUNTIF(CONFIG_ASIGNATURAS!$B$7:$B$27,DATOS!$I$2:$I$20000)&gt;0)*(DATOS!$K$2:$K$20000))/SUMPRODUCT((DATOS!$A$2:$A$20000=A235)*(DATOS!$G$2:$G$20000=CONFIG_METADATA!$B$4)*(COUNTIF(CONFIG_ASIGNATURAS!$B$7:$B$27,DATOS!$I$2:$I$20000)&gt;0)*1),"")))</f>
        <v/>
      </c>
      <c r="H235" t="str">
        <f>IF(G235="","",IF(G235="[FÓRMULA MANUAL]","",IFERROR(AVERAGEIFS(DATOS!$K$2:$K$20000,DATOS!$A$2:$A$20000,G235,DATOS!$G$2:$G$20000,CONFIG_METADATA!$B$4,DATOS!$I$2:$I$20000,"Lenguaje Musical"),"")))</f>
        <v/>
      </c>
      <c r="I235" t="str">
        <f>IF(G235="","",IF(G235="[FÓRMULA MANUAL]","",IFERROR(AVERAGEIFS(DATOS!$K$2:$K$20000,DATOS!$A$2:$A$20000,G235,DATOS!$G$2:$G$20000,CONFIG_METADATA!$B$4,DATOS!$I$2:$I$20000,"Orquesta/Banda/Conjunto"),"")))</f>
        <v/>
      </c>
      <c r="J235" t="str">
        <f>IF(G235="","",IF(G235="[FÓRMULA MANUAL]","",IFERROR(AVERAGEIFS(DATOS!$K$2:$K$20000,DATOS!$A$2:$A$20000,G235,DATOS!$G$2:$G$20000,CONFIG_METADATA!$B$4,DATOS!$I$2:$I$20000,"Conjunto"),"")))</f>
        <v/>
      </c>
      <c r="K235" t="str">
        <f>IF(G235="","",IF(G235="[FÓRMULA MANUAL]","",IFERROR(SUMPRODUCT((DATOS!$A$2:$A$20000=G235)*(DATOS!$G$2:$G$20000=CONFIG_METADATA!$B$4)*(COUNTIF(CONFIG_ASIGNATURAS!$B$7:$B$27,DATOS!$I$2:$I$20000)&gt;0)*(DATOS!$K$2:$K$20000))/SUMPRODUCT((DATOS!$A$2:$A$20000=G235)*(DATOS!$G$2:$G$20000=CONFIG_METADATA!$B$4)*(COUNTIF(CONFIG_ASIGNATURAS!$B$7:$B$27,DATOS!$I$2:$I$20000)&gt;0)*1),"")))</f>
        <v/>
      </c>
      <c r="N235" t="str">
        <f>IF(M235="","",IF(M235="[FÓRMULA MANUAL]","",IFERROR(AVERAGEIFS(DATOS!$K$2:$K$20000,DATOS!$A$2:$A$20000,M235,DATOS!$G$2:$G$20000,CONFIG_METADATA!$B$4,DATOS!$I$2:$I$20000,"Armonía"),"")))</f>
        <v/>
      </c>
      <c r="O235" t="str">
        <f>IF(M235="","",IF(M235="[FÓRMULA MANUAL]","",IFERROR(AVERAGEIFS(DATOS!$K$2:$K$20000,DATOS!$A$2:$A$20000,M235,DATOS!$G$2:$G$20000,CONFIG_METADATA!$B$4,DATOS!$I$2:$I$20000,"Orquesta/Banda/Conjunto"),"")))</f>
        <v/>
      </c>
      <c r="P235" t="str">
        <f>IF(M235="","",IF(M235="[FÓRMULA MANUAL]","",IFERROR(AVERAGEIFS(DATOS!$K$2:$K$20000,DATOS!$A$2:$A$20000,M235,DATOS!$G$2:$G$20000,CONFIG_METADATA!$B$4,DATOS!$I$2:$I$20000,"Música de Cámara"),"")))</f>
        <v/>
      </c>
      <c r="Q235" t="str">
        <f>IF(M235="","",IF(M235="[FÓRMULA MANUAL]","",IFERROR(SUMPRODUCT((DATOS!$A$2:$A$20000=M235)*(DATOS!$G$2:$G$20000=CONFIG_METADATA!$B$4)*(COUNTIF(CONFIG_ASIGNATURAS!$B$7:$B$27,DATOS!$I$2:$I$20000)&gt;0)*(DATOS!$K$2:$K$20000))/SUMPRODUCT((DATOS!$A$2:$A$20000=M235)*(DATOS!$G$2:$G$20000=CONFIG_METADATA!$B$4)*(COUNTIF(CONFIG_ASIGNATURAS!$B$7:$B$27,DATOS!$I$2:$I$20000)&gt;0)*1),"")))</f>
        <v/>
      </c>
      <c r="T235" t="str">
        <f>IF(S235="","",IF(S235="[FÓRMULA MANUAL]","",IFERROR(AVERAGEIFS(DATOS!$K$2:$K$20000,DATOS!$A$2:$A$20000,S235,DATOS!$G$2:$G$20000,CONFIG_METADATA!$B$4,DATOS!$I$2:$I$20000,"Armonía"),"")))</f>
        <v/>
      </c>
      <c r="U235" t="str">
        <f>IF(S235="","",IF(S235="[FÓRMULA MANUAL]","",IFERROR(AVERAGEIFS(DATOS!$K$2:$K$20000,DATOS!$A$2:$A$20000,S235,DATOS!$G$2:$G$20000,CONFIG_METADATA!$B$4,DATOS!$I$2:$I$20000,"Orquesta/Banda/Conjunto"),"")))</f>
        <v/>
      </c>
      <c r="V235" t="str">
        <f>IF(S235="","",IF(S235="[FÓRMULA MANUAL]","",IFERROR(AVERAGEIFS(DATOS!$K$2:$K$20000,DATOS!$A$2:$A$20000,S235,DATOS!$G$2:$G$20000,CONFIG_METADATA!$B$4,DATOS!$I$2:$I$20000,"Música de Cámara"),"")))</f>
        <v/>
      </c>
      <c r="W235" t="str">
        <f>IF(S235="","",IF(S235="[FÓRMULA MANUAL]","",IFERROR(SUMPRODUCT((DATOS!$A$2:$A$20000=S235)*(DATOS!$G$2:$G$20000=CONFIG_METADATA!$B$4)*(COUNTIF(CONFIG_ASIGNATURAS!$B$7:$B$27,DATOS!$I$2:$I$20000)&gt;0)*(DATOS!$K$2:$K$20000))/SUMPRODUCT((DATOS!$A$2:$A$20000=S235)*(DATOS!$G$2:$G$20000=CONFIG_METADATA!$B$4)*(COUNTIF(CONFIG_ASIGNATURAS!$B$7:$B$27,DATOS!$I$2:$I$20000)&gt;0)*1),"")))</f>
        <v/>
      </c>
      <c r="Z235" t="str">
        <f>IF(Y235="","",IF(Y235="[FÓRMULA MANUAL]","",IFERROR(AVERAGEIFS(DATOS!$K$2:$K$20000,DATOS!$A$2:$A$20000,Y235,DATOS!$G$2:$G$20000,CONFIG_METADATA!$B$4,DATOS!$I$2:$I$20000,"Análisis"),"")))</f>
        <v/>
      </c>
      <c r="AA235" t="str">
        <f>IF(Y235="","",IF(Y235="[FÓRMULA MANUAL]","",IFERROR(AVERAGEIFS(DATOS!$K$2:$K$20000,DATOS!$A$2:$A$20000,Y235,DATOS!$G$2:$G$20000,CONFIG_METADATA!$B$4,DATOS!$I$2:$I$20000,"Orquesta/Banda/Conjunto"),"")))</f>
        <v/>
      </c>
      <c r="AB235" t="str">
        <f>IF(Y235="","",IF(Y235="[FÓRMULA MANUAL]","",IFERROR(AVERAGEIFS(DATOS!$K$2:$K$20000,DATOS!$A$2:$A$20000,Y235,DATOS!$G$2:$G$20000,CONFIG_METADATA!$B$4,DATOS!$I$2:$I$20000,"Música de Cámara"),"")))</f>
        <v/>
      </c>
      <c r="AC235" t="str">
        <f>IF(Y235="","",IF(Y235="[FÓRMULA MANUAL]","",IFERROR(SUMPRODUCT((DATOS!$A$2:$A$20000=Y235)*(DATOS!$G$2:$G$20000=CONFIG_METADATA!$B$4)*(COUNTIF(CONFIG_ASIGNATURAS!$B$7:$B$27,DATOS!$I$2:$I$20000)&gt;0)*(DATOS!$K$2:$K$20000))/SUMPRODUCT((DATOS!$A$2:$A$20000=Y235)*(DATOS!$G$2:$G$20000=CONFIG_METADATA!$B$4)*(COUNTIF(CONFIG_ASIGNATURAS!$B$7:$B$27,DATOS!$I$2:$I$20000)&gt;0)*1),"")))</f>
        <v/>
      </c>
      <c r="AF235" t="str">
        <f>IF(AE235="","",IF(AE235="[FÓRMULA MANUAL]","",IFERROR(AVERAGEIFS(DATOS!$K$2:$K$20000,DATOS!$A$2:$A$20000,AE235,DATOS!$G$2:$G$20000,CONFIG_METADATA!$B$4,DATOS!$I$2:$I$20000,"Análisis"),"")))</f>
        <v/>
      </c>
      <c r="AG235" t="str">
        <f>IF(AE235="","",IF(AE235="[FÓRMULA MANUAL]","",IFERROR(AVERAGEIFS(DATOS!$K$2:$K$20000,DATOS!$A$2:$A$20000,AE235,DATOS!$G$2:$G$20000,CONFIG_METADATA!$B$4,DATOS!$I$2:$I$20000,"Orquesta/Banda/Conjunto"),"")))</f>
        <v/>
      </c>
      <c r="AH235" t="str">
        <f>IF(AE235="","",IF(AE235="[FÓRMULA MANUAL]","",IFERROR(AVERAGEIFS(DATOS!$K$2:$K$20000,DATOS!$A$2:$A$20000,AE235,DATOS!$G$2:$G$20000,CONFIG_METADATA!$B$4,DATOS!$I$2:$I$20000,"Música de Cámara"),"")))</f>
        <v/>
      </c>
      <c r="AI235" t="str">
        <f>IF(AE235="","",IF(AE235="[FÓRMULA MANUAL]","",IFERROR(SUMPRODUCT((DATOS!$A$2:$A$20000=AE235)*(DATOS!$G$2:$G$20000=CONFIG_METADATA!$B$4)*(COUNTIF(CONFIG_ASIGNATURAS!$B$7:$B$27,DATOS!$I$2:$I$20000)&gt;0)*(DATOS!$K$2:$K$20000))/SUMPRODUCT((DATOS!$A$2:$A$20000=AE235)*(DATOS!$G$2:$G$20000=CONFIG_METADATA!$B$4)*(COUNTIF(CONFIG_ASIGNATURAS!$B$7:$B$27,DATOS!$I$2:$I$20000)&gt;0)*1),"")))</f>
        <v/>
      </c>
    </row>
    <row r="236" spans="2:35" x14ac:dyDescent="0.2">
      <c r="B236" t="str">
        <f>IF(A236="","",IF(A236="[FÓRMULA MANUAL]","",IFERROR(AVERAGEIFS(DATOS!$K$2:$K$20000,DATOS!$A$2:$A$20000,A236,DATOS!$G$2:$G$20000,CONFIG_METADATA!$B$4,DATOS!$I$2:$I$20000,"Lenguaje Musical"),"")))</f>
        <v/>
      </c>
      <c r="C236" t="str">
        <f>IF(A236="","",IF(A236="[FÓRMULA MANUAL]","",IFERROR(AVERAGEIFS(DATOS!$K$2:$K$20000,DATOS!$A$2:$A$20000,A236,DATOS!$G$2:$G$20000,CONFIG_METADATA!$B$4,DATOS!$I$2:$I$20000,"Orquesta/Banda/Conjunto"),"")))</f>
        <v/>
      </c>
      <c r="D236" t="str">
        <f>IF(A236="","",IF(A236="[FÓRMULA MANUAL]","",IFERROR(AVERAGEIFS(DATOS!$K$2:$K$20000,DATOS!$A$2:$A$20000,A236,DATOS!$G$2:$G$20000,CONFIG_METADATA!$B$4,DATOS!$I$2:$I$20000,"Conjunto"),"")))</f>
        <v/>
      </c>
      <c r="E236" t="str">
        <f>IF(A236="","",IF(A236="[FÓRMULA MANUAL]","",IFERROR(SUMPRODUCT((DATOS!$A$2:$A$20000=A236)*(DATOS!$G$2:$G$20000=CONFIG_METADATA!$B$4)*(COUNTIF(CONFIG_ASIGNATURAS!$B$7:$B$27,DATOS!$I$2:$I$20000)&gt;0)*(DATOS!$K$2:$K$20000))/SUMPRODUCT((DATOS!$A$2:$A$20000=A236)*(DATOS!$G$2:$G$20000=CONFIG_METADATA!$B$4)*(COUNTIF(CONFIG_ASIGNATURAS!$B$7:$B$27,DATOS!$I$2:$I$20000)&gt;0)*1),"")))</f>
        <v/>
      </c>
      <c r="H236" t="str">
        <f>IF(G236="","",IF(G236="[FÓRMULA MANUAL]","",IFERROR(AVERAGEIFS(DATOS!$K$2:$K$20000,DATOS!$A$2:$A$20000,G236,DATOS!$G$2:$G$20000,CONFIG_METADATA!$B$4,DATOS!$I$2:$I$20000,"Lenguaje Musical"),"")))</f>
        <v/>
      </c>
      <c r="I236" t="str">
        <f>IF(G236="","",IF(G236="[FÓRMULA MANUAL]","",IFERROR(AVERAGEIFS(DATOS!$K$2:$K$20000,DATOS!$A$2:$A$20000,G236,DATOS!$G$2:$G$20000,CONFIG_METADATA!$B$4,DATOS!$I$2:$I$20000,"Orquesta/Banda/Conjunto"),"")))</f>
        <v/>
      </c>
      <c r="J236" t="str">
        <f>IF(G236="","",IF(G236="[FÓRMULA MANUAL]","",IFERROR(AVERAGEIFS(DATOS!$K$2:$K$20000,DATOS!$A$2:$A$20000,G236,DATOS!$G$2:$G$20000,CONFIG_METADATA!$B$4,DATOS!$I$2:$I$20000,"Conjunto"),"")))</f>
        <v/>
      </c>
      <c r="K236" t="str">
        <f>IF(G236="","",IF(G236="[FÓRMULA MANUAL]","",IFERROR(SUMPRODUCT((DATOS!$A$2:$A$20000=G236)*(DATOS!$G$2:$G$20000=CONFIG_METADATA!$B$4)*(COUNTIF(CONFIG_ASIGNATURAS!$B$7:$B$27,DATOS!$I$2:$I$20000)&gt;0)*(DATOS!$K$2:$K$20000))/SUMPRODUCT((DATOS!$A$2:$A$20000=G236)*(DATOS!$G$2:$G$20000=CONFIG_METADATA!$B$4)*(COUNTIF(CONFIG_ASIGNATURAS!$B$7:$B$27,DATOS!$I$2:$I$20000)&gt;0)*1),"")))</f>
        <v/>
      </c>
      <c r="N236" t="str">
        <f>IF(M236="","",IF(M236="[FÓRMULA MANUAL]","",IFERROR(AVERAGEIFS(DATOS!$K$2:$K$20000,DATOS!$A$2:$A$20000,M236,DATOS!$G$2:$G$20000,CONFIG_METADATA!$B$4,DATOS!$I$2:$I$20000,"Armonía"),"")))</f>
        <v/>
      </c>
      <c r="O236" t="str">
        <f>IF(M236="","",IF(M236="[FÓRMULA MANUAL]","",IFERROR(AVERAGEIFS(DATOS!$K$2:$K$20000,DATOS!$A$2:$A$20000,M236,DATOS!$G$2:$G$20000,CONFIG_METADATA!$B$4,DATOS!$I$2:$I$20000,"Orquesta/Banda/Conjunto"),"")))</f>
        <v/>
      </c>
      <c r="P236" t="str">
        <f>IF(M236="","",IF(M236="[FÓRMULA MANUAL]","",IFERROR(AVERAGEIFS(DATOS!$K$2:$K$20000,DATOS!$A$2:$A$20000,M236,DATOS!$G$2:$G$20000,CONFIG_METADATA!$B$4,DATOS!$I$2:$I$20000,"Música de Cámara"),"")))</f>
        <v/>
      </c>
      <c r="Q236" t="str">
        <f>IF(M236="","",IF(M236="[FÓRMULA MANUAL]","",IFERROR(SUMPRODUCT((DATOS!$A$2:$A$20000=M236)*(DATOS!$G$2:$G$20000=CONFIG_METADATA!$B$4)*(COUNTIF(CONFIG_ASIGNATURAS!$B$7:$B$27,DATOS!$I$2:$I$20000)&gt;0)*(DATOS!$K$2:$K$20000))/SUMPRODUCT((DATOS!$A$2:$A$20000=M236)*(DATOS!$G$2:$G$20000=CONFIG_METADATA!$B$4)*(COUNTIF(CONFIG_ASIGNATURAS!$B$7:$B$27,DATOS!$I$2:$I$20000)&gt;0)*1),"")))</f>
        <v/>
      </c>
      <c r="T236" t="str">
        <f>IF(S236="","",IF(S236="[FÓRMULA MANUAL]","",IFERROR(AVERAGEIFS(DATOS!$K$2:$K$20000,DATOS!$A$2:$A$20000,S236,DATOS!$G$2:$G$20000,CONFIG_METADATA!$B$4,DATOS!$I$2:$I$20000,"Armonía"),"")))</f>
        <v/>
      </c>
      <c r="U236" t="str">
        <f>IF(S236="","",IF(S236="[FÓRMULA MANUAL]","",IFERROR(AVERAGEIFS(DATOS!$K$2:$K$20000,DATOS!$A$2:$A$20000,S236,DATOS!$G$2:$G$20000,CONFIG_METADATA!$B$4,DATOS!$I$2:$I$20000,"Orquesta/Banda/Conjunto"),"")))</f>
        <v/>
      </c>
      <c r="V236" t="str">
        <f>IF(S236="","",IF(S236="[FÓRMULA MANUAL]","",IFERROR(AVERAGEIFS(DATOS!$K$2:$K$20000,DATOS!$A$2:$A$20000,S236,DATOS!$G$2:$G$20000,CONFIG_METADATA!$B$4,DATOS!$I$2:$I$20000,"Música de Cámara"),"")))</f>
        <v/>
      </c>
      <c r="W236" t="str">
        <f>IF(S236="","",IF(S236="[FÓRMULA MANUAL]","",IFERROR(SUMPRODUCT((DATOS!$A$2:$A$20000=S236)*(DATOS!$G$2:$G$20000=CONFIG_METADATA!$B$4)*(COUNTIF(CONFIG_ASIGNATURAS!$B$7:$B$27,DATOS!$I$2:$I$20000)&gt;0)*(DATOS!$K$2:$K$20000))/SUMPRODUCT((DATOS!$A$2:$A$20000=S236)*(DATOS!$G$2:$G$20000=CONFIG_METADATA!$B$4)*(COUNTIF(CONFIG_ASIGNATURAS!$B$7:$B$27,DATOS!$I$2:$I$20000)&gt;0)*1),"")))</f>
        <v/>
      </c>
      <c r="Z236" t="str">
        <f>IF(Y236="","",IF(Y236="[FÓRMULA MANUAL]","",IFERROR(AVERAGEIFS(DATOS!$K$2:$K$20000,DATOS!$A$2:$A$20000,Y236,DATOS!$G$2:$G$20000,CONFIG_METADATA!$B$4,DATOS!$I$2:$I$20000,"Análisis"),"")))</f>
        <v/>
      </c>
      <c r="AA236" t="str">
        <f>IF(Y236="","",IF(Y236="[FÓRMULA MANUAL]","",IFERROR(AVERAGEIFS(DATOS!$K$2:$K$20000,DATOS!$A$2:$A$20000,Y236,DATOS!$G$2:$G$20000,CONFIG_METADATA!$B$4,DATOS!$I$2:$I$20000,"Orquesta/Banda/Conjunto"),"")))</f>
        <v/>
      </c>
      <c r="AB236" t="str">
        <f>IF(Y236="","",IF(Y236="[FÓRMULA MANUAL]","",IFERROR(AVERAGEIFS(DATOS!$K$2:$K$20000,DATOS!$A$2:$A$20000,Y236,DATOS!$G$2:$G$20000,CONFIG_METADATA!$B$4,DATOS!$I$2:$I$20000,"Música de Cámara"),"")))</f>
        <v/>
      </c>
      <c r="AC236" t="str">
        <f>IF(Y236="","",IF(Y236="[FÓRMULA MANUAL]","",IFERROR(SUMPRODUCT((DATOS!$A$2:$A$20000=Y236)*(DATOS!$G$2:$G$20000=CONFIG_METADATA!$B$4)*(COUNTIF(CONFIG_ASIGNATURAS!$B$7:$B$27,DATOS!$I$2:$I$20000)&gt;0)*(DATOS!$K$2:$K$20000))/SUMPRODUCT((DATOS!$A$2:$A$20000=Y236)*(DATOS!$G$2:$G$20000=CONFIG_METADATA!$B$4)*(COUNTIF(CONFIG_ASIGNATURAS!$B$7:$B$27,DATOS!$I$2:$I$20000)&gt;0)*1),"")))</f>
        <v/>
      </c>
      <c r="AF236" t="str">
        <f>IF(AE236="","",IF(AE236="[FÓRMULA MANUAL]","",IFERROR(AVERAGEIFS(DATOS!$K$2:$K$20000,DATOS!$A$2:$A$20000,AE236,DATOS!$G$2:$G$20000,CONFIG_METADATA!$B$4,DATOS!$I$2:$I$20000,"Análisis"),"")))</f>
        <v/>
      </c>
      <c r="AG236" t="str">
        <f>IF(AE236="","",IF(AE236="[FÓRMULA MANUAL]","",IFERROR(AVERAGEIFS(DATOS!$K$2:$K$20000,DATOS!$A$2:$A$20000,AE236,DATOS!$G$2:$G$20000,CONFIG_METADATA!$B$4,DATOS!$I$2:$I$20000,"Orquesta/Banda/Conjunto"),"")))</f>
        <v/>
      </c>
      <c r="AH236" t="str">
        <f>IF(AE236="","",IF(AE236="[FÓRMULA MANUAL]","",IFERROR(AVERAGEIFS(DATOS!$K$2:$K$20000,DATOS!$A$2:$A$20000,AE236,DATOS!$G$2:$G$20000,CONFIG_METADATA!$B$4,DATOS!$I$2:$I$20000,"Música de Cámara"),"")))</f>
        <v/>
      </c>
      <c r="AI236" t="str">
        <f>IF(AE236="","",IF(AE236="[FÓRMULA MANUAL]","",IFERROR(SUMPRODUCT((DATOS!$A$2:$A$20000=AE236)*(DATOS!$G$2:$G$20000=CONFIG_METADATA!$B$4)*(COUNTIF(CONFIG_ASIGNATURAS!$B$7:$B$27,DATOS!$I$2:$I$20000)&gt;0)*(DATOS!$K$2:$K$20000))/SUMPRODUCT((DATOS!$A$2:$A$20000=AE236)*(DATOS!$G$2:$G$20000=CONFIG_METADATA!$B$4)*(COUNTIF(CONFIG_ASIGNATURAS!$B$7:$B$27,DATOS!$I$2:$I$20000)&gt;0)*1),"")))</f>
        <v/>
      </c>
    </row>
    <row r="237" spans="2:35" x14ac:dyDescent="0.2">
      <c r="B237" t="str">
        <f>IF(A237="","",IF(A237="[FÓRMULA MANUAL]","",IFERROR(AVERAGEIFS(DATOS!$K$2:$K$20000,DATOS!$A$2:$A$20000,A237,DATOS!$G$2:$G$20000,CONFIG_METADATA!$B$4,DATOS!$I$2:$I$20000,"Lenguaje Musical"),"")))</f>
        <v/>
      </c>
      <c r="C237" t="str">
        <f>IF(A237="","",IF(A237="[FÓRMULA MANUAL]","",IFERROR(AVERAGEIFS(DATOS!$K$2:$K$20000,DATOS!$A$2:$A$20000,A237,DATOS!$G$2:$G$20000,CONFIG_METADATA!$B$4,DATOS!$I$2:$I$20000,"Orquesta/Banda/Conjunto"),"")))</f>
        <v/>
      </c>
      <c r="D237" t="str">
        <f>IF(A237="","",IF(A237="[FÓRMULA MANUAL]","",IFERROR(AVERAGEIFS(DATOS!$K$2:$K$20000,DATOS!$A$2:$A$20000,A237,DATOS!$G$2:$G$20000,CONFIG_METADATA!$B$4,DATOS!$I$2:$I$20000,"Conjunto"),"")))</f>
        <v/>
      </c>
      <c r="E237" t="str">
        <f>IF(A237="","",IF(A237="[FÓRMULA MANUAL]","",IFERROR(SUMPRODUCT((DATOS!$A$2:$A$20000=A237)*(DATOS!$G$2:$G$20000=CONFIG_METADATA!$B$4)*(COUNTIF(CONFIG_ASIGNATURAS!$B$7:$B$27,DATOS!$I$2:$I$20000)&gt;0)*(DATOS!$K$2:$K$20000))/SUMPRODUCT((DATOS!$A$2:$A$20000=A237)*(DATOS!$G$2:$G$20000=CONFIG_METADATA!$B$4)*(COUNTIF(CONFIG_ASIGNATURAS!$B$7:$B$27,DATOS!$I$2:$I$20000)&gt;0)*1),"")))</f>
        <v/>
      </c>
      <c r="H237" t="str">
        <f>IF(G237="","",IF(G237="[FÓRMULA MANUAL]","",IFERROR(AVERAGEIFS(DATOS!$K$2:$K$20000,DATOS!$A$2:$A$20000,G237,DATOS!$G$2:$G$20000,CONFIG_METADATA!$B$4,DATOS!$I$2:$I$20000,"Lenguaje Musical"),"")))</f>
        <v/>
      </c>
      <c r="I237" t="str">
        <f>IF(G237="","",IF(G237="[FÓRMULA MANUAL]","",IFERROR(AVERAGEIFS(DATOS!$K$2:$K$20000,DATOS!$A$2:$A$20000,G237,DATOS!$G$2:$G$20000,CONFIG_METADATA!$B$4,DATOS!$I$2:$I$20000,"Orquesta/Banda/Conjunto"),"")))</f>
        <v/>
      </c>
      <c r="J237" t="str">
        <f>IF(G237="","",IF(G237="[FÓRMULA MANUAL]","",IFERROR(AVERAGEIFS(DATOS!$K$2:$K$20000,DATOS!$A$2:$A$20000,G237,DATOS!$G$2:$G$20000,CONFIG_METADATA!$B$4,DATOS!$I$2:$I$20000,"Conjunto"),"")))</f>
        <v/>
      </c>
      <c r="K237" t="str">
        <f>IF(G237="","",IF(G237="[FÓRMULA MANUAL]","",IFERROR(SUMPRODUCT((DATOS!$A$2:$A$20000=G237)*(DATOS!$G$2:$G$20000=CONFIG_METADATA!$B$4)*(COUNTIF(CONFIG_ASIGNATURAS!$B$7:$B$27,DATOS!$I$2:$I$20000)&gt;0)*(DATOS!$K$2:$K$20000))/SUMPRODUCT((DATOS!$A$2:$A$20000=G237)*(DATOS!$G$2:$G$20000=CONFIG_METADATA!$B$4)*(COUNTIF(CONFIG_ASIGNATURAS!$B$7:$B$27,DATOS!$I$2:$I$20000)&gt;0)*1),"")))</f>
        <v/>
      </c>
      <c r="N237" t="str">
        <f>IF(M237="","",IF(M237="[FÓRMULA MANUAL]","",IFERROR(AVERAGEIFS(DATOS!$K$2:$K$20000,DATOS!$A$2:$A$20000,M237,DATOS!$G$2:$G$20000,CONFIG_METADATA!$B$4,DATOS!$I$2:$I$20000,"Armonía"),"")))</f>
        <v/>
      </c>
      <c r="O237" t="str">
        <f>IF(M237="","",IF(M237="[FÓRMULA MANUAL]","",IFERROR(AVERAGEIFS(DATOS!$K$2:$K$20000,DATOS!$A$2:$A$20000,M237,DATOS!$G$2:$G$20000,CONFIG_METADATA!$B$4,DATOS!$I$2:$I$20000,"Orquesta/Banda/Conjunto"),"")))</f>
        <v/>
      </c>
      <c r="P237" t="str">
        <f>IF(M237="","",IF(M237="[FÓRMULA MANUAL]","",IFERROR(AVERAGEIFS(DATOS!$K$2:$K$20000,DATOS!$A$2:$A$20000,M237,DATOS!$G$2:$G$20000,CONFIG_METADATA!$B$4,DATOS!$I$2:$I$20000,"Música de Cámara"),"")))</f>
        <v/>
      </c>
      <c r="Q237" t="str">
        <f>IF(M237="","",IF(M237="[FÓRMULA MANUAL]","",IFERROR(SUMPRODUCT((DATOS!$A$2:$A$20000=M237)*(DATOS!$G$2:$G$20000=CONFIG_METADATA!$B$4)*(COUNTIF(CONFIG_ASIGNATURAS!$B$7:$B$27,DATOS!$I$2:$I$20000)&gt;0)*(DATOS!$K$2:$K$20000))/SUMPRODUCT((DATOS!$A$2:$A$20000=M237)*(DATOS!$G$2:$G$20000=CONFIG_METADATA!$B$4)*(COUNTIF(CONFIG_ASIGNATURAS!$B$7:$B$27,DATOS!$I$2:$I$20000)&gt;0)*1),"")))</f>
        <v/>
      </c>
      <c r="T237" t="str">
        <f>IF(S237="","",IF(S237="[FÓRMULA MANUAL]","",IFERROR(AVERAGEIFS(DATOS!$K$2:$K$20000,DATOS!$A$2:$A$20000,S237,DATOS!$G$2:$G$20000,CONFIG_METADATA!$B$4,DATOS!$I$2:$I$20000,"Armonía"),"")))</f>
        <v/>
      </c>
      <c r="U237" t="str">
        <f>IF(S237="","",IF(S237="[FÓRMULA MANUAL]","",IFERROR(AVERAGEIFS(DATOS!$K$2:$K$20000,DATOS!$A$2:$A$20000,S237,DATOS!$G$2:$G$20000,CONFIG_METADATA!$B$4,DATOS!$I$2:$I$20000,"Orquesta/Banda/Conjunto"),"")))</f>
        <v/>
      </c>
      <c r="V237" t="str">
        <f>IF(S237="","",IF(S237="[FÓRMULA MANUAL]","",IFERROR(AVERAGEIFS(DATOS!$K$2:$K$20000,DATOS!$A$2:$A$20000,S237,DATOS!$G$2:$G$20000,CONFIG_METADATA!$B$4,DATOS!$I$2:$I$20000,"Música de Cámara"),"")))</f>
        <v/>
      </c>
      <c r="W237" t="str">
        <f>IF(S237="","",IF(S237="[FÓRMULA MANUAL]","",IFERROR(SUMPRODUCT((DATOS!$A$2:$A$20000=S237)*(DATOS!$G$2:$G$20000=CONFIG_METADATA!$B$4)*(COUNTIF(CONFIG_ASIGNATURAS!$B$7:$B$27,DATOS!$I$2:$I$20000)&gt;0)*(DATOS!$K$2:$K$20000))/SUMPRODUCT((DATOS!$A$2:$A$20000=S237)*(DATOS!$G$2:$G$20000=CONFIG_METADATA!$B$4)*(COUNTIF(CONFIG_ASIGNATURAS!$B$7:$B$27,DATOS!$I$2:$I$20000)&gt;0)*1),"")))</f>
        <v/>
      </c>
      <c r="Z237" t="str">
        <f>IF(Y237="","",IF(Y237="[FÓRMULA MANUAL]","",IFERROR(AVERAGEIFS(DATOS!$K$2:$K$20000,DATOS!$A$2:$A$20000,Y237,DATOS!$G$2:$G$20000,CONFIG_METADATA!$B$4,DATOS!$I$2:$I$20000,"Análisis"),"")))</f>
        <v/>
      </c>
      <c r="AA237" t="str">
        <f>IF(Y237="","",IF(Y237="[FÓRMULA MANUAL]","",IFERROR(AVERAGEIFS(DATOS!$K$2:$K$20000,DATOS!$A$2:$A$20000,Y237,DATOS!$G$2:$G$20000,CONFIG_METADATA!$B$4,DATOS!$I$2:$I$20000,"Orquesta/Banda/Conjunto"),"")))</f>
        <v/>
      </c>
      <c r="AB237" t="str">
        <f>IF(Y237="","",IF(Y237="[FÓRMULA MANUAL]","",IFERROR(AVERAGEIFS(DATOS!$K$2:$K$20000,DATOS!$A$2:$A$20000,Y237,DATOS!$G$2:$G$20000,CONFIG_METADATA!$B$4,DATOS!$I$2:$I$20000,"Música de Cámara"),"")))</f>
        <v/>
      </c>
      <c r="AC237" t="str">
        <f>IF(Y237="","",IF(Y237="[FÓRMULA MANUAL]","",IFERROR(SUMPRODUCT((DATOS!$A$2:$A$20000=Y237)*(DATOS!$G$2:$G$20000=CONFIG_METADATA!$B$4)*(COUNTIF(CONFIG_ASIGNATURAS!$B$7:$B$27,DATOS!$I$2:$I$20000)&gt;0)*(DATOS!$K$2:$K$20000))/SUMPRODUCT((DATOS!$A$2:$A$20000=Y237)*(DATOS!$G$2:$G$20000=CONFIG_METADATA!$B$4)*(COUNTIF(CONFIG_ASIGNATURAS!$B$7:$B$27,DATOS!$I$2:$I$20000)&gt;0)*1),"")))</f>
        <v/>
      </c>
      <c r="AF237" t="str">
        <f>IF(AE237="","",IF(AE237="[FÓRMULA MANUAL]","",IFERROR(AVERAGEIFS(DATOS!$K$2:$K$20000,DATOS!$A$2:$A$20000,AE237,DATOS!$G$2:$G$20000,CONFIG_METADATA!$B$4,DATOS!$I$2:$I$20000,"Análisis"),"")))</f>
        <v/>
      </c>
      <c r="AG237" t="str">
        <f>IF(AE237="","",IF(AE237="[FÓRMULA MANUAL]","",IFERROR(AVERAGEIFS(DATOS!$K$2:$K$20000,DATOS!$A$2:$A$20000,AE237,DATOS!$G$2:$G$20000,CONFIG_METADATA!$B$4,DATOS!$I$2:$I$20000,"Orquesta/Banda/Conjunto"),"")))</f>
        <v/>
      </c>
      <c r="AH237" t="str">
        <f>IF(AE237="","",IF(AE237="[FÓRMULA MANUAL]","",IFERROR(AVERAGEIFS(DATOS!$K$2:$K$20000,DATOS!$A$2:$A$20000,AE237,DATOS!$G$2:$G$20000,CONFIG_METADATA!$B$4,DATOS!$I$2:$I$20000,"Música de Cámara"),"")))</f>
        <v/>
      </c>
      <c r="AI237" t="str">
        <f>IF(AE237="","",IF(AE237="[FÓRMULA MANUAL]","",IFERROR(SUMPRODUCT((DATOS!$A$2:$A$20000=AE237)*(DATOS!$G$2:$G$20000=CONFIG_METADATA!$B$4)*(COUNTIF(CONFIG_ASIGNATURAS!$B$7:$B$27,DATOS!$I$2:$I$20000)&gt;0)*(DATOS!$K$2:$K$20000))/SUMPRODUCT((DATOS!$A$2:$A$20000=AE237)*(DATOS!$G$2:$G$20000=CONFIG_METADATA!$B$4)*(COUNTIF(CONFIG_ASIGNATURAS!$B$7:$B$27,DATOS!$I$2:$I$20000)&gt;0)*1),"")))</f>
        <v/>
      </c>
    </row>
    <row r="238" spans="2:35" x14ac:dyDescent="0.2">
      <c r="B238" t="str">
        <f>IF(A238="","",IF(A238="[FÓRMULA MANUAL]","",IFERROR(AVERAGEIFS(DATOS!$K$2:$K$20000,DATOS!$A$2:$A$20000,A238,DATOS!$G$2:$G$20000,CONFIG_METADATA!$B$4,DATOS!$I$2:$I$20000,"Lenguaje Musical"),"")))</f>
        <v/>
      </c>
      <c r="C238" t="str">
        <f>IF(A238="","",IF(A238="[FÓRMULA MANUAL]","",IFERROR(AVERAGEIFS(DATOS!$K$2:$K$20000,DATOS!$A$2:$A$20000,A238,DATOS!$G$2:$G$20000,CONFIG_METADATA!$B$4,DATOS!$I$2:$I$20000,"Orquesta/Banda/Conjunto"),"")))</f>
        <v/>
      </c>
      <c r="D238" t="str">
        <f>IF(A238="","",IF(A238="[FÓRMULA MANUAL]","",IFERROR(AVERAGEIFS(DATOS!$K$2:$K$20000,DATOS!$A$2:$A$20000,A238,DATOS!$G$2:$G$20000,CONFIG_METADATA!$B$4,DATOS!$I$2:$I$20000,"Conjunto"),"")))</f>
        <v/>
      </c>
      <c r="E238" t="str">
        <f>IF(A238="","",IF(A238="[FÓRMULA MANUAL]","",IFERROR(SUMPRODUCT((DATOS!$A$2:$A$20000=A238)*(DATOS!$G$2:$G$20000=CONFIG_METADATA!$B$4)*(COUNTIF(CONFIG_ASIGNATURAS!$B$7:$B$27,DATOS!$I$2:$I$20000)&gt;0)*(DATOS!$K$2:$K$20000))/SUMPRODUCT((DATOS!$A$2:$A$20000=A238)*(DATOS!$G$2:$G$20000=CONFIG_METADATA!$B$4)*(COUNTIF(CONFIG_ASIGNATURAS!$B$7:$B$27,DATOS!$I$2:$I$20000)&gt;0)*1),"")))</f>
        <v/>
      </c>
      <c r="H238" t="str">
        <f>IF(G238="","",IF(G238="[FÓRMULA MANUAL]","",IFERROR(AVERAGEIFS(DATOS!$K$2:$K$20000,DATOS!$A$2:$A$20000,G238,DATOS!$G$2:$G$20000,CONFIG_METADATA!$B$4,DATOS!$I$2:$I$20000,"Lenguaje Musical"),"")))</f>
        <v/>
      </c>
      <c r="I238" t="str">
        <f>IF(G238="","",IF(G238="[FÓRMULA MANUAL]","",IFERROR(AVERAGEIFS(DATOS!$K$2:$K$20000,DATOS!$A$2:$A$20000,G238,DATOS!$G$2:$G$20000,CONFIG_METADATA!$B$4,DATOS!$I$2:$I$20000,"Orquesta/Banda/Conjunto"),"")))</f>
        <v/>
      </c>
      <c r="J238" t="str">
        <f>IF(G238="","",IF(G238="[FÓRMULA MANUAL]","",IFERROR(AVERAGEIFS(DATOS!$K$2:$K$20000,DATOS!$A$2:$A$20000,G238,DATOS!$G$2:$G$20000,CONFIG_METADATA!$B$4,DATOS!$I$2:$I$20000,"Conjunto"),"")))</f>
        <v/>
      </c>
      <c r="K238" t="str">
        <f>IF(G238="","",IF(G238="[FÓRMULA MANUAL]","",IFERROR(SUMPRODUCT((DATOS!$A$2:$A$20000=G238)*(DATOS!$G$2:$G$20000=CONFIG_METADATA!$B$4)*(COUNTIF(CONFIG_ASIGNATURAS!$B$7:$B$27,DATOS!$I$2:$I$20000)&gt;0)*(DATOS!$K$2:$K$20000))/SUMPRODUCT((DATOS!$A$2:$A$20000=G238)*(DATOS!$G$2:$G$20000=CONFIG_METADATA!$B$4)*(COUNTIF(CONFIG_ASIGNATURAS!$B$7:$B$27,DATOS!$I$2:$I$20000)&gt;0)*1),"")))</f>
        <v/>
      </c>
      <c r="N238" t="str">
        <f>IF(M238="","",IF(M238="[FÓRMULA MANUAL]","",IFERROR(AVERAGEIFS(DATOS!$K$2:$K$20000,DATOS!$A$2:$A$20000,M238,DATOS!$G$2:$G$20000,CONFIG_METADATA!$B$4,DATOS!$I$2:$I$20000,"Armonía"),"")))</f>
        <v/>
      </c>
      <c r="O238" t="str">
        <f>IF(M238="","",IF(M238="[FÓRMULA MANUAL]","",IFERROR(AVERAGEIFS(DATOS!$K$2:$K$20000,DATOS!$A$2:$A$20000,M238,DATOS!$G$2:$G$20000,CONFIG_METADATA!$B$4,DATOS!$I$2:$I$20000,"Orquesta/Banda/Conjunto"),"")))</f>
        <v/>
      </c>
      <c r="P238" t="str">
        <f>IF(M238="","",IF(M238="[FÓRMULA MANUAL]","",IFERROR(AVERAGEIFS(DATOS!$K$2:$K$20000,DATOS!$A$2:$A$20000,M238,DATOS!$G$2:$G$20000,CONFIG_METADATA!$B$4,DATOS!$I$2:$I$20000,"Música de Cámara"),"")))</f>
        <v/>
      </c>
      <c r="Q238" t="str">
        <f>IF(M238="","",IF(M238="[FÓRMULA MANUAL]","",IFERROR(SUMPRODUCT((DATOS!$A$2:$A$20000=M238)*(DATOS!$G$2:$G$20000=CONFIG_METADATA!$B$4)*(COUNTIF(CONFIG_ASIGNATURAS!$B$7:$B$27,DATOS!$I$2:$I$20000)&gt;0)*(DATOS!$K$2:$K$20000))/SUMPRODUCT((DATOS!$A$2:$A$20000=M238)*(DATOS!$G$2:$G$20000=CONFIG_METADATA!$B$4)*(COUNTIF(CONFIG_ASIGNATURAS!$B$7:$B$27,DATOS!$I$2:$I$20000)&gt;0)*1),"")))</f>
        <v/>
      </c>
      <c r="T238" t="str">
        <f>IF(S238="","",IF(S238="[FÓRMULA MANUAL]","",IFERROR(AVERAGEIFS(DATOS!$K$2:$K$20000,DATOS!$A$2:$A$20000,S238,DATOS!$G$2:$G$20000,CONFIG_METADATA!$B$4,DATOS!$I$2:$I$20000,"Armonía"),"")))</f>
        <v/>
      </c>
      <c r="U238" t="str">
        <f>IF(S238="","",IF(S238="[FÓRMULA MANUAL]","",IFERROR(AVERAGEIFS(DATOS!$K$2:$K$20000,DATOS!$A$2:$A$20000,S238,DATOS!$G$2:$G$20000,CONFIG_METADATA!$B$4,DATOS!$I$2:$I$20000,"Orquesta/Banda/Conjunto"),"")))</f>
        <v/>
      </c>
      <c r="V238" t="str">
        <f>IF(S238="","",IF(S238="[FÓRMULA MANUAL]","",IFERROR(AVERAGEIFS(DATOS!$K$2:$K$20000,DATOS!$A$2:$A$20000,S238,DATOS!$G$2:$G$20000,CONFIG_METADATA!$B$4,DATOS!$I$2:$I$20000,"Música de Cámara"),"")))</f>
        <v/>
      </c>
      <c r="W238" t="str">
        <f>IF(S238="","",IF(S238="[FÓRMULA MANUAL]","",IFERROR(SUMPRODUCT((DATOS!$A$2:$A$20000=S238)*(DATOS!$G$2:$G$20000=CONFIG_METADATA!$B$4)*(COUNTIF(CONFIG_ASIGNATURAS!$B$7:$B$27,DATOS!$I$2:$I$20000)&gt;0)*(DATOS!$K$2:$K$20000))/SUMPRODUCT((DATOS!$A$2:$A$20000=S238)*(DATOS!$G$2:$G$20000=CONFIG_METADATA!$B$4)*(COUNTIF(CONFIG_ASIGNATURAS!$B$7:$B$27,DATOS!$I$2:$I$20000)&gt;0)*1),"")))</f>
        <v/>
      </c>
      <c r="Z238" t="str">
        <f>IF(Y238="","",IF(Y238="[FÓRMULA MANUAL]","",IFERROR(AVERAGEIFS(DATOS!$K$2:$K$20000,DATOS!$A$2:$A$20000,Y238,DATOS!$G$2:$G$20000,CONFIG_METADATA!$B$4,DATOS!$I$2:$I$20000,"Análisis"),"")))</f>
        <v/>
      </c>
      <c r="AA238" t="str">
        <f>IF(Y238="","",IF(Y238="[FÓRMULA MANUAL]","",IFERROR(AVERAGEIFS(DATOS!$K$2:$K$20000,DATOS!$A$2:$A$20000,Y238,DATOS!$G$2:$G$20000,CONFIG_METADATA!$B$4,DATOS!$I$2:$I$20000,"Orquesta/Banda/Conjunto"),"")))</f>
        <v/>
      </c>
      <c r="AB238" t="str">
        <f>IF(Y238="","",IF(Y238="[FÓRMULA MANUAL]","",IFERROR(AVERAGEIFS(DATOS!$K$2:$K$20000,DATOS!$A$2:$A$20000,Y238,DATOS!$G$2:$G$20000,CONFIG_METADATA!$B$4,DATOS!$I$2:$I$20000,"Música de Cámara"),"")))</f>
        <v/>
      </c>
      <c r="AC238" t="str">
        <f>IF(Y238="","",IF(Y238="[FÓRMULA MANUAL]","",IFERROR(SUMPRODUCT((DATOS!$A$2:$A$20000=Y238)*(DATOS!$G$2:$G$20000=CONFIG_METADATA!$B$4)*(COUNTIF(CONFIG_ASIGNATURAS!$B$7:$B$27,DATOS!$I$2:$I$20000)&gt;0)*(DATOS!$K$2:$K$20000))/SUMPRODUCT((DATOS!$A$2:$A$20000=Y238)*(DATOS!$G$2:$G$20000=CONFIG_METADATA!$B$4)*(COUNTIF(CONFIG_ASIGNATURAS!$B$7:$B$27,DATOS!$I$2:$I$20000)&gt;0)*1),"")))</f>
        <v/>
      </c>
      <c r="AF238" t="str">
        <f>IF(AE238="","",IF(AE238="[FÓRMULA MANUAL]","",IFERROR(AVERAGEIFS(DATOS!$K$2:$K$20000,DATOS!$A$2:$A$20000,AE238,DATOS!$G$2:$G$20000,CONFIG_METADATA!$B$4,DATOS!$I$2:$I$20000,"Análisis"),"")))</f>
        <v/>
      </c>
      <c r="AG238" t="str">
        <f>IF(AE238="","",IF(AE238="[FÓRMULA MANUAL]","",IFERROR(AVERAGEIFS(DATOS!$K$2:$K$20000,DATOS!$A$2:$A$20000,AE238,DATOS!$G$2:$G$20000,CONFIG_METADATA!$B$4,DATOS!$I$2:$I$20000,"Orquesta/Banda/Conjunto"),"")))</f>
        <v/>
      </c>
      <c r="AH238" t="str">
        <f>IF(AE238="","",IF(AE238="[FÓRMULA MANUAL]","",IFERROR(AVERAGEIFS(DATOS!$K$2:$K$20000,DATOS!$A$2:$A$20000,AE238,DATOS!$G$2:$G$20000,CONFIG_METADATA!$B$4,DATOS!$I$2:$I$20000,"Música de Cámara"),"")))</f>
        <v/>
      </c>
      <c r="AI238" t="str">
        <f>IF(AE238="","",IF(AE238="[FÓRMULA MANUAL]","",IFERROR(SUMPRODUCT((DATOS!$A$2:$A$20000=AE238)*(DATOS!$G$2:$G$20000=CONFIG_METADATA!$B$4)*(COUNTIF(CONFIG_ASIGNATURAS!$B$7:$B$27,DATOS!$I$2:$I$20000)&gt;0)*(DATOS!$K$2:$K$20000))/SUMPRODUCT((DATOS!$A$2:$A$20000=AE238)*(DATOS!$G$2:$G$20000=CONFIG_METADATA!$B$4)*(COUNTIF(CONFIG_ASIGNATURAS!$B$7:$B$27,DATOS!$I$2:$I$20000)&gt;0)*1),"")))</f>
        <v/>
      </c>
    </row>
    <row r="239" spans="2:35" x14ac:dyDescent="0.2">
      <c r="B239" t="str">
        <f>IF(A239="","",IF(A239="[FÓRMULA MANUAL]","",IFERROR(AVERAGEIFS(DATOS!$K$2:$K$20000,DATOS!$A$2:$A$20000,A239,DATOS!$G$2:$G$20000,CONFIG_METADATA!$B$4,DATOS!$I$2:$I$20000,"Lenguaje Musical"),"")))</f>
        <v/>
      </c>
      <c r="C239" t="str">
        <f>IF(A239="","",IF(A239="[FÓRMULA MANUAL]","",IFERROR(AVERAGEIFS(DATOS!$K$2:$K$20000,DATOS!$A$2:$A$20000,A239,DATOS!$G$2:$G$20000,CONFIG_METADATA!$B$4,DATOS!$I$2:$I$20000,"Orquesta/Banda/Conjunto"),"")))</f>
        <v/>
      </c>
      <c r="D239" t="str">
        <f>IF(A239="","",IF(A239="[FÓRMULA MANUAL]","",IFERROR(AVERAGEIFS(DATOS!$K$2:$K$20000,DATOS!$A$2:$A$20000,A239,DATOS!$G$2:$G$20000,CONFIG_METADATA!$B$4,DATOS!$I$2:$I$20000,"Conjunto"),"")))</f>
        <v/>
      </c>
      <c r="E239" t="str">
        <f>IF(A239="","",IF(A239="[FÓRMULA MANUAL]","",IFERROR(SUMPRODUCT((DATOS!$A$2:$A$20000=A239)*(DATOS!$G$2:$G$20000=CONFIG_METADATA!$B$4)*(COUNTIF(CONFIG_ASIGNATURAS!$B$7:$B$27,DATOS!$I$2:$I$20000)&gt;0)*(DATOS!$K$2:$K$20000))/SUMPRODUCT((DATOS!$A$2:$A$20000=A239)*(DATOS!$G$2:$G$20000=CONFIG_METADATA!$B$4)*(COUNTIF(CONFIG_ASIGNATURAS!$B$7:$B$27,DATOS!$I$2:$I$20000)&gt;0)*1),"")))</f>
        <v/>
      </c>
      <c r="H239" t="str">
        <f>IF(G239="","",IF(G239="[FÓRMULA MANUAL]","",IFERROR(AVERAGEIFS(DATOS!$K$2:$K$20000,DATOS!$A$2:$A$20000,G239,DATOS!$G$2:$G$20000,CONFIG_METADATA!$B$4,DATOS!$I$2:$I$20000,"Lenguaje Musical"),"")))</f>
        <v/>
      </c>
      <c r="I239" t="str">
        <f>IF(G239="","",IF(G239="[FÓRMULA MANUAL]","",IFERROR(AVERAGEIFS(DATOS!$K$2:$K$20000,DATOS!$A$2:$A$20000,G239,DATOS!$G$2:$G$20000,CONFIG_METADATA!$B$4,DATOS!$I$2:$I$20000,"Orquesta/Banda/Conjunto"),"")))</f>
        <v/>
      </c>
      <c r="J239" t="str">
        <f>IF(G239="","",IF(G239="[FÓRMULA MANUAL]","",IFERROR(AVERAGEIFS(DATOS!$K$2:$K$20000,DATOS!$A$2:$A$20000,G239,DATOS!$G$2:$G$20000,CONFIG_METADATA!$B$4,DATOS!$I$2:$I$20000,"Conjunto"),"")))</f>
        <v/>
      </c>
      <c r="K239" t="str">
        <f>IF(G239="","",IF(G239="[FÓRMULA MANUAL]","",IFERROR(SUMPRODUCT((DATOS!$A$2:$A$20000=G239)*(DATOS!$G$2:$G$20000=CONFIG_METADATA!$B$4)*(COUNTIF(CONFIG_ASIGNATURAS!$B$7:$B$27,DATOS!$I$2:$I$20000)&gt;0)*(DATOS!$K$2:$K$20000))/SUMPRODUCT((DATOS!$A$2:$A$20000=G239)*(DATOS!$G$2:$G$20000=CONFIG_METADATA!$B$4)*(COUNTIF(CONFIG_ASIGNATURAS!$B$7:$B$27,DATOS!$I$2:$I$20000)&gt;0)*1),"")))</f>
        <v/>
      </c>
      <c r="N239" t="str">
        <f>IF(M239="","",IF(M239="[FÓRMULA MANUAL]","",IFERROR(AVERAGEIFS(DATOS!$K$2:$K$20000,DATOS!$A$2:$A$20000,M239,DATOS!$G$2:$G$20000,CONFIG_METADATA!$B$4,DATOS!$I$2:$I$20000,"Armonía"),"")))</f>
        <v/>
      </c>
      <c r="O239" t="str">
        <f>IF(M239="","",IF(M239="[FÓRMULA MANUAL]","",IFERROR(AVERAGEIFS(DATOS!$K$2:$K$20000,DATOS!$A$2:$A$20000,M239,DATOS!$G$2:$G$20000,CONFIG_METADATA!$B$4,DATOS!$I$2:$I$20000,"Orquesta/Banda/Conjunto"),"")))</f>
        <v/>
      </c>
      <c r="P239" t="str">
        <f>IF(M239="","",IF(M239="[FÓRMULA MANUAL]","",IFERROR(AVERAGEIFS(DATOS!$K$2:$K$20000,DATOS!$A$2:$A$20000,M239,DATOS!$G$2:$G$20000,CONFIG_METADATA!$B$4,DATOS!$I$2:$I$20000,"Música de Cámara"),"")))</f>
        <v/>
      </c>
      <c r="Q239" t="str">
        <f>IF(M239="","",IF(M239="[FÓRMULA MANUAL]","",IFERROR(SUMPRODUCT((DATOS!$A$2:$A$20000=M239)*(DATOS!$G$2:$G$20000=CONFIG_METADATA!$B$4)*(COUNTIF(CONFIG_ASIGNATURAS!$B$7:$B$27,DATOS!$I$2:$I$20000)&gt;0)*(DATOS!$K$2:$K$20000))/SUMPRODUCT((DATOS!$A$2:$A$20000=M239)*(DATOS!$G$2:$G$20000=CONFIG_METADATA!$B$4)*(COUNTIF(CONFIG_ASIGNATURAS!$B$7:$B$27,DATOS!$I$2:$I$20000)&gt;0)*1),"")))</f>
        <v/>
      </c>
      <c r="T239" t="str">
        <f>IF(S239="","",IF(S239="[FÓRMULA MANUAL]","",IFERROR(AVERAGEIFS(DATOS!$K$2:$K$20000,DATOS!$A$2:$A$20000,S239,DATOS!$G$2:$G$20000,CONFIG_METADATA!$B$4,DATOS!$I$2:$I$20000,"Armonía"),"")))</f>
        <v/>
      </c>
      <c r="U239" t="str">
        <f>IF(S239="","",IF(S239="[FÓRMULA MANUAL]","",IFERROR(AVERAGEIFS(DATOS!$K$2:$K$20000,DATOS!$A$2:$A$20000,S239,DATOS!$G$2:$G$20000,CONFIG_METADATA!$B$4,DATOS!$I$2:$I$20000,"Orquesta/Banda/Conjunto"),"")))</f>
        <v/>
      </c>
      <c r="V239" t="str">
        <f>IF(S239="","",IF(S239="[FÓRMULA MANUAL]","",IFERROR(AVERAGEIFS(DATOS!$K$2:$K$20000,DATOS!$A$2:$A$20000,S239,DATOS!$G$2:$G$20000,CONFIG_METADATA!$B$4,DATOS!$I$2:$I$20000,"Música de Cámara"),"")))</f>
        <v/>
      </c>
      <c r="W239" t="str">
        <f>IF(S239="","",IF(S239="[FÓRMULA MANUAL]","",IFERROR(SUMPRODUCT((DATOS!$A$2:$A$20000=S239)*(DATOS!$G$2:$G$20000=CONFIG_METADATA!$B$4)*(COUNTIF(CONFIG_ASIGNATURAS!$B$7:$B$27,DATOS!$I$2:$I$20000)&gt;0)*(DATOS!$K$2:$K$20000))/SUMPRODUCT((DATOS!$A$2:$A$20000=S239)*(DATOS!$G$2:$G$20000=CONFIG_METADATA!$B$4)*(COUNTIF(CONFIG_ASIGNATURAS!$B$7:$B$27,DATOS!$I$2:$I$20000)&gt;0)*1),"")))</f>
        <v/>
      </c>
      <c r="Z239" t="str">
        <f>IF(Y239="","",IF(Y239="[FÓRMULA MANUAL]","",IFERROR(AVERAGEIFS(DATOS!$K$2:$K$20000,DATOS!$A$2:$A$20000,Y239,DATOS!$G$2:$G$20000,CONFIG_METADATA!$B$4,DATOS!$I$2:$I$20000,"Análisis"),"")))</f>
        <v/>
      </c>
      <c r="AA239" t="str">
        <f>IF(Y239="","",IF(Y239="[FÓRMULA MANUAL]","",IFERROR(AVERAGEIFS(DATOS!$K$2:$K$20000,DATOS!$A$2:$A$20000,Y239,DATOS!$G$2:$G$20000,CONFIG_METADATA!$B$4,DATOS!$I$2:$I$20000,"Orquesta/Banda/Conjunto"),"")))</f>
        <v/>
      </c>
      <c r="AB239" t="str">
        <f>IF(Y239="","",IF(Y239="[FÓRMULA MANUAL]","",IFERROR(AVERAGEIFS(DATOS!$K$2:$K$20000,DATOS!$A$2:$A$20000,Y239,DATOS!$G$2:$G$20000,CONFIG_METADATA!$B$4,DATOS!$I$2:$I$20000,"Música de Cámara"),"")))</f>
        <v/>
      </c>
      <c r="AC239" t="str">
        <f>IF(Y239="","",IF(Y239="[FÓRMULA MANUAL]","",IFERROR(SUMPRODUCT((DATOS!$A$2:$A$20000=Y239)*(DATOS!$G$2:$G$20000=CONFIG_METADATA!$B$4)*(COUNTIF(CONFIG_ASIGNATURAS!$B$7:$B$27,DATOS!$I$2:$I$20000)&gt;0)*(DATOS!$K$2:$K$20000))/SUMPRODUCT((DATOS!$A$2:$A$20000=Y239)*(DATOS!$G$2:$G$20000=CONFIG_METADATA!$B$4)*(COUNTIF(CONFIG_ASIGNATURAS!$B$7:$B$27,DATOS!$I$2:$I$20000)&gt;0)*1),"")))</f>
        <v/>
      </c>
      <c r="AF239" t="str">
        <f>IF(AE239="","",IF(AE239="[FÓRMULA MANUAL]","",IFERROR(AVERAGEIFS(DATOS!$K$2:$K$20000,DATOS!$A$2:$A$20000,AE239,DATOS!$G$2:$G$20000,CONFIG_METADATA!$B$4,DATOS!$I$2:$I$20000,"Análisis"),"")))</f>
        <v/>
      </c>
      <c r="AG239" t="str">
        <f>IF(AE239="","",IF(AE239="[FÓRMULA MANUAL]","",IFERROR(AVERAGEIFS(DATOS!$K$2:$K$20000,DATOS!$A$2:$A$20000,AE239,DATOS!$G$2:$G$20000,CONFIG_METADATA!$B$4,DATOS!$I$2:$I$20000,"Orquesta/Banda/Conjunto"),"")))</f>
        <v/>
      </c>
      <c r="AH239" t="str">
        <f>IF(AE239="","",IF(AE239="[FÓRMULA MANUAL]","",IFERROR(AVERAGEIFS(DATOS!$K$2:$K$20000,DATOS!$A$2:$A$20000,AE239,DATOS!$G$2:$G$20000,CONFIG_METADATA!$B$4,DATOS!$I$2:$I$20000,"Música de Cámara"),"")))</f>
        <v/>
      </c>
      <c r="AI239" t="str">
        <f>IF(AE239="","",IF(AE239="[FÓRMULA MANUAL]","",IFERROR(SUMPRODUCT((DATOS!$A$2:$A$20000=AE239)*(DATOS!$G$2:$G$20000=CONFIG_METADATA!$B$4)*(COUNTIF(CONFIG_ASIGNATURAS!$B$7:$B$27,DATOS!$I$2:$I$20000)&gt;0)*(DATOS!$K$2:$K$20000))/SUMPRODUCT((DATOS!$A$2:$A$20000=AE239)*(DATOS!$G$2:$G$20000=CONFIG_METADATA!$B$4)*(COUNTIF(CONFIG_ASIGNATURAS!$B$7:$B$27,DATOS!$I$2:$I$20000)&gt;0)*1),"")))</f>
        <v/>
      </c>
    </row>
    <row r="240" spans="2:35" x14ac:dyDescent="0.2">
      <c r="B240" t="str">
        <f>IF(A240="","",IF(A240="[FÓRMULA MANUAL]","",IFERROR(AVERAGEIFS(DATOS!$K$2:$K$20000,DATOS!$A$2:$A$20000,A240,DATOS!$G$2:$G$20000,CONFIG_METADATA!$B$4,DATOS!$I$2:$I$20000,"Lenguaje Musical"),"")))</f>
        <v/>
      </c>
      <c r="C240" t="str">
        <f>IF(A240="","",IF(A240="[FÓRMULA MANUAL]","",IFERROR(AVERAGEIFS(DATOS!$K$2:$K$20000,DATOS!$A$2:$A$20000,A240,DATOS!$G$2:$G$20000,CONFIG_METADATA!$B$4,DATOS!$I$2:$I$20000,"Orquesta/Banda/Conjunto"),"")))</f>
        <v/>
      </c>
      <c r="D240" t="str">
        <f>IF(A240="","",IF(A240="[FÓRMULA MANUAL]","",IFERROR(AVERAGEIFS(DATOS!$K$2:$K$20000,DATOS!$A$2:$A$20000,A240,DATOS!$G$2:$G$20000,CONFIG_METADATA!$B$4,DATOS!$I$2:$I$20000,"Conjunto"),"")))</f>
        <v/>
      </c>
      <c r="E240" t="str">
        <f>IF(A240="","",IF(A240="[FÓRMULA MANUAL]","",IFERROR(SUMPRODUCT((DATOS!$A$2:$A$20000=A240)*(DATOS!$G$2:$G$20000=CONFIG_METADATA!$B$4)*(COUNTIF(CONFIG_ASIGNATURAS!$B$7:$B$27,DATOS!$I$2:$I$20000)&gt;0)*(DATOS!$K$2:$K$20000))/SUMPRODUCT((DATOS!$A$2:$A$20000=A240)*(DATOS!$G$2:$G$20000=CONFIG_METADATA!$B$4)*(COUNTIF(CONFIG_ASIGNATURAS!$B$7:$B$27,DATOS!$I$2:$I$20000)&gt;0)*1),"")))</f>
        <v/>
      </c>
      <c r="H240" t="str">
        <f>IF(G240="","",IF(G240="[FÓRMULA MANUAL]","",IFERROR(AVERAGEIFS(DATOS!$K$2:$K$20000,DATOS!$A$2:$A$20000,G240,DATOS!$G$2:$G$20000,CONFIG_METADATA!$B$4,DATOS!$I$2:$I$20000,"Lenguaje Musical"),"")))</f>
        <v/>
      </c>
      <c r="I240" t="str">
        <f>IF(G240="","",IF(G240="[FÓRMULA MANUAL]","",IFERROR(AVERAGEIFS(DATOS!$K$2:$K$20000,DATOS!$A$2:$A$20000,G240,DATOS!$G$2:$G$20000,CONFIG_METADATA!$B$4,DATOS!$I$2:$I$20000,"Orquesta/Banda/Conjunto"),"")))</f>
        <v/>
      </c>
      <c r="J240" t="str">
        <f>IF(G240="","",IF(G240="[FÓRMULA MANUAL]","",IFERROR(AVERAGEIFS(DATOS!$K$2:$K$20000,DATOS!$A$2:$A$20000,G240,DATOS!$G$2:$G$20000,CONFIG_METADATA!$B$4,DATOS!$I$2:$I$20000,"Conjunto"),"")))</f>
        <v/>
      </c>
      <c r="K240" t="str">
        <f>IF(G240="","",IF(G240="[FÓRMULA MANUAL]","",IFERROR(SUMPRODUCT((DATOS!$A$2:$A$20000=G240)*(DATOS!$G$2:$G$20000=CONFIG_METADATA!$B$4)*(COUNTIF(CONFIG_ASIGNATURAS!$B$7:$B$27,DATOS!$I$2:$I$20000)&gt;0)*(DATOS!$K$2:$K$20000))/SUMPRODUCT((DATOS!$A$2:$A$20000=G240)*(DATOS!$G$2:$G$20000=CONFIG_METADATA!$B$4)*(COUNTIF(CONFIG_ASIGNATURAS!$B$7:$B$27,DATOS!$I$2:$I$20000)&gt;0)*1),"")))</f>
        <v/>
      </c>
      <c r="N240" t="str">
        <f>IF(M240="","",IF(M240="[FÓRMULA MANUAL]","",IFERROR(AVERAGEIFS(DATOS!$K$2:$K$20000,DATOS!$A$2:$A$20000,M240,DATOS!$G$2:$G$20000,CONFIG_METADATA!$B$4,DATOS!$I$2:$I$20000,"Armonía"),"")))</f>
        <v/>
      </c>
      <c r="O240" t="str">
        <f>IF(M240="","",IF(M240="[FÓRMULA MANUAL]","",IFERROR(AVERAGEIFS(DATOS!$K$2:$K$20000,DATOS!$A$2:$A$20000,M240,DATOS!$G$2:$G$20000,CONFIG_METADATA!$B$4,DATOS!$I$2:$I$20000,"Orquesta/Banda/Conjunto"),"")))</f>
        <v/>
      </c>
      <c r="P240" t="str">
        <f>IF(M240="","",IF(M240="[FÓRMULA MANUAL]","",IFERROR(AVERAGEIFS(DATOS!$K$2:$K$20000,DATOS!$A$2:$A$20000,M240,DATOS!$G$2:$G$20000,CONFIG_METADATA!$B$4,DATOS!$I$2:$I$20000,"Música de Cámara"),"")))</f>
        <v/>
      </c>
      <c r="Q240" t="str">
        <f>IF(M240="","",IF(M240="[FÓRMULA MANUAL]","",IFERROR(SUMPRODUCT((DATOS!$A$2:$A$20000=M240)*(DATOS!$G$2:$G$20000=CONFIG_METADATA!$B$4)*(COUNTIF(CONFIG_ASIGNATURAS!$B$7:$B$27,DATOS!$I$2:$I$20000)&gt;0)*(DATOS!$K$2:$K$20000))/SUMPRODUCT((DATOS!$A$2:$A$20000=M240)*(DATOS!$G$2:$G$20000=CONFIG_METADATA!$B$4)*(COUNTIF(CONFIG_ASIGNATURAS!$B$7:$B$27,DATOS!$I$2:$I$20000)&gt;0)*1),"")))</f>
        <v/>
      </c>
      <c r="T240" t="str">
        <f>IF(S240="","",IF(S240="[FÓRMULA MANUAL]","",IFERROR(AVERAGEIFS(DATOS!$K$2:$K$20000,DATOS!$A$2:$A$20000,S240,DATOS!$G$2:$G$20000,CONFIG_METADATA!$B$4,DATOS!$I$2:$I$20000,"Armonía"),"")))</f>
        <v/>
      </c>
      <c r="U240" t="str">
        <f>IF(S240="","",IF(S240="[FÓRMULA MANUAL]","",IFERROR(AVERAGEIFS(DATOS!$K$2:$K$20000,DATOS!$A$2:$A$20000,S240,DATOS!$G$2:$G$20000,CONFIG_METADATA!$B$4,DATOS!$I$2:$I$20000,"Orquesta/Banda/Conjunto"),"")))</f>
        <v/>
      </c>
      <c r="V240" t="str">
        <f>IF(S240="","",IF(S240="[FÓRMULA MANUAL]","",IFERROR(AVERAGEIFS(DATOS!$K$2:$K$20000,DATOS!$A$2:$A$20000,S240,DATOS!$G$2:$G$20000,CONFIG_METADATA!$B$4,DATOS!$I$2:$I$20000,"Música de Cámara"),"")))</f>
        <v/>
      </c>
      <c r="W240" t="str">
        <f>IF(S240="","",IF(S240="[FÓRMULA MANUAL]","",IFERROR(SUMPRODUCT((DATOS!$A$2:$A$20000=S240)*(DATOS!$G$2:$G$20000=CONFIG_METADATA!$B$4)*(COUNTIF(CONFIG_ASIGNATURAS!$B$7:$B$27,DATOS!$I$2:$I$20000)&gt;0)*(DATOS!$K$2:$K$20000))/SUMPRODUCT((DATOS!$A$2:$A$20000=S240)*(DATOS!$G$2:$G$20000=CONFIG_METADATA!$B$4)*(COUNTIF(CONFIG_ASIGNATURAS!$B$7:$B$27,DATOS!$I$2:$I$20000)&gt;0)*1),"")))</f>
        <v/>
      </c>
      <c r="Z240" t="str">
        <f>IF(Y240="","",IF(Y240="[FÓRMULA MANUAL]","",IFERROR(AVERAGEIFS(DATOS!$K$2:$K$20000,DATOS!$A$2:$A$20000,Y240,DATOS!$G$2:$G$20000,CONFIG_METADATA!$B$4,DATOS!$I$2:$I$20000,"Análisis"),"")))</f>
        <v/>
      </c>
      <c r="AA240" t="str">
        <f>IF(Y240="","",IF(Y240="[FÓRMULA MANUAL]","",IFERROR(AVERAGEIFS(DATOS!$K$2:$K$20000,DATOS!$A$2:$A$20000,Y240,DATOS!$G$2:$G$20000,CONFIG_METADATA!$B$4,DATOS!$I$2:$I$20000,"Orquesta/Banda/Conjunto"),"")))</f>
        <v/>
      </c>
      <c r="AB240" t="str">
        <f>IF(Y240="","",IF(Y240="[FÓRMULA MANUAL]","",IFERROR(AVERAGEIFS(DATOS!$K$2:$K$20000,DATOS!$A$2:$A$20000,Y240,DATOS!$G$2:$G$20000,CONFIG_METADATA!$B$4,DATOS!$I$2:$I$20000,"Música de Cámara"),"")))</f>
        <v/>
      </c>
      <c r="AC240" t="str">
        <f>IF(Y240="","",IF(Y240="[FÓRMULA MANUAL]","",IFERROR(SUMPRODUCT((DATOS!$A$2:$A$20000=Y240)*(DATOS!$G$2:$G$20000=CONFIG_METADATA!$B$4)*(COUNTIF(CONFIG_ASIGNATURAS!$B$7:$B$27,DATOS!$I$2:$I$20000)&gt;0)*(DATOS!$K$2:$K$20000))/SUMPRODUCT((DATOS!$A$2:$A$20000=Y240)*(DATOS!$G$2:$G$20000=CONFIG_METADATA!$B$4)*(COUNTIF(CONFIG_ASIGNATURAS!$B$7:$B$27,DATOS!$I$2:$I$20000)&gt;0)*1),"")))</f>
        <v/>
      </c>
      <c r="AF240" t="str">
        <f>IF(AE240="","",IF(AE240="[FÓRMULA MANUAL]","",IFERROR(AVERAGEIFS(DATOS!$K$2:$K$20000,DATOS!$A$2:$A$20000,AE240,DATOS!$G$2:$G$20000,CONFIG_METADATA!$B$4,DATOS!$I$2:$I$20000,"Análisis"),"")))</f>
        <v/>
      </c>
      <c r="AG240" t="str">
        <f>IF(AE240="","",IF(AE240="[FÓRMULA MANUAL]","",IFERROR(AVERAGEIFS(DATOS!$K$2:$K$20000,DATOS!$A$2:$A$20000,AE240,DATOS!$G$2:$G$20000,CONFIG_METADATA!$B$4,DATOS!$I$2:$I$20000,"Orquesta/Banda/Conjunto"),"")))</f>
        <v/>
      </c>
      <c r="AH240" t="str">
        <f>IF(AE240="","",IF(AE240="[FÓRMULA MANUAL]","",IFERROR(AVERAGEIFS(DATOS!$K$2:$K$20000,DATOS!$A$2:$A$20000,AE240,DATOS!$G$2:$G$20000,CONFIG_METADATA!$B$4,DATOS!$I$2:$I$20000,"Música de Cámara"),"")))</f>
        <v/>
      </c>
      <c r="AI240" t="str">
        <f>IF(AE240="","",IF(AE240="[FÓRMULA MANUAL]","",IFERROR(SUMPRODUCT((DATOS!$A$2:$A$20000=AE240)*(DATOS!$G$2:$G$20000=CONFIG_METADATA!$B$4)*(COUNTIF(CONFIG_ASIGNATURAS!$B$7:$B$27,DATOS!$I$2:$I$20000)&gt;0)*(DATOS!$K$2:$K$20000))/SUMPRODUCT((DATOS!$A$2:$A$20000=AE240)*(DATOS!$G$2:$G$20000=CONFIG_METADATA!$B$4)*(COUNTIF(CONFIG_ASIGNATURAS!$B$7:$B$27,DATOS!$I$2:$I$20000)&gt;0)*1),"")))</f>
        <v/>
      </c>
    </row>
    <row r="241" spans="2:35" x14ac:dyDescent="0.2">
      <c r="B241" t="str">
        <f>IF(A241="","",IF(A241="[FÓRMULA MANUAL]","",IFERROR(AVERAGEIFS(DATOS!$K$2:$K$20000,DATOS!$A$2:$A$20000,A241,DATOS!$G$2:$G$20000,CONFIG_METADATA!$B$4,DATOS!$I$2:$I$20000,"Lenguaje Musical"),"")))</f>
        <v/>
      </c>
      <c r="C241" t="str">
        <f>IF(A241="","",IF(A241="[FÓRMULA MANUAL]","",IFERROR(AVERAGEIFS(DATOS!$K$2:$K$20000,DATOS!$A$2:$A$20000,A241,DATOS!$G$2:$G$20000,CONFIG_METADATA!$B$4,DATOS!$I$2:$I$20000,"Orquesta/Banda/Conjunto"),"")))</f>
        <v/>
      </c>
      <c r="D241" t="str">
        <f>IF(A241="","",IF(A241="[FÓRMULA MANUAL]","",IFERROR(AVERAGEIFS(DATOS!$K$2:$K$20000,DATOS!$A$2:$A$20000,A241,DATOS!$G$2:$G$20000,CONFIG_METADATA!$B$4,DATOS!$I$2:$I$20000,"Conjunto"),"")))</f>
        <v/>
      </c>
      <c r="E241" t="str">
        <f>IF(A241="","",IF(A241="[FÓRMULA MANUAL]","",IFERROR(SUMPRODUCT((DATOS!$A$2:$A$20000=A241)*(DATOS!$G$2:$G$20000=CONFIG_METADATA!$B$4)*(COUNTIF(CONFIG_ASIGNATURAS!$B$7:$B$27,DATOS!$I$2:$I$20000)&gt;0)*(DATOS!$K$2:$K$20000))/SUMPRODUCT((DATOS!$A$2:$A$20000=A241)*(DATOS!$G$2:$G$20000=CONFIG_METADATA!$B$4)*(COUNTIF(CONFIG_ASIGNATURAS!$B$7:$B$27,DATOS!$I$2:$I$20000)&gt;0)*1),"")))</f>
        <v/>
      </c>
      <c r="H241" t="str">
        <f>IF(G241="","",IF(G241="[FÓRMULA MANUAL]","",IFERROR(AVERAGEIFS(DATOS!$K$2:$K$20000,DATOS!$A$2:$A$20000,G241,DATOS!$G$2:$G$20000,CONFIG_METADATA!$B$4,DATOS!$I$2:$I$20000,"Lenguaje Musical"),"")))</f>
        <v/>
      </c>
      <c r="I241" t="str">
        <f>IF(G241="","",IF(G241="[FÓRMULA MANUAL]","",IFERROR(AVERAGEIFS(DATOS!$K$2:$K$20000,DATOS!$A$2:$A$20000,G241,DATOS!$G$2:$G$20000,CONFIG_METADATA!$B$4,DATOS!$I$2:$I$20000,"Orquesta/Banda/Conjunto"),"")))</f>
        <v/>
      </c>
      <c r="J241" t="str">
        <f>IF(G241="","",IF(G241="[FÓRMULA MANUAL]","",IFERROR(AVERAGEIFS(DATOS!$K$2:$K$20000,DATOS!$A$2:$A$20000,G241,DATOS!$G$2:$G$20000,CONFIG_METADATA!$B$4,DATOS!$I$2:$I$20000,"Conjunto"),"")))</f>
        <v/>
      </c>
      <c r="K241" t="str">
        <f>IF(G241="","",IF(G241="[FÓRMULA MANUAL]","",IFERROR(SUMPRODUCT((DATOS!$A$2:$A$20000=G241)*(DATOS!$G$2:$G$20000=CONFIG_METADATA!$B$4)*(COUNTIF(CONFIG_ASIGNATURAS!$B$7:$B$27,DATOS!$I$2:$I$20000)&gt;0)*(DATOS!$K$2:$K$20000))/SUMPRODUCT((DATOS!$A$2:$A$20000=G241)*(DATOS!$G$2:$G$20000=CONFIG_METADATA!$B$4)*(COUNTIF(CONFIG_ASIGNATURAS!$B$7:$B$27,DATOS!$I$2:$I$20000)&gt;0)*1),"")))</f>
        <v/>
      </c>
      <c r="N241" t="str">
        <f>IF(M241="","",IF(M241="[FÓRMULA MANUAL]","",IFERROR(AVERAGEIFS(DATOS!$K$2:$K$20000,DATOS!$A$2:$A$20000,M241,DATOS!$G$2:$G$20000,CONFIG_METADATA!$B$4,DATOS!$I$2:$I$20000,"Armonía"),"")))</f>
        <v/>
      </c>
      <c r="O241" t="str">
        <f>IF(M241="","",IF(M241="[FÓRMULA MANUAL]","",IFERROR(AVERAGEIFS(DATOS!$K$2:$K$20000,DATOS!$A$2:$A$20000,M241,DATOS!$G$2:$G$20000,CONFIG_METADATA!$B$4,DATOS!$I$2:$I$20000,"Orquesta/Banda/Conjunto"),"")))</f>
        <v/>
      </c>
      <c r="P241" t="str">
        <f>IF(M241="","",IF(M241="[FÓRMULA MANUAL]","",IFERROR(AVERAGEIFS(DATOS!$K$2:$K$20000,DATOS!$A$2:$A$20000,M241,DATOS!$G$2:$G$20000,CONFIG_METADATA!$B$4,DATOS!$I$2:$I$20000,"Música de Cámara"),"")))</f>
        <v/>
      </c>
      <c r="Q241" t="str">
        <f>IF(M241="","",IF(M241="[FÓRMULA MANUAL]","",IFERROR(SUMPRODUCT((DATOS!$A$2:$A$20000=M241)*(DATOS!$G$2:$G$20000=CONFIG_METADATA!$B$4)*(COUNTIF(CONFIG_ASIGNATURAS!$B$7:$B$27,DATOS!$I$2:$I$20000)&gt;0)*(DATOS!$K$2:$K$20000))/SUMPRODUCT((DATOS!$A$2:$A$20000=M241)*(DATOS!$G$2:$G$20000=CONFIG_METADATA!$B$4)*(COUNTIF(CONFIG_ASIGNATURAS!$B$7:$B$27,DATOS!$I$2:$I$20000)&gt;0)*1),"")))</f>
        <v/>
      </c>
      <c r="T241" t="str">
        <f>IF(S241="","",IF(S241="[FÓRMULA MANUAL]","",IFERROR(AVERAGEIFS(DATOS!$K$2:$K$20000,DATOS!$A$2:$A$20000,S241,DATOS!$G$2:$G$20000,CONFIG_METADATA!$B$4,DATOS!$I$2:$I$20000,"Armonía"),"")))</f>
        <v/>
      </c>
      <c r="U241" t="str">
        <f>IF(S241="","",IF(S241="[FÓRMULA MANUAL]","",IFERROR(AVERAGEIFS(DATOS!$K$2:$K$20000,DATOS!$A$2:$A$20000,S241,DATOS!$G$2:$G$20000,CONFIG_METADATA!$B$4,DATOS!$I$2:$I$20000,"Orquesta/Banda/Conjunto"),"")))</f>
        <v/>
      </c>
      <c r="V241" t="str">
        <f>IF(S241="","",IF(S241="[FÓRMULA MANUAL]","",IFERROR(AVERAGEIFS(DATOS!$K$2:$K$20000,DATOS!$A$2:$A$20000,S241,DATOS!$G$2:$G$20000,CONFIG_METADATA!$B$4,DATOS!$I$2:$I$20000,"Música de Cámara"),"")))</f>
        <v/>
      </c>
      <c r="W241" t="str">
        <f>IF(S241="","",IF(S241="[FÓRMULA MANUAL]","",IFERROR(SUMPRODUCT((DATOS!$A$2:$A$20000=S241)*(DATOS!$G$2:$G$20000=CONFIG_METADATA!$B$4)*(COUNTIF(CONFIG_ASIGNATURAS!$B$7:$B$27,DATOS!$I$2:$I$20000)&gt;0)*(DATOS!$K$2:$K$20000))/SUMPRODUCT((DATOS!$A$2:$A$20000=S241)*(DATOS!$G$2:$G$20000=CONFIG_METADATA!$B$4)*(COUNTIF(CONFIG_ASIGNATURAS!$B$7:$B$27,DATOS!$I$2:$I$20000)&gt;0)*1),"")))</f>
        <v/>
      </c>
      <c r="Z241" t="str">
        <f>IF(Y241="","",IF(Y241="[FÓRMULA MANUAL]","",IFERROR(AVERAGEIFS(DATOS!$K$2:$K$20000,DATOS!$A$2:$A$20000,Y241,DATOS!$G$2:$G$20000,CONFIG_METADATA!$B$4,DATOS!$I$2:$I$20000,"Análisis"),"")))</f>
        <v/>
      </c>
      <c r="AA241" t="str">
        <f>IF(Y241="","",IF(Y241="[FÓRMULA MANUAL]","",IFERROR(AVERAGEIFS(DATOS!$K$2:$K$20000,DATOS!$A$2:$A$20000,Y241,DATOS!$G$2:$G$20000,CONFIG_METADATA!$B$4,DATOS!$I$2:$I$20000,"Orquesta/Banda/Conjunto"),"")))</f>
        <v/>
      </c>
      <c r="AB241" t="str">
        <f>IF(Y241="","",IF(Y241="[FÓRMULA MANUAL]","",IFERROR(AVERAGEIFS(DATOS!$K$2:$K$20000,DATOS!$A$2:$A$20000,Y241,DATOS!$G$2:$G$20000,CONFIG_METADATA!$B$4,DATOS!$I$2:$I$20000,"Música de Cámara"),"")))</f>
        <v/>
      </c>
      <c r="AC241" t="str">
        <f>IF(Y241="","",IF(Y241="[FÓRMULA MANUAL]","",IFERROR(SUMPRODUCT((DATOS!$A$2:$A$20000=Y241)*(DATOS!$G$2:$G$20000=CONFIG_METADATA!$B$4)*(COUNTIF(CONFIG_ASIGNATURAS!$B$7:$B$27,DATOS!$I$2:$I$20000)&gt;0)*(DATOS!$K$2:$K$20000))/SUMPRODUCT((DATOS!$A$2:$A$20000=Y241)*(DATOS!$G$2:$G$20000=CONFIG_METADATA!$B$4)*(COUNTIF(CONFIG_ASIGNATURAS!$B$7:$B$27,DATOS!$I$2:$I$20000)&gt;0)*1),"")))</f>
        <v/>
      </c>
      <c r="AF241" t="str">
        <f>IF(AE241="","",IF(AE241="[FÓRMULA MANUAL]","",IFERROR(AVERAGEIFS(DATOS!$K$2:$K$20000,DATOS!$A$2:$A$20000,AE241,DATOS!$G$2:$G$20000,CONFIG_METADATA!$B$4,DATOS!$I$2:$I$20000,"Análisis"),"")))</f>
        <v/>
      </c>
      <c r="AG241" t="str">
        <f>IF(AE241="","",IF(AE241="[FÓRMULA MANUAL]","",IFERROR(AVERAGEIFS(DATOS!$K$2:$K$20000,DATOS!$A$2:$A$20000,AE241,DATOS!$G$2:$G$20000,CONFIG_METADATA!$B$4,DATOS!$I$2:$I$20000,"Orquesta/Banda/Conjunto"),"")))</f>
        <v/>
      </c>
      <c r="AH241" t="str">
        <f>IF(AE241="","",IF(AE241="[FÓRMULA MANUAL]","",IFERROR(AVERAGEIFS(DATOS!$K$2:$K$20000,DATOS!$A$2:$A$20000,AE241,DATOS!$G$2:$G$20000,CONFIG_METADATA!$B$4,DATOS!$I$2:$I$20000,"Música de Cámara"),"")))</f>
        <v/>
      </c>
      <c r="AI241" t="str">
        <f>IF(AE241="","",IF(AE241="[FÓRMULA MANUAL]","",IFERROR(SUMPRODUCT((DATOS!$A$2:$A$20000=AE241)*(DATOS!$G$2:$G$20000=CONFIG_METADATA!$B$4)*(COUNTIF(CONFIG_ASIGNATURAS!$B$7:$B$27,DATOS!$I$2:$I$20000)&gt;0)*(DATOS!$K$2:$K$20000))/SUMPRODUCT((DATOS!$A$2:$A$20000=AE241)*(DATOS!$G$2:$G$20000=CONFIG_METADATA!$B$4)*(COUNTIF(CONFIG_ASIGNATURAS!$B$7:$B$27,DATOS!$I$2:$I$20000)&gt;0)*1),"")))</f>
        <v/>
      </c>
    </row>
    <row r="242" spans="2:35" x14ac:dyDescent="0.2">
      <c r="B242" t="str">
        <f>IF(A242="","",IF(A242="[FÓRMULA MANUAL]","",IFERROR(AVERAGEIFS(DATOS!$K$2:$K$20000,DATOS!$A$2:$A$20000,A242,DATOS!$G$2:$G$20000,CONFIG_METADATA!$B$4,DATOS!$I$2:$I$20000,"Lenguaje Musical"),"")))</f>
        <v/>
      </c>
      <c r="C242" t="str">
        <f>IF(A242="","",IF(A242="[FÓRMULA MANUAL]","",IFERROR(AVERAGEIFS(DATOS!$K$2:$K$20000,DATOS!$A$2:$A$20000,A242,DATOS!$G$2:$G$20000,CONFIG_METADATA!$B$4,DATOS!$I$2:$I$20000,"Orquesta/Banda/Conjunto"),"")))</f>
        <v/>
      </c>
      <c r="D242" t="str">
        <f>IF(A242="","",IF(A242="[FÓRMULA MANUAL]","",IFERROR(AVERAGEIFS(DATOS!$K$2:$K$20000,DATOS!$A$2:$A$20000,A242,DATOS!$G$2:$G$20000,CONFIG_METADATA!$B$4,DATOS!$I$2:$I$20000,"Conjunto"),"")))</f>
        <v/>
      </c>
      <c r="E242" t="str">
        <f>IF(A242="","",IF(A242="[FÓRMULA MANUAL]","",IFERROR(SUMPRODUCT((DATOS!$A$2:$A$20000=A242)*(DATOS!$G$2:$G$20000=CONFIG_METADATA!$B$4)*(COUNTIF(CONFIG_ASIGNATURAS!$B$7:$B$27,DATOS!$I$2:$I$20000)&gt;0)*(DATOS!$K$2:$K$20000))/SUMPRODUCT((DATOS!$A$2:$A$20000=A242)*(DATOS!$G$2:$G$20000=CONFIG_METADATA!$B$4)*(COUNTIF(CONFIG_ASIGNATURAS!$B$7:$B$27,DATOS!$I$2:$I$20000)&gt;0)*1),"")))</f>
        <v/>
      </c>
      <c r="H242" t="str">
        <f>IF(G242="","",IF(G242="[FÓRMULA MANUAL]","",IFERROR(AVERAGEIFS(DATOS!$K$2:$K$20000,DATOS!$A$2:$A$20000,G242,DATOS!$G$2:$G$20000,CONFIG_METADATA!$B$4,DATOS!$I$2:$I$20000,"Lenguaje Musical"),"")))</f>
        <v/>
      </c>
      <c r="I242" t="str">
        <f>IF(G242="","",IF(G242="[FÓRMULA MANUAL]","",IFERROR(AVERAGEIFS(DATOS!$K$2:$K$20000,DATOS!$A$2:$A$20000,G242,DATOS!$G$2:$G$20000,CONFIG_METADATA!$B$4,DATOS!$I$2:$I$20000,"Orquesta/Banda/Conjunto"),"")))</f>
        <v/>
      </c>
      <c r="J242" t="str">
        <f>IF(G242="","",IF(G242="[FÓRMULA MANUAL]","",IFERROR(AVERAGEIFS(DATOS!$K$2:$K$20000,DATOS!$A$2:$A$20000,G242,DATOS!$G$2:$G$20000,CONFIG_METADATA!$B$4,DATOS!$I$2:$I$20000,"Conjunto"),"")))</f>
        <v/>
      </c>
      <c r="K242" t="str">
        <f>IF(G242="","",IF(G242="[FÓRMULA MANUAL]","",IFERROR(SUMPRODUCT((DATOS!$A$2:$A$20000=G242)*(DATOS!$G$2:$G$20000=CONFIG_METADATA!$B$4)*(COUNTIF(CONFIG_ASIGNATURAS!$B$7:$B$27,DATOS!$I$2:$I$20000)&gt;0)*(DATOS!$K$2:$K$20000))/SUMPRODUCT((DATOS!$A$2:$A$20000=G242)*(DATOS!$G$2:$G$20000=CONFIG_METADATA!$B$4)*(COUNTIF(CONFIG_ASIGNATURAS!$B$7:$B$27,DATOS!$I$2:$I$20000)&gt;0)*1),"")))</f>
        <v/>
      </c>
      <c r="N242" t="str">
        <f>IF(M242="","",IF(M242="[FÓRMULA MANUAL]","",IFERROR(AVERAGEIFS(DATOS!$K$2:$K$20000,DATOS!$A$2:$A$20000,M242,DATOS!$G$2:$G$20000,CONFIG_METADATA!$B$4,DATOS!$I$2:$I$20000,"Armonía"),"")))</f>
        <v/>
      </c>
      <c r="O242" t="str">
        <f>IF(M242="","",IF(M242="[FÓRMULA MANUAL]","",IFERROR(AVERAGEIFS(DATOS!$K$2:$K$20000,DATOS!$A$2:$A$20000,M242,DATOS!$G$2:$G$20000,CONFIG_METADATA!$B$4,DATOS!$I$2:$I$20000,"Orquesta/Banda/Conjunto"),"")))</f>
        <v/>
      </c>
      <c r="P242" t="str">
        <f>IF(M242="","",IF(M242="[FÓRMULA MANUAL]","",IFERROR(AVERAGEIFS(DATOS!$K$2:$K$20000,DATOS!$A$2:$A$20000,M242,DATOS!$G$2:$G$20000,CONFIG_METADATA!$B$4,DATOS!$I$2:$I$20000,"Música de Cámara"),"")))</f>
        <v/>
      </c>
      <c r="Q242" t="str">
        <f>IF(M242="","",IF(M242="[FÓRMULA MANUAL]","",IFERROR(SUMPRODUCT((DATOS!$A$2:$A$20000=M242)*(DATOS!$G$2:$G$20000=CONFIG_METADATA!$B$4)*(COUNTIF(CONFIG_ASIGNATURAS!$B$7:$B$27,DATOS!$I$2:$I$20000)&gt;0)*(DATOS!$K$2:$K$20000))/SUMPRODUCT((DATOS!$A$2:$A$20000=M242)*(DATOS!$G$2:$G$20000=CONFIG_METADATA!$B$4)*(COUNTIF(CONFIG_ASIGNATURAS!$B$7:$B$27,DATOS!$I$2:$I$20000)&gt;0)*1),"")))</f>
        <v/>
      </c>
      <c r="T242" t="str">
        <f>IF(S242="","",IF(S242="[FÓRMULA MANUAL]","",IFERROR(AVERAGEIFS(DATOS!$K$2:$K$20000,DATOS!$A$2:$A$20000,S242,DATOS!$G$2:$G$20000,CONFIG_METADATA!$B$4,DATOS!$I$2:$I$20000,"Armonía"),"")))</f>
        <v/>
      </c>
      <c r="U242" t="str">
        <f>IF(S242="","",IF(S242="[FÓRMULA MANUAL]","",IFERROR(AVERAGEIFS(DATOS!$K$2:$K$20000,DATOS!$A$2:$A$20000,S242,DATOS!$G$2:$G$20000,CONFIG_METADATA!$B$4,DATOS!$I$2:$I$20000,"Orquesta/Banda/Conjunto"),"")))</f>
        <v/>
      </c>
      <c r="V242" t="str">
        <f>IF(S242="","",IF(S242="[FÓRMULA MANUAL]","",IFERROR(AVERAGEIFS(DATOS!$K$2:$K$20000,DATOS!$A$2:$A$20000,S242,DATOS!$G$2:$G$20000,CONFIG_METADATA!$B$4,DATOS!$I$2:$I$20000,"Música de Cámara"),"")))</f>
        <v/>
      </c>
      <c r="W242" t="str">
        <f>IF(S242="","",IF(S242="[FÓRMULA MANUAL]","",IFERROR(SUMPRODUCT((DATOS!$A$2:$A$20000=S242)*(DATOS!$G$2:$G$20000=CONFIG_METADATA!$B$4)*(COUNTIF(CONFIG_ASIGNATURAS!$B$7:$B$27,DATOS!$I$2:$I$20000)&gt;0)*(DATOS!$K$2:$K$20000))/SUMPRODUCT((DATOS!$A$2:$A$20000=S242)*(DATOS!$G$2:$G$20000=CONFIG_METADATA!$B$4)*(COUNTIF(CONFIG_ASIGNATURAS!$B$7:$B$27,DATOS!$I$2:$I$20000)&gt;0)*1),"")))</f>
        <v/>
      </c>
      <c r="Z242" t="str">
        <f>IF(Y242="","",IF(Y242="[FÓRMULA MANUAL]","",IFERROR(AVERAGEIFS(DATOS!$K$2:$K$20000,DATOS!$A$2:$A$20000,Y242,DATOS!$G$2:$G$20000,CONFIG_METADATA!$B$4,DATOS!$I$2:$I$20000,"Análisis"),"")))</f>
        <v/>
      </c>
      <c r="AA242" t="str">
        <f>IF(Y242="","",IF(Y242="[FÓRMULA MANUAL]","",IFERROR(AVERAGEIFS(DATOS!$K$2:$K$20000,DATOS!$A$2:$A$20000,Y242,DATOS!$G$2:$G$20000,CONFIG_METADATA!$B$4,DATOS!$I$2:$I$20000,"Orquesta/Banda/Conjunto"),"")))</f>
        <v/>
      </c>
      <c r="AB242" t="str">
        <f>IF(Y242="","",IF(Y242="[FÓRMULA MANUAL]","",IFERROR(AVERAGEIFS(DATOS!$K$2:$K$20000,DATOS!$A$2:$A$20000,Y242,DATOS!$G$2:$G$20000,CONFIG_METADATA!$B$4,DATOS!$I$2:$I$20000,"Música de Cámara"),"")))</f>
        <v/>
      </c>
      <c r="AC242" t="str">
        <f>IF(Y242="","",IF(Y242="[FÓRMULA MANUAL]","",IFERROR(SUMPRODUCT((DATOS!$A$2:$A$20000=Y242)*(DATOS!$G$2:$G$20000=CONFIG_METADATA!$B$4)*(COUNTIF(CONFIG_ASIGNATURAS!$B$7:$B$27,DATOS!$I$2:$I$20000)&gt;0)*(DATOS!$K$2:$K$20000))/SUMPRODUCT((DATOS!$A$2:$A$20000=Y242)*(DATOS!$G$2:$G$20000=CONFIG_METADATA!$B$4)*(COUNTIF(CONFIG_ASIGNATURAS!$B$7:$B$27,DATOS!$I$2:$I$20000)&gt;0)*1),"")))</f>
        <v/>
      </c>
      <c r="AF242" t="str">
        <f>IF(AE242="","",IF(AE242="[FÓRMULA MANUAL]","",IFERROR(AVERAGEIFS(DATOS!$K$2:$K$20000,DATOS!$A$2:$A$20000,AE242,DATOS!$G$2:$G$20000,CONFIG_METADATA!$B$4,DATOS!$I$2:$I$20000,"Análisis"),"")))</f>
        <v/>
      </c>
      <c r="AG242" t="str">
        <f>IF(AE242="","",IF(AE242="[FÓRMULA MANUAL]","",IFERROR(AVERAGEIFS(DATOS!$K$2:$K$20000,DATOS!$A$2:$A$20000,AE242,DATOS!$G$2:$G$20000,CONFIG_METADATA!$B$4,DATOS!$I$2:$I$20000,"Orquesta/Banda/Conjunto"),"")))</f>
        <v/>
      </c>
      <c r="AH242" t="str">
        <f>IF(AE242="","",IF(AE242="[FÓRMULA MANUAL]","",IFERROR(AVERAGEIFS(DATOS!$K$2:$K$20000,DATOS!$A$2:$A$20000,AE242,DATOS!$G$2:$G$20000,CONFIG_METADATA!$B$4,DATOS!$I$2:$I$20000,"Música de Cámara"),"")))</f>
        <v/>
      </c>
      <c r="AI242" t="str">
        <f>IF(AE242="","",IF(AE242="[FÓRMULA MANUAL]","",IFERROR(SUMPRODUCT((DATOS!$A$2:$A$20000=AE242)*(DATOS!$G$2:$G$20000=CONFIG_METADATA!$B$4)*(COUNTIF(CONFIG_ASIGNATURAS!$B$7:$B$27,DATOS!$I$2:$I$20000)&gt;0)*(DATOS!$K$2:$K$20000))/SUMPRODUCT((DATOS!$A$2:$A$20000=AE242)*(DATOS!$G$2:$G$20000=CONFIG_METADATA!$B$4)*(COUNTIF(CONFIG_ASIGNATURAS!$B$7:$B$27,DATOS!$I$2:$I$20000)&gt;0)*1),"")))</f>
        <v/>
      </c>
    </row>
    <row r="243" spans="2:35" x14ac:dyDescent="0.2">
      <c r="B243" t="str">
        <f>IF(A243="","",IF(A243="[FÓRMULA MANUAL]","",IFERROR(AVERAGEIFS(DATOS!$K$2:$K$20000,DATOS!$A$2:$A$20000,A243,DATOS!$G$2:$G$20000,CONFIG_METADATA!$B$4,DATOS!$I$2:$I$20000,"Lenguaje Musical"),"")))</f>
        <v/>
      </c>
      <c r="C243" t="str">
        <f>IF(A243="","",IF(A243="[FÓRMULA MANUAL]","",IFERROR(AVERAGEIFS(DATOS!$K$2:$K$20000,DATOS!$A$2:$A$20000,A243,DATOS!$G$2:$G$20000,CONFIG_METADATA!$B$4,DATOS!$I$2:$I$20000,"Orquesta/Banda/Conjunto"),"")))</f>
        <v/>
      </c>
      <c r="D243" t="str">
        <f>IF(A243="","",IF(A243="[FÓRMULA MANUAL]","",IFERROR(AVERAGEIFS(DATOS!$K$2:$K$20000,DATOS!$A$2:$A$20000,A243,DATOS!$G$2:$G$20000,CONFIG_METADATA!$B$4,DATOS!$I$2:$I$20000,"Conjunto"),"")))</f>
        <v/>
      </c>
      <c r="E243" t="str">
        <f>IF(A243="","",IF(A243="[FÓRMULA MANUAL]","",IFERROR(SUMPRODUCT((DATOS!$A$2:$A$20000=A243)*(DATOS!$G$2:$G$20000=CONFIG_METADATA!$B$4)*(COUNTIF(CONFIG_ASIGNATURAS!$B$7:$B$27,DATOS!$I$2:$I$20000)&gt;0)*(DATOS!$K$2:$K$20000))/SUMPRODUCT((DATOS!$A$2:$A$20000=A243)*(DATOS!$G$2:$G$20000=CONFIG_METADATA!$B$4)*(COUNTIF(CONFIG_ASIGNATURAS!$B$7:$B$27,DATOS!$I$2:$I$20000)&gt;0)*1),"")))</f>
        <v/>
      </c>
      <c r="H243" t="str">
        <f>IF(G243="","",IF(G243="[FÓRMULA MANUAL]","",IFERROR(AVERAGEIFS(DATOS!$K$2:$K$20000,DATOS!$A$2:$A$20000,G243,DATOS!$G$2:$G$20000,CONFIG_METADATA!$B$4,DATOS!$I$2:$I$20000,"Lenguaje Musical"),"")))</f>
        <v/>
      </c>
      <c r="I243" t="str">
        <f>IF(G243="","",IF(G243="[FÓRMULA MANUAL]","",IFERROR(AVERAGEIFS(DATOS!$K$2:$K$20000,DATOS!$A$2:$A$20000,G243,DATOS!$G$2:$G$20000,CONFIG_METADATA!$B$4,DATOS!$I$2:$I$20000,"Orquesta/Banda/Conjunto"),"")))</f>
        <v/>
      </c>
      <c r="J243" t="str">
        <f>IF(G243="","",IF(G243="[FÓRMULA MANUAL]","",IFERROR(AVERAGEIFS(DATOS!$K$2:$K$20000,DATOS!$A$2:$A$20000,G243,DATOS!$G$2:$G$20000,CONFIG_METADATA!$B$4,DATOS!$I$2:$I$20000,"Conjunto"),"")))</f>
        <v/>
      </c>
      <c r="K243" t="str">
        <f>IF(G243="","",IF(G243="[FÓRMULA MANUAL]","",IFERROR(SUMPRODUCT((DATOS!$A$2:$A$20000=G243)*(DATOS!$G$2:$G$20000=CONFIG_METADATA!$B$4)*(COUNTIF(CONFIG_ASIGNATURAS!$B$7:$B$27,DATOS!$I$2:$I$20000)&gt;0)*(DATOS!$K$2:$K$20000))/SUMPRODUCT((DATOS!$A$2:$A$20000=G243)*(DATOS!$G$2:$G$20000=CONFIG_METADATA!$B$4)*(COUNTIF(CONFIG_ASIGNATURAS!$B$7:$B$27,DATOS!$I$2:$I$20000)&gt;0)*1),"")))</f>
        <v/>
      </c>
      <c r="N243" t="str">
        <f>IF(M243="","",IF(M243="[FÓRMULA MANUAL]","",IFERROR(AVERAGEIFS(DATOS!$K$2:$K$20000,DATOS!$A$2:$A$20000,M243,DATOS!$G$2:$G$20000,CONFIG_METADATA!$B$4,DATOS!$I$2:$I$20000,"Armonía"),"")))</f>
        <v/>
      </c>
      <c r="O243" t="str">
        <f>IF(M243="","",IF(M243="[FÓRMULA MANUAL]","",IFERROR(AVERAGEIFS(DATOS!$K$2:$K$20000,DATOS!$A$2:$A$20000,M243,DATOS!$G$2:$G$20000,CONFIG_METADATA!$B$4,DATOS!$I$2:$I$20000,"Orquesta/Banda/Conjunto"),"")))</f>
        <v/>
      </c>
      <c r="P243" t="str">
        <f>IF(M243="","",IF(M243="[FÓRMULA MANUAL]","",IFERROR(AVERAGEIFS(DATOS!$K$2:$K$20000,DATOS!$A$2:$A$20000,M243,DATOS!$G$2:$G$20000,CONFIG_METADATA!$B$4,DATOS!$I$2:$I$20000,"Música de Cámara"),"")))</f>
        <v/>
      </c>
      <c r="Q243" t="str">
        <f>IF(M243="","",IF(M243="[FÓRMULA MANUAL]","",IFERROR(SUMPRODUCT((DATOS!$A$2:$A$20000=M243)*(DATOS!$G$2:$G$20000=CONFIG_METADATA!$B$4)*(COUNTIF(CONFIG_ASIGNATURAS!$B$7:$B$27,DATOS!$I$2:$I$20000)&gt;0)*(DATOS!$K$2:$K$20000))/SUMPRODUCT((DATOS!$A$2:$A$20000=M243)*(DATOS!$G$2:$G$20000=CONFIG_METADATA!$B$4)*(COUNTIF(CONFIG_ASIGNATURAS!$B$7:$B$27,DATOS!$I$2:$I$20000)&gt;0)*1),"")))</f>
        <v/>
      </c>
      <c r="T243" t="str">
        <f>IF(S243="","",IF(S243="[FÓRMULA MANUAL]","",IFERROR(AVERAGEIFS(DATOS!$K$2:$K$20000,DATOS!$A$2:$A$20000,S243,DATOS!$G$2:$G$20000,CONFIG_METADATA!$B$4,DATOS!$I$2:$I$20000,"Armonía"),"")))</f>
        <v/>
      </c>
      <c r="U243" t="str">
        <f>IF(S243="","",IF(S243="[FÓRMULA MANUAL]","",IFERROR(AVERAGEIFS(DATOS!$K$2:$K$20000,DATOS!$A$2:$A$20000,S243,DATOS!$G$2:$G$20000,CONFIG_METADATA!$B$4,DATOS!$I$2:$I$20000,"Orquesta/Banda/Conjunto"),"")))</f>
        <v/>
      </c>
      <c r="V243" t="str">
        <f>IF(S243="","",IF(S243="[FÓRMULA MANUAL]","",IFERROR(AVERAGEIFS(DATOS!$K$2:$K$20000,DATOS!$A$2:$A$20000,S243,DATOS!$G$2:$G$20000,CONFIG_METADATA!$B$4,DATOS!$I$2:$I$20000,"Música de Cámara"),"")))</f>
        <v/>
      </c>
      <c r="W243" t="str">
        <f>IF(S243="","",IF(S243="[FÓRMULA MANUAL]","",IFERROR(SUMPRODUCT((DATOS!$A$2:$A$20000=S243)*(DATOS!$G$2:$G$20000=CONFIG_METADATA!$B$4)*(COUNTIF(CONFIG_ASIGNATURAS!$B$7:$B$27,DATOS!$I$2:$I$20000)&gt;0)*(DATOS!$K$2:$K$20000))/SUMPRODUCT((DATOS!$A$2:$A$20000=S243)*(DATOS!$G$2:$G$20000=CONFIG_METADATA!$B$4)*(COUNTIF(CONFIG_ASIGNATURAS!$B$7:$B$27,DATOS!$I$2:$I$20000)&gt;0)*1),"")))</f>
        <v/>
      </c>
      <c r="Z243" t="str">
        <f>IF(Y243="","",IF(Y243="[FÓRMULA MANUAL]","",IFERROR(AVERAGEIFS(DATOS!$K$2:$K$20000,DATOS!$A$2:$A$20000,Y243,DATOS!$G$2:$G$20000,CONFIG_METADATA!$B$4,DATOS!$I$2:$I$20000,"Análisis"),"")))</f>
        <v/>
      </c>
      <c r="AA243" t="str">
        <f>IF(Y243="","",IF(Y243="[FÓRMULA MANUAL]","",IFERROR(AVERAGEIFS(DATOS!$K$2:$K$20000,DATOS!$A$2:$A$20000,Y243,DATOS!$G$2:$G$20000,CONFIG_METADATA!$B$4,DATOS!$I$2:$I$20000,"Orquesta/Banda/Conjunto"),"")))</f>
        <v/>
      </c>
      <c r="AB243" t="str">
        <f>IF(Y243="","",IF(Y243="[FÓRMULA MANUAL]","",IFERROR(AVERAGEIFS(DATOS!$K$2:$K$20000,DATOS!$A$2:$A$20000,Y243,DATOS!$G$2:$G$20000,CONFIG_METADATA!$B$4,DATOS!$I$2:$I$20000,"Música de Cámara"),"")))</f>
        <v/>
      </c>
      <c r="AC243" t="str">
        <f>IF(Y243="","",IF(Y243="[FÓRMULA MANUAL]","",IFERROR(SUMPRODUCT((DATOS!$A$2:$A$20000=Y243)*(DATOS!$G$2:$G$20000=CONFIG_METADATA!$B$4)*(COUNTIF(CONFIG_ASIGNATURAS!$B$7:$B$27,DATOS!$I$2:$I$20000)&gt;0)*(DATOS!$K$2:$K$20000))/SUMPRODUCT((DATOS!$A$2:$A$20000=Y243)*(DATOS!$G$2:$G$20000=CONFIG_METADATA!$B$4)*(COUNTIF(CONFIG_ASIGNATURAS!$B$7:$B$27,DATOS!$I$2:$I$20000)&gt;0)*1),"")))</f>
        <v/>
      </c>
      <c r="AF243" t="str">
        <f>IF(AE243="","",IF(AE243="[FÓRMULA MANUAL]","",IFERROR(AVERAGEIFS(DATOS!$K$2:$K$20000,DATOS!$A$2:$A$20000,AE243,DATOS!$G$2:$G$20000,CONFIG_METADATA!$B$4,DATOS!$I$2:$I$20000,"Análisis"),"")))</f>
        <v/>
      </c>
      <c r="AG243" t="str">
        <f>IF(AE243="","",IF(AE243="[FÓRMULA MANUAL]","",IFERROR(AVERAGEIFS(DATOS!$K$2:$K$20000,DATOS!$A$2:$A$20000,AE243,DATOS!$G$2:$G$20000,CONFIG_METADATA!$B$4,DATOS!$I$2:$I$20000,"Orquesta/Banda/Conjunto"),"")))</f>
        <v/>
      </c>
      <c r="AH243" t="str">
        <f>IF(AE243="","",IF(AE243="[FÓRMULA MANUAL]","",IFERROR(AVERAGEIFS(DATOS!$K$2:$K$20000,DATOS!$A$2:$A$20000,AE243,DATOS!$G$2:$G$20000,CONFIG_METADATA!$B$4,DATOS!$I$2:$I$20000,"Música de Cámara"),"")))</f>
        <v/>
      </c>
      <c r="AI243" t="str">
        <f>IF(AE243="","",IF(AE243="[FÓRMULA MANUAL]","",IFERROR(SUMPRODUCT((DATOS!$A$2:$A$20000=AE243)*(DATOS!$G$2:$G$20000=CONFIG_METADATA!$B$4)*(COUNTIF(CONFIG_ASIGNATURAS!$B$7:$B$27,DATOS!$I$2:$I$20000)&gt;0)*(DATOS!$K$2:$K$20000))/SUMPRODUCT((DATOS!$A$2:$A$20000=AE243)*(DATOS!$G$2:$G$20000=CONFIG_METADATA!$B$4)*(COUNTIF(CONFIG_ASIGNATURAS!$B$7:$B$27,DATOS!$I$2:$I$20000)&gt;0)*1),"")))</f>
        <v/>
      </c>
    </row>
    <row r="244" spans="2:35" x14ac:dyDescent="0.2">
      <c r="B244" t="str">
        <f>IF(A244="","",IF(A244="[FÓRMULA MANUAL]","",IFERROR(AVERAGEIFS(DATOS!$K$2:$K$20000,DATOS!$A$2:$A$20000,A244,DATOS!$G$2:$G$20000,CONFIG_METADATA!$B$4,DATOS!$I$2:$I$20000,"Lenguaje Musical"),"")))</f>
        <v/>
      </c>
      <c r="C244" t="str">
        <f>IF(A244="","",IF(A244="[FÓRMULA MANUAL]","",IFERROR(AVERAGEIFS(DATOS!$K$2:$K$20000,DATOS!$A$2:$A$20000,A244,DATOS!$G$2:$G$20000,CONFIG_METADATA!$B$4,DATOS!$I$2:$I$20000,"Orquesta/Banda/Conjunto"),"")))</f>
        <v/>
      </c>
      <c r="D244" t="str">
        <f>IF(A244="","",IF(A244="[FÓRMULA MANUAL]","",IFERROR(AVERAGEIFS(DATOS!$K$2:$K$20000,DATOS!$A$2:$A$20000,A244,DATOS!$G$2:$G$20000,CONFIG_METADATA!$B$4,DATOS!$I$2:$I$20000,"Conjunto"),"")))</f>
        <v/>
      </c>
      <c r="E244" t="str">
        <f>IF(A244="","",IF(A244="[FÓRMULA MANUAL]","",IFERROR(SUMPRODUCT((DATOS!$A$2:$A$20000=A244)*(DATOS!$G$2:$G$20000=CONFIG_METADATA!$B$4)*(COUNTIF(CONFIG_ASIGNATURAS!$B$7:$B$27,DATOS!$I$2:$I$20000)&gt;0)*(DATOS!$K$2:$K$20000))/SUMPRODUCT((DATOS!$A$2:$A$20000=A244)*(DATOS!$G$2:$G$20000=CONFIG_METADATA!$B$4)*(COUNTIF(CONFIG_ASIGNATURAS!$B$7:$B$27,DATOS!$I$2:$I$20000)&gt;0)*1),"")))</f>
        <v/>
      </c>
      <c r="H244" t="str">
        <f>IF(G244="","",IF(G244="[FÓRMULA MANUAL]","",IFERROR(AVERAGEIFS(DATOS!$K$2:$K$20000,DATOS!$A$2:$A$20000,G244,DATOS!$G$2:$G$20000,CONFIG_METADATA!$B$4,DATOS!$I$2:$I$20000,"Lenguaje Musical"),"")))</f>
        <v/>
      </c>
      <c r="I244" t="str">
        <f>IF(G244="","",IF(G244="[FÓRMULA MANUAL]","",IFERROR(AVERAGEIFS(DATOS!$K$2:$K$20000,DATOS!$A$2:$A$20000,G244,DATOS!$G$2:$G$20000,CONFIG_METADATA!$B$4,DATOS!$I$2:$I$20000,"Orquesta/Banda/Conjunto"),"")))</f>
        <v/>
      </c>
      <c r="J244" t="str">
        <f>IF(G244="","",IF(G244="[FÓRMULA MANUAL]","",IFERROR(AVERAGEIFS(DATOS!$K$2:$K$20000,DATOS!$A$2:$A$20000,G244,DATOS!$G$2:$G$20000,CONFIG_METADATA!$B$4,DATOS!$I$2:$I$20000,"Conjunto"),"")))</f>
        <v/>
      </c>
      <c r="K244" t="str">
        <f>IF(G244="","",IF(G244="[FÓRMULA MANUAL]","",IFERROR(SUMPRODUCT((DATOS!$A$2:$A$20000=G244)*(DATOS!$G$2:$G$20000=CONFIG_METADATA!$B$4)*(COUNTIF(CONFIG_ASIGNATURAS!$B$7:$B$27,DATOS!$I$2:$I$20000)&gt;0)*(DATOS!$K$2:$K$20000))/SUMPRODUCT((DATOS!$A$2:$A$20000=G244)*(DATOS!$G$2:$G$20000=CONFIG_METADATA!$B$4)*(COUNTIF(CONFIG_ASIGNATURAS!$B$7:$B$27,DATOS!$I$2:$I$20000)&gt;0)*1),"")))</f>
        <v/>
      </c>
      <c r="N244" t="str">
        <f>IF(M244="","",IF(M244="[FÓRMULA MANUAL]","",IFERROR(AVERAGEIFS(DATOS!$K$2:$K$20000,DATOS!$A$2:$A$20000,M244,DATOS!$G$2:$G$20000,CONFIG_METADATA!$B$4,DATOS!$I$2:$I$20000,"Armonía"),"")))</f>
        <v/>
      </c>
      <c r="O244" t="str">
        <f>IF(M244="","",IF(M244="[FÓRMULA MANUAL]","",IFERROR(AVERAGEIFS(DATOS!$K$2:$K$20000,DATOS!$A$2:$A$20000,M244,DATOS!$G$2:$G$20000,CONFIG_METADATA!$B$4,DATOS!$I$2:$I$20000,"Orquesta/Banda/Conjunto"),"")))</f>
        <v/>
      </c>
      <c r="P244" t="str">
        <f>IF(M244="","",IF(M244="[FÓRMULA MANUAL]","",IFERROR(AVERAGEIFS(DATOS!$K$2:$K$20000,DATOS!$A$2:$A$20000,M244,DATOS!$G$2:$G$20000,CONFIG_METADATA!$B$4,DATOS!$I$2:$I$20000,"Música de Cámara"),"")))</f>
        <v/>
      </c>
      <c r="Q244" t="str">
        <f>IF(M244="","",IF(M244="[FÓRMULA MANUAL]","",IFERROR(SUMPRODUCT((DATOS!$A$2:$A$20000=M244)*(DATOS!$G$2:$G$20000=CONFIG_METADATA!$B$4)*(COUNTIF(CONFIG_ASIGNATURAS!$B$7:$B$27,DATOS!$I$2:$I$20000)&gt;0)*(DATOS!$K$2:$K$20000))/SUMPRODUCT((DATOS!$A$2:$A$20000=M244)*(DATOS!$G$2:$G$20000=CONFIG_METADATA!$B$4)*(COUNTIF(CONFIG_ASIGNATURAS!$B$7:$B$27,DATOS!$I$2:$I$20000)&gt;0)*1),"")))</f>
        <v/>
      </c>
      <c r="T244" t="str">
        <f>IF(S244="","",IF(S244="[FÓRMULA MANUAL]","",IFERROR(AVERAGEIFS(DATOS!$K$2:$K$20000,DATOS!$A$2:$A$20000,S244,DATOS!$G$2:$G$20000,CONFIG_METADATA!$B$4,DATOS!$I$2:$I$20000,"Armonía"),"")))</f>
        <v/>
      </c>
      <c r="U244" t="str">
        <f>IF(S244="","",IF(S244="[FÓRMULA MANUAL]","",IFERROR(AVERAGEIFS(DATOS!$K$2:$K$20000,DATOS!$A$2:$A$20000,S244,DATOS!$G$2:$G$20000,CONFIG_METADATA!$B$4,DATOS!$I$2:$I$20000,"Orquesta/Banda/Conjunto"),"")))</f>
        <v/>
      </c>
      <c r="V244" t="str">
        <f>IF(S244="","",IF(S244="[FÓRMULA MANUAL]","",IFERROR(AVERAGEIFS(DATOS!$K$2:$K$20000,DATOS!$A$2:$A$20000,S244,DATOS!$G$2:$G$20000,CONFIG_METADATA!$B$4,DATOS!$I$2:$I$20000,"Música de Cámara"),"")))</f>
        <v/>
      </c>
      <c r="W244" t="str">
        <f>IF(S244="","",IF(S244="[FÓRMULA MANUAL]","",IFERROR(SUMPRODUCT((DATOS!$A$2:$A$20000=S244)*(DATOS!$G$2:$G$20000=CONFIG_METADATA!$B$4)*(COUNTIF(CONFIG_ASIGNATURAS!$B$7:$B$27,DATOS!$I$2:$I$20000)&gt;0)*(DATOS!$K$2:$K$20000))/SUMPRODUCT((DATOS!$A$2:$A$20000=S244)*(DATOS!$G$2:$G$20000=CONFIG_METADATA!$B$4)*(COUNTIF(CONFIG_ASIGNATURAS!$B$7:$B$27,DATOS!$I$2:$I$20000)&gt;0)*1),"")))</f>
        <v/>
      </c>
      <c r="Z244" t="str">
        <f>IF(Y244="","",IF(Y244="[FÓRMULA MANUAL]","",IFERROR(AVERAGEIFS(DATOS!$K$2:$K$20000,DATOS!$A$2:$A$20000,Y244,DATOS!$G$2:$G$20000,CONFIG_METADATA!$B$4,DATOS!$I$2:$I$20000,"Análisis"),"")))</f>
        <v/>
      </c>
      <c r="AA244" t="str">
        <f>IF(Y244="","",IF(Y244="[FÓRMULA MANUAL]","",IFERROR(AVERAGEIFS(DATOS!$K$2:$K$20000,DATOS!$A$2:$A$20000,Y244,DATOS!$G$2:$G$20000,CONFIG_METADATA!$B$4,DATOS!$I$2:$I$20000,"Orquesta/Banda/Conjunto"),"")))</f>
        <v/>
      </c>
      <c r="AB244" t="str">
        <f>IF(Y244="","",IF(Y244="[FÓRMULA MANUAL]","",IFERROR(AVERAGEIFS(DATOS!$K$2:$K$20000,DATOS!$A$2:$A$20000,Y244,DATOS!$G$2:$G$20000,CONFIG_METADATA!$B$4,DATOS!$I$2:$I$20000,"Música de Cámara"),"")))</f>
        <v/>
      </c>
      <c r="AC244" t="str">
        <f>IF(Y244="","",IF(Y244="[FÓRMULA MANUAL]","",IFERROR(SUMPRODUCT((DATOS!$A$2:$A$20000=Y244)*(DATOS!$G$2:$G$20000=CONFIG_METADATA!$B$4)*(COUNTIF(CONFIG_ASIGNATURAS!$B$7:$B$27,DATOS!$I$2:$I$20000)&gt;0)*(DATOS!$K$2:$K$20000))/SUMPRODUCT((DATOS!$A$2:$A$20000=Y244)*(DATOS!$G$2:$G$20000=CONFIG_METADATA!$B$4)*(COUNTIF(CONFIG_ASIGNATURAS!$B$7:$B$27,DATOS!$I$2:$I$20000)&gt;0)*1),"")))</f>
        <v/>
      </c>
      <c r="AF244" t="str">
        <f>IF(AE244="","",IF(AE244="[FÓRMULA MANUAL]","",IFERROR(AVERAGEIFS(DATOS!$K$2:$K$20000,DATOS!$A$2:$A$20000,AE244,DATOS!$G$2:$G$20000,CONFIG_METADATA!$B$4,DATOS!$I$2:$I$20000,"Análisis"),"")))</f>
        <v/>
      </c>
      <c r="AG244" t="str">
        <f>IF(AE244="","",IF(AE244="[FÓRMULA MANUAL]","",IFERROR(AVERAGEIFS(DATOS!$K$2:$K$20000,DATOS!$A$2:$A$20000,AE244,DATOS!$G$2:$G$20000,CONFIG_METADATA!$B$4,DATOS!$I$2:$I$20000,"Orquesta/Banda/Conjunto"),"")))</f>
        <v/>
      </c>
      <c r="AH244" t="str">
        <f>IF(AE244="","",IF(AE244="[FÓRMULA MANUAL]","",IFERROR(AVERAGEIFS(DATOS!$K$2:$K$20000,DATOS!$A$2:$A$20000,AE244,DATOS!$G$2:$G$20000,CONFIG_METADATA!$B$4,DATOS!$I$2:$I$20000,"Música de Cámara"),"")))</f>
        <v/>
      </c>
      <c r="AI244" t="str">
        <f>IF(AE244="","",IF(AE244="[FÓRMULA MANUAL]","",IFERROR(SUMPRODUCT((DATOS!$A$2:$A$20000=AE244)*(DATOS!$G$2:$G$20000=CONFIG_METADATA!$B$4)*(COUNTIF(CONFIG_ASIGNATURAS!$B$7:$B$27,DATOS!$I$2:$I$20000)&gt;0)*(DATOS!$K$2:$K$20000))/SUMPRODUCT((DATOS!$A$2:$A$20000=AE244)*(DATOS!$G$2:$G$20000=CONFIG_METADATA!$B$4)*(COUNTIF(CONFIG_ASIGNATURAS!$B$7:$B$27,DATOS!$I$2:$I$20000)&gt;0)*1),"")))</f>
        <v/>
      </c>
    </row>
    <row r="245" spans="2:35" x14ac:dyDescent="0.2">
      <c r="B245" t="str">
        <f>IF(A245="","",IF(A245="[FÓRMULA MANUAL]","",IFERROR(AVERAGEIFS(DATOS!$K$2:$K$20000,DATOS!$A$2:$A$20000,A245,DATOS!$G$2:$G$20000,CONFIG_METADATA!$B$4,DATOS!$I$2:$I$20000,"Lenguaje Musical"),"")))</f>
        <v/>
      </c>
      <c r="C245" t="str">
        <f>IF(A245="","",IF(A245="[FÓRMULA MANUAL]","",IFERROR(AVERAGEIFS(DATOS!$K$2:$K$20000,DATOS!$A$2:$A$20000,A245,DATOS!$G$2:$G$20000,CONFIG_METADATA!$B$4,DATOS!$I$2:$I$20000,"Orquesta/Banda/Conjunto"),"")))</f>
        <v/>
      </c>
      <c r="D245" t="str">
        <f>IF(A245="","",IF(A245="[FÓRMULA MANUAL]","",IFERROR(AVERAGEIFS(DATOS!$K$2:$K$20000,DATOS!$A$2:$A$20000,A245,DATOS!$G$2:$G$20000,CONFIG_METADATA!$B$4,DATOS!$I$2:$I$20000,"Conjunto"),"")))</f>
        <v/>
      </c>
      <c r="E245" t="str">
        <f>IF(A245="","",IF(A245="[FÓRMULA MANUAL]","",IFERROR(SUMPRODUCT((DATOS!$A$2:$A$20000=A245)*(DATOS!$G$2:$G$20000=CONFIG_METADATA!$B$4)*(COUNTIF(CONFIG_ASIGNATURAS!$B$7:$B$27,DATOS!$I$2:$I$20000)&gt;0)*(DATOS!$K$2:$K$20000))/SUMPRODUCT((DATOS!$A$2:$A$20000=A245)*(DATOS!$G$2:$G$20000=CONFIG_METADATA!$B$4)*(COUNTIF(CONFIG_ASIGNATURAS!$B$7:$B$27,DATOS!$I$2:$I$20000)&gt;0)*1),"")))</f>
        <v/>
      </c>
      <c r="H245" t="str">
        <f>IF(G245="","",IF(G245="[FÓRMULA MANUAL]","",IFERROR(AVERAGEIFS(DATOS!$K$2:$K$20000,DATOS!$A$2:$A$20000,G245,DATOS!$G$2:$G$20000,CONFIG_METADATA!$B$4,DATOS!$I$2:$I$20000,"Lenguaje Musical"),"")))</f>
        <v/>
      </c>
      <c r="I245" t="str">
        <f>IF(G245="","",IF(G245="[FÓRMULA MANUAL]","",IFERROR(AVERAGEIFS(DATOS!$K$2:$K$20000,DATOS!$A$2:$A$20000,G245,DATOS!$G$2:$G$20000,CONFIG_METADATA!$B$4,DATOS!$I$2:$I$20000,"Orquesta/Banda/Conjunto"),"")))</f>
        <v/>
      </c>
      <c r="J245" t="str">
        <f>IF(G245="","",IF(G245="[FÓRMULA MANUAL]","",IFERROR(AVERAGEIFS(DATOS!$K$2:$K$20000,DATOS!$A$2:$A$20000,G245,DATOS!$G$2:$G$20000,CONFIG_METADATA!$B$4,DATOS!$I$2:$I$20000,"Conjunto"),"")))</f>
        <v/>
      </c>
      <c r="K245" t="str">
        <f>IF(G245="","",IF(G245="[FÓRMULA MANUAL]","",IFERROR(SUMPRODUCT((DATOS!$A$2:$A$20000=G245)*(DATOS!$G$2:$G$20000=CONFIG_METADATA!$B$4)*(COUNTIF(CONFIG_ASIGNATURAS!$B$7:$B$27,DATOS!$I$2:$I$20000)&gt;0)*(DATOS!$K$2:$K$20000))/SUMPRODUCT((DATOS!$A$2:$A$20000=G245)*(DATOS!$G$2:$G$20000=CONFIG_METADATA!$B$4)*(COUNTIF(CONFIG_ASIGNATURAS!$B$7:$B$27,DATOS!$I$2:$I$20000)&gt;0)*1),"")))</f>
        <v/>
      </c>
      <c r="N245" t="str">
        <f>IF(M245="","",IF(M245="[FÓRMULA MANUAL]","",IFERROR(AVERAGEIFS(DATOS!$K$2:$K$20000,DATOS!$A$2:$A$20000,M245,DATOS!$G$2:$G$20000,CONFIG_METADATA!$B$4,DATOS!$I$2:$I$20000,"Armonía"),"")))</f>
        <v/>
      </c>
      <c r="O245" t="str">
        <f>IF(M245="","",IF(M245="[FÓRMULA MANUAL]","",IFERROR(AVERAGEIFS(DATOS!$K$2:$K$20000,DATOS!$A$2:$A$20000,M245,DATOS!$G$2:$G$20000,CONFIG_METADATA!$B$4,DATOS!$I$2:$I$20000,"Orquesta/Banda/Conjunto"),"")))</f>
        <v/>
      </c>
      <c r="P245" t="str">
        <f>IF(M245="","",IF(M245="[FÓRMULA MANUAL]","",IFERROR(AVERAGEIFS(DATOS!$K$2:$K$20000,DATOS!$A$2:$A$20000,M245,DATOS!$G$2:$G$20000,CONFIG_METADATA!$B$4,DATOS!$I$2:$I$20000,"Música de Cámara"),"")))</f>
        <v/>
      </c>
      <c r="Q245" t="str">
        <f>IF(M245="","",IF(M245="[FÓRMULA MANUAL]","",IFERROR(SUMPRODUCT((DATOS!$A$2:$A$20000=M245)*(DATOS!$G$2:$G$20000=CONFIG_METADATA!$B$4)*(COUNTIF(CONFIG_ASIGNATURAS!$B$7:$B$27,DATOS!$I$2:$I$20000)&gt;0)*(DATOS!$K$2:$K$20000))/SUMPRODUCT((DATOS!$A$2:$A$20000=M245)*(DATOS!$G$2:$G$20000=CONFIG_METADATA!$B$4)*(COUNTIF(CONFIG_ASIGNATURAS!$B$7:$B$27,DATOS!$I$2:$I$20000)&gt;0)*1),"")))</f>
        <v/>
      </c>
      <c r="T245" t="str">
        <f>IF(S245="","",IF(S245="[FÓRMULA MANUAL]","",IFERROR(AVERAGEIFS(DATOS!$K$2:$K$20000,DATOS!$A$2:$A$20000,S245,DATOS!$G$2:$G$20000,CONFIG_METADATA!$B$4,DATOS!$I$2:$I$20000,"Armonía"),"")))</f>
        <v/>
      </c>
      <c r="U245" t="str">
        <f>IF(S245="","",IF(S245="[FÓRMULA MANUAL]","",IFERROR(AVERAGEIFS(DATOS!$K$2:$K$20000,DATOS!$A$2:$A$20000,S245,DATOS!$G$2:$G$20000,CONFIG_METADATA!$B$4,DATOS!$I$2:$I$20000,"Orquesta/Banda/Conjunto"),"")))</f>
        <v/>
      </c>
      <c r="V245" t="str">
        <f>IF(S245="","",IF(S245="[FÓRMULA MANUAL]","",IFERROR(AVERAGEIFS(DATOS!$K$2:$K$20000,DATOS!$A$2:$A$20000,S245,DATOS!$G$2:$G$20000,CONFIG_METADATA!$B$4,DATOS!$I$2:$I$20000,"Música de Cámara"),"")))</f>
        <v/>
      </c>
      <c r="W245" t="str">
        <f>IF(S245="","",IF(S245="[FÓRMULA MANUAL]","",IFERROR(SUMPRODUCT((DATOS!$A$2:$A$20000=S245)*(DATOS!$G$2:$G$20000=CONFIG_METADATA!$B$4)*(COUNTIF(CONFIG_ASIGNATURAS!$B$7:$B$27,DATOS!$I$2:$I$20000)&gt;0)*(DATOS!$K$2:$K$20000))/SUMPRODUCT((DATOS!$A$2:$A$20000=S245)*(DATOS!$G$2:$G$20000=CONFIG_METADATA!$B$4)*(COUNTIF(CONFIG_ASIGNATURAS!$B$7:$B$27,DATOS!$I$2:$I$20000)&gt;0)*1),"")))</f>
        <v/>
      </c>
      <c r="Z245" t="str">
        <f>IF(Y245="","",IF(Y245="[FÓRMULA MANUAL]","",IFERROR(AVERAGEIFS(DATOS!$K$2:$K$20000,DATOS!$A$2:$A$20000,Y245,DATOS!$G$2:$G$20000,CONFIG_METADATA!$B$4,DATOS!$I$2:$I$20000,"Análisis"),"")))</f>
        <v/>
      </c>
      <c r="AA245" t="str">
        <f>IF(Y245="","",IF(Y245="[FÓRMULA MANUAL]","",IFERROR(AVERAGEIFS(DATOS!$K$2:$K$20000,DATOS!$A$2:$A$20000,Y245,DATOS!$G$2:$G$20000,CONFIG_METADATA!$B$4,DATOS!$I$2:$I$20000,"Orquesta/Banda/Conjunto"),"")))</f>
        <v/>
      </c>
      <c r="AB245" t="str">
        <f>IF(Y245="","",IF(Y245="[FÓRMULA MANUAL]","",IFERROR(AVERAGEIFS(DATOS!$K$2:$K$20000,DATOS!$A$2:$A$20000,Y245,DATOS!$G$2:$G$20000,CONFIG_METADATA!$B$4,DATOS!$I$2:$I$20000,"Música de Cámara"),"")))</f>
        <v/>
      </c>
      <c r="AC245" t="str">
        <f>IF(Y245="","",IF(Y245="[FÓRMULA MANUAL]","",IFERROR(SUMPRODUCT((DATOS!$A$2:$A$20000=Y245)*(DATOS!$G$2:$G$20000=CONFIG_METADATA!$B$4)*(COUNTIF(CONFIG_ASIGNATURAS!$B$7:$B$27,DATOS!$I$2:$I$20000)&gt;0)*(DATOS!$K$2:$K$20000))/SUMPRODUCT((DATOS!$A$2:$A$20000=Y245)*(DATOS!$G$2:$G$20000=CONFIG_METADATA!$B$4)*(COUNTIF(CONFIG_ASIGNATURAS!$B$7:$B$27,DATOS!$I$2:$I$20000)&gt;0)*1),"")))</f>
        <v/>
      </c>
      <c r="AF245" t="str">
        <f>IF(AE245="","",IF(AE245="[FÓRMULA MANUAL]","",IFERROR(AVERAGEIFS(DATOS!$K$2:$K$20000,DATOS!$A$2:$A$20000,AE245,DATOS!$G$2:$G$20000,CONFIG_METADATA!$B$4,DATOS!$I$2:$I$20000,"Análisis"),"")))</f>
        <v/>
      </c>
      <c r="AG245" t="str">
        <f>IF(AE245="","",IF(AE245="[FÓRMULA MANUAL]","",IFERROR(AVERAGEIFS(DATOS!$K$2:$K$20000,DATOS!$A$2:$A$20000,AE245,DATOS!$G$2:$G$20000,CONFIG_METADATA!$B$4,DATOS!$I$2:$I$20000,"Orquesta/Banda/Conjunto"),"")))</f>
        <v/>
      </c>
      <c r="AH245" t="str">
        <f>IF(AE245="","",IF(AE245="[FÓRMULA MANUAL]","",IFERROR(AVERAGEIFS(DATOS!$K$2:$K$20000,DATOS!$A$2:$A$20000,AE245,DATOS!$G$2:$G$20000,CONFIG_METADATA!$B$4,DATOS!$I$2:$I$20000,"Música de Cámara"),"")))</f>
        <v/>
      </c>
      <c r="AI245" t="str">
        <f>IF(AE245="","",IF(AE245="[FÓRMULA MANUAL]","",IFERROR(SUMPRODUCT((DATOS!$A$2:$A$20000=AE245)*(DATOS!$G$2:$G$20000=CONFIG_METADATA!$B$4)*(COUNTIF(CONFIG_ASIGNATURAS!$B$7:$B$27,DATOS!$I$2:$I$20000)&gt;0)*(DATOS!$K$2:$K$20000))/SUMPRODUCT((DATOS!$A$2:$A$20000=AE245)*(DATOS!$G$2:$G$20000=CONFIG_METADATA!$B$4)*(COUNTIF(CONFIG_ASIGNATURAS!$B$7:$B$27,DATOS!$I$2:$I$20000)&gt;0)*1),"")))</f>
        <v/>
      </c>
    </row>
    <row r="246" spans="2:35" x14ac:dyDescent="0.2">
      <c r="B246" t="str">
        <f>IF(A246="","",IF(A246="[FÓRMULA MANUAL]","",IFERROR(AVERAGEIFS(DATOS!$K$2:$K$20000,DATOS!$A$2:$A$20000,A246,DATOS!$G$2:$G$20000,CONFIG_METADATA!$B$4,DATOS!$I$2:$I$20000,"Lenguaje Musical"),"")))</f>
        <v/>
      </c>
      <c r="C246" t="str">
        <f>IF(A246="","",IF(A246="[FÓRMULA MANUAL]","",IFERROR(AVERAGEIFS(DATOS!$K$2:$K$20000,DATOS!$A$2:$A$20000,A246,DATOS!$G$2:$G$20000,CONFIG_METADATA!$B$4,DATOS!$I$2:$I$20000,"Orquesta/Banda/Conjunto"),"")))</f>
        <v/>
      </c>
      <c r="D246" t="str">
        <f>IF(A246="","",IF(A246="[FÓRMULA MANUAL]","",IFERROR(AVERAGEIFS(DATOS!$K$2:$K$20000,DATOS!$A$2:$A$20000,A246,DATOS!$G$2:$G$20000,CONFIG_METADATA!$B$4,DATOS!$I$2:$I$20000,"Conjunto"),"")))</f>
        <v/>
      </c>
      <c r="E246" t="str">
        <f>IF(A246="","",IF(A246="[FÓRMULA MANUAL]","",IFERROR(SUMPRODUCT((DATOS!$A$2:$A$20000=A246)*(DATOS!$G$2:$G$20000=CONFIG_METADATA!$B$4)*(COUNTIF(CONFIG_ASIGNATURAS!$B$7:$B$27,DATOS!$I$2:$I$20000)&gt;0)*(DATOS!$K$2:$K$20000))/SUMPRODUCT((DATOS!$A$2:$A$20000=A246)*(DATOS!$G$2:$G$20000=CONFIG_METADATA!$B$4)*(COUNTIF(CONFIG_ASIGNATURAS!$B$7:$B$27,DATOS!$I$2:$I$20000)&gt;0)*1),"")))</f>
        <v/>
      </c>
      <c r="H246" t="str">
        <f>IF(G246="","",IF(G246="[FÓRMULA MANUAL]","",IFERROR(AVERAGEIFS(DATOS!$K$2:$K$20000,DATOS!$A$2:$A$20000,G246,DATOS!$G$2:$G$20000,CONFIG_METADATA!$B$4,DATOS!$I$2:$I$20000,"Lenguaje Musical"),"")))</f>
        <v/>
      </c>
      <c r="I246" t="str">
        <f>IF(G246="","",IF(G246="[FÓRMULA MANUAL]","",IFERROR(AVERAGEIFS(DATOS!$K$2:$K$20000,DATOS!$A$2:$A$20000,G246,DATOS!$G$2:$G$20000,CONFIG_METADATA!$B$4,DATOS!$I$2:$I$20000,"Orquesta/Banda/Conjunto"),"")))</f>
        <v/>
      </c>
      <c r="J246" t="str">
        <f>IF(G246="","",IF(G246="[FÓRMULA MANUAL]","",IFERROR(AVERAGEIFS(DATOS!$K$2:$K$20000,DATOS!$A$2:$A$20000,G246,DATOS!$G$2:$G$20000,CONFIG_METADATA!$B$4,DATOS!$I$2:$I$20000,"Conjunto"),"")))</f>
        <v/>
      </c>
      <c r="K246" t="str">
        <f>IF(G246="","",IF(G246="[FÓRMULA MANUAL]","",IFERROR(SUMPRODUCT((DATOS!$A$2:$A$20000=G246)*(DATOS!$G$2:$G$20000=CONFIG_METADATA!$B$4)*(COUNTIF(CONFIG_ASIGNATURAS!$B$7:$B$27,DATOS!$I$2:$I$20000)&gt;0)*(DATOS!$K$2:$K$20000))/SUMPRODUCT((DATOS!$A$2:$A$20000=G246)*(DATOS!$G$2:$G$20000=CONFIG_METADATA!$B$4)*(COUNTIF(CONFIG_ASIGNATURAS!$B$7:$B$27,DATOS!$I$2:$I$20000)&gt;0)*1),"")))</f>
        <v/>
      </c>
      <c r="N246" t="str">
        <f>IF(M246="","",IF(M246="[FÓRMULA MANUAL]","",IFERROR(AVERAGEIFS(DATOS!$K$2:$K$20000,DATOS!$A$2:$A$20000,M246,DATOS!$G$2:$G$20000,CONFIG_METADATA!$B$4,DATOS!$I$2:$I$20000,"Armonía"),"")))</f>
        <v/>
      </c>
      <c r="O246" t="str">
        <f>IF(M246="","",IF(M246="[FÓRMULA MANUAL]","",IFERROR(AVERAGEIFS(DATOS!$K$2:$K$20000,DATOS!$A$2:$A$20000,M246,DATOS!$G$2:$G$20000,CONFIG_METADATA!$B$4,DATOS!$I$2:$I$20000,"Orquesta/Banda/Conjunto"),"")))</f>
        <v/>
      </c>
      <c r="P246" t="str">
        <f>IF(M246="","",IF(M246="[FÓRMULA MANUAL]","",IFERROR(AVERAGEIFS(DATOS!$K$2:$K$20000,DATOS!$A$2:$A$20000,M246,DATOS!$G$2:$G$20000,CONFIG_METADATA!$B$4,DATOS!$I$2:$I$20000,"Música de Cámara"),"")))</f>
        <v/>
      </c>
      <c r="Q246" t="str">
        <f>IF(M246="","",IF(M246="[FÓRMULA MANUAL]","",IFERROR(SUMPRODUCT((DATOS!$A$2:$A$20000=M246)*(DATOS!$G$2:$G$20000=CONFIG_METADATA!$B$4)*(COUNTIF(CONFIG_ASIGNATURAS!$B$7:$B$27,DATOS!$I$2:$I$20000)&gt;0)*(DATOS!$K$2:$K$20000))/SUMPRODUCT((DATOS!$A$2:$A$20000=M246)*(DATOS!$G$2:$G$20000=CONFIG_METADATA!$B$4)*(COUNTIF(CONFIG_ASIGNATURAS!$B$7:$B$27,DATOS!$I$2:$I$20000)&gt;0)*1),"")))</f>
        <v/>
      </c>
      <c r="T246" t="str">
        <f>IF(S246="","",IF(S246="[FÓRMULA MANUAL]","",IFERROR(AVERAGEIFS(DATOS!$K$2:$K$20000,DATOS!$A$2:$A$20000,S246,DATOS!$G$2:$G$20000,CONFIG_METADATA!$B$4,DATOS!$I$2:$I$20000,"Armonía"),"")))</f>
        <v/>
      </c>
      <c r="U246" t="str">
        <f>IF(S246="","",IF(S246="[FÓRMULA MANUAL]","",IFERROR(AVERAGEIFS(DATOS!$K$2:$K$20000,DATOS!$A$2:$A$20000,S246,DATOS!$G$2:$G$20000,CONFIG_METADATA!$B$4,DATOS!$I$2:$I$20000,"Orquesta/Banda/Conjunto"),"")))</f>
        <v/>
      </c>
      <c r="V246" t="str">
        <f>IF(S246="","",IF(S246="[FÓRMULA MANUAL]","",IFERROR(AVERAGEIFS(DATOS!$K$2:$K$20000,DATOS!$A$2:$A$20000,S246,DATOS!$G$2:$G$20000,CONFIG_METADATA!$B$4,DATOS!$I$2:$I$20000,"Música de Cámara"),"")))</f>
        <v/>
      </c>
      <c r="W246" t="str">
        <f>IF(S246="","",IF(S246="[FÓRMULA MANUAL]","",IFERROR(SUMPRODUCT((DATOS!$A$2:$A$20000=S246)*(DATOS!$G$2:$G$20000=CONFIG_METADATA!$B$4)*(COUNTIF(CONFIG_ASIGNATURAS!$B$7:$B$27,DATOS!$I$2:$I$20000)&gt;0)*(DATOS!$K$2:$K$20000))/SUMPRODUCT((DATOS!$A$2:$A$20000=S246)*(DATOS!$G$2:$G$20000=CONFIG_METADATA!$B$4)*(COUNTIF(CONFIG_ASIGNATURAS!$B$7:$B$27,DATOS!$I$2:$I$20000)&gt;0)*1),"")))</f>
        <v/>
      </c>
      <c r="Z246" t="str">
        <f>IF(Y246="","",IF(Y246="[FÓRMULA MANUAL]","",IFERROR(AVERAGEIFS(DATOS!$K$2:$K$20000,DATOS!$A$2:$A$20000,Y246,DATOS!$G$2:$G$20000,CONFIG_METADATA!$B$4,DATOS!$I$2:$I$20000,"Análisis"),"")))</f>
        <v/>
      </c>
      <c r="AA246" t="str">
        <f>IF(Y246="","",IF(Y246="[FÓRMULA MANUAL]","",IFERROR(AVERAGEIFS(DATOS!$K$2:$K$20000,DATOS!$A$2:$A$20000,Y246,DATOS!$G$2:$G$20000,CONFIG_METADATA!$B$4,DATOS!$I$2:$I$20000,"Orquesta/Banda/Conjunto"),"")))</f>
        <v/>
      </c>
      <c r="AB246" t="str">
        <f>IF(Y246="","",IF(Y246="[FÓRMULA MANUAL]","",IFERROR(AVERAGEIFS(DATOS!$K$2:$K$20000,DATOS!$A$2:$A$20000,Y246,DATOS!$G$2:$G$20000,CONFIG_METADATA!$B$4,DATOS!$I$2:$I$20000,"Música de Cámara"),"")))</f>
        <v/>
      </c>
      <c r="AC246" t="str">
        <f>IF(Y246="","",IF(Y246="[FÓRMULA MANUAL]","",IFERROR(SUMPRODUCT((DATOS!$A$2:$A$20000=Y246)*(DATOS!$G$2:$G$20000=CONFIG_METADATA!$B$4)*(COUNTIF(CONFIG_ASIGNATURAS!$B$7:$B$27,DATOS!$I$2:$I$20000)&gt;0)*(DATOS!$K$2:$K$20000))/SUMPRODUCT((DATOS!$A$2:$A$20000=Y246)*(DATOS!$G$2:$G$20000=CONFIG_METADATA!$B$4)*(COUNTIF(CONFIG_ASIGNATURAS!$B$7:$B$27,DATOS!$I$2:$I$20000)&gt;0)*1),"")))</f>
        <v/>
      </c>
      <c r="AF246" t="str">
        <f>IF(AE246="","",IF(AE246="[FÓRMULA MANUAL]","",IFERROR(AVERAGEIFS(DATOS!$K$2:$K$20000,DATOS!$A$2:$A$20000,AE246,DATOS!$G$2:$G$20000,CONFIG_METADATA!$B$4,DATOS!$I$2:$I$20000,"Análisis"),"")))</f>
        <v/>
      </c>
      <c r="AG246" t="str">
        <f>IF(AE246="","",IF(AE246="[FÓRMULA MANUAL]","",IFERROR(AVERAGEIFS(DATOS!$K$2:$K$20000,DATOS!$A$2:$A$20000,AE246,DATOS!$G$2:$G$20000,CONFIG_METADATA!$B$4,DATOS!$I$2:$I$20000,"Orquesta/Banda/Conjunto"),"")))</f>
        <v/>
      </c>
      <c r="AH246" t="str">
        <f>IF(AE246="","",IF(AE246="[FÓRMULA MANUAL]","",IFERROR(AVERAGEIFS(DATOS!$K$2:$K$20000,DATOS!$A$2:$A$20000,AE246,DATOS!$G$2:$G$20000,CONFIG_METADATA!$B$4,DATOS!$I$2:$I$20000,"Música de Cámara"),"")))</f>
        <v/>
      </c>
      <c r="AI246" t="str">
        <f>IF(AE246="","",IF(AE246="[FÓRMULA MANUAL]","",IFERROR(SUMPRODUCT((DATOS!$A$2:$A$20000=AE246)*(DATOS!$G$2:$G$20000=CONFIG_METADATA!$B$4)*(COUNTIF(CONFIG_ASIGNATURAS!$B$7:$B$27,DATOS!$I$2:$I$20000)&gt;0)*(DATOS!$K$2:$K$20000))/SUMPRODUCT((DATOS!$A$2:$A$20000=AE246)*(DATOS!$G$2:$G$20000=CONFIG_METADATA!$B$4)*(COUNTIF(CONFIG_ASIGNATURAS!$B$7:$B$27,DATOS!$I$2:$I$20000)&gt;0)*1),"")))</f>
        <v/>
      </c>
    </row>
    <row r="247" spans="2:35" x14ac:dyDescent="0.2">
      <c r="B247" t="str">
        <f>IF(A247="","",IF(A247="[FÓRMULA MANUAL]","",IFERROR(AVERAGEIFS(DATOS!$K$2:$K$20000,DATOS!$A$2:$A$20000,A247,DATOS!$G$2:$G$20000,CONFIG_METADATA!$B$4,DATOS!$I$2:$I$20000,"Lenguaje Musical"),"")))</f>
        <v/>
      </c>
      <c r="C247" t="str">
        <f>IF(A247="","",IF(A247="[FÓRMULA MANUAL]","",IFERROR(AVERAGEIFS(DATOS!$K$2:$K$20000,DATOS!$A$2:$A$20000,A247,DATOS!$G$2:$G$20000,CONFIG_METADATA!$B$4,DATOS!$I$2:$I$20000,"Orquesta/Banda/Conjunto"),"")))</f>
        <v/>
      </c>
      <c r="D247" t="str">
        <f>IF(A247="","",IF(A247="[FÓRMULA MANUAL]","",IFERROR(AVERAGEIFS(DATOS!$K$2:$K$20000,DATOS!$A$2:$A$20000,A247,DATOS!$G$2:$G$20000,CONFIG_METADATA!$B$4,DATOS!$I$2:$I$20000,"Conjunto"),"")))</f>
        <v/>
      </c>
      <c r="E247" t="str">
        <f>IF(A247="","",IF(A247="[FÓRMULA MANUAL]","",IFERROR(SUMPRODUCT((DATOS!$A$2:$A$20000=A247)*(DATOS!$G$2:$G$20000=CONFIG_METADATA!$B$4)*(COUNTIF(CONFIG_ASIGNATURAS!$B$7:$B$27,DATOS!$I$2:$I$20000)&gt;0)*(DATOS!$K$2:$K$20000))/SUMPRODUCT((DATOS!$A$2:$A$20000=A247)*(DATOS!$G$2:$G$20000=CONFIG_METADATA!$B$4)*(COUNTIF(CONFIG_ASIGNATURAS!$B$7:$B$27,DATOS!$I$2:$I$20000)&gt;0)*1),"")))</f>
        <v/>
      </c>
      <c r="H247" t="str">
        <f>IF(G247="","",IF(G247="[FÓRMULA MANUAL]","",IFERROR(AVERAGEIFS(DATOS!$K$2:$K$20000,DATOS!$A$2:$A$20000,G247,DATOS!$G$2:$G$20000,CONFIG_METADATA!$B$4,DATOS!$I$2:$I$20000,"Lenguaje Musical"),"")))</f>
        <v/>
      </c>
      <c r="I247" t="str">
        <f>IF(G247="","",IF(G247="[FÓRMULA MANUAL]","",IFERROR(AVERAGEIFS(DATOS!$K$2:$K$20000,DATOS!$A$2:$A$20000,G247,DATOS!$G$2:$G$20000,CONFIG_METADATA!$B$4,DATOS!$I$2:$I$20000,"Orquesta/Banda/Conjunto"),"")))</f>
        <v/>
      </c>
      <c r="J247" t="str">
        <f>IF(G247="","",IF(G247="[FÓRMULA MANUAL]","",IFERROR(AVERAGEIFS(DATOS!$K$2:$K$20000,DATOS!$A$2:$A$20000,G247,DATOS!$G$2:$G$20000,CONFIG_METADATA!$B$4,DATOS!$I$2:$I$20000,"Conjunto"),"")))</f>
        <v/>
      </c>
      <c r="K247" t="str">
        <f>IF(G247="","",IF(G247="[FÓRMULA MANUAL]","",IFERROR(SUMPRODUCT((DATOS!$A$2:$A$20000=G247)*(DATOS!$G$2:$G$20000=CONFIG_METADATA!$B$4)*(COUNTIF(CONFIG_ASIGNATURAS!$B$7:$B$27,DATOS!$I$2:$I$20000)&gt;0)*(DATOS!$K$2:$K$20000))/SUMPRODUCT((DATOS!$A$2:$A$20000=G247)*(DATOS!$G$2:$G$20000=CONFIG_METADATA!$B$4)*(COUNTIF(CONFIG_ASIGNATURAS!$B$7:$B$27,DATOS!$I$2:$I$20000)&gt;0)*1),"")))</f>
        <v/>
      </c>
      <c r="N247" t="str">
        <f>IF(M247="","",IF(M247="[FÓRMULA MANUAL]","",IFERROR(AVERAGEIFS(DATOS!$K$2:$K$20000,DATOS!$A$2:$A$20000,M247,DATOS!$G$2:$G$20000,CONFIG_METADATA!$B$4,DATOS!$I$2:$I$20000,"Armonía"),"")))</f>
        <v/>
      </c>
      <c r="O247" t="str">
        <f>IF(M247="","",IF(M247="[FÓRMULA MANUAL]","",IFERROR(AVERAGEIFS(DATOS!$K$2:$K$20000,DATOS!$A$2:$A$20000,M247,DATOS!$G$2:$G$20000,CONFIG_METADATA!$B$4,DATOS!$I$2:$I$20000,"Orquesta/Banda/Conjunto"),"")))</f>
        <v/>
      </c>
      <c r="P247" t="str">
        <f>IF(M247="","",IF(M247="[FÓRMULA MANUAL]","",IFERROR(AVERAGEIFS(DATOS!$K$2:$K$20000,DATOS!$A$2:$A$20000,M247,DATOS!$G$2:$G$20000,CONFIG_METADATA!$B$4,DATOS!$I$2:$I$20000,"Música de Cámara"),"")))</f>
        <v/>
      </c>
      <c r="Q247" t="str">
        <f>IF(M247="","",IF(M247="[FÓRMULA MANUAL]","",IFERROR(SUMPRODUCT((DATOS!$A$2:$A$20000=M247)*(DATOS!$G$2:$G$20000=CONFIG_METADATA!$B$4)*(COUNTIF(CONFIG_ASIGNATURAS!$B$7:$B$27,DATOS!$I$2:$I$20000)&gt;0)*(DATOS!$K$2:$K$20000))/SUMPRODUCT((DATOS!$A$2:$A$20000=M247)*(DATOS!$G$2:$G$20000=CONFIG_METADATA!$B$4)*(COUNTIF(CONFIG_ASIGNATURAS!$B$7:$B$27,DATOS!$I$2:$I$20000)&gt;0)*1),"")))</f>
        <v/>
      </c>
      <c r="T247" t="str">
        <f>IF(S247="","",IF(S247="[FÓRMULA MANUAL]","",IFERROR(AVERAGEIFS(DATOS!$K$2:$K$20000,DATOS!$A$2:$A$20000,S247,DATOS!$G$2:$G$20000,CONFIG_METADATA!$B$4,DATOS!$I$2:$I$20000,"Armonía"),"")))</f>
        <v/>
      </c>
      <c r="U247" t="str">
        <f>IF(S247="","",IF(S247="[FÓRMULA MANUAL]","",IFERROR(AVERAGEIFS(DATOS!$K$2:$K$20000,DATOS!$A$2:$A$20000,S247,DATOS!$G$2:$G$20000,CONFIG_METADATA!$B$4,DATOS!$I$2:$I$20000,"Orquesta/Banda/Conjunto"),"")))</f>
        <v/>
      </c>
      <c r="V247" t="str">
        <f>IF(S247="","",IF(S247="[FÓRMULA MANUAL]","",IFERROR(AVERAGEIFS(DATOS!$K$2:$K$20000,DATOS!$A$2:$A$20000,S247,DATOS!$G$2:$G$20000,CONFIG_METADATA!$B$4,DATOS!$I$2:$I$20000,"Música de Cámara"),"")))</f>
        <v/>
      </c>
      <c r="W247" t="str">
        <f>IF(S247="","",IF(S247="[FÓRMULA MANUAL]","",IFERROR(SUMPRODUCT((DATOS!$A$2:$A$20000=S247)*(DATOS!$G$2:$G$20000=CONFIG_METADATA!$B$4)*(COUNTIF(CONFIG_ASIGNATURAS!$B$7:$B$27,DATOS!$I$2:$I$20000)&gt;0)*(DATOS!$K$2:$K$20000))/SUMPRODUCT((DATOS!$A$2:$A$20000=S247)*(DATOS!$G$2:$G$20000=CONFIG_METADATA!$B$4)*(COUNTIF(CONFIG_ASIGNATURAS!$B$7:$B$27,DATOS!$I$2:$I$20000)&gt;0)*1),"")))</f>
        <v/>
      </c>
      <c r="Z247" t="str">
        <f>IF(Y247="","",IF(Y247="[FÓRMULA MANUAL]","",IFERROR(AVERAGEIFS(DATOS!$K$2:$K$20000,DATOS!$A$2:$A$20000,Y247,DATOS!$G$2:$G$20000,CONFIG_METADATA!$B$4,DATOS!$I$2:$I$20000,"Análisis"),"")))</f>
        <v/>
      </c>
      <c r="AA247" t="str">
        <f>IF(Y247="","",IF(Y247="[FÓRMULA MANUAL]","",IFERROR(AVERAGEIFS(DATOS!$K$2:$K$20000,DATOS!$A$2:$A$20000,Y247,DATOS!$G$2:$G$20000,CONFIG_METADATA!$B$4,DATOS!$I$2:$I$20000,"Orquesta/Banda/Conjunto"),"")))</f>
        <v/>
      </c>
      <c r="AB247" t="str">
        <f>IF(Y247="","",IF(Y247="[FÓRMULA MANUAL]","",IFERROR(AVERAGEIFS(DATOS!$K$2:$K$20000,DATOS!$A$2:$A$20000,Y247,DATOS!$G$2:$G$20000,CONFIG_METADATA!$B$4,DATOS!$I$2:$I$20000,"Música de Cámara"),"")))</f>
        <v/>
      </c>
      <c r="AC247" t="str">
        <f>IF(Y247="","",IF(Y247="[FÓRMULA MANUAL]","",IFERROR(SUMPRODUCT((DATOS!$A$2:$A$20000=Y247)*(DATOS!$G$2:$G$20000=CONFIG_METADATA!$B$4)*(COUNTIF(CONFIG_ASIGNATURAS!$B$7:$B$27,DATOS!$I$2:$I$20000)&gt;0)*(DATOS!$K$2:$K$20000))/SUMPRODUCT((DATOS!$A$2:$A$20000=Y247)*(DATOS!$G$2:$G$20000=CONFIG_METADATA!$B$4)*(COUNTIF(CONFIG_ASIGNATURAS!$B$7:$B$27,DATOS!$I$2:$I$20000)&gt;0)*1),"")))</f>
        <v/>
      </c>
      <c r="AF247" t="str">
        <f>IF(AE247="","",IF(AE247="[FÓRMULA MANUAL]","",IFERROR(AVERAGEIFS(DATOS!$K$2:$K$20000,DATOS!$A$2:$A$20000,AE247,DATOS!$G$2:$G$20000,CONFIG_METADATA!$B$4,DATOS!$I$2:$I$20000,"Análisis"),"")))</f>
        <v/>
      </c>
      <c r="AG247" t="str">
        <f>IF(AE247="","",IF(AE247="[FÓRMULA MANUAL]","",IFERROR(AVERAGEIFS(DATOS!$K$2:$K$20000,DATOS!$A$2:$A$20000,AE247,DATOS!$G$2:$G$20000,CONFIG_METADATA!$B$4,DATOS!$I$2:$I$20000,"Orquesta/Banda/Conjunto"),"")))</f>
        <v/>
      </c>
      <c r="AH247" t="str">
        <f>IF(AE247="","",IF(AE247="[FÓRMULA MANUAL]","",IFERROR(AVERAGEIFS(DATOS!$K$2:$K$20000,DATOS!$A$2:$A$20000,AE247,DATOS!$G$2:$G$20000,CONFIG_METADATA!$B$4,DATOS!$I$2:$I$20000,"Música de Cámara"),"")))</f>
        <v/>
      </c>
      <c r="AI247" t="str">
        <f>IF(AE247="","",IF(AE247="[FÓRMULA MANUAL]","",IFERROR(SUMPRODUCT((DATOS!$A$2:$A$20000=AE247)*(DATOS!$G$2:$G$20000=CONFIG_METADATA!$B$4)*(COUNTIF(CONFIG_ASIGNATURAS!$B$7:$B$27,DATOS!$I$2:$I$20000)&gt;0)*(DATOS!$K$2:$K$20000))/SUMPRODUCT((DATOS!$A$2:$A$20000=AE247)*(DATOS!$G$2:$G$20000=CONFIG_METADATA!$B$4)*(COUNTIF(CONFIG_ASIGNATURAS!$B$7:$B$27,DATOS!$I$2:$I$20000)&gt;0)*1),"")))</f>
        <v/>
      </c>
    </row>
    <row r="248" spans="2:35" x14ac:dyDescent="0.2">
      <c r="B248" t="str">
        <f>IF(A248="","",IF(A248="[FÓRMULA MANUAL]","",IFERROR(AVERAGEIFS(DATOS!$K$2:$K$20000,DATOS!$A$2:$A$20000,A248,DATOS!$G$2:$G$20000,CONFIG_METADATA!$B$4,DATOS!$I$2:$I$20000,"Lenguaje Musical"),"")))</f>
        <v/>
      </c>
      <c r="C248" t="str">
        <f>IF(A248="","",IF(A248="[FÓRMULA MANUAL]","",IFERROR(AVERAGEIFS(DATOS!$K$2:$K$20000,DATOS!$A$2:$A$20000,A248,DATOS!$G$2:$G$20000,CONFIG_METADATA!$B$4,DATOS!$I$2:$I$20000,"Orquesta/Banda/Conjunto"),"")))</f>
        <v/>
      </c>
      <c r="D248" t="str">
        <f>IF(A248="","",IF(A248="[FÓRMULA MANUAL]","",IFERROR(AVERAGEIFS(DATOS!$K$2:$K$20000,DATOS!$A$2:$A$20000,A248,DATOS!$G$2:$G$20000,CONFIG_METADATA!$B$4,DATOS!$I$2:$I$20000,"Conjunto"),"")))</f>
        <v/>
      </c>
      <c r="E248" t="str">
        <f>IF(A248="","",IF(A248="[FÓRMULA MANUAL]","",IFERROR(SUMPRODUCT((DATOS!$A$2:$A$20000=A248)*(DATOS!$G$2:$G$20000=CONFIG_METADATA!$B$4)*(COUNTIF(CONFIG_ASIGNATURAS!$B$7:$B$27,DATOS!$I$2:$I$20000)&gt;0)*(DATOS!$K$2:$K$20000))/SUMPRODUCT((DATOS!$A$2:$A$20000=A248)*(DATOS!$G$2:$G$20000=CONFIG_METADATA!$B$4)*(COUNTIF(CONFIG_ASIGNATURAS!$B$7:$B$27,DATOS!$I$2:$I$20000)&gt;0)*1),"")))</f>
        <v/>
      </c>
      <c r="H248" t="str">
        <f>IF(G248="","",IF(G248="[FÓRMULA MANUAL]","",IFERROR(AVERAGEIFS(DATOS!$K$2:$K$20000,DATOS!$A$2:$A$20000,G248,DATOS!$G$2:$G$20000,CONFIG_METADATA!$B$4,DATOS!$I$2:$I$20000,"Lenguaje Musical"),"")))</f>
        <v/>
      </c>
      <c r="I248" t="str">
        <f>IF(G248="","",IF(G248="[FÓRMULA MANUAL]","",IFERROR(AVERAGEIFS(DATOS!$K$2:$K$20000,DATOS!$A$2:$A$20000,G248,DATOS!$G$2:$G$20000,CONFIG_METADATA!$B$4,DATOS!$I$2:$I$20000,"Orquesta/Banda/Conjunto"),"")))</f>
        <v/>
      </c>
      <c r="J248" t="str">
        <f>IF(G248="","",IF(G248="[FÓRMULA MANUAL]","",IFERROR(AVERAGEIFS(DATOS!$K$2:$K$20000,DATOS!$A$2:$A$20000,G248,DATOS!$G$2:$G$20000,CONFIG_METADATA!$B$4,DATOS!$I$2:$I$20000,"Conjunto"),"")))</f>
        <v/>
      </c>
      <c r="K248" t="str">
        <f>IF(G248="","",IF(G248="[FÓRMULA MANUAL]","",IFERROR(SUMPRODUCT((DATOS!$A$2:$A$20000=G248)*(DATOS!$G$2:$G$20000=CONFIG_METADATA!$B$4)*(COUNTIF(CONFIG_ASIGNATURAS!$B$7:$B$27,DATOS!$I$2:$I$20000)&gt;0)*(DATOS!$K$2:$K$20000))/SUMPRODUCT((DATOS!$A$2:$A$20000=G248)*(DATOS!$G$2:$G$20000=CONFIG_METADATA!$B$4)*(COUNTIF(CONFIG_ASIGNATURAS!$B$7:$B$27,DATOS!$I$2:$I$20000)&gt;0)*1),"")))</f>
        <v/>
      </c>
      <c r="N248" t="str">
        <f>IF(M248="","",IF(M248="[FÓRMULA MANUAL]","",IFERROR(AVERAGEIFS(DATOS!$K$2:$K$20000,DATOS!$A$2:$A$20000,M248,DATOS!$G$2:$G$20000,CONFIG_METADATA!$B$4,DATOS!$I$2:$I$20000,"Armonía"),"")))</f>
        <v/>
      </c>
      <c r="O248" t="str">
        <f>IF(M248="","",IF(M248="[FÓRMULA MANUAL]","",IFERROR(AVERAGEIFS(DATOS!$K$2:$K$20000,DATOS!$A$2:$A$20000,M248,DATOS!$G$2:$G$20000,CONFIG_METADATA!$B$4,DATOS!$I$2:$I$20000,"Orquesta/Banda/Conjunto"),"")))</f>
        <v/>
      </c>
      <c r="P248" t="str">
        <f>IF(M248="","",IF(M248="[FÓRMULA MANUAL]","",IFERROR(AVERAGEIFS(DATOS!$K$2:$K$20000,DATOS!$A$2:$A$20000,M248,DATOS!$G$2:$G$20000,CONFIG_METADATA!$B$4,DATOS!$I$2:$I$20000,"Música de Cámara"),"")))</f>
        <v/>
      </c>
      <c r="Q248" t="str">
        <f>IF(M248="","",IF(M248="[FÓRMULA MANUAL]","",IFERROR(SUMPRODUCT((DATOS!$A$2:$A$20000=M248)*(DATOS!$G$2:$G$20000=CONFIG_METADATA!$B$4)*(COUNTIF(CONFIG_ASIGNATURAS!$B$7:$B$27,DATOS!$I$2:$I$20000)&gt;0)*(DATOS!$K$2:$K$20000))/SUMPRODUCT((DATOS!$A$2:$A$20000=M248)*(DATOS!$G$2:$G$20000=CONFIG_METADATA!$B$4)*(COUNTIF(CONFIG_ASIGNATURAS!$B$7:$B$27,DATOS!$I$2:$I$20000)&gt;0)*1),"")))</f>
        <v/>
      </c>
      <c r="T248" t="str">
        <f>IF(S248="","",IF(S248="[FÓRMULA MANUAL]","",IFERROR(AVERAGEIFS(DATOS!$K$2:$K$20000,DATOS!$A$2:$A$20000,S248,DATOS!$G$2:$G$20000,CONFIG_METADATA!$B$4,DATOS!$I$2:$I$20000,"Armonía"),"")))</f>
        <v/>
      </c>
      <c r="U248" t="str">
        <f>IF(S248="","",IF(S248="[FÓRMULA MANUAL]","",IFERROR(AVERAGEIFS(DATOS!$K$2:$K$20000,DATOS!$A$2:$A$20000,S248,DATOS!$G$2:$G$20000,CONFIG_METADATA!$B$4,DATOS!$I$2:$I$20000,"Orquesta/Banda/Conjunto"),"")))</f>
        <v/>
      </c>
      <c r="V248" t="str">
        <f>IF(S248="","",IF(S248="[FÓRMULA MANUAL]","",IFERROR(AVERAGEIFS(DATOS!$K$2:$K$20000,DATOS!$A$2:$A$20000,S248,DATOS!$G$2:$G$20000,CONFIG_METADATA!$B$4,DATOS!$I$2:$I$20000,"Música de Cámara"),"")))</f>
        <v/>
      </c>
      <c r="W248" t="str">
        <f>IF(S248="","",IF(S248="[FÓRMULA MANUAL]","",IFERROR(SUMPRODUCT((DATOS!$A$2:$A$20000=S248)*(DATOS!$G$2:$G$20000=CONFIG_METADATA!$B$4)*(COUNTIF(CONFIG_ASIGNATURAS!$B$7:$B$27,DATOS!$I$2:$I$20000)&gt;0)*(DATOS!$K$2:$K$20000))/SUMPRODUCT((DATOS!$A$2:$A$20000=S248)*(DATOS!$G$2:$G$20000=CONFIG_METADATA!$B$4)*(COUNTIF(CONFIG_ASIGNATURAS!$B$7:$B$27,DATOS!$I$2:$I$20000)&gt;0)*1),"")))</f>
        <v/>
      </c>
      <c r="Z248" t="str">
        <f>IF(Y248="","",IF(Y248="[FÓRMULA MANUAL]","",IFERROR(AVERAGEIFS(DATOS!$K$2:$K$20000,DATOS!$A$2:$A$20000,Y248,DATOS!$G$2:$G$20000,CONFIG_METADATA!$B$4,DATOS!$I$2:$I$20000,"Análisis"),"")))</f>
        <v/>
      </c>
      <c r="AA248" t="str">
        <f>IF(Y248="","",IF(Y248="[FÓRMULA MANUAL]","",IFERROR(AVERAGEIFS(DATOS!$K$2:$K$20000,DATOS!$A$2:$A$20000,Y248,DATOS!$G$2:$G$20000,CONFIG_METADATA!$B$4,DATOS!$I$2:$I$20000,"Orquesta/Banda/Conjunto"),"")))</f>
        <v/>
      </c>
      <c r="AB248" t="str">
        <f>IF(Y248="","",IF(Y248="[FÓRMULA MANUAL]","",IFERROR(AVERAGEIFS(DATOS!$K$2:$K$20000,DATOS!$A$2:$A$20000,Y248,DATOS!$G$2:$G$20000,CONFIG_METADATA!$B$4,DATOS!$I$2:$I$20000,"Música de Cámara"),"")))</f>
        <v/>
      </c>
      <c r="AC248" t="str">
        <f>IF(Y248="","",IF(Y248="[FÓRMULA MANUAL]","",IFERROR(SUMPRODUCT((DATOS!$A$2:$A$20000=Y248)*(DATOS!$G$2:$G$20000=CONFIG_METADATA!$B$4)*(COUNTIF(CONFIG_ASIGNATURAS!$B$7:$B$27,DATOS!$I$2:$I$20000)&gt;0)*(DATOS!$K$2:$K$20000))/SUMPRODUCT((DATOS!$A$2:$A$20000=Y248)*(DATOS!$G$2:$G$20000=CONFIG_METADATA!$B$4)*(COUNTIF(CONFIG_ASIGNATURAS!$B$7:$B$27,DATOS!$I$2:$I$20000)&gt;0)*1),"")))</f>
        <v/>
      </c>
      <c r="AF248" t="str">
        <f>IF(AE248="","",IF(AE248="[FÓRMULA MANUAL]","",IFERROR(AVERAGEIFS(DATOS!$K$2:$K$20000,DATOS!$A$2:$A$20000,AE248,DATOS!$G$2:$G$20000,CONFIG_METADATA!$B$4,DATOS!$I$2:$I$20000,"Análisis"),"")))</f>
        <v/>
      </c>
      <c r="AG248" t="str">
        <f>IF(AE248="","",IF(AE248="[FÓRMULA MANUAL]","",IFERROR(AVERAGEIFS(DATOS!$K$2:$K$20000,DATOS!$A$2:$A$20000,AE248,DATOS!$G$2:$G$20000,CONFIG_METADATA!$B$4,DATOS!$I$2:$I$20000,"Orquesta/Banda/Conjunto"),"")))</f>
        <v/>
      </c>
      <c r="AH248" t="str">
        <f>IF(AE248="","",IF(AE248="[FÓRMULA MANUAL]","",IFERROR(AVERAGEIFS(DATOS!$K$2:$K$20000,DATOS!$A$2:$A$20000,AE248,DATOS!$G$2:$G$20000,CONFIG_METADATA!$B$4,DATOS!$I$2:$I$20000,"Música de Cámara"),"")))</f>
        <v/>
      </c>
      <c r="AI248" t="str">
        <f>IF(AE248="","",IF(AE248="[FÓRMULA MANUAL]","",IFERROR(SUMPRODUCT((DATOS!$A$2:$A$20000=AE248)*(DATOS!$G$2:$G$20000=CONFIG_METADATA!$B$4)*(COUNTIF(CONFIG_ASIGNATURAS!$B$7:$B$27,DATOS!$I$2:$I$20000)&gt;0)*(DATOS!$K$2:$K$20000))/SUMPRODUCT((DATOS!$A$2:$A$20000=AE248)*(DATOS!$G$2:$G$20000=CONFIG_METADATA!$B$4)*(COUNTIF(CONFIG_ASIGNATURAS!$B$7:$B$27,DATOS!$I$2:$I$20000)&gt;0)*1),"")))</f>
        <v/>
      </c>
    </row>
    <row r="249" spans="2:35" x14ac:dyDescent="0.2">
      <c r="B249" t="str">
        <f>IF(A249="","",IF(A249="[FÓRMULA MANUAL]","",IFERROR(AVERAGEIFS(DATOS!$K$2:$K$20000,DATOS!$A$2:$A$20000,A249,DATOS!$G$2:$G$20000,CONFIG_METADATA!$B$4,DATOS!$I$2:$I$20000,"Lenguaje Musical"),"")))</f>
        <v/>
      </c>
      <c r="C249" t="str">
        <f>IF(A249="","",IF(A249="[FÓRMULA MANUAL]","",IFERROR(AVERAGEIFS(DATOS!$K$2:$K$20000,DATOS!$A$2:$A$20000,A249,DATOS!$G$2:$G$20000,CONFIG_METADATA!$B$4,DATOS!$I$2:$I$20000,"Orquesta/Banda/Conjunto"),"")))</f>
        <v/>
      </c>
      <c r="D249" t="str">
        <f>IF(A249="","",IF(A249="[FÓRMULA MANUAL]","",IFERROR(AVERAGEIFS(DATOS!$K$2:$K$20000,DATOS!$A$2:$A$20000,A249,DATOS!$G$2:$G$20000,CONFIG_METADATA!$B$4,DATOS!$I$2:$I$20000,"Conjunto"),"")))</f>
        <v/>
      </c>
      <c r="E249" t="str">
        <f>IF(A249="","",IF(A249="[FÓRMULA MANUAL]","",IFERROR(SUMPRODUCT((DATOS!$A$2:$A$20000=A249)*(DATOS!$G$2:$G$20000=CONFIG_METADATA!$B$4)*(COUNTIF(CONFIG_ASIGNATURAS!$B$7:$B$27,DATOS!$I$2:$I$20000)&gt;0)*(DATOS!$K$2:$K$20000))/SUMPRODUCT((DATOS!$A$2:$A$20000=A249)*(DATOS!$G$2:$G$20000=CONFIG_METADATA!$B$4)*(COUNTIF(CONFIG_ASIGNATURAS!$B$7:$B$27,DATOS!$I$2:$I$20000)&gt;0)*1),"")))</f>
        <v/>
      </c>
      <c r="H249" t="str">
        <f>IF(G249="","",IF(G249="[FÓRMULA MANUAL]","",IFERROR(AVERAGEIFS(DATOS!$K$2:$K$20000,DATOS!$A$2:$A$20000,G249,DATOS!$G$2:$G$20000,CONFIG_METADATA!$B$4,DATOS!$I$2:$I$20000,"Lenguaje Musical"),"")))</f>
        <v/>
      </c>
      <c r="I249" t="str">
        <f>IF(G249="","",IF(G249="[FÓRMULA MANUAL]","",IFERROR(AVERAGEIFS(DATOS!$K$2:$K$20000,DATOS!$A$2:$A$20000,G249,DATOS!$G$2:$G$20000,CONFIG_METADATA!$B$4,DATOS!$I$2:$I$20000,"Orquesta/Banda/Conjunto"),"")))</f>
        <v/>
      </c>
      <c r="J249" t="str">
        <f>IF(G249="","",IF(G249="[FÓRMULA MANUAL]","",IFERROR(AVERAGEIFS(DATOS!$K$2:$K$20000,DATOS!$A$2:$A$20000,G249,DATOS!$G$2:$G$20000,CONFIG_METADATA!$B$4,DATOS!$I$2:$I$20000,"Conjunto"),"")))</f>
        <v/>
      </c>
      <c r="K249" t="str">
        <f>IF(G249="","",IF(G249="[FÓRMULA MANUAL]","",IFERROR(SUMPRODUCT((DATOS!$A$2:$A$20000=G249)*(DATOS!$G$2:$G$20000=CONFIG_METADATA!$B$4)*(COUNTIF(CONFIG_ASIGNATURAS!$B$7:$B$27,DATOS!$I$2:$I$20000)&gt;0)*(DATOS!$K$2:$K$20000))/SUMPRODUCT((DATOS!$A$2:$A$20000=G249)*(DATOS!$G$2:$G$20000=CONFIG_METADATA!$B$4)*(COUNTIF(CONFIG_ASIGNATURAS!$B$7:$B$27,DATOS!$I$2:$I$20000)&gt;0)*1),"")))</f>
        <v/>
      </c>
      <c r="N249" t="str">
        <f>IF(M249="","",IF(M249="[FÓRMULA MANUAL]","",IFERROR(AVERAGEIFS(DATOS!$K$2:$K$20000,DATOS!$A$2:$A$20000,M249,DATOS!$G$2:$G$20000,CONFIG_METADATA!$B$4,DATOS!$I$2:$I$20000,"Armonía"),"")))</f>
        <v/>
      </c>
      <c r="O249" t="str">
        <f>IF(M249="","",IF(M249="[FÓRMULA MANUAL]","",IFERROR(AVERAGEIFS(DATOS!$K$2:$K$20000,DATOS!$A$2:$A$20000,M249,DATOS!$G$2:$G$20000,CONFIG_METADATA!$B$4,DATOS!$I$2:$I$20000,"Orquesta/Banda/Conjunto"),"")))</f>
        <v/>
      </c>
      <c r="P249" t="str">
        <f>IF(M249="","",IF(M249="[FÓRMULA MANUAL]","",IFERROR(AVERAGEIFS(DATOS!$K$2:$K$20000,DATOS!$A$2:$A$20000,M249,DATOS!$G$2:$G$20000,CONFIG_METADATA!$B$4,DATOS!$I$2:$I$20000,"Música de Cámara"),"")))</f>
        <v/>
      </c>
      <c r="Q249" t="str">
        <f>IF(M249="","",IF(M249="[FÓRMULA MANUAL]","",IFERROR(SUMPRODUCT((DATOS!$A$2:$A$20000=M249)*(DATOS!$G$2:$G$20000=CONFIG_METADATA!$B$4)*(COUNTIF(CONFIG_ASIGNATURAS!$B$7:$B$27,DATOS!$I$2:$I$20000)&gt;0)*(DATOS!$K$2:$K$20000))/SUMPRODUCT((DATOS!$A$2:$A$20000=M249)*(DATOS!$G$2:$G$20000=CONFIG_METADATA!$B$4)*(COUNTIF(CONFIG_ASIGNATURAS!$B$7:$B$27,DATOS!$I$2:$I$20000)&gt;0)*1),"")))</f>
        <v/>
      </c>
      <c r="T249" t="str">
        <f>IF(S249="","",IF(S249="[FÓRMULA MANUAL]","",IFERROR(AVERAGEIFS(DATOS!$K$2:$K$20000,DATOS!$A$2:$A$20000,S249,DATOS!$G$2:$G$20000,CONFIG_METADATA!$B$4,DATOS!$I$2:$I$20000,"Armonía"),"")))</f>
        <v/>
      </c>
      <c r="U249" t="str">
        <f>IF(S249="","",IF(S249="[FÓRMULA MANUAL]","",IFERROR(AVERAGEIFS(DATOS!$K$2:$K$20000,DATOS!$A$2:$A$20000,S249,DATOS!$G$2:$G$20000,CONFIG_METADATA!$B$4,DATOS!$I$2:$I$20000,"Orquesta/Banda/Conjunto"),"")))</f>
        <v/>
      </c>
      <c r="V249" t="str">
        <f>IF(S249="","",IF(S249="[FÓRMULA MANUAL]","",IFERROR(AVERAGEIFS(DATOS!$K$2:$K$20000,DATOS!$A$2:$A$20000,S249,DATOS!$G$2:$G$20000,CONFIG_METADATA!$B$4,DATOS!$I$2:$I$20000,"Música de Cámara"),"")))</f>
        <v/>
      </c>
      <c r="W249" t="str">
        <f>IF(S249="","",IF(S249="[FÓRMULA MANUAL]","",IFERROR(SUMPRODUCT((DATOS!$A$2:$A$20000=S249)*(DATOS!$G$2:$G$20000=CONFIG_METADATA!$B$4)*(COUNTIF(CONFIG_ASIGNATURAS!$B$7:$B$27,DATOS!$I$2:$I$20000)&gt;0)*(DATOS!$K$2:$K$20000))/SUMPRODUCT((DATOS!$A$2:$A$20000=S249)*(DATOS!$G$2:$G$20000=CONFIG_METADATA!$B$4)*(COUNTIF(CONFIG_ASIGNATURAS!$B$7:$B$27,DATOS!$I$2:$I$20000)&gt;0)*1),"")))</f>
        <v/>
      </c>
      <c r="Z249" t="str">
        <f>IF(Y249="","",IF(Y249="[FÓRMULA MANUAL]","",IFERROR(AVERAGEIFS(DATOS!$K$2:$K$20000,DATOS!$A$2:$A$20000,Y249,DATOS!$G$2:$G$20000,CONFIG_METADATA!$B$4,DATOS!$I$2:$I$20000,"Análisis"),"")))</f>
        <v/>
      </c>
      <c r="AA249" t="str">
        <f>IF(Y249="","",IF(Y249="[FÓRMULA MANUAL]","",IFERROR(AVERAGEIFS(DATOS!$K$2:$K$20000,DATOS!$A$2:$A$20000,Y249,DATOS!$G$2:$G$20000,CONFIG_METADATA!$B$4,DATOS!$I$2:$I$20000,"Orquesta/Banda/Conjunto"),"")))</f>
        <v/>
      </c>
      <c r="AB249" t="str">
        <f>IF(Y249="","",IF(Y249="[FÓRMULA MANUAL]","",IFERROR(AVERAGEIFS(DATOS!$K$2:$K$20000,DATOS!$A$2:$A$20000,Y249,DATOS!$G$2:$G$20000,CONFIG_METADATA!$B$4,DATOS!$I$2:$I$20000,"Música de Cámara"),"")))</f>
        <v/>
      </c>
      <c r="AC249" t="str">
        <f>IF(Y249="","",IF(Y249="[FÓRMULA MANUAL]","",IFERROR(SUMPRODUCT((DATOS!$A$2:$A$20000=Y249)*(DATOS!$G$2:$G$20000=CONFIG_METADATA!$B$4)*(COUNTIF(CONFIG_ASIGNATURAS!$B$7:$B$27,DATOS!$I$2:$I$20000)&gt;0)*(DATOS!$K$2:$K$20000))/SUMPRODUCT((DATOS!$A$2:$A$20000=Y249)*(DATOS!$G$2:$G$20000=CONFIG_METADATA!$B$4)*(COUNTIF(CONFIG_ASIGNATURAS!$B$7:$B$27,DATOS!$I$2:$I$20000)&gt;0)*1),"")))</f>
        <v/>
      </c>
      <c r="AF249" t="str">
        <f>IF(AE249="","",IF(AE249="[FÓRMULA MANUAL]","",IFERROR(AVERAGEIFS(DATOS!$K$2:$K$20000,DATOS!$A$2:$A$20000,AE249,DATOS!$G$2:$G$20000,CONFIG_METADATA!$B$4,DATOS!$I$2:$I$20000,"Análisis"),"")))</f>
        <v/>
      </c>
      <c r="AG249" t="str">
        <f>IF(AE249="","",IF(AE249="[FÓRMULA MANUAL]","",IFERROR(AVERAGEIFS(DATOS!$K$2:$K$20000,DATOS!$A$2:$A$20000,AE249,DATOS!$G$2:$G$20000,CONFIG_METADATA!$B$4,DATOS!$I$2:$I$20000,"Orquesta/Banda/Conjunto"),"")))</f>
        <v/>
      </c>
      <c r="AH249" t="str">
        <f>IF(AE249="","",IF(AE249="[FÓRMULA MANUAL]","",IFERROR(AVERAGEIFS(DATOS!$K$2:$K$20000,DATOS!$A$2:$A$20000,AE249,DATOS!$G$2:$G$20000,CONFIG_METADATA!$B$4,DATOS!$I$2:$I$20000,"Música de Cámara"),"")))</f>
        <v/>
      </c>
      <c r="AI249" t="str">
        <f>IF(AE249="","",IF(AE249="[FÓRMULA MANUAL]","",IFERROR(SUMPRODUCT((DATOS!$A$2:$A$20000=AE249)*(DATOS!$G$2:$G$20000=CONFIG_METADATA!$B$4)*(COUNTIF(CONFIG_ASIGNATURAS!$B$7:$B$27,DATOS!$I$2:$I$20000)&gt;0)*(DATOS!$K$2:$K$20000))/SUMPRODUCT((DATOS!$A$2:$A$20000=AE249)*(DATOS!$G$2:$G$20000=CONFIG_METADATA!$B$4)*(COUNTIF(CONFIG_ASIGNATURAS!$B$7:$B$27,DATOS!$I$2:$I$20000)&gt;0)*1),"")))</f>
        <v/>
      </c>
    </row>
    <row r="250" spans="2:35" x14ac:dyDescent="0.2">
      <c r="B250" t="str">
        <f>IF(A250="","",IF(A250="[FÓRMULA MANUAL]","",IFERROR(AVERAGEIFS(DATOS!$K$2:$K$20000,DATOS!$A$2:$A$20000,A250,DATOS!$G$2:$G$20000,CONFIG_METADATA!$B$4,DATOS!$I$2:$I$20000,"Lenguaje Musical"),"")))</f>
        <v/>
      </c>
      <c r="C250" t="str">
        <f>IF(A250="","",IF(A250="[FÓRMULA MANUAL]","",IFERROR(AVERAGEIFS(DATOS!$K$2:$K$20000,DATOS!$A$2:$A$20000,A250,DATOS!$G$2:$G$20000,CONFIG_METADATA!$B$4,DATOS!$I$2:$I$20000,"Orquesta/Banda/Conjunto"),"")))</f>
        <v/>
      </c>
      <c r="D250" t="str">
        <f>IF(A250="","",IF(A250="[FÓRMULA MANUAL]","",IFERROR(AVERAGEIFS(DATOS!$K$2:$K$20000,DATOS!$A$2:$A$20000,A250,DATOS!$G$2:$G$20000,CONFIG_METADATA!$B$4,DATOS!$I$2:$I$20000,"Conjunto"),"")))</f>
        <v/>
      </c>
      <c r="E250" t="str">
        <f>IF(A250="","",IF(A250="[FÓRMULA MANUAL]","",IFERROR(SUMPRODUCT((DATOS!$A$2:$A$20000=A250)*(DATOS!$G$2:$G$20000=CONFIG_METADATA!$B$4)*(COUNTIF(CONFIG_ASIGNATURAS!$B$7:$B$27,DATOS!$I$2:$I$20000)&gt;0)*(DATOS!$K$2:$K$20000))/SUMPRODUCT((DATOS!$A$2:$A$20000=A250)*(DATOS!$G$2:$G$20000=CONFIG_METADATA!$B$4)*(COUNTIF(CONFIG_ASIGNATURAS!$B$7:$B$27,DATOS!$I$2:$I$20000)&gt;0)*1),"")))</f>
        <v/>
      </c>
      <c r="H250" t="str">
        <f>IF(G250="","",IF(G250="[FÓRMULA MANUAL]","",IFERROR(AVERAGEIFS(DATOS!$K$2:$K$20000,DATOS!$A$2:$A$20000,G250,DATOS!$G$2:$G$20000,CONFIG_METADATA!$B$4,DATOS!$I$2:$I$20000,"Lenguaje Musical"),"")))</f>
        <v/>
      </c>
      <c r="I250" t="str">
        <f>IF(G250="","",IF(G250="[FÓRMULA MANUAL]","",IFERROR(AVERAGEIFS(DATOS!$K$2:$K$20000,DATOS!$A$2:$A$20000,G250,DATOS!$G$2:$G$20000,CONFIG_METADATA!$B$4,DATOS!$I$2:$I$20000,"Orquesta/Banda/Conjunto"),"")))</f>
        <v/>
      </c>
      <c r="J250" t="str">
        <f>IF(G250="","",IF(G250="[FÓRMULA MANUAL]","",IFERROR(AVERAGEIFS(DATOS!$K$2:$K$20000,DATOS!$A$2:$A$20000,G250,DATOS!$G$2:$G$20000,CONFIG_METADATA!$B$4,DATOS!$I$2:$I$20000,"Conjunto"),"")))</f>
        <v/>
      </c>
      <c r="K250" t="str">
        <f>IF(G250="","",IF(G250="[FÓRMULA MANUAL]","",IFERROR(SUMPRODUCT((DATOS!$A$2:$A$20000=G250)*(DATOS!$G$2:$G$20000=CONFIG_METADATA!$B$4)*(COUNTIF(CONFIG_ASIGNATURAS!$B$7:$B$27,DATOS!$I$2:$I$20000)&gt;0)*(DATOS!$K$2:$K$20000))/SUMPRODUCT((DATOS!$A$2:$A$20000=G250)*(DATOS!$G$2:$G$20000=CONFIG_METADATA!$B$4)*(COUNTIF(CONFIG_ASIGNATURAS!$B$7:$B$27,DATOS!$I$2:$I$20000)&gt;0)*1),"")))</f>
        <v/>
      </c>
      <c r="N250" t="str">
        <f>IF(M250="","",IF(M250="[FÓRMULA MANUAL]","",IFERROR(AVERAGEIFS(DATOS!$K$2:$K$20000,DATOS!$A$2:$A$20000,M250,DATOS!$G$2:$G$20000,CONFIG_METADATA!$B$4,DATOS!$I$2:$I$20000,"Armonía"),"")))</f>
        <v/>
      </c>
      <c r="O250" t="str">
        <f>IF(M250="","",IF(M250="[FÓRMULA MANUAL]","",IFERROR(AVERAGEIFS(DATOS!$K$2:$K$20000,DATOS!$A$2:$A$20000,M250,DATOS!$G$2:$G$20000,CONFIG_METADATA!$B$4,DATOS!$I$2:$I$20000,"Orquesta/Banda/Conjunto"),"")))</f>
        <v/>
      </c>
      <c r="P250" t="str">
        <f>IF(M250="","",IF(M250="[FÓRMULA MANUAL]","",IFERROR(AVERAGEIFS(DATOS!$K$2:$K$20000,DATOS!$A$2:$A$20000,M250,DATOS!$G$2:$G$20000,CONFIG_METADATA!$B$4,DATOS!$I$2:$I$20000,"Música de Cámara"),"")))</f>
        <v/>
      </c>
      <c r="Q250" t="str">
        <f>IF(M250="","",IF(M250="[FÓRMULA MANUAL]","",IFERROR(SUMPRODUCT((DATOS!$A$2:$A$20000=M250)*(DATOS!$G$2:$G$20000=CONFIG_METADATA!$B$4)*(COUNTIF(CONFIG_ASIGNATURAS!$B$7:$B$27,DATOS!$I$2:$I$20000)&gt;0)*(DATOS!$K$2:$K$20000))/SUMPRODUCT((DATOS!$A$2:$A$20000=M250)*(DATOS!$G$2:$G$20000=CONFIG_METADATA!$B$4)*(COUNTIF(CONFIG_ASIGNATURAS!$B$7:$B$27,DATOS!$I$2:$I$20000)&gt;0)*1),"")))</f>
        <v/>
      </c>
      <c r="T250" t="str">
        <f>IF(S250="","",IF(S250="[FÓRMULA MANUAL]","",IFERROR(AVERAGEIFS(DATOS!$K$2:$K$20000,DATOS!$A$2:$A$20000,S250,DATOS!$G$2:$G$20000,CONFIG_METADATA!$B$4,DATOS!$I$2:$I$20000,"Armonía"),"")))</f>
        <v/>
      </c>
      <c r="U250" t="str">
        <f>IF(S250="","",IF(S250="[FÓRMULA MANUAL]","",IFERROR(AVERAGEIFS(DATOS!$K$2:$K$20000,DATOS!$A$2:$A$20000,S250,DATOS!$G$2:$G$20000,CONFIG_METADATA!$B$4,DATOS!$I$2:$I$20000,"Orquesta/Banda/Conjunto"),"")))</f>
        <v/>
      </c>
      <c r="V250" t="str">
        <f>IF(S250="","",IF(S250="[FÓRMULA MANUAL]","",IFERROR(AVERAGEIFS(DATOS!$K$2:$K$20000,DATOS!$A$2:$A$20000,S250,DATOS!$G$2:$G$20000,CONFIG_METADATA!$B$4,DATOS!$I$2:$I$20000,"Música de Cámara"),"")))</f>
        <v/>
      </c>
      <c r="W250" t="str">
        <f>IF(S250="","",IF(S250="[FÓRMULA MANUAL]","",IFERROR(SUMPRODUCT((DATOS!$A$2:$A$20000=S250)*(DATOS!$G$2:$G$20000=CONFIG_METADATA!$B$4)*(COUNTIF(CONFIG_ASIGNATURAS!$B$7:$B$27,DATOS!$I$2:$I$20000)&gt;0)*(DATOS!$K$2:$K$20000))/SUMPRODUCT((DATOS!$A$2:$A$20000=S250)*(DATOS!$G$2:$G$20000=CONFIG_METADATA!$B$4)*(COUNTIF(CONFIG_ASIGNATURAS!$B$7:$B$27,DATOS!$I$2:$I$20000)&gt;0)*1),"")))</f>
        <v/>
      </c>
      <c r="Z250" t="str">
        <f>IF(Y250="","",IF(Y250="[FÓRMULA MANUAL]","",IFERROR(AVERAGEIFS(DATOS!$K$2:$K$20000,DATOS!$A$2:$A$20000,Y250,DATOS!$G$2:$G$20000,CONFIG_METADATA!$B$4,DATOS!$I$2:$I$20000,"Análisis"),"")))</f>
        <v/>
      </c>
      <c r="AA250" t="str">
        <f>IF(Y250="","",IF(Y250="[FÓRMULA MANUAL]","",IFERROR(AVERAGEIFS(DATOS!$K$2:$K$20000,DATOS!$A$2:$A$20000,Y250,DATOS!$G$2:$G$20000,CONFIG_METADATA!$B$4,DATOS!$I$2:$I$20000,"Orquesta/Banda/Conjunto"),"")))</f>
        <v/>
      </c>
      <c r="AB250" t="str">
        <f>IF(Y250="","",IF(Y250="[FÓRMULA MANUAL]","",IFERROR(AVERAGEIFS(DATOS!$K$2:$K$20000,DATOS!$A$2:$A$20000,Y250,DATOS!$G$2:$G$20000,CONFIG_METADATA!$B$4,DATOS!$I$2:$I$20000,"Música de Cámara"),"")))</f>
        <v/>
      </c>
      <c r="AC250" t="str">
        <f>IF(Y250="","",IF(Y250="[FÓRMULA MANUAL]","",IFERROR(SUMPRODUCT((DATOS!$A$2:$A$20000=Y250)*(DATOS!$G$2:$G$20000=CONFIG_METADATA!$B$4)*(COUNTIF(CONFIG_ASIGNATURAS!$B$7:$B$27,DATOS!$I$2:$I$20000)&gt;0)*(DATOS!$K$2:$K$20000))/SUMPRODUCT((DATOS!$A$2:$A$20000=Y250)*(DATOS!$G$2:$G$20000=CONFIG_METADATA!$B$4)*(COUNTIF(CONFIG_ASIGNATURAS!$B$7:$B$27,DATOS!$I$2:$I$20000)&gt;0)*1),"")))</f>
        <v/>
      </c>
      <c r="AF250" t="str">
        <f>IF(AE250="","",IF(AE250="[FÓRMULA MANUAL]","",IFERROR(AVERAGEIFS(DATOS!$K$2:$K$20000,DATOS!$A$2:$A$20000,AE250,DATOS!$G$2:$G$20000,CONFIG_METADATA!$B$4,DATOS!$I$2:$I$20000,"Análisis"),"")))</f>
        <v/>
      </c>
      <c r="AG250" t="str">
        <f>IF(AE250="","",IF(AE250="[FÓRMULA MANUAL]","",IFERROR(AVERAGEIFS(DATOS!$K$2:$K$20000,DATOS!$A$2:$A$20000,AE250,DATOS!$G$2:$G$20000,CONFIG_METADATA!$B$4,DATOS!$I$2:$I$20000,"Orquesta/Banda/Conjunto"),"")))</f>
        <v/>
      </c>
      <c r="AH250" t="str">
        <f>IF(AE250="","",IF(AE250="[FÓRMULA MANUAL]","",IFERROR(AVERAGEIFS(DATOS!$K$2:$K$20000,DATOS!$A$2:$A$20000,AE250,DATOS!$G$2:$G$20000,CONFIG_METADATA!$B$4,DATOS!$I$2:$I$20000,"Música de Cámara"),"")))</f>
        <v/>
      </c>
      <c r="AI250" t="str">
        <f>IF(AE250="","",IF(AE250="[FÓRMULA MANUAL]","",IFERROR(SUMPRODUCT((DATOS!$A$2:$A$20000=AE250)*(DATOS!$G$2:$G$20000=CONFIG_METADATA!$B$4)*(COUNTIF(CONFIG_ASIGNATURAS!$B$7:$B$27,DATOS!$I$2:$I$20000)&gt;0)*(DATOS!$K$2:$K$20000))/SUMPRODUCT((DATOS!$A$2:$A$20000=AE250)*(DATOS!$G$2:$G$20000=CONFIG_METADATA!$B$4)*(COUNTIF(CONFIG_ASIGNATURAS!$B$7:$B$27,DATOS!$I$2:$I$20000)&gt;0)*1),"")))</f>
        <v/>
      </c>
    </row>
    <row r="251" spans="2:35" x14ac:dyDescent="0.2">
      <c r="B251" t="str">
        <f>IF(A251="","",IF(A251="[FÓRMULA MANUAL]","",IFERROR(AVERAGEIFS(DATOS!$K$2:$K$20000,DATOS!$A$2:$A$20000,A251,DATOS!$G$2:$G$20000,CONFIG_METADATA!$B$4,DATOS!$I$2:$I$20000,"Lenguaje Musical"),"")))</f>
        <v/>
      </c>
      <c r="C251" t="str">
        <f>IF(A251="","",IF(A251="[FÓRMULA MANUAL]","",IFERROR(AVERAGEIFS(DATOS!$K$2:$K$20000,DATOS!$A$2:$A$20000,A251,DATOS!$G$2:$G$20000,CONFIG_METADATA!$B$4,DATOS!$I$2:$I$20000,"Orquesta/Banda/Conjunto"),"")))</f>
        <v/>
      </c>
      <c r="D251" t="str">
        <f>IF(A251="","",IF(A251="[FÓRMULA MANUAL]","",IFERROR(AVERAGEIFS(DATOS!$K$2:$K$20000,DATOS!$A$2:$A$20000,A251,DATOS!$G$2:$G$20000,CONFIG_METADATA!$B$4,DATOS!$I$2:$I$20000,"Conjunto"),"")))</f>
        <v/>
      </c>
      <c r="E251" t="str">
        <f>IF(A251="","",IF(A251="[FÓRMULA MANUAL]","",IFERROR(SUMPRODUCT((DATOS!$A$2:$A$20000=A251)*(DATOS!$G$2:$G$20000=CONFIG_METADATA!$B$4)*(COUNTIF(CONFIG_ASIGNATURAS!$B$7:$B$27,DATOS!$I$2:$I$20000)&gt;0)*(DATOS!$K$2:$K$20000))/SUMPRODUCT((DATOS!$A$2:$A$20000=A251)*(DATOS!$G$2:$G$20000=CONFIG_METADATA!$B$4)*(COUNTIF(CONFIG_ASIGNATURAS!$B$7:$B$27,DATOS!$I$2:$I$20000)&gt;0)*1),"")))</f>
        <v/>
      </c>
      <c r="H251" t="str">
        <f>IF(G251="","",IF(G251="[FÓRMULA MANUAL]","",IFERROR(AVERAGEIFS(DATOS!$K$2:$K$20000,DATOS!$A$2:$A$20000,G251,DATOS!$G$2:$G$20000,CONFIG_METADATA!$B$4,DATOS!$I$2:$I$20000,"Lenguaje Musical"),"")))</f>
        <v/>
      </c>
      <c r="I251" t="str">
        <f>IF(G251="","",IF(G251="[FÓRMULA MANUAL]","",IFERROR(AVERAGEIFS(DATOS!$K$2:$K$20000,DATOS!$A$2:$A$20000,G251,DATOS!$G$2:$G$20000,CONFIG_METADATA!$B$4,DATOS!$I$2:$I$20000,"Orquesta/Banda/Conjunto"),"")))</f>
        <v/>
      </c>
      <c r="J251" t="str">
        <f>IF(G251="","",IF(G251="[FÓRMULA MANUAL]","",IFERROR(AVERAGEIFS(DATOS!$K$2:$K$20000,DATOS!$A$2:$A$20000,G251,DATOS!$G$2:$G$20000,CONFIG_METADATA!$B$4,DATOS!$I$2:$I$20000,"Conjunto"),"")))</f>
        <v/>
      </c>
      <c r="K251" t="str">
        <f>IF(G251="","",IF(G251="[FÓRMULA MANUAL]","",IFERROR(SUMPRODUCT((DATOS!$A$2:$A$20000=G251)*(DATOS!$G$2:$G$20000=CONFIG_METADATA!$B$4)*(COUNTIF(CONFIG_ASIGNATURAS!$B$7:$B$27,DATOS!$I$2:$I$20000)&gt;0)*(DATOS!$K$2:$K$20000))/SUMPRODUCT((DATOS!$A$2:$A$20000=G251)*(DATOS!$G$2:$G$20000=CONFIG_METADATA!$B$4)*(COUNTIF(CONFIG_ASIGNATURAS!$B$7:$B$27,DATOS!$I$2:$I$20000)&gt;0)*1),"")))</f>
        <v/>
      </c>
      <c r="N251" t="str">
        <f>IF(M251="","",IF(M251="[FÓRMULA MANUAL]","",IFERROR(AVERAGEIFS(DATOS!$K$2:$K$20000,DATOS!$A$2:$A$20000,M251,DATOS!$G$2:$G$20000,CONFIG_METADATA!$B$4,DATOS!$I$2:$I$20000,"Armonía"),"")))</f>
        <v/>
      </c>
      <c r="O251" t="str">
        <f>IF(M251="","",IF(M251="[FÓRMULA MANUAL]","",IFERROR(AVERAGEIFS(DATOS!$K$2:$K$20000,DATOS!$A$2:$A$20000,M251,DATOS!$G$2:$G$20000,CONFIG_METADATA!$B$4,DATOS!$I$2:$I$20000,"Orquesta/Banda/Conjunto"),"")))</f>
        <v/>
      </c>
      <c r="P251" t="str">
        <f>IF(M251="","",IF(M251="[FÓRMULA MANUAL]","",IFERROR(AVERAGEIFS(DATOS!$K$2:$K$20000,DATOS!$A$2:$A$20000,M251,DATOS!$G$2:$G$20000,CONFIG_METADATA!$B$4,DATOS!$I$2:$I$20000,"Música de Cámara"),"")))</f>
        <v/>
      </c>
      <c r="Q251" t="str">
        <f>IF(M251="","",IF(M251="[FÓRMULA MANUAL]","",IFERROR(SUMPRODUCT((DATOS!$A$2:$A$20000=M251)*(DATOS!$G$2:$G$20000=CONFIG_METADATA!$B$4)*(COUNTIF(CONFIG_ASIGNATURAS!$B$7:$B$27,DATOS!$I$2:$I$20000)&gt;0)*(DATOS!$K$2:$K$20000))/SUMPRODUCT((DATOS!$A$2:$A$20000=M251)*(DATOS!$G$2:$G$20000=CONFIG_METADATA!$B$4)*(COUNTIF(CONFIG_ASIGNATURAS!$B$7:$B$27,DATOS!$I$2:$I$20000)&gt;0)*1),"")))</f>
        <v/>
      </c>
      <c r="T251" t="str">
        <f>IF(S251="","",IF(S251="[FÓRMULA MANUAL]","",IFERROR(AVERAGEIFS(DATOS!$K$2:$K$20000,DATOS!$A$2:$A$20000,S251,DATOS!$G$2:$G$20000,CONFIG_METADATA!$B$4,DATOS!$I$2:$I$20000,"Armonía"),"")))</f>
        <v/>
      </c>
      <c r="U251" t="str">
        <f>IF(S251="","",IF(S251="[FÓRMULA MANUAL]","",IFERROR(AVERAGEIFS(DATOS!$K$2:$K$20000,DATOS!$A$2:$A$20000,S251,DATOS!$G$2:$G$20000,CONFIG_METADATA!$B$4,DATOS!$I$2:$I$20000,"Orquesta/Banda/Conjunto"),"")))</f>
        <v/>
      </c>
      <c r="V251" t="str">
        <f>IF(S251="","",IF(S251="[FÓRMULA MANUAL]","",IFERROR(AVERAGEIFS(DATOS!$K$2:$K$20000,DATOS!$A$2:$A$20000,S251,DATOS!$G$2:$G$20000,CONFIG_METADATA!$B$4,DATOS!$I$2:$I$20000,"Música de Cámara"),"")))</f>
        <v/>
      </c>
      <c r="W251" t="str">
        <f>IF(S251="","",IF(S251="[FÓRMULA MANUAL]","",IFERROR(SUMPRODUCT((DATOS!$A$2:$A$20000=S251)*(DATOS!$G$2:$G$20000=CONFIG_METADATA!$B$4)*(COUNTIF(CONFIG_ASIGNATURAS!$B$7:$B$27,DATOS!$I$2:$I$20000)&gt;0)*(DATOS!$K$2:$K$20000))/SUMPRODUCT((DATOS!$A$2:$A$20000=S251)*(DATOS!$G$2:$G$20000=CONFIG_METADATA!$B$4)*(COUNTIF(CONFIG_ASIGNATURAS!$B$7:$B$27,DATOS!$I$2:$I$20000)&gt;0)*1),"")))</f>
        <v/>
      </c>
      <c r="Z251" t="str">
        <f>IF(Y251="","",IF(Y251="[FÓRMULA MANUAL]","",IFERROR(AVERAGEIFS(DATOS!$K$2:$K$20000,DATOS!$A$2:$A$20000,Y251,DATOS!$G$2:$G$20000,CONFIG_METADATA!$B$4,DATOS!$I$2:$I$20000,"Análisis"),"")))</f>
        <v/>
      </c>
      <c r="AA251" t="str">
        <f>IF(Y251="","",IF(Y251="[FÓRMULA MANUAL]","",IFERROR(AVERAGEIFS(DATOS!$K$2:$K$20000,DATOS!$A$2:$A$20000,Y251,DATOS!$G$2:$G$20000,CONFIG_METADATA!$B$4,DATOS!$I$2:$I$20000,"Orquesta/Banda/Conjunto"),"")))</f>
        <v/>
      </c>
      <c r="AB251" t="str">
        <f>IF(Y251="","",IF(Y251="[FÓRMULA MANUAL]","",IFERROR(AVERAGEIFS(DATOS!$K$2:$K$20000,DATOS!$A$2:$A$20000,Y251,DATOS!$G$2:$G$20000,CONFIG_METADATA!$B$4,DATOS!$I$2:$I$20000,"Música de Cámara"),"")))</f>
        <v/>
      </c>
      <c r="AC251" t="str">
        <f>IF(Y251="","",IF(Y251="[FÓRMULA MANUAL]","",IFERROR(SUMPRODUCT((DATOS!$A$2:$A$20000=Y251)*(DATOS!$G$2:$G$20000=CONFIG_METADATA!$B$4)*(COUNTIF(CONFIG_ASIGNATURAS!$B$7:$B$27,DATOS!$I$2:$I$20000)&gt;0)*(DATOS!$K$2:$K$20000))/SUMPRODUCT((DATOS!$A$2:$A$20000=Y251)*(DATOS!$G$2:$G$20000=CONFIG_METADATA!$B$4)*(COUNTIF(CONFIG_ASIGNATURAS!$B$7:$B$27,DATOS!$I$2:$I$20000)&gt;0)*1),"")))</f>
        <v/>
      </c>
      <c r="AF251" t="str">
        <f>IF(AE251="","",IF(AE251="[FÓRMULA MANUAL]","",IFERROR(AVERAGEIFS(DATOS!$K$2:$K$20000,DATOS!$A$2:$A$20000,AE251,DATOS!$G$2:$G$20000,CONFIG_METADATA!$B$4,DATOS!$I$2:$I$20000,"Análisis"),"")))</f>
        <v/>
      </c>
      <c r="AG251" t="str">
        <f>IF(AE251="","",IF(AE251="[FÓRMULA MANUAL]","",IFERROR(AVERAGEIFS(DATOS!$K$2:$K$20000,DATOS!$A$2:$A$20000,AE251,DATOS!$G$2:$G$20000,CONFIG_METADATA!$B$4,DATOS!$I$2:$I$20000,"Orquesta/Banda/Conjunto"),"")))</f>
        <v/>
      </c>
      <c r="AH251" t="str">
        <f>IF(AE251="","",IF(AE251="[FÓRMULA MANUAL]","",IFERROR(AVERAGEIFS(DATOS!$K$2:$K$20000,DATOS!$A$2:$A$20000,AE251,DATOS!$G$2:$G$20000,CONFIG_METADATA!$B$4,DATOS!$I$2:$I$20000,"Música de Cámara"),"")))</f>
        <v/>
      </c>
      <c r="AI251" t="str">
        <f>IF(AE251="","",IF(AE251="[FÓRMULA MANUAL]","",IFERROR(SUMPRODUCT((DATOS!$A$2:$A$20000=AE251)*(DATOS!$G$2:$G$20000=CONFIG_METADATA!$B$4)*(COUNTIF(CONFIG_ASIGNATURAS!$B$7:$B$27,DATOS!$I$2:$I$20000)&gt;0)*(DATOS!$K$2:$K$20000))/SUMPRODUCT((DATOS!$A$2:$A$20000=AE251)*(DATOS!$G$2:$G$20000=CONFIG_METADATA!$B$4)*(COUNTIF(CONFIG_ASIGNATURAS!$B$7:$B$27,DATOS!$I$2:$I$20000)&gt;0)*1),"")))</f>
        <v/>
      </c>
    </row>
    <row r="252" spans="2:35" x14ac:dyDescent="0.2">
      <c r="B252" t="str">
        <f>IF(A252="","",IF(A252="[FÓRMULA MANUAL]","",IFERROR(AVERAGEIFS(DATOS!$K$2:$K$20000,DATOS!$A$2:$A$20000,A252,DATOS!$G$2:$G$20000,CONFIG_METADATA!$B$4,DATOS!$I$2:$I$20000,"Lenguaje Musical"),"")))</f>
        <v/>
      </c>
      <c r="C252" t="str">
        <f>IF(A252="","",IF(A252="[FÓRMULA MANUAL]","",IFERROR(AVERAGEIFS(DATOS!$K$2:$K$20000,DATOS!$A$2:$A$20000,A252,DATOS!$G$2:$G$20000,CONFIG_METADATA!$B$4,DATOS!$I$2:$I$20000,"Orquesta/Banda/Conjunto"),"")))</f>
        <v/>
      </c>
      <c r="D252" t="str">
        <f>IF(A252="","",IF(A252="[FÓRMULA MANUAL]","",IFERROR(AVERAGEIFS(DATOS!$K$2:$K$20000,DATOS!$A$2:$A$20000,A252,DATOS!$G$2:$G$20000,CONFIG_METADATA!$B$4,DATOS!$I$2:$I$20000,"Conjunto"),"")))</f>
        <v/>
      </c>
      <c r="E252" t="str">
        <f>IF(A252="","",IF(A252="[FÓRMULA MANUAL]","",IFERROR(SUMPRODUCT((DATOS!$A$2:$A$20000=A252)*(DATOS!$G$2:$G$20000=CONFIG_METADATA!$B$4)*(COUNTIF(CONFIG_ASIGNATURAS!$B$7:$B$27,DATOS!$I$2:$I$20000)&gt;0)*(DATOS!$K$2:$K$20000))/SUMPRODUCT((DATOS!$A$2:$A$20000=A252)*(DATOS!$G$2:$G$20000=CONFIG_METADATA!$B$4)*(COUNTIF(CONFIG_ASIGNATURAS!$B$7:$B$27,DATOS!$I$2:$I$20000)&gt;0)*1),"")))</f>
        <v/>
      </c>
      <c r="H252" t="str">
        <f>IF(G252="","",IF(G252="[FÓRMULA MANUAL]","",IFERROR(AVERAGEIFS(DATOS!$K$2:$K$20000,DATOS!$A$2:$A$20000,G252,DATOS!$G$2:$G$20000,CONFIG_METADATA!$B$4,DATOS!$I$2:$I$20000,"Lenguaje Musical"),"")))</f>
        <v/>
      </c>
      <c r="I252" t="str">
        <f>IF(G252="","",IF(G252="[FÓRMULA MANUAL]","",IFERROR(AVERAGEIFS(DATOS!$K$2:$K$20000,DATOS!$A$2:$A$20000,G252,DATOS!$G$2:$G$20000,CONFIG_METADATA!$B$4,DATOS!$I$2:$I$20000,"Orquesta/Banda/Conjunto"),"")))</f>
        <v/>
      </c>
      <c r="J252" t="str">
        <f>IF(G252="","",IF(G252="[FÓRMULA MANUAL]","",IFERROR(AVERAGEIFS(DATOS!$K$2:$K$20000,DATOS!$A$2:$A$20000,G252,DATOS!$G$2:$G$20000,CONFIG_METADATA!$B$4,DATOS!$I$2:$I$20000,"Conjunto"),"")))</f>
        <v/>
      </c>
      <c r="K252" t="str">
        <f>IF(G252="","",IF(G252="[FÓRMULA MANUAL]","",IFERROR(SUMPRODUCT((DATOS!$A$2:$A$20000=G252)*(DATOS!$G$2:$G$20000=CONFIG_METADATA!$B$4)*(COUNTIF(CONFIG_ASIGNATURAS!$B$7:$B$27,DATOS!$I$2:$I$20000)&gt;0)*(DATOS!$K$2:$K$20000))/SUMPRODUCT((DATOS!$A$2:$A$20000=G252)*(DATOS!$G$2:$G$20000=CONFIG_METADATA!$B$4)*(COUNTIF(CONFIG_ASIGNATURAS!$B$7:$B$27,DATOS!$I$2:$I$20000)&gt;0)*1),"")))</f>
        <v/>
      </c>
      <c r="N252" t="str">
        <f>IF(M252="","",IF(M252="[FÓRMULA MANUAL]","",IFERROR(AVERAGEIFS(DATOS!$K$2:$K$20000,DATOS!$A$2:$A$20000,M252,DATOS!$G$2:$G$20000,CONFIG_METADATA!$B$4,DATOS!$I$2:$I$20000,"Armonía"),"")))</f>
        <v/>
      </c>
      <c r="O252" t="str">
        <f>IF(M252="","",IF(M252="[FÓRMULA MANUAL]","",IFERROR(AVERAGEIFS(DATOS!$K$2:$K$20000,DATOS!$A$2:$A$20000,M252,DATOS!$G$2:$G$20000,CONFIG_METADATA!$B$4,DATOS!$I$2:$I$20000,"Orquesta/Banda/Conjunto"),"")))</f>
        <v/>
      </c>
      <c r="P252" t="str">
        <f>IF(M252="","",IF(M252="[FÓRMULA MANUAL]","",IFERROR(AVERAGEIFS(DATOS!$K$2:$K$20000,DATOS!$A$2:$A$20000,M252,DATOS!$G$2:$G$20000,CONFIG_METADATA!$B$4,DATOS!$I$2:$I$20000,"Música de Cámara"),"")))</f>
        <v/>
      </c>
      <c r="Q252" t="str">
        <f>IF(M252="","",IF(M252="[FÓRMULA MANUAL]","",IFERROR(SUMPRODUCT((DATOS!$A$2:$A$20000=M252)*(DATOS!$G$2:$G$20000=CONFIG_METADATA!$B$4)*(COUNTIF(CONFIG_ASIGNATURAS!$B$7:$B$27,DATOS!$I$2:$I$20000)&gt;0)*(DATOS!$K$2:$K$20000))/SUMPRODUCT((DATOS!$A$2:$A$20000=M252)*(DATOS!$G$2:$G$20000=CONFIG_METADATA!$B$4)*(COUNTIF(CONFIG_ASIGNATURAS!$B$7:$B$27,DATOS!$I$2:$I$20000)&gt;0)*1),"")))</f>
        <v/>
      </c>
      <c r="T252" t="str">
        <f>IF(S252="","",IF(S252="[FÓRMULA MANUAL]","",IFERROR(AVERAGEIFS(DATOS!$K$2:$K$20000,DATOS!$A$2:$A$20000,S252,DATOS!$G$2:$G$20000,CONFIG_METADATA!$B$4,DATOS!$I$2:$I$20000,"Armonía"),"")))</f>
        <v/>
      </c>
      <c r="U252" t="str">
        <f>IF(S252="","",IF(S252="[FÓRMULA MANUAL]","",IFERROR(AVERAGEIFS(DATOS!$K$2:$K$20000,DATOS!$A$2:$A$20000,S252,DATOS!$G$2:$G$20000,CONFIG_METADATA!$B$4,DATOS!$I$2:$I$20000,"Orquesta/Banda/Conjunto"),"")))</f>
        <v/>
      </c>
      <c r="V252" t="str">
        <f>IF(S252="","",IF(S252="[FÓRMULA MANUAL]","",IFERROR(AVERAGEIFS(DATOS!$K$2:$K$20000,DATOS!$A$2:$A$20000,S252,DATOS!$G$2:$G$20000,CONFIG_METADATA!$B$4,DATOS!$I$2:$I$20000,"Música de Cámara"),"")))</f>
        <v/>
      </c>
      <c r="W252" t="str">
        <f>IF(S252="","",IF(S252="[FÓRMULA MANUAL]","",IFERROR(SUMPRODUCT((DATOS!$A$2:$A$20000=S252)*(DATOS!$G$2:$G$20000=CONFIG_METADATA!$B$4)*(COUNTIF(CONFIG_ASIGNATURAS!$B$7:$B$27,DATOS!$I$2:$I$20000)&gt;0)*(DATOS!$K$2:$K$20000))/SUMPRODUCT((DATOS!$A$2:$A$20000=S252)*(DATOS!$G$2:$G$20000=CONFIG_METADATA!$B$4)*(COUNTIF(CONFIG_ASIGNATURAS!$B$7:$B$27,DATOS!$I$2:$I$20000)&gt;0)*1),"")))</f>
        <v/>
      </c>
      <c r="Z252" t="str">
        <f>IF(Y252="","",IF(Y252="[FÓRMULA MANUAL]","",IFERROR(AVERAGEIFS(DATOS!$K$2:$K$20000,DATOS!$A$2:$A$20000,Y252,DATOS!$G$2:$G$20000,CONFIG_METADATA!$B$4,DATOS!$I$2:$I$20000,"Análisis"),"")))</f>
        <v/>
      </c>
      <c r="AA252" t="str">
        <f>IF(Y252="","",IF(Y252="[FÓRMULA MANUAL]","",IFERROR(AVERAGEIFS(DATOS!$K$2:$K$20000,DATOS!$A$2:$A$20000,Y252,DATOS!$G$2:$G$20000,CONFIG_METADATA!$B$4,DATOS!$I$2:$I$20000,"Orquesta/Banda/Conjunto"),"")))</f>
        <v/>
      </c>
      <c r="AB252" t="str">
        <f>IF(Y252="","",IF(Y252="[FÓRMULA MANUAL]","",IFERROR(AVERAGEIFS(DATOS!$K$2:$K$20000,DATOS!$A$2:$A$20000,Y252,DATOS!$G$2:$G$20000,CONFIG_METADATA!$B$4,DATOS!$I$2:$I$20000,"Música de Cámara"),"")))</f>
        <v/>
      </c>
      <c r="AC252" t="str">
        <f>IF(Y252="","",IF(Y252="[FÓRMULA MANUAL]","",IFERROR(SUMPRODUCT((DATOS!$A$2:$A$20000=Y252)*(DATOS!$G$2:$G$20000=CONFIG_METADATA!$B$4)*(COUNTIF(CONFIG_ASIGNATURAS!$B$7:$B$27,DATOS!$I$2:$I$20000)&gt;0)*(DATOS!$K$2:$K$20000))/SUMPRODUCT((DATOS!$A$2:$A$20000=Y252)*(DATOS!$G$2:$G$20000=CONFIG_METADATA!$B$4)*(COUNTIF(CONFIG_ASIGNATURAS!$B$7:$B$27,DATOS!$I$2:$I$20000)&gt;0)*1),"")))</f>
        <v/>
      </c>
      <c r="AF252" t="str">
        <f>IF(AE252="","",IF(AE252="[FÓRMULA MANUAL]","",IFERROR(AVERAGEIFS(DATOS!$K$2:$K$20000,DATOS!$A$2:$A$20000,AE252,DATOS!$G$2:$G$20000,CONFIG_METADATA!$B$4,DATOS!$I$2:$I$20000,"Análisis"),"")))</f>
        <v/>
      </c>
      <c r="AG252" t="str">
        <f>IF(AE252="","",IF(AE252="[FÓRMULA MANUAL]","",IFERROR(AVERAGEIFS(DATOS!$K$2:$K$20000,DATOS!$A$2:$A$20000,AE252,DATOS!$G$2:$G$20000,CONFIG_METADATA!$B$4,DATOS!$I$2:$I$20000,"Orquesta/Banda/Conjunto"),"")))</f>
        <v/>
      </c>
      <c r="AH252" t="str">
        <f>IF(AE252="","",IF(AE252="[FÓRMULA MANUAL]","",IFERROR(AVERAGEIFS(DATOS!$K$2:$K$20000,DATOS!$A$2:$A$20000,AE252,DATOS!$G$2:$G$20000,CONFIG_METADATA!$B$4,DATOS!$I$2:$I$20000,"Música de Cámara"),"")))</f>
        <v/>
      </c>
      <c r="AI252" t="str">
        <f>IF(AE252="","",IF(AE252="[FÓRMULA MANUAL]","",IFERROR(SUMPRODUCT((DATOS!$A$2:$A$20000=AE252)*(DATOS!$G$2:$G$20000=CONFIG_METADATA!$B$4)*(COUNTIF(CONFIG_ASIGNATURAS!$B$7:$B$27,DATOS!$I$2:$I$20000)&gt;0)*(DATOS!$K$2:$K$20000))/SUMPRODUCT((DATOS!$A$2:$A$20000=AE252)*(DATOS!$G$2:$G$20000=CONFIG_METADATA!$B$4)*(COUNTIF(CONFIG_ASIGNATURAS!$B$7:$B$27,DATOS!$I$2:$I$20000)&gt;0)*1),"")))</f>
        <v/>
      </c>
    </row>
    <row r="253" spans="2:35" x14ac:dyDescent="0.2">
      <c r="B253" t="str">
        <f>IF(A253="","",IF(A253="[FÓRMULA MANUAL]","",IFERROR(AVERAGEIFS(DATOS!$K$2:$K$20000,DATOS!$A$2:$A$20000,A253,DATOS!$G$2:$G$20000,CONFIG_METADATA!$B$4,DATOS!$I$2:$I$20000,"Lenguaje Musical"),"")))</f>
        <v/>
      </c>
      <c r="C253" t="str">
        <f>IF(A253="","",IF(A253="[FÓRMULA MANUAL]","",IFERROR(AVERAGEIFS(DATOS!$K$2:$K$20000,DATOS!$A$2:$A$20000,A253,DATOS!$G$2:$G$20000,CONFIG_METADATA!$B$4,DATOS!$I$2:$I$20000,"Orquesta/Banda/Conjunto"),"")))</f>
        <v/>
      </c>
      <c r="D253" t="str">
        <f>IF(A253="","",IF(A253="[FÓRMULA MANUAL]","",IFERROR(AVERAGEIFS(DATOS!$K$2:$K$20000,DATOS!$A$2:$A$20000,A253,DATOS!$G$2:$G$20000,CONFIG_METADATA!$B$4,DATOS!$I$2:$I$20000,"Conjunto"),"")))</f>
        <v/>
      </c>
      <c r="E253" t="str">
        <f>IF(A253="","",IF(A253="[FÓRMULA MANUAL]","",IFERROR(SUMPRODUCT((DATOS!$A$2:$A$20000=A253)*(DATOS!$G$2:$G$20000=CONFIG_METADATA!$B$4)*(COUNTIF(CONFIG_ASIGNATURAS!$B$7:$B$27,DATOS!$I$2:$I$20000)&gt;0)*(DATOS!$K$2:$K$20000))/SUMPRODUCT((DATOS!$A$2:$A$20000=A253)*(DATOS!$G$2:$G$20000=CONFIG_METADATA!$B$4)*(COUNTIF(CONFIG_ASIGNATURAS!$B$7:$B$27,DATOS!$I$2:$I$20000)&gt;0)*1),"")))</f>
        <v/>
      </c>
      <c r="H253" t="str">
        <f>IF(G253="","",IF(G253="[FÓRMULA MANUAL]","",IFERROR(AVERAGEIFS(DATOS!$K$2:$K$20000,DATOS!$A$2:$A$20000,G253,DATOS!$G$2:$G$20000,CONFIG_METADATA!$B$4,DATOS!$I$2:$I$20000,"Lenguaje Musical"),"")))</f>
        <v/>
      </c>
      <c r="I253" t="str">
        <f>IF(G253="","",IF(G253="[FÓRMULA MANUAL]","",IFERROR(AVERAGEIFS(DATOS!$K$2:$K$20000,DATOS!$A$2:$A$20000,G253,DATOS!$G$2:$G$20000,CONFIG_METADATA!$B$4,DATOS!$I$2:$I$20000,"Orquesta/Banda/Conjunto"),"")))</f>
        <v/>
      </c>
      <c r="J253" t="str">
        <f>IF(G253="","",IF(G253="[FÓRMULA MANUAL]","",IFERROR(AVERAGEIFS(DATOS!$K$2:$K$20000,DATOS!$A$2:$A$20000,G253,DATOS!$G$2:$G$20000,CONFIG_METADATA!$B$4,DATOS!$I$2:$I$20000,"Conjunto"),"")))</f>
        <v/>
      </c>
      <c r="K253" t="str">
        <f>IF(G253="","",IF(G253="[FÓRMULA MANUAL]","",IFERROR(SUMPRODUCT((DATOS!$A$2:$A$20000=G253)*(DATOS!$G$2:$G$20000=CONFIG_METADATA!$B$4)*(COUNTIF(CONFIG_ASIGNATURAS!$B$7:$B$27,DATOS!$I$2:$I$20000)&gt;0)*(DATOS!$K$2:$K$20000))/SUMPRODUCT((DATOS!$A$2:$A$20000=G253)*(DATOS!$G$2:$G$20000=CONFIG_METADATA!$B$4)*(COUNTIF(CONFIG_ASIGNATURAS!$B$7:$B$27,DATOS!$I$2:$I$20000)&gt;0)*1),"")))</f>
        <v/>
      </c>
      <c r="N253" t="str">
        <f>IF(M253="","",IF(M253="[FÓRMULA MANUAL]","",IFERROR(AVERAGEIFS(DATOS!$K$2:$K$20000,DATOS!$A$2:$A$20000,M253,DATOS!$G$2:$G$20000,CONFIG_METADATA!$B$4,DATOS!$I$2:$I$20000,"Armonía"),"")))</f>
        <v/>
      </c>
      <c r="O253" t="str">
        <f>IF(M253="","",IF(M253="[FÓRMULA MANUAL]","",IFERROR(AVERAGEIFS(DATOS!$K$2:$K$20000,DATOS!$A$2:$A$20000,M253,DATOS!$G$2:$G$20000,CONFIG_METADATA!$B$4,DATOS!$I$2:$I$20000,"Orquesta/Banda/Conjunto"),"")))</f>
        <v/>
      </c>
      <c r="P253" t="str">
        <f>IF(M253="","",IF(M253="[FÓRMULA MANUAL]","",IFERROR(AVERAGEIFS(DATOS!$K$2:$K$20000,DATOS!$A$2:$A$20000,M253,DATOS!$G$2:$G$20000,CONFIG_METADATA!$B$4,DATOS!$I$2:$I$20000,"Música de Cámara"),"")))</f>
        <v/>
      </c>
      <c r="Q253" t="str">
        <f>IF(M253="","",IF(M253="[FÓRMULA MANUAL]","",IFERROR(SUMPRODUCT((DATOS!$A$2:$A$20000=M253)*(DATOS!$G$2:$G$20000=CONFIG_METADATA!$B$4)*(COUNTIF(CONFIG_ASIGNATURAS!$B$7:$B$27,DATOS!$I$2:$I$20000)&gt;0)*(DATOS!$K$2:$K$20000))/SUMPRODUCT((DATOS!$A$2:$A$20000=M253)*(DATOS!$G$2:$G$20000=CONFIG_METADATA!$B$4)*(COUNTIF(CONFIG_ASIGNATURAS!$B$7:$B$27,DATOS!$I$2:$I$20000)&gt;0)*1),"")))</f>
        <v/>
      </c>
      <c r="T253" t="str">
        <f>IF(S253="","",IF(S253="[FÓRMULA MANUAL]","",IFERROR(AVERAGEIFS(DATOS!$K$2:$K$20000,DATOS!$A$2:$A$20000,S253,DATOS!$G$2:$G$20000,CONFIG_METADATA!$B$4,DATOS!$I$2:$I$20000,"Armonía"),"")))</f>
        <v/>
      </c>
      <c r="U253" t="str">
        <f>IF(S253="","",IF(S253="[FÓRMULA MANUAL]","",IFERROR(AVERAGEIFS(DATOS!$K$2:$K$20000,DATOS!$A$2:$A$20000,S253,DATOS!$G$2:$G$20000,CONFIG_METADATA!$B$4,DATOS!$I$2:$I$20000,"Orquesta/Banda/Conjunto"),"")))</f>
        <v/>
      </c>
      <c r="V253" t="str">
        <f>IF(S253="","",IF(S253="[FÓRMULA MANUAL]","",IFERROR(AVERAGEIFS(DATOS!$K$2:$K$20000,DATOS!$A$2:$A$20000,S253,DATOS!$G$2:$G$20000,CONFIG_METADATA!$B$4,DATOS!$I$2:$I$20000,"Música de Cámara"),"")))</f>
        <v/>
      </c>
      <c r="W253" t="str">
        <f>IF(S253="","",IF(S253="[FÓRMULA MANUAL]","",IFERROR(SUMPRODUCT((DATOS!$A$2:$A$20000=S253)*(DATOS!$G$2:$G$20000=CONFIG_METADATA!$B$4)*(COUNTIF(CONFIG_ASIGNATURAS!$B$7:$B$27,DATOS!$I$2:$I$20000)&gt;0)*(DATOS!$K$2:$K$20000))/SUMPRODUCT((DATOS!$A$2:$A$20000=S253)*(DATOS!$G$2:$G$20000=CONFIG_METADATA!$B$4)*(COUNTIF(CONFIG_ASIGNATURAS!$B$7:$B$27,DATOS!$I$2:$I$20000)&gt;0)*1),"")))</f>
        <v/>
      </c>
      <c r="Z253" t="str">
        <f>IF(Y253="","",IF(Y253="[FÓRMULA MANUAL]","",IFERROR(AVERAGEIFS(DATOS!$K$2:$K$20000,DATOS!$A$2:$A$20000,Y253,DATOS!$G$2:$G$20000,CONFIG_METADATA!$B$4,DATOS!$I$2:$I$20000,"Análisis"),"")))</f>
        <v/>
      </c>
      <c r="AA253" t="str">
        <f>IF(Y253="","",IF(Y253="[FÓRMULA MANUAL]","",IFERROR(AVERAGEIFS(DATOS!$K$2:$K$20000,DATOS!$A$2:$A$20000,Y253,DATOS!$G$2:$G$20000,CONFIG_METADATA!$B$4,DATOS!$I$2:$I$20000,"Orquesta/Banda/Conjunto"),"")))</f>
        <v/>
      </c>
      <c r="AB253" t="str">
        <f>IF(Y253="","",IF(Y253="[FÓRMULA MANUAL]","",IFERROR(AVERAGEIFS(DATOS!$K$2:$K$20000,DATOS!$A$2:$A$20000,Y253,DATOS!$G$2:$G$20000,CONFIG_METADATA!$B$4,DATOS!$I$2:$I$20000,"Música de Cámara"),"")))</f>
        <v/>
      </c>
      <c r="AC253" t="str">
        <f>IF(Y253="","",IF(Y253="[FÓRMULA MANUAL]","",IFERROR(SUMPRODUCT((DATOS!$A$2:$A$20000=Y253)*(DATOS!$G$2:$G$20000=CONFIG_METADATA!$B$4)*(COUNTIF(CONFIG_ASIGNATURAS!$B$7:$B$27,DATOS!$I$2:$I$20000)&gt;0)*(DATOS!$K$2:$K$20000))/SUMPRODUCT((DATOS!$A$2:$A$20000=Y253)*(DATOS!$G$2:$G$20000=CONFIG_METADATA!$B$4)*(COUNTIF(CONFIG_ASIGNATURAS!$B$7:$B$27,DATOS!$I$2:$I$20000)&gt;0)*1),"")))</f>
        <v/>
      </c>
      <c r="AF253" t="str">
        <f>IF(AE253="","",IF(AE253="[FÓRMULA MANUAL]","",IFERROR(AVERAGEIFS(DATOS!$K$2:$K$20000,DATOS!$A$2:$A$20000,AE253,DATOS!$G$2:$G$20000,CONFIG_METADATA!$B$4,DATOS!$I$2:$I$20000,"Análisis"),"")))</f>
        <v/>
      </c>
      <c r="AG253" t="str">
        <f>IF(AE253="","",IF(AE253="[FÓRMULA MANUAL]","",IFERROR(AVERAGEIFS(DATOS!$K$2:$K$20000,DATOS!$A$2:$A$20000,AE253,DATOS!$G$2:$G$20000,CONFIG_METADATA!$B$4,DATOS!$I$2:$I$20000,"Orquesta/Banda/Conjunto"),"")))</f>
        <v/>
      </c>
      <c r="AH253" t="str">
        <f>IF(AE253="","",IF(AE253="[FÓRMULA MANUAL]","",IFERROR(AVERAGEIFS(DATOS!$K$2:$K$20000,DATOS!$A$2:$A$20000,AE253,DATOS!$G$2:$G$20000,CONFIG_METADATA!$B$4,DATOS!$I$2:$I$20000,"Música de Cámara"),"")))</f>
        <v/>
      </c>
      <c r="AI253" t="str">
        <f>IF(AE253="","",IF(AE253="[FÓRMULA MANUAL]","",IFERROR(SUMPRODUCT((DATOS!$A$2:$A$20000=AE253)*(DATOS!$G$2:$G$20000=CONFIG_METADATA!$B$4)*(COUNTIF(CONFIG_ASIGNATURAS!$B$7:$B$27,DATOS!$I$2:$I$20000)&gt;0)*(DATOS!$K$2:$K$20000))/SUMPRODUCT((DATOS!$A$2:$A$20000=AE253)*(DATOS!$G$2:$G$20000=CONFIG_METADATA!$B$4)*(COUNTIF(CONFIG_ASIGNATURAS!$B$7:$B$27,DATOS!$I$2:$I$20000)&gt;0)*1),"")))</f>
        <v/>
      </c>
    </row>
    <row r="254" spans="2:35" x14ac:dyDescent="0.2">
      <c r="B254" t="str">
        <f>IF(A254="","",IF(A254="[FÓRMULA MANUAL]","",IFERROR(AVERAGEIFS(DATOS!$K$2:$K$20000,DATOS!$A$2:$A$20000,A254,DATOS!$G$2:$G$20000,CONFIG_METADATA!$B$4,DATOS!$I$2:$I$20000,"Lenguaje Musical"),"")))</f>
        <v/>
      </c>
      <c r="C254" t="str">
        <f>IF(A254="","",IF(A254="[FÓRMULA MANUAL]","",IFERROR(AVERAGEIFS(DATOS!$K$2:$K$20000,DATOS!$A$2:$A$20000,A254,DATOS!$G$2:$G$20000,CONFIG_METADATA!$B$4,DATOS!$I$2:$I$20000,"Orquesta/Banda/Conjunto"),"")))</f>
        <v/>
      </c>
      <c r="D254" t="str">
        <f>IF(A254="","",IF(A254="[FÓRMULA MANUAL]","",IFERROR(AVERAGEIFS(DATOS!$K$2:$K$20000,DATOS!$A$2:$A$20000,A254,DATOS!$G$2:$G$20000,CONFIG_METADATA!$B$4,DATOS!$I$2:$I$20000,"Conjunto"),"")))</f>
        <v/>
      </c>
      <c r="E254" t="str">
        <f>IF(A254="","",IF(A254="[FÓRMULA MANUAL]","",IFERROR(SUMPRODUCT((DATOS!$A$2:$A$20000=A254)*(DATOS!$G$2:$G$20000=CONFIG_METADATA!$B$4)*(COUNTIF(CONFIG_ASIGNATURAS!$B$7:$B$27,DATOS!$I$2:$I$20000)&gt;0)*(DATOS!$K$2:$K$20000))/SUMPRODUCT((DATOS!$A$2:$A$20000=A254)*(DATOS!$G$2:$G$20000=CONFIG_METADATA!$B$4)*(COUNTIF(CONFIG_ASIGNATURAS!$B$7:$B$27,DATOS!$I$2:$I$20000)&gt;0)*1),"")))</f>
        <v/>
      </c>
      <c r="H254" t="str">
        <f>IF(G254="","",IF(G254="[FÓRMULA MANUAL]","",IFERROR(AVERAGEIFS(DATOS!$K$2:$K$20000,DATOS!$A$2:$A$20000,G254,DATOS!$G$2:$G$20000,CONFIG_METADATA!$B$4,DATOS!$I$2:$I$20000,"Lenguaje Musical"),"")))</f>
        <v/>
      </c>
      <c r="I254" t="str">
        <f>IF(G254="","",IF(G254="[FÓRMULA MANUAL]","",IFERROR(AVERAGEIFS(DATOS!$K$2:$K$20000,DATOS!$A$2:$A$20000,G254,DATOS!$G$2:$G$20000,CONFIG_METADATA!$B$4,DATOS!$I$2:$I$20000,"Orquesta/Banda/Conjunto"),"")))</f>
        <v/>
      </c>
      <c r="J254" t="str">
        <f>IF(G254="","",IF(G254="[FÓRMULA MANUAL]","",IFERROR(AVERAGEIFS(DATOS!$K$2:$K$20000,DATOS!$A$2:$A$20000,G254,DATOS!$G$2:$G$20000,CONFIG_METADATA!$B$4,DATOS!$I$2:$I$20000,"Conjunto"),"")))</f>
        <v/>
      </c>
      <c r="K254" t="str">
        <f>IF(G254="","",IF(G254="[FÓRMULA MANUAL]","",IFERROR(SUMPRODUCT((DATOS!$A$2:$A$20000=G254)*(DATOS!$G$2:$G$20000=CONFIG_METADATA!$B$4)*(COUNTIF(CONFIG_ASIGNATURAS!$B$7:$B$27,DATOS!$I$2:$I$20000)&gt;0)*(DATOS!$K$2:$K$20000))/SUMPRODUCT((DATOS!$A$2:$A$20000=G254)*(DATOS!$G$2:$G$20000=CONFIG_METADATA!$B$4)*(COUNTIF(CONFIG_ASIGNATURAS!$B$7:$B$27,DATOS!$I$2:$I$20000)&gt;0)*1),"")))</f>
        <v/>
      </c>
      <c r="N254" t="str">
        <f>IF(M254="","",IF(M254="[FÓRMULA MANUAL]","",IFERROR(AVERAGEIFS(DATOS!$K$2:$K$20000,DATOS!$A$2:$A$20000,M254,DATOS!$G$2:$G$20000,CONFIG_METADATA!$B$4,DATOS!$I$2:$I$20000,"Armonía"),"")))</f>
        <v/>
      </c>
      <c r="O254" t="str">
        <f>IF(M254="","",IF(M254="[FÓRMULA MANUAL]","",IFERROR(AVERAGEIFS(DATOS!$K$2:$K$20000,DATOS!$A$2:$A$20000,M254,DATOS!$G$2:$G$20000,CONFIG_METADATA!$B$4,DATOS!$I$2:$I$20000,"Orquesta/Banda/Conjunto"),"")))</f>
        <v/>
      </c>
      <c r="P254" t="str">
        <f>IF(M254="","",IF(M254="[FÓRMULA MANUAL]","",IFERROR(AVERAGEIFS(DATOS!$K$2:$K$20000,DATOS!$A$2:$A$20000,M254,DATOS!$G$2:$G$20000,CONFIG_METADATA!$B$4,DATOS!$I$2:$I$20000,"Música de Cámara"),"")))</f>
        <v/>
      </c>
      <c r="Q254" t="str">
        <f>IF(M254="","",IF(M254="[FÓRMULA MANUAL]","",IFERROR(SUMPRODUCT((DATOS!$A$2:$A$20000=M254)*(DATOS!$G$2:$G$20000=CONFIG_METADATA!$B$4)*(COUNTIF(CONFIG_ASIGNATURAS!$B$7:$B$27,DATOS!$I$2:$I$20000)&gt;0)*(DATOS!$K$2:$K$20000))/SUMPRODUCT((DATOS!$A$2:$A$20000=M254)*(DATOS!$G$2:$G$20000=CONFIG_METADATA!$B$4)*(COUNTIF(CONFIG_ASIGNATURAS!$B$7:$B$27,DATOS!$I$2:$I$20000)&gt;0)*1),"")))</f>
        <v/>
      </c>
      <c r="T254" t="str">
        <f>IF(S254="","",IF(S254="[FÓRMULA MANUAL]","",IFERROR(AVERAGEIFS(DATOS!$K$2:$K$20000,DATOS!$A$2:$A$20000,S254,DATOS!$G$2:$G$20000,CONFIG_METADATA!$B$4,DATOS!$I$2:$I$20000,"Armonía"),"")))</f>
        <v/>
      </c>
      <c r="U254" t="str">
        <f>IF(S254="","",IF(S254="[FÓRMULA MANUAL]","",IFERROR(AVERAGEIFS(DATOS!$K$2:$K$20000,DATOS!$A$2:$A$20000,S254,DATOS!$G$2:$G$20000,CONFIG_METADATA!$B$4,DATOS!$I$2:$I$20000,"Orquesta/Banda/Conjunto"),"")))</f>
        <v/>
      </c>
      <c r="V254" t="str">
        <f>IF(S254="","",IF(S254="[FÓRMULA MANUAL]","",IFERROR(AVERAGEIFS(DATOS!$K$2:$K$20000,DATOS!$A$2:$A$20000,S254,DATOS!$G$2:$G$20000,CONFIG_METADATA!$B$4,DATOS!$I$2:$I$20000,"Música de Cámara"),"")))</f>
        <v/>
      </c>
      <c r="W254" t="str">
        <f>IF(S254="","",IF(S254="[FÓRMULA MANUAL]","",IFERROR(SUMPRODUCT((DATOS!$A$2:$A$20000=S254)*(DATOS!$G$2:$G$20000=CONFIG_METADATA!$B$4)*(COUNTIF(CONFIG_ASIGNATURAS!$B$7:$B$27,DATOS!$I$2:$I$20000)&gt;0)*(DATOS!$K$2:$K$20000))/SUMPRODUCT((DATOS!$A$2:$A$20000=S254)*(DATOS!$G$2:$G$20000=CONFIG_METADATA!$B$4)*(COUNTIF(CONFIG_ASIGNATURAS!$B$7:$B$27,DATOS!$I$2:$I$20000)&gt;0)*1),"")))</f>
        <v/>
      </c>
      <c r="Z254" t="str">
        <f>IF(Y254="","",IF(Y254="[FÓRMULA MANUAL]","",IFERROR(AVERAGEIFS(DATOS!$K$2:$K$20000,DATOS!$A$2:$A$20000,Y254,DATOS!$G$2:$G$20000,CONFIG_METADATA!$B$4,DATOS!$I$2:$I$20000,"Análisis"),"")))</f>
        <v/>
      </c>
      <c r="AA254" t="str">
        <f>IF(Y254="","",IF(Y254="[FÓRMULA MANUAL]","",IFERROR(AVERAGEIFS(DATOS!$K$2:$K$20000,DATOS!$A$2:$A$20000,Y254,DATOS!$G$2:$G$20000,CONFIG_METADATA!$B$4,DATOS!$I$2:$I$20000,"Orquesta/Banda/Conjunto"),"")))</f>
        <v/>
      </c>
      <c r="AB254" t="str">
        <f>IF(Y254="","",IF(Y254="[FÓRMULA MANUAL]","",IFERROR(AVERAGEIFS(DATOS!$K$2:$K$20000,DATOS!$A$2:$A$20000,Y254,DATOS!$G$2:$G$20000,CONFIG_METADATA!$B$4,DATOS!$I$2:$I$20000,"Música de Cámara"),"")))</f>
        <v/>
      </c>
      <c r="AC254" t="str">
        <f>IF(Y254="","",IF(Y254="[FÓRMULA MANUAL]","",IFERROR(SUMPRODUCT((DATOS!$A$2:$A$20000=Y254)*(DATOS!$G$2:$G$20000=CONFIG_METADATA!$B$4)*(COUNTIF(CONFIG_ASIGNATURAS!$B$7:$B$27,DATOS!$I$2:$I$20000)&gt;0)*(DATOS!$K$2:$K$20000))/SUMPRODUCT((DATOS!$A$2:$A$20000=Y254)*(DATOS!$G$2:$G$20000=CONFIG_METADATA!$B$4)*(COUNTIF(CONFIG_ASIGNATURAS!$B$7:$B$27,DATOS!$I$2:$I$20000)&gt;0)*1),"")))</f>
        <v/>
      </c>
      <c r="AF254" t="str">
        <f>IF(AE254="","",IF(AE254="[FÓRMULA MANUAL]","",IFERROR(AVERAGEIFS(DATOS!$K$2:$K$20000,DATOS!$A$2:$A$20000,AE254,DATOS!$G$2:$G$20000,CONFIG_METADATA!$B$4,DATOS!$I$2:$I$20000,"Análisis"),"")))</f>
        <v/>
      </c>
      <c r="AG254" t="str">
        <f>IF(AE254="","",IF(AE254="[FÓRMULA MANUAL]","",IFERROR(AVERAGEIFS(DATOS!$K$2:$K$20000,DATOS!$A$2:$A$20000,AE254,DATOS!$G$2:$G$20000,CONFIG_METADATA!$B$4,DATOS!$I$2:$I$20000,"Orquesta/Banda/Conjunto"),"")))</f>
        <v/>
      </c>
      <c r="AH254" t="str">
        <f>IF(AE254="","",IF(AE254="[FÓRMULA MANUAL]","",IFERROR(AVERAGEIFS(DATOS!$K$2:$K$20000,DATOS!$A$2:$A$20000,AE254,DATOS!$G$2:$G$20000,CONFIG_METADATA!$B$4,DATOS!$I$2:$I$20000,"Música de Cámara"),"")))</f>
        <v/>
      </c>
      <c r="AI254" t="str">
        <f>IF(AE254="","",IF(AE254="[FÓRMULA MANUAL]","",IFERROR(SUMPRODUCT((DATOS!$A$2:$A$20000=AE254)*(DATOS!$G$2:$G$20000=CONFIG_METADATA!$B$4)*(COUNTIF(CONFIG_ASIGNATURAS!$B$7:$B$27,DATOS!$I$2:$I$20000)&gt;0)*(DATOS!$K$2:$K$20000))/SUMPRODUCT((DATOS!$A$2:$A$20000=AE254)*(DATOS!$G$2:$G$20000=CONFIG_METADATA!$B$4)*(COUNTIF(CONFIG_ASIGNATURAS!$B$7:$B$27,DATOS!$I$2:$I$20000)&gt;0)*1),"")))</f>
        <v/>
      </c>
    </row>
    <row r="255" spans="2:35" x14ac:dyDescent="0.2">
      <c r="B255" t="str">
        <f>IF(A255="","",IF(A255="[FÓRMULA MANUAL]","",IFERROR(AVERAGEIFS(DATOS!$K$2:$K$20000,DATOS!$A$2:$A$20000,A255,DATOS!$G$2:$G$20000,CONFIG_METADATA!$B$4,DATOS!$I$2:$I$20000,"Lenguaje Musical"),"")))</f>
        <v/>
      </c>
      <c r="C255" t="str">
        <f>IF(A255="","",IF(A255="[FÓRMULA MANUAL]","",IFERROR(AVERAGEIFS(DATOS!$K$2:$K$20000,DATOS!$A$2:$A$20000,A255,DATOS!$G$2:$G$20000,CONFIG_METADATA!$B$4,DATOS!$I$2:$I$20000,"Orquesta/Banda/Conjunto"),"")))</f>
        <v/>
      </c>
      <c r="D255" t="str">
        <f>IF(A255="","",IF(A255="[FÓRMULA MANUAL]","",IFERROR(AVERAGEIFS(DATOS!$K$2:$K$20000,DATOS!$A$2:$A$20000,A255,DATOS!$G$2:$G$20000,CONFIG_METADATA!$B$4,DATOS!$I$2:$I$20000,"Conjunto"),"")))</f>
        <v/>
      </c>
      <c r="E255" t="str">
        <f>IF(A255="","",IF(A255="[FÓRMULA MANUAL]","",IFERROR(SUMPRODUCT((DATOS!$A$2:$A$20000=A255)*(DATOS!$G$2:$G$20000=CONFIG_METADATA!$B$4)*(COUNTIF(CONFIG_ASIGNATURAS!$B$7:$B$27,DATOS!$I$2:$I$20000)&gt;0)*(DATOS!$K$2:$K$20000))/SUMPRODUCT((DATOS!$A$2:$A$20000=A255)*(DATOS!$G$2:$G$20000=CONFIG_METADATA!$B$4)*(COUNTIF(CONFIG_ASIGNATURAS!$B$7:$B$27,DATOS!$I$2:$I$20000)&gt;0)*1),"")))</f>
        <v/>
      </c>
      <c r="H255" t="str">
        <f>IF(G255="","",IF(G255="[FÓRMULA MANUAL]","",IFERROR(AVERAGEIFS(DATOS!$K$2:$K$20000,DATOS!$A$2:$A$20000,G255,DATOS!$G$2:$G$20000,CONFIG_METADATA!$B$4,DATOS!$I$2:$I$20000,"Lenguaje Musical"),"")))</f>
        <v/>
      </c>
      <c r="I255" t="str">
        <f>IF(G255="","",IF(G255="[FÓRMULA MANUAL]","",IFERROR(AVERAGEIFS(DATOS!$K$2:$K$20000,DATOS!$A$2:$A$20000,G255,DATOS!$G$2:$G$20000,CONFIG_METADATA!$B$4,DATOS!$I$2:$I$20000,"Orquesta/Banda/Conjunto"),"")))</f>
        <v/>
      </c>
      <c r="J255" t="str">
        <f>IF(G255="","",IF(G255="[FÓRMULA MANUAL]","",IFERROR(AVERAGEIFS(DATOS!$K$2:$K$20000,DATOS!$A$2:$A$20000,G255,DATOS!$G$2:$G$20000,CONFIG_METADATA!$B$4,DATOS!$I$2:$I$20000,"Conjunto"),"")))</f>
        <v/>
      </c>
      <c r="K255" t="str">
        <f>IF(G255="","",IF(G255="[FÓRMULA MANUAL]","",IFERROR(SUMPRODUCT((DATOS!$A$2:$A$20000=G255)*(DATOS!$G$2:$G$20000=CONFIG_METADATA!$B$4)*(COUNTIF(CONFIG_ASIGNATURAS!$B$7:$B$27,DATOS!$I$2:$I$20000)&gt;0)*(DATOS!$K$2:$K$20000))/SUMPRODUCT((DATOS!$A$2:$A$20000=G255)*(DATOS!$G$2:$G$20000=CONFIG_METADATA!$B$4)*(COUNTIF(CONFIG_ASIGNATURAS!$B$7:$B$27,DATOS!$I$2:$I$20000)&gt;0)*1),"")))</f>
        <v/>
      </c>
      <c r="N255" t="str">
        <f>IF(M255="","",IF(M255="[FÓRMULA MANUAL]","",IFERROR(AVERAGEIFS(DATOS!$K$2:$K$20000,DATOS!$A$2:$A$20000,M255,DATOS!$G$2:$G$20000,CONFIG_METADATA!$B$4,DATOS!$I$2:$I$20000,"Armonía"),"")))</f>
        <v/>
      </c>
      <c r="O255" t="str">
        <f>IF(M255="","",IF(M255="[FÓRMULA MANUAL]","",IFERROR(AVERAGEIFS(DATOS!$K$2:$K$20000,DATOS!$A$2:$A$20000,M255,DATOS!$G$2:$G$20000,CONFIG_METADATA!$B$4,DATOS!$I$2:$I$20000,"Orquesta/Banda/Conjunto"),"")))</f>
        <v/>
      </c>
      <c r="P255" t="str">
        <f>IF(M255="","",IF(M255="[FÓRMULA MANUAL]","",IFERROR(AVERAGEIFS(DATOS!$K$2:$K$20000,DATOS!$A$2:$A$20000,M255,DATOS!$G$2:$G$20000,CONFIG_METADATA!$B$4,DATOS!$I$2:$I$20000,"Música de Cámara"),"")))</f>
        <v/>
      </c>
      <c r="Q255" t="str">
        <f>IF(M255="","",IF(M255="[FÓRMULA MANUAL]","",IFERROR(SUMPRODUCT((DATOS!$A$2:$A$20000=M255)*(DATOS!$G$2:$G$20000=CONFIG_METADATA!$B$4)*(COUNTIF(CONFIG_ASIGNATURAS!$B$7:$B$27,DATOS!$I$2:$I$20000)&gt;0)*(DATOS!$K$2:$K$20000))/SUMPRODUCT((DATOS!$A$2:$A$20000=M255)*(DATOS!$G$2:$G$20000=CONFIG_METADATA!$B$4)*(COUNTIF(CONFIG_ASIGNATURAS!$B$7:$B$27,DATOS!$I$2:$I$20000)&gt;0)*1),"")))</f>
        <v/>
      </c>
      <c r="T255" t="str">
        <f>IF(S255="","",IF(S255="[FÓRMULA MANUAL]","",IFERROR(AVERAGEIFS(DATOS!$K$2:$K$20000,DATOS!$A$2:$A$20000,S255,DATOS!$G$2:$G$20000,CONFIG_METADATA!$B$4,DATOS!$I$2:$I$20000,"Armonía"),"")))</f>
        <v/>
      </c>
      <c r="U255" t="str">
        <f>IF(S255="","",IF(S255="[FÓRMULA MANUAL]","",IFERROR(AVERAGEIFS(DATOS!$K$2:$K$20000,DATOS!$A$2:$A$20000,S255,DATOS!$G$2:$G$20000,CONFIG_METADATA!$B$4,DATOS!$I$2:$I$20000,"Orquesta/Banda/Conjunto"),"")))</f>
        <v/>
      </c>
      <c r="V255" t="str">
        <f>IF(S255="","",IF(S255="[FÓRMULA MANUAL]","",IFERROR(AVERAGEIFS(DATOS!$K$2:$K$20000,DATOS!$A$2:$A$20000,S255,DATOS!$G$2:$G$20000,CONFIG_METADATA!$B$4,DATOS!$I$2:$I$20000,"Música de Cámara"),"")))</f>
        <v/>
      </c>
      <c r="W255" t="str">
        <f>IF(S255="","",IF(S255="[FÓRMULA MANUAL]","",IFERROR(SUMPRODUCT((DATOS!$A$2:$A$20000=S255)*(DATOS!$G$2:$G$20000=CONFIG_METADATA!$B$4)*(COUNTIF(CONFIG_ASIGNATURAS!$B$7:$B$27,DATOS!$I$2:$I$20000)&gt;0)*(DATOS!$K$2:$K$20000))/SUMPRODUCT((DATOS!$A$2:$A$20000=S255)*(DATOS!$G$2:$G$20000=CONFIG_METADATA!$B$4)*(COUNTIF(CONFIG_ASIGNATURAS!$B$7:$B$27,DATOS!$I$2:$I$20000)&gt;0)*1),"")))</f>
        <v/>
      </c>
      <c r="Z255" t="str">
        <f>IF(Y255="","",IF(Y255="[FÓRMULA MANUAL]","",IFERROR(AVERAGEIFS(DATOS!$K$2:$K$20000,DATOS!$A$2:$A$20000,Y255,DATOS!$G$2:$G$20000,CONFIG_METADATA!$B$4,DATOS!$I$2:$I$20000,"Análisis"),"")))</f>
        <v/>
      </c>
      <c r="AA255" t="str">
        <f>IF(Y255="","",IF(Y255="[FÓRMULA MANUAL]","",IFERROR(AVERAGEIFS(DATOS!$K$2:$K$20000,DATOS!$A$2:$A$20000,Y255,DATOS!$G$2:$G$20000,CONFIG_METADATA!$B$4,DATOS!$I$2:$I$20000,"Orquesta/Banda/Conjunto"),"")))</f>
        <v/>
      </c>
      <c r="AB255" t="str">
        <f>IF(Y255="","",IF(Y255="[FÓRMULA MANUAL]","",IFERROR(AVERAGEIFS(DATOS!$K$2:$K$20000,DATOS!$A$2:$A$20000,Y255,DATOS!$G$2:$G$20000,CONFIG_METADATA!$B$4,DATOS!$I$2:$I$20000,"Música de Cámara"),"")))</f>
        <v/>
      </c>
      <c r="AC255" t="str">
        <f>IF(Y255="","",IF(Y255="[FÓRMULA MANUAL]","",IFERROR(SUMPRODUCT((DATOS!$A$2:$A$20000=Y255)*(DATOS!$G$2:$G$20000=CONFIG_METADATA!$B$4)*(COUNTIF(CONFIG_ASIGNATURAS!$B$7:$B$27,DATOS!$I$2:$I$20000)&gt;0)*(DATOS!$K$2:$K$20000))/SUMPRODUCT((DATOS!$A$2:$A$20000=Y255)*(DATOS!$G$2:$G$20000=CONFIG_METADATA!$B$4)*(COUNTIF(CONFIG_ASIGNATURAS!$B$7:$B$27,DATOS!$I$2:$I$20000)&gt;0)*1),"")))</f>
        <v/>
      </c>
      <c r="AF255" t="str">
        <f>IF(AE255="","",IF(AE255="[FÓRMULA MANUAL]","",IFERROR(AVERAGEIFS(DATOS!$K$2:$K$20000,DATOS!$A$2:$A$20000,AE255,DATOS!$G$2:$G$20000,CONFIG_METADATA!$B$4,DATOS!$I$2:$I$20000,"Análisis"),"")))</f>
        <v/>
      </c>
      <c r="AG255" t="str">
        <f>IF(AE255="","",IF(AE255="[FÓRMULA MANUAL]","",IFERROR(AVERAGEIFS(DATOS!$K$2:$K$20000,DATOS!$A$2:$A$20000,AE255,DATOS!$G$2:$G$20000,CONFIG_METADATA!$B$4,DATOS!$I$2:$I$20000,"Orquesta/Banda/Conjunto"),"")))</f>
        <v/>
      </c>
      <c r="AH255" t="str">
        <f>IF(AE255="","",IF(AE255="[FÓRMULA MANUAL]","",IFERROR(AVERAGEIFS(DATOS!$K$2:$K$20000,DATOS!$A$2:$A$20000,AE255,DATOS!$G$2:$G$20000,CONFIG_METADATA!$B$4,DATOS!$I$2:$I$20000,"Música de Cámara"),"")))</f>
        <v/>
      </c>
      <c r="AI255" t="str">
        <f>IF(AE255="","",IF(AE255="[FÓRMULA MANUAL]","",IFERROR(SUMPRODUCT((DATOS!$A$2:$A$20000=AE255)*(DATOS!$G$2:$G$20000=CONFIG_METADATA!$B$4)*(COUNTIF(CONFIG_ASIGNATURAS!$B$7:$B$27,DATOS!$I$2:$I$20000)&gt;0)*(DATOS!$K$2:$K$20000))/SUMPRODUCT((DATOS!$A$2:$A$20000=AE255)*(DATOS!$G$2:$G$20000=CONFIG_METADATA!$B$4)*(COUNTIF(CONFIG_ASIGNATURAS!$B$7:$B$27,DATOS!$I$2:$I$20000)&gt;0)*1),"")))</f>
        <v/>
      </c>
    </row>
    <row r="256" spans="2:35" x14ac:dyDescent="0.2">
      <c r="B256" t="str">
        <f>IF(A256="","",IF(A256="[FÓRMULA MANUAL]","",IFERROR(AVERAGEIFS(DATOS!$K$2:$K$20000,DATOS!$A$2:$A$20000,A256,DATOS!$G$2:$G$20000,CONFIG_METADATA!$B$4,DATOS!$I$2:$I$20000,"Lenguaje Musical"),"")))</f>
        <v/>
      </c>
      <c r="C256" t="str">
        <f>IF(A256="","",IF(A256="[FÓRMULA MANUAL]","",IFERROR(AVERAGEIFS(DATOS!$K$2:$K$20000,DATOS!$A$2:$A$20000,A256,DATOS!$G$2:$G$20000,CONFIG_METADATA!$B$4,DATOS!$I$2:$I$20000,"Orquesta/Banda/Conjunto"),"")))</f>
        <v/>
      </c>
      <c r="D256" t="str">
        <f>IF(A256="","",IF(A256="[FÓRMULA MANUAL]","",IFERROR(AVERAGEIFS(DATOS!$K$2:$K$20000,DATOS!$A$2:$A$20000,A256,DATOS!$G$2:$G$20000,CONFIG_METADATA!$B$4,DATOS!$I$2:$I$20000,"Conjunto"),"")))</f>
        <v/>
      </c>
      <c r="E256" t="str">
        <f>IF(A256="","",IF(A256="[FÓRMULA MANUAL]","",IFERROR(SUMPRODUCT((DATOS!$A$2:$A$20000=A256)*(DATOS!$G$2:$G$20000=CONFIG_METADATA!$B$4)*(COUNTIF(CONFIG_ASIGNATURAS!$B$7:$B$27,DATOS!$I$2:$I$20000)&gt;0)*(DATOS!$K$2:$K$20000))/SUMPRODUCT((DATOS!$A$2:$A$20000=A256)*(DATOS!$G$2:$G$20000=CONFIG_METADATA!$B$4)*(COUNTIF(CONFIG_ASIGNATURAS!$B$7:$B$27,DATOS!$I$2:$I$20000)&gt;0)*1),"")))</f>
        <v/>
      </c>
      <c r="H256" t="str">
        <f>IF(G256="","",IF(G256="[FÓRMULA MANUAL]","",IFERROR(AVERAGEIFS(DATOS!$K$2:$K$20000,DATOS!$A$2:$A$20000,G256,DATOS!$G$2:$G$20000,CONFIG_METADATA!$B$4,DATOS!$I$2:$I$20000,"Lenguaje Musical"),"")))</f>
        <v/>
      </c>
      <c r="I256" t="str">
        <f>IF(G256="","",IF(G256="[FÓRMULA MANUAL]","",IFERROR(AVERAGEIFS(DATOS!$K$2:$K$20000,DATOS!$A$2:$A$20000,G256,DATOS!$G$2:$G$20000,CONFIG_METADATA!$B$4,DATOS!$I$2:$I$20000,"Orquesta/Banda/Conjunto"),"")))</f>
        <v/>
      </c>
      <c r="J256" t="str">
        <f>IF(G256="","",IF(G256="[FÓRMULA MANUAL]","",IFERROR(AVERAGEIFS(DATOS!$K$2:$K$20000,DATOS!$A$2:$A$20000,G256,DATOS!$G$2:$G$20000,CONFIG_METADATA!$B$4,DATOS!$I$2:$I$20000,"Conjunto"),"")))</f>
        <v/>
      </c>
      <c r="K256" t="str">
        <f>IF(G256="","",IF(G256="[FÓRMULA MANUAL]","",IFERROR(SUMPRODUCT((DATOS!$A$2:$A$20000=G256)*(DATOS!$G$2:$G$20000=CONFIG_METADATA!$B$4)*(COUNTIF(CONFIG_ASIGNATURAS!$B$7:$B$27,DATOS!$I$2:$I$20000)&gt;0)*(DATOS!$K$2:$K$20000))/SUMPRODUCT((DATOS!$A$2:$A$20000=G256)*(DATOS!$G$2:$G$20000=CONFIG_METADATA!$B$4)*(COUNTIF(CONFIG_ASIGNATURAS!$B$7:$B$27,DATOS!$I$2:$I$20000)&gt;0)*1),"")))</f>
        <v/>
      </c>
      <c r="N256" t="str">
        <f>IF(M256="","",IF(M256="[FÓRMULA MANUAL]","",IFERROR(AVERAGEIFS(DATOS!$K$2:$K$20000,DATOS!$A$2:$A$20000,M256,DATOS!$G$2:$G$20000,CONFIG_METADATA!$B$4,DATOS!$I$2:$I$20000,"Armonía"),"")))</f>
        <v/>
      </c>
      <c r="O256" t="str">
        <f>IF(M256="","",IF(M256="[FÓRMULA MANUAL]","",IFERROR(AVERAGEIFS(DATOS!$K$2:$K$20000,DATOS!$A$2:$A$20000,M256,DATOS!$G$2:$G$20000,CONFIG_METADATA!$B$4,DATOS!$I$2:$I$20000,"Orquesta/Banda/Conjunto"),"")))</f>
        <v/>
      </c>
      <c r="P256" t="str">
        <f>IF(M256="","",IF(M256="[FÓRMULA MANUAL]","",IFERROR(AVERAGEIFS(DATOS!$K$2:$K$20000,DATOS!$A$2:$A$20000,M256,DATOS!$G$2:$G$20000,CONFIG_METADATA!$B$4,DATOS!$I$2:$I$20000,"Música de Cámara"),"")))</f>
        <v/>
      </c>
      <c r="Q256" t="str">
        <f>IF(M256="","",IF(M256="[FÓRMULA MANUAL]","",IFERROR(SUMPRODUCT((DATOS!$A$2:$A$20000=M256)*(DATOS!$G$2:$G$20000=CONFIG_METADATA!$B$4)*(COUNTIF(CONFIG_ASIGNATURAS!$B$7:$B$27,DATOS!$I$2:$I$20000)&gt;0)*(DATOS!$K$2:$K$20000))/SUMPRODUCT((DATOS!$A$2:$A$20000=M256)*(DATOS!$G$2:$G$20000=CONFIG_METADATA!$B$4)*(COUNTIF(CONFIG_ASIGNATURAS!$B$7:$B$27,DATOS!$I$2:$I$20000)&gt;0)*1),"")))</f>
        <v/>
      </c>
      <c r="T256" t="str">
        <f>IF(S256="","",IF(S256="[FÓRMULA MANUAL]","",IFERROR(AVERAGEIFS(DATOS!$K$2:$K$20000,DATOS!$A$2:$A$20000,S256,DATOS!$G$2:$G$20000,CONFIG_METADATA!$B$4,DATOS!$I$2:$I$20000,"Armonía"),"")))</f>
        <v/>
      </c>
      <c r="U256" t="str">
        <f>IF(S256="","",IF(S256="[FÓRMULA MANUAL]","",IFERROR(AVERAGEIFS(DATOS!$K$2:$K$20000,DATOS!$A$2:$A$20000,S256,DATOS!$G$2:$G$20000,CONFIG_METADATA!$B$4,DATOS!$I$2:$I$20000,"Orquesta/Banda/Conjunto"),"")))</f>
        <v/>
      </c>
      <c r="V256" t="str">
        <f>IF(S256="","",IF(S256="[FÓRMULA MANUAL]","",IFERROR(AVERAGEIFS(DATOS!$K$2:$K$20000,DATOS!$A$2:$A$20000,S256,DATOS!$G$2:$G$20000,CONFIG_METADATA!$B$4,DATOS!$I$2:$I$20000,"Música de Cámara"),"")))</f>
        <v/>
      </c>
      <c r="W256" t="str">
        <f>IF(S256="","",IF(S256="[FÓRMULA MANUAL]","",IFERROR(SUMPRODUCT((DATOS!$A$2:$A$20000=S256)*(DATOS!$G$2:$G$20000=CONFIG_METADATA!$B$4)*(COUNTIF(CONFIG_ASIGNATURAS!$B$7:$B$27,DATOS!$I$2:$I$20000)&gt;0)*(DATOS!$K$2:$K$20000))/SUMPRODUCT((DATOS!$A$2:$A$20000=S256)*(DATOS!$G$2:$G$20000=CONFIG_METADATA!$B$4)*(COUNTIF(CONFIG_ASIGNATURAS!$B$7:$B$27,DATOS!$I$2:$I$20000)&gt;0)*1),"")))</f>
        <v/>
      </c>
      <c r="Z256" t="str">
        <f>IF(Y256="","",IF(Y256="[FÓRMULA MANUAL]","",IFERROR(AVERAGEIFS(DATOS!$K$2:$K$20000,DATOS!$A$2:$A$20000,Y256,DATOS!$G$2:$G$20000,CONFIG_METADATA!$B$4,DATOS!$I$2:$I$20000,"Análisis"),"")))</f>
        <v/>
      </c>
      <c r="AA256" t="str">
        <f>IF(Y256="","",IF(Y256="[FÓRMULA MANUAL]","",IFERROR(AVERAGEIFS(DATOS!$K$2:$K$20000,DATOS!$A$2:$A$20000,Y256,DATOS!$G$2:$G$20000,CONFIG_METADATA!$B$4,DATOS!$I$2:$I$20000,"Orquesta/Banda/Conjunto"),"")))</f>
        <v/>
      </c>
      <c r="AB256" t="str">
        <f>IF(Y256="","",IF(Y256="[FÓRMULA MANUAL]","",IFERROR(AVERAGEIFS(DATOS!$K$2:$K$20000,DATOS!$A$2:$A$20000,Y256,DATOS!$G$2:$G$20000,CONFIG_METADATA!$B$4,DATOS!$I$2:$I$20000,"Música de Cámara"),"")))</f>
        <v/>
      </c>
      <c r="AC256" t="str">
        <f>IF(Y256="","",IF(Y256="[FÓRMULA MANUAL]","",IFERROR(SUMPRODUCT((DATOS!$A$2:$A$20000=Y256)*(DATOS!$G$2:$G$20000=CONFIG_METADATA!$B$4)*(COUNTIF(CONFIG_ASIGNATURAS!$B$7:$B$27,DATOS!$I$2:$I$20000)&gt;0)*(DATOS!$K$2:$K$20000))/SUMPRODUCT((DATOS!$A$2:$A$20000=Y256)*(DATOS!$G$2:$G$20000=CONFIG_METADATA!$B$4)*(COUNTIF(CONFIG_ASIGNATURAS!$B$7:$B$27,DATOS!$I$2:$I$20000)&gt;0)*1),"")))</f>
        <v/>
      </c>
      <c r="AF256" t="str">
        <f>IF(AE256="","",IF(AE256="[FÓRMULA MANUAL]","",IFERROR(AVERAGEIFS(DATOS!$K$2:$K$20000,DATOS!$A$2:$A$20000,AE256,DATOS!$G$2:$G$20000,CONFIG_METADATA!$B$4,DATOS!$I$2:$I$20000,"Análisis"),"")))</f>
        <v/>
      </c>
      <c r="AG256" t="str">
        <f>IF(AE256="","",IF(AE256="[FÓRMULA MANUAL]","",IFERROR(AVERAGEIFS(DATOS!$K$2:$K$20000,DATOS!$A$2:$A$20000,AE256,DATOS!$G$2:$G$20000,CONFIG_METADATA!$B$4,DATOS!$I$2:$I$20000,"Orquesta/Banda/Conjunto"),"")))</f>
        <v/>
      </c>
      <c r="AH256" t="str">
        <f>IF(AE256="","",IF(AE256="[FÓRMULA MANUAL]","",IFERROR(AVERAGEIFS(DATOS!$K$2:$K$20000,DATOS!$A$2:$A$20000,AE256,DATOS!$G$2:$G$20000,CONFIG_METADATA!$B$4,DATOS!$I$2:$I$20000,"Música de Cámara"),"")))</f>
        <v/>
      </c>
      <c r="AI256" t="str">
        <f>IF(AE256="","",IF(AE256="[FÓRMULA MANUAL]","",IFERROR(SUMPRODUCT((DATOS!$A$2:$A$20000=AE256)*(DATOS!$G$2:$G$20000=CONFIG_METADATA!$B$4)*(COUNTIF(CONFIG_ASIGNATURAS!$B$7:$B$27,DATOS!$I$2:$I$20000)&gt;0)*(DATOS!$K$2:$K$20000))/SUMPRODUCT((DATOS!$A$2:$A$20000=AE256)*(DATOS!$G$2:$G$20000=CONFIG_METADATA!$B$4)*(COUNTIF(CONFIG_ASIGNATURAS!$B$7:$B$27,DATOS!$I$2:$I$20000)&gt;0)*1),"")))</f>
        <v/>
      </c>
    </row>
    <row r="257" spans="2:35" x14ac:dyDescent="0.2">
      <c r="B257" t="str">
        <f>IF(A257="","",IF(A257="[FÓRMULA MANUAL]","",IFERROR(AVERAGEIFS(DATOS!$K$2:$K$20000,DATOS!$A$2:$A$20000,A257,DATOS!$G$2:$G$20000,CONFIG_METADATA!$B$4,DATOS!$I$2:$I$20000,"Lenguaje Musical"),"")))</f>
        <v/>
      </c>
      <c r="C257" t="str">
        <f>IF(A257="","",IF(A257="[FÓRMULA MANUAL]","",IFERROR(AVERAGEIFS(DATOS!$K$2:$K$20000,DATOS!$A$2:$A$20000,A257,DATOS!$G$2:$G$20000,CONFIG_METADATA!$B$4,DATOS!$I$2:$I$20000,"Orquesta/Banda/Conjunto"),"")))</f>
        <v/>
      </c>
      <c r="D257" t="str">
        <f>IF(A257="","",IF(A257="[FÓRMULA MANUAL]","",IFERROR(AVERAGEIFS(DATOS!$K$2:$K$20000,DATOS!$A$2:$A$20000,A257,DATOS!$G$2:$G$20000,CONFIG_METADATA!$B$4,DATOS!$I$2:$I$20000,"Conjunto"),"")))</f>
        <v/>
      </c>
      <c r="E257" t="str">
        <f>IF(A257="","",IF(A257="[FÓRMULA MANUAL]","",IFERROR(SUMPRODUCT((DATOS!$A$2:$A$20000=A257)*(DATOS!$G$2:$G$20000=CONFIG_METADATA!$B$4)*(COUNTIF(CONFIG_ASIGNATURAS!$B$7:$B$27,DATOS!$I$2:$I$20000)&gt;0)*(DATOS!$K$2:$K$20000))/SUMPRODUCT((DATOS!$A$2:$A$20000=A257)*(DATOS!$G$2:$G$20000=CONFIG_METADATA!$B$4)*(COUNTIF(CONFIG_ASIGNATURAS!$B$7:$B$27,DATOS!$I$2:$I$20000)&gt;0)*1),"")))</f>
        <v/>
      </c>
      <c r="H257" t="str">
        <f>IF(G257="","",IF(G257="[FÓRMULA MANUAL]","",IFERROR(AVERAGEIFS(DATOS!$K$2:$K$20000,DATOS!$A$2:$A$20000,G257,DATOS!$G$2:$G$20000,CONFIG_METADATA!$B$4,DATOS!$I$2:$I$20000,"Lenguaje Musical"),"")))</f>
        <v/>
      </c>
      <c r="I257" t="str">
        <f>IF(G257="","",IF(G257="[FÓRMULA MANUAL]","",IFERROR(AVERAGEIFS(DATOS!$K$2:$K$20000,DATOS!$A$2:$A$20000,G257,DATOS!$G$2:$G$20000,CONFIG_METADATA!$B$4,DATOS!$I$2:$I$20000,"Orquesta/Banda/Conjunto"),"")))</f>
        <v/>
      </c>
      <c r="J257" t="str">
        <f>IF(G257="","",IF(G257="[FÓRMULA MANUAL]","",IFERROR(AVERAGEIFS(DATOS!$K$2:$K$20000,DATOS!$A$2:$A$20000,G257,DATOS!$G$2:$G$20000,CONFIG_METADATA!$B$4,DATOS!$I$2:$I$20000,"Conjunto"),"")))</f>
        <v/>
      </c>
      <c r="K257" t="str">
        <f>IF(G257="","",IF(G257="[FÓRMULA MANUAL]","",IFERROR(SUMPRODUCT((DATOS!$A$2:$A$20000=G257)*(DATOS!$G$2:$G$20000=CONFIG_METADATA!$B$4)*(COUNTIF(CONFIG_ASIGNATURAS!$B$7:$B$27,DATOS!$I$2:$I$20000)&gt;0)*(DATOS!$K$2:$K$20000))/SUMPRODUCT((DATOS!$A$2:$A$20000=G257)*(DATOS!$G$2:$G$20000=CONFIG_METADATA!$B$4)*(COUNTIF(CONFIG_ASIGNATURAS!$B$7:$B$27,DATOS!$I$2:$I$20000)&gt;0)*1),"")))</f>
        <v/>
      </c>
      <c r="N257" t="str">
        <f>IF(M257="","",IF(M257="[FÓRMULA MANUAL]","",IFERROR(AVERAGEIFS(DATOS!$K$2:$K$20000,DATOS!$A$2:$A$20000,M257,DATOS!$G$2:$G$20000,CONFIG_METADATA!$B$4,DATOS!$I$2:$I$20000,"Armonía"),"")))</f>
        <v/>
      </c>
      <c r="O257" t="str">
        <f>IF(M257="","",IF(M257="[FÓRMULA MANUAL]","",IFERROR(AVERAGEIFS(DATOS!$K$2:$K$20000,DATOS!$A$2:$A$20000,M257,DATOS!$G$2:$G$20000,CONFIG_METADATA!$B$4,DATOS!$I$2:$I$20000,"Orquesta/Banda/Conjunto"),"")))</f>
        <v/>
      </c>
      <c r="P257" t="str">
        <f>IF(M257="","",IF(M257="[FÓRMULA MANUAL]","",IFERROR(AVERAGEIFS(DATOS!$K$2:$K$20000,DATOS!$A$2:$A$20000,M257,DATOS!$G$2:$G$20000,CONFIG_METADATA!$B$4,DATOS!$I$2:$I$20000,"Música de Cámara"),"")))</f>
        <v/>
      </c>
      <c r="Q257" t="str">
        <f>IF(M257="","",IF(M257="[FÓRMULA MANUAL]","",IFERROR(SUMPRODUCT((DATOS!$A$2:$A$20000=M257)*(DATOS!$G$2:$G$20000=CONFIG_METADATA!$B$4)*(COUNTIF(CONFIG_ASIGNATURAS!$B$7:$B$27,DATOS!$I$2:$I$20000)&gt;0)*(DATOS!$K$2:$K$20000))/SUMPRODUCT((DATOS!$A$2:$A$20000=M257)*(DATOS!$G$2:$G$20000=CONFIG_METADATA!$B$4)*(COUNTIF(CONFIG_ASIGNATURAS!$B$7:$B$27,DATOS!$I$2:$I$20000)&gt;0)*1),"")))</f>
        <v/>
      </c>
      <c r="T257" t="str">
        <f>IF(S257="","",IF(S257="[FÓRMULA MANUAL]","",IFERROR(AVERAGEIFS(DATOS!$K$2:$K$20000,DATOS!$A$2:$A$20000,S257,DATOS!$G$2:$G$20000,CONFIG_METADATA!$B$4,DATOS!$I$2:$I$20000,"Armonía"),"")))</f>
        <v/>
      </c>
      <c r="U257" t="str">
        <f>IF(S257="","",IF(S257="[FÓRMULA MANUAL]","",IFERROR(AVERAGEIFS(DATOS!$K$2:$K$20000,DATOS!$A$2:$A$20000,S257,DATOS!$G$2:$G$20000,CONFIG_METADATA!$B$4,DATOS!$I$2:$I$20000,"Orquesta/Banda/Conjunto"),"")))</f>
        <v/>
      </c>
      <c r="V257" t="str">
        <f>IF(S257="","",IF(S257="[FÓRMULA MANUAL]","",IFERROR(AVERAGEIFS(DATOS!$K$2:$K$20000,DATOS!$A$2:$A$20000,S257,DATOS!$G$2:$G$20000,CONFIG_METADATA!$B$4,DATOS!$I$2:$I$20000,"Música de Cámara"),"")))</f>
        <v/>
      </c>
      <c r="W257" t="str">
        <f>IF(S257="","",IF(S257="[FÓRMULA MANUAL]","",IFERROR(SUMPRODUCT((DATOS!$A$2:$A$20000=S257)*(DATOS!$G$2:$G$20000=CONFIG_METADATA!$B$4)*(COUNTIF(CONFIG_ASIGNATURAS!$B$7:$B$27,DATOS!$I$2:$I$20000)&gt;0)*(DATOS!$K$2:$K$20000))/SUMPRODUCT((DATOS!$A$2:$A$20000=S257)*(DATOS!$G$2:$G$20000=CONFIG_METADATA!$B$4)*(COUNTIF(CONFIG_ASIGNATURAS!$B$7:$B$27,DATOS!$I$2:$I$20000)&gt;0)*1),"")))</f>
        <v/>
      </c>
      <c r="Z257" t="str">
        <f>IF(Y257="","",IF(Y257="[FÓRMULA MANUAL]","",IFERROR(AVERAGEIFS(DATOS!$K$2:$K$20000,DATOS!$A$2:$A$20000,Y257,DATOS!$G$2:$G$20000,CONFIG_METADATA!$B$4,DATOS!$I$2:$I$20000,"Análisis"),"")))</f>
        <v/>
      </c>
      <c r="AA257" t="str">
        <f>IF(Y257="","",IF(Y257="[FÓRMULA MANUAL]","",IFERROR(AVERAGEIFS(DATOS!$K$2:$K$20000,DATOS!$A$2:$A$20000,Y257,DATOS!$G$2:$G$20000,CONFIG_METADATA!$B$4,DATOS!$I$2:$I$20000,"Orquesta/Banda/Conjunto"),"")))</f>
        <v/>
      </c>
      <c r="AB257" t="str">
        <f>IF(Y257="","",IF(Y257="[FÓRMULA MANUAL]","",IFERROR(AVERAGEIFS(DATOS!$K$2:$K$20000,DATOS!$A$2:$A$20000,Y257,DATOS!$G$2:$G$20000,CONFIG_METADATA!$B$4,DATOS!$I$2:$I$20000,"Música de Cámara"),"")))</f>
        <v/>
      </c>
      <c r="AC257" t="str">
        <f>IF(Y257="","",IF(Y257="[FÓRMULA MANUAL]","",IFERROR(SUMPRODUCT((DATOS!$A$2:$A$20000=Y257)*(DATOS!$G$2:$G$20000=CONFIG_METADATA!$B$4)*(COUNTIF(CONFIG_ASIGNATURAS!$B$7:$B$27,DATOS!$I$2:$I$20000)&gt;0)*(DATOS!$K$2:$K$20000))/SUMPRODUCT((DATOS!$A$2:$A$20000=Y257)*(DATOS!$G$2:$G$20000=CONFIG_METADATA!$B$4)*(COUNTIF(CONFIG_ASIGNATURAS!$B$7:$B$27,DATOS!$I$2:$I$20000)&gt;0)*1),"")))</f>
        <v/>
      </c>
      <c r="AF257" t="str">
        <f>IF(AE257="","",IF(AE257="[FÓRMULA MANUAL]","",IFERROR(AVERAGEIFS(DATOS!$K$2:$K$20000,DATOS!$A$2:$A$20000,AE257,DATOS!$G$2:$G$20000,CONFIG_METADATA!$B$4,DATOS!$I$2:$I$20000,"Análisis"),"")))</f>
        <v/>
      </c>
      <c r="AG257" t="str">
        <f>IF(AE257="","",IF(AE257="[FÓRMULA MANUAL]","",IFERROR(AVERAGEIFS(DATOS!$K$2:$K$20000,DATOS!$A$2:$A$20000,AE257,DATOS!$G$2:$G$20000,CONFIG_METADATA!$B$4,DATOS!$I$2:$I$20000,"Orquesta/Banda/Conjunto"),"")))</f>
        <v/>
      </c>
      <c r="AH257" t="str">
        <f>IF(AE257="","",IF(AE257="[FÓRMULA MANUAL]","",IFERROR(AVERAGEIFS(DATOS!$K$2:$K$20000,DATOS!$A$2:$A$20000,AE257,DATOS!$G$2:$G$20000,CONFIG_METADATA!$B$4,DATOS!$I$2:$I$20000,"Música de Cámara"),"")))</f>
        <v/>
      </c>
      <c r="AI257" t="str">
        <f>IF(AE257="","",IF(AE257="[FÓRMULA MANUAL]","",IFERROR(SUMPRODUCT((DATOS!$A$2:$A$20000=AE257)*(DATOS!$G$2:$G$20000=CONFIG_METADATA!$B$4)*(COUNTIF(CONFIG_ASIGNATURAS!$B$7:$B$27,DATOS!$I$2:$I$20000)&gt;0)*(DATOS!$K$2:$K$20000))/SUMPRODUCT((DATOS!$A$2:$A$20000=AE257)*(DATOS!$G$2:$G$20000=CONFIG_METADATA!$B$4)*(COUNTIF(CONFIG_ASIGNATURAS!$B$7:$B$27,DATOS!$I$2:$I$20000)&gt;0)*1),"")))</f>
        <v/>
      </c>
    </row>
    <row r="258" spans="2:35" x14ac:dyDescent="0.2">
      <c r="B258" t="str">
        <f>IF(A258="","",IF(A258="[FÓRMULA MANUAL]","",IFERROR(AVERAGEIFS(DATOS!$K$2:$K$20000,DATOS!$A$2:$A$20000,A258,DATOS!$G$2:$G$20000,CONFIG_METADATA!$B$4,DATOS!$I$2:$I$20000,"Lenguaje Musical"),"")))</f>
        <v/>
      </c>
      <c r="C258" t="str">
        <f>IF(A258="","",IF(A258="[FÓRMULA MANUAL]","",IFERROR(AVERAGEIFS(DATOS!$K$2:$K$20000,DATOS!$A$2:$A$20000,A258,DATOS!$G$2:$G$20000,CONFIG_METADATA!$B$4,DATOS!$I$2:$I$20000,"Orquesta/Banda/Conjunto"),"")))</f>
        <v/>
      </c>
      <c r="D258" t="str">
        <f>IF(A258="","",IF(A258="[FÓRMULA MANUAL]","",IFERROR(AVERAGEIFS(DATOS!$K$2:$K$20000,DATOS!$A$2:$A$20000,A258,DATOS!$G$2:$G$20000,CONFIG_METADATA!$B$4,DATOS!$I$2:$I$20000,"Conjunto"),"")))</f>
        <v/>
      </c>
      <c r="E258" t="str">
        <f>IF(A258="","",IF(A258="[FÓRMULA MANUAL]","",IFERROR(SUMPRODUCT((DATOS!$A$2:$A$20000=A258)*(DATOS!$G$2:$G$20000=CONFIG_METADATA!$B$4)*(COUNTIF(CONFIG_ASIGNATURAS!$B$7:$B$27,DATOS!$I$2:$I$20000)&gt;0)*(DATOS!$K$2:$K$20000))/SUMPRODUCT((DATOS!$A$2:$A$20000=A258)*(DATOS!$G$2:$G$20000=CONFIG_METADATA!$B$4)*(COUNTIF(CONFIG_ASIGNATURAS!$B$7:$B$27,DATOS!$I$2:$I$20000)&gt;0)*1),"")))</f>
        <v/>
      </c>
      <c r="H258" t="str">
        <f>IF(G258="","",IF(G258="[FÓRMULA MANUAL]","",IFERROR(AVERAGEIFS(DATOS!$K$2:$K$20000,DATOS!$A$2:$A$20000,G258,DATOS!$G$2:$G$20000,CONFIG_METADATA!$B$4,DATOS!$I$2:$I$20000,"Lenguaje Musical"),"")))</f>
        <v/>
      </c>
      <c r="I258" t="str">
        <f>IF(G258="","",IF(G258="[FÓRMULA MANUAL]","",IFERROR(AVERAGEIFS(DATOS!$K$2:$K$20000,DATOS!$A$2:$A$20000,G258,DATOS!$G$2:$G$20000,CONFIG_METADATA!$B$4,DATOS!$I$2:$I$20000,"Orquesta/Banda/Conjunto"),"")))</f>
        <v/>
      </c>
      <c r="J258" t="str">
        <f>IF(G258="","",IF(G258="[FÓRMULA MANUAL]","",IFERROR(AVERAGEIFS(DATOS!$K$2:$K$20000,DATOS!$A$2:$A$20000,G258,DATOS!$G$2:$G$20000,CONFIG_METADATA!$B$4,DATOS!$I$2:$I$20000,"Conjunto"),"")))</f>
        <v/>
      </c>
      <c r="K258" t="str">
        <f>IF(G258="","",IF(G258="[FÓRMULA MANUAL]","",IFERROR(SUMPRODUCT((DATOS!$A$2:$A$20000=G258)*(DATOS!$G$2:$G$20000=CONFIG_METADATA!$B$4)*(COUNTIF(CONFIG_ASIGNATURAS!$B$7:$B$27,DATOS!$I$2:$I$20000)&gt;0)*(DATOS!$K$2:$K$20000))/SUMPRODUCT((DATOS!$A$2:$A$20000=G258)*(DATOS!$G$2:$G$20000=CONFIG_METADATA!$B$4)*(COUNTIF(CONFIG_ASIGNATURAS!$B$7:$B$27,DATOS!$I$2:$I$20000)&gt;0)*1),"")))</f>
        <v/>
      </c>
      <c r="N258" t="str">
        <f>IF(M258="","",IF(M258="[FÓRMULA MANUAL]","",IFERROR(AVERAGEIFS(DATOS!$K$2:$K$20000,DATOS!$A$2:$A$20000,M258,DATOS!$G$2:$G$20000,CONFIG_METADATA!$B$4,DATOS!$I$2:$I$20000,"Armonía"),"")))</f>
        <v/>
      </c>
      <c r="O258" t="str">
        <f>IF(M258="","",IF(M258="[FÓRMULA MANUAL]","",IFERROR(AVERAGEIFS(DATOS!$K$2:$K$20000,DATOS!$A$2:$A$20000,M258,DATOS!$G$2:$G$20000,CONFIG_METADATA!$B$4,DATOS!$I$2:$I$20000,"Orquesta/Banda/Conjunto"),"")))</f>
        <v/>
      </c>
      <c r="P258" t="str">
        <f>IF(M258="","",IF(M258="[FÓRMULA MANUAL]","",IFERROR(AVERAGEIFS(DATOS!$K$2:$K$20000,DATOS!$A$2:$A$20000,M258,DATOS!$G$2:$G$20000,CONFIG_METADATA!$B$4,DATOS!$I$2:$I$20000,"Música de Cámara"),"")))</f>
        <v/>
      </c>
      <c r="Q258" t="str">
        <f>IF(M258="","",IF(M258="[FÓRMULA MANUAL]","",IFERROR(SUMPRODUCT((DATOS!$A$2:$A$20000=M258)*(DATOS!$G$2:$G$20000=CONFIG_METADATA!$B$4)*(COUNTIF(CONFIG_ASIGNATURAS!$B$7:$B$27,DATOS!$I$2:$I$20000)&gt;0)*(DATOS!$K$2:$K$20000))/SUMPRODUCT((DATOS!$A$2:$A$20000=M258)*(DATOS!$G$2:$G$20000=CONFIG_METADATA!$B$4)*(COUNTIF(CONFIG_ASIGNATURAS!$B$7:$B$27,DATOS!$I$2:$I$20000)&gt;0)*1),"")))</f>
        <v/>
      </c>
      <c r="T258" t="str">
        <f>IF(S258="","",IF(S258="[FÓRMULA MANUAL]","",IFERROR(AVERAGEIFS(DATOS!$K$2:$K$20000,DATOS!$A$2:$A$20000,S258,DATOS!$G$2:$G$20000,CONFIG_METADATA!$B$4,DATOS!$I$2:$I$20000,"Armonía"),"")))</f>
        <v/>
      </c>
      <c r="U258" t="str">
        <f>IF(S258="","",IF(S258="[FÓRMULA MANUAL]","",IFERROR(AVERAGEIFS(DATOS!$K$2:$K$20000,DATOS!$A$2:$A$20000,S258,DATOS!$G$2:$G$20000,CONFIG_METADATA!$B$4,DATOS!$I$2:$I$20000,"Orquesta/Banda/Conjunto"),"")))</f>
        <v/>
      </c>
      <c r="V258" t="str">
        <f>IF(S258="","",IF(S258="[FÓRMULA MANUAL]","",IFERROR(AVERAGEIFS(DATOS!$K$2:$K$20000,DATOS!$A$2:$A$20000,S258,DATOS!$G$2:$G$20000,CONFIG_METADATA!$B$4,DATOS!$I$2:$I$20000,"Música de Cámara"),"")))</f>
        <v/>
      </c>
      <c r="W258" t="str">
        <f>IF(S258="","",IF(S258="[FÓRMULA MANUAL]","",IFERROR(SUMPRODUCT((DATOS!$A$2:$A$20000=S258)*(DATOS!$G$2:$G$20000=CONFIG_METADATA!$B$4)*(COUNTIF(CONFIG_ASIGNATURAS!$B$7:$B$27,DATOS!$I$2:$I$20000)&gt;0)*(DATOS!$K$2:$K$20000))/SUMPRODUCT((DATOS!$A$2:$A$20000=S258)*(DATOS!$G$2:$G$20000=CONFIG_METADATA!$B$4)*(COUNTIF(CONFIG_ASIGNATURAS!$B$7:$B$27,DATOS!$I$2:$I$20000)&gt;0)*1),"")))</f>
        <v/>
      </c>
      <c r="Z258" t="str">
        <f>IF(Y258="","",IF(Y258="[FÓRMULA MANUAL]","",IFERROR(AVERAGEIFS(DATOS!$K$2:$K$20000,DATOS!$A$2:$A$20000,Y258,DATOS!$G$2:$G$20000,CONFIG_METADATA!$B$4,DATOS!$I$2:$I$20000,"Análisis"),"")))</f>
        <v/>
      </c>
      <c r="AA258" t="str">
        <f>IF(Y258="","",IF(Y258="[FÓRMULA MANUAL]","",IFERROR(AVERAGEIFS(DATOS!$K$2:$K$20000,DATOS!$A$2:$A$20000,Y258,DATOS!$G$2:$G$20000,CONFIG_METADATA!$B$4,DATOS!$I$2:$I$20000,"Orquesta/Banda/Conjunto"),"")))</f>
        <v/>
      </c>
      <c r="AB258" t="str">
        <f>IF(Y258="","",IF(Y258="[FÓRMULA MANUAL]","",IFERROR(AVERAGEIFS(DATOS!$K$2:$K$20000,DATOS!$A$2:$A$20000,Y258,DATOS!$G$2:$G$20000,CONFIG_METADATA!$B$4,DATOS!$I$2:$I$20000,"Música de Cámara"),"")))</f>
        <v/>
      </c>
      <c r="AC258" t="str">
        <f>IF(Y258="","",IF(Y258="[FÓRMULA MANUAL]","",IFERROR(SUMPRODUCT((DATOS!$A$2:$A$20000=Y258)*(DATOS!$G$2:$G$20000=CONFIG_METADATA!$B$4)*(COUNTIF(CONFIG_ASIGNATURAS!$B$7:$B$27,DATOS!$I$2:$I$20000)&gt;0)*(DATOS!$K$2:$K$20000))/SUMPRODUCT((DATOS!$A$2:$A$20000=Y258)*(DATOS!$G$2:$G$20000=CONFIG_METADATA!$B$4)*(COUNTIF(CONFIG_ASIGNATURAS!$B$7:$B$27,DATOS!$I$2:$I$20000)&gt;0)*1),"")))</f>
        <v/>
      </c>
      <c r="AF258" t="str">
        <f>IF(AE258="","",IF(AE258="[FÓRMULA MANUAL]","",IFERROR(AVERAGEIFS(DATOS!$K$2:$K$20000,DATOS!$A$2:$A$20000,AE258,DATOS!$G$2:$G$20000,CONFIG_METADATA!$B$4,DATOS!$I$2:$I$20000,"Análisis"),"")))</f>
        <v/>
      </c>
      <c r="AG258" t="str">
        <f>IF(AE258="","",IF(AE258="[FÓRMULA MANUAL]","",IFERROR(AVERAGEIFS(DATOS!$K$2:$K$20000,DATOS!$A$2:$A$20000,AE258,DATOS!$G$2:$G$20000,CONFIG_METADATA!$B$4,DATOS!$I$2:$I$20000,"Orquesta/Banda/Conjunto"),"")))</f>
        <v/>
      </c>
      <c r="AH258" t="str">
        <f>IF(AE258="","",IF(AE258="[FÓRMULA MANUAL]","",IFERROR(AVERAGEIFS(DATOS!$K$2:$K$20000,DATOS!$A$2:$A$20000,AE258,DATOS!$G$2:$G$20000,CONFIG_METADATA!$B$4,DATOS!$I$2:$I$20000,"Música de Cámara"),"")))</f>
        <v/>
      </c>
      <c r="AI258" t="str">
        <f>IF(AE258="","",IF(AE258="[FÓRMULA MANUAL]","",IFERROR(SUMPRODUCT((DATOS!$A$2:$A$20000=AE258)*(DATOS!$G$2:$G$20000=CONFIG_METADATA!$B$4)*(COUNTIF(CONFIG_ASIGNATURAS!$B$7:$B$27,DATOS!$I$2:$I$20000)&gt;0)*(DATOS!$K$2:$K$20000))/SUMPRODUCT((DATOS!$A$2:$A$20000=AE258)*(DATOS!$G$2:$G$20000=CONFIG_METADATA!$B$4)*(COUNTIF(CONFIG_ASIGNATURAS!$B$7:$B$27,DATOS!$I$2:$I$20000)&gt;0)*1),"")))</f>
        <v/>
      </c>
    </row>
    <row r="259" spans="2:35" x14ac:dyDescent="0.2">
      <c r="B259" t="str">
        <f>IF(A259="","",IF(A259="[FÓRMULA MANUAL]","",IFERROR(AVERAGEIFS(DATOS!$K$2:$K$20000,DATOS!$A$2:$A$20000,A259,DATOS!$G$2:$G$20000,CONFIG_METADATA!$B$4,DATOS!$I$2:$I$20000,"Lenguaje Musical"),"")))</f>
        <v/>
      </c>
      <c r="C259" t="str">
        <f>IF(A259="","",IF(A259="[FÓRMULA MANUAL]","",IFERROR(AVERAGEIFS(DATOS!$K$2:$K$20000,DATOS!$A$2:$A$20000,A259,DATOS!$G$2:$G$20000,CONFIG_METADATA!$B$4,DATOS!$I$2:$I$20000,"Orquesta/Banda/Conjunto"),"")))</f>
        <v/>
      </c>
      <c r="D259" t="str">
        <f>IF(A259="","",IF(A259="[FÓRMULA MANUAL]","",IFERROR(AVERAGEIFS(DATOS!$K$2:$K$20000,DATOS!$A$2:$A$20000,A259,DATOS!$G$2:$G$20000,CONFIG_METADATA!$B$4,DATOS!$I$2:$I$20000,"Conjunto"),"")))</f>
        <v/>
      </c>
      <c r="E259" t="str">
        <f>IF(A259="","",IF(A259="[FÓRMULA MANUAL]","",IFERROR(SUMPRODUCT((DATOS!$A$2:$A$20000=A259)*(DATOS!$G$2:$G$20000=CONFIG_METADATA!$B$4)*(COUNTIF(CONFIG_ASIGNATURAS!$B$7:$B$27,DATOS!$I$2:$I$20000)&gt;0)*(DATOS!$K$2:$K$20000))/SUMPRODUCT((DATOS!$A$2:$A$20000=A259)*(DATOS!$G$2:$G$20000=CONFIG_METADATA!$B$4)*(COUNTIF(CONFIG_ASIGNATURAS!$B$7:$B$27,DATOS!$I$2:$I$20000)&gt;0)*1),"")))</f>
        <v/>
      </c>
      <c r="H259" t="str">
        <f>IF(G259="","",IF(G259="[FÓRMULA MANUAL]","",IFERROR(AVERAGEIFS(DATOS!$K$2:$K$20000,DATOS!$A$2:$A$20000,G259,DATOS!$G$2:$G$20000,CONFIG_METADATA!$B$4,DATOS!$I$2:$I$20000,"Lenguaje Musical"),"")))</f>
        <v/>
      </c>
      <c r="I259" t="str">
        <f>IF(G259="","",IF(G259="[FÓRMULA MANUAL]","",IFERROR(AVERAGEIFS(DATOS!$K$2:$K$20000,DATOS!$A$2:$A$20000,G259,DATOS!$G$2:$G$20000,CONFIG_METADATA!$B$4,DATOS!$I$2:$I$20000,"Orquesta/Banda/Conjunto"),"")))</f>
        <v/>
      </c>
      <c r="J259" t="str">
        <f>IF(G259="","",IF(G259="[FÓRMULA MANUAL]","",IFERROR(AVERAGEIFS(DATOS!$K$2:$K$20000,DATOS!$A$2:$A$20000,G259,DATOS!$G$2:$G$20000,CONFIG_METADATA!$B$4,DATOS!$I$2:$I$20000,"Conjunto"),"")))</f>
        <v/>
      </c>
      <c r="K259" t="str">
        <f>IF(G259="","",IF(G259="[FÓRMULA MANUAL]","",IFERROR(SUMPRODUCT((DATOS!$A$2:$A$20000=G259)*(DATOS!$G$2:$G$20000=CONFIG_METADATA!$B$4)*(COUNTIF(CONFIG_ASIGNATURAS!$B$7:$B$27,DATOS!$I$2:$I$20000)&gt;0)*(DATOS!$K$2:$K$20000))/SUMPRODUCT((DATOS!$A$2:$A$20000=G259)*(DATOS!$G$2:$G$20000=CONFIG_METADATA!$B$4)*(COUNTIF(CONFIG_ASIGNATURAS!$B$7:$B$27,DATOS!$I$2:$I$20000)&gt;0)*1),"")))</f>
        <v/>
      </c>
      <c r="N259" t="str">
        <f>IF(M259="","",IF(M259="[FÓRMULA MANUAL]","",IFERROR(AVERAGEIFS(DATOS!$K$2:$K$20000,DATOS!$A$2:$A$20000,M259,DATOS!$G$2:$G$20000,CONFIG_METADATA!$B$4,DATOS!$I$2:$I$20000,"Armonía"),"")))</f>
        <v/>
      </c>
      <c r="O259" t="str">
        <f>IF(M259="","",IF(M259="[FÓRMULA MANUAL]","",IFERROR(AVERAGEIFS(DATOS!$K$2:$K$20000,DATOS!$A$2:$A$20000,M259,DATOS!$G$2:$G$20000,CONFIG_METADATA!$B$4,DATOS!$I$2:$I$20000,"Orquesta/Banda/Conjunto"),"")))</f>
        <v/>
      </c>
      <c r="P259" t="str">
        <f>IF(M259="","",IF(M259="[FÓRMULA MANUAL]","",IFERROR(AVERAGEIFS(DATOS!$K$2:$K$20000,DATOS!$A$2:$A$20000,M259,DATOS!$G$2:$G$20000,CONFIG_METADATA!$B$4,DATOS!$I$2:$I$20000,"Música de Cámara"),"")))</f>
        <v/>
      </c>
      <c r="Q259" t="str">
        <f>IF(M259="","",IF(M259="[FÓRMULA MANUAL]","",IFERROR(SUMPRODUCT((DATOS!$A$2:$A$20000=M259)*(DATOS!$G$2:$G$20000=CONFIG_METADATA!$B$4)*(COUNTIF(CONFIG_ASIGNATURAS!$B$7:$B$27,DATOS!$I$2:$I$20000)&gt;0)*(DATOS!$K$2:$K$20000))/SUMPRODUCT((DATOS!$A$2:$A$20000=M259)*(DATOS!$G$2:$G$20000=CONFIG_METADATA!$B$4)*(COUNTIF(CONFIG_ASIGNATURAS!$B$7:$B$27,DATOS!$I$2:$I$20000)&gt;0)*1),"")))</f>
        <v/>
      </c>
      <c r="T259" t="str">
        <f>IF(S259="","",IF(S259="[FÓRMULA MANUAL]","",IFERROR(AVERAGEIFS(DATOS!$K$2:$K$20000,DATOS!$A$2:$A$20000,S259,DATOS!$G$2:$G$20000,CONFIG_METADATA!$B$4,DATOS!$I$2:$I$20000,"Armonía"),"")))</f>
        <v/>
      </c>
      <c r="U259" t="str">
        <f>IF(S259="","",IF(S259="[FÓRMULA MANUAL]","",IFERROR(AVERAGEIFS(DATOS!$K$2:$K$20000,DATOS!$A$2:$A$20000,S259,DATOS!$G$2:$G$20000,CONFIG_METADATA!$B$4,DATOS!$I$2:$I$20000,"Orquesta/Banda/Conjunto"),"")))</f>
        <v/>
      </c>
      <c r="V259" t="str">
        <f>IF(S259="","",IF(S259="[FÓRMULA MANUAL]","",IFERROR(AVERAGEIFS(DATOS!$K$2:$K$20000,DATOS!$A$2:$A$20000,S259,DATOS!$G$2:$G$20000,CONFIG_METADATA!$B$4,DATOS!$I$2:$I$20000,"Música de Cámara"),"")))</f>
        <v/>
      </c>
      <c r="W259" t="str">
        <f>IF(S259="","",IF(S259="[FÓRMULA MANUAL]","",IFERROR(SUMPRODUCT((DATOS!$A$2:$A$20000=S259)*(DATOS!$G$2:$G$20000=CONFIG_METADATA!$B$4)*(COUNTIF(CONFIG_ASIGNATURAS!$B$7:$B$27,DATOS!$I$2:$I$20000)&gt;0)*(DATOS!$K$2:$K$20000))/SUMPRODUCT((DATOS!$A$2:$A$20000=S259)*(DATOS!$G$2:$G$20000=CONFIG_METADATA!$B$4)*(COUNTIF(CONFIG_ASIGNATURAS!$B$7:$B$27,DATOS!$I$2:$I$20000)&gt;0)*1),"")))</f>
        <v/>
      </c>
      <c r="Z259" t="str">
        <f>IF(Y259="","",IF(Y259="[FÓRMULA MANUAL]","",IFERROR(AVERAGEIFS(DATOS!$K$2:$K$20000,DATOS!$A$2:$A$20000,Y259,DATOS!$G$2:$G$20000,CONFIG_METADATA!$B$4,DATOS!$I$2:$I$20000,"Análisis"),"")))</f>
        <v/>
      </c>
      <c r="AA259" t="str">
        <f>IF(Y259="","",IF(Y259="[FÓRMULA MANUAL]","",IFERROR(AVERAGEIFS(DATOS!$K$2:$K$20000,DATOS!$A$2:$A$20000,Y259,DATOS!$G$2:$G$20000,CONFIG_METADATA!$B$4,DATOS!$I$2:$I$20000,"Orquesta/Banda/Conjunto"),"")))</f>
        <v/>
      </c>
      <c r="AB259" t="str">
        <f>IF(Y259="","",IF(Y259="[FÓRMULA MANUAL]","",IFERROR(AVERAGEIFS(DATOS!$K$2:$K$20000,DATOS!$A$2:$A$20000,Y259,DATOS!$G$2:$G$20000,CONFIG_METADATA!$B$4,DATOS!$I$2:$I$20000,"Música de Cámara"),"")))</f>
        <v/>
      </c>
      <c r="AC259" t="str">
        <f>IF(Y259="","",IF(Y259="[FÓRMULA MANUAL]","",IFERROR(SUMPRODUCT((DATOS!$A$2:$A$20000=Y259)*(DATOS!$G$2:$G$20000=CONFIG_METADATA!$B$4)*(COUNTIF(CONFIG_ASIGNATURAS!$B$7:$B$27,DATOS!$I$2:$I$20000)&gt;0)*(DATOS!$K$2:$K$20000))/SUMPRODUCT((DATOS!$A$2:$A$20000=Y259)*(DATOS!$G$2:$G$20000=CONFIG_METADATA!$B$4)*(COUNTIF(CONFIG_ASIGNATURAS!$B$7:$B$27,DATOS!$I$2:$I$20000)&gt;0)*1),"")))</f>
        <v/>
      </c>
      <c r="AF259" t="str">
        <f>IF(AE259="","",IF(AE259="[FÓRMULA MANUAL]","",IFERROR(AVERAGEIFS(DATOS!$K$2:$K$20000,DATOS!$A$2:$A$20000,AE259,DATOS!$G$2:$G$20000,CONFIG_METADATA!$B$4,DATOS!$I$2:$I$20000,"Análisis"),"")))</f>
        <v/>
      </c>
      <c r="AG259" t="str">
        <f>IF(AE259="","",IF(AE259="[FÓRMULA MANUAL]","",IFERROR(AVERAGEIFS(DATOS!$K$2:$K$20000,DATOS!$A$2:$A$20000,AE259,DATOS!$G$2:$G$20000,CONFIG_METADATA!$B$4,DATOS!$I$2:$I$20000,"Orquesta/Banda/Conjunto"),"")))</f>
        <v/>
      </c>
      <c r="AH259" t="str">
        <f>IF(AE259="","",IF(AE259="[FÓRMULA MANUAL]","",IFERROR(AVERAGEIFS(DATOS!$K$2:$K$20000,DATOS!$A$2:$A$20000,AE259,DATOS!$G$2:$G$20000,CONFIG_METADATA!$B$4,DATOS!$I$2:$I$20000,"Música de Cámara"),"")))</f>
        <v/>
      </c>
      <c r="AI259" t="str">
        <f>IF(AE259="","",IF(AE259="[FÓRMULA MANUAL]","",IFERROR(SUMPRODUCT((DATOS!$A$2:$A$20000=AE259)*(DATOS!$G$2:$G$20000=CONFIG_METADATA!$B$4)*(COUNTIF(CONFIG_ASIGNATURAS!$B$7:$B$27,DATOS!$I$2:$I$20000)&gt;0)*(DATOS!$K$2:$K$20000))/SUMPRODUCT((DATOS!$A$2:$A$20000=AE259)*(DATOS!$G$2:$G$20000=CONFIG_METADATA!$B$4)*(COUNTIF(CONFIG_ASIGNATURAS!$B$7:$B$27,DATOS!$I$2:$I$20000)&gt;0)*1),"")))</f>
        <v/>
      </c>
    </row>
    <row r="260" spans="2:35" x14ac:dyDescent="0.2">
      <c r="B260" t="str">
        <f>IF(A260="","",IF(A260="[FÓRMULA MANUAL]","",IFERROR(AVERAGEIFS(DATOS!$K$2:$K$20000,DATOS!$A$2:$A$20000,A260,DATOS!$G$2:$G$20000,CONFIG_METADATA!$B$4,DATOS!$I$2:$I$20000,"Lenguaje Musical"),"")))</f>
        <v/>
      </c>
      <c r="C260" t="str">
        <f>IF(A260="","",IF(A260="[FÓRMULA MANUAL]","",IFERROR(AVERAGEIFS(DATOS!$K$2:$K$20000,DATOS!$A$2:$A$20000,A260,DATOS!$G$2:$G$20000,CONFIG_METADATA!$B$4,DATOS!$I$2:$I$20000,"Orquesta/Banda/Conjunto"),"")))</f>
        <v/>
      </c>
      <c r="D260" t="str">
        <f>IF(A260="","",IF(A260="[FÓRMULA MANUAL]","",IFERROR(AVERAGEIFS(DATOS!$K$2:$K$20000,DATOS!$A$2:$A$20000,A260,DATOS!$G$2:$G$20000,CONFIG_METADATA!$B$4,DATOS!$I$2:$I$20000,"Conjunto"),"")))</f>
        <v/>
      </c>
      <c r="E260" t="str">
        <f>IF(A260="","",IF(A260="[FÓRMULA MANUAL]","",IFERROR(SUMPRODUCT((DATOS!$A$2:$A$20000=A260)*(DATOS!$G$2:$G$20000=CONFIG_METADATA!$B$4)*(COUNTIF(CONFIG_ASIGNATURAS!$B$7:$B$27,DATOS!$I$2:$I$20000)&gt;0)*(DATOS!$K$2:$K$20000))/SUMPRODUCT((DATOS!$A$2:$A$20000=A260)*(DATOS!$G$2:$G$20000=CONFIG_METADATA!$B$4)*(COUNTIF(CONFIG_ASIGNATURAS!$B$7:$B$27,DATOS!$I$2:$I$20000)&gt;0)*1),"")))</f>
        <v/>
      </c>
      <c r="H260" t="str">
        <f>IF(G260="","",IF(G260="[FÓRMULA MANUAL]","",IFERROR(AVERAGEIFS(DATOS!$K$2:$K$20000,DATOS!$A$2:$A$20000,G260,DATOS!$G$2:$G$20000,CONFIG_METADATA!$B$4,DATOS!$I$2:$I$20000,"Lenguaje Musical"),"")))</f>
        <v/>
      </c>
      <c r="I260" t="str">
        <f>IF(G260="","",IF(G260="[FÓRMULA MANUAL]","",IFERROR(AVERAGEIFS(DATOS!$K$2:$K$20000,DATOS!$A$2:$A$20000,G260,DATOS!$G$2:$G$20000,CONFIG_METADATA!$B$4,DATOS!$I$2:$I$20000,"Orquesta/Banda/Conjunto"),"")))</f>
        <v/>
      </c>
      <c r="J260" t="str">
        <f>IF(G260="","",IF(G260="[FÓRMULA MANUAL]","",IFERROR(AVERAGEIFS(DATOS!$K$2:$K$20000,DATOS!$A$2:$A$20000,G260,DATOS!$G$2:$G$20000,CONFIG_METADATA!$B$4,DATOS!$I$2:$I$20000,"Conjunto"),"")))</f>
        <v/>
      </c>
      <c r="K260" t="str">
        <f>IF(G260="","",IF(G260="[FÓRMULA MANUAL]","",IFERROR(SUMPRODUCT((DATOS!$A$2:$A$20000=G260)*(DATOS!$G$2:$G$20000=CONFIG_METADATA!$B$4)*(COUNTIF(CONFIG_ASIGNATURAS!$B$7:$B$27,DATOS!$I$2:$I$20000)&gt;0)*(DATOS!$K$2:$K$20000))/SUMPRODUCT((DATOS!$A$2:$A$20000=G260)*(DATOS!$G$2:$G$20000=CONFIG_METADATA!$B$4)*(COUNTIF(CONFIG_ASIGNATURAS!$B$7:$B$27,DATOS!$I$2:$I$20000)&gt;0)*1),"")))</f>
        <v/>
      </c>
      <c r="N260" t="str">
        <f>IF(M260="","",IF(M260="[FÓRMULA MANUAL]","",IFERROR(AVERAGEIFS(DATOS!$K$2:$K$20000,DATOS!$A$2:$A$20000,M260,DATOS!$G$2:$G$20000,CONFIG_METADATA!$B$4,DATOS!$I$2:$I$20000,"Armonía"),"")))</f>
        <v/>
      </c>
      <c r="O260" t="str">
        <f>IF(M260="","",IF(M260="[FÓRMULA MANUAL]","",IFERROR(AVERAGEIFS(DATOS!$K$2:$K$20000,DATOS!$A$2:$A$20000,M260,DATOS!$G$2:$G$20000,CONFIG_METADATA!$B$4,DATOS!$I$2:$I$20000,"Orquesta/Banda/Conjunto"),"")))</f>
        <v/>
      </c>
      <c r="P260" t="str">
        <f>IF(M260="","",IF(M260="[FÓRMULA MANUAL]","",IFERROR(AVERAGEIFS(DATOS!$K$2:$K$20000,DATOS!$A$2:$A$20000,M260,DATOS!$G$2:$G$20000,CONFIG_METADATA!$B$4,DATOS!$I$2:$I$20000,"Música de Cámara"),"")))</f>
        <v/>
      </c>
      <c r="Q260" t="str">
        <f>IF(M260="","",IF(M260="[FÓRMULA MANUAL]","",IFERROR(SUMPRODUCT((DATOS!$A$2:$A$20000=M260)*(DATOS!$G$2:$G$20000=CONFIG_METADATA!$B$4)*(COUNTIF(CONFIG_ASIGNATURAS!$B$7:$B$27,DATOS!$I$2:$I$20000)&gt;0)*(DATOS!$K$2:$K$20000))/SUMPRODUCT((DATOS!$A$2:$A$20000=M260)*(DATOS!$G$2:$G$20000=CONFIG_METADATA!$B$4)*(COUNTIF(CONFIG_ASIGNATURAS!$B$7:$B$27,DATOS!$I$2:$I$20000)&gt;0)*1),"")))</f>
        <v/>
      </c>
      <c r="T260" t="str">
        <f>IF(S260="","",IF(S260="[FÓRMULA MANUAL]","",IFERROR(AVERAGEIFS(DATOS!$K$2:$K$20000,DATOS!$A$2:$A$20000,S260,DATOS!$G$2:$G$20000,CONFIG_METADATA!$B$4,DATOS!$I$2:$I$20000,"Armonía"),"")))</f>
        <v/>
      </c>
      <c r="U260" t="str">
        <f>IF(S260="","",IF(S260="[FÓRMULA MANUAL]","",IFERROR(AVERAGEIFS(DATOS!$K$2:$K$20000,DATOS!$A$2:$A$20000,S260,DATOS!$G$2:$G$20000,CONFIG_METADATA!$B$4,DATOS!$I$2:$I$20000,"Orquesta/Banda/Conjunto"),"")))</f>
        <v/>
      </c>
      <c r="V260" t="str">
        <f>IF(S260="","",IF(S260="[FÓRMULA MANUAL]","",IFERROR(AVERAGEIFS(DATOS!$K$2:$K$20000,DATOS!$A$2:$A$20000,S260,DATOS!$G$2:$G$20000,CONFIG_METADATA!$B$4,DATOS!$I$2:$I$20000,"Música de Cámara"),"")))</f>
        <v/>
      </c>
      <c r="W260" t="str">
        <f>IF(S260="","",IF(S260="[FÓRMULA MANUAL]","",IFERROR(SUMPRODUCT((DATOS!$A$2:$A$20000=S260)*(DATOS!$G$2:$G$20000=CONFIG_METADATA!$B$4)*(COUNTIF(CONFIG_ASIGNATURAS!$B$7:$B$27,DATOS!$I$2:$I$20000)&gt;0)*(DATOS!$K$2:$K$20000))/SUMPRODUCT((DATOS!$A$2:$A$20000=S260)*(DATOS!$G$2:$G$20000=CONFIG_METADATA!$B$4)*(COUNTIF(CONFIG_ASIGNATURAS!$B$7:$B$27,DATOS!$I$2:$I$20000)&gt;0)*1),"")))</f>
        <v/>
      </c>
      <c r="Z260" t="str">
        <f>IF(Y260="","",IF(Y260="[FÓRMULA MANUAL]","",IFERROR(AVERAGEIFS(DATOS!$K$2:$K$20000,DATOS!$A$2:$A$20000,Y260,DATOS!$G$2:$G$20000,CONFIG_METADATA!$B$4,DATOS!$I$2:$I$20000,"Análisis"),"")))</f>
        <v/>
      </c>
      <c r="AA260" t="str">
        <f>IF(Y260="","",IF(Y260="[FÓRMULA MANUAL]","",IFERROR(AVERAGEIFS(DATOS!$K$2:$K$20000,DATOS!$A$2:$A$20000,Y260,DATOS!$G$2:$G$20000,CONFIG_METADATA!$B$4,DATOS!$I$2:$I$20000,"Orquesta/Banda/Conjunto"),"")))</f>
        <v/>
      </c>
      <c r="AB260" t="str">
        <f>IF(Y260="","",IF(Y260="[FÓRMULA MANUAL]","",IFERROR(AVERAGEIFS(DATOS!$K$2:$K$20000,DATOS!$A$2:$A$20000,Y260,DATOS!$G$2:$G$20000,CONFIG_METADATA!$B$4,DATOS!$I$2:$I$20000,"Música de Cámara"),"")))</f>
        <v/>
      </c>
      <c r="AC260" t="str">
        <f>IF(Y260="","",IF(Y260="[FÓRMULA MANUAL]","",IFERROR(SUMPRODUCT((DATOS!$A$2:$A$20000=Y260)*(DATOS!$G$2:$G$20000=CONFIG_METADATA!$B$4)*(COUNTIF(CONFIG_ASIGNATURAS!$B$7:$B$27,DATOS!$I$2:$I$20000)&gt;0)*(DATOS!$K$2:$K$20000))/SUMPRODUCT((DATOS!$A$2:$A$20000=Y260)*(DATOS!$G$2:$G$20000=CONFIG_METADATA!$B$4)*(COUNTIF(CONFIG_ASIGNATURAS!$B$7:$B$27,DATOS!$I$2:$I$20000)&gt;0)*1),"")))</f>
        <v/>
      </c>
      <c r="AF260" t="str">
        <f>IF(AE260="","",IF(AE260="[FÓRMULA MANUAL]","",IFERROR(AVERAGEIFS(DATOS!$K$2:$K$20000,DATOS!$A$2:$A$20000,AE260,DATOS!$G$2:$G$20000,CONFIG_METADATA!$B$4,DATOS!$I$2:$I$20000,"Análisis"),"")))</f>
        <v/>
      </c>
      <c r="AG260" t="str">
        <f>IF(AE260="","",IF(AE260="[FÓRMULA MANUAL]","",IFERROR(AVERAGEIFS(DATOS!$K$2:$K$20000,DATOS!$A$2:$A$20000,AE260,DATOS!$G$2:$G$20000,CONFIG_METADATA!$B$4,DATOS!$I$2:$I$20000,"Orquesta/Banda/Conjunto"),"")))</f>
        <v/>
      </c>
      <c r="AH260" t="str">
        <f>IF(AE260="","",IF(AE260="[FÓRMULA MANUAL]","",IFERROR(AVERAGEIFS(DATOS!$K$2:$K$20000,DATOS!$A$2:$A$20000,AE260,DATOS!$G$2:$G$20000,CONFIG_METADATA!$B$4,DATOS!$I$2:$I$20000,"Música de Cámara"),"")))</f>
        <v/>
      </c>
      <c r="AI260" t="str">
        <f>IF(AE260="","",IF(AE260="[FÓRMULA MANUAL]","",IFERROR(SUMPRODUCT((DATOS!$A$2:$A$20000=AE260)*(DATOS!$G$2:$G$20000=CONFIG_METADATA!$B$4)*(COUNTIF(CONFIG_ASIGNATURAS!$B$7:$B$27,DATOS!$I$2:$I$20000)&gt;0)*(DATOS!$K$2:$K$20000))/SUMPRODUCT((DATOS!$A$2:$A$20000=AE260)*(DATOS!$G$2:$G$20000=CONFIG_METADATA!$B$4)*(COUNTIF(CONFIG_ASIGNATURAS!$B$7:$B$27,DATOS!$I$2:$I$20000)&gt;0)*1),"")))</f>
        <v/>
      </c>
    </row>
    <row r="261" spans="2:35" x14ac:dyDescent="0.2">
      <c r="B261" t="str">
        <f>IF(A261="","",IF(A261="[FÓRMULA MANUAL]","",IFERROR(AVERAGEIFS(DATOS!$K$2:$K$20000,DATOS!$A$2:$A$20000,A261,DATOS!$G$2:$G$20000,CONFIG_METADATA!$B$4,DATOS!$I$2:$I$20000,"Lenguaje Musical"),"")))</f>
        <v/>
      </c>
      <c r="C261" t="str">
        <f>IF(A261="","",IF(A261="[FÓRMULA MANUAL]","",IFERROR(AVERAGEIFS(DATOS!$K$2:$K$20000,DATOS!$A$2:$A$20000,A261,DATOS!$G$2:$G$20000,CONFIG_METADATA!$B$4,DATOS!$I$2:$I$20000,"Orquesta/Banda/Conjunto"),"")))</f>
        <v/>
      </c>
      <c r="D261" t="str">
        <f>IF(A261="","",IF(A261="[FÓRMULA MANUAL]","",IFERROR(AVERAGEIFS(DATOS!$K$2:$K$20000,DATOS!$A$2:$A$20000,A261,DATOS!$G$2:$G$20000,CONFIG_METADATA!$B$4,DATOS!$I$2:$I$20000,"Conjunto"),"")))</f>
        <v/>
      </c>
      <c r="E261" t="str">
        <f>IF(A261="","",IF(A261="[FÓRMULA MANUAL]","",IFERROR(SUMPRODUCT((DATOS!$A$2:$A$20000=A261)*(DATOS!$G$2:$G$20000=CONFIG_METADATA!$B$4)*(COUNTIF(CONFIG_ASIGNATURAS!$B$7:$B$27,DATOS!$I$2:$I$20000)&gt;0)*(DATOS!$K$2:$K$20000))/SUMPRODUCT((DATOS!$A$2:$A$20000=A261)*(DATOS!$G$2:$G$20000=CONFIG_METADATA!$B$4)*(COUNTIF(CONFIG_ASIGNATURAS!$B$7:$B$27,DATOS!$I$2:$I$20000)&gt;0)*1),"")))</f>
        <v/>
      </c>
      <c r="H261" t="str">
        <f>IF(G261="","",IF(G261="[FÓRMULA MANUAL]","",IFERROR(AVERAGEIFS(DATOS!$K$2:$K$20000,DATOS!$A$2:$A$20000,G261,DATOS!$G$2:$G$20000,CONFIG_METADATA!$B$4,DATOS!$I$2:$I$20000,"Lenguaje Musical"),"")))</f>
        <v/>
      </c>
      <c r="I261" t="str">
        <f>IF(G261="","",IF(G261="[FÓRMULA MANUAL]","",IFERROR(AVERAGEIFS(DATOS!$K$2:$K$20000,DATOS!$A$2:$A$20000,G261,DATOS!$G$2:$G$20000,CONFIG_METADATA!$B$4,DATOS!$I$2:$I$20000,"Orquesta/Banda/Conjunto"),"")))</f>
        <v/>
      </c>
      <c r="J261" t="str">
        <f>IF(G261="","",IF(G261="[FÓRMULA MANUAL]","",IFERROR(AVERAGEIFS(DATOS!$K$2:$K$20000,DATOS!$A$2:$A$20000,G261,DATOS!$G$2:$G$20000,CONFIG_METADATA!$B$4,DATOS!$I$2:$I$20000,"Conjunto"),"")))</f>
        <v/>
      </c>
      <c r="K261" t="str">
        <f>IF(G261="","",IF(G261="[FÓRMULA MANUAL]","",IFERROR(SUMPRODUCT((DATOS!$A$2:$A$20000=G261)*(DATOS!$G$2:$G$20000=CONFIG_METADATA!$B$4)*(COUNTIF(CONFIG_ASIGNATURAS!$B$7:$B$27,DATOS!$I$2:$I$20000)&gt;0)*(DATOS!$K$2:$K$20000))/SUMPRODUCT((DATOS!$A$2:$A$20000=G261)*(DATOS!$G$2:$G$20000=CONFIG_METADATA!$B$4)*(COUNTIF(CONFIG_ASIGNATURAS!$B$7:$B$27,DATOS!$I$2:$I$20000)&gt;0)*1),"")))</f>
        <v/>
      </c>
      <c r="N261" t="str">
        <f>IF(M261="","",IF(M261="[FÓRMULA MANUAL]","",IFERROR(AVERAGEIFS(DATOS!$K$2:$K$20000,DATOS!$A$2:$A$20000,M261,DATOS!$G$2:$G$20000,CONFIG_METADATA!$B$4,DATOS!$I$2:$I$20000,"Armonía"),"")))</f>
        <v/>
      </c>
      <c r="O261" t="str">
        <f>IF(M261="","",IF(M261="[FÓRMULA MANUAL]","",IFERROR(AVERAGEIFS(DATOS!$K$2:$K$20000,DATOS!$A$2:$A$20000,M261,DATOS!$G$2:$G$20000,CONFIG_METADATA!$B$4,DATOS!$I$2:$I$20000,"Orquesta/Banda/Conjunto"),"")))</f>
        <v/>
      </c>
      <c r="P261" t="str">
        <f>IF(M261="","",IF(M261="[FÓRMULA MANUAL]","",IFERROR(AVERAGEIFS(DATOS!$K$2:$K$20000,DATOS!$A$2:$A$20000,M261,DATOS!$G$2:$G$20000,CONFIG_METADATA!$B$4,DATOS!$I$2:$I$20000,"Música de Cámara"),"")))</f>
        <v/>
      </c>
      <c r="Q261" t="str">
        <f>IF(M261="","",IF(M261="[FÓRMULA MANUAL]","",IFERROR(SUMPRODUCT((DATOS!$A$2:$A$20000=M261)*(DATOS!$G$2:$G$20000=CONFIG_METADATA!$B$4)*(COUNTIF(CONFIG_ASIGNATURAS!$B$7:$B$27,DATOS!$I$2:$I$20000)&gt;0)*(DATOS!$K$2:$K$20000))/SUMPRODUCT((DATOS!$A$2:$A$20000=M261)*(DATOS!$G$2:$G$20000=CONFIG_METADATA!$B$4)*(COUNTIF(CONFIG_ASIGNATURAS!$B$7:$B$27,DATOS!$I$2:$I$20000)&gt;0)*1),"")))</f>
        <v/>
      </c>
      <c r="T261" t="str">
        <f>IF(S261="","",IF(S261="[FÓRMULA MANUAL]","",IFERROR(AVERAGEIFS(DATOS!$K$2:$K$20000,DATOS!$A$2:$A$20000,S261,DATOS!$G$2:$G$20000,CONFIG_METADATA!$B$4,DATOS!$I$2:$I$20000,"Armonía"),"")))</f>
        <v/>
      </c>
      <c r="U261" t="str">
        <f>IF(S261="","",IF(S261="[FÓRMULA MANUAL]","",IFERROR(AVERAGEIFS(DATOS!$K$2:$K$20000,DATOS!$A$2:$A$20000,S261,DATOS!$G$2:$G$20000,CONFIG_METADATA!$B$4,DATOS!$I$2:$I$20000,"Orquesta/Banda/Conjunto"),"")))</f>
        <v/>
      </c>
      <c r="V261" t="str">
        <f>IF(S261="","",IF(S261="[FÓRMULA MANUAL]","",IFERROR(AVERAGEIFS(DATOS!$K$2:$K$20000,DATOS!$A$2:$A$20000,S261,DATOS!$G$2:$G$20000,CONFIG_METADATA!$B$4,DATOS!$I$2:$I$20000,"Música de Cámara"),"")))</f>
        <v/>
      </c>
      <c r="W261" t="str">
        <f>IF(S261="","",IF(S261="[FÓRMULA MANUAL]","",IFERROR(SUMPRODUCT((DATOS!$A$2:$A$20000=S261)*(DATOS!$G$2:$G$20000=CONFIG_METADATA!$B$4)*(COUNTIF(CONFIG_ASIGNATURAS!$B$7:$B$27,DATOS!$I$2:$I$20000)&gt;0)*(DATOS!$K$2:$K$20000))/SUMPRODUCT((DATOS!$A$2:$A$20000=S261)*(DATOS!$G$2:$G$20000=CONFIG_METADATA!$B$4)*(COUNTIF(CONFIG_ASIGNATURAS!$B$7:$B$27,DATOS!$I$2:$I$20000)&gt;0)*1),"")))</f>
        <v/>
      </c>
      <c r="Z261" t="str">
        <f>IF(Y261="","",IF(Y261="[FÓRMULA MANUAL]","",IFERROR(AVERAGEIFS(DATOS!$K$2:$K$20000,DATOS!$A$2:$A$20000,Y261,DATOS!$G$2:$G$20000,CONFIG_METADATA!$B$4,DATOS!$I$2:$I$20000,"Análisis"),"")))</f>
        <v/>
      </c>
      <c r="AA261" t="str">
        <f>IF(Y261="","",IF(Y261="[FÓRMULA MANUAL]","",IFERROR(AVERAGEIFS(DATOS!$K$2:$K$20000,DATOS!$A$2:$A$20000,Y261,DATOS!$G$2:$G$20000,CONFIG_METADATA!$B$4,DATOS!$I$2:$I$20000,"Orquesta/Banda/Conjunto"),"")))</f>
        <v/>
      </c>
      <c r="AB261" t="str">
        <f>IF(Y261="","",IF(Y261="[FÓRMULA MANUAL]","",IFERROR(AVERAGEIFS(DATOS!$K$2:$K$20000,DATOS!$A$2:$A$20000,Y261,DATOS!$G$2:$G$20000,CONFIG_METADATA!$B$4,DATOS!$I$2:$I$20000,"Música de Cámara"),"")))</f>
        <v/>
      </c>
      <c r="AC261" t="str">
        <f>IF(Y261="","",IF(Y261="[FÓRMULA MANUAL]","",IFERROR(SUMPRODUCT((DATOS!$A$2:$A$20000=Y261)*(DATOS!$G$2:$G$20000=CONFIG_METADATA!$B$4)*(COUNTIF(CONFIG_ASIGNATURAS!$B$7:$B$27,DATOS!$I$2:$I$20000)&gt;0)*(DATOS!$K$2:$K$20000))/SUMPRODUCT((DATOS!$A$2:$A$20000=Y261)*(DATOS!$G$2:$G$20000=CONFIG_METADATA!$B$4)*(COUNTIF(CONFIG_ASIGNATURAS!$B$7:$B$27,DATOS!$I$2:$I$20000)&gt;0)*1),"")))</f>
        <v/>
      </c>
      <c r="AF261" t="str">
        <f>IF(AE261="","",IF(AE261="[FÓRMULA MANUAL]","",IFERROR(AVERAGEIFS(DATOS!$K$2:$K$20000,DATOS!$A$2:$A$20000,AE261,DATOS!$G$2:$G$20000,CONFIG_METADATA!$B$4,DATOS!$I$2:$I$20000,"Análisis"),"")))</f>
        <v/>
      </c>
      <c r="AG261" t="str">
        <f>IF(AE261="","",IF(AE261="[FÓRMULA MANUAL]","",IFERROR(AVERAGEIFS(DATOS!$K$2:$K$20000,DATOS!$A$2:$A$20000,AE261,DATOS!$G$2:$G$20000,CONFIG_METADATA!$B$4,DATOS!$I$2:$I$20000,"Orquesta/Banda/Conjunto"),"")))</f>
        <v/>
      </c>
      <c r="AH261" t="str">
        <f>IF(AE261="","",IF(AE261="[FÓRMULA MANUAL]","",IFERROR(AVERAGEIFS(DATOS!$K$2:$K$20000,DATOS!$A$2:$A$20000,AE261,DATOS!$G$2:$G$20000,CONFIG_METADATA!$B$4,DATOS!$I$2:$I$20000,"Música de Cámara"),"")))</f>
        <v/>
      </c>
      <c r="AI261" t="str">
        <f>IF(AE261="","",IF(AE261="[FÓRMULA MANUAL]","",IFERROR(SUMPRODUCT((DATOS!$A$2:$A$20000=AE261)*(DATOS!$G$2:$G$20000=CONFIG_METADATA!$B$4)*(COUNTIF(CONFIG_ASIGNATURAS!$B$7:$B$27,DATOS!$I$2:$I$20000)&gt;0)*(DATOS!$K$2:$K$20000))/SUMPRODUCT((DATOS!$A$2:$A$20000=AE261)*(DATOS!$G$2:$G$20000=CONFIG_METADATA!$B$4)*(COUNTIF(CONFIG_ASIGNATURAS!$B$7:$B$27,DATOS!$I$2:$I$20000)&gt;0)*1),"")))</f>
        <v/>
      </c>
    </row>
    <row r="262" spans="2:35" x14ac:dyDescent="0.2">
      <c r="B262" t="str">
        <f>IF(A262="","",IF(A262="[FÓRMULA MANUAL]","",IFERROR(AVERAGEIFS(DATOS!$K$2:$K$20000,DATOS!$A$2:$A$20000,A262,DATOS!$G$2:$G$20000,CONFIG_METADATA!$B$4,DATOS!$I$2:$I$20000,"Lenguaje Musical"),"")))</f>
        <v/>
      </c>
      <c r="C262" t="str">
        <f>IF(A262="","",IF(A262="[FÓRMULA MANUAL]","",IFERROR(AVERAGEIFS(DATOS!$K$2:$K$20000,DATOS!$A$2:$A$20000,A262,DATOS!$G$2:$G$20000,CONFIG_METADATA!$B$4,DATOS!$I$2:$I$20000,"Orquesta/Banda/Conjunto"),"")))</f>
        <v/>
      </c>
      <c r="D262" t="str">
        <f>IF(A262="","",IF(A262="[FÓRMULA MANUAL]","",IFERROR(AVERAGEIFS(DATOS!$K$2:$K$20000,DATOS!$A$2:$A$20000,A262,DATOS!$G$2:$G$20000,CONFIG_METADATA!$B$4,DATOS!$I$2:$I$20000,"Conjunto"),"")))</f>
        <v/>
      </c>
      <c r="E262" t="str">
        <f>IF(A262="","",IF(A262="[FÓRMULA MANUAL]","",IFERROR(SUMPRODUCT((DATOS!$A$2:$A$20000=A262)*(DATOS!$G$2:$G$20000=CONFIG_METADATA!$B$4)*(COUNTIF(CONFIG_ASIGNATURAS!$B$7:$B$27,DATOS!$I$2:$I$20000)&gt;0)*(DATOS!$K$2:$K$20000))/SUMPRODUCT((DATOS!$A$2:$A$20000=A262)*(DATOS!$G$2:$G$20000=CONFIG_METADATA!$B$4)*(COUNTIF(CONFIG_ASIGNATURAS!$B$7:$B$27,DATOS!$I$2:$I$20000)&gt;0)*1),"")))</f>
        <v/>
      </c>
      <c r="H262" t="str">
        <f>IF(G262="","",IF(G262="[FÓRMULA MANUAL]","",IFERROR(AVERAGEIFS(DATOS!$K$2:$K$20000,DATOS!$A$2:$A$20000,G262,DATOS!$G$2:$G$20000,CONFIG_METADATA!$B$4,DATOS!$I$2:$I$20000,"Lenguaje Musical"),"")))</f>
        <v/>
      </c>
      <c r="I262" t="str">
        <f>IF(G262="","",IF(G262="[FÓRMULA MANUAL]","",IFERROR(AVERAGEIFS(DATOS!$K$2:$K$20000,DATOS!$A$2:$A$20000,G262,DATOS!$G$2:$G$20000,CONFIG_METADATA!$B$4,DATOS!$I$2:$I$20000,"Orquesta/Banda/Conjunto"),"")))</f>
        <v/>
      </c>
      <c r="J262" t="str">
        <f>IF(G262="","",IF(G262="[FÓRMULA MANUAL]","",IFERROR(AVERAGEIFS(DATOS!$K$2:$K$20000,DATOS!$A$2:$A$20000,G262,DATOS!$G$2:$G$20000,CONFIG_METADATA!$B$4,DATOS!$I$2:$I$20000,"Conjunto"),"")))</f>
        <v/>
      </c>
      <c r="K262" t="str">
        <f>IF(G262="","",IF(G262="[FÓRMULA MANUAL]","",IFERROR(SUMPRODUCT((DATOS!$A$2:$A$20000=G262)*(DATOS!$G$2:$G$20000=CONFIG_METADATA!$B$4)*(COUNTIF(CONFIG_ASIGNATURAS!$B$7:$B$27,DATOS!$I$2:$I$20000)&gt;0)*(DATOS!$K$2:$K$20000))/SUMPRODUCT((DATOS!$A$2:$A$20000=G262)*(DATOS!$G$2:$G$20000=CONFIG_METADATA!$B$4)*(COUNTIF(CONFIG_ASIGNATURAS!$B$7:$B$27,DATOS!$I$2:$I$20000)&gt;0)*1),"")))</f>
        <v/>
      </c>
      <c r="N262" t="str">
        <f>IF(M262="","",IF(M262="[FÓRMULA MANUAL]","",IFERROR(AVERAGEIFS(DATOS!$K$2:$K$20000,DATOS!$A$2:$A$20000,M262,DATOS!$G$2:$G$20000,CONFIG_METADATA!$B$4,DATOS!$I$2:$I$20000,"Armonía"),"")))</f>
        <v/>
      </c>
      <c r="O262" t="str">
        <f>IF(M262="","",IF(M262="[FÓRMULA MANUAL]","",IFERROR(AVERAGEIFS(DATOS!$K$2:$K$20000,DATOS!$A$2:$A$20000,M262,DATOS!$G$2:$G$20000,CONFIG_METADATA!$B$4,DATOS!$I$2:$I$20000,"Orquesta/Banda/Conjunto"),"")))</f>
        <v/>
      </c>
      <c r="P262" t="str">
        <f>IF(M262="","",IF(M262="[FÓRMULA MANUAL]","",IFERROR(AVERAGEIFS(DATOS!$K$2:$K$20000,DATOS!$A$2:$A$20000,M262,DATOS!$G$2:$G$20000,CONFIG_METADATA!$B$4,DATOS!$I$2:$I$20000,"Música de Cámara"),"")))</f>
        <v/>
      </c>
      <c r="Q262" t="str">
        <f>IF(M262="","",IF(M262="[FÓRMULA MANUAL]","",IFERROR(SUMPRODUCT((DATOS!$A$2:$A$20000=M262)*(DATOS!$G$2:$G$20000=CONFIG_METADATA!$B$4)*(COUNTIF(CONFIG_ASIGNATURAS!$B$7:$B$27,DATOS!$I$2:$I$20000)&gt;0)*(DATOS!$K$2:$K$20000))/SUMPRODUCT((DATOS!$A$2:$A$20000=M262)*(DATOS!$G$2:$G$20000=CONFIG_METADATA!$B$4)*(COUNTIF(CONFIG_ASIGNATURAS!$B$7:$B$27,DATOS!$I$2:$I$20000)&gt;0)*1),"")))</f>
        <v/>
      </c>
      <c r="T262" t="str">
        <f>IF(S262="","",IF(S262="[FÓRMULA MANUAL]","",IFERROR(AVERAGEIFS(DATOS!$K$2:$K$20000,DATOS!$A$2:$A$20000,S262,DATOS!$G$2:$G$20000,CONFIG_METADATA!$B$4,DATOS!$I$2:$I$20000,"Armonía"),"")))</f>
        <v/>
      </c>
      <c r="U262" t="str">
        <f>IF(S262="","",IF(S262="[FÓRMULA MANUAL]","",IFERROR(AVERAGEIFS(DATOS!$K$2:$K$20000,DATOS!$A$2:$A$20000,S262,DATOS!$G$2:$G$20000,CONFIG_METADATA!$B$4,DATOS!$I$2:$I$20000,"Orquesta/Banda/Conjunto"),"")))</f>
        <v/>
      </c>
      <c r="V262" t="str">
        <f>IF(S262="","",IF(S262="[FÓRMULA MANUAL]","",IFERROR(AVERAGEIFS(DATOS!$K$2:$K$20000,DATOS!$A$2:$A$20000,S262,DATOS!$G$2:$G$20000,CONFIG_METADATA!$B$4,DATOS!$I$2:$I$20000,"Música de Cámara"),"")))</f>
        <v/>
      </c>
      <c r="W262" t="str">
        <f>IF(S262="","",IF(S262="[FÓRMULA MANUAL]","",IFERROR(SUMPRODUCT((DATOS!$A$2:$A$20000=S262)*(DATOS!$G$2:$G$20000=CONFIG_METADATA!$B$4)*(COUNTIF(CONFIG_ASIGNATURAS!$B$7:$B$27,DATOS!$I$2:$I$20000)&gt;0)*(DATOS!$K$2:$K$20000))/SUMPRODUCT((DATOS!$A$2:$A$20000=S262)*(DATOS!$G$2:$G$20000=CONFIG_METADATA!$B$4)*(COUNTIF(CONFIG_ASIGNATURAS!$B$7:$B$27,DATOS!$I$2:$I$20000)&gt;0)*1),"")))</f>
        <v/>
      </c>
      <c r="Z262" t="str">
        <f>IF(Y262="","",IF(Y262="[FÓRMULA MANUAL]","",IFERROR(AVERAGEIFS(DATOS!$K$2:$K$20000,DATOS!$A$2:$A$20000,Y262,DATOS!$G$2:$G$20000,CONFIG_METADATA!$B$4,DATOS!$I$2:$I$20000,"Análisis"),"")))</f>
        <v/>
      </c>
      <c r="AA262" t="str">
        <f>IF(Y262="","",IF(Y262="[FÓRMULA MANUAL]","",IFERROR(AVERAGEIFS(DATOS!$K$2:$K$20000,DATOS!$A$2:$A$20000,Y262,DATOS!$G$2:$G$20000,CONFIG_METADATA!$B$4,DATOS!$I$2:$I$20000,"Orquesta/Banda/Conjunto"),"")))</f>
        <v/>
      </c>
      <c r="AB262" t="str">
        <f>IF(Y262="","",IF(Y262="[FÓRMULA MANUAL]","",IFERROR(AVERAGEIFS(DATOS!$K$2:$K$20000,DATOS!$A$2:$A$20000,Y262,DATOS!$G$2:$G$20000,CONFIG_METADATA!$B$4,DATOS!$I$2:$I$20000,"Música de Cámara"),"")))</f>
        <v/>
      </c>
      <c r="AC262" t="str">
        <f>IF(Y262="","",IF(Y262="[FÓRMULA MANUAL]","",IFERROR(SUMPRODUCT((DATOS!$A$2:$A$20000=Y262)*(DATOS!$G$2:$G$20000=CONFIG_METADATA!$B$4)*(COUNTIF(CONFIG_ASIGNATURAS!$B$7:$B$27,DATOS!$I$2:$I$20000)&gt;0)*(DATOS!$K$2:$K$20000))/SUMPRODUCT((DATOS!$A$2:$A$20000=Y262)*(DATOS!$G$2:$G$20000=CONFIG_METADATA!$B$4)*(COUNTIF(CONFIG_ASIGNATURAS!$B$7:$B$27,DATOS!$I$2:$I$20000)&gt;0)*1),"")))</f>
        <v/>
      </c>
      <c r="AF262" t="str">
        <f>IF(AE262="","",IF(AE262="[FÓRMULA MANUAL]","",IFERROR(AVERAGEIFS(DATOS!$K$2:$K$20000,DATOS!$A$2:$A$20000,AE262,DATOS!$G$2:$G$20000,CONFIG_METADATA!$B$4,DATOS!$I$2:$I$20000,"Análisis"),"")))</f>
        <v/>
      </c>
      <c r="AG262" t="str">
        <f>IF(AE262="","",IF(AE262="[FÓRMULA MANUAL]","",IFERROR(AVERAGEIFS(DATOS!$K$2:$K$20000,DATOS!$A$2:$A$20000,AE262,DATOS!$G$2:$G$20000,CONFIG_METADATA!$B$4,DATOS!$I$2:$I$20000,"Orquesta/Banda/Conjunto"),"")))</f>
        <v/>
      </c>
      <c r="AH262" t="str">
        <f>IF(AE262="","",IF(AE262="[FÓRMULA MANUAL]","",IFERROR(AVERAGEIFS(DATOS!$K$2:$K$20000,DATOS!$A$2:$A$20000,AE262,DATOS!$G$2:$G$20000,CONFIG_METADATA!$B$4,DATOS!$I$2:$I$20000,"Música de Cámara"),"")))</f>
        <v/>
      </c>
      <c r="AI262" t="str">
        <f>IF(AE262="","",IF(AE262="[FÓRMULA MANUAL]","",IFERROR(SUMPRODUCT((DATOS!$A$2:$A$20000=AE262)*(DATOS!$G$2:$G$20000=CONFIG_METADATA!$B$4)*(COUNTIF(CONFIG_ASIGNATURAS!$B$7:$B$27,DATOS!$I$2:$I$20000)&gt;0)*(DATOS!$K$2:$K$20000))/SUMPRODUCT((DATOS!$A$2:$A$20000=AE262)*(DATOS!$G$2:$G$20000=CONFIG_METADATA!$B$4)*(COUNTIF(CONFIG_ASIGNATURAS!$B$7:$B$27,DATOS!$I$2:$I$20000)&gt;0)*1),"")))</f>
        <v/>
      </c>
    </row>
    <row r="263" spans="2:35" x14ac:dyDescent="0.2">
      <c r="B263" t="str">
        <f>IF(A263="","",IF(A263="[FÓRMULA MANUAL]","",IFERROR(AVERAGEIFS(DATOS!$K$2:$K$20000,DATOS!$A$2:$A$20000,A263,DATOS!$G$2:$G$20000,CONFIG_METADATA!$B$4,DATOS!$I$2:$I$20000,"Lenguaje Musical"),"")))</f>
        <v/>
      </c>
      <c r="C263" t="str">
        <f>IF(A263="","",IF(A263="[FÓRMULA MANUAL]","",IFERROR(AVERAGEIFS(DATOS!$K$2:$K$20000,DATOS!$A$2:$A$20000,A263,DATOS!$G$2:$G$20000,CONFIG_METADATA!$B$4,DATOS!$I$2:$I$20000,"Orquesta/Banda/Conjunto"),"")))</f>
        <v/>
      </c>
      <c r="D263" t="str">
        <f>IF(A263="","",IF(A263="[FÓRMULA MANUAL]","",IFERROR(AVERAGEIFS(DATOS!$K$2:$K$20000,DATOS!$A$2:$A$20000,A263,DATOS!$G$2:$G$20000,CONFIG_METADATA!$B$4,DATOS!$I$2:$I$20000,"Conjunto"),"")))</f>
        <v/>
      </c>
      <c r="E263" t="str">
        <f>IF(A263="","",IF(A263="[FÓRMULA MANUAL]","",IFERROR(SUMPRODUCT((DATOS!$A$2:$A$20000=A263)*(DATOS!$G$2:$G$20000=CONFIG_METADATA!$B$4)*(COUNTIF(CONFIG_ASIGNATURAS!$B$7:$B$27,DATOS!$I$2:$I$20000)&gt;0)*(DATOS!$K$2:$K$20000))/SUMPRODUCT((DATOS!$A$2:$A$20000=A263)*(DATOS!$G$2:$G$20000=CONFIG_METADATA!$B$4)*(COUNTIF(CONFIG_ASIGNATURAS!$B$7:$B$27,DATOS!$I$2:$I$20000)&gt;0)*1),"")))</f>
        <v/>
      </c>
      <c r="H263" t="str">
        <f>IF(G263="","",IF(G263="[FÓRMULA MANUAL]","",IFERROR(AVERAGEIFS(DATOS!$K$2:$K$20000,DATOS!$A$2:$A$20000,G263,DATOS!$G$2:$G$20000,CONFIG_METADATA!$B$4,DATOS!$I$2:$I$20000,"Lenguaje Musical"),"")))</f>
        <v/>
      </c>
      <c r="I263" t="str">
        <f>IF(G263="","",IF(G263="[FÓRMULA MANUAL]","",IFERROR(AVERAGEIFS(DATOS!$K$2:$K$20000,DATOS!$A$2:$A$20000,G263,DATOS!$G$2:$G$20000,CONFIG_METADATA!$B$4,DATOS!$I$2:$I$20000,"Orquesta/Banda/Conjunto"),"")))</f>
        <v/>
      </c>
      <c r="J263" t="str">
        <f>IF(G263="","",IF(G263="[FÓRMULA MANUAL]","",IFERROR(AVERAGEIFS(DATOS!$K$2:$K$20000,DATOS!$A$2:$A$20000,G263,DATOS!$G$2:$G$20000,CONFIG_METADATA!$B$4,DATOS!$I$2:$I$20000,"Conjunto"),"")))</f>
        <v/>
      </c>
      <c r="K263" t="str">
        <f>IF(G263="","",IF(G263="[FÓRMULA MANUAL]","",IFERROR(SUMPRODUCT((DATOS!$A$2:$A$20000=G263)*(DATOS!$G$2:$G$20000=CONFIG_METADATA!$B$4)*(COUNTIF(CONFIG_ASIGNATURAS!$B$7:$B$27,DATOS!$I$2:$I$20000)&gt;0)*(DATOS!$K$2:$K$20000))/SUMPRODUCT((DATOS!$A$2:$A$20000=G263)*(DATOS!$G$2:$G$20000=CONFIG_METADATA!$B$4)*(COUNTIF(CONFIG_ASIGNATURAS!$B$7:$B$27,DATOS!$I$2:$I$20000)&gt;0)*1),"")))</f>
        <v/>
      </c>
      <c r="N263" t="str">
        <f>IF(M263="","",IF(M263="[FÓRMULA MANUAL]","",IFERROR(AVERAGEIFS(DATOS!$K$2:$K$20000,DATOS!$A$2:$A$20000,M263,DATOS!$G$2:$G$20000,CONFIG_METADATA!$B$4,DATOS!$I$2:$I$20000,"Armonía"),"")))</f>
        <v/>
      </c>
      <c r="O263" t="str">
        <f>IF(M263="","",IF(M263="[FÓRMULA MANUAL]","",IFERROR(AVERAGEIFS(DATOS!$K$2:$K$20000,DATOS!$A$2:$A$20000,M263,DATOS!$G$2:$G$20000,CONFIG_METADATA!$B$4,DATOS!$I$2:$I$20000,"Orquesta/Banda/Conjunto"),"")))</f>
        <v/>
      </c>
      <c r="P263" t="str">
        <f>IF(M263="","",IF(M263="[FÓRMULA MANUAL]","",IFERROR(AVERAGEIFS(DATOS!$K$2:$K$20000,DATOS!$A$2:$A$20000,M263,DATOS!$G$2:$G$20000,CONFIG_METADATA!$B$4,DATOS!$I$2:$I$20000,"Música de Cámara"),"")))</f>
        <v/>
      </c>
      <c r="Q263" t="str">
        <f>IF(M263="","",IF(M263="[FÓRMULA MANUAL]","",IFERROR(SUMPRODUCT((DATOS!$A$2:$A$20000=M263)*(DATOS!$G$2:$G$20000=CONFIG_METADATA!$B$4)*(COUNTIF(CONFIG_ASIGNATURAS!$B$7:$B$27,DATOS!$I$2:$I$20000)&gt;0)*(DATOS!$K$2:$K$20000))/SUMPRODUCT((DATOS!$A$2:$A$20000=M263)*(DATOS!$G$2:$G$20000=CONFIG_METADATA!$B$4)*(COUNTIF(CONFIG_ASIGNATURAS!$B$7:$B$27,DATOS!$I$2:$I$20000)&gt;0)*1),"")))</f>
        <v/>
      </c>
      <c r="T263" t="str">
        <f>IF(S263="","",IF(S263="[FÓRMULA MANUAL]","",IFERROR(AVERAGEIFS(DATOS!$K$2:$K$20000,DATOS!$A$2:$A$20000,S263,DATOS!$G$2:$G$20000,CONFIG_METADATA!$B$4,DATOS!$I$2:$I$20000,"Armonía"),"")))</f>
        <v/>
      </c>
      <c r="U263" t="str">
        <f>IF(S263="","",IF(S263="[FÓRMULA MANUAL]","",IFERROR(AVERAGEIFS(DATOS!$K$2:$K$20000,DATOS!$A$2:$A$20000,S263,DATOS!$G$2:$G$20000,CONFIG_METADATA!$B$4,DATOS!$I$2:$I$20000,"Orquesta/Banda/Conjunto"),"")))</f>
        <v/>
      </c>
      <c r="V263" t="str">
        <f>IF(S263="","",IF(S263="[FÓRMULA MANUAL]","",IFERROR(AVERAGEIFS(DATOS!$K$2:$K$20000,DATOS!$A$2:$A$20000,S263,DATOS!$G$2:$G$20000,CONFIG_METADATA!$B$4,DATOS!$I$2:$I$20000,"Música de Cámara"),"")))</f>
        <v/>
      </c>
      <c r="W263" t="str">
        <f>IF(S263="","",IF(S263="[FÓRMULA MANUAL]","",IFERROR(SUMPRODUCT((DATOS!$A$2:$A$20000=S263)*(DATOS!$G$2:$G$20000=CONFIG_METADATA!$B$4)*(COUNTIF(CONFIG_ASIGNATURAS!$B$7:$B$27,DATOS!$I$2:$I$20000)&gt;0)*(DATOS!$K$2:$K$20000))/SUMPRODUCT((DATOS!$A$2:$A$20000=S263)*(DATOS!$G$2:$G$20000=CONFIG_METADATA!$B$4)*(COUNTIF(CONFIG_ASIGNATURAS!$B$7:$B$27,DATOS!$I$2:$I$20000)&gt;0)*1),"")))</f>
        <v/>
      </c>
      <c r="Z263" t="str">
        <f>IF(Y263="","",IF(Y263="[FÓRMULA MANUAL]","",IFERROR(AVERAGEIFS(DATOS!$K$2:$K$20000,DATOS!$A$2:$A$20000,Y263,DATOS!$G$2:$G$20000,CONFIG_METADATA!$B$4,DATOS!$I$2:$I$20000,"Análisis"),"")))</f>
        <v/>
      </c>
      <c r="AA263" t="str">
        <f>IF(Y263="","",IF(Y263="[FÓRMULA MANUAL]","",IFERROR(AVERAGEIFS(DATOS!$K$2:$K$20000,DATOS!$A$2:$A$20000,Y263,DATOS!$G$2:$G$20000,CONFIG_METADATA!$B$4,DATOS!$I$2:$I$20000,"Orquesta/Banda/Conjunto"),"")))</f>
        <v/>
      </c>
      <c r="AB263" t="str">
        <f>IF(Y263="","",IF(Y263="[FÓRMULA MANUAL]","",IFERROR(AVERAGEIFS(DATOS!$K$2:$K$20000,DATOS!$A$2:$A$20000,Y263,DATOS!$G$2:$G$20000,CONFIG_METADATA!$B$4,DATOS!$I$2:$I$20000,"Música de Cámara"),"")))</f>
        <v/>
      </c>
      <c r="AC263" t="str">
        <f>IF(Y263="","",IF(Y263="[FÓRMULA MANUAL]","",IFERROR(SUMPRODUCT((DATOS!$A$2:$A$20000=Y263)*(DATOS!$G$2:$G$20000=CONFIG_METADATA!$B$4)*(COUNTIF(CONFIG_ASIGNATURAS!$B$7:$B$27,DATOS!$I$2:$I$20000)&gt;0)*(DATOS!$K$2:$K$20000))/SUMPRODUCT((DATOS!$A$2:$A$20000=Y263)*(DATOS!$G$2:$G$20000=CONFIG_METADATA!$B$4)*(COUNTIF(CONFIG_ASIGNATURAS!$B$7:$B$27,DATOS!$I$2:$I$20000)&gt;0)*1),"")))</f>
        <v/>
      </c>
      <c r="AF263" t="str">
        <f>IF(AE263="","",IF(AE263="[FÓRMULA MANUAL]","",IFERROR(AVERAGEIFS(DATOS!$K$2:$K$20000,DATOS!$A$2:$A$20000,AE263,DATOS!$G$2:$G$20000,CONFIG_METADATA!$B$4,DATOS!$I$2:$I$20000,"Análisis"),"")))</f>
        <v/>
      </c>
      <c r="AG263" t="str">
        <f>IF(AE263="","",IF(AE263="[FÓRMULA MANUAL]","",IFERROR(AVERAGEIFS(DATOS!$K$2:$K$20000,DATOS!$A$2:$A$20000,AE263,DATOS!$G$2:$G$20000,CONFIG_METADATA!$B$4,DATOS!$I$2:$I$20000,"Orquesta/Banda/Conjunto"),"")))</f>
        <v/>
      </c>
      <c r="AH263" t="str">
        <f>IF(AE263="","",IF(AE263="[FÓRMULA MANUAL]","",IFERROR(AVERAGEIFS(DATOS!$K$2:$K$20000,DATOS!$A$2:$A$20000,AE263,DATOS!$G$2:$G$20000,CONFIG_METADATA!$B$4,DATOS!$I$2:$I$20000,"Música de Cámara"),"")))</f>
        <v/>
      </c>
      <c r="AI263" t="str">
        <f>IF(AE263="","",IF(AE263="[FÓRMULA MANUAL]","",IFERROR(SUMPRODUCT((DATOS!$A$2:$A$20000=AE263)*(DATOS!$G$2:$G$20000=CONFIG_METADATA!$B$4)*(COUNTIF(CONFIG_ASIGNATURAS!$B$7:$B$27,DATOS!$I$2:$I$20000)&gt;0)*(DATOS!$K$2:$K$20000))/SUMPRODUCT((DATOS!$A$2:$A$20000=AE263)*(DATOS!$G$2:$G$20000=CONFIG_METADATA!$B$4)*(COUNTIF(CONFIG_ASIGNATURAS!$B$7:$B$27,DATOS!$I$2:$I$20000)&gt;0)*1),"")))</f>
        <v/>
      </c>
    </row>
    <row r="264" spans="2:35" x14ac:dyDescent="0.2">
      <c r="B264" t="str">
        <f>IF(A264="","",IF(A264="[FÓRMULA MANUAL]","",IFERROR(AVERAGEIFS(DATOS!$K$2:$K$20000,DATOS!$A$2:$A$20000,A264,DATOS!$G$2:$G$20000,CONFIG_METADATA!$B$4,DATOS!$I$2:$I$20000,"Lenguaje Musical"),"")))</f>
        <v/>
      </c>
      <c r="C264" t="str">
        <f>IF(A264="","",IF(A264="[FÓRMULA MANUAL]","",IFERROR(AVERAGEIFS(DATOS!$K$2:$K$20000,DATOS!$A$2:$A$20000,A264,DATOS!$G$2:$G$20000,CONFIG_METADATA!$B$4,DATOS!$I$2:$I$20000,"Orquesta/Banda/Conjunto"),"")))</f>
        <v/>
      </c>
      <c r="D264" t="str">
        <f>IF(A264="","",IF(A264="[FÓRMULA MANUAL]","",IFERROR(AVERAGEIFS(DATOS!$K$2:$K$20000,DATOS!$A$2:$A$20000,A264,DATOS!$G$2:$G$20000,CONFIG_METADATA!$B$4,DATOS!$I$2:$I$20000,"Conjunto"),"")))</f>
        <v/>
      </c>
      <c r="E264" t="str">
        <f>IF(A264="","",IF(A264="[FÓRMULA MANUAL]","",IFERROR(SUMPRODUCT((DATOS!$A$2:$A$20000=A264)*(DATOS!$G$2:$G$20000=CONFIG_METADATA!$B$4)*(COUNTIF(CONFIG_ASIGNATURAS!$B$7:$B$27,DATOS!$I$2:$I$20000)&gt;0)*(DATOS!$K$2:$K$20000))/SUMPRODUCT((DATOS!$A$2:$A$20000=A264)*(DATOS!$G$2:$G$20000=CONFIG_METADATA!$B$4)*(COUNTIF(CONFIG_ASIGNATURAS!$B$7:$B$27,DATOS!$I$2:$I$20000)&gt;0)*1),"")))</f>
        <v/>
      </c>
      <c r="H264" t="str">
        <f>IF(G264="","",IF(G264="[FÓRMULA MANUAL]","",IFERROR(AVERAGEIFS(DATOS!$K$2:$K$20000,DATOS!$A$2:$A$20000,G264,DATOS!$G$2:$G$20000,CONFIG_METADATA!$B$4,DATOS!$I$2:$I$20000,"Lenguaje Musical"),"")))</f>
        <v/>
      </c>
      <c r="I264" t="str">
        <f>IF(G264="","",IF(G264="[FÓRMULA MANUAL]","",IFERROR(AVERAGEIFS(DATOS!$K$2:$K$20000,DATOS!$A$2:$A$20000,G264,DATOS!$G$2:$G$20000,CONFIG_METADATA!$B$4,DATOS!$I$2:$I$20000,"Orquesta/Banda/Conjunto"),"")))</f>
        <v/>
      </c>
      <c r="J264" t="str">
        <f>IF(G264="","",IF(G264="[FÓRMULA MANUAL]","",IFERROR(AVERAGEIFS(DATOS!$K$2:$K$20000,DATOS!$A$2:$A$20000,G264,DATOS!$G$2:$G$20000,CONFIG_METADATA!$B$4,DATOS!$I$2:$I$20000,"Conjunto"),"")))</f>
        <v/>
      </c>
      <c r="K264" t="str">
        <f>IF(G264="","",IF(G264="[FÓRMULA MANUAL]","",IFERROR(SUMPRODUCT((DATOS!$A$2:$A$20000=G264)*(DATOS!$G$2:$G$20000=CONFIG_METADATA!$B$4)*(COUNTIF(CONFIG_ASIGNATURAS!$B$7:$B$27,DATOS!$I$2:$I$20000)&gt;0)*(DATOS!$K$2:$K$20000))/SUMPRODUCT((DATOS!$A$2:$A$20000=G264)*(DATOS!$G$2:$G$20000=CONFIG_METADATA!$B$4)*(COUNTIF(CONFIG_ASIGNATURAS!$B$7:$B$27,DATOS!$I$2:$I$20000)&gt;0)*1),"")))</f>
        <v/>
      </c>
      <c r="N264" t="str">
        <f>IF(M264="","",IF(M264="[FÓRMULA MANUAL]","",IFERROR(AVERAGEIFS(DATOS!$K$2:$K$20000,DATOS!$A$2:$A$20000,M264,DATOS!$G$2:$G$20000,CONFIG_METADATA!$B$4,DATOS!$I$2:$I$20000,"Armonía"),"")))</f>
        <v/>
      </c>
      <c r="O264" t="str">
        <f>IF(M264="","",IF(M264="[FÓRMULA MANUAL]","",IFERROR(AVERAGEIFS(DATOS!$K$2:$K$20000,DATOS!$A$2:$A$20000,M264,DATOS!$G$2:$G$20000,CONFIG_METADATA!$B$4,DATOS!$I$2:$I$20000,"Orquesta/Banda/Conjunto"),"")))</f>
        <v/>
      </c>
      <c r="P264" t="str">
        <f>IF(M264="","",IF(M264="[FÓRMULA MANUAL]","",IFERROR(AVERAGEIFS(DATOS!$K$2:$K$20000,DATOS!$A$2:$A$20000,M264,DATOS!$G$2:$G$20000,CONFIG_METADATA!$B$4,DATOS!$I$2:$I$20000,"Música de Cámara"),"")))</f>
        <v/>
      </c>
      <c r="Q264" t="str">
        <f>IF(M264="","",IF(M264="[FÓRMULA MANUAL]","",IFERROR(SUMPRODUCT((DATOS!$A$2:$A$20000=M264)*(DATOS!$G$2:$G$20000=CONFIG_METADATA!$B$4)*(COUNTIF(CONFIG_ASIGNATURAS!$B$7:$B$27,DATOS!$I$2:$I$20000)&gt;0)*(DATOS!$K$2:$K$20000))/SUMPRODUCT((DATOS!$A$2:$A$20000=M264)*(DATOS!$G$2:$G$20000=CONFIG_METADATA!$B$4)*(COUNTIF(CONFIG_ASIGNATURAS!$B$7:$B$27,DATOS!$I$2:$I$20000)&gt;0)*1),"")))</f>
        <v/>
      </c>
      <c r="T264" t="str">
        <f>IF(S264="","",IF(S264="[FÓRMULA MANUAL]","",IFERROR(AVERAGEIFS(DATOS!$K$2:$K$20000,DATOS!$A$2:$A$20000,S264,DATOS!$G$2:$G$20000,CONFIG_METADATA!$B$4,DATOS!$I$2:$I$20000,"Armonía"),"")))</f>
        <v/>
      </c>
      <c r="U264" t="str">
        <f>IF(S264="","",IF(S264="[FÓRMULA MANUAL]","",IFERROR(AVERAGEIFS(DATOS!$K$2:$K$20000,DATOS!$A$2:$A$20000,S264,DATOS!$G$2:$G$20000,CONFIG_METADATA!$B$4,DATOS!$I$2:$I$20000,"Orquesta/Banda/Conjunto"),"")))</f>
        <v/>
      </c>
      <c r="V264" t="str">
        <f>IF(S264="","",IF(S264="[FÓRMULA MANUAL]","",IFERROR(AVERAGEIFS(DATOS!$K$2:$K$20000,DATOS!$A$2:$A$20000,S264,DATOS!$G$2:$G$20000,CONFIG_METADATA!$B$4,DATOS!$I$2:$I$20000,"Música de Cámara"),"")))</f>
        <v/>
      </c>
      <c r="W264" t="str">
        <f>IF(S264="","",IF(S264="[FÓRMULA MANUAL]","",IFERROR(SUMPRODUCT((DATOS!$A$2:$A$20000=S264)*(DATOS!$G$2:$G$20000=CONFIG_METADATA!$B$4)*(COUNTIF(CONFIG_ASIGNATURAS!$B$7:$B$27,DATOS!$I$2:$I$20000)&gt;0)*(DATOS!$K$2:$K$20000))/SUMPRODUCT((DATOS!$A$2:$A$20000=S264)*(DATOS!$G$2:$G$20000=CONFIG_METADATA!$B$4)*(COUNTIF(CONFIG_ASIGNATURAS!$B$7:$B$27,DATOS!$I$2:$I$20000)&gt;0)*1),"")))</f>
        <v/>
      </c>
      <c r="Z264" t="str">
        <f>IF(Y264="","",IF(Y264="[FÓRMULA MANUAL]","",IFERROR(AVERAGEIFS(DATOS!$K$2:$K$20000,DATOS!$A$2:$A$20000,Y264,DATOS!$G$2:$G$20000,CONFIG_METADATA!$B$4,DATOS!$I$2:$I$20000,"Análisis"),"")))</f>
        <v/>
      </c>
      <c r="AA264" t="str">
        <f>IF(Y264="","",IF(Y264="[FÓRMULA MANUAL]","",IFERROR(AVERAGEIFS(DATOS!$K$2:$K$20000,DATOS!$A$2:$A$20000,Y264,DATOS!$G$2:$G$20000,CONFIG_METADATA!$B$4,DATOS!$I$2:$I$20000,"Orquesta/Banda/Conjunto"),"")))</f>
        <v/>
      </c>
      <c r="AB264" t="str">
        <f>IF(Y264="","",IF(Y264="[FÓRMULA MANUAL]","",IFERROR(AVERAGEIFS(DATOS!$K$2:$K$20000,DATOS!$A$2:$A$20000,Y264,DATOS!$G$2:$G$20000,CONFIG_METADATA!$B$4,DATOS!$I$2:$I$20000,"Música de Cámara"),"")))</f>
        <v/>
      </c>
      <c r="AC264" t="str">
        <f>IF(Y264="","",IF(Y264="[FÓRMULA MANUAL]","",IFERROR(SUMPRODUCT((DATOS!$A$2:$A$20000=Y264)*(DATOS!$G$2:$G$20000=CONFIG_METADATA!$B$4)*(COUNTIF(CONFIG_ASIGNATURAS!$B$7:$B$27,DATOS!$I$2:$I$20000)&gt;0)*(DATOS!$K$2:$K$20000))/SUMPRODUCT((DATOS!$A$2:$A$20000=Y264)*(DATOS!$G$2:$G$20000=CONFIG_METADATA!$B$4)*(COUNTIF(CONFIG_ASIGNATURAS!$B$7:$B$27,DATOS!$I$2:$I$20000)&gt;0)*1),"")))</f>
        <v/>
      </c>
      <c r="AF264" t="str">
        <f>IF(AE264="","",IF(AE264="[FÓRMULA MANUAL]","",IFERROR(AVERAGEIFS(DATOS!$K$2:$K$20000,DATOS!$A$2:$A$20000,AE264,DATOS!$G$2:$G$20000,CONFIG_METADATA!$B$4,DATOS!$I$2:$I$20000,"Análisis"),"")))</f>
        <v/>
      </c>
      <c r="AG264" t="str">
        <f>IF(AE264="","",IF(AE264="[FÓRMULA MANUAL]","",IFERROR(AVERAGEIFS(DATOS!$K$2:$K$20000,DATOS!$A$2:$A$20000,AE264,DATOS!$G$2:$G$20000,CONFIG_METADATA!$B$4,DATOS!$I$2:$I$20000,"Orquesta/Banda/Conjunto"),"")))</f>
        <v/>
      </c>
      <c r="AH264" t="str">
        <f>IF(AE264="","",IF(AE264="[FÓRMULA MANUAL]","",IFERROR(AVERAGEIFS(DATOS!$K$2:$K$20000,DATOS!$A$2:$A$20000,AE264,DATOS!$G$2:$G$20000,CONFIG_METADATA!$B$4,DATOS!$I$2:$I$20000,"Música de Cámara"),"")))</f>
        <v/>
      </c>
      <c r="AI264" t="str">
        <f>IF(AE264="","",IF(AE264="[FÓRMULA MANUAL]","",IFERROR(SUMPRODUCT((DATOS!$A$2:$A$20000=AE264)*(DATOS!$G$2:$G$20000=CONFIG_METADATA!$B$4)*(COUNTIF(CONFIG_ASIGNATURAS!$B$7:$B$27,DATOS!$I$2:$I$20000)&gt;0)*(DATOS!$K$2:$K$20000))/SUMPRODUCT((DATOS!$A$2:$A$20000=AE264)*(DATOS!$G$2:$G$20000=CONFIG_METADATA!$B$4)*(COUNTIF(CONFIG_ASIGNATURAS!$B$7:$B$27,DATOS!$I$2:$I$20000)&gt;0)*1),"")))</f>
        <v/>
      </c>
    </row>
    <row r="265" spans="2:35" x14ac:dyDescent="0.2">
      <c r="B265" t="str">
        <f>IF(A265="","",IF(A265="[FÓRMULA MANUAL]","",IFERROR(AVERAGEIFS(DATOS!$K$2:$K$20000,DATOS!$A$2:$A$20000,A265,DATOS!$G$2:$G$20000,CONFIG_METADATA!$B$4,DATOS!$I$2:$I$20000,"Lenguaje Musical"),"")))</f>
        <v/>
      </c>
      <c r="C265" t="str">
        <f>IF(A265="","",IF(A265="[FÓRMULA MANUAL]","",IFERROR(AVERAGEIFS(DATOS!$K$2:$K$20000,DATOS!$A$2:$A$20000,A265,DATOS!$G$2:$G$20000,CONFIG_METADATA!$B$4,DATOS!$I$2:$I$20000,"Orquesta/Banda/Conjunto"),"")))</f>
        <v/>
      </c>
      <c r="D265" t="str">
        <f>IF(A265="","",IF(A265="[FÓRMULA MANUAL]","",IFERROR(AVERAGEIFS(DATOS!$K$2:$K$20000,DATOS!$A$2:$A$20000,A265,DATOS!$G$2:$G$20000,CONFIG_METADATA!$B$4,DATOS!$I$2:$I$20000,"Conjunto"),"")))</f>
        <v/>
      </c>
      <c r="E265" t="str">
        <f>IF(A265="","",IF(A265="[FÓRMULA MANUAL]","",IFERROR(SUMPRODUCT((DATOS!$A$2:$A$20000=A265)*(DATOS!$G$2:$G$20000=CONFIG_METADATA!$B$4)*(COUNTIF(CONFIG_ASIGNATURAS!$B$7:$B$27,DATOS!$I$2:$I$20000)&gt;0)*(DATOS!$K$2:$K$20000))/SUMPRODUCT((DATOS!$A$2:$A$20000=A265)*(DATOS!$G$2:$G$20000=CONFIG_METADATA!$B$4)*(COUNTIF(CONFIG_ASIGNATURAS!$B$7:$B$27,DATOS!$I$2:$I$20000)&gt;0)*1),"")))</f>
        <v/>
      </c>
      <c r="H265" t="str">
        <f>IF(G265="","",IF(G265="[FÓRMULA MANUAL]","",IFERROR(AVERAGEIFS(DATOS!$K$2:$K$20000,DATOS!$A$2:$A$20000,G265,DATOS!$G$2:$G$20000,CONFIG_METADATA!$B$4,DATOS!$I$2:$I$20000,"Lenguaje Musical"),"")))</f>
        <v/>
      </c>
      <c r="I265" t="str">
        <f>IF(G265="","",IF(G265="[FÓRMULA MANUAL]","",IFERROR(AVERAGEIFS(DATOS!$K$2:$K$20000,DATOS!$A$2:$A$20000,G265,DATOS!$G$2:$G$20000,CONFIG_METADATA!$B$4,DATOS!$I$2:$I$20000,"Orquesta/Banda/Conjunto"),"")))</f>
        <v/>
      </c>
      <c r="J265" t="str">
        <f>IF(G265="","",IF(G265="[FÓRMULA MANUAL]","",IFERROR(AVERAGEIFS(DATOS!$K$2:$K$20000,DATOS!$A$2:$A$20000,G265,DATOS!$G$2:$G$20000,CONFIG_METADATA!$B$4,DATOS!$I$2:$I$20000,"Conjunto"),"")))</f>
        <v/>
      </c>
      <c r="K265" t="str">
        <f>IF(G265="","",IF(G265="[FÓRMULA MANUAL]","",IFERROR(SUMPRODUCT((DATOS!$A$2:$A$20000=G265)*(DATOS!$G$2:$G$20000=CONFIG_METADATA!$B$4)*(COUNTIF(CONFIG_ASIGNATURAS!$B$7:$B$27,DATOS!$I$2:$I$20000)&gt;0)*(DATOS!$K$2:$K$20000))/SUMPRODUCT((DATOS!$A$2:$A$20000=G265)*(DATOS!$G$2:$G$20000=CONFIG_METADATA!$B$4)*(COUNTIF(CONFIG_ASIGNATURAS!$B$7:$B$27,DATOS!$I$2:$I$20000)&gt;0)*1),"")))</f>
        <v/>
      </c>
      <c r="N265" t="str">
        <f>IF(M265="","",IF(M265="[FÓRMULA MANUAL]","",IFERROR(AVERAGEIFS(DATOS!$K$2:$K$20000,DATOS!$A$2:$A$20000,M265,DATOS!$G$2:$G$20000,CONFIG_METADATA!$B$4,DATOS!$I$2:$I$20000,"Armonía"),"")))</f>
        <v/>
      </c>
      <c r="O265" t="str">
        <f>IF(M265="","",IF(M265="[FÓRMULA MANUAL]","",IFERROR(AVERAGEIFS(DATOS!$K$2:$K$20000,DATOS!$A$2:$A$20000,M265,DATOS!$G$2:$G$20000,CONFIG_METADATA!$B$4,DATOS!$I$2:$I$20000,"Orquesta/Banda/Conjunto"),"")))</f>
        <v/>
      </c>
      <c r="P265" t="str">
        <f>IF(M265="","",IF(M265="[FÓRMULA MANUAL]","",IFERROR(AVERAGEIFS(DATOS!$K$2:$K$20000,DATOS!$A$2:$A$20000,M265,DATOS!$G$2:$G$20000,CONFIG_METADATA!$B$4,DATOS!$I$2:$I$20000,"Música de Cámara"),"")))</f>
        <v/>
      </c>
      <c r="Q265" t="str">
        <f>IF(M265="","",IF(M265="[FÓRMULA MANUAL]","",IFERROR(SUMPRODUCT((DATOS!$A$2:$A$20000=M265)*(DATOS!$G$2:$G$20000=CONFIG_METADATA!$B$4)*(COUNTIF(CONFIG_ASIGNATURAS!$B$7:$B$27,DATOS!$I$2:$I$20000)&gt;0)*(DATOS!$K$2:$K$20000))/SUMPRODUCT((DATOS!$A$2:$A$20000=M265)*(DATOS!$G$2:$G$20000=CONFIG_METADATA!$B$4)*(COUNTIF(CONFIG_ASIGNATURAS!$B$7:$B$27,DATOS!$I$2:$I$20000)&gt;0)*1),"")))</f>
        <v/>
      </c>
      <c r="T265" t="str">
        <f>IF(S265="","",IF(S265="[FÓRMULA MANUAL]","",IFERROR(AVERAGEIFS(DATOS!$K$2:$K$20000,DATOS!$A$2:$A$20000,S265,DATOS!$G$2:$G$20000,CONFIG_METADATA!$B$4,DATOS!$I$2:$I$20000,"Armonía"),"")))</f>
        <v/>
      </c>
      <c r="U265" t="str">
        <f>IF(S265="","",IF(S265="[FÓRMULA MANUAL]","",IFERROR(AVERAGEIFS(DATOS!$K$2:$K$20000,DATOS!$A$2:$A$20000,S265,DATOS!$G$2:$G$20000,CONFIG_METADATA!$B$4,DATOS!$I$2:$I$20000,"Orquesta/Banda/Conjunto"),"")))</f>
        <v/>
      </c>
      <c r="V265" t="str">
        <f>IF(S265="","",IF(S265="[FÓRMULA MANUAL]","",IFERROR(AVERAGEIFS(DATOS!$K$2:$K$20000,DATOS!$A$2:$A$20000,S265,DATOS!$G$2:$G$20000,CONFIG_METADATA!$B$4,DATOS!$I$2:$I$20000,"Música de Cámara"),"")))</f>
        <v/>
      </c>
      <c r="W265" t="str">
        <f>IF(S265="","",IF(S265="[FÓRMULA MANUAL]","",IFERROR(SUMPRODUCT((DATOS!$A$2:$A$20000=S265)*(DATOS!$G$2:$G$20000=CONFIG_METADATA!$B$4)*(COUNTIF(CONFIG_ASIGNATURAS!$B$7:$B$27,DATOS!$I$2:$I$20000)&gt;0)*(DATOS!$K$2:$K$20000))/SUMPRODUCT((DATOS!$A$2:$A$20000=S265)*(DATOS!$G$2:$G$20000=CONFIG_METADATA!$B$4)*(COUNTIF(CONFIG_ASIGNATURAS!$B$7:$B$27,DATOS!$I$2:$I$20000)&gt;0)*1),"")))</f>
        <v/>
      </c>
      <c r="Z265" t="str">
        <f>IF(Y265="","",IF(Y265="[FÓRMULA MANUAL]","",IFERROR(AVERAGEIFS(DATOS!$K$2:$K$20000,DATOS!$A$2:$A$20000,Y265,DATOS!$G$2:$G$20000,CONFIG_METADATA!$B$4,DATOS!$I$2:$I$20000,"Análisis"),"")))</f>
        <v/>
      </c>
      <c r="AA265" t="str">
        <f>IF(Y265="","",IF(Y265="[FÓRMULA MANUAL]","",IFERROR(AVERAGEIFS(DATOS!$K$2:$K$20000,DATOS!$A$2:$A$20000,Y265,DATOS!$G$2:$G$20000,CONFIG_METADATA!$B$4,DATOS!$I$2:$I$20000,"Orquesta/Banda/Conjunto"),"")))</f>
        <v/>
      </c>
      <c r="AB265" t="str">
        <f>IF(Y265="","",IF(Y265="[FÓRMULA MANUAL]","",IFERROR(AVERAGEIFS(DATOS!$K$2:$K$20000,DATOS!$A$2:$A$20000,Y265,DATOS!$G$2:$G$20000,CONFIG_METADATA!$B$4,DATOS!$I$2:$I$20000,"Música de Cámara"),"")))</f>
        <v/>
      </c>
      <c r="AC265" t="str">
        <f>IF(Y265="","",IF(Y265="[FÓRMULA MANUAL]","",IFERROR(SUMPRODUCT((DATOS!$A$2:$A$20000=Y265)*(DATOS!$G$2:$G$20000=CONFIG_METADATA!$B$4)*(COUNTIF(CONFIG_ASIGNATURAS!$B$7:$B$27,DATOS!$I$2:$I$20000)&gt;0)*(DATOS!$K$2:$K$20000))/SUMPRODUCT((DATOS!$A$2:$A$20000=Y265)*(DATOS!$G$2:$G$20000=CONFIG_METADATA!$B$4)*(COUNTIF(CONFIG_ASIGNATURAS!$B$7:$B$27,DATOS!$I$2:$I$20000)&gt;0)*1),"")))</f>
        <v/>
      </c>
      <c r="AF265" t="str">
        <f>IF(AE265="","",IF(AE265="[FÓRMULA MANUAL]","",IFERROR(AVERAGEIFS(DATOS!$K$2:$K$20000,DATOS!$A$2:$A$20000,AE265,DATOS!$G$2:$G$20000,CONFIG_METADATA!$B$4,DATOS!$I$2:$I$20000,"Análisis"),"")))</f>
        <v/>
      </c>
      <c r="AG265" t="str">
        <f>IF(AE265="","",IF(AE265="[FÓRMULA MANUAL]","",IFERROR(AVERAGEIFS(DATOS!$K$2:$K$20000,DATOS!$A$2:$A$20000,AE265,DATOS!$G$2:$G$20000,CONFIG_METADATA!$B$4,DATOS!$I$2:$I$20000,"Orquesta/Banda/Conjunto"),"")))</f>
        <v/>
      </c>
      <c r="AH265" t="str">
        <f>IF(AE265="","",IF(AE265="[FÓRMULA MANUAL]","",IFERROR(AVERAGEIFS(DATOS!$K$2:$K$20000,DATOS!$A$2:$A$20000,AE265,DATOS!$G$2:$G$20000,CONFIG_METADATA!$B$4,DATOS!$I$2:$I$20000,"Música de Cámara"),"")))</f>
        <v/>
      </c>
      <c r="AI265" t="str">
        <f>IF(AE265="","",IF(AE265="[FÓRMULA MANUAL]","",IFERROR(SUMPRODUCT((DATOS!$A$2:$A$20000=AE265)*(DATOS!$G$2:$G$20000=CONFIG_METADATA!$B$4)*(COUNTIF(CONFIG_ASIGNATURAS!$B$7:$B$27,DATOS!$I$2:$I$20000)&gt;0)*(DATOS!$K$2:$K$20000))/SUMPRODUCT((DATOS!$A$2:$A$20000=AE265)*(DATOS!$G$2:$G$20000=CONFIG_METADATA!$B$4)*(COUNTIF(CONFIG_ASIGNATURAS!$B$7:$B$27,DATOS!$I$2:$I$20000)&gt;0)*1),"")))</f>
        <v/>
      </c>
    </row>
    <row r="266" spans="2:35" x14ac:dyDescent="0.2">
      <c r="B266" t="str">
        <f>IF(A266="","",IF(A266="[FÓRMULA MANUAL]","",IFERROR(AVERAGEIFS(DATOS!$K$2:$K$20000,DATOS!$A$2:$A$20000,A266,DATOS!$G$2:$G$20000,CONFIG_METADATA!$B$4,DATOS!$I$2:$I$20000,"Lenguaje Musical"),"")))</f>
        <v/>
      </c>
      <c r="C266" t="str">
        <f>IF(A266="","",IF(A266="[FÓRMULA MANUAL]","",IFERROR(AVERAGEIFS(DATOS!$K$2:$K$20000,DATOS!$A$2:$A$20000,A266,DATOS!$G$2:$G$20000,CONFIG_METADATA!$B$4,DATOS!$I$2:$I$20000,"Orquesta/Banda/Conjunto"),"")))</f>
        <v/>
      </c>
      <c r="D266" t="str">
        <f>IF(A266="","",IF(A266="[FÓRMULA MANUAL]","",IFERROR(AVERAGEIFS(DATOS!$K$2:$K$20000,DATOS!$A$2:$A$20000,A266,DATOS!$G$2:$G$20000,CONFIG_METADATA!$B$4,DATOS!$I$2:$I$20000,"Conjunto"),"")))</f>
        <v/>
      </c>
      <c r="E266" t="str">
        <f>IF(A266="","",IF(A266="[FÓRMULA MANUAL]","",IFERROR(SUMPRODUCT((DATOS!$A$2:$A$20000=A266)*(DATOS!$G$2:$G$20000=CONFIG_METADATA!$B$4)*(COUNTIF(CONFIG_ASIGNATURAS!$B$7:$B$27,DATOS!$I$2:$I$20000)&gt;0)*(DATOS!$K$2:$K$20000))/SUMPRODUCT((DATOS!$A$2:$A$20000=A266)*(DATOS!$G$2:$G$20000=CONFIG_METADATA!$B$4)*(COUNTIF(CONFIG_ASIGNATURAS!$B$7:$B$27,DATOS!$I$2:$I$20000)&gt;0)*1),"")))</f>
        <v/>
      </c>
      <c r="H266" t="str">
        <f>IF(G266="","",IF(G266="[FÓRMULA MANUAL]","",IFERROR(AVERAGEIFS(DATOS!$K$2:$K$20000,DATOS!$A$2:$A$20000,G266,DATOS!$G$2:$G$20000,CONFIG_METADATA!$B$4,DATOS!$I$2:$I$20000,"Lenguaje Musical"),"")))</f>
        <v/>
      </c>
      <c r="I266" t="str">
        <f>IF(G266="","",IF(G266="[FÓRMULA MANUAL]","",IFERROR(AVERAGEIFS(DATOS!$K$2:$K$20000,DATOS!$A$2:$A$20000,G266,DATOS!$G$2:$G$20000,CONFIG_METADATA!$B$4,DATOS!$I$2:$I$20000,"Orquesta/Banda/Conjunto"),"")))</f>
        <v/>
      </c>
      <c r="J266" t="str">
        <f>IF(G266="","",IF(G266="[FÓRMULA MANUAL]","",IFERROR(AVERAGEIFS(DATOS!$K$2:$K$20000,DATOS!$A$2:$A$20000,G266,DATOS!$G$2:$G$20000,CONFIG_METADATA!$B$4,DATOS!$I$2:$I$20000,"Conjunto"),"")))</f>
        <v/>
      </c>
      <c r="K266" t="str">
        <f>IF(G266="","",IF(G266="[FÓRMULA MANUAL]","",IFERROR(SUMPRODUCT((DATOS!$A$2:$A$20000=G266)*(DATOS!$G$2:$G$20000=CONFIG_METADATA!$B$4)*(COUNTIF(CONFIG_ASIGNATURAS!$B$7:$B$27,DATOS!$I$2:$I$20000)&gt;0)*(DATOS!$K$2:$K$20000))/SUMPRODUCT((DATOS!$A$2:$A$20000=G266)*(DATOS!$G$2:$G$20000=CONFIG_METADATA!$B$4)*(COUNTIF(CONFIG_ASIGNATURAS!$B$7:$B$27,DATOS!$I$2:$I$20000)&gt;0)*1),"")))</f>
        <v/>
      </c>
      <c r="N266" t="str">
        <f>IF(M266="","",IF(M266="[FÓRMULA MANUAL]","",IFERROR(AVERAGEIFS(DATOS!$K$2:$K$20000,DATOS!$A$2:$A$20000,M266,DATOS!$G$2:$G$20000,CONFIG_METADATA!$B$4,DATOS!$I$2:$I$20000,"Armonía"),"")))</f>
        <v/>
      </c>
      <c r="O266" t="str">
        <f>IF(M266="","",IF(M266="[FÓRMULA MANUAL]","",IFERROR(AVERAGEIFS(DATOS!$K$2:$K$20000,DATOS!$A$2:$A$20000,M266,DATOS!$G$2:$G$20000,CONFIG_METADATA!$B$4,DATOS!$I$2:$I$20000,"Orquesta/Banda/Conjunto"),"")))</f>
        <v/>
      </c>
      <c r="P266" t="str">
        <f>IF(M266="","",IF(M266="[FÓRMULA MANUAL]","",IFERROR(AVERAGEIFS(DATOS!$K$2:$K$20000,DATOS!$A$2:$A$20000,M266,DATOS!$G$2:$G$20000,CONFIG_METADATA!$B$4,DATOS!$I$2:$I$20000,"Música de Cámara"),"")))</f>
        <v/>
      </c>
      <c r="Q266" t="str">
        <f>IF(M266="","",IF(M266="[FÓRMULA MANUAL]","",IFERROR(SUMPRODUCT((DATOS!$A$2:$A$20000=M266)*(DATOS!$G$2:$G$20000=CONFIG_METADATA!$B$4)*(COUNTIF(CONFIG_ASIGNATURAS!$B$7:$B$27,DATOS!$I$2:$I$20000)&gt;0)*(DATOS!$K$2:$K$20000))/SUMPRODUCT((DATOS!$A$2:$A$20000=M266)*(DATOS!$G$2:$G$20000=CONFIG_METADATA!$B$4)*(COUNTIF(CONFIG_ASIGNATURAS!$B$7:$B$27,DATOS!$I$2:$I$20000)&gt;0)*1),"")))</f>
        <v/>
      </c>
      <c r="T266" t="str">
        <f>IF(S266="","",IF(S266="[FÓRMULA MANUAL]","",IFERROR(AVERAGEIFS(DATOS!$K$2:$K$20000,DATOS!$A$2:$A$20000,S266,DATOS!$G$2:$G$20000,CONFIG_METADATA!$B$4,DATOS!$I$2:$I$20000,"Armonía"),"")))</f>
        <v/>
      </c>
      <c r="U266" t="str">
        <f>IF(S266="","",IF(S266="[FÓRMULA MANUAL]","",IFERROR(AVERAGEIFS(DATOS!$K$2:$K$20000,DATOS!$A$2:$A$20000,S266,DATOS!$G$2:$G$20000,CONFIG_METADATA!$B$4,DATOS!$I$2:$I$20000,"Orquesta/Banda/Conjunto"),"")))</f>
        <v/>
      </c>
      <c r="V266" t="str">
        <f>IF(S266="","",IF(S266="[FÓRMULA MANUAL]","",IFERROR(AVERAGEIFS(DATOS!$K$2:$K$20000,DATOS!$A$2:$A$20000,S266,DATOS!$G$2:$G$20000,CONFIG_METADATA!$B$4,DATOS!$I$2:$I$20000,"Música de Cámara"),"")))</f>
        <v/>
      </c>
      <c r="W266" t="str">
        <f>IF(S266="","",IF(S266="[FÓRMULA MANUAL]","",IFERROR(SUMPRODUCT((DATOS!$A$2:$A$20000=S266)*(DATOS!$G$2:$G$20000=CONFIG_METADATA!$B$4)*(COUNTIF(CONFIG_ASIGNATURAS!$B$7:$B$27,DATOS!$I$2:$I$20000)&gt;0)*(DATOS!$K$2:$K$20000))/SUMPRODUCT((DATOS!$A$2:$A$20000=S266)*(DATOS!$G$2:$G$20000=CONFIG_METADATA!$B$4)*(COUNTIF(CONFIG_ASIGNATURAS!$B$7:$B$27,DATOS!$I$2:$I$20000)&gt;0)*1),"")))</f>
        <v/>
      </c>
      <c r="Z266" t="str">
        <f>IF(Y266="","",IF(Y266="[FÓRMULA MANUAL]","",IFERROR(AVERAGEIFS(DATOS!$K$2:$K$20000,DATOS!$A$2:$A$20000,Y266,DATOS!$G$2:$G$20000,CONFIG_METADATA!$B$4,DATOS!$I$2:$I$20000,"Análisis"),"")))</f>
        <v/>
      </c>
      <c r="AA266" t="str">
        <f>IF(Y266="","",IF(Y266="[FÓRMULA MANUAL]","",IFERROR(AVERAGEIFS(DATOS!$K$2:$K$20000,DATOS!$A$2:$A$20000,Y266,DATOS!$G$2:$G$20000,CONFIG_METADATA!$B$4,DATOS!$I$2:$I$20000,"Orquesta/Banda/Conjunto"),"")))</f>
        <v/>
      </c>
      <c r="AB266" t="str">
        <f>IF(Y266="","",IF(Y266="[FÓRMULA MANUAL]","",IFERROR(AVERAGEIFS(DATOS!$K$2:$K$20000,DATOS!$A$2:$A$20000,Y266,DATOS!$G$2:$G$20000,CONFIG_METADATA!$B$4,DATOS!$I$2:$I$20000,"Música de Cámara"),"")))</f>
        <v/>
      </c>
      <c r="AC266" t="str">
        <f>IF(Y266="","",IF(Y266="[FÓRMULA MANUAL]","",IFERROR(SUMPRODUCT((DATOS!$A$2:$A$20000=Y266)*(DATOS!$G$2:$G$20000=CONFIG_METADATA!$B$4)*(COUNTIF(CONFIG_ASIGNATURAS!$B$7:$B$27,DATOS!$I$2:$I$20000)&gt;0)*(DATOS!$K$2:$K$20000))/SUMPRODUCT((DATOS!$A$2:$A$20000=Y266)*(DATOS!$G$2:$G$20000=CONFIG_METADATA!$B$4)*(COUNTIF(CONFIG_ASIGNATURAS!$B$7:$B$27,DATOS!$I$2:$I$20000)&gt;0)*1),"")))</f>
        <v/>
      </c>
      <c r="AF266" t="str">
        <f>IF(AE266="","",IF(AE266="[FÓRMULA MANUAL]","",IFERROR(AVERAGEIFS(DATOS!$K$2:$K$20000,DATOS!$A$2:$A$20000,AE266,DATOS!$G$2:$G$20000,CONFIG_METADATA!$B$4,DATOS!$I$2:$I$20000,"Análisis"),"")))</f>
        <v/>
      </c>
      <c r="AG266" t="str">
        <f>IF(AE266="","",IF(AE266="[FÓRMULA MANUAL]","",IFERROR(AVERAGEIFS(DATOS!$K$2:$K$20000,DATOS!$A$2:$A$20000,AE266,DATOS!$G$2:$G$20000,CONFIG_METADATA!$B$4,DATOS!$I$2:$I$20000,"Orquesta/Banda/Conjunto"),"")))</f>
        <v/>
      </c>
      <c r="AH266" t="str">
        <f>IF(AE266="","",IF(AE266="[FÓRMULA MANUAL]","",IFERROR(AVERAGEIFS(DATOS!$K$2:$K$20000,DATOS!$A$2:$A$20000,AE266,DATOS!$G$2:$G$20000,CONFIG_METADATA!$B$4,DATOS!$I$2:$I$20000,"Música de Cámara"),"")))</f>
        <v/>
      </c>
      <c r="AI266" t="str">
        <f>IF(AE266="","",IF(AE266="[FÓRMULA MANUAL]","",IFERROR(SUMPRODUCT((DATOS!$A$2:$A$20000=AE266)*(DATOS!$G$2:$G$20000=CONFIG_METADATA!$B$4)*(COUNTIF(CONFIG_ASIGNATURAS!$B$7:$B$27,DATOS!$I$2:$I$20000)&gt;0)*(DATOS!$K$2:$K$20000))/SUMPRODUCT((DATOS!$A$2:$A$20000=AE266)*(DATOS!$G$2:$G$20000=CONFIG_METADATA!$B$4)*(COUNTIF(CONFIG_ASIGNATURAS!$B$7:$B$27,DATOS!$I$2:$I$20000)&gt;0)*1),"")))</f>
        <v/>
      </c>
    </row>
    <row r="267" spans="2:35" x14ac:dyDescent="0.2">
      <c r="B267" t="str">
        <f>IF(A267="","",IF(A267="[FÓRMULA MANUAL]","",IFERROR(AVERAGEIFS(DATOS!$K$2:$K$20000,DATOS!$A$2:$A$20000,A267,DATOS!$G$2:$G$20000,CONFIG_METADATA!$B$4,DATOS!$I$2:$I$20000,"Lenguaje Musical"),"")))</f>
        <v/>
      </c>
      <c r="C267" t="str">
        <f>IF(A267="","",IF(A267="[FÓRMULA MANUAL]","",IFERROR(AVERAGEIFS(DATOS!$K$2:$K$20000,DATOS!$A$2:$A$20000,A267,DATOS!$G$2:$G$20000,CONFIG_METADATA!$B$4,DATOS!$I$2:$I$20000,"Orquesta/Banda/Conjunto"),"")))</f>
        <v/>
      </c>
      <c r="D267" t="str">
        <f>IF(A267="","",IF(A267="[FÓRMULA MANUAL]","",IFERROR(AVERAGEIFS(DATOS!$K$2:$K$20000,DATOS!$A$2:$A$20000,A267,DATOS!$G$2:$G$20000,CONFIG_METADATA!$B$4,DATOS!$I$2:$I$20000,"Conjunto"),"")))</f>
        <v/>
      </c>
      <c r="E267" t="str">
        <f>IF(A267="","",IF(A267="[FÓRMULA MANUAL]","",IFERROR(SUMPRODUCT((DATOS!$A$2:$A$20000=A267)*(DATOS!$G$2:$G$20000=CONFIG_METADATA!$B$4)*(COUNTIF(CONFIG_ASIGNATURAS!$B$7:$B$27,DATOS!$I$2:$I$20000)&gt;0)*(DATOS!$K$2:$K$20000))/SUMPRODUCT((DATOS!$A$2:$A$20000=A267)*(DATOS!$G$2:$G$20000=CONFIG_METADATA!$B$4)*(COUNTIF(CONFIG_ASIGNATURAS!$B$7:$B$27,DATOS!$I$2:$I$20000)&gt;0)*1),"")))</f>
        <v/>
      </c>
      <c r="H267" t="str">
        <f>IF(G267="","",IF(G267="[FÓRMULA MANUAL]","",IFERROR(AVERAGEIFS(DATOS!$K$2:$K$20000,DATOS!$A$2:$A$20000,G267,DATOS!$G$2:$G$20000,CONFIG_METADATA!$B$4,DATOS!$I$2:$I$20000,"Lenguaje Musical"),"")))</f>
        <v/>
      </c>
      <c r="I267" t="str">
        <f>IF(G267="","",IF(G267="[FÓRMULA MANUAL]","",IFERROR(AVERAGEIFS(DATOS!$K$2:$K$20000,DATOS!$A$2:$A$20000,G267,DATOS!$G$2:$G$20000,CONFIG_METADATA!$B$4,DATOS!$I$2:$I$20000,"Orquesta/Banda/Conjunto"),"")))</f>
        <v/>
      </c>
      <c r="J267" t="str">
        <f>IF(G267="","",IF(G267="[FÓRMULA MANUAL]","",IFERROR(AVERAGEIFS(DATOS!$K$2:$K$20000,DATOS!$A$2:$A$20000,G267,DATOS!$G$2:$G$20000,CONFIG_METADATA!$B$4,DATOS!$I$2:$I$20000,"Conjunto"),"")))</f>
        <v/>
      </c>
      <c r="K267" t="str">
        <f>IF(G267="","",IF(G267="[FÓRMULA MANUAL]","",IFERROR(SUMPRODUCT((DATOS!$A$2:$A$20000=G267)*(DATOS!$G$2:$G$20000=CONFIG_METADATA!$B$4)*(COUNTIF(CONFIG_ASIGNATURAS!$B$7:$B$27,DATOS!$I$2:$I$20000)&gt;0)*(DATOS!$K$2:$K$20000))/SUMPRODUCT((DATOS!$A$2:$A$20000=G267)*(DATOS!$G$2:$G$20000=CONFIG_METADATA!$B$4)*(COUNTIF(CONFIG_ASIGNATURAS!$B$7:$B$27,DATOS!$I$2:$I$20000)&gt;0)*1),"")))</f>
        <v/>
      </c>
      <c r="N267" t="str">
        <f>IF(M267="","",IF(M267="[FÓRMULA MANUAL]","",IFERROR(AVERAGEIFS(DATOS!$K$2:$K$20000,DATOS!$A$2:$A$20000,M267,DATOS!$G$2:$G$20000,CONFIG_METADATA!$B$4,DATOS!$I$2:$I$20000,"Armonía"),"")))</f>
        <v/>
      </c>
      <c r="O267" t="str">
        <f>IF(M267="","",IF(M267="[FÓRMULA MANUAL]","",IFERROR(AVERAGEIFS(DATOS!$K$2:$K$20000,DATOS!$A$2:$A$20000,M267,DATOS!$G$2:$G$20000,CONFIG_METADATA!$B$4,DATOS!$I$2:$I$20000,"Orquesta/Banda/Conjunto"),"")))</f>
        <v/>
      </c>
      <c r="P267" t="str">
        <f>IF(M267="","",IF(M267="[FÓRMULA MANUAL]","",IFERROR(AVERAGEIFS(DATOS!$K$2:$K$20000,DATOS!$A$2:$A$20000,M267,DATOS!$G$2:$G$20000,CONFIG_METADATA!$B$4,DATOS!$I$2:$I$20000,"Música de Cámara"),"")))</f>
        <v/>
      </c>
      <c r="Q267" t="str">
        <f>IF(M267="","",IF(M267="[FÓRMULA MANUAL]","",IFERROR(SUMPRODUCT((DATOS!$A$2:$A$20000=M267)*(DATOS!$G$2:$G$20000=CONFIG_METADATA!$B$4)*(COUNTIF(CONFIG_ASIGNATURAS!$B$7:$B$27,DATOS!$I$2:$I$20000)&gt;0)*(DATOS!$K$2:$K$20000))/SUMPRODUCT((DATOS!$A$2:$A$20000=M267)*(DATOS!$G$2:$G$20000=CONFIG_METADATA!$B$4)*(COUNTIF(CONFIG_ASIGNATURAS!$B$7:$B$27,DATOS!$I$2:$I$20000)&gt;0)*1),"")))</f>
        <v/>
      </c>
      <c r="T267" t="str">
        <f>IF(S267="","",IF(S267="[FÓRMULA MANUAL]","",IFERROR(AVERAGEIFS(DATOS!$K$2:$K$20000,DATOS!$A$2:$A$20000,S267,DATOS!$G$2:$G$20000,CONFIG_METADATA!$B$4,DATOS!$I$2:$I$20000,"Armonía"),"")))</f>
        <v/>
      </c>
      <c r="U267" t="str">
        <f>IF(S267="","",IF(S267="[FÓRMULA MANUAL]","",IFERROR(AVERAGEIFS(DATOS!$K$2:$K$20000,DATOS!$A$2:$A$20000,S267,DATOS!$G$2:$G$20000,CONFIG_METADATA!$B$4,DATOS!$I$2:$I$20000,"Orquesta/Banda/Conjunto"),"")))</f>
        <v/>
      </c>
      <c r="V267" t="str">
        <f>IF(S267="","",IF(S267="[FÓRMULA MANUAL]","",IFERROR(AVERAGEIFS(DATOS!$K$2:$K$20000,DATOS!$A$2:$A$20000,S267,DATOS!$G$2:$G$20000,CONFIG_METADATA!$B$4,DATOS!$I$2:$I$20000,"Música de Cámara"),"")))</f>
        <v/>
      </c>
      <c r="W267" t="str">
        <f>IF(S267="","",IF(S267="[FÓRMULA MANUAL]","",IFERROR(SUMPRODUCT((DATOS!$A$2:$A$20000=S267)*(DATOS!$G$2:$G$20000=CONFIG_METADATA!$B$4)*(COUNTIF(CONFIG_ASIGNATURAS!$B$7:$B$27,DATOS!$I$2:$I$20000)&gt;0)*(DATOS!$K$2:$K$20000))/SUMPRODUCT((DATOS!$A$2:$A$20000=S267)*(DATOS!$G$2:$G$20000=CONFIG_METADATA!$B$4)*(COUNTIF(CONFIG_ASIGNATURAS!$B$7:$B$27,DATOS!$I$2:$I$20000)&gt;0)*1),"")))</f>
        <v/>
      </c>
      <c r="Z267" t="str">
        <f>IF(Y267="","",IF(Y267="[FÓRMULA MANUAL]","",IFERROR(AVERAGEIFS(DATOS!$K$2:$K$20000,DATOS!$A$2:$A$20000,Y267,DATOS!$G$2:$G$20000,CONFIG_METADATA!$B$4,DATOS!$I$2:$I$20000,"Análisis"),"")))</f>
        <v/>
      </c>
      <c r="AA267" t="str">
        <f>IF(Y267="","",IF(Y267="[FÓRMULA MANUAL]","",IFERROR(AVERAGEIFS(DATOS!$K$2:$K$20000,DATOS!$A$2:$A$20000,Y267,DATOS!$G$2:$G$20000,CONFIG_METADATA!$B$4,DATOS!$I$2:$I$20000,"Orquesta/Banda/Conjunto"),"")))</f>
        <v/>
      </c>
      <c r="AB267" t="str">
        <f>IF(Y267="","",IF(Y267="[FÓRMULA MANUAL]","",IFERROR(AVERAGEIFS(DATOS!$K$2:$K$20000,DATOS!$A$2:$A$20000,Y267,DATOS!$G$2:$G$20000,CONFIG_METADATA!$B$4,DATOS!$I$2:$I$20000,"Música de Cámara"),"")))</f>
        <v/>
      </c>
      <c r="AC267" t="str">
        <f>IF(Y267="","",IF(Y267="[FÓRMULA MANUAL]","",IFERROR(SUMPRODUCT((DATOS!$A$2:$A$20000=Y267)*(DATOS!$G$2:$G$20000=CONFIG_METADATA!$B$4)*(COUNTIF(CONFIG_ASIGNATURAS!$B$7:$B$27,DATOS!$I$2:$I$20000)&gt;0)*(DATOS!$K$2:$K$20000))/SUMPRODUCT((DATOS!$A$2:$A$20000=Y267)*(DATOS!$G$2:$G$20000=CONFIG_METADATA!$B$4)*(COUNTIF(CONFIG_ASIGNATURAS!$B$7:$B$27,DATOS!$I$2:$I$20000)&gt;0)*1),"")))</f>
        <v/>
      </c>
      <c r="AF267" t="str">
        <f>IF(AE267="","",IF(AE267="[FÓRMULA MANUAL]","",IFERROR(AVERAGEIFS(DATOS!$K$2:$K$20000,DATOS!$A$2:$A$20000,AE267,DATOS!$G$2:$G$20000,CONFIG_METADATA!$B$4,DATOS!$I$2:$I$20000,"Análisis"),"")))</f>
        <v/>
      </c>
      <c r="AG267" t="str">
        <f>IF(AE267="","",IF(AE267="[FÓRMULA MANUAL]","",IFERROR(AVERAGEIFS(DATOS!$K$2:$K$20000,DATOS!$A$2:$A$20000,AE267,DATOS!$G$2:$G$20000,CONFIG_METADATA!$B$4,DATOS!$I$2:$I$20000,"Orquesta/Banda/Conjunto"),"")))</f>
        <v/>
      </c>
      <c r="AH267" t="str">
        <f>IF(AE267="","",IF(AE267="[FÓRMULA MANUAL]","",IFERROR(AVERAGEIFS(DATOS!$K$2:$K$20000,DATOS!$A$2:$A$20000,AE267,DATOS!$G$2:$G$20000,CONFIG_METADATA!$B$4,DATOS!$I$2:$I$20000,"Música de Cámara"),"")))</f>
        <v/>
      </c>
      <c r="AI267" t="str">
        <f>IF(AE267="","",IF(AE267="[FÓRMULA MANUAL]","",IFERROR(SUMPRODUCT((DATOS!$A$2:$A$20000=AE267)*(DATOS!$G$2:$G$20000=CONFIG_METADATA!$B$4)*(COUNTIF(CONFIG_ASIGNATURAS!$B$7:$B$27,DATOS!$I$2:$I$20000)&gt;0)*(DATOS!$K$2:$K$20000))/SUMPRODUCT((DATOS!$A$2:$A$20000=AE267)*(DATOS!$G$2:$G$20000=CONFIG_METADATA!$B$4)*(COUNTIF(CONFIG_ASIGNATURAS!$B$7:$B$27,DATOS!$I$2:$I$20000)&gt;0)*1),"")))</f>
        <v/>
      </c>
    </row>
    <row r="268" spans="2:35" x14ac:dyDescent="0.2">
      <c r="B268" t="str">
        <f>IF(A268="","",IF(A268="[FÓRMULA MANUAL]","",IFERROR(AVERAGEIFS(DATOS!$K$2:$K$20000,DATOS!$A$2:$A$20000,A268,DATOS!$G$2:$G$20000,CONFIG_METADATA!$B$4,DATOS!$I$2:$I$20000,"Lenguaje Musical"),"")))</f>
        <v/>
      </c>
      <c r="C268" t="str">
        <f>IF(A268="","",IF(A268="[FÓRMULA MANUAL]","",IFERROR(AVERAGEIFS(DATOS!$K$2:$K$20000,DATOS!$A$2:$A$20000,A268,DATOS!$G$2:$G$20000,CONFIG_METADATA!$B$4,DATOS!$I$2:$I$20000,"Orquesta/Banda/Conjunto"),"")))</f>
        <v/>
      </c>
      <c r="D268" t="str">
        <f>IF(A268="","",IF(A268="[FÓRMULA MANUAL]","",IFERROR(AVERAGEIFS(DATOS!$K$2:$K$20000,DATOS!$A$2:$A$20000,A268,DATOS!$G$2:$G$20000,CONFIG_METADATA!$B$4,DATOS!$I$2:$I$20000,"Conjunto"),"")))</f>
        <v/>
      </c>
      <c r="E268" t="str">
        <f>IF(A268="","",IF(A268="[FÓRMULA MANUAL]","",IFERROR(SUMPRODUCT((DATOS!$A$2:$A$20000=A268)*(DATOS!$G$2:$G$20000=CONFIG_METADATA!$B$4)*(COUNTIF(CONFIG_ASIGNATURAS!$B$7:$B$27,DATOS!$I$2:$I$20000)&gt;0)*(DATOS!$K$2:$K$20000))/SUMPRODUCT((DATOS!$A$2:$A$20000=A268)*(DATOS!$G$2:$G$20000=CONFIG_METADATA!$B$4)*(COUNTIF(CONFIG_ASIGNATURAS!$B$7:$B$27,DATOS!$I$2:$I$20000)&gt;0)*1),"")))</f>
        <v/>
      </c>
      <c r="H268" t="str">
        <f>IF(G268="","",IF(G268="[FÓRMULA MANUAL]","",IFERROR(AVERAGEIFS(DATOS!$K$2:$K$20000,DATOS!$A$2:$A$20000,G268,DATOS!$G$2:$G$20000,CONFIG_METADATA!$B$4,DATOS!$I$2:$I$20000,"Lenguaje Musical"),"")))</f>
        <v/>
      </c>
      <c r="I268" t="str">
        <f>IF(G268="","",IF(G268="[FÓRMULA MANUAL]","",IFERROR(AVERAGEIFS(DATOS!$K$2:$K$20000,DATOS!$A$2:$A$20000,G268,DATOS!$G$2:$G$20000,CONFIG_METADATA!$B$4,DATOS!$I$2:$I$20000,"Orquesta/Banda/Conjunto"),"")))</f>
        <v/>
      </c>
      <c r="J268" t="str">
        <f>IF(G268="","",IF(G268="[FÓRMULA MANUAL]","",IFERROR(AVERAGEIFS(DATOS!$K$2:$K$20000,DATOS!$A$2:$A$20000,G268,DATOS!$G$2:$G$20000,CONFIG_METADATA!$B$4,DATOS!$I$2:$I$20000,"Conjunto"),"")))</f>
        <v/>
      </c>
      <c r="K268" t="str">
        <f>IF(G268="","",IF(G268="[FÓRMULA MANUAL]","",IFERROR(SUMPRODUCT((DATOS!$A$2:$A$20000=G268)*(DATOS!$G$2:$G$20000=CONFIG_METADATA!$B$4)*(COUNTIF(CONFIG_ASIGNATURAS!$B$7:$B$27,DATOS!$I$2:$I$20000)&gt;0)*(DATOS!$K$2:$K$20000))/SUMPRODUCT((DATOS!$A$2:$A$20000=G268)*(DATOS!$G$2:$G$20000=CONFIG_METADATA!$B$4)*(COUNTIF(CONFIG_ASIGNATURAS!$B$7:$B$27,DATOS!$I$2:$I$20000)&gt;0)*1),"")))</f>
        <v/>
      </c>
      <c r="N268" t="str">
        <f>IF(M268="","",IF(M268="[FÓRMULA MANUAL]","",IFERROR(AVERAGEIFS(DATOS!$K$2:$K$20000,DATOS!$A$2:$A$20000,M268,DATOS!$G$2:$G$20000,CONFIG_METADATA!$B$4,DATOS!$I$2:$I$20000,"Armonía"),"")))</f>
        <v/>
      </c>
      <c r="O268" t="str">
        <f>IF(M268="","",IF(M268="[FÓRMULA MANUAL]","",IFERROR(AVERAGEIFS(DATOS!$K$2:$K$20000,DATOS!$A$2:$A$20000,M268,DATOS!$G$2:$G$20000,CONFIG_METADATA!$B$4,DATOS!$I$2:$I$20000,"Orquesta/Banda/Conjunto"),"")))</f>
        <v/>
      </c>
      <c r="P268" t="str">
        <f>IF(M268="","",IF(M268="[FÓRMULA MANUAL]","",IFERROR(AVERAGEIFS(DATOS!$K$2:$K$20000,DATOS!$A$2:$A$20000,M268,DATOS!$G$2:$G$20000,CONFIG_METADATA!$B$4,DATOS!$I$2:$I$20000,"Música de Cámara"),"")))</f>
        <v/>
      </c>
      <c r="Q268" t="str">
        <f>IF(M268="","",IF(M268="[FÓRMULA MANUAL]","",IFERROR(SUMPRODUCT((DATOS!$A$2:$A$20000=M268)*(DATOS!$G$2:$G$20000=CONFIG_METADATA!$B$4)*(COUNTIF(CONFIG_ASIGNATURAS!$B$7:$B$27,DATOS!$I$2:$I$20000)&gt;0)*(DATOS!$K$2:$K$20000))/SUMPRODUCT((DATOS!$A$2:$A$20000=M268)*(DATOS!$G$2:$G$20000=CONFIG_METADATA!$B$4)*(COUNTIF(CONFIG_ASIGNATURAS!$B$7:$B$27,DATOS!$I$2:$I$20000)&gt;0)*1),"")))</f>
        <v/>
      </c>
      <c r="T268" t="str">
        <f>IF(S268="","",IF(S268="[FÓRMULA MANUAL]","",IFERROR(AVERAGEIFS(DATOS!$K$2:$K$20000,DATOS!$A$2:$A$20000,S268,DATOS!$G$2:$G$20000,CONFIG_METADATA!$B$4,DATOS!$I$2:$I$20000,"Armonía"),"")))</f>
        <v/>
      </c>
      <c r="U268" t="str">
        <f>IF(S268="","",IF(S268="[FÓRMULA MANUAL]","",IFERROR(AVERAGEIFS(DATOS!$K$2:$K$20000,DATOS!$A$2:$A$20000,S268,DATOS!$G$2:$G$20000,CONFIG_METADATA!$B$4,DATOS!$I$2:$I$20000,"Orquesta/Banda/Conjunto"),"")))</f>
        <v/>
      </c>
      <c r="V268" t="str">
        <f>IF(S268="","",IF(S268="[FÓRMULA MANUAL]","",IFERROR(AVERAGEIFS(DATOS!$K$2:$K$20000,DATOS!$A$2:$A$20000,S268,DATOS!$G$2:$G$20000,CONFIG_METADATA!$B$4,DATOS!$I$2:$I$20000,"Música de Cámara"),"")))</f>
        <v/>
      </c>
      <c r="W268" t="str">
        <f>IF(S268="","",IF(S268="[FÓRMULA MANUAL]","",IFERROR(SUMPRODUCT((DATOS!$A$2:$A$20000=S268)*(DATOS!$G$2:$G$20000=CONFIG_METADATA!$B$4)*(COUNTIF(CONFIG_ASIGNATURAS!$B$7:$B$27,DATOS!$I$2:$I$20000)&gt;0)*(DATOS!$K$2:$K$20000))/SUMPRODUCT((DATOS!$A$2:$A$20000=S268)*(DATOS!$G$2:$G$20000=CONFIG_METADATA!$B$4)*(COUNTIF(CONFIG_ASIGNATURAS!$B$7:$B$27,DATOS!$I$2:$I$20000)&gt;0)*1),"")))</f>
        <v/>
      </c>
      <c r="Z268" t="str">
        <f>IF(Y268="","",IF(Y268="[FÓRMULA MANUAL]","",IFERROR(AVERAGEIFS(DATOS!$K$2:$K$20000,DATOS!$A$2:$A$20000,Y268,DATOS!$G$2:$G$20000,CONFIG_METADATA!$B$4,DATOS!$I$2:$I$20000,"Análisis"),"")))</f>
        <v/>
      </c>
      <c r="AA268" t="str">
        <f>IF(Y268="","",IF(Y268="[FÓRMULA MANUAL]","",IFERROR(AVERAGEIFS(DATOS!$K$2:$K$20000,DATOS!$A$2:$A$20000,Y268,DATOS!$G$2:$G$20000,CONFIG_METADATA!$B$4,DATOS!$I$2:$I$20000,"Orquesta/Banda/Conjunto"),"")))</f>
        <v/>
      </c>
      <c r="AB268" t="str">
        <f>IF(Y268="","",IF(Y268="[FÓRMULA MANUAL]","",IFERROR(AVERAGEIFS(DATOS!$K$2:$K$20000,DATOS!$A$2:$A$20000,Y268,DATOS!$G$2:$G$20000,CONFIG_METADATA!$B$4,DATOS!$I$2:$I$20000,"Música de Cámara"),"")))</f>
        <v/>
      </c>
      <c r="AC268" t="str">
        <f>IF(Y268="","",IF(Y268="[FÓRMULA MANUAL]","",IFERROR(SUMPRODUCT((DATOS!$A$2:$A$20000=Y268)*(DATOS!$G$2:$G$20000=CONFIG_METADATA!$B$4)*(COUNTIF(CONFIG_ASIGNATURAS!$B$7:$B$27,DATOS!$I$2:$I$20000)&gt;0)*(DATOS!$K$2:$K$20000))/SUMPRODUCT((DATOS!$A$2:$A$20000=Y268)*(DATOS!$G$2:$G$20000=CONFIG_METADATA!$B$4)*(COUNTIF(CONFIG_ASIGNATURAS!$B$7:$B$27,DATOS!$I$2:$I$20000)&gt;0)*1),"")))</f>
        <v/>
      </c>
      <c r="AF268" t="str">
        <f>IF(AE268="","",IF(AE268="[FÓRMULA MANUAL]","",IFERROR(AVERAGEIFS(DATOS!$K$2:$K$20000,DATOS!$A$2:$A$20000,AE268,DATOS!$G$2:$G$20000,CONFIG_METADATA!$B$4,DATOS!$I$2:$I$20000,"Análisis"),"")))</f>
        <v/>
      </c>
      <c r="AG268" t="str">
        <f>IF(AE268="","",IF(AE268="[FÓRMULA MANUAL]","",IFERROR(AVERAGEIFS(DATOS!$K$2:$K$20000,DATOS!$A$2:$A$20000,AE268,DATOS!$G$2:$G$20000,CONFIG_METADATA!$B$4,DATOS!$I$2:$I$20000,"Orquesta/Banda/Conjunto"),"")))</f>
        <v/>
      </c>
      <c r="AH268" t="str">
        <f>IF(AE268="","",IF(AE268="[FÓRMULA MANUAL]","",IFERROR(AVERAGEIFS(DATOS!$K$2:$K$20000,DATOS!$A$2:$A$20000,AE268,DATOS!$G$2:$G$20000,CONFIG_METADATA!$B$4,DATOS!$I$2:$I$20000,"Música de Cámara"),"")))</f>
        <v/>
      </c>
      <c r="AI268" t="str">
        <f>IF(AE268="","",IF(AE268="[FÓRMULA MANUAL]","",IFERROR(SUMPRODUCT((DATOS!$A$2:$A$20000=AE268)*(DATOS!$G$2:$G$20000=CONFIG_METADATA!$B$4)*(COUNTIF(CONFIG_ASIGNATURAS!$B$7:$B$27,DATOS!$I$2:$I$20000)&gt;0)*(DATOS!$K$2:$K$20000))/SUMPRODUCT((DATOS!$A$2:$A$20000=AE268)*(DATOS!$G$2:$G$20000=CONFIG_METADATA!$B$4)*(COUNTIF(CONFIG_ASIGNATURAS!$B$7:$B$27,DATOS!$I$2:$I$20000)&gt;0)*1),"")))</f>
        <v/>
      </c>
    </row>
    <row r="269" spans="2:35" x14ac:dyDescent="0.2">
      <c r="B269" t="str">
        <f>IF(A269="","",IF(A269="[FÓRMULA MANUAL]","",IFERROR(AVERAGEIFS(DATOS!$K$2:$K$20000,DATOS!$A$2:$A$20000,A269,DATOS!$G$2:$G$20000,CONFIG_METADATA!$B$4,DATOS!$I$2:$I$20000,"Lenguaje Musical"),"")))</f>
        <v/>
      </c>
      <c r="C269" t="str">
        <f>IF(A269="","",IF(A269="[FÓRMULA MANUAL]","",IFERROR(AVERAGEIFS(DATOS!$K$2:$K$20000,DATOS!$A$2:$A$20000,A269,DATOS!$G$2:$G$20000,CONFIG_METADATA!$B$4,DATOS!$I$2:$I$20000,"Orquesta/Banda/Conjunto"),"")))</f>
        <v/>
      </c>
      <c r="D269" t="str">
        <f>IF(A269="","",IF(A269="[FÓRMULA MANUAL]","",IFERROR(AVERAGEIFS(DATOS!$K$2:$K$20000,DATOS!$A$2:$A$20000,A269,DATOS!$G$2:$G$20000,CONFIG_METADATA!$B$4,DATOS!$I$2:$I$20000,"Conjunto"),"")))</f>
        <v/>
      </c>
      <c r="E269" t="str">
        <f>IF(A269="","",IF(A269="[FÓRMULA MANUAL]","",IFERROR(SUMPRODUCT((DATOS!$A$2:$A$20000=A269)*(DATOS!$G$2:$G$20000=CONFIG_METADATA!$B$4)*(COUNTIF(CONFIG_ASIGNATURAS!$B$7:$B$27,DATOS!$I$2:$I$20000)&gt;0)*(DATOS!$K$2:$K$20000))/SUMPRODUCT((DATOS!$A$2:$A$20000=A269)*(DATOS!$G$2:$G$20000=CONFIG_METADATA!$B$4)*(COUNTIF(CONFIG_ASIGNATURAS!$B$7:$B$27,DATOS!$I$2:$I$20000)&gt;0)*1),"")))</f>
        <v/>
      </c>
      <c r="H269" t="str">
        <f>IF(G269="","",IF(G269="[FÓRMULA MANUAL]","",IFERROR(AVERAGEIFS(DATOS!$K$2:$K$20000,DATOS!$A$2:$A$20000,G269,DATOS!$G$2:$G$20000,CONFIG_METADATA!$B$4,DATOS!$I$2:$I$20000,"Lenguaje Musical"),"")))</f>
        <v/>
      </c>
      <c r="I269" t="str">
        <f>IF(G269="","",IF(G269="[FÓRMULA MANUAL]","",IFERROR(AVERAGEIFS(DATOS!$K$2:$K$20000,DATOS!$A$2:$A$20000,G269,DATOS!$G$2:$G$20000,CONFIG_METADATA!$B$4,DATOS!$I$2:$I$20000,"Orquesta/Banda/Conjunto"),"")))</f>
        <v/>
      </c>
      <c r="J269" t="str">
        <f>IF(G269="","",IF(G269="[FÓRMULA MANUAL]","",IFERROR(AVERAGEIFS(DATOS!$K$2:$K$20000,DATOS!$A$2:$A$20000,G269,DATOS!$G$2:$G$20000,CONFIG_METADATA!$B$4,DATOS!$I$2:$I$20000,"Conjunto"),"")))</f>
        <v/>
      </c>
      <c r="K269" t="str">
        <f>IF(G269="","",IF(G269="[FÓRMULA MANUAL]","",IFERROR(SUMPRODUCT((DATOS!$A$2:$A$20000=G269)*(DATOS!$G$2:$G$20000=CONFIG_METADATA!$B$4)*(COUNTIF(CONFIG_ASIGNATURAS!$B$7:$B$27,DATOS!$I$2:$I$20000)&gt;0)*(DATOS!$K$2:$K$20000))/SUMPRODUCT((DATOS!$A$2:$A$20000=G269)*(DATOS!$G$2:$G$20000=CONFIG_METADATA!$B$4)*(COUNTIF(CONFIG_ASIGNATURAS!$B$7:$B$27,DATOS!$I$2:$I$20000)&gt;0)*1),"")))</f>
        <v/>
      </c>
      <c r="N269" t="str">
        <f>IF(M269="","",IF(M269="[FÓRMULA MANUAL]","",IFERROR(AVERAGEIFS(DATOS!$K$2:$K$20000,DATOS!$A$2:$A$20000,M269,DATOS!$G$2:$G$20000,CONFIG_METADATA!$B$4,DATOS!$I$2:$I$20000,"Armonía"),"")))</f>
        <v/>
      </c>
      <c r="O269" t="str">
        <f>IF(M269="","",IF(M269="[FÓRMULA MANUAL]","",IFERROR(AVERAGEIFS(DATOS!$K$2:$K$20000,DATOS!$A$2:$A$20000,M269,DATOS!$G$2:$G$20000,CONFIG_METADATA!$B$4,DATOS!$I$2:$I$20000,"Orquesta/Banda/Conjunto"),"")))</f>
        <v/>
      </c>
      <c r="P269" t="str">
        <f>IF(M269="","",IF(M269="[FÓRMULA MANUAL]","",IFERROR(AVERAGEIFS(DATOS!$K$2:$K$20000,DATOS!$A$2:$A$20000,M269,DATOS!$G$2:$G$20000,CONFIG_METADATA!$B$4,DATOS!$I$2:$I$20000,"Música de Cámara"),"")))</f>
        <v/>
      </c>
      <c r="Q269" t="str">
        <f>IF(M269="","",IF(M269="[FÓRMULA MANUAL]","",IFERROR(SUMPRODUCT((DATOS!$A$2:$A$20000=M269)*(DATOS!$G$2:$G$20000=CONFIG_METADATA!$B$4)*(COUNTIF(CONFIG_ASIGNATURAS!$B$7:$B$27,DATOS!$I$2:$I$20000)&gt;0)*(DATOS!$K$2:$K$20000))/SUMPRODUCT((DATOS!$A$2:$A$20000=M269)*(DATOS!$G$2:$G$20000=CONFIG_METADATA!$B$4)*(COUNTIF(CONFIG_ASIGNATURAS!$B$7:$B$27,DATOS!$I$2:$I$20000)&gt;0)*1),"")))</f>
        <v/>
      </c>
      <c r="T269" t="str">
        <f>IF(S269="","",IF(S269="[FÓRMULA MANUAL]","",IFERROR(AVERAGEIFS(DATOS!$K$2:$K$20000,DATOS!$A$2:$A$20000,S269,DATOS!$G$2:$G$20000,CONFIG_METADATA!$B$4,DATOS!$I$2:$I$20000,"Armonía"),"")))</f>
        <v/>
      </c>
      <c r="U269" t="str">
        <f>IF(S269="","",IF(S269="[FÓRMULA MANUAL]","",IFERROR(AVERAGEIFS(DATOS!$K$2:$K$20000,DATOS!$A$2:$A$20000,S269,DATOS!$G$2:$G$20000,CONFIG_METADATA!$B$4,DATOS!$I$2:$I$20000,"Orquesta/Banda/Conjunto"),"")))</f>
        <v/>
      </c>
      <c r="V269" t="str">
        <f>IF(S269="","",IF(S269="[FÓRMULA MANUAL]","",IFERROR(AVERAGEIFS(DATOS!$K$2:$K$20000,DATOS!$A$2:$A$20000,S269,DATOS!$G$2:$G$20000,CONFIG_METADATA!$B$4,DATOS!$I$2:$I$20000,"Música de Cámara"),"")))</f>
        <v/>
      </c>
      <c r="W269" t="str">
        <f>IF(S269="","",IF(S269="[FÓRMULA MANUAL]","",IFERROR(SUMPRODUCT((DATOS!$A$2:$A$20000=S269)*(DATOS!$G$2:$G$20000=CONFIG_METADATA!$B$4)*(COUNTIF(CONFIG_ASIGNATURAS!$B$7:$B$27,DATOS!$I$2:$I$20000)&gt;0)*(DATOS!$K$2:$K$20000))/SUMPRODUCT((DATOS!$A$2:$A$20000=S269)*(DATOS!$G$2:$G$20000=CONFIG_METADATA!$B$4)*(COUNTIF(CONFIG_ASIGNATURAS!$B$7:$B$27,DATOS!$I$2:$I$20000)&gt;0)*1),"")))</f>
        <v/>
      </c>
      <c r="Z269" t="str">
        <f>IF(Y269="","",IF(Y269="[FÓRMULA MANUAL]","",IFERROR(AVERAGEIFS(DATOS!$K$2:$K$20000,DATOS!$A$2:$A$20000,Y269,DATOS!$G$2:$G$20000,CONFIG_METADATA!$B$4,DATOS!$I$2:$I$20000,"Análisis"),"")))</f>
        <v/>
      </c>
      <c r="AA269" t="str">
        <f>IF(Y269="","",IF(Y269="[FÓRMULA MANUAL]","",IFERROR(AVERAGEIFS(DATOS!$K$2:$K$20000,DATOS!$A$2:$A$20000,Y269,DATOS!$G$2:$G$20000,CONFIG_METADATA!$B$4,DATOS!$I$2:$I$20000,"Orquesta/Banda/Conjunto"),"")))</f>
        <v/>
      </c>
      <c r="AB269" t="str">
        <f>IF(Y269="","",IF(Y269="[FÓRMULA MANUAL]","",IFERROR(AVERAGEIFS(DATOS!$K$2:$K$20000,DATOS!$A$2:$A$20000,Y269,DATOS!$G$2:$G$20000,CONFIG_METADATA!$B$4,DATOS!$I$2:$I$20000,"Música de Cámara"),"")))</f>
        <v/>
      </c>
      <c r="AC269" t="str">
        <f>IF(Y269="","",IF(Y269="[FÓRMULA MANUAL]","",IFERROR(SUMPRODUCT((DATOS!$A$2:$A$20000=Y269)*(DATOS!$G$2:$G$20000=CONFIG_METADATA!$B$4)*(COUNTIF(CONFIG_ASIGNATURAS!$B$7:$B$27,DATOS!$I$2:$I$20000)&gt;0)*(DATOS!$K$2:$K$20000))/SUMPRODUCT((DATOS!$A$2:$A$20000=Y269)*(DATOS!$G$2:$G$20000=CONFIG_METADATA!$B$4)*(COUNTIF(CONFIG_ASIGNATURAS!$B$7:$B$27,DATOS!$I$2:$I$20000)&gt;0)*1),"")))</f>
        <v/>
      </c>
      <c r="AF269" t="str">
        <f>IF(AE269="","",IF(AE269="[FÓRMULA MANUAL]","",IFERROR(AVERAGEIFS(DATOS!$K$2:$K$20000,DATOS!$A$2:$A$20000,AE269,DATOS!$G$2:$G$20000,CONFIG_METADATA!$B$4,DATOS!$I$2:$I$20000,"Análisis"),"")))</f>
        <v/>
      </c>
      <c r="AG269" t="str">
        <f>IF(AE269="","",IF(AE269="[FÓRMULA MANUAL]","",IFERROR(AVERAGEIFS(DATOS!$K$2:$K$20000,DATOS!$A$2:$A$20000,AE269,DATOS!$G$2:$G$20000,CONFIG_METADATA!$B$4,DATOS!$I$2:$I$20000,"Orquesta/Banda/Conjunto"),"")))</f>
        <v/>
      </c>
      <c r="AH269" t="str">
        <f>IF(AE269="","",IF(AE269="[FÓRMULA MANUAL]","",IFERROR(AVERAGEIFS(DATOS!$K$2:$K$20000,DATOS!$A$2:$A$20000,AE269,DATOS!$G$2:$G$20000,CONFIG_METADATA!$B$4,DATOS!$I$2:$I$20000,"Música de Cámara"),"")))</f>
        <v/>
      </c>
      <c r="AI269" t="str">
        <f>IF(AE269="","",IF(AE269="[FÓRMULA MANUAL]","",IFERROR(SUMPRODUCT((DATOS!$A$2:$A$20000=AE269)*(DATOS!$G$2:$G$20000=CONFIG_METADATA!$B$4)*(COUNTIF(CONFIG_ASIGNATURAS!$B$7:$B$27,DATOS!$I$2:$I$20000)&gt;0)*(DATOS!$K$2:$K$20000))/SUMPRODUCT((DATOS!$A$2:$A$20000=AE269)*(DATOS!$G$2:$G$20000=CONFIG_METADATA!$B$4)*(COUNTIF(CONFIG_ASIGNATURAS!$B$7:$B$27,DATOS!$I$2:$I$20000)&gt;0)*1),"")))</f>
        <v/>
      </c>
    </row>
    <row r="270" spans="2:35" x14ac:dyDescent="0.2">
      <c r="B270" t="str">
        <f>IF(A270="","",IF(A270="[FÓRMULA MANUAL]","",IFERROR(AVERAGEIFS(DATOS!$K$2:$K$20000,DATOS!$A$2:$A$20000,A270,DATOS!$G$2:$G$20000,CONFIG_METADATA!$B$4,DATOS!$I$2:$I$20000,"Lenguaje Musical"),"")))</f>
        <v/>
      </c>
      <c r="C270" t="str">
        <f>IF(A270="","",IF(A270="[FÓRMULA MANUAL]","",IFERROR(AVERAGEIFS(DATOS!$K$2:$K$20000,DATOS!$A$2:$A$20000,A270,DATOS!$G$2:$G$20000,CONFIG_METADATA!$B$4,DATOS!$I$2:$I$20000,"Orquesta/Banda/Conjunto"),"")))</f>
        <v/>
      </c>
      <c r="D270" t="str">
        <f>IF(A270="","",IF(A270="[FÓRMULA MANUAL]","",IFERROR(AVERAGEIFS(DATOS!$K$2:$K$20000,DATOS!$A$2:$A$20000,A270,DATOS!$G$2:$G$20000,CONFIG_METADATA!$B$4,DATOS!$I$2:$I$20000,"Conjunto"),"")))</f>
        <v/>
      </c>
      <c r="E270" t="str">
        <f>IF(A270="","",IF(A270="[FÓRMULA MANUAL]","",IFERROR(SUMPRODUCT((DATOS!$A$2:$A$20000=A270)*(DATOS!$G$2:$G$20000=CONFIG_METADATA!$B$4)*(COUNTIF(CONFIG_ASIGNATURAS!$B$7:$B$27,DATOS!$I$2:$I$20000)&gt;0)*(DATOS!$K$2:$K$20000))/SUMPRODUCT((DATOS!$A$2:$A$20000=A270)*(DATOS!$G$2:$G$20000=CONFIG_METADATA!$B$4)*(COUNTIF(CONFIG_ASIGNATURAS!$B$7:$B$27,DATOS!$I$2:$I$20000)&gt;0)*1),"")))</f>
        <v/>
      </c>
      <c r="H270" t="str">
        <f>IF(G270="","",IF(G270="[FÓRMULA MANUAL]","",IFERROR(AVERAGEIFS(DATOS!$K$2:$K$20000,DATOS!$A$2:$A$20000,G270,DATOS!$G$2:$G$20000,CONFIG_METADATA!$B$4,DATOS!$I$2:$I$20000,"Lenguaje Musical"),"")))</f>
        <v/>
      </c>
      <c r="I270" t="str">
        <f>IF(G270="","",IF(G270="[FÓRMULA MANUAL]","",IFERROR(AVERAGEIFS(DATOS!$K$2:$K$20000,DATOS!$A$2:$A$20000,G270,DATOS!$G$2:$G$20000,CONFIG_METADATA!$B$4,DATOS!$I$2:$I$20000,"Orquesta/Banda/Conjunto"),"")))</f>
        <v/>
      </c>
      <c r="J270" t="str">
        <f>IF(G270="","",IF(G270="[FÓRMULA MANUAL]","",IFERROR(AVERAGEIFS(DATOS!$K$2:$K$20000,DATOS!$A$2:$A$20000,G270,DATOS!$G$2:$G$20000,CONFIG_METADATA!$B$4,DATOS!$I$2:$I$20000,"Conjunto"),"")))</f>
        <v/>
      </c>
      <c r="K270" t="str">
        <f>IF(G270="","",IF(G270="[FÓRMULA MANUAL]","",IFERROR(SUMPRODUCT((DATOS!$A$2:$A$20000=G270)*(DATOS!$G$2:$G$20000=CONFIG_METADATA!$B$4)*(COUNTIF(CONFIG_ASIGNATURAS!$B$7:$B$27,DATOS!$I$2:$I$20000)&gt;0)*(DATOS!$K$2:$K$20000))/SUMPRODUCT((DATOS!$A$2:$A$20000=G270)*(DATOS!$G$2:$G$20000=CONFIG_METADATA!$B$4)*(COUNTIF(CONFIG_ASIGNATURAS!$B$7:$B$27,DATOS!$I$2:$I$20000)&gt;0)*1),"")))</f>
        <v/>
      </c>
      <c r="N270" t="str">
        <f>IF(M270="","",IF(M270="[FÓRMULA MANUAL]","",IFERROR(AVERAGEIFS(DATOS!$K$2:$K$20000,DATOS!$A$2:$A$20000,M270,DATOS!$G$2:$G$20000,CONFIG_METADATA!$B$4,DATOS!$I$2:$I$20000,"Armonía"),"")))</f>
        <v/>
      </c>
      <c r="O270" t="str">
        <f>IF(M270="","",IF(M270="[FÓRMULA MANUAL]","",IFERROR(AVERAGEIFS(DATOS!$K$2:$K$20000,DATOS!$A$2:$A$20000,M270,DATOS!$G$2:$G$20000,CONFIG_METADATA!$B$4,DATOS!$I$2:$I$20000,"Orquesta/Banda/Conjunto"),"")))</f>
        <v/>
      </c>
      <c r="P270" t="str">
        <f>IF(M270="","",IF(M270="[FÓRMULA MANUAL]","",IFERROR(AVERAGEIFS(DATOS!$K$2:$K$20000,DATOS!$A$2:$A$20000,M270,DATOS!$G$2:$G$20000,CONFIG_METADATA!$B$4,DATOS!$I$2:$I$20000,"Música de Cámara"),"")))</f>
        <v/>
      </c>
      <c r="Q270" t="str">
        <f>IF(M270="","",IF(M270="[FÓRMULA MANUAL]","",IFERROR(SUMPRODUCT((DATOS!$A$2:$A$20000=M270)*(DATOS!$G$2:$G$20000=CONFIG_METADATA!$B$4)*(COUNTIF(CONFIG_ASIGNATURAS!$B$7:$B$27,DATOS!$I$2:$I$20000)&gt;0)*(DATOS!$K$2:$K$20000))/SUMPRODUCT((DATOS!$A$2:$A$20000=M270)*(DATOS!$G$2:$G$20000=CONFIG_METADATA!$B$4)*(COUNTIF(CONFIG_ASIGNATURAS!$B$7:$B$27,DATOS!$I$2:$I$20000)&gt;0)*1),"")))</f>
        <v/>
      </c>
      <c r="T270" t="str">
        <f>IF(S270="","",IF(S270="[FÓRMULA MANUAL]","",IFERROR(AVERAGEIFS(DATOS!$K$2:$K$20000,DATOS!$A$2:$A$20000,S270,DATOS!$G$2:$G$20000,CONFIG_METADATA!$B$4,DATOS!$I$2:$I$20000,"Armonía"),"")))</f>
        <v/>
      </c>
      <c r="U270" t="str">
        <f>IF(S270="","",IF(S270="[FÓRMULA MANUAL]","",IFERROR(AVERAGEIFS(DATOS!$K$2:$K$20000,DATOS!$A$2:$A$20000,S270,DATOS!$G$2:$G$20000,CONFIG_METADATA!$B$4,DATOS!$I$2:$I$20000,"Orquesta/Banda/Conjunto"),"")))</f>
        <v/>
      </c>
      <c r="V270" t="str">
        <f>IF(S270="","",IF(S270="[FÓRMULA MANUAL]","",IFERROR(AVERAGEIFS(DATOS!$K$2:$K$20000,DATOS!$A$2:$A$20000,S270,DATOS!$G$2:$G$20000,CONFIG_METADATA!$B$4,DATOS!$I$2:$I$20000,"Música de Cámara"),"")))</f>
        <v/>
      </c>
      <c r="W270" t="str">
        <f>IF(S270="","",IF(S270="[FÓRMULA MANUAL]","",IFERROR(SUMPRODUCT((DATOS!$A$2:$A$20000=S270)*(DATOS!$G$2:$G$20000=CONFIG_METADATA!$B$4)*(COUNTIF(CONFIG_ASIGNATURAS!$B$7:$B$27,DATOS!$I$2:$I$20000)&gt;0)*(DATOS!$K$2:$K$20000))/SUMPRODUCT((DATOS!$A$2:$A$20000=S270)*(DATOS!$G$2:$G$20000=CONFIG_METADATA!$B$4)*(COUNTIF(CONFIG_ASIGNATURAS!$B$7:$B$27,DATOS!$I$2:$I$20000)&gt;0)*1),"")))</f>
        <v/>
      </c>
      <c r="Z270" t="str">
        <f>IF(Y270="","",IF(Y270="[FÓRMULA MANUAL]","",IFERROR(AVERAGEIFS(DATOS!$K$2:$K$20000,DATOS!$A$2:$A$20000,Y270,DATOS!$G$2:$G$20000,CONFIG_METADATA!$B$4,DATOS!$I$2:$I$20000,"Análisis"),"")))</f>
        <v/>
      </c>
      <c r="AA270" t="str">
        <f>IF(Y270="","",IF(Y270="[FÓRMULA MANUAL]","",IFERROR(AVERAGEIFS(DATOS!$K$2:$K$20000,DATOS!$A$2:$A$20000,Y270,DATOS!$G$2:$G$20000,CONFIG_METADATA!$B$4,DATOS!$I$2:$I$20000,"Orquesta/Banda/Conjunto"),"")))</f>
        <v/>
      </c>
      <c r="AB270" t="str">
        <f>IF(Y270="","",IF(Y270="[FÓRMULA MANUAL]","",IFERROR(AVERAGEIFS(DATOS!$K$2:$K$20000,DATOS!$A$2:$A$20000,Y270,DATOS!$G$2:$G$20000,CONFIG_METADATA!$B$4,DATOS!$I$2:$I$20000,"Música de Cámara"),"")))</f>
        <v/>
      </c>
      <c r="AC270" t="str">
        <f>IF(Y270="","",IF(Y270="[FÓRMULA MANUAL]","",IFERROR(SUMPRODUCT((DATOS!$A$2:$A$20000=Y270)*(DATOS!$G$2:$G$20000=CONFIG_METADATA!$B$4)*(COUNTIF(CONFIG_ASIGNATURAS!$B$7:$B$27,DATOS!$I$2:$I$20000)&gt;0)*(DATOS!$K$2:$K$20000))/SUMPRODUCT((DATOS!$A$2:$A$20000=Y270)*(DATOS!$G$2:$G$20000=CONFIG_METADATA!$B$4)*(COUNTIF(CONFIG_ASIGNATURAS!$B$7:$B$27,DATOS!$I$2:$I$20000)&gt;0)*1),"")))</f>
        <v/>
      </c>
      <c r="AF270" t="str">
        <f>IF(AE270="","",IF(AE270="[FÓRMULA MANUAL]","",IFERROR(AVERAGEIFS(DATOS!$K$2:$K$20000,DATOS!$A$2:$A$20000,AE270,DATOS!$G$2:$G$20000,CONFIG_METADATA!$B$4,DATOS!$I$2:$I$20000,"Análisis"),"")))</f>
        <v/>
      </c>
      <c r="AG270" t="str">
        <f>IF(AE270="","",IF(AE270="[FÓRMULA MANUAL]","",IFERROR(AVERAGEIFS(DATOS!$K$2:$K$20000,DATOS!$A$2:$A$20000,AE270,DATOS!$G$2:$G$20000,CONFIG_METADATA!$B$4,DATOS!$I$2:$I$20000,"Orquesta/Banda/Conjunto"),"")))</f>
        <v/>
      </c>
      <c r="AH270" t="str">
        <f>IF(AE270="","",IF(AE270="[FÓRMULA MANUAL]","",IFERROR(AVERAGEIFS(DATOS!$K$2:$K$20000,DATOS!$A$2:$A$20000,AE270,DATOS!$G$2:$G$20000,CONFIG_METADATA!$B$4,DATOS!$I$2:$I$20000,"Música de Cámara"),"")))</f>
        <v/>
      </c>
      <c r="AI270" t="str">
        <f>IF(AE270="","",IF(AE270="[FÓRMULA MANUAL]","",IFERROR(SUMPRODUCT((DATOS!$A$2:$A$20000=AE270)*(DATOS!$G$2:$G$20000=CONFIG_METADATA!$B$4)*(COUNTIF(CONFIG_ASIGNATURAS!$B$7:$B$27,DATOS!$I$2:$I$20000)&gt;0)*(DATOS!$K$2:$K$20000))/SUMPRODUCT((DATOS!$A$2:$A$20000=AE270)*(DATOS!$G$2:$G$20000=CONFIG_METADATA!$B$4)*(COUNTIF(CONFIG_ASIGNATURAS!$B$7:$B$27,DATOS!$I$2:$I$20000)&gt;0)*1),"")))</f>
        <v/>
      </c>
    </row>
    <row r="271" spans="2:35" x14ac:dyDescent="0.2">
      <c r="B271" t="str">
        <f>IF(A271="","",IF(A271="[FÓRMULA MANUAL]","",IFERROR(AVERAGEIFS(DATOS!$K$2:$K$20000,DATOS!$A$2:$A$20000,A271,DATOS!$G$2:$G$20000,CONFIG_METADATA!$B$4,DATOS!$I$2:$I$20000,"Lenguaje Musical"),"")))</f>
        <v/>
      </c>
      <c r="C271" t="str">
        <f>IF(A271="","",IF(A271="[FÓRMULA MANUAL]","",IFERROR(AVERAGEIFS(DATOS!$K$2:$K$20000,DATOS!$A$2:$A$20000,A271,DATOS!$G$2:$G$20000,CONFIG_METADATA!$B$4,DATOS!$I$2:$I$20000,"Orquesta/Banda/Conjunto"),"")))</f>
        <v/>
      </c>
      <c r="D271" t="str">
        <f>IF(A271="","",IF(A271="[FÓRMULA MANUAL]","",IFERROR(AVERAGEIFS(DATOS!$K$2:$K$20000,DATOS!$A$2:$A$20000,A271,DATOS!$G$2:$G$20000,CONFIG_METADATA!$B$4,DATOS!$I$2:$I$20000,"Conjunto"),"")))</f>
        <v/>
      </c>
      <c r="E271" t="str">
        <f>IF(A271="","",IF(A271="[FÓRMULA MANUAL]","",IFERROR(SUMPRODUCT((DATOS!$A$2:$A$20000=A271)*(DATOS!$G$2:$G$20000=CONFIG_METADATA!$B$4)*(COUNTIF(CONFIG_ASIGNATURAS!$B$7:$B$27,DATOS!$I$2:$I$20000)&gt;0)*(DATOS!$K$2:$K$20000))/SUMPRODUCT((DATOS!$A$2:$A$20000=A271)*(DATOS!$G$2:$G$20000=CONFIG_METADATA!$B$4)*(COUNTIF(CONFIG_ASIGNATURAS!$B$7:$B$27,DATOS!$I$2:$I$20000)&gt;0)*1),"")))</f>
        <v/>
      </c>
      <c r="H271" t="str">
        <f>IF(G271="","",IF(G271="[FÓRMULA MANUAL]","",IFERROR(AVERAGEIFS(DATOS!$K$2:$K$20000,DATOS!$A$2:$A$20000,G271,DATOS!$G$2:$G$20000,CONFIG_METADATA!$B$4,DATOS!$I$2:$I$20000,"Lenguaje Musical"),"")))</f>
        <v/>
      </c>
      <c r="I271" t="str">
        <f>IF(G271="","",IF(G271="[FÓRMULA MANUAL]","",IFERROR(AVERAGEIFS(DATOS!$K$2:$K$20000,DATOS!$A$2:$A$20000,G271,DATOS!$G$2:$G$20000,CONFIG_METADATA!$B$4,DATOS!$I$2:$I$20000,"Orquesta/Banda/Conjunto"),"")))</f>
        <v/>
      </c>
      <c r="J271" t="str">
        <f>IF(G271="","",IF(G271="[FÓRMULA MANUAL]","",IFERROR(AVERAGEIFS(DATOS!$K$2:$K$20000,DATOS!$A$2:$A$20000,G271,DATOS!$G$2:$G$20000,CONFIG_METADATA!$B$4,DATOS!$I$2:$I$20000,"Conjunto"),"")))</f>
        <v/>
      </c>
      <c r="K271" t="str">
        <f>IF(G271="","",IF(G271="[FÓRMULA MANUAL]","",IFERROR(SUMPRODUCT((DATOS!$A$2:$A$20000=G271)*(DATOS!$G$2:$G$20000=CONFIG_METADATA!$B$4)*(COUNTIF(CONFIG_ASIGNATURAS!$B$7:$B$27,DATOS!$I$2:$I$20000)&gt;0)*(DATOS!$K$2:$K$20000))/SUMPRODUCT((DATOS!$A$2:$A$20000=G271)*(DATOS!$G$2:$G$20000=CONFIG_METADATA!$B$4)*(COUNTIF(CONFIG_ASIGNATURAS!$B$7:$B$27,DATOS!$I$2:$I$20000)&gt;0)*1),"")))</f>
        <v/>
      </c>
      <c r="N271" t="str">
        <f>IF(M271="","",IF(M271="[FÓRMULA MANUAL]","",IFERROR(AVERAGEIFS(DATOS!$K$2:$K$20000,DATOS!$A$2:$A$20000,M271,DATOS!$G$2:$G$20000,CONFIG_METADATA!$B$4,DATOS!$I$2:$I$20000,"Armonía"),"")))</f>
        <v/>
      </c>
      <c r="O271" t="str">
        <f>IF(M271="","",IF(M271="[FÓRMULA MANUAL]","",IFERROR(AVERAGEIFS(DATOS!$K$2:$K$20000,DATOS!$A$2:$A$20000,M271,DATOS!$G$2:$G$20000,CONFIG_METADATA!$B$4,DATOS!$I$2:$I$20000,"Orquesta/Banda/Conjunto"),"")))</f>
        <v/>
      </c>
      <c r="P271" t="str">
        <f>IF(M271="","",IF(M271="[FÓRMULA MANUAL]","",IFERROR(AVERAGEIFS(DATOS!$K$2:$K$20000,DATOS!$A$2:$A$20000,M271,DATOS!$G$2:$G$20000,CONFIG_METADATA!$B$4,DATOS!$I$2:$I$20000,"Música de Cámara"),"")))</f>
        <v/>
      </c>
      <c r="Q271" t="str">
        <f>IF(M271="","",IF(M271="[FÓRMULA MANUAL]","",IFERROR(SUMPRODUCT((DATOS!$A$2:$A$20000=M271)*(DATOS!$G$2:$G$20000=CONFIG_METADATA!$B$4)*(COUNTIF(CONFIG_ASIGNATURAS!$B$7:$B$27,DATOS!$I$2:$I$20000)&gt;0)*(DATOS!$K$2:$K$20000))/SUMPRODUCT((DATOS!$A$2:$A$20000=M271)*(DATOS!$G$2:$G$20000=CONFIG_METADATA!$B$4)*(COUNTIF(CONFIG_ASIGNATURAS!$B$7:$B$27,DATOS!$I$2:$I$20000)&gt;0)*1),"")))</f>
        <v/>
      </c>
      <c r="T271" t="str">
        <f>IF(S271="","",IF(S271="[FÓRMULA MANUAL]","",IFERROR(AVERAGEIFS(DATOS!$K$2:$K$20000,DATOS!$A$2:$A$20000,S271,DATOS!$G$2:$G$20000,CONFIG_METADATA!$B$4,DATOS!$I$2:$I$20000,"Armonía"),"")))</f>
        <v/>
      </c>
      <c r="U271" t="str">
        <f>IF(S271="","",IF(S271="[FÓRMULA MANUAL]","",IFERROR(AVERAGEIFS(DATOS!$K$2:$K$20000,DATOS!$A$2:$A$20000,S271,DATOS!$G$2:$G$20000,CONFIG_METADATA!$B$4,DATOS!$I$2:$I$20000,"Orquesta/Banda/Conjunto"),"")))</f>
        <v/>
      </c>
      <c r="V271" t="str">
        <f>IF(S271="","",IF(S271="[FÓRMULA MANUAL]","",IFERROR(AVERAGEIFS(DATOS!$K$2:$K$20000,DATOS!$A$2:$A$20000,S271,DATOS!$G$2:$G$20000,CONFIG_METADATA!$B$4,DATOS!$I$2:$I$20000,"Música de Cámara"),"")))</f>
        <v/>
      </c>
      <c r="W271" t="str">
        <f>IF(S271="","",IF(S271="[FÓRMULA MANUAL]","",IFERROR(SUMPRODUCT((DATOS!$A$2:$A$20000=S271)*(DATOS!$G$2:$G$20000=CONFIG_METADATA!$B$4)*(COUNTIF(CONFIG_ASIGNATURAS!$B$7:$B$27,DATOS!$I$2:$I$20000)&gt;0)*(DATOS!$K$2:$K$20000))/SUMPRODUCT((DATOS!$A$2:$A$20000=S271)*(DATOS!$G$2:$G$20000=CONFIG_METADATA!$B$4)*(COUNTIF(CONFIG_ASIGNATURAS!$B$7:$B$27,DATOS!$I$2:$I$20000)&gt;0)*1),"")))</f>
        <v/>
      </c>
      <c r="Z271" t="str">
        <f>IF(Y271="","",IF(Y271="[FÓRMULA MANUAL]","",IFERROR(AVERAGEIFS(DATOS!$K$2:$K$20000,DATOS!$A$2:$A$20000,Y271,DATOS!$G$2:$G$20000,CONFIG_METADATA!$B$4,DATOS!$I$2:$I$20000,"Análisis"),"")))</f>
        <v/>
      </c>
      <c r="AA271" t="str">
        <f>IF(Y271="","",IF(Y271="[FÓRMULA MANUAL]","",IFERROR(AVERAGEIFS(DATOS!$K$2:$K$20000,DATOS!$A$2:$A$20000,Y271,DATOS!$G$2:$G$20000,CONFIG_METADATA!$B$4,DATOS!$I$2:$I$20000,"Orquesta/Banda/Conjunto"),"")))</f>
        <v/>
      </c>
      <c r="AB271" t="str">
        <f>IF(Y271="","",IF(Y271="[FÓRMULA MANUAL]","",IFERROR(AVERAGEIFS(DATOS!$K$2:$K$20000,DATOS!$A$2:$A$20000,Y271,DATOS!$G$2:$G$20000,CONFIG_METADATA!$B$4,DATOS!$I$2:$I$20000,"Música de Cámara"),"")))</f>
        <v/>
      </c>
      <c r="AC271" t="str">
        <f>IF(Y271="","",IF(Y271="[FÓRMULA MANUAL]","",IFERROR(SUMPRODUCT((DATOS!$A$2:$A$20000=Y271)*(DATOS!$G$2:$G$20000=CONFIG_METADATA!$B$4)*(COUNTIF(CONFIG_ASIGNATURAS!$B$7:$B$27,DATOS!$I$2:$I$20000)&gt;0)*(DATOS!$K$2:$K$20000))/SUMPRODUCT((DATOS!$A$2:$A$20000=Y271)*(DATOS!$G$2:$G$20000=CONFIG_METADATA!$B$4)*(COUNTIF(CONFIG_ASIGNATURAS!$B$7:$B$27,DATOS!$I$2:$I$20000)&gt;0)*1),"")))</f>
        <v/>
      </c>
      <c r="AF271" t="str">
        <f>IF(AE271="","",IF(AE271="[FÓRMULA MANUAL]","",IFERROR(AVERAGEIFS(DATOS!$K$2:$K$20000,DATOS!$A$2:$A$20000,AE271,DATOS!$G$2:$G$20000,CONFIG_METADATA!$B$4,DATOS!$I$2:$I$20000,"Análisis"),"")))</f>
        <v/>
      </c>
      <c r="AG271" t="str">
        <f>IF(AE271="","",IF(AE271="[FÓRMULA MANUAL]","",IFERROR(AVERAGEIFS(DATOS!$K$2:$K$20000,DATOS!$A$2:$A$20000,AE271,DATOS!$G$2:$G$20000,CONFIG_METADATA!$B$4,DATOS!$I$2:$I$20000,"Orquesta/Banda/Conjunto"),"")))</f>
        <v/>
      </c>
      <c r="AH271" t="str">
        <f>IF(AE271="","",IF(AE271="[FÓRMULA MANUAL]","",IFERROR(AVERAGEIFS(DATOS!$K$2:$K$20000,DATOS!$A$2:$A$20000,AE271,DATOS!$G$2:$G$20000,CONFIG_METADATA!$B$4,DATOS!$I$2:$I$20000,"Música de Cámara"),"")))</f>
        <v/>
      </c>
      <c r="AI271" t="str">
        <f>IF(AE271="","",IF(AE271="[FÓRMULA MANUAL]","",IFERROR(SUMPRODUCT((DATOS!$A$2:$A$20000=AE271)*(DATOS!$G$2:$G$20000=CONFIG_METADATA!$B$4)*(COUNTIF(CONFIG_ASIGNATURAS!$B$7:$B$27,DATOS!$I$2:$I$20000)&gt;0)*(DATOS!$K$2:$K$20000))/SUMPRODUCT((DATOS!$A$2:$A$20000=AE271)*(DATOS!$G$2:$G$20000=CONFIG_METADATA!$B$4)*(COUNTIF(CONFIG_ASIGNATURAS!$B$7:$B$27,DATOS!$I$2:$I$20000)&gt;0)*1),"")))</f>
        <v/>
      </c>
    </row>
    <row r="272" spans="2:35" x14ac:dyDescent="0.2">
      <c r="B272" t="str">
        <f>IF(A272="","",IF(A272="[FÓRMULA MANUAL]","",IFERROR(AVERAGEIFS(DATOS!$K$2:$K$20000,DATOS!$A$2:$A$20000,A272,DATOS!$G$2:$G$20000,CONFIG_METADATA!$B$4,DATOS!$I$2:$I$20000,"Lenguaje Musical"),"")))</f>
        <v/>
      </c>
      <c r="C272" t="str">
        <f>IF(A272="","",IF(A272="[FÓRMULA MANUAL]","",IFERROR(AVERAGEIFS(DATOS!$K$2:$K$20000,DATOS!$A$2:$A$20000,A272,DATOS!$G$2:$G$20000,CONFIG_METADATA!$B$4,DATOS!$I$2:$I$20000,"Orquesta/Banda/Conjunto"),"")))</f>
        <v/>
      </c>
      <c r="D272" t="str">
        <f>IF(A272="","",IF(A272="[FÓRMULA MANUAL]","",IFERROR(AVERAGEIFS(DATOS!$K$2:$K$20000,DATOS!$A$2:$A$20000,A272,DATOS!$G$2:$G$20000,CONFIG_METADATA!$B$4,DATOS!$I$2:$I$20000,"Conjunto"),"")))</f>
        <v/>
      </c>
      <c r="E272" t="str">
        <f>IF(A272="","",IF(A272="[FÓRMULA MANUAL]","",IFERROR(SUMPRODUCT((DATOS!$A$2:$A$20000=A272)*(DATOS!$G$2:$G$20000=CONFIG_METADATA!$B$4)*(COUNTIF(CONFIG_ASIGNATURAS!$B$7:$B$27,DATOS!$I$2:$I$20000)&gt;0)*(DATOS!$K$2:$K$20000))/SUMPRODUCT((DATOS!$A$2:$A$20000=A272)*(DATOS!$G$2:$G$20000=CONFIG_METADATA!$B$4)*(COUNTIF(CONFIG_ASIGNATURAS!$B$7:$B$27,DATOS!$I$2:$I$20000)&gt;0)*1),"")))</f>
        <v/>
      </c>
      <c r="H272" t="str">
        <f>IF(G272="","",IF(G272="[FÓRMULA MANUAL]","",IFERROR(AVERAGEIFS(DATOS!$K$2:$K$20000,DATOS!$A$2:$A$20000,G272,DATOS!$G$2:$G$20000,CONFIG_METADATA!$B$4,DATOS!$I$2:$I$20000,"Lenguaje Musical"),"")))</f>
        <v/>
      </c>
      <c r="I272" t="str">
        <f>IF(G272="","",IF(G272="[FÓRMULA MANUAL]","",IFERROR(AVERAGEIFS(DATOS!$K$2:$K$20000,DATOS!$A$2:$A$20000,G272,DATOS!$G$2:$G$20000,CONFIG_METADATA!$B$4,DATOS!$I$2:$I$20000,"Orquesta/Banda/Conjunto"),"")))</f>
        <v/>
      </c>
      <c r="J272" t="str">
        <f>IF(G272="","",IF(G272="[FÓRMULA MANUAL]","",IFERROR(AVERAGEIFS(DATOS!$K$2:$K$20000,DATOS!$A$2:$A$20000,G272,DATOS!$G$2:$G$20000,CONFIG_METADATA!$B$4,DATOS!$I$2:$I$20000,"Conjunto"),"")))</f>
        <v/>
      </c>
      <c r="K272" t="str">
        <f>IF(G272="","",IF(G272="[FÓRMULA MANUAL]","",IFERROR(SUMPRODUCT((DATOS!$A$2:$A$20000=G272)*(DATOS!$G$2:$G$20000=CONFIG_METADATA!$B$4)*(COUNTIF(CONFIG_ASIGNATURAS!$B$7:$B$27,DATOS!$I$2:$I$20000)&gt;0)*(DATOS!$K$2:$K$20000))/SUMPRODUCT((DATOS!$A$2:$A$20000=G272)*(DATOS!$G$2:$G$20000=CONFIG_METADATA!$B$4)*(COUNTIF(CONFIG_ASIGNATURAS!$B$7:$B$27,DATOS!$I$2:$I$20000)&gt;0)*1),"")))</f>
        <v/>
      </c>
      <c r="N272" t="str">
        <f>IF(M272="","",IF(M272="[FÓRMULA MANUAL]","",IFERROR(AVERAGEIFS(DATOS!$K$2:$K$20000,DATOS!$A$2:$A$20000,M272,DATOS!$G$2:$G$20000,CONFIG_METADATA!$B$4,DATOS!$I$2:$I$20000,"Armonía"),"")))</f>
        <v/>
      </c>
      <c r="O272" t="str">
        <f>IF(M272="","",IF(M272="[FÓRMULA MANUAL]","",IFERROR(AVERAGEIFS(DATOS!$K$2:$K$20000,DATOS!$A$2:$A$20000,M272,DATOS!$G$2:$G$20000,CONFIG_METADATA!$B$4,DATOS!$I$2:$I$20000,"Orquesta/Banda/Conjunto"),"")))</f>
        <v/>
      </c>
      <c r="P272" t="str">
        <f>IF(M272="","",IF(M272="[FÓRMULA MANUAL]","",IFERROR(AVERAGEIFS(DATOS!$K$2:$K$20000,DATOS!$A$2:$A$20000,M272,DATOS!$G$2:$G$20000,CONFIG_METADATA!$B$4,DATOS!$I$2:$I$20000,"Música de Cámara"),"")))</f>
        <v/>
      </c>
      <c r="Q272" t="str">
        <f>IF(M272="","",IF(M272="[FÓRMULA MANUAL]","",IFERROR(SUMPRODUCT((DATOS!$A$2:$A$20000=M272)*(DATOS!$G$2:$G$20000=CONFIG_METADATA!$B$4)*(COUNTIF(CONFIG_ASIGNATURAS!$B$7:$B$27,DATOS!$I$2:$I$20000)&gt;0)*(DATOS!$K$2:$K$20000))/SUMPRODUCT((DATOS!$A$2:$A$20000=M272)*(DATOS!$G$2:$G$20000=CONFIG_METADATA!$B$4)*(COUNTIF(CONFIG_ASIGNATURAS!$B$7:$B$27,DATOS!$I$2:$I$20000)&gt;0)*1),"")))</f>
        <v/>
      </c>
      <c r="T272" t="str">
        <f>IF(S272="","",IF(S272="[FÓRMULA MANUAL]","",IFERROR(AVERAGEIFS(DATOS!$K$2:$K$20000,DATOS!$A$2:$A$20000,S272,DATOS!$G$2:$G$20000,CONFIG_METADATA!$B$4,DATOS!$I$2:$I$20000,"Armonía"),"")))</f>
        <v/>
      </c>
      <c r="U272" t="str">
        <f>IF(S272="","",IF(S272="[FÓRMULA MANUAL]","",IFERROR(AVERAGEIFS(DATOS!$K$2:$K$20000,DATOS!$A$2:$A$20000,S272,DATOS!$G$2:$G$20000,CONFIG_METADATA!$B$4,DATOS!$I$2:$I$20000,"Orquesta/Banda/Conjunto"),"")))</f>
        <v/>
      </c>
      <c r="V272" t="str">
        <f>IF(S272="","",IF(S272="[FÓRMULA MANUAL]","",IFERROR(AVERAGEIFS(DATOS!$K$2:$K$20000,DATOS!$A$2:$A$20000,S272,DATOS!$G$2:$G$20000,CONFIG_METADATA!$B$4,DATOS!$I$2:$I$20000,"Música de Cámara"),"")))</f>
        <v/>
      </c>
      <c r="W272" t="str">
        <f>IF(S272="","",IF(S272="[FÓRMULA MANUAL]","",IFERROR(SUMPRODUCT((DATOS!$A$2:$A$20000=S272)*(DATOS!$G$2:$G$20000=CONFIG_METADATA!$B$4)*(COUNTIF(CONFIG_ASIGNATURAS!$B$7:$B$27,DATOS!$I$2:$I$20000)&gt;0)*(DATOS!$K$2:$K$20000))/SUMPRODUCT((DATOS!$A$2:$A$20000=S272)*(DATOS!$G$2:$G$20000=CONFIG_METADATA!$B$4)*(COUNTIF(CONFIG_ASIGNATURAS!$B$7:$B$27,DATOS!$I$2:$I$20000)&gt;0)*1),"")))</f>
        <v/>
      </c>
      <c r="Z272" t="str">
        <f>IF(Y272="","",IF(Y272="[FÓRMULA MANUAL]","",IFERROR(AVERAGEIFS(DATOS!$K$2:$K$20000,DATOS!$A$2:$A$20000,Y272,DATOS!$G$2:$G$20000,CONFIG_METADATA!$B$4,DATOS!$I$2:$I$20000,"Análisis"),"")))</f>
        <v/>
      </c>
      <c r="AA272" t="str">
        <f>IF(Y272="","",IF(Y272="[FÓRMULA MANUAL]","",IFERROR(AVERAGEIFS(DATOS!$K$2:$K$20000,DATOS!$A$2:$A$20000,Y272,DATOS!$G$2:$G$20000,CONFIG_METADATA!$B$4,DATOS!$I$2:$I$20000,"Orquesta/Banda/Conjunto"),"")))</f>
        <v/>
      </c>
      <c r="AB272" t="str">
        <f>IF(Y272="","",IF(Y272="[FÓRMULA MANUAL]","",IFERROR(AVERAGEIFS(DATOS!$K$2:$K$20000,DATOS!$A$2:$A$20000,Y272,DATOS!$G$2:$G$20000,CONFIG_METADATA!$B$4,DATOS!$I$2:$I$20000,"Música de Cámara"),"")))</f>
        <v/>
      </c>
      <c r="AC272" t="str">
        <f>IF(Y272="","",IF(Y272="[FÓRMULA MANUAL]","",IFERROR(SUMPRODUCT((DATOS!$A$2:$A$20000=Y272)*(DATOS!$G$2:$G$20000=CONFIG_METADATA!$B$4)*(COUNTIF(CONFIG_ASIGNATURAS!$B$7:$B$27,DATOS!$I$2:$I$20000)&gt;0)*(DATOS!$K$2:$K$20000))/SUMPRODUCT((DATOS!$A$2:$A$20000=Y272)*(DATOS!$G$2:$G$20000=CONFIG_METADATA!$B$4)*(COUNTIF(CONFIG_ASIGNATURAS!$B$7:$B$27,DATOS!$I$2:$I$20000)&gt;0)*1),"")))</f>
        <v/>
      </c>
      <c r="AF272" t="str">
        <f>IF(AE272="","",IF(AE272="[FÓRMULA MANUAL]","",IFERROR(AVERAGEIFS(DATOS!$K$2:$K$20000,DATOS!$A$2:$A$20000,AE272,DATOS!$G$2:$G$20000,CONFIG_METADATA!$B$4,DATOS!$I$2:$I$20000,"Análisis"),"")))</f>
        <v/>
      </c>
      <c r="AG272" t="str">
        <f>IF(AE272="","",IF(AE272="[FÓRMULA MANUAL]","",IFERROR(AVERAGEIFS(DATOS!$K$2:$K$20000,DATOS!$A$2:$A$20000,AE272,DATOS!$G$2:$G$20000,CONFIG_METADATA!$B$4,DATOS!$I$2:$I$20000,"Orquesta/Banda/Conjunto"),"")))</f>
        <v/>
      </c>
      <c r="AH272" t="str">
        <f>IF(AE272="","",IF(AE272="[FÓRMULA MANUAL]","",IFERROR(AVERAGEIFS(DATOS!$K$2:$K$20000,DATOS!$A$2:$A$20000,AE272,DATOS!$G$2:$G$20000,CONFIG_METADATA!$B$4,DATOS!$I$2:$I$20000,"Música de Cámara"),"")))</f>
        <v/>
      </c>
      <c r="AI272" t="str">
        <f>IF(AE272="","",IF(AE272="[FÓRMULA MANUAL]","",IFERROR(SUMPRODUCT((DATOS!$A$2:$A$20000=AE272)*(DATOS!$G$2:$G$20000=CONFIG_METADATA!$B$4)*(COUNTIF(CONFIG_ASIGNATURAS!$B$7:$B$27,DATOS!$I$2:$I$20000)&gt;0)*(DATOS!$K$2:$K$20000))/SUMPRODUCT((DATOS!$A$2:$A$20000=AE272)*(DATOS!$G$2:$G$20000=CONFIG_METADATA!$B$4)*(COUNTIF(CONFIG_ASIGNATURAS!$B$7:$B$27,DATOS!$I$2:$I$20000)&gt;0)*1),"")))</f>
        <v/>
      </c>
    </row>
    <row r="273" spans="2:35" x14ac:dyDescent="0.2">
      <c r="B273" t="str">
        <f>IF(A273="","",IF(A273="[FÓRMULA MANUAL]","",IFERROR(AVERAGEIFS(DATOS!$K$2:$K$20000,DATOS!$A$2:$A$20000,A273,DATOS!$G$2:$G$20000,CONFIG_METADATA!$B$4,DATOS!$I$2:$I$20000,"Lenguaje Musical"),"")))</f>
        <v/>
      </c>
      <c r="C273" t="str">
        <f>IF(A273="","",IF(A273="[FÓRMULA MANUAL]","",IFERROR(AVERAGEIFS(DATOS!$K$2:$K$20000,DATOS!$A$2:$A$20000,A273,DATOS!$G$2:$G$20000,CONFIG_METADATA!$B$4,DATOS!$I$2:$I$20000,"Orquesta/Banda/Conjunto"),"")))</f>
        <v/>
      </c>
      <c r="D273" t="str">
        <f>IF(A273="","",IF(A273="[FÓRMULA MANUAL]","",IFERROR(AVERAGEIFS(DATOS!$K$2:$K$20000,DATOS!$A$2:$A$20000,A273,DATOS!$G$2:$G$20000,CONFIG_METADATA!$B$4,DATOS!$I$2:$I$20000,"Conjunto"),"")))</f>
        <v/>
      </c>
      <c r="E273" t="str">
        <f>IF(A273="","",IF(A273="[FÓRMULA MANUAL]","",IFERROR(SUMPRODUCT((DATOS!$A$2:$A$20000=A273)*(DATOS!$G$2:$G$20000=CONFIG_METADATA!$B$4)*(COUNTIF(CONFIG_ASIGNATURAS!$B$7:$B$27,DATOS!$I$2:$I$20000)&gt;0)*(DATOS!$K$2:$K$20000))/SUMPRODUCT((DATOS!$A$2:$A$20000=A273)*(DATOS!$G$2:$G$20000=CONFIG_METADATA!$B$4)*(COUNTIF(CONFIG_ASIGNATURAS!$B$7:$B$27,DATOS!$I$2:$I$20000)&gt;0)*1),"")))</f>
        <v/>
      </c>
      <c r="H273" t="str">
        <f>IF(G273="","",IF(G273="[FÓRMULA MANUAL]","",IFERROR(AVERAGEIFS(DATOS!$K$2:$K$20000,DATOS!$A$2:$A$20000,G273,DATOS!$G$2:$G$20000,CONFIG_METADATA!$B$4,DATOS!$I$2:$I$20000,"Lenguaje Musical"),"")))</f>
        <v/>
      </c>
      <c r="I273" t="str">
        <f>IF(G273="","",IF(G273="[FÓRMULA MANUAL]","",IFERROR(AVERAGEIFS(DATOS!$K$2:$K$20000,DATOS!$A$2:$A$20000,G273,DATOS!$G$2:$G$20000,CONFIG_METADATA!$B$4,DATOS!$I$2:$I$20000,"Orquesta/Banda/Conjunto"),"")))</f>
        <v/>
      </c>
      <c r="J273" t="str">
        <f>IF(G273="","",IF(G273="[FÓRMULA MANUAL]","",IFERROR(AVERAGEIFS(DATOS!$K$2:$K$20000,DATOS!$A$2:$A$20000,G273,DATOS!$G$2:$G$20000,CONFIG_METADATA!$B$4,DATOS!$I$2:$I$20000,"Conjunto"),"")))</f>
        <v/>
      </c>
      <c r="K273" t="str">
        <f>IF(G273="","",IF(G273="[FÓRMULA MANUAL]","",IFERROR(SUMPRODUCT((DATOS!$A$2:$A$20000=G273)*(DATOS!$G$2:$G$20000=CONFIG_METADATA!$B$4)*(COUNTIF(CONFIG_ASIGNATURAS!$B$7:$B$27,DATOS!$I$2:$I$20000)&gt;0)*(DATOS!$K$2:$K$20000))/SUMPRODUCT((DATOS!$A$2:$A$20000=G273)*(DATOS!$G$2:$G$20000=CONFIG_METADATA!$B$4)*(COUNTIF(CONFIG_ASIGNATURAS!$B$7:$B$27,DATOS!$I$2:$I$20000)&gt;0)*1),"")))</f>
        <v/>
      </c>
      <c r="N273" t="str">
        <f>IF(M273="","",IF(M273="[FÓRMULA MANUAL]","",IFERROR(AVERAGEIFS(DATOS!$K$2:$K$20000,DATOS!$A$2:$A$20000,M273,DATOS!$G$2:$G$20000,CONFIG_METADATA!$B$4,DATOS!$I$2:$I$20000,"Armonía"),"")))</f>
        <v/>
      </c>
      <c r="O273" t="str">
        <f>IF(M273="","",IF(M273="[FÓRMULA MANUAL]","",IFERROR(AVERAGEIFS(DATOS!$K$2:$K$20000,DATOS!$A$2:$A$20000,M273,DATOS!$G$2:$G$20000,CONFIG_METADATA!$B$4,DATOS!$I$2:$I$20000,"Orquesta/Banda/Conjunto"),"")))</f>
        <v/>
      </c>
      <c r="P273" t="str">
        <f>IF(M273="","",IF(M273="[FÓRMULA MANUAL]","",IFERROR(AVERAGEIFS(DATOS!$K$2:$K$20000,DATOS!$A$2:$A$20000,M273,DATOS!$G$2:$G$20000,CONFIG_METADATA!$B$4,DATOS!$I$2:$I$20000,"Música de Cámara"),"")))</f>
        <v/>
      </c>
      <c r="Q273" t="str">
        <f>IF(M273="","",IF(M273="[FÓRMULA MANUAL]","",IFERROR(SUMPRODUCT((DATOS!$A$2:$A$20000=M273)*(DATOS!$G$2:$G$20000=CONFIG_METADATA!$B$4)*(COUNTIF(CONFIG_ASIGNATURAS!$B$7:$B$27,DATOS!$I$2:$I$20000)&gt;0)*(DATOS!$K$2:$K$20000))/SUMPRODUCT((DATOS!$A$2:$A$20000=M273)*(DATOS!$G$2:$G$20000=CONFIG_METADATA!$B$4)*(COUNTIF(CONFIG_ASIGNATURAS!$B$7:$B$27,DATOS!$I$2:$I$20000)&gt;0)*1),"")))</f>
        <v/>
      </c>
      <c r="T273" t="str">
        <f>IF(S273="","",IF(S273="[FÓRMULA MANUAL]","",IFERROR(AVERAGEIFS(DATOS!$K$2:$K$20000,DATOS!$A$2:$A$20000,S273,DATOS!$G$2:$G$20000,CONFIG_METADATA!$B$4,DATOS!$I$2:$I$20000,"Armonía"),"")))</f>
        <v/>
      </c>
      <c r="U273" t="str">
        <f>IF(S273="","",IF(S273="[FÓRMULA MANUAL]","",IFERROR(AVERAGEIFS(DATOS!$K$2:$K$20000,DATOS!$A$2:$A$20000,S273,DATOS!$G$2:$G$20000,CONFIG_METADATA!$B$4,DATOS!$I$2:$I$20000,"Orquesta/Banda/Conjunto"),"")))</f>
        <v/>
      </c>
      <c r="V273" t="str">
        <f>IF(S273="","",IF(S273="[FÓRMULA MANUAL]","",IFERROR(AVERAGEIFS(DATOS!$K$2:$K$20000,DATOS!$A$2:$A$20000,S273,DATOS!$G$2:$G$20000,CONFIG_METADATA!$B$4,DATOS!$I$2:$I$20000,"Música de Cámara"),"")))</f>
        <v/>
      </c>
      <c r="W273" t="str">
        <f>IF(S273="","",IF(S273="[FÓRMULA MANUAL]","",IFERROR(SUMPRODUCT((DATOS!$A$2:$A$20000=S273)*(DATOS!$G$2:$G$20000=CONFIG_METADATA!$B$4)*(COUNTIF(CONFIG_ASIGNATURAS!$B$7:$B$27,DATOS!$I$2:$I$20000)&gt;0)*(DATOS!$K$2:$K$20000))/SUMPRODUCT((DATOS!$A$2:$A$20000=S273)*(DATOS!$G$2:$G$20000=CONFIG_METADATA!$B$4)*(COUNTIF(CONFIG_ASIGNATURAS!$B$7:$B$27,DATOS!$I$2:$I$20000)&gt;0)*1),"")))</f>
        <v/>
      </c>
      <c r="Z273" t="str">
        <f>IF(Y273="","",IF(Y273="[FÓRMULA MANUAL]","",IFERROR(AVERAGEIFS(DATOS!$K$2:$K$20000,DATOS!$A$2:$A$20000,Y273,DATOS!$G$2:$G$20000,CONFIG_METADATA!$B$4,DATOS!$I$2:$I$20000,"Análisis"),"")))</f>
        <v/>
      </c>
      <c r="AA273" t="str">
        <f>IF(Y273="","",IF(Y273="[FÓRMULA MANUAL]","",IFERROR(AVERAGEIFS(DATOS!$K$2:$K$20000,DATOS!$A$2:$A$20000,Y273,DATOS!$G$2:$G$20000,CONFIG_METADATA!$B$4,DATOS!$I$2:$I$20000,"Orquesta/Banda/Conjunto"),"")))</f>
        <v/>
      </c>
      <c r="AB273" t="str">
        <f>IF(Y273="","",IF(Y273="[FÓRMULA MANUAL]","",IFERROR(AVERAGEIFS(DATOS!$K$2:$K$20000,DATOS!$A$2:$A$20000,Y273,DATOS!$G$2:$G$20000,CONFIG_METADATA!$B$4,DATOS!$I$2:$I$20000,"Música de Cámara"),"")))</f>
        <v/>
      </c>
      <c r="AC273" t="str">
        <f>IF(Y273="","",IF(Y273="[FÓRMULA MANUAL]","",IFERROR(SUMPRODUCT((DATOS!$A$2:$A$20000=Y273)*(DATOS!$G$2:$G$20000=CONFIG_METADATA!$B$4)*(COUNTIF(CONFIG_ASIGNATURAS!$B$7:$B$27,DATOS!$I$2:$I$20000)&gt;0)*(DATOS!$K$2:$K$20000))/SUMPRODUCT((DATOS!$A$2:$A$20000=Y273)*(DATOS!$G$2:$G$20000=CONFIG_METADATA!$B$4)*(COUNTIF(CONFIG_ASIGNATURAS!$B$7:$B$27,DATOS!$I$2:$I$20000)&gt;0)*1),"")))</f>
        <v/>
      </c>
      <c r="AF273" t="str">
        <f>IF(AE273="","",IF(AE273="[FÓRMULA MANUAL]","",IFERROR(AVERAGEIFS(DATOS!$K$2:$K$20000,DATOS!$A$2:$A$20000,AE273,DATOS!$G$2:$G$20000,CONFIG_METADATA!$B$4,DATOS!$I$2:$I$20000,"Análisis"),"")))</f>
        <v/>
      </c>
      <c r="AG273" t="str">
        <f>IF(AE273="","",IF(AE273="[FÓRMULA MANUAL]","",IFERROR(AVERAGEIFS(DATOS!$K$2:$K$20000,DATOS!$A$2:$A$20000,AE273,DATOS!$G$2:$G$20000,CONFIG_METADATA!$B$4,DATOS!$I$2:$I$20000,"Orquesta/Banda/Conjunto"),"")))</f>
        <v/>
      </c>
      <c r="AH273" t="str">
        <f>IF(AE273="","",IF(AE273="[FÓRMULA MANUAL]","",IFERROR(AVERAGEIFS(DATOS!$K$2:$K$20000,DATOS!$A$2:$A$20000,AE273,DATOS!$G$2:$G$20000,CONFIG_METADATA!$B$4,DATOS!$I$2:$I$20000,"Música de Cámara"),"")))</f>
        <v/>
      </c>
      <c r="AI273" t="str">
        <f>IF(AE273="","",IF(AE273="[FÓRMULA MANUAL]","",IFERROR(SUMPRODUCT((DATOS!$A$2:$A$20000=AE273)*(DATOS!$G$2:$G$20000=CONFIG_METADATA!$B$4)*(COUNTIF(CONFIG_ASIGNATURAS!$B$7:$B$27,DATOS!$I$2:$I$20000)&gt;0)*(DATOS!$K$2:$K$20000))/SUMPRODUCT((DATOS!$A$2:$A$20000=AE273)*(DATOS!$G$2:$G$20000=CONFIG_METADATA!$B$4)*(COUNTIF(CONFIG_ASIGNATURAS!$B$7:$B$27,DATOS!$I$2:$I$20000)&gt;0)*1),"")))</f>
        <v/>
      </c>
    </row>
    <row r="274" spans="2:35" x14ac:dyDescent="0.2">
      <c r="B274" t="str">
        <f>IF(A274="","",IF(A274="[FÓRMULA MANUAL]","",IFERROR(AVERAGEIFS(DATOS!$K$2:$K$20000,DATOS!$A$2:$A$20000,A274,DATOS!$G$2:$G$20000,CONFIG_METADATA!$B$4,DATOS!$I$2:$I$20000,"Lenguaje Musical"),"")))</f>
        <v/>
      </c>
      <c r="C274" t="str">
        <f>IF(A274="","",IF(A274="[FÓRMULA MANUAL]","",IFERROR(AVERAGEIFS(DATOS!$K$2:$K$20000,DATOS!$A$2:$A$20000,A274,DATOS!$G$2:$G$20000,CONFIG_METADATA!$B$4,DATOS!$I$2:$I$20000,"Orquesta/Banda/Conjunto"),"")))</f>
        <v/>
      </c>
      <c r="D274" t="str">
        <f>IF(A274="","",IF(A274="[FÓRMULA MANUAL]","",IFERROR(AVERAGEIFS(DATOS!$K$2:$K$20000,DATOS!$A$2:$A$20000,A274,DATOS!$G$2:$G$20000,CONFIG_METADATA!$B$4,DATOS!$I$2:$I$20000,"Conjunto"),"")))</f>
        <v/>
      </c>
      <c r="E274" t="str">
        <f>IF(A274="","",IF(A274="[FÓRMULA MANUAL]","",IFERROR(SUMPRODUCT((DATOS!$A$2:$A$20000=A274)*(DATOS!$G$2:$G$20000=CONFIG_METADATA!$B$4)*(COUNTIF(CONFIG_ASIGNATURAS!$B$7:$B$27,DATOS!$I$2:$I$20000)&gt;0)*(DATOS!$K$2:$K$20000))/SUMPRODUCT((DATOS!$A$2:$A$20000=A274)*(DATOS!$G$2:$G$20000=CONFIG_METADATA!$B$4)*(COUNTIF(CONFIG_ASIGNATURAS!$B$7:$B$27,DATOS!$I$2:$I$20000)&gt;0)*1),"")))</f>
        <v/>
      </c>
      <c r="H274" t="str">
        <f>IF(G274="","",IF(G274="[FÓRMULA MANUAL]","",IFERROR(AVERAGEIFS(DATOS!$K$2:$K$20000,DATOS!$A$2:$A$20000,G274,DATOS!$G$2:$G$20000,CONFIG_METADATA!$B$4,DATOS!$I$2:$I$20000,"Lenguaje Musical"),"")))</f>
        <v/>
      </c>
      <c r="I274" t="str">
        <f>IF(G274="","",IF(G274="[FÓRMULA MANUAL]","",IFERROR(AVERAGEIFS(DATOS!$K$2:$K$20000,DATOS!$A$2:$A$20000,G274,DATOS!$G$2:$G$20000,CONFIG_METADATA!$B$4,DATOS!$I$2:$I$20000,"Orquesta/Banda/Conjunto"),"")))</f>
        <v/>
      </c>
      <c r="J274" t="str">
        <f>IF(G274="","",IF(G274="[FÓRMULA MANUAL]","",IFERROR(AVERAGEIFS(DATOS!$K$2:$K$20000,DATOS!$A$2:$A$20000,G274,DATOS!$G$2:$G$20000,CONFIG_METADATA!$B$4,DATOS!$I$2:$I$20000,"Conjunto"),"")))</f>
        <v/>
      </c>
      <c r="K274" t="str">
        <f>IF(G274="","",IF(G274="[FÓRMULA MANUAL]","",IFERROR(SUMPRODUCT((DATOS!$A$2:$A$20000=G274)*(DATOS!$G$2:$G$20000=CONFIG_METADATA!$B$4)*(COUNTIF(CONFIG_ASIGNATURAS!$B$7:$B$27,DATOS!$I$2:$I$20000)&gt;0)*(DATOS!$K$2:$K$20000))/SUMPRODUCT((DATOS!$A$2:$A$20000=G274)*(DATOS!$G$2:$G$20000=CONFIG_METADATA!$B$4)*(COUNTIF(CONFIG_ASIGNATURAS!$B$7:$B$27,DATOS!$I$2:$I$20000)&gt;0)*1),"")))</f>
        <v/>
      </c>
      <c r="N274" t="str">
        <f>IF(M274="","",IF(M274="[FÓRMULA MANUAL]","",IFERROR(AVERAGEIFS(DATOS!$K$2:$K$20000,DATOS!$A$2:$A$20000,M274,DATOS!$G$2:$G$20000,CONFIG_METADATA!$B$4,DATOS!$I$2:$I$20000,"Armonía"),"")))</f>
        <v/>
      </c>
      <c r="O274" t="str">
        <f>IF(M274="","",IF(M274="[FÓRMULA MANUAL]","",IFERROR(AVERAGEIFS(DATOS!$K$2:$K$20000,DATOS!$A$2:$A$20000,M274,DATOS!$G$2:$G$20000,CONFIG_METADATA!$B$4,DATOS!$I$2:$I$20000,"Orquesta/Banda/Conjunto"),"")))</f>
        <v/>
      </c>
      <c r="P274" t="str">
        <f>IF(M274="","",IF(M274="[FÓRMULA MANUAL]","",IFERROR(AVERAGEIFS(DATOS!$K$2:$K$20000,DATOS!$A$2:$A$20000,M274,DATOS!$G$2:$G$20000,CONFIG_METADATA!$B$4,DATOS!$I$2:$I$20000,"Música de Cámara"),"")))</f>
        <v/>
      </c>
      <c r="Q274" t="str">
        <f>IF(M274="","",IF(M274="[FÓRMULA MANUAL]","",IFERROR(SUMPRODUCT((DATOS!$A$2:$A$20000=M274)*(DATOS!$G$2:$G$20000=CONFIG_METADATA!$B$4)*(COUNTIF(CONFIG_ASIGNATURAS!$B$7:$B$27,DATOS!$I$2:$I$20000)&gt;0)*(DATOS!$K$2:$K$20000))/SUMPRODUCT((DATOS!$A$2:$A$20000=M274)*(DATOS!$G$2:$G$20000=CONFIG_METADATA!$B$4)*(COUNTIF(CONFIG_ASIGNATURAS!$B$7:$B$27,DATOS!$I$2:$I$20000)&gt;0)*1),"")))</f>
        <v/>
      </c>
      <c r="T274" t="str">
        <f>IF(S274="","",IF(S274="[FÓRMULA MANUAL]","",IFERROR(AVERAGEIFS(DATOS!$K$2:$K$20000,DATOS!$A$2:$A$20000,S274,DATOS!$G$2:$G$20000,CONFIG_METADATA!$B$4,DATOS!$I$2:$I$20000,"Armonía"),"")))</f>
        <v/>
      </c>
      <c r="U274" t="str">
        <f>IF(S274="","",IF(S274="[FÓRMULA MANUAL]","",IFERROR(AVERAGEIFS(DATOS!$K$2:$K$20000,DATOS!$A$2:$A$20000,S274,DATOS!$G$2:$G$20000,CONFIG_METADATA!$B$4,DATOS!$I$2:$I$20000,"Orquesta/Banda/Conjunto"),"")))</f>
        <v/>
      </c>
      <c r="V274" t="str">
        <f>IF(S274="","",IF(S274="[FÓRMULA MANUAL]","",IFERROR(AVERAGEIFS(DATOS!$K$2:$K$20000,DATOS!$A$2:$A$20000,S274,DATOS!$G$2:$G$20000,CONFIG_METADATA!$B$4,DATOS!$I$2:$I$20000,"Música de Cámara"),"")))</f>
        <v/>
      </c>
      <c r="W274" t="str">
        <f>IF(S274="","",IF(S274="[FÓRMULA MANUAL]","",IFERROR(SUMPRODUCT((DATOS!$A$2:$A$20000=S274)*(DATOS!$G$2:$G$20000=CONFIG_METADATA!$B$4)*(COUNTIF(CONFIG_ASIGNATURAS!$B$7:$B$27,DATOS!$I$2:$I$20000)&gt;0)*(DATOS!$K$2:$K$20000))/SUMPRODUCT((DATOS!$A$2:$A$20000=S274)*(DATOS!$G$2:$G$20000=CONFIG_METADATA!$B$4)*(COUNTIF(CONFIG_ASIGNATURAS!$B$7:$B$27,DATOS!$I$2:$I$20000)&gt;0)*1),"")))</f>
        <v/>
      </c>
      <c r="Z274" t="str">
        <f>IF(Y274="","",IF(Y274="[FÓRMULA MANUAL]","",IFERROR(AVERAGEIFS(DATOS!$K$2:$K$20000,DATOS!$A$2:$A$20000,Y274,DATOS!$G$2:$G$20000,CONFIG_METADATA!$B$4,DATOS!$I$2:$I$20000,"Análisis"),"")))</f>
        <v/>
      </c>
      <c r="AA274" t="str">
        <f>IF(Y274="","",IF(Y274="[FÓRMULA MANUAL]","",IFERROR(AVERAGEIFS(DATOS!$K$2:$K$20000,DATOS!$A$2:$A$20000,Y274,DATOS!$G$2:$G$20000,CONFIG_METADATA!$B$4,DATOS!$I$2:$I$20000,"Orquesta/Banda/Conjunto"),"")))</f>
        <v/>
      </c>
      <c r="AB274" t="str">
        <f>IF(Y274="","",IF(Y274="[FÓRMULA MANUAL]","",IFERROR(AVERAGEIFS(DATOS!$K$2:$K$20000,DATOS!$A$2:$A$20000,Y274,DATOS!$G$2:$G$20000,CONFIG_METADATA!$B$4,DATOS!$I$2:$I$20000,"Música de Cámara"),"")))</f>
        <v/>
      </c>
      <c r="AC274" t="str">
        <f>IF(Y274="","",IF(Y274="[FÓRMULA MANUAL]","",IFERROR(SUMPRODUCT((DATOS!$A$2:$A$20000=Y274)*(DATOS!$G$2:$G$20000=CONFIG_METADATA!$B$4)*(COUNTIF(CONFIG_ASIGNATURAS!$B$7:$B$27,DATOS!$I$2:$I$20000)&gt;0)*(DATOS!$K$2:$K$20000))/SUMPRODUCT((DATOS!$A$2:$A$20000=Y274)*(DATOS!$G$2:$G$20000=CONFIG_METADATA!$B$4)*(COUNTIF(CONFIG_ASIGNATURAS!$B$7:$B$27,DATOS!$I$2:$I$20000)&gt;0)*1),"")))</f>
        <v/>
      </c>
      <c r="AF274" t="str">
        <f>IF(AE274="","",IF(AE274="[FÓRMULA MANUAL]","",IFERROR(AVERAGEIFS(DATOS!$K$2:$K$20000,DATOS!$A$2:$A$20000,AE274,DATOS!$G$2:$G$20000,CONFIG_METADATA!$B$4,DATOS!$I$2:$I$20000,"Análisis"),"")))</f>
        <v/>
      </c>
      <c r="AG274" t="str">
        <f>IF(AE274="","",IF(AE274="[FÓRMULA MANUAL]","",IFERROR(AVERAGEIFS(DATOS!$K$2:$K$20000,DATOS!$A$2:$A$20000,AE274,DATOS!$G$2:$G$20000,CONFIG_METADATA!$B$4,DATOS!$I$2:$I$20000,"Orquesta/Banda/Conjunto"),"")))</f>
        <v/>
      </c>
      <c r="AH274" t="str">
        <f>IF(AE274="","",IF(AE274="[FÓRMULA MANUAL]","",IFERROR(AVERAGEIFS(DATOS!$K$2:$K$20000,DATOS!$A$2:$A$20000,AE274,DATOS!$G$2:$G$20000,CONFIG_METADATA!$B$4,DATOS!$I$2:$I$20000,"Música de Cámara"),"")))</f>
        <v/>
      </c>
      <c r="AI274" t="str">
        <f>IF(AE274="","",IF(AE274="[FÓRMULA MANUAL]","",IFERROR(SUMPRODUCT((DATOS!$A$2:$A$20000=AE274)*(DATOS!$G$2:$G$20000=CONFIG_METADATA!$B$4)*(COUNTIF(CONFIG_ASIGNATURAS!$B$7:$B$27,DATOS!$I$2:$I$20000)&gt;0)*(DATOS!$K$2:$K$20000))/SUMPRODUCT((DATOS!$A$2:$A$20000=AE274)*(DATOS!$G$2:$G$20000=CONFIG_METADATA!$B$4)*(COUNTIF(CONFIG_ASIGNATURAS!$B$7:$B$27,DATOS!$I$2:$I$20000)&gt;0)*1),"")))</f>
        <v/>
      </c>
    </row>
    <row r="275" spans="2:35" x14ac:dyDescent="0.2">
      <c r="B275" t="str">
        <f>IF(A275="","",IF(A275="[FÓRMULA MANUAL]","",IFERROR(AVERAGEIFS(DATOS!$K$2:$K$20000,DATOS!$A$2:$A$20000,A275,DATOS!$G$2:$G$20000,CONFIG_METADATA!$B$4,DATOS!$I$2:$I$20000,"Lenguaje Musical"),"")))</f>
        <v/>
      </c>
      <c r="C275" t="str">
        <f>IF(A275="","",IF(A275="[FÓRMULA MANUAL]","",IFERROR(AVERAGEIFS(DATOS!$K$2:$K$20000,DATOS!$A$2:$A$20000,A275,DATOS!$G$2:$G$20000,CONFIG_METADATA!$B$4,DATOS!$I$2:$I$20000,"Orquesta/Banda/Conjunto"),"")))</f>
        <v/>
      </c>
      <c r="D275" t="str">
        <f>IF(A275="","",IF(A275="[FÓRMULA MANUAL]","",IFERROR(AVERAGEIFS(DATOS!$K$2:$K$20000,DATOS!$A$2:$A$20000,A275,DATOS!$G$2:$G$20000,CONFIG_METADATA!$B$4,DATOS!$I$2:$I$20000,"Conjunto"),"")))</f>
        <v/>
      </c>
      <c r="E275" t="str">
        <f>IF(A275="","",IF(A275="[FÓRMULA MANUAL]","",IFERROR(SUMPRODUCT((DATOS!$A$2:$A$20000=A275)*(DATOS!$G$2:$G$20000=CONFIG_METADATA!$B$4)*(COUNTIF(CONFIG_ASIGNATURAS!$B$7:$B$27,DATOS!$I$2:$I$20000)&gt;0)*(DATOS!$K$2:$K$20000))/SUMPRODUCT((DATOS!$A$2:$A$20000=A275)*(DATOS!$G$2:$G$20000=CONFIG_METADATA!$B$4)*(COUNTIF(CONFIG_ASIGNATURAS!$B$7:$B$27,DATOS!$I$2:$I$20000)&gt;0)*1),"")))</f>
        <v/>
      </c>
      <c r="H275" t="str">
        <f>IF(G275="","",IF(G275="[FÓRMULA MANUAL]","",IFERROR(AVERAGEIFS(DATOS!$K$2:$K$20000,DATOS!$A$2:$A$20000,G275,DATOS!$G$2:$G$20000,CONFIG_METADATA!$B$4,DATOS!$I$2:$I$20000,"Lenguaje Musical"),"")))</f>
        <v/>
      </c>
      <c r="I275" t="str">
        <f>IF(G275="","",IF(G275="[FÓRMULA MANUAL]","",IFERROR(AVERAGEIFS(DATOS!$K$2:$K$20000,DATOS!$A$2:$A$20000,G275,DATOS!$G$2:$G$20000,CONFIG_METADATA!$B$4,DATOS!$I$2:$I$20000,"Orquesta/Banda/Conjunto"),"")))</f>
        <v/>
      </c>
      <c r="J275" t="str">
        <f>IF(G275="","",IF(G275="[FÓRMULA MANUAL]","",IFERROR(AVERAGEIFS(DATOS!$K$2:$K$20000,DATOS!$A$2:$A$20000,G275,DATOS!$G$2:$G$20000,CONFIG_METADATA!$B$4,DATOS!$I$2:$I$20000,"Conjunto"),"")))</f>
        <v/>
      </c>
      <c r="K275" t="str">
        <f>IF(G275="","",IF(G275="[FÓRMULA MANUAL]","",IFERROR(SUMPRODUCT((DATOS!$A$2:$A$20000=G275)*(DATOS!$G$2:$G$20000=CONFIG_METADATA!$B$4)*(COUNTIF(CONFIG_ASIGNATURAS!$B$7:$B$27,DATOS!$I$2:$I$20000)&gt;0)*(DATOS!$K$2:$K$20000))/SUMPRODUCT((DATOS!$A$2:$A$20000=G275)*(DATOS!$G$2:$G$20000=CONFIG_METADATA!$B$4)*(COUNTIF(CONFIG_ASIGNATURAS!$B$7:$B$27,DATOS!$I$2:$I$20000)&gt;0)*1),"")))</f>
        <v/>
      </c>
      <c r="N275" t="str">
        <f>IF(M275="","",IF(M275="[FÓRMULA MANUAL]","",IFERROR(AVERAGEIFS(DATOS!$K$2:$K$20000,DATOS!$A$2:$A$20000,M275,DATOS!$G$2:$G$20000,CONFIG_METADATA!$B$4,DATOS!$I$2:$I$20000,"Armonía"),"")))</f>
        <v/>
      </c>
      <c r="O275" t="str">
        <f>IF(M275="","",IF(M275="[FÓRMULA MANUAL]","",IFERROR(AVERAGEIFS(DATOS!$K$2:$K$20000,DATOS!$A$2:$A$20000,M275,DATOS!$G$2:$G$20000,CONFIG_METADATA!$B$4,DATOS!$I$2:$I$20000,"Orquesta/Banda/Conjunto"),"")))</f>
        <v/>
      </c>
      <c r="P275" t="str">
        <f>IF(M275="","",IF(M275="[FÓRMULA MANUAL]","",IFERROR(AVERAGEIFS(DATOS!$K$2:$K$20000,DATOS!$A$2:$A$20000,M275,DATOS!$G$2:$G$20000,CONFIG_METADATA!$B$4,DATOS!$I$2:$I$20000,"Música de Cámara"),"")))</f>
        <v/>
      </c>
      <c r="Q275" t="str">
        <f>IF(M275="","",IF(M275="[FÓRMULA MANUAL]","",IFERROR(SUMPRODUCT((DATOS!$A$2:$A$20000=M275)*(DATOS!$G$2:$G$20000=CONFIG_METADATA!$B$4)*(COUNTIF(CONFIG_ASIGNATURAS!$B$7:$B$27,DATOS!$I$2:$I$20000)&gt;0)*(DATOS!$K$2:$K$20000))/SUMPRODUCT((DATOS!$A$2:$A$20000=M275)*(DATOS!$G$2:$G$20000=CONFIG_METADATA!$B$4)*(COUNTIF(CONFIG_ASIGNATURAS!$B$7:$B$27,DATOS!$I$2:$I$20000)&gt;0)*1),"")))</f>
        <v/>
      </c>
      <c r="T275" t="str">
        <f>IF(S275="","",IF(S275="[FÓRMULA MANUAL]","",IFERROR(AVERAGEIFS(DATOS!$K$2:$K$20000,DATOS!$A$2:$A$20000,S275,DATOS!$G$2:$G$20000,CONFIG_METADATA!$B$4,DATOS!$I$2:$I$20000,"Armonía"),"")))</f>
        <v/>
      </c>
      <c r="U275" t="str">
        <f>IF(S275="","",IF(S275="[FÓRMULA MANUAL]","",IFERROR(AVERAGEIFS(DATOS!$K$2:$K$20000,DATOS!$A$2:$A$20000,S275,DATOS!$G$2:$G$20000,CONFIG_METADATA!$B$4,DATOS!$I$2:$I$20000,"Orquesta/Banda/Conjunto"),"")))</f>
        <v/>
      </c>
      <c r="V275" t="str">
        <f>IF(S275="","",IF(S275="[FÓRMULA MANUAL]","",IFERROR(AVERAGEIFS(DATOS!$K$2:$K$20000,DATOS!$A$2:$A$20000,S275,DATOS!$G$2:$G$20000,CONFIG_METADATA!$B$4,DATOS!$I$2:$I$20000,"Música de Cámara"),"")))</f>
        <v/>
      </c>
      <c r="W275" t="str">
        <f>IF(S275="","",IF(S275="[FÓRMULA MANUAL]","",IFERROR(SUMPRODUCT((DATOS!$A$2:$A$20000=S275)*(DATOS!$G$2:$G$20000=CONFIG_METADATA!$B$4)*(COUNTIF(CONFIG_ASIGNATURAS!$B$7:$B$27,DATOS!$I$2:$I$20000)&gt;0)*(DATOS!$K$2:$K$20000))/SUMPRODUCT((DATOS!$A$2:$A$20000=S275)*(DATOS!$G$2:$G$20000=CONFIG_METADATA!$B$4)*(COUNTIF(CONFIG_ASIGNATURAS!$B$7:$B$27,DATOS!$I$2:$I$20000)&gt;0)*1),"")))</f>
        <v/>
      </c>
      <c r="Z275" t="str">
        <f>IF(Y275="","",IF(Y275="[FÓRMULA MANUAL]","",IFERROR(AVERAGEIFS(DATOS!$K$2:$K$20000,DATOS!$A$2:$A$20000,Y275,DATOS!$G$2:$G$20000,CONFIG_METADATA!$B$4,DATOS!$I$2:$I$20000,"Análisis"),"")))</f>
        <v/>
      </c>
      <c r="AA275" t="str">
        <f>IF(Y275="","",IF(Y275="[FÓRMULA MANUAL]","",IFERROR(AVERAGEIFS(DATOS!$K$2:$K$20000,DATOS!$A$2:$A$20000,Y275,DATOS!$G$2:$G$20000,CONFIG_METADATA!$B$4,DATOS!$I$2:$I$20000,"Orquesta/Banda/Conjunto"),"")))</f>
        <v/>
      </c>
      <c r="AB275" t="str">
        <f>IF(Y275="","",IF(Y275="[FÓRMULA MANUAL]","",IFERROR(AVERAGEIFS(DATOS!$K$2:$K$20000,DATOS!$A$2:$A$20000,Y275,DATOS!$G$2:$G$20000,CONFIG_METADATA!$B$4,DATOS!$I$2:$I$20000,"Música de Cámara"),"")))</f>
        <v/>
      </c>
      <c r="AC275" t="str">
        <f>IF(Y275="","",IF(Y275="[FÓRMULA MANUAL]","",IFERROR(SUMPRODUCT((DATOS!$A$2:$A$20000=Y275)*(DATOS!$G$2:$G$20000=CONFIG_METADATA!$B$4)*(COUNTIF(CONFIG_ASIGNATURAS!$B$7:$B$27,DATOS!$I$2:$I$20000)&gt;0)*(DATOS!$K$2:$K$20000))/SUMPRODUCT((DATOS!$A$2:$A$20000=Y275)*(DATOS!$G$2:$G$20000=CONFIG_METADATA!$B$4)*(COUNTIF(CONFIG_ASIGNATURAS!$B$7:$B$27,DATOS!$I$2:$I$20000)&gt;0)*1),"")))</f>
        <v/>
      </c>
      <c r="AF275" t="str">
        <f>IF(AE275="","",IF(AE275="[FÓRMULA MANUAL]","",IFERROR(AVERAGEIFS(DATOS!$K$2:$K$20000,DATOS!$A$2:$A$20000,AE275,DATOS!$G$2:$G$20000,CONFIG_METADATA!$B$4,DATOS!$I$2:$I$20000,"Análisis"),"")))</f>
        <v/>
      </c>
      <c r="AG275" t="str">
        <f>IF(AE275="","",IF(AE275="[FÓRMULA MANUAL]","",IFERROR(AVERAGEIFS(DATOS!$K$2:$K$20000,DATOS!$A$2:$A$20000,AE275,DATOS!$G$2:$G$20000,CONFIG_METADATA!$B$4,DATOS!$I$2:$I$20000,"Orquesta/Banda/Conjunto"),"")))</f>
        <v/>
      </c>
      <c r="AH275" t="str">
        <f>IF(AE275="","",IF(AE275="[FÓRMULA MANUAL]","",IFERROR(AVERAGEIFS(DATOS!$K$2:$K$20000,DATOS!$A$2:$A$20000,AE275,DATOS!$G$2:$G$20000,CONFIG_METADATA!$B$4,DATOS!$I$2:$I$20000,"Música de Cámara"),"")))</f>
        <v/>
      </c>
      <c r="AI275" t="str">
        <f>IF(AE275="","",IF(AE275="[FÓRMULA MANUAL]","",IFERROR(SUMPRODUCT((DATOS!$A$2:$A$20000=AE275)*(DATOS!$G$2:$G$20000=CONFIG_METADATA!$B$4)*(COUNTIF(CONFIG_ASIGNATURAS!$B$7:$B$27,DATOS!$I$2:$I$20000)&gt;0)*(DATOS!$K$2:$K$20000))/SUMPRODUCT((DATOS!$A$2:$A$20000=AE275)*(DATOS!$G$2:$G$20000=CONFIG_METADATA!$B$4)*(COUNTIF(CONFIG_ASIGNATURAS!$B$7:$B$27,DATOS!$I$2:$I$20000)&gt;0)*1),"")))</f>
        <v/>
      </c>
    </row>
    <row r="276" spans="2:35" x14ac:dyDescent="0.2">
      <c r="B276" t="str">
        <f>IF(A276="","",IF(A276="[FÓRMULA MANUAL]","",IFERROR(AVERAGEIFS(DATOS!$K$2:$K$20000,DATOS!$A$2:$A$20000,A276,DATOS!$G$2:$G$20000,CONFIG_METADATA!$B$4,DATOS!$I$2:$I$20000,"Lenguaje Musical"),"")))</f>
        <v/>
      </c>
      <c r="C276" t="str">
        <f>IF(A276="","",IF(A276="[FÓRMULA MANUAL]","",IFERROR(AVERAGEIFS(DATOS!$K$2:$K$20000,DATOS!$A$2:$A$20000,A276,DATOS!$G$2:$G$20000,CONFIG_METADATA!$B$4,DATOS!$I$2:$I$20000,"Orquesta/Banda/Conjunto"),"")))</f>
        <v/>
      </c>
      <c r="D276" t="str">
        <f>IF(A276="","",IF(A276="[FÓRMULA MANUAL]","",IFERROR(AVERAGEIFS(DATOS!$K$2:$K$20000,DATOS!$A$2:$A$20000,A276,DATOS!$G$2:$G$20000,CONFIG_METADATA!$B$4,DATOS!$I$2:$I$20000,"Conjunto"),"")))</f>
        <v/>
      </c>
      <c r="E276" t="str">
        <f>IF(A276="","",IF(A276="[FÓRMULA MANUAL]","",IFERROR(SUMPRODUCT((DATOS!$A$2:$A$20000=A276)*(DATOS!$G$2:$G$20000=CONFIG_METADATA!$B$4)*(COUNTIF(CONFIG_ASIGNATURAS!$B$7:$B$27,DATOS!$I$2:$I$20000)&gt;0)*(DATOS!$K$2:$K$20000))/SUMPRODUCT((DATOS!$A$2:$A$20000=A276)*(DATOS!$G$2:$G$20000=CONFIG_METADATA!$B$4)*(COUNTIF(CONFIG_ASIGNATURAS!$B$7:$B$27,DATOS!$I$2:$I$20000)&gt;0)*1),"")))</f>
        <v/>
      </c>
      <c r="H276" t="str">
        <f>IF(G276="","",IF(G276="[FÓRMULA MANUAL]","",IFERROR(AVERAGEIFS(DATOS!$K$2:$K$20000,DATOS!$A$2:$A$20000,G276,DATOS!$G$2:$G$20000,CONFIG_METADATA!$B$4,DATOS!$I$2:$I$20000,"Lenguaje Musical"),"")))</f>
        <v/>
      </c>
      <c r="I276" t="str">
        <f>IF(G276="","",IF(G276="[FÓRMULA MANUAL]","",IFERROR(AVERAGEIFS(DATOS!$K$2:$K$20000,DATOS!$A$2:$A$20000,G276,DATOS!$G$2:$G$20000,CONFIG_METADATA!$B$4,DATOS!$I$2:$I$20000,"Orquesta/Banda/Conjunto"),"")))</f>
        <v/>
      </c>
      <c r="J276" t="str">
        <f>IF(G276="","",IF(G276="[FÓRMULA MANUAL]","",IFERROR(AVERAGEIFS(DATOS!$K$2:$K$20000,DATOS!$A$2:$A$20000,G276,DATOS!$G$2:$G$20000,CONFIG_METADATA!$B$4,DATOS!$I$2:$I$20000,"Conjunto"),"")))</f>
        <v/>
      </c>
      <c r="K276" t="str">
        <f>IF(G276="","",IF(G276="[FÓRMULA MANUAL]","",IFERROR(SUMPRODUCT((DATOS!$A$2:$A$20000=G276)*(DATOS!$G$2:$G$20000=CONFIG_METADATA!$B$4)*(COUNTIF(CONFIG_ASIGNATURAS!$B$7:$B$27,DATOS!$I$2:$I$20000)&gt;0)*(DATOS!$K$2:$K$20000))/SUMPRODUCT((DATOS!$A$2:$A$20000=G276)*(DATOS!$G$2:$G$20000=CONFIG_METADATA!$B$4)*(COUNTIF(CONFIG_ASIGNATURAS!$B$7:$B$27,DATOS!$I$2:$I$20000)&gt;0)*1),"")))</f>
        <v/>
      </c>
      <c r="N276" t="str">
        <f>IF(M276="","",IF(M276="[FÓRMULA MANUAL]","",IFERROR(AVERAGEIFS(DATOS!$K$2:$K$20000,DATOS!$A$2:$A$20000,M276,DATOS!$G$2:$G$20000,CONFIG_METADATA!$B$4,DATOS!$I$2:$I$20000,"Armonía"),"")))</f>
        <v/>
      </c>
      <c r="O276" t="str">
        <f>IF(M276="","",IF(M276="[FÓRMULA MANUAL]","",IFERROR(AVERAGEIFS(DATOS!$K$2:$K$20000,DATOS!$A$2:$A$20000,M276,DATOS!$G$2:$G$20000,CONFIG_METADATA!$B$4,DATOS!$I$2:$I$20000,"Orquesta/Banda/Conjunto"),"")))</f>
        <v/>
      </c>
      <c r="P276" t="str">
        <f>IF(M276="","",IF(M276="[FÓRMULA MANUAL]","",IFERROR(AVERAGEIFS(DATOS!$K$2:$K$20000,DATOS!$A$2:$A$20000,M276,DATOS!$G$2:$G$20000,CONFIG_METADATA!$B$4,DATOS!$I$2:$I$20000,"Música de Cámara"),"")))</f>
        <v/>
      </c>
      <c r="Q276" t="str">
        <f>IF(M276="","",IF(M276="[FÓRMULA MANUAL]","",IFERROR(SUMPRODUCT((DATOS!$A$2:$A$20000=M276)*(DATOS!$G$2:$G$20000=CONFIG_METADATA!$B$4)*(COUNTIF(CONFIG_ASIGNATURAS!$B$7:$B$27,DATOS!$I$2:$I$20000)&gt;0)*(DATOS!$K$2:$K$20000))/SUMPRODUCT((DATOS!$A$2:$A$20000=M276)*(DATOS!$G$2:$G$20000=CONFIG_METADATA!$B$4)*(COUNTIF(CONFIG_ASIGNATURAS!$B$7:$B$27,DATOS!$I$2:$I$20000)&gt;0)*1),"")))</f>
        <v/>
      </c>
      <c r="T276" t="str">
        <f>IF(S276="","",IF(S276="[FÓRMULA MANUAL]","",IFERROR(AVERAGEIFS(DATOS!$K$2:$K$20000,DATOS!$A$2:$A$20000,S276,DATOS!$G$2:$G$20000,CONFIG_METADATA!$B$4,DATOS!$I$2:$I$20000,"Armonía"),"")))</f>
        <v/>
      </c>
      <c r="U276" t="str">
        <f>IF(S276="","",IF(S276="[FÓRMULA MANUAL]","",IFERROR(AVERAGEIFS(DATOS!$K$2:$K$20000,DATOS!$A$2:$A$20000,S276,DATOS!$G$2:$G$20000,CONFIG_METADATA!$B$4,DATOS!$I$2:$I$20000,"Orquesta/Banda/Conjunto"),"")))</f>
        <v/>
      </c>
      <c r="V276" t="str">
        <f>IF(S276="","",IF(S276="[FÓRMULA MANUAL]","",IFERROR(AVERAGEIFS(DATOS!$K$2:$K$20000,DATOS!$A$2:$A$20000,S276,DATOS!$G$2:$G$20000,CONFIG_METADATA!$B$4,DATOS!$I$2:$I$20000,"Música de Cámara"),"")))</f>
        <v/>
      </c>
      <c r="W276" t="str">
        <f>IF(S276="","",IF(S276="[FÓRMULA MANUAL]","",IFERROR(SUMPRODUCT((DATOS!$A$2:$A$20000=S276)*(DATOS!$G$2:$G$20000=CONFIG_METADATA!$B$4)*(COUNTIF(CONFIG_ASIGNATURAS!$B$7:$B$27,DATOS!$I$2:$I$20000)&gt;0)*(DATOS!$K$2:$K$20000))/SUMPRODUCT((DATOS!$A$2:$A$20000=S276)*(DATOS!$G$2:$G$20000=CONFIG_METADATA!$B$4)*(COUNTIF(CONFIG_ASIGNATURAS!$B$7:$B$27,DATOS!$I$2:$I$20000)&gt;0)*1),"")))</f>
        <v/>
      </c>
      <c r="Z276" t="str">
        <f>IF(Y276="","",IF(Y276="[FÓRMULA MANUAL]","",IFERROR(AVERAGEIFS(DATOS!$K$2:$K$20000,DATOS!$A$2:$A$20000,Y276,DATOS!$G$2:$G$20000,CONFIG_METADATA!$B$4,DATOS!$I$2:$I$20000,"Análisis"),"")))</f>
        <v/>
      </c>
      <c r="AA276" t="str">
        <f>IF(Y276="","",IF(Y276="[FÓRMULA MANUAL]","",IFERROR(AVERAGEIFS(DATOS!$K$2:$K$20000,DATOS!$A$2:$A$20000,Y276,DATOS!$G$2:$G$20000,CONFIG_METADATA!$B$4,DATOS!$I$2:$I$20000,"Orquesta/Banda/Conjunto"),"")))</f>
        <v/>
      </c>
      <c r="AB276" t="str">
        <f>IF(Y276="","",IF(Y276="[FÓRMULA MANUAL]","",IFERROR(AVERAGEIFS(DATOS!$K$2:$K$20000,DATOS!$A$2:$A$20000,Y276,DATOS!$G$2:$G$20000,CONFIG_METADATA!$B$4,DATOS!$I$2:$I$20000,"Música de Cámara"),"")))</f>
        <v/>
      </c>
      <c r="AC276" t="str">
        <f>IF(Y276="","",IF(Y276="[FÓRMULA MANUAL]","",IFERROR(SUMPRODUCT((DATOS!$A$2:$A$20000=Y276)*(DATOS!$G$2:$G$20000=CONFIG_METADATA!$B$4)*(COUNTIF(CONFIG_ASIGNATURAS!$B$7:$B$27,DATOS!$I$2:$I$20000)&gt;0)*(DATOS!$K$2:$K$20000))/SUMPRODUCT((DATOS!$A$2:$A$20000=Y276)*(DATOS!$G$2:$G$20000=CONFIG_METADATA!$B$4)*(COUNTIF(CONFIG_ASIGNATURAS!$B$7:$B$27,DATOS!$I$2:$I$20000)&gt;0)*1),"")))</f>
        <v/>
      </c>
      <c r="AF276" t="str">
        <f>IF(AE276="","",IF(AE276="[FÓRMULA MANUAL]","",IFERROR(AVERAGEIFS(DATOS!$K$2:$K$20000,DATOS!$A$2:$A$20000,AE276,DATOS!$G$2:$G$20000,CONFIG_METADATA!$B$4,DATOS!$I$2:$I$20000,"Análisis"),"")))</f>
        <v/>
      </c>
      <c r="AG276" t="str">
        <f>IF(AE276="","",IF(AE276="[FÓRMULA MANUAL]","",IFERROR(AVERAGEIFS(DATOS!$K$2:$K$20000,DATOS!$A$2:$A$20000,AE276,DATOS!$G$2:$G$20000,CONFIG_METADATA!$B$4,DATOS!$I$2:$I$20000,"Orquesta/Banda/Conjunto"),"")))</f>
        <v/>
      </c>
      <c r="AH276" t="str">
        <f>IF(AE276="","",IF(AE276="[FÓRMULA MANUAL]","",IFERROR(AVERAGEIFS(DATOS!$K$2:$K$20000,DATOS!$A$2:$A$20000,AE276,DATOS!$G$2:$G$20000,CONFIG_METADATA!$B$4,DATOS!$I$2:$I$20000,"Música de Cámara"),"")))</f>
        <v/>
      </c>
      <c r="AI276" t="str">
        <f>IF(AE276="","",IF(AE276="[FÓRMULA MANUAL]","",IFERROR(SUMPRODUCT((DATOS!$A$2:$A$20000=AE276)*(DATOS!$G$2:$G$20000=CONFIG_METADATA!$B$4)*(COUNTIF(CONFIG_ASIGNATURAS!$B$7:$B$27,DATOS!$I$2:$I$20000)&gt;0)*(DATOS!$K$2:$K$20000))/SUMPRODUCT((DATOS!$A$2:$A$20000=AE276)*(DATOS!$G$2:$G$20000=CONFIG_METADATA!$B$4)*(COUNTIF(CONFIG_ASIGNATURAS!$B$7:$B$27,DATOS!$I$2:$I$20000)&gt;0)*1),"")))</f>
        <v/>
      </c>
    </row>
    <row r="277" spans="2:35" x14ac:dyDescent="0.2">
      <c r="B277" t="str">
        <f>IF(A277="","",IF(A277="[FÓRMULA MANUAL]","",IFERROR(AVERAGEIFS(DATOS!$K$2:$K$20000,DATOS!$A$2:$A$20000,A277,DATOS!$G$2:$G$20000,CONFIG_METADATA!$B$4,DATOS!$I$2:$I$20000,"Lenguaje Musical"),"")))</f>
        <v/>
      </c>
      <c r="C277" t="str">
        <f>IF(A277="","",IF(A277="[FÓRMULA MANUAL]","",IFERROR(AVERAGEIFS(DATOS!$K$2:$K$20000,DATOS!$A$2:$A$20000,A277,DATOS!$G$2:$G$20000,CONFIG_METADATA!$B$4,DATOS!$I$2:$I$20000,"Orquesta/Banda/Conjunto"),"")))</f>
        <v/>
      </c>
      <c r="D277" t="str">
        <f>IF(A277="","",IF(A277="[FÓRMULA MANUAL]","",IFERROR(AVERAGEIFS(DATOS!$K$2:$K$20000,DATOS!$A$2:$A$20000,A277,DATOS!$G$2:$G$20000,CONFIG_METADATA!$B$4,DATOS!$I$2:$I$20000,"Conjunto"),"")))</f>
        <v/>
      </c>
      <c r="E277" t="str">
        <f>IF(A277="","",IF(A277="[FÓRMULA MANUAL]","",IFERROR(SUMPRODUCT((DATOS!$A$2:$A$20000=A277)*(DATOS!$G$2:$G$20000=CONFIG_METADATA!$B$4)*(COUNTIF(CONFIG_ASIGNATURAS!$B$7:$B$27,DATOS!$I$2:$I$20000)&gt;0)*(DATOS!$K$2:$K$20000))/SUMPRODUCT((DATOS!$A$2:$A$20000=A277)*(DATOS!$G$2:$G$20000=CONFIG_METADATA!$B$4)*(COUNTIF(CONFIG_ASIGNATURAS!$B$7:$B$27,DATOS!$I$2:$I$20000)&gt;0)*1),"")))</f>
        <v/>
      </c>
      <c r="H277" t="str">
        <f>IF(G277="","",IF(G277="[FÓRMULA MANUAL]","",IFERROR(AVERAGEIFS(DATOS!$K$2:$K$20000,DATOS!$A$2:$A$20000,G277,DATOS!$G$2:$G$20000,CONFIG_METADATA!$B$4,DATOS!$I$2:$I$20000,"Lenguaje Musical"),"")))</f>
        <v/>
      </c>
      <c r="I277" t="str">
        <f>IF(G277="","",IF(G277="[FÓRMULA MANUAL]","",IFERROR(AVERAGEIFS(DATOS!$K$2:$K$20000,DATOS!$A$2:$A$20000,G277,DATOS!$G$2:$G$20000,CONFIG_METADATA!$B$4,DATOS!$I$2:$I$20000,"Orquesta/Banda/Conjunto"),"")))</f>
        <v/>
      </c>
      <c r="J277" t="str">
        <f>IF(G277="","",IF(G277="[FÓRMULA MANUAL]","",IFERROR(AVERAGEIFS(DATOS!$K$2:$K$20000,DATOS!$A$2:$A$20000,G277,DATOS!$G$2:$G$20000,CONFIG_METADATA!$B$4,DATOS!$I$2:$I$20000,"Conjunto"),"")))</f>
        <v/>
      </c>
      <c r="K277" t="str">
        <f>IF(G277="","",IF(G277="[FÓRMULA MANUAL]","",IFERROR(SUMPRODUCT((DATOS!$A$2:$A$20000=G277)*(DATOS!$G$2:$G$20000=CONFIG_METADATA!$B$4)*(COUNTIF(CONFIG_ASIGNATURAS!$B$7:$B$27,DATOS!$I$2:$I$20000)&gt;0)*(DATOS!$K$2:$K$20000))/SUMPRODUCT((DATOS!$A$2:$A$20000=G277)*(DATOS!$G$2:$G$20000=CONFIG_METADATA!$B$4)*(COUNTIF(CONFIG_ASIGNATURAS!$B$7:$B$27,DATOS!$I$2:$I$20000)&gt;0)*1),"")))</f>
        <v/>
      </c>
      <c r="N277" t="str">
        <f>IF(M277="","",IF(M277="[FÓRMULA MANUAL]","",IFERROR(AVERAGEIFS(DATOS!$K$2:$K$20000,DATOS!$A$2:$A$20000,M277,DATOS!$G$2:$G$20000,CONFIG_METADATA!$B$4,DATOS!$I$2:$I$20000,"Armonía"),"")))</f>
        <v/>
      </c>
      <c r="O277" t="str">
        <f>IF(M277="","",IF(M277="[FÓRMULA MANUAL]","",IFERROR(AVERAGEIFS(DATOS!$K$2:$K$20000,DATOS!$A$2:$A$20000,M277,DATOS!$G$2:$G$20000,CONFIG_METADATA!$B$4,DATOS!$I$2:$I$20000,"Orquesta/Banda/Conjunto"),"")))</f>
        <v/>
      </c>
      <c r="P277" t="str">
        <f>IF(M277="","",IF(M277="[FÓRMULA MANUAL]","",IFERROR(AVERAGEIFS(DATOS!$K$2:$K$20000,DATOS!$A$2:$A$20000,M277,DATOS!$G$2:$G$20000,CONFIG_METADATA!$B$4,DATOS!$I$2:$I$20000,"Música de Cámara"),"")))</f>
        <v/>
      </c>
      <c r="Q277" t="str">
        <f>IF(M277="","",IF(M277="[FÓRMULA MANUAL]","",IFERROR(SUMPRODUCT((DATOS!$A$2:$A$20000=M277)*(DATOS!$G$2:$G$20000=CONFIG_METADATA!$B$4)*(COUNTIF(CONFIG_ASIGNATURAS!$B$7:$B$27,DATOS!$I$2:$I$20000)&gt;0)*(DATOS!$K$2:$K$20000))/SUMPRODUCT((DATOS!$A$2:$A$20000=M277)*(DATOS!$G$2:$G$20000=CONFIG_METADATA!$B$4)*(COUNTIF(CONFIG_ASIGNATURAS!$B$7:$B$27,DATOS!$I$2:$I$20000)&gt;0)*1),"")))</f>
        <v/>
      </c>
      <c r="T277" t="str">
        <f>IF(S277="","",IF(S277="[FÓRMULA MANUAL]","",IFERROR(AVERAGEIFS(DATOS!$K$2:$K$20000,DATOS!$A$2:$A$20000,S277,DATOS!$G$2:$G$20000,CONFIG_METADATA!$B$4,DATOS!$I$2:$I$20000,"Armonía"),"")))</f>
        <v/>
      </c>
      <c r="U277" t="str">
        <f>IF(S277="","",IF(S277="[FÓRMULA MANUAL]","",IFERROR(AVERAGEIFS(DATOS!$K$2:$K$20000,DATOS!$A$2:$A$20000,S277,DATOS!$G$2:$G$20000,CONFIG_METADATA!$B$4,DATOS!$I$2:$I$20000,"Orquesta/Banda/Conjunto"),"")))</f>
        <v/>
      </c>
      <c r="V277" t="str">
        <f>IF(S277="","",IF(S277="[FÓRMULA MANUAL]","",IFERROR(AVERAGEIFS(DATOS!$K$2:$K$20000,DATOS!$A$2:$A$20000,S277,DATOS!$G$2:$G$20000,CONFIG_METADATA!$B$4,DATOS!$I$2:$I$20000,"Música de Cámara"),"")))</f>
        <v/>
      </c>
      <c r="W277" t="str">
        <f>IF(S277="","",IF(S277="[FÓRMULA MANUAL]","",IFERROR(SUMPRODUCT((DATOS!$A$2:$A$20000=S277)*(DATOS!$G$2:$G$20000=CONFIG_METADATA!$B$4)*(COUNTIF(CONFIG_ASIGNATURAS!$B$7:$B$27,DATOS!$I$2:$I$20000)&gt;0)*(DATOS!$K$2:$K$20000))/SUMPRODUCT((DATOS!$A$2:$A$20000=S277)*(DATOS!$G$2:$G$20000=CONFIG_METADATA!$B$4)*(COUNTIF(CONFIG_ASIGNATURAS!$B$7:$B$27,DATOS!$I$2:$I$20000)&gt;0)*1),"")))</f>
        <v/>
      </c>
      <c r="Z277" t="str">
        <f>IF(Y277="","",IF(Y277="[FÓRMULA MANUAL]","",IFERROR(AVERAGEIFS(DATOS!$K$2:$K$20000,DATOS!$A$2:$A$20000,Y277,DATOS!$G$2:$G$20000,CONFIG_METADATA!$B$4,DATOS!$I$2:$I$20000,"Análisis"),"")))</f>
        <v/>
      </c>
      <c r="AA277" t="str">
        <f>IF(Y277="","",IF(Y277="[FÓRMULA MANUAL]","",IFERROR(AVERAGEIFS(DATOS!$K$2:$K$20000,DATOS!$A$2:$A$20000,Y277,DATOS!$G$2:$G$20000,CONFIG_METADATA!$B$4,DATOS!$I$2:$I$20000,"Orquesta/Banda/Conjunto"),"")))</f>
        <v/>
      </c>
      <c r="AB277" t="str">
        <f>IF(Y277="","",IF(Y277="[FÓRMULA MANUAL]","",IFERROR(AVERAGEIFS(DATOS!$K$2:$K$20000,DATOS!$A$2:$A$20000,Y277,DATOS!$G$2:$G$20000,CONFIG_METADATA!$B$4,DATOS!$I$2:$I$20000,"Música de Cámara"),"")))</f>
        <v/>
      </c>
      <c r="AC277" t="str">
        <f>IF(Y277="","",IF(Y277="[FÓRMULA MANUAL]","",IFERROR(SUMPRODUCT((DATOS!$A$2:$A$20000=Y277)*(DATOS!$G$2:$G$20000=CONFIG_METADATA!$B$4)*(COUNTIF(CONFIG_ASIGNATURAS!$B$7:$B$27,DATOS!$I$2:$I$20000)&gt;0)*(DATOS!$K$2:$K$20000))/SUMPRODUCT((DATOS!$A$2:$A$20000=Y277)*(DATOS!$G$2:$G$20000=CONFIG_METADATA!$B$4)*(COUNTIF(CONFIG_ASIGNATURAS!$B$7:$B$27,DATOS!$I$2:$I$20000)&gt;0)*1),"")))</f>
        <v/>
      </c>
      <c r="AF277" t="str">
        <f>IF(AE277="","",IF(AE277="[FÓRMULA MANUAL]","",IFERROR(AVERAGEIFS(DATOS!$K$2:$K$20000,DATOS!$A$2:$A$20000,AE277,DATOS!$G$2:$G$20000,CONFIG_METADATA!$B$4,DATOS!$I$2:$I$20000,"Análisis"),"")))</f>
        <v/>
      </c>
      <c r="AG277" t="str">
        <f>IF(AE277="","",IF(AE277="[FÓRMULA MANUAL]","",IFERROR(AVERAGEIFS(DATOS!$K$2:$K$20000,DATOS!$A$2:$A$20000,AE277,DATOS!$G$2:$G$20000,CONFIG_METADATA!$B$4,DATOS!$I$2:$I$20000,"Orquesta/Banda/Conjunto"),"")))</f>
        <v/>
      </c>
      <c r="AH277" t="str">
        <f>IF(AE277="","",IF(AE277="[FÓRMULA MANUAL]","",IFERROR(AVERAGEIFS(DATOS!$K$2:$K$20000,DATOS!$A$2:$A$20000,AE277,DATOS!$G$2:$G$20000,CONFIG_METADATA!$B$4,DATOS!$I$2:$I$20000,"Música de Cámara"),"")))</f>
        <v/>
      </c>
      <c r="AI277" t="str">
        <f>IF(AE277="","",IF(AE277="[FÓRMULA MANUAL]","",IFERROR(SUMPRODUCT((DATOS!$A$2:$A$20000=AE277)*(DATOS!$G$2:$G$20000=CONFIG_METADATA!$B$4)*(COUNTIF(CONFIG_ASIGNATURAS!$B$7:$B$27,DATOS!$I$2:$I$20000)&gt;0)*(DATOS!$K$2:$K$20000))/SUMPRODUCT((DATOS!$A$2:$A$20000=AE277)*(DATOS!$G$2:$G$20000=CONFIG_METADATA!$B$4)*(COUNTIF(CONFIG_ASIGNATURAS!$B$7:$B$27,DATOS!$I$2:$I$20000)&gt;0)*1),"")))</f>
        <v/>
      </c>
    </row>
    <row r="278" spans="2:35" x14ac:dyDescent="0.2">
      <c r="B278" t="str">
        <f>IF(A278="","",IF(A278="[FÓRMULA MANUAL]","",IFERROR(AVERAGEIFS(DATOS!$K$2:$K$20000,DATOS!$A$2:$A$20000,A278,DATOS!$G$2:$G$20000,CONFIG_METADATA!$B$4,DATOS!$I$2:$I$20000,"Lenguaje Musical"),"")))</f>
        <v/>
      </c>
      <c r="C278" t="str">
        <f>IF(A278="","",IF(A278="[FÓRMULA MANUAL]","",IFERROR(AVERAGEIFS(DATOS!$K$2:$K$20000,DATOS!$A$2:$A$20000,A278,DATOS!$G$2:$G$20000,CONFIG_METADATA!$B$4,DATOS!$I$2:$I$20000,"Orquesta/Banda/Conjunto"),"")))</f>
        <v/>
      </c>
      <c r="D278" t="str">
        <f>IF(A278="","",IF(A278="[FÓRMULA MANUAL]","",IFERROR(AVERAGEIFS(DATOS!$K$2:$K$20000,DATOS!$A$2:$A$20000,A278,DATOS!$G$2:$G$20000,CONFIG_METADATA!$B$4,DATOS!$I$2:$I$20000,"Conjunto"),"")))</f>
        <v/>
      </c>
      <c r="E278" t="str">
        <f>IF(A278="","",IF(A278="[FÓRMULA MANUAL]","",IFERROR(SUMPRODUCT((DATOS!$A$2:$A$20000=A278)*(DATOS!$G$2:$G$20000=CONFIG_METADATA!$B$4)*(COUNTIF(CONFIG_ASIGNATURAS!$B$7:$B$27,DATOS!$I$2:$I$20000)&gt;0)*(DATOS!$K$2:$K$20000))/SUMPRODUCT((DATOS!$A$2:$A$20000=A278)*(DATOS!$G$2:$G$20000=CONFIG_METADATA!$B$4)*(COUNTIF(CONFIG_ASIGNATURAS!$B$7:$B$27,DATOS!$I$2:$I$20000)&gt;0)*1),"")))</f>
        <v/>
      </c>
      <c r="H278" t="str">
        <f>IF(G278="","",IF(G278="[FÓRMULA MANUAL]","",IFERROR(AVERAGEIFS(DATOS!$K$2:$K$20000,DATOS!$A$2:$A$20000,G278,DATOS!$G$2:$G$20000,CONFIG_METADATA!$B$4,DATOS!$I$2:$I$20000,"Lenguaje Musical"),"")))</f>
        <v/>
      </c>
      <c r="I278" t="str">
        <f>IF(G278="","",IF(G278="[FÓRMULA MANUAL]","",IFERROR(AVERAGEIFS(DATOS!$K$2:$K$20000,DATOS!$A$2:$A$20000,G278,DATOS!$G$2:$G$20000,CONFIG_METADATA!$B$4,DATOS!$I$2:$I$20000,"Orquesta/Banda/Conjunto"),"")))</f>
        <v/>
      </c>
      <c r="J278" t="str">
        <f>IF(G278="","",IF(G278="[FÓRMULA MANUAL]","",IFERROR(AVERAGEIFS(DATOS!$K$2:$K$20000,DATOS!$A$2:$A$20000,G278,DATOS!$G$2:$G$20000,CONFIG_METADATA!$B$4,DATOS!$I$2:$I$20000,"Conjunto"),"")))</f>
        <v/>
      </c>
      <c r="K278" t="str">
        <f>IF(G278="","",IF(G278="[FÓRMULA MANUAL]","",IFERROR(SUMPRODUCT((DATOS!$A$2:$A$20000=G278)*(DATOS!$G$2:$G$20000=CONFIG_METADATA!$B$4)*(COUNTIF(CONFIG_ASIGNATURAS!$B$7:$B$27,DATOS!$I$2:$I$20000)&gt;0)*(DATOS!$K$2:$K$20000))/SUMPRODUCT((DATOS!$A$2:$A$20000=G278)*(DATOS!$G$2:$G$20000=CONFIG_METADATA!$B$4)*(COUNTIF(CONFIG_ASIGNATURAS!$B$7:$B$27,DATOS!$I$2:$I$20000)&gt;0)*1),"")))</f>
        <v/>
      </c>
      <c r="N278" t="str">
        <f>IF(M278="","",IF(M278="[FÓRMULA MANUAL]","",IFERROR(AVERAGEIFS(DATOS!$K$2:$K$20000,DATOS!$A$2:$A$20000,M278,DATOS!$G$2:$G$20000,CONFIG_METADATA!$B$4,DATOS!$I$2:$I$20000,"Armonía"),"")))</f>
        <v/>
      </c>
      <c r="O278" t="str">
        <f>IF(M278="","",IF(M278="[FÓRMULA MANUAL]","",IFERROR(AVERAGEIFS(DATOS!$K$2:$K$20000,DATOS!$A$2:$A$20000,M278,DATOS!$G$2:$G$20000,CONFIG_METADATA!$B$4,DATOS!$I$2:$I$20000,"Orquesta/Banda/Conjunto"),"")))</f>
        <v/>
      </c>
      <c r="P278" t="str">
        <f>IF(M278="","",IF(M278="[FÓRMULA MANUAL]","",IFERROR(AVERAGEIFS(DATOS!$K$2:$K$20000,DATOS!$A$2:$A$20000,M278,DATOS!$G$2:$G$20000,CONFIG_METADATA!$B$4,DATOS!$I$2:$I$20000,"Música de Cámara"),"")))</f>
        <v/>
      </c>
      <c r="Q278" t="str">
        <f>IF(M278="","",IF(M278="[FÓRMULA MANUAL]","",IFERROR(SUMPRODUCT((DATOS!$A$2:$A$20000=M278)*(DATOS!$G$2:$G$20000=CONFIG_METADATA!$B$4)*(COUNTIF(CONFIG_ASIGNATURAS!$B$7:$B$27,DATOS!$I$2:$I$20000)&gt;0)*(DATOS!$K$2:$K$20000))/SUMPRODUCT((DATOS!$A$2:$A$20000=M278)*(DATOS!$G$2:$G$20000=CONFIG_METADATA!$B$4)*(COUNTIF(CONFIG_ASIGNATURAS!$B$7:$B$27,DATOS!$I$2:$I$20000)&gt;0)*1),"")))</f>
        <v/>
      </c>
      <c r="T278" t="str">
        <f>IF(S278="","",IF(S278="[FÓRMULA MANUAL]","",IFERROR(AVERAGEIFS(DATOS!$K$2:$K$20000,DATOS!$A$2:$A$20000,S278,DATOS!$G$2:$G$20000,CONFIG_METADATA!$B$4,DATOS!$I$2:$I$20000,"Armonía"),"")))</f>
        <v/>
      </c>
      <c r="U278" t="str">
        <f>IF(S278="","",IF(S278="[FÓRMULA MANUAL]","",IFERROR(AVERAGEIFS(DATOS!$K$2:$K$20000,DATOS!$A$2:$A$20000,S278,DATOS!$G$2:$G$20000,CONFIG_METADATA!$B$4,DATOS!$I$2:$I$20000,"Orquesta/Banda/Conjunto"),"")))</f>
        <v/>
      </c>
      <c r="V278" t="str">
        <f>IF(S278="","",IF(S278="[FÓRMULA MANUAL]","",IFERROR(AVERAGEIFS(DATOS!$K$2:$K$20000,DATOS!$A$2:$A$20000,S278,DATOS!$G$2:$G$20000,CONFIG_METADATA!$B$4,DATOS!$I$2:$I$20000,"Música de Cámara"),"")))</f>
        <v/>
      </c>
      <c r="W278" t="str">
        <f>IF(S278="","",IF(S278="[FÓRMULA MANUAL]","",IFERROR(SUMPRODUCT((DATOS!$A$2:$A$20000=S278)*(DATOS!$G$2:$G$20000=CONFIG_METADATA!$B$4)*(COUNTIF(CONFIG_ASIGNATURAS!$B$7:$B$27,DATOS!$I$2:$I$20000)&gt;0)*(DATOS!$K$2:$K$20000))/SUMPRODUCT((DATOS!$A$2:$A$20000=S278)*(DATOS!$G$2:$G$20000=CONFIG_METADATA!$B$4)*(COUNTIF(CONFIG_ASIGNATURAS!$B$7:$B$27,DATOS!$I$2:$I$20000)&gt;0)*1),"")))</f>
        <v/>
      </c>
      <c r="Z278" t="str">
        <f>IF(Y278="","",IF(Y278="[FÓRMULA MANUAL]","",IFERROR(AVERAGEIFS(DATOS!$K$2:$K$20000,DATOS!$A$2:$A$20000,Y278,DATOS!$G$2:$G$20000,CONFIG_METADATA!$B$4,DATOS!$I$2:$I$20000,"Análisis"),"")))</f>
        <v/>
      </c>
      <c r="AA278" t="str">
        <f>IF(Y278="","",IF(Y278="[FÓRMULA MANUAL]","",IFERROR(AVERAGEIFS(DATOS!$K$2:$K$20000,DATOS!$A$2:$A$20000,Y278,DATOS!$G$2:$G$20000,CONFIG_METADATA!$B$4,DATOS!$I$2:$I$20000,"Orquesta/Banda/Conjunto"),"")))</f>
        <v/>
      </c>
      <c r="AB278" t="str">
        <f>IF(Y278="","",IF(Y278="[FÓRMULA MANUAL]","",IFERROR(AVERAGEIFS(DATOS!$K$2:$K$20000,DATOS!$A$2:$A$20000,Y278,DATOS!$G$2:$G$20000,CONFIG_METADATA!$B$4,DATOS!$I$2:$I$20000,"Música de Cámara"),"")))</f>
        <v/>
      </c>
      <c r="AC278" t="str">
        <f>IF(Y278="","",IF(Y278="[FÓRMULA MANUAL]","",IFERROR(SUMPRODUCT((DATOS!$A$2:$A$20000=Y278)*(DATOS!$G$2:$G$20000=CONFIG_METADATA!$B$4)*(COUNTIF(CONFIG_ASIGNATURAS!$B$7:$B$27,DATOS!$I$2:$I$20000)&gt;0)*(DATOS!$K$2:$K$20000))/SUMPRODUCT((DATOS!$A$2:$A$20000=Y278)*(DATOS!$G$2:$G$20000=CONFIG_METADATA!$B$4)*(COUNTIF(CONFIG_ASIGNATURAS!$B$7:$B$27,DATOS!$I$2:$I$20000)&gt;0)*1),"")))</f>
        <v/>
      </c>
      <c r="AF278" t="str">
        <f>IF(AE278="","",IF(AE278="[FÓRMULA MANUAL]","",IFERROR(AVERAGEIFS(DATOS!$K$2:$K$20000,DATOS!$A$2:$A$20000,AE278,DATOS!$G$2:$G$20000,CONFIG_METADATA!$B$4,DATOS!$I$2:$I$20000,"Análisis"),"")))</f>
        <v/>
      </c>
      <c r="AG278" t="str">
        <f>IF(AE278="","",IF(AE278="[FÓRMULA MANUAL]","",IFERROR(AVERAGEIFS(DATOS!$K$2:$K$20000,DATOS!$A$2:$A$20000,AE278,DATOS!$G$2:$G$20000,CONFIG_METADATA!$B$4,DATOS!$I$2:$I$20000,"Orquesta/Banda/Conjunto"),"")))</f>
        <v/>
      </c>
      <c r="AH278" t="str">
        <f>IF(AE278="","",IF(AE278="[FÓRMULA MANUAL]","",IFERROR(AVERAGEIFS(DATOS!$K$2:$K$20000,DATOS!$A$2:$A$20000,AE278,DATOS!$G$2:$G$20000,CONFIG_METADATA!$B$4,DATOS!$I$2:$I$20000,"Música de Cámara"),"")))</f>
        <v/>
      </c>
      <c r="AI278" t="str">
        <f>IF(AE278="","",IF(AE278="[FÓRMULA MANUAL]","",IFERROR(SUMPRODUCT((DATOS!$A$2:$A$20000=AE278)*(DATOS!$G$2:$G$20000=CONFIG_METADATA!$B$4)*(COUNTIF(CONFIG_ASIGNATURAS!$B$7:$B$27,DATOS!$I$2:$I$20000)&gt;0)*(DATOS!$K$2:$K$20000))/SUMPRODUCT((DATOS!$A$2:$A$20000=AE278)*(DATOS!$G$2:$G$20000=CONFIG_METADATA!$B$4)*(COUNTIF(CONFIG_ASIGNATURAS!$B$7:$B$27,DATOS!$I$2:$I$20000)&gt;0)*1),"")))</f>
        <v/>
      </c>
    </row>
    <row r="279" spans="2:35" x14ac:dyDescent="0.2">
      <c r="B279" t="str">
        <f>IF(A279="","",IF(A279="[FÓRMULA MANUAL]","",IFERROR(AVERAGEIFS(DATOS!$K$2:$K$20000,DATOS!$A$2:$A$20000,A279,DATOS!$G$2:$G$20000,CONFIG_METADATA!$B$4,DATOS!$I$2:$I$20000,"Lenguaje Musical"),"")))</f>
        <v/>
      </c>
      <c r="C279" t="str">
        <f>IF(A279="","",IF(A279="[FÓRMULA MANUAL]","",IFERROR(AVERAGEIFS(DATOS!$K$2:$K$20000,DATOS!$A$2:$A$20000,A279,DATOS!$G$2:$G$20000,CONFIG_METADATA!$B$4,DATOS!$I$2:$I$20000,"Orquesta/Banda/Conjunto"),"")))</f>
        <v/>
      </c>
      <c r="D279" t="str">
        <f>IF(A279="","",IF(A279="[FÓRMULA MANUAL]","",IFERROR(AVERAGEIFS(DATOS!$K$2:$K$20000,DATOS!$A$2:$A$20000,A279,DATOS!$G$2:$G$20000,CONFIG_METADATA!$B$4,DATOS!$I$2:$I$20000,"Conjunto"),"")))</f>
        <v/>
      </c>
      <c r="E279" t="str">
        <f>IF(A279="","",IF(A279="[FÓRMULA MANUAL]","",IFERROR(SUMPRODUCT((DATOS!$A$2:$A$20000=A279)*(DATOS!$G$2:$G$20000=CONFIG_METADATA!$B$4)*(COUNTIF(CONFIG_ASIGNATURAS!$B$7:$B$27,DATOS!$I$2:$I$20000)&gt;0)*(DATOS!$K$2:$K$20000))/SUMPRODUCT((DATOS!$A$2:$A$20000=A279)*(DATOS!$G$2:$G$20000=CONFIG_METADATA!$B$4)*(COUNTIF(CONFIG_ASIGNATURAS!$B$7:$B$27,DATOS!$I$2:$I$20000)&gt;0)*1),"")))</f>
        <v/>
      </c>
      <c r="H279" t="str">
        <f>IF(G279="","",IF(G279="[FÓRMULA MANUAL]","",IFERROR(AVERAGEIFS(DATOS!$K$2:$K$20000,DATOS!$A$2:$A$20000,G279,DATOS!$G$2:$G$20000,CONFIG_METADATA!$B$4,DATOS!$I$2:$I$20000,"Lenguaje Musical"),"")))</f>
        <v/>
      </c>
      <c r="I279" t="str">
        <f>IF(G279="","",IF(G279="[FÓRMULA MANUAL]","",IFERROR(AVERAGEIFS(DATOS!$K$2:$K$20000,DATOS!$A$2:$A$20000,G279,DATOS!$G$2:$G$20000,CONFIG_METADATA!$B$4,DATOS!$I$2:$I$20000,"Orquesta/Banda/Conjunto"),"")))</f>
        <v/>
      </c>
      <c r="J279" t="str">
        <f>IF(G279="","",IF(G279="[FÓRMULA MANUAL]","",IFERROR(AVERAGEIFS(DATOS!$K$2:$K$20000,DATOS!$A$2:$A$20000,G279,DATOS!$G$2:$G$20000,CONFIG_METADATA!$B$4,DATOS!$I$2:$I$20000,"Conjunto"),"")))</f>
        <v/>
      </c>
      <c r="K279" t="str">
        <f>IF(G279="","",IF(G279="[FÓRMULA MANUAL]","",IFERROR(SUMPRODUCT((DATOS!$A$2:$A$20000=G279)*(DATOS!$G$2:$G$20000=CONFIG_METADATA!$B$4)*(COUNTIF(CONFIG_ASIGNATURAS!$B$7:$B$27,DATOS!$I$2:$I$20000)&gt;0)*(DATOS!$K$2:$K$20000))/SUMPRODUCT((DATOS!$A$2:$A$20000=G279)*(DATOS!$G$2:$G$20000=CONFIG_METADATA!$B$4)*(COUNTIF(CONFIG_ASIGNATURAS!$B$7:$B$27,DATOS!$I$2:$I$20000)&gt;0)*1),"")))</f>
        <v/>
      </c>
      <c r="N279" t="str">
        <f>IF(M279="","",IF(M279="[FÓRMULA MANUAL]","",IFERROR(AVERAGEIFS(DATOS!$K$2:$K$20000,DATOS!$A$2:$A$20000,M279,DATOS!$G$2:$G$20000,CONFIG_METADATA!$B$4,DATOS!$I$2:$I$20000,"Armonía"),"")))</f>
        <v/>
      </c>
      <c r="O279" t="str">
        <f>IF(M279="","",IF(M279="[FÓRMULA MANUAL]","",IFERROR(AVERAGEIFS(DATOS!$K$2:$K$20000,DATOS!$A$2:$A$20000,M279,DATOS!$G$2:$G$20000,CONFIG_METADATA!$B$4,DATOS!$I$2:$I$20000,"Orquesta/Banda/Conjunto"),"")))</f>
        <v/>
      </c>
      <c r="P279" t="str">
        <f>IF(M279="","",IF(M279="[FÓRMULA MANUAL]","",IFERROR(AVERAGEIFS(DATOS!$K$2:$K$20000,DATOS!$A$2:$A$20000,M279,DATOS!$G$2:$G$20000,CONFIG_METADATA!$B$4,DATOS!$I$2:$I$20000,"Música de Cámara"),"")))</f>
        <v/>
      </c>
      <c r="Q279" t="str">
        <f>IF(M279="","",IF(M279="[FÓRMULA MANUAL]","",IFERROR(SUMPRODUCT((DATOS!$A$2:$A$20000=M279)*(DATOS!$G$2:$G$20000=CONFIG_METADATA!$B$4)*(COUNTIF(CONFIG_ASIGNATURAS!$B$7:$B$27,DATOS!$I$2:$I$20000)&gt;0)*(DATOS!$K$2:$K$20000))/SUMPRODUCT((DATOS!$A$2:$A$20000=M279)*(DATOS!$G$2:$G$20000=CONFIG_METADATA!$B$4)*(COUNTIF(CONFIG_ASIGNATURAS!$B$7:$B$27,DATOS!$I$2:$I$20000)&gt;0)*1),"")))</f>
        <v/>
      </c>
      <c r="T279" t="str">
        <f>IF(S279="","",IF(S279="[FÓRMULA MANUAL]","",IFERROR(AVERAGEIFS(DATOS!$K$2:$K$20000,DATOS!$A$2:$A$20000,S279,DATOS!$G$2:$G$20000,CONFIG_METADATA!$B$4,DATOS!$I$2:$I$20000,"Armonía"),"")))</f>
        <v/>
      </c>
      <c r="U279" t="str">
        <f>IF(S279="","",IF(S279="[FÓRMULA MANUAL]","",IFERROR(AVERAGEIFS(DATOS!$K$2:$K$20000,DATOS!$A$2:$A$20000,S279,DATOS!$G$2:$G$20000,CONFIG_METADATA!$B$4,DATOS!$I$2:$I$20000,"Orquesta/Banda/Conjunto"),"")))</f>
        <v/>
      </c>
      <c r="V279" t="str">
        <f>IF(S279="","",IF(S279="[FÓRMULA MANUAL]","",IFERROR(AVERAGEIFS(DATOS!$K$2:$K$20000,DATOS!$A$2:$A$20000,S279,DATOS!$G$2:$G$20000,CONFIG_METADATA!$B$4,DATOS!$I$2:$I$20000,"Música de Cámara"),"")))</f>
        <v/>
      </c>
      <c r="W279" t="str">
        <f>IF(S279="","",IF(S279="[FÓRMULA MANUAL]","",IFERROR(SUMPRODUCT((DATOS!$A$2:$A$20000=S279)*(DATOS!$G$2:$G$20000=CONFIG_METADATA!$B$4)*(COUNTIF(CONFIG_ASIGNATURAS!$B$7:$B$27,DATOS!$I$2:$I$20000)&gt;0)*(DATOS!$K$2:$K$20000))/SUMPRODUCT((DATOS!$A$2:$A$20000=S279)*(DATOS!$G$2:$G$20000=CONFIG_METADATA!$B$4)*(COUNTIF(CONFIG_ASIGNATURAS!$B$7:$B$27,DATOS!$I$2:$I$20000)&gt;0)*1),"")))</f>
        <v/>
      </c>
      <c r="Z279" t="str">
        <f>IF(Y279="","",IF(Y279="[FÓRMULA MANUAL]","",IFERROR(AVERAGEIFS(DATOS!$K$2:$K$20000,DATOS!$A$2:$A$20000,Y279,DATOS!$G$2:$G$20000,CONFIG_METADATA!$B$4,DATOS!$I$2:$I$20000,"Análisis"),"")))</f>
        <v/>
      </c>
      <c r="AA279" t="str">
        <f>IF(Y279="","",IF(Y279="[FÓRMULA MANUAL]","",IFERROR(AVERAGEIFS(DATOS!$K$2:$K$20000,DATOS!$A$2:$A$20000,Y279,DATOS!$G$2:$G$20000,CONFIG_METADATA!$B$4,DATOS!$I$2:$I$20000,"Orquesta/Banda/Conjunto"),"")))</f>
        <v/>
      </c>
      <c r="AB279" t="str">
        <f>IF(Y279="","",IF(Y279="[FÓRMULA MANUAL]","",IFERROR(AVERAGEIFS(DATOS!$K$2:$K$20000,DATOS!$A$2:$A$20000,Y279,DATOS!$G$2:$G$20000,CONFIG_METADATA!$B$4,DATOS!$I$2:$I$20000,"Música de Cámara"),"")))</f>
        <v/>
      </c>
      <c r="AC279" t="str">
        <f>IF(Y279="","",IF(Y279="[FÓRMULA MANUAL]","",IFERROR(SUMPRODUCT((DATOS!$A$2:$A$20000=Y279)*(DATOS!$G$2:$G$20000=CONFIG_METADATA!$B$4)*(COUNTIF(CONFIG_ASIGNATURAS!$B$7:$B$27,DATOS!$I$2:$I$20000)&gt;0)*(DATOS!$K$2:$K$20000))/SUMPRODUCT((DATOS!$A$2:$A$20000=Y279)*(DATOS!$G$2:$G$20000=CONFIG_METADATA!$B$4)*(COUNTIF(CONFIG_ASIGNATURAS!$B$7:$B$27,DATOS!$I$2:$I$20000)&gt;0)*1),"")))</f>
        <v/>
      </c>
      <c r="AF279" t="str">
        <f>IF(AE279="","",IF(AE279="[FÓRMULA MANUAL]","",IFERROR(AVERAGEIFS(DATOS!$K$2:$K$20000,DATOS!$A$2:$A$20000,AE279,DATOS!$G$2:$G$20000,CONFIG_METADATA!$B$4,DATOS!$I$2:$I$20000,"Análisis"),"")))</f>
        <v/>
      </c>
      <c r="AG279" t="str">
        <f>IF(AE279="","",IF(AE279="[FÓRMULA MANUAL]","",IFERROR(AVERAGEIFS(DATOS!$K$2:$K$20000,DATOS!$A$2:$A$20000,AE279,DATOS!$G$2:$G$20000,CONFIG_METADATA!$B$4,DATOS!$I$2:$I$20000,"Orquesta/Banda/Conjunto"),"")))</f>
        <v/>
      </c>
      <c r="AH279" t="str">
        <f>IF(AE279="","",IF(AE279="[FÓRMULA MANUAL]","",IFERROR(AVERAGEIFS(DATOS!$K$2:$K$20000,DATOS!$A$2:$A$20000,AE279,DATOS!$G$2:$G$20000,CONFIG_METADATA!$B$4,DATOS!$I$2:$I$20000,"Música de Cámara"),"")))</f>
        <v/>
      </c>
      <c r="AI279" t="str">
        <f>IF(AE279="","",IF(AE279="[FÓRMULA MANUAL]","",IFERROR(SUMPRODUCT((DATOS!$A$2:$A$20000=AE279)*(DATOS!$G$2:$G$20000=CONFIG_METADATA!$B$4)*(COUNTIF(CONFIG_ASIGNATURAS!$B$7:$B$27,DATOS!$I$2:$I$20000)&gt;0)*(DATOS!$K$2:$K$20000))/SUMPRODUCT((DATOS!$A$2:$A$20000=AE279)*(DATOS!$G$2:$G$20000=CONFIG_METADATA!$B$4)*(COUNTIF(CONFIG_ASIGNATURAS!$B$7:$B$27,DATOS!$I$2:$I$20000)&gt;0)*1),"")))</f>
        <v/>
      </c>
    </row>
    <row r="280" spans="2:35" x14ac:dyDescent="0.2">
      <c r="B280" t="str">
        <f>IF(A280="","",IF(A280="[FÓRMULA MANUAL]","",IFERROR(AVERAGEIFS(DATOS!$K$2:$K$20000,DATOS!$A$2:$A$20000,A280,DATOS!$G$2:$G$20000,CONFIG_METADATA!$B$4,DATOS!$I$2:$I$20000,"Lenguaje Musical"),"")))</f>
        <v/>
      </c>
      <c r="C280" t="str">
        <f>IF(A280="","",IF(A280="[FÓRMULA MANUAL]","",IFERROR(AVERAGEIFS(DATOS!$K$2:$K$20000,DATOS!$A$2:$A$20000,A280,DATOS!$G$2:$G$20000,CONFIG_METADATA!$B$4,DATOS!$I$2:$I$20000,"Orquesta/Banda/Conjunto"),"")))</f>
        <v/>
      </c>
      <c r="D280" t="str">
        <f>IF(A280="","",IF(A280="[FÓRMULA MANUAL]","",IFERROR(AVERAGEIFS(DATOS!$K$2:$K$20000,DATOS!$A$2:$A$20000,A280,DATOS!$G$2:$G$20000,CONFIG_METADATA!$B$4,DATOS!$I$2:$I$20000,"Conjunto"),"")))</f>
        <v/>
      </c>
      <c r="E280" t="str">
        <f>IF(A280="","",IF(A280="[FÓRMULA MANUAL]","",IFERROR(SUMPRODUCT((DATOS!$A$2:$A$20000=A280)*(DATOS!$G$2:$G$20000=CONFIG_METADATA!$B$4)*(COUNTIF(CONFIG_ASIGNATURAS!$B$7:$B$27,DATOS!$I$2:$I$20000)&gt;0)*(DATOS!$K$2:$K$20000))/SUMPRODUCT((DATOS!$A$2:$A$20000=A280)*(DATOS!$G$2:$G$20000=CONFIG_METADATA!$B$4)*(COUNTIF(CONFIG_ASIGNATURAS!$B$7:$B$27,DATOS!$I$2:$I$20000)&gt;0)*1),"")))</f>
        <v/>
      </c>
      <c r="H280" t="str">
        <f>IF(G280="","",IF(G280="[FÓRMULA MANUAL]","",IFERROR(AVERAGEIFS(DATOS!$K$2:$K$20000,DATOS!$A$2:$A$20000,G280,DATOS!$G$2:$G$20000,CONFIG_METADATA!$B$4,DATOS!$I$2:$I$20000,"Lenguaje Musical"),"")))</f>
        <v/>
      </c>
      <c r="I280" t="str">
        <f>IF(G280="","",IF(G280="[FÓRMULA MANUAL]","",IFERROR(AVERAGEIFS(DATOS!$K$2:$K$20000,DATOS!$A$2:$A$20000,G280,DATOS!$G$2:$G$20000,CONFIG_METADATA!$B$4,DATOS!$I$2:$I$20000,"Orquesta/Banda/Conjunto"),"")))</f>
        <v/>
      </c>
      <c r="J280" t="str">
        <f>IF(G280="","",IF(G280="[FÓRMULA MANUAL]","",IFERROR(AVERAGEIFS(DATOS!$K$2:$K$20000,DATOS!$A$2:$A$20000,G280,DATOS!$G$2:$G$20000,CONFIG_METADATA!$B$4,DATOS!$I$2:$I$20000,"Conjunto"),"")))</f>
        <v/>
      </c>
      <c r="K280" t="str">
        <f>IF(G280="","",IF(G280="[FÓRMULA MANUAL]","",IFERROR(SUMPRODUCT((DATOS!$A$2:$A$20000=G280)*(DATOS!$G$2:$G$20000=CONFIG_METADATA!$B$4)*(COUNTIF(CONFIG_ASIGNATURAS!$B$7:$B$27,DATOS!$I$2:$I$20000)&gt;0)*(DATOS!$K$2:$K$20000))/SUMPRODUCT((DATOS!$A$2:$A$20000=G280)*(DATOS!$G$2:$G$20000=CONFIG_METADATA!$B$4)*(COUNTIF(CONFIG_ASIGNATURAS!$B$7:$B$27,DATOS!$I$2:$I$20000)&gt;0)*1),"")))</f>
        <v/>
      </c>
      <c r="N280" t="str">
        <f>IF(M280="","",IF(M280="[FÓRMULA MANUAL]","",IFERROR(AVERAGEIFS(DATOS!$K$2:$K$20000,DATOS!$A$2:$A$20000,M280,DATOS!$G$2:$G$20000,CONFIG_METADATA!$B$4,DATOS!$I$2:$I$20000,"Armonía"),"")))</f>
        <v/>
      </c>
      <c r="O280" t="str">
        <f>IF(M280="","",IF(M280="[FÓRMULA MANUAL]","",IFERROR(AVERAGEIFS(DATOS!$K$2:$K$20000,DATOS!$A$2:$A$20000,M280,DATOS!$G$2:$G$20000,CONFIG_METADATA!$B$4,DATOS!$I$2:$I$20000,"Orquesta/Banda/Conjunto"),"")))</f>
        <v/>
      </c>
      <c r="P280" t="str">
        <f>IF(M280="","",IF(M280="[FÓRMULA MANUAL]","",IFERROR(AVERAGEIFS(DATOS!$K$2:$K$20000,DATOS!$A$2:$A$20000,M280,DATOS!$G$2:$G$20000,CONFIG_METADATA!$B$4,DATOS!$I$2:$I$20000,"Música de Cámara"),"")))</f>
        <v/>
      </c>
      <c r="Q280" t="str">
        <f>IF(M280="","",IF(M280="[FÓRMULA MANUAL]","",IFERROR(SUMPRODUCT((DATOS!$A$2:$A$20000=M280)*(DATOS!$G$2:$G$20000=CONFIG_METADATA!$B$4)*(COUNTIF(CONFIG_ASIGNATURAS!$B$7:$B$27,DATOS!$I$2:$I$20000)&gt;0)*(DATOS!$K$2:$K$20000))/SUMPRODUCT((DATOS!$A$2:$A$20000=M280)*(DATOS!$G$2:$G$20000=CONFIG_METADATA!$B$4)*(COUNTIF(CONFIG_ASIGNATURAS!$B$7:$B$27,DATOS!$I$2:$I$20000)&gt;0)*1),"")))</f>
        <v/>
      </c>
      <c r="T280" t="str">
        <f>IF(S280="","",IF(S280="[FÓRMULA MANUAL]","",IFERROR(AVERAGEIFS(DATOS!$K$2:$K$20000,DATOS!$A$2:$A$20000,S280,DATOS!$G$2:$G$20000,CONFIG_METADATA!$B$4,DATOS!$I$2:$I$20000,"Armonía"),"")))</f>
        <v/>
      </c>
      <c r="U280" t="str">
        <f>IF(S280="","",IF(S280="[FÓRMULA MANUAL]","",IFERROR(AVERAGEIFS(DATOS!$K$2:$K$20000,DATOS!$A$2:$A$20000,S280,DATOS!$G$2:$G$20000,CONFIG_METADATA!$B$4,DATOS!$I$2:$I$20000,"Orquesta/Banda/Conjunto"),"")))</f>
        <v/>
      </c>
      <c r="V280" t="str">
        <f>IF(S280="","",IF(S280="[FÓRMULA MANUAL]","",IFERROR(AVERAGEIFS(DATOS!$K$2:$K$20000,DATOS!$A$2:$A$20000,S280,DATOS!$G$2:$G$20000,CONFIG_METADATA!$B$4,DATOS!$I$2:$I$20000,"Música de Cámara"),"")))</f>
        <v/>
      </c>
      <c r="W280" t="str">
        <f>IF(S280="","",IF(S280="[FÓRMULA MANUAL]","",IFERROR(SUMPRODUCT((DATOS!$A$2:$A$20000=S280)*(DATOS!$G$2:$G$20000=CONFIG_METADATA!$B$4)*(COUNTIF(CONFIG_ASIGNATURAS!$B$7:$B$27,DATOS!$I$2:$I$20000)&gt;0)*(DATOS!$K$2:$K$20000))/SUMPRODUCT((DATOS!$A$2:$A$20000=S280)*(DATOS!$G$2:$G$20000=CONFIG_METADATA!$B$4)*(COUNTIF(CONFIG_ASIGNATURAS!$B$7:$B$27,DATOS!$I$2:$I$20000)&gt;0)*1),"")))</f>
        <v/>
      </c>
      <c r="Z280" t="str">
        <f>IF(Y280="","",IF(Y280="[FÓRMULA MANUAL]","",IFERROR(AVERAGEIFS(DATOS!$K$2:$K$20000,DATOS!$A$2:$A$20000,Y280,DATOS!$G$2:$G$20000,CONFIG_METADATA!$B$4,DATOS!$I$2:$I$20000,"Análisis"),"")))</f>
        <v/>
      </c>
      <c r="AA280" t="str">
        <f>IF(Y280="","",IF(Y280="[FÓRMULA MANUAL]","",IFERROR(AVERAGEIFS(DATOS!$K$2:$K$20000,DATOS!$A$2:$A$20000,Y280,DATOS!$G$2:$G$20000,CONFIG_METADATA!$B$4,DATOS!$I$2:$I$20000,"Orquesta/Banda/Conjunto"),"")))</f>
        <v/>
      </c>
      <c r="AB280" t="str">
        <f>IF(Y280="","",IF(Y280="[FÓRMULA MANUAL]","",IFERROR(AVERAGEIFS(DATOS!$K$2:$K$20000,DATOS!$A$2:$A$20000,Y280,DATOS!$G$2:$G$20000,CONFIG_METADATA!$B$4,DATOS!$I$2:$I$20000,"Música de Cámara"),"")))</f>
        <v/>
      </c>
      <c r="AC280" t="str">
        <f>IF(Y280="","",IF(Y280="[FÓRMULA MANUAL]","",IFERROR(SUMPRODUCT((DATOS!$A$2:$A$20000=Y280)*(DATOS!$G$2:$G$20000=CONFIG_METADATA!$B$4)*(COUNTIF(CONFIG_ASIGNATURAS!$B$7:$B$27,DATOS!$I$2:$I$20000)&gt;0)*(DATOS!$K$2:$K$20000))/SUMPRODUCT((DATOS!$A$2:$A$20000=Y280)*(DATOS!$G$2:$G$20000=CONFIG_METADATA!$B$4)*(COUNTIF(CONFIG_ASIGNATURAS!$B$7:$B$27,DATOS!$I$2:$I$20000)&gt;0)*1),"")))</f>
        <v/>
      </c>
      <c r="AF280" t="str">
        <f>IF(AE280="","",IF(AE280="[FÓRMULA MANUAL]","",IFERROR(AVERAGEIFS(DATOS!$K$2:$K$20000,DATOS!$A$2:$A$20000,AE280,DATOS!$G$2:$G$20000,CONFIG_METADATA!$B$4,DATOS!$I$2:$I$20000,"Análisis"),"")))</f>
        <v/>
      </c>
      <c r="AG280" t="str">
        <f>IF(AE280="","",IF(AE280="[FÓRMULA MANUAL]","",IFERROR(AVERAGEIFS(DATOS!$K$2:$K$20000,DATOS!$A$2:$A$20000,AE280,DATOS!$G$2:$G$20000,CONFIG_METADATA!$B$4,DATOS!$I$2:$I$20000,"Orquesta/Banda/Conjunto"),"")))</f>
        <v/>
      </c>
      <c r="AH280" t="str">
        <f>IF(AE280="","",IF(AE280="[FÓRMULA MANUAL]","",IFERROR(AVERAGEIFS(DATOS!$K$2:$K$20000,DATOS!$A$2:$A$20000,AE280,DATOS!$G$2:$G$20000,CONFIG_METADATA!$B$4,DATOS!$I$2:$I$20000,"Música de Cámara"),"")))</f>
        <v/>
      </c>
      <c r="AI280" t="str">
        <f>IF(AE280="","",IF(AE280="[FÓRMULA MANUAL]","",IFERROR(SUMPRODUCT((DATOS!$A$2:$A$20000=AE280)*(DATOS!$G$2:$G$20000=CONFIG_METADATA!$B$4)*(COUNTIF(CONFIG_ASIGNATURAS!$B$7:$B$27,DATOS!$I$2:$I$20000)&gt;0)*(DATOS!$K$2:$K$20000))/SUMPRODUCT((DATOS!$A$2:$A$20000=AE280)*(DATOS!$G$2:$G$20000=CONFIG_METADATA!$B$4)*(COUNTIF(CONFIG_ASIGNATURAS!$B$7:$B$27,DATOS!$I$2:$I$20000)&gt;0)*1),"")))</f>
        <v/>
      </c>
    </row>
    <row r="281" spans="2:35" x14ac:dyDescent="0.2">
      <c r="B281" t="str">
        <f>IF(A281="","",IF(A281="[FÓRMULA MANUAL]","",IFERROR(AVERAGEIFS(DATOS!$K$2:$K$20000,DATOS!$A$2:$A$20000,A281,DATOS!$G$2:$G$20000,CONFIG_METADATA!$B$4,DATOS!$I$2:$I$20000,"Lenguaje Musical"),"")))</f>
        <v/>
      </c>
      <c r="C281" t="str">
        <f>IF(A281="","",IF(A281="[FÓRMULA MANUAL]","",IFERROR(AVERAGEIFS(DATOS!$K$2:$K$20000,DATOS!$A$2:$A$20000,A281,DATOS!$G$2:$G$20000,CONFIG_METADATA!$B$4,DATOS!$I$2:$I$20000,"Orquesta/Banda/Conjunto"),"")))</f>
        <v/>
      </c>
      <c r="D281" t="str">
        <f>IF(A281="","",IF(A281="[FÓRMULA MANUAL]","",IFERROR(AVERAGEIFS(DATOS!$K$2:$K$20000,DATOS!$A$2:$A$20000,A281,DATOS!$G$2:$G$20000,CONFIG_METADATA!$B$4,DATOS!$I$2:$I$20000,"Conjunto"),"")))</f>
        <v/>
      </c>
      <c r="E281" t="str">
        <f>IF(A281="","",IF(A281="[FÓRMULA MANUAL]","",IFERROR(SUMPRODUCT((DATOS!$A$2:$A$20000=A281)*(DATOS!$G$2:$G$20000=CONFIG_METADATA!$B$4)*(COUNTIF(CONFIG_ASIGNATURAS!$B$7:$B$27,DATOS!$I$2:$I$20000)&gt;0)*(DATOS!$K$2:$K$20000))/SUMPRODUCT((DATOS!$A$2:$A$20000=A281)*(DATOS!$G$2:$G$20000=CONFIG_METADATA!$B$4)*(COUNTIF(CONFIG_ASIGNATURAS!$B$7:$B$27,DATOS!$I$2:$I$20000)&gt;0)*1),"")))</f>
        <v/>
      </c>
      <c r="H281" t="str">
        <f>IF(G281="","",IF(G281="[FÓRMULA MANUAL]","",IFERROR(AVERAGEIFS(DATOS!$K$2:$K$20000,DATOS!$A$2:$A$20000,G281,DATOS!$G$2:$G$20000,CONFIG_METADATA!$B$4,DATOS!$I$2:$I$20000,"Lenguaje Musical"),"")))</f>
        <v/>
      </c>
      <c r="I281" t="str">
        <f>IF(G281="","",IF(G281="[FÓRMULA MANUAL]","",IFERROR(AVERAGEIFS(DATOS!$K$2:$K$20000,DATOS!$A$2:$A$20000,G281,DATOS!$G$2:$G$20000,CONFIG_METADATA!$B$4,DATOS!$I$2:$I$20000,"Orquesta/Banda/Conjunto"),"")))</f>
        <v/>
      </c>
      <c r="J281" t="str">
        <f>IF(G281="","",IF(G281="[FÓRMULA MANUAL]","",IFERROR(AVERAGEIFS(DATOS!$K$2:$K$20000,DATOS!$A$2:$A$20000,G281,DATOS!$G$2:$G$20000,CONFIG_METADATA!$B$4,DATOS!$I$2:$I$20000,"Conjunto"),"")))</f>
        <v/>
      </c>
      <c r="K281" t="str">
        <f>IF(G281="","",IF(G281="[FÓRMULA MANUAL]","",IFERROR(SUMPRODUCT((DATOS!$A$2:$A$20000=G281)*(DATOS!$G$2:$G$20000=CONFIG_METADATA!$B$4)*(COUNTIF(CONFIG_ASIGNATURAS!$B$7:$B$27,DATOS!$I$2:$I$20000)&gt;0)*(DATOS!$K$2:$K$20000))/SUMPRODUCT((DATOS!$A$2:$A$20000=G281)*(DATOS!$G$2:$G$20000=CONFIG_METADATA!$B$4)*(COUNTIF(CONFIG_ASIGNATURAS!$B$7:$B$27,DATOS!$I$2:$I$20000)&gt;0)*1),"")))</f>
        <v/>
      </c>
      <c r="N281" t="str">
        <f>IF(M281="","",IF(M281="[FÓRMULA MANUAL]","",IFERROR(AVERAGEIFS(DATOS!$K$2:$K$20000,DATOS!$A$2:$A$20000,M281,DATOS!$G$2:$G$20000,CONFIG_METADATA!$B$4,DATOS!$I$2:$I$20000,"Armonía"),"")))</f>
        <v/>
      </c>
      <c r="O281" t="str">
        <f>IF(M281="","",IF(M281="[FÓRMULA MANUAL]","",IFERROR(AVERAGEIFS(DATOS!$K$2:$K$20000,DATOS!$A$2:$A$20000,M281,DATOS!$G$2:$G$20000,CONFIG_METADATA!$B$4,DATOS!$I$2:$I$20000,"Orquesta/Banda/Conjunto"),"")))</f>
        <v/>
      </c>
      <c r="P281" t="str">
        <f>IF(M281="","",IF(M281="[FÓRMULA MANUAL]","",IFERROR(AVERAGEIFS(DATOS!$K$2:$K$20000,DATOS!$A$2:$A$20000,M281,DATOS!$G$2:$G$20000,CONFIG_METADATA!$B$4,DATOS!$I$2:$I$20000,"Música de Cámara"),"")))</f>
        <v/>
      </c>
      <c r="Q281" t="str">
        <f>IF(M281="","",IF(M281="[FÓRMULA MANUAL]","",IFERROR(SUMPRODUCT((DATOS!$A$2:$A$20000=M281)*(DATOS!$G$2:$G$20000=CONFIG_METADATA!$B$4)*(COUNTIF(CONFIG_ASIGNATURAS!$B$7:$B$27,DATOS!$I$2:$I$20000)&gt;0)*(DATOS!$K$2:$K$20000))/SUMPRODUCT((DATOS!$A$2:$A$20000=M281)*(DATOS!$G$2:$G$20000=CONFIG_METADATA!$B$4)*(COUNTIF(CONFIG_ASIGNATURAS!$B$7:$B$27,DATOS!$I$2:$I$20000)&gt;0)*1),"")))</f>
        <v/>
      </c>
      <c r="T281" t="str">
        <f>IF(S281="","",IF(S281="[FÓRMULA MANUAL]","",IFERROR(AVERAGEIFS(DATOS!$K$2:$K$20000,DATOS!$A$2:$A$20000,S281,DATOS!$G$2:$G$20000,CONFIG_METADATA!$B$4,DATOS!$I$2:$I$20000,"Armonía"),"")))</f>
        <v/>
      </c>
      <c r="U281" t="str">
        <f>IF(S281="","",IF(S281="[FÓRMULA MANUAL]","",IFERROR(AVERAGEIFS(DATOS!$K$2:$K$20000,DATOS!$A$2:$A$20000,S281,DATOS!$G$2:$G$20000,CONFIG_METADATA!$B$4,DATOS!$I$2:$I$20000,"Orquesta/Banda/Conjunto"),"")))</f>
        <v/>
      </c>
      <c r="V281" t="str">
        <f>IF(S281="","",IF(S281="[FÓRMULA MANUAL]","",IFERROR(AVERAGEIFS(DATOS!$K$2:$K$20000,DATOS!$A$2:$A$20000,S281,DATOS!$G$2:$G$20000,CONFIG_METADATA!$B$4,DATOS!$I$2:$I$20000,"Música de Cámara"),"")))</f>
        <v/>
      </c>
      <c r="W281" t="str">
        <f>IF(S281="","",IF(S281="[FÓRMULA MANUAL]","",IFERROR(SUMPRODUCT((DATOS!$A$2:$A$20000=S281)*(DATOS!$G$2:$G$20000=CONFIG_METADATA!$B$4)*(COUNTIF(CONFIG_ASIGNATURAS!$B$7:$B$27,DATOS!$I$2:$I$20000)&gt;0)*(DATOS!$K$2:$K$20000))/SUMPRODUCT((DATOS!$A$2:$A$20000=S281)*(DATOS!$G$2:$G$20000=CONFIG_METADATA!$B$4)*(COUNTIF(CONFIG_ASIGNATURAS!$B$7:$B$27,DATOS!$I$2:$I$20000)&gt;0)*1),"")))</f>
        <v/>
      </c>
      <c r="Z281" t="str">
        <f>IF(Y281="","",IF(Y281="[FÓRMULA MANUAL]","",IFERROR(AVERAGEIFS(DATOS!$K$2:$K$20000,DATOS!$A$2:$A$20000,Y281,DATOS!$G$2:$G$20000,CONFIG_METADATA!$B$4,DATOS!$I$2:$I$20000,"Análisis"),"")))</f>
        <v/>
      </c>
      <c r="AA281" t="str">
        <f>IF(Y281="","",IF(Y281="[FÓRMULA MANUAL]","",IFERROR(AVERAGEIFS(DATOS!$K$2:$K$20000,DATOS!$A$2:$A$20000,Y281,DATOS!$G$2:$G$20000,CONFIG_METADATA!$B$4,DATOS!$I$2:$I$20000,"Orquesta/Banda/Conjunto"),"")))</f>
        <v/>
      </c>
      <c r="AB281" t="str">
        <f>IF(Y281="","",IF(Y281="[FÓRMULA MANUAL]","",IFERROR(AVERAGEIFS(DATOS!$K$2:$K$20000,DATOS!$A$2:$A$20000,Y281,DATOS!$G$2:$G$20000,CONFIG_METADATA!$B$4,DATOS!$I$2:$I$20000,"Música de Cámara"),"")))</f>
        <v/>
      </c>
      <c r="AC281" t="str">
        <f>IF(Y281="","",IF(Y281="[FÓRMULA MANUAL]","",IFERROR(SUMPRODUCT((DATOS!$A$2:$A$20000=Y281)*(DATOS!$G$2:$G$20000=CONFIG_METADATA!$B$4)*(COUNTIF(CONFIG_ASIGNATURAS!$B$7:$B$27,DATOS!$I$2:$I$20000)&gt;0)*(DATOS!$K$2:$K$20000))/SUMPRODUCT((DATOS!$A$2:$A$20000=Y281)*(DATOS!$G$2:$G$20000=CONFIG_METADATA!$B$4)*(COUNTIF(CONFIG_ASIGNATURAS!$B$7:$B$27,DATOS!$I$2:$I$20000)&gt;0)*1),"")))</f>
        <v/>
      </c>
      <c r="AF281" t="str">
        <f>IF(AE281="","",IF(AE281="[FÓRMULA MANUAL]","",IFERROR(AVERAGEIFS(DATOS!$K$2:$K$20000,DATOS!$A$2:$A$20000,AE281,DATOS!$G$2:$G$20000,CONFIG_METADATA!$B$4,DATOS!$I$2:$I$20000,"Análisis"),"")))</f>
        <v/>
      </c>
      <c r="AG281" t="str">
        <f>IF(AE281="","",IF(AE281="[FÓRMULA MANUAL]","",IFERROR(AVERAGEIFS(DATOS!$K$2:$K$20000,DATOS!$A$2:$A$20000,AE281,DATOS!$G$2:$G$20000,CONFIG_METADATA!$B$4,DATOS!$I$2:$I$20000,"Orquesta/Banda/Conjunto"),"")))</f>
        <v/>
      </c>
      <c r="AH281" t="str">
        <f>IF(AE281="","",IF(AE281="[FÓRMULA MANUAL]","",IFERROR(AVERAGEIFS(DATOS!$K$2:$K$20000,DATOS!$A$2:$A$20000,AE281,DATOS!$G$2:$G$20000,CONFIG_METADATA!$B$4,DATOS!$I$2:$I$20000,"Música de Cámara"),"")))</f>
        <v/>
      </c>
      <c r="AI281" t="str">
        <f>IF(AE281="","",IF(AE281="[FÓRMULA MANUAL]","",IFERROR(SUMPRODUCT((DATOS!$A$2:$A$20000=AE281)*(DATOS!$G$2:$G$20000=CONFIG_METADATA!$B$4)*(COUNTIF(CONFIG_ASIGNATURAS!$B$7:$B$27,DATOS!$I$2:$I$20000)&gt;0)*(DATOS!$K$2:$K$20000))/SUMPRODUCT((DATOS!$A$2:$A$20000=AE281)*(DATOS!$G$2:$G$20000=CONFIG_METADATA!$B$4)*(COUNTIF(CONFIG_ASIGNATURAS!$B$7:$B$27,DATOS!$I$2:$I$20000)&gt;0)*1),"")))</f>
        <v/>
      </c>
    </row>
    <row r="282" spans="2:35" x14ac:dyDescent="0.2">
      <c r="B282" t="str">
        <f>IF(A282="","",IF(A282="[FÓRMULA MANUAL]","",IFERROR(AVERAGEIFS(DATOS!$K$2:$K$20000,DATOS!$A$2:$A$20000,A282,DATOS!$G$2:$G$20000,CONFIG_METADATA!$B$4,DATOS!$I$2:$I$20000,"Lenguaje Musical"),"")))</f>
        <v/>
      </c>
      <c r="C282" t="str">
        <f>IF(A282="","",IF(A282="[FÓRMULA MANUAL]","",IFERROR(AVERAGEIFS(DATOS!$K$2:$K$20000,DATOS!$A$2:$A$20000,A282,DATOS!$G$2:$G$20000,CONFIG_METADATA!$B$4,DATOS!$I$2:$I$20000,"Orquesta/Banda/Conjunto"),"")))</f>
        <v/>
      </c>
      <c r="D282" t="str">
        <f>IF(A282="","",IF(A282="[FÓRMULA MANUAL]","",IFERROR(AVERAGEIFS(DATOS!$K$2:$K$20000,DATOS!$A$2:$A$20000,A282,DATOS!$G$2:$G$20000,CONFIG_METADATA!$B$4,DATOS!$I$2:$I$20000,"Conjunto"),"")))</f>
        <v/>
      </c>
      <c r="E282" t="str">
        <f>IF(A282="","",IF(A282="[FÓRMULA MANUAL]","",IFERROR(SUMPRODUCT((DATOS!$A$2:$A$20000=A282)*(DATOS!$G$2:$G$20000=CONFIG_METADATA!$B$4)*(COUNTIF(CONFIG_ASIGNATURAS!$B$7:$B$27,DATOS!$I$2:$I$20000)&gt;0)*(DATOS!$K$2:$K$20000))/SUMPRODUCT((DATOS!$A$2:$A$20000=A282)*(DATOS!$G$2:$G$20000=CONFIG_METADATA!$B$4)*(COUNTIF(CONFIG_ASIGNATURAS!$B$7:$B$27,DATOS!$I$2:$I$20000)&gt;0)*1),"")))</f>
        <v/>
      </c>
      <c r="H282" t="str">
        <f>IF(G282="","",IF(G282="[FÓRMULA MANUAL]","",IFERROR(AVERAGEIFS(DATOS!$K$2:$K$20000,DATOS!$A$2:$A$20000,G282,DATOS!$G$2:$G$20000,CONFIG_METADATA!$B$4,DATOS!$I$2:$I$20000,"Lenguaje Musical"),"")))</f>
        <v/>
      </c>
      <c r="I282" t="str">
        <f>IF(G282="","",IF(G282="[FÓRMULA MANUAL]","",IFERROR(AVERAGEIFS(DATOS!$K$2:$K$20000,DATOS!$A$2:$A$20000,G282,DATOS!$G$2:$G$20000,CONFIG_METADATA!$B$4,DATOS!$I$2:$I$20000,"Orquesta/Banda/Conjunto"),"")))</f>
        <v/>
      </c>
      <c r="J282" t="str">
        <f>IF(G282="","",IF(G282="[FÓRMULA MANUAL]","",IFERROR(AVERAGEIFS(DATOS!$K$2:$K$20000,DATOS!$A$2:$A$20000,G282,DATOS!$G$2:$G$20000,CONFIG_METADATA!$B$4,DATOS!$I$2:$I$20000,"Conjunto"),"")))</f>
        <v/>
      </c>
      <c r="K282" t="str">
        <f>IF(G282="","",IF(G282="[FÓRMULA MANUAL]","",IFERROR(SUMPRODUCT((DATOS!$A$2:$A$20000=G282)*(DATOS!$G$2:$G$20000=CONFIG_METADATA!$B$4)*(COUNTIF(CONFIG_ASIGNATURAS!$B$7:$B$27,DATOS!$I$2:$I$20000)&gt;0)*(DATOS!$K$2:$K$20000))/SUMPRODUCT((DATOS!$A$2:$A$20000=G282)*(DATOS!$G$2:$G$20000=CONFIG_METADATA!$B$4)*(COUNTIF(CONFIG_ASIGNATURAS!$B$7:$B$27,DATOS!$I$2:$I$20000)&gt;0)*1),"")))</f>
        <v/>
      </c>
      <c r="N282" t="str">
        <f>IF(M282="","",IF(M282="[FÓRMULA MANUAL]","",IFERROR(AVERAGEIFS(DATOS!$K$2:$K$20000,DATOS!$A$2:$A$20000,M282,DATOS!$G$2:$G$20000,CONFIG_METADATA!$B$4,DATOS!$I$2:$I$20000,"Armonía"),"")))</f>
        <v/>
      </c>
      <c r="O282" t="str">
        <f>IF(M282="","",IF(M282="[FÓRMULA MANUAL]","",IFERROR(AVERAGEIFS(DATOS!$K$2:$K$20000,DATOS!$A$2:$A$20000,M282,DATOS!$G$2:$G$20000,CONFIG_METADATA!$B$4,DATOS!$I$2:$I$20000,"Orquesta/Banda/Conjunto"),"")))</f>
        <v/>
      </c>
      <c r="P282" t="str">
        <f>IF(M282="","",IF(M282="[FÓRMULA MANUAL]","",IFERROR(AVERAGEIFS(DATOS!$K$2:$K$20000,DATOS!$A$2:$A$20000,M282,DATOS!$G$2:$G$20000,CONFIG_METADATA!$B$4,DATOS!$I$2:$I$20000,"Música de Cámara"),"")))</f>
        <v/>
      </c>
      <c r="Q282" t="str">
        <f>IF(M282="","",IF(M282="[FÓRMULA MANUAL]","",IFERROR(SUMPRODUCT((DATOS!$A$2:$A$20000=M282)*(DATOS!$G$2:$G$20000=CONFIG_METADATA!$B$4)*(COUNTIF(CONFIG_ASIGNATURAS!$B$7:$B$27,DATOS!$I$2:$I$20000)&gt;0)*(DATOS!$K$2:$K$20000))/SUMPRODUCT((DATOS!$A$2:$A$20000=M282)*(DATOS!$G$2:$G$20000=CONFIG_METADATA!$B$4)*(COUNTIF(CONFIG_ASIGNATURAS!$B$7:$B$27,DATOS!$I$2:$I$20000)&gt;0)*1),"")))</f>
        <v/>
      </c>
      <c r="T282" t="str">
        <f>IF(S282="","",IF(S282="[FÓRMULA MANUAL]","",IFERROR(AVERAGEIFS(DATOS!$K$2:$K$20000,DATOS!$A$2:$A$20000,S282,DATOS!$G$2:$G$20000,CONFIG_METADATA!$B$4,DATOS!$I$2:$I$20000,"Armonía"),"")))</f>
        <v/>
      </c>
      <c r="U282" t="str">
        <f>IF(S282="","",IF(S282="[FÓRMULA MANUAL]","",IFERROR(AVERAGEIFS(DATOS!$K$2:$K$20000,DATOS!$A$2:$A$20000,S282,DATOS!$G$2:$G$20000,CONFIG_METADATA!$B$4,DATOS!$I$2:$I$20000,"Orquesta/Banda/Conjunto"),"")))</f>
        <v/>
      </c>
      <c r="V282" t="str">
        <f>IF(S282="","",IF(S282="[FÓRMULA MANUAL]","",IFERROR(AVERAGEIFS(DATOS!$K$2:$K$20000,DATOS!$A$2:$A$20000,S282,DATOS!$G$2:$G$20000,CONFIG_METADATA!$B$4,DATOS!$I$2:$I$20000,"Música de Cámara"),"")))</f>
        <v/>
      </c>
      <c r="W282" t="str">
        <f>IF(S282="","",IF(S282="[FÓRMULA MANUAL]","",IFERROR(SUMPRODUCT((DATOS!$A$2:$A$20000=S282)*(DATOS!$G$2:$G$20000=CONFIG_METADATA!$B$4)*(COUNTIF(CONFIG_ASIGNATURAS!$B$7:$B$27,DATOS!$I$2:$I$20000)&gt;0)*(DATOS!$K$2:$K$20000))/SUMPRODUCT((DATOS!$A$2:$A$20000=S282)*(DATOS!$G$2:$G$20000=CONFIG_METADATA!$B$4)*(COUNTIF(CONFIG_ASIGNATURAS!$B$7:$B$27,DATOS!$I$2:$I$20000)&gt;0)*1),"")))</f>
        <v/>
      </c>
      <c r="Z282" t="str">
        <f>IF(Y282="","",IF(Y282="[FÓRMULA MANUAL]","",IFERROR(AVERAGEIFS(DATOS!$K$2:$K$20000,DATOS!$A$2:$A$20000,Y282,DATOS!$G$2:$G$20000,CONFIG_METADATA!$B$4,DATOS!$I$2:$I$20000,"Análisis"),"")))</f>
        <v/>
      </c>
      <c r="AA282" t="str">
        <f>IF(Y282="","",IF(Y282="[FÓRMULA MANUAL]","",IFERROR(AVERAGEIFS(DATOS!$K$2:$K$20000,DATOS!$A$2:$A$20000,Y282,DATOS!$G$2:$G$20000,CONFIG_METADATA!$B$4,DATOS!$I$2:$I$20000,"Orquesta/Banda/Conjunto"),"")))</f>
        <v/>
      </c>
      <c r="AB282" t="str">
        <f>IF(Y282="","",IF(Y282="[FÓRMULA MANUAL]","",IFERROR(AVERAGEIFS(DATOS!$K$2:$K$20000,DATOS!$A$2:$A$20000,Y282,DATOS!$G$2:$G$20000,CONFIG_METADATA!$B$4,DATOS!$I$2:$I$20000,"Música de Cámara"),"")))</f>
        <v/>
      </c>
      <c r="AC282" t="str">
        <f>IF(Y282="","",IF(Y282="[FÓRMULA MANUAL]","",IFERROR(SUMPRODUCT((DATOS!$A$2:$A$20000=Y282)*(DATOS!$G$2:$G$20000=CONFIG_METADATA!$B$4)*(COUNTIF(CONFIG_ASIGNATURAS!$B$7:$B$27,DATOS!$I$2:$I$20000)&gt;0)*(DATOS!$K$2:$K$20000))/SUMPRODUCT((DATOS!$A$2:$A$20000=Y282)*(DATOS!$G$2:$G$20000=CONFIG_METADATA!$B$4)*(COUNTIF(CONFIG_ASIGNATURAS!$B$7:$B$27,DATOS!$I$2:$I$20000)&gt;0)*1),"")))</f>
        <v/>
      </c>
      <c r="AF282" t="str">
        <f>IF(AE282="","",IF(AE282="[FÓRMULA MANUAL]","",IFERROR(AVERAGEIFS(DATOS!$K$2:$K$20000,DATOS!$A$2:$A$20000,AE282,DATOS!$G$2:$G$20000,CONFIG_METADATA!$B$4,DATOS!$I$2:$I$20000,"Análisis"),"")))</f>
        <v/>
      </c>
      <c r="AG282" t="str">
        <f>IF(AE282="","",IF(AE282="[FÓRMULA MANUAL]","",IFERROR(AVERAGEIFS(DATOS!$K$2:$K$20000,DATOS!$A$2:$A$20000,AE282,DATOS!$G$2:$G$20000,CONFIG_METADATA!$B$4,DATOS!$I$2:$I$20000,"Orquesta/Banda/Conjunto"),"")))</f>
        <v/>
      </c>
      <c r="AH282" t="str">
        <f>IF(AE282="","",IF(AE282="[FÓRMULA MANUAL]","",IFERROR(AVERAGEIFS(DATOS!$K$2:$K$20000,DATOS!$A$2:$A$20000,AE282,DATOS!$G$2:$G$20000,CONFIG_METADATA!$B$4,DATOS!$I$2:$I$20000,"Música de Cámara"),"")))</f>
        <v/>
      </c>
      <c r="AI282" t="str">
        <f>IF(AE282="","",IF(AE282="[FÓRMULA MANUAL]","",IFERROR(SUMPRODUCT((DATOS!$A$2:$A$20000=AE282)*(DATOS!$G$2:$G$20000=CONFIG_METADATA!$B$4)*(COUNTIF(CONFIG_ASIGNATURAS!$B$7:$B$27,DATOS!$I$2:$I$20000)&gt;0)*(DATOS!$K$2:$K$20000))/SUMPRODUCT((DATOS!$A$2:$A$20000=AE282)*(DATOS!$G$2:$G$20000=CONFIG_METADATA!$B$4)*(COUNTIF(CONFIG_ASIGNATURAS!$B$7:$B$27,DATOS!$I$2:$I$20000)&gt;0)*1),"")))</f>
        <v/>
      </c>
    </row>
    <row r="283" spans="2:35" x14ac:dyDescent="0.2">
      <c r="B283" t="str">
        <f>IF(A283="","",IF(A283="[FÓRMULA MANUAL]","",IFERROR(AVERAGEIFS(DATOS!$K$2:$K$20000,DATOS!$A$2:$A$20000,A283,DATOS!$G$2:$G$20000,CONFIG_METADATA!$B$4,DATOS!$I$2:$I$20000,"Lenguaje Musical"),"")))</f>
        <v/>
      </c>
      <c r="C283" t="str">
        <f>IF(A283="","",IF(A283="[FÓRMULA MANUAL]","",IFERROR(AVERAGEIFS(DATOS!$K$2:$K$20000,DATOS!$A$2:$A$20000,A283,DATOS!$G$2:$G$20000,CONFIG_METADATA!$B$4,DATOS!$I$2:$I$20000,"Orquesta/Banda/Conjunto"),"")))</f>
        <v/>
      </c>
      <c r="D283" t="str">
        <f>IF(A283="","",IF(A283="[FÓRMULA MANUAL]","",IFERROR(AVERAGEIFS(DATOS!$K$2:$K$20000,DATOS!$A$2:$A$20000,A283,DATOS!$G$2:$G$20000,CONFIG_METADATA!$B$4,DATOS!$I$2:$I$20000,"Conjunto"),"")))</f>
        <v/>
      </c>
      <c r="E283" t="str">
        <f>IF(A283="","",IF(A283="[FÓRMULA MANUAL]","",IFERROR(SUMPRODUCT((DATOS!$A$2:$A$20000=A283)*(DATOS!$G$2:$G$20000=CONFIG_METADATA!$B$4)*(COUNTIF(CONFIG_ASIGNATURAS!$B$7:$B$27,DATOS!$I$2:$I$20000)&gt;0)*(DATOS!$K$2:$K$20000))/SUMPRODUCT((DATOS!$A$2:$A$20000=A283)*(DATOS!$G$2:$G$20000=CONFIG_METADATA!$B$4)*(COUNTIF(CONFIG_ASIGNATURAS!$B$7:$B$27,DATOS!$I$2:$I$20000)&gt;0)*1),"")))</f>
        <v/>
      </c>
      <c r="H283" t="str">
        <f>IF(G283="","",IF(G283="[FÓRMULA MANUAL]","",IFERROR(AVERAGEIFS(DATOS!$K$2:$K$20000,DATOS!$A$2:$A$20000,G283,DATOS!$G$2:$G$20000,CONFIG_METADATA!$B$4,DATOS!$I$2:$I$20000,"Lenguaje Musical"),"")))</f>
        <v/>
      </c>
      <c r="I283" t="str">
        <f>IF(G283="","",IF(G283="[FÓRMULA MANUAL]","",IFERROR(AVERAGEIFS(DATOS!$K$2:$K$20000,DATOS!$A$2:$A$20000,G283,DATOS!$G$2:$G$20000,CONFIG_METADATA!$B$4,DATOS!$I$2:$I$20000,"Orquesta/Banda/Conjunto"),"")))</f>
        <v/>
      </c>
      <c r="J283" t="str">
        <f>IF(G283="","",IF(G283="[FÓRMULA MANUAL]","",IFERROR(AVERAGEIFS(DATOS!$K$2:$K$20000,DATOS!$A$2:$A$20000,G283,DATOS!$G$2:$G$20000,CONFIG_METADATA!$B$4,DATOS!$I$2:$I$20000,"Conjunto"),"")))</f>
        <v/>
      </c>
      <c r="K283" t="str">
        <f>IF(G283="","",IF(G283="[FÓRMULA MANUAL]","",IFERROR(SUMPRODUCT((DATOS!$A$2:$A$20000=G283)*(DATOS!$G$2:$G$20000=CONFIG_METADATA!$B$4)*(COUNTIF(CONFIG_ASIGNATURAS!$B$7:$B$27,DATOS!$I$2:$I$20000)&gt;0)*(DATOS!$K$2:$K$20000))/SUMPRODUCT((DATOS!$A$2:$A$20000=G283)*(DATOS!$G$2:$G$20000=CONFIG_METADATA!$B$4)*(COUNTIF(CONFIG_ASIGNATURAS!$B$7:$B$27,DATOS!$I$2:$I$20000)&gt;0)*1),"")))</f>
        <v/>
      </c>
      <c r="N283" t="str">
        <f>IF(M283="","",IF(M283="[FÓRMULA MANUAL]","",IFERROR(AVERAGEIFS(DATOS!$K$2:$K$20000,DATOS!$A$2:$A$20000,M283,DATOS!$G$2:$G$20000,CONFIG_METADATA!$B$4,DATOS!$I$2:$I$20000,"Armonía"),"")))</f>
        <v/>
      </c>
      <c r="O283" t="str">
        <f>IF(M283="","",IF(M283="[FÓRMULA MANUAL]","",IFERROR(AVERAGEIFS(DATOS!$K$2:$K$20000,DATOS!$A$2:$A$20000,M283,DATOS!$G$2:$G$20000,CONFIG_METADATA!$B$4,DATOS!$I$2:$I$20000,"Orquesta/Banda/Conjunto"),"")))</f>
        <v/>
      </c>
      <c r="P283" t="str">
        <f>IF(M283="","",IF(M283="[FÓRMULA MANUAL]","",IFERROR(AVERAGEIFS(DATOS!$K$2:$K$20000,DATOS!$A$2:$A$20000,M283,DATOS!$G$2:$G$20000,CONFIG_METADATA!$B$4,DATOS!$I$2:$I$20000,"Música de Cámara"),"")))</f>
        <v/>
      </c>
      <c r="Q283" t="str">
        <f>IF(M283="","",IF(M283="[FÓRMULA MANUAL]","",IFERROR(SUMPRODUCT((DATOS!$A$2:$A$20000=M283)*(DATOS!$G$2:$G$20000=CONFIG_METADATA!$B$4)*(COUNTIF(CONFIG_ASIGNATURAS!$B$7:$B$27,DATOS!$I$2:$I$20000)&gt;0)*(DATOS!$K$2:$K$20000))/SUMPRODUCT((DATOS!$A$2:$A$20000=M283)*(DATOS!$G$2:$G$20000=CONFIG_METADATA!$B$4)*(COUNTIF(CONFIG_ASIGNATURAS!$B$7:$B$27,DATOS!$I$2:$I$20000)&gt;0)*1),"")))</f>
        <v/>
      </c>
      <c r="T283" t="str">
        <f>IF(S283="","",IF(S283="[FÓRMULA MANUAL]","",IFERROR(AVERAGEIFS(DATOS!$K$2:$K$20000,DATOS!$A$2:$A$20000,S283,DATOS!$G$2:$G$20000,CONFIG_METADATA!$B$4,DATOS!$I$2:$I$20000,"Armonía"),"")))</f>
        <v/>
      </c>
      <c r="U283" t="str">
        <f>IF(S283="","",IF(S283="[FÓRMULA MANUAL]","",IFERROR(AVERAGEIFS(DATOS!$K$2:$K$20000,DATOS!$A$2:$A$20000,S283,DATOS!$G$2:$G$20000,CONFIG_METADATA!$B$4,DATOS!$I$2:$I$20000,"Orquesta/Banda/Conjunto"),"")))</f>
        <v/>
      </c>
      <c r="V283" t="str">
        <f>IF(S283="","",IF(S283="[FÓRMULA MANUAL]","",IFERROR(AVERAGEIFS(DATOS!$K$2:$K$20000,DATOS!$A$2:$A$20000,S283,DATOS!$G$2:$G$20000,CONFIG_METADATA!$B$4,DATOS!$I$2:$I$20000,"Música de Cámara"),"")))</f>
        <v/>
      </c>
      <c r="W283" t="str">
        <f>IF(S283="","",IF(S283="[FÓRMULA MANUAL]","",IFERROR(SUMPRODUCT((DATOS!$A$2:$A$20000=S283)*(DATOS!$G$2:$G$20000=CONFIG_METADATA!$B$4)*(COUNTIF(CONFIG_ASIGNATURAS!$B$7:$B$27,DATOS!$I$2:$I$20000)&gt;0)*(DATOS!$K$2:$K$20000))/SUMPRODUCT((DATOS!$A$2:$A$20000=S283)*(DATOS!$G$2:$G$20000=CONFIG_METADATA!$B$4)*(COUNTIF(CONFIG_ASIGNATURAS!$B$7:$B$27,DATOS!$I$2:$I$20000)&gt;0)*1),"")))</f>
        <v/>
      </c>
      <c r="Z283" t="str">
        <f>IF(Y283="","",IF(Y283="[FÓRMULA MANUAL]","",IFERROR(AVERAGEIFS(DATOS!$K$2:$K$20000,DATOS!$A$2:$A$20000,Y283,DATOS!$G$2:$G$20000,CONFIG_METADATA!$B$4,DATOS!$I$2:$I$20000,"Análisis"),"")))</f>
        <v/>
      </c>
      <c r="AA283" t="str">
        <f>IF(Y283="","",IF(Y283="[FÓRMULA MANUAL]","",IFERROR(AVERAGEIFS(DATOS!$K$2:$K$20000,DATOS!$A$2:$A$20000,Y283,DATOS!$G$2:$G$20000,CONFIG_METADATA!$B$4,DATOS!$I$2:$I$20000,"Orquesta/Banda/Conjunto"),"")))</f>
        <v/>
      </c>
      <c r="AB283" t="str">
        <f>IF(Y283="","",IF(Y283="[FÓRMULA MANUAL]","",IFERROR(AVERAGEIFS(DATOS!$K$2:$K$20000,DATOS!$A$2:$A$20000,Y283,DATOS!$G$2:$G$20000,CONFIG_METADATA!$B$4,DATOS!$I$2:$I$20000,"Música de Cámara"),"")))</f>
        <v/>
      </c>
      <c r="AC283" t="str">
        <f>IF(Y283="","",IF(Y283="[FÓRMULA MANUAL]","",IFERROR(SUMPRODUCT((DATOS!$A$2:$A$20000=Y283)*(DATOS!$G$2:$G$20000=CONFIG_METADATA!$B$4)*(COUNTIF(CONFIG_ASIGNATURAS!$B$7:$B$27,DATOS!$I$2:$I$20000)&gt;0)*(DATOS!$K$2:$K$20000))/SUMPRODUCT((DATOS!$A$2:$A$20000=Y283)*(DATOS!$G$2:$G$20000=CONFIG_METADATA!$B$4)*(COUNTIF(CONFIG_ASIGNATURAS!$B$7:$B$27,DATOS!$I$2:$I$20000)&gt;0)*1),"")))</f>
        <v/>
      </c>
      <c r="AF283" t="str">
        <f>IF(AE283="","",IF(AE283="[FÓRMULA MANUAL]","",IFERROR(AVERAGEIFS(DATOS!$K$2:$K$20000,DATOS!$A$2:$A$20000,AE283,DATOS!$G$2:$G$20000,CONFIG_METADATA!$B$4,DATOS!$I$2:$I$20000,"Análisis"),"")))</f>
        <v/>
      </c>
      <c r="AG283" t="str">
        <f>IF(AE283="","",IF(AE283="[FÓRMULA MANUAL]","",IFERROR(AVERAGEIFS(DATOS!$K$2:$K$20000,DATOS!$A$2:$A$20000,AE283,DATOS!$G$2:$G$20000,CONFIG_METADATA!$B$4,DATOS!$I$2:$I$20000,"Orquesta/Banda/Conjunto"),"")))</f>
        <v/>
      </c>
      <c r="AH283" t="str">
        <f>IF(AE283="","",IF(AE283="[FÓRMULA MANUAL]","",IFERROR(AVERAGEIFS(DATOS!$K$2:$K$20000,DATOS!$A$2:$A$20000,AE283,DATOS!$G$2:$G$20000,CONFIG_METADATA!$B$4,DATOS!$I$2:$I$20000,"Música de Cámara"),"")))</f>
        <v/>
      </c>
      <c r="AI283" t="str">
        <f>IF(AE283="","",IF(AE283="[FÓRMULA MANUAL]","",IFERROR(SUMPRODUCT((DATOS!$A$2:$A$20000=AE283)*(DATOS!$G$2:$G$20000=CONFIG_METADATA!$B$4)*(COUNTIF(CONFIG_ASIGNATURAS!$B$7:$B$27,DATOS!$I$2:$I$20000)&gt;0)*(DATOS!$K$2:$K$20000))/SUMPRODUCT((DATOS!$A$2:$A$20000=AE283)*(DATOS!$G$2:$G$20000=CONFIG_METADATA!$B$4)*(COUNTIF(CONFIG_ASIGNATURAS!$B$7:$B$27,DATOS!$I$2:$I$20000)&gt;0)*1),"")))</f>
        <v/>
      </c>
    </row>
    <row r="284" spans="2:35" x14ac:dyDescent="0.2">
      <c r="B284" t="str">
        <f>IF(A284="","",IF(A284="[FÓRMULA MANUAL]","",IFERROR(AVERAGEIFS(DATOS!$K$2:$K$20000,DATOS!$A$2:$A$20000,A284,DATOS!$G$2:$G$20000,CONFIG_METADATA!$B$4,DATOS!$I$2:$I$20000,"Lenguaje Musical"),"")))</f>
        <v/>
      </c>
      <c r="C284" t="str">
        <f>IF(A284="","",IF(A284="[FÓRMULA MANUAL]","",IFERROR(AVERAGEIFS(DATOS!$K$2:$K$20000,DATOS!$A$2:$A$20000,A284,DATOS!$G$2:$G$20000,CONFIG_METADATA!$B$4,DATOS!$I$2:$I$20000,"Orquesta/Banda/Conjunto"),"")))</f>
        <v/>
      </c>
      <c r="D284" t="str">
        <f>IF(A284="","",IF(A284="[FÓRMULA MANUAL]","",IFERROR(AVERAGEIFS(DATOS!$K$2:$K$20000,DATOS!$A$2:$A$20000,A284,DATOS!$G$2:$G$20000,CONFIG_METADATA!$B$4,DATOS!$I$2:$I$20000,"Conjunto"),"")))</f>
        <v/>
      </c>
      <c r="E284" t="str">
        <f>IF(A284="","",IF(A284="[FÓRMULA MANUAL]","",IFERROR(SUMPRODUCT((DATOS!$A$2:$A$20000=A284)*(DATOS!$G$2:$G$20000=CONFIG_METADATA!$B$4)*(COUNTIF(CONFIG_ASIGNATURAS!$B$7:$B$27,DATOS!$I$2:$I$20000)&gt;0)*(DATOS!$K$2:$K$20000))/SUMPRODUCT((DATOS!$A$2:$A$20000=A284)*(DATOS!$G$2:$G$20000=CONFIG_METADATA!$B$4)*(COUNTIF(CONFIG_ASIGNATURAS!$B$7:$B$27,DATOS!$I$2:$I$20000)&gt;0)*1),"")))</f>
        <v/>
      </c>
      <c r="H284" t="str">
        <f>IF(G284="","",IF(G284="[FÓRMULA MANUAL]","",IFERROR(AVERAGEIFS(DATOS!$K$2:$K$20000,DATOS!$A$2:$A$20000,G284,DATOS!$G$2:$G$20000,CONFIG_METADATA!$B$4,DATOS!$I$2:$I$20000,"Lenguaje Musical"),"")))</f>
        <v/>
      </c>
      <c r="I284" t="str">
        <f>IF(G284="","",IF(G284="[FÓRMULA MANUAL]","",IFERROR(AVERAGEIFS(DATOS!$K$2:$K$20000,DATOS!$A$2:$A$20000,G284,DATOS!$G$2:$G$20000,CONFIG_METADATA!$B$4,DATOS!$I$2:$I$20000,"Orquesta/Banda/Conjunto"),"")))</f>
        <v/>
      </c>
      <c r="J284" t="str">
        <f>IF(G284="","",IF(G284="[FÓRMULA MANUAL]","",IFERROR(AVERAGEIFS(DATOS!$K$2:$K$20000,DATOS!$A$2:$A$20000,G284,DATOS!$G$2:$G$20000,CONFIG_METADATA!$B$4,DATOS!$I$2:$I$20000,"Conjunto"),"")))</f>
        <v/>
      </c>
      <c r="K284" t="str">
        <f>IF(G284="","",IF(G284="[FÓRMULA MANUAL]","",IFERROR(SUMPRODUCT((DATOS!$A$2:$A$20000=G284)*(DATOS!$G$2:$G$20000=CONFIG_METADATA!$B$4)*(COUNTIF(CONFIG_ASIGNATURAS!$B$7:$B$27,DATOS!$I$2:$I$20000)&gt;0)*(DATOS!$K$2:$K$20000))/SUMPRODUCT((DATOS!$A$2:$A$20000=G284)*(DATOS!$G$2:$G$20000=CONFIG_METADATA!$B$4)*(COUNTIF(CONFIG_ASIGNATURAS!$B$7:$B$27,DATOS!$I$2:$I$20000)&gt;0)*1),"")))</f>
        <v/>
      </c>
      <c r="N284" t="str">
        <f>IF(M284="","",IF(M284="[FÓRMULA MANUAL]","",IFERROR(AVERAGEIFS(DATOS!$K$2:$K$20000,DATOS!$A$2:$A$20000,M284,DATOS!$G$2:$G$20000,CONFIG_METADATA!$B$4,DATOS!$I$2:$I$20000,"Armonía"),"")))</f>
        <v/>
      </c>
      <c r="O284" t="str">
        <f>IF(M284="","",IF(M284="[FÓRMULA MANUAL]","",IFERROR(AVERAGEIFS(DATOS!$K$2:$K$20000,DATOS!$A$2:$A$20000,M284,DATOS!$G$2:$G$20000,CONFIG_METADATA!$B$4,DATOS!$I$2:$I$20000,"Orquesta/Banda/Conjunto"),"")))</f>
        <v/>
      </c>
      <c r="P284" t="str">
        <f>IF(M284="","",IF(M284="[FÓRMULA MANUAL]","",IFERROR(AVERAGEIFS(DATOS!$K$2:$K$20000,DATOS!$A$2:$A$20000,M284,DATOS!$G$2:$G$20000,CONFIG_METADATA!$B$4,DATOS!$I$2:$I$20000,"Música de Cámara"),"")))</f>
        <v/>
      </c>
      <c r="Q284" t="str">
        <f>IF(M284="","",IF(M284="[FÓRMULA MANUAL]","",IFERROR(SUMPRODUCT((DATOS!$A$2:$A$20000=M284)*(DATOS!$G$2:$G$20000=CONFIG_METADATA!$B$4)*(COUNTIF(CONFIG_ASIGNATURAS!$B$7:$B$27,DATOS!$I$2:$I$20000)&gt;0)*(DATOS!$K$2:$K$20000))/SUMPRODUCT((DATOS!$A$2:$A$20000=M284)*(DATOS!$G$2:$G$20000=CONFIG_METADATA!$B$4)*(COUNTIF(CONFIG_ASIGNATURAS!$B$7:$B$27,DATOS!$I$2:$I$20000)&gt;0)*1),"")))</f>
        <v/>
      </c>
      <c r="T284" t="str">
        <f>IF(S284="","",IF(S284="[FÓRMULA MANUAL]","",IFERROR(AVERAGEIFS(DATOS!$K$2:$K$20000,DATOS!$A$2:$A$20000,S284,DATOS!$G$2:$G$20000,CONFIG_METADATA!$B$4,DATOS!$I$2:$I$20000,"Armonía"),"")))</f>
        <v/>
      </c>
      <c r="U284" t="str">
        <f>IF(S284="","",IF(S284="[FÓRMULA MANUAL]","",IFERROR(AVERAGEIFS(DATOS!$K$2:$K$20000,DATOS!$A$2:$A$20000,S284,DATOS!$G$2:$G$20000,CONFIG_METADATA!$B$4,DATOS!$I$2:$I$20000,"Orquesta/Banda/Conjunto"),"")))</f>
        <v/>
      </c>
      <c r="V284" t="str">
        <f>IF(S284="","",IF(S284="[FÓRMULA MANUAL]","",IFERROR(AVERAGEIFS(DATOS!$K$2:$K$20000,DATOS!$A$2:$A$20000,S284,DATOS!$G$2:$G$20000,CONFIG_METADATA!$B$4,DATOS!$I$2:$I$20000,"Música de Cámara"),"")))</f>
        <v/>
      </c>
      <c r="W284" t="str">
        <f>IF(S284="","",IF(S284="[FÓRMULA MANUAL]","",IFERROR(SUMPRODUCT((DATOS!$A$2:$A$20000=S284)*(DATOS!$G$2:$G$20000=CONFIG_METADATA!$B$4)*(COUNTIF(CONFIG_ASIGNATURAS!$B$7:$B$27,DATOS!$I$2:$I$20000)&gt;0)*(DATOS!$K$2:$K$20000))/SUMPRODUCT((DATOS!$A$2:$A$20000=S284)*(DATOS!$G$2:$G$20000=CONFIG_METADATA!$B$4)*(COUNTIF(CONFIG_ASIGNATURAS!$B$7:$B$27,DATOS!$I$2:$I$20000)&gt;0)*1),"")))</f>
        <v/>
      </c>
      <c r="Z284" t="str">
        <f>IF(Y284="","",IF(Y284="[FÓRMULA MANUAL]","",IFERROR(AVERAGEIFS(DATOS!$K$2:$K$20000,DATOS!$A$2:$A$20000,Y284,DATOS!$G$2:$G$20000,CONFIG_METADATA!$B$4,DATOS!$I$2:$I$20000,"Análisis"),"")))</f>
        <v/>
      </c>
      <c r="AA284" t="str">
        <f>IF(Y284="","",IF(Y284="[FÓRMULA MANUAL]","",IFERROR(AVERAGEIFS(DATOS!$K$2:$K$20000,DATOS!$A$2:$A$20000,Y284,DATOS!$G$2:$G$20000,CONFIG_METADATA!$B$4,DATOS!$I$2:$I$20000,"Orquesta/Banda/Conjunto"),"")))</f>
        <v/>
      </c>
      <c r="AB284" t="str">
        <f>IF(Y284="","",IF(Y284="[FÓRMULA MANUAL]","",IFERROR(AVERAGEIFS(DATOS!$K$2:$K$20000,DATOS!$A$2:$A$20000,Y284,DATOS!$G$2:$G$20000,CONFIG_METADATA!$B$4,DATOS!$I$2:$I$20000,"Música de Cámara"),"")))</f>
        <v/>
      </c>
      <c r="AC284" t="str">
        <f>IF(Y284="","",IF(Y284="[FÓRMULA MANUAL]","",IFERROR(SUMPRODUCT((DATOS!$A$2:$A$20000=Y284)*(DATOS!$G$2:$G$20000=CONFIG_METADATA!$B$4)*(COUNTIF(CONFIG_ASIGNATURAS!$B$7:$B$27,DATOS!$I$2:$I$20000)&gt;0)*(DATOS!$K$2:$K$20000))/SUMPRODUCT((DATOS!$A$2:$A$20000=Y284)*(DATOS!$G$2:$G$20000=CONFIG_METADATA!$B$4)*(COUNTIF(CONFIG_ASIGNATURAS!$B$7:$B$27,DATOS!$I$2:$I$20000)&gt;0)*1),"")))</f>
        <v/>
      </c>
      <c r="AF284" t="str">
        <f>IF(AE284="","",IF(AE284="[FÓRMULA MANUAL]","",IFERROR(AVERAGEIFS(DATOS!$K$2:$K$20000,DATOS!$A$2:$A$20000,AE284,DATOS!$G$2:$G$20000,CONFIG_METADATA!$B$4,DATOS!$I$2:$I$20000,"Análisis"),"")))</f>
        <v/>
      </c>
      <c r="AG284" t="str">
        <f>IF(AE284="","",IF(AE284="[FÓRMULA MANUAL]","",IFERROR(AVERAGEIFS(DATOS!$K$2:$K$20000,DATOS!$A$2:$A$20000,AE284,DATOS!$G$2:$G$20000,CONFIG_METADATA!$B$4,DATOS!$I$2:$I$20000,"Orquesta/Banda/Conjunto"),"")))</f>
        <v/>
      </c>
      <c r="AH284" t="str">
        <f>IF(AE284="","",IF(AE284="[FÓRMULA MANUAL]","",IFERROR(AVERAGEIFS(DATOS!$K$2:$K$20000,DATOS!$A$2:$A$20000,AE284,DATOS!$G$2:$G$20000,CONFIG_METADATA!$B$4,DATOS!$I$2:$I$20000,"Música de Cámara"),"")))</f>
        <v/>
      </c>
      <c r="AI284" t="str">
        <f>IF(AE284="","",IF(AE284="[FÓRMULA MANUAL]","",IFERROR(SUMPRODUCT((DATOS!$A$2:$A$20000=AE284)*(DATOS!$G$2:$G$20000=CONFIG_METADATA!$B$4)*(COUNTIF(CONFIG_ASIGNATURAS!$B$7:$B$27,DATOS!$I$2:$I$20000)&gt;0)*(DATOS!$K$2:$K$20000))/SUMPRODUCT((DATOS!$A$2:$A$20000=AE284)*(DATOS!$G$2:$G$20000=CONFIG_METADATA!$B$4)*(COUNTIF(CONFIG_ASIGNATURAS!$B$7:$B$27,DATOS!$I$2:$I$20000)&gt;0)*1),"")))</f>
        <v/>
      </c>
    </row>
    <row r="285" spans="2:35" x14ac:dyDescent="0.2">
      <c r="B285" t="str">
        <f>IF(A285="","",IF(A285="[FÓRMULA MANUAL]","",IFERROR(AVERAGEIFS(DATOS!$K$2:$K$20000,DATOS!$A$2:$A$20000,A285,DATOS!$G$2:$G$20000,CONFIG_METADATA!$B$4,DATOS!$I$2:$I$20000,"Lenguaje Musical"),"")))</f>
        <v/>
      </c>
      <c r="C285" t="str">
        <f>IF(A285="","",IF(A285="[FÓRMULA MANUAL]","",IFERROR(AVERAGEIFS(DATOS!$K$2:$K$20000,DATOS!$A$2:$A$20000,A285,DATOS!$G$2:$G$20000,CONFIG_METADATA!$B$4,DATOS!$I$2:$I$20000,"Orquesta/Banda/Conjunto"),"")))</f>
        <v/>
      </c>
      <c r="D285" t="str">
        <f>IF(A285="","",IF(A285="[FÓRMULA MANUAL]","",IFERROR(AVERAGEIFS(DATOS!$K$2:$K$20000,DATOS!$A$2:$A$20000,A285,DATOS!$G$2:$G$20000,CONFIG_METADATA!$B$4,DATOS!$I$2:$I$20000,"Conjunto"),"")))</f>
        <v/>
      </c>
      <c r="E285" t="str">
        <f>IF(A285="","",IF(A285="[FÓRMULA MANUAL]","",IFERROR(SUMPRODUCT((DATOS!$A$2:$A$20000=A285)*(DATOS!$G$2:$G$20000=CONFIG_METADATA!$B$4)*(COUNTIF(CONFIG_ASIGNATURAS!$B$7:$B$27,DATOS!$I$2:$I$20000)&gt;0)*(DATOS!$K$2:$K$20000))/SUMPRODUCT((DATOS!$A$2:$A$20000=A285)*(DATOS!$G$2:$G$20000=CONFIG_METADATA!$B$4)*(COUNTIF(CONFIG_ASIGNATURAS!$B$7:$B$27,DATOS!$I$2:$I$20000)&gt;0)*1),"")))</f>
        <v/>
      </c>
      <c r="H285" t="str">
        <f>IF(G285="","",IF(G285="[FÓRMULA MANUAL]","",IFERROR(AVERAGEIFS(DATOS!$K$2:$K$20000,DATOS!$A$2:$A$20000,G285,DATOS!$G$2:$G$20000,CONFIG_METADATA!$B$4,DATOS!$I$2:$I$20000,"Lenguaje Musical"),"")))</f>
        <v/>
      </c>
      <c r="I285" t="str">
        <f>IF(G285="","",IF(G285="[FÓRMULA MANUAL]","",IFERROR(AVERAGEIFS(DATOS!$K$2:$K$20000,DATOS!$A$2:$A$20000,G285,DATOS!$G$2:$G$20000,CONFIG_METADATA!$B$4,DATOS!$I$2:$I$20000,"Orquesta/Banda/Conjunto"),"")))</f>
        <v/>
      </c>
      <c r="J285" t="str">
        <f>IF(G285="","",IF(G285="[FÓRMULA MANUAL]","",IFERROR(AVERAGEIFS(DATOS!$K$2:$K$20000,DATOS!$A$2:$A$20000,G285,DATOS!$G$2:$G$20000,CONFIG_METADATA!$B$4,DATOS!$I$2:$I$20000,"Conjunto"),"")))</f>
        <v/>
      </c>
      <c r="K285" t="str">
        <f>IF(G285="","",IF(G285="[FÓRMULA MANUAL]","",IFERROR(SUMPRODUCT((DATOS!$A$2:$A$20000=G285)*(DATOS!$G$2:$G$20000=CONFIG_METADATA!$B$4)*(COUNTIF(CONFIG_ASIGNATURAS!$B$7:$B$27,DATOS!$I$2:$I$20000)&gt;0)*(DATOS!$K$2:$K$20000))/SUMPRODUCT((DATOS!$A$2:$A$20000=G285)*(DATOS!$G$2:$G$20000=CONFIG_METADATA!$B$4)*(COUNTIF(CONFIG_ASIGNATURAS!$B$7:$B$27,DATOS!$I$2:$I$20000)&gt;0)*1),"")))</f>
        <v/>
      </c>
      <c r="N285" t="str">
        <f>IF(M285="","",IF(M285="[FÓRMULA MANUAL]","",IFERROR(AVERAGEIFS(DATOS!$K$2:$K$20000,DATOS!$A$2:$A$20000,M285,DATOS!$G$2:$G$20000,CONFIG_METADATA!$B$4,DATOS!$I$2:$I$20000,"Armonía"),"")))</f>
        <v/>
      </c>
      <c r="O285" t="str">
        <f>IF(M285="","",IF(M285="[FÓRMULA MANUAL]","",IFERROR(AVERAGEIFS(DATOS!$K$2:$K$20000,DATOS!$A$2:$A$20000,M285,DATOS!$G$2:$G$20000,CONFIG_METADATA!$B$4,DATOS!$I$2:$I$20000,"Orquesta/Banda/Conjunto"),"")))</f>
        <v/>
      </c>
      <c r="P285" t="str">
        <f>IF(M285="","",IF(M285="[FÓRMULA MANUAL]","",IFERROR(AVERAGEIFS(DATOS!$K$2:$K$20000,DATOS!$A$2:$A$20000,M285,DATOS!$G$2:$G$20000,CONFIG_METADATA!$B$4,DATOS!$I$2:$I$20000,"Música de Cámara"),"")))</f>
        <v/>
      </c>
      <c r="Q285" t="str">
        <f>IF(M285="","",IF(M285="[FÓRMULA MANUAL]","",IFERROR(SUMPRODUCT((DATOS!$A$2:$A$20000=M285)*(DATOS!$G$2:$G$20000=CONFIG_METADATA!$B$4)*(COUNTIF(CONFIG_ASIGNATURAS!$B$7:$B$27,DATOS!$I$2:$I$20000)&gt;0)*(DATOS!$K$2:$K$20000))/SUMPRODUCT((DATOS!$A$2:$A$20000=M285)*(DATOS!$G$2:$G$20000=CONFIG_METADATA!$B$4)*(COUNTIF(CONFIG_ASIGNATURAS!$B$7:$B$27,DATOS!$I$2:$I$20000)&gt;0)*1),"")))</f>
        <v/>
      </c>
      <c r="T285" t="str">
        <f>IF(S285="","",IF(S285="[FÓRMULA MANUAL]","",IFERROR(AVERAGEIFS(DATOS!$K$2:$K$20000,DATOS!$A$2:$A$20000,S285,DATOS!$G$2:$G$20000,CONFIG_METADATA!$B$4,DATOS!$I$2:$I$20000,"Armonía"),"")))</f>
        <v/>
      </c>
      <c r="U285" t="str">
        <f>IF(S285="","",IF(S285="[FÓRMULA MANUAL]","",IFERROR(AVERAGEIFS(DATOS!$K$2:$K$20000,DATOS!$A$2:$A$20000,S285,DATOS!$G$2:$G$20000,CONFIG_METADATA!$B$4,DATOS!$I$2:$I$20000,"Orquesta/Banda/Conjunto"),"")))</f>
        <v/>
      </c>
      <c r="V285" t="str">
        <f>IF(S285="","",IF(S285="[FÓRMULA MANUAL]","",IFERROR(AVERAGEIFS(DATOS!$K$2:$K$20000,DATOS!$A$2:$A$20000,S285,DATOS!$G$2:$G$20000,CONFIG_METADATA!$B$4,DATOS!$I$2:$I$20000,"Música de Cámara"),"")))</f>
        <v/>
      </c>
      <c r="W285" t="str">
        <f>IF(S285="","",IF(S285="[FÓRMULA MANUAL]","",IFERROR(SUMPRODUCT((DATOS!$A$2:$A$20000=S285)*(DATOS!$G$2:$G$20000=CONFIG_METADATA!$B$4)*(COUNTIF(CONFIG_ASIGNATURAS!$B$7:$B$27,DATOS!$I$2:$I$20000)&gt;0)*(DATOS!$K$2:$K$20000))/SUMPRODUCT((DATOS!$A$2:$A$20000=S285)*(DATOS!$G$2:$G$20000=CONFIG_METADATA!$B$4)*(COUNTIF(CONFIG_ASIGNATURAS!$B$7:$B$27,DATOS!$I$2:$I$20000)&gt;0)*1),"")))</f>
        <v/>
      </c>
      <c r="Z285" t="str">
        <f>IF(Y285="","",IF(Y285="[FÓRMULA MANUAL]","",IFERROR(AVERAGEIFS(DATOS!$K$2:$K$20000,DATOS!$A$2:$A$20000,Y285,DATOS!$G$2:$G$20000,CONFIG_METADATA!$B$4,DATOS!$I$2:$I$20000,"Análisis"),"")))</f>
        <v/>
      </c>
      <c r="AA285" t="str">
        <f>IF(Y285="","",IF(Y285="[FÓRMULA MANUAL]","",IFERROR(AVERAGEIFS(DATOS!$K$2:$K$20000,DATOS!$A$2:$A$20000,Y285,DATOS!$G$2:$G$20000,CONFIG_METADATA!$B$4,DATOS!$I$2:$I$20000,"Orquesta/Banda/Conjunto"),"")))</f>
        <v/>
      </c>
      <c r="AB285" t="str">
        <f>IF(Y285="","",IF(Y285="[FÓRMULA MANUAL]","",IFERROR(AVERAGEIFS(DATOS!$K$2:$K$20000,DATOS!$A$2:$A$20000,Y285,DATOS!$G$2:$G$20000,CONFIG_METADATA!$B$4,DATOS!$I$2:$I$20000,"Música de Cámara"),"")))</f>
        <v/>
      </c>
      <c r="AC285" t="str">
        <f>IF(Y285="","",IF(Y285="[FÓRMULA MANUAL]","",IFERROR(SUMPRODUCT((DATOS!$A$2:$A$20000=Y285)*(DATOS!$G$2:$G$20000=CONFIG_METADATA!$B$4)*(COUNTIF(CONFIG_ASIGNATURAS!$B$7:$B$27,DATOS!$I$2:$I$20000)&gt;0)*(DATOS!$K$2:$K$20000))/SUMPRODUCT((DATOS!$A$2:$A$20000=Y285)*(DATOS!$G$2:$G$20000=CONFIG_METADATA!$B$4)*(COUNTIF(CONFIG_ASIGNATURAS!$B$7:$B$27,DATOS!$I$2:$I$20000)&gt;0)*1),"")))</f>
        <v/>
      </c>
      <c r="AF285" t="str">
        <f>IF(AE285="","",IF(AE285="[FÓRMULA MANUAL]","",IFERROR(AVERAGEIFS(DATOS!$K$2:$K$20000,DATOS!$A$2:$A$20000,AE285,DATOS!$G$2:$G$20000,CONFIG_METADATA!$B$4,DATOS!$I$2:$I$20000,"Análisis"),"")))</f>
        <v/>
      </c>
      <c r="AG285" t="str">
        <f>IF(AE285="","",IF(AE285="[FÓRMULA MANUAL]","",IFERROR(AVERAGEIFS(DATOS!$K$2:$K$20000,DATOS!$A$2:$A$20000,AE285,DATOS!$G$2:$G$20000,CONFIG_METADATA!$B$4,DATOS!$I$2:$I$20000,"Orquesta/Banda/Conjunto"),"")))</f>
        <v/>
      </c>
      <c r="AH285" t="str">
        <f>IF(AE285="","",IF(AE285="[FÓRMULA MANUAL]","",IFERROR(AVERAGEIFS(DATOS!$K$2:$K$20000,DATOS!$A$2:$A$20000,AE285,DATOS!$G$2:$G$20000,CONFIG_METADATA!$B$4,DATOS!$I$2:$I$20000,"Música de Cámara"),"")))</f>
        <v/>
      </c>
      <c r="AI285" t="str">
        <f>IF(AE285="","",IF(AE285="[FÓRMULA MANUAL]","",IFERROR(SUMPRODUCT((DATOS!$A$2:$A$20000=AE285)*(DATOS!$G$2:$G$20000=CONFIG_METADATA!$B$4)*(COUNTIF(CONFIG_ASIGNATURAS!$B$7:$B$27,DATOS!$I$2:$I$20000)&gt;0)*(DATOS!$K$2:$K$20000))/SUMPRODUCT((DATOS!$A$2:$A$20000=AE285)*(DATOS!$G$2:$G$20000=CONFIG_METADATA!$B$4)*(COUNTIF(CONFIG_ASIGNATURAS!$B$7:$B$27,DATOS!$I$2:$I$20000)&gt;0)*1),"")))</f>
        <v/>
      </c>
    </row>
    <row r="286" spans="2:35" x14ac:dyDescent="0.2">
      <c r="B286" t="str">
        <f>IF(A286="","",IF(A286="[FÓRMULA MANUAL]","",IFERROR(AVERAGEIFS(DATOS!$K$2:$K$20000,DATOS!$A$2:$A$20000,A286,DATOS!$G$2:$G$20000,CONFIG_METADATA!$B$4,DATOS!$I$2:$I$20000,"Lenguaje Musical"),"")))</f>
        <v/>
      </c>
      <c r="C286" t="str">
        <f>IF(A286="","",IF(A286="[FÓRMULA MANUAL]","",IFERROR(AVERAGEIFS(DATOS!$K$2:$K$20000,DATOS!$A$2:$A$20000,A286,DATOS!$G$2:$G$20000,CONFIG_METADATA!$B$4,DATOS!$I$2:$I$20000,"Orquesta/Banda/Conjunto"),"")))</f>
        <v/>
      </c>
      <c r="D286" t="str">
        <f>IF(A286="","",IF(A286="[FÓRMULA MANUAL]","",IFERROR(AVERAGEIFS(DATOS!$K$2:$K$20000,DATOS!$A$2:$A$20000,A286,DATOS!$G$2:$G$20000,CONFIG_METADATA!$B$4,DATOS!$I$2:$I$20000,"Conjunto"),"")))</f>
        <v/>
      </c>
      <c r="E286" t="str">
        <f>IF(A286="","",IF(A286="[FÓRMULA MANUAL]","",IFERROR(SUMPRODUCT((DATOS!$A$2:$A$20000=A286)*(DATOS!$G$2:$G$20000=CONFIG_METADATA!$B$4)*(COUNTIF(CONFIG_ASIGNATURAS!$B$7:$B$27,DATOS!$I$2:$I$20000)&gt;0)*(DATOS!$K$2:$K$20000))/SUMPRODUCT((DATOS!$A$2:$A$20000=A286)*(DATOS!$G$2:$G$20000=CONFIG_METADATA!$B$4)*(COUNTIF(CONFIG_ASIGNATURAS!$B$7:$B$27,DATOS!$I$2:$I$20000)&gt;0)*1),"")))</f>
        <v/>
      </c>
      <c r="H286" t="str">
        <f>IF(G286="","",IF(G286="[FÓRMULA MANUAL]","",IFERROR(AVERAGEIFS(DATOS!$K$2:$K$20000,DATOS!$A$2:$A$20000,G286,DATOS!$G$2:$G$20000,CONFIG_METADATA!$B$4,DATOS!$I$2:$I$20000,"Lenguaje Musical"),"")))</f>
        <v/>
      </c>
      <c r="I286" t="str">
        <f>IF(G286="","",IF(G286="[FÓRMULA MANUAL]","",IFERROR(AVERAGEIFS(DATOS!$K$2:$K$20000,DATOS!$A$2:$A$20000,G286,DATOS!$G$2:$G$20000,CONFIG_METADATA!$B$4,DATOS!$I$2:$I$20000,"Orquesta/Banda/Conjunto"),"")))</f>
        <v/>
      </c>
      <c r="J286" t="str">
        <f>IF(G286="","",IF(G286="[FÓRMULA MANUAL]","",IFERROR(AVERAGEIFS(DATOS!$K$2:$K$20000,DATOS!$A$2:$A$20000,G286,DATOS!$G$2:$G$20000,CONFIG_METADATA!$B$4,DATOS!$I$2:$I$20000,"Conjunto"),"")))</f>
        <v/>
      </c>
      <c r="K286" t="str">
        <f>IF(G286="","",IF(G286="[FÓRMULA MANUAL]","",IFERROR(SUMPRODUCT((DATOS!$A$2:$A$20000=G286)*(DATOS!$G$2:$G$20000=CONFIG_METADATA!$B$4)*(COUNTIF(CONFIG_ASIGNATURAS!$B$7:$B$27,DATOS!$I$2:$I$20000)&gt;0)*(DATOS!$K$2:$K$20000))/SUMPRODUCT((DATOS!$A$2:$A$20000=G286)*(DATOS!$G$2:$G$20000=CONFIG_METADATA!$B$4)*(COUNTIF(CONFIG_ASIGNATURAS!$B$7:$B$27,DATOS!$I$2:$I$20000)&gt;0)*1),"")))</f>
        <v/>
      </c>
      <c r="N286" t="str">
        <f>IF(M286="","",IF(M286="[FÓRMULA MANUAL]","",IFERROR(AVERAGEIFS(DATOS!$K$2:$K$20000,DATOS!$A$2:$A$20000,M286,DATOS!$G$2:$G$20000,CONFIG_METADATA!$B$4,DATOS!$I$2:$I$20000,"Armonía"),"")))</f>
        <v/>
      </c>
      <c r="O286" t="str">
        <f>IF(M286="","",IF(M286="[FÓRMULA MANUAL]","",IFERROR(AVERAGEIFS(DATOS!$K$2:$K$20000,DATOS!$A$2:$A$20000,M286,DATOS!$G$2:$G$20000,CONFIG_METADATA!$B$4,DATOS!$I$2:$I$20000,"Orquesta/Banda/Conjunto"),"")))</f>
        <v/>
      </c>
      <c r="P286" t="str">
        <f>IF(M286="","",IF(M286="[FÓRMULA MANUAL]","",IFERROR(AVERAGEIFS(DATOS!$K$2:$K$20000,DATOS!$A$2:$A$20000,M286,DATOS!$G$2:$G$20000,CONFIG_METADATA!$B$4,DATOS!$I$2:$I$20000,"Música de Cámara"),"")))</f>
        <v/>
      </c>
      <c r="Q286" t="str">
        <f>IF(M286="","",IF(M286="[FÓRMULA MANUAL]","",IFERROR(SUMPRODUCT((DATOS!$A$2:$A$20000=M286)*(DATOS!$G$2:$G$20000=CONFIG_METADATA!$B$4)*(COUNTIF(CONFIG_ASIGNATURAS!$B$7:$B$27,DATOS!$I$2:$I$20000)&gt;0)*(DATOS!$K$2:$K$20000))/SUMPRODUCT((DATOS!$A$2:$A$20000=M286)*(DATOS!$G$2:$G$20000=CONFIG_METADATA!$B$4)*(COUNTIF(CONFIG_ASIGNATURAS!$B$7:$B$27,DATOS!$I$2:$I$20000)&gt;0)*1),"")))</f>
        <v/>
      </c>
      <c r="T286" t="str">
        <f>IF(S286="","",IF(S286="[FÓRMULA MANUAL]","",IFERROR(AVERAGEIFS(DATOS!$K$2:$K$20000,DATOS!$A$2:$A$20000,S286,DATOS!$G$2:$G$20000,CONFIG_METADATA!$B$4,DATOS!$I$2:$I$20000,"Armonía"),"")))</f>
        <v/>
      </c>
      <c r="U286" t="str">
        <f>IF(S286="","",IF(S286="[FÓRMULA MANUAL]","",IFERROR(AVERAGEIFS(DATOS!$K$2:$K$20000,DATOS!$A$2:$A$20000,S286,DATOS!$G$2:$G$20000,CONFIG_METADATA!$B$4,DATOS!$I$2:$I$20000,"Orquesta/Banda/Conjunto"),"")))</f>
        <v/>
      </c>
      <c r="V286" t="str">
        <f>IF(S286="","",IF(S286="[FÓRMULA MANUAL]","",IFERROR(AVERAGEIFS(DATOS!$K$2:$K$20000,DATOS!$A$2:$A$20000,S286,DATOS!$G$2:$G$20000,CONFIG_METADATA!$B$4,DATOS!$I$2:$I$20000,"Música de Cámara"),"")))</f>
        <v/>
      </c>
      <c r="W286" t="str">
        <f>IF(S286="","",IF(S286="[FÓRMULA MANUAL]","",IFERROR(SUMPRODUCT((DATOS!$A$2:$A$20000=S286)*(DATOS!$G$2:$G$20000=CONFIG_METADATA!$B$4)*(COUNTIF(CONFIG_ASIGNATURAS!$B$7:$B$27,DATOS!$I$2:$I$20000)&gt;0)*(DATOS!$K$2:$K$20000))/SUMPRODUCT((DATOS!$A$2:$A$20000=S286)*(DATOS!$G$2:$G$20000=CONFIG_METADATA!$B$4)*(COUNTIF(CONFIG_ASIGNATURAS!$B$7:$B$27,DATOS!$I$2:$I$20000)&gt;0)*1),"")))</f>
        <v/>
      </c>
      <c r="Z286" t="str">
        <f>IF(Y286="","",IF(Y286="[FÓRMULA MANUAL]","",IFERROR(AVERAGEIFS(DATOS!$K$2:$K$20000,DATOS!$A$2:$A$20000,Y286,DATOS!$G$2:$G$20000,CONFIG_METADATA!$B$4,DATOS!$I$2:$I$20000,"Análisis"),"")))</f>
        <v/>
      </c>
      <c r="AA286" t="str">
        <f>IF(Y286="","",IF(Y286="[FÓRMULA MANUAL]","",IFERROR(AVERAGEIFS(DATOS!$K$2:$K$20000,DATOS!$A$2:$A$20000,Y286,DATOS!$G$2:$G$20000,CONFIG_METADATA!$B$4,DATOS!$I$2:$I$20000,"Orquesta/Banda/Conjunto"),"")))</f>
        <v/>
      </c>
      <c r="AB286" t="str">
        <f>IF(Y286="","",IF(Y286="[FÓRMULA MANUAL]","",IFERROR(AVERAGEIFS(DATOS!$K$2:$K$20000,DATOS!$A$2:$A$20000,Y286,DATOS!$G$2:$G$20000,CONFIG_METADATA!$B$4,DATOS!$I$2:$I$20000,"Música de Cámara"),"")))</f>
        <v/>
      </c>
      <c r="AC286" t="str">
        <f>IF(Y286="","",IF(Y286="[FÓRMULA MANUAL]","",IFERROR(SUMPRODUCT((DATOS!$A$2:$A$20000=Y286)*(DATOS!$G$2:$G$20000=CONFIG_METADATA!$B$4)*(COUNTIF(CONFIG_ASIGNATURAS!$B$7:$B$27,DATOS!$I$2:$I$20000)&gt;0)*(DATOS!$K$2:$K$20000))/SUMPRODUCT((DATOS!$A$2:$A$20000=Y286)*(DATOS!$G$2:$G$20000=CONFIG_METADATA!$B$4)*(COUNTIF(CONFIG_ASIGNATURAS!$B$7:$B$27,DATOS!$I$2:$I$20000)&gt;0)*1),"")))</f>
        <v/>
      </c>
      <c r="AF286" t="str">
        <f>IF(AE286="","",IF(AE286="[FÓRMULA MANUAL]","",IFERROR(AVERAGEIFS(DATOS!$K$2:$K$20000,DATOS!$A$2:$A$20000,AE286,DATOS!$G$2:$G$20000,CONFIG_METADATA!$B$4,DATOS!$I$2:$I$20000,"Análisis"),"")))</f>
        <v/>
      </c>
      <c r="AG286" t="str">
        <f>IF(AE286="","",IF(AE286="[FÓRMULA MANUAL]","",IFERROR(AVERAGEIFS(DATOS!$K$2:$K$20000,DATOS!$A$2:$A$20000,AE286,DATOS!$G$2:$G$20000,CONFIG_METADATA!$B$4,DATOS!$I$2:$I$20000,"Orquesta/Banda/Conjunto"),"")))</f>
        <v/>
      </c>
      <c r="AH286" t="str">
        <f>IF(AE286="","",IF(AE286="[FÓRMULA MANUAL]","",IFERROR(AVERAGEIFS(DATOS!$K$2:$K$20000,DATOS!$A$2:$A$20000,AE286,DATOS!$G$2:$G$20000,CONFIG_METADATA!$B$4,DATOS!$I$2:$I$20000,"Música de Cámara"),"")))</f>
        <v/>
      </c>
      <c r="AI286" t="str">
        <f>IF(AE286="","",IF(AE286="[FÓRMULA MANUAL]","",IFERROR(SUMPRODUCT((DATOS!$A$2:$A$20000=AE286)*(DATOS!$G$2:$G$20000=CONFIG_METADATA!$B$4)*(COUNTIF(CONFIG_ASIGNATURAS!$B$7:$B$27,DATOS!$I$2:$I$20000)&gt;0)*(DATOS!$K$2:$K$20000))/SUMPRODUCT((DATOS!$A$2:$A$20000=AE286)*(DATOS!$G$2:$G$20000=CONFIG_METADATA!$B$4)*(COUNTIF(CONFIG_ASIGNATURAS!$B$7:$B$27,DATOS!$I$2:$I$20000)&gt;0)*1),"")))</f>
        <v/>
      </c>
    </row>
    <row r="287" spans="2:35" x14ac:dyDescent="0.2">
      <c r="B287" t="str">
        <f>IF(A287="","",IF(A287="[FÓRMULA MANUAL]","",IFERROR(AVERAGEIFS(DATOS!$K$2:$K$20000,DATOS!$A$2:$A$20000,A287,DATOS!$G$2:$G$20000,CONFIG_METADATA!$B$4,DATOS!$I$2:$I$20000,"Lenguaje Musical"),"")))</f>
        <v/>
      </c>
      <c r="C287" t="str">
        <f>IF(A287="","",IF(A287="[FÓRMULA MANUAL]","",IFERROR(AVERAGEIFS(DATOS!$K$2:$K$20000,DATOS!$A$2:$A$20000,A287,DATOS!$G$2:$G$20000,CONFIG_METADATA!$B$4,DATOS!$I$2:$I$20000,"Orquesta/Banda/Conjunto"),"")))</f>
        <v/>
      </c>
      <c r="D287" t="str">
        <f>IF(A287="","",IF(A287="[FÓRMULA MANUAL]","",IFERROR(AVERAGEIFS(DATOS!$K$2:$K$20000,DATOS!$A$2:$A$20000,A287,DATOS!$G$2:$G$20000,CONFIG_METADATA!$B$4,DATOS!$I$2:$I$20000,"Conjunto"),"")))</f>
        <v/>
      </c>
      <c r="E287" t="str">
        <f>IF(A287="","",IF(A287="[FÓRMULA MANUAL]","",IFERROR(SUMPRODUCT((DATOS!$A$2:$A$20000=A287)*(DATOS!$G$2:$G$20000=CONFIG_METADATA!$B$4)*(COUNTIF(CONFIG_ASIGNATURAS!$B$7:$B$27,DATOS!$I$2:$I$20000)&gt;0)*(DATOS!$K$2:$K$20000))/SUMPRODUCT((DATOS!$A$2:$A$20000=A287)*(DATOS!$G$2:$G$20000=CONFIG_METADATA!$B$4)*(COUNTIF(CONFIG_ASIGNATURAS!$B$7:$B$27,DATOS!$I$2:$I$20000)&gt;0)*1),"")))</f>
        <v/>
      </c>
      <c r="H287" t="str">
        <f>IF(G287="","",IF(G287="[FÓRMULA MANUAL]","",IFERROR(AVERAGEIFS(DATOS!$K$2:$K$20000,DATOS!$A$2:$A$20000,G287,DATOS!$G$2:$G$20000,CONFIG_METADATA!$B$4,DATOS!$I$2:$I$20000,"Lenguaje Musical"),"")))</f>
        <v/>
      </c>
      <c r="I287" t="str">
        <f>IF(G287="","",IF(G287="[FÓRMULA MANUAL]","",IFERROR(AVERAGEIFS(DATOS!$K$2:$K$20000,DATOS!$A$2:$A$20000,G287,DATOS!$G$2:$G$20000,CONFIG_METADATA!$B$4,DATOS!$I$2:$I$20000,"Orquesta/Banda/Conjunto"),"")))</f>
        <v/>
      </c>
      <c r="J287" t="str">
        <f>IF(G287="","",IF(G287="[FÓRMULA MANUAL]","",IFERROR(AVERAGEIFS(DATOS!$K$2:$K$20000,DATOS!$A$2:$A$20000,G287,DATOS!$G$2:$G$20000,CONFIG_METADATA!$B$4,DATOS!$I$2:$I$20000,"Conjunto"),"")))</f>
        <v/>
      </c>
      <c r="K287" t="str">
        <f>IF(G287="","",IF(G287="[FÓRMULA MANUAL]","",IFERROR(SUMPRODUCT((DATOS!$A$2:$A$20000=G287)*(DATOS!$G$2:$G$20000=CONFIG_METADATA!$B$4)*(COUNTIF(CONFIG_ASIGNATURAS!$B$7:$B$27,DATOS!$I$2:$I$20000)&gt;0)*(DATOS!$K$2:$K$20000))/SUMPRODUCT((DATOS!$A$2:$A$20000=G287)*(DATOS!$G$2:$G$20000=CONFIG_METADATA!$B$4)*(COUNTIF(CONFIG_ASIGNATURAS!$B$7:$B$27,DATOS!$I$2:$I$20000)&gt;0)*1),"")))</f>
        <v/>
      </c>
      <c r="N287" t="str">
        <f>IF(M287="","",IF(M287="[FÓRMULA MANUAL]","",IFERROR(AVERAGEIFS(DATOS!$K$2:$K$20000,DATOS!$A$2:$A$20000,M287,DATOS!$G$2:$G$20000,CONFIG_METADATA!$B$4,DATOS!$I$2:$I$20000,"Armonía"),"")))</f>
        <v/>
      </c>
      <c r="O287" t="str">
        <f>IF(M287="","",IF(M287="[FÓRMULA MANUAL]","",IFERROR(AVERAGEIFS(DATOS!$K$2:$K$20000,DATOS!$A$2:$A$20000,M287,DATOS!$G$2:$G$20000,CONFIG_METADATA!$B$4,DATOS!$I$2:$I$20000,"Orquesta/Banda/Conjunto"),"")))</f>
        <v/>
      </c>
      <c r="P287" t="str">
        <f>IF(M287="","",IF(M287="[FÓRMULA MANUAL]","",IFERROR(AVERAGEIFS(DATOS!$K$2:$K$20000,DATOS!$A$2:$A$20000,M287,DATOS!$G$2:$G$20000,CONFIG_METADATA!$B$4,DATOS!$I$2:$I$20000,"Música de Cámara"),"")))</f>
        <v/>
      </c>
      <c r="Q287" t="str">
        <f>IF(M287="","",IF(M287="[FÓRMULA MANUAL]","",IFERROR(SUMPRODUCT((DATOS!$A$2:$A$20000=M287)*(DATOS!$G$2:$G$20000=CONFIG_METADATA!$B$4)*(COUNTIF(CONFIG_ASIGNATURAS!$B$7:$B$27,DATOS!$I$2:$I$20000)&gt;0)*(DATOS!$K$2:$K$20000))/SUMPRODUCT((DATOS!$A$2:$A$20000=M287)*(DATOS!$G$2:$G$20000=CONFIG_METADATA!$B$4)*(COUNTIF(CONFIG_ASIGNATURAS!$B$7:$B$27,DATOS!$I$2:$I$20000)&gt;0)*1),"")))</f>
        <v/>
      </c>
      <c r="T287" t="str">
        <f>IF(S287="","",IF(S287="[FÓRMULA MANUAL]","",IFERROR(AVERAGEIFS(DATOS!$K$2:$K$20000,DATOS!$A$2:$A$20000,S287,DATOS!$G$2:$G$20000,CONFIG_METADATA!$B$4,DATOS!$I$2:$I$20000,"Armonía"),"")))</f>
        <v/>
      </c>
      <c r="U287" t="str">
        <f>IF(S287="","",IF(S287="[FÓRMULA MANUAL]","",IFERROR(AVERAGEIFS(DATOS!$K$2:$K$20000,DATOS!$A$2:$A$20000,S287,DATOS!$G$2:$G$20000,CONFIG_METADATA!$B$4,DATOS!$I$2:$I$20000,"Orquesta/Banda/Conjunto"),"")))</f>
        <v/>
      </c>
      <c r="V287" t="str">
        <f>IF(S287="","",IF(S287="[FÓRMULA MANUAL]","",IFERROR(AVERAGEIFS(DATOS!$K$2:$K$20000,DATOS!$A$2:$A$20000,S287,DATOS!$G$2:$G$20000,CONFIG_METADATA!$B$4,DATOS!$I$2:$I$20000,"Música de Cámara"),"")))</f>
        <v/>
      </c>
      <c r="W287" t="str">
        <f>IF(S287="","",IF(S287="[FÓRMULA MANUAL]","",IFERROR(SUMPRODUCT((DATOS!$A$2:$A$20000=S287)*(DATOS!$G$2:$G$20000=CONFIG_METADATA!$B$4)*(COUNTIF(CONFIG_ASIGNATURAS!$B$7:$B$27,DATOS!$I$2:$I$20000)&gt;0)*(DATOS!$K$2:$K$20000))/SUMPRODUCT((DATOS!$A$2:$A$20000=S287)*(DATOS!$G$2:$G$20000=CONFIG_METADATA!$B$4)*(COUNTIF(CONFIG_ASIGNATURAS!$B$7:$B$27,DATOS!$I$2:$I$20000)&gt;0)*1),"")))</f>
        <v/>
      </c>
      <c r="Z287" t="str">
        <f>IF(Y287="","",IF(Y287="[FÓRMULA MANUAL]","",IFERROR(AVERAGEIFS(DATOS!$K$2:$K$20000,DATOS!$A$2:$A$20000,Y287,DATOS!$G$2:$G$20000,CONFIG_METADATA!$B$4,DATOS!$I$2:$I$20000,"Análisis"),"")))</f>
        <v/>
      </c>
      <c r="AA287" t="str">
        <f>IF(Y287="","",IF(Y287="[FÓRMULA MANUAL]","",IFERROR(AVERAGEIFS(DATOS!$K$2:$K$20000,DATOS!$A$2:$A$20000,Y287,DATOS!$G$2:$G$20000,CONFIG_METADATA!$B$4,DATOS!$I$2:$I$20000,"Orquesta/Banda/Conjunto"),"")))</f>
        <v/>
      </c>
      <c r="AB287" t="str">
        <f>IF(Y287="","",IF(Y287="[FÓRMULA MANUAL]","",IFERROR(AVERAGEIFS(DATOS!$K$2:$K$20000,DATOS!$A$2:$A$20000,Y287,DATOS!$G$2:$G$20000,CONFIG_METADATA!$B$4,DATOS!$I$2:$I$20000,"Música de Cámara"),"")))</f>
        <v/>
      </c>
      <c r="AC287" t="str">
        <f>IF(Y287="","",IF(Y287="[FÓRMULA MANUAL]","",IFERROR(SUMPRODUCT((DATOS!$A$2:$A$20000=Y287)*(DATOS!$G$2:$G$20000=CONFIG_METADATA!$B$4)*(COUNTIF(CONFIG_ASIGNATURAS!$B$7:$B$27,DATOS!$I$2:$I$20000)&gt;0)*(DATOS!$K$2:$K$20000))/SUMPRODUCT((DATOS!$A$2:$A$20000=Y287)*(DATOS!$G$2:$G$20000=CONFIG_METADATA!$B$4)*(COUNTIF(CONFIG_ASIGNATURAS!$B$7:$B$27,DATOS!$I$2:$I$20000)&gt;0)*1),"")))</f>
        <v/>
      </c>
      <c r="AF287" t="str">
        <f>IF(AE287="","",IF(AE287="[FÓRMULA MANUAL]","",IFERROR(AVERAGEIFS(DATOS!$K$2:$K$20000,DATOS!$A$2:$A$20000,AE287,DATOS!$G$2:$G$20000,CONFIG_METADATA!$B$4,DATOS!$I$2:$I$20000,"Análisis"),"")))</f>
        <v/>
      </c>
      <c r="AG287" t="str">
        <f>IF(AE287="","",IF(AE287="[FÓRMULA MANUAL]","",IFERROR(AVERAGEIFS(DATOS!$K$2:$K$20000,DATOS!$A$2:$A$20000,AE287,DATOS!$G$2:$G$20000,CONFIG_METADATA!$B$4,DATOS!$I$2:$I$20000,"Orquesta/Banda/Conjunto"),"")))</f>
        <v/>
      </c>
      <c r="AH287" t="str">
        <f>IF(AE287="","",IF(AE287="[FÓRMULA MANUAL]","",IFERROR(AVERAGEIFS(DATOS!$K$2:$K$20000,DATOS!$A$2:$A$20000,AE287,DATOS!$G$2:$G$20000,CONFIG_METADATA!$B$4,DATOS!$I$2:$I$20000,"Música de Cámara"),"")))</f>
        <v/>
      </c>
      <c r="AI287" t="str">
        <f>IF(AE287="","",IF(AE287="[FÓRMULA MANUAL]","",IFERROR(SUMPRODUCT((DATOS!$A$2:$A$20000=AE287)*(DATOS!$G$2:$G$20000=CONFIG_METADATA!$B$4)*(COUNTIF(CONFIG_ASIGNATURAS!$B$7:$B$27,DATOS!$I$2:$I$20000)&gt;0)*(DATOS!$K$2:$K$20000))/SUMPRODUCT((DATOS!$A$2:$A$20000=AE287)*(DATOS!$G$2:$G$20000=CONFIG_METADATA!$B$4)*(COUNTIF(CONFIG_ASIGNATURAS!$B$7:$B$27,DATOS!$I$2:$I$20000)&gt;0)*1),"")))</f>
        <v/>
      </c>
    </row>
    <row r="288" spans="2:35" x14ac:dyDescent="0.2">
      <c r="B288" t="str">
        <f>IF(A288="","",IF(A288="[FÓRMULA MANUAL]","",IFERROR(AVERAGEIFS(DATOS!$K$2:$K$20000,DATOS!$A$2:$A$20000,A288,DATOS!$G$2:$G$20000,CONFIG_METADATA!$B$4,DATOS!$I$2:$I$20000,"Lenguaje Musical"),"")))</f>
        <v/>
      </c>
      <c r="C288" t="str">
        <f>IF(A288="","",IF(A288="[FÓRMULA MANUAL]","",IFERROR(AVERAGEIFS(DATOS!$K$2:$K$20000,DATOS!$A$2:$A$20000,A288,DATOS!$G$2:$G$20000,CONFIG_METADATA!$B$4,DATOS!$I$2:$I$20000,"Orquesta/Banda/Conjunto"),"")))</f>
        <v/>
      </c>
      <c r="D288" t="str">
        <f>IF(A288="","",IF(A288="[FÓRMULA MANUAL]","",IFERROR(AVERAGEIFS(DATOS!$K$2:$K$20000,DATOS!$A$2:$A$20000,A288,DATOS!$G$2:$G$20000,CONFIG_METADATA!$B$4,DATOS!$I$2:$I$20000,"Conjunto"),"")))</f>
        <v/>
      </c>
      <c r="E288" t="str">
        <f>IF(A288="","",IF(A288="[FÓRMULA MANUAL]","",IFERROR(SUMPRODUCT((DATOS!$A$2:$A$20000=A288)*(DATOS!$G$2:$G$20000=CONFIG_METADATA!$B$4)*(COUNTIF(CONFIG_ASIGNATURAS!$B$7:$B$27,DATOS!$I$2:$I$20000)&gt;0)*(DATOS!$K$2:$K$20000))/SUMPRODUCT((DATOS!$A$2:$A$20000=A288)*(DATOS!$G$2:$G$20000=CONFIG_METADATA!$B$4)*(COUNTIF(CONFIG_ASIGNATURAS!$B$7:$B$27,DATOS!$I$2:$I$20000)&gt;0)*1),"")))</f>
        <v/>
      </c>
      <c r="H288" t="str">
        <f>IF(G288="","",IF(G288="[FÓRMULA MANUAL]","",IFERROR(AVERAGEIFS(DATOS!$K$2:$K$20000,DATOS!$A$2:$A$20000,G288,DATOS!$G$2:$G$20000,CONFIG_METADATA!$B$4,DATOS!$I$2:$I$20000,"Lenguaje Musical"),"")))</f>
        <v/>
      </c>
      <c r="I288" t="str">
        <f>IF(G288="","",IF(G288="[FÓRMULA MANUAL]","",IFERROR(AVERAGEIFS(DATOS!$K$2:$K$20000,DATOS!$A$2:$A$20000,G288,DATOS!$G$2:$G$20000,CONFIG_METADATA!$B$4,DATOS!$I$2:$I$20000,"Orquesta/Banda/Conjunto"),"")))</f>
        <v/>
      </c>
      <c r="J288" t="str">
        <f>IF(G288="","",IF(G288="[FÓRMULA MANUAL]","",IFERROR(AVERAGEIFS(DATOS!$K$2:$K$20000,DATOS!$A$2:$A$20000,G288,DATOS!$G$2:$G$20000,CONFIG_METADATA!$B$4,DATOS!$I$2:$I$20000,"Conjunto"),"")))</f>
        <v/>
      </c>
      <c r="K288" t="str">
        <f>IF(G288="","",IF(G288="[FÓRMULA MANUAL]","",IFERROR(SUMPRODUCT((DATOS!$A$2:$A$20000=G288)*(DATOS!$G$2:$G$20000=CONFIG_METADATA!$B$4)*(COUNTIF(CONFIG_ASIGNATURAS!$B$7:$B$27,DATOS!$I$2:$I$20000)&gt;0)*(DATOS!$K$2:$K$20000))/SUMPRODUCT((DATOS!$A$2:$A$20000=G288)*(DATOS!$G$2:$G$20000=CONFIG_METADATA!$B$4)*(COUNTIF(CONFIG_ASIGNATURAS!$B$7:$B$27,DATOS!$I$2:$I$20000)&gt;0)*1),"")))</f>
        <v/>
      </c>
      <c r="N288" t="str">
        <f>IF(M288="","",IF(M288="[FÓRMULA MANUAL]","",IFERROR(AVERAGEIFS(DATOS!$K$2:$K$20000,DATOS!$A$2:$A$20000,M288,DATOS!$G$2:$G$20000,CONFIG_METADATA!$B$4,DATOS!$I$2:$I$20000,"Armonía"),"")))</f>
        <v/>
      </c>
      <c r="O288" t="str">
        <f>IF(M288="","",IF(M288="[FÓRMULA MANUAL]","",IFERROR(AVERAGEIFS(DATOS!$K$2:$K$20000,DATOS!$A$2:$A$20000,M288,DATOS!$G$2:$G$20000,CONFIG_METADATA!$B$4,DATOS!$I$2:$I$20000,"Orquesta/Banda/Conjunto"),"")))</f>
        <v/>
      </c>
      <c r="P288" t="str">
        <f>IF(M288="","",IF(M288="[FÓRMULA MANUAL]","",IFERROR(AVERAGEIFS(DATOS!$K$2:$K$20000,DATOS!$A$2:$A$20000,M288,DATOS!$G$2:$G$20000,CONFIG_METADATA!$B$4,DATOS!$I$2:$I$20000,"Música de Cámara"),"")))</f>
        <v/>
      </c>
      <c r="Q288" t="str">
        <f>IF(M288="","",IF(M288="[FÓRMULA MANUAL]","",IFERROR(SUMPRODUCT((DATOS!$A$2:$A$20000=M288)*(DATOS!$G$2:$G$20000=CONFIG_METADATA!$B$4)*(COUNTIF(CONFIG_ASIGNATURAS!$B$7:$B$27,DATOS!$I$2:$I$20000)&gt;0)*(DATOS!$K$2:$K$20000))/SUMPRODUCT((DATOS!$A$2:$A$20000=M288)*(DATOS!$G$2:$G$20000=CONFIG_METADATA!$B$4)*(COUNTIF(CONFIG_ASIGNATURAS!$B$7:$B$27,DATOS!$I$2:$I$20000)&gt;0)*1),"")))</f>
        <v/>
      </c>
      <c r="T288" t="str">
        <f>IF(S288="","",IF(S288="[FÓRMULA MANUAL]","",IFERROR(AVERAGEIFS(DATOS!$K$2:$K$20000,DATOS!$A$2:$A$20000,S288,DATOS!$G$2:$G$20000,CONFIG_METADATA!$B$4,DATOS!$I$2:$I$20000,"Armonía"),"")))</f>
        <v/>
      </c>
      <c r="U288" t="str">
        <f>IF(S288="","",IF(S288="[FÓRMULA MANUAL]","",IFERROR(AVERAGEIFS(DATOS!$K$2:$K$20000,DATOS!$A$2:$A$20000,S288,DATOS!$G$2:$G$20000,CONFIG_METADATA!$B$4,DATOS!$I$2:$I$20000,"Orquesta/Banda/Conjunto"),"")))</f>
        <v/>
      </c>
      <c r="V288" t="str">
        <f>IF(S288="","",IF(S288="[FÓRMULA MANUAL]","",IFERROR(AVERAGEIFS(DATOS!$K$2:$K$20000,DATOS!$A$2:$A$20000,S288,DATOS!$G$2:$G$20000,CONFIG_METADATA!$B$4,DATOS!$I$2:$I$20000,"Música de Cámara"),"")))</f>
        <v/>
      </c>
      <c r="W288" t="str">
        <f>IF(S288="","",IF(S288="[FÓRMULA MANUAL]","",IFERROR(SUMPRODUCT((DATOS!$A$2:$A$20000=S288)*(DATOS!$G$2:$G$20000=CONFIG_METADATA!$B$4)*(COUNTIF(CONFIG_ASIGNATURAS!$B$7:$B$27,DATOS!$I$2:$I$20000)&gt;0)*(DATOS!$K$2:$K$20000))/SUMPRODUCT((DATOS!$A$2:$A$20000=S288)*(DATOS!$G$2:$G$20000=CONFIG_METADATA!$B$4)*(COUNTIF(CONFIG_ASIGNATURAS!$B$7:$B$27,DATOS!$I$2:$I$20000)&gt;0)*1),"")))</f>
        <v/>
      </c>
      <c r="Z288" t="str">
        <f>IF(Y288="","",IF(Y288="[FÓRMULA MANUAL]","",IFERROR(AVERAGEIFS(DATOS!$K$2:$K$20000,DATOS!$A$2:$A$20000,Y288,DATOS!$G$2:$G$20000,CONFIG_METADATA!$B$4,DATOS!$I$2:$I$20000,"Análisis"),"")))</f>
        <v/>
      </c>
      <c r="AA288" t="str">
        <f>IF(Y288="","",IF(Y288="[FÓRMULA MANUAL]","",IFERROR(AVERAGEIFS(DATOS!$K$2:$K$20000,DATOS!$A$2:$A$20000,Y288,DATOS!$G$2:$G$20000,CONFIG_METADATA!$B$4,DATOS!$I$2:$I$20000,"Orquesta/Banda/Conjunto"),"")))</f>
        <v/>
      </c>
      <c r="AB288" t="str">
        <f>IF(Y288="","",IF(Y288="[FÓRMULA MANUAL]","",IFERROR(AVERAGEIFS(DATOS!$K$2:$K$20000,DATOS!$A$2:$A$20000,Y288,DATOS!$G$2:$G$20000,CONFIG_METADATA!$B$4,DATOS!$I$2:$I$20000,"Música de Cámara"),"")))</f>
        <v/>
      </c>
      <c r="AC288" t="str">
        <f>IF(Y288="","",IF(Y288="[FÓRMULA MANUAL]","",IFERROR(SUMPRODUCT((DATOS!$A$2:$A$20000=Y288)*(DATOS!$G$2:$G$20000=CONFIG_METADATA!$B$4)*(COUNTIF(CONFIG_ASIGNATURAS!$B$7:$B$27,DATOS!$I$2:$I$20000)&gt;0)*(DATOS!$K$2:$K$20000))/SUMPRODUCT((DATOS!$A$2:$A$20000=Y288)*(DATOS!$G$2:$G$20000=CONFIG_METADATA!$B$4)*(COUNTIF(CONFIG_ASIGNATURAS!$B$7:$B$27,DATOS!$I$2:$I$20000)&gt;0)*1),"")))</f>
        <v/>
      </c>
      <c r="AF288" t="str">
        <f>IF(AE288="","",IF(AE288="[FÓRMULA MANUAL]","",IFERROR(AVERAGEIFS(DATOS!$K$2:$K$20000,DATOS!$A$2:$A$20000,AE288,DATOS!$G$2:$G$20000,CONFIG_METADATA!$B$4,DATOS!$I$2:$I$20000,"Análisis"),"")))</f>
        <v/>
      </c>
      <c r="AG288" t="str">
        <f>IF(AE288="","",IF(AE288="[FÓRMULA MANUAL]","",IFERROR(AVERAGEIFS(DATOS!$K$2:$K$20000,DATOS!$A$2:$A$20000,AE288,DATOS!$G$2:$G$20000,CONFIG_METADATA!$B$4,DATOS!$I$2:$I$20000,"Orquesta/Banda/Conjunto"),"")))</f>
        <v/>
      </c>
      <c r="AH288" t="str">
        <f>IF(AE288="","",IF(AE288="[FÓRMULA MANUAL]","",IFERROR(AVERAGEIFS(DATOS!$K$2:$K$20000,DATOS!$A$2:$A$20000,AE288,DATOS!$G$2:$G$20000,CONFIG_METADATA!$B$4,DATOS!$I$2:$I$20000,"Música de Cámara"),"")))</f>
        <v/>
      </c>
      <c r="AI288" t="str">
        <f>IF(AE288="","",IF(AE288="[FÓRMULA MANUAL]","",IFERROR(SUMPRODUCT((DATOS!$A$2:$A$20000=AE288)*(DATOS!$G$2:$G$20000=CONFIG_METADATA!$B$4)*(COUNTIF(CONFIG_ASIGNATURAS!$B$7:$B$27,DATOS!$I$2:$I$20000)&gt;0)*(DATOS!$K$2:$K$20000))/SUMPRODUCT((DATOS!$A$2:$A$20000=AE288)*(DATOS!$G$2:$G$20000=CONFIG_METADATA!$B$4)*(COUNTIF(CONFIG_ASIGNATURAS!$B$7:$B$27,DATOS!$I$2:$I$20000)&gt;0)*1),"")))</f>
        <v/>
      </c>
    </row>
    <row r="289" spans="2:35" x14ac:dyDescent="0.2">
      <c r="B289" t="str">
        <f>IF(A289="","",IF(A289="[FÓRMULA MANUAL]","",IFERROR(AVERAGEIFS(DATOS!$K$2:$K$20000,DATOS!$A$2:$A$20000,A289,DATOS!$G$2:$G$20000,CONFIG_METADATA!$B$4,DATOS!$I$2:$I$20000,"Lenguaje Musical"),"")))</f>
        <v/>
      </c>
      <c r="C289" t="str">
        <f>IF(A289="","",IF(A289="[FÓRMULA MANUAL]","",IFERROR(AVERAGEIFS(DATOS!$K$2:$K$20000,DATOS!$A$2:$A$20000,A289,DATOS!$G$2:$G$20000,CONFIG_METADATA!$B$4,DATOS!$I$2:$I$20000,"Orquesta/Banda/Conjunto"),"")))</f>
        <v/>
      </c>
      <c r="D289" t="str">
        <f>IF(A289="","",IF(A289="[FÓRMULA MANUAL]","",IFERROR(AVERAGEIFS(DATOS!$K$2:$K$20000,DATOS!$A$2:$A$20000,A289,DATOS!$G$2:$G$20000,CONFIG_METADATA!$B$4,DATOS!$I$2:$I$20000,"Conjunto"),"")))</f>
        <v/>
      </c>
      <c r="E289" t="str">
        <f>IF(A289="","",IF(A289="[FÓRMULA MANUAL]","",IFERROR(SUMPRODUCT((DATOS!$A$2:$A$20000=A289)*(DATOS!$G$2:$G$20000=CONFIG_METADATA!$B$4)*(COUNTIF(CONFIG_ASIGNATURAS!$B$7:$B$27,DATOS!$I$2:$I$20000)&gt;0)*(DATOS!$K$2:$K$20000))/SUMPRODUCT((DATOS!$A$2:$A$20000=A289)*(DATOS!$G$2:$G$20000=CONFIG_METADATA!$B$4)*(COUNTIF(CONFIG_ASIGNATURAS!$B$7:$B$27,DATOS!$I$2:$I$20000)&gt;0)*1),"")))</f>
        <v/>
      </c>
      <c r="H289" t="str">
        <f>IF(G289="","",IF(G289="[FÓRMULA MANUAL]","",IFERROR(AVERAGEIFS(DATOS!$K$2:$K$20000,DATOS!$A$2:$A$20000,G289,DATOS!$G$2:$G$20000,CONFIG_METADATA!$B$4,DATOS!$I$2:$I$20000,"Lenguaje Musical"),"")))</f>
        <v/>
      </c>
      <c r="I289" t="str">
        <f>IF(G289="","",IF(G289="[FÓRMULA MANUAL]","",IFERROR(AVERAGEIFS(DATOS!$K$2:$K$20000,DATOS!$A$2:$A$20000,G289,DATOS!$G$2:$G$20000,CONFIG_METADATA!$B$4,DATOS!$I$2:$I$20000,"Orquesta/Banda/Conjunto"),"")))</f>
        <v/>
      </c>
      <c r="J289" t="str">
        <f>IF(G289="","",IF(G289="[FÓRMULA MANUAL]","",IFERROR(AVERAGEIFS(DATOS!$K$2:$K$20000,DATOS!$A$2:$A$20000,G289,DATOS!$G$2:$G$20000,CONFIG_METADATA!$B$4,DATOS!$I$2:$I$20000,"Conjunto"),"")))</f>
        <v/>
      </c>
      <c r="K289" t="str">
        <f>IF(G289="","",IF(G289="[FÓRMULA MANUAL]","",IFERROR(SUMPRODUCT((DATOS!$A$2:$A$20000=G289)*(DATOS!$G$2:$G$20000=CONFIG_METADATA!$B$4)*(COUNTIF(CONFIG_ASIGNATURAS!$B$7:$B$27,DATOS!$I$2:$I$20000)&gt;0)*(DATOS!$K$2:$K$20000))/SUMPRODUCT((DATOS!$A$2:$A$20000=G289)*(DATOS!$G$2:$G$20000=CONFIG_METADATA!$B$4)*(COUNTIF(CONFIG_ASIGNATURAS!$B$7:$B$27,DATOS!$I$2:$I$20000)&gt;0)*1),"")))</f>
        <v/>
      </c>
      <c r="N289" t="str">
        <f>IF(M289="","",IF(M289="[FÓRMULA MANUAL]","",IFERROR(AVERAGEIFS(DATOS!$K$2:$K$20000,DATOS!$A$2:$A$20000,M289,DATOS!$G$2:$G$20000,CONFIG_METADATA!$B$4,DATOS!$I$2:$I$20000,"Armonía"),"")))</f>
        <v/>
      </c>
      <c r="O289" t="str">
        <f>IF(M289="","",IF(M289="[FÓRMULA MANUAL]","",IFERROR(AVERAGEIFS(DATOS!$K$2:$K$20000,DATOS!$A$2:$A$20000,M289,DATOS!$G$2:$G$20000,CONFIG_METADATA!$B$4,DATOS!$I$2:$I$20000,"Orquesta/Banda/Conjunto"),"")))</f>
        <v/>
      </c>
      <c r="P289" t="str">
        <f>IF(M289="","",IF(M289="[FÓRMULA MANUAL]","",IFERROR(AVERAGEIFS(DATOS!$K$2:$K$20000,DATOS!$A$2:$A$20000,M289,DATOS!$G$2:$G$20000,CONFIG_METADATA!$B$4,DATOS!$I$2:$I$20000,"Música de Cámara"),"")))</f>
        <v/>
      </c>
      <c r="Q289" t="str">
        <f>IF(M289="","",IF(M289="[FÓRMULA MANUAL]","",IFERROR(SUMPRODUCT((DATOS!$A$2:$A$20000=M289)*(DATOS!$G$2:$G$20000=CONFIG_METADATA!$B$4)*(COUNTIF(CONFIG_ASIGNATURAS!$B$7:$B$27,DATOS!$I$2:$I$20000)&gt;0)*(DATOS!$K$2:$K$20000))/SUMPRODUCT((DATOS!$A$2:$A$20000=M289)*(DATOS!$G$2:$G$20000=CONFIG_METADATA!$B$4)*(COUNTIF(CONFIG_ASIGNATURAS!$B$7:$B$27,DATOS!$I$2:$I$20000)&gt;0)*1),"")))</f>
        <v/>
      </c>
      <c r="T289" t="str">
        <f>IF(S289="","",IF(S289="[FÓRMULA MANUAL]","",IFERROR(AVERAGEIFS(DATOS!$K$2:$K$20000,DATOS!$A$2:$A$20000,S289,DATOS!$G$2:$G$20000,CONFIG_METADATA!$B$4,DATOS!$I$2:$I$20000,"Armonía"),"")))</f>
        <v/>
      </c>
      <c r="U289" t="str">
        <f>IF(S289="","",IF(S289="[FÓRMULA MANUAL]","",IFERROR(AVERAGEIFS(DATOS!$K$2:$K$20000,DATOS!$A$2:$A$20000,S289,DATOS!$G$2:$G$20000,CONFIG_METADATA!$B$4,DATOS!$I$2:$I$20000,"Orquesta/Banda/Conjunto"),"")))</f>
        <v/>
      </c>
      <c r="V289" t="str">
        <f>IF(S289="","",IF(S289="[FÓRMULA MANUAL]","",IFERROR(AVERAGEIFS(DATOS!$K$2:$K$20000,DATOS!$A$2:$A$20000,S289,DATOS!$G$2:$G$20000,CONFIG_METADATA!$B$4,DATOS!$I$2:$I$20000,"Música de Cámara"),"")))</f>
        <v/>
      </c>
      <c r="W289" t="str">
        <f>IF(S289="","",IF(S289="[FÓRMULA MANUAL]","",IFERROR(SUMPRODUCT((DATOS!$A$2:$A$20000=S289)*(DATOS!$G$2:$G$20000=CONFIG_METADATA!$B$4)*(COUNTIF(CONFIG_ASIGNATURAS!$B$7:$B$27,DATOS!$I$2:$I$20000)&gt;0)*(DATOS!$K$2:$K$20000))/SUMPRODUCT((DATOS!$A$2:$A$20000=S289)*(DATOS!$G$2:$G$20000=CONFIG_METADATA!$B$4)*(COUNTIF(CONFIG_ASIGNATURAS!$B$7:$B$27,DATOS!$I$2:$I$20000)&gt;0)*1),"")))</f>
        <v/>
      </c>
      <c r="Z289" t="str">
        <f>IF(Y289="","",IF(Y289="[FÓRMULA MANUAL]","",IFERROR(AVERAGEIFS(DATOS!$K$2:$K$20000,DATOS!$A$2:$A$20000,Y289,DATOS!$G$2:$G$20000,CONFIG_METADATA!$B$4,DATOS!$I$2:$I$20000,"Análisis"),"")))</f>
        <v/>
      </c>
      <c r="AA289" t="str">
        <f>IF(Y289="","",IF(Y289="[FÓRMULA MANUAL]","",IFERROR(AVERAGEIFS(DATOS!$K$2:$K$20000,DATOS!$A$2:$A$20000,Y289,DATOS!$G$2:$G$20000,CONFIG_METADATA!$B$4,DATOS!$I$2:$I$20000,"Orquesta/Banda/Conjunto"),"")))</f>
        <v/>
      </c>
      <c r="AB289" t="str">
        <f>IF(Y289="","",IF(Y289="[FÓRMULA MANUAL]","",IFERROR(AVERAGEIFS(DATOS!$K$2:$K$20000,DATOS!$A$2:$A$20000,Y289,DATOS!$G$2:$G$20000,CONFIG_METADATA!$B$4,DATOS!$I$2:$I$20000,"Música de Cámara"),"")))</f>
        <v/>
      </c>
      <c r="AC289" t="str">
        <f>IF(Y289="","",IF(Y289="[FÓRMULA MANUAL]","",IFERROR(SUMPRODUCT((DATOS!$A$2:$A$20000=Y289)*(DATOS!$G$2:$G$20000=CONFIG_METADATA!$B$4)*(COUNTIF(CONFIG_ASIGNATURAS!$B$7:$B$27,DATOS!$I$2:$I$20000)&gt;0)*(DATOS!$K$2:$K$20000))/SUMPRODUCT((DATOS!$A$2:$A$20000=Y289)*(DATOS!$G$2:$G$20000=CONFIG_METADATA!$B$4)*(COUNTIF(CONFIG_ASIGNATURAS!$B$7:$B$27,DATOS!$I$2:$I$20000)&gt;0)*1),"")))</f>
        <v/>
      </c>
      <c r="AF289" t="str">
        <f>IF(AE289="","",IF(AE289="[FÓRMULA MANUAL]","",IFERROR(AVERAGEIFS(DATOS!$K$2:$K$20000,DATOS!$A$2:$A$20000,AE289,DATOS!$G$2:$G$20000,CONFIG_METADATA!$B$4,DATOS!$I$2:$I$20000,"Análisis"),"")))</f>
        <v/>
      </c>
      <c r="AG289" t="str">
        <f>IF(AE289="","",IF(AE289="[FÓRMULA MANUAL]","",IFERROR(AVERAGEIFS(DATOS!$K$2:$K$20000,DATOS!$A$2:$A$20000,AE289,DATOS!$G$2:$G$20000,CONFIG_METADATA!$B$4,DATOS!$I$2:$I$20000,"Orquesta/Banda/Conjunto"),"")))</f>
        <v/>
      </c>
      <c r="AH289" t="str">
        <f>IF(AE289="","",IF(AE289="[FÓRMULA MANUAL]","",IFERROR(AVERAGEIFS(DATOS!$K$2:$K$20000,DATOS!$A$2:$A$20000,AE289,DATOS!$G$2:$G$20000,CONFIG_METADATA!$B$4,DATOS!$I$2:$I$20000,"Música de Cámara"),"")))</f>
        <v/>
      </c>
      <c r="AI289" t="str">
        <f>IF(AE289="","",IF(AE289="[FÓRMULA MANUAL]","",IFERROR(SUMPRODUCT((DATOS!$A$2:$A$20000=AE289)*(DATOS!$G$2:$G$20000=CONFIG_METADATA!$B$4)*(COUNTIF(CONFIG_ASIGNATURAS!$B$7:$B$27,DATOS!$I$2:$I$20000)&gt;0)*(DATOS!$K$2:$K$20000))/SUMPRODUCT((DATOS!$A$2:$A$20000=AE289)*(DATOS!$G$2:$G$20000=CONFIG_METADATA!$B$4)*(COUNTIF(CONFIG_ASIGNATURAS!$B$7:$B$27,DATOS!$I$2:$I$20000)&gt;0)*1),"")))</f>
        <v/>
      </c>
    </row>
    <row r="290" spans="2:35" x14ac:dyDescent="0.2">
      <c r="B290" t="str">
        <f>IF(A290="","",IF(A290="[FÓRMULA MANUAL]","",IFERROR(AVERAGEIFS(DATOS!$K$2:$K$20000,DATOS!$A$2:$A$20000,A290,DATOS!$G$2:$G$20000,CONFIG_METADATA!$B$4,DATOS!$I$2:$I$20000,"Lenguaje Musical"),"")))</f>
        <v/>
      </c>
      <c r="C290" t="str">
        <f>IF(A290="","",IF(A290="[FÓRMULA MANUAL]","",IFERROR(AVERAGEIFS(DATOS!$K$2:$K$20000,DATOS!$A$2:$A$20000,A290,DATOS!$G$2:$G$20000,CONFIG_METADATA!$B$4,DATOS!$I$2:$I$20000,"Orquesta/Banda/Conjunto"),"")))</f>
        <v/>
      </c>
      <c r="D290" t="str">
        <f>IF(A290="","",IF(A290="[FÓRMULA MANUAL]","",IFERROR(AVERAGEIFS(DATOS!$K$2:$K$20000,DATOS!$A$2:$A$20000,A290,DATOS!$G$2:$G$20000,CONFIG_METADATA!$B$4,DATOS!$I$2:$I$20000,"Conjunto"),"")))</f>
        <v/>
      </c>
      <c r="E290" t="str">
        <f>IF(A290="","",IF(A290="[FÓRMULA MANUAL]","",IFERROR(SUMPRODUCT((DATOS!$A$2:$A$20000=A290)*(DATOS!$G$2:$G$20000=CONFIG_METADATA!$B$4)*(COUNTIF(CONFIG_ASIGNATURAS!$B$7:$B$27,DATOS!$I$2:$I$20000)&gt;0)*(DATOS!$K$2:$K$20000))/SUMPRODUCT((DATOS!$A$2:$A$20000=A290)*(DATOS!$G$2:$G$20000=CONFIG_METADATA!$B$4)*(COUNTIF(CONFIG_ASIGNATURAS!$B$7:$B$27,DATOS!$I$2:$I$20000)&gt;0)*1),"")))</f>
        <v/>
      </c>
      <c r="H290" t="str">
        <f>IF(G290="","",IF(G290="[FÓRMULA MANUAL]","",IFERROR(AVERAGEIFS(DATOS!$K$2:$K$20000,DATOS!$A$2:$A$20000,G290,DATOS!$G$2:$G$20000,CONFIG_METADATA!$B$4,DATOS!$I$2:$I$20000,"Lenguaje Musical"),"")))</f>
        <v/>
      </c>
      <c r="I290" t="str">
        <f>IF(G290="","",IF(G290="[FÓRMULA MANUAL]","",IFERROR(AVERAGEIFS(DATOS!$K$2:$K$20000,DATOS!$A$2:$A$20000,G290,DATOS!$G$2:$G$20000,CONFIG_METADATA!$B$4,DATOS!$I$2:$I$20000,"Orquesta/Banda/Conjunto"),"")))</f>
        <v/>
      </c>
      <c r="J290" t="str">
        <f>IF(G290="","",IF(G290="[FÓRMULA MANUAL]","",IFERROR(AVERAGEIFS(DATOS!$K$2:$K$20000,DATOS!$A$2:$A$20000,G290,DATOS!$G$2:$G$20000,CONFIG_METADATA!$B$4,DATOS!$I$2:$I$20000,"Conjunto"),"")))</f>
        <v/>
      </c>
      <c r="K290" t="str">
        <f>IF(G290="","",IF(G290="[FÓRMULA MANUAL]","",IFERROR(SUMPRODUCT((DATOS!$A$2:$A$20000=G290)*(DATOS!$G$2:$G$20000=CONFIG_METADATA!$B$4)*(COUNTIF(CONFIG_ASIGNATURAS!$B$7:$B$27,DATOS!$I$2:$I$20000)&gt;0)*(DATOS!$K$2:$K$20000))/SUMPRODUCT((DATOS!$A$2:$A$20000=G290)*(DATOS!$G$2:$G$20000=CONFIG_METADATA!$B$4)*(COUNTIF(CONFIG_ASIGNATURAS!$B$7:$B$27,DATOS!$I$2:$I$20000)&gt;0)*1),"")))</f>
        <v/>
      </c>
      <c r="N290" t="str">
        <f>IF(M290="","",IF(M290="[FÓRMULA MANUAL]","",IFERROR(AVERAGEIFS(DATOS!$K$2:$K$20000,DATOS!$A$2:$A$20000,M290,DATOS!$G$2:$G$20000,CONFIG_METADATA!$B$4,DATOS!$I$2:$I$20000,"Armonía"),"")))</f>
        <v/>
      </c>
      <c r="O290" t="str">
        <f>IF(M290="","",IF(M290="[FÓRMULA MANUAL]","",IFERROR(AVERAGEIFS(DATOS!$K$2:$K$20000,DATOS!$A$2:$A$20000,M290,DATOS!$G$2:$G$20000,CONFIG_METADATA!$B$4,DATOS!$I$2:$I$20000,"Orquesta/Banda/Conjunto"),"")))</f>
        <v/>
      </c>
      <c r="P290" t="str">
        <f>IF(M290="","",IF(M290="[FÓRMULA MANUAL]","",IFERROR(AVERAGEIFS(DATOS!$K$2:$K$20000,DATOS!$A$2:$A$20000,M290,DATOS!$G$2:$G$20000,CONFIG_METADATA!$B$4,DATOS!$I$2:$I$20000,"Música de Cámara"),"")))</f>
        <v/>
      </c>
      <c r="Q290" t="str">
        <f>IF(M290="","",IF(M290="[FÓRMULA MANUAL]","",IFERROR(SUMPRODUCT((DATOS!$A$2:$A$20000=M290)*(DATOS!$G$2:$G$20000=CONFIG_METADATA!$B$4)*(COUNTIF(CONFIG_ASIGNATURAS!$B$7:$B$27,DATOS!$I$2:$I$20000)&gt;0)*(DATOS!$K$2:$K$20000))/SUMPRODUCT((DATOS!$A$2:$A$20000=M290)*(DATOS!$G$2:$G$20000=CONFIG_METADATA!$B$4)*(COUNTIF(CONFIG_ASIGNATURAS!$B$7:$B$27,DATOS!$I$2:$I$20000)&gt;0)*1),"")))</f>
        <v/>
      </c>
      <c r="T290" t="str">
        <f>IF(S290="","",IF(S290="[FÓRMULA MANUAL]","",IFERROR(AVERAGEIFS(DATOS!$K$2:$K$20000,DATOS!$A$2:$A$20000,S290,DATOS!$G$2:$G$20000,CONFIG_METADATA!$B$4,DATOS!$I$2:$I$20000,"Armonía"),"")))</f>
        <v/>
      </c>
      <c r="U290" t="str">
        <f>IF(S290="","",IF(S290="[FÓRMULA MANUAL]","",IFERROR(AVERAGEIFS(DATOS!$K$2:$K$20000,DATOS!$A$2:$A$20000,S290,DATOS!$G$2:$G$20000,CONFIG_METADATA!$B$4,DATOS!$I$2:$I$20000,"Orquesta/Banda/Conjunto"),"")))</f>
        <v/>
      </c>
      <c r="V290" t="str">
        <f>IF(S290="","",IF(S290="[FÓRMULA MANUAL]","",IFERROR(AVERAGEIFS(DATOS!$K$2:$K$20000,DATOS!$A$2:$A$20000,S290,DATOS!$G$2:$G$20000,CONFIG_METADATA!$B$4,DATOS!$I$2:$I$20000,"Música de Cámara"),"")))</f>
        <v/>
      </c>
      <c r="W290" t="str">
        <f>IF(S290="","",IF(S290="[FÓRMULA MANUAL]","",IFERROR(SUMPRODUCT((DATOS!$A$2:$A$20000=S290)*(DATOS!$G$2:$G$20000=CONFIG_METADATA!$B$4)*(COUNTIF(CONFIG_ASIGNATURAS!$B$7:$B$27,DATOS!$I$2:$I$20000)&gt;0)*(DATOS!$K$2:$K$20000))/SUMPRODUCT((DATOS!$A$2:$A$20000=S290)*(DATOS!$G$2:$G$20000=CONFIG_METADATA!$B$4)*(COUNTIF(CONFIG_ASIGNATURAS!$B$7:$B$27,DATOS!$I$2:$I$20000)&gt;0)*1),"")))</f>
        <v/>
      </c>
      <c r="Z290" t="str">
        <f>IF(Y290="","",IF(Y290="[FÓRMULA MANUAL]","",IFERROR(AVERAGEIFS(DATOS!$K$2:$K$20000,DATOS!$A$2:$A$20000,Y290,DATOS!$G$2:$G$20000,CONFIG_METADATA!$B$4,DATOS!$I$2:$I$20000,"Análisis"),"")))</f>
        <v/>
      </c>
      <c r="AA290" t="str">
        <f>IF(Y290="","",IF(Y290="[FÓRMULA MANUAL]","",IFERROR(AVERAGEIFS(DATOS!$K$2:$K$20000,DATOS!$A$2:$A$20000,Y290,DATOS!$G$2:$G$20000,CONFIG_METADATA!$B$4,DATOS!$I$2:$I$20000,"Orquesta/Banda/Conjunto"),"")))</f>
        <v/>
      </c>
      <c r="AB290" t="str">
        <f>IF(Y290="","",IF(Y290="[FÓRMULA MANUAL]","",IFERROR(AVERAGEIFS(DATOS!$K$2:$K$20000,DATOS!$A$2:$A$20000,Y290,DATOS!$G$2:$G$20000,CONFIG_METADATA!$B$4,DATOS!$I$2:$I$20000,"Música de Cámara"),"")))</f>
        <v/>
      </c>
      <c r="AC290" t="str">
        <f>IF(Y290="","",IF(Y290="[FÓRMULA MANUAL]","",IFERROR(SUMPRODUCT((DATOS!$A$2:$A$20000=Y290)*(DATOS!$G$2:$G$20000=CONFIG_METADATA!$B$4)*(COUNTIF(CONFIG_ASIGNATURAS!$B$7:$B$27,DATOS!$I$2:$I$20000)&gt;0)*(DATOS!$K$2:$K$20000))/SUMPRODUCT((DATOS!$A$2:$A$20000=Y290)*(DATOS!$G$2:$G$20000=CONFIG_METADATA!$B$4)*(COUNTIF(CONFIG_ASIGNATURAS!$B$7:$B$27,DATOS!$I$2:$I$20000)&gt;0)*1),"")))</f>
        <v/>
      </c>
      <c r="AF290" t="str">
        <f>IF(AE290="","",IF(AE290="[FÓRMULA MANUAL]","",IFERROR(AVERAGEIFS(DATOS!$K$2:$K$20000,DATOS!$A$2:$A$20000,AE290,DATOS!$G$2:$G$20000,CONFIG_METADATA!$B$4,DATOS!$I$2:$I$20000,"Análisis"),"")))</f>
        <v/>
      </c>
      <c r="AG290" t="str">
        <f>IF(AE290="","",IF(AE290="[FÓRMULA MANUAL]","",IFERROR(AVERAGEIFS(DATOS!$K$2:$K$20000,DATOS!$A$2:$A$20000,AE290,DATOS!$G$2:$G$20000,CONFIG_METADATA!$B$4,DATOS!$I$2:$I$20000,"Orquesta/Banda/Conjunto"),"")))</f>
        <v/>
      </c>
      <c r="AH290" t="str">
        <f>IF(AE290="","",IF(AE290="[FÓRMULA MANUAL]","",IFERROR(AVERAGEIFS(DATOS!$K$2:$K$20000,DATOS!$A$2:$A$20000,AE290,DATOS!$G$2:$G$20000,CONFIG_METADATA!$B$4,DATOS!$I$2:$I$20000,"Música de Cámara"),"")))</f>
        <v/>
      </c>
      <c r="AI290" t="str">
        <f>IF(AE290="","",IF(AE290="[FÓRMULA MANUAL]","",IFERROR(SUMPRODUCT((DATOS!$A$2:$A$20000=AE290)*(DATOS!$G$2:$G$20000=CONFIG_METADATA!$B$4)*(COUNTIF(CONFIG_ASIGNATURAS!$B$7:$B$27,DATOS!$I$2:$I$20000)&gt;0)*(DATOS!$K$2:$K$20000))/SUMPRODUCT((DATOS!$A$2:$A$20000=AE290)*(DATOS!$G$2:$G$20000=CONFIG_METADATA!$B$4)*(COUNTIF(CONFIG_ASIGNATURAS!$B$7:$B$27,DATOS!$I$2:$I$20000)&gt;0)*1),"")))</f>
        <v/>
      </c>
    </row>
    <row r="291" spans="2:35" x14ac:dyDescent="0.2">
      <c r="B291" t="str">
        <f>IF(A291="","",IF(A291="[FÓRMULA MANUAL]","",IFERROR(AVERAGEIFS(DATOS!$K$2:$K$20000,DATOS!$A$2:$A$20000,A291,DATOS!$G$2:$G$20000,CONFIG_METADATA!$B$4,DATOS!$I$2:$I$20000,"Lenguaje Musical"),"")))</f>
        <v/>
      </c>
      <c r="C291" t="str">
        <f>IF(A291="","",IF(A291="[FÓRMULA MANUAL]","",IFERROR(AVERAGEIFS(DATOS!$K$2:$K$20000,DATOS!$A$2:$A$20000,A291,DATOS!$G$2:$G$20000,CONFIG_METADATA!$B$4,DATOS!$I$2:$I$20000,"Orquesta/Banda/Conjunto"),"")))</f>
        <v/>
      </c>
      <c r="D291" t="str">
        <f>IF(A291="","",IF(A291="[FÓRMULA MANUAL]","",IFERROR(AVERAGEIFS(DATOS!$K$2:$K$20000,DATOS!$A$2:$A$20000,A291,DATOS!$G$2:$G$20000,CONFIG_METADATA!$B$4,DATOS!$I$2:$I$20000,"Conjunto"),"")))</f>
        <v/>
      </c>
      <c r="E291" t="str">
        <f>IF(A291="","",IF(A291="[FÓRMULA MANUAL]","",IFERROR(SUMPRODUCT((DATOS!$A$2:$A$20000=A291)*(DATOS!$G$2:$G$20000=CONFIG_METADATA!$B$4)*(COUNTIF(CONFIG_ASIGNATURAS!$B$7:$B$27,DATOS!$I$2:$I$20000)&gt;0)*(DATOS!$K$2:$K$20000))/SUMPRODUCT((DATOS!$A$2:$A$20000=A291)*(DATOS!$G$2:$G$20000=CONFIG_METADATA!$B$4)*(COUNTIF(CONFIG_ASIGNATURAS!$B$7:$B$27,DATOS!$I$2:$I$20000)&gt;0)*1),"")))</f>
        <v/>
      </c>
      <c r="H291" t="str">
        <f>IF(G291="","",IF(G291="[FÓRMULA MANUAL]","",IFERROR(AVERAGEIFS(DATOS!$K$2:$K$20000,DATOS!$A$2:$A$20000,G291,DATOS!$G$2:$G$20000,CONFIG_METADATA!$B$4,DATOS!$I$2:$I$20000,"Lenguaje Musical"),"")))</f>
        <v/>
      </c>
      <c r="I291" t="str">
        <f>IF(G291="","",IF(G291="[FÓRMULA MANUAL]","",IFERROR(AVERAGEIFS(DATOS!$K$2:$K$20000,DATOS!$A$2:$A$20000,G291,DATOS!$G$2:$G$20000,CONFIG_METADATA!$B$4,DATOS!$I$2:$I$20000,"Orquesta/Banda/Conjunto"),"")))</f>
        <v/>
      </c>
      <c r="J291" t="str">
        <f>IF(G291="","",IF(G291="[FÓRMULA MANUAL]","",IFERROR(AVERAGEIFS(DATOS!$K$2:$K$20000,DATOS!$A$2:$A$20000,G291,DATOS!$G$2:$G$20000,CONFIG_METADATA!$B$4,DATOS!$I$2:$I$20000,"Conjunto"),"")))</f>
        <v/>
      </c>
      <c r="K291" t="str">
        <f>IF(G291="","",IF(G291="[FÓRMULA MANUAL]","",IFERROR(SUMPRODUCT((DATOS!$A$2:$A$20000=G291)*(DATOS!$G$2:$G$20000=CONFIG_METADATA!$B$4)*(COUNTIF(CONFIG_ASIGNATURAS!$B$7:$B$27,DATOS!$I$2:$I$20000)&gt;0)*(DATOS!$K$2:$K$20000))/SUMPRODUCT((DATOS!$A$2:$A$20000=G291)*(DATOS!$G$2:$G$20000=CONFIG_METADATA!$B$4)*(COUNTIF(CONFIG_ASIGNATURAS!$B$7:$B$27,DATOS!$I$2:$I$20000)&gt;0)*1),"")))</f>
        <v/>
      </c>
      <c r="N291" t="str">
        <f>IF(M291="","",IF(M291="[FÓRMULA MANUAL]","",IFERROR(AVERAGEIFS(DATOS!$K$2:$K$20000,DATOS!$A$2:$A$20000,M291,DATOS!$G$2:$G$20000,CONFIG_METADATA!$B$4,DATOS!$I$2:$I$20000,"Armonía"),"")))</f>
        <v/>
      </c>
      <c r="O291" t="str">
        <f>IF(M291="","",IF(M291="[FÓRMULA MANUAL]","",IFERROR(AVERAGEIFS(DATOS!$K$2:$K$20000,DATOS!$A$2:$A$20000,M291,DATOS!$G$2:$G$20000,CONFIG_METADATA!$B$4,DATOS!$I$2:$I$20000,"Orquesta/Banda/Conjunto"),"")))</f>
        <v/>
      </c>
      <c r="P291" t="str">
        <f>IF(M291="","",IF(M291="[FÓRMULA MANUAL]","",IFERROR(AVERAGEIFS(DATOS!$K$2:$K$20000,DATOS!$A$2:$A$20000,M291,DATOS!$G$2:$G$20000,CONFIG_METADATA!$B$4,DATOS!$I$2:$I$20000,"Música de Cámara"),"")))</f>
        <v/>
      </c>
      <c r="Q291" t="str">
        <f>IF(M291="","",IF(M291="[FÓRMULA MANUAL]","",IFERROR(SUMPRODUCT((DATOS!$A$2:$A$20000=M291)*(DATOS!$G$2:$G$20000=CONFIG_METADATA!$B$4)*(COUNTIF(CONFIG_ASIGNATURAS!$B$7:$B$27,DATOS!$I$2:$I$20000)&gt;0)*(DATOS!$K$2:$K$20000))/SUMPRODUCT((DATOS!$A$2:$A$20000=M291)*(DATOS!$G$2:$G$20000=CONFIG_METADATA!$B$4)*(COUNTIF(CONFIG_ASIGNATURAS!$B$7:$B$27,DATOS!$I$2:$I$20000)&gt;0)*1),"")))</f>
        <v/>
      </c>
      <c r="T291" t="str">
        <f>IF(S291="","",IF(S291="[FÓRMULA MANUAL]","",IFERROR(AVERAGEIFS(DATOS!$K$2:$K$20000,DATOS!$A$2:$A$20000,S291,DATOS!$G$2:$G$20000,CONFIG_METADATA!$B$4,DATOS!$I$2:$I$20000,"Armonía"),"")))</f>
        <v/>
      </c>
      <c r="U291" t="str">
        <f>IF(S291="","",IF(S291="[FÓRMULA MANUAL]","",IFERROR(AVERAGEIFS(DATOS!$K$2:$K$20000,DATOS!$A$2:$A$20000,S291,DATOS!$G$2:$G$20000,CONFIG_METADATA!$B$4,DATOS!$I$2:$I$20000,"Orquesta/Banda/Conjunto"),"")))</f>
        <v/>
      </c>
      <c r="V291" t="str">
        <f>IF(S291="","",IF(S291="[FÓRMULA MANUAL]","",IFERROR(AVERAGEIFS(DATOS!$K$2:$K$20000,DATOS!$A$2:$A$20000,S291,DATOS!$G$2:$G$20000,CONFIG_METADATA!$B$4,DATOS!$I$2:$I$20000,"Música de Cámara"),"")))</f>
        <v/>
      </c>
      <c r="W291" t="str">
        <f>IF(S291="","",IF(S291="[FÓRMULA MANUAL]","",IFERROR(SUMPRODUCT((DATOS!$A$2:$A$20000=S291)*(DATOS!$G$2:$G$20000=CONFIG_METADATA!$B$4)*(COUNTIF(CONFIG_ASIGNATURAS!$B$7:$B$27,DATOS!$I$2:$I$20000)&gt;0)*(DATOS!$K$2:$K$20000))/SUMPRODUCT((DATOS!$A$2:$A$20000=S291)*(DATOS!$G$2:$G$20000=CONFIG_METADATA!$B$4)*(COUNTIF(CONFIG_ASIGNATURAS!$B$7:$B$27,DATOS!$I$2:$I$20000)&gt;0)*1),"")))</f>
        <v/>
      </c>
      <c r="Z291" t="str">
        <f>IF(Y291="","",IF(Y291="[FÓRMULA MANUAL]","",IFERROR(AVERAGEIFS(DATOS!$K$2:$K$20000,DATOS!$A$2:$A$20000,Y291,DATOS!$G$2:$G$20000,CONFIG_METADATA!$B$4,DATOS!$I$2:$I$20000,"Análisis"),"")))</f>
        <v/>
      </c>
      <c r="AA291" t="str">
        <f>IF(Y291="","",IF(Y291="[FÓRMULA MANUAL]","",IFERROR(AVERAGEIFS(DATOS!$K$2:$K$20000,DATOS!$A$2:$A$20000,Y291,DATOS!$G$2:$G$20000,CONFIG_METADATA!$B$4,DATOS!$I$2:$I$20000,"Orquesta/Banda/Conjunto"),"")))</f>
        <v/>
      </c>
      <c r="AB291" t="str">
        <f>IF(Y291="","",IF(Y291="[FÓRMULA MANUAL]","",IFERROR(AVERAGEIFS(DATOS!$K$2:$K$20000,DATOS!$A$2:$A$20000,Y291,DATOS!$G$2:$G$20000,CONFIG_METADATA!$B$4,DATOS!$I$2:$I$20000,"Música de Cámara"),"")))</f>
        <v/>
      </c>
      <c r="AC291" t="str">
        <f>IF(Y291="","",IF(Y291="[FÓRMULA MANUAL]","",IFERROR(SUMPRODUCT((DATOS!$A$2:$A$20000=Y291)*(DATOS!$G$2:$G$20000=CONFIG_METADATA!$B$4)*(COUNTIF(CONFIG_ASIGNATURAS!$B$7:$B$27,DATOS!$I$2:$I$20000)&gt;0)*(DATOS!$K$2:$K$20000))/SUMPRODUCT((DATOS!$A$2:$A$20000=Y291)*(DATOS!$G$2:$G$20000=CONFIG_METADATA!$B$4)*(COUNTIF(CONFIG_ASIGNATURAS!$B$7:$B$27,DATOS!$I$2:$I$20000)&gt;0)*1),"")))</f>
        <v/>
      </c>
      <c r="AF291" t="str">
        <f>IF(AE291="","",IF(AE291="[FÓRMULA MANUAL]","",IFERROR(AVERAGEIFS(DATOS!$K$2:$K$20000,DATOS!$A$2:$A$20000,AE291,DATOS!$G$2:$G$20000,CONFIG_METADATA!$B$4,DATOS!$I$2:$I$20000,"Análisis"),"")))</f>
        <v/>
      </c>
      <c r="AG291" t="str">
        <f>IF(AE291="","",IF(AE291="[FÓRMULA MANUAL]","",IFERROR(AVERAGEIFS(DATOS!$K$2:$K$20000,DATOS!$A$2:$A$20000,AE291,DATOS!$G$2:$G$20000,CONFIG_METADATA!$B$4,DATOS!$I$2:$I$20000,"Orquesta/Banda/Conjunto"),"")))</f>
        <v/>
      </c>
      <c r="AH291" t="str">
        <f>IF(AE291="","",IF(AE291="[FÓRMULA MANUAL]","",IFERROR(AVERAGEIFS(DATOS!$K$2:$K$20000,DATOS!$A$2:$A$20000,AE291,DATOS!$G$2:$G$20000,CONFIG_METADATA!$B$4,DATOS!$I$2:$I$20000,"Música de Cámara"),"")))</f>
        <v/>
      </c>
      <c r="AI291" t="str">
        <f>IF(AE291="","",IF(AE291="[FÓRMULA MANUAL]","",IFERROR(SUMPRODUCT((DATOS!$A$2:$A$20000=AE291)*(DATOS!$G$2:$G$20000=CONFIG_METADATA!$B$4)*(COUNTIF(CONFIG_ASIGNATURAS!$B$7:$B$27,DATOS!$I$2:$I$20000)&gt;0)*(DATOS!$K$2:$K$20000))/SUMPRODUCT((DATOS!$A$2:$A$20000=AE291)*(DATOS!$G$2:$G$20000=CONFIG_METADATA!$B$4)*(COUNTIF(CONFIG_ASIGNATURAS!$B$7:$B$27,DATOS!$I$2:$I$20000)&gt;0)*1),"")))</f>
        <v/>
      </c>
    </row>
    <row r="292" spans="2:35" x14ac:dyDescent="0.2">
      <c r="B292" t="str">
        <f>IF(A292="","",IF(A292="[FÓRMULA MANUAL]","",IFERROR(AVERAGEIFS(DATOS!$K$2:$K$20000,DATOS!$A$2:$A$20000,A292,DATOS!$G$2:$G$20000,CONFIG_METADATA!$B$4,DATOS!$I$2:$I$20000,"Lenguaje Musical"),"")))</f>
        <v/>
      </c>
      <c r="C292" t="str">
        <f>IF(A292="","",IF(A292="[FÓRMULA MANUAL]","",IFERROR(AVERAGEIFS(DATOS!$K$2:$K$20000,DATOS!$A$2:$A$20000,A292,DATOS!$G$2:$G$20000,CONFIG_METADATA!$B$4,DATOS!$I$2:$I$20000,"Orquesta/Banda/Conjunto"),"")))</f>
        <v/>
      </c>
      <c r="D292" t="str">
        <f>IF(A292="","",IF(A292="[FÓRMULA MANUAL]","",IFERROR(AVERAGEIFS(DATOS!$K$2:$K$20000,DATOS!$A$2:$A$20000,A292,DATOS!$G$2:$G$20000,CONFIG_METADATA!$B$4,DATOS!$I$2:$I$20000,"Conjunto"),"")))</f>
        <v/>
      </c>
      <c r="E292" t="str">
        <f>IF(A292="","",IF(A292="[FÓRMULA MANUAL]","",IFERROR(SUMPRODUCT((DATOS!$A$2:$A$20000=A292)*(DATOS!$G$2:$G$20000=CONFIG_METADATA!$B$4)*(COUNTIF(CONFIG_ASIGNATURAS!$B$7:$B$27,DATOS!$I$2:$I$20000)&gt;0)*(DATOS!$K$2:$K$20000))/SUMPRODUCT((DATOS!$A$2:$A$20000=A292)*(DATOS!$G$2:$G$20000=CONFIG_METADATA!$B$4)*(COUNTIF(CONFIG_ASIGNATURAS!$B$7:$B$27,DATOS!$I$2:$I$20000)&gt;0)*1),"")))</f>
        <v/>
      </c>
      <c r="H292" t="str">
        <f>IF(G292="","",IF(G292="[FÓRMULA MANUAL]","",IFERROR(AVERAGEIFS(DATOS!$K$2:$K$20000,DATOS!$A$2:$A$20000,G292,DATOS!$G$2:$G$20000,CONFIG_METADATA!$B$4,DATOS!$I$2:$I$20000,"Lenguaje Musical"),"")))</f>
        <v/>
      </c>
      <c r="I292" t="str">
        <f>IF(G292="","",IF(G292="[FÓRMULA MANUAL]","",IFERROR(AVERAGEIFS(DATOS!$K$2:$K$20000,DATOS!$A$2:$A$20000,G292,DATOS!$G$2:$G$20000,CONFIG_METADATA!$B$4,DATOS!$I$2:$I$20000,"Orquesta/Banda/Conjunto"),"")))</f>
        <v/>
      </c>
      <c r="J292" t="str">
        <f>IF(G292="","",IF(G292="[FÓRMULA MANUAL]","",IFERROR(AVERAGEIFS(DATOS!$K$2:$K$20000,DATOS!$A$2:$A$20000,G292,DATOS!$G$2:$G$20000,CONFIG_METADATA!$B$4,DATOS!$I$2:$I$20000,"Conjunto"),"")))</f>
        <v/>
      </c>
      <c r="K292" t="str">
        <f>IF(G292="","",IF(G292="[FÓRMULA MANUAL]","",IFERROR(SUMPRODUCT((DATOS!$A$2:$A$20000=G292)*(DATOS!$G$2:$G$20000=CONFIG_METADATA!$B$4)*(COUNTIF(CONFIG_ASIGNATURAS!$B$7:$B$27,DATOS!$I$2:$I$20000)&gt;0)*(DATOS!$K$2:$K$20000))/SUMPRODUCT((DATOS!$A$2:$A$20000=G292)*(DATOS!$G$2:$G$20000=CONFIG_METADATA!$B$4)*(COUNTIF(CONFIG_ASIGNATURAS!$B$7:$B$27,DATOS!$I$2:$I$20000)&gt;0)*1),"")))</f>
        <v/>
      </c>
      <c r="N292" t="str">
        <f>IF(M292="","",IF(M292="[FÓRMULA MANUAL]","",IFERROR(AVERAGEIFS(DATOS!$K$2:$K$20000,DATOS!$A$2:$A$20000,M292,DATOS!$G$2:$G$20000,CONFIG_METADATA!$B$4,DATOS!$I$2:$I$20000,"Armonía"),"")))</f>
        <v/>
      </c>
      <c r="O292" t="str">
        <f>IF(M292="","",IF(M292="[FÓRMULA MANUAL]","",IFERROR(AVERAGEIFS(DATOS!$K$2:$K$20000,DATOS!$A$2:$A$20000,M292,DATOS!$G$2:$G$20000,CONFIG_METADATA!$B$4,DATOS!$I$2:$I$20000,"Orquesta/Banda/Conjunto"),"")))</f>
        <v/>
      </c>
      <c r="P292" t="str">
        <f>IF(M292="","",IF(M292="[FÓRMULA MANUAL]","",IFERROR(AVERAGEIFS(DATOS!$K$2:$K$20000,DATOS!$A$2:$A$20000,M292,DATOS!$G$2:$G$20000,CONFIG_METADATA!$B$4,DATOS!$I$2:$I$20000,"Música de Cámara"),"")))</f>
        <v/>
      </c>
      <c r="Q292" t="str">
        <f>IF(M292="","",IF(M292="[FÓRMULA MANUAL]","",IFERROR(SUMPRODUCT((DATOS!$A$2:$A$20000=M292)*(DATOS!$G$2:$G$20000=CONFIG_METADATA!$B$4)*(COUNTIF(CONFIG_ASIGNATURAS!$B$7:$B$27,DATOS!$I$2:$I$20000)&gt;0)*(DATOS!$K$2:$K$20000))/SUMPRODUCT((DATOS!$A$2:$A$20000=M292)*(DATOS!$G$2:$G$20000=CONFIG_METADATA!$B$4)*(COUNTIF(CONFIG_ASIGNATURAS!$B$7:$B$27,DATOS!$I$2:$I$20000)&gt;0)*1),"")))</f>
        <v/>
      </c>
      <c r="T292" t="str">
        <f>IF(S292="","",IF(S292="[FÓRMULA MANUAL]","",IFERROR(AVERAGEIFS(DATOS!$K$2:$K$20000,DATOS!$A$2:$A$20000,S292,DATOS!$G$2:$G$20000,CONFIG_METADATA!$B$4,DATOS!$I$2:$I$20000,"Armonía"),"")))</f>
        <v/>
      </c>
      <c r="U292" t="str">
        <f>IF(S292="","",IF(S292="[FÓRMULA MANUAL]","",IFERROR(AVERAGEIFS(DATOS!$K$2:$K$20000,DATOS!$A$2:$A$20000,S292,DATOS!$G$2:$G$20000,CONFIG_METADATA!$B$4,DATOS!$I$2:$I$20000,"Orquesta/Banda/Conjunto"),"")))</f>
        <v/>
      </c>
      <c r="V292" t="str">
        <f>IF(S292="","",IF(S292="[FÓRMULA MANUAL]","",IFERROR(AVERAGEIFS(DATOS!$K$2:$K$20000,DATOS!$A$2:$A$20000,S292,DATOS!$G$2:$G$20000,CONFIG_METADATA!$B$4,DATOS!$I$2:$I$20000,"Música de Cámara"),"")))</f>
        <v/>
      </c>
      <c r="W292" t="str">
        <f>IF(S292="","",IF(S292="[FÓRMULA MANUAL]","",IFERROR(SUMPRODUCT((DATOS!$A$2:$A$20000=S292)*(DATOS!$G$2:$G$20000=CONFIG_METADATA!$B$4)*(COUNTIF(CONFIG_ASIGNATURAS!$B$7:$B$27,DATOS!$I$2:$I$20000)&gt;0)*(DATOS!$K$2:$K$20000))/SUMPRODUCT((DATOS!$A$2:$A$20000=S292)*(DATOS!$G$2:$G$20000=CONFIG_METADATA!$B$4)*(COUNTIF(CONFIG_ASIGNATURAS!$B$7:$B$27,DATOS!$I$2:$I$20000)&gt;0)*1),"")))</f>
        <v/>
      </c>
      <c r="Z292" t="str">
        <f>IF(Y292="","",IF(Y292="[FÓRMULA MANUAL]","",IFERROR(AVERAGEIFS(DATOS!$K$2:$K$20000,DATOS!$A$2:$A$20000,Y292,DATOS!$G$2:$G$20000,CONFIG_METADATA!$B$4,DATOS!$I$2:$I$20000,"Análisis"),"")))</f>
        <v/>
      </c>
      <c r="AA292" t="str">
        <f>IF(Y292="","",IF(Y292="[FÓRMULA MANUAL]","",IFERROR(AVERAGEIFS(DATOS!$K$2:$K$20000,DATOS!$A$2:$A$20000,Y292,DATOS!$G$2:$G$20000,CONFIG_METADATA!$B$4,DATOS!$I$2:$I$20000,"Orquesta/Banda/Conjunto"),"")))</f>
        <v/>
      </c>
      <c r="AB292" t="str">
        <f>IF(Y292="","",IF(Y292="[FÓRMULA MANUAL]","",IFERROR(AVERAGEIFS(DATOS!$K$2:$K$20000,DATOS!$A$2:$A$20000,Y292,DATOS!$G$2:$G$20000,CONFIG_METADATA!$B$4,DATOS!$I$2:$I$20000,"Música de Cámara"),"")))</f>
        <v/>
      </c>
      <c r="AC292" t="str">
        <f>IF(Y292="","",IF(Y292="[FÓRMULA MANUAL]","",IFERROR(SUMPRODUCT((DATOS!$A$2:$A$20000=Y292)*(DATOS!$G$2:$G$20000=CONFIG_METADATA!$B$4)*(COUNTIF(CONFIG_ASIGNATURAS!$B$7:$B$27,DATOS!$I$2:$I$20000)&gt;0)*(DATOS!$K$2:$K$20000))/SUMPRODUCT((DATOS!$A$2:$A$20000=Y292)*(DATOS!$G$2:$G$20000=CONFIG_METADATA!$B$4)*(COUNTIF(CONFIG_ASIGNATURAS!$B$7:$B$27,DATOS!$I$2:$I$20000)&gt;0)*1),"")))</f>
        <v/>
      </c>
      <c r="AF292" t="str">
        <f>IF(AE292="","",IF(AE292="[FÓRMULA MANUAL]","",IFERROR(AVERAGEIFS(DATOS!$K$2:$K$20000,DATOS!$A$2:$A$20000,AE292,DATOS!$G$2:$G$20000,CONFIG_METADATA!$B$4,DATOS!$I$2:$I$20000,"Análisis"),"")))</f>
        <v/>
      </c>
      <c r="AG292" t="str">
        <f>IF(AE292="","",IF(AE292="[FÓRMULA MANUAL]","",IFERROR(AVERAGEIFS(DATOS!$K$2:$K$20000,DATOS!$A$2:$A$20000,AE292,DATOS!$G$2:$G$20000,CONFIG_METADATA!$B$4,DATOS!$I$2:$I$20000,"Orquesta/Banda/Conjunto"),"")))</f>
        <v/>
      </c>
      <c r="AH292" t="str">
        <f>IF(AE292="","",IF(AE292="[FÓRMULA MANUAL]","",IFERROR(AVERAGEIFS(DATOS!$K$2:$K$20000,DATOS!$A$2:$A$20000,AE292,DATOS!$G$2:$G$20000,CONFIG_METADATA!$B$4,DATOS!$I$2:$I$20000,"Música de Cámara"),"")))</f>
        <v/>
      </c>
      <c r="AI292" t="str">
        <f>IF(AE292="","",IF(AE292="[FÓRMULA MANUAL]","",IFERROR(SUMPRODUCT((DATOS!$A$2:$A$20000=AE292)*(DATOS!$G$2:$G$20000=CONFIG_METADATA!$B$4)*(COUNTIF(CONFIG_ASIGNATURAS!$B$7:$B$27,DATOS!$I$2:$I$20000)&gt;0)*(DATOS!$K$2:$K$20000))/SUMPRODUCT((DATOS!$A$2:$A$20000=AE292)*(DATOS!$G$2:$G$20000=CONFIG_METADATA!$B$4)*(COUNTIF(CONFIG_ASIGNATURAS!$B$7:$B$27,DATOS!$I$2:$I$20000)&gt;0)*1),"")))</f>
        <v/>
      </c>
    </row>
    <row r="293" spans="2:35" x14ac:dyDescent="0.2">
      <c r="B293" t="str">
        <f>IF(A293="","",IF(A293="[FÓRMULA MANUAL]","",IFERROR(AVERAGEIFS(DATOS!$K$2:$K$20000,DATOS!$A$2:$A$20000,A293,DATOS!$G$2:$G$20000,CONFIG_METADATA!$B$4,DATOS!$I$2:$I$20000,"Lenguaje Musical"),"")))</f>
        <v/>
      </c>
      <c r="C293" t="str">
        <f>IF(A293="","",IF(A293="[FÓRMULA MANUAL]","",IFERROR(AVERAGEIFS(DATOS!$K$2:$K$20000,DATOS!$A$2:$A$20000,A293,DATOS!$G$2:$G$20000,CONFIG_METADATA!$B$4,DATOS!$I$2:$I$20000,"Orquesta/Banda/Conjunto"),"")))</f>
        <v/>
      </c>
      <c r="D293" t="str">
        <f>IF(A293="","",IF(A293="[FÓRMULA MANUAL]","",IFERROR(AVERAGEIFS(DATOS!$K$2:$K$20000,DATOS!$A$2:$A$20000,A293,DATOS!$G$2:$G$20000,CONFIG_METADATA!$B$4,DATOS!$I$2:$I$20000,"Conjunto"),"")))</f>
        <v/>
      </c>
      <c r="E293" t="str">
        <f>IF(A293="","",IF(A293="[FÓRMULA MANUAL]","",IFERROR(SUMPRODUCT((DATOS!$A$2:$A$20000=A293)*(DATOS!$G$2:$G$20000=CONFIG_METADATA!$B$4)*(COUNTIF(CONFIG_ASIGNATURAS!$B$7:$B$27,DATOS!$I$2:$I$20000)&gt;0)*(DATOS!$K$2:$K$20000))/SUMPRODUCT((DATOS!$A$2:$A$20000=A293)*(DATOS!$G$2:$G$20000=CONFIG_METADATA!$B$4)*(COUNTIF(CONFIG_ASIGNATURAS!$B$7:$B$27,DATOS!$I$2:$I$20000)&gt;0)*1),"")))</f>
        <v/>
      </c>
      <c r="H293" t="str">
        <f>IF(G293="","",IF(G293="[FÓRMULA MANUAL]","",IFERROR(AVERAGEIFS(DATOS!$K$2:$K$20000,DATOS!$A$2:$A$20000,G293,DATOS!$G$2:$G$20000,CONFIG_METADATA!$B$4,DATOS!$I$2:$I$20000,"Lenguaje Musical"),"")))</f>
        <v/>
      </c>
      <c r="I293" t="str">
        <f>IF(G293="","",IF(G293="[FÓRMULA MANUAL]","",IFERROR(AVERAGEIFS(DATOS!$K$2:$K$20000,DATOS!$A$2:$A$20000,G293,DATOS!$G$2:$G$20000,CONFIG_METADATA!$B$4,DATOS!$I$2:$I$20000,"Orquesta/Banda/Conjunto"),"")))</f>
        <v/>
      </c>
      <c r="J293" t="str">
        <f>IF(G293="","",IF(G293="[FÓRMULA MANUAL]","",IFERROR(AVERAGEIFS(DATOS!$K$2:$K$20000,DATOS!$A$2:$A$20000,G293,DATOS!$G$2:$G$20000,CONFIG_METADATA!$B$4,DATOS!$I$2:$I$20000,"Conjunto"),"")))</f>
        <v/>
      </c>
      <c r="K293" t="str">
        <f>IF(G293="","",IF(G293="[FÓRMULA MANUAL]","",IFERROR(SUMPRODUCT((DATOS!$A$2:$A$20000=G293)*(DATOS!$G$2:$G$20000=CONFIG_METADATA!$B$4)*(COUNTIF(CONFIG_ASIGNATURAS!$B$7:$B$27,DATOS!$I$2:$I$20000)&gt;0)*(DATOS!$K$2:$K$20000))/SUMPRODUCT((DATOS!$A$2:$A$20000=G293)*(DATOS!$G$2:$G$20000=CONFIG_METADATA!$B$4)*(COUNTIF(CONFIG_ASIGNATURAS!$B$7:$B$27,DATOS!$I$2:$I$20000)&gt;0)*1),"")))</f>
        <v/>
      </c>
      <c r="N293" t="str">
        <f>IF(M293="","",IF(M293="[FÓRMULA MANUAL]","",IFERROR(AVERAGEIFS(DATOS!$K$2:$K$20000,DATOS!$A$2:$A$20000,M293,DATOS!$G$2:$G$20000,CONFIG_METADATA!$B$4,DATOS!$I$2:$I$20000,"Armonía"),"")))</f>
        <v/>
      </c>
      <c r="O293" t="str">
        <f>IF(M293="","",IF(M293="[FÓRMULA MANUAL]","",IFERROR(AVERAGEIFS(DATOS!$K$2:$K$20000,DATOS!$A$2:$A$20000,M293,DATOS!$G$2:$G$20000,CONFIG_METADATA!$B$4,DATOS!$I$2:$I$20000,"Orquesta/Banda/Conjunto"),"")))</f>
        <v/>
      </c>
      <c r="P293" t="str">
        <f>IF(M293="","",IF(M293="[FÓRMULA MANUAL]","",IFERROR(AVERAGEIFS(DATOS!$K$2:$K$20000,DATOS!$A$2:$A$20000,M293,DATOS!$G$2:$G$20000,CONFIG_METADATA!$B$4,DATOS!$I$2:$I$20000,"Música de Cámara"),"")))</f>
        <v/>
      </c>
      <c r="Q293" t="str">
        <f>IF(M293="","",IF(M293="[FÓRMULA MANUAL]","",IFERROR(SUMPRODUCT((DATOS!$A$2:$A$20000=M293)*(DATOS!$G$2:$G$20000=CONFIG_METADATA!$B$4)*(COUNTIF(CONFIG_ASIGNATURAS!$B$7:$B$27,DATOS!$I$2:$I$20000)&gt;0)*(DATOS!$K$2:$K$20000))/SUMPRODUCT((DATOS!$A$2:$A$20000=M293)*(DATOS!$G$2:$G$20000=CONFIG_METADATA!$B$4)*(COUNTIF(CONFIG_ASIGNATURAS!$B$7:$B$27,DATOS!$I$2:$I$20000)&gt;0)*1),"")))</f>
        <v/>
      </c>
      <c r="T293" t="str">
        <f>IF(S293="","",IF(S293="[FÓRMULA MANUAL]","",IFERROR(AVERAGEIFS(DATOS!$K$2:$K$20000,DATOS!$A$2:$A$20000,S293,DATOS!$G$2:$G$20000,CONFIG_METADATA!$B$4,DATOS!$I$2:$I$20000,"Armonía"),"")))</f>
        <v/>
      </c>
      <c r="U293" t="str">
        <f>IF(S293="","",IF(S293="[FÓRMULA MANUAL]","",IFERROR(AVERAGEIFS(DATOS!$K$2:$K$20000,DATOS!$A$2:$A$20000,S293,DATOS!$G$2:$G$20000,CONFIG_METADATA!$B$4,DATOS!$I$2:$I$20000,"Orquesta/Banda/Conjunto"),"")))</f>
        <v/>
      </c>
      <c r="V293" t="str">
        <f>IF(S293="","",IF(S293="[FÓRMULA MANUAL]","",IFERROR(AVERAGEIFS(DATOS!$K$2:$K$20000,DATOS!$A$2:$A$20000,S293,DATOS!$G$2:$G$20000,CONFIG_METADATA!$B$4,DATOS!$I$2:$I$20000,"Música de Cámara"),"")))</f>
        <v/>
      </c>
      <c r="W293" t="str">
        <f>IF(S293="","",IF(S293="[FÓRMULA MANUAL]","",IFERROR(SUMPRODUCT((DATOS!$A$2:$A$20000=S293)*(DATOS!$G$2:$G$20000=CONFIG_METADATA!$B$4)*(COUNTIF(CONFIG_ASIGNATURAS!$B$7:$B$27,DATOS!$I$2:$I$20000)&gt;0)*(DATOS!$K$2:$K$20000))/SUMPRODUCT((DATOS!$A$2:$A$20000=S293)*(DATOS!$G$2:$G$20000=CONFIG_METADATA!$B$4)*(COUNTIF(CONFIG_ASIGNATURAS!$B$7:$B$27,DATOS!$I$2:$I$20000)&gt;0)*1),"")))</f>
        <v/>
      </c>
      <c r="Z293" t="str">
        <f>IF(Y293="","",IF(Y293="[FÓRMULA MANUAL]","",IFERROR(AVERAGEIFS(DATOS!$K$2:$K$20000,DATOS!$A$2:$A$20000,Y293,DATOS!$G$2:$G$20000,CONFIG_METADATA!$B$4,DATOS!$I$2:$I$20000,"Análisis"),"")))</f>
        <v/>
      </c>
      <c r="AA293" t="str">
        <f>IF(Y293="","",IF(Y293="[FÓRMULA MANUAL]","",IFERROR(AVERAGEIFS(DATOS!$K$2:$K$20000,DATOS!$A$2:$A$20000,Y293,DATOS!$G$2:$G$20000,CONFIG_METADATA!$B$4,DATOS!$I$2:$I$20000,"Orquesta/Banda/Conjunto"),"")))</f>
        <v/>
      </c>
      <c r="AB293" t="str">
        <f>IF(Y293="","",IF(Y293="[FÓRMULA MANUAL]","",IFERROR(AVERAGEIFS(DATOS!$K$2:$K$20000,DATOS!$A$2:$A$20000,Y293,DATOS!$G$2:$G$20000,CONFIG_METADATA!$B$4,DATOS!$I$2:$I$20000,"Música de Cámara"),"")))</f>
        <v/>
      </c>
      <c r="AC293" t="str">
        <f>IF(Y293="","",IF(Y293="[FÓRMULA MANUAL]","",IFERROR(SUMPRODUCT((DATOS!$A$2:$A$20000=Y293)*(DATOS!$G$2:$G$20000=CONFIG_METADATA!$B$4)*(COUNTIF(CONFIG_ASIGNATURAS!$B$7:$B$27,DATOS!$I$2:$I$20000)&gt;0)*(DATOS!$K$2:$K$20000))/SUMPRODUCT((DATOS!$A$2:$A$20000=Y293)*(DATOS!$G$2:$G$20000=CONFIG_METADATA!$B$4)*(COUNTIF(CONFIG_ASIGNATURAS!$B$7:$B$27,DATOS!$I$2:$I$20000)&gt;0)*1),"")))</f>
        <v/>
      </c>
      <c r="AF293" t="str">
        <f>IF(AE293="","",IF(AE293="[FÓRMULA MANUAL]","",IFERROR(AVERAGEIFS(DATOS!$K$2:$K$20000,DATOS!$A$2:$A$20000,AE293,DATOS!$G$2:$G$20000,CONFIG_METADATA!$B$4,DATOS!$I$2:$I$20000,"Análisis"),"")))</f>
        <v/>
      </c>
      <c r="AG293" t="str">
        <f>IF(AE293="","",IF(AE293="[FÓRMULA MANUAL]","",IFERROR(AVERAGEIFS(DATOS!$K$2:$K$20000,DATOS!$A$2:$A$20000,AE293,DATOS!$G$2:$G$20000,CONFIG_METADATA!$B$4,DATOS!$I$2:$I$20000,"Orquesta/Banda/Conjunto"),"")))</f>
        <v/>
      </c>
      <c r="AH293" t="str">
        <f>IF(AE293="","",IF(AE293="[FÓRMULA MANUAL]","",IFERROR(AVERAGEIFS(DATOS!$K$2:$K$20000,DATOS!$A$2:$A$20000,AE293,DATOS!$G$2:$G$20000,CONFIG_METADATA!$B$4,DATOS!$I$2:$I$20000,"Música de Cámara"),"")))</f>
        <v/>
      </c>
      <c r="AI293" t="str">
        <f>IF(AE293="","",IF(AE293="[FÓRMULA MANUAL]","",IFERROR(SUMPRODUCT((DATOS!$A$2:$A$20000=AE293)*(DATOS!$G$2:$G$20000=CONFIG_METADATA!$B$4)*(COUNTIF(CONFIG_ASIGNATURAS!$B$7:$B$27,DATOS!$I$2:$I$20000)&gt;0)*(DATOS!$K$2:$K$20000))/SUMPRODUCT((DATOS!$A$2:$A$20000=AE293)*(DATOS!$G$2:$G$20000=CONFIG_METADATA!$B$4)*(COUNTIF(CONFIG_ASIGNATURAS!$B$7:$B$27,DATOS!$I$2:$I$20000)&gt;0)*1),"")))</f>
        <v/>
      </c>
    </row>
    <row r="294" spans="2:35" x14ac:dyDescent="0.2">
      <c r="B294" t="str">
        <f>IF(A294="","",IF(A294="[FÓRMULA MANUAL]","",IFERROR(AVERAGEIFS(DATOS!$K$2:$K$20000,DATOS!$A$2:$A$20000,A294,DATOS!$G$2:$G$20000,CONFIG_METADATA!$B$4,DATOS!$I$2:$I$20000,"Lenguaje Musical"),"")))</f>
        <v/>
      </c>
      <c r="C294" t="str">
        <f>IF(A294="","",IF(A294="[FÓRMULA MANUAL]","",IFERROR(AVERAGEIFS(DATOS!$K$2:$K$20000,DATOS!$A$2:$A$20000,A294,DATOS!$G$2:$G$20000,CONFIG_METADATA!$B$4,DATOS!$I$2:$I$20000,"Orquesta/Banda/Conjunto"),"")))</f>
        <v/>
      </c>
      <c r="D294" t="str">
        <f>IF(A294="","",IF(A294="[FÓRMULA MANUAL]","",IFERROR(AVERAGEIFS(DATOS!$K$2:$K$20000,DATOS!$A$2:$A$20000,A294,DATOS!$G$2:$G$20000,CONFIG_METADATA!$B$4,DATOS!$I$2:$I$20000,"Conjunto"),"")))</f>
        <v/>
      </c>
      <c r="E294" t="str">
        <f>IF(A294="","",IF(A294="[FÓRMULA MANUAL]","",IFERROR(SUMPRODUCT((DATOS!$A$2:$A$20000=A294)*(DATOS!$G$2:$G$20000=CONFIG_METADATA!$B$4)*(COUNTIF(CONFIG_ASIGNATURAS!$B$7:$B$27,DATOS!$I$2:$I$20000)&gt;0)*(DATOS!$K$2:$K$20000))/SUMPRODUCT((DATOS!$A$2:$A$20000=A294)*(DATOS!$G$2:$G$20000=CONFIG_METADATA!$B$4)*(COUNTIF(CONFIG_ASIGNATURAS!$B$7:$B$27,DATOS!$I$2:$I$20000)&gt;0)*1),"")))</f>
        <v/>
      </c>
      <c r="H294" t="str">
        <f>IF(G294="","",IF(G294="[FÓRMULA MANUAL]","",IFERROR(AVERAGEIFS(DATOS!$K$2:$K$20000,DATOS!$A$2:$A$20000,G294,DATOS!$G$2:$G$20000,CONFIG_METADATA!$B$4,DATOS!$I$2:$I$20000,"Lenguaje Musical"),"")))</f>
        <v/>
      </c>
      <c r="I294" t="str">
        <f>IF(G294="","",IF(G294="[FÓRMULA MANUAL]","",IFERROR(AVERAGEIFS(DATOS!$K$2:$K$20000,DATOS!$A$2:$A$20000,G294,DATOS!$G$2:$G$20000,CONFIG_METADATA!$B$4,DATOS!$I$2:$I$20000,"Orquesta/Banda/Conjunto"),"")))</f>
        <v/>
      </c>
      <c r="J294" t="str">
        <f>IF(G294="","",IF(G294="[FÓRMULA MANUAL]","",IFERROR(AVERAGEIFS(DATOS!$K$2:$K$20000,DATOS!$A$2:$A$20000,G294,DATOS!$G$2:$G$20000,CONFIG_METADATA!$B$4,DATOS!$I$2:$I$20000,"Conjunto"),"")))</f>
        <v/>
      </c>
      <c r="K294" t="str">
        <f>IF(G294="","",IF(G294="[FÓRMULA MANUAL]","",IFERROR(SUMPRODUCT((DATOS!$A$2:$A$20000=G294)*(DATOS!$G$2:$G$20000=CONFIG_METADATA!$B$4)*(COUNTIF(CONFIG_ASIGNATURAS!$B$7:$B$27,DATOS!$I$2:$I$20000)&gt;0)*(DATOS!$K$2:$K$20000))/SUMPRODUCT((DATOS!$A$2:$A$20000=G294)*(DATOS!$G$2:$G$20000=CONFIG_METADATA!$B$4)*(COUNTIF(CONFIG_ASIGNATURAS!$B$7:$B$27,DATOS!$I$2:$I$20000)&gt;0)*1),"")))</f>
        <v/>
      </c>
      <c r="N294" t="str">
        <f>IF(M294="","",IF(M294="[FÓRMULA MANUAL]","",IFERROR(AVERAGEIFS(DATOS!$K$2:$K$20000,DATOS!$A$2:$A$20000,M294,DATOS!$G$2:$G$20000,CONFIG_METADATA!$B$4,DATOS!$I$2:$I$20000,"Armonía"),"")))</f>
        <v/>
      </c>
      <c r="O294" t="str">
        <f>IF(M294="","",IF(M294="[FÓRMULA MANUAL]","",IFERROR(AVERAGEIFS(DATOS!$K$2:$K$20000,DATOS!$A$2:$A$20000,M294,DATOS!$G$2:$G$20000,CONFIG_METADATA!$B$4,DATOS!$I$2:$I$20000,"Orquesta/Banda/Conjunto"),"")))</f>
        <v/>
      </c>
      <c r="P294" t="str">
        <f>IF(M294="","",IF(M294="[FÓRMULA MANUAL]","",IFERROR(AVERAGEIFS(DATOS!$K$2:$K$20000,DATOS!$A$2:$A$20000,M294,DATOS!$G$2:$G$20000,CONFIG_METADATA!$B$4,DATOS!$I$2:$I$20000,"Música de Cámara"),"")))</f>
        <v/>
      </c>
      <c r="Q294" t="str">
        <f>IF(M294="","",IF(M294="[FÓRMULA MANUAL]","",IFERROR(SUMPRODUCT((DATOS!$A$2:$A$20000=M294)*(DATOS!$G$2:$G$20000=CONFIG_METADATA!$B$4)*(COUNTIF(CONFIG_ASIGNATURAS!$B$7:$B$27,DATOS!$I$2:$I$20000)&gt;0)*(DATOS!$K$2:$K$20000))/SUMPRODUCT((DATOS!$A$2:$A$20000=M294)*(DATOS!$G$2:$G$20000=CONFIG_METADATA!$B$4)*(COUNTIF(CONFIG_ASIGNATURAS!$B$7:$B$27,DATOS!$I$2:$I$20000)&gt;0)*1),"")))</f>
        <v/>
      </c>
      <c r="T294" t="str">
        <f>IF(S294="","",IF(S294="[FÓRMULA MANUAL]","",IFERROR(AVERAGEIFS(DATOS!$K$2:$K$20000,DATOS!$A$2:$A$20000,S294,DATOS!$G$2:$G$20000,CONFIG_METADATA!$B$4,DATOS!$I$2:$I$20000,"Armonía"),"")))</f>
        <v/>
      </c>
      <c r="U294" t="str">
        <f>IF(S294="","",IF(S294="[FÓRMULA MANUAL]","",IFERROR(AVERAGEIFS(DATOS!$K$2:$K$20000,DATOS!$A$2:$A$20000,S294,DATOS!$G$2:$G$20000,CONFIG_METADATA!$B$4,DATOS!$I$2:$I$20000,"Orquesta/Banda/Conjunto"),"")))</f>
        <v/>
      </c>
      <c r="V294" t="str">
        <f>IF(S294="","",IF(S294="[FÓRMULA MANUAL]","",IFERROR(AVERAGEIFS(DATOS!$K$2:$K$20000,DATOS!$A$2:$A$20000,S294,DATOS!$G$2:$G$20000,CONFIG_METADATA!$B$4,DATOS!$I$2:$I$20000,"Música de Cámara"),"")))</f>
        <v/>
      </c>
      <c r="W294" t="str">
        <f>IF(S294="","",IF(S294="[FÓRMULA MANUAL]","",IFERROR(SUMPRODUCT((DATOS!$A$2:$A$20000=S294)*(DATOS!$G$2:$G$20000=CONFIG_METADATA!$B$4)*(COUNTIF(CONFIG_ASIGNATURAS!$B$7:$B$27,DATOS!$I$2:$I$20000)&gt;0)*(DATOS!$K$2:$K$20000))/SUMPRODUCT((DATOS!$A$2:$A$20000=S294)*(DATOS!$G$2:$G$20000=CONFIG_METADATA!$B$4)*(COUNTIF(CONFIG_ASIGNATURAS!$B$7:$B$27,DATOS!$I$2:$I$20000)&gt;0)*1),"")))</f>
        <v/>
      </c>
      <c r="Z294" t="str">
        <f>IF(Y294="","",IF(Y294="[FÓRMULA MANUAL]","",IFERROR(AVERAGEIFS(DATOS!$K$2:$K$20000,DATOS!$A$2:$A$20000,Y294,DATOS!$G$2:$G$20000,CONFIG_METADATA!$B$4,DATOS!$I$2:$I$20000,"Análisis"),"")))</f>
        <v/>
      </c>
      <c r="AA294" t="str">
        <f>IF(Y294="","",IF(Y294="[FÓRMULA MANUAL]","",IFERROR(AVERAGEIFS(DATOS!$K$2:$K$20000,DATOS!$A$2:$A$20000,Y294,DATOS!$G$2:$G$20000,CONFIG_METADATA!$B$4,DATOS!$I$2:$I$20000,"Orquesta/Banda/Conjunto"),"")))</f>
        <v/>
      </c>
      <c r="AB294" t="str">
        <f>IF(Y294="","",IF(Y294="[FÓRMULA MANUAL]","",IFERROR(AVERAGEIFS(DATOS!$K$2:$K$20000,DATOS!$A$2:$A$20000,Y294,DATOS!$G$2:$G$20000,CONFIG_METADATA!$B$4,DATOS!$I$2:$I$20000,"Música de Cámara"),"")))</f>
        <v/>
      </c>
      <c r="AC294" t="str">
        <f>IF(Y294="","",IF(Y294="[FÓRMULA MANUAL]","",IFERROR(SUMPRODUCT((DATOS!$A$2:$A$20000=Y294)*(DATOS!$G$2:$G$20000=CONFIG_METADATA!$B$4)*(COUNTIF(CONFIG_ASIGNATURAS!$B$7:$B$27,DATOS!$I$2:$I$20000)&gt;0)*(DATOS!$K$2:$K$20000))/SUMPRODUCT((DATOS!$A$2:$A$20000=Y294)*(DATOS!$G$2:$G$20000=CONFIG_METADATA!$B$4)*(COUNTIF(CONFIG_ASIGNATURAS!$B$7:$B$27,DATOS!$I$2:$I$20000)&gt;0)*1),"")))</f>
        <v/>
      </c>
      <c r="AF294" t="str">
        <f>IF(AE294="","",IF(AE294="[FÓRMULA MANUAL]","",IFERROR(AVERAGEIFS(DATOS!$K$2:$K$20000,DATOS!$A$2:$A$20000,AE294,DATOS!$G$2:$G$20000,CONFIG_METADATA!$B$4,DATOS!$I$2:$I$20000,"Análisis"),"")))</f>
        <v/>
      </c>
      <c r="AG294" t="str">
        <f>IF(AE294="","",IF(AE294="[FÓRMULA MANUAL]","",IFERROR(AVERAGEIFS(DATOS!$K$2:$K$20000,DATOS!$A$2:$A$20000,AE294,DATOS!$G$2:$G$20000,CONFIG_METADATA!$B$4,DATOS!$I$2:$I$20000,"Orquesta/Banda/Conjunto"),"")))</f>
        <v/>
      </c>
      <c r="AH294" t="str">
        <f>IF(AE294="","",IF(AE294="[FÓRMULA MANUAL]","",IFERROR(AVERAGEIFS(DATOS!$K$2:$K$20000,DATOS!$A$2:$A$20000,AE294,DATOS!$G$2:$G$20000,CONFIG_METADATA!$B$4,DATOS!$I$2:$I$20000,"Música de Cámara"),"")))</f>
        <v/>
      </c>
      <c r="AI294" t="str">
        <f>IF(AE294="","",IF(AE294="[FÓRMULA MANUAL]","",IFERROR(SUMPRODUCT((DATOS!$A$2:$A$20000=AE294)*(DATOS!$G$2:$G$20000=CONFIG_METADATA!$B$4)*(COUNTIF(CONFIG_ASIGNATURAS!$B$7:$B$27,DATOS!$I$2:$I$20000)&gt;0)*(DATOS!$K$2:$K$20000))/SUMPRODUCT((DATOS!$A$2:$A$20000=AE294)*(DATOS!$G$2:$G$20000=CONFIG_METADATA!$B$4)*(COUNTIF(CONFIG_ASIGNATURAS!$B$7:$B$27,DATOS!$I$2:$I$20000)&gt;0)*1),"")))</f>
        <v/>
      </c>
    </row>
    <row r="295" spans="2:35" x14ac:dyDescent="0.2">
      <c r="B295" t="str">
        <f>IF(A295="","",IF(A295="[FÓRMULA MANUAL]","",IFERROR(AVERAGEIFS(DATOS!$K$2:$K$20000,DATOS!$A$2:$A$20000,A295,DATOS!$G$2:$G$20000,CONFIG_METADATA!$B$4,DATOS!$I$2:$I$20000,"Lenguaje Musical"),"")))</f>
        <v/>
      </c>
      <c r="C295" t="str">
        <f>IF(A295="","",IF(A295="[FÓRMULA MANUAL]","",IFERROR(AVERAGEIFS(DATOS!$K$2:$K$20000,DATOS!$A$2:$A$20000,A295,DATOS!$G$2:$G$20000,CONFIG_METADATA!$B$4,DATOS!$I$2:$I$20000,"Orquesta/Banda/Conjunto"),"")))</f>
        <v/>
      </c>
      <c r="D295" t="str">
        <f>IF(A295="","",IF(A295="[FÓRMULA MANUAL]","",IFERROR(AVERAGEIFS(DATOS!$K$2:$K$20000,DATOS!$A$2:$A$20000,A295,DATOS!$G$2:$G$20000,CONFIG_METADATA!$B$4,DATOS!$I$2:$I$20000,"Conjunto"),"")))</f>
        <v/>
      </c>
      <c r="E295" t="str">
        <f>IF(A295="","",IF(A295="[FÓRMULA MANUAL]","",IFERROR(SUMPRODUCT((DATOS!$A$2:$A$20000=A295)*(DATOS!$G$2:$G$20000=CONFIG_METADATA!$B$4)*(COUNTIF(CONFIG_ASIGNATURAS!$B$7:$B$27,DATOS!$I$2:$I$20000)&gt;0)*(DATOS!$K$2:$K$20000))/SUMPRODUCT((DATOS!$A$2:$A$20000=A295)*(DATOS!$G$2:$G$20000=CONFIG_METADATA!$B$4)*(COUNTIF(CONFIG_ASIGNATURAS!$B$7:$B$27,DATOS!$I$2:$I$20000)&gt;0)*1),"")))</f>
        <v/>
      </c>
      <c r="H295" t="str">
        <f>IF(G295="","",IF(G295="[FÓRMULA MANUAL]","",IFERROR(AVERAGEIFS(DATOS!$K$2:$K$20000,DATOS!$A$2:$A$20000,G295,DATOS!$G$2:$G$20000,CONFIG_METADATA!$B$4,DATOS!$I$2:$I$20000,"Lenguaje Musical"),"")))</f>
        <v/>
      </c>
      <c r="I295" t="str">
        <f>IF(G295="","",IF(G295="[FÓRMULA MANUAL]","",IFERROR(AVERAGEIFS(DATOS!$K$2:$K$20000,DATOS!$A$2:$A$20000,G295,DATOS!$G$2:$G$20000,CONFIG_METADATA!$B$4,DATOS!$I$2:$I$20000,"Orquesta/Banda/Conjunto"),"")))</f>
        <v/>
      </c>
      <c r="J295" t="str">
        <f>IF(G295="","",IF(G295="[FÓRMULA MANUAL]","",IFERROR(AVERAGEIFS(DATOS!$K$2:$K$20000,DATOS!$A$2:$A$20000,G295,DATOS!$G$2:$G$20000,CONFIG_METADATA!$B$4,DATOS!$I$2:$I$20000,"Conjunto"),"")))</f>
        <v/>
      </c>
      <c r="K295" t="str">
        <f>IF(G295="","",IF(G295="[FÓRMULA MANUAL]","",IFERROR(SUMPRODUCT((DATOS!$A$2:$A$20000=G295)*(DATOS!$G$2:$G$20000=CONFIG_METADATA!$B$4)*(COUNTIF(CONFIG_ASIGNATURAS!$B$7:$B$27,DATOS!$I$2:$I$20000)&gt;0)*(DATOS!$K$2:$K$20000))/SUMPRODUCT((DATOS!$A$2:$A$20000=G295)*(DATOS!$G$2:$G$20000=CONFIG_METADATA!$B$4)*(COUNTIF(CONFIG_ASIGNATURAS!$B$7:$B$27,DATOS!$I$2:$I$20000)&gt;0)*1),"")))</f>
        <v/>
      </c>
      <c r="N295" t="str">
        <f>IF(M295="","",IF(M295="[FÓRMULA MANUAL]","",IFERROR(AVERAGEIFS(DATOS!$K$2:$K$20000,DATOS!$A$2:$A$20000,M295,DATOS!$G$2:$G$20000,CONFIG_METADATA!$B$4,DATOS!$I$2:$I$20000,"Armonía"),"")))</f>
        <v/>
      </c>
      <c r="O295" t="str">
        <f>IF(M295="","",IF(M295="[FÓRMULA MANUAL]","",IFERROR(AVERAGEIFS(DATOS!$K$2:$K$20000,DATOS!$A$2:$A$20000,M295,DATOS!$G$2:$G$20000,CONFIG_METADATA!$B$4,DATOS!$I$2:$I$20000,"Orquesta/Banda/Conjunto"),"")))</f>
        <v/>
      </c>
      <c r="P295" t="str">
        <f>IF(M295="","",IF(M295="[FÓRMULA MANUAL]","",IFERROR(AVERAGEIFS(DATOS!$K$2:$K$20000,DATOS!$A$2:$A$20000,M295,DATOS!$G$2:$G$20000,CONFIG_METADATA!$B$4,DATOS!$I$2:$I$20000,"Música de Cámara"),"")))</f>
        <v/>
      </c>
      <c r="Q295" t="str">
        <f>IF(M295="","",IF(M295="[FÓRMULA MANUAL]","",IFERROR(SUMPRODUCT((DATOS!$A$2:$A$20000=M295)*(DATOS!$G$2:$G$20000=CONFIG_METADATA!$B$4)*(COUNTIF(CONFIG_ASIGNATURAS!$B$7:$B$27,DATOS!$I$2:$I$20000)&gt;0)*(DATOS!$K$2:$K$20000))/SUMPRODUCT((DATOS!$A$2:$A$20000=M295)*(DATOS!$G$2:$G$20000=CONFIG_METADATA!$B$4)*(COUNTIF(CONFIG_ASIGNATURAS!$B$7:$B$27,DATOS!$I$2:$I$20000)&gt;0)*1),"")))</f>
        <v/>
      </c>
      <c r="T295" t="str">
        <f>IF(S295="","",IF(S295="[FÓRMULA MANUAL]","",IFERROR(AVERAGEIFS(DATOS!$K$2:$K$20000,DATOS!$A$2:$A$20000,S295,DATOS!$G$2:$G$20000,CONFIG_METADATA!$B$4,DATOS!$I$2:$I$20000,"Armonía"),"")))</f>
        <v/>
      </c>
      <c r="U295" t="str">
        <f>IF(S295="","",IF(S295="[FÓRMULA MANUAL]","",IFERROR(AVERAGEIFS(DATOS!$K$2:$K$20000,DATOS!$A$2:$A$20000,S295,DATOS!$G$2:$G$20000,CONFIG_METADATA!$B$4,DATOS!$I$2:$I$20000,"Orquesta/Banda/Conjunto"),"")))</f>
        <v/>
      </c>
      <c r="V295" t="str">
        <f>IF(S295="","",IF(S295="[FÓRMULA MANUAL]","",IFERROR(AVERAGEIFS(DATOS!$K$2:$K$20000,DATOS!$A$2:$A$20000,S295,DATOS!$G$2:$G$20000,CONFIG_METADATA!$B$4,DATOS!$I$2:$I$20000,"Música de Cámara"),"")))</f>
        <v/>
      </c>
      <c r="W295" t="str">
        <f>IF(S295="","",IF(S295="[FÓRMULA MANUAL]","",IFERROR(SUMPRODUCT((DATOS!$A$2:$A$20000=S295)*(DATOS!$G$2:$G$20000=CONFIG_METADATA!$B$4)*(COUNTIF(CONFIG_ASIGNATURAS!$B$7:$B$27,DATOS!$I$2:$I$20000)&gt;0)*(DATOS!$K$2:$K$20000))/SUMPRODUCT((DATOS!$A$2:$A$20000=S295)*(DATOS!$G$2:$G$20000=CONFIG_METADATA!$B$4)*(COUNTIF(CONFIG_ASIGNATURAS!$B$7:$B$27,DATOS!$I$2:$I$20000)&gt;0)*1),"")))</f>
        <v/>
      </c>
      <c r="Z295" t="str">
        <f>IF(Y295="","",IF(Y295="[FÓRMULA MANUAL]","",IFERROR(AVERAGEIFS(DATOS!$K$2:$K$20000,DATOS!$A$2:$A$20000,Y295,DATOS!$G$2:$G$20000,CONFIG_METADATA!$B$4,DATOS!$I$2:$I$20000,"Análisis"),"")))</f>
        <v/>
      </c>
      <c r="AA295" t="str">
        <f>IF(Y295="","",IF(Y295="[FÓRMULA MANUAL]","",IFERROR(AVERAGEIFS(DATOS!$K$2:$K$20000,DATOS!$A$2:$A$20000,Y295,DATOS!$G$2:$G$20000,CONFIG_METADATA!$B$4,DATOS!$I$2:$I$20000,"Orquesta/Banda/Conjunto"),"")))</f>
        <v/>
      </c>
      <c r="AB295" t="str">
        <f>IF(Y295="","",IF(Y295="[FÓRMULA MANUAL]","",IFERROR(AVERAGEIFS(DATOS!$K$2:$K$20000,DATOS!$A$2:$A$20000,Y295,DATOS!$G$2:$G$20000,CONFIG_METADATA!$B$4,DATOS!$I$2:$I$20000,"Música de Cámara"),"")))</f>
        <v/>
      </c>
      <c r="AC295" t="str">
        <f>IF(Y295="","",IF(Y295="[FÓRMULA MANUAL]","",IFERROR(SUMPRODUCT((DATOS!$A$2:$A$20000=Y295)*(DATOS!$G$2:$G$20000=CONFIG_METADATA!$B$4)*(COUNTIF(CONFIG_ASIGNATURAS!$B$7:$B$27,DATOS!$I$2:$I$20000)&gt;0)*(DATOS!$K$2:$K$20000))/SUMPRODUCT((DATOS!$A$2:$A$20000=Y295)*(DATOS!$G$2:$G$20000=CONFIG_METADATA!$B$4)*(COUNTIF(CONFIG_ASIGNATURAS!$B$7:$B$27,DATOS!$I$2:$I$20000)&gt;0)*1),"")))</f>
        <v/>
      </c>
      <c r="AF295" t="str">
        <f>IF(AE295="","",IF(AE295="[FÓRMULA MANUAL]","",IFERROR(AVERAGEIFS(DATOS!$K$2:$K$20000,DATOS!$A$2:$A$20000,AE295,DATOS!$G$2:$G$20000,CONFIG_METADATA!$B$4,DATOS!$I$2:$I$20000,"Análisis"),"")))</f>
        <v/>
      </c>
      <c r="AG295" t="str">
        <f>IF(AE295="","",IF(AE295="[FÓRMULA MANUAL]","",IFERROR(AVERAGEIFS(DATOS!$K$2:$K$20000,DATOS!$A$2:$A$20000,AE295,DATOS!$G$2:$G$20000,CONFIG_METADATA!$B$4,DATOS!$I$2:$I$20000,"Orquesta/Banda/Conjunto"),"")))</f>
        <v/>
      </c>
      <c r="AH295" t="str">
        <f>IF(AE295="","",IF(AE295="[FÓRMULA MANUAL]","",IFERROR(AVERAGEIFS(DATOS!$K$2:$K$20000,DATOS!$A$2:$A$20000,AE295,DATOS!$G$2:$G$20000,CONFIG_METADATA!$B$4,DATOS!$I$2:$I$20000,"Música de Cámara"),"")))</f>
        <v/>
      </c>
      <c r="AI295" t="str">
        <f>IF(AE295="","",IF(AE295="[FÓRMULA MANUAL]","",IFERROR(SUMPRODUCT((DATOS!$A$2:$A$20000=AE295)*(DATOS!$G$2:$G$20000=CONFIG_METADATA!$B$4)*(COUNTIF(CONFIG_ASIGNATURAS!$B$7:$B$27,DATOS!$I$2:$I$20000)&gt;0)*(DATOS!$K$2:$K$20000))/SUMPRODUCT((DATOS!$A$2:$A$20000=AE295)*(DATOS!$G$2:$G$20000=CONFIG_METADATA!$B$4)*(COUNTIF(CONFIG_ASIGNATURAS!$B$7:$B$27,DATOS!$I$2:$I$20000)&gt;0)*1),"")))</f>
        <v/>
      </c>
    </row>
    <row r="296" spans="2:35" x14ac:dyDescent="0.2">
      <c r="B296" t="str">
        <f>IF(A296="","",IF(A296="[FÓRMULA MANUAL]","",IFERROR(AVERAGEIFS(DATOS!$K$2:$K$20000,DATOS!$A$2:$A$20000,A296,DATOS!$G$2:$G$20000,CONFIG_METADATA!$B$4,DATOS!$I$2:$I$20000,"Lenguaje Musical"),"")))</f>
        <v/>
      </c>
      <c r="C296" t="str">
        <f>IF(A296="","",IF(A296="[FÓRMULA MANUAL]","",IFERROR(AVERAGEIFS(DATOS!$K$2:$K$20000,DATOS!$A$2:$A$20000,A296,DATOS!$G$2:$G$20000,CONFIG_METADATA!$B$4,DATOS!$I$2:$I$20000,"Orquesta/Banda/Conjunto"),"")))</f>
        <v/>
      </c>
      <c r="D296" t="str">
        <f>IF(A296="","",IF(A296="[FÓRMULA MANUAL]","",IFERROR(AVERAGEIFS(DATOS!$K$2:$K$20000,DATOS!$A$2:$A$20000,A296,DATOS!$G$2:$G$20000,CONFIG_METADATA!$B$4,DATOS!$I$2:$I$20000,"Conjunto"),"")))</f>
        <v/>
      </c>
      <c r="E296" t="str">
        <f>IF(A296="","",IF(A296="[FÓRMULA MANUAL]","",IFERROR(SUMPRODUCT((DATOS!$A$2:$A$20000=A296)*(DATOS!$G$2:$G$20000=CONFIG_METADATA!$B$4)*(COUNTIF(CONFIG_ASIGNATURAS!$B$7:$B$27,DATOS!$I$2:$I$20000)&gt;0)*(DATOS!$K$2:$K$20000))/SUMPRODUCT((DATOS!$A$2:$A$20000=A296)*(DATOS!$G$2:$G$20000=CONFIG_METADATA!$B$4)*(COUNTIF(CONFIG_ASIGNATURAS!$B$7:$B$27,DATOS!$I$2:$I$20000)&gt;0)*1),"")))</f>
        <v/>
      </c>
      <c r="H296" t="str">
        <f>IF(G296="","",IF(G296="[FÓRMULA MANUAL]","",IFERROR(AVERAGEIFS(DATOS!$K$2:$K$20000,DATOS!$A$2:$A$20000,G296,DATOS!$G$2:$G$20000,CONFIG_METADATA!$B$4,DATOS!$I$2:$I$20000,"Lenguaje Musical"),"")))</f>
        <v/>
      </c>
      <c r="I296" t="str">
        <f>IF(G296="","",IF(G296="[FÓRMULA MANUAL]","",IFERROR(AVERAGEIFS(DATOS!$K$2:$K$20000,DATOS!$A$2:$A$20000,G296,DATOS!$G$2:$G$20000,CONFIG_METADATA!$B$4,DATOS!$I$2:$I$20000,"Orquesta/Banda/Conjunto"),"")))</f>
        <v/>
      </c>
      <c r="J296" t="str">
        <f>IF(G296="","",IF(G296="[FÓRMULA MANUAL]","",IFERROR(AVERAGEIFS(DATOS!$K$2:$K$20000,DATOS!$A$2:$A$20000,G296,DATOS!$G$2:$G$20000,CONFIG_METADATA!$B$4,DATOS!$I$2:$I$20000,"Conjunto"),"")))</f>
        <v/>
      </c>
      <c r="K296" t="str">
        <f>IF(G296="","",IF(G296="[FÓRMULA MANUAL]","",IFERROR(SUMPRODUCT((DATOS!$A$2:$A$20000=G296)*(DATOS!$G$2:$G$20000=CONFIG_METADATA!$B$4)*(COUNTIF(CONFIG_ASIGNATURAS!$B$7:$B$27,DATOS!$I$2:$I$20000)&gt;0)*(DATOS!$K$2:$K$20000))/SUMPRODUCT((DATOS!$A$2:$A$20000=G296)*(DATOS!$G$2:$G$20000=CONFIG_METADATA!$B$4)*(COUNTIF(CONFIG_ASIGNATURAS!$B$7:$B$27,DATOS!$I$2:$I$20000)&gt;0)*1),"")))</f>
        <v/>
      </c>
      <c r="N296" t="str">
        <f>IF(M296="","",IF(M296="[FÓRMULA MANUAL]","",IFERROR(AVERAGEIFS(DATOS!$K$2:$K$20000,DATOS!$A$2:$A$20000,M296,DATOS!$G$2:$G$20000,CONFIG_METADATA!$B$4,DATOS!$I$2:$I$20000,"Armonía"),"")))</f>
        <v/>
      </c>
      <c r="O296" t="str">
        <f>IF(M296="","",IF(M296="[FÓRMULA MANUAL]","",IFERROR(AVERAGEIFS(DATOS!$K$2:$K$20000,DATOS!$A$2:$A$20000,M296,DATOS!$G$2:$G$20000,CONFIG_METADATA!$B$4,DATOS!$I$2:$I$20000,"Orquesta/Banda/Conjunto"),"")))</f>
        <v/>
      </c>
      <c r="P296" t="str">
        <f>IF(M296="","",IF(M296="[FÓRMULA MANUAL]","",IFERROR(AVERAGEIFS(DATOS!$K$2:$K$20000,DATOS!$A$2:$A$20000,M296,DATOS!$G$2:$G$20000,CONFIG_METADATA!$B$4,DATOS!$I$2:$I$20000,"Música de Cámara"),"")))</f>
        <v/>
      </c>
      <c r="Q296" t="str">
        <f>IF(M296="","",IF(M296="[FÓRMULA MANUAL]","",IFERROR(SUMPRODUCT((DATOS!$A$2:$A$20000=M296)*(DATOS!$G$2:$G$20000=CONFIG_METADATA!$B$4)*(COUNTIF(CONFIG_ASIGNATURAS!$B$7:$B$27,DATOS!$I$2:$I$20000)&gt;0)*(DATOS!$K$2:$K$20000))/SUMPRODUCT((DATOS!$A$2:$A$20000=M296)*(DATOS!$G$2:$G$20000=CONFIG_METADATA!$B$4)*(COUNTIF(CONFIG_ASIGNATURAS!$B$7:$B$27,DATOS!$I$2:$I$20000)&gt;0)*1),"")))</f>
        <v/>
      </c>
      <c r="T296" t="str">
        <f>IF(S296="","",IF(S296="[FÓRMULA MANUAL]","",IFERROR(AVERAGEIFS(DATOS!$K$2:$K$20000,DATOS!$A$2:$A$20000,S296,DATOS!$G$2:$G$20000,CONFIG_METADATA!$B$4,DATOS!$I$2:$I$20000,"Armonía"),"")))</f>
        <v/>
      </c>
      <c r="U296" t="str">
        <f>IF(S296="","",IF(S296="[FÓRMULA MANUAL]","",IFERROR(AVERAGEIFS(DATOS!$K$2:$K$20000,DATOS!$A$2:$A$20000,S296,DATOS!$G$2:$G$20000,CONFIG_METADATA!$B$4,DATOS!$I$2:$I$20000,"Orquesta/Banda/Conjunto"),"")))</f>
        <v/>
      </c>
      <c r="V296" t="str">
        <f>IF(S296="","",IF(S296="[FÓRMULA MANUAL]","",IFERROR(AVERAGEIFS(DATOS!$K$2:$K$20000,DATOS!$A$2:$A$20000,S296,DATOS!$G$2:$G$20000,CONFIG_METADATA!$B$4,DATOS!$I$2:$I$20000,"Música de Cámara"),"")))</f>
        <v/>
      </c>
      <c r="W296" t="str">
        <f>IF(S296="","",IF(S296="[FÓRMULA MANUAL]","",IFERROR(SUMPRODUCT((DATOS!$A$2:$A$20000=S296)*(DATOS!$G$2:$G$20000=CONFIG_METADATA!$B$4)*(COUNTIF(CONFIG_ASIGNATURAS!$B$7:$B$27,DATOS!$I$2:$I$20000)&gt;0)*(DATOS!$K$2:$K$20000))/SUMPRODUCT((DATOS!$A$2:$A$20000=S296)*(DATOS!$G$2:$G$20000=CONFIG_METADATA!$B$4)*(COUNTIF(CONFIG_ASIGNATURAS!$B$7:$B$27,DATOS!$I$2:$I$20000)&gt;0)*1),"")))</f>
        <v/>
      </c>
      <c r="Z296" t="str">
        <f>IF(Y296="","",IF(Y296="[FÓRMULA MANUAL]","",IFERROR(AVERAGEIFS(DATOS!$K$2:$K$20000,DATOS!$A$2:$A$20000,Y296,DATOS!$G$2:$G$20000,CONFIG_METADATA!$B$4,DATOS!$I$2:$I$20000,"Análisis"),"")))</f>
        <v/>
      </c>
      <c r="AA296" t="str">
        <f>IF(Y296="","",IF(Y296="[FÓRMULA MANUAL]","",IFERROR(AVERAGEIFS(DATOS!$K$2:$K$20000,DATOS!$A$2:$A$20000,Y296,DATOS!$G$2:$G$20000,CONFIG_METADATA!$B$4,DATOS!$I$2:$I$20000,"Orquesta/Banda/Conjunto"),"")))</f>
        <v/>
      </c>
      <c r="AB296" t="str">
        <f>IF(Y296="","",IF(Y296="[FÓRMULA MANUAL]","",IFERROR(AVERAGEIFS(DATOS!$K$2:$K$20000,DATOS!$A$2:$A$20000,Y296,DATOS!$G$2:$G$20000,CONFIG_METADATA!$B$4,DATOS!$I$2:$I$20000,"Música de Cámara"),"")))</f>
        <v/>
      </c>
      <c r="AC296" t="str">
        <f>IF(Y296="","",IF(Y296="[FÓRMULA MANUAL]","",IFERROR(SUMPRODUCT((DATOS!$A$2:$A$20000=Y296)*(DATOS!$G$2:$G$20000=CONFIG_METADATA!$B$4)*(COUNTIF(CONFIG_ASIGNATURAS!$B$7:$B$27,DATOS!$I$2:$I$20000)&gt;0)*(DATOS!$K$2:$K$20000))/SUMPRODUCT((DATOS!$A$2:$A$20000=Y296)*(DATOS!$G$2:$G$20000=CONFIG_METADATA!$B$4)*(COUNTIF(CONFIG_ASIGNATURAS!$B$7:$B$27,DATOS!$I$2:$I$20000)&gt;0)*1),"")))</f>
        <v/>
      </c>
      <c r="AF296" t="str">
        <f>IF(AE296="","",IF(AE296="[FÓRMULA MANUAL]","",IFERROR(AVERAGEIFS(DATOS!$K$2:$K$20000,DATOS!$A$2:$A$20000,AE296,DATOS!$G$2:$G$20000,CONFIG_METADATA!$B$4,DATOS!$I$2:$I$20000,"Análisis"),"")))</f>
        <v/>
      </c>
      <c r="AG296" t="str">
        <f>IF(AE296="","",IF(AE296="[FÓRMULA MANUAL]","",IFERROR(AVERAGEIFS(DATOS!$K$2:$K$20000,DATOS!$A$2:$A$20000,AE296,DATOS!$G$2:$G$20000,CONFIG_METADATA!$B$4,DATOS!$I$2:$I$20000,"Orquesta/Banda/Conjunto"),"")))</f>
        <v/>
      </c>
      <c r="AH296" t="str">
        <f>IF(AE296="","",IF(AE296="[FÓRMULA MANUAL]","",IFERROR(AVERAGEIFS(DATOS!$K$2:$K$20000,DATOS!$A$2:$A$20000,AE296,DATOS!$G$2:$G$20000,CONFIG_METADATA!$B$4,DATOS!$I$2:$I$20000,"Música de Cámara"),"")))</f>
        <v/>
      </c>
      <c r="AI296" t="str">
        <f>IF(AE296="","",IF(AE296="[FÓRMULA MANUAL]","",IFERROR(SUMPRODUCT((DATOS!$A$2:$A$20000=AE296)*(DATOS!$G$2:$G$20000=CONFIG_METADATA!$B$4)*(COUNTIF(CONFIG_ASIGNATURAS!$B$7:$B$27,DATOS!$I$2:$I$20000)&gt;0)*(DATOS!$K$2:$K$20000))/SUMPRODUCT((DATOS!$A$2:$A$20000=AE296)*(DATOS!$G$2:$G$20000=CONFIG_METADATA!$B$4)*(COUNTIF(CONFIG_ASIGNATURAS!$B$7:$B$27,DATOS!$I$2:$I$20000)&gt;0)*1),"")))</f>
        <v/>
      </c>
    </row>
    <row r="297" spans="2:35" x14ac:dyDescent="0.2">
      <c r="B297" t="str">
        <f>IF(A297="","",IF(A297="[FÓRMULA MANUAL]","",IFERROR(AVERAGEIFS(DATOS!$K$2:$K$20000,DATOS!$A$2:$A$20000,A297,DATOS!$G$2:$G$20000,CONFIG_METADATA!$B$4,DATOS!$I$2:$I$20000,"Lenguaje Musical"),"")))</f>
        <v/>
      </c>
      <c r="C297" t="str">
        <f>IF(A297="","",IF(A297="[FÓRMULA MANUAL]","",IFERROR(AVERAGEIFS(DATOS!$K$2:$K$20000,DATOS!$A$2:$A$20000,A297,DATOS!$G$2:$G$20000,CONFIG_METADATA!$B$4,DATOS!$I$2:$I$20000,"Orquesta/Banda/Conjunto"),"")))</f>
        <v/>
      </c>
      <c r="D297" t="str">
        <f>IF(A297="","",IF(A297="[FÓRMULA MANUAL]","",IFERROR(AVERAGEIFS(DATOS!$K$2:$K$20000,DATOS!$A$2:$A$20000,A297,DATOS!$G$2:$G$20000,CONFIG_METADATA!$B$4,DATOS!$I$2:$I$20000,"Conjunto"),"")))</f>
        <v/>
      </c>
      <c r="E297" t="str">
        <f>IF(A297="","",IF(A297="[FÓRMULA MANUAL]","",IFERROR(SUMPRODUCT((DATOS!$A$2:$A$20000=A297)*(DATOS!$G$2:$G$20000=CONFIG_METADATA!$B$4)*(COUNTIF(CONFIG_ASIGNATURAS!$B$7:$B$27,DATOS!$I$2:$I$20000)&gt;0)*(DATOS!$K$2:$K$20000))/SUMPRODUCT((DATOS!$A$2:$A$20000=A297)*(DATOS!$G$2:$G$20000=CONFIG_METADATA!$B$4)*(COUNTIF(CONFIG_ASIGNATURAS!$B$7:$B$27,DATOS!$I$2:$I$20000)&gt;0)*1),"")))</f>
        <v/>
      </c>
      <c r="H297" t="str">
        <f>IF(G297="","",IF(G297="[FÓRMULA MANUAL]","",IFERROR(AVERAGEIFS(DATOS!$K$2:$K$20000,DATOS!$A$2:$A$20000,G297,DATOS!$G$2:$G$20000,CONFIG_METADATA!$B$4,DATOS!$I$2:$I$20000,"Lenguaje Musical"),"")))</f>
        <v/>
      </c>
      <c r="I297" t="str">
        <f>IF(G297="","",IF(G297="[FÓRMULA MANUAL]","",IFERROR(AVERAGEIFS(DATOS!$K$2:$K$20000,DATOS!$A$2:$A$20000,G297,DATOS!$G$2:$G$20000,CONFIG_METADATA!$B$4,DATOS!$I$2:$I$20000,"Orquesta/Banda/Conjunto"),"")))</f>
        <v/>
      </c>
      <c r="J297" t="str">
        <f>IF(G297="","",IF(G297="[FÓRMULA MANUAL]","",IFERROR(AVERAGEIFS(DATOS!$K$2:$K$20000,DATOS!$A$2:$A$20000,G297,DATOS!$G$2:$G$20000,CONFIG_METADATA!$B$4,DATOS!$I$2:$I$20000,"Conjunto"),"")))</f>
        <v/>
      </c>
      <c r="K297" t="str">
        <f>IF(G297="","",IF(G297="[FÓRMULA MANUAL]","",IFERROR(SUMPRODUCT((DATOS!$A$2:$A$20000=G297)*(DATOS!$G$2:$G$20000=CONFIG_METADATA!$B$4)*(COUNTIF(CONFIG_ASIGNATURAS!$B$7:$B$27,DATOS!$I$2:$I$20000)&gt;0)*(DATOS!$K$2:$K$20000))/SUMPRODUCT((DATOS!$A$2:$A$20000=G297)*(DATOS!$G$2:$G$20000=CONFIG_METADATA!$B$4)*(COUNTIF(CONFIG_ASIGNATURAS!$B$7:$B$27,DATOS!$I$2:$I$20000)&gt;0)*1),"")))</f>
        <v/>
      </c>
      <c r="N297" t="str">
        <f>IF(M297="","",IF(M297="[FÓRMULA MANUAL]","",IFERROR(AVERAGEIFS(DATOS!$K$2:$K$20000,DATOS!$A$2:$A$20000,M297,DATOS!$G$2:$G$20000,CONFIG_METADATA!$B$4,DATOS!$I$2:$I$20000,"Armonía"),"")))</f>
        <v/>
      </c>
      <c r="O297" t="str">
        <f>IF(M297="","",IF(M297="[FÓRMULA MANUAL]","",IFERROR(AVERAGEIFS(DATOS!$K$2:$K$20000,DATOS!$A$2:$A$20000,M297,DATOS!$G$2:$G$20000,CONFIG_METADATA!$B$4,DATOS!$I$2:$I$20000,"Orquesta/Banda/Conjunto"),"")))</f>
        <v/>
      </c>
      <c r="P297" t="str">
        <f>IF(M297="","",IF(M297="[FÓRMULA MANUAL]","",IFERROR(AVERAGEIFS(DATOS!$K$2:$K$20000,DATOS!$A$2:$A$20000,M297,DATOS!$G$2:$G$20000,CONFIG_METADATA!$B$4,DATOS!$I$2:$I$20000,"Música de Cámara"),"")))</f>
        <v/>
      </c>
      <c r="Q297" t="str">
        <f>IF(M297="","",IF(M297="[FÓRMULA MANUAL]","",IFERROR(SUMPRODUCT((DATOS!$A$2:$A$20000=M297)*(DATOS!$G$2:$G$20000=CONFIG_METADATA!$B$4)*(COUNTIF(CONFIG_ASIGNATURAS!$B$7:$B$27,DATOS!$I$2:$I$20000)&gt;0)*(DATOS!$K$2:$K$20000))/SUMPRODUCT((DATOS!$A$2:$A$20000=M297)*(DATOS!$G$2:$G$20000=CONFIG_METADATA!$B$4)*(COUNTIF(CONFIG_ASIGNATURAS!$B$7:$B$27,DATOS!$I$2:$I$20000)&gt;0)*1),"")))</f>
        <v/>
      </c>
      <c r="T297" t="str">
        <f>IF(S297="","",IF(S297="[FÓRMULA MANUAL]","",IFERROR(AVERAGEIFS(DATOS!$K$2:$K$20000,DATOS!$A$2:$A$20000,S297,DATOS!$G$2:$G$20000,CONFIG_METADATA!$B$4,DATOS!$I$2:$I$20000,"Armonía"),"")))</f>
        <v/>
      </c>
      <c r="U297" t="str">
        <f>IF(S297="","",IF(S297="[FÓRMULA MANUAL]","",IFERROR(AVERAGEIFS(DATOS!$K$2:$K$20000,DATOS!$A$2:$A$20000,S297,DATOS!$G$2:$G$20000,CONFIG_METADATA!$B$4,DATOS!$I$2:$I$20000,"Orquesta/Banda/Conjunto"),"")))</f>
        <v/>
      </c>
      <c r="V297" t="str">
        <f>IF(S297="","",IF(S297="[FÓRMULA MANUAL]","",IFERROR(AVERAGEIFS(DATOS!$K$2:$K$20000,DATOS!$A$2:$A$20000,S297,DATOS!$G$2:$G$20000,CONFIG_METADATA!$B$4,DATOS!$I$2:$I$20000,"Música de Cámara"),"")))</f>
        <v/>
      </c>
      <c r="W297" t="str">
        <f>IF(S297="","",IF(S297="[FÓRMULA MANUAL]","",IFERROR(SUMPRODUCT((DATOS!$A$2:$A$20000=S297)*(DATOS!$G$2:$G$20000=CONFIG_METADATA!$B$4)*(COUNTIF(CONFIG_ASIGNATURAS!$B$7:$B$27,DATOS!$I$2:$I$20000)&gt;0)*(DATOS!$K$2:$K$20000))/SUMPRODUCT((DATOS!$A$2:$A$20000=S297)*(DATOS!$G$2:$G$20000=CONFIG_METADATA!$B$4)*(COUNTIF(CONFIG_ASIGNATURAS!$B$7:$B$27,DATOS!$I$2:$I$20000)&gt;0)*1),"")))</f>
        <v/>
      </c>
      <c r="Z297" t="str">
        <f>IF(Y297="","",IF(Y297="[FÓRMULA MANUAL]","",IFERROR(AVERAGEIFS(DATOS!$K$2:$K$20000,DATOS!$A$2:$A$20000,Y297,DATOS!$G$2:$G$20000,CONFIG_METADATA!$B$4,DATOS!$I$2:$I$20000,"Análisis"),"")))</f>
        <v/>
      </c>
      <c r="AA297" t="str">
        <f>IF(Y297="","",IF(Y297="[FÓRMULA MANUAL]","",IFERROR(AVERAGEIFS(DATOS!$K$2:$K$20000,DATOS!$A$2:$A$20000,Y297,DATOS!$G$2:$G$20000,CONFIG_METADATA!$B$4,DATOS!$I$2:$I$20000,"Orquesta/Banda/Conjunto"),"")))</f>
        <v/>
      </c>
      <c r="AB297" t="str">
        <f>IF(Y297="","",IF(Y297="[FÓRMULA MANUAL]","",IFERROR(AVERAGEIFS(DATOS!$K$2:$K$20000,DATOS!$A$2:$A$20000,Y297,DATOS!$G$2:$G$20000,CONFIG_METADATA!$B$4,DATOS!$I$2:$I$20000,"Música de Cámara"),"")))</f>
        <v/>
      </c>
      <c r="AC297" t="str">
        <f>IF(Y297="","",IF(Y297="[FÓRMULA MANUAL]","",IFERROR(SUMPRODUCT((DATOS!$A$2:$A$20000=Y297)*(DATOS!$G$2:$G$20000=CONFIG_METADATA!$B$4)*(COUNTIF(CONFIG_ASIGNATURAS!$B$7:$B$27,DATOS!$I$2:$I$20000)&gt;0)*(DATOS!$K$2:$K$20000))/SUMPRODUCT((DATOS!$A$2:$A$20000=Y297)*(DATOS!$G$2:$G$20000=CONFIG_METADATA!$B$4)*(COUNTIF(CONFIG_ASIGNATURAS!$B$7:$B$27,DATOS!$I$2:$I$20000)&gt;0)*1),"")))</f>
        <v/>
      </c>
      <c r="AF297" t="str">
        <f>IF(AE297="","",IF(AE297="[FÓRMULA MANUAL]","",IFERROR(AVERAGEIFS(DATOS!$K$2:$K$20000,DATOS!$A$2:$A$20000,AE297,DATOS!$G$2:$G$20000,CONFIG_METADATA!$B$4,DATOS!$I$2:$I$20000,"Análisis"),"")))</f>
        <v/>
      </c>
      <c r="AG297" t="str">
        <f>IF(AE297="","",IF(AE297="[FÓRMULA MANUAL]","",IFERROR(AVERAGEIFS(DATOS!$K$2:$K$20000,DATOS!$A$2:$A$20000,AE297,DATOS!$G$2:$G$20000,CONFIG_METADATA!$B$4,DATOS!$I$2:$I$20000,"Orquesta/Banda/Conjunto"),"")))</f>
        <v/>
      </c>
      <c r="AH297" t="str">
        <f>IF(AE297="","",IF(AE297="[FÓRMULA MANUAL]","",IFERROR(AVERAGEIFS(DATOS!$K$2:$K$20000,DATOS!$A$2:$A$20000,AE297,DATOS!$G$2:$G$20000,CONFIG_METADATA!$B$4,DATOS!$I$2:$I$20000,"Música de Cámara"),"")))</f>
        <v/>
      </c>
      <c r="AI297" t="str">
        <f>IF(AE297="","",IF(AE297="[FÓRMULA MANUAL]","",IFERROR(SUMPRODUCT((DATOS!$A$2:$A$20000=AE297)*(DATOS!$G$2:$G$20000=CONFIG_METADATA!$B$4)*(COUNTIF(CONFIG_ASIGNATURAS!$B$7:$B$27,DATOS!$I$2:$I$20000)&gt;0)*(DATOS!$K$2:$K$20000))/SUMPRODUCT((DATOS!$A$2:$A$20000=AE297)*(DATOS!$G$2:$G$20000=CONFIG_METADATA!$B$4)*(COUNTIF(CONFIG_ASIGNATURAS!$B$7:$B$27,DATOS!$I$2:$I$20000)&gt;0)*1),"")))</f>
        <v/>
      </c>
    </row>
    <row r="298" spans="2:35" x14ac:dyDescent="0.2">
      <c r="B298" t="str">
        <f>IF(A298="","",IF(A298="[FÓRMULA MANUAL]","",IFERROR(AVERAGEIFS(DATOS!$K$2:$K$20000,DATOS!$A$2:$A$20000,A298,DATOS!$G$2:$G$20000,CONFIG_METADATA!$B$4,DATOS!$I$2:$I$20000,"Lenguaje Musical"),"")))</f>
        <v/>
      </c>
      <c r="C298" t="str">
        <f>IF(A298="","",IF(A298="[FÓRMULA MANUAL]","",IFERROR(AVERAGEIFS(DATOS!$K$2:$K$20000,DATOS!$A$2:$A$20000,A298,DATOS!$G$2:$G$20000,CONFIG_METADATA!$B$4,DATOS!$I$2:$I$20000,"Orquesta/Banda/Conjunto"),"")))</f>
        <v/>
      </c>
      <c r="D298" t="str">
        <f>IF(A298="","",IF(A298="[FÓRMULA MANUAL]","",IFERROR(AVERAGEIFS(DATOS!$K$2:$K$20000,DATOS!$A$2:$A$20000,A298,DATOS!$G$2:$G$20000,CONFIG_METADATA!$B$4,DATOS!$I$2:$I$20000,"Conjunto"),"")))</f>
        <v/>
      </c>
      <c r="E298" t="str">
        <f>IF(A298="","",IF(A298="[FÓRMULA MANUAL]","",IFERROR(SUMPRODUCT((DATOS!$A$2:$A$20000=A298)*(DATOS!$G$2:$G$20000=CONFIG_METADATA!$B$4)*(COUNTIF(CONFIG_ASIGNATURAS!$B$7:$B$27,DATOS!$I$2:$I$20000)&gt;0)*(DATOS!$K$2:$K$20000))/SUMPRODUCT((DATOS!$A$2:$A$20000=A298)*(DATOS!$G$2:$G$20000=CONFIG_METADATA!$B$4)*(COUNTIF(CONFIG_ASIGNATURAS!$B$7:$B$27,DATOS!$I$2:$I$20000)&gt;0)*1),"")))</f>
        <v/>
      </c>
      <c r="H298" t="str">
        <f>IF(G298="","",IF(G298="[FÓRMULA MANUAL]","",IFERROR(AVERAGEIFS(DATOS!$K$2:$K$20000,DATOS!$A$2:$A$20000,G298,DATOS!$G$2:$G$20000,CONFIG_METADATA!$B$4,DATOS!$I$2:$I$20000,"Lenguaje Musical"),"")))</f>
        <v/>
      </c>
      <c r="I298" t="str">
        <f>IF(G298="","",IF(G298="[FÓRMULA MANUAL]","",IFERROR(AVERAGEIFS(DATOS!$K$2:$K$20000,DATOS!$A$2:$A$20000,G298,DATOS!$G$2:$G$20000,CONFIG_METADATA!$B$4,DATOS!$I$2:$I$20000,"Orquesta/Banda/Conjunto"),"")))</f>
        <v/>
      </c>
      <c r="J298" t="str">
        <f>IF(G298="","",IF(G298="[FÓRMULA MANUAL]","",IFERROR(AVERAGEIFS(DATOS!$K$2:$K$20000,DATOS!$A$2:$A$20000,G298,DATOS!$G$2:$G$20000,CONFIG_METADATA!$B$4,DATOS!$I$2:$I$20000,"Conjunto"),"")))</f>
        <v/>
      </c>
      <c r="K298" t="str">
        <f>IF(G298="","",IF(G298="[FÓRMULA MANUAL]","",IFERROR(SUMPRODUCT((DATOS!$A$2:$A$20000=G298)*(DATOS!$G$2:$G$20000=CONFIG_METADATA!$B$4)*(COUNTIF(CONFIG_ASIGNATURAS!$B$7:$B$27,DATOS!$I$2:$I$20000)&gt;0)*(DATOS!$K$2:$K$20000))/SUMPRODUCT((DATOS!$A$2:$A$20000=G298)*(DATOS!$G$2:$G$20000=CONFIG_METADATA!$B$4)*(COUNTIF(CONFIG_ASIGNATURAS!$B$7:$B$27,DATOS!$I$2:$I$20000)&gt;0)*1),"")))</f>
        <v/>
      </c>
      <c r="N298" t="str">
        <f>IF(M298="","",IF(M298="[FÓRMULA MANUAL]","",IFERROR(AVERAGEIFS(DATOS!$K$2:$K$20000,DATOS!$A$2:$A$20000,M298,DATOS!$G$2:$G$20000,CONFIG_METADATA!$B$4,DATOS!$I$2:$I$20000,"Armonía"),"")))</f>
        <v/>
      </c>
      <c r="O298" t="str">
        <f>IF(M298="","",IF(M298="[FÓRMULA MANUAL]","",IFERROR(AVERAGEIFS(DATOS!$K$2:$K$20000,DATOS!$A$2:$A$20000,M298,DATOS!$G$2:$G$20000,CONFIG_METADATA!$B$4,DATOS!$I$2:$I$20000,"Orquesta/Banda/Conjunto"),"")))</f>
        <v/>
      </c>
      <c r="P298" t="str">
        <f>IF(M298="","",IF(M298="[FÓRMULA MANUAL]","",IFERROR(AVERAGEIFS(DATOS!$K$2:$K$20000,DATOS!$A$2:$A$20000,M298,DATOS!$G$2:$G$20000,CONFIG_METADATA!$B$4,DATOS!$I$2:$I$20000,"Música de Cámara"),"")))</f>
        <v/>
      </c>
      <c r="Q298" t="str">
        <f>IF(M298="","",IF(M298="[FÓRMULA MANUAL]","",IFERROR(SUMPRODUCT((DATOS!$A$2:$A$20000=M298)*(DATOS!$G$2:$G$20000=CONFIG_METADATA!$B$4)*(COUNTIF(CONFIG_ASIGNATURAS!$B$7:$B$27,DATOS!$I$2:$I$20000)&gt;0)*(DATOS!$K$2:$K$20000))/SUMPRODUCT((DATOS!$A$2:$A$20000=M298)*(DATOS!$G$2:$G$20000=CONFIG_METADATA!$B$4)*(COUNTIF(CONFIG_ASIGNATURAS!$B$7:$B$27,DATOS!$I$2:$I$20000)&gt;0)*1),"")))</f>
        <v/>
      </c>
      <c r="T298" t="str">
        <f>IF(S298="","",IF(S298="[FÓRMULA MANUAL]","",IFERROR(AVERAGEIFS(DATOS!$K$2:$K$20000,DATOS!$A$2:$A$20000,S298,DATOS!$G$2:$G$20000,CONFIG_METADATA!$B$4,DATOS!$I$2:$I$20000,"Armonía"),"")))</f>
        <v/>
      </c>
      <c r="U298" t="str">
        <f>IF(S298="","",IF(S298="[FÓRMULA MANUAL]","",IFERROR(AVERAGEIFS(DATOS!$K$2:$K$20000,DATOS!$A$2:$A$20000,S298,DATOS!$G$2:$G$20000,CONFIG_METADATA!$B$4,DATOS!$I$2:$I$20000,"Orquesta/Banda/Conjunto"),"")))</f>
        <v/>
      </c>
      <c r="V298" t="str">
        <f>IF(S298="","",IF(S298="[FÓRMULA MANUAL]","",IFERROR(AVERAGEIFS(DATOS!$K$2:$K$20000,DATOS!$A$2:$A$20000,S298,DATOS!$G$2:$G$20000,CONFIG_METADATA!$B$4,DATOS!$I$2:$I$20000,"Música de Cámara"),"")))</f>
        <v/>
      </c>
      <c r="W298" t="str">
        <f>IF(S298="","",IF(S298="[FÓRMULA MANUAL]","",IFERROR(SUMPRODUCT((DATOS!$A$2:$A$20000=S298)*(DATOS!$G$2:$G$20000=CONFIG_METADATA!$B$4)*(COUNTIF(CONFIG_ASIGNATURAS!$B$7:$B$27,DATOS!$I$2:$I$20000)&gt;0)*(DATOS!$K$2:$K$20000))/SUMPRODUCT((DATOS!$A$2:$A$20000=S298)*(DATOS!$G$2:$G$20000=CONFIG_METADATA!$B$4)*(COUNTIF(CONFIG_ASIGNATURAS!$B$7:$B$27,DATOS!$I$2:$I$20000)&gt;0)*1),"")))</f>
        <v/>
      </c>
      <c r="Z298" t="str">
        <f>IF(Y298="","",IF(Y298="[FÓRMULA MANUAL]","",IFERROR(AVERAGEIFS(DATOS!$K$2:$K$20000,DATOS!$A$2:$A$20000,Y298,DATOS!$G$2:$G$20000,CONFIG_METADATA!$B$4,DATOS!$I$2:$I$20000,"Análisis"),"")))</f>
        <v/>
      </c>
      <c r="AA298" t="str">
        <f>IF(Y298="","",IF(Y298="[FÓRMULA MANUAL]","",IFERROR(AVERAGEIFS(DATOS!$K$2:$K$20000,DATOS!$A$2:$A$20000,Y298,DATOS!$G$2:$G$20000,CONFIG_METADATA!$B$4,DATOS!$I$2:$I$20000,"Orquesta/Banda/Conjunto"),"")))</f>
        <v/>
      </c>
      <c r="AB298" t="str">
        <f>IF(Y298="","",IF(Y298="[FÓRMULA MANUAL]","",IFERROR(AVERAGEIFS(DATOS!$K$2:$K$20000,DATOS!$A$2:$A$20000,Y298,DATOS!$G$2:$G$20000,CONFIG_METADATA!$B$4,DATOS!$I$2:$I$20000,"Música de Cámara"),"")))</f>
        <v/>
      </c>
      <c r="AC298" t="str">
        <f>IF(Y298="","",IF(Y298="[FÓRMULA MANUAL]","",IFERROR(SUMPRODUCT((DATOS!$A$2:$A$20000=Y298)*(DATOS!$G$2:$G$20000=CONFIG_METADATA!$B$4)*(COUNTIF(CONFIG_ASIGNATURAS!$B$7:$B$27,DATOS!$I$2:$I$20000)&gt;0)*(DATOS!$K$2:$K$20000))/SUMPRODUCT((DATOS!$A$2:$A$20000=Y298)*(DATOS!$G$2:$G$20000=CONFIG_METADATA!$B$4)*(COUNTIF(CONFIG_ASIGNATURAS!$B$7:$B$27,DATOS!$I$2:$I$20000)&gt;0)*1),"")))</f>
        <v/>
      </c>
      <c r="AF298" t="str">
        <f>IF(AE298="","",IF(AE298="[FÓRMULA MANUAL]","",IFERROR(AVERAGEIFS(DATOS!$K$2:$K$20000,DATOS!$A$2:$A$20000,AE298,DATOS!$G$2:$G$20000,CONFIG_METADATA!$B$4,DATOS!$I$2:$I$20000,"Análisis"),"")))</f>
        <v/>
      </c>
      <c r="AG298" t="str">
        <f>IF(AE298="","",IF(AE298="[FÓRMULA MANUAL]","",IFERROR(AVERAGEIFS(DATOS!$K$2:$K$20000,DATOS!$A$2:$A$20000,AE298,DATOS!$G$2:$G$20000,CONFIG_METADATA!$B$4,DATOS!$I$2:$I$20000,"Orquesta/Banda/Conjunto"),"")))</f>
        <v/>
      </c>
      <c r="AH298" t="str">
        <f>IF(AE298="","",IF(AE298="[FÓRMULA MANUAL]","",IFERROR(AVERAGEIFS(DATOS!$K$2:$K$20000,DATOS!$A$2:$A$20000,AE298,DATOS!$G$2:$G$20000,CONFIG_METADATA!$B$4,DATOS!$I$2:$I$20000,"Música de Cámara"),"")))</f>
        <v/>
      </c>
      <c r="AI298" t="str">
        <f>IF(AE298="","",IF(AE298="[FÓRMULA MANUAL]","",IFERROR(SUMPRODUCT((DATOS!$A$2:$A$20000=AE298)*(DATOS!$G$2:$G$20000=CONFIG_METADATA!$B$4)*(COUNTIF(CONFIG_ASIGNATURAS!$B$7:$B$27,DATOS!$I$2:$I$20000)&gt;0)*(DATOS!$K$2:$K$20000))/SUMPRODUCT((DATOS!$A$2:$A$20000=AE298)*(DATOS!$G$2:$G$20000=CONFIG_METADATA!$B$4)*(COUNTIF(CONFIG_ASIGNATURAS!$B$7:$B$27,DATOS!$I$2:$I$20000)&gt;0)*1),"")))</f>
        <v/>
      </c>
    </row>
    <row r="299" spans="2:35" x14ac:dyDescent="0.2">
      <c r="B299" t="str">
        <f>IF(A299="","",IF(A299="[FÓRMULA MANUAL]","",IFERROR(AVERAGEIFS(DATOS!$K$2:$K$20000,DATOS!$A$2:$A$20000,A299,DATOS!$G$2:$G$20000,CONFIG_METADATA!$B$4,DATOS!$I$2:$I$20000,"Lenguaje Musical"),"")))</f>
        <v/>
      </c>
      <c r="C299" t="str">
        <f>IF(A299="","",IF(A299="[FÓRMULA MANUAL]","",IFERROR(AVERAGEIFS(DATOS!$K$2:$K$20000,DATOS!$A$2:$A$20000,A299,DATOS!$G$2:$G$20000,CONFIG_METADATA!$B$4,DATOS!$I$2:$I$20000,"Orquesta/Banda/Conjunto"),"")))</f>
        <v/>
      </c>
      <c r="D299" t="str">
        <f>IF(A299="","",IF(A299="[FÓRMULA MANUAL]","",IFERROR(AVERAGEIFS(DATOS!$K$2:$K$20000,DATOS!$A$2:$A$20000,A299,DATOS!$G$2:$G$20000,CONFIG_METADATA!$B$4,DATOS!$I$2:$I$20000,"Conjunto"),"")))</f>
        <v/>
      </c>
      <c r="E299" t="str">
        <f>IF(A299="","",IF(A299="[FÓRMULA MANUAL]","",IFERROR(SUMPRODUCT((DATOS!$A$2:$A$20000=A299)*(DATOS!$G$2:$G$20000=CONFIG_METADATA!$B$4)*(COUNTIF(CONFIG_ASIGNATURAS!$B$7:$B$27,DATOS!$I$2:$I$20000)&gt;0)*(DATOS!$K$2:$K$20000))/SUMPRODUCT((DATOS!$A$2:$A$20000=A299)*(DATOS!$G$2:$G$20000=CONFIG_METADATA!$B$4)*(COUNTIF(CONFIG_ASIGNATURAS!$B$7:$B$27,DATOS!$I$2:$I$20000)&gt;0)*1),"")))</f>
        <v/>
      </c>
      <c r="H299" t="str">
        <f>IF(G299="","",IF(G299="[FÓRMULA MANUAL]","",IFERROR(AVERAGEIFS(DATOS!$K$2:$K$20000,DATOS!$A$2:$A$20000,G299,DATOS!$G$2:$G$20000,CONFIG_METADATA!$B$4,DATOS!$I$2:$I$20000,"Lenguaje Musical"),"")))</f>
        <v/>
      </c>
      <c r="I299" t="str">
        <f>IF(G299="","",IF(G299="[FÓRMULA MANUAL]","",IFERROR(AVERAGEIFS(DATOS!$K$2:$K$20000,DATOS!$A$2:$A$20000,G299,DATOS!$G$2:$G$20000,CONFIG_METADATA!$B$4,DATOS!$I$2:$I$20000,"Orquesta/Banda/Conjunto"),"")))</f>
        <v/>
      </c>
      <c r="J299" t="str">
        <f>IF(G299="","",IF(G299="[FÓRMULA MANUAL]","",IFERROR(AVERAGEIFS(DATOS!$K$2:$K$20000,DATOS!$A$2:$A$20000,G299,DATOS!$G$2:$G$20000,CONFIG_METADATA!$B$4,DATOS!$I$2:$I$20000,"Conjunto"),"")))</f>
        <v/>
      </c>
      <c r="K299" t="str">
        <f>IF(G299="","",IF(G299="[FÓRMULA MANUAL]","",IFERROR(SUMPRODUCT((DATOS!$A$2:$A$20000=G299)*(DATOS!$G$2:$G$20000=CONFIG_METADATA!$B$4)*(COUNTIF(CONFIG_ASIGNATURAS!$B$7:$B$27,DATOS!$I$2:$I$20000)&gt;0)*(DATOS!$K$2:$K$20000))/SUMPRODUCT((DATOS!$A$2:$A$20000=G299)*(DATOS!$G$2:$G$20000=CONFIG_METADATA!$B$4)*(COUNTIF(CONFIG_ASIGNATURAS!$B$7:$B$27,DATOS!$I$2:$I$20000)&gt;0)*1),"")))</f>
        <v/>
      </c>
      <c r="N299" t="str">
        <f>IF(M299="","",IF(M299="[FÓRMULA MANUAL]","",IFERROR(AVERAGEIFS(DATOS!$K$2:$K$20000,DATOS!$A$2:$A$20000,M299,DATOS!$G$2:$G$20000,CONFIG_METADATA!$B$4,DATOS!$I$2:$I$20000,"Armonía"),"")))</f>
        <v/>
      </c>
      <c r="O299" t="str">
        <f>IF(M299="","",IF(M299="[FÓRMULA MANUAL]","",IFERROR(AVERAGEIFS(DATOS!$K$2:$K$20000,DATOS!$A$2:$A$20000,M299,DATOS!$G$2:$G$20000,CONFIG_METADATA!$B$4,DATOS!$I$2:$I$20000,"Orquesta/Banda/Conjunto"),"")))</f>
        <v/>
      </c>
      <c r="P299" t="str">
        <f>IF(M299="","",IF(M299="[FÓRMULA MANUAL]","",IFERROR(AVERAGEIFS(DATOS!$K$2:$K$20000,DATOS!$A$2:$A$20000,M299,DATOS!$G$2:$G$20000,CONFIG_METADATA!$B$4,DATOS!$I$2:$I$20000,"Música de Cámara"),"")))</f>
        <v/>
      </c>
      <c r="Q299" t="str">
        <f>IF(M299="","",IF(M299="[FÓRMULA MANUAL]","",IFERROR(SUMPRODUCT((DATOS!$A$2:$A$20000=M299)*(DATOS!$G$2:$G$20000=CONFIG_METADATA!$B$4)*(COUNTIF(CONFIG_ASIGNATURAS!$B$7:$B$27,DATOS!$I$2:$I$20000)&gt;0)*(DATOS!$K$2:$K$20000))/SUMPRODUCT((DATOS!$A$2:$A$20000=M299)*(DATOS!$G$2:$G$20000=CONFIG_METADATA!$B$4)*(COUNTIF(CONFIG_ASIGNATURAS!$B$7:$B$27,DATOS!$I$2:$I$20000)&gt;0)*1),"")))</f>
        <v/>
      </c>
      <c r="T299" t="str">
        <f>IF(S299="","",IF(S299="[FÓRMULA MANUAL]","",IFERROR(AVERAGEIFS(DATOS!$K$2:$K$20000,DATOS!$A$2:$A$20000,S299,DATOS!$G$2:$G$20000,CONFIG_METADATA!$B$4,DATOS!$I$2:$I$20000,"Armonía"),"")))</f>
        <v/>
      </c>
      <c r="U299" t="str">
        <f>IF(S299="","",IF(S299="[FÓRMULA MANUAL]","",IFERROR(AVERAGEIFS(DATOS!$K$2:$K$20000,DATOS!$A$2:$A$20000,S299,DATOS!$G$2:$G$20000,CONFIG_METADATA!$B$4,DATOS!$I$2:$I$20000,"Orquesta/Banda/Conjunto"),"")))</f>
        <v/>
      </c>
      <c r="V299" t="str">
        <f>IF(S299="","",IF(S299="[FÓRMULA MANUAL]","",IFERROR(AVERAGEIFS(DATOS!$K$2:$K$20000,DATOS!$A$2:$A$20000,S299,DATOS!$G$2:$G$20000,CONFIG_METADATA!$B$4,DATOS!$I$2:$I$20000,"Música de Cámara"),"")))</f>
        <v/>
      </c>
      <c r="W299" t="str">
        <f>IF(S299="","",IF(S299="[FÓRMULA MANUAL]","",IFERROR(SUMPRODUCT((DATOS!$A$2:$A$20000=S299)*(DATOS!$G$2:$G$20000=CONFIG_METADATA!$B$4)*(COUNTIF(CONFIG_ASIGNATURAS!$B$7:$B$27,DATOS!$I$2:$I$20000)&gt;0)*(DATOS!$K$2:$K$20000))/SUMPRODUCT((DATOS!$A$2:$A$20000=S299)*(DATOS!$G$2:$G$20000=CONFIG_METADATA!$B$4)*(COUNTIF(CONFIG_ASIGNATURAS!$B$7:$B$27,DATOS!$I$2:$I$20000)&gt;0)*1),"")))</f>
        <v/>
      </c>
      <c r="Z299" t="str">
        <f>IF(Y299="","",IF(Y299="[FÓRMULA MANUAL]","",IFERROR(AVERAGEIFS(DATOS!$K$2:$K$20000,DATOS!$A$2:$A$20000,Y299,DATOS!$G$2:$G$20000,CONFIG_METADATA!$B$4,DATOS!$I$2:$I$20000,"Análisis"),"")))</f>
        <v/>
      </c>
      <c r="AA299" t="str">
        <f>IF(Y299="","",IF(Y299="[FÓRMULA MANUAL]","",IFERROR(AVERAGEIFS(DATOS!$K$2:$K$20000,DATOS!$A$2:$A$20000,Y299,DATOS!$G$2:$G$20000,CONFIG_METADATA!$B$4,DATOS!$I$2:$I$20000,"Orquesta/Banda/Conjunto"),"")))</f>
        <v/>
      </c>
      <c r="AB299" t="str">
        <f>IF(Y299="","",IF(Y299="[FÓRMULA MANUAL]","",IFERROR(AVERAGEIFS(DATOS!$K$2:$K$20000,DATOS!$A$2:$A$20000,Y299,DATOS!$G$2:$G$20000,CONFIG_METADATA!$B$4,DATOS!$I$2:$I$20000,"Música de Cámara"),"")))</f>
        <v/>
      </c>
      <c r="AC299" t="str">
        <f>IF(Y299="","",IF(Y299="[FÓRMULA MANUAL]","",IFERROR(SUMPRODUCT((DATOS!$A$2:$A$20000=Y299)*(DATOS!$G$2:$G$20000=CONFIG_METADATA!$B$4)*(COUNTIF(CONFIG_ASIGNATURAS!$B$7:$B$27,DATOS!$I$2:$I$20000)&gt;0)*(DATOS!$K$2:$K$20000))/SUMPRODUCT((DATOS!$A$2:$A$20000=Y299)*(DATOS!$G$2:$G$20000=CONFIG_METADATA!$B$4)*(COUNTIF(CONFIG_ASIGNATURAS!$B$7:$B$27,DATOS!$I$2:$I$20000)&gt;0)*1),"")))</f>
        <v/>
      </c>
      <c r="AF299" t="str">
        <f>IF(AE299="","",IF(AE299="[FÓRMULA MANUAL]","",IFERROR(AVERAGEIFS(DATOS!$K$2:$K$20000,DATOS!$A$2:$A$20000,AE299,DATOS!$G$2:$G$20000,CONFIG_METADATA!$B$4,DATOS!$I$2:$I$20000,"Análisis"),"")))</f>
        <v/>
      </c>
      <c r="AG299" t="str">
        <f>IF(AE299="","",IF(AE299="[FÓRMULA MANUAL]","",IFERROR(AVERAGEIFS(DATOS!$K$2:$K$20000,DATOS!$A$2:$A$20000,AE299,DATOS!$G$2:$G$20000,CONFIG_METADATA!$B$4,DATOS!$I$2:$I$20000,"Orquesta/Banda/Conjunto"),"")))</f>
        <v/>
      </c>
      <c r="AH299" t="str">
        <f>IF(AE299="","",IF(AE299="[FÓRMULA MANUAL]","",IFERROR(AVERAGEIFS(DATOS!$K$2:$K$20000,DATOS!$A$2:$A$20000,AE299,DATOS!$G$2:$G$20000,CONFIG_METADATA!$B$4,DATOS!$I$2:$I$20000,"Música de Cámara"),"")))</f>
        <v/>
      </c>
      <c r="AI299" t="str">
        <f>IF(AE299="","",IF(AE299="[FÓRMULA MANUAL]","",IFERROR(SUMPRODUCT((DATOS!$A$2:$A$20000=AE299)*(DATOS!$G$2:$G$20000=CONFIG_METADATA!$B$4)*(COUNTIF(CONFIG_ASIGNATURAS!$B$7:$B$27,DATOS!$I$2:$I$20000)&gt;0)*(DATOS!$K$2:$K$20000))/SUMPRODUCT((DATOS!$A$2:$A$20000=AE299)*(DATOS!$G$2:$G$20000=CONFIG_METADATA!$B$4)*(COUNTIF(CONFIG_ASIGNATURAS!$B$7:$B$27,DATOS!$I$2:$I$20000)&gt;0)*1),"")))</f>
        <v/>
      </c>
    </row>
    <row r="300" spans="2:35" x14ac:dyDescent="0.2">
      <c r="B300" t="str">
        <f>IF(A300="","",IF(A300="[FÓRMULA MANUAL]","",IFERROR(AVERAGEIFS(DATOS!$K$2:$K$20000,DATOS!$A$2:$A$20000,A300,DATOS!$G$2:$G$20000,CONFIG_METADATA!$B$4,DATOS!$I$2:$I$20000,"Lenguaje Musical"),"")))</f>
        <v/>
      </c>
      <c r="C300" t="str">
        <f>IF(A300="","",IF(A300="[FÓRMULA MANUAL]","",IFERROR(AVERAGEIFS(DATOS!$K$2:$K$20000,DATOS!$A$2:$A$20000,A300,DATOS!$G$2:$G$20000,CONFIG_METADATA!$B$4,DATOS!$I$2:$I$20000,"Orquesta/Banda/Conjunto"),"")))</f>
        <v/>
      </c>
      <c r="D300" t="str">
        <f>IF(A300="","",IF(A300="[FÓRMULA MANUAL]","",IFERROR(AVERAGEIFS(DATOS!$K$2:$K$20000,DATOS!$A$2:$A$20000,A300,DATOS!$G$2:$G$20000,CONFIG_METADATA!$B$4,DATOS!$I$2:$I$20000,"Conjunto"),"")))</f>
        <v/>
      </c>
      <c r="E300" t="str">
        <f>IF(A300="","",IF(A300="[FÓRMULA MANUAL]","",IFERROR(SUMPRODUCT((DATOS!$A$2:$A$20000=A300)*(DATOS!$G$2:$G$20000=CONFIG_METADATA!$B$4)*(COUNTIF(CONFIG_ASIGNATURAS!$B$7:$B$27,DATOS!$I$2:$I$20000)&gt;0)*(DATOS!$K$2:$K$20000))/SUMPRODUCT((DATOS!$A$2:$A$20000=A300)*(DATOS!$G$2:$G$20000=CONFIG_METADATA!$B$4)*(COUNTIF(CONFIG_ASIGNATURAS!$B$7:$B$27,DATOS!$I$2:$I$20000)&gt;0)*1),"")))</f>
        <v/>
      </c>
      <c r="H300" t="str">
        <f>IF(G300="","",IF(G300="[FÓRMULA MANUAL]","",IFERROR(AVERAGEIFS(DATOS!$K$2:$K$20000,DATOS!$A$2:$A$20000,G300,DATOS!$G$2:$G$20000,CONFIG_METADATA!$B$4,DATOS!$I$2:$I$20000,"Lenguaje Musical"),"")))</f>
        <v/>
      </c>
      <c r="I300" t="str">
        <f>IF(G300="","",IF(G300="[FÓRMULA MANUAL]","",IFERROR(AVERAGEIFS(DATOS!$K$2:$K$20000,DATOS!$A$2:$A$20000,G300,DATOS!$G$2:$G$20000,CONFIG_METADATA!$B$4,DATOS!$I$2:$I$20000,"Orquesta/Banda/Conjunto"),"")))</f>
        <v/>
      </c>
      <c r="J300" t="str">
        <f>IF(G300="","",IF(G300="[FÓRMULA MANUAL]","",IFERROR(AVERAGEIFS(DATOS!$K$2:$K$20000,DATOS!$A$2:$A$20000,G300,DATOS!$G$2:$G$20000,CONFIG_METADATA!$B$4,DATOS!$I$2:$I$20000,"Conjunto"),"")))</f>
        <v/>
      </c>
      <c r="K300" t="str">
        <f>IF(G300="","",IF(G300="[FÓRMULA MANUAL]","",IFERROR(SUMPRODUCT((DATOS!$A$2:$A$20000=G300)*(DATOS!$G$2:$G$20000=CONFIG_METADATA!$B$4)*(COUNTIF(CONFIG_ASIGNATURAS!$B$7:$B$27,DATOS!$I$2:$I$20000)&gt;0)*(DATOS!$K$2:$K$20000))/SUMPRODUCT((DATOS!$A$2:$A$20000=G300)*(DATOS!$G$2:$G$20000=CONFIG_METADATA!$B$4)*(COUNTIF(CONFIG_ASIGNATURAS!$B$7:$B$27,DATOS!$I$2:$I$20000)&gt;0)*1),"")))</f>
        <v/>
      </c>
      <c r="N300" t="str">
        <f>IF(M300="","",IF(M300="[FÓRMULA MANUAL]","",IFERROR(AVERAGEIFS(DATOS!$K$2:$K$20000,DATOS!$A$2:$A$20000,M300,DATOS!$G$2:$G$20000,CONFIG_METADATA!$B$4,DATOS!$I$2:$I$20000,"Armonía"),"")))</f>
        <v/>
      </c>
      <c r="O300" t="str">
        <f>IF(M300="","",IF(M300="[FÓRMULA MANUAL]","",IFERROR(AVERAGEIFS(DATOS!$K$2:$K$20000,DATOS!$A$2:$A$20000,M300,DATOS!$G$2:$G$20000,CONFIG_METADATA!$B$4,DATOS!$I$2:$I$20000,"Orquesta/Banda/Conjunto"),"")))</f>
        <v/>
      </c>
      <c r="P300" t="str">
        <f>IF(M300="","",IF(M300="[FÓRMULA MANUAL]","",IFERROR(AVERAGEIFS(DATOS!$K$2:$K$20000,DATOS!$A$2:$A$20000,M300,DATOS!$G$2:$G$20000,CONFIG_METADATA!$B$4,DATOS!$I$2:$I$20000,"Música de Cámara"),"")))</f>
        <v/>
      </c>
      <c r="Q300" t="str">
        <f>IF(M300="","",IF(M300="[FÓRMULA MANUAL]","",IFERROR(SUMPRODUCT((DATOS!$A$2:$A$20000=M300)*(DATOS!$G$2:$G$20000=CONFIG_METADATA!$B$4)*(COUNTIF(CONFIG_ASIGNATURAS!$B$7:$B$27,DATOS!$I$2:$I$20000)&gt;0)*(DATOS!$K$2:$K$20000))/SUMPRODUCT((DATOS!$A$2:$A$20000=M300)*(DATOS!$G$2:$G$20000=CONFIG_METADATA!$B$4)*(COUNTIF(CONFIG_ASIGNATURAS!$B$7:$B$27,DATOS!$I$2:$I$20000)&gt;0)*1),"")))</f>
        <v/>
      </c>
      <c r="T300" t="str">
        <f>IF(S300="","",IF(S300="[FÓRMULA MANUAL]","",IFERROR(AVERAGEIFS(DATOS!$K$2:$K$20000,DATOS!$A$2:$A$20000,S300,DATOS!$G$2:$G$20000,CONFIG_METADATA!$B$4,DATOS!$I$2:$I$20000,"Armonía"),"")))</f>
        <v/>
      </c>
      <c r="U300" t="str">
        <f>IF(S300="","",IF(S300="[FÓRMULA MANUAL]","",IFERROR(AVERAGEIFS(DATOS!$K$2:$K$20000,DATOS!$A$2:$A$20000,S300,DATOS!$G$2:$G$20000,CONFIG_METADATA!$B$4,DATOS!$I$2:$I$20000,"Orquesta/Banda/Conjunto"),"")))</f>
        <v/>
      </c>
      <c r="V300" t="str">
        <f>IF(S300="","",IF(S300="[FÓRMULA MANUAL]","",IFERROR(AVERAGEIFS(DATOS!$K$2:$K$20000,DATOS!$A$2:$A$20000,S300,DATOS!$G$2:$G$20000,CONFIG_METADATA!$B$4,DATOS!$I$2:$I$20000,"Música de Cámara"),"")))</f>
        <v/>
      </c>
      <c r="W300" t="str">
        <f>IF(S300="","",IF(S300="[FÓRMULA MANUAL]","",IFERROR(SUMPRODUCT((DATOS!$A$2:$A$20000=S300)*(DATOS!$G$2:$G$20000=CONFIG_METADATA!$B$4)*(COUNTIF(CONFIG_ASIGNATURAS!$B$7:$B$27,DATOS!$I$2:$I$20000)&gt;0)*(DATOS!$K$2:$K$20000))/SUMPRODUCT((DATOS!$A$2:$A$20000=S300)*(DATOS!$G$2:$G$20000=CONFIG_METADATA!$B$4)*(COUNTIF(CONFIG_ASIGNATURAS!$B$7:$B$27,DATOS!$I$2:$I$20000)&gt;0)*1),"")))</f>
        <v/>
      </c>
      <c r="Z300" t="str">
        <f>IF(Y300="","",IF(Y300="[FÓRMULA MANUAL]","",IFERROR(AVERAGEIFS(DATOS!$K$2:$K$20000,DATOS!$A$2:$A$20000,Y300,DATOS!$G$2:$G$20000,CONFIG_METADATA!$B$4,DATOS!$I$2:$I$20000,"Análisis"),"")))</f>
        <v/>
      </c>
      <c r="AA300" t="str">
        <f>IF(Y300="","",IF(Y300="[FÓRMULA MANUAL]","",IFERROR(AVERAGEIFS(DATOS!$K$2:$K$20000,DATOS!$A$2:$A$20000,Y300,DATOS!$G$2:$G$20000,CONFIG_METADATA!$B$4,DATOS!$I$2:$I$20000,"Orquesta/Banda/Conjunto"),"")))</f>
        <v/>
      </c>
      <c r="AB300" t="str">
        <f>IF(Y300="","",IF(Y300="[FÓRMULA MANUAL]","",IFERROR(AVERAGEIFS(DATOS!$K$2:$K$20000,DATOS!$A$2:$A$20000,Y300,DATOS!$G$2:$G$20000,CONFIG_METADATA!$B$4,DATOS!$I$2:$I$20000,"Música de Cámara"),"")))</f>
        <v/>
      </c>
      <c r="AC300" t="str">
        <f>IF(Y300="","",IF(Y300="[FÓRMULA MANUAL]","",IFERROR(SUMPRODUCT((DATOS!$A$2:$A$20000=Y300)*(DATOS!$G$2:$G$20000=CONFIG_METADATA!$B$4)*(COUNTIF(CONFIG_ASIGNATURAS!$B$7:$B$27,DATOS!$I$2:$I$20000)&gt;0)*(DATOS!$K$2:$K$20000))/SUMPRODUCT((DATOS!$A$2:$A$20000=Y300)*(DATOS!$G$2:$G$20000=CONFIG_METADATA!$B$4)*(COUNTIF(CONFIG_ASIGNATURAS!$B$7:$B$27,DATOS!$I$2:$I$20000)&gt;0)*1),"")))</f>
        <v/>
      </c>
      <c r="AF300" t="str">
        <f>IF(AE300="","",IF(AE300="[FÓRMULA MANUAL]","",IFERROR(AVERAGEIFS(DATOS!$K$2:$K$20000,DATOS!$A$2:$A$20000,AE300,DATOS!$G$2:$G$20000,CONFIG_METADATA!$B$4,DATOS!$I$2:$I$20000,"Análisis"),"")))</f>
        <v/>
      </c>
      <c r="AG300" t="str">
        <f>IF(AE300="","",IF(AE300="[FÓRMULA MANUAL]","",IFERROR(AVERAGEIFS(DATOS!$K$2:$K$20000,DATOS!$A$2:$A$20000,AE300,DATOS!$G$2:$G$20000,CONFIG_METADATA!$B$4,DATOS!$I$2:$I$20000,"Orquesta/Banda/Conjunto"),"")))</f>
        <v/>
      </c>
      <c r="AH300" t="str">
        <f>IF(AE300="","",IF(AE300="[FÓRMULA MANUAL]","",IFERROR(AVERAGEIFS(DATOS!$K$2:$K$20000,DATOS!$A$2:$A$20000,AE300,DATOS!$G$2:$G$20000,CONFIG_METADATA!$B$4,DATOS!$I$2:$I$20000,"Música de Cámara"),"")))</f>
        <v/>
      </c>
      <c r="AI300" t="str">
        <f>IF(AE300="","",IF(AE300="[FÓRMULA MANUAL]","",IFERROR(SUMPRODUCT((DATOS!$A$2:$A$20000=AE300)*(DATOS!$G$2:$G$20000=CONFIG_METADATA!$B$4)*(COUNTIF(CONFIG_ASIGNATURAS!$B$7:$B$27,DATOS!$I$2:$I$20000)&gt;0)*(DATOS!$K$2:$K$20000))/SUMPRODUCT((DATOS!$A$2:$A$20000=AE300)*(DATOS!$G$2:$G$20000=CONFIG_METADATA!$B$4)*(COUNTIF(CONFIG_ASIGNATURAS!$B$7:$B$27,DATOS!$I$2:$I$20000)&gt;0)*1),"")))</f>
        <v/>
      </c>
    </row>
    <row r="301" spans="2:35" x14ac:dyDescent="0.2">
      <c r="B301" t="str">
        <f>IF(A301="","",IF(A301="[FÓRMULA MANUAL]","",IFERROR(AVERAGEIFS(DATOS!$K$2:$K$20000,DATOS!$A$2:$A$20000,A301,DATOS!$G$2:$G$20000,CONFIG_METADATA!$B$4,DATOS!$I$2:$I$20000,"Lenguaje Musical"),"")))</f>
        <v/>
      </c>
      <c r="C301" t="str">
        <f>IF(A301="","",IF(A301="[FÓRMULA MANUAL]","",IFERROR(AVERAGEIFS(DATOS!$K$2:$K$20000,DATOS!$A$2:$A$20000,A301,DATOS!$G$2:$G$20000,CONFIG_METADATA!$B$4,DATOS!$I$2:$I$20000,"Orquesta/Banda/Conjunto"),"")))</f>
        <v/>
      </c>
      <c r="D301" t="str">
        <f>IF(A301="","",IF(A301="[FÓRMULA MANUAL]","",IFERROR(AVERAGEIFS(DATOS!$K$2:$K$20000,DATOS!$A$2:$A$20000,A301,DATOS!$G$2:$G$20000,CONFIG_METADATA!$B$4,DATOS!$I$2:$I$20000,"Conjunto"),"")))</f>
        <v/>
      </c>
      <c r="E301" t="str">
        <f>IF(A301="","",IF(A301="[FÓRMULA MANUAL]","",IFERROR(SUMPRODUCT((DATOS!$A$2:$A$20000=A301)*(DATOS!$G$2:$G$20000=CONFIG_METADATA!$B$4)*(COUNTIF(CONFIG_ASIGNATURAS!$B$7:$B$27,DATOS!$I$2:$I$20000)&gt;0)*(DATOS!$K$2:$K$20000))/SUMPRODUCT((DATOS!$A$2:$A$20000=A301)*(DATOS!$G$2:$G$20000=CONFIG_METADATA!$B$4)*(COUNTIF(CONFIG_ASIGNATURAS!$B$7:$B$27,DATOS!$I$2:$I$20000)&gt;0)*1),"")))</f>
        <v/>
      </c>
      <c r="H301" t="str">
        <f>IF(G301="","",IF(G301="[FÓRMULA MANUAL]","",IFERROR(AVERAGEIFS(DATOS!$K$2:$K$20000,DATOS!$A$2:$A$20000,G301,DATOS!$G$2:$G$20000,CONFIG_METADATA!$B$4,DATOS!$I$2:$I$20000,"Lenguaje Musical"),"")))</f>
        <v/>
      </c>
      <c r="I301" t="str">
        <f>IF(G301="","",IF(G301="[FÓRMULA MANUAL]","",IFERROR(AVERAGEIFS(DATOS!$K$2:$K$20000,DATOS!$A$2:$A$20000,G301,DATOS!$G$2:$G$20000,CONFIG_METADATA!$B$4,DATOS!$I$2:$I$20000,"Orquesta/Banda/Conjunto"),"")))</f>
        <v/>
      </c>
      <c r="J301" t="str">
        <f>IF(G301="","",IF(G301="[FÓRMULA MANUAL]","",IFERROR(AVERAGEIFS(DATOS!$K$2:$K$20000,DATOS!$A$2:$A$20000,G301,DATOS!$G$2:$G$20000,CONFIG_METADATA!$B$4,DATOS!$I$2:$I$20000,"Conjunto"),"")))</f>
        <v/>
      </c>
      <c r="K301" t="str">
        <f>IF(G301="","",IF(G301="[FÓRMULA MANUAL]","",IFERROR(SUMPRODUCT((DATOS!$A$2:$A$20000=G301)*(DATOS!$G$2:$G$20000=CONFIG_METADATA!$B$4)*(COUNTIF(CONFIG_ASIGNATURAS!$B$7:$B$27,DATOS!$I$2:$I$20000)&gt;0)*(DATOS!$K$2:$K$20000))/SUMPRODUCT((DATOS!$A$2:$A$20000=G301)*(DATOS!$G$2:$G$20000=CONFIG_METADATA!$B$4)*(COUNTIF(CONFIG_ASIGNATURAS!$B$7:$B$27,DATOS!$I$2:$I$20000)&gt;0)*1),"")))</f>
        <v/>
      </c>
      <c r="N301" t="str">
        <f>IF(M301="","",IF(M301="[FÓRMULA MANUAL]","",IFERROR(AVERAGEIFS(DATOS!$K$2:$K$20000,DATOS!$A$2:$A$20000,M301,DATOS!$G$2:$G$20000,CONFIG_METADATA!$B$4,DATOS!$I$2:$I$20000,"Armonía"),"")))</f>
        <v/>
      </c>
      <c r="O301" t="str">
        <f>IF(M301="","",IF(M301="[FÓRMULA MANUAL]","",IFERROR(AVERAGEIFS(DATOS!$K$2:$K$20000,DATOS!$A$2:$A$20000,M301,DATOS!$G$2:$G$20000,CONFIG_METADATA!$B$4,DATOS!$I$2:$I$20000,"Orquesta/Banda/Conjunto"),"")))</f>
        <v/>
      </c>
      <c r="P301" t="str">
        <f>IF(M301="","",IF(M301="[FÓRMULA MANUAL]","",IFERROR(AVERAGEIFS(DATOS!$K$2:$K$20000,DATOS!$A$2:$A$20000,M301,DATOS!$G$2:$G$20000,CONFIG_METADATA!$B$4,DATOS!$I$2:$I$20000,"Música de Cámara"),"")))</f>
        <v/>
      </c>
      <c r="Q301" t="str">
        <f>IF(M301="","",IF(M301="[FÓRMULA MANUAL]","",IFERROR(SUMPRODUCT((DATOS!$A$2:$A$20000=M301)*(DATOS!$G$2:$G$20000=CONFIG_METADATA!$B$4)*(COUNTIF(CONFIG_ASIGNATURAS!$B$7:$B$27,DATOS!$I$2:$I$20000)&gt;0)*(DATOS!$K$2:$K$20000))/SUMPRODUCT((DATOS!$A$2:$A$20000=M301)*(DATOS!$G$2:$G$20000=CONFIG_METADATA!$B$4)*(COUNTIF(CONFIG_ASIGNATURAS!$B$7:$B$27,DATOS!$I$2:$I$20000)&gt;0)*1),"")))</f>
        <v/>
      </c>
      <c r="T301" t="str">
        <f>IF(S301="","",IF(S301="[FÓRMULA MANUAL]","",IFERROR(AVERAGEIFS(DATOS!$K$2:$K$20000,DATOS!$A$2:$A$20000,S301,DATOS!$G$2:$G$20000,CONFIG_METADATA!$B$4,DATOS!$I$2:$I$20000,"Armonía"),"")))</f>
        <v/>
      </c>
      <c r="U301" t="str">
        <f>IF(S301="","",IF(S301="[FÓRMULA MANUAL]","",IFERROR(AVERAGEIFS(DATOS!$K$2:$K$20000,DATOS!$A$2:$A$20000,S301,DATOS!$G$2:$G$20000,CONFIG_METADATA!$B$4,DATOS!$I$2:$I$20000,"Orquesta/Banda/Conjunto"),"")))</f>
        <v/>
      </c>
      <c r="V301" t="str">
        <f>IF(S301="","",IF(S301="[FÓRMULA MANUAL]","",IFERROR(AVERAGEIFS(DATOS!$K$2:$K$20000,DATOS!$A$2:$A$20000,S301,DATOS!$G$2:$G$20000,CONFIG_METADATA!$B$4,DATOS!$I$2:$I$20000,"Música de Cámara"),"")))</f>
        <v/>
      </c>
      <c r="W301" t="str">
        <f>IF(S301="","",IF(S301="[FÓRMULA MANUAL]","",IFERROR(SUMPRODUCT((DATOS!$A$2:$A$20000=S301)*(DATOS!$G$2:$G$20000=CONFIG_METADATA!$B$4)*(COUNTIF(CONFIG_ASIGNATURAS!$B$7:$B$27,DATOS!$I$2:$I$20000)&gt;0)*(DATOS!$K$2:$K$20000))/SUMPRODUCT((DATOS!$A$2:$A$20000=S301)*(DATOS!$G$2:$G$20000=CONFIG_METADATA!$B$4)*(COUNTIF(CONFIG_ASIGNATURAS!$B$7:$B$27,DATOS!$I$2:$I$20000)&gt;0)*1),"")))</f>
        <v/>
      </c>
      <c r="Z301" t="str">
        <f>IF(Y301="","",IF(Y301="[FÓRMULA MANUAL]","",IFERROR(AVERAGEIFS(DATOS!$K$2:$K$20000,DATOS!$A$2:$A$20000,Y301,DATOS!$G$2:$G$20000,CONFIG_METADATA!$B$4,DATOS!$I$2:$I$20000,"Análisis"),"")))</f>
        <v/>
      </c>
      <c r="AA301" t="str">
        <f>IF(Y301="","",IF(Y301="[FÓRMULA MANUAL]","",IFERROR(AVERAGEIFS(DATOS!$K$2:$K$20000,DATOS!$A$2:$A$20000,Y301,DATOS!$G$2:$G$20000,CONFIG_METADATA!$B$4,DATOS!$I$2:$I$20000,"Orquesta/Banda/Conjunto"),"")))</f>
        <v/>
      </c>
      <c r="AB301" t="str">
        <f>IF(Y301="","",IF(Y301="[FÓRMULA MANUAL]","",IFERROR(AVERAGEIFS(DATOS!$K$2:$K$20000,DATOS!$A$2:$A$20000,Y301,DATOS!$G$2:$G$20000,CONFIG_METADATA!$B$4,DATOS!$I$2:$I$20000,"Música de Cámara"),"")))</f>
        <v/>
      </c>
      <c r="AC301" t="str">
        <f>IF(Y301="","",IF(Y301="[FÓRMULA MANUAL]","",IFERROR(SUMPRODUCT((DATOS!$A$2:$A$20000=Y301)*(DATOS!$G$2:$G$20000=CONFIG_METADATA!$B$4)*(COUNTIF(CONFIG_ASIGNATURAS!$B$7:$B$27,DATOS!$I$2:$I$20000)&gt;0)*(DATOS!$K$2:$K$20000))/SUMPRODUCT((DATOS!$A$2:$A$20000=Y301)*(DATOS!$G$2:$G$20000=CONFIG_METADATA!$B$4)*(COUNTIF(CONFIG_ASIGNATURAS!$B$7:$B$27,DATOS!$I$2:$I$20000)&gt;0)*1),"")))</f>
        <v/>
      </c>
      <c r="AF301" t="str">
        <f>IF(AE301="","",IF(AE301="[FÓRMULA MANUAL]","",IFERROR(AVERAGEIFS(DATOS!$K$2:$K$20000,DATOS!$A$2:$A$20000,AE301,DATOS!$G$2:$G$20000,CONFIG_METADATA!$B$4,DATOS!$I$2:$I$20000,"Análisis"),"")))</f>
        <v/>
      </c>
      <c r="AG301" t="str">
        <f>IF(AE301="","",IF(AE301="[FÓRMULA MANUAL]","",IFERROR(AVERAGEIFS(DATOS!$K$2:$K$20000,DATOS!$A$2:$A$20000,AE301,DATOS!$G$2:$G$20000,CONFIG_METADATA!$B$4,DATOS!$I$2:$I$20000,"Orquesta/Banda/Conjunto"),"")))</f>
        <v/>
      </c>
      <c r="AH301" t="str">
        <f>IF(AE301="","",IF(AE301="[FÓRMULA MANUAL]","",IFERROR(AVERAGEIFS(DATOS!$K$2:$K$20000,DATOS!$A$2:$A$20000,AE301,DATOS!$G$2:$G$20000,CONFIG_METADATA!$B$4,DATOS!$I$2:$I$20000,"Música de Cámara"),"")))</f>
        <v/>
      </c>
      <c r="AI301" t="str">
        <f>IF(AE301="","",IF(AE301="[FÓRMULA MANUAL]","",IFERROR(SUMPRODUCT((DATOS!$A$2:$A$20000=AE301)*(DATOS!$G$2:$G$20000=CONFIG_METADATA!$B$4)*(COUNTIF(CONFIG_ASIGNATURAS!$B$7:$B$27,DATOS!$I$2:$I$20000)&gt;0)*(DATOS!$K$2:$K$20000))/SUMPRODUCT((DATOS!$A$2:$A$20000=AE301)*(DATOS!$G$2:$G$20000=CONFIG_METADATA!$B$4)*(COUNTIF(CONFIG_ASIGNATURAS!$B$7:$B$27,DATOS!$I$2:$I$20000)&gt;0)*1),"")))</f>
        <v/>
      </c>
    </row>
    <row r="302" spans="2:35" x14ac:dyDescent="0.2">
      <c r="B302" t="str">
        <f>IF(A302="","",IF(A302="[FÓRMULA MANUAL]","",IFERROR(AVERAGEIFS(DATOS!$K$2:$K$20000,DATOS!$A$2:$A$20000,A302,DATOS!$G$2:$G$20000,CONFIG_METADATA!$B$4,DATOS!$I$2:$I$20000,"Lenguaje Musical"),"")))</f>
        <v/>
      </c>
      <c r="C302" t="str">
        <f>IF(A302="","",IF(A302="[FÓRMULA MANUAL]","",IFERROR(AVERAGEIFS(DATOS!$K$2:$K$20000,DATOS!$A$2:$A$20000,A302,DATOS!$G$2:$G$20000,CONFIG_METADATA!$B$4,DATOS!$I$2:$I$20000,"Orquesta/Banda/Conjunto"),"")))</f>
        <v/>
      </c>
      <c r="D302" t="str">
        <f>IF(A302="","",IF(A302="[FÓRMULA MANUAL]","",IFERROR(AVERAGEIFS(DATOS!$K$2:$K$20000,DATOS!$A$2:$A$20000,A302,DATOS!$G$2:$G$20000,CONFIG_METADATA!$B$4,DATOS!$I$2:$I$20000,"Conjunto"),"")))</f>
        <v/>
      </c>
      <c r="E302" t="str">
        <f>IF(A302="","",IF(A302="[FÓRMULA MANUAL]","",IFERROR(SUMPRODUCT((DATOS!$A$2:$A$20000=A302)*(DATOS!$G$2:$G$20000=CONFIG_METADATA!$B$4)*(COUNTIF(CONFIG_ASIGNATURAS!$B$7:$B$27,DATOS!$I$2:$I$20000)&gt;0)*(DATOS!$K$2:$K$20000))/SUMPRODUCT((DATOS!$A$2:$A$20000=A302)*(DATOS!$G$2:$G$20000=CONFIG_METADATA!$B$4)*(COUNTIF(CONFIG_ASIGNATURAS!$B$7:$B$27,DATOS!$I$2:$I$20000)&gt;0)*1),"")))</f>
        <v/>
      </c>
      <c r="H302" t="str">
        <f>IF(G302="","",IF(G302="[FÓRMULA MANUAL]","",IFERROR(AVERAGEIFS(DATOS!$K$2:$K$20000,DATOS!$A$2:$A$20000,G302,DATOS!$G$2:$G$20000,CONFIG_METADATA!$B$4,DATOS!$I$2:$I$20000,"Lenguaje Musical"),"")))</f>
        <v/>
      </c>
      <c r="I302" t="str">
        <f>IF(G302="","",IF(G302="[FÓRMULA MANUAL]","",IFERROR(AVERAGEIFS(DATOS!$K$2:$K$20000,DATOS!$A$2:$A$20000,G302,DATOS!$G$2:$G$20000,CONFIG_METADATA!$B$4,DATOS!$I$2:$I$20000,"Orquesta/Banda/Conjunto"),"")))</f>
        <v/>
      </c>
      <c r="J302" t="str">
        <f>IF(G302="","",IF(G302="[FÓRMULA MANUAL]","",IFERROR(AVERAGEIFS(DATOS!$K$2:$K$20000,DATOS!$A$2:$A$20000,G302,DATOS!$G$2:$G$20000,CONFIG_METADATA!$B$4,DATOS!$I$2:$I$20000,"Conjunto"),"")))</f>
        <v/>
      </c>
      <c r="K302" t="str">
        <f>IF(G302="","",IF(G302="[FÓRMULA MANUAL]","",IFERROR(SUMPRODUCT((DATOS!$A$2:$A$20000=G302)*(DATOS!$G$2:$G$20000=CONFIG_METADATA!$B$4)*(COUNTIF(CONFIG_ASIGNATURAS!$B$7:$B$27,DATOS!$I$2:$I$20000)&gt;0)*(DATOS!$K$2:$K$20000))/SUMPRODUCT((DATOS!$A$2:$A$20000=G302)*(DATOS!$G$2:$G$20000=CONFIG_METADATA!$B$4)*(COUNTIF(CONFIG_ASIGNATURAS!$B$7:$B$27,DATOS!$I$2:$I$20000)&gt;0)*1),"")))</f>
        <v/>
      </c>
      <c r="N302" t="str">
        <f>IF(M302="","",IF(M302="[FÓRMULA MANUAL]","",IFERROR(AVERAGEIFS(DATOS!$K$2:$K$20000,DATOS!$A$2:$A$20000,M302,DATOS!$G$2:$G$20000,CONFIG_METADATA!$B$4,DATOS!$I$2:$I$20000,"Armonía"),"")))</f>
        <v/>
      </c>
      <c r="O302" t="str">
        <f>IF(M302="","",IF(M302="[FÓRMULA MANUAL]","",IFERROR(AVERAGEIFS(DATOS!$K$2:$K$20000,DATOS!$A$2:$A$20000,M302,DATOS!$G$2:$G$20000,CONFIG_METADATA!$B$4,DATOS!$I$2:$I$20000,"Orquesta/Banda/Conjunto"),"")))</f>
        <v/>
      </c>
      <c r="P302" t="str">
        <f>IF(M302="","",IF(M302="[FÓRMULA MANUAL]","",IFERROR(AVERAGEIFS(DATOS!$K$2:$K$20000,DATOS!$A$2:$A$20000,M302,DATOS!$G$2:$G$20000,CONFIG_METADATA!$B$4,DATOS!$I$2:$I$20000,"Música de Cámara"),"")))</f>
        <v/>
      </c>
      <c r="Q302" t="str">
        <f>IF(M302="","",IF(M302="[FÓRMULA MANUAL]","",IFERROR(SUMPRODUCT((DATOS!$A$2:$A$20000=M302)*(DATOS!$G$2:$G$20000=CONFIG_METADATA!$B$4)*(COUNTIF(CONFIG_ASIGNATURAS!$B$7:$B$27,DATOS!$I$2:$I$20000)&gt;0)*(DATOS!$K$2:$K$20000))/SUMPRODUCT((DATOS!$A$2:$A$20000=M302)*(DATOS!$G$2:$G$20000=CONFIG_METADATA!$B$4)*(COUNTIF(CONFIG_ASIGNATURAS!$B$7:$B$27,DATOS!$I$2:$I$20000)&gt;0)*1),"")))</f>
        <v/>
      </c>
      <c r="T302" t="str">
        <f>IF(S302="","",IF(S302="[FÓRMULA MANUAL]","",IFERROR(AVERAGEIFS(DATOS!$K$2:$K$20000,DATOS!$A$2:$A$20000,S302,DATOS!$G$2:$G$20000,CONFIG_METADATA!$B$4,DATOS!$I$2:$I$20000,"Armonía"),"")))</f>
        <v/>
      </c>
      <c r="U302" t="str">
        <f>IF(S302="","",IF(S302="[FÓRMULA MANUAL]","",IFERROR(AVERAGEIFS(DATOS!$K$2:$K$20000,DATOS!$A$2:$A$20000,S302,DATOS!$G$2:$G$20000,CONFIG_METADATA!$B$4,DATOS!$I$2:$I$20000,"Orquesta/Banda/Conjunto"),"")))</f>
        <v/>
      </c>
      <c r="V302" t="str">
        <f>IF(S302="","",IF(S302="[FÓRMULA MANUAL]","",IFERROR(AVERAGEIFS(DATOS!$K$2:$K$20000,DATOS!$A$2:$A$20000,S302,DATOS!$G$2:$G$20000,CONFIG_METADATA!$B$4,DATOS!$I$2:$I$20000,"Música de Cámara"),"")))</f>
        <v/>
      </c>
      <c r="W302" t="str">
        <f>IF(S302="","",IF(S302="[FÓRMULA MANUAL]","",IFERROR(SUMPRODUCT((DATOS!$A$2:$A$20000=S302)*(DATOS!$G$2:$G$20000=CONFIG_METADATA!$B$4)*(COUNTIF(CONFIG_ASIGNATURAS!$B$7:$B$27,DATOS!$I$2:$I$20000)&gt;0)*(DATOS!$K$2:$K$20000))/SUMPRODUCT((DATOS!$A$2:$A$20000=S302)*(DATOS!$G$2:$G$20000=CONFIG_METADATA!$B$4)*(COUNTIF(CONFIG_ASIGNATURAS!$B$7:$B$27,DATOS!$I$2:$I$20000)&gt;0)*1),"")))</f>
        <v/>
      </c>
      <c r="Z302" t="str">
        <f>IF(Y302="","",IF(Y302="[FÓRMULA MANUAL]","",IFERROR(AVERAGEIFS(DATOS!$K$2:$K$20000,DATOS!$A$2:$A$20000,Y302,DATOS!$G$2:$G$20000,CONFIG_METADATA!$B$4,DATOS!$I$2:$I$20000,"Análisis"),"")))</f>
        <v/>
      </c>
      <c r="AA302" t="str">
        <f>IF(Y302="","",IF(Y302="[FÓRMULA MANUAL]","",IFERROR(AVERAGEIFS(DATOS!$K$2:$K$20000,DATOS!$A$2:$A$20000,Y302,DATOS!$G$2:$G$20000,CONFIG_METADATA!$B$4,DATOS!$I$2:$I$20000,"Orquesta/Banda/Conjunto"),"")))</f>
        <v/>
      </c>
      <c r="AB302" t="str">
        <f>IF(Y302="","",IF(Y302="[FÓRMULA MANUAL]","",IFERROR(AVERAGEIFS(DATOS!$K$2:$K$20000,DATOS!$A$2:$A$20000,Y302,DATOS!$G$2:$G$20000,CONFIG_METADATA!$B$4,DATOS!$I$2:$I$20000,"Música de Cámara"),"")))</f>
        <v/>
      </c>
      <c r="AC302" t="str">
        <f>IF(Y302="","",IF(Y302="[FÓRMULA MANUAL]","",IFERROR(SUMPRODUCT((DATOS!$A$2:$A$20000=Y302)*(DATOS!$G$2:$G$20000=CONFIG_METADATA!$B$4)*(COUNTIF(CONFIG_ASIGNATURAS!$B$7:$B$27,DATOS!$I$2:$I$20000)&gt;0)*(DATOS!$K$2:$K$20000))/SUMPRODUCT((DATOS!$A$2:$A$20000=Y302)*(DATOS!$G$2:$G$20000=CONFIG_METADATA!$B$4)*(COUNTIF(CONFIG_ASIGNATURAS!$B$7:$B$27,DATOS!$I$2:$I$20000)&gt;0)*1),"")))</f>
        <v/>
      </c>
      <c r="AF302" t="str">
        <f>IF(AE302="","",IF(AE302="[FÓRMULA MANUAL]","",IFERROR(AVERAGEIFS(DATOS!$K$2:$K$20000,DATOS!$A$2:$A$20000,AE302,DATOS!$G$2:$G$20000,CONFIG_METADATA!$B$4,DATOS!$I$2:$I$20000,"Análisis"),"")))</f>
        <v/>
      </c>
      <c r="AG302" t="str">
        <f>IF(AE302="","",IF(AE302="[FÓRMULA MANUAL]","",IFERROR(AVERAGEIFS(DATOS!$K$2:$K$20000,DATOS!$A$2:$A$20000,AE302,DATOS!$G$2:$G$20000,CONFIG_METADATA!$B$4,DATOS!$I$2:$I$20000,"Orquesta/Banda/Conjunto"),"")))</f>
        <v/>
      </c>
      <c r="AH302" t="str">
        <f>IF(AE302="","",IF(AE302="[FÓRMULA MANUAL]","",IFERROR(AVERAGEIFS(DATOS!$K$2:$K$20000,DATOS!$A$2:$A$20000,AE302,DATOS!$G$2:$G$20000,CONFIG_METADATA!$B$4,DATOS!$I$2:$I$20000,"Música de Cámara"),"")))</f>
        <v/>
      </c>
      <c r="AI302" t="str">
        <f>IF(AE302="","",IF(AE302="[FÓRMULA MANUAL]","",IFERROR(SUMPRODUCT((DATOS!$A$2:$A$20000=AE302)*(DATOS!$G$2:$G$20000=CONFIG_METADATA!$B$4)*(COUNTIF(CONFIG_ASIGNATURAS!$B$7:$B$27,DATOS!$I$2:$I$20000)&gt;0)*(DATOS!$K$2:$K$20000))/SUMPRODUCT((DATOS!$A$2:$A$20000=AE302)*(DATOS!$G$2:$G$20000=CONFIG_METADATA!$B$4)*(COUNTIF(CONFIG_ASIGNATURAS!$B$7:$B$27,DATOS!$I$2:$I$20000)&gt;0)*1),"")))</f>
        <v/>
      </c>
    </row>
    <row r="303" spans="2:35" x14ac:dyDescent="0.2">
      <c r="B303" t="str">
        <f>IF(A303="","",IF(A303="[FÓRMULA MANUAL]","",IFERROR(AVERAGEIFS(DATOS!$K$2:$K$20000,DATOS!$A$2:$A$20000,A303,DATOS!$G$2:$G$20000,CONFIG_METADATA!$B$4,DATOS!$I$2:$I$20000,"Lenguaje Musical"),"")))</f>
        <v/>
      </c>
      <c r="C303" t="str">
        <f>IF(A303="","",IF(A303="[FÓRMULA MANUAL]","",IFERROR(AVERAGEIFS(DATOS!$K$2:$K$20000,DATOS!$A$2:$A$20000,A303,DATOS!$G$2:$G$20000,CONFIG_METADATA!$B$4,DATOS!$I$2:$I$20000,"Orquesta/Banda/Conjunto"),"")))</f>
        <v/>
      </c>
      <c r="D303" t="str">
        <f>IF(A303="","",IF(A303="[FÓRMULA MANUAL]","",IFERROR(AVERAGEIFS(DATOS!$K$2:$K$20000,DATOS!$A$2:$A$20000,A303,DATOS!$G$2:$G$20000,CONFIG_METADATA!$B$4,DATOS!$I$2:$I$20000,"Conjunto"),"")))</f>
        <v/>
      </c>
      <c r="E303" t="str">
        <f>IF(A303="","",IF(A303="[FÓRMULA MANUAL]","",IFERROR(SUMPRODUCT((DATOS!$A$2:$A$20000=A303)*(DATOS!$G$2:$G$20000=CONFIG_METADATA!$B$4)*(COUNTIF(CONFIG_ASIGNATURAS!$B$7:$B$27,DATOS!$I$2:$I$20000)&gt;0)*(DATOS!$K$2:$K$20000))/SUMPRODUCT((DATOS!$A$2:$A$20000=A303)*(DATOS!$G$2:$G$20000=CONFIG_METADATA!$B$4)*(COUNTIF(CONFIG_ASIGNATURAS!$B$7:$B$27,DATOS!$I$2:$I$20000)&gt;0)*1),"")))</f>
        <v/>
      </c>
      <c r="H303" t="str">
        <f>IF(G303="","",IF(G303="[FÓRMULA MANUAL]","",IFERROR(AVERAGEIFS(DATOS!$K$2:$K$20000,DATOS!$A$2:$A$20000,G303,DATOS!$G$2:$G$20000,CONFIG_METADATA!$B$4,DATOS!$I$2:$I$20000,"Lenguaje Musical"),"")))</f>
        <v/>
      </c>
      <c r="I303" t="str">
        <f>IF(G303="","",IF(G303="[FÓRMULA MANUAL]","",IFERROR(AVERAGEIFS(DATOS!$K$2:$K$20000,DATOS!$A$2:$A$20000,G303,DATOS!$G$2:$G$20000,CONFIG_METADATA!$B$4,DATOS!$I$2:$I$20000,"Orquesta/Banda/Conjunto"),"")))</f>
        <v/>
      </c>
      <c r="J303" t="str">
        <f>IF(G303="","",IF(G303="[FÓRMULA MANUAL]","",IFERROR(AVERAGEIFS(DATOS!$K$2:$K$20000,DATOS!$A$2:$A$20000,G303,DATOS!$G$2:$G$20000,CONFIG_METADATA!$B$4,DATOS!$I$2:$I$20000,"Conjunto"),"")))</f>
        <v/>
      </c>
      <c r="K303" t="str">
        <f>IF(G303="","",IF(G303="[FÓRMULA MANUAL]","",IFERROR(SUMPRODUCT((DATOS!$A$2:$A$20000=G303)*(DATOS!$G$2:$G$20000=CONFIG_METADATA!$B$4)*(COUNTIF(CONFIG_ASIGNATURAS!$B$7:$B$27,DATOS!$I$2:$I$20000)&gt;0)*(DATOS!$K$2:$K$20000))/SUMPRODUCT((DATOS!$A$2:$A$20000=G303)*(DATOS!$G$2:$G$20000=CONFIG_METADATA!$B$4)*(COUNTIF(CONFIG_ASIGNATURAS!$B$7:$B$27,DATOS!$I$2:$I$20000)&gt;0)*1),"")))</f>
        <v/>
      </c>
      <c r="N303" t="str">
        <f>IF(M303="","",IF(M303="[FÓRMULA MANUAL]","",IFERROR(AVERAGEIFS(DATOS!$K$2:$K$20000,DATOS!$A$2:$A$20000,M303,DATOS!$G$2:$G$20000,CONFIG_METADATA!$B$4,DATOS!$I$2:$I$20000,"Armonía"),"")))</f>
        <v/>
      </c>
      <c r="O303" t="str">
        <f>IF(M303="","",IF(M303="[FÓRMULA MANUAL]","",IFERROR(AVERAGEIFS(DATOS!$K$2:$K$20000,DATOS!$A$2:$A$20000,M303,DATOS!$G$2:$G$20000,CONFIG_METADATA!$B$4,DATOS!$I$2:$I$20000,"Orquesta/Banda/Conjunto"),"")))</f>
        <v/>
      </c>
      <c r="P303" t="str">
        <f>IF(M303="","",IF(M303="[FÓRMULA MANUAL]","",IFERROR(AVERAGEIFS(DATOS!$K$2:$K$20000,DATOS!$A$2:$A$20000,M303,DATOS!$G$2:$G$20000,CONFIG_METADATA!$B$4,DATOS!$I$2:$I$20000,"Música de Cámara"),"")))</f>
        <v/>
      </c>
      <c r="Q303" t="str">
        <f>IF(M303="","",IF(M303="[FÓRMULA MANUAL]","",IFERROR(SUMPRODUCT((DATOS!$A$2:$A$20000=M303)*(DATOS!$G$2:$G$20000=CONFIG_METADATA!$B$4)*(COUNTIF(CONFIG_ASIGNATURAS!$B$7:$B$27,DATOS!$I$2:$I$20000)&gt;0)*(DATOS!$K$2:$K$20000))/SUMPRODUCT((DATOS!$A$2:$A$20000=M303)*(DATOS!$G$2:$G$20000=CONFIG_METADATA!$B$4)*(COUNTIF(CONFIG_ASIGNATURAS!$B$7:$B$27,DATOS!$I$2:$I$20000)&gt;0)*1),"")))</f>
        <v/>
      </c>
      <c r="T303" t="str">
        <f>IF(S303="","",IF(S303="[FÓRMULA MANUAL]","",IFERROR(AVERAGEIFS(DATOS!$K$2:$K$20000,DATOS!$A$2:$A$20000,S303,DATOS!$G$2:$G$20000,CONFIG_METADATA!$B$4,DATOS!$I$2:$I$20000,"Armonía"),"")))</f>
        <v/>
      </c>
      <c r="U303" t="str">
        <f>IF(S303="","",IF(S303="[FÓRMULA MANUAL]","",IFERROR(AVERAGEIFS(DATOS!$K$2:$K$20000,DATOS!$A$2:$A$20000,S303,DATOS!$G$2:$G$20000,CONFIG_METADATA!$B$4,DATOS!$I$2:$I$20000,"Orquesta/Banda/Conjunto"),"")))</f>
        <v/>
      </c>
      <c r="V303" t="str">
        <f>IF(S303="","",IF(S303="[FÓRMULA MANUAL]","",IFERROR(AVERAGEIFS(DATOS!$K$2:$K$20000,DATOS!$A$2:$A$20000,S303,DATOS!$G$2:$G$20000,CONFIG_METADATA!$B$4,DATOS!$I$2:$I$20000,"Música de Cámara"),"")))</f>
        <v/>
      </c>
      <c r="W303" t="str">
        <f>IF(S303="","",IF(S303="[FÓRMULA MANUAL]","",IFERROR(SUMPRODUCT((DATOS!$A$2:$A$20000=S303)*(DATOS!$G$2:$G$20000=CONFIG_METADATA!$B$4)*(COUNTIF(CONFIG_ASIGNATURAS!$B$7:$B$27,DATOS!$I$2:$I$20000)&gt;0)*(DATOS!$K$2:$K$20000))/SUMPRODUCT((DATOS!$A$2:$A$20000=S303)*(DATOS!$G$2:$G$20000=CONFIG_METADATA!$B$4)*(COUNTIF(CONFIG_ASIGNATURAS!$B$7:$B$27,DATOS!$I$2:$I$20000)&gt;0)*1),"")))</f>
        <v/>
      </c>
      <c r="Z303" t="str">
        <f>IF(Y303="","",IF(Y303="[FÓRMULA MANUAL]","",IFERROR(AVERAGEIFS(DATOS!$K$2:$K$20000,DATOS!$A$2:$A$20000,Y303,DATOS!$G$2:$G$20000,CONFIG_METADATA!$B$4,DATOS!$I$2:$I$20000,"Análisis"),"")))</f>
        <v/>
      </c>
      <c r="AA303" t="str">
        <f>IF(Y303="","",IF(Y303="[FÓRMULA MANUAL]","",IFERROR(AVERAGEIFS(DATOS!$K$2:$K$20000,DATOS!$A$2:$A$20000,Y303,DATOS!$G$2:$G$20000,CONFIG_METADATA!$B$4,DATOS!$I$2:$I$20000,"Orquesta/Banda/Conjunto"),"")))</f>
        <v/>
      </c>
      <c r="AB303" t="str">
        <f>IF(Y303="","",IF(Y303="[FÓRMULA MANUAL]","",IFERROR(AVERAGEIFS(DATOS!$K$2:$K$20000,DATOS!$A$2:$A$20000,Y303,DATOS!$G$2:$G$20000,CONFIG_METADATA!$B$4,DATOS!$I$2:$I$20000,"Música de Cámara"),"")))</f>
        <v/>
      </c>
      <c r="AC303" t="str">
        <f>IF(Y303="","",IF(Y303="[FÓRMULA MANUAL]","",IFERROR(SUMPRODUCT((DATOS!$A$2:$A$20000=Y303)*(DATOS!$G$2:$G$20000=CONFIG_METADATA!$B$4)*(COUNTIF(CONFIG_ASIGNATURAS!$B$7:$B$27,DATOS!$I$2:$I$20000)&gt;0)*(DATOS!$K$2:$K$20000))/SUMPRODUCT((DATOS!$A$2:$A$20000=Y303)*(DATOS!$G$2:$G$20000=CONFIG_METADATA!$B$4)*(COUNTIF(CONFIG_ASIGNATURAS!$B$7:$B$27,DATOS!$I$2:$I$20000)&gt;0)*1),"")))</f>
        <v/>
      </c>
      <c r="AF303" t="str">
        <f>IF(AE303="","",IF(AE303="[FÓRMULA MANUAL]","",IFERROR(AVERAGEIFS(DATOS!$K$2:$K$20000,DATOS!$A$2:$A$20000,AE303,DATOS!$G$2:$G$20000,CONFIG_METADATA!$B$4,DATOS!$I$2:$I$20000,"Análisis"),"")))</f>
        <v/>
      </c>
      <c r="AG303" t="str">
        <f>IF(AE303="","",IF(AE303="[FÓRMULA MANUAL]","",IFERROR(AVERAGEIFS(DATOS!$K$2:$K$20000,DATOS!$A$2:$A$20000,AE303,DATOS!$G$2:$G$20000,CONFIG_METADATA!$B$4,DATOS!$I$2:$I$20000,"Orquesta/Banda/Conjunto"),"")))</f>
        <v/>
      </c>
      <c r="AH303" t="str">
        <f>IF(AE303="","",IF(AE303="[FÓRMULA MANUAL]","",IFERROR(AVERAGEIFS(DATOS!$K$2:$K$20000,DATOS!$A$2:$A$20000,AE303,DATOS!$G$2:$G$20000,CONFIG_METADATA!$B$4,DATOS!$I$2:$I$20000,"Música de Cámara"),"")))</f>
        <v/>
      </c>
      <c r="AI303" t="str">
        <f>IF(AE303="","",IF(AE303="[FÓRMULA MANUAL]","",IFERROR(SUMPRODUCT((DATOS!$A$2:$A$20000=AE303)*(DATOS!$G$2:$G$20000=CONFIG_METADATA!$B$4)*(COUNTIF(CONFIG_ASIGNATURAS!$B$7:$B$27,DATOS!$I$2:$I$20000)&gt;0)*(DATOS!$K$2:$K$20000))/SUMPRODUCT((DATOS!$A$2:$A$20000=AE303)*(DATOS!$G$2:$G$20000=CONFIG_METADATA!$B$4)*(COUNTIF(CONFIG_ASIGNATURAS!$B$7:$B$27,DATOS!$I$2:$I$20000)&gt;0)*1),"")))</f>
        <v/>
      </c>
    </row>
    <row r="304" spans="2:35" x14ac:dyDescent="0.2">
      <c r="B304" t="str">
        <f>IF(A304="","",IF(A304="[FÓRMULA MANUAL]","",IFERROR(AVERAGEIFS(DATOS!$K$2:$K$20000,DATOS!$A$2:$A$20000,A304,DATOS!$G$2:$G$20000,CONFIG_METADATA!$B$4,DATOS!$I$2:$I$20000,"Lenguaje Musical"),"")))</f>
        <v/>
      </c>
      <c r="C304" t="str">
        <f>IF(A304="","",IF(A304="[FÓRMULA MANUAL]","",IFERROR(AVERAGEIFS(DATOS!$K$2:$K$20000,DATOS!$A$2:$A$20000,A304,DATOS!$G$2:$G$20000,CONFIG_METADATA!$B$4,DATOS!$I$2:$I$20000,"Orquesta/Banda/Conjunto"),"")))</f>
        <v/>
      </c>
      <c r="D304" t="str">
        <f>IF(A304="","",IF(A304="[FÓRMULA MANUAL]","",IFERROR(AVERAGEIFS(DATOS!$K$2:$K$20000,DATOS!$A$2:$A$20000,A304,DATOS!$G$2:$G$20000,CONFIG_METADATA!$B$4,DATOS!$I$2:$I$20000,"Conjunto"),"")))</f>
        <v/>
      </c>
      <c r="E304" t="str">
        <f>IF(A304="","",IF(A304="[FÓRMULA MANUAL]","",IFERROR(SUMPRODUCT((DATOS!$A$2:$A$20000=A304)*(DATOS!$G$2:$G$20000=CONFIG_METADATA!$B$4)*(COUNTIF(CONFIG_ASIGNATURAS!$B$7:$B$27,DATOS!$I$2:$I$20000)&gt;0)*(DATOS!$K$2:$K$20000))/SUMPRODUCT((DATOS!$A$2:$A$20000=A304)*(DATOS!$G$2:$G$20000=CONFIG_METADATA!$B$4)*(COUNTIF(CONFIG_ASIGNATURAS!$B$7:$B$27,DATOS!$I$2:$I$20000)&gt;0)*1),"")))</f>
        <v/>
      </c>
      <c r="H304" t="str">
        <f>IF(G304="","",IF(G304="[FÓRMULA MANUAL]","",IFERROR(AVERAGEIFS(DATOS!$K$2:$K$20000,DATOS!$A$2:$A$20000,G304,DATOS!$G$2:$G$20000,CONFIG_METADATA!$B$4,DATOS!$I$2:$I$20000,"Lenguaje Musical"),"")))</f>
        <v/>
      </c>
      <c r="I304" t="str">
        <f>IF(G304="","",IF(G304="[FÓRMULA MANUAL]","",IFERROR(AVERAGEIFS(DATOS!$K$2:$K$20000,DATOS!$A$2:$A$20000,G304,DATOS!$G$2:$G$20000,CONFIG_METADATA!$B$4,DATOS!$I$2:$I$20000,"Orquesta/Banda/Conjunto"),"")))</f>
        <v/>
      </c>
      <c r="J304" t="str">
        <f>IF(G304="","",IF(G304="[FÓRMULA MANUAL]","",IFERROR(AVERAGEIFS(DATOS!$K$2:$K$20000,DATOS!$A$2:$A$20000,G304,DATOS!$G$2:$G$20000,CONFIG_METADATA!$B$4,DATOS!$I$2:$I$20000,"Conjunto"),"")))</f>
        <v/>
      </c>
      <c r="K304" t="str">
        <f>IF(G304="","",IF(G304="[FÓRMULA MANUAL]","",IFERROR(SUMPRODUCT((DATOS!$A$2:$A$20000=G304)*(DATOS!$G$2:$G$20000=CONFIG_METADATA!$B$4)*(COUNTIF(CONFIG_ASIGNATURAS!$B$7:$B$27,DATOS!$I$2:$I$20000)&gt;0)*(DATOS!$K$2:$K$20000))/SUMPRODUCT((DATOS!$A$2:$A$20000=G304)*(DATOS!$G$2:$G$20000=CONFIG_METADATA!$B$4)*(COUNTIF(CONFIG_ASIGNATURAS!$B$7:$B$27,DATOS!$I$2:$I$20000)&gt;0)*1),"")))</f>
        <v/>
      </c>
      <c r="N304" t="str">
        <f>IF(M304="","",IF(M304="[FÓRMULA MANUAL]","",IFERROR(AVERAGEIFS(DATOS!$K$2:$K$20000,DATOS!$A$2:$A$20000,M304,DATOS!$G$2:$G$20000,CONFIG_METADATA!$B$4,DATOS!$I$2:$I$20000,"Armonía"),"")))</f>
        <v/>
      </c>
      <c r="O304" t="str">
        <f>IF(M304="","",IF(M304="[FÓRMULA MANUAL]","",IFERROR(AVERAGEIFS(DATOS!$K$2:$K$20000,DATOS!$A$2:$A$20000,M304,DATOS!$G$2:$G$20000,CONFIG_METADATA!$B$4,DATOS!$I$2:$I$20000,"Orquesta/Banda/Conjunto"),"")))</f>
        <v/>
      </c>
      <c r="P304" t="str">
        <f>IF(M304="","",IF(M304="[FÓRMULA MANUAL]","",IFERROR(AVERAGEIFS(DATOS!$K$2:$K$20000,DATOS!$A$2:$A$20000,M304,DATOS!$G$2:$G$20000,CONFIG_METADATA!$B$4,DATOS!$I$2:$I$20000,"Música de Cámara"),"")))</f>
        <v/>
      </c>
      <c r="Q304" t="str">
        <f>IF(M304="","",IF(M304="[FÓRMULA MANUAL]","",IFERROR(SUMPRODUCT((DATOS!$A$2:$A$20000=M304)*(DATOS!$G$2:$G$20000=CONFIG_METADATA!$B$4)*(COUNTIF(CONFIG_ASIGNATURAS!$B$7:$B$27,DATOS!$I$2:$I$20000)&gt;0)*(DATOS!$K$2:$K$20000))/SUMPRODUCT((DATOS!$A$2:$A$20000=M304)*(DATOS!$G$2:$G$20000=CONFIG_METADATA!$B$4)*(COUNTIF(CONFIG_ASIGNATURAS!$B$7:$B$27,DATOS!$I$2:$I$20000)&gt;0)*1),"")))</f>
        <v/>
      </c>
      <c r="T304" t="str">
        <f>IF(S304="","",IF(S304="[FÓRMULA MANUAL]","",IFERROR(AVERAGEIFS(DATOS!$K$2:$K$20000,DATOS!$A$2:$A$20000,S304,DATOS!$G$2:$G$20000,CONFIG_METADATA!$B$4,DATOS!$I$2:$I$20000,"Armonía"),"")))</f>
        <v/>
      </c>
      <c r="U304" t="str">
        <f>IF(S304="","",IF(S304="[FÓRMULA MANUAL]","",IFERROR(AVERAGEIFS(DATOS!$K$2:$K$20000,DATOS!$A$2:$A$20000,S304,DATOS!$G$2:$G$20000,CONFIG_METADATA!$B$4,DATOS!$I$2:$I$20000,"Orquesta/Banda/Conjunto"),"")))</f>
        <v/>
      </c>
      <c r="V304" t="str">
        <f>IF(S304="","",IF(S304="[FÓRMULA MANUAL]","",IFERROR(AVERAGEIFS(DATOS!$K$2:$K$20000,DATOS!$A$2:$A$20000,S304,DATOS!$G$2:$G$20000,CONFIG_METADATA!$B$4,DATOS!$I$2:$I$20000,"Música de Cámara"),"")))</f>
        <v/>
      </c>
      <c r="W304" t="str">
        <f>IF(S304="","",IF(S304="[FÓRMULA MANUAL]","",IFERROR(SUMPRODUCT((DATOS!$A$2:$A$20000=S304)*(DATOS!$G$2:$G$20000=CONFIG_METADATA!$B$4)*(COUNTIF(CONFIG_ASIGNATURAS!$B$7:$B$27,DATOS!$I$2:$I$20000)&gt;0)*(DATOS!$K$2:$K$20000))/SUMPRODUCT((DATOS!$A$2:$A$20000=S304)*(DATOS!$G$2:$G$20000=CONFIG_METADATA!$B$4)*(COUNTIF(CONFIG_ASIGNATURAS!$B$7:$B$27,DATOS!$I$2:$I$20000)&gt;0)*1),"")))</f>
        <v/>
      </c>
      <c r="Z304" t="str">
        <f>IF(Y304="","",IF(Y304="[FÓRMULA MANUAL]","",IFERROR(AVERAGEIFS(DATOS!$K$2:$K$20000,DATOS!$A$2:$A$20000,Y304,DATOS!$G$2:$G$20000,CONFIG_METADATA!$B$4,DATOS!$I$2:$I$20000,"Análisis"),"")))</f>
        <v/>
      </c>
      <c r="AA304" t="str">
        <f>IF(Y304="","",IF(Y304="[FÓRMULA MANUAL]","",IFERROR(AVERAGEIFS(DATOS!$K$2:$K$20000,DATOS!$A$2:$A$20000,Y304,DATOS!$G$2:$G$20000,CONFIG_METADATA!$B$4,DATOS!$I$2:$I$20000,"Orquesta/Banda/Conjunto"),"")))</f>
        <v/>
      </c>
      <c r="AB304" t="str">
        <f>IF(Y304="","",IF(Y304="[FÓRMULA MANUAL]","",IFERROR(AVERAGEIFS(DATOS!$K$2:$K$20000,DATOS!$A$2:$A$20000,Y304,DATOS!$G$2:$G$20000,CONFIG_METADATA!$B$4,DATOS!$I$2:$I$20000,"Música de Cámara"),"")))</f>
        <v/>
      </c>
      <c r="AC304" t="str">
        <f>IF(Y304="","",IF(Y304="[FÓRMULA MANUAL]","",IFERROR(SUMPRODUCT((DATOS!$A$2:$A$20000=Y304)*(DATOS!$G$2:$G$20000=CONFIG_METADATA!$B$4)*(COUNTIF(CONFIG_ASIGNATURAS!$B$7:$B$27,DATOS!$I$2:$I$20000)&gt;0)*(DATOS!$K$2:$K$20000))/SUMPRODUCT((DATOS!$A$2:$A$20000=Y304)*(DATOS!$G$2:$G$20000=CONFIG_METADATA!$B$4)*(COUNTIF(CONFIG_ASIGNATURAS!$B$7:$B$27,DATOS!$I$2:$I$20000)&gt;0)*1),"")))</f>
        <v/>
      </c>
      <c r="AF304" t="str">
        <f>IF(AE304="","",IF(AE304="[FÓRMULA MANUAL]","",IFERROR(AVERAGEIFS(DATOS!$K$2:$K$20000,DATOS!$A$2:$A$20000,AE304,DATOS!$G$2:$G$20000,CONFIG_METADATA!$B$4,DATOS!$I$2:$I$20000,"Análisis"),"")))</f>
        <v/>
      </c>
      <c r="AG304" t="str">
        <f>IF(AE304="","",IF(AE304="[FÓRMULA MANUAL]","",IFERROR(AVERAGEIFS(DATOS!$K$2:$K$20000,DATOS!$A$2:$A$20000,AE304,DATOS!$G$2:$G$20000,CONFIG_METADATA!$B$4,DATOS!$I$2:$I$20000,"Orquesta/Banda/Conjunto"),"")))</f>
        <v/>
      </c>
      <c r="AH304" t="str">
        <f>IF(AE304="","",IF(AE304="[FÓRMULA MANUAL]","",IFERROR(AVERAGEIFS(DATOS!$K$2:$K$20000,DATOS!$A$2:$A$20000,AE304,DATOS!$G$2:$G$20000,CONFIG_METADATA!$B$4,DATOS!$I$2:$I$20000,"Música de Cámara"),"")))</f>
        <v/>
      </c>
      <c r="AI304" t="str">
        <f>IF(AE304="","",IF(AE304="[FÓRMULA MANUAL]","",IFERROR(SUMPRODUCT((DATOS!$A$2:$A$20000=AE304)*(DATOS!$G$2:$G$20000=CONFIG_METADATA!$B$4)*(COUNTIF(CONFIG_ASIGNATURAS!$B$7:$B$27,DATOS!$I$2:$I$20000)&gt;0)*(DATOS!$K$2:$K$20000))/SUMPRODUCT((DATOS!$A$2:$A$20000=AE304)*(DATOS!$G$2:$G$20000=CONFIG_METADATA!$B$4)*(COUNTIF(CONFIG_ASIGNATURAS!$B$7:$B$27,DATOS!$I$2:$I$20000)&gt;0)*1),"")))</f>
        <v/>
      </c>
    </row>
    <row r="305" spans="2:35" x14ac:dyDescent="0.2">
      <c r="B305" t="str">
        <f>IF(A305="","",IF(A305="[FÓRMULA MANUAL]","",IFERROR(AVERAGEIFS(DATOS!$K$2:$K$20000,DATOS!$A$2:$A$20000,A305,DATOS!$G$2:$G$20000,CONFIG_METADATA!$B$4,DATOS!$I$2:$I$20000,"Lenguaje Musical"),"")))</f>
        <v/>
      </c>
      <c r="C305" t="str">
        <f>IF(A305="","",IF(A305="[FÓRMULA MANUAL]","",IFERROR(AVERAGEIFS(DATOS!$K$2:$K$20000,DATOS!$A$2:$A$20000,A305,DATOS!$G$2:$G$20000,CONFIG_METADATA!$B$4,DATOS!$I$2:$I$20000,"Orquesta/Banda/Conjunto"),"")))</f>
        <v/>
      </c>
      <c r="D305" t="str">
        <f>IF(A305="","",IF(A305="[FÓRMULA MANUAL]","",IFERROR(AVERAGEIFS(DATOS!$K$2:$K$20000,DATOS!$A$2:$A$20000,A305,DATOS!$G$2:$G$20000,CONFIG_METADATA!$B$4,DATOS!$I$2:$I$20000,"Conjunto"),"")))</f>
        <v/>
      </c>
      <c r="E305" t="str">
        <f>IF(A305="","",IF(A305="[FÓRMULA MANUAL]","",IFERROR(SUMPRODUCT((DATOS!$A$2:$A$20000=A305)*(DATOS!$G$2:$G$20000=CONFIG_METADATA!$B$4)*(COUNTIF(CONFIG_ASIGNATURAS!$B$7:$B$27,DATOS!$I$2:$I$20000)&gt;0)*(DATOS!$K$2:$K$20000))/SUMPRODUCT((DATOS!$A$2:$A$20000=A305)*(DATOS!$G$2:$G$20000=CONFIG_METADATA!$B$4)*(COUNTIF(CONFIG_ASIGNATURAS!$B$7:$B$27,DATOS!$I$2:$I$20000)&gt;0)*1),"")))</f>
        <v/>
      </c>
      <c r="H305" t="str">
        <f>IF(G305="","",IF(G305="[FÓRMULA MANUAL]","",IFERROR(AVERAGEIFS(DATOS!$K$2:$K$20000,DATOS!$A$2:$A$20000,G305,DATOS!$G$2:$G$20000,CONFIG_METADATA!$B$4,DATOS!$I$2:$I$20000,"Lenguaje Musical"),"")))</f>
        <v/>
      </c>
      <c r="I305" t="str">
        <f>IF(G305="","",IF(G305="[FÓRMULA MANUAL]","",IFERROR(AVERAGEIFS(DATOS!$K$2:$K$20000,DATOS!$A$2:$A$20000,G305,DATOS!$G$2:$G$20000,CONFIG_METADATA!$B$4,DATOS!$I$2:$I$20000,"Orquesta/Banda/Conjunto"),"")))</f>
        <v/>
      </c>
      <c r="J305" t="str">
        <f>IF(G305="","",IF(G305="[FÓRMULA MANUAL]","",IFERROR(AVERAGEIFS(DATOS!$K$2:$K$20000,DATOS!$A$2:$A$20000,G305,DATOS!$G$2:$G$20000,CONFIG_METADATA!$B$4,DATOS!$I$2:$I$20000,"Conjunto"),"")))</f>
        <v/>
      </c>
      <c r="K305" t="str">
        <f>IF(G305="","",IF(G305="[FÓRMULA MANUAL]","",IFERROR(SUMPRODUCT((DATOS!$A$2:$A$20000=G305)*(DATOS!$G$2:$G$20000=CONFIG_METADATA!$B$4)*(COUNTIF(CONFIG_ASIGNATURAS!$B$7:$B$27,DATOS!$I$2:$I$20000)&gt;0)*(DATOS!$K$2:$K$20000))/SUMPRODUCT((DATOS!$A$2:$A$20000=G305)*(DATOS!$G$2:$G$20000=CONFIG_METADATA!$B$4)*(COUNTIF(CONFIG_ASIGNATURAS!$B$7:$B$27,DATOS!$I$2:$I$20000)&gt;0)*1),"")))</f>
        <v/>
      </c>
      <c r="N305" t="str">
        <f>IF(M305="","",IF(M305="[FÓRMULA MANUAL]","",IFERROR(AVERAGEIFS(DATOS!$K$2:$K$20000,DATOS!$A$2:$A$20000,M305,DATOS!$G$2:$G$20000,CONFIG_METADATA!$B$4,DATOS!$I$2:$I$20000,"Armonía"),"")))</f>
        <v/>
      </c>
      <c r="O305" t="str">
        <f>IF(M305="","",IF(M305="[FÓRMULA MANUAL]","",IFERROR(AVERAGEIFS(DATOS!$K$2:$K$20000,DATOS!$A$2:$A$20000,M305,DATOS!$G$2:$G$20000,CONFIG_METADATA!$B$4,DATOS!$I$2:$I$20000,"Orquesta/Banda/Conjunto"),"")))</f>
        <v/>
      </c>
      <c r="P305" t="str">
        <f>IF(M305="","",IF(M305="[FÓRMULA MANUAL]","",IFERROR(AVERAGEIFS(DATOS!$K$2:$K$20000,DATOS!$A$2:$A$20000,M305,DATOS!$G$2:$G$20000,CONFIG_METADATA!$B$4,DATOS!$I$2:$I$20000,"Música de Cámara"),"")))</f>
        <v/>
      </c>
      <c r="Q305" t="str">
        <f>IF(M305="","",IF(M305="[FÓRMULA MANUAL]","",IFERROR(SUMPRODUCT((DATOS!$A$2:$A$20000=M305)*(DATOS!$G$2:$G$20000=CONFIG_METADATA!$B$4)*(COUNTIF(CONFIG_ASIGNATURAS!$B$7:$B$27,DATOS!$I$2:$I$20000)&gt;0)*(DATOS!$K$2:$K$20000))/SUMPRODUCT((DATOS!$A$2:$A$20000=M305)*(DATOS!$G$2:$G$20000=CONFIG_METADATA!$B$4)*(COUNTIF(CONFIG_ASIGNATURAS!$B$7:$B$27,DATOS!$I$2:$I$20000)&gt;0)*1),"")))</f>
        <v/>
      </c>
      <c r="T305" t="str">
        <f>IF(S305="","",IF(S305="[FÓRMULA MANUAL]","",IFERROR(AVERAGEIFS(DATOS!$K$2:$K$20000,DATOS!$A$2:$A$20000,S305,DATOS!$G$2:$G$20000,CONFIG_METADATA!$B$4,DATOS!$I$2:$I$20000,"Armonía"),"")))</f>
        <v/>
      </c>
      <c r="U305" t="str">
        <f>IF(S305="","",IF(S305="[FÓRMULA MANUAL]","",IFERROR(AVERAGEIFS(DATOS!$K$2:$K$20000,DATOS!$A$2:$A$20000,S305,DATOS!$G$2:$G$20000,CONFIG_METADATA!$B$4,DATOS!$I$2:$I$20000,"Orquesta/Banda/Conjunto"),"")))</f>
        <v/>
      </c>
      <c r="V305" t="str">
        <f>IF(S305="","",IF(S305="[FÓRMULA MANUAL]","",IFERROR(AVERAGEIFS(DATOS!$K$2:$K$20000,DATOS!$A$2:$A$20000,S305,DATOS!$G$2:$G$20000,CONFIG_METADATA!$B$4,DATOS!$I$2:$I$20000,"Música de Cámara"),"")))</f>
        <v/>
      </c>
      <c r="W305" t="str">
        <f>IF(S305="","",IF(S305="[FÓRMULA MANUAL]","",IFERROR(SUMPRODUCT((DATOS!$A$2:$A$20000=S305)*(DATOS!$G$2:$G$20000=CONFIG_METADATA!$B$4)*(COUNTIF(CONFIG_ASIGNATURAS!$B$7:$B$27,DATOS!$I$2:$I$20000)&gt;0)*(DATOS!$K$2:$K$20000))/SUMPRODUCT((DATOS!$A$2:$A$20000=S305)*(DATOS!$G$2:$G$20000=CONFIG_METADATA!$B$4)*(COUNTIF(CONFIG_ASIGNATURAS!$B$7:$B$27,DATOS!$I$2:$I$20000)&gt;0)*1),"")))</f>
        <v/>
      </c>
      <c r="Z305" t="str">
        <f>IF(Y305="","",IF(Y305="[FÓRMULA MANUAL]","",IFERROR(AVERAGEIFS(DATOS!$K$2:$K$20000,DATOS!$A$2:$A$20000,Y305,DATOS!$G$2:$G$20000,CONFIG_METADATA!$B$4,DATOS!$I$2:$I$20000,"Análisis"),"")))</f>
        <v/>
      </c>
      <c r="AA305" t="str">
        <f>IF(Y305="","",IF(Y305="[FÓRMULA MANUAL]","",IFERROR(AVERAGEIFS(DATOS!$K$2:$K$20000,DATOS!$A$2:$A$20000,Y305,DATOS!$G$2:$G$20000,CONFIG_METADATA!$B$4,DATOS!$I$2:$I$20000,"Orquesta/Banda/Conjunto"),"")))</f>
        <v/>
      </c>
      <c r="AB305" t="str">
        <f>IF(Y305="","",IF(Y305="[FÓRMULA MANUAL]","",IFERROR(AVERAGEIFS(DATOS!$K$2:$K$20000,DATOS!$A$2:$A$20000,Y305,DATOS!$G$2:$G$20000,CONFIG_METADATA!$B$4,DATOS!$I$2:$I$20000,"Música de Cámara"),"")))</f>
        <v/>
      </c>
      <c r="AC305" t="str">
        <f>IF(Y305="","",IF(Y305="[FÓRMULA MANUAL]","",IFERROR(SUMPRODUCT((DATOS!$A$2:$A$20000=Y305)*(DATOS!$G$2:$G$20000=CONFIG_METADATA!$B$4)*(COUNTIF(CONFIG_ASIGNATURAS!$B$7:$B$27,DATOS!$I$2:$I$20000)&gt;0)*(DATOS!$K$2:$K$20000))/SUMPRODUCT((DATOS!$A$2:$A$20000=Y305)*(DATOS!$G$2:$G$20000=CONFIG_METADATA!$B$4)*(COUNTIF(CONFIG_ASIGNATURAS!$B$7:$B$27,DATOS!$I$2:$I$20000)&gt;0)*1),"")))</f>
        <v/>
      </c>
      <c r="AF305" t="str">
        <f>IF(AE305="","",IF(AE305="[FÓRMULA MANUAL]","",IFERROR(AVERAGEIFS(DATOS!$K$2:$K$20000,DATOS!$A$2:$A$20000,AE305,DATOS!$G$2:$G$20000,CONFIG_METADATA!$B$4,DATOS!$I$2:$I$20000,"Análisis"),"")))</f>
        <v/>
      </c>
      <c r="AG305" t="str">
        <f>IF(AE305="","",IF(AE305="[FÓRMULA MANUAL]","",IFERROR(AVERAGEIFS(DATOS!$K$2:$K$20000,DATOS!$A$2:$A$20000,AE305,DATOS!$G$2:$G$20000,CONFIG_METADATA!$B$4,DATOS!$I$2:$I$20000,"Orquesta/Banda/Conjunto"),"")))</f>
        <v/>
      </c>
      <c r="AH305" t="str">
        <f>IF(AE305="","",IF(AE305="[FÓRMULA MANUAL]","",IFERROR(AVERAGEIFS(DATOS!$K$2:$K$20000,DATOS!$A$2:$A$20000,AE305,DATOS!$G$2:$G$20000,CONFIG_METADATA!$B$4,DATOS!$I$2:$I$20000,"Música de Cámara"),"")))</f>
        <v/>
      </c>
      <c r="AI305" t="str">
        <f>IF(AE305="","",IF(AE305="[FÓRMULA MANUAL]","",IFERROR(SUMPRODUCT((DATOS!$A$2:$A$20000=AE305)*(DATOS!$G$2:$G$20000=CONFIG_METADATA!$B$4)*(COUNTIF(CONFIG_ASIGNATURAS!$B$7:$B$27,DATOS!$I$2:$I$20000)&gt;0)*(DATOS!$K$2:$K$20000))/SUMPRODUCT((DATOS!$A$2:$A$20000=AE305)*(DATOS!$G$2:$G$20000=CONFIG_METADATA!$B$4)*(COUNTIF(CONFIG_ASIGNATURAS!$B$7:$B$27,DATOS!$I$2:$I$20000)&gt;0)*1),"")))</f>
        <v/>
      </c>
    </row>
    <row r="306" spans="2:35" x14ac:dyDescent="0.2">
      <c r="B306" t="str">
        <f>IF(A306="","",IF(A306="[FÓRMULA MANUAL]","",IFERROR(AVERAGEIFS(DATOS!$K$2:$K$20000,DATOS!$A$2:$A$20000,A306,DATOS!$G$2:$G$20000,CONFIG_METADATA!$B$4,DATOS!$I$2:$I$20000,"Lenguaje Musical"),"")))</f>
        <v/>
      </c>
      <c r="C306" t="str">
        <f>IF(A306="","",IF(A306="[FÓRMULA MANUAL]","",IFERROR(AVERAGEIFS(DATOS!$K$2:$K$20000,DATOS!$A$2:$A$20000,A306,DATOS!$G$2:$G$20000,CONFIG_METADATA!$B$4,DATOS!$I$2:$I$20000,"Orquesta/Banda/Conjunto"),"")))</f>
        <v/>
      </c>
      <c r="D306" t="str">
        <f>IF(A306="","",IF(A306="[FÓRMULA MANUAL]","",IFERROR(AVERAGEIFS(DATOS!$K$2:$K$20000,DATOS!$A$2:$A$20000,A306,DATOS!$G$2:$G$20000,CONFIG_METADATA!$B$4,DATOS!$I$2:$I$20000,"Conjunto"),"")))</f>
        <v/>
      </c>
      <c r="E306" t="str">
        <f>IF(A306="","",IF(A306="[FÓRMULA MANUAL]","",IFERROR(SUMPRODUCT((DATOS!$A$2:$A$20000=A306)*(DATOS!$G$2:$G$20000=CONFIG_METADATA!$B$4)*(COUNTIF(CONFIG_ASIGNATURAS!$B$7:$B$27,DATOS!$I$2:$I$20000)&gt;0)*(DATOS!$K$2:$K$20000))/SUMPRODUCT((DATOS!$A$2:$A$20000=A306)*(DATOS!$G$2:$G$20000=CONFIG_METADATA!$B$4)*(COUNTIF(CONFIG_ASIGNATURAS!$B$7:$B$27,DATOS!$I$2:$I$20000)&gt;0)*1),"")))</f>
        <v/>
      </c>
      <c r="H306" t="str">
        <f>IF(G306="","",IF(G306="[FÓRMULA MANUAL]","",IFERROR(AVERAGEIFS(DATOS!$K$2:$K$20000,DATOS!$A$2:$A$20000,G306,DATOS!$G$2:$G$20000,CONFIG_METADATA!$B$4,DATOS!$I$2:$I$20000,"Lenguaje Musical"),"")))</f>
        <v/>
      </c>
      <c r="I306" t="str">
        <f>IF(G306="","",IF(G306="[FÓRMULA MANUAL]","",IFERROR(AVERAGEIFS(DATOS!$K$2:$K$20000,DATOS!$A$2:$A$20000,G306,DATOS!$G$2:$G$20000,CONFIG_METADATA!$B$4,DATOS!$I$2:$I$20000,"Orquesta/Banda/Conjunto"),"")))</f>
        <v/>
      </c>
      <c r="J306" t="str">
        <f>IF(G306="","",IF(G306="[FÓRMULA MANUAL]","",IFERROR(AVERAGEIFS(DATOS!$K$2:$K$20000,DATOS!$A$2:$A$20000,G306,DATOS!$G$2:$G$20000,CONFIG_METADATA!$B$4,DATOS!$I$2:$I$20000,"Conjunto"),"")))</f>
        <v/>
      </c>
      <c r="K306" t="str">
        <f>IF(G306="","",IF(G306="[FÓRMULA MANUAL]","",IFERROR(SUMPRODUCT((DATOS!$A$2:$A$20000=G306)*(DATOS!$G$2:$G$20000=CONFIG_METADATA!$B$4)*(COUNTIF(CONFIG_ASIGNATURAS!$B$7:$B$27,DATOS!$I$2:$I$20000)&gt;0)*(DATOS!$K$2:$K$20000))/SUMPRODUCT((DATOS!$A$2:$A$20000=G306)*(DATOS!$G$2:$G$20000=CONFIG_METADATA!$B$4)*(COUNTIF(CONFIG_ASIGNATURAS!$B$7:$B$27,DATOS!$I$2:$I$20000)&gt;0)*1),"")))</f>
        <v/>
      </c>
      <c r="N306" t="str">
        <f>IF(M306="","",IF(M306="[FÓRMULA MANUAL]","",IFERROR(AVERAGEIFS(DATOS!$K$2:$K$20000,DATOS!$A$2:$A$20000,M306,DATOS!$G$2:$G$20000,CONFIG_METADATA!$B$4,DATOS!$I$2:$I$20000,"Armonía"),"")))</f>
        <v/>
      </c>
      <c r="O306" t="str">
        <f>IF(M306="","",IF(M306="[FÓRMULA MANUAL]","",IFERROR(AVERAGEIFS(DATOS!$K$2:$K$20000,DATOS!$A$2:$A$20000,M306,DATOS!$G$2:$G$20000,CONFIG_METADATA!$B$4,DATOS!$I$2:$I$20000,"Orquesta/Banda/Conjunto"),"")))</f>
        <v/>
      </c>
      <c r="P306" t="str">
        <f>IF(M306="","",IF(M306="[FÓRMULA MANUAL]","",IFERROR(AVERAGEIFS(DATOS!$K$2:$K$20000,DATOS!$A$2:$A$20000,M306,DATOS!$G$2:$G$20000,CONFIG_METADATA!$B$4,DATOS!$I$2:$I$20000,"Música de Cámara"),"")))</f>
        <v/>
      </c>
      <c r="Q306" t="str">
        <f>IF(M306="","",IF(M306="[FÓRMULA MANUAL]","",IFERROR(SUMPRODUCT((DATOS!$A$2:$A$20000=M306)*(DATOS!$G$2:$G$20000=CONFIG_METADATA!$B$4)*(COUNTIF(CONFIG_ASIGNATURAS!$B$7:$B$27,DATOS!$I$2:$I$20000)&gt;0)*(DATOS!$K$2:$K$20000))/SUMPRODUCT((DATOS!$A$2:$A$20000=M306)*(DATOS!$G$2:$G$20000=CONFIG_METADATA!$B$4)*(COUNTIF(CONFIG_ASIGNATURAS!$B$7:$B$27,DATOS!$I$2:$I$20000)&gt;0)*1),"")))</f>
        <v/>
      </c>
      <c r="T306" t="str">
        <f>IF(S306="","",IF(S306="[FÓRMULA MANUAL]","",IFERROR(AVERAGEIFS(DATOS!$K$2:$K$20000,DATOS!$A$2:$A$20000,S306,DATOS!$G$2:$G$20000,CONFIG_METADATA!$B$4,DATOS!$I$2:$I$20000,"Armonía"),"")))</f>
        <v/>
      </c>
      <c r="U306" t="str">
        <f>IF(S306="","",IF(S306="[FÓRMULA MANUAL]","",IFERROR(AVERAGEIFS(DATOS!$K$2:$K$20000,DATOS!$A$2:$A$20000,S306,DATOS!$G$2:$G$20000,CONFIG_METADATA!$B$4,DATOS!$I$2:$I$20000,"Orquesta/Banda/Conjunto"),"")))</f>
        <v/>
      </c>
      <c r="V306" t="str">
        <f>IF(S306="","",IF(S306="[FÓRMULA MANUAL]","",IFERROR(AVERAGEIFS(DATOS!$K$2:$K$20000,DATOS!$A$2:$A$20000,S306,DATOS!$G$2:$G$20000,CONFIG_METADATA!$B$4,DATOS!$I$2:$I$20000,"Música de Cámara"),"")))</f>
        <v/>
      </c>
      <c r="W306" t="str">
        <f>IF(S306="","",IF(S306="[FÓRMULA MANUAL]","",IFERROR(SUMPRODUCT((DATOS!$A$2:$A$20000=S306)*(DATOS!$G$2:$G$20000=CONFIG_METADATA!$B$4)*(COUNTIF(CONFIG_ASIGNATURAS!$B$7:$B$27,DATOS!$I$2:$I$20000)&gt;0)*(DATOS!$K$2:$K$20000))/SUMPRODUCT((DATOS!$A$2:$A$20000=S306)*(DATOS!$G$2:$G$20000=CONFIG_METADATA!$B$4)*(COUNTIF(CONFIG_ASIGNATURAS!$B$7:$B$27,DATOS!$I$2:$I$20000)&gt;0)*1),"")))</f>
        <v/>
      </c>
      <c r="Z306" t="str">
        <f>IF(Y306="","",IF(Y306="[FÓRMULA MANUAL]","",IFERROR(AVERAGEIFS(DATOS!$K$2:$K$20000,DATOS!$A$2:$A$20000,Y306,DATOS!$G$2:$G$20000,CONFIG_METADATA!$B$4,DATOS!$I$2:$I$20000,"Análisis"),"")))</f>
        <v/>
      </c>
      <c r="AA306" t="str">
        <f>IF(Y306="","",IF(Y306="[FÓRMULA MANUAL]","",IFERROR(AVERAGEIFS(DATOS!$K$2:$K$20000,DATOS!$A$2:$A$20000,Y306,DATOS!$G$2:$G$20000,CONFIG_METADATA!$B$4,DATOS!$I$2:$I$20000,"Orquesta/Banda/Conjunto"),"")))</f>
        <v/>
      </c>
      <c r="AB306" t="str">
        <f>IF(Y306="","",IF(Y306="[FÓRMULA MANUAL]","",IFERROR(AVERAGEIFS(DATOS!$K$2:$K$20000,DATOS!$A$2:$A$20000,Y306,DATOS!$G$2:$G$20000,CONFIG_METADATA!$B$4,DATOS!$I$2:$I$20000,"Música de Cámara"),"")))</f>
        <v/>
      </c>
      <c r="AC306" t="str">
        <f>IF(Y306="","",IF(Y306="[FÓRMULA MANUAL]","",IFERROR(SUMPRODUCT((DATOS!$A$2:$A$20000=Y306)*(DATOS!$G$2:$G$20000=CONFIG_METADATA!$B$4)*(COUNTIF(CONFIG_ASIGNATURAS!$B$7:$B$27,DATOS!$I$2:$I$20000)&gt;0)*(DATOS!$K$2:$K$20000))/SUMPRODUCT((DATOS!$A$2:$A$20000=Y306)*(DATOS!$G$2:$G$20000=CONFIG_METADATA!$B$4)*(COUNTIF(CONFIG_ASIGNATURAS!$B$7:$B$27,DATOS!$I$2:$I$20000)&gt;0)*1),"")))</f>
        <v/>
      </c>
      <c r="AF306" t="str">
        <f>IF(AE306="","",IF(AE306="[FÓRMULA MANUAL]","",IFERROR(AVERAGEIFS(DATOS!$K$2:$K$20000,DATOS!$A$2:$A$20000,AE306,DATOS!$G$2:$G$20000,CONFIG_METADATA!$B$4,DATOS!$I$2:$I$20000,"Análisis"),"")))</f>
        <v/>
      </c>
      <c r="AG306" t="str">
        <f>IF(AE306="","",IF(AE306="[FÓRMULA MANUAL]","",IFERROR(AVERAGEIFS(DATOS!$K$2:$K$20000,DATOS!$A$2:$A$20000,AE306,DATOS!$G$2:$G$20000,CONFIG_METADATA!$B$4,DATOS!$I$2:$I$20000,"Orquesta/Banda/Conjunto"),"")))</f>
        <v/>
      </c>
      <c r="AH306" t="str">
        <f>IF(AE306="","",IF(AE306="[FÓRMULA MANUAL]","",IFERROR(AVERAGEIFS(DATOS!$K$2:$K$20000,DATOS!$A$2:$A$20000,AE306,DATOS!$G$2:$G$20000,CONFIG_METADATA!$B$4,DATOS!$I$2:$I$20000,"Música de Cámara"),"")))</f>
        <v/>
      </c>
      <c r="AI306" t="str">
        <f>IF(AE306="","",IF(AE306="[FÓRMULA MANUAL]","",IFERROR(SUMPRODUCT((DATOS!$A$2:$A$20000=AE306)*(DATOS!$G$2:$G$20000=CONFIG_METADATA!$B$4)*(COUNTIF(CONFIG_ASIGNATURAS!$B$7:$B$27,DATOS!$I$2:$I$20000)&gt;0)*(DATOS!$K$2:$K$20000))/SUMPRODUCT((DATOS!$A$2:$A$20000=AE306)*(DATOS!$G$2:$G$20000=CONFIG_METADATA!$B$4)*(COUNTIF(CONFIG_ASIGNATURAS!$B$7:$B$27,DATOS!$I$2:$I$20000)&gt;0)*1),"")))</f>
        <v/>
      </c>
    </row>
    <row r="307" spans="2:35" x14ac:dyDescent="0.2">
      <c r="B307" t="str">
        <f>IF(A307="","",IF(A307="[FÓRMULA MANUAL]","",IFERROR(AVERAGEIFS(DATOS!$K$2:$K$20000,DATOS!$A$2:$A$20000,A307,DATOS!$G$2:$G$20000,CONFIG_METADATA!$B$4,DATOS!$I$2:$I$20000,"Lenguaje Musical"),"")))</f>
        <v/>
      </c>
      <c r="C307" t="str">
        <f>IF(A307="","",IF(A307="[FÓRMULA MANUAL]","",IFERROR(AVERAGEIFS(DATOS!$K$2:$K$20000,DATOS!$A$2:$A$20000,A307,DATOS!$G$2:$G$20000,CONFIG_METADATA!$B$4,DATOS!$I$2:$I$20000,"Orquesta/Banda/Conjunto"),"")))</f>
        <v/>
      </c>
      <c r="D307" t="str">
        <f>IF(A307="","",IF(A307="[FÓRMULA MANUAL]","",IFERROR(AVERAGEIFS(DATOS!$K$2:$K$20000,DATOS!$A$2:$A$20000,A307,DATOS!$G$2:$G$20000,CONFIG_METADATA!$B$4,DATOS!$I$2:$I$20000,"Conjunto"),"")))</f>
        <v/>
      </c>
      <c r="E307" t="str">
        <f>IF(A307="","",IF(A307="[FÓRMULA MANUAL]","",IFERROR(SUMPRODUCT((DATOS!$A$2:$A$20000=A307)*(DATOS!$G$2:$G$20000=CONFIG_METADATA!$B$4)*(COUNTIF(CONFIG_ASIGNATURAS!$B$7:$B$27,DATOS!$I$2:$I$20000)&gt;0)*(DATOS!$K$2:$K$20000))/SUMPRODUCT((DATOS!$A$2:$A$20000=A307)*(DATOS!$G$2:$G$20000=CONFIG_METADATA!$B$4)*(COUNTIF(CONFIG_ASIGNATURAS!$B$7:$B$27,DATOS!$I$2:$I$20000)&gt;0)*1),"")))</f>
        <v/>
      </c>
      <c r="H307" t="str">
        <f>IF(G307="","",IF(G307="[FÓRMULA MANUAL]","",IFERROR(AVERAGEIFS(DATOS!$K$2:$K$20000,DATOS!$A$2:$A$20000,G307,DATOS!$G$2:$G$20000,CONFIG_METADATA!$B$4,DATOS!$I$2:$I$20000,"Lenguaje Musical"),"")))</f>
        <v/>
      </c>
      <c r="I307" t="str">
        <f>IF(G307="","",IF(G307="[FÓRMULA MANUAL]","",IFERROR(AVERAGEIFS(DATOS!$K$2:$K$20000,DATOS!$A$2:$A$20000,G307,DATOS!$G$2:$G$20000,CONFIG_METADATA!$B$4,DATOS!$I$2:$I$20000,"Orquesta/Banda/Conjunto"),"")))</f>
        <v/>
      </c>
      <c r="J307" t="str">
        <f>IF(G307="","",IF(G307="[FÓRMULA MANUAL]","",IFERROR(AVERAGEIFS(DATOS!$K$2:$K$20000,DATOS!$A$2:$A$20000,G307,DATOS!$G$2:$G$20000,CONFIG_METADATA!$B$4,DATOS!$I$2:$I$20000,"Conjunto"),"")))</f>
        <v/>
      </c>
      <c r="K307" t="str">
        <f>IF(G307="","",IF(G307="[FÓRMULA MANUAL]","",IFERROR(SUMPRODUCT((DATOS!$A$2:$A$20000=G307)*(DATOS!$G$2:$G$20000=CONFIG_METADATA!$B$4)*(COUNTIF(CONFIG_ASIGNATURAS!$B$7:$B$27,DATOS!$I$2:$I$20000)&gt;0)*(DATOS!$K$2:$K$20000))/SUMPRODUCT((DATOS!$A$2:$A$20000=G307)*(DATOS!$G$2:$G$20000=CONFIG_METADATA!$B$4)*(COUNTIF(CONFIG_ASIGNATURAS!$B$7:$B$27,DATOS!$I$2:$I$20000)&gt;0)*1),"")))</f>
        <v/>
      </c>
      <c r="N307" t="str">
        <f>IF(M307="","",IF(M307="[FÓRMULA MANUAL]","",IFERROR(AVERAGEIFS(DATOS!$K$2:$K$20000,DATOS!$A$2:$A$20000,M307,DATOS!$G$2:$G$20000,CONFIG_METADATA!$B$4,DATOS!$I$2:$I$20000,"Armonía"),"")))</f>
        <v/>
      </c>
      <c r="O307" t="str">
        <f>IF(M307="","",IF(M307="[FÓRMULA MANUAL]","",IFERROR(AVERAGEIFS(DATOS!$K$2:$K$20000,DATOS!$A$2:$A$20000,M307,DATOS!$G$2:$G$20000,CONFIG_METADATA!$B$4,DATOS!$I$2:$I$20000,"Orquesta/Banda/Conjunto"),"")))</f>
        <v/>
      </c>
      <c r="P307" t="str">
        <f>IF(M307="","",IF(M307="[FÓRMULA MANUAL]","",IFERROR(AVERAGEIFS(DATOS!$K$2:$K$20000,DATOS!$A$2:$A$20000,M307,DATOS!$G$2:$G$20000,CONFIG_METADATA!$B$4,DATOS!$I$2:$I$20000,"Música de Cámara"),"")))</f>
        <v/>
      </c>
      <c r="Q307" t="str">
        <f>IF(M307="","",IF(M307="[FÓRMULA MANUAL]","",IFERROR(SUMPRODUCT((DATOS!$A$2:$A$20000=M307)*(DATOS!$G$2:$G$20000=CONFIG_METADATA!$B$4)*(COUNTIF(CONFIG_ASIGNATURAS!$B$7:$B$27,DATOS!$I$2:$I$20000)&gt;0)*(DATOS!$K$2:$K$20000))/SUMPRODUCT((DATOS!$A$2:$A$20000=M307)*(DATOS!$G$2:$G$20000=CONFIG_METADATA!$B$4)*(COUNTIF(CONFIG_ASIGNATURAS!$B$7:$B$27,DATOS!$I$2:$I$20000)&gt;0)*1),"")))</f>
        <v/>
      </c>
      <c r="T307" t="str">
        <f>IF(S307="","",IF(S307="[FÓRMULA MANUAL]","",IFERROR(AVERAGEIFS(DATOS!$K$2:$K$20000,DATOS!$A$2:$A$20000,S307,DATOS!$G$2:$G$20000,CONFIG_METADATA!$B$4,DATOS!$I$2:$I$20000,"Armonía"),"")))</f>
        <v/>
      </c>
      <c r="U307" t="str">
        <f>IF(S307="","",IF(S307="[FÓRMULA MANUAL]","",IFERROR(AVERAGEIFS(DATOS!$K$2:$K$20000,DATOS!$A$2:$A$20000,S307,DATOS!$G$2:$G$20000,CONFIG_METADATA!$B$4,DATOS!$I$2:$I$20000,"Orquesta/Banda/Conjunto"),"")))</f>
        <v/>
      </c>
      <c r="V307" t="str">
        <f>IF(S307="","",IF(S307="[FÓRMULA MANUAL]","",IFERROR(AVERAGEIFS(DATOS!$K$2:$K$20000,DATOS!$A$2:$A$20000,S307,DATOS!$G$2:$G$20000,CONFIG_METADATA!$B$4,DATOS!$I$2:$I$20000,"Música de Cámara"),"")))</f>
        <v/>
      </c>
      <c r="W307" t="str">
        <f>IF(S307="","",IF(S307="[FÓRMULA MANUAL]","",IFERROR(SUMPRODUCT((DATOS!$A$2:$A$20000=S307)*(DATOS!$G$2:$G$20000=CONFIG_METADATA!$B$4)*(COUNTIF(CONFIG_ASIGNATURAS!$B$7:$B$27,DATOS!$I$2:$I$20000)&gt;0)*(DATOS!$K$2:$K$20000))/SUMPRODUCT((DATOS!$A$2:$A$20000=S307)*(DATOS!$G$2:$G$20000=CONFIG_METADATA!$B$4)*(COUNTIF(CONFIG_ASIGNATURAS!$B$7:$B$27,DATOS!$I$2:$I$20000)&gt;0)*1),"")))</f>
        <v/>
      </c>
      <c r="Z307" t="str">
        <f>IF(Y307="","",IF(Y307="[FÓRMULA MANUAL]","",IFERROR(AVERAGEIFS(DATOS!$K$2:$K$20000,DATOS!$A$2:$A$20000,Y307,DATOS!$G$2:$G$20000,CONFIG_METADATA!$B$4,DATOS!$I$2:$I$20000,"Análisis"),"")))</f>
        <v/>
      </c>
      <c r="AA307" t="str">
        <f>IF(Y307="","",IF(Y307="[FÓRMULA MANUAL]","",IFERROR(AVERAGEIFS(DATOS!$K$2:$K$20000,DATOS!$A$2:$A$20000,Y307,DATOS!$G$2:$G$20000,CONFIG_METADATA!$B$4,DATOS!$I$2:$I$20000,"Orquesta/Banda/Conjunto"),"")))</f>
        <v/>
      </c>
      <c r="AB307" t="str">
        <f>IF(Y307="","",IF(Y307="[FÓRMULA MANUAL]","",IFERROR(AVERAGEIFS(DATOS!$K$2:$K$20000,DATOS!$A$2:$A$20000,Y307,DATOS!$G$2:$G$20000,CONFIG_METADATA!$B$4,DATOS!$I$2:$I$20000,"Música de Cámara"),"")))</f>
        <v/>
      </c>
      <c r="AC307" t="str">
        <f>IF(Y307="","",IF(Y307="[FÓRMULA MANUAL]","",IFERROR(SUMPRODUCT((DATOS!$A$2:$A$20000=Y307)*(DATOS!$G$2:$G$20000=CONFIG_METADATA!$B$4)*(COUNTIF(CONFIG_ASIGNATURAS!$B$7:$B$27,DATOS!$I$2:$I$20000)&gt;0)*(DATOS!$K$2:$K$20000))/SUMPRODUCT((DATOS!$A$2:$A$20000=Y307)*(DATOS!$G$2:$G$20000=CONFIG_METADATA!$B$4)*(COUNTIF(CONFIG_ASIGNATURAS!$B$7:$B$27,DATOS!$I$2:$I$20000)&gt;0)*1),"")))</f>
        <v/>
      </c>
      <c r="AF307" t="str">
        <f>IF(AE307="","",IF(AE307="[FÓRMULA MANUAL]","",IFERROR(AVERAGEIFS(DATOS!$K$2:$K$20000,DATOS!$A$2:$A$20000,AE307,DATOS!$G$2:$G$20000,CONFIG_METADATA!$B$4,DATOS!$I$2:$I$20000,"Análisis"),"")))</f>
        <v/>
      </c>
      <c r="AG307" t="str">
        <f>IF(AE307="","",IF(AE307="[FÓRMULA MANUAL]","",IFERROR(AVERAGEIFS(DATOS!$K$2:$K$20000,DATOS!$A$2:$A$20000,AE307,DATOS!$G$2:$G$20000,CONFIG_METADATA!$B$4,DATOS!$I$2:$I$20000,"Orquesta/Banda/Conjunto"),"")))</f>
        <v/>
      </c>
      <c r="AH307" t="str">
        <f>IF(AE307="","",IF(AE307="[FÓRMULA MANUAL]","",IFERROR(AVERAGEIFS(DATOS!$K$2:$K$20000,DATOS!$A$2:$A$20000,AE307,DATOS!$G$2:$G$20000,CONFIG_METADATA!$B$4,DATOS!$I$2:$I$20000,"Música de Cámara"),"")))</f>
        <v/>
      </c>
      <c r="AI307" t="str">
        <f>IF(AE307="","",IF(AE307="[FÓRMULA MANUAL]","",IFERROR(SUMPRODUCT((DATOS!$A$2:$A$20000=AE307)*(DATOS!$G$2:$G$20000=CONFIG_METADATA!$B$4)*(COUNTIF(CONFIG_ASIGNATURAS!$B$7:$B$27,DATOS!$I$2:$I$20000)&gt;0)*(DATOS!$K$2:$K$20000))/SUMPRODUCT((DATOS!$A$2:$A$20000=AE307)*(DATOS!$G$2:$G$20000=CONFIG_METADATA!$B$4)*(COUNTIF(CONFIG_ASIGNATURAS!$B$7:$B$27,DATOS!$I$2:$I$20000)&gt;0)*1),"")))</f>
        <v/>
      </c>
    </row>
    <row r="308" spans="2:35" x14ac:dyDescent="0.2">
      <c r="B308" t="str">
        <f>IF(A308="","",IF(A308="[FÓRMULA MANUAL]","",IFERROR(AVERAGEIFS(DATOS!$K$2:$K$20000,DATOS!$A$2:$A$20000,A308,DATOS!$G$2:$G$20000,CONFIG_METADATA!$B$4,DATOS!$I$2:$I$20000,"Lenguaje Musical"),"")))</f>
        <v/>
      </c>
      <c r="C308" t="str">
        <f>IF(A308="","",IF(A308="[FÓRMULA MANUAL]","",IFERROR(AVERAGEIFS(DATOS!$K$2:$K$20000,DATOS!$A$2:$A$20000,A308,DATOS!$G$2:$G$20000,CONFIG_METADATA!$B$4,DATOS!$I$2:$I$20000,"Orquesta/Banda/Conjunto"),"")))</f>
        <v/>
      </c>
      <c r="D308" t="str">
        <f>IF(A308="","",IF(A308="[FÓRMULA MANUAL]","",IFERROR(AVERAGEIFS(DATOS!$K$2:$K$20000,DATOS!$A$2:$A$20000,A308,DATOS!$G$2:$G$20000,CONFIG_METADATA!$B$4,DATOS!$I$2:$I$20000,"Conjunto"),"")))</f>
        <v/>
      </c>
      <c r="E308" t="str">
        <f>IF(A308="","",IF(A308="[FÓRMULA MANUAL]","",IFERROR(SUMPRODUCT((DATOS!$A$2:$A$20000=A308)*(DATOS!$G$2:$G$20000=CONFIG_METADATA!$B$4)*(COUNTIF(CONFIG_ASIGNATURAS!$B$7:$B$27,DATOS!$I$2:$I$20000)&gt;0)*(DATOS!$K$2:$K$20000))/SUMPRODUCT((DATOS!$A$2:$A$20000=A308)*(DATOS!$G$2:$G$20000=CONFIG_METADATA!$B$4)*(COUNTIF(CONFIG_ASIGNATURAS!$B$7:$B$27,DATOS!$I$2:$I$20000)&gt;0)*1),"")))</f>
        <v/>
      </c>
      <c r="H308" t="str">
        <f>IF(G308="","",IF(G308="[FÓRMULA MANUAL]","",IFERROR(AVERAGEIFS(DATOS!$K$2:$K$20000,DATOS!$A$2:$A$20000,G308,DATOS!$G$2:$G$20000,CONFIG_METADATA!$B$4,DATOS!$I$2:$I$20000,"Lenguaje Musical"),"")))</f>
        <v/>
      </c>
      <c r="I308" t="str">
        <f>IF(G308="","",IF(G308="[FÓRMULA MANUAL]","",IFERROR(AVERAGEIFS(DATOS!$K$2:$K$20000,DATOS!$A$2:$A$20000,G308,DATOS!$G$2:$G$20000,CONFIG_METADATA!$B$4,DATOS!$I$2:$I$20000,"Orquesta/Banda/Conjunto"),"")))</f>
        <v/>
      </c>
      <c r="J308" t="str">
        <f>IF(G308="","",IF(G308="[FÓRMULA MANUAL]","",IFERROR(AVERAGEIFS(DATOS!$K$2:$K$20000,DATOS!$A$2:$A$20000,G308,DATOS!$G$2:$G$20000,CONFIG_METADATA!$B$4,DATOS!$I$2:$I$20000,"Conjunto"),"")))</f>
        <v/>
      </c>
      <c r="K308" t="str">
        <f>IF(G308="","",IF(G308="[FÓRMULA MANUAL]","",IFERROR(SUMPRODUCT((DATOS!$A$2:$A$20000=G308)*(DATOS!$G$2:$G$20000=CONFIG_METADATA!$B$4)*(COUNTIF(CONFIG_ASIGNATURAS!$B$7:$B$27,DATOS!$I$2:$I$20000)&gt;0)*(DATOS!$K$2:$K$20000))/SUMPRODUCT((DATOS!$A$2:$A$20000=G308)*(DATOS!$G$2:$G$20000=CONFIG_METADATA!$B$4)*(COUNTIF(CONFIG_ASIGNATURAS!$B$7:$B$27,DATOS!$I$2:$I$20000)&gt;0)*1),"")))</f>
        <v/>
      </c>
      <c r="N308" t="str">
        <f>IF(M308="","",IF(M308="[FÓRMULA MANUAL]","",IFERROR(AVERAGEIFS(DATOS!$K$2:$K$20000,DATOS!$A$2:$A$20000,M308,DATOS!$G$2:$G$20000,CONFIG_METADATA!$B$4,DATOS!$I$2:$I$20000,"Armonía"),"")))</f>
        <v/>
      </c>
      <c r="O308" t="str">
        <f>IF(M308="","",IF(M308="[FÓRMULA MANUAL]","",IFERROR(AVERAGEIFS(DATOS!$K$2:$K$20000,DATOS!$A$2:$A$20000,M308,DATOS!$G$2:$G$20000,CONFIG_METADATA!$B$4,DATOS!$I$2:$I$20000,"Orquesta/Banda/Conjunto"),"")))</f>
        <v/>
      </c>
      <c r="P308" t="str">
        <f>IF(M308="","",IF(M308="[FÓRMULA MANUAL]","",IFERROR(AVERAGEIFS(DATOS!$K$2:$K$20000,DATOS!$A$2:$A$20000,M308,DATOS!$G$2:$G$20000,CONFIG_METADATA!$B$4,DATOS!$I$2:$I$20000,"Música de Cámara"),"")))</f>
        <v/>
      </c>
      <c r="Q308" t="str">
        <f>IF(M308="","",IF(M308="[FÓRMULA MANUAL]","",IFERROR(SUMPRODUCT((DATOS!$A$2:$A$20000=M308)*(DATOS!$G$2:$G$20000=CONFIG_METADATA!$B$4)*(COUNTIF(CONFIG_ASIGNATURAS!$B$7:$B$27,DATOS!$I$2:$I$20000)&gt;0)*(DATOS!$K$2:$K$20000))/SUMPRODUCT((DATOS!$A$2:$A$20000=M308)*(DATOS!$G$2:$G$20000=CONFIG_METADATA!$B$4)*(COUNTIF(CONFIG_ASIGNATURAS!$B$7:$B$27,DATOS!$I$2:$I$20000)&gt;0)*1),"")))</f>
        <v/>
      </c>
      <c r="T308" t="str">
        <f>IF(S308="","",IF(S308="[FÓRMULA MANUAL]","",IFERROR(AVERAGEIFS(DATOS!$K$2:$K$20000,DATOS!$A$2:$A$20000,S308,DATOS!$G$2:$G$20000,CONFIG_METADATA!$B$4,DATOS!$I$2:$I$20000,"Armonía"),"")))</f>
        <v/>
      </c>
      <c r="U308" t="str">
        <f>IF(S308="","",IF(S308="[FÓRMULA MANUAL]","",IFERROR(AVERAGEIFS(DATOS!$K$2:$K$20000,DATOS!$A$2:$A$20000,S308,DATOS!$G$2:$G$20000,CONFIG_METADATA!$B$4,DATOS!$I$2:$I$20000,"Orquesta/Banda/Conjunto"),"")))</f>
        <v/>
      </c>
      <c r="V308" t="str">
        <f>IF(S308="","",IF(S308="[FÓRMULA MANUAL]","",IFERROR(AVERAGEIFS(DATOS!$K$2:$K$20000,DATOS!$A$2:$A$20000,S308,DATOS!$G$2:$G$20000,CONFIG_METADATA!$B$4,DATOS!$I$2:$I$20000,"Música de Cámara"),"")))</f>
        <v/>
      </c>
      <c r="W308" t="str">
        <f>IF(S308="","",IF(S308="[FÓRMULA MANUAL]","",IFERROR(SUMPRODUCT((DATOS!$A$2:$A$20000=S308)*(DATOS!$G$2:$G$20000=CONFIG_METADATA!$B$4)*(COUNTIF(CONFIG_ASIGNATURAS!$B$7:$B$27,DATOS!$I$2:$I$20000)&gt;0)*(DATOS!$K$2:$K$20000))/SUMPRODUCT((DATOS!$A$2:$A$20000=S308)*(DATOS!$G$2:$G$20000=CONFIG_METADATA!$B$4)*(COUNTIF(CONFIG_ASIGNATURAS!$B$7:$B$27,DATOS!$I$2:$I$20000)&gt;0)*1),"")))</f>
        <v/>
      </c>
      <c r="Z308" t="str">
        <f>IF(Y308="","",IF(Y308="[FÓRMULA MANUAL]","",IFERROR(AVERAGEIFS(DATOS!$K$2:$K$20000,DATOS!$A$2:$A$20000,Y308,DATOS!$G$2:$G$20000,CONFIG_METADATA!$B$4,DATOS!$I$2:$I$20000,"Análisis"),"")))</f>
        <v/>
      </c>
      <c r="AA308" t="str">
        <f>IF(Y308="","",IF(Y308="[FÓRMULA MANUAL]","",IFERROR(AVERAGEIFS(DATOS!$K$2:$K$20000,DATOS!$A$2:$A$20000,Y308,DATOS!$G$2:$G$20000,CONFIG_METADATA!$B$4,DATOS!$I$2:$I$20000,"Orquesta/Banda/Conjunto"),"")))</f>
        <v/>
      </c>
      <c r="AB308" t="str">
        <f>IF(Y308="","",IF(Y308="[FÓRMULA MANUAL]","",IFERROR(AVERAGEIFS(DATOS!$K$2:$K$20000,DATOS!$A$2:$A$20000,Y308,DATOS!$G$2:$G$20000,CONFIG_METADATA!$B$4,DATOS!$I$2:$I$20000,"Música de Cámara"),"")))</f>
        <v/>
      </c>
      <c r="AC308" t="str">
        <f>IF(Y308="","",IF(Y308="[FÓRMULA MANUAL]","",IFERROR(SUMPRODUCT((DATOS!$A$2:$A$20000=Y308)*(DATOS!$G$2:$G$20000=CONFIG_METADATA!$B$4)*(COUNTIF(CONFIG_ASIGNATURAS!$B$7:$B$27,DATOS!$I$2:$I$20000)&gt;0)*(DATOS!$K$2:$K$20000))/SUMPRODUCT((DATOS!$A$2:$A$20000=Y308)*(DATOS!$G$2:$G$20000=CONFIG_METADATA!$B$4)*(COUNTIF(CONFIG_ASIGNATURAS!$B$7:$B$27,DATOS!$I$2:$I$20000)&gt;0)*1),"")))</f>
        <v/>
      </c>
      <c r="AF308" t="str">
        <f>IF(AE308="","",IF(AE308="[FÓRMULA MANUAL]","",IFERROR(AVERAGEIFS(DATOS!$K$2:$K$20000,DATOS!$A$2:$A$20000,AE308,DATOS!$G$2:$G$20000,CONFIG_METADATA!$B$4,DATOS!$I$2:$I$20000,"Análisis"),"")))</f>
        <v/>
      </c>
      <c r="AG308" t="str">
        <f>IF(AE308="","",IF(AE308="[FÓRMULA MANUAL]","",IFERROR(AVERAGEIFS(DATOS!$K$2:$K$20000,DATOS!$A$2:$A$20000,AE308,DATOS!$G$2:$G$20000,CONFIG_METADATA!$B$4,DATOS!$I$2:$I$20000,"Orquesta/Banda/Conjunto"),"")))</f>
        <v/>
      </c>
      <c r="AH308" t="str">
        <f>IF(AE308="","",IF(AE308="[FÓRMULA MANUAL]","",IFERROR(AVERAGEIFS(DATOS!$K$2:$K$20000,DATOS!$A$2:$A$20000,AE308,DATOS!$G$2:$G$20000,CONFIG_METADATA!$B$4,DATOS!$I$2:$I$20000,"Música de Cámara"),"")))</f>
        <v/>
      </c>
      <c r="AI308" t="str">
        <f>IF(AE308="","",IF(AE308="[FÓRMULA MANUAL]","",IFERROR(SUMPRODUCT((DATOS!$A$2:$A$20000=AE308)*(DATOS!$G$2:$G$20000=CONFIG_METADATA!$B$4)*(COUNTIF(CONFIG_ASIGNATURAS!$B$7:$B$27,DATOS!$I$2:$I$20000)&gt;0)*(DATOS!$K$2:$K$20000))/SUMPRODUCT((DATOS!$A$2:$A$20000=AE308)*(DATOS!$G$2:$G$20000=CONFIG_METADATA!$B$4)*(COUNTIF(CONFIG_ASIGNATURAS!$B$7:$B$27,DATOS!$I$2:$I$20000)&gt;0)*1),"")))</f>
        <v/>
      </c>
    </row>
    <row r="309" spans="2:35" x14ac:dyDescent="0.2">
      <c r="B309" t="str">
        <f>IF(A309="","",IF(A309="[FÓRMULA MANUAL]","",IFERROR(AVERAGEIFS(DATOS!$K$2:$K$20000,DATOS!$A$2:$A$20000,A309,DATOS!$G$2:$G$20000,CONFIG_METADATA!$B$4,DATOS!$I$2:$I$20000,"Lenguaje Musical"),"")))</f>
        <v/>
      </c>
      <c r="C309" t="str">
        <f>IF(A309="","",IF(A309="[FÓRMULA MANUAL]","",IFERROR(AVERAGEIFS(DATOS!$K$2:$K$20000,DATOS!$A$2:$A$20000,A309,DATOS!$G$2:$G$20000,CONFIG_METADATA!$B$4,DATOS!$I$2:$I$20000,"Orquesta/Banda/Conjunto"),"")))</f>
        <v/>
      </c>
      <c r="D309" t="str">
        <f>IF(A309="","",IF(A309="[FÓRMULA MANUAL]","",IFERROR(AVERAGEIFS(DATOS!$K$2:$K$20000,DATOS!$A$2:$A$20000,A309,DATOS!$G$2:$G$20000,CONFIG_METADATA!$B$4,DATOS!$I$2:$I$20000,"Conjunto"),"")))</f>
        <v/>
      </c>
      <c r="E309" t="str">
        <f>IF(A309="","",IF(A309="[FÓRMULA MANUAL]","",IFERROR(SUMPRODUCT((DATOS!$A$2:$A$20000=A309)*(DATOS!$G$2:$G$20000=CONFIG_METADATA!$B$4)*(COUNTIF(CONFIG_ASIGNATURAS!$B$7:$B$27,DATOS!$I$2:$I$20000)&gt;0)*(DATOS!$K$2:$K$20000))/SUMPRODUCT((DATOS!$A$2:$A$20000=A309)*(DATOS!$G$2:$G$20000=CONFIG_METADATA!$B$4)*(COUNTIF(CONFIG_ASIGNATURAS!$B$7:$B$27,DATOS!$I$2:$I$20000)&gt;0)*1),"")))</f>
        <v/>
      </c>
      <c r="H309" t="str">
        <f>IF(G309="","",IF(G309="[FÓRMULA MANUAL]","",IFERROR(AVERAGEIFS(DATOS!$K$2:$K$20000,DATOS!$A$2:$A$20000,G309,DATOS!$G$2:$G$20000,CONFIG_METADATA!$B$4,DATOS!$I$2:$I$20000,"Lenguaje Musical"),"")))</f>
        <v/>
      </c>
      <c r="I309" t="str">
        <f>IF(G309="","",IF(G309="[FÓRMULA MANUAL]","",IFERROR(AVERAGEIFS(DATOS!$K$2:$K$20000,DATOS!$A$2:$A$20000,G309,DATOS!$G$2:$G$20000,CONFIG_METADATA!$B$4,DATOS!$I$2:$I$20000,"Orquesta/Banda/Conjunto"),"")))</f>
        <v/>
      </c>
      <c r="J309" t="str">
        <f>IF(G309="","",IF(G309="[FÓRMULA MANUAL]","",IFERROR(AVERAGEIFS(DATOS!$K$2:$K$20000,DATOS!$A$2:$A$20000,G309,DATOS!$G$2:$G$20000,CONFIG_METADATA!$B$4,DATOS!$I$2:$I$20000,"Conjunto"),"")))</f>
        <v/>
      </c>
      <c r="K309" t="str">
        <f>IF(G309="","",IF(G309="[FÓRMULA MANUAL]","",IFERROR(SUMPRODUCT((DATOS!$A$2:$A$20000=G309)*(DATOS!$G$2:$G$20000=CONFIG_METADATA!$B$4)*(COUNTIF(CONFIG_ASIGNATURAS!$B$7:$B$27,DATOS!$I$2:$I$20000)&gt;0)*(DATOS!$K$2:$K$20000))/SUMPRODUCT((DATOS!$A$2:$A$20000=G309)*(DATOS!$G$2:$G$20000=CONFIG_METADATA!$B$4)*(COUNTIF(CONFIG_ASIGNATURAS!$B$7:$B$27,DATOS!$I$2:$I$20000)&gt;0)*1),"")))</f>
        <v/>
      </c>
      <c r="N309" t="str">
        <f>IF(M309="","",IF(M309="[FÓRMULA MANUAL]","",IFERROR(AVERAGEIFS(DATOS!$K$2:$K$20000,DATOS!$A$2:$A$20000,M309,DATOS!$G$2:$G$20000,CONFIG_METADATA!$B$4,DATOS!$I$2:$I$20000,"Armonía"),"")))</f>
        <v/>
      </c>
      <c r="O309" t="str">
        <f>IF(M309="","",IF(M309="[FÓRMULA MANUAL]","",IFERROR(AVERAGEIFS(DATOS!$K$2:$K$20000,DATOS!$A$2:$A$20000,M309,DATOS!$G$2:$G$20000,CONFIG_METADATA!$B$4,DATOS!$I$2:$I$20000,"Orquesta/Banda/Conjunto"),"")))</f>
        <v/>
      </c>
      <c r="P309" t="str">
        <f>IF(M309="","",IF(M309="[FÓRMULA MANUAL]","",IFERROR(AVERAGEIFS(DATOS!$K$2:$K$20000,DATOS!$A$2:$A$20000,M309,DATOS!$G$2:$G$20000,CONFIG_METADATA!$B$4,DATOS!$I$2:$I$20000,"Música de Cámara"),"")))</f>
        <v/>
      </c>
      <c r="Q309" t="str">
        <f>IF(M309="","",IF(M309="[FÓRMULA MANUAL]","",IFERROR(SUMPRODUCT((DATOS!$A$2:$A$20000=M309)*(DATOS!$G$2:$G$20000=CONFIG_METADATA!$B$4)*(COUNTIF(CONFIG_ASIGNATURAS!$B$7:$B$27,DATOS!$I$2:$I$20000)&gt;0)*(DATOS!$K$2:$K$20000))/SUMPRODUCT((DATOS!$A$2:$A$20000=M309)*(DATOS!$G$2:$G$20000=CONFIG_METADATA!$B$4)*(COUNTIF(CONFIG_ASIGNATURAS!$B$7:$B$27,DATOS!$I$2:$I$20000)&gt;0)*1),"")))</f>
        <v/>
      </c>
      <c r="T309" t="str">
        <f>IF(S309="","",IF(S309="[FÓRMULA MANUAL]","",IFERROR(AVERAGEIFS(DATOS!$K$2:$K$20000,DATOS!$A$2:$A$20000,S309,DATOS!$G$2:$G$20000,CONFIG_METADATA!$B$4,DATOS!$I$2:$I$20000,"Armonía"),"")))</f>
        <v/>
      </c>
      <c r="U309" t="str">
        <f>IF(S309="","",IF(S309="[FÓRMULA MANUAL]","",IFERROR(AVERAGEIFS(DATOS!$K$2:$K$20000,DATOS!$A$2:$A$20000,S309,DATOS!$G$2:$G$20000,CONFIG_METADATA!$B$4,DATOS!$I$2:$I$20000,"Orquesta/Banda/Conjunto"),"")))</f>
        <v/>
      </c>
      <c r="V309" t="str">
        <f>IF(S309="","",IF(S309="[FÓRMULA MANUAL]","",IFERROR(AVERAGEIFS(DATOS!$K$2:$K$20000,DATOS!$A$2:$A$20000,S309,DATOS!$G$2:$G$20000,CONFIG_METADATA!$B$4,DATOS!$I$2:$I$20000,"Música de Cámara"),"")))</f>
        <v/>
      </c>
      <c r="W309" t="str">
        <f>IF(S309="","",IF(S309="[FÓRMULA MANUAL]","",IFERROR(SUMPRODUCT((DATOS!$A$2:$A$20000=S309)*(DATOS!$G$2:$G$20000=CONFIG_METADATA!$B$4)*(COUNTIF(CONFIG_ASIGNATURAS!$B$7:$B$27,DATOS!$I$2:$I$20000)&gt;0)*(DATOS!$K$2:$K$20000))/SUMPRODUCT((DATOS!$A$2:$A$20000=S309)*(DATOS!$G$2:$G$20000=CONFIG_METADATA!$B$4)*(COUNTIF(CONFIG_ASIGNATURAS!$B$7:$B$27,DATOS!$I$2:$I$20000)&gt;0)*1),"")))</f>
        <v/>
      </c>
      <c r="Z309" t="str">
        <f>IF(Y309="","",IF(Y309="[FÓRMULA MANUAL]","",IFERROR(AVERAGEIFS(DATOS!$K$2:$K$20000,DATOS!$A$2:$A$20000,Y309,DATOS!$G$2:$G$20000,CONFIG_METADATA!$B$4,DATOS!$I$2:$I$20000,"Análisis"),"")))</f>
        <v/>
      </c>
      <c r="AA309" t="str">
        <f>IF(Y309="","",IF(Y309="[FÓRMULA MANUAL]","",IFERROR(AVERAGEIFS(DATOS!$K$2:$K$20000,DATOS!$A$2:$A$20000,Y309,DATOS!$G$2:$G$20000,CONFIG_METADATA!$B$4,DATOS!$I$2:$I$20000,"Orquesta/Banda/Conjunto"),"")))</f>
        <v/>
      </c>
      <c r="AB309" t="str">
        <f>IF(Y309="","",IF(Y309="[FÓRMULA MANUAL]","",IFERROR(AVERAGEIFS(DATOS!$K$2:$K$20000,DATOS!$A$2:$A$20000,Y309,DATOS!$G$2:$G$20000,CONFIG_METADATA!$B$4,DATOS!$I$2:$I$20000,"Música de Cámara"),"")))</f>
        <v/>
      </c>
      <c r="AC309" t="str">
        <f>IF(Y309="","",IF(Y309="[FÓRMULA MANUAL]","",IFERROR(SUMPRODUCT((DATOS!$A$2:$A$20000=Y309)*(DATOS!$G$2:$G$20000=CONFIG_METADATA!$B$4)*(COUNTIF(CONFIG_ASIGNATURAS!$B$7:$B$27,DATOS!$I$2:$I$20000)&gt;0)*(DATOS!$K$2:$K$20000))/SUMPRODUCT((DATOS!$A$2:$A$20000=Y309)*(DATOS!$G$2:$G$20000=CONFIG_METADATA!$B$4)*(COUNTIF(CONFIG_ASIGNATURAS!$B$7:$B$27,DATOS!$I$2:$I$20000)&gt;0)*1),"")))</f>
        <v/>
      </c>
      <c r="AF309" t="str">
        <f>IF(AE309="","",IF(AE309="[FÓRMULA MANUAL]","",IFERROR(AVERAGEIFS(DATOS!$K$2:$K$20000,DATOS!$A$2:$A$20000,AE309,DATOS!$G$2:$G$20000,CONFIG_METADATA!$B$4,DATOS!$I$2:$I$20000,"Análisis"),"")))</f>
        <v/>
      </c>
      <c r="AG309" t="str">
        <f>IF(AE309="","",IF(AE309="[FÓRMULA MANUAL]","",IFERROR(AVERAGEIFS(DATOS!$K$2:$K$20000,DATOS!$A$2:$A$20000,AE309,DATOS!$G$2:$G$20000,CONFIG_METADATA!$B$4,DATOS!$I$2:$I$20000,"Orquesta/Banda/Conjunto"),"")))</f>
        <v/>
      </c>
      <c r="AH309" t="str">
        <f>IF(AE309="","",IF(AE309="[FÓRMULA MANUAL]","",IFERROR(AVERAGEIFS(DATOS!$K$2:$K$20000,DATOS!$A$2:$A$20000,AE309,DATOS!$G$2:$G$20000,CONFIG_METADATA!$B$4,DATOS!$I$2:$I$20000,"Música de Cámara"),"")))</f>
        <v/>
      </c>
      <c r="AI309" t="str">
        <f>IF(AE309="","",IF(AE309="[FÓRMULA MANUAL]","",IFERROR(SUMPRODUCT((DATOS!$A$2:$A$20000=AE309)*(DATOS!$G$2:$G$20000=CONFIG_METADATA!$B$4)*(COUNTIF(CONFIG_ASIGNATURAS!$B$7:$B$27,DATOS!$I$2:$I$20000)&gt;0)*(DATOS!$K$2:$K$20000))/SUMPRODUCT((DATOS!$A$2:$A$20000=AE309)*(DATOS!$G$2:$G$20000=CONFIG_METADATA!$B$4)*(COUNTIF(CONFIG_ASIGNATURAS!$B$7:$B$27,DATOS!$I$2:$I$20000)&gt;0)*1),"")))</f>
        <v/>
      </c>
    </row>
    <row r="310" spans="2:35" x14ac:dyDescent="0.2">
      <c r="B310" t="str">
        <f>IF(A310="","",IF(A310="[FÓRMULA MANUAL]","",IFERROR(AVERAGEIFS(DATOS!$K$2:$K$20000,DATOS!$A$2:$A$20000,A310,DATOS!$G$2:$G$20000,CONFIG_METADATA!$B$4,DATOS!$I$2:$I$20000,"Lenguaje Musical"),"")))</f>
        <v/>
      </c>
      <c r="C310" t="str">
        <f>IF(A310="","",IF(A310="[FÓRMULA MANUAL]","",IFERROR(AVERAGEIFS(DATOS!$K$2:$K$20000,DATOS!$A$2:$A$20000,A310,DATOS!$G$2:$G$20000,CONFIG_METADATA!$B$4,DATOS!$I$2:$I$20000,"Orquesta/Banda/Conjunto"),"")))</f>
        <v/>
      </c>
      <c r="D310" t="str">
        <f>IF(A310="","",IF(A310="[FÓRMULA MANUAL]","",IFERROR(AVERAGEIFS(DATOS!$K$2:$K$20000,DATOS!$A$2:$A$20000,A310,DATOS!$G$2:$G$20000,CONFIG_METADATA!$B$4,DATOS!$I$2:$I$20000,"Conjunto"),"")))</f>
        <v/>
      </c>
      <c r="E310" t="str">
        <f>IF(A310="","",IF(A310="[FÓRMULA MANUAL]","",IFERROR(SUMPRODUCT((DATOS!$A$2:$A$20000=A310)*(DATOS!$G$2:$G$20000=CONFIG_METADATA!$B$4)*(COUNTIF(CONFIG_ASIGNATURAS!$B$7:$B$27,DATOS!$I$2:$I$20000)&gt;0)*(DATOS!$K$2:$K$20000))/SUMPRODUCT((DATOS!$A$2:$A$20000=A310)*(DATOS!$G$2:$G$20000=CONFIG_METADATA!$B$4)*(COUNTIF(CONFIG_ASIGNATURAS!$B$7:$B$27,DATOS!$I$2:$I$20000)&gt;0)*1),"")))</f>
        <v/>
      </c>
      <c r="H310" t="str">
        <f>IF(G310="","",IF(G310="[FÓRMULA MANUAL]","",IFERROR(AVERAGEIFS(DATOS!$K$2:$K$20000,DATOS!$A$2:$A$20000,G310,DATOS!$G$2:$G$20000,CONFIG_METADATA!$B$4,DATOS!$I$2:$I$20000,"Lenguaje Musical"),"")))</f>
        <v/>
      </c>
      <c r="I310" t="str">
        <f>IF(G310="","",IF(G310="[FÓRMULA MANUAL]","",IFERROR(AVERAGEIFS(DATOS!$K$2:$K$20000,DATOS!$A$2:$A$20000,G310,DATOS!$G$2:$G$20000,CONFIG_METADATA!$B$4,DATOS!$I$2:$I$20000,"Orquesta/Banda/Conjunto"),"")))</f>
        <v/>
      </c>
      <c r="J310" t="str">
        <f>IF(G310="","",IF(G310="[FÓRMULA MANUAL]","",IFERROR(AVERAGEIFS(DATOS!$K$2:$K$20000,DATOS!$A$2:$A$20000,G310,DATOS!$G$2:$G$20000,CONFIG_METADATA!$B$4,DATOS!$I$2:$I$20000,"Conjunto"),"")))</f>
        <v/>
      </c>
      <c r="K310" t="str">
        <f>IF(G310="","",IF(G310="[FÓRMULA MANUAL]","",IFERROR(SUMPRODUCT((DATOS!$A$2:$A$20000=G310)*(DATOS!$G$2:$G$20000=CONFIG_METADATA!$B$4)*(COUNTIF(CONFIG_ASIGNATURAS!$B$7:$B$27,DATOS!$I$2:$I$20000)&gt;0)*(DATOS!$K$2:$K$20000))/SUMPRODUCT((DATOS!$A$2:$A$20000=G310)*(DATOS!$G$2:$G$20000=CONFIG_METADATA!$B$4)*(COUNTIF(CONFIG_ASIGNATURAS!$B$7:$B$27,DATOS!$I$2:$I$20000)&gt;0)*1),"")))</f>
        <v/>
      </c>
      <c r="N310" t="str">
        <f>IF(M310="","",IF(M310="[FÓRMULA MANUAL]","",IFERROR(AVERAGEIFS(DATOS!$K$2:$K$20000,DATOS!$A$2:$A$20000,M310,DATOS!$G$2:$G$20000,CONFIG_METADATA!$B$4,DATOS!$I$2:$I$20000,"Armonía"),"")))</f>
        <v/>
      </c>
      <c r="O310" t="str">
        <f>IF(M310="","",IF(M310="[FÓRMULA MANUAL]","",IFERROR(AVERAGEIFS(DATOS!$K$2:$K$20000,DATOS!$A$2:$A$20000,M310,DATOS!$G$2:$G$20000,CONFIG_METADATA!$B$4,DATOS!$I$2:$I$20000,"Orquesta/Banda/Conjunto"),"")))</f>
        <v/>
      </c>
      <c r="P310" t="str">
        <f>IF(M310="","",IF(M310="[FÓRMULA MANUAL]","",IFERROR(AVERAGEIFS(DATOS!$K$2:$K$20000,DATOS!$A$2:$A$20000,M310,DATOS!$G$2:$G$20000,CONFIG_METADATA!$B$4,DATOS!$I$2:$I$20000,"Música de Cámara"),"")))</f>
        <v/>
      </c>
      <c r="Q310" t="str">
        <f>IF(M310="","",IF(M310="[FÓRMULA MANUAL]","",IFERROR(SUMPRODUCT((DATOS!$A$2:$A$20000=M310)*(DATOS!$G$2:$G$20000=CONFIG_METADATA!$B$4)*(COUNTIF(CONFIG_ASIGNATURAS!$B$7:$B$27,DATOS!$I$2:$I$20000)&gt;0)*(DATOS!$K$2:$K$20000))/SUMPRODUCT((DATOS!$A$2:$A$20000=M310)*(DATOS!$G$2:$G$20000=CONFIG_METADATA!$B$4)*(COUNTIF(CONFIG_ASIGNATURAS!$B$7:$B$27,DATOS!$I$2:$I$20000)&gt;0)*1),"")))</f>
        <v/>
      </c>
      <c r="T310" t="str">
        <f>IF(S310="","",IF(S310="[FÓRMULA MANUAL]","",IFERROR(AVERAGEIFS(DATOS!$K$2:$K$20000,DATOS!$A$2:$A$20000,S310,DATOS!$G$2:$G$20000,CONFIG_METADATA!$B$4,DATOS!$I$2:$I$20000,"Armonía"),"")))</f>
        <v/>
      </c>
      <c r="U310" t="str">
        <f>IF(S310="","",IF(S310="[FÓRMULA MANUAL]","",IFERROR(AVERAGEIFS(DATOS!$K$2:$K$20000,DATOS!$A$2:$A$20000,S310,DATOS!$G$2:$G$20000,CONFIG_METADATA!$B$4,DATOS!$I$2:$I$20000,"Orquesta/Banda/Conjunto"),"")))</f>
        <v/>
      </c>
      <c r="V310" t="str">
        <f>IF(S310="","",IF(S310="[FÓRMULA MANUAL]","",IFERROR(AVERAGEIFS(DATOS!$K$2:$K$20000,DATOS!$A$2:$A$20000,S310,DATOS!$G$2:$G$20000,CONFIG_METADATA!$B$4,DATOS!$I$2:$I$20000,"Música de Cámara"),"")))</f>
        <v/>
      </c>
      <c r="W310" t="str">
        <f>IF(S310="","",IF(S310="[FÓRMULA MANUAL]","",IFERROR(SUMPRODUCT((DATOS!$A$2:$A$20000=S310)*(DATOS!$G$2:$G$20000=CONFIG_METADATA!$B$4)*(COUNTIF(CONFIG_ASIGNATURAS!$B$7:$B$27,DATOS!$I$2:$I$20000)&gt;0)*(DATOS!$K$2:$K$20000))/SUMPRODUCT((DATOS!$A$2:$A$20000=S310)*(DATOS!$G$2:$G$20000=CONFIG_METADATA!$B$4)*(COUNTIF(CONFIG_ASIGNATURAS!$B$7:$B$27,DATOS!$I$2:$I$20000)&gt;0)*1),"")))</f>
        <v/>
      </c>
      <c r="Z310" t="str">
        <f>IF(Y310="","",IF(Y310="[FÓRMULA MANUAL]","",IFERROR(AVERAGEIFS(DATOS!$K$2:$K$20000,DATOS!$A$2:$A$20000,Y310,DATOS!$G$2:$G$20000,CONFIG_METADATA!$B$4,DATOS!$I$2:$I$20000,"Análisis"),"")))</f>
        <v/>
      </c>
      <c r="AA310" t="str">
        <f>IF(Y310="","",IF(Y310="[FÓRMULA MANUAL]","",IFERROR(AVERAGEIFS(DATOS!$K$2:$K$20000,DATOS!$A$2:$A$20000,Y310,DATOS!$G$2:$G$20000,CONFIG_METADATA!$B$4,DATOS!$I$2:$I$20000,"Orquesta/Banda/Conjunto"),"")))</f>
        <v/>
      </c>
      <c r="AB310" t="str">
        <f>IF(Y310="","",IF(Y310="[FÓRMULA MANUAL]","",IFERROR(AVERAGEIFS(DATOS!$K$2:$K$20000,DATOS!$A$2:$A$20000,Y310,DATOS!$G$2:$G$20000,CONFIG_METADATA!$B$4,DATOS!$I$2:$I$20000,"Música de Cámara"),"")))</f>
        <v/>
      </c>
      <c r="AC310" t="str">
        <f>IF(Y310="","",IF(Y310="[FÓRMULA MANUAL]","",IFERROR(SUMPRODUCT((DATOS!$A$2:$A$20000=Y310)*(DATOS!$G$2:$G$20000=CONFIG_METADATA!$B$4)*(COUNTIF(CONFIG_ASIGNATURAS!$B$7:$B$27,DATOS!$I$2:$I$20000)&gt;0)*(DATOS!$K$2:$K$20000))/SUMPRODUCT((DATOS!$A$2:$A$20000=Y310)*(DATOS!$G$2:$G$20000=CONFIG_METADATA!$B$4)*(COUNTIF(CONFIG_ASIGNATURAS!$B$7:$B$27,DATOS!$I$2:$I$20000)&gt;0)*1),"")))</f>
        <v/>
      </c>
      <c r="AF310" t="str">
        <f>IF(AE310="","",IF(AE310="[FÓRMULA MANUAL]","",IFERROR(AVERAGEIFS(DATOS!$K$2:$K$20000,DATOS!$A$2:$A$20000,AE310,DATOS!$G$2:$G$20000,CONFIG_METADATA!$B$4,DATOS!$I$2:$I$20000,"Análisis"),"")))</f>
        <v/>
      </c>
      <c r="AG310" t="str">
        <f>IF(AE310="","",IF(AE310="[FÓRMULA MANUAL]","",IFERROR(AVERAGEIFS(DATOS!$K$2:$K$20000,DATOS!$A$2:$A$20000,AE310,DATOS!$G$2:$G$20000,CONFIG_METADATA!$B$4,DATOS!$I$2:$I$20000,"Orquesta/Banda/Conjunto"),"")))</f>
        <v/>
      </c>
      <c r="AH310" t="str">
        <f>IF(AE310="","",IF(AE310="[FÓRMULA MANUAL]","",IFERROR(AVERAGEIFS(DATOS!$K$2:$K$20000,DATOS!$A$2:$A$20000,AE310,DATOS!$G$2:$G$20000,CONFIG_METADATA!$B$4,DATOS!$I$2:$I$20000,"Música de Cámara"),"")))</f>
        <v/>
      </c>
      <c r="AI310" t="str">
        <f>IF(AE310="","",IF(AE310="[FÓRMULA MANUAL]","",IFERROR(SUMPRODUCT((DATOS!$A$2:$A$20000=AE310)*(DATOS!$G$2:$G$20000=CONFIG_METADATA!$B$4)*(COUNTIF(CONFIG_ASIGNATURAS!$B$7:$B$27,DATOS!$I$2:$I$20000)&gt;0)*(DATOS!$K$2:$K$20000))/SUMPRODUCT((DATOS!$A$2:$A$20000=AE310)*(DATOS!$G$2:$G$20000=CONFIG_METADATA!$B$4)*(COUNTIF(CONFIG_ASIGNATURAS!$B$7:$B$27,DATOS!$I$2:$I$20000)&gt;0)*1),"")))</f>
        <v/>
      </c>
    </row>
    <row r="311" spans="2:35" x14ac:dyDescent="0.2">
      <c r="B311" t="str">
        <f>IF(A311="","",IF(A311="[FÓRMULA MANUAL]","",IFERROR(AVERAGEIFS(DATOS!$K$2:$K$20000,DATOS!$A$2:$A$20000,A311,DATOS!$G$2:$G$20000,CONFIG_METADATA!$B$4,DATOS!$I$2:$I$20000,"Lenguaje Musical"),"")))</f>
        <v/>
      </c>
      <c r="C311" t="str">
        <f>IF(A311="","",IF(A311="[FÓRMULA MANUAL]","",IFERROR(AVERAGEIFS(DATOS!$K$2:$K$20000,DATOS!$A$2:$A$20000,A311,DATOS!$G$2:$G$20000,CONFIG_METADATA!$B$4,DATOS!$I$2:$I$20000,"Orquesta/Banda/Conjunto"),"")))</f>
        <v/>
      </c>
      <c r="D311" t="str">
        <f>IF(A311="","",IF(A311="[FÓRMULA MANUAL]","",IFERROR(AVERAGEIFS(DATOS!$K$2:$K$20000,DATOS!$A$2:$A$20000,A311,DATOS!$G$2:$G$20000,CONFIG_METADATA!$B$4,DATOS!$I$2:$I$20000,"Conjunto"),"")))</f>
        <v/>
      </c>
      <c r="E311" t="str">
        <f>IF(A311="","",IF(A311="[FÓRMULA MANUAL]","",IFERROR(SUMPRODUCT((DATOS!$A$2:$A$20000=A311)*(DATOS!$G$2:$G$20000=CONFIG_METADATA!$B$4)*(COUNTIF(CONFIG_ASIGNATURAS!$B$7:$B$27,DATOS!$I$2:$I$20000)&gt;0)*(DATOS!$K$2:$K$20000))/SUMPRODUCT((DATOS!$A$2:$A$20000=A311)*(DATOS!$G$2:$G$20000=CONFIG_METADATA!$B$4)*(COUNTIF(CONFIG_ASIGNATURAS!$B$7:$B$27,DATOS!$I$2:$I$20000)&gt;0)*1),"")))</f>
        <v/>
      </c>
      <c r="H311" t="str">
        <f>IF(G311="","",IF(G311="[FÓRMULA MANUAL]","",IFERROR(AVERAGEIFS(DATOS!$K$2:$K$20000,DATOS!$A$2:$A$20000,G311,DATOS!$G$2:$G$20000,CONFIG_METADATA!$B$4,DATOS!$I$2:$I$20000,"Lenguaje Musical"),"")))</f>
        <v/>
      </c>
      <c r="I311" t="str">
        <f>IF(G311="","",IF(G311="[FÓRMULA MANUAL]","",IFERROR(AVERAGEIFS(DATOS!$K$2:$K$20000,DATOS!$A$2:$A$20000,G311,DATOS!$G$2:$G$20000,CONFIG_METADATA!$B$4,DATOS!$I$2:$I$20000,"Orquesta/Banda/Conjunto"),"")))</f>
        <v/>
      </c>
      <c r="J311" t="str">
        <f>IF(G311="","",IF(G311="[FÓRMULA MANUAL]","",IFERROR(AVERAGEIFS(DATOS!$K$2:$K$20000,DATOS!$A$2:$A$20000,G311,DATOS!$G$2:$G$20000,CONFIG_METADATA!$B$4,DATOS!$I$2:$I$20000,"Conjunto"),"")))</f>
        <v/>
      </c>
      <c r="K311" t="str">
        <f>IF(G311="","",IF(G311="[FÓRMULA MANUAL]","",IFERROR(SUMPRODUCT((DATOS!$A$2:$A$20000=G311)*(DATOS!$G$2:$G$20000=CONFIG_METADATA!$B$4)*(COUNTIF(CONFIG_ASIGNATURAS!$B$7:$B$27,DATOS!$I$2:$I$20000)&gt;0)*(DATOS!$K$2:$K$20000))/SUMPRODUCT((DATOS!$A$2:$A$20000=G311)*(DATOS!$G$2:$G$20000=CONFIG_METADATA!$B$4)*(COUNTIF(CONFIG_ASIGNATURAS!$B$7:$B$27,DATOS!$I$2:$I$20000)&gt;0)*1),"")))</f>
        <v/>
      </c>
      <c r="N311" t="str">
        <f>IF(M311="","",IF(M311="[FÓRMULA MANUAL]","",IFERROR(AVERAGEIFS(DATOS!$K$2:$K$20000,DATOS!$A$2:$A$20000,M311,DATOS!$G$2:$G$20000,CONFIG_METADATA!$B$4,DATOS!$I$2:$I$20000,"Armonía"),"")))</f>
        <v/>
      </c>
      <c r="O311" t="str">
        <f>IF(M311="","",IF(M311="[FÓRMULA MANUAL]","",IFERROR(AVERAGEIFS(DATOS!$K$2:$K$20000,DATOS!$A$2:$A$20000,M311,DATOS!$G$2:$G$20000,CONFIG_METADATA!$B$4,DATOS!$I$2:$I$20000,"Orquesta/Banda/Conjunto"),"")))</f>
        <v/>
      </c>
      <c r="P311" t="str">
        <f>IF(M311="","",IF(M311="[FÓRMULA MANUAL]","",IFERROR(AVERAGEIFS(DATOS!$K$2:$K$20000,DATOS!$A$2:$A$20000,M311,DATOS!$G$2:$G$20000,CONFIG_METADATA!$B$4,DATOS!$I$2:$I$20000,"Música de Cámara"),"")))</f>
        <v/>
      </c>
      <c r="Q311" t="str">
        <f>IF(M311="","",IF(M311="[FÓRMULA MANUAL]","",IFERROR(SUMPRODUCT((DATOS!$A$2:$A$20000=M311)*(DATOS!$G$2:$G$20000=CONFIG_METADATA!$B$4)*(COUNTIF(CONFIG_ASIGNATURAS!$B$7:$B$27,DATOS!$I$2:$I$20000)&gt;0)*(DATOS!$K$2:$K$20000))/SUMPRODUCT((DATOS!$A$2:$A$20000=M311)*(DATOS!$G$2:$G$20000=CONFIG_METADATA!$B$4)*(COUNTIF(CONFIG_ASIGNATURAS!$B$7:$B$27,DATOS!$I$2:$I$20000)&gt;0)*1),"")))</f>
        <v/>
      </c>
      <c r="T311" t="str">
        <f>IF(S311="","",IF(S311="[FÓRMULA MANUAL]","",IFERROR(AVERAGEIFS(DATOS!$K$2:$K$20000,DATOS!$A$2:$A$20000,S311,DATOS!$G$2:$G$20000,CONFIG_METADATA!$B$4,DATOS!$I$2:$I$20000,"Armonía"),"")))</f>
        <v/>
      </c>
      <c r="U311" t="str">
        <f>IF(S311="","",IF(S311="[FÓRMULA MANUAL]","",IFERROR(AVERAGEIFS(DATOS!$K$2:$K$20000,DATOS!$A$2:$A$20000,S311,DATOS!$G$2:$G$20000,CONFIG_METADATA!$B$4,DATOS!$I$2:$I$20000,"Orquesta/Banda/Conjunto"),"")))</f>
        <v/>
      </c>
      <c r="V311" t="str">
        <f>IF(S311="","",IF(S311="[FÓRMULA MANUAL]","",IFERROR(AVERAGEIFS(DATOS!$K$2:$K$20000,DATOS!$A$2:$A$20000,S311,DATOS!$G$2:$G$20000,CONFIG_METADATA!$B$4,DATOS!$I$2:$I$20000,"Música de Cámara"),"")))</f>
        <v/>
      </c>
      <c r="W311" t="str">
        <f>IF(S311="","",IF(S311="[FÓRMULA MANUAL]","",IFERROR(SUMPRODUCT((DATOS!$A$2:$A$20000=S311)*(DATOS!$G$2:$G$20000=CONFIG_METADATA!$B$4)*(COUNTIF(CONFIG_ASIGNATURAS!$B$7:$B$27,DATOS!$I$2:$I$20000)&gt;0)*(DATOS!$K$2:$K$20000))/SUMPRODUCT((DATOS!$A$2:$A$20000=S311)*(DATOS!$G$2:$G$20000=CONFIG_METADATA!$B$4)*(COUNTIF(CONFIG_ASIGNATURAS!$B$7:$B$27,DATOS!$I$2:$I$20000)&gt;0)*1),"")))</f>
        <v/>
      </c>
      <c r="Z311" t="str">
        <f>IF(Y311="","",IF(Y311="[FÓRMULA MANUAL]","",IFERROR(AVERAGEIFS(DATOS!$K$2:$K$20000,DATOS!$A$2:$A$20000,Y311,DATOS!$G$2:$G$20000,CONFIG_METADATA!$B$4,DATOS!$I$2:$I$20000,"Análisis"),"")))</f>
        <v/>
      </c>
      <c r="AA311" t="str">
        <f>IF(Y311="","",IF(Y311="[FÓRMULA MANUAL]","",IFERROR(AVERAGEIFS(DATOS!$K$2:$K$20000,DATOS!$A$2:$A$20000,Y311,DATOS!$G$2:$G$20000,CONFIG_METADATA!$B$4,DATOS!$I$2:$I$20000,"Orquesta/Banda/Conjunto"),"")))</f>
        <v/>
      </c>
      <c r="AB311" t="str">
        <f>IF(Y311="","",IF(Y311="[FÓRMULA MANUAL]","",IFERROR(AVERAGEIFS(DATOS!$K$2:$K$20000,DATOS!$A$2:$A$20000,Y311,DATOS!$G$2:$G$20000,CONFIG_METADATA!$B$4,DATOS!$I$2:$I$20000,"Música de Cámara"),"")))</f>
        <v/>
      </c>
      <c r="AC311" t="str">
        <f>IF(Y311="","",IF(Y311="[FÓRMULA MANUAL]","",IFERROR(SUMPRODUCT((DATOS!$A$2:$A$20000=Y311)*(DATOS!$G$2:$G$20000=CONFIG_METADATA!$B$4)*(COUNTIF(CONFIG_ASIGNATURAS!$B$7:$B$27,DATOS!$I$2:$I$20000)&gt;0)*(DATOS!$K$2:$K$20000))/SUMPRODUCT((DATOS!$A$2:$A$20000=Y311)*(DATOS!$G$2:$G$20000=CONFIG_METADATA!$B$4)*(COUNTIF(CONFIG_ASIGNATURAS!$B$7:$B$27,DATOS!$I$2:$I$20000)&gt;0)*1),"")))</f>
        <v/>
      </c>
      <c r="AF311" t="str">
        <f>IF(AE311="","",IF(AE311="[FÓRMULA MANUAL]","",IFERROR(AVERAGEIFS(DATOS!$K$2:$K$20000,DATOS!$A$2:$A$20000,AE311,DATOS!$G$2:$G$20000,CONFIG_METADATA!$B$4,DATOS!$I$2:$I$20000,"Análisis"),"")))</f>
        <v/>
      </c>
      <c r="AG311" t="str">
        <f>IF(AE311="","",IF(AE311="[FÓRMULA MANUAL]","",IFERROR(AVERAGEIFS(DATOS!$K$2:$K$20000,DATOS!$A$2:$A$20000,AE311,DATOS!$G$2:$G$20000,CONFIG_METADATA!$B$4,DATOS!$I$2:$I$20000,"Orquesta/Banda/Conjunto"),"")))</f>
        <v/>
      </c>
      <c r="AH311" t="str">
        <f>IF(AE311="","",IF(AE311="[FÓRMULA MANUAL]","",IFERROR(AVERAGEIFS(DATOS!$K$2:$K$20000,DATOS!$A$2:$A$20000,AE311,DATOS!$G$2:$G$20000,CONFIG_METADATA!$B$4,DATOS!$I$2:$I$20000,"Música de Cámara"),"")))</f>
        <v/>
      </c>
      <c r="AI311" t="str">
        <f>IF(AE311="","",IF(AE311="[FÓRMULA MANUAL]","",IFERROR(SUMPRODUCT((DATOS!$A$2:$A$20000=AE311)*(DATOS!$G$2:$G$20000=CONFIG_METADATA!$B$4)*(COUNTIF(CONFIG_ASIGNATURAS!$B$7:$B$27,DATOS!$I$2:$I$20000)&gt;0)*(DATOS!$K$2:$K$20000))/SUMPRODUCT((DATOS!$A$2:$A$20000=AE311)*(DATOS!$G$2:$G$20000=CONFIG_METADATA!$B$4)*(COUNTIF(CONFIG_ASIGNATURAS!$B$7:$B$27,DATOS!$I$2:$I$20000)&gt;0)*1),"")))</f>
        <v/>
      </c>
    </row>
    <row r="312" spans="2:35" x14ac:dyDescent="0.2">
      <c r="B312" t="str">
        <f>IF(A312="","",IF(A312="[FÓRMULA MANUAL]","",IFERROR(AVERAGEIFS(DATOS!$K$2:$K$20000,DATOS!$A$2:$A$20000,A312,DATOS!$G$2:$G$20000,CONFIG_METADATA!$B$4,DATOS!$I$2:$I$20000,"Lenguaje Musical"),"")))</f>
        <v/>
      </c>
      <c r="C312" t="str">
        <f>IF(A312="","",IF(A312="[FÓRMULA MANUAL]","",IFERROR(AVERAGEIFS(DATOS!$K$2:$K$20000,DATOS!$A$2:$A$20000,A312,DATOS!$G$2:$G$20000,CONFIG_METADATA!$B$4,DATOS!$I$2:$I$20000,"Orquesta/Banda/Conjunto"),"")))</f>
        <v/>
      </c>
      <c r="D312" t="str">
        <f>IF(A312="","",IF(A312="[FÓRMULA MANUAL]","",IFERROR(AVERAGEIFS(DATOS!$K$2:$K$20000,DATOS!$A$2:$A$20000,A312,DATOS!$G$2:$G$20000,CONFIG_METADATA!$B$4,DATOS!$I$2:$I$20000,"Conjunto"),"")))</f>
        <v/>
      </c>
      <c r="E312" t="str">
        <f>IF(A312="","",IF(A312="[FÓRMULA MANUAL]","",IFERROR(SUMPRODUCT((DATOS!$A$2:$A$20000=A312)*(DATOS!$G$2:$G$20000=CONFIG_METADATA!$B$4)*(COUNTIF(CONFIG_ASIGNATURAS!$B$7:$B$27,DATOS!$I$2:$I$20000)&gt;0)*(DATOS!$K$2:$K$20000))/SUMPRODUCT((DATOS!$A$2:$A$20000=A312)*(DATOS!$G$2:$G$20000=CONFIG_METADATA!$B$4)*(COUNTIF(CONFIG_ASIGNATURAS!$B$7:$B$27,DATOS!$I$2:$I$20000)&gt;0)*1),"")))</f>
        <v/>
      </c>
      <c r="H312" t="str">
        <f>IF(G312="","",IF(G312="[FÓRMULA MANUAL]","",IFERROR(AVERAGEIFS(DATOS!$K$2:$K$20000,DATOS!$A$2:$A$20000,G312,DATOS!$G$2:$G$20000,CONFIG_METADATA!$B$4,DATOS!$I$2:$I$20000,"Lenguaje Musical"),"")))</f>
        <v/>
      </c>
      <c r="I312" t="str">
        <f>IF(G312="","",IF(G312="[FÓRMULA MANUAL]","",IFERROR(AVERAGEIFS(DATOS!$K$2:$K$20000,DATOS!$A$2:$A$20000,G312,DATOS!$G$2:$G$20000,CONFIG_METADATA!$B$4,DATOS!$I$2:$I$20000,"Orquesta/Banda/Conjunto"),"")))</f>
        <v/>
      </c>
      <c r="J312" t="str">
        <f>IF(G312="","",IF(G312="[FÓRMULA MANUAL]","",IFERROR(AVERAGEIFS(DATOS!$K$2:$K$20000,DATOS!$A$2:$A$20000,G312,DATOS!$G$2:$G$20000,CONFIG_METADATA!$B$4,DATOS!$I$2:$I$20000,"Conjunto"),"")))</f>
        <v/>
      </c>
      <c r="K312" t="str">
        <f>IF(G312="","",IF(G312="[FÓRMULA MANUAL]","",IFERROR(SUMPRODUCT((DATOS!$A$2:$A$20000=G312)*(DATOS!$G$2:$G$20000=CONFIG_METADATA!$B$4)*(COUNTIF(CONFIG_ASIGNATURAS!$B$7:$B$27,DATOS!$I$2:$I$20000)&gt;0)*(DATOS!$K$2:$K$20000))/SUMPRODUCT((DATOS!$A$2:$A$20000=G312)*(DATOS!$G$2:$G$20000=CONFIG_METADATA!$B$4)*(COUNTIF(CONFIG_ASIGNATURAS!$B$7:$B$27,DATOS!$I$2:$I$20000)&gt;0)*1),"")))</f>
        <v/>
      </c>
      <c r="N312" t="str">
        <f>IF(M312="","",IF(M312="[FÓRMULA MANUAL]","",IFERROR(AVERAGEIFS(DATOS!$K$2:$K$20000,DATOS!$A$2:$A$20000,M312,DATOS!$G$2:$G$20000,CONFIG_METADATA!$B$4,DATOS!$I$2:$I$20000,"Armonía"),"")))</f>
        <v/>
      </c>
      <c r="O312" t="str">
        <f>IF(M312="","",IF(M312="[FÓRMULA MANUAL]","",IFERROR(AVERAGEIFS(DATOS!$K$2:$K$20000,DATOS!$A$2:$A$20000,M312,DATOS!$G$2:$G$20000,CONFIG_METADATA!$B$4,DATOS!$I$2:$I$20000,"Orquesta/Banda/Conjunto"),"")))</f>
        <v/>
      </c>
      <c r="P312" t="str">
        <f>IF(M312="","",IF(M312="[FÓRMULA MANUAL]","",IFERROR(AVERAGEIFS(DATOS!$K$2:$K$20000,DATOS!$A$2:$A$20000,M312,DATOS!$G$2:$G$20000,CONFIG_METADATA!$B$4,DATOS!$I$2:$I$20000,"Música de Cámara"),"")))</f>
        <v/>
      </c>
      <c r="Q312" t="str">
        <f>IF(M312="","",IF(M312="[FÓRMULA MANUAL]","",IFERROR(SUMPRODUCT((DATOS!$A$2:$A$20000=M312)*(DATOS!$G$2:$G$20000=CONFIG_METADATA!$B$4)*(COUNTIF(CONFIG_ASIGNATURAS!$B$7:$B$27,DATOS!$I$2:$I$20000)&gt;0)*(DATOS!$K$2:$K$20000))/SUMPRODUCT((DATOS!$A$2:$A$20000=M312)*(DATOS!$G$2:$G$20000=CONFIG_METADATA!$B$4)*(COUNTIF(CONFIG_ASIGNATURAS!$B$7:$B$27,DATOS!$I$2:$I$20000)&gt;0)*1),"")))</f>
        <v/>
      </c>
      <c r="T312" t="str">
        <f>IF(S312="","",IF(S312="[FÓRMULA MANUAL]","",IFERROR(AVERAGEIFS(DATOS!$K$2:$K$20000,DATOS!$A$2:$A$20000,S312,DATOS!$G$2:$G$20000,CONFIG_METADATA!$B$4,DATOS!$I$2:$I$20000,"Armonía"),"")))</f>
        <v/>
      </c>
      <c r="U312" t="str">
        <f>IF(S312="","",IF(S312="[FÓRMULA MANUAL]","",IFERROR(AVERAGEIFS(DATOS!$K$2:$K$20000,DATOS!$A$2:$A$20000,S312,DATOS!$G$2:$G$20000,CONFIG_METADATA!$B$4,DATOS!$I$2:$I$20000,"Orquesta/Banda/Conjunto"),"")))</f>
        <v/>
      </c>
      <c r="V312" t="str">
        <f>IF(S312="","",IF(S312="[FÓRMULA MANUAL]","",IFERROR(AVERAGEIFS(DATOS!$K$2:$K$20000,DATOS!$A$2:$A$20000,S312,DATOS!$G$2:$G$20000,CONFIG_METADATA!$B$4,DATOS!$I$2:$I$20000,"Música de Cámara"),"")))</f>
        <v/>
      </c>
      <c r="W312" t="str">
        <f>IF(S312="","",IF(S312="[FÓRMULA MANUAL]","",IFERROR(SUMPRODUCT((DATOS!$A$2:$A$20000=S312)*(DATOS!$G$2:$G$20000=CONFIG_METADATA!$B$4)*(COUNTIF(CONFIG_ASIGNATURAS!$B$7:$B$27,DATOS!$I$2:$I$20000)&gt;0)*(DATOS!$K$2:$K$20000))/SUMPRODUCT((DATOS!$A$2:$A$20000=S312)*(DATOS!$G$2:$G$20000=CONFIG_METADATA!$B$4)*(COUNTIF(CONFIG_ASIGNATURAS!$B$7:$B$27,DATOS!$I$2:$I$20000)&gt;0)*1),"")))</f>
        <v/>
      </c>
      <c r="Z312" t="str">
        <f>IF(Y312="","",IF(Y312="[FÓRMULA MANUAL]","",IFERROR(AVERAGEIFS(DATOS!$K$2:$K$20000,DATOS!$A$2:$A$20000,Y312,DATOS!$G$2:$G$20000,CONFIG_METADATA!$B$4,DATOS!$I$2:$I$20000,"Análisis"),"")))</f>
        <v/>
      </c>
      <c r="AA312" t="str">
        <f>IF(Y312="","",IF(Y312="[FÓRMULA MANUAL]","",IFERROR(AVERAGEIFS(DATOS!$K$2:$K$20000,DATOS!$A$2:$A$20000,Y312,DATOS!$G$2:$G$20000,CONFIG_METADATA!$B$4,DATOS!$I$2:$I$20000,"Orquesta/Banda/Conjunto"),"")))</f>
        <v/>
      </c>
      <c r="AB312" t="str">
        <f>IF(Y312="","",IF(Y312="[FÓRMULA MANUAL]","",IFERROR(AVERAGEIFS(DATOS!$K$2:$K$20000,DATOS!$A$2:$A$20000,Y312,DATOS!$G$2:$G$20000,CONFIG_METADATA!$B$4,DATOS!$I$2:$I$20000,"Música de Cámara"),"")))</f>
        <v/>
      </c>
      <c r="AC312" t="str">
        <f>IF(Y312="","",IF(Y312="[FÓRMULA MANUAL]","",IFERROR(SUMPRODUCT((DATOS!$A$2:$A$20000=Y312)*(DATOS!$G$2:$G$20000=CONFIG_METADATA!$B$4)*(COUNTIF(CONFIG_ASIGNATURAS!$B$7:$B$27,DATOS!$I$2:$I$20000)&gt;0)*(DATOS!$K$2:$K$20000))/SUMPRODUCT((DATOS!$A$2:$A$20000=Y312)*(DATOS!$G$2:$G$20000=CONFIG_METADATA!$B$4)*(COUNTIF(CONFIG_ASIGNATURAS!$B$7:$B$27,DATOS!$I$2:$I$20000)&gt;0)*1),"")))</f>
        <v/>
      </c>
      <c r="AF312" t="str">
        <f>IF(AE312="","",IF(AE312="[FÓRMULA MANUAL]","",IFERROR(AVERAGEIFS(DATOS!$K$2:$K$20000,DATOS!$A$2:$A$20000,AE312,DATOS!$G$2:$G$20000,CONFIG_METADATA!$B$4,DATOS!$I$2:$I$20000,"Análisis"),"")))</f>
        <v/>
      </c>
      <c r="AG312" t="str">
        <f>IF(AE312="","",IF(AE312="[FÓRMULA MANUAL]","",IFERROR(AVERAGEIFS(DATOS!$K$2:$K$20000,DATOS!$A$2:$A$20000,AE312,DATOS!$G$2:$G$20000,CONFIG_METADATA!$B$4,DATOS!$I$2:$I$20000,"Orquesta/Banda/Conjunto"),"")))</f>
        <v/>
      </c>
      <c r="AH312" t="str">
        <f>IF(AE312="","",IF(AE312="[FÓRMULA MANUAL]","",IFERROR(AVERAGEIFS(DATOS!$K$2:$K$20000,DATOS!$A$2:$A$20000,AE312,DATOS!$G$2:$G$20000,CONFIG_METADATA!$B$4,DATOS!$I$2:$I$20000,"Música de Cámara"),"")))</f>
        <v/>
      </c>
      <c r="AI312" t="str">
        <f>IF(AE312="","",IF(AE312="[FÓRMULA MANUAL]","",IFERROR(SUMPRODUCT((DATOS!$A$2:$A$20000=AE312)*(DATOS!$G$2:$G$20000=CONFIG_METADATA!$B$4)*(COUNTIF(CONFIG_ASIGNATURAS!$B$7:$B$27,DATOS!$I$2:$I$20000)&gt;0)*(DATOS!$K$2:$K$20000))/SUMPRODUCT((DATOS!$A$2:$A$20000=AE312)*(DATOS!$G$2:$G$20000=CONFIG_METADATA!$B$4)*(COUNTIF(CONFIG_ASIGNATURAS!$B$7:$B$27,DATOS!$I$2:$I$20000)&gt;0)*1),"")))</f>
        <v/>
      </c>
    </row>
    <row r="313" spans="2:35" x14ac:dyDescent="0.2">
      <c r="B313" t="str">
        <f>IF(A313="","",IF(A313="[FÓRMULA MANUAL]","",IFERROR(AVERAGEIFS(DATOS!$K$2:$K$20000,DATOS!$A$2:$A$20000,A313,DATOS!$G$2:$G$20000,CONFIG_METADATA!$B$4,DATOS!$I$2:$I$20000,"Lenguaje Musical"),"")))</f>
        <v/>
      </c>
      <c r="C313" t="str">
        <f>IF(A313="","",IF(A313="[FÓRMULA MANUAL]","",IFERROR(AVERAGEIFS(DATOS!$K$2:$K$20000,DATOS!$A$2:$A$20000,A313,DATOS!$G$2:$G$20000,CONFIG_METADATA!$B$4,DATOS!$I$2:$I$20000,"Orquesta/Banda/Conjunto"),"")))</f>
        <v/>
      </c>
      <c r="D313" t="str">
        <f>IF(A313="","",IF(A313="[FÓRMULA MANUAL]","",IFERROR(AVERAGEIFS(DATOS!$K$2:$K$20000,DATOS!$A$2:$A$20000,A313,DATOS!$G$2:$G$20000,CONFIG_METADATA!$B$4,DATOS!$I$2:$I$20000,"Conjunto"),"")))</f>
        <v/>
      </c>
      <c r="E313" t="str">
        <f>IF(A313="","",IF(A313="[FÓRMULA MANUAL]","",IFERROR(SUMPRODUCT((DATOS!$A$2:$A$20000=A313)*(DATOS!$G$2:$G$20000=CONFIG_METADATA!$B$4)*(COUNTIF(CONFIG_ASIGNATURAS!$B$7:$B$27,DATOS!$I$2:$I$20000)&gt;0)*(DATOS!$K$2:$K$20000))/SUMPRODUCT((DATOS!$A$2:$A$20000=A313)*(DATOS!$G$2:$G$20000=CONFIG_METADATA!$B$4)*(COUNTIF(CONFIG_ASIGNATURAS!$B$7:$B$27,DATOS!$I$2:$I$20000)&gt;0)*1),"")))</f>
        <v/>
      </c>
      <c r="H313" t="str">
        <f>IF(G313="","",IF(G313="[FÓRMULA MANUAL]","",IFERROR(AVERAGEIFS(DATOS!$K$2:$K$20000,DATOS!$A$2:$A$20000,G313,DATOS!$G$2:$G$20000,CONFIG_METADATA!$B$4,DATOS!$I$2:$I$20000,"Lenguaje Musical"),"")))</f>
        <v/>
      </c>
      <c r="I313" t="str">
        <f>IF(G313="","",IF(G313="[FÓRMULA MANUAL]","",IFERROR(AVERAGEIFS(DATOS!$K$2:$K$20000,DATOS!$A$2:$A$20000,G313,DATOS!$G$2:$G$20000,CONFIG_METADATA!$B$4,DATOS!$I$2:$I$20000,"Orquesta/Banda/Conjunto"),"")))</f>
        <v/>
      </c>
      <c r="J313" t="str">
        <f>IF(G313="","",IF(G313="[FÓRMULA MANUAL]","",IFERROR(AVERAGEIFS(DATOS!$K$2:$K$20000,DATOS!$A$2:$A$20000,G313,DATOS!$G$2:$G$20000,CONFIG_METADATA!$B$4,DATOS!$I$2:$I$20000,"Conjunto"),"")))</f>
        <v/>
      </c>
      <c r="K313" t="str">
        <f>IF(G313="","",IF(G313="[FÓRMULA MANUAL]","",IFERROR(SUMPRODUCT((DATOS!$A$2:$A$20000=G313)*(DATOS!$G$2:$G$20000=CONFIG_METADATA!$B$4)*(COUNTIF(CONFIG_ASIGNATURAS!$B$7:$B$27,DATOS!$I$2:$I$20000)&gt;0)*(DATOS!$K$2:$K$20000))/SUMPRODUCT((DATOS!$A$2:$A$20000=G313)*(DATOS!$G$2:$G$20000=CONFIG_METADATA!$B$4)*(COUNTIF(CONFIG_ASIGNATURAS!$B$7:$B$27,DATOS!$I$2:$I$20000)&gt;0)*1),"")))</f>
        <v/>
      </c>
      <c r="N313" t="str">
        <f>IF(M313="","",IF(M313="[FÓRMULA MANUAL]","",IFERROR(AVERAGEIFS(DATOS!$K$2:$K$20000,DATOS!$A$2:$A$20000,M313,DATOS!$G$2:$G$20000,CONFIG_METADATA!$B$4,DATOS!$I$2:$I$20000,"Armonía"),"")))</f>
        <v/>
      </c>
      <c r="O313" t="str">
        <f>IF(M313="","",IF(M313="[FÓRMULA MANUAL]","",IFERROR(AVERAGEIFS(DATOS!$K$2:$K$20000,DATOS!$A$2:$A$20000,M313,DATOS!$G$2:$G$20000,CONFIG_METADATA!$B$4,DATOS!$I$2:$I$20000,"Orquesta/Banda/Conjunto"),"")))</f>
        <v/>
      </c>
      <c r="P313" t="str">
        <f>IF(M313="","",IF(M313="[FÓRMULA MANUAL]","",IFERROR(AVERAGEIFS(DATOS!$K$2:$K$20000,DATOS!$A$2:$A$20000,M313,DATOS!$G$2:$G$20000,CONFIG_METADATA!$B$4,DATOS!$I$2:$I$20000,"Música de Cámara"),"")))</f>
        <v/>
      </c>
      <c r="Q313" t="str">
        <f>IF(M313="","",IF(M313="[FÓRMULA MANUAL]","",IFERROR(SUMPRODUCT((DATOS!$A$2:$A$20000=M313)*(DATOS!$G$2:$G$20000=CONFIG_METADATA!$B$4)*(COUNTIF(CONFIG_ASIGNATURAS!$B$7:$B$27,DATOS!$I$2:$I$20000)&gt;0)*(DATOS!$K$2:$K$20000))/SUMPRODUCT((DATOS!$A$2:$A$20000=M313)*(DATOS!$G$2:$G$20000=CONFIG_METADATA!$B$4)*(COUNTIF(CONFIG_ASIGNATURAS!$B$7:$B$27,DATOS!$I$2:$I$20000)&gt;0)*1),"")))</f>
        <v/>
      </c>
      <c r="T313" t="str">
        <f>IF(S313="","",IF(S313="[FÓRMULA MANUAL]","",IFERROR(AVERAGEIFS(DATOS!$K$2:$K$20000,DATOS!$A$2:$A$20000,S313,DATOS!$G$2:$G$20000,CONFIG_METADATA!$B$4,DATOS!$I$2:$I$20000,"Armonía"),"")))</f>
        <v/>
      </c>
      <c r="U313" t="str">
        <f>IF(S313="","",IF(S313="[FÓRMULA MANUAL]","",IFERROR(AVERAGEIFS(DATOS!$K$2:$K$20000,DATOS!$A$2:$A$20000,S313,DATOS!$G$2:$G$20000,CONFIG_METADATA!$B$4,DATOS!$I$2:$I$20000,"Orquesta/Banda/Conjunto"),"")))</f>
        <v/>
      </c>
      <c r="V313" t="str">
        <f>IF(S313="","",IF(S313="[FÓRMULA MANUAL]","",IFERROR(AVERAGEIFS(DATOS!$K$2:$K$20000,DATOS!$A$2:$A$20000,S313,DATOS!$G$2:$G$20000,CONFIG_METADATA!$B$4,DATOS!$I$2:$I$20000,"Música de Cámara"),"")))</f>
        <v/>
      </c>
      <c r="W313" t="str">
        <f>IF(S313="","",IF(S313="[FÓRMULA MANUAL]","",IFERROR(SUMPRODUCT((DATOS!$A$2:$A$20000=S313)*(DATOS!$G$2:$G$20000=CONFIG_METADATA!$B$4)*(COUNTIF(CONFIG_ASIGNATURAS!$B$7:$B$27,DATOS!$I$2:$I$20000)&gt;0)*(DATOS!$K$2:$K$20000))/SUMPRODUCT((DATOS!$A$2:$A$20000=S313)*(DATOS!$G$2:$G$20000=CONFIG_METADATA!$B$4)*(COUNTIF(CONFIG_ASIGNATURAS!$B$7:$B$27,DATOS!$I$2:$I$20000)&gt;0)*1),"")))</f>
        <v/>
      </c>
      <c r="Z313" t="str">
        <f>IF(Y313="","",IF(Y313="[FÓRMULA MANUAL]","",IFERROR(AVERAGEIFS(DATOS!$K$2:$K$20000,DATOS!$A$2:$A$20000,Y313,DATOS!$G$2:$G$20000,CONFIG_METADATA!$B$4,DATOS!$I$2:$I$20000,"Análisis"),"")))</f>
        <v/>
      </c>
      <c r="AA313" t="str">
        <f>IF(Y313="","",IF(Y313="[FÓRMULA MANUAL]","",IFERROR(AVERAGEIFS(DATOS!$K$2:$K$20000,DATOS!$A$2:$A$20000,Y313,DATOS!$G$2:$G$20000,CONFIG_METADATA!$B$4,DATOS!$I$2:$I$20000,"Orquesta/Banda/Conjunto"),"")))</f>
        <v/>
      </c>
      <c r="AB313" t="str">
        <f>IF(Y313="","",IF(Y313="[FÓRMULA MANUAL]","",IFERROR(AVERAGEIFS(DATOS!$K$2:$K$20000,DATOS!$A$2:$A$20000,Y313,DATOS!$G$2:$G$20000,CONFIG_METADATA!$B$4,DATOS!$I$2:$I$20000,"Música de Cámara"),"")))</f>
        <v/>
      </c>
      <c r="AC313" t="str">
        <f>IF(Y313="","",IF(Y313="[FÓRMULA MANUAL]","",IFERROR(SUMPRODUCT((DATOS!$A$2:$A$20000=Y313)*(DATOS!$G$2:$G$20000=CONFIG_METADATA!$B$4)*(COUNTIF(CONFIG_ASIGNATURAS!$B$7:$B$27,DATOS!$I$2:$I$20000)&gt;0)*(DATOS!$K$2:$K$20000))/SUMPRODUCT((DATOS!$A$2:$A$20000=Y313)*(DATOS!$G$2:$G$20000=CONFIG_METADATA!$B$4)*(COUNTIF(CONFIG_ASIGNATURAS!$B$7:$B$27,DATOS!$I$2:$I$20000)&gt;0)*1),"")))</f>
        <v/>
      </c>
      <c r="AF313" t="str">
        <f>IF(AE313="","",IF(AE313="[FÓRMULA MANUAL]","",IFERROR(AVERAGEIFS(DATOS!$K$2:$K$20000,DATOS!$A$2:$A$20000,AE313,DATOS!$G$2:$G$20000,CONFIG_METADATA!$B$4,DATOS!$I$2:$I$20000,"Análisis"),"")))</f>
        <v/>
      </c>
      <c r="AG313" t="str">
        <f>IF(AE313="","",IF(AE313="[FÓRMULA MANUAL]","",IFERROR(AVERAGEIFS(DATOS!$K$2:$K$20000,DATOS!$A$2:$A$20000,AE313,DATOS!$G$2:$G$20000,CONFIG_METADATA!$B$4,DATOS!$I$2:$I$20000,"Orquesta/Banda/Conjunto"),"")))</f>
        <v/>
      </c>
      <c r="AH313" t="str">
        <f>IF(AE313="","",IF(AE313="[FÓRMULA MANUAL]","",IFERROR(AVERAGEIFS(DATOS!$K$2:$K$20000,DATOS!$A$2:$A$20000,AE313,DATOS!$G$2:$G$20000,CONFIG_METADATA!$B$4,DATOS!$I$2:$I$20000,"Música de Cámara"),"")))</f>
        <v/>
      </c>
      <c r="AI313" t="str">
        <f>IF(AE313="","",IF(AE313="[FÓRMULA MANUAL]","",IFERROR(SUMPRODUCT((DATOS!$A$2:$A$20000=AE313)*(DATOS!$G$2:$G$20000=CONFIG_METADATA!$B$4)*(COUNTIF(CONFIG_ASIGNATURAS!$B$7:$B$27,DATOS!$I$2:$I$20000)&gt;0)*(DATOS!$K$2:$K$20000))/SUMPRODUCT((DATOS!$A$2:$A$20000=AE313)*(DATOS!$G$2:$G$20000=CONFIG_METADATA!$B$4)*(COUNTIF(CONFIG_ASIGNATURAS!$B$7:$B$27,DATOS!$I$2:$I$20000)&gt;0)*1),"")))</f>
        <v/>
      </c>
    </row>
    <row r="314" spans="2:35" x14ac:dyDescent="0.2">
      <c r="B314" t="str">
        <f>IF(A314="","",IF(A314="[FÓRMULA MANUAL]","",IFERROR(AVERAGEIFS(DATOS!$K$2:$K$20000,DATOS!$A$2:$A$20000,A314,DATOS!$G$2:$G$20000,CONFIG_METADATA!$B$4,DATOS!$I$2:$I$20000,"Lenguaje Musical"),"")))</f>
        <v/>
      </c>
      <c r="C314" t="str">
        <f>IF(A314="","",IF(A314="[FÓRMULA MANUAL]","",IFERROR(AVERAGEIFS(DATOS!$K$2:$K$20000,DATOS!$A$2:$A$20000,A314,DATOS!$G$2:$G$20000,CONFIG_METADATA!$B$4,DATOS!$I$2:$I$20000,"Orquesta/Banda/Conjunto"),"")))</f>
        <v/>
      </c>
      <c r="D314" t="str">
        <f>IF(A314="","",IF(A314="[FÓRMULA MANUAL]","",IFERROR(AVERAGEIFS(DATOS!$K$2:$K$20000,DATOS!$A$2:$A$20000,A314,DATOS!$G$2:$G$20000,CONFIG_METADATA!$B$4,DATOS!$I$2:$I$20000,"Conjunto"),"")))</f>
        <v/>
      </c>
      <c r="E314" t="str">
        <f>IF(A314="","",IF(A314="[FÓRMULA MANUAL]","",IFERROR(SUMPRODUCT((DATOS!$A$2:$A$20000=A314)*(DATOS!$G$2:$G$20000=CONFIG_METADATA!$B$4)*(COUNTIF(CONFIG_ASIGNATURAS!$B$7:$B$27,DATOS!$I$2:$I$20000)&gt;0)*(DATOS!$K$2:$K$20000))/SUMPRODUCT((DATOS!$A$2:$A$20000=A314)*(DATOS!$G$2:$G$20000=CONFIG_METADATA!$B$4)*(COUNTIF(CONFIG_ASIGNATURAS!$B$7:$B$27,DATOS!$I$2:$I$20000)&gt;0)*1),"")))</f>
        <v/>
      </c>
      <c r="H314" t="str">
        <f>IF(G314="","",IF(G314="[FÓRMULA MANUAL]","",IFERROR(AVERAGEIFS(DATOS!$K$2:$K$20000,DATOS!$A$2:$A$20000,G314,DATOS!$G$2:$G$20000,CONFIG_METADATA!$B$4,DATOS!$I$2:$I$20000,"Lenguaje Musical"),"")))</f>
        <v/>
      </c>
      <c r="I314" t="str">
        <f>IF(G314="","",IF(G314="[FÓRMULA MANUAL]","",IFERROR(AVERAGEIFS(DATOS!$K$2:$K$20000,DATOS!$A$2:$A$20000,G314,DATOS!$G$2:$G$20000,CONFIG_METADATA!$B$4,DATOS!$I$2:$I$20000,"Orquesta/Banda/Conjunto"),"")))</f>
        <v/>
      </c>
      <c r="J314" t="str">
        <f>IF(G314="","",IF(G314="[FÓRMULA MANUAL]","",IFERROR(AVERAGEIFS(DATOS!$K$2:$K$20000,DATOS!$A$2:$A$20000,G314,DATOS!$G$2:$G$20000,CONFIG_METADATA!$B$4,DATOS!$I$2:$I$20000,"Conjunto"),"")))</f>
        <v/>
      </c>
      <c r="K314" t="str">
        <f>IF(G314="","",IF(G314="[FÓRMULA MANUAL]","",IFERROR(SUMPRODUCT((DATOS!$A$2:$A$20000=G314)*(DATOS!$G$2:$G$20000=CONFIG_METADATA!$B$4)*(COUNTIF(CONFIG_ASIGNATURAS!$B$7:$B$27,DATOS!$I$2:$I$20000)&gt;0)*(DATOS!$K$2:$K$20000))/SUMPRODUCT((DATOS!$A$2:$A$20000=G314)*(DATOS!$G$2:$G$20000=CONFIG_METADATA!$B$4)*(COUNTIF(CONFIG_ASIGNATURAS!$B$7:$B$27,DATOS!$I$2:$I$20000)&gt;0)*1),"")))</f>
        <v/>
      </c>
      <c r="N314" t="str">
        <f>IF(M314="","",IF(M314="[FÓRMULA MANUAL]","",IFERROR(AVERAGEIFS(DATOS!$K$2:$K$20000,DATOS!$A$2:$A$20000,M314,DATOS!$G$2:$G$20000,CONFIG_METADATA!$B$4,DATOS!$I$2:$I$20000,"Armonía"),"")))</f>
        <v/>
      </c>
      <c r="O314" t="str">
        <f>IF(M314="","",IF(M314="[FÓRMULA MANUAL]","",IFERROR(AVERAGEIFS(DATOS!$K$2:$K$20000,DATOS!$A$2:$A$20000,M314,DATOS!$G$2:$G$20000,CONFIG_METADATA!$B$4,DATOS!$I$2:$I$20000,"Orquesta/Banda/Conjunto"),"")))</f>
        <v/>
      </c>
      <c r="P314" t="str">
        <f>IF(M314="","",IF(M314="[FÓRMULA MANUAL]","",IFERROR(AVERAGEIFS(DATOS!$K$2:$K$20000,DATOS!$A$2:$A$20000,M314,DATOS!$G$2:$G$20000,CONFIG_METADATA!$B$4,DATOS!$I$2:$I$20000,"Música de Cámara"),"")))</f>
        <v/>
      </c>
      <c r="Q314" t="str">
        <f>IF(M314="","",IF(M314="[FÓRMULA MANUAL]","",IFERROR(SUMPRODUCT((DATOS!$A$2:$A$20000=M314)*(DATOS!$G$2:$G$20000=CONFIG_METADATA!$B$4)*(COUNTIF(CONFIG_ASIGNATURAS!$B$7:$B$27,DATOS!$I$2:$I$20000)&gt;0)*(DATOS!$K$2:$K$20000))/SUMPRODUCT((DATOS!$A$2:$A$20000=M314)*(DATOS!$G$2:$G$20000=CONFIG_METADATA!$B$4)*(COUNTIF(CONFIG_ASIGNATURAS!$B$7:$B$27,DATOS!$I$2:$I$20000)&gt;0)*1),"")))</f>
        <v/>
      </c>
      <c r="T314" t="str">
        <f>IF(S314="","",IF(S314="[FÓRMULA MANUAL]","",IFERROR(AVERAGEIFS(DATOS!$K$2:$K$20000,DATOS!$A$2:$A$20000,S314,DATOS!$G$2:$G$20000,CONFIG_METADATA!$B$4,DATOS!$I$2:$I$20000,"Armonía"),"")))</f>
        <v/>
      </c>
      <c r="U314" t="str">
        <f>IF(S314="","",IF(S314="[FÓRMULA MANUAL]","",IFERROR(AVERAGEIFS(DATOS!$K$2:$K$20000,DATOS!$A$2:$A$20000,S314,DATOS!$G$2:$G$20000,CONFIG_METADATA!$B$4,DATOS!$I$2:$I$20000,"Orquesta/Banda/Conjunto"),"")))</f>
        <v/>
      </c>
      <c r="V314" t="str">
        <f>IF(S314="","",IF(S314="[FÓRMULA MANUAL]","",IFERROR(AVERAGEIFS(DATOS!$K$2:$K$20000,DATOS!$A$2:$A$20000,S314,DATOS!$G$2:$G$20000,CONFIG_METADATA!$B$4,DATOS!$I$2:$I$20000,"Música de Cámara"),"")))</f>
        <v/>
      </c>
      <c r="W314" t="str">
        <f>IF(S314="","",IF(S314="[FÓRMULA MANUAL]","",IFERROR(SUMPRODUCT((DATOS!$A$2:$A$20000=S314)*(DATOS!$G$2:$G$20000=CONFIG_METADATA!$B$4)*(COUNTIF(CONFIG_ASIGNATURAS!$B$7:$B$27,DATOS!$I$2:$I$20000)&gt;0)*(DATOS!$K$2:$K$20000))/SUMPRODUCT((DATOS!$A$2:$A$20000=S314)*(DATOS!$G$2:$G$20000=CONFIG_METADATA!$B$4)*(COUNTIF(CONFIG_ASIGNATURAS!$B$7:$B$27,DATOS!$I$2:$I$20000)&gt;0)*1),"")))</f>
        <v/>
      </c>
      <c r="Z314" t="str">
        <f>IF(Y314="","",IF(Y314="[FÓRMULA MANUAL]","",IFERROR(AVERAGEIFS(DATOS!$K$2:$K$20000,DATOS!$A$2:$A$20000,Y314,DATOS!$G$2:$G$20000,CONFIG_METADATA!$B$4,DATOS!$I$2:$I$20000,"Análisis"),"")))</f>
        <v/>
      </c>
      <c r="AA314" t="str">
        <f>IF(Y314="","",IF(Y314="[FÓRMULA MANUAL]","",IFERROR(AVERAGEIFS(DATOS!$K$2:$K$20000,DATOS!$A$2:$A$20000,Y314,DATOS!$G$2:$G$20000,CONFIG_METADATA!$B$4,DATOS!$I$2:$I$20000,"Orquesta/Banda/Conjunto"),"")))</f>
        <v/>
      </c>
      <c r="AB314" t="str">
        <f>IF(Y314="","",IF(Y314="[FÓRMULA MANUAL]","",IFERROR(AVERAGEIFS(DATOS!$K$2:$K$20000,DATOS!$A$2:$A$20000,Y314,DATOS!$G$2:$G$20000,CONFIG_METADATA!$B$4,DATOS!$I$2:$I$20000,"Música de Cámara"),"")))</f>
        <v/>
      </c>
      <c r="AC314" t="str">
        <f>IF(Y314="","",IF(Y314="[FÓRMULA MANUAL]","",IFERROR(SUMPRODUCT((DATOS!$A$2:$A$20000=Y314)*(DATOS!$G$2:$G$20000=CONFIG_METADATA!$B$4)*(COUNTIF(CONFIG_ASIGNATURAS!$B$7:$B$27,DATOS!$I$2:$I$20000)&gt;0)*(DATOS!$K$2:$K$20000))/SUMPRODUCT((DATOS!$A$2:$A$20000=Y314)*(DATOS!$G$2:$G$20000=CONFIG_METADATA!$B$4)*(COUNTIF(CONFIG_ASIGNATURAS!$B$7:$B$27,DATOS!$I$2:$I$20000)&gt;0)*1),"")))</f>
        <v/>
      </c>
      <c r="AF314" t="str">
        <f>IF(AE314="","",IF(AE314="[FÓRMULA MANUAL]","",IFERROR(AVERAGEIFS(DATOS!$K$2:$K$20000,DATOS!$A$2:$A$20000,AE314,DATOS!$G$2:$G$20000,CONFIG_METADATA!$B$4,DATOS!$I$2:$I$20000,"Análisis"),"")))</f>
        <v/>
      </c>
      <c r="AG314" t="str">
        <f>IF(AE314="","",IF(AE314="[FÓRMULA MANUAL]","",IFERROR(AVERAGEIFS(DATOS!$K$2:$K$20000,DATOS!$A$2:$A$20000,AE314,DATOS!$G$2:$G$20000,CONFIG_METADATA!$B$4,DATOS!$I$2:$I$20000,"Orquesta/Banda/Conjunto"),"")))</f>
        <v/>
      </c>
      <c r="AH314" t="str">
        <f>IF(AE314="","",IF(AE314="[FÓRMULA MANUAL]","",IFERROR(AVERAGEIFS(DATOS!$K$2:$K$20000,DATOS!$A$2:$A$20000,AE314,DATOS!$G$2:$G$20000,CONFIG_METADATA!$B$4,DATOS!$I$2:$I$20000,"Música de Cámara"),"")))</f>
        <v/>
      </c>
      <c r="AI314" t="str">
        <f>IF(AE314="","",IF(AE314="[FÓRMULA MANUAL]","",IFERROR(SUMPRODUCT((DATOS!$A$2:$A$20000=AE314)*(DATOS!$G$2:$G$20000=CONFIG_METADATA!$B$4)*(COUNTIF(CONFIG_ASIGNATURAS!$B$7:$B$27,DATOS!$I$2:$I$20000)&gt;0)*(DATOS!$K$2:$K$20000))/SUMPRODUCT((DATOS!$A$2:$A$20000=AE314)*(DATOS!$G$2:$G$20000=CONFIG_METADATA!$B$4)*(COUNTIF(CONFIG_ASIGNATURAS!$B$7:$B$27,DATOS!$I$2:$I$20000)&gt;0)*1),"")))</f>
        <v/>
      </c>
    </row>
    <row r="315" spans="2:35" x14ac:dyDescent="0.2">
      <c r="B315" t="str">
        <f>IF(A315="","",IF(A315="[FÓRMULA MANUAL]","",IFERROR(AVERAGEIFS(DATOS!$K$2:$K$20000,DATOS!$A$2:$A$20000,A315,DATOS!$G$2:$G$20000,CONFIG_METADATA!$B$4,DATOS!$I$2:$I$20000,"Lenguaje Musical"),"")))</f>
        <v/>
      </c>
      <c r="C315" t="str">
        <f>IF(A315="","",IF(A315="[FÓRMULA MANUAL]","",IFERROR(AVERAGEIFS(DATOS!$K$2:$K$20000,DATOS!$A$2:$A$20000,A315,DATOS!$G$2:$G$20000,CONFIG_METADATA!$B$4,DATOS!$I$2:$I$20000,"Orquesta/Banda/Conjunto"),"")))</f>
        <v/>
      </c>
      <c r="D315" t="str">
        <f>IF(A315="","",IF(A315="[FÓRMULA MANUAL]","",IFERROR(AVERAGEIFS(DATOS!$K$2:$K$20000,DATOS!$A$2:$A$20000,A315,DATOS!$G$2:$G$20000,CONFIG_METADATA!$B$4,DATOS!$I$2:$I$20000,"Conjunto"),"")))</f>
        <v/>
      </c>
      <c r="E315" t="str">
        <f>IF(A315="","",IF(A315="[FÓRMULA MANUAL]","",IFERROR(SUMPRODUCT((DATOS!$A$2:$A$20000=A315)*(DATOS!$G$2:$G$20000=CONFIG_METADATA!$B$4)*(COUNTIF(CONFIG_ASIGNATURAS!$B$7:$B$27,DATOS!$I$2:$I$20000)&gt;0)*(DATOS!$K$2:$K$20000))/SUMPRODUCT((DATOS!$A$2:$A$20000=A315)*(DATOS!$G$2:$G$20000=CONFIG_METADATA!$B$4)*(COUNTIF(CONFIG_ASIGNATURAS!$B$7:$B$27,DATOS!$I$2:$I$20000)&gt;0)*1),"")))</f>
        <v/>
      </c>
      <c r="H315" t="str">
        <f>IF(G315="","",IF(G315="[FÓRMULA MANUAL]","",IFERROR(AVERAGEIFS(DATOS!$K$2:$K$20000,DATOS!$A$2:$A$20000,G315,DATOS!$G$2:$G$20000,CONFIG_METADATA!$B$4,DATOS!$I$2:$I$20000,"Lenguaje Musical"),"")))</f>
        <v/>
      </c>
      <c r="I315" t="str">
        <f>IF(G315="","",IF(G315="[FÓRMULA MANUAL]","",IFERROR(AVERAGEIFS(DATOS!$K$2:$K$20000,DATOS!$A$2:$A$20000,G315,DATOS!$G$2:$G$20000,CONFIG_METADATA!$B$4,DATOS!$I$2:$I$20000,"Orquesta/Banda/Conjunto"),"")))</f>
        <v/>
      </c>
      <c r="J315" t="str">
        <f>IF(G315="","",IF(G315="[FÓRMULA MANUAL]","",IFERROR(AVERAGEIFS(DATOS!$K$2:$K$20000,DATOS!$A$2:$A$20000,G315,DATOS!$G$2:$G$20000,CONFIG_METADATA!$B$4,DATOS!$I$2:$I$20000,"Conjunto"),"")))</f>
        <v/>
      </c>
      <c r="K315" t="str">
        <f>IF(G315="","",IF(G315="[FÓRMULA MANUAL]","",IFERROR(SUMPRODUCT((DATOS!$A$2:$A$20000=G315)*(DATOS!$G$2:$G$20000=CONFIG_METADATA!$B$4)*(COUNTIF(CONFIG_ASIGNATURAS!$B$7:$B$27,DATOS!$I$2:$I$20000)&gt;0)*(DATOS!$K$2:$K$20000))/SUMPRODUCT((DATOS!$A$2:$A$20000=G315)*(DATOS!$G$2:$G$20000=CONFIG_METADATA!$B$4)*(COUNTIF(CONFIG_ASIGNATURAS!$B$7:$B$27,DATOS!$I$2:$I$20000)&gt;0)*1),"")))</f>
        <v/>
      </c>
      <c r="N315" t="str">
        <f>IF(M315="","",IF(M315="[FÓRMULA MANUAL]","",IFERROR(AVERAGEIFS(DATOS!$K$2:$K$20000,DATOS!$A$2:$A$20000,M315,DATOS!$G$2:$G$20000,CONFIG_METADATA!$B$4,DATOS!$I$2:$I$20000,"Armonía"),"")))</f>
        <v/>
      </c>
      <c r="O315" t="str">
        <f>IF(M315="","",IF(M315="[FÓRMULA MANUAL]","",IFERROR(AVERAGEIFS(DATOS!$K$2:$K$20000,DATOS!$A$2:$A$20000,M315,DATOS!$G$2:$G$20000,CONFIG_METADATA!$B$4,DATOS!$I$2:$I$20000,"Orquesta/Banda/Conjunto"),"")))</f>
        <v/>
      </c>
      <c r="P315" t="str">
        <f>IF(M315="","",IF(M315="[FÓRMULA MANUAL]","",IFERROR(AVERAGEIFS(DATOS!$K$2:$K$20000,DATOS!$A$2:$A$20000,M315,DATOS!$G$2:$G$20000,CONFIG_METADATA!$B$4,DATOS!$I$2:$I$20000,"Música de Cámara"),"")))</f>
        <v/>
      </c>
      <c r="Q315" t="str">
        <f>IF(M315="","",IF(M315="[FÓRMULA MANUAL]","",IFERROR(SUMPRODUCT((DATOS!$A$2:$A$20000=M315)*(DATOS!$G$2:$G$20000=CONFIG_METADATA!$B$4)*(COUNTIF(CONFIG_ASIGNATURAS!$B$7:$B$27,DATOS!$I$2:$I$20000)&gt;0)*(DATOS!$K$2:$K$20000))/SUMPRODUCT((DATOS!$A$2:$A$20000=M315)*(DATOS!$G$2:$G$20000=CONFIG_METADATA!$B$4)*(COUNTIF(CONFIG_ASIGNATURAS!$B$7:$B$27,DATOS!$I$2:$I$20000)&gt;0)*1),"")))</f>
        <v/>
      </c>
      <c r="T315" t="str">
        <f>IF(S315="","",IF(S315="[FÓRMULA MANUAL]","",IFERROR(AVERAGEIFS(DATOS!$K$2:$K$20000,DATOS!$A$2:$A$20000,S315,DATOS!$G$2:$G$20000,CONFIG_METADATA!$B$4,DATOS!$I$2:$I$20000,"Armonía"),"")))</f>
        <v/>
      </c>
      <c r="U315" t="str">
        <f>IF(S315="","",IF(S315="[FÓRMULA MANUAL]","",IFERROR(AVERAGEIFS(DATOS!$K$2:$K$20000,DATOS!$A$2:$A$20000,S315,DATOS!$G$2:$G$20000,CONFIG_METADATA!$B$4,DATOS!$I$2:$I$20000,"Orquesta/Banda/Conjunto"),"")))</f>
        <v/>
      </c>
      <c r="V315" t="str">
        <f>IF(S315="","",IF(S315="[FÓRMULA MANUAL]","",IFERROR(AVERAGEIFS(DATOS!$K$2:$K$20000,DATOS!$A$2:$A$20000,S315,DATOS!$G$2:$G$20000,CONFIG_METADATA!$B$4,DATOS!$I$2:$I$20000,"Música de Cámara"),"")))</f>
        <v/>
      </c>
      <c r="W315" t="str">
        <f>IF(S315="","",IF(S315="[FÓRMULA MANUAL]","",IFERROR(SUMPRODUCT((DATOS!$A$2:$A$20000=S315)*(DATOS!$G$2:$G$20000=CONFIG_METADATA!$B$4)*(COUNTIF(CONFIG_ASIGNATURAS!$B$7:$B$27,DATOS!$I$2:$I$20000)&gt;0)*(DATOS!$K$2:$K$20000))/SUMPRODUCT((DATOS!$A$2:$A$20000=S315)*(DATOS!$G$2:$G$20000=CONFIG_METADATA!$B$4)*(COUNTIF(CONFIG_ASIGNATURAS!$B$7:$B$27,DATOS!$I$2:$I$20000)&gt;0)*1),"")))</f>
        <v/>
      </c>
      <c r="Z315" t="str">
        <f>IF(Y315="","",IF(Y315="[FÓRMULA MANUAL]","",IFERROR(AVERAGEIFS(DATOS!$K$2:$K$20000,DATOS!$A$2:$A$20000,Y315,DATOS!$G$2:$G$20000,CONFIG_METADATA!$B$4,DATOS!$I$2:$I$20000,"Análisis"),"")))</f>
        <v/>
      </c>
      <c r="AA315" t="str">
        <f>IF(Y315="","",IF(Y315="[FÓRMULA MANUAL]","",IFERROR(AVERAGEIFS(DATOS!$K$2:$K$20000,DATOS!$A$2:$A$20000,Y315,DATOS!$G$2:$G$20000,CONFIG_METADATA!$B$4,DATOS!$I$2:$I$20000,"Orquesta/Banda/Conjunto"),"")))</f>
        <v/>
      </c>
      <c r="AB315" t="str">
        <f>IF(Y315="","",IF(Y315="[FÓRMULA MANUAL]","",IFERROR(AVERAGEIFS(DATOS!$K$2:$K$20000,DATOS!$A$2:$A$20000,Y315,DATOS!$G$2:$G$20000,CONFIG_METADATA!$B$4,DATOS!$I$2:$I$20000,"Música de Cámara"),"")))</f>
        <v/>
      </c>
      <c r="AC315" t="str">
        <f>IF(Y315="","",IF(Y315="[FÓRMULA MANUAL]","",IFERROR(SUMPRODUCT((DATOS!$A$2:$A$20000=Y315)*(DATOS!$G$2:$G$20000=CONFIG_METADATA!$B$4)*(COUNTIF(CONFIG_ASIGNATURAS!$B$7:$B$27,DATOS!$I$2:$I$20000)&gt;0)*(DATOS!$K$2:$K$20000))/SUMPRODUCT((DATOS!$A$2:$A$20000=Y315)*(DATOS!$G$2:$G$20000=CONFIG_METADATA!$B$4)*(COUNTIF(CONFIG_ASIGNATURAS!$B$7:$B$27,DATOS!$I$2:$I$20000)&gt;0)*1),"")))</f>
        <v/>
      </c>
      <c r="AF315" t="str">
        <f>IF(AE315="","",IF(AE315="[FÓRMULA MANUAL]","",IFERROR(AVERAGEIFS(DATOS!$K$2:$K$20000,DATOS!$A$2:$A$20000,AE315,DATOS!$G$2:$G$20000,CONFIG_METADATA!$B$4,DATOS!$I$2:$I$20000,"Análisis"),"")))</f>
        <v/>
      </c>
      <c r="AG315" t="str">
        <f>IF(AE315="","",IF(AE315="[FÓRMULA MANUAL]","",IFERROR(AVERAGEIFS(DATOS!$K$2:$K$20000,DATOS!$A$2:$A$20000,AE315,DATOS!$G$2:$G$20000,CONFIG_METADATA!$B$4,DATOS!$I$2:$I$20000,"Orquesta/Banda/Conjunto"),"")))</f>
        <v/>
      </c>
      <c r="AH315" t="str">
        <f>IF(AE315="","",IF(AE315="[FÓRMULA MANUAL]","",IFERROR(AVERAGEIFS(DATOS!$K$2:$K$20000,DATOS!$A$2:$A$20000,AE315,DATOS!$G$2:$G$20000,CONFIG_METADATA!$B$4,DATOS!$I$2:$I$20000,"Música de Cámara"),"")))</f>
        <v/>
      </c>
      <c r="AI315" t="str">
        <f>IF(AE315="","",IF(AE315="[FÓRMULA MANUAL]","",IFERROR(SUMPRODUCT((DATOS!$A$2:$A$20000=AE315)*(DATOS!$G$2:$G$20000=CONFIG_METADATA!$B$4)*(COUNTIF(CONFIG_ASIGNATURAS!$B$7:$B$27,DATOS!$I$2:$I$20000)&gt;0)*(DATOS!$K$2:$K$20000))/SUMPRODUCT((DATOS!$A$2:$A$20000=AE315)*(DATOS!$G$2:$G$20000=CONFIG_METADATA!$B$4)*(COUNTIF(CONFIG_ASIGNATURAS!$B$7:$B$27,DATOS!$I$2:$I$20000)&gt;0)*1),"")))</f>
        <v/>
      </c>
    </row>
    <row r="316" spans="2:35" x14ac:dyDescent="0.2">
      <c r="B316" t="str">
        <f>IF(A316="","",IF(A316="[FÓRMULA MANUAL]","",IFERROR(AVERAGEIFS(DATOS!$K$2:$K$20000,DATOS!$A$2:$A$20000,A316,DATOS!$G$2:$G$20000,CONFIG_METADATA!$B$4,DATOS!$I$2:$I$20000,"Lenguaje Musical"),"")))</f>
        <v/>
      </c>
      <c r="C316" t="str">
        <f>IF(A316="","",IF(A316="[FÓRMULA MANUAL]","",IFERROR(AVERAGEIFS(DATOS!$K$2:$K$20000,DATOS!$A$2:$A$20000,A316,DATOS!$G$2:$G$20000,CONFIG_METADATA!$B$4,DATOS!$I$2:$I$20000,"Orquesta/Banda/Conjunto"),"")))</f>
        <v/>
      </c>
      <c r="D316" t="str">
        <f>IF(A316="","",IF(A316="[FÓRMULA MANUAL]","",IFERROR(AVERAGEIFS(DATOS!$K$2:$K$20000,DATOS!$A$2:$A$20000,A316,DATOS!$G$2:$G$20000,CONFIG_METADATA!$B$4,DATOS!$I$2:$I$20000,"Conjunto"),"")))</f>
        <v/>
      </c>
      <c r="E316" t="str">
        <f>IF(A316="","",IF(A316="[FÓRMULA MANUAL]","",IFERROR(SUMPRODUCT((DATOS!$A$2:$A$20000=A316)*(DATOS!$G$2:$G$20000=CONFIG_METADATA!$B$4)*(COUNTIF(CONFIG_ASIGNATURAS!$B$7:$B$27,DATOS!$I$2:$I$20000)&gt;0)*(DATOS!$K$2:$K$20000))/SUMPRODUCT((DATOS!$A$2:$A$20000=A316)*(DATOS!$G$2:$G$20000=CONFIG_METADATA!$B$4)*(COUNTIF(CONFIG_ASIGNATURAS!$B$7:$B$27,DATOS!$I$2:$I$20000)&gt;0)*1),"")))</f>
        <v/>
      </c>
      <c r="H316" t="str">
        <f>IF(G316="","",IF(G316="[FÓRMULA MANUAL]","",IFERROR(AVERAGEIFS(DATOS!$K$2:$K$20000,DATOS!$A$2:$A$20000,G316,DATOS!$G$2:$G$20000,CONFIG_METADATA!$B$4,DATOS!$I$2:$I$20000,"Lenguaje Musical"),"")))</f>
        <v/>
      </c>
      <c r="I316" t="str">
        <f>IF(G316="","",IF(G316="[FÓRMULA MANUAL]","",IFERROR(AVERAGEIFS(DATOS!$K$2:$K$20000,DATOS!$A$2:$A$20000,G316,DATOS!$G$2:$G$20000,CONFIG_METADATA!$B$4,DATOS!$I$2:$I$20000,"Orquesta/Banda/Conjunto"),"")))</f>
        <v/>
      </c>
      <c r="J316" t="str">
        <f>IF(G316="","",IF(G316="[FÓRMULA MANUAL]","",IFERROR(AVERAGEIFS(DATOS!$K$2:$K$20000,DATOS!$A$2:$A$20000,G316,DATOS!$G$2:$G$20000,CONFIG_METADATA!$B$4,DATOS!$I$2:$I$20000,"Conjunto"),"")))</f>
        <v/>
      </c>
      <c r="K316" t="str">
        <f>IF(G316="","",IF(G316="[FÓRMULA MANUAL]","",IFERROR(SUMPRODUCT((DATOS!$A$2:$A$20000=G316)*(DATOS!$G$2:$G$20000=CONFIG_METADATA!$B$4)*(COUNTIF(CONFIG_ASIGNATURAS!$B$7:$B$27,DATOS!$I$2:$I$20000)&gt;0)*(DATOS!$K$2:$K$20000))/SUMPRODUCT((DATOS!$A$2:$A$20000=G316)*(DATOS!$G$2:$G$20000=CONFIG_METADATA!$B$4)*(COUNTIF(CONFIG_ASIGNATURAS!$B$7:$B$27,DATOS!$I$2:$I$20000)&gt;0)*1),"")))</f>
        <v/>
      </c>
      <c r="N316" t="str">
        <f>IF(M316="","",IF(M316="[FÓRMULA MANUAL]","",IFERROR(AVERAGEIFS(DATOS!$K$2:$K$20000,DATOS!$A$2:$A$20000,M316,DATOS!$G$2:$G$20000,CONFIG_METADATA!$B$4,DATOS!$I$2:$I$20000,"Armonía"),"")))</f>
        <v/>
      </c>
      <c r="O316" t="str">
        <f>IF(M316="","",IF(M316="[FÓRMULA MANUAL]","",IFERROR(AVERAGEIFS(DATOS!$K$2:$K$20000,DATOS!$A$2:$A$20000,M316,DATOS!$G$2:$G$20000,CONFIG_METADATA!$B$4,DATOS!$I$2:$I$20000,"Orquesta/Banda/Conjunto"),"")))</f>
        <v/>
      </c>
      <c r="P316" t="str">
        <f>IF(M316="","",IF(M316="[FÓRMULA MANUAL]","",IFERROR(AVERAGEIFS(DATOS!$K$2:$K$20000,DATOS!$A$2:$A$20000,M316,DATOS!$G$2:$G$20000,CONFIG_METADATA!$B$4,DATOS!$I$2:$I$20000,"Música de Cámara"),"")))</f>
        <v/>
      </c>
      <c r="Q316" t="str">
        <f>IF(M316="","",IF(M316="[FÓRMULA MANUAL]","",IFERROR(SUMPRODUCT((DATOS!$A$2:$A$20000=M316)*(DATOS!$G$2:$G$20000=CONFIG_METADATA!$B$4)*(COUNTIF(CONFIG_ASIGNATURAS!$B$7:$B$27,DATOS!$I$2:$I$20000)&gt;0)*(DATOS!$K$2:$K$20000))/SUMPRODUCT((DATOS!$A$2:$A$20000=M316)*(DATOS!$G$2:$G$20000=CONFIG_METADATA!$B$4)*(COUNTIF(CONFIG_ASIGNATURAS!$B$7:$B$27,DATOS!$I$2:$I$20000)&gt;0)*1),"")))</f>
        <v/>
      </c>
      <c r="T316" t="str">
        <f>IF(S316="","",IF(S316="[FÓRMULA MANUAL]","",IFERROR(AVERAGEIFS(DATOS!$K$2:$K$20000,DATOS!$A$2:$A$20000,S316,DATOS!$G$2:$G$20000,CONFIG_METADATA!$B$4,DATOS!$I$2:$I$20000,"Armonía"),"")))</f>
        <v/>
      </c>
      <c r="U316" t="str">
        <f>IF(S316="","",IF(S316="[FÓRMULA MANUAL]","",IFERROR(AVERAGEIFS(DATOS!$K$2:$K$20000,DATOS!$A$2:$A$20000,S316,DATOS!$G$2:$G$20000,CONFIG_METADATA!$B$4,DATOS!$I$2:$I$20000,"Orquesta/Banda/Conjunto"),"")))</f>
        <v/>
      </c>
      <c r="V316" t="str">
        <f>IF(S316="","",IF(S316="[FÓRMULA MANUAL]","",IFERROR(AVERAGEIFS(DATOS!$K$2:$K$20000,DATOS!$A$2:$A$20000,S316,DATOS!$G$2:$G$20000,CONFIG_METADATA!$B$4,DATOS!$I$2:$I$20000,"Música de Cámara"),"")))</f>
        <v/>
      </c>
      <c r="W316" t="str">
        <f>IF(S316="","",IF(S316="[FÓRMULA MANUAL]","",IFERROR(SUMPRODUCT((DATOS!$A$2:$A$20000=S316)*(DATOS!$G$2:$G$20000=CONFIG_METADATA!$B$4)*(COUNTIF(CONFIG_ASIGNATURAS!$B$7:$B$27,DATOS!$I$2:$I$20000)&gt;0)*(DATOS!$K$2:$K$20000))/SUMPRODUCT((DATOS!$A$2:$A$20000=S316)*(DATOS!$G$2:$G$20000=CONFIG_METADATA!$B$4)*(COUNTIF(CONFIG_ASIGNATURAS!$B$7:$B$27,DATOS!$I$2:$I$20000)&gt;0)*1),"")))</f>
        <v/>
      </c>
      <c r="Z316" t="str">
        <f>IF(Y316="","",IF(Y316="[FÓRMULA MANUAL]","",IFERROR(AVERAGEIFS(DATOS!$K$2:$K$20000,DATOS!$A$2:$A$20000,Y316,DATOS!$G$2:$G$20000,CONFIG_METADATA!$B$4,DATOS!$I$2:$I$20000,"Análisis"),"")))</f>
        <v/>
      </c>
      <c r="AA316" t="str">
        <f>IF(Y316="","",IF(Y316="[FÓRMULA MANUAL]","",IFERROR(AVERAGEIFS(DATOS!$K$2:$K$20000,DATOS!$A$2:$A$20000,Y316,DATOS!$G$2:$G$20000,CONFIG_METADATA!$B$4,DATOS!$I$2:$I$20000,"Orquesta/Banda/Conjunto"),"")))</f>
        <v/>
      </c>
      <c r="AB316" t="str">
        <f>IF(Y316="","",IF(Y316="[FÓRMULA MANUAL]","",IFERROR(AVERAGEIFS(DATOS!$K$2:$K$20000,DATOS!$A$2:$A$20000,Y316,DATOS!$G$2:$G$20000,CONFIG_METADATA!$B$4,DATOS!$I$2:$I$20000,"Música de Cámara"),"")))</f>
        <v/>
      </c>
      <c r="AC316" t="str">
        <f>IF(Y316="","",IF(Y316="[FÓRMULA MANUAL]","",IFERROR(SUMPRODUCT((DATOS!$A$2:$A$20000=Y316)*(DATOS!$G$2:$G$20000=CONFIG_METADATA!$B$4)*(COUNTIF(CONFIG_ASIGNATURAS!$B$7:$B$27,DATOS!$I$2:$I$20000)&gt;0)*(DATOS!$K$2:$K$20000))/SUMPRODUCT((DATOS!$A$2:$A$20000=Y316)*(DATOS!$G$2:$G$20000=CONFIG_METADATA!$B$4)*(COUNTIF(CONFIG_ASIGNATURAS!$B$7:$B$27,DATOS!$I$2:$I$20000)&gt;0)*1),"")))</f>
        <v/>
      </c>
      <c r="AF316" t="str">
        <f>IF(AE316="","",IF(AE316="[FÓRMULA MANUAL]","",IFERROR(AVERAGEIFS(DATOS!$K$2:$K$20000,DATOS!$A$2:$A$20000,AE316,DATOS!$G$2:$G$20000,CONFIG_METADATA!$B$4,DATOS!$I$2:$I$20000,"Análisis"),"")))</f>
        <v/>
      </c>
      <c r="AG316" t="str">
        <f>IF(AE316="","",IF(AE316="[FÓRMULA MANUAL]","",IFERROR(AVERAGEIFS(DATOS!$K$2:$K$20000,DATOS!$A$2:$A$20000,AE316,DATOS!$G$2:$G$20000,CONFIG_METADATA!$B$4,DATOS!$I$2:$I$20000,"Orquesta/Banda/Conjunto"),"")))</f>
        <v/>
      </c>
      <c r="AH316" t="str">
        <f>IF(AE316="","",IF(AE316="[FÓRMULA MANUAL]","",IFERROR(AVERAGEIFS(DATOS!$K$2:$K$20000,DATOS!$A$2:$A$20000,AE316,DATOS!$G$2:$G$20000,CONFIG_METADATA!$B$4,DATOS!$I$2:$I$20000,"Música de Cámara"),"")))</f>
        <v/>
      </c>
      <c r="AI316" t="str">
        <f>IF(AE316="","",IF(AE316="[FÓRMULA MANUAL]","",IFERROR(SUMPRODUCT((DATOS!$A$2:$A$20000=AE316)*(DATOS!$G$2:$G$20000=CONFIG_METADATA!$B$4)*(COUNTIF(CONFIG_ASIGNATURAS!$B$7:$B$27,DATOS!$I$2:$I$20000)&gt;0)*(DATOS!$K$2:$K$20000))/SUMPRODUCT((DATOS!$A$2:$A$20000=AE316)*(DATOS!$G$2:$G$20000=CONFIG_METADATA!$B$4)*(COUNTIF(CONFIG_ASIGNATURAS!$B$7:$B$27,DATOS!$I$2:$I$20000)&gt;0)*1),"")))</f>
        <v/>
      </c>
    </row>
    <row r="317" spans="2:35" x14ac:dyDescent="0.2">
      <c r="B317" t="str">
        <f>IF(A317="","",IF(A317="[FÓRMULA MANUAL]","",IFERROR(AVERAGEIFS(DATOS!$K$2:$K$20000,DATOS!$A$2:$A$20000,A317,DATOS!$G$2:$G$20000,CONFIG_METADATA!$B$4,DATOS!$I$2:$I$20000,"Lenguaje Musical"),"")))</f>
        <v/>
      </c>
      <c r="C317" t="str">
        <f>IF(A317="","",IF(A317="[FÓRMULA MANUAL]","",IFERROR(AVERAGEIFS(DATOS!$K$2:$K$20000,DATOS!$A$2:$A$20000,A317,DATOS!$G$2:$G$20000,CONFIG_METADATA!$B$4,DATOS!$I$2:$I$20000,"Orquesta/Banda/Conjunto"),"")))</f>
        <v/>
      </c>
      <c r="D317" t="str">
        <f>IF(A317="","",IF(A317="[FÓRMULA MANUAL]","",IFERROR(AVERAGEIFS(DATOS!$K$2:$K$20000,DATOS!$A$2:$A$20000,A317,DATOS!$G$2:$G$20000,CONFIG_METADATA!$B$4,DATOS!$I$2:$I$20000,"Conjunto"),"")))</f>
        <v/>
      </c>
      <c r="E317" t="str">
        <f>IF(A317="","",IF(A317="[FÓRMULA MANUAL]","",IFERROR(SUMPRODUCT((DATOS!$A$2:$A$20000=A317)*(DATOS!$G$2:$G$20000=CONFIG_METADATA!$B$4)*(COUNTIF(CONFIG_ASIGNATURAS!$B$7:$B$27,DATOS!$I$2:$I$20000)&gt;0)*(DATOS!$K$2:$K$20000))/SUMPRODUCT((DATOS!$A$2:$A$20000=A317)*(DATOS!$G$2:$G$20000=CONFIG_METADATA!$B$4)*(COUNTIF(CONFIG_ASIGNATURAS!$B$7:$B$27,DATOS!$I$2:$I$20000)&gt;0)*1),"")))</f>
        <v/>
      </c>
      <c r="H317" t="str">
        <f>IF(G317="","",IF(G317="[FÓRMULA MANUAL]","",IFERROR(AVERAGEIFS(DATOS!$K$2:$K$20000,DATOS!$A$2:$A$20000,G317,DATOS!$G$2:$G$20000,CONFIG_METADATA!$B$4,DATOS!$I$2:$I$20000,"Lenguaje Musical"),"")))</f>
        <v/>
      </c>
      <c r="I317" t="str">
        <f>IF(G317="","",IF(G317="[FÓRMULA MANUAL]","",IFERROR(AVERAGEIFS(DATOS!$K$2:$K$20000,DATOS!$A$2:$A$20000,G317,DATOS!$G$2:$G$20000,CONFIG_METADATA!$B$4,DATOS!$I$2:$I$20000,"Orquesta/Banda/Conjunto"),"")))</f>
        <v/>
      </c>
      <c r="J317" t="str">
        <f>IF(G317="","",IF(G317="[FÓRMULA MANUAL]","",IFERROR(AVERAGEIFS(DATOS!$K$2:$K$20000,DATOS!$A$2:$A$20000,G317,DATOS!$G$2:$G$20000,CONFIG_METADATA!$B$4,DATOS!$I$2:$I$20000,"Conjunto"),"")))</f>
        <v/>
      </c>
      <c r="K317" t="str">
        <f>IF(G317="","",IF(G317="[FÓRMULA MANUAL]","",IFERROR(SUMPRODUCT((DATOS!$A$2:$A$20000=G317)*(DATOS!$G$2:$G$20000=CONFIG_METADATA!$B$4)*(COUNTIF(CONFIG_ASIGNATURAS!$B$7:$B$27,DATOS!$I$2:$I$20000)&gt;0)*(DATOS!$K$2:$K$20000))/SUMPRODUCT((DATOS!$A$2:$A$20000=G317)*(DATOS!$G$2:$G$20000=CONFIG_METADATA!$B$4)*(COUNTIF(CONFIG_ASIGNATURAS!$B$7:$B$27,DATOS!$I$2:$I$20000)&gt;0)*1),"")))</f>
        <v/>
      </c>
      <c r="N317" t="str">
        <f>IF(M317="","",IF(M317="[FÓRMULA MANUAL]","",IFERROR(AVERAGEIFS(DATOS!$K$2:$K$20000,DATOS!$A$2:$A$20000,M317,DATOS!$G$2:$G$20000,CONFIG_METADATA!$B$4,DATOS!$I$2:$I$20000,"Armonía"),"")))</f>
        <v/>
      </c>
      <c r="O317" t="str">
        <f>IF(M317="","",IF(M317="[FÓRMULA MANUAL]","",IFERROR(AVERAGEIFS(DATOS!$K$2:$K$20000,DATOS!$A$2:$A$20000,M317,DATOS!$G$2:$G$20000,CONFIG_METADATA!$B$4,DATOS!$I$2:$I$20000,"Orquesta/Banda/Conjunto"),"")))</f>
        <v/>
      </c>
      <c r="P317" t="str">
        <f>IF(M317="","",IF(M317="[FÓRMULA MANUAL]","",IFERROR(AVERAGEIFS(DATOS!$K$2:$K$20000,DATOS!$A$2:$A$20000,M317,DATOS!$G$2:$G$20000,CONFIG_METADATA!$B$4,DATOS!$I$2:$I$20000,"Música de Cámara"),"")))</f>
        <v/>
      </c>
      <c r="Q317" t="str">
        <f>IF(M317="","",IF(M317="[FÓRMULA MANUAL]","",IFERROR(SUMPRODUCT((DATOS!$A$2:$A$20000=M317)*(DATOS!$G$2:$G$20000=CONFIG_METADATA!$B$4)*(COUNTIF(CONFIG_ASIGNATURAS!$B$7:$B$27,DATOS!$I$2:$I$20000)&gt;0)*(DATOS!$K$2:$K$20000))/SUMPRODUCT((DATOS!$A$2:$A$20000=M317)*(DATOS!$G$2:$G$20000=CONFIG_METADATA!$B$4)*(COUNTIF(CONFIG_ASIGNATURAS!$B$7:$B$27,DATOS!$I$2:$I$20000)&gt;0)*1),"")))</f>
        <v/>
      </c>
      <c r="T317" t="str">
        <f>IF(S317="","",IF(S317="[FÓRMULA MANUAL]","",IFERROR(AVERAGEIFS(DATOS!$K$2:$K$20000,DATOS!$A$2:$A$20000,S317,DATOS!$G$2:$G$20000,CONFIG_METADATA!$B$4,DATOS!$I$2:$I$20000,"Armonía"),"")))</f>
        <v/>
      </c>
      <c r="U317" t="str">
        <f>IF(S317="","",IF(S317="[FÓRMULA MANUAL]","",IFERROR(AVERAGEIFS(DATOS!$K$2:$K$20000,DATOS!$A$2:$A$20000,S317,DATOS!$G$2:$G$20000,CONFIG_METADATA!$B$4,DATOS!$I$2:$I$20000,"Orquesta/Banda/Conjunto"),"")))</f>
        <v/>
      </c>
      <c r="V317" t="str">
        <f>IF(S317="","",IF(S317="[FÓRMULA MANUAL]","",IFERROR(AVERAGEIFS(DATOS!$K$2:$K$20000,DATOS!$A$2:$A$20000,S317,DATOS!$G$2:$G$20000,CONFIG_METADATA!$B$4,DATOS!$I$2:$I$20000,"Música de Cámara"),"")))</f>
        <v/>
      </c>
      <c r="W317" t="str">
        <f>IF(S317="","",IF(S317="[FÓRMULA MANUAL]","",IFERROR(SUMPRODUCT((DATOS!$A$2:$A$20000=S317)*(DATOS!$G$2:$G$20000=CONFIG_METADATA!$B$4)*(COUNTIF(CONFIG_ASIGNATURAS!$B$7:$B$27,DATOS!$I$2:$I$20000)&gt;0)*(DATOS!$K$2:$K$20000))/SUMPRODUCT((DATOS!$A$2:$A$20000=S317)*(DATOS!$G$2:$G$20000=CONFIG_METADATA!$B$4)*(COUNTIF(CONFIG_ASIGNATURAS!$B$7:$B$27,DATOS!$I$2:$I$20000)&gt;0)*1),"")))</f>
        <v/>
      </c>
      <c r="Z317" t="str">
        <f>IF(Y317="","",IF(Y317="[FÓRMULA MANUAL]","",IFERROR(AVERAGEIFS(DATOS!$K$2:$K$20000,DATOS!$A$2:$A$20000,Y317,DATOS!$G$2:$G$20000,CONFIG_METADATA!$B$4,DATOS!$I$2:$I$20000,"Análisis"),"")))</f>
        <v/>
      </c>
      <c r="AA317" t="str">
        <f>IF(Y317="","",IF(Y317="[FÓRMULA MANUAL]","",IFERROR(AVERAGEIFS(DATOS!$K$2:$K$20000,DATOS!$A$2:$A$20000,Y317,DATOS!$G$2:$G$20000,CONFIG_METADATA!$B$4,DATOS!$I$2:$I$20000,"Orquesta/Banda/Conjunto"),"")))</f>
        <v/>
      </c>
      <c r="AB317" t="str">
        <f>IF(Y317="","",IF(Y317="[FÓRMULA MANUAL]","",IFERROR(AVERAGEIFS(DATOS!$K$2:$K$20000,DATOS!$A$2:$A$20000,Y317,DATOS!$G$2:$G$20000,CONFIG_METADATA!$B$4,DATOS!$I$2:$I$20000,"Música de Cámara"),"")))</f>
        <v/>
      </c>
      <c r="AC317" t="str">
        <f>IF(Y317="","",IF(Y317="[FÓRMULA MANUAL]","",IFERROR(SUMPRODUCT((DATOS!$A$2:$A$20000=Y317)*(DATOS!$G$2:$G$20000=CONFIG_METADATA!$B$4)*(COUNTIF(CONFIG_ASIGNATURAS!$B$7:$B$27,DATOS!$I$2:$I$20000)&gt;0)*(DATOS!$K$2:$K$20000))/SUMPRODUCT((DATOS!$A$2:$A$20000=Y317)*(DATOS!$G$2:$G$20000=CONFIG_METADATA!$B$4)*(COUNTIF(CONFIG_ASIGNATURAS!$B$7:$B$27,DATOS!$I$2:$I$20000)&gt;0)*1),"")))</f>
        <v/>
      </c>
      <c r="AF317" t="str">
        <f>IF(AE317="","",IF(AE317="[FÓRMULA MANUAL]","",IFERROR(AVERAGEIFS(DATOS!$K$2:$K$20000,DATOS!$A$2:$A$20000,AE317,DATOS!$G$2:$G$20000,CONFIG_METADATA!$B$4,DATOS!$I$2:$I$20000,"Análisis"),"")))</f>
        <v/>
      </c>
      <c r="AG317" t="str">
        <f>IF(AE317="","",IF(AE317="[FÓRMULA MANUAL]","",IFERROR(AVERAGEIFS(DATOS!$K$2:$K$20000,DATOS!$A$2:$A$20000,AE317,DATOS!$G$2:$G$20000,CONFIG_METADATA!$B$4,DATOS!$I$2:$I$20000,"Orquesta/Banda/Conjunto"),"")))</f>
        <v/>
      </c>
      <c r="AH317" t="str">
        <f>IF(AE317="","",IF(AE317="[FÓRMULA MANUAL]","",IFERROR(AVERAGEIFS(DATOS!$K$2:$K$20000,DATOS!$A$2:$A$20000,AE317,DATOS!$G$2:$G$20000,CONFIG_METADATA!$B$4,DATOS!$I$2:$I$20000,"Música de Cámara"),"")))</f>
        <v/>
      </c>
      <c r="AI317" t="str">
        <f>IF(AE317="","",IF(AE317="[FÓRMULA MANUAL]","",IFERROR(SUMPRODUCT((DATOS!$A$2:$A$20000=AE317)*(DATOS!$G$2:$G$20000=CONFIG_METADATA!$B$4)*(COUNTIF(CONFIG_ASIGNATURAS!$B$7:$B$27,DATOS!$I$2:$I$20000)&gt;0)*(DATOS!$K$2:$K$20000))/SUMPRODUCT((DATOS!$A$2:$A$20000=AE317)*(DATOS!$G$2:$G$20000=CONFIG_METADATA!$B$4)*(COUNTIF(CONFIG_ASIGNATURAS!$B$7:$B$27,DATOS!$I$2:$I$20000)&gt;0)*1),"")))</f>
        <v/>
      </c>
    </row>
    <row r="318" spans="2:35" x14ac:dyDescent="0.2">
      <c r="B318" t="str">
        <f>IF(A318="","",IF(A318="[FÓRMULA MANUAL]","",IFERROR(AVERAGEIFS(DATOS!$K$2:$K$20000,DATOS!$A$2:$A$20000,A318,DATOS!$G$2:$G$20000,CONFIG_METADATA!$B$4,DATOS!$I$2:$I$20000,"Lenguaje Musical"),"")))</f>
        <v/>
      </c>
      <c r="C318" t="str">
        <f>IF(A318="","",IF(A318="[FÓRMULA MANUAL]","",IFERROR(AVERAGEIFS(DATOS!$K$2:$K$20000,DATOS!$A$2:$A$20000,A318,DATOS!$G$2:$G$20000,CONFIG_METADATA!$B$4,DATOS!$I$2:$I$20000,"Orquesta/Banda/Conjunto"),"")))</f>
        <v/>
      </c>
      <c r="D318" t="str">
        <f>IF(A318="","",IF(A318="[FÓRMULA MANUAL]","",IFERROR(AVERAGEIFS(DATOS!$K$2:$K$20000,DATOS!$A$2:$A$20000,A318,DATOS!$G$2:$G$20000,CONFIG_METADATA!$B$4,DATOS!$I$2:$I$20000,"Conjunto"),"")))</f>
        <v/>
      </c>
      <c r="E318" t="str">
        <f>IF(A318="","",IF(A318="[FÓRMULA MANUAL]","",IFERROR(SUMPRODUCT((DATOS!$A$2:$A$20000=A318)*(DATOS!$G$2:$G$20000=CONFIG_METADATA!$B$4)*(COUNTIF(CONFIG_ASIGNATURAS!$B$7:$B$27,DATOS!$I$2:$I$20000)&gt;0)*(DATOS!$K$2:$K$20000))/SUMPRODUCT((DATOS!$A$2:$A$20000=A318)*(DATOS!$G$2:$G$20000=CONFIG_METADATA!$B$4)*(COUNTIF(CONFIG_ASIGNATURAS!$B$7:$B$27,DATOS!$I$2:$I$20000)&gt;0)*1),"")))</f>
        <v/>
      </c>
      <c r="H318" t="str">
        <f>IF(G318="","",IF(G318="[FÓRMULA MANUAL]","",IFERROR(AVERAGEIFS(DATOS!$K$2:$K$20000,DATOS!$A$2:$A$20000,G318,DATOS!$G$2:$G$20000,CONFIG_METADATA!$B$4,DATOS!$I$2:$I$20000,"Lenguaje Musical"),"")))</f>
        <v/>
      </c>
      <c r="I318" t="str">
        <f>IF(G318="","",IF(G318="[FÓRMULA MANUAL]","",IFERROR(AVERAGEIFS(DATOS!$K$2:$K$20000,DATOS!$A$2:$A$20000,G318,DATOS!$G$2:$G$20000,CONFIG_METADATA!$B$4,DATOS!$I$2:$I$20000,"Orquesta/Banda/Conjunto"),"")))</f>
        <v/>
      </c>
      <c r="J318" t="str">
        <f>IF(G318="","",IF(G318="[FÓRMULA MANUAL]","",IFERROR(AVERAGEIFS(DATOS!$K$2:$K$20000,DATOS!$A$2:$A$20000,G318,DATOS!$G$2:$G$20000,CONFIG_METADATA!$B$4,DATOS!$I$2:$I$20000,"Conjunto"),"")))</f>
        <v/>
      </c>
      <c r="K318" t="str">
        <f>IF(G318="","",IF(G318="[FÓRMULA MANUAL]","",IFERROR(SUMPRODUCT((DATOS!$A$2:$A$20000=G318)*(DATOS!$G$2:$G$20000=CONFIG_METADATA!$B$4)*(COUNTIF(CONFIG_ASIGNATURAS!$B$7:$B$27,DATOS!$I$2:$I$20000)&gt;0)*(DATOS!$K$2:$K$20000))/SUMPRODUCT((DATOS!$A$2:$A$20000=G318)*(DATOS!$G$2:$G$20000=CONFIG_METADATA!$B$4)*(COUNTIF(CONFIG_ASIGNATURAS!$B$7:$B$27,DATOS!$I$2:$I$20000)&gt;0)*1),"")))</f>
        <v/>
      </c>
      <c r="N318" t="str">
        <f>IF(M318="","",IF(M318="[FÓRMULA MANUAL]","",IFERROR(AVERAGEIFS(DATOS!$K$2:$K$20000,DATOS!$A$2:$A$20000,M318,DATOS!$G$2:$G$20000,CONFIG_METADATA!$B$4,DATOS!$I$2:$I$20000,"Armonía"),"")))</f>
        <v/>
      </c>
      <c r="O318" t="str">
        <f>IF(M318="","",IF(M318="[FÓRMULA MANUAL]","",IFERROR(AVERAGEIFS(DATOS!$K$2:$K$20000,DATOS!$A$2:$A$20000,M318,DATOS!$G$2:$G$20000,CONFIG_METADATA!$B$4,DATOS!$I$2:$I$20000,"Orquesta/Banda/Conjunto"),"")))</f>
        <v/>
      </c>
      <c r="P318" t="str">
        <f>IF(M318="","",IF(M318="[FÓRMULA MANUAL]","",IFERROR(AVERAGEIFS(DATOS!$K$2:$K$20000,DATOS!$A$2:$A$20000,M318,DATOS!$G$2:$G$20000,CONFIG_METADATA!$B$4,DATOS!$I$2:$I$20000,"Música de Cámara"),"")))</f>
        <v/>
      </c>
      <c r="Q318" t="str">
        <f>IF(M318="","",IF(M318="[FÓRMULA MANUAL]","",IFERROR(SUMPRODUCT((DATOS!$A$2:$A$20000=M318)*(DATOS!$G$2:$G$20000=CONFIG_METADATA!$B$4)*(COUNTIF(CONFIG_ASIGNATURAS!$B$7:$B$27,DATOS!$I$2:$I$20000)&gt;0)*(DATOS!$K$2:$K$20000))/SUMPRODUCT((DATOS!$A$2:$A$20000=M318)*(DATOS!$G$2:$G$20000=CONFIG_METADATA!$B$4)*(COUNTIF(CONFIG_ASIGNATURAS!$B$7:$B$27,DATOS!$I$2:$I$20000)&gt;0)*1),"")))</f>
        <v/>
      </c>
      <c r="T318" t="str">
        <f>IF(S318="","",IF(S318="[FÓRMULA MANUAL]","",IFERROR(AVERAGEIFS(DATOS!$K$2:$K$20000,DATOS!$A$2:$A$20000,S318,DATOS!$G$2:$G$20000,CONFIG_METADATA!$B$4,DATOS!$I$2:$I$20000,"Armonía"),"")))</f>
        <v/>
      </c>
      <c r="U318" t="str">
        <f>IF(S318="","",IF(S318="[FÓRMULA MANUAL]","",IFERROR(AVERAGEIFS(DATOS!$K$2:$K$20000,DATOS!$A$2:$A$20000,S318,DATOS!$G$2:$G$20000,CONFIG_METADATA!$B$4,DATOS!$I$2:$I$20000,"Orquesta/Banda/Conjunto"),"")))</f>
        <v/>
      </c>
      <c r="V318" t="str">
        <f>IF(S318="","",IF(S318="[FÓRMULA MANUAL]","",IFERROR(AVERAGEIFS(DATOS!$K$2:$K$20000,DATOS!$A$2:$A$20000,S318,DATOS!$G$2:$G$20000,CONFIG_METADATA!$B$4,DATOS!$I$2:$I$20000,"Música de Cámara"),"")))</f>
        <v/>
      </c>
      <c r="W318" t="str">
        <f>IF(S318="","",IF(S318="[FÓRMULA MANUAL]","",IFERROR(SUMPRODUCT((DATOS!$A$2:$A$20000=S318)*(DATOS!$G$2:$G$20000=CONFIG_METADATA!$B$4)*(COUNTIF(CONFIG_ASIGNATURAS!$B$7:$B$27,DATOS!$I$2:$I$20000)&gt;0)*(DATOS!$K$2:$K$20000))/SUMPRODUCT((DATOS!$A$2:$A$20000=S318)*(DATOS!$G$2:$G$20000=CONFIG_METADATA!$B$4)*(COUNTIF(CONFIG_ASIGNATURAS!$B$7:$B$27,DATOS!$I$2:$I$20000)&gt;0)*1),"")))</f>
        <v/>
      </c>
      <c r="Z318" t="str">
        <f>IF(Y318="","",IF(Y318="[FÓRMULA MANUAL]","",IFERROR(AVERAGEIFS(DATOS!$K$2:$K$20000,DATOS!$A$2:$A$20000,Y318,DATOS!$G$2:$G$20000,CONFIG_METADATA!$B$4,DATOS!$I$2:$I$20000,"Análisis"),"")))</f>
        <v/>
      </c>
      <c r="AA318" t="str">
        <f>IF(Y318="","",IF(Y318="[FÓRMULA MANUAL]","",IFERROR(AVERAGEIFS(DATOS!$K$2:$K$20000,DATOS!$A$2:$A$20000,Y318,DATOS!$G$2:$G$20000,CONFIG_METADATA!$B$4,DATOS!$I$2:$I$20000,"Orquesta/Banda/Conjunto"),"")))</f>
        <v/>
      </c>
      <c r="AB318" t="str">
        <f>IF(Y318="","",IF(Y318="[FÓRMULA MANUAL]","",IFERROR(AVERAGEIFS(DATOS!$K$2:$K$20000,DATOS!$A$2:$A$20000,Y318,DATOS!$G$2:$G$20000,CONFIG_METADATA!$B$4,DATOS!$I$2:$I$20000,"Música de Cámara"),"")))</f>
        <v/>
      </c>
      <c r="AC318" t="str">
        <f>IF(Y318="","",IF(Y318="[FÓRMULA MANUAL]","",IFERROR(SUMPRODUCT((DATOS!$A$2:$A$20000=Y318)*(DATOS!$G$2:$G$20000=CONFIG_METADATA!$B$4)*(COUNTIF(CONFIG_ASIGNATURAS!$B$7:$B$27,DATOS!$I$2:$I$20000)&gt;0)*(DATOS!$K$2:$K$20000))/SUMPRODUCT((DATOS!$A$2:$A$20000=Y318)*(DATOS!$G$2:$G$20000=CONFIG_METADATA!$B$4)*(COUNTIF(CONFIG_ASIGNATURAS!$B$7:$B$27,DATOS!$I$2:$I$20000)&gt;0)*1),"")))</f>
        <v/>
      </c>
      <c r="AF318" t="str">
        <f>IF(AE318="","",IF(AE318="[FÓRMULA MANUAL]","",IFERROR(AVERAGEIFS(DATOS!$K$2:$K$20000,DATOS!$A$2:$A$20000,AE318,DATOS!$G$2:$G$20000,CONFIG_METADATA!$B$4,DATOS!$I$2:$I$20000,"Análisis"),"")))</f>
        <v/>
      </c>
      <c r="AG318" t="str">
        <f>IF(AE318="","",IF(AE318="[FÓRMULA MANUAL]","",IFERROR(AVERAGEIFS(DATOS!$K$2:$K$20000,DATOS!$A$2:$A$20000,AE318,DATOS!$G$2:$G$20000,CONFIG_METADATA!$B$4,DATOS!$I$2:$I$20000,"Orquesta/Banda/Conjunto"),"")))</f>
        <v/>
      </c>
      <c r="AH318" t="str">
        <f>IF(AE318="","",IF(AE318="[FÓRMULA MANUAL]","",IFERROR(AVERAGEIFS(DATOS!$K$2:$K$20000,DATOS!$A$2:$A$20000,AE318,DATOS!$G$2:$G$20000,CONFIG_METADATA!$B$4,DATOS!$I$2:$I$20000,"Música de Cámara"),"")))</f>
        <v/>
      </c>
      <c r="AI318" t="str">
        <f>IF(AE318="","",IF(AE318="[FÓRMULA MANUAL]","",IFERROR(SUMPRODUCT((DATOS!$A$2:$A$20000=AE318)*(DATOS!$G$2:$G$20000=CONFIG_METADATA!$B$4)*(COUNTIF(CONFIG_ASIGNATURAS!$B$7:$B$27,DATOS!$I$2:$I$20000)&gt;0)*(DATOS!$K$2:$K$20000))/SUMPRODUCT((DATOS!$A$2:$A$20000=AE318)*(DATOS!$G$2:$G$20000=CONFIG_METADATA!$B$4)*(COUNTIF(CONFIG_ASIGNATURAS!$B$7:$B$27,DATOS!$I$2:$I$20000)&gt;0)*1),"")))</f>
        <v/>
      </c>
    </row>
    <row r="319" spans="2:35" x14ac:dyDescent="0.2">
      <c r="B319" t="str">
        <f>IF(A319="","",IF(A319="[FÓRMULA MANUAL]","",IFERROR(AVERAGEIFS(DATOS!$K$2:$K$20000,DATOS!$A$2:$A$20000,A319,DATOS!$G$2:$G$20000,CONFIG_METADATA!$B$4,DATOS!$I$2:$I$20000,"Lenguaje Musical"),"")))</f>
        <v/>
      </c>
      <c r="C319" t="str">
        <f>IF(A319="","",IF(A319="[FÓRMULA MANUAL]","",IFERROR(AVERAGEIFS(DATOS!$K$2:$K$20000,DATOS!$A$2:$A$20000,A319,DATOS!$G$2:$G$20000,CONFIG_METADATA!$B$4,DATOS!$I$2:$I$20000,"Orquesta/Banda/Conjunto"),"")))</f>
        <v/>
      </c>
      <c r="D319" t="str">
        <f>IF(A319="","",IF(A319="[FÓRMULA MANUAL]","",IFERROR(AVERAGEIFS(DATOS!$K$2:$K$20000,DATOS!$A$2:$A$20000,A319,DATOS!$G$2:$G$20000,CONFIG_METADATA!$B$4,DATOS!$I$2:$I$20000,"Conjunto"),"")))</f>
        <v/>
      </c>
      <c r="E319" t="str">
        <f>IF(A319="","",IF(A319="[FÓRMULA MANUAL]","",IFERROR(SUMPRODUCT((DATOS!$A$2:$A$20000=A319)*(DATOS!$G$2:$G$20000=CONFIG_METADATA!$B$4)*(COUNTIF(CONFIG_ASIGNATURAS!$B$7:$B$27,DATOS!$I$2:$I$20000)&gt;0)*(DATOS!$K$2:$K$20000))/SUMPRODUCT((DATOS!$A$2:$A$20000=A319)*(DATOS!$G$2:$G$20000=CONFIG_METADATA!$B$4)*(COUNTIF(CONFIG_ASIGNATURAS!$B$7:$B$27,DATOS!$I$2:$I$20000)&gt;0)*1),"")))</f>
        <v/>
      </c>
      <c r="H319" t="str">
        <f>IF(G319="","",IF(G319="[FÓRMULA MANUAL]","",IFERROR(AVERAGEIFS(DATOS!$K$2:$K$20000,DATOS!$A$2:$A$20000,G319,DATOS!$G$2:$G$20000,CONFIG_METADATA!$B$4,DATOS!$I$2:$I$20000,"Lenguaje Musical"),"")))</f>
        <v/>
      </c>
      <c r="I319" t="str">
        <f>IF(G319="","",IF(G319="[FÓRMULA MANUAL]","",IFERROR(AVERAGEIFS(DATOS!$K$2:$K$20000,DATOS!$A$2:$A$20000,G319,DATOS!$G$2:$G$20000,CONFIG_METADATA!$B$4,DATOS!$I$2:$I$20000,"Orquesta/Banda/Conjunto"),"")))</f>
        <v/>
      </c>
      <c r="J319" t="str">
        <f>IF(G319="","",IF(G319="[FÓRMULA MANUAL]","",IFERROR(AVERAGEIFS(DATOS!$K$2:$K$20000,DATOS!$A$2:$A$20000,G319,DATOS!$G$2:$G$20000,CONFIG_METADATA!$B$4,DATOS!$I$2:$I$20000,"Conjunto"),"")))</f>
        <v/>
      </c>
      <c r="K319" t="str">
        <f>IF(G319="","",IF(G319="[FÓRMULA MANUAL]","",IFERROR(SUMPRODUCT((DATOS!$A$2:$A$20000=G319)*(DATOS!$G$2:$G$20000=CONFIG_METADATA!$B$4)*(COUNTIF(CONFIG_ASIGNATURAS!$B$7:$B$27,DATOS!$I$2:$I$20000)&gt;0)*(DATOS!$K$2:$K$20000))/SUMPRODUCT((DATOS!$A$2:$A$20000=G319)*(DATOS!$G$2:$G$20000=CONFIG_METADATA!$B$4)*(COUNTIF(CONFIG_ASIGNATURAS!$B$7:$B$27,DATOS!$I$2:$I$20000)&gt;0)*1),"")))</f>
        <v/>
      </c>
      <c r="N319" t="str">
        <f>IF(M319="","",IF(M319="[FÓRMULA MANUAL]","",IFERROR(AVERAGEIFS(DATOS!$K$2:$K$20000,DATOS!$A$2:$A$20000,M319,DATOS!$G$2:$G$20000,CONFIG_METADATA!$B$4,DATOS!$I$2:$I$20000,"Armonía"),"")))</f>
        <v/>
      </c>
      <c r="O319" t="str">
        <f>IF(M319="","",IF(M319="[FÓRMULA MANUAL]","",IFERROR(AVERAGEIFS(DATOS!$K$2:$K$20000,DATOS!$A$2:$A$20000,M319,DATOS!$G$2:$G$20000,CONFIG_METADATA!$B$4,DATOS!$I$2:$I$20000,"Orquesta/Banda/Conjunto"),"")))</f>
        <v/>
      </c>
      <c r="P319" t="str">
        <f>IF(M319="","",IF(M319="[FÓRMULA MANUAL]","",IFERROR(AVERAGEIFS(DATOS!$K$2:$K$20000,DATOS!$A$2:$A$20000,M319,DATOS!$G$2:$G$20000,CONFIG_METADATA!$B$4,DATOS!$I$2:$I$20000,"Música de Cámara"),"")))</f>
        <v/>
      </c>
      <c r="Q319" t="str">
        <f>IF(M319="","",IF(M319="[FÓRMULA MANUAL]","",IFERROR(SUMPRODUCT((DATOS!$A$2:$A$20000=M319)*(DATOS!$G$2:$G$20000=CONFIG_METADATA!$B$4)*(COUNTIF(CONFIG_ASIGNATURAS!$B$7:$B$27,DATOS!$I$2:$I$20000)&gt;0)*(DATOS!$K$2:$K$20000))/SUMPRODUCT((DATOS!$A$2:$A$20000=M319)*(DATOS!$G$2:$G$20000=CONFIG_METADATA!$B$4)*(COUNTIF(CONFIG_ASIGNATURAS!$B$7:$B$27,DATOS!$I$2:$I$20000)&gt;0)*1),"")))</f>
        <v/>
      </c>
      <c r="T319" t="str">
        <f>IF(S319="","",IF(S319="[FÓRMULA MANUAL]","",IFERROR(AVERAGEIFS(DATOS!$K$2:$K$20000,DATOS!$A$2:$A$20000,S319,DATOS!$G$2:$G$20000,CONFIG_METADATA!$B$4,DATOS!$I$2:$I$20000,"Armonía"),"")))</f>
        <v/>
      </c>
      <c r="U319" t="str">
        <f>IF(S319="","",IF(S319="[FÓRMULA MANUAL]","",IFERROR(AVERAGEIFS(DATOS!$K$2:$K$20000,DATOS!$A$2:$A$20000,S319,DATOS!$G$2:$G$20000,CONFIG_METADATA!$B$4,DATOS!$I$2:$I$20000,"Orquesta/Banda/Conjunto"),"")))</f>
        <v/>
      </c>
      <c r="V319" t="str">
        <f>IF(S319="","",IF(S319="[FÓRMULA MANUAL]","",IFERROR(AVERAGEIFS(DATOS!$K$2:$K$20000,DATOS!$A$2:$A$20000,S319,DATOS!$G$2:$G$20000,CONFIG_METADATA!$B$4,DATOS!$I$2:$I$20000,"Música de Cámara"),"")))</f>
        <v/>
      </c>
      <c r="W319" t="str">
        <f>IF(S319="","",IF(S319="[FÓRMULA MANUAL]","",IFERROR(SUMPRODUCT((DATOS!$A$2:$A$20000=S319)*(DATOS!$G$2:$G$20000=CONFIG_METADATA!$B$4)*(COUNTIF(CONFIG_ASIGNATURAS!$B$7:$B$27,DATOS!$I$2:$I$20000)&gt;0)*(DATOS!$K$2:$K$20000))/SUMPRODUCT((DATOS!$A$2:$A$20000=S319)*(DATOS!$G$2:$G$20000=CONFIG_METADATA!$B$4)*(COUNTIF(CONFIG_ASIGNATURAS!$B$7:$B$27,DATOS!$I$2:$I$20000)&gt;0)*1),"")))</f>
        <v/>
      </c>
      <c r="Z319" t="str">
        <f>IF(Y319="","",IF(Y319="[FÓRMULA MANUAL]","",IFERROR(AVERAGEIFS(DATOS!$K$2:$K$20000,DATOS!$A$2:$A$20000,Y319,DATOS!$G$2:$G$20000,CONFIG_METADATA!$B$4,DATOS!$I$2:$I$20000,"Análisis"),"")))</f>
        <v/>
      </c>
      <c r="AA319" t="str">
        <f>IF(Y319="","",IF(Y319="[FÓRMULA MANUAL]","",IFERROR(AVERAGEIFS(DATOS!$K$2:$K$20000,DATOS!$A$2:$A$20000,Y319,DATOS!$G$2:$G$20000,CONFIG_METADATA!$B$4,DATOS!$I$2:$I$20000,"Orquesta/Banda/Conjunto"),"")))</f>
        <v/>
      </c>
      <c r="AB319" t="str">
        <f>IF(Y319="","",IF(Y319="[FÓRMULA MANUAL]","",IFERROR(AVERAGEIFS(DATOS!$K$2:$K$20000,DATOS!$A$2:$A$20000,Y319,DATOS!$G$2:$G$20000,CONFIG_METADATA!$B$4,DATOS!$I$2:$I$20000,"Música de Cámara"),"")))</f>
        <v/>
      </c>
      <c r="AC319" t="str">
        <f>IF(Y319="","",IF(Y319="[FÓRMULA MANUAL]","",IFERROR(SUMPRODUCT((DATOS!$A$2:$A$20000=Y319)*(DATOS!$G$2:$G$20000=CONFIG_METADATA!$B$4)*(COUNTIF(CONFIG_ASIGNATURAS!$B$7:$B$27,DATOS!$I$2:$I$20000)&gt;0)*(DATOS!$K$2:$K$20000))/SUMPRODUCT((DATOS!$A$2:$A$20000=Y319)*(DATOS!$G$2:$G$20000=CONFIG_METADATA!$B$4)*(COUNTIF(CONFIG_ASIGNATURAS!$B$7:$B$27,DATOS!$I$2:$I$20000)&gt;0)*1),"")))</f>
        <v/>
      </c>
      <c r="AF319" t="str">
        <f>IF(AE319="","",IF(AE319="[FÓRMULA MANUAL]","",IFERROR(AVERAGEIFS(DATOS!$K$2:$K$20000,DATOS!$A$2:$A$20000,AE319,DATOS!$G$2:$G$20000,CONFIG_METADATA!$B$4,DATOS!$I$2:$I$20000,"Análisis"),"")))</f>
        <v/>
      </c>
      <c r="AG319" t="str">
        <f>IF(AE319="","",IF(AE319="[FÓRMULA MANUAL]","",IFERROR(AVERAGEIFS(DATOS!$K$2:$K$20000,DATOS!$A$2:$A$20000,AE319,DATOS!$G$2:$G$20000,CONFIG_METADATA!$B$4,DATOS!$I$2:$I$20000,"Orquesta/Banda/Conjunto"),"")))</f>
        <v/>
      </c>
      <c r="AH319" t="str">
        <f>IF(AE319="","",IF(AE319="[FÓRMULA MANUAL]","",IFERROR(AVERAGEIFS(DATOS!$K$2:$K$20000,DATOS!$A$2:$A$20000,AE319,DATOS!$G$2:$G$20000,CONFIG_METADATA!$B$4,DATOS!$I$2:$I$20000,"Música de Cámara"),"")))</f>
        <v/>
      </c>
      <c r="AI319" t="str">
        <f>IF(AE319="","",IF(AE319="[FÓRMULA MANUAL]","",IFERROR(SUMPRODUCT((DATOS!$A$2:$A$20000=AE319)*(DATOS!$G$2:$G$20000=CONFIG_METADATA!$B$4)*(COUNTIF(CONFIG_ASIGNATURAS!$B$7:$B$27,DATOS!$I$2:$I$20000)&gt;0)*(DATOS!$K$2:$K$20000))/SUMPRODUCT((DATOS!$A$2:$A$20000=AE319)*(DATOS!$G$2:$G$20000=CONFIG_METADATA!$B$4)*(COUNTIF(CONFIG_ASIGNATURAS!$B$7:$B$27,DATOS!$I$2:$I$20000)&gt;0)*1),"")))</f>
        <v/>
      </c>
    </row>
    <row r="320" spans="2:35" x14ac:dyDescent="0.2">
      <c r="B320" t="str">
        <f>IF(A320="","",IF(A320="[FÓRMULA MANUAL]","",IFERROR(AVERAGEIFS(DATOS!$K$2:$K$20000,DATOS!$A$2:$A$20000,A320,DATOS!$G$2:$G$20000,CONFIG_METADATA!$B$4,DATOS!$I$2:$I$20000,"Lenguaje Musical"),"")))</f>
        <v/>
      </c>
      <c r="C320" t="str">
        <f>IF(A320="","",IF(A320="[FÓRMULA MANUAL]","",IFERROR(AVERAGEIFS(DATOS!$K$2:$K$20000,DATOS!$A$2:$A$20000,A320,DATOS!$G$2:$G$20000,CONFIG_METADATA!$B$4,DATOS!$I$2:$I$20000,"Orquesta/Banda/Conjunto"),"")))</f>
        <v/>
      </c>
      <c r="D320" t="str">
        <f>IF(A320="","",IF(A320="[FÓRMULA MANUAL]","",IFERROR(AVERAGEIFS(DATOS!$K$2:$K$20000,DATOS!$A$2:$A$20000,A320,DATOS!$G$2:$G$20000,CONFIG_METADATA!$B$4,DATOS!$I$2:$I$20000,"Conjunto"),"")))</f>
        <v/>
      </c>
      <c r="E320" t="str">
        <f>IF(A320="","",IF(A320="[FÓRMULA MANUAL]","",IFERROR(SUMPRODUCT((DATOS!$A$2:$A$20000=A320)*(DATOS!$G$2:$G$20000=CONFIG_METADATA!$B$4)*(COUNTIF(CONFIG_ASIGNATURAS!$B$7:$B$27,DATOS!$I$2:$I$20000)&gt;0)*(DATOS!$K$2:$K$20000))/SUMPRODUCT((DATOS!$A$2:$A$20000=A320)*(DATOS!$G$2:$G$20000=CONFIG_METADATA!$B$4)*(COUNTIF(CONFIG_ASIGNATURAS!$B$7:$B$27,DATOS!$I$2:$I$20000)&gt;0)*1),"")))</f>
        <v/>
      </c>
      <c r="H320" t="str">
        <f>IF(G320="","",IF(G320="[FÓRMULA MANUAL]","",IFERROR(AVERAGEIFS(DATOS!$K$2:$K$20000,DATOS!$A$2:$A$20000,G320,DATOS!$G$2:$G$20000,CONFIG_METADATA!$B$4,DATOS!$I$2:$I$20000,"Lenguaje Musical"),"")))</f>
        <v/>
      </c>
      <c r="I320" t="str">
        <f>IF(G320="","",IF(G320="[FÓRMULA MANUAL]","",IFERROR(AVERAGEIFS(DATOS!$K$2:$K$20000,DATOS!$A$2:$A$20000,G320,DATOS!$G$2:$G$20000,CONFIG_METADATA!$B$4,DATOS!$I$2:$I$20000,"Orquesta/Banda/Conjunto"),"")))</f>
        <v/>
      </c>
      <c r="J320" t="str">
        <f>IF(G320="","",IF(G320="[FÓRMULA MANUAL]","",IFERROR(AVERAGEIFS(DATOS!$K$2:$K$20000,DATOS!$A$2:$A$20000,G320,DATOS!$G$2:$G$20000,CONFIG_METADATA!$B$4,DATOS!$I$2:$I$20000,"Conjunto"),"")))</f>
        <v/>
      </c>
      <c r="K320" t="str">
        <f>IF(G320="","",IF(G320="[FÓRMULA MANUAL]","",IFERROR(SUMPRODUCT((DATOS!$A$2:$A$20000=G320)*(DATOS!$G$2:$G$20000=CONFIG_METADATA!$B$4)*(COUNTIF(CONFIG_ASIGNATURAS!$B$7:$B$27,DATOS!$I$2:$I$20000)&gt;0)*(DATOS!$K$2:$K$20000))/SUMPRODUCT((DATOS!$A$2:$A$20000=G320)*(DATOS!$G$2:$G$20000=CONFIG_METADATA!$B$4)*(COUNTIF(CONFIG_ASIGNATURAS!$B$7:$B$27,DATOS!$I$2:$I$20000)&gt;0)*1),"")))</f>
        <v/>
      </c>
      <c r="N320" t="str">
        <f>IF(M320="","",IF(M320="[FÓRMULA MANUAL]","",IFERROR(AVERAGEIFS(DATOS!$K$2:$K$20000,DATOS!$A$2:$A$20000,M320,DATOS!$G$2:$G$20000,CONFIG_METADATA!$B$4,DATOS!$I$2:$I$20000,"Armonía"),"")))</f>
        <v/>
      </c>
      <c r="O320" t="str">
        <f>IF(M320="","",IF(M320="[FÓRMULA MANUAL]","",IFERROR(AVERAGEIFS(DATOS!$K$2:$K$20000,DATOS!$A$2:$A$20000,M320,DATOS!$G$2:$G$20000,CONFIG_METADATA!$B$4,DATOS!$I$2:$I$20000,"Orquesta/Banda/Conjunto"),"")))</f>
        <v/>
      </c>
      <c r="P320" t="str">
        <f>IF(M320="","",IF(M320="[FÓRMULA MANUAL]","",IFERROR(AVERAGEIFS(DATOS!$K$2:$K$20000,DATOS!$A$2:$A$20000,M320,DATOS!$G$2:$G$20000,CONFIG_METADATA!$B$4,DATOS!$I$2:$I$20000,"Música de Cámara"),"")))</f>
        <v/>
      </c>
      <c r="Q320" t="str">
        <f>IF(M320="","",IF(M320="[FÓRMULA MANUAL]","",IFERROR(SUMPRODUCT((DATOS!$A$2:$A$20000=M320)*(DATOS!$G$2:$G$20000=CONFIG_METADATA!$B$4)*(COUNTIF(CONFIG_ASIGNATURAS!$B$7:$B$27,DATOS!$I$2:$I$20000)&gt;0)*(DATOS!$K$2:$K$20000))/SUMPRODUCT((DATOS!$A$2:$A$20000=M320)*(DATOS!$G$2:$G$20000=CONFIG_METADATA!$B$4)*(COUNTIF(CONFIG_ASIGNATURAS!$B$7:$B$27,DATOS!$I$2:$I$20000)&gt;0)*1),"")))</f>
        <v/>
      </c>
      <c r="T320" t="str">
        <f>IF(S320="","",IF(S320="[FÓRMULA MANUAL]","",IFERROR(AVERAGEIFS(DATOS!$K$2:$K$20000,DATOS!$A$2:$A$20000,S320,DATOS!$G$2:$G$20000,CONFIG_METADATA!$B$4,DATOS!$I$2:$I$20000,"Armonía"),"")))</f>
        <v/>
      </c>
      <c r="U320" t="str">
        <f>IF(S320="","",IF(S320="[FÓRMULA MANUAL]","",IFERROR(AVERAGEIFS(DATOS!$K$2:$K$20000,DATOS!$A$2:$A$20000,S320,DATOS!$G$2:$G$20000,CONFIG_METADATA!$B$4,DATOS!$I$2:$I$20000,"Orquesta/Banda/Conjunto"),"")))</f>
        <v/>
      </c>
      <c r="V320" t="str">
        <f>IF(S320="","",IF(S320="[FÓRMULA MANUAL]","",IFERROR(AVERAGEIFS(DATOS!$K$2:$K$20000,DATOS!$A$2:$A$20000,S320,DATOS!$G$2:$G$20000,CONFIG_METADATA!$B$4,DATOS!$I$2:$I$20000,"Música de Cámara"),"")))</f>
        <v/>
      </c>
      <c r="W320" t="str">
        <f>IF(S320="","",IF(S320="[FÓRMULA MANUAL]","",IFERROR(SUMPRODUCT((DATOS!$A$2:$A$20000=S320)*(DATOS!$G$2:$G$20000=CONFIG_METADATA!$B$4)*(COUNTIF(CONFIG_ASIGNATURAS!$B$7:$B$27,DATOS!$I$2:$I$20000)&gt;0)*(DATOS!$K$2:$K$20000))/SUMPRODUCT((DATOS!$A$2:$A$20000=S320)*(DATOS!$G$2:$G$20000=CONFIG_METADATA!$B$4)*(COUNTIF(CONFIG_ASIGNATURAS!$B$7:$B$27,DATOS!$I$2:$I$20000)&gt;0)*1),"")))</f>
        <v/>
      </c>
      <c r="Z320" t="str">
        <f>IF(Y320="","",IF(Y320="[FÓRMULA MANUAL]","",IFERROR(AVERAGEIFS(DATOS!$K$2:$K$20000,DATOS!$A$2:$A$20000,Y320,DATOS!$G$2:$G$20000,CONFIG_METADATA!$B$4,DATOS!$I$2:$I$20000,"Análisis"),"")))</f>
        <v/>
      </c>
      <c r="AA320" t="str">
        <f>IF(Y320="","",IF(Y320="[FÓRMULA MANUAL]","",IFERROR(AVERAGEIFS(DATOS!$K$2:$K$20000,DATOS!$A$2:$A$20000,Y320,DATOS!$G$2:$G$20000,CONFIG_METADATA!$B$4,DATOS!$I$2:$I$20000,"Orquesta/Banda/Conjunto"),"")))</f>
        <v/>
      </c>
      <c r="AB320" t="str">
        <f>IF(Y320="","",IF(Y320="[FÓRMULA MANUAL]","",IFERROR(AVERAGEIFS(DATOS!$K$2:$K$20000,DATOS!$A$2:$A$20000,Y320,DATOS!$G$2:$G$20000,CONFIG_METADATA!$B$4,DATOS!$I$2:$I$20000,"Música de Cámara"),"")))</f>
        <v/>
      </c>
      <c r="AC320" t="str">
        <f>IF(Y320="","",IF(Y320="[FÓRMULA MANUAL]","",IFERROR(SUMPRODUCT((DATOS!$A$2:$A$20000=Y320)*(DATOS!$G$2:$G$20000=CONFIG_METADATA!$B$4)*(COUNTIF(CONFIG_ASIGNATURAS!$B$7:$B$27,DATOS!$I$2:$I$20000)&gt;0)*(DATOS!$K$2:$K$20000))/SUMPRODUCT((DATOS!$A$2:$A$20000=Y320)*(DATOS!$G$2:$G$20000=CONFIG_METADATA!$B$4)*(COUNTIF(CONFIG_ASIGNATURAS!$B$7:$B$27,DATOS!$I$2:$I$20000)&gt;0)*1),"")))</f>
        <v/>
      </c>
      <c r="AF320" t="str">
        <f>IF(AE320="","",IF(AE320="[FÓRMULA MANUAL]","",IFERROR(AVERAGEIFS(DATOS!$K$2:$K$20000,DATOS!$A$2:$A$20000,AE320,DATOS!$G$2:$G$20000,CONFIG_METADATA!$B$4,DATOS!$I$2:$I$20000,"Análisis"),"")))</f>
        <v/>
      </c>
      <c r="AG320" t="str">
        <f>IF(AE320="","",IF(AE320="[FÓRMULA MANUAL]","",IFERROR(AVERAGEIFS(DATOS!$K$2:$K$20000,DATOS!$A$2:$A$20000,AE320,DATOS!$G$2:$G$20000,CONFIG_METADATA!$B$4,DATOS!$I$2:$I$20000,"Orquesta/Banda/Conjunto"),"")))</f>
        <v/>
      </c>
      <c r="AH320" t="str">
        <f>IF(AE320="","",IF(AE320="[FÓRMULA MANUAL]","",IFERROR(AVERAGEIFS(DATOS!$K$2:$K$20000,DATOS!$A$2:$A$20000,AE320,DATOS!$G$2:$G$20000,CONFIG_METADATA!$B$4,DATOS!$I$2:$I$20000,"Música de Cámara"),"")))</f>
        <v/>
      </c>
      <c r="AI320" t="str">
        <f>IF(AE320="","",IF(AE320="[FÓRMULA MANUAL]","",IFERROR(SUMPRODUCT((DATOS!$A$2:$A$20000=AE320)*(DATOS!$G$2:$G$20000=CONFIG_METADATA!$B$4)*(COUNTIF(CONFIG_ASIGNATURAS!$B$7:$B$27,DATOS!$I$2:$I$20000)&gt;0)*(DATOS!$K$2:$K$20000))/SUMPRODUCT((DATOS!$A$2:$A$20000=AE320)*(DATOS!$G$2:$G$20000=CONFIG_METADATA!$B$4)*(COUNTIF(CONFIG_ASIGNATURAS!$B$7:$B$27,DATOS!$I$2:$I$20000)&gt;0)*1),"")))</f>
        <v/>
      </c>
    </row>
    <row r="321" spans="2:35" x14ac:dyDescent="0.2">
      <c r="B321" t="str">
        <f>IF(A321="","",IF(A321="[FÓRMULA MANUAL]","",IFERROR(AVERAGEIFS(DATOS!$K$2:$K$20000,DATOS!$A$2:$A$20000,A321,DATOS!$G$2:$G$20000,CONFIG_METADATA!$B$4,DATOS!$I$2:$I$20000,"Lenguaje Musical"),"")))</f>
        <v/>
      </c>
      <c r="C321" t="str">
        <f>IF(A321="","",IF(A321="[FÓRMULA MANUAL]","",IFERROR(AVERAGEIFS(DATOS!$K$2:$K$20000,DATOS!$A$2:$A$20000,A321,DATOS!$G$2:$G$20000,CONFIG_METADATA!$B$4,DATOS!$I$2:$I$20000,"Orquesta/Banda/Conjunto"),"")))</f>
        <v/>
      </c>
      <c r="D321" t="str">
        <f>IF(A321="","",IF(A321="[FÓRMULA MANUAL]","",IFERROR(AVERAGEIFS(DATOS!$K$2:$K$20000,DATOS!$A$2:$A$20000,A321,DATOS!$G$2:$G$20000,CONFIG_METADATA!$B$4,DATOS!$I$2:$I$20000,"Conjunto"),"")))</f>
        <v/>
      </c>
      <c r="E321" t="str">
        <f>IF(A321="","",IF(A321="[FÓRMULA MANUAL]","",IFERROR(SUMPRODUCT((DATOS!$A$2:$A$20000=A321)*(DATOS!$G$2:$G$20000=CONFIG_METADATA!$B$4)*(COUNTIF(CONFIG_ASIGNATURAS!$B$7:$B$27,DATOS!$I$2:$I$20000)&gt;0)*(DATOS!$K$2:$K$20000))/SUMPRODUCT((DATOS!$A$2:$A$20000=A321)*(DATOS!$G$2:$G$20000=CONFIG_METADATA!$B$4)*(COUNTIF(CONFIG_ASIGNATURAS!$B$7:$B$27,DATOS!$I$2:$I$20000)&gt;0)*1),"")))</f>
        <v/>
      </c>
      <c r="H321" t="str">
        <f>IF(G321="","",IF(G321="[FÓRMULA MANUAL]","",IFERROR(AVERAGEIFS(DATOS!$K$2:$K$20000,DATOS!$A$2:$A$20000,G321,DATOS!$G$2:$G$20000,CONFIG_METADATA!$B$4,DATOS!$I$2:$I$20000,"Lenguaje Musical"),"")))</f>
        <v/>
      </c>
      <c r="I321" t="str">
        <f>IF(G321="","",IF(G321="[FÓRMULA MANUAL]","",IFERROR(AVERAGEIFS(DATOS!$K$2:$K$20000,DATOS!$A$2:$A$20000,G321,DATOS!$G$2:$G$20000,CONFIG_METADATA!$B$4,DATOS!$I$2:$I$20000,"Orquesta/Banda/Conjunto"),"")))</f>
        <v/>
      </c>
      <c r="J321" t="str">
        <f>IF(G321="","",IF(G321="[FÓRMULA MANUAL]","",IFERROR(AVERAGEIFS(DATOS!$K$2:$K$20000,DATOS!$A$2:$A$20000,G321,DATOS!$G$2:$G$20000,CONFIG_METADATA!$B$4,DATOS!$I$2:$I$20000,"Conjunto"),"")))</f>
        <v/>
      </c>
      <c r="K321" t="str">
        <f>IF(G321="","",IF(G321="[FÓRMULA MANUAL]","",IFERROR(SUMPRODUCT((DATOS!$A$2:$A$20000=G321)*(DATOS!$G$2:$G$20000=CONFIG_METADATA!$B$4)*(COUNTIF(CONFIG_ASIGNATURAS!$B$7:$B$27,DATOS!$I$2:$I$20000)&gt;0)*(DATOS!$K$2:$K$20000))/SUMPRODUCT((DATOS!$A$2:$A$20000=G321)*(DATOS!$G$2:$G$20000=CONFIG_METADATA!$B$4)*(COUNTIF(CONFIG_ASIGNATURAS!$B$7:$B$27,DATOS!$I$2:$I$20000)&gt;0)*1),"")))</f>
        <v/>
      </c>
      <c r="N321" t="str">
        <f>IF(M321="","",IF(M321="[FÓRMULA MANUAL]","",IFERROR(AVERAGEIFS(DATOS!$K$2:$K$20000,DATOS!$A$2:$A$20000,M321,DATOS!$G$2:$G$20000,CONFIG_METADATA!$B$4,DATOS!$I$2:$I$20000,"Armonía"),"")))</f>
        <v/>
      </c>
      <c r="O321" t="str">
        <f>IF(M321="","",IF(M321="[FÓRMULA MANUAL]","",IFERROR(AVERAGEIFS(DATOS!$K$2:$K$20000,DATOS!$A$2:$A$20000,M321,DATOS!$G$2:$G$20000,CONFIG_METADATA!$B$4,DATOS!$I$2:$I$20000,"Orquesta/Banda/Conjunto"),"")))</f>
        <v/>
      </c>
      <c r="P321" t="str">
        <f>IF(M321="","",IF(M321="[FÓRMULA MANUAL]","",IFERROR(AVERAGEIFS(DATOS!$K$2:$K$20000,DATOS!$A$2:$A$20000,M321,DATOS!$G$2:$G$20000,CONFIG_METADATA!$B$4,DATOS!$I$2:$I$20000,"Música de Cámara"),"")))</f>
        <v/>
      </c>
      <c r="Q321" t="str">
        <f>IF(M321="","",IF(M321="[FÓRMULA MANUAL]","",IFERROR(SUMPRODUCT((DATOS!$A$2:$A$20000=M321)*(DATOS!$G$2:$G$20000=CONFIG_METADATA!$B$4)*(COUNTIF(CONFIG_ASIGNATURAS!$B$7:$B$27,DATOS!$I$2:$I$20000)&gt;0)*(DATOS!$K$2:$K$20000))/SUMPRODUCT((DATOS!$A$2:$A$20000=M321)*(DATOS!$G$2:$G$20000=CONFIG_METADATA!$B$4)*(COUNTIF(CONFIG_ASIGNATURAS!$B$7:$B$27,DATOS!$I$2:$I$20000)&gt;0)*1),"")))</f>
        <v/>
      </c>
      <c r="T321" t="str">
        <f>IF(S321="","",IF(S321="[FÓRMULA MANUAL]","",IFERROR(AVERAGEIFS(DATOS!$K$2:$K$20000,DATOS!$A$2:$A$20000,S321,DATOS!$G$2:$G$20000,CONFIG_METADATA!$B$4,DATOS!$I$2:$I$20000,"Armonía"),"")))</f>
        <v/>
      </c>
      <c r="U321" t="str">
        <f>IF(S321="","",IF(S321="[FÓRMULA MANUAL]","",IFERROR(AVERAGEIFS(DATOS!$K$2:$K$20000,DATOS!$A$2:$A$20000,S321,DATOS!$G$2:$G$20000,CONFIG_METADATA!$B$4,DATOS!$I$2:$I$20000,"Orquesta/Banda/Conjunto"),"")))</f>
        <v/>
      </c>
      <c r="V321" t="str">
        <f>IF(S321="","",IF(S321="[FÓRMULA MANUAL]","",IFERROR(AVERAGEIFS(DATOS!$K$2:$K$20000,DATOS!$A$2:$A$20000,S321,DATOS!$G$2:$G$20000,CONFIG_METADATA!$B$4,DATOS!$I$2:$I$20000,"Música de Cámara"),"")))</f>
        <v/>
      </c>
      <c r="W321" t="str">
        <f>IF(S321="","",IF(S321="[FÓRMULA MANUAL]","",IFERROR(SUMPRODUCT((DATOS!$A$2:$A$20000=S321)*(DATOS!$G$2:$G$20000=CONFIG_METADATA!$B$4)*(COUNTIF(CONFIG_ASIGNATURAS!$B$7:$B$27,DATOS!$I$2:$I$20000)&gt;0)*(DATOS!$K$2:$K$20000))/SUMPRODUCT((DATOS!$A$2:$A$20000=S321)*(DATOS!$G$2:$G$20000=CONFIG_METADATA!$B$4)*(COUNTIF(CONFIG_ASIGNATURAS!$B$7:$B$27,DATOS!$I$2:$I$20000)&gt;0)*1),"")))</f>
        <v/>
      </c>
      <c r="Z321" t="str">
        <f>IF(Y321="","",IF(Y321="[FÓRMULA MANUAL]","",IFERROR(AVERAGEIFS(DATOS!$K$2:$K$20000,DATOS!$A$2:$A$20000,Y321,DATOS!$G$2:$G$20000,CONFIG_METADATA!$B$4,DATOS!$I$2:$I$20000,"Análisis"),"")))</f>
        <v/>
      </c>
      <c r="AA321" t="str">
        <f>IF(Y321="","",IF(Y321="[FÓRMULA MANUAL]","",IFERROR(AVERAGEIFS(DATOS!$K$2:$K$20000,DATOS!$A$2:$A$20000,Y321,DATOS!$G$2:$G$20000,CONFIG_METADATA!$B$4,DATOS!$I$2:$I$20000,"Orquesta/Banda/Conjunto"),"")))</f>
        <v/>
      </c>
      <c r="AB321" t="str">
        <f>IF(Y321="","",IF(Y321="[FÓRMULA MANUAL]","",IFERROR(AVERAGEIFS(DATOS!$K$2:$K$20000,DATOS!$A$2:$A$20000,Y321,DATOS!$G$2:$G$20000,CONFIG_METADATA!$B$4,DATOS!$I$2:$I$20000,"Música de Cámara"),"")))</f>
        <v/>
      </c>
      <c r="AC321" t="str">
        <f>IF(Y321="","",IF(Y321="[FÓRMULA MANUAL]","",IFERROR(SUMPRODUCT((DATOS!$A$2:$A$20000=Y321)*(DATOS!$G$2:$G$20000=CONFIG_METADATA!$B$4)*(COUNTIF(CONFIG_ASIGNATURAS!$B$7:$B$27,DATOS!$I$2:$I$20000)&gt;0)*(DATOS!$K$2:$K$20000))/SUMPRODUCT((DATOS!$A$2:$A$20000=Y321)*(DATOS!$G$2:$G$20000=CONFIG_METADATA!$B$4)*(COUNTIF(CONFIG_ASIGNATURAS!$B$7:$B$27,DATOS!$I$2:$I$20000)&gt;0)*1),"")))</f>
        <v/>
      </c>
      <c r="AF321" t="str">
        <f>IF(AE321="","",IF(AE321="[FÓRMULA MANUAL]","",IFERROR(AVERAGEIFS(DATOS!$K$2:$K$20000,DATOS!$A$2:$A$20000,AE321,DATOS!$G$2:$G$20000,CONFIG_METADATA!$B$4,DATOS!$I$2:$I$20000,"Análisis"),"")))</f>
        <v/>
      </c>
      <c r="AG321" t="str">
        <f>IF(AE321="","",IF(AE321="[FÓRMULA MANUAL]","",IFERROR(AVERAGEIFS(DATOS!$K$2:$K$20000,DATOS!$A$2:$A$20000,AE321,DATOS!$G$2:$G$20000,CONFIG_METADATA!$B$4,DATOS!$I$2:$I$20000,"Orquesta/Banda/Conjunto"),"")))</f>
        <v/>
      </c>
      <c r="AH321" t="str">
        <f>IF(AE321="","",IF(AE321="[FÓRMULA MANUAL]","",IFERROR(AVERAGEIFS(DATOS!$K$2:$K$20000,DATOS!$A$2:$A$20000,AE321,DATOS!$G$2:$G$20000,CONFIG_METADATA!$B$4,DATOS!$I$2:$I$20000,"Música de Cámara"),"")))</f>
        <v/>
      </c>
      <c r="AI321" t="str">
        <f>IF(AE321="","",IF(AE321="[FÓRMULA MANUAL]","",IFERROR(SUMPRODUCT((DATOS!$A$2:$A$20000=AE321)*(DATOS!$G$2:$G$20000=CONFIG_METADATA!$B$4)*(COUNTIF(CONFIG_ASIGNATURAS!$B$7:$B$27,DATOS!$I$2:$I$20000)&gt;0)*(DATOS!$K$2:$K$20000))/SUMPRODUCT((DATOS!$A$2:$A$20000=AE321)*(DATOS!$G$2:$G$20000=CONFIG_METADATA!$B$4)*(COUNTIF(CONFIG_ASIGNATURAS!$B$7:$B$27,DATOS!$I$2:$I$20000)&gt;0)*1),"")))</f>
        <v/>
      </c>
    </row>
    <row r="322" spans="2:35" x14ac:dyDescent="0.2">
      <c r="B322" t="str">
        <f>IF(A322="","",IF(A322="[FÓRMULA MANUAL]","",IFERROR(AVERAGEIFS(DATOS!$K$2:$K$20000,DATOS!$A$2:$A$20000,A322,DATOS!$G$2:$G$20000,CONFIG_METADATA!$B$4,DATOS!$I$2:$I$20000,"Lenguaje Musical"),"")))</f>
        <v/>
      </c>
      <c r="C322" t="str">
        <f>IF(A322="","",IF(A322="[FÓRMULA MANUAL]","",IFERROR(AVERAGEIFS(DATOS!$K$2:$K$20000,DATOS!$A$2:$A$20000,A322,DATOS!$G$2:$G$20000,CONFIG_METADATA!$B$4,DATOS!$I$2:$I$20000,"Orquesta/Banda/Conjunto"),"")))</f>
        <v/>
      </c>
      <c r="D322" t="str">
        <f>IF(A322="","",IF(A322="[FÓRMULA MANUAL]","",IFERROR(AVERAGEIFS(DATOS!$K$2:$K$20000,DATOS!$A$2:$A$20000,A322,DATOS!$G$2:$G$20000,CONFIG_METADATA!$B$4,DATOS!$I$2:$I$20000,"Conjunto"),"")))</f>
        <v/>
      </c>
      <c r="E322" t="str">
        <f>IF(A322="","",IF(A322="[FÓRMULA MANUAL]","",IFERROR(SUMPRODUCT((DATOS!$A$2:$A$20000=A322)*(DATOS!$G$2:$G$20000=CONFIG_METADATA!$B$4)*(COUNTIF(CONFIG_ASIGNATURAS!$B$7:$B$27,DATOS!$I$2:$I$20000)&gt;0)*(DATOS!$K$2:$K$20000))/SUMPRODUCT((DATOS!$A$2:$A$20000=A322)*(DATOS!$G$2:$G$20000=CONFIG_METADATA!$B$4)*(COUNTIF(CONFIG_ASIGNATURAS!$B$7:$B$27,DATOS!$I$2:$I$20000)&gt;0)*1),"")))</f>
        <v/>
      </c>
      <c r="H322" t="str">
        <f>IF(G322="","",IF(G322="[FÓRMULA MANUAL]","",IFERROR(AVERAGEIFS(DATOS!$K$2:$K$20000,DATOS!$A$2:$A$20000,G322,DATOS!$G$2:$G$20000,CONFIG_METADATA!$B$4,DATOS!$I$2:$I$20000,"Lenguaje Musical"),"")))</f>
        <v/>
      </c>
      <c r="I322" t="str">
        <f>IF(G322="","",IF(G322="[FÓRMULA MANUAL]","",IFERROR(AVERAGEIFS(DATOS!$K$2:$K$20000,DATOS!$A$2:$A$20000,G322,DATOS!$G$2:$G$20000,CONFIG_METADATA!$B$4,DATOS!$I$2:$I$20000,"Orquesta/Banda/Conjunto"),"")))</f>
        <v/>
      </c>
      <c r="J322" t="str">
        <f>IF(G322="","",IF(G322="[FÓRMULA MANUAL]","",IFERROR(AVERAGEIFS(DATOS!$K$2:$K$20000,DATOS!$A$2:$A$20000,G322,DATOS!$G$2:$G$20000,CONFIG_METADATA!$B$4,DATOS!$I$2:$I$20000,"Conjunto"),"")))</f>
        <v/>
      </c>
      <c r="K322" t="str">
        <f>IF(G322="","",IF(G322="[FÓRMULA MANUAL]","",IFERROR(SUMPRODUCT((DATOS!$A$2:$A$20000=G322)*(DATOS!$G$2:$G$20000=CONFIG_METADATA!$B$4)*(COUNTIF(CONFIG_ASIGNATURAS!$B$7:$B$27,DATOS!$I$2:$I$20000)&gt;0)*(DATOS!$K$2:$K$20000))/SUMPRODUCT((DATOS!$A$2:$A$20000=G322)*(DATOS!$G$2:$G$20000=CONFIG_METADATA!$B$4)*(COUNTIF(CONFIG_ASIGNATURAS!$B$7:$B$27,DATOS!$I$2:$I$20000)&gt;0)*1),"")))</f>
        <v/>
      </c>
      <c r="N322" t="str">
        <f>IF(M322="","",IF(M322="[FÓRMULA MANUAL]","",IFERROR(AVERAGEIFS(DATOS!$K$2:$K$20000,DATOS!$A$2:$A$20000,M322,DATOS!$G$2:$G$20000,CONFIG_METADATA!$B$4,DATOS!$I$2:$I$20000,"Armonía"),"")))</f>
        <v/>
      </c>
      <c r="O322" t="str">
        <f>IF(M322="","",IF(M322="[FÓRMULA MANUAL]","",IFERROR(AVERAGEIFS(DATOS!$K$2:$K$20000,DATOS!$A$2:$A$20000,M322,DATOS!$G$2:$G$20000,CONFIG_METADATA!$B$4,DATOS!$I$2:$I$20000,"Orquesta/Banda/Conjunto"),"")))</f>
        <v/>
      </c>
      <c r="P322" t="str">
        <f>IF(M322="","",IF(M322="[FÓRMULA MANUAL]","",IFERROR(AVERAGEIFS(DATOS!$K$2:$K$20000,DATOS!$A$2:$A$20000,M322,DATOS!$G$2:$G$20000,CONFIG_METADATA!$B$4,DATOS!$I$2:$I$20000,"Música de Cámara"),"")))</f>
        <v/>
      </c>
      <c r="Q322" t="str">
        <f>IF(M322="","",IF(M322="[FÓRMULA MANUAL]","",IFERROR(SUMPRODUCT((DATOS!$A$2:$A$20000=M322)*(DATOS!$G$2:$G$20000=CONFIG_METADATA!$B$4)*(COUNTIF(CONFIG_ASIGNATURAS!$B$7:$B$27,DATOS!$I$2:$I$20000)&gt;0)*(DATOS!$K$2:$K$20000))/SUMPRODUCT((DATOS!$A$2:$A$20000=M322)*(DATOS!$G$2:$G$20000=CONFIG_METADATA!$B$4)*(COUNTIF(CONFIG_ASIGNATURAS!$B$7:$B$27,DATOS!$I$2:$I$20000)&gt;0)*1),"")))</f>
        <v/>
      </c>
      <c r="T322" t="str">
        <f>IF(S322="","",IF(S322="[FÓRMULA MANUAL]","",IFERROR(AVERAGEIFS(DATOS!$K$2:$K$20000,DATOS!$A$2:$A$20000,S322,DATOS!$G$2:$G$20000,CONFIG_METADATA!$B$4,DATOS!$I$2:$I$20000,"Armonía"),"")))</f>
        <v/>
      </c>
      <c r="U322" t="str">
        <f>IF(S322="","",IF(S322="[FÓRMULA MANUAL]","",IFERROR(AVERAGEIFS(DATOS!$K$2:$K$20000,DATOS!$A$2:$A$20000,S322,DATOS!$G$2:$G$20000,CONFIG_METADATA!$B$4,DATOS!$I$2:$I$20000,"Orquesta/Banda/Conjunto"),"")))</f>
        <v/>
      </c>
      <c r="V322" t="str">
        <f>IF(S322="","",IF(S322="[FÓRMULA MANUAL]","",IFERROR(AVERAGEIFS(DATOS!$K$2:$K$20000,DATOS!$A$2:$A$20000,S322,DATOS!$G$2:$G$20000,CONFIG_METADATA!$B$4,DATOS!$I$2:$I$20000,"Música de Cámara"),"")))</f>
        <v/>
      </c>
      <c r="W322" t="str">
        <f>IF(S322="","",IF(S322="[FÓRMULA MANUAL]","",IFERROR(SUMPRODUCT((DATOS!$A$2:$A$20000=S322)*(DATOS!$G$2:$G$20000=CONFIG_METADATA!$B$4)*(COUNTIF(CONFIG_ASIGNATURAS!$B$7:$B$27,DATOS!$I$2:$I$20000)&gt;0)*(DATOS!$K$2:$K$20000))/SUMPRODUCT((DATOS!$A$2:$A$20000=S322)*(DATOS!$G$2:$G$20000=CONFIG_METADATA!$B$4)*(COUNTIF(CONFIG_ASIGNATURAS!$B$7:$B$27,DATOS!$I$2:$I$20000)&gt;0)*1),"")))</f>
        <v/>
      </c>
      <c r="Z322" t="str">
        <f>IF(Y322="","",IF(Y322="[FÓRMULA MANUAL]","",IFERROR(AVERAGEIFS(DATOS!$K$2:$K$20000,DATOS!$A$2:$A$20000,Y322,DATOS!$G$2:$G$20000,CONFIG_METADATA!$B$4,DATOS!$I$2:$I$20000,"Análisis"),"")))</f>
        <v/>
      </c>
      <c r="AA322" t="str">
        <f>IF(Y322="","",IF(Y322="[FÓRMULA MANUAL]","",IFERROR(AVERAGEIFS(DATOS!$K$2:$K$20000,DATOS!$A$2:$A$20000,Y322,DATOS!$G$2:$G$20000,CONFIG_METADATA!$B$4,DATOS!$I$2:$I$20000,"Orquesta/Banda/Conjunto"),"")))</f>
        <v/>
      </c>
      <c r="AB322" t="str">
        <f>IF(Y322="","",IF(Y322="[FÓRMULA MANUAL]","",IFERROR(AVERAGEIFS(DATOS!$K$2:$K$20000,DATOS!$A$2:$A$20000,Y322,DATOS!$G$2:$G$20000,CONFIG_METADATA!$B$4,DATOS!$I$2:$I$20000,"Música de Cámara"),"")))</f>
        <v/>
      </c>
      <c r="AC322" t="str">
        <f>IF(Y322="","",IF(Y322="[FÓRMULA MANUAL]","",IFERROR(SUMPRODUCT((DATOS!$A$2:$A$20000=Y322)*(DATOS!$G$2:$G$20000=CONFIG_METADATA!$B$4)*(COUNTIF(CONFIG_ASIGNATURAS!$B$7:$B$27,DATOS!$I$2:$I$20000)&gt;0)*(DATOS!$K$2:$K$20000))/SUMPRODUCT((DATOS!$A$2:$A$20000=Y322)*(DATOS!$G$2:$G$20000=CONFIG_METADATA!$B$4)*(COUNTIF(CONFIG_ASIGNATURAS!$B$7:$B$27,DATOS!$I$2:$I$20000)&gt;0)*1),"")))</f>
        <v/>
      </c>
      <c r="AF322" t="str">
        <f>IF(AE322="","",IF(AE322="[FÓRMULA MANUAL]","",IFERROR(AVERAGEIFS(DATOS!$K$2:$K$20000,DATOS!$A$2:$A$20000,AE322,DATOS!$G$2:$G$20000,CONFIG_METADATA!$B$4,DATOS!$I$2:$I$20000,"Análisis"),"")))</f>
        <v/>
      </c>
      <c r="AG322" t="str">
        <f>IF(AE322="","",IF(AE322="[FÓRMULA MANUAL]","",IFERROR(AVERAGEIFS(DATOS!$K$2:$K$20000,DATOS!$A$2:$A$20000,AE322,DATOS!$G$2:$G$20000,CONFIG_METADATA!$B$4,DATOS!$I$2:$I$20000,"Orquesta/Banda/Conjunto"),"")))</f>
        <v/>
      </c>
      <c r="AH322" t="str">
        <f>IF(AE322="","",IF(AE322="[FÓRMULA MANUAL]","",IFERROR(AVERAGEIFS(DATOS!$K$2:$K$20000,DATOS!$A$2:$A$20000,AE322,DATOS!$G$2:$G$20000,CONFIG_METADATA!$B$4,DATOS!$I$2:$I$20000,"Música de Cámara"),"")))</f>
        <v/>
      </c>
      <c r="AI322" t="str">
        <f>IF(AE322="","",IF(AE322="[FÓRMULA MANUAL]","",IFERROR(SUMPRODUCT((DATOS!$A$2:$A$20000=AE322)*(DATOS!$G$2:$G$20000=CONFIG_METADATA!$B$4)*(COUNTIF(CONFIG_ASIGNATURAS!$B$7:$B$27,DATOS!$I$2:$I$20000)&gt;0)*(DATOS!$K$2:$K$20000))/SUMPRODUCT((DATOS!$A$2:$A$20000=AE322)*(DATOS!$G$2:$G$20000=CONFIG_METADATA!$B$4)*(COUNTIF(CONFIG_ASIGNATURAS!$B$7:$B$27,DATOS!$I$2:$I$20000)&gt;0)*1),"")))</f>
        <v/>
      </c>
    </row>
    <row r="323" spans="2:35" x14ac:dyDescent="0.2">
      <c r="B323" t="str">
        <f>IF(A323="","",IF(A323="[FÓRMULA MANUAL]","",IFERROR(AVERAGEIFS(DATOS!$K$2:$K$20000,DATOS!$A$2:$A$20000,A323,DATOS!$G$2:$G$20000,CONFIG_METADATA!$B$4,DATOS!$I$2:$I$20000,"Lenguaje Musical"),"")))</f>
        <v/>
      </c>
      <c r="C323" t="str">
        <f>IF(A323="","",IF(A323="[FÓRMULA MANUAL]","",IFERROR(AVERAGEIFS(DATOS!$K$2:$K$20000,DATOS!$A$2:$A$20000,A323,DATOS!$G$2:$G$20000,CONFIG_METADATA!$B$4,DATOS!$I$2:$I$20000,"Orquesta/Banda/Conjunto"),"")))</f>
        <v/>
      </c>
      <c r="D323" t="str">
        <f>IF(A323="","",IF(A323="[FÓRMULA MANUAL]","",IFERROR(AVERAGEIFS(DATOS!$K$2:$K$20000,DATOS!$A$2:$A$20000,A323,DATOS!$G$2:$G$20000,CONFIG_METADATA!$B$4,DATOS!$I$2:$I$20000,"Conjunto"),"")))</f>
        <v/>
      </c>
      <c r="E323" t="str">
        <f>IF(A323="","",IF(A323="[FÓRMULA MANUAL]","",IFERROR(SUMPRODUCT((DATOS!$A$2:$A$20000=A323)*(DATOS!$G$2:$G$20000=CONFIG_METADATA!$B$4)*(COUNTIF(CONFIG_ASIGNATURAS!$B$7:$B$27,DATOS!$I$2:$I$20000)&gt;0)*(DATOS!$K$2:$K$20000))/SUMPRODUCT((DATOS!$A$2:$A$20000=A323)*(DATOS!$G$2:$G$20000=CONFIG_METADATA!$B$4)*(COUNTIF(CONFIG_ASIGNATURAS!$B$7:$B$27,DATOS!$I$2:$I$20000)&gt;0)*1),"")))</f>
        <v/>
      </c>
      <c r="H323" t="str">
        <f>IF(G323="","",IF(G323="[FÓRMULA MANUAL]","",IFERROR(AVERAGEIFS(DATOS!$K$2:$K$20000,DATOS!$A$2:$A$20000,G323,DATOS!$G$2:$G$20000,CONFIG_METADATA!$B$4,DATOS!$I$2:$I$20000,"Lenguaje Musical"),"")))</f>
        <v/>
      </c>
      <c r="I323" t="str">
        <f>IF(G323="","",IF(G323="[FÓRMULA MANUAL]","",IFERROR(AVERAGEIFS(DATOS!$K$2:$K$20000,DATOS!$A$2:$A$20000,G323,DATOS!$G$2:$G$20000,CONFIG_METADATA!$B$4,DATOS!$I$2:$I$20000,"Orquesta/Banda/Conjunto"),"")))</f>
        <v/>
      </c>
      <c r="J323" t="str">
        <f>IF(G323="","",IF(G323="[FÓRMULA MANUAL]","",IFERROR(AVERAGEIFS(DATOS!$K$2:$K$20000,DATOS!$A$2:$A$20000,G323,DATOS!$G$2:$G$20000,CONFIG_METADATA!$B$4,DATOS!$I$2:$I$20000,"Conjunto"),"")))</f>
        <v/>
      </c>
      <c r="K323" t="str">
        <f>IF(G323="","",IF(G323="[FÓRMULA MANUAL]","",IFERROR(SUMPRODUCT((DATOS!$A$2:$A$20000=G323)*(DATOS!$G$2:$G$20000=CONFIG_METADATA!$B$4)*(COUNTIF(CONFIG_ASIGNATURAS!$B$7:$B$27,DATOS!$I$2:$I$20000)&gt;0)*(DATOS!$K$2:$K$20000))/SUMPRODUCT((DATOS!$A$2:$A$20000=G323)*(DATOS!$G$2:$G$20000=CONFIG_METADATA!$B$4)*(COUNTIF(CONFIG_ASIGNATURAS!$B$7:$B$27,DATOS!$I$2:$I$20000)&gt;0)*1),"")))</f>
        <v/>
      </c>
      <c r="N323" t="str">
        <f>IF(M323="","",IF(M323="[FÓRMULA MANUAL]","",IFERROR(AVERAGEIFS(DATOS!$K$2:$K$20000,DATOS!$A$2:$A$20000,M323,DATOS!$G$2:$G$20000,CONFIG_METADATA!$B$4,DATOS!$I$2:$I$20000,"Armonía"),"")))</f>
        <v/>
      </c>
      <c r="O323" t="str">
        <f>IF(M323="","",IF(M323="[FÓRMULA MANUAL]","",IFERROR(AVERAGEIFS(DATOS!$K$2:$K$20000,DATOS!$A$2:$A$20000,M323,DATOS!$G$2:$G$20000,CONFIG_METADATA!$B$4,DATOS!$I$2:$I$20000,"Orquesta/Banda/Conjunto"),"")))</f>
        <v/>
      </c>
      <c r="P323" t="str">
        <f>IF(M323="","",IF(M323="[FÓRMULA MANUAL]","",IFERROR(AVERAGEIFS(DATOS!$K$2:$K$20000,DATOS!$A$2:$A$20000,M323,DATOS!$G$2:$G$20000,CONFIG_METADATA!$B$4,DATOS!$I$2:$I$20000,"Música de Cámara"),"")))</f>
        <v/>
      </c>
      <c r="Q323" t="str">
        <f>IF(M323="","",IF(M323="[FÓRMULA MANUAL]","",IFERROR(SUMPRODUCT((DATOS!$A$2:$A$20000=M323)*(DATOS!$G$2:$G$20000=CONFIG_METADATA!$B$4)*(COUNTIF(CONFIG_ASIGNATURAS!$B$7:$B$27,DATOS!$I$2:$I$20000)&gt;0)*(DATOS!$K$2:$K$20000))/SUMPRODUCT((DATOS!$A$2:$A$20000=M323)*(DATOS!$G$2:$G$20000=CONFIG_METADATA!$B$4)*(COUNTIF(CONFIG_ASIGNATURAS!$B$7:$B$27,DATOS!$I$2:$I$20000)&gt;0)*1),"")))</f>
        <v/>
      </c>
      <c r="T323" t="str">
        <f>IF(S323="","",IF(S323="[FÓRMULA MANUAL]","",IFERROR(AVERAGEIFS(DATOS!$K$2:$K$20000,DATOS!$A$2:$A$20000,S323,DATOS!$G$2:$G$20000,CONFIG_METADATA!$B$4,DATOS!$I$2:$I$20000,"Armonía"),"")))</f>
        <v/>
      </c>
      <c r="U323" t="str">
        <f>IF(S323="","",IF(S323="[FÓRMULA MANUAL]","",IFERROR(AVERAGEIFS(DATOS!$K$2:$K$20000,DATOS!$A$2:$A$20000,S323,DATOS!$G$2:$G$20000,CONFIG_METADATA!$B$4,DATOS!$I$2:$I$20000,"Orquesta/Banda/Conjunto"),"")))</f>
        <v/>
      </c>
      <c r="V323" t="str">
        <f>IF(S323="","",IF(S323="[FÓRMULA MANUAL]","",IFERROR(AVERAGEIFS(DATOS!$K$2:$K$20000,DATOS!$A$2:$A$20000,S323,DATOS!$G$2:$G$20000,CONFIG_METADATA!$B$4,DATOS!$I$2:$I$20000,"Música de Cámara"),"")))</f>
        <v/>
      </c>
      <c r="W323" t="str">
        <f>IF(S323="","",IF(S323="[FÓRMULA MANUAL]","",IFERROR(SUMPRODUCT((DATOS!$A$2:$A$20000=S323)*(DATOS!$G$2:$G$20000=CONFIG_METADATA!$B$4)*(COUNTIF(CONFIG_ASIGNATURAS!$B$7:$B$27,DATOS!$I$2:$I$20000)&gt;0)*(DATOS!$K$2:$K$20000))/SUMPRODUCT((DATOS!$A$2:$A$20000=S323)*(DATOS!$G$2:$G$20000=CONFIG_METADATA!$B$4)*(COUNTIF(CONFIG_ASIGNATURAS!$B$7:$B$27,DATOS!$I$2:$I$20000)&gt;0)*1),"")))</f>
        <v/>
      </c>
      <c r="Z323" t="str">
        <f>IF(Y323="","",IF(Y323="[FÓRMULA MANUAL]","",IFERROR(AVERAGEIFS(DATOS!$K$2:$K$20000,DATOS!$A$2:$A$20000,Y323,DATOS!$G$2:$G$20000,CONFIG_METADATA!$B$4,DATOS!$I$2:$I$20000,"Análisis"),"")))</f>
        <v/>
      </c>
      <c r="AA323" t="str">
        <f>IF(Y323="","",IF(Y323="[FÓRMULA MANUAL]","",IFERROR(AVERAGEIFS(DATOS!$K$2:$K$20000,DATOS!$A$2:$A$20000,Y323,DATOS!$G$2:$G$20000,CONFIG_METADATA!$B$4,DATOS!$I$2:$I$20000,"Orquesta/Banda/Conjunto"),"")))</f>
        <v/>
      </c>
      <c r="AB323" t="str">
        <f>IF(Y323="","",IF(Y323="[FÓRMULA MANUAL]","",IFERROR(AVERAGEIFS(DATOS!$K$2:$K$20000,DATOS!$A$2:$A$20000,Y323,DATOS!$G$2:$G$20000,CONFIG_METADATA!$B$4,DATOS!$I$2:$I$20000,"Música de Cámara"),"")))</f>
        <v/>
      </c>
      <c r="AC323" t="str">
        <f>IF(Y323="","",IF(Y323="[FÓRMULA MANUAL]","",IFERROR(SUMPRODUCT((DATOS!$A$2:$A$20000=Y323)*(DATOS!$G$2:$G$20000=CONFIG_METADATA!$B$4)*(COUNTIF(CONFIG_ASIGNATURAS!$B$7:$B$27,DATOS!$I$2:$I$20000)&gt;0)*(DATOS!$K$2:$K$20000))/SUMPRODUCT((DATOS!$A$2:$A$20000=Y323)*(DATOS!$G$2:$G$20000=CONFIG_METADATA!$B$4)*(COUNTIF(CONFIG_ASIGNATURAS!$B$7:$B$27,DATOS!$I$2:$I$20000)&gt;0)*1),"")))</f>
        <v/>
      </c>
      <c r="AF323" t="str">
        <f>IF(AE323="","",IF(AE323="[FÓRMULA MANUAL]","",IFERROR(AVERAGEIFS(DATOS!$K$2:$K$20000,DATOS!$A$2:$A$20000,AE323,DATOS!$G$2:$G$20000,CONFIG_METADATA!$B$4,DATOS!$I$2:$I$20000,"Análisis"),"")))</f>
        <v/>
      </c>
      <c r="AG323" t="str">
        <f>IF(AE323="","",IF(AE323="[FÓRMULA MANUAL]","",IFERROR(AVERAGEIFS(DATOS!$K$2:$K$20000,DATOS!$A$2:$A$20000,AE323,DATOS!$G$2:$G$20000,CONFIG_METADATA!$B$4,DATOS!$I$2:$I$20000,"Orquesta/Banda/Conjunto"),"")))</f>
        <v/>
      </c>
      <c r="AH323" t="str">
        <f>IF(AE323="","",IF(AE323="[FÓRMULA MANUAL]","",IFERROR(AVERAGEIFS(DATOS!$K$2:$K$20000,DATOS!$A$2:$A$20000,AE323,DATOS!$G$2:$G$20000,CONFIG_METADATA!$B$4,DATOS!$I$2:$I$20000,"Música de Cámara"),"")))</f>
        <v/>
      </c>
      <c r="AI323" t="str">
        <f>IF(AE323="","",IF(AE323="[FÓRMULA MANUAL]","",IFERROR(SUMPRODUCT((DATOS!$A$2:$A$20000=AE323)*(DATOS!$G$2:$G$20000=CONFIG_METADATA!$B$4)*(COUNTIF(CONFIG_ASIGNATURAS!$B$7:$B$27,DATOS!$I$2:$I$20000)&gt;0)*(DATOS!$K$2:$K$20000))/SUMPRODUCT((DATOS!$A$2:$A$20000=AE323)*(DATOS!$G$2:$G$20000=CONFIG_METADATA!$B$4)*(COUNTIF(CONFIG_ASIGNATURAS!$B$7:$B$27,DATOS!$I$2:$I$20000)&gt;0)*1),"")))</f>
        <v/>
      </c>
    </row>
    <row r="324" spans="2:35" x14ac:dyDescent="0.2">
      <c r="B324" t="str">
        <f>IF(A324="","",IF(A324="[FÓRMULA MANUAL]","",IFERROR(AVERAGEIFS(DATOS!$K$2:$K$20000,DATOS!$A$2:$A$20000,A324,DATOS!$G$2:$G$20000,CONFIG_METADATA!$B$4,DATOS!$I$2:$I$20000,"Lenguaje Musical"),"")))</f>
        <v/>
      </c>
      <c r="C324" t="str">
        <f>IF(A324="","",IF(A324="[FÓRMULA MANUAL]","",IFERROR(AVERAGEIFS(DATOS!$K$2:$K$20000,DATOS!$A$2:$A$20000,A324,DATOS!$G$2:$G$20000,CONFIG_METADATA!$B$4,DATOS!$I$2:$I$20000,"Orquesta/Banda/Conjunto"),"")))</f>
        <v/>
      </c>
      <c r="D324" t="str">
        <f>IF(A324="","",IF(A324="[FÓRMULA MANUAL]","",IFERROR(AVERAGEIFS(DATOS!$K$2:$K$20000,DATOS!$A$2:$A$20000,A324,DATOS!$G$2:$G$20000,CONFIG_METADATA!$B$4,DATOS!$I$2:$I$20000,"Conjunto"),"")))</f>
        <v/>
      </c>
      <c r="E324" t="str">
        <f>IF(A324="","",IF(A324="[FÓRMULA MANUAL]","",IFERROR(SUMPRODUCT((DATOS!$A$2:$A$20000=A324)*(DATOS!$G$2:$G$20000=CONFIG_METADATA!$B$4)*(COUNTIF(CONFIG_ASIGNATURAS!$B$7:$B$27,DATOS!$I$2:$I$20000)&gt;0)*(DATOS!$K$2:$K$20000))/SUMPRODUCT((DATOS!$A$2:$A$20000=A324)*(DATOS!$G$2:$G$20000=CONFIG_METADATA!$B$4)*(COUNTIF(CONFIG_ASIGNATURAS!$B$7:$B$27,DATOS!$I$2:$I$20000)&gt;0)*1),"")))</f>
        <v/>
      </c>
      <c r="H324" t="str">
        <f>IF(G324="","",IF(G324="[FÓRMULA MANUAL]","",IFERROR(AVERAGEIFS(DATOS!$K$2:$K$20000,DATOS!$A$2:$A$20000,G324,DATOS!$G$2:$G$20000,CONFIG_METADATA!$B$4,DATOS!$I$2:$I$20000,"Lenguaje Musical"),"")))</f>
        <v/>
      </c>
      <c r="I324" t="str">
        <f>IF(G324="","",IF(G324="[FÓRMULA MANUAL]","",IFERROR(AVERAGEIFS(DATOS!$K$2:$K$20000,DATOS!$A$2:$A$20000,G324,DATOS!$G$2:$G$20000,CONFIG_METADATA!$B$4,DATOS!$I$2:$I$20000,"Orquesta/Banda/Conjunto"),"")))</f>
        <v/>
      </c>
      <c r="J324" t="str">
        <f>IF(G324="","",IF(G324="[FÓRMULA MANUAL]","",IFERROR(AVERAGEIFS(DATOS!$K$2:$K$20000,DATOS!$A$2:$A$20000,G324,DATOS!$G$2:$G$20000,CONFIG_METADATA!$B$4,DATOS!$I$2:$I$20000,"Conjunto"),"")))</f>
        <v/>
      </c>
      <c r="K324" t="str">
        <f>IF(G324="","",IF(G324="[FÓRMULA MANUAL]","",IFERROR(SUMPRODUCT((DATOS!$A$2:$A$20000=G324)*(DATOS!$G$2:$G$20000=CONFIG_METADATA!$B$4)*(COUNTIF(CONFIG_ASIGNATURAS!$B$7:$B$27,DATOS!$I$2:$I$20000)&gt;0)*(DATOS!$K$2:$K$20000))/SUMPRODUCT((DATOS!$A$2:$A$20000=G324)*(DATOS!$G$2:$G$20000=CONFIG_METADATA!$B$4)*(COUNTIF(CONFIG_ASIGNATURAS!$B$7:$B$27,DATOS!$I$2:$I$20000)&gt;0)*1),"")))</f>
        <v/>
      </c>
      <c r="N324" t="str">
        <f>IF(M324="","",IF(M324="[FÓRMULA MANUAL]","",IFERROR(AVERAGEIFS(DATOS!$K$2:$K$20000,DATOS!$A$2:$A$20000,M324,DATOS!$G$2:$G$20000,CONFIG_METADATA!$B$4,DATOS!$I$2:$I$20000,"Armonía"),"")))</f>
        <v/>
      </c>
      <c r="O324" t="str">
        <f>IF(M324="","",IF(M324="[FÓRMULA MANUAL]","",IFERROR(AVERAGEIFS(DATOS!$K$2:$K$20000,DATOS!$A$2:$A$20000,M324,DATOS!$G$2:$G$20000,CONFIG_METADATA!$B$4,DATOS!$I$2:$I$20000,"Orquesta/Banda/Conjunto"),"")))</f>
        <v/>
      </c>
      <c r="P324" t="str">
        <f>IF(M324="","",IF(M324="[FÓRMULA MANUAL]","",IFERROR(AVERAGEIFS(DATOS!$K$2:$K$20000,DATOS!$A$2:$A$20000,M324,DATOS!$G$2:$G$20000,CONFIG_METADATA!$B$4,DATOS!$I$2:$I$20000,"Música de Cámara"),"")))</f>
        <v/>
      </c>
      <c r="Q324" t="str">
        <f>IF(M324="","",IF(M324="[FÓRMULA MANUAL]","",IFERROR(SUMPRODUCT((DATOS!$A$2:$A$20000=M324)*(DATOS!$G$2:$G$20000=CONFIG_METADATA!$B$4)*(COUNTIF(CONFIG_ASIGNATURAS!$B$7:$B$27,DATOS!$I$2:$I$20000)&gt;0)*(DATOS!$K$2:$K$20000))/SUMPRODUCT((DATOS!$A$2:$A$20000=M324)*(DATOS!$G$2:$G$20000=CONFIG_METADATA!$B$4)*(COUNTIF(CONFIG_ASIGNATURAS!$B$7:$B$27,DATOS!$I$2:$I$20000)&gt;0)*1),"")))</f>
        <v/>
      </c>
      <c r="T324" t="str">
        <f>IF(S324="","",IF(S324="[FÓRMULA MANUAL]","",IFERROR(AVERAGEIFS(DATOS!$K$2:$K$20000,DATOS!$A$2:$A$20000,S324,DATOS!$G$2:$G$20000,CONFIG_METADATA!$B$4,DATOS!$I$2:$I$20000,"Armonía"),"")))</f>
        <v/>
      </c>
      <c r="U324" t="str">
        <f>IF(S324="","",IF(S324="[FÓRMULA MANUAL]","",IFERROR(AVERAGEIFS(DATOS!$K$2:$K$20000,DATOS!$A$2:$A$20000,S324,DATOS!$G$2:$G$20000,CONFIG_METADATA!$B$4,DATOS!$I$2:$I$20000,"Orquesta/Banda/Conjunto"),"")))</f>
        <v/>
      </c>
      <c r="V324" t="str">
        <f>IF(S324="","",IF(S324="[FÓRMULA MANUAL]","",IFERROR(AVERAGEIFS(DATOS!$K$2:$K$20000,DATOS!$A$2:$A$20000,S324,DATOS!$G$2:$G$20000,CONFIG_METADATA!$B$4,DATOS!$I$2:$I$20000,"Música de Cámara"),"")))</f>
        <v/>
      </c>
      <c r="W324" t="str">
        <f>IF(S324="","",IF(S324="[FÓRMULA MANUAL]","",IFERROR(SUMPRODUCT((DATOS!$A$2:$A$20000=S324)*(DATOS!$G$2:$G$20000=CONFIG_METADATA!$B$4)*(COUNTIF(CONFIG_ASIGNATURAS!$B$7:$B$27,DATOS!$I$2:$I$20000)&gt;0)*(DATOS!$K$2:$K$20000))/SUMPRODUCT((DATOS!$A$2:$A$20000=S324)*(DATOS!$G$2:$G$20000=CONFIG_METADATA!$B$4)*(COUNTIF(CONFIG_ASIGNATURAS!$B$7:$B$27,DATOS!$I$2:$I$20000)&gt;0)*1),"")))</f>
        <v/>
      </c>
      <c r="Z324" t="str">
        <f>IF(Y324="","",IF(Y324="[FÓRMULA MANUAL]","",IFERROR(AVERAGEIFS(DATOS!$K$2:$K$20000,DATOS!$A$2:$A$20000,Y324,DATOS!$G$2:$G$20000,CONFIG_METADATA!$B$4,DATOS!$I$2:$I$20000,"Análisis"),"")))</f>
        <v/>
      </c>
      <c r="AA324" t="str">
        <f>IF(Y324="","",IF(Y324="[FÓRMULA MANUAL]","",IFERROR(AVERAGEIFS(DATOS!$K$2:$K$20000,DATOS!$A$2:$A$20000,Y324,DATOS!$G$2:$G$20000,CONFIG_METADATA!$B$4,DATOS!$I$2:$I$20000,"Orquesta/Banda/Conjunto"),"")))</f>
        <v/>
      </c>
      <c r="AB324" t="str">
        <f>IF(Y324="","",IF(Y324="[FÓRMULA MANUAL]","",IFERROR(AVERAGEIFS(DATOS!$K$2:$K$20000,DATOS!$A$2:$A$20000,Y324,DATOS!$G$2:$G$20000,CONFIG_METADATA!$B$4,DATOS!$I$2:$I$20000,"Música de Cámara"),"")))</f>
        <v/>
      </c>
      <c r="AC324" t="str">
        <f>IF(Y324="","",IF(Y324="[FÓRMULA MANUAL]","",IFERROR(SUMPRODUCT((DATOS!$A$2:$A$20000=Y324)*(DATOS!$G$2:$G$20000=CONFIG_METADATA!$B$4)*(COUNTIF(CONFIG_ASIGNATURAS!$B$7:$B$27,DATOS!$I$2:$I$20000)&gt;0)*(DATOS!$K$2:$K$20000))/SUMPRODUCT((DATOS!$A$2:$A$20000=Y324)*(DATOS!$G$2:$G$20000=CONFIG_METADATA!$B$4)*(COUNTIF(CONFIG_ASIGNATURAS!$B$7:$B$27,DATOS!$I$2:$I$20000)&gt;0)*1),"")))</f>
        <v/>
      </c>
      <c r="AF324" t="str">
        <f>IF(AE324="","",IF(AE324="[FÓRMULA MANUAL]","",IFERROR(AVERAGEIFS(DATOS!$K$2:$K$20000,DATOS!$A$2:$A$20000,AE324,DATOS!$G$2:$G$20000,CONFIG_METADATA!$B$4,DATOS!$I$2:$I$20000,"Análisis"),"")))</f>
        <v/>
      </c>
      <c r="AG324" t="str">
        <f>IF(AE324="","",IF(AE324="[FÓRMULA MANUAL]","",IFERROR(AVERAGEIFS(DATOS!$K$2:$K$20000,DATOS!$A$2:$A$20000,AE324,DATOS!$G$2:$G$20000,CONFIG_METADATA!$B$4,DATOS!$I$2:$I$20000,"Orquesta/Banda/Conjunto"),"")))</f>
        <v/>
      </c>
      <c r="AH324" t="str">
        <f>IF(AE324="","",IF(AE324="[FÓRMULA MANUAL]","",IFERROR(AVERAGEIFS(DATOS!$K$2:$K$20000,DATOS!$A$2:$A$20000,AE324,DATOS!$G$2:$G$20000,CONFIG_METADATA!$B$4,DATOS!$I$2:$I$20000,"Música de Cámara"),"")))</f>
        <v/>
      </c>
      <c r="AI324" t="str">
        <f>IF(AE324="","",IF(AE324="[FÓRMULA MANUAL]","",IFERROR(SUMPRODUCT((DATOS!$A$2:$A$20000=AE324)*(DATOS!$G$2:$G$20000=CONFIG_METADATA!$B$4)*(COUNTIF(CONFIG_ASIGNATURAS!$B$7:$B$27,DATOS!$I$2:$I$20000)&gt;0)*(DATOS!$K$2:$K$20000))/SUMPRODUCT((DATOS!$A$2:$A$20000=AE324)*(DATOS!$G$2:$G$20000=CONFIG_METADATA!$B$4)*(COUNTIF(CONFIG_ASIGNATURAS!$B$7:$B$27,DATOS!$I$2:$I$20000)&gt;0)*1),"")))</f>
        <v/>
      </c>
    </row>
    <row r="325" spans="2:35" x14ac:dyDescent="0.2">
      <c r="B325" t="str">
        <f>IF(A325="","",IF(A325="[FÓRMULA MANUAL]","",IFERROR(AVERAGEIFS(DATOS!$K$2:$K$20000,DATOS!$A$2:$A$20000,A325,DATOS!$G$2:$G$20000,CONFIG_METADATA!$B$4,DATOS!$I$2:$I$20000,"Lenguaje Musical"),"")))</f>
        <v/>
      </c>
      <c r="C325" t="str">
        <f>IF(A325="","",IF(A325="[FÓRMULA MANUAL]","",IFERROR(AVERAGEIFS(DATOS!$K$2:$K$20000,DATOS!$A$2:$A$20000,A325,DATOS!$G$2:$G$20000,CONFIG_METADATA!$B$4,DATOS!$I$2:$I$20000,"Orquesta/Banda/Conjunto"),"")))</f>
        <v/>
      </c>
      <c r="D325" t="str">
        <f>IF(A325="","",IF(A325="[FÓRMULA MANUAL]","",IFERROR(AVERAGEIFS(DATOS!$K$2:$K$20000,DATOS!$A$2:$A$20000,A325,DATOS!$G$2:$G$20000,CONFIG_METADATA!$B$4,DATOS!$I$2:$I$20000,"Conjunto"),"")))</f>
        <v/>
      </c>
      <c r="E325" t="str">
        <f>IF(A325="","",IF(A325="[FÓRMULA MANUAL]","",IFERROR(SUMPRODUCT((DATOS!$A$2:$A$20000=A325)*(DATOS!$G$2:$G$20000=CONFIG_METADATA!$B$4)*(COUNTIF(CONFIG_ASIGNATURAS!$B$7:$B$27,DATOS!$I$2:$I$20000)&gt;0)*(DATOS!$K$2:$K$20000))/SUMPRODUCT((DATOS!$A$2:$A$20000=A325)*(DATOS!$G$2:$G$20000=CONFIG_METADATA!$B$4)*(COUNTIF(CONFIG_ASIGNATURAS!$B$7:$B$27,DATOS!$I$2:$I$20000)&gt;0)*1),"")))</f>
        <v/>
      </c>
      <c r="H325" t="str">
        <f>IF(G325="","",IF(G325="[FÓRMULA MANUAL]","",IFERROR(AVERAGEIFS(DATOS!$K$2:$K$20000,DATOS!$A$2:$A$20000,G325,DATOS!$G$2:$G$20000,CONFIG_METADATA!$B$4,DATOS!$I$2:$I$20000,"Lenguaje Musical"),"")))</f>
        <v/>
      </c>
      <c r="I325" t="str">
        <f>IF(G325="","",IF(G325="[FÓRMULA MANUAL]","",IFERROR(AVERAGEIFS(DATOS!$K$2:$K$20000,DATOS!$A$2:$A$20000,G325,DATOS!$G$2:$G$20000,CONFIG_METADATA!$B$4,DATOS!$I$2:$I$20000,"Orquesta/Banda/Conjunto"),"")))</f>
        <v/>
      </c>
      <c r="J325" t="str">
        <f>IF(G325="","",IF(G325="[FÓRMULA MANUAL]","",IFERROR(AVERAGEIFS(DATOS!$K$2:$K$20000,DATOS!$A$2:$A$20000,G325,DATOS!$G$2:$G$20000,CONFIG_METADATA!$B$4,DATOS!$I$2:$I$20000,"Conjunto"),"")))</f>
        <v/>
      </c>
      <c r="K325" t="str">
        <f>IF(G325="","",IF(G325="[FÓRMULA MANUAL]","",IFERROR(SUMPRODUCT((DATOS!$A$2:$A$20000=G325)*(DATOS!$G$2:$G$20000=CONFIG_METADATA!$B$4)*(COUNTIF(CONFIG_ASIGNATURAS!$B$7:$B$27,DATOS!$I$2:$I$20000)&gt;0)*(DATOS!$K$2:$K$20000))/SUMPRODUCT((DATOS!$A$2:$A$20000=G325)*(DATOS!$G$2:$G$20000=CONFIG_METADATA!$B$4)*(COUNTIF(CONFIG_ASIGNATURAS!$B$7:$B$27,DATOS!$I$2:$I$20000)&gt;0)*1),"")))</f>
        <v/>
      </c>
      <c r="N325" t="str">
        <f>IF(M325="","",IF(M325="[FÓRMULA MANUAL]","",IFERROR(AVERAGEIFS(DATOS!$K$2:$K$20000,DATOS!$A$2:$A$20000,M325,DATOS!$G$2:$G$20000,CONFIG_METADATA!$B$4,DATOS!$I$2:$I$20000,"Armonía"),"")))</f>
        <v/>
      </c>
      <c r="O325" t="str">
        <f>IF(M325="","",IF(M325="[FÓRMULA MANUAL]","",IFERROR(AVERAGEIFS(DATOS!$K$2:$K$20000,DATOS!$A$2:$A$20000,M325,DATOS!$G$2:$G$20000,CONFIG_METADATA!$B$4,DATOS!$I$2:$I$20000,"Orquesta/Banda/Conjunto"),"")))</f>
        <v/>
      </c>
      <c r="P325" t="str">
        <f>IF(M325="","",IF(M325="[FÓRMULA MANUAL]","",IFERROR(AVERAGEIFS(DATOS!$K$2:$K$20000,DATOS!$A$2:$A$20000,M325,DATOS!$G$2:$G$20000,CONFIG_METADATA!$B$4,DATOS!$I$2:$I$20000,"Música de Cámara"),"")))</f>
        <v/>
      </c>
      <c r="Q325" t="str">
        <f>IF(M325="","",IF(M325="[FÓRMULA MANUAL]","",IFERROR(SUMPRODUCT((DATOS!$A$2:$A$20000=M325)*(DATOS!$G$2:$G$20000=CONFIG_METADATA!$B$4)*(COUNTIF(CONFIG_ASIGNATURAS!$B$7:$B$27,DATOS!$I$2:$I$20000)&gt;0)*(DATOS!$K$2:$K$20000))/SUMPRODUCT((DATOS!$A$2:$A$20000=M325)*(DATOS!$G$2:$G$20000=CONFIG_METADATA!$B$4)*(COUNTIF(CONFIG_ASIGNATURAS!$B$7:$B$27,DATOS!$I$2:$I$20000)&gt;0)*1),"")))</f>
        <v/>
      </c>
      <c r="T325" t="str">
        <f>IF(S325="","",IF(S325="[FÓRMULA MANUAL]","",IFERROR(AVERAGEIFS(DATOS!$K$2:$K$20000,DATOS!$A$2:$A$20000,S325,DATOS!$G$2:$G$20000,CONFIG_METADATA!$B$4,DATOS!$I$2:$I$20000,"Armonía"),"")))</f>
        <v/>
      </c>
      <c r="U325" t="str">
        <f>IF(S325="","",IF(S325="[FÓRMULA MANUAL]","",IFERROR(AVERAGEIFS(DATOS!$K$2:$K$20000,DATOS!$A$2:$A$20000,S325,DATOS!$G$2:$G$20000,CONFIG_METADATA!$B$4,DATOS!$I$2:$I$20000,"Orquesta/Banda/Conjunto"),"")))</f>
        <v/>
      </c>
      <c r="V325" t="str">
        <f>IF(S325="","",IF(S325="[FÓRMULA MANUAL]","",IFERROR(AVERAGEIFS(DATOS!$K$2:$K$20000,DATOS!$A$2:$A$20000,S325,DATOS!$G$2:$G$20000,CONFIG_METADATA!$B$4,DATOS!$I$2:$I$20000,"Música de Cámara"),"")))</f>
        <v/>
      </c>
      <c r="W325" t="str">
        <f>IF(S325="","",IF(S325="[FÓRMULA MANUAL]","",IFERROR(SUMPRODUCT((DATOS!$A$2:$A$20000=S325)*(DATOS!$G$2:$G$20000=CONFIG_METADATA!$B$4)*(COUNTIF(CONFIG_ASIGNATURAS!$B$7:$B$27,DATOS!$I$2:$I$20000)&gt;0)*(DATOS!$K$2:$K$20000))/SUMPRODUCT((DATOS!$A$2:$A$20000=S325)*(DATOS!$G$2:$G$20000=CONFIG_METADATA!$B$4)*(COUNTIF(CONFIG_ASIGNATURAS!$B$7:$B$27,DATOS!$I$2:$I$20000)&gt;0)*1),"")))</f>
        <v/>
      </c>
      <c r="Z325" t="str">
        <f>IF(Y325="","",IF(Y325="[FÓRMULA MANUAL]","",IFERROR(AVERAGEIFS(DATOS!$K$2:$K$20000,DATOS!$A$2:$A$20000,Y325,DATOS!$G$2:$G$20000,CONFIG_METADATA!$B$4,DATOS!$I$2:$I$20000,"Análisis"),"")))</f>
        <v/>
      </c>
      <c r="AA325" t="str">
        <f>IF(Y325="","",IF(Y325="[FÓRMULA MANUAL]","",IFERROR(AVERAGEIFS(DATOS!$K$2:$K$20000,DATOS!$A$2:$A$20000,Y325,DATOS!$G$2:$G$20000,CONFIG_METADATA!$B$4,DATOS!$I$2:$I$20000,"Orquesta/Banda/Conjunto"),"")))</f>
        <v/>
      </c>
      <c r="AB325" t="str">
        <f>IF(Y325="","",IF(Y325="[FÓRMULA MANUAL]","",IFERROR(AVERAGEIFS(DATOS!$K$2:$K$20000,DATOS!$A$2:$A$20000,Y325,DATOS!$G$2:$G$20000,CONFIG_METADATA!$B$4,DATOS!$I$2:$I$20000,"Música de Cámara"),"")))</f>
        <v/>
      </c>
      <c r="AC325" t="str">
        <f>IF(Y325="","",IF(Y325="[FÓRMULA MANUAL]","",IFERROR(SUMPRODUCT((DATOS!$A$2:$A$20000=Y325)*(DATOS!$G$2:$G$20000=CONFIG_METADATA!$B$4)*(COUNTIF(CONFIG_ASIGNATURAS!$B$7:$B$27,DATOS!$I$2:$I$20000)&gt;0)*(DATOS!$K$2:$K$20000))/SUMPRODUCT((DATOS!$A$2:$A$20000=Y325)*(DATOS!$G$2:$G$20000=CONFIG_METADATA!$B$4)*(COUNTIF(CONFIG_ASIGNATURAS!$B$7:$B$27,DATOS!$I$2:$I$20000)&gt;0)*1),"")))</f>
        <v/>
      </c>
      <c r="AF325" t="str">
        <f>IF(AE325="","",IF(AE325="[FÓRMULA MANUAL]","",IFERROR(AVERAGEIFS(DATOS!$K$2:$K$20000,DATOS!$A$2:$A$20000,AE325,DATOS!$G$2:$G$20000,CONFIG_METADATA!$B$4,DATOS!$I$2:$I$20000,"Análisis"),"")))</f>
        <v/>
      </c>
      <c r="AG325" t="str">
        <f>IF(AE325="","",IF(AE325="[FÓRMULA MANUAL]","",IFERROR(AVERAGEIFS(DATOS!$K$2:$K$20000,DATOS!$A$2:$A$20000,AE325,DATOS!$G$2:$G$20000,CONFIG_METADATA!$B$4,DATOS!$I$2:$I$20000,"Orquesta/Banda/Conjunto"),"")))</f>
        <v/>
      </c>
      <c r="AH325" t="str">
        <f>IF(AE325="","",IF(AE325="[FÓRMULA MANUAL]","",IFERROR(AVERAGEIFS(DATOS!$K$2:$K$20000,DATOS!$A$2:$A$20000,AE325,DATOS!$G$2:$G$20000,CONFIG_METADATA!$B$4,DATOS!$I$2:$I$20000,"Música de Cámara"),"")))</f>
        <v/>
      </c>
      <c r="AI325" t="str">
        <f>IF(AE325="","",IF(AE325="[FÓRMULA MANUAL]","",IFERROR(SUMPRODUCT((DATOS!$A$2:$A$20000=AE325)*(DATOS!$G$2:$G$20000=CONFIG_METADATA!$B$4)*(COUNTIF(CONFIG_ASIGNATURAS!$B$7:$B$27,DATOS!$I$2:$I$20000)&gt;0)*(DATOS!$K$2:$K$20000))/SUMPRODUCT((DATOS!$A$2:$A$20000=AE325)*(DATOS!$G$2:$G$20000=CONFIG_METADATA!$B$4)*(COUNTIF(CONFIG_ASIGNATURAS!$B$7:$B$27,DATOS!$I$2:$I$20000)&gt;0)*1),"")))</f>
        <v/>
      </c>
    </row>
    <row r="326" spans="2:35" x14ac:dyDescent="0.2">
      <c r="B326" t="str">
        <f>IF(A326="","",IF(A326="[FÓRMULA MANUAL]","",IFERROR(AVERAGEIFS(DATOS!$K$2:$K$20000,DATOS!$A$2:$A$20000,A326,DATOS!$G$2:$G$20000,CONFIG_METADATA!$B$4,DATOS!$I$2:$I$20000,"Lenguaje Musical"),"")))</f>
        <v/>
      </c>
      <c r="C326" t="str">
        <f>IF(A326="","",IF(A326="[FÓRMULA MANUAL]","",IFERROR(AVERAGEIFS(DATOS!$K$2:$K$20000,DATOS!$A$2:$A$20000,A326,DATOS!$G$2:$G$20000,CONFIG_METADATA!$B$4,DATOS!$I$2:$I$20000,"Orquesta/Banda/Conjunto"),"")))</f>
        <v/>
      </c>
      <c r="D326" t="str">
        <f>IF(A326="","",IF(A326="[FÓRMULA MANUAL]","",IFERROR(AVERAGEIFS(DATOS!$K$2:$K$20000,DATOS!$A$2:$A$20000,A326,DATOS!$G$2:$G$20000,CONFIG_METADATA!$B$4,DATOS!$I$2:$I$20000,"Conjunto"),"")))</f>
        <v/>
      </c>
      <c r="E326" t="str">
        <f>IF(A326="","",IF(A326="[FÓRMULA MANUAL]","",IFERROR(SUMPRODUCT((DATOS!$A$2:$A$20000=A326)*(DATOS!$G$2:$G$20000=CONFIG_METADATA!$B$4)*(COUNTIF(CONFIG_ASIGNATURAS!$B$7:$B$27,DATOS!$I$2:$I$20000)&gt;0)*(DATOS!$K$2:$K$20000))/SUMPRODUCT((DATOS!$A$2:$A$20000=A326)*(DATOS!$G$2:$G$20000=CONFIG_METADATA!$B$4)*(COUNTIF(CONFIG_ASIGNATURAS!$B$7:$B$27,DATOS!$I$2:$I$20000)&gt;0)*1),"")))</f>
        <v/>
      </c>
      <c r="H326" t="str">
        <f>IF(G326="","",IF(G326="[FÓRMULA MANUAL]","",IFERROR(AVERAGEIFS(DATOS!$K$2:$K$20000,DATOS!$A$2:$A$20000,G326,DATOS!$G$2:$G$20000,CONFIG_METADATA!$B$4,DATOS!$I$2:$I$20000,"Lenguaje Musical"),"")))</f>
        <v/>
      </c>
      <c r="I326" t="str">
        <f>IF(G326="","",IF(G326="[FÓRMULA MANUAL]","",IFERROR(AVERAGEIFS(DATOS!$K$2:$K$20000,DATOS!$A$2:$A$20000,G326,DATOS!$G$2:$G$20000,CONFIG_METADATA!$B$4,DATOS!$I$2:$I$20000,"Orquesta/Banda/Conjunto"),"")))</f>
        <v/>
      </c>
      <c r="J326" t="str">
        <f>IF(G326="","",IF(G326="[FÓRMULA MANUAL]","",IFERROR(AVERAGEIFS(DATOS!$K$2:$K$20000,DATOS!$A$2:$A$20000,G326,DATOS!$G$2:$G$20000,CONFIG_METADATA!$B$4,DATOS!$I$2:$I$20000,"Conjunto"),"")))</f>
        <v/>
      </c>
      <c r="K326" t="str">
        <f>IF(G326="","",IF(G326="[FÓRMULA MANUAL]","",IFERROR(SUMPRODUCT((DATOS!$A$2:$A$20000=G326)*(DATOS!$G$2:$G$20000=CONFIG_METADATA!$B$4)*(COUNTIF(CONFIG_ASIGNATURAS!$B$7:$B$27,DATOS!$I$2:$I$20000)&gt;0)*(DATOS!$K$2:$K$20000))/SUMPRODUCT((DATOS!$A$2:$A$20000=G326)*(DATOS!$G$2:$G$20000=CONFIG_METADATA!$B$4)*(COUNTIF(CONFIG_ASIGNATURAS!$B$7:$B$27,DATOS!$I$2:$I$20000)&gt;0)*1),"")))</f>
        <v/>
      </c>
      <c r="N326" t="str">
        <f>IF(M326="","",IF(M326="[FÓRMULA MANUAL]","",IFERROR(AVERAGEIFS(DATOS!$K$2:$K$20000,DATOS!$A$2:$A$20000,M326,DATOS!$G$2:$G$20000,CONFIG_METADATA!$B$4,DATOS!$I$2:$I$20000,"Armonía"),"")))</f>
        <v/>
      </c>
      <c r="O326" t="str">
        <f>IF(M326="","",IF(M326="[FÓRMULA MANUAL]","",IFERROR(AVERAGEIFS(DATOS!$K$2:$K$20000,DATOS!$A$2:$A$20000,M326,DATOS!$G$2:$G$20000,CONFIG_METADATA!$B$4,DATOS!$I$2:$I$20000,"Orquesta/Banda/Conjunto"),"")))</f>
        <v/>
      </c>
      <c r="P326" t="str">
        <f>IF(M326="","",IF(M326="[FÓRMULA MANUAL]","",IFERROR(AVERAGEIFS(DATOS!$K$2:$K$20000,DATOS!$A$2:$A$20000,M326,DATOS!$G$2:$G$20000,CONFIG_METADATA!$B$4,DATOS!$I$2:$I$20000,"Música de Cámara"),"")))</f>
        <v/>
      </c>
      <c r="Q326" t="str">
        <f>IF(M326="","",IF(M326="[FÓRMULA MANUAL]","",IFERROR(SUMPRODUCT((DATOS!$A$2:$A$20000=M326)*(DATOS!$G$2:$G$20000=CONFIG_METADATA!$B$4)*(COUNTIF(CONFIG_ASIGNATURAS!$B$7:$B$27,DATOS!$I$2:$I$20000)&gt;0)*(DATOS!$K$2:$K$20000))/SUMPRODUCT((DATOS!$A$2:$A$20000=M326)*(DATOS!$G$2:$G$20000=CONFIG_METADATA!$B$4)*(COUNTIF(CONFIG_ASIGNATURAS!$B$7:$B$27,DATOS!$I$2:$I$20000)&gt;0)*1),"")))</f>
        <v/>
      </c>
      <c r="T326" t="str">
        <f>IF(S326="","",IF(S326="[FÓRMULA MANUAL]","",IFERROR(AVERAGEIFS(DATOS!$K$2:$K$20000,DATOS!$A$2:$A$20000,S326,DATOS!$G$2:$G$20000,CONFIG_METADATA!$B$4,DATOS!$I$2:$I$20000,"Armonía"),"")))</f>
        <v/>
      </c>
      <c r="U326" t="str">
        <f>IF(S326="","",IF(S326="[FÓRMULA MANUAL]","",IFERROR(AVERAGEIFS(DATOS!$K$2:$K$20000,DATOS!$A$2:$A$20000,S326,DATOS!$G$2:$G$20000,CONFIG_METADATA!$B$4,DATOS!$I$2:$I$20000,"Orquesta/Banda/Conjunto"),"")))</f>
        <v/>
      </c>
      <c r="V326" t="str">
        <f>IF(S326="","",IF(S326="[FÓRMULA MANUAL]","",IFERROR(AVERAGEIFS(DATOS!$K$2:$K$20000,DATOS!$A$2:$A$20000,S326,DATOS!$G$2:$G$20000,CONFIG_METADATA!$B$4,DATOS!$I$2:$I$20000,"Música de Cámara"),"")))</f>
        <v/>
      </c>
      <c r="W326" t="str">
        <f>IF(S326="","",IF(S326="[FÓRMULA MANUAL]","",IFERROR(SUMPRODUCT((DATOS!$A$2:$A$20000=S326)*(DATOS!$G$2:$G$20000=CONFIG_METADATA!$B$4)*(COUNTIF(CONFIG_ASIGNATURAS!$B$7:$B$27,DATOS!$I$2:$I$20000)&gt;0)*(DATOS!$K$2:$K$20000))/SUMPRODUCT((DATOS!$A$2:$A$20000=S326)*(DATOS!$G$2:$G$20000=CONFIG_METADATA!$B$4)*(COUNTIF(CONFIG_ASIGNATURAS!$B$7:$B$27,DATOS!$I$2:$I$20000)&gt;0)*1),"")))</f>
        <v/>
      </c>
      <c r="Z326" t="str">
        <f>IF(Y326="","",IF(Y326="[FÓRMULA MANUAL]","",IFERROR(AVERAGEIFS(DATOS!$K$2:$K$20000,DATOS!$A$2:$A$20000,Y326,DATOS!$G$2:$G$20000,CONFIG_METADATA!$B$4,DATOS!$I$2:$I$20000,"Análisis"),"")))</f>
        <v/>
      </c>
      <c r="AA326" t="str">
        <f>IF(Y326="","",IF(Y326="[FÓRMULA MANUAL]","",IFERROR(AVERAGEIFS(DATOS!$K$2:$K$20000,DATOS!$A$2:$A$20000,Y326,DATOS!$G$2:$G$20000,CONFIG_METADATA!$B$4,DATOS!$I$2:$I$20000,"Orquesta/Banda/Conjunto"),"")))</f>
        <v/>
      </c>
      <c r="AB326" t="str">
        <f>IF(Y326="","",IF(Y326="[FÓRMULA MANUAL]","",IFERROR(AVERAGEIFS(DATOS!$K$2:$K$20000,DATOS!$A$2:$A$20000,Y326,DATOS!$G$2:$G$20000,CONFIG_METADATA!$B$4,DATOS!$I$2:$I$20000,"Música de Cámara"),"")))</f>
        <v/>
      </c>
      <c r="AC326" t="str">
        <f>IF(Y326="","",IF(Y326="[FÓRMULA MANUAL]","",IFERROR(SUMPRODUCT((DATOS!$A$2:$A$20000=Y326)*(DATOS!$G$2:$G$20000=CONFIG_METADATA!$B$4)*(COUNTIF(CONFIG_ASIGNATURAS!$B$7:$B$27,DATOS!$I$2:$I$20000)&gt;0)*(DATOS!$K$2:$K$20000))/SUMPRODUCT((DATOS!$A$2:$A$20000=Y326)*(DATOS!$G$2:$G$20000=CONFIG_METADATA!$B$4)*(COUNTIF(CONFIG_ASIGNATURAS!$B$7:$B$27,DATOS!$I$2:$I$20000)&gt;0)*1),"")))</f>
        <v/>
      </c>
      <c r="AF326" t="str">
        <f>IF(AE326="","",IF(AE326="[FÓRMULA MANUAL]","",IFERROR(AVERAGEIFS(DATOS!$K$2:$K$20000,DATOS!$A$2:$A$20000,AE326,DATOS!$G$2:$G$20000,CONFIG_METADATA!$B$4,DATOS!$I$2:$I$20000,"Análisis"),"")))</f>
        <v/>
      </c>
      <c r="AG326" t="str">
        <f>IF(AE326="","",IF(AE326="[FÓRMULA MANUAL]","",IFERROR(AVERAGEIFS(DATOS!$K$2:$K$20000,DATOS!$A$2:$A$20000,AE326,DATOS!$G$2:$G$20000,CONFIG_METADATA!$B$4,DATOS!$I$2:$I$20000,"Orquesta/Banda/Conjunto"),"")))</f>
        <v/>
      </c>
      <c r="AH326" t="str">
        <f>IF(AE326="","",IF(AE326="[FÓRMULA MANUAL]","",IFERROR(AVERAGEIFS(DATOS!$K$2:$K$20000,DATOS!$A$2:$A$20000,AE326,DATOS!$G$2:$G$20000,CONFIG_METADATA!$B$4,DATOS!$I$2:$I$20000,"Música de Cámara"),"")))</f>
        <v/>
      </c>
      <c r="AI326" t="str">
        <f>IF(AE326="","",IF(AE326="[FÓRMULA MANUAL]","",IFERROR(SUMPRODUCT((DATOS!$A$2:$A$20000=AE326)*(DATOS!$G$2:$G$20000=CONFIG_METADATA!$B$4)*(COUNTIF(CONFIG_ASIGNATURAS!$B$7:$B$27,DATOS!$I$2:$I$20000)&gt;0)*(DATOS!$K$2:$K$20000))/SUMPRODUCT((DATOS!$A$2:$A$20000=AE326)*(DATOS!$G$2:$G$20000=CONFIG_METADATA!$B$4)*(COUNTIF(CONFIG_ASIGNATURAS!$B$7:$B$27,DATOS!$I$2:$I$20000)&gt;0)*1),"")))</f>
        <v/>
      </c>
    </row>
    <row r="327" spans="2:35" x14ac:dyDescent="0.2">
      <c r="B327" t="str">
        <f>IF(A327="","",IF(A327="[FÓRMULA MANUAL]","",IFERROR(AVERAGEIFS(DATOS!$K$2:$K$20000,DATOS!$A$2:$A$20000,A327,DATOS!$G$2:$G$20000,CONFIG_METADATA!$B$4,DATOS!$I$2:$I$20000,"Lenguaje Musical"),"")))</f>
        <v/>
      </c>
      <c r="C327" t="str">
        <f>IF(A327="","",IF(A327="[FÓRMULA MANUAL]","",IFERROR(AVERAGEIFS(DATOS!$K$2:$K$20000,DATOS!$A$2:$A$20000,A327,DATOS!$G$2:$G$20000,CONFIG_METADATA!$B$4,DATOS!$I$2:$I$20000,"Orquesta/Banda/Conjunto"),"")))</f>
        <v/>
      </c>
      <c r="D327" t="str">
        <f>IF(A327="","",IF(A327="[FÓRMULA MANUAL]","",IFERROR(AVERAGEIFS(DATOS!$K$2:$K$20000,DATOS!$A$2:$A$20000,A327,DATOS!$G$2:$G$20000,CONFIG_METADATA!$B$4,DATOS!$I$2:$I$20000,"Conjunto"),"")))</f>
        <v/>
      </c>
      <c r="E327" t="str">
        <f>IF(A327="","",IF(A327="[FÓRMULA MANUAL]","",IFERROR(SUMPRODUCT((DATOS!$A$2:$A$20000=A327)*(DATOS!$G$2:$G$20000=CONFIG_METADATA!$B$4)*(COUNTIF(CONFIG_ASIGNATURAS!$B$7:$B$27,DATOS!$I$2:$I$20000)&gt;0)*(DATOS!$K$2:$K$20000))/SUMPRODUCT((DATOS!$A$2:$A$20000=A327)*(DATOS!$G$2:$G$20000=CONFIG_METADATA!$B$4)*(COUNTIF(CONFIG_ASIGNATURAS!$B$7:$B$27,DATOS!$I$2:$I$20000)&gt;0)*1),"")))</f>
        <v/>
      </c>
      <c r="H327" t="str">
        <f>IF(G327="","",IF(G327="[FÓRMULA MANUAL]","",IFERROR(AVERAGEIFS(DATOS!$K$2:$K$20000,DATOS!$A$2:$A$20000,G327,DATOS!$G$2:$G$20000,CONFIG_METADATA!$B$4,DATOS!$I$2:$I$20000,"Lenguaje Musical"),"")))</f>
        <v/>
      </c>
      <c r="I327" t="str">
        <f>IF(G327="","",IF(G327="[FÓRMULA MANUAL]","",IFERROR(AVERAGEIFS(DATOS!$K$2:$K$20000,DATOS!$A$2:$A$20000,G327,DATOS!$G$2:$G$20000,CONFIG_METADATA!$B$4,DATOS!$I$2:$I$20000,"Orquesta/Banda/Conjunto"),"")))</f>
        <v/>
      </c>
      <c r="J327" t="str">
        <f>IF(G327="","",IF(G327="[FÓRMULA MANUAL]","",IFERROR(AVERAGEIFS(DATOS!$K$2:$K$20000,DATOS!$A$2:$A$20000,G327,DATOS!$G$2:$G$20000,CONFIG_METADATA!$B$4,DATOS!$I$2:$I$20000,"Conjunto"),"")))</f>
        <v/>
      </c>
      <c r="K327" t="str">
        <f>IF(G327="","",IF(G327="[FÓRMULA MANUAL]","",IFERROR(SUMPRODUCT((DATOS!$A$2:$A$20000=G327)*(DATOS!$G$2:$G$20000=CONFIG_METADATA!$B$4)*(COUNTIF(CONFIG_ASIGNATURAS!$B$7:$B$27,DATOS!$I$2:$I$20000)&gt;0)*(DATOS!$K$2:$K$20000))/SUMPRODUCT((DATOS!$A$2:$A$20000=G327)*(DATOS!$G$2:$G$20000=CONFIG_METADATA!$B$4)*(COUNTIF(CONFIG_ASIGNATURAS!$B$7:$B$27,DATOS!$I$2:$I$20000)&gt;0)*1),"")))</f>
        <v/>
      </c>
      <c r="N327" t="str">
        <f>IF(M327="","",IF(M327="[FÓRMULA MANUAL]","",IFERROR(AVERAGEIFS(DATOS!$K$2:$K$20000,DATOS!$A$2:$A$20000,M327,DATOS!$G$2:$G$20000,CONFIG_METADATA!$B$4,DATOS!$I$2:$I$20000,"Armonía"),"")))</f>
        <v/>
      </c>
      <c r="O327" t="str">
        <f>IF(M327="","",IF(M327="[FÓRMULA MANUAL]","",IFERROR(AVERAGEIFS(DATOS!$K$2:$K$20000,DATOS!$A$2:$A$20000,M327,DATOS!$G$2:$G$20000,CONFIG_METADATA!$B$4,DATOS!$I$2:$I$20000,"Orquesta/Banda/Conjunto"),"")))</f>
        <v/>
      </c>
      <c r="P327" t="str">
        <f>IF(M327="","",IF(M327="[FÓRMULA MANUAL]","",IFERROR(AVERAGEIFS(DATOS!$K$2:$K$20000,DATOS!$A$2:$A$20000,M327,DATOS!$G$2:$G$20000,CONFIG_METADATA!$B$4,DATOS!$I$2:$I$20000,"Música de Cámara"),"")))</f>
        <v/>
      </c>
      <c r="Q327" t="str">
        <f>IF(M327="","",IF(M327="[FÓRMULA MANUAL]","",IFERROR(SUMPRODUCT((DATOS!$A$2:$A$20000=M327)*(DATOS!$G$2:$G$20000=CONFIG_METADATA!$B$4)*(COUNTIF(CONFIG_ASIGNATURAS!$B$7:$B$27,DATOS!$I$2:$I$20000)&gt;0)*(DATOS!$K$2:$K$20000))/SUMPRODUCT((DATOS!$A$2:$A$20000=M327)*(DATOS!$G$2:$G$20000=CONFIG_METADATA!$B$4)*(COUNTIF(CONFIG_ASIGNATURAS!$B$7:$B$27,DATOS!$I$2:$I$20000)&gt;0)*1),"")))</f>
        <v/>
      </c>
      <c r="T327" t="str">
        <f>IF(S327="","",IF(S327="[FÓRMULA MANUAL]","",IFERROR(AVERAGEIFS(DATOS!$K$2:$K$20000,DATOS!$A$2:$A$20000,S327,DATOS!$G$2:$G$20000,CONFIG_METADATA!$B$4,DATOS!$I$2:$I$20000,"Armonía"),"")))</f>
        <v/>
      </c>
      <c r="U327" t="str">
        <f>IF(S327="","",IF(S327="[FÓRMULA MANUAL]","",IFERROR(AVERAGEIFS(DATOS!$K$2:$K$20000,DATOS!$A$2:$A$20000,S327,DATOS!$G$2:$G$20000,CONFIG_METADATA!$B$4,DATOS!$I$2:$I$20000,"Orquesta/Banda/Conjunto"),"")))</f>
        <v/>
      </c>
      <c r="V327" t="str">
        <f>IF(S327="","",IF(S327="[FÓRMULA MANUAL]","",IFERROR(AVERAGEIFS(DATOS!$K$2:$K$20000,DATOS!$A$2:$A$20000,S327,DATOS!$G$2:$G$20000,CONFIG_METADATA!$B$4,DATOS!$I$2:$I$20000,"Música de Cámara"),"")))</f>
        <v/>
      </c>
      <c r="W327" t="str">
        <f>IF(S327="","",IF(S327="[FÓRMULA MANUAL]","",IFERROR(SUMPRODUCT((DATOS!$A$2:$A$20000=S327)*(DATOS!$G$2:$G$20000=CONFIG_METADATA!$B$4)*(COUNTIF(CONFIG_ASIGNATURAS!$B$7:$B$27,DATOS!$I$2:$I$20000)&gt;0)*(DATOS!$K$2:$K$20000))/SUMPRODUCT((DATOS!$A$2:$A$20000=S327)*(DATOS!$G$2:$G$20000=CONFIG_METADATA!$B$4)*(COUNTIF(CONFIG_ASIGNATURAS!$B$7:$B$27,DATOS!$I$2:$I$20000)&gt;0)*1),"")))</f>
        <v/>
      </c>
      <c r="Z327" t="str">
        <f>IF(Y327="","",IF(Y327="[FÓRMULA MANUAL]","",IFERROR(AVERAGEIFS(DATOS!$K$2:$K$20000,DATOS!$A$2:$A$20000,Y327,DATOS!$G$2:$G$20000,CONFIG_METADATA!$B$4,DATOS!$I$2:$I$20000,"Análisis"),"")))</f>
        <v/>
      </c>
      <c r="AA327" t="str">
        <f>IF(Y327="","",IF(Y327="[FÓRMULA MANUAL]","",IFERROR(AVERAGEIFS(DATOS!$K$2:$K$20000,DATOS!$A$2:$A$20000,Y327,DATOS!$G$2:$G$20000,CONFIG_METADATA!$B$4,DATOS!$I$2:$I$20000,"Orquesta/Banda/Conjunto"),"")))</f>
        <v/>
      </c>
      <c r="AB327" t="str">
        <f>IF(Y327="","",IF(Y327="[FÓRMULA MANUAL]","",IFERROR(AVERAGEIFS(DATOS!$K$2:$K$20000,DATOS!$A$2:$A$20000,Y327,DATOS!$G$2:$G$20000,CONFIG_METADATA!$B$4,DATOS!$I$2:$I$20000,"Música de Cámara"),"")))</f>
        <v/>
      </c>
      <c r="AC327" t="str">
        <f>IF(Y327="","",IF(Y327="[FÓRMULA MANUAL]","",IFERROR(SUMPRODUCT((DATOS!$A$2:$A$20000=Y327)*(DATOS!$G$2:$G$20000=CONFIG_METADATA!$B$4)*(COUNTIF(CONFIG_ASIGNATURAS!$B$7:$B$27,DATOS!$I$2:$I$20000)&gt;0)*(DATOS!$K$2:$K$20000))/SUMPRODUCT((DATOS!$A$2:$A$20000=Y327)*(DATOS!$G$2:$G$20000=CONFIG_METADATA!$B$4)*(COUNTIF(CONFIG_ASIGNATURAS!$B$7:$B$27,DATOS!$I$2:$I$20000)&gt;0)*1),"")))</f>
        <v/>
      </c>
      <c r="AF327" t="str">
        <f>IF(AE327="","",IF(AE327="[FÓRMULA MANUAL]","",IFERROR(AVERAGEIFS(DATOS!$K$2:$K$20000,DATOS!$A$2:$A$20000,AE327,DATOS!$G$2:$G$20000,CONFIG_METADATA!$B$4,DATOS!$I$2:$I$20000,"Análisis"),"")))</f>
        <v/>
      </c>
      <c r="AG327" t="str">
        <f>IF(AE327="","",IF(AE327="[FÓRMULA MANUAL]","",IFERROR(AVERAGEIFS(DATOS!$K$2:$K$20000,DATOS!$A$2:$A$20000,AE327,DATOS!$G$2:$G$20000,CONFIG_METADATA!$B$4,DATOS!$I$2:$I$20000,"Orquesta/Banda/Conjunto"),"")))</f>
        <v/>
      </c>
      <c r="AH327" t="str">
        <f>IF(AE327="","",IF(AE327="[FÓRMULA MANUAL]","",IFERROR(AVERAGEIFS(DATOS!$K$2:$K$20000,DATOS!$A$2:$A$20000,AE327,DATOS!$G$2:$G$20000,CONFIG_METADATA!$B$4,DATOS!$I$2:$I$20000,"Música de Cámara"),"")))</f>
        <v/>
      </c>
      <c r="AI327" t="str">
        <f>IF(AE327="","",IF(AE327="[FÓRMULA MANUAL]","",IFERROR(SUMPRODUCT((DATOS!$A$2:$A$20000=AE327)*(DATOS!$G$2:$G$20000=CONFIG_METADATA!$B$4)*(COUNTIF(CONFIG_ASIGNATURAS!$B$7:$B$27,DATOS!$I$2:$I$20000)&gt;0)*(DATOS!$K$2:$K$20000))/SUMPRODUCT((DATOS!$A$2:$A$20000=AE327)*(DATOS!$G$2:$G$20000=CONFIG_METADATA!$B$4)*(COUNTIF(CONFIG_ASIGNATURAS!$B$7:$B$27,DATOS!$I$2:$I$20000)&gt;0)*1),"")))</f>
        <v/>
      </c>
    </row>
    <row r="328" spans="2:35" x14ac:dyDescent="0.2">
      <c r="B328" t="str">
        <f>IF(A328="","",IF(A328="[FÓRMULA MANUAL]","",IFERROR(AVERAGEIFS(DATOS!$K$2:$K$20000,DATOS!$A$2:$A$20000,A328,DATOS!$G$2:$G$20000,CONFIG_METADATA!$B$4,DATOS!$I$2:$I$20000,"Lenguaje Musical"),"")))</f>
        <v/>
      </c>
      <c r="C328" t="str">
        <f>IF(A328="","",IF(A328="[FÓRMULA MANUAL]","",IFERROR(AVERAGEIFS(DATOS!$K$2:$K$20000,DATOS!$A$2:$A$20000,A328,DATOS!$G$2:$G$20000,CONFIG_METADATA!$B$4,DATOS!$I$2:$I$20000,"Orquesta/Banda/Conjunto"),"")))</f>
        <v/>
      </c>
      <c r="D328" t="str">
        <f>IF(A328="","",IF(A328="[FÓRMULA MANUAL]","",IFERROR(AVERAGEIFS(DATOS!$K$2:$K$20000,DATOS!$A$2:$A$20000,A328,DATOS!$G$2:$G$20000,CONFIG_METADATA!$B$4,DATOS!$I$2:$I$20000,"Conjunto"),"")))</f>
        <v/>
      </c>
      <c r="E328" t="str">
        <f>IF(A328="","",IF(A328="[FÓRMULA MANUAL]","",IFERROR(SUMPRODUCT((DATOS!$A$2:$A$20000=A328)*(DATOS!$G$2:$G$20000=CONFIG_METADATA!$B$4)*(COUNTIF(CONFIG_ASIGNATURAS!$B$7:$B$27,DATOS!$I$2:$I$20000)&gt;0)*(DATOS!$K$2:$K$20000))/SUMPRODUCT((DATOS!$A$2:$A$20000=A328)*(DATOS!$G$2:$G$20000=CONFIG_METADATA!$B$4)*(COUNTIF(CONFIG_ASIGNATURAS!$B$7:$B$27,DATOS!$I$2:$I$20000)&gt;0)*1),"")))</f>
        <v/>
      </c>
      <c r="H328" t="str">
        <f>IF(G328="","",IF(G328="[FÓRMULA MANUAL]","",IFERROR(AVERAGEIFS(DATOS!$K$2:$K$20000,DATOS!$A$2:$A$20000,G328,DATOS!$G$2:$G$20000,CONFIG_METADATA!$B$4,DATOS!$I$2:$I$20000,"Lenguaje Musical"),"")))</f>
        <v/>
      </c>
      <c r="I328" t="str">
        <f>IF(G328="","",IF(G328="[FÓRMULA MANUAL]","",IFERROR(AVERAGEIFS(DATOS!$K$2:$K$20000,DATOS!$A$2:$A$20000,G328,DATOS!$G$2:$G$20000,CONFIG_METADATA!$B$4,DATOS!$I$2:$I$20000,"Orquesta/Banda/Conjunto"),"")))</f>
        <v/>
      </c>
      <c r="J328" t="str">
        <f>IF(G328="","",IF(G328="[FÓRMULA MANUAL]","",IFERROR(AVERAGEIFS(DATOS!$K$2:$K$20000,DATOS!$A$2:$A$20000,G328,DATOS!$G$2:$G$20000,CONFIG_METADATA!$B$4,DATOS!$I$2:$I$20000,"Conjunto"),"")))</f>
        <v/>
      </c>
      <c r="K328" t="str">
        <f>IF(G328="","",IF(G328="[FÓRMULA MANUAL]","",IFERROR(SUMPRODUCT((DATOS!$A$2:$A$20000=G328)*(DATOS!$G$2:$G$20000=CONFIG_METADATA!$B$4)*(COUNTIF(CONFIG_ASIGNATURAS!$B$7:$B$27,DATOS!$I$2:$I$20000)&gt;0)*(DATOS!$K$2:$K$20000))/SUMPRODUCT((DATOS!$A$2:$A$20000=G328)*(DATOS!$G$2:$G$20000=CONFIG_METADATA!$B$4)*(COUNTIF(CONFIG_ASIGNATURAS!$B$7:$B$27,DATOS!$I$2:$I$20000)&gt;0)*1),"")))</f>
        <v/>
      </c>
      <c r="N328" t="str">
        <f>IF(M328="","",IF(M328="[FÓRMULA MANUAL]","",IFERROR(AVERAGEIFS(DATOS!$K$2:$K$20000,DATOS!$A$2:$A$20000,M328,DATOS!$G$2:$G$20000,CONFIG_METADATA!$B$4,DATOS!$I$2:$I$20000,"Armonía"),"")))</f>
        <v/>
      </c>
      <c r="O328" t="str">
        <f>IF(M328="","",IF(M328="[FÓRMULA MANUAL]","",IFERROR(AVERAGEIFS(DATOS!$K$2:$K$20000,DATOS!$A$2:$A$20000,M328,DATOS!$G$2:$G$20000,CONFIG_METADATA!$B$4,DATOS!$I$2:$I$20000,"Orquesta/Banda/Conjunto"),"")))</f>
        <v/>
      </c>
      <c r="P328" t="str">
        <f>IF(M328="","",IF(M328="[FÓRMULA MANUAL]","",IFERROR(AVERAGEIFS(DATOS!$K$2:$K$20000,DATOS!$A$2:$A$20000,M328,DATOS!$G$2:$G$20000,CONFIG_METADATA!$B$4,DATOS!$I$2:$I$20000,"Música de Cámara"),"")))</f>
        <v/>
      </c>
      <c r="Q328" t="str">
        <f>IF(M328="","",IF(M328="[FÓRMULA MANUAL]","",IFERROR(SUMPRODUCT((DATOS!$A$2:$A$20000=M328)*(DATOS!$G$2:$G$20000=CONFIG_METADATA!$B$4)*(COUNTIF(CONFIG_ASIGNATURAS!$B$7:$B$27,DATOS!$I$2:$I$20000)&gt;0)*(DATOS!$K$2:$K$20000))/SUMPRODUCT((DATOS!$A$2:$A$20000=M328)*(DATOS!$G$2:$G$20000=CONFIG_METADATA!$B$4)*(COUNTIF(CONFIG_ASIGNATURAS!$B$7:$B$27,DATOS!$I$2:$I$20000)&gt;0)*1),"")))</f>
        <v/>
      </c>
      <c r="T328" t="str">
        <f>IF(S328="","",IF(S328="[FÓRMULA MANUAL]","",IFERROR(AVERAGEIFS(DATOS!$K$2:$K$20000,DATOS!$A$2:$A$20000,S328,DATOS!$G$2:$G$20000,CONFIG_METADATA!$B$4,DATOS!$I$2:$I$20000,"Armonía"),"")))</f>
        <v/>
      </c>
      <c r="U328" t="str">
        <f>IF(S328="","",IF(S328="[FÓRMULA MANUAL]","",IFERROR(AVERAGEIFS(DATOS!$K$2:$K$20000,DATOS!$A$2:$A$20000,S328,DATOS!$G$2:$G$20000,CONFIG_METADATA!$B$4,DATOS!$I$2:$I$20000,"Orquesta/Banda/Conjunto"),"")))</f>
        <v/>
      </c>
      <c r="V328" t="str">
        <f>IF(S328="","",IF(S328="[FÓRMULA MANUAL]","",IFERROR(AVERAGEIFS(DATOS!$K$2:$K$20000,DATOS!$A$2:$A$20000,S328,DATOS!$G$2:$G$20000,CONFIG_METADATA!$B$4,DATOS!$I$2:$I$20000,"Música de Cámara"),"")))</f>
        <v/>
      </c>
      <c r="W328" t="str">
        <f>IF(S328="","",IF(S328="[FÓRMULA MANUAL]","",IFERROR(SUMPRODUCT((DATOS!$A$2:$A$20000=S328)*(DATOS!$G$2:$G$20000=CONFIG_METADATA!$B$4)*(COUNTIF(CONFIG_ASIGNATURAS!$B$7:$B$27,DATOS!$I$2:$I$20000)&gt;0)*(DATOS!$K$2:$K$20000))/SUMPRODUCT((DATOS!$A$2:$A$20000=S328)*(DATOS!$G$2:$G$20000=CONFIG_METADATA!$B$4)*(COUNTIF(CONFIG_ASIGNATURAS!$B$7:$B$27,DATOS!$I$2:$I$20000)&gt;0)*1),"")))</f>
        <v/>
      </c>
      <c r="Z328" t="str">
        <f>IF(Y328="","",IF(Y328="[FÓRMULA MANUAL]","",IFERROR(AVERAGEIFS(DATOS!$K$2:$K$20000,DATOS!$A$2:$A$20000,Y328,DATOS!$G$2:$G$20000,CONFIG_METADATA!$B$4,DATOS!$I$2:$I$20000,"Análisis"),"")))</f>
        <v/>
      </c>
      <c r="AA328" t="str">
        <f>IF(Y328="","",IF(Y328="[FÓRMULA MANUAL]","",IFERROR(AVERAGEIFS(DATOS!$K$2:$K$20000,DATOS!$A$2:$A$20000,Y328,DATOS!$G$2:$G$20000,CONFIG_METADATA!$B$4,DATOS!$I$2:$I$20000,"Orquesta/Banda/Conjunto"),"")))</f>
        <v/>
      </c>
      <c r="AB328" t="str">
        <f>IF(Y328="","",IF(Y328="[FÓRMULA MANUAL]","",IFERROR(AVERAGEIFS(DATOS!$K$2:$K$20000,DATOS!$A$2:$A$20000,Y328,DATOS!$G$2:$G$20000,CONFIG_METADATA!$B$4,DATOS!$I$2:$I$20000,"Música de Cámara"),"")))</f>
        <v/>
      </c>
      <c r="AC328" t="str">
        <f>IF(Y328="","",IF(Y328="[FÓRMULA MANUAL]","",IFERROR(SUMPRODUCT((DATOS!$A$2:$A$20000=Y328)*(DATOS!$G$2:$G$20000=CONFIG_METADATA!$B$4)*(COUNTIF(CONFIG_ASIGNATURAS!$B$7:$B$27,DATOS!$I$2:$I$20000)&gt;0)*(DATOS!$K$2:$K$20000))/SUMPRODUCT((DATOS!$A$2:$A$20000=Y328)*(DATOS!$G$2:$G$20000=CONFIG_METADATA!$B$4)*(COUNTIF(CONFIG_ASIGNATURAS!$B$7:$B$27,DATOS!$I$2:$I$20000)&gt;0)*1),"")))</f>
        <v/>
      </c>
      <c r="AF328" t="str">
        <f>IF(AE328="","",IF(AE328="[FÓRMULA MANUAL]","",IFERROR(AVERAGEIFS(DATOS!$K$2:$K$20000,DATOS!$A$2:$A$20000,AE328,DATOS!$G$2:$G$20000,CONFIG_METADATA!$B$4,DATOS!$I$2:$I$20000,"Análisis"),"")))</f>
        <v/>
      </c>
      <c r="AG328" t="str">
        <f>IF(AE328="","",IF(AE328="[FÓRMULA MANUAL]","",IFERROR(AVERAGEIFS(DATOS!$K$2:$K$20000,DATOS!$A$2:$A$20000,AE328,DATOS!$G$2:$G$20000,CONFIG_METADATA!$B$4,DATOS!$I$2:$I$20000,"Orquesta/Banda/Conjunto"),"")))</f>
        <v/>
      </c>
      <c r="AH328" t="str">
        <f>IF(AE328="","",IF(AE328="[FÓRMULA MANUAL]","",IFERROR(AVERAGEIFS(DATOS!$K$2:$K$20000,DATOS!$A$2:$A$20000,AE328,DATOS!$G$2:$G$20000,CONFIG_METADATA!$B$4,DATOS!$I$2:$I$20000,"Música de Cámara"),"")))</f>
        <v/>
      </c>
      <c r="AI328" t="str">
        <f>IF(AE328="","",IF(AE328="[FÓRMULA MANUAL]","",IFERROR(SUMPRODUCT((DATOS!$A$2:$A$20000=AE328)*(DATOS!$G$2:$G$20000=CONFIG_METADATA!$B$4)*(COUNTIF(CONFIG_ASIGNATURAS!$B$7:$B$27,DATOS!$I$2:$I$20000)&gt;0)*(DATOS!$K$2:$K$20000))/SUMPRODUCT((DATOS!$A$2:$A$20000=AE328)*(DATOS!$G$2:$G$20000=CONFIG_METADATA!$B$4)*(COUNTIF(CONFIG_ASIGNATURAS!$B$7:$B$27,DATOS!$I$2:$I$20000)&gt;0)*1),"")))</f>
        <v/>
      </c>
    </row>
    <row r="329" spans="2:35" x14ac:dyDescent="0.2">
      <c r="B329" t="str">
        <f>IF(A329="","",IF(A329="[FÓRMULA MANUAL]","",IFERROR(AVERAGEIFS(DATOS!$K$2:$K$20000,DATOS!$A$2:$A$20000,A329,DATOS!$G$2:$G$20000,CONFIG_METADATA!$B$4,DATOS!$I$2:$I$20000,"Lenguaje Musical"),"")))</f>
        <v/>
      </c>
      <c r="C329" t="str">
        <f>IF(A329="","",IF(A329="[FÓRMULA MANUAL]","",IFERROR(AVERAGEIFS(DATOS!$K$2:$K$20000,DATOS!$A$2:$A$20000,A329,DATOS!$G$2:$G$20000,CONFIG_METADATA!$B$4,DATOS!$I$2:$I$20000,"Orquesta/Banda/Conjunto"),"")))</f>
        <v/>
      </c>
      <c r="D329" t="str">
        <f>IF(A329="","",IF(A329="[FÓRMULA MANUAL]","",IFERROR(AVERAGEIFS(DATOS!$K$2:$K$20000,DATOS!$A$2:$A$20000,A329,DATOS!$G$2:$G$20000,CONFIG_METADATA!$B$4,DATOS!$I$2:$I$20000,"Conjunto"),"")))</f>
        <v/>
      </c>
      <c r="E329" t="str">
        <f>IF(A329="","",IF(A329="[FÓRMULA MANUAL]","",IFERROR(SUMPRODUCT((DATOS!$A$2:$A$20000=A329)*(DATOS!$G$2:$G$20000=CONFIG_METADATA!$B$4)*(COUNTIF(CONFIG_ASIGNATURAS!$B$7:$B$27,DATOS!$I$2:$I$20000)&gt;0)*(DATOS!$K$2:$K$20000))/SUMPRODUCT((DATOS!$A$2:$A$20000=A329)*(DATOS!$G$2:$G$20000=CONFIG_METADATA!$B$4)*(COUNTIF(CONFIG_ASIGNATURAS!$B$7:$B$27,DATOS!$I$2:$I$20000)&gt;0)*1),"")))</f>
        <v/>
      </c>
      <c r="H329" t="str">
        <f>IF(G329="","",IF(G329="[FÓRMULA MANUAL]","",IFERROR(AVERAGEIFS(DATOS!$K$2:$K$20000,DATOS!$A$2:$A$20000,G329,DATOS!$G$2:$G$20000,CONFIG_METADATA!$B$4,DATOS!$I$2:$I$20000,"Lenguaje Musical"),"")))</f>
        <v/>
      </c>
      <c r="I329" t="str">
        <f>IF(G329="","",IF(G329="[FÓRMULA MANUAL]","",IFERROR(AVERAGEIFS(DATOS!$K$2:$K$20000,DATOS!$A$2:$A$20000,G329,DATOS!$G$2:$G$20000,CONFIG_METADATA!$B$4,DATOS!$I$2:$I$20000,"Orquesta/Banda/Conjunto"),"")))</f>
        <v/>
      </c>
      <c r="J329" t="str">
        <f>IF(G329="","",IF(G329="[FÓRMULA MANUAL]","",IFERROR(AVERAGEIFS(DATOS!$K$2:$K$20000,DATOS!$A$2:$A$20000,G329,DATOS!$G$2:$G$20000,CONFIG_METADATA!$B$4,DATOS!$I$2:$I$20000,"Conjunto"),"")))</f>
        <v/>
      </c>
      <c r="K329" t="str">
        <f>IF(G329="","",IF(G329="[FÓRMULA MANUAL]","",IFERROR(SUMPRODUCT((DATOS!$A$2:$A$20000=G329)*(DATOS!$G$2:$G$20000=CONFIG_METADATA!$B$4)*(COUNTIF(CONFIG_ASIGNATURAS!$B$7:$B$27,DATOS!$I$2:$I$20000)&gt;0)*(DATOS!$K$2:$K$20000))/SUMPRODUCT((DATOS!$A$2:$A$20000=G329)*(DATOS!$G$2:$G$20000=CONFIG_METADATA!$B$4)*(COUNTIF(CONFIG_ASIGNATURAS!$B$7:$B$27,DATOS!$I$2:$I$20000)&gt;0)*1),"")))</f>
        <v/>
      </c>
      <c r="N329" t="str">
        <f>IF(M329="","",IF(M329="[FÓRMULA MANUAL]","",IFERROR(AVERAGEIFS(DATOS!$K$2:$K$20000,DATOS!$A$2:$A$20000,M329,DATOS!$G$2:$G$20000,CONFIG_METADATA!$B$4,DATOS!$I$2:$I$20000,"Armonía"),"")))</f>
        <v/>
      </c>
      <c r="O329" t="str">
        <f>IF(M329="","",IF(M329="[FÓRMULA MANUAL]","",IFERROR(AVERAGEIFS(DATOS!$K$2:$K$20000,DATOS!$A$2:$A$20000,M329,DATOS!$G$2:$G$20000,CONFIG_METADATA!$B$4,DATOS!$I$2:$I$20000,"Orquesta/Banda/Conjunto"),"")))</f>
        <v/>
      </c>
      <c r="P329" t="str">
        <f>IF(M329="","",IF(M329="[FÓRMULA MANUAL]","",IFERROR(AVERAGEIFS(DATOS!$K$2:$K$20000,DATOS!$A$2:$A$20000,M329,DATOS!$G$2:$G$20000,CONFIG_METADATA!$B$4,DATOS!$I$2:$I$20000,"Música de Cámara"),"")))</f>
        <v/>
      </c>
      <c r="Q329" t="str">
        <f>IF(M329="","",IF(M329="[FÓRMULA MANUAL]","",IFERROR(SUMPRODUCT((DATOS!$A$2:$A$20000=M329)*(DATOS!$G$2:$G$20000=CONFIG_METADATA!$B$4)*(COUNTIF(CONFIG_ASIGNATURAS!$B$7:$B$27,DATOS!$I$2:$I$20000)&gt;0)*(DATOS!$K$2:$K$20000))/SUMPRODUCT((DATOS!$A$2:$A$20000=M329)*(DATOS!$G$2:$G$20000=CONFIG_METADATA!$B$4)*(COUNTIF(CONFIG_ASIGNATURAS!$B$7:$B$27,DATOS!$I$2:$I$20000)&gt;0)*1),"")))</f>
        <v/>
      </c>
      <c r="T329" t="str">
        <f>IF(S329="","",IF(S329="[FÓRMULA MANUAL]","",IFERROR(AVERAGEIFS(DATOS!$K$2:$K$20000,DATOS!$A$2:$A$20000,S329,DATOS!$G$2:$G$20000,CONFIG_METADATA!$B$4,DATOS!$I$2:$I$20000,"Armonía"),"")))</f>
        <v/>
      </c>
      <c r="U329" t="str">
        <f>IF(S329="","",IF(S329="[FÓRMULA MANUAL]","",IFERROR(AVERAGEIFS(DATOS!$K$2:$K$20000,DATOS!$A$2:$A$20000,S329,DATOS!$G$2:$G$20000,CONFIG_METADATA!$B$4,DATOS!$I$2:$I$20000,"Orquesta/Banda/Conjunto"),"")))</f>
        <v/>
      </c>
      <c r="V329" t="str">
        <f>IF(S329="","",IF(S329="[FÓRMULA MANUAL]","",IFERROR(AVERAGEIFS(DATOS!$K$2:$K$20000,DATOS!$A$2:$A$20000,S329,DATOS!$G$2:$G$20000,CONFIG_METADATA!$B$4,DATOS!$I$2:$I$20000,"Música de Cámara"),"")))</f>
        <v/>
      </c>
      <c r="W329" t="str">
        <f>IF(S329="","",IF(S329="[FÓRMULA MANUAL]","",IFERROR(SUMPRODUCT((DATOS!$A$2:$A$20000=S329)*(DATOS!$G$2:$G$20000=CONFIG_METADATA!$B$4)*(COUNTIF(CONFIG_ASIGNATURAS!$B$7:$B$27,DATOS!$I$2:$I$20000)&gt;0)*(DATOS!$K$2:$K$20000))/SUMPRODUCT((DATOS!$A$2:$A$20000=S329)*(DATOS!$G$2:$G$20000=CONFIG_METADATA!$B$4)*(COUNTIF(CONFIG_ASIGNATURAS!$B$7:$B$27,DATOS!$I$2:$I$20000)&gt;0)*1),"")))</f>
        <v/>
      </c>
      <c r="Z329" t="str">
        <f>IF(Y329="","",IF(Y329="[FÓRMULA MANUAL]","",IFERROR(AVERAGEIFS(DATOS!$K$2:$K$20000,DATOS!$A$2:$A$20000,Y329,DATOS!$G$2:$G$20000,CONFIG_METADATA!$B$4,DATOS!$I$2:$I$20000,"Análisis"),"")))</f>
        <v/>
      </c>
      <c r="AA329" t="str">
        <f>IF(Y329="","",IF(Y329="[FÓRMULA MANUAL]","",IFERROR(AVERAGEIFS(DATOS!$K$2:$K$20000,DATOS!$A$2:$A$20000,Y329,DATOS!$G$2:$G$20000,CONFIG_METADATA!$B$4,DATOS!$I$2:$I$20000,"Orquesta/Banda/Conjunto"),"")))</f>
        <v/>
      </c>
      <c r="AB329" t="str">
        <f>IF(Y329="","",IF(Y329="[FÓRMULA MANUAL]","",IFERROR(AVERAGEIFS(DATOS!$K$2:$K$20000,DATOS!$A$2:$A$20000,Y329,DATOS!$G$2:$G$20000,CONFIG_METADATA!$B$4,DATOS!$I$2:$I$20000,"Música de Cámara"),"")))</f>
        <v/>
      </c>
      <c r="AC329" t="str">
        <f>IF(Y329="","",IF(Y329="[FÓRMULA MANUAL]","",IFERROR(SUMPRODUCT((DATOS!$A$2:$A$20000=Y329)*(DATOS!$G$2:$G$20000=CONFIG_METADATA!$B$4)*(COUNTIF(CONFIG_ASIGNATURAS!$B$7:$B$27,DATOS!$I$2:$I$20000)&gt;0)*(DATOS!$K$2:$K$20000))/SUMPRODUCT((DATOS!$A$2:$A$20000=Y329)*(DATOS!$G$2:$G$20000=CONFIG_METADATA!$B$4)*(COUNTIF(CONFIG_ASIGNATURAS!$B$7:$B$27,DATOS!$I$2:$I$20000)&gt;0)*1),"")))</f>
        <v/>
      </c>
      <c r="AF329" t="str">
        <f>IF(AE329="","",IF(AE329="[FÓRMULA MANUAL]","",IFERROR(AVERAGEIFS(DATOS!$K$2:$K$20000,DATOS!$A$2:$A$20000,AE329,DATOS!$G$2:$G$20000,CONFIG_METADATA!$B$4,DATOS!$I$2:$I$20000,"Análisis"),"")))</f>
        <v/>
      </c>
      <c r="AG329" t="str">
        <f>IF(AE329="","",IF(AE329="[FÓRMULA MANUAL]","",IFERROR(AVERAGEIFS(DATOS!$K$2:$K$20000,DATOS!$A$2:$A$20000,AE329,DATOS!$G$2:$G$20000,CONFIG_METADATA!$B$4,DATOS!$I$2:$I$20000,"Orquesta/Banda/Conjunto"),"")))</f>
        <v/>
      </c>
      <c r="AH329" t="str">
        <f>IF(AE329="","",IF(AE329="[FÓRMULA MANUAL]","",IFERROR(AVERAGEIFS(DATOS!$K$2:$K$20000,DATOS!$A$2:$A$20000,AE329,DATOS!$G$2:$G$20000,CONFIG_METADATA!$B$4,DATOS!$I$2:$I$20000,"Música de Cámara"),"")))</f>
        <v/>
      </c>
      <c r="AI329" t="str">
        <f>IF(AE329="","",IF(AE329="[FÓRMULA MANUAL]","",IFERROR(SUMPRODUCT((DATOS!$A$2:$A$20000=AE329)*(DATOS!$G$2:$G$20000=CONFIG_METADATA!$B$4)*(COUNTIF(CONFIG_ASIGNATURAS!$B$7:$B$27,DATOS!$I$2:$I$20000)&gt;0)*(DATOS!$K$2:$K$20000))/SUMPRODUCT((DATOS!$A$2:$A$20000=AE329)*(DATOS!$G$2:$G$20000=CONFIG_METADATA!$B$4)*(COUNTIF(CONFIG_ASIGNATURAS!$B$7:$B$27,DATOS!$I$2:$I$20000)&gt;0)*1),"")))</f>
        <v/>
      </c>
    </row>
    <row r="330" spans="2:35" x14ac:dyDescent="0.2">
      <c r="B330" t="str">
        <f>IF(A330="","",IF(A330="[FÓRMULA MANUAL]","",IFERROR(AVERAGEIFS(DATOS!$K$2:$K$20000,DATOS!$A$2:$A$20000,A330,DATOS!$G$2:$G$20000,CONFIG_METADATA!$B$4,DATOS!$I$2:$I$20000,"Lenguaje Musical"),"")))</f>
        <v/>
      </c>
      <c r="C330" t="str">
        <f>IF(A330="","",IF(A330="[FÓRMULA MANUAL]","",IFERROR(AVERAGEIFS(DATOS!$K$2:$K$20000,DATOS!$A$2:$A$20000,A330,DATOS!$G$2:$G$20000,CONFIG_METADATA!$B$4,DATOS!$I$2:$I$20000,"Orquesta/Banda/Conjunto"),"")))</f>
        <v/>
      </c>
      <c r="D330" t="str">
        <f>IF(A330="","",IF(A330="[FÓRMULA MANUAL]","",IFERROR(AVERAGEIFS(DATOS!$K$2:$K$20000,DATOS!$A$2:$A$20000,A330,DATOS!$G$2:$G$20000,CONFIG_METADATA!$B$4,DATOS!$I$2:$I$20000,"Conjunto"),"")))</f>
        <v/>
      </c>
      <c r="E330" t="str">
        <f>IF(A330="","",IF(A330="[FÓRMULA MANUAL]","",IFERROR(SUMPRODUCT((DATOS!$A$2:$A$20000=A330)*(DATOS!$G$2:$G$20000=CONFIG_METADATA!$B$4)*(COUNTIF(CONFIG_ASIGNATURAS!$B$7:$B$27,DATOS!$I$2:$I$20000)&gt;0)*(DATOS!$K$2:$K$20000))/SUMPRODUCT((DATOS!$A$2:$A$20000=A330)*(DATOS!$G$2:$G$20000=CONFIG_METADATA!$B$4)*(COUNTIF(CONFIG_ASIGNATURAS!$B$7:$B$27,DATOS!$I$2:$I$20000)&gt;0)*1),"")))</f>
        <v/>
      </c>
      <c r="H330" t="str">
        <f>IF(G330="","",IF(G330="[FÓRMULA MANUAL]","",IFERROR(AVERAGEIFS(DATOS!$K$2:$K$20000,DATOS!$A$2:$A$20000,G330,DATOS!$G$2:$G$20000,CONFIG_METADATA!$B$4,DATOS!$I$2:$I$20000,"Lenguaje Musical"),"")))</f>
        <v/>
      </c>
      <c r="I330" t="str">
        <f>IF(G330="","",IF(G330="[FÓRMULA MANUAL]","",IFERROR(AVERAGEIFS(DATOS!$K$2:$K$20000,DATOS!$A$2:$A$20000,G330,DATOS!$G$2:$G$20000,CONFIG_METADATA!$B$4,DATOS!$I$2:$I$20000,"Orquesta/Banda/Conjunto"),"")))</f>
        <v/>
      </c>
      <c r="J330" t="str">
        <f>IF(G330="","",IF(G330="[FÓRMULA MANUAL]","",IFERROR(AVERAGEIFS(DATOS!$K$2:$K$20000,DATOS!$A$2:$A$20000,G330,DATOS!$G$2:$G$20000,CONFIG_METADATA!$B$4,DATOS!$I$2:$I$20000,"Conjunto"),"")))</f>
        <v/>
      </c>
      <c r="K330" t="str">
        <f>IF(G330="","",IF(G330="[FÓRMULA MANUAL]","",IFERROR(SUMPRODUCT((DATOS!$A$2:$A$20000=G330)*(DATOS!$G$2:$G$20000=CONFIG_METADATA!$B$4)*(COUNTIF(CONFIG_ASIGNATURAS!$B$7:$B$27,DATOS!$I$2:$I$20000)&gt;0)*(DATOS!$K$2:$K$20000))/SUMPRODUCT((DATOS!$A$2:$A$20000=G330)*(DATOS!$G$2:$G$20000=CONFIG_METADATA!$B$4)*(COUNTIF(CONFIG_ASIGNATURAS!$B$7:$B$27,DATOS!$I$2:$I$20000)&gt;0)*1),"")))</f>
        <v/>
      </c>
      <c r="N330" t="str">
        <f>IF(M330="","",IF(M330="[FÓRMULA MANUAL]","",IFERROR(AVERAGEIFS(DATOS!$K$2:$K$20000,DATOS!$A$2:$A$20000,M330,DATOS!$G$2:$G$20000,CONFIG_METADATA!$B$4,DATOS!$I$2:$I$20000,"Armonía"),"")))</f>
        <v/>
      </c>
      <c r="O330" t="str">
        <f>IF(M330="","",IF(M330="[FÓRMULA MANUAL]","",IFERROR(AVERAGEIFS(DATOS!$K$2:$K$20000,DATOS!$A$2:$A$20000,M330,DATOS!$G$2:$G$20000,CONFIG_METADATA!$B$4,DATOS!$I$2:$I$20000,"Orquesta/Banda/Conjunto"),"")))</f>
        <v/>
      </c>
      <c r="P330" t="str">
        <f>IF(M330="","",IF(M330="[FÓRMULA MANUAL]","",IFERROR(AVERAGEIFS(DATOS!$K$2:$K$20000,DATOS!$A$2:$A$20000,M330,DATOS!$G$2:$G$20000,CONFIG_METADATA!$B$4,DATOS!$I$2:$I$20000,"Música de Cámara"),"")))</f>
        <v/>
      </c>
      <c r="Q330" t="str">
        <f>IF(M330="","",IF(M330="[FÓRMULA MANUAL]","",IFERROR(SUMPRODUCT((DATOS!$A$2:$A$20000=M330)*(DATOS!$G$2:$G$20000=CONFIG_METADATA!$B$4)*(COUNTIF(CONFIG_ASIGNATURAS!$B$7:$B$27,DATOS!$I$2:$I$20000)&gt;0)*(DATOS!$K$2:$K$20000))/SUMPRODUCT((DATOS!$A$2:$A$20000=M330)*(DATOS!$G$2:$G$20000=CONFIG_METADATA!$B$4)*(COUNTIF(CONFIG_ASIGNATURAS!$B$7:$B$27,DATOS!$I$2:$I$20000)&gt;0)*1),"")))</f>
        <v/>
      </c>
      <c r="T330" t="str">
        <f>IF(S330="","",IF(S330="[FÓRMULA MANUAL]","",IFERROR(AVERAGEIFS(DATOS!$K$2:$K$20000,DATOS!$A$2:$A$20000,S330,DATOS!$G$2:$G$20000,CONFIG_METADATA!$B$4,DATOS!$I$2:$I$20000,"Armonía"),"")))</f>
        <v/>
      </c>
      <c r="U330" t="str">
        <f>IF(S330="","",IF(S330="[FÓRMULA MANUAL]","",IFERROR(AVERAGEIFS(DATOS!$K$2:$K$20000,DATOS!$A$2:$A$20000,S330,DATOS!$G$2:$G$20000,CONFIG_METADATA!$B$4,DATOS!$I$2:$I$20000,"Orquesta/Banda/Conjunto"),"")))</f>
        <v/>
      </c>
      <c r="V330" t="str">
        <f>IF(S330="","",IF(S330="[FÓRMULA MANUAL]","",IFERROR(AVERAGEIFS(DATOS!$K$2:$K$20000,DATOS!$A$2:$A$20000,S330,DATOS!$G$2:$G$20000,CONFIG_METADATA!$B$4,DATOS!$I$2:$I$20000,"Música de Cámara"),"")))</f>
        <v/>
      </c>
      <c r="W330" t="str">
        <f>IF(S330="","",IF(S330="[FÓRMULA MANUAL]","",IFERROR(SUMPRODUCT((DATOS!$A$2:$A$20000=S330)*(DATOS!$G$2:$G$20000=CONFIG_METADATA!$B$4)*(COUNTIF(CONFIG_ASIGNATURAS!$B$7:$B$27,DATOS!$I$2:$I$20000)&gt;0)*(DATOS!$K$2:$K$20000))/SUMPRODUCT((DATOS!$A$2:$A$20000=S330)*(DATOS!$G$2:$G$20000=CONFIG_METADATA!$B$4)*(COUNTIF(CONFIG_ASIGNATURAS!$B$7:$B$27,DATOS!$I$2:$I$20000)&gt;0)*1),"")))</f>
        <v/>
      </c>
      <c r="Z330" t="str">
        <f>IF(Y330="","",IF(Y330="[FÓRMULA MANUAL]","",IFERROR(AVERAGEIFS(DATOS!$K$2:$K$20000,DATOS!$A$2:$A$20000,Y330,DATOS!$G$2:$G$20000,CONFIG_METADATA!$B$4,DATOS!$I$2:$I$20000,"Análisis"),"")))</f>
        <v/>
      </c>
      <c r="AA330" t="str">
        <f>IF(Y330="","",IF(Y330="[FÓRMULA MANUAL]","",IFERROR(AVERAGEIFS(DATOS!$K$2:$K$20000,DATOS!$A$2:$A$20000,Y330,DATOS!$G$2:$G$20000,CONFIG_METADATA!$B$4,DATOS!$I$2:$I$20000,"Orquesta/Banda/Conjunto"),"")))</f>
        <v/>
      </c>
      <c r="AB330" t="str">
        <f>IF(Y330="","",IF(Y330="[FÓRMULA MANUAL]","",IFERROR(AVERAGEIFS(DATOS!$K$2:$K$20000,DATOS!$A$2:$A$20000,Y330,DATOS!$G$2:$G$20000,CONFIG_METADATA!$B$4,DATOS!$I$2:$I$20000,"Música de Cámara"),"")))</f>
        <v/>
      </c>
      <c r="AC330" t="str">
        <f>IF(Y330="","",IF(Y330="[FÓRMULA MANUAL]","",IFERROR(SUMPRODUCT((DATOS!$A$2:$A$20000=Y330)*(DATOS!$G$2:$G$20000=CONFIG_METADATA!$B$4)*(COUNTIF(CONFIG_ASIGNATURAS!$B$7:$B$27,DATOS!$I$2:$I$20000)&gt;0)*(DATOS!$K$2:$K$20000))/SUMPRODUCT((DATOS!$A$2:$A$20000=Y330)*(DATOS!$G$2:$G$20000=CONFIG_METADATA!$B$4)*(COUNTIF(CONFIG_ASIGNATURAS!$B$7:$B$27,DATOS!$I$2:$I$20000)&gt;0)*1),"")))</f>
        <v/>
      </c>
      <c r="AF330" t="str">
        <f>IF(AE330="","",IF(AE330="[FÓRMULA MANUAL]","",IFERROR(AVERAGEIFS(DATOS!$K$2:$K$20000,DATOS!$A$2:$A$20000,AE330,DATOS!$G$2:$G$20000,CONFIG_METADATA!$B$4,DATOS!$I$2:$I$20000,"Análisis"),"")))</f>
        <v/>
      </c>
      <c r="AG330" t="str">
        <f>IF(AE330="","",IF(AE330="[FÓRMULA MANUAL]","",IFERROR(AVERAGEIFS(DATOS!$K$2:$K$20000,DATOS!$A$2:$A$20000,AE330,DATOS!$G$2:$G$20000,CONFIG_METADATA!$B$4,DATOS!$I$2:$I$20000,"Orquesta/Banda/Conjunto"),"")))</f>
        <v/>
      </c>
      <c r="AH330" t="str">
        <f>IF(AE330="","",IF(AE330="[FÓRMULA MANUAL]","",IFERROR(AVERAGEIFS(DATOS!$K$2:$K$20000,DATOS!$A$2:$A$20000,AE330,DATOS!$G$2:$G$20000,CONFIG_METADATA!$B$4,DATOS!$I$2:$I$20000,"Música de Cámara"),"")))</f>
        <v/>
      </c>
      <c r="AI330" t="str">
        <f>IF(AE330="","",IF(AE330="[FÓRMULA MANUAL]","",IFERROR(SUMPRODUCT((DATOS!$A$2:$A$20000=AE330)*(DATOS!$G$2:$G$20000=CONFIG_METADATA!$B$4)*(COUNTIF(CONFIG_ASIGNATURAS!$B$7:$B$27,DATOS!$I$2:$I$20000)&gt;0)*(DATOS!$K$2:$K$20000))/SUMPRODUCT((DATOS!$A$2:$A$20000=AE330)*(DATOS!$G$2:$G$20000=CONFIG_METADATA!$B$4)*(COUNTIF(CONFIG_ASIGNATURAS!$B$7:$B$27,DATOS!$I$2:$I$20000)&gt;0)*1),"")))</f>
        <v/>
      </c>
    </row>
    <row r="331" spans="2:35" x14ac:dyDescent="0.2">
      <c r="B331" t="str">
        <f>IF(A331="","",IF(A331="[FÓRMULA MANUAL]","",IFERROR(AVERAGEIFS(DATOS!$K$2:$K$20000,DATOS!$A$2:$A$20000,A331,DATOS!$G$2:$G$20000,CONFIG_METADATA!$B$4,DATOS!$I$2:$I$20000,"Lenguaje Musical"),"")))</f>
        <v/>
      </c>
      <c r="C331" t="str">
        <f>IF(A331="","",IF(A331="[FÓRMULA MANUAL]","",IFERROR(AVERAGEIFS(DATOS!$K$2:$K$20000,DATOS!$A$2:$A$20000,A331,DATOS!$G$2:$G$20000,CONFIG_METADATA!$B$4,DATOS!$I$2:$I$20000,"Orquesta/Banda/Conjunto"),"")))</f>
        <v/>
      </c>
      <c r="D331" t="str">
        <f>IF(A331="","",IF(A331="[FÓRMULA MANUAL]","",IFERROR(AVERAGEIFS(DATOS!$K$2:$K$20000,DATOS!$A$2:$A$20000,A331,DATOS!$G$2:$G$20000,CONFIG_METADATA!$B$4,DATOS!$I$2:$I$20000,"Conjunto"),"")))</f>
        <v/>
      </c>
      <c r="E331" t="str">
        <f>IF(A331="","",IF(A331="[FÓRMULA MANUAL]","",IFERROR(SUMPRODUCT((DATOS!$A$2:$A$20000=A331)*(DATOS!$G$2:$G$20000=CONFIG_METADATA!$B$4)*(COUNTIF(CONFIG_ASIGNATURAS!$B$7:$B$27,DATOS!$I$2:$I$20000)&gt;0)*(DATOS!$K$2:$K$20000))/SUMPRODUCT((DATOS!$A$2:$A$20000=A331)*(DATOS!$G$2:$G$20000=CONFIG_METADATA!$B$4)*(COUNTIF(CONFIG_ASIGNATURAS!$B$7:$B$27,DATOS!$I$2:$I$20000)&gt;0)*1),"")))</f>
        <v/>
      </c>
      <c r="H331" t="str">
        <f>IF(G331="","",IF(G331="[FÓRMULA MANUAL]","",IFERROR(AVERAGEIFS(DATOS!$K$2:$K$20000,DATOS!$A$2:$A$20000,G331,DATOS!$G$2:$G$20000,CONFIG_METADATA!$B$4,DATOS!$I$2:$I$20000,"Lenguaje Musical"),"")))</f>
        <v/>
      </c>
      <c r="I331" t="str">
        <f>IF(G331="","",IF(G331="[FÓRMULA MANUAL]","",IFERROR(AVERAGEIFS(DATOS!$K$2:$K$20000,DATOS!$A$2:$A$20000,G331,DATOS!$G$2:$G$20000,CONFIG_METADATA!$B$4,DATOS!$I$2:$I$20000,"Orquesta/Banda/Conjunto"),"")))</f>
        <v/>
      </c>
      <c r="J331" t="str">
        <f>IF(G331="","",IF(G331="[FÓRMULA MANUAL]","",IFERROR(AVERAGEIFS(DATOS!$K$2:$K$20000,DATOS!$A$2:$A$20000,G331,DATOS!$G$2:$G$20000,CONFIG_METADATA!$B$4,DATOS!$I$2:$I$20000,"Conjunto"),"")))</f>
        <v/>
      </c>
      <c r="K331" t="str">
        <f>IF(G331="","",IF(G331="[FÓRMULA MANUAL]","",IFERROR(SUMPRODUCT((DATOS!$A$2:$A$20000=G331)*(DATOS!$G$2:$G$20000=CONFIG_METADATA!$B$4)*(COUNTIF(CONFIG_ASIGNATURAS!$B$7:$B$27,DATOS!$I$2:$I$20000)&gt;0)*(DATOS!$K$2:$K$20000))/SUMPRODUCT((DATOS!$A$2:$A$20000=G331)*(DATOS!$G$2:$G$20000=CONFIG_METADATA!$B$4)*(COUNTIF(CONFIG_ASIGNATURAS!$B$7:$B$27,DATOS!$I$2:$I$20000)&gt;0)*1),"")))</f>
        <v/>
      </c>
      <c r="N331" t="str">
        <f>IF(M331="","",IF(M331="[FÓRMULA MANUAL]","",IFERROR(AVERAGEIFS(DATOS!$K$2:$K$20000,DATOS!$A$2:$A$20000,M331,DATOS!$G$2:$G$20000,CONFIG_METADATA!$B$4,DATOS!$I$2:$I$20000,"Armonía"),"")))</f>
        <v/>
      </c>
      <c r="O331" t="str">
        <f>IF(M331="","",IF(M331="[FÓRMULA MANUAL]","",IFERROR(AVERAGEIFS(DATOS!$K$2:$K$20000,DATOS!$A$2:$A$20000,M331,DATOS!$G$2:$G$20000,CONFIG_METADATA!$B$4,DATOS!$I$2:$I$20000,"Orquesta/Banda/Conjunto"),"")))</f>
        <v/>
      </c>
      <c r="P331" t="str">
        <f>IF(M331="","",IF(M331="[FÓRMULA MANUAL]","",IFERROR(AVERAGEIFS(DATOS!$K$2:$K$20000,DATOS!$A$2:$A$20000,M331,DATOS!$G$2:$G$20000,CONFIG_METADATA!$B$4,DATOS!$I$2:$I$20000,"Música de Cámara"),"")))</f>
        <v/>
      </c>
      <c r="Q331" t="str">
        <f>IF(M331="","",IF(M331="[FÓRMULA MANUAL]","",IFERROR(SUMPRODUCT((DATOS!$A$2:$A$20000=M331)*(DATOS!$G$2:$G$20000=CONFIG_METADATA!$B$4)*(COUNTIF(CONFIG_ASIGNATURAS!$B$7:$B$27,DATOS!$I$2:$I$20000)&gt;0)*(DATOS!$K$2:$K$20000))/SUMPRODUCT((DATOS!$A$2:$A$20000=M331)*(DATOS!$G$2:$G$20000=CONFIG_METADATA!$B$4)*(COUNTIF(CONFIG_ASIGNATURAS!$B$7:$B$27,DATOS!$I$2:$I$20000)&gt;0)*1),"")))</f>
        <v/>
      </c>
      <c r="T331" t="str">
        <f>IF(S331="","",IF(S331="[FÓRMULA MANUAL]","",IFERROR(AVERAGEIFS(DATOS!$K$2:$K$20000,DATOS!$A$2:$A$20000,S331,DATOS!$G$2:$G$20000,CONFIG_METADATA!$B$4,DATOS!$I$2:$I$20000,"Armonía"),"")))</f>
        <v/>
      </c>
      <c r="U331" t="str">
        <f>IF(S331="","",IF(S331="[FÓRMULA MANUAL]","",IFERROR(AVERAGEIFS(DATOS!$K$2:$K$20000,DATOS!$A$2:$A$20000,S331,DATOS!$G$2:$G$20000,CONFIG_METADATA!$B$4,DATOS!$I$2:$I$20000,"Orquesta/Banda/Conjunto"),"")))</f>
        <v/>
      </c>
      <c r="V331" t="str">
        <f>IF(S331="","",IF(S331="[FÓRMULA MANUAL]","",IFERROR(AVERAGEIFS(DATOS!$K$2:$K$20000,DATOS!$A$2:$A$20000,S331,DATOS!$G$2:$G$20000,CONFIG_METADATA!$B$4,DATOS!$I$2:$I$20000,"Música de Cámara"),"")))</f>
        <v/>
      </c>
      <c r="W331" t="str">
        <f>IF(S331="","",IF(S331="[FÓRMULA MANUAL]","",IFERROR(SUMPRODUCT((DATOS!$A$2:$A$20000=S331)*(DATOS!$G$2:$G$20000=CONFIG_METADATA!$B$4)*(COUNTIF(CONFIG_ASIGNATURAS!$B$7:$B$27,DATOS!$I$2:$I$20000)&gt;0)*(DATOS!$K$2:$K$20000))/SUMPRODUCT((DATOS!$A$2:$A$20000=S331)*(DATOS!$G$2:$G$20000=CONFIG_METADATA!$B$4)*(COUNTIF(CONFIG_ASIGNATURAS!$B$7:$B$27,DATOS!$I$2:$I$20000)&gt;0)*1),"")))</f>
        <v/>
      </c>
      <c r="Z331" t="str">
        <f>IF(Y331="","",IF(Y331="[FÓRMULA MANUAL]","",IFERROR(AVERAGEIFS(DATOS!$K$2:$K$20000,DATOS!$A$2:$A$20000,Y331,DATOS!$G$2:$G$20000,CONFIG_METADATA!$B$4,DATOS!$I$2:$I$20000,"Análisis"),"")))</f>
        <v/>
      </c>
      <c r="AA331" t="str">
        <f>IF(Y331="","",IF(Y331="[FÓRMULA MANUAL]","",IFERROR(AVERAGEIFS(DATOS!$K$2:$K$20000,DATOS!$A$2:$A$20000,Y331,DATOS!$G$2:$G$20000,CONFIG_METADATA!$B$4,DATOS!$I$2:$I$20000,"Orquesta/Banda/Conjunto"),"")))</f>
        <v/>
      </c>
      <c r="AB331" t="str">
        <f>IF(Y331="","",IF(Y331="[FÓRMULA MANUAL]","",IFERROR(AVERAGEIFS(DATOS!$K$2:$K$20000,DATOS!$A$2:$A$20000,Y331,DATOS!$G$2:$G$20000,CONFIG_METADATA!$B$4,DATOS!$I$2:$I$20000,"Música de Cámara"),"")))</f>
        <v/>
      </c>
      <c r="AC331" t="str">
        <f>IF(Y331="","",IF(Y331="[FÓRMULA MANUAL]","",IFERROR(SUMPRODUCT((DATOS!$A$2:$A$20000=Y331)*(DATOS!$G$2:$G$20000=CONFIG_METADATA!$B$4)*(COUNTIF(CONFIG_ASIGNATURAS!$B$7:$B$27,DATOS!$I$2:$I$20000)&gt;0)*(DATOS!$K$2:$K$20000))/SUMPRODUCT((DATOS!$A$2:$A$20000=Y331)*(DATOS!$G$2:$G$20000=CONFIG_METADATA!$B$4)*(COUNTIF(CONFIG_ASIGNATURAS!$B$7:$B$27,DATOS!$I$2:$I$20000)&gt;0)*1),"")))</f>
        <v/>
      </c>
      <c r="AF331" t="str">
        <f>IF(AE331="","",IF(AE331="[FÓRMULA MANUAL]","",IFERROR(AVERAGEIFS(DATOS!$K$2:$K$20000,DATOS!$A$2:$A$20000,AE331,DATOS!$G$2:$G$20000,CONFIG_METADATA!$B$4,DATOS!$I$2:$I$20000,"Análisis"),"")))</f>
        <v/>
      </c>
      <c r="AG331" t="str">
        <f>IF(AE331="","",IF(AE331="[FÓRMULA MANUAL]","",IFERROR(AVERAGEIFS(DATOS!$K$2:$K$20000,DATOS!$A$2:$A$20000,AE331,DATOS!$G$2:$G$20000,CONFIG_METADATA!$B$4,DATOS!$I$2:$I$20000,"Orquesta/Banda/Conjunto"),"")))</f>
        <v/>
      </c>
      <c r="AH331" t="str">
        <f>IF(AE331="","",IF(AE331="[FÓRMULA MANUAL]","",IFERROR(AVERAGEIFS(DATOS!$K$2:$K$20000,DATOS!$A$2:$A$20000,AE331,DATOS!$G$2:$G$20000,CONFIG_METADATA!$B$4,DATOS!$I$2:$I$20000,"Música de Cámara"),"")))</f>
        <v/>
      </c>
      <c r="AI331" t="str">
        <f>IF(AE331="","",IF(AE331="[FÓRMULA MANUAL]","",IFERROR(SUMPRODUCT((DATOS!$A$2:$A$20000=AE331)*(DATOS!$G$2:$G$20000=CONFIG_METADATA!$B$4)*(COUNTIF(CONFIG_ASIGNATURAS!$B$7:$B$27,DATOS!$I$2:$I$20000)&gt;0)*(DATOS!$K$2:$K$20000))/SUMPRODUCT((DATOS!$A$2:$A$20000=AE331)*(DATOS!$G$2:$G$20000=CONFIG_METADATA!$B$4)*(COUNTIF(CONFIG_ASIGNATURAS!$B$7:$B$27,DATOS!$I$2:$I$20000)&gt;0)*1),"")))</f>
        <v/>
      </c>
    </row>
    <row r="332" spans="2:35" x14ac:dyDescent="0.2">
      <c r="B332" t="str">
        <f>IF(A332="","",IF(A332="[FÓRMULA MANUAL]","",IFERROR(AVERAGEIFS(DATOS!$K$2:$K$20000,DATOS!$A$2:$A$20000,A332,DATOS!$G$2:$G$20000,CONFIG_METADATA!$B$4,DATOS!$I$2:$I$20000,"Lenguaje Musical"),"")))</f>
        <v/>
      </c>
      <c r="C332" t="str">
        <f>IF(A332="","",IF(A332="[FÓRMULA MANUAL]","",IFERROR(AVERAGEIFS(DATOS!$K$2:$K$20000,DATOS!$A$2:$A$20000,A332,DATOS!$G$2:$G$20000,CONFIG_METADATA!$B$4,DATOS!$I$2:$I$20000,"Orquesta/Banda/Conjunto"),"")))</f>
        <v/>
      </c>
      <c r="D332" t="str">
        <f>IF(A332="","",IF(A332="[FÓRMULA MANUAL]","",IFERROR(AVERAGEIFS(DATOS!$K$2:$K$20000,DATOS!$A$2:$A$20000,A332,DATOS!$G$2:$G$20000,CONFIG_METADATA!$B$4,DATOS!$I$2:$I$20000,"Conjunto"),"")))</f>
        <v/>
      </c>
      <c r="E332" t="str">
        <f>IF(A332="","",IF(A332="[FÓRMULA MANUAL]","",IFERROR(SUMPRODUCT((DATOS!$A$2:$A$20000=A332)*(DATOS!$G$2:$G$20000=CONFIG_METADATA!$B$4)*(COUNTIF(CONFIG_ASIGNATURAS!$B$7:$B$27,DATOS!$I$2:$I$20000)&gt;0)*(DATOS!$K$2:$K$20000))/SUMPRODUCT((DATOS!$A$2:$A$20000=A332)*(DATOS!$G$2:$G$20000=CONFIG_METADATA!$B$4)*(COUNTIF(CONFIG_ASIGNATURAS!$B$7:$B$27,DATOS!$I$2:$I$20000)&gt;0)*1),"")))</f>
        <v/>
      </c>
      <c r="H332" t="str">
        <f>IF(G332="","",IF(G332="[FÓRMULA MANUAL]","",IFERROR(AVERAGEIFS(DATOS!$K$2:$K$20000,DATOS!$A$2:$A$20000,G332,DATOS!$G$2:$G$20000,CONFIG_METADATA!$B$4,DATOS!$I$2:$I$20000,"Lenguaje Musical"),"")))</f>
        <v/>
      </c>
      <c r="I332" t="str">
        <f>IF(G332="","",IF(G332="[FÓRMULA MANUAL]","",IFERROR(AVERAGEIFS(DATOS!$K$2:$K$20000,DATOS!$A$2:$A$20000,G332,DATOS!$G$2:$G$20000,CONFIG_METADATA!$B$4,DATOS!$I$2:$I$20000,"Orquesta/Banda/Conjunto"),"")))</f>
        <v/>
      </c>
      <c r="J332" t="str">
        <f>IF(G332="","",IF(G332="[FÓRMULA MANUAL]","",IFERROR(AVERAGEIFS(DATOS!$K$2:$K$20000,DATOS!$A$2:$A$20000,G332,DATOS!$G$2:$G$20000,CONFIG_METADATA!$B$4,DATOS!$I$2:$I$20000,"Conjunto"),"")))</f>
        <v/>
      </c>
      <c r="K332" t="str">
        <f>IF(G332="","",IF(G332="[FÓRMULA MANUAL]","",IFERROR(SUMPRODUCT((DATOS!$A$2:$A$20000=G332)*(DATOS!$G$2:$G$20000=CONFIG_METADATA!$B$4)*(COUNTIF(CONFIG_ASIGNATURAS!$B$7:$B$27,DATOS!$I$2:$I$20000)&gt;0)*(DATOS!$K$2:$K$20000))/SUMPRODUCT((DATOS!$A$2:$A$20000=G332)*(DATOS!$G$2:$G$20000=CONFIG_METADATA!$B$4)*(COUNTIF(CONFIG_ASIGNATURAS!$B$7:$B$27,DATOS!$I$2:$I$20000)&gt;0)*1),"")))</f>
        <v/>
      </c>
      <c r="N332" t="str">
        <f>IF(M332="","",IF(M332="[FÓRMULA MANUAL]","",IFERROR(AVERAGEIFS(DATOS!$K$2:$K$20000,DATOS!$A$2:$A$20000,M332,DATOS!$G$2:$G$20000,CONFIG_METADATA!$B$4,DATOS!$I$2:$I$20000,"Armonía"),"")))</f>
        <v/>
      </c>
      <c r="O332" t="str">
        <f>IF(M332="","",IF(M332="[FÓRMULA MANUAL]","",IFERROR(AVERAGEIFS(DATOS!$K$2:$K$20000,DATOS!$A$2:$A$20000,M332,DATOS!$G$2:$G$20000,CONFIG_METADATA!$B$4,DATOS!$I$2:$I$20000,"Orquesta/Banda/Conjunto"),"")))</f>
        <v/>
      </c>
      <c r="P332" t="str">
        <f>IF(M332="","",IF(M332="[FÓRMULA MANUAL]","",IFERROR(AVERAGEIFS(DATOS!$K$2:$K$20000,DATOS!$A$2:$A$20000,M332,DATOS!$G$2:$G$20000,CONFIG_METADATA!$B$4,DATOS!$I$2:$I$20000,"Música de Cámara"),"")))</f>
        <v/>
      </c>
      <c r="Q332" t="str">
        <f>IF(M332="","",IF(M332="[FÓRMULA MANUAL]","",IFERROR(SUMPRODUCT((DATOS!$A$2:$A$20000=M332)*(DATOS!$G$2:$G$20000=CONFIG_METADATA!$B$4)*(COUNTIF(CONFIG_ASIGNATURAS!$B$7:$B$27,DATOS!$I$2:$I$20000)&gt;0)*(DATOS!$K$2:$K$20000))/SUMPRODUCT((DATOS!$A$2:$A$20000=M332)*(DATOS!$G$2:$G$20000=CONFIG_METADATA!$B$4)*(COUNTIF(CONFIG_ASIGNATURAS!$B$7:$B$27,DATOS!$I$2:$I$20000)&gt;0)*1),"")))</f>
        <v/>
      </c>
      <c r="T332" t="str">
        <f>IF(S332="","",IF(S332="[FÓRMULA MANUAL]","",IFERROR(AVERAGEIFS(DATOS!$K$2:$K$20000,DATOS!$A$2:$A$20000,S332,DATOS!$G$2:$G$20000,CONFIG_METADATA!$B$4,DATOS!$I$2:$I$20000,"Armonía"),"")))</f>
        <v/>
      </c>
      <c r="U332" t="str">
        <f>IF(S332="","",IF(S332="[FÓRMULA MANUAL]","",IFERROR(AVERAGEIFS(DATOS!$K$2:$K$20000,DATOS!$A$2:$A$20000,S332,DATOS!$G$2:$G$20000,CONFIG_METADATA!$B$4,DATOS!$I$2:$I$20000,"Orquesta/Banda/Conjunto"),"")))</f>
        <v/>
      </c>
      <c r="V332" t="str">
        <f>IF(S332="","",IF(S332="[FÓRMULA MANUAL]","",IFERROR(AVERAGEIFS(DATOS!$K$2:$K$20000,DATOS!$A$2:$A$20000,S332,DATOS!$G$2:$G$20000,CONFIG_METADATA!$B$4,DATOS!$I$2:$I$20000,"Música de Cámara"),"")))</f>
        <v/>
      </c>
      <c r="W332" t="str">
        <f>IF(S332="","",IF(S332="[FÓRMULA MANUAL]","",IFERROR(SUMPRODUCT((DATOS!$A$2:$A$20000=S332)*(DATOS!$G$2:$G$20000=CONFIG_METADATA!$B$4)*(COUNTIF(CONFIG_ASIGNATURAS!$B$7:$B$27,DATOS!$I$2:$I$20000)&gt;0)*(DATOS!$K$2:$K$20000))/SUMPRODUCT((DATOS!$A$2:$A$20000=S332)*(DATOS!$G$2:$G$20000=CONFIG_METADATA!$B$4)*(COUNTIF(CONFIG_ASIGNATURAS!$B$7:$B$27,DATOS!$I$2:$I$20000)&gt;0)*1),"")))</f>
        <v/>
      </c>
      <c r="Z332" t="str">
        <f>IF(Y332="","",IF(Y332="[FÓRMULA MANUAL]","",IFERROR(AVERAGEIFS(DATOS!$K$2:$K$20000,DATOS!$A$2:$A$20000,Y332,DATOS!$G$2:$G$20000,CONFIG_METADATA!$B$4,DATOS!$I$2:$I$20000,"Análisis"),"")))</f>
        <v/>
      </c>
      <c r="AA332" t="str">
        <f>IF(Y332="","",IF(Y332="[FÓRMULA MANUAL]","",IFERROR(AVERAGEIFS(DATOS!$K$2:$K$20000,DATOS!$A$2:$A$20000,Y332,DATOS!$G$2:$G$20000,CONFIG_METADATA!$B$4,DATOS!$I$2:$I$20000,"Orquesta/Banda/Conjunto"),"")))</f>
        <v/>
      </c>
      <c r="AB332" t="str">
        <f>IF(Y332="","",IF(Y332="[FÓRMULA MANUAL]","",IFERROR(AVERAGEIFS(DATOS!$K$2:$K$20000,DATOS!$A$2:$A$20000,Y332,DATOS!$G$2:$G$20000,CONFIG_METADATA!$B$4,DATOS!$I$2:$I$20000,"Música de Cámara"),"")))</f>
        <v/>
      </c>
      <c r="AC332" t="str">
        <f>IF(Y332="","",IF(Y332="[FÓRMULA MANUAL]","",IFERROR(SUMPRODUCT((DATOS!$A$2:$A$20000=Y332)*(DATOS!$G$2:$G$20000=CONFIG_METADATA!$B$4)*(COUNTIF(CONFIG_ASIGNATURAS!$B$7:$B$27,DATOS!$I$2:$I$20000)&gt;0)*(DATOS!$K$2:$K$20000))/SUMPRODUCT((DATOS!$A$2:$A$20000=Y332)*(DATOS!$G$2:$G$20000=CONFIG_METADATA!$B$4)*(COUNTIF(CONFIG_ASIGNATURAS!$B$7:$B$27,DATOS!$I$2:$I$20000)&gt;0)*1),"")))</f>
        <v/>
      </c>
      <c r="AF332" t="str">
        <f>IF(AE332="","",IF(AE332="[FÓRMULA MANUAL]","",IFERROR(AVERAGEIFS(DATOS!$K$2:$K$20000,DATOS!$A$2:$A$20000,AE332,DATOS!$G$2:$G$20000,CONFIG_METADATA!$B$4,DATOS!$I$2:$I$20000,"Análisis"),"")))</f>
        <v/>
      </c>
      <c r="AG332" t="str">
        <f>IF(AE332="","",IF(AE332="[FÓRMULA MANUAL]","",IFERROR(AVERAGEIFS(DATOS!$K$2:$K$20000,DATOS!$A$2:$A$20000,AE332,DATOS!$G$2:$G$20000,CONFIG_METADATA!$B$4,DATOS!$I$2:$I$20000,"Orquesta/Banda/Conjunto"),"")))</f>
        <v/>
      </c>
      <c r="AH332" t="str">
        <f>IF(AE332="","",IF(AE332="[FÓRMULA MANUAL]","",IFERROR(AVERAGEIFS(DATOS!$K$2:$K$20000,DATOS!$A$2:$A$20000,AE332,DATOS!$G$2:$G$20000,CONFIG_METADATA!$B$4,DATOS!$I$2:$I$20000,"Música de Cámara"),"")))</f>
        <v/>
      </c>
      <c r="AI332" t="str">
        <f>IF(AE332="","",IF(AE332="[FÓRMULA MANUAL]","",IFERROR(SUMPRODUCT((DATOS!$A$2:$A$20000=AE332)*(DATOS!$G$2:$G$20000=CONFIG_METADATA!$B$4)*(COUNTIF(CONFIG_ASIGNATURAS!$B$7:$B$27,DATOS!$I$2:$I$20000)&gt;0)*(DATOS!$K$2:$K$20000))/SUMPRODUCT((DATOS!$A$2:$A$20000=AE332)*(DATOS!$G$2:$G$20000=CONFIG_METADATA!$B$4)*(COUNTIF(CONFIG_ASIGNATURAS!$B$7:$B$27,DATOS!$I$2:$I$20000)&gt;0)*1),"")))</f>
        <v/>
      </c>
    </row>
    <row r="333" spans="2:35" x14ac:dyDescent="0.2">
      <c r="B333" t="str">
        <f>IF(A333="","",IF(A333="[FÓRMULA MANUAL]","",IFERROR(AVERAGEIFS(DATOS!$K$2:$K$20000,DATOS!$A$2:$A$20000,A333,DATOS!$G$2:$G$20000,CONFIG_METADATA!$B$4,DATOS!$I$2:$I$20000,"Lenguaje Musical"),"")))</f>
        <v/>
      </c>
      <c r="C333" t="str">
        <f>IF(A333="","",IF(A333="[FÓRMULA MANUAL]","",IFERROR(AVERAGEIFS(DATOS!$K$2:$K$20000,DATOS!$A$2:$A$20000,A333,DATOS!$G$2:$G$20000,CONFIG_METADATA!$B$4,DATOS!$I$2:$I$20000,"Orquesta/Banda/Conjunto"),"")))</f>
        <v/>
      </c>
      <c r="D333" t="str">
        <f>IF(A333="","",IF(A333="[FÓRMULA MANUAL]","",IFERROR(AVERAGEIFS(DATOS!$K$2:$K$20000,DATOS!$A$2:$A$20000,A333,DATOS!$G$2:$G$20000,CONFIG_METADATA!$B$4,DATOS!$I$2:$I$20000,"Conjunto"),"")))</f>
        <v/>
      </c>
      <c r="E333" t="str">
        <f>IF(A333="","",IF(A333="[FÓRMULA MANUAL]","",IFERROR(SUMPRODUCT((DATOS!$A$2:$A$20000=A333)*(DATOS!$G$2:$G$20000=CONFIG_METADATA!$B$4)*(COUNTIF(CONFIG_ASIGNATURAS!$B$7:$B$27,DATOS!$I$2:$I$20000)&gt;0)*(DATOS!$K$2:$K$20000))/SUMPRODUCT((DATOS!$A$2:$A$20000=A333)*(DATOS!$G$2:$G$20000=CONFIG_METADATA!$B$4)*(COUNTIF(CONFIG_ASIGNATURAS!$B$7:$B$27,DATOS!$I$2:$I$20000)&gt;0)*1),"")))</f>
        <v/>
      </c>
      <c r="H333" t="str">
        <f>IF(G333="","",IF(G333="[FÓRMULA MANUAL]","",IFERROR(AVERAGEIFS(DATOS!$K$2:$K$20000,DATOS!$A$2:$A$20000,G333,DATOS!$G$2:$G$20000,CONFIG_METADATA!$B$4,DATOS!$I$2:$I$20000,"Lenguaje Musical"),"")))</f>
        <v/>
      </c>
      <c r="I333" t="str">
        <f>IF(G333="","",IF(G333="[FÓRMULA MANUAL]","",IFERROR(AVERAGEIFS(DATOS!$K$2:$K$20000,DATOS!$A$2:$A$20000,G333,DATOS!$G$2:$G$20000,CONFIG_METADATA!$B$4,DATOS!$I$2:$I$20000,"Orquesta/Banda/Conjunto"),"")))</f>
        <v/>
      </c>
      <c r="J333" t="str">
        <f>IF(G333="","",IF(G333="[FÓRMULA MANUAL]","",IFERROR(AVERAGEIFS(DATOS!$K$2:$K$20000,DATOS!$A$2:$A$20000,G333,DATOS!$G$2:$G$20000,CONFIG_METADATA!$B$4,DATOS!$I$2:$I$20000,"Conjunto"),"")))</f>
        <v/>
      </c>
      <c r="K333" t="str">
        <f>IF(G333="","",IF(G333="[FÓRMULA MANUAL]","",IFERROR(SUMPRODUCT((DATOS!$A$2:$A$20000=G333)*(DATOS!$G$2:$G$20000=CONFIG_METADATA!$B$4)*(COUNTIF(CONFIG_ASIGNATURAS!$B$7:$B$27,DATOS!$I$2:$I$20000)&gt;0)*(DATOS!$K$2:$K$20000))/SUMPRODUCT((DATOS!$A$2:$A$20000=G333)*(DATOS!$G$2:$G$20000=CONFIG_METADATA!$B$4)*(COUNTIF(CONFIG_ASIGNATURAS!$B$7:$B$27,DATOS!$I$2:$I$20000)&gt;0)*1),"")))</f>
        <v/>
      </c>
      <c r="N333" t="str">
        <f>IF(M333="","",IF(M333="[FÓRMULA MANUAL]","",IFERROR(AVERAGEIFS(DATOS!$K$2:$K$20000,DATOS!$A$2:$A$20000,M333,DATOS!$G$2:$G$20000,CONFIG_METADATA!$B$4,DATOS!$I$2:$I$20000,"Armonía"),"")))</f>
        <v/>
      </c>
      <c r="O333" t="str">
        <f>IF(M333="","",IF(M333="[FÓRMULA MANUAL]","",IFERROR(AVERAGEIFS(DATOS!$K$2:$K$20000,DATOS!$A$2:$A$20000,M333,DATOS!$G$2:$G$20000,CONFIG_METADATA!$B$4,DATOS!$I$2:$I$20000,"Orquesta/Banda/Conjunto"),"")))</f>
        <v/>
      </c>
      <c r="P333" t="str">
        <f>IF(M333="","",IF(M333="[FÓRMULA MANUAL]","",IFERROR(AVERAGEIFS(DATOS!$K$2:$K$20000,DATOS!$A$2:$A$20000,M333,DATOS!$G$2:$G$20000,CONFIG_METADATA!$B$4,DATOS!$I$2:$I$20000,"Música de Cámara"),"")))</f>
        <v/>
      </c>
      <c r="Q333" t="str">
        <f>IF(M333="","",IF(M333="[FÓRMULA MANUAL]","",IFERROR(SUMPRODUCT((DATOS!$A$2:$A$20000=M333)*(DATOS!$G$2:$G$20000=CONFIG_METADATA!$B$4)*(COUNTIF(CONFIG_ASIGNATURAS!$B$7:$B$27,DATOS!$I$2:$I$20000)&gt;0)*(DATOS!$K$2:$K$20000))/SUMPRODUCT((DATOS!$A$2:$A$20000=M333)*(DATOS!$G$2:$G$20000=CONFIG_METADATA!$B$4)*(COUNTIF(CONFIG_ASIGNATURAS!$B$7:$B$27,DATOS!$I$2:$I$20000)&gt;0)*1),"")))</f>
        <v/>
      </c>
      <c r="T333" t="str">
        <f>IF(S333="","",IF(S333="[FÓRMULA MANUAL]","",IFERROR(AVERAGEIFS(DATOS!$K$2:$K$20000,DATOS!$A$2:$A$20000,S333,DATOS!$G$2:$G$20000,CONFIG_METADATA!$B$4,DATOS!$I$2:$I$20000,"Armonía"),"")))</f>
        <v/>
      </c>
      <c r="U333" t="str">
        <f>IF(S333="","",IF(S333="[FÓRMULA MANUAL]","",IFERROR(AVERAGEIFS(DATOS!$K$2:$K$20000,DATOS!$A$2:$A$20000,S333,DATOS!$G$2:$G$20000,CONFIG_METADATA!$B$4,DATOS!$I$2:$I$20000,"Orquesta/Banda/Conjunto"),"")))</f>
        <v/>
      </c>
      <c r="V333" t="str">
        <f>IF(S333="","",IF(S333="[FÓRMULA MANUAL]","",IFERROR(AVERAGEIFS(DATOS!$K$2:$K$20000,DATOS!$A$2:$A$20000,S333,DATOS!$G$2:$G$20000,CONFIG_METADATA!$B$4,DATOS!$I$2:$I$20000,"Música de Cámara"),"")))</f>
        <v/>
      </c>
      <c r="W333" t="str">
        <f>IF(S333="","",IF(S333="[FÓRMULA MANUAL]","",IFERROR(SUMPRODUCT((DATOS!$A$2:$A$20000=S333)*(DATOS!$G$2:$G$20000=CONFIG_METADATA!$B$4)*(COUNTIF(CONFIG_ASIGNATURAS!$B$7:$B$27,DATOS!$I$2:$I$20000)&gt;0)*(DATOS!$K$2:$K$20000))/SUMPRODUCT((DATOS!$A$2:$A$20000=S333)*(DATOS!$G$2:$G$20000=CONFIG_METADATA!$B$4)*(COUNTIF(CONFIG_ASIGNATURAS!$B$7:$B$27,DATOS!$I$2:$I$20000)&gt;0)*1),"")))</f>
        <v/>
      </c>
      <c r="Z333" t="str">
        <f>IF(Y333="","",IF(Y333="[FÓRMULA MANUAL]","",IFERROR(AVERAGEIFS(DATOS!$K$2:$K$20000,DATOS!$A$2:$A$20000,Y333,DATOS!$G$2:$G$20000,CONFIG_METADATA!$B$4,DATOS!$I$2:$I$20000,"Análisis"),"")))</f>
        <v/>
      </c>
      <c r="AA333" t="str">
        <f>IF(Y333="","",IF(Y333="[FÓRMULA MANUAL]","",IFERROR(AVERAGEIFS(DATOS!$K$2:$K$20000,DATOS!$A$2:$A$20000,Y333,DATOS!$G$2:$G$20000,CONFIG_METADATA!$B$4,DATOS!$I$2:$I$20000,"Orquesta/Banda/Conjunto"),"")))</f>
        <v/>
      </c>
      <c r="AB333" t="str">
        <f>IF(Y333="","",IF(Y333="[FÓRMULA MANUAL]","",IFERROR(AVERAGEIFS(DATOS!$K$2:$K$20000,DATOS!$A$2:$A$20000,Y333,DATOS!$G$2:$G$20000,CONFIG_METADATA!$B$4,DATOS!$I$2:$I$20000,"Música de Cámara"),"")))</f>
        <v/>
      </c>
      <c r="AC333" t="str">
        <f>IF(Y333="","",IF(Y333="[FÓRMULA MANUAL]","",IFERROR(SUMPRODUCT((DATOS!$A$2:$A$20000=Y333)*(DATOS!$G$2:$G$20000=CONFIG_METADATA!$B$4)*(COUNTIF(CONFIG_ASIGNATURAS!$B$7:$B$27,DATOS!$I$2:$I$20000)&gt;0)*(DATOS!$K$2:$K$20000))/SUMPRODUCT((DATOS!$A$2:$A$20000=Y333)*(DATOS!$G$2:$G$20000=CONFIG_METADATA!$B$4)*(COUNTIF(CONFIG_ASIGNATURAS!$B$7:$B$27,DATOS!$I$2:$I$20000)&gt;0)*1),"")))</f>
        <v/>
      </c>
      <c r="AF333" t="str">
        <f>IF(AE333="","",IF(AE333="[FÓRMULA MANUAL]","",IFERROR(AVERAGEIFS(DATOS!$K$2:$K$20000,DATOS!$A$2:$A$20000,AE333,DATOS!$G$2:$G$20000,CONFIG_METADATA!$B$4,DATOS!$I$2:$I$20000,"Análisis"),"")))</f>
        <v/>
      </c>
      <c r="AG333" t="str">
        <f>IF(AE333="","",IF(AE333="[FÓRMULA MANUAL]","",IFERROR(AVERAGEIFS(DATOS!$K$2:$K$20000,DATOS!$A$2:$A$20000,AE333,DATOS!$G$2:$G$20000,CONFIG_METADATA!$B$4,DATOS!$I$2:$I$20000,"Orquesta/Banda/Conjunto"),"")))</f>
        <v/>
      </c>
      <c r="AH333" t="str">
        <f>IF(AE333="","",IF(AE333="[FÓRMULA MANUAL]","",IFERROR(AVERAGEIFS(DATOS!$K$2:$K$20000,DATOS!$A$2:$A$20000,AE333,DATOS!$G$2:$G$20000,CONFIG_METADATA!$B$4,DATOS!$I$2:$I$20000,"Música de Cámara"),"")))</f>
        <v/>
      </c>
      <c r="AI333" t="str">
        <f>IF(AE333="","",IF(AE333="[FÓRMULA MANUAL]","",IFERROR(SUMPRODUCT((DATOS!$A$2:$A$20000=AE333)*(DATOS!$G$2:$G$20000=CONFIG_METADATA!$B$4)*(COUNTIF(CONFIG_ASIGNATURAS!$B$7:$B$27,DATOS!$I$2:$I$20000)&gt;0)*(DATOS!$K$2:$K$20000))/SUMPRODUCT((DATOS!$A$2:$A$20000=AE333)*(DATOS!$G$2:$G$20000=CONFIG_METADATA!$B$4)*(COUNTIF(CONFIG_ASIGNATURAS!$B$7:$B$27,DATOS!$I$2:$I$20000)&gt;0)*1),"")))</f>
        <v/>
      </c>
    </row>
    <row r="334" spans="2:35" x14ac:dyDescent="0.2">
      <c r="B334" t="str">
        <f>IF(A334="","",IF(A334="[FÓRMULA MANUAL]","",IFERROR(AVERAGEIFS(DATOS!$K$2:$K$20000,DATOS!$A$2:$A$20000,A334,DATOS!$G$2:$G$20000,CONFIG_METADATA!$B$4,DATOS!$I$2:$I$20000,"Lenguaje Musical"),"")))</f>
        <v/>
      </c>
      <c r="C334" t="str">
        <f>IF(A334="","",IF(A334="[FÓRMULA MANUAL]","",IFERROR(AVERAGEIFS(DATOS!$K$2:$K$20000,DATOS!$A$2:$A$20000,A334,DATOS!$G$2:$G$20000,CONFIG_METADATA!$B$4,DATOS!$I$2:$I$20000,"Orquesta/Banda/Conjunto"),"")))</f>
        <v/>
      </c>
      <c r="D334" t="str">
        <f>IF(A334="","",IF(A334="[FÓRMULA MANUAL]","",IFERROR(AVERAGEIFS(DATOS!$K$2:$K$20000,DATOS!$A$2:$A$20000,A334,DATOS!$G$2:$G$20000,CONFIG_METADATA!$B$4,DATOS!$I$2:$I$20000,"Conjunto"),"")))</f>
        <v/>
      </c>
      <c r="E334" t="str">
        <f>IF(A334="","",IF(A334="[FÓRMULA MANUAL]","",IFERROR(SUMPRODUCT((DATOS!$A$2:$A$20000=A334)*(DATOS!$G$2:$G$20000=CONFIG_METADATA!$B$4)*(COUNTIF(CONFIG_ASIGNATURAS!$B$7:$B$27,DATOS!$I$2:$I$20000)&gt;0)*(DATOS!$K$2:$K$20000))/SUMPRODUCT((DATOS!$A$2:$A$20000=A334)*(DATOS!$G$2:$G$20000=CONFIG_METADATA!$B$4)*(COUNTIF(CONFIG_ASIGNATURAS!$B$7:$B$27,DATOS!$I$2:$I$20000)&gt;0)*1),"")))</f>
        <v/>
      </c>
      <c r="H334" t="str">
        <f>IF(G334="","",IF(G334="[FÓRMULA MANUAL]","",IFERROR(AVERAGEIFS(DATOS!$K$2:$K$20000,DATOS!$A$2:$A$20000,G334,DATOS!$G$2:$G$20000,CONFIG_METADATA!$B$4,DATOS!$I$2:$I$20000,"Lenguaje Musical"),"")))</f>
        <v/>
      </c>
      <c r="I334" t="str">
        <f>IF(G334="","",IF(G334="[FÓRMULA MANUAL]","",IFERROR(AVERAGEIFS(DATOS!$K$2:$K$20000,DATOS!$A$2:$A$20000,G334,DATOS!$G$2:$G$20000,CONFIG_METADATA!$B$4,DATOS!$I$2:$I$20000,"Orquesta/Banda/Conjunto"),"")))</f>
        <v/>
      </c>
      <c r="J334" t="str">
        <f>IF(G334="","",IF(G334="[FÓRMULA MANUAL]","",IFERROR(AVERAGEIFS(DATOS!$K$2:$K$20000,DATOS!$A$2:$A$20000,G334,DATOS!$G$2:$G$20000,CONFIG_METADATA!$B$4,DATOS!$I$2:$I$20000,"Conjunto"),"")))</f>
        <v/>
      </c>
      <c r="K334" t="str">
        <f>IF(G334="","",IF(G334="[FÓRMULA MANUAL]","",IFERROR(SUMPRODUCT((DATOS!$A$2:$A$20000=G334)*(DATOS!$G$2:$G$20000=CONFIG_METADATA!$B$4)*(COUNTIF(CONFIG_ASIGNATURAS!$B$7:$B$27,DATOS!$I$2:$I$20000)&gt;0)*(DATOS!$K$2:$K$20000))/SUMPRODUCT((DATOS!$A$2:$A$20000=G334)*(DATOS!$G$2:$G$20000=CONFIG_METADATA!$B$4)*(COUNTIF(CONFIG_ASIGNATURAS!$B$7:$B$27,DATOS!$I$2:$I$20000)&gt;0)*1),"")))</f>
        <v/>
      </c>
      <c r="N334" t="str">
        <f>IF(M334="","",IF(M334="[FÓRMULA MANUAL]","",IFERROR(AVERAGEIFS(DATOS!$K$2:$K$20000,DATOS!$A$2:$A$20000,M334,DATOS!$G$2:$G$20000,CONFIG_METADATA!$B$4,DATOS!$I$2:$I$20000,"Armonía"),"")))</f>
        <v/>
      </c>
      <c r="O334" t="str">
        <f>IF(M334="","",IF(M334="[FÓRMULA MANUAL]","",IFERROR(AVERAGEIFS(DATOS!$K$2:$K$20000,DATOS!$A$2:$A$20000,M334,DATOS!$G$2:$G$20000,CONFIG_METADATA!$B$4,DATOS!$I$2:$I$20000,"Orquesta/Banda/Conjunto"),"")))</f>
        <v/>
      </c>
      <c r="P334" t="str">
        <f>IF(M334="","",IF(M334="[FÓRMULA MANUAL]","",IFERROR(AVERAGEIFS(DATOS!$K$2:$K$20000,DATOS!$A$2:$A$20000,M334,DATOS!$G$2:$G$20000,CONFIG_METADATA!$B$4,DATOS!$I$2:$I$20000,"Música de Cámara"),"")))</f>
        <v/>
      </c>
      <c r="Q334" t="str">
        <f>IF(M334="","",IF(M334="[FÓRMULA MANUAL]","",IFERROR(SUMPRODUCT((DATOS!$A$2:$A$20000=M334)*(DATOS!$G$2:$G$20000=CONFIG_METADATA!$B$4)*(COUNTIF(CONFIG_ASIGNATURAS!$B$7:$B$27,DATOS!$I$2:$I$20000)&gt;0)*(DATOS!$K$2:$K$20000))/SUMPRODUCT((DATOS!$A$2:$A$20000=M334)*(DATOS!$G$2:$G$20000=CONFIG_METADATA!$B$4)*(COUNTIF(CONFIG_ASIGNATURAS!$B$7:$B$27,DATOS!$I$2:$I$20000)&gt;0)*1),"")))</f>
        <v/>
      </c>
      <c r="T334" t="str">
        <f>IF(S334="","",IF(S334="[FÓRMULA MANUAL]","",IFERROR(AVERAGEIFS(DATOS!$K$2:$K$20000,DATOS!$A$2:$A$20000,S334,DATOS!$G$2:$G$20000,CONFIG_METADATA!$B$4,DATOS!$I$2:$I$20000,"Armonía"),"")))</f>
        <v/>
      </c>
      <c r="U334" t="str">
        <f>IF(S334="","",IF(S334="[FÓRMULA MANUAL]","",IFERROR(AVERAGEIFS(DATOS!$K$2:$K$20000,DATOS!$A$2:$A$20000,S334,DATOS!$G$2:$G$20000,CONFIG_METADATA!$B$4,DATOS!$I$2:$I$20000,"Orquesta/Banda/Conjunto"),"")))</f>
        <v/>
      </c>
      <c r="V334" t="str">
        <f>IF(S334="","",IF(S334="[FÓRMULA MANUAL]","",IFERROR(AVERAGEIFS(DATOS!$K$2:$K$20000,DATOS!$A$2:$A$20000,S334,DATOS!$G$2:$G$20000,CONFIG_METADATA!$B$4,DATOS!$I$2:$I$20000,"Música de Cámara"),"")))</f>
        <v/>
      </c>
      <c r="W334" t="str">
        <f>IF(S334="","",IF(S334="[FÓRMULA MANUAL]","",IFERROR(SUMPRODUCT((DATOS!$A$2:$A$20000=S334)*(DATOS!$G$2:$G$20000=CONFIG_METADATA!$B$4)*(COUNTIF(CONFIG_ASIGNATURAS!$B$7:$B$27,DATOS!$I$2:$I$20000)&gt;0)*(DATOS!$K$2:$K$20000))/SUMPRODUCT((DATOS!$A$2:$A$20000=S334)*(DATOS!$G$2:$G$20000=CONFIG_METADATA!$B$4)*(COUNTIF(CONFIG_ASIGNATURAS!$B$7:$B$27,DATOS!$I$2:$I$20000)&gt;0)*1),"")))</f>
        <v/>
      </c>
      <c r="Z334" t="str">
        <f>IF(Y334="","",IF(Y334="[FÓRMULA MANUAL]","",IFERROR(AVERAGEIFS(DATOS!$K$2:$K$20000,DATOS!$A$2:$A$20000,Y334,DATOS!$G$2:$G$20000,CONFIG_METADATA!$B$4,DATOS!$I$2:$I$20000,"Análisis"),"")))</f>
        <v/>
      </c>
      <c r="AA334" t="str">
        <f>IF(Y334="","",IF(Y334="[FÓRMULA MANUAL]","",IFERROR(AVERAGEIFS(DATOS!$K$2:$K$20000,DATOS!$A$2:$A$20000,Y334,DATOS!$G$2:$G$20000,CONFIG_METADATA!$B$4,DATOS!$I$2:$I$20000,"Orquesta/Banda/Conjunto"),"")))</f>
        <v/>
      </c>
      <c r="AB334" t="str">
        <f>IF(Y334="","",IF(Y334="[FÓRMULA MANUAL]","",IFERROR(AVERAGEIFS(DATOS!$K$2:$K$20000,DATOS!$A$2:$A$20000,Y334,DATOS!$G$2:$G$20000,CONFIG_METADATA!$B$4,DATOS!$I$2:$I$20000,"Música de Cámara"),"")))</f>
        <v/>
      </c>
      <c r="AC334" t="str">
        <f>IF(Y334="","",IF(Y334="[FÓRMULA MANUAL]","",IFERROR(SUMPRODUCT((DATOS!$A$2:$A$20000=Y334)*(DATOS!$G$2:$G$20000=CONFIG_METADATA!$B$4)*(COUNTIF(CONFIG_ASIGNATURAS!$B$7:$B$27,DATOS!$I$2:$I$20000)&gt;0)*(DATOS!$K$2:$K$20000))/SUMPRODUCT((DATOS!$A$2:$A$20000=Y334)*(DATOS!$G$2:$G$20000=CONFIG_METADATA!$B$4)*(COUNTIF(CONFIG_ASIGNATURAS!$B$7:$B$27,DATOS!$I$2:$I$20000)&gt;0)*1),"")))</f>
        <v/>
      </c>
      <c r="AF334" t="str">
        <f>IF(AE334="","",IF(AE334="[FÓRMULA MANUAL]","",IFERROR(AVERAGEIFS(DATOS!$K$2:$K$20000,DATOS!$A$2:$A$20000,AE334,DATOS!$G$2:$G$20000,CONFIG_METADATA!$B$4,DATOS!$I$2:$I$20000,"Análisis"),"")))</f>
        <v/>
      </c>
      <c r="AG334" t="str">
        <f>IF(AE334="","",IF(AE334="[FÓRMULA MANUAL]","",IFERROR(AVERAGEIFS(DATOS!$K$2:$K$20000,DATOS!$A$2:$A$20000,AE334,DATOS!$G$2:$G$20000,CONFIG_METADATA!$B$4,DATOS!$I$2:$I$20000,"Orquesta/Banda/Conjunto"),"")))</f>
        <v/>
      </c>
      <c r="AH334" t="str">
        <f>IF(AE334="","",IF(AE334="[FÓRMULA MANUAL]","",IFERROR(AVERAGEIFS(DATOS!$K$2:$K$20000,DATOS!$A$2:$A$20000,AE334,DATOS!$G$2:$G$20000,CONFIG_METADATA!$B$4,DATOS!$I$2:$I$20000,"Música de Cámara"),"")))</f>
        <v/>
      </c>
      <c r="AI334" t="str">
        <f>IF(AE334="","",IF(AE334="[FÓRMULA MANUAL]","",IFERROR(SUMPRODUCT((DATOS!$A$2:$A$20000=AE334)*(DATOS!$G$2:$G$20000=CONFIG_METADATA!$B$4)*(COUNTIF(CONFIG_ASIGNATURAS!$B$7:$B$27,DATOS!$I$2:$I$20000)&gt;0)*(DATOS!$K$2:$K$20000))/SUMPRODUCT((DATOS!$A$2:$A$20000=AE334)*(DATOS!$G$2:$G$20000=CONFIG_METADATA!$B$4)*(COUNTIF(CONFIG_ASIGNATURAS!$B$7:$B$27,DATOS!$I$2:$I$20000)&gt;0)*1),"")))</f>
        <v/>
      </c>
    </row>
    <row r="335" spans="2:35" x14ac:dyDescent="0.2">
      <c r="B335" t="str">
        <f>IF(A335="","",IF(A335="[FÓRMULA MANUAL]","",IFERROR(AVERAGEIFS(DATOS!$K$2:$K$20000,DATOS!$A$2:$A$20000,A335,DATOS!$G$2:$G$20000,CONFIG_METADATA!$B$4,DATOS!$I$2:$I$20000,"Lenguaje Musical"),"")))</f>
        <v/>
      </c>
      <c r="C335" t="str">
        <f>IF(A335="","",IF(A335="[FÓRMULA MANUAL]","",IFERROR(AVERAGEIFS(DATOS!$K$2:$K$20000,DATOS!$A$2:$A$20000,A335,DATOS!$G$2:$G$20000,CONFIG_METADATA!$B$4,DATOS!$I$2:$I$20000,"Orquesta/Banda/Conjunto"),"")))</f>
        <v/>
      </c>
      <c r="D335" t="str">
        <f>IF(A335="","",IF(A335="[FÓRMULA MANUAL]","",IFERROR(AVERAGEIFS(DATOS!$K$2:$K$20000,DATOS!$A$2:$A$20000,A335,DATOS!$G$2:$G$20000,CONFIG_METADATA!$B$4,DATOS!$I$2:$I$20000,"Conjunto"),"")))</f>
        <v/>
      </c>
      <c r="E335" t="str">
        <f>IF(A335="","",IF(A335="[FÓRMULA MANUAL]","",IFERROR(SUMPRODUCT((DATOS!$A$2:$A$20000=A335)*(DATOS!$G$2:$G$20000=CONFIG_METADATA!$B$4)*(COUNTIF(CONFIG_ASIGNATURAS!$B$7:$B$27,DATOS!$I$2:$I$20000)&gt;0)*(DATOS!$K$2:$K$20000))/SUMPRODUCT((DATOS!$A$2:$A$20000=A335)*(DATOS!$G$2:$G$20000=CONFIG_METADATA!$B$4)*(COUNTIF(CONFIG_ASIGNATURAS!$B$7:$B$27,DATOS!$I$2:$I$20000)&gt;0)*1),"")))</f>
        <v/>
      </c>
      <c r="H335" t="str">
        <f>IF(G335="","",IF(G335="[FÓRMULA MANUAL]","",IFERROR(AVERAGEIFS(DATOS!$K$2:$K$20000,DATOS!$A$2:$A$20000,G335,DATOS!$G$2:$G$20000,CONFIG_METADATA!$B$4,DATOS!$I$2:$I$20000,"Lenguaje Musical"),"")))</f>
        <v/>
      </c>
      <c r="I335" t="str">
        <f>IF(G335="","",IF(G335="[FÓRMULA MANUAL]","",IFERROR(AVERAGEIFS(DATOS!$K$2:$K$20000,DATOS!$A$2:$A$20000,G335,DATOS!$G$2:$G$20000,CONFIG_METADATA!$B$4,DATOS!$I$2:$I$20000,"Orquesta/Banda/Conjunto"),"")))</f>
        <v/>
      </c>
      <c r="J335" t="str">
        <f>IF(G335="","",IF(G335="[FÓRMULA MANUAL]","",IFERROR(AVERAGEIFS(DATOS!$K$2:$K$20000,DATOS!$A$2:$A$20000,G335,DATOS!$G$2:$G$20000,CONFIG_METADATA!$B$4,DATOS!$I$2:$I$20000,"Conjunto"),"")))</f>
        <v/>
      </c>
      <c r="K335" t="str">
        <f>IF(G335="","",IF(G335="[FÓRMULA MANUAL]","",IFERROR(SUMPRODUCT((DATOS!$A$2:$A$20000=G335)*(DATOS!$G$2:$G$20000=CONFIG_METADATA!$B$4)*(COUNTIF(CONFIG_ASIGNATURAS!$B$7:$B$27,DATOS!$I$2:$I$20000)&gt;0)*(DATOS!$K$2:$K$20000))/SUMPRODUCT((DATOS!$A$2:$A$20000=G335)*(DATOS!$G$2:$G$20000=CONFIG_METADATA!$B$4)*(COUNTIF(CONFIG_ASIGNATURAS!$B$7:$B$27,DATOS!$I$2:$I$20000)&gt;0)*1),"")))</f>
        <v/>
      </c>
      <c r="N335" t="str">
        <f>IF(M335="","",IF(M335="[FÓRMULA MANUAL]","",IFERROR(AVERAGEIFS(DATOS!$K$2:$K$20000,DATOS!$A$2:$A$20000,M335,DATOS!$G$2:$G$20000,CONFIG_METADATA!$B$4,DATOS!$I$2:$I$20000,"Armonía"),"")))</f>
        <v/>
      </c>
      <c r="O335" t="str">
        <f>IF(M335="","",IF(M335="[FÓRMULA MANUAL]","",IFERROR(AVERAGEIFS(DATOS!$K$2:$K$20000,DATOS!$A$2:$A$20000,M335,DATOS!$G$2:$G$20000,CONFIG_METADATA!$B$4,DATOS!$I$2:$I$20000,"Orquesta/Banda/Conjunto"),"")))</f>
        <v/>
      </c>
      <c r="P335" t="str">
        <f>IF(M335="","",IF(M335="[FÓRMULA MANUAL]","",IFERROR(AVERAGEIFS(DATOS!$K$2:$K$20000,DATOS!$A$2:$A$20000,M335,DATOS!$G$2:$G$20000,CONFIG_METADATA!$B$4,DATOS!$I$2:$I$20000,"Música de Cámara"),"")))</f>
        <v/>
      </c>
      <c r="Q335" t="str">
        <f>IF(M335="","",IF(M335="[FÓRMULA MANUAL]","",IFERROR(SUMPRODUCT((DATOS!$A$2:$A$20000=M335)*(DATOS!$G$2:$G$20000=CONFIG_METADATA!$B$4)*(COUNTIF(CONFIG_ASIGNATURAS!$B$7:$B$27,DATOS!$I$2:$I$20000)&gt;0)*(DATOS!$K$2:$K$20000))/SUMPRODUCT((DATOS!$A$2:$A$20000=M335)*(DATOS!$G$2:$G$20000=CONFIG_METADATA!$B$4)*(COUNTIF(CONFIG_ASIGNATURAS!$B$7:$B$27,DATOS!$I$2:$I$20000)&gt;0)*1),"")))</f>
        <v/>
      </c>
      <c r="T335" t="str">
        <f>IF(S335="","",IF(S335="[FÓRMULA MANUAL]","",IFERROR(AVERAGEIFS(DATOS!$K$2:$K$20000,DATOS!$A$2:$A$20000,S335,DATOS!$G$2:$G$20000,CONFIG_METADATA!$B$4,DATOS!$I$2:$I$20000,"Armonía"),"")))</f>
        <v/>
      </c>
      <c r="U335" t="str">
        <f>IF(S335="","",IF(S335="[FÓRMULA MANUAL]","",IFERROR(AVERAGEIFS(DATOS!$K$2:$K$20000,DATOS!$A$2:$A$20000,S335,DATOS!$G$2:$G$20000,CONFIG_METADATA!$B$4,DATOS!$I$2:$I$20000,"Orquesta/Banda/Conjunto"),"")))</f>
        <v/>
      </c>
      <c r="V335" t="str">
        <f>IF(S335="","",IF(S335="[FÓRMULA MANUAL]","",IFERROR(AVERAGEIFS(DATOS!$K$2:$K$20000,DATOS!$A$2:$A$20000,S335,DATOS!$G$2:$G$20000,CONFIG_METADATA!$B$4,DATOS!$I$2:$I$20000,"Música de Cámara"),"")))</f>
        <v/>
      </c>
      <c r="W335" t="str">
        <f>IF(S335="","",IF(S335="[FÓRMULA MANUAL]","",IFERROR(SUMPRODUCT((DATOS!$A$2:$A$20000=S335)*(DATOS!$G$2:$G$20000=CONFIG_METADATA!$B$4)*(COUNTIF(CONFIG_ASIGNATURAS!$B$7:$B$27,DATOS!$I$2:$I$20000)&gt;0)*(DATOS!$K$2:$K$20000))/SUMPRODUCT((DATOS!$A$2:$A$20000=S335)*(DATOS!$G$2:$G$20000=CONFIG_METADATA!$B$4)*(COUNTIF(CONFIG_ASIGNATURAS!$B$7:$B$27,DATOS!$I$2:$I$20000)&gt;0)*1),"")))</f>
        <v/>
      </c>
      <c r="Z335" t="str">
        <f>IF(Y335="","",IF(Y335="[FÓRMULA MANUAL]","",IFERROR(AVERAGEIFS(DATOS!$K$2:$K$20000,DATOS!$A$2:$A$20000,Y335,DATOS!$G$2:$G$20000,CONFIG_METADATA!$B$4,DATOS!$I$2:$I$20000,"Análisis"),"")))</f>
        <v/>
      </c>
      <c r="AA335" t="str">
        <f>IF(Y335="","",IF(Y335="[FÓRMULA MANUAL]","",IFERROR(AVERAGEIFS(DATOS!$K$2:$K$20000,DATOS!$A$2:$A$20000,Y335,DATOS!$G$2:$G$20000,CONFIG_METADATA!$B$4,DATOS!$I$2:$I$20000,"Orquesta/Banda/Conjunto"),"")))</f>
        <v/>
      </c>
      <c r="AB335" t="str">
        <f>IF(Y335="","",IF(Y335="[FÓRMULA MANUAL]","",IFERROR(AVERAGEIFS(DATOS!$K$2:$K$20000,DATOS!$A$2:$A$20000,Y335,DATOS!$G$2:$G$20000,CONFIG_METADATA!$B$4,DATOS!$I$2:$I$20000,"Música de Cámara"),"")))</f>
        <v/>
      </c>
      <c r="AC335" t="str">
        <f>IF(Y335="","",IF(Y335="[FÓRMULA MANUAL]","",IFERROR(SUMPRODUCT((DATOS!$A$2:$A$20000=Y335)*(DATOS!$G$2:$G$20000=CONFIG_METADATA!$B$4)*(COUNTIF(CONFIG_ASIGNATURAS!$B$7:$B$27,DATOS!$I$2:$I$20000)&gt;0)*(DATOS!$K$2:$K$20000))/SUMPRODUCT((DATOS!$A$2:$A$20000=Y335)*(DATOS!$G$2:$G$20000=CONFIG_METADATA!$B$4)*(COUNTIF(CONFIG_ASIGNATURAS!$B$7:$B$27,DATOS!$I$2:$I$20000)&gt;0)*1),"")))</f>
        <v/>
      </c>
      <c r="AF335" t="str">
        <f>IF(AE335="","",IF(AE335="[FÓRMULA MANUAL]","",IFERROR(AVERAGEIFS(DATOS!$K$2:$K$20000,DATOS!$A$2:$A$20000,AE335,DATOS!$G$2:$G$20000,CONFIG_METADATA!$B$4,DATOS!$I$2:$I$20000,"Análisis"),"")))</f>
        <v/>
      </c>
      <c r="AG335" t="str">
        <f>IF(AE335="","",IF(AE335="[FÓRMULA MANUAL]","",IFERROR(AVERAGEIFS(DATOS!$K$2:$K$20000,DATOS!$A$2:$A$20000,AE335,DATOS!$G$2:$G$20000,CONFIG_METADATA!$B$4,DATOS!$I$2:$I$20000,"Orquesta/Banda/Conjunto"),"")))</f>
        <v/>
      </c>
      <c r="AH335" t="str">
        <f>IF(AE335="","",IF(AE335="[FÓRMULA MANUAL]","",IFERROR(AVERAGEIFS(DATOS!$K$2:$K$20000,DATOS!$A$2:$A$20000,AE335,DATOS!$G$2:$G$20000,CONFIG_METADATA!$B$4,DATOS!$I$2:$I$20000,"Música de Cámara"),"")))</f>
        <v/>
      </c>
      <c r="AI335" t="str">
        <f>IF(AE335="","",IF(AE335="[FÓRMULA MANUAL]","",IFERROR(SUMPRODUCT((DATOS!$A$2:$A$20000=AE335)*(DATOS!$G$2:$G$20000=CONFIG_METADATA!$B$4)*(COUNTIF(CONFIG_ASIGNATURAS!$B$7:$B$27,DATOS!$I$2:$I$20000)&gt;0)*(DATOS!$K$2:$K$20000))/SUMPRODUCT((DATOS!$A$2:$A$20000=AE335)*(DATOS!$G$2:$G$20000=CONFIG_METADATA!$B$4)*(COUNTIF(CONFIG_ASIGNATURAS!$B$7:$B$27,DATOS!$I$2:$I$20000)&gt;0)*1),"")))</f>
        <v/>
      </c>
    </row>
    <row r="336" spans="2:35" x14ac:dyDescent="0.2">
      <c r="B336" t="str">
        <f>IF(A336="","",IF(A336="[FÓRMULA MANUAL]","",IFERROR(AVERAGEIFS(DATOS!$K$2:$K$20000,DATOS!$A$2:$A$20000,A336,DATOS!$G$2:$G$20000,CONFIG_METADATA!$B$4,DATOS!$I$2:$I$20000,"Lenguaje Musical"),"")))</f>
        <v/>
      </c>
      <c r="C336" t="str">
        <f>IF(A336="","",IF(A336="[FÓRMULA MANUAL]","",IFERROR(AVERAGEIFS(DATOS!$K$2:$K$20000,DATOS!$A$2:$A$20000,A336,DATOS!$G$2:$G$20000,CONFIG_METADATA!$B$4,DATOS!$I$2:$I$20000,"Orquesta/Banda/Conjunto"),"")))</f>
        <v/>
      </c>
      <c r="D336" t="str">
        <f>IF(A336="","",IF(A336="[FÓRMULA MANUAL]","",IFERROR(AVERAGEIFS(DATOS!$K$2:$K$20000,DATOS!$A$2:$A$20000,A336,DATOS!$G$2:$G$20000,CONFIG_METADATA!$B$4,DATOS!$I$2:$I$20000,"Conjunto"),"")))</f>
        <v/>
      </c>
      <c r="E336" t="str">
        <f>IF(A336="","",IF(A336="[FÓRMULA MANUAL]","",IFERROR(SUMPRODUCT((DATOS!$A$2:$A$20000=A336)*(DATOS!$G$2:$G$20000=CONFIG_METADATA!$B$4)*(COUNTIF(CONFIG_ASIGNATURAS!$B$7:$B$27,DATOS!$I$2:$I$20000)&gt;0)*(DATOS!$K$2:$K$20000))/SUMPRODUCT((DATOS!$A$2:$A$20000=A336)*(DATOS!$G$2:$G$20000=CONFIG_METADATA!$B$4)*(COUNTIF(CONFIG_ASIGNATURAS!$B$7:$B$27,DATOS!$I$2:$I$20000)&gt;0)*1),"")))</f>
        <v/>
      </c>
      <c r="H336" t="str">
        <f>IF(G336="","",IF(G336="[FÓRMULA MANUAL]","",IFERROR(AVERAGEIFS(DATOS!$K$2:$K$20000,DATOS!$A$2:$A$20000,G336,DATOS!$G$2:$G$20000,CONFIG_METADATA!$B$4,DATOS!$I$2:$I$20000,"Lenguaje Musical"),"")))</f>
        <v/>
      </c>
      <c r="I336" t="str">
        <f>IF(G336="","",IF(G336="[FÓRMULA MANUAL]","",IFERROR(AVERAGEIFS(DATOS!$K$2:$K$20000,DATOS!$A$2:$A$20000,G336,DATOS!$G$2:$G$20000,CONFIG_METADATA!$B$4,DATOS!$I$2:$I$20000,"Orquesta/Banda/Conjunto"),"")))</f>
        <v/>
      </c>
      <c r="J336" t="str">
        <f>IF(G336="","",IF(G336="[FÓRMULA MANUAL]","",IFERROR(AVERAGEIFS(DATOS!$K$2:$K$20000,DATOS!$A$2:$A$20000,G336,DATOS!$G$2:$G$20000,CONFIG_METADATA!$B$4,DATOS!$I$2:$I$20000,"Conjunto"),"")))</f>
        <v/>
      </c>
      <c r="K336" t="str">
        <f>IF(G336="","",IF(G336="[FÓRMULA MANUAL]","",IFERROR(SUMPRODUCT((DATOS!$A$2:$A$20000=G336)*(DATOS!$G$2:$G$20000=CONFIG_METADATA!$B$4)*(COUNTIF(CONFIG_ASIGNATURAS!$B$7:$B$27,DATOS!$I$2:$I$20000)&gt;0)*(DATOS!$K$2:$K$20000))/SUMPRODUCT((DATOS!$A$2:$A$20000=G336)*(DATOS!$G$2:$G$20000=CONFIG_METADATA!$B$4)*(COUNTIF(CONFIG_ASIGNATURAS!$B$7:$B$27,DATOS!$I$2:$I$20000)&gt;0)*1),"")))</f>
        <v/>
      </c>
      <c r="N336" t="str">
        <f>IF(M336="","",IF(M336="[FÓRMULA MANUAL]","",IFERROR(AVERAGEIFS(DATOS!$K$2:$K$20000,DATOS!$A$2:$A$20000,M336,DATOS!$G$2:$G$20000,CONFIG_METADATA!$B$4,DATOS!$I$2:$I$20000,"Armonía"),"")))</f>
        <v/>
      </c>
      <c r="O336" t="str">
        <f>IF(M336="","",IF(M336="[FÓRMULA MANUAL]","",IFERROR(AVERAGEIFS(DATOS!$K$2:$K$20000,DATOS!$A$2:$A$20000,M336,DATOS!$G$2:$G$20000,CONFIG_METADATA!$B$4,DATOS!$I$2:$I$20000,"Orquesta/Banda/Conjunto"),"")))</f>
        <v/>
      </c>
      <c r="P336" t="str">
        <f>IF(M336="","",IF(M336="[FÓRMULA MANUAL]","",IFERROR(AVERAGEIFS(DATOS!$K$2:$K$20000,DATOS!$A$2:$A$20000,M336,DATOS!$G$2:$G$20000,CONFIG_METADATA!$B$4,DATOS!$I$2:$I$20000,"Música de Cámara"),"")))</f>
        <v/>
      </c>
      <c r="Q336" t="str">
        <f>IF(M336="","",IF(M336="[FÓRMULA MANUAL]","",IFERROR(SUMPRODUCT((DATOS!$A$2:$A$20000=M336)*(DATOS!$G$2:$G$20000=CONFIG_METADATA!$B$4)*(COUNTIF(CONFIG_ASIGNATURAS!$B$7:$B$27,DATOS!$I$2:$I$20000)&gt;0)*(DATOS!$K$2:$K$20000))/SUMPRODUCT((DATOS!$A$2:$A$20000=M336)*(DATOS!$G$2:$G$20000=CONFIG_METADATA!$B$4)*(COUNTIF(CONFIG_ASIGNATURAS!$B$7:$B$27,DATOS!$I$2:$I$20000)&gt;0)*1),"")))</f>
        <v/>
      </c>
      <c r="T336" t="str">
        <f>IF(S336="","",IF(S336="[FÓRMULA MANUAL]","",IFERROR(AVERAGEIFS(DATOS!$K$2:$K$20000,DATOS!$A$2:$A$20000,S336,DATOS!$G$2:$G$20000,CONFIG_METADATA!$B$4,DATOS!$I$2:$I$20000,"Armonía"),"")))</f>
        <v/>
      </c>
      <c r="U336" t="str">
        <f>IF(S336="","",IF(S336="[FÓRMULA MANUAL]","",IFERROR(AVERAGEIFS(DATOS!$K$2:$K$20000,DATOS!$A$2:$A$20000,S336,DATOS!$G$2:$G$20000,CONFIG_METADATA!$B$4,DATOS!$I$2:$I$20000,"Orquesta/Banda/Conjunto"),"")))</f>
        <v/>
      </c>
      <c r="V336" t="str">
        <f>IF(S336="","",IF(S336="[FÓRMULA MANUAL]","",IFERROR(AVERAGEIFS(DATOS!$K$2:$K$20000,DATOS!$A$2:$A$20000,S336,DATOS!$G$2:$G$20000,CONFIG_METADATA!$B$4,DATOS!$I$2:$I$20000,"Música de Cámara"),"")))</f>
        <v/>
      </c>
      <c r="W336" t="str">
        <f>IF(S336="","",IF(S336="[FÓRMULA MANUAL]","",IFERROR(SUMPRODUCT((DATOS!$A$2:$A$20000=S336)*(DATOS!$G$2:$G$20000=CONFIG_METADATA!$B$4)*(COUNTIF(CONFIG_ASIGNATURAS!$B$7:$B$27,DATOS!$I$2:$I$20000)&gt;0)*(DATOS!$K$2:$K$20000))/SUMPRODUCT((DATOS!$A$2:$A$20000=S336)*(DATOS!$G$2:$G$20000=CONFIG_METADATA!$B$4)*(COUNTIF(CONFIG_ASIGNATURAS!$B$7:$B$27,DATOS!$I$2:$I$20000)&gt;0)*1),"")))</f>
        <v/>
      </c>
      <c r="Z336" t="str">
        <f>IF(Y336="","",IF(Y336="[FÓRMULA MANUAL]","",IFERROR(AVERAGEIFS(DATOS!$K$2:$K$20000,DATOS!$A$2:$A$20000,Y336,DATOS!$G$2:$G$20000,CONFIG_METADATA!$B$4,DATOS!$I$2:$I$20000,"Análisis"),"")))</f>
        <v/>
      </c>
      <c r="AA336" t="str">
        <f>IF(Y336="","",IF(Y336="[FÓRMULA MANUAL]","",IFERROR(AVERAGEIFS(DATOS!$K$2:$K$20000,DATOS!$A$2:$A$20000,Y336,DATOS!$G$2:$G$20000,CONFIG_METADATA!$B$4,DATOS!$I$2:$I$20000,"Orquesta/Banda/Conjunto"),"")))</f>
        <v/>
      </c>
      <c r="AB336" t="str">
        <f>IF(Y336="","",IF(Y336="[FÓRMULA MANUAL]","",IFERROR(AVERAGEIFS(DATOS!$K$2:$K$20000,DATOS!$A$2:$A$20000,Y336,DATOS!$G$2:$G$20000,CONFIG_METADATA!$B$4,DATOS!$I$2:$I$20000,"Música de Cámara"),"")))</f>
        <v/>
      </c>
      <c r="AC336" t="str">
        <f>IF(Y336="","",IF(Y336="[FÓRMULA MANUAL]","",IFERROR(SUMPRODUCT((DATOS!$A$2:$A$20000=Y336)*(DATOS!$G$2:$G$20000=CONFIG_METADATA!$B$4)*(COUNTIF(CONFIG_ASIGNATURAS!$B$7:$B$27,DATOS!$I$2:$I$20000)&gt;0)*(DATOS!$K$2:$K$20000))/SUMPRODUCT((DATOS!$A$2:$A$20000=Y336)*(DATOS!$G$2:$G$20000=CONFIG_METADATA!$B$4)*(COUNTIF(CONFIG_ASIGNATURAS!$B$7:$B$27,DATOS!$I$2:$I$20000)&gt;0)*1),"")))</f>
        <v/>
      </c>
      <c r="AF336" t="str">
        <f>IF(AE336="","",IF(AE336="[FÓRMULA MANUAL]","",IFERROR(AVERAGEIFS(DATOS!$K$2:$K$20000,DATOS!$A$2:$A$20000,AE336,DATOS!$G$2:$G$20000,CONFIG_METADATA!$B$4,DATOS!$I$2:$I$20000,"Análisis"),"")))</f>
        <v/>
      </c>
      <c r="AG336" t="str">
        <f>IF(AE336="","",IF(AE336="[FÓRMULA MANUAL]","",IFERROR(AVERAGEIFS(DATOS!$K$2:$K$20000,DATOS!$A$2:$A$20000,AE336,DATOS!$G$2:$G$20000,CONFIG_METADATA!$B$4,DATOS!$I$2:$I$20000,"Orquesta/Banda/Conjunto"),"")))</f>
        <v/>
      </c>
      <c r="AH336" t="str">
        <f>IF(AE336="","",IF(AE336="[FÓRMULA MANUAL]","",IFERROR(AVERAGEIFS(DATOS!$K$2:$K$20000,DATOS!$A$2:$A$20000,AE336,DATOS!$G$2:$G$20000,CONFIG_METADATA!$B$4,DATOS!$I$2:$I$20000,"Música de Cámara"),"")))</f>
        <v/>
      </c>
      <c r="AI336" t="str">
        <f>IF(AE336="","",IF(AE336="[FÓRMULA MANUAL]","",IFERROR(SUMPRODUCT((DATOS!$A$2:$A$20000=AE336)*(DATOS!$G$2:$G$20000=CONFIG_METADATA!$B$4)*(COUNTIF(CONFIG_ASIGNATURAS!$B$7:$B$27,DATOS!$I$2:$I$20000)&gt;0)*(DATOS!$K$2:$K$20000))/SUMPRODUCT((DATOS!$A$2:$A$20000=AE336)*(DATOS!$G$2:$G$20000=CONFIG_METADATA!$B$4)*(COUNTIF(CONFIG_ASIGNATURAS!$B$7:$B$27,DATOS!$I$2:$I$20000)&gt;0)*1),"")))</f>
        <v/>
      </c>
    </row>
    <row r="337" spans="2:35" x14ac:dyDescent="0.2">
      <c r="B337" t="str">
        <f>IF(A337="","",IF(A337="[FÓRMULA MANUAL]","",IFERROR(AVERAGEIFS(DATOS!$K$2:$K$20000,DATOS!$A$2:$A$20000,A337,DATOS!$G$2:$G$20000,CONFIG_METADATA!$B$4,DATOS!$I$2:$I$20000,"Lenguaje Musical"),"")))</f>
        <v/>
      </c>
      <c r="C337" t="str">
        <f>IF(A337="","",IF(A337="[FÓRMULA MANUAL]","",IFERROR(AVERAGEIFS(DATOS!$K$2:$K$20000,DATOS!$A$2:$A$20000,A337,DATOS!$G$2:$G$20000,CONFIG_METADATA!$B$4,DATOS!$I$2:$I$20000,"Orquesta/Banda/Conjunto"),"")))</f>
        <v/>
      </c>
      <c r="D337" t="str">
        <f>IF(A337="","",IF(A337="[FÓRMULA MANUAL]","",IFERROR(AVERAGEIFS(DATOS!$K$2:$K$20000,DATOS!$A$2:$A$20000,A337,DATOS!$G$2:$G$20000,CONFIG_METADATA!$B$4,DATOS!$I$2:$I$20000,"Conjunto"),"")))</f>
        <v/>
      </c>
      <c r="E337" t="str">
        <f>IF(A337="","",IF(A337="[FÓRMULA MANUAL]","",IFERROR(SUMPRODUCT((DATOS!$A$2:$A$20000=A337)*(DATOS!$G$2:$G$20000=CONFIG_METADATA!$B$4)*(COUNTIF(CONFIG_ASIGNATURAS!$B$7:$B$27,DATOS!$I$2:$I$20000)&gt;0)*(DATOS!$K$2:$K$20000))/SUMPRODUCT((DATOS!$A$2:$A$20000=A337)*(DATOS!$G$2:$G$20000=CONFIG_METADATA!$B$4)*(COUNTIF(CONFIG_ASIGNATURAS!$B$7:$B$27,DATOS!$I$2:$I$20000)&gt;0)*1),"")))</f>
        <v/>
      </c>
      <c r="H337" t="str">
        <f>IF(G337="","",IF(G337="[FÓRMULA MANUAL]","",IFERROR(AVERAGEIFS(DATOS!$K$2:$K$20000,DATOS!$A$2:$A$20000,G337,DATOS!$G$2:$G$20000,CONFIG_METADATA!$B$4,DATOS!$I$2:$I$20000,"Lenguaje Musical"),"")))</f>
        <v/>
      </c>
      <c r="I337" t="str">
        <f>IF(G337="","",IF(G337="[FÓRMULA MANUAL]","",IFERROR(AVERAGEIFS(DATOS!$K$2:$K$20000,DATOS!$A$2:$A$20000,G337,DATOS!$G$2:$G$20000,CONFIG_METADATA!$B$4,DATOS!$I$2:$I$20000,"Orquesta/Banda/Conjunto"),"")))</f>
        <v/>
      </c>
      <c r="J337" t="str">
        <f>IF(G337="","",IF(G337="[FÓRMULA MANUAL]","",IFERROR(AVERAGEIFS(DATOS!$K$2:$K$20000,DATOS!$A$2:$A$20000,G337,DATOS!$G$2:$G$20000,CONFIG_METADATA!$B$4,DATOS!$I$2:$I$20000,"Conjunto"),"")))</f>
        <v/>
      </c>
      <c r="K337" t="str">
        <f>IF(G337="","",IF(G337="[FÓRMULA MANUAL]","",IFERROR(SUMPRODUCT((DATOS!$A$2:$A$20000=G337)*(DATOS!$G$2:$G$20000=CONFIG_METADATA!$B$4)*(COUNTIF(CONFIG_ASIGNATURAS!$B$7:$B$27,DATOS!$I$2:$I$20000)&gt;0)*(DATOS!$K$2:$K$20000))/SUMPRODUCT((DATOS!$A$2:$A$20000=G337)*(DATOS!$G$2:$G$20000=CONFIG_METADATA!$B$4)*(COUNTIF(CONFIG_ASIGNATURAS!$B$7:$B$27,DATOS!$I$2:$I$20000)&gt;0)*1),"")))</f>
        <v/>
      </c>
      <c r="N337" t="str">
        <f>IF(M337="","",IF(M337="[FÓRMULA MANUAL]","",IFERROR(AVERAGEIFS(DATOS!$K$2:$K$20000,DATOS!$A$2:$A$20000,M337,DATOS!$G$2:$G$20000,CONFIG_METADATA!$B$4,DATOS!$I$2:$I$20000,"Armonía"),"")))</f>
        <v/>
      </c>
      <c r="O337" t="str">
        <f>IF(M337="","",IF(M337="[FÓRMULA MANUAL]","",IFERROR(AVERAGEIFS(DATOS!$K$2:$K$20000,DATOS!$A$2:$A$20000,M337,DATOS!$G$2:$G$20000,CONFIG_METADATA!$B$4,DATOS!$I$2:$I$20000,"Orquesta/Banda/Conjunto"),"")))</f>
        <v/>
      </c>
      <c r="P337" t="str">
        <f>IF(M337="","",IF(M337="[FÓRMULA MANUAL]","",IFERROR(AVERAGEIFS(DATOS!$K$2:$K$20000,DATOS!$A$2:$A$20000,M337,DATOS!$G$2:$G$20000,CONFIG_METADATA!$B$4,DATOS!$I$2:$I$20000,"Música de Cámara"),"")))</f>
        <v/>
      </c>
      <c r="Q337" t="str">
        <f>IF(M337="","",IF(M337="[FÓRMULA MANUAL]","",IFERROR(SUMPRODUCT((DATOS!$A$2:$A$20000=M337)*(DATOS!$G$2:$G$20000=CONFIG_METADATA!$B$4)*(COUNTIF(CONFIG_ASIGNATURAS!$B$7:$B$27,DATOS!$I$2:$I$20000)&gt;0)*(DATOS!$K$2:$K$20000))/SUMPRODUCT((DATOS!$A$2:$A$20000=M337)*(DATOS!$G$2:$G$20000=CONFIG_METADATA!$B$4)*(COUNTIF(CONFIG_ASIGNATURAS!$B$7:$B$27,DATOS!$I$2:$I$20000)&gt;0)*1),"")))</f>
        <v/>
      </c>
      <c r="T337" t="str">
        <f>IF(S337="","",IF(S337="[FÓRMULA MANUAL]","",IFERROR(AVERAGEIFS(DATOS!$K$2:$K$20000,DATOS!$A$2:$A$20000,S337,DATOS!$G$2:$G$20000,CONFIG_METADATA!$B$4,DATOS!$I$2:$I$20000,"Armonía"),"")))</f>
        <v/>
      </c>
      <c r="U337" t="str">
        <f>IF(S337="","",IF(S337="[FÓRMULA MANUAL]","",IFERROR(AVERAGEIFS(DATOS!$K$2:$K$20000,DATOS!$A$2:$A$20000,S337,DATOS!$G$2:$G$20000,CONFIG_METADATA!$B$4,DATOS!$I$2:$I$20000,"Orquesta/Banda/Conjunto"),"")))</f>
        <v/>
      </c>
      <c r="V337" t="str">
        <f>IF(S337="","",IF(S337="[FÓRMULA MANUAL]","",IFERROR(AVERAGEIFS(DATOS!$K$2:$K$20000,DATOS!$A$2:$A$20000,S337,DATOS!$G$2:$G$20000,CONFIG_METADATA!$B$4,DATOS!$I$2:$I$20000,"Música de Cámara"),"")))</f>
        <v/>
      </c>
      <c r="W337" t="str">
        <f>IF(S337="","",IF(S337="[FÓRMULA MANUAL]","",IFERROR(SUMPRODUCT((DATOS!$A$2:$A$20000=S337)*(DATOS!$G$2:$G$20000=CONFIG_METADATA!$B$4)*(COUNTIF(CONFIG_ASIGNATURAS!$B$7:$B$27,DATOS!$I$2:$I$20000)&gt;0)*(DATOS!$K$2:$K$20000))/SUMPRODUCT((DATOS!$A$2:$A$20000=S337)*(DATOS!$G$2:$G$20000=CONFIG_METADATA!$B$4)*(COUNTIF(CONFIG_ASIGNATURAS!$B$7:$B$27,DATOS!$I$2:$I$20000)&gt;0)*1),"")))</f>
        <v/>
      </c>
      <c r="Z337" t="str">
        <f>IF(Y337="","",IF(Y337="[FÓRMULA MANUAL]","",IFERROR(AVERAGEIFS(DATOS!$K$2:$K$20000,DATOS!$A$2:$A$20000,Y337,DATOS!$G$2:$G$20000,CONFIG_METADATA!$B$4,DATOS!$I$2:$I$20000,"Análisis"),"")))</f>
        <v/>
      </c>
      <c r="AA337" t="str">
        <f>IF(Y337="","",IF(Y337="[FÓRMULA MANUAL]","",IFERROR(AVERAGEIFS(DATOS!$K$2:$K$20000,DATOS!$A$2:$A$20000,Y337,DATOS!$G$2:$G$20000,CONFIG_METADATA!$B$4,DATOS!$I$2:$I$20000,"Orquesta/Banda/Conjunto"),"")))</f>
        <v/>
      </c>
      <c r="AB337" t="str">
        <f>IF(Y337="","",IF(Y337="[FÓRMULA MANUAL]","",IFERROR(AVERAGEIFS(DATOS!$K$2:$K$20000,DATOS!$A$2:$A$20000,Y337,DATOS!$G$2:$G$20000,CONFIG_METADATA!$B$4,DATOS!$I$2:$I$20000,"Música de Cámara"),"")))</f>
        <v/>
      </c>
      <c r="AC337" t="str">
        <f>IF(Y337="","",IF(Y337="[FÓRMULA MANUAL]","",IFERROR(SUMPRODUCT((DATOS!$A$2:$A$20000=Y337)*(DATOS!$G$2:$G$20000=CONFIG_METADATA!$B$4)*(COUNTIF(CONFIG_ASIGNATURAS!$B$7:$B$27,DATOS!$I$2:$I$20000)&gt;0)*(DATOS!$K$2:$K$20000))/SUMPRODUCT((DATOS!$A$2:$A$20000=Y337)*(DATOS!$G$2:$G$20000=CONFIG_METADATA!$B$4)*(COUNTIF(CONFIG_ASIGNATURAS!$B$7:$B$27,DATOS!$I$2:$I$20000)&gt;0)*1),"")))</f>
        <v/>
      </c>
      <c r="AF337" t="str">
        <f>IF(AE337="","",IF(AE337="[FÓRMULA MANUAL]","",IFERROR(AVERAGEIFS(DATOS!$K$2:$K$20000,DATOS!$A$2:$A$20000,AE337,DATOS!$G$2:$G$20000,CONFIG_METADATA!$B$4,DATOS!$I$2:$I$20000,"Análisis"),"")))</f>
        <v/>
      </c>
      <c r="AG337" t="str">
        <f>IF(AE337="","",IF(AE337="[FÓRMULA MANUAL]","",IFERROR(AVERAGEIFS(DATOS!$K$2:$K$20000,DATOS!$A$2:$A$20000,AE337,DATOS!$G$2:$G$20000,CONFIG_METADATA!$B$4,DATOS!$I$2:$I$20000,"Orquesta/Banda/Conjunto"),"")))</f>
        <v/>
      </c>
      <c r="AH337" t="str">
        <f>IF(AE337="","",IF(AE337="[FÓRMULA MANUAL]","",IFERROR(AVERAGEIFS(DATOS!$K$2:$K$20000,DATOS!$A$2:$A$20000,AE337,DATOS!$G$2:$G$20000,CONFIG_METADATA!$B$4,DATOS!$I$2:$I$20000,"Música de Cámara"),"")))</f>
        <v/>
      </c>
      <c r="AI337" t="str">
        <f>IF(AE337="","",IF(AE337="[FÓRMULA MANUAL]","",IFERROR(SUMPRODUCT((DATOS!$A$2:$A$20000=AE337)*(DATOS!$G$2:$G$20000=CONFIG_METADATA!$B$4)*(COUNTIF(CONFIG_ASIGNATURAS!$B$7:$B$27,DATOS!$I$2:$I$20000)&gt;0)*(DATOS!$K$2:$K$20000))/SUMPRODUCT((DATOS!$A$2:$A$20000=AE337)*(DATOS!$G$2:$G$20000=CONFIG_METADATA!$B$4)*(COUNTIF(CONFIG_ASIGNATURAS!$B$7:$B$27,DATOS!$I$2:$I$20000)&gt;0)*1),"")))</f>
        <v/>
      </c>
    </row>
    <row r="338" spans="2:35" x14ac:dyDescent="0.2">
      <c r="B338" t="str">
        <f>IF(A338="","",IF(A338="[FÓRMULA MANUAL]","",IFERROR(AVERAGEIFS(DATOS!$K$2:$K$20000,DATOS!$A$2:$A$20000,A338,DATOS!$G$2:$G$20000,CONFIG_METADATA!$B$4,DATOS!$I$2:$I$20000,"Lenguaje Musical"),"")))</f>
        <v/>
      </c>
      <c r="C338" t="str">
        <f>IF(A338="","",IF(A338="[FÓRMULA MANUAL]","",IFERROR(AVERAGEIFS(DATOS!$K$2:$K$20000,DATOS!$A$2:$A$20000,A338,DATOS!$G$2:$G$20000,CONFIG_METADATA!$B$4,DATOS!$I$2:$I$20000,"Orquesta/Banda/Conjunto"),"")))</f>
        <v/>
      </c>
      <c r="D338" t="str">
        <f>IF(A338="","",IF(A338="[FÓRMULA MANUAL]","",IFERROR(AVERAGEIFS(DATOS!$K$2:$K$20000,DATOS!$A$2:$A$20000,A338,DATOS!$G$2:$G$20000,CONFIG_METADATA!$B$4,DATOS!$I$2:$I$20000,"Conjunto"),"")))</f>
        <v/>
      </c>
      <c r="E338" t="str">
        <f>IF(A338="","",IF(A338="[FÓRMULA MANUAL]","",IFERROR(SUMPRODUCT((DATOS!$A$2:$A$20000=A338)*(DATOS!$G$2:$G$20000=CONFIG_METADATA!$B$4)*(COUNTIF(CONFIG_ASIGNATURAS!$B$7:$B$27,DATOS!$I$2:$I$20000)&gt;0)*(DATOS!$K$2:$K$20000))/SUMPRODUCT((DATOS!$A$2:$A$20000=A338)*(DATOS!$G$2:$G$20000=CONFIG_METADATA!$B$4)*(COUNTIF(CONFIG_ASIGNATURAS!$B$7:$B$27,DATOS!$I$2:$I$20000)&gt;0)*1),"")))</f>
        <v/>
      </c>
      <c r="H338" t="str">
        <f>IF(G338="","",IF(G338="[FÓRMULA MANUAL]","",IFERROR(AVERAGEIFS(DATOS!$K$2:$K$20000,DATOS!$A$2:$A$20000,G338,DATOS!$G$2:$G$20000,CONFIG_METADATA!$B$4,DATOS!$I$2:$I$20000,"Lenguaje Musical"),"")))</f>
        <v/>
      </c>
      <c r="I338" t="str">
        <f>IF(G338="","",IF(G338="[FÓRMULA MANUAL]","",IFERROR(AVERAGEIFS(DATOS!$K$2:$K$20000,DATOS!$A$2:$A$20000,G338,DATOS!$G$2:$G$20000,CONFIG_METADATA!$B$4,DATOS!$I$2:$I$20000,"Orquesta/Banda/Conjunto"),"")))</f>
        <v/>
      </c>
      <c r="J338" t="str">
        <f>IF(G338="","",IF(G338="[FÓRMULA MANUAL]","",IFERROR(AVERAGEIFS(DATOS!$K$2:$K$20000,DATOS!$A$2:$A$20000,G338,DATOS!$G$2:$G$20000,CONFIG_METADATA!$B$4,DATOS!$I$2:$I$20000,"Conjunto"),"")))</f>
        <v/>
      </c>
      <c r="K338" t="str">
        <f>IF(G338="","",IF(G338="[FÓRMULA MANUAL]","",IFERROR(SUMPRODUCT((DATOS!$A$2:$A$20000=G338)*(DATOS!$G$2:$G$20000=CONFIG_METADATA!$B$4)*(COUNTIF(CONFIG_ASIGNATURAS!$B$7:$B$27,DATOS!$I$2:$I$20000)&gt;0)*(DATOS!$K$2:$K$20000))/SUMPRODUCT((DATOS!$A$2:$A$20000=G338)*(DATOS!$G$2:$G$20000=CONFIG_METADATA!$B$4)*(COUNTIF(CONFIG_ASIGNATURAS!$B$7:$B$27,DATOS!$I$2:$I$20000)&gt;0)*1),"")))</f>
        <v/>
      </c>
      <c r="N338" t="str">
        <f>IF(M338="","",IF(M338="[FÓRMULA MANUAL]","",IFERROR(AVERAGEIFS(DATOS!$K$2:$K$20000,DATOS!$A$2:$A$20000,M338,DATOS!$G$2:$G$20000,CONFIG_METADATA!$B$4,DATOS!$I$2:$I$20000,"Armonía"),"")))</f>
        <v/>
      </c>
      <c r="O338" t="str">
        <f>IF(M338="","",IF(M338="[FÓRMULA MANUAL]","",IFERROR(AVERAGEIFS(DATOS!$K$2:$K$20000,DATOS!$A$2:$A$20000,M338,DATOS!$G$2:$G$20000,CONFIG_METADATA!$B$4,DATOS!$I$2:$I$20000,"Orquesta/Banda/Conjunto"),"")))</f>
        <v/>
      </c>
      <c r="P338" t="str">
        <f>IF(M338="","",IF(M338="[FÓRMULA MANUAL]","",IFERROR(AVERAGEIFS(DATOS!$K$2:$K$20000,DATOS!$A$2:$A$20000,M338,DATOS!$G$2:$G$20000,CONFIG_METADATA!$B$4,DATOS!$I$2:$I$20000,"Música de Cámara"),"")))</f>
        <v/>
      </c>
      <c r="Q338" t="str">
        <f>IF(M338="","",IF(M338="[FÓRMULA MANUAL]","",IFERROR(SUMPRODUCT((DATOS!$A$2:$A$20000=M338)*(DATOS!$G$2:$G$20000=CONFIG_METADATA!$B$4)*(COUNTIF(CONFIG_ASIGNATURAS!$B$7:$B$27,DATOS!$I$2:$I$20000)&gt;0)*(DATOS!$K$2:$K$20000))/SUMPRODUCT((DATOS!$A$2:$A$20000=M338)*(DATOS!$G$2:$G$20000=CONFIG_METADATA!$B$4)*(COUNTIF(CONFIG_ASIGNATURAS!$B$7:$B$27,DATOS!$I$2:$I$20000)&gt;0)*1),"")))</f>
        <v/>
      </c>
      <c r="T338" t="str">
        <f>IF(S338="","",IF(S338="[FÓRMULA MANUAL]","",IFERROR(AVERAGEIFS(DATOS!$K$2:$K$20000,DATOS!$A$2:$A$20000,S338,DATOS!$G$2:$G$20000,CONFIG_METADATA!$B$4,DATOS!$I$2:$I$20000,"Armonía"),"")))</f>
        <v/>
      </c>
      <c r="U338" t="str">
        <f>IF(S338="","",IF(S338="[FÓRMULA MANUAL]","",IFERROR(AVERAGEIFS(DATOS!$K$2:$K$20000,DATOS!$A$2:$A$20000,S338,DATOS!$G$2:$G$20000,CONFIG_METADATA!$B$4,DATOS!$I$2:$I$20000,"Orquesta/Banda/Conjunto"),"")))</f>
        <v/>
      </c>
      <c r="V338" t="str">
        <f>IF(S338="","",IF(S338="[FÓRMULA MANUAL]","",IFERROR(AVERAGEIFS(DATOS!$K$2:$K$20000,DATOS!$A$2:$A$20000,S338,DATOS!$G$2:$G$20000,CONFIG_METADATA!$B$4,DATOS!$I$2:$I$20000,"Música de Cámara"),"")))</f>
        <v/>
      </c>
      <c r="W338" t="str">
        <f>IF(S338="","",IF(S338="[FÓRMULA MANUAL]","",IFERROR(SUMPRODUCT((DATOS!$A$2:$A$20000=S338)*(DATOS!$G$2:$G$20000=CONFIG_METADATA!$B$4)*(COUNTIF(CONFIG_ASIGNATURAS!$B$7:$B$27,DATOS!$I$2:$I$20000)&gt;0)*(DATOS!$K$2:$K$20000))/SUMPRODUCT((DATOS!$A$2:$A$20000=S338)*(DATOS!$G$2:$G$20000=CONFIG_METADATA!$B$4)*(COUNTIF(CONFIG_ASIGNATURAS!$B$7:$B$27,DATOS!$I$2:$I$20000)&gt;0)*1),"")))</f>
        <v/>
      </c>
      <c r="Z338" t="str">
        <f>IF(Y338="","",IF(Y338="[FÓRMULA MANUAL]","",IFERROR(AVERAGEIFS(DATOS!$K$2:$K$20000,DATOS!$A$2:$A$20000,Y338,DATOS!$G$2:$G$20000,CONFIG_METADATA!$B$4,DATOS!$I$2:$I$20000,"Análisis"),"")))</f>
        <v/>
      </c>
      <c r="AA338" t="str">
        <f>IF(Y338="","",IF(Y338="[FÓRMULA MANUAL]","",IFERROR(AVERAGEIFS(DATOS!$K$2:$K$20000,DATOS!$A$2:$A$20000,Y338,DATOS!$G$2:$G$20000,CONFIG_METADATA!$B$4,DATOS!$I$2:$I$20000,"Orquesta/Banda/Conjunto"),"")))</f>
        <v/>
      </c>
      <c r="AB338" t="str">
        <f>IF(Y338="","",IF(Y338="[FÓRMULA MANUAL]","",IFERROR(AVERAGEIFS(DATOS!$K$2:$K$20000,DATOS!$A$2:$A$20000,Y338,DATOS!$G$2:$G$20000,CONFIG_METADATA!$B$4,DATOS!$I$2:$I$20000,"Música de Cámara"),"")))</f>
        <v/>
      </c>
      <c r="AC338" t="str">
        <f>IF(Y338="","",IF(Y338="[FÓRMULA MANUAL]","",IFERROR(SUMPRODUCT((DATOS!$A$2:$A$20000=Y338)*(DATOS!$G$2:$G$20000=CONFIG_METADATA!$B$4)*(COUNTIF(CONFIG_ASIGNATURAS!$B$7:$B$27,DATOS!$I$2:$I$20000)&gt;0)*(DATOS!$K$2:$K$20000))/SUMPRODUCT((DATOS!$A$2:$A$20000=Y338)*(DATOS!$G$2:$G$20000=CONFIG_METADATA!$B$4)*(COUNTIF(CONFIG_ASIGNATURAS!$B$7:$B$27,DATOS!$I$2:$I$20000)&gt;0)*1),"")))</f>
        <v/>
      </c>
      <c r="AF338" t="str">
        <f>IF(AE338="","",IF(AE338="[FÓRMULA MANUAL]","",IFERROR(AVERAGEIFS(DATOS!$K$2:$K$20000,DATOS!$A$2:$A$20000,AE338,DATOS!$G$2:$G$20000,CONFIG_METADATA!$B$4,DATOS!$I$2:$I$20000,"Análisis"),"")))</f>
        <v/>
      </c>
      <c r="AG338" t="str">
        <f>IF(AE338="","",IF(AE338="[FÓRMULA MANUAL]","",IFERROR(AVERAGEIFS(DATOS!$K$2:$K$20000,DATOS!$A$2:$A$20000,AE338,DATOS!$G$2:$G$20000,CONFIG_METADATA!$B$4,DATOS!$I$2:$I$20000,"Orquesta/Banda/Conjunto"),"")))</f>
        <v/>
      </c>
      <c r="AH338" t="str">
        <f>IF(AE338="","",IF(AE338="[FÓRMULA MANUAL]","",IFERROR(AVERAGEIFS(DATOS!$K$2:$K$20000,DATOS!$A$2:$A$20000,AE338,DATOS!$G$2:$G$20000,CONFIG_METADATA!$B$4,DATOS!$I$2:$I$20000,"Música de Cámara"),"")))</f>
        <v/>
      </c>
      <c r="AI338" t="str">
        <f>IF(AE338="","",IF(AE338="[FÓRMULA MANUAL]","",IFERROR(SUMPRODUCT((DATOS!$A$2:$A$20000=AE338)*(DATOS!$G$2:$G$20000=CONFIG_METADATA!$B$4)*(COUNTIF(CONFIG_ASIGNATURAS!$B$7:$B$27,DATOS!$I$2:$I$20000)&gt;0)*(DATOS!$K$2:$K$20000))/SUMPRODUCT((DATOS!$A$2:$A$20000=AE338)*(DATOS!$G$2:$G$20000=CONFIG_METADATA!$B$4)*(COUNTIF(CONFIG_ASIGNATURAS!$B$7:$B$27,DATOS!$I$2:$I$20000)&gt;0)*1),"")))</f>
        <v/>
      </c>
    </row>
    <row r="339" spans="2:35" x14ac:dyDescent="0.2">
      <c r="B339" t="str">
        <f>IF(A339="","",IF(A339="[FÓRMULA MANUAL]","",IFERROR(AVERAGEIFS(DATOS!$K$2:$K$20000,DATOS!$A$2:$A$20000,A339,DATOS!$G$2:$G$20000,CONFIG_METADATA!$B$4,DATOS!$I$2:$I$20000,"Lenguaje Musical"),"")))</f>
        <v/>
      </c>
      <c r="C339" t="str">
        <f>IF(A339="","",IF(A339="[FÓRMULA MANUAL]","",IFERROR(AVERAGEIFS(DATOS!$K$2:$K$20000,DATOS!$A$2:$A$20000,A339,DATOS!$G$2:$G$20000,CONFIG_METADATA!$B$4,DATOS!$I$2:$I$20000,"Orquesta/Banda/Conjunto"),"")))</f>
        <v/>
      </c>
      <c r="D339" t="str">
        <f>IF(A339="","",IF(A339="[FÓRMULA MANUAL]","",IFERROR(AVERAGEIFS(DATOS!$K$2:$K$20000,DATOS!$A$2:$A$20000,A339,DATOS!$G$2:$G$20000,CONFIG_METADATA!$B$4,DATOS!$I$2:$I$20000,"Conjunto"),"")))</f>
        <v/>
      </c>
      <c r="E339" t="str">
        <f>IF(A339="","",IF(A339="[FÓRMULA MANUAL]","",IFERROR(SUMPRODUCT((DATOS!$A$2:$A$20000=A339)*(DATOS!$G$2:$G$20000=CONFIG_METADATA!$B$4)*(COUNTIF(CONFIG_ASIGNATURAS!$B$7:$B$27,DATOS!$I$2:$I$20000)&gt;0)*(DATOS!$K$2:$K$20000))/SUMPRODUCT((DATOS!$A$2:$A$20000=A339)*(DATOS!$G$2:$G$20000=CONFIG_METADATA!$B$4)*(COUNTIF(CONFIG_ASIGNATURAS!$B$7:$B$27,DATOS!$I$2:$I$20000)&gt;0)*1),"")))</f>
        <v/>
      </c>
      <c r="H339" t="str">
        <f>IF(G339="","",IF(G339="[FÓRMULA MANUAL]","",IFERROR(AVERAGEIFS(DATOS!$K$2:$K$20000,DATOS!$A$2:$A$20000,G339,DATOS!$G$2:$G$20000,CONFIG_METADATA!$B$4,DATOS!$I$2:$I$20000,"Lenguaje Musical"),"")))</f>
        <v/>
      </c>
      <c r="I339" t="str">
        <f>IF(G339="","",IF(G339="[FÓRMULA MANUAL]","",IFERROR(AVERAGEIFS(DATOS!$K$2:$K$20000,DATOS!$A$2:$A$20000,G339,DATOS!$G$2:$G$20000,CONFIG_METADATA!$B$4,DATOS!$I$2:$I$20000,"Orquesta/Banda/Conjunto"),"")))</f>
        <v/>
      </c>
      <c r="J339" t="str">
        <f>IF(G339="","",IF(G339="[FÓRMULA MANUAL]","",IFERROR(AVERAGEIFS(DATOS!$K$2:$K$20000,DATOS!$A$2:$A$20000,G339,DATOS!$G$2:$G$20000,CONFIG_METADATA!$B$4,DATOS!$I$2:$I$20000,"Conjunto"),"")))</f>
        <v/>
      </c>
      <c r="K339" t="str">
        <f>IF(G339="","",IF(G339="[FÓRMULA MANUAL]","",IFERROR(SUMPRODUCT((DATOS!$A$2:$A$20000=G339)*(DATOS!$G$2:$G$20000=CONFIG_METADATA!$B$4)*(COUNTIF(CONFIG_ASIGNATURAS!$B$7:$B$27,DATOS!$I$2:$I$20000)&gt;0)*(DATOS!$K$2:$K$20000))/SUMPRODUCT((DATOS!$A$2:$A$20000=G339)*(DATOS!$G$2:$G$20000=CONFIG_METADATA!$B$4)*(COUNTIF(CONFIG_ASIGNATURAS!$B$7:$B$27,DATOS!$I$2:$I$20000)&gt;0)*1),"")))</f>
        <v/>
      </c>
      <c r="N339" t="str">
        <f>IF(M339="","",IF(M339="[FÓRMULA MANUAL]","",IFERROR(AVERAGEIFS(DATOS!$K$2:$K$20000,DATOS!$A$2:$A$20000,M339,DATOS!$G$2:$G$20000,CONFIG_METADATA!$B$4,DATOS!$I$2:$I$20000,"Armonía"),"")))</f>
        <v/>
      </c>
      <c r="O339" t="str">
        <f>IF(M339="","",IF(M339="[FÓRMULA MANUAL]","",IFERROR(AVERAGEIFS(DATOS!$K$2:$K$20000,DATOS!$A$2:$A$20000,M339,DATOS!$G$2:$G$20000,CONFIG_METADATA!$B$4,DATOS!$I$2:$I$20000,"Orquesta/Banda/Conjunto"),"")))</f>
        <v/>
      </c>
      <c r="P339" t="str">
        <f>IF(M339="","",IF(M339="[FÓRMULA MANUAL]","",IFERROR(AVERAGEIFS(DATOS!$K$2:$K$20000,DATOS!$A$2:$A$20000,M339,DATOS!$G$2:$G$20000,CONFIG_METADATA!$B$4,DATOS!$I$2:$I$20000,"Música de Cámara"),"")))</f>
        <v/>
      </c>
      <c r="Q339" t="str">
        <f>IF(M339="","",IF(M339="[FÓRMULA MANUAL]","",IFERROR(SUMPRODUCT((DATOS!$A$2:$A$20000=M339)*(DATOS!$G$2:$G$20000=CONFIG_METADATA!$B$4)*(COUNTIF(CONFIG_ASIGNATURAS!$B$7:$B$27,DATOS!$I$2:$I$20000)&gt;0)*(DATOS!$K$2:$K$20000))/SUMPRODUCT((DATOS!$A$2:$A$20000=M339)*(DATOS!$G$2:$G$20000=CONFIG_METADATA!$B$4)*(COUNTIF(CONFIG_ASIGNATURAS!$B$7:$B$27,DATOS!$I$2:$I$20000)&gt;0)*1),"")))</f>
        <v/>
      </c>
      <c r="T339" t="str">
        <f>IF(S339="","",IF(S339="[FÓRMULA MANUAL]","",IFERROR(AVERAGEIFS(DATOS!$K$2:$K$20000,DATOS!$A$2:$A$20000,S339,DATOS!$G$2:$G$20000,CONFIG_METADATA!$B$4,DATOS!$I$2:$I$20000,"Armonía"),"")))</f>
        <v/>
      </c>
      <c r="U339" t="str">
        <f>IF(S339="","",IF(S339="[FÓRMULA MANUAL]","",IFERROR(AVERAGEIFS(DATOS!$K$2:$K$20000,DATOS!$A$2:$A$20000,S339,DATOS!$G$2:$G$20000,CONFIG_METADATA!$B$4,DATOS!$I$2:$I$20000,"Orquesta/Banda/Conjunto"),"")))</f>
        <v/>
      </c>
      <c r="V339" t="str">
        <f>IF(S339="","",IF(S339="[FÓRMULA MANUAL]","",IFERROR(AVERAGEIFS(DATOS!$K$2:$K$20000,DATOS!$A$2:$A$20000,S339,DATOS!$G$2:$G$20000,CONFIG_METADATA!$B$4,DATOS!$I$2:$I$20000,"Música de Cámara"),"")))</f>
        <v/>
      </c>
      <c r="W339" t="str">
        <f>IF(S339="","",IF(S339="[FÓRMULA MANUAL]","",IFERROR(SUMPRODUCT((DATOS!$A$2:$A$20000=S339)*(DATOS!$G$2:$G$20000=CONFIG_METADATA!$B$4)*(COUNTIF(CONFIG_ASIGNATURAS!$B$7:$B$27,DATOS!$I$2:$I$20000)&gt;0)*(DATOS!$K$2:$K$20000))/SUMPRODUCT((DATOS!$A$2:$A$20000=S339)*(DATOS!$G$2:$G$20000=CONFIG_METADATA!$B$4)*(COUNTIF(CONFIG_ASIGNATURAS!$B$7:$B$27,DATOS!$I$2:$I$20000)&gt;0)*1),"")))</f>
        <v/>
      </c>
      <c r="Z339" t="str">
        <f>IF(Y339="","",IF(Y339="[FÓRMULA MANUAL]","",IFERROR(AVERAGEIFS(DATOS!$K$2:$K$20000,DATOS!$A$2:$A$20000,Y339,DATOS!$G$2:$G$20000,CONFIG_METADATA!$B$4,DATOS!$I$2:$I$20000,"Análisis"),"")))</f>
        <v/>
      </c>
      <c r="AA339" t="str">
        <f>IF(Y339="","",IF(Y339="[FÓRMULA MANUAL]","",IFERROR(AVERAGEIFS(DATOS!$K$2:$K$20000,DATOS!$A$2:$A$20000,Y339,DATOS!$G$2:$G$20000,CONFIG_METADATA!$B$4,DATOS!$I$2:$I$20000,"Orquesta/Banda/Conjunto"),"")))</f>
        <v/>
      </c>
      <c r="AB339" t="str">
        <f>IF(Y339="","",IF(Y339="[FÓRMULA MANUAL]","",IFERROR(AVERAGEIFS(DATOS!$K$2:$K$20000,DATOS!$A$2:$A$20000,Y339,DATOS!$G$2:$G$20000,CONFIG_METADATA!$B$4,DATOS!$I$2:$I$20000,"Música de Cámara"),"")))</f>
        <v/>
      </c>
      <c r="AC339" t="str">
        <f>IF(Y339="","",IF(Y339="[FÓRMULA MANUAL]","",IFERROR(SUMPRODUCT((DATOS!$A$2:$A$20000=Y339)*(DATOS!$G$2:$G$20000=CONFIG_METADATA!$B$4)*(COUNTIF(CONFIG_ASIGNATURAS!$B$7:$B$27,DATOS!$I$2:$I$20000)&gt;0)*(DATOS!$K$2:$K$20000))/SUMPRODUCT((DATOS!$A$2:$A$20000=Y339)*(DATOS!$G$2:$G$20000=CONFIG_METADATA!$B$4)*(COUNTIF(CONFIG_ASIGNATURAS!$B$7:$B$27,DATOS!$I$2:$I$20000)&gt;0)*1),"")))</f>
        <v/>
      </c>
      <c r="AF339" t="str">
        <f>IF(AE339="","",IF(AE339="[FÓRMULA MANUAL]","",IFERROR(AVERAGEIFS(DATOS!$K$2:$K$20000,DATOS!$A$2:$A$20000,AE339,DATOS!$G$2:$G$20000,CONFIG_METADATA!$B$4,DATOS!$I$2:$I$20000,"Análisis"),"")))</f>
        <v/>
      </c>
      <c r="AG339" t="str">
        <f>IF(AE339="","",IF(AE339="[FÓRMULA MANUAL]","",IFERROR(AVERAGEIFS(DATOS!$K$2:$K$20000,DATOS!$A$2:$A$20000,AE339,DATOS!$G$2:$G$20000,CONFIG_METADATA!$B$4,DATOS!$I$2:$I$20000,"Orquesta/Banda/Conjunto"),"")))</f>
        <v/>
      </c>
      <c r="AH339" t="str">
        <f>IF(AE339="","",IF(AE339="[FÓRMULA MANUAL]","",IFERROR(AVERAGEIFS(DATOS!$K$2:$K$20000,DATOS!$A$2:$A$20000,AE339,DATOS!$G$2:$G$20000,CONFIG_METADATA!$B$4,DATOS!$I$2:$I$20000,"Música de Cámara"),"")))</f>
        <v/>
      </c>
      <c r="AI339" t="str">
        <f>IF(AE339="","",IF(AE339="[FÓRMULA MANUAL]","",IFERROR(SUMPRODUCT((DATOS!$A$2:$A$20000=AE339)*(DATOS!$G$2:$G$20000=CONFIG_METADATA!$B$4)*(COUNTIF(CONFIG_ASIGNATURAS!$B$7:$B$27,DATOS!$I$2:$I$20000)&gt;0)*(DATOS!$K$2:$K$20000))/SUMPRODUCT((DATOS!$A$2:$A$20000=AE339)*(DATOS!$G$2:$G$20000=CONFIG_METADATA!$B$4)*(COUNTIF(CONFIG_ASIGNATURAS!$B$7:$B$27,DATOS!$I$2:$I$20000)&gt;0)*1),"")))</f>
        <v/>
      </c>
    </row>
    <row r="340" spans="2:35" x14ac:dyDescent="0.2">
      <c r="B340" t="str">
        <f>IF(A340="","",IF(A340="[FÓRMULA MANUAL]","",IFERROR(AVERAGEIFS(DATOS!$K$2:$K$20000,DATOS!$A$2:$A$20000,A340,DATOS!$G$2:$G$20000,CONFIG_METADATA!$B$4,DATOS!$I$2:$I$20000,"Lenguaje Musical"),"")))</f>
        <v/>
      </c>
      <c r="C340" t="str">
        <f>IF(A340="","",IF(A340="[FÓRMULA MANUAL]","",IFERROR(AVERAGEIFS(DATOS!$K$2:$K$20000,DATOS!$A$2:$A$20000,A340,DATOS!$G$2:$G$20000,CONFIG_METADATA!$B$4,DATOS!$I$2:$I$20000,"Orquesta/Banda/Conjunto"),"")))</f>
        <v/>
      </c>
      <c r="D340" t="str">
        <f>IF(A340="","",IF(A340="[FÓRMULA MANUAL]","",IFERROR(AVERAGEIFS(DATOS!$K$2:$K$20000,DATOS!$A$2:$A$20000,A340,DATOS!$G$2:$G$20000,CONFIG_METADATA!$B$4,DATOS!$I$2:$I$20000,"Conjunto"),"")))</f>
        <v/>
      </c>
      <c r="E340" t="str">
        <f>IF(A340="","",IF(A340="[FÓRMULA MANUAL]","",IFERROR(SUMPRODUCT((DATOS!$A$2:$A$20000=A340)*(DATOS!$G$2:$G$20000=CONFIG_METADATA!$B$4)*(COUNTIF(CONFIG_ASIGNATURAS!$B$7:$B$27,DATOS!$I$2:$I$20000)&gt;0)*(DATOS!$K$2:$K$20000))/SUMPRODUCT((DATOS!$A$2:$A$20000=A340)*(DATOS!$G$2:$G$20000=CONFIG_METADATA!$B$4)*(COUNTIF(CONFIG_ASIGNATURAS!$B$7:$B$27,DATOS!$I$2:$I$20000)&gt;0)*1),"")))</f>
        <v/>
      </c>
      <c r="H340" t="str">
        <f>IF(G340="","",IF(G340="[FÓRMULA MANUAL]","",IFERROR(AVERAGEIFS(DATOS!$K$2:$K$20000,DATOS!$A$2:$A$20000,G340,DATOS!$G$2:$G$20000,CONFIG_METADATA!$B$4,DATOS!$I$2:$I$20000,"Lenguaje Musical"),"")))</f>
        <v/>
      </c>
      <c r="I340" t="str">
        <f>IF(G340="","",IF(G340="[FÓRMULA MANUAL]","",IFERROR(AVERAGEIFS(DATOS!$K$2:$K$20000,DATOS!$A$2:$A$20000,G340,DATOS!$G$2:$G$20000,CONFIG_METADATA!$B$4,DATOS!$I$2:$I$20000,"Orquesta/Banda/Conjunto"),"")))</f>
        <v/>
      </c>
      <c r="J340" t="str">
        <f>IF(G340="","",IF(G340="[FÓRMULA MANUAL]","",IFERROR(AVERAGEIFS(DATOS!$K$2:$K$20000,DATOS!$A$2:$A$20000,G340,DATOS!$G$2:$G$20000,CONFIG_METADATA!$B$4,DATOS!$I$2:$I$20000,"Conjunto"),"")))</f>
        <v/>
      </c>
      <c r="K340" t="str">
        <f>IF(G340="","",IF(G340="[FÓRMULA MANUAL]","",IFERROR(SUMPRODUCT((DATOS!$A$2:$A$20000=G340)*(DATOS!$G$2:$G$20000=CONFIG_METADATA!$B$4)*(COUNTIF(CONFIG_ASIGNATURAS!$B$7:$B$27,DATOS!$I$2:$I$20000)&gt;0)*(DATOS!$K$2:$K$20000))/SUMPRODUCT((DATOS!$A$2:$A$20000=G340)*(DATOS!$G$2:$G$20000=CONFIG_METADATA!$B$4)*(COUNTIF(CONFIG_ASIGNATURAS!$B$7:$B$27,DATOS!$I$2:$I$20000)&gt;0)*1),"")))</f>
        <v/>
      </c>
      <c r="N340" t="str">
        <f>IF(M340="","",IF(M340="[FÓRMULA MANUAL]","",IFERROR(AVERAGEIFS(DATOS!$K$2:$K$20000,DATOS!$A$2:$A$20000,M340,DATOS!$G$2:$G$20000,CONFIG_METADATA!$B$4,DATOS!$I$2:$I$20000,"Armonía"),"")))</f>
        <v/>
      </c>
      <c r="O340" t="str">
        <f>IF(M340="","",IF(M340="[FÓRMULA MANUAL]","",IFERROR(AVERAGEIFS(DATOS!$K$2:$K$20000,DATOS!$A$2:$A$20000,M340,DATOS!$G$2:$G$20000,CONFIG_METADATA!$B$4,DATOS!$I$2:$I$20000,"Orquesta/Banda/Conjunto"),"")))</f>
        <v/>
      </c>
      <c r="P340" t="str">
        <f>IF(M340="","",IF(M340="[FÓRMULA MANUAL]","",IFERROR(AVERAGEIFS(DATOS!$K$2:$K$20000,DATOS!$A$2:$A$20000,M340,DATOS!$G$2:$G$20000,CONFIG_METADATA!$B$4,DATOS!$I$2:$I$20000,"Música de Cámara"),"")))</f>
        <v/>
      </c>
      <c r="Q340" t="str">
        <f>IF(M340="","",IF(M340="[FÓRMULA MANUAL]","",IFERROR(SUMPRODUCT((DATOS!$A$2:$A$20000=M340)*(DATOS!$G$2:$G$20000=CONFIG_METADATA!$B$4)*(COUNTIF(CONFIG_ASIGNATURAS!$B$7:$B$27,DATOS!$I$2:$I$20000)&gt;0)*(DATOS!$K$2:$K$20000))/SUMPRODUCT((DATOS!$A$2:$A$20000=M340)*(DATOS!$G$2:$G$20000=CONFIG_METADATA!$B$4)*(COUNTIF(CONFIG_ASIGNATURAS!$B$7:$B$27,DATOS!$I$2:$I$20000)&gt;0)*1),"")))</f>
        <v/>
      </c>
      <c r="T340" t="str">
        <f>IF(S340="","",IF(S340="[FÓRMULA MANUAL]","",IFERROR(AVERAGEIFS(DATOS!$K$2:$K$20000,DATOS!$A$2:$A$20000,S340,DATOS!$G$2:$G$20000,CONFIG_METADATA!$B$4,DATOS!$I$2:$I$20000,"Armonía"),"")))</f>
        <v/>
      </c>
      <c r="U340" t="str">
        <f>IF(S340="","",IF(S340="[FÓRMULA MANUAL]","",IFERROR(AVERAGEIFS(DATOS!$K$2:$K$20000,DATOS!$A$2:$A$20000,S340,DATOS!$G$2:$G$20000,CONFIG_METADATA!$B$4,DATOS!$I$2:$I$20000,"Orquesta/Banda/Conjunto"),"")))</f>
        <v/>
      </c>
      <c r="V340" t="str">
        <f>IF(S340="","",IF(S340="[FÓRMULA MANUAL]","",IFERROR(AVERAGEIFS(DATOS!$K$2:$K$20000,DATOS!$A$2:$A$20000,S340,DATOS!$G$2:$G$20000,CONFIG_METADATA!$B$4,DATOS!$I$2:$I$20000,"Música de Cámara"),"")))</f>
        <v/>
      </c>
      <c r="W340" t="str">
        <f>IF(S340="","",IF(S340="[FÓRMULA MANUAL]","",IFERROR(SUMPRODUCT((DATOS!$A$2:$A$20000=S340)*(DATOS!$G$2:$G$20000=CONFIG_METADATA!$B$4)*(COUNTIF(CONFIG_ASIGNATURAS!$B$7:$B$27,DATOS!$I$2:$I$20000)&gt;0)*(DATOS!$K$2:$K$20000))/SUMPRODUCT((DATOS!$A$2:$A$20000=S340)*(DATOS!$G$2:$G$20000=CONFIG_METADATA!$B$4)*(COUNTIF(CONFIG_ASIGNATURAS!$B$7:$B$27,DATOS!$I$2:$I$20000)&gt;0)*1),"")))</f>
        <v/>
      </c>
      <c r="Z340" t="str">
        <f>IF(Y340="","",IF(Y340="[FÓRMULA MANUAL]","",IFERROR(AVERAGEIFS(DATOS!$K$2:$K$20000,DATOS!$A$2:$A$20000,Y340,DATOS!$G$2:$G$20000,CONFIG_METADATA!$B$4,DATOS!$I$2:$I$20000,"Análisis"),"")))</f>
        <v/>
      </c>
      <c r="AA340" t="str">
        <f>IF(Y340="","",IF(Y340="[FÓRMULA MANUAL]","",IFERROR(AVERAGEIFS(DATOS!$K$2:$K$20000,DATOS!$A$2:$A$20000,Y340,DATOS!$G$2:$G$20000,CONFIG_METADATA!$B$4,DATOS!$I$2:$I$20000,"Orquesta/Banda/Conjunto"),"")))</f>
        <v/>
      </c>
      <c r="AB340" t="str">
        <f>IF(Y340="","",IF(Y340="[FÓRMULA MANUAL]","",IFERROR(AVERAGEIFS(DATOS!$K$2:$K$20000,DATOS!$A$2:$A$20000,Y340,DATOS!$G$2:$G$20000,CONFIG_METADATA!$B$4,DATOS!$I$2:$I$20000,"Música de Cámara"),"")))</f>
        <v/>
      </c>
      <c r="AC340" t="str">
        <f>IF(Y340="","",IF(Y340="[FÓRMULA MANUAL]","",IFERROR(SUMPRODUCT((DATOS!$A$2:$A$20000=Y340)*(DATOS!$G$2:$G$20000=CONFIG_METADATA!$B$4)*(COUNTIF(CONFIG_ASIGNATURAS!$B$7:$B$27,DATOS!$I$2:$I$20000)&gt;0)*(DATOS!$K$2:$K$20000))/SUMPRODUCT((DATOS!$A$2:$A$20000=Y340)*(DATOS!$G$2:$G$20000=CONFIG_METADATA!$B$4)*(COUNTIF(CONFIG_ASIGNATURAS!$B$7:$B$27,DATOS!$I$2:$I$20000)&gt;0)*1),"")))</f>
        <v/>
      </c>
      <c r="AF340" t="str">
        <f>IF(AE340="","",IF(AE340="[FÓRMULA MANUAL]","",IFERROR(AVERAGEIFS(DATOS!$K$2:$K$20000,DATOS!$A$2:$A$20000,AE340,DATOS!$G$2:$G$20000,CONFIG_METADATA!$B$4,DATOS!$I$2:$I$20000,"Análisis"),"")))</f>
        <v/>
      </c>
      <c r="AG340" t="str">
        <f>IF(AE340="","",IF(AE340="[FÓRMULA MANUAL]","",IFERROR(AVERAGEIFS(DATOS!$K$2:$K$20000,DATOS!$A$2:$A$20000,AE340,DATOS!$G$2:$G$20000,CONFIG_METADATA!$B$4,DATOS!$I$2:$I$20000,"Orquesta/Banda/Conjunto"),"")))</f>
        <v/>
      </c>
      <c r="AH340" t="str">
        <f>IF(AE340="","",IF(AE340="[FÓRMULA MANUAL]","",IFERROR(AVERAGEIFS(DATOS!$K$2:$K$20000,DATOS!$A$2:$A$20000,AE340,DATOS!$G$2:$G$20000,CONFIG_METADATA!$B$4,DATOS!$I$2:$I$20000,"Música de Cámara"),"")))</f>
        <v/>
      </c>
      <c r="AI340" t="str">
        <f>IF(AE340="","",IF(AE340="[FÓRMULA MANUAL]","",IFERROR(SUMPRODUCT((DATOS!$A$2:$A$20000=AE340)*(DATOS!$G$2:$G$20000=CONFIG_METADATA!$B$4)*(COUNTIF(CONFIG_ASIGNATURAS!$B$7:$B$27,DATOS!$I$2:$I$20000)&gt;0)*(DATOS!$K$2:$K$20000))/SUMPRODUCT((DATOS!$A$2:$A$20000=AE340)*(DATOS!$G$2:$G$20000=CONFIG_METADATA!$B$4)*(COUNTIF(CONFIG_ASIGNATURAS!$B$7:$B$27,DATOS!$I$2:$I$20000)&gt;0)*1),"")))</f>
        <v/>
      </c>
    </row>
    <row r="341" spans="2:35" x14ac:dyDescent="0.2">
      <c r="B341" t="str">
        <f>IF(A341="","",IF(A341="[FÓRMULA MANUAL]","",IFERROR(AVERAGEIFS(DATOS!$K$2:$K$20000,DATOS!$A$2:$A$20000,A341,DATOS!$G$2:$G$20000,CONFIG_METADATA!$B$4,DATOS!$I$2:$I$20000,"Lenguaje Musical"),"")))</f>
        <v/>
      </c>
      <c r="C341" t="str">
        <f>IF(A341="","",IF(A341="[FÓRMULA MANUAL]","",IFERROR(AVERAGEIFS(DATOS!$K$2:$K$20000,DATOS!$A$2:$A$20000,A341,DATOS!$G$2:$G$20000,CONFIG_METADATA!$B$4,DATOS!$I$2:$I$20000,"Orquesta/Banda/Conjunto"),"")))</f>
        <v/>
      </c>
      <c r="D341" t="str">
        <f>IF(A341="","",IF(A341="[FÓRMULA MANUAL]","",IFERROR(AVERAGEIFS(DATOS!$K$2:$K$20000,DATOS!$A$2:$A$20000,A341,DATOS!$G$2:$G$20000,CONFIG_METADATA!$B$4,DATOS!$I$2:$I$20000,"Conjunto"),"")))</f>
        <v/>
      </c>
      <c r="E341" t="str">
        <f>IF(A341="","",IF(A341="[FÓRMULA MANUAL]","",IFERROR(SUMPRODUCT((DATOS!$A$2:$A$20000=A341)*(DATOS!$G$2:$G$20000=CONFIG_METADATA!$B$4)*(COUNTIF(CONFIG_ASIGNATURAS!$B$7:$B$27,DATOS!$I$2:$I$20000)&gt;0)*(DATOS!$K$2:$K$20000))/SUMPRODUCT((DATOS!$A$2:$A$20000=A341)*(DATOS!$G$2:$G$20000=CONFIG_METADATA!$B$4)*(COUNTIF(CONFIG_ASIGNATURAS!$B$7:$B$27,DATOS!$I$2:$I$20000)&gt;0)*1),"")))</f>
        <v/>
      </c>
      <c r="H341" t="str">
        <f>IF(G341="","",IF(G341="[FÓRMULA MANUAL]","",IFERROR(AVERAGEIFS(DATOS!$K$2:$K$20000,DATOS!$A$2:$A$20000,G341,DATOS!$G$2:$G$20000,CONFIG_METADATA!$B$4,DATOS!$I$2:$I$20000,"Lenguaje Musical"),"")))</f>
        <v/>
      </c>
      <c r="I341" t="str">
        <f>IF(G341="","",IF(G341="[FÓRMULA MANUAL]","",IFERROR(AVERAGEIFS(DATOS!$K$2:$K$20000,DATOS!$A$2:$A$20000,G341,DATOS!$G$2:$G$20000,CONFIG_METADATA!$B$4,DATOS!$I$2:$I$20000,"Orquesta/Banda/Conjunto"),"")))</f>
        <v/>
      </c>
      <c r="J341" t="str">
        <f>IF(G341="","",IF(G341="[FÓRMULA MANUAL]","",IFERROR(AVERAGEIFS(DATOS!$K$2:$K$20000,DATOS!$A$2:$A$20000,G341,DATOS!$G$2:$G$20000,CONFIG_METADATA!$B$4,DATOS!$I$2:$I$20000,"Conjunto"),"")))</f>
        <v/>
      </c>
      <c r="K341" t="str">
        <f>IF(G341="","",IF(G341="[FÓRMULA MANUAL]","",IFERROR(SUMPRODUCT((DATOS!$A$2:$A$20000=G341)*(DATOS!$G$2:$G$20000=CONFIG_METADATA!$B$4)*(COUNTIF(CONFIG_ASIGNATURAS!$B$7:$B$27,DATOS!$I$2:$I$20000)&gt;0)*(DATOS!$K$2:$K$20000))/SUMPRODUCT((DATOS!$A$2:$A$20000=G341)*(DATOS!$G$2:$G$20000=CONFIG_METADATA!$B$4)*(COUNTIF(CONFIG_ASIGNATURAS!$B$7:$B$27,DATOS!$I$2:$I$20000)&gt;0)*1),"")))</f>
        <v/>
      </c>
      <c r="N341" t="str">
        <f>IF(M341="","",IF(M341="[FÓRMULA MANUAL]","",IFERROR(AVERAGEIFS(DATOS!$K$2:$K$20000,DATOS!$A$2:$A$20000,M341,DATOS!$G$2:$G$20000,CONFIG_METADATA!$B$4,DATOS!$I$2:$I$20000,"Armonía"),"")))</f>
        <v/>
      </c>
      <c r="O341" t="str">
        <f>IF(M341="","",IF(M341="[FÓRMULA MANUAL]","",IFERROR(AVERAGEIFS(DATOS!$K$2:$K$20000,DATOS!$A$2:$A$20000,M341,DATOS!$G$2:$G$20000,CONFIG_METADATA!$B$4,DATOS!$I$2:$I$20000,"Orquesta/Banda/Conjunto"),"")))</f>
        <v/>
      </c>
      <c r="P341" t="str">
        <f>IF(M341="","",IF(M341="[FÓRMULA MANUAL]","",IFERROR(AVERAGEIFS(DATOS!$K$2:$K$20000,DATOS!$A$2:$A$20000,M341,DATOS!$G$2:$G$20000,CONFIG_METADATA!$B$4,DATOS!$I$2:$I$20000,"Música de Cámara"),"")))</f>
        <v/>
      </c>
      <c r="Q341" t="str">
        <f>IF(M341="","",IF(M341="[FÓRMULA MANUAL]","",IFERROR(SUMPRODUCT((DATOS!$A$2:$A$20000=M341)*(DATOS!$G$2:$G$20000=CONFIG_METADATA!$B$4)*(COUNTIF(CONFIG_ASIGNATURAS!$B$7:$B$27,DATOS!$I$2:$I$20000)&gt;0)*(DATOS!$K$2:$K$20000))/SUMPRODUCT((DATOS!$A$2:$A$20000=M341)*(DATOS!$G$2:$G$20000=CONFIG_METADATA!$B$4)*(COUNTIF(CONFIG_ASIGNATURAS!$B$7:$B$27,DATOS!$I$2:$I$20000)&gt;0)*1),"")))</f>
        <v/>
      </c>
      <c r="T341" t="str">
        <f>IF(S341="","",IF(S341="[FÓRMULA MANUAL]","",IFERROR(AVERAGEIFS(DATOS!$K$2:$K$20000,DATOS!$A$2:$A$20000,S341,DATOS!$G$2:$G$20000,CONFIG_METADATA!$B$4,DATOS!$I$2:$I$20000,"Armonía"),"")))</f>
        <v/>
      </c>
      <c r="U341" t="str">
        <f>IF(S341="","",IF(S341="[FÓRMULA MANUAL]","",IFERROR(AVERAGEIFS(DATOS!$K$2:$K$20000,DATOS!$A$2:$A$20000,S341,DATOS!$G$2:$G$20000,CONFIG_METADATA!$B$4,DATOS!$I$2:$I$20000,"Orquesta/Banda/Conjunto"),"")))</f>
        <v/>
      </c>
      <c r="V341" t="str">
        <f>IF(S341="","",IF(S341="[FÓRMULA MANUAL]","",IFERROR(AVERAGEIFS(DATOS!$K$2:$K$20000,DATOS!$A$2:$A$20000,S341,DATOS!$G$2:$G$20000,CONFIG_METADATA!$B$4,DATOS!$I$2:$I$20000,"Música de Cámara"),"")))</f>
        <v/>
      </c>
      <c r="W341" t="str">
        <f>IF(S341="","",IF(S341="[FÓRMULA MANUAL]","",IFERROR(SUMPRODUCT((DATOS!$A$2:$A$20000=S341)*(DATOS!$G$2:$G$20000=CONFIG_METADATA!$B$4)*(COUNTIF(CONFIG_ASIGNATURAS!$B$7:$B$27,DATOS!$I$2:$I$20000)&gt;0)*(DATOS!$K$2:$K$20000))/SUMPRODUCT((DATOS!$A$2:$A$20000=S341)*(DATOS!$G$2:$G$20000=CONFIG_METADATA!$B$4)*(COUNTIF(CONFIG_ASIGNATURAS!$B$7:$B$27,DATOS!$I$2:$I$20000)&gt;0)*1),"")))</f>
        <v/>
      </c>
      <c r="Z341" t="str">
        <f>IF(Y341="","",IF(Y341="[FÓRMULA MANUAL]","",IFERROR(AVERAGEIFS(DATOS!$K$2:$K$20000,DATOS!$A$2:$A$20000,Y341,DATOS!$G$2:$G$20000,CONFIG_METADATA!$B$4,DATOS!$I$2:$I$20000,"Análisis"),"")))</f>
        <v/>
      </c>
      <c r="AA341" t="str">
        <f>IF(Y341="","",IF(Y341="[FÓRMULA MANUAL]","",IFERROR(AVERAGEIFS(DATOS!$K$2:$K$20000,DATOS!$A$2:$A$20000,Y341,DATOS!$G$2:$G$20000,CONFIG_METADATA!$B$4,DATOS!$I$2:$I$20000,"Orquesta/Banda/Conjunto"),"")))</f>
        <v/>
      </c>
      <c r="AB341" t="str">
        <f>IF(Y341="","",IF(Y341="[FÓRMULA MANUAL]","",IFERROR(AVERAGEIFS(DATOS!$K$2:$K$20000,DATOS!$A$2:$A$20000,Y341,DATOS!$G$2:$G$20000,CONFIG_METADATA!$B$4,DATOS!$I$2:$I$20000,"Música de Cámara"),"")))</f>
        <v/>
      </c>
      <c r="AC341" t="str">
        <f>IF(Y341="","",IF(Y341="[FÓRMULA MANUAL]","",IFERROR(SUMPRODUCT((DATOS!$A$2:$A$20000=Y341)*(DATOS!$G$2:$G$20000=CONFIG_METADATA!$B$4)*(COUNTIF(CONFIG_ASIGNATURAS!$B$7:$B$27,DATOS!$I$2:$I$20000)&gt;0)*(DATOS!$K$2:$K$20000))/SUMPRODUCT((DATOS!$A$2:$A$20000=Y341)*(DATOS!$G$2:$G$20000=CONFIG_METADATA!$B$4)*(COUNTIF(CONFIG_ASIGNATURAS!$B$7:$B$27,DATOS!$I$2:$I$20000)&gt;0)*1),"")))</f>
        <v/>
      </c>
      <c r="AF341" t="str">
        <f>IF(AE341="","",IF(AE341="[FÓRMULA MANUAL]","",IFERROR(AVERAGEIFS(DATOS!$K$2:$K$20000,DATOS!$A$2:$A$20000,AE341,DATOS!$G$2:$G$20000,CONFIG_METADATA!$B$4,DATOS!$I$2:$I$20000,"Análisis"),"")))</f>
        <v/>
      </c>
      <c r="AG341" t="str">
        <f>IF(AE341="","",IF(AE341="[FÓRMULA MANUAL]","",IFERROR(AVERAGEIFS(DATOS!$K$2:$K$20000,DATOS!$A$2:$A$20000,AE341,DATOS!$G$2:$G$20000,CONFIG_METADATA!$B$4,DATOS!$I$2:$I$20000,"Orquesta/Banda/Conjunto"),"")))</f>
        <v/>
      </c>
      <c r="AH341" t="str">
        <f>IF(AE341="","",IF(AE341="[FÓRMULA MANUAL]","",IFERROR(AVERAGEIFS(DATOS!$K$2:$K$20000,DATOS!$A$2:$A$20000,AE341,DATOS!$G$2:$G$20000,CONFIG_METADATA!$B$4,DATOS!$I$2:$I$20000,"Música de Cámara"),"")))</f>
        <v/>
      </c>
      <c r="AI341" t="str">
        <f>IF(AE341="","",IF(AE341="[FÓRMULA MANUAL]","",IFERROR(SUMPRODUCT((DATOS!$A$2:$A$20000=AE341)*(DATOS!$G$2:$G$20000=CONFIG_METADATA!$B$4)*(COUNTIF(CONFIG_ASIGNATURAS!$B$7:$B$27,DATOS!$I$2:$I$20000)&gt;0)*(DATOS!$K$2:$K$20000))/SUMPRODUCT((DATOS!$A$2:$A$20000=AE341)*(DATOS!$G$2:$G$20000=CONFIG_METADATA!$B$4)*(COUNTIF(CONFIG_ASIGNATURAS!$B$7:$B$27,DATOS!$I$2:$I$20000)&gt;0)*1),"")))</f>
        <v/>
      </c>
    </row>
    <row r="342" spans="2:35" x14ac:dyDescent="0.2">
      <c r="B342" t="str">
        <f>IF(A342="","",IF(A342="[FÓRMULA MANUAL]","",IFERROR(AVERAGEIFS(DATOS!$K$2:$K$20000,DATOS!$A$2:$A$20000,A342,DATOS!$G$2:$G$20000,CONFIG_METADATA!$B$4,DATOS!$I$2:$I$20000,"Lenguaje Musical"),"")))</f>
        <v/>
      </c>
      <c r="C342" t="str">
        <f>IF(A342="","",IF(A342="[FÓRMULA MANUAL]","",IFERROR(AVERAGEIFS(DATOS!$K$2:$K$20000,DATOS!$A$2:$A$20000,A342,DATOS!$G$2:$G$20000,CONFIG_METADATA!$B$4,DATOS!$I$2:$I$20000,"Orquesta/Banda/Conjunto"),"")))</f>
        <v/>
      </c>
      <c r="D342" t="str">
        <f>IF(A342="","",IF(A342="[FÓRMULA MANUAL]","",IFERROR(AVERAGEIFS(DATOS!$K$2:$K$20000,DATOS!$A$2:$A$20000,A342,DATOS!$G$2:$G$20000,CONFIG_METADATA!$B$4,DATOS!$I$2:$I$20000,"Conjunto"),"")))</f>
        <v/>
      </c>
      <c r="E342" t="str">
        <f>IF(A342="","",IF(A342="[FÓRMULA MANUAL]","",IFERROR(SUMPRODUCT((DATOS!$A$2:$A$20000=A342)*(DATOS!$G$2:$G$20000=CONFIG_METADATA!$B$4)*(COUNTIF(CONFIG_ASIGNATURAS!$B$7:$B$27,DATOS!$I$2:$I$20000)&gt;0)*(DATOS!$K$2:$K$20000))/SUMPRODUCT((DATOS!$A$2:$A$20000=A342)*(DATOS!$G$2:$G$20000=CONFIG_METADATA!$B$4)*(COUNTIF(CONFIG_ASIGNATURAS!$B$7:$B$27,DATOS!$I$2:$I$20000)&gt;0)*1),"")))</f>
        <v/>
      </c>
      <c r="H342" t="str">
        <f>IF(G342="","",IF(G342="[FÓRMULA MANUAL]","",IFERROR(AVERAGEIFS(DATOS!$K$2:$K$20000,DATOS!$A$2:$A$20000,G342,DATOS!$G$2:$G$20000,CONFIG_METADATA!$B$4,DATOS!$I$2:$I$20000,"Lenguaje Musical"),"")))</f>
        <v/>
      </c>
      <c r="I342" t="str">
        <f>IF(G342="","",IF(G342="[FÓRMULA MANUAL]","",IFERROR(AVERAGEIFS(DATOS!$K$2:$K$20000,DATOS!$A$2:$A$20000,G342,DATOS!$G$2:$G$20000,CONFIG_METADATA!$B$4,DATOS!$I$2:$I$20000,"Orquesta/Banda/Conjunto"),"")))</f>
        <v/>
      </c>
      <c r="J342" t="str">
        <f>IF(G342="","",IF(G342="[FÓRMULA MANUAL]","",IFERROR(AVERAGEIFS(DATOS!$K$2:$K$20000,DATOS!$A$2:$A$20000,G342,DATOS!$G$2:$G$20000,CONFIG_METADATA!$B$4,DATOS!$I$2:$I$20000,"Conjunto"),"")))</f>
        <v/>
      </c>
      <c r="K342" t="str">
        <f>IF(G342="","",IF(G342="[FÓRMULA MANUAL]","",IFERROR(SUMPRODUCT((DATOS!$A$2:$A$20000=G342)*(DATOS!$G$2:$G$20000=CONFIG_METADATA!$B$4)*(COUNTIF(CONFIG_ASIGNATURAS!$B$7:$B$27,DATOS!$I$2:$I$20000)&gt;0)*(DATOS!$K$2:$K$20000))/SUMPRODUCT((DATOS!$A$2:$A$20000=G342)*(DATOS!$G$2:$G$20000=CONFIG_METADATA!$B$4)*(COUNTIF(CONFIG_ASIGNATURAS!$B$7:$B$27,DATOS!$I$2:$I$20000)&gt;0)*1),"")))</f>
        <v/>
      </c>
      <c r="N342" t="str">
        <f>IF(M342="","",IF(M342="[FÓRMULA MANUAL]","",IFERROR(AVERAGEIFS(DATOS!$K$2:$K$20000,DATOS!$A$2:$A$20000,M342,DATOS!$G$2:$G$20000,CONFIG_METADATA!$B$4,DATOS!$I$2:$I$20000,"Armonía"),"")))</f>
        <v/>
      </c>
      <c r="O342" t="str">
        <f>IF(M342="","",IF(M342="[FÓRMULA MANUAL]","",IFERROR(AVERAGEIFS(DATOS!$K$2:$K$20000,DATOS!$A$2:$A$20000,M342,DATOS!$G$2:$G$20000,CONFIG_METADATA!$B$4,DATOS!$I$2:$I$20000,"Orquesta/Banda/Conjunto"),"")))</f>
        <v/>
      </c>
      <c r="P342" t="str">
        <f>IF(M342="","",IF(M342="[FÓRMULA MANUAL]","",IFERROR(AVERAGEIFS(DATOS!$K$2:$K$20000,DATOS!$A$2:$A$20000,M342,DATOS!$G$2:$G$20000,CONFIG_METADATA!$B$4,DATOS!$I$2:$I$20000,"Música de Cámara"),"")))</f>
        <v/>
      </c>
      <c r="Q342" t="str">
        <f>IF(M342="","",IF(M342="[FÓRMULA MANUAL]","",IFERROR(SUMPRODUCT((DATOS!$A$2:$A$20000=M342)*(DATOS!$G$2:$G$20000=CONFIG_METADATA!$B$4)*(COUNTIF(CONFIG_ASIGNATURAS!$B$7:$B$27,DATOS!$I$2:$I$20000)&gt;0)*(DATOS!$K$2:$K$20000))/SUMPRODUCT((DATOS!$A$2:$A$20000=M342)*(DATOS!$G$2:$G$20000=CONFIG_METADATA!$B$4)*(COUNTIF(CONFIG_ASIGNATURAS!$B$7:$B$27,DATOS!$I$2:$I$20000)&gt;0)*1),"")))</f>
        <v/>
      </c>
      <c r="T342" t="str">
        <f>IF(S342="","",IF(S342="[FÓRMULA MANUAL]","",IFERROR(AVERAGEIFS(DATOS!$K$2:$K$20000,DATOS!$A$2:$A$20000,S342,DATOS!$G$2:$G$20000,CONFIG_METADATA!$B$4,DATOS!$I$2:$I$20000,"Armonía"),"")))</f>
        <v/>
      </c>
      <c r="U342" t="str">
        <f>IF(S342="","",IF(S342="[FÓRMULA MANUAL]","",IFERROR(AVERAGEIFS(DATOS!$K$2:$K$20000,DATOS!$A$2:$A$20000,S342,DATOS!$G$2:$G$20000,CONFIG_METADATA!$B$4,DATOS!$I$2:$I$20000,"Orquesta/Banda/Conjunto"),"")))</f>
        <v/>
      </c>
      <c r="V342" t="str">
        <f>IF(S342="","",IF(S342="[FÓRMULA MANUAL]","",IFERROR(AVERAGEIFS(DATOS!$K$2:$K$20000,DATOS!$A$2:$A$20000,S342,DATOS!$G$2:$G$20000,CONFIG_METADATA!$B$4,DATOS!$I$2:$I$20000,"Música de Cámara"),"")))</f>
        <v/>
      </c>
      <c r="W342" t="str">
        <f>IF(S342="","",IF(S342="[FÓRMULA MANUAL]","",IFERROR(SUMPRODUCT((DATOS!$A$2:$A$20000=S342)*(DATOS!$G$2:$G$20000=CONFIG_METADATA!$B$4)*(COUNTIF(CONFIG_ASIGNATURAS!$B$7:$B$27,DATOS!$I$2:$I$20000)&gt;0)*(DATOS!$K$2:$K$20000))/SUMPRODUCT((DATOS!$A$2:$A$20000=S342)*(DATOS!$G$2:$G$20000=CONFIG_METADATA!$B$4)*(COUNTIF(CONFIG_ASIGNATURAS!$B$7:$B$27,DATOS!$I$2:$I$20000)&gt;0)*1),"")))</f>
        <v/>
      </c>
      <c r="Z342" t="str">
        <f>IF(Y342="","",IF(Y342="[FÓRMULA MANUAL]","",IFERROR(AVERAGEIFS(DATOS!$K$2:$K$20000,DATOS!$A$2:$A$20000,Y342,DATOS!$G$2:$G$20000,CONFIG_METADATA!$B$4,DATOS!$I$2:$I$20000,"Análisis"),"")))</f>
        <v/>
      </c>
      <c r="AA342" t="str">
        <f>IF(Y342="","",IF(Y342="[FÓRMULA MANUAL]","",IFERROR(AVERAGEIFS(DATOS!$K$2:$K$20000,DATOS!$A$2:$A$20000,Y342,DATOS!$G$2:$G$20000,CONFIG_METADATA!$B$4,DATOS!$I$2:$I$20000,"Orquesta/Banda/Conjunto"),"")))</f>
        <v/>
      </c>
      <c r="AB342" t="str">
        <f>IF(Y342="","",IF(Y342="[FÓRMULA MANUAL]","",IFERROR(AVERAGEIFS(DATOS!$K$2:$K$20000,DATOS!$A$2:$A$20000,Y342,DATOS!$G$2:$G$20000,CONFIG_METADATA!$B$4,DATOS!$I$2:$I$20000,"Música de Cámara"),"")))</f>
        <v/>
      </c>
      <c r="AC342" t="str">
        <f>IF(Y342="","",IF(Y342="[FÓRMULA MANUAL]","",IFERROR(SUMPRODUCT((DATOS!$A$2:$A$20000=Y342)*(DATOS!$G$2:$G$20000=CONFIG_METADATA!$B$4)*(COUNTIF(CONFIG_ASIGNATURAS!$B$7:$B$27,DATOS!$I$2:$I$20000)&gt;0)*(DATOS!$K$2:$K$20000))/SUMPRODUCT((DATOS!$A$2:$A$20000=Y342)*(DATOS!$G$2:$G$20000=CONFIG_METADATA!$B$4)*(COUNTIF(CONFIG_ASIGNATURAS!$B$7:$B$27,DATOS!$I$2:$I$20000)&gt;0)*1),"")))</f>
        <v/>
      </c>
      <c r="AF342" t="str">
        <f>IF(AE342="","",IF(AE342="[FÓRMULA MANUAL]","",IFERROR(AVERAGEIFS(DATOS!$K$2:$K$20000,DATOS!$A$2:$A$20000,AE342,DATOS!$G$2:$G$20000,CONFIG_METADATA!$B$4,DATOS!$I$2:$I$20000,"Análisis"),"")))</f>
        <v/>
      </c>
      <c r="AG342" t="str">
        <f>IF(AE342="","",IF(AE342="[FÓRMULA MANUAL]","",IFERROR(AVERAGEIFS(DATOS!$K$2:$K$20000,DATOS!$A$2:$A$20000,AE342,DATOS!$G$2:$G$20000,CONFIG_METADATA!$B$4,DATOS!$I$2:$I$20000,"Orquesta/Banda/Conjunto"),"")))</f>
        <v/>
      </c>
      <c r="AH342" t="str">
        <f>IF(AE342="","",IF(AE342="[FÓRMULA MANUAL]","",IFERROR(AVERAGEIFS(DATOS!$K$2:$K$20000,DATOS!$A$2:$A$20000,AE342,DATOS!$G$2:$G$20000,CONFIG_METADATA!$B$4,DATOS!$I$2:$I$20000,"Música de Cámara"),"")))</f>
        <v/>
      </c>
      <c r="AI342" t="str">
        <f>IF(AE342="","",IF(AE342="[FÓRMULA MANUAL]","",IFERROR(SUMPRODUCT((DATOS!$A$2:$A$20000=AE342)*(DATOS!$G$2:$G$20000=CONFIG_METADATA!$B$4)*(COUNTIF(CONFIG_ASIGNATURAS!$B$7:$B$27,DATOS!$I$2:$I$20000)&gt;0)*(DATOS!$K$2:$K$20000))/SUMPRODUCT((DATOS!$A$2:$A$20000=AE342)*(DATOS!$G$2:$G$20000=CONFIG_METADATA!$B$4)*(COUNTIF(CONFIG_ASIGNATURAS!$B$7:$B$27,DATOS!$I$2:$I$20000)&gt;0)*1),"")))</f>
        <v/>
      </c>
    </row>
    <row r="343" spans="2:35" x14ac:dyDescent="0.2">
      <c r="B343" t="str">
        <f>IF(A343="","",IF(A343="[FÓRMULA MANUAL]","",IFERROR(AVERAGEIFS(DATOS!$K$2:$K$20000,DATOS!$A$2:$A$20000,A343,DATOS!$G$2:$G$20000,CONFIG_METADATA!$B$4,DATOS!$I$2:$I$20000,"Lenguaje Musical"),"")))</f>
        <v/>
      </c>
      <c r="C343" t="str">
        <f>IF(A343="","",IF(A343="[FÓRMULA MANUAL]","",IFERROR(AVERAGEIFS(DATOS!$K$2:$K$20000,DATOS!$A$2:$A$20000,A343,DATOS!$G$2:$G$20000,CONFIG_METADATA!$B$4,DATOS!$I$2:$I$20000,"Orquesta/Banda/Conjunto"),"")))</f>
        <v/>
      </c>
      <c r="D343" t="str">
        <f>IF(A343="","",IF(A343="[FÓRMULA MANUAL]","",IFERROR(AVERAGEIFS(DATOS!$K$2:$K$20000,DATOS!$A$2:$A$20000,A343,DATOS!$G$2:$G$20000,CONFIG_METADATA!$B$4,DATOS!$I$2:$I$20000,"Conjunto"),"")))</f>
        <v/>
      </c>
      <c r="E343" t="str">
        <f>IF(A343="","",IF(A343="[FÓRMULA MANUAL]","",IFERROR(SUMPRODUCT((DATOS!$A$2:$A$20000=A343)*(DATOS!$G$2:$G$20000=CONFIG_METADATA!$B$4)*(COUNTIF(CONFIG_ASIGNATURAS!$B$7:$B$27,DATOS!$I$2:$I$20000)&gt;0)*(DATOS!$K$2:$K$20000))/SUMPRODUCT((DATOS!$A$2:$A$20000=A343)*(DATOS!$G$2:$G$20000=CONFIG_METADATA!$B$4)*(COUNTIF(CONFIG_ASIGNATURAS!$B$7:$B$27,DATOS!$I$2:$I$20000)&gt;0)*1),"")))</f>
        <v/>
      </c>
      <c r="H343" t="str">
        <f>IF(G343="","",IF(G343="[FÓRMULA MANUAL]","",IFERROR(AVERAGEIFS(DATOS!$K$2:$K$20000,DATOS!$A$2:$A$20000,G343,DATOS!$G$2:$G$20000,CONFIG_METADATA!$B$4,DATOS!$I$2:$I$20000,"Lenguaje Musical"),"")))</f>
        <v/>
      </c>
      <c r="I343" t="str">
        <f>IF(G343="","",IF(G343="[FÓRMULA MANUAL]","",IFERROR(AVERAGEIFS(DATOS!$K$2:$K$20000,DATOS!$A$2:$A$20000,G343,DATOS!$G$2:$G$20000,CONFIG_METADATA!$B$4,DATOS!$I$2:$I$20000,"Orquesta/Banda/Conjunto"),"")))</f>
        <v/>
      </c>
      <c r="J343" t="str">
        <f>IF(G343="","",IF(G343="[FÓRMULA MANUAL]","",IFERROR(AVERAGEIFS(DATOS!$K$2:$K$20000,DATOS!$A$2:$A$20000,G343,DATOS!$G$2:$G$20000,CONFIG_METADATA!$B$4,DATOS!$I$2:$I$20000,"Conjunto"),"")))</f>
        <v/>
      </c>
      <c r="K343" t="str">
        <f>IF(G343="","",IF(G343="[FÓRMULA MANUAL]","",IFERROR(SUMPRODUCT((DATOS!$A$2:$A$20000=G343)*(DATOS!$G$2:$G$20000=CONFIG_METADATA!$B$4)*(COUNTIF(CONFIG_ASIGNATURAS!$B$7:$B$27,DATOS!$I$2:$I$20000)&gt;0)*(DATOS!$K$2:$K$20000))/SUMPRODUCT((DATOS!$A$2:$A$20000=G343)*(DATOS!$G$2:$G$20000=CONFIG_METADATA!$B$4)*(COUNTIF(CONFIG_ASIGNATURAS!$B$7:$B$27,DATOS!$I$2:$I$20000)&gt;0)*1),"")))</f>
        <v/>
      </c>
      <c r="N343" t="str">
        <f>IF(M343="","",IF(M343="[FÓRMULA MANUAL]","",IFERROR(AVERAGEIFS(DATOS!$K$2:$K$20000,DATOS!$A$2:$A$20000,M343,DATOS!$G$2:$G$20000,CONFIG_METADATA!$B$4,DATOS!$I$2:$I$20000,"Armonía"),"")))</f>
        <v/>
      </c>
      <c r="O343" t="str">
        <f>IF(M343="","",IF(M343="[FÓRMULA MANUAL]","",IFERROR(AVERAGEIFS(DATOS!$K$2:$K$20000,DATOS!$A$2:$A$20000,M343,DATOS!$G$2:$G$20000,CONFIG_METADATA!$B$4,DATOS!$I$2:$I$20000,"Orquesta/Banda/Conjunto"),"")))</f>
        <v/>
      </c>
      <c r="P343" t="str">
        <f>IF(M343="","",IF(M343="[FÓRMULA MANUAL]","",IFERROR(AVERAGEIFS(DATOS!$K$2:$K$20000,DATOS!$A$2:$A$20000,M343,DATOS!$G$2:$G$20000,CONFIG_METADATA!$B$4,DATOS!$I$2:$I$20000,"Música de Cámara"),"")))</f>
        <v/>
      </c>
      <c r="Q343" t="str">
        <f>IF(M343="","",IF(M343="[FÓRMULA MANUAL]","",IFERROR(SUMPRODUCT((DATOS!$A$2:$A$20000=M343)*(DATOS!$G$2:$G$20000=CONFIG_METADATA!$B$4)*(COUNTIF(CONFIG_ASIGNATURAS!$B$7:$B$27,DATOS!$I$2:$I$20000)&gt;0)*(DATOS!$K$2:$K$20000))/SUMPRODUCT((DATOS!$A$2:$A$20000=M343)*(DATOS!$G$2:$G$20000=CONFIG_METADATA!$B$4)*(COUNTIF(CONFIG_ASIGNATURAS!$B$7:$B$27,DATOS!$I$2:$I$20000)&gt;0)*1),"")))</f>
        <v/>
      </c>
      <c r="T343" t="str">
        <f>IF(S343="","",IF(S343="[FÓRMULA MANUAL]","",IFERROR(AVERAGEIFS(DATOS!$K$2:$K$20000,DATOS!$A$2:$A$20000,S343,DATOS!$G$2:$G$20000,CONFIG_METADATA!$B$4,DATOS!$I$2:$I$20000,"Armonía"),"")))</f>
        <v/>
      </c>
      <c r="U343" t="str">
        <f>IF(S343="","",IF(S343="[FÓRMULA MANUAL]","",IFERROR(AVERAGEIFS(DATOS!$K$2:$K$20000,DATOS!$A$2:$A$20000,S343,DATOS!$G$2:$G$20000,CONFIG_METADATA!$B$4,DATOS!$I$2:$I$20000,"Orquesta/Banda/Conjunto"),"")))</f>
        <v/>
      </c>
      <c r="V343" t="str">
        <f>IF(S343="","",IF(S343="[FÓRMULA MANUAL]","",IFERROR(AVERAGEIFS(DATOS!$K$2:$K$20000,DATOS!$A$2:$A$20000,S343,DATOS!$G$2:$G$20000,CONFIG_METADATA!$B$4,DATOS!$I$2:$I$20000,"Música de Cámara"),"")))</f>
        <v/>
      </c>
      <c r="W343" t="str">
        <f>IF(S343="","",IF(S343="[FÓRMULA MANUAL]","",IFERROR(SUMPRODUCT((DATOS!$A$2:$A$20000=S343)*(DATOS!$G$2:$G$20000=CONFIG_METADATA!$B$4)*(COUNTIF(CONFIG_ASIGNATURAS!$B$7:$B$27,DATOS!$I$2:$I$20000)&gt;0)*(DATOS!$K$2:$K$20000))/SUMPRODUCT((DATOS!$A$2:$A$20000=S343)*(DATOS!$G$2:$G$20000=CONFIG_METADATA!$B$4)*(COUNTIF(CONFIG_ASIGNATURAS!$B$7:$B$27,DATOS!$I$2:$I$20000)&gt;0)*1),"")))</f>
        <v/>
      </c>
      <c r="Z343" t="str">
        <f>IF(Y343="","",IF(Y343="[FÓRMULA MANUAL]","",IFERROR(AVERAGEIFS(DATOS!$K$2:$K$20000,DATOS!$A$2:$A$20000,Y343,DATOS!$G$2:$G$20000,CONFIG_METADATA!$B$4,DATOS!$I$2:$I$20000,"Análisis"),"")))</f>
        <v/>
      </c>
      <c r="AA343" t="str">
        <f>IF(Y343="","",IF(Y343="[FÓRMULA MANUAL]","",IFERROR(AVERAGEIFS(DATOS!$K$2:$K$20000,DATOS!$A$2:$A$20000,Y343,DATOS!$G$2:$G$20000,CONFIG_METADATA!$B$4,DATOS!$I$2:$I$20000,"Orquesta/Banda/Conjunto"),"")))</f>
        <v/>
      </c>
      <c r="AB343" t="str">
        <f>IF(Y343="","",IF(Y343="[FÓRMULA MANUAL]","",IFERROR(AVERAGEIFS(DATOS!$K$2:$K$20000,DATOS!$A$2:$A$20000,Y343,DATOS!$G$2:$G$20000,CONFIG_METADATA!$B$4,DATOS!$I$2:$I$20000,"Música de Cámara"),"")))</f>
        <v/>
      </c>
      <c r="AC343" t="str">
        <f>IF(Y343="","",IF(Y343="[FÓRMULA MANUAL]","",IFERROR(SUMPRODUCT((DATOS!$A$2:$A$20000=Y343)*(DATOS!$G$2:$G$20000=CONFIG_METADATA!$B$4)*(COUNTIF(CONFIG_ASIGNATURAS!$B$7:$B$27,DATOS!$I$2:$I$20000)&gt;0)*(DATOS!$K$2:$K$20000))/SUMPRODUCT((DATOS!$A$2:$A$20000=Y343)*(DATOS!$G$2:$G$20000=CONFIG_METADATA!$B$4)*(COUNTIF(CONFIG_ASIGNATURAS!$B$7:$B$27,DATOS!$I$2:$I$20000)&gt;0)*1),"")))</f>
        <v/>
      </c>
      <c r="AF343" t="str">
        <f>IF(AE343="","",IF(AE343="[FÓRMULA MANUAL]","",IFERROR(AVERAGEIFS(DATOS!$K$2:$K$20000,DATOS!$A$2:$A$20000,AE343,DATOS!$G$2:$G$20000,CONFIG_METADATA!$B$4,DATOS!$I$2:$I$20000,"Análisis"),"")))</f>
        <v/>
      </c>
      <c r="AG343" t="str">
        <f>IF(AE343="","",IF(AE343="[FÓRMULA MANUAL]","",IFERROR(AVERAGEIFS(DATOS!$K$2:$K$20000,DATOS!$A$2:$A$20000,AE343,DATOS!$G$2:$G$20000,CONFIG_METADATA!$B$4,DATOS!$I$2:$I$20000,"Orquesta/Banda/Conjunto"),"")))</f>
        <v/>
      </c>
      <c r="AH343" t="str">
        <f>IF(AE343="","",IF(AE343="[FÓRMULA MANUAL]","",IFERROR(AVERAGEIFS(DATOS!$K$2:$K$20000,DATOS!$A$2:$A$20000,AE343,DATOS!$G$2:$G$20000,CONFIG_METADATA!$B$4,DATOS!$I$2:$I$20000,"Música de Cámara"),"")))</f>
        <v/>
      </c>
      <c r="AI343" t="str">
        <f>IF(AE343="","",IF(AE343="[FÓRMULA MANUAL]","",IFERROR(SUMPRODUCT((DATOS!$A$2:$A$20000=AE343)*(DATOS!$G$2:$G$20000=CONFIG_METADATA!$B$4)*(COUNTIF(CONFIG_ASIGNATURAS!$B$7:$B$27,DATOS!$I$2:$I$20000)&gt;0)*(DATOS!$K$2:$K$20000))/SUMPRODUCT((DATOS!$A$2:$A$20000=AE343)*(DATOS!$G$2:$G$20000=CONFIG_METADATA!$B$4)*(COUNTIF(CONFIG_ASIGNATURAS!$B$7:$B$27,DATOS!$I$2:$I$20000)&gt;0)*1),"")))</f>
        <v/>
      </c>
    </row>
    <row r="344" spans="2:35" x14ac:dyDescent="0.2">
      <c r="B344" t="str">
        <f>IF(A344="","",IF(A344="[FÓRMULA MANUAL]","",IFERROR(AVERAGEIFS(DATOS!$K$2:$K$20000,DATOS!$A$2:$A$20000,A344,DATOS!$G$2:$G$20000,CONFIG_METADATA!$B$4,DATOS!$I$2:$I$20000,"Lenguaje Musical"),"")))</f>
        <v/>
      </c>
      <c r="C344" t="str">
        <f>IF(A344="","",IF(A344="[FÓRMULA MANUAL]","",IFERROR(AVERAGEIFS(DATOS!$K$2:$K$20000,DATOS!$A$2:$A$20000,A344,DATOS!$G$2:$G$20000,CONFIG_METADATA!$B$4,DATOS!$I$2:$I$20000,"Orquesta/Banda/Conjunto"),"")))</f>
        <v/>
      </c>
      <c r="D344" t="str">
        <f>IF(A344="","",IF(A344="[FÓRMULA MANUAL]","",IFERROR(AVERAGEIFS(DATOS!$K$2:$K$20000,DATOS!$A$2:$A$20000,A344,DATOS!$G$2:$G$20000,CONFIG_METADATA!$B$4,DATOS!$I$2:$I$20000,"Conjunto"),"")))</f>
        <v/>
      </c>
      <c r="E344" t="str">
        <f>IF(A344="","",IF(A344="[FÓRMULA MANUAL]","",IFERROR(SUMPRODUCT((DATOS!$A$2:$A$20000=A344)*(DATOS!$G$2:$G$20000=CONFIG_METADATA!$B$4)*(COUNTIF(CONFIG_ASIGNATURAS!$B$7:$B$27,DATOS!$I$2:$I$20000)&gt;0)*(DATOS!$K$2:$K$20000))/SUMPRODUCT((DATOS!$A$2:$A$20000=A344)*(DATOS!$G$2:$G$20000=CONFIG_METADATA!$B$4)*(COUNTIF(CONFIG_ASIGNATURAS!$B$7:$B$27,DATOS!$I$2:$I$20000)&gt;0)*1),"")))</f>
        <v/>
      </c>
      <c r="H344" t="str">
        <f>IF(G344="","",IF(G344="[FÓRMULA MANUAL]","",IFERROR(AVERAGEIFS(DATOS!$K$2:$K$20000,DATOS!$A$2:$A$20000,G344,DATOS!$G$2:$G$20000,CONFIG_METADATA!$B$4,DATOS!$I$2:$I$20000,"Lenguaje Musical"),"")))</f>
        <v/>
      </c>
      <c r="I344" t="str">
        <f>IF(G344="","",IF(G344="[FÓRMULA MANUAL]","",IFERROR(AVERAGEIFS(DATOS!$K$2:$K$20000,DATOS!$A$2:$A$20000,G344,DATOS!$G$2:$G$20000,CONFIG_METADATA!$B$4,DATOS!$I$2:$I$20000,"Orquesta/Banda/Conjunto"),"")))</f>
        <v/>
      </c>
      <c r="J344" t="str">
        <f>IF(G344="","",IF(G344="[FÓRMULA MANUAL]","",IFERROR(AVERAGEIFS(DATOS!$K$2:$K$20000,DATOS!$A$2:$A$20000,G344,DATOS!$G$2:$G$20000,CONFIG_METADATA!$B$4,DATOS!$I$2:$I$20000,"Conjunto"),"")))</f>
        <v/>
      </c>
      <c r="K344" t="str">
        <f>IF(G344="","",IF(G344="[FÓRMULA MANUAL]","",IFERROR(SUMPRODUCT((DATOS!$A$2:$A$20000=G344)*(DATOS!$G$2:$G$20000=CONFIG_METADATA!$B$4)*(COUNTIF(CONFIG_ASIGNATURAS!$B$7:$B$27,DATOS!$I$2:$I$20000)&gt;0)*(DATOS!$K$2:$K$20000))/SUMPRODUCT((DATOS!$A$2:$A$20000=G344)*(DATOS!$G$2:$G$20000=CONFIG_METADATA!$B$4)*(COUNTIF(CONFIG_ASIGNATURAS!$B$7:$B$27,DATOS!$I$2:$I$20000)&gt;0)*1),"")))</f>
        <v/>
      </c>
      <c r="N344" t="str">
        <f>IF(M344="","",IF(M344="[FÓRMULA MANUAL]","",IFERROR(AVERAGEIFS(DATOS!$K$2:$K$20000,DATOS!$A$2:$A$20000,M344,DATOS!$G$2:$G$20000,CONFIG_METADATA!$B$4,DATOS!$I$2:$I$20000,"Armonía"),"")))</f>
        <v/>
      </c>
      <c r="O344" t="str">
        <f>IF(M344="","",IF(M344="[FÓRMULA MANUAL]","",IFERROR(AVERAGEIFS(DATOS!$K$2:$K$20000,DATOS!$A$2:$A$20000,M344,DATOS!$G$2:$G$20000,CONFIG_METADATA!$B$4,DATOS!$I$2:$I$20000,"Orquesta/Banda/Conjunto"),"")))</f>
        <v/>
      </c>
      <c r="P344" t="str">
        <f>IF(M344="","",IF(M344="[FÓRMULA MANUAL]","",IFERROR(AVERAGEIFS(DATOS!$K$2:$K$20000,DATOS!$A$2:$A$20000,M344,DATOS!$G$2:$G$20000,CONFIG_METADATA!$B$4,DATOS!$I$2:$I$20000,"Música de Cámara"),"")))</f>
        <v/>
      </c>
      <c r="Q344" t="str">
        <f>IF(M344="","",IF(M344="[FÓRMULA MANUAL]","",IFERROR(SUMPRODUCT((DATOS!$A$2:$A$20000=M344)*(DATOS!$G$2:$G$20000=CONFIG_METADATA!$B$4)*(COUNTIF(CONFIG_ASIGNATURAS!$B$7:$B$27,DATOS!$I$2:$I$20000)&gt;0)*(DATOS!$K$2:$K$20000))/SUMPRODUCT((DATOS!$A$2:$A$20000=M344)*(DATOS!$G$2:$G$20000=CONFIG_METADATA!$B$4)*(COUNTIF(CONFIG_ASIGNATURAS!$B$7:$B$27,DATOS!$I$2:$I$20000)&gt;0)*1),"")))</f>
        <v/>
      </c>
      <c r="T344" t="str">
        <f>IF(S344="","",IF(S344="[FÓRMULA MANUAL]","",IFERROR(AVERAGEIFS(DATOS!$K$2:$K$20000,DATOS!$A$2:$A$20000,S344,DATOS!$G$2:$G$20000,CONFIG_METADATA!$B$4,DATOS!$I$2:$I$20000,"Armonía"),"")))</f>
        <v/>
      </c>
      <c r="U344" t="str">
        <f>IF(S344="","",IF(S344="[FÓRMULA MANUAL]","",IFERROR(AVERAGEIFS(DATOS!$K$2:$K$20000,DATOS!$A$2:$A$20000,S344,DATOS!$G$2:$G$20000,CONFIG_METADATA!$B$4,DATOS!$I$2:$I$20000,"Orquesta/Banda/Conjunto"),"")))</f>
        <v/>
      </c>
      <c r="V344" t="str">
        <f>IF(S344="","",IF(S344="[FÓRMULA MANUAL]","",IFERROR(AVERAGEIFS(DATOS!$K$2:$K$20000,DATOS!$A$2:$A$20000,S344,DATOS!$G$2:$G$20000,CONFIG_METADATA!$B$4,DATOS!$I$2:$I$20000,"Música de Cámara"),"")))</f>
        <v/>
      </c>
      <c r="W344" t="str">
        <f>IF(S344="","",IF(S344="[FÓRMULA MANUAL]","",IFERROR(SUMPRODUCT((DATOS!$A$2:$A$20000=S344)*(DATOS!$G$2:$G$20000=CONFIG_METADATA!$B$4)*(COUNTIF(CONFIG_ASIGNATURAS!$B$7:$B$27,DATOS!$I$2:$I$20000)&gt;0)*(DATOS!$K$2:$K$20000))/SUMPRODUCT((DATOS!$A$2:$A$20000=S344)*(DATOS!$G$2:$G$20000=CONFIG_METADATA!$B$4)*(COUNTIF(CONFIG_ASIGNATURAS!$B$7:$B$27,DATOS!$I$2:$I$20000)&gt;0)*1),"")))</f>
        <v/>
      </c>
      <c r="Z344" t="str">
        <f>IF(Y344="","",IF(Y344="[FÓRMULA MANUAL]","",IFERROR(AVERAGEIFS(DATOS!$K$2:$K$20000,DATOS!$A$2:$A$20000,Y344,DATOS!$G$2:$G$20000,CONFIG_METADATA!$B$4,DATOS!$I$2:$I$20000,"Análisis"),"")))</f>
        <v/>
      </c>
      <c r="AA344" t="str">
        <f>IF(Y344="","",IF(Y344="[FÓRMULA MANUAL]","",IFERROR(AVERAGEIFS(DATOS!$K$2:$K$20000,DATOS!$A$2:$A$20000,Y344,DATOS!$G$2:$G$20000,CONFIG_METADATA!$B$4,DATOS!$I$2:$I$20000,"Orquesta/Banda/Conjunto"),"")))</f>
        <v/>
      </c>
      <c r="AB344" t="str">
        <f>IF(Y344="","",IF(Y344="[FÓRMULA MANUAL]","",IFERROR(AVERAGEIFS(DATOS!$K$2:$K$20000,DATOS!$A$2:$A$20000,Y344,DATOS!$G$2:$G$20000,CONFIG_METADATA!$B$4,DATOS!$I$2:$I$20000,"Música de Cámara"),"")))</f>
        <v/>
      </c>
      <c r="AC344" t="str">
        <f>IF(Y344="","",IF(Y344="[FÓRMULA MANUAL]","",IFERROR(SUMPRODUCT((DATOS!$A$2:$A$20000=Y344)*(DATOS!$G$2:$G$20000=CONFIG_METADATA!$B$4)*(COUNTIF(CONFIG_ASIGNATURAS!$B$7:$B$27,DATOS!$I$2:$I$20000)&gt;0)*(DATOS!$K$2:$K$20000))/SUMPRODUCT((DATOS!$A$2:$A$20000=Y344)*(DATOS!$G$2:$G$20000=CONFIG_METADATA!$B$4)*(COUNTIF(CONFIG_ASIGNATURAS!$B$7:$B$27,DATOS!$I$2:$I$20000)&gt;0)*1),"")))</f>
        <v/>
      </c>
      <c r="AF344" t="str">
        <f>IF(AE344="","",IF(AE344="[FÓRMULA MANUAL]","",IFERROR(AVERAGEIFS(DATOS!$K$2:$K$20000,DATOS!$A$2:$A$20000,AE344,DATOS!$G$2:$G$20000,CONFIG_METADATA!$B$4,DATOS!$I$2:$I$20000,"Análisis"),"")))</f>
        <v/>
      </c>
      <c r="AG344" t="str">
        <f>IF(AE344="","",IF(AE344="[FÓRMULA MANUAL]","",IFERROR(AVERAGEIFS(DATOS!$K$2:$K$20000,DATOS!$A$2:$A$20000,AE344,DATOS!$G$2:$G$20000,CONFIG_METADATA!$B$4,DATOS!$I$2:$I$20000,"Orquesta/Banda/Conjunto"),"")))</f>
        <v/>
      </c>
      <c r="AH344" t="str">
        <f>IF(AE344="","",IF(AE344="[FÓRMULA MANUAL]","",IFERROR(AVERAGEIFS(DATOS!$K$2:$K$20000,DATOS!$A$2:$A$20000,AE344,DATOS!$G$2:$G$20000,CONFIG_METADATA!$B$4,DATOS!$I$2:$I$20000,"Música de Cámara"),"")))</f>
        <v/>
      </c>
      <c r="AI344" t="str">
        <f>IF(AE344="","",IF(AE344="[FÓRMULA MANUAL]","",IFERROR(SUMPRODUCT((DATOS!$A$2:$A$20000=AE344)*(DATOS!$G$2:$G$20000=CONFIG_METADATA!$B$4)*(COUNTIF(CONFIG_ASIGNATURAS!$B$7:$B$27,DATOS!$I$2:$I$20000)&gt;0)*(DATOS!$K$2:$K$20000))/SUMPRODUCT((DATOS!$A$2:$A$20000=AE344)*(DATOS!$G$2:$G$20000=CONFIG_METADATA!$B$4)*(COUNTIF(CONFIG_ASIGNATURAS!$B$7:$B$27,DATOS!$I$2:$I$20000)&gt;0)*1),"")))</f>
        <v/>
      </c>
    </row>
    <row r="345" spans="2:35" x14ac:dyDescent="0.2">
      <c r="B345" t="str">
        <f>IF(A345="","",IF(A345="[FÓRMULA MANUAL]","",IFERROR(AVERAGEIFS(DATOS!$K$2:$K$20000,DATOS!$A$2:$A$20000,A345,DATOS!$G$2:$G$20000,CONFIG_METADATA!$B$4,DATOS!$I$2:$I$20000,"Lenguaje Musical"),"")))</f>
        <v/>
      </c>
      <c r="C345" t="str">
        <f>IF(A345="","",IF(A345="[FÓRMULA MANUAL]","",IFERROR(AVERAGEIFS(DATOS!$K$2:$K$20000,DATOS!$A$2:$A$20000,A345,DATOS!$G$2:$G$20000,CONFIG_METADATA!$B$4,DATOS!$I$2:$I$20000,"Orquesta/Banda/Conjunto"),"")))</f>
        <v/>
      </c>
      <c r="D345" t="str">
        <f>IF(A345="","",IF(A345="[FÓRMULA MANUAL]","",IFERROR(AVERAGEIFS(DATOS!$K$2:$K$20000,DATOS!$A$2:$A$20000,A345,DATOS!$G$2:$G$20000,CONFIG_METADATA!$B$4,DATOS!$I$2:$I$20000,"Conjunto"),"")))</f>
        <v/>
      </c>
      <c r="E345" t="str">
        <f>IF(A345="","",IF(A345="[FÓRMULA MANUAL]","",IFERROR(SUMPRODUCT((DATOS!$A$2:$A$20000=A345)*(DATOS!$G$2:$G$20000=CONFIG_METADATA!$B$4)*(COUNTIF(CONFIG_ASIGNATURAS!$B$7:$B$27,DATOS!$I$2:$I$20000)&gt;0)*(DATOS!$K$2:$K$20000))/SUMPRODUCT((DATOS!$A$2:$A$20000=A345)*(DATOS!$G$2:$G$20000=CONFIG_METADATA!$B$4)*(COUNTIF(CONFIG_ASIGNATURAS!$B$7:$B$27,DATOS!$I$2:$I$20000)&gt;0)*1),"")))</f>
        <v/>
      </c>
      <c r="H345" t="str">
        <f>IF(G345="","",IF(G345="[FÓRMULA MANUAL]","",IFERROR(AVERAGEIFS(DATOS!$K$2:$K$20000,DATOS!$A$2:$A$20000,G345,DATOS!$G$2:$G$20000,CONFIG_METADATA!$B$4,DATOS!$I$2:$I$20000,"Lenguaje Musical"),"")))</f>
        <v/>
      </c>
      <c r="I345" t="str">
        <f>IF(G345="","",IF(G345="[FÓRMULA MANUAL]","",IFERROR(AVERAGEIFS(DATOS!$K$2:$K$20000,DATOS!$A$2:$A$20000,G345,DATOS!$G$2:$G$20000,CONFIG_METADATA!$B$4,DATOS!$I$2:$I$20000,"Orquesta/Banda/Conjunto"),"")))</f>
        <v/>
      </c>
      <c r="J345" t="str">
        <f>IF(G345="","",IF(G345="[FÓRMULA MANUAL]","",IFERROR(AVERAGEIFS(DATOS!$K$2:$K$20000,DATOS!$A$2:$A$20000,G345,DATOS!$G$2:$G$20000,CONFIG_METADATA!$B$4,DATOS!$I$2:$I$20000,"Conjunto"),"")))</f>
        <v/>
      </c>
      <c r="K345" t="str">
        <f>IF(G345="","",IF(G345="[FÓRMULA MANUAL]","",IFERROR(SUMPRODUCT((DATOS!$A$2:$A$20000=G345)*(DATOS!$G$2:$G$20000=CONFIG_METADATA!$B$4)*(COUNTIF(CONFIG_ASIGNATURAS!$B$7:$B$27,DATOS!$I$2:$I$20000)&gt;0)*(DATOS!$K$2:$K$20000))/SUMPRODUCT((DATOS!$A$2:$A$20000=G345)*(DATOS!$G$2:$G$20000=CONFIG_METADATA!$B$4)*(COUNTIF(CONFIG_ASIGNATURAS!$B$7:$B$27,DATOS!$I$2:$I$20000)&gt;0)*1),"")))</f>
        <v/>
      </c>
      <c r="N345" t="str">
        <f>IF(M345="","",IF(M345="[FÓRMULA MANUAL]","",IFERROR(AVERAGEIFS(DATOS!$K$2:$K$20000,DATOS!$A$2:$A$20000,M345,DATOS!$G$2:$G$20000,CONFIG_METADATA!$B$4,DATOS!$I$2:$I$20000,"Armonía"),"")))</f>
        <v/>
      </c>
      <c r="O345" t="str">
        <f>IF(M345="","",IF(M345="[FÓRMULA MANUAL]","",IFERROR(AVERAGEIFS(DATOS!$K$2:$K$20000,DATOS!$A$2:$A$20000,M345,DATOS!$G$2:$G$20000,CONFIG_METADATA!$B$4,DATOS!$I$2:$I$20000,"Orquesta/Banda/Conjunto"),"")))</f>
        <v/>
      </c>
      <c r="P345" t="str">
        <f>IF(M345="","",IF(M345="[FÓRMULA MANUAL]","",IFERROR(AVERAGEIFS(DATOS!$K$2:$K$20000,DATOS!$A$2:$A$20000,M345,DATOS!$G$2:$G$20000,CONFIG_METADATA!$B$4,DATOS!$I$2:$I$20000,"Música de Cámara"),"")))</f>
        <v/>
      </c>
      <c r="Q345" t="str">
        <f>IF(M345="","",IF(M345="[FÓRMULA MANUAL]","",IFERROR(SUMPRODUCT((DATOS!$A$2:$A$20000=M345)*(DATOS!$G$2:$G$20000=CONFIG_METADATA!$B$4)*(COUNTIF(CONFIG_ASIGNATURAS!$B$7:$B$27,DATOS!$I$2:$I$20000)&gt;0)*(DATOS!$K$2:$K$20000))/SUMPRODUCT((DATOS!$A$2:$A$20000=M345)*(DATOS!$G$2:$G$20000=CONFIG_METADATA!$B$4)*(COUNTIF(CONFIG_ASIGNATURAS!$B$7:$B$27,DATOS!$I$2:$I$20000)&gt;0)*1),"")))</f>
        <v/>
      </c>
      <c r="T345" t="str">
        <f>IF(S345="","",IF(S345="[FÓRMULA MANUAL]","",IFERROR(AVERAGEIFS(DATOS!$K$2:$K$20000,DATOS!$A$2:$A$20000,S345,DATOS!$G$2:$G$20000,CONFIG_METADATA!$B$4,DATOS!$I$2:$I$20000,"Armonía"),"")))</f>
        <v/>
      </c>
      <c r="U345" t="str">
        <f>IF(S345="","",IF(S345="[FÓRMULA MANUAL]","",IFERROR(AVERAGEIFS(DATOS!$K$2:$K$20000,DATOS!$A$2:$A$20000,S345,DATOS!$G$2:$G$20000,CONFIG_METADATA!$B$4,DATOS!$I$2:$I$20000,"Orquesta/Banda/Conjunto"),"")))</f>
        <v/>
      </c>
      <c r="V345" t="str">
        <f>IF(S345="","",IF(S345="[FÓRMULA MANUAL]","",IFERROR(AVERAGEIFS(DATOS!$K$2:$K$20000,DATOS!$A$2:$A$20000,S345,DATOS!$G$2:$G$20000,CONFIG_METADATA!$B$4,DATOS!$I$2:$I$20000,"Música de Cámara"),"")))</f>
        <v/>
      </c>
      <c r="W345" t="str">
        <f>IF(S345="","",IF(S345="[FÓRMULA MANUAL]","",IFERROR(SUMPRODUCT((DATOS!$A$2:$A$20000=S345)*(DATOS!$G$2:$G$20000=CONFIG_METADATA!$B$4)*(COUNTIF(CONFIG_ASIGNATURAS!$B$7:$B$27,DATOS!$I$2:$I$20000)&gt;0)*(DATOS!$K$2:$K$20000))/SUMPRODUCT((DATOS!$A$2:$A$20000=S345)*(DATOS!$G$2:$G$20000=CONFIG_METADATA!$B$4)*(COUNTIF(CONFIG_ASIGNATURAS!$B$7:$B$27,DATOS!$I$2:$I$20000)&gt;0)*1),"")))</f>
        <v/>
      </c>
      <c r="Z345" t="str">
        <f>IF(Y345="","",IF(Y345="[FÓRMULA MANUAL]","",IFERROR(AVERAGEIFS(DATOS!$K$2:$K$20000,DATOS!$A$2:$A$20000,Y345,DATOS!$G$2:$G$20000,CONFIG_METADATA!$B$4,DATOS!$I$2:$I$20000,"Análisis"),"")))</f>
        <v/>
      </c>
      <c r="AA345" t="str">
        <f>IF(Y345="","",IF(Y345="[FÓRMULA MANUAL]","",IFERROR(AVERAGEIFS(DATOS!$K$2:$K$20000,DATOS!$A$2:$A$20000,Y345,DATOS!$G$2:$G$20000,CONFIG_METADATA!$B$4,DATOS!$I$2:$I$20000,"Orquesta/Banda/Conjunto"),"")))</f>
        <v/>
      </c>
      <c r="AB345" t="str">
        <f>IF(Y345="","",IF(Y345="[FÓRMULA MANUAL]","",IFERROR(AVERAGEIFS(DATOS!$K$2:$K$20000,DATOS!$A$2:$A$20000,Y345,DATOS!$G$2:$G$20000,CONFIG_METADATA!$B$4,DATOS!$I$2:$I$20000,"Música de Cámara"),"")))</f>
        <v/>
      </c>
      <c r="AC345" t="str">
        <f>IF(Y345="","",IF(Y345="[FÓRMULA MANUAL]","",IFERROR(SUMPRODUCT((DATOS!$A$2:$A$20000=Y345)*(DATOS!$G$2:$G$20000=CONFIG_METADATA!$B$4)*(COUNTIF(CONFIG_ASIGNATURAS!$B$7:$B$27,DATOS!$I$2:$I$20000)&gt;0)*(DATOS!$K$2:$K$20000))/SUMPRODUCT((DATOS!$A$2:$A$20000=Y345)*(DATOS!$G$2:$G$20000=CONFIG_METADATA!$B$4)*(COUNTIF(CONFIG_ASIGNATURAS!$B$7:$B$27,DATOS!$I$2:$I$20000)&gt;0)*1),"")))</f>
        <v/>
      </c>
      <c r="AF345" t="str">
        <f>IF(AE345="","",IF(AE345="[FÓRMULA MANUAL]","",IFERROR(AVERAGEIFS(DATOS!$K$2:$K$20000,DATOS!$A$2:$A$20000,AE345,DATOS!$G$2:$G$20000,CONFIG_METADATA!$B$4,DATOS!$I$2:$I$20000,"Análisis"),"")))</f>
        <v/>
      </c>
      <c r="AG345" t="str">
        <f>IF(AE345="","",IF(AE345="[FÓRMULA MANUAL]","",IFERROR(AVERAGEIFS(DATOS!$K$2:$K$20000,DATOS!$A$2:$A$20000,AE345,DATOS!$G$2:$G$20000,CONFIG_METADATA!$B$4,DATOS!$I$2:$I$20000,"Orquesta/Banda/Conjunto"),"")))</f>
        <v/>
      </c>
      <c r="AH345" t="str">
        <f>IF(AE345="","",IF(AE345="[FÓRMULA MANUAL]","",IFERROR(AVERAGEIFS(DATOS!$K$2:$K$20000,DATOS!$A$2:$A$20000,AE345,DATOS!$G$2:$G$20000,CONFIG_METADATA!$B$4,DATOS!$I$2:$I$20000,"Música de Cámara"),"")))</f>
        <v/>
      </c>
      <c r="AI345" t="str">
        <f>IF(AE345="","",IF(AE345="[FÓRMULA MANUAL]","",IFERROR(SUMPRODUCT((DATOS!$A$2:$A$20000=AE345)*(DATOS!$G$2:$G$20000=CONFIG_METADATA!$B$4)*(COUNTIF(CONFIG_ASIGNATURAS!$B$7:$B$27,DATOS!$I$2:$I$20000)&gt;0)*(DATOS!$K$2:$K$20000))/SUMPRODUCT((DATOS!$A$2:$A$20000=AE345)*(DATOS!$G$2:$G$20000=CONFIG_METADATA!$B$4)*(COUNTIF(CONFIG_ASIGNATURAS!$B$7:$B$27,DATOS!$I$2:$I$20000)&gt;0)*1),"")))</f>
        <v/>
      </c>
    </row>
    <row r="346" spans="2:35" x14ac:dyDescent="0.2">
      <c r="B346" t="str">
        <f>IF(A346="","",IF(A346="[FÓRMULA MANUAL]","",IFERROR(AVERAGEIFS(DATOS!$K$2:$K$20000,DATOS!$A$2:$A$20000,A346,DATOS!$G$2:$G$20000,CONFIG_METADATA!$B$4,DATOS!$I$2:$I$20000,"Lenguaje Musical"),"")))</f>
        <v/>
      </c>
      <c r="C346" t="str">
        <f>IF(A346="","",IF(A346="[FÓRMULA MANUAL]","",IFERROR(AVERAGEIFS(DATOS!$K$2:$K$20000,DATOS!$A$2:$A$20000,A346,DATOS!$G$2:$G$20000,CONFIG_METADATA!$B$4,DATOS!$I$2:$I$20000,"Orquesta/Banda/Conjunto"),"")))</f>
        <v/>
      </c>
      <c r="D346" t="str">
        <f>IF(A346="","",IF(A346="[FÓRMULA MANUAL]","",IFERROR(AVERAGEIFS(DATOS!$K$2:$K$20000,DATOS!$A$2:$A$20000,A346,DATOS!$G$2:$G$20000,CONFIG_METADATA!$B$4,DATOS!$I$2:$I$20000,"Conjunto"),"")))</f>
        <v/>
      </c>
      <c r="E346" t="str">
        <f>IF(A346="","",IF(A346="[FÓRMULA MANUAL]","",IFERROR(SUMPRODUCT((DATOS!$A$2:$A$20000=A346)*(DATOS!$G$2:$G$20000=CONFIG_METADATA!$B$4)*(COUNTIF(CONFIG_ASIGNATURAS!$B$7:$B$27,DATOS!$I$2:$I$20000)&gt;0)*(DATOS!$K$2:$K$20000))/SUMPRODUCT((DATOS!$A$2:$A$20000=A346)*(DATOS!$G$2:$G$20000=CONFIG_METADATA!$B$4)*(COUNTIF(CONFIG_ASIGNATURAS!$B$7:$B$27,DATOS!$I$2:$I$20000)&gt;0)*1),"")))</f>
        <v/>
      </c>
      <c r="H346" t="str">
        <f>IF(G346="","",IF(G346="[FÓRMULA MANUAL]","",IFERROR(AVERAGEIFS(DATOS!$K$2:$K$20000,DATOS!$A$2:$A$20000,G346,DATOS!$G$2:$G$20000,CONFIG_METADATA!$B$4,DATOS!$I$2:$I$20000,"Lenguaje Musical"),"")))</f>
        <v/>
      </c>
      <c r="I346" t="str">
        <f>IF(G346="","",IF(G346="[FÓRMULA MANUAL]","",IFERROR(AVERAGEIFS(DATOS!$K$2:$K$20000,DATOS!$A$2:$A$20000,G346,DATOS!$G$2:$G$20000,CONFIG_METADATA!$B$4,DATOS!$I$2:$I$20000,"Orquesta/Banda/Conjunto"),"")))</f>
        <v/>
      </c>
      <c r="J346" t="str">
        <f>IF(G346="","",IF(G346="[FÓRMULA MANUAL]","",IFERROR(AVERAGEIFS(DATOS!$K$2:$K$20000,DATOS!$A$2:$A$20000,G346,DATOS!$G$2:$G$20000,CONFIG_METADATA!$B$4,DATOS!$I$2:$I$20000,"Conjunto"),"")))</f>
        <v/>
      </c>
      <c r="K346" t="str">
        <f>IF(G346="","",IF(G346="[FÓRMULA MANUAL]","",IFERROR(SUMPRODUCT((DATOS!$A$2:$A$20000=G346)*(DATOS!$G$2:$G$20000=CONFIG_METADATA!$B$4)*(COUNTIF(CONFIG_ASIGNATURAS!$B$7:$B$27,DATOS!$I$2:$I$20000)&gt;0)*(DATOS!$K$2:$K$20000))/SUMPRODUCT((DATOS!$A$2:$A$20000=G346)*(DATOS!$G$2:$G$20000=CONFIG_METADATA!$B$4)*(COUNTIF(CONFIG_ASIGNATURAS!$B$7:$B$27,DATOS!$I$2:$I$20000)&gt;0)*1),"")))</f>
        <v/>
      </c>
      <c r="N346" t="str">
        <f>IF(M346="","",IF(M346="[FÓRMULA MANUAL]","",IFERROR(AVERAGEIFS(DATOS!$K$2:$K$20000,DATOS!$A$2:$A$20000,M346,DATOS!$G$2:$G$20000,CONFIG_METADATA!$B$4,DATOS!$I$2:$I$20000,"Armonía"),"")))</f>
        <v/>
      </c>
      <c r="O346" t="str">
        <f>IF(M346="","",IF(M346="[FÓRMULA MANUAL]","",IFERROR(AVERAGEIFS(DATOS!$K$2:$K$20000,DATOS!$A$2:$A$20000,M346,DATOS!$G$2:$G$20000,CONFIG_METADATA!$B$4,DATOS!$I$2:$I$20000,"Orquesta/Banda/Conjunto"),"")))</f>
        <v/>
      </c>
      <c r="P346" t="str">
        <f>IF(M346="","",IF(M346="[FÓRMULA MANUAL]","",IFERROR(AVERAGEIFS(DATOS!$K$2:$K$20000,DATOS!$A$2:$A$20000,M346,DATOS!$G$2:$G$20000,CONFIG_METADATA!$B$4,DATOS!$I$2:$I$20000,"Música de Cámara"),"")))</f>
        <v/>
      </c>
      <c r="Q346" t="str">
        <f>IF(M346="","",IF(M346="[FÓRMULA MANUAL]","",IFERROR(SUMPRODUCT((DATOS!$A$2:$A$20000=M346)*(DATOS!$G$2:$G$20000=CONFIG_METADATA!$B$4)*(COUNTIF(CONFIG_ASIGNATURAS!$B$7:$B$27,DATOS!$I$2:$I$20000)&gt;0)*(DATOS!$K$2:$K$20000))/SUMPRODUCT((DATOS!$A$2:$A$20000=M346)*(DATOS!$G$2:$G$20000=CONFIG_METADATA!$B$4)*(COUNTIF(CONFIG_ASIGNATURAS!$B$7:$B$27,DATOS!$I$2:$I$20000)&gt;0)*1),"")))</f>
        <v/>
      </c>
      <c r="T346" t="str">
        <f>IF(S346="","",IF(S346="[FÓRMULA MANUAL]","",IFERROR(AVERAGEIFS(DATOS!$K$2:$K$20000,DATOS!$A$2:$A$20000,S346,DATOS!$G$2:$G$20000,CONFIG_METADATA!$B$4,DATOS!$I$2:$I$20000,"Armonía"),"")))</f>
        <v/>
      </c>
      <c r="U346" t="str">
        <f>IF(S346="","",IF(S346="[FÓRMULA MANUAL]","",IFERROR(AVERAGEIFS(DATOS!$K$2:$K$20000,DATOS!$A$2:$A$20000,S346,DATOS!$G$2:$G$20000,CONFIG_METADATA!$B$4,DATOS!$I$2:$I$20000,"Orquesta/Banda/Conjunto"),"")))</f>
        <v/>
      </c>
      <c r="V346" t="str">
        <f>IF(S346="","",IF(S346="[FÓRMULA MANUAL]","",IFERROR(AVERAGEIFS(DATOS!$K$2:$K$20000,DATOS!$A$2:$A$20000,S346,DATOS!$G$2:$G$20000,CONFIG_METADATA!$B$4,DATOS!$I$2:$I$20000,"Música de Cámara"),"")))</f>
        <v/>
      </c>
      <c r="W346" t="str">
        <f>IF(S346="","",IF(S346="[FÓRMULA MANUAL]","",IFERROR(SUMPRODUCT((DATOS!$A$2:$A$20000=S346)*(DATOS!$G$2:$G$20000=CONFIG_METADATA!$B$4)*(COUNTIF(CONFIG_ASIGNATURAS!$B$7:$B$27,DATOS!$I$2:$I$20000)&gt;0)*(DATOS!$K$2:$K$20000))/SUMPRODUCT((DATOS!$A$2:$A$20000=S346)*(DATOS!$G$2:$G$20000=CONFIG_METADATA!$B$4)*(COUNTIF(CONFIG_ASIGNATURAS!$B$7:$B$27,DATOS!$I$2:$I$20000)&gt;0)*1),"")))</f>
        <v/>
      </c>
      <c r="Z346" t="str">
        <f>IF(Y346="","",IF(Y346="[FÓRMULA MANUAL]","",IFERROR(AVERAGEIFS(DATOS!$K$2:$K$20000,DATOS!$A$2:$A$20000,Y346,DATOS!$G$2:$G$20000,CONFIG_METADATA!$B$4,DATOS!$I$2:$I$20000,"Análisis"),"")))</f>
        <v/>
      </c>
      <c r="AA346" t="str">
        <f>IF(Y346="","",IF(Y346="[FÓRMULA MANUAL]","",IFERROR(AVERAGEIFS(DATOS!$K$2:$K$20000,DATOS!$A$2:$A$20000,Y346,DATOS!$G$2:$G$20000,CONFIG_METADATA!$B$4,DATOS!$I$2:$I$20000,"Orquesta/Banda/Conjunto"),"")))</f>
        <v/>
      </c>
      <c r="AB346" t="str">
        <f>IF(Y346="","",IF(Y346="[FÓRMULA MANUAL]","",IFERROR(AVERAGEIFS(DATOS!$K$2:$K$20000,DATOS!$A$2:$A$20000,Y346,DATOS!$G$2:$G$20000,CONFIG_METADATA!$B$4,DATOS!$I$2:$I$20000,"Música de Cámara"),"")))</f>
        <v/>
      </c>
      <c r="AC346" t="str">
        <f>IF(Y346="","",IF(Y346="[FÓRMULA MANUAL]","",IFERROR(SUMPRODUCT((DATOS!$A$2:$A$20000=Y346)*(DATOS!$G$2:$G$20000=CONFIG_METADATA!$B$4)*(COUNTIF(CONFIG_ASIGNATURAS!$B$7:$B$27,DATOS!$I$2:$I$20000)&gt;0)*(DATOS!$K$2:$K$20000))/SUMPRODUCT((DATOS!$A$2:$A$20000=Y346)*(DATOS!$G$2:$G$20000=CONFIG_METADATA!$B$4)*(COUNTIF(CONFIG_ASIGNATURAS!$B$7:$B$27,DATOS!$I$2:$I$20000)&gt;0)*1),"")))</f>
        <v/>
      </c>
      <c r="AF346" t="str">
        <f>IF(AE346="","",IF(AE346="[FÓRMULA MANUAL]","",IFERROR(AVERAGEIFS(DATOS!$K$2:$K$20000,DATOS!$A$2:$A$20000,AE346,DATOS!$G$2:$G$20000,CONFIG_METADATA!$B$4,DATOS!$I$2:$I$20000,"Análisis"),"")))</f>
        <v/>
      </c>
      <c r="AG346" t="str">
        <f>IF(AE346="","",IF(AE346="[FÓRMULA MANUAL]","",IFERROR(AVERAGEIFS(DATOS!$K$2:$K$20000,DATOS!$A$2:$A$20000,AE346,DATOS!$G$2:$G$20000,CONFIG_METADATA!$B$4,DATOS!$I$2:$I$20000,"Orquesta/Banda/Conjunto"),"")))</f>
        <v/>
      </c>
      <c r="AH346" t="str">
        <f>IF(AE346="","",IF(AE346="[FÓRMULA MANUAL]","",IFERROR(AVERAGEIFS(DATOS!$K$2:$K$20000,DATOS!$A$2:$A$20000,AE346,DATOS!$G$2:$G$20000,CONFIG_METADATA!$B$4,DATOS!$I$2:$I$20000,"Música de Cámara"),"")))</f>
        <v/>
      </c>
      <c r="AI346" t="str">
        <f>IF(AE346="","",IF(AE346="[FÓRMULA MANUAL]","",IFERROR(SUMPRODUCT((DATOS!$A$2:$A$20000=AE346)*(DATOS!$G$2:$G$20000=CONFIG_METADATA!$B$4)*(COUNTIF(CONFIG_ASIGNATURAS!$B$7:$B$27,DATOS!$I$2:$I$20000)&gt;0)*(DATOS!$K$2:$K$20000))/SUMPRODUCT((DATOS!$A$2:$A$20000=AE346)*(DATOS!$G$2:$G$20000=CONFIG_METADATA!$B$4)*(COUNTIF(CONFIG_ASIGNATURAS!$B$7:$B$27,DATOS!$I$2:$I$20000)&gt;0)*1),"")))</f>
        <v/>
      </c>
    </row>
    <row r="347" spans="2:35" x14ac:dyDescent="0.2">
      <c r="B347" t="str">
        <f>IF(A347="","",IF(A347="[FÓRMULA MANUAL]","",IFERROR(AVERAGEIFS(DATOS!$K$2:$K$20000,DATOS!$A$2:$A$20000,A347,DATOS!$G$2:$G$20000,CONFIG_METADATA!$B$4,DATOS!$I$2:$I$20000,"Lenguaje Musical"),"")))</f>
        <v/>
      </c>
      <c r="C347" t="str">
        <f>IF(A347="","",IF(A347="[FÓRMULA MANUAL]","",IFERROR(AVERAGEIFS(DATOS!$K$2:$K$20000,DATOS!$A$2:$A$20000,A347,DATOS!$G$2:$G$20000,CONFIG_METADATA!$B$4,DATOS!$I$2:$I$20000,"Orquesta/Banda/Conjunto"),"")))</f>
        <v/>
      </c>
      <c r="D347" t="str">
        <f>IF(A347="","",IF(A347="[FÓRMULA MANUAL]","",IFERROR(AVERAGEIFS(DATOS!$K$2:$K$20000,DATOS!$A$2:$A$20000,A347,DATOS!$G$2:$G$20000,CONFIG_METADATA!$B$4,DATOS!$I$2:$I$20000,"Conjunto"),"")))</f>
        <v/>
      </c>
      <c r="E347" t="str">
        <f>IF(A347="","",IF(A347="[FÓRMULA MANUAL]","",IFERROR(SUMPRODUCT((DATOS!$A$2:$A$20000=A347)*(DATOS!$G$2:$G$20000=CONFIG_METADATA!$B$4)*(COUNTIF(CONFIG_ASIGNATURAS!$B$7:$B$27,DATOS!$I$2:$I$20000)&gt;0)*(DATOS!$K$2:$K$20000))/SUMPRODUCT((DATOS!$A$2:$A$20000=A347)*(DATOS!$G$2:$G$20000=CONFIG_METADATA!$B$4)*(COUNTIF(CONFIG_ASIGNATURAS!$B$7:$B$27,DATOS!$I$2:$I$20000)&gt;0)*1),"")))</f>
        <v/>
      </c>
      <c r="H347" t="str">
        <f>IF(G347="","",IF(G347="[FÓRMULA MANUAL]","",IFERROR(AVERAGEIFS(DATOS!$K$2:$K$20000,DATOS!$A$2:$A$20000,G347,DATOS!$G$2:$G$20000,CONFIG_METADATA!$B$4,DATOS!$I$2:$I$20000,"Lenguaje Musical"),"")))</f>
        <v/>
      </c>
      <c r="I347" t="str">
        <f>IF(G347="","",IF(G347="[FÓRMULA MANUAL]","",IFERROR(AVERAGEIFS(DATOS!$K$2:$K$20000,DATOS!$A$2:$A$20000,G347,DATOS!$G$2:$G$20000,CONFIG_METADATA!$B$4,DATOS!$I$2:$I$20000,"Orquesta/Banda/Conjunto"),"")))</f>
        <v/>
      </c>
      <c r="J347" t="str">
        <f>IF(G347="","",IF(G347="[FÓRMULA MANUAL]","",IFERROR(AVERAGEIFS(DATOS!$K$2:$K$20000,DATOS!$A$2:$A$20000,G347,DATOS!$G$2:$G$20000,CONFIG_METADATA!$B$4,DATOS!$I$2:$I$20000,"Conjunto"),"")))</f>
        <v/>
      </c>
      <c r="K347" t="str">
        <f>IF(G347="","",IF(G347="[FÓRMULA MANUAL]","",IFERROR(SUMPRODUCT((DATOS!$A$2:$A$20000=G347)*(DATOS!$G$2:$G$20000=CONFIG_METADATA!$B$4)*(COUNTIF(CONFIG_ASIGNATURAS!$B$7:$B$27,DATOS!$I$2:$I$20000)&gt;0)*(DATOS!$K$2:$K$20000))/SUMPRODUCT((DATOS!$A$2:$A$20000=G347)*(DATOS!$G$2:$G$20000=CONFIG_METADATA!$B$4)*(COUNTIF(CONFIG_ASIGNATURAS!$B$7:$B$27,DATOS!$I$2:$I$20000)&gt;0)*1),"")))</f>
        <v/>
      </c>
      <c r="N347" t="str">
        <f>IF(M347="","",IF(M347="[FÓRMULA MANUAL]","",IFERROR(AVERAGEIFS(DATOS!$K$2:$K$20000,DATOS!$A$2:$A$20000,M347,DATOS!$G$2:$G$20000,CONFIG_METADATA!$B$4,DATOS!$I$2:$I$20000,"Armonía"),"")))</f>
        <v/>
      </c>
      <c r="O347" t="str">
        <f>IF(M347="","",IF(M347="[FÓRMULA MANUAL]","",IFERROR(AVERAGEIFS(DATOS!$K$2:$K$20000,DATOS!$A$2:$A$20000,M347,DATOS!$G$2:$G$20000,CONFIG_METADATA!$B$4,DATOS!$I$2:$I$20000,"Orquesta/Banda/Conjunto"),"")))</f>
        <v/>
      </c>
      <c r="P347" t="str">
        <f>IF(M347="","",IF(M347="[FÓRMULA MANUAL]","",IFERROR(AVERAGEIFS(DATOS!$K$2:$K$20000,DATOS!$A$2:$A$20000,M347,DATOS!$G$2:$G$20000,CONFIG_METADATA!$B$4,DATOS!$I$2:$I$20000,"Música de Cámara"),"")))</f>
        <v/>
      </c>
      <c r="Q347" t="str">
        <f>IF(M347="","",IF(M347="[FÓRMULA MANUAL]","",IFERROR(SUMPRODUCT((DATOS!$A$2:$A$20000=M347)*(DATOS!$G$2:$G$20000=CONFIG_METADATA!$B$4)*(COUNTIF(CONFIG_ASIGNATURAS!$B$7:$B$27,DATOS!$I$2:$I$20000)&gt;0)*(DATOS!$K$2:$K$20000))/SUMPRODUCT((DATOS!$A$2:$A$20000=M347)*(DATOS!$G$2:$G$20000=CONFIG_METADATA!$B$4)*(COUNTIF(CONFIG_ASIGNATURAS!$B$7:$B$27,DATOS!$I$2:$I$20000)&gt;0)*1),"")))</f>
        <v/>
      </c>
      <c r="T347" t="str">
        <f>IF(S347="","",IF(S347="[FÓRMULA MANUAL]","",IFERROR(AVERAGEIFS(DATOS!$K$2:$K$20000,DATOS!$A$2:$A$20000,S347,DATOS!$G$2:$G$20000,CONFIG_METADATA!$B$4,DATOS!$I$2:$I$20000,"Armonía"),"")))</f>
        <v/>
      </c>
      <c r="U347" t="str">
        <f>IF(S347="","",IF(S347="[FÓRMULA MANUAL]","",IFERROR(AVERAGEIFS(DATOS!$K$2:$K$20000,DATOS!$A$2:$A$20000,S347,DATOS!$G$2:$G$20000,CONFIG_METADATA!$B$4,DATOS!$I$2:$I$20000,"Orquesta/Banda/Conjunto"),"")))</f>
        <v/>
      </c>
      <c r="V347" t="str">
        <f>IF(S347="","",IF(S347="[FÓRMULA MANUAL]","",IFERROR(AVERAGEIFS(DATOS!$K$2:$K$20000,DATOS!$A$2:$A$20000,S347,DATOS!$G$2:$G$20000,CONFIG_METADATA!$B$4,DATOS!$I$2:$I$20000,"Música de Cámara"),"")))</f>
        <v/>
      </c>
      <c r="W347" t="str">
        <f>IF(S347="","",IF(S347="[FÓRMULA MANUAL]","",IFERROR(SUMPRODUCT((DATOS!$A$2:$A$20000=S347)*(DATOS!$G$2:$G$20000=CONFIG_METADATA!$B$4)*(COUNTIF(CONFIG_ASIGNATURAS!$B$7:$B$27,DATOS!$I$2:$I$20000)&gt;0)*(DATOS!$K$2:$K$20000))/SUMPRODUCT((DATOS!$A$2:$A$20000=S347)*(DATOS!$G$2:$G$20000=CONFIG_METADATA!$B$4)*(COUNTIF(CONFIG_ASIGNATURAS!$B$7:$B$27,DATOS!$I$2:$I$20000)&gt;0)*1),"")))</f>
        <v/>
      </c>
      <c r="Z347" t="str">
        <f>IF(Y347="","",IF(Y347="[FÓRMULA MANUAL]","",IFERROR(AVERAGEIFS(DATOS!$K$2:$K$20000,DATOS!$A$2:$A$20000,Y347,DATOS!$G$2:$G$20000,CONFIG_METADATA!$B$4,DATOS!$I$2:$I$20000,"Análisis"),"")))</f>
        <v/>
      </c>
      <c r="AA347" t="str">
        <f>IF(Y347="","",IF(Y347="[FÓRMULA MANUAL]","",IFERROR(AVERAGEIFS(DATOS!$K$2:$K$20000,DATOS!$A$2:$A$20000,Y347,DATOS!$G$2:$G$20000,CONFIG_METADATA!$B$4,DATOS!$I$2:$I$20000,"Orquesta/Banda/Conjunto"),"")))</f>
        <v/>
      </c>
      <c r="AB347" t="str">
        <f>IF(Y347="","",IF(Y347="[FÓRMULA MANUAL]","",IFERROR(AVERAGEIFS(DATOS!$K$2:$K$20000,DATOS!$A$2:$A$20000,Y347,DATOS!$G$2:$G$20000,CONFIG_METADATA!$B$4,DATOS!$I$2:$I$20000,"Música de Cámara"),"")))</f>
        <v/>
      </c>
      <c r="AC347" t="str">
        <f>IF(Y347="","",IF(Y347="[FÓRMULA MANUAL]","",IFERROR(SUMPRODUCT((DATOS!$A$2:$A$20000=Y347)*(DATOS!$G$2:$G$20000=CONFIG_METADATA!$B$4)*(COUNTIF(CONFIG_ASIGNATURAS!$B$7:$B$27,DATOS!$I$2:$I$20000)&gt;0)*(DATOS!$K$2:$K$20000))/SUMPRODUCT((DATOS!$A$2:$A$20000=Y347)*(DATOS!$G$2:$G$20000=CONFIG_METADATA!$B$4)*(COUNTIF(CONFIG_ASIGNATURAS!$B$7:$B$27,DATOS!$I$2:$I$20000)&gt;0)*1),"")))</f>
        <v/>
      </c>
      <c r="AF347" t="str">
        <f>IF(AE347="","",IF(AE347="[FÓRMULA MANUAL]","",IFERROR(AVERAGEIFS(DATOS!$K$2:$K$20000,DATOS!$A$2:$A$20000,AE347,DATOS!$G$2:$G$20000,CONFIG_METADATA!$B$4,DATOS!$I$2:$I$20000,"Análisis"),"")))</f>
        <v/>
      </c>
      <c r="AG347" t="str">
        <f>IF(AE347="","",IF(AE347="[FÓRMULA MANUAL]","",IFERROR(AVERAGEIFS(DATOS!$K$2:$K$20000,DATOS!$A$2:$A$20000,AE347,DATOS!$G$2:$G$20000,CONFIG_METADATA!$B$4,DATOS!$I$2:$I$20000,"Orquesta/Banda/Conjunto"),"")))</f>
        <v/>
      </c>
      <c r="AH347" t="str">
        <f>IF(AE347="","",IF(AE347="[FÓRMULA MANUAL]","",IFERROR(AVERAGEIFS(DATOS!$K$2:$K$20000,DATOS!$A$2:$A$20000,AE347,DATOS!$G$2:$G$20000,CONFIG_METADATA!$B$4,DATOS!$I$2:$I$20000,"Música de Cámara"),"")))</f>
        <v/>
      </c>
      <c r="AI347" t="str">
        <f>IF(AE347="","",IF(AE347="[FÓRMULA MANUAL]","",IFERROR(SUMPRODUCT((DATOS!$A$2:$A$20000=AE347)*(DATOS!$G$2:$G$20000=CONFIG_METADATA!$B$4)*(COUNTIF(CONFIG_ASIGNATURAS!$B$7:$B$27,DATOS!$I$2:$I$20000)&gt;0)*(DATOS!$K$2:$K$20000))/SUMPRODUCT((DATOS!$A$2:$A$20000=AE347)*(DATOS!$G$2:$G$20000=CONFIG_METADATA!$B$4)*(COUNTIF(CONFIG_ASIGNATURAS!$B$7:$B$27,DATOS!$I$2:$I$20000)&gt;0)*1),"")))</f>
        <v/>
      </c>
    </row>
    <row r="348" spans="2:35" x14ac:dyDescent="0.2">
      <c r="B348" t="str">
        <f>IF(A348="","",IF(A348="[FÓRMULA MANUAL]","",IFERROR(AVERAGEIFS(DATOS!$K$2:$K$20000,DATOS!$A$2:$A$20000,A348,DATOS!$G$2:$G$20000,CONFIG_METADATA!$B$4,DATOS!$I$2:$I$20000,"Lenguaje Musical"),"")))</f>
        <v/>
      </c>
      <c r="C348" t="str">
        <f>IF(A348="","",IF(A348="[FÓRMULA MANUAL]","",IFERROR(AVERAGEIFS(DATOS!$K$2:$K$20000,DATOS!$A$2:$A$20000,A348,DATOS!$G$2:$G$20000,CONFIG_METADATA!$B$4,DATOS!$I$2:$I$20000,"Orquesta/Banda/Conjunto"),"")))</f>
        <v/>
      </c>
      <c r="D348" t="str">
        <f>IF(A348="","",IF(A348="[FÓRMULA MANUAL]","",IFERROR(AVERAGEIFS(DATOS!$K$2:$K$20000,DATOS!$A$2:$A$20000,A348,DATOS!$G$2:$G$20000,CONFIG_METADATA!$B$4,DATOS!$I$2:$I$20000,"Conjunto"),"")))</f>
        <v/>
      </c>
      <c r="E348" t="str">
        <f>IF(A348="","",IF(A348="[FÓRMULA MANUAL]","",IFERROR(SUMPRODUCT((DATOS!$A$2:$A$20000=A348)*(DATOS!$G$2:$G$20000=CONFIG_METADATA!$B$4)*(COUNTIF(CONFIG_ASIGNATURAS!$B$7:$B$27,DATOS!$I$2:$I$20000)&gt;0)*(DATOS!$K$2:$K$20000))/SUMPRODUCT((DATOS!$A$2:$A$20000=A348)*(DATOS!$G$2:$G$20000=CONFIG_METADATA!$B$4)*(COUNTIF(CONFIG_ASIGNATURAS!$B$7:$B$27,DATOS!$I$2:$I$20000)&gt;0)*1),"")))</f>
        <v/>
      </c>
      <c r="H348" t="str">
        <f>IF(G348="","",IF(G348="[FÓRMULA MANUAL]","",IFERROR(AVERAGEIFS(DATOS!$K$2:$K$20000,DATOS!$A$2:$A$20000,G348,DATOS!$G$2:$G$20000,CONFIG_METADATA!$B$4,DATOS!$I$2:$I$20000,"Lenguaje Musical"),"")))</f>
        <v/>
      </c>
      <c r="I348" t="str">
        <f>IF(G348="","",IF(G348="[FÓRMULA MANUAL]","",IFERROR(AVERAGEIFS(DATOS!$K$2:$K$20000,DATOS!$A$2:$A$20000,G348,DATOS!$G$2:$G$20000,CONFIG_METADATA!$B$4,DATOS!$I$2:$I$20000,"Orquesta/Banda/Conjunto"),"")))</f>
        <v/>
      </c>
      <c r="J348" t="str">
        <f>IF(G348="","",IF(G348="[FÓRMULA MANUAL]","",IFERROR(AVERAGEIFS(DATOS!$K$2:$K$20000,DATOS!$A$2:$A$20000,G348,DATOS!$G$2:$G$20000,CONFIG_METADATA!$B$4,DATOS!$I$2:$I$20000,"Conjunto"),"")))</f>
        <v/>
      </c>
      <c r="K348" t="str">
        <f>IF(G348="","",IF(G348="[FÓRMULA MANUAL]","",IFERROR(SUMPRODUCT((DATOS!$A$2:$A$20000=G348)*(DATOS!$G$2:$G$20000=CONFIG_METADATA!$B$4)*(COUNTIF(CONFIG_ASIGNATURAS!$B$7:$B$27,DATOS!$I$2:$I$20000)&gt;0)*(DATOS!$K$2:$K$20000))/SUMPRODUCT((DATOS!$A$2:$A$20000=G348)*(DATOS!$G$2:$G$20000=CONFIG_METADATA!$B$4)*(COUNTIF(CONFIG_ASIGNATURAS!$B$7:$B$27,DATOS!$I$2:$I$20000)&gt;0)*1),"")))</f>
        <v/>
      </c>
      <c r="N348" t="str">
        <f>IF(M348="","",IF(M348="[FÓRMULA MANUAL]","",IFERROR(AVERAGEIFS(DATOS!$K$2:$K$20000,DATOS!$A$2:$A$20000,M348,DATOS!$G$2:$G$20000,CONFIG_METADATA!$B$4,DATOS!$I$2:$I$20000,"Armonía"),"")))</f>
        <v/>
      </c>
      <c r="O348" t="str">
        <f>IF(M348="","",IF(M348="[FÓRMULA MANUAL]","",IFERROR(AVERAGEIFS(DATOS!$K$2:$K$20000,DATOS!$A$2:$A$20000,M348,DATOS!$G$2:$G$20000,CONFIG_METADATA!$B$4,DATOS!$I$2:$I$20000,"Orquesta/Banda/Conjunto"),"")))</f>
        <v/>
      </c>
      <c r="P348" t="str">
        <f>IF(M348="","",IF(M348="[FÓRMULA MANUAL]","",IFERROR(AVERAGEIFS(DATOS!$K$2:$K$20000,DATOS!$A$2:$A$20000,M348,DATOS!$G$2:$G$20000,CONFIG_METADATA!$B$4,DATOS!$I$2:$I$20000,"Música de Cámara"),"")))</f>
        <v/>
      </c>
      <c r="Q348" t="str">
        <f>IF(M348="","",IF(M348="[FÓRMULA MANUAL]","",IFERROR(SUMPRODUCT((DATOS!$A$2:$A$20000=M348)*(DATOS!$G$2:$G$20000=CONFIG_METADATA!$B$4)*(COUNTIF(CONFIG_ASIGNATURAS!$B$7:$B$27,DATOS!$I$2:$I$20000)&gt;0)*(DATOS!$K$2:$K$20000))/SUMPRODUCT((DATOS!$A$2:$A$20000=M348)*(DATOS!$G$2:$G$20000=CONFIG_METADATA!$B$4)*(COUNTIF(CONFIG_ASIGNATURAS!$B$7:$B$27,DATOS!$I$2:$I$20000)&gt;0)*1),"")))</f>
        <v/>
      </c>
      <c r="T348" t="str">
        <f>IF(S348="","",IF(S348="[FÓRMULA MANUAL]","",IFERROR(AVERAGEIFS(DATOS!$K$2:$K$20000,DATOS!$A$2:$A$20000,S348,DATOS!$G$2:$G$20000,CONFIG_METADATA!$B$4,DATOS!$I$2:$I$20000,"Armonía"),"")))</f>
        <v/>
      </c>
      <c r="U348" t="str">
        <f>IF(S348="","",IF(S348="[FÓRMULA MANUAL]","",IFERROR(AVERAGEIFS(DATOS!$K$2:$K$20000,DATOS!$A$2:$A$20000,S348,DATOS!$G$2:$G$20000,CONFIG_METADATA!$B$4,DATOS!$I$2:$I$20000,"Orquesta/Banda/Conjunto"),"")))</f>
        <v/>
      </c>
      <c r="V348" t="str">
        <f>IF(S348="","",IF(S348="[FÓRMULA MANUAL]","",IFERROR(AVERAGEIFS(DATOS!$K$2:$K$20000,DATOS!$A$2:$A$20000,S348,DATOS!$G$2:$G$20000,CONFIG_METADATA!$B$4,DATOS!$I$2:$I$20000,"Música de Cámara"),"")))</f>
        <v/>
      </c>
      <c r="W348" t="str">
        <f>IF(S348="","",IF(S348="[FÓRMULA MANUAL]","",IFERROR(SUMPRODUCT((DATOS!$A$2:$A$20000=S348)*(DATOS!$G$2:$G$20000=CONFIG_METADATA!$B$4)*(COUNTIF(CONFIG_ASIGNATURAS!$B$7:$B$27,DATOS!$I$2:$I$20000)&gt;0)*(DATOS!$K$2:$K$20000))/SUMPRODUCT((DATOS!$A$2:$A$20000=S348)*(DATOS!$G$2:$G$20000=CONFIG_METADATA!$B$4)*(COUNTIF(CONFIG_ASIGNATURAS!$B$7:$B$27,DATOS!$I$2:$I$20000)&gt;0)*1),"")))</f>
        <v/>
      </c>
      <c r="Z348" t="str">
        <f>IF(Y348="","",IF(Y348="[FÓRMULA MANUAL]","",IFERROR(AVERAGEIFS(DATOS!$K$2:$K$20000,DATOS!$A$2:$A$20000,Y348,DATOS!$G$2:$G$20000,CONFIG_METADATA!$B$4,DATOS!$I$2:$I$20000,"Análisis"),"")))</f>
        <v/>
      </c>
      <c r="AA348" t="str">
        <f>IF(Y348="","",IF(Y348="[FÓRMULA MANUAL]","",IFERROR(AVERAGEIFS(DATOS!$K$2:$K$20000,DATOS!$A$2:$A$20000,Y348,DATOS!$G$2:$G$20000,CONFIG_METADATA!$B$4,DATOS!$I$2:$I$20000,"Orquesta/Banda/Conjunto"),"")))</f>
        <v/>
      </c>
      <c r="AB348" t="str">
        <f>IF(Y348="","",IF(Y348="[FÓRMULA MANUAL]","",IFERROR(AVERAGEIFS(DATOS!$K$2:$K$20000,DATOS!$A$2:$A$20000,Y348,DATOS!$G$2:$G$20000,CONFIG_METADATA!$B$4,DATOS!$I$2:$I$20000,"Música de Cámara"),"")))</f>
        <v/>
      </c>
      <c r="AC348" t="str">
        <f>IF(Y348="","",IF(Y348="[FÓRMULA MANUAL]","",IFERROR(SUMPRODUCT((DATOS!$A$2:$A$20000=Y348)*(DATOS!$G$2:$G$20000=CONFIG_METADATA!$B$4)*(COUNTIF(CONFIG_ASIGNATURAS!$B$7:$B$27,DATOS!$I$2:$I$20000)&gt;0)*(DATOS!$K$2:$K$20000))/SUMPRODUCT((DATOS!$A$2:$A$20000=Y348)*(DATOS!$G$2:$G$20000=CONFIG_METADATA!$B$4)*(COUNTIF(CONFIG_ASIGNATURAS!$B$7:$B$27,DATOS!$I$2:$I$20000)&gt;0)*1),"")))</f>
        <v/>
      </c>
      <c r="AF348" t="str">
        <f>IF(AE348="","",IF(AE348="[FÓRMULA MANUAL]","",IFERROR(AVERAGEIFS(DATOS!$K$2:$K$20000,DATOS!$A$2:$A$20000,AE348,DATOS!$G$2:$G$20000,CONFIG_METADATA!$B$4,DATOS!$I$2:$I$20000,"Análisis"),"")))</f>
        <v/>
      </c>
      <c r="AG348" t="str">
        <f>IF(AE348="","",IF(AE348="[FÓRMULA MANUAL]","",IFERROR(AVERAGEIFS(DATOS!$K$2:$K$20000,DATOS!$A$2:$A$20000,AE348,DATOS!$G$2:$G$20000,CONFIG_METADATA!$B$4,DATOS!$I$2:$I$20000,"Orquesta/Banda/Conjunto"),"")))</f>
        <v/>
      </c>
      <c r="AH348" t="str">
        <f>IF(AE348="","",IF(AE348="[FÓRMULA MANUAL]","",IFERROR(AVERAGEIFS(DATOS!$K$2:$K$20000,DATOS!$A$2:$A$20000,AE348,DATOS!$G$2:$G$20000,CONFIG_METADATA!$B$4,DATOS!$I$2:$I$20000,"Música de Cámara"),"")))</f>
        <v/>
      </c>
      <c r="AI348" t="str">
        <f>IF(AE348="","",IF(AE348="[FÓRMULA MANUAL]","",IFERROR(SUMPRODUCT((DATOS!$A$2:$A$20000=AE348)*(DATOS!$G$2:$G$20000=CONFIG_METADATA!$B$4)*(COUNTIF(CONFIG_ASIGNATURAS!$B$7:$B$27,DATOS!$I$2:$I$20000)&gt;0)*(DATOS!$K$2:$K$20000))/SUMPRODUCT((DATOS!$A$2:$A$20000=AE348)*(DATOS!$G$2:$G$20000=CONFIG_METADATA!$B$4)*(COUNTIF(CONFIG_ASIGNATURAS!$B$7:$B$27,DATOS!$I$2:$I$20000)&gt;0)*1),"")))</f>
        <v/>
      </c>
    </row>
    <row r="349" spans="2:35" x14ac:dyDescent="0.2">
      <c r="B349" t="str">
        <f>IF(A349="","",IF(A349="[FÓRMULA MANUAL]","",IFERROR(AVERAGEIFS(DATOS!$K$2:$K$20000,DATOS!$A$2:$A$20000,A349,DATOS!$G$2:$G$20000,CONFIG_METADATA!$B$4,DATOS!$I$2:$I$20000,"Lenguaje Musical"),"")))</f>
        <v/>
      </c>
      <c r="C349" t="str">
        <f>IF(A349="","",IF(A349="[FÓRMULA MANUAL]","",IFERROR(AVERAGEIFS(DATOS!$K$2:$K$20000,DATOS!$A$2:$A$20000,A349,DATOS!$G$2:$G$20000,CONFIG_METADATA!$B$4,DATOS!$I$2:$I$20000,"Orquesta/Banda/Conjunto"),"")))</f>
        <v/>
      </c>
      <c r="D349" t="str">
        <f>IF(A349="","",IF(A349="[FÓRMULA MANUAL]","",IFERROR(AVERAGEIFS(DATOS!$K$2:$K$20000,DATOS!$A$2:$A$20000,A349,DATOS!$G$2:$G$20000,CONFIG_METADATA!$B$4,DATOS!$I$2:$I$20000,"Conjunto"),"")))</f>
        <v/>
      </c>
      <c r="E349" t="str">
        <f>IF(A349="","",IF(A349="[FÓRMULA MANUAL]","",IFERROR(SUMPRODUCT((DATOS!$A$2:$A$20000=A349)*(DATOS!$G$2:$G$20000=CONFIG_METADATA!$B$4)*(COUNTIF(CONFIG_ASIGNATURAS!$B$7:$B$27,DATOS!$I$2:$I$20000)&gt;0)*(DATOS!$K$2:$K$20000))/SUMPRODUCT((DATOS!$A$2:$A$20000=A349)*(DATOS!$G$2:$G$20000=CONFIG_METADATA!$B$4)*(COUNTIF(CONFIG_ASIGNATURAS!$B$7:$B$27,DATOS!$I$2:$I$20000)&gt;0)*1),"")))</f>
        <v/>
      </c>
      <c r="H349" t="str">
        <f>IF(G349="","",IF(G349="[FÓRMULA MANUAL]","",IFERROR(AVERAGEIFS(DATOS!$K$2:$K$20000,DATOS!$A$2:$A$20000,G349,DATOS!$G$2:$G$20000,CONFIG_METADATA!$B$4,DATOS!$I$2:$I$20000,"Lenguaje Musical"),"")))</f>
        <v/>
      </c>
      <c r="I349" t="str">
        <f>IF(G349="","",IF(G349="[FÓRMULA MANUAL]","",IFERROR(AVERAGEIFS(DATOS!$K$2:$K$20000,DATOS!$A$2:$A$20000,G349,DATOS!$G$2:$G$20000,CONFIG_METADATA!$B$4,DATOS!$I$2:$I$20000,"Orquesta/Banda/Conjunto"),"")))</f>
        <v/>
      </c>
      <c r="J349" t="str">
        <f>IF(G349="","",IF(G349="[FÓRMULA MANUAL]","",IFERROR(AVERAGEIFS(DATOS!$K$2:$K$20000,DATOS!$A$2:$A$20000,G349,DATOS!$G$2:$G$20000,CONFIG_METADATA!$B$4,DATOS!$I$2:$I$20000,"Conjunto"),"")))</f>
        <v/>
      </c>
      <c r="K349" t="str">
        <f>IF(G349="","",IF(G349="[FÓRMULA MANUAL]","",IFERROR(SUMPRODUCT((DATOS!$A$2:$A$20000=G349)*(DATOS!$G$2:$G$20000=CONFIG_METADATA!$B$4)*(COUNTIF(CONFIG_ASIGNATURAS!$B$7:$B$27,DATOS!$I$2:$I$20000)&gt;0)*(DATOS!$K$2:$K$20000))/SUMPRODUCT((DATOS!$A$2:$A$20000=G349)*(DATOS!$G$2:$G$20000=CONFIG_METADATA!$B$4)*(COUNTIF(CONFIG_ASIGNATURAS!$B$7:$B$27,DATOS!$I$2:$I$20000)&gt;0)*1),"")))</f>
        <v/>
      </c>
      <c r="N349" t="str">
        <f>IF(M349="","",IF(M349="[FÓRMULA MANUAL]","",IFERROR(AVERAGEIFS(DATOS!$K$2:$K$20000,DATOS!$A$2:$A$20000,M349,DATOS!$G$2:$G$20000,CONFIG_METADATA!$B$4,DATOS!$I$2:$I$20000,"Armonía"),"")))</f>
        <v/>
      </c>
      <c r="O349" t="str">
        <f>IF(M349="","",IF(M349="[FÓRMULA MANUAL]","",IFERROR(AVERAGEIFS(DATOS!$K$2:$K$20000,DATOS!$A$2:$A$20000,M349,DATOS!$G$2:$G$20000,CONFIG_METADATA!$B$4,DATOS!$I$2:$I$20000,"Orquesta/Banda/Conjunto"),"")))</f>
        <v/>
      </c>
      <c r="P349" t="str">
        <f>IF(M349="","",IF(M349="[FÓRMULA MANUAL]","",IFERROR(AVERAGEIFS(DATOS!$K$2:$K$20000,DATOS!$A$2:$A$20000,M349,DATOS!$G$2:$G$20000,CONFIG_METADATA!$B$4,DATOS!$I$2:$I$20000,"Música de Cámara"),"")))</f>
        <v/>
      </c>
      <c r="Q349" t="str">
        <f>IF(M349="","",IF(M349="[FÓRMULA MANUAL]","",IFERROR(SUMPRODUCT((DATOS!$A$2:$A$20000=M349)*(DATOS!$G$2:$G$20000=CONFIG_METADATA!$B$4)*(COUNTIF(CONFIG_ASIGNATURAS!$B$7:$B$27,DATOS!$I$2:$I$20000)&gt;0)*(DATOS!$K$2:$K$20000))/SUMPRODUCT((DATOS!$A$2:$A$20000=M349)*(DATOS!$G$2:$G$20000=CONFIG_METADATA!$B$4)*(COUNTIF(CONFIG_ASIGNATURAS!$B$7:$B$27,DATOS!$I$2:$I$20000)&gt;0)*1),"")))</f>
        <v/>
      </c>
      <c r="T349" t="str">
        <f>IF(S349="","",IF(S349="[FÓRMULA MANUAL]","",IFERROR(AVERAGEIFS(DATOS!$K$2:$K$20000,DATOS!$A$2:$A$20000,S349,DATOS!$G$2:$G$20000,CONFIG_METADATA!$B$4,DATOS!$I$2:$I$20000,"Armonía"),"")))</f>
        <v/>
      </c>
      <c r="U349" t="str">
        <f>IF(S349="","",IF(S349="[FÓRMULA MANUAL]","",IFERROR(AVERAGEIFS(DATOS!$K$2:$K$20000,DATOS!$A$2:$A$20000,S349,DATOS!$G$2:$G$20000,CONFIG_METADATA!$B$4,DATOS!$I$2:$I$20000,"Orquesta/Banda/Conjunto"),"")))</f>
        <v/>
      </c>
      <c r="V349" t="str">
        <f>IF(S349="","",IF(S349="[FÓRMULA MANUAL]","",IFERROR(AVERAGEIFS(DATOS!$K$2:$K$20000,DATOS!$A$2:$A$20000,S349,DATOS!$G$2:$G$20000,CONFIG_METADATA!$B$4,DATOS!$I$2:$I$20000,"Música de Cámara"),"")))</f>
        <v/>
      </c>
      <c r="W349" t="str">
        <f>IF(S349="","",IF(S349="[FÓRMULA MANUAL]","",IFERROR(SUMPRODUCT((DATOS!$A$2:$A$20000=S349)*(DATOS!$G$2:$G$20000=CONFIG_METADATA!$B$4)*(COUNTIF(CONFIG_ASIGNATURAS!$B$7:$B$27,DATOS!$I$2:$I$20000)&gt;0)*(DATOS!$K$2:$K$20000))/SUMPRODUCT((DATOS!$A$2:$A$20000=S349)*(DATOS!$G$2:$G$20000=CONFIG_METADATA!$B$4)*(COUNTIF(CONFIG_ASIGNATURAS!$B$7:$B$27,DATOS!$I$2:$I$20000)&gt;0)*1),"")))</f>
        <v/>
      </c>
      <c r="Z349" t="str">
        <f>IF(Y349="","",IF(Y349="[FÓRMULA MANUAL]","",IFERROR(AVERAGEIFS(DATOS!$K$2:$K$20000,DATOS!$A$2:$A$20000,Y349,DATOS!$G$2:$G$20000,CONFIG_METADATA!$B$4,DATOS!$I$2:$I$20000,"Análisis"),"")))</f>
        <v/>
      </c>
      <c r="AA349" t="str">
        <f>IF(Y349="","",IF(Y349="[FÓRMULA MANUAL]","",IFERROR(AVERAGEIFS(DATOS!$K$2:$K$20000,DATOS!$A$2:$A$20000,Y349,DATOS!$G$2:$G$20000,CONFIG_METADATA!$B$4,DATOS!$I$2:$I$20000,"Orquesta/Banda/Conjunto"),"")))</f>
        <v/>
      </c>
      <c r="AB349" t="str">
        <f>IF(Y349="","",IF(Y349="[FÓRMULA MANUAL]","",IFERROR(AVERAGEIFS(DATOS!$K$2:$K$20000,DATOS!$A$2:$A$20000,Y349,DATOS!$G$2:$G$20000,CONFIG_METADATA!$B$4,DATOS!$I$2:$I$20000,"Música de Cámara"),"")))</f>
        <v/>
      </c>
      <c r="AC349" t="str">
        <f>IF(Y349="","",IF(Y349="[FÓRMULA MANUAL]","",IFERROR(SUMPRODUCT((DATOS!$A$2:$A$20000=Y349)*(DATOS!$G$2:$G$20000=CONFIG_METADATA!$B$4)*(COUNTIF(CONFIG_ASIGNATURAS!$B$7:$B$27,DATOS!$I$2:$I$20000)&gt;0)*(DATOS!$K$2:$K$20000))/SUMPRODUCT((DATOS!$A$2:$A$20000=Y349)*(DATOS!$G$2:$G$20000=CONFIG_METADATA!$B$4)*(COUNTIF(CONFIG_ASIGNATURAS!$B$7:$B$27,DATOS!$I$2:$I$20000)&gt;0)*1),"")))</f>
        <v/>
      </c>
      <c r="AF349" t="str">
        <f>IF(AE349="","",IF(AE349="[FÓRMULA MANUAL]","",IFERROR(AVERAGEIFS(DATOS!$K$2:$K$20000,DATOS!$A$2:$A$20000,AE349,DATOS!$G$2:$G$20000,CONFIG_METADATA!$B$4,DATOS!$I$2:$I$20000,"Análisis"),"")))</f>
        <v/>
      </c>
      <c r="AG349" t="str">
        <f>IF(AE349="","",IF(AE349="[FÓRMULA MANUAL]","",IFERROR(AVERAGEIFS(DATOS!$K$2:$K$20000,DATOS!$A$2:$A$20000,AE349,DATOS!$G$2:$G$20000,CONFIG_METADATA!$B$4,DATOS!$I$2:$I$20000,"Orquesta/Banda/Conjunto"),"")))</f>
        <v/>
      </c>
      <c r="AH349" t="str">
        <f>IF(AE349="","",IF(AE349="[FÓRMULA MANUAL]","",IFERROR(AVERAGEIFS(DATOS!$K$2:$K$20000,DATOS!$A$2:$A$20000,AE349,DATOS!$G$2:$G$20000,CONFIG_METADATA!$B$4,DATOS!$I$2:$I$20000,"Música de Cámara"),"")))</f>
        <v/>
      </c>
      <c r="AI349" t="str">
        <f>IF(AE349="","",IF(AE349="[FÓRMULA MANUAL]","",IFERROR(SUMPRODUCT((DATOS!$A$2:$A$20000=AE349)*(DATOS!$G$2:$G$20000=CONFIG_METADATA!$B$4)*(COUNTIF(CONFIG_ASIGNATURAS!$B$7:$B$27,DATOS!$I$2:$I$20000)&gt;0)*(DATOS!$K$2:$K$20000))/SUMPRODUCT((DATOS!$A$2:$A$20000=AE349)*(DATOS!$G$2:$G$20000=CONFIG_METADATA!$B$4)*(COUNTIF(CONFIG_ASIGNATURAS!$B$7:$B$27,DATOS!$I$2:$I$20000)&gt;0)*1),"")))</f>
        <v/>
      </c>
    </row>
    <row r="350" spans="2:35" x14ac:dyDescent="0.2">
      <c r="B350" t="str">
        <f>IF(A350="","",IF(A350="[FÓRMULA MANUAL]","",IFERROR(AVERAGEIFS(DATOS!$K$2:$K$20000,DATOS!$A$2:$A$20000,A350,DATOS!$G$2:$G$20000,CONFIG_METADATA!$B$4,DATOS!$I$2:$I$20000,"Lenguaje Musical"),"")))</f>
        <v/>
      </c>
      <c r="C350" t="str">
        <f>IF(A350="","",IF(A350="[FÓRMULA MANUAL]","",IFERROR(AVERAGEIFS(DATOS!$K$2:$K$20000,DATOS!$A$2:$A$20000,A350,DATOS!$G$2:$G$20000,CONFIG_METADATA!$B$4,DATOS!$I$2:$I$20000,"Orquesta/Banda/Conjunto"),"")))</f>
        <v/>
      </c>
      <c r="D350" t="str">
        <f>IF(A350="","",IF(A350="[FÓRMULA MANUAL]","",IFERROR(AVERAGEIFS(DATOS!$K$2:$K$20000,DATOS!$A$2:$A$20000,A350,DATOS!$G$2:$G$20000,CONFIG_METADATA!$B$4,DATOS!$I$2:$I$20000,"Conjunto"),"")))</f>
        <v/>
      </c>
      <c r="E350" t="str">
        <f>IF(A350="","",IF(A350="[FÓRMULA MANUAL]","",IFERROR(SUMPRODUCT((DATOS!$A$2:$A$20000=A350)*(DATOS!$G$2:$G$20000=CONFIG_METADATA!$B$4)*(COUNTIF(CONFIG_ASIGNATURAS!$B$7:$B$27,DATOS!$I$2:$I$20000)&gt;0)*(DATOS!$K$2:$K$20000))/SUMPRODUCT((DATOS!$A$2:$A$20000=A350)*(DATOS!$G$2:$G$20000=CONFIG_METADATA!$B$4)*(COUNTIF(CONFIG_ASIGNATURAS!$B$7:$B$27,DATOS!$I$2:$I$20000)&gt;0)*1),"")))</f>
        <v/>
      </c>
      <c r="H350" t="str">
        <f>IF(G350="","",IF(G350="[FÓRMULA MANUAL]","",IFERROR(AVERAGEIFS(DATOS!$K$2:$K$20000,DATOS!$A$2:$A$20000,G350,DATOS!$G$2:$G$20000,CONFIG_METADATA!$B$4,DATOS!$I$2:$I$20000,"Lenguaje Musical"),"")))</f>
        <v/>
      </c>
      <c r="I350" t="str">
        <f>IF(G350="","",IF(G350="[FÓRMULA MANUAL]","",IFERROR(AVERAGEIFS(DATOS!$K$2:$K$20000,DATOS!$A$2:$A$20000,G350,DATOS!$G$2:$G$20000,CONFIG_METADATA!$B$4,DATOS!$I$2:$I$20000,"Orquesta/Banda/Conjunto"),"")))</f>
        <v/>
      </c>
      <c r="J350" t="str">
        <f>IF(G350="","",IF(G350="[FÓRMULA MANUAL]","",IFERROR(AVERAGEIFS(DATOS!$K$2:$K$20000,DATOS!$A$2:$A$20000,G350,DATOS!$G$2:$G$20000,CONFIG_METADATA!$B$4,DATOS!$I$2:$I$20000,"Conjunto"),"")))</f>
        <v/>
      </c>
      <c r="K350" t="str">
        <f>IF(G350="","",IF(G350="[FÓRMULA MANUAL]","",IFERROR(SUMPRODUCT((DATOS!$A$2:$A$20000=G350)*(DATOS!$G$2:$G$20000=CONFIG_METADATA!$B$4)*(COUNTIF(CONFIG_ASIGNATURAS!$B$7:$B$27,DATOS!$I$2:$I$20000)&gt;0)*(DATOS!$K$2:$K$20000))/SUMPRODUCT((DATOS!$A$2:$A$20000=G350)*(DATOS!$G$2:$G$20000=CONFIG_METADATA!$B$4)*(COUNTIF(CONFIG_ASIGNATURAS!$B$7:$B$27,DATOS!$I$2:$I$20000)&gt;0)*1),"")))</f>
        <v/>
      </c>
      <c r="N350" t="str">
        <f>IF(M350="","",IF(M350="[FÓRMULA MANUAL]","",IFERROR(AVERAGEIFS(DATOS!$K$2:$K$20000,DATOS!$A$2:$A$20000,M350,DATOS!$G$2:$G$20000,CONFIG_METADATA!$B$4,DATOS!$I$2:$I$20000,"Armonía"),"")))</f>
        <v/>
      </c>
      <c r="O350" t="str">
        <f>IF(M350="","",IF(M350="[FÓRMULA MANUAL]","",IFERROR(AVERAGEIFS(DATOS!$K$2:$K$20000,DATOS!$A$2:$A$20000,M350,DATOS!$G$2:$G$20000,CONFIG_METADATA!$B$4,DATOS!$I$2:$I$20000,"Orquesta/Banda/Conjunto"),"")))</f>
        <v/>
      </c>
      <c r="P350" t="str">
        <f>IF(M350="","",IF(M350="[FÓRMULA MANUAL]","",IFERROR(AVERAGEIFS(DATOS!$K$2:$K$20000,DATOS!$A$2:$A$20000,M350,DATOS!$G$2:$G$20000,CONFIG_METADATA!$B$4,DATOS!$I$2:$I$20000,"Música de Cámara"),"")))</f>
        <v/>
      </c>
      <c r="Q350" t="str">
        <f>IF(M350="","",IF(M350="[FÓRMULA MANUAL]","",IFERROR(SUMPRODUCT((DATOS!$A$2:$A$20000=M350)*(DATOS!$G$2:$G$20000=CONFIG_METADATA!$B$4)*(COUNTIF(CONFIG_ASIGNATURAS!$B$7:$B$27,DATOS!$I$2:$I$20000)&gt;0)*(DATOS!$K$2:$K$20000))/SUMPRODUCT((DATOS!$A$2:$A$20000=M350)*(DATOS!$G$2:$G$20000=CONFIG_METADATA!$B$4)*(COUNTIF(CONFIG_ASIGNATURAS!$B$7:$B$27,DATOS!$I$2:$I$20000)&gt;0)*1),"")))</f>
        <v/>
      </c>
      <c r="T350" t="str">
        <f>IF(S350="","",IF(S350="[FÓRMULA MANUAL]","",IFERROR(AVERAGEIFS(DATOS!$K$2:$K$20000,DATOS!$A$2:$A$20000,S350,DATOS!$G$2:$G$20000,CONFIG_METADATA!$B$4,DATOS!$I$2:$I$20000,"Armonía"),"")))</f>
        <v/>
      </c>
      <c r="U350" t="str">
        <f>IF(S350="","",IF(S350="[FÓRMULA MANUAL]","",IFERROR(AVERAGEIFS(DATOS!$K$2:$K$20000,DATOS!$A$2:$A$20000,S350,DATOS!$G$2:$G$20000,CONFIG_METADATA!$B$4,DATOS!$I$2:$I$20000,"Orquesta/Banda/Conjunto"),"")))</f>
        <v/>
      </c>
      <c r="V350" t="str">
        <f>IF(S350="","",IF(S350="[FÓRMULA MANUAL]","",IFERROR(AVERAGEIFS(DATOS!$K$2:$K$20000,DATOS!$A$2:$A$20000,S350,DATOS!$G$2:$G$20000,CONFIG_METADATA!$B$4,DATOS!$I$2:$I$20000,"Música de Cámara"),"")))</f>
        <v/>
      </c>
      <c r="W350" t="str">
        <f>IF(S350="","",IF(S350="[FÓRMULA MANUAL]","",IFERROR(SUMPRODUCT((DATOS!$A$2:$A$20000=S350)*(DATOS!$G$2:$G$20000=CONFIG_METADATA!$B$4)*(COUNTIF(CONFIG_ASIGNATURAS!$B$7:$B$27,DATOS!$I$2:$I$20000)&gt;0)*(DATOS!$K$2:$K$20000))/SUMPRODUCT((DATOS!$A$2:$A$20000=S350)*(DATOS!$G$2:$G$20000=CONFIG_METADATA!$B$4)*(COUNTIF(CONFIG_ASIGNATURAS!$B$7:$B$27,DATOS!$I$2:$I$20000)&gt;0)*1),"")))</f>
        <v/>
      </c>
      <c r="Z350" t="str">
        <f>IF(Y350="","",IF(Y350="[FÓRMULA MANUAL]","",IFERROR(AVERAGEIFS(DATOS!$K$2:$K$20000,DATOS!$A$2:$A$20000,Y350,DATOS!$G$2:$G$20000,CONFIG_METADATA!$B$4,DATOS!$I$2:$I$20000,"Análisis"),"")))</f>
        <v/>
      </c>
      <c r="AA350" t="str">
        <f>IF(Y350="","",IF(Y350="[FÓRMULA MANUAL]","",IFERROR(AVERAGEIFS(DATOS!$K$2:$K$20000,DATOS!$A$2:$A$20000,Y350,DATOS!$G$2:$G$20000,CONFIG_METADATA!$B$4,DATOS!$I$2:$I$20000,"Orquesta/Banda/Conjunto"),"")))</f>
        <v/>
      </c>
      <c r="AB350" t="str">
        <f>IF(Y350="","",IF(Y350="[FÓRMULA MANUAL]","",IFERROR(AVERAGEIFS(DATOS!$K$2:$K$20000,DATOS!$A$2:$A$20000,Y350,DATOS!$G$2:$G$20000,CONFIG_METADATA!$B$4,DATOS!$I$2:$I$20000,"Música de Cámara"),"")))</f>
        <v/>
      </c>
      <c r="AC350" t="str">
        <f>IF(Y350="","",IF(Y350="[FÓRMULA MANUAL]","",IFERROR(SUMPRODUCT((DATOS!$A$2:$A$20000=Y350)*(DATOS!$G$2:$G$20000=CONFIG_METADATA!$B$4)*(COUNTIF(CONFIG_ASIGNATURAS!$B$7:$B$27,DATOS!$I$2:$I$20000)&gt;0)*(DATOS!$K$2:$K$20000))/SUMPRODUCT((DATOS!$A$2:$A$20000=Y350)*(DATOS!$G$2:$G$20000=CONFIG_METADATA!$B$4)*(COUNTIF(CONFIG_ASIGNATURAS!$B$7:$B$27,DATOS!$I$2:$I$20000)&gt;0)*1),"")))</f>
        <v/>
      </c>
      <c r="AF350" t="str">
        <f>IF(AE350="","",IF(AE350="[FÓRMULA MANUAL]","",IFERROR(AVERAGEIFS(DATOS!$K$2:$K$20000,DATOS!$A$2:$A$20000,AE350,DATOS!$G$2:$G$20000,CONFIG_METADATA!$B$4,DATOS!$I$2:$I$20000,"Análisis"),"")))</f>
        <v/>
      </c>
      <c r="AG350" t="str">
        <f>IF(AE350="","",IF(AE350="[FÓRMULA MANUAL]","",IFERROR(AVERAGEIFS(DATOS!$K$2:$K$20000,DATOS!$A$2:$A$20000,AE350,DATOS!$G$2:$G$20000,CONFIG_METADATA!$B$4,DATOS!$I$2:$I$20000,"Orquesta/Banda/Conjunto"),"")))</f>
        <v/>
      </c>
      <c r="AH350" t="str">
        <f>IF(AE350="","",IF(AE350="[FÓRMULA MANUAL]","",IFERROR(AVERAGEIFS(DATOS!$K$2:$K$20000,DATOS!$A$2:$A$20000,AE350,DATOS!$G$2:$G$20000,CONFIG_METADATA!$B$4,DATOS!$I$2:$I$20000,"Música de Cámara"),"")))</f>
        <v/>
      </c>
      <c r="AI350" t="str">
        <f>IF(AE350="","",IF(AE350="[FÓRMULA MANUAL]","",IFERROR(SUMPRODUCT((DATOS!$A$2:$A$20000=AE350)*(DATOS!$G$2:$G$20000=CONFIG_METADATA!$B$4)*(COUNTIF(CONFIG_ASIGNATURAS!$B$7:$B$27,DATOS!$I$2:$I$20000)&gt;0)*(DATOS!$K$2:$K$20000))/SUMPRODUCT((DATOS!$A$2:$A$20000=AE350)*(DATOS!$G$2:$G$20000=CONFIG_METADATA!$B$4)*(COUNTIF(CONFIG_ASIGNATURAS!$B$7:$B$27,DATOS!$I$2:$I$20000)&gt;0)*1),"")))</f>
        <v/>
      </c>
    </row>
    <row r="351" spans="2:35" x14ac:dyDescent="0.2">
      <c r="B351" t="str">
        <f>IF(A351="","",IF(A351="[FÓRMULA MANUAL]","",IFERROR(AVERAGEIFS(DATOS!$K$2:$K$20000,DATOS!$A$2:$A$20000,A351,DATOS!$G$2:$G$20000,CONFIG_METADATA!$B$4,DATOS!$I$2:$I$20000,"Lenguaje Musical"),"")))</f>
        <v/>
      </c>
      <c r="C351" t="str">
        <f>IF(A351="","",IF(A351="[FÓRMULA MANUAL]","",IFERROR(AVERAGEIFS(DATOS!$K$2:$K$20000,DATOS!$A$2:$A$20000,A351,DATOS!$G$2:$G$20000,CONFIG_METADATA!$B$4,DATOS!$I$2:$I$20000,"Orquesta/Banda/Conjunto"),"")))</f>
        <v/>
      </c>
      <c r="D351" t="str">
        <f>IF(A351="","",IF(A351="[FÓRMULA MANUAL]","",IFERROR(AVERAGEIFS(DATOS!$K$2:$K$20000,DATOS!$A$2:$A$20000,A351,DATOS!$G$2:$G$20000,CONFIG_METADATA!$B$4,DATOS!$I$2:$I$20000,"Conjunto"),"")))</f>
        <v/>
      </c>
      <c r="E351" t="str">
        <f>IF(A351="","",IF(A351="[FÓRMULA MANUAL]","",IFERROR(SUMPRODUCT((DATOS!$A$2:$A$20000=A351)*(DATOS!$G$2:$G$20000=CONFIG_METADATA!$B$4)*(COUNTIF(CONFIG_ASIGNATURAS!$B$7:$B$27,DATOS!$I$2:$I$20000)&gt;0)*(DATOS!$K$2:$K$20000))/SUMPRODUCT((DATOS!$A$2:$A$20000=A351)*(DATOS!$G$2:$G$20000=CONFIG_METADATA!$B$4)*(COUNTIF(CONFIG_ASIGNATURAS!$B$7:$B$27,DATOS!$I$2:$I$20000)&gt;0)*1),"")))</f>
        <v/>
      </c>
      <c r="H351" t="str">
        <f>IF(G351="","",IF(G351="[FÓRMULA MANUAL]","",IFERROR(AVERAGEIFS(DATOS!$K$2:$K$20000,DATOS!$A$2:$A$20000,G351,DATOS!$G$2:$G$20000,CONFIG_METADATA!$B$4,DATOS!$I$2:$I$20000,"Lenguaje Musical"),"")))</f>
        <v/>
      </c>
      <c r="I351" t="str">
        <f>IF(G351="","",IF(G351="[FÓRMULA MANUAL]","",IFERROR(AVERAGEIFS(DATOS!$K$2:$K$20000,DATOS!$A$2:$A$20000,G351,DATOS!$G$2:$G$20000,CONFIG_METADATA!$B$4,DATOS!$I$2:$I$20000,"Orquesta/Banda/Conjunto"),"")))</f>
        <v/>
      </c>
      <c r="J351" t="str">
        <f>IF(G351="","",IF(G351="[FÓRMULA MANUAL]","",IFERROR(AVERAGEIFS(DATOS!$K$2:$K$20000,DATOS!$A$2:$A$20000,G351,DATOS!$G$2:$G$20000,CONFIG_METADATA!$B$4,DATOS!$I$2:$I$20000,"Conjunto"),"")))</f>
        <v/>
      </c>
      <c r="K351" t="str">
        <f>IF(G351="","",IF(G351="[FÓRMULA MANUAL]","",IFERROR(SUMPRODUCT((DATOS!$A$2:$A$20000=G351)*(DATOS!$G$2:$G$20000=CONFIG_METADATA!$B$4)*(COUNTIF(CONFIG_ASIGNATURAS!$B$7:$B$27,DATOS!$I$2:$I$20000)&gt;0)*(DATOS!$K$2:$K$20000))/SUMPRODUCT((DATOS!$A$2:$A$20000=G351)*(DATOS!$G$2:$G$20000=CONFIG_METADATA!$B$4)*(COUNTIF(CONFIG_ASIGNATURAS!$B$7:$B$27,DATOS!$I$2:$I$20000)&gt;0)*1),"")))</f>
        <v/>
      </c>
      <c r="N351" t="str">
        <f>IF(M351="","",IF(M351="[FÓRMULA MANUAL]","",IFERROR(AVERAGEIFS(DATOS!$K$2:$K$20000,DATOS!$A$2:$A$20000,M351,DATOS!$G$2:$G$20000,CONFIG_METADATA!$B$4,DATOS!$I$2:$I$20000,"Armonía"),"")))</f>
        <v/>
      </c>
      <c r="O351" t="str">
        <f>IF(M351="","",IF(M351="[FÓRMULA MANUAL]","",IFERROR(AVERAGEIFS(DATOS!$K$2:$K$20000,DATOS!$A$2:$A$20000,M351,DATOS!$G$2:$G$20000,CONFIG_METADATA!$B$4,DATOS!$I$2:$I$20000,"Orquesta/Banda/Conjunto"),"")))</f>
        <v/>
      </c>
      <c r="P351" t="str">
        <f>IF(M351="","",IF(M351="[FÓRMULA MANUAL]","",IFERROR(AVERAGEIFS(DATOS!$K$2:$K$20000,DATOS!$A$2:$A$20000,M351,DATOS!$G$2:$G$20000,CONFIG_METADATA!$B$4,DATOS!$I$2:$I$20000,"Música de Cámara"),"")))</f>
        <v/>
      </c>
      <c r="Q351" t="str">
        <f>IF(M351="","",IF(M351="[FÓRMULA MANUAL]","",IFERROR(SUMPRODUCT((DATOS!$A$2:$A$20000=M351)*(DATOS!$G$2:$G$20000=CONFIG_METADATA!$B$4)*(COUNTIF(CONFIG_ASIGNATURAS!$B$7:$B$27,DATOS!$I$2:$I$20000)&gt;0)*(DATOS!$K$2:$K$20000))/SUMPRODUCT((DATOS!$A$2:$A$20000=M351)*(DATOS!$G$2:$G$20000=CONFIG_METADATA!$B$4)*(COUNTIF(CONFIG_ASIGNATURAS!$B$7:$B$27,DATOS!$I$2:$I$20000)&gt;0)*1),"")))</f>
        <v/>
      </c>
      <c r="T351" t="str">
        <f>IF(S351="","",IF(S351="[FÓRMULA MANUAL]","",IFERROR(AVERAGEIFS(DATOS!$K$2:$K$20000,DATOS!$A$2:$A$20000,S351,DATOS!$G$2:$G$20000,CONFIG_METADATA!$B$4,DATOS!$I$2:$I$20000,"Armonía"),"")))</f>
        <v/>
      </c>
      <c r="U351" t="str">
        <f>IF(S351="","",IF(S351="[FÓRMULA MANUAL]","",IFERROR(AVERAGEIFS(DATOS!$K$2:$K$20000,DATOS!$A$2:$A$20000,S351,DATOS!$G$2:$G$20000,CONFIG_METADATA!$B$4,DATOS!$I$2:$I$20000,"Orquesta/Banda/Conjunto"),"")))</f>
        <v/>
      </c>
      <c r="V351" t="str">
        <f>IF(S351="","",IF(S351="[FÓRMULA MANUAL]","",IFERROR(AVERAGEIFS(DATOS!$K$2:$K$20000,DATOS!$A$2:$A$20000,S351,DATOS!$G$2:$G$20000,CONFIG_METADATA!$B$4,DATOS!$I$2:$I$20000,"Música de Cámara"),"")))</f>
        <v/>
      </c>
      <c r="W351" t="str">
        <f>IF(S351="","",IF(S351="[FÓRMULA MANUAL]","",IFERROR(SUMPRODUCT((DATOS!$A$2:$A$20000=S351)*(DATOS!$G$2:$G$20000=CONFIG_METADATA!$B$4)*(COUNTIF(CONFIG_ASIGNATURAS!$B$7:$B$27,DATOS!$I$2:$I$20000)&gt;0)*(DATOS!$K$2:$K$20000))/SUMPRODUCT((DATOS!$A$2:$A$20000=S351)*(DATOS!$G$2:$G$20000=CONFIG_METADATA!$B$4)*(COUNTIF(CONFIG_ASIGNATURAS!$B$7:$B$27,DATOS!$I$2:$I$20000)&gt;0)*1),"")))</f>
        <v/>
      </c>
      <c r="Z351" t="str">
        <f>IF(Y351="","",IF(Y351="[FÓRMULA MANUAL]","",IFERROR(AVERAGEIFS(DATOS!$K$2:$K$20000,DATOS!$A$2:$A$20000,Y351,DATOS!$G$2:$G$20000,CONFIG_METADATA!$B$4,DATOS!$I$2:$I$20000,"Análisis"),"")))</f>
        <v/>
      </c>
      <c r="AA351" t="str">
        <f>IF(Y351="","",IF(Y351="[FÓRMULA MANUAL]","",IFERROR(AVERAGEIFS(DATOS!$K$2:$K$20000,DATOS!$A$2:$A$20000,Y351,DATOS!$G$2:$G$20000,CONFIG_METADATA!$B$4,DATOS!$I$2:$I$20000,"Orquesta/Banda/Conjunto"),"")))</f>
        <v/>
      </c>
      <c r="AB351" t="str">
        <f>IF(Y351="","",IF(Y351="[FÓRMULA MANUAL]","",IFERROR(AVERAGEIFS(DATOS!$K$2:$K$20000,DATOS!$A$2:$A$20000,Y351,DATOS!$G$2:$G$20000,CONFIG_METADATA!$B$4,DATOS!$I$2:$I$20000,"Música de Cámara"),"")))</f>
        <v/>
      </c>
      <c r="AC351" t="str">
        <f>IF(Y351="","",IF(Y351="[FÓRMULA MANUAL]","",IFERROR(SUMPRODUCT((DATOS!$A$2:$A$20000=Y351)*(DATOS!$G$2:$G$20000=CONFIG_METADATA!$B$4)*(COUNTIF(CONFIG_ASIGNATURAS!$B$7:$B$27,DATOS!$I$2:$I$20000)&gt;0)*(DATOS!$K$2:$K$20000))/SUMPRODUCT((DATOS!$A$2:$A$20000=Y351)*(DATOS!$G$2:$G$20000=CONFIG_METADATA!$B$4)*(COUNTIF(CONFIG_ASIGNATURAS!$B$7:$B$27,DATOS!$I$2:$I$20000)&gt;0)*1),"")))</f>
        <v/>
      </c>
      <c r="AF351" t="str">
        <f>IF(AE351="","",IF(AE351="[FÓRMULA MANUAL]","",IFERROR(AVERAGEIFS(DATOS!$K$2:$K$20000,DATOS!$A$2:$A$20000,AE351,DATOS!$G$2:$G$20000,CONFIG_METADATA!$B$4,DATOS!$I$2:$I$20000,"Análisis"),"")))</f>
        <v/>
      </c>
      <c r="AG351" t="str">
        <f>IF(AE351="","",IF(AE351="[FÓRMULA MANUAL]","",IFERROR(AVERAGEIFS(DATOS!$K$2:$K$20000,DATOS!$A$2:$A$20000,AE351,DATOS!$G$2:$G$20000,CONFIG_METADATA!$B$4,DATOS!$I$2:$I$20000,"Orquesta/Banda/Conjunto"),"")))</f>
        <v/>
      </c>
      <c r="AH351" t="str">
        <f>IF(AE351="","",IF(AE351="[FÓRMULA MANUAL]","",IFERROR(AVERAGEIFS(DATOS!$K$2:$K$20000,DATOS!$A$2:$A$20000,AE351,DATOS!$G$2:$G$20000,CONFIG_METADATA!$B$4,DATOS!$I$2:$I$20000,"Música de Cámara"),"")))</f>
        <v/>
      </c>
      <c r="AI351" t="str">
        <f>IF(AE351="","",IF(AE351="[FÓRMULA MANUAL]","",IFERROR(SUMPRODUCT((DATOS!$A$2:$A$20000=AE351)*(DATOS!$G$2:$G$20000=CONFIG_METADATA!$B$4)*(COUNTIF(CONFIG_ASIGNATURAS!$B$7:$B$27,DATOS!$I$2:$I$20000)&gt;0)*(DATOS!$K$2:$K$20000))/SUMPRODUCT((DATOS!$A$2:$A$20000=AE351)*(DATOS!$G$2:$G$20000=CONFIG_METADATA!$B$4)*(COUNTIF(CONFIG_ASIGNATURAS!$B$7:$B$27,DATOS!$I$2:$I$20000)&gt;0)*1),"")))</f>
        <v/>
      </c>
    </row>
    <row r="352" spans="2:35" x14ac:dyDescent="0.2">
      <c r="B352" t="str">
        <f>IF(A352="","",IF(A352="[FÓRMULA MANUAL]","",IFERROR(AVERAGEIFS(DATOS!$K$2:$K$20000,DATOS!$A$2:$A$20000,A352,DATOS!$G$2:$G$20000,CONFIG_METADATA!$B$4,DATOS!$I$2:$I$20000,"Lenguaje Musical"),"")))</f>
        <v/>
      </c>
      <c r="C352" t="str">
        <f>IF(A352="","",IF(A352="[FÓRMULA MANUAL]","",IFERROR(AVERAGEIFS(DATOS!$K$2:$K$20000,DATOS!$A$2:$A$20000,A352,DATOS!$G$2:$G$20000,CONFIG_METADATA!$B$4,DATOS!$I$2:$I$20000,"Orquesta/Banda/Conjunto"),"")))</f>
        <v/>
      </c>
      <c r="D352" t="str">
        <f>IF(A352="","",IF(A352="[FÓRMULA MANUAL]","",IFERROR(AVERAGEIFS(DATOS!$K$2:$K$20000,DATOS!$A$2:$A$20000,A352,DATOS!$G$2:$G$20000,CONFIG_METADATA!$B$4,DATOS!$I$2:$I$20000,"Conjunto"),"")))</f>
        <v/>
      </c>
      <c r="E352" t="str">
        <f>IF(A352="","",IF(A352="[FÓRMULA MANUAL]","",IFERROR(SUMPRODUCT((DATOS!$A$2:$A$20000=A352)*(DATOS!$G$2:$G$20000=CONFIG_METADATA!$B$4)*(COUNTIF(CONFIG_ASIGNATURAS!$B$7:$B$27,DATOS!$I$2:$I$20000)&gt;0)*(DATOS!$K$2:$K$20000))/SUMPRODUCT((DATOS!$A$2:$A$20000=A352)*(DATOS!$G$2:$G$20000=CONFIG_METADATA!$B$4)*(COUNTIF(CONFIG_ASIGNATURAS!$B$7:$B$27,DATOS!$I$2:$I$20000)&gt;0)*1),"")))</f>
        <v/>
      </c>
      <c r="H352" t="str">
        <f>IF(G352="","",IF(G352="[FÓRMULA MANUAL]","",IFERROR(AVERAGEIFS(DATOS!$K$2:$K$20000,DATOS!$A$2:$A$20000,G352,DATOS!$G$2:$G$20000,CONFIG_METADATA!$B$4,DATOS!$I$2:$I$20000,"Lenguaje Musical"),"")))</f>
        <v/>
      </c>
      <c r="I352" t="str">
        <f>IF(G352="","",IF(G352="[FÓRMULA MANUAL]","",IFERROR(AVERAGEIFS(DATOS!$K$2:$K$20000,DATOS!$A$2:$A$20000,G352,DATOS!$G$2:$G$20000,CONFIG_METADATA!$B$4,DATOS!$I$2:$I$20000,"Orquesta/Banda/Conjunto"),"")))</f>
        <v/>
      </c>
      <c r="J352" t="str">
        <f>IF(G352="","",IF(G352="[FÓRMULA MANUAL]","",IFERROR(AVERAGEIFS(DATOS!$K$2:$K$20000,DATOS!$A$2:$A$20000,G352,DATOS!$G$2:$G$20000,CONFIG_METADATA!$B$4,DATOS!$I$2:$I$20000,"Conjunto"),"")))</f>
        <v/>
      </c>
      <c r="K352" t="str">
        <f>IF(G352="","",IF(G352="[FÓRMULA MANUAL]","",IFERROR(SUMPRODUCT((DATOS!$A$2:$A$20000=G352)*(DATOS!$G$2:$G$20000=CONFIG_METADATA!$B$4)*(COUNTIF(CONFIG_ASIGNATURAS!$B$7:$B$27,DATOS!$I$2:$I$20000)&gt;0)*(DATOS!$K$2:$K$20000))/SUMPRODUCT((DATOS!$A$2:$A$20000=G352)*(DATOS!$G$2:$G$20000=CONFIG_METADATA!$B$4)*(COUNTIF(CONFIG_ASIGNATURAS!$B$7:$B$27,DATOS!$I$2:$I$20000)&gt;0)*1),"")))</f>
        <v/>
      </c>
      <c r="N352" t="str">
        <f>IF(M352="","",IF(M352="[FÓRMULA MANUAL]","",IFERROR(AVERAGEIFS(DATOS!$K$2:$K$20000,DATOS!$A$2:$A$20000,M352,DATOS!$G$2:$G$20000,CONFIG_METADATA!$B$4,DATOS!$I$2:$I$20000,"Armonía"),"")))</f>
        <v/>
      </c>
      <c r="O352" t="str">
        <f>IF(M352="","",IF(M352="[FÓRMULA MANUAL]","",IFERROR(AVERAGEIFS(DATOS!$K$2:$K$20000,DATOS!$A$2:$A$20000,M352,DATOS!$G$2:$G$20000,CONFIG_METADATA!$B$4,DATOS!$I$2:$I$20000,"Orquesta/Banda/Conjunto"),"")))</f>
        <v/>
      </c>
      <c r="P352" t="str">
        <f>IF(M352="","",IF(M352="[FÓRMULA MANUAL]","",IFERROR(AVERAGEIFS(DATOS!$K$2:$K$20000,DATOS!$A$2:$A$20000,M352,DATOS!$G$2:$G$20000,CONFIG_METADATA!$B$4,DATOS!$I$2:$I$20000,"Música de Cámara"),"")))</f>
        <v/>
      </c>
      <c r="Q352" t="str">
        <f>IF(M352="","",IF(M352="[FÓRMULA MANUAL]","",IFERROR(SUMPRODUCT((DATOS!$A$2:$A$20000=M352)*(DATOS!$G$2:$G$20000=CONFIG_METADATA!$B$4)*(COUNTIF(CONFIG_ASIGNATURAS!$B$7:$B$27,DATOS!$I$2:$I$20000)&gt;0)*(DATOS!$K$2:$K$20000))/SUMPRODUCT((DATOS!$A$2:$A$20000=M352)*(DATOS!$G$2:$G$20000=CONFIG_METADATA!$B$4)*(COUNTIF(CONFIG_ASIGNATURAS!$B$7:$B$27,DATOS!$I$2:$I$20000)&gt;0)*1),"")))</f>
        <v/>
      </c>
      <c r="T352" t="str">
        <f>IF(S352="","",IF(S352="[FÓRMULA MANUAL]","",IFERROR(AVERAGEIFS(DATOS!$K$2:$K$20000,DATOS!$A$2:$A$20000,S352,DATOS!$G$2:$G$20000,CONFIG_METADATA!$B$4,DATOS!$I$2:$I$20000,"Armonía"),"")))</f>
        <v/>
      </c>
      <c r="U352" t="str">
        <f>IF(S352="","",IF(S352="[FÓRMULA MANUAL]","",IFERROR(AVERAGEIFS(DATOS!$K$2:$K$20000,DATOS!$A$2:$A$20000,S352,DATOS!$G$2:$G$20000,CONFIG_METADATA!$B$4,DATOS!$I$2:$I$20000,"Orquesta/Banda/Conjunto"),"")))</f>
        <v/>
      </c>
      <c r="V352" t="str">
        <f>IF(S352="","",IF(S352="[FÓRMULA MANUAL]","",IFERROR(AVERAGEIFS(DATOS!$K$2:$K$20000,DATOS!$A$2:$A$20000,S352,DATOS!$G$2:$G$20000,CONFIG_METADATA!$B$4,DATOS!$I$2:$I$20000,"Música de Cámara"),"")))</f>
        <v/>
      </c>
      <c r="W352" t="str">
        <f>IF(S352="","",IF(S352="[FÓRMULA MANUAL]","",IFERROR(SUMPRODUCT((DATOS!$A$2:$A$20000=S352)*(DATOS!$G$2:$G$20000=CONFIG_METADATA!$B$4)*(COUNTIF(CONFIG_ASIGNATURAS!$B$7:$B$27,DATOS!$I$2:$I$20000)&gt;0)*(DATOS!$K$2:$K$20000))/SUMPRODUCT((DATOS!$A$2:$A$20000=S352)*(DATOS!$G$2:$G$20000=CONFIG_METADATA!$B$4)*(COUNTIF(CONFIG_ASIGNATURAS!$B$7:$B$27,DATOS!$I$2:$I$20000)&gt;0)*1),"")))</f>
        <v/>
      </c>
      <c r="Z352" t="str">
        <f>IF(Y352="","",IF(Y352="[FÓRMULA MANUAL]","",IFERROR(AVERAGEIFS(DATOS!$K$2:$K$20000,DATOS!$A$2:$A$20000,Y352,DATOS!$G$2:$G$20000,CONFIG_METADATA!$B$4,DATOS!$I$2:$I$20000,"Análisis"),"")))</f>
        <v/>
      </c>
      <c r="AA352" t="str">
        <f>IF(Y352="","",IF(Y352="[FÓRMULA MANUAL]","",IFERROR(AVERAGEIFS(DATOS!$K$2:$K$20000,DATOS!$A$2:$A$20000,Y352,DATOS!$G$2:$G$20000,CONFIG_METADATA!$B$4,DATOS!$I$2:$I$20000,"Orquesta/Banda/Conjunto"),"")))</f>
        <v/>
      </c>
      <c r="AB352" t="str">
        <f>IF(Y352="","",IF(Y352="[FÓRMULA MANUAL]","",IFERROR(AVERAGEIFS(DATOS!$K$2:$K$20000,DATOS!$A$2:$A$20000,Y352,DATOS!$G$2:$G$20000,CONFIG_METADATA!$B$4,DATOS!$I$2:$I$20000,"Música de Cámara"),"")))</f>
        <v/>
      </c>
      <c r="AC352" t="str">
        <f>IF(Y352="","",IF(Y352="[FÓRMULA MANUAL]","",IFERROR(SUMPRODUCT((DATOS!$A$2:$A$20000=Y352)*(DATOS!$G$2:$G$20000=CONFIG_METADATA!$B$4)*(COUNTIF(CONFIG_ASIGNATURAS!$B$7:$B$27,DATOS!$I$2:$I$20000)&gt;0)*(DATOS!$K$2:$K$20000))/SUMPRODUCT((DATOS!$A$2:$A$20000=Y352)*(DATOS!$G$2:$G$20000=CONFIG_METADATA!$B$4)*(COUNTIF(CONFIG_ASIGNATURAS!$B$7:$B$27,DATOS!$I$2:$I$20000)&gt;0)*1),"")))</f>
        <v/>
      </c>
      <c r="AF352" t="str">
        <f>IF(AE352="","",IF(AE352="[FÓRMULA MANUAL]","",IFERROR(AVERAGEIFS(DATOS!$K$2:$K$20000,DATOS!$A$2:$A$20000,AE352,DATOS!$G$2:$G$20000,CONFIG_METADATA!$B$4,DATOS!$I$2:$I$20000,"Análisis"),"")))</f>
        <v/>
      </c>
      <c r="AG352" t="str">
        <f>IF(AE352="","",IF(AE352="[FÓRMULA MANUAL]","",IFERROR(AVERAGEIFS(DATOS!$K$2:$K$20000,DATOS!$A$2:$A$20000,AE352,DATOS!$G$2:$G$20000,CONFIG_METADATA!$B$4,DATOS!$I$2:$I$20000,"Orquesta/Banda/Conjunto"),"")))</f>
        <v/>
      </c>
      <c r="AH352" t="str">
        <f>IF(AE352="","",IF(AE352="[FÓRMULA MANUAL]","",IFERROR(AVERAGEIFS(DATOS!$K$2:$K$20000,DATOS!$A$2:$A$20000,AE352,DATOS!$G$2:$G$20000,CONFIG_METADATA!$B$4,DATOS!$I$2:$I$20000,"Música de Cámara"),"")))</f>
        <v/>
      </c>
      <c r="AI352" t="str">
        <f>IF(AE352="","",IF(AE352="[FÓRMULA MANUAL]","",IFERROR(SUMPRODUCT((DATOS!$A$2:$A$20000=AE352)*(DATOS!$G$2:$G$20000=CONFIG_METADATA!$B$4)*(COUNTIF(CONFIG_ASIGNATURAS!$B$7:$B$27,DATOS!$I$2:$I$20000)&gt;0)*(DATOS!$K$2:$K$20000))/SUMPRODUCT((DATOS!$A$2:$A$20000=AE352)*(DATOS!$G$2:$G$20000=CONFIG_METADATA!$B$4)*(COUNTIF(CONFIG_ASIGNATURAS!$B$7:$B$27,DATOS!$I$2:$I$20000)&gt;0)*1),"")))</f>
        <v/>
      </c>
    </row>
    <row r="353" spans="2:35" x14ac:dyDescent="0.2">
      <c r="B353" t="str">
        <f>IF(A353="","",IF(A353="[FÓRMULA MANUAL]","",IFERROR(AVERAGEIFS(DATOS!$K$2:$K$20000,DATOS!$A$2:$A$20000,A353,DATOS!$G$2:$G$20000,CONFIG_METADATA!$B$4,DATOS!$I$2:$I$20000,"Lenguaje Musical"),"")))</f>
        <v/>
      </c>
      <c r="C353" t="str">
        <f>IF(A353="","",IF(A353="[FÓRMULA MANUAL]","",IFERROR(AVERAGEIFS(DATOS!$K$2:$K$20000,DATOS!$A$2:$A$20000,A353,DATOS!$G$2:$G$20000,CONFIG_METADATA!$B$4,DATOS!$I$2:$I$20000,"Orquesta/Banda/Conjunto"),"")))</f>
        <v/>
      </c>
      <c r="D353" t="str">
        <f>IF(A353="","",IF(A353="[FÓRMULA MANUAL]","",IFERROR(AVERAGEIFS(DATOS!$K$2:$K$20000,DATOS!$A$2:$A$20000,A353,DATOS!$G$2:$G$20000,CONFIG_METADATA!$B$4,DATOS!$I$2:$I$20000,"Conjunto"),"")))</f>
        <v/>
      </c>
      <c r="E353" t="str">
        <f>IF(A353="","",IF(A353="[FÓRMULA MANUAL]","",IFERROR(SUMPRODUCT((DATOS!$A$2:$A$20000=A353)*(DATOS!$G$2:$G$20000=CONFIG_METADATA!$B$4)*(COUNTIF(CONFIG_ASIGNATURAS!$B$7:$B$27,DATOS!$I$2:$I$20000)&gt;0)*(DATOS!$K$2:$K$20000))/SUMPRODUCT((DATOS!$A$2:$A$20000=A353)*(DATOS!$G$2:$G$20000=CONFIG_METADATA!$B$4)*(COUNTIF(CONFIG_ASIGNATURAS!$B$7:$B$27,DATOS!$I$2:$I$20000)&gt;0)*1),"")))</f>
        <v/>
      </c>
      <c r="H353" t="str">
        <f>IF(G353="","",IF(G353="[FÓRMULA MANUAL]","",IFERROR(AVERAGEIFS(DATOS!$K$2:$K$20000,DATOS!$A$2:$A$20000,G353,DATOS!$G$2:$G$20000,CONFIG_METADATA!$B$4,DATOS!$I$2:$I$20000,"Lenguaje Musical"),"")))</f>
        <v/>
      </c>
      <c r="I353" t="str">
        <f>IF(G353="","",IF(G353="[FÓRMULA MANUAL]","",IFERROR(AVERAGEIFS(DATOS!$K$2:$K$20000,DATOS!$A$2:$A$20000,G353,DATOS!$G$2:$G$20000,CONFIG_METADATA!$B$4,DATOS!$I$2:$I$20000,"Orquesta/Banda/Conjunto"),"")))</f>
        <v/>
      </c>
      <c r="J353" t="str">
        <f>IF(G353="","",IF(G353="[FÓRMULA MANUAL]","",IFERROR(AVERAGEIFS(DATOS!$K$2:$K$20000,DATOS!$A$2:$A$20000,G353,DATOS!$G$2:$G$20000,CONFIG_METADATA!$B$4,DATOS!$I$2:$I$20000,"Conjunto"),"")))</f>
        <v/>
      </c>
      <c r="K353" t="str">
        <f>IF(G353="","",IF(G353="[FÓRMULA MANUAL]","",IFERROR(SUMPRODUCT((DATOS!$A$2:$A$20000=G353)*(DATOS!$G$2:$G$20000=CONFIG_METADATA!$B$4)*(COUNTIF(CONFIG_ASIGNATURAS!$B$7:$B$27,DATOS!$I$2:$I$20000)&gt;0)*(DATOS!$K$2:$K$20000))/SUMPRODUCT((DATOS!$A$2:$A$20000=G353)*(DATOS!$G$2:$G$20000=CONFIG_METADATA!$B$4)*(COUNTIF(CONFIG_ASIGNATURAS!$B$7:$B$27,DATOS!$I$2:$I$20000)&gt;0)*1),"")))</f>
        <v/>
      </c>
      <c r="N353" t="str">
        <f>IF(M353="","",IF(M353="[FÓRMULA MANUAL]","",IFERROR(AVERAGEIFS(DATOS!$K$2:$K$20000,DATOS!$A$2:$A$20000,M353,DATOS!$G$2:$G$20000,CONFIG_METADATA!$B$4,DATOS!$I$2:$I$20000,"Armonía"),"")))</f>
        <v/>
      </c>
      <c r="O353" t="str">
        <f>IF(M353="","",IF(M353="[FÓRMULA MANUAL]","",IFERROR(AVERAGEIFS(DATOS!$K$2:$K$20000,DATOS!$A$2:$A$20000,M353,DATOS!$G$2:$G$20000,CONFIG_METADATA!$B$4,DATOS!$I$2:$I$20000,"Orquesta/Banda/Conjunto"),"")))</f>
        <v/>
      </c>
      <c r="P353" t="str">
        <f>IF(M353="","",IF(M353="[FÓRMULA MANUAL]","",IFERROR(AVERAGEIFS(DATOS!$K$2:$K$20000,DATOS!$A$2:$A$20000,M353,DATOS!$G$2:$G$20000,CONFIG_METADATA!$B$4,DATOS!$I$2:$I$20000,"Música de Cámara"),"")))</f>
        <v/>
      </c>
      <c r="Q353" t="str">
        <f>IF(M353="","",IF(M353="[FÓRMULA MANUAL]","",IFERROR(SUMPRODUCT((DATOS!$A$2:$A$20000=M353)*(DATOS!$G$2:$G$20000=CONFIG_METADATA!$B$4)*(COUNTIF(CONFIG_ASIGNATURAS!$B$7:$B$27,DATOS!$I$2:$I$20000)&gt;0)*(DATOS!$K$2:$K$20000))/SUMPRODUCT((DATOS!$A$2:$A$20000=M353)*(DATOS!$G$2:$G$20000=CONFIG_METADATA!$B$4)*(COUNTIF(CONFIG_ASIGNATURAS!$B$7:$B$27,DATOS!$I$2:$I$20000)&gt;0)*1),"")))</f>
        <v/>
      </c>
      <c r="T353" t="str">
        <f>IF(S353="","",IF(S353="[FÓRMULA MANUAL]","",IFERROR(AVERAGEIFS(DATOS!$K$2:$K$20000,DATOS!$A$2:$A$20000,S353,DATOS!$G$2:$G$20000,CONFIG_METADATA!$B$4,DATOS!$I$2:$I$20000,"Armonía"),"")))</f>
        <v/>
      </c>
      <c r="U353" t="str">
        <f>IF(S353="","",IF(S353="[FÓRMULA MANUAL]","",IFERROR(AVERAGEIFS(DATOS!$K$2:$K$20000,DATOS!$A$2:$A$20000,S353,DATOS!$G$2:$G$20000,CONFIG_METADATA!$B$4,DATOS!$I$2:$I$20000,"Orquesta/Banda/Conjunto"),"")))</f>
        <v/>
      </c>
      <c r="V353" t="str">
        <f>IF(S353="","",IF(S353="[FÓRMULA MANUAL]","",IFERROR(AVERAGEIFS(DATOS!$K$2:$K$20000,DATOS!$A$2:$A$20000,S353,DATOS!$G$2:$G$20000,CONFIG_METADATA!$B$4,DATOS!$I$2:$I$20000,"Música de Cámara"),"")))</f>
        <v/>
      </c>
      <c r="W353" t="str">
        <f>IF(S353="","",IF(S353="[FÓRMULA MANUAL]","",IFERROR(SUMPRODUCT((DATOS!$A$2:$A$20000=S353)*(DATOS!$G$2:$G$20000=CONFIG_METADATA!$B$4)*(COUNTIF(CONFIG_ASIGNATURAS!$B$7:$B$27,DATOS!$I$2:$I$20000)&gt;0)*(DATOS!$K$2:$K$20000))/SUMPRODUCT((DATOS!$A$2:$A$20000=S353)*(DATOS!$G$2:$G$20000=CONFIG_METADATA!$B$4)*(COUNTIF(CONFIG_ASIGNATURAS!$B$7:$B$27,DATOS!$I$2:$I$20000)&gt;0)*1),"")))</f>
        <v/>
      </c>
      <c r="Z353" t="str">
        <f>IF(Y353="","",IF(Y353="[FÓRMULA MANUAL]","",IFERROR(AVERAGEIFS(DATOS!$K$2:$K$20000,DATOS!$A$2:$A$20000,Y353,DATOS!$G$2:$G$20000,CONFIG_METADATA!$B$4,DATOS!$I$2:$I$20000,"Análisis"),"")))</f>
        <v/>
      </c>
      <c r="AA353" t="str">
        <f>IF(Y353="","",IF(Y353="[FÓRMULA MANUAL]","",IFERROR(AVERAGEIFS(DATOS!$K$2:$K$20000,DATOS!$A$2:$A$20000,Y353,DATOS!$G$2:$G$20000,CONFIG_METADATA!$B$4,DATOS!$I$2:$I$20000,"Orquesta/Banda/Conjunto"),"")))</f>
        <v/>
      </c>
      <c r="AB353" t="str">
        <f>IF(Y353="","",IF(Y353="[FÓRMULA MANUAL]","",IFERROR(AVERAGEIFS(DATOS!$K$2:$K$20000,DATOS!$A$2:$A$20000,Y353,DATOS!$G$2:$G$20000,CONFIG_METADATA!$B$4,DATOS!$I$2:$I$20000,"Música de Cámara"),"")))</f>
        <v/>
      </c>
      <c r="AC353" t="str">
        <f>IF(Y353="","",IF(Y353="[FÓRMULA MANUAL]","",IFERROR(SUMPRODUCT((DATOS!$A$2:$A$20000=Y353)*(DATOS!$G$2:$G$20000=CONFIG_METADATA!$B$4)*(COUNTIF(CONFIG_ASIGNATURAS!$B$7:$B$27,DATOS!$I$2:$I$20000)&gt;0)*(DATOS!$K$2:$K$20000))/SUMPRODUCT((DATOS!$A$2:$A$20000=Y353)*(DATOS!$G$2:$G$20000=CONFIG_METADATA!$B$4)*(COUNTIF(CONFIG_ASIGNATURAS!$B$7:$B$27,DATOS!$I$2:$I$20000)&gt;0)*1),"")))</f>
        <v/>
      </c>
      <c r="AF353" t="str">
        <f>IF(AE353="","",IF(AE353="[FÓRMULA MANUAL]","",IFERROR(AVERAGEIFS(DATOS!$K$2:$K$20000,DATOS!$A$2:$A$20000,AE353,DATOS!$G$2:$G$20000,CONFIG_METADATA!$B$4,DATOS!$I$2:$I$20000,"Análisis"),"")))</f>
        <v/>
      </c>
      <c r="AG353" t="str">
        <f>IF(AE353="","",IF(AE353="[FÓRMULA MANUAL]","",IFERROR(AVERAGEIFS(DATOS!$K$2:$K$20000,DATOS!$A$2:$A$20000,AE353,DATOS!$G$2:$G$20000,CONFIG_METADATA!$B$4,DATOS!$I$2:$I$20000,"Orquesta/Banda/Conjunto"),"")))</f>
        <v/>
      </c>
      <c r="AH353" t="str">
        <f>IF(AE353="","",IF(AE353="[FÓRMULA MANUAL]","",IFERROR(AVERAGEIFS(DATOS!$K$2:$K$20000,DATOS!$A$2:$A$20000,AE353,DATOS!$G$2:$G$20000,CONFIG_METADATA!$B$4,DATOS!$I$2:$I$20000,"Música de Cámara"),"")))</f>
        <v/>
      </c>
      <c r="AI353" t="str">
        <f>IF(AE353="","",IF(AE353="[FÓRMULA MANUAL]","",IFERROR(SUMPRODUCT((DATOS!$A$2:$A$20000=AE353)*(DATOS!$G$2:$G$20000=CONFIG_METADATA!$B$4)*(COUNTIF(CONFIG_ASIGNATURAS!$B$7:$B$27,DATOS!$I$2:$I$20000)&gt;0)*(DATOS!$K$2:$K$20000))/SUMPRODUCT((DATOS!$A$2:$A$20000=AE353)*(DATOS!$G$2:$G$20000=CONFIG_METADATA!$B$4)*(COUNTIF(CONFIG_ASIGNATURAS!$B$7:$B$27,DATOS!$I$2:$I$20000)&gt;0)*1),"")))</f>
        <v/>
      </c>
    </row>
    <row r="354" spans="2:35" x14ac:dyDescent="0.2">
      <c r="B354" t="str">
        <f>IF(A354="","",IF(A354="[FÓRMULA MANUAL]","",IFERROR(AVERAGEIFS(DATOS!$K$2:$K$20000,DATOS!$A$2:$A$20000,A354,DATOS!$G$2:$G$20000,CONFIG_METADATA!$B$4,DATOS!$I$2:$I$20000,"Lenguaje Musical"),"")))</f>
        <v/>
      </c>
      <c r="C354" t="str">
        <f>IF(A354="","",IF(A354="[FÓRMULA MANUAL]","",IFERROR(AVERAGEIFS(DATOS!$K$2:$K$20000,DATOS!$A$2:$A$20000,A354,DATOS!$G$2:$G$20000,CONFIG_METADATA!$B$4,DATOS!$I$2:$I$20000,"Orquesta/Banda/Conjunto"),"")))</f>
        <v/>
      </c>
      <c r="D354" t="str">
        <f>IF(A354="","",IF(A354="[FÓRMULA MANUAL]","",IFERROR(AVERAGEIFS(DATOS!$K$2:$K$20000,DATOS!$A$2:$A$20000,A354,DATOS!$G$2:$G$20000,CONFIG_METADATA!$B$4,DATOS!$I$2:$I$20000,"Conjunto"),"")))</f>
        <v/>
      </c>
      <c r="E354" t="str">
        <f>IF(A354="","",IF(A354="[FÓRMULA MANUAL]","",IFERROR(SUMPRODUCT((DATOS!$A$2:$A$20000=A354)*(DATOS!$G$2:$G$20000=CONFIG_METADATA!$B$4)*(COUNTIF(CONFIG_ASIGNATURAS!$B$7:$B$27,DATOS!$I$2:$I$20000)&gt;0)*(DATOS!$K$2:$K$20000))/SUMPRODUCT((DATOS!$A$2:$A$20000=A354)*(DATOS!$G$2:$G$20000=CONFIG_METADATA!$B$4)*(COUNTIF(CONFIG_ASIGNATURAS!$B$7:$B$27,DATOS!$I$2:$I$20000)&gt;0)*1),"")))</f>
        <v/>
      </c>
      <c r="H354" t="str">
        <f>IF(G354="","",IF(G354="[FÓRMULA MANUAL]","",IFERROR(AVERAGEIFS(DATOS!$K$2:$K$20000,DATOS!$A$2:$A$20000,G354,DATOS!$G$2:$G$20000,CONFIG_METADATA!$B$4,DATOS!$I$2:$I$20000,"Lenguaje Musical"),"")))</f>
        <v/>
      </c>
      <c r="I354" t="str">
        <f>IF(G354="","",IF(G354="[FÓRMULA MANUAL]","",IFERROR(AVERAGEIFS(DATOS!$K$2:$K$20000,DATOS!$A$2:$A$20000,G354,DATOS!$G$2:$G$20000,CONFIG_METADATA!$B$4,DATOS!$I$2:$I$20000,"Orquesta/Banda/Conjunto"),"")))</f>
        <v/>
      </c>
      <c r="J354" t="str">
        <f>IF(G354="","",IF(G354="[FÓRMULA MANUAL]","",IFERROR(AVERAGEIFS(DATOS!$K$2:$K$20000,DATOS!$A$2:$A$20000,G354,DATOS!$G$2:$G$20000,CONFIG_METADATA!$B$4,DATOS!$I$2:$I$20000,"Conjunto"),"")))</f>
        <v/>
      </c>
      <c r="K354" t="str">
        <f>IF(G354="","",IF(G354="[FÓRMULA MANUAL]","",IFERROR(SUMPRODUCT((DATOS!$A$2:$A$20000=G354)*(DATOS!$G$2:$G$20000=CONFIG_METADATA!$B$4)*(COUNTIF(CONFIG_ASIGNATURAS!$B$7:$B$27,DATOS!$I$2:$I$20000)&gt;0)*(DATOS!$K$2:$K$20000))/SUMPRODUCT((DATOS!$A$2:$A$20000=G354)*(DATOS!$G$2:$G$20000=CONFIG_METADATA!$B$4)*(COUNTIF(CONFIG_ASIGNATURAS!$B$7:$B$27,DATOS!$I$2:$I$20000)&gt;0)*1),"")))</f>
        <v/>
      </c>
      <c r="N354" t="str">
        <f>IF(M354="","",IF(M354="[FÓRMULA MANUAL]","",IFERROR(AVERAGEIFS(DATOS!$K$2:$K$20000,DATOS!$A$2:$A$20000,M354,DATOS!$G$2:$G$20000,CONFIG_METADATA!$B$4,DATOS!$I$2:$I$20000,"Armonía"),"")))</f>
        <v/>
      </c>
      <c r="O354" t="str">
        <f>IF(M354="","",IF(M354="[FÓRMULA MANUAL]","",IFERROR(AVERAGEIFS(DATOS!$K$2:$K$20000,DATOS!$A$2:$A$20000,M354,DATOS!$G$2:$G$20000,CONFIG_METADATA!$B$4,DATOS!$I$2:$I$20000,"Orquesta/Banda/Conjunto"),"")))</f>
        <v/>
      </c>
      <c r="P354" t="str">
        <f>IF(M354="","",IF(M354="[FÓRMULA MANUAL]","",IFERROR(AVERAGEIFS(DATOS!$K$2:$K$20000,DATOS!$A$2:$A$20000,M354,DATOS!$G$2:$G$20000,CONFIG_METADATA!$B$4,DATOS!$I$2:$I$20000,"Música de Cámara"),"")))</f>
        <v/>
      </c>
      <c r="Q354" t="str">
        <f>IF(M354="","",IF(M354="[FÓRMULA MANUAL]","",IFERROR(SUMPRODUCT((DATOS!$A$2:$A$20000=M354)*(DATOS!$G$2:$G$20000=CONFIG_METADATA!$B$4)*(COUNTIF(CONFIG_ASIGNATURAS!$B$7:$B$27,DATOS!$I$2:$I$20000)&gt;0)*(DATOS!$K$2:$K$20000))/SUMPRODUCT((DATOS!$A$2:$A$20000=M354)*(DATOS!$G$2:$G$20000=CONFIG_METADATA!$B$4)*(COUNTIF(CONFIG_ASIGNATURAS!$B$7:$B$27,DATOS!$I$2:$I$20000)&gt;0)*1),"")))</f>
        <v/>
      </c>
      <c r="T354" t="str">
        <f>IF(S354="","",IF(S354="[FÓRMULA MANUAL]","",IFERROR(AVERAGEIFS(DATOS!$K$2:$K$20000,DATOS!$A$2:$A$20000,S354,DATOS!$G$2:$G$20000,CONFIG_METADATA!$B$4,DATOS!$I$2:$I$20000,"Armonía"),"")))</f>
        <v/>
      </c>
      <c r="U354" t="str">
        <f>IF(S354="","",IF(S354="[FÓRMULA MANUAL]","",IFERROR(AVERAGEIFS(DATOS!$K$2:$K$20000,DATOS!$A$2:$A$20000,S354,DATOS!$G$2:$G$20000,CONFIG_METADATA!$B$4,DATOS!$I$2:$I$20000,"Orquesta/Banda/Conjunto"),"")))</f>
        <v/>
      </c>
      <c r="V354" t="str">
        <f>IF(S354="","",IF(S354="[FÓRMULA MANUAL]","",IFERROR(AVERAGEIFS(DATOS!$K$2:$K$20000,DATOS!$A$2:$A$20000,S354,DATOS!$G$2:$G$20000,CONFIG_METADATA!$B$4,DATOS!$I$2:$I$20000,"Música de Cámara"),"")))</f>
        <v/>
      </c>
      <c r="W354" t="str">
        <f>IF(S354="","",IF(S354="[FÓRMULA MANUAL]","",IFERROR(SUMPRODUCT((DATOS!$A$2:$A$20000=S354)*(DATOS!$G$2:$G$20000=CONFIG_METADATA!$B$4)*(COUNTIF(CONFIG_ASIGNATURAS!$B$7:$B$27,DATOS!$I$2:$I$20000)&gt;0)*(DATOS!$K$2:$K$20000))/SUMPRODUCT((DATOS!$A$2:$A$20000=S354)*(DATOS!$G$2:$G$20000=CONFIG_METADATA!$B$4)*(COUNTIF(CONFIG_ASIGNATURAS!$B$7:$B$27,DATOS!$I$2:$I$20000)&gt;0)*1),"")))</f>
        <v/>
      </c>
      <c r="Z354" t="str">
        <f>IF(Y354="","",IF(Y354="[FÓRMULA MANUAL]","",IFERROR(AVERAGEIFS(DATOS!$K$2:$K$20000,DATOS!$A$2:$A$20000,Y354,DATOS!$G$2:$G$20000,CONFIG_METADATA!$B$4,DATOS!$I$2:$I$20000,"Análisis"),"")))</f>
        <v/>
      </c>
      <c r="AA354" t="str">
        <f>IF(Y354="","",IF(Y354="[FÓRMULA MANUAL]","",IFERROR(AVERAGEIFS(DATOS!$K$2:$K$20000,DATOS!$A$2:$A$20000,Y354,DATOS!$G$2:$G$20000,CONFIG_METADATA!$B$4,DATOS!$I$2:$I$20000,"Orquesta/Banda/Conjunto"),"")))</f>
        <v/>
      </c>
      <c r="AB354" t="str">
        <f>IF(Y354="","",IF(Y354="[FÓRMULA MANUAL]","",IFERROR(AVERAGEIFS(DATOS!$K$2:$K$20000,DATOS!$A$2:$A$20000,Y354,DATOS!$G$2:$G$20000,CONFIG_METADATA!$B$4,DATOS!$I$2:$I$20000,"Música de Cámara"),"")))</f>
        <v/>
      </c>
      <c r="AC354" t="str">
        <f>IF(Y354="","",IF(Y354="[FÓRMULA MANUAL]","",IFERROR(SUMPRODUCT((DATOS!$A$2:$A$20000=Y354)*(DATOS!$G$2:$G$20000=CONFIG_METADATA!$B$4)*(COUNTIF(CONFIG_ASIGNATURAS!$B$7:$B$27,DATOS!$I$2:$I$20000)&gt;0)*(DATOS!$K$2:$K$20000))/SUMPRODUCT((DATOS!$A$2:$A$20000=Y354)*(DATOS!$G$2:$G$20000=CONFIG_METADATA!$B$4)*(COUNTIF(CONFIG_ASIGNATURAS!$B$7:$B$27,DATOS!$I$2:$I$20000)&gt;0)*1),"")))</f>
        <v/>
      </c>
      <c r="AF354" t="str">
        <f>IF(AE354="","",IF(AE354="[FÓRMULA MANUAL]","",IFERROR(AVERAGEIFS(DATOS!$K$2:$K$20000,DATOS!$A$2:$A$20000,AE354,DATOS!$G$2:$G$20000,CONFIG_METADATA!$B$4,DATOS!$I$2:$I$20000,"Análisis"),"")))</f>
        <v/>
      </c>
      <c r="AG354" t="str">
        <f>IF(AE354="","",IF(AE354="[FÓRMULA MANUAL]","",IFERROR(AVERAGEIFS(DATOS!$K$2:$K$20000,DATOS!$A$2:$A$20000,AE354,DATOS!$G$2:$G$20000,CONFIG_METADATA!$B$4,DATOS!$I$2:$I$20000,"Orquesta/Banda/Conjunto"),"")))</f>
        <v/>
      </c>
      <c r="AH354" t="str">
        <f>IF(AE354="","",IF(AE354="[FÓRMULA MANUAL]","",IFERROR(AVERAGEIFS(DATOS!$K$2:$K$20000,DATOS!$A$2:$A$20000,AE354,DATOS!$G$2:$G$20000,CONFIG_METADATA!$B$4,DATOS!$I$2:$I$20000,"Música de Cámara"),"")))</f>
        <v/>
      </c>
      <c r="AI354" t="str">
        <f>IF(AE354="","",IF(AE354="[FÓRMULA MANUAL]","",IFERROR(SUMPRODUCT((DATOS!$A$2:$A$20000=AE354)*(DATOS!$G$2:$G$20000=CONFIG_METADATA!$B$4)*(COUNTIF(CONFIG_ASIGNATURAS!$B$7:$B$27,DATOS!$I$2:$I$20000)&gt;0)*(DATOS!$K$2:$K$20000))/SUMPRODUCT((DATOS!$A$2:$A$20000=AE354)*(DATOS!$G$2:$G$20000=CONFIG_METADATA!$B$4)*(COUNTIF(CONFIG_ASIGNATURAS!$B$7:$B$27,DATOS!$I$2:$I$20000)&gt;0)*1),"")))</f>
        <v/>
      </c>
    </row>
    <row r="355" spans="2:35" x14ac:dyDescent="0.2">
      <c r="B355" t="str">
        <f>IF(A355="","",IF(A355="[FÓRMULA MANUAL]","",IFERROR(AVERAGEIFS(DATOS!$K$2:$K$20000,DATOS!$A$2:$A$20000,A355,DATOS!$G$2:$G$20000,CONFIG_METADATA!$B$4,DATOS!$I$2:$I$20000,"Lenguaje Musical"),"")))</f>
        <v/>
      </c>
      <c r="C355" t="str">
        <f>IF(A355="","",IF(A355="[FÓRMULA MANUAL]","",IFERROR(AVERAGEIFS(DATOS!$K$2:$K$20000,DATOS!$A$2:$A$20000,A355,DATOS!$G$2:$G$20000,CONFIG_METADATA!$B$4,DATOS!$I$2:$I$20000,"Orquesta/Banda/Conjunto"),"")))</f>
        <v/>
      </c>
      <c r="D355" t="str">
        <f>IF(A355="","",IF(A355="[FÓRMULA MANUAL]","",IFERROR(AVERAGEIFS(DATOS!$K$2:$K$20000,DATOS!$A$2:$A$20000,A355,DATOS!$G$2:$G$20000,CONFIG_METADATA!$B$4,DATOS!$I$2:$I$20000,"Conjunto"),"")))</f>
        <v/>
      </c>
      <c r="E355" t="str">
        <f>IF(A355="","",IF(A355="[FÓRMULA MANUAL]","",IFERROR(SUMPRODUCT((DATOS!$A$2:$A$20000=A355)*(DATOS!$G$2:$G$20000=CONFIG_METADATA!$B$4)*(COUNTIF(CONFIG_ASIGNATURAS!$B$7:$B$27,DATOS!$I$2:$I$20000)&gt;0)*(DATOS!$K$2:$K$20000))/SUMPRODUCT((DATOS!$A$2:$A$20000=A355)*(DATOS!$G$2:$G$20000=CONFIG_METADATA!$B$4)*(COUNTIF(CONFIG_ASIGNATURAS!$B$7:$B$27,DATOS!$I$2:$I$20000)&gt;0)*1),"")))</f>
        <v/>
      </c>
      <c r="H355" t="str">
        <f>IF(G355="","",IF(G355="[FÓRMULA MANUAL]","",IFERROR(AVERAGEIFS(DATOS!$K$2:$K$20000,DATOS!$A$2:$A$20000,G355,DATOS!$G$2:$G$20000,CONFIG_METADATA!$B$4,DATOS!$I$2:$I$20000,"Lenguaje Musical"),"")))</f>
        <v/>
      </c>
      <c r="I355" t="str">
        <f>IF(G355="","",IF(G355="[FÓRMULA MANUAL]","",IFERROR(AVERAGEIFS(DATOS!$K$2:$K$20000,DATOS!$A$2:$A$20000,G355,DATOS!$G$2:$G$20000,CONFIG_METADATA!$B$4,DATOS!$I$2:$I$20000,"Orquesta/Banda/Conjunto"),"")))</f>
        <v/>
      </c>
      <c r="J355" t="str">
        <f>IF(G355="","",IF(G355="[FÓRMULA MANUAL]","",IFERROR(AVERAGEIFS(DATOS!$K$2:$K$20000,DATOS!$A$2:$A$20000,G355,DATOS!$G$2:$G$20000,CONFIG_METADATA!$B$4,DATOS!$I$2:$I$20000,"Conjunto"),"")))</f>
        <v/>
      </c>
      <c r="K355" t="str">
        <f>IF(G355="","",IF(G355="[FÓRMULA MANUAL]","",IFERROR(SUMPRODUCT((DATOS!$A$2:$A$20000=G355)*(DATOS!$G$2:$G$20000=CONFIG_METADATA!$B$4)*(COUNTIF(CONFIG_ASIGNATURAS!$B$7:$B$27,DATOS!$I$2:$I$20000)&gt;0)*(DATOS!$K$2:$K$20000))/SUMPRODUCT((DATOS!$A$2:$A$20000=G355)*(DATOS!$G$2:$G$20000=CONFIG_METADATA!$B$4)*(COUNTIF(CONFIG_ASIGNATURAS!$B$7:$B$27,DATOS!$I$2:$I$20000)&gt;0)*1),"")))</f>
        <v/>
      </c>
      <c r="N355" t="str">
        <f>IF(M355="","",IF(M355="[FÓRMULA MANUAL]","",IFERROR(AVERAGEIFS(DATOS!$K$2:$K$20000,DATOS!$A$2:$A$20000,M355,DATOS!$G$2:$G$20000,CONFIG_METADATA!$B$4,DATOS!$I$2:$I$20000,"Armonía"),"")))</f>
        <v/>
      </c>
      <c r="O355" t="str">
        <f>IF(M355="","",IF(M355="[FÓRMULA MANUAL]","",IFERROR(AVERAGEIFS(DATOS!$K$2:$K$20000,DATOS!$A$2:$A$20000,M355,DATOS!$G$2:$G$20000,CONFIG_METADATA!$B$4,DATOS!$I$2:$I$20000,"Orquesta/Banda/Conjunto"),"")))</f>
        <v/>
      </c>
      <c r="P355" t="str">
        <f>IF(M355="","",IF(M355="[FÓRMULA MANUAL]","",IFERROR(AVERAGEIFS(DATOS!$K$2:$K$20000,DATOS!$A$2:$A$20000,M355,DATOS!$G$2:$G$20000,CONFIG_METADATA!$B$4,DATOS!$I$2:$I$20000,"Música de Cámara"),"")))</f>
        <v/>
      </c>
      <c r="Q355" t="str">
        <f>IF(M355="","",IF(M355="[FÓRMULA MANUAL]","",IFERROR(SUMPRODUCT((DATOS!$A$2:$A$20000=M355)*(DATOS!$G$2:$G$20000=CONFIG_METADATA!$B$4)*(COUNTIF(CONFIG_ASIGNATURAS!$B$7:$B$27,DATOS!$I$2:$I$20000)&gt;0)*(DATOS!$K$2:$K$20000))/SUMPRODUCT((DATOS!$A$2:$A$20000=M355)*(DATOS!$G$2:$G$20000=CONFIG_METADATA!$B$4)*(COUNTIF(CONFIG_ASIGNATURAS!$B$7:$B$27,DATOS!$I$2:$I$20000)&gt;0)*1),"")))</f>
        <v/>
      </c>
      <c r="T355" t="str">
        <f>IF(S355="","",IF(S355="[FÓRMULA MANUAL]","",IFERROR(AVERAGEIFS(DATOS!$K$2:$K$20000,DATOS!$A$2:$A$20000,S355,DATOS!$G$2:$G$20000,CONFIG_METADATA!$B$4,DATOS!$I$2:$I$20000,"Armonía"),"")))</f>
        <v/>
      </c>
      <c r="U355" t="str">
        <f>IF(S355="","",IF(S355="[FÓRMULA MANUAL]","",IFERROR(AVERAGEIFS(DATOS!$K$2:$K$20000,DATOS!$A$2:$A$20000,S355,DATOS!$G$2:$G$20000,CONFIG_METADATA!$B$4,DATOS!$I$2:$I$20000,"Orquesta/Banda/Conjunto"),"")))</f>
        <v/>
      </c>
      <c r="V355" t="str">
        <f>IF(S355="","",IF(S355="[FÓRMULA MANUAL]","",IFERROR(AVERAGEIFS(DATOS!$K$2:$K$20000,DATOS!$A$2:$A$20000,S355,DATOS!$G$2:$G$20000,CONFIG_METADATA!$B$4,DATOS!$I$2:$I$20000,"Música de Cámara"),"")))</f>
        <v/>
      </c>
      <c r="W355" t="str">
        <f>IF(S355="","",IF(S355="[FÓRMULA MANUAL]","",IFERROR(SUMPRODUCT((DATOS!$A$2:$A$20000=S355)*(DATOS!$G$2:$G$20000=CONFIG_METADATA!$B$4)*(COUNTIF(CONFIG_ASIGNATURAS!$B$7:$B$27,DATOS!$I$2:$I$20000)&gt;0)*(DATOS!$K$2:$K$20000))/SUMPRODUCT((DATOS!$A$2:$A$20000=S355)*(DATOS!$G$2:$G$20000=CONFIG_METADATA!$B$4)*(COUNTIF(CONFIG_ASIGNATURAS!$B$7:$B$27,DATOS!$I$2:$I$20000)&gt;0)*1),"")))</f>
        <v/>
      </c>
      <c r="Z355" t="str">
        <f>IF(Y355="","",IF(Y355="[FÓRMULA MANUAL]","",IFERROR(AVERAGEIFS(DATOS!$K$2:$K$20000,DATOS!$A$2:$A$20000,Y355,DATOS!$G$2:$G$20000,CONFIG_METADATA!$B$4,DATOS!$I$2:$I$20000,"Análisis"),"")))</f>
        <v/>
      </c>
      <c r="AA355" t="str">
        <f>IF(Y355="","",IF(Y355="[FÓRMULA MANUAL]","",IFERROR(AVERAGEIFS(DATOS!$K$2:$K$20000,DATOS!$A$2:$A$20000,Y355,DATOS!$G$2:$G$20000,CONFIG_METADATA!$B$4,DATOS!$I$2:$I$20000,"Orquesta/Banda/Conjunto"),"")))</f>
        <v/>
      </c>
      <c r="AB355" t="str">
        <f>IF(Y355="","",IF(Y355="[FÓRMULA MANUAL]","",IFERROR(AVERAGEIFS(DATOS!$K$2:$K$20000,DATOS!$A$2:$A$20000,Y355,DATOS!$G$2:$G$20000,CONFIG_METADATA!$B$4,DATOS!$I$2:$I$20000,"Música de Cámara"),"")))</f>
        <v/>
      </c>
      <c r="AC355" t="str">
        <f>IF(Y355="","",IF(Y355="[FÓRMULA MANUAL]","",IFERROR(SUMPRODUCT((DATOS!$A$2:$A$20000=Y355)*(DATOS!$G$2:$G$20000=CONFIG_METADATA!$B$4)*(COUNTIF(CONFIG_ASIGNATURAS!$B$7:$B$27,DATOS!$I$2:$I$20000)&gt;0)*(DATOS!$K$2:$K$20000))/SUMPRODUCT((DATOS!$A$2:$A$20000=Y355)*(DATOS!$G$2:$G$20000=CONFIG_METADATA!$B$4)*(COUNTIF(CONFIG_ASIGNATURAS!$B$7:$B$27,DATOS!$I$2:$I$20000)&gt;0)*1),"")))</f>
        <v/>
      </c>
      <c r="AF355" t="str">
        <f>IF(AE355="","",IF(AE355="[FÓRMULA MANUAL]","",IFERROR(AVERAGEIFS(DATOS!$K$2:$K$20000,DATOS!$A$2:$A$20000,AE355,DATOS!$G$2:$G$20000,CONFIG_METADATA!$B$4,DATOS!$I$2:$I$20000,"Análisis"),"")))</f>
        <v/>
      </c>
      <c r="AG355" t="str">
        <f>IF(AE355="","",IF(AE355="[FÓRMULA MANUAL]","",IFERROR(AVERAGEIFS(DATOS!$K$2:$K$20000,DATOS!$A$2:$A$20000,AE355,DATOS!$G$2:$G$20000,CONFIG_METADATA!$B$4,DATOS!$I$2:$I$20000,"Orquesta/Banda/Conjunto"),"")))</f>
        <v/>
      </c>
      <c r="AH355" t="str">
        <f>IF(AE355="","",IF(AE355="[FÓRMULA MANUAL]","",IFERROR(AVERAGEIFS(DATOS!$K$2:$K$20000,DATOS!$A$2:$A$20000,AE355,DATOS!$G$2:$G$20000,CONFIG_METADATA!$B$4,DATOS!$I$2:$I$20000,"Música de Cámara"),"")))</f>
        <v/>
      </c>
      <c r="AI355" t="str">
        <f>IF(AE355="","",IF(AE355="[FÓRMULA MANUAL]","",IFERROR(SUMPRODUCT((DATOS!$A$2:$A$20000=AE355)*(DATOS!$G$2:$G$20000=CONFIG_METADATA!$B$4)*(COUNTIF(CONFIG_ASIGNATURAS!$B$7:$B$27,DATOS!$I$2:$I$20000)&gt;0)*(DATOS!$K$2:$K$20000))/SUMPRODUCT((DATOS!$A$2:$A$20000=AE355)*(DATOS!$G$2:$G$20000=CONFIG_METADATA!$B$4)*(COUNTIF(CONFIG_ASIGNATURAS!$B$7:$B$27,DATOS!$I$2:$I$20000)&gt;0)*1),"")))</f>
        <v/>
      </c>
    </row>
    <row r="356" spans="2:35" x14ac:dyDescent="0.2">
      <c r="B356" t="str">
        <f>IF(A356="","",IF(A356="[FÓRMULA MANUAL]","",IFERROR(AVERAGEIFS(DATOS!$K$2:$K$20000,DATOS!$A$2:$A$20000,A356,DATOS!$G$2:$G$20000,CONFIG_METADATA!$B$4,DATOS!$I$2:$I$20000,"Lenguaje Musical"),"")))</f>
        <v/>
      </c>
      <c r="C356" t="str">
        <f>IF(A356="","",IF(A356="[FÓRMULA MANUAL]","",IFERROR(AVERAGEIFS(DATOS!$K$2:$K$20000,DATOS!$A$2:$A$20000,A356,DATOS!$G$2:$G$20000,CONFIG_METADATA!$B$4,DATOS!$I$2:$I$20000,"Orquesta/Banda/Conjunto"),"")))</f>
        <v/>
      </c>
      <c r="D356" t="str">
        <f>IF(A356="","",IF(A356="[FÓRMULA MANUAL]","",IFERROR(AVERAGEIFS(DATOS!$K$2:$K$20000,DATOS!$A$2:$A$20000,A356,DATOS!$G$2:$G$20000,CONFIG_METADATA!$B$4,DATOS!$I$2:$I$20000,"Conjunto"),"")))</f>
        <v/>
      </c>
      <c r="E356" t="str">
        <f>IF(A356="","",IF(A356="[FÓRMULA MANUAL]","",IFERROR(SUMPRODUCT((DATOS!$A$2:$A$20000=A356)*(DATOS!$G$2:$G$20000=CONFIG_METADATA!$B$4)*(COUNTIF(CONFIG_ASIGNATURAS!$B$7:$B$27,DATOS!$I$2:$I$20000)&gt;0)*(DATOS!$K$2:$K$20000))/SUMPRODUCT((DATOS!$A$2:$A$20000=A356)*(DATOS!$G$2:$G$20000=CONFIG_METADATA!$B$4)*(COUNTIF(CONFIG_ASIGNATURAS!$B$7:$B$27,DATOS!$I$2:$I$20000)&gt;0)*1),"")))</f>
        <v/>
      </c>
      <c r="H356" t="str">
        <f>IF(G356="","",IF(G356="[FÓRMULA MANUAL]","",IFERROR(AVERAGEIFS(DATOS!$K$2:$K$20000,DATOS!$A$2:$A$20000,G356,DATOS!$G$2:$G$20000,CONFIG_METADATA!$B$4,DATOS!$I$2:$I$20000,"Lenguaje Musical"),"")))</f>
        <v/>
      </c>
      <c r="I356" t="str">
        <f>IF(G356="","",IF(G356="[FÓRMULA MANUAL]","",IFERROR(AVERAGEIFS(DATOS!$K$2:$K$20000,DATOS!$A$2:$A$20000,G356,DATOS!$G$2:$G$20000,CONFIG_METADATA!$B$4,DATOS!$I$2:$I$20000,"Orquesta/Banda/Conjunto"),"")))</f>
        <v/>
      </c>
      <c r="J356" t="str">
        <f>IF(G356="","",IF(G356="[FÓRMULA MANUAL]","",IFERROR(AVERAGEIFS(DATOS!$K$2:$K$20000,DATOS!$A$2:$A$20000,G356,DATOS!$G$2:$G$20000,CONFIG_METADATA!$B$4,DATOS!$I$2:$I$20000,"Conjunto"),"")))</f>
        <v/>
      </c>
      <c r="K356" t="str">
        <f>IF(G356="","",IF(G356="[FÓRMULA MANUAL]","",IFERROR(SUMPRODUCT((DATOS!$A$2:$A$20000=G356)*(DATOS!$G$2:$G$20000=CONFIG_METADATA!$B$4)*(COUNTIF(CONFIG_ASIGNATURAS!$B$7:$B$27,DATOS!$I$2:$I$20000)&gt;0)*(DATOS!$K$2:$K$20000))/SUMPRODUCT((DATOS!$A$2:$A$20000=G356)*(DATOS!$G$2:$G$20000=CONFIG_METADATA!$B$4)*(COUNTIF(CONFIG_ASIGNATURAS!$B$7:$B$27,DATOS!$I$2:$I$20000)&gt;0)*1),"")))</f>
        <v/>
      </c>
      <c r="N356" t="str">
        <f>IF(M356="","",IF(M356="[FÓRMULA MANUAL]","",IFERROR(AVERAGEIFS(DATOS!$K$2:$K$20000,DATOS!$A$2:$A$20000,M356,DATOS!$G$2:$G$20000,CONFIG_METADATA!$B$4,DATOS!$I$2:$I$20000,"Armonía"),"")))</f>
        <v/>
      </c>
      <c r="O356" t="str">
        <f>IF(M356="","",IF(M356="[FÓRMULA MANUAL]","",IFERROR(AVERAGEIFS(DATOS!$K$2:$K$20000,DATOS!$A$2:$A$20000,M356,DATOS!$G$2:$G$20000,CONFIG_METADATA!$B$4,DATOS!$I$2:$I$20000,"Orquesta/Banda/Conjunto"),"")))</f>
        <v/>
      </c>
      <c r="P356" t="str">
        <f>IF(M356="","",IF(M356="[FÓRMULA MANUAL]","",IFERROR(AVERAGEIFS(DATOS!$K$2:$K$20000,DATOS!$A$2:$A$20000,M356,DATOS!$G$2:$G$20000,CONFIG_METADATA!$B$4,DATOS!$I$2:$I$20000,"Música de Cámara"),"")))</f>
        <v/>
      </c>
      <c r="Q356" t="str">
        <f>IF(M356="","",IF(M356="[FÓRMULA MANUAL]","",IFERROR(SUMPRODUCT((DATOS!$A$2:$A$20000=M356)*(DATOS!$G$2:$G$20000=CONFIG_METADATA!$B$4)*(COUNTIF(CONFIG_ASIGNATURAS!$B$7:$B$27,DATOS!$I$2:$I$20000)&gt;0)*(DATOS!$K$2:$K$20000))/SUMPRODUCT((DATOS!$A$2:$A$20000=M356)*(DATOS!$G$2:$G$20000=CONFIG_METADATA!$B$4)*(COUNTIF(CONFIG_ASIGNATURAS!$B$7:$B$27,DATOS!$I$2:$I$20000)&gt;0)*1),"")))</f>
        <v/>
      </c>
      <c r="T356" t="str">
        <f>IF(S356="","",IF(S356="[FÓRMULA MANUAL]","",IFERROR(AVERAGEIFS(DATOS!$K$2:$K$20000,DATOS!$A$2:$A$20000,S356,DATOS!$G$2:$G$20000,CONFIG_METADATA!$B$4,DATOS!$I$2:$I$20000,"Armonía"),"")))</f>
        <v/>
      </c>
      <c r="U356" t="str">
        <f>IF(S356="","",IF(S356="[FÓRMULA MANUAL]","",IFERROR(AVERAGEIFS(DATOS!$K$2:$K$20000,DATOS!$A$2:$A$20000,S356,DATOS!$G$2:$G$20000,CONFIG_METADATA!$B$4,DATOS!$I$2:$I$20000,"Orquesta/Banda/Conjunto"),"")))</f>
        <v/>
      </c>
      <c r="V356" t="str">
        <f>IF(S356="","",IF(S356="[FÓRMULA MANUAL]","",IFERROR(AVERAGEIFS(DATOS!$K$2:$K$20000,DATOS!$A$2:$A$20000,S356,DATOS!$G$2:$G$20000,CONFIG_METADATA!$B$4,DATOS!$I$2:$I$20000,"Música de Cámara"),"")))</f>
        <v/>
      </c>
      <c r="W356" t="str">
        <f>IF(S356="","",IF(S356="[FÓRMULA MANUAL]","",IFERROR(SUMPRODUCT((DATOS!$A$2:$A$20000=S356)*(DATOS!$G$2:$G$20000=CONFIG_METADATA!$B$4)*(COUNTIF(CONFIG_ASIGNATURAS!$B$7:$B$27,DATOS!$I$2:$I$20000)&gt;0)*(DATOS!$K$2:$K$20000))/SUMPRODUCT((DATOS!$A$2:$A$20000=S356)*(DATOS!$G$2:$G$20000=CONFIG_METADATA!$B$4)*(COUNTIF(CONFIG_ASIGNATURAS!$B$7:$B$27,DATOS!$I$2:$I$20000)&gt;0)*1),"")))</f>
        <v/>
      </c>
      <c r="Z356" t="str">
        <f>IF(Y356="","",IF(Y356="[FÓRMULA MANUAL]","",IFERROR(AVERAGEIFS(DATOS!$K$2:$K$20000,DATOS!$A$2:$A$20000,Y356,DATOS!$G$2:$G$20000,CONFIG_METADATA!$B$4,DATOS!$I$2:$I$20000,"Análisis"),"")))</f>
        <v/>
      </c>
      <c r="AA356" t="str">
        <f>IF(Y356="","",IF(Y356="[FÓRMULA MANUAL]","",IFERROR(AVERAGEIFS(DATOS!$K$2:$K$20000,DATOS!$A$2:$A$20000,Y356,DATOS!$G$2:$G$20000,CONFIG_METADATA!$B$4,DATOS!$I$2:$I$20000,"Orquesta/Banda/Conjunto"),"")))</f>
        <v/>
      </c>
      <c r="AB356" t="str">
        <f>IF(Y356="","",IF(Y356="[FÓRMULA MANUAL]","",IFERROR(AVERAGEIFS(DATOS!$K$2:$K$20000,DATOS!$A$2:$A$20000,Y356,DATOS!$G$2:$G$20000,CONFIG_METADATA!$B$4,DATOS!$I$2:$I$20000,"Música de Cámara"),"")))</f>
        <v/>
      </c>
      <c r="AC356" t="str">
        <f>IF(Y356="","",IF(Y356="[FÓRMULA MANUAL]","",IFERROR(SUMPRODUCT((DATOS!$A$2:$A$20000=Y356)*(DATOS!$G$2:$G$20000=CONFIG_METADATA!$B$4)*(COUNTIF(CONFIG_ASIGNATURAS!$B$7:$B$27,DATOS!$I$2:$I$20000)&gt;0)*(DATOS!$K$2:$K$20000))/SUMPRODUCT((DATOS!$A$2:$A$20000=Y356)*(DATOS!$G$2:$G$20000=CONFIG_METADATA!$B$4)*(COUNTIF(CONFIG_ASIGNATURAS!$B$7:$B$27,DATOS!$I$2:$I$20000)&gt;0)*1),"")))</f>
        <v/>
      </c>
      <c r="AF356" t="str">
        <f>IF(AE356="","",IF(AE356="[FÓRMULA MANUAL]","",IFERROR(AVERAGEIFS(DATOS!$K$2:$K$20000,DATOS!$A$2:$A$20000,AE356,DATOS!$G$2:$G$20000,CONFIG_METADATA!$B$4,DATOS!$I$2:$I$20000,"Análisis"),"")))</f>
        <v/>
      </c>
      <c r="AG356" t="str">
        <f>IF(AE356="","",IF(AE356="[FÓRMULA MANUAL]","",IFERROR(AVERAGEIFS(DATOS!$K$2:$K$20000,DATOS!$A$2:$A$20000,AE356,DATOS!$G$2:$G$20000,CONFIG_METADATA!$B$4,DATOS!$I$2:$I$20000,"Orquesta/Banda/Conjunto"),"")))</f>
        <v/>
      </c>
      <c r="AH356" t="str">
        <f>IF(AE356="","",IF(AE356="[FÓRMULA MANUAL]","",IFERROR(AVERAGEIFS(DATOS!$K$2:$K$20000,DATOS!$A$2:$A$20000,AE356,DATOS!$G$2:$G$20000,CONFIG_METADATA!$B$4,DATOS!$I$2:$I$20000,"Música de Cámara"),"")))</f>
        <v/>
      </c>
      <c r="AI356" t="str">
        <f>IF(AE356="","",IF(AE356="[FÓRMULA MANUAL]","",IFERROR(SUMPRODUCT((DATOS!$A$2:$A$20000=AE356)*(DATOS!$G$2:$G$20000=CONFIG_METADATA!$B$4)*(COUNTIF(CONFIG_ASIGNATURAS!$B$7:$B$27,DATOS!$I$2:$I$20000)&gt;0)*(DATOS!$K$2:$K$20000))/SUMPRODUCT((DATOS!$A$2:$A$20000=AE356)*(DATOS!$G$2:$G$20000=CONFIG_METADATA!$B$4)*(COUNTIF(CONFIG_ASIGNATURAS!$B$7:$B$27,DATOS!$I$2:$I$20000)&gt;0)*1),"")))</f>
        <v/>
      </c>
    </row>
    <row r="357" spans="2:35" x14ac:dyDescent="0.2">
      <c r="B357" t="str">
        <f>IF(A357="","",IF(A357="[FÓRMULA MANUAL]","",IFERROR(AVERAGEIFS(DATOS!$K$2:$K$20000,DATOS!$A$2:$A$20000,A357,DATOS!$G$2:$G$20000,CONFIG_METADATA!$B$4,DATOS!$I$2:$I$20000,"Lenguaje Musical"),"")))</f>
        <v/>
      </c>
      <c r="C357" t="str">
        <f>IF(A357="","",IF(A357="[FÓRMULA MANUAL]","",IFERROR(AVERAGEIFS(DATOS!$K$2:$K$20000,DATOS!$A$2:$A$20000,A357,DATOS!$G$2:$G$20000,CONFIG_METADATA!$B$4,DATOS!$I$2:$I$20000,"Orquesta/Banda/Conjunto"),"")))</f>
        <v/>
      </c>
      <c r="D357" t="str">
        <f>IF(A357="","",IF(A357="[FÓRMULA MANUAL]","",IFERROR(AVERAGEIFS(DATOS!$K$2:$K$20000,DATOS!$A$2:$A$20000,A357,DATOS!$G$2:$G$20000,CONFIG_METADATA!$B$4,DATOS!$I$2:$I$20000,"Conjunto"),"")))</f>
        <v/>
      </c>
      <c r="E357" t="str">
        <f>IF(A357="","",IF(A357="[FÓRMULA MANUAL]","",IFERROR(SUMPRODUCT((DATOS!$A$2:$A$20000=A357)*(DATOS!$G$2:$G$20000=CONFIG_METADATA!$B$4)*(COUNTIF(CONFIG_ASIGNATURAS!$B$7:$B$27,DATOS!$I$2:$I$20000)&gt;0)*(DATOS!$K$2:$K$20000))/SUMPRODUCT((DATOS!$A$2:$A$20000=A357)*(DATOS!$G$2:$G$20000=CONFIG_METADATA!$B$4)*(COUNTIF(CONFIG_ASIGNATURAS!$B$7:$B$27,DATOS!$I$2:$I$20000)&gt;0)*1),"")))</f>
        <v/>
      </c>
      <c r="H357" t="str">
        <f>IF(G357="","",IF(G357="[FÓRMULA MANUAL]","",IFERROR(AVERAGEIFS(DATOS!$K$2:$K$20000,DATOS!$A$2:$A$20000,G357,DATOS!$G$2:$G$20000,CONFIG_METADATA!$B$4,DATOS!$I$2:$I$20000,"Lenguaje Musical"),"")))</f>
        <v/>
      </c>
      <c r="I357" t="str">
        <f>IF(G357="","",IF(G357="[FÓRMULA MANUAL]","",IFERROR(AVERAGEIFS(DATOS!$K$2:$K$20000,DATOS!$A$2:$A$20000,G357,DATOS!$G$2:$G$20000,CONFIG_METADATA!$B$4,DATOS!$I$2:$I$20000,"Orquesta/Banda/Conjunto"),"")))</f>
        <v/>
      </c>
      <c r="J357" t="str">
        <f>IF(G357="","",IF(G357="[FÓRMULA MANUAL]","",IFERROR(AVERAGEIFS(DATOS!$K$2:$K$20000,DATOS!$A$2:$A$20000,G357,DATOS!$G$2:$G$20000,CONFIG_METADATA!$B$4,DATOS!$I$2:$I$20000,"Conjunto"),"")))</f>
        <v/>
      </c>
      <c r="K357" t="str">
        <f>IF(G357="","",IF(G357="[FÓRMULA MANUAL]","",IFERROR(SUMPRODUCT((DATOS!$A$2:$A$20000=G357)*(DATOS!$G$2:$G$20000=CONFIG_METADATA!$B$4)*(COUNTIF(CONFIG_ASIGNATURAS!$B$7:$B$27,DATOS!$I$2:$I$20000)&gt;0)*(DATOS!$K$2:$K$20000))/SUMPRODUCT((DATOS!$A$2:$A$20000=G357)*(DATOS!$G$2:$G$20000=CONFIG_METADATA!$B$4)*(COUNTIF(CONFIG_ASIGNATURAS!$B$7:$B$27,DATOS!$I$2:$I$20000)&gt;0)*1),"")))</f>
        <v/>
      </c>
      <c r="N357" t="str">
        <f>IF(M357="","",IF(M357="[FÓRMULA MANUAL]","",IFERROR(AVERAGEIFS(DATOS!$K$2:$K$20000,DATOS!$A$2:$A$20000,M357,DATOS!$G$2:$G$20000,CONFIG_METADATA!$B$4,DATOS!$I$2:$I$20000,"Armonía"),"")))</f>
        <v/>
      </c>
      <c r="O357" t="str">
        <f>IF(M357="","",IF(M357="[FÓRMULA MANUAL]","",IFERROR(AVERAGEIFS(DATOS!$K$2:$K$20000,DATOS!$A$2:$A$20000,M357,DATOS!$G$2:$G$20000,CONFIG_METADATA!$B$4,DATOS!$I$2:$I$20000,"Orquesta/Banda/Conjunto"),"")))</f>
        <v/>
      </c>
      <c r="P357" t="str">
        <f>IF(M357="","",IF(M357="[FÓRMULA MANUAL]","",IFERROR(AVERAGEIFS(DATOS!$K$2:$K$20000,DATOS!$A$2:$A$20000,M357,DATOS!$G$2:$G$20000,CONFIG_METADATA!$B$4,DATOS!$I$2:$I$20000,"Música de Cámara"),"")))</f>
        <v/>
      </c>
      <c r="Q357" t="str">
        <f>IF(M357="","",IF(M357="[FÓRMULA MANUAL]","",IFERROR(SUMPRODUCT((DATOS!$A$2:$A$20000=M357)*(DATOS!$G$2:$G$20000=CONFIG_METADATA!$B$4)*(COUNTIF(CONFIG_ASIGNATURAS!$B$7:$B$27,DATOS!$I$2:$I$20000)&gt;0)*(DATOS!$K$2:$K$20000))/SUMPRODUCT((DATOS!$A$2:$A$20000=M357)*(DATOS!$G$2:$G$20000=CONFIG_METADATA!$B$4)*(COUNTIF(CONFIG_ASIGNATURAS!$B$7:$B$27,DATOS!$I$2:$I$20000)&gt;0)*1),"")))</f>
        <v/>
      </c>
      <c r="T357" t="str">
        <f>IF(S357="","",IF(S357="[FÓRMULA MANUAL]","",IFERROR(AVERAGEIFS(DATOS!$K$2:$K$20000,DATOS!$A$2:$A$20000,S357,DATOS!$G$2:$G$20000,CONFIG_METADATA!$B$4,DATOS!$I$2:$I$20000,"Armonía"),"")))</f>
        <v/>
      </c>
      <c r="U357" t="str">
        <f>IF(S357="","",IF(S357="[FÓRMULA MANUAL]","",IFERROR(AVERAGEIFS(DATOS!$K$2:$K$20000,DATOS!$A$2:$A$20000,S357,DATOS!$G$2:$G$20000,CONFIG_METADATA!$B$4,DATOS!$I$2:$I$20000,"Orquesta/Banda/Conjunto"),"")))</f>
        <v/>
      </c>
      <c r="V357" t="str">
        <f>IF(S357="","",IF(S357="[FÓRMULA MANUAL]","",IFERROR(AVERAGEIFS(DATOS!$K$2:$K$20000,DATOS!$A$2:$A$20000,S357,DATOS!$G$2:$G$20000,CONFIG_METADATA!$B$4,DATOS!$I$2:$I$20000,"Música de Cámara"),"")))</f>
        <v/>
      </c>
      <c r="W357" t="str">
        <f>IF(S357="","",IF(S357="[FÓRMULA MANUAL]","",IFERROR(SUMPRODUCT((DATOS!$A$2:$A$20000=S357)*(DATOS!$G$2:$G$20000=CONFIG_METADATA!$B$4)*(COUNTIF(CONFIG_ASIGNATURAS!$B$7:$B$27,DATOS!$I$2:$I$20000)&gt;0)*(DATOS!$K$2:$K$20000))/SUMPRODUCT((DATOS!$A$2:$A$20000=S357)*(DATOS!$G$2:$G$20000=CONFIG_METADATA!$B$4)*(COUNTIF(CONFIG_ASIGNATURAS!$B$7:$B$27,DATOS!$I$2:$I$20000)&gt;0)*1),"")))</f>
        <v/>
      </c>
      <c r="Z357" t="str">
        <f>IF(Y357="","",IF(Y357="[FÓRMULA MANUAL]","",IFERROR(AVERAGEIFS(DATOS!$K$2:$K$20000,DATOS!$A$2:$A$20000,Y357,DATOS!$G$2:$G$20000,CONFIG_METADATA!$B$4,DATOS!$I$2:$I$20000,"Análisis"),"")))</f>
        <v/>
      </c>
      <c r="AA357" t="str">
        <f>IF(Y357="","",IF(Y357="[FÓRMULA MANUAL]","",IFERROR(AVERAGEIFS(DATOS!$K$2:$K$20000,DATOS!$A$2:$A$20000,Y357,DATOS!$G$2:$G$20000,CONFIG_METADATA!$B$4,DATOS!$I$2:$I$20000,"Orquesta/Banda/Conjunto"),"")))</f>
        <v/>
      </c>
      <c r="AB357" t="str">
        <f>IF(Y357="","",IF(Y357="[FÓRMULA MANUAL]","",IFERROR(AVERAGEIFS(DATOS!$K$2:$K$20000,DATOS!$A$2:$A$20000,Y357,DATOS!$G$2:$G$20000,CONFIG_METADATA!$B$4,DATOS!$I$2:$I$20000,"Música de Cámara"),"")))</f>
        <v/>
      </c>
      <c r="AC357" t="str">
        <f>IF(Y357="","",IF(Y357="[FÓRMULA MANUAL]","",IFERROR(SUMPRODUCT((DATOS!$A$2:$A$20000=Y357)*(DATOS!$G$2:$G$20000=CONFIG_METADATA!$B$4)*(COUNTIF(CONFIG_ASIGNATURAS!$B$7:$B$27,DATOS!$I$2:$I$20000)&gt;0)*(DATOS!$K$2:$K$20000))/SUMPRODUCT((DATOS!$A$2:$A$20000=Y357)*(DATOS!$G$2:$G$20000=CONFIG_METADATA!$B$4)*(COUNTIF(CONFIG_ASIGNATURAS!$B$7:$B$27,DATOS!$I$2:$I$20000)&gt;0)*1),"")))</f>
        <v/>
      </c>
      <c r="AF357" t="str">
        <f>IF(AE357="","",IF(AE357="[FÓRMULA MANUAL]","",IFERROR(AVERAGEIFS(DATOS!$K$2:$K$20000,DATOS!$A$2:$A$20000,AE357,DATOS!$G$2:$G$20000,CONFIG_METADATA!$B$4,DATOS!$I$2:$I$20000,"Análisis"),"")))</f>
        <v/>
      </c>
      <c r="AG357" t="str">
        <f>IF(AE357="","",IF(AE357="[FÓRMULA MANUAL]","",IFERROR(AVERAGEIFS(DATOS!$K$2:$K$20000,DATOS!$A$2:$A$20000,AE357,DATOS!$G$2:$G$20000,CONFIG_METADATA!$B$4,DATOS!$I$2:$I$20000,"Orquesta/Banda/Conjunto"),"")))</f>
        <v/>
      </c>
      <c r="AH357" t="str">
        <f>IF(AE357="","",IF(AE357="[FÓRMULA MANUAL]","",IFERROR(AVERAGEIFS(DATOS!$K$2:$K$20000,DATOS!$A$2:$A$20000,AE357,DATOS!$G$2:$G$20000,CONFIG_METADATA!$B$4,DATOS!$I$2:$I$20000,"Música de Cámara"),"")))</f>
        <v/>
      </c>
      <c r="AI357" t="str">
        <f>IF(AE357="","",IF(AE357="[FÓRMULA MANUAL]","",IFERROR(SUMPRODUCT((DATOS!$A$2:$A$20000=AE357)*(DATOS!$G$2:$G$20000=CONFIG_METADATA!$B$4)*(COUNTIF(CONFIG_ASIGNATURAS!$B$7:$B$27,DATOS!$I$2:$I$20000)&gt;0)*(DATOS!$K$2:$K$20000))/SUMPRODUCT((DATOS!$A$2:$A$20000=AE357)*(DATOS!$G$2:$G$20000=CONFIG_METADATA!$B$4)*(COUNTIF(CONFIG_ASIGNATURAS!$B$7:$B$27,DATOS!$I$2:$I$20000)&gt;0)*1),"")))</f>
        <v/>
      </c>
    </row>
    <row r="358" spans="2:35" x14ac:dyDescent="0.2">
      <c r="B358" t="str">
        <f>IF(A358="","",IF(A358="[FÓRMULA MANUAL]","",IFERROR(AVERAGEIFS(DATOS!$K$2:$K$20000,DATOS!$A$2:$A$20000,A358,DATOS!$G$2:$G$20000,CONFIG_METADATA!$B$4,DATOS!$I$2:$I$20000,"Lenguaje Musical"),"")))</f>
        <v/>
      </c>
      <c r="C358" t="str">
        <f>IF(A358="","",IF(A358="[FÓRMULA MANUAL]","",IFERROR(AVERAGEIFS(DATOS!$K$2:$K$20000,DATOS!$A$2:$A$20000,A358,DATOS!$G$2:$G$20000,CONFIG_METADATA!$B$4,DATOS!$I$2:$I$20000,"Orquesta/Banda/Conjunto"),"")))</f>
        <v/>
      </c>
      <c r="D358" t="str">
        <f>IF(A358="","",IF(A358="[FÓRMULA MANUAL]","",IFERROR(AVERAGEIFS(DATOS!$K$2:$K$20000,DATOS!$A$2:$A$20000,A358,DATOS!$G$2:$G$20000,CONFIG_METADATA!$B$4,DATOS!$I$2:$I$20000,"Conjunto"),"")))</f>
        <v/>
      </c>
      <c r="E358" t="str">
        <f>IF(A358="","",IF(A358="[FÓRMULA MANUAL]","",IFERROR(SUMPRODUCT((DATOS!$A$2:$A$20000=A358)*(DATOS!$G$2:$G$20000=CONFIG_METADATA!$B$4)*(COUNTIF(CONFIG_ASIGNATURAS!$B$7:$B$27,DATOS!$I$2:$I$20000)&gt;0)*(DATOS!$K$2:$K$20000))/SUMPRODUCT((DATOS!$A$2:$A$20000=A358)*(DATOS!$G$2:$G$20000=CONFIG_METADATA!$B$4)*(COUNTIF(CONFIG_ASIGNATURAS!$B$7:$B$27,DATOS!$I$2:$I$20000)&gt;0)*1),"")))</f>
        <v/>
      </c>
      <c r="H358" t="str">
        <f>IF(G358="","",IF(G358="[FÓRMULA MANUAL]","",IFERROR(AVERAGEIFS(DATOS!$K$2:$K$20000,DATOS!$A$2:$A$20000,G358,DATOS!$G$2:$G$20000,CONFIG_METADATA!$B$4,DATOS!$I$2:$I$20000,"Lenguaje Musical"),"")))</f>
        <v/>
      </c>
      <c r="I358" t="str">
        <f>IF(G358="","",IF(G358="[FÓRMULA MANUAL]","",IFERROR(AVERAGEIFS(DATOS!$K$2:$K$20000,DATOS!$A$2:$A$20000,G358,DATOS!$G$2:$G$20000,CONFIG_METADATA!$B$4,DATOS!$I$2:$I$20000,"Orquesta/Banda/Conjunto"),"")))</f>
        <v/>
      </c>
      <c r="J358" t="str">
        <f>IF(G358="","",IF(G358="[FÓRMULA MANUAL]","",IFERROR(AVERAGEIFS(DATOS!$K$2:$K$20000,DATOS!$A$2:$A$20000,G358,DATOS!$G$2:$G$20000,CONFIG_METADATA!$B$4,DATOS!$I$2:$I$20000,"Conjunto"),"")))</f>
        <v/>
      </c>
      <c r="K358" t="str">
        <f>IF(G358="","",IF(G358="[FÓRMULA MANUAL]","",IFERROR(SUMPRODUCT((DATOS!$A$2:$A$20000=G358)*(DATOS!$G$2:$G$20000=CONFIG_METADATA!$B$4)*(COUNTIF(CONFIG_ASIGNATURAS!$B$7:$B$27,DATOS!$I$2:$I$20000)&gt;0)*(DATOS!$K$2:$K$20000))/SUMPRODUCT((DATOS!$A$2:$A$20000=G358)*(DATOS!$G$2:$G$20000=CONFIG_METADATA!$B$4)*(COUNTIF(CONFIG_ASIGNATURAS!$B$7:$B$27,DATOS!$I$2:$I$20000)&gt;0)*1),"")))</f>
        <v/>
      </c>
      <c r="N358" t="str">
        <f>IF(M358="","",IF(M358="[FÓRMULA MANUAL]","",IFERROR(AVERAGEIFS(DATOS!$K$2:$K$20000,DATOS!$A$2:$A$20000,M358,DATOS!$G$2:$G$20000,CONFIG_METADATA!$B$4,DATOS!$I$2:$I$20000,"Armonía"),"")))</f>
        <v/>
      </c>
      <c r="O358" t="str">
        <f>IF(M358="","",IF(M358="[FÓRMULA MANUAL]","",IFERROR(AVERAGEIFS(DATOS!$K$2:$K$20000,DATOS!$A$2:$A$20000,M358,DATOS!$G$2:$G$20000,CONFIG_METADATA!$B$4,DATOS!$I$2:$I$20000,"Orquesta/Banda/Conjunto"),"")))</f>
        <v/>
      </c>
      <c r="P358" t="str">
        <f>IF(M358="","",IF(M358="[FÓRMULA MANUAL]","",IFERROR(AVERAGEIFS(DATOS!$K$2:$K$20000,DATOS!$A$2:$A$20000,M358,DATOS!$G$2:$G$20000,CONFIG_METADATA!$B$4,DATOS!$I$2:$I$20000,"Música de Cámara"),"")))</f>
        <v/>
      </c>
      <c r="Q358" t="str">
        <f>IF(M358="","",IF(M358="[FÓRMULA MANUAL]","",IFERROR(SUMPRODUCT((DATOS!$A$2:$A$20000=M358)*(DATOS!$G$2:$G$20000=CONFIG_METADATA!$B$4)*(COUNTIF(CONFIG_ASIGNATURAS!$B$7:$B$27,DATOS!$I$2:$I$20000)&gt;0)*(DATOS!$K$2:$K$20000))/SUMPRODUCT((DATOS!$A$2:$A$20000=M358)*(DATOS!$G$2:$G$20000=CONFIG_METADATA!$B$4)*(COUNTIF(CONFIG_ASIGNATURAS!$B$7:$B$27,DATOS!$I$2:$I$20000)&gt;0)*1),"")))</f>
        <v/>
      </c>
      <c r="T358" t="str">
        <f>IF(S358="","",IF(S358="[FÓRMULA MANUAL]","",IFERROR(AVERAGEIFS(DATOS!$K$2:$K$20000,DATOS!$A$2:$A$20000,S358,DATOS!$G$2:$G$20000,CONFIG_METADATA!$B$4,DATOS!$I$2:$I$20000,"Armonía"),"")))</f>
        <v/>
      </c>
      <c r="U358" t="str">
        <f>IF(S358="","",IF(S358="[FÓRMULA MANUAL]","",IFERROR(AVERAGEIFS(DATOS!$K$2:$K$20000,DATOS!$A$2:$A$20000,S358,DATOS!$G$2:$G$20000,CONFIG_METADATA!$B$4,DATOS!$I$2:$I$20000,"Orquesta/Banda/Conjunto"),"")))</f>
        <v/>
      </c>
      <c r="V358" t="str">
        <f>IF(S358="","",IF(S358="[FÓRMULA MANUAL]","",IFERROR(AVERAGEIFS(DATOS!$K$2:$K$20000,DATOS!$A$2:$A$20000,S358,DATOS!$G$2:$G$20000,CONFIG_METADATA!$B$4,DATOS!$I$2:$I$20000,"Música de Cámara"),"")))</f>
        <v/>
      </c>
      <c r="W358" t="str">
        <f>IF(S358="","",IF(S358="[FÓRMULA MANUAL]","",IFERROR(SUMPRODUCT((DATOS!$A$2:$A$20000=S358)*(DATOS!$G$2:$G$20000=CONFIG_METADATA!$B$4)*(COUNTIF(CONFIG_ASIGNATURAS!$B$7:$B$27,DATOS!$I$2:$I$20000)&gt;0)*(DATOS!$K$2:$K$20000))/SUMPRODUCT((DATOS!$A$2:$A$20000=S358)*(DATOS!$G$2:$G$20000=CONFIG_METADATA!$B$4)*(COUNTIF(CONFIG_ASIGNATURAS!$B$7:$B$27,DATOS!$I$2:$I$20000)&gt;0)*1),"")))</f>
        <v/>
      </c>
      <c r="Z358" t="str">
        <f>IF(Y358="","",IF(Y358="[FÓRMULA MANUAL]","",IFERROR(AVERAGEIFS(DATOS!$K$2:$K$20000,DATOS!$A$2:$A$20000,Y358,DATOS!$G$2:$G$20000,CONFIG_METADATA!$B$4,DATOS!$I$2:$I$20000,"Análisis"),"")))</f>
        <v/>
      </c>
      <c r="AA358" t="str">
        <f>IF(Y358="","",IF(Y358="[FÓRMULA MANUAL]","",IFERROR(AVERAGEIFS(DATOS!$K$2:$K$20000,DATOS!$A$2:$A$20000,Y358,DATOS!$G$2:$G$20000,CONFIG_METADATA!$B$4,DATOS!$I$2:$I$20000,"Orquesta/Banda/Conjunto"),"")))</f>
        <v/>
      </c>
      <c r="AB358" t="str">
        <f>IF(Y358="","",IF(Y358="[FÓRMULA MANUAL]","",IFERROR(AVERAGEIFS(DATOS!$K$2:$K$20000,DATOS!$A$2:$A$20000,Y358,DATOS!$G$2:$G$20000,CONFIG_METADATA!$B$4,DATOS!$I$2:$I$20000,"Música de Cámara"),"")))</f>
        <v/>
      </c>
      <c r="AC358" t="str">
        <f>IF(Y358="","",IF(Y358="[FÓRMULA MANUAL]","",IFERROR(SUMPRODUCT((DATOS!$A$2:$A$20000=Y358)*(DATOS!$G$2:$G$20000=CONFIG_METADATA!$B$4)*(COUNTIF(CONFIG_ASIGNATURAS!$B$7:$B$27,DATOS!$I$2:$I$20000)&gt;0)*(DATOS!$K$2:$K$20000))/SUMPRODUCT((DATOS!$A$2:$A$20000=Y358)*(DATOS!$G$2:$G$20000=CONFIG_METADATA!$B$4)*(COUNTIF(CONFIG_ASIGNATURAS!$B$7:$B$27,DATOS!$I$2:$I$20000)&gt;0)*1),"")))</f>
        <v/>
      </c>
      <c r="AF358" t="str">
        <f>IF(AE358="","",IF(AE358="[FÓRMULA MANUAL]","",IFERROR(AVERAGEIFS(DATOS!$K$2:$K$20000,DATOS!$A$2:$A$20000,AE358,DATOS!$G$2:$G$20000,CONFIG_METADATA!$B$4,DATOS!$I$2:$I$20000,"Análisis"),"")))</f>
        <v/>
      </c>
      <c r="AG358" t="str">
        <f>IF(AE358="","",IF(AE358="[FÓRMULA MANUAL]","",IFERROR(AVERAGEIFS(DATOS!$K$2:$K$20000,DATOS!$A$2:$A$20000,AE358,DATOS!$G$2:$G$20000,CONFIG_METADATA!$B$4,DATOS!$I$2:$I$20000,"Orquesta/Banda/Conjunto"),"")))</f>
        <v/>
      </c>
      <c r="AH358" t="str">
        <f>IF(AE358="","",IF(AE358="[FÓRMULA MANUAL]","",IFERROR(AVERAGEIFS(DATOS!$K$2:$K$20000,DATOS!$A$2:$A$20000,AE358,DATOS!$G$2:$G$20000,CONFIG_METADATA!$B$4,DATOS!$I$2:$I$20000,"Música de Cámara"),"")))</f>
        <v/>
      </c>
      <c r="AI358" t="str">
        <f>IF(AE358="","",IF(AE358="[FÓRMULA MANUAL]","",IFERROR(SUMPRODUCT((DATOS!$A$2:$A$20000=AE358)*(DATOS!$G$2:$G$20000=CONFIG_METADATA!$B$4)*(COUNTIF(CONFIG_ASIGNATURAS!$B$7:$B$27,DATOS!$I$2:$I$20000)&gt;0)*(DATOS!$K$2:$K$20000))/SUMPRODUCT((DATOS!$A$2:$A$20000=AE358)*(DATOS!$G$2:$G$20000=CONFIG_METADATA!$B$4)*(COUNTIF(CONFIG_ASIGNATURAS!$B$7:$B$27,DATOS!$I$2:$I$20000)&gt;0)*1),"")))</f>
        <v/>
      </c>
    </row>
    <row r="359" spans="2:35" x14ac:dyDescent="0.2">
      <c r="B359" t="str">
        <f>IF(A359="","",IF(A359="[FÓRMULA MANUAL]","",IFERROR(AVERAGEIFS(DATOS!$K$2:$K$20000,DATOS!$A$2:$A$20000,A359,DATOS!$G$2:$G$20000,CONFIG_METADATA!$B$4,DATOS!$I$2:$I$20000,"Lenguaje Musical"),"")))</f>
        <v/>
      </c>
      <c r="C359" t="str">
        <f>IF(A359="","",IF(A359="[FÓRMULA MANUAL]","",IFERROR(AVERAGEIFS(DATOS!$K$2:$K$20000,DATOS!$A$2:$A$20000,A359,DATOS!$G$2:$G$20000,CONFIG_METADATA!$B$4,DATOS!$I$2:$I$20000,"Orquesta/Banda/Conjunto"),"")))</f>
        <v/>
      </c>
      <c r="D359" t="str">
        <f>IF(A359="","",IF(A359="[FÓRMULA MANUAL]","",IFERROR(AVERAGEIFS(DATOS!$K$2:$K$20000,DATOS!$A$2:$A$20000,A359,DATOS!$G$2:$G$20000,CONFIG_METADATA!$B$4,DATOS!$I$2:$I$20000,"Conjunto"),"")))</f>
        <v/>
      </c>
      <c r="E359" t="str">
        <f>IF(A359="","",IF(A359="[FÓRMULA MANUAL]","",IFERROR(SUMPRODUCT((DATOS!$A$2:$A$20000=A359)*(DATOS!$G$2:$G$20000=CONFIG_METADATA!$B$4)*(COUNTIF(CONFIG_ASIGNATURAS!$B$7:$B$27,DATOS!$I$2:$I$20000)&gt;0)*(DATOS!$K$2:$K$20000))/SUMPRODUCT((DATOS!$A$2:$A$20000=A359)*(DATOS!$G$2:$G$20000=CONFIG_METADATA!$B$4)*(COUNTIF(CONFIG_ASIGNATURAS!$B$7:$B$27,DATOS!$I$2:$I$20000)&gt;0)*1),"")))</f>
        <v/>
      </c>
      <c r="H359" t="str">
        <f>IF(G359="","",IF(G359="[FÓRMULA MANUAL]","",IFERROR(AVERAGEIFS(DATOS!$K$2:$K$20000,DATOS!$A$2:$A$20000,G359,DATOS!$G$2:$G$20000,CONFIG_METADATA!$B$4,DATOS!$I$2:$I$20000,"Lenguaje Musical"),"")))</f>
        <v/>
      </c>
      <c r="I359" t="str">
        <f>IF(G359="","",IF(G359="[FÓRMULA MANUAL]","",IFERROR(AVERAGEIFS(DATOS!$K$2:$K$20000,DATOS!$A$2:$A$20000,G359,DATOS!$G$2:$G$20000,CONFIG_METADATA!$B$4,DATOS!$I$2:$I$20000,"Orquesta/Banda/Conjunto"),"")))</f>
        <v/>
      </c>
      <c r="J359" t="str">
        <f>IF(G359="","",IF(G359="[FÓRMULA MANUAL]","",IFERROR(AVERAGEIFS(DATOS!$K$2:$K$20000,DATOS!$A$2:$A$20000,G359,DATOS!$G$2:$G$20000,CONFIG_METADATA!$B$4,DATOS!$I$2:$I$20000,"Conjunto"),"")))</f>
        <v/>
      </c>
      <c r="K359" t="str">
        <f>IF(G359="","",IF(G359="[FÓRMULA MANUAL]","",IFERROR(SUMPRODUCT((DATOS!$A$2:$A$20000=G359)*(DATOS!$G$2:$G$20000=CONFIG_METADATA!$B$4)*(COUNTIF(CONFIG_ASIGNATURAS!$B$7:$B$27,DATOS!$I$2:$I$20000)&gt;0)*(DATOS!$K$2:$K$20000))/SUMPRODUCT((DATOS!$A$2:$A$20000=G359)*(DATOS!$G$2:$G$20000=CONFIG_METADATA!$B$4)*(COUNTIF(CONFIG_ASIGNATURAS!$B$7:$B$27,DATOS!$I$2:$I$20000)&gt;0)*1),"")))</f>
        <v/>
      </c>
      <c r="N359" t="str">
        <f>IF(M359="","",IF(M359="[FÓRMULA MANUAL]","",IFERROR(AVERAGEIFS(DATOS!$K$2:$K$20000,DATOS!$A$2:$A$20000,M359,DATOS!$G$2:$G$20000,CONFIG_METADATA!$B$4,DATOS!$I$2:$I$20000,"Armonía"),"")))</f>
        <v/>
      </c>
      <c r="O359" t="str">
        <f>IF(M359="","",IF(M359="[FÓRMULA MANUAL]","",IFERROR(AVERAGEIFS(DATOS!$K$2:$K$20000,DATOS!$A$2:$A$20000,M359,DATOS!$G$2:$G$20000,CONFIG_METADATA!$B$4,DATOS!$I$2:$I$20000,"Orquesta/Banda/Conjunto"),"")))</f>
        <v/>
      </c>
      <c r="P359" t="str">
        <f>IF(M359="","",IF(M359="[FÓRMULA MANUAL]","",IFERROR(AVERAGEIFS(DATOS!$K$2:$K$20000,DATOS!$A$2:$A$20000,M359,DATOS!$G$2:$G$20000,CONFIG_METADATA!$B$4,DATOS!$I$2:$I$20000,"Música de Cámara"),"")))</f>
        <v/>
      </c>
      <c r="Q359" t="str">
        <f>IF(M359="","",IF(M359="[FÓRMULA MANUAL]","",IFERROR(SUMPRODUCT((DATOS!$A$2:$A$20000=M359)*(DATOS!$G$2:$G$20000=CONFIG_METADATA!$B$4)*(COUNTIF(CONFIG_ASIGNATURAS!$B$7:$B$27,DATOS!$I$2:$I$20000)&gt;0)*(DATOS!$K$2:$K$20000))/SUMPRODUCT((DATOS!$A$2:$A$20000=M359)*(DATOS!$G$2:$G$20000=CONFIG_METADATA!$B$4)*(COUNTIF(CONFIG_ASIGNATURAS!$B$7:$B$27,DATOS!$I$2:$I$20000)&gt;0)*1),"")))</f>
        <v/>
      </c>
      <c r="T359" t="str">
        <f>IF(S359="","",IF(S359="[FÓRMULA MANUAL]","",IFERROR(AVERAGEIFS(DATOS!$K$2:$K$20000,DATOS!$A$2:$A$20000,S359,DATOS!$G$2:$G$20000,CONFIG_METADATA!$B$4,DATOS!$I$2:$I$20000,"Armonía"),"")))</f>
        <v/>
      </c>
      <c r="U359" t="str">
        <f>IF(S359="","",IF(S359="[FÓRMULA MANUAL]","",IFERROR(AVERAGEIFS(DATOS!$K$2:$K$20000,DATOS!$A$2:$A$20000,S359,DATOS!$G$2:$G$20000,CONFIG_METADATA!$B$4,DATOS!$I$2:$I$20000,"Orquesta/Banda/Conjunto"),"")))</f>
        <v/>
      </c>
      <c r="V359" t="str">
        <f>IF(S359="","",IF(S359="[FÓRMULA MANUAL]","",IFERROR(AVERAGEIFS(DATOS!$K$2:$K$20000,DATOS!$A$2:$A$20000,S359,DATOS!$G$2:$G$20000,CONFIG_METADATA!$B$4,DATOS!$I$2:$I$20000,"Música de Cámara"),"")))</f>
        <v/>
      </c>
      <c r="W359" t="str">
        <f>IF(S359="","",IF(S359="[FÓRMULA MANUAL]","",IFERROR(SUMPRODUCT((DATOS!$A$2:$A$20000=S359)*(DATOS!$G$2:$G$20000=CONFIG_METADATA!$B$4)*(COUNTIF(CONFIG_ASIGNATURAS!$B$7:$B$27,DATOS!$I$2:$I$20000)&gt;0)*(DATOS!$K$2:$K$20000))/SUMPRODUCT((DATOS!$A$2:$A$20000=S359)*(DATOS!$G$2:$G$20000=CONFIG_METADATA!$B$4)*(COUNTIF(CONFIG_ASIGNATURAS!$B$7:$B$27,DATOS!$I$2:$I$20000)&gt;0)*1),"")))</f>
        <v/>
      </c>
      <c r="Z359" t="str">
        <f>IF(Y359="","",IF(Y359="[FÓRMULA MANUAL]","",IFERROR(AVERAGEIFS(DATOS!$K$2:$K$20000,DATOS!$A$2:$A$20000,Y359,DATOS!$G$2:$G$20000,CONFIG_METADATA!$B$4,DATOS!$I$2:$I$20000,"Análisis"),"")))</f>
        <v/>
      </c>
      <c r="AA359" t="str">
        <f>IF(Y359="","",IF(Y359="[FÓRMULA MANUAL]","",IFERROR(AVERAGEIFS(DATOS!$K$2:$K$20000,DATOS!$A$2:$A$20000,Y359,DATOS!$G$2:$G$20000,CONFIG_METADATA!$B$4,DATOS!$I$2:$I$20000,"Orquesta/Banda/Conjunto"),"")))</f>
        <v/>
      </c>
      <c r="AB359" t="str">
        <f>IF(Y359="","",IF(Y359="[FÓRMULA MANUAL]","",IFERROR(AVERAGEIFS(DATOS!$K$2:$K$20000,DATOS!$A$2:$A$20000,Y359,DATOS!$G$2:$G$20000,CONFIG_METADATA!$B$4,DATOS!$I$2:$I$20000,"Música de Cámara"),"")))</f>
        <v/>
      </c>
      <c r="AC359" t="str">
        <f>IF(Y359="","",IF(Y359="[FÓRMULA MANUAL]","",IFERROR(SUMPRODUCT((DATOS!$A$2:$A$20000=Y359)*(DATOS!$G$2:$G$20000=CONFIG_METADATA!$B$4)*(COUNTIF(CONFIG_ASIGNATURAS!$B$7:$B$27,DATOS!$I$2:$I$20000)&gt;0)*(DATOS!$K$2:$K$20000))/SUMPRODUCT((DATOS!$A$2:$A$20000=Y359)*(DATOS!$G$2:$G$20000=CONFIG_METADATA!$B$4)*(COUNTIF(CONFIG_ASIGNATURAS!$B$7:$B$27,DATOS!$I$2:$I$20000)&gt;0)*1),"")))</f>
        <v/>
      </c>
      <c r="AF359" t="str">
        <f>IF(AE359="","",IF(AE359="[FÓRMULA MANUAL]","",IFERROR(AVERAGEIFS(DATOS!$K$2:$K$20000,DATOS!$A$2:$A$20000,AE359,DATOS!$G$2:$G$20000,CONFIG_METADATA!$B$4,DATOS!$I$2:$I$20000,"Análisis"),"")))</f>
        <v/>
      </c>
      <c r="AG359" t="str">
        <f>IF(AE359="","",IF(AE359="[FÓRMULA MANUAL]","",IFERROR(AVERAGEIFS(DATOS!$K$2:$K$20000,DATOS!$A$2:$A$20000,AE359,DATOS!$G$2:$G$20000,CONFIG_METADATA!$B$4,DATOS!$I$2:$I$20000,"Orquesta/Banda/Conjunto"),"")))</f>
        <v/>
      </c>
      <c r="AH359" t="str">
        <f>IF(AE359="","",IF(AE359="[FÓRMULA MANUAL]","",IFERROR(AVERAGEIFS(DATOS!$K$2:$K$20000,DATOS!$A$2:$A$20000,AE359,DATOS!$G$2:$G$20000,CONFIG_METADATA!$B$4,DATOS!$I$2:$I$20000,"Música de Cámara"),"")))</f>
        <v/>
      </c>
      <c r="AI359" t="str">
        <f>IF(AE359="","",IF(AE359="[FÓRMULA MANUAL]","",IFERROR(SUMPRODUCT((DATOS!$A$2:$A$20000=AE359)*(DATOS!$G$2:$G$20000=CONFIG_METADATA!$B$4)*(COUNTIF(CONFIG_ASIGNATURAS!$B$7:$B$27,DATOS!$I$2:$I$20000)&gt;0)*(DATOS!$K$2:$K$20000))/SUMPRODUCT((DATOS!$A$2:$A$20000=AE359)*(DATOS!$G$2:$G$20000=CONFIG_METADATA!$B$4)*(COUNTIF(CONFIG_ASIGNATURAS!$B$7:$B$27,DATOS!$I$2:$I$20000)&gt;0)*1),"")))</f>
        <v/>
      </c>
    </row>
    <row r="360" spans="2:35" x14ac:dyDescent="0.2">
      <c r="B360" t="str">
        <f>IF(A360="","",IF(A360="[FÓRMULA MANUAL]","",IFERROR(AVERAGEIFS(DATOS!$K$2:$K$20000,DATOS!$A$2:$A$20000,A360,DATOS!$G$2:$G$20000,CONFIG_METADATA!$B$4,DATOS!$I$2:$I$20000,"Lenguaje Musical"),"")))</f>
        <v/>
      </c>
      <c r="C360" t="str">
        <f>IF(A360="","",IF(A360="[FÓRMULA MANUAL]","",IFERROR(AVERAGEIFS(DATOS!$K$2:$K$20000,DATOS!$A$2:$A$20000,A360,DATOS!$G$2:$G$20000,CONFIG_METADATA!$B$4,DATOS!$I$2:$I$20000,"Orquesta/Banda/Conjunto"),"")))</f>
        <v/>
      </c>
      <c r="D360" t="str">
        <f>IF(A360="","",IF(A360="[FÓRMULA MANUAL]","",IFERROR(AVERAGEIFS(DATOS!$K$2:$K$20000,DATOS!$A$2:$A$20000,A360,DATOS!$G$2:$G$20000,CONFIG_METADATA!$B$4,DATOS!$I$2:$I$20000,"Conjunto"),"")))</f>
        <v/>
      </c>
      <c r="E360" t="str">
        <f>IF(A360="","",IF(A360="[FÓRMULA MANUAL]","",IFERROR(SUMPRODUCT((DATOS!$A$2:$A$20000=A360)*(DATOS!$G$2:$G$20000=CONFIG_METADATA!$B$4)*(COUNTIF(CONFIG_ASIGNATURAS!$B$7:$B$27,DATOS!$I$2:$I$20000)&gt;0)*(DATOS!$K$2:$K$20000))/SUMPRODUCT((DATOS!$A$2:$A$20000=A360)*(DATOS!$G$2:$G$20000=CONFIG_METADATA!$B$4)*(COUNTIF(CONFIG_ASIGNATURAS!$B$7:$B$27,DATOS!$I$2:$I$20000)&gt;0)*1),"")))</f>
        <v/>
      </c>
      <c r="H360" t="str">
        <f>IF(G360="","",IF(G360="[FÓRMULA MANUAL]","",IFERROR(AVERAGEIFS(DATOS!$K$2:$K$20000,DATOS!$A$2:$A$20000,G360,DATOS!$G$2:$G$20000,CONFIG_METADATA!$B$4,DATOS!$I$2:$I$20000,"Lenguaje Musical"),"")))</f>
        <v/>
      </c>
      <c r="I360" t="str">
        <f>IF(G360="","",IF(G360="[FÓRMULA MANUAL]","",IFERROR(AVERAGEIFS(DATOS!$K$2:$K$20000,DATOS!$A$2:$A$20000,G360,DATOS!$G$2:$G$20000,CONFIG_METADATA!$B$4,DATOS!$I$2:$I$20000,"Orquesta/Banda/Conjunto"),"")))</f>
        <v/>
      </c>
      <c r="J360" t="str">
        <f>IF(G360="","",IF(G360="[FÓRMULA MANUAL]","",IFERROR(AVERAGEIFS(DATOS!$K$2:$K$20000,DATOS!$A$2:$A$20000,G360,DATOS!$G$2:$G$20000,CONFIG_METADATA!$B$4,DATOS!$I$2:$I$20000,"Conjunto"),"")))</f>
        <v/>
      </c>
      <c r="K360" t="str">
        <f>IF(G360="","",IF(G360="[FÓRMULA MANUAL]","",IFERROR(SUMPRODUCT((DATOS!$A$2:$A$20000=G360)*(DATOS!$G$2:$G$20000=CONFIG_METADATA!$B$4)*(COUNTIF(CONFIG_ASIGNATURAS!$B$7:$B$27,DATOS!$I$2:$I$20000)&gt;0)*(DATOS!$K$2:$K$20000))/SUMPRODUCT((DATOS!$A$2:$A$20000=G360)*(DATOS!$G$2:$G$20000=CONFIG_METADATA!$B$4)*(COUNTIF(CONFIG_ASIGNATURAS!$B$7:$B$27,DATOS!$I$2:$I$20000)&gt;0)*1),"")))</f>
        <v/>
      </c>
      <c r="N360" t="str">
        <f>IF(M360="","",IF(M360="[FÓRMULA MANUAL]","",IFERROR(AVERAGEIFS(DATOS!$K$2:$K$20000,DATOS!$A$2:$A$20000,M360,DATOS!$G$2:$G$20000,CONFIG_METADATA!$B$4,DATOS!$I$2:$I$20000,"Armonía"),"")))</f>
        <v/>
      </c>
      <c r="O360" t="str">
        <f>IF(M360="","",IF(M360="[FÓRMULA MANUAL]","",IFERROR(AVERAGEIFS(DATOS!$K$2:$K$20000,DATOS!$A$2:$A$20000,M360,DATOS!$G$2:$G$20000,CONFIG_METADATA!$B$4,DATOS!$I$2:$I$20000,"Orquesta/Banda/Conjunto"),"")))</f>
        <v/>
      </c>
      <c r="P360" t="str">
        <f>IF(M360="","",IF(M360="[FÓRMULA MANUAL]","",IFERROR(AVERAGEIFS(DATOS!$K$2:$K$20000,DATOS!$A$2:$A$20000,M360,DATOS!$G$2:$G$20000,CONFIG_METADATA!$B$4,DATOS!$I$2:$I$20000,"Música de Cámara"),"")))</f>
        <v/>
      </c>
      <c r="Q360" t="str">
        <f>IF(M360="","",IF(M360="[FÓRMULA MANUAL]","",IFERROR(SUMPRODUCT((DATOS!$A$2:$A$20000=M360)*(DATOS!$G$2:$G$20000=CONFIG_METADATA!$B$4)*(COUNTIF(CONFIG_ASIGNATURAS!$B$7:$B$27,DATOS!$I$2:$I$20000)&gt;0)*(DATOS!$K$2:$K$20000))/SUMPRODUCT((DATOS!$A$2:$A$20000=M360)*(DATOS!$G$2:$G$20000=CONFIG_METADATA!$B$4)*(COUNTIF(CONFIG_ASIGNATURAS!$B$7:$B$27,DATOS!$I$2:$I$20000)&gt;0)*1),"")))</f>
        <v/>
      </c>
      <c r="T360" t="str">
        <f>IF(S360="","",IF(S360="[FÓRMULA MANUAL]","",IFERROR(AVERAGEIFS(DATOS!$K$2:$K$20000,DATOS!$A$2:$A$20000,S360,DATOS!$G$2:$G$20000,CONFIG_METADATA!$B$4,DATOS!$I$2:$I$20000,"Armonía"),"")))</f>
        <v/>
      </c>
      <c r="U360" t="str">
        <f>IF(S360="","",IF(S360="[FÓRMULA MANUAL]","",IFERROR(AVERAGEIFS(DATOS!$K$2:$K$20000,DATOS!$A$2:$A$20000,S360,DATOS!$G$2:$G$20000,CONFIG_METADATA!$B$4,DATOS!$I$2:$I$20000,"Orquesta/Banda/Conjunto"),"")))</f>
        <v/>
      </c>
      <c r="V360" t="str">
        <f>IF(S360="","",IF(S360="[FÓRMULA MANUAL]","",IFERROR(AVERAGEIFS(DATOS!$K$2:$K$20000,DATOS!$A$2:$A$20000,S360,DATOS!$G$2:$G$20000,CONFIG_METADATA!$B$4,DATOS!$I$2:$I$20000,"Música de Cámara"),"")))</f>
        <v/>
      </c>
      <c r="W360" t="str">
        <f>IF(S360="","",IF(S360="[FÓRMULA MANUAL]","",IFERROR(SUMPRODUCT((DATOS!$A$2:$A$20000=S360)*(DATOS!$G$2:$G$20000=CONFIG_METADATA!$B$4)*(COUNTIF(CONFIG_ASIGNATURAS!$B$7:$B$27,DATOS!$I$2:$I$20000)&gt;0)*(DATOS!$K$2:$K$20000))/SUMPRODUCT((DATOS!$A$2:$A$20000=S360)*(DATOS!$G$2:$G$20000=CONFIG_METADATA!$B$4)*(COUNTIF(CONFIG_ASIGNATURAS!$B$7:$B$27,DATOS!$I$2:$I$20000)&gt;0)*1),"")))</f>
        <v/>
      </c>
      <c r="Z360" t="str">
        <f>IF(Y360="","",IF(Y360="[FÓRMULA MANUAL]","",IFERROR(AVERAGEIFS(DATOS!$K$2:$K$20000,DATOS!$A$2:$A$20000,Y360,DATOS!$G$2:$G$20000,CONFIG_METADATA!$B$4,DATOS!$I$2:$I$20000,"Análisis"),"")))</f>
        <v/>
      </c>
      <c r="AA360" t="str">
        <f>IF(Y360="","",IF(Y360="[FÓRMULA MANUAL]","",IFERROR(AVERAGEIFS(DATOS!$K$2:$K$20000,DATOS!$A$2:$A$20000,Y360,DATOS!$G$2:$G$20000,CONFIG_METADATA!$B$4,DATOS!$I$2:$I$20000,"Orquesta/Banda/Conjunto"),"")))</f>
        <v/>
      </c>
      <c r="AB360" t="str">
        <f>IF(Y360="","",IF(Y360="[FÓRMULA MANUAL]","",IFERROR(AVERAGEIFS(DATOS!$K$2:$K$20000,DATOS!$A$2:$A$20000,Y360,DATOS!$G$2:$G$20000,CONFIG_METADATA!$B$4,DATOS!$I$2:$I$20000,"Música de Cámara"),"")))</f>
        <v/>
      </c>
      <c r="AC360" t="str">
        <f>IF(Y360="","",IF(Y360="[FÓRMULA MANUAL]","",IFERROR(SUMPRODUCT((DATOS!$A$2:$A$20000=Y360)*(DATOS!$G$2:$G$20000=CONFIG_METADATA!$B$4)*(COUNTIF(CONFIG_ASIGNATURAS!$B$7:$B$27,DATOS!$I$2:$I$20000)&gt;0)*(DATOS!$K$2:$K$20000))/SUMPRODUCT((DATOS!$A$2:$A$20000=Y360)*(DATOS!$G$2:$G$20000=CONFIG_METADATA!$B$4)*(COUNTIF(CONFIG_ASIGNATURAS!$B$7:$B$27,DATOS!$I$2:$I$20000)&gt;0)*1),"")))</f>
        <v/>
      </c>
      <c r="AF360" t="str">
        <f>IF(AE360="","",IF(AE360="[FÓRMULA MANUAL]","",IFERROR(AVERAGEIFS(DATOS!$K$2:$K$20000,DATOS!$A$2:$A$20000,AE360,DATOS!$G$2:$G$20000,CONFIG_METADATA!$B$4,DATOS!$I$2:$I$20000,"Análisis"),"")))</f>
        <v/>
      </c>
      <c r="AG360" t="str">
        <f>IF(AE360="","",IF(AE360="[FÓRMULA MANUAL]","",IFERROR(AVERAGEIFS(DATOS!$K$2:$K$20000,DATOS!$A$2:$A$20000,AE360,DATOS!$G$2:$G$20000,CONFIG_METADATA!$B$4,DATOS!$I$2:$I$20000,"Orquesta/Banda/Conjunto"),"")))</f>
        <v/>
      </c>
      <c r="AH360" t="str">
        <f>IF(AE360="","",IF(AE360="[FÓRMULA MANUAL]","",IFERROR(AVERAGEIFS(DATOS!$K$2:$K$20000,DATOS!$A$2:$A$20000,AE360,DATOS!$G$2:$G$20000,CONFIG_METADATA!$B$4,DATOS!$I$2:$I$20000,"Música de Cámara"),"")))</f>
        <v/>
      </c>
      <c r="AI360" t="str">
        <f>IF(AE360="","",IF(AE360="[FÓRMULA MANUAL]","",IFERROR(SUMPRODUCT((DATOS!$A$2:$A$20000=AE360)*(DATOS!$G$2:$G$20000=CONFIG_METADATA!$B$4)*(COUNTIF(CONFIG_ASIGNATURAS!$B$7:$B$27,DATOS!$I$2:$I$20000)&gt;0)*(DATOS!$K$2:$K$20000))/SUMPRODUCT((DATOS!$A$2:$A$20000=AE360)*(DATOS!$G$2:$G$20000=CONFIG_METADATA!$B$4)*(COUNTIF(CONFIG_ASIGNATURAS!$B$7:$B$27,DATOS!$I$2:$I$20000)&gt;0)*1),"")))</f>
        <v/>
      </c>
    </row>
    <row r="361" spans="2:35" x14ac:dyDescent="0.2">
      <c r="B361" t="str">
        <f>IF(A361="","",IF(A361="[FÓRMULA MANUAL]","",IFERROR(AVERAGEIFS(DATOS!$K$2:$K$20000,DATOS!$A$2:$A$20000,A361,DATOS!$G$2:$G$20000,CONFIG_METADATA!$B$4,DATOS!$I$2:$I$20000,"Lenguaje Musical"),"")))</f>
        <v/>
      </c>
      <c r="C361" t="str">
        <f>IF(A361="","",IF(A361="[FÓRMULA MANUAL]","",IFERROR(AVERAGEIFS(DATOS!$K$2:$K$20000,DATOS!$A$2:$A$20000,A361,DATOS!$G$2:$G$20000,CONFIG_METADATA!$B$4,DATOS!$I$2:$I$20000,"Orquesta/Banda/Conjunto"),"")))</f>
        <v/>
      </c>
      <c r="D361" t="str">
        <f>IF(A361="","",IF(A361="[FÓRMULA MANUAL]","",IFERROR(AVERAGEIFS(DATOS!$K$2:$K$20000,DATOS!$A$2:$A$20000,A361,DATOS!$G$2:$G$20000,CONFIG_METADATA!$B$4,DATOS!$I$2:$I$20000,"Conjunto"),"")))</f>
        <v/>
      </c>
      <c r="E361" t="str">
        <f>IF(A361="","",IF(A361="[FÓRMULA MANUAL]","",IFERROR(SUMPRODUCT((DATOS!$A$2:$A$20000=A361)*(DATOS!$G$2:$G$20000=CONFIG_METADATA!$B$4)*(COUNTIF(CONFIG_ASIGNATURAS!$B$7:$B$27,DATOS!$I$2:$I$20000)&gt;0)*(DATOS!$K$2:$K$20000))/SUMPRODUCT((DATOS!$A$2:$A$20000=A361)*(DATOS!$G$2:$G$20000=CONFIG_METADATA!$B$4)*(COUNTIF(CONFIG_ASIGNATURAS!$B$7:$B$27,DATOS!$I$2:$I$20000)&gt;0)*1),"")))</f>
        <v/>
      </c>
      <c r="H361" t="str">
        <f>IF(G361="","",IF(G361="[FÓRMULA MANUAL]","",IFERROR(AVERAGEIFS(DATOS!$K$2:$K$20000,DATOS!$A$2:$A$20000,G361,DATOS!$G$2:$G$20000,CONFIG_METADATA!$B$4,DATOS!$I$2:$I$20000,"Lenguaje Musical"),"")))</f>
        <v/>
      </c>
      <c r="I361" t="str">
        <f>IF(G361="","",IF(G361="[FÓRMULA MANUAL]","",IFERROR(AVERAGEIFS(DATOS!$K$2:$K$20000,DATOS!$A$2:$A$20000,G361,DATOS!$G$2:$G$20000,CONFIG_METADATA!$B$4,DATOS!$I$2:$I$20000,"Orquesta/Banda/Conjunto"),"")))</f>
        <v/>
      </c>
      <c r="J361" t="str">
        <f>IF(G361="","",IF(G361="[FÓRMULA MANUAL]","",IFERROR(AVERAGEIFS(DATOS!$K$2:$K$20000,DATOS!$A$2:$A$20000,G361,DATOS!$G$2:$G$20000,CONFIG_METADATA!$B$4,DATOS!$I$2:$I$20000,"Conjunto"),"")))</f>
        <v/>
      </c>
      <c r="K361" t="str">
        <f>IF(G361="","",IF(G361="[FÓRMULA MANUAL]","",IFERROR(SUMPRODUCT((DATOS!$A$2:$A$20000=G361)*(DATOS!$G$2:$G$20000=CONFIG_METADATA!$B$4)*(COUNTIF(CONFIG_ASIGNATURAS!$B$7:$B$27,DATOS!$I$2:$I$20000)&gt;0)*(DATOS!$K$2:$K$20000))/SUMPRODUCT((DATOS!$A$2:$A$20000=G361)*(DATOS!$G$2:$G$20000=CONFIG_METADATA!$B$4)*(COUNTIF(CONFIG_ASIGNATURAS!$B$7:$B$27,DATOS!$I$2:$I$20000)&gt;0)*1),"")))</f>
        <v/>
      </c>
      <c r="N361" t="str">
        <f>IF(M361="","",IF(M361="[FÓRMULA MANUAL]","",IFERROR(AVERAGEIFS(DATOS!$K$2:$K$20000,DATOS!$A$2:$A$20000,M361,DATOS!$G$2:$G$20000,CONFIG_METADATA!$B$4,DATOS!$I$2:$I$20000,"Armonía"),"")))</f>
        <v/>
      </c>
      <c r="O361" t="str">
        <f>IF(M361="","",IF(M361="[FÓRMULA MANUAL]","",IFERROR(AVERAGEIFS(DATOS!$K$2:$K$20000,DATOS!$A$2:$A$20000,M361,DATOS!$G$2:$G$20000,CONFIG_METADATA!$B$4,DATOS!$I$2:$I$20000,"Orquesta/Banda/Conjunto"),"")))</f>
        <v/>
      </c>
      <c r="P361" t="str">
        <f>IF(M361="","",IF(M361="[FÓRMULA MANUAL]","",IFERROR(AVERAGEIFS(DATOS!$K$2:$K$20000,DATOS!$A$2:$A$20000,M361,DATOS!$G$2:$G$20000,CONFIG_METADATA!$B$4,DATOS!$I$2:$I$20000,"Música de Cámara"),"")))</f>
        <v/>
      </c>
      <c r="Q361" t="str">
        <f>IF(M361="","",IF(M361="[FÓRMULA MANUAL]","",IFERROR(SUMPRODUCT((DATOS!$A$2:$A$20000=M361)*(DATOS!$G$2:$G$20000=CONFIG_METADATA!$B$4)*(COUNTIF(CONFIG_ASIGNATURAS!$B$7:$B$27,DATOS!$I$2:$I$20000)&gt;0)*(DATOS!$K$2:$K$20000))/SUMPRODUCT((DATOS!$A$2:$A$20000=M361)*(DATOS!$G$2:$G$20000=CONFIG_METADATA!$B$4)*(COUNTIF(CONFIG_ASIGNATURAS!$B$7:$B$27,DATOS!$I$2:$I$20000)&gt;0)*1),"")))</f>
        <v/>
      </c>
      <c r="T361" t="str">
        <f>IF(S361="","",IF(S361="[FÓRMULA MANUAL]","",IFERROR(AVERAGEIFS(DATOS!$K$2:$K$20000,DATOS!$A$2:$A$20000,S361,DATOS!$G$2:$G$20000,CONFIG_METADATA!$B$4,DATOS!$I$2:$I$20000,"Armonía"),"")))</f>
        <v/>
      </c>
      <c r="U361" t="str">
        <f>IF(S361="","",IF(S361="[FÓRMULA MANUAL]","",IFERROR(AVERAGEIFS(DATOS!$K$2:$K$20000,DATOS!$A$2:$A$20000,S361,DATOS!$G$2:$G$20000,CONFIG_METADATA!$B$4,DATOS!$I$2:$I$20000,"Orquesta/Banda/Conjunto"),"")))</f>
        <v/>
      </c>
      <c r="V361" t="str">
        <f>IF(S361="","",IF(S361="[FÓRMULA MANUAL]","",IFERROR(AVERAGEIFS(DATOS!$K$2:$K$20000,DATOS!$A$2:$A$20000,S361,DATOS!$G$2:$G$20000,CONFIG_METADATA!$B$4,DATOS!$I$2:$I$20000,"Música de Cámara"),"")))</f>
        <v/>
      </c>
      <c r="W361" t="str">
        <f>IF(S361="","",IF(S361="[FÓRMULA MANUAL]","",IFERROR(SUMPRODUCT((DATOS!$A$2:$A$20000=S361)*(DATOS!$G$2:$G$20000=CONFIG_METADATA!$B$4)*(COUNTIF(CONFIG_ASIGNATURAS!$B$7:$B$27,DATOS!$I$2:$I$20000)&gt;0)*(DATOS!$K$2:$K$20000))/SUMPRODUCT((DATOS!$A$2:$A$20000=S361)*(DATOS!$G$2:$G$20000=CONFIG_METADATA!$B$4)*(COUNTIF(CONFIG_ASIGNATURAS!$B$7:$B$27,DATOS!$I$2:$I$20000)&gt;0)*1),"")))</f>
        <v/>
      </c>
      <c r="Z361" t="str">
        <f>IF(Y361="","",IF(Y361="[FÓRMULA MANUAL]","",IFERROR(AVERAGEIFS(DATOS!$K$2:$K$20000,DATOS!$A$2:$A$20000,Y361,DATOS!$G$2:$G$20000,CONFIG_METADATA!$B$4,DATOS!$I$2:$I$20000,"Análisis"),"")))</f>
        <v/>
      </c>
      <c r="AA361" t="str">
        <f>IF(Y361="","",IF(Y361="[FÓRMULA MANUAL]","",IFERROR(AVERAGEIFS(DATOS!$K$2:$K$20000,DATOS!$A$2:$A$20000,Y361,DATOS!$G$2:$G$20000,CONFIG_METADATA!$B$4,DATOS!$I$2:$I$20000,"Orquesta/Banda/Conjunto"),"")))</f>
        <v/>
      </c>
      <c r="AB361" t="str">
        <f>IF(Y361="","",IF(Y361="[FÓRMULA MANUAL]","",IFERROR(AVERAGEIFS(DATOS!$K$2:$K$20000,DATOS!$A$2:$A$20000,Y361,DATOS!$G$2:$G$20000,CONFIG_METADATA!$B$4,DATOS!$I$2:$I$20000,"Música de Cámara"),"")))</f>
        <v/>
      </c>
      <c r="AC361" t="str">
        <f>IF(Y361="","",IF(Y361="[FÓRMULA MANUAL]","",IFERROR(SUMPRODUCT((DATOS!$A$2:$A$20000=Y361)*(DATOS!$G$2:$G$20000=CONFIG_METADATA!$B$4)*(COUNTIF(CONFIG_ASIGNATURAS!$B$7:$B$27,DATOS!$I$2:$I$20000)&gt;0)*(DATOS!$K$2:$K$20000))/SUMPRODUCT((DATOS!$A$2:$A$20000=Y361)*(DATOS!$G$2:$G$20000=CONFIG_METADATA!$B$4)*(COUNTIF(CONFIG_ASIGNATURAS!$B$7:$B$27,DATOS!$I$2:$I$20000)&gt;0)*1),"")))</f>
        <v/>
      </c>
      <c r="AF361" t="str">
        <f>IF(AE361="","",IF(AE361="[FÓRMULA MANUAL]","",IFERROR(AVERAGEIFS(DATOS!$K$2:$K$20000,DATOS!$A$2:$A$20000,AE361,DATOS!$G$2:$G$20000,CONFIG_METADATA!$B$4,DATOS!$I$2:$I$20000,"Análisis"),"")))</f>
        <v/>
      </c>
      <c r="AG361" t="str">
        <f>IF(AE361="","",IF(AE361="[FÓRMULA MANUAL]","",IFERROR(AVERAGEIFS(DATOS!$K$2:$K$20000,DATOS!$A$2:$A$20000,AE361,DATOS!$G$2:$G$20000,CONFIG_METADATA!$B$4,DATOS!$I$2:$I$20000,"Orquesta/Banda/Conjunto"),"")))</f>
        <v/>
      </c>
      <c r="AH361" t="str">
        <f>IF(AE361="","",IF(AE361="[FÓRMULA MANUAL]","",IFERROR(AVERAGEIFS(DATOS!$K$2:$K$20000,DATOS!$A$2:$A$20000,AE361,DATOS!$G$2:$G$20000,CONFIG_METADATA!$B$4,DATOS!$I$2:$I$20000,"Música de Cámara"),"")))</f>
        <v/>
      </c>
      <c r="AI361" t="str">
        <f>IF(AE361="","",IF(AE361="[FÓRMULA MANUAL]","",IFERROR(SUMPRODUCT((DATOS!$A$2:$A$20000=AE361)*(DATOS!$G$2:$G$20000=CONFIG_METADATA!$B$4)*(COUNTIF(CONFIG_ASIGNATURAS!$B$7:$B$27,DATOS!$I$2:$I$20000)&gt;0)*(DATOS!$K$2:$K$20000))/SUMPRODUCT((DATOS!$A$2:$A$20000=AE361)*(DATOS!$G$2:$G$20000=CONFIG_METADATA!$B$4)*(COUNTIF(CONFIG_ASIGNATURAS!$B$7:$B$27,DATOS!$I$2:$I$20000)&gt;0)*1),"")))</f>
        <v/>
      </c>
    </row>
    <row r="362" spans="2:35" x14ac:dyDescent="0.2">
      <c r="B362" t="str">
        <f>IF(A362="","",IF(A362="[FÓRMULA MANUAL]","",IFERROR(AVERAGEIFS(DATOS!$K$2:$K$20000,DATOS!$A$2:$A$20000,A362,DATOS!$G$2:$G$20000,CONFIG_METADATA!$B$4,DATOS!$I$2:$I$20000,"Lenguaje Musical"),"")))</f>
        <v/>
      </c>
      <c r="C362" t="str">
        <f>IF(A362="","",IF(A362="[FÓRMULA MANUAL]","",IFERROR(AVERAGEIFS(DATOS!$K$2:$K$20000,DATOS!$A$2:$A$20000,A362,DATOS!$G$2:$G$20000,CONFIG_METADATA!$B$4,DATOS!$I$2:$I$20000,"Orquesta/Banda/Conjunto"),"")))</f>
        <v/>
      </c>
      <c r="D362" t="str">
        <f>IF(A362="","",IF(A362="[FÓRMULA MANUAL]","",IFERROR(AVERAGEIFS(DATOS!$K$2:$K$20000,DATOS!$A$2:$A$20000,A362,DATOS!$G$2:$G$20000,CONFIG_METADATA!$B$4,DATOS!$I$2:$I$20000,"Conjunto"),"")))</f>
        <v/>
      </c>
      <c r="E362" t="str">
        <f>IF(A362="","",IF(A362="[FÓRMULA MANUAL]","",IFERROR(SUMPRODUCT((DATOS!$A$2:$A$20000=A362)*(DATOS!$G$2:$G$20000=CONFIG_METADATA!$B$4)*(COUNTIF(CONFIG_ASIGNATURAS!$B$7:$B$27,DATOS!$I$2:$I$20000)&gt;0)*(DATOS!$K$2:$K$20000))/SUMPRODUCT((DATOS!$A$2:$A$20000=A362)*(DATOS!$G$2:$G$20000=CONFIG_METADATA!$B$4)*(COUNTIF(CONFIG_ASIGNATURAS!$B$7:$B$27,DATOS!$I$2:$I$20000)&gt;0)*1),"")))</f>
        <v/>
      </c>
      <c r="H362" t="str">
        <f>IF(G362="","",IF(G362="[FÓRMULA MANUAL]","",IFERROR(AVERAGEIFS(DATOS!$K$2:$K$20000,DATOS!$A$2:$A$20000,G362,DATOS!$G$2:$G$20000,CONFIG_METADATA!$B$4,DATOS!$I$2:$I$20000,"Lenguaje Musical"),"")))</f>
        <v/>
      </c>
      <c r="I362" t="str">
        <f>IF(G362="","",IF(G362="[FÓRMULA MANUAL]","",IFERROR(AVERAGEIFS(DATOS!$K$2:$K$20000,DATOS!$A$2:$A$20000,G362,DATOS!$G$2:$G$20000,CONFIG_METADATA!$B$4,DATOS!$I$2:$I$20000,"Orquesta/Banda/Conjunto"),"")))</f>
        <v/>
      </c>
      <c r="J362" t="str">
        <f>IF(G362="","",IF(G362="[FÓRMULA MANUAL]","",IFERROR(AVERAGEIFS(DATOS!$K$2:$K$20000,DATOS!$A$2:$A$20000,G362,DATOS!$G$2:$G$20000,CONFIG_METADATA!$B$4,DATOS!$I$2:$I$20000,"Conjunto"),"")))</f>
        <v/>
      </c>
      <c r="K362" t="str">
        <f>IF(G362="","",IF(G362="[FÓRMULA MANUAL]","",IFERROR(SUMPRODUCT((DATOS!$A$2:$A$20000=G362)*(DATOS!$G$2:$G$20000=CONFIG_METADATA!$B$4)*(COUNTIF(CONFIG_ASIGNATURAS!$B$7:$B$27,DATOS!$I$2:$I$20000)&gt;0)*(DATOS!$K$2:$K$20000))/SUMPRODUCT((DATOS!$A$2:$A$20000=G362)*(DATOS!$G$2:$G$20000=CONFIG_METADATA!$B$4)*(COUNTIF(CONFIG_ASIGNATURAS!$B$7:$B$27,DATOS!$I$2:$I$20000)&gt;0)*1),"")))</f>
        <v/>
      </c>
      <c r="N362" t="str">
        <f>IF(M362="","",IF(M362="[FÓRMULA MANUAL]","",IFERROR(AVERAGEIFS(DATOS!$K$2:$K$20000,DATOS!$A$2:$A$20000,M362,DATOS!$G$2:$G$20000,CONFIG_METADATA!$B$4,DATOS!$I$2:$I$20000,"Armonía"),"")))</f>
        <v/>
      </c>
      <c r="O362" t="str">
        <f>IF(M362="","",IF(M362="[FÓRMULA MANUAL]","",IFERROR(AVERAGEIFS(DATOS!$K$2:$K$20000,DATOS!$A$2:$A$20000,M362,DATOS!$G$2:$G$20000,CONFIG_METADATA!$B$4,DATOS!$I$2:$I$20000,"Orquesta/Banda/Conjunto"),"")))</f>
        <v/>
      </c>
      <c r="P362" t="str">
        <f>IF(M362="","",IF(M362="[FÓRMULA MANUAL]","",IFERROR(AVERAGEIFS(DATOS!$K$2:$K$20000,DATOS!$A$2:$A$20000,M362,DATOS!$G$2:$G$20000,CONFIG_METADATA!$B$4,DATOS!$I$2:$I$20000,"Música de Cámara"),"")))</f>
        <v/>
      </c>
      <c r="Q362" t="str">
        <f>IF(M362="","",IF(M362="[FÓRMULA MANUAL]","",IFERROR(SUMPRODUCT((DATOS!$A$2:$A$20000=M362)*(DATOS!$G$2:$G$20000=CONFIG_METADATA!$B$4)*(COUNTIF(CONFIG_ASIGNATURAS!$B$7:$B$27,DATOS!$I$2:$I$20000)&gt;0)*(DATOS!$K$2:$K$20000))/SUMPRODUCT((DATOS!$A$2:$A$20000=M362)*(DATOS!$G$2:$G$20000=CONFIG_METADATA!$B$4)*(COUNTIF(CONFIG_ASIGNATURAS!$B$7:$B$27,DATOS!$I$2:$I$20000)&gt;0)*1),"")))</f>
        <v/>
      </c>
      <c r="T362" t="str">
        <f>IF(S362="","",IF(S362="[FÓRMULA MANUAL]","",IFERROR(AVERAGEIFS(DATOS!$K$2:$K$20000,DATOS!$A$2:$A$20000,S362,DATOS!$G$2:$G$20000,CONFIG_METADATA!$B$4,DATOS!$I$2:$I$20000,"Armonía"),"")))</f>
        <v/>
      </c>
      <c r="U362" t="str">
        <f>IF(S362="","",IF(S362="[FÓRMULA MANUAL]","",IFERROR(AVERAGEIFS(DATOS!$K$2:$K$20000,DATOS!$A$2:$A$20000,S362,DATOS!$G$2:$G$20000,CONFIG_METADATA!$B$4,DATOS!$I$2:$I$20000,"Orquesta/Banda/Conjunto"),"")))</f>
        <v/>
      </c>
      <c r="V362" t="str">
        <f>IF(S362="","",IF(S362="[FÓRMULA MANUAL]","",IFERROR(AVERAGEIFS(DATOS!$K$2:$K$20000,DATOS!$A$2:$A$20000,S362,DATOS!$G$2:$G$20000,CONFIG_METADATA!$B$4,DATOS!$I$2:$I$20000,"Música de Cámara"),"")))</f>
        <v/>
      </c>
      <c r="W362" t="str">
        <f>IF(S362="","",IF(S362="[FÓRMULA MANUAL]","",IFERROR(SUMPRODUCT((DATOS!$A$2:$A$20000=S362)*(DATOS!$G$2:$G$20000=CONFIG_METADATA!$B$4)*(COUNTIF(CONFIG_ASIGNATURAS!$B$7:$B$27,DATOS!$I$2:$I$20000)&gt;0)*(DATOS!$K$2:$K$20000))/SUMPRODUCT((DATOS!$A$2:$A$20000=S362)*(DATOS!$G$2:$G$20000=CONFIG_METADATA!$B$4)*(COUNTIF(CONFIG_ASIGNATURAS!$B$7:$B$27,DATOS!$I$2:$I$20000)&gt;0)*1),"")))</f>
        <v/>
      </c>
      <c r="Z362" t="str">
        <f>IF(Y362="","",IF(Y362="[FÓRMULA MANUAL]","",IFERROR(AVERAGEIFS(DATOS!$K$2:$K$20000,DATOS!$A$2:$A$20000,Y362,DATOS!$G$2:$G$20000,CONFIG_METADATA!$B$4,DATOS!$I$2:$I$20000,"Análisis"),"")))</f>
        <v/>
      </c>
      <c r="AA362" t="str">
        <f>IF(Y362="","",IF(Y362="[FÓRMULA MANUAL]","",IFERROR(AVERAGEIFS(DATOS!$K$2:$K$20000,DATOS!$A$2:$A$20000,Y362,DATOS!$G$2:$G$20000,CONFIG_METADATA!$B$4,DATOS!$I$2:$I$20000,"Orquesta/Banda/Conjunto"),"")))</f>
        <v/>
      </c>
      <c r="AB362" t="str">
        <f>IF(Y362="","",IF(Y362="[FÓRMULA MANUAL]","",IFERROR(AVERAGEIFS(DATOS!$K$2:$K$20000,DATOS!$A$2:$A$20000,Y362,DATOS!$G$2:$G$20000,CONFIG_METADATA!$B$4,DATOS!$I$2:$I$20000,"Música de Cámara"),"")))</f>
        <v/>
      </c>
      <c r="AC362" t="str">
        <f>IF(Y362="","",IF(Y362="[FÓRMULA MANUAL]","",IFERROR(SUMPRODUCT((DATOS!$A$2:$A$20000=Y362)*(DATOS!$G$2:$G$20000=CONFIG_METADATA!$B$4)*(COUNTIF(CONFIG_ASIGNATURAS!$B$7:$B$27,DATOS!$I$2:$I$20000)&gt;0)*(DATOS!$K$2:$K$20000))/SUMPRODUCT((DATOS!$A$2:$A$20000=Y362)*(DATOS!$G$2:$G$20000=CONFIG_METADATA!$B$4)*(COUNTIF(CONFIG_ASIGNATURAS!$B$7:$B$27,DATOS!$I$2:$I$20000)&gt;0)*1),"")))</f>
        <v/>
      </c>
      <c r="AF362" t="str">
        <f>IF(AE362="","",IF(AE362="[FÓRMULA MANUAL]","",IFERROR(AVERAGEIFS(DATOS!$K$2:$K$20000,DATOS!$A$2:$A$20000,AE362,DATOS!$G$2:$G$20000,CONFIG_METADATA!$B$4,DATOS!$I$2:$I$20000,"Análisis"),"")))</f>
        <v/>
      </c>
      <c r="AG362" t="str">
        <f>IF(AE362="","",IF(AE362="[FÓRMULA MANUAL]","",IFERROR(AVERAGEIFS(DATOS!$K$2:$K$20000,DATOS!$A$2:$A$20000,AE362,DATOS!$G$2:$G$20000,CONFIG_METADATA!$B$4,DATOS!$I$2:$I$20000,"Orquesta/Banda/Conjunto"),"")))</f>
        <v/>
      </c>
      <c r="AH362" t="str">
        <f>IF(AE362="","",IF(AE362="[FÓRMULA MANUAL]","",IFERROR(AVERAGEIFS(DATOS!$K$2:$K$20000,DATOS!$A$2:$A$20000,AE362,DATOS!$G$2:$G$20000,CONFIG_METADATA!$B$4,DATOS!$I$2:$I$20000,"Música de Cámara"),"")))</f>
        <v/>
      </c>
      <c r="AI362" t="str">
        <f>IF(AE362="","",IF(AE362="[FÓRMULA MANUAL]","",IFERROR(SUMPRODUCT((DATOS!$A$2:$A$20000=AE362)*(DATOS!$G$2:$G$20000=CONFIG_METADATA!$B$4)*(COUNTIF(CONFIG_ASIGNATURAS!$B$7:$B$27,DATOS!$I$2:$I$20000)&gt;0)*(DATOS!$K$2:$K$20000))/SUMPRODUCT((DATOS!$A$2:$A$20000=AE362)*(DATOS!$G$2:$G$20000=CONFIG_METADATA!$B$4)*(COUNTIF(CONFIG_ASIGNATURAS!$B$7:$B$27,DATOS!$I$2:$I$20000)&gt;0)*1),"")))</f>
        <v/>
      </c>
    </row>
    <row r="363" spans="2:35" x14ac:dyDescent="0.2">
      <c r="B363" t="str">
        <f>IF(A363="","",IF(A363="[FÓRMULA MANUAL]","",IFERROR(AVERAGEIFS(DATOS!$K$2:$K$20000,DATOS!$A$2:$A$20000,A363,DATOS!$G$2:$G$20000,CONFIG_METADATA!$B$4,DATOS!$I$2:$I$20000,"Lenguaje Musical"),"")))</f>
        <v/>
      </c>
      <c r="C363" t="str">
        <f>IF(A363="","",IF(A363="[FÓRMULA MANUAL]","",IFERROR(AVERAGEIFS(DATOS!$K$2:$K$20000,DATOS!$A$2:$A$20000,A363,DATOS!$G$2:$G$20000,CONFIG_METADATA!$B$4,DATOS!$I$2:$I$20000,"Orquesta/Banda/Conjunto"),"")))</f>
        <v/>
      </c>
      <c r="D363" t="str">
        <f>IF(A363="","",IF(A363="[FÓRMULA MANUAL]","",IFERROR(AVERAGEIFS(DATOS!$K$2:$K$20000,DATOS!$A$2:$A$20000,A363,DATOS!$G$2:$G$20000,CONFIG_METADATA!$B$4,DATOS!$I$2:$I$20000,"Conjunto"),"")))</f>
        <v/>
      </c>
      <c r="E363" t="str">
        <f>IF(A363="","",IF(A363="[FÓRMULA MANUAL]","",IFERROR(SUMPRODUCT((DATOS!$A$2:$A$20000=A363)*(DATOS!$G$2:$G$20000=CONFIG_METADATA!$B$4)*(COUNTIF(CONFIG_ASIGNATURAS!$B$7:$B$27,DATOS!$I$2:$I$20000)&gt;0)*(DATOS!$K$2:$K$20000))/SUMPRODUCT((DATOS!$A$2:$A$20000=A363)*(DATOS!$G$2:$G$20000=CONFIG_METADATA!$B$4)*(COUNTIF(CONFIG_ASIGNATURAS!$B$7:$B$27,DATOS!$I$2:$I$20000)&gt;0)*1),"")))</f>
        <v/>
      </c>
      <c r="H363" t="str">
        <f>IF(G363="","",IF(G363="[FÓRMULA MANUAL]","",IFERROR(AVERAGEIFS(DATOS!$K$2:$K$20000,DATOS!$A$2:$A$20000,G363,DATOS!$G$2:$G$20000,CONFIG_METADATA!$B$4,DATOS!$I$2:$I$20000,"Lenguaje Musical"),"")))</f>
        <v/>
      </c>
      <c r="I363" t="str">
        <f>IF(G363="","",IF(G363="[FÓRMULA MANUAL]","",IFERROR(AVERAGEIFS(DATOS!$K$2:$K$20000,DATOS!$A$2:$A$20000,G363,DATOS!$G$2:$G$20000,CONFIG_METADATA!$B$4,DATOS!$I$2:$I$20000,"Orquesta/Banda/Conjunto"),"")))</f>
        <v/>
      </c>
      <c r="J363" t="str">
        <f>IF(G363="","",IF(G363="[FÓRMULA MANUAL]","",IFERROR(AVERAGEIFS(DATOS!$K$2:$K$20000,DATOS!$A$2:$A$20000,G363,DATOS!$G$2:$G$20000,CONFIG_METADATA!$B$4,DATOS!$I$2:$I$20000,"Conjunto"),"")))</f>
        <v/>
      </c>
      <c r="K363" t="str">
        <f>IF(G363="","",IF(G363="[FÓRMULA MANUAL]","",IFERROR(SUMPRODUCT((DATOS!$A$2:$A$20000=G363)*(DATOS!$G$2:$G$20000=CONFIG_METADATA!$B$4)*(COUNTIF(CONFIG_ASIGNATURAS!$B$7:$B$27,DATOS!$I$2:$I$20000)&gt;0)*(DATOS!$K$2:$K$20000))/SUMPRODUCT((DATOS!$A$2:$A$20000=G363)*(DATOS!$G$2:$G$20000=CONFIG_METADATA!$B$4)*(COUNTIF(CONFIG_ASIGNATURAS!$B$7:$B$27,DATOS!$I$2:$I$20000)&gt;0)*1),"")))</f>
        <v/>
      </c>
      <c r="N363" t="str">
        <f>IF(M363="","",IF(M363="[FÓRMULA MANUAL]","",IFERROR(AVERAGEIFS(DATOS!$K$2:$K$20000,DATOS!$A$2:$A$20000,M363,DATOS!$G$2:$G$20000,CONFIG_METADATA!$B$4,DATOS!$I$2:$I$20000,"Armonía"),"")))</f>
        <v/>
      </c>
      <c r="O363" t="str">
        <f>IF(M363="","",IF(M363="[FÓRMULA MANUAL]","",IFERROR(AVERAGEIFS(DATOS!$K$2:$K$20000,DATOS!$A$2:$A$20000,M363,DATOS!$G$2:$G$20000,CONFIG_METADATA!$B$4,DATOS!$I$2:$I$20000,"Orquesta/Banda/Conjunto"),"")))</f>
        <v/>
      </c>
      <c r="P363" t="str">
        <f>IF(M363="","",IF(M363="[FÓRMULA MANUAL]","",IFERROR(AVERAGEIFS(DATOS!$K$2:$K$20000,DATOS!$A$2:$A$20000,M363,DATOS!$G$2:$G$20000,CONFIG_METADATA!$B$4,DATOS!$I$2:$I$20000,"Música de Cámara"),"")))</f>
        <v/>
      </c>
      <c r="Q363" t="str">
        <f>IF(M363="","",IF(M363="[FÓRMULA MANUAL]","",IFERROR(SUMPRODUCT((DATOS!$A$2:$A$20000=M363)*(DATOS!$G$2:$G$20000=CONFIG_METADATA!$B$4)*(COUNTIF(CONFIG_ASIGNATURAS!$B$7:$B$27,DATOS!$I$2:$I$20000)&gt;0)*(DATOS!$K$2:$K$20000))/SUMPRODUCT((DATOS!$A$2:$A$20000=M363)*(DATOS!$G$2:$G$20000=CONFIG_METADATA!$B$4)*(COUNTIF(CONFIG_ASIGNATURAS!$B$7:$B$27,DATOS!$I$2:$I$20000)&gt;0)*1),"")))</f>
        <v/>
      </c>
      <c r="T363" t="str">
        <f>IF(S363="","",IF(S363="[FÓRMULA MANUAL]","",IFERROR(AVERAGEIFS(DATOS!$K$2:$K$20000,DATOS!$A$2:$A$20000,S363,DATOS!$G$2:$G$20000,CONFIG_METADATA!$B$4,DATOS!$I$2:$I$20000,"Armonía"),"")))</f>
        <v/>
      </c>
      <c r="U363" t="str">
        <f>IF(S363="","",IF(S363="[FÓRMULA MANUAL]","",IFERROR(AVERAGEIFS(DATOS!$K$2:$K$20000,DATOS!$A$2:$A$20000,S363,DATOS!$G$2:$G$20000,CONFIG_METADATA!$B$4,DATOS!$I$2:$I$20000,"Orquesta/Banda/Conjunto"),"")))</f>
        <v/>
      </c>
      <c r="V363" t="str">
        <f>IF(S363="","",IF(S363="[FÓRMULA MANUAL]","",IFERROR(AVERAGEIFS(DATOS!$K$2:$K$20000,DATOS!$A$2:$A$20000,S363,DATOS!$G$2:$G$20000,CONFIG_METADATA!$B$4,DATOS!$I$2:$I$20000,"Música de Cámara"),"")))</f>
        <v/>
      </c>
      <c r="W363" t="str">
        <f>IF(S363="","",IF(S363="[FÓRMULA MANUAL]","",IFERROR(SUMPRODUCT((DATOS!$A$2:$A$20000=S363)*(DATOS!$G$2:$G$20000=CONFIG_METADATA!$B$4)*(COUNTIF(CONFIG_ASIGNATURAS!$B$7:$B$27,DATOS!$I$2:$I$20000)&gt;0)*(DATOS!$K$2:$K$20000))/SUMPRODUCT((DATOS!$A$2:$A$20000=S363)*(DATOS!$G$2:$G$20000=CONFIG_METADATA!$B$4)*(COUNTIF(CONFIG_ASIGNATURAS!$B$7:$B$27,DATOS!$I$2:$I$20000)&gt;0)*1),"")))</f>
        <v/>
      </c>
      <c r="Z363" t="str">
        <f>IF(Y363="","",IF(Y363="[FÓRMULA MANUAL]","",IFERROR(AVERAGEIFS(DATOS!$K$2:$K$20000,DATOS!$A$2:$A$20000,Y363,DATOS!$G$2:$G$20000,CONFIG_METADATA!$B$4,DATOS!$I$2:$I$20000,"Análisis"),"")))</f>
        <v/>
      </c>
      <c r="AA363" t="str">
        <f>IF(Y363="","",IF(Y363="[FÓRMULA MANUAL]","",IFERROR(AVERAGEIFS(DATOS!$K$2:$K$20000,DATOS!$A$2:$A$20000,Y363,DATOS!$G$2:$G$20000,CONFIG_METADATA!$B$4,DATOS!$I$2:$I$20000,"Orquesta/Banda/Conjunto"),"")))</f>
        <v/>
      </c>
      <c r="AB363" t="str">
        <f>IF(Y363="","",IF(Y363="[FÓRMULA MANUAL]","",IFERROR(AVERAGEIFS(DATOS!$K$2:$K$20000,DATOS!$A$2:$A$20000,Y363,DATOS!$G$2:$G$20000,CONFIG_METADATA!$B$4,DATOS!$I$2:$I$20000,"Música de Cámara"),"")))</f>
        <v/>
      </c>
      <c r="AC363" t="str">
        <f>IF(Y363="","",IF(Y363="[FÓRMULA MANUAL]","",IFERROR(SUMPRODUCT((DATOS!$A$2:$A$20000=Y363)*(DATOS!$G$2:$G$20000=CONFIG_METADATA!$B$4)*(COUNTIF(CONFIG_ASIGNATURAS!$B$7:$B$27,DATOS!$I$2:$I$20000)&gt;0)*(DATOS!$K$2:$K$20000))/SUMPRODUCT((DATOS!$A$2:$A$20000=Y363)*(DATOS!$G$2:$G$20000=CONFIG_METADATA!$B$4)*(COUNTIF(CONFIG_ASIGNATURAS!$B$7:$B$27,DATOS!$I$2:$I$20000)&gt;0)*1),"")))</f>
        <v/>
      </c>
      <c r="AF363" t="str">
        <f>IF(AE363="","",IF(AE363="[FÓRMULA MANUAL]","",IFERROR(AVERAGEIFS(DATOS!$K$2:$K$20000,DATOS!$A$2:$A$20000,AE363,DATOS!$G$2:$G$20000,CONFIG_METADATA!$B$4,DATOS!$I$2:$I$20000,"Análisis"),"")))</f>
        <v/>
      </c>
      <c r="AG363" t="str">
        <f>IF(AE363="","",IF(AE363="[FÓRMULA MANUAL]","",IFERROR(AVERAGEIFS(DATOS!$K$2:$K$20000,DATOS!$A$2:$A$20000,AE363,DATOS!$G$2:$G$20000,CONFIG_METADATA!$B$4,DATOS!$I$2:$I$20000,"Orquesta/Banda/Conjunto"),"")))</f>
        <v/>
      </c>
      <c r="AH363" t="str">
        <f>IF(AE363="","",IF(AE363="[FÓRMULA MANUAL]","",IFERROR(AVERAGEIFS(DATOS!$K$2:$K$20000,DATOS!$A$2:$A$20000,AE363,DATOS!$G$2:$G$20000,CONFIG_METADATA!$B$4,DATOS!$I$2:$I$20000,"Música de Cámara"),"")))</f>
        <v/>
      </c>
      <c r="AI363" t="str">
        <f>IF(AE363="","",IF(AE363="[FÓRMULA MANUAL]","",IFERROR(SUMPRODUCT((DATOS!$A$2:$A$20000=AE363)*(DATOS!$G$2:$G$20000=CONFIG_METADATA!$B$4)*(COUNTIF(CONFIG_ASIGNATURAS!$B$7:$B$27,DATOS!$I$2:$I$20000)&gt;0)*(DATOS!$K$2:$K$20000))/SUMPRODUCT((DATOS!$A$2:$A$20000=AE363)*(DATOS!$G$2:$G$20000=CONFIG_METADATA!$B$4)*(COUNTIF(CONFIG_ASIGNATURAS!$B$7:$B$27,DATOS!$I$2:$I$20000)&gt;0)*1),"")))</f>
        <v/>
      </c>
    </row>
    <row r="364" spans="2:35" x14ac:dyDescent="0.2">
      <c r="B364" t="str">
        <f>IF(A364="","",IF(A364="[FÓRMULA MANUAL]","",IFERROR(AVERAGEIFS(DATOS!$K$2:$K$20000,DATOS!$A$2:$A$20000,A364,DATOS!$G$2:$G$20000,CONFIG_METADATA!$B$4,DATOS!$I$2:$I$20000,"Lenguaje Musical"),"")))</f>
        <v/>
      </c>
      <c r="C364" t="str">
        <f>IF(A364="","",IF(A364="[FÓRMULA MANUAL]","",IFERROR(AVERAGEIFS(DATOS!$K$2:$K$20000,DATOS!$A$2:$A$20000,A364,DATOS!$G$2:$G$20000,CONFIG_METADATA!$B$4,DATOS!$I$2:$I$20000,"Orquesta/Banda/Conjunto"),"")))</f>
        <v/>
      </c>
      <c r="D364" t="str">
        <f>IF(A364="","",IF(A364="[FÓRMULA MANUAL]","",IFERROR(AVERAGEIFS(DATOS!$K$2:$K$20000,DATOS!$A$2:$A$20000,A364,DATOS!$G$2:$G$20000,CONFIG_METADATA!$B$4,DATOS!$I$2:$I$20000,"Conjunto"),"")))</f>
        <v/>
      </c>
      <c r="E364" t="str">
        <f>IF(A364="","",IF(A364="[FÓRMULA MANUAL]","",IFERROR(SUMPRODUCT((DATOS!$A$2:$A$20000=A364)*(DATOS!$G$2:$G$20000=CONFIG_METADATA!$B$4)*(COUNTIF(CONFIG_ASIGNATURAS!$B$7:$B$27,DATOS!$I$2:$I$20000)&gt;0)*(DATOS!$K$2:$K$20000))/SUMPRODUCT((DATOS!$A$2:$A$20000=A364)*(DATOS!$G$2:$G$20000=CONFIG_METADATA!$B$4)*(COUNTIF(CONFIG_ASIGNATURAS!$B$7:$B$27,DATOS!$I$2:$I$20000)&gt;0)*1),"")))</f>
        <v/>
      </c>
      <c r="H364" t="str">
        <f>IF(G364="","",IF(G364="[FÓRMULA MANUAL]","",IFERROR(AVERAGEIFS(DATOS!$K$2:$K$20000,DATOS!$A$2:$A$20000,G364,DATOS!$G$2:$G$20000,CONFIG_METADATA!$B$4,DATOS!$I$2:$I$20000,"Lenguaje Musical"),"")))</f>
        <v/>
      </c>
      <c r="I364" t="str">
        <f>IF(G364="","",IF(G364="[FÓRMULA MANUAL]","",IFERROR(AVERAGEIFS(DATOS!$K$2:$K$20000,DATOS!$A$2:$A$20000,G364,DATOS!$G$2:$G$20000,CONFIG_METADATA!$B$4,DATOS!$I$2:$I$20000,"Orquesta/Banda/Conjunto"),"")))</f>
        <v/>
      </c>
      <c r="J364" t="str">
        <f>IF(G364="","",IF(G364="[FÓRMULA MANUAL]","",IFERROR(AVERAGEIFS(DATOS!$K$2:$K$20000,DATOS!$A$2:$A$20000,G364,DATOS!$G$2:$G$20000,CONFIG_METADATA!$B$4,DATOS!$I$2:$I$20000,"Conjunto"),"")))</f>
        <v/>
      </c>
      <c r="K364" t="str">
        <f>IF(G364="","",IF(G364="[FÓRMULA MANUAL]","",IFERROR(SUMPRODUCT((DATOS!$A$2:$A$20000=G364)*(DATOS!$G$2:$G$20000=CONFIG_METADATA!$B$4)*(COUNTIF(CONFIG_ASIGNATURAS!$B$7:$B$27,DATOS!$I$2:$I$20000)&gt;0)*(DATOS!$K$2:$K$20000))/SUMPRODUCT((DATOS!$A$2:$A$20000=G364)*(DATOS!$G$2:$G$20000=CONFIG_METADATA!$B$4)*(COUNTIF(CONFIG_ASIGNATURAS!$B$7:$B$27,DATOS!$I$2:$I$20000)&gt;0)*1),"")))</f>
        <v/>
      </c>
      <c r="N364" t="str">
        <f>IF(M364="","",IF(M364="[FÓRMULA MANUAL]","",IFERROR(AVERAGEIFS(DATOS!$K$2:$K$20000,DATOS!$A$2:$A$20000,M364,DATOS!$G$2:$G$20000,CONFIG_METADATA!$B$4,DATOS!$I$2:$I$20000,"Armonía"),"")))</f>
        <v/>
      </c>
      <c r="O364" t="str">
        <f>IF(M364="","",IF(M364="[FÓRMULA MANUAL]","",IFERROR(AVERAGEIFS(DATOS!$K$2:$K$20000,DATOS!$A$2:$A$20000,M364,DATOS!$G$2:$G$20000,CONFIG_METADATA!$B$4,DATOS!$I$2:$I$20000,"Orquesta/Banda/Conjunto"),"")))</f>
        <v/>
      </c>
      <c r="P364" t="str">
        <f>IF(M364="","",IF(M364="[FÓRMULA MANUAL]","",IFERROR(AVERAGEIFS(DATOS!$K$2:$K$20000,DATOS!$A$2:$A$20000,M364,DATOS!$G$2:$G$20000,CONFIG_METADATA!$B$4,DATOS!$I$2:$I$20000,"Música de Cámara"),"")))</f>
        <v/>
      </c>
      <c r="Q364" t="str">
        <f>IF(M364="","",IF(M364="[FÓRMULA MANUAL]","",IFERROR(SUMPRODUCT((DATOS!$A$2:$A$20000=M364)*(DATOS!$G$2:$G$20000=CONFIG_METADATA!$B$4)*(COUNTIF(CONFIG_ASIGNATURAS!$B$7:$B$27,DATOS!$I$2:$I$20000)&gt;0)*(DATOS!$K$2:$K$20000))/SUMPRODUCT((DATOS!$A$2:$A$20000=M364)*(DATOS!$G$2:$G$20000=CONFIG_METADATA!$B$4)*(COUNTIF(CONFIG_ASIGNATURAS!$B$7:$B$27,DATOS!$I$2:$I$20000)&gt;0)*1),"")))</f>
        <v/>
      </c>
      <c r="T364" t="str">
        <f>IF(S364="","",IF(S364="[FÓRMULA MANUAL]","",IFERROR(AVERAGEIFS(DATOS!$K$2:$K$20000,DATOS!$A$2:$A$20000,S364,DATOS!$G$2:$G$20000,CONFIG_METADATA!$B$4,DATOS!$I$2:$I$20000,"Armonía"),"")))</f>
        <v/>
      </c>
      <c r="U364" t="str">
        <f>IF(S364="","",IF(S364="[FÓRMULA MANUAL]","",IFERROR(AVERAGEIFS(DATOS!$K$2:$K$20000,DATOS!$A$2:$A$20000,S364,DATOS!$G$2:$G$20000,CONFIG_METADATA!$B$4,DATOS!$I$2:$I$20000,"Orquesta/Banda/Conjunto"),"")))</f>
        <v/>
      </c>
      <c r="V364" t="str">
        <f>IF(S364="","",IF(S364="[FÓRMULA MANUAL]","",IFERROR(AVERAGEIFS(DATOS!$K$2:$K$20000,DATOS!$A$2:$A$20000,S364,DATOS!$G$2:$G$20000,CONFIG_METADATA!$B$4,DATOS!$I$2:$I$20000,"Música de Cámara"),"")))</f>
        <v/>
      </c>
      <c r="W364" t="str">
        <f>IF(S364="","",IF(S364="[FÓRMULA MANUAL]","",IFERROR(SUMPRODUCT((DATOS!$A$2:$A$20000=S364)*(DATOS!$G$2:$G$20000=CONFIG_METADATA!$B$4)*(COUNTIF(CONFIG_ASIGNATURAS!$B$7:$B$27,DATOS!$I$2:$I$20000)&gt;0)*(DATOS!$K$2:$K$20000))/SUMPRODUCT((DATOS!$A$2:$A$20000=S364)*(DATOS!$G$2:$G$20000=CONFIG_METADATA!$B$4)*(COUNTIF(CONFIG_ASIGNATURAS!$B$7:$B$27,DATOS!$I$2:$I$20000)&gt;0)*1),"")))</f>
        <v/>
      </c>
      <c r="Z364" t="str">
        <f>IF(Y364="","",IF(Y364="[FÓRMULA MANUAL]","",IFERROR(AVERAGEIFS(DATOS!$K$2:$K$20000,DATOS!$A$2:$A$20000,Y364,DATOS!$G$2:$G$20000,CONFIG_METADATA!$B$4,DATOS!$I$2:$I$20000,"Análisis"),"")))</f>
        <v/>
      </c>
      <c r="AA364" t="str">
        <f>IF(Y364="","",IF(Y364="[FÓRMULA MANUAL]","",IFERROR(AVERAGEIFS(DATOS!$K$2:$K$20000,DATOS!$A$2:$A$20000,Y364,DATOS!$G$2:$G$20000,CONFIG_METADATA!$B$4,DATOS!$I$2:$I$20000,"Orquesta/Banda/Conjunto"),"")))</f>
        <v/>
      </c>
      <c r="AB364" t="str">
        <f>IF(Y364="","",IF(Y364="[FÓRMULA MANUAL]","",IFERROR(AVERAGEIFS(DATOS!$K$2:$K$20000,DATOS!$A$2:$A$20000,Y364,DATOS!$G$2:$G$20000,CONFIG_METADATA!$B$4,DATOS!$I$2:$I$20000,"Música de Cámara"),"")))</f>
        <v/>
      </c>
      <c r="AC364" t="str">
        <f>IF(Y364="","",IF(Y364="[FÓRMULA MANUAL]","",IFERROR(SUMPRODUCT((DATOS!$A$2:$A$20000=Y364)*(DATOS!$G$2:$G$20000=CONFIG_METADATA!$B$4)*(COUNTIF(CONFIG_ASIGNATURAS!$B$7:$B$27,DATOS!$I$2:$I$20000)&gt;0)*(DATOS!$K$2:$K$20000))/SUMPRODUCT((DATOS!$A$2:$A$20000=Y364)*(DATOS!$G$2:$G$20000=CONFIG_METADATA!$B$4)*(COUNTIF(CONFIG_ASIGNATURAS!$B$7:$B$27,DATOS!$I$2:$I$20000)&gt;0)*1),"")))</f>
        <v/>
      </c>
      <c r="AF364" t="str">
        <f>IF(AE364="","",IF(AE364="[FÓRMULA MANUAL]","",IFERROR(AVERAGEIFS(DATOS!$K$2:$K$20000,DATOS!$A$2:$A$20000,AE364,DATOS!$G$2:$G$20000,CONFIG_METADATA!$B$4,DATOS!$I$2:$I$20000,"Análisis"),"")))</f>
        <v/>
      </c>
      <c r="AG364" t="str">
        <f>IF(AE364="","",IF(AE364="[FÓRMULA MANUAL]","",IFERROR(AVERAGEIFS(DATOS!$K$2:$K$20000,DATOS!$A$2:$A$20000,AE364,DATOS!$G$2:$G$20000,CONFIG_METADATA!$B$4,DATOS!$I$2:$I$20000,"Orquesta/Banda/Conjunto"),"")))</f>
        <v/>
      </c>
      <c r="AH364" t="str">
        <f>IF(AE364="","",IF(AE364="[FÓRMULA MANUAL]","",IFERROR(AVERAGEIFS(DATOS!$K$2:$K$20000,DATOS!$A$2:$A$20000,AE364,DATOS!$G$2:$G$20000,CONFIG_METADATA!$B$4,DATOS!$I$2:$I$20000,"Música de Cámara"),"")))</f>
        <v/>
      </c>
      <c r="AI364" t="str">
        <f>IF(AE364="","",IF(AE364="[FÓRMULA MANUAL]","",IFERROR(SUMPRODUCT((DATOS!$A$2:$A$20000=AE364)*(DATOS!$G$2:$G$20000=CONFIG_METADATA!$B$4)*(COUNTIF(CONFIG_ASIGNATURAS!$B$7:$B$27,DATOS!$I$2:$I$20000)&gt;0)*(DATOS!$K$2:$K$20000))/SUMPRODUCT((DATOS!$A$2:$A$20000=AE364)*(DATOS!$G$2:$G$20000=CONFIG_METADATA!$B$4)*(COUNTIF(CONFIG_ASIGNATURAS!$B$7:$B$27,DATOS!$I$2:$I$20000)&gt;0)*1),"")))</f>
        <v/>
      </c>
    </row>
    <row r="365" spans="2:35" x14ac:dyDescent="0.2">
      <c r="B365" t="str">
        <f>IF(A365="","",IF(A365="[FÓRMULA MANUAL]","",IFERROR(AVERAGEIFS(DATOS!$K$2:$K$20000,DATOS!$A$2:$A$20000,A365,DATOS!$G$2:$G$20000,CONFIG_METADATA!$B$4,DATOS!$I$2:$I$20000,"Lenguaje Musical"),"")))</f>
        <v/>
      </c>
      <c r="C365" t="str">
        <f>IF(A365="","",IF(A365="[FÓRMULA MANUAL]","",IFERROR(AVERAGEIFS(DATOS!$K$2:$K$20000,DATOS!$A$2:$A$20000,A365,DATOS!$G$2:$G$20000,CONFIG_METADATA!$B$4,DATOS!$I$2:$I$20000,"Orquesta/Banda/Conjunto"),"")))</f>
        <v/>
      </c>
      <c r="D365" t="str">
        <f>IF(A365="","",IF(A365="[FÓRMULA MANUAL]","",IFERROR(AVERAGEIFS(DATOS!$K$2:$K$20000,DATOS!$A$2:$A$20000,A365,DATOS!$G$2:$G$20000,CONFIG_METADATA!$B$4,DATOS!$I$2:$I$20000,"Conjunto"),"")))</f>
        <v/>
      </c>
      <c r="E365" t="str">
        <f>IF(A365="","",IF(A365="[FÓRMULA MANUAL]","",IFERROR(SUMPRODUCT((DATOS!$A$2:$A$20000=A365)*(DATOS!$G$2:$G$20000=CONFIG_METADATA!$B$4)*(COUNTIF(CONFIG_ASIGNATURAS!$B$7:$B$27,DATOS!$I$2:$I$20000)&gt;0)*(DATOS!$K$2:$K$20000))/SUMPRODUCT((DATOS!$A$2:$A$20000=A365)*(DATOS!$G$2:$G$20000=CONFIG_METADATA!$B$4)*(COUNTIF(CONFIG_ASIGNATURAS!$B$7:$B$27,DATOS!$I$2:$I$20000)&gt;0)*1),"")))</f>
        <v/>
      </c>
      <c r="H365" t="str">
        <f>IF(G365="","",IF(G365="[FÓRMULA MANUAL]","",IFERROR(AVERAGEIFS(DATOS!$K$2:$K$20000,DATOS!$A$2:$A$20000,G365,DATOS!$G$2:$G$20000,CONFIG_METADATA!$B$4,DATOS!$I$2:$I$20000,"Lenguaje Musical"),"")))</f>
        <v/>
      </c>
      <c r="I365" t="str">
        <f>IF(G365="","",IF(G365="[FÓRMULA MANUAL]","",IFERROR(AVERAGEIFS(DATOS!$K$2:$K$20000,DATOS!$A$2:$A$20000,G365,DATOS!$G$2:$G$20000,CONFIG_METADATA!$B$4,DATOS!$I$2:$I$20000,"Orquesta/Banda/Conjunto"),"")))</f>
        <v/>
      </c>
      <c r="J365" t="str">
        <f>IF(G365="","",IF(G365="[FÓRMULA MANUAL]","",IFERROR(AVERAGEIFS(DATOS!$K$2:$K$20000,DATOS!$A$2:$A$20000,G365,DATOS!$G$2:$G$20000,CONFIG_METADATA!$B$4,DATOS!$I$2:$I$20000,"Conjunto"),"")))</f>
        <v/>
      </c>
      <c r="K365" t="str">
        <f>IF(G365="","",IF(G365="[FÓRMULA MANUAL]","",IFERROR(SUMPRODUCT((DATOS!$A$2:$A$20000=G365)*(DATOS!$G$2:$G$20000=CONFIG_METADATA!$B$4)*(COUNTIF(CONFIG_ASIGNATURAS!$B$7:$B$27,DATOS!$I$2:$I$20000)&gt;0)*(DATOS!$K$2:$K$20000))/SUMPRODUCT((DATOS!$A$2:$A$20000=G365)*(DATOS!$G$2:$G$20000=CONFIG_METADATA!$B$4)*(COUNTIF(CONFIG_ASIGNATURAS!$B$7:$B$27,DATOS!$I$2:$I$20000)&gt;0)*1),"")))</f>
        <v/>
      </c>
      <c r="N365" t="str">
        <f>IF(M365="","",IF(M365="[FÓRMULA MANUAL]","",IFERROR(AVERAGEIFS(DATOS!$K$2:$K$20000,DATOS!$A$2:$A$20000,M365,DATOS!$G$2:$G$20000,CONFIG_METADATA!$B$4,DATOS!$I$2:$I$20000,"Armonía"),"")))</f>
        <v/>
      </c>
      <c r="O365" t="str">
        <f>IF(M365="","",IF(M365="[FÓRMULA MANUAL]","",IFERROR(AVERAGEIFS(DATOS!$K$2:$K$20000,DATOS!$A$2:$A$20000,M365,DATOS!$G$2:$G$20000,CONFIG_METADATA!$B$4,DATOS!$I$2:$I$20000,"Orquesta/Banda/Conjunto"),"")))</f>
        <v/>
      </c>
      <c r="P365" t="str">
        <f>IF(M365="","",IF(M365="[FÓRMULA MANUAL]","",IFERROR(AVERAGEIFS(DATOS!$K$2:$K$20000,DATOS!$A$2:$A$20000,M365,DATOS!$G$2:$G$20000,CONFIG_METADATA!$B$4,DATOS!$I$2:$I$20000,"Música de Cámara"),"")))</f>
        <v/>
      </c>
      <c r="Q365" t="str">
        <f>IF(M365="","",IF(M365="[FÓRMULA MANUAL]","",IFERROR(SUMPRODUCT((DATOS!$A$2:$A$20000=M365)*(DATOS!$G$2:$G$20000=CONFIG_METADATA!$B$4)*(COUNTIF(CONFIG_ASIGNATURAS!$B$7:$B$27,DATOS!$I$2:$I$20000)&gt;0)*(DATOS!$K$2:$K$20000))/SUMPRODUCT((DATOS!$A$2:$A$20000=M365)*(DATOS!$G$2:$G$20000=CONFIG_METADATA!$B$4)*(COUNTIF(CONFIG_ASIGNATURAS!$B$7:$B$27,DATOS!$I$2:$I$20000)&gt;0)*1),"")))</f>
        <v/>
      </c>
      <c r="T365" t="str">
        <f>IF(S365="","",IF(S365="[FÓRMULA MANUAL]","",IFERROR(AVERAGEIFS(DATOS!$K$2:$K$20000,DATOS!$A$2:$A$20000,S365,DATOS!$G$2:$G$20000,CONFIG_METADATA!$B$4,DATOS!$I$2:$I$20000,"Armonía"),"")))</f>
        <v/>
      </c>
      <c r="U365" t="str">
        <f>IF(S365="","",IF(S365="[FÓRMULA MANUAL]","",IFERROR(AVERAGEIFS(DATOS!$K$2:$K$20000,DATOS!$A$2:$A$20000,S365,DATOS!$G$2:$G$20000,CONFIG_METADATA!$B$4,DATOS!$I$2:$I$20000,"Orquesta/Banda/Conjunto"),"")))</f>
        <v/>
      </c>
      <c r="V365" t="str">
        <f>IF(S365="","",IF(S365="[FÓRMULA MANUAL]","",IFERROR(AVERAGEIFS(DATOS!$K$2:$K$20000,DATOS!$A$2:$A$20000,S365,DATOS!$G$2:$G$20000,CONFIG_METADATA!$B$4,DATOS!$I$2:$I$20000,"Música de Cámara"),"")))</f>
        <v/>
      </c>
      <c r="W365" t="str">
        <f>IF(S365="","",IF(S365="[FÓRMULA MANUAL]","",IFERROR(SUMPRODUCT((DATOS!$A$2:$A$20000=S365)*(DATOS!$G$2:$G$20000=CONFIG_METADATA!$B$4)*(COUNTIF(CONFIG_ASIGNATURAS!$B$7:$B$27,DATOS!$I$2:$I$20000)&gt;0)*(DATOS!$K$2:$K$20000))/SUMPRODUCT((DATOS!$A$2:$A$20000=S365)*(DATOS!$G$2:$G$20000=CONFIG_METADATA!$B$4)*(COUNTIF(CONFIG_ASIGNATURAS!$B$7:$B$27,DATOS!$I$2:$I$20000)&gt;0)*1),"")))</f>
        <v/>
      </c>
      <c r="Z365" t="str">
        <f>IF(Y365="","",IF(Y365="[FÓRMULA MANUAL]","",IFERROR(AVERAGEIFS(DATOS!$K$2:$K$20000,DATOS!$A$2:$A$20000,Y365,DATOS!$G$2:$G$20000,CONFIG_METADATA!$B$4,DATOS!$I$2:$I$20000,"Análisis"),"")))</f>
        <v/>
      </c>
      <c r="AA365" t="str">
        <f>IF(Y365="","",IF(Y365="[FÓRMULA MANUAL]","",IFERROR(AVERAGEIFS(DATOS!$K$2:$K$20000,DATOS!$A$2:$A$20000,Y365,DATOS!$G$2:$G$20000,CONFIG_METADATA!$B$4,DATOS!$I$2:$I$20000,"Orquesta/Banda/Conjunto"),"")))</f>
        <v/>
      </c>
      <c r="AB365" t="str">
        <f>IF(Y365="","",IF(Y365="[FÓRMULA MANUAL]","",IFERROR(AVERAGEIFS(DATOS!$K$2:$K$20000,DATOS!$A$2:$A$20000,Y365,DATOS!$G$2:$G$20000,CONFIG_METADATA!$B$4,DATOS!$I$2:$I$20000,"Música de Cámara"),"")))</f>
        <v/>
      </c>
      <c r="AC365" t="str">
        <f>IF(Y365="","",IF(Y365="[FÓRMULA MANUAL]","",IFERROR(SUMPRODUCT((DATOS!$A$2:$A$20000=Y365)*(DATOS!$G$2:$G$20000=CONFIG_METADATA!$B$4)*(COUNTIF(CONFIG_ASIGNATURAS!$B$7:$B$27,DATOS!$I$2:$I$20000)&gt;0)*(DATOS!$K$2:$K$20000))/SUMPRODUCT((DATOS!$A$2:$A$20000=Y365)*(DATOS!$G$2:$G$20000=CONFIG_METADATA!$B$4)*(COUNTIF(CONFIG_ASIGNATURAS!$B$7:$B$27,DATOS!$I$2:$I$20000)&gt;0)*1),"")))</f>
        <v/>
      </c>
      <c r="AF365" t="str">
        <f>IF(AE365="","",IF(AE365="[FÓRMULA MANUAL]","",IFERROR(AVERAGEIFS(DATOS!$K$2:$K$20000,DATOS!$A$2:$A$20000,AE365,DATOS!$G$2:$G$20000,CONFIG_METADATA!$B$4,DATOS!$I$2:$I$20000,"Análisis"),"")))</f>
        <v/>
      </c>
      <c r="AG365" t="str">
        <f>IF(AE365="","",IF(AE365="[FÓRMULA MANUAL]","",IFERROR(AVERAGEIFS(DATOS!$K$2:$K$20000,DATOS!$A$2:$A$20000,AE365,DATOS!$G$2:$G$20000,CONFIG_METADATA!$B$4,DATOS!$I$2:$I$20000,"Orquesta/Banda/Conjunto"),"")))</f>
        <v/>
      </c>
      <c r="AH365" t="str">
        <f>IF(AE365="","",IF(AE365="[FÓRMULA MANUAL]","",IFERROR(AVERAGEIFS(DATOS!$K$2:$K$20000,DATOS!$A$2:$A$20000,AE365,DATOS!$G$2:$G$20000,CONFIG_METADATA!$B$4,DATOS!$I$2:$I$20000,"Música de Cámara"),"")))</f>
        <v/>
      </c>
      <c r="AI365" t="str">
        <f>IF(AE365="","",IF(AE365="[FÓRMULA MANUAL]","",IFERROR(SUMPRODUCT((DATOS!$A$2:$A$20000=AE365)*(DATOS!$G$2:$G$20000=CONFIG_METADATA!$B$4)*(COUNTIF(CONFIG_ASIGNATURAS!$B$7:$B$27,DATOS!$I$2:$I$20000)&gt;0)*(DATOS!$K$2:$K$20000))/SUMPRODUCT((DATOS!$A$2:$A$20000=AE365)*(DATOS!$G$2:$G$20000=CONFIG_METADATA!$B$4)*(COUNTIF(CONFIG_ASIGNATURAS!$B$7:$B$27,DATOS!$I$2:$I$20000)&gt;0)*1),"")))</f>
        <v/>
      </c>
    </row>
    <row r="366" spans="2:35" x14ac:dyDescent="0.2">
      <c r="B366" t="str">
        <f>IF(A366="","",IF(A366="[FÓRMULA MANUAL]","",IFERROR(AVERAGEIFS(DATOS!$K$2:$K$20000,DATOS!$A$2:$A$20000,A366,DATOS!$G$2:$G$20000,CONFIG_METADATA!$B$4,DATOS!$I$2:$I$20000,"Lenguaje Musical"),"")))</f>
        <v/>
      </c>
      <c r="C366" t="str">
        <f>IF(A366="","",IF(A366="[FÓRMULA MANUAL]","",IFERROR(AVERAGEIFS(DATOS!$K$2:$K$20000,DATOS!$A$2:$A$20000,A366,DATOS!$G$2:$G$20000,CONFIG_METADATA!$B$4,DATOS!$I$2:$I$20000,"Orquesta/Banda/Conjunto"),"")))</f>
        <v/>
      </c>
      <c r="D366" t="str">
        <f>IF(A366="","",IF(A366="[FÓRMULA MANUAL]","",IFERROR(AVERAGEIFS(DATOS!$K$2:$K$20000,DATOS!$A$2:$A$20000,A366,DATOS!$G$2:$G$20000,CONFIG_METADATA!$B$4,DATOS!$I$2:$I$20000,"Conjunto"),"")))</f>
        <v/>
      </c>
      <c r="E366" t="str">
        <f>IF(A366="","",IF(A366="[FÓRMULA MANUAL]","",IFERROR(SUMPRODUCT((DATOS!$A$2:$A$20000=A366)*(DATOS!$G$2:$G$20000=CONFIG_METADATA!$B$4)*(COUNTIF(CONFIG_ASIGNATURAS!$B$7:$B$27,DATOS!$I$2:$I$20000)&gt;0)*(DATOS!$K$2:$K$20000))/SUMPRODUCT((DATOS!$A$2:$A$20000=A366)*(DATOS!$G$2:$G$20000=CONFIG_METADATA!$B$4)*(COUNTIF(CONFIG_ASIGNATURAS!$B$7:$B$27,DATOS!$I$2:$I$20000)&gt;0)*1),"")))</f>
        <v/>
      </c>
      <c r="H366" t="str">
        <f>IF(G366="","",IF(G366="[FÓRMULA MANUAL]","",IFERROR(AVERAGEIFS(DATOS!$K$2:$K$20000,DATOS!$A$2:$A$20000,G366,DATOS!$G$2:$G$20000,CONFIG_METADATA!$B$4,DATOS!$I$2:$I$20000,"Lenguaje Musical"),"")))</f>
        <v/>
      </c>
      <c r="I366" t="str">
        <f>IF(G366="","",IF(G366="[FÓRMULA MANUAL]","",IFERROR(AVERAGEIFS(DATOS!$K$2:$K$20000,DATOS!$A$2:$A$20000,G366,DATOS!$G$2:$G$20000,CONFIG_METADATA!$B$4,DATOS!$I$2:$I$20000,"Orquesta/Banda/Conjunto"),"")))</f>
        <v/>
      </c>
      <c r="J366" t="str">
        <f>IF(G366="","",IF(G366="[FÓRMULA MANUAL]","",IFERROR(AVERAGEIFS(DATOS!$K$2:$K$20000,DATOS!$A$2:$A$20000,G366,DATOS!$G$2:$G$20000,CONFIG_METADATA!$B$4,DATOS!$I$2:$I$20000,"Conjunto"),"")))</f>
        <v/>
      </c>
      <c r="K366" t="str">
        <f>IF(G366="","",IF(G366="[FÓRMULA MANUAL]","",IFERROR(SUMPRODUCT((DATOS!$A$2:$A$20000=G366)*(DATOS!$G$2:$G$20000=CONFIG_METADATA!$B$4)*(COUNTIF(CONFIG_ASIGNATURAS!$B$7:$B$27,DATOS!$I$2:$I$20000)&gt;0)*(DATOS!$K$2:$K$20000))/SUMPRODUCT((DATOS!$A$2:$A$20000=G366)*(DATOS!$G$2:$G$20000=CONFIG_METADATA!$B$4)*(COUNTIF(CONFIG_ASIGNATURAS!$B$7:$B$27,DATOS!$I$2:$I$20000)&gt;0)*1),"")))</f>
        <v/>
      </c>
      <c r="N366" t="str">
        <f>IF(M366="","",IF(M366="[FÓRMULA MANUAL]","",IFERROR(AVERAGEIFS(DATOS!$K$2:$K$20000,DATOS!$A$2:$A$20000,M366,DATOS!$G$2:$G$20000,CONFIG_METADATA!$B$4,DATOS!$I$2:$I$20000,"Armonía"),"")))</f>
        <v/>
      </c>
      <c r="O366" t="str">
        <f>IF(M366="","",IF(M366="[FÓRMULA MANUAL]","",IFERROR(AVERAGEIFS(DATOS!$K$2:$K$20000,DATOS!$A$2:$A$20000,M366,DATOS!$G$2:$G$20000,CONFIG_METADATA!$B$4,DATOS!$I$2:$I$20000,"Orquesta/Banda/Conjunto"),"")))</f>
        <v/>
      </c>
      <c r="P366" t="str">
        <f>IF(M366="","",IF(M366="[FÓRMULA MANUAL]","",IFERROR(AVERAGEIFS(DATOS!$K$2:$K$20000,DATOS!$A$2:$A$20000,M366,DATOS!$G$2:$G$20000,CONFIG_METADATA!$B$4,DATOS!$I$2:$I$20000,"Música de Cámara"),"")))</f>
        <v/>
      </c>
      <c r="Q366" t="str">
        <f>IF(M366="","",IF(M366="[FÓRMULA MANUAL]","",IFERROR(SUMPRODUCT((DATOS!$A$2:$A$20000=M366)*(DATOS!$G$2:$G$20000=CONFIG_METADATA!$B$4)*(COUNTIF(CONFIG_ASIGNATURAS!$B$7:$B$27,DATOS!$I$2:$I$20000)&gt;0)*(DATOS!$K$2:$K$20000))/SUMPRODUCT((DATOS!$A$2:$A$20000=M366)*(DATOS!$G$2:$G$20000=CONFIG_METADATA!$B$4)*(COUNTIF(CONFIG_ASIGNATURAS!$B$7:$B$27,DATOS!$I$2:$I$20000)&gt;0)*1),"")))</f>
        <v/>
      </c>
      <c r="T366" t="str">
        <f>IF(S366="","",IF(S366="[FÓRMULA MANUAL]","",IFERROR(AVERAGEIFS(DATOS!$K$2:$K$20000,DATOS!$A$2:$A$20000,S366,DATOS!$G$2:$G$20000,CONFIG_METADATA!$B$4,DATOS!$I$2:$I$20000,"Armonía"),"")))</f>
        <v/>
      </c>
      <c r="U366" t="str">
        <f>IF(S366="","",IF(S366="[FÓRMULA MANUAL]","",IFERROR(AVERAGEIFS(DATOS!$K$2:$K$20000,DATOS!$A$2:$A$20000,S366,DATOS!$G$2:$G$20000,CONFIG_METADATA!$B$4,DATOS!$I$2:$I$20000,"Orquesta/Banda/Conjunto"),"")))</f>
        <v/>
      </c>
      <c r="V366" t="str">
        <f>IF(S366="","",IF(S366="[FÓRMULA MANUAL]","",IFERROR(AVERAGEIFS(DATOS!$K$2:$K$20000,DATOS!$A$2:$A$20000,S366,DATOS!$G$2:$G$20000,CONFIG_METADATA!$B$4,DATOS!$I$2:$I$20000,"Música de Cámara"),"")))</f>
        <v/>
      </c>
      <c r="W366" t="str">
        <f>IF(S366="","",IF(S366="[FÓRMULA MANUAL]","",IFERROR(SUMPRODUCT((DATOS!$A$2:$A$20000=S366)*(DATOS!$G$2:$G$20000=CONFIG_METADATA!$B$4)*(COUNTIF(CONFIG_ASIGNATURAS!$B$7:$B$27,DATOS!$I$2:$I$20000)&gt;0)*(DATOS!$K$2:$K$20000))/SUMPRODUCT((DATOS!$A$2:$A$20000=S366)*(DATOS!$G$2:$G$20000=CONFIG_METADATA!$B$4)*(COUNTIF(CONFIG_ASIGNATURAS!$B$7:$B$27,DATOS!$I$2:$I$20000)&gt;0)*1),"")))</f>
        <v/>
      </c>
      <c r="Z366" t="str">
        <f>IF(Y366="","",IF(Y366="[FÓRMULA MANUAL]","",IFERROR(AVERAGEIFS(DATOS!$K$2:$K$20000,DATOS!$A$2:$A$20000,Y366,DATOS!$G$2:$G$20000,CONFIG_METADATA!$B$4,DATOS!$I$2:$I$20000,"Análisis"),"")))</f>
        <v/>
      </c>
      <c r="AA366" t="str">
        <f>IF(Y366="","",IF(Y366="[FÓRMULA MANUAL]","",IFERROR(AVERAGEIFS(DATOS!$K$2:$K$20000,DATOS!$A$2:$A$20000,Y366,DATOS!$G$2:$G$20000,CONFIG_METADATA!$B$4,DATOS!$I$2:$I$20000,"Orquesta/Banda/Conjunto"),"")))</f>
        <v/>
      </c>
      <c r="AB366" t="str">
        <f>IF(Y366="","",IF(Y366="[FÓRMULA MANUAL]","",IFERROR(AVERAGEIFS(DATOS!$K$2:$K$20000,DATOS!$A$2:$A$20000,Y366,DATOS!$G$2:$G$20000,CONFIG_METADATA!$B$4,DATOS!$I$2:$I$20000,"Música de Cámara"),"")))</f>
        <v/>
      </c>
      <c r="AC366" t="str">
        <f>IF(Y366="","",IF(Y366="[FÓRMULA MANUAL]","",IFERROR(SUMPRODUCT((DATOS!$A$2:$A$20000=Y366)*(DATOS!$G$2:$G$20000=CONFIG_METADATA!$B$4)*(COUNTIF(CONFIG_ASIGNATURAS!$B$7:$B$27,DATOS!$I$2:$I$20000)&gt;0)*(DATOS!$K$2:$K$20000))/SUMPRODUCT((DATOS!$A$2:$A$20000=Y366)*(DATOS!$G$2:$G$20000=CONFIG_METADATA!$B$4)*(COUNTIF(CONFIG_ASIGNATURAS!$B$7:$B$27,DATOS!$I$2:$I$20000)&gt;0)*1),"")))</f>
        <v/>
      </c>
      <c r="AF366" t="str">
        <f>IF(AE366="","",IF(AE366="[FÓRMULA MANUAL]","",IFERROR(AVERAGEIFS(DATOS!$K$2:$K$20000,DATOS!$A$2:$A$20000,AE366,DATOS!$G$2:$G$20000,CONFIG_METADATA!$B$4,DATOS!$I$2:$I$20000,"Análisis"),"")))</f>
        <v/>
      </c>
      <c r="AG366" t="str">
        <f>IF(AE366="","",IF(AE366="[FÓRMULA MANUAL]","",IFERROR(AVERAGEIFS(DATOS!$K$2:$K$20000,DATOS!$A$2:$A$20000,AE366,DATOS!$G$2:$G$20000,CONFIG_METADATA!$B$4,DATOS!$I$2:$I$20000,"Orquesta/Banda/Conjunto"),"")))</f>
        <v/>
      </c>
      <c r="AH366" t="str">
        <f>IF(AE366="","",IF(AE366="[FÓRMULA MANUAL]","",IFERROR(AVERAGEIFS(DATOS!$K$2:$K$20000,DATOS!$A$2:$A$20000,AE366,DATOS!$G$2:$G$20000,CONFIG_METADATA!$B$4,DATOS!$I$2:$I$20000,"Música de Cámara"),"")))</f>
        <v/>
      </c>
      <c r="AI366" t="str">
        <f>IF(AE366="","",IF(AE366="[FÓRMULA MANUAL]","",IFERROR(SUMPRODUCT((DATOS!$A$2:$A$20000=AE366)*(DATOS!$G$2:$G$20000=CONFIG_METADATA!$B$4)*(COUNTIF(CONFIG_ASIGNATURAS!$B$7:$B$27,DATOS!$I$2:$I$20000)&gt;0)*(DATOS!$K$2:$K$20000))/SUMPRODUCT((DATOS!$A$2:$A$20000=AE366)*(DATOS!$G$2:$G$20000=CONFIG_METADATA!$B$4)*(COUNTIF(CONFIG_ASIGNATURAS!$B$7:$B$27,DATOS!$I$2:$I$20000)&gt;0)*1),"")))</f>
        <v/>
      </c>
    </row>
    <row r="367" spans="2:35" x14ac:dyDescent="0.2">
      <c r="B367" t="str">
        <f>IF(A367="","",IF(A367="[FÓRMULA MANUAL]","",IFERROR(AVERAGEIFS(DATOS!$K$2:$K$20000,DATOS!$A$2:$A$20000,A367,DATOS!$G$2:$G$20000,CONFIG_METADATA!$B$4,DATOS!$I$2:$I$20000,"Lenguaje Musical"),"")))</f>
        <v/>
      </c>
      <c r="C367" t="str">
        <f>IF(A367="","",IF(A367="[FÓRMULA MANUAL]","",IFERROR(AVERAGEIFS(DATOS!$K$2:$K$20000,DATOS!$A$2:$A$20000,A367,DATOS!$G$2:$G$20000,CONFIG_METADATA!$B$4,DATOS!$I$2:$I$20000,"Orquesta/Banda/Conjunto"),"")))</f>
        <v/>
      </c>
      <c r="D367" t="str">
        <f>IF(A367="","",IF(A367="[FÓRMULA MANUAL]","",IFERROR(AVERAGEIFS(DATOS!$K$2:$K$20000,DATOS!$A$2:$A$20000,A367,DATOS!$G$2:$G$20000,CONFIG_METADATA!$B$4,DATOS!$I$2:$I$20000,"Conjunto"),"")))</f>
        <v/>
      </c>
      <c r="E367" t="str">
        <f>IF(A367="","",IF(A367="[FÓRMULA MANUAL]","",IFERROR(SUMPRODUCT((DATOS!$A$2:$A$20000=A367)*(DATOS!$G$2:$G$20000=CONFIG_METADATA!$B$4)*(COUNTIF(CONFIG_ASIGNATURAS!$B$7:$B$27,DATOS!$I$2:$I$20000)&gt;0)*(DATOS!$K$2:$K$20000))/SUMPRODUCT((DATOS!$A$2:$A$20000=A367)*(DATOS!$G$2:$G$20000=CONFIG_METADATA!$B$4)*(COUNTIF(CONFIG_ASIGNATURAS!$B$7:$B$27,DATOS!$I$2:$I$20000)&gt;0)*1),"")))</f>
        <v/>
      </c>
      <c r="H367" t="str">
        <f>IF(G367="","",IF(G367="[FÓRMULA MANUAL]","",IFERROR(AVERAGEIFS(DATOS!$K$2:$K$20000,DATOS!$A$2:$A$20000,G367,DATOS!$G$2:$G$20000,CONFIG_METADATA!$B$4,DATOS!$I$2:$I$20000,"Lenguaje Musical"),"")))</f>
        <v/>
      </c>
      <c r="I367" t="str">
        <f>IF(G367="","",IF(G367="[FÓRMULA MANUAL]","",IFERROR(AVERAGEIFS(DATOS!$K$2:$K$20000,DATOS!$A$2:$A$20000,G367,DATOS!$G$2:$G$20000,CONFIG_METADATA!$B$4,DATOS!$I$2:$I$20000,"Orquesta/Banda/Conjunto"),"")))</f>
        <v/>
      </c>
      <c r="J367" t="str">
        <f>IF(G367="","",IF(G367="[FÓRMULA MANUAL]","",IFERROR(AVERAGEIFS(DATOS!$K$2:$K$20000,DATOS!$A$2:$A$20000,G367,DATOS!$G$2:$G$20000,CONFIG_METADATA!$B$4,DATOS!$I$2:$I$20000,"Conjunto"),"")))</f>
        <v/>
      </c>
      <c r="K367" t="str">
        <f>IF(G367="","",IF(G367="[FÓRMULA MANUAL]","",IFERROR(SUMPRODUCT((DATOS!$A$2:$A$20000=G367)*(DATOS!$G$2:$G$20000=CONFIG_METADATA!$B$4)*(COUNTIF(CONFIG_ASIGNATURAS!$B$7:$B$27,DATOS!$I$2:$I$20000)&gt;0)*(DATOS!$K$2:$K$20000))/SUMPRODUCT((DATOS!$A$2:$A$20000=G367)*(DATOS!$G$2:$G$20000=CONFIG_METADATA!$B$4)*(COUNTIF(CONFIG_ASIGNATURAS!$B$7:$B$27,DATOS!$I$2:$I$20000)&gt;0)*1),"")))</f>
        <v/>
      </c>
      <c r="N367" t="str">
        <f>IF(M367="","",IF(M367="[FÓRMULA MANUAL]","",IFERROR(AVERAGEIFS(DATOS!$K$2:$K$20000,DATOS!$A$2:$A$20000,M367,DATOS!$G$2:$G$20000,CONFIG_METADATA!$B$4,DATOS!$I$2:$I$20000,"Armonía"),"")))</f>
        <v/>
      </c>
      <c r="O367" t="str">
        <f>IF(M367="","",IF(M367="[FÓRMULA MANUAL]","",IFERROR(AVERAGEIFS(DATOS!$K$2:$K$20000,DATOS!$A$2:$A$20000,M367,DATOS!$G$2:$G$20000,CONFIG_METADATA!$B$4,DATOS!$I$2:$I$20000,"Orquesta/Banda/Conjunto"),"")))</f>
        <v/>
      </c>
      <c r="P367" t="str">
        <f>IF(M367="","",IF(M367="[FÓRMULA MANUAL]","",IFERROR(AVERAGEIFS(DATOS!$K$2:$K$20000,DATOS!$A$2:$A$20000,M367,DATOS!$G$2:$G$20000,CONFIG_METADATA!$B$4,DATOS!$I$2:$I$20000,"Música de Cámara"),"")))</f>
        <v/>
      </c>
      <c r="Q367" t="str">
        <f>IF(M367="","",IF(M367="[FÓRMULA MANUAL]","",IFERROR(SUMPRODUCT((DATOS!$A$2:$A$20000=M367)*(DATOS!$G$2:$G$20000=CONFIG_METADATA!$B$4)*(COUNTIF(CONFIG_ASIGNATURAS!$B$7:$B$27,DATOS!$I$2:$I$20000)&gt;0)*(DATOS!$K$2:$K$20000))/SUMPRODUCT((DATOS!$A$2:$A$20000=M367)*(DATOS!$G$2:$G$20000=CONFIG_METADATA!$B$4)*(COUNTIF(CONFIG_ASIGNATURAS!$B$7:$B$27,DATOS!$I$2:$I$20000)&gt;0)*1),"")))</f>
        <v/>
      </c>
      <c r="T367" t="str">
        <f>IF(S367="","",IF(S367="[FÓRMULA MANUAL]","",IFERROR(AVERAGEIFS(DATOS!$K$2:$K$20000,DATOS!$A$2:$A$20000,S367,DATOS!$G$2:$G$20000,CONFIG_METADATA!$B$4,DATOS!$I$2:$I$20000,"Armonía"),"")))</f>
        <v/>
      </c>
      <c r="U367" t="str">
        <f>IF(S367="","",IF(S367="[FÓRMULA MANUAL]","",IFERROR(AVERAGEIFS(DATOS!$K$2:$K$20000,DATOS!$A$2:$A$20000,S367,DATOS!$G$2:$G$20000,CONFIG_METADATA!$B$4,DATOS!$I$2:$I$20000,"Orquesta/Banda/Conjunto"),"")))</f>
        <v/>
      </c>
      <c r="V367" t="str">
        <f>IF(S367="","",IF(S367="[FÓRMULA MANUAL]","",IFERROR(AVERAGEIFS(DATOS!$K$2:$K$20000,DATOS!$A$2:$A$20000,S367,DATOS!$G$2:$G$20000,CONFIG_METADATA!$B$4,DATOS!$I$2:$I$20000,"Música de Cámara"),"")))</f>
        <v/>
      </c>
      <c r="W367" t="str">
        <f>IF(S367="","",IF(S367="[FÓRMULA MANUAL]","",IFERROR(SUMPRODUCT((DATOS!$A$2:$A$20000=S367)*(DATOS!$G$2:$G$20000=CONFIG_METADATA!$B$4)*(COUNTIF(CONFIG_ASIGNATURAS!$B$7:$B$27,DATOS!$I$2:$I$20000)&gt;0)*(DATOS!$K$2:$K$20000))/SUMPRODUCT((DATOS!$A$2:$A$20000=S367)*(DATOS!$G$2:$G$20000=CONFIG_METADATA!$B$4)*(COUNTIF(CONFIG_ASIGNATURAS!$B$7:$B$27,DATOS!$I$2:$I$20000)&gt;0)*1),"")))</f>
        <v/>
      </c>
      <c r="Z367" t="str">
        <f>IF(Y367="","",IF(Y367="[FÓRMULA MANUAL]","",IFERROR(AVERAGEIFS(DATOS!$K$2:$K$20000,DATOS!$A$2:$A$20000,Y367,DATOS!$G$2:$G$20000,CONFIG_METADATA!$B$4,DATOS!$I$2:$I$20000,"Análisis"),"")))</f>
        <v/>
      </c>
      <c r="AA367" t="str">
        <f>IF(Y367="","",IF(Y367="[FÓRMULA MANUAL]","",IFERROR(AVERAGEIFS(DATOS!$K$2:$K$20000,DATOS!$A$2:$A$20000,Y367,DATOS!$G$2:$G$20000,CONFIG_METADATA!$B$4,DATOS!$I$2:$I$20000,"Orquesta/Banda/Conjunto"),"")))</f>
        <v/>
      </c>
      <c r="AB367" t="str">
        <f>IF(Y367="","",IF(Y367="[FÓRMULA MANUAL]","",IFERROR(AVERAGEIFS(DATOS!$K$2:$K$20000,DATOS!$A$2:$A$20000,Y367,DATOS!$G$2:$G$20000,CONFIG_METADATA!$B$4,DATOS!$I$2:$I$20000,"Música de Cámara"),"")))</f>
        <v/>
      </c>
      <c r="AC367" t="str">
        <f>IF(Y367="","",IF(Y367="[FÓRMULA MANUAL]","",IFERROR(SUMPRODUCT((DATOS!$A$2:$A$20000=Y367)*(DATOS!$G$2:$G$20000=CONFIG_METADATA!$B$4)*(COUNTIF(CONFIG_ASIGNATURAS!$B$7:$B$27,DATOS!$I$2:$I$20000)&gt;0)*(DATOS!$K$2:$K$20000))/SUMPRODUCT((DATOS!$A$2:$A$20000=Y367)*(DATOS!$G$2:$G$20000=CONFIG_METADATA!$B$4)*(COUNTIF(CONFIG_ASIGNATURAS!$B$7:$B$27,DATOS!$I$2:$I$20000)&gt;0)*1),"")))</f>
        <v/>
      </c>
      <c r="AF367" t="str">
        <f>IF(AE367="","",IF(AE367="[FÓRMULA MANUAL]","",IFERROR(AVERAGEIFS(DATOS!$K$2:$K$20000,DATOS!$A$2:$A$20000,AE367,DATOS!$G$2:$G$20000,CONFIG_METADATA!$B$4,DATOS!$I$2:$I$20000,"Análisis"),"")))</f>
        <v/>
      </c>
      <c r="AG367" t="str">
        <f>IF(AE367="","",IF(AE367="[FÓRMULA MANUAL]","",IFERROR(AVERAGEIFS(DATOS!$K$2:$K$20000,DATOS!$A$2:$A$20000,AE367,DATOS!$G$2:$G$20000,CONFIG_METADATA!$B$4,DATOS!$I$2:$I$20000,"Orquesta/Banda/Conjunto"),"")))</f>
        <v/>
      </c>
      <c r="AH367" t="str">
        <f>IF(AE367="","",IF(AE367="[FÓRMULA MANUAL]","",IFERROR(AVERAGEIFS(DATOS!$K$2:$K$20000,DATOS!$A$2:$A$20000,AE367,DATOS!$G$2:$G$20000,CONFIG_METADATA!$B$4,DATOS!$I$2:$I$20000,"Música de Cámara"),"")))</f>
        <v/>
      </c>
      <c r="AI367" t="str">
        <f>IF(AE367="","",IF(AE367="[FÓRMULA MANUAL]","",IFERROR(SUMPRODUCT((DATOS!$A$2:$A$20000=AE367)*(DATOS!$G$2:$G$20000=CONFIG_METADATA!$B$4)*(COUNTIF(CONFIG_ASIGNATURAS!$B$7:$B$27,DATOS!$I$2:$I$20000)&gt;0)*(DATOS!$K$2:$K$20000))/SUMPRODUCT((DATOS!$A$2:$A$20000=AE367)*(DATOS!$G$2:$G$20000=CONFIG_METADATA!$B$4)*(COUNTIF(CONFIG_ASIGNATURAS!$B$7:$B$27,DATOS!$I$2:$I$20000)&gt;0)*1),"")))</f>
        <v/>
      </c>
    </row>
    <row r="368" spans="2:35" x14ac:dyDescent="0.2">
      <c r="B368" t="str">
        <f>IF(A368="","",IF(A368="[FÓRMULA MANUAL]","",IFERROR(AVERAGEIFS(DATOS!$K$2:$K$20000,DATOS!$A$2:$A$20000,A368,DATOS!$G$2:$G$20000,CONFIG_METADATA!$B$4,DATOS!$I$2:$I$20000,"Lenguaje Musical"),"")))</f>
        <v/>
      </c>
      <c r="C368" t="str">
        <f>IF(A368="","",IF(A368="[FÓRMULA MANUAL]","",IFERROR(AVERAGEIFS(DATOS!$K$2:$K$20000,DATOS!$A$2:$A$20000,A368,DATOS!$G$2:$G$20000,CONFIG_METADATA!$B$4,DATOS!$I$2:$I$20000,"Orquesta/Banda/Conjunto"),"")))</f>
        <v/>
      </c>
      <c r="D368" t="str">
        <f>IF(A368="","",IF(A368="[FÓRMULA MANUAL]","",IFERROR(AVERAGEIFS(DATOS!$K$2:$K$20000,DATOS!$A$2:$A$20000,A368,DATOS!$G$2:$G$20000,CONFIG_METADATA!$B$4,DATOS!$I$2:$I$20000,"Conjunto"),"")))</f>
        <v/>
      </c>
      <c r="E368" t="str">
        <f>IF(A368="","",IF(A368="[FÓRMULA MANUAL]","",IFERROR(SUMPRODUCT((DATOS!$A$2:$A$20000=A368)*(DATOS!$G$2:$G$20000=CONFIG_METADATA!$B$4)*(COUNTIF(CONFIG_ASIGNATURAS!$B$7:$B$27,DATOS!$I$2:$I$20000)&gt;0)*(DATOS!$K$2:$K$20000))/SUMPRODUCT((DATOS!$A$2:$A$20000=A368)*(DATOS!$G$2:$G$20000=CONFIG_METADATA!$B$4)*(COUNTIF(CONFIG_ASIGNATURAS!$B$7:$B$27,DATOS!$I$2:$I$20000)&gt;0)*1),"")))</f>
        <v/>
      </c>
      <c r="H368" t="str">
        <f>IF(G368="","",IF(G368="[FÓRMULA MANUAL]","",IFERROR(AVERAGEIFS(DATOS!$K$2:$K$20000,DATOS!$A$2:$A$20000,G368,DATOS!$G$2:$G$20000,CONFIG_METADATA!$B$4,DATOS!$I$2:$I$20000,"Lenguaje Musical"),"")))</f>
        <v/>
      </c>
      <c r="I368" t="str">
        <f>IF(G368="","",IF(G368="[FÓRMULA MANUAL]","",IFERROR(AVERAGEIFS(DATOS!$K$2:$K$20000,DATOS!$A$2:$A$20000,G368,DATOS!$G$2:$G$20000,CONFIG_METADATA!$B$4,DATOS!$I$2:$I$20000,"Orquesta/Banda/Conjunto"),"")))</f>
        <v/>
      </c>
      <c r="J368" t="str">
        <f>IF(G368="","",IF(G368="[FÓRMULA MANUAL]","",IFERROR(AVERAGEIFS(DATOS!$K$2:$K$20000,DATOS!$A$2:$A$20000,G368,DATOS!$G$2:$G$20000,CONFIG_METADATA!$B$4,DATOS!$I$2:$I$20000,"Conjunto"),"")))</f>
        <v/>
      </c>
      <c r="K368" t="str">
        <f>IF(G368="","",IF(G368="[FÓRMULA MANUAL]","",IFERROR(SUMPRODUCT((DATOS!$A$2:$A$20000=G368)*(DATOS!$G$2:$G$20000=CONFIG_METADATA!$B$4)*(COUNTIF(CONFIG_ASIGNATURAS!$B$7:$B$27,DATOS!$I$2:$I$20000)&gt;0)*(DATOS!$K$2:$K$20000))/SUMPRODUCT((DATOS!$A$2:$A$20000=G368)*(DATOS!$G$2:$G$20000=CONFIG_METADATA!$B$4)*(COUNTIF(CONFIG_ASIGNATURAS!$B$7:$B$27,DATOS!$I$2:$I$20000)&gt;0)*1),"")))</f>
        <v/>
      </c>
      <c r="N368" t="str">
        <f>IF(M368="","",IF(M368="[FÓRMULA MANUAL]","",IFERROR(AVERAGEIFS(DATOS!$K$2:$K$20000,DATOS!$A$2:$A$20000,M368,DATOS!$G$2:$G$20000,CONFIG_METADATA!$B$4,DATOS!$I$2:$I$20000,"Armonía"),"")))</f>
        <v/>
      </c>
      <c r="O368" t="str">
        <f>IF(M368="","",IF(M368="[FÓRMULA MANUAL]","",IFERROR(AVERAGEIFS(DATOS!$K$2:$K$20000,DATOS!$A$2:$A$20000,M368,DATOS!$G$2:$G$20000,CONFIG_METADATA!$B$4,DATOS!$I$2:$I$20000,"Orquesta/Banda/Conjunto"),"")))</f>
        <v/>
      </c>
      <c r="P368" t="str">
        <f>IF(M368="","",IF(M368="[FÓRMULA MANUAL]","",IFERROR(AVERAGEIFS(DATOS!$K$2:$K$20000,DATOS!$A$2:$A$20000,M368,DATOS!$G$2:$G$20000,CONFIG_METADATA!$B$4,DATOS!$I$2:$I$20000,"Música de Cámara"),"")))</f>
        <v/>
      </c>
      <c r="Q368" t="str">
        <f>IF(M368="","",IF(M368="[FÓRMULA MANUAL]","",IFERROR(SUMPRODUCT((DATOS!$A$2:$A$20000=M368)*(DATOS!$G$2:$G$20000=CONFIG_METADATA!$B$4)*(COUNTIF(CONFIG_ASIGNATURAS!$B$7:$B$27,DATOS!$I$2:$I$20000)&gt;0)*(DATOS!$K$2:$K$20000))/SUMPRODUCT((DATOS!$A$2:$A$20000=M368)*(DATOS!$G$2:$G$20000=CONFIG_METADATA!$B$4)*(COUNTIF(CONFIG_ASIGNATURAS!$B$7:$B$27,DATOS!$I$2:$I$20000)&gt;0)*1),"")))</f>
        <v/>
      </c>
      <c r="T368" t="str">
        <f>IF(S368="","",IF(S368="[FÓRMULA MANUAL]","",IFERROR(AVERAGEIFS(DATOS!$K$2:$K$20000,DATOS!$A$2:$A$20000,S368,DATOS!$G$2:$G$20000,CONFIG_METADATA!$B$4,DATOS!$I$2:$I$20000,"Armonía"),"")))</f>
        <v/>
      </c>
      <c r="U368" t="str">
        <f>IF(S368="","",IF(S368="[FÓRMULA MANUAL]","",IFERROR(AVERAGEIFS(DATOS!$K$2:$K$20000,DATOS!$A$2:$A$20000,S368,DATOS!$G$2:$G$20000,CONFIG_METADATA!$B$4,DATOS!$I$2:$I$20000,"Orquesta/Banda/Conjunto"),"")))</f>
        <v/>
      </c>
      <c r="V368" t="str">
        <f>IF(S368="","",IF(S368="[FÓRMULA MANUAL]","",IFERROR(AVERAGEIFS(DATOS!$K$2:$K$20000,DATOS!$A$2:$A$20000,S368,DATOS!$G$2:$G$20000,CONFIG_METADATA!$B$4,DATOS!$I$2:$I$20000,"Música de Cámara"),"")))</f>
        <v/>
      </c>
      <c r="W368" t="str">
        <f>IF(S368="","",IF(S368="[FÓRMULA MANUAL]","",IFERROR(SUMPRODUCT((DATOS!$A$2:$A$20000=S368)*(DATOS!$G$2:$G$20000=CONFIG_METADATA!$B$4)*(COUNTIF(CONFIG_ASIGNATURAS!$B$7:$B$27,DATOS!$I$2:$I$20000)&gt;0)*(DATOS!$K$2:$K$20000))/SUMPRODUCT((DATOS!$A$2:$A$20000=S368)*(DATOS!$G$2:$G$20000=CONFIG_METADATA!$B$4)*(COUNTIF(CONFIG_ASIGNATURAS!$B$7:$B$27,DATOS!$I$2:$I$20000)&gt;0)*1),"")))</f>
        <v/>
      </c>
      <c r="Z368" t="str">
        <f>IF(Y368="","",IF(Y368="[FÓRMULA MANUAL]","",IFERROR(AVERAGEIFS(DATOS!$K$2:$K$20000,DATOS!$A$2:$A$20000,Y368,DATOS!$G$2:$G$20000,CONFIG_METADATA!$B$4,DATOS!$I$2:$I$20000,"Análisis"),"")))</f>
        <v/>
      </c>
      <c r="AA368" t="str">
        <f>IF(Y368="","",IF(Y368="[FÓRMULA MANUAL]","",IFERROR(AVERAGEIFS(DATOS!$K$2:$K$20000,DATOS!$A$2:$A$20000,Y368,DATOS!$G$2:$G$20000,CONFIG_METADATA!$B$4,DATOS!$I$2:$I$20000,"Orquesta/Banda/Conjunto"),"")))</f>
        <v/>
      </c>
      <c r="AB368" t="str">
        <f>IF(Y368="","",IF(Y368="[FÓRMULA MANUAL]","",IFERROR(AVERAGEIFS(DATOS!$K$2:$K$20000,DATOS!$A$2:$A$20000,Y368,DATOS!$G$2:$G$20000,CONFIG_METADATA!$B$4,DATOS!$I$2:$I$20000,"Música de Cámara"),"")))</f>
        <v/>
      </c>
      <c r="AC368" t="str">
        <f>IF(Y368="","",IF(Y368="[FÓRMULA MANUAL]","",IFERROR(SUMPRODUCT((DATOS!$A$2:$A$20000=Y368)*(DATOS!$G$2:$G$20000=CONFIG_METADATA!$B$4)*(COUNTIF(CONFIG_ASIGNATURAS!$B$7:$B$27,DATOS!$I$2:$I$20000)&gt;0)*(DATOS!$K$2:$K$20000))/SUMPRODUCT((DATOS!$A$2:$A$20000=Y368)*(DATOS!$G$2:$G$20000=CONFIG_METADATA!$B$4)*(COUNTIF(CONFIG_ASIGNATURAS!$B$7:$B$27,DATOS!$I$2:$I$20000)&gt;0)*1),"")))</f>
        <v/>
      </c>
      <c r="AF368" t="str">
        <f>IF(AE368="","",IF(AE368="[FÓRMULA MANUAL]","",IFERROR(AVERAGEIFS(DATOS!$K$2:$K$20000,DATOS!$A$2:$A$20000,AE368,DATOS!$G$2:$G$20000,CONFIG_METADATA!$B$4,DATOS!$I$2:$I$20000,"Análisis"),"")))</f>
        <v/>
      </c>
      <c r="AG368" t="str">
        <f>IF(AE368="","",IF(AE368="[FÓRMULA MANUAL]","",IFERROR(AVERAGEIFS(DATOS!$K$2:$K$20000,DATOS!$A$2:$A$20000,AE368,DATOS!$G$2:$G$20000,CONFIG_METADATA!$B$4,DATOS!$I$2:$I$20000,"Orquesta/Banda/Conjunto"),"")))</f>
        <v/>
      </c>
      <c r="AH368" t="str">
        <f>IF(AE368="","",IF(AE368="[FÓRMULA MANUAL]","",IFERROR(AVERAGEIFS(DATOS!$K$2:$K$20000,DATOS!$A$2:$A$20000,AE368,DATOS!$G$2:$G$20000,CONFIG_METADATA!$B$4,DATOS!$I$2:$I$20000,"Música de Cámara"),"")))</f>
        <v/>
      </c>
      <c r="AI368" t="str">
        <f>IF(AE368="","",IF(AE368="[FÓRMULA MANUAL]","",IFERROR(SUMPRODUCT((DATOS!$A$2:$A$20000=AE368)*(DATOS!$G$2:$G$20000=CONFIG_METADATA!$B$4)*(COUNTIF(CONFIG_ASIGNATURAS!$B$7:$B$27,DATOS!$I$2:$I$20000)&gt;0)*(DATOS!$K$2:$K$20000))/SUMPRODUCT((DATOS!$A$2:$A$20000=AE368)*(DATOS!$G$2:$G$20000=CONFIG_METADATA!$B$4)*(COUNTIF(CONFIG_ASIGNATURAS!$B$7:$B$27,DATOS!$I$2:$I$20000)&gt;0)*1),"")))</f>
        <v/>
      </c>
    </row>
    <row r="369" spans="2:35" x14ac:dyDescent="0.2">
      <c r="B369" t="str">
        <f>IF(A369="","",IF(A369="[FÓRMULA MANUAL]","",IFERROR(AVERAGEIFS(DATOS!$K$2:$K$20000,DATOS!$A$2:$A$20000,A369,DATOS!$G$2:$G$20000,CONFIG_METADATA!$B$4,DATOS!$I$2:$I$20000,"Lenguaje Musical"),"")))</f>
        <v/>
      </c>
      <c r="C369" t="str">
        <f>IF(A369="","",IF(A369="[FÓRMULA MANUAL]","",IFERROR(AVERAGEIFS(DATOS!$K$2:$K$20000,DATOS!$A$2:$A$20000,A369,DATOS!$G$2:$G$20000,CONFIG_METADATA!$B$4,DATOS!$I$2:$I$20000,"Orquesta/Banda/Conjunto"),"")))</f>
        <v/>
      </c>
      <c r="D369" t="str">
        <f>IF(A369="","",IF(A369="[FÓRMULA MANUAL]","",IFERROR(AVERAGEIFS(DATOS!$K$2:$K$20000,DATOS!$A$2:$A$20000,A369,DATOS!$G$2:$G$20000,CONFIG_METADATA!$B$4,DATOS!$I$2:$I$20000,"Conjunto"),"")))</f>
        <v/>
      </c>
      <c r="E369" t="str">
        <f>IF(A369="","",IF(A369="[FÓRMULA MANUAL]","",IFERROR(SUMPRODUCT((DATOS!$A$2:$A$20000=A369)*(DATOS!$G$2:$G$20000=CONFIG_METADATA!$B$4)*(COUNTIF(CONFIG_ASIGNATURAS!$B$7:$B$27,DATOS!$I$2:$I$20000)&gt;0)*(DATOS!$K$2:$K$20000))/SUMPRODUCT((DATOS!$A$2:$A$20000=A369)*(DATOS!$G$2:$G$20000=CONFIG_METADATA!$B$4)*(COUNTIF(CONFIG_ASIGNATURAS!$B$7:$B$27,DATOS!$I$2:$I$20000)&gt;0)*1),"")))</f>
        <v/>
      </c>
      <c r="H369" t="str">
        <f>IF(G369="","",IF(G369="[FÓRMULA MANUAL]","",IFERROR(AVERAGEIFS(DATOS!$K$2:$K$20000,DATOS!$A$2:$A$20000,G369,DATOS!$G$2:$G$20000,CONFIG_METADATA!$B$4,DATOS!$I$2:$I$20000,"Lenguaje Musical"),"")))</f>
        <v/>
      </c>
      <c r="I369" t="str">
        <f>IF(G369="","",IF(G369="[FÓRMULA MANUAL]","",IFERROR(AVERAGEIFS(DATOS!$K$2:$K$20000,DATOS!$A$2:$A$20000,G369,DATOS!$G$2:$G$20000,CONFIG_METADATA!$B$4,DATOS!$I$2:$I$20000,"Orquesta/Banda/Conjunto"),"")))</f>
        <v/>
      </c>
      <c r="J369" t="str">
        <f>IF(G369="","",IF(G369="[FÓRMULA MANUAL]","",IFERROR(AVERAGEIFS(DATOS!$K$2:$K$20000,DATOS!$A$2:$A$20000,G369,DATOS!$G$2:$G$20000,CONFIG_METADATA!$B$4,DATOS!$I$2:$I$20000,"Conjunto"),"")))</f>
        <v/>
      </c>
      <c r="K369" t="str">
        <f>IF(G369="","",IF(G369="[FÓRMULA MANUAL]","",IFERROR(SUMPRODUCT((DATOS!$A$2:$A$20000=G369)*(DATOS!$G$2:$G$20000=CONFIG_METADATA!$B$4)*(COUNTIF(CONFIG_ASIGNATURAS!$B$7:$B$27,DATOS!$I$2:$I$20000)&gt;0)*(DATOS!$K$2:$K$20000))/SUMPRODUCT((DATOS!$A$2:$A$20000=G369)*(DATOS!$G$2:$G$20000=CONFIG_METADATA!$B$4)*(COUNTIF(CONFIG_ASIGNATURAS!$B$7:$B$27,DATOS!$I$2:$I$20000)&gt;0)*1),"")))</f>
        <v/>
      </c>
      <c r="N369" t="str">
        <f>IF(M369="","",IF(M369="[FÓRMULA MANUAL]","",IFERROR(AVERAGEIFS(DATOS!$K$2:$K$20000,DATOS!$A$2:$A$20000,M369,DATOS!$G$2:$G$20000,CONFIG_METADATA!$B$4,DATOS!$I$2:$I$20000,"Armonía"),"")))</f>
        <v/>
      </c>
      <c r="O369" t="str">
        <f>IF(M369="","",IF(M369="[FÓRMULA MANUAL]","",IFERROR(AVERAGEIFS(DATOS!$K$2:$K$20000,DATOS!$A$2:$A$20000,M369,DATOS!$G$2:$G$20000,CONFIG_METADATA!$B$4,DATOS!$I$2:$I$20000,"Orquesta/Banda/Conjunto"),"")))</f>
        <v/>
      </c>
      <c r="P369" t="str">
        <f>IF(M369="","",IF(M369="[FÓRMULA MANUAL]","",IFERROR(AVERAGEIFS(DATOS!$K$2:$K$20000,DATOS!$A$2:$A$20000,M369,DATOS!$G$2:$G$20000,CONFIG_METADATA!$B$4,DATOS!$I$2:$I$20000,"Música de Cámara"),"")))</f>
        <v/>
      </c>
      <c r="Q369" t="str">
        <f>IF(M369="","",IF(M369="[FÓRMULA MANUAL]","",IFERROR(SUMPRODUCT((DATOS!$A$2:$A$20000=M369)*(DATOS!$G$2:$G$20000=CONFIG_METADATA!$B$4)*(COUNTIF(CONFIG_ASIGNATURAS!$B$7:$B$27,DATOS!$I$2:$I$20000)&gt;0)*(DATOS!$K$2:$K$20000))/SUMPRODUCT((DATOS!$A$2:$A$20000=M369)*(DATOS!$G$2:$G$20000=CONFIG_METADATA!$B$4)*(COUNTIF(CONFIG_ASIGNATURAS!$B$7:$B$27,DATOS!$I$2:$I$20000)&gt;0)*1),"")))</f>
        <v/>
      </c>
      <c r="T369" t="str">
        <f>IF(S369="","",IF(S369="[FÓRMULA MANUAL]","",IFERROR(AVERAGEIFS(DATOS!$K$2:$K$20000,DATOS!$A$2:$A$20000,S369,DATOS!$G$2:$G$20000,CONFIG_METADATA!$B$4,DATOS!$I$2:$I$20000,"Armonía"),"")))</f>
        <v/>
      </c>
      <c r="U369" t="str">
        <f>IF(S369="","",IF(S369="[FÓRMULA MANUAL]","",IFERROR(AVERAGEIFS(DATOS!$K$2:$K$20000,DATOS!$A$2:$A$20000,S369,DATOS!$G$2:$G$20000,CONFIG_METADATA!$B$4,DATOS!$I$2:$I$20000,"Orquesta/Banda/Conjunto"),"")))</f>
        <v/>
      </c>
      <c r="V369" t="str">
        <f>IF(S369="","",IF(S369="[FÓRMULA MANUAL]","",IFERROR(AVERAGEIFS(DATOS!$K$2:$K$20000,DATOS!$A$2:$A$20000,S369,DATOS!$G$2:$G$20000,CONFIG_METADATA!$B$4,DATOS!$I$2:$I$20000,"Música de Cámara"),"")))</f>
        <v/>
      </c>
      <c r="W369" t="str">
        <f>IF(S369="","",IF(S369="[FÓRMULA MANUAL]","",IFERROR(SUMPRODUCT((DATOS!$A$2:$A$20000=S369)*(DATOS!$G$2:$G$20000=CONFIG_METADATA!$B$4)*(COUNTIF(CONFIG_ASIGNATURAS!$B$7:$B$27,DATOS!$I$2:$I$20000)&gt;0)*(DATOS!$K$2:$K$20000))/SUMPRODUCT((DATOS!$A$2:$A$20000=S369)*(DATOS!$G$2:$G$20000=CONFIG_METADATA!$B$4)*(COUNTIF(CONFIG_ASIGNATURAS!$B$7:$B$27,DATOS!$I$2:$I$20000)&gt;0)*1),"")))</f>
        <v/>
      </c>
      <c r="Z369" t="str">
        <f>IF(Y369="","",IF(Y369="[FÓRMULA MANUAL]","",IFERROR(AVERAGEIFS(DATOS!$K$2:$K$20000,DATOS!$A$2:$A$20000,Y369,DATOS!$G$2:$G$20000,CONFIG_METADATA!$B$4,DATOS!$I$2:$I$20000,"Análisis"),"")))</f>
        <v/>
      </c>
      <c r="AA369" t="str">
        <f>IF(Y369="","",IF(Y369="[FÓRMULA MANUAL]","",IFERROR(AVERAGEIFS(DATOS!$K$2:$K$20000,DATOS!$A$2:$A$20000,Y369,DATOS!$G$2:$G$20000,CONFIG_METADATA!$B$4,DATOS!$I$2:$I$20000,"Orquesta/Banda/Conjunto"),"")))</f>
        <v/>
      </c>
      <c r="AB369" t="str">
        <f>IF(Y369="","",IF(Y369="[FÓRMULA MANUAL]","",IFERROR(AVERAGEIFS(DATOS!$K$2:$K$20000,DATOS!$A$2:$A$20000,Y369,DATOS!$G$2:$G$20000,CONFIG_METADATA!$B$4,DATOS!$I$2:$I$20000,"Música de Cámara"),"")))</f>
        <v/>
      </c>
      <c r="AC369" t="str">
        <f>IF(Y369="","",IF(Y369="[FÓRMULA MANUAL]","",IFERROR(SUMPRODUCT((DATOS!$A$2:$A$20000=Y369)*(DATOS!$G$2:$G$20000=CONFIG_METADATA!$B$4)*(COUNTIF(CONFIG_ASIGNATURAS!$B$7:$B$27,DATOS!$I$2:$I$20000)&gt;0)*(DATOS!$K$2:$K$20000))/SUMPRODUCT((DATOS!$A$2:$A$20000=Y369)*(DATOS!$G$2:$G$20000=CONFIG_METADATA!$B$4)*(COUNTIF(CONFIG_ASIGNATURAS!$B$7:$B$27,DATOS!$I$2:$I$20000)&gt;0)*1),"")))</f>
        <v/>
      </c>
      <c r="AF369" t="str">
        <f>IF(AE369="","",IF(AE369="[FÓRMULA MANUAL]","",IFERROR(AVERAGEIFS(DATOS!$K$2:$K$20000,DATOS!$A$2:$A$20000,AE369,DATOS!$G$2:$G$20000,CONFIG_METADATA!$B$4,DATOS!$I$2:$I$20000,"Análisis"),"")))</f>
        <v/>
      </c>
      <c r="AG369" t="str">
        <f>IF(AE369="","",IF(AE369="[FÓRMULA MANUAL]","",IFERROR(AVERAGEIFS(DATOS!$K$2:$K$20000,DATOS!$A$2:$A$20000,AE369,DATOS!$G$2:$G$20000,CONFIG_METADATA!$B$4,DATOS!$I$2:$I$20000,"Orquesta/Banda/Conjunto"),"")))</f>
        <v/>
      </c>
      <c r="AH369" t="str">
        <f>IF(AE369="","",IF(AE369="[FÓRMULA MANUAL]","",IFERROR(AVERAGEIFS(DATOS!$K$2:$K$20000,DATOS!$A$2:$A$20000,AE369,DATOS!$G$2:$G$20000,CONFIG_METADATA!$B$4,DATOS!$I$2:$I$20000,"Música de Cámara"),"")))</f>
        <v/>
      </c>
      <c r="AI369" t="str">
        <f>IF(AE369="","",IF(AE369="[FÓRMULA MANUAL]","",IFERROR(SUMPRODUCT((DATOS!$A$2:$A$20000=AE369)*(DATOS!$G$2:$G$20000=CONFIG_METADATA!$B$4)*(COUNTIF(CONFIG_ASIGNATURAS!$B$7:$B$27,DATOS!$I$2:$I$20000)&gt;0)*(DATOS!$K$2:$K$20000))/SUMPRODUCT((DATOS!$A$2:$A$20000=AE369)*(DATOS!$G$2:$G$20000=CONFIG_METADATA!$B$4)*(COUNTIF(CONFIG_ASIGNATURAS!$B$7:$B$27,DATOS!$I$2:$I$20000)&gt;0)*1),"")))</f>
        <v/>
      </c>
    </row>
    <row r="370" spans="2:35" x14ac:dyDescent="0.2">
      <c r="B370" t="str">
        <f>IF(A370="","",IF(A370="[FÓRMULA MANUAL]","",IFERROR(AVERAGEIFS(DATOS!$K$2:$K$20000,DATOS!$A$2:$A$20000,A370,DATOS!$G$2:$G$20000,CONFIG_METADATA!$B$4,DATOS!$I$2:$I$20000,"Lenguaje Musical"),"")))</f>
        <v/>
      </c>
      <c r="C370" t="str">
        <f>IF(A370="","",IF(A370="[FÓRMULA MANUAL]","",IFERROR(AVERAGEIFS(DATOS!$K$2:$K$20000,DATOS!$A$2:$A$20000,A370,DATOS!$G$2:$G$20000,CONFIG_METADATA!$B$4,DATOS!$I$2:$I$20000,"Orquesta/Banda/Conjunto"),"")))</f>
        <v/>
      </c>
      <c r="D370" t="str">
        <f>IF(A370="","",IF(A370="[FÓRMULA MANUAL]","",IFERROR(AVERAGEIFS(DATOS!$K$2:$K$20000,DATOS!$A$2:$A$20000,A370,DATOS!$G$2:$G$20000,CONFIG_METADATA!$B$4,DATOS!$I$2:$I$20000,"Conjunto"),"")))</f>
        <v/>
      </c>
      <c r="E370" t="str">
        <f>IF(A370="","",IF(A370="[FÓRMULA MANUAL]","",IFERROR(SUMPRODUCT((DATOS!$A$2:$A$20000=A370)*(DATOS!$G$2:$G$20000=CONFIG_METADATA!$B$4)*(COUNTIF(CONFIG_ASIGNATURAS!$B$7:$B$27,DATOS!$I$2:$I$20000)&gt;0)*(DATOS!$K$2:$K$20000))/SUMPRODUCT((DATOS!$A$2:$A$20000=A370)*(DATOS!$G$2:$G$20000=CONFIG_METADATA!$B$4)*(COUNTIF(CONFIG_ASIGNATURAS!$B$7:$B$27,DATOS!$I$2:$I$20000)&gt;0)*1),"")))</f>
        <v/>
      </c>
      <c r="H370" t="str">
        <f>IF(G370="","",IF(G370="[FÓRMULA MANUAL]","",IFERROR(AVERAGEIFS(DATOS!$K$2:$K$20000,DATOS!$A$2:$A$20000,G370,DATOS!$G$2:$G$20000,CONFIG_METADATA!$B$4,DATOS!$I$2:$I$20000,"Lenguaje Musical"),"")))</f>
        <v/>
      </c>
      <c r="I370" t="str">
        <f>IF(G370="","",IF(G370="[FÓRMULA MANUAL]","",IFERROR(AVERAGEIFS(DATOS!$K$2:$K$20000,DATOS!$A$2:$A$20000,G370,DATOS!$G$2:$G$20000,CONFIG_METADATA!$B$4,DATOS!$I$2:$I$20000,"Orquesta/Banda/Conjunto"),"")))</f>
        <v/>
      </c>
      <c r="J370" t="str">
        <f>IF(G370="","",IF(G370="[FÓRMULA MANUAL]","",IFERROR(AVERAGEIFS(DATOS!$K$2:$K$20000,DATOS!$A$2:$A$20000,G370,DATOS!$G$2:$G$20000,CONFIG_METADATA!$B$4,DATOS!$I$2:$I$20000,"Conjunto"),"")))</f>
        <v/>
      </c>
      <c r="K370" t="str">
        <f>IF(G370="","",IF(G370="[FÓRMULA MANUAL]","",IFERROR(SUMPRODUCT((DATOS!$A$2:$A$20000=G370)*(DATOS!$G$2:$G$20000=CONFIG_METADATA!$B$4)*(COUNTIF(CONFIG_ASIGNATURAS!$B$7:$B$27,DATOS!$I$2:$I$20000)&gt;0)*(DATOS!$K$2:$K$20000))/SUMPRODUCT((DATOS!$A$2:$A$20000=G370)*(DATOS!$G$2:$G$20000=CONFIG_METADATA!$B$4)*(COUNTIF(CONFIG_ASIGNATURAS!$B$7:$B$27,DATOS!$I$2:$I$20000)&gt;0)*1),"")))</f>
        <v/>
      </c>
      <c r="N370" t="str">
        <f>IF(M370="","",IF(M370="[FÓRMULA MANUAL]","",IFERROR(AVERAGEIFS(DATOS!$K$2:$K$20000,DATOS!$A$2:$A$20000,M370,DATOS!$G$2:$G$20000,CONFIG_METADATA!$B$4,DATOS!$I$2:$I$20000,"Armonía"),"")))</f>
        <v/>
      </c>
      <c r="O370" t="str">
        <f>IF(M370="","",IF(M370="[FÓRMULA MANUAL]","",IFERROR(AVERAGEIFS(DATOS!$K$2:$K$20000,DATOS!$A$2:$A$20000,M370,DATOS!$G$2:$G$20000,CONFIG_METADATA!$B$4,DATOS!$I$2:$I$20000,"Orquesta/Banda/Conjunto"),"")))</f>
        <v/>
      </c>
      <c r="P370" t="str">
        <f>IF(M370="","",IF(M370="[FÓRMULA MANUAL]","",IFERROR(AVERAGEIFS(DATOS!$K$2:$K$20000,DATOS!$A$2:$A$20000,M370,DATOS!$G$2:$G$20000,CONFIG_METADATA!$B$4,DATOS!$I$2:$I$20000,"Música de Cámara"),"")))</f>
        <v/>
      </c>
      <c r="Q370" t="str">
        <f>IF(M370="","",IF(M370="[FÓRMULA MANUAL]","",IFERROR(SUMPRODUCT((DATOS!$A$2:$A$20000=M370)*(DATOS!$G$2:$G$20000=CONFIG_METADATA!$B$4)*(COUNTIF(CONFIG_ASIGNATURAS!$B$7:$B$27,DATOS!$I$2:$I$20000)&gt;0)*(DATOS!$K$2:$K$20000))/SUMPRODUCT((DATOS!$A$2:$A$20000=M370)*(DATOS!$G$2:$G$20000=CONFIG_METADATA!$B$4)*(COUNTIF(CONFIG_ASIGNATURAS!$B$7:$B$27,DATOS!$I$2:$I$20000)&gt;0)*1),"")))</f>
        <v/>
      </c>
      <c r="T370" t="str">
        <f>IF(S370="","",IF(S370="[FÓRMULA MANUAL]","",IFERROR(AVERAGEIFS(DATOS!$K$2:$K$20000,DATOS!$A$2:$A$20000,S370,DATOS!$G$2:$G$20000,CONFIG_METADATA!$B$4,DATOS!$I$2:$I$20000,"Armonía"),"")))</f>
        <v/>
      </c>
      <c r="U370" t="str">
        <f>IF(S370="","",IF(S370="[FÓRMULA MANUAL]","",IFERROR(AVERAGEIFS(DATOS!$K$2:$K$20000,DATOS!$A$2:$A$20000,S370,DATOS!$G$2:$G$20000,CONFIG_METADATA!$B$4,DATOS!$I$2:$I$20000,"Orquesta/Banda/Conjunto"),"")))</f>
        <v/>
      </c>
      <c r="V370" t="str">
        <f>IF(S370="","",IF(S370="[FÓRMULA MANUAL]","",IFERROR(AVERAGEIFS(DATOS!$K$2:$K$20000,DATOS!$A$2:$A$20000,S370,DATOS!$G$2:$G$20000,CONFIG_METADATA!$B$4,DATOS!$I$2:$I$20000,"Música de Cámara"),"")))</f>
        <v/>
      </c>
      <c r="W370" t="str">
        <f>IF(S370="","",IF(S370="[FÓRMULA MANUAL]","",IFERROR(SUMPRODUCT((DATOS!$A$2:$A$20000=S370)*(DATOS!$G$2:$G$20000=CONFIG_METADATA!$B$4)*(COUNTIF(CONFIG_ASIGNATURAS!$B$7:$B$27,DATOS!$I$2:$I$20000)&gt;0)*(DATOS!$K$2:$K$20000))/SUMPRODUCT((DATOS!$A$2:$A$20000=S370)*(DATOS!$G$2:$G$20000=CONFIG_METADATA!$B$4)*(COUNTIF(CONFIG_ASIGNATURAS!$B$7:$B$27,DATOS!$I$2:$I$20000)&gt;0)*1),"")))</f>
        <v/>
      </c>
      <c r="Z370" t="str">
        <f>IF(Y370="","",IF(Y370="[FÓRMULA MANUAL]","",IFERROR(AVERAGEIFS(DATOS!$K$2:$K$20000,DATOS!$A$2:$A$20000,Y370,DATOS!$G$2:$G$20000,CONFIG_METADATA!$B$4,DATOS!$I$2:$I$20000,"Análisis"),"")))</f>
        <v/>
      </c>
      <c r="AA370" t="str">
        <f>IF(Y370="","",IF(Y370="[FÓRMULA MANUAL]","",IFERROR(AVERAGEIFS(DATOS!$K$2:$K$20000,DATOS!$A$2:$A$20000,Y370,DATOS!$G$2:$G$20000,CONFIG_METADATA!$B$4,DATOS!$I$2:$I$20000,"Orquesta/Banda/Conjunto"),"")))</f>
        <v/>
      </c>
      <c r="AB370" t="str">
        <f>IF(Y370="","",IF(Y370="[FÓRMULA MANUAL]","",IFERROR(AVERAGEIFS(DATOS!$K$2:$K$20000,DATOS!$A$2:$A$20000,Y370,DATOS!$G$2:$G$20000,CONFIG_METADATA!$B$4,DATOS!$I$2:$I$20000,"Música de Cámara"),"")))</f>
        <v/>
      </c>
      <c r="AC370" t="str">
        <f>IF(Y370="","",IF(Y370="[FÓRMULA MANUAL]","",IFERROR(SUMPRODUCT((DATOS!$A$2:$A$20000=Y370)*(DATOS!$G$2:$G$20000=CONFIG_METADATA!$B$4)*(COUNTIF(CONFIG_ASIGNATURAS!$B$7:$B$27,DATOS!$I$2:$I$20000)&gt;0)*(DATOS!$K$2:$K$20000))/SUMPRODUCT((DATOS!$A$2:$A$20000=Y370)*(DATOS!$G$2:$G$20000=CONFIG_METADATA!$B$4)*(COUNTIF(CONFIG_ASIGNATURAS!$B$7:$B$27,DATOS!$I$2:$I$20000)&gt;0)*1),"")))</f>
        <v/>
      </c>
      <c r="AF370" t="str">
        <f>IF(AE370="","",IF(AE370="[FÓRMULA MANUAL]","",IFERROR(AVERAGEIFS(DATOS!$K$2:$K$20000,DATOS!$A$2:$A$20000,AE370,DATOS!$G$2:$G$20000,CONFIG_METADATA!$B$4,DATOS!$I$2:$I$20000,"Análisis"),"")))</f>
        <v/>
      </c>
      <c r="AG370" t="str">
        <f>IF(AE370="","",IF(AE370="[FÓRMULA MANUAL]","",IFERROR(AVERAGEIFS(DATOS!$K$2:$K$20000,DATOS!$A$2:$A$20000,AE370,DATOS!$G$2:$G$20000,CONFIG_METADATA!$B$4,DATOS!$I$2:$I$20000,"Orquesta/Banda/Conjunto"),"")))</f>
        <v/>
      </c>
      <c r="AH370" t="str">
        <f>IF(AE370="","",IF(AE370="[FÓRMULA MANUAL]","",IFERROR(AVERAGEIFS(DATOS!$K$2:$K$20000,DATOS!$A$2:$A$20000,AE370,DATOS!$G$2:$G$20000,CONFIG_METADATA!$B$4,DATOS!$I$2:$I$20000,"Música de Cámara"),"")))</f>
        <v/>
      </c>
      <c r="AI370" t="str">
        <f>IF(AE370="","",IF(AE370="[FÓRMULA MANUAL]","",IFERROR(SUMPRODUCT((DATOS!$A$2:$A$20000=AE370)*(DATOS!$G$2:$G$20000=CONFIG_METADATA!$B$4)*(COUNTIF(CONFIG_ASIGNATURAS!$B$7:$B$27,DATOS!$I$2:$I$20000)&gt;0)*(DATOS!$K$2:$K$20000))/SUMPRODUCT((DATOS!$A$2:$A$20000=AE370)*(DATOS!$G$2:$G$20000=CONFIG_METADATA!$B$4)*(COUNTIF(CONFIG_ASIGNATURAS!$B$7:$B$27,DATOS!$I$2:$I$20000)&gt;0)*1),"")))</f>
        <v/>
      </c>
    </row>
    <row r="371" spans="2:35" x14ac:dyDescent="0.2">
      <c r="B371" t="str">
        <f>IF(A371="","",IF(A371="[FÓRMULA MANUAL]","",IFERROR(AVERAGEIFS(DATOS!$K$2:$K$20000,DATOS!$A$2:$A$20000,A371,DATOS!$G$2:$G$20000,CONFIG_METADATA!$B$4,DATOS!$I$2:$I$20000,"Lenguaje Musical"),"")))</f>
        <v/>
      </c>
      <c r="C371" t="str">
        <f>IF(A371="","",IF(A371="[FÓRMULA MANUAL]","",IFERROR(AVERAGEIFS(DATOS!$K$2:$K$20000,DATOS!$A$2:$A$20000,A371,DATOS!$G$2:$G$20000,CONFIG_METADATA!$B$4,DATOS!$I$2:$I$20000,"Orquesta/Banda/Conjunto"),"")))</f>
        <v/>
      </c>
      <c r="D371" t="str">
        <f>IF(A371="","",IF(A371="[FÓRMULA MANUAL]","",IFERROR(AVERAGEIFS(DATOS!$K$2:$K$20000,DATOS!$A$2:$A$20000,A371,DATOS!$G$2:$G$20000,CONFIG_METADATA!$B$4,DATOS!$I$2:$I$20000,"Conjunto"),"")))</f>
        <v/>
      </c>
      <c r="E371" t="str">
        <f>IF(A371="","",IF(A371="[FÓRMULA MANUAL]","",IFERROR(SUMPRODUCT((DATOS!$A$2:$A$20000=A371)*(DATOS!$G$2:$G$20000=CONFIG_METADATA!$B$4)*(COUNTIF(CONFIG_ASIGNATURAS!$B$7:$B$27,DATOS!$I$2:$I$20000)&gt;0)*(DATOS!$K$2:$K$20000))/SUMPRODUCT((DATOS!$A$2:$A$20000=A371)*(DATOS!$G$2:$G$20000=CONFIG_METADATA!$B$4)*(COUNTIF(CONFIG_ASIGNATURAS!$B$7:$B$27,DATOS!$I$2:$I$20000)&gt;0)*1),"")))</f>
        <v/>
      </c>
      <c r="H371" t="str">
        <f>IF(G371="","",IF(G371="[FÓRMULA MANUAL]","",IFERROR(AVERAGEIFS(DATOS!$K$2:$K$20000,DATOS!$A$2:$A$20000,G371,DATOS!$G$2:$G$20000,CONFIG_METADATA!$B$4,DATOS!$I$2:$I$20000,"Lenguaje Musical"),"")))</f>
        <v/>
      </c>
      <c r="I371" t="str">
        <f>IF(G371="","",IF(G371="[FÓRMULA MANUAL]","",IFERROR(AVERAGEIFS(DATOS!$K$2:$K$20000,DATOS!$A$2:$A$20000,G371,DATOS!$G$2:$G$20000,CONFIG_METADATA!$B$4,DATOS!$I$2:$I$20000,"Orquesta/Banda/Conjunto"),"")))</f>
        <v/>
      </c>
      <c r="J371" t="str">
        <f>IF(G371="","",IF(G371="[FÓRMULA MANUAL]","",IFERROR(AVERAGEIFS(DATOS!$K$2:$K$20000,DATOS!$A$2:$A$20000,G371,DATOS!$G$2:$G$20000,CONFIG_METADATA!$B$4,DATOS!$I$2:$I$20000,"Conjunto"),"")))</f>
        <v/>
      </c>
      <c r="K371" t="str">
        <f>IF(G371="","",IF(G371="[FÓRMULA MANUAL]","",IFERROR(SUMPRODUCT((DATOS!$A$2:$A$20000=G371)*(DATOS!$G$2:$G$20000=CONFIG_METADATA!$B$4)*(COUNTIF(CONFIG_ASIGNATURAS!$B$7:$B$27,DATOS!$I$2:$I$20000)&gt;0)*(DATOS!$K$2:$K$20000))/SUMPRODUCT((DATOS!$A$2:$A$20000=G371)*(DATOS!$G$2:$G$20000=CONFIG_METADATA!$B$4)*(COUNTIF(CONFIG_ASIGNATURAS!$B$7:$B$27,DATOS!$I$2:$I$20000)&gt;0)*1),"")))</f>
        <v/>
      </c>
      <c r="N371" t="str">
        <f>IF(M371="","",IF(M371="[FÓRMULA MANUAL]","",IFERROR(AVERAGEIFS(DATOS!$K$2:$K$20000,DATOS!$A$2:$A$20000,M371,DATOS!$G$2:$G$20000,CONFIG_METADATA!$B$4,DATOS!$I$2:$I$20000,"Armonía"),"")))</f>
        <v/>
      </c>
      <c r="O371" t="str">
        <f>IF(M371="","",IF(M371="[FÓRMULA MANUAL]","",IFERROR(AVERAGEIFS(DATOS!$K$2:$K$20000,DATOS!$A$2:$A$20000,M371,DATOS!$G$2:$G$20000,CONFIG_METADATA!$B$4,DATOS!$I$2:$I$20000,"Orquesta/Banda/Conjunto"),"")))</f>
        <v/>
      </c>
      <c r="P371" t="str">
        <f>IF(M371="","",IF(M371="[FÓRMULA MANUAL]","",IFERROR(AVERAGEIFS(DATOS!$K$2:$K$20000,DATOS!$A$2:$A$20000,M371,DATOS!$G$2:$G$20000,CONFIG_METADATA!$B$4,DATOS!$I$2:$I$20000,"Música de Cámara"),"")))</f>
        <v/>
      </c>
      <c r="Q371" t="str">
        <f>IF(M371="","",IF(M371="[FÓRMULA MANUAL]","",IFERROR(SUMPRODUCT((DATOS!$A$2:$A$20000=M371)*(DATOS!$G$2:$G$20000=CONFIG_METADATA!$B$4)*(COUNTIF(CONFIG_ASIGNATURAS!$B$7:$B$27,DATOS!$I$2:$I$20000)&gt;0)*(DATOS!$K$2:$K$20000))/SUMPRODUCT((DATOS!$A$2:$A$20000=M371)*(DATOS!$G$2:$G$20000=CONFIG_METADATA!$B$4)*(COUNTIF(CONFIG_ASIGNATURAS!$B$7:$B$27,DATOS!$I$2:$I$20000)&gt;0)*1),"")))</f>
        <v/>
      </c>
      <c r="T371" t="str">
        <f>IF(S371="","",IF(S371="[FÓRMULA MANUAL]","",IFERROR(AVERAGEIFS(DATOS!$K$2:$K$20000,DATOS!$A$2:$A$20000,S371,DATOS!$G$2:$G$20000,CONFIG_METADATA!$B$4,DATOS!$I$2:$I$20000,"Armonía"),"")))</f>
        <v/>
      </c>
      <c r="U371" t="str">
        <f>IF(S371="","",IF(S371="[FÓRMULA MANUAL]","",IFERROR(AVERAGEIFS(DATOS!$K$2:$K$20000,DATOS!$A$2:$A$20000,S371,DATOS!$G$2:$G$20000,CONFIG_METADATA!$B$4,DATOS!$I$2:$I$20000,"Orquesta/Banda/Conjunto"),"")))</f>
        <v/>
      </c>
      <c r="V371" t="str">
        <f>IF(S371="","",IF(S371="[FÓRMULA MANUAL]","",IFERROR(AVERAGEIFS(DATOS!$K$2:$K$20000,DATOS!$A$2:$A$20000,S371,DATOS!$G$2:$G$20000,CONFIG_METADATA!$B$4,DATOS!$I$2:$I$20000,"Música de Cámara"),"")))</f>
        <v/>
      </c>
      <c r="W371" t="str">
        <f>IF(S371="","",IF(S371="[FÓRMULA MANUAL]","",IFERROR(SUMPRODUCT((DATOS!$A$2:$A$20000=S371)*(DATOS!$G$2:$G$20000=CONFIG_METADATA!$B$4)*(COUNTIF(CONFIG_ASIGNATURAS!$B$7:$B$27,DATOS!$I$2:$I$20000)&gt;0)*(DATOS!$K$2:$K$20000))/SUMPRODUCT((DATOS!$A$2:$A$20000=S371)*(DATOS!$G$2:$G$20000=CONFIG_METADATA!$B$4)*(COUNTIF(CONFIG_ASIGNATURAS!$B$7:$B$27,DATOS!$I$2:$I$20000)&gt;0)*1),"")))</f>
        <v/>
      </c>
      <c r="Z371" t="str">
        <f>IF(Y371="","",IF(Y371="[FÓRMULA MANUAL]","",IFERROR(AVERAGEIFS(DATOS!$K$2:$K$20000,DATOS!$A$2:$A$20000,Y371,DATOS!$G$2:$G$20000,CONFIG_METADATA!$B$4,DATOS!$I$2:$I$20000,"Análisis"),"")))</f>
        <v/>
      </c>
      <c r="AA371" t="str">
        <f>IF(Y371="","",IF(Y371="[FÓRMULA MANUAL]","",IFERROR(AVERAGEIFS(DATOS!$K$2:$K$20000,DATOS!$A$2:$A$20000,Y371,DATOS!$G$2:$G$20000,CONFIG_METADATA!$B$4,DATOS!$I$2:$I$20000,"Orquesta/Banda/Conjunto"),"")))</f>
        <v/>
      </c>
      <c r="AB371" t="str">
        <f>IF(Y371="","",IF(Y371="[FÓRMULA MANUAL]","",IFERROR(AVERAGEIFS(DATOS!$K$2:$K$20000,DATOS!$A$2:$A$20000,Y371,DATOS!$G$2:$G$20000,CONFIG_METADATA!$B$4,DATOS!$I$2:$I$20000,"Música de Cámara"),"")))</f>
        <v/>
      </c>
      <c r="AC371" t="str">
        <f>IF(Y371="","",IF(Y371="[FÓRMULA MANUAL]","",IFERROR(SUMPRODUCT((DATOS!$A$2:$A$20000=Y371)*(DATOS!$G$2:$G$20000=CONFIG_METADATA!$B$4)*(COUNTIF(CONFIG_ASIGNATURAS!$B$7:$B$27,DATOS!$I$2:$I$20000)&gt;0)*(DATOS!$K$2:$K$20000))/SUMPRODUCT((DATOS!$A$2:$A$20000=Y371)*(DATOS!$G$2:$G$20000=CONFIG_METADATA!$B$4)*(COUNTIF(CONFIG_ASIGNATURAS!$B$7:$B$27,DATOS!$I$2:$I$20000)&gt;0)*1),"")))</f>
        <v/>
      </c>
      <c r="AF371" t="str">
        <f>IF(AE371="","",IF(AE371="[FÓRMULA MANUAL]","",IFERROR(AVERAGEIFS(DATOS!$K$2:$K$20000,DATOS!$A$2:$A$20000,AE371,DATOS!$G$2:$G$20000,CONFIG_METADATA!$B$4,DATOS!$I$2:$I$20000,"Análisis"),"")))</f>
        <v/>
      </c>
      <c r="AG371" t="str">
        <f>IF(AE371="","",IF(AE371="[FÓRMULA MANUAL]","",IFERROR(AVERAGEIFS(DATOS!$K$2:$K$20000,DATOS!$A$2:$A$20000,AE371,DATOS!$G$2:$G$20000,CONFIG_METADATA!$B$4,DATOS!$I$2:$I$20000,"Orquesta/Banda/Conjunto"),"")))</f>
        <v/>
      </c>
      <c r="AH371" t="str">
        <f>IF(AE371="","",IF(AE371="[FÓRMULA MANUAL]","",IFERROR(AVERAGEIFS(DATOS!$K$2:$K$20000,DATOS!$A$2:$A$20000,AE371,DATOS!$G$2:$G$20000,CONFIG_METADATA!$B$4,DATOS!$I$2:$I$20000,"Música de Cámara"),"")))</f>
        <v/>
      </c>
      <c r="AI371" t="str">
        <f>IF(AE371="","",IF(AE371="[FÓRMULA MANUAL]","",IFERROR(SUMPRODUCT((DATOS!$A$2:$A$20000=AE371)*(DATOS!$G$2:$G$20000=CONFIG_METADATA!$B$4)*(COUNTIF(CONFIG_ASIGNATURAS!$B$7:$B$27,DATOS!$I$2:$I$20000)&gt;0)*(DATOS!$K$2:$K$20000))/SUMPRODUCT((DATOS!$A$2:$A$20000=AE371)*(DATOS!$G$2:$G$20000=CONFIG_METADATA!$B$4)*(COUNTIF(CONFIG_ASIGNATURAS!$B$7:$B$27,DATOS!$I$2:$I$20000)&gt;0)*1),"")))</f>
        <v/>
      </c>
    </row>
    <row r="372" spans="2:35" x14ac:dyDescent="0.2">
      <c r="B372" t="str">
        <f>IF(A372="","",IF(A372="[FÓRMULA MANUAL]","",IFERROR(AVERAGEIFS(DATOS!$K$2:$K$20000,DATOS!$A$2:$A$20000,A372,DATOS!$G$2:$G$20000,CONFIG_METADATA!$B$4,DATOS!$I$2:$I$20000,"Lenguaje Musical"),"")))</f>
        <v/>
      </c>
      <c r="C372" t="str">
        <f>IF(A372="","",IF(A372="[FÓRMULA MANUAL]","",IFERROR(AVERAGEIFS(DATOS!$K$2:$K$20000,DATOS!$A$2:$A$20000,A372,DATOS!$G$2:$G$20000,CONFIG_METADATA!$B$4,DATOS!$I$2:$I$20000,"Orquesta/Banda/Conjunto"),"")))</f>
        <v/>
      </c>
      <c r="D372" t="str">
        <f>IF(A372="","",IF(A372="[FÓRMULA MANUAL]","",IFERROR(AVERAGEIFS(DATOS!$K$2:$K$20000,DATOS!$A$2:$A$20000,A372,DATOS!$G$2:$G$20000,CONFIG_METADATA!$B$4,DATOS!$I$2:$I$20000,"Conjunto"),"")))</f>
        <v/>
      </c>
      <c r="E372" t="str">
        <f>IF(A372="","",IF(A372="[FÓRMULA MANUAL]","",IFERROR(SUMPRODUCT((DATOS!$A$2:$A$20000=A372)*(DATOS!$G$2:$G$20000=CONFIG_METADATA!$B$4)*(COUNTIF(CONFIG_ASIGNATURAS!$B$7:$B$27,DATOS!$I$2:$I$20000)&gt;0)*(DATOS!$K$2:$K$20000))/SUMPRODUCT((DATOS!$A$2:$A$20000=A372)*(DATOS!$G$2:$G$20000=CONFIG_METADATA!$B$4)*(COUNTIF(CONFIG_ASIGNATURAS!$B$7:$B$27,DATOS!$I$2:$I$20000)&gt;0)*1),"")))</f>
        <v/>
      </c>
      <c r="H372" t="str">
        <f>IF(G372="","",IF(G372="[FÓRMULA MANUAL]","",IFERROR(AVERAGEIFS(DATOS!$K$2:$K$20000,DATOS!$A$2:$A$20000,G372,DATOS!$G$2:$G$20000,CONFIG_METADATA!$B$4,DATOS!$I$2:$I$20000,"Lenguaje Musical"),"")))</f>
        <v/>
      </c>
      <c r="I372" t="str">
        <f>IF(G372="","",IF(G372="[FÓRMULA MANUAL]","",IFERROR(AVERAGEIFS(DATOS!$K$2:$K$20000,DATOS!$A$2:$A$20000,G372,DATOS!$G$2:$G$20000,CONFIG_METADATA!$B$4,DATOS!$I$2:$I$20000,"Orquesta/Banda/Conjunto"),"")))</f>
        <v/>
      </c>
      <c r="J372" t="str">
        <f>IF(G372="","",IF(G372="[FÓRMULA MANUAL]","",IFERROR(AVERAGEIFS(DATOS!$K$2:$K$20000,DATOS!$A$2:$A$20000,G372,DATOS!$G$2:$G$20000,CONFIG_METADATA!$B$4,DATOS!$I$2:$I$20000,"Conjunto"),"")))</f>
        <v/>
      </c>
      <c r="K372" t="str">
        <f>IF(G372="","",IF(G372="[FÓRMULA MANUAL]","",IFERROR(SUMPRODUCT((DATOS!$A$2:$A$20000=G372)*(DATOS!$G$2:$G$20000=CONFIG_METADATA!$B$4)*(COUNTIF(CONFIG_ASIGNATURAS!$B$7:$B$27,DATOS!$I$2:$I$20000)&gt;0)*(DATOS!$K$2:$K$20000))/SUMPRODUCT((DATOS!$A$2:$A$20000=G372)*(DATOS!$G$2:$G$20000=CONFIG_METADATA!$B$4)*(COUNTIF(CONFIG_ASIGNATURAS!$B$7:$B$27,DATOS!$I$2:$I$20000)&gt;0)*1),"")))</f>
        <v/>
      </c>
      <c r="N372" t="str">
        <f>IF(M372="","",IF(M372="[FÓRMULA MANUAL]","",IFERROR(AVERAGEIFS(DATOS!$K$2:$K$20000,DATOS!$A$2:$A$20000,M372,DATOS!$G$2:$G$20000,CONFIG_METADATA!$B$4,DATOS!$I$2:$I$20000,"Armonía"),"")))</f>
        <v/>
      </c>
      <c r="O372" t="str">
        <f>IF(M372="","",IF(M372="[FÓRMULA MANUAL]","",IFERROR(AVERAGEIFS(DATOS!$K$2:$K$20000,DATOS!$A$2:$A$20000,M372,DATOS!$G$2:$G$20000,CONFIG_METADATA!$B$4,DATOS!$I$2:$I$20000,"Orquesta/Banda/Conjunto"),"")))</f>
        <v/>
      </c>
      <c r="P372" t="str">
        <f>IF(M372="","",IF(M372="[FÓRMULA MANUAL]","",IFERROR(AVERAGEIFS(DATOS!$K$2:$K$20000,DATOS!$A$2:$A$20000,M372,DATOS!$G$2:$G$20000,CONFIG_METADATA!$B$4,DATOS!$I$2:$I$20000,"Música de Cámara"),"")))</f>
        <v/>
      </c>
      <c r="Q372" t="str">
        <f>IF(M372="","",IF(M372="[FÓRMULA MANUAL]","",IFERROR(SUMPRODUCT((DATOS!$A$2:$A$20000=M372)*(DATOS!$G$2:$G$20000=CONFIG_METADATA!$B$4)*(COUNTIF(CONFIG_ASIGNATURAS!$B$7:$B$27,DATOS!$I$2:$I$20000)&gt;0)*(DATOS!$K$2:$K$20000))/SUMPRODUCT((DATOS!$A$2:$A$20000=M372)*(DATOS!$G$2:$G$20000=CONFIG_METADATA!$B$4)*(COUNTIF(CONFIG_ASIGNATURAS!$B$7:$B$27,DATOS!$I$2:$I$20000)&gt;0)*1),"")))</f>
        <v/>
      </c>
      <c r="T372" t="str">
        <f>IF(S372="","",IF(S372="[FÓRMULA MANUAL]","",IFERROR(AVERAGEIFS(DATOS!$K$2:$K$20000,DATOS!$A$2:$A$20000,S372,DATOS!$G$2:$G$20000,CONFIG_METADATA!$B$4,DATOS!$I$2:$I$20000,"Armonía"),"")))</f>
        <v/>
      </c>
      <c r="U372" t="str">
        <f>IF(S372="","",IF(S372="[FÓRMULA MANUAL]","",IFERROR(AVERAGEIFS(DATOS!$K$2:$K$20000,DATOS!$A$2:$A$20000,S372,DATOS!$G$2:$G$20000,CONFIG_METADATA!$B$4,DATOS!$I$2:$I$20000,"Orquesta/Banda/Conjunto"),"")))</f>
        <v/>
      </c>
      <c r="V372" t="str">
        <f>IF(S372="","",IF(S372="[FÓRMULA MANUAL]","",IFERROR(AVERAGEIFS(DATOS!$K$2:$K$20000,DATOS!$A$2:$A$20000,S372,DATOS!$G$2:$G$20000,CONFIG_METADATA!$B$4,DATOS!$I$2:$I$20000,"Música de Cámara"),"")))</f>
        <v/>
      </c>
      <c r="W372" t="str">
        <f>IF(S372="","",IF(S372="[FÓRMULA MANUAL]","",IFERROR(SUMPRODUCT((DATOS!$A$2:$A$20000=S372)*(DATOS!$G$2:$G$20000=CONFIG_METADATA!$B$4)*(COUNTIF(CONFIG_ASIGNATURAS!$B$7:$B$27,DATOS!$I$2:$I$20000)&gt;0)*(DATOS!$K$2:$K$20000))/SUMPRODUCT((DATOS!$A$2:$A$20000=S372)*(DATOS!$G$2:$G$20000=CONFIG_METADATA!$B$4)*(COUNTIF(CONFIG_ASIGNATURAS!$B$7:$B$27,DATOS!$I$2:$I$20000)&gt;0)*1),"")))</f>
        <v/>
      </c>
      <c r="Z372" t="str">
        <f>IF(Y372="","",IF(Y372="[FÓRMULA MANUAL]","",IFERROR(AVERAGEIFS(DATOS!$K$2:$K$20000,DATOS!$A$2:$A$20000,Y372,DATOS!$G$2:$G$20000,CONFIG_METADATA!$B$4,DATOS!$I$2:$I$20000,"Análisis"),"")))</f>
        <v/>
      </c>
      <c r="AA372" t="str">
        <f>IF(Y372="","",IF(Y372="[FÓRMULA MANUAL]","",IFERROR(AVERAGEIFS(DATOS!$K$2:$K$20000,DATOS!$A$2:$A$20000,Y372,DATOS!$G$2:$G$20000,CONFIG_METADATA!$B$4,DATOS!$I$2:$I$20000,"Orquesta/Banda/Conjunto"),"")))</f>
        <v/>
      </c>
      <c r="AB372" t="str">
        <f>IF(Y372="","",IF(Y372="[FÓRMULA MANUAL]","",IFERROR(AVERAGEIFS(DATOS!$K$2:$K$20000,DATOS!$A$2:$A$20000,Y372,DATOS!$G$2:$G$20000,CONFIG_METADATA!$B$4,DATOS!$I$2:$I$20000,"Música de Cámara"),"")))</f>
        <v/>
      </c>
      <c r="AC372" t="str">
        <f>IF(Y372="","",IF(Y372="[FÓRMULA MANUAL]","",IFERROR(SUMPRODUCT((DATOS!$A$2:$A$20000=Y372)*(DATOS!$G$2:$G$20000=CONFIG_METADATA!$B$4)*(COUNTIF(CONFIG_ASIGNATURAS!$B$7:$B$27,DATOS!$I$2:$I$20000)&gt;0)*(DATOS!$K$2:$K$20000))/SUMPRODUCT((DATOS!$A$2:$A$20000=Y372)*(DATOS!$G$2:$G$20000=CONFIG_METADATA!$B$4)*(COUNTIF(CONFIG_ASIGNATURAS!$B$7:$B$27,DATOS!$I$2:$I$20000)&gt;0)*1),"")))</f>
        <v/>
      </c>
      <c r="AF372" t="str">
        <f>IF(AE372="","",IF(AE372="[FÓRMULA MANUAL]","",IFERROR(AVERAGEIFS(DATOS!$K$2:$K$20000,DATOS!$A$2:$A$20000,AE372,DATOS!$G$2:$G$20000,CONFIG_METADATA!$B$4,DATOS!$I$2:$I$20000,"Análisis"),"")))</f>
        <v/>
      </c>
      <c r="AG372" t="str">
        <f>IF(AE372="","",IF(AE372="[FÓRMULA MANUAL]","",IFERROR(AVERAGEIFS(DATOS!$K$2:$K$20000,DATOS!$A$2:$A$20000,AE372,DATOS!$G$2:$G$20000,CONFIG_METADATA!$B$4,DATOS!$I$2:$I$20000,"Orquesta/Banda/Conjunto"),"")))</f>
        <v/>
      </c>
      <c r="AH372" t="str">
        <f>IF(AE372="","",IF(AE372="[FÓRMULA MANUAL]","",IFERROR(AVERAGEIFS(DATOS!$K$2:$K$20000,DATOS!$A$2:$A$20000,AE372,DATOS!$G$2:$G$20000,CONFIG_METADATA!$B$4,DATOS!$I$2:$I$20000,"Música de Cámara"),"")))</f>
        <v/>
      </c>
      <c r="AI372" t="str">
        <f>IF(AE372="","",IF(AE372="[FÓRMULA MANUAL]","",IFERROR(SUMPRODUCT((DATOS!$A$2:$A$20000=AE372)*(DATOS!$G$2:$G$20000=CONFIG_METADATA!$B$4)*(COUNTIF(CONFIG_ASIGNATURAS!$B$7:$B$27,DATOS!$I$2:$I$20000)&gt;0)*(DATOS!$K$2:$K$20000))/SUMPRODUCT((DATOS!$A$2:$A$20000=AE372)*(DATOS!$G$2:$G$20000=CONFIG_METADATA!$B$4)*(COUNTIF(CONFIG_ASIGNATURAS!$B$7:$B$27,DATOS!$I$2:$I$20000)&gt;0)*1),"")))</f>
        <v/>
      </c>
    </row>
    <row r="373" spans="2:35" x14ac:dyDescent="0.2">
      <c r="B373" t="str">
        <f>IF(A373="","",IF(A373="[FÓRMULA MANUAL]","",IFERROR(AVERAGEIFS(DATOS!$K$2:$K$20000,DATOS!$A$2:$A$20000,A373,DATOS!$G$2:$G$20000,CONFIG_METADATA!$B$4,DATOS!$I$2:$I$20000,"Lenguaje Musical"),"")))</f>
        <v/>
      </c>
      <c r="C373" t="str">
        <f>IF(A373="","",IF(A373="[FÓRMULA MANUAL]","",IFERROR(AVERAGEIFS(DATOS!$K$2:$K$20000,DATOS!$A$2:$A$20000,A373,DATOS!$G$2:$G$20000,CONFIG_METADATA!$B$4,DATOS!$I$2:$I$20000,"Orquesta/Banda/Conjunto"),"")))</f>
        <v/>
      </c>
      <c r="D373" t="str">
        <f>IF(A373="","",IF(A373="[FÓRMULA MANUAL]","",IFERROR(AVERAGEIFS(DATOS!$K$2:$K$20000,DATOS!$A$2:$A$20000,A373,DATOS!$G$2:$G$20000,CONFIG_METADATA!$B$4,DATOS!$I$2:$I$20000,"Conjunto"),"")))</f>
        <v/>
      </c>
      <c r="E373" t="str">
        <f>IF(A373="","",IF(A373="[FÓRMULA MANUAL]","",IFERROR(SUMPRODUCT((DATOS!$A$2:$A$20000=A373)*(DATOS!$G$2:$G$20000=CONFIG_METADATA!$B$4)*(COUNTIF(CONFIG_ASIGNATURAS!$B$7:$B$27,DATOS!$I$2:$I$20000)&gt;0)*(DATOS!$K$2:$K$20000))/SUMPRODUCT((DATOS!$A$2:$A$20000=A373)*(DATOS!$G$2:$G$20000=CONFIG_METADATA!$B$4)*(COUNTIF(CONFIG_ASIGNATURAS!$B$7:$B$27,DATOS!$I$2:$I$20000)&gt;0)*1),"")))</f>
        <v/>
      </c>
      <c r="H373" t="str">
        <f>IF(G373="","",IF(G373="[FÓRMULA MANUAL]","",IFERROR(AVERAGEIFS(DATOS!$K$2:$K$20000,DATOS!$A$2:$A$20000,G373,DATOS!$G$2:$G$20000,CONFIG_METADATA!$B$4,DATOS!$I$2:$I$20000,"Lenguaje Musical"),"")))</f>
        <v/>
      </c>
      <c r="I373" t="str">
        <f>IF(G373="","",IF(G373="[FÓRMULA MANUAL]","",IFERROR(AVERAGEIFS(DATOS!$K$2:$K$20000,DATOS!$A$2:$A$20000,G373,DATOS!$G$2:$G$20000,CONFIG_METADATA!$B$4,DATOS!$I$2:$I$20000,"Orquesta/Banda/Conjunto"),"")))</f>
        <v/>
      </c>
      <c r="J373" t="str">
        <f>IF(G373="","",IF(G373="[FÓRMULA MANUAL]","",IFERROR(AVERAGEIFS(DATOS!$K$2:$K$20000,DATOS!$A$2:$A$20000,G373,DATOS!$G$2:$G$20000,CONFIG_METADATA!$B$4,DATOS!$I$2:$I$20000,"Conjunto"),"")))</f>
        <v/>
      </c>
      <c r="K373" t="str">
        <f>IF(G373="","",IF(G373="[FÓRMULA MANUAL]","",IFERROR(SUMPRODUCT((DATOS!$A$2:$A$20000=G373)*(DATOS!$G$2:$G$20000=CONFIG_METADATA!$B$4)*(COUNTIF(CONFIG_ASIGNATURAS!$B$7:$B$27,DATOS!$I$2:$I$20000)&gt;0)*(DATOS!$K$2:$K$20000))/SUMPRODUCT((DATOS!$A$2:$A$20000=G373)*(DATOS!$G$2:$G$20000=CONFIG_METADATA!$B$4)*(COUNTIF(CONFIG_ASIGNATURAS!$B$7:$B$27,DATOS!$I$2:$I$20000)&gt;0)*1),"")))</f>
        <v/>
      </c>
      <c r="N373" t="str">
        <f>IF(M373="","",IF(M373="[FÓRMULA MANUAL]","",IFERROR(AVERAGEIFS(DATOS!$K$2:$K$20000,DATOS!$A$2:$A$20000,M373,DATOS!$G$2:$G$20000,CONFIG_METADATA!$B$4,DATOS!$I$2:$I$20000,"Armonía"),"")))</f>
        <v/>
      </c>
      <c r="O373" t="str">
        <f>IF(M373="","",IF(M373="[FÓRMULA MANUAL]","",IFERROR(AVERAGEIFS(DATOS!$K$2:$K$20000,DATOS!$A$2:$A$20000,M373,DATOS!$G$2:$G$20000,CONFIG_METADATA!$B$4,DATOS!$I$2:$I$20000,"Orquesta/Banda/Conjunto"),"")))</f>
        <v/>
      </c>
      <c r="P373" t="str">
        <f>IF(M373="","",IF(M373="[FÓRMULA MANUAL]","",IFERROR(AVERAGEIFS(DATOS!$K$2:$K$20000,DATOS!$A$2:$A$20000,M373,DATOS!$G$2:$G$20000,CONFIG_METADATA!$B$4,DATOS!$I$2:$I$20000,"Música de Cámara"),"")))</f>
        <v/>
      </c>
      <c r="Q373" t="str">
        <f>IF(M373="","",IF(M373="[FÓRMULA MANUAL]","",IFERROR(SUMPRODUCT((DATOS!$A$2:$A$20000=M373)*(DATOS!$G$2:$G$20000=CONFIG_METADATA!$B$4)*(COUNTIF(CONFIG_ASIGNATURAS!$B$7:$B$27,DATOS!$I$2:$I$20000)&gt;0)*(DATOS!$K$2:$K$20000))/SUMPRODUCT((DATOS!$A$2:$A$20000=M373)*(DATOS!$G$2:$G$20000=CONFIG_METADATA!$B$4)*(COUNTIF(CONFIG_ASIGNATURAS!$B$7:$B$27,DATOS!$I$2:$I$20000)&gt;0)*1),"")))</f>
        <v/>
      </c>
      <c r="T373" t="str">
        <f>IF(S373="","",IF(S373="[FÓRMULA MANUAL]","",IFERROR(AVERAGEIFS(DATOS!$K$2:$K$20000,DATOS!$A$2:$A$20000,S373,DATOS!$G$2:$G$20000,CONFIG_METADATA!$B$4,DATOS!$I$2:$I$20000,"Armonía"),"")))</f>
        <v/>
      </c>
      <c r="U373" t="str">
        <f>IF(S373="","",IF(S373="[FÓRMULA MANUAL]","",IFERROR(AVERAGEIFS(DATOS!$K$2:$K$20000,DATOS!$A$2:$A$20000,S373,DATOS!$G$2:$G$20000,CONFIG_METADATA!$B$4,DATOS!$I$2:$I$20000,"Orquesta/Banda/Conjunto"),"")))</f>
        <v/>
      </c>
      <c r="V373" t="str">
        <f>IF(S373="","",IF(S373="[FÓRMULA MANUAL]","",IFERROR(AVERAGEIFS(DATOS!$K$2:$K$20000,DATOS!$A$2:$A$20000,S373,DATOS!$G$2:$G$20000,CONFIG_METADATA!$B$4,DATOS!$I$2:$I$20000,"Música de Cámara"),"")))</f>
        <v/>
      </c>
      <c r="W373" t="str">
        <f>IF(S373="","",IF(S373="[FÓRMULA MANUAL]","",IFERROR(SUMPRODUCT((DATOS!$A$2:$A$20000=S373)*(DATOS!$G$2:$G$20000=CONFIG_METADATA!$B$4)*(COUNTIF(CONFIG_ASIGNATURAS!$B$7:$B$27,DATOS!$I$2:$I$20000)&gt;0)*(DATOS!$K$2:$K$20000))/SUMPRODUCT((DATOS!$A$2:$A$20000=S373)*(DATOS!$G$2:$G$20000=CONFIG_METADATA!$B$4)*(COUNTIF(CONFIG_ASIGNATURAS!$B$7:$B$27,DATOS!$I$2:$I$20000)&gt;0)*1),"")))</f>
        <v/>
      </c>
      <c r="Z373" t="str">
        <f>IF(Y373="","",IF(Y373="[FÓRMULA MANUAL]","",IFERROR(AVERAGEIFS(DATOS!$K$2:$K$20000,DATOS!$A$2:$A$20000,Y373,DATOS!$G$2:$G$20000,CONFIG_METADATA!$B$4,DATOS!$I$2:$I$20000,"Análisis"),"")))</f>
        <v/>
      </c>
      <c r="AA373" t="str">
        <f>IF(Y373="","",IF(Y373="[FÓRMULA MANUAL]","",IFERROR(AVERAGEIFS(DATOS!$K$2:$K$20000,DATOS!$A$2:$A$20000,Y373,DATOS!$G$2:$G$20000,CONFIG_METADATA!$B$4,DATOS!$I$2:$I$20000,"Orquesta/Banda/Conjunto"),"")))</f>
        <v/>
      </c>
      <c r="AB373" t="str">
        <f>IF(Y373="","",IF(Y373="[FÓRMULA MANUAL]","",IFERROR(AVERAGEIFS(DATOS!$K$2:$K$20000,DATOS!$A$2:$A$20000,Y373,DATOS!$G$2:$G$20000,CONFIG_METADATA!$B$4,DATOS!$I$2:$I$20000,"Música de Cámara"),"")))</f>
        <v/>
      </c>
      <c r="AC373" t="str">
        <f>IF(Y373="","",IF(Y373="[FÓRMULA MANUAL]","",IFERROR(SUMPRODUCT((DATOS!$A$2:$A$20000=Y373)*(DATOS!$G$2:$G$20000=CONFIG_METADATA!$B$4)*(COUNTIF(CONFIG_ASIGNATURAS!$B$7:$B$27,DATOS!$I$2:$I$20000)&gt;0)*(DATOS!$K$2:$K$20000))/SUMPRODUCT((DATOS!$A$2:$A$20000=Y373)*(DATOS!$G$2:$G$20000=CONFIG_METADATA!$B$4)*(COUNTIF(CONFIG_ASIGNATURAS!$B$7:$B$27,DATOS!$I$2:$I$20000)&gt;0)*1),"")))</f>
        <v/>
      </c>
      <c r="AF373" t="str">
        <f>IF(AE373="","",IF(AE373="[FÓRMULA MANUAL]","",IFERROR(AVERAGEIFS(DATOS!$K$2:$K$20000,DATOS!$A$2:$A$20000,AE373,DATOS!$G$2:$G$20000,CONFIG_METADATA!$B$4,DATOS!$I$2:$I$20000,"Análisis"),"")))</f>
        <v/>
      </c>
      <c r="AG373" t="str">
        <f>IF(AE373="","",IF(AE373="[FÓRMULA MANUAL]","",IFERROR(AVERAGEIFS(DATOS!$K$2:$K$20000,DATOS!$A$2:$A$20000,AE373,DATOS!$G$2:$G$20000,CONFIG_METADATA!$B$4,DATOS!$I$2:$I$20000,"Orquesta/Banda/Conjunto"),"")))</f>
        <v/>
      </c>
      <c r="AH373" t="str">
        <f>IF(AE373="","",IF(AE373="[FÓRMULA MANUAL]","",IFERROR(AVERAGEIFS(DATOS!$K$2:$K$20000,DATOS!$A$2:$A$20000,AE373,DATOS!$G$2:$G$20000,CONFIG_METADATA!$B$4,DATOS!$I$2:$I$20000,"Música de Cámara"),"")))</f>
        <v/>
      </c>
      <c r="AI373" t="str">
        <f>IF(AE373="","",IF(AE373="[FÓRMULA MANUAL]","",IFERROR(SUMPRODUCT((DATOS!$A$2:$A$20000=AE373)*(DATOS!$G$2:$G$20000=CONFIG_METADATA!$B$4)*(COUNTIF(CONFIG_ASIGNATURAS!$B$7:$B$27,DATOS!$I$2:$I$20000)&gt;0)*(DATOS!$K$2:$K$20000))/SUMPRODUCT((DATOS!$A$2:$A$20000=AE373)*(DATOS!$G$2:$G$20000=CONFIG_METADATA!$B$4)*(COUNTIF(CONFIG_ASIGNATURAS!$B$7:$B$27,DATOS!$I$2:$I$20000)&gt;0)*1),"")))</f>
        <v/>
      </c>
    </row>
    <row r="374" spans="2:35" x14ac:dyDescent="0.2">
      <c r="B374" t="str">
        <f>IF(A374="","",IF(A374="[FÓRMULA MANUAL]","",IFERROR(AVERAGEIFS(DATOS!$K$2:$K$20000,DATOS!$A$2:$A$20000,A374,DATOS!$G$2:$G$20000,CONFIG_METADATA!$B$4,DATOS!$I$2:$I$20000,"Lenguaje Musical"),"")))</f>
        <v/>
      </c>
      <c r="C374" t="str">
        <f>IF(A374="","",IF(A374="[FÓRMULA MANUAL]","",IFERROR(AVERAGEIFS(DATOS!$K$2:$K$20000,DATOS!$A$2:$A$20000,A374,DATOS!$G$2:$G$20000,CONFIG_METADATA!$B$4,DATOS!$I$2:$I$20000,"Orquesta/Banda/Conjunto"),"")))</f>
        <v/>
      </c>
      <c r="D374" t="str">
        <f>IF(A374="","",IF(A374="[FÓRMULA MANUAL]","",IFERROR(AVERAGEIFS(DATOS!$K$2:$K$20000,DATOS!$A$2:$A$20000,A374,DATOS!$G$2:$G$20000,CONFIG_METADATA!$B$4,DATOS!$I$2:$I$20000,"Conjunto"),"")))</f>
        <v/>
      </c>
      <c r="E374" t="str">
        <f>IF(A374="","",IF(A374="[FÓRMULA MANUAL]","",IFERROR(SUMPRODUCT((DATOS!$A$2:$A$20000=A374)*(DATOS!$G$2:$G$20000=CONFIG_METADATA!$B$4)*(COUNTIF(CONFIG_ASIGNATURAS!$B$7:$B$27,DATOS!$I$2:$I$20000)&gt;0)*(DATOS!$K$2:$K$20000))/SUMPRODUCT((DATOS!$A$2:$A$20000=A374)*(DATOS!$G$2:$G$20000=CONFIG_METADATA!$B$4)*(COUNTIF(CONFIG_ASIGNATURAS!$B$7:$B$27,DATOS!$I$2:$I$20000)&gt;0)*1),"")))</f>
        <v/>
      </c>
      <c r="H374" t="str">
        <f>IF(G374="","",IF(G374="[FÓRMULA MANUAL]","",IFERROR(AVERAGEIFS(DATOS!$K$2:$K$20000,DATOS!$A$2:$A$20000,G374,DATOS!$G$2:$G$20000,CONFIG_METADATA!$B$4,DATOS!$I$2:$I$20000,"Lenguaje Musical"),"")))</f>
        <v/>
      </c>
      <c r="I374" t="str">
        <f>IF(G374="","",IF(G374="[FÓRMULA MANUAL]","",IFERROR(AVERAGEIFS(DATOS!$K$2:$K$20000,DATOS!$A$2:$A$20000,G374,DATOS!$G$2:$G$20000,CONFIG_METADATA!$B$4,DATOS!$I$2:$I$20000,"Orquesta/Banda/Conjunto"),"")))</f>
        <v/>
      </c>
      <c r="J374" t="str">
        <f>IF(G374="","",IF(G374="[FÓRMULA MANUAL]","",IFERROR(AVERAGEIFS(DATOS!$K$2:$K$20000,DATOS!$A$2:$A$20000,G374,DATOS!$G$2:$G$20000,CONFIG_METADATA!$B$4,DATOS!$I$2:$I$20000,"Conjunto"),"")))</f>
        <v/>
      </c>
      <c r="K374" t="str">
        <f>IF(G374="","",IF(G374="[FÓRMULA MANUAL]","",IFERROR(SUMPRODUCT((DATOS!$A$2:$A$20000=G374)*(DATOS!$G$2:$G$20000=CONFIG_METADATA!$B$4)*(COUNTIF(CONFIG_ASIGNATURAS!$B$7:$B$27,DATOS!$I$2:$I$20000)&gt;0)*(DATOS!$K$2:$K$20000))/SUMPRODUCT((DATOS!$A$2:$A$20000=G374)*(DATOS!$G$2:$G$20000=CONFIG_METADATA!$B$4)*(COUNTIF(CONFIG_ASIGNATURAS!$B$7:$B$27,DATOS!$I$2:$I$20000)&gt;0)*1),"")))</f>
        <v/>
      </c>
      <c r="N374" t="str">
        <f>IF(M374="","",IF(M374="[FÓRMULA MANUAL]","",IFERROR(AVERAGEIFS(DATOS!$K$2:$K$20000,DATOS!$A$2:$A$20000,M374,DATOS!$G$2:$G$20000,CONFIG_METADATA!$B$4,DATOS!$I$2:$I$20000,"Armonía"),"")))</f>
        <v/>
      </c>
      <c r="O374" t="str">
        <f>IF(M374="","",IF(M374="[FÓRMULA MANUAL]","",IFERROR(AVERAGEIFS(DATOS!$K$2:$K$20000,DATOS!$A$2:$A$20000,M374,DATOS!$G$2:$G$20000,CONFIG_METADATA!$B$4,DATOS!$I$2:$I$20000,"Orquesta/Banda/Conjunto"),"")))</f>
        <v/>
      </c>
      <c r="P374" t="str">
        <f>IF(M374="","",IF(M374="[FÓRMULA MANUAL]","",IFERROR(AVERAGEIFS(DATOS!$K$2:$K$20000,DATOS!$A$2:$A$20000,M374,DATOS!$G$2:$G$20000,CONFIG_METADATA!$B$4,DATOS!$I$2:$I$20000,"Música de Cámara"),"")))</f>
        <v/>
      </c>
      <c r="Q374" t="str">
        <f>IF(M374="","",IF(M374="[FÓRMULA MANUAL]","",IFERROR(SUMPRODUCT((DATOS!$A$2:$A$20000=M374)*(DATOS!$G$2:$G$20000=CONFIG_METADATA!$B$4)*(COUNTIF(CONFIG_ASIGNATURAS!$B$7:$B$27,DATOS!$I$2:$I$20000)&gt;0)*(DATOS!$K$2:$K$20000))/SUMPRODUCT((DATOS!$A$2:$A$20000=M374)*(DATOS!$G$2:$G$20000=CONFIG_METADATA!$B$4)*(COUNTIF(CONFIG_ASIGNATURAS!$B$7:$B$27,DATOS!$I$2:$I$20000)&gt;0)*1),"")))</f>
        <v/>
      </c>
      <c r="T374" t="str">
        <f>IF(S374="","",IF(S374="[FÓRMULA MANUAL]","",IFERROR(AVERAGEIFS(DATOS!$K$2:$K$20000,DATOS!$A$2:$A$20000,S374,DATOS!$G$2:$G$20000,CONFIG_METADATA!$B$4,DATOS!$I$2:$I$20000,"Armonía"),"")))</f>
        <v/>
      </c>
      <c r="U374" t="str">
        <f>IF(S374="","",IF(S374="[FÓRMULA MANUAL]","",IFERROR(AVERAGEIFS(DATOS!$K$2:$K$20000,DATOS!$A$2:$A$20000,S374,DATOS!$G$2:$G$20000,CONFIG_METADATA!$B$4,DATOS!$I$2:$I$20000,"Orquesta/Banda/Conjunto"),"")))</f>
        <v/>
      </c>
      <c r="V374" t="str">
        <f>IF(S374="","",IF(S374="[FÓRMULA MANUAL]","",IFERROR(AVERAGEIFS(DATOS!$K$2:$K$20000,DATOS!$A$2:$A$20000,S374,DATOS!$G$2:$G$20000,CONFIG_METADATA!$B$4,DATOS!$I$2:$I$20000,"Música de Cámara"),"")))</f>
        <v/>
      </c>
      <c r="W374" t="str">
        <f>IF(S374="","",IF(S374="[FÓRMULA MANUAL]","",IFERROR(SUMPRODUCT((DATOS!$A$2:$A$20000=S374)*(DATOS!$G$2:$G$20000=CONFIG_METADATA!$B$4)*(COUNTIF(CONFIG_ASIGNATURAS!$B$7:$B$27,DATOS!$I$2:$I$20000)&gt;0)*(DATOS!$K$2:$K$20000))/SUMPRODUCT((DATOS!$A$2:$A$20000=S374)*(DATOS!$G$2:$G$20000=CONFIG_METADATA!$B$4)*(COUNTIF(CONFIG_ASIGNATURAS!$B$7:$B$27,DATOS!$I$2:$I$20000)&gt;0)*1),"")))</f>
        <v/>
      </c>
      <c r="Z374" t="str">
        <f>IF(Y374="","",IF(Y374="[FÓRMULA MANUAL]","",IFERROR(AVERAGEIFS(DATOS!$K$2:$K$20000,DATOS!$A$2:$A$20000,Y374,DATOS!$G$2:$G$20000,CONFIG_METADATA!$B$4,DATOS!$I$2:$I$20000,"Análisis"),"")))</f>
        <v/>
      </c>
      <c r="AA374" t="str">
        <f>IF(Y374="","",IF(Y374="[FÓRMULA MANUAL]","",IFERROR(AVERAGEIFS(DATOS!$K$2:$K$20000,DATOS!$A$2:$A$20000,Y374,DATOS!$G$2:$G$20000,CONFIG_METADATA!$B$4,DATOS!$I$2:$I$20000,"Orquesta/Banda/Conjunto"),"")))</f>
        <v/>
      </c>
      <c r="AB374" t="str">
        <f>IF(Y374="","",IF(Y374="[FÓRMULA MANUAL]","",IFERROR(AVERAGEIFS(DATOS!$K$2:$K$20000,DATOS!$A$2:$A$20000,Y374,DATOS!$G$2:$G$20000,CONFIG_METADATA!$B$4,DATOS!$I$2:$I$20000,"Música de Cámara"),"")))</f>
        <v/>
      </c>
      <c r="AC374" t="str">
        <f>IF(Y374="","",IF(Y374="[FÓRMULA MANUAL]","",IFERROR(SUMPRODUCT((DATOS!$A$2:$A$20000=Y374)*(DATOS!$G$2:$G$20000=CONFIG_METADATA!$B$4)*(COUNTIF(CONFIG_ASIGNATURAS!$B$7:$B$27,DATOS!$I$2:$I$20000)&gt;0)*(DATOS!$K$2:$K$20000))/SUMPRODUCT((DATOS!$A$2:$A$20000=Y374)*(DATOS!$G$2:$G$20000=CONFIG_METADATA!$B$4)*(COUNTIF(CONFIG_ASIGNATURAS!$B$7:$B$27,DATOS!$I$2:$I$20000)&gt;0)*1),"")))</f>
        <v/>
      </c>
      <c r="AF374" t="str">
        <f>IF(AE374="","",IF(AE374="[FÓRMULA MANUAL]","",IFERROR(AVERAGEIFS(DATOS!$K$2:$K$20000,DATOS!$A$2:$A$20000,AE374,DATOS!$G$2:$G$20000,CONFIG_METADATA!$B$4,DATOS!$I$2:$I$20000,"Análisis"),"")))</f>
        <v/>
      </c>
      <c r="AG374" t="str">
        <f>IF(AE374="","",IF(AE374="[FÓRMULA MANUAL]","",IFERROR(AVERAGEIFS(DATOS!$K$2:$K$20000,DATOS!$A$2:$A$20000,AE374,DATOS!$G$2:$G$20000,CONFIG_METADATA!$B$4,DATOS!$I$2:$I$20000,"Orquesta/Banda/Conjunto"),"")))</f>
        <v/>
      </c>
      <c r="AH374" t="str">
        <f>IF(AE374="","",IF(AE374="[FÓRMULA MANUAL]","",IFERROR(AVERAGEIFS(DATOS!$K$2:$K$20000,DATOS!$A$2:$A$20000,AE374,DATOS!$G$2:$G$20000,CONFIG_METADATA!$B$4,DATOS!$I$2:$I$20000,"Música de Cámara"),"")))</f>
        <v/>
      </c>
      <c r="AI374" t="str">
        <f>IF(AE374="","",IF(AE374="[FÓRMULA MANUAL]","",IFERROR(SUMPRODUCT((DATOS!$A$2:$A$20000=AE374)*(DATOS!$G$2:$G$20000=CONFIG_METADATA!$B$4)*(COUNTIF(CONFIG_ASIGNATURAS!$B$7:$B$27,DATOS!$I$2:$I$20000)&gt;0)*(DATOS!$K$2:$K$20000))/SUMPRODUCT((DATOS!$A$2:$A$20000=AE374)*(DATOS!$G$2:$G$20000=CONFIG_METADATA!$B$4)*(COUNTIF(CONFIG_ASIGNATURAS!$B$7:$B$27,DATOS!$I$2:$I$20000)&gt;0)*1),"")))</f>
        <v/>
      </c>
    </row>
    <row r="375" spans="2:35" x14ac:dyDescent="0.2">
      <c r="B375" t="str">
        <f>IF(A375="","",IF(A375="[FÓRMULA MANUAL]","",IFERROR(AVERAGEIFS(DATOS!$K$2:$K$20000,DATOS!$A$2:$A$20000,A375,DATOS!$G$2:$G$20000,CONFIG_METADATA!$B$4,DATOS!$I$2:$I$20000,"Lenguaje Musical"),"")))</f>
        <v/>
      </c>
      <c r="C375" t="str">
        <f>IF(A375="","",IF(A375="[FÓRMULA MANUAL]","",IFERROR(AVERAGEIFS(DATOS!$K$2:$K$20000,DATOS!$A$2:$A$20000,A375,DATOS!$G$2:$G$20000,CONFIG_METADATA!$B$4,DATOS!$I$2:$I$20000,"Orquesta/Banda/Conjunto"),"")))</f>
        <v/>
      </c>
      <c r="D375" t="str">
        <f>IF(A375="","",IF(A375="[FÓRMULA MANUAL]","",IFERROR(AVERAGEIFS(DATOS!$K$2:$K$20000,DATOS!$A$2:$A$20000,A375,DATOS!$G$2:$G$20000,CONFIG_METADATA!$B$4,DATOS!$I$2:$I$20000,"Conjunto"),"")))</f>
        <v/>
      </c>
      <c r="E375" t="str">
        <f>IF(A375="","",IF(A375="[FÓRMULA MANUAL]","",IFERROR(SUMPRODUCT((DATOS!$A$2:$A$20000=A375)*(DATOS!$G$2:$G$20000=CONFIG_METADATA!$B$4)*(COUNTIF(CONFIG_ASIGNATURAS!$B$7:$B$27,DATOS!$I$2:$I$20000)&gt;0)*(DATOS!$K$2:$K$20000))/SUMPRODUCT((DATOS!$A$2:$A$20000=A375)*(DATOS!$G$2:$G$20000=CONFIG_METADATA!$B$4)*(COUNTIF(CONFIG_ASIGNATURAS!$B$7:$B$27,DATOS!$I$2:$I$20000)&gt;0)*1),"")))</f>
        <v/>
      </c>
      <c r="H375" t="str">
        <f>IF(G375="","",IF(G375="[FÓRMULA MANUAL]","",IFERROR(AVERAGEIFS(DATOS!$K$2:$K$20000,DATOS!$A$2:$A$20000,G375,DATOS!$G$2:$G$20000,CONFIG_METADATA!$B$4,DATOS!$I$2:$I$20000,"Lenguaje Musical"),"")))</f>
        <v/>
      </c>
      <c r="I375" t="str">
        <f>IF(G375="","",IF(G375="[FÓRMULA MANUAL]","",IFERROR(AVERAGEIFS(DATOS!$K$2:$K$20000,DATOS!$A$2:$A$20000,G375,DATOS!$G$2:$G$20000,CONFIG_METADATA!$B$4,DATOS!$I$2:$I$20000,"Orquesta/Banda/Conjunto"),"")))</f>
        <v/>
      </c>
      <c r="J375" t="str">
        <f>IF(G375="","",IF(G375="[FÓRMULA MANUAL]","",IFERROR(AVERAGEIFS(DATOS!$K$2:$K$20000,DATOS!$A$2:$A$20000,G375,DATOS!$G$2:$G$20000,CONFIG_METADATA!$B$4,DATOS!$I$2:$I$20000,"Conjunto"),"")))</f>
        <v/>
      </c>
      <c r="K375" t="str">
        <f>IF(G375="","",IF(G375="[FÓRMULA MANUAL]","",IFERROR(SUMPRODUCT((DATOS!$A$2:$A$20000=G375)*(DATOS!$G$2:$G$20000=CONFIG_METADATA!$B$4)*(COUNTIF(CONFIG_ASIGNATURAS!$B$7:$B$27,DATOS!$I$2:$I$20000)&gt;0)*(DATOS!$K$2:$K$20000))/SUMPRODUCT((DATOS!$A$2:$A$20000=G375)*(DATOS!$G$2:$G$20000=CONFIG_METADATA!$B$4)*(COUNTIF(CONFIG_ASIGNATURAS!$B$7:$B$27,DATOS!$I$2:$I$20000)&gt;0)*1),"")))</f>
        <v/>
      </c>
      <c r="N375" t="str">
        <f>IF(M375="","",IF(M375="[FÓRMULA MANUAL]","",IFERROR(AVERAGEIFS(DATOS!$K$2:$K$20000,DATOS!$A$2:$A$20000,M375,DATOS!$G$2:$G$20000,CONFIG_METADATA!$B$4,DATOS!$I$2:$I$20000,"Armonía"),"")))</f>
        <v/>
      </c>
      <c r="O375" t="str">
        <f>IF(M375="","",IF(M375="[FÓRMULA MANUAL]","",IFERROR(AVERAGEIFS(DATOS!$K$2:$K$20000,DATOS!$A$2:$A$20000,M375,DATOS!$G$2:$G$20000,CONFIG_METADATA!$B$4,DATOS!$I$2:$I$20000,"Orquesta/Banda/Conjunto"),"")))</f>
        <v/>
      </c>
      <c r="P375" t="str">
        <f>IF(M375="","",IF(M375="[FÓRMULA MANUAL]","",IFERROR(AVERAGEIFS(DATOS!$K$2:$K$20000,DATOS!$A$2:$A$20000,M375,DATOS!$G$2:$G$20000,CONFIG_METADATA!$B$4,DATOS!$I$2:$I$20000,"Música de Cámara"),"")))</f>
        <v/>
      </c>
      <c r="Q375" t="str">
        <f>IF(M375="","",IF(M375="[FÓRMULA MANUAL]","",IFERROR(SUMPRODUCT((DATOS!$A$2:$A$20000=M375)*(DATOS!$G$2:$G$20000=CONFIG_METADATA!$B$4)*(COUNTIF(CONFIG_ASIGNATURAS!$B$7:$B$27,DATOS!$I$2:$I$20000)&gt;0)*(DATOS!$K$2:$K$20000))/SUMPRODUCT((DATOS!$A$2:$A$20000=M375)*(DATOS!$G$2:$G$20000=CONFIG_METADATA!$B$4)*(COUNTIF(CONFIG_ASIGNATURAS!$B$7:$B$27,DATOS!$I$2:$I$20000)&gt;0)*1),"")))</f>
        <v/>
      </c>
      <c r="T375" t="str">
        <f>IF(S375="","",IF(S375="[FÓRMULA MANUAL]","",IFERROR(AVERAGEIFS(DATOS!$K$2:$K$20000,DATOS!$A$2:$A$20000,S375,DATOS!$G$2:$G$20000,CONFIG_METADATA!$B$4,DATOS!$I$2:$I$20000,"Armonía"),"")))</f>
        <v/>
      </c>
      <c r="U375" t="str">
        <f>IF(S375="","",IF(S375="[FÓRMULA MANUAL]","",IFERROR(AVERAGEIFS(DATOS!$K$2:$K$20000,DATOS!$A$2:$A$20000,S375,DATOS!$G$2:$G$20000,CONFIG_METADATA!$B$4,DATOS!$I$2:$I$20000,"Orquesta/Banda/Conjunto"),"")))</f>
        <v/>
      </c>
      <c r="V375" t="str">
        <f>IF(S375="","",IF(S375="[FÓRMULA MANUAL]","",IFERROR(AVERAGEIFS(DATOS!$K$2:$K$20000,DATOS!$A$2:$A$20000,S375,DATOS!$G$2:$G$20000,CONFIG_METADATA!$B$4,DATOS!$I$2:$I$20000,"Música de Cámara"),"")))</f>
        <v/>
      </c>
      <c r="W375" t="str">
        <f>IF(S375="","",IF(S375="[FÓRMULA MANUAL]","",IFERROR(SUMPRODUCT((DATOS!$A$2:$A$20000=S375)*(DATOS!$G$2:$G$20000=CONFIG_METADATA!$B$4)*(COUNTIF(CONFIG_ASIGNATURAS!$B$7:$B$27,DATOS!$I$2:$I$20000)&gt;0)*(DATOS!$K$2:$K$20000))/SUMPRODUCT((DATOS!$A$2:$A$20000=S375)*(DATOS!$G$2:$G$20000=CONFIG_METADATA!$B$4)*(COUNTIF(CONFIG_ASIGNATURAS!$B$7:$B$27,DATOS!$I$2:$I$20000)&gt;0)*1),"")))</f>
        <v/>
      </c>
      <c r="Z375" t="str">
        <f>IF(Y375="","",IF(Y375="[FÓRMULA MANUAL]","",IFERROR(AVERAGEIFS(DATOS!$K$2:$K$20000,DATOS!$A$2:$A$20000,Y375,DATOS!$G$2:$G$20000,CONFIG_METADATA!$B$4,DATOS!$I$2:$I$20000,"Análisis"),"")))</f>
        <v/>
      </c>
      <c r="AA375" t="str">
        <f>IF(Y375="","",IF(Y375="[FÓRMULA MANUAL]","",IFERROR(AVERAGEIFS(DATOS!$K$2:$K$20000,DATOS!$A$2:$A$20000,Y375,DATOS!$G$2:$G$20000,CONFIG_METADATA!$B$4,DATOS!$I$2:$I$20000,"Orquesta/Banda/Conjunto"),"")))</f>
        <v/>
      </c>
      <c r="AB375" t="str">
        <f>IF(Y375="","",IF(Y375="[FÓRMULA MANUAL]","",IFERROR(AVERAGEIFS(DATOS!$K$2:$K$20000,DATOS!$A$2:$A$20000,Y375,DATOS!$G$2:$G$20000,CONFIG_METADATA!$B$4,DATOS!$I$2:$I$20000,"Música de Cámara"),"")))</f>
        <v/>
      </c>
      <c r="AC375" t="str">
        <f>IF(Y375="","",IF(Y375="[FÓRMULA MANUAL]","",IFERROR(SUMPRODUCT((DATOS!$A$2:$A$20000=Y375)*(DATOS!$G$2:$G$20000=CONFIG_METADATA!$B$4)*(COUNTIF(CONFIG_ASIGNATURAS!$B$7:$B$27,DATOS!$I$2:$I$20000)&gt;0)*(DATOS!$K$2:$K$20000))/SUMPRODUCT((DATOS!$A$2:$A$20000=Y375)*(DATOS!$G$2:$G$20000=CONFIG_METADATA!$B$4)*(COUNTIF(CONFIG_ASIGNATURAS!$B$7:$B$27,DATOS!$I$2:$I$20000)&gt;0)*1),"")))</f>
        <v/>
      </c>
      <c r="AF375" t="str">
        <f>IF(AE375="","",IF(AE375="[FÓRMULA MANUAL]","",IFERROR(AVERAGEIFS(DATOS!$K$2:$K$20000,DATOS!$A$2:$A$20000,AE375,DATOS!$G$2:$G$20000,CONFIG_METADATA!$B$4,DATOS!$I$2:$I$20000,"Análisis"),"")))</f>
        <v/>
      </c>
      <c r="AG375" t="str">
        <f>IF(AE375="","",IF(AE375="[FÓRMULA MANUAL]","",IFERROR(AVERAGEIFS(DATOS!$K$2:$K$20000,DATOS!$A$2:$A$20000,AE375,DATOS!$G$2:$G$20000,CONFIG_METADATA!$B$4,DATOS!$I$2:$I$20000,"Orquesta/Banda/Conjunto"),"")))</f>
        <v/>
      </c>
      <c r="AH375" t="str">
        <f>IF(AE375="","",IF(AE375="[FÓRMULA MANUAL]","",IFERROR(AVERAGEIFS(DATOS!$K$2:$K$20000,DATOS!$A$2:$A$20000,AE375,DATOS!$G$2:$G$20000,CONFIG_METADATA!$B$4,DATOS!$I$2:$I$20000,"Música de Cámara"),"")))</f>
        <v/>
      </c>
      <c r="AI375" t="str">
        <f>IF(AE375="","",IF(AE375="[FÓRMULA MANUAL]","",IFERROR(SUMPRODUCT((DATOS!$A$2:$A$20000=AE375)*(DATOS!$G$2:$G$20000=CONFIG_METADATA!$B$4)*(COUNTIF(CONFIG_ASIGNATURAS!$B$7:$B$27,DATOS!$I$2:$I$20000)&gt;0)*(DATOS!$K$2:$K$20000))/SUMPRODUCT((DATOS!$A$2:$A$20000=AE375)*(DATOS!$G$2:$G$20000=CONFIG_METADATA!$B$4)*(COUNTIF(CONFIG_ASIGNATURAS!$B$7:$B$27,DATOS!$I$2:$I$20000)&gt;0)*1),"")))</f>
        <v/>
      </c>
    </row>
    <row r="376" spans="2:35" x14ac:dyDescent="0.2">
      <c r="B376" t="str">
        <f>IF(A376="","",IF(A376="[FÓRMULA MANUAL]","",IFERROR(AVERAGEIFS(DATOS!$K$2:$K$20000,DATOS!$A$2:$A$20000,A376,DATOS!$G$2:$G$20000,CONFIG_METADATA!$B$4,DATOS!$I$2:$I$20000,"Lenguaje Musical"),"")))</f>
        <v/>
      </c>
      <c r="C376" t="str">
        <f>IF(A376="","",IF(A376="[FÓRMULA MANUAL]","",IFERROR(AVERAGEIFS(DATOS!$K$2:$K$20000,DATOS!$A$2:$A$20000,A376,DATOS!$G$2:$G$20000,CONFIG_METADATA!$B$4,DATOS!$I$2:$I$20000,"Orquesta/Banda/Conjunto"),"")))</f>
        <v/>
      </c>
      <c r="D376" t="str">
        <f>IF(A376="","",IF(A376="[FÓRMULA MANUAL]","",IFERROR(AVERAGEIFS(DATOS!$K$2:$K$20000,DATOS!$A$2:$A$20000,A376,DATOS!$G$2:$G$20000,CONFIG_METADATA!$B$4,DATOS!$I$2:$I$20000,"Conjunto"),"")))</f>
        <v/>
      </c>
      <c r="E376" t="str">
        <f>IF(A376="","",IF(A376="[FÓRMULA MANUAL]","",IFERROR(SUMPRODUCT((DATOS!$A$2:$A$20000=A376)*(DATOS!$G$2:$G$20000=CONFIG_METADATA!$B$4)*(COUNTIF(CONFIG_ASIGNATURAS!$B$7:$B$27,DATOS!$I$2:$I$20000)&gt;0)*(DATOS!$K$2:$K$20000))/SUMPRODUCT((DATOS!$A$2:$A$20000=A376)*(DATOS!$G$2:$G$20000=CONFIG_METADATA!$B$4)*(COUNTIF(CONFIG_ASIGNATURAS!$B$7:$B$27,DATOS!$I$2:$I$20000)&gt;0)*1),"")))</f>
        <v/>
      </c>
      <c r="H376" t="str">
        <f>IF(G376="","",IF(G376="[FÓRMULA MANUAL]","",IFERROR(AVERAGEIFS(DATOS!$K$2:$K$20000,DATOS!$A$2:$A$20000,G376,DATOS!$G$2:$G$20000,CONFIG_METADATA!$B$4,DATOS!$I$2:$I$20000,"Lenguaje Musical"),"")))</f>
        <v/>
      </c>
      <c r="I376" t="str">
        <f>IF(G376="","",IF(G376="[FÓRMULA MANUAL]","",IFERROR(AVERAGEIFS(DATOS!$K$2:$K$20000,DATOS!$A$2:$A$20000,G376,DATOS!$G$2:$G$20000,CONFIG_METADATA!$B$4,DATOS!$I$2:$I$20000,"Orquesta/Banda/Conjunto"),"")))</f>
        <v/>
      </c>
      <c r="J376" t="str">
        <f>IF(G376="","",IF(G376="[FÓRMULA MANUAL]","",IFERROR(AVERAGEIFS(DATOS!$K$2:$K$20000,DATOS!$A$2:$A$20000,G376,DATOS!$G$2:$G$20000,CONFIG_METADATA!$B$4,DATOS!$I$2:$I$20000,"Conjunto"),"")))</f>
        <v/>
      </c>
      <c r="K376" t="str">
        <f>IF(G376="","",IF(G376="[FÓRMULA MANUAL]","",IFERROR(SUMPRODUCT((DATOS!$A$2:$A$20000=G376)*(DATOS!$G$2:$G$20000=CONFIG_METADATA!$B$4)*(COUNTIF(CONFIG_ASIGNATURAS!$B$7:$B$27,DATOS!$I$2:$I$20000)&gt;0)*(DATOS!$K$2:$K$20000))/SUMPRODUCT((DATOS!$A$2:$A$20000=G376)*(DATOS!$G$2:$G$20000=CONFIG_METADATA!$B$4)*(COUNTIF(CONFIG_ASIGNATURAS!$B$7:$B$27,DATOS!$I$2:$I$20000)&gt;0)*1),"")))</f>
        <v/>
      </c>
      <c r="N376" t="str">
        <f>IF(M376="","",IF(M376="[FÓRMULA MANUAL]","",IFERROR(AVERAGEIFS(DATOS!$K$2:$K$20000,DATOS!$A$2:$A$20000,M376,DATOS!$G$2:$G$20000,CONFIG_METADATA!$B$4,DATOS!$I$2:$I$20000,"Armonía"),"")))</f>
        <v/>
      </c>
      <c r="O376" t="str">
        <f>IF(M376="","",IF(M376="[FÓRMULA MANUAL]","",IFERROR(AVERAGEIFS(DATOS!$K$2:$K$20000,DATOS!$A$2:$A$20000,M376,DATOS!$G$2:$G$20000,CONFIG_METADATA!$B$4,DATOS!$I$2:$I$20000,"Orquesta/Banda/Conjunto"),"")))</f>
        <v/>
      </c>
      <c r="P376" t="str">
        <f>IF(M376="","",IF(M376="[FÓRMULA MANUAL]","",IFERROR(AVERAGEIFS(DATOS!$K$2:$K$20000,DATOS!$A$2:$A$20000,M376,DATOS!$G$2:$G$20000,CONFIG_METADATA!$B$4,DATOS!$I$2:$I$20000,"Música de Cámara"),"")))</f>
        <v/>
      </c>
      <c r="Q376" t="str">
        <f>IF(M376="","",IF(M376="[FÓRMULA MANUAL]","",IFERROR(SUMPRODUCT((DATOS!$A$2:$A$20000=M376)*(DATOS!$G$2:$G$20000=CONFIG_METADATA!$B$4)*(COUNTIF(CONFIG_ASIGNATURAS!$B$7:$B$27,DATOS!$I$2:$I$20000)&gt;0)*(DATOS!$K$2:$K$20000))/SUMPRODUCT((DATOS!$A$2:$A$20000=M376)*(DATOS!$G$2:$G$20000=CONFIG_METADATA!$B$4)*(COUNTIF(CONFIG_ASIGNATURAS!$B$7:$B$27,DATOS!$I$2:$I$20000)&gt;0)*1),"")))</f>
        <v/>
      </c>
      <c r="T376" t="str">
        <f>IF(S376="","",IF(S376="[FÓRMULA MANUAL]","",IFERROR(AVERAGEIFS(DATOS!$K$2:$K$20000,DATOS!$A$2:$A$20000,S376,DATOS!$G$2:$G$20000,CONFIG_METADATA!$B$4,DATOS!$I$2:$I$20000,"Armonía"),"")))</f>
        <v/>
      </c>
      <c r="U376" t="str">
        <f>IF(S376="","",IF(S376="[FÓRMULA MANUAL]","",IFERROR(AVERAGEIFS(DATOS!$K$2:$K$20000,DATOS!$A$2:$A$20000,S376,DATOS!$G$2:$G$20000,CONFIG_METADATA!$B$4,DATOS!$I$2:$I$20000,"Orquesta/Banda/Conjunto"),"")))</f>
        <v/>
      </c>
      <c r="V376" t="str">
        <f>IF(S376="","",IF(S376="[FÓRMULA MANUAL]","",IFERROR(AVERAGEIFS(DATOS!$K$2:$K$20000,DATOS!$A$2:$A$20000,S376,DATOS!$G$2:$G$20000,CONFIG_METADATA!$B$4,DATOS!$I$2:$I$20000,"Música de Cámara"),"")))</f>
        <v/>
      </c>
      <c r="W376" t="str">
        <f>IF(S376="","",IF(S376="[FÓRMULA MANUAL]","",IFERROR(SUMPRODUCT((DATOS!$A$2:$A$20000=S376)*(DATOS!$G$2:$G$20000=CONFIG_METADATA!$B$4)*(COUNTIF(CONFIG_ASIGNATURAS!$B$7:$B$27,DATOS!$I$2:$I$20000)&gt;0)*(DATOS!$K$2:$K$20000))/SUMPRODUCT((DATOS!$A$2:$A$20000=S376)*(DATOS!$G$2:$G$20000=CONFIG_METADATA!$B$4)*(COUNTIF(CONFIG_ASIGNATURAS!$B$7:$B$27,DATOS!$I$2:$I$20000)&gt;0)*1),"")))</f>
        <v/>
      </c>
      <c r="Z376" t="str">
        <f>IF(Y376="","",IF(Y376="[FÓRMULA MANUAL]","",IFERROR(AVERAGEIFS(DATOS!$K$2:$K$20000,DATOS!$A$2:$A$20000,Y376,DATOS!$G$2:$G$20000,CONFIG_METADATA!$B$4,DATOS!$I$2:$I$20000,"Análisis"),"")))</f>
        <v/>
      </c>
      <c r="AA376" t="str">
        <f>IF(Y376="","",IF(Y376="[FÓRMULA MANUAL]","",IFERROR(AVERAGEIFS(DATOS!$K$2:$K$20000,DATOS!$A$2:$A$20000,Y376,DATOS!$G$2:$G$20000,CONFIG_METADATA!$B$4,DATOS!$I$2:$I$20000,"Orquesta/Banda/Conjunto"),"")))</f>
        <v/>
      </c>
      <c r="AB376" t="str">
        <f>IF(Y376="","",IF(Y376="[FÓRMULA MANUAL]","",IFERROR(AVERAGEIFS(DATOS!$K$2:$K$20000,DATOS!$A$2:$A$20000,Y376,DATOS!$G$2:$G$20000,CONFIG_METADATA!$B$4,DATOS!$I$2:$I$20000,"Música de Cámara"),"")))</f>
        <v/>
      </c>
      <c r="AC376" t="str">
        <f>IF(Y376="","",IF(Y376="[FÓRMULA MANUAL]","",IFERROR(SUMPRODUCT((DATOS!$A$2:$A$20000=Y376)*(DATOS!$G$2:$G$20000=CONFIG_METADATA!$B$4)*(COUNTIF(CONFIG_ASIGNATURAS!$B$7:$B$27,DATOS!$I$2:$I$20000)&gt;0)*(DATOS!$K$2:$K$20000))/SUMPRODUCT((DATOS!$A$2:$A$20000=Y376)*(DATOS!$G$2:$G$20000=CONFIG_METADATA!$B$4)*(COUNTIF(CONFIG_ASIGNATURAS!$B$7:$B$27,DATOS!$I$2:$I$20000)&gt;0)*1),"")))</f>
        <v/>
      </c>
      <c r="AF376" t="str">
        <f>IF(AE376="","",IF(AE376="[FÓRMULA MANUAL]","",IFERROR(AVERAGEIFS(DATOS!$K$2:$K$20000,DATOS!$A$2:$A$20000,AE376,DATOS!$G$2:$G$20000,CONFIG_METADATA!$B$4,DATOS!$I$2:$I$20000,"Análisis"),"")))</f>
        <v/>
      </c>
      <c r="AG376" t="str">
        <f>IF(AE376="","",IF(AE376="[FÓRMULA MANUAL]","",IFERROR(AVERAGEIFS(DATOS!$K$2:$K$20000,DATOS!$A$2:$A$20000,AE376,DATOS!$G$2:$G$20000,CONFIG_METADATA!$B$4,DATOS!$I$2:$I$20000,"Orquesta/Banda/Conjunto"),"")))</f>
        <v/>
      </c>
      <c r="AH376" t="str">
        <f>IF(AE376="","",IF(AE376="[FÓRMULA MANUAL]","",IFERROR(AVERAGEIFS(DATOS!$K$2:$K$20000,DATOS!$A$2:$A$20000,AE376,DATOS!$G$2:$G$20000,CONFIG_METADATA!$B$4,DATOS!$I$2:$I$20000,"Música de Cámara"),"")))</f>
        <v/>
      </c>
      <c r="AI376" t="str">
        <f>IF(AE376="","",IF(AE376="[FÓRMULA MANUAL]","",IFERROR(SUMPRODUCT((DATOS!$A$2:$A$20000=AE376)*(DATOS!$G$2:$G$20000=CONFIG_METADATA!$B$4)*(COUNTIF(CONFIG_ASIGNATURAS!$B$7:$B$27,DATOS!$I$2:$I$20000)&gt;0)*(DATOS!$K$2:$K$20000))/SUMPRODUCT((DATOS!$A$2:$A$20000=AE376)*(DATOS!$G$2:$G$20000=CONFIG_METADATA!$B$4)*(COUNTIF(CONFIG_ASIGNATURAS!$B$7:$B$27,DATOS!$I$2:$I$20000)&gt;0)*1),"")))</f>
        <v/>
      </c>
    </row>
    <row r="377" spans="2:35" x14ac:dyDescent="0.2">
      <c r="B377" t="str">
        <f>IF(A377="","",IF(A377="[FÓRMULA MANUAL]","",IFERROR(AVERAGEIFS(DATOS!$K$2:$K$20000,DATOS!$A$2:$A$20000,A377,DATOS!$G$2:$G$20000,CONFIG_METADATA!$B$4,DATOS!$I$2:$I$20000,"Lenguaje Musical"),"")))</f>
        <v/>
      </c>
      <c r="C377" t="str">
        <f>IF(A377="","",IF(A377="[FÓRMULA MANUAL]","",IFERROR(AVERAGEIFS(DATOS!$K$2:$K$20000,DATOS!$A$2:$A$20000,A377,DATOS!$G$2:$G$20000,CONFIG_METADATA!$B$4,DATOS!$I$2:$I$20000,"Orquesta/Banda/Conjunto"),"")))</f>
        <v/>
      </c>
      <c r="D377" t="str">
        <f>IF(A377="","",IF(A377="[FÓRMULA MANUAL]","",IFERROR(AVERAGEIFS(DATOS!$K$2:$K$20000,DATOS!$A$2:$A$20000,A377,DATOS!$G$2:$G$20000,CONFIG_METADATA!$B$4,DATOS!$I$2:$I$20000,"Conjunto"),"")))</f>
        <v/>
      </c>
      <c r="E377" t="str">
        <f>IF(A377="","",IF(A377="[FÓRMULA MANUAL]","",IFERROR(SUMPRODUCT((DATOS!$A$2:$A$20000=A377)*(DATOS!$G$2:$G$20000=CONFIG_METADATA!$B$4)*(COUNTIF(CONFIG_ASIGNATURAS!$B$7:$B$27,DATOS!$I$2:$I$20000)&gt;0)*(DATOS!$K$2:$K$20000))/SUMPRODUCT((DATOS!$A$2:$A$20000=A377)*(DATOS!$G$2:$G$20000=CONFIG_METADATA!$B$4)*(COUNTIF(CONFIG_ASIGNATURAS!$B$7:$B$27,DATOS!$I$2:$I$20000)&gt;0)*1),"")))</f>
        <v/>
      </c>
      <c r="H377" t="str">
        <f>IF(G377="","",IF(G377="[FÓRMULA MANUAL]","",IFERROR(AVERAGEIFS(DATOS!$K$2:$K$20000,DATOS!$A$2:$A$20000,G377,DATOS!$G$2:$G$20000,CONFIG_METADATA!$B$4,DATOS!$I$2:$I$20000,"Lenguaje Musical"),"")))</f>
        <v/>
      </c>
      <c r="I377" t="str">
        <f>IF(G377="","",IF(G377="[FÓRMULA MANUAL]","",IFERROR(AVERAGEIFS(DATOS!$K$2:$K$20000,DATOS!$A$2:$A$20000,G377,DATOS!$G$2:$G$20000,CONFIG_METADATA!$B$4,DATOS!$I$2:$I$20000,"Orquesta/Banda/Conjunto"),"")))</f>
        <v/>
      </c>
      <c r="J377" t="str">
        <f>IF(G377="","",IF(G377="[FÓRMULA MANUAL]","",IFERROR(AVERAGEIFS(DATOS!$K$2:$K$20000,DATOS!$A$2:$A$20000,G377,DATOS!$G$2:$G$20000,CONFIG_METADATA!$B$4,DATOS!$I$2:$I$20000,"Conjunto"),"")))</f>
        <v/>
      </c>
      <c r="K377" t="str">
        <f>IF(G377="","",IF(G377="[FÓRMULA MANUAL]","",IFERROR(SUMPRODUCT((DATOS!$A$2:$A$20000=G377)*(DATOS!$G$2:$G$20000=CONFIG_METADATA!$B$4)*(COUNTIF(CONFIG_ASIGNATURAS!$B$7:$B$27,DATOS!$I$2:$I$20000)&gt;0)*(DATOS!$K$2:$K$20000))/SUMPRODUCT((DATOS!$A$2:$A$20000=G377)*(DATOS!$G$2:$G$20000=CONFIG_METADATA!$B$4)*(COUNTIF(CONFIG_ASIGNATURAS!$B$7:$B$27,DATOS!$I$2:$I$20000)&gt;0)*1),"")))</f>
        <v/>
      </c>
      <c r="N377" t="str">
        <f>IF(M377="","",IF(M377="[FÓRMULA MANUAL]","",IFERROR(AVERAGEIFS(DATOS!$K$2:$K$20000,DATOS!$A$2:$A$20000,M377,DATOS!$G$2:$G$20000,CONFIG_METADATA!$B$4,DATOS!$I$2:$I$20000,"Armonía"),"")))</f>
        <v/>
      </c>
      <c r="O377" t="str">
        <f>IF(M377="","",IF(M377="[FÓRMULA MANUAL]","",IFERROR(AVERAGEIFS(DATOS!$K$2:$K$20000,DATOS!$A$2:$A$20000,M377,DATOS!$G$2:$G$20000,CONFIG_METADATA!$B$4,DATOS!$I$2:$I$20000,"Orquesta/Banda/Conjunto"),"")))</f>
        <v/>
      </c>
      <c r="P377" t="str">
        <f>IF(M377="","",IF(M377="[FÓRMULA MANUAL]","",IFERROR(AVERAGEIFS(DATOS!$K$2:$K$20000,DATOS!$A$2:$A$20000,M377,DATOS!$G$2:$G$20000,CONFIG_METADATA!$B$4,DATOS!$I$2:$I$20000,"Música de Cámara"),"")))</f>
        <v/>
      </c>
      <c r="Q377" t="str">
        <f>IF(M377="","",IF(M377="[FÓRMULA MANUAL]","",IFERROR(SUMPRODUCT((DATOS!$A$2:$A$20000=M377)*(DATOS!$G$2:$G$20000=CONFIG_METADATA!$B$4)*(COUNTIF(CONFIG_ASIGNATURAS!$B$7:$B$27,DATOS!$I$2:$I$20000)&gt;0)*(DATOS!$K$2:$K$20000))/SUMPRODUCT((DATOS!$A$2:$A$20000=M377)*(DATOS!$G$2:$G$20000=CONFIG_METADATA!$B$4)*(COUNTIF(CONFIG_ASIGNATURAS!$B$7:$B$27,DATOS!$I$2:$I$20000)&gt;0)*1),"")))</f>
        <v/>
      </c>
      <c r="T377" t="str">
        <f>IF(S377="","",IF(S377="[FÓRMULA MANUAL]","",IFERROR(AVERAGEIFS(DATOS!$K$2:$K$20000,DATOS!$A$2:$A$20000,S377,DATOS!$G$2:$G$20000,CONFIG_METADATA!$B$4,DATOS!$I$2:$I$20000,"Armonía"),"")))</f>
        <v/>
      </c>
      <c r="U377" t="str">
        <f>IF(S377="","",IF(S377="[FÓRMULA MANUAL]","",IFERROR(AVERAGEIFS(DATOS!$K$2:$K$20000,DATOS!$A$2:$A$20000,S377,DATOS!$G$2:$G$20000,CONFIG_METADATA!$B$4,DATOS!$I$2:$I$20000,"Orquesta/Banda/Conjunto"),"")))</f>
        <v/>
      </c>
      <c r="V377" t="str">
        <f>IF(S377="","",IF(S377="[FÓRMULA MANUAL]","",IFERROR(AVERAGEIFS(DATOS!$K$2:$K$20000,DATOS!$A$2:$A$20000,S377,DATOS!$G$2:$G$20000,CONFIG_METADATA!$B$4,DATOS!$I$2:$I$20000,"Música de Cámara"),"")))</f>
        <v/>
      </c>
      <c r="W377" t="str">
        <f>IF(S377="","",IF(S377="[FÓRMULA MANUAL]","",IFERROR(SUMPRODUCT((DATOS!$A$2:$A$20000=S377)*(DATOS!$G$2:$G$20000=CONFIG_METADATA!$B$4)*(COUNTIF(CONFIG_ASIGNATURAS!$B$7:$B$27,DATOS!$I$2:$I$20000)&gt;0)*(DATOS!$K$2:$K$20000))/SUMPRODUCT((DATOS!$A$2:$A$20000=S377)*(DATOS!$G$2:$G$20000=CONFIG_METADATA!$B$4)*(COUNTIF(CONFIG_ASIGNATURAS!$B$7:$B$27,DATOS!$I$2:$I$20000)&gt;0)*1),"")))</f>
        <v/>
      </c>
      <c r="Z377" t="str">
        <f>IF(Y377="","",IF(Y377="[FÓRMULA MANUAL]","",IFERROR(AVERAGEIFS(DATOS!$K$2:$K$20000,DATOS!$A$2:$A$20000,Y377,DATOS!$G$2:$G$20000,CONFIG_METADATA!$B$4,DATOS!$I$2:$I$20000,"Análisis"),"")))</f>
        <v/>
      </c>
      <c r="AA377" t="str">
        <f>IF(Y377="","",IF(Y377="[FÓRMULA MANUAL]","",IFERROR(AVERAGEIFS(DATOS!$K$2:$K$20000,DATOS!$A$2:$A$20000,Y377,DATOS!$G$2:$G$20000,CONFIG_METADATA!$B$4,DATOS!$I$2:$I$20000,"Orquesta/Banda/Conjunto"),"")))</f>
        <v/>
      </c>
      <c r="AB377" t="str">
        <f>IF(Y377="","",IF(Y377="[FÓRMULA MANUAL]","",IFERROR(AVERAGEIFS(DATOS!$K$2:$K$20000,DATOS!$A$2:$A$20000,Y377,DATOS!$G$2:$G$20000,CONFIG_METADATA!$B$4,DATOS!$I$2:$I$20000,"Música de Cámara"),"")))</f>
        <v/>
      </c>
      <c r="AC377" t="str">
        <f>IF(Y377="","",IF(Y377="[FÓRMULA MANUAL]","",IFERROR(SUMPRODUCT((DATOS!$A$2:$A$20000=Y377)*(DATOS!$G$2:$G$20000=CONFIG_METADATA!$B$4)*(COUNTIF(CONFIG_ASIGNATURAS!$B$7:$B$27,DATOS!$I$2:$I$20000)&gt;0)*(DATOS!$K$2:$K$20000))/SUMPRODUCT((DATOS!$A$2:$A$20000=Y377)*(DATOS!$G$2:$G$20000=CONFIG_METADATA!$B$4)*(COUNTIF(CONFIG_ASIGNATURAS!$B$7:$B$27,DATOS!$I$2:$I$20000)&gt;0)*1),"")))</f>
        <v/>
      </c>
      <c r="AF377" t="str">
        <f>IF(AE377="","",IF(AE377="[FÓRMULA MANUAL]","",IFERROR(AVERAGEIFS(DATOS!$K$2:$K$20000,DATOS!$A$2:$A$20000,AE377,DATOS!$G$2:$G$20000,CONFIG_METADATA!$B$4,DATOS!$I$2:$I$20000,"Análisis"),"")))</f>
        <v/>
      </c>
      <c r="AG377" t="str">
        <f>IF(AE377="","",IF(AE377="[FÓRMULA MANUAL]","",IFERROR(AVERAGEIFS(DATOS!$K$2:$K$20000,DATOS!$A$2:$A$20000,AE377,DATOS!$G$2:$G$20000,CONFIG_METADATA!$B$4,DATOS!$I$2:$I$20000,"Orquesta/Banda/Conjunto"),"")))</f>
        <v/>
      </c>
      <c r="AH377" t="str">
        <f>IF(AE377="","",IF(AE377="[FÓRMULA MANUAL]","",IFERROR(AVERAGEIFS(DATOS!$K$2:$K$20000,DATOS!$A$2:$A$20000,AE377,DATOS!$G$2:$G$20000,CONFIG_METADATA!$B$4,DATOS!$I$2:$I$20000,"Música de Cámara"),"")))</f>
        <v/>
      </c>
      <c r="AI377" t="str">
        <f>IF(AE377="","",IF(AE377="[FÓRMULA MANUAL]","",IFERROR(SUMPRODUCT((DATOS!$A$2:$A$20000=AE377)*(DATOS!$G$2:$G$20000=CONFIG_METADATA!$B$4)*(COUNTIF(CONFIG_ASIGNATURAS!$B$7:$B$27,DATOS!$I$2:$I$20000)&gt;0)*(DATOS!$K$2:$K$20000))/SUMPRODUCT((DATOS!$A$2:$A$20000=AE377)*(DATOS!$G$2:$G$20000=CONFIG_METADATA!$B$4)*(COUNTIF(CONFIG_ASIGNATURAS!$B$7:$B$27,DATOS!$I$2:$I$20000)&gt;0)*1),"")))</f>
        <v/>
      </c>
    </row>
    <row r="378" spans="2:35" x14ac:dyDescent="0.2">
      <c r="B378" t="str">
        <f>IF(A378="","",IF(A378="[FÓRMULA MANUAL]","",IFERROR(AVERAGEIFS(DATOS!$K$2:$K$20000,DATOS!$A$2:$A$20000,A378,DATOS!$G$2:$G$20000,CONFIG_METADATA!$B$4,DATOS!$I$2:$I$20000,"Lenguaje Musical"),"")))</f>
        <v/>
      </c>
      <c r="C378" t="str">
        <f>IF(A378="","",IF(A378="[FÓRMULA MANUAL]","",IFERROR(AVERAGEIFS(DATOS!$K$2:$K$20000,DATOS!$A$2:$A$20000,A378,DATOS!$G$2:$G$20000,CONFIG_METADATA!$B$4,DATOS!$I$2:$I$20000,"Orquesta/Banda/Conjunto"),"")))</f>
        <v/>
      </c>
      <c r="D378" t="str">
        <f>IF(A378="","",IF(A378="[FÓRMULA MANUAL]","",IFERROR(AVERAGEIFS(DATOS!$K$2:$K$20000,DATOS!$A$2:$A$20000,A378,DATOS!$G$2:$G$20000,CONFIG_METADATA!$B$4,DATOS!$I$2:$I$20000,"Conjunto"),"")))</f>
        <v/>
      </c>
      <c r="E378" t="str">
        <f>IF(A378="","",IF(A378="[FÓRMULA MANUAL]","",IFERROR(SUMPRODUCT((DATOS!$A$2:$A$20000=A378)*(DATOS!$G$2:$G$20000=CONFIG_METADATA!$B$4)*(COUNTIF(CONFIG_ASIGNATURAS!$B$7:$B$27,DATOS!$I$2:$I$20000)&gt;0)*(DATOS!$K$2:$K$20000))/SUMPRODUCT((DATOS!$A$2:$A$20000=A378)*(DATOS!$G$2:$G$20000=CONFIG_METADATA!$B$4)*(COUNTIF(CONFIG_ASIGNATURAS!$B$7:$B$27,DATOS!$I$2:$I$20000)&gt;0)*1),"")))</f>
        <v/>
      </c>
      <c r="H378" t="str">
        <f>IF(G378="","",IF(G378="[FÓRMULA MANUAL]","",IFERROR(AVERAGEIFS(DATOS!$K$2:$K$20000,DATOS!$A$2:$A$20000,G378,DATOS!$G$2:$G$20000,CONFIG_METADATA!$B$4,DATOS!$I$2:$I$20000,"Lenguaje Musical"),"")))</f>
        <v/>
      </c>
      <c r="I378" t="str">
        <f>IF(G378="","",IF(G378="[FÓRMULA MANUAL]","",IFERROR(AVERAGEIFS(DATOS!$K$2:$K$20000,DATOS!$A$2:$A$20000,G378,DATOS!$G$2:$G$20000,CONFIG_METADATA!$B$4,DATOS!$I$2:$I$20000,"Orquesta/Banda/Conjunto"),"")))</f>
        <v/>
      </c>
      <c r="J378" t="str">
        <f>IF(G378="","",IF(G378="[FÓRMULA MANUAL]","",IFERROR(AVERAGEIFS(DATOS!$K$2:$K$20000,DATOS!$A$2:$A$20000,G378,DATOS!$G$2:$G$20000,CONFIG_METADATA!$B$4,DATOS!$I$2:$I$20000,"Conjunto"),"")))</f>
        <v/>
      </c>
      <c r="K378" t="str">
        <f>IF(G378="","",IF(G378="[FÓRMULA MANUAL]","",IFERROR(SUMPRODUCT((DATOS!$A$2:$A$20000=G378)*(DATOS!$G$2:$G$20000=CONFIG_METADATA!$B$4)*(COUNTIF(CONFIG_ASIGNATURAS!$B$7:$B$27,DATOS!$I$2:$I$20000)&gt;0)*(DATOS!$K$2:$K$20000))/SUMPRODUCT((DATOS!$A$2:$A$20000=G378)*(DATOS!$G$2:$G$20000=CONFIG_METADATA!$B$4)*(COUNTIF(CONFIG_ASIGNATURAS!$B$7:$B$27,DATOS!$I$2:$I$20000)&gt;0)*1),"")))</f>
        <v/>
      </c>
      <c r="N378" t="str">
        <f>IF(M378="","",IF(M378="[FÓRMULA MANUAL]","",IFERROR(AVERAGEIFS(DATOS!$K$2:$K$20000,DATOS!$A$2:$A$20000,M378,DATOS!$G$2:$G$20000,CONFIG_METADATA!$B$4,DATOS!$I$2:$I$20000,"Armonía"),"")))</f>
        <v/>
      </c>
      <c r="O378" t="str">
        <f>IF(M378="","",IF(M378="[FÓRMULA MANUAL]","",IFERROR(AVERAGEIFS(DATOS!$K$2:$K$20000,DATOS!$A$2:$A$20000,M378,DATOS!$G$2:$G$20000,CONFIG_METADATA!$B$4,DATOS!$I$2:$I$20000,"Orquesta/Banda/Conjunto"),"")))</f>
        <v/>
      </c>
      <c r="P378" t="str">
        <f>IF(M378="","",IF(M378="[FÓRMULA MANUAL]","",IFERROR(AVERAGEIFS(DATOS!$K$2:$K$20000,DATOS!$A$2:$A$20000,M378,DATOS!$G$2:$G$20000,CONFIG_METADATA!$B$4,DATOS!$I$2:$I$20000,"Música de Cámara"),"")))</f>
        <v/>
      </c>
      <c r="Q378" t="str">
        <f>IF(M378="","",IF(M378="[FÓRMULA MANUAL]","",IFERROR(SUMPRODUCT((DATOS!$A$2:$A$20000=M378)*(DATOS!$G$2:$G$20000=CONFIG_METADATA!$B$4)*(COUNTIF(CONFIG_ASIGNATURAS!$B$7:$B$27,DATOS!$I$2:$I$20000)&gt;0)*(DATOS!$K$2:$K$20000))/SUMPRODUCT((DATOS!$A$2:$A$20000=M378)*(DATOS!$G$2:$G$20000=CONFIG_METADATA!$B$4)*(COUNTIF(CONFIG_ASIGNATURAS!$B$7:$B$27,DATOS!$I$2:$I$20000)&gt;0)*1),"")))</f>
        <v/>
      </c>
      <c r="T378" t="str">
        <f>IF(S378="","",IF(S378="[FÓRMULA MANUAL]","",IFERROR(AVERAGEIFS(DATOS!$K$2:$K$20000,DATOS!$A$2:$A$20000,S378,DATOS!$G$2:$G$20000,CONFIG_METADATA!$B$4,DATOS!$I$2:$I$20000,"Armonía"),"")))</f>
        <v/>
      </c>
      <c r="U378" t="str">
        <f>IF(S378="","",IF(S378="[FÓRMULA MANUAL]","",IFERROR(AVERAGEIFS(DATOS!$K$2:$K$20000,DATOS!$A$2:$A$20000,S378,DATOS!$G$2:$G$20000,CONFIG_METADATA!$B$4,DATOS!$I$2:$I$20000,"Orquesta/Banda/Conjunto"),"")))</f>
        <v/>
      </c>
      <c r="V378" t="str">
        <f>IF(S378="","",IF(S378="[FÓRMULA MANUAL]","",IFERROR(AVERAGEIFS(DATOS!$K$2:$K$20000,DATOS!$A$2:$A$20000,S378,DATOS!$G$2:$G$20000,CONFIG_METADATA!$B$4,DATOS!$I$2:$I$20000,"Música de Cámara"),"")))</f>
        <v/>
      </c>
      <c r="W378" t="str">
        <f>IF(S378="","",IF(S378="[FÓRMULA MANUAL]","",IFERROR(SUMPRODUCT((DATOS!$A$2:$A$20000=S378)*(DATOS!$G$2:$G$20000=CONFIG_METADATA!$B$4)*(COUNTIF(CONFIG_ASIGNATURAS!$B$7:$B$27,DATOS!$I$2:$I$20000)&gt;0)*(DATOS!$K$2:$K$20000))/SUMPRODUCT((DATOS!$A$2:$A$20000=S378)*(DATOS!$G$2:$G$20000=CONFIG_METADATA!$B$4)*(COUNTIF(CONFIG_ASIGNATURAS!$B$7:$B$27,DATOS!$I$2:$I$20000)&gt;0)*1),"")))</f>
        <v/>
      </c>
      <c r="Z378" t="str">
        <f>IF(Y378="","",IF(Y378="[FÓRMULA MANUAL]","",IFERROR(AVERAGEIFS(DATOS!$K$2:$K$20000,DATOS!$A$2:$A$20000,Y378,DATOS!$G$2:$G$20000,CONFIG_METADATA!$B$4,DATOS!$I$2:$I$20000,"Análisis"),"")))</f>
        <v/>
      </c>
      <c r="AA378" t="str">
        <f>IF(Y378="","",IF(Y378="[FÓRMULA MANUAL]","",IFERROR(AVERAGEIFS(DATOS!$K$2:$K$20000,DATOS!$A$2:$A$20000,Y378,DATOS!$G$2:$G$20000,CONFIG_METADATA!$B$4,DATOS!$I$2:$I$20000,"Orquesta/Banda/Conjunto"),"")))</f>
        <v/>
      </c>
      <c r="AB378" t="str">
        <f>IF(Y378="","",IF(Y378="[FÓRMULA MANUAL]","",IFERROR(AVERAGEIFS(DATOS!$K$2:$K$20000,DATOS!$A$2:$A$20000,Y378,DATOS!$G$2:$G$20000,CONFIG_METADATA!$B$4,DATOS!$I$2:$I$20000,"Música de Cámara"),"")))</f>
        <v/>
      </c>
      <c r="AC378" t="str">
        <f>IF(Y378="","",IF(Y378="[FÓRMULA MANUAL]","",IFERROR(SUMPRODUCT((DATOS!$A$2:$A$20000=Y378)*(DATOS!$G$2:$G$20000=CONFIG_METADATA!$B$4)*(COUNTIF(CONFIG_ASIGNATURAS!$B$7:$B$27,DATOS!$I$2:$I$20000)&gt;0)*(DATOS!$K$2:$K$20000))/SUMPRODUCT((DATOS!$A$2:$A$20000=Y378)*(DATOS!$G$2:$G$20000=CONFIG_METADATA!$B$4)*(COUNTIF(CONFIG_ASIGNATURAS!$B$7:$B$27,DATOS!$I$2:$I$20000)&gt;0)*1),"")))</f>
        <v/>
      </c>
      <c r="AF378" t="str">
        <f>IF(AE378="","",IF(AE378="[FÓRMULA MANUAL]","",IFERROR(AVERAGEIFS(DATOS!$K$2:$K$20000,DATOS!$A$2:$A$20000,AE378,DATOS!$G$2:$G$20000,CONFIG_METADATA!$B$4,DATOS!$I$2:$I$20000,"Análisis"),"")))</f>
        <v/>
      </c>
      <c r="AG378" t="str">
        <f>IF(AE378="","",IF(AE378="[FÓRMULA MANUAL]","",IFERROR(AVERAGEIFS(DATOS!$K$2:$K$20000,DATOS!$A$2:$A$20000,AE378,DATOS!$G$2:$G$20000,CONFIG_METADATA!$B$4,DATOS!$I$2:$I$20000,"Orquesta/Banda/Conjunto"),"")))</f>
        <v/>
      </c>
      <c r="AH378" t="str">
        <f>IF(AE378="","",IF(AE378="[FÓRMULA MANUAL]","",IFERROR(AVERAGEIFS(DATOS!$K$2:$K$20000,DATOS!$A$2:$A$20000,AE378,DATOS!$G$2:$G$20000,CONFIG_METADATA!$B$4,DATOS!$I$2:$I$20000,"Música de Cámara"),"")))</f>
        <v/>
      </c>
      <c r="AI378" t="str">
        <f>IF(AE378="","",IF(AE378="[FÓRMULA MANUAL]","",IFERROR(SUMPRODUCT((DATOS!$A$2:$A$20000=AE378)*(DATOS!$G$2:$G$20000=CONFIG_METADATA!$B$4)*(COUNTIF(CONFIG_ASIGNATURAS!$B$7:$B$27,DATOS!$I$2:$I$20000)&gt;0)*(DATOS!$K$2:$K$20000))/SUMPRODUCT((DATOS!$A$2:$A$20000=AE378)*(DATOS!$G$2:$G$20000=CONFIG_METADATA!$B$4)*(COUNTIF(CONFIG_ASIGNATURAS!$B$7:$B$27,DATOS!$I$2:$I$20000)&gt;0)*1),"")))</f>
        <v/>
      </c>
    </row>
    <row r="379" spans="2:35" x14ac:dyDescent="0.2">
      <c r="B379" t="str">
        <f>IF(A379="","",IF(A379="[FÓRMULA MANUAL]","",IFERROR(AVERAGEIFS(DATOS!$K$2:$K$20000,DATOS!$A$2:$A$20000,A379,DATOS!$G$2:$G$20000,CONFIG_METADATA!$B$4,DATOS!$I$2:$I$20000,"Lenguaje Musical"),"")))</f>
        <v/>
      </c>
      <c r="C379" t="str">
        <f>IF(A379="","",IF(A379="[FÓRMULA MANUAL]","",IFERROR(AVERAGEIFS(DATOS!$K$2:$K$20000,DATOS!$A$2:$A$20000,A379,DATOS!$G$2:$G$20000,CONFIG_METADATA!$B$4,DATOS!$I$2:$I$20000,"Orquesta/Banda/Conjunto"),"")))</f>
        <v/>
      </c>
      <c r="D379" t="str">
        <f>IF(A379="","",IF(A379="[FÓRMULA MANUAL]","",IFERROR(AVERAGEIFS(DATOS!$K$2:$K$20000,DATOS!$A$2:$A$20000,A379,DATOS!$G$2:$G$20000,CONFIG_METADATA!$B$4,DATOS!$I$2:$I$20000,"Conjunto"),"")))</f>
        <v/>
      </c>
      <c r="E379" t="str">
        <f>IF(A379="","",IF(A379="[FÓRMULA MANUAL]","",IFERROR(SUMPRODUCT((DATOS!$A$2:$A$20000=A379)*(DATOS!$G$2:$G$20000=CONFIG_METADATA!$B$4)*(COUNTIF(CONFIG_ASIGNATURAS!$B$7:$B$27,DATOS!$I$2:$I$20000)&gt;0)*(DATOS!$K$2:$K$20000))/SUMPRODUCT((DATOS!$A$2:$A$20000=A379)*(DATOS!$G$2:$G$20000=CONFIG_METADATA!$B$4)*(COUNTIF(CONFIG_ASIGNATURAS!$B$7:$B$27,DATOS!$I$2:$I$20000)&gt;0)*1),"")))</f>
        <v/>
      </c>
      <c r="H379" t="str">
        <f>IF(G379="","",IF(G379="[FÓRMULA MANUAL]","",IFERROR(AVERAGEIFS(DATOS!$K$2:$K$20000,DATOS!$A$2:$A$20000,G379,DATOS!$G$2:$G$20000,CONFIG_METADATA!$B$4,DATOS!$I$2:$I$20000,"Lenguaje Musical"),"")))</f>
        <v/>
      </c>
      <c r="I379" t="str">
        <f>IF(G379="","",IF(G379="[FÓRMULA MANUAL]","",IFERROR(AVERAGEIFS(DATOS!$K$2:$K$20000,DATOS!$A$2:$A$20000,G379,DATOS!$G$2:$G$20000,CONFIG_METADATA!$B$4,DATOS!$I$2:$I$20000,"Orquesta/Banda/Conjunto"),"")))</f>
        <v/>
      </c>
      <c r="J379" t="str">
        <f>IF(G379="","",IF(G379="[FÓRMULA MANUAL]","",IFERROR(AVERAGEIFS(DATOS!$K$2:$K$20000,DATOS!$A$2:$A$20000,G379,DATOS!$G$2:$G$20000,CONFIG_METADATA!$B$4,DATOS!$I$2:$I$20000,"Conjunto"),"")))</f>
        <v/>
      </c>
      <c r="K379" t="str">
        <f>IF(G379="","",IF(G379="[FÓRMULA MANUAL]","",IFERROR(SUMPRODUCT((DATOS!$A$2:$A$20000=G379)*(DATOS!$G$2:$G$20000=CONFIG_METADATA!$B$4)*(COUNTIF(CONFIG_ASIGNATURAS!$B$7:$B$27,DATOS!$I$2:$I$20000)&gt;0)*(DATOS!$K$2:$K$20000))/SUMPRODUCT((DATOS!$A$2:$A$20000=G379)*(DATOS!$G$2:$G$20000=CONFIG_METADATA!$B$4)*(COUNTIF(CONFIG_ASIGNATURAS!$B$7:$B$27,DATOS!$I$2:$I$20000)&gt;0)*1),"")))</f>
        <v/>
      </c>
      <c r="N379" t="str">
        <f>IF(M379="","",IF(M379="[FÓRMULA MANUAL]","",IFERROR(AVERAGEIFS(DATOS!$K$2:$K$20000,DATOS!$A$2:$A$20000,M379,DATOS!$G$2:$G$20000,CONFIG_METADATA!$B$4,DATOS!$I$2:$I$20000,"Armonía"),"")))</f>
        <v/>
      </c>
      <c r="O379" t="str">
        <f>IF(M379="","",IF(M379="[FÓRMULA MANUAL]","",IFERROR(AVERAGEIFS(DATOS!$K$2:$K$20000,DATOS!$A$2:$A$20000,M379,DATOS!$G$2:$G$20000,CONFIG_METADATA!$B$4,DATOS!$I$2:$I$20000,"Orquesta/Banda/Conjunto"),"")))</f>
        <v/>
      </c>
      <c r="P379" t="str">
        <f>IF(M379="","",IF(M379="[FÓRMULA MANUAL]","",IFERROR(AVERAGEIFS(DATOS!$K$2:$K$20000,DATOS!$A$2:$A$20000,M379,DATOS!$G$2:$G$20000,CONFIG_METADATA!$B$4,DATOS!$I$2:$I$20000,"Música de Cámara"),"")))</f>
        <v/>
      </c>
      <c r="Q379" t="str">
        <f>IF(M379="","",IF(M379="[FÓRMULA MANUAL]","",IFERROR(SUMPRODUCT((DATOS!$A$2:$A$20000=M379)*(DATOS!$G$2:$G$20000=CONFIG_METADATA!$B$4)*(COUNTIF(CONFIG_ASIGNATURAS!$B$7:$B$27,DATOS!$I$2:$I$20000)&gt;0)*(DATOS!$K$2:$K$20000))/SUMPRODUCT((DATOS!$A$2:$A$20000=M379)*(DATOS!$G$2:$G$20000=CONFIG_METADATA!$B$4)*(COUNTIF(CONFIG_ASIGNATURAS!$B$7:$B$27,DATOS!$I$2:$I$20000)&gt;0)*1),"")))</f>
        <v/>
      </c>
      <c r="T379" t="str">
        <f>IF(S379="","",IF(S379="[FÓRMULA MANUAL]","",IFERROR(AVERAGEIFS(DATOS!$K$2:$K$20000,DATOS!$A$2:$A$20000,S379,DATOS!$G$2:$G$20000,CONFIG_METADATA!$B$4,DATOS!$I$2:$I$20000,"Armonía"),"")))</f>
        <v/>
      </c>
      <c r="U379" t="str">
        <f>IF(S379="","",IF(S379="[FÓRMULA MANUAL]","",IFERROR(AVERAGEIFS(DATOS!$K$2:$K$20000,DATOS!$A$2:$A$20000,S379,DATOS!$G$2:$G$20000,CONFIG_METADATA!$B$4,DATOS!$I$2:$I$20000,"Orquesta/Banda/Conjunto"),"")))</f>
        <v/>
      </c>
      <c r="V379" t="str">
        <f>IF(S379="","",IF(S379="[FÓRMULA MANUAL]","",IFERROR(AVERAGEIFS(DATOS!$K$2:$K$20000,DATOS!$A$2:$A$20000,S379,DATOS!$G$2:$G$20000,CONFIG_METADATA!$B$4,DATOS!$I$2:$I$20000,"Música de Cámara"),"")))</f>
        <v/>
      </c>
      <c r="W379" t="str">
        <f>IF(S379="","",IF(S379="[FÓRMULA MANUAL]","",IFERROR(SUMPRODUCT((DATOS!$A$2:$A$20000=S379)*(DATOS!$G$2:$G$20000=CONFIG_METADATA!$B$4)*(COUNTIF(CONFIG_ASIGNATURAS!$B$7:$B$27,DATOS!$I$2:$I$20000)&gt;0)*(DATOS!$K$2:$K$20000))/SUMPRODUCT((DATOS!$A$2:$A$20000=S379)*(DATOS!$G$2:$G$20000=CONFIG_METADATA!$B$4)*(COUNTIF(CONFIG_ASIGNATURAS!$B$7:$B$27,DATOS!$I$2:$I$20000)&gt;0)*1),"")))</f>
        <v/>
      </c>
      <c r="Z379" t="str">
        <f>IF(Y379="","",IF(Y379="[FÓRMULA MANUAL]","",IFERROR(AVERAGEIFS(DATOS!$K$2:$K$20000,DATOS!$A$2:$A$20000,Y379,DATOS!$G$2:$G$20000,CONFIG_METADATA!$B$4,DATOS!$I$2:$I$20000,"Análisis"),"")))</f>
        <v/>
      </c>
      <c r="AA379" t="str">
        <f>IF(Y379="","",IF(Y379="[FÓRMULA MANUAL]","",IFERROR(AVERAGEIFS(DATOS!$K$2:$K$20000,DATOS!$A$2:$A$20000,Y379,DATOS!$G$2:$G$20000,CONFIG_METADATA!$B$4,DATOS!$I$2:$I$20000,"Orquesta/Banda/Conjunto"),"")))</f>
        <v/>
      </c>
      <c r="AB379" t="str">
        <f>IF(Y379="","",IF(Y379="[FÓRMULA MANUAL]","",IFERROR(AVERAGEIFS(DATOS!$K$2:$K$20000,DATOS!$A$2:$A$20000,Y379,DATOS!$G$2:$G$20000,CONFIG_METADATA!$B$4,DATOS!$I$2:$I$20000,"Música de Cámara"),"")))</f>
        <v/>
      </c>
      <c r="AC379" t="str">
        <f>IF(Y379="","",IF(Y379="[FÓRMULA MANUAL]","",IFERROR(SUMPRODUCT((DATOS!$A$2:$A$20000=Y379)*(DATOS!$G$2:$G$20000=CONFIG_METADATA!$B$4)*(COUNTIF(CONFIG_ASIGNATURAS!$B$7:$B$27,DATOS!$I$2:$I$20000)&gt;0)*(DATOS!$K$2:$K$20000))/SUMPRODUCT((DATOS!$A$2:$A$20000=Y379)*(DATOS!$G$2:$G$20000=CONFIG_METADATA!$B$4)*(COUNTIF(CONFIG_ASIGNATURAS!$B$7:$B$27,DATOS!$I$2:$I$20000)&gt;0)*1),"")))</f>
        <v/>
      </c>
      <c r="AF379" t="str">
        <f>IF(AE379="","",IF(AE379="[FÓRMULA MANUAL]","",IFERROR(AVERAGEIFS(DATOS!$K$2:$K$20000,DATOS!$A$2:$A$20000,AE379,DATOS!$G$2:$G$20000,CONFIG_METADATA!$B$4,DATOS!$I$2:$I$20000,"Análisis"),"")))</f>
        <v/>
      </c>
      <c r="AG379" t="str">
        <f>IF(AE379="","",IF(AE379="[FÓRMULA MANUAL]","",IFERROR(AVERAGEIFS(DATOS!$K$2:$K$20000,DATOS!$A$2:$A$20000,AE379,DATOS!$G$2:$G$20000,CONFIG_METADATA!$B$4,DATOS!$I$2:$I$20000,"Orquesta/Banda/Conjunto"),"")))</f>
        <v/>
      </c>
      <c r="AH379" t="str">
        <f>IF(AE379="","",IF(AE379="[FÓRMULA MANUAL]","",IFERROR(AVERAGEIFS(DATOS!$K$2:$K$20000,DATOS!$A$2:$A$20000,AE379,DATOS!$G$2:$G$20000,CONFIG_METADATA!$B$4,DATOS!$I$2:$I$20000,"Música de Cámara"),"")))</f>
        <v/>
      </c>
      <c r="AI379" t="str">
        <f>IF(AE379="","",IF(AE379="[FÓRMULA MANUAL]","",IFERROR(SUMPRODUCT((DATOS!$A$2:$A$20000=AE379)*(DATOS!$G$2:$G$20000=CONFIG_METADATA!$B$4)*(COUNTIF(CONFIG_ASIGNATURAS!$B$7:$B$27,DATOS!$I$2:$I$20000)&gt;0)*(DATOS!$K$2:$K$20000))/SUMPRODUCT((DATOS!$A$2:$A$20000=AE379)*(DATOS!$G$2:$G$20000=CONFIG_METADATA!$B$4)*(COUNTIF(CONFIG_ASIGNATURAS!$B$7:$B$27,DATOS!$I$2:$I$20000)&gt;0)*1),"")))</f>
        <v/>
      </c>
    </row>
    <row r="380" spans="2:35" x14ac:dyDescent="0.2">
      <c r="B380" t="str">
        <f>IF(A380="","",IF(A380="[FÓRMULA MANUAL]","",IFERROR(AVERAGEIFS(DATOS!$K$2:$K$20000,DATOS!$A$2:$A$20000,A380,DATOS!$G$2:$G$20000,CONFIG_METADATA!$B$4,DATOS!$I$2:$I$20000,"Lenguaje Musical"),"")))</f>
        <v/>
      </c>
      <c r="C380" t="str">
        <f>IF(A380="","",IF(A380="[FÓRMULA MANUAL]","",IFERROR(AVERAGEIFS(DATOS!$K$2:$K$20000,DATOS!$A$2:$A$20000,A380,DATOS!$G$2:$G$20000,CONFIG_METADATA!$B$4,DATOS!$I$2:$I$20000,"Orquesta/Banda/Conjunto"),"")))</f>
        <v/>
      </c>
      <c r="D380" t="str">
        <f>IF(A380="","",IF(A380="[FÓRMULA MANUAL]","",IFERROR(AVERAGEIFS(DATOS!$K$2:$K$20000,DATOS!$A$2:$A$20000,A380,DATOS!$G$2:$G$20000,CONFIG_METADATA!$B$4,DATOS!$I$2:$I$20000,"Conjunto"),"")))</f>
        <v/>
      </c>
      <c r="E380" t="str">
        <f>IF(A380="","",IF(A380="[FÓRMULA MANUAL]","",IFERROR(SUMPRODUCT((DATOS!$A$2:$A$20000=A380)*(DATOS!$G$2:$G$20000=CONFIG_METADATA!$B$4)*(COUNTIF(CONFIG_ASIGNATURAS!$B$7:$B$27,DATOS!$I$2:$I$20000)&gt;0)*(DATOS!$K$2:$K$20000))/SUMPRODUCT((DATOS!$A$2:$A$20000=A380)*(DATOS!$G$2:$G$20000=CONFIG_METADATA!$B$4)*(COUNTIF(CONFIG_ASIGNATURAS!$B$7:$B$27,DATOS!$I$2:$I$20000)&gt;0)*1),"")))</f>
        <v/>
      </c>
      <c r="H380" t="str">
        <f>IF(G380="","",IF(G380="[FÓRMULA MANUAL]","",IFERROR(AVERAGEIFS(DATOS!$K$2:$K$20000,DATOS!$A$2:$A$20000,G380,DATOS!$G$2:$G$20000,CONFIG_METADATA!$B$4,DATOS!$I$2:$I$20000,"Lenguaje Musical"),"")))</f>
        <v/>
      </c>
      <c r="I380" t="str">
        <f>IF(G380="","",IF(G380="[FÓRMULA MANUAL]","",IFERROR(AVERAGEIFS(DATOS!$K$2:$K$20000,DATOS!$A$2:$A$20000,G380,DATOS!$G$2:$G$20000,CONFIG_METADATA!$B$4,DATOS!$I$2:$I$20000,"Orquesta/Banda/Conjunto"),"")))</f>
        <v/>
      </c>
      <c r="J380" t="str">
        <f>IF(G380="","",IF(G380="[FÓRMULA MANUAL]","",IFERROR(AVERAGEIFS(DATOS!$K$2:$K$20000,DATOS!$A$2:$A$20000,G380,DATOS!$G$2:$G$20000,CONFIG_METADATA!$B$4,DATOS!$I$2:$I$20000,"Conjunto"),"")))</f>
        <v/>
      </c>
      <c r="K380" t="str">
        <f>IF(G380="","",IF(G380="[FÓRMULA MANUAL]","",IFERROR(SUMPRODUCT((DATOS!$A$2:$A$20000=G380)*(DATOS!$G$2:$G$20000=CONFIG_METADATA!$B$4)*(COUNTIF(CONFIG_ASIGNATURAS!$B$7:$B$27,DATOS!$I$2:$I$20000)&gt;0)*(DATOS!$K$2:$K$20000))/SUMPRODUCT((DATOS!$A$2:$A$20000=G380)*(DATOS!$G$2:$G$20000=CONFIG_METADATA!$B$4)*(COUNTIF(CONFIG_ASIGNATURAS!$B$7:$B$27,DATOS!$I$2:$I$20000)&gt;0)*1),"")))</f>
        <v/>
      </c>
      <c r="N380" t="str">
        <f>IF(M380="","",IF(M380="[FÓRMULA MANUAL]","",IFERROR(AVERAGEIFS(DATOS!$K$2:$K$20000,DATOS!$A$2:$A$20000,M380,DATOS!$G$2:$G$20000,CONFIG_METADATA!$B$4,DATOS!$I$2:$I$20000,"Armonía"),"")))</f>
        <v/>
      </c>
      <c r="O380" t="str">
        <f>IF(M380="","",IF(M380="[FÓRMULA MANUAL]","",IFERROR(AVERAGEIFS(DATOS!$K$2:$K$20000,DATOS!$A$2:$A$20000,M380,DATOS!$G$2:$G$20000,CONFIG_METADATA!$B$4,DATOS!$I$2:$I$20000,"Orquesta/Banda/Conjunto"),"")))</f>
        <v/>
      </c>
      <c r="P380" t="str">
        <f>IF(M380="","",IF(M380="[FÓRMULA MANUAL]","",IFERROR(AVERAGEIFS(DATOS!$K$2:$K$20000,DATOS!$A$2:$A$20000,M380,DATOS!$G$2:$G$20000,CONFIG_METADATA!$B$4,DATOS!$I$2:$I$20000,"Música de Cámara"),"")))</f>
        <v/>
      </c>
      <c r="Q380" t="str">
        <f>IF(M380="","",IF(M380="[FÓRMULA MANUAL]","",IFERROR(SUMPRODUCT((DATOS!$A$2:$A$20000=M380)*(DATOS!$G$2:$G$20000=CONFIG_METADATA!$B$4)*(COUNTIF(CONFIG_ASIGNATURAS!$B$7:$B$27,DATOS!$I$2:$I$20000)&gt;0)*(DATOS!$K$2:$K$20000))/SUMPRODUCT((DATOS!$A$2:$A$20000=M380)*(DATOS!$G$2:$G$20000=CONFIG_METADATA!$B$4)*(COUNTIF(CONFIG_ASIGNATURAS!$B$7:$B$27,DATOS!$I$2:$I$20000)&gt;0)*1),"")))</f>
        <v/>
      </c>
      <c r="T380" t="str">
        <f>IF(S380="","",IF(S380="[FÓRMULA MANUAL]","",IFERROR(AVERAGEIFS(DATOS!$K$2:$K$20000,DATOS!$A$2:$A$20000,S380,DATOS!$G$2:$G$20000,CONFIG_METADATA!$B$4,DATOS!$I$2:$I$20000,"Armonía"),"")))</f>
        <v/>
      </c>
      <c r="U380" t="str">
        <f>IF(S380="","",IF(S380="[FÓRMULA MANUAL]","",IFERROR(AVERAGEIFS(DATOS!$K$2:$K$20000,DATOS!$A$2:$A$20000,S380,DATOS!$G$2:$G$20000,CONFIG_METADATA!$B$4,DATOS!$I$2:$I$20000,"Orquesta/Banda/Conjunto"),"")))</f>
        <v/>
      </c>
      <c r="V380" t="str">
        <f>IF(S380="","",IF(S380="[FÓRMULA MANUAL]","",IFERROR(AVERAGEIFS(DATOS!$K$2:$K$20000,DATOS!$A$2:$A$20000,S380,DATOS!$G$2:$G$20000,CONFIG_METADATA!$B$4,DATOS!$I$2:$I$20000,"Música de Cámara"),"")))</f>
        <v/>
      </c>
      <c r="W380" t="str">
        <f>IF(S380="","",IF(S380="[FÓRMULA MANUAL]","",IFERROR(SUMPRODUCT((DATOS!$A$2:$A$20000=S380)*(DATOS!$G$2:$G$20000=CONFIG_METADATA!$B$4)*(COUNTIF(CONFIG_ASIGNATURAS!$B$7:$B$27,DATOS!$I$2:$I$20000)&gt;0)*(DATOS!$K$2:$K$20000))/SUMPRODUCT((DATOS!$A$2:$A$20000=S380)*(DATOS!$G$2:$G$20000=CONFIG_METADATA!$B$4)*(COUNTIF(CONFIG_ASIGNATURAS!$B$7:$B$27,DATOS!$I$2:$I$20000)&gt;0)*1),"")))</f>
        <v/>
      </c>
      <c r="Z380" t="str">
        <f>IF(Y380="","",IF(Y380="[FÓRMULA MANUAL]","",IFERROR(AVERAGEIFS(DATOS!$K$2:$K$20000,DATOS!$A$2:$A$20000,Y380,DATOS!$G$2:$G$20000,CONFIG_METADATA!$B$4,DATOS!$I$2:$I$20000,"Análisis"),"")))</f>
        <v/>
      </c>
      <c r="AA380" t="str">
        <f>IF(Y380="","",IF(Y380="[FÓRMULA MANUAL]","",IFERROR(AVERAGEIFS(DATOS!$K$2:$K$20000,DATOS!$A$2:$A$20000,Y380,DATOS!$G$2:$G$20000,CONFIG_METADATA!$B$4,DATOS!$I$2:$I$20000,"Orquesta/Banda/Conjunto"),"")))</f>
        <v/>
      </c>
      <c r="AB380" t="str">
        <f>IF(Y380="","",IF(Y380="[FÓRMULA MANUAL]","",IFERROR(AVERAGEIFS(DATOS!$K$2:$K$20000,DATOS!$A$2:$A$20000,Y380,DATOS!$G$2:$G$20000,CONFIG_METADATA!$B$4,DATOS!$I$2:$I$20000,"Música de Cámara"),"")))</f>
        <v/>
      </c>
      <c r="AC380" t="str">
        <f>IF(Y380="","",IF(Y380="[FÓRMULA MANUAL]","",IFERROR(SUMPRODUCT((DATOS!$A$2:$A$20000=Y380)*(DATOS!$G$2:$G$20000=CONFIG_METADATA!$B$4)*(COUNTIF(CONFIG_ASIGNATURAS!$B$7:$B$27,DATOS!$I$2:$I$20000)&gt;0)*(DATOS!$K$2:$K$20000))/SUMPRODUCT((DATOS!$A$2:$A$20000=Y380)*(DATOS!$G$2:$G$20000=CONFIG_METADATA!$B$4)*(COUNTIF(CONFIG_ASIGNATURAS!$B$7:$B$27,DATOS!$I$2:$I$20000)&gt;0)*1),"")))</f>
        <v/>
      </c>
      <c r="AF380" t="str">
        <f>IF(AE380="","",IF(AE380="[FÓRMULA MANUAL]","",IFERROR(AVERAGEIFS(DATOS!$K$2:$K$20000,DATOS!$A$2:$A$20000,AE380,DATOS!$G$2:$G$20000,CONFIG_METADATA!$B$4,DATOS!$I$2:$I$20000,"Análisis"),"")))</f>
        <v/>
      </c>
      <c r="AG380" t="str">
        <f>IF(AE380="","",IF(AE380="[FÓRMULA MANUAL]","",IFERROR(AVERAGEIFS(DATOS!$K$2:$K$20000,DATOS!$A$2:$A$20000,AE380,DATOS!$G$2:$G$20000,CONFIG_METADATA!$B$4,DATOS!$I$2:$I$20000,"Orquesta/Banda/Conjunto"),"")))</f>
        <v/>
      </c>
      <c r="AH380" t="str">
        <f>IF(AE380="","",IF(AE380="[FÓRMULA MANUAL]","",IFERROR(AVERAGEIFS(DATOS!$K$2:$K$20000,DATOS!$A$2:$A$20000,AE380,DATOS!$G$2:$G$20000,CONFIG_METADATA!$B$4,DATOS!$I$2:$I$20000,"Música de Cámara"),"")))</f>
        <v/>
      </c>
      <c r="AI380" t="str">
        <f>IF(AE380="","",IF(AE380="[FÓRMULA MANUAL]","",IFERROR(SUMPRODUCT((DATOS!$A$2:$A$20000=AE380)*(DATOS!$G$2:$G$20000=CONFIG_METADATA!$B$4)*(COUNTIF(CONFIG_ASIGNATURAS!$B$7:$B$27,DATOS!$I$2:$I$20000)&gt;0)*(DATOS!$K$2:$K$20000))/SUMPRODUCT((DATOS!$A$2:$A$20000=AE380)*(DATOS!$G$2:$G$20000=CONFIG_METADATA!$B$4)*(COUNTIF(CONFIG_ASIGNATURAS!$B$7:$B$27,DATOS!$I$2:$I$20000)&gt;0)*1),"")))</f>
        <v/>
      </c>
    </row>
    <row r="381" spans="2:35" x14ac:dyDescent="0.2">
      <c r="B381" t="str">
        <f>IF(A381="","",IF(A381="[FÓRMULA MANUAL]","",IFERROR(AVERAGEIFS(DATOS!$K$2:$K$20000,DATOS!$A$2:$A$20000,A381,DATOS!$G$2:$G$20000,CONFIG_METADATA!$B$4,DATOS!$I$2:$I$20000,"Lenguaje Musical"),"")))</f>
        <v/>
      </c>
      <c r="C381" t="str">
        <f>IF(A381="","",IF(A381="[FÓRMULA MANUAL]","",IFERROR(AVERAGEIFS(DATOS!$K$2:$K$20000,DATOS!$A$2:$A$20000,A381,DATOS!$G$2:$G$20000,CONFIG_METADATA!$B$4,DATOS!$I$2:$I$20000,"Orquesta/Banda/Conjunto"),"")))</f>
        <v/>
      </c>
      <c r="D381" t="str">
        <f>IF(A381="","",IF(A381="[FÓRMULA MANUAL]","",IFERROR(AVERAGEIFS(DATOS!$K$2:$K$20000,DATOS!$A$2:$A$20000,A381,DATOS!$G$2:$G$20000,CONFIG_METADATA!$B$4,DATOS!$I$2:$I$20000,"Conjunto"),"")))</f>
        <v/>
      </c>
      <c r="E381" t="str">
        <f>IF(A381="","",IF(A381="[FÓRMULA MANUAL]","",IFERROR(SUMPRODUCT((DATOS!$A$2:$A$20000=A381)*(DATOS!$G$2:$G$20000=CONFIG_METADATA!$B$4)*(COUNTIF(CONFIG_ASIGNATURAS!$B$7:$B$27,DATOS!$I$2:$I$20000)&gt;0)*(DATOS!$K$2:$K$20000))/SUMPRODUCT((DATOS!$A$2:$A$20000=A381)*(DATOS!$G$2:$G$20000=CONFIG_METADATA!$B$4)*(COUNTIF(CONFIG_ASIGNATURAS!$B$7:$B$27,DATOS!$I$2:$I$20000)&gt;0)*1),"")))</f>
        <v/>
      </c>
      <c r="H381" t="str">
        <f>IF(G381="","",IF(G381="[FÓRMULA MANUAL]","",IFERROR(AVERAGEIFS(DATOS!$K$2:$K$20000,DATOS!$A$2:$A$20000,G381,DATOS!$G$2:$G$20000,CONFIG_METADATA!$B$4,DATOS!$I$2:$I$20000,"Lenguaje Musical"),"")))</f>
        <v/>
      </c>
      <c r="I381" t="str">
        <f>IF(G381="","",IF(G381="[FÓRMULA MANUAL]","",IFERROR(AVERAGEIFS(DATOS!$K$2:$K$20000,DATOS!$A$2:$A$20000,G381,DATOS!$G$2:$G$20000,CONFIG_METADATA!$B$4,DATOS!$I$2:$I$20000,"Orquesta/Banda/Conjunto"),"")))</f>
        <v/>
      </c>
      <c r="J381" t="str">
        <f>IF(G381="","",IF(G381="[FÓRMULA MANUAL]","",IFERROR(AVERAGEIFS(DATOS!$K$2:$K$20000,DATOS!$A$2:$A$20000,G381,DATOS!$G$2:$G$20000,CONFIG_METADATA!$B$4,DATOS!$I$2:$I$20000,"Conjunto"),"")))</f>
        <v/>
      </c>
      <c r="K381" t="str">
        <f>IF(G381="","",IF(G381="[FÓRMULA MANUAL]","",IFERROR(SUMPRODUCT((DATOS!$A$2:$A$20000=G381)*(DATOS!$G$2:$G$20000=CONFIG_METADATA!$B$4)*(COUNTIF(CONFIG_ASIGNATURAS!$B$7:$B$27,DATOS!$I$2:$I$20000)&gt;0)*(DATOS!$K$2:$K$20000))/SUMPRODUCT((DATOS!$A$2:$A$20000=G381)*(DATOS!$G$2:$G$20000=CONFIG_METADATA!$B$4)*(COUNTIF(CONFIG_ASIGNATURAS!$B$7:$B$27,DATOS!$I$2:$I$20000)&gt;0)*1),"")))</f>
        <v/>
      </c>
      <c r="N381" t="str">
        <f>IF(M381="","",IF(M381="[FÓRMULA MANUAL]","",IFERROR(AVERAGEIFS(DATOS!$K$2:$K$20000,DATOS!$A$2:$A$20000,M381,DATOS!$G$2:$G$20000,CONFIG_METADATA!$B$4,DATOS!$I$2:$I$20000,"Armonía"),"")))</f>
        <v/>
      </c>
      <c r="O381" t="str">
        <f>IF(M381="","",IF(M381="[FÓRMULA MANUAL]","",IFERROR(AVERAGEIFS(DATOS!$K$2:$K$20000,DATOS!$A$2:$A$20000,M381,DATOS!$G$2:$G$20000,CONFIG_METADATA!$B$4,DATOS!$I$2:$I$20000,"Orquesta/Banda/Conjunto"),"")))</f>
        <v/>
      </c>
      <c r="P381" t="str">
        <f>IF(M381="","",IF(M381="[FÓRMULA MANUAL]","",IFERROR(AVERAGEIFS(DATOS!$K$2:$K$20000,DATOS!$A$2:$A$20000,M381,DATOS!$G$2:$G$20000,CONFIG_METADATA!$B$4,DATOS!$I$2:$I$20000,"Música de Cámara"),"")))</f>
        <v/>
      </c>
      <c r="Q381" t="str">
        <f>IF(M381="","",IF(M381="[FÓRMULA MANUAL]","",IFERROR(SUMPRODUCT((DATOS!$A$2:$A$20000=M381)*(DATOS!$G$2:$G$20000=CONFIG_METADATA!$B$4)*(COUNTIF(CONFIG_ASIGNATURAS!$B$7:$B$27,DATOS!$I$2:$I$20000)&gt;0)*(DATOS!$K$2:$K$20000))/SUMPRODUCT((DATOS!$A$2:$A$20000=M381)*(DATOS!$G$2:$G$20000=CONFIG_METADATA!$B$4)*(COUNTIF(CONFIG_ASIGNATURAS!$B$7:$B$27,DATOS!$I$2:$I$20000)&gt;0)*1),"")))</f>
        <v/>
      </c>
      <c r="T381" t="str">
        <f>IF(S381="","",IF(S381="[FÓRMULA MANUAL]","",IFERROR(AVERAGEIFS(DATOS!$K$2:$K$20000,DATOS!$A$2:$A$20000,S381,DATOS!$G$2:$G$20000,CONFIG_METADATA!$B$4,DATOS!$I$2:$I$20000,"Armonía"),"")))</f>
        <v/>
      </c>
      <c r="U381" t="str">
        <f>IF(S381="","",IF(S381="[FÓRMULA MANUAL]","",IFERROR(AVERAGEIFS(DATOS!$K$2:$K$20000,DATOS!$A$2:$A$20000,S381,DATOS!$G$2:$G$20000,CONFIG_METADATA!$B$4,DATOS!$I$2:$I$20000,"Orquesta/Banda/Conjunto"),"")))</f>
        <v/>
      </c>
      <c r="V381" t="str">
        <f>IF(S381="","",IF(S381="[FÓRMULA MANUAL]","",IFERROR(AVERAGEIFS(DATOS!$K$2:$K$20000,DATOS!$A$2:$A$20000,S381,DATOS!$G$2:$G$20000,CONFIG_METADATA!$B$4,DATOS!$I$2:$I$20000,"Música de Cámara"),"")))</f>
        <v/>
      </c>
      <c r="W381" t="str">
        <f>IF(S381="","",IF(S381="[FÓRMULA MANUAL]","",IFERROR(SUMPRODUCT((DATOS!$A$2:$A$20000=S381)*(DATOS!$G$2:$G$20000=CONFIG_METADATA!$B$4)*(COUNTIF(CONFIG_ASIGNATURAS!$B$7:$B$27,DATOS!$I$2:$I$20000)&gt;0)*(DATOS!$K$2:$K$20000))/SUMPRODUCT((DATOS!$A$2:$A$20000=S381)*(DATOS!$G$2:$G$20000=CONFIG_METADATA!$B$4)*(COUNTIF(CONFIG_ASIGNATURAS!$B$7:$B$27,DATOS!$I$2:$I$20000)&gt;0)*1),"")))</f>
        <v/>
      </c>
      <c r="Z381" t="str">
        <f>IF(Y381="","",IF(Y381="[FÓRMULA MANUAL]","",IFERROR(AVERAGEIFS(DATOS!$K$2:$K$20000,DATOS!$A$2:$A$20000,Y381,DATOS!$G$2:$G$20000,CONFIG_METADATA!$B$4,DATOS!$I$2:$I$20000,"Análisis"),"")))</f>
        <v/>
      </c>
      <c r="AA381" t="str">
        <f>IF(Y381="","",IF(Y381="[FÓRMULA MANUAL]","",IFERROR(AVERAGEIFS(DATOS!$K$2:$K$20000,DATOS!$A$2:$A$20000,Y381,DATOS!$G$2:$G$20000,CONFIG_METADATA!$B$4,DATOS!$I$2:$I$20000,"Orquesta/Banda/Conjunto"),"")))</f>
        <v/>
      </c>
      <c r="AB381" t="str">
        <f>IF(Y381="","",IF(Y381="[FÓRMULA MANUAL]","",IFERROR(AVERAGEIFS(DATOS!$K$2:$K$20000,DATOS!$A$2:$A$20000,Y381,DATOS!$G$2:$G$20000,CONFIG_METADATA!$B$4,DATOS!$I$2:$I$20000,"Música de Cámara"),"")))</f>
        <v/>
      </c>
      <c r="AC381" t="str">
        <f>IF(Y381="","",IF(Y381="[FÓRMULA MANUAL]","",IFERROR(SUMPRODUCT((DATOS!$A$2:$A$20000=Y381)*(DATOS!$G$2:$G$20000=CONFIG_METADATA!$B$4)*(COUNTIF(CONFIG_ASIGNATURAS!$B$7:$B$27,DATOS!$I$2:$I$20000)&gt;0)*(DATOS!$K$2:$K$20000))/SUMPRODUCT((DATOS!$A$2:$A$20000=Y381)*(DATOS!$G$2:$G$20000=CONFIG_METADATA!$B$4)*(COUNTIF(CONFIG_ASIGNATURAS!$B$7:$B$27,DATOS!$I$2:$I$20000)&gt;0)*1),"")))</f>
        <v/>
      </c>
      <c r="AF381" t="str">
        <f>IF(AE381="","",IF(AE381="[FÓRMULA MANUAL]","",IFERROR(AVERAGEIFS(DATOS!$K$2:$K$20000,DATOS!$A$2:$A$20000,AE381,DATOS!$G$2:$G$20000,CONFIG_METADATA!$B$4,DATOS!$I$2:$I$20000,"Análisis"),"")))</f>
        <v/>
      </c>
      <c r="AG381" t="str">
        <f>IF(AE381="","",IF(AE381="[FÓRMULA MANUAL]","",IFERROR(AVERAGEIFS(DATOS!$K$2:$K$20000,DATOS!$A$2:$A$20000,AE381,DATOS!$G$2:$G$20000,CONFIG_METADATA!$B$4,DATOS!$I$2:$I$20000,"Orquesta/Banda/Conjunto"),"")))</f>
        <v/>
      </c>
      <c r="AH381" t="str">
        <f>IF(AE381="","",IF(AE381="[FÓRMULA MANUAL]","",IFERROR(AVERAGEIFS(DATOS!$K$2:$K$20000,DATOS!$A$2:$A$20000,AE381,DATOS!$G$2:$G$20000,CONFIG_METADATA!$B$4,DATOS!$I$2:$I$20000,"Música de Cámara"),"")))</f>
        <v/>
      </c>
      <c r="AI381" t="str">
        <f>IF(AE381="","",IF(AE381="[FÓRMULA MANUAL]","",IFERROR(SUMPRODUCT((DATOS!$A$2:$A$20000=AE381)*(DATOS!$G$2:$G$20000=CONFIG_METADATA!$B$4)*(COUNTIF(CONFIG_ASIGNATURAS!$B$7:$B$27,DATOS!$I$2:$I$20000)&gt;0)*(DATOS!$K$2:$K$20000))/SUMPRODUCT((DATOS!$A$2:$A$20000=AE381)*(DATOS!$G$2:$G$20000=CONFIG_METADATA!$B$4)*(COUNTIF(CONFIG_ASIGNATURAS!$B$7:$B$27,DATOS!$I$2:$I$20000)&gt;0)*1),"")))</f>
        <v/>
      </c>
    </row>
    <row r="382" spans="2:35" x14ac:dyDescent="0.2">
      <c r="B382" t="str">
        <f>IF(A382="","",IF(A382="[FÓRMULA MANUAL]","",IFERROR(AVERAGEIFS(DATOS!$K$2:$K$20000,DATOS!$A$2:$A$20000,A382,DATOS!$G$2:$G$20000,CONFIG_METADATA!$B$4,DATOS!$I$2:$I$20000,"Lenguaje Musical"),"")))</f>
        <v/>
      </c>
      <c r="C382" t="str">
        <f>IF(A382="","",IF(A382="[FÓRMULA MANUAL]","",IFERROR(AVERAGEIFS(DATOS!$K$2:$K$20000,DATOS!$A$2:$A$20000,A382,DATOS!$G$2:$G$20000,CONFIG_METADATA!$B$4,DATOS!$I$2:$I$20000,"Orquesta/Banda/Conjunto"),"")))</f>
        <v/>
      </c>
      <c r="D382" t="str">
        <f>IF(A382="","",IF(A382="[FÓRMULA MANUAL]","",IFERROR(AVERAGEIFS(DATOS!$K$2:$K$20000,DATOS!$A$2:$A$20000,A382,DATOS!$G$2:$G$20000,CONFIG_METADATA!$B$4,DATOS!$I$2:$I$20000,"Conjunto"),"")))</f>
        <v/>
      </c>
      <c r="E382" t="str">
        <f>IF(A382="","",IF(A382="[FÓRMULA MANUAL]","",IFERROR(SUMPRODUCT((DATOS!$A$2:$A$20000=A382)*(DATOS!$G$2:$G$20000=CONFIG_METADATA!$B$4)*(COUNTIF(CONFIG_ASIGNATURAS!$B$7:$B$27,DATOS!$I$2:$I$20000)&gt;0)*(DATOS!$K$2:$K$20000))/SUMPRODUCT((DATOS!$A$2:$A$20000=A382)*(DATOS!$G$2:$G$20000=CONFIG_METADATA!$B$4)*(COUNTIF(CONFIG_ASIGNATURAS!$B$7:$B$27,DATOS!$I$2:$I$20000)&gt;0)*1),"")))</f>
        <v/>
      </c>
      <c r="H382" t="str">
        <f>IF(G382="","",IF(G382="[FÓRMULA MANUAL]","",IFERROR(AVERAGEIFS(DATOS!$K$2:$K$20000,DATOS!$A$2:$A$20000,G382,DATOS!$G$2:$G$20000,CONFIG_METADATA!$B$4,DATOS!$I$2:$I$20000,"Lenguaje Musical"),"")))</f>
        <v/>
      </c>
      <c r="I382" t="str">
        <f>IF(G382="","",IF(G382="[FÓRMULA MANUAL]","",IFERROR(AVERAGEIFS(DATOS!$K$2:$K$20000,DATOS!$A$2:$A$20000,G382,DATOS!$G$2:$G$20000,CONFIG_METADATA!$B$4,DATOS!$I$2:$I$20000,"Orquesta/Banda/Conjunto"),"")))</f>
        <v/>
      </c>
      <c r="J382" t="str">
        <f>IF(G382="","",IF(G382="[FÓRMULA MANUAL]","",IFERROR(AVERAGEIFS(DATOS!$K$2:$K$20000,DATOS!$A$2:$A$20000,G382,DATOS!$G$2:$G$20000,CONFIG_METADATA!$B$4,DATOS!$I$2:$I$20000,"Conjunto"),"")))</f>
        <v/>
      </c>
      <c r="K382" t="str">
        <f>IF(G382="","",IF(G382="[FÓRMULA MANUAL]","",IFERROR(SUMPRODUCT((DATOS!$A$2:$A$20000=G382)*(DATOS!$G$2:$G$20000=CONFIG_METADATA!$B$4)*(COUNTIF(CONFIG_ASIGNATURAS!$B$7:$B$27,DATOS!$I$2:$I$20000)&gt;0)*(DATOS!$K$2:$K$20000))/SUMPRODUCT((DATOS!$A$2:$A$20000=G382)*(DATOS!$G$2:$G$20000=CONFIG_METADATA!$B$4)*(COUNTIF(CONFIG_ASIGNATURAS!$B$7:$B$27,DATOS!$I$2:$I$20000)&gt;0)*1),"")))</f>
        <v/>
      </c>
      <c r="N382" t="str">
        <f>IF(M382="","",IF(M382="[FÓRMULA MANUAL]","",IFERROR(AVERAGEIFS(DATOS!$K$2:$K$20000,DATOS!$A$2:$A$20000,M382,DATOS!$G$2:$G$20000,CONFIG_METADATA!$B$4,DATOS!$I$2:$I$20000,"Armonía"),"")))</f>
        <v/>
      </c>
      <c r="O382" t="str">
        <f>IF(M382="","",IF(M382="[FÓRMULA MANUAL]","",IFERROR(AVERAGEIFS(DATOS!$K$2:$K$20000,DATOS!$A$2:$A$20000,M382,DATOS!$G$2:$G$20000,CONFIG_METADATA!$B$4,DATOS!$I$2:$I$20000,"Orquesta/Banda/Conjunto"),"")))</f>
        <v/>
      </c>
      <c r="P382" t="str">
        <f>IF(M382="","",IF(M382="[FÓRMULA MANUAL]","",IFERROR(AVERAGEIFS(DATOS!$K$2:$K$20000,DATOS!$A$2:$A$20000,M382,DATOS!$G$2:$G$20000,CONFIG_METADATA!$B$4,DATOS!$I$2:$I$20000,"Música de Cámara"),"")))</f>
        <v/>
      </c>
      <c r="Q382" t="str">
        <f>IF(M382="","",IF(M382="[FÓRMULA MANUAL]","",IFERROR(SUMPRODUCT((DATOS!$A$2:$A$20000=M382)*(DATOS!$G$2:$G$20000=CONFIG_METADATA!$B$4)*(COUNTIF(CONFIG_ASIGNATURAS!$B$7:$B$27,DATOS!$I$2:$I$20000)&gt;0)*(DATOS!$K$2:$K$20000))/SUMPRODUCT((DATOS!$A$2:$A$20000=M382)*(DATOS!$G$2:$G$20000=CONFIG_METADATA!$B$4)*(COUNTIF(CONFIG_ASIGNATURAS!$B$7:$B$27,DATOS!$I$2:$I$20000)&gt;0)*1),"")))</f>
        <v/>
      </c>
      <c r="T382" t="str">
        <f>IF(S382="","",IF(S382="[FÓRMULA MANUAL]","",IFERROR(AVERAGEIFS(DATOS!$K$2:$K$20000,DATOS!$A$2:$A$20000,S382,DATOS!$G$2:$G$20000,CONFIG_METADATA!$B$4,DATOS!$I$2:$I$20000,"Armonía"),"")))</f>
        <v/>
      </c>
      <c r="U382" t="str">
        <f>IF(S382="","",IF(S382="[FÓRMULA MANUAL]","",IFERROR(AVERAGEIFS(DATOS!$K$2:$K$20000,DATOS!$A$2:$A$20000,S382,DATOS!$G$2:$G$20000,CONFIG_METADATA!$B$4,DATOS!$I$2:$I$20000,"Orquesta/Banda/Conjunto"),"")))</f>
        <v/>
      </c>
      <c r="V382" t="str">
        <f>IF(S382="","",IF(S382="[FÓRMULA MANUAL]","",IFERROR(AVERAGEIFS(DATOS!$K$2:$K$20000,DATOS!$A$2:$A$20000,S382,DATOS!$G$2:$G$20000,CONFIG_METADATA!$B$4,DATOS!$I$2:$I$20000,"Música de Cámara"),"")))</f>
        <v/>
      </c>
      <c r="W382" t="str">
        <f>IF(S382="","",IF(S382="[FÓRMULA MANUAL]","",IFERROR(SUMPRODUCT((DATOS!$A$2:$A$20000=S382)*(DATOS!$G$2:$G$20000=CONFIG_METADATA!$B$4)*(COUNTIF(CONFIG_ASIGNATURAS!$B$7:$B$27,DATOS!$I$2:$I$20000)&gt;0)*(DATOS!$K$2:$K$20000))/SUMPRODUCT((DATOS!$A$2:$A$20000=S382)*(DATOS!$G$2:$G$20000=CONFIG_METADATA!$B$4)*(COUNTIF(CONFIG_ASIGNATURAS!$B$7:$B$27,DATOS!$I$2:$I$20000)&gt;0)*1),"")))</f>
        <v/>
      </c>
      <c r="Z382" t="str">
        <f>IF(Y382="","",IF(Y382="[FÓRMULA MANUAL]","",IFERROR(AVERAGEIFS(DATOS!$K$2:$K$20000,DATOS!$A$2:$A$20000,Y382,DATOS!$G$2:$G$20000,CONFIG_METADATA!$B$4,DATOS!$I$2:$I$20000,"Análisis"),"")))</f>
        <v/>
      </c>
      <c r="AA382" t="str">
        <f>IF(Y382="","",IF(Y382="[FÓRMULA MANUAL]","",IFERROR(AVERAGEIFS(DATOS!$K$2:$K$20000,DATOS!$A$2:$A$20000,Y382,DATOS!$G$2:$G$20000,CONFIG_METADATA!$B$4,DATOS!$I$2:$I$20000,"Orquesta/Banda/Conjunto"),"")))</f>
        <v/>
      </c>
      <c r="AB382" t="str">
        <f>IF(Y382="","",IF(Y382="[FÓRMULA MANUAL]","",IFERROR(AVERAGEIFS(DATOS!$K$2:$K$20000,DATOS!$A$2:$A$20000,Y382,DATOS!$G$2:$G$20000,CONFIG_METADATA!$B$4,DATOS!$I$2:$I$20000,"Música de Cámara"),"")))</f>
        <v/>
      </c>
      <c r="AC382" t="str">
        <f>IF(Y382="","",IF(Y382="[FÓRMULA MANUAL]","",IFERROR(SUMPRODUCT((DATOS!$A$2:$A$20000=Y382)*(DATOS!$G$2:$G$20000=CONFIG_METADATA!$B$4)*(COUNTIF(CONFIG_ASIGNATURAS!$B$7:$B$27,DATOS!$I$2:$I$20000)&gt;0)*(DATOS!$K$2:$K$20000))/SUMPRODUCT((DATOS!$A$2:$A$20000=Y382)*(DATOS!$G$2:$G$20000=CONFIG_METADATA!$B$4)*(COUNTIF(CONFIG_ASIGNATURAS!$B$7:$B$27,DATOS!$I$2:$I$20000)&gt;0)*1),"")))</f>
        <v/>
      </c>
      <c r="AF382" t="str">
        <f>IF(AE382="","",IF(AE382="[FÓRMULA MANUAL]","",IFERROR(AVERAGEIFS(DATOS!$K$2:$K$20000,DATOS!$A$2:$A$20000,AE382,DATOS!$G$2:$G$20000,CONFIG_METADATA!$B$4,DATOS!$I$2:$I$20000,"Análisis"),"")))</f>
        <v/>
      </c>
      <c r="AG382" t="str">
        <f>IF(AE382="","",IF(AE382="[FÓRMULA MANUAL]","",IFERROR(AVERAGEIFS(DATOS!$K$2:$K$20000,DATOS!$A$2:$A$20000,AE382,DATOS!$G$2:$G$20000,CONFIG_METADATA!$B$4,DATOS!$I$2:$I$20000,"Orquesta/Banda/Conjunto"),"")))</f>
        <v/>
      </c>
      <c r="AH382" t="str">
        <f>IF(AE382="","",IF(AE382="[FÓRMULA MANUAL]","",IFERROR(AVERAGEIFS(DATOS!$K$2:$K$20000,DATOS!$A$2:$A$20000,AE382,DATOS!$G$2:$G$20000,CONFIG_METADATA!$B$4,DATOS!$I$2:$I$20000,"Música de Cámara"),"")))</f>
        <v/>
      </c>
      <c r="AI382" t="str">
        <f>IF(AE382="","",IF(AE382="[FÓRMULA MANUAL]","",IFERROR(SUMPRODUCT((DATOS!$A$2:$A$20000=AE382)*(DATOS!$G$2:$G$20000=CONFIG_METADATA!$B$4)*(COUNTIF(CONFIG_ASIGNATURAS!$B$7:$B$27,DATOS!$I$2:$I$20000)&gt;0)*(DATOS!$K$2:$K$20000))/SUMPRODUCT((DATOS!$A$2:$A$20000=AE382)*(DATOS!$G$2:$G$20000=CONFIG_METADATA!$B$4)*(COUNTIF(CONFIG_ASIGNATURAS!$B$7:$B$27,DATOS!$I$2:$I$20000)&gt;0)*1),"")))</f>
        <v/>
      </c>
    </row>
    <row r="383" spans="2:35" x14ac:dyDescent="0.2">
      <c r="B383" t="str">
        <f>IF(A383="","",IF(A383="[FÓRMULA MANUAL]","",IFERROR(AVERAGEIFS(DATOS!$K$2:$K$20000,DATOS!$A$2:$A$20000,A383,DATOS!$G$2:$G$20000,CONFIG_METADATA!$B$4,DATOS!$I$2:$I$20000,"Lenguaje Musical"),"")))</f>
        <v/>
      </c>
      <c r="C383" t="str">
        <f>IF(A383="","",IF(A383="[FÓRMULA MANUAL]","",IFERROR(AVERAGEIFS(DATOS!$K$2:$K$20000,DATOS!$A$2:$A$20000,A383,DATOS!$G$2:$G$20000,CONFIG_METADATA!$B$4,DATOS!$I$2:$I$20000,"Orquesta/Banda/Conjunto"),"")))</f>
        <v/>
      </c>
      <c r="D383" t="str">
        <f>IF(A383="","",IF(A383="[FÓRMULA MANUAL]","",IFERROR(AVERAGEIFS(DATOS!$K$2:$K$20000,DATOS!$A$2:$A$20000,A383,DATOS!$G$2:$G$20000,CONFIG_METADATA!$B$4,DATOS!$I$2:$I$20000,"Conjunto"),"")))</f>
        <v/>
      </c>
      <c r="E383" t="str">
        <f>IF(A383="","",IF(A383="[FÓRMULA MANUAL]","",IFERROR(SUMPRODUCT((DATOS!$A$2:$A$20000=A383)*(DATOS!$G$2:$G$20000=CONFIG_METADATA!$B$4)*(COUNTIF(CONFIG_ASIGNATURAS!$B$7:$B$27,DATOS!$I$2:$I$20000)&gt;0)*(DATOS!$K$2:$K$20000))/SUMPRODUCT((DATOS!$A$2:$A$20000=A383)*(DATOS!$G$2:$G$20000=CONFIG_METADATA!$B$4)*(COUNTIF(CONFIG_ASIGNATURAS!$B$7:$B$27,DATOS!$I$2:$I$20000)&gt;0)*1),"")))</f>
        <v/>
      </c>
      <c r="H383" t="str">
        <f>IF(G383="","",IF(G383="[FÓRMULA MANUAL]","",IFERROR(AVERAGEIFS(DATOS!$K$2:$K$20000,DATOS!$A$2:$A$20000,G383,DATOS!$G$2:$G$20000,CONFIG_METADATA!$B$4,DATOS!$I$2:$I$20000,"Lenguaje Musical"),"")))</f>
        <v/>
      </c>
      <c r="I383" t="str">
        <f>IF(G383="","",IF(G383="[FÓRMULA MANUAL]","",IFERROR(AVERAGEIFS(DATOS!$K$2:$K$20000,DATOS!$A$2:$A$20000,G383,DATOS!$G$2:$G$20000,CONFIG_METADATA!$B$4,DATOS!$I$2:$I$20000,"Orquesta/Banda/Conjunto"),"")))</f>
        <v/>
      </c>
      <c r="J383" t="str">
        <f>IF(G383="","",IF(G383="[FÓRMULA MANUAL]","",IFERROR(AVERAGEIFS(DATOS!$K$2:$K$20000,DATOS!$A$2:$A$20000,G383,DATOS!$G$2:$G$20000,CONFIG_METADATA!$B$4,DATOS!$I$2:$I$20000,"Conjunto"),"")))</f>
        <v/>
      </c>
      <c r="K383" t="str">
        <f>IF(G383="","",IF(G383="[FÓRMULA MANUAL]","",IFERROR(SUMPRODUCT((DATOS!$A$2:$A$20000=G383)*(DATOS!$G$2:$G$20000=CONFIG_METADATA!$B$4)*(COUNTIF(CONFIG_ASIGNATURAS!$B$7:$B$27,DATOS!$I$2:$I$20000)&gt;0)*(DATOS!$K$2:$K$20000))/SUMPRODUCT((DATOS!$A$2:$A$20000=G383)*(DATOS!$G$2:$G$20000=CONFIG_METADATA!$B$4)*(COUNTIF(CONFIG_ASIGNATURAS!$B$7:$B$27,DATOS!$I$2:$I$20000)&gt;0)*1),"")))</f>
        <v/>
      </c>
      <c r="N383" t="str">
        <f>IF(M383="","",IF(M383="[FÓRMULA MANUAL]","",IFERROR(AVERAGEIFS(DATOS!$K$2:$K$20000,DATOS!$A$2:$A$20000,M383,DATOS!$G$2:$G$20000,CONFIG_METADATA!$B$4,DATOS!$I$2:$I$20000,"Armonía"),"")))</f>
        <v/>
      </c>
      <c r="O383" t="str">
        <f>IF(M383="","",IF(M383="[FÓRMULA MANUAL]","",IFERROR(AVERAGEIFS(DATOS!$K$2:$K$20000,DATOS!$A$2:$A$20000,M383,DATOS!$G$2:$G$20000,CONFIG_METADATA!$B$4,DATOS!$I$2:$I$20000,"Orquesta/Banda/Conjunto"),"")))</f>
        <v/>
      </c>
      <c r="P383" t="str">
        <f>IF(M383="","",IF(M383="[FÓRMULA MANUAL]","",IFERROR(AVERAGEIFS(DATOS!$K$2:$K$20000,DATOS!$A$2:$A$20000,M383,DATOS!$G$2:$G$20000,CONFIG_METADATA!$B$4,DATOS!$I$2:$I$20000,"Música de Cámara"),"")))</f>
        <v/>
      </c>
      <c r="Q383" t="str">
        <f>IF(M383="","",IF(M383="[FÓRMULA MANUAL]","",IFERROR(SUMPRODUCT((DATOS!$A$2:$A$20000=M383)*(DATOS!$G$2:$G$20000=CONFIG_METADATA!$B$4)*(COUNTIF(CONFIG_ASIGNATURAS!$B$7:$B$27,DATOS!$I$2:$I$20000)&gt;0)*(DATOS!$K$2:$K$20000))/SUMPRODUCT((DATOS!$A$2:$A$20000=M383)*(DATOS!$G$2:$G$20000=CONFIG_METADATA!$B$4)*(COUNTIF(CONFIG_ASIGNATURAS!$B$7:$B$27,DATOS!$I$2:$I$20000)&gt;0)*1),"")))</f>
        <v/>
      </c>
      <c r="T383" t="str">
        <f>IF(S383="","",IF(S383="[FÓRMULA MANUAL]","",IFERROR(AVERAGEIFS(DATOS!$K$2:$K$20000,DATOS!$A$2:$A$20000,S383,DATOS!$G$2:$G$20000,CONFIG_METADATA!$B$4,DATOS!$I$2:$I$20000,"Armonía"),"")))</f>
        <v/>
      </c>
      <c r="U383" t="str">
        <f>IF(S383="","",IF(S383="[FÓRMULA MANUAL]","",IFERROR(AVERAGEIFS(DATOS!$K$2:$K$20000,DATOS!$A$2:$A$20000,S383,DATOS!$G$2:$G$20000,CONFIG_METADATA!$B$4,DATOS!$I$2:$I$20000,"Orquesta/Banda/Conjunto"),"")))</f>
        <v/>
      </c>
      <c r="V383" t="str">
        <f>IF(S383="","",IF(S383="[FÓRMULA MANUAL]","",IFERROR(AVERAGEIFS(DATOS!$K$2:$K$20000,DATOS!$A$2:$A$20000,S383,DATOS!$G$2:$G$20000,CONFIG_METADATA!$B$4,DATOS!$I$2:$I$20000,"Música de Cámara"),"")))</f>
        <v/>
      </c>
      <c r="W383" t="str">
        <f>IF(S383="","",IF(S383="[FÓRMULA MANUAL]","",IFERROR(SUMPRODUCT((DATOS!$A$2:$A$20000=S383)*(DATOS!$G$2:$G$20000=CONFIG_METADATA!$B$4)*(COUNTIF(CONFIG_ASIGNATURAS!$B$7:$B$27,DATOS!$I$2:$I$20000)&gt;0)*(DATOS!$K$2:$K$20000))/SUMPRODUCT((DATOS!$A$2:$A$20000=S383)*(DATOS!$G$2:$G$20000=CONFIG_METADATA!$B$4)*(COUNTIF(CONFIG_ASIGNATURAS!$B$7:$B$27,DATOS!$I$2:$I$20000)&gt;0)*1),"")))</f>
        <v/>
      </c>
      <c r="Z383" t="str">
        <f>IF(Y383="","",IF(Y383="[FÓRMULA MANUAL]","",IFERROR(AVERAGEIFS(DATOS!$K$2:$K$20000,DATOS!$A$2:$A$20000,Y383,DATOS!$G$2:$G$20000,CONFIG_METADATA!$B$4,DATOS!$I$2:$I$20000,"Análisis"),"")))</f>
        <v/>
      </c>
      <c r="AA383" t="str">
        <f>IF(Y383="","",IF(Y383="[FÓRMULA MANUAL]","",IFERROR(AVERAGEIFS(DATOS!$K$2:$K$20000,DATOS!$A$2:$A$20000,Y383,DATOS!$G$2:$G$20000,CONFIG_METADATA!$B$4,DATOS!$I$2:$I$20000,"Orquesta/Banda/Conjunto"),"")))</f>
        <v/>
      </c>
      <c r="AB383" t="str">
        <f>IF(Y383="","",IF(Y383="[FÓRMULA MANUAL]","",IFERROR(AVERAGEIFS(DATOS!$K$2:$K$20000,DATOS!$A$2:$A$20000,Y383,DATOS!$G$2:$G$20000,CONFIG_METADATA!$B$4,DATOS!$I$2:$I$20000,"Música de Cámara"),"")))</f>
        <v/>
      </c>
      <c r="AC383" t="str">
        <f>IF(Y383="","",IF(Y383="[FÓRMULA MANUAL]","",IFERROR(SUMPRODUCT((DATOS!$A$2:$A$20000=Y383)*(DATOS!$G$2:$G$20000=CONFIG_METADATA!$B$4)*(COUNTIF(CONFIG_ASIGNATURAS!$B$7:$B$27,DATOS!$I$2:$I$20000)&gt;0)*(DATOS!$K$2:$K$20000))/SUMPRODUCT((DATOS!$A$2:$A$20000=Y383)*(DATOS!$G$2:$G$20000=CONFIG_METADATA!$B$4)*(COUNTIF(CONFIG_ASIGNATURAS!$B$7:$B$27,DATOS!$I$2:$I$20000)&gt;0)*1),"")))</f>
        <v/>
      </c>
      <c r="AF383" t="str">
        <f>IF(AE383="","",IF(AE383="[FÓRMULA MANUAL]","",IFERROR(AVERAGEIFS(DATOS!$K$2:$K$20000,DATOS!$A$2:$A$20000,AE383,DATOS!$G$2:$G$20000,CONFIG_METADATA!$B$4,DATOS!$I$2:$I$20000,"Análisis"),"")))</f>
        <v/>
      </c>
      <c r="AG383" t="str">
        <f>IF(AE383="","",IF(AE383="[FÓRMULA MANUAL]","",IFERROR(AVERAGEIFS(DATOS!$K$2:$K$20000,DATOS!$A$2:$A$20000,AE383,DATOS!$G$2:$G$20000,CONFIG_METADATA!$B$4,DATOS!$I$2:$I$20000,"Orquesta/Banda/Conjunto"),"")))</f>
        <v/>
      </c>
      <c r="AH383" t="str">
        <f>IF(AE383="","",IF(AE383="[FÓRMULA MANUAL]","",IFERROR(AVERAGEIFS(DATOS!$K$2:$K$20000,DATOS!$A$2:$A$20000,AE383,DATOS!$G$2:$G$20000,CONFIG_METADATA!$B$4,DATOS!$I$2:$I$20000,"Música de Cámara"),"")))</f>
        <v/>
      </c>
      <c r="AI383" t="str">
        <f>IF(AE383="","",IF(AE383="[FÓRMULA MANUAL]","",IFERROR(SUMPRODUCT((DATOS!$A$2:$A$20000=AE383)*(DATOS!$G$2:$G$20000=CONFIG_METADATA!$B$4)*(COUNTIF(CONFIG_ASIGNATURAS!$B$7:$B$27,DATOS!$I$2:$I$20000)&gt;0)*(DATOS!$K$2:$K$20000))/SUMPRODUCT((DATOS!$A$2:$A$20000=AE383)*(DATOS!$G$2:$G$20000=CONFIG_METADATA!$B$4)*(COUNTIF(CONFIG_ASIGNATURAS!$B$7:$B$27,DATOS!$I$2:$I$20000)&gt;0)*1),"")))</f>
        <v/>
      </c>
    </row>
    <row r="384" spans="2:35" x14ac:dyDescent="0.2">
      <c r="B384" t="str">
        <f>IF(A384="","",IF(A384="[FÓRMULA MANUAL]","",IFERROR(AVERAGEIFS(DATOS!$K$2:$K$20000,DATOS!$A$2:$A$20000,A384,DATOS!$G$2:$G$20000,CONFIG_METADATA!$B$4,DATOS!$I$2:$I$20000,"Lenguaje Musical"),"")))</f>
        <v/>
      </c>
      <c r="C384" t="str">
        <f>IF(A384="","",IF(A384="[FÓRMULA MANUAL]","",IFERROR(AVERAGEIFS(DATOS!$K$2:$K$20000,DATOS!$A$2:$A$20000,A384,DATOS!$G$2:$G$20000,CONFIG_METADATA!$B$4,DATOS!$I$2:$I$20000,"Orquesta/Banda/Conjunto"),"")))</f>
        <v/>
      </c>
      <c r="D384" t="str">
        <f>IF(A384="","",IF(A384="[FÓRMULA MANUAL]","",IFERROR(AVERAGEIFS(DATOS!$K$2:$K$20000,DATOS!$A$2:$A$20000,A384,DATOS!$G$2:$G$20000,CONFIG_METADATA!$B$4,DATOS!$I$2:$I$20000,"Conjunto"),"")))</f>
        <v/>
      </c>
      <c r="E384" t="str">
        <f>IF(A384="","",IF(A384="[FÓRMULA MANUAL]","",IFERROR(SUMPRODUCT((DATOS!$A$2:$A$20000=A384)*(DATOS!$G$2:$G$20000=CONFIG_METADATA!$B$4)*(COUNTIF(CONFIG_ASIGNATURAS!$B$7:$B$27,DATOS!$I$2:$I$20000)&gt;0)*(DATOS!$K$2:$K$20000))/SUMPRODUCT((DATOS!$A$2:$A$20000=A384)*(DATOS!$G$2:$G$20000=CONFIG_METADATA!$B$4)*(COUNTIF(CONFIG_ASIGNATURAS!$B$7:$B$27,DATOS!$I$2:$I$20000)&gt;0)*1),"")))</f>
        <v/>
      </c>
      <c r="H384" t="str">
        <f>IF(G384="","",IF(G384="[FÓRMULA MANUAL]","",IFERROR(AVERAGEIFS(DATOS!$K$2:$K$20000,DATOS!$A$2:$A$20000,G384,DATOS!$G$2:$G$20000,CONFIG_METADATA!$B$4,DATOS!$I$2:$I$20000,"Lenguaje Musical"),"")))</f>
        <v/>
      </c>
      <c r="I384" t="str">
        <f>IF(G384="","",IF(G384="[FÓRMULA MANUAL]","",IFERROR(AVERAGEIFS(DATOS!$K$2:$K$20000,DATOS!$A$2:$A$20000,G384,DATOS!$G$2:$G$20000,CONFIG_METADATA!$B$4,DATOS!$I$2:$I$20000,"Orquesta/Banda/Conjunto"),"")))</f>
        <v/>
      </c>
      <c r="J384" t="str">
        <f>IF(G384="","",IF(G384="[FÓRMULA MANUAL]","",IFERROR(AVERAGEIFS(DATOS!$K$2:$K$20000,DATOS!$A$2:$A$20000,G384,DATOS!$G$2:$G$20000,CONFIG_METADATA!$B$4,DATOS!$I$2:$I$20000,"Conjunto"),"")))</f>
        <v/>
      </c>
      <c r="K384" t="str">
        <f>IF(G384="","",IF(G384="[FÓRMULA MANUAL]","",IFERROR(SUMPRODUCT((DATOS!$A$2:$A$20000=G384)*(DATOS!$G$2:$G$20000=CONFIG_METADATA!$B$4)*(COUNTIF(CONFIG_ASIGNATURAS!$B$7:$B$27,DATOS!$I$2:$I$20000)&gt;0)*(DATOS!$K$2:$K$20000))/SUMPRODUCT((DATOS!$A$2:$A$20000=G384)*(DATOS!$G$2:$G$20000=CONFIG_METADATA!$B$4)*(COUNTIF(CONFIG_ASIGNATURAS!$B$7:$B$27,DATOS!$I$2:$I$20000)&gt;0)*1),"")))</f>
        <v/>
      </c>
      <c r="N384" t="str">
        <f>IF(M384="","",IF(M384="[FÓRMULA MANUAL]","",IFERROR(AVERAGEIFS(DATOS!$K$2:$K$20000,DATOS!$A$2:$A$20000,M384,DATOS!$G$2:$G$20000,CONFIG_METADATA!$B$4,DATOS!$I$2:$I$20000,"Armonía"),"")))</f>
        <v/>
      </c>
      <c r="O384" t="str">
        <f>IF(M384="","",IF(M384="[FÓRMULA MANUAL]","",IFERROR(AVERAGEIFS(DATOS!$K$2:$K$20000,DATOS!$A$2:$A$20000,M384,DATOS!$G$2:$G$20000,CONFIG_METADATA!$B$4,DATOS!$I$2:$I$20000,"Orquesta/Banda/Conjunto"),"")))</f>
        <v/>
      </c>
      <c r="P384" t="str">
        <f>IF(M384="","",IF(M384="[FÓRMULA MANUAL]","",IFERROR(AVERAGEIFS(DATOS!$K$2:$K$20000,DATOS!$A$2:$A$20000,M384,DATOS!$G$2:$G$20000,CONFIG_METADATA!$B$4,DATOS!$I$2:$I$20000,"Música de Cámara"),"")))</f>
        <v/>
      </c>
      <c r="Q384" t="str">
        <f>IF(M384="","",IF(M384="[FÓRMULA MANUAL]","",IFERROR(SUMPRODUCT((DATOS!$A$2:$A$20000=M384)*(DATOS!$G$2:$G$20000=CONFIG_METADATA!$B$4)*(COUNTIF(CONFIG_ASIGNATURAS!$B$7:$B$27,DATOS!$I$2:$I$20000)&gt;0)*(DATOS!$K$2:$K$20000))/SUMPRODUCT((DATOS!$A$2:$A$20000=M384)*(DATOS!$G$2:$G$20000=CONFIG_METADATA!$B$4)*(COUNTIF(CONFIG_ASIGNATURAS!$B$7:$B$27,DATOS!$I$2:$I$20000)&gt;0)*1),"")))</f>
        <v/>
      </c>
      <c r="T384" t="str">
        <f>IF(S384="","",IF(S384="[FÓRMULA MANUAL]","",IFERROR(AVERAGEIFS(DATOS!$K$2:$K$20000,DATOS!$A$2:$A$20000,S384,DATOS!$G$2:$G$20000,CONFIG_METADATA!$B$4,DATOS!$I$2:$I$20000,"Armonía"),"")))</f>
        <v/>
      </c>
      <c r="U384" t="str">
        <f>IF(S384="","",IF(S384="[FÓRMULA MANUAL]","",IFERROR(AVERAGEIFS(DATOS!$K$2:$K$20000,DATOS!$A$2:$A$20000,S384,DATOS!$G$2:$G$20000,CONFIG_METADATA!$B$4,DATOS!$I$2:$I$20000,"Orquesta/Banda/Conjunto"),"")))</f>
        <v/>
      </c>
      <c r="V384" t="str">
        <f>IF(S384="","",IF(S384="[FÓRMULA MANUAL]","",IFERROR(AVERAGEIFS(DATOS!$K$2:$K$20000,DATOS!$A$2:$A$20000,S384,DATOS!$G$2:$G$20000,CONFIG_METADATA!$B$4,DATOS!$I$2:$I$20000,"Música de Cámara"),"")))</f>
        <v/>
      </c>
      <c r="W384" t="str">
        <f>IF(S384="","",IF(S384="[FÓRMULA MANUAL]","",IFERROR(SUMPRODUCT((DATOS!$A$2:$A$20000=S384)*(DATOS!$G$2:$G$20000=CONFIG_METADATA!$B$4)*(COUNTIF(CONFIG_ASIGNATURAS!$B$7:$B$27,DATOS!$I$2:$I$20000)&gt;0)*(DATOS!$K$2:$K$20000))/SUMPRODUCT((DATOS!$A$2:$A$20000=S384)*(DATOS!$G$2:$G$20000=CONFIG_METADATA!$B$4)*(COUNTIF(CONFIG_ASIGNATURAS!$B$7:$B$27,DATOS!$I$2:$I$20000)&gt;0)*1),"")))</f>
        <v/>
      </c>
      <c r="Z384" t="str">
        <f>IF(Y384="","",IF(Y384="[FÓRMULA MANUAL]","",IFERROR(AVERAGEIFS(DATOS!$K$2:$K$20000,DATOS!$A$2:$A$20000,Y384,DATOS!$G$2:$G$20000,CONFIG_METADATA!$B$4,DATOS!$I$2:$I$20000,"Análisis"),"")))</f>
        <v/>
      </c>
      <c r="AA384" t="str">
        <f>IF(Y384="","",IF(Y384="[FÓRMULA MANUAL]","",IFERROR(AVERAGEIFS(DATOS!$K$2:$K$20000,DATOS!$A$2:$A$20000,Y384,DATOS!$G$2:$G$20000,CONFIG_METADATA!$B$4,DATOS!$I$2:$I$20000,"Orquesta/Banda/Conjunto"),"")))</f>
        <v/>
      </c>
      <c r="AB384" t="str">
        <f>IF(Y384="","",IF(Y384="[FÓRMULA MANUAL]","",IFERROR(AVERAGEIFS(DATOS!$K$2:$K$20000,DATOS!$A$2:$A$20000,Y384,DATOS!$G$2:$G$20000,CONFIG_METADATA!$B$4,DATOS!$I$2:$I$20000,"Música de Cámara"),"")))</f>
        <v/>
      </c>
      <c r="AC384" t="str">
        <f>IF(Y384="","",IF(Y384="[FÓRMULA MANUAL]","",IFERROR(SUMPRODUCT((DATOS!$A$2:$A$20000=Y384)*(DATOS!$G$2:$G$20000=CONFIG_METADATA!$B$4)*(COUNTIF(CONFIG_ASIGNATURAS!$B$7:$B$27,DATOS!$I$2:$I$20000)&gt;0)*(DATOS!$K$2:$K$20000))/SUMPRODUCT((DATOS!$A$2:$A$20000=Y384)*(DATOS!$G$2:$G$20000=CONFIG_METADATA!$B$4)*(COUNTIF(CONFIG_ASIGNATURAS!$B$7:$B$27,DATOS!$I$2:$I$20000)&gt;0)*1),"")))</f>
        <v/>
      </c>
      <c r="AF384" t="str">
        <f>IF(AE384="","",IF(AE384="[FÓRMULA MANUAL]","",IFERROR(AVERAGEIFS(DATOS!$K$2:$K$20000,DATOS!$A$2:$A$20000,AE384,DATOS!$G$2:$G$20000,CONFIG_METADATA!$B$4,DATOS!$I$2:$I$20000,"Análisis"),"")))</f>
        <v/>
      </c>
      <c r="AG384" t="str">
        <f>IF(AE384="","",IF(AE384="[FÓRMULA MANUAL]","",IFERROR(AVERAGEIFS(DATOS!$K$2:$K$20000,DATOS!$A$2:$A$20000,AE384,DATOS!$G$2:$G$20000,CONFIG_METADATA!$B$4,DATOS!$I$2:$I$20000,"Orquesta/Banda/Conjunto"),"")))</f>
        <v/>
      </c>
      <c r="AH384" t="str">
        <f>IF(AE384="","",IF(AE384="[FÓRMULA MANUAL]","",IFERROR(AVERAGEIFS(DATOS!$K$2:$K$20000,DATOS!$A$2:$A$20000,AE384,DATOS!$G$2:$G$20000,CONFIG_METADATA!$B$4,DATOS!$I$2:$I$20000,"Música de Cámara"),"")))</f>
        <v/>
      </c>
      <c r="AI384" t="str">
        <f>IF(AE384="","",IF(AE384="[FÓRMULA MANUAL]","",IFERROR(SUMPRODUCT((DATOS!$A$2:$A$20000=AE384)*(DATOS!$G$2:$G$20000=CONFIG_METADATA!$B$4)*(COUNTIF(CONFIG_ASIGNATURAS!$B$7:$B$27,DATOS!$I$2:$I$20000)&gt;0)*(DATOS!$K$2:$K$20000))/SUMPRODUCT((DATOS!$A$2:$A$20000=AE384)*(DATOS!$G$2:$G$20000=CONFIG_METADATA!$B$4)*(COUNTIF(CONFIG_ASIGNATURAS!$B$7:$B$27,DATOS!$I$2:$I$20000)&gt;0)*1),"")))</f>
        <v/>
      </c>
    </row>
    <row r="385" spans="2:35" x14ac:dyDescent="0.2">
      <c r="B385" t="str">
        <f>IF(A385="","",IF(A385="[FÓRMULA MANUAL]","",IFERROR(AVERAGEIFS(DATOS!$K$2:$K$20000,DATOS!$A$2:$A$20000,A385,DATOS!$G$2:$G$20000,CONFIG_METADATA!$B$4,DATOS!$I$2:$I$20000,"Lenguaje Musical"),"")))</f>
        <v/>
      </c>
      <c r="C385" t="str">
        <f>IF(A385="","",IF(A385="[FÓRMULA MANUAL]","",IFERROR(AVERAGEIFS(DATOS!$K$2:$K$20000,DATOS!$A$2:$A$20000,A385,DATOS!$G$2:$G$20000,CONFIG_METADATA!$B$4,DATOS!$I$2:$I$20000,"Orquesta/Banda/Conjunto"),"")))</f>
        <v/>
      </c>
      <c r="D385" t="str">
        <f>IF(A385="","",IF(A385="[FÓRMULA MANUAL]","",IFERROR(AVERAGEIFS(DATOS!$K$2:$K$20000,DATOS!$A$2:$A$20000,A385,DATOS!$G$2:$G$20000,CONFIG_METADATA!$B$4,DATOS!$I$2:$I$20000,"Conjunto"),"")))</f>
        <v/>
      </c>
      <c r="E385" t="str">
        <f>IF(A385="","",IF(A385="[FÓRMULA MANUAL]","",IFERROR(SUMPRODUCT((DATOS!$A$2:$A$20000=A385)*(DATOS!$G$2:$G$20000=CONFIG_METADATA!$B$4)*(COUNTIF(CONFIG_ASIGNATURAS!$B$7:$B$27,DATOS!$I$2:$I$20000)&gt;0)*(DATOS!$K$2:$K$20000))/SUMPRODUCT((DATOS!$A$2:$A$20000=A385)*(DATOS!$G$2:$G$20000=CONFIG_METADATA!$B$4)*(COUNTIF(CONFIG_ASIGNATURAS!$B$7:$B$27,DATOS!$I$2:$I$20000)&gt;0)*1),"")))</f>
        <v/>
      </c>
      <c r="H385" t="str">
        <f>IF(G385="","",IF(G385="[FÓRMULA MANUAL]","",IFERROR(AVERAGEIFS(DATOS!$K$2:$K$20000,DATOS!$A$2:$A$20000,G385,DATOS!$G$2:$G$20000,CONFIG_METADATA!$B$4,DATOS!$I$2:$I$20000,"Lenguaje Musical"),"")))</f>
        <v/>
      </c>
      <c r="I385" t="str">
        <f>IF(G385="","",IF(G385="[FÓRMULA MANUAL]","",IFERROR(AVERAGEIFS(DATOS!$K$2:$K$20000,DATOS!$A$2:$A$20000,G385,DATOS!$G$2:$G$20000,CONFIG_METADATA!$B$4,DATOS!$I$2:$I$20000,"Orquesta/Banda/Conjunto"),"")))</f>
        <v/>
      </c>
      <c r="J385" t="str">
        <f>IF(G385="","",IF(G385="[FÓRMULA MANUAL]","",IFERROR(AVERAGEIFS(DATOS!$K$2:$K$20000,DATOS!$A$2:$A$20000,G385,DATOS!$G$2:$G$20000,CONFIG_METADATA!$B$4,DATOS!$I$2:$I$20000,"Conjunto"),"")))</f>
        <v/>
      </c>
      <c r="K385" t="str">
        <f>IF(G385="","",IF(G385="[FÓRMULA MANUAL]","",IFERROR(SUMPRODUCT((DATOS!$A$2:$A$20000=G385)*(DATOS!$G$2:$G$20000=CONFIG_METADATA!$B$4)*(COUNTIF(CONFIG_ASIGNATURAS!$B$7:$B$27,DATOS!$I$2:$I$20000)&gt;0)*(DATOS!$K$2:$K$20000))/SUMPRODUCT((DATOS!$A$2:$A$20000=G385)*(DATOS!$G$2:$G$20000=CONFIG_METADATA!$B$4)*(COUNTIF(CONFIG_ASIGNATURAS!$B$7:$B$27,DATOS!$I$2:$I$20000)&gt;0)*1),"")))</f>
        <v/>
      </c>
      <c r="N385" t="str">
        <f>IF(M385="","",IF(M385="[FÓRMULA MANUAL]","",IFERROR(AVERAGEIFS(DATOS!$K$2:$K$20000,DATOS!$A$2:$A$20000,M385,DATOS!$G$2:$G$20000,CONFIG_METADATA!$B$4,DATOS!$I$2:$I$20000,"Armonía"),"")))</f>
        <v/>
      </c>
      <c r="O385" t="str">
        <f>IF(M385="","",IF(M385="[FÓRMULA MANUAL]","",IFERROR(AVERAGEIFS(DATOS!$K$2:$K$20000,DATOS!$A$2:$A$20000,M385,DATOS!$G$2:$G$20000,CONFIG_METADATA!$B$4,DATOS!$I$2:$I$20000,"Orquesta/Banda/Conjunto"),"")))</f>
        <v/>
      </c>
      <c r="P385" t="str">
        <f>IF(M385="","",IF(M385="[FÓRMULA MANUAL]","",IFERROR(AVERAGEIFS(DATOS!$K$2:$K$20000,DATOS!$A$2:$A$20000,M385,DATOS!$G$2:$G$20000,CONFIG_METADATA!$B$4,DATOS!$I$2:$I$20000,"Música de Cámara"),"")))</f>
        <v/>
      </c>
      <c r="Q385" t="str">
        <f>IF(M385="","",IF(M385="[FÓRMULA MANUAL]","",IFERROR(SUMPRODUCT((DATOS!$A$2:$A$20000=M385)*(DATOS!$G$2:$G$20000=CONFIG_METADATA!$B$4)*(COUNTIF(CONFIG_ASIGNATURAS!$B$7:$B$27,DATOS!$I$2:$I$20000)&gt;0)*(DATOS!$K$2:$K$20000))/SUMPRODUCT((DATOS!$A$2:$A$20000=M385)*(DATOS!$G$2:$G$20000=CONFIG_METADATA!$B$4)*(COUNTIF(CONFIG_ASIGNATURAS!$B$7:$B$27,DATOS!$I$2:$I$20000)&gt;0)*1),"")))</f>
        <v/>
      </c>
      <c r="T385" t="str">
        <f>IF(S385="","",IF(S385="[FÓRMULA MANUAL]","",IFERROR(AVERAGEIFS(DATOS!$K$2:$K$20000,DATOS!$A$2:$A$20000,S385,DATOS!$G$2:$G$20000,CONFIG_METADATA!$B$4,DATOS!$I$2:$I$20000,"Armonía"),"")))</f>
        <v/>
      </c>
      <c r="U385" t="str">
        <f>IF(S385="","",IF(S385="[FÓRMULA MANUAL]","",IFERROR(AVERAGEIFS(DATOS!$K$2:$K$20000,DATOS!$A$2:$A$20000,S385,DATOS!$G$2:$G$20000,CONFIG_METADATA!$B$4,DATOS!$I$2:$I$20000,"Orquesta/Banda/Conjunto"),"")))</f>
        <v/>
      </c>
      <c r="V385" t="str">
        <f>IF(S385="","",IF(S385="[FÓRMULA MANUAL]","",IFERROR(AVERAGEIFS(DATOS!$K$2:$K$20000,DATOS!$A$2:$A$20000,S385,DATOS!$G$2:$G$20000,CONFIG_METADATA!$B$4,DATOS!$I$2:$I$20000,"Música de Cámara"),"")))</f>
        <v/>
      </c>
      <c r="W385" t="str">
        <f>IF(S385="","",IF(S385="[FÓRMULA MANUAL]","",IFERROR(SUMPRODUCT((DATOS!$A$2:$A$20000=S385)*(DATOS!$G$2:$G$20000=CONFIG_METADATA!$B$4)*(COUNTIF(CONFIG_ASIGNATURAS!$B$7:$B$27,DATOS!$I$2:$I$20000)&gt;0)*(DATOS!$K$2:$K$20000))/SUMPRODUCT((DATOS!$A$2:$A$20000=S385)*(DATOS!$G$2:$G$20000=CONFIG_METADATA!$B$4)*(COUNTIF(CONFIG_ASIGNATURAS!$B$7:$B$27,DATOS!$I$2:$I$20000)&gt;0)*1),"")))</f>
        <v/>
      </c>
      <c r="Z385" t="str">
        <f>IF(Y385="","",IF(Y385="[FÓRMULA MANUAL]","",IFERROR(AVERAGEIFS(DATOS!$K$2:$K$20000,DATOS!$A$2:$A$20000,Y385,DATOS!$G$2:$G$20000,CONFIG_METADATA!$B$4,DATOS!$I$2:$I$20000,"Análisis"),"")))</f>
        <v/>
      </c>
      <c r="AA385" t="str">
        <f>IF(Y385="","",IF(Y385="[FÓRMULA MANUAL]","",IFERROR(AVERAGEIFS(DATOS!$K$2:$K$20000,DATOS!$A$2:$A$20000,Y385,DATOS!$G$2:$G$20000,CONFIG_METADATA!$B$4,DATOS!$I$2:$I$20000,"Orquesta/Banda/Conjunto"),"")))</f>
        <v/>
      </c>
      <c r="AB385" t="str">
        <f>IF(Y385="","",IF(Y385="[FÓRMULA MANUAL]","",IFERROR(AVERAGEIFS(DATOS!$K$2:$K$20000,DATOS!$A$2:$A$20000,Y385,DATOS!$G$2:$G$20000,CONFIG_METADATA!$B$4,DATOS!$I$2:$I$20000,"Música de Cámara"),"")))</f>
        <v/>
      </c>
      <c r="AC385" t="str">
        <f>IF(Y385="","",IF(Y385="[FÓRMULA MANUAL]","",IFERROR(SUMPRODUCT((DATOS!$A$2:$A$20000=Y385)*(DATOS!$G$2:$G$20000=CONFIG_METADATA!$B$4)*(COUNTIF(CONFIG_ASIGNATURAS!$B$7:$B$27,DATOS!$I$2:$I$20000)&gt;0)*(DATOS!$K$2:$K$20000))/SUMPRODUCT((DATOS!$A$2:$A$20000=Y385)*(DATOS!$G$2:$G$20000=CONFIG_METADATA!$B$4)*(COUNTIF(CONFIG_ASIGNATURAS!$B$7:$B$27,DATOS!$I$2:$I$20000)&gt;0)*1),"")))</f>
        <v/>
      </c>
      <c r="AF385" t="str">
        <f>IF(AE385="","",IF(AE385="[FÓRMULA MANUAL]","",IFERROR(AVERAGEIFS(DATOS!$K$2:$K$20000,DATOS!$A$2:$A$20000,AE385,DATOS!$G$2:$G$20000,CONFIG_METADATA!$B$4,DATOS!$I$2:$I$20000,"Análisis"),"")))</f>
        <v/>
      </c>
      <c r="AG385" t="str">
        <f>IF(AE385="","",IF(AE385="[FÓRMULA MANUAL]","",IFERROR(AVERAGEIFS(DATOS!$K$2:$K$20000,DATOS!$A$2:$A$20000,AE385,DATOS!$G$2:$G$20000,CONFIG_METADATA!$B$4,DATOS!$I$2:$I$20000,"Orquesta/Banda/Conjunto"),"")))</f>
        <v/>
      </c>
      <c r="AH385" t="str">
        <f>IF(AE385="","",IF(AE385="[FÓRMULA MANUAL]","",IFERROR(AVERAGEIFS(DATOS!$K$2:$K$20000,DATOS!$A$2:$A$20000,AE385,DATOS!$G$2:$G$20000,CONFIG_METADATA!$B$4,DATOS!$I$2:$I$20000,"Música de Cámara"),"")))</f>
        <v/>
      </c>
      <c r="AI385" t="str">
        <f>IF(AE385="","",IF(AE385="[FÓRMULA MANUAL]","",IFERROR(SUMPRODUCT((DATOS!$A$2:$A$20000=AE385)*(DATOS!$G$2:$G$20000=CONFIG_METADATA!$B$4)*(COUNTIF(CONFIG_ASIGNATURAS!$B$7:$B$27,DATOS!$I$2:$I$20000)&gt;0)*(DATOS!$K$2:$K$20000))/SUMPRODUCT((DATOS!$A$2:$A$20000=AE385)*(DATOS!$G$2:$G$20000=CONFIG_METADATA!$B$4)*(COUNTIF(CONFIG_ASIGNATURAS!$B$7:$B$27,DATOS!$I$2:$I$20000)&gt;0)*1),"")))</f>
        <v/>
      </c>
    </row>
    <row r="386" spans="2:35" x14ac:dyDescent="0.2">
      <c r="B386" t="str">
        <f>IF(A386="","",IF(A386="[FÓRMULA MANUAL]","",IFERROR(AVERAGEIFS(DATOS!$K$2:$K$20000,DATOS!$A$2:$A$20000,A386,DATOS!$G$2:$G$20000,CONFIG_METADATA!$B$4,DATOS!$I$2:$I$20000,"Lenguaje Musical"),"")))</f>
        <v/>
      </c>
      <c r="C386" t="str">
        <f>IF(A386="","",IF(A386="[FÓRMULA MANUAL]","",IFERROR(AVERAGEIFS(DATOS!$K$2:$K$20000,DATOS!$A$2:$A$20000,A386,DATOS!$G$2:$G$20000,CONFIG_METADATA!$B$4,DATOS!$I$2:$I$20000,"Orquesta/Banda/Conjunto"),"")))</f>
        <v/>
      </c>
      <c r="D386" t="str">
        <f>IF(A386="","",IF(A386="[FÓRMULA MANUAL]","",IFERROR(AVERAGEIFS(DATOS!$K$2:$K$20000,DATOS!$A$2:$A$20000,A386,DATOS!$G$2:$G$20000,CONFIG_METADATA!$B$4,DATOS!$I$2:$I$20000,"Conjunto"),"")))</f>
        <v/>
      </c>
      <c r="E386" t="str">
        <f>IF(A386="","",IF(A386="[FÓRMULA MANUAL]","",IFERROR(SUMPRODUCT((DATOS!$A$2:$A$20000=A386)*(DATOS!$G$2:$G$20000=CONFIG_METADATA!$B$4)*(COUNTIF(CONFIG_ASIGNATURAS!$B$7:$B$27,DATOS!$I$2:$I$20000)&gt;0)*(DATOS!$K$2:$K$20000))/SUMPRODUCT((DATOS!$A$2:$A$20000=A386)*(DATOS!$G$2:$G$20000=CONFIG_METADATA!$B$4)*(COUNTIF(CONFIG_ASIGNATURAS!$B$7:$B$27,DATOS!$I$2:$I$20000)&gt;0)*1),"")))</f>
        <v/>
      </c>
      <c r="H386" t="str">
        <f>IF(G386="","",IF(G386="[FÓRMULA MANUAL]","",IFERROR(AVERAGEIFS(DATOS!$K$2:$K$20000,DATOS!$A$2:$A$20000,G386,DATOS!$G$2:$G$20000,CONFIG_METADATA!$B$4,DATOS!$I$2:$I$20000,"Lenguaje Musical"),"")))</f>
        <v/>
      </c>
      <c r="I386" t="str">
        <f>IF(G386="","",IF(G386="[FÓRMULA MANUAL]","",IFERROR(AVERAGEIFS(DATOS!$K$2:$K$20000,DATOS!$A$2:$A$20000,G386,DATOS!$G$2:$G$20000,CONFIG_METADATA!$B$4,DATOS!$I$2:$I$20000,"Orquesta/Banda/Conjunto"),"")))</f>
        <v/>
      </c>
      <c r="J386" t="str">
        <f>IF(G386="","",IF(G386="[FÓRMULA MANUAL]","",IFERROR(AVERAGEIFS(DATOS!$K$2:$K$20000,DATOS!$A$2:$A$20000,G386,DATOS!$G$2:$G$20000,CONFIG_METADATA!$B$4,DATOS!$I$2:$I$20000,"Conjunto"),"")))</f>
        <v/>
      </c>
      <c r="K386" t="str">
        <f>IF(G386="","",IF(G386="[FÓRMULA MANUAL]","",IFERROR(SUMPRODUCT((DATOS!$A$2:$A$20000=G386)*(DATOS!$G$2:$G$20000=CONFIG_METADATA!$B$4)*(COUNTIF(CONFIG_ASIGNATURAS!$B$7:$B$27,DATOS!$I$2:$I$20000)&gt;0)*(DATOS!$K$2:$K$20000))/SUMPRODUCT((DATOS!$A$2:$A$20000=G386)*(DATOS!$G$2:$G$20000=CONFIG_METADATA!$B$4)*(COUNTIF(CONFIG_ASIGNATURAS!$B$7:$B$27,DATOS!$I$2:$I$20000)&gt;0)*1),"")))</f>
        <v/>
      </c>
      <c r="N386" t="str">
        <f>IF(M386="","",IF(M386="[FÓRMULA MANUAL]","",IFERROR(AVERAGEIFS(DATOS!$K$2:$K$20000,DATOS!$A$2:$A$20000,M386,DATOS!$G$2:$G$20000,CONFIG_METADATA!$B$4,DATOS!$I$2:$I$20000,"Armonía"),"")))</f>
        <v/>
      </c>
      <c r="O386" t="str">
        <f>IF(M386="","",IF(M386="[FÓRMULA MANUAL]","",IFERROR(AVERAGEIFS(DATOS!$K$2:$K$20000,DATOS!$A$2:$A$20000,M386,DATOS!$G$2:$G$20000,CONFIG_METADATA!$B$4,DATOS!$I$2:$I$20000,"Orquesta/Banda/Conjunto"),"")))</f>
        <v/>
      </c>
      <c r="P386" t="str">
        <f>IF(M386="","",IF(M386="[FÓRMULA MANUAL]","",IFERROR(AVERAGEIFS(DATOS!$K$2:$K$20000,DATOS!$A$2:$A$20000,M386,DATOS!$G$2:$G$20000,CONFIG_METADATA!$B$4,DATOS!$I$2:$I$20000,"Música de Cámara"),"")))</f>
        <v/>
      </c>
      <c r="Q386" t="str">
        <f>IF(M386="","",IF(M386="[FÓRMULA MANUAL]","",IFERROR(SUMPRODUCT((DATOS!$A$2:$A$20000=M386)*(DATOS!$G$2:$G$20000=CONFIG_METADATA!$B$4)*(COUNTIF(CONFIG_ASIGNATURAS!$B$7:$B$27,DATOS!$I$2:$I$20000)&gt;0)*(DATOS!$K$2:$K$20000))/SUMPRODUCT((DATOS!$A$2:$A$20000=M386)*(DATOS!$G$2:$G$20000=CONFIG_METADATA!$B$4)*(COUNTIF(CONFIG_ASIGNATURAS!$B$7:$B$27,DATOS!$I$2:$I$20000)&gt;0)*1),"")))</f>
        <v/>
      </c>
      <c r="T386" t="str">
        <f>IF(S386="","",IF(S386="[FÓRMULA MANUAL]","",IFERROR(AVERAGEIFS(DATOS!$K$2:$K$20000,DATOS!$A$2:$A$20000,S386,DATOS!$G$2:$G$20000,CONFIG_METADATA!$B$4,DATOS!$I$2:$I$20000,"Armonía"),"")))</f>
        <v/>
      </c>
      <c r="U386" t="str">
        <f>IF(S386="","",IF(S386="[FÓRMULA MANUAL]","",IFERROR(AVERAGEIFS(DATOS!$K$2:$K$20000,DATOS!$A$2:$A$20000,S386,DATOS!$G$2:$G$20000,CONFIG_METADATA!$B$4,DATOS!$I$2:$I$20000,"Orquesta/Banda/Conjunto"),"")))</f>
        <v/>
      </c>
      <c r="V386" t="str">
        <f>IF(S386="","",IF(S386="[FÓRMULA MANUAL]","",IFERROR(AVERAGEIFS(DATOS!$K$2:$K$20000,DATOS!$A$2:$A$20000,S386,DATOS!$G$2:$G$20000,CONFIG_METADATA!$B$4,DATOS!$I$2:$I$20000,"Música de Cámara"),"")))</f>
        <v/>
      </c>
      <c r="W386" t="str">
        <f>IF(S386="","",IF(S386="[FÓRMULA MANUAL]","",IFERROR(SUMPRODUCT((DATOS!$A$2:$A$20000=S386)*(DATOS!$G$2:$G$20000=CONFIG_METADATA!$B$4)*(COUNTIF(CONFIG_ASIGNATURAS!$B$7:$B$27,DATOS!$I$2:$I$20000)&gt;0)*(DATOS!$K$2:$K$20000))/SUMPRODUCT((DATOS!$A$2:$A$20000=S386)*(DATOS!$G$2:$G$20000=CONFIG_METADATA!$B$4)*(COUNTIF(CONFIG_ASIGNATURAS!$B$7:$B$27,DATOS!$I$2:$I$20000)&gt;0)*1),"")))</f>
        <v/>
      </c>
      <c r="Z386" t="str">
        <f>IF(Y386="","",IF(Y386="[FÓRMULA MANUAL]","",IFERROR(AVERAGEIFS(DATOS!$K$2:$K$20000,DATOS!$A$2:$A$20000,Y386,DATOS!$G$2:$G$20000,CONFIG_METADATA!$B$4,DATOS!$I$2:$I$20000,"Análisis"),"")))</f>
        <v/>
      </c>
      <c r="AA386" t="str">
        <f>IF(Y386="","",IF(Y386="[FÓRMULA MANUAL]","",IFERROR(AVERAGEIFS(DATOS!$K$2:$K$20000,DATOS!$A$2:$A$20000,Y386,DATOS!$G$2:$G$20000,CONFIG_METADATA!$B$4,DATOS!$I$2:$I$20000,"Orquesta/Banda/Conjunto"),"")))</f>
        <v/>
      </c>
      <c r="AB386" t="str">
        <f>IF(Y386="","",IF(Y386="[FÓRMULA MANUAL]","",IFERROR(AVERAGEIFS(DATOS!$K$2:$K$20000,DATOS!$A$2:$A$20000,Y386,DATOS!$G$2:$G$20000,CONFIG_METADATA!$B$4,DATOS!$I$2:$I$20000,"Música de Cámara"),"")))</f>
        <v/>
      </c>
      <c r="AC386" t="str">
        <f>IF(Y386="","",IF(Y386="[FÓRMULA MANUAL]","",IFERROR(SUMPRODUCT((DATOS!$A$2:$A$20000=Y386)*(DATOS!$G$2:$G$20000=CONFIG_METADATA!$B$4)*(COUNTIF(CONFIG_ASIGNATURAS!$B$7:$B$27,DATOS!$I$2:$I$20000)&gt;0)*(DATOS!$K$2:$K$20000))/SUMPRODUCT((DATOS!$A$2:$A$20000=Y386)*(DATOS!$G$2:$G$20000=CONFIG_METADATA!$B$4)*(COUNTIF(CONFIG_ASIGNATURAS!$B$7:$B$27,DATOS!$I$2:$I$20000)&gt;0)*1),"")))</f>
        <v/>
      </c>
      <c r="AF386" t="str">
        <f>IF(AE386="","",IF(AE386="[FÓRMULA MANUAL]","",IFERROR(AVERAGEIFS(DATOS!$K$2:$K$20000,DATOS!$A$2:$A$20000,AE386,DATOS!$G$2:$G$20000,CONFIG_METADATA!$B$4,DATOS!$I$2:$I$20000,"Análisis"),"")))</f>
        <v/>
      </c>
      <c r="AG386" t="str">
        <f>IF(AE386="","",IF(AE386="[FÓRMULA MANUAL]","",IFERROR(AVERAGEIFS(DATOS!$K$2:$K$20000,DATOS!$A$2:$A$20000,AE386,DATOS!$G$2:$G$20000,CONFIG_METADATA!$B$4,DATOS!$I$2:$I$20000,"Orquesta/Banda/Conjunto"),"")))</f>
        <v/>
      </c>
      <c r="AH386" t="str">
        <f>IF(AE386="","",IF(AE386="[FÓRMULA MANUAL]","",IFERROR(AVERAGEIFS(DATOS!$K$2:$K$20000,DATOS!$A$2:$A$20000,AE386,DATOS!$G$2:$G$20000,CONFIG_METADATA!$B$4,DATOS!$I$2:$I$20000,"Música de Cámara"),"")))</f>
        <v/>
      </c>
      <c r="AI386" t="str">
        <f>IF(AE386="","",IF(AE386="[FÓRMULA MANUAL]","",IFERROR(SUMPRODUCT((DATOS!$A$2:$A$20000=AE386)*(DATOS!$G$2:$G$20000=CONFIG_METADATA!$B$4)*(COUNTIF(CONFIG_ASIGNATURAS!$B$7:$B$27,DATOS!$I$2:$I$20000)&gt;0)*(DATOS!$K$2:$K$20000))/SUMPRODUCT((DATOS!$A$2:$A$20000=AE386)*(DATOS!$G$2:$G$20000=CONFIG_METADATA!$B$4)*(COUNTIF(CONFIG_ASIGNATURAS!$B$7:$B$27,DATOS!$I$2:$I$20000)&gt;0)*1),"")))</f>
        <v/>
      </c>
    </row>
    <row r="387" spans="2:35" x14ac:dyDescent="0.2">
      <c r="B387" t="str">
        <f>IF(A387="","",IF(A387="[FÓRMULA MANUAL]","",IFERROR(AVERAGEIFS(DATOS!$K$2:$K$20000,DATOS!$A$2:$A$20000,A387,DATOS!$G$2:$G$20000,CONFIG_METADATA!$B$4,DATOS!$I$2:$I$20000,"Lenguaje Musical"),"")))</f>
        <v/>
      </c>
      <c r="C387" t="str">
        <f>IF(A387="","",IF(A387="[FÓRMULA MANUAL]","",IFERROR(AVERAGEIFS(DATOS!$K$2:$K$20000,DATOS!$A$2:$A$20000,A387,DATOS!$G$2:$G$20000,CONFIG_METADATA!$B$4,DATOS!$I$2:$I$20000,"Orquesta/Banda/Conjunto"),"")))</f>
        <v/>
      </c>
      <c r="D387" t="str">
        <f>IF(A387="","",IF(A387="[FÓRMULA MANUAL]","",IFERROR(AVERAGEIFS(DATOS!$K$2:$K$20000,DATOS!$A$2:$A$20000,A387,DATOS!$G$2:$G$20000,CONFIG_METADATA!$B$4,DATOS!$I$2:$I$20000,"Conjunto"),"")))</f>
        <v/>
      </c>
      <c r="E387" t="str">
        <f>IF(A387="","",IF(A387="[FÓRMULA MANUAL]","",IFERROR(SUMPRODUCT((DATOS!$A$2:$A$20000=A387)*(DATOS!$G$2:$G$20000=CONFIG_METADATA!$B$4)*(COUNTIF(CONFIG_ASIGNATURAS!$B$7:$B$27,DATOS!$I$2:$I$20000)&gt;0)*(DATOS!$K$2:$K$20000))/SUMPRODUCT((DATOS!$A$2:$A$20000=A387)*(DATOS!$G$2:$G$20000=CONFIG_METADATA!$B$4)*(COUNTIF(CONFIG_ASIGNATURAS!$B$7:$B$27,DATOS!$I$2:$I$20000)&gt;0)*1),"")))</f>
        <v/>
      </c>
      <c r="H387" t="str">
        <f>IF(G387="","",IF(G387="[FÓRMULA MANUAL]","",IFERROR(AVERAGEIFS(DATOS!$K$2:$K$20000,DATOS!$A$2:$A$20000,G387,DATOS!$G$2:$G$20000,CONFIG_METADATA!$B$4,DATOS!$I$2:$I$20000,"Lenguaje Musical"),"")))</f>
        <v/>
      </c>
      <c r="I387" t="str">
        <f>IF(G387="","",IF(G387="[FÓRMULA MANUAL]","",IFERROR(AVERAGEIFS(DATOS!$K$2:$K$20000,DATOS!$A$2:$A$20000,G387,DATOS!$G$2:$G$20000,CONFIG_METADATA!$B$4,DATOS!$I$2:$I$20000,"Orquesta/Banda/Conjunto"),"")))</f>
        <v/>
      </c>
      <c r="J387" t="str">
        <f>IF(G387="","",IF(G387="[FÓRMULA MANUAL]","",IFERROR(AVERAGEIFS(DATOS!$K$2:$K$20000,DATOS!$A$2:$A$20000,G387,DATOS!$G$2:$G$20000,CONFIG_METADATA!$B$4,DATOS!$I$2:$I$20000,"Conjunto"),"")))</f>
        <v/>
      </c>
      <c r="K387" t="str">
        <f>IF(G387="","",IF(G387="[FÓRMULA MANUAL]","",IFERROR(SUMPRODUCT((DATOS!$A$2:$A$20000=G387)*(DATOS!$G$2:$G$20000=CONFIG_METADATA!$B$4)*(COUNTIF(CONFIG_ASIGNATURAS!$B$7:$B$27,DATOS!$I$2:$I$20000)&gt;0)*(DATOS!$K$2:$K$20000))/SUMPRODUCT((DATOS!$A$2:$A$20000=G387)*(DATOS!$G$2:$G$20000=CONFIG_METADATA!$B$4)*(COUNTIF(CONFIG_ASIGNATURAS!$B$7:$B$27,DATOS!$I$2:$I$20000)&gt;0)*1),"")))</f>
        <v/>
      </c>
      <c r="N387" t="str">
        <f>IF(M387="","",IF(M387="[FÓRMULA MANUAL]","",IFERROR(AVERAGEIFS(DATOS!$K$2:$K$20000,DATOS!$A$2:$A$20000,M387,DATOS!$G$2:$G$20000,CONFIG_METADATA!$B$4,DATOS!$I$2:$I$20000,"Armonía"),"")))</f>
        <v/>
      </c>
      <c r="O387" t="str">
        <f>IF(M387="","",IF(M387="[FÓRMULA MANUAL]","",IFERROR(AVERAGEIFS(DATOS!$K$2:$K$20000,DATOS!$A$2:$A$20000,M387,DATOS!$G$2:$G$20000,CONFIG_METADATA!$B$4,DATOS!$I$2:$I$20000,"Orquesta/Banda/Conjunto"),"")))</f>
        <v/>
      </c>
      <c r="P387" t="str">
        <f>IF(M387="","",IF(M387="[FÓRMULA MANUAL]","",IFERROR(AVERAGEIFS(DATOS!$K$2:$K$20000,DATOS!$A$2:$A$20000,M387,DATOS!$G$2:$G$20000,CONFIG_METADATA!$B$4,DATOS!$I$2:$I$20000,"Música de Cámara"),"")))</f>
        <v/>
      </c>
      <c r="Q387" t="str">
        <f>IF(M387="","",IF(M387="[FÓRMULA MANUAL]","",IFERROR(SUMPRODUCT((DATOS!$A$2:$A$20000=M387)*(DATOS!$G$2:$G$20000=CONFIG_METADATA!$B$4)*(COUNTIF(CONFIG_ASIGNATURAS!$B$7:$B$27,DATOS!$I$2:$I$20000)&gt;0)*(DATOS!$K$2:$K$20000))/SUMPRODUCT((DATOS!$A$2:$A$20000=M387)*(DATOS!$G$2:$G$20000=CONFIG_METADATA!$B$4)*(COUNTIF(CONFIG_ASIGNATURAS!$B$7:$B$27,DATOS!$I$2:$I$20000)&gt;0)*1),"")))</f>
        <v/>
      </c>
      <c r="T387" t="str">
        <f>IF(S387="","",IF(S387="[FÓRMULA MANUAL]","",IFERROR(AVERAGEIFS(DATOS!$K$2:$K$20000,DATOS!$A$2:$A$20000,S387,DATOS!$G$2:$G$20000,CONFIG_METADATA!$B$4,DATOS!$I$2:$I$20000,"Armonía"),"")))</f>
        <v/>
      </c>
      <c r="U387" t="str">
        <f>IF(S387="","",IF(S387="[FÓRMULA MANUAL]","",IFERROR(AVERAGEIFS(DATOS!$K$2:$K$20000,DATOS!$A$2:$A$20000,S387,DATOS!$G$2:$G$20000,CONFIG_METADATA!$B$4,DATOS!$I$2:$I$20000,"Orquesta/Banda/Conjunto"),"")))</f>
        <v/>
      </c>
      <c r="V387" t="str">
        <f>IF(S387="","",IF(S387="[FÓRMULA MANUAL]","",IFERROR(AVERAGEIFS(DATOS!$K$2:$K$20000,DATOS!$A$2:$A$20000,S387,DATOS!$G$2:$G$20000,CONFIG_METADATA!$B$4,DATOS!$I$2:$I$20000,"Música de Cámara"),"")))</f>
        <v/>
      </c>
      <c r="W387" t="str">
        <f>IF(S387="","",IF(S387="[FÓRMULA MANUAL]","",IFERROR(SUMPRODUCT((DATOS!$A$2:$A$20000=S387)*(DATOS!$G$2:$G$20000=CONFIG_METADATA!$B$4)*(COUNTIF(CONFIG_ASIGNATURAS!$B$7:$B$27,DATOS!$I$2:$I$20000)&gt;0)*(DATOS!$K$2:$K$20000))/SUMPRODUCT((DATOS!$A$2:$A$20000=S387)*(DATOS!$G$2:$G$20000=CONFIG_METADATA!$B$4)*(COUNTIF(CONFIG_ASIGNATURAS!$B$7:$B$27,DATOS!$I$2:$I$20000)&gt;0)*1),"")))</f>
        <v/>
      </c>
      <c r="Z387" t="str">
        <f>IF(Y387="","",IF(Y387="[FÓRMULA MANUAL]","",IFERROR(AVERAGEIFS(DATOS!$K$2:$K$20000,DATOS!$A$2:$A$20000,Y387,DATOS!$G$2:$G$20000,CONFIG_METADATA!$B$4,DATOS!$I$2:$I$20000,"Análisis"),"")))</f>
        <v/>
      </c>
      <c r="AA387" t="str">
        <f>IF(Y387="","",IF(Y387="[FÓRMULA MANUAL]","",IFERROR(AVERAGEIFS(DATOS!$K$2:$K$20000,DATOS!$A$2:$A$20000,Y387,DATOS!$G$2:$G$20000,CONFIG_METADATA!$B$4,DATOS!$I$2:$I$20000,"Orquesta/Banda/Conjunto"),"")))</f>
        <v/>
      </c>
      <c r="AB387" t="str">
        <f>IF(Y387="","",IF(Y387="[FÓRMULA MANUAL]","",IFERROR(AVERAGEIFS(DATOS!$K$2:$K$20000,DATOS!$A$2:$A$20000,Y387,DATOS!$G$2:$G$20000,CONFIG_METADATA!$B$4,DATOS!$I$2:$I$20000,"Música de Cámara"),"")))</f>
        <v/>
      </c>
      <c r="AC387" t="str">
        <f>IF(Y387="","",IF(Y387="[FÓRMULA MANUAL]","",IFERROR(SUMPRODUCT((DATOS!$A$2:$A$20000=Y387)*(DATOS!$G$2:$G$20000=CONFIG_METADATA!$B$4)*(COUNTIF(CONFIG_ASIGNATURAS!$B$7:$B$27,DATOS!$I$2:$I$20000)&gt;0)*(DATOS!$K$2:$K$20000))/SUMPRODUCT((DATOS!$A$2:$A$20000=Y387)*(DATOS!$G$2:$G$20000=CONFIG_METADATA!$B$4)*(COUNTIF(CONFIG_ASIGNATURAS!$B$7:$B$27,DATOS!$I$2:$I$20000)&gt;0)*1),"")))</f>
        <v/>
      </c>
      <c r="AF387" t="str">
        <f>IF(AE387="","",IF(AE387="[FÓRMULA MANUAL]","",IFERROR(AVERAGEIFS(DATOS!$K$2:$K$20000,DATOS!$A$2:$A$20000,AE387,DATOS!$G$2:$G$20000,CONFIG_METADATA!$B$4,DATOS!$I$2:$I$20000,"Análisis"),"")))</f>
        <v/>
      </c>
      <c r="AG387" t="str">
        <f>IF(AE387="","",IF(AE387="[FÓRMULA MANUAL]","",IFERROR(AVERAGEIFS(DATOS!$K$2:$K$20000,DATOS!$A$2:$A$20000,AE387,DATOS!$G$2:$G$20000,CONFIG_METADATA!$B$4,DATOS!$I$2:$I$20000,"Orquesta/Banda/Conjunto"),"")))</f>
        <v/>
      </c>
      <c r="AH387" t="str">
        <f>IF(AE387="","",IF(AE387="[FÓRMULA MANUAL]","",IFERROR(AVERAGEIFS(DATOS!$K$2:$K$20000,DATOS!$A$2:$A$20000,AE387,DATOS!$G$2:$G$20000,CONFIG_METADATA!$B$4,DATOS!$I$2:$I$20000,"Música de Cámara"),"")))</f>
        <v/>
      </c>
      <c r="AI387" t="str">
        <f>IF(AE387="","",IF(AE387="[FÓRMULA MANUAL]","",IFERROR(SUMPRODUCT((DATOS!$A$2:$A$20000=AE387)*(DATOS!$G$2:$G$20000=CONFIG_METADATA!$B$4)*(COUNTIF(CONFIG_ASIGNATURAS!$B$7:$B$27,DATOS!$I$2:$I$20000)&gt;0)*(DATOS!$K$2:$K$20000))/SUMPRODUCT((DATOS!$A$2:$A$20000=AE387)*(DATOS!$G$2:$G$20000=CONFIG_METADATA!$B$4)*(COUNTIF(CONFIG_ASIGNATURAS!$B$7:$B$27,DATOS!$I$2:$I$20000)&gt;0)*1),"")))</f>
        <v/>
      </c>
    </row>
    <row r="388" spans="2:35" x14ac:dyDescent="0.2">
      <c r="B388" t="str">
        <f>IF(A388="","",IF(A388="[FÓRMULA MANUAL]","",IFERROR(AVERAGEIFS(DATOS!$K$2:$K$20000,DATOS!$A$2:$A$20000,A388,DATOS!$G$2:$G$20000,CONFIG_METADATA!$B$4,DATOS!$I$2:$I$20000,"Lenguaje Musical"),"")))</f>
        <v/>
      </c>
      <c r="C388" t="str">
        <f>IF(A388="","",IF(A388="[FÓRMULA MANUAL]","",IFERROR(AVERAGEIFS(DATOS!$K$2:$K$20000,DATOS!$A$2:$A$20000,A388,DATOS!$G$2:$G$20000,CONFIG_METADATA!$B$4,DATOS!$I$2:$I$20000,"Orquesta/Banda/Conjunto"),"")))</f>
        <v/>
      </c>
      <c r="D388" t="str">
        <f>IF(A388="","",IF(A388="[FÓRMULA MANUAL]","",IFERROR(AVERAGEIFS(DATOS!$K$2:$K$20000,DATOS!$A$2:$A$20000,A388,DATOS!$G$2:$G$20000,CONFIG_METADATA!$B$4,DATOS!$I$2:$I$20000,"Conjunto"),"")))</f>
        <v/>
      </c>
      <c r="E388" t="str">
        <f>IF(A388="","",IF(A388="[FÓRMULA MANUAL]","",IFERROR(SUMPRODUCT((DATOS!$A$2:$A$20000=A388)*(DATOS!$G$2:$G$20000=CONFIG_METADATA!$B$4)*(COUNTIF(CONFIG_ASIGNATURAS!$B$7:$B$27,DATOS!$I$2:$I$20000)&gt;0)*(DATOS!$K$2:$K$20000))/SUMPRODUCT((DATOS!$A$2:$A$20000=A388)*(DATOS!$G$2:$G$20000=CONFIG_METADATA!$B$4)*(COUNTIF(CONFIG_ASIGNATURAS!$B$7:$B$27,DATOS!$I$2:$I$20000)&gt;0)*1),"")))</f>
        <v/>
      </c>
      <c r="H388" t="str">
        <f>IF(G388="","",IF(G388="[FÓRMULA MANUAL]","",IFERROR(AVERAGEIFS(DATOS!$K$2:$K$20000,DATOS!$A$2:$A$20000,G388,DATOS!$G$2:$G$20000,CONFIG_METADATA!$B$4,DATOS!$I$2:$I$20000,"Lenguaje Musical"),"")))</f>
        <v/>
      </c>
      <c r="I388" t="str">
        <f>IF(G388="","",IF(G388="[FÓRMULA MANUAL]","",IFERROR(AVERAGEIFS(DATOS!$K$2:$K$20000,DATOS!$A$2:$A$20000,G388,DATOS!$G$2:$G$20000,CONFIG_METADATA!$B$4,DATOS!$I$2:$I$20000,"Orquesta/Banda/Conjunto"),"")))</f>
        <v/>
      </c>
      <c r="J388" t="str">
        <f>IF(G388="","",IF(G388="[FÓRMULA MANUAL]","",IFERROR(AVERAGEIFS(DATOS!$K$2:$K$20000,DATOS!$A$2:$A$20000,G388,DATOS!$G$2:$G$20000,CONFIG_METADATA!$B$4,DATOS!$I$2:$I$20000,"Conjunto"),"")))</f>
        <v/>
      </c>
      <c r="K388" t="str">
        <f>IF(G388="","",IF(G388="[FÓRMULA MANUAL]","",IFERROR(SUMPRODUCT((DATOS!$A$2:$A$20000=G388)*(DATOS!$G$2:$G$20000=CONFIG_METADATA!$B$4)*(COUNTIF(CONFIG_ASIGNATURAS!$B$7:$B$27,DATOS!$I$2:$I$20000)&gt;0)*(DATOS!$K$2:$K$20000))/SUMPRODUCT((DATOS!$A$2:$A$20000=G388)*(DATOS!$G$2:$G$20000=CONFIG_METADATA!$B$4)*(COUNTIF(CONFIG_ASIGNATURAS!$B$7:$B$27,DATOS!$I$2:$I$20000)&gt;0)*1),"")))</f>
        <v/>
      </c>
      <c r="N388" t="str">
        <f>IF(M388="","",IF(M388="[FÓRMULA MANUAL]","",IFERROR(AVERAGEIFS(DATOS!$K$2:$K$20000,DATOS!$A$2:$A$20000,M388,DATOS!$G$2:$G$20000,CONFIG_METADATA!$B$4,DATOS!$I$2:$I$20000,"Armonía"),"")))</f>
        <v/>
      </c>
      <c r="O388" t="str">
        <f>IF(M388="","",IF(M388="[FÓRMULA MANUAL]","",IFERROR(AVERAGEIFS(DATOS!$K$2:$K$20000,DATOS!$A$2:$A$20000,M388,DATOS!$G$2:$G$20000,CONFIG_METADATA!$B$4,DATOS!$I$2:$I$20000,"Orquesta/Banda/Conjunto"),"")))</f>
        <v/>
      </c>
      <c r="P388" t="str">
        <f>IF(M388="","",IF(M388="[FÓRMULA MANUAL]","",IFERROR(AVERAGEIFS(DATOS!$K$2:$K$20000,DATOS!$A$2:$A$20000,M388,DATOS!$G$2:$G$20000,CONFIG_METADATA!$B$4,DATOS!$I$2:$I$20000,"Música de Cámara"),"")))</f>
        <v/>
      </c>
      <c r="Q388" t="str">
        <f>IF(M388="","",IF(M388="[FÓRMULA MANUAL]","",IFERROR(SUMPRODUCT((DATOS!$A$2:$A$20000=M388)*(DATOS!$G$2:$G$20000=CONFIG_METADATA!$B$4)*(COUNTIF(CONFIG_ASIGNATURAS!$B$7:$B$27,DATOS!$I$2:$I$20000)&gt;0)*(DATOS!$K$2:$K$20000))/SUMPRODUCT((DATOS!$A$2:$A$20000=M388)*(DATOS!$G$2:$G$20000=CONFIG_METADATA!$B$4)*(COUNTIF(CONFIG_ASIGNATURAS!$B$7:$B$27,DATOS!$I$2:$I$20000)&gt;0)*1),"")))</f>
        <v/>
      </c>
      <c r="T388" t="str">
        <f>IF(S388="","",IF(S388="[FÓRMULA MANUAL]","",IFERROR(AVERAGEIFS(DATOS!$K$2:$K$20000,DATOS!$A$2:$A$20000,S388,DATOS!$G$2:$G$20000,CONFIG_METADATA!$B$4,DATOS!$I$2:$I$20000,"Armonía"),"")))</f>
        <v/>
      </c>
      <c r="U388" t="str">
        <f>IF(S388="","",IF(S388="[FÓRMULA MANUAL]","",IFERROR(AVERAGEIFS(DATOS!$K$2:$K$20000,DATOS!$A$2:$A$20000,S388,DATOS!$G$2:$G$20000,CONFIG_METADATA!$B$4,DATOS!$I$2:$I$20000,"Orquesta/Banda/Conjunto"),"")))</f>
        <v/>
      </c>
      <c r="V388" t="str">
        <f>IF(S388="","",IF(S388="[FÓRMULA MANUAL]","",IFERROR(AVERAGEIFS(DATOS!$K$2:$K$20000,DATOS!$A$2:$A$20000,S388,DATOS!$G$2:$G$20000,CONFIG_METADATA!$B$4,DATOS!$I$2:$I$20000,"Música de Cámara"),"")))</f>
        <v/>
      </c>
      <c r="W388" t="str">
        <f>IF(S388="","",IF(S388="[FÓRMULA MANUAL]","",IFERROR(SUMPRODUCT((DATOS!$A$2:$A$20000=S388)*(DATOS!$G$2:$G$20000=CONFIG_METADATA!$B$4)*(COUNTIF(CONFIG_ASIGNATURAS!$B$7:$B$27,DATOS!$I$2:$I$20000)&gt;0)*(DATOS!$K$2:$K$20000))/SUMPRODUCT((DATOS!$A$2:$A$20000=S388)*(DATOS!$G$2:$G$20000=CONFIG_METADATA!$B$4)*(COUNTIF(CONFIG_ASIGNATURAS!$B$7:$B$27,DATOS!$I$2:$I$20000)&gt;0)*1),"")))</f>
        <v/>
      </c>
      <c r="Z388" t="str">
        <f>IF(Y388="","",IF(Y388="[FÓRMULA MANUAL]","",IFERROR(AVERAGEIFS(DATOS!$K$2:$K$20000,DATOS!$A$2:$A$20000,Y388,DATOS!$G$2:$G$20000,CONFIG_METADATA!$B$4,DATOS!$I$2:$I$20000,"Análisis"),"")))</f>
        <v/>
      </c>
      <c r="AA388" t="str">
        <f>IF(Y388="","",IF(Y388="[FÓRMULA MANUAL]","",IFERROR(AVERAGEIFS(DATOS!$K$2:$K$20000,DATOS!$A$2:$A$20000,Y388,DATOS!$G$2:$G$20000,CONFIG_METADATA!$B$4,DATOS!$I$2:$I$20000,"Orquesta/Banda/Conjunto"),"")))</f>
        <v/>
      </c>
      <c r="AB388" t="str">
        <f>IF(Y388="","",IF(Y388="[FÓRMULA MANUAL]","",IFERROR(AVERAGEIFS(DATOS!$K$2:$K$20000,DATOS!$A$2:$A$20000,Y388,DATOS!$G$2:$G$20000,CONFIG_METADATA!$B$4,DATOS!$I$2:$I$20000,"Música de Cámara"),"")))</f>
        <v/>
      </c>
      <c r="AC388" t="str">
        <f>IF(Y388="","",IF(Y388="[FÓRMULA MANUAL]","",IFERROR(SUMPRODUCT((DATOS!$A$2:$A$20000=Y388)*(DATOS!$G$2:$G$20000=CONFIG_METADATA!$B$4)*(COUNTIF(CONFIG_ASIGNATURAS!$B$7:$B$27,DATOS!$I$2:$I$20000)&gt;0)*(DATOS!$K$2:$K$20000))/SUMPRODUCT((DATOS!$A$2:$A$20000=Y388)*(DATOS!$G$2:$G$20000=CONFIG_METADATA!$B$4)*(COUNTIF(CONFIG_ASIGNATURAS!$B$7:$B$27,DATOS!$I$2:$I$20000)&gt;0)*1),"")))</f>
        <v/>
      </c>
      <c r="AF388" t="str">
        <f>IF(AE388="","",IF(AE388="[FÓRMULA MANUAL]","",IFERROR(AVERAGEIFS(DATOS!$K$2:$K$20000,DATOS!$A$2:$A$20000,AE388,DATOS!$G$2:$G$20000,CONFIG_METADATA!$B$4,DATOS!$I$2:$I$20000,"Análisis"),"")))</f>
        <v/>
      </c>
      <c r="AG388" t="str">
        <f>IF(AE388="","",IF(AE388="[FÓRMULA MANUAL]","",IFERROR(AVERAGEIFS(DATOS!$K$2:$K$20000,DATOS!$A$2:$A$20000,AE388,DATOS!$G$2:$G$20000,CONFIG_METADATA!$B$4,DATOS!$I$2:$I$20000,"Orquesta/Banda/Conjunto"),"")))</f>
        <v/>
      </c>
      <c r="AH388" t="str">
        <f>IF(AE388="","",IF(AE388="[FÓRMULA MANUAL]","",IFERROR(AVERAGEIFS(DATOS!$K$2:$K$20000,DATOS!$A$2:$A$20000,AE388,DATOS!$G$2:$G$20000,CONFIG_METADATA!$B$4,DATOS!$I$2:$I$20000,"Música de Cámara"),"")))</f>
        <v/>
      </c>
      <c r="AI388" t="str">
        <f>IF(AE388="","",IF(AE388="[FÓRMULA MANUAL]","",IFERROR(SUMPRODUCT((DATOS!$A$2:$A$20000=AE388)*(DATOS!$G$2:$G$20000=CONFIG_METADATA!$B$4)*(COUNTIF(CONFIG_ASIGNATURAS!$B$7:$B$27,DATOS!$I$2:$I$20000)&gt;0)*(DATOS!$K$2:$K$20000))/SUMPRODUCT((DATOS!$A$2:$A$20000=AE388)*(DATOS!$G$2:$G$20000=CONFIG_METADATA!$B$4)*(COUNTIF(CONFIG_ASIGNATURAS!$B$7:$B$27,DATOS!$I$2:$I$20000)&gt;0)*1),"")))</f>
        <v/>
      </c>
    </row>
    <row r="389" spans="2:35" x14ac:dyDescent="0.2">
      <c r="B389" t="str">
        <f>IF(A389="","",IF(A389="[FÓRMULA MANUAL]","",IFERROR(AVERAGEIFS(DATOS!$K$2:$K$20000,DATOS!$A$2:$A$20000,A389,DATOS!$G$2:$G$20000,CONFIG_METADATA!$B$4,DATOS!$I$2:$I$20000,"Lenguaje Musical"),"")))</f>
        <v/>
      </c>
      <c r="C389" t="str">
        <f>IF(A389="","",IF(A389="[FÓRMULA MANUAL]","",IFERROR(AVERAGEIFS(DATOS!$K$2:$K$20000,DATOS!$A$2:$A$20000,A389,DATOS!$G$2:$G$20000,CONFIG_METADATA!$B$4,DATOS!$I$2:$I$20000,"Orquesta/Banda/Conjunto"),"")))</f>
        <v/>
      </c>
      <c r="D389" t="str">
        <f>IF(A389="","",IF(A389="[FÓRMULA MANUAL]","",IFERROR(AVERAGEIFS(DATOS!$K$2:$K$20000,DATOS!$A$2:$A$20000,A389,DATOS!$G$2:$G$20000,CONFIG_METADATA!$B$4,DATOS!$I$2:$I$20000,"Conjunto"),"")))</f>
        <v/>
      </c>
      <c r="E389" t="str">
        <f>IF(A389="","",IF(A389="[FÓRMULA MANUAL]","",IFERROR(SUMPRODUCT((DATOS!$A$2:$A$20000=A389)*(DATOS!$G$2:$G$20000=CONFIG_METADATA!$B$4)*(COUNTIF(CONFIG_ASIGNATURAS!$B$7:$B$27,DATOS!$I$2:$I$20000)&gt;0)*(DATOS!$K$2:$K$20000))/SUMPRODUCT((DATOS!$A$2:$A$20000=A389)*(DATOS!$G$2:$G$20000=CONFIG_METADATA!$B$4)*(COUNTIF(CONFIG_ASIGNATURAS!$B$7:$B$27,DATOS!$I$2:$I$20000)&gt;0)*1),"")))</f>
        <v/>
      </c>
      <c r="H389" t="str">
        <f>IF(G389="","",IF(G389="[FÓRMULA MANUAL]","",IFERROR(AVERAGEIFS(DATOS!$K$2:$K$20000,DATOS!$A$2:$A$20000,G389,DATOS!$G$2:$G$20000,CONFIG_METADATA!$B$4,DATOS!$I$2:$I$20000,"Lenguaje Musical"),"")))</f>
        <v/>
      </c>
      <c r="I389" t="str">
        <f>IF(G389="","",IF(G389="[FÓRMULA MANUAL]","",IFERROR(AVERAGEIFS(DATOS!$K$2:$K$20000,DATOS!$A$2:$A$20000,G389,DATOS!$G$2:$G$20000,CONFIG_METADATA!$B$4,DATOS!$I$2:$I$20000,"Orquesta/Banda/Conjunto"),"")))</f>
        <v/>
      </c>
      <c r="J389" t="str">
        <f>IF(G389="","",IF(G389="[FÓRMULA MANUAL]","",IFERROR(AVERAGEIFS(DATOS!$K$2:$K$20000,DATOS!$A$2:$A$20000,G389,DATOS!$G$2:$G$20000,CONFIG_METADATA!$B$4,DATOS!$I$2:$I$20000,"Conjunto"),"")))</f>
        <v/>
      </c>
      <c r="K389" t="str">
        <f>IF(G389="","",IF(G389="[FÓRMULA MANUAL]","",IFERROR(SUMPRODUCT((DATOS!$A$2:$A$20000=G389)*(DATOS!$G$2:$G$20000=CONFIG_METADATA!$B$4)*(COUNTIF(CONFIG_ASIGNATURAS!$B$7:$B$27,DATOS!$I$2:$I$20000)&gt;0)*(DATOS!$K$2:$K$20000))/SUMPRODUCT((DATOS!$A$2:$A$20000=G389)*(DATOS!$G$2:$G$20000=CONFIG_METADATA!$B$4)*(COUNTIF(CONFIG_ASIGNATURAS!$B$7:$B$27,DATOS!$I$2:$I$20000)&gt;0)*1),"")))</f>
        <v/>
      </c>
      <c r="N389" t="str">
        <f>IF(M389="","",IF(M389="[FÓRMULA MANUAL]","",IFERROR(AVERAGEIFS(DATOS!$K$2:$K$20000,DATOS!$A$2:$A$20000,M389,DATOS!$G$2:$G$20000,CONFIG_METADATA!$B$4,DATOS!$I$2:$I$20000,"Armonía"),"")))</f>
        <v/>
      </c>
      <c r="O389" t="str">
        <f>IF(M389="","",IF(M389="[FÓRMULA MANUAL]","",IFERROR(AVERAGEIFS(DATOS!$K$2:$K$20000,DATOS!$A$2:$A$20000,M389,DATOS!$G$2:$G$20000,CONFIG_METADATA!$B$4,DATOS!$I$2:$I$20000,"Orquesta/Banda/Conjunto"),"")))</f>
        <v/>
      </c>
      <c r="P389" t="str">
        <f>IF(M389="","",IF(M389="[FÓRMULA MANUAL]","",IFERROR(AVERAGEIFS(DATOS!$K$2:$K$20000,DATOS!$A$2:$A$20000,M389,DATOS!$G$2:$G$20000,CONFIG_METADATA!$B$4,DATOS!$I$2:$I$20000,"Música de Cámara"),"")))</f>
        <v/>
      </c>
      <c r="Q389" t="str">
        <f>IF(M389="","",IF(M389="[FÓRMULA MANUAL]","",IFERROR(SUMPRODUCT((DATOS!$A$2:$A$20000=M389)*(DATOS!$G$2:$G$20000=CONFIG_METADATA!$B$4)*(COUNTIF(CONFIG_ASIGNATURAS!$B$7:$B$27,DATOS!$I$2:$I$20000)&gt;0)*(DATOS!$K$2:$K$20000))/SUMPRODUCT((DATOS!$A$2:$A$20000=M389)*(DATOS!$G$2:$G$20000=CONFIG_METADATA!$B$4)*(COUNTIF(CONFIG_ASIGNATURAS!$B$7:$B$27,DATOS!$I$2:$I$20000)&gt;0)*1),"")))</f>
        <v/>
      </c>
      <c r="T389" t="str">
        <f>IF(S389="","",IF(S389="[FÓRMULA MANUAL]","",IFERROR(AVERAGEIFS(DATOS!$K$2:$K$20000,DATOS!$A$2:$A$20000,S389,DATOS!$G$2:$G$20000,CONFIG_METADATA!$B$4,DATOS!$I$2:$I$20000,"Armonía"),"")))</f>
        <v/>
      </c>
      <c r="U389" t="str">
        <f>IF(S389="","",IF(S389="[FÓRMULA MANUAL]","",IFERROR(AVERAGEIFS(DATOS!$K$2:$K$20000,DATOS!$A$2:$A$20000,S389,DATOS!$G$2:$G$20000,CONFIG_METADATA!$B$4,DATOS!$I$2:$I$20000,"Orquesta/Banda/Conjunto"),"")))</f>
        <v/>
      </c>
      <c r="V389" t="str">
        <f>IF(S389="","",IF(S389="[FÓRMULA MANUAL]","",IFERROR(AVERAGEIFS(DATOS!$K$2:$K$20000,DATOS!$A$2:$A$20000,S389,DATOS!$G$2:$G$20000,CONFIG_METADATA!$B$4,DATOS!$I$2:$I$20000,"Música de Cámara"),"")))</f>
        <v/>
      </c>
      <c r="W389" t="str">
        <f>IF(S389="","",IF(S389="[FÓRMULA MANUAL]","",IFERROR(SUMPRODUCT((DATOS!$A$2:$A$20000=S389)*(DATOS!$G$2:$G$20000=CONFIG_METADATA!$B$4)*(COUNTIF(CONFIG_ASIGNATURAS!$B$7:$B$27,DATOS!$I$2:$I$20000)&gt;0)*(DATOS!$K$2:$K$20000))/SUMPRODUCT((DATOS!$A$2:$A$20000=S389)*(DATOS!$G$2:$G$20000=CONFIG_METADATA!$B$4)*(COUNTIF(CONFIG_ASIGNATURAS!$B$7:$B$27,DATOS!$I$2:$I$20000)&gt;0)*1),"")))</f>
        <v/>
      </c>
      <c r="Z389" t="str">
        <f>IF(Y389="","",IF(Y389="[FÓRMULA MANUAL]","",IFERROR(AVERAGEIFS(DATOS!$K$2:$K$20000,DATOS!$A$2:$A$20000,Y389,DATOS!$G$2:$G$20000,CONFIG_METADATA!$B$4,DATOS!$I$2:$I$20000,"Análisis"),"")))</f>
        <v/>
      </c>
      <c r="AA389" t="str">
        <f>IF(Y389="","",IF(Y389="[FÓRMULA MANUAL]","",IFERROR(AVERAGEIFS(DATOS!$K$2:$K$20000,DATOS!$A$2:$A$20000,Y389,DATOS!$G$2:$G$20000,CONFIG_METADATA!$B$4,DATOS!$I$2:$I$20000,"Orquesta/Banda/Conjunto"),"")))</f>
        <v/>
      </c>
      <c r="AB389" t="str">
        <f>IF(Y389="","",IF(Y389="[FÓRMULA MANUAL]","",IFERROR(AVERAGEIFS(DATOS!$K$2:$K$20000,DATOS!$A$2:$A$20000,Y389,DATOS!$G$2:$G$20000,CONFIG_METADATA!$B$4,DATOS!$I$2:$I$20000,"Música de Cámara"),"")))</f>
        <v/>
      </c>
      <c r="AC389" t="str">
        <f>IF(Y389="","",IF(Y389="[FÓRMULA MANUAL]","",IFERROR(SUMPRODUCT((DATOS!$A$2:$A$20000=Y389)*(DATOS!$G$2:$G$20000=CONFIG_METADATA!$B$4)*(COUNTIF(CONFIG_ASIGNATURAS!$B$7:$B$27,DATOS!$I$2:$I$20000)&gt;0)*(DATOS!$K$2:$K$20000))/SUMPRODUCT((DATOS!$A$2:$A$20000=Y389)*(DATOS!$G$2:$G$20000=CONFIG_METADATA!$B$4)*(COUNTIF(CONFIG_ASIGNATURAS!$B$7:$B$27,DATOS!$I$2:$I$20000)&gt;0)*1),"")))</f>
        <v/>
      </c>
      <c r="AF389" t="str">
        <f>IF(AE389="","",IF(AE389="[FÓRMULA MANUAL]","",IFERROR(AVERAGEIFS(DATOS!$K$2:$K$20000,DATOS!$A$2:$A$20000,AE389,DATOS!$G$2:$G$20000,CONFIG_METADATA!$B$4,DATOS!$I$2:$I$20000,"Análisis"),"")))</f>
        <v/>
      </c>
      <c r="AG389" t="str">
        <f>IF(AE389="","",IF(AE389="[FÓRMULA MANUAL]","",IFERROR(AVERAGEIFS(DATOS!$K$2:$K$20000,DATOS!$A$2:$A$20000,AE389,DATOS!$G$2:$G$20000,CONFIG_METADATA!$B$4,DATOS!$I$2:$I$20000,"Orquesta/Banda/Conjunto"),"")))</f>
        <v/>
      </c>
      <c r="AH389" t="str">
        <f>IF(AE389="","",IF(AE389="[FÓRMULA MANUAL]","",IFERROR(AVERAGEIFS(DATOS!$K$2:$K$20000,DATOS!$A$2:$A$20000,AE389,DATOS!$G$2:$G$20000,CONFIG_METADATA!$B$4,DATOS!$I$2:$I$20000,"Música de Cámara"),"")))</f>
        <v/>
      </c>
      <c r="AI389" t="str">
        <f>IF(AE389="","",IF(AE389="[FÓRMULA MANUAL]","",IFERROR(SUMPRODUCT((DATOS!$A$2:$A$20000=AE389)*(DATOS!$G$2:$G$20000=CONFIG_METADATA!$B$4)*(COUNTIF(CONFIG_ASIGNATURAS!$B$7:$B$27,DATOS!$I$2:$I$20000)&gt;0)*(DATOS!$K$2:$K$20000))/SUMPRODUCT((DATOS!$A$2:$A$20000=AE389)*(DATOS!$G$2:$G$20000=CONFIG_METADATA!$B$4)*(COUNTIF(CONFIG_ASIGNATURAS!$B$7:$B$27,DATOS!$I$2:$I$20000)&gt;0)*1),"")))</f>
        <v/>
      </c>
    </row>
    <row r="390" spans="2:35" x14ac:dyDescent="0.2">
      <c r="B390" t="str">
        <f>IF(A390="","",IF(A390="[FÓRMULA MANUAL]","",IFERROR(AVERAGEIFS(DATOS!$K$2:$K$20000,DATOS!$A$2:$A$20000,A390,DATOS!$G$2:$G$20000,CONFIG_METADATA!$B$4,DATOS!$I$2:$I$20000,"Lenguaje Musical"),"")))</f>
        <v/>
      </c>
      <c r="C390" t="str">
        <f>IF(A390="","",IF(A390="[FÓRMULA MANUAL]","",IFERROR(AVERAGEIFS(DATOS!$K$2:$K$20000,DATOS!$A$2:$A$20000,A390,DATOS!$G$2:$G$20000,CONFIG_METADATA!$B$4,DATOS!$I$2:$I$20000,"Orquesta/Banda/Conjunto"),"")))</f>
        <v/>
      </c>
      <c r="D390" t="str">
        <f>IF(A390="","",IF(A390="[FÓRMULA MANUAL]","",IFERROR(AVERAGEIFS(DATOS!$K$2:$K$20000,DATOS!$A$2:$A$20000,A390,DATOS!$G$2:$G$20000,CONFIG_METADATA!$B$4,DATOS!$I$2:$I$20000,"Conjunto"),"")))</f>
        <v/>
      </c>
      <c r="E390" t="str">
        <f>IF(A390="","",IF(A390="[FÓRMULA MANUAL]","",IFERROR(SUMPRODUCT((DATOS!$A$2:$A$20000=A390)*(DATOS!$G$2:$G$20000=CONFIG_METADATA!$B$4)*(COUNTIF(CONFIG_ASIGNATURAS!$B$7:$B$27,DATOS!$I$2:$I$20000)&gt;0)*(DATOS!$K$2:$K$20000))/SUMPRODUCT((DATOS!$A$2:$A$20000=A390)*(DATOS!$G$2:$G$20000=CONFIG_METADATA!$B$4)*(COUNTIF(CONFIG_ASIGNATURAS!$B$7:$B$27,DATOS!$I$2:$I$20000)&gt;0)*1),"")))</f>
        <v/>
      </c>
      <c r="H390" t="str">
        <f>IF(G390="","",IF(G390="[FÓRMULA MANUAL]","",IFERROR(AVERAGEIFS(DATOS!$K$2:$K$20000,DATOS!$A$2:$A$20000,G390,DATOS!$G$2:$G$20000,CONFIG_METADATA!$B$4,DATOS!$I$2:$I$20000,"Lenguaje Musical"),"")))</f>
        <v/>
      </c>
      <c r="I390" t="str">
        <f>IF(G390="","",IF(G390="[FÓRMULA MANUAL]","",IFERROR(AVERAGEIFS(DATOS!$K$2:$K$20000,DATOS!$A$2:$A$20000,G390,DATOS!$G$2:$G$20000,CONFIG_METADATA!$B$4,DATOS!$I$2:$I$20000,"Orquesta/Banda/Conjunto"),"")))</f>
        <v/>
      </c>
      <c r="J390" t="str">
        <f>IF(G390="","",IF(G390="[FÓRMULA MANUAL]","",IFERROR(AVERAGEIFS(DATOS!$K$2:$K$20000,DATOS!$A$2:$A$20000,G390,DATOS!$G$2:$G$20000,CONFIG_METADATA!$B$4,DATOS!$I$2:$I$20000,"Conjunto"),"")))</f>
        <v/>
      </c>
      <c r="K390" t="str">
        <f>IF(G390="","",IF(G390="[FÓRMULA MANUAL]","",IFERROR(SUMPRODUCT((DATOS!$A$2:$A$20000=G390)*(DATOS!$G$2:$G$20000=CONFIG_METADATA!$B$4)*(COUNTIF(CONFIG_ASIGNATURAS!$B$7:$B$27,DATOS!$I$2:$I$20000)&gt;0)*(DATOS!$K$2:$K$20000))/SUMPRODUCT((DATOS!$A$2:$A$20000=G390)*(DATOS!$G$2:$G$20000=CONFIG_METADATA!$B$4)*(COUNTIF(CONFIG_ASIGNATURAS!$B$7:$B$27,DATOS!$I$2:$I$20000)&gt;0)*1),"")))</f>
        <v/>
      </c>
      <c r="N390" t="str">
        <f>IF(M390="","",IF(M390="[FÓRMULA MANUAL]","",IFERROR(AVERAGEIFS(DATOS!$K$2:$K$20000,DATOS!$A$2:$A$20000,M390,DATOS!$G$2:$G$20000,CONFIG_METADATA!$B$4,DATOS!$I$2:$I$20000,"Armonía"),"")))</f>
        <v/>
      </c>
      <c r="O390" t="str">
        <f>IF(M390="","",IF(M390="[FÓRMULA MANUAL]","",IFERROR(AVERAGEIFS(DATOS!$K$2:$K$20000,DATOS!$A$2:$A$20000,M390,DATOS!$G$2:$G$20000,CONFIG_METADATA!$B$4,DATOS!$I$2:$I$20000,"Orquesta/Banda/Conjunto"),"")))</f>
        <v/>
      </c>
      <c r="P390" t="str">
        <f>IF(M390="","",IF(M390="[FÓRMULA MANUAL]","",IFERROR(AVERAGEIFS(DATOS!$K$2:$K$20000,DATOS!$A$2:$A$20000,M390,DATOS!$G$2:$G$20000,CONFIG_METADATA!$B$4,DATOS!$I$2:$I$20000,"Música de Cámara"),"")))</f>
        <v/>
      </c>
      <c r="Q390" t="str">
        <f>IF(M390="","",IF(M390="[FÓRMULA MANUAL]","",IFERROR(SUMPRODUCT((DATOS!$A$2:$A$20000=M390)*(DATOS!$G$2:$G$20000=CONFIG_METADATA!$B$4)*(COUNTIF(CONFIG_ASIGNATURAS!$B$7:$B$27,DATOS!$I$2:$I$20000)&gt;0)*(DATOS!$K$2:$K$20000))/SUMPRODUCT((DATOS!$A$2:$A$20000=M390)*(DATOS!$G$2:$G$20000=CONFIG_METADATA!$B$4)*(COUNTIF(CONFIG_ASIGNATURAS!$B$7:$B$27,DATOS!$I$2:$I$20000)&gt;0)*1),"")))</f>
        <v/>
      </c>
      <c r="T390" t="str">
        <f>IF(S390="","",IF(S390="[FÓRMULA MANUAL]","",IFERROR(AVERAGEIFS(DATOS!$K$2:$K$20000,DATOS!$A$2:$A$20000,S390,DATOS!$G$2:$G$20000,CONFIG_METADATA!$B$4,DATOS!$I$2:$I$20000,"Armonía"),"")))</f>
        <v/>
      </c>
      <c r="U390" t="str">
        <f>IF(S390="","",IF(S390="[FÓRMULA MANUAL]","",IFERROR(AVERAGEIFS(DATOS!$K$2:$K$20000,DATOS!$A$2:$A$20000,S390,DATOS!$G$2:$G$20000,CONFIG_METADATA!$B$4,DATOS!$I$2:$I$20000,"Orquesta/Banda/Conjunto"),"")))</f>
        <v/>
      </c>
      <c r="V390" t="str">
        <f>IF(S390="","",IF(S390="[FÓRMULA MANUAL]","",IFERROR(AVERAGEIFS(DATOS!$K$2:$K$20000,DATOS!$A$2:$A$20000,S390,DATOS!$G$2:$G$20000,CONFIG_METADATA!$B$4,DATOS!$I$2:$I$20000,"Música de Cámara"),"")))</f>
        <v/>
      </c>
      <c r="W390" t="str">
        <f>IF(S390="","",IF(S390="[FÓRMULA MANUAL]","",IFERROR(SUMPRODUCT((DATOS!$A$2:$A$20000=S390)*(DATOS!$G$2:$G$20000=CONFIG_METADATA!$B$4)*(COUNTIF(CONFIG_ASIGNATURAS!$B$7:$B$27,DATOS!$I$2:$I$20000)&gt;0)*(DATOS!$K$2:$K$20000))/SUMPRODUCT((DATOS!$A$2:$A$20000=S390)*(DATOS!$G$2:$G$20000=CONFIG_METADATA!$B$4)*(COUNTIF(CONFIG_ASIGNATURAS!$B$7:$B$27,DATOS!$I$2:$I$20000)&gt;0)*1),"")))</f>
        <v/>
      </c>
      <c r="Z390" t="str">
        <f>IF(Y390="","",IF(Y390="[FÓRMULA MANUAL]","",IFERROR(AVERAGEIFS(DATOS!$K$2:$K$20000,DATOS!$A$2:$A$20000,Y390,DATOS!$G$2:$G$20000,CONFIG_METADATA!$B$4,DATOS!$I$2:$I$20000,"Análisis"),"")))</f>
        <v/>
      </c>
      <c r="AA390" t="str">
        <f>IF(Y390="","",IF(Y390="[FÓRMULA MANUAL]","",IFERROR(AVERAGEIFS(DATOS!$K$2:$K$20000,DATOS!$A$2:$A$20000,Y390,DATOS!$G$2:$G$20000,CONFIG_METADATA!$B$4,DATOS!$I$2:$I$20000,"Orquesta/Banda/Conjunto"),"")))</f>
        <v/>
      </c>
      <c r="AB390" t="str">
        <f>IF(Y390="","",IF(Y390="[FÓRMULA MANUAL]","",IFERROR(AVERAGEIFS(DATOS!$K$2:$K$20000,DATOS!$A$2:$A$20000,Y390,DATOS!$G$2:$G$20000,CONFIG_METADATA!$B$4,DATOS!$I$2:$I$20000,"Música de Cámara"),"")))</f>
        <v/>
      </c>
      <c r="AC390" t="str">
        <f>IF(Y390="","",IF(Y390="[FÓRMULA MANUAL]","",IFERROR(SUMPRODUCT((DATOS!$A$2:$A$20000=Y390)*(DATOS!$G$2:$G$20000=CONFIG_METADATA!$B$4)*(COUNTIF(CONFIG_ASIGNATURAS!$B$7:$B$27,DATOS!$I$2:$I$20000)&gt;0)*(DATOS!$K$2:$K$20000))/SUMPRODUCT((DATOS!$A$2:$A$20000=Y390)*(DATOS!$G$2:$G$20000=CONFIG_METADATA!$B$4)*(COUNTIF(CONFIG_ASIGNATURAS!$B$7:$B$27,DATOS!$I$2:$I$20000)&gt;0)*1),"")))</f>
        <v/>
      </c>
      <c r="AF390" t="str">
        <f>IF(AE390="","",IF(AE390="[FÓRMULA MANUAL]","",IFERROR(AVERAGEIFS(DATOS!$K$2:$K$20000,DATOS!$A$2:$A$20000,AE390,DATOS!$G$2:$G$20000,CONFIG_METADATA!$B$4,DATOS!$I$2:$I$20000,"Análisis"),"")))</f>
        <v/>
      </c>
      <c r="AG390" t="str">
        <f>IF(AE390="","",IF(AE390="[FÓRMULA MANUAL]","",IFERROR(AVERAGEIFS(DATOS!$K$2:$K$20000,DATOS!$A$2:$A$20000,AE390,DATOS!$G$2:$G$20000,CONFIG_METADATA!$B$4,DATOS!$I$2:$I$20000,"Orquesta/Banda/Conjunto"),"")))</f>
        <v/>
      </c>
      <c r="AH390" t="str">
        <f>IF(AE390="","",IF(AE390="[FÓRMULA MANUAL]","",IFERROR(AVERAGEIFS(DATOS!$K$2:$K$20000,DATOS!$A$2:$A$20000,AE390,DATOS!$G$2:$G$20000,CONFIG_METADATA!$B$4,DATOS!$I$2:$I$20000,"Música de Cámara"),"")))</f>
        <v/>
      </c>
      <c r="AI390" t="str">
        <f>IF(AE390="","",IF(AE390="[FÓRMULA MANUAL]","",IFERROR(SUMPRODUCT((DATOS!$A$2:$A$20000=AE390)*(DATOS!$G$2:$G$20000=CONFIG_METADATA!$B$4)*(COUNTIF(CONFIG_ASIGNATURAS!$B$7:$B$27,DATOS!$I$2:$I$20000)&gt;0)*(DATOS!$K$2:$K$20000))/SUMPRODUCT((DATOS!$A$2:$A$20000=AE390)*(DATOS!$G$2:$G$20000=CONFIG_METADATA!$B$4)*(COUNTIF(CONFIG_ASIGNATURAS!$B$7:$B$27,DATOS!$I$2:$I$20000)&gt;0)*1),"")))</f>
        <v/>
      </c>
    </row>
    <row r="391" spans="2:35" x14ac:dyDescent="0.2">
      <c r="B391" t="str">
        <f>IF(A391="","",IF(A391="[FÓRMULA MANUAL]","",IFERROR(AVERAGEIFS(DATOS!$K$2:$K$20000,DATOS!$A$2:$A$20000,A391,DATOS!$G$2:$G$20000,CONFIG_METADATA!$B$4,DATOS!$I$2:$I$20000,"Lenguaje Musical"),"")))</f>
        <v/>
      </c>
      <c r="C391" t="str">
        <f>IF(A391="","",IF(A391="[FÓRMULA MANUAL]","",IFERROR(AVERAGEIFS(DATOS!$K$2:$K$20000,DATOS!$A$2:$A$20000,A391,DATOS!$G$2:$G$20000,CONFIG_METADATA!$B$4,DATOS!$I$2:$I$20000,"Orquesta/Banda/Conjunto"),"")))</f>
        <v/>
      </c>
      <c r="D391" t="str">
        <f>IF(A391="","",IF(A391="[FÓRMULA MANUAL]","",IFERROR(AVERAGEIFS(DATOS!$K$2:$K$20000,DATOS!$A$2:$A$20000,A391,DATOS!$G$2:$G$20000,CONFIG_METADATA!$B$4,DATOS!$I$2:$I$20000,"Conjunto"),"")))</f>
        <v/>
      </c>
      <c r="E391" t="str">
        <f>IF(A391="","",IF(A391="[FÓRMULA MANUAL]","",IFERROR(SUMPRODUCT((DATOS!$A$2:$A$20000=A391)*(DATOS!$G$2:$G$20000=CONFIG_METADATA!$B$4)*(COUNTIF(CONFIG_ASIGNATURAS!$B$7:$B$27,DATOS!$I$2:$I$20000)&gt;0)*(DATOS!$K$2:$K$20000))/SUMPRODUCT((DATOS!$A$2:$A$20000=A391)*(DATOS!$G$2:$G$20000=CONFIG_METADATA!$B$4)*(COUNTIF(CONFIG_ASIGNATURAS!$B$7:$B$27,DATOS!$I$2:$I$20000)&gt;0)*1),"")))</f>
        <v/>
      </c>
      <c r="H391" t="str">
        <f>IF(G391="","",IF(G391="[FÓRMULA MANUAL]","",IFERROR(AVERAGEIFS(DATOS!$K$2:$K$20000,DATOS!$A$2:$A$20000,G391,DATOS!$G$2:$G$20000,CONFIG_METADATA!$B$4,DATOS!$I$2:$I$20000,"Lenguaje Musical"),"")))</f>
        <v/>
      </c>
      <c r="I391" t="str">
        <f>IF(G391="","",IF(G391="[FÓRMULA MANUAL]","",IFERROR(AVERAGEIFS(DATOS!$K$2:$K$20000,DATOS!$A$2:$A$20000,G391,DATOS!$G$2:$G$20000,CONFIG_METADATA!$B$4,DATOS!$I$2:$I$20000,"Orquesta/Banda/Conjunto"),"")))</f>
        <v/>
      </c>
      <c r="J391" t="str">
        <f>IF(G391="","",IF(G391="[FÓRMULA MANUAL]","",IFERROR(AVERAGEIFS(DATOS!$K$2:$K$20000,DATOS!$A$2:$A$20000,G391,DATOS!$G$2:$G$20000,CONFIG_METADATA!$B$4,DATOS!$I$2:$I$20000,"Conjunto"),"")))</f>
        <v/>
      </c>
      <c r="K391" t="str">
        <f>IF(G391="","",IF(G391="[FÓRMULA MANUAL]","",IFERROR(SUMPRODUCT((DATOS!$A$2:$A$20000=G391)*(DATOS!$G$2:$G$20000=CONFIG_METADATA!$B$4)*(COUNTIF(CONFIG_ASIGNATURAS!$B$7:$B$27,DATOS!$I$2:$I$20000)&gt;0)*(DATOS!$K$2:$K$20000))/SUMPRODUCT((DATOS!$A$2:$A$20000=G391)*(DATOS!$G$2:$G$20000=CONFIG_METADATA!$B$4)*(COUNTIF(CONFIG_ASIGNATURAS!$B$7:$B$27,DATOS!$I$2:$I$20000)&gt;0)*1),"")))</f>
        <v/>
      </c>
      <c r="N391" t="str">
        <f>IF(M391="","",IF(M391="[FÓRMULA MANUAL]","",IFERROR(AVERAGEIFS(DATOS!$K$2:$K$20000,DATOS!$A$2:$A$20000,M391,DATOS!$G$2:$G$20000,CONFIG_METADATA!$B$4,DATOS!$I$2:$I$20000,"Armonía"),"")))</f>
        <v/>
      </c>
      <c r="O391" t="str">
        <f>IF(M391="","",IF(M391="[FÓRMULA MANUAL]","",IFERROR(AVERAGEIFS(DATOS!$K$2:$K$20000,DATOS!$A$2:$A$20000,M391,DATOS!$G$2:$G$20000,CONFIG_METADATA!$B$4,DATOS!$I$2:$I$20000,"Orquesta/Banda/Conjunto"),"")))</f>
        <v/>
      </c>
      <c r="P391" t="str">
        <f>IF(M391="","",IF(M391="[FÓRMULA MANUAL]","",IFERROR(AVERAGEIFS(DATOS!$K$2:$K$20000,DATOS!$A$2:$A$20000,M391,DATOS!$G$2:$G$20000,CONFIG_METADATA!$B$4,DATOS!$I$2:$I$20000,"Música de Cámara"),"")))</f>
        <v/>
      </c>
      <c r="Q391" t="str">
        <f>IF(M391="","",IF(M391="[FÓRMULA MANUAL]","",IFERROR(SUMPRODUCT((DATOS!$A$2:$A$20000=M391)*(DATOS!$G$2:$G$20000=CONFIG_METADATA!$B$4)*(COUNTIF(CONFIG_ASIGNATURAS!$B$7:$B$27,DATOS!$I$2:$I$20000)&gt;0)*(DATOS!$K$2:$K$20000))/SUMPRODUCT((DATOS!$A$2:$A$20000=M391)*(DATOS!$G$2:$G$20000=CONFIG_METADATA!$B$4)*(COUNTIF(CONFIG_ASIGNATURAS!$B$7:$B$27,DATOS!$I$2:$I$20000)&gt;0)*1),"")))</f>
        <v/>
      </c>
      <c r="T391" t="str">
        <f>IF(S391="","",IF(S391="[FÓRMULA MANUAL]","",IFERROR(AVERAGEIFS(DATOS!$K$2:$K$20000,DATOS!$A$2:$A$20000,S391,DATOS!$G$2:$G$20000,CONFIG_METADATA!$B$4,DATOS!$I$2:$I$20000,"Armonía"),"")))</f>
        <v/>
      </c>
      <c r="U391" t="str">
        <f>IF(S391="","",IF(S391="[FÓRMULA MANUAL]","",IFERROR(AVERAGEIFS(DATOS!$K$2:$K$20000,DATOS!$A$2:$A$20000,S391,DATOS!$G$2:$G$20000,CONFIG_METADATA!$B$4,DATOS!$I$2:$I$20000,"Orquesta/Banda/Conjunto"),"")))</f>
        <v/>
      </c>
      <c r="V391" t="str">
        <f>IF(S391="","",IF(S391="[FÓRMULA MANUAL]","",IFERROR(AVERAGEIFS(DATOS!$K$2:$K$20000,DATOS!$A$2:$A$20000,S391,DATOS!$G$2:$G$20000,CONFIG_METADATA!$B$4,DATOS!$I$2:$I$20000,"Música de Cámara"),"")))</f>
        <v/>
      </c>
      <c r="W391" t="str">
        <f>IF(S391="","",IF(S391="[FÓRMULA MANUAL]","",IFERROR(SUMPRODUCT((DATOS!$A$2:$A$20000=S391)*(DATOS!$G$2:$G$20000=CONFIG_METADATA!$B$4)*(COUNTIF(CONFIG_ASIGNATURAS!$B$7:$B$27,DATOS!$I$2:$I$20000)&gt;0)*(DATOS!$K$2:$K$20000))/SUMPRODUCT((DATOS!$A$2:$A$20000=S391)*(DATOS!$G$2:$G$20000=CONFIG_METADATA!$B$4)*(COUNTIF(CONFIG_ASIGNATURAS!$B$7:$B$27,DATOS!$I$2:$I$20000)&gt;0)*1),"")))</f>
        <v/>
      </c>
      <c r="Z391" t="str">
        <f>IF(Y391="","",IF(Y391="[FÓRMULA MANUAL]","",IFERROR(AVERAGEIFS(DATOS!$K$2:$K$20000,DATOS!$A$2:$A$20000,Y391,DATOS!$G$2:$G$20000,CONFIG_METADATA!$B$4,DATOS!$I$2:$I$20000,"Análisis"),"")))</f>
        <v/>
      </c>
      <c r="AA391" t="str">
        <f>IF(Y391="","",IF(Y391="[FÓRMULA MANUAL]","",IFERROR(AVERAGEIFS(DATOS!$K$2:$K$20000,DATOS!$A$2:$A$20000,Y391,DATOS!$G$2:$G$20000,CONFIG_METADATA!$B$4,DATOS!$I$2:$I$20000,"Orquesta/Banda/Conjunto"),"")))</f>
        <v/>
      </c>
      <c r="AB391" t="str">
        <f>IF(Y391="","",IF(Y391="[FÓRMULA MANUAL]","",IFERROR(AVERAGEIFS(DATOS!$K$2:$K$20000,DATOS!$A$2:$A$20000,Y391,DATOS!$G$2:$G$20000,CONFIG_METADATA!$B$4,DATOS!$I$2:$I$20000,"Música de Cámara"),"")))</f>
        <v/>
      </c>
      <c r="AC391" t="str">
        <f>IF(Y391="","",IF(Y391="[FÓRMULA MANUAL]","",IFERROR(SUMPRODUCT((DATOS!$A$2:$A$20000=Y391)*(DATOS!$G$2:$G$20000=CONFIG_METADATA!$B$4)*(COUNTIF(CONFIG_ASIGNATURAS!$B$7:$B$27,DATOS!$I$2:$I$20000)&gt;0)*(DATOS!$K$2:$K$20000))/SUMPRODUCT((DATOS!$A$2:$A$20000=Y391)*(DATOS!$G$2:$G$20000=CONFIG_METADATA!$B$4)*(COUNTIF(CONFIG_ASIGNATURAS!$B$7:$B$27,DATOS!$I$2:$I$20000)&gt;0)*1),"")))</f>
        <v/>
      </c>
      <c r="AF391" t="str">
        <f>IF(AE391="","",IF(AE391="[FÓRMULA MANUAL]","",IFERROR(AVERAGEIFS(DATOS!$K$2:$K$20000,DATOS!$A$2:$A$20000,AE391,DATOS!$G$2:$G$20000,CONFIG_METADATA!$B$4,DATOS!$I$2:$I$20000,"Análisis"),"")))</f>
        <v/>
      </c>
      <c r="AG391" t="str">
        <f>IF(AE391="","",IF(AE391="[FÓRMULA MANUAL]","",IFERROR(AVERAGEIFS(DATOS!$K$2:$K$20000,DATOS!$A$2:$A$20000,AE391,DATOS!$G$2:$G$20000,CONFIG_METADATA!$B$4,DATOS!$I$2:$I$20000,"Orquesta/Banda/Conjunto"),"")))</f>
        <v/>
      </c>
      <c r="AH391" t="str">
        <f>IF(AE391="","",IF(AE391="[FÓRMULA MANUAL]","",IFERROR(AVERAGEIFS(DATOS!$K$2:$K$20000,DATOS!$A$2:$A$20000,AE391,DATOS!$G$2:$G$20000,CONFIG_METADATA!$B$4,DATOS!$I$2:$I$20000,"Música de Cámara"),"")))</f>
        <v/>
      </c>
      <c r="AI391" t="str">
        <f>IF(AE391="","",IF(AE391="[FÓRMULA MANUAL]","",IFERROR(SUMPRODUCT((DATOS!$A$2:$A$20000=AE391)*(DATOS!$G$2:$G$20000=CONFIG_METADATA!$B$4)*(COUNTIF(CONFIG_ASIGNATURAS!$B$7:$B$27,DATOS!$I$2:$I$20000)&gt;0)*(DATOS!$K$2:$K$20000))/SUMPRODUCT((DATOS!$A$2:$A$20000=AE391)*(DATOS!$G$2:$G$20000=CONFIG_METADATA!$B$4)*(COUNTIF(CONFIG_ASIGNATURAS!$B$7:$B$27,DATOS!$I$2:$I$20000)&gt;0)*1),"")))</f>
        <v/>
      </c>
    </row>
    <row r="392" spans="2:35" x14ac:dyDescent="0.2">
      <c r="B392" t="str">
        <f>IF(A392="","",IF(A392="[FÓRMULA MANUAL]","",IFERROR(AVERAGEIFS(DATOS!$K$2:$K$20000,DATOS!$A$2:$A$20000,A392,DATOS!$G$2:$G$20000,CONFIG_METADATA!$B$4,DATOS!$I$2:$I$20000,"Lenguaje Musical"),"")))</f>
        <v/>
      </c>
      <c r="C392" t="str">
        <f>IF(A392="","",IF(A392="[FÓRMULA MANUAL]","",IFERROR(AVERAGEIFS(DATOS!$K$2:$K$20000,DATOS!$A$2:$A$20000,A392,DATOS!$G$2:$G$20000,CONFIG_METADATA!$B$4,DATOS!$I$2:$I$20000,"Orquesta/Banda/Conjunto"),"")))</f>
        <v/>
      </c>
      <c r="D392" t="str">
        <f>IF(A392="","",IF(A392="[FÓRMULA MANUAL]","",IFERROR(AVERAGEIFS(DATOS!$K$2:$K$20000,DATOS!$A$2:$A$20000,A392,DATOS!$G$2:$G$20000,CONFIG_METADATA!$B$4,DATOS!$I$2:$I$20000,"Conjunto"),"")))</f>
        <v/>
      </c>
      <c r="E392" t="str">
        <f>IF(A392="","",IF(A392="[FÓRMULA MANUAL]","",IFERROR(SUMPRODUCT((DATOS!$A$2:$A$20000=A392)*(DATOS!$G$2:$G$20000=CONFIG_METADATA!$B$4)*(COUNTIF(CONFIG_ASIGNATURAS!$B$7:$B$27,DATOS!$I$2:$I$20000)&gt;0)*(DATOS!$K$2:$K$20000))/SUMPRODUCT((DATOS!$A$2:$A$20000=A392)*(DATOS!$G$2:$G$20000=CONFIG_METADATA!$B$4)*(COUNTIF(CONFIG_ASIGNATURAS!$B$7:$B$27,DATOS!$I$2:$I$20000)&gt;0)*1),"")))</f>
        <v/>
      </c>
      <c r="H392" t="str">
        <f>IF(G392="","",IF(G392="[FÓRMULA MANUAL]","",IFERROR(AVERAGEIFS(DATOS!$K$2:$K$20000,DATOS!$A$2:$A$20000,G392,DATOS!$G$2:$G$20000,CONFIG_METADATA!$B$4,DATOS!$I$2:$I$20000,"Lenguaje Musical"),"")))</f>
        <v/>
      </c>
      <c r="I392" t="str">
        <f>IF(G392="","",IF(G392="[FÓRMULA MANUAL]","",IFERROR(AVERAGEIFS(DATOS!$K$2:$K$20000,DATOS!$A$2:$A$20000,G392,DATOS!$G$2:$G$20000,CONFIG_METADATA!$B$4,DATOS!$I$2:$I$20000,"Orquesta/Banda/Conjunto"),"")))</f>
        <v/>
      </c>
      <c r="J392" t="str">
        <f>IF(G392="","",IF(G392="[FÓRMULA MANUAL]","",IFERROR(AVERAGEIFS(DATOS!$K$2:$K$20000,DATOS!$A$2:$A$20000,G392,DATOS!$G$2:$G$20000,CONFIG_METADATA!$B$4,DATOS!$I$2:$I$20000,"Conjunto"),"")))</f>
        <v/>
      </c>
      <c r="K392" t="str">
        <f>IF(G392="","",IF(G392="[FÓRMULA MANUAL]","",IFERROR(SUMPRODUCT((DATOS!$A$2:$A$20000=G392)*(DATOS!$G$2:$G$20000=CONFIG_METADATA!$B$4)*(COUNTIF(CONFIG_ASIGNATURAS!$B$7:$B$27,DATOS!$I$2:$I$20000)&gt;0)*(DATOS!$K$2:$K$20000))/SUMPRODUCT((DATOS!$A$2:$A$20000=G392)*(DATOS!$G$2:$G$20000=CONFIG_METADATA!$B$4)*(COUNTIF(CONFIG_ASIGNATURAS!$B$7:$B$27,DATOS!$I$2:$I$20000)&gt;0)*1),"")))</f>
        <v/>
      </c>
      <c r="N392" t="str">
        <f>IF(M392="","",IF(M392="[FÓRMULA MANUAL]","",IFERROR(AVERAGEIFS(DATOS!$K$2:$K$20000,DATOS!$A$2:$A$20000,M392,DATOS!$G$2:$G$20000,CONFIG_METADATA!$B$4,DATOS!$I$2:$I$20000,"Armonía"),"")))</f>
        <v/>
      </c>
      <c r="O392" t="str">
        <f>IF(M392="","",IF(M392="[FÓRMULA MANUAL]","",IFERROR(AVERAGEIFS(DATOS!$K$2:$K$20000,DATOS!$A$2:$A$20000,M392,DATOS!$G$2:$G$20000,CONFIG_METADATA!$B$4,DATOS!$I$2:$I$20000,"Orquesta/Banda/Conjunto"),"")))</f>
        <v/>
      </c>
      <c r="P392" t="str">
        <f>IF(M392="","",IF(M392="[FÓRMULA MANUAL]","",IFERROR(AVERAGEIFS(DATOS!$K$2:$K$20000,DATOS!$A$2:$A$20000,M392,DATOS!$G$2:$G$20000,CONFIG_METADATA!$B$4,DATOS!$I$2:$I$20000,"Música de Cámara"),"")))</f>
        <v/>
      </c>
      <c r="Q392" t="str">
        <f>IF(M392="","",IF(M392="[FÓRMULA MANUAL]","",IFERROR(SUMPRODUCT((DATOS!$A$2:$A$20000=M392)*(DATOS!$G$2:$G$20000=CONFIG_METADATA!$B$4)*(COUNTIF(CONFIG_ASIGNATURAS!$B$7:$B$27,DATOS!$I$2:$I$20000)&gt;0)*(DATOS!$K$2:$K$20000))/SUMPRODUCT((DATOS!$A$2:$A$20000=M392)*(DATOS!$G$2:$G$20000=CONFIG_METADATA!$B$4)*(COUNTIF(CONFIG_ASIGNATURAS!$B$7:$B$27,DATOS!$I$2:$I$20000)&gt;0)*1),"")))</f>
        <v/>
      </c>
      <c r="T392" t="str">
        <f>IF(S392="","",IF(S392="[FÓRMULA MANUAL]","",IFERROR(AVERAGEIFS(DATOS!$K$2:$K$20000,DATOS!$A$2:$A$20000,S392,DATOS!$G$2:$G$20000,CONFIG_METADATA!$B$4,DATOS!$I$2:$I$20000,"Armonía"),"")))</f>
        <v/>
      </c>
      <c r="U392" t="str">
        <f>IF(S392="","",IF(S392="[FÓRMULA MANUAL]","",IFERROR(AVERAGEIFS(DATOS!$K$2:$K$20000,DATOS!$A$2:$A$20000,S392,DATOS!$G$2:$G$20000,CONFIG_METADATA!$B$4,DATOS!$I$2:$I$20000,"Orquesta/Banda/Conjunto"),"")))</f>
        <v/>
      </c>
      <c r="V392" t="str">
        <f>IF(S392="","",IF(S392="[FÓRMULA MANUAL]","",IFERROR(AVERAGEIFS(DATOS!$K$2:$K$20000,DATOS!$A$2:$A$20000,S392,DATOS!$G$2:$G$20000,CONFIG_METADATA!$B$4,DATOS!$I$2:$I$20000,"Música de Cámara"),"")))</f>
        <v/>
      </c>
      <c r="W392" t="str">
        <f>IF(S392="","",IF(S392="[FÓRMULA MANUAL]","",IFERROR(SUMPRODUCT((DATOS!$A$2:$A$20000=S392)*(DATOS!$G$2:$G$20000=CONFIG_METADATA!$B$4)*(COUNTIF(CONFIG_ASIGNATURAS!$B$7:$B$27,DATOS!$I$2:$I$20000)&gt;0)*(DATOS!$K$2:$K$20000))/SUMPRODUCT((DATOS!$A$2:$A$20000=S392)*(DATOS!$G$2:$G$20000=CONFIG_METADATA!$B$4)*(COUNTIF(CONFIG_ASIGNATURAS!$B$7:$B$27,DATOS!$I$2:$I$20000)&gt;0)*1),"")))</f>
        <v/>
      </c>
      <c r="Z392" t="str">
        <f>IF(Y392="","",IF(Y392="[FÓRMULA MANUAL]","",IFERROR(AVERAGEIFS(DATOS!$K$2:$K$20000,DATOS!$A$2:$A$20000,Y392,DATOS!$G$2:$G$20000,CONFIG_METADATA!$B$4,DATOS!$I$2:$I$20000,"Análisis"),"")))</f>
        <v/>
      </c>
      <c r="AA392" t="str">
        <f>IF(Y392="","",IF(Y392="[FÓRMULA MANUAL]","",IFERROR(AVERAGEIFS(DATOS!$K$2:$K$20000,DATOS!$A$2:$A$20000,Y392,DATOS!$G$2:$G$20000,CONFIG_METADATA!$B$4,DATOS!$I$2:$I$20000,"Orquesta/Banda/Conjunto"),"")))</f>
        <v/>
      </c>
      <c r="AB392" t="str">
        <f>IF(Y392="","",IF(Y392="[FÓRMULA MANUAL]","",IFERROR(AVERAGEIFS(DATOS!$K$2:$K$20000,DATOS!$A$2:$A$20000,Y392,DATOS!$G$2:$G$20000,CONFIG_METADATA!$B$4,DATOS!$I$2:$I$20000,"Música de Cámara"),"")))</f>
        <v/>
      </c>
      <c r="AC392" t="str">
        <f>IF(Y392="","",IF(Y392="[FÓRMULA MANUAL]","",IFERROR(SUMPRODUCT((DATOS!$A$2:$A$20000=Y392)*(DATOS!$G$2:$G$20000=CONFIG_METADATA!$B$4)*(COUNTIF(CONFIG_ASIGNATURAS!$B$7:$B$27,DATOS!$I$2:$I$20000)&gt;0)*(DATOS!$K$2:$K$20000))/SUMPRODUCT((DATOS!$A$2:$A$20000=Y392)*(DATOS!$G$2:$G$20000=CONFIG_METADATA!$B$4)*(COUNTIF(CONFIG_ASIGNATURAS!$B$7:$B$27,DATOS!$I$2:$I$20000)&gt;0)*1),"")))</f>
        <v/>
      </c>
      <c r="AF392" t="str">
        <f>IF(AE392="","",IF(AE392="[FÓRMULA MANUAL]","",IFERROR(AVERAGEIFS(DATOS!$K$2:$K$20000,DATOS!$A$2:$A$20000,AE392,DATOS!$G$2:$G$20000,CONFIG_METADATA!$B$4,DATOS!$I$2:$I$20000,"Análisis"),"")))</f>
        <v/>
      </c>
      <c r="AG392" t="str">
        <f>IF(AE392="","",IF(AE392="[FÓRMULA MANUAL]","",IFERROR(AVERAGEIFS(DATOS!$K$2:$K$20000,DATOS!$A$2:$A$20000,AE392,DATOS!$G$2:$G$20000,CONFIG_METADATA!$B$4,DATOS!$I$2:$I$20000,"Orquesta/Banda/Conjunto"),"")))</f>
        <v/>
      </c>
      <c r="AH392" t="str">
        <f>IF(AE392="","",IF(AE392="[FÓRMULA MANUAL]","",IFERROR(AVERAGEIFS(DATOS!$K$2:$K$20000,DATOS!$A$2:$A$20000,AE392,DATOS!$G$2:$G$20000,CONFIG_METADATA!$B$4,DATOS!$I$2:$I$20000,"Música de Cámara"),"")))</f>
        <v/>
      </c>
      <c r="AI392" t="str">
        <f>IF(AE392="","",IF(AE392="[FÓRMULA MANUAL]","",IFERROR(SUMPRODUCT((DATOS!$A$2:$A$20000=AE392)*(DATOS!$G$2:$G$20000=CONFIG_METADATA!$B$4)*(COUNTIF(CONFIG_ASIGNATURAS!$B$7:$B$27,DATOS!$I$2:$I$20000)&gt;0)*(DATOS!$K$2:$K$20000))/SUMPRODUCT((DATOS!$A$2:$A$20000=AE392)*(DATOS!$G$2:$G$20000=CONFIG_METADATA!$B$4)*(COUNTIF(CONFIG_ASIGNATURAS!$B$7:$B$27,DATOS!$I$2:$I$20000)&gt;0)*1),"")))</f>
        <v/>
      </c>
    </row>
    <row r="393" spans="2:35" x14ac:dyDescent="0.2">
      <c r="B393" t="str">
        <f>IF(A393="","",IF(A393="[FÓRMULA MANUAL]","",IFERROR(AVERAGEIFS(DATOS!$K$2:$K$20000,DATOS!$A$2:$A$20000,A393,DATOS!$G$2:$G$20000,CONFIG_METADATA!$B$4,DATOS!$I$2:$I$20000,"Lenguaje Musical"),"")))</f>
        <v/>
      </c>
      <c r="C393" t="str">
        <f>IF(A393="","",IF(A393="[FÓRMULA MANUAL]","",IFERROR(AVERAGEIFS(DATOS!$K$2:$K$20000,DATOS!$A$2:$A$20000,A393,DATOS!$G$2:$G$20000,CONFIG_METADATA!$B$4,DATOS!$I$2:$I$20000,"Orquesta/Banda/Conjunto"),"")))</f>
        <v/>
      </c>
      <c r="D393" t="str">
        <f>IF(A393="","",IF(A393="[FÓRMULA MANUAL]","",IFERROR(AVERAGEIFS(DATOS!$K$2:$K$20000,DATOS!$A$2:$A$20000,A393,DATOS!$G$2:$G$20000,CONFIG_METADATA!$B$4,DATOS!$I$2:$I$20000,"Conjunto"),"")))</f>
        <v/>
      </c>
      <c r="E393" t="str">
        <f>IF(A393="","",IF(A393="[FÓRMULA MANUAL]","",IFERROR(SUMPRODUCT((DATOS!$A$2:$A$20000=A393)*(DATOS!$G$2:$G$20000=CONFIG_METADATA!$B$4)*(COUNTIF(CONFIG_ASIGNATURAS!$B$7:$B$27,DATOS!$I$2:$I$20000)&gt;0)*(DATOS!$K$2:$K$20000))/SUMPRODUCT((DATOS!$A$2:$A$20000=A393)*(DATOS!$G$2:$G$20000=CONFIG_METADATA!$B$4)*(COUNTIF(CONFIG_ASIGNATURAS!$B$7:$B$27,DATOS!$I$2:$I$20000)&gt;0)*1),"")))</f>
        <v/>
      </c>
      <c r="H393" t="str">
        <f>IF(G393="","",IF(G393="[FÓRMULA MANUAL]","",IFERROR(AVERAGEIFS(DATOS!$K$2:$K$20000,DATOS!$A$2:$A$20000,G393,DATOS!$G$2:$G$20000,CONFIG_METADATA!$B$4,DATOS!$I$2:$I$20000,"Lenguaje Musical"),"")))</f>
        <v/>
      </c>
      <c r="I393" t="str">
        <f>IF(G393="","",IF(G393="[FÓRMULA MANUAL]","",IFERROR(AVERAGEIFS(DATOS!$K$2:$K$20000,DATOS!$A$2:$A$20000,G393,DATOS!$G$2:$G$20000,CONFIG_METADATA!$B$4,DATOS!$I$2:$I$20000,"Orquesta/Banda/Conjunto"),"")))</f>
        <v/>
      </c>
      <c r="J393" t="str">
        <f>IF(G393="","",IF(G393="[FÓRMULA MANUAL]","",IFERROR(AVERAGEIFS(DATOS!$K$2:$K$20000,DATOS!$A$2:$A$20000,G393,DATOS!$G$2:$G$20000,CONFIG_METADATA!$B$4,DATOS!$I$2:$I$20000,"Conjunto"),"")))</f>
        <v/>
      </c>
      <c r="K393" t="str">
        <f>IF(G393="","",IF(G393="[FÓRMULA MANUAL]","",IFERROR(SUMPRODUCT((DATOS!$A$2:$A$20000=G393)*(DATOS!$G$2:$G$20000=CONFIG_METADATA!$B$4)*(COUNTIF(CONFIG_ASIGNATURAS!$B$7:$B$27,DATOS!$I$2:$I$20000)&gt;0)*(DATOS!$K$2:$K$20000))/SUMPRODUCT((DATOS!$A$2:$A$20000=G393)*(DATOS!$G$2:$G$20000=CONFIG_METADATA!$B$4)*(COUNTIF(CONFIG_ASIGNATURAS!$B$7:$B$27,DATOS!$I$2:$I$20000)&gt;0)*1),"")))</f>
        <v/>
      </c>
      <c r="N393" t="str">
        <f>IF(M393="","",IF(M393="[FÓRMULA MANUAL]","",IFERROR(AVERAGEIFS(DATOS!$K$2:$K$20000,DATOS!$A$2:$A$20000,M393,DATOS!$G$2:$G$20000,CONFIG_METADATA!$B$4,DATOS!$I$2:$I$20000,"Armonía"),"")))</f>
        <v/>
      </c>
      <c r="O393" t="str">
        <f>IF(M393="","",IF(M393="[FÓRMULA MANUAL]","",IFERROR(AVERAGEIFS(DATOS!$K$2:$K$20000,DATOS!$A$2:$A$20000,M393,DATOS!$G$2:$G$20000,CONFIG_METADATA!$B$4,DATOS!$I$2:$I$20000,"Orquesta/Banda/Conjunto"),"")))</f>
        <v/>
      </c>
      <c r="P393" t="str">
        <f>IF(M393="","",IF(M393="[FÓRMULA MANUAL]","",IFERROR(AVERAGEIFS(DATOS!$K$2:$K$20000,DATOS!$A$2:$A$20000,M393,DATOS!$G$2:$G$20000,CONFIG_METADATA!$B$4,DATOS!$I$2:$I$20000,"Música de Cámara"),"")))</f>
        <v/>
      </c>
      <c r="Q393" t="str">
        <f>IF(M393="","",IF(M393="[FÓRMULA MANUAL]","",IFERROR(SUMPRODUCT((DATOS!$A$2:$A$20000=M393)*(DATOS!$G$2:$G$20000=CONFIG_METADATA!$B$4)*(COUNTIF(CONFIG_ASIGNATURAS!$B$7:$B$27,DATOS!$I$2:$I$20000)&gt;0)*(DATOS!$K$2:$K$20000))/SUMPRODUCT((DATOS!$A$2:$A$20000=M393)*(DATOS!$G$2:$G$20000=CONFIG_METADATA!$B$4)*(COUNTIF(CONFIG_ASIGNATURAS!$B$7:$B$27,DATOS!$I$2:$I$20000)&gt;0)*1),"")))</f>
        <v/>
      </c>
      <c r="T393" t="str">
        <f>IF(S393="","",IF(S393="[FÓRMULA MANUAL]","",IFERROR(AVERAGEIFS(DATOS!$K$2:$K$20000,DATOS!$A$2:$A$20000,S393,DATOS!$G$2:$G$20000,CONFIG_METADATA!$B$4,DATOS!$I$2:$I$20000,"Armonía"),"")))</f>
        <v/>
      </c>
      <c r="U393" t="str">
        <f>IF(S393="","",IF(S393="[FÓRMULA MANUAL]","",IFERROR(AVERAGEIFS(DATOS!$K$2:$K$20000,DATOS!$A$2:$A$20000,S393,DATOS!$G$2:$G$20000,CONFIG_METADATA!$B$4,DATOS!$I$2:$I$20000,"Orquesta/Banda/Conjunto"),"")))</f>
        <v/>
      </c>
      <c r="V393" t="str">
        <f>IF(S393="","",IF(S393="[FÓRMULA MANUAL]","",IFERROR(AVERAGEIFS(DATOS!$K$2:$K$20000,DATOS!$A$2:$A$20000,S393,DATOS!$G$2:$G$20000,CONFIG_METADATA!$B$4,DATOS!$I$2:$I$20000,"Música de Cámara"),"")))</f>
        <v/>
      </c>
      <c r="W393" t="str">
        <f>IF(S393="","",IF(S393="[FÓRMULA MANUAL]","",IFERROR(SUMPRODUCT((DATOS!$A$2:$A$20000=S393)*(DATOS!$G$2:$G$20000=CONFIG_METADATA!$B$4)*(COUNTIF(CONFIG_ASIGNATURAS!$B$7:$B$27,DATOS!$I$2:$I$20000)&gt;0)*(DATOS!$K$2:$K$20000))/SUMPRODUCT((DATOS!$A$2:$A$20000=S393)*(DATOS!$G$2:$G$20000=CONFIG_METADATA!$B$4)*(COUNTIF(CONFIG_ASIGNATURAS!$B$7:$B$27,DATOS!$I$2:$I$20000)&gt;0)*1),"")))</f>
        <v/>
      </c>
      <c r="Z393" t="str">
        <f>IF(Y393="","",IF(Y393="[FÓRMULA MANUAL]","",IFERROR(AVERAGEIFS(DATOS!$K$2:$K$20000,DATOS!$A$2:$A$20000,Y393,DATOS!$G$2:$G$20000,CONFIG_METADATA!$B$4,DATOS!$I$2:$I$20000,"Análisis"),"")))</f>
        <v/>
      </c>
      <c r="AA393" t="str">
        <f>IF(Y393="","",IF(Y393="[FÓRMULA MANUAL]","",IFERROR(AVERAGEIFS(DATOS!$K$2:$K$20000,DATOS!$A$2:$A$20000,Y393,DATOS!$G$2:$G$20000,CONFIG_METADATA!$B$4,DATOS!$I$2:$I$20000,"Orquesta/Banda/Conjunto"),"")))</f>
        <v/>
      </c>
      <c r="AB393" t="str">
        <f>IF(Y393="","",IF(Y393="[FÓRMULA MANUAL]","",IFERROR(AVERAGEIFS(DATOS!$K$2:$K$20000,DATOS!$A$2:$A$20000,Y393,DATOS!$G$2:$G$20000,CONFIG_METADATA!$B$4,DATOS!$I$2:$I$20000,"Música de Cámara"),"")))</f>
        <v/>
      </c>
      <c r="AC393" t="str">
        <f>IF(Y393="","",IF(Y393="[FÓRMULA MANUAL]","",IFERROR(SUMPRODUCT((DATOS!$A$2:$A$20000=Y393)*(DATOS!$G$2:$G$20000=CONFIG_METADATA!$B$4)*(COUNTIF(CONFIG_ASIGNATURAS!$B$7:$B$27,DATOS!$I$2:$I$20000)&gt;0)*(DATOS!$K$2:$K$20000))/SUMPRODUCT((DATOS!$A$2:$A$20000=Y393)*(DATOS!$G$2:$G$20000=CONFIG_METADATA!$B$4)*(COUNTIF(CONFIG_ASIGNATURAS!$B$7:$B$27,DATOS!$I$2:$I$20000)&gt;0)*1),"")))</f>
        <v/>
      </c>
      <c r="AF393" t="str">
        <f>IF(AE393="","",IF(AE393="[FÓRMULA MANUAL]","",IFERROR(AVERAGEIFS(DATOS!$K$2:$K$20000,DATOS!$A$2:$A$20000,AE393,DATOS!$G$2:$G$20000,CONFIG_METADATA!$B$4,DATOS!$I$2:$I$20000,"Análisis"),"")))</f>
        <v/>
      </c>
      <c r="AG393" t="str">
        <f>IF(AE393="","",IF(AE393="[FÓRMULA MANUAL]","",IFERROR(AVERAGEIFS(DATOS!$K$2:$K$20000,DATOS!$A$2:$A$20000,AE393,DATOS!$G$2:$G$20000,CONFIG_METADATA!$B$4,DATOS!$I$2:$I$20000,"Orquesta/Banda/Conjunto"),"")))</f>
        <v/>
      </c>
      <c r="AH393" t="str">
        <f>IF(AE393="","",IF(AE393="[FÓRMULA MANUAL]","",IFERROR(AVERAGEIFS(DATOS!$K$2:$K$20000,DATOS!$A$2:$A$20000,AE393,DATOS!$G$2:$G$20000,CONFIG_METADATA!$B$4,DATOS!$I$2:$I$20000,"Música de Cámara"),"")))</f>
        <v/>
      </c>
      <c r="AI393" t="str">
        <f>IF(AE393="","",IF(AE393="[FÓRMULA MANUAL]","",IFERROR(SUMPRODUCT((DATOS!$A$2:$A$20000=AE393)*(DATOS!$G$2:$G$20000=CONFIG_METADATA!$B$4)*(COUNTIF(CONFIG_ASIGNATURAS!$B$7:$B$27,DATOS!$I$2:$I$20000)&gt;0)*(DATOS!$K$2:$K$20000))/SUMPRODUCT((DATOS!$A$2:$A$20000=AE393)*(DATOS!$G$2:$G$20000=CONFIG_METADATA!$B$4)*(COUNTIF(CONFIG_ASIGNATURAS!$B$7:$B$27,DATOS!$I$2:$I$20000)&gt;0)*1),"")))</f>
        <v/>
      </c>
    </row>
    <row r="394" spans="2:35" x14ac:dyDescent="0.2">
      <c r="B394" t="str">
        <f>IF(A394="","",IF(A394="[FÓRMULA MANUAL]","",IFERROR(AVERAGEIFS(DATOS!$K$2:$K$20000,DATOS!$A$2:$A$20000,A394,DATOS!$G$2:$G$20000,CONFIG_METADATA!$B$4,DATOS!$I$2:$I$20000,"Lenguaje Musical"),"")))</f>
        <v/>
      </c>
      <c r="C394" t="str">
        <f>IF(A394="","",IF(A394="[FÓRMULA MANUAL]","",IFERROR(AVERAGEIFS(DATOS!$K$2:$K$20000,DATOS!$A$2:$A$20000,A394,DATOS!$G$2:$G$20000,CONFIG_METADATA!$B$4,DATOS!$I$2:$I$20000,"Orquesta/Banda/Conjunto"),"")))</f>
        <v/>
      </c>
      <c r="D394" t="str">
        <f>IF(A394="","",IF(A394="[FÓRMULA MANUAL]","",IFERROR(AVERAGEIFS(DATOS!$K$2:$K$20000,DATOS!$A$2:$A$20000,A394,DATOS!$G$2:$G$20000,CONFIG_METADATA!$B$4,DATOS!$I$2:$I$20000,"Conjunto"),"")))</f>
        <v/>
      </c>
      <c r="E394" t="str">
        <f>IF(A394="","",IF(A394="[FÓRMULA MANUAL]","",IFERROR(SUMPRODUCT((DATOS!$A$2:$A$20000=A394)*(DATOS!$G$2:$G$20000=CONFIG_METADATA!$B$4)*(COUNTIF(CONFIG_ASIGNATURAS!$B$7:$B$27,DATOS!$I$2:$I$20000)&gt;0)*(DATOS!$K$2:$K$20000))/SUMPRODUCT((DATOS!$A$2:$A$20000=A394)*(DATOS!$G$2:$G$20000=CONFIG_METADATA!$B$4)*(COUNTIF(CONFIG_ASIGNATURAS!$B$7:$B$27,DATOS!$I$2:$I$20000)&gt;0)*1),"")))</f>
        <v/>
      </c>
      <c r="H394" t="str">
        <f>IF(G394="","",IF(G394="[FÓRMULA MANUAL]","",IFERROR(AVERAGEIFS(DATOS!$K$2:$K$20000,DATOS!$A$2:$A$20000,G394,DATOS!$G$2:$G$20000,CONFIG_METADATA!$B$4,DATOS!$I$2:$I$20000,"Lenguaje Musical"),"")))</f>
        <v/>
      </c>
      <c r="I394" t="str">
        <f>IF(G394="","",IF(G394="[FÓRMULA MANUAL]","",IFERROR(AVERAGEIFS(DATOS!$K$2:$K$20000,DATOS!$A$2:$A$20000,G394,DATOS!$G$2:$G$20000,CONFIG_METADATA!$B$4,DATOS!$I$2:$I$20000,"Orquesta/Banda/Conjunto"),"")))</f>
        <v/>
      </c>
      <c r="J394" t="str">
        <f>IF(G394="","",IF(G394="[FÓRMULA MANUAL]","",IFERROR(AVERAGEIFS(DATOS!$K$2:$K$20000,DATOS!$A$2:$A$20000,G394,DATOS!$G$2:$G$20000,CONFIG_METADATA!$B$4,DATOS!$I$2:$I$20000,"Conjunto"),"")))</f>
        <v/>
      </c>
      <c r="K394" t="str">
        <f>IF(G394="","",IF(G394="[FÓRMULA MANUAL]","",IFERROR(SUMPRODUCT((DATOS!$A$2:$A$20000=G394)*(DATOS!$G$2:$G$20000=CONFIG_METADATA!$B$4)*(COUNTIF(CONFIG_ASIGNATURAS!$B$7:$B$27,DATOS!$I$2:$I$20000)&gt;0)*(DATOS!$K$2:$K$20000))/SUMPRODUCT((DATOS!$A$2:$A$20000=G394)*(DATOS!$G$2:$G$20000=CONFIG_METADATA!$B$4)*(COUNTIF(CONFIG_ASIGNATURAS!$B$7:$B$27,DATOS!$I$2:$I$20000)&gt;0)*1),"")))</f>
        <v/>
      </c>
      <c r="N394" t="str">
        <f>IF(M394="","",IF(M394="[FÓRMULA MANUAL]","",IFERROR(AVERAGEIFS(DATOS!$K$2:$K$20000,DATOS!$A$2:$A$20000,M394,DATOS!$G$2:$G$20000,CONFIG_METADATA!$B$4,DATOS!$I$2:$I$20000,"Armonía"),"")))</f>
        <v/>
      </c>
      <c r="O394" t="str">
        <f>IF(M394="","",IF(M394="[FÓRMULA MANUAL]","",IFERROR(AVERAGEIFS(DATOS!$K$2:$K$20000,DATOS!$A$2:$A$20000,M394,DATOS!$G$2:$G$20000,CONFIG_METADATA!$B$4,DATOS!$I$2:$I$20000,"Orquesta/Banda/Conjunto"),"")))</f>
        <v/>
      </c>
      <c r="P394" t="str">
        <f>IF(M394="","",IF(M394="[FÓRMULA MANUAL]","",IFERROR(AVERAGEIFS(DATOS!$K$2:$K$20000,DATOS!$A$2:$A$20000,M394,DATOS!$G$2:$G$20000,CONFIG_METADATA!$B$4,DATOS!$I$2:$I$20000,"Música de Cámara"),"")))</f>
        <v/>
      </c>
      <c r="Q394" t="str">
        <f>IF(M394="","",IF(M394="[FÓRMULA MANUAL]","",IFERROR(SUMPRODUCT((DATOS!$A$2:$A$20000=M394)*(DATOS!$G$2:$G$20000=CONFIG_METADATA!$B$4)*(COUNTIF(CONFIG_ASIGNATURAS!$B$7:$B$27,DATOS!$I$2:$I$20000)&gt;0)*(DATOS!$K$2:$K$20000))/SUMPRODUCT((DATOS!$A$2:$A$20000=M394)*(DATOS!$G$2:$G$20000=CONFIG_METADATA!$B$4)*(COUNTIF(CONFIG_ASIGNATURAS!$B$7:$B$27,DATOS!$I$2:$I$20000)&gt;0)*1),"")))</f>
        <v/>
      </c>
      <c r="T394" t="str">
        <f>IF(S394="","",IF(S394="[FÓRMULA MANUAL]","",IFERROR(AVERAGEIFS(DATOS!$K$2:$K$20000,DATOS!$A$2:$A$20000,S394,DATOS!$G$2:$G$20000,CONFIG_METADATA!$B$4,DATOS!$I$2:$I$20000,"Armonía"),"")))</f>
        <v/>
      </c>
      <c r="U394" t="str">
        <f>IF(S394="","",IF(S394="[FÓRMULA MANUAL]","",IFERROR(AVERAGEIFS(DATOS!$K$2:$K$20000,DATOS!$A$2:$A$20000,S394,DATOS!$G$2:$G$20000,CONFIG_METADATA!$B$4,DATOS!$I$2:$I$20000,"Orquesta/Banda/Conjunto"),"")))</f>
        <v/>
      </c>
      <c r="V394" t="str">
        <f>IF(S394="","",IF(S394="[FÓRMULA MANUAL]","",IFERROR(AVERAGEIFS(DATOS!$K$2:$K$20000,DATOS!$A$2:$A$20000,S394,DATOS!$G$2:$G$20000,CONFIG_METADATA!$B$4,DATOS!$I$2:$I$20000,"Música de Cámara"),"")))</f>
        <v/>
      </c>
      <c r="W394" t="str">
        <f>IF(S394="","",IF(S394="[FÓRMULA MANUAL]","",IFERROR(SUMPRODUCT((DATOS!$A$2:$A$20000=S394)*(DATOS!$G$2:$G$20000=CONFIG_METADATA!$B$4)*(COUNTIF(CONFIG_ASIGNATURAS!$B$7:$B$27,DATOS!$I$2:$I$20000)&gt;0)*(DATOS!$K$2:$K$20000))/SUMPRODUCT((DATOS!$A$2:$A$20000=S394)*(DATOS!$G$2:$G$20000=CONFIG_METADATA!$B$4)*(COUNTIF(CONFIG_ASIGNATURAS!$B$7:$B$27,DATOS!$I$2:$I$20000)&gt;0)*1),"")))</f>
        <v/>
      </c>
      <c r="Z394" t="str">
        <f>IF(Y394="","",IF(Y394="[FÓRMULA MANUAL]","",IFERROR(AVERAGEIFS(DATOS!$K$2:$K$20000,DATOS!$A$2:$A$20000,Y394,DATOS!$G$2:$G$20000,CONFIG_METADATA!$B$4,DATOS!$I$2:$I$20000,"Análisis"),"")))</f>
        <v/>
      </c>
      <c r="AA394" t="str">
        <f>IF(Y394="","",IF(Y394="[FÓRMULA MANUAL]","",IFERROR(AVERAGEIFS(DATOS!$K$2:$K$20000,DATOS!$A$2:$A$20000,Y394,DATOS!$G$2:$G$20000,CONFIG_METADATA!$B$4,DATOS!$I$2:$I$20000,"Orquesta/Banda/Conjunto"),"")))</f>
        <v/>
      </c>
      <c r="AB394" t="str">
        <f>IF(Y394="","",IF(Y394="[FÓRMULA MANUAL]","",IFERROR(AVERAGEIFS(DATOS!$K$2:$K$20000,DATOS!$A$2:$A$20000,Y394,DATOS!$G$2:$G$20000,CONFIG_METADATA!$B$4,DATOS!$I$2:$I$20000,"Música de Cámara"),"")))</f>
        <v/>
      </c>
      <c r="AC394" t="str">
        <f>IF(Y394="","",IF(Y394="[FÓRMULA MANUAL]","",IFERROR(SUMPRODUCT((DATOS!$A$2:$A$20000=Y394)*(DATOS!$G$2:$G$20000=CONFIG_METADATA!$B$4)*(COUNTIF(CONFIG_ASIGNATURAS!$B$7:$B$27,DATOS!$I$2:$I$20000)&gt;0)*(DATOS!$K$2:$K$20000))/SUMPRODUCT((DATOS!$A$2:$A$20000=Y394)*(DATOS!$G$2:$G$20000=CONFIG_METADATA!$B$4)*(COUNTIF(CONFIG_ASIGNATURAS!$B$7:$B$27,DATOS!$I$2:$I$20000)&gt;0)*1),"")))</f>
        <v/>
      </c>
      <c r="AF394" t="str">
        <f>IF(AE394="","",IF(AE394="[FÓRMULA MANUAL]","",IFERROR(AVERAGEIFS(DATOS!$K$2:$K$20000,DATOS!$A$2:$A$20000,AE394,DATOS!$G$2:$G$20000,CONFIG_METADATA!$B$4,DATOS!$I$2:$I$20000,"Análisis"),"")))</f>
        <v/>
      </c>
      <c r="AG394" t="str">
        <f>IF(AE394="","",IF(AE394="[FÓRMULA MANUAL]","",IFERROR(AVERAGEIFS(DATOS!$K$2:$K$20000,DATOS!$A$2:$A$20000,AE394,DATOS!$G$2:$G$20000,CONFIG_METADATA!$B$4,DATOS!$I$2:$I$20000,"Orquesta/Banda/Conjunto"),"")))</f>
        <v/>
      </c>
      <c r="AH394" t="str">
        <f>IF(AE394="","",IF(AE394="[FÓRMULA MANUAL]","",IFERROR(AVERAGEIFS(DATOS!$K$2:$K$20000,DATOS!$A$2:$A$20000,AE394,DATOS!$G$2:$G$20000,CONFIG_METADATA!$B$4,DATOS!$I$2:$I$20000,"Música de Cámara"),"")))</f>
        <v/>
      </c>
      <c r="AI394" t="str">
        <f>IF(AE394="","",IF(AE394="[FÓRMULA MANUAL]","",IFERROR(SUMPRODUCT((DATOS!$A$2:$A$20000=AE394)*(DATOS!$G$2:$G$20000=CONFIG_METADATA!$B$4)*(COUNTIF(CONFIG_ASIGNATURAS!$B$7:$B$27,DATOS!$I$2:$I$20000)&gt;0)*(DATOS!$K$2:$K$20000))/SUMPRODUCT((DATOS!$A$2:$A$20000=AE394)*(DATOS!$G$2:$G$20000=CONFIG_METADATA!$B$4)*(COUNTIF(CONFIG_ASIGNATURAS!$B$7:$B$27,DATOS!$I$2:$I$20000)&gt;0)*1),"")))</f>
        <v/>
      </c>
    </row>
    <row r="395" spans="2:35" x14ac:dyDescent="0.2">
      <c r="B395" t="str">
        <f>IF(A395="","",IF(A395="[FÓRMULA MANUAL]","",IFERROR(AVERAGEIFS(DATOS!$K$2:$K$20000,DATOS!$A$2:$A$20000,A395,DATOS!$G$2:$G$20000,CONFIG_METADATA!$B$4,DATOS!$I$2:$I$20000,"Lenguaje Musical"),"")))</f>
        <v/>
      </c>
      <c r="C395" t="str">
        <f>IF(A395="","",IF(A395="[FÓRMULA MANUAL]","",IFERROR(AVERAGEIFS(DATOS!$K$2:$K$20000,DATOS!$A$2:$A$20000,A395,DATOS!$G$2:$G$20000,CONFIG_METADATA!$B$4,DATOS!$I$2:$I$20000,"Orquesta/Banda/Conjunto"),"")))</f>
        <v/>
      </c>
      <c r="D395" t="str">
        <f>IF(A395="","",IF(A395="[FÓRMULA MANUAL]","",IFERROR(AVERAGEIFS(DATOS!$K$2:$K$20000,DATOS!$A$2:$A$20000,A395,DATOS!$G$2:$G$20000,CONFIG_METADATA!$B$4,DATOS!$I$2:$I$20000,"Conjunto"),"")))</f>
        <v/>
      </c>
      <c r="E395" t="str">
        <f>IF(A395="","",IF(A395="[FÓRMULA MANUAL]","",IFERROR(SUMPRODUCT((DATOS!$A$2:$A$20000=A395)*(DATOS!$G$2:$G$20000=CONFIG_METADATA!$B$4)*(COUNTIF(CONFIG_ASIGNATURAS!$B$7:$B$27,DATOS!$I$2:$I$20000)&gt;0)*(DATOS!$K$2:$K$20000))/SUMPRODUCT((DATOS!$A$2:$A$20000=A395)*(DATOS!$G$2:$G$20000=CONFIG_METADATA!$B$4)*(COUNTIF(CONFIG_ASIGNATURAS!$B$7:$B$27,DATOS!$I$2:$I$20000)&gt;0)*1),"")))</f>
        <v/>
      </c>
      <c r="H395" t="str">
        <f>IF(G395="","",IF(G395="[FÓRMULA MANUAL]","",IFERROR(AVERAGEIFS(DATOS!$K$2:$K$20000,DATOS!$A$2:$A$20000,G395,DATOS!$G$2:$G$20000,CONFIG_METADATA!$B$4,DATOS!$I$2:$I$20000,"Lenguaje Musical"),"")))</f>
        <v/>
      </c>
      <c r="I395" t="str">
        <f>IF(G395="","",IF(G395="[FÓRMULA MANUAL]","",IFERROR(AVERAGEIFS(DATOS!$K$2:$K$20000,DATOS!$A$2:$A$20000,G395,DATOS!$G$2:$G$20000,CONFIG_METADATA!$B$4,DATOS!$I$2:$I$20000,"Orquesta/Banda/Conjunto"),"")))</f>
        <v/>
      </c>
      <c r="J395" t="str">
        <f>IF(G395="","",IF(G395="[FÓRMULA MANUAL]","",IFERROR(AVERAGEIFS(DATOS!$K$2:$K$20000,DATOS!$A$2:$A$20000,G395,DATOS!$G$2:$G$20000,CONFIG_METADATA!$B$4,DATOS!$I$2:$I$20000,"Conjunto"),"")))</f>
        <v/>
      </c>
      <c r="K395" t="str">
        <f>IF(G395="","",IF(G395="[FÓRMULA MANUAL]","",IFERROR(SUMPRODUCT((DATOS!$A$2:$A$20000=G395)*(DATOS!$G$2:$G$20000=CONFIG_METADATA!$B$4)*(COUNTIF(CONFIG_ASIGNATURAS!$B$7:$B$27,DATOS!$I$2:$I$20000)&gt;0)*(DATOS!$K$2:$K$20000))/SUMPRODUCT((DATOS!$A$2:$A$20000=G395)*(DATOS!$G$2:$G$20000=CONFIG_METADATA!$B$4)*(COUNTIF(CONFIG_ASIGNATURAS!$B$7:$B$27,DATOS!$I$2:$I$20000)&gt;0)*1),"")))</f>
        <v/>
      </c>
      <c r="N395" t="str">
        <f>IF(M395="","",IF(M395="[FÓRMULA MANUAL]","",IFERROR(AVERAGEIFS(DATOS!$K$2:$K$20000,DATOS!$A$2:$A$20000,M395,DATOS!$G$2:$G$20000,CONFIG_METADATA!$B$4,DATOS!$I$2:$I$20000,"Armonía"),"")))</f>
        <v/>
      </c>
      <c r="O395" t="str">
        <f>IF(M395="","",IF(M395="[FÓRMULA MANUAL]","",IFERROR(AVERAGEIFS(DATOS!$K$2:$K$20000,DATOS!$A$2:$A$20000,M395,DATOS!$G$2:$G$20000,CONFIG_METADATA!$B$4,DATOS!$I$2:$I$20000,"Orquesta/Banda/Conjunto"),"")))</f>
        <v/>
      </c>
      <c r="P395" t="str">
        <f>IF(M395="","",IF(M395="[FÓRMULA MANUAL]","",IFERROR(AVERAGEIFS(DATOS!$K$2:$K$20000,DATOS!$A$2:$A$20000,M395,DATOS!$G$2:$G$20000,CONFIG_METADATA!$B$4,DATOS!$I$2:$I$20000,"Música de Cámara"),"")))</f>
        <v/>
      </c>
      <c r="Q395" t="str">
        <f>IF(M395="","",IF(M395="[FÓRMULA MANUAL]","",IFERROR(SUMPRODUCT((DATOS!$A$2:$A$20000=M395)*(DATOS!$G$2:$G$20000=CONFIG_METADATA!$B$4)*(COUNTIF(CONFIG_ASIGNATURAS!$B$7:$B$27,DATOS!$I$2:$I$20000)&gt;0)*(DATOS!$K$2:$K$20000))/SUMPRODUCT((DATOS!$A$2:$A$20000=M395)*(DATOS!$G$2:$G$20000=CONFIG_METADATA!$B$4)*(COUNTIF(CONFIG_ASIGNATURAS!$B$7:$B$27,DATOS!$I$2:$I$20000)&gt;0)*1),"")))</f>
        <v/>
      </c>
      <c r="T395" t="str">
        <f>IF(S395="","",IF(S395="[FÓRMULA MANUAL]","",IFERROR(AVERAGEIFS(DATOS!$K$2:$K$20000,DATOS!$A$2:$A$20000,S395,DATOS!$G$2:$G$20000,CONFIG_METADATA!$B$4,DATOS!$I$2:$I$20000,"Armonía"),"")))</f>
        <v/>
      </c>
      <c r="U395" t="str">
        <f>IF(S395="","",IF(S395="[FÓRMULA MANUAL]","",IFERROR(AVERAGEIFS(DATOS!$K$2:$K$20000,DATOS!$A$2:$A$20000,S395,DATOS!$G$2:$G$20000,CONFIG_METADATA!$B$4,DATOS!$I$2:$I$20000,"Orquesta/Banda/Conjunto"),"")))</f>
        <v/>
      </c>
      <c r="V395" t="str">
        <f>IF(S395="","",IF(S395="[FÓRMULA MANUAL]","",IFERROR(AVERAGEIFS(DATOS!$K$2:$K$20000,DATOS!$A$2:$A$20000,S395,DATOS!$G$2:$G$20000,CONFIG_METADATA!$B$4,DATOS!$I$2:$I$20000,"Música de Cámara"),"")))</f>
        <v/>
      </c>
      <c r="W395" t="str">
        <f>IF(S395="","",IF(S395="[FÓRMULA MANUAL]","",IFERROR(SUMPRODUCT((DATOS!$A$2:$A$20000=S395)*(DATOS!$G$2:$G$20000=CONFIG_METADATA!$B$4)*(COUNTIF(CONFIG_ASIGNATURAS!$B$7:$B$27,DATOS!$I$2:$I$20000)&gt;0)*(DATOS!$K$2:$K$20000))/SUMPRODUCT((DATOS!$A$2:$A$20000=S395)*(DATOS!$G$2:$G$20000=CONFIG_METADATA!$B$4)*(COUNTIF(CONFIG_ASIGNATURAS!$B$7:$B$27,DATOS!$I$2:$I$20000)&gt;0)*1),"")))</f>
        <v/>
      </c>
      <c r="Z395" t="str">
        <f>IF(Y395="","",IF(Y395="[FÓRMULA MANUAL]","",IFERROR(AVERAGEIFS(DATOS!$K$2:$K$20000,DATOS!$A$2:$A$20000,Y395,DATOS!$G$2:$G$20000,CONFIG_METADATA!$B$4,DATOS!$I$2:$I$20000,"Análisis"),"")))</f>
        <v/>
      </c>
      <c r="AA395" t="str">
        <f>IF(Y395="","",IF(Y395="[FÓRMULA MANUAL]","",IFERROR(AVERAGEIFS(DATOS!$K$2:$K$20000,DATOS!$A$2:$A$20000,Y395,DATOS!$G$2:$G$20000,CONFIG_METADATA!$B$4,DATOS!$I$2:$I$20000,"Orquesta/Banda/Conjunto"),"")))</f>
        <v/>
      </c>
      <c r="AB395" t="str">
        <f>IF(Y395="","",IF(Y395="[FÓRMULA MANUAL]","",IFERROR(AVERAGEIFS(DATOS!$K$2:$K$20000,DATOS!$A$2:$A$20000,Y395,DATOS!$G$2:$G$20000,CONFIG_METADATA!$B$4,DATOS!$I$2:$I$20000,"Música de Cámara"),"")))</f>
        <v/>
      </c>
      <c r="AC395" t="str">
        <f>IF(Y395="","",IF(Y395="[FÓRMULA MANUAL]","",IFERROR(SUMPRODUCT((DATOS!$A$2:$A$20000=Y395)*(DATOS!$G$2:$G$20000=CONFIG_METADATA!$B$4)*(COUNTIF(CONFIG_ASIGNATURAS!$B$7:$B$27,DATOS!$I$2:$I$20000)&gt;0)*(DATOS!$K$2:$K$20000))/SUMPRODUCT((DATOS!$A$2:$A$20000=Y395)*(DATOS!$G$2:$G$20000=CONFIG_METADATA!$B$4)*(COUNTIF(CONFIG_ASIGNATURAS!$B$7:$B$27,DATOS!$I$2:$I$20000)&gt;0)*1),"")))</f>
        <v/>
      </c>
      <c r="AF395" t="str">
        <f>IF(AE395="","",IF(AE395="[FÓRMULA MANUAL]","",IFERROR(AVERAGEIFS(DATOS!$K$2:$K$20000,DATOS!$A$2:$A$20000,AE395,DATOS!$G$2:$G$20000,CONFIG_METADATA!$B$4,DATOS!$I$2:$I$20000,"Análisis"),"")))</f>
        <v/>
      </c>
      <c r="AG395" t="str">
        <f>IF(AE395="","",IF(AE395="[FÓRMULA MANUAL]","",IFERROR(AVERAGEIFS(DATOS!$K$2:$K$20000,DATOS!$A$2:$A$20000,AE395,DATOS!$G$2:$G$20000,CONFIG_METADATA!$B$4,DATOS!$I$2:$I$20000,"Orquesta/Banda/Conjunto"),"")))</f>
        <v/>
      </c>
      <c r="AH395" t="str">
        <f>IF(AE395="","",IF(AE395="[FÓRMULA MANUAL]","",IFERROR(AVERAGEIFS(DATOS!$K$2:$K$20000,DATOS!$A$2:$A$20000,AE395,DATOS!$G$2:$G$20000,CONFIG_METADATA!$B$4,DATOS!$I$2:$I$20000,"Música de Cámara"),"")))</f>
        <v/>
      </c>
      <c r="AI395" t="str">
        <f>IF(AE395="","",IF(AE395="[FÓRMULA MANUAL]","",IFERROR(SUMPRODUCT((DATOS!$A$2:$A$20000=AE395)*(DATOS!$G$2:$G$20000=CONFIG_METADATA!$B$4)*(COUNTIF(CONFIG_ASIGNATURAS!$B$7:$B$27,DATOS!$I$2:$I$20000)&gt;0)*(DATOS!$K$2:$K$20000))/SUMPRODUCT((DATOS!$A$2:$A$20000=AE395)*(DATOS!$G$2:$G$20000=CONFIG_METADATA!$B$4)*(COUNTIF(CONFIG_ASIGNATURAS!$B$7:$B$27,DATOS!$I$2:$I$20000)&gt;0)*1),"")))</f>
        <v/>
      </c>
    </row>
    <row r="396" spans="2:35" x14ac:dyDescent="0.2">
      <c r="B396" t="str">
        <f>IF(A396="","",IF(A396="[FÓRMULA MANUAL]","",IFERROR(AVERAGEIFS(DATOS!$K$2:$K$20000,DATOS!$A$2:$A$20000,A396,DATOS!$G$2:$G$20000,CONFIG_METADATA!$B$4,DATOS!$I$2:$I$20000,"Lenguaje Musical"),"")))</f>
        <v/>
      </c>
      <c r="C396" t="str">
        <f>IF(A396="","",IF(A396="[FÓRMULA MANUAL]","",IFERROR(AVERAGEIFS(DATOS!$K$2:$K$20000,DATOS!$A$2:$A$20000,A396,DATOS!$G$2:$G$20000,CONFIG_METADATA!$B$4,DATOS!$I$2:$I$20000,"Orquesta/Banda/Conjunto"),"")))</f>
        <v/>
      </c>
      <c r="D396" t="str">
        <f>IF(A396="","",IF(A396="[FÓRMULA MANUAL]","",IFERROR(AVERAGEIFS(DATOS!$K$2:$K$20000,DATOS!$A$2:$A$20000,A396,DATOS!$G$2:$G$20000,CONFIG_METADATA!$B$4,DATOS!$I$2:$I$20000,"Conjunto"),"")))</f>
        <v/>
      </c>
      <c r="E396" t="str">
        <f>IF(A396="","",IF(A396="[FÓRMULA MANUAL]","",IFERROR(SUMPRODUCT((DATOS!$A$2:$A$20000=A396)*(DATOS!$G$2:$G$20000=CONFIG_METADATA!$B$4)*(COUNTIF(CONFIG_ASIGNATURAS!$B$7:$B$27,DATOS!$I$2:$I$20000)&gt;0)*(DATOS!$K$2:$K$20000))/SUMPRODUCT((DATOS!$A$2:$A$20000=A396)*(DATOS!$G$2:$G$20000=CONFIG_METADATA!$B$4)*(COUNTIF(CONFIG_ASIGNATURAS!$B$7:$B$27,DATOS!$I$2:$I$20000)&gt;0)*1),"")))</f>
        <v/>
      </c>
      <c r="H396" t="str">
        <f>IF(G396="","",IF(G396="[FÓRMULA MANUAL]","",IFERROR(AVERAGEIFS(DATOS!$K$2:$K$20000,DATOS!$A$2:$A$20000,G396,DATOS!$G$2:$G$20000,CONFIG_METADATA!$B$4,DATOS!$I$2:$I$20000,"Lenguaje Musical"),"")))</f>
        <v/>
      </c>
      <c r="I396" t="str">
        <f>IF(G396="","",IF(G396="[FÓRMULA MANUAL]","",IFERROR(AVERAGEIFS(DATOS!$K$2:$K$20000,DATOS!$A$2:$A$20000,G396,DATOS!$G$2:$G$20000,CONFIG_METADATA!$B$4,DATOS!$I$2:$I$20000,"Orquesta/Banda/Conjunto"),"")))</f>
        <v/>
      </c>
      <c r="J396" t="str">
        <f>IF(G396="","",IF(G396="[FÓRMULA MANUAL]","",IFERROR(AVERAGEIFS(DATOS!$K$2:$K$20000,DATOS!$A$2:$A$20000,G396,DATOS!$G$2:$G$20000,CONFIG_METADATA!$B$4,DATOS!$I$2:$I$20000,"Conjunto"),"")))</f>
        <v/>
      </c>
      <c r="K396" t="str">
        <f>IF(G396="","",IF(G396="[FÓRMULA MANUAL]","",IFERROR(SUMPRODUCT((DATOS!$A$2:$A$20000=G396)*(DATOS!$G$2:$G$20000=CONFIG_METADATA!$B$4)*(COUNTIF(CONFIG_ASIGNATURAS!$B$7:$B$27,DATOS!$I$2:$I$20000)&gt;0)*(DATOS!$K$2:$K$20000))/SUMPRODUCT((DATOS!$A$2:$A$20000=G396)*(DATOS!$G$2:$G$20000=CONFIG_METADATA!$B$4)*(COUNTIF(CONFIG_ASIGNATURAS!$B$7:$B$27,DATOS!$I$2:$I$20000)&gt;0)*1),"")))</f>
        <v/>
      </c>
      <c r="N396" t="str">
        <f>IF(M396="","",IF(M396="[FÓRMULA MANUAL]","",IFERROR(AVERAGEIFS(DATOS!$K$2:$K$20000,DATOS!$A$2:$A$20000,M396,DATOS!$G$2:$G$20000,CONFIG_METADATA!$B$4,DATOS!$I$2:$I$20000,"Armonía"),"")))</f>
        <v/>
      </c>
      <c r="O396" t="str">
        <f>IF(M396="","",IF(M396="[FÓRMULA MANUAL]","",IFERROR(AVERAGEIFS(DATOS!$K$2:$K$20000,DATOS!$A$2:$A$20000,M396,DATOS!$G$2:$G$20000,CONFIG_METADATA!$B$4,DATOS!$I$2:$I$20000,"Orquesta/Banda/Conjunto"),"")))</f>
        <v/>
      </c>
      <c r="P396" t="str">
        <f>IF(M396="","",IF(M396="[FÓRMULA MANUAL]","",IFERROR(AVERAGEIFS(DATOS!$K$2:$K$20000,DATOS!$A$2:$A$20000,M396,DATOS!$G$2:$G$20000,CONFIG_METADATA!$B$4,DATOS!$I$2:$I$20000,"Música de Cámara"),"")))</f>
        <v/>
      </c>
      <c r="Q396" t="str">
        <f>IF(M396="","",IF(M396="[FÓRMULA MANUAL]","",IFERROR(SUMPRODUCT((DATOS!$A$2:$A$20000=M396)*(DATOS!$G$2:$G$20000=CONFIG_METADATA!$B$4)*(COUNTIF(CONFIG_ASIGNATURAS!$B$7:$B$27,DATOS!$I$2:$I$20000)&gt;0)*(DATOS!$K$2:$K$20000))/SUMPRODUCT((DATOS!$A$2:$A$20000=M396)*(DATOS!$G$2:$G$20000=CONFIG_METADATA!$B$4)*(COUNTIF(CONFIG_ASIGNATURAS!$B$7:$B$27,DATOS!$I$2:$I$20000)&gt;0)*1),"")))</f>
        <v/>
      </c>
      <c r="T396" t="str">
        <f>IF(S396="","",IF(S396="[FÓRMULA MANUAL]","",IFERROR(AVERAGEIFS(DATOS!$K$2:$K$20000,DATOS!$A$2:$A$20000,S396,DATOS!$G$2:$G$20000,CONFIG_METADATA!$B$4,DATOS!$I$2:$I$20000,"Armonía"),"")))</f>
        <v/>
      </c>
      <c r="U396" t="str">
        <f>IF(S396="","",IF(S396="[FÓRMULA MANUAL]","",IFERROR(AVERAGEIFS(DATOS!$K$2:$K$20000,DATOS!$A$2:$A$20000,S396,DATOS!$G$2:$G$20000,CONFIG_METADATA!$B$4,DATOS!$I$2:$I$20000,"Orquesta/Banda/Conjunto"),"")))</f>
        <v/>
      </c>
      <c r="V396" t="str">
        <f>IF(S396="","",IF(S396="[FÓRMULA MANUAL]","",IFERROR(AVERAGEIFS(DATOS!$K$2:$K$20000,DATOS!$A$2:$A$20000,S396,DATOS!$G$2:$G$20000,CONFIG_METADATA!$B$4,DATOS!$I$2:$I$20000,"Música de Cámara"),"")))</f>
        <v/>
      </c>
      <c r="W396" t="str">
        <f>IF(S396="","",IF(S396="[FÓRMULA MANUAL]","",IFERROR(SUMPRODUCT((DATOS!$A$2:$A$20000=S396)*(DATOS!$G$2:$G$20000=CONFIG_METADATA!$B$4)*(COUNTIF(CONFIG_ASIGNATURAS!$B$7:$B$27,DATOS!$I$2:$I$20000)&gt;0)*(DATOS!$K$2:$K$20000))/SUMPRODUCT((DATOS!$A$2:$A$20000=S396)*(DATOS!$G$2:$G$20000=CONFIG_METADATA!$B$4)*(COUNTIF(CONFIG_ASIGNATURAS!$B$7:$B$27,DATOS!$I$2:$I$20000)&gt;0)*1),"")))</f>
        <v/>
      </c>
      <c r="Z396" t="str">
        <f>IF(Y396="","",IF(Y396="[FÓRMULA MANUAL]","",IFERROR(AVERAGEIFS(DATOS!$K$2:$K$20000,DATOS!$A$2:$A$20000,Y396,DATOS!$G$2:$G$20000,CONFIG_METADATA!$B$4,DATOS!$I$2:$I$20000,"Análisis"),"")))</f>
        <v/>
      </c>
      <c r="AA396" t="str">
        <f>IF(Y396="","",IF(Y396="[FÓRMULA MANUAL]","",IFERROR(AVERAGEIFS(DATOS!$K$2:$K$20000,DATOS!$A$2:$A$20000,Y396,DATOS!$G$2:$G$20000,CONFIG_METADATA!$B$4,DATOS!$I$2:$I$20000,"Orquesta/Banda/Conjunto"),"")))</f>
        <v/>
      </c>
      <c r="AB396" t="str">
        <f>IF(Y396="","",IF(Y396="[FÓRMULA MANUAL]","",IFERROR(AVERAGEIFS(DATOS!$K$2:$K$20000,DATOS!$A$2:$A$20000,Y396,DATOS!$G$2:$G$20000,CONFIG_METADATA!$B$4,DATOS!$I$2:$I$20000,"Música de Cámara"),"")))</f>
        <v/>
      </c>
      <c r="AC396" t="str">
        <f>IF(Y396="","",IF(Y396="[FÓRMULA MANUAL]","",IFERROR(SUMPRODUCT((DATOS!$A$2:$A$20000=Y396)*(DATOS!$G$2:$G$20000=CONFIG_METADATA!$B$4)*(COUNTIF(CONFIG_ASIGNATURAS!$B$7:$B$27,DATOS!$I$2:$I$20000)&gt;0)*(DATOS!$K$2:$K$20000))/SUMPRODUCT((DATOS!$A$2:$A$20000=Y396)*(DATOS!$G$2:$G$20000=CONFIG_METADATA!$B$4)*(COUNTIF(CONFIG_ASIGNATURAS!$B$7:$B$27,DATOS!$I$2:$I$20000)&gt;0)*1),"")))</f>
        <v/>
      </c>
      <c r="AF396" t="str">
        <f>IF(AE396="","",IF(AE396="[FÓRMULA MANUAL]","",IFERROR(AVERAGEIFS(DATOS!$K$2:$K$20000,DATOS!$A$2:$A$20000,AE396,DATOS!$G$2:$G$20000,CONFIG_METADATA!$B$4,DATOS!$I$2:$I$20000,"Análisis"),"")))</f>
        <v/>
      </c>
      <c r="AG396" t="str">
        <f>IF(AE396="","",IF(AE396="[FÓRMULA MANUAL]","",IFERROR(AVERAGEIFS(DATOS!$K$2:$K$20000,DATOS!$A$2:$A$20000,AE396,DATOS!$G$2:$G$20000,CONFIG_METADATA!$B$4,DATOS!$I$2:$I$20000,"Orquesta/Banda/Conjunto"),"")))</f>
        <v/>
      </c>
      <c r="AH396" t="str">
        <f>IF(AE396="","",IF(AE396="[FÓRMULA MANUAL]","",IFERROR(AVERAGEIFS(DATOS!$K$2:$K$20000,DATOS!$A$2:$A$20000,AE396,DATOS!$G$2:$G$20000,CONFIG_METADATA!$B$4,DATOS!$I$2:$I$20000,"Música de Cámara"),"")))</f>
        <v/>
      </c>
      <c r="AI396" t="str">
        <f>IF(AE396="","",IF(AE396="[FÓRMULA MANUAL]","",IFERROR(SUMPRODUCT((DATOS!$A$2:$A$20000=AE396)*(DATOS!$G$2:$G$20000=CONFIG_METADATA!$B$4)*(COUNTIF(CONFIG_ASIGNATURAS!$B$7:$B$27,DATOS!$I$2:$I$20000)&gt;0)*(DATOS!$K$2:$K$20000))/SUMPRODUCT((DATOS!$A$2:$A$20000=AE396)*(DATOS!$G$2:$G$20000=CONFIG_METADATA!$B$4)*(COUNTIF(CONFIG_ASIGNATURAS!$B$7:$B$27,DATOS!$I$2:$I$20000)&gt;0)*1),"")))</f>
        <v/>
      </c>
    </row>
    <row r="397" spans="2:35" x14ac:dyDescent="0.2">
      <c r="B397" t="str">
        <f>IF(A397="","",IF(A397="[FÓRMULA MANUAL]","",IFERROR(AVERAGEIFS(DATOS!$K$2:$K$20000,DATOS!$A$2:$A$20000,A397,DATOS!$G$2:$G$20000,CONFIG_METADATA!$B$4,DATOS!$I$2:$I$20000,"Lenguaje Musical"),"")))</f>
        <v/>
      </c>
      <c r="C397" t="str">
        <f>IF(A397="","",IF(A397="[FÓRMULA MANUAL]","",IFERROR(AVERAGEIFS(DATOS!$K$2:$K$20000,DATOS!$A$2:$A$20000,A397,DATOS!$G$2:$G$20000,CONFIG_METADATA!$B$4,DATOS!$I$2:$I$20000,"Orquesta/Banda/Conjunto"),"")))</f>
        <v/>
      </c>
      <c r="D397" t="str">
        <f>IF(A397="","",IF(A397="[FÓRMULA MANUAL]","",IFERROR(AVERAGEIFS(DATOS!$K$2:$K$20000,DATOS!$A$2:$A$20000,A397,DATOS!$G$2:$G$20000,CONFIG_METADATA!$B$4,DATOS!$I$2:$I$20000,"Conjunto"),"")))</f>
        <v/>
      </c>
      <c r="E397" t="str">
        <f>IF(A397="","",IF(A397="[FÓRMULA MANUAL]","",IFERROR(SUMPRODUCT((DATOS!$A$2:$A$20000=A397)*(DATOS!$G$2:$G$20000=CONFIG_METADATA!$B$4)*(COUNTIF(CONFIG_ASIGNATURAS!$B$7:$B$27,DATOS!$I$2:$I$20000)&gt;0)*(DATOS!$K$2:$K$20000))/SUMPRODUCT((DATOS!$A$2:$A$20000=A397)*(DATOS!$G$2:$G$20000=CONFIG_METADATA!$B$4)*(COUNTIF(CONFIG_ASIGNATURAS!$B$7:$B$27,DATOS!$I$2:$I$20000)&gt;0)*1),"")))</f>
        <v/>
      </c>
      <c r="H397" t="str">
        <f>IF(G397="","",IF(G397="[FÓRMULA MANUAL]","",IFERROR(AVERAGEIFS(DATOS!$K$2:$K$20000,DATOS!$A$2:$A$20000,G397,DATOS!$G$2:$G$20000,CONFIG_METADATA!$B$4,DATOS!$I$2:$I$20000,"Lenguaje Musical"),"")))</f>
        <v/>
      </c>
      <c r="I397" t="str">
        <f>IF(G397="","",IF(G397="[FÓRMULA MANUAL]","",IFERROR(AVERAGEIFS(DATOS!$K$2:$K$20000,DATOS!$A$2:$A$20000,G397,DATOS!$G$2:$G$20000,CONFIG_METADATA!$B$4,DATOS!$I$2:$I$20000,"Orquesta/Banda/Conjunto"),"")))</f>
        <v/>
      </c>
      <c r="J397" t="str">
        <f>IF(G397="","",IF(G397="[FÓRMULA MANUAL]","",IFERROR(AVERAGEIFS(DATOS!$K$2:$K$20000,DATOS!$A$2:$A$20000,G397,DATOS!$G$2:$G$20000,CONFIG_METADATA!$B$4,DATOS!$I$2:$I$20000,"Conjunto"),"")))</f>
        <v/>
      </c>
      <c r="K397" t="str">
        <f>IF(G397="","",IF(G397="[FÓRMULA MANUAL]","",IFERROR(SUMPRODUCT((DATOS!$A$2:$A$20000=G397)*(DATOS!$G$2:$G$20000=CONFIG_METADATA!$B$4)*(COUNTIF(CONFIG_ASIGNATURAS!$B$7:$B$27,DATOS!$I$2:$I$20000)&gt;0)*(DATOS!$K$2:$K$20000))/SUMPRODUCT((DATOS!$A$2:$A$20000=G397)*(DATOS!$G$2:$G$20000=CONFIG_METADATA!$B$4)*(COUNTIF(CONFIG_ASIGNATURAS!$B$7:$B$27,DATOS!$I$2:$I$20000)&gt;0)*1),"")))</f>
        <v/>
      </c>
      <c r="N397" t="str">
        <f>IF(M397="","",IF(M397="[FÓRMULA MANUAL]","",IFERROR(AVERAGEIFS(DATOS!$K$2:$K$20000,DATOS!$A$2:$A$20000,M397,DATOS!$G$2:$G$20000,CONFIG_METADATA!$B$4,DATOS!$I$2:$I$20000,"Armonía"),"")))</f>
        <v/>
      </c>
      <c r="O397" t="str">
        <f>IF(M397="","",IF(M397="[FÓRMULA MANUAL]","",IFERROR(AVERAGEIFS(DATOS!$K$2:$K$20000,DATOS!$A$2:$A$20000,M397,DATOS!$G$2:$G$20000,CONFIG_METADATA!$B$4,DATOS!$I$2:$I$20000,"Orquesta/Banda/Conjunto"),"")))</f>
        <v/>
      </c>
      <c r="P397" t="str">
        <f>IF(M397="","",IF(M397="[FÓRMULA MANUAL]","",IFERROR(AVERAGEIFS(DATOS!$K$2:$K$20000,DATOS!$A$2:$A$20000,M397,DATOS!$G$2:$G$20000,CONFIG_METADATA!$B$4,DATOS!$I$2:$I$20000,"Música de Cámara"),"")))</f>
        <v/>
      </c>
      <c r="Q397" t="str">
        <f>IF(M397="","",IF(M397="[FÓRMULA MANUAL]","",IFERROR(SUMPRODUCT((DATOS!$A$2:$A$20000=M397)*(DATOS!$G$2:$G$20000=CONFIG_METADATA!$B$4)*(COUNTIF(CONFIG_ASIGNATURAS!$B$7:$B$27,DATOS!$I$2:$I$20000)&gt;0)*(DATOS!$K$2:$K$20000))/SUMPRODUCT((DATOS!$A$2:$A$20000=M397)*(DATOS!$G$2:$G$20000=CONFIG_METADATA!$B$4)*(COUNTIF(CONFIG_ASIGNATURAS!$B$7:$B$27,DATOS!$I$2:$I$20000)&gt;0)*1),"")))</f>
        <v/>
      </c>
      <c r="T397" t="str">
        <f>IF(S397="","",IF(S397="[FÓRMULA MANUAL]","",IFERROR(AVERAGEIFS(DATOS!$K$2:$K$20000,DATOS!$A$2:$A$20000,S397,DATOS!$G$2:$G$20000,CONFIG_METADATA!$B$4,DATOS!$I$2:$I$20000,"Armonía"),"")))</f>
        <v/>
      </c>
      <c r="U397" t="str">
        <f>IF(S397="","",IF(S397="[FÓRMULA MANUAL]","",IFERROR(AVERAGEIFS(DATOS!$K$2:$K$20000,DATOS!$A$2:$A$20000,S397,DATOS!$G$2:$G$20000,CONFIG_METADATA!$B$4,DATOS!$I$2:$I$20000,"Orquesta/Banda/Conjunto"),"")))</f>
        <v/>
      </c>
      <c r="V397" t="str">
        <f>IF(S397="","",IF(S397="[FÓRMULA MANUAL]","",IFERROR(AVERAGEIFS(DATOS!$K$2:$K$20000,DATOS!$A$2:$A$20000,S397,DATOS!$G$2:$G$20000,CONFIG_METADATA!$B$4,DATOS!$I$2:$I$20000,"Música de Cámara"),"")))</f>
        <v/>
      </c>
      <c r="W397" t="str">
        <f>IF(S397="","",IF(S397="[FÓRMULA MANUAL]","",IFERROR(SUMPRODUCT((DATOS!$A$2:$A$20000=S397)*(DATOS!$G$2:$G$20000=CONFIG_METADATA!$B$4)*(COUNTIF(CONFIG_ASIGNATURAS!$B$7:$B$27,DATOS!$I$2:$I$20000)&gt;0)*(DATOS!$K$2:$K$20000))/SUMPRODUCT((DATOS!$A$2:$A$20000=S397)*(DATOS!$G$2:$G$20000=CONFIG_METADATA!$B$4)*(COUNTIF(CONFIG_ASIGNATURAS!$B$7:$B$27,DATOS!$I$2:$I$20000)&gt;0)*1),"")))</f>
        <v/>
      </c>
      <c r="Z397" t="str">
        <f>IF(Y397="","",IF(Y397="[FÓRMULA MANUAL]","",IFERROR(AVERAGEIFS(DATOS!$K$2:$K$20000,DATOS!$A$2:$A$20000,Y397,DATOS!$G$2:$G$20000,CONFIG_METADATA!$B$4,DATOS!$I$2:$I$20000,"Análisis"),"")))</f>
        <v/>
      </c>
      <c r="AA397" t="str">
        <f>IF(Y397="","",IF(Y397="[FÓRMULA MANUAL]","",IFERROR(AVERAGEIFS(DATOS!$K$2:$K$20000,DATOS!$A$2:$A$20000,Y397,DATOS!$G$2:$G$20000,CONFIG_METADATA!$B$4,DATOS!$I$2:$I$20000,"Orquesta/Banda/Conjunto"),"")))</f>
        <v/>
      </c>
      <c r="AB397" t="str">
        <f>IF(Y397="","",IF(Y397="[FÓRMULA MANUAL]","",IFERROR(AVERAGEIFS(DATOS!$K$2:$K$20000,DATOS!$A$2:$A$20000,Y397,DATOS!$G$2:$G$20000,CONFIG_METADATA!$B$4,DATOS!$I$2:$I$20000,"Música de Cámara"),"")))</f>
        <v/>
      </c>
      <c r="AC397" t="str">
        <f>IF(Y397="","",IF(Y397="[FÓRMULA MANUAL]","",IFERROR(SUMPRODUCT((DATOS!$A$2:$A$20000=Y397)*(DATOS!$G$2:$G$20000=CONFIG_METADATA!$B$4)*(COUNTIF(CONFIG_ASIGNATURAS!$B$7:$B$27,DATOS!$I$2:$I$20000)&gt;0)*(DATOS!$K$2:$K$20000))/SUMPRODUCT((DATOS!$A$2:$A$20000=Y397)*(DATOS!$G$2:$G$20000=CONFIG_METADATA!$B$4)*(COUNTIF(CONFIG_ASIGNATURAS!$B$7:$B$27,DATOS!$I$2:$I$20000)&gt;0)*1),"")))</f>
        <v/>
      </c>
      <c r="AF397" t="str">
        <f>IF(AE397="","",IF(AE397="[FÓRMULA MANUAL]","",IFERROR(AVERAGEIFS(DATOS!$K$2:$K$20000,DATOS!$A$2:$A$20000,AE397,DATOS!$G$2:$G$20000,CONFIG_METADATA!$B$4,DATOS!$I$2:$I$20000,"Análisis"),"")))</f>
        <v/>
      </c>
      <c r="AG397" t="str">
        <f>IF(AE397="","",IF(AE397="[FÓRMULA MANUAL]","",IFERROR(AVERAGEIFS(DATOS!$K$2:$K$20000,DATOS!$A$2:$A$20000,AE397,DATOS!$G$2:$G$20000,CONFIG_METADATA!$B$4,DATOS!$I$2:$I$20000,"Orquesta/Banda/Conjunto"),"")))</f>
        <v/>
      </c>
      <c r="AH397" t="str">
        <f>IF(AE397="","",IF(AE397="[FÓRMULA MANUAL]","",IFERROR(AVERAGEIFS(DATOS!$K$2:$K$20000,DATOS!$A$2:$A$20000,AE397,DATOS!$G$2:$G$20000,CONFIG_METADATA!$B$4,DATOS!$I$2:$I$20000,"Música de Cámara"),"")))</f>
        <v/>
      </c>
      <c r="AI397" t="str">
        <f>IF(AE397="","",IF(AE397="[FÓRMULA MANUAL]","",IFERROR(SUMPRODUCT((DATOS!$A$2:$A$20000=AE397)*(DATOS!$G$2:$G$20000=CONFIG_METADATA!$B$4)*(COUNTIF(CONFIG_ASIGNATURAS!$B$7:$B$27,DATOS!$I$2:$I$20000)&gt;0)*(DATOS!$K$2:$K$20000))/SUMPRODUCT((DATOS!$A$2:$A$20000=AE397)*(DATOS!$G$2:$G$20000=CONFIG_METADATA!$B$4)*(COUNTIF(CONFIG_ASIGNATURAS!$B$7:$B$27,DATOS!$I$2:$I$20000)&gt;0)*1),"")))</f>
        <v/>
      </c>
    </row>
    <row r="398" spans="2:35" x14ac:dyDescent="0.2">
      <c r="B398" t="str">
        <f>IF(A398="","",IF(A398="[FÓRMULA MANUAL]","",IFERROR(AVERAGEIFS(DATOS!$K$2:$K$20000,DATOS!$A$2:$A$20000,A398,DATOS!$G$2:$G$20000,CONFIG_METADATA!$B$4,DATOS!$I$2:$I$20000,"Lenguaje Musical"),"")))</f>
        <v/>
      </c>
      <c r="C398" t="str">
        <f>IF(A398="","",IF(A398="[FÓRMULA MANUAL]","",IFERROR(AVERAGEIFS(DATOS!$K$2:$K$20000,DATOS!$A$2:$A$20000,A398,DATOS!$G$2:$G$20000,CONFIG_METADATA!$B$4,DATOS!$I$2:$I$20000,"Orquesta/Banda/Conjunto"),"")))</f>
        <v/>
      </c>
      <c r="D398" t="str">
        <f>IF(A398="","",IF(A398="[FÓRMULA MANUAL]","",IFERROR(AVERAGEIFS(DATOS!$K$2:$K$20000,DATOS!$A$2:$A$20000,A398,DATOS!$G$2:$G$20000,CONFIG_METADATA!$B$4,DATOS!$I$2:$I$20000,"Conjunto"),"")))</f>
        <v/>
      </c>
      <c r="E398" t="str">
        <f>IF(A398="","",IF(A398="[FÓRMULA MANUAL]","",IFERROR(SUMPRODUCT((DATOS!$A$2:$A$20000=A398)*(DATOS!$G$2:$G$20000=CONFIG_METADATA!$B$4)*(COUNTIF(CONFIG_ASIGNATURAS!$B$7:$B$27,DATOS!$I$2:$I$20000)&gt;0)*(DATOS!$K$2:$K$20000))/SUMPRODUCT((DATOS!$A$2:$A$20000=A398)*(DATOS!$G$2:$G$20000=CONFIG_METADATA!$B$4)*(COUNTIF(CONFIG_ASIGNATURAS!$B$7:$B$27,DATOS!$I$2:$I$20000)&gt;0)*1),"")))</f>
        <v/>
      </c>
      <c r="H398" t="str">
        <f>IF(G398="","",IF(G398="[FÓRMULA MANUAL]","",IFERROR(AVERAGEIFS(DATOS!$K$2:$K$20000,DATOS!$A$2:$A$20000,G398,DATOS!$G$2:$G$20000,CONFIG_METADATA!$B$4,DATOS!$I$2:$I$20000,"Lenguaje Musical"),"")))</f>
        <v/>
      </c>
      <c r="I398" t="str">
        <f>IF(G398="","",IF(G398="[FÓRMULA MANUAL]","",IFERROR(AVERAGEIFS(DATOS!$K$2:$K$20000,DATOS!$A$2:$A$20000,G398,DATOS!$G$2:$G$20000,CONFIG_METADATA!$B$4,DATOS!$I$2:$I$20000,"Orquesta/Banda/Conjunto"),"")))</f>
        <v/>
      </c>
      <c r="J398" t="str">
        <f>IF(G398="","",IF(G398="[FÓRMULA MANUAL]","",IFERROR(AVERAGEIFS(DATOS!$K$2:$K$20000,DATOS!$A$2:$A$20000,G398,DATOS!$G$2:$G$20000,CONFIG_METADATA!$B$4,DATOS!$I$2:$I$20000,"Conjunto"),"")))</f>
        <v/>
      </c>
      <c r="K398" t="str">
        <f>IF(G398="","",IF(G398="[FÓRMULA MANUAL]","",IFERROR(SUMPRODUCT((DATOS!$A$2:$A$20000=G398)*(DATOS!$G$2:$G$20000=CONFIG_METADATA!$B$4)*(COUNTIF(CONFIG_ASIGNATURAS!$B$7:$B$27,DATOS!$I$2:$I$20000)&gt;0)*(DATOS!$K$2:$K$20000))/SUMPRODUCT((DATOS!$A$2:$A$20000=G398)*(DATOS!$G$2:$G$20000=CONFIG_METADATA!$B$4)*(COUNTIF(CONFIG_ASIGNATURAS!$B$7:$B$27,DATOS!$I$2:$I$20000)&gt;0)*1),"")))</f>
        <v/>
      </c>
      <c r="N398" t="str">
        <f>IF(M398="","",IF(M398="[FÓRMULA MANUAL]","",IFERROR(AVERAGEIFS(DATOS!$K$2:$K$20000,DATOS!$A$2:$A$20000,M398,DATOS!$G$2:$G$20000,CONFIG_METADATA!$B$4,DATOS!$I$2:$I$20000,"Armonía"),"")))</f>
        <v/>
      </c>
      <c r="O398" t="str">
        <f>IF(M398="","",IF(M398="[FÓRMULA MANUAL]","",IFERROR(AVERAGEIFS(DATOS!$K$2:$K$20000,DATOS!$A$2:$A$20000,M398,DATOS!$G$2:$G$20000,CONFIG_METADATA!$B$4,DATOS!$I$2:$I$20000,"Orquesta/Banda/Conjunto"),"")))</f>
        <v/>
      </c>
      <c r="P398" t="str">
        <f>IF(M398="","",IF(M398="[FÓRMULA MANUAL]","",IFERROR(AVERAGEIFS(DATOS!$K$2:$K$20000,DATOS!$A$2:$A$20000,M398,DATOS!$G$2:$G$20000,CONFIG_METADATA!$B$4,DATOS!$I$2:$I$20000,"Música de Cámara"),"")))</f>
        <v/>
      </c>
      <c r="Q398" t="str">
        <f>IF(M398="","",IF(M398="[FÓRMULA MANUAL]","",IFERROR(SUMPRODUCT((DATOS!$A$2:$A$20000=M398)*(DATOS!$G$2:$G$20000=CONFIG_METADATA!$B$4)*(COUNTIF(CONFIG_ASIGNATURAS!$B$7:$B$27,DATOS!$I$2:$I$20000)&gt;0)*(DATOS!$K$2:$K$20000))/SUMPRODUCT((DATOS!$A$2:$A$20000=M398)*(DATOS!$G$2:$G$20000=CONFIG_METADATA!$B$4)*(COUNTIF(CONFIG_ASIGNATURAS!$B$7:$B$27,DATOS!$I$2:$I$20000)&gt;0)*1),"")))</f>
        <v/>
      </c>
      <c r="T398" t="str">
        <f>IF(S398="","",IF(S398="[FÓRMULA MANUAL]","",IFERROR(AVERAGEIFS(DATOS!$K$2:$K$20000,DATOS!$A$2:$A$20000,S398,DATOS!$G$2:$G$20000,CONFIG_METADATA!$B$4,DATOS!$I$2:$I$20000,"Armonía"),"")))</f>
        <v/>
      </c>
      <c r="U398" t="str">
        <f>IF(S398="","",IF(S398="[FÓRMULA MANUAL]","",IFERROR(AVERAGEIFS(DATOS!$K$2:$K$20000,DATOS!$A$2:$A$20000,S398,DATOS!$G$2:$G$20000,CONFIG_METADATA!$B$4,DATOS!$I$2:$I$20000,"Orquesta/Banda/Conjunto"),"")))</f>
        <v/>
      </c>
      <c r="V398" t="str">
        <f>IF(S398="","",IF(S398="[FÓRMULA MANUAL]","",IFERROR(AVERAGEIFS(DATOS!$K$2:$K$20000,DATOS!$A$2:$A$20000,S398,DATOS!$G$2:$G$20000,CONFIG_METADATA!$B$4,DATOS!$I$2:$I$20000,"Música de Cámara"),"")))</f>
        <v/>
      </c>
      <c r="W398" t="str">
        <f>IF(S398="","",IF(S398="[FÓRMULA MANUAL]","",IFERROR(SUMPRODUCT((DATOS!$A$2:$A$20000=S398)*(DATOS!$G$2:$G$20000=CONFIG_METADATA!$B$4)*(COUNTIF(CONFIG_ASIGNATURAS!$B$7:$B$27,DATOS!$I$2:$I$20000)&gt;0)*(DATOS!$K$2:$K$20000))/SUMPRODUCT((DATOS!$A$2:$A$20000=S398)*(DATOS!$G$2:$G$20000=CONFIG_METADATA!$B$4)*(COUNTIF(CONFIG_ASIGNATURAS!$B$7:$B$27,DATOS!$I$2:$I$20000)&gt;0)*1),"")))</f>
        <v/>
      </c>
      <c r="Z398" t="str">
        <f>IF(Y398="","",IF(Y398="[FÓRMULA MANUAL]","",IFERROR(AVERAGEIFS(DATOS!$K$2:$K$20000,DATOS!$A$2:$A$20000,Y398,DATOS!$G$2:$G$20000,CONFIG_METADATA!$B$4,DATOS!$I$2:$I$20000,"Análisis"),"")))</f>
        <v/>
      </c>
      <c r="AA398" t="str">
        <f>IF(Y398="","",IF(Y398="[FÓRMULA MANUAL]","",IFERROR(AVERAGEIFS(DATOS!$K$2:$K$20000,DATOS!$A$2:$A$20000,Y398,DATOS!$G$2:$G$20000,CONFIG_METADATA!$B$4,DATOS!$I$2:$I$20000,"Orquesta/Banda/Conjunto"),"")))</f>
        <v/>
      </c>
      <c r="AB398" t="str">
        <f>IF(Y398="","",IF(Y398="[FÓRMULA MANUAL]","",IFERROR(AVERAGEIFS(DATOS!$K$2:$K$20000,DATOS!$A$2:$A$20000,Y398,DATOS!$G$2:$G$20000,CONFIG_METADATA!$B$4,DATOS!$I$2:$I$20000,"Música de Cámara"),"")))</f>
        <v/>
      </c>
      <c r="AC398" t="str">
        <f>IF(Y398="","",IF(Y398="[FÓRMULA MANUAL]","",IFERROR(SUMPRODUCT((DATOS!$A$2:$A$20000=Y398)*(DATOS!$G$2:$G$20000=CONFIG_METADATA!$B$4)*(COUNTIF(CONFIG_ASIGNATURAS!$B$7:$B$27,DATOS!$I$2:$I$20000)&gt;0)*(DATOS!$K$2:$K$20000))/SUMPRODUCT((DATOS!$A$2:$A$20000=Y398)*(DATOS!$G$2:$G$20000=CONFIG_METADATA!$B$4)*(COUNTIF(CONFIG_ASIGNATURAS!$B$7:$B$27,DATOS!$I$2:$I$20000)&gt;0)*1),"")))</f>
        <v/>
      </c>
      <c r="AF398" t="str">
        <f>IF(AE398="","",IF(AE398="[FÓRMULA MANUAL]","",IFERROR(AVERAGEIFS(DATOS!$K$2:$K$20000,DATOS!$A$2:$A$20000,AE398,DATOS!$G$2:$G$20000,CONFIG_METADATA!$B$4,DATOS!$I$2:$I$20000,"Análisis"),"")))</f>
        <v/>
      </c>
      <c r="AG398" t="str">
        <f>IF(AE398="","",IF(AE398="[FÓRMULA MANUAL]","",IFERROR(AVERAGEIFS(DATOS!$K$2:$K$20000,DATOS!$A$2:$A$20000,AE398,DATOS!$G$2:$G$20000,CONFIG_METADATA!$B$4,DATOS!$I$2:$I$20000,"Orquesta/Banda/Conjunto"),"")))</f>
        <v/>
      </c>
      <c r="AH398" t="str">
        <f>IF(AE398="","",IF(AE398="[FÓRMULA MANUAL]","",IFERROR(AVERAGEIFS(DATOS!$K$2:$K$20000,DATOS!$A$2:$A$20000,AE398,DATOS!$G$2:$G$20000,CONFIG_METADATA!$B$4,DATOS!$I$2:$I$20000,"Música de Cámara"),"")))</f>
        <v/>
      </c>
      <c r="AI398" t="str">
        <f>IF(AE398="","",IF(AE398="[FÓRMULA MANUAL]","",IFERROR(SUMPRODUCT((DATOS!$A$2:$A$20000=AE398)*(DATOS!$G$2:$G$20000=CONFIG_METADATA!$B$4)*(COUNTIF(CONFIG_ASIGNATURAS!$B$7:$B$27,DATOS!$I$2:$I$20000)&gt;0)*(DATOS!$K$2:$K$20000))/SUMPRODUCT((DATOS!$A$2:$A$20000=AE398)*(DATOS!$G$2:$G$20000=CONFIG_METADATA!$B$4)*(COUNTIF(CONFIG_ASIGNATURAS!$B$7:$B$27,DATOS!$I$2:$I$20000)&gt;0)*1),"")))</f>
        <v/>
      </c>
    </row>
    <row r="399" spans="2:35" x14ac:dyDescent="0.2">
      <c r="B399" t="str">
        <f>IF(A399="","",IF(A399="[FÓRMULA MANUAL]","",IFERROR(AVERAGEIFS(DATOS!$K$2:$K$20000,DATOS!$A$2:$A$20000,A399,DATOS!$G$2:$G$20000,CONFIG_METADATA!$B$4,DATOS!$I$2:$I$20000,"Lenguaje Musical"),"")))</f>
        <v/>
      </c>
      <c r="C399" t="str">
        <f>IF(A399="","",IF(A399="[FÓRMULA MANUAL]","",IFERROR(AVERAGEIFS(DATOS!$K$2:$K$20000,DATOS!$A$2:$A$20000,A399,DATOS!$G$2:$G$20000,CONFIG_METADATA!$B$4,DATOS!$I$2:$I$20000,"Orquesta/Banda/Conjunto"),"")))</f>
        <v/>
      </c>
      <c r="D399" t="str">
        <f>IF(A399="","",IF(A399="[FÓRMULA MANUAL]","",IFERROR(AVERAGEIFS(DATOS!$K$2:$K$20000,DATOS!$A$2:$A$20000,A399,DATOS!$G$2:$G$20000,CONFIG_METADATA!$B$4,DATOS!$I$2:$I$20000,"Conjunto"),"")))</f>
        <v/>
      </c>
      <c r="E399" t="str">
        <f>IF(A399="","",IF(A399="[FÓRMULA MANUAL]","",IFERROR(SUMPRODUCT((DATOS!$A$2:$A$20000=A399)*(DATOS!$G$2:$G$20000=CONFIG_METADATA!$B$4)*(COUNTIF(CONFIG_ASIGNATURAS!$B$7:$B$27,DATOS!$I$2:$I$20000)&gt;0)*(DATOS!$K$2:$K$20000))/SUMPRODUCT((DATOS!$A$2:$A$20000=A399)*(DATOS!$G$2:$G$20000=CONFIG_METADATA!$B$4)*(COUNTIF(CONFIG_ASIGNATURAS!$B$7:$B$27,DATOS!$I$2:$I$20000)&gt;0)*1),"")))</f>
        <v/>
      </c>
      <c r="H399" t="str">
        <f>IF(G399="","",IF(G399="[FÓRMULA MANUAL]","",IFERROR(AVERAGEIFS(DATOS!$K$2:$K$20000,DATOS!$A$2:$A$20000,G399,DATOS!$G$2:$G$20000,CONFIG_METADATA!$B$4,DATOS!$I$2:$I$20000,"Lenguaje Musical"),"")))</f>
        <v/>
      </c>
      <c r="I399" t="str">
        <f>IF(G399="","",IF(G399="[FÓRMULA MANUAL]","",IFERROR(AVERAGEIFS(DATOS!$K$2:$K$20000,DATOS!$A$2:$A$20000,G399,DATOS!$G$2:$G$20000,CONFIG_METADATA!$B$4,DATOS!$I$2:$I$20000,"Orquesta/Banda/Conjunto"),"")))</f>
        <v/>
      </c>
      <c r="J399" t="str">
        <f>IF(G399="","",IF(G399="[FÓRMULA MANUAL]","",IFERROR(AVERAGEIFS(DATOS!$K$2:$K$20000,DATOS!$A$2:$A$20000,G399,DATOS!$G$2:$G$20000,CONFIG_METADATA!$B$4,DATOS!$I$2:$I$20000,"Conjunto"),"")))</f>
        <v/>
      </c>
      <c r="K399" t="str">
        <f>IF(G399="","",IF(G399="[FÓRMULA MANUAL]","",IFERROR(SUMPRODUCT((DATOS!$A$2:$A$20000=G399)*(DATOS!$G$2:$G$20000=CONFIG_METADATA!$B$4)*(COUNTIF(CONFIG_ASIGNATURAS!$B$7:$B$27,DATOS!$I$2:$I$20000)&gt;0)*(DATOS!$K$2:$K$20000))/SUMPRODUCT((DATOS!$A$2:$A$20000=G399)*(DATOS!$G$2:$G$20000=CONFIG_METADATA!$B$4)*(COUNTIF(CONFIG_ASIGNATURAS!$B$7:$B$27,DATOS!$I$2:$I$20000)&gt;0)*1),"")))</f>
        <v/>
      </c>
      <c r="N399" t="str">
        <f>IF(M399="","",IF(M399="[FÓRMULA MANUAL]","",IFERROR(AVERAGEIFS(DATOS!$K$2:$K$20000,DATOS!$A$2:$A$20000,M399,DATOS!$G$2:$G$20000,CONFIG_METADATA!$B$4,DATOS!$I$2:$I$20000,"Armonía"),"")))</f>
        <v/>
      </c>
      <c r="O399" t="str">
        <f>IF(M399="","",IF(M399="[FÓRMULA MANUAL]","",IFERROR(AVERAGEIFS(DATOS!$K$2:$K$20000,DATOS!$A$2:$A$20000,M399,DATOS!$G$2:$G$20000,CONFIG_METADATA!$B$4,DATOS!$I$2:$I$20000,"Orquesta/Banda/Conjunto"),"")))</f>
        <v/>
      </c>
      <c r="P399" t="str">
        <f>IF(M399="","",IF(M399="[FÓRMULA MANUAL]","",IFERROR(AVERAGEIFS(DATOS!$K$2:$K$20000,DATOS!$A$2:$A$20000,M399,DATOS!$G$2:$G$20000,CONFIG_METADATA!$B$4,DATOS!$I$2:$I$20000,"Música de Cámara"),"")))</f>
        <v/>
      </c>
      <c r="Q399" t="str">
        <f>IF(M399="","",IF(M399="[FÓRMULA MANUAL]","",IFERROR(SUMPRODUCT((DATOS!$A$2:$A$20000=M399)*(DATOS!$G$2:$G$20000=CONFIG_METADATA!$B$4)*(COUNTIF(CONFIG_ASIGNATURAS!$B$7:$B$27,DATOS!$I$2:$I$20000)&gt;0)*(DATOS!$K$2:$K$20000))/SUMPRODUCT((DATOS!$A$2:$A$20000=M399)*(DATOS!$G$2:$G$20000=CONFIG_METADATA!$B$4)*(COUNTIF(CONFIG_ASIGNATURAS!$B$7:$B$27,DATOS!$I$2:$I$20000)&gt;0)*1),"")))</f>
        <v/>
      </c>
      <c r="T399" t="str">
        <f>IF(S399="","",IF(S399="[FÓRMULA MANUAL]","",IFERROR(AVERAGEIFS(DATOS!$K$2:$K$20000,DATOS!$A$2:$A$20000,S399,DATOS!$G$2:$G$20000,CONFIG_METADATA!$B$4,DATOS!$I$2:$I$20000,"Armonía"),"")))</f>
        <v/>
      </c>
      <c r="U399" t="str">
        <f>IF(S399="","",IF(S399="[FÓRMULA MANUAL]","",IFERROR(AVERAGEIFS(DATOS!$K$2:$K$20000,DATOS!$A$2:$A$20000,S399,DATOS!$G$2:$G$20000,CONFIG_METADATA!$B$4,DATOS!$I$2:$I$20000,"Orquesta/Banda/Conjunto"),"")))</f>
        <v/>
      </c>
      <c r="V399" t="str">
        <f>IF(S399="","",IF(S399="[FÓRMULA MANUAL]","",IFERROR(AVERAGEIFS(DATOS!$K$2:$K$20000,DATOS!$A$2:$A$20000,S399,DATOS!$G$2:$G$20000,CONFIG_METADATA!$B$4,DATOS!$I$2:$I$20000,"Música de Cámara"),"")))</f>
        <v/>
      </c>
      <c r="W399" t="str">
        <f>IF(S399="","",IF(S399="[FÓRMULA MANUAL]","",IFERROR(SUMPRODUCT((DATOS!$A$2:$A$20000=S399)*(DATOS!$G$2:$G$20000=CONFIG_METADATA!$B$4)*(COUNTIF(CONFIG_ASIGNATURAS!$B$7:$B$27,DATOS!$I$2:$I$20000)&gt;0)*(DATOS!$K$2:$K$20000))/SUMPRODUCT((DATOS!$A$2:$A$20000=S399)*(DATOS!$G$2:$G$20000=CONFIG_METADATA!$B$4)*(COUNTIF(CONFIG_ASIGNATURAS!$B$7:$B$27,DATOS!$I$2:$I$20000)&gt;0)*1),"")))</f>
        <v/>
      </c>
      <c r="Z399" t="str">
        <f>IF(Y399="","",IF(Y399="[FÓRMULA MANUAL]","",IFERROR(AVERAGEIFS(DATOS!$K$2:$K$20000,DATOS!$A$2:$A$20000,Y399,DATOS!$G$2:$G$20000,CONFIG_METADATA!$B$4,DATOS!$I$2:$I$20000,"Análisis"),"")))</f>
        <v/>
      </c>
      <c r="AA399" t="str">
        <f>IF(Y399="","",IF(Y399="[FÓRMULA MANUAL]","",IFERROR(AVERAGEIFS(DATOS!$K$2:$K$20000,DATOS!$A$2:$A$20000,Y399,DATOS!$G$2:$G$20000,CONFIG_METADATA!$B$4,DATOS!$I$2:$I$20000,"Orquesta/Banda/Conjunto"),"")))</f>
        <v/>
      </c>
      <c r="AB399" t="str">
        <f>IF(Y399="","",IF(Y399="[FÓRMULA MANUAL]","",IFERROR(AVERAGEIFS(DATOS!$K$2:$K$20000,DATOS!$A$2:$A$20000,Y399,DATOS!$G$2:$G$20000,CONFIG_METADATA!$B$4,DATOS!$I$2:$I$20000,"Música de Cámara"),"")))</f>
        <v/>
      </c>
      <c r="AC399" t="str">
        <f>IF(Y399="","",IF(Y399="[FÓRMULA MANUAL]","",IFERROR(SUMPRODUCT((DATOS!$A$2:$A$20000=Y399)*(DATOS!$G$2:$G$20000=CONFIG_METADATA!$B$4)*(COUNTIF(CONFIG_ASIGNATURAS!$B$7:$B$27,DATOS!$I$2:$I$20000)&gt;0)*(DATOS!$K$2:$K$20000))/SUMPRODUCT((DATOS!$A$2:$A$20000=Y399)*(DATOS!$G$2:$G$20000=CONFIG_METADATA!$B$4)*(COUNTIF(CONFIG_ASIGNATURAS!$B$7:$B$27,DATOS!$I$2:$I$20000)&gt;0)*1),"")))</f>
        <v/>
      </c>
      <c r="AF399" t="str">
        <f>IF(AE399="","",IF(AE399="[FÓRMULA MANUAL]","",IFERROR(AVERAGEIFS(DATOS!$K$2:$K$20000,DATOS!$A$2:$A$20000,AE399,DATOS!$G$2:$G$20000,CONFIG_METADATA!$B$4,DATOS!$I$2:$I$20000,"Análisis"),"")))</f>
        <v/>
      </c>
      <c r="AG399" t="str">
        <f>IF(AE399="","",IF(AE399="[FÓRMULA MANUAL]","",IFERROR(AVERAGEIFS(DATOS!$K$2:$K$20000,DATOS!$A$2:$A$20000,AE399,DATOS!$G$2:$G$20000,CONFIG_METADATA!$B$4,DATOS!$I$2:$I$20000,"Orquesta/Banda/Conjunto"),"")))</f>
        <v/>
      </c>
      <c r="AH399" t="str">
        <f>IF(AE399="","",IF(AE399="[FÓRMULA MANUAL]","",IFERROR(AVERAGEIFS(DATOS!$K$2:$K$20000,DATOS!$A$2:$A$20000,AE399,DATOS!$G$2:$G$20000,CONFIG_METADATA!$B$4,DATOS!$I$2:$I$20000,"Música de Cámara"),"")))</f>
        <v/>
      </c>
      <c r="AI399" t="str">
        <f>IF(AE399="","",IF(AE399="[FÓRMULA MANUAL]","",IFERROR(SUMPRODUCT((DATOS!$A$2:$A$20000=AE399)*(DATOS!$G$2:$G$20000=CONFIG_METADATA!$B$4)*(COUNTIF(CONFIG_ASIGNATURAS!$B$7:$B$27,DATOS!$I$2:$I$20000)&gt;0)*(DATOS!$K$2:$K$20000))/SUMPRODUCT((DATOS!$A$2:$A$20000=AE399)*(DATOS!$G$2:$G$20000=CONFIG_METADATA!$B$4)*(COUNTIF(CONFIG_ASIGNATURAS!$B$7:$B$27,DATOS!$I$2:$I$20000)&gt;0)*1),"")))</f>
        <v/>
      </c>
    </row>
    <row r="400" spans="2:35" x14ac:dyDescent="0.2">
      <c r="B400" t="str">
        <f>IF(A400="","",IF(A400="[FÓRMULA MANUAL]","",IFERROR(AVERAGEIFS(DATOS!$K$2:$K$20000,DATOS!$A$2:$A$20000,A400,DATOS!$G$2:$G$20000,CONFIG_METADATA!$B$4,DATOS!$I$2:$I$20000,"Lenguaje Musical"),"")))</f>
        <v/>
      </c>
      <c r="C400" t="str">
        <f>IF(A400="","",IF(A400="[FÓRMULA MANUAL]","",IFERROR(AVERAGEIFS(DATOS!$K$2:$K$20000,DATOS!$A$2:$A$20000,A400,DATOS!$G$2:$G$20000,CONFIG_METADATA!$B$4,DATOS!$I$2:$I$20000,"Orquesta/Banda/Conjunto"),"")))</f>
        <v/>
      </c>
      <c r="D400" t="str">
        <f>IF(A400="","",IF(A400="[FÓRMULA MANUAL]","",IFERROR(AVERAGEIFS(DATOS!$K$2:$K$20000,DATOS!$A$2:$A$20000,A400,DATOS!$G$2:$G$20000,CONFIG_METADATA!$B$4,DATOS!$I$2:$I$20000,"Conjunto"),"")))</f>
        <v/>
      </c>
      <c r="E400" t="str">
        <f>IF(A400="","",IF(A400="[FÓRMULA MANUAL]","",IFERROR(SUMPRODUCT((DATOS!$A$2:$A$20000=A400)*(DATOS!$G$2:$G$20000=CONFIG_METADATA!$B$4)*(COUNTIF(CONFIG_ASIGNATURAS!$B$7:$B$27,DATOS!$I$2:$I$20000)&gt;0)*(DATOS!$K$2:$K$20000))/SUMPRODUCT((DATOS!$A$2:$A$20000=A400)*(DATOS!$G$2:$G$20000=CONFIG_METADATA!$B$4)*(COUNTIF(CONFIG_ASIGNATURAS!$B$7:$B$27,DATOS!$I$2:$I$20000)&gt;0)*1),"")))</f>
        <v/>
      </c>
      <c r="H400" t="str">
        <f>IF(G400="","",IF(G400="[FÓRMULA MANUAL]","",IFERROR(AVERAGEIFS(DATOS!$K$2:$K$20000,DATOS!$A$2:$A$20000,G400,DATOS!$G$2:$G$20000,CONFIG_METADATA!$B$4,DATOS!$I$2:$I$20000,"Lenguaje Musical"),"")))</f>
        <v/>
      </c>
      <c r="I400" t="str">
        <f>IF(G400="","",IF(G400="[FÓRMULA MANUAL]","",IFERROR(AVERAGEIFS(DATOS!$K$2:$K$20000,DATOS!$A$2:$A$20000,G400,DATOS!$G$2:$G$20000,CONFIG_METADATA!$B$4,DATOS!$I$2:$I$20000,"Orquesta/Banda/Conjunto"),"")))</f>
        <v/>
      </c>
      <c r="J400" t="str">
        <f>IF(G400="","",IF(G400="[FÓRMULA MANUAL]","",IFERROR(AVERAGEIFS(DATOS!$K$2:$K$20000,DATOS!$A$2:$A$20000,G400,DATOS!$G$2:$G$20000,CONFIG_METADATA!$B$4,DATOS!$I$2:$I$20000,"Conjunto"),"")))</f>
        <v/>
      </c>
      <c r="K400" t="str">
        <f>IF(G400="","",IF(G400="[FÓRMULA MANUAL]","",IFERROR(SUMPRODUCT((DATOS!$A$2:$A$20000=G400)*(DATOS!$G$2:$G$20000=CONFIG_METADATA!$B$4)*(COUNTIF(CONFIG_ASIGNATURAS!$B$7:$B$27,DATOS!$I$2:$I$20000)&gt;0)*(DATOS!$K$2:$K$20000))/SUMPRODUCT((DATOS!$A$2:$A$20000=G400)*(DATOS!$G$2:$G$20000=CONFIG_METADATA!$B$4)*(COUNTIF(CONFIG_ASIGNATURAS!$B$7:$B$27,DATOS!$I$2:$I$20000)&gt;0)*1),"")))</f>
        <v/>
      </c>
      <c r="N400" t="str">
        <f>IF(M400="","",IF(M400="[FÓRMULA MANUAL]","",IFERROR(AVERAGEIFS(DATOS!$K$2:$K$20000,DATOS!$A$2:$A$20000,M400,DATOS!$G$2:$G$20000,CONFIG_METADATA!$B$4,DATOS!$I$2:$I$20000,"Armonía"),"")))</f>
        <v/>
      </c>
      <c r="O400" t="str">
        <f>IF(M400="","",IF(M400="[FÓRMULA MANUAL]","",IFERROR(AVERAGEIFS(DATOS!$K$2:$K$20000,DATOS!$A$2:$A$20000,M400,DATOS!$G$2:$G$20000,CONFIG_METADATA!$B$4,DATOS!$I$2:$I$20000,"Orquesta/Banda/Conjunto"),"")))</f>
        <v/>
      </c>
      <c r="P400" t="str">
        <f>IF(M400="","",IF(M400="[FÓRMULA MANUAL]","",IFERROR(AVERAGEIFS(DATOS!$K$2:$K$20000,DATOS!$A$2:$A$20000,M400,DATOS!$G$2:$G$20000,CONFIG_METADATA!$B$4,DATOS!$I$2:$I$20000,"Música de Cámara"),"")))</f>
        <v/>
      </c>
      <c r="Q400" t="str">
        <f>IF(M400="","",IF(M400="[FÓRMULA MANUAL]","",IFERROR(SUMPRODUCT((DATOS!$A$2:$A$20000=M400)*(DATOS!$G$2:$G$20000=CONFIG_METADATA!$B$4)*(COUNTIF(CONFIG_ASIGNATURAS!$B$7:$B$27,DATOS!$I$2:$I$20000)&gt;0)*(DATOS!$K$2:$K$20000))/SUMPRODUCT((DATOS!$A$2:$A$20000=M400)*(DATOS!$G$2:$G$20000=CONFIG_METADATA!$B$4)*(COUNTIF(CONFIG_ASIGNATURAS!$B$7:$B$27,DATOS!$I$2:$I$20000)&gt;0)*1),"")))</f>
        <v/>
      </c>
      <c r="T400" t="str">
        <f>IF(S400="","",IF(S400="[FÓRMULA MANUAL]","",IFERROR(AVERAGEIFS(DATOS!$K$2:$K$20000,DATOS!$A$2:$A$20000,S400,DATOS!$G$2:$G$20000,CONFIG_METADATA!$B$4,DATOS!$I$2:$I$20000,"Armonía"),"")))</f>
        <v/>
      </c>
      <c r="U400" t="str">
        <f>IF(S400="","",IF(S400="[FÓRMULA MANUAL]","",IFERROR(AVERAGEIFS(DATOS!$K$2:$K$20000,DATOS!$A$2:$A$20000,S400,DATOS!$G$2:$G$20000,CONFIG_METADATA!$B$4,DATOS!$I$2:$I$20000,"Orquesta/Banda/Conjunto"),"")))</f>
        <v/>
      </c>
      <c r="V400" t="str">
        <f>IF(S400="","",IF(S400="[FÓRMULA MANUAL]","",IFERROR(AVERAGEIFS(DATOS!$K$2:$K$20000,DATOS!$A$2:$A$20000,S400,DATOS!$G$2:$G$20000,CONFIG_METADATA!$B$4,DATOS!$I$2:$I$20000,"Música de Cámara"),"")))</f>
        <v/>
      </c>
      <c r="W400" t="str">
        <f>IF(S400="","",IF(S400="[FÓRMULA MANUAL]","",IFERROR(SUMPRODUCT((DATOS!$A$2:$A$20000=S400)*(DATOS!$G$2:$G$20000=CONFIG_METADATA!$B$4)*(COUNTIF(CONFIG_ASIGNATURAS!$B$7:$B$27,DATOS!$I$2:$I$20000)&gt;0)*(DATOS!$K$2:$K$20000))/SUMPRODUCT((DATOS!$A$2:$A$20000=S400)*(DATOS!$G$2:$G$20000=CONFIG_METADATA!$B$4)*(COUNTIF(CONFIG_ASIGNATURAS!$B$7:$B$27,DATOS!$I$2:$I$20000)&gt;0)*1),"")))</f>
        <v/>
      </c>
      <c r="Z400" t="str">
        <f>IF(Y400="","",IF(Y400="[FÓRMULA MANUAL]","",IFERROR(AVERAGEIFS(DATOS!$K$2:$K$20000,DATOS!$A$2:$A$20000,Y400,DATOS!$G$2:$G$20000,CONFIG_METADATA!$B$4,DATOS!$I$2:$I$20000,"Análisis"),"")))</f>
        <v/>
      </c>
      <c r="AA400" t="str">
        <f>IF(Y400="","",IF(Y400="[FÓRMULA MANUAL]","",IFERROR(AVERAGEIFS(DATOS!$K$2:$K$20000,DATOS!$A$2:$A$20000,Y400,DATOS!$G$2:$G$20000,CONFIG_METADATA!$B$4,DATOS!$I$2:$I$20000,"Orquesta/Banda/Conjunto"),"")))</f>
        <v/>
      </c>
      <c r="AB400" t="str">
        <f>IF(Y400="","",IF(Y400="[FÓRMULA MANUAL]","",IFERROR(AVERAGEIFS(DATOS!$K$2:$K$20000,DATOS!$A$2:$A$20000,Y400,DATOS!$G$2:$G$20000,CONFIG_METADATA!$B$4,DATOS!$I$2:$I$20000,"Música de Cámara"),"")))</f>
        <v/>
      </c>
      <c r="AC400" t="str">
        <f>IF(Y400="","",IF(Y400="[FÓRMULA MANUAL]","",IFERROR(SUMPRODUCT((DATOS!$A$2:$A$20000=Y400)*(DATOS!$G$2:$G$20000=CONFIG_METADATA!$B$4)*(COUNTIF(CONFIG_ASIGNATURAS!$B$7:$B$27,DATOS!$I$2:$I$20000)&gt;0)*(DATOS!$K$2:$K$20000))/SUMPRODUCT((DATOS!$A$2:$A$20000=Y400)*(DATOS!$G$2:$G$20000=CONFIG_METADATA!$B$4)*(COUNTIF(CONFIG_ASIGNATURAS!$B$7:$B$27,DATOS!$I$2:$I$20000)&gt;0)*1),"")))</f>
        <v/>
      </c>
      <c r="AF400" t="str">
        <f>IF(AE400="","",IF(AE400="[FÓRMULA MANUAL]","",IFERROR(AVERAGEIFS(DATOS!$K$2:$K$20000,DATOS!$A$2:$A$20000,AE400,DATOS!$G$2:$G$20000,CONFIG_METADATA!$B$4,DATOS!$I$2:$I$20000,"Análisis"),"")))</f>
        <v/>
      </c>
      <c r="AG400" t="str">
        <f>IF(AE400="","",IF(AE400="[FÓRMULA MANUAL]","",IFERROR(AVERAGEIFS(DATOS!$K$2:$K$20000,DATOS!$A$2:$A$20000,AE400,DATOS!$G$2:$G$20000,CONFIG_METADATA!$B$4,DATOS!$I$2:$I$20000,"Orquesta/Banda/Conjunto"),"")))</f>
        <v/>
      </c>
      <c r="AH400" t="str">
        <f>IF(AE400="","",IF(AE400="[FÓRMULA MANUAL]","",IFERROR(AVERAGEIFS(DATOS!$K$2:$K$20000,DATOS!$A$2:$A$20000,AE400,DATOS!$G$2:$G$20000,CONFIG_METADATA!$B$4,DATOS!$I$2:$I$20000,"Música de Cámara"),"")))</f>
        <v/>
      </c>
      <c r="AI400" t="str">
        <f>IF(AE400="","",IF(AE400="[FÓRMULA MANUAL]","",IFERROR(SUMPRODUCT((DATOS!$A$2:$A$20000=AE400)*(DATOS!$G$2:$G$20000=CONFIG_METADATA!$B$4)*(COUNTIF(CONFIG_ASIGNATURAS!$B$7:$B$27,DATOS!$I$2:$I$20000)&gt;0)*(DATOS!$K$2:$K$20000))/SUMPRODUCT((DATOS!$A$2:$A$20000=AE400)*(DATOS!$G$2:$G$20000=CONFIG_METADATA!$B$4)*(COUNTIF(CONFIG_ASIGNATURAS!$B$7:$B$27,DATOS!$I$2:$I$20000)&gt;0)*1),"")))</f>
        <v/>
      </c>
    </row>
    <row r="401" spans="2:35" x14ac:dyDescent="0.2">
      <c r="B401" t="str">
        <f>IF(A401="","",IF(A401="[FÓRMULA MANUAL]","",IFERROR(AVERAGEIFS(DATOS!$K$2:$K$20000,DATOS!$A$2:$A$20000,A401,DATOS!$G$2:$G$20000,CONFIG_METADATA!$B$4,DATOS!$I$2:$I$20000,"Lenguaje Musical"),"")))</f>
        <v/>
      </c>
      <c r="C401" t="str">
        <f>IF(A401="","",IF(A401="[FÓRMULA MANUAL]","",IFERROR(AVERAGEIFS(DATOS!$K$2:$K$20000,DATOS!$A$2:$A$20000,A401,DATOS!$G$2:$G$20000,CONFIG_METADATA!$B$4,DATOS!$I$2:$I$20000,"Orquesta/Banda/Conjunto"),"")))</f>
        <v/>
      </c>
      <c r="D401" t="str">
        <f>IF(A401="","",IF(A401="[FÓRMULA MANUAL]","",IFERROR(AVERAGEIFS(DATOS!$K$2:$K$20000,DATOS!$A$2:$A$20000,A401,DATOS!$G$2:$G$20000,CONFIG_METADATA!$B$4,DATOS!$I$2:$I$20000,"Conjunto"),"")))</f>
        <v/>
      </c>
      <c r="E401" t="str">
        <f>IF(A401="","",IF(A401="[FÓRMULA MANUAL]","",IFERROR(SUMPRODUCT((DATOS!$A$2:$A$20000=A401)*(DATOS!$G$2:$G$20000=CONFIG_METADATA!$B$4)*(COUNTIF(CONFIG_ASIGNATURAS!$B$7:$B$27,DATOS!$I$2:$I$20000)&gt;0)*(DATOS!$K$2:$K$20000))/SUMPRODUCT((DATOS!$A$2:$A$20000=A401)*(DATOS!$G$2:$G$20000=CONFIG_METADATA!$B$4)*(COUNTIF(CONFIG_ASIGNATURAS!$B$7:$B$27,DATOS!$I$2:$I$20000)&gt;0)*1),"")))</f>
        <v/>
      </c>
      <c r="H401" t="str">
        <f>IF(G401="","",IF(G401="[FÓRMULA MANUAL]","",IFERROR(AVERAGEIFS(DATOS!$K$2:$K$20000,DATOS!$A$2:$A$20000,G401,DATOS!$G$2:$G$20000,CONFIG_METADATA!$B$4,DATOS!$I$2:$I$20000,"Lenguaje Musical"),"")))</f>
        <v/>
      </c>
      <c r="I401" t="str">
        <f>IF(G401="","",IF(G401="[FÓRMULA MANUAL]","",IFERROR(AVERAGEIFS(DATOS!$K$2:$K$20000,DATOS!$A$2:$A$20000,G401,DATOS!$G$2:$G$20000,CONFIG_METADATA!$B$4,DATOS!$I$2:$I$20000,"Orquesta/Banda/Conjunto"),"")))</f>
        <v/>
      </c>
      <c r="J401" t="str">
        <f>IF(G401="","",IF(G401="[FÓRMULA MANUAL]","",IFERROR(AVERAGEIFS(DATOS!$K$2:$K$20000,DATOS!$A$2:$A$20000,G401,DATOS!$G$2:$G$20000,CONFIG_METADATA!$B$4,DATOS!$I$2:$I$20000,"Conjunto"),"")))</f>
        <v/>
      </c>
      <c r="K401" t="str">
        <f>IF(G401="","",IF(G401="[FÓRMULA MANUAL]","",IFERROR(SUMPRODUCT((DATOS!$A$2:$A$20000=G401)*(DATOS!$G$2:$G$20000=CONFIG_METADATA!$B$4)*(COUNTIF(CONFIG_ASIGNATURAS!$B$7:$B$27,DATOS!$I$2:$I$20000)&gt;0)*(DATOS!$K$2:$K$20000))/SUMPRODUCT((DATOS!$A$2:$A$20000=G401)*(DATOS!$G$2:$G$20000=CONFIG_METADATA!$B$4)*(COUNTIF(CONFIG_ASIGNATURAS!$B$7:$B$27,DATOS!$I$2:$I$20000)&gt;0)*1),"")))</f>
        <v/>
      </c>
      <c r="N401" t="str">
        <f>IF(M401="","",IF(M401="[FÓRMULA MANUAL]","",IFERROR(AVERAGEIFS(DATOS!$K$2:$K$20000,DATOS!$A$2:$A$20000,M401,DATOS!$G$2:$G$20000,CONFIG_METADATA!$B$4,DATOS!$I$2:$I$20000,"Armonía"),"")))</f>
        <v/>
      </c>
      <c r="O401" t="str">
        <f>IF(M401="","",IF(M401="[FÓRMULA MANUAL]","",IFERROR(AVERAGEIFS(DATOS!$K$2:$K$20000,DATOS!$A$2:$A$20000,M401,DATOS!$G$2:$G$20000,CONFIG_METADATA!$B$4,DATOS!$I$2:$I$20000,"Orquesta/Banda/Conjunto"),"")))</f>
        <v/>
      </c>
      <c r="P401" t="str">
        <f>IF(M401="","",IF(M401="[FÓRMULA MANUAL]","",IFERROR(AVERAGEIFS(DATOS!$K$2:$K$20000,DATOS!$A$2:$A$20000,M401,DATOS!$G$2:$G$20000,CONFIG_METADATA!$B$4,DATOS!$I$2:$I$20000,"Música de Cámara"),"")))</f>
        <v/>
      </c>
      <c r="Q401" t="str">
        <f>IF(M401="","",IF(M401="[FÓRMULA MANUAL]","",IFERROR(SUMPRODUCT((DATOS!$A$2:$A$20000=M401)*(DATOS!$G$2:$G$20000=CONFIG_METADATA!$B$4)*(COUNTIF(CONFIG_ASIGNATURAS!$B$7:$B$27,DATOS!$I$2:$I$20000)&gt;0)*(DATOS!$K$2:$K$20000))/SUMPRODUCT((DATOS!$A$2:$A$20000=M401)*(DATOS!$G$2:$G$20000=CONFIG_METADATA!$B$4)*(COUNTIF(CONFIG_ASIGNATURAS!$B$7:$B$27,DATOS!$I$2:$I$20000)&gt;0)*1),"")))</f>
        <v/>
      </c>
      <c r="T401" t="str">
        <f>IF(S401="","",IF(S401="[FÓRMULA MANUAL]","",IFERROR(AVERAGEIFS(DATOS!$K$2:$K$20000,DATOS!$A$2:$A$20000,S401,DATOS!$G$2:$G$20000,CONFIG_METADATA!$B$4,DATOS!$I$2:$I$20000,"Armonía"),"")))</f>
        <v/>
      </c>
      <c r="U401" t="str">
        <f>IF(S401="","",IF(S401="[FÓRMULA MANUAL]","",IFERROR(AVERAGEIFS(DATOS!$K$2:$K$20000,DATOS!$A$2:$A$20000,S401,DATOS!$G$2:$G$20000,CONFIG_METADATA!$B$4,DATOS!$I$2:$I$20000,"Orquesta/Banda/Conjunto"),"")))</f>
        <v/>
      </c>
      <c r="V401" t="str">
        <f>IF(S401="","",IF(S401="[FÓRMULA MANUAL]","",IFERROR(AVERAGEIFS(DATOS!$K$2:$K$20000,DATOS!$A$2:$A$20000,S401,DATOS!$G$2:$G$20000,CONFIG_METADATA!$B$4,DATOS!$I$2:$I$20000,"Música de Cámara"),"")))</f>
        <v/>
      </c>
      <c r="W401" t="str">
        <f>IF(S401="","",IF(S401="[FÓRMULA MANUAL]","",IFERROR(SUMPRODUCT((DATOS!$A$2:$A$20000=S401)*(DATOS!$G$2:$G$20000=CONFIG_METADATA!$B$4)*(COUNTIF(CONFIG_ASIGNATURAS!$B$7:$B$27,DATOS!$I$2:$I$20000)&gt;0)*(DATOS!$K$2:$K$20000))/SUMPRODUCT((DATOS!$A$2:$A$20000=S401)*(DATOS!$G$2:$G$20000=CONFIG_METADATA!$B$4)*(COUNTIF(CONFIG_ASIGNATURAS!$B$7:$B$27,DATOS!$I$2:$I$20000)&gt;0)*1),"")))</f>
        <v/>
      </c>
      <c r="Z401" t="str">
        <f>IF(Y401="","",IF(Y401="[FÓRMULA MANUAL]","",IFERROR(AVERAGEIFS(DATOS!$K$2:$K$20000,DATOS!$A$2:$A$20000,Y401,DATOS!$G$2:$G$20000,CONFIG_METADATA!$B$4,DATOS!$I$2:$I$20000,"Análisis"),"")))</f>
        <v/>
      </c>
      <c r="AA401" t="str">
        <f>IF(Y401="","",IF(Y401="[FÓRMULA MANUAL]","",IFERROR(AVERAGEIFS(DATOS!$K$2:$K$20000,DATOS!$A$2:$A$20000,Y401,DATOS!$G$2:$G$20000,CONFIG_METADATA!$B$4,DATOS!$I$2:$I$20000,"Orquesta/Banda/Conjunto"),"")))</f>
        <v/>
      </c>
      <c r="AB401" t="str">
        <f>IF(Y401="","",IF(Y401="[FÓRMULA MANUAL]","",IFERROR(AVERAGEIFS(DATOS!$K$2:$K$20000,DATOS!$A$2:$A$20000,Y401,DATOS!$G$2:$G$20000,CONFIG_METADATA!$B$4,DATOS!$I$2:$I$20000,"Música de Cámara"),"")))</f>
        <v/>
      </c>
      <c r="AC401" t="str">
        <f>IF(Y401="","",IF(Y401="[FÓRMULA MANUAL]","",IFERROR(SUMPRODUCT((DATOS!$A$2:$A$20000=Y401)*(DATOS!$G$2:$G$20000=CONFIG_METADATA!$B$4)*(COUNTIF(CONFIG_ASIGNATURAS!$B$7:$B$27,DATOS!$I$2:$I$20000)&gt;0)*(DATOS!$K$2:$K$20000))/SUMPRODUCT((DATOS!$A$2:$A$20000=Y401)*(DATOS!$G$2:$G$20000=CONFIG_METADATA!$B$4)*(COUNTIF(CONFIG_ASIGNATURAS!$B$7:$B$27,DATOS!$I$2:$I$20000)&gt;0)*1),"")))</f>
        <v/>
      </c>
      <c r="AF401" t="str">
        <f>IF(AE401="","",IF(AE401="[FÓRMULA MANUAL]","",IFERROR(AVERAGEIFS(DATOS!$K$2:$K$20000,DATOS!$A$2:$A$20000,AE401,DATOS!$G$2:$G$20000,CONFIG_METADATA!$B$4,DATOS!$I$2:$I$20000,"Análisis"),"")))</f>
        <v/>
      </c>
      <c r="AG401" t="str">
        <f>IF(AE401="","",IF(AE401="[FÓRMULA MANUAL]","",IFERROR(AVERAGEIFS(DATOS!$K$2:$K$20000,DATOS!$A$2:$A$20000,AE401,DATOS!$G$2:$G$20000,CONFIG_METADATA!$B$4,DATOS!$I$2:$I$20000,"Orquesta/Banda/Conjunto"),"")))</f>
        <v/>
      </c>
      <c r="AH401" t="str">
        <f>IF(AE401="","",IF(AE401="[FÓRMULA MANUAL]","",IFERROR(AVERAGEIFS(DATOS!$K$2:$K$20000,DATOS!$A$2:$A$20000,AE401,DATOS!$G$2:$G$20000,CONFIG_METADATA!$B$4,DATOS!$I$2:$I$20000,"Música de Cámara"),"")))</f>
        <v/>
      </c>
      <c r="AI401" t="str">
        <f>IF(AE401="","",IF(AE401="[FÓRMULA MANUAL]","",IFERROR(SUMPRODUCT((DATOS!$A$2:$A$20000=AE401)*(DATOS!$G$2:$G$20000=CONFIG_METADATA!$B$4)*(COUNTIF(CONFIG_ASIGNATURAS!$B$7:$B$27,DATOS!$I$2:$I$20000)&gt;0)*(DATOS!$K$2:$K$20000))/SUMPRODUCT((DATOS!$A$2:$A$20000=AE401)*(DATOS!$G$2:$G$20000=CONFIG_METADATA!$B$4)*(COUNTIF(CONFIG_ASIGNATURAS!$B$7:$B$27,DATOS!$I$2:$I$20000)&gt;0)*1),"")))</f>
        <v/>
      </c>
    </row>
    <row r="402" spans="2:35" x14ac:dyDescent="0.2">
      <c r="B402" t="str">
        <f>IF(A402="","",IF(A402="[FÓRMULA MANUAL]","",IFERROR(AVERAGEIFS(DATOS!$K$2:$K$20000,DATOS!$A$2:$A$20000,A402,DATOS!$G$2:$G$20000,CONFIG_METADATA!$B$4,DATOS!$I$2:$I$20000,"Lenguaje Musical"),"")))</f>
        <v/>
      </c>
      <c r="C402" t="str">
        <f>IF(A402="","",IF(A402="[FÓRMULA MANUAL]","",IFERROR(AVERAGEIFS(DATOS!$K$2:$K$20000,DATOS!$A$2:$A$20000,A402,DATOS!$G$2:$G$20000,CONFIG_METADATA!$B$4,DATOS!$I$2:$I$20000,"Orquesta/Banda/Conjunto"),"")))</f>
        <v/>
      </c>
      <c r="D402" t="str">
        <f>IF(A402="","",IF(A402="[FÓRMULA MANUAL]","",IFERROR(AVERAGEIFS(DATOS!$K$2:$K$20000,DATOS!$A$2:$A$20000,A402,DATOS!$G$2:$G$20000,CONFIG_METADATA!$B$4,DATOS!$I$2:$I$20000,"Conjunto"),"")))</f>
        <v/>
      </c>
      <c r="E402" t="str">
        <f>IF(A402="","",IF(A402="[FÓRMULA MANUAL]","",IFERROR(SUMPRODUCT((DATOS!$A$2:$A$20000=A402)*(DATOS!$G$2:$G$20000=CONFIG_METADATA!$B$4)*(COUNTIF(CONFIG_ASIGNATURAS!$B$7:$B$27,DATOS!$I$2:$I$20000)&gt;0)*(DATOS!$K$2:$K$20000))/SUMPRODUCT((DATOS!$A$2:$A$20000=A402)*(DATOS!$G$2:$G$20000=CONFIG_METADATA!$B$4)*(COUNTIF(CONFIG_ASIGNATURAS!$B$7:$B$27,DATOS!$I$2:$I$20000)&gt;0)*1),"")))</f>
        <v/>
      </c>
      <c r="H402" t="str">
        <f>IF(G402="","",IF(G402="[FÓRMULA MANUAL]","",IFERROR(AVERAGEIFS(DATOS!$K$2:$K$20000,DATOS!$A$2:$A$20000,G402,DATOS!$G$2:$G$20000,CONFIG_METADATA!$B$4,DATOS!$I$2:$I$20000,"Lenguaje Musical"),"")))</f>
        <v/>
      </c>
      <c r="I402" t="str">
        <f>IF(G402="","",IF(G402="[FÓRMULA MANUAL]","",IFERROR(AVERAGEIFS(DATOS!$K$2:$K$20000,DATOS!$A$2:$A$20000,G402,DATOS!$G$2:$G$20000,CONFIG_METADATA!$B$4,DATOS!$I$2:$I$20000,"Orquesta/Banda/Conjunto"),"")))</f>
        <v/>
      </c>
      <c r="J402" t="str">
        <f>IF(G402="","",IF(G402="[FÓRMULA MANUAL]","",IFERROR(AVERAGEIFS(DATOS!$K$2:$K$20000,DATOS!$A$2:$A$20000,G402,DATOS!$G$2:$G$20000,CONFIG_METADATA!$B$4,DATOS!$I$2:$I$20000,"Conjunto"),"")))</f>
        <v/>
      </c>
      <c r="K402" t="str">
        <f>IF(G402="","",IF(G402="[FÓRMULA MANUAL]","",IFERROR(SUMPRODUCT((DATOS!$A$2:$A$20000=G402)*(DATOS!$G$2:$G$20000=CONFIG_METADATA!$B$4)*(COUNTIF(CONFIG_ASIGNATURAS!$B$7:$B$27,DATOS!$I$2:$I$20000)&gt;0)*(DATOS!$K$2:$K$20000))/SUMPRODUCT((DATOS!$A$2:$A$20000=G402)*(DATOS!$G$2:$G$20000=CONFIG_METADATA!$B$4)*(COUNTIF(CONFIG_ASIGNATURAS!$B$7:$B$27,DATOS!$I$2:$I$20000)&gt;0)*1),"")))</f>
        <v/>
      </c>
      <c r="N402" t="str">
        <f>IF(M402="","",IF(M402="[FÓRMULA MANUAL]","",IFERROR(AVERAGEIFS(DATOS!$K$2:$K$20000,DATOS!$A$2:$A$20000,M402,DATOS!$G$2:$G$20000,CONFIG_METADATA!$B$4,DATOS!$I$2:$I$20000,"Armonía"),"")))</f>
        <v/>
      </c>
      <c r="O402" t="str">
        <f>IF(M402="","",IF(M402="[FÓRMULA MANUAL]","",IFERROR(AVERAGEIFS(DATOS!$K$2:$K$20000,DATOS!$A$2:$A$20000,M402,DATOS!$G$2:$G$20000,CONFIG_METADATA!$B$4,DATOS!$I$2:$I$20000,"Orquesta/Banda/Conjunto"),"")))</f>
        <v/>
      </c>
      <c r="P402" t="str">
        <f>IF(M402="","",IF(M402="[FÓRMULA MANUAL]","",IFERROR(AVERAGEIFS(DATOS!$K$2:$K$20000,DATOS!$A$2:$A$20000,M402,DATOS!$G$2:$G$20000,CONFIG_METADATA!$B$4,DATOS!$I$2:$I$20000,"Música de Cámara"),"")))</f>
        <v/>
      </c>
      <c r="Q402" t="str">
        <f>IF(M402="","",IF(M402="[FÓRMULA MANUAL]","",IFERROR(SUMPRODUCT((DATOS!$A$2:$A$20000=M402)*(DATOS!$G$2:$G$20000=CONFIG_METADATA!$B$4)*(COUNTIF(CONFIG_ASIGNATURAS!$B$7:$B$27,DATOS!$I$2:$I$20000)&gt;0)*(DATOS!$K$2:$K$20000))/SUMPRODUCT((DATOS!$A$2:$A$20000=M402)*(DATOS!$G$2:$G$20000=CONFIG_METADATA!$B$4)*(COUNTIF(CONFIG_ASIGNATURAS!$B$7:$B$27,DATOS!$I$2:$I$20000)&gt;0)*1),"")))</f>
        <v/>
      </c>
      <c r="T402" t="str">
        <f>IF(S402="","",IF(S402="[FÓRMULA MANUAL]","",IFERROR(AVERAGEIFS(DATOS!$K$2:$K$20000,DATOS!$A$2:$A$20000,S402,DATOS!$G$2:$G$20000,CONFIG_METADATA!$B$4,DATOS!$I$2:$I$20000,"Armonía"),"")))</f>
        <v/>
      </c>
      <c r="U402" t="str">
        <f>IF(S402="","",IF(S402="[FÓRMULA MANUAL]","",IFERROR(AVERAGEIFS(DATOS!$K$2:$K$20000,DATOS!$A$2:$A$20000,S402,DATOS!$G$2:$G$20000,CONFIG_METADATA!$B$4,DATOS!$I$2:$I$20000,"Orquesta/Banda/Conjunto"),"")))</f>
        <v/>
      </c>
      <c r="V402" t="str">
        <f>IF(S402="","",IF(S402="[FÓRMULA MANUAL]","",IFERROR(AVERAGEIFS(DATOS!$K$2:$K$20000,DATOS!$A$2:$A$20000,S402,DATOS!$G$2:$G$20000,CONFIG_METADATA!$B$4,DATOS!$I$2:$I$20000,"Música de Cámara"),"")))</f>
        <v/>
      </c>
      <c r="W402" t="str">
        <f>IF(S402="","",IF(S402="[FÓRMULA MANUAL]","",IFERROR(SUMPRODUCT((DATOS!$A$2:$A$20000=S402)*(DATOS!$G$2:$G$20000=CONFIG_METADATA!$B$4)*(COUNTIF(CONFIG_ASIGNATURAS!$B$7:$B$27,DATOS!$I$2:$I$20000)&gt;0)*(DATOS!$K$2:$K$20000))/SUMPRODUCT((DATOS!$A$2:$A$20000=S402)*(DATOS!$G$2:$G$20000=CONFIG_METADATA!$B$4)*(COUNTIF(CONFIG_ASIGNATURAS!$B$7:$B$27,DATOS!$I$2:$I$20000)&gt;0)*1),"")))</f>
        <v/>
      </c>
      <c r="Z402" t="str">
        <f>IF(Y402="","",IF(Y402="[FÓRMULA MANUAL]","",IFERROR(AVERAGEIFS(DATOS!$K$2:$K$20000,DATOS!$A$2:$A$20000,Y402,DATOS!$G$2:$G$20000,CONFIG_METADATA!$B$4,DATOS!$I$2:$I$20000,"Análisis"),"")))</f>
        <v/>
      </c>
      <c r="AA402" t="str">
        <f>IF(Y402="","",IF(Y402="[FÓRMULA MANUAL]","",IFERROR(AVERAGEIFS(DATOS!$K$2:$K$20000,DATOS!$A$2:$A$20000,Y402,DATOS!$G$2:$G$20000,CONFIG_METADATA!$B$4,DATOS!$I$2:$I$20000,"Orquesta/Banda/Conjunto"),"")))</f>
        <v/>
      </c>
      <c r="AB402" t="str">
        <f>IF(Y402="","",IF(Y402="[FÓRMULA MANUAL]","",IFERROR(AVERAGEIFS(DATOS!$K$2:$K$20000,DATOS!$A$2:$A$20000,Y402,DATOS!$G$2:$G$20000,CONFIG_METADATA!$B$4,DATOS!$I$2:$I$20000,"Música de Cámara"),"")))</f>
        <v/>
      </c>
      <c r="AC402" t="str">
        <f>IF(Y402="","",IF(Y402="[FÓRMULA MANUAL]","",IFERROR(SUMPRODUCT((DATOS!$A$2:$A$20000=Y402)*(DATOS!$G$2:$G$20000=CONFIG_METADATA!$B$4)*(COUNTIF(CONFIG_ASIGNATURAS!$B$7:$B$27,DATOS!$I$2:$I$20000)&gt;0)*(DATOS!$K$2:$K$20000))/SUMPRODUCT((DATOS!$A$2:$A$20000=Y402)*(DATOS!$G$2:$G$20000=CONFIG_METADATA!$B$4)*(COUNTIF(CONFIG_ASIGNATURAS!$B$7:$B$27,DATOS!$I$2:$I$20000)&gt;0)*1),"")))</f>
        <v/>
      </c>
      <c r="AF402" t="str">
        <f>IF(AE402="","",IF(AE402="[FÓRMULA MANUAL]","",IFERROR(AVERAGEIFS(DATOS!$K$2:$K$20000,DATOS!$A$2:$A$20000,AE402,DATOS!$G$2:$G$20000,CONFIG_METADATA!$B$4,DATOS!$I$2:$I$20000,"Análisis"),"")))</f>
        <v/>
      </c>
      <c r="AG402" t="str">
        <f>IF(AE402="","",IF(AE402="[FÓRMULA MANUAL]","",IFERROR(AVERAGEIFS(DATOS!$K$2:$K$20000,DATOS!$A$2:$A$20000,AE402,DATOS!$G$2:$G$20000,CONFIG_METADATA!$B$4,DATOS!$I$2:$I$20000,"Orquesta/Banda/Conjunto"),"")))</f>
        <v/>
      </c>
      <c r="AH402" t="str">
        <f>IF(AE402="","",IF(AE402="[FÓRMULA MANUAL]","",IFERROR(AVERAGEIFS(DATOS!$K$2:$K$20000,DATOS!$A$2:$A$20000,AE402,DATOS!$G$2:$G$20000,CONFIG_METADATA!$B$4,DATOS!$I$2:$I$20000,"Música de Cámara"),"")))</f>
        <v/>
      </c>
      <c r="AI402" t="str">
        <f>IF(AE402="","",IF(AE402="[FÓRMULA MANUAL]","",IFERROR(SUMPRODUCT((DATOS!$A$2:$A$20000=AE402)*(DATOS!$G$2:$G$20000=CONFIG_METADATA!$B$4)*(COUNTIF(CONFIG_ASIGNATURAS!$B$7:$B$27,DATOS!$I$2:$I$20000)&gt;0)*(DATOS!$K$2:$K$20000))/SUMPRODUCT((DATOS!$A$2:$A$20000=AE402)*(DATOS!$G$2:$G$20000=CONFIG_METADATA!$B$4)*(COUNTIF(CONFIG_ASIGNATURAS!$B$7:$B$27,DATOS!$I$2:$I$20000)&gt;0)*1),"")))</f>
        <v/>
      </c>
    </row>
    <row r="403" spans="2:35" x14ac:dyDescent="0.2">
      <c r="B403" t="str">
        <f>IF(A403="","",IF(A403="[FÓRMULA MANUAL]","",IFERROR(AVERAGEIFS(DATOS!$K$2:$K$20000,DATOS!$A$2:$A$20000,A403,DATOS!$G$2:$G$20000,CONFIG_METADATA!$B$4,DATOS!$I$2:$I$20000,"Lenguaje Musical"),"")))</f>
        <v/>
      </c>
      <c r="C403" t="str">
        <f>IF(A403="","",IF(A403="[FÓRMULA MANUAL]","",IFERROR(AVERAGEIFS(DATOS!$K$2:$K$20000,DATOS!$A$2:$A$20000,A403,DATOS!$G$2:$G$20000,CONFIG_METADATA!$B$4,DATOS!$I$2:$I$20000,"Orquesta/Banda/Conjunto"),"")))</f>
        <v/>
      </c>
      <c r="D403" t="str">
        <f>IF(A403="","",IF(A403="[FÓRMULA MANUAL]","",IFERROR(AVERAGEIFS(DATOS!$K$2:$K$20000,DATOS!$A$2:$A$20000,A403,DATOS!$G$2:$G$20000,CONFIG_METADATA!$B$4,DATOS!$I$2:$I$20000,"Conjunto"),"")))</f>
        <v/>
      </c>
      <c r="E403" t="str">
        <f>IF(A403="","",IF(A403="[FÓRMULA MANUAL]","",IFERROR(SUMPRODUCT((DATOS!$A$2:$A$20000=A403)*(DATOS!$G$2:$G$20000=CONFIG_METADATA!$B$4)*(COUNTIF(CONFIG_ASIGNATURAS!$B$7:$B$27,DATOS!$I$2:$I$20000)&gt;0)*(DATOS!$K$2:$K$20000))/SUMPRODUCT((DATOS!$A$2:$A$20000=A403)*(DATOS!$G$2:$G$20000=CONFIG_METADATA!$B$4)*(COUNTIF(CONFIG_ASIGNATURAS!$B$7:$B$27,DATOS!$I$2:$I$20000)&gt;0)*1),"")))</f>
        <v/>
      </c>
      <c r="H403" t="str">
        <f>IF(G403="","",IF(G403="[FÓRMULA MANUAL]","",IFERROR(AVERAGEIFS(DATOS!$K$2:$K$20000,DATOS!$A$2:$A$20000,G403,DATOS!$G$2:$G$20000,CONFIG_METADATA!$B$4,DATOS!$I$2:$I$20000,"Lenguaje Musical"),"")))</f>
        <v/>
      </c>
      <c r="I403" t="str">
        <f>IF(G403="","",IF(G403="[FÓRMULA MANUAL]","",IFERROR(AVERAGEIFS(DATOS!$K$2:$K$20000,DATOS!$A$2:$A$20000,G403,DATOS!$G$2:$G$20000,CONFIG_METADATA!$B$4,DATOS!$I$2:$I$20000,"Orquesta/Banda/Conjunto"),"")))</f>
        <v/>
      </c>
      <c r="J403" t="str">
        <f>IF(G403="","",IF(G403="[FÓRMULA MANUAL]","",IFERROR(AVERAGEIFS(DATOS!$K$2:$K$20000,DATOS!$A$2:$A$20000,G403,DATOS!$G$2:$G$20000,CONFIG_METADATA!$B$4,DATOS!$I$2:$I$20000,"Conjunto"),"")))</f>
        <v/>
      </c>
      <c r="K403" t="str">
        <f>IF(G403="","",IF(G403="[FÓRMULA MANUAL]","",IFERROR(SUMPRODUCT((DATOS!$A$2:$A$20000=G403)*(DATOS!$G$2:$G$20000=CONFIG_METADATA!$B$4)*(COUNTIF(CONFIG_ASIGNATURAS!$B$7:$B$27,DATOS!$I$2:$I$20000)&gt;0)*(DATOS!$K$2:$K$20000))/SUMPRODUCT((DATOS!$A$2:$A$20000=G403)*(DATOS!$G$2:$G$20000=CONFIG_METADATA!$B$4)*(COUNTIF(CONFIG_ASIGNATURAS!$B$7:$B$27,DATOS!$I$2:$I$20000)&gt;0)*1),"")))</f>
        <v/>
      </c>
      <c r="N403" t="str">
        <f>IF(M403="","",IF(M403="[FÓRMULA MANUAL]","",IFERROR(AVERAGEIFS(DATOS!$K$2:$K$20000,DATOS!$A$2:$A$20000,M403,DATOS!$G$2:$G$20000,CONFIG_METADATA!$B$4,DATOS!$I$2:$I$20000,"Armonía"),"")))</f>
        <v/>
      </c>
      <c r="O403" t="str">
        <f>IF(M403="","",IF(M403="[FÓRMULA MANUAL]","",IFERROR(AVERAGEIFS(DATOS!$K$2:$K$20000,DATOS!$A$2:$A$20000,M403,DATOS!$G$2:$G$20000,CONFIG_METADATA!$B$4,DATOS!$I$2:$I$20000,"Orquesta/Banda/Conjunto"),"")))</f>
        <v/>
      </c>
      <c r="P403" t="str">
        <f>IF(M403="","",IF(M403="[FÓRMULA MANUAL]","",IFERROR(AVERAGEIFS(DATOS!$K$2:$K$20000,DATOS!$A$2:$A$20000,M403,DATOS!$G$2:$G$20000,CONFIG_METADATA!$B$4,DATOS!$I$2:$I$20000,"Música de Cámara"),"")))</f>
        <v/>
      </c>
      <c r="Q403" t="str">
        <f>IF(M403="","",IF(M403="[FÓRMULA MANUAL]","",IFERROR(SUMPRODUCT((DATOS!$A$2:$A$20000=M403)*(DATOS!$G$2:$G$20000=CONFIG_METADATA!$B$4)*(COUNTIF(CONFIG_ASIGNATURAS!$B$7:$B$27,DATOS!$I$2:$I$20000)&gt;0)*(DATOS!$K$2:$K$20000))/SUMPRODUCT((DATOS!$A$2:$A$20000=M403)*(DATOS!$G$2:$G$20000=CONFIG_METADATA!$B$4)*(COUNTIF(CONFIG_ASIGNATURAS!$B$7:$B$27,DATOS!$I$2:$I$20000)&gt;0)*1),"")))</f>
        <v/>
      </c>
      <c r="T403" t="str">
        <f>IF(S403="","",IF(S403="[FÓRMULA MANUAL]","",IFERROR(AVERAGEIFS(DATOS!$K$2:$K$20000,DATOS!$A$2:$A$20000,S403,DATOS!$G$2:$G$20000,CONFIG_METADATA!$B$4,DATOS!$I$2:$I$20000,"Armonía"),"")))</f>
        <v/>
      </c>
      <c r="U403" t="str">
        <f>IF(S403="","",IF(S403="[FÓRMULA MANUAL]","",IFERROR(AVERAGEIFS(DATOS!$K$2:$K$20000,DATOS!$A$2:$A$20000,S403,DATOS!$G$2:$G$20000,CONFIG_METADATA!$B$4,DATOS!$I$2:$I$20000,"Orquesta/Banda/Conjunto"),"")))</f>
        <v/>
      </c>
      <c r="V403" t="str">
        <f>IF(S403="","",IF(S403="[FÓRMULA MANUAL]","",IFERROR(AVERAGEIFS(DATOS!$K$2:$K$20000,DATOS!$A$2:$A$20000,S403,DATOS!$G$2:$G$20000,CONFIG_METADATA!$B$4,DATOS!$I$2:$I$20000,"Música de Cámara"),"")))</f>
        <v/>
      </c>
      <c r="W403" t="str">
        <f>IF(S403="","",IF(S403="[FÓRMULA MANUAL]","",IFERROR(SUMPRODUCT((DATOS!$A$2:$A$20000=S403)*(DATOS!$G$2:$G$20000=CONFIG_METADATA!$B$4)*(COUNTIF(CONFIG_ASIGNATURAS!$B$7:$B$27,DATOS!$I$2:$I$20000)&gt;0)*(DATOS!$K$2:$K$20000))/SUMPRODUCT((DATOS!$A$2:$A$20000=S403)*(DATOS!$G$2:$G$20000=CONFIG_METADATA!$B$4)*(COUNTIF(CONFIG_ASIGNATURAS!$B$7:$B$27,DATOS!$I$2:$I$20000)&gt;0)*1),"")))</f>
        <v/>
      </c>
      <c r="Z403" t="str">
        <f>IF(Y403="","",IF(Y403="[FÓRMULA MANUAL]","",IFERROR(AVERAGEIFS(DATOS!$K$2:$K$20000,DATOS!$A$2:$A$20000,Y403,DATOS!$G$2:$G$20000,CONFIG_METADATA!$B$4,DATOS!$I$2:$I$20000,"Análisis"),"")))</f>
        <v/>
      </c>
      <c r="AA403" t="str">
        <f>IF(Y403="","",IF(Y403="[FÓRMULA MANUAL]","",IFERROR(AVERAGEIFS(DATOS!$K$2:$K$20000,DATOS!$A$2:$A$20000,Y403,DATOS!$G$2:$G$20000,CONFIG_METADATA!$B$4,DATOS!$I$2:$I$20000,"Orquesta/Banda/Conjunto"),"")))</f>
        <v/>
      </c>
      <c r="AB403" t="str">
        <f>IF(Y403="","",IF(Y403="[FÓRMULA MANUAL]","",IFERROR(AVERAGEIFS(DATOS!$K$2:$K$20000,DATOS!$A$2:$A$20000,Y403,DATOS!$G$2:$G$20000,CONFIG_METADATA!$B$4,DATOS!$I$2:$I$20000,"Música de Cámara"),"")))</f>
        <v/>
      </c>
      <c r="AC403" t="str">
        <f>IF(Y403="","",IF(Y403="[FÓRMULA MANUAL]","",IFERROR(SUMPRODUCT((DATOS!$A$2:$A$20000=Y403)*(DATOS!$G$2:$G$20000=CONFIG_METADATA!$B$4)*(COUNTIF(CONFIG_ASIGNATURAS!$B$7:$B$27,DATOS!$I$2:$I$20000)&gt;0)*(DATOS!$K$2:$K$20000))/SUMPRODUCT((DATOS!$A$2:$A$20000=Y403)*(DATOS!$G$2:$G$20000=CONFIG_METADATA!$B$4)*(COUNTIF(CONFIG_ASIGNATURAS!$B$7:$B$27,DATOS!$I$2:$I$20000)&gt;0)*1),"")))</f>
        <v/>
      </c>
      <c r="AF403" t="str">
        <f>IF(AE403="","",IF(AE403="[FÓRMULA MANUAL]","",IFERROR(AVERAGEIFS(DATOS!$K$2:$K$20000,DATOS!$A$2:$A$20000,AE403,DATOS!$G$2:$G$20000,CONFIG_METADATA!$B$4,DATOS!$I$2:$I$20000,"Análisis"),"")))</f>
        <v/>
      </c>
      <c r="AG403" t="str">
        <f>IF(AE403="","",IF(AE403="[FÓRMULA MANUAL]","",IFERROR(AVERAGEIFS(DATOS!$K$2:$K$20000,DATOS!$A$2:$A$20000,AE403,DATOS!$G$2:$G$20000,CONFIG_METADATA!$B$4,DATOS!$I$2:$I$20000,"Orquesta/Banda/Conjunto"),"")))</f>
        <v/>
      </c>
      <c r="AH403" t="str">
        <f>IF(AE403="","",IF(AE403="[FÓRMULA MANUAL]","",IFERROR(AVERAGEIFS(DATOS!$K$2:$K$20000,DATOS!$A$2:$A$20000,AE403,DATOS!$G$2:$G$20000,CONFIG_METADATA!$B$4,DATOS!$I$2:$I$20000,"Música de Cámara"),"")))</f>
        <v/>
      </c>
      <c r="AI403" t="str">
        <f>IF(AE403="","",IF(AE403="[FÓRMULA MANUAL]","",IFERROR(SUMPRODUCT((DATOS!$A$2:$A$20000=AE403)*(DATOS!$G$2:$G$20000=CONFIG_METADATA!$B$4)*(COUNTIF(CONFIG_ASIGNATURAS!$B$7:$B$27,DATOS!$I$2:$I$20000)&gt;0)*(DATOS!$K$2:$K$20000))/SUMPRODUCT((DATOS!$A$2:$A$20000=AE403)*(DATOS!$G$2:$G$20000=CONFIG_METADATA!$B$4)*(COUNTIF(CONFIG_ASIGNATURAS!$B$7:$B$27,DATOS!$I$2:$I$20000)&gt;0)*1),"")))</f>
        <v/>
      </c>
    </row>
    <row r="404" spans="2:35" x14ac:dyDescent="0.2">
      <c r="B404" t="str">
        <f>IF(A404="","",IF(A404="[FÓRMULA MANUAL]","",IFERROR(AVERAGEIFS(DATOS!$K$2:$K$20000,DATOS!$A$2:$A$20000,A404,DATOS!$G$2:$G$20000,CONFIG_METADATA!$B$4,DATOS!$I$2:$I$20000,"Lenguaje Musical"),"")))</f>
        <v/>
      </c>
      <c r="C404" t="str">
        <f>IF(A404="","",IF(A404="[FÓRMULA MANUAL]","",IFERROR(AVERAGEIFS(DATOS!$K$2:$K$20000,DATOS!$A$2:$A$20000,A404,DATOS!$G$2:$G$20000,CONFIG_METADATA!$B$4,DATOS!$I$2:$I$20000,"Orquesta/Banda/Conjunto"),"")))</f>
        <v/>
      </c>
      <c r="D404" t="str">
        <f>IF(A404="","",IF(A404="[FÓRMULA MANUAL]","",IFERROR(AVERAGEIFS(DATOS!$K$2:$K$20000,DATOS!$A$2:$A$20000,A404,DATOS!$G$2:$G$20000,CONFIG_METADATA!$B$4,DATOS!$I$2:$I$20000,"Conjunto"),"")))</f>
        <v/>
      </c>
      <c r="E404" t="str">
        <f>IF(A404="","",IF(A404="[FÓRMULA MANUAL]","",IFERROR(SUMPRODUCT((DATOS!$A$2:$A$20000=A404)*(DATOS!$G$2:$G$20000=CONFIG_METADATA!$B$4)*(COUNTIF(CONFIG_ASIGNATURAS!$B$7:$B$27,DATOS!$I$2:$I$20000)&gt;0)*(DATOS!$K$2:$K$20000))/SUMPRODUCT((DATOS!$A$2:$A$20000=A404)*(DATOS!$G$2:$G$20000=CONFIG_METADATA!$B$4)*(COUNTIF(CONFIG_ASIGNATURAS!$B$7:$B$27,DATOS!$I$2:$I$20000)&gt;0)*1),"")))</f>
        <v/>
      </c>
      <c r="H404" t="str">
        <f>IF(G404="","",IF(G404="[FÓRMULA MANUAL]","",IFERROR(AVERAGEIFS(DATOS!$K$2:$K$20000,DATOS!$A$2:$A$20000,G404,DATOS!$G$2:$G$20000,CONFIG_METADATA!$B$4,DATOS!$I$2:$I$20000,"Lenguaje Musical"),"")))</f>
        <v/>
      </c>
      <c r="I404" t="str">
        <f>IF(G404="","",IF(G404="[FÓRMULA MANUAL]","",IFERROR(AVERAGEIFS(DATOS!$K$2:$K$20000,DATOS!$A$2:$A$20000,G404,DATOS!$G$2:$G$20000,CONFIG_METADATA!$B$4,DATOS!$I$2:$I$20000,"Orquesta/Banda/Conjunto"),"")))</f>
        <v/>
      </c>
      <c r="J404" t="str">
        <f>IF(G404="","",IF(G404="[FÓRMULA MANUAL]","",IFERROR(AVERAGEIFS(DATOS!$K$2:$K$20000,DATOS!$A$2:$A$20000,G404,DATOS!$G$2:$G$20000,CONFIG_METADATA!$B$4,DATOS!$I$2:$I$20000,"Conjunto"),"")))</f>
        <v/>
      </c>
      <c r="K404" t="str">
        <f>IF(G404="","",IF(G404="[FÓRMULA MANUAL]","",IFERROR(SUMPRODUCT((DATOS!$A$2:$A$20000=G404)*(DATOS!$G$2:$G$20000=CONFIG_METADATA!$B$4)*(COUNTIF(CONFIG_ASIGNATURAS!$B$7:$B$27,DATOS!$I$2:$I$20000)&gt;0)*(DATOS!$K$2:$K$20000))/SUMPRODUCT((DATOS!$A$2:$A$20000=G404)*(DATOS!$G$2:$G$20000=CONFIG_METADATA!$B$4)*(COUNTIF(CONFIG_ASIGNATURAS!$B$7:$B$27,DATOS!$I$2:$I$20000)&gt;0)*1),"")))</f>
        <v/>
      </c>
      <c r="N404" t="str">
        <f>IF(M404="","",IF(M404="[FÓRMULA MANUAL]","",IFERROR(AVERAGEIFS(DATOS!$K$2:$K$20000,DATOS!$A$2:$A$20000,M404,DATOS!$G$2:$G$20000,CONFIG_METADATA!$B$4,DATOS!$I$2:$I$20000,"Armonía"),"")))</f>
        <v/>
      </c>
      <c r="O404" t="str">
        <f>IF(M404="","",IF(M404="[FÓRMULA MANUAL]","",IFERROR(AVERAGEIFS(DATOS!$K$2:$K$20000,DATOS!$A$2:$A$20000,M404,DATOS!$G$2:$G$20000,CONFIG_METADATA!$B$4,DATOS!$I$2:$I$20000,"Orquesta/Banda/Conjunto"),"")))</f>
        <v/>
      </c>
      <c r="P404" t="str">
        <f>IF(M404="","",IF(M404="[FÓRMULA MANUAL]","",IFERROR(AVERAGEIFS(DATOS!$K$2:$K$20000,DATOS!$A$2:$A$20000,M404,DATOS!$G$2:$G$20000,CONFIG_METADATA!$B$4,DATOS!$I$2:$I$20000,"Música de Cámara"),"")))</f>
        <v/>
      </c>
      <c r="Q404" t="str">
        <f>IF(M404="","",IF(M404="[FÓRMULA MANUAL]","",IFERROR(SUMPRODUCT((DATOS!$A$2:$A$20000=M404)*(DATOS!$G$2:$G$20000=CONFIG_METADATA!$B$4)*(COUNTIF(CONFIG_ASIGNATURAS!$B$7:$B$27,DATOS!$I$2:$I$20000)&gt;0)*(DATOS!$K$2:$K$20000))/SUMPRODUCT((DATOS!$A$2:$A$20000=M404)*(DATOS!$G$2:$G$20000=CONFIG_METADATA!$B$4)*(COUNTIF(CONFIG_ASIGNATURAS!$B$7:$B$27,DATOS!$I$2:$I$20000)&gt;0)*1),"")))</f>
        <v/>
      </c>
      <c r="T404" t="str">
        <f>IF(S404="","",IF(S404="[FÓRMULA MANUAL]","",IFERROR(AVERAGEIFS(DATOS!$K$2:$K$20000,DATOS!$A$2:$A$20000,S404,DATOS!$G$2:$G$20000,CONFIG_METADATA!$B$4,DATOS!$I$2:$I$20000,"Armonía"),"")))</f>
        <v/>
      </c>
      <c r="U404" t="str">
        <f>IF(S404="","",IF(S404="[FÓRMULA MANUAL]","",IFERROR(AVERAGEIFS(DATOS!$K$2:$K$20000,DATOS!$A$2:$A$20000,S404,DATOS!$G$2:$G$20000,CONFIG_METADATA!$B$4,DATOS!$I$2:$I$20000,"Orquesta/Banda/Conjunto"),"")))</f>
        <v/>
      </c>
      <c r="V404" t="str">
        <f>IF(S404="","",IF(S404="[FÓRMULA MANUAL]","",IFERROR(AVERAGEIFS(DATOS!$K$2:$K$20000,DATOS!$A$2:$A$20000,S404,DATOS!$G$2:$G$20000,CONFIG_METADATA!$B$4,DATOS!$I$2:$I$20000,"Música de Cámara"),"")))</f>
        <v/>
      </c>
      <c r="W404" t="str">
        <f>IF(S404="","",IF(S404="[FÓRMULA MANUAL]","",IFERROR(SUMPRODUCT((DATOS!$A$2:$A$20000=S404)*(DATOS!$G$2:$G$20000=CONFIG_METADATA!$B$4)*(COUNTIF(CONFIG_ASIGNATURAS!$B$7:$B$27,DATOS!$I$2:$I$20000)&gt;0)*(DATOS!$K$2:$K$20000))/SUMPRODUCT((DATOS!$A$2:$A$20000=S404)*(DATOS!$G$2:$G$20000=CONFIG_METADATA!$B$4)*(COUNTIF(CONFIG_ASIGNATURAS!$B$7:$B$27,DATOS!$I$2:$I$20000)&gt;0)*1),"")))</f>
        <v/>
      </c>
      <c r="Z404" t="str">
        <f>IF(Y404="","",IF(Y404="[FÓRMULA MANUAL]","",IFERROR(AVERAGEIFS(DATOS!$K$2:$K$20000,DATOS!$A$2:$A$20000,Y404,DATOS!$G$2:$G$20000,CONFIG_METADATA!$B$4,DATOS!$I$2:$I$20000,"Análisis"),"")))</f>
        <v/>
      </c>
      <c r="AA404" t="str">
        <f>IF(Y404="","",IF(Y404="[FÓRMULA MANUAL]","",IFERROR(AVERAGEIFS(DATOS!$K$2:$K$20000,DATOS!$A$2:$A$20000,Y404,DATOS!$G$2:$G$20000,CONFIG_METADATA!$B$4,DATOS!$I$2:$I$20000,"Orquesta/Banda/Conjunto"),"")))</f>
        <v/>
      </c>
      <c r="AB404" t="str">
        <f>IF(Y404="","",IF(Y404="[FÓRMULA MANUAL]","",IFERROR(AVERAGEIFS(DATOS!$K$2:$K$20000,DATOS!$A$2:$A$20000,Y404,DATOS!$G$2:$G$20000,CONFIG_METADATA!$B$4,DATOS!$I$2:$I$20000,"Música de Cámara"),"")))</f>
        <v/>
      </c>
      <c r="AC404" t="str">
        <f>IF(Y404="","",IF(Y404="[FÓRMULA MANUAL]","",IFERROR(SUMPRODUCT((DATOS!$A$2:$A$20000=Y404)*(DATOS!$G$2:$G$20000=CONFIG_METADATA!$B$4)*(COUNTIF(CONFIG_ASIGNATURAS!$B$7:$B$27,DATOS!$I$2:$I$20000)&gt;0)*(DATOS!$K$2:$K$20000))/SUMPRODUCT((DATOS!$A$2:$A$20000=Y404)*(DATOS!$G$2:$G$20000=CONFIG_METADATA!$B$4)*(COUNTIF(CONFIG_ASIGNATURAS!$B$7:$B$27,DATOS!$I$2:$I$20000)&gt;0)*1),"")))</f>
        <v/>
      </c>
      <c r="AF404" t="str">
        <f>IF(AE404="","",IF(AE404="[FÓRMULA MANUAL]","",IFERROR(AVERAGEIFS(DATOS!$K$2:$K$20000,DATOS!$A$2:$A$20000,AE404,DATOS!$G$2:$G$20000,CONFIG_METADATA!$B$4,DATOS!$I$2:$I$20000,"Análisis"),"")))</f>
        <v/>
      </c>
      <c r="AG404" t="str">
        <f>IF(AE404="","",IF(AE404="[FÓRMULA MANUAL]","",IFERROR(AVERAGEIFS(DATOS!$K$2:$K$20000,DATOS!$A$2:$A$20000,AE404,DATOS!$G$2:$G$20000,CONFIG_METADATA!$B$4,DATOS!$I$2:$I$20000,"Orquesta/Banda/Conjunto"),"")))</f>
        <v/>
      </c>
      <c r="AH404" t="str">
        <f>IF(AE404="","",IF(AE404="[FÓRMULA MANUAL]","",IFERROR(AVERAGEIFS(DATOS!$K$2:$K$20000,DATOS!$A$2:$A$20000,AE404,DATOS!$G$2:$G$20000,CONFIG_METADATA!$B$4,DATOS!$I$2:$I$20000,"Música de Cámara"),"")))</f>
        <v/>
      </c>
      <c r="AI404" t="str">
        <f>IF(AE404="","",IF(AE404="[FÓRMULA MANUAL]","",IFERROR(SUMPRODUCT((DATOS!$A$2:$A$20000=AE404)*(DATOS!$G$2:$G$20000=CONFIG_METADATA!$B$4)*(COUNTIF(CONFIG_ASIGNATURAS!$B$7:$B$27,DATOS!$I$2:$I$20000)&gt;0)*(DATOS!$K$2:$K$20000))/SUMPRODUCT((DATOS!$A$2:$A$20000=AE404)*(DATOS!$G$2:$G$20000=CONFIG_METADATA!$B$4)*(COUNTIF(CONFIG_ASIGNATURAS!$B$7:$B$27,DATOS!$I$2:$I$20000)&gt;0)*1),"")))</f>
        <v/>
      </c>
    </row>
    <row r="405" spans="2:35" x14ac:dyDescent="0.2">
      <c r="B405" t="str">
        <f>IF(A405="","",IF(A405="[FÓRMULA MANUAL]","",IFERROR(AVERAGEIFS(DATOS!$K$2:$K$20000,DATOS!$A$2:$A$20000,A405,DATOS!$G$2:$G$20000,CONFIG_METADATA!$B$4,DATOS!$I$2:$I$20000,"Lenguaje Musical"),"")))</f>
        <v/>
      </c>
      <c r="C405" t="str">
        <f>IF(A405="","",IF(A405="[FÓRMULA MANUAL]","",IFERROR(AVERAGEIFS(DATOS!$K$2:$K$20000,DATOS!$A$2:$A$20000,A405,DATOS!$G$2:$G$20000,CONFIG_METADATA!$B$4,DATOS!$I$2:$I$20000,"Orquesta/Banda/Conjunto"),"")))</f>
        <v/>
      </c>
      <c r="D405" t="str">
        <f>IF(A405="","",IF(A405="[FÓRMULA MANUAL]","",IFERROR(AVERAGEIFS(DATOS!$K$2:$K$20000,DATOS!$A$2:$A$20000,A405,DATOS!$G$2:$G$20000,CONFIG_METADATA!$B$4,DATOS!$I$2:$I$20000,"Conjunto"),"")))</f>
        <v/>
      </c>
      <c r="E405" t="str">
        <f>IF(A405="","",IF(A405="[FÓRMULA MANUAL]","",IFERROR(SUMPRODUCT((DATOS!$A$2:$A$20000=A405)*(DATOS!$G$2:$G$20000=CONFIG_METADATA!$B$4)*(COUNTIF(CONFIG_ASIGNATURAS!$B$7:$B$27,DATOS!$I$2:$I$20000)&gt;0)*(DATOS!$K$2:$K$20000))/SUMPRODUCT((DATOS!$A$2:$A$20000=A405)*(DATOS!$G$2:$G$20000=CONFIG_METADATA!$B$4)*(COUNTIF(CONFIG_ASIGNATURAS!$B$7:$B$27,DATOS!$I$2:$I$20000)&gt;0)*1),"")))</f>
        <v/>
      </c>
      <c r="H405" t="str">
        <f>IF(G405="","",IF(G405="[FÓRMULA MANUAL]","",IFERROR(AVERAGEIFS(DATOS!$K$2:$K$20000,DATOS!$A$2:$A$20000,G405,DATOS!$G$2:$G$20000,CONFIG_METADATA!$B$4,DATOS!$I$2:$I$20000,"Lenguaje Musical"),"")))</f>
        <v/>
      </c>
      <c r="I405" t="str">
        <f>IF(G405="","",IF(G405="[FÓRMULA MANUAL]","",IFERROR(AVERAGEIFS(DATOS!$K$2:$K$20000,DATOS!$A$2:$A$20000,G405,DATOS!$G$2:$G$20000,CONFIG_METADATA!$B$4,DATOS!$I$2:$I$20000,"Orquesta/Banda/Conjunto"),"")))</f>
        <v/>
      </c>
      <c r="J405" t="str">
        <f>IF(G405="","",IF(G405="[FÓRMULA MANUAL]","",IFERROR(AVERAGEIFS(DATOS!$K$2:$K$20000,DATOS!$A$2:$A$20000,G405,DATOS!$G$2:$G$20000,CONFIG_METADATA!$B$4,DATOS!$I$2:$I$20000,"Conjunto"),"")))</f>
        <v/>
      </c>
      <c r="K405" t="str">
        <f>IF(G405="","",IF(G405="[FÓRMULA MANUAL]","",IFERROR(SUMPRODUCT((DATOS!$A$2:$A$20000=G405)*(DATOS!$G$2:$G$20000=CONFIG_METADATA!$B$4)*(COUNTIF(CONFIG_ASIGNATURAS!$B$7:$B$27,DATOS!$I$2:$I$20000)&gt;0)*(DATOS!$K$2:$K$20000))/SUMPRODUCT((DATOS!$A$2:$A$20000=G405)*(DATOS!$G$2:$G$20000=CONFIG_METADATA!$B$4)*(COUNTIF(CONFIG_ASIGNATURAS!$B$7:$B$27,DATOS!$I$2:$I$20000)&gt;0)*1),"")))</f>
        <v/>
      </c>
      <c r="N405" t="str">
        <f>IF(M405="","",IF(M405="[FÓRMULA MANUAL]","",IFERROR(AVERAGEIFS(DATOS!$K$2:$K$20000,DATOS!$A$2:$A$20000,M405,DATOS!$G$2:$G$20000,CONFIG_METADATA!$B$4,DATOS!$I$2:$I$20000,"Armonía"),"")))</f>
        <v/>
      </c>
      <c r="O405" t="str">
        <f>IF(M405="","",IF(M405="[FÓRMULA MANUAL]","",IFERROR(AVERAGEIFS(DATOS!$K$2:$K$20000,DATOS!$A$2:$A$20000,M405,DATOS!$G$2:$G$20000,CONFIG_METADATA!$B$4,DATOS!$I$2:$I$20000,"Orquesta/Banda/Conjunto"),"")))</f>
        <v/>
      </c>
      <c r="P405" t="str">
        <f>IF(M405="","",IF(M405="[FÓRMULA MANUAL]","",IFERROR(AVERAGEIFS(DATOS!$K$2:$K$20000,DATOS!$A$2:$A$20000,M405,DATOS!$G$2:$G$20000,CONFIG_METADATA!$B$4,DATOS!$I$2:$I$20000,"Música de Cámara"),"")))</f>
        <v/>
      </c>
      <c r="Q405" t="str">
        <f>IF(M405="","",IF(M405="[FÓRMULA MANUAL]","",IFERROR(SUMPRODUCT((DATOS!$A$2:$A$20000=M405)*(DATOS!$G$2:$G$20000=CONFIG_METADATA!$B$4)*(COUNTIF(CONFIG_ASIGNATURAS!$B$7:$B$27,DATOS!$I$2:$I$20000)&gt;0)*(DATOS!$K$2:$K$20000))/SUMPRODUCT((DATOS!$A$2:$A$20000=M405)*(DATOS!$G$2:$G$20000=CONFIG_METADATA!$B$4)*(COUNTIF(CONFIG_ASIGNATURAS!$B$7:$B$27,DATOS!$I$2:$I$20000)&gt;0)*1),"")))</f>
        <v/>
      </c>
      <c r="T405" t="str">
        <f>IF(S405="","",IF(S405="[FÓRMULA MANUAL]","",IFERROR(AVERAGEIFS(DATOS!$K$2:$K$20000,DATOS!$A$2:$A$20000,S405,DATOS!$G$2:$G$20000,CONFIG_METADATA!$B$4,DATOS!$I$2:$I$20000,"Armonía"),"")))</f>
        <v/>
      </c>
      <c r="U405" t="str">
        <f>IF(S405="","",IF(S405="[FÓRMULA MANUAL]","",IFERROR(AVERAGEIFS(DATOS!$K$2:$K$20000,DATOS!$A$2:$A$20000,S405,DATOS!$G$2:$G$20000,CONFIG_METADATA!$B$4,DATOS!$I$2:$I$20000,"Orquesta/Banda/Conjunto"),"")))</f>
        <v/>
      </c>
      <c r="V405" t="str">
        <f>IF(S405="","",IF(S405="[FÓRMULA MANUAL]","",IFERROR(AVERAGEIFS(DATOS!$K$2:$K$20000,DATOS!$A$2:$A$20000,S405,DATOS!$G$2:$G$20000,CONFIG_METADATA!$B$4,DATOS!$I$2:$I$20000,"Música de Cámara"),"")))</f>
        <v/>
      </c>
      <c r="W405" t="str">
        <f>IF(S405="","",IF(S405="[FÓRMULA MANUAL]","",IFERROR(SUMPRODUCT((DATOS!$A$2:$A$20000=S405)*(DATOS!$G$2:$G$20000=CONFIG_METADATA!$B$4)*(COUNTIF(CONFIG_ASIGNATURAS!$B$7:$B$27,DATOS!$I$2:$I$20000)&gt;0)*(DATOS!$K$2:$K$20000))/SUMPRODUCT((DATOS!$A$2:$A$20000=S405)*(DATOS!$G$2:$G$20000=CONFIG_METADATA!$B$4)*(COUNTIF(CONFIG_ASIGNATURAS!$B$7:$B$27,DATOS!$I$2:$I$20000)&gt;0)*1),"")))</f>
        <v/>
      </c>
      <c r="Z405" t="str">
        <f>IF(Y405="","",IF(Y405="[FÓRMULA MANUAL]","",IFERROR(AVERAGEIFS(DATOS!$K$2:$K$20000,DATOS!$A$2:$A$20000,Y405,DATOS!$G$2:$G$20000,CONFIG_METADATA!$B$4,DATOS!$I$2:$I$20000,"Análisis"),"")))</f>
        <v/>
      </c>
      <c r="AA405" t="str">
        <f>IF(Y405="","",IF(Y405="[FÓRMULA MANUAL]","",IFERROR(AVERAGEIFS(DATOS!$K$2:$K$20000,DATOS!$A$2:$A$20000,Y405,DATOS!$G$2:$G$20000,CONFIG_METADATA!$B$4,DATOS!$I$2:$I$20000,"Orquesta/Banda/Conjunto"),"")))</f>
        <v/>
      </c>
      <c r="AB405" t="str">
        <f>IF(Y405="","",IF(Y405="[FÓRMULA MANUAL]","",IFERROR(AVERAGEIFS(DATOS!$K$2:$K$20000,DATOS!$A$2:$A$20000,Y405,DATOS!$G$2:$G$20000,CONFIG_METADATA!$B$4,DATOS!$I$2:$I$20000,"Música de Cámara"),"")))</f>
        <v/>
      </c>
      <c r="AC405" t="str">
        <f>IF(Y405="","",IF(Y405="[FÓRMULA MANUAL]","",IFERROR(SUMPRODUCT((DATOS!$A$2:$A$20000=Y405)*(DATOS!$G$2:$G$20000=CONFIG_METADATA!$B$4)*(COUNTIF(CONFIG_ASIGNATURAS!$B$7:$B$27,DATOS!$I$2:$I$20000)&gt;0)*(DATOS!$K$2:$K$20000))/SUMPRODUCT((DATOS!$A$2:$A$20000=Y405)*(DATOS!$G$2:$G$20000=CONFIG_METADATA!$B$4)*(COUNTIF(CONFIG_ASIGNATURAS!$B$7:$B$27,DATOS!$I$2:$I$20000)&gt;0)*1),"")))</f>
        <v/>
      </c>
      <c r="AF405" t="str">
        <f>IF(AE405="","",IF(AE405="[FÓRMULA MANUAL]","",IFERROR(AVERAGEIFS(DATOS!$K$2:$K$20000,DATOS!$A$2:$A$20000,AE405,DATOS!$G$2:$G$20000,CONFIG_METADATA!$B$4,DATOS!$I$2:$I$20000,"Análisis"),"")))</f>
        <v/>
      </c>
      <c r="AG405" t="str">
        <f>IF(AE405="","",IF(AE405="[FÓRMULA MANUAL]","",IFERROR(AVERAGEIFS(DATOS!$K$2:$K$20000,DATOS!$A$2:$A$20000,AE405,DATOS!$G$2:$G$20000,CONFIG_METADATA!$B$4,DATOS!$I$2:$I$20000,"Orquesta/Banda/Conjunto"),"")))</f>
        <v/>
      </c>
      <c r="AH405" t="str">
        <f>IF(AE405="","",IF(AE405="[FÓRMULA MANUAL]","",IFERROR(AVERAGEIFS(DATOS!$K$2:$K$20000,DATOS!$A$2:$A$20000,AE405,DATOS!$G$2:$G$20000,CONFIG_METADATA!$B$4,DATOS!$I$2:$I$20000,"Música de Cámara"),"")))</f>
        <v/>
      </c>
      <c r="AI405" t="str">
        <f>IF(AE405="","",IF(AE405="[FÓRMULA MANUAL]","",IFERROR(SUMPRODUCT((DATOS!$A$2:$A$20000=AE405)*(DATOS!$G$2:$G$20000=CONFIG_METADATA!$B$4)*(COUNTIF(CONFIG_ASIGNATURAS!$B$7:$B$27,DATOS!$I$2:$I$20000)&gt;0)*(DATOS!$K$2:$K$20000))/SUMPRODUCT((DATOS!$A$2:$A$20000=AE405)*(DATOS!$G$2:$G$20000=CONFIG_METADATA!$B$4)*(COUNTIF(CONFIG_ASIGNATURAS!$B$7:$B$27,DATOS!$I$2:$I$20000)&gt;0)*1),"")))</f>
        <v/>
      </c>
    </row>
    <row r="406" spans="2:35" x14ac:dyDescent="0.2">
      <c r="B406" t="str">
        <f>IF(A406="","",IF(A406="[FÓRMULA MANUAL]","",IFERROR(AVERAGEIFS(DATOS!$K$2:$K$20000,DATOS!$A$2:$A$20000,A406,DATOS!$G$2:$G$20000,CONFIG_METADATA!$B$4,DATOS!$I$2:$I$20000,"Lenguaje Musical"),"")))</f>
        <v/>
      </c>
      <c r="C406" t="str">
        <f>IF(A406="","",IF(A406="[FÓRMULA MANUAL]","",IFERROR(AVERAGEIFS(DATOS!$K$2:$K$20000,DATOS!$A$2:$A$20000,A406,DATOS!$G$2:$G$20000,CONFIG_METADATA!$B$4,DATOS!$I$2:$I$20000,"Orquesta/Banda/Conjunto"),"")))</f>
        <v/>
      </c>
      <c r="D406" t="str">
        <f>IF(A406="","",IF(A406="[FÓRMULA MANUAL]","",IFERROR(AVERAGEIFS(DATOS!$K$2:$K$20000,DATOS!$A$2:$A$20000,A406,DATOS!$G$2:$G$20000,CONFIG_METADATA!$B$4,DATOS!$I$2:$I$20000,"Conjunto"),"")))</f>
        <v/>
      </c>
      <c r="E406" t="str">
        <f>IF(A406="","",IF(A406="[FÓRMULA MANUAL]","",IFERROR(SUMPRODUCT((DATOS!$A$2:$A$20000=A406)*(DATOS!$G$2:$G$20000=CONFIG_METADATA!$B$4)*(COUNTIF(CONFIG_ASIGNATURAS!$B$7:$B$27,DATOS!$I$2:$I$20000)&gt;0)*(DATOS!$K$2:$K$20000))/SUMPRODUCT((DATOS!$A$2:$A$20000=A406)*(DATOS!$G$2:$G$20000=CONFIG_METADATA!$B$4)*(COUNTIF(CONFIG_ASIGNATURAS!$B$7:$B$27,DATOS!$I$2:$I$20000)&gt;0)*1),"")))</f>
        <v/>
      </c>
      <c r="H406" t="str">
        <f>IF(G406="","",IF(G406="[FÓRMULA MANUAL]","",IFERROR(AVERAGEIFS(DATOS!$K$2:$K$20000,DATOS!$A$2:$A$20000,G406,DATOS!$G$2:$G$20000,CONFIG_METADATA!$B$4,DATOS!$I$2:$I$20000,"Lenguaje Musical"),"")))</f>
        <v/>
      </c>
      <c r="I406" t="str">
        <f>IF(G406="","",IF(G406="[FÓRMULA MANUAL]","",IFERROR(AVERAGEIFS(DATOS!$K$2:$K$20000,DATOS!$A$2:$A$20000,G406,DATOS!$G$2:$G$20000,CONFIG_METADATA!$B$4,DATOS!$I$2:$I$20000,"Orquesta/Banda/Conjunto"),"")))</f>
        <v/>
      </c>
      <c r="J406" t="str">
        <f>IF(G406="","",IF(G406="[FÓRMULA MANUAL]","",IFERROR(AVERAGEIFS(DATOS!$K$2:$K$20000,DATOS!$A$2:$A$20000,G406,DATOS!$G$2:$G$20000,CONFIG_METADATA!$B$4,DATOS!$I$2:$I$20000,"Conjunto"),"")))</f>
        <v/>
      </c>
      <c r="K406" t="str">
        <f>IF(G406="","",IF(G406="[FÓRMULA MANUAL]","",IFERROR(SUMPRODUCT((DATOS!$A$2:$A$20000=G406)*(DATOS!$G$2:$G$20000=CONFIG_METADATA!$B$4)*(COUNTIF(CONFIG_ASIGNATURAS!$B$7:$B$27,DATOS!$I$2:$I$20000)&gt;0)*(DATOS!$K$2:$K$20000))/SUMPRODUCT((DATOS!$A$2:$A$20000=G406)*(DATOS!$G$2:$G$20000=CONFIG_METADATA!$B$4)*(COUNTIF(CONFIG_ASIGNATURAS!$B$7:$B$27,DATOS!$I$2:$I$20000)&gt;0)*1),"")))</f>
        <v/>
      </c>
      <c r="N406" t="str">
        <f>IF(M406="","",IF(M406="[FÓRMULA MANUAL]","",IFERROR(AVERAGEIFS(DATOS!$K$2:$K$20000,DATOS!$A$2:$A$20000,M406,DATOS!$G$2:$G$20000,CONFIG_METADATA!$B$4,DATOS!$I$2:$I$20000,"Armonía"),"")))</f>
        <v/>
      </c>
      <c r="O406" t="str">
        <f>IF(M406="","",IF(M406="[FÓRMULA MANUAL]","",IFERROR(AVERAGEIFS(DATOS!$K$2:$K$20000,DATOS!$A$2:$A$20000,M406,DATOS!$G$2:$G$20000,CONFIG_METADATA!$B$4,DATOS!$I$2:$I$20000,"Orquesta/Banda/Conjunto"),"")))</f>
        <v/>
      </c>
      <c r="P406" t="str">
        <f>IF(M406="","",IF(M406="[FÓRMULA MANUAL]","",IFERROR(AVERAGEIFS(DATOS!$K$2:$K$20000,DATOS!$A$2:$A$20000,M406,DATOS!$G$2:$G$20000,CONFIG_METADATA!$B$4,DATOS!$I$2:$I$20000,"Música de Cámara"),"")))</f>
        <v/>
      </c>
      <c r="Q406" t="str">
        <f>IF(M406="","",IF(M406="[FÓRMULA MANUAL]","",IFERROR(SUMPRODUCT((DATOS!$A$2:$A$20000=M406)*(DATOS!$G$2:$G$20000=CONFIG_METADATA!$B$4)*(COUNTIF(CONFIG_ASIGNATURAS!$B$7:$B$27,DATOS!$I$2:$I$20000)&gt;0)*(DATOS!$K$2:$K$20000))/SUMPRODUCT((DATOS!$A$2:$A$20000=M406)*(DATOS!$G$2:$G$20000=CONFIG_METADATA!$B$4)*(COUNTIF(CONFIG_ASIGNATURAS!$B$7:$B$27,DATOS!$I$2:$I$20000)&gt;0)*1),"")))</f>
        <v/>
      </c>
      <c r="T406" t="str">
        <f>IF(S406="","",IF(S406="[FÓRMULA MANUAL]","",IFERROR(AVERAGEIFS(DATOS!$K$2:$K$20000,DATOS!$A$2:$A$20000,S406,DATOS!$G$2:$G$20000,CONFIG_METADATA!$B$4,DATOS!$I$2:$I$20000,"Armonía"),"")))</f>
        <v/>
      </c>
      <c r="U406" t="str">
        <f>IF(S406="","",IF(S406="[FÓRMULA MANUAL]","",IFERROR(AVERAGEIFS(DATOS!$K$2:$K$20000,DATOS!$A$2:$A$20000,S406,DATOS!$G$2:$G$20000,CONFIG_METADATA!$B$4,DATOS!$I$2:$I$20000,"Orquesta/Banda/Conjunto"),"")))</f>
        <v/>
      </c>
      <c r="V406" t="str">
        <f>IF(S406="","",IF(S406="[FÓRMULA MANUAL]","",IFERROR(AVERAGEIFS(DATOS!$K$2:$K$20000,DATOS!$A$2:$A$20000,S406,DATOS!$G$2:$G$20000,CONFIG_METADATA!$B$4,DATOS!$I$2:$I$20000,"Música de Cámara"),"")))</f>
        <v/>
      </c>
      <c r="W406" t="str">
        <f>IF(S406="","",IF(S406="[FÓRMULA MANUAL]","",IFERROR(SUMPRODUCT((DATOS!$A$2:$A$20000=S406)*(DATOS!$G$2:$G$20000=CONFIG_METADATA!$B$4)*(COUNTIF(CONFIG_ASIGNATURAS!$B$7:$B$27,DATOS!$I$2:$I$20000)&gt;0)*(DATOS!$K$2:$K$20000))/SUMPRODUCT((DATOS!$A$2:$A$20000=S406)*(DATOS!$G$2:$G$20000=CONFIG_METADATA!$B$4)*(COUNTIF(CONFIG_ASIGNATURAS!$B$7:$B$27,DATOS!$I$2:$I$20000)&gt;0)*1),"")))</f>
        <v/>
      </c>
      <c r="Z406" t="str">
        <f>IF(Y406="","",IF(Y406="[FÓRMULA MANUAL]","",IFERROR(AVERAGEIFS(DATOS!$K$2:$K$20000,DATOS!$A$2:$A$20000,Y406,DATOS!$G$2:$G$20000,CONFIG_METADATA!$B$4,DATOS!$I$2:$I$20000,"Análisis"),"")))</f>
        <v/>
      </c>
      <c r="AA406" t="str">
        <f>IF(Y406="","",IF(Y406="[FÓRMULA MANUAL]","",IFERROR(AVERAGEIFS(DATOS!$K$2:$K$20000,DATOS!$A$2:$A$20000,Y406,DATOS!$G$2:$G$20000,CONFIG_METADATA!$B$4,DATOS!$I$2:$I$20000,"Orquesta/Banda/Conjunto"),"")))</f>
        <v/>
      </c>
      <c r="AB406" t="str">
        <f>IF(Y406="","",IF(Y406="[FÓRMULA MANUAL]","",IFERROR(AVERAGEIFS(DATOS!$K$2:$K$20000,DATOS!$A$2:$A$20000,Y406,DATOS!$G$2:$G$20000,CONFIG_METADATA!$B$4,DATOS!$I$2:$I$20000,"Música de Cámara"),"")))</f>
        <v/>
      </c>
      <c r="AC406" t="str">
        <f>IF(Y406="","",IF(Y406="[FÓRMULA MANUAL]","",IFERROR(SUMPRODUCT((DATOS!$A$2:$A$20000=Y406)*(DATOS!$G$2:$G$20000=CONFIG_METADATA!$B$4)*(COUNTIF(CONFIG_ASIGNATURAS!$B$7:$B$27,DATOS!$I$2:$I$20000)&gt;0)*(DATOS!$K$2:$K$20000))/SUMPRODUCT((DATOS!$A$2:$A$20000=Y406)*(DATOS!$G$2:$G$20000=CONFIG_METADATA!$B$4)*(COUNTIF(CONFIG_ASIGNATURAS!$B$7:$B$27,DATOS!$I$2:$I$20000)&gt;0)*1),"")))</f>
        <v/>
      </c>
      <c r="AF406" t="str">
        <f>IF(AE406="","",IF(AE406="[FÓRMULA MANUAL]","",IFERROR(AVERAGEIFS(DATOS!$K$2:$K$20000,DATOS!$A$2:$A$20000,AE406,DATOS!$G$2:$G$20000,CONFIG_METADATA!$B$4,DATOS!$I$2:$I$20000,"Análisis"),"")))</f>
        <v/>
      </c>
      <c r="AG406" t="str">
        <f>IF(AE406="","",IF(AE406="[FÓRMULA MANUAL]","",IFERROR(AVERAGEIFS(DATOS!$K$2:$K$20000,DATOS!$A$2:$A$20000,AE406,DATOS!$G$2:$G$20000,CONFIG_METADATA!$B$4,DATOS!$I$2:$I$20000,"Orquesta/Banda/Conjunto"),"")))</f>
        <v/>
      </c>
      <c r="AH406" t="str">
        <f>IF(AE406="","",IF(AE406="[FÓRMULA MANUAL]","",IFERROR(AVERAGEIFS(DATOS!$K$2:$K$20000,DATOS!$A$2:$A$20000,AE406,DATOS!$G$2:$G$20000,CONFIG_METADATA!$B$4,DATOS!$I$2:$I$20000,"Música de Cámara"),"")))</f>
        <v/>
      </c>
      <c r="AI406" t="str">
        <f>IF(AE406="","",IF(AE406="[FÓRMULA MANUAL]","",IFERROR(SUMPRODUCT((DATOS!$A$2:$A$20000=AE406)*(DATOS!$G$2:$G$20000=CONFIG_METADATA!$B$4)*(COUNTIF(CONFIG_ASIGNATURAS!$B$7:$B$27,DATOS!$I$2:$I$20000)&gt;0)*(DATOS!$K$2:$K$20000))/SUMPRODUCT((DATOS!$A$2:$A$20000=AE406)*(DATOS!$G$2:$G$20000=CONFIG_METADATA!$B$4)*(COUNTIF(CONFIG_ASIGNATURAS!$B$7:$B$27,DATOS!$I$2:$I$20000)&gt;0)*1),"")))</f>
        <v/>
      </c>
    </row>
    <row r="407" spans="2:35" x14ac:dyDescent="0.2">
      <c r="B407" t="str">
        <f>IF(A407="","",IF(A407="[FÓRMULA MANUAL]","",IFERROR(AVERAGEIFS(DATOS!$K$2:$K$20000,DATOS!$A$2:$A$20000,A407,DATOS!$G$2:$G$20000,CONFIG_METADATA!$B$4,DATOS!$I$2:$I$20000,"Lenguaje Musical"),"")))</f>
        <v/>
      </c>
      <c r="C407" t="str">
        <f>IF(A407="","",IF(A407="[FÓRMULA MANUAL]","",IFERROR(AVERAGEIFS(DATOS!$K$2:$K$20000,DATOS!$A$2:$A$20000,A407,DATOS!$G$2:$G$20000,CONFIG_METADATA!$B$4,DATOS!$I$2:$I$20000,"Orquesta/Banda/Conjunto"),"")))</f>
        <v/>
      </c>
      <c r="D407" t="str">
        <f>IF(A407="","",IF(A407="[FÓRMULA MANUAL]","",IFERROR(AVERAGEIFS(DATOS!$K$2:$K$20000,DATOS!$A$2:$A$20000,A407,DATOS!$G$2:$G$20000,CONFIG_METADATA!$B$4,DATOS!$I$2:$I$20000,"Conjunto"),"")))</f>
        <v/>
      </c>
      <c r="E407" t="str">
        <f>IF(A407="","",IF(A407="[FÓRMULA MANUAL]","",IFERROR(SUMPRODUCT((DATOS!$A$2:$A$20000=A407)*(DATOS!$G$2:$G$20000=CONFIG_METADATA!$B$4)*(COUNTIF(CONFIG_ASIGNATURAS!$B$7:$B$27,DATOS!$I$2:$I$20000)&gt;0)*(DATOS!$K$2:$K$20000))/SUMPRODUCT((DATOS!$A$2:$A$20000=A407)*(DATOS!$G$2:$G$20000=CONFIG_METADATA!$B$4)*(COUNTIF(CONFIG_ASIGNATURAS!$B$7:$B$27,DATOS!$I$2:$I$20000)&gt;0)*1),"")))</f>
        <v/>
      </c>
      <c r="H407" t="str">
        <f>IF(G407="","",IF(G407="[FÓRMULA MANUAL]","",IFERROR(AVERAGEIFS(DATOS!$K$2:$K$20000,DATOS!$A$2:$A$20000,G407,DATOS!$G$2:$G$20000,CONFIG_METADATA!$B$4,DATOS!$I$2:$I$20000,"Lenguaje Musical"),"")))</f>
        <v/>
      </c>
      <c r="I407" t="str">
        <f>IF(G407="","",IF(G407="[FÓRMULA MANUAL]","",IFERROR(AVERAGEIFS(DATOS!$K$2:$K$20000,DATOS!$A$2:$A$20000,G407,DATOS!$G$2:$G$20000,CONFIG_METADATA!$B$4,DATOS!$I$2:$I$20000,"Orquesta/Banda/Conjunto"),"")))</f>
        <v/>
      </c>
      <c r="J407" t="str">
        <f>IF(G407="","",IF(G407="[FÓRMULA MANUAL]","",IFERROR(AVERAGEIFS(DATOS!$K$2:$K$20000,DATOS!$A$2:$A$20000,G407,DATOS!$G$2:$G$20000,CONFIG_METADATA!$B$4,DATOS!$I$2:$I$20000,"Conjunto"),"")))</f>
        <v/>
      </c>
      <c r="K407" t="str">
        <f>IF(G407="","",IF(G407="[FÓRMULA MANUAL]","",IFERROR(SUMPRODUCT((DATOS!$A$2:$A$20000=G407)*(DATOS!$G$2:$G$20000=CONFIG_METADATA!$B$4)*(COUNTIF(CONFIG_ASIGNATURAS!$B$7:$B$27,DATOS!$I$2:$I$20000)&gt;0)*(DATOS!$K$2:$K$20000))/SUMPRODUCT((DATOS!$A$2:$A$20000=G407)*(DATOS!$G$2:$G$20000=CONFIG_METADATA!$B$4)*(COUNTIF(CONFIG_ASIGNATURAS!$B$7:$B$27,DATOS!$I$2:$I$20000)&gt;0)*1),"")))</f>
        <v/>
      </c>
      <c r="N407" t="str">
        <f>IF(M407="","",IF(M407="[FÓRMULA MANUAL]","",IFERROR(AVERAGEIFS(DATOS!$K$2:$K$20000,DATOS!$A$2:$A$20000,M407,DATOS!$G$2:$G$20000,CONFIG_METADATA!$B$4,DATOS!$I$2:$I$20000,"Armonía"),"")))</f>
        <v/>
      </c>
      <c r="O407" t="str">
        <f>IF(M407="","",IF(M407="[FÓRMULA MANUAL]","",IFERROR(AVERAGEIFS(DATOS!$K$2:$K$20000,DATOS!$A$2:$A$20000,M407,DATOS!$G$2:$G$20000,CONFIG_METADATA!$B$4,DATOS!$I$2:$I$20000,"Orquesta/Banda/Conjunto"),"")))</f>
        <v/>
      </c>
      <c r="P407" t="str">
        <f>IF(M407="","",IF(M407="[FÓRMULA MANUAL]","",IFERROR(AVERAGEIFS(DATOS!$K$2:$K$20000,DATOS!$A$2:$A$20000,M407,DATOS!$G$2:$G$20000,CONFIG_METADATA!$B$4,DATOS!$I$2:$I$20000,"Música de Cámara"),"")))</f>
        <v/>
      </c>
      <c r="Q407" t="str">
        <f>IF(M407="","",IF(M407="[FÓRMULA MANUAL]","",IFERROR(SUMPRODUCT((DATOS!$A$2:$A$20000=M407)*(DATOS!$G$2:$G$20000=CONFIG_METADATA!$B$4)*(COUNTIF(CONFIG_ASIGNATURAS!$B$7:$B$27,DATOS!$I$2:$I$20000)&gt;0)*(DATOS!$K$2:$K$20000))/SUMPRODUCT((DATOS!$A$2:$A$20000=M407)*(DATOS!$G$2:$G$20000=CONFIG_METADATA!$B$4)*(COUNTIF(CONFIG_ASIGNATURAS!$B$7:$B$27,DATOS!$I$2:$I$20000)&gt;0)*1),"")))</f>
        <v/>
      </c>
      <c r="T407" t="str">
        <f>IF(S407="","",IF(S407="[FÓRMULA MANUAL]","",IFERROR(AVERAGEIFS(DATOS!$K$2:$K$20000,DATOS!$A$2:$A$20000,S407,DATOS!$G$2:$G$20000,CONFIG_METADATA!$B$4,DATOS!$I$2:$I$20000,"Armonía"),"")))</f>
        <v/>
      </c>
      <c r="U407" t="str">
        <f>IF(S407="","",IF(S407="[FÓRMULA MANUAL]","",IFERROR(AVERAGEIFS(DATOS!$K$2:$K$20000,DATOS!$A$2:$A$20000,S407,DATOS!$G$2:$G$20000,CONFIG_METADATA!$B$4,DATOS!$I$2:$I$20000,"Orquesta/Banda/Conjunto"),"")))</f>
        <v/>
      </c>
      <c r="V407" t="str">
        <f>IF(S407="","",IF(S407="[FÓRMULA MANUAL]","",IFERROR(AVERAGEIFS(DATOS!$K$2:$K$20000,DATOS!$A$2:$A$20000,S407,DATOS!$G$2:$G$20000,CONFIG_METADATA!$B$4,DATOS!$I$2:$I$20000,"Música de Cámara"),"")))</f>
        <v/>
      </c>
      <c r="W407" t="str">
        <f>IF(S407="","",IF(S407="[FÓRMULA MANUAL]","",IFERROR(SUMPRODUCT((DATOS!$A$2:$A$20000=S407)*(DATOS!$G$2:$G$20000=CONFIG_METADATA!$B$4)*(COUNTIF(CONFIG_ASIGNATURAS!$B$7:$B$27,DATOS!$I$2:$I$20000)&gt;0)*(DATOS!$K$2:$K$20000))/SUMPRODUCT((DATOS!$A$2:$A$20000=S407)*(DATOS!$G$2:$G$20000=CONFIG_METADATA!$B$4)*(COUNTIF(CONFIG_ASIGNATURAS!$B$7:$B$27,DATOS!$I$2:$I$20000)&gt;0)*1),"")))</f>
        <v/>
      </c>
      <c r="Z407" t="str">
        <f>IF(Y407="","",IF(Y407="[FÓRMULA MANUAL]","",IFERROR(AVERAGEIFS(DATOS!$K$2:$K$20000,DATOS!$A$2:$A$20000,Y407,DATOS!$G$2:$G$20000,CONFIG_METADATA!$B$4,DATOS!$I$2:$I$20000,"Análisis"),"")))</f>
        <v/>
      </c>
      <c r="AA407" t="str">
        <f>IF(Y407="","",IF(Y407="[FÓRMULA MANUAL]","",IFERROR(AVERAGEIFS(DATOS!$K$2:$K$20000,DATOS!$A$2:$A$20000,Y407,DATOS!$G$2:$G$20000,CONFIG_METADATA!$B$4,DATOS!$I$2:$I$20000,"Orquesta/Banda/Conjunto"),"")))</f>
        <v/>
      </c>
      <c r="AB407" t="str">
        <f>IF(Y407="","",IF(Y407="[FÓRMULA MANUAL]","",IFERROR(AVERAGEIFS(DATOS!$K$2:$K$20000,DATOS!$A$2:$A$20000,Y407,DATOS!$G$2:$G$20000,CONFIG_METADATA!$B$4,DATOS!$I$2:$I$20000,"Música de Cámara"),"")))</f>
        <v/>
      </c>
      <c r="AC407" t="str">
        <f>IF(Y407="","",IF(Y407="[FÓRMULA MANUAL]","",IFERROR(SUMPRODUCT((DATOS!$A$2:$A$20000=Y407)*(DATOS!$G$2:$G$20000=CONFIG_METADATA!$B$4)*(COUNTIF(CONFIG_ASIGNATURAS!$B$7:$B$27,DATOS!$I$2:$I$20000)&gt;0)*(DATOS!$K$2:$K$20000))/SUMPRODUCT((DATOS!$A$2:$A$20000=Y407)*(DATOS!$G$2:$G$20000=CONFIG_METADATA!$B$4)*(COUNTIF(CONFIG_ASIGNATURAS!$B$7:$B$27,DATOS!$I$2:$I$20000)&gt;0)*1),"")))</f>
        <v/>
      </c>
      <c r="AF407" t="str">
        <f>IF(AE407="","",IF(AE407="[FÓRMULA MANUAL]","",IFERROR(AVERAGEIFS(DATOS!$K$2:$K$20000,DATOS!$A$2:$A$20000,AE407,DATOS!$G$2:$G$20000,CONFIG_METADATA!$B$4,DATOS!$I$2:$I$20000,"Análisis"),"")))</f>
        <v/>
      </c>
      <c r="AG407" t="str">
        <f>IF(AE407="","",IF(AE407="[FÓRMULA MANUAL]","",IFERROR(AVERAGEIFS(DATOS!$K$2:$K$20000,DATOS!$A$2:$A$20000,AE407,DATOS!$G$2:$G$20000,CONFIG_METADATA!$B$4,DATOS!$I$2:$I$20000,"Orquesta/Banda/Conjunto"),"")))</f>
        <v/>
      </c>
      <c r="AH407" t="str">
        <f>IF(AE407="","",IF(AE407="[FÓRMULA MANUAL]","",IFERROR(AVERAGEIFS(DATOS!$K$2:$K$20000,DATOS!$A$2:$A$20000,AE407,DATOS!$G$2:$G$20000,CONFIG_METADATA!$B$4,DATOS!$I$2:$I$20000,"Música de Cámara"),"")))</f>
        <v/>
      </c>
      <c r="AI407" t="str">
        <f>IF(AE407="","",IF(AE407="[FÓRMULA MANUAL]","",IFERROR(SUMPRODUCT((DATOS!$A$2:$A$20000=AE407)*(DATOS!$G$2:$G$20000=CONFIG_METADATA!$B$4)*(COUNTIF(CONFIG_ASIGNATURAS!$B$7:$B$27,DATOS!$I$2:$I$20000)&gt;0)*(DATOS!$K$2:$K$20000))/SUMPRODUCT((DATOS!$A$2:$A$20000=AE407)*(DATOS!$G$2:$G$20000=CONFIG_METADATA!$B$4)*(COUNTIF(CONFIG_ASIGNATURAS!$B$7:$B$27,DATOS!$I$2:$I$20000)&gt;0)*1),"")))</f>
        <v/>
      </c>
    </row>
    <row r="408" spans="2:35" x14ac:dyDescent="0.2">
      <c r="B408" t="str">
        <f>IF(A408="","",IF(A408="[FÓRMULA MANUAL]","",IFERROR(AVERAGEIFS(DATOS!$K$2:$K$20000,DATOS!$A$2:$A$20000,A408,DATOS!$G$2:$G$20000,CONFIG_METADATA!$B$4,DATOS!$I$2:$I$20000,"Lenguaje Musical"),"")))</f>
        <v/>
      </c>
      <c r="C408" t="str">
        <f>IF(A408="","",IF(A408="[FÓRMULA MANUAL]","",IFERROR(AVERAGEIFS(DATOS!$K$2:$K$20000,DATOS!$A$2:$A$20000,A408,DATOS!$G$2:$G$20000,CONFIG_METADATA!$B$4,DATOS!$I$2:$I$20000,"Orquesta/Banda/Conjunto"),"")))</f>
        <v/>
      </c>
      <c r="D408" t="str">
        <f>IF(A408="","",IF(A408="[FÓRMULA MANUAL]","",IFERROR(AVERAGEIFS(DATOS!$K$2:$K$20000,DATOS!$A$2:$A$20000,A408,DATOS!$G$2:$G$20000,CONFIG_METADATA!$B$4,DATOS!$I$2:$I$20000,"Conjunto"),"")))</f>
        <v/>
      </c>
      <c r="E408" t="str">
        <f>IF(A408="","",IF(A408="[FÓRMULA MANUAL]","",IFERROR(SUMPRODUCT((DATOS!$A$2:$A$20000=A408)*(DATOS!$G$2:$G$20000=CONFIG_METADATA!$B$4)*(COUNTIF(CONFIG_ASIGNATURAS!$B$7:$B$27,DATOS!$I$2:$I$20000)&gt;0)*(DATOS!$K$2:$K$20000))/SUMPRODUCT((DATOS!$A$2:$A$20000=A408)*(DATOS!$G$2:$G$20000=CONFIG_METADATA!$B$4)*(COUNTIF(CONFIG_ASIGNATURAS!$B$7:$B$27,DATOS!$I$2:$I$20000)&gt;0)*1),"")))</f>
        <v/>
      </c>
      <c r="H408" t="str">
        <f>IF(G408="","",IF(G408="[FÓRMULA MANUAL]","",IFERROR(AVERAGEIFS(DATOS!$K$2:$K$20000,DATOS!$A$2:$A$20000,G408,DATOS!$G$2:$G$20000,CONFIG_METADATA!$B$4,DATOS!$I$2:$I$20000,"Lenguaje Musical"),"")))</f>
        <v/>
      </c>
      <c r="I408" t="str">
        <f>IF(G408="","",IF(G408="[FÓRMULA MANUAL]","",IFERROR(AVERAGEIFS(DATOS!$K$2:$K$20000,DATOS!$A$2:$A$20000,G408,DATOS!$G$2:$G$20000,CONFIG_METADATA!$B$4,DATOS!$I$2:$I$20000,"Orquesta/Banda/Conjunto"),"")))</f>
        <v/>
      </c>
      <c r="J408" t="str">
        <f>IF(G408="","",IF(G408="[FÓRMULA MANUAL]","",IFERROR(AVERAGEIFS(DATOS!$K$2:$K$20000,DATOS!$A$2:$A$20000,G408,DATOS!$G$2:$G$20000,CONFIG_METADATA!$B$4,DATOS!$I$2:$I$20000,"Conjunto"),"")))</f>
        <v/>
      </c>
      <c r="K408" t="str">
        <f>IF(G408="","",IF(G408="[FÓRMULA MANUAL]","",IFERROR(SUMPRODUCT((DATOS!$A$2:$A$20000=G408)*(DATOS!$G$2:$G$20000=CONFIG_METADATA!$B$4)*(COUNTIF(CONFIG_ASIGNATURAS!$B$7:$B$27,DATOS!$I$2:$I$20000)&gt;0)*(DATOS!$K$2:$K$20000))/SUMPRODUCT((DATOS!$A$2:$A$20000=G408)*(DATOS!$G$2:$G$20000=CONFIG_METADATA!$B$4)*(COUNTIF(CONFIG_ASIGNATURAS!$B$7:$B$27,DATOS!$I$2:$I$20000)&gt;0)*1),"")))</f>
        <v/>
      </c>
      <c r="N408" t="str">
        <f>IF(M408="","",IF(M408="[FÓRMULA MANUAL]","",IFERROR(AVERAGEIFS(DATOS!$K$2:$K$20000,DATOS!$A$2:$A$20000,M408,DATOS!$G$2:$G$20000,CONFIG_METADATA!$B$4,DATOS!$I$2:$I$20000,"Armonía"),"")))</f>
        <v/>
      </c>
      <c r="O408" t="str">
        <f>IF(M408="","",IF(M408="[FÓRMULA MANUAL]","",IFERROR(AVERAGEIFS(DATOS!$K$2:$K$20000,DATOS!$A$2:$A$20000,M408,DATOS!$G$2:$G$20000,CONFIG_METADATA!$B$4,DATOS!$I$2:$I$20000,"Orquesta/Banda/Conjunto"),"")))</f>
        <v/>
      </c>
      <c r="P408" t="str">
        <f>IF(M408="","",IF(M408="[FÓRMULA MANUAL]","",IFERROR(AVERAGEIFS(DATOS!$K$2:$K$20000,DATOS!$A$2:$A$20000,M408,DATOS!$G$2:$G$20000,CONFIG_METADATA!$B$4,DATOS!$I$2:$I$20000,"Música de Cámara"),"")))</f>
        <v/>
      </c>
      <c r="Q408" t="str">
        <f>IF(M408="","",IF(M408="[FÓRMULA MANUAL]","",IFERROR(SUMPRODUCT((DATOS!$A$2:$A$20000=M408)*(DATOS!$G$2:$G$20000=CONFIG_METADATA!$B$4)*(COUNTIF(CONFIG_ASIGNATURAS!$B$7:$B$27,DATOS!$I$2:$I$20000)&gt;0)*(DATOS!$K$2:$K$20000))/SUMPRODUCT((DATOS!$A$2:$A$20000=M408)*(DATOS!$G$2:$G$20000=CONFIG_METADATA!$B$4)*(COUNTIF(CONFIG_ASIGNATURAS!$B$7:$B$27,DATOS!$I$2:$I$20000)&gt;0)*1),"")))</f>
        <v/>
      </c>
      <c r="T408" t="str">
        <f>IF(S408="","",IF(S408="[FÓRMULA MANUAL]","",IFERROR(AVERAGEIFS(DATOS!$K$2:$K$20000,DATOS!$A$2:$A$20000,S408,DATOS!$G$2:$G$20000,CONFIG_METADATA!$B$4,DATOS!$I$2:$I$20000,"Armonía"),"")))</f>
        <v/>
      </c>
      <c r="U408" t="str">
        <f>IF(S408="","",IF(S408="[FÓRMULA MANUAL]","",IFERROR(AVERAGEIFS(DATOS!$K$2:$K$20000,DATOS!$A$2:$A$20000,S408,DATOS!$G$2:$G$20000,CONFIG_METADATA!$B$4,DATOS!$I$2:$I$20000,"Orquesta/Banda/Conjunto"),"")))</f>
        <v/>
      </c>
      <c r="V408" t="str">
        <f>IF(S408="","",IF(S408="[FÓRMULA MANUAL]","",IFERROR(AVERAGEIFS(DATOS!$K$2:$K$20000,DATOS!$A$2:$A$20000,S408,DATOS!$G$2:$G$20000,CONFIG_METADATA!$B$4,DATOS!$I$2:$I$20000,"Música de Cámara"),"")))</f>
        <v/>
      </c>
      <c r="W408" t="str">
        <f>IF(S408="","",IF(S408="[FÓRMULA MANUAL]","",IFERROR(SUMPRODUCT((DATOS!$A$2:$A$20000=S408)*(DATOS!$G$2:$G$20000=CONFIG_METADATA!$B$4)*(COUNTIF(CONFIG_ASIGNATURAS!$B$7:$B$27,DATOS!$I$2:$I$20000)&gt;0)*(DATOS!$K$2:$K$20000))/SUMPRODUCT((DATOS!$A$2:$A$20000=S408)*(DATOS!$G$2:$G$20000=CONFIG_METADATA!$B$4)*(COUNTIF(CONFIG_ASIGNATURAS!$B$7:$B$27,DATOS!$I$2:$I$20000)&gt;0)*1),"")))</f>
        <v/>
      </c>
      <c r="Z408" t="str">
        <f>IF(Y408="","",IF(Y408="[FÓRMULA MANUAL]","",IFERROR(AVERAGEIFS(DATOS!$K$2:$K$20000,DATOS!$A$2:$A$20000,Y408,DATOS!$G$2:$G$20000,CONFIG_METADATA!$B$4,DATOS!$I$2:$I$20000,"Análisis"),"")))</f>
        <v/>
      </c>
      <c r="AA408" t="str">
        <f>IF(Y408="","",IF(Y408="[FÓRMULA MANUAL]","",IFERROR(AVERAGEIFS(DATOS!$K$2:$K$20000,DATOS!$A$2:$A$20000,Y408,DATOS!$G$2:$G$20000,CONFIG_METADATA!$B$4,DATOS!$I$2:$I$20000,"Orquesta/Banda/Conjunto"),"")))</f>
        <v/>
      </c>
      <c r="AB408" t="str">
        <f>IF(Y408="","",IF(Y408="[FÓRMULA MANUAL]","",IFERROR(AVERAGEIFS(DATOS!$K$2:$K$20000,DATOS!$A$2:$A$20000,Y408,DATOS!$G$2:$G$20000,CONFIG_METADATA!$B$4,DATOS!$I$2:$I$20000,"Música de Cámara"),"")))</f>
        <v/>
      </c>
      <c r="AC408" t="str">
        <f>IF(Y408="","",IF(Y408="[FÓRMULA MANUAL]","",IFERROR(SUMPRODUCT((DATOS!$A$2:$A$20000=Y408)*(DATOS!$G$2:$G$20000=CONFIG_METADATA!$B$4)*(COUNTIF(CONFIG_ASIGNATURAS!$B$7:$B$27,DATOS!$I$2:$I$20000)&gt;0)*(DATOS!$K$2:$K$20000))/SUMPRODUCT((DATOS!$A$2:$A$20000=Y408)*(DATOS!$G$2:$G$20000=CONFIG_METADATA!$B$4)*(COUNTIF(CONFIG_ASIGNATURAS!$B$7:$B$27,DATOS!$I$2:$I$20000)&gt;0)*1),"")))</f>
        <v/>
      </c>
      <c r="AF408" t="str">
        <f>IF(AE408="","",IF(AE408="[FÓRMULA MANUAL]","",IFERROR(AVERAGEIFS(DATOS!$K$2:$K$20000,DATOS!$A$2:$A$20000,AE408,DATOS!$G$2:$G$20000,CONFIG_METADATA!$B$4,DATOS!$I$2:$I$20000,"Análisis"),"")))</f>
        <v/>
      </c>
      <c r="AG408" t="str">
        <f>IF(AE408="","",IF(AE408="[FÓRMULA MANUAL]","",IFERROR(AVERAGEIFS(DATOS!$K$2:$K$20000,DATOS!$A$2:$A$20000,AE408,DATOS!$G$2:$G$20000,CONFIG_METADATA!$B$4,DATOS!$I$2:$I$20000,"Orquesta/Banda/Conjunto"),"")))</f>
        <v/>
      </c>
      <c r="AH408" t="str">
        <f>IF(AE408="","",IF(AE408="[FÓRMULA MANUAL]","",IFERROR(AVERAGEIFS(DATOS!$K$2:$K$20000,DATOS!$A$2:$A$20000,AE408,DATOS!$G$2:$G$20000,CONFIG_METADATA!$B$4,DATOS!$I$2:$I$20000,"Música de Cámara"),"")))</f>
        <v/>
      </c>
      <c r="AI408" t="str">
        <f>IF(AE408="","",IF(AE408="[FÓRMULA MANUAL]","",IFERROR(SUMPRODUCT((DATOS!$A$2:$A$20000=AE408)*(DATOS!$G$2:$G$20000=CONFIG_METADATA!$B$4)*(COUNTIF(CONFIG_ASIGNATURAS!$B$7:$B$27,DATOS!$I$2:$I$20000)&gt;0)*(DATOS!$K$2:$K$20000))/SUMPRODUCT((DATOS!$A$2:$A$20000=AE408)*(DATOS!$G$2:$G$20000=CONFIG_METADATA!$B$4)*(COUNTIF(CONFIG_ASIGNATURAS!$B$7:$B$27,DATOS!$I$2:$I$20000)&gt;0)*1),"")))</f>
        <v/>
      </c>
    </row>
    <row r="409" spans="2:35" x14ac:dyDescent="0.2">
      <c r="B409" t="str">
        <f>IF(A409="","",IF(A409="[FÓRMULA MANUAL]","",IFERROR(AVERAGEIFS(DATOS!$K$2:$K$20000,DATOS!$A$2:$A$20000,A409,DATOS!$G$2:$G$20000,CONFIG_METADATA!$B$4,DATOS!$I$2:$I$20000,"Lenguaje Musical"),"")))</f>
        <v/>
      </c>
      <c r="C409" t="str">
        <f>IF(A409="","",IF(A409="[FÓRMULA MANUAL]","",IFERROR(AVERAGEIFS(DATOS!$K$2:$K$20000,DATOS!$A$2:$A$20000,A409,DATOS!$G$2:$G$20000,CONFIG_METADATA!$B$4,DATOS!$I$2:$I$20000,"Orquesta/Banda/Conjunto"),"")))</f>
        <v/>
      </c>
      <c r="D409" t="str">
        <f>IF(A409="","",IF(A409="[FÓRMULA MANUAL]","",IFERROR(AVERAGEIFS(DATOS!$K$2:$K$20000,DATOS!$A$2:$A$20000,A409,DATOS!$G$2:$G$20000,CONFIG_METADATA!$B$4,DATOS!$I$2:$I$20000,"Conjunto"),"")))</f>
        <v/>
      </c>
      <c r="E409" t="str">
        <f>IF(A409="","",IF(A409="[FÓRMULA MANUAL]","",IFERROR(SUMPRODUCT((DATOS!$A$2:$A$20000=A409)*(DATOS!$G$2:$G$20000=CONFIG_METADATA!$B$4)*(COUNTIF(CONFIG_ASIGNATURAS!$B$7:$B$27,DATOS!$I$2:$I$20000)&gt;0)*(DATOS!$K$2:$K$20000))/SUMPRODUCT((DATOS!$A$2:$A$20000=A409)*(DATOS!$G$2:$G$20000=CONFIG_METADATA!$B$4)*(COUNTIF(CONFIG_ASIGNATURAS!$B$7:$B$27,DATOS!$I$2:$I$20000)&gt;0)*1),"")))</f>
        <v/>
      </c>
      <c r="H409" t="str">
        <f>IF(G409="","",IF(G409="[FÓRMULA MANUAL]","",IFERROR(AVERAGEIFS(DATOS!$K$2:$K$20000,DATOS!$A$2:$A$20000,G409,DATOS!$G$2:$G$20000,CONFIG_METADATA!$B$4,DATOS!$I$2:$I$20000,"Lenguaje Musical"),"")))</f>
        <v/>
      </c>
      <c r="I409" t="str">
        <f>IF(G409="","",IF(G409="[FÓRMULA MANUAL]","",IFERROR(AVERAGEIFS(DATOS!$K$2:$K$20000,DATOS!$A$2:$A$20000,G409,DATOS!$G$2:$G$20000,CONFIG_METADATA!$B$4,DATOS!$I$2:$I$20000,"Orquesta/Banda/Conjunto"),"")))</f>
        <v/>
      </c>
      <c r="J409" t="str">
        <f>IF(G409="","",IF(G409="[FÓRMULA MANUAL]","",IFERROR(AVERAGEIFS(DATOS!$K$2:$K$20000,DATOS!$A$2:$A$20000,G409,DATOS!$G$2:$G$20000,CONFIG_METADATA!$B$4,DATOS!$I$2:$I$20000,"Conjunto"),"")))</f>
        <v/>
      </c>
      <c r="K409" t="str">
        <f>IF(G409="","",IF(G409="[FÓRMULA MANUAL]","",IFERROR(SUMPRODUCT((DATOS!$A$2:$A$20000=G409)*(DATOS!$G$2:$G$20000=CONFIG_METADATA!$B$4)*(COUNTIF(CONFIG_ASIGNATURAS!$B$7:$B$27,DATOS!$I$2:$I$20000)&gt;0)*(DATOS!$K$2:$K$20000))/SUMPRODUCT((DATOS!$A$2:$A$20000=G409)*(DATOS!$G$2:$G$20000=CONFIG_METADATA!$B$4)*(COUNTIF(CONFIG_ASIGNATURAS!$B$7:$B$27,DATOS!$I$2:$I$20000)&gt;0)*1),"")))</f>
        <v/>
      </c>
      <c r="N409" t="str">
        <f>IF(M409="","",IF(M409="[FÓRMULA MANUAL]","",IFERROR(AVERAGEIFS(DATOS!$K$2:$K$20000,DATOS!$A$2:$A$20000,M409,DATOS!$G$2:$G$20000,CONFIG_METADATA!$B$4,DATOS!$I$2:$I$20000,"Armonía"),"")))</f>
        <v/>
      </c>
      <c r="O409" t="str">
        <f>IF(M409="","",IF(M409="[FÓRMULA MANUAL]","",IFERROR(AVERAGEIFS(DATOS!$K$2:$K$20000,DATOS!$A$2:$A$20000,M409,DATOS!$G$2:$G$20000,CONFIG_METADATA!$B$4,DATOS!$I$2:$I$20000,"Orquesta/Banda/Conjunto"),"")))</f>
        <v/>
      </c>
      <c r="P409" t="str">
        <f>IF(M409="","",IF(M409="[FÓRMULA MANUAL]","",IFERROR(AVERAGEIFS(DATOS!$K$2:$K$20000,DATOS!$A$2:$A$20000,M409,DATOS!$G$2:$G$20000,CONFIG_METADATA!$B$4,DATOS!$I$2:$I$20000,"Música de Cámara"),"")))</f>
        <v/>
      </c>
      <c r="Q409" t="str">
        <f>IF(M409="","",IF(M409="[FÓRMULA MANUAL]","",IFERROR(SUMPRODUCT((DATOS!$A$2:$A$20000=M409)*(DATOS!$G$2:$G$20000=CONFIG_METADATA!$B$4)*(COUNTIF(CONFIG_ASIGNATURAS!$B$7:$B$27,DATOS!$I$2:$I$20000)&gt;0)*(DATOS!$K$2:$K$20000))/SUMPRODUCT((DATOS!$A$2:$A$20000=M409)*(DATOS!$G$2:$G$20000=CONFIG_METADATA!$B$4)*(COUNTIF(CONFIG_ASIGNATURAS!$B$7:$B$27,DATOS!$I$2:$I$20000)&gt;0)*1),"")))</f>
        <v/>
      </c>
      <c r="T409" t="str">
        <f>IF(S409="","",IF(S409="[FÓRMULA MANUAL]","",IFERROR(AVERAGEIFS(DATOS!$K$2:$K$20000,DATOS!$A$2:$A$20000,S409,DATOS!$G$2:$G$20000,CONFIG_METADATA!$B$4,DATOS!$I$2:$I$20000,"Armonía"),"")))</f>
        <v/>
      </c>
      <c r="U409" t="str">
        <f>IF(S409="","",IF(S409="[FÓRMULA MANUAL]","",IFERROR(AVERAGEIFS(DATOS!$K$2:$K$20000,DATOS!$A$2:$A$20000,S409,DATOS!$G$2:$G$20000,CONFIG_METADATA!$B$4,DATOS!$I$2:$I$20000,"Orquesta/Banda/Conjunto"),"")))</f>
        <v/>
      </c>
      <c r="V409" t="str">
        <f>IF(S409="","",IF(S409="[FÓRMULA MANUAL]","",IFERROR(AVERAGEIFS(DATOS!$K$2:$K$20000,DATOS!$A$2:$A$20000,S409,DATOS!$G$2:$G$20000,CONFIG_METADATA!$B$4,DATOS!$I$2:$I$20000,"Música de Cámara"),"")))</f>
        <v/>
      </c>
      <c r="W409" t="str">
        <f>IF(S409="","",IF(S409="[FÓRMULA MANUAL]","",IFERROR(SUMPRODUCT((DATOS!$A$2:$A$20000=S409)*(DATOS!$G$2:$G$20000=CONFIG_METADATA!$B$4)*(COUNTIF(CONFIG_ASIGNATURAS!$B$7:$B$27,DATOS!$I$2:$I$20000)&gt;0)*(DATOS!$K$2:$K$20000))/SUMPRODUCT((DATOS!$A$2:$A$20000=S409)*(DATOS!$G$2:$G$20000=CONFIG_METADATA!$B$4)*(COUNTIF(CONFIG_ASIGNATURAS!$B$7:$B$27,DATOS!$I$2:$I$20000)&gt;0)*1),"")))</f>
        <v/>
      </c>
      <c r="Z409" t="str">
        <f>IF(Y409="","",IF(Y409="[FÓRMULA MANUAL]","",IFERROR(AVERAGEIFS(DATOS!$K$2:$K$20000,DATOS!$A$2:$A$20000,Y409,DATOS!$G$2:$G$20000,CONFIG_METADATA!$B$4,DATOS!$I$2:$I$20000,"Análisis"),"")))</f>
        <v/>
      </c>
      <c r="AA409" t="str">
        <f>IF(Y409="","",IF(Y409="[FÓRMULA MANUAL]","",IFERROR(AVERAGEIFS(DATOS!$K$2:$K$20000,DATOS!$A$2:$A$20000,Y409,DATOS!$G$2:$G$20000,CONFIG_METADATA!$B$4,DATOS!$I$2:$I$20000,"Orquesta/Banda/Conjunto"),"")))</f>
        <v/>
      </c>
      <c r="AB409" t="str">
        <f>IF(Y409="","",IF(Y409="[FÓRMULA MANUAL]","",IFERROR(AVERAGEIFS(DATOS!$K$2:$K$20000,DATOS!$A$2:$A$20000,Y409,DATOS!$G$2:$G$20000,CONFIG_METADATA!$B$4,DATOS!$I$2:$I$20000,"Música de Cámara"),"")))</f>
        <v/>
      </c>
      <c r="AC409" t="str">
        <f>IF(Y409="","",IF(Y409="[FÓRMULA MANUAL]","",IFERROR(SUMPRODUCT((DATOS!$A$2:$A$20000=Y409)*(DATOS!$G$2:$G$20000=CONFIG_METADATA!$B$4)*(COUNTIF(CONFIG_ASIGNATURAS!$B$7:$B$27,DATOS!$I$2:$I$20000)&gt;0)*(DATOS!$K$2:$K$20000))/SUMPRODUCT((DATOS!$A$2:$A$20000=Y409)*(DATOS!$G$2:$G$20000=CONFIG_METADATA!$B$4)*(COUNTIF(CONFIG_ASIGNATURAS!$B$7:$B$27,DATOS!$I$2:$I$20000)&gt;0)*1),"")))</f>
        <v/>
      </c>
      <c r="AF409" t="str">
        <f>IF(AE409="","",IF(AE409="[FÓRMULA MANUAL]","",IFERROR(AVERAGEIFS(DATOS!$K$2:$K$20000,DATOS!$A$2:$A$20000,AE409,DATOS!$G$2:$G$20000,CONFIG_METADATA!$B$4,DATOS!$I$2:$I$20000,"Análisis"),"")))</f>
        <v/>
      </c>
      <c r="AG409" t="str">
        <f>IF(AE409="","",IF(AE409="[FÓRMULA MANUAL]","",IFERROR(AVERAGEIFS(DATOS!$K$2:$K$20000,DATOS!$A$2:$A$20000,AE409,DATOS!$G$2:$G$20000,CONFIG_METADATA!$B$4,DATOS!$I$2:$I$20000,"Orquesta/Banda/Conjunto"),"")))</f>
        <v/>
      </c>
      <c r="AH409" t="str">
        <f>IF(AE409="","",IF(AE409="[FÓRMULA MANUAL]","",IFERROR(AVERAGEIFS(DATOS!$K$2:$K$20000,DATOS!$A$2:$A$20000,AE409,DATOS!$G$2:$G$20000,CONFIG_METADATA!$B$4,DATOS!$I$2:$I$20000,"Música de Cámara"),"")))</f>
        <v/>
      </c>
      <c r="AI409" t="str">
        <f>IF(AE409="","",IF(AE409="[FÓRMULA MANUAL]","",IFERROR(SUMPRODUCT((DATOS!$A$2:$A$20000=AE409)*(DATOS!$G$2:$G$20000=CONFIG_METADATA!$B$4)*(COUNTIF(CONFIG_ASIGNATURAS!$B$7:$B$27,DATOS!$I$2:$I$20000)&gt;0)*(DATOS!$K$2:$K$20000))/SUMPRODUCT((DATOS!$A$2:$A$20000=AE409)*(DATOS!$G$2:$G$20000=CONFIG_METADATA!$B$4)*(COUNTIF(CONFIG_ASIGNATURAS!$B$7:$B$27,DATOS!$I$2:$I$20000)&gt;0)*1),"")))</f>
        <v/>
      </c>
    </row>
    <row r="410" spans="2:35" x14ac:dyDescent="0.2">
      <c r="B410" t="str">
        <f>IF(A410="","",IF(A410="[FÓRMULA MANUAL]","",IFERROR(AVERAGEIFS(DATOS!$K$2:$K$20000,DATOS!$A$2:$A$20000,A410,DATOS!$G$2:$G$20000,CONFIG_METADATA!$B$4,DATOS!$I$2:$I$20000,"Lenguaje Musical"),"")))</f>
        <v/>
      </c>
      <c r="C410" t="str">
        <f>IF(A410="","",IF(A410="[FÓRMULA MANUAL]","",IFERROR(AVERAGEIFS(DATOS!$K$2:$K$20000,DATOS!$A$2:$A$20000,A410,DATOS!$G$2:$G$20000,CONFIG_METADATA!$B$4,DATOS!$I$2:$I$20000,"Orquesta/Banda/Conjunto"),"")))</f>
        <v/>
      </c>
      <c r="D410" t="str">
        <f>IF(A410="","",IF(A410="[FÓRMULA MANUAL]","",IFERROR(AVERAGEIFS(DATOS!$K$2:$K$20000,DATOS!$A$2:$A$20000,A410,DATOS!$G$2:$G$20000,CONFIG_METADATA!$B$4,DATOS!$I$2:$I$20000,"Conjunto"),"")))</f>
        <v/>
      </c>
      <c r="E410" t="str">
        <f>IF(A410="","",IF(A410="[FÓRMULA MANUAL]","",IFERROR(SUMPRODUCT((DATOS!$A$2:$A$20000=A410)*(DATOS!$G$2:$G$20000=CONFIG_METADATA!$B$4)*(COUNTIF(CONFIG_ASIGNATURAS!$B$7:$B$27,DATOS!$I$2:$I$20000)&gt;0)*(DATOS!$K$2:$K$20000))/SUMPRODUCT((DATOS!$A$2:$A$20000=A410)*(DATOS!$G$2:$G$20000=CONFIG_METADATA!$B$4)*(COUNTIF(CONFIG_ASIGNATURAS!$B$7:$B$27,DATOS!$I$2:$I$20000)&gt;0)*1),"")))</f>
        <v/>
      </c>
      <c r="H410" t="str">
        <f>IF(G410="","",IF(G410="[FÓRMULA MANUAL]","",IFERROR(AVERAGEIFS(DATOS!$K$2:$K$20000,DATOS!$A$2:$A$20000,G410,DATOS!$G$2:$G$20000,CONFIG_METADATA!$B$4,DATOS!$I$2:$I$20000,"Lenguaje Musical"),"")))</f>
        <v/>
      </c>
      <c r="I410" t="str">
        <f>IF(G410="","",IF(G410="[FÓRMULA MANUAL]","",IFERROR(AVERAGEIFS(DATOS!$K$2:$K$20000,DATOS!$A$2:$A$20000,G410,DATOS!$G$2:$G$20000,CONFIG_METADATA!$B$4,DATOS!$I$2:$I$20000,"Orquesta/Banda/Conjunto"),"")))</f>
        <v/>
      </c>
      <c r="J410" t="str">
        <f>IF(G410="","",IF(G410="[FÓRMULA MANUAL]","",IFERROR(AVERAGEIFS(DATOS!$K$2:$K$20000,DATOS!$A$2:$A$20000,G410,DATOS!$G$2:$G$20000,CONFIG_METADATA!$B$4,DATOS!$I$2:$I$20000,"Conjunto"),"")))</f>
        <v/>
      </c>
      <c r="K410" t="str">
        <f>IF(G410="","",IF(G410="[FÓRMULA MANUAL]","",IFERROR(SUMPRODUCT((DATOS!$A$2:$A$20000=G410)*(DATOS!$G$2:$G$20000=CONFIG_METADATA!$B$4)*(COUNTIF(CONFIG_ASIGNATURAS!$B$7:$B$27,DATOS!$I$2:$I$20000)&gt;0)*(DATOS!$K$2:$K$20000))/SUMPRODUCT((DATOS!$A$2:$A$20000=G410)*(DATOS!$G$2:$G$20000=CONFIG_METADATA!$B$4)*(COUNTIF(CONFIG_ASIGNATURAS!$B$7:$B$27,DATOS!$I$2:$I$20000)&gt;0)*1),"")))</f>
        <v/>
      </c>
      <c r="N410" t="str">
        <f>IF(M410="","",IF(M410="[FÓRMULA MANUAL]","",IFERROR(AVERAGEIFS(DATOS!$K$2:$K$20000,DATOS!$A$2:$A$20000,M410,DATOS!$G$2:$G$20000,CONFIG_METADATA!$B$4,DATOS!$I$2:$I$20000,"Armonía"),"")))</f>
        <v/>
      </c>
      <c r="O410" t="str">
        <f>IF(M410="","",IF(M410="[FÓRMULA MANUAL]","",IFERROR(AVERAGEIFS(DATOS!$K$2:$K$20000,DATOS!$A$2:$A$20000,M410,DATOS!$G$2:$G$20000,CONFIG_METADATA!$B$4,DATOS!$I$2:$I$20000,"Orquesta/Banda/Conjunto"),"")))</f>
        <v/>
      </c>
      <c r="P410" t="str">
        <f>IF(M410="","",IF(M410="[FÓRMULA MANUAL]","",IFERROR(AVERAGEIFS(DATOS!$K$2:$K$20000,DATOS!$A$2:$A$20000,M410,DATOS!$G$2:$G$20000,CONFIG_METADATA!$B$4,DATOS!$I$2:$I$20000,"Música de Cámara"),"")))</f>
        <v/>
      </c>
      <c r="Q410" t="str">
        <f>IF(M410="","",IF(M410="[FÓRMULA MANUAL]","",IFERROR(SUMPRODUCT((DATOS!$A$2:$A$20000=M410)*(DATOS!$G$2:$G$20000=CONFIG_METADATA!$B$4)*(COUNTIF(CONFIG_ASIGNATURAS!$B$7:$B$27,DATOS!$I$2:$I$20000)&gt;0)*(DATOS!$K$2:$K$20000))/SUMPRODUCT((DATOS!$A$2:$A$20000=M410)*(DATOS!$G$2:$G$20000=CONFIG_METADATA!$B$4)*(COUNTIF(CONFIG_ASIGNATURAS!$B$7:$B$27,DATOS!$I$2:$I$20000)&gt;0)*1),"")))</f>
        <v/>
      </c>
      <c r="T410" t="str">
        <f>IF(S410="","",IF(S410="[FÓRMULA MANUAL]","",IFERROR(AVERAGEIFS(DATOS!$K$2:$K$20000,DATOS!$A$2:$A$20000,S410,DATOS!$G$2:$G$20000,CONFIG_METADATA!$B$4,DATOS!$I$2:$I$20000,"Armonía"),"")))</f>
        <v/>
      </c>
      <c r="U410" t="str">
        <f>IF(S410="","",IF(S410="[FÓRMULA MANUAL]","",IFERROR(AVERAGEIFS(DATOS!$K$2:$K$20000,DATOS!$A$2:$A$20000,S410,DATOS!$G$2:$G$20000,CONFIG_METADATA!$B$4,DATOS!$I$2:$I$20000,"Orquesta/Banda/Conjunto"),"")))</f>
        <v/>
      </c>
      <c r="V410" t="str">
        <f>IF(S410="","",IF(S410="[FÓRMULA MANUAL]","",IFERROR(AVERAGEIFS(DATOS!$K$2:$K$20000,DATOS!$A$2:$A$20000,S410,DATOS!$G$2:$G$20000,CONFIG_METADATA!$B$4,DATOS!$I$2:$I$20000,"Música de Cámara"),"")))</f>
        <v/>
      </c>
      <c r="W410" t="str">
        <f>IF(S410="","",IF(S410="[FÓRMULA MANUAL]","",IFERROR(SUMPRODUCT((DATOS!$A$2:$A$20000=S410)*(DATOS!$G$2:$G$20000=CONFIG_METADATA!$B$4)*(COUNTIF(CONFIG_ASIGNATURAS!$B$7:$B$27,DATOS!$I$2:$I$20000)&gt;0)*(DATOS!$K$2:$K$20000))/SUMPRODUCT((DATOS!$A$2:$A$20000=S410)*(DATOS!$G$2:$G$20000=CONFIG_METADATA!$B$4)*(COUNTIF(CONFIG_ASIGNATURAS!$B$7:$B$27,DATOS!$I$2:$I$20000)&gt;0)*1),"")))</f>
        <v/>
      </c>
      <c r="Z410" t="str">
        <f>IF(Y410="","",IF(Y410="[FÓRMULA MANUAL]","",IFERROR(AVERAGEIFS(DATOS!$K$2:$K$20000,DATOS!$A$2:$A$20000,Y410,DATOS!$G$2:$G$20000,CONFIG_METADATA!$B$4,DATOS!$I$2:$I$20000,"Análisis"),"")))</f>
        <v/>
      </c>
      <c r="AA410" t="str">
        <f>IF(Y410="","",IF(Y410="[FÓRMULA MANUAL]","",IFERROR(AVERAGEIFS(DATOS!$K$2:$K$20000,DATOS!$A$2:$A$20000,Y410,DATOS!$G$2:$G$20000,CONFIG_METADATA!$B$4,DATOS!$I$2:$I$20000,"Orquesta/Banda/Conjunto"),"")))</f>
        <v/>
      </c>
      <c r="AB410" t="str">
        <f>IF(Y410="","",IF(Y410="[FÓRMULA MANUAL]","",IFERROR(AVERAGEIFS(DATOS!$K$2:$K$20000,DATOS!$A$2:$A$20000,Y410,DATOS!$G$2:$G$20000,CONFIG_METADATA!$B$4,DATOS!$I$2:$I$20000,"Música de Cámara"),"")))</f>
        <v/>
      </c>
      <c r="AC410" t="str">
        <f>IF(Y410="","",IF(Y410="[FÓRMULA MANUAL]","",IFERROR(SUMPRODUCT((DATOS!$A$2:$A$20000=Y410)*(DATOS!$G$2:$G$20000=CONFIG_METADATA!$B$4)*(COUNTIF(CONFIG_ASIGNATURAS!$B$7:$B$27,DATOS!$I$2:$I$20000)&gt;0)*(DATOS!$K$2:$K$20000))/SUMPRODUCT((DATOS!$A$2:$A$20000=Y410)*(DATOS!$G$2:$G$20000=CONFIG_METADATA!$B$4)*(COUNTIF(CONFIG_ASIGNATURAS!$B$7:$B$27,DATOS!$I$2:$I$20000)&gt;0)*1),"")))</f>
        <v/>
      </c>
      <c r="AF410" t="str">
        <f>IF(AE410="","",IF(AE410="[FÓRMULA MANUAL]","",IFERROR(AVERAGEIFS(DATOS!$K$2:$K$20000,DATOS!$A$2:$A$20000,AE410,DATOS!$G$2:$G$20000,CONFIG_METADATA!$B$4,DATOS!$I$2:$I$20000,"Análisis"),"")))</f>
        <v/>
      </c>
      <c r="AG410" t="str">
        <f>IF(AE410="","",IF(AE410="[FÓRMULA MANUAL]","",IFERROR(AVERAGEIFS(DATOS!$K$2:$K$20000,DATOS!$A$2:$A$20000,AE410,DATOS!$G$2:$G$20000,CONFIG_METADATA!$B$4,DATOS!$I$2:$I$20000,"Orquesta/Banda/Conjunto"),"")))</f>
        <v/>
      </c>
      <c r="AH410" t="str">
        <f>IF(AE410="","",IF(AE410="[FÓRMULA MANUAL]","",IFERROR(AVERAGEIFS(DATOS!$K$2:$K$20000,DATOS!$A$2:$A$20000,AE410,DATOS!$G$2:$G$20000,CONFIG_METADATA!$B$4,DATOS!$I$2:$I$20000,"Música de Cámara"),"")))</f>
        <v/>
      </c>
      <c r="AI410" t="str">
        <f>IF(AE410="","",IF(AE410="[FÓRMULA MANUAL]","",IFERROR(SUMPRODUCT((DATOS!$A$2:$A$20000=AE410)*(DATOS!$G$2:$G$20000=CONFIG_METADATA!$B$4)*(COUNTIF(CONFIG_ASIGNATURAS!$B$7:$B$27,DATOS!$I$2:$I$20000)&gt;0)*(DATOS!$K$2:$K$20000))/SUMPRODUCT((DATOS!$A$2:$A$20000=AE410)*(DATOS!$G$2:$G$20000=CONFIG_METADATA!$B$4)*(COUNTIF(CONFIG_ASIGNATURAS!$B$7:$B$27,DATOS!$I$2:$I$20000)&gt;0)*1),"")))</f>
        <v/>
      </c>
    </row>
    <row r="411" spans="2:35" x14ac:dyDescent="0.2">
      <c r="B411" t="str">
        <f>IF(A411="","",IF(A411="[FÓRMULA MANUAL]","",IFERROR(AVERAGEIFS(DATOS!$K$2:$K$20000,DATOS!$A$2:$A$20000,A411,DATOS!$G$2:$G$20000,CONFIG_METADATA!$B$4,DATOS!$I$2:$I$20000,"Lenguaje Musical"),"")))</f>
        <v/>
      </c>
      <c r="C411" t="str">
        <f>IF(A411="","",IF(A411="[FÓRMULA MANUAL]","",IFERROR(AVERAGEIFS(DATOS!$K$2:$K$20000,DATOS!$A$2:$A$20000,A411,DATOS!$G$2:$G$20000,CONFIG_METADATA!$B$4,DATOS!$I$2:$I$20000,"Orquesta/Banda/Conjunto"),"")))</f>
        <v/>
      </c>
      <c r="D411" t="str">
        <f>IF(A411="","",IF(A411="[FÓRMULA MANUAL]","",IFERROR(AVERAGEIFS(DATOS!$K$2:$K$20000,DATOS!$A$2:$A$20000,A411,DATOS!$G$2:$G$20000,CONFIG_METADATA!$B$4,DATOS!$I$2:$I$20000,"Conjunto"),"")))</f>
        <v/>
      </c>
      <c r="E411" t="str">
        <f>IF(A411="","",IF(A411="[FÓRMULA MANUAL]","",IFERROR(SUMPRODUCT((DATOS!$A$2:$A$20000=A411)*(DATOS!$G$2:$G$20000=CONFIG_METADATA!$B$4)*(COUNTIF(CONFIG_ASIGNATURAS!$B$7:$B$27,DATOS!$I$2:$I$20000)&gt;0)*(DATOS!$K$2:$K$20000))/SUMPRODUCT((DATOS!$A$2:$A$20000=A411)*(DATOS!$G$2:$G$20000=CONFIG_METADATA!$B$4)*(COUNTIF(CONFIG_ASIGNATURAS!$B$7:$B$27,DATOS!$I$2:$I$20000)&gt;0)*1),"")))</f>
        <v/>
      </c>
      <c r="H411" t="str">
        <f>IF(G411="","",IF(G411="[FÓRMULA MANUAL]","",IFERROR(AVERAGEIFS(DATOS!$K$2:$K$20000,DATOS!$A$2:$A$20000,G411,DATOS!$G$2:$G$20000,CONFIG_METADATA!$B$4,DATOS!$I$2:$I$20000,"Lenguaje Musical"),"")))</f>
        <v/>
      </c>
      <c r="I411" t="str">
        <f>IF(G411="","",IF(G411="[FÓRMULA MANUAL]","",IFERROR(AVERAGEIFS(DATOS!$K$2:$K$20000,DATOS!$A$2:$A$20000,G411,DATOS!$G$2:$G$20000,CONFIG_METADATA!$B$4,DATOS!$I$2:$I$20000,"Orquesta/Banda/Conjunto"),"")))</f>
        <v/>
      </c>
      <c r="J411" t="str">
        <f>IF(G411="","",IF(G411="[FÓRMULA MANUAL]","",IFERROR(AVERAGEIFS(DATOS!$K$2:$K$20000,DATOS!$A$2:$A$20000,G411,DATOS!$G$2:$G$20000,CONFIG_METADATA!$B$4,DATOS!$I$2:$I$20000,"Conjunto"),"")))</f>
        <v/>
      </c>
      <c r="K411" t="str">
        <f>IF(G411="","",IF(G411="[FÓRMULA MANUAL]","",IFERROR(SUMPRODUCT((DATOS!$A$2:$A$20000=G411)*(DATOS!$G$2:$G$20000=CONFIG_METADATA!$B$4)*(COUNTIF(CONFIG_ASIGNATURAS!$B$7:$B$27,DATOS!$I$2:$I$20000)&gt;0)*(DATOS!$K$2:$K$20000))/SUMPRODUCT((DATOS!$A$2:$A$20000=G411)*(DATOS!$G$2:$G$20000=CONFIG_METADATA!$B$4)*(COUNTIF(CONFIG_ASIGNATURAS!$B$7:$B$27,DATOS!$I$2:$I$20000)&gt;0)*1),"")))</f>
        <v/>
      </c>
      <c r="N411" t="str">
        <f>IF(M411="","",IF(M411="[FÓRMULA MANUAL]","",IFERROR(AVERAGEIFS(DATOS!$K$2:$K$20000,DATOS!$A$2:$A$20000,M411,DATOS!$G$2:$G$20000,CONFIG_METADATA!$B$4,DATOS!$I$2:$I$20000,"Armonía"),"")))</f>
        <v/>
      </c>
      <c r="O411" t="str">
        <f>IF(M411="","",IF(M411="[FÓRMULA MANUAL]","",IFERROR(AVERAGEIFS(DATOS!$K$2:$K$20000,DATOS!$A$2:$A$20000,M411,DATOS!$G$2:$G$20000,CONFIG_METADATA!$B$4,DATOS!$I$2:$I$20000,"Orquesta/Banda/Conjunto"),"")))</f>
        <v/>
      </c>
      <c r="P411" t="str">
        <f>IF(M411="","",IF(M411="[FÓRMULA MANUAL]","",IFERROR(AVERAGEIFS(DATOS!$K$2:$K$20000,DATOS!$A$2:$A$20000,M411,DATOS!$G$2:$G$20000,CONFIG_METADATA!$B$4,DATOS!$I$2:$I$20000,"Música de Cámara"),"")))</f>
        <v/>
      </c>
      <c r="Q411" t="str">
        <f>IF(M411="","",IF(M411="[FÓRMULA MANUAL]","",IFERROR(SUMPRODUCT((DATOS!$A$2:$A$20000=M411)*(DATOS!$G$2:$G$20000=CONFIG_METADATA!$B$4)*(COUNTIF(CONFIG_ASIGNATURAS!$B$7:$B$27,DATOS!$I$2:$I$20000)&gt;0)*(DATOS!$K$2:$K$20000))/SUMPRODUCT((DATOS!$A$2:$A$20000=M411)*(DATOS!$G$2:$G$20000=CONFIG_METADATA!$B$4)*(COUNTIF(CONFIG_ASIGNATURAS!$B$7:$B$27,DATOS!$I$2:$I$20000)&gt;0)*1),"")))</f>
        <v/>
      </c>
      <c r="T411" t="str">
        <f>IF(S411="","",IF(S411="[FÓRMULA MANUAL]","",IFERROR(AVERAGEIFS(DATOS!$K$2:$K$20000,DATOS!$A$2:$A$20000,S411,DATOS!$G$2:$G$20000,CONFIG_METADATA!$B$4,DATOS!$I$2:$I$20000,"Armonía"),"")))</f>
        <v/>
      </c>
      <c r="U411" t="str">
        <f>IF(S411="","",IF(S411="[FÓRMULA MANUAL]","",IFERROR(AVERAGEIFS(DATOS!$K$2:$K$20000,DATOS!$A$2:$A$20000,S411,DATOS!$G$2:$G$20000,CONFIG_METADATA!$B$4,DATOS!$I$2:$I$20000,"Orquesta/Banda/Conjunto"),"")))</f>
        <v/>
      </c>
      <c r="V411" t="str">
        <f>IF(S411="","",IF(S411="[FÓRMULA MANUAL]","",IFERROR(AVERAGEIFS(DATOS!$K$2:$K$20000,DATOS!$A$2:$A$20000,S411,DATOS!$G$2:$G$20000,CONFIG_METADATA!$B$4,DATOS!$I$2:$I$20000,"Música de Cámara"),"")))</f>
        <v/>
      </c>
      <c r="W411" t="str">
        <f>IF(S411="","",IF(S411="[FÓRMULA MANUAL]","",IFERROR(SUMPRODUCT((DATOS!$A$2:$A$20000=S411)*(DATOS!$G$2:$G$20000=CONFIG_METADATA!$B$4)*(COUNTIF(CONFIG_ASIGNATURAS!$B$7:$B$27,DATOS!$I$2:$I$20000)&gt;0)*(DATOS!$K$2:$K$20000))/SUMPRODUCT((DATOS!$A$2:$A$20000=S411)*(DATOS!$G$2:$G$20000=CONFIG_METADATA!$B$4)*(COUNTIF(CONFIG_ASIGNATURAS!$B$7:$B$27,DATOS!$I$2:$I$20000)&gt;0)*1),"")))</f>
        <v/>
      </c>
      <c r="Z411" t="str">
        <f>IF(Y411="","",IF(Y411="[FÓRMULA MANUAL]","",IFERROR(AVERAGEIFS(DATOS!$K$2:$K$20000,DATOS!$A$2:$A$20000,Y411,DATOS!$G$2:$G$20000,CONFIG_METADATA!$B$4,DATOS!$I$2:$I$20000,"Análisis"),"")))</f>
        <v/>
      </c>
      <c r="AA411" t="str">
        <f>IF(Y411="","",IF(Y411="[FÓRMULA MANUAL]","",IFERROR(AVERAGEIFS(DATOS!$K$2:$K$20000,DATOS!$A$2:$A$20000,Y411,DATOS!$G$2:$G$20000,CONFIG_METADATA!$B$4,DATOS!$I$2:$I$20000,"Orquesta/Banda/Conjunto"),"")))</f>
        <v/>
      </c>
      <c r="AB411" t="str">
        <f>IF(Y411="","",IF(Y411="[FÓRMULA MANUAL]","",IFERROR(AVERAGEIFS(DATOS!$K$2:$K$20000,DATOS!$A$2:$A$20000,Y411,DATOS!$G$2:$G$20000,CONFIG_METADATA!$B$4,DATOS!$I$2:$I$20000,"Música de Cámara"),"")))</f>
        <v/>
      </c>
      <c r="AC411" t="str">
        <f>IF(Y411="","",IF(Y411="[FÓRMULA MANUAL]","",IFERROR(SUMPRODUCT((DATOS!$A$2:$A$20000=Y411)*(DATOS!$G$2:$G$20000=CONFIG_METADATA!$B$4)*(COUNTIF(CONFIG_ASIGNATURAS!$B$7:$B$27,DATOS!$I$2:$I$20000)&gt;0)*(DATOS!$K$2:$K$20000))/SUMPRODUCT((DATOS!$A$2:$A$20000=Y411)*(DATOS!$G$2:$G$20000=CONFIG_METADATA!$B$4)*(COUNTIF(CONFIG_ASIGNATURAS!$B$7:$B$27,DATOS!$I$2:$I$20000)&gt;0)*1),"")))</f>
        <v/>
      </c>
      <c r="AF411" t="str">
        <f>IF(AE411="","",IF(AE411="[FÓRMULA MANUAL]","",IFERROR(AVERAGEIFS(DATOS!$K$2:$K$20000,DATOS!$A$2:$A$20000,AE411,DATOS!$G$2:$G$20000,CONFIG_METADATA!$B$4,DATOS!$I$2:$I$20000,"Análisis"),"")))</f>
        <v/>
      </c>
      <c r="AG411" t="str">
        <f>IF(AE411="","",IF(AE411="[FÓRMULA MANUAL]","",IFERROR(AVERAGEIFS(DATOS!$K$2:$K$20000,DATOS!$A$2:$A$20000,AE411,DATOS!$G$2:$G$20000,CONFIG_METADATA!$B$4,DATOS!$I$2:$I$20000,"Orquesta/Banda/Conjunto"),"")))</f>
        <v/>
      </c>
      <c r="AH411" t="str">
        <f>IF(AE411="","",IF(AE411="[FÓRMULA MANUAL]","",IFERROR(AVERAGEIFS(DATOS!$K$2:$K$20000,DATOS!$A$2:$A$20000,AE411,DATOS!$G$2:$G$20000,CONFIG_METADATA!$B$4,DATOS!$I$2:$I$20000,"Música de Cámara"),"")))</f>
        <v/>
      </c>
      <c r="AI411" t="str">
        <f>IF(AE411="","",IF(AE411="[FÓRMULA MANUAL]","",IFERROR(SUMPRODUCT((DATOS!$A$2:$A$20000=AE411)*(DATOS!$G$2:$G$20000=CONFIG_METADATA!$B$4)*(COUNTIF(CONFIG_ASIGNATURAS!$B$7:$B$27,DATOS!$I$2:$I$20000)&gt;0)*(DATOS!$K$2:$K$20000))/SUMPRODUCT((DATOS!$A$2:$A$20000=AE411)*(DATOS!$G$2:$G$20000=CONFIG_METADATA!$B$4)*(COUNTIF(CONFIG_ASIGNATURAS!$B$7:$B$27,DATOS!$I$2:$I$20000)&gt;0)*1),"")))</f>
        <v/>
      </c>
    </row>
    <row r="412" spans="2:35" x14ac:dyDescent="0.2">
      <c r="B412" t="str">
        <f>IF(A412="","",IF(A412="[FÓRMULA MANUAL]","",IFERROR(AVERAGEIFS(DATOS!$K$2:$K$20000,DATOS!$A$2:$A$20000,A412,DATOS!$G$2:$G$20000,CONFIG_METADATA!$B$4,DATOS!$I$2:$I$20000,"Lenguaje Musical"),"")))</f>
        <v/>
      </c>
      <c r="C412" t="str">
        <f>IF(A412="","",IF(A412="[FÓRMULA MANUAL]","",IFERROR(AVERAGEIFS(DATOS!$K$2:$K$20000,DATOS!$A$2:$A$20000,A412,DATOS!$G$2:$G$20000,CONFIG_METADATA!$B$4,DATOS!$I$2:$I$20000,"Orquesta/Banda/Conjunto"),"")))</f>
        <v/>
      </c>
      <c r="D412" t="str">
        <f>IF(A412="","",IF(A412="[FÓRMULA MANUAL]","",IFERROR(AVERAGEIFS(DATOS!$K$2:$K$20000,DATOS!$A$2:$A$20000,A412,DATOS!$G$2:$G$20000,CONFIG_METADATA!$B$4,DATOS!$I$2:$I$20000,"Conjunto"),"")))</f>
        <v/>
      </c>
      <c r="E412" t="str">
        <f>IF(A412="","",IF(A412="[FÓRMULA MANUAL]","",IFERROR(SUMPRODUCT((DATOS!$A$2:$A$20000=A412)*(DATOS!$G$2:$G$20000=CONFIG_METADATA!$B$4)*(COUNTIF(CONFIG_ASIGNATURAS!$B$7:$B$27,DATOS!$I$2:$I$20000)&gt;0)*(DATOS!$K$2:$K$20000))/SUMPRODUCT((DATOS!$A$2:$A$20000=A412)*(DATOS!$G$2:$G$20000=CONFIG_METADATA!$B$4)*(COUNTIF(CONFIG_ASIGNATURAS!$B$7:$B$27,DATOS!$I$2:$I$20000)&gt;0)*1),"")))</f>
        <v/>
      </c>
      <c r="H412" t="str">
        <f>IF(G412="","",IF(G412="[FÓRMULA MANUAL]","",IFERROR(AVERAGEIFS(DATOS!$K$2:$K$20000,DATOS!$A$2:$A$20000,G412,DATOS!$G$2:$G$20000,CONFIG_METADATA!$B$4,DATOS!$I$2:$I$20000,"Lenguaje Musical"),"")))</f>
        <v/>
      </c>
      <c r="I412" t="str">
        <f>IF(G412="","",IF(G412="[FÓRMULA MANUAL]","",IFERROR(AVERAGEIFS(DATOS!$K$2:$K$20000,DATOS!$A$2:$A$20000,G412,DATOS!$G$2:$G$20000,CONFIG_METADATA!$B$4,DATOS!$I$2:$I$20000,"Orquesta/Banda/Conjunto"),"")))</f>
        <v/>
      </c>
      <c r="J412" t="str">
        <f>IF(G412="","",IF(G412="[FÓRMULA MANUAL]","",IFERROR(AVERAGEIFS(DATOS!$K$2:$K$20000,DATOS!$A$2:$A$20000,G412,DATOS!$G$2:$G$20000,CONFIG_METADATA!$B$4,DATOS!$I$2:$I$20000,"Conjunto"),"")))</f>
        <v/>
      </c>
      <c r="K412" t="str">
        <f>IF(G412="","",IF(G412="[FÓRMULA MANUAL]","",IFERROR(SUMPRODUCT((DATOS!$A$2:$A$20000=G412)*(DATOS!$G$2:$G$20000=CONFIG_METADATA!$B$4)*(COUNTIF(CONFIG_ASIGNATURAS!$B$7:$B$27,DATOS!$I$2:$I$20000)&gt;0)*(DATOS!$K$2:$K$20000))/SUMPRODUCT((DATOS!$A$2:$A$20000=G412)*(DATOS!$G$2:$G$20000=CONFIG_METADATA!$B$4)*(COUNTIF(CONFIG_ASIGNATURAS!$B$7:$B$27,DATOS!$I$2:$I$20000)&gt;0)*1),"")))</f>
        <v/>
      </c>
      <c r="N412" t="str">
        <f>IF(M412="","",IF(M412="[FÓRMULA MANUAL]","",IFERROR(AVERAGEIFS(DATOS!$K$2:$K$20000,DATOS!$A$2:$A$20000,M412,DATOS!$G$2:$G$20000,CONFIG_METADATA!$B$4,DATOS!$I$2:$I$20000,"Armonía"),"")))</f>
        <v/>
      </c>
      <c r="O412" t="str">
        <f>IF(M412="","",IF(M412="[FÓRMULA MANUAL]","",IFERROR(AVERAGEIFS(DATOS!$K$2:$K$20000,DATOS!$A$2:$A$20000,M412,DATOS!$G$2:$G$20000,CONFIG_METADATA!$B$4,DATOS!$I$2:$I$20000,"Orquesta/Banda/Conjunto"),"")))</f>
        <v/>
      </c>
      <c r="P412" t="str">
        <f>IF(M412="","",IF(M412="[FÓRMULA MANUAL]","",IFERROR(AVERAGEIFS(DATOS!$K$2:$K$20000,DATOS!$A$2:$A$20000,M412,DATOS!$G$2:$G$20000,CONFIG_METADATA!$B$4,DATOS!$I$2:$I$20000,"Música de Cámara"),"")))</f>
        <v/>
      </c>
      <c r="Q412" t="str">
        <f>IF(M412="","",IF(M412="[FÓRMULA MANUAL]","",IFERROR(SUMPRODUCT((DATOS!$A$2:$A$20000=M412)*(DATOS!$G$2:$G$20000=CONFIG_METADATA!$B$4)*(COUNTIF(CONFIG_ASIGNATURAS!$B$7:$B$27,DATOS!$I$2:$I$20000)&gt;0)*(DATOS!$K$2:$K$20000))/SUMPRODUCT((DATOS!$A$2:$A$20000=M412)*(DATOS!$G$2:$G$20000=CONFIG_METADATA!$B$4)*(COUNTIF(CONFIG_ASIGNATURAS!$B$7:$B$27,DATOS!$I$2:$I$20000)&gt;0)*1),"")))</f>
        <v/>
      </c>
      <c r="T412" t="str">
        <f>IF(S412="","",IF(S412="[FÓRMULA MANUAL]","",IFERROR(AVERAGEIFS(DATOS!$K$2:$K$20000,DATOS!$A$2:$A$20000,S412,DATOS!$G$2:$G$20000,CONFIG_METADATA!$B$4,DATOS!$I$2:$I$20000,"Armonía"),"")))</f>
        <v/>
      </c>
      <c r="U412" t="str">
        <f>IF(S412="","",IF(S412="[FÓRMULA MANUAL]","",IFERROR(AVERAGEIFS(DATOS!$K$2:$K$20000,DATOS!$A$2:$A$20000,S412,DATOS!$G$2:$G$20000,CONFIG_METADATA!$B$4,DATOS!$I$2:$I$20000,"Orquesta/Banda/Conjunto"),"")))</f>
        <v/>
      </c>
      <c r="V412" t="str">
        <f>IF(S412="","",IF(S412="[FÓRMULA MANUAL]","",IFERROR(AVERAGEIFS(DATOS!$K$2:$K$20000,DATOS!$A$2:$A$20000,S412,DATOS!$G$2:$G$20000,CONFIG_METADATA!$B$4,DATOS!$I$2:$I$20000,"Música de Cámara"),"")))</f>
        <v/>
      </c>
      <c r="W412" t="str">
        <f>IF(S412="","",IF(S412="[FÓRMULA MANUAL]","",IFERROR(SUMPRODUCT((DATOS!$A$2:$A$20000=S412)*(DATOS!$G$2:$G$20000=CONFIG_METADATA!$B$4)*(COUNTIF(CONFIG_ASIGNATURAS!$B$7:$B$27,DATOS!$I$2:$I$20000)&gt;0)*(DATOS!$K$2:$K$20000))/SUMPRODUCT((DATOS!$A$2:$A$20000=S412)*(DATOS!$G$2:$G$20000=CONFIG_METADATA!$B$4)*(COUNTIF(CONFIG_ASIGNATURAS!$B$7:$B$27,DATOS!$I$2:$I$20000)&gt;0)*1),"")))</f>
        <v/>
      </c>
      <c r="Z412" t="str">
        <f>IF(Y412="","",IF(Y412="[FÓRMULA MANUAL]","",IFERROR(AVERAGEIFS(DATOS!$K$2:$K$20000,DATOS!$A$2:$A$20000,Y412,DATOS!$G$2:$G$20000,CONFIG_METADATA!$B$4,DATOS!$I$2:$I$20000,"Análisis"),"")))</f>
        <v/>
      </c>
      <c r="AA412" t="str">
        <f>IF(Y412="","",IF(Y412="[FÓRMULA MANUAL]","",IFERROR(AVERAGEIFS(DATOS!$K$2:$K$20000,DATOS!$A$2:$A$20000,Y412,DATOS!$G$2:$G$20000,CONFIG_METADATA!$B$4,DATOS!$I$2:$I$20000,"Orquesta/Banda/Conjunto"),"")))</f>
        <v/>
      </c>
      <c r="AB412" t="str">
        <f>IF(Y412="","",IF(Y412="[FÓRMULA MANUAL]","",IFERROR(AVERAGEIFS(DATOS!$K$2:$K$20000,DATOS!$A$2:$A$20000,Y412,DATOS!$G$2:$G$20000,CONFIG_METADATA!$B$4,DATOS!$I$2:$I$20000,"Música de Cámara"),"")))</f>
        <v/>
      </c>
      <c r="AC412" t="str">
        <f>IF(Y412="","",IF(Y412="[FÓRMULA MANUAL]","",IFERROR(SUMPRODUCT((DATOS!$A$2:$A$20000=Y412)*(DATOS!$G$2:$G$20000=CONFIG_METADATA!$B$4)*(COUNTIF(CONFIG_ASIGNATURAS!$B$7:$B$27,DATOS!$I$2:$I$20000)&gt;0)*(DATOS!$K$2:$K$20000))/SUMPRODUCT((DATOS!$A$2:$A$20000=Y412)*(DATOS!$G$2:$G$20000=CONFIG_METADATA!$B$4)*(COUNTIF(CONFIG_ASIGNATURAS!$B$7:$B$27,DATOS!$I$2:$I$20000)&gt;0)*1),"")))</f>
        <v/>
      </c>
      <c r="AF412" t="str">
        <f>IF(AE412="","",IF(AE412="[FÓRMULA MANUAL]","",IFERROR(AVERAGEIFS(DATOS!$K$2:$K$20000,DATOS!$A$2:$A$20000,AE412,DATOS!$G$2:$G$20000,CONFIG_METADATA!$B$4,DATOS!$I$2:$I$20000,"Análisis"),"")))</f>
        <v/>
      </c>
      <c r="AG412" t="str">
        <f>IF(AE412="","",IF(AE412="[FÓRMULA MANUAL]","",IFERROR(AVERAGEIFS(DATOS!$K$2:$K$20000,DATOS!$A$2:$A$20000,AE412,DATOS!$G$2:$G$20000,CONFIG_METADATA!$B$4,DATOS!$I$2:$I$20000,"Orquesta/Banda/Conjunto"),"")))</f>
        <v/>
      </c>
      <c r="AH412" t="str">
        <f>IF(AE412="","",IF(AE412="[FÓRMULA MANUAL]","",IFERROR(AVERAGEIFS(DATOS!$K$2:$K$20000,DATOS!$A$2:$A$20000,AE412,DATOS!$G$2:$G$20000,CONFIG_METADATA!$B$4,DATOS!$I$2:$I$20000,"Música de Cámara"),"")))</f>
        <v/>
      </c>
      <c r="AI412" t="str">
        <f>IF(AE412="","",IF(AE412="[FÓRMULA MANUAL]","",IFERROR(SUMPRODUCT((DATOS!$A$2:$A$20000=AE412)*(DATOS!$G$2:$G$20000=CONFIG_METADATA!$B$4)*(COUNTIF(CONFIG_ASIGNATURAS!$B$7:$B$27,DATOS!$I$2:$I$20000)&gt;0)*(DATOS!$K$2:$K$20000))/SUMPRODUCT((DATOS!$A$2:$A$20000=AE412)*(DATOS!$G$2:$G$20000=CONFIG_METADATA!$B$4)*(COUNTIF(CONFIG_ASIGNATURAS!$B$7:$B$27,DATOS!$I$2:$I$20000)&gt;0)*1),"")))</f>
        <v/>
      </c>
    </row>
    <row r="413" spans="2:35" x14ac:dyDescent="0.2">
      <c r="B413" t="str">
        <f>IF(A413="","",IF(A413="[FÓRMULA MANUAL]","",IFERROR(AVERAGEIFS(DATOS!$K$2:$K$20000,DATOS!$A$2:$A$20000,A413,DATOS!$G$2:$G$20000,CONFIG_METADATA!$B$4,DATOS!$I$2:$I$20000,"Lenguaje Musical"),"")))</f>
        <v/>
      </c>
      <c r="C413" t="str">
        <f>IF(A413="","",IF(A413="[FÓRMULA MANUAL]","",IFERROR(AVERAGEIFS(DATOS!$K$2:$K$20000,DATOS!$A$2:$A$20000,A413,DATOS!$G$2:$G$20000,CONFIG_METADATA!$B$4,DATOS!$I$2:$I$20000,"Orquesta/Banda/Conjunto"),"")))</f>
        <v/>
      </c>
      <c r="D413" t="str">
        <f>IF(A413="","",IF(A413="[FÓRMULA MANUAL]","",IFERROR(AVERAGEIFS(DATOS!$K$2:$K$20000,DATOS!$A$2:$A$20000,A413,DATOS!$G$2:$G$20000,CONFIG_METADATA!$B$4,DATOS!$I$2:$I$20000,"Conjunto"),"")))</f>
        <v/>
      </c>
      <c r="E413" t="str">
        <f>IF(A413="","",IF(A413="[FÓRMULA MANUAL]","",IFERROR(SUMPRODUCT((DATOS!$A$2:$A$20000=A413)*(DATOS!$G$2:$G$20000=CONFIG_METADATA!$B$4)*(COUNTIF(CONFIG_ASIGNATURAS!$B$7:$B$27,DATOS!$I$2:$I$20000)&gt;0)*(DATOS!$K$2:$K$20000))/SUMPRODUCT((DATOS!$A$2:$A$20000=A413)*(DATOS!$G$2:$G$20000=CONFIG_METADATA!$B$4)*(COUNTIF(CONFIG_ASIGNATURAS!$B$7:$B$27,DATOS!$I$2:$I$20000)&gt;0)*1),"")))</f>
        <v/>
      </c>
      <c r="H413" t="str">
        <f>IF(G413="","",IF(G413="[FÓRMULA MANUAL]","",IFERROR(AVERAGEIFS(DATOS!$K$2:$K$20000,DATOS!$A$2:$A$20000,G413,DATOS!$G$2:$G$20000,CONFIG_METADATA!$B$4,DATOS!$I$2:$I$20000,"Lenguaje Musical"),"")))</f>
        <v/>
      </c>
      <c r="I413" t="str">
        <f>IF(G413="","",IF(G413="[FÓRMULA MANUAL]","",IFERROR(AVERAGEIFS(DATOS!$K$2:$K$20000,DATOS!$A$2:$A$20000,G413,DATOS!$G$2:$G$20000,CONFIG_METADATA!$B$4,DATOS!$I$2:$I$20000,"Orquesta/Banda/Conjunto"),"")))</f>
        <v/>
      </c>
      <c r="J413" t="str">
        <f>IF(G413="","",IF(G413="[FÓRMULA MANUAL]","",IFERROR(AVERAGEIFS(DATOS!$K$2:$K$20000,DATOS!$A$2:$A$20000,G413,DATOS!$G$2:$G$20000,CONFIG_METADATA!$B$4,DATOS!$I$2:$I$20000,"Conjunto"),"")))</f>
        <v/>
      </c>
      <c r="K413" t="str">
        <f>IF(G413="","",IF(G413="[FÓRMULA MANUAL]","",IFERROR(SUMPRODUCT((DATOS!$A$2:$A$20000=G413)*(DATOS!$G$2:$G$20000=CONFIG_METADATA!$B$4)*(COUNTIF(CONFIG_ASIGNATURAS!$B$7:$B$27,DATOS!$I$2:$I$20000)&gt;0)*(DATOS!$K$2:$K$20000))/SUMPRODUCT((DATOS!$A$2:$A$20000=G413)*(DATOS!$G$2:$G$20000=CONFIG_METADATA!$B$4)*(COUNTIF(CONFIG_ASIGNATURAS!$B$7:$B$27,DATOS!$I$2:$I$20000)&gt;0)*1),"")))</f>
        <v/>
      </c>
      <c r="N413" t="str">
        <f>IF(M413="","",IF(M413="[FÓRMULA MANUAL]","",IFERROR(AVERAGEIFS(DATOS!$K$2:$K$20000,DATOS!$A$2:$A$20000,M413,DATOS!$G$2:$G$20000,CONFIG_METADATA!$B$4,DATOS!$I$2:$I$20000,"Armonía"),"")))</f>
        <v/>
      </c>
      <c r="O413" t="str">
        <f>IF(M413="","",IF(M413="[FÓRMULA MANUAL]","",IFERROR(AVERAGEIFS(DATOS!$K$2:$K$20000,DATOS!$A$2:$A$20000,M413,DATOS!$G$2:$G$20000,CONFIG_METADATA!$B$4,DATOS!$I$2:$I$20000,"Orquesta/Banda/Conjunto"),"")))</f>
        <v/>
      </c>
      <c r="P413" t="str">
        <f>IF(M413="","",IF(M413="[FÓRMULA MANUAL]","",IFERROR(AVERAGEIFS(DATOS!$K$2:$K$20000,DATOS!$A$2:$A$20000,M413,DATOS!$G$2:$G$20000,CONFIG_METADATA!$B$4,DATOS!$I$2:$I$20000,"Música de Cámara"),"")))</f>
        <v/>
      </c>
      <c r="Q413" t="str">
        <f>IF(M413="","",IF(M413="[FÓRMULA MANUAL]","",IFERROR(SUMPRODUCT((DATOS!$A$2:$A$20000=M413)*(DATOS!$G$2:$G$20000=CONFIG_METADATA!$B$4)*(COUNTIF(CONFIG_ASIGNATURAS!$B$7:$B$27,DATOS!$I$2:$I$20000)&gt;0)*(DATOS!$K$2:$K$20000))/SUMPRODUCT((DATOS!$A$2:$A$20000=M413)*(DATOS!$G$2:$G$20000=CONFIG_METADATA!$B$4)*(COUNTIF(CONFIG_ASIGNATURAS!$B$7:$B$27,DATOS!$I$2:$I$20000)&gt;0)*1),"")))</f>
        <v/>
      </c>
      <c r="T413" t="str">
        <f>IF(S413="","",IF(S413="[FÓRMULA MANUAL]","",IFERROR(AVERAGEIFS(DATOS!$K$2:$K$20000,DATOS!$A$2:$A$20000,S413,DATOS!$G$2:$G$20000,CONFIG_METADATA!$B$4,DATOS!$I$2:$I$20000,"Armonía"),"")))</f>
        <v/>
      </c>
      <c r="U413" t="str">
        <f>IF(S413="","",IF(S413="[FÓRMULA MANUAL]","",IFERROR(AVERAGEIFS(DATOS!$K$2:$K$20000,DATOS!$A$2:$A$20000,S413,DATOS!$G$2:$G$20000,CONFIG_METADATA!$B$4,DATOS!$I$2:$I$20000,"Orquesta/Banda/Conjunto"),"")))</f>
        <v/>
      </c>
      <c r="V413" t="str">
        <f>IF(S413="","",IF(S413="[FÓRMULA MANUAL]","",IFERROR(AVERAGEIFS(DATOS!$K$2:$K$20000,DATOS!$A$2:$A$20000,S413,DATOS!$G$2:$G$20000,CONFIG_METADATA!$B$4,DATOS!$I$2:$I$20000,"Música de Cámara"),"")))</f>
        <v/>
      </c>
      <c r="W413" t="str">
        <f>IF(S413="","",IF(S413="[FÓRMULA MANUAL]","",IFERROR(SUMPRODUCT((DATOS!$A$2:$A$20000=S413)*(DATOS!$G$2:$G$20000=CONFIG_METADATA!$B$4)*(COUNTIF(CONFIG_ASIGNATURAS!$B$7:$B$27,DATOS!$I$2:$I$20000)&gt;0)*(DATOS!$K$2:$K$20000))/SUMPRODUCT((DATOS!$A$2:$A$20000=S413)*(DATOS!$G$2:$G$20000=CONFIG_METADATA!$B$4)*(COUNTIF(CONFIG_ASIGNATURAS!$B$7:$B$27,DATOS!$I$2:$I$20000)&gt;0)*1),"")))</f>
        <v/>
      </c>
      <c r="Z413" t="str">
        <f>IF(Y413="","",IF(Y413="[FÓRMULA MANUAL]","",IFERROR(AVERAGEIFS(DATOS!$K$2:$K$20000,DATOS!$A$2:$A$20000,Y413,DATOS!$G$2:$G$20000,CONFIG_METADATA!$B$4,DATOS!$I$2:$I$20000,"Análisis"),"")))</f>
        <v/>
      </c>
      <c r="AA413" t="str">
        <f>IF(Y413="","",IF(Y413="[FÓRMULA MANUAL]","",IFERROR(AVERAGEIFS(DATOS!$K$2:$K$20000,DATOS!$A$2:$A$20000,Y413,DATOS!$G$2:$G$20000,CONFIG_METADATA!$B$4,DATOS!$I$2:$I$20000,"Orquesta/Banda/Conjunto"),"")))</f>
        <v/>
      </c>
      <c r="AB413" t="str">
        <f>IF(Y413="","",IF(Y413="[FÓRMULA MANUAL]","",IFERROR(AVERAGEIFS(DATOS!$K$2:$K$20000,DATOS!$A$2:$A$20000,Y413,DATOS!$G$2:$G$20000,CONFIG_METADATA!$B$4,DATOS!$I$2:$I$20000,"Música de Cámara"),"")))</f>
        <v/>
      </c>
      <c r="AC413" t="str">
        <f>IF(Y413="","",IF(Y413="[FÓRMULA MANUAL]","",IFERROR(SUMPRODUCT((DATOS!$A$2:$A$20000=Y413)*(DATOS!$G$2:$G$20000=CONFIG_METADATA!$B$4)*(COUNTIF(CONFIG_ASIGNATURAS!$B$7:$B$27,DATOS!$I$2:$I$20000)&gt;0)*(DATOS!$K$2:$K$20000))/SUMPRODUCT((DATOS!$A$2:$A$20000=Y413)*(DATOS!$G$2:$G$20000=CONFIG_METADATA!$B$4)*(COUNTIF(CONFIG_ASIGNATURAS!$B$7:$B$27,DATOS!$I$2:$I$20000)&gt;0)*1),"")))</f>
        <v/>
      </c>
      <c r="AF413" t="str">
        <f>IF(AE413="","",IF(AE413="[FÓRMULA MANUAL]","",IFERROR(AVERAGEIFS(DATOS!$K$2:$K$20000,DATOS!$A$2:$A$20000,AE413,DATOS!$G$2:$G$20000,CONFIG_METADATA!$B$4,DATOS!$I$2:$I$20000,"Análisis"),"")))</f>
        <v/>
      </c>
      <c r="AG413" t="str">
        <f>IF(AE413="","",IF(AE413="[FÓRMULA MANUAL]","",IFERROR(AVERAGEIFS(DATOS!$K$2:$K$20000,DATOS!$A$2:$A$20000,AE413,DATOS!$G$2:$G$20000,CONFIG_METADATA!$B$4,DATOS!$I$2:$I$20000,"Orquesta/Banda/Conjunto"),"")))</f>
        <v/>
      </c>
      <c r="AH413" t="str">
        <f>IF(AE413="","",IF(AE413="[FÓRMULA MANUAL]","",IFERROR(AVERAGEIFS(DATOS!$K$2:$K$20000,DATOS!$A$2:$A$20000,AE413,DATOS!$G$2:$G$20000,CONFIG_METADATA!$B$4,DATOS!$I$2:$I$20000,"Música de Cámara"),"")))</f>
        <v/>
      </c>
      <c r="AI413" t="str">
        <f>IF(AE413="","",IF(AE413="[FÓRMULA MANUAL]","",IFERROR(SUMPRODUCT((DATOS!$A$2:$A$20000=AE413)*(DATOS!$G$2:$G$20000=CONFIG_METADATA!$B$4)*(COUNTIF(CONFIG_ASIGNATURAS!$B$7:$B$27,DATOS!$I$2:$I$20000)&gt;0)*(DATOS!$K$2:$K$20000))/SUMPRODUCT((DATOS!$A$2:$A$20000=AE413)*(DATOS!$G$2:$G$20000=CONFIG_METADATA!$B$4)*(COUNTIF(CONFIG_ASIGNATURAS!$B$7:$B$27,DATOS!$I$2:$I$20000)&gt;0)*1),"")))</f>
        <v/>
      </c>
    </row>
    <row r="414" spans="2:35" x14ac:dyDescent="0.2">
      <c r="B414" t="str">
        <f>IF(A414="","",IF(A414="[FÓRMULA MANUAL]","",IFERROR(AVERAGEIFS(DATOS!$K$2:$K$20000,DATOS!$A$2:$A$20000,A414,DATOS!$G$2:$G$20000,CONFIG_METADATA!$B$4,DATOS!$I$2:$I$20000,"Lenguaje Musical"),"")))</f>
        <v/>
      </c>
      <c r="C414" t="str">
        <f>IF(A414="","",IF(A414="[FÓRMULA MANUAL]","",IFERROR(AVERAGEIFS(DATOS!$K$2:$K$20000,DATOS!$A$2:$A$20000,A414,DATOS!$G$2:$G$20000,CONFIG_METADATA!$B$4,DATOS!$I$2:$I$20000,"Orquesta/Banda/Conjunto"),"")))</f>
        <v/>
      </c>
      <c r="D414" t="str">
        <f>IF(A414="","",IF(A414="[FÓRMULA MANUAL]","",IFERROR(AVERAGEIFS(DATOS!$K$2:$K$20000,DATOS!$A$2:$A$20000,A414,DATOS!$G$2:$G$20000,CONFIG_METADATA!$B$4,DATOS!$I$2:$I$20000,"Conjunto"),"")))</f>
        <v/>
      </c>
      <c r="E414" t="str">
        <f>IF(A414="","",IF(A414="[FÓRMULA MANUAL]","",IFERROR(SUMPRODUCT((DATOS!$A$2:$A$20000=A414)*(DATOS!$G$2:$G$20000=CONFIG_METADATA!$B$4)*(COUNTIF(CONFIG_ASIGNATURAS!$B$7:$B$27,DATOS!$I$2:$I$20000)&gt;0)*(DATOS!$K$2:$K$20000))/SUMPRODUCT((DATOS!$A$2:$A$20000=A414)*(DATOS!$G$2:$G$20000=CONFIG_METADATA!$B$4)*(COUNTIF(CONFIG_ASIGNATURAS!$B$7:$B$27,DATOS!$I$2:$I$20000)&gt;0)*1),"")))</f>
        <v/>
      </c>
      <c r="H414" t="str">
        <f>IF(G414="","",IF(G414="[FÓRMULA MANUAL]","",IFERROR(AVERAGEIFS(DATOS!$K$2:$K$20000,DATOS!$A$2:$A$20000,G414,DATOS!$G$2:$G$20000,CONFIG_METADATA!$B$4,DATOS!$I$2:$I$20000,"Lenguaje Musical"),"")))</f>
        <v/>
      </c>
      <c r="I414" t="str">
        <f>IF(G414="","",IF(G414="[FÓRMULA MANUAL]","",IFERROR(AVERAGEIFS(DATOS!$K$2:$K$20000,DATOS!$A$2:$A$20000,G414,DATOS!$G$2:$G$20000,CONFIG_METADATA!$B$4,DATOS!$I$2:$I$20000,"Orquesta/Banda/Conjunto"),"")))</f>
        <v/>
      </c>
      <c r="J414" t="str">
        <f>IF(G414="","",IF(G414="[FÓRMULA MANUAL]","",IFERROR(AVERAGEIFS(DATOS!$K$2:$K$20000,DATOS!$A$2:$A$20000,G414,DATOS!$G$2:$G$20000,CONFIG_METADATA!$B$4,DATOS!$I$2:$I$20000,"Conjunto"),"")))</f>
        <v/>
      </c>
      <c r="K414" t="str">
        <f>IF(G414="","",IF(G414="[FÓRMULA MANUAL]","",IFERROR(SUMPRODUCT((DATOS!$A$2:$A$20000=G414)*(DATOS!$G$2:$G$20000=CONFIG_METADATA!$B$4)*(COUNTIF(CONFIG_ASIGNATURAS!$B$7:$B$27,DATOS!$I$2:$I$20000)&gt;0)*(DATOS!$K$2:$K$20000))/SUMPRODUCT((DATOS!$A$2:$A$20000=G414)*(DATOS!$G$2:$G$20000=CONFIG_METADATA!$B$4)*(COUNTIF(CONFIG_ASIGNATURAS!$B$7:$B$27,DATOS!$I$2:$I$20000)&gt;0)*1),"")))</f>
        <v/>
      </c>
      <c r="N414" t="str">
        <f>IF(M414="","",IF(M414="[FÓRMULA MANUAL]","",IFERROR(AVERAGEIFS(DATOS!$K$2:$K$20000,DATOS!$A$2:$A$20000,M414,DATOS!$G$2:$G$20000,CONFIG_METADATA!$B$4,DATOS!$I$2:$I$20000,"Armonía"),"")))</f>
        <v/>
      </c>
      <c r="O414" t="str">
        <f>IF(M414="","",IF(M414="[FÓRMULA MANUAL]","",IFERROR(AVERAGEIFS(DATOS!$K$2:$K$20000,DATOS!$A$2:$A$20000,M414,DATOS!$G$2:$G$20000,CONFIG_METADATA!$B$4,DATOS!$I$2:$I$20000,"Orquesta/Banda/Conjunto"),"")))</f>
        <v/>
      </c>
      <c r="P414" t="str">
        <f>IF(M414="","",IF(M414="[FÓRMULA MANUAL]","",IFERROR(AVERAGEIFS(DATOS!$K$2:$K$20000,DATOS!$A$2:$A$20000,M414,DATOS!$G$2:$G$20000,CONFIG_METADATA!$B$4,DATOS!$I$2:$I$20000,"Música de Cámara"),"")))</f>
        <v/>
      </c>
      <c r="Q414" t="str">
        <f>IF(M414="","",IF(M414="[FÓRMULA MANUAL]","",IFERROR(SUMPRODUCT((DATOS!$A$2:$A$20000=M414)*(DATOS!$G$2:$G$20000=CONFIG_METADATA!$B$4)*(COUNTIF(CONFIG_ASIGNATURAS!$B$7:$B$27,DATOS!$I$2:$I$20000)&gt;0)*(DATOS!$K$2:$K$20000))/SUMPRODUCT((DATOS!$A$2:$A$20000=M414)*(DATOS!$G$2:$G$20000=CONFIG_METADATA!$B$4)*(COUNTIF(CONFIG_ASIGNATURAS!$B$7:$B$27,DATOS!$I$2:$I$20000)&gt;0)*1),"")))</f>
        <v/>
      </c>
      <c r="T414" t="str">
        <f>IF(S414="","",IF(S414="[FÓRMULA MANUAL]","",IFERROR(AVERAGEIFS(DATOS!$K$2:$K$20000,DATOS!$A$2:$A$20000,S414,DATOS!$G$2:$G$20000,CONFIG_METADATA!$B$4,DATOS!$I$2:$I$20000,"Armonía"),"")))</f>
        <v/>
      </c>
      <c r="U414" t="str">
        <f>IF(S414="","",IF(S414="[FÓRMULA MANUAL]","",IFERROR(AVERAGEIFS(DATOS!$K$2:$K$20000,DATOS!$A$2:$A$20000,S414,DATOS!$G$2:$G$20000,CONFIG_METADATA!$B$4,DATOS!$I$2:$I$20000,"Orquesta/Banda/Conjunto"),"")))</f>
        <v/>
      </c>
      <c r="V414" t="str">
        <f>IF(S414="","",IF(S414="[FÓRMULA MANUAL]","",IFERROR(AVERAGEIFS(DATOS!$K$2:$K$20000,DATOS!$A$2:$A$20000,S414,DATOS!$G$2:$G$20000,CONFIG_METADATA!$B$4,DATOS!$I$2:$I$20000,"Música de Cámara"),"")))</f>
        <v/>
      </c>
      <c r="W414" t="str">
        <f>IF(S414="","",IF(S414="[FÓRMULA MANUAL]","",IFERROR(SUMPRODUCT((DATOS!$A$2:$A$20000=S414)*(DATOS!$G$2:$G$20000=CONFIG_METADATA!$B$4)*(COUNTIF(CONFIG_ASIGNATURAS!$B$7:$B$27,DATOS!$I$2:$I$20000)&gt;0)*(DATOS!$K$2:$K$20000))/SUMPRODUCT((DATOS!$A$2:$A$20000=S414)*(DATOS!$G$2:$G$20000=CONFIG_METADATA!$B$4)*(COUNTIF(CONFIG_ASIGNATURAS!$B$7:$B$27,DATOS!$I$2:$I$20000)&gt;0)*1),"")))</f>
        <v/>
      </c>
      <c r="Z414" t="str">
        <f>IF(Y414="","",IF(Y414="[FÓRMULA MANUAL]","",IFERROR(AVERAGEIFS(DATOS!$K$2:$K$20000,DATOS!$A$2:$A$20000,Y414,DATOS!$G$2:$G$20000,CONFIG_METADATA!$B$4,DATOS!$I$2:$I$20000,"Análisis"),"")))</f>
        <v/>
      </c>
      <c r="AA414" t="str">
        <f>IF(Y414="","",IF(Y414="[FÓRMULA MANUAL]","",IFERROR(AVERAGEIFS(DATOS!$K$2:$K$20000,DATOS!$A$2:$A$20000,Y414,DATOS!$G$2:$G$20000,CONFIG_METADATA!$B$4,DATOS!$I$2:$I$20000,"Orquesta/Banda/Conjunto"),"")))</f>
        <v/>
      </c>
      <c r="AB414" t="str">
        <f>IF(Y414="","",IF(Y414="[FÓRMULA MANUAL]","",IFERROR(AVERAGEIFS(DATOS!$K$2:$K$20000,DATOS!$A$2:$A$20000,Y414,DATOS!$G$2:$G$20000,CONFIG_METADATA!$B$4,DATOS!$I$2:$I$20000,"Música de Cámara"),"")))</f>
        <v/>
      </c>
      <c r="AC414" t="str">
        <f>IF(Y414="","",IF(Y414="[FÓRMULA MANUAL]","",IFERROR(SUMPRODUCT((DATOS!$A$2:$A$20000=Y414)*(DATOS!$G$2:$G$20000=CONFIG_METADATA!$B$4)*(COUNTIF(CONFIG_ASIGNATURAS!$B$7:$B$27,DATOS!$I$2:$I$20000)&gt;0)*(DATOS!$K$2:$K$20000))/SUMPRODUCT((DATOS!$A$2:$A$20000=Y414)*(DATOS!$G$2:$G$20000=CONFIG_METADATA!$B$4)*(COUNTIF(CONFIG_ASIGNATURAS!$B$7:$B$27,DATOS!$I$2:$I$20000)&gt;0)*1),"")))</f>
        <v/>
      </c>
      <c r="AF414" t="str">
        <f>IF(AE414="","",IF(AE414="[FÓRMULA MANUAL]","",IFERROR(AVERAGEIFS(DATOS!$K$2:$K$20000,DATOS!$A$2:$A$20000,AE414,DATOS!$G$2:$G$20000,CONFIG_METADATA!$B$4,DATOS!$I$2:$I$20000,"Análisis"),"")))</f>
        <v/>
      </c>
      <c r="AG414" t="str">
        <f>IF(AE414="","",IF(AE414="[FÓRMULA MANUAL]","",IFERROR(AVERAGEIFS(DATOS!$K$2:$K$20000,DATOS!$A$2:$A$20000,AE414,DATOS!$G$2:$G$20000,CONFIG_METADATA!$B$4,DATOS!$I$2:$I$20000,"Orquesta/Banda/Conjunto"),"")))</f>
        <v/>
      </c>
      <c r="AH414" t="str">
        <f>IF(AE414="","",IF(AE414="[FÓRMULA MANUAL]","",IFERROR(AVERAGEIFS(DATOS!$K$2:$K$20000,DATOS!$A$2:$A$20000,AE414,DATOS!$G$2:$G$20000,CONFIG_METADATA!$B$4,DATOS!$I$2:$I$20000,"Música de Cámara"),"")))</f>
        <v/>
      </c>
      <c r="AI414" t="str">
        <f>IF(AE414="","",IF(AE414="[FÓRMULA MANUAL]","",IFERROR(SUMPRODUCT((DATOS!$A$2:$A$20000=AE414)*(DATOS!$G$2:$G$20000=CONFIG_METADATA!$B$4)*(COUNTIF(CONFIG_ASIGNATURAS!$B$7:$B$27,DATOS!$I$2:$I$20000)&gt;0)*(DATOS!$K$2:$K$20000))/SUMPRODUCT((DATOS!$A$2:$A$20000=AE414)*(DATOS!$G$2:$G$20000=CONFIG_METADATA!$B$4)*(COUNTIF(CONFIG_ASIGNATURAS!$B$7:$B$27,DATOS!$I$2:$I$20000)&gt;0)*1),"")))</f>
        <v/>
      </c>
    </row>
    <row r="415" spans="2:35" x14ac:dyDescent="0.2">
      <c r="B415" t="str">
        <f>IF(A415="","",IF(A415="[FÓRMULA MANUAL]","",IFERROR(AVERAGEIFS(DATOS!$K$2:$K$20000,DATOS!$A$2:$A$20000,A415,DATOS!$G$2:$G$20000,CONFIG_METADATA!$B$4,DATOS!$I$2:$I$20000,"Lenguaje Musical"),"")))</f>
        <v/>
      </c>
      <c r="C415" t="str">
        <f>IF(A415="","",IF(A415="[FÓRMULA MANUAL]","",IFERROR(AVERAGEIFS(DATOS!$K$2:$K$20000,DATOS!$A$2:$A$20000,A415,DATOS!$G$2:$G$20000,CONFIG_METADATA!$B$4,DATOS!$I$2:$I$20000,"Orquesta/Banda/Conjunto"),"")))</f>
        <v/>
      </c>
      <c r="D415" t="str">
        <f>IF(A415="","",IF(A415="[FÓRMULA MANUAL]","",IFERROR(AVERAGEIFS(DATOS!$K$2:$K$20000,DATOS!$A$2:$A$20000,A415,DATOS!$G$2:$G$20000,CONFIG_METADATA!$B$4,DATOS!$I$2:$I$20000,"Conjunto"),"")))</f>
        <v/>
      </c>
      <c r="E415" t="str">
        <f>IF(A415="","",IF(A415="[FÓRMULA MANUAL]","",IFERROR(SUMPRODUCT((DATOS!$A$2:$A$20000=A415)*(DATOS!$G$2:$G$20000=CONFIG_METADATA!$B$4)*(COUNTIF(CONFIG_ASIGNATURAS!$B$7:$B$27,DATOS!$I$2:$I$20000)&gt;0)*(DATOS!$K$2:$K$20000))/SUMPRODUCT((DATOS!$A$2:$A$20000=A415)*(DATOS!$G$2:$G$20000=CONFIG_METADATA!$B$4)*(COUNTIF(CONFIG_ASIGNATURAS!$B$7:$B$27,DATOS!$I$2:$I$20000)&gt;0)*1),"")))</f>
        <v/>
      </c>
      <c r="H415" t="str">
        <f>IF(G415="","",IF(G415="[FÓRMULA MANUAL]","",IFERROR(AVERAGEIFS(DATOS!$K$2:$K$20000,DATOS!$A$2:$A$20000,G415,DATOS!$G$2:$G$20000,CONFIG_METADATA!$B$4,DATOS!$I$2:$I$20000,"Lenguaje Musical"),"")))</f>
        <v/>
      </c>
      <c r="I415" t="str">
        <f>IF(G415="","",IF(G415="[FÓRMULA MANUAL]","",IFERROR(AVERAGEIFS(DATOS!$K$2:$K$20000,DATOS!$A$2:$A$20000,G415,DATOS!$G$2:$G$20000,CONFIG_METADATA!$B$4,DATOS!$I$2:$I$20000,"Orquesta/Banda/Conjunto"),"")))</f>
        <v/>
      </c>
      <c r="J415" t="str">
        <f>IF(G415="","",IF(G415="[FÓRMULA MANUAL]","",IFERROR(AVERAGEIFS(DATOS!$K$2:$K$20000,DATOS!$A$2:$A$20000,G415,DATOS!$G$2:$G$20000,CONFIG_METADATA!$B$4,DATOS!$I$2:$I$20000,"Conjunto"),"")))</f>
        <v/>
      </c>
      <c r="K415" t="str">
        <f>IF(G415="","",IF(G415="[FÓRMULA MANUAL]","",IFERROR(SUMPRODUCT((DATOS!$A$2:$A$20000=G415)*(DATOS!$G$2:$G$20000=CONFIG_METADATA!$B$4)*(COUNTIF(CONFIG_ASIGNATURAS!$B$7:$B$27,DATOS!$I$2:$I$20000)&gt;0)*(DATOS!$K$2:$K$20000))/SUMPRODUCT((DATOS!$A$2:$A$20000=G415)*(DATOS!$G$2:$G$20000=CONFIG_METADATA!$B$4)*(COUNTIF(CONFIG_ASIGNATURAS!$B$7:$B$27,DATOS!$I$2:$I$20000)&gt;0)*1),"")))</f>
        <v/>
      </c>
      <c r="N415" t="str">
        <f>IF(M415="","",IF(M415="[FÓRMULA MANUAL]","",IFERROR(AVERAGEIFS(DATOS!$K$2:$K$20000,DATOS!$A$2:$A$20000,M415,DATOS!$G$2:$G$20000,CONFIG_METADATA!$B$4,DATOS!$I$2:$I$20000,"Armonía"),"")))</f>
        <v/>
      </c>
      <c r="O415" t="str">
        <f>IF(M415="","",IF(M415="[FÓRMULA MANUAL]","",IFERROR(AVERAGEIFS(DATOS!$K$2:$K$20000,DATOS!$A$2:$A$20000,M415,DATOS!$G$2:$G$20000,CONFIG_METADATA!$B$4,DATOS!$I$2:$I$20000,"Orquesta/Banda/Conjunto"),"")))</f>
        <v/>
      </c>
      <c r="P415" t="str">
        <f>IF(M415="","",IF(M415="[FÓRMULA MANUAL]","",IFERROR(AVERAGEIFS(DATOS!$K$2:$K$20000,DATOS!$A$2:$A$20000,M415,DATOS!$G$2:$G$20000,CONFIG_METADATA!$B$4,DATOS!$I$2:$I$20000,"Música de Cámara"),"")))</f>
        <v/>
      </c>
      <c r="Q415" t="str">
        <f>IF(M415="","",IF(M415="[FÓRMULA MANUAL]","",IFERROR(SUMPRODUCT((DATOS!$A$2:$A$20000=M415)*(DATOS!$G$2:$G$20000=CONFIG_METADATA!$B$4)*(COUNTIF(CONFIG_ASIGNATURAS!$B$7:$B$27,DATOS!$I$2:$I$20000)&gt;0)*(DATOS!$K$2:$K$20000))/SUMPRODUCT((DATOS!$A$2:$A$20000=M415)*(DATOS!$G$2:$G$20000=CONFIG_METADATA!$B$4)*(COUNTIF(CONFIG_ASIGNATURAS!$B$7:$B$27,DATOS!$I$2:$I$20000)&gt;0)*1),"")))</f>
        <v/>
      </c>
      <c r="T415" t="str">
        <f>IF(S415="","",IF(S415="[FÓRMULA MANUAL]","",IFERROR(AVERAGEIFS(DATOS!$K$2:$K$20000,DATOS!$A$2:$A$20000,S415,DATOS!$G$2:$G$20000,CONFIG_METADATA!$B$4,DATOS!$I$2:$I$20000,"Armonía"),"")))</f>
        <v/>
      </c>
      <c r="U415" t="str">
        <f>IF(S415="","",IF(S415="[FÓRMULA MANUAL]","",IFERROR(AVERAGEIFS(DATOS!$K$2:$K$20000,DATOS!$A$2:$A$20000,S415,DATOS!$G$2:$G$20000,CONFIG_METADATA!$B$4,DATOS!$I$2:$I$20000,"Orquesta/Banda/Conjunto"),"")))</f>
        <v/>
      </c>
      <c r="V415" t="str">
        <f>IF(S415="","",IF(S415="[FÓRMULA MANUAL]","",IFERROR(AVERAGEIFS(DATOS!$K$2:$K$20000,DATOS!$A$2:$A$20000,S415,DATOS!$G$2:$G$20000,CONFIG_METADATA!$B$4,DATOS!$I$2:$I$20000,"Música de Cámara"),"")))</f>
        <v/>
      </c>
      <c r="W415" t="str">
        <f>IF(S415="","",IF(S415="[FÓRMULA MANUAL]","",IFERROR(SUMPRODUCT((DATOS!$A$2:$A$20000=S415)*(DATOS!$G$2:$G$20000=CONFIG_METADATA!$B$4)*(COUNTIF(CONFIG_ASIGNATURAS!$B$7:$B$27,DATOS!$I$2:$I$20000)&gt;0)*(DATOS!$K$2:$K$20000))/SUMPRODUCT((DATOS!$A$2:$A$20000=S415)*(DATOS!$G$2:$G$20000=CONFIG_METADATA!$B$4)*(COUNTIF(CONFIG_ASIGNATURAS!$B$7:$B$27,DATOS!$I$2:$I$20000)&gt;0)*1),"")))</f>
        <v/>
      </c>
      <c r="Z415" t="str">
        <f>IF(Y415="","",IF(Y415="[FÓRMULA MANUAL]","",IFERROR(AVERAGEIFS(DATOS!$K$2:$K$20000,DATOS!$A$2:$A$20000,Y415,DATOS!$G$2:$G$20000,CONFIG_METADATA!$B$4,DATOS!$I$2:$I$20000,"Análisis"),"")))</f>
        <v/>
      </c>
      <c r="AA415" t="str">
        <f>IF(Y415="","",IF(Y415="[FÓRMULA MANUAL]","",IFERROR(AVERAGEIFS(DATOS!$K$2:$K$20000,DATOS!$A$2:$A$20000,Y415,DATOS!$G$2:$G$20000,CONFIG_METADATA!$B$4,DATOS!$I$2:$I$20000,"Orquesta/Banda/Conjunto"),"")))</f>
        <v/>
      </c>
      <c r="AB415" t="str">
        <f>IF(Y415="","",IF(Y415="[FÓRMULA MANUAL]","",IFERROR(AVERAGEIFS(DATOS!$K$2:$K$20000,DATOS!$A$2:$A$20000,Y415,DATOS!$G$2:$G$20000,CONFIG_METADATA!$B$4,DATOS!$I$2:$I$20000,"Música de Cámara"),"")))</f>
        <v/>
      </c>
      <c r="AC415" t="str">
        <f>IF(Y415="","",IF(Y415="[FÓRMULA MANUAL]","",IFERROR(SUMPRODUCT((DATOS!$A$2:$A$20000=Y415)*(DATOS!$G$2:$G$20000=CONFIG_METADATA!$B$4)*(COUNTIF(CONFIG_ASIGNATURAS!$B$7:$B$27,DATOS!$I$2:$I$20000)&gt;0)*(DATOS!$K$2:$K$20000))/SUMPRODUCT((DATOS!$A$2:$A$20000=Y415)*(DATOS!$G$2:$G$20000=CONFIG_METADATA!$B$4)*(COUNTIF(CONFIG_ASIGNATURAS!$B$7:$B$27,DATOS!$I$2:$I$20000)&gt;0)*1),"")))</f>
        <v/>
      </c>
      <c r="AF415" t="str">
        <f>IF(AE415="","",IF(AE415="[FÓRMULA MANUAL]","",IFERROR(AVERAGEIFS(DATOS!$K$2:$K$20000,DATOS!$A$2:$A$20000,AE415,DATOS!$G$2:$G$20000,CONFIG_METADATA!$B$4,DATOS!$I$2:$I$20000,"Análisis"),"")))</f>
        <v/>
      </c>
      <c r="AG415" t="str">
        <f>IF(AE415="","",IF(AE415="[FÓRMULA MANUAL]","",IFERROR(AVERAGEIFS(DATOS!$K$2:$K$20000,DATOS!$A$2:$A$20000,AE415,DATOS!$G$2:$G$20000,CONFIG_METADATA!$B$4,DATOS!$I$2:$I$20000,"Orquesta/Banda/Conjunto"),"")))</f>
        <v/>
      </c>
      <c r="AH415" t="str">
        <f>IF(AE415="","",IF(AE415="[FÓRMULA MANUAL]","",IFERROR(AVERAGEIFS(DATOS!$K$2:$K$20000,DATOS!$A$2:$A$20000,AE415,DATOS!$G$2:$G$20000,CONFIG_METADATA!$B$4,DATOS!$I$2:$I$20000,"Música de Cámara"),"")))</f>
        <v/>
      </c>
      <c r="AI415" t="str">
        <f>IF(AE415="","",IF(AE415="[FÓRMULA MANUAL]","",IFERROR(SUMPRODUCT((DATOS!$A$2:$A$20000=AE415)*(DATOS!$G$2:$G$20000=CONFIG_METADATA!$B$4)*(COUNTIF(CONFIG_ASIGNATURAS!$B$7:$B$27,DATOS!$I$2:$I$20000)&gt;0)*(DATOS!$K$2:$K$20000))/SUMPRODUCT((DATOS!$A$2:$A$20000=AE415)*(DATOS!$G$2:$G$20000=CONFIG_METADATA!$B$4)*(COUNTIF(CONFIG_ASIGNATURAS!$B$7:$B$27,DATOS!$I$2:$I$20000)&gt;0)*1),"")))</f>
        <v/>
      </c>
    </row>
    <row r="416" spans="2:35" x14ac:dyDescent="0.2">
      <c r="B416" t="str">
        <f>IF(A416="","",IF(A416="[FÓRMULA MANUAL]","",IFERROR(AVERAGEIFS(DATOS!$K$2:$K$20000,DATOS!$A$2:$A$20000,A416,DATOS!$G$2:$G$20000,CONFIG_METADATA!$B$4,DATOS!$I$2:$I$20000,"Lenguaje Musical"),"")))</f>
        <v/>
      </c>
      <c r="C416" t="str">
        <f>IF(A416="","",IF(A416="[FÓRMULA MANUAL]","",IFERROR(AVERAGEIFS(DATOS!$K$2:$K$20000,DATOS!$A$2:$A$20000,A416,DATOS!$G$2:$G$20000,CONFIG_METADATA!$B$4,DATOS!$I$2:$I$20000,"Orquesta/Banda/Conjunto"),"")))</f>
        <v/>
      </c>
      <c r="D416" t="str">
        <f>IF(A416="","",IF(A416="[FÓRMULA MANUAL]","",IFERROR(AVERAGEIFS(DATOS!$K$2:$K$20000,DATOS!$A$2:$A$20000,A416,DATOS!$G$2:$G$20000,CONFIG_METADATA!$B$4,DATOS!$I$2:$I$20000,"Conjunto"),"")))</f>
        <v/>
      </c>
      <c r="E416" t="str">
        <f>IF(A416="","",IF(A416="[FÓRMULA MANUAL]","",IFERROR(SUMPRODUCT((DATOS!$A$2:$A$20000=A416)*(DATOS!$G$2:$G$20000=CONFIG_METADATA!$B$4)*(COUNTIF(CONFIG_ASIGNATURAS!$B$7:$B$27,DATOS!$I$2:$I$20000)&gt;0)*(DATOS!$K$2:$K$20000))/SUMPRODUCT((DATOS!$A$2:$A$20000=A416)*(DATOS!$G$2:$G$20000=CONFIG_METADATA!$B$4)*(COUNTIF(CONFIG_ASIGNATURAS!$B$7:$B$27,DATOS!$I$2:$I$20000)&gt;0)*1),"")))</f>
        <v/>
      </c>
      <c r="H416" t="str">
        <f>IF(G416="","",IF(G416="[FÓRMULA MANUAL]","",IFERROR(AVERAGEIFS(DATOS!$K$2:$K$20000,DATOS!$A$2:$A$20000,G416,DATOS!$G$2:$G$20000,CONFIG_METADATA!$B$4,DATOS!$I$2:$I$20000,"Lenguaje Musical"),"")))</f>
        <v/>
      </c>
      <c r="I416" t="str">
        <f>IF(G416="","",IF(G416="[FÓRMULA MANUAL]","",IFERROR(AVERAGEIFS(DATOS!$K$2:$K$20000,DATOS!$A$2:$A$20000,G416,DATOS!$G$2:$G$20000,CONFIG_METADATA!$B$4,DATOS!$I$2:$I$20000,"Orquesta/Banda/Conjunto"),"")))</f>
        <v/>
      </c>
      <c r="J416" t="str">
        <f>IF(G416="","",IF(G416="[FÓRMULA MANUAL]","",IFERROR(AVERAGEIFS(DATOS!$K$2:$K$20000,DATOS!$A$2:$A$20000,G416,DATOS!$G$2:$G$20000,CONFIG_METADATA!$B$4,DATOS!$I$2:$I$20000,"Conjunto"),"")))</f>
        <v/>
      </c>
      <c r="K416" t="str">
        <f>IF(G416="","",IF(G416="[FÓRMULA MANUAL]","",IFERROR(SUMPRODUCT((DATOS!$A$2:$A$20000=G416)*(DATOS!$G$2:$G$20000=CONFIG_METADATA!$B$4)*(COUNTIF(CONFIG_ASIGNATURAS!$B$7:$B$27,DATOS!$I$2:$I$20000)&gt;0)*(DATOS!$K$2:$K$20000))/SUMPRODUCT((DATOS!$A$2:$A$20000=G416)*(DATOS!$G$2:$G$20000=CONFIG_METADATA!$B$4)*(COUNTIF(CONFIG_ASIGNATURAS!$B$7:$B$27,DATOS!$I$2:$I$20000)&gt;0)*1),"")))</f>
        <v/>
      </c>
      <c r="N416" t="str">
        <f>IF(M416="","",IF(M416="[FÓRMULA MANUAL]","",IFERROR(AVERAGEIFS(DATOS!$K$2:$K$20000,DATOS!$A$2:$A$20000,M416,DATOS!$G$2:$G$20000,CONFIG_METADATA!$B$4,DATOS!$I$2:$I$20000,"Armonía"),"")))</f>
        <v/>
      </c>
      <c r="O416" t="str">
        <f>IF(M416="","",IF(M416="[FÓRMULA MANUAL]","",IFERROR(AVERAGEIFS(DATOS!$K$2:$K$20000,DATOS!$A$2:$A$20000,M416,DATOS!$G$2:$G$20000,CONFIG_METADATA!$B$4,DATOS!$I$2:$I$20000,"Orquesta/Banda/Conjunto"),"")))</f>
        <v/>
      </c>
      <c r="P416" t="str">
        <f>IF(M416="","",IF(M416="[FÓRMULA MANUAL]","",IFERROR(AVERAGEIFS(DATOS!$K$2:$K$20000,DATOS!$A$2:$A$20000,M416,DATOS!$G$2:$G$20000,CONFIG_METADATA!$B$4,DATOS!$I$2:$I$20000,"Música de Cámara"),"")))</f>
        <v/>
      </c>
      <c r="Q416" t="str">
        <f>IF(M416="","",IF(M416="[FÓRMULA MANUAL]","",IFERROR(SUMPRODUCT((DATOS!$A$2:$A$20000=M416)*(DATOS!$G$2:$G$20000=CONFIG_METADATA!$B$4)*(COUNTIF(CONFIG_ASIGNATURAS!$B$7:$B$27,DATOS!$I$2:$I$20000)&gt;0)*(DATOS!$K$2:$K$20000))/SUMPRODUCT((DATOS!$A$2:$A$20000=M416)*(DATOS!$G$2:$G$20000=CONFIG_METADATA!$B$4)*(COUNTIF(CONFIG_ASIGNATURAS!$B$7:$B$27,DATOS!$I$2:$I$20000)&gt;0)*1),"")))</f>
        <v/>
      </c>
      <c r="T416" t="str">
        <f>IF(S416="","",IF(S416="[FÓRMULA MANUAL]","",IFERROR(AVERAGEIFS(DATOS!$K$2:$K$20000,DATOS!$A$2:$A$20000,S416,DATOS!$G$2:$G$20000,CONFIG_METADATA!$B$4,DATOS!$I$2:$I$20000,"Armonía"),"")))</f>
        <v/>
      </c>
      <c r="U416" t="str">
        <f>IF(S416="","",IF(S416="[FÓRMULA MANUAL]","",IFERROR(AVERAGEIFS(DATOS!$K$2:$K$20000,DATOS!$A$2:$A$20000,S416,DATOS!$G$2:$G$20000,CONFIG_METADATA!$B$4,DATOS!$I$2:$I$20000,"Orquesta/Banda/Conjunto"),"")))</f>
        <v/>
      </c>
      <c r="V416" t="str">
        <f>IF(S416="","",IF(S416="[FÓRMULA MANUAL]","",IFERROR(AVERAGEIFS(DATOS!$K$2:$K$20000,DATOS!$A$2:$A$20000,S416,DATOS!$G$2:$G$20000,CONFIG_METADATA!$B$4,DATOS!$I$2:$I$20000,"Música de Cámara"),"")))</f>
        <v/>
      </c>
      <c r="W416" t="str">
        <f>IF(S416="","",IF(S416="[FÓRMULA MANUAL]","",IFERROR(SUMPRODUCT((DATOS!$A$2:$A$20000=S416)*(DATOS!$G$2:$G$20000=CONFIG_METADATA!$B$4)*(COUNTIF(CONFIG_ASIGNATURAS!$B$7:$B$27,DATOS!$I$2:$I$20000)&gt;0)*(DATOS!$K$2:$K$20000))/SUMPRODUCT((DATOS!$A$2:$A$20000=S416)*(DATOS!$G$2:$G$20000=CONFIG_METADATA!$B$4)*(COUNTIF(CONFIG_ASIGNATURAS!$B$7:$B$27,DATOS!$I$2:$I$20000)&gt;0)*1),"")))</f>
        <v/>
      </c>
      <c r="Z416" t="str">
        <f>IF(Y416="","",IF(Y416="[FÓRMULA MANUAL]","",IFERROR(AVERAGEIFS(DATOS!$K$2:$K$20000,DATOS!$A$2:$A$20000,Y416,DATOS!$G$2:$G$20000,CONFIG_METADATA!$B$4,DATOS!$I$2:$I$20000,"Análisis"),"")))</f>
        <v/>
      </c>
      <c r="AA416" t="str">
        <f>IF(Y416="","",IF(Y416="[FÓRMULA MANUAL]","",IFERROR(AVERAGEIFS(DATOS!$K$2:$K$20000,DATOS!$A$2:$A$20000,Y416,DATOS!$G$2:$G$20000,CONFIG_METADATA!$B$4,DATOS!$I$2:$I$20000,"Orquesta/Banda/Conjunto"),"")))</f>
        <v/>
      </c>
      <c r="AB416" t="str">
        <f>IF(Y416="","",IF(Y416="[FÓRMULA MANUAL]","",IFERROR(AVERAGEIFS(DATOS!$K$2:$K$20000,DATOS!$A$2:$A$20000,Y416,DATOS!$G$2:$G$20000,CONFIG_METADATA!$B$4,DATOS!$I$2:$I$20000,"Música de Cámara"),"")))</f>
        <v/>
      </c>
      <c r="AC416" t="str">
        <f>IF(Y416="","",IF(Y416="[FÓRMULA MANUAL]","",IFERROR(SUMPRODUCT((DATOS!$A$2:$A$20000=Y416)*(DATOS!$G$2:$G$20000=CONFIG_METADATA!$B$4)*(COUNTIF(CONFIG_ASIGNATURAS!$B$7:$B$27,DATOS!$I$2:$I$20000)&gt;0)*(DATOS!$K$2:$K$20000))/SUMPRODUCT((DATOS!$A$2:$A$20000=Y416)*(DATOS!$G$2:$G$20000=CONFIG_METADATA!$B$4)*(COUNTIF(CONFIG_ASIGNATURAS!$B$7:$B$27,DATOS!$I$2:$I$20000)&gt;0)*1),"")))</f>
        <v/>
      </c>
      <c r="AF416" t="str">
        <f>IF(AE416="","",IF(AE416="[FÓRMULA MANUAL]","",IFERROR(AVERAGEIFS(DATOS!$K$2:$K$20000,DATOS!$A$2:$A$20000,AE416,DATOS!$G$2:$G$20000,CONFIG_METADATA!$B$4,DATOS!$I$2:$I$20000,"Análisis"),"")))</f>
        <v/>
      </c>
      <c r="AG416" t="str">
        <f>IF(AE416="","",IF(AE416="[FÓRMULA MANUAL]","",IFERROR(AVERAGEIFS(DATOS!$K$2:$K$20000,DATOS!$A$2:$A$20000,AE416,DATOS!$G$2:$G$20000,CONFIG_METADATA!$B$4,DATOS!$I$2:$I$20000,"Orquesta/Banda/Conjunto"),"")))</f>
        <v/>
      </c>
      <c r="AH416" t="str">
        <f>IF(AE416="","",IF(AE416="[FÓRMULA MANUAL]","",IFERROR(AVERAGEIFS(DATOS!$K$2:$K$20000,DATOS!$A$2:$A$20000,AE416,DATOS!$G$2:$G$20000,CONFIG_METADATA!$B$4,DATOS!$I$2:$I$20000,"Música de Cámara"),"")))</f>
        <v/>
      </c>
      <c r="AI416" t="str">
        <f>IF(AE416="","",IF(AE416="[FÓRMULA MANUAL]","",IFERROR(SUMPRODUCT((DATOS!$A$2:$A$20000=AE416)*(DATOS!$G$2:$G$20000=CONFIG_METADATA!$B$4)*(COUNTIF(CONFIG_ASIGNATURAS!$B$7:$B$27,DATOS!$I$2:$I$20000)&gt;0)*(DATOS!$K$2:$K$20000))/SUMPRODUCT((DATOS!$A$2:$A$20000=AE416)*(DATOS!$G$2:$G$20000=CONFIG_METADATA!$B$4)*(COUNTIF(CONFIG_ASIGNATURAS!$B$7:$B$27,DATOS!$I$2:$I$20000)&gt;0)*1),"")))</f>
        <v/>
      </c>
    </row>
    <row r="417" spans="2:35" x14ac:dyDescent="0.2">
      <c r="B417" t="str">
        <f>IF(A417="","",IF(A417="[FÓRMULA MANUAL]","",IFERROR(AVERAGEIFS(DATOS!$K$2:$K$20000,DATOS!$A$2:$A$20000,A417,DATOS!$G$2:$G$20000,CONFIG_METADATA!$B$4,DATOS!$I$2:$I$20000,"Lenguaje Musical"),"")))</f>
        <v/>
      </c>
      <c r="C417" t="str">
        <f>IF(A417="","",IF(A417="[FÓRMULA MANUAL]","",IFERROR(AVERAGEIFS(DATOS!$K$2:$K$20000,DATOS!$A$2:$A$20000,A417,DATOS!$G$2:$G$20000,CONFIG_METADATA!$B$4,DATOS!$I$2:$I$20000,"Orquesta/Banda/Conjunto"),"")))</f>
        <v/>
      </c>
      <c r="D417" t="str">
        <f>IF(A417="","",IF(A417="[FÓRMULA MANUAL]","",IFERROR(AVERAGEIFS(DATOS!$K$2:$K$20000,DATOS!$A$2:$A$20000,A417,DATOS!$G$2:$G$20000,CONFIG_METADATA!$B$4,DATOS!$I$2:$I$20000,"Conjunto"),"")))</f>
        <v/>
      </c>
      <c r="E417" t="str">
        <f>IF(A417="","",IF(A417="[FÓRMULA MANUAL]","",IFERROR(SUMPRODUCT((DATOS!$A$2:$A$20000=A417)*(DATOS!$G$2:$G$20000=CONFIG_METADATA!$B$4)*(COUNTIF(CONFIG_ASIGNATURAS!$B$7:$B$27,DATOS!$I$2:$I$20000)&gt;0)*(DATOS!$K$2:$K$20000))/SUMPRODUCT((DATOS!$A$2:$A$20000=A417)*(DATOS!$G$2:$G$20000=CONFIG_METADATA!$B$4)*(COUNTIF(CONFIG_ASIGNATURAS!$B$7:$B$27,DATOS!$I$2:$I$20000)&gt;0)*1),"")))</f>
        <v/>
      </c>
      <c r="H417" t="str">
        <f>IF(G417="","",IF(G417="[FÓRMULA MANUAL]","",IFERROR(AVERAGEIFS(DATOS!$K$2:$K$20000,DATOS!$A$2:$A$20000,G417,DATOS!$G$2:$G$20000,CONFIG_METADATA!$B$4,DATOS!$I$2:$I$20000,"Lenguaje Musical"),"")))</f>
        <v/>
      </c>
      <c r="I417" t="str">
        <f>IF(G417="","",IF(G417="[FÓRMULA MANUAL]","",IFERROR(AVERAGEIFS(DATOS!$K$2:$K$20000,DATOS!$A$2:$A$20000,G417,DATOS!$G$2:$G$20000,CONFIG_METADATA!$B$4,DATOS!$I$2:$I$20000,"Orquesta/Banda/Conjunto"),"")))</f>
        <v/>
      </c>
      <c r="J417" t="str">
        <f>IF(G417="","",IF(G417="[FÓRMULA MANUAL]","",IFERROR(AVERAGEIFS(DATOS!$K$2:$K$20000,DATOS!$A$2:$A$20000,G417,DATOS!$G$2:$G$20000,CONFIG_METADATA!$B$4,DATOS!$I$2:$I$20000,"Conjunto"),"")))</f>
        <v/>
      </c>
      <c r="K417" t="str">
        <f>IF(G417="","",IF(G417="[FÓRMULA MANUAL]","",IFERROR(SUMPRODUCT((DATOS!$A$2:$A$20000=G417)*(DATOS!$G$2:$G$20000=CONFIG_METADATA!$B$4)*(COUNTIF(CONFIG_ASIGNATURAS!$B$7:$B$27,DATOS!$I$2:$I$20000)&gt;0)*(DATOS!$K$2:$K$20000))/SUMPRODUCT((DATOS!$A$2:$A$20000=G417)*(DATOS!$G$2:$G$20000=CONFIG_METADATA!$B$4)*(COUNTIF(CONFIG_ASIGNATURAS!$B$7:$B$27,DATOS!$I$2:$I$20000)&gt;0)*1),"")))</f>
        <v/>
      </c>
      <c r="N417" t="str">
        <f>IF(M417="","",IF(M417="[FÓRMULA MANUAL]","",IFERROR(AVERAGEIFS(DATOS!$K$2:$K$20000,DATOS!$A$2:$A$20000,M417,DATOS!$G$2:$G$20000,CONFIG_METADATA!$B$4,DATOS!$I$2:$I$20000,"Armonía"),"")))</f>
        <v/>
      </c>
      <c r="O417" t="str">
        <f>IF(M417="","",IF(M417="[FÓRMULA MANUAL]","",IFERROR(AVERAGEIFS(DATOS!$K$2:$K$20000,DATOS!$A$2:$A$20000,M417,DATOS!$G$2:$G$20000,CONFIG_METADATA!$B$4,DATOS!$I$2:$I$20000,"Orquesta/Banda/Conjunto"),"")))</f>
        <v/>
      </c>
      <c r="P417" t="str">
        <f>IF(M417="","",IF(M417="[FÓRMULA MANUAL]","",IFERROR(AVERAGEIFS(DATOS!$K$2:$K$20000,DATOS!$A$2:$A$20000,M417,DATOS!$G$2:$G$20000,CONFIG_METADATA!$B$4,DATOS!$I$2:$I$20000,"Música de Cámara"),"")))</f>
        <v/>
      </c>
      <c r="Q417" t="str">
        <f>IF(M417="","",IF(M417="[FÓRMULA MANUAL]","",IFERROR(SUMPRODUCT((DATOS!$A$2:$A$20000=M417)*(DATOS!$G$2:$G$20000=CONFIG_METADATA!$B$4)*(COUNTIF(CONFIG_ASIGNATURAS!$B$7:$B$27,DATOS!$I$2:$I$20000)&gt;0)*(DATOS!$K$2:$K$20000))/SUMPRODUCT((DATOS!$A$2:$A$20000=M417)*(DATOS!$G$2:$G$20000=CONFIG_METADATA!$B$4)*(COUNTIF(CONFIG_ASIGNATURAS!$B$7:$B$27,DATOS!$I$2:$I$20000)&gt;0)*1),"")))</f>
        <v/>
      </c>
      <c r="T417" t="str">
        <f>IF(S417="","",IF(S417="[FÓRMULA MANUAL]","",IFERROR(AVERAGEIFS(DATOS!$K$2:$K$20000,DATOS!$A$2:$A$20000,S417,DATOS!$G$2:$G$20000,CONFIG_METADATA!$B$4,DATOS!$I$2:$I$20000,"Armonía"),"")))</f>
        <v/>
      </c>
      <c r="U417" t="str">
        <f>IF(S417="","",IF(S417="[FÓRMULA MANUAL]","",IFERROR(AVERAGEIFS(DATOS!$K$2:$K$20000,DATOS!$A$2:$A$20000,S417,DATOS!$G$2:$G$20000,CONFIG_METADATA!$B$4,DATOS!$I$2:$I$20000,"Orquesta/Banda/Conjunto"),"")))</f>
        <v/>
      </c>
      <c r="V417" t="str">
        <f>IF(S417="","",IF(S417="[FÓRMULA MANUAL]","",IFERROR(AVERAGEIFS(DATOS!$K$2:$K$20000,DATOS!$A$2:$A$20000,S417,DATOS!$G$2:$G$20000,CONFIG_METADATA!$B$4,DATOS!$I$2:$I$20000,"Música de Cámara"),"")))</f>
        <v/>
      </c>
      <c r="W417" t="str">
        <f>IF(S417="","",IF(S417="[FÓRMULA MANUAL]","",IFERROR(SUMPRODUCT((DATOS!$A$2:$A$20000=S417)*(DATOS!$G$2:$G$20000=CONFIG_METADATA!$B$4)*(COUNTIF(CONFIG_ASIGNATURAS!$B$7:$B$27,DATOS!$I$2:$I$20000)&gt;0)*(DATOS!$K$2:$K$20000))/SUMPRODUCT((DATOS!$A$2:$A$20000=S417)*(DATOS!$G$2:$G$20000=CONFIG_METADATA!$B$4)*(COUNTIF(CONFIG_ASIGNATURAS!$B$7:$B$27,DATOS!$I$2:$I$20000)&gt;0)*1),"")))</f>
        <v/>
      </c>
      <c r="Z417" t="str">
        <f>IF(Y417="","",IF(Y417="[FÓRMULA MANUAL]","",IFERROR(AVERAGEIFS(DATOS!$K$2:$K$20000,DATOS!$A$2:$A$20000,Y417,DATOS!$G$2:$G$20000,CONFIG_METADATA!$B$4,DATOS!$I$2:$I$20000,"Análisis"),"")))</f>
        <v/>
      </c>
      <c r="AA417" t="str">
        <f>IF(Y417="","",IF(Y417="[FÓRMULA MANUAL]","",IFERROR(AVERAGEIFS(DATOS!$K$2:$K$20000,DATOS!$A$2:$A$20000,Y417,DATOS!$G$2:$G$20000,CONFIG_METADATA!$B$4,DATOS!$I$2:$I$20000,"Orquesta/Banda/Conjunto"),"")))</f>
        <v/>
      </c>
      <c r="AB417" t="str">
        <f>IF(Y417="","",IF(Y417="[FÓRMULA MANUAL]","",IFERROR(AVERAGEIFS(DATOS!$K$2:$K$20000,DATOS!$A$2:$A$20000,Y417,DATOS!$G$2:$G$20000,CONFIG_METADATA!$B$4,DATOS!$I$2:$I$20000,"Música de Cámara"),"")))</f>
        <v/>
      </c>
      <c r="AC417" t="str">
        <f>IF(Y417="","",IF(Y417="[FÓRMULA MANUAL]","",IFERROR(SUMPRODUCT((DATOS!$A$2:$A$20000=Y417)*(DATOS!$G$2:$G$20000=CONFIG_METADATA!$B$4)*(COUNTIF(CONFIG_ASIGNATURAS!$B$7:$B$27,DATOS!$I$2:$I$20000)&gt;0)*(DATOS!$K$2:$K$20000))/SUMPRODUCT((DATOS!$A$2:$A$20000=Y417)*(DATOS!$G$2:$G$20000=CONFIG_METADATA!$B$4)*(COUNTIF(CONFIG_ASIGNATURAS!$B$7:$B$27,DATOS!$I$2:$I$20000)&gt;0)*1),"")))</f>
        <v/>
      </c>
      <c r="AF417" t="str">
        <f>IF(AE417="","",IF(AE417="[FÓRMULA MANUAL]","",IFERROR(AVERAGEIFS(DATOS!$K$2:$K$20000,DATOS!$A$2:$A$20000,AE417,DATOS!$G$2:$G$20000,CONFIG_METADATA!$B$4,DATOS!$I$2:$I$20000,"Análisis"),"")))</f>
        <v/>
      </c>
      <c r="AG417" t="str">
        <f>IF(AE417="","",IF(AE417="[FÓRMULA MANUAL]","",IFERROR(AVERAGEIFS(DATOS!$K$2:$K$20000,DATOS!$A$2:$A$20000,AE417,DATOS!$G$2:$G$20000,CONFIG_METADATA!$B$4,DATOS!$I$2:$I$20000,"Orquesta/Banda/Conjunto"),"")))</f>
        <v/>
      </c>
      <c r="AH417" t="str">
        <f>IF(AE417="","",IF(AE417="[FÓRMULA MANUAL]","",IFERROR(AVERAGEIFS(DATOS!$K$2:$K$20000,DATOS!$A$2:$A$20000,AE417,DATOS!$G$2:$G$20000,CONFIG_METADATA!$B$4,DATOS!$I$2:$I$20000,"Música de Cámara"),"")))</f>
        <v/>
      </c>
      <c r="AI417" t="str">
        <f>IF(AE417="","",IF(AE417="[FÓRMULA MANUAL]","",IFERROR(SUMPRODUCT((DATOS!$A$2:$A$20000=AE417)*(DATOS!$G$2:$G$20000=CONFIG_METADATA!$B$4)*(COUNTIF(CONFIG_ASIGNATURAS!$B$7:$B$27,DATOS!$I$2:$I$20000)&gt;0)*(DATOS!$K$2:$K$20000))/SUMPRODUCT((DATOS!$A$2:$A$20000=AE417)*(DATOS!$G$2:$G$20000=CONFIG_METADATA!$B$4)*(COUNTIF(CONFIG_ASIGNATURAS!$B$7:$B$27,DATOS!$I$2:$I$20000)&gt;0)*1),"")))</f>
        <v/>
      </c>
    </row>
    <row r="418" spans="2:35" x14ac:dyDescent="0.2">
      <c r="B418" t="str">
        <f>IF(A418="","",IF(A418="[FÓRMULA MANUAL]","",IFERROR(AVERAGEIFS(DATOS!$K$2:$K$20000,DATOS!$A$2:$A$20000,A418,DATOS!$G$2:$G$20000,CONFIG_METADATA!$B$4,DATOS!$I$2:$I$20000,"Lenguaje Musical"),"")))</f>
        <v/>
      </c>
      <c r="C418" t="str">
        <f>IF(A418="","",IF(A418="[FÓRMULA MANUAL]","",IFERROR(AVERAGEIFS(DATOS!$K$2:$K$20000,DATOS!$A$2:$A$20000,A418,DATOS!$G$2:$G$20000,CONFIG_METADATA!$B$4,DATOS!$I$2:$I$20000,"Orquesta/Banda/Conjunto"),"")))</f>
        <v/>
      </c>
      <c r="D418" t="str">
        <f>IF(A418="","",IF(A418="[FÓRMULA MANUAL]","",IFERROR(AVERAGEIFS(DATOS!$K$2:$K$20000,DATOS!$A$2:$A$20000,A418,DATOS!$G$2:$G$20000,CONFIG_METADATA!$B$4,DATOS!$I$2:$I$20000,"Conjunto"),"")))</f>
        <v/>
      </c>
      <c r="E418" t="str">
        <f>IF(A418="","",IF(A418="[FÓRMULA MANUAL]","",IFERROR(SUMPRODUCT((DATOS!$A$2:$A$20000=A418)*(DATOS!$G$2:$G$20000=CONFIG_METADATA!$B$4)*(COUNTIF(CONFIG_ASIGNATURAS!$B$7:$B$27,DATOS!$I$2:$I$20000)&gt;0)*(DATOS!$K$2:$K$20000))/SUMPRODUCT((DATOS!$A$2:$A$20000=A418)*(DATOS!$G$2:$G$20000=CONFIG_METADATA!$B$4)*(COUNTIF(CONFIG_ASIGNATURAS!$B$7:$B$27,DATOS!$I$2:$I$20000)&gt;0)*1),"")))</f>
        <v/>
      </c>
      <c r="H418" t="str">
        <f>IF(G418="","",IF(G418="[FÓRMULA MANUAL]","",IFERROR(AVERAGEIFS(DATOS!$K$2:$K$20000,DATOS!$A$2:$A$20000,G418,DATOS!$G$2:$G$20000,CONFIG_METADATA!$B$4,DATOS!$I$2:$I$20000,"Lenguaje Musical"),"")))</f>
        <v/>
      </c>
      <c r="I418" t="str">
        <f>IF(G418="","",IF(G418="[FÓRMULA MANUAL]","",IFERROR(AVERAGEIFS(DATOS!$K$2:$K$20000,DATOS!$A$2:$A$20000,G418,DATOS!$G$2:$G$20000,CONFIG_METADATA!$B$4,DATOS!$I$2:$I$20000,"Orquesta/Banda/Conjunto"),"")))</f>
        <v/>
      </c>
      <c r="J418" t="str">
        <f>IF(G418="","",IF(G418="[FÓRMULA MANUAL]","",IFERROR(AVERAGEIFS(DATOS!$K$2:$K$20000,DATOS!$A$2:$A$20000,G418,DATOS!$G$2:$G$20000,CONFIG_METADATA!$B$4,DATOS!$I$2:$I$20000,"Conjunto"),"")))</f>
        <v/>
      </c>
      <c r="K418" t="str">
        <f>IF(G418="","",IF(G418="[FÓRMULA MANUAL]","",IFERROR(SUMPRODUCT((DATOS!$A$2:$A$20000=G418)*(DATOS!$G$2:$G$20000=CONFIG_METADATA!$B$4)*(COUNTIF(CONFIG_ASIGNATURAS!$B$7:$B$27,DATOS!$I$2:$I$20000)&gt;0)*(DATOS!$K$2:$K$20000))/SUMPRODUCT((DATOS!$A$2:$A$20000=G418)*(DATOS!$G$2:$G$20000=CONFIG_METADATA!$B$4)*(COUNTIF(CONFIG_ASIGNATURAS!$B$7:$B$27,DATOS!$I$2:$I$20000)&gt;0)*1),"")))</f>
        <v/>
      </c>
      <c r="N418" t="str">
        <f>IF(M418="","",IF(M418="[FÓRMULA MANUAL]","",IFERROR(AVERAGEIFS(DATOS!$K$2:$K$20000,DATOS!$A$2:$A$20000,M418,DATOS!$G$2:$G$20000,CONFIG_METADATA!$B$4,DATOS!$I$2:$I$20000,"Armonía"),"")))</f>
        <v/>
      </c>
      <c r="O418" t="str">
        <f>IF(M418="","",IF(M418="[FÓRMULA MANUAL]","",IFERROR(AVERAGEIFS(DATOS!$K$2:$K$20000,DATOS!$A$2:$A$20000,M418,DATOS!$G$2:$G$20000,CONFIG_METADATA!$B$4,DATOS!$I$2:$I$20000,"Orquesta/Banda/Conjunto"),"")))</f>
        <v/>
      </c>
      <c r="P418" t="str">
        <f>IF(M418="","",IF(M418="[FÓRMULA MANUAL]","",IFERROR(AVERAGEIFS(DATOS!$K$2:$K$20000,DATOS!$A$2:$A$20000,M418,DATOS!$G$2:$G$20000,CONFIG_METADATA!$B$4,DATOS!$I$2:$I$20000,"Música de Cámara"),"")))</f>
        <v/>
      </c>
      <c r="Q418" t="str">
        <f>IF(M418="","",IF(M418="[FÓRMULA MANUAL]","",IFERROR(SUMPRODUCT((DATOS!$A$2:$A$20000=M418)*(DATOS!$G$2:$G$20000=CONFIG_METADATA!$B$4)*(COUNTIF(CONFIG_ASIGNATURAS!$B$7:$B$27,DATOS!$I$2:$I$20000)&gt;0)*(DATOS!$K$2:$K$20000))/SUMPRODUCT((DATOS!$A$2:$A$20000=M418)*(DATOS!$G$2:$G$20000=CONFIG_METADATA!$B$4)*(COUNTIF(CONFIG_ASIGNATURAS!$B$7:$B$27,DATOS!$I$2:$I$20000)&gt;0)*1),"")))</f>
        <v/>
      </c>
      <c r="T418" t="str">
        <f>IF(S418="","",IF(S418="[FÓRMULA MANUAL]","",IFERROR(AVERAGEIFS(DATOS!$K$2:$K$20000,DATOS!$A$2:$A$20000,S418,DATOS!$G$2:$G$20000,CONFIG_METADATA!$B$4,DATOS!$I$2:$I$20000,"Armonía"),"")))</f>
        <v/>
      </c>
      <c r="U418" t="str">
        <f>IF(S418="","",IF(S418="[FÓRMULA MANUAL]","",IFERROR(AVERAGEIFS(DATOS!$K$2:$K$20000,DATOS!$A$2:$A$20000,S418,DATOS!$G$2:$G$20000,CONFIG_METADATA!$B$4,DATOS!$I$2:$I$20000,"Orquesta/Banda/Conjunto"),"")))</f>
        <v/>
      </c>
      <c r="V418" t="str">
        <f>IF(S418="","",IF(S418="[FÓRMULA MANUAL]","",IFERROR(AVERAGEIFS(DATOS!$K$2:$K$20000,DATOS!$A$2:$A$20000,S418,DATOS!$G$2:$G$20000,CONFIG_METADATA!$B$4,DATOS!$I$2:$I$20000,"Música de Cámara"),"")))</f>
        <v/>
      </c>
      <c r="W418" t="str">
        <f>IF(S418="","",IF(S418="[FÓRMULA MANUAL]","",IFERROR(SUMPRODUCT((DATOS!$A$2:$A$20000=S418)*(DATOS!$G$2:$G$20000=CONFIG_METADATA!$B$4)*(COUNTIF(CONFIG_ASIGNATURAS!$B$7:$B$27,DATOS!$I$2:$I$20000)&gt;0)*(DATOS!$K$2:$K$20000))/SUMPRODUCT((DATOS!$A$2:$A$20000=S418)*(DATOS!$G$2:$G$20000=CONFIG_METADATA!$B$4)*(COUNTIF(CONFIG_ASIGNATURAS!$B$7:$B$27,DATOS!$I$2:$I$20000)&gt;0)*1),"")))</f>
        <v/>
      </c>
      <c r="Z418" t="str">
        <f>IF(Y418="","",IF(Y418="[FÓRMULA MANUAL]","",IFERROR(AVERAGEIFS(DATOS!$K$2:$K$20000,DATOS!$A$2:$A$20000,Y418,DATOS!$G$2:$G$20000,CONFIG_METADATA!$B$4,DATOS!$I$2:$I$20000,"Análisis"),"")))</f>
        <v/>
      </c>
      <c r="AA418" t="str">
        <f>IF(Y418="","",IF(Y418="[FÓRMULA MANUAL]","",IFERROR(AVERAGEIFS(DATOS!$K$2:$K$20000,DATOS!$A$2:$A$20000,Y418,DATOS!$G$2:$G$20000,CONFIG_METADATA!$B$4,DATOS!$I$2:$I$20000,"Orquesta/Banda/Conjunto"),"")))</f>
        <v/>
      </c>
      <c r="AB418" t="str">
        <f>IF(Y418="","",IF(Y418="[FÓRMULA MANUAL]","",IFERROR(AVERAGEIFS(DATOS!$K$2:$K$20000,DATOS!$A$2:$A$20000,Y418,DATOS!$G$2:$G$20000,CONFIG_METADATA!$B$4,DATOS!$I$2:$I$20000,"Música de Cámara"),"")))</f>
        <v/>
      </c>
      <c r="AC418" t="str">
        <f>IF(Y418="","",IF(Y418="[FÓRMULA MANUAL]","",IFERROR(SUMPRODUCT((DATOS!$A$2:$A$20000=Y418)*(DATOS!$G$2:$G$20000=CONFIG_METADATA!$B$4)*(COUNTIF(CONFIG_ASIGNATURAS!$B$7:$B$27,DATOS!$I$2:$I$20000)&gt;0)*(DATOS!$K$2:$K$20000))/SUMPRODUCT((DATOS!$A$2:$A$20000=Y418)*(DATOS!$G$2:$G$20000=CONFIG_METADATA!$B$4)*(COUNTIF(CONFIG_ASIGNATURAS!$B$7:$B$27,DATOS!$I$2:$I$20000)&gt;0)*1),"")))</f>
        <v/>
      </c>
      <c r="AF418" t="str">
        <f>IF(AE418="","",IF(AE418="[FÓRMULA MANUAL]","",IFERROR(AVERAGEIFS(DATOS!$K$2:$K$20000,DATOS!$A$2:$A$20000,AE418,DATOS!$G$2:$G$20000,CONFIG_METADATA!$B$4,DATOS!$I$2:$I$20000,"Análisis"),"")))</f>
        <v/>
      </c>
      <c r="AG418" t="str">
        <f>IF(AE418="","",IF(AE418="[FÓRMULA MANUAL]","",IFERROR(AVERAGEIFS(DATOS!$K$2:$K$20000,DATOS!$A$2:$A$20000,AE418,DATOS!$G$2:$G$20000,CONFIG_METADATA!$B$4,DATOS!$I$2:$I$20000,"Orquesta/Banda/Conjunto"),"")))</f>
        <v/>
      </c>
      <c r="AH418" t="str">
        <f>IF(AE418="","",IF(AE418="[FÓRMULA MANUAL]","",IFERROR(AVERAGEIFS(DATOS!$K$2:$K$20000,DATOS!$A$2:$A$20000,AE418,DATOS!$G$2:$G$20000,CONFIG_METADATA!$B$4,DATOS!$I$2:$I$20000,"Música de Cámara"),"")))</f>
        <v/>
      </c>
      <c r="AI418" t="str">
        <f>IF(AE418="","",IF(AE418="[FÓRMULA MANUAL]","",IFERROR(SUMPRODUCT((DATOS!$A$2:$A$20000=AE418)*(DATOS!$G$2:$G$20000=CONFIG_METADATA!$B$4)*(COUNTIF(CONFIG_ASIGNATURAS!$B$7:$B$27,DATOS!$I$2:$I$20000)&gt;0)*(DATOS!$K$2:$K$20000))/SUMPRODUCT((DATOS!$A$2:$A$20000=AE418)*(DATOS!$G$2:$G$20000=CONFIG_METADATA!$B$4)*(COUNTIF(CONFIG_ASIGNATURAS!$B$7:$B$27,DATOS!$I$2:$I$20000)&gt;0)*1),"")))</f>
        <v/>
      </c>
    </row>
    <row r="419" spans="2:35" x14ac:dyDescent="0.2">
      <c r="B419" t="str">
        <f>IF(A419="","",IF(A419="[FÓRMULA MANUAL]","",IFERROR(AVERAGEIFS(DATOS!$K$2:$K$20000,DATOS!$A$2:$A$20000,A419,DATOS!$G$2:$G$20000,CONFIG_METADATA!$B$4,DATOS!$I$2:$I$20000,"Lenguaje Musical"),"")))</f>
        <v/>
      </c>
      <c r="C419" t="str">
        <f>IF(A419="","",IF(A419="[FÓRMULA MANUAL]","",IFERROR(AVERAGEIFS(DATOS!$K$2:$K$20000,DATOS!$A$2:$A$20000,A419,DATOS!$G$2:$G$20000,CONFIG_METADATA!$B$4,DATOS!$I$2:$I$20000,"Orquesta/Banda/Conjunto"),"")))</f>
        <v/>
      </c>
      <c r="D419" t="str">
        <f>IF(A419="","",IF(A419="[FÓRMULA MANUAL]","",IFERROR(AVERAGEIFS(DATOS!$K$2:$K$20000,DATOS!$A$2:$A$20000,A419,DATOS!$G$2:$G$20000,CONFIG_METADATA!$B$4,DATOS!$I$2:$I$20000,"Conjunto"),"")))</f>
        <v/>
      </c>
      <c r="E419" t="str">
        <f>IF(A419="","",IF(A419="[FÓRMULA MANUAL]","",IFERROR(SUMPRODUCT((DATOS!$A$2:$A$20000=A419)*(DATOS!$G$2:$G$20000=CONFIG_METADATA!$B$4)*(COUNTIF(CONFIG_ASIGNATURAS!$B$7:$B$27,DATOS!$I$2:$I$20000)&gt;0)*(DATOS!$K$2:$K$20000))/SUMPRODUCT((DATOS!$A$2:$A$20000=A419)*(DATOS!$G$2:$G$20000=CONFIG_METADATA!$B$4)*(COUNTIF(CONFIG_ASIGNATURAS!$B$7:$B$27,DATOS!$I$2:$I$20000)&gt;0)*1),"")))</f>
        <v/>
      </c>
      <c r="H419" t="str">
        <f>IF(G419="","",IF(G419="[FÓRMULA MANUAL]","",IFERROR(AVERAGEIFS(DATOS!$K$2:$K$20000,DATOS!$A$2:$A$20000,G419,DATOS!$G$2:$G$20000,CONFIG_METADATA!$B$4,DATOS!$I$2:$I$20000,"Lenguaje Musical"),"")))</f>
        <v/>
      </c>
      <c r="I419" t="str">
        <f>IF(G419="","",IF(G419="[FÓRMULA MANUAL]","",IFERROR(AVERAGEIFS(DATOS!$K$2:$K$20000,DATOS!$A$2:$A$20000,G419,DATOS!$G$2:$G$20000,CONFIG_METADATA!$B$4,DATOS!$I$2:$I$20000,"Orquesta/Banda/Conjunto"),"")))</f>
        <v/>
      </c>
      <c r="J419" t="str">
        <f>IF(G419="","",IF(G419="[FÓRMULA MANUAL]","",IFERROR(AVERAGEIFS(DATOS!$K$2:$K$20000,DATOS!$A$2:$A$20000,G419,DATOS!$G$2:$G$20000,CONFIG_METADATA!$B$4,DATOS!$I$2:$I$20000,"Conjunto"),"")))</f>
        <v/>
      </c>
      <c r="K419" t="str">
        <f>IF(G419="","",IF(G419="[FÓRMULA MANUAL]","",IFERROR(SUMPRODUCT((DATOS!$A$2:$A$20000=G419)*(DATOS!$G$2:$G$20000=CONFIG_METADATA!$B$4)*(COUNTIF(CONFIG_ASIGNATURAS!$B$7:$B$27,DATOS!$I$2:$I$20000)&gt;0)*(DATOS!$K$2:$K$20000))/SUMPRODUCT((DATOS!$A$2:$A$20000=G419)*(DATOS!$G$2:$G$20000=CONFIG_METADATA!$B$4)*(COUNTIF(CONFIG_ASIGNATURAS!$B$7:$B$27,DATOS!$I$2:$I$20000)&gt;0)*1),"")))</f>
        <v/>
      </c>
      <c r="N419" t="str">
        <f>IF(M419="","",IF(M419="[FÓRMULA MANUAL]","",IFERROR(AVERAGEIFS(DATOS!$K$2:$K$20000,DATOS!$A$2:$A$20000,M419,DATOS!$G$2:$G$20000,CONFIG_METADATA!$B$4,DATOS!$I$2:$I$20000,"Armonía"),"")))</f>
        <v/>
      </c>
      <c r="O419" t="str">
        <f>IF(M419="","",IF(M419="[FÓRMULA MANUAL]","",IFERROR(AVERAGEIFS(DATOS!$K$2:$K$20000,DATOS!$A$2:$A$20000,M419,DATOS!$G$2:$G$20000,CONFIG_METADATA!$B$4,DATOS!$I$2:$I$20000,"Orquesta/Banda/Conjunto"),"")))</f>
        <v/>
      </c>
      <c r="P419" t="str">
        <f>IF(M419="","",IF(M419="[FÓRMULA MANUAL]","",IFERROR(AVERAGEIFS(DATOS!$K$2:$K$20000,DATOS!$A$2:$A$20000,M419,DATOS!$G$2:$G$20000,CONFIG_METADATA!$B$4,DATOS!$I$2:$I$20000,"Música de Cámara"),"")))</f>
        <v/>
      </c>
      <c r="Q419" t="str">
        <f>IF(M419="","",IF(M419="[FÓRMULA MANUAL]","",IFERROR(SUMPRODUCT((DATOS!$A$2:$A$20000=M419)*(DATOS!$G$2:$G$20000=CONFIG_METADATA!$B$4)*(COUNTIF(CONFIG_ASIGNATURAS!$B$7:$B$27,DATOS!$I$2:$I$20000)&gt;0)*(DATOS!$K$2:$K$20000))/SUMPRODUCT((DATOS!$A$2:$A$20000=M419)*(DATOS!$G$2:$G$20000=CONFIG_METADATA!$B$4)*(COUNTIF(CONFIG_ASIGNATURAS!$B$7:$B$27,DATOS!$I$2:$I$20000)&gt;0)*1),"")))</f>
        <v/>
      </c>
      <c r="T419" t="str">
        <f>IF(S419="","",IF(S419="[FÓRMULA MANUAL]","",IFERROR(AVERAGEIFS(DATOS!$K$2:$K$20000,DATOS!$A$2:$A$20000,S419,DATOS!$G$2:$G$20000,CONFIG_METADATA!$B$4,DATOS!$I$2:$I$20000,"Armonía"),"")))</f>
        <v/>
      </c>
      <c r="U419" t="str">
        <f>IF(S419="","",IF(S419="[FÓRMULA MANUAL]","",IFERROR(AVERAGEIFS(DATOS!$K$2:$K$20000,DATOS!$A$2:$A$20000,S419,DATOS!$G$2:$G$20000,CONFIG_METADATA!$B$4,DATOS!$I$2:$I$20000,"Orquesta/Banda/Conjunto"),"")))</f>
        <v/>
      </c>
      <c r="V419" t="str">
        <f>IF(S419="","",IF(S419="[FÓRMULA MANUAL]","",IFERROR(AVERAGEIFS(DATOS!$K$2:$K$20000,DATOS!$A$2:$A$20000,S419,DATOS!$G$2:$G$20000,CONFIG_METADATA!$B$4,DATOS!$I$2:$I$20000,"Música de Cámara"),"")))</f>
        <v/>
      </c>
      <c r="W419" t="str">
        <f>IF(S419="","",IF(S419="[FÓRMULA MANUAL]","",IFERROR(SUMPRODUCT((DATOS!$A$2:$A$20000=S419)*(DATOS!$G$2:$G$20000=CONFIG_METADATA!$B$4)*(COUNTIF(CONFIG_ASIGNATURAS!$B$7:$B$27,DATOS!$I$2:$I$20000)&gt;0)*(DATOS!$K$2:$K$20000))/SUMPRODUCT((DATOS!$A$2:$A$20000=S419)*(DATOS!$G$2:$G$20000=CONFIG_METADATA!$B$4)*(COUNTIF(CONFIG_ASIGNATURAS!$B$7:$B$27,DATOS!$I$2:$I$20000)&gt;0)*1),"")))</f>
        <v/>
      </c>
      <c r="Z419" t="str">
        <f>IF(Y419="","",IF(Y419="[FÓRMULA MANUAL]","",IFERROR(AVERAGEIFS(DATOS!$K$2:$K$20000,DATOS!$A$2:$A$20000,Y419,DATOS!$G$2:$G$20000,CONFIG_METADATA!$B$4,DATOS!$I$2:$I$20000,"Análisis"),"")))</f>
        <v/>
      </c>
      <c r="AA419" t="str">
        <f>IF(Y419="","",IF(Y419="[FÓRMULA MANUAL]","",IFERROR(AVERAGEIFS(DATOS!$K$2:$K$20000,DATOS!$A$2:$A$20000,Y419,DATOS!$G$2:$G$20000,CONFIG_METADATA!$B$4,DATOS!$I$2:$I$20000,"Orquesta/Banda/Conjunto"),"")))</f>
        <v/>
      </c>
      <c r="AB419" t="str">
        <f>IF(Y419="","",IF(Y419="[FÓRMULA MANUAL]","",IFERROR(AVERAGEIFS(DATOS!$K$2:$K$20000,DATOS!$A$2:$A$20000,Y419,DATOS!$G$2:$G$20000,CONFIG_METADATA!$B$4,DATOS!$I$2:$I$20000,"Música de Cámara"),"")))</f>
        <v/>
      </c>
      <c r="AC419" t="str">
        <f>IF(Y419="","",IF(Y419="[FÓRMULA MANUAL]","",IFERROR(SUMPRODUCT((DATOS!$A$2:$A$20000=Y419)*(DATOS!$G$2:$G$20000=CONFIG_METADATA!$B$4)*(COUNTIF(CONFIG_ASIGNATURAS!$B$7:$B$27,DATOS!$I$2:$I$20000)&gt;0)*(DATOS!$K$2:$K$20000))/SUMPRODUCT((DATOS!$A$2:$A$20000=Y419)*(DATOS!$G$2:$G$20000=CONFIG_METADATA!$B$4)*(COUNTIF(CONFIG_ASIGNATURAS!$B$7:$B$27,DATOS!$I$2:$I$20000)&gt;0)*1),"")))</f>
        <v/>
      </c>
      <c r="AF419" t="str">
        <f>IF(AE419="","",IF(AE419="[FÓRMULA MANUAL]","",IFERROR(AVERAGEIFS(DATOS!$K$2:$K$20000,DATOS!$A$2:$A$20000,AE419,DATOS!$G$2:$G$20000,CONFIG_METADATA!$B$4,DATOS!$I$2:$I$20000,"Análisis"),"")))</f>
        <v/>
      </c>
      <c r="AG419" t="str">
        <f>IF(AE419="","",IF(AE419="[FÓRMULA MANUAL]","",IFERROR(AVERAGEIFS(DATOS!$K$2:$K$20000,DATOS!$A$2:$A$20000,AE419,DATOS!$G$2:$G$20000,CONFIG_METADATA!$B$4,DATOS!$I$2:$I$20000,"Orquesta/Banda/Conjunto"),"")))</f>
        <v/>
      </c>
      <c r="AH419" t="str">
        <f>IF(AE419="","",IF(AE419="[FÓRMULA MANUAL]","",IFERROR(AVERAGEIFS(DATOS!$K$2:$K$20000,DATOS!$A$2:$A$20000,AE419,DATOS!$G$2:$G$20000,CONFIG_METADATA!$B$4,DATOS!$I$2:$I$20000,"Música de Cámara"),"")))</f>
        <v/>
      </c>
      <c r="AI419" t="str">
        <f>IF(AE419="","",IF(AE419="[FÓRMULA MANUAL]","",IFERROR(SUMPRODUCT((DATOS!$A$2:$A$20000=AE419)*(DATOS!$G$2:$G$20000=CONFIG_METADATA!$B$4)*(COUNTIF(CONFIG_ASIGNATURAS!$B$7:$B$27,DATOS!$I$2:$I$20000)&gt;0)*(DATOS!$K$2:$K$20000))/SUMPRODUCT((DATOS!$A$2:$A$20000=AE419)*(DATOS!$G$2:$G$20000=CONFIG_METADATA!$B$4)*(COUNTIF(CONFIG_ASIGNATURAS!$B$7:$B$27,DATOS!$I$2:$I$20000)&gt;0)*1),"")))</f>
        <v/>
      </c>
    </row>
    <row r="420" spans="2:35" x14ac:dyDescent="0.2">
      <c r="B420" t="str">
        <f>IF(A420="","",IF(A420="[FÓRMULA MANUAL]","",IFERROR(AVERAGEIFS(DATOS!$K$2:$K$20000,DATOS!$A$2:$A$20000,A420,DATOS!$G$2:$G$20000,CONFIG_METADATA!$B$4,DATOS!$I$2:$I$20000,"Lenguaje Musical"),"")))</f>
        <v/>
      </c>
      <c r="C420" t="str">
        <f>IF(A420="","",IF(A420="[FÓRMULA MANUAL]","",IFERROR(AVERAGEIFS(DATOS!$K$2:$K$20000,DATOS!$A$2:$A$20000,A420,DATOS!$G$2:$G$20000,CONFIG_METADATA!$B$4,DATOS!$I$2:$I$20000,"Orquesta/Banda/Conjunto"),"")))</f>
        <v/>
      </c>
      <c r="D420" t="str">
        <f>IF(A420="","",IF(A420="[FÓRMULA MANUAL]","",IFERROR(AVERAGEIFS(DATOS!$K$2:$K$20000,DATOS!$A$2:$A$20000,A420,DATOS!$G$2:$G$20000,CONFIG_METADATA!$B$4,DATOS!$I$2:$I$20000,"Conjunto"),"")))</f>
        <v/>
      </c>
      <c r="E420" t="str">
        <f>IF(A420="","",IF(A420="[FÓRMULA MANUAL]","",IFERROR(SUMPRODUCT((DATOS!$A$2:$A$20000=A420)*(DATOS!$G$2:$G$20000=CONFIG_METADATA!$B$4)*(COUNTIF(CONFIG_ASIGNATURAS!$B$7:$B$27,DATOS!$I$2:$I$20000)&gt;0)*(DATOS!$K$2:$K$20000))/SUMPRODUCT((DATOS!$A$2:$A$20000=A420)*(DATOS!$G$2:$G$20000=CONFIG_METADATA!$B$4)*(COUNTIF(CONFIG_ASIGNATURAS!$B$7:$B$27,DATOS!$I$2:$I$20000)&gt;0)*1),"")))</f>
        <v/>
      </c>
      <c r="H420" t="str">
        <f>IF(G420="","",IF(G420="[FÓRMULA MANUAL]","",IFERROR(AVERAGEIFS(DATOS!$K$2:$K$20000,DATOS!$A$2:$A$20000,G420,DATOS!$G$2:$G$20000,CONFIG_METADATA!$B$4,DATOS!$I$2:$I$20000,"Lenguaje Musical"),"")))</f>
        <v/>
      </c>
      <c r="I420" t="str">
        <f>IF(G420="","",IF(G420="[FÓRMULA MANUAL]","",IFERROR(AVERAGEIFS(DATOS!$K$2:$K$20000,DATOS!$A$2:$A$20000,G420,DATOS!$G$2:$G$20000,CONFIG_METADATA!$B$4,DATOS!$I$2:$I$20000,"Orquesta/Banda/Conjunto"),"")))</f>
        <v/>
      </c>
      <c r="J420" t="str">
        <f>IF(G420="","",IF(G420="[FÓRMULA MANUAL]","",IFERROR(AVERAGEIFS(DATOS!$K$2:$K$20000,DATOS!$A$2:$A$20000,G420,DATOS!$G$2:$G$20000,CONFIG_METADATA!$B$4,DATOS!$I$2:$I$20000,"Conjunto"),"")))</f>
        <v/>
      </c>
      <c r="K420" t="str">
        <f>IF(G420="","",IF(G420="[FÓRMULA MANUAL]","",IFERROR(SUMPRODUCT((DATOS!$A$2:$A$20000=G420)*(DATOS!$G$2:$G$20000=CONFIG_METADATA!$B$4)*(COUNTIF(CONFIG_ASIGNATURAS!$B$7:$B$27,DATOS!$I$2:$I$20000)&gt;0)*(DATOS!$K$2:$K$20000))/SUMPRODUCT((DATOS!$A$2:$A$20000=G420)*(DATOS!$G$2:$G$20000=CONFIG_METADATA!$B$4)*(COUNTIF(CONFIG_ASIGNATURAS!$B$7:$B$27,DATOS!$I$2:$I$20000)&gt;0)*1),"")))</f>
        <v/>
      </c>
      <c r="N420" t="str">
        <f>IF(M420="","",IF(M420="[FÓRMULA MANUAL]","",IFERROR(AVERAGEIFS(DATOS!$K$2:$K$20000,DATOS!$A$2:$A$20000,M420,DATOS!$G$2:$G$20000,CONFIG_METADATA!$B$4,DATOS!$I$2:$I$20000,"Armonía"),"")))</f>
        <v/>
      </c>
      <c r="O420" t="str">
        <f>IF(M420="","",IF(M420="[FÓRMULA MANUAL]","",IFERROR(AVERAGEIFS(DATOS!$K$2:$K$20000,DATOS!$A$2:$A$20000,M420,DATOS!$G$2:$G$20000,CONFIG_METADATA!$B$4,DATOS!$I$2:$I$20000,"Orquesta/Banda/Conjunto"),"")))</f>
        <v/>
      </c>
      <c r="P420" t="str">
        <f>IF(M420="","",IF(M420="[FÓRMULA MANUAL]","",IFERROR(AVERAGEIFS(DATOS!$K$2:$K$20000,DATOS!$A$2:$A$20000,M420,DATOS!$G$2:$G$20000,CONFIG_METADATA!$B$4,DATOS!$I$2:$I$20000,"Música de Cámara"),"")))</f>
        <v/>
      </c>
      <c r="Q420" t="str">
        <f>IF(M420="","",IF(M420="[FÓRMULA MANUAL]","",IFERROR(SUMPRODUCT((DATOS!$A$2:$A$20000=M420)*(DATOS!$G$2:$G$20000=CONFIG_METADATA!$B$4)*(COUNTIF(CONFIG_ASIGNATURAS!$B$7:$B$27,DATOS!$I$2:$I$20000)&gt;0)*(DATOS!$K$2:$K$20000))/SUMPRODUCT((DATOS!$A$2:$A$20000=M420)*(DATOS!$G$2:$G$20000=CONFIG_METADATA!$B$4)*(COUNTIF(CONFIG_ASIGNATURAS!$B$7:$B$27,DATOS!$I$2:$I$20000)&gt;0)*1),"")))</f>
        <v/>
      </c>
      <c r="T420" t="str">
        <f>IF(S420="","",IF(S420="[FÓRMULA MANUAL]","",IFERROR(AVERAGEIFS(DATOS!$K$2:$K$20000,DATOS!$A$2:$A$20000,S420,DATOS!$G$2:$G$20000,CONFIG_METADATA!$B$4,DATOS!$I$2:$I$20000,"Armonía"),"")))</f>
        <v/>
      </c>
      <c r="U420" t="str">
        <f>IF(S420="","",IF(S420="[FÓRMULA MANUAL]","",IFERROR(AVERAGEIFS(DATOS!$K$2:$K$20000,DATOS!$A$2:$A$20000,S420,DATOS!$G$2:$G$20000,CONFIG_METADATA!$B$4,DATOS!$I$2:$I$20000,"Orquesta/Banda/Conjunto"),"")))</f>
        <v/>
      </c>
      <c r="V420" t="str">
        <f>IF(S420="","",IF(S420="[FÓRMULA MANUAL]","",IFERROR(AVERAGEIFS(DATOS!$K$2:$K$20000,DATOS!$A$2:$A$20000,S420,DATOS!$G$2:$G$20000,CONFIG_METADATA!$B$4,DATOS!$I$2:$I$20000,"Música de Cámara"),"")))</f>
        <v/>
      </c>
      <c r="W420" t="str">
        <f>IF(S420="","",IF(S420="[FÓRMULA MANUAL]","",IFERROR(SUMPRODUCT((DATOS!$A$2:$A$20000=S420)*(DATOS!$G$2:$G$20000=CONFIG_METADATA!$B$4)*(COUNTIF(CONFIG_ASIGNATURAS!$B$7:$B$27,DATOS!$I$2:$I$20000)&gt;0)*(DATOS!$K$2:$K$20000))/SUMPRODUCT((DATOS!$A$2:$A$20000=S420)*(DATOS!$G$2:$G$20000=CONFIG_METADATA!$B$4)*(COUNTIF(CONFIG_ASIGNATURAS!$B$7:$B$27,DATOS!$I$2:$I$20000)&gt;0)*1),"")))</f>
        <v/>
      </c>
      <c r="Z420" t="str">
        <f>IF(Y420="","",IF(Y420="[FÓRMULA MANUAL]","",IFERROR(AVERAGEIFS(DATOS!$K$2:$K$20000,DATOS!$A$2:$A$20000,Y420,DATOS!$G$2:$G$20000,CONFIG_METADATA!$B$4,DATOS!$I$2:$I$20000,"Análisis"),"")))</f>
        <v/>
      </c>
      <c r="AA420" t="str">
        <f>IF(Y420="","",IF(Y420="[FÓRMULA MANUAL]","",IFERROR(AVERAGEIFS(DATOS!$K$2:$K$20000,DATOS!$A$2:$A$20000,Y420,DATOS!$G$2:$G$20000,CONFIG_METADATA!$B$4,DATOS!$I$2:$I$20000,"Orquesta/Banda/Conjunto"),"")))</f>
        <v/>
      </c>
      <c r="AB420" t="str">
        <f>IF(Y420="","",IF(Y420="[FÓRMULA MANUAL]","",IFERROR(AVERAGEIFS(DATOS!$K$2:$K$20000,DATOS!$A$2:$A$20000,Y420,DATOS!$G$2:$G$20000,CONFIG_METADATA!$B$4,DATOS!$I$2:$I$20000,"Música de Cámara"),"")))</f>
        <v/>
      </c>
      <c r="AC420" t="str">
        <f>IF(Y420="","",IF(Y420="[FÓRMULA MANUAL]","",IFERROR(SUMPRODUCT((DATOS!$A$2:$A$20000=Y420)*(DATOS!$G$2:$G$20000=CONFIG_METADATA!$B$4)*(COUNTIF(CONFIG_ASIGNATURAS!$B$7:$B$27,DATOS!$I$2:$I$20000)&gt;0)*(DATOS!$K$2:$K$20000))/SUMPRODUCT((DATOS!$A$2:$A$20000=Y420)*(DATOS!$G$2:$G$20000=CONFIG_METADATA!$B$4)*(COUNTIF(CONFIG_ASIGNATURAS!$B$7:$B$27,DATOS!$I$2:$I$20000)&gt;0)*1),"")))</f>
        <v/>
      </c>
      <c r="AF420" t="str">
        <f>IF(AE420="","",IF(AE420="[FÓRMULA MANUAL]","",IFERROR(AVERAGEIFS(DATOS!$K$2:$K$20000,DATOS!$A$2:$A$20000,AE420,DATOS!$G$2:$G$20000,CONFIG_METADATA!$B$4,DATOS!$I$2:$I$20000,"Análisis"),"")))</f>
        <v/>
      </c>
      <c r="AG420" t="str">
        <f>IF(AE420="","",IF(AE420="[FÓRMULA MANUAL]","",IFERROR(AVERAGEIFS(DATOS!$K$2:$K$20000,DATOS!$A$2:$A$20000,AE420,DATOS!$G$2:$G$20000,CONFIG_METADATA!$B$4,DATOS!$I$2:$I$20000,"Orquesta/Banda/Conjunto"),"")))</f>
        <v/>
      </c>
      <c r="AH420" t="str">
        <f>IF(AE420="","",IF(AE420="[FÓRMULA MANUAL]","",IFERROR(AVERAGEIFS(DATOS!$K$2:$K$20000,DATOS!$A$2:$A$20000,AE420,DATOS!$G$2:$G$20000,CONFIG_METADATA!$B$4,DATOS!$I$2:$I$20000,"Música de Cámara"),"")))</f>
        <v/>
      </c>
      <c r="AI420" t="str">
        <f>IF(AE420="","",IF(AE420="[FÓRMULA MANUAL]","",IFERROR(SUMPRODUCT((DATOS!$A$2:$A$20000=AE420)*(DATOS!$G$2:$G$20000=CONFIG_METADATA!$B$4)*(COUNTIF(CONFIG_ASIGNATURAS!$B$7:$B$27,DATOS!$I$2:$I$20000)&gt;0)*(DATOS!$K$2:$K$20000))/SUMPRODUCT((DATOS!$A$2:$A$20000=AE420)*(DATOS!$G$2:$G$20000=CONFIG_METADATA!$B$4)*(COUNTIF(CONFIG_ASIGNATURAS!$B$7:$B$27,DATOS!$I$2:$I$20000)&gt;0)*1),"")))</f>
        <v/>
      </c>
    </row>
    <row r="421" spans="2:35" x14ac:dyDescent="0.2">
      <c r="B421" t="str">
        <f>IF(A421="","",IF(A421="[FÓRMULA MANUAL]","",IFERROR(AVERAGEIFS(DATOS!$K$2:$K$20000,DATOS!$A$2:$A$20000,A421,DATOS!$G$2:$G$20000,CONFIG_METADATA!$B$4,DATOS!$I$2:$I$20000,"Lenguaje Musical"),"")))</f>
        <v/>
      </c>
      <c r="C421" t="str">
        <f>IF(A421="","",IF(A421="[FÓRMULA MANUAL]","",IFERROR(AVERAGEIFS(DATOS!$K$2:$K$20000,DATOS!$A$2:$A$20000,A421,DATOS!$G$2:$G$20000,CONFIG_METADATA!$B$4,DATOS!$I$2:$I$20000,"Orquesta/Banda/Conjunto"),"")))</f>
        <v/>
      </c>
      <c r="D421" t="str">
        <f>IF(A421="","",IF(A421="[FÓRMULA MANUAL]","",IFERROR(AVERAGEIFS(DATOS!$K$2:$K$20000,DATOS!$A$2:$A$20000,A421,DATOS!$G$2:$G$20000,CONFIG_METADATA!$B$4,DATOS!$I$2:$I$20000,"Conjunto"),"")))</f>
        <v/>
      </c>
      <c r="E421" t="str">
        <f>IF(A421="","",IF(A421="[FÓRMULA MANUAL]","",IFERROR(SUMPRODUCT((DATOS!$A$2:$A$20000=A421)*(DATOS!$G$2:$G$20000=CONFIG_METADATA!$B$4)*(COUNTIF(CONFIG_ASIGNATURAS!$B$7:$B$27,DATOS!$I$2:$I$20000)&gt;0)*(DATOS!$K$2:$K$20000))/SUMPRODUCT((DATOS!$A$2:$A$20000=A421)*(DATOS!$G$2:$G$20000=CONFIG_METADATA!$B$4)*(COUNTIF(CONFIG_ASIGNATURAS!$B$7:$B$27,DATOS!$I$2:$I$20000)&gt;0)*1),"")))</f>
        <v/>
      </c>
      <c r="H421" t="str">
        <f>IF(G421="","",IF(G421="[FÓRMULA MANUAL]","",IFERROR(AVERAGEIFS(DATOS!$K$2:$K$20000,DATOS!$A$2:$A$20000,G421,DATOS!$G$2:$G$20000,CONFIG_METADATA!$B$4,DATOS!$I$2:$I$20000,"Lenguaje Musical"),"")))</f>
        <v/>
      </c>
      <c r="I421" t="str">
        <f>IF(G421="","",IF(G421="[FÓRMULA MANUAL]","",IFERROR(AVERAGEIFS(DATOS!$K$2:$K$20000,DATOS!$A$2:$A$20000,G421,DATOS!$G$2:$G$20000,CONFIG_METADATA!$B$4,DATOS!$I$2:$I$20000,"Orquesta/Banda/Conjunto"),"")))</f>
        <v/>
      </c>
      <c r="J421" t="str">
        <f>IF(G421="","",IF(G421="[FÓRMULA MANUAL]","",IFERROR(AVERAGEIFS(DATOS!$K$2:$K$20000,DATOS!$A$2:$A$20000,G421,DATOS!$G$2:$G$20000,CONFIG_METADATA!$B$4,DATOS!$I$2:$I$20000,"Conjunto"),"")))</f>
        <v/>
      </c>
      <c r="K421" t="str">
        <f>IF(G421="","",IF(G421="[FÓRMULA MANUAL]","",IFERROR(SUMPRODUCT((DATOS!$A$2:$A$20000=G421)*(DATOS!$G$2:$G$20000=CONFIG_METADATA!$B$4)*(COUNTIF(CONFIG_ASIGNATURAS!$B$7:$B$27,DATOS!$I$2:$I$20000)&gt;0)*(DATOS!$K$2:$K$20000))/SUMPRODUCT((DATOS!$A$2:$A$20000=G421)*(DATOS!$G$2:$G$20000=CONFIG_METADATA!$B$4)*(COUNTIF(CONFIG_ASIGNATURAS!$B$7:$B$27,DATOS!$I$2:$I$20000)&gt;0)*1),"")))</f>
        <v/>
      </c>
      <c r="N421" t="str">
        <f>IF(M421="","",IF(M421="[FÓRMULA MANUAL]","",IFERROR(AVERAGEIFS(DATOS!$K$2:$K$20000,DATOS!$A$2:$A$20000,M421,DATOS!$G$2:$G$20000,CONFIG_METADATA!$B$4,DATOS!$I$2:$I$20000,"Armonía"),"")))</f>
        <v/>
      </c>
      <c r="O421" t="str">
        <f>IF(M421="","",IF(M421="[FÓRMULA MANUAL]","",IFERROR(AVERAGEIFS(DATOS!$K$2:$K$20000,DATOS!$A$2:$A$20000,M421,DATOS!$G$2:$G$20000,CONFIG_METADATA!$B$4,DATOS!$I$2:$I$20000,"Orquesta/Banda/Conjunto"),"")))</f>
        <v/>
      </c>
      <c r="P421" t="str">
        <f>IF(M421="","",IF(M421="[FÓRMULA MANUAL]","",IFERROR(AVERAGEIFS(DATOS!$K$2:$K$20000,DATOS!$A$2:$A$20000,M421,DATOS!$G$2:$G$20000,CONFIG_METADATA!$B$4,DATOS!$I$2:$I$20000,"Música de Cámara"),"")))</f>
        <v/>
      </c>
      <c r="Q421" t="str">
        <f>IF(M421="","",IF(M421="[FÓRMULA MANUAL]","",IFERROR(SUMPRODUCT((DATOS!$A$2:$A$20000=M421)*(DATOS!$G$2:$G$20000=CONFIG_METADATA!$B$4)*(COUNTIF(CONFIG_ASIGNATURAS!$B$7:$B$27,DATOS!$I$2:$I$20000)&gt;0)*(DATOS!$K$2:$K$20000))/SUMPRODUCT((DATOS!$A$2:$A$20000=M421)*(DATOS!$G$2:$G$20000=CONFIG_METADATA!$B$4)*(COUNTIF(CONFIG_ASIGNATURAS!$B$7:$B$27,DATOS!$I$2:$I$20000)&gt;0)*1),"")))</f>
        <v/>
      </c>
      <c r="T421" t="str">
        <f>IF(S421="","",IF(S421="[FÓRMULA MANUAL]","",IFERROR(AVERAGEIFS(DATOS!$K$2:$K$20000,DATOS!$A$2:$A$20000,S421,DATOS!$G$2:$G$20000,CONFIG_METADATA!$B$4,DATOS!$I$2:$I$20000,"Armonía"),"")))</f>
        <v/>
      </c>
      <c r="U421" t="str">
        <f>IF(S421="","",IF(S421="[FÓRMULA MANUAL]","",IFERROR(AVERAGEIFS(DATOS!$K$2:$K$20000,DATOS!$A$2:$A$20000,S421,DATOS!$G$2:$G$20000,CONFIG_METADATA!$B$4,DATOS!$I$2:$I$20000,"Orquesta/Banda/Conjunto"),"")))</f>
        <v/>
      </c>
      <c r="V421" t="str">
        <f>IF(S421="","",IF(S421="[FÓRMULA MANUAL]","",IFERROR(AVERAGEIFS(DATOS!$K$2:$K$20000,DATOS!$A$2:$A$20000,S421,DATOS!$G$2:$G$20000,CONFIG_METADATA!$B$4,DATOS!$I$2:$I$20000,"Música de Cámara"),"")))</f>
        <v/>
      </c>
      <c r="W421" t="str">
        <f>IF(S421="","",IF(S421="[FÓRMULA MANUAL]","",IFERROR(SUMPRODUCT((DATOS!$A$2:$A$20000=S421)*(DATOS!$G$2:$G$20000=CONFIG_METADATA!$B$4)*(COUNTIF(CONFIG_ASIGNATURAS!$B$7:$B$27,DATOS!$I$2:$I$20000)&gt;0)*(DATOS!$K$2:$K$20000))/SUMPRODUCT((DATOS!$A$2:$A$20000=S421)*(DATOS!$G$2:$G$20000=CONFIG_METADATA!$B$4)*(COUNTIF(CONFIG_ASIGNATURAS!$B$7:$B$27,DATOS!$I$2:$I$20000)&gt;0)*1),"")))</f>
        <v/>
      </c>
      <c r="Z421" t="str">
        <f>IF(Y421="","",IF(Y421="[FÓRMULA MANUAL]","",IFERROR(AVERAGEIFS(DATOS!$K$2:$K$20000,DATOS!$A$2:$A$20000,Y421,DATOS!$G$2:$G$20000,CONFIG_METADATA!$B$4,DATOS!$I$2:$I$20000,"Análisis"),"")))</f>
        <v/>
      </c>
      <c r="AA421" t="str">
        <f>IF(Y421="","",IF(Y421="[FÓRMULA MANUAL]","",IFERROR(AVERAGEIFS(DATOS!$K$2:$K$20000,DATOS!$A$2:$A$20000,Y421,DATOS!$G$2:$G$20000,CONFIG_METADATA!$B$4,DATOS!$I$2:$I$20000,"Orquesta/Banda/Conjunto"),"")))</f>
        <v/>
      </c>
      <c r="AB421" t="str">
        <f>IF(Y421="","",IF(Y421="[FÓRMULA MANUAL]","",IFERROR(AVERAGEIFS(DATOS!$K$2:$K$20000,DATOS!$A$2:$A$20000,Y421,DATOS!$G$2:$G$20000,CONFIG_METADATA!$B$4,DATOS!$I$2:$I$20000,"Música de Cámara"),"")))</f>
        <v/>
      </c>
      <c r="AC421" t="str">
        <f>IF(Y421="","",IF(Y421="[FÓRMULA MANUAL]","",IFERROR(SUMPRODUCT((DATOS!$A$2:$A$20000=Y421)*(DATOS!$G$2:$G$20000=CONFIG_METADATA!$B$4)*(COUNTIF(CONFIG_ASIGNATURAS!$B$7:$B$27,DATOS!$I$2:$I$20000)&gt;0)*(DATOS!$K$2:$K$20000))/SUMPRODUCT((DATOS!$A$2:$A$20000=Y421)*(DATOS!$G$2:$G$20000=CONFIG_METADATA!$B$4)*(COUNTIF(CONFIG_ASIGNATURAS!$B$7:$B$27,DATOS!$I$2:$I$20000)&gt;0)*1),"")))</f>
        <v/>
      </c>
      <c r="AF421" t="str">
        <f>IF(AE421="","",IF(AE421="[FÓRMULA MANUAL]","",IFERROR(AVERAGEIFS(DATOS!$K$2:$K$20000,DATOS!$A$2:$A$20000,AE421,DATOS!$G$2:$G$20000,CONFIG_METADATA!$B$4,DATOS!$I$2:$I$20000,"Análisis"),"")))</f>
        <v/>
      </c>
      <c r="AG421" t="str">
        <f>IF(AE421="","",IF(AE421="[FÓRMULA MANUAL]","",IFERROR(AVERAGEIFS(DATOS!$K$2:$K$20000,DATOS!$A$2:$A$20000,AE421,DATOS!$G$2:$G$20000,CONFIG_METADATA!$B$4,DATOS!$I$2:$I$20000,"Orquesta/Banda/Conjunto"),"")))</f>
        <v/>
      </c>
      <c r="AH421" t="str">
        <f>IF(AE421="","",IF(AE421="[FÓRMULA MANUAL]","",IFERROR(AVERAGEIFS(DATOS!$K$2:$K$20000,DATOS!$A$2:$A$20000,AE421,DATOS!$G$2:$G$20000,CONFIG_METADATA!$B$4,DATOS!$I$2:$I$20000,"Música de Cámara"),"")))</f>
        <v/>
      </c>
      <c r="AI421" t="str">
        <f>IF(AE421="","",IF(AE421="[FÓRMULA MANUAL]","",IFERROR(SUMPRODUCT((DATOS!$A$2:$A$20000=AE421)*(DATOS!$G$2:$G$20000=CONFIG_METADATA!$B$4)*(COUNTIF(CONFIG_ASIGNATURAS!$B$7:$B$27,DATOS!$I$2:$I$20000)&gt;0)*(DATOS!$K$2:$K$20000))/SUMPRODUCT((DATOS!$A$2:$A$20000=AE421)*(DATOS!$G$2:$G$20000=CONFIG_METADATA!$B$4)*(COUNTIF(CONFIG_ASIGNATURAS!$B$7:$B$27,DATOS!$I$2:$I$20000)&gt;0)*1),"")))</f>
        <v/>
      </c>
    </row>
    <row r="422" spans="2:35" x14ac:dyDescent="0.2">
      <c r="B422" t="str">
        <f>IF(A422="","",IF(A422="[FÓRMULA MANUAL]","",IFERROR(AVERAGEIFS(DATOS!$K$2:$K$20000,DATOS!$A$2:$A$20000,A422,DATOS!$G$2:$G$20000,CONFIG_METADATA!$B$4,DATOS!$I$2:$I$20000,"Lenguaje Musical"),"")))</f>
        <v/>
      </c>
      <c r="C422" t="str">
        <f>IF(A422="","",IF(A422="[FÓRMULA MANUAL]","",IFERROR(AVERAGEIFS(DATOS!$K$2:$K$20000,DATOS!$A$2:$A$20000,A422,DATOS!$G$2:$G$20000,CONFIG_METADATA!$B$4,DATOS!$I$2:$I$20000,"Orquesta/Banda/Conjunto"),"")))</f>
        <v/>
      </c>
      <c r="D422" t="str">
        <f>IF(A422="","",IF(A422="[FÓRMULA MANUAL]","",IFERROR(AVERAGEIFS(DATOS!$K$2:$K$20000,DATOS!$A$2:$A$20000,A422,DATOS!$G$2:$G$20000,CONFIG_METADATA!$B$4,DATOS!$I$2:$I$20000,"Conjunto"),"")))</f>
        <v/>
      </c>
      <c r="E422" t="str">
        <f>IF(A422="","",IF(A422="[FÓRMULA MANUAL]","",IFERROR(SUMPRODUCT((DATOS!$A$2:$A$20000=A422)*(DATOS!$G$2:$G$20000=CONFIG_METADATA!$B$4)*(COUNTIF(CONFIG_ASIGNATURAS!$B$7:$B$27,DATOS!$I$2:$I$20000)&gt;0)*(DATOS!$K$2:$K$20000))/SUMPRODUCT((DATOS!$A$2:$A$20000=A422)*(DATOS!$G$2:$G$20000=CONFIG_METADATA!$B$4)*(COUNTIF(CONFIG_ASIGNATURAS!$B$7:$B$27,DATOS!$I$2:$I$20000)&gt;0)*1),"")))</f>
        <v/>
      </c>
      <c r="H422" t="str">
        <f>IF(G422="","",IF(G422="[FÓRMULA MANUAL]","",IFERROR(AVERAGEIFS(DATOS!$K$2:$K$20000,DATOS!$A$2:$A$20000,G422,DATOS!$G$2:$G$20000,CONFIG_METADATA!$B$4,DATOS!$I$2:$I$20000,"Lenguaje Musical"),"")))</f>
        <v/>
      </c>
      <c r="I422" t="str">
        <f>IF(G422="","",IF(G422="[FÓRMULA MANUAL]","",IFERROR(AVERAGEIFS(DATOS!$K$2:$K$20000,DATOS!$A$2:$A$20000,G422,DATOS!$G$2:$G$20000,CONFIG_METADATA!$B$4,DATOS!$I$2:$I$20000,"Orquesta/Banda/Conjunto"),"")))</f>
        <v/>
      </c>
      <c r="J422" t="str">
        <f>IF(G422="","",IF(G422="[FÓRMULA MANUAL]","",IFERROR(AVERAGEIFS(DATOS!$K$2:$K$20000,DATOS!$A$2:$A$20000,G422,DATOS!$G$2:$G$20000,CONFIG_METADATA!$B$4,DATOS!$I$2:$I$20000,"Conjunto"),"")))</f>
        <v/>
      </c>
      <c r="K422" t="str">
        <f>IF(G422="","",IF(G422="[FÓRMULA MANUAL]","",IFERROR(SUMPRODUCT((DATOS!$A$2:$A$20000=G422)*(DATOS!$G$2:$G$20000=CONFIG_METADATA!$B$4)*(COUNTIF(CONFIG_ASIGNATURAS!$B$7:$B$27,DATOS!$I$2:$I$20000)&gt;0)*(DATOS!$K$2:$K$20000))/SUMPRODUCT((DATOS!$A$2:$A$20000=G422)*(DATOS!$G$2:$G$20000=CONFIG_METADATA!$B$4)*(COUNTIF(CONFIG_ASIGNATURAS!$B$7:$B$27,DATOS!$I$2:$I$20000)&gt;0)*1),"")))</f>
        <v/>
      </c>
      <c r="N422" t="str">
        <f>IF(M422="","",IF(M422="[FÓRMULA MANUAL]","",IFERROR(AVERAGEIFS(DATOS!$K$2:$K$20000,DATOS!$A$2:$A$20000,M422,DATOS!$G$2:$G$20000,CONFIG_METADATA!$B$4,DATOS!$I$2:$I$20000,"Armonía"),"")))</f>
        <v/>
      </c>
      <c r="O422" t="str">
        <f>IF(M422="","",IF(M422="[FÓRMULA MANUAL]","",IFERROR(AVERAGEIFS(DATOS!$K$2:$K$20000,DATOS!$A$2:$A$20000,M422,DATOS!$G$2:$G$20000,CONFIG_METADATA!$B$4,DATOS!$I$2:$I$20000,"Orquesta/Banda/Conjunto"),"")))</f>
        <v/>
      </c>
      <c r="P422" t="str">
        <f>IF(M422="","",IF(M422="[FÓRMULA MANUAL]","",IFERROR(AVERAGEIFS(DATOS!$K$2:$K$20000,DATOS!$A$2:$A$20000,M422,DATOS!$G$2:$G$20000,CONFIG_METADATA!$B$4,DATOS!$I$2:$I$20000,"Música de Cámara"),"")))</f>
        <v/>
      </c>
      <c r="Q422" t="str">
        <f>IF(M422="","",IF(M422="[FÓRMULA MANUAL]","",IFERROR(SUMPRODUCT((DATOS!$A$2:$A$20000=M422)*(DATOS!$G$2:$G$20000=CONFIG_METADATA!$B$4)*(COUNTIF(CONFIG_ASIGNATURAS!$B$7:$B$27,DATOS!$I$2:$I$20000)&gt;0)*(DATOS!$K$2:$K$20000))/SUMPRODUCT((DATOS!$A$2:$A$20000=M422)*(DATOS!$G$2:$G$20000=CONFIG_METADATA!$B$4)*(COUNTIF(CONFIG_ASIGNATURAS!$B$7:$B$27,DATOS!$I$2:$I$20000)&gt;0)*1),"")))</f>
        <v/>
      </c>
      <c r="T422" t="str">
        <f>IF(S422="","",IF(S422="[FÓRMULA MANUAL]","",IFERROR(AVERAGEIFS(DATOS!$K$2:$K$20000,DATOS!$A$2:$A$20000,S422,DATOS!$G$2:$G$20000,CONFIG_METADATA!$B$4,DATOS!$I$2:$I$20000,"Armonía"),"")))</f>
        <v/>
      </c>
      <c r="U422" t="str">
        <f>IF(S422="","",IF(S422="[FÓRMULA MANUAL]","",IFERROR(AVERAGEIFS(DATOS!$K$2:$K$20000,DATOS!$A$2:$A$20000,S422,DATOS!$G$2:$G$20000,CONFIG_METADATA!$B$4,DATOS!$I$2:$I$20000,"Orquesta/Banda/Conjunto"),"")))</f>
        <v/>
      </c>
      <c r="V422" t="str">
        <f>IF(S422="","",IF(S422="[FÓRMULA MANUAL]","",IFERROR(AVERAGEIFS(DATOS!$K$2:$K$20000,DATOS!$A$2:$A$20000,S422,DATOS!$G$2:$G$20000,CONFIG_METADATA!$B$4,DATOS!$I$2:$I$20000,"Música de Cámara"),"")))</f>
        <v/>
      </c>
      <c r="W422" t="str">
        <f>IF(S422="","",IF(S422="[FÓRMULA MANUAL]","",IFERROR(SUMPRODUCT((DATOS!$A$2:$A$20000=S422)*(DATOS!$G$2:$G$20000=CONFIG_METADATA!$B$4)*(COUNTIF(CONFIG_ASIGNATURAS!$B$7:$B$27,DATOS!$I$2:$I$20000)&gt;0)*(DATOS!$K$2:$K$20000))/SUMPRODUCT((DATOS!$A$2:$A$20000=S422)*(DATOS!$G$2:$G$20000=CONFIG_METADATA!$B$4)*(COUNTIF(CONFIG_ASIGNATURAS!$B$7:$B$27,DATOS!$I$2:$I$20000)&gt;0)*1),"")))</f>
        <v/>
      </c>
      <c r="Z422" t="str">
        <f>IF(Y422="","",IF(Y422="[FÓRMULA MANUAL]","",IFERROR(AVERAGEIFS(DATOS!$K$2:$K$20000,DATOS!$A$2:$A$20000,Y422,DATOS!$G$2:$G$20000,CONFIG_METADATA!$B$4,DATOS!$I$2:$I$20000,"Análisis"),"")))</f>
        <v/>
      </c>
      <c r="AA422" t="str">
        <f>IF(Y422="","",IF(Y422="[FÓRMULA MANUAL]","",IFERROR(AVERAGEIFS(DATOS!$K$2:$K$20000,DATOS!$A$2:$A$20000,Y422,DATOS!$G$2:$G$20000,CONFIG_METADATA!$B$4,DATOS!$I$2:$I$20000,"Orquesta/Banda/Conjunto"),"")))</f>
        <v/>
      </c>
      <c r="AB422" t="str">
        <f>IF(Y422="","",IF(Y422="[FÓRMULA MANUAL]","",IFERROR(AVERAGEIFS(DATOS!$K$2:$K$20000,DATOS!$A$2:$A$20000,Y422,DATOS!$G$2:$G$20000,CONFIG_METADATA!$B$4,DATOS!$I$2:$I$20000,"Música de Cámara"),"")))</f>
        <v/>
      </c>
      <c r="AC422" t="str">
        <f>IF(Y422="","",IF(Y422="[FÓRMULA MANUAL]","",IFERROR(SUMPRODUCT((DATOS!$A$2:$A$20000=Y422)*(DATOS!$G$2:$G$20000=CONFIG_METADATA!$B$4)*(COUNTIF(CONFIG_ASIGNATURAS!$B$7:$B$27,DATOS!$I$2:$I$20000)&gt;0)*(DATOS!$K$2:$K$20000))/SUMPRODUCT((DATOS!$A$2:$A$20000=Y422)*(DATOS!$G$2:$G$20000=CONFIG_METADATA!$B$4)*(COUNTIF(CONFIG_ASIGNATURAS!$B$7:$B$27,DATOS!$I$2:$I$20000)&gt;0)*1),"")))</f>
        <v/>
      </c>
      <c r="AF422" t="str">
        <f>IF(AE422="","",IF(AE422="[FÓRMULA MANUAL]","",IFERROR(AVERAGEIFS(DATOS!$K$2:$K$20000,DATOS!$A$2:$A$20000,AE422,DATOS!$G$2:$G$20000,CONFIG_METADATA!$B$4,DATOS!$I$2:$I$20000,"Análisis"),"")))</f>
        <v/>
      </c>
      <c r="AG422" t="str">
        <f>IF(AE422="","",IF(AE422="[FÓRMULA MANUAL]","",IFERROR(AVERAGEIFS(DATOS!$K$2:$K$20000,DATOS!$A$2:$A$20000,AE422,DATOS!$G$2:$G$20000,CONFIG_METADATA!$B$4,DATOS!$I$2:$I$20000,"Orquesta/Banda/Conjunto"),"")))</f>
        <v/>
      </c>
      <c r="AH422" t="str">
        <f>IF(AE422="","",IF(AE422="[FÓRMULA MANUAL]","",IFERROR(AVERAGEIFS(DATOS!$K$2:$K$20000,DATOS!$A$2:$A$20000,AE422,DATOS!$G$2:$G$20000,CONFIG_METADATA!$B$4,DATOS!$I$2:$I$20000,"Música de Cámara"),"")))</f>
        <v/>
      </c>
      <c r="AI422" t="str">
        <f>IF(AE422="","",IF(AE422="[FÓRMULA MANUAL]","",IFERROR(SUMPRODUCT((DATOS!$A$2:$A$20000=AE422)*(DATOS!$G$2:$G$20000=CONFIG_METADATA!$B$4)*(COUNTIF(CONFIG_ASIGNATURAS!$B$7:$B$27,DATOS!$I$2:$I$20000)&gt;0)*(DATOS!$K$2:$K$20000))/SUMPRODUCT((DATOS!$A$2:$A$20000=AE422)*(DATOS!$G$2:$G$20000=CONFIG_METADATA!$B$4)*(COUNTIF(CONFIG_ASIGNATURAS!$B$7:$B$27,DATOS!$I$2:$I$20000)&gt;0)*1),"")))</f>
        <v/>
      </c>
    </row>
    <row r="423" spans="2:35" x14ac:dyDescent="0.2">
      <c r="B423" t="str">
        <f>IF(A423="","",IF(A423="[FÓRMULA MANUAL]","",IFERROR(AVERAGEIFS(DATOS!$K$2:$K$20000,DATOS!$A$2:$A$20000,A423,DATOS!$G$2:$G$20000,CONFIG_METADATA!$B$4,DATOS!$I$2:$I$20000,"Lenguaje Musical"),"")))</f>
        <v/>
      </c>
      <c r="C423" t="str">
        <f>IF(A423="","",IF(A423="[FÓRMULA MANUAL]","",IFERROR(AVERAGEIFS(DATOS!$K$2:$K$20000,DATOS!$A$2:$A$20000,A423,DATOS!$G$2:$G$20000,CONFIG_METADATA!$B$4,DATOS!$I$2:$I$20000,"Orquesta/Banda/Conjunto"),"")))</f>
        <v/>
      </c>
      <c r="D423" t="str">
        <f>IF(A423="","",IF(A423="[FÓRMULA MANUAL]","",IFERROR(AVERAGEIFS(DATOS!$K$2:$K$20000,DATOS!$A$2:$A$20000,A423,DATOS!$G$2:$G$20000,CONFIG_METADATA!$B$4,DATOS!$I$2:$I$20000,"Conjunto"),"")))</f>
        <v/>
      </c>
      <c r="E423" t="str">
        <f>IF(A423="","",IF(A423="[FÓRMULA MANUAL]","",IFERROR(SUMPRODUCT((DATOS!$A$2:$A$20000=A423)*(DATOS!$G$2:$G$20000=CONFIG_METADATA!$B$4)*(COUNTIF(CONFIG_ASIGNATURAS!$B$7:$B$27,DATOS!$I$2:$I$20000)&gt;0)*(DATOS!$K$2:$K$20000))/SUMPRODUCT((DATOS!$A$2:$A$20000=A423)*(DATOS!$G$2:$G$20000=CONFIG_METADATA!$B$4)*(COUNTIF(CONFIG_ASIGNATURAS!$B$7:$B$27,DATOS!$I$2:$I$20000)&gt;0)*1),"")))</f>
        <v/>
      </c>
      <c r="H423" t="str">
        <f>IF(G423="","",IF(G423="[FÓRMULA MANUAL]","",IFERROR(AVERAGEIFS(DATOS!$K$2:$K$20000,DATOS!$A$2:$A$20000,G423,DATOS!$G$2:$G$20000,CONFIG_METADATA!$B$4,DATOS!$I$2:$I$20000,"Lenguaje Musical"),"")))</f>
        <v/>
      </c>
      <c r="I423" t="str">
        <f>IF(G423="","",IF(G423="[FÓRMULA MANUAL]","",IFERROR(AVERAGEIFS(DATOS!$K$2:$K$20000,DATOS!$A$2:$A$20000,G423,DATOS!$G$2:$G$20000,CONFIG_METADATA!$B$4,DATOS!$I$2:$I$20000,"Orquesta/Banda/Conjunto"),"")))</f>
        <v/>
      </c>
      <c r="J423" t="str">
        <f>IF(G423="","",IF(G423="[FÓRMULA MANUAL]","",IFERROR(AVERAGEIFS(DATOS!$K$2:$K$20000,DATOS!$A$2:$A$20000,G423,DATOS!$G$2:$G$20000,CONFIG_METADATA!$B$4,DATOS!$I$2:$I$20000,"Conjunto"),"")))</f>
        <v/>
      </c>
      <c r="K423" t="str">
        <f>IF(G423="","",IF(G423="[FÓRMULA MANUAL]","",IFERROR(SUMPRODUCT((DATOS!$A$2:$A$20000=G423)*(DATOS!$G$2:$G$20000=CONFIG_METADATA!$B$4)*(COUNTIF(CONFIG_ASIGNATURAS!$B$7:$B$27,DATOS!$I$2:$I$20000)&gt;0)*(DATOS!$K$2:$K$20000))/SUMPRODUCT((DATOS!$A$2:$A$20000=G423)*(DATOS!$G$2:$G$20000=CONFIG_METADATA!$B$4)*(COUNTIF(CONFIG_ASIGNATURAS!$B$7:$B$27,DATOS!$I$2:$I$20000)&gt;0)*1),"")))</f>
        <v/>
      </c>
      <c r="N423" t="str">
        <f>IF(M423="","",IF(M423="[FÓRMULA MANUAL]","",IFERROR(AVERAGEIFS(DATOS!$K$2:$K$20000,DATOS!$A$2:$A$20000,M423,DATOS!$G$2:$G$20000,CONFIG_METADATA!$B$4,DATOS!$I$2:$I$20000,"Armonía"),"")))</f>
        <v/>
      </c>
      <c r="O423" t="str">
        <f>IF(M423="","",IF(M423="[FÓRMULA MANUAL]","",IFERROR(AVERAGEIFS(DATOS!$K$2:$K$20000,DATOS!$A$2:$A$20000,M423,DATOS!$G$2:$G$20000,CONFIG_METADATA!$B$4,DATOS!$I$2:$I$20000,"Orquesta/Banda/Conjunto"),"")))</f>
        <v/>
      </c>
      <c r="P423" t="str">
        <f>IF(M423="","",IF(M423="[FÓRMULA MANUAL]","",IFERROR(AVERAGEIFS(DATOS!$K$2:$K$20000,DATOS!$A$2:$A$20000,M423,DATOS!$G$2:$G$20000,CONFIG_METADATA!$B$4,DATOS!$I$2:$I$20000,"Música de Cámara"),"")))</f>
        <v/>
      </c>
      <c r="Q423" t="str">
        <f>IF(M423="","",IF(M423="[FÓRMULA MANUAL]","",IFERROR(SUMPRODUCT((DATOS!$A$2:$A$20000=M423)*(DATOS!$G$2:$G$20000=CONFIG_METADATA!$B$4)*(COUNTIF(CONFIG_ASIGNATURAS!$B$7:$B$27,DATOS!$I$2:$I$20000)&gt;0)*(DATOS!$K$2:$K$20000))/SUMPRODUCT((DATOS!$A$2:$A$20000=M423)*(DATOS!$G$2:$G$20000=CONFIG_METADATA!$B$4)*(COUNTIF(CONFIG_ASIGNATURAS!$B$7:$B$27,DATOS!$I$2:$I$20000)&gt;0)*1),"")))</f>
        <v/>
      </c>
      <c r="T423" t="str">
        <f>IF(S423="","",IF(S423="[FÓRMULA MANUAL]","",IFERROR(AVERAGEIFS(DATOS!$K$2:$K$20000,DATOS!$A$2:$A$20000,S423,DATOS!$G$2:$G$20000,CONFIG_METADATA!$B$4,DATOS!$I$2:$I$20000,"Armonía"),"")))</f>
        <v/>
      </c>
      <c r="U423" t="str">
        <f>IF(S423="","",IF(S423="[FÓRMULA MANUAL]","",IFERROR(AVERAGEIFS(DATOS!$K$2:$K$20000,DATOS!$A$2:$A$20000,S423,DATOS!$G$2:$G$20000,CONFIG_METADATA!$B$4,DATOS!$I$2:$I$20000,"Orquesta/Banda/Conjunto"),"")))</f>
        <v/>
      </c>
      <c r="V423" t="str">
        <f>IF(S423="","",IF(S423="[FÓRMULA MANUAL]","",IFERROR(AVERAGEIFS(DATOS!$K$2:$K$20000,DATOS!$A$2:$A$20000,S423,DATOS!$G$2:$G$20000,CONFIG_METADATA!$B$4,DATOS!$I$2:$I$20000,"Música de Cámara"),"")))</f>
        <v/>
      </c>
      <c r="W423" t="str">
        <f>IF(S423="","",IF(S423="[FÓRMULA MANUAL]","",IFERROR(SUMPRODUCT((DATOS!$A$2:$A$20000=S423)*(DATOS!$G$2:$G$20000=CONFIG_METADATA!$B$4)*(COUNTIF(CONFIG_ASIGNATURAS!$B$7:$B$27,DATOS!$I$2:$I$20000)&gt;0)*(DATOS!$K$2:$K$20000))/SUMPRODUCT((DATOS!$A$2:$A$20000=S423)*(DATOS!$G$2:$G$20000=CONFIG_METADATA!$B$4)*(COUNTIF(CONFIG_ASIGNATURAS!$B$7:$B$27,DATOS!$I$2:$I$20000)&gt;0)*1),"")))</f>
        <v/>
      </c>
      <c r="Z423" t="str">
        <f>IF(Y423="","",IF(Y423="[FÓRMULA MANUAL]","",IFERROR(AVERAGEIFS(DATOS!$K$2:$K$20000,DATOS!$A$2:$A$20000,Y423,DATOS!$G$2:$G$20000,CONFIG_METADATA!$B$4,DATOS!$I$2:$I$20000,"Análisis"),"")))</f>
        <v/>
      </c>
      <c r="AA423" t="str">
        <f>IF(Y423="","",IF(Y423="[FÓRMULA MANUAL]","",IFERROR(AVERAGEIFS(DATOS!$K$2:$K$20000,DATOS!$A$2:$A$20000,Y423,DATOS!$G$2:$G$20000,CONFIG_METADATA!$B$4,DATOS!$I$2:$I$20000,"Orquesta/Banda/Conjunto"),"")))</f>
        <v/>
      </c>
      <c r="AB423" t="str">
        <f>IF(Y423="","",IF(Y423="[FÓRMULA MANUAL]","",IFERROR(AVERAGEIFS(DATOS!$K$2:$K$20000,DATOS!$A$2:$A$20000,Y423,DATOS!$G$2:$G$20000,CONFIG_METADATA!$B$4,DATOS!$I$2:$I$20000,"Música de Cámara"),"")))</f>
        <v/>
      </c>
      <c r="AC423" t="str">
        <f>IF(Y423="","",IF(Y423="[FÓRMULA MANUAL]","",IFERROR(SUMPRODUCT((DATOS!$A$2:$A$20000=Y423)*(DATOS!$G$2:$G$20000=CONFIG_METADATA!$B$4)*(COUNTIF(CONFIG_ASIGNATURAS!$B$7:$B$27,DATOS!$I$2:$I$20000)&gt;0)*(DATOS!$K$2:$K$20000))/SUMPRODUCT((DATOS!$A$2:$A$20000=Y423)*(DATOS!$G$2:$G$20000=CONFIG_METADATA!$B$4)*(COUNTIF(CONFIG_ASIGNATURAS!$B$7:$B$27,DATOS!$I$2:$I$20000)&gt;0)*1),"")))</f>
        <v/>
      </c>
      <c r="AF423" t="str">
        <f>IF(AE423="","",IF(AE423="[FÓRMULA MANUAL]","",IFERROR(AVERAGEIFS(DATOS!$K$2:$K$20000,DATOS!$A$2:$A$20000,AE423,DATOS!$G$2:$G$20000,CONFIG_METADATA!$B$4,DATOS!$I$2:$I$20000,"Análisis"),"")))</f>
        <v/>
      </c>
      <c r="AG423" t="str">
        <f>IF(AE423="","",IF(AE423="[FÓRMULA MANUAL]","",IFERROR(AVERAGEIFS(DATOS!$K$2:$K$20000,DATOS!$A$2:$A$20000,AE423,DATOS!$G$2:$G$20000,CONFIG_METADATA!$B$4,DATOS!$I$2:$I$20000,"Orquesta/Banda/Conjunto"),"")))</f>
        <v/>
      </c>
      <c r="AH423" t="str">
        <f>IF(AE423="","",IF(AE423="[FÓRMULA MANUAL]","",IFERROR(AVERAGEIFS(DATOS!$K$2:$K$20000,DATOS!$A$2:$A$20000,AE423,DATOS!$G$2:$G$20000,CONFIG_METADATA!$B$4,DATOS!$I$2:$I$20000,"Música de Cámara"),"")))</f>
        <v/>
      </c>
      <c r="AI423" t="str">
        <f>IF(AE423="","",IF(AE423="[FÓRMULA MANUAL]","",IFERROR(SUMPRODUCT((DATOS!$A$2:$A$20000=AE423)*(DATOS!$G$2:$G$20000=CONFIG_METADATA!$B$4)*(COUNTIF(CONFIG_ASIGNATURAS!$B$7:$B$27,DATOS!$I$2:$I$20000)&gt;0)*(DATOS!$K$2:$K$20000))/SUMPRODUCT((DATOS!$A$2:$A$20000=AE423)*(DATOS!$G$2:$G$20000=CONFIG_METADATA!$B$4)*(COUNTIF(CONFIG_ASIGNATURAS!$B$7:$B$27,DATOS!$I$2:$I$20000)&gt;0)*1),"")))</f>
        <v/>
      </c>
    </row>
    <row r="424" spans="2:35" x14ac:dyDescent="0.2">
      <c r="B424" t="str">
        <f>IF(A424="","",IF(A424="[FÓRMULA MANUAL]","",IFERROR(AVERAGEIFS(DATOS!$K$2:$K$20000,DATOS!$A$2:$A$20000,A424,DATOS!$G$2:$G$20000,CONFIG_METADATA!$B$4,DATOS!$I$2:$I$20000,"Lenguaje Musical"),"")))</f>
        <v/>
      </c>
      <c r="C424" t="str">
        <f>IF(A424="","",IF(A424="[FÓRMULA MANUAL]","",IFERROR(AVERAGEIFS(DATOS!$K$2:$K$20000,DATOS!$A$2:$A$20000,A424,DATOS!$G$2:$G$20000,CONFIG_METADATA!$B$4,DATOS!$I$2:$I$20000,"Orquesta/Banda/Conjunto"),"")))</f>
        <v/>
      </c>
      <c r="D424" t="str">
        <f>IF(A424="","",IF(A424="[FÓRMULA MANUAL]","",IFERROR(AVERAGEIFS(DATOS!$K$2:$K$20000,DATOS!$A$2:$A$20000,A424,DATOS!$G$2:$G$20000,CONFIG_METADATA!$B$4,DATOS!$I$2:$I$20000,"Conjunto"),"")))</f>
        <v/>
      </c>
      <c r="E424" t="str">
        <f>IF(A424="","",IF(A424="[FÓRMULA MANUAL]","",IFERROR(SUMPRODUCT((DATOS!$A$2:$A$20000=A424)*(DATOS!$G$2:$G$20000=CONFIG_METADATA!$B$4)*(COUNTIF(CONFIG_ASIGNATURAS!$B$7:$B$27,DATOS!$I$2:$I$20000)&gt;0)*(DATOS!$K$2:$K$20000))/SUMPRODUCT((DATOS!$A$2:$A$20000=A424)*(DATOS!$G$2:$G$20000=CONFIG_METADATA!$B$4)*(COUNTIF(CONFIG_ASIGNATURAS!$B$7:$B$27,DATOS!$I$2:$I$20000)&gt;0)*1),"")))</f>
        <v/>
      </c>
      <c r="H424" t="str">
        <f>IF(G424="","",IF(G424="[FÓRMULA MANUAL]","",IFERROR(AVERAGEIFS(DATOS!$K$2:$K$20000,DATOS!$A$2:$A$20000,G424,DATOS!$G$2:$G$20000,CONFIG_METADATA!$B$4,DATOS!$I$2:$I$20000,"Lenguaje Musical"),"")))</f>
        <v/>
      </c>
      <c r="I424" t="str">
        <f>IF(G424="","",IF(G424="[FÓRMULA MANUAL]","",IFERROR(AVERAGEIFS(DATOS!$K$2:$K$20000,DATOS!$A$2:$A$20000,G424,DATOS!$G$2:$G$20000,CONFIG_METADATA!$B$4,DATOS!$I$2:$I$20000,"Orquesta/Banda/Conjunto"),"")))</f>
        <v/>
      </c>
      <c r="J424" t="str">
        <f>IF(G424="","",IF(G424="[FÓRMULA MANUAL]","",IFERROR(AVERAGEIFS(DATOS!$K$2:$K$20000,DATOS!$A$2:$A$20000,G424,DATOS!$G$2:$G$20000,CONFIG_METADATA!$B$4,DATOS!$I$2:$I$20000,"Conjunto"),"")))</f>
        <v/>
      </c>
      <c r="K424" t="str">
        <f>IF(G424="","",IF(G424="[FÓRMULA MANUAL]","",IFERROR(SUMPRODUCT((DATOS!$A$2:$A$20000=G424)*(DATOS!$G$2:$G$20000=CONFIG_METADATA!$B$4)*(COUNTIF(CONFIG_ASIGNATURAS!$B$7:$B$27,DATOS!$I$2:$I$20000)&gt;0)*(DATOS!$K$2:$K$20000))/SUMPRODUCT((DATOS!$A$2:$A$20000=G424)*(DATOS!$G$2:$G$20000=CONFIG_METADATA!$B$4)*(COUNTIF(CONFIG_ASIGNATURAS!$B$7:$B$27,DATOS!$I$2:$I$20000)&gt;0)*1),"")))</f>
        <v/>
      </c>
      <c r="N424" t="str">
        <f>IF(M424="","",IF(M424="[FÓRMULA MANUAL]","",IFERROR(AVERAGEIFS(DATOS!$K$2:$K$20000,DATOS!$A$2:$A$20000,M424,DATOS!$G$2:$G$20000,CONFIG_METADATA!$B$4,DATOS!$I$2:$I$20000,"Armonía"),"")))</f>
        <v/>
      </c>
      <c r="O424" t="str">
        <f>IF(M424="","",IF(M424="[FÓRMULA MANUAL]","",IFERROR(AVERAGEIFS(DATOS!$K$2:$K$20000,DATOS!$A$2:$A$20000,M424,DATOS!$G$2:$G$20000,CONFIG_METADATA!$B$4,DATOS!$I$2:$I$20000,"Orquesta/Banda/Conjunto"),"")))</f>
        <v/>
      </c>
      <c r="P424" t="str">
        <f>IF(M424="","",IF(M424="[FÓRMULA MANUAL]","",IFERROR(AVERAGEIFS(DATOS!$K$2:$K$20000,DATOS!$A$2:$A$20000,M424,DATOS!$G$2:$G$20000,CONFIG_METADATA!$B$4,DATOS!$I$2:$I$20000,"Música de Cámara"),"")))</f>
        <v/>
      </c>
      <c r="Q424" t="str">
        <f>IF(M424="","",IF(M424="[FÓRMULA MANUAL]","",IFERROR(SUMPRODUCT((DATOS!$A$2:$A$20000=M424)*(DATOS!$G$2:$G$20000=CONFIG_METADATA!$B$4)*(COUNTIF(CONFIG_ASIGNATURAS!$B$7:$B$27,DATOS!$I$2:$I$20000)&gt;0)*(DATOS!$K$2:$K$20000))/SUMPRODUCT((DATOS!$A$2:$A$20000=M424)*(DATOS!$G$2:$G$20000=CONFIG_METADATA!$B$4)*(COUNTIF(CONFIG_ASIGNATURAS!$B$7:$B$27,DATOS!$I$2:$I$20000)&gt;0)*1),"")))</f>
        <v/>
      </c>
      <c r="T424" t="str">
        <f>IF(S424="","",IF(S424="[FÓRMULA MANUAL]","",IFERROR(AVERAGEIFS(DATOS!$K$2:$K$20000,DATOS!$A$2:$A$20000,S424,DATOS!$G$2:$G$20000,CONFIG_METADATA!$B$4,DATOS!$I$2:$I$20000,"Armonía"),"")))</f>
        <v/>
      </c>
      <c r="U424" t="str">
        <f>IF(S424="","",IF(S424="[FÓRMULA MANUAL]","",IFERROR(AVERAGEIFS(DATOS!$K$2:$K$20000,DATOS!$A$2:$A$20000,S424,DATOS!$G$2:$G$20000,CONFIG_METADATA!$B$4,DATOS!$I$2:$I$20000,"Orquesta/Banda/Conjunto"),"")))</f>
        <v/>
      </c>
      <c r="V424" t="str">
        <f>IF(S424="","",IF(S424="[FÓRMULA MANUAL]","",IFERROR(AVERAGEIFS(DATOS!$K$2:$K$20000,DATOS!$A$2:$A$20000,S424,DATOS!$G$2:$G$20000,CONFIG_METADATA!$B$4,DATOS!$I$2:$I$20000,"Música de Cámara"),"")))</f>
        <v/>
      </c>
      <c r="W424" t="str">
        <f>IF(S424="","",IF(S424="[FÓRMULA MANUAL]","",IFERROR(SUMPRODUCT((DATOS!$A$2:$A$20000=S424)*(DATOS!$G$2:$G$20000=CONFIG_METADATA!$B$4)*(COUNTIF(CONFIG_ASIGNATURAS!$B$7:$B$27,DATOS!$I$2:$I$20000)&gt;0)*(DATOS!$K$2:$K$20000))/SUMPRODUCT((DATOS!$A$2:$A$20000=S424)*(DATOS!$G$2:$G$20000=CONFIG_METADATA!$B$4)*(COUNTIF(CONFIG_ASIGNATURAS!$B$7:$B$27,DATOS!$I$2:$I$20000)&gt;0)*1),"")))</f>
        <v/>
      </c>
      <c r="Z424" t="str">
        <f>IF(Y424="","",IF(Y424="[FÓRMULA MANUAL]","",IFERROR(AVERAGEIFS(DATOS!$K$2:$K$20000,DATOS!$A$2:$A$20000,Y424,DATOS!$G$2:$G$20000,CONFIG_METADATA!$B$4,DATOS!$I$2:$I$20000,"Análisis"),"")))</f>
        <v/>
      </c>
      <c r="AA424" t="str">
        <f>IF(Y424="","",IF(Y424="[FÓRMULA MANUAL]","",IFERROR(AVERAGEIFS(DATOS!$K$2:$K$20000,DATOS!$A$2:$A$20000,Y424,DATOS!$G$2:$G$20000,CONFIG_METADATA!$B$4,DATOS!$I$2:$I$20000,"Orquesta/Banda/Conjunto"),"")))</f>
        <v/>
      </c>
      <c r="AB424" t="str">
        <f>IF(Y424="","",IF(Y424="[FÓRMULA MANUAL]","",IFERROR(AVERAGEIFS(DATOS!$K$2:$K$20000,DATOS!$A$2:$A$20000,Y424,DATOS!$G$2:$G$20000,CONFIG_METADATA!$B$4,DATOS!$I$2:$I$20000,"Música de Cámara"),"")))</f>
        <v/>
      </c>
      <c r="AC424" t="str">
        <f>IF(Y424="","",IF(Y424="[FÓRMULA MANUAL]","",IFERROR(SUMPRODUCT((DATOS!$A$2:$A$20000=Y424)*(DATOS!$G$2:$G$20000=CONFIG_METADATA!$B$4)*(COUNTIF(CONFIG_ASIGNATURAS!$B$7:$B$27,DATOS!$I$2:$I$20000)&gt;0)*(DATOS!$K$2:$K$20000))/SUMPRODUCT((DATOS!$A$2:$A$20000=Y424)*(DATOS!$G$2:$G$20000=CONFIG_METADATA!$B$4)*(COUNTIF(CONFIG_ASIGNATURAS!$B$7:$B$27,DATOS!$I$2:$I$20000)&gt;0)*1),"")))</f>
        <v/>
      </c>
      <c r="AF424" t="str">
        <f>IF(AE424="","",IF(AE424="[FÓRMULA MANUAL]","",IFERROR(AVERAGEIFS(DATOS!$K$2:$K$20000,DATOS!$A$2:$A$20000,AE424,DATOS!$G$2:$G$20000,CONFIG_METADATA!$B$4,DATOS!$I$2:$I$20000,"Análisis"),"")))</f>
        <v/>
      </c>
      <c r="AG424" t="str">
        <f>IF(AE424="","",IF(AE424="[FÓRMULA MANUAL]","",IFERROR(AVERAGEIFS(DATOS!$K$2:$K$20000,DATOS!$A$2:$A$20000,AE424,DATOS!$G$2:$G$20000,CONFIG_METADATA!$B$4,DATOS!$I$2:$I$20000,"Orquesta/Banda/Conjunto"),"")))</f>
        <v/>
      </c>
      <c r="AH424" t="str">
        <f>IF(AE424="","",IF(AE424="[FÓRMULA MANUAL]","",IFERROR(AVERAGEIFS(DATOS!$K$2:$K$20000,DATOS!$A$2:$A$20000,AE424,DATOS!$G$2:$G$20000,CONFIG_METADATA!$B$4,DATOS!$I$2:$I$20000,"Música de Cámara"),"")))</f>
        <v/>
      </c>
      <c r="AI424" t="str">
        <f>IF(AE424="","",IF(AE424="[FÓRMULA MANUAL]","",IFERROR(SUMPRODUCT((DATOS!$A$2:$A$20000=AE424)*(DATOS!$G$2:$G$20000=CONFIG_METADATA!$B$4)*(COUNTIF(CONFIG_ASIGNATURAS!$B$7:$B$27,DATOS!$I$2:$I$20000)&gt;0)*(DATOS!$K$2:$K$20000))/SUMPRODUCT((DATOS!$A$2:$A$20000=AE424)*(DATOS!$G$2:$G$20000=CONFIG_METADATA!$B$4)*(COUNTIF(CONFIG_ASIGNATURAS!$B$7:$B$27,DATOS!$I$2:$I$20000)&gt;0)*1),"")))</f>
        <v/>
      </c>
    </row>
    <row r="425" spans="2:35" x14ac:dyDescent="0.2">
      <c r="B425" t="str">
        <f>IF(A425="","",IF(A425="[FÓRMULA MANUAL]","",IFERROR(AVERAGEIFS(DATOS!$K$2:$K$20000,DATOS!$A$2:$A$20000,A425,DATOS!$G$2:$G$20000,CONFIG_METADATA!$B$4,DATOS!$I$2:$I$20000,"Lenguaje Musical"),"")))</f>
        <v/>
      </c>
      <c r="C425" t="str">
        <f>IF(A425="","",IF(A425="[FÓRMULA MANUAL]","",IFERROR(AVERAGEIFS(DATOS!$K$2:$K$20000,DATOS!$A$2:$A$20000,A425,DATOS!$G$2:$G$20000,CONFIG_METADATA!$B$4,DATOS!$I$2:$I$20000,"Orquesta/Banda/Conjunto"),"")))</f>
        <v/>
      </c>
      <c r="D425" t="str">
        <f>IF(A425="","",IF(A425="[FÓRMULA MANUAL]","",IFERROR(AVERAGEIFS(DATOS!$K$2:$K$20000,DATOS!$A$2:$A$20000,A425,DATOS!$G$2:$G$20000,CONFIG_METADATA!$B$4,DATOS!$I$2:$I$20000,"Conjunto"),"")))</f>
        <v/>
      </c>
      <c r="E425" t="str">
        <f>IF(A425="","",IF(A425="[FÓRMULA MANUAL]","",IFERROR(SUMPRODUCT((DATOS!$A$2:$A$20000=A425)*(DATOS!$G$2:$G$20000=CONFIG_METADATA!$B$4)*(COUNTIF(CONFIG_ASIGNATURAS!$B$7:$B$27,DATOS!$I$2:$I$20000)&gt;0)*(DATOS!$K$2:$K$20000))/SUMPRODUCT((DATOS!$A$2:$A$20000=A425)*(DATOS!$G$2:$G$20000=CONFIG_METADATA!$B$4)*(COUNTIF(CONFIG_ASIGNATURAS!$B$7:$B$27,DATOS!$I$2:$I$20000)&gt;0)*1),"")))</f>
        <v/>
      </c>
      <c r="H425" t="str">
        <f>IF(G425="","",IF(G425="[FÓRMULA MANUAL]","",IFERROR(AVERAGEIFS(DATOS!$K$2:$K$20000,DATOS!$A$2:$A$20000,G425,DATOS!$G$2:$G$20000,CONFIG_METADATA!$B$4,DATOS!$I$2:$I$20000,"Lenguaje Musical"),"")))</f>
        <v/>
      </c>
      <c r="I425" t="str">
        <f>IF(G425="","",IF(G425="[FÓRMULA MANUAL]","",IFERROR(AVERAGEIFS(DATOS!$K$2:$K$20000,DATOS!$A$2:$A$20000,G425,DATOS!$G$2:$G$20000,CONFIG_METADATA!$B$4,DATOS!$I$2:$I$20000,"Orquesta/Banda/Conjunto"),"")))</f>
        <v/>
      </c>
      <c r="J425" t="str">
        <f>IF(G425="","",IF(G425="[FÓRMULA MANUAL]","",IFERROR(AVERAGEIFS(DATOS!$K$2:$K$20000,DATOS!$A$2:$A$20000,G425,DATOS!$G$2:$G$20000,CONFIG_METADATA!$B$4,DATOS!$I$2:$I$20000,"Conjunto"),"")))</f>
        <v/>
      </c>
      <c r="K425" t="str">
        <f>IF(G425="","",IF(G425="[FÓRMULA MANUAL]","",IFERROR(SUMPRODUCT((DATOS!$A$2:$A$20000=G425)*(DATOS!$G$2:$G$20000=CONFIG_METADATA!$B$4)*(COUNTIF(CONFIG_ASIGNATURAS!$B$7:$B$27,DATOS!$I$2:$I$20000)&gt;0)*(DATOS!$K$2:$K$20000))/SUMPRODUCT((DATOS!$A$2:$A$20000=G425)*(DATOS!$G$2:$G$20000=CONFIG_METADATA!$B$4)*(COUNTIF(CONFIG_ASIGNATURAS!$B$7:$B$27,DATOS!$I$2:$I$20000)&gt;0)*1),"")))</f>
        <v/>
      </c>
      <c r="N425" t="str">
        <f>IF(M425="","",IF(M425="[FÓRMULA MANUAL]","",IFERROR(AVERAGEIFS(DATOS!$K$2:$K$20000,DATOS!$A$2:$A$20000,M425,DATOS!$G$2:$G$20000,CONFIG_METADATA!$B$4,DATOS!$I$2:$I$20000,"Armonía"),"")))</f>
        <v/>
      </c>
      <c r="O425" t="str">
        <f>IF(M425="","",IF(M425="[FÓRMULA MANUAL]","",IFERROR(AVERAGEIFS(DATOS!$K$2:$K$20000,DATOS!$A$2:$A$20000,M425,DATOS!$G$2:$G$20000,CONFIG_METADATA!$B$4,DATOS!$I$2:$I$20000,"Orquesta/Banda/Conjunto"),"")))</f>
        <v/>
      </c>
      <c r="P425" t="str">
        <f>IF(M425="","",IF(M425="[FÓRMULA MANUAL]","",IFERROR(AVERAGEIFS(DATOS!$K$2:$K$20000,DATOS!$A$2:$A$20000,M425,DATOS!$G$2:$G$20000,CONFIG_METADATA!$B$4,DATOS!$I$2:$I$20000,"Música de Cámara"),"")))</f>
        <v/>
      </c>
      <c r="Q425" t="str">
        <f>IF(M425="","",IF(M425="[FÓRMULA MANUAL]","",IFERROR(SUMPRODUCT((DATOS!$A$2:$A$20000=M425)*(DATOS!$G$2:$G$20000=CONFIG_METADATA!$B$4)*(COUNTIF(CONFIG_ASIGNATURAS!$B$7:$B$27,DATOS!$I$2:$I$20000)&gt;0)*(DATOS!$K$2:$K$20000))/SUMPRODUCT((DATOS!$A$2:$A$20000=M425)*(DATOS!$G$2:$G$20000=CONFIG_METADATA!$B$4)*(COUNTIF(CONFIG_ASIGNATURAS!$B$7:$B$27,DATOS!$I$2:$I$20000)&gt;0)*1),"")))</f>
        <v/>
      </c>
      <c r="T425" t="str">
        <f>IF(S425="","",IF(S425="[FÓRMULA MANUAL]","",IFERROR(AVERAGEIFS(DATOS!$K$2:$K$20000,DATOS!$A$2:$A$20000,S425,DATOS!$G$2:$G$20000,CONFIG_METADATA!$B$4,DATOS!$I$2:$I$20000,"Armonía"),"")))</f>
        <v/>
      </c>
      <c r="U425" t="str">
        <f>IF(S425="","",IF(S425="[FÓRMULA MANUAL]","",IFERROR(AVERAGEIFS(DATOS!$K$2:$K$20000,DATOS!$A$2:$A$20000,S425,DATOS!$G$2:$G$20000,CONFIG_METADATA!$B$4,DATOS!$I$2:$I$20000,"Orquesta/Banda/Conjunto"),"")))</f>
        <v/>
      </c>
      <c r="V425" t="str">
        <f>IF(S425="","",IF(S425="[FÓRMULA MANUAL]","",IFERROR(AVERAGEIFS(DATOS!$K$2:$K$20000,DATOS!$A$2:$A$20000,S425,DATOS!$G$2:$G$20000,CONFIG_METADATA!$B$4,DATOS!$I$2:$I$20000,"Música de Cámara"),"")))</f>
        <v/>
      </c>
      <c r="W425" t="str">
        <f>IF(S425="","",IF(S425="[FÓRMULA MANUAL]","",IFERROR(SUMPRODUCT((DATOS!$A$2:$A$20000=S425)*(DATOS!$G$2:$G$20000=CONFIG_METADATA!$B$4)*(COUNTIF(CONFIG_ASIGNATURAS!$B$7:$B$27,DATOS!$I$2:$I$20000)&gt;0)*(DATOS!$K$2:$K$20000))/SUMPRODUCT((DATOS!$A$2:$A$20000=S425)*(DATOS!$G$2:$G$20000=CONFIG_METADATA!$B$4)*(COUNTIF(CONFIG_ASIGNATURAS!$B$7:$B$27,DATOS!$I$2:$I$20000)&gt;0)*1),"")))</f>
        <v/>
      </c>
      <c r="Z425" t="str">
        <f>IF(Y425="","",IF(Y425="[FÓRMULA MANUAL]","",IFERROR(AVERAGEIFS(DATOS!$K$2:$K$20000,DATOS!$A$2:$A$20000,Y425,DATOS!$G$2:$G$20000,CONFIG_METADATA!$B$4,DATOS!$I$2:$I$20000,"Análisis"),"")))</f>
        <v/>
      </c>
      <c r="AA425" t="str">
        <f>IF(Y425="","",IF(Y425="[FÓRMULA MANUAL]","",IFERROR(AVERAGEIFS(DATOS!$K$2:$K$20000,DATOS!$A$2:$A$20000,Y425,DATOS!$G$2:$G$20000,CONFIG_METADATA!$B$4,DATOS!$I$2:$I$20000,"Orquesta/Banda/Conjunto"),"")))</f>
        <v/>
      </c>
      <c r="AB425" t="str">
        <f>IF(Y425="","",IF(Y425="[FÓRMULA MANUAL]","",IFERROR(AVERAGEIFS(DATOS!$K$2:$K$20000,DATOS!$A$2:$A$20000,Y425,DATOS!$G$2:$G$20000,CONFIG_METADATA!$B$4,DATOS!$I$2:$I$20000,"Música de Cámara"),"")))</f>
        <v/>
      </c>
      <c r="AC425" t="str">
        <f>IF(Y425="","",IF(Y425="[FÓRMULA MANUAL]","",IFERROR(SUMPRODUCT((DATOS!$A$2:$A$20000=Y425)*(DATOS!$G$2:$G$20000=CONFIG_METADATA!$B$4)*(COUNTIF(CONFIG_ASIGNATURAS!$B$7:$B$27,DATOS!$I$2:$I$20000)&gt;0)*(DATOS!$K$2:$K$20000))/SUMPRODUCT((DATOS!$A$2:$A$20000=Y425)*(DATOS!$G$2:$G$20000=CONFIG_METADATA!$B$4)*(COUNTIF(CONFIG_ASIGNATURAS!$B$7:$B$27,DATOS!$I$2:$I$20000)&gt;0)*1),"")))</f>
        <v/>
      </c>
      <c r="AF425" t="str">
        <f>IF(AE425="","",IF(AE425="[FÓRMULA MANUAL]","",IFERROR(AVERAGEIFS(DATOS!$K$2:$K$20000,DATOS!$A$2:$A$20000,AE425,DATOS!$G$2:$G$20000,CONFIG_METADATA!$B$4,DATOS!$I$2:$I$20000,"Análisis"),"")))</f>
        <v/>
      </c>
      <c r="AG425" t="str">
        <f>IF(AE425="","",IF(AE425="[FÓRMULA MANUAL]","",IFERROR(AVERAGEIFS(DATOS!$K$2:$K$20000,DATOS!$A$2:$A$20000,AE425,DATOS!$G$2:$G$20000,CONFIG_METADATA!$B$4,DATOS!$I$2:$I$20000,"Orquesta/Banda/Conjunto"),"")))</f>
        <v/>
      </c>
      <c r="AH425" t="str">
        <f>IF(AE425="","",IF(AE425="[FÓRMULA MANUAL]","",IFERROR(AVERAGEIFS(DATOS!$K$2:$K$20000,DATOS!$A$2:$A$20000,AE425,DATOS!$G$2:$G$20000,CONFIG_METADATA!$B$4,DATOS!$I$2:$I$20000,"Música de Cámara"),"")))</f>
        <v/>
      </c>
      <c r="AI425" t="str">
        <f>IF(AE425="","",IF(AE425="[FÓRMULA MANUAL]","",IFERROR(SUMPRODUCT((DATOS!$A$2:$A$20000=AE425)*(DATOS!$G$2:$G$20000=CONFIG_METADATA!$B$4)*(COUNTIF(CONFIG_ASIGNATURAS!$B$7:$B$27,DATOS!$I$2:$I$20000)&gt;0)*(DATOS!$K$2:$K$20000))/SUMPRODUCT((DATOS!$A$2:$A$20000=AE425)*(DATOS!$G$2:$G$20000=CONFIG_METADATA!$B$4)*(COUNTIF(CONFIG_ASIGNATURAS!$B$7:$B$27,DATOS!$I$2:$I$20000)&gt;0)*1),"")))</f>
        <v/>
      </c>
    </row>
    <row r="426" spans="2:35" x14ac:dyDescent="0.2">
      <c r="B426" t="str">
        <f>IF(A426="","",IF(A426="[FÓRMULA MANUAL]","",IFERROR(AVERAGEIFS(DATOS!$K$2:$K$20000,DATOS!$A$2:$A$20000,A426,DATOS!$G$2:$G$20000,CONFIG_METADATA!$B$4,DATOS!$I$2:$I$20000,"Lenguaje Musical"),"")))</f>
        <v/>
      </c>
      <c r="C426" t="str">
        <f>IF(A426="","",IF(A426="[FÓRMULA MANUAL]","",IFERROR(AVERAGEIFS(DATOS!$K$2:$K$20000,DATOS!$A$2:$A$20000,A426,DATOS!$G$2:$G$20000,CONFIG_METADATA!$B$4,DATOS!$I$2:$I$20000,"Orquesta/Banda/Conjunto"),"")))</f>
        <v/>
      </c>
      <c r="D426" t="str">
        <f>IF(A426="","",IF(A426="[FÓRMULA MANUAL]","",IFERROR(AVERAGEIFS(DATOS!$K$2:$K$20000,DATOS!$A$2:$A$20000,A426,DATOS!$G$2:$G$20000,CONFIG_METADATA!$B$4,DATOS!$I$2:$I$20000,"Conjunto"),"")))</f>
        <v/>
      </c>
      <c r="E426" t="str">
        <f>IF(A426="","",IF(A426="[FÓRMULA MANUAL]","",IFERROR(SUMPRODUCT((DATOS!$A$2:$A$20000=A426)*(DATOS!$G$2:$G$20000=CONFIG_METADATA!$B$4)*(COUNTIF(CONFIG_ASIGNATURAS!$B$7:$B$27,DATOS!$I$2:$I$20000)&gt;0)*(DATOS!$K$2:$K$20000))/SUMPRODUCT((DATOS!$A$2:$A$20000=A426)*(DATOS!$G$2:$G$20000=CONFIG_METADATA!$B$4)*(COUNTIF(CONFIG_ASIGNATURAS!$B$7:$B$27,DATOS!$I$2:$I$20000)&gt;0)*1),"")))</f>
        <v/>
      </c>
      <c r="H426" t="str">
        <f>IF(G426="","",IF(G426="[FÓRMULA MANUAL]","",IFERROR(AVERAGEIFS(DATOS!$K$2:$K$20000,DATOS!$A$2:$A$20000,G426,DATOS!$G$2:$G$20000,CONFIG_METADATA!$B$4,DATOS!$I$2:$I$20000,"Lenguaje Musical"),"")))</f>
        <v/>
      </c>
      <c r="I426" t="str">
        <f>IF(G426="","",IF(G426="[FÓRMULA MANUAL]","",IFERROR(AVERAGEIFS(DATOS!$K$2:$K$20000,DATOS!$A$2:$A$20000,G426,DATOS!$G$2:$G$20000,CONFIG_METADATA!$B$4,DATOS!$I$2:$I$20000,"Orquesta/Banda/Conjunto"),"")))</f>
        <v/>
      </c>
      <c r="J426" t="str">
        <f>IF(G426="","",IF(G426="[FÓRMULA MANUAL]","",IFERROR(AVERAGEIFS(DATOS!$K$2:$K$20000,DATOS!$A$2:$A$20000,G426,DATOS!$G$2:$G$20000,CONFIG_METADATA!$B$4,DATOS!$I$2:$I$20000,"Conjunto"),"")))</f>
        <v/>
      </c>
      <c r="K426" t="str">
        <f>IF(G426="","",IF(G426="[FÓRMULA MANUAL]","",IFERROR(SUMPRODUCT((DATOS!$A$2:$A$20000=G426)*(DATOS!$G$2:$G$20000=CONFIG_METADATA!$B$4)*(COUNTIF(CONFIG_ASIGNATURAS!$B$7:$B$27,DATOS!$I$2:$I$20000)&gt;0)*(DATOS!$K$2:$K$20000))/SUMPRODUCT((DATOS!$A$2:$A$20000=G426)*(DATOS!$G$2:$G$20000=CONFIG_METADATA!$B$4)*(COUNTIF(CONFIG_ASIGNATURAS!$B$7:$B$27,DATOS!$I$2:$I$20000)&gt;0)*1),"")))</f>
        <v/>
      </c>
      <c r="N426" t="str">
        <f>IF(M426="","",IF(M426="[FÓRMULA MANUAL]","",IFERROR(AVERAGEIFS(DATOS!$K$2:$K$20000,DATOS!$A$2:$A$20000,M426,DATOS!$G$2:$G$20000,CONFIG_METADATA!$B$4,DATOS!$I$2:$I$20000,"Armonía"),"")))</f>
        <v/>
      </c>
      <c r="O426" t="str">
        <f>IF(M426="","",IF(M426="[FÓRMULA MANUAL]","",IFERROR(AVERAGEIFS(DATOS!$K$2:$K$20000,DATOS!$A$2:$A$20000,M426,DATOS!$G$2:$G$20000,CONFIG_METADATA!$B$4,DATOS!$I$2:$I$20000,"Orquesta/Banda/Conjunto"),"")))</f>
        <v/>
      </c>
      <c r="P426" t="str">
        <f>IF(M426="","",IF(M426="[FÓRMULA MANUAL]","",IFERROR(AVERAGEIFS(DATOS!$K$2:$K$20000,DATOS!$A$2:$A$20000,M426,DATOS!$G$2:$G$20000,CONFIG_METADATA!$B$4,DATOS!$I$2:$I$20000,"Música de Cámara"),"")))</f>
        <v/>
      </c>
      <c r="Q426" t="str">
        <f>IF(M426="","",IF(M426="[FÓRMULA MANUAL]","",IFERROR(SUMPRODUCT((DATOS!$A$2:$A$20000=M426)*(DATOS!$G$2:$G$20000=CONFIG_METADATA!$B$4)*(COUNTIF(CONFIG_ASIGNATURAS!$B$7:$B$27,DATOS!$I$2:$I$20000)&gt;0)*(DATOS!$K$2:$K$20000))/SUMPRODUCT((DATOS!$A$2:$A$20000=M426)*(DATOS!$G$2:$G$20000=CONFIG_METADATA!$B$4)*(COUNTIF(CONFIG_ASIGNATURAS!$B$7:$B$27,DATOS!$I$2:$I$20000)&gt;0)*1),"")))</f>
        <v/>
      </c>
      <c r="T426" t="str">
        <f>IF(S426="","",IF(S426="[FÓRMULA MANUAL]","",IFERROR(AVERAGEIFS(DATOS!$K$2:$K$20000,DATOS!$A$2:$A$20000,S426,DATOS!$G$2:$G$20000,CONFIG_METADATA!$B$4,DATOS!$I$2:$I$20000,"Armonía"),"")))</f>
        <v/>
      </c>
      <c r="U426" t="str">
        <f>IF(S426="","",IF(S426="[FÓRMULA MANUAL]","",IFERROR(AVERAGEIFS(DATOS!$K$2:$K$20000,DATOS!$A$2:$A$20000,S426,DATOS!$G$2:$G$20000,CONFIG_METADATA!$B$4,DATOS!$I$2:$I$20000,"Orquesta/Banda/Conjunto"),"")))</f>
        <v/>
      </c>
      <c r="V426" t="str">
        <f>IF(S426="","",IF(S426="[FÓRMULA MANUAL]","",IFERROR(AVERAGEIFS(DATOS!$K$2:$K$20000,DATOS!$A$2:$A$20000,S426,DATOS!$G$2:$G$20000,CONFIG_METADATA!$B$4,DATOS!$I$2:$I$20000,"Música de Cámara"),"")))</f>
        <v/>
      </c>
      <c r="W426" t="str">
        <f>IF(S426="","",IF(S426="[FÓRMULA MANUAL]","",IFERROR(SUMPRODUCT((DATOS!$A$2:$A$20000=S426)*(DATOS!$G$2:$G$20000=CONFIG_METADATA!$B$4)*(COUNTIF(CONFIG_ASIGNATURAS!$B$7:$B$27,DATOS!$I$2:$I$20000)&gt;0)*(DATOS!$K$2:$K$20000))/SUMPRODUCT((DATOS!$A$2:$A$20000=S426)*(DATOS!$G$2:$G$20000=CONFIG_METADATA!$B$4)*(COUNTIF(CONFIG_ASIGNATURAS!$B$7:$B$27,DATOS!$I$2:$I$20000)&gt;0)*1),"")))</f>
        <v/>
      </c>
      <c r="Z426" t="str">
        <f>IF(Y426="","",IF(Y426="[FÓRMULA MANUAL]","",IFERROR(AVERAGEIFS(DATOS!$K$2:$K$20000,DATOS!$A$2:$A$20000,Y426,DATOS!$G$2:$G$20000,CONFIG_METADATA!$B$4,DATOS!$I$2:$I$20000,"Análisis"),"")))</f>
        <v/>
      </c>
      <c r="AA426" t="str">
        <f>IF(Y426="","",IF(Y426="[FÓRMULA MANUAL]","",IFERROR(AVERAGEIFS(DATOS!$K$2:$K$20000,DATOS!$A$2:$A$20000,Y426,DATOS!$G$2:$G$20000,CONFIG_METADATA!$B$4,DATOS!$I$2:$I$20000,"Orquesta/Banda/Conjunto"),"")))</f>
        <v/>
      </c>
      <c r="AB426" t="str">
        <f>IF(Y426="","",IF(Y426="[FÓRMULA MANUAL]","",IFERROR(AVERAGEIFS(DATOS!$K$2:$K$20000,DATOS!$A$2:$A$20000,Y426,DATOS!$G$2:$G$20000,CONFIG_METADATA!$B$4,DATOS!$I$2:$I$20000,"Música de Cámara"),"")))</f>
        <v/>
      </c>
      <c r="AC426" t="str">
        <f>IF(Y426="","",IF(Y426="[FÓRMULA MANUAL]","",IFERROR(SUMPRODUCT((DATOS!$A$2:$A$20000=Y426)*(DATOS!$G$2:$G$20000=CONFIG_METADATA!$B$4)*(COUNTIF(CONFIG_ASIGNATURAS!$B$7:$B$27,DATOS!$I$2:$I$20000)&gt;0)*(DATOS!$K$2:$K$20000))/SUMPRODUCT((DATOS!$A$2:$A$20000=Y426)*(DATOS!$G$2:$G$20000=CONFIG_METADATA!$B$4)*(COUNTIF(CONFIG_ASIGNATURAS!$B$7:$B$27,DATOS!$I$2:$I$20000)&gt;0)*1),"")))</f>
        <v/>
      </c>
      <c r="AF426" t="str">
        <f>IF(AE426="","",IF(AE426="[FÓRMULA MANUAL]","",IFERROR(AVERAGEIFS(DATOS!$K$2:$K$20000,DATOS!$A$2:$A$20000,AE426,DATOS!$G$2:$G$20000,CONFIG_METADATA!$B$4,DATOS!$I$2:$I$20000,"Análisis"),"")))</f>
        <v/>
      </c>
      <c r="AG426" t="str">
        <f>IF(AE426="","",IF(AE426="[FÓRMULA MANUAL]","",IFERROR(AVERAGEIFS(DATOS!$K$2:$K$20000,DATOS!$A$2:$A$20000,AE426,DATOS!$G$2:$G$20000,CONFIG_METADATA!$B$4,DATOS!$I$2:$I$20000,"Orquesta/Banda/Conjunto"),"")))</f>
        <v/>
      </c>
      <c r="AH426" t="str">
        <f>IF(AE426="","",IF(AE426="[FÓRMULA MANUAL]","",IFERROR(AVERAGEIFS(DATOS!$K$2:$K$20000,DATOS!$A$2:$A$20000,AE426,DATOS!$G$2:$G$20000,CONFIG_METADATA!$B$4,DATOS!$I$2:$I$20000,"Música de Cámara"),"")))</f>
        <v/>
      </c>
      <c r="AI426" t="str">
        <f>IF(AE426="","",IF(AE426="[FÓRMULA MANUAL]","",IFERROR(SUMPRODUCT((DATOS!$A$2:$A$20000=AE426)*(DATOS!$G$2:$G$20000=CONFIG_METADATA!$B$4)*(COUNTIF(CONFIG_ASIGNATURAS!$B$7:$B$27,DATOS!$I$2:$I$20000)&gt;0)*(DATOS!$K$2:$K$20000))/SUMPRODUCT((DATOS!$A$2:$A$20000=AE426)*(DATOS!$G$2:$G$20000=CONFIG_METADATA!$B$4)*(COUNTIF(CONFIG_ASIGNATURAS!$B$7:$B$27,DATOS!$I$2:$I$20000)&gt;0)*1),"")))</f>
        <v/>
      </c>
    </row>
    <row r="427" spans="2:35" x14ac:dyDescent="0.2">
      <c r="B427" t="str">
        <f>IF(A427="","",IF(A427="[FÓRMULA MANUAL]","",IFERROR(AVERAGEIFS(DATOS!$K$2:$K$20000,DATOS!$A$2:$A$20000,A427,DATOS!$G$2:$G$20000,CONFIG_METADATA!$B$4,DATOS!$I$2:$I$20000,"Lenguaje Musical"),"")))</f>
        <v/>
      </c>
      <c r="C427" t="str">
        <f>IF(A427="","",IF(A427="[FÓRMULA MANUAL]","",IFERROR(AVERAGEIFS(DATOS!$K$2:$K$20000,DATOS!$A$2:$A$20000,A427,DATOS!$G$2:$G$20000,CONFIG_METADATA!$B$4,DATOS!$I$2:$I$20000,"Orquesta/Banda/Conjunto"),"")))</f>
        <v/>
      </c>
      <c r="D427" t="str">
        <f>IF(A427="","",IF(A427="[FÓRMULA MANUAL]","",IFERROR(AVERAGEIFS(DATOS!$K$2:$K$20000,DATOS!$A$2:$A$20000,A427,DATOS!$G$2:$G$20000,CONFIG_METADATA!$B$4,DATOS!$I$2:$I$20000,"Conjunto"),"")))</f>
        <v/>
      </c>
      <c r="E427" t="str">
        <f>IF(A427="","",IF(A427="[FÓRMULA MANUAL]","",IFERROR(SUMPRODUCT((DATOS!$A$2:$A$20000=A427)*(DATOS!$G$2:$G$20000=CONFIG_METADATA!$B$4)*(COUNTIF(CONFIG_ASIGNATURAS!$B$7:$B$27,DATOS!$I$2:$I$20000)&gt;0)*(DATOS!$K$2:$K$20000))/SUMPRODUCT((DATOS!$A$2:$A$20000=A427)*(DATOS!$G$2:$G$20000=CONFIG_METADATA!$B$4)*(COUNTIF(CONFIG_ASIGNATURAS!$B$7:$B$27,DATOS!$I$2:$I$20000)&gt;0)*1),"")))</f>
        <v/>
      </c>
      <c r="H427" t="str">
        <f>IF(G427="","",IF(G427="[FÓRMULA MANUAL]","",IFERROR(AVERAGEIFS(DATOS!$K$2:$K$20000,DATOS!$A$2:$A$20000,G427,DATOS!$G$2:$G$20000,CONFIG_METADATA!$B$4,DATOS!$I$2:$I$20000,"Lenguaje Musical"),"")))</f>
        <v/>
      </c>
      <c r="I427" t="str">
        <f>IF(G427="","",IF(G427="[FÓRMULA MANUAL]","",IFERROR(AVERAGEIFS(DATOS!$K$2:$K$20000,DATOS!$A$2:$A$20000,G427,DATOS!$G$2:$G$20000,CONFIG_METADATA!$B$4,DATOS!$I$2:$I$20000,"Orquesta/Banda/Conjunto"),"")))</f>
        <v/>
      </c>
      <c r="J427" t="str">
        <f>IF(G427="","",IF(G427="[FÓRMULA MANUAL]","",IFERROR(AVERAGEIFS(DATOS!$K$2:$K$20000,DATOS!$A$2:$A$20000,G427,DATOS!$G$2:$G$20000,CONFIG_METADATA!$B$4,DATOS!$I$2:$I$20000,"Conjunto"),"")))</f>
        <v/>
      </c>
      <c r="K427" t="str">
        <f>IF(G427="","",IF(G427="[FÓRMULA MANUAL]","",IFERROR(SUMPRODUCT((DATOS!$A$2:$A$20000=G427)*(DATOS!$G$2:$G$20000=CONFIG_METADATA!$B$4)*(COUNTIF(CONFIG_ASIGNATURAS!$B$7:$B$27,DATOS!$I$2:$I$20000)&gt;0)*(DATOS!$K$2:$K$20000))/SUMPRODUCT((DATOS!$A$2:$A$20000=G427)*(DATOS!$G$2:$G$20000=CONFIG_METADATA!$B$4)*(COUNTIF(CONFIG_ASIGNATURAS!$B$7:$B$27,DATOS!$I$2:$I$20000)&gt;0)*1),"")))</f>
        <v/>
      </c>
      <c r="N427" t="str">
        <f>IF(M427="","",IF(M427="[FÓRMULA MANUAL]","",IFERROR(AVERAGEIFS(DATOS!$K$2:$K$20000,DATOS!$A$2:$A$20000,M427,DATOS!$G$2:$G$20000,CONFIG_METADATA!$B$4,DATOS!$I$2:$I$20000,"Armonía"),"")))</f>
        <v/>
      </c>
      <c r="O427" t="str">
        <f>IF(M427="","",IF(M427="[FÓRMULA MANUAL]","",IFERROR(AVERAGEIFS(DATOS!$K$2:$K$20000,DATOS!$A$2:$A$20000,M427,DATOS!$G$2:$G$20000,CONFIG_METADATA!$B$4,DATOS!$I$2:$I$20000,"Orquesta/Banda/Conjunto"),"")))</f>
        <v/>
      </c>
      <c r="P427" t="str">
        <f>IF(M427="","",IF(M427="[FÓRMULA MANUAL]","",IFERROR(AVERAGEIFS(DATOS!$K$2:$K$20000,DATOS!$A$2:$A$20000,M427,DATOS!$G$2:$G$20000,CONFIG_METADATA!$B$4,DATOS!$I$2:$I$20000,"Música de Cámara"),"")))</f>
        <v/>
      </c>
      <c r="Q427" t="str">
        <f>IF(M427="","",IF(M427="[FÓRMULA MANUAL]","",IFERROR(SUMPRODUCT((DATOS!$A$2:$A$20000=M427)*(DATOS!$G$2:$G$20000=CONFIG_METADATA!$B$4)*(COUNTIF(CONFIG_ASIGNATURAS!$B$7:$B$27,DATOS!$I$2:$I$20000)&gt;0)*(DATOS!$K$2:$K$20000))/SUMPRODUCT((DATOS!$A$2:$A$20000=M427)*(DATOS!$G$2:$G$20000=CONFIG_METADATA!$B$4)*(COUNTIF(CONFIG_ASIGNATURAS!$B$7:$B$27,DATOS!$I$2:$I$20000)&gt;0)*1),"")))</f>
        <v/>
      </c>
      <c r="T427" t="str">
        <f>IF(S427="","",IF(S427="[FÓRMULA MANUAL]","",IFERROR(AVERAGEIFS(DATOS!$K$2:$K$20000,DATOS!$A$2:$A$20000,S427,DATOS!$G$2:$G$20000,CONFIG_METADATA!$B$4,DATOS!$I$2:$I$20000,"Armonía"),"")))</f>
        <v/>
      </c>
      <c r="U427" t="str">
        <f>IF(S427="","",IF(S427="[FÓRMULA MANUAL]","",IFERROR(AVERAGEIFS(DATOS!$K$2:$K$20000,DATOS!$A$2:$A$20000,S427,DATOS!$G$2:$G$20000,CONFIG_METADATA!$B$4,DATOS!$I$2:$I$20000,"Orquesta/Banda/Conjunto"),"")))</f>
        <v/>
      </c>
      <c r="V427" t="str">
        <f>IF(S427="","",IF(S427="[FÓRMULA MANUAL]","",IFERROR(AVERAGEIFS(DATOS!$K$2:$K$20000,DATOS!$A$2:$A$20000,S427,DATOS!$G$2:$G$20000,CONFIG_METADATA!$B$4,DATOS!$I$2:$I$20000,"Música de Cámara"),"")))</f>
        <v/>
      </c>
      <c r="W427" t="str">
        <f>IF(S427="","",IF(S427="[FÓRMULA MANUAL]","",IFERROR(SUMPRODUCT((DATOS!$A$2:$A$20000=S427)*(DATOS!$G$2:$G$20000=CONFIG_METADATA!$B$4)*(COUNTIF(CONFIG_ASIGNATURAS!$B$7:$B$27,DATOS!$I$2:$I$20000)&gt;0)*(DATOS!$K$2:$K$20000))/SUMPRODUCT((DATOS!$A$2:$A$20000=S427)*(DATOS!$G$2:$G$20000=CONFIG_METADATA!$B$4)*(COUNTIF(CONFIG_ASIGNATURAS!$B$7:$B$27,DATOS!$I$2:$I$20000)&gt;0)*1),"")))</f>
        <v/>
      </c>
      <c r="Z427" t="str">
        <f>IF(Y427="","",IF(Y427="[FÓRMULA MANUAL]","",IFERROR(AVERAGEIFS(DATOS!$K$2:$K$20000,DATOS!$A$2:$A$20000,Y427,DATOS!$G$2:$G$20000,CONFIG_METADATA!$B$4,DATOS!$I$2:$I$20000,"Análisis"),"")))</f>
        <v/>
      </c>
      <c r="AA427" t="str">
        <f>IF(Y427="","",IF(Y427="[FÓRMULA MANUAL]","",IFERROR(AVERAGEIFS(DATOS!$K$2:$K$20000,DATOS!$A$2:$A$20000,Y427,DATOS!$G$2:$G$20000,CONFIG_METADATA!$B$4,DATOS!$I$2:$I$20000,"Orquesta/Banda/Conjunto"),"")))</f>
        <v/>
      </c>
      <c r="AB427" t="str">
        <f>IF(Y427="","",IF(Y427="[FÓRMULA MANUAL]","",IFERROR(AVERAGEIFS(DATOS!$K$2:$K$20000,DATOS!$A$2:$A$20000,Y427,DATOS!$G$2:$G$20000,CONFIG_METADATA!$B$4,DATOS!$I$2:$I$20000,"Música de Cámara"),"")))</f>
        <v/>
      </c>
      <c r="AC427" t="str">
        <f>IF(Y427="","",IF(Y427="[FÓRMULA MANUAL]","",IFERROR(SUMPRODUCT((DATOS!$A$2:$A$20000=Y427)*(DATOS!$G$2:$G$20000=CONFIG_METADATA!$B$4)*(COUNTIF(CONFIG_ASIGNATURAS!$B$7:$B$27,DATOS!$I$2:$I$20000)&gt;0)*(DATOS!$K$2:$K$20000))/SUMPRODUCT((DATOS!$A$2:$A$20000=Y427)*(DATOS!$G$2:$G$20000=CONFIG_METADATA!$B$4)*(COUNTIF(CONFIG_ASIGNATURAS!$B$7:$B$27,DATOS!$I$2:$I$20000)&gt;0)*1),"")))</f>
        <v/>
      </c>
      <c r="AF427" t="str">
        <f>IF(AE427="","",IF(AE427="[FÓRMULA MANUAL]","",IFERROR(AVERAGEIFS(DATOS!$K$2:$K$20000,DATOS!$A$2:$A$20000,AE427,DATOS!$G$2:$G$20000,CONFIG_METADATA!$B$4,DATOS!$I$2:$I$20000,"Análisis"),"")))</f>
        <v/>
      </c>
      <c r="AG427" t="str">
        <f>IF(AE427="","",IF(AE427="[FÓRMULA MANUAL]","",IFERROR(AVERAGEIFS(DATOS!$K$2:$K$20000,DATOS!$A$2:$A$20000,AE427,DATOS!$G$2:$G$20000,CONFIG_METADATA!$B$4,DATOS!$I$2:$I$20000,"Orquesta/Banda/Conjunto"),"")))</f>
        <v/>
      </c>
      <c r="AH427" t="str">
        <f>IF(AE427="","",IF(AE427="[FÓRMULA MANUAL]","",IFERROR(AVERAGEIFS(DATOS!$K$2:$K$20000,DATOS!$A$2:$A$20000,AE427,DATOS!$G$2:$G$20000,CONFIG_METADATA!$B$4,DATOS!$I$2:$I$20000,"Música de Cámara"),"")))</f>
        <v/>
      </c>
      <c r="AI427" t="str">
        <f>IF(AE427="","",IF(AE427="[FÓRMULA MANUAL]","",IFERROR(SUMPRODUCT((DATOS!$A$2:$A$20000=AE427)*(DATOS!$G$2:$G$20000=CONFIG_METADATA!$B$4)*(COUNTIF(CONFIG_ASIGNATURAS!$B$7:$B$27,DATOS!$I$2:$I$20000)&gt;0)*(DATOS!$K$2:$K$20000))/SUMPRODUCT((DATOS!$A$2:$A$20000=AE427)*(DATOS!$G$2:$G$20000=CONFIG_METADATA!$B$4)*(COUNTIF(CONFIG_ASIGNATURAS!$B$7:$B$27,DATOS!$I$2:$I$20000)&gt;0)*1),"")))</f>
        <v/>
      </c>
    </row>
    <row r="428" spans="2:35" x14ac:dyDescent="0.2">
      <c r="B428" t="str">
        <f>IF(A428="","",IF(A428="[FÓRMULA MANUAL]","",IFERROR(AVERAGEIFS(DATOS!$K$2:$K$20000,DATOS!$A$2:$A$20000,A428,DATOS!$G$2:$G$20000,CONFIG_METADATA!$B$4,DATOS!$I$2:$I$20000,"Lenguaje Musical"),"")))</f>
        <v/>
      </c>
      <c r="C428" t="str">
        <f>IF(A428="","",IF(A428="[FÓRMULA MANUAL]","",IFERROR(AVERAGEIFS(DATOS!$K$2:$K$20000,DATOS!$A$2:$A$20000,A428,DATOS!$G$2:$G$20000,CONFIG_METADATA!$B$4,DATOS!$I$2:$I$20000,"Orquesta/Banda/Conjunto"),"")))</f>
        <v/>
      </c>
      <c r="D428" t="str">
        <f>IF(A428="","",IF(A428="[FÓRMULA MANUAL]","",IFERROR(AVERAGEIFS(DATOS!$K$2:$K$20000,DATOS!$A$2:$A$20000,A428,DATOS!$G$2:$G$20000,CONFIG_METADATA!$B$4,DATOS!$I$2:$I$20000,"Conjunto"),"")))</f>
        <v/>
      </c>
      <c r="E428" t="str">
        <f>IF(A428="","",IF(A428="[FÓRMULA MANUAL]","",IFERROR(SUMPRODUCT((DATOS!$A$2:$A$20000=A428)*(DATOS!$G$2:$G$20000=CONFIG_METADATA!$B$4)*(COUNTIF(CONFIG_ASIGNATURAS!$B$7:$B$27,DATOS!$I$2:$I$20000)&gt;0)*(DATOS!$K$2:$K$20000))/SUMPRODUCT((DATOS!$A$2:$A$20000=A428)*(DATOS!$G$2:$G$20000=CONFIG_METADATA!$B$4)*(COUNTIF(CONFIG_ASIGNATURAS!$B$7:$B$27,DATOS!$I$2:$I$20000)&gt;0)*1),"")))</f>
        <v/>
      </c>
      <c r="H428" t="str">
        <f>IF(G428="","",IF(G428="[FÓRMULA MANUAL]","",IFERROR(AVERAGEIFS(DATOS!$K$2:$K$20000,DATOS!$A$2:$A$20000,G428,DATOS!$G$2:$G$20000,CONFIG_METADATA!$B$4,DATOS!$I$2:$I$20000,"Lenguaje Musical"),"")))</f>
        <v/>
      </c>
      <c r="I428" t="str">
        <f>IF(G428="","",IF(G428="[FÓRMULA MANUAL]","",IFERROR(AVERAGEIFS(DATOS!$K$2:$K$20000,DATOS!$A$2:$A$20000,G428,DATOS!$G$2:$G$20000,CONFIG_METADATA!$B$4,DATOS!$I$2:$I$20000,"Orquesta/Banda/Conjunto"),"")))</f>
        <v/>
      </c>
      <c r="J428" t="str">
        <f>IF(G428="","",IF(G428="[FÓRMULA MANUAL]","",IFERROR(AVERAGEIFS(DATOS!$K$2:$K$20000,DATOS!$A$2:$A$20000,G428,DATOS!$G$2:$G$20000,CONFIG_METADATA!$B$4,DATOS!$I$2:$I$20000,"Conjunto"),"")))</f>
        <v/>
      </c>
      <c r="K428" t="str">
        <f>IF(G428="","",IF(G428="[FÓRMULA MANUAL]","",IFERROR(SUMPRODUCT((DATOS!$A$2:$A$20000=G428)*(DATOS!$G$2:$G$20000=CONFIG_METADATA!$B$4)*(COUNTIF(CONFIG_ASIGNATURAS!$B$7:$B$27,DATOS!$I$2:$I$20000)&gt;0)*(DATOS!$K$2:$K$20000))/SUMPRODUCT((DATOS!$A$2:$A$20000=G428)*(DATOS!$G$2:$G$20000=CONFIG_METADATA!$B$4)*(COUNTIF(CONFIG_ASIGNATURAS!$B$7:$B$27,DATOS!$I$2:$I$20000)&gt;0)*1),"")))</f>
        <v/>
      </c>
      <c r="N428" t="str">
        <f>IF(M428="","",IF(M428="[FÓRMULA MANUAL]","",IFERROR(AVERAGEIFS(DATOS!$K$2:$K$20000,DATOS!$A$2:$A$20000,M428,DATOS!$G$2:$G$20000,CONFIG_METADATA!$B$4,DATOS!$I$2:$I$20000,"Armonía"),"")))</f>
        <v/>
      </c>
      <c r="O428" t="str">
        <f>IF(M428="","",IF(M428="[FÓRMULA MANUAL]","",IFERROR(AVERAGEIFS(DATOS!$K$2:$K$20000,DATOS!$A$2:$A$20000,M428,DATOS!$G$2:$G$20000,CONFIG_METADATA!$B$4,DATOS!$I$2:$I$20000,"Orquesta/Banda/Conjunto"),"")))</f>
        <v/>
      </c>
      <c r="P428" t="str">
        <f>IF(M428="","",IF(M428="[FÓRMULA MANUAL]","",IFERROR(AVERAGEIFS(DATOS!$K$2:$K$20000,DATOS!$A$2:$A$20000,M428,DATOS!$G$2:$G$20000,CONFIG_METADATA!$B$4,DATOS!$I$2:$I$20000,"Música de Cámara"),"")))</f>
        <v/>
      </c>
      <c r="Q428" t="str">
        <f>IF(M428="","",IF(M428="[FÓRMULA MANUAL]","",IFERROR(SUMPRODUCT((DATOS!$A$2:$A$20000=M428)*(DATOS!$G$2:$G$20000=CONFIG_METADATA!$B$4)*(COUNTIF(CONFIG_ASIGNATURAS!$B$7:$B$27,DATOS!$I$2:$I$20000)&gt;0)*(DATOS!$K$2:$K$20000))/SUMPRODUCT((DATOS!$A$2:$A$20000=M428)*(DATOS!$G$2:$G$20000=CONFIG_METADATA!$B$4)*(COUNTIF(CONFIG_ASIGNATURAS!$B$7:$B$27,DATOS!$I$2:$I$20000)&gt;0)*1),"")))</f>
        <v/>
      </c>
      <c r="T428" t="str">
        <f>IF(S428="","",IF(S428="[FÓRMULA MANUAL]","",IFERROR(AVERAGEIFS(DATOS!$K$2:$K$20000,DATOS!$A$2:$A$20000,S428,DATOS!$G$2:$G$20000,CONFIG_METADATA!$B$4,DATOS!$I$2:$I$20000,"Armonía"),"")))</f>
        <v/>
      </c>
      <c r="U428" t="str">
        <f>IF(S428="","",IF(S428="[FÓRMULA MANUAL]","",IFERROR(AVERAGEIFS(DATOS!$K$2:$K$20000,DATOS!$A$2:$A$20000,S428,DATOS!$G$2:$G$20000,CONFIG_METADATA!$B$4,DATOS!$I$2:$I$20000,"Orquesta/Banda/Conjunto"),"")))</f>
        <v/>
      </c>
      <c r="V428" t="str">
        <f>IF(S428="","",IF(S428="[FÓRMULA MANUAL]","",IFERROR(AVERAGEIFS(DATOS!$K$2:$K$20000,DATOS!$A$2:$A$20000,S428,DATOS!$G$2:$G$20000,CONFIG_METADATA!$B$4,DATOS!$I$2:$I$20000,"Música de Cámara"),"")))</f>
        <v/>
      </c>
      <c r="W428" t="str">
        <f>IF(S428="","",IF(S428="[FÓRMULA MANUAL]","",IFERROR(SUMPRODUCT((DATOS!$A$2:$A$20000=S428)*(DATOS!$G$2:$G$20000=CONFIG_METADATA!$B$4)*(COUNTIF(CONFIG_ASIGNATURAS!$B$7:$B$27,DATOS!$I$2:$I$20000)&gt;0)*(DATOS!$K$2:$K$20000))/SUMPRODUCT((DATOS!$A$2:$A$20000=S428)*(DATOS!$G$2:$G$20000=CONFIG_METADATA!$B$4)*(COUNTIF(CONFIG_ASIGNATURAS!$B$7:$B$27,DATOS!$I$2:$I$20000)&gt;0)*1),"")))</f>
        <v/>
      </c>
      <c r="Z428" t="str">
        <f>IF(Y428="","",IF(Y428="[FÓRMULA MANUAL]","",IFERROR(AVERAGEIFS(DATOS!$K$2:$K$20000,DATOS!$A$2:$A$20000,Y428,DATOS!$G$2:$G$20000,CONFIG_METADATA!$B$4,DATOS!$I$2:$I$20000,"Análisis"),"")))</f>
        <v/>
      </c>
      <c r="AA428" t="str">
        <f>IF(Y428="","",IF(Y428="[FÓRMULA MANUAL]","",IFERROR(AVERAGEIFS(DATOS!$K$2:$K$20000,DATOS!$A$2:$A$20000,Y428,DATOS!$G$2:$G$20000,CONFIG_METADATA!$B$4,DATOS!$I$2:$I$20000,"Orquesta/Banda/Conjunto"),"")))</f>
        <v/>
      </c>
      <c r="AB428" t="str">
        <f>IF(Y428="","",IF(Y428="[FÓRMULA MANUAL]","",IFERROR(AVERAGEIFS(DATOS!$K$2:$K$20000,DATOS!$A$2:$A$20000,Y428,DATOS!$G$2:$G$20000,CONFIG_METADATA!$B$4,DATOS!$I$2:$I$20000,"Música de Cámara"),"")))</f>
        <v/>
      </c>
      <c r="AC428" t="str">
        <f>IF(Y428="","",IF(Y428="[FÓRMULA MANUAL]","",IFERROR(SUMPRODUCT((DATOS!$A$2:$A$20000=Y428)*(DATOS!$G$2:$G$20000=CONFIG_METADATA!$B$4)*(COUNTIF(CONFIG_ASIGNATURAS!$B$7:$B$27,DATOS!$I$2:$I$20000)&gt;0)*(DATOS!$K$2:$K$20000))/SUMPRODUCT((DATOS!$A$2:$A$20000=Y428)*(DATOS!$G$2:$G$20000=CONFIG_METADATA!$B$4)*(COUNTIF(CONFIG_ASIGNATURAS!$B$7:$B$27,DATOS!$I$2:$I$20000)&gt;0)*1),"")))</f>
        <v/>
      </c>
      <c r="AF428" t="str">
        <f>IF(AE428="","",IF(AE428="[FÓRMULA MANUAL]","",IFERROR(AVERAGEIFS(DATOS!$K$2:$K$20000,DATOS!$A$2:$A$20000,AE428,DATOS!$G$2:$G$20000,CONFIG_METADATA!$B$4,DATOS!$I$2:$I$20000,"Análisis"),"")))</f>
        <v/>
      </c>
      <c r="AG428" t="str">
        <f>IF(AE428="","",IF(AE428="[FÓRMULA MANUAL]","",IFERROR(AVERAGEIFS(DATOS!$K$2:$K$20000,DATOS!$A$2:$A$20000,AE428,DATOS!$G$2:$G$20000,CONFIG_METADATA!$B$4,DATOS!$I$2:$I$20000,"Orquesta/Banda/Conjunto"),"")))</f>
        <v/>
      </c>
      <c r="AH428" t="str">
        <f>IF(AE428="","",IF(AE428="[FÓRMULA MANUAL]","",IFERROR(AVERAGEIFS(DATOS!$K$2:$K$20000,DATOS!$A$2:$A$20000,AE428,DATOS!$G$2:$G$20000,CONFIG_METADATA!$B$4,DATOS!$I$2:$I$20000,"Música de Cámara"),"")))</f>
        <v/>
      </c>
      <c r="AI428" t="str">
        <f>IF(AE428="","",IF(AE428="[FÓRMULA MANUAL]","",IFERROR(SUMPRODUCT((DATOS!$A$2:$A$20000=AE428)*(DATOS!$G$2:$G$20000=CONFIG_METADATA!$B$4)*(COUNTIF(CONFIG_ASIGNATURAS!$B$7:$B$27,DATOS!$I$2:$I$20000)&gt;0)*(DATOS!$K$2:$K$20000))/SUMPRODUCT((DATOS!$A$2:$A$20000=AE428)*(DATOS!$G$2:$G$20000=CONFIG_METADATA!$B$4)*(COUNTIF(CONFIG_ASIGNATURAS!$B$7:$B$27,DATOS!$I$2:$I$20000)&gt;0)*1),"")))</f>
        <v/>
      </c>
    </row>
    <row r="429" spans="2:35" x14ac:dyDescent="0.2">
      <c r="B429" t="str">
        <f>IF(A429="","",IF(A429="[FÓRMULA MANUAL]","",IFERROR(AVERAGEIFS(DATOS!$K$2:$K$20000,DATOS!$A$2:$A$20000,A429,DATOS!$G$2:$G$20000,CONFIG_METADATA!$B$4,DATOS!$I$2:$I$20000,"Lenguaje Musical"),"")))</f>
        <v/>
      </c>
      <c r="C429" t="str">
        <f>IF(A429="","",IF(A429="[FÓRMULA MANUAL]","",IFERROR(AVERAGEIFS(DATOS!$K$2:$K$20000,DATOS!$A$2:$A$20000,A429,DATOS!$G$2:$G$20000,CONFIG_METADATA!$B$4,DATOS!$I$2:$I$20000,"Orquesta/Banda/Conjunto"),"")))</f>
        <v/>
      </c>
      <c r="D429" t="str">
        <f>IF(A429="","",IF(A429="[FÓRMULA MANUAL]","",IFERROR(AVERAGEIFS(DATOS!$K$2:$K$20000,DATOS!$A$2:$A$20000,A429,DATOS!$G$2:$G$20000,CONFIG_METADATA!$B$4,DATOS!$I$2:$I$20000,"Conjunto"),"")))</f>
        <v/>
      </c>
      <c r="E429" t="str">
        <f>IF(A429="","",IF(A429="[FÓRMULA MANUAL]","",IFERROR(SUMPRODUCT((DATOS!$A$2:$A$20000=A429)*(DATOS!$G$2:$G$20000=CONFIG_METADATA!$B$4)*(COUNTIF(CONFIG_ASIGNATURAS!$B$7:$B$27,DATOS!$I$2:$I$20000)&gt;0)*(DATOS!$K$2:$K$20000))/SUMPRODUCT((DATOS!$A$2:$A$20000=A429)*(DATOS!$G$2:$G$20000=CONFIG_METADATA!$B$4)*(COUNTIF(CONFIG_ASIGNATURAS!$B$7:$B$27,DATOS!$I$2:$I$20000)&gt;0)*1),"")))</f>
        <v/>
      </c>
      <c r="H429" t="str">
        <f>IF(G429="","",IF(G429="[FÓRMULA MANUAL]","",IFERROR(AVERAGEIFS(DATOS!$K$2:$K$20000,DATOS!$A$2:$A$20000,G429,DATOS!$G$2:$G$20000,CONFIG_METADATA!$B$4,DATOS!$I$2:$I$20000,"Lenguaje Musical"),"")))</f>
        <v/>
      </c>
      <c r="I429" t="str">
        <f>IF(G429="","",IF(G429="[FÓRMULA MANUAL]","",IFERROR(AVERAGEIFS(DATOS!$K$2:$K$20000,DATOS!$A$2:$A$20000,G429,DATOS!$G$2:$G$20000,CONFIG_METADATA!$B$4,DATOS!$I$2:$I$20000,"Orquesta/Banda/Conjunto"),"")))</f>
        <v/>
      </c>
      <c r="J429" t="str">
        <f>IF(G429="","",IF(G429="[FÓRMULA MANUAL]","",IFERROR(AVERAGEIFS(DATOS!$K$2:$K$20000,DATOS!$A$2:$A$20000,G429,DATOS!$G$2:$G$20000,CONFIG_METADATA!$B$4,DATOS!$I$2:$I$20000,"Conjunto"),"")))</f>
        <v/>
      </c>
      <c r="K429" t="str">
        <f>IF(G429="","",IF(G429="[FÓRMULA MANUAL]","",IFERROR(SUMPRODUCT((DATOS!$A$2:$A$20000=G429)*(DATOS!$G$2:$G$20000=CONFIG_METADATA!$B$4)*(COUNTIF(CONFIG_ASIGNATURAS!$B$7:$B$27,DATOS!$I$2:$I$20000)&gt;0)*(DATOS!$K$2:$K$20000))/SUMPRODUCT((DATOS!$A$2:$A$20000=G429)*(DATOS!$G$2:$G$20000=CONFIG_METADATA!$B$4)*(COUNTIF(CONFIG_ASIGNATURAS!$B$7:$B$27,DATOS!$I$2:$I$20000)&gt;0)*1),"")))</f>
        <v/>
      </c>
      <c r="N429" t="str">
        <f>IF(M429="","",IF(M429="[FÓRMULA MANUAL]","",IFERROR(AVERAGEIFS(DATOS!$K$2:$K$20000,DATOS!$A$2:$A$20000,M429,DATOS!$G$2:$G$20000,CONFIG_METADATA!$B$4,DATOS!$I$2:$I$20000,"Armonía"),"")))</f>
        <v/>
      </c>
      <c r="O429" t="str">
        <f>IF(M429="","",IF(M429="[FÓRMULA MANUAL]","",IFERROR(AVERAGEIFS(DATOS!$K$2:$K$20000,DATOS!$A$2:$A$20000,M429,DATOS!$G$2:$G$20000,CONFIG_METADATA!$B$4,DATOS!$I$2:$I$20000,"Orquesta/Banda/Conjunto"),"")))</f>
        <v/>
      </c>
      <c r="P429" t="str">
        <f>IF(M429="","",IF(M429="[FÓRMULA MANUAL]","",IFERROR(AVERAGEIFS(DATOS!$K$2:$K$20000,DATOS!$A$2:$A$20000,M429,DATOS!$G$2:$G$20000,CONFIG_METADATA!$B$4,DATOS!$I$2:$I$20000,"Música de Cámara"),"")))</f>
        <v/>
      </c>
      <c r="Q429" t="str">
        <f>IF(M429="","",IF(M429="[FÓRMULA MANUAL]","",IFERROR(SUMPRODUCT((DATOS!$A$2:$A$20000=M429)*(DATOS!$G$2:$G$20000=CONFIG_METADATA!$B$4)*(COUNTIF(CONFIG_ASIGNATURAS!$B$7:$B$27,DATOS!$I$2:$I$20000)&gt;0)*(DATOS!$K$2:$K$20000))/SUMPRODUCT((DATOS!$A$2:$A$20000=M429)*(DATOS!$G$2:$G$20000=CONFIG_METADATA!$B$4)*(COUNTIF(CONFIG_ASIGNATURAS!$B$7:$B$27,DATOS!$I$2:$I$20000)&gt;0)*1),"")))</f>
        <v/>
      </c>
      <c r="T429" t="str">
        <f>IF(S429="","",IF(S429="[FÓRMULA MANUAL]","",IFERROR(AVERAGEIFS(DATOS!$K$2:$K$20000,DATOS!$A$2:$A$20000,S429,DATOS!$G$2:$G$20000,CONFIG_METADATA!$B$4,DATOS!$I$2:$I$20000,"Armonía"),"")))</f>
        <v/>
      </c>
      <c r="U429" t="str">
        <f>IF(S429="","",IF(S429="[FÓRMULA MANUAL]","",IFERROR(AVERAGEIFS(DATOS!$K$2:$K$20000,DATOS!$A$2:$A$20000,S429,DATOS!$G$2:$G$20000,CONFIG_METADATA!$B$4,DATOS!$I$2:$I$20000,"Orquesta/Banda/Conjunto"),"")))</f>
        <v/>
      </c>
      <c r="V429" t="str">
        <f>IF(S429="","",IF(S429="[FÓRMULA MANUAL]","",IFERROR(AVERAGEIFS(DATOS!$K$2:$K$20000,DATOS!$A$2:$A$20000,S429,DATOS!$G$2:$G$20000,CONFIG_METADATA!$B$4,DATOS!$I$2:$I$20000,"Música de Cámara"),"")))</f>
        <v/>
      </c>
      <c r="W429" t="str">
        <f>IF(S429="","",IF(S429="[FÓRMULA MANUAL]","",IFERROR(SUMPRODUCT((DATOS!$A$2:$A$20000=S429)*(DATOS!$G$2:$G$20000=CONFIG_METADATA!$B$4)*(COUNTIF(CONFIG_ASIGNATURAS!$B$7:$B$27,DATOS!$I$2:$I$20000)&gt;0)*(DATOS!$K$2:$K$20000))/SUMPRODUCT((DATOS!$A$2:$A$20000=S429)*(DATOS!$G$2:$G$20000=CONFIG_METADATA!$B$4)*(COUNTIF(CONFIG_ASIGNATURAS!$B$7:$B$27,DATOS!$I$2:$I$20000)&gt;0)*1),"")))</f>
        <v/>
      </c>
      <c r="Z429" t="str">
        <f>IF(Y429="","",IF(Y429="[FÓRMULA MANUAL]","",IFERROR(AVERAGEIFS(DATOS!$K$2:$K$20000,DATOS!$A$2:$A$20000,Y429,DATOS!$G$2:$G$20000,CONFIG_METADATA!$B$4,DATOS!$I$2:$I$20000,"Análisis"),"")))</f>
        <v/>
      </c>
      <c r="AA429" t="str">
        <f>IF(Y429="","",IF(Y429="[FÓRMULA MANUAL]","",IFERROR(AVERAGEIFS(DATOS!$K$2:$K$20000,DATOS!$A$2:$A$20000,Y429,DATOS!$G$2:$G$20000,CONFIG_METADATA!$B$4,DATOS!$I$2:$I$20000,"Orquesta/Banda/Conjunto"),"")))</f>
        <v/>
      </c>
      <c r="AB429" t="str">
        <f>IF(Y429="","",IF(Y429="[FÓRMULA MANUAL]","",IFERROR(AVERAGEIFS(DATOS!$K$2:$K$20000,DATOS!$A$2:$A$20000,Y429,DATOS!$G$2:$G$20000,CONFIG_METADATA!$B$4,DATOS!$I$2:$I$20000,"Música de Cámara"),"")))</f>
        <v/>
      </c>
      <c r="AC429" t="str">
        <f>IF(Y429="","",IF(Y429="[FÓRMULA MANUAL]","",IFERROR(SUMPRODUCT((DATOS!$A$2:$A$20000=Y429)*(DATOS!$G$2:$G$20000=CONFIG_METADATA!$B$4)*(COUNTIF(CONFIG_ASIGNATURAS!$B$7:$B$27,DATOS!$I$2:$I$20000)&gt;0)*(DATOS!$K$2:$K$20000))/SUMPRODUCT((DATOS!$A$2:$A$20000=Y429)*(DATOS!$G$2:$G$20000=CONFIG_METADATA!$B$4)*(COUNTIF(CONFIG_ASIGNATURAS!$B$7:$B$27,DATOS!$I$2:$I$20000)&gt;0)*1),"")))</f>
        <v/>
      </c>
      <c r="AF429" t="str">
        <f>IF(AE429="","",IF(AE429="[FÓRMULA MANUAL]","",IFERROR(AVERAGEIFS(DATOS!$K$2:$K$20000,DATOS!$A$2:$A$20000,AE429,DATOS!$G$2:$G$20000,CONFIG_METADATA!$B$4,DATOS!$I$2:$I$20000,"Análisis"),"")))</f>
        <v/>
      </c>
      <c r="AG429" t="str">
        <f>IF(AE429="","",IF(AE429="[FÓRMULA MANUAL]","",IFERROR(AVERAGEIFS(DATOS!$K$2:$K$20000,DATOS!$A$2:$A$20000,AE429,DATOS!$G$2:$G$20000,CONFIG_METADATA!$B$4,DATOS!$I$2:$I$20000,"Orquesta/Banda/Conjunto"),"")))</f>
        <v/>
      </c>
      <c r="AH429" t="str">
        <f>IF(AE429="","",IF(AE429="[FÓRMULA MANUAL]","",IFERROR(AVERAGEIFS(DATOS!$K$2:$K$20000,DATOS!$A$2:$A$20000,AE429,DATOS!$G$2:$G$20000,CONFIG_METADATA!$B$4,DATOS!$I$2:$I$20000,"Música de Cámara"),"")))</f>
        <v/>
      </c>
      <c r="AI429" t="str">
        <f>IF(AE429="","",IF(AE429="[FÓRMULA MANUAL]","",IFERROR(SUMPRODUCT((DATOS!$A$2:$A$20000=AE429)*(DATOS!$G$2:$G$20000=CONFIG_METADATA!$B$4)*(COUNTIF(CONFIG_ASIGNATURAS!$B$7:$B$27,DATOS!$I$2:$I$20000)&gt;0)*(DATOS!$K$2:$K$20000))/SUMPRODUCT((DATOS!$A$2:$A$20000=AE429)*(DATOS!$G$2:$G$20000=CONFIG_METADATA!$B$4)*(COUNTIF(CONFIG_ASIGNATURAS!$B$7:$B$27,DATOS!$I$2:$I$20000)&gt;0)*1),"")))</f>
        <v/>
      </c>
    </row>
    <row r="430" spans="2:35" x14ac:dyDescent="0.2">
      <c r="B430" t="str">
        <f>IF(A430="","",IF(A430="[FÓRMULA MANUAL]","",IFERROR(AVERAGEIFS(DATOS!$K$2:$K$20000,DATOS!$A$2:$A$20000,A430,DATOS!$G$2:$G$20000,CONFIG_METADATA!$B$4,DATOS!$I$2:$I$20000,"Lenguaje Musical"),"")))</f>
        <v/>
      </c>
      <c r="C430" t="str">
        <f>IF(A430="","",IF(A430="[FÓRMULA MANUAL]","",IFERROR(AVERAGEIFS(DATOS!$K$2:$K$20000,DATOS!$A$2:$A$20000,A430,DATOS!$G$2:$G$20000,CONFIG_METADATA!$B$4,DATOS!$I$2:$I$20000,"Orquesta/Banda/Conjunto"),"")))</f>
        <v/>
      </c>
      <c r="D430" t="str">
        <f>IF(A430="","",IF(A430="[FÓRMULA MANUAL]","",IFERROR(AVERAGEIFS(DATOS!$K$2:$K$20000,DATOS!$A$2:$A$20000,A430,DATOS!$G$2:$G$20000,CONFIG_METADATA!$B$4,DATOS!$I$2:$I$20000,"Conjunto"),"")))</f>
        <v/>
      </c>
      <c r="E430" t="str">
        <f>IF(A430="","",IF(A430="[FÓRMULA MANUAL]","",IFERROR(SUMPRODUCT((DATOS!$A$2:$A$20000=A430)*(DATOS!$G$2:$G$20000=CONFIG_METADATA!$B$4)*(COUNTIF(CONFIG_ASIGNATURAS!$B$7:$B$27,DATOS!$I$2:$I$20000)&gt;0)*(DATOS!$K$2:$K$20000))/SUMPRODUCT((DATOS!$A$2:$A$20000=A430)*(DATOS!$G$2:$G$20000=CONFIG_METADATA!$B$4)*(COUNTIF(CONFIG_ASIGNATURAS!$B$7:$B$27,DATOS!$I$2:$I$20000)&gt;0)*1),"")))</f>
        <v/>
      </c>
      <c r="H430" t="str">
        <f>IF(G430="","",IF(G430="[FÓRMULA MANUAL]","",IFERROR(AVERAGEIFS(DATOS!$K$2:$K$20000,DATOS!$A$2:$A$20000,G430,DATOS!$G$2:$G$20000,CONFIG_METADATA!$B$4,DATOS!$I$2:$I$20000,"Lenguaje Musical"),"")))</f>
        <v/>
      </c>
      <c r="I430" t="str">
        <f>IF(G430="","",IF(G430="[FÓRMULA MANUAL]","",IFERROR(AVERAGEIFS(DATOS!$K$2:$K$20000,DATOS!$A$2:$A$20000,G430,DATOS!$G$2:$G$20000,CONFIG_METADATA!$B$4,DATOS!$I$2:$I$20000,"Orquesta/Banda/Conjunto"),"")))</f>
        <v/>
      </c>
      <c r="J430" t="str">
        <f>IF(G430="","",IF(G430="[FÓRMULA MANUAL]","",IFERROR(AVERAGEIFS(DATOS!$K$2:$K$20000,DATOS!$A$2:$A$20000,G430,DATOS!$G$2:$G$20000,CONFIG_METADATA!$B$4,DATOS!$I$2:$I$20000,"Conjunto"),"")))</f>
        <v/>
      </c>
      <c r="K430" t="str">
        <f>IF(G430="","",IF(G430="[FÓRMULA MANUAL]","",IFERROR(SUMPRODUCT((DATOS!$A$2:$A$20000=G430)*(DATOS!$G$2:$G$20000=CONFIG_METADATA!$B$4)*(COUNTIF(CONFIG_ASIGNATURAS!$B$7:$B$27,DATOS!$I$2:$I$20000)&gt;0)*(DATOS!$K$2:$K$20000))/SUMPRODUCT((DATOS!$A$2:$A$20000=G430)*(DATOS!$G$2:$G$20000=CONFIG_METADATA!$B$4)*(COUNTIF(CONFIG_ASIGNATURAS!$B$7:$B$27,DATOS!$I$2:$I$20000)&gt;0)*1),"")))</f>
        <v/>
      </c>
      <c r="N430" t="str">
        <f>IF(M430="","",IF(M430="[FÓRMULA MANUAL]","",IFERROR(AVERAGEIFS(DATOS!$K$2:$K$20000,DATOS!$A$2:$A$20000,M430,DATOS!$G$2:$G$20000,CONFIG_METADATA!$B$4,DATOS!$I$2:$I$20000,"Armonía"),"")))</f>
        <v/>
      </c>
      <c r="O430" t="str">
        <f>IF(M430="","",IF(M430="[FÓRMULA MANUAL]","",IFERROR(AVERAGEIFS(DATOS!$K$2:$K$20000,DATOS!$A$2:$A$20000,M430,DATOS!$G$2:$G$20000,CONFIG_METADATA!$B$4,DATOS!$I$2:$I$20000,"Orquesta/Banda/Conjunto"),"")))</f>
        <v/>
      </c>
      <c r="P430" t="str">
        <f>IF(M430="","",IF(M430="[FÓRMULA MANUAL]","",IFERROR(AVERAGEIFS(DATOS!$K$2:$K$20000,DATOS!$A$2:$A$20000,M430,DATOS!$G$2:$G$20000,CONFIG_METADATA!$B$4,DATOS!$I$2:$I$20000,"Música de Cámara"),"")))</f>
        <v/>
      </c>
      <c r="Q430" t="str">
        <f>IF(M430="","",IF(M430="[FÓRMULA MANUAL]","",IFERROR(SUMPRODUCT((DATOS!$A$2:$A$20000=M430)*(DATOS!$G$2:$G$20000=CONFIG_METADATA!$B$4)*(COUNTIF(CONFIG_ASIGNATURAS!$B$7:$B$27,DATOS!$I$2:$I$20000)&gt;0)*(DATOS!$K$2:$K$20000))/SUMPRODUCT((DATOS!$A$2:$A$20000=M430)*(DATOS!$G$2:$G$20000=CONFIG_METADATA!$B$4)*(COUNTIF(CONFIG_ASIGNATURAS!$B$7:$B$27,DATOS!$I$2:$I$20000)&gt;0)*1),"")))</f>
        <v/>
      </c>
      <c r="T430" t="str">
        <f>IF(S430="","",IF(S430="[FÓRMULA MANUAL]","",IFERROR(AVERAGEIFS(DATOS!$K$2:$K$20000,DATOS!$A$2:$A$20000,S430,DATOS!$G$2:$G$20000,CONFIG_METADATA!$B$4,DATOS!$I$2:$I$20000,"Armonía"),"")))</f>
        <v/>
      </c>
      <c r="U430" t="str">
        <f>IF(S430="","",IF(S430="[FÓRMULA MANUAL]","",IFERROR(AVERAGEIFS(DATOS!$K$2:$K$20000,DATOS!$A$2:$A$20000,S430,DATOS!$G$2:$G$20000,CONFIG_METADATA!$B$4,DATOS!$I$2:$I$20000,"Orquesta/Banda/Conjunto"),"")))</f>
        <v/>
      </c>
      <c r="V430" t="str">
        <f>IF(S430="","",IF(S430="[FÓRMULA MANUAL]","",IFERROR(AVERAGEIFS(DATOS!$K$2:$K$20000,DATOS!$A$2:$A$20000,S430,DATOS!$G$2:$G$20000,CONFIG_METADATA!$B$4,DATOS!$I$2:$I$20000,"Música de Cámara"),"")))</f>
        <v/>
      </c>
      <c r="W430" t="str">
        <f>IF(S430="","",IF(S430="[FÓRMULA MANUAL]","",IFERROR(SUMPRODUCT((DATOS!$A$2:$A$20000=S430)*(DATOS!$G$2:$G$20000=CONFIG_METADATA!$B$4)*(COUNTIF(CONFIG_ASIGNATURAS!$B$7:$B$27,DATOS!$I$2:$I$20000)&gt;0)*(DATOS!$K$2:$K$20000))/SUMPRODUCT((DATOS!$A$2:$A$20000=S430)*(DATOS!$G$2:$G$20000=CONFIG_METADATA!$B$4)*(COUNTIF(CONFIG_ASIGNATURAS!$B$7:$B$27,DATOS!$I$2:$I$20000)&gt;0)*1),"")))</f>
        <v/>
      </c>
      <c r="Z430" t="str">
        <f>IF(Y430="","",IF(Y430="[FÓRMULA MANUAL]","",IFERROR(AVERAGEIFS(DATOS!$K$2:$K$20000,DATOS!$A$2:$A$20000,Y430,DATOS!$G$2:$G$20000,CONFIG_METADATA!$B$4,DATOS!$I$2:$I$20000,"Análisis"),"")))</f>
        <v/>
      </c>
      <c r="AA430" t="str">
        <f>IF(Y430="","",IF(Y430="[FÓRMULA MANUAL]","",IFERROR(AVERAGEIFS(DATOS!$K$2:$K$20000,DATOS!$A$2:$A$20000,Y430,DATOS!$G$2:$G$20000,CONFIG_METADATA!$B$4,DATOS!$I$2:$I$20000,"Orquesta/Banda/Conjunto"),"")))</f>
        <v/>
      </c>
      <c r="AB430" t="str">
        <f>IF(Y430="","",IF(Y430="[FÓRMULA MANUAL]","",IFERROR(AVERAGEIFS(DATOS!$K$2:$K$20000,DATOS!$A$2:$A$20000,Y430,DATOS!$G$2:$G$20000,CONFIG_METADATA!$B$4,DATOS!$I$2:$I$20000,"Música de Cámara"),"")))</f>
        <v/>
      </c>
      <c r="AC430" t="str">
        <f>IF(Y430="","",IF(Y430="[FÓRMULA MANUAL]","",IFERROR(SUMPRODUCT((DATOS!$A$2:$A$20000=Y430)*(DATOS!$G$2:$G$20000=CONFIG_METADATA!$B$4)*(COUNTIF(CONFIG_ASIGNATURAS!$B$7:$B$27,DATOS!$I$2:$I$20000)&gt;0)*(DATOS!$K$2:$K$20000))/SUMPRODUCT((DATOS!$A$2:$A$20000=Y430)*(DATOS!$G$2:$G$20000=CONFIG_METADATA!$B$4)*(COUNTIF(CONFIG_ASIGNATURAS!$B$7:$B$27,DATOS!$I$2:$I$20000)&gt;0)*1),"")))</f>
        <v/>
      </c>
      <c r="AF430" t="str">
        <f>IF(AE430="","",IF(AE430="[FÓRMULA MANUAL]","",IFERROR(AVERAGEIFS(DATOS!$K$2:$K$20000,DATOS!$A$2:$A$20000,AE430,DATOS!$G$2:$G$20000,CONFIG_METADATA!$B$4,DATOS!$I$2:$I$20000,"Análisis"),"")))</f>
        <v/>
      </c>
      <c r="AG430" t="str">
        <f>IF(AE430="","",IF(AE430="[FÓRMULA MANUAL]","",IFERROR(AVERAGEIFS(DATOS!$K$2:$K$20000,DATOS!$A$2:$A$20000,AE430,DATOS!$G$2:$G$20000,CONFIG_METADATA!$B$4,DATOS!$I$2:$I$20000,"Orquesta/Banda/Conjunto"),"")))</f>
        <v/>
      </c>
      <c r="AH430" t="str">
        <f>IF(AE430="","",IF(AE430="[FÓRMULA MANUAL]","",IFERROR(AVERAGEIFS(DATOS!$K$2:$K$20000,DATOS!$A$2:$A$20000,AE430,DATOS!$G$2:$G$20000,CONFIG_METADATA!$B$4,DATOS!$I$2:$I$20000,"Música de Cámara"),"")))</f>
        <v/>
      </c>
      <c r="AI430" t="str">
        <f>IF(AE430="","",IF(AE430="[FÓRMULA MANUAL]","",IFERROR(SUMPRODUCT((DATOS!$A$2:$A$20000=AE430)*(DATOS!$G$2:$G$20000=CONFIG_METADATA!$B$4)*(COUNTIF(CONFIG_ASIGNATURAS!$B$7:$B$27,DATOS!$I$2:$I$20000)&gt;0)*(DATOS!$K$2:$K$20000))/SUMPRODUCT((DATOS!$A$2:$A$20000=AE430)*(DATOS!$G$2:$G$20000=CONFIG_METADATA!$B$4)*(COUNTIF(CONFIG_ASIGNATURAS!$B$7:$B$27,DATOS!$I$2:$I$20000)&gt;0)*1),"")))</f>
        <v/>
      </c>
    </row>
    <row r="431" spans="2:35" x14ac:dyDescent="0.2">
      <c r="B431" t="str">
        <f>IF(A431="","",IF(A431="[FÓRMULA MANUAL]","",IFERROR(AVERAGEIFS(DATOS!$K$2:$K$20000,DATOS!$A$2:$A$20000,A431,DATOS!$G$2:$G$20000,CONFIG_METADATA!$B$4,DATOS!$I$2:$I$20000,"Lenguaje Musical"),"")))</f>
        <v/>
      </c>
      <c r="C431" t="str">
        <f>IF(A431="","",IF(A431="[FÓRMULA MANUAL]","",IFERROR(AVERAGEIFS(DATOS!$K$2:$K$20000,DATOS!$A$2:$A$20000,A431,DATOS!$G$2:$G$20000,CONFIG_METADATA!$B$4,DATOS!$I$2:$I$20000,"Orquesta/Banda/Conjunto"),"")))</f>
        <v/>
      </c>
      <c r="D431" t="str">
        <f>IF(A431="","",IF(A431="[FÓRMULA MANUAL]","",IFERROR(AVERAGEIFS(DATOS!$K$2:$K$20000,DATOS!$A$2:$A$20000,A431,DATOS!$G$2:$G$20000,CONFIG_METADATA!$B$4,DATOS!$I$2:$I$20000,"Conjunto"),"")))</f>
        <v/>
      </c>
      <c r="E431" t="str">
        <f>IF(A431="","",IF(A431="[FÓRMULA MANUAL]","",IFERROR(SUMPRODUCT((DATOS!$A$2:$A$20000=A431)*(DATOS!$G$2:$G$20000=CONFIG_METADATA!$B$4)*(COUNTIF(CONFIG_ASIGNATURAS!$B$7:$B$27,DATOS!$I$2:$I$20000)&gt;0)*(DATOS!$K$2:$K$20000))/SUMPRODUCT((DATOS!$A$2:$A$20000=A431)*(DATOS!$G$2:$G$20000=CONFIG_METADATA!$B$4)*(COUNTIF(CONFIG_ASIGNATURAS!$B$7:$B$27,DATOS!$I$2:$I$20000)&gt;0)*1),"")))</f>
        <v/>
      </c>
      <c r="H431" t="str">
        <f>IF(G431="","",IF(G431="[FÓRMULA MANUAL]","",IFERROR(AVERAGEIFS(DATOS!$K$2:$K$20000,DATOS!$A$2:$A$20000,G431,DATOS!$G$2:$G$20000,CONFIG_METADATA!$B$4,DATOS!$I$2:$I$20000,"Lenguaje Musical"),"")))</f>
        <v/>
      </c>
      <c r="I431" t="str">
        <f>IF(G431="","",IF(G431="[FÓRMULA MANUAL]","",IFERROR(AVERAGEIFS(DATOS!$K$2:$K$20000,DATOS!$A$2:$A$20000,G431,DATOS!$G$2:$G$20000,CONFIG_METADATA!$B$4,DATOS!$I$2:$I$20000,"Orquesta/Banda/Conjunto"),"")))</f>
        <v/>
      </c>
      <c r="J431" t="str">
        <f>IF(G431="","",IF(G431="[FÓRMULA MANUAL]","",IFERROR(AVERAGEIFS(DATOS!$K$2:$K$20000,DATOS!$A$2:$A$20000,G431,DATOS!$G$2:$G$20000,CONFIG_METADATA!$B$4,DATOS!$I$2:$I$20000,"Conjunto"),"")))</f>
        <v/>
      </c>
      <c r="K431" t="str">
        <f>IF(G431="","",IF(G431="[FÓRMULA MANUAL]","",IFERROR(SUMPRODUCT((DATOS!$A$2:$A$20000=G431)*(DATOS!$G$2:$G$20000=CONFIG_METADATA!$B$4)*(COUNTIF(CONFIG_ASIGNATURAS!$B$7:$B$27,DATOS!$I$2:$I$20000)&gt;0)*(DATOS!$K$2:$K$20000))/SUMPRODUCT((DATOS!$A$2:$A$20000=G431)*(DATOS!$G$2:$G$20000=CONFIG_METADATA!$B$4)*(COUNTIF(CONFIG_ASIGNATURAS!$B$7:$B$27,DATOS!$I$2:$I$20000)&gt;0)*1),"")))</f>
        <v/>
      </c>
      <c r="N431" t="str">
        <f>IF(M431="","",IF(M431="[FÓRMULA MANUAL]","",IFERROR(AVERAGEIFS(DATOS!$K$2:$K$20000,DATOS!$A$2:$A$20000,M431,DATOS!$G$2:$G$20000,CONFIG_METADATA!$B$4,DATOS!$I$2:$I$20000,"Armonía"),"")))</f>
        <v/>
      </c>
      <c r="O431" t="str">
        <f>IF(M431="","",IF(M431="[FÓRMULA MANUAL]","",IFERROR(AVERAGEIFS(DATOS!$K$2:$K$20000,DATOS!$A$2:$A$20000,M431,DATOS!$G$2:$G$20000,CONFIG_METADATA!$B$4,DATOS!$I$2:$I$20000,"Orquesta/Banda/Conjunto"),"")))</f>
        <v/>
      </c>
      <c r="P431" t="str">
        <f>IF(M431="","",IF(M431="[FÓRMULA MANUAL]","",IFERROR(AVERAGEIFS(DATOS!$K$2:$K$20000,DATOS!$A$2:$A$20000,M431,DATOS!$G$2:$G$20000,CONFIG_METADATA!$B$4,DATOS!$I$2:$I$20000,"Música de Cámara"),"")))</f>
        <v/>
      </c>
      <c r="Q431" t="str">
        <f>IF(M431="","",IF(M431="[FÓRMULA MANUAL]","",IFERROR(SUMPRODUCT((DATOS!$A$2:$A$20000=M431)*(DATOS!$G$2:$G$20000=CONFIG_METADATA!$B$4)*(COUNTIF(CONFIG_ASIGNATURAS!$B$7:$B$27,DATOS!$I$2:$I$20000)&gt;0)*(DATOS!$K$2:$K$20000))/SUMPRODUCT((DATOS!$A$2:$A$20000=M431)*(DATOS!$G$2:$G$20000=CONFIG_METADATA!$B$4)*(COUNTIF(CONFIG_ASIGNATURAS!$B$7:$B$27,DATOS!$I$2:$I$20000)&gt;0)*1),"")))</f>
        <v/>
      </c>
      <c r="T431" t="str">
        <f>IF(S431="","",IF(S431="[FÓRMULA MANUAL]","",IFERROR(AVERAGEIFS(DATOS!$K$2:$K$20000,DATOS!$A$2:$A$20000,S431,DATOS!$G$2:$G$20000,CONFIG_METADATA!$B$4,DATOS!$I$2:$I$20000,"Armonía"),"")))</f>
        <v/>
      </c>
      <c r="U431" t="str">
        <f>IF(S431="","",IF(S431="[FÓRMULA MANUAL]","",IFERROR(AVERAGEIFS(DATOS!$K$2:$K$20000,DATOS!$A$2:$A$20000,S431,DATOS!$G$2:$G$20000,CONFIG_METADATA!$B$4,DATOS!$I$2:$I$20000,"Orquesta/Banda/Conjunto"),"")))</f>
        <v/>
      </c>
      <c r="V431" t="str">
        <f>IF(S431="","",IF(S431="[FÓRMULA MANUAL]","",IFERROR(AVERAGEIFS(DATOS!$K$2:$K$20000,DATOS!$A$2:$A$20000,S431,DATOS!$G$2:$G$20000,CONFIG_METADATA!$B$4,DATOS!$I$2:$I$20000,"Música de Cámara"),"")))</f>
        <v/>
      </c>
      <c r="W431" t="str">
        <f>IF(S431="","",IF(S431="[FÓRMULA MANUAL]","",IFERROR(SUMPRODUCT((DATOS!$A$2:$A$20000=S431)*(DATOS!$G$2:$G$20000=CONFIG_METADATA!$B$4)*(COUNTIF(CONFIG_ASIGNATURAS!$B$7:$B$27,DATOS!$I$2:$I$20000)&gt;0)*(DATOS!$K$2:$K$20000))/SUMPRODUCT((DATOS!$A$2:$A$20000=S431)*(DATOS!$G$2:$G$20000=CONFIG_METADATA!$B$4)*(COUNTIF(CONFIG_ASIGNATURAS!$B$7:$B$27,DATOS!$I$2:$I$20000)&gt;0)*1),"")))</f>
        <v/>
      </c>
      <c r="Z431" t="str">
        <f>IF(Y431="","",IF(Y431="[FÓRMULA MANUAL]","",IFERROR(AVERAGEIFS(DATOS!$K$2:$K$20000,DATOS!$A$2:$A$20000,Y431,DATOS!$G$2:$G$20000,CONFIG_METADATA!$B$4,DATOS!$I$2:$I$20000,"Análisis"),"")))</f>
        <v/>
      </c>
      <c r="AA431" t="str">
        <f>IF(Y431="","",IF(Y431="[FÓRMULA MANUAL]","",IFERROR(AVERAGEIFS(DATOS!$K$2:$K$20000,DATOS!$A$2:$A$20000,Y431,DATOS!$G$2:$G$20000,CONFIG_METADATA!$B$4,DATOS!$I$2:$I$20000,"Orquesta/Banda/Conjunto"),"")))</f>
        <v/>
      </c>
      <c r="AB431" t="str">
        <f>IF(Y431="","",IF(Y431="[FÓRMULA MANUAL]","",IFERROR(AVERAGEIFS(DATOS!$K$2:$K$20000,DATOS!$A$2:$A$20000,Y431,DATOS!$G$2:$G$20000,CONFIG_METADATA!$B$4,DATOS!$I$2:$I$20000,"Música de Cámara"),"")))</f>
        <v/>
      </c>
      <c r="AC431" t="str">
        <f>IF(Y431="","",IF(Y431="[FÓRMULA MANUAL]","",IFERROR(SUMPRODUCT((DATOS!$A$2:$A$20000=Y431)*(DATOS!$G$2:$G$20000=CONFIG_METADATA!$B$4)*(COUNTIF(CONFIG_ASIGNATURAS!$B$7:$B$27,DATOS!$I$2:$I$20000)&gt;0)*(DATOS!$K$2:$K$20000))/SUMPRODUCT((DATOS!$A$2:$A$20000=Y431)*(DATOS!$G$2:$G$20000=CONFIG_METADATA!$B$4)*(COUNTIF(CONFIG_ASIGNATURAS!$B$7:$B$27,DATOS!$I$2:$I$20000)&gt;0)*1),"")))</f>
        <v/>
      </c>
      <c r="AF431" t="str">
        <f>IF(AE431="","",IF(AE431="[FÓRMULA MANUAL]","",IFERROR(AVERAGEIFS(DATOS!$K$2:$K$20000,DATOS!$A$2:$A$20000,AE431,DATOS!$G$2:$G$20000,CONFIG_METADATA!$B$4,DATOS!$I$2:$I$20000,"Análisis"),"")))</f>
        <v/>
      </c>
      <c r="AG431" t="str">
        <f>IF(AE431="","",IF(AE431="[FÓRMULA MANUAL]","",IFERROR(AVERAGEIFS(DATOS!$K$2:$K$20000,DATOS!$A$2:$A$20000,AE431,DATOS!$G$2:$G$20000,CONFIG_METADATA!$B$4,DATOS!$I$2:$I$20000,"Orquesta/Banda/Conjunto"),"")))</f>
        <v/>
      </c>
      <c r="AH431" t="str">
        <f>IF(AE431="","",IF(AE431="[FÓRMULA MANUAL]","",IFERROR(AVERAGEIFS(DATOS!$K$2:$K$20000,DATOS!$A$2:$A$20000,AE431,DATOS!$G$2:$G$20000,CONFIG_METADATA!$B$4,DATOS!$I$2:$I$20000,"Música de Cámara"),"")))</f>
        <v/>
      </c>
      <c r="AI431" t="str">
        <f>IF(AE431="","",IF(AE431="[FÓRMULA MANUAL]","",IFERROR(SUMPRODUCT((DATOS!$A$2:$A$20000=AE431)*(DATOS!$G$2:$G$20000=CONFIG_METADATA!$B$4)*(COUNTIF(CONFIG_ASIGNATURAS!$B$7:$B$27,DATOS!$I$2:$I$20000)&gt;0)*(DATOS!$K$2:$K$20000))/SUMPRODUCT((DATOS!$A$2:$A$20000=AE431)*(DATOS!$G$2:$G$20000=CONFIG_METADATA!$B$4)*(COUNTIF(CONFIG_ASIGNATURAS!$B$7:$B$27,DATOS!$I$2:$I$20000)&gt;0)*1),"")))</f>
        <v/>
      </c>
    </row>
    <row r="432" spans="2:35" x14ac:dyDescent="0.2">
      <c r="B432" t="str">
        <f>IF(A432="","",IF(A432="[FÓRMULA MANUAL]","",IFERROR(AVERAGEIFS(DATOS!$K$2:$K$20000,DATOS!$A$2:$A$20000,A432,DATOS!$G$2:$G$20000,CONFIG_METADATA!$B$4,DATOS!$I$2:$I$20000,"Lenguaje Musical"),"")))</f>
        <v/>
      </c>
      <c r="C432" t="str">
        <f>IF(A432="","",IF(A432="[FÓRMULA MANUAL]","",IFERROR(AVERAGEIFS(DATOS!$K$2:$K$20000,DATOS!$A$2:$A$20000,A432,DATOS!$G$2:$G$20000,CONFIG_METADATA!$B$4,DATOS!$I$2:$I$20000,"Orquesta/Banda/Conjunto"),"")))</f>
        <v/>
      </c>
      <c r="D432" t="str">
        <f>IF(A432="","",IF(A432="[FÓRMULA MANUAL]","",IFERROR(AVERAGEIFS(DATOS!$K$2:$K$20000,DATOS!$A$2:$A$20000,A432,DATOS!$G$2:$G$20000,CONFIG_METADATA!$B$4,DATOS!$I$2:$I$20000,"Conjunto"),"")))</f>
        <v/>
      </c>
      <c r="E432" t="str">
        <f>IF(A432="","",IF(A432="[FÓRMULA MANUAL]","",IFERROR(SUMPRODUCT((DATOS!$A$2:$A$20000=A432)*(DATOS!$G$2:$G$20000=CONFIG_METADATA!$B$4)*(COUNTIF(CONFIG_ASIGNATURAS!$B$7:$B$27,DATOS!$I$2:$I$20000)&gt;0)*(DATOS!$K$2:$K$20000))/SUMPRODUCT((DATOS!$A$2:$A$20000=A432)*(DATOS!$G$2:$G$20000=CONFIG_METADATA!$B$4)*(COUNTIF(CONFIG_ASIGNATURAS!$B$7:$B$27,DATOS!$I$2:$I$20000)&gt;0)*1),"")))</f>
        <v/>
      </c>
      <c r="H432" t="str">
        <f>IF(G432="","",IF(G432="[FÓRMULA MANUAL]","",IFERROR(AVERAGEIFS(DATOS!$K$2:$K$20000,DATOS!$A$2:$A$20000,G432,DATOS!$G$2:$G$20000,CONFIG_METADATA!$B$4,DATOS!$I$2:$I$20000,"Lenguaje Musical"),"")))</f>
        <v/>
      </c>
      <c r="I432" t="str">
        <f>IF(G432="","",IF(G432="[FÓRMULA MANUAL]","",IFERROR(AVERAGEIFS(DATOS!$K$2:$K$20000,DATOS!$A$2:$A$20000,G432,DATOS!$G$2:$G$20000,CONFIG_METADATA!$B$4,DATOS!$I$2:$I$20000,"Orquesta/Banda/Conjunto"),"")))</f>
        <v/>
      </c>
      <c r="J432" t="str">
        <f>IF(G432="","",IF(G432="[FÓRMULA MANUAL]","",IFERROR(AVERAGEIFS(DATOS!$K$2:$K$20000,DATOS!$A$2:$A$20000,G432,DATOS!$G$2:$G$20000,CONFIG_METADATA!$B$4,DATOS!$I$2:$I$20000,"Conjunto"),"")))</f>
        <v/>
      </c>
      <c r="K432" t="str">
        <f>IF(G432="","",IF(G432="[FÓRMULA MANUAL]","",IFERROR(SUMPRODUCT((DATOS!$A$2:$A$20000=G432)*(DATOS!$G$2:$G$20000=CONFIG_METADATA!$B$4)*(COUNTIF(CONFIG_ASIGNATURAS!$B$7:$B$27,DATOS!$I$2:$I$20000)&gt;0)*(DATOS!$K$2:$K$20000))/SUMPRODUCT((DATOS!$A$2:$A$20000=G432)*(DATOS!$G$2:$G$20000=CONFIG_METADATA!$B$4)*(COUNTIF(CONFIG_ASIGNATURAS!$B$7:$B$27,DATOS!$I$2:$I$20000)&gt;0)*1),"")))</f>
        <v/>
      </c>
      <c r="N432" t="str">
        <f>IF(M432="","",IF(M432="[FÓRMULA MANUAL]","",IFERROR(AVERAGEIFS(DATOS!$K$2:$K$20000,DATOS!$A$2:$A$20000,M432,DATOS!$G$2:$G$20000,CONFIG_METADATA!$B$4,DATOS!$I$2:$I$20000,"Armonía"),"")))</f>
        <v/>
      </c>
      <c r="O432" t="str">
        <f>IF(M432="","",IF(M432="[FÓRMULA MANUAL]","",IFERROR(AVERAGEIFS(DATOS!$K$2:$K$20000,DATOS!$A$2:$A$20000,M432,DATOS!$G$2:$G$20000,CONFIG_METADATA!$B$4,DATOS!$I$2:$I$20000,"Orquesta/Banda/Conjunto"),"")))</f>
        <v/>
      </c>
      <c r="P432" t="str">
        <f>IF(M432="","",IF(M432="[FÓRMULA MANUAL]","",IFERROR(AVERAGEIFS(DATOS!$K$2:$K$20000,DATOS!$A$2:$A$20000,M432,DATOS!$G$2:$G$20000,CONFIG_METADATA!$B$4,DATOS!$I$2:$I$20000,"Música de Cámara"),"")))</f>
        <v/>
      </c>
      <c r="Q432" t="str">
        <f>IF(M432="","",IF(M432="[FÓRMULA MANUAL]","",IFERROR(SUMPRODUCT((DATOS!$A$2:$A$20000=M432)*(DATOS!$G$2:$G$20000=CONFIG_METADATA!$B$4)*(COUNTIF(CONFIG_ASIGNATURAS!$B$7:$B$27,DATOS!$I$2:$I$20000)&gt;0)*(DATOS!$K$2:$K$20000))/SUMPRODUCT((DATOS!$A$2:$A$20000=M432)*(DATOS!$G$2:$G$20000=CONFIG_METADATA!$B$4)*(COUNTIF(CONFIG_ASIGNATURAS!$B$7:$B$27,DATOS!$I$2:$I$20000)&gt;0)*1),"")))</f>
        <v/>
      </c>
      <c r="T432" t="str">
        <f>IF(S432="","",IF(S432="[FÓRMULA MANUAL]","",IFERROR(AVERAGEIFS(DATOS!$K$2:$K$20000,DATOS!$A$2:$A$20000,S432,DATOS!$G$2:$G$20000,CONFIG_METADATA!$B$4,DATOS!$I$2:$I$20000,"Armonía"),"")))</f>
        <v/>
      </c>
      <c r="U432" t="str">
        <f>IF(S432="","",IF(S432="[FÓRMULA MANUAL]","",IFERROR(AVERAGEIFS(DATOS!$K$2:$K$20000,DATOS!$A$2:$A$20000,S432,DATOS!$G$2:$G$20000,CONFIG_METADATA!$B$4,DATOS!$I$2:$I$20000,"Orquesta/Banda/Conjunto"),"")))</f>
        <v/>
      </c>
      <c r="V432" t="str">
        <f>IF(S432="","",IF(S432="[FÓRMULA MANUAL]","",IFERROR(AVERAGEIFS(DATOS!$K$2:$K$20000,DATOS!$A$2:$A$20000,S432,DATOS!$G$2:$G$20000,CONFIG_METADATA!$B$4,DATOS!$I$2:$I$20000,"Música de Cámara"),"")))</f>
        <v/>
      </c>
      <c r="W432" t="str">
        <f>IF(S432="","",IF(S432="[FÓRMULA MANUAL]","",IFERROR(SUMPRODUCT((DATOS!$A$2:$A$20000=S432)*(DATOS!$G$2:$G$20000=CONFIG_METADATA!$B$4)*(COUNTIF(CONFIG_ASIGNATURAS!$B$7:$B$27,DATOS!$I$2:$I$20000)&gt;0)*(DATOS!$K$2:$K$20000))/SUMPRODUCT((DATOS!$A$2:$A$20000=S432)*(DATOS!$G$2:$G$20000=CONFIG_METADATA!$B$4)*(COUNTIF(CONFIG_ASIGNATURAS!$B$7:$B$27,DATOS!$I$2:$I$20000)&gt;0)*1),"")))</f>
        <v/>
      </c>
      <c r="Z432" t="str">
        <f>IF(Y432="","",IF(Y432="[FÓRMULA MANUAL]","",IFERROR(AVERAGEIFS(DATOS!$K$2:$K$20000,DATOS!$A$2:$A$20000,Y432,DATOS!$G$2:$G$20000,CONFIG_METADATA!$B$4,DATOS!$I$2:$I$20000,"Análisis"),"")))</f>
        <v/>
      </c>
      <c r="AA432" t="str">
        <f>IF(Y432="","",IF(Y432="[FÓRMULA MANUAL]","",IFERROR(AVERAGEIFS(DATOS!$K$2:$K$20000,DATOS!$A$2:$A$20000,Y432,DATOS!$G$2:$G$20000,CONFIG_METADATA!$B$4,DATOS!$I$2:$I$20000,"Orquesta/Banda/Conjunto"),"")))</f>
        <v/>
      </c>
      <c r="AB432" t="str">
        <f>IF(Y432="","",IF(Y432="[FÓRMULA MANUAL]","",IFERROR(AVERAGEIFS(DATOS!$K$2:$K$20000,DATOS!$A$2:$A$20000,Y432,DATOS!$G$2:$G$20000,CONFIG_METADATA!$B$4,DATOS!$I$2:$I$20000,"Música de Cámara"),"")))</f>
        <v/>
      </c>
      <c r="AC432" t="str">
        <f>IF(Y432="","",IF(Y432="[FÓRMULA MANUAL]","",IFERROR(SUMPRODUCT((DATOS!$A$2:$A$20000=Y432)*(DATOS!$G$2:$G$20000=CONFIG_METADATA!$B$4)*(COUNTIF(CONFIG_ASIGNATURAS!$B$7:$B$27,DATOS!$I$2:$I$20000)&gt;0)*(DATOS!$K$2:$K$20000))/SUMPRODUCT((DATOS!$A$2:$A$20000=Y432)*(DATOS!$G$2:$G$20000=CONFIG_METADATA!$B$4)*(COUNTIF(CONFIG_ASIGNATURAS!$B$7:$B$27,DATOS!$I$2:$I$20000)&gt;0)*1),"")))</f>
        <v/>
      </c>
      <c r="AF432" t="str">
        <f>IF(AE432="","",IF(AE432="[FÓRMULA MANUAL]","",IFERROR(AVERAGEIFS(DATOS!$K$2:$K$20000,DATOS!$A$2:$A$20000,AE432,DATOS!$G$2:$G$20000,CONFIG_METADATA!$B$4,DATOS!$I$2:$I$20000,"Análisis"),"")))</f>
        <v/>
      </c>
      <c r="AG432" t="str">
        <f>IF(AE432="","",IF(AE432="[FÓRMULA MANUAL]","",IFERROR(AVERAGEIFS(DATOS!$K$2:$K$20000,DATOS!$A$2:$A$20000,AE432,DATOS!$G$2:$G$20000,CONFIG_METADATA!$B$4,DATOS!$I$2:$I$20000,"Orquesta/Banda/Conjunto"),"")))</f>
        <v/>
      </c>
      <c r="AH432" t="str">
        <f>IF(AE432="","",IF(AE432="[FÓRMULA MANUAL]","",IFERROR(AVERAGEIFS(DATOS!$K$2:$K$20000,DATOS!$A$2:$A$20000,AE432,DATOS!$G$2:$G$20000,CONFIG_METADATA!$B$4,DATOS!$I$2:$I$20000,"Música de Cámara"),"")))</f>
        <v/>
      </c>
      <c r="AI432" t="str">
        <f>IF(AE432="","",IF(AE432="[FÓRMULA MANUAL]","",IFERROR(SUMPRODUCT((DATOS!$A$2:$A$20000=AE432)*(DATOS!$G$2:$G$20000=CONFIG_METADATA!$B$4)*(COUNTIF(CONFIG_ASIGNATURAS!$B$7:$B$27,DATOS!$I$2:$I$20000)&gt;0)*(DATOS!$K$2:$K$20000))/SUMPRODUCT((DATOS!$A$2:$A$20000=AE432)*(DATOS!$G$2:$G$20000=CONFIG_METADATA!$B$4)*(COUNTIF(CONFIG_ASIGNATURAS!$B$7:$B$27,DATOS!$I$2:$I$20000)&gt;0)*1),"")))</f>
        <v/>
      </c>
    </row>
    <row r="433" spans="2:35" x14ac:dyDescent="0.2">
      <c r="B433" t="str">
        <f>IF(A433="","",IF(A433="[FÓRMULA MANUAL]","",IFERROR(AVERAGEIFS(DATOS!$K$2:$K$20000,DATOS!$A$2:$A$20000,A433,DATOS!$G$2:$G$20000,CONFIG_METADATA!$B$4,DATOS!$I$2:$I$20000,"Lenguaje Musical"),"")))</f>
        <v/>
      </c>
      <c r="C433" t="str">
        <f>IF(A433="","",IF(A433="[FÓRMULA MANUAL]","",IFERROR(AVERAGEIFS(DATOS!$K$2:$K$20000,DATOS!$A$2:$A$20000,A433,DATOS!$G$2:$G$20000,CONFIG_METADATA!$B$4,DATOS!$I$2:$I$20000,"Orquesta/Banda/Conjunto"),"")))</f>
        <v/>
      </c>
      <c r="D433" t="str">
        <f>IF(A433="","",IF(A433="[FÓRMULA MANUAL]","",IFERROR(AVERAGEIFS(DATOS!$K$2:$K$20000,DATOS!$A$2:$A$20000,A433,DATOS!$G$2:$G$20000,CONFIG_METADATA!$B$4,DATOS!$I$2:$I$20000,"Conjunto"),"")))</f>
        <v/>
      </c>
      <c r="E433" t="str">
        <f>IF(A433="","",IF(A433="[FÓRMULA MANUAL]","",IFERROR(SUMPRODUCT((DATOS!$A$2:$A$20000=A433)*(DATOS!$G$2:$G$20000=CONFIG_METADATA!$B$4)*(COUNTIF(CONFIG_ASIGNATURAS!$B$7:$B$27,DATOS!$I$2:$I$20000)&gt;0)*(DATOS!$K$2:$K$20000))/SUMPRODUCT((DATOS!$A$2:$A$20000=A433)*(DATOS!$G$2:$G$20000=CONFIG_METADATA!$B$4)*(COUNTIF(CONFIG_ASIGNATURAS!$B$7:$B$27,DATOS!$I$2:$I$20000)&gt;0)*1),"")))</f>
        <v/>
      </c>
      <c r="H433" t="str">
        <f>IF(G433="","",IF(G433="[FÓRMULA MANUAL]","",IFERROR(AVERAGEIFS(DATOS!$K$2:$K$20000,DATOS!$A$2:$A$20000,G433,DATOS!$G$2:$G$20000,CONFIG_METADATA!$B$4,DATOS!$I$2:$I$20000,"Lenguaje Musical"),"")))</f>
        <v/>
      </c>
      <c r="I433" t="str">
        <f>IF(G433="","",IF(G433="[FÓRMULA MANUAL]","",IFERROR(AVERAGEIFS(DATOS!$K$2:$K$20000,DATOS!$A$2:$A$20000,G433,DATOS!$G$2:$G$20000,CONFIG_METADATA!$B$4,DATOS!$I$2:$I$20000,"Orquesta/Banda/Conjunto"),"")))</f>
        <v/>
      </c>
      <c r="J433" t="str">
        <f>IF(G433="","",IF(G433="[FÓRMULA MANUAL]","",IFERROR(AVERAGEIFS(DATOS!$K$2:$K$20000,DATOS!$A$2:$A$20000,G433,DATOS!$G$2:$G$20000,CONFIG_METADATA!$B$4,DATOS!$I$2:$I$20000,"Conjunto"),"")))</f>
        <v/>
      </c>
      <c r="K433" t="str">
        <f>IF(G433="","",IF(G433="[FÓRMULA MANUAL]","",IFERROR(SUMPRODUCT((DATOS!$A$2:$A$20000=G433)*(DATOS!$G$2:$G$20000=CONFIG_METADATA!$B$4)*(COUNTIF(CONFIG_ASIGNATURAS!$B$7:$B$27,DATOS!$I$2:$I$20000)&gt;0)*(DATOS!$K$2:$K$20000))/SUMPRODUCT((DATOS!$A$2:$A$20000=G433)*(DATOS!$G$2:$G$20000=CONFIG_METADATA!$B$4)*(COUNTIF(CONFIG_ASIGNATURAS!$B$7:$B$27,DATOS!$I$2:$I$20000)&gt;0)*1),"")))</f>
        <v/>
      </c>
      <c r="N433" t="str">
        <f>IF(M433="","",IF(M433="[FÓRMULA MANUAL]","",IFERROR(AVERAGEIFS(DATOS!$K$2:$K$20000,DATOS!$A$2:$A$20000,M433,DATOS!$G$2:$G$20000,CONFIG_METADATA!$B$4,DATOS!$I$2:$I$20000,"Armonía"),"")))</f>
        <v/>
      </c>
      <c r="O433" t="str">
        <f>IF(M433="","",IF(M433="[FÓRMULA MANUAL]","",IFERROR(AVERAGEIFS(DATOS!$K$2:$K$20000,DATOS!$A$2:$A$20000,M433,DATOS!$G$2:$G$20000,CONFIG_METADATA!$B$4,DATOS!$I$2:$I$20000,"Orquesta/Banda/Conjunto"),"")))</f>
        <v/>
      </c>
      <c r="P433" t="str">
        <f>IF(M433="","",IF(M433="[FÓRMULA MANUAL]","",IFERROR(AVERAGEIFS(DATOS!$K$2:$K$20000,DATOS!$A$2:$A$20000,M433,DATOS!$G$2:$G$20000,CONFIG_METADATA!$B$4,DATOS!$I$2:$I$20000,"Música de Cámara"),"")))</f>
        <v/>
      </c>
      <c r="Q433" t="str">
        <f>IF(M433="","",IF(M433="[FÓRMULA MANUAL]","",IFERROR(SUMPRODUCT((DATOS!$A$2:$A$20000=M433)*(DATOS!$G$2:$G$20000=CONFIG_METADATA!$B$4)*(COUNTIF(CONFIG_ASIGNATURAS!$B$7:$B$27,DATOS!$I$2:$I$20000)&gt;0)*(DATOS!$K$2:$K$20000))/SUMPRODUCT((DATOS!$A$2:$A$20000=M433)*(DATOS!$G$2:$G$20000=CONFIG_METADATA!$B$4)*(COUNTIF(CONFIG_ASIGNATURAS!$B$7:$B$27,DATOS!$I$2:$I$20000)&gt;0)*1),"")))</f>
        <v/>
      </c>
      <c r="T433" t="str">
        <f>IF(S433="","",IF(S433="[FÓRMULA MANUAL]","",IFERROR(AVERAGEIFS(DATOS!$K$2:$K$20000,DATOS!$A$2:$A$20000,S433,DATOS!$G$2:$G$20000,CONFIG_METADATA!$B$4,DATOS!$I$2:$I$20000,"Armonía"),"")))</f>
        <v/>
      </c>
      <c r="U433" t="str">
        <f>IF(S433="","",IF(S433="[FÓRMULA MANUAL]","",IFERROR(AVERAGEIFS(DATOS!$K$2:$K$20000,DATOS!$A$2:$A$20000,S433,DATOS!$G$2:$G$20000,CONFIG_METADATA!$B$4,DATOS!$I$2:$I$20000,"Orquesta/Banda/Conjunto"),"")))</f>
        <v/>
      </c>
      <c r="V433" t="str">
        <f>IF(S433="","",IF(S433="[FÓRMULA MANUAL]","",IFERROR(AVERAGEIFS(DATOS!$K$2:$K$20000,DATOS!$A$2:$A$20000,S433,DATOS!$G$2:$G$20000,CONFIG_METADATA!$B$4,DATOS!$I$2:$I$20000,"Música de Cámara"),"")))</f>
        <v/>
      </c>
      <c r="W433" t="str">
        <f>IF(S433="","",IF(S433="[FÓRMULA MANUAL]","",IFERROR(SUMPRODUCT((DATOS!$A$2:$A$20000=S433)*(DATOS!$G$2:$G$20000=CONFIG_METADATA!$B$4)*(COUNTIF(CONFIG_ASIGNATURAS!$B$7:$B$27,DATOS!$I$2:$I$20000)&gt;0)*(DATOS!$K$2:$K$20000))/SUMPRODUCT((DATOS!$A$2:$A$20000=S433)*(DATOS!$G$2:$G$20000=CONFIG_METADATA!$B$4)*(COUNTIF(CONFIG_ASIGNATURAS!$B$7:$B$27,DATOS!$I$2:$I$20000)&gt;0)*1),"")))</f>
        <v/>
      </c>
      <c r="Z433" t="str">
        <f>IF(Y433="","",IF(Y433="[FÓRMULA MANUAL]","",IFERROR(AVERAGEIFS(DATOS!$K$2:$K$20000,DATOS!$A$2:$A$20000,Y433,DATOS!$G$2:$G$20000,CONFIG_METADATA!$B$4,DATOS!$I$2:$I$20000,"Análisis"),"")))</f>
        <v/>
      </c>
      <c r="AA433" t="str">
        <f>IF(Y433="","",IF(Y433="[FÓRMULA MANUAL]","",IFERROR(AVERAGEIFS(DATOS!$K$2:$K$20000,DATOS!$A$2:$A$20000,Y433,DATOS!$G$2:$G$20000,CONFIG_METADATA!$B$4,DATOS!$I$2:$I$20000,"Orquesta/Banda/Conjunto"),"")))</f>
        <v/>
      </c>
      <c r="AB433" t="str">
        <f>IF(Y433="","",IF(Y433="[FÓRMULA MANUAL]","",IFERROR(AVERAGEIFS(DATOS!$K$2:$K$20000,DATOS!$A$2:$A$20000,Y433,DATOS!$G$2:$G$20000,CONFIG_METADATA!$B$4,DATOS!$I$2:$I$20000,"Música de Cámara"),"")))</f>
        <v/>
      </c>
      <c r="AC433" t="str">
        <f>IF(Y433="","",IF(Y433="[FÓRMULA MANUAL]","",IFERROR(SUMPRODUCT((DATOS!$A$2:$A$20000=Y433)*(DATOS!$G$2:$G$20000=CONFIG_METADATA!$B$4)*(COUNTIF(CONFIG_ASIGNATURAS!$B$7:$B$27,DATOS!$I$2:$I$20000)&gt;0)*(DATOS!$K$2:$K$20000))/SUMPRODUCT((DATOS!$A$2:$A$20000=Y433)*(DATOS!$G$2:$G$20000=CONFIG_METADATA!$B$4)*(COUNTIF(CONFIG_ASIGNATURAS!$B$7:$B$27,DATOS!$I$2:$I$20000)&gt;0)*1),"")))</f>
        <v/>
      </c>
      <c r="AF433" t="str">
        <f>IF(AE433="","",IF(AE433="[FÓRMULA MANUAL]","",IFERROR(AVERAGEIFS(DATOS!$K$2:$K$20000,DATOS!$A$2:$A$20000,AE433,DATOS!$G$2:$G$20000,CONFIG_METADATA!$B$4,DATOS!$I$2:$I$20000,"Análisis"),"")))</f>
        <v/>
      </c>
      <c r="AG433" t="str">
        <f>IF(AE433="","",IF(AE433="[FÓRMULA MANUAL]","",IFERROR(AVERAGEIFS(DATOS!$K$2:$K$20000,DATOS!$A$2:$A$20000,AE433,DATOS!$G$2:$G$20000,CONFIG_METADATA!$B$4,DATOS!$I$2:$I$20000,"Orquesta/Banda/Conjunto"),"")))</f>
        <v/>
      </c>
      <c r="AH433" t="str">
        <f>IF(AE433="","",IF(AE433="[FÓRMULA MANUAL]","",IFERROR(AVERAGEIFS(DATOS!$K$2:$K$20000,DATOS!$A$2:$A$20000,AE433,DATOS!$G$2:$G$20000,CONFIG_METADATA!$B$4,DATOS!$I$2:$I$20000,"Música de Cámara"),"")))</f>
        <v/>
      </c>
      <c r="AI433" t="str">
        <f>IF(AE433="","",IF(AE433="[FÓRMULA MANUAL]","",IFERROR(SUMPRODUCT((DATOS!$A$2:$A$20000=AE433)*(DATOS!$G$2:$G$20000=CONFIG_METADATA!$B$4)*(COUNTIF(CONFIG_ASIGNATURAS!$B$7:$B$27,DATOS!$I$2:$I$20000)&gt;0)*(DATOS!$K$2:$K$20000))/SUMPRODUCT((DATOS!$A$2:$A$20000=AE433)*(DATOS!$G$2:$G$20000=CONFIG_METADATA!$B$4)*(COUNTIF(CONFIG_ASIGNATURAS!$B$7:$B$27,DATOS!$I$2:$I$20000)&gt;0)*1),"")))</f>
        <v/>
      </c>
    </row>
    <row r="434" spans="2:35" x14ac:dyDescent="0.2">
      <c r="B434" t="str">
        <f>IF(A434="","",IF(A434="[FÓRMULA MANUAL]","",IFERROR(AVERAGEIFS(DATOS!$K$2:$K$20000,DATOS!$A$2:$A$20000,A434,DATOS!$G$2:$G$20000,CONFIG_METADATA!$B$4,DATOS!$I$2:$I$20000,"Lenguaje Musical"),"")))</f>
        <v/>
      </c>
      <c r="C434" t="str">
        <f>IF(A434="","",IF(A434="[FÓRMULA MANUAL]","",IFERROR(AVERAGEIFS(DATOS!$K$2:$K$20000,DATOS!$A$2:$A$20000,A434,DATOS!$G$2:$G$20000,CONFIG_METADATA!$B$4,DATOS!$I$2:$I$20000,"Orquesta/Banda/Conjunto"),"")))</f>
        <v/>
      </c>
      <c r="D434" t="str">
        <f>IF(A434="","",IF(A434="[FÓRMULA MANUAL]","",IFERROR(AVERAGEIFS(DATOS!$K$2:$K$20000,DATOS!$A$2:$A$20000,A434,DATOS!$G$2:$G$20000,CONFIG_METADATA!$B$4,DATOS!$I$2:$I$20000,"Conjunto"),"")))</f>
        <v/>
      </c>
      <c r="E434" t="str">
        <f>IF(A434="","",IF(A434="[FÓRMULA MANUAL]","",IFERROR(SUMPRODUCT((DATOS!$A$2:$A$20000=A434)*(DATOS!$G$2:$G$20000=CONFIG_METADATA!$B$4)*(COUNTIF(CONFIG_ASIGNATURAS!$B$7:$B$27,DATOS!$I$2:$I$20000)&gt;0)*(DATOS!$K$2:$K$20000))/SUMPRODUCT((DATOS!$A$2:$A$20000=A434)*(DATOS!$G$2:$G$20000=CONFIG_METADATA!$B$4)*(COUNTIF(CONFIG_ASIGNATURAS!$B$7:$B$27,DATOS!$I$2:$I$20000)&gt;0)*1),"")))</f>
        <v/>
      </c>
      <c r="H434" t="str">
        <f>IF(G434="","",IF(G434="[FÓRMULA MANUAL]","",IFERROR(AVERAGEIFS(DATOS!$K$2:$K$20000,DATOS!$A$2:$A$20000,G434,DATOS!$G$2:$G$20000,CONFIG_METADATA!$B$4,DATOS!$I$2:$I$20000,"Lenguaje Musical"),"")))</f>
        <v/>
      </c>
      <c r="I434" t="str">
        <f>IF(G434="","",IF(G434="[FÓRMULA MANUAL]","",IFERROR(AVERAGEIFS(DATOS!$K$2:$K$20000,DATOS!$A$2:$A$20000,G434,DATOS!$G$2:$G$20000,CONFIG_METADATA!$B$4,DATOS!$I$2:$I$20000,"Orquesta/Banda/Conjunto"),"")))</f>
        <v/>
      </c>
      <c r="J434" t="str">
        <f>IF(G434="","",IF(G434="[FÓRMULA MANUAL]","",IFERROR(AVERAGEIFS(DATOS!$K$2:$K$20000,DATOS!$A$2:$A$20000,G434,DATOS!$G$2:$G$20000,CONFIG_METADATA!$B$4,DATOS!$I$2:$I$20000,"Conjunto"),"")))</f>
        <v/>
      </c>
      <c r="K434" t="str">
        <f>IF(G434="","",IF(G434="[FÓRMULA MANUAL]","",IFERROR(SUMPRODUCT((DATOS!$A$2:$A$20000=G434)*(DATOS!$G$2:$G$20000=CONFIG_METADATA!$B$4)*(COUNTIF(CONFIG_ASIGNATURAS!$B$7:$B$27,DATOS!$I$2:$I$20000)&gt;0)*(DATOS!$K$2:$K$20000))/SUMPRODUCT((DATOS!$A$2:$A$20000=G434)*(DATOS!$G$2:$G$20000=CONFIG_METADATA!$B$4)*(COUNTIF(CONFIG_ASIGNATURAS!$B$7:$B$27,DATOS!$I$2:$I$20000)&gt;0)*1),"")))</f>
        <v/>
      </c>
      <c r="N434" t="str">
        <f>IF(M434="","",IF(M434="[FÓRMULA MANUAL]","",IFERROR(AVERAGEIFS(DATOS!$K$2:$K$20000,DATOS!$A$2:$A$20000,M434,DATOS!$G$2:$G$20000,CONFIG_METADATA!$B$4,DATOS!$I$2:$I$20000,"Armonía"),"")))</f>
        <v/>
      </c>
      <c r="O434" t="str">
        <f>IF(M434="","",IF(M434="[FÓRMULA MANUAL]","",IFERROR(AVERAGEIFS(DATOS!$K$2:$K$20000,DATOS!$A$2:$A$20000,M434,DATOS!$G$2:$G$20000,CONFIG_METADATA!$B$4,DATOS!$I$2:$I$20000,"Orquesta/Banda/Conjunto"),"")))</f>
        <v/>
      </c>
      <c r="P434" t="str">
        <f>IF(M434="","",IF(M434="[FÓRMULA MANUAL]","",IFERROR(AVERAGEIFS(DATOS!$K$2:$K$20000,DATOS!$A$2:$A$20000,M434,DATOS!$G$2:$G$20000,CONFIG_METADATA!$B$4,DATOS!$I$2:$I$20000,"Música de Cámara"),"")))</f>
        <v/>
      </c>
      <c r="Q434" t="str">
        <f>IF(M434="","",IF(M434="[FÓRMULA MANUAL]","",IFERROR(SUMPRODUCT((DATOS!$A$2:$A$20000=M434)*(DATOS!$G$2:$G$20000=CONFIG_METADATA!$B$4)*(COUNTIF(CONFIG_ASIGNATURAS!$B$7:$B$27,DATOS!$I$2:$I$20000)&gt;0)*(DATOS!$K$2:$K$20000))/SUMPRODUCT((DATOS!$A$2:$A$20000=M434)*(DATOS!$G$2:$G$20000=CONFIG_METADATA!$B$4)*(COUNTIF(CONFIG_ASIGNATURAS!$B$7:$B$27,DATOS!$I$2:$I$20000)&gt;0)*1),"")))</f>
        <v/>
      </c>
      <c r="T434" t="str">
        <f>IF(S434="","",IF(S434="[FÓRMULA MANUAL]","",IFERROR(AVERAGEIFS(DATOS!$K$2:$K$20000,DATOS!$A$2:$A$20000,S434,DATOS!$G$2:$G$20000,CONFIG_METADATA!$B$4,DATOS!$I$2:$I$20000,"Armonía"),"")))</f>
        <v/>
      </c>
      <c r="U434" t="str">
        <f>IF(S434="","",IF(S434="[FÓRMULA MANUAL]","",IFERROR(AVERAGEIFS(DATOS!$K$2:$K$20000,DATOS!$A$2:$A$20000,S434,DATOS!$G$2:$G$20000,CONFIG_METADATA!$B$4,DATOS!$I$2:$I$20000,"Orquesta/Banda/Conjunto"),"")))</f>
        <v/>
      </c>
      <c r="V434" t="str">
        <f>IF(S434="","",IF(S434="[FÓRMULA MANUAL]","",IFERROR(AVERAGEIFS(DATOS!$K$2:$K$20000,DATOS!$A$2:$A$20000,S434,DATOS!$G$2:$G$20000,CONFIG_METADATA!$B$4,DATOS!$I$2:$I$20000,"Música de Cámara"),"")))</f>
        <v/>
      </c>
      <c r="W434" t="str">
        <f>IF(S434="","",IF(S434="[FÓRMULA MANUAL]","",IFERROR(SUMPRODUCT((DATOS!$A$2:$A$20000=S434)*(DATOS!$G$2:$G$20000=CONFIG_METADATA!$B$4)*(COUNTIF(CONFIG_ASIGNATURAS!$B$7:$B$27,DATOS!$I$2:$I$20000)&gt;0)*(DATOS!$K$2:$K$20000))/SUMPRODUCT((DATOS!$A$2:$A$20000=S434)*(DATOS!$G$2:$G$20000=CONFIG_METADATA!$B$4)*(COUNTIF(CONFIG_ASIGNATURAS!$B$7:$B$27,DATOS!$I$2:$I$20000)&gt;0)*1),"")))</f>
        <v/>
      </c>
      <c r="Z434" t="str">
        <f>IF(Y434="","",IF(Y434="[FÓRMULA MANUAL]","",IFERROR(AVERAGEIFS(DATOS!$K$2:$K$20000,DATOS!$A$2:$A$20000,Y434,DATOS!$G$2:$G$20000,CONFIG_METADATA!$B$4,DATOS!$I$2:$I$20000,"Análisis"),"")))</f>
        <v/>
      </c>
      <c r="AA434" t="str">
        <f>IF(Y434="","",IF(Y434="[FÓRMULA MANUAL]","",IFERROR(AVERAGEIFS(DATOS!$K$2:$K$20000,DATOS!$A$2:$A$20000,Y434,DATOS!$G$2:$G$20000,CONFIG_METADATA!$B$4,DATOS!$I$2:$I$20000,"Orquesta/Banda/Conjunto"),"")))</f>
        <v/>
      </c>
      <c r="AB434" t="str">
        <f>IF(Y434="","",IF(Y434="[FÓRMULA MANUAL]","",IFERROR(AVERAGEIFS(DATOS!$K$2:$K$20000,DATOS!$A$2:$A$20000,Y434,DATOS!$G$2:$G$20000,CONFIG_METADATA!$B$4,DATOS!$I$2:$I$20000,"Música de Cámara"),"")))</f>
        <v/>
      </c>
      <c r="AC434" t="str">
        <f>IF(Y434="","",IF(Y434="[FÓRMULA MANUAL]","",IFERROR(SUMPRODUCT((DATOS!$A$2:$A$20000=Y434)*(DATOS!$G$2:$G$20000=CONFIG_METADATA!$B$4)*(COUNTIF(CONFIG_ASIGNATURAS!$B$7:$B$27,DATOS!$I$2:$I$20000)&gt;0)*(DATOS!$K$2:$K$20000))/SUMPRODUCT((DATOS!$A$2:$A$20000=Y434)*(DATOS!$G$2:$G$20000=CONFIG_METADATA!$B$4)*(COUNTIF(CONFIG_ASIGNATURAS!$B$7:$B$27,DATOS!$I$2:$I$20000)&gt;0)*1),"")))</f>
        <v/>
      </c>
      <c r="AF434" t="str">
        <f>IF(AE434="","",IF(AE434="[FÓRMULA MANUAL]","",IFERROR(AVERAGEIFS(DATOS!$K$2:$K$20000,DATOS!$A$2:$A$20000,AE434,DATOS!$G$2:$G$20000,CONFIG_METADATA!$B$4,DATOS!$I$2:$I$20000,"Análisis"),"")))</f>
        <v/>
      </c>
      <c r="AG434" t="str">
        <f>IF(AE434="","",IF(AE434="[FÓRMULA MANUAL]","",IFERROR(AVERAGEIFS(DATOS!$K$2:$K$20000,DATOS!$A$2:$A$20000,AE434,DATOS!$G$2:$G$20000,CONFIG_METADATA!$B$4,DATOS!$I$2:$I$20000,"Orquesta/Banda/Conjunto"),"")))</f>
        <v/>
      </c>
      <c r="AH434" t="str">
        <f>IF(AE434="","",IF(AE434="[FÓRMULA MANUAL]","",IFERROR(AVERAGEIFS(DATOS!$K$2:$K$20000,DATOS!$A$2:$A$20000,AE434,DATOS!$G$2:$G$20000,CONFIG_METADATA!$B$4,DATOS!$I$2:$I$20000,"Música de Cámara"),"")))</f>
        <v/>
      </c>
      <c r="AI434" t="str">
        <f>IF(AE434="","",IF(AE434="[FÓRMULA MANUAL]","",IFERROR(SUMPRODUCT((DATOS!$A$2:$A$20000=AE434)*(DATOS!$G$2:$G$20000=CONFIG_METADATA!$B$4)*(COUNTIF(CONFIG_ASIGNATURAS!$B$7:$B$27,DATOS!$I$2:$I$20000)&gt;0)*(DATOS!$K$2:$K$20000))/SUMPRODUCT((DATOS!$A$2:$A$20000=AE434)*(DATOS!$G$2:$G$20000=CONFIG_METADATA!$B$4)*(COUNTIF(CONFIG_ASIGNATURAS!$B$7:$B$27,DATOS!$I$2:$I$20000)&gt;0)*1),"")))</f>
        <v/>
      </c>
    </row>
    <row r="435" spans="2:35" x14ac:dyDescent="0.2">
      <c r="B435" t="str">
        <f>IF(A435="","",IF(A435="[FÓRMULA MANUAL]","",IFERROR(AVERAGEIFS(DATOS!$K$2:$K$20000,DATOS!$A$2:$A$20000,A435,DATOS!$G$2:$G$20000,CONFIG_METADATA!$B$4,DATOS!$I$2:$I$20000,"Lenguaje Musical"),"")))</f>
        <v/>
      </c>
      <c r="C435" t="str">
        <f>IF(A435="","",IF(A435="[FÓRMULA MANUAL]","",IFERROR(AVERAGEIFS(DATOS!$K$2:$K$20000,DATOS!$A$2:$A$20000,A435,DATOS!$G$2:$G$20000,CONFIG_METADATA!$B$4,DATOS!$I$2:$I$20000,"Orquesta/Banda/Conjunto"),"")))</f>
        <v/>
      </c>
      <c r="D435" t="str">
        <f>IF(A435="","",IF(A435="[FÓRMULA MANUAL]","",IFERROR(AVERAGEIFS(DATOS!$K$2:$K$20000,DATOS!$A$2:$A$20000,A435,DATOS!$G$2:$G$20000,CONFIG_METADATA!$B$4,DATOS!$I$2:$I$20000,"Conjunto"),"")))</f>
        <v/>
      </c>
      <c r="E435" t="str">
        <f>IF(A435="","",IF(A435="[FÓRMULA MANUAL]","",IFERROR(SUMPRODUCT((DATOS!$A$2:$A$20000=A435)*(DATOS!$G$2:$G$20000=CONFIG_METADATA!$B$4)*(COUNTIF(CONFIG_ASIGNATURAS!$B$7:$B$27,DATOS!$I$2:$I$20000)&gt;0)*(DATOS!$K$2:$K$20000))/SUMPRODUCT((DATOS!$A$2:$A$20000=A435)*(DATOS!$G$2:$G$20000=CONFIG_METADATA!$B$4)*(COUNTIF(CONFIG_ASIGNATURAS!$B$7:$B$27,DATOS!$I$2:$I$20000)&gt;0)*1),"")))</f>
        <v/>
      </c>
      <c r="H435" t="str">
        <f>IF(G435="","",IF(G435="[FÓRMULA MANUAL]","",IFERROR(AVERAGEIFS(DATOS!$K$2:$K$20000,DATOS!$A$2:$A$20000,G435,DATOS!$G$2:$G$20000,CONFIG_METADATA!$B$4,DATOS!$I$2:$I$20000,"Lenguaje Musical"),"")))</f>
        <v/>
      </c>
      <c r="I435" t="str">
        <f>IF(G435="","",IF(G435="[FÓRMULA MANUAL]","",IFERROR(AVERAGEIFS(DATOS!$K$2:$K$20000,DATOS!$A$2:$A$20000,G435,DATOS!$G$2:$G$20000,CONFIG_METADATA!$B$4,DATOS!$I$2:$I$20000,"Orquesta/Banda/Conjunto"),"")))</f>
        <v/>
      </c>
      <c r="J435" t="str">
        <f>IF(G435="","",IF(G435="[FÓRMULA MANUAL]","",IFERROR(AVERAGEIFS(DATOS!$K$2:$K$20000,DATOS!$A$2:$A$20000,G435,DATOS!$G$2:$G$20000,CONFIG_METADATA!$B$4,DATOS!$I$2:$I$20000,"Conjunto"),"")))</f>
        <v/>
      </c>
      <c r="K435" t="str">
        <f>IF(G435="","",IF(G435="[FÓRMULA MANUAL]","",IFERROR(SUMPRODUCT((DATOS!$A$2:$A$20000=G435)*(DATOS!$G$2:$G$20000=CONFIG_METADATA!$B$4)*(COUNTIF(CONFIG_ASIGNATURAS!$B$7:$B$27,DATOS!$I$2:$I$20000)&gt;0)*(DATOS!$K$2:$K$20000))/SUMPRODUCT((DATOS!$A$2:$A$20000=G435)*(DATOS!$G$2:$G$20000=CONFIG_METADATA!$B$4)*(COUNTIF(CONFIG_ASIGNATURAS!$B$7:$B$27,DATOS!$I$2:$I$20000)&gt;0)*1),"")))</f>
        <v/>
      </c>
      <c r="N435" t="str">
        <f>IF(M435="","",IF(M435="[FÓRMULA MANUAL]","",IFERROR(AVERAGEIFS(DATOS!$K$2:$K$20000,DATOS!$A$2:$A$20000,M435,DATOS!$G$2:$G$20000,CONFIG_METADATA!$B$4,DATOS!$I$2:$I$20000,"Armonía"),"")))</f>
        <v/>
      </c>
      <c r="O435" t="str">
        <f>IF(M435="","",IF(M435="[FÓRMULA MANUAL]","",IFERROR(AVERAGEIFS(DATOS!$K$2:$K$20000,DATOS!$A$2:$A$20000,M435,DATOS!$G$2:$G$20000,CONFIG_METADATA!$B$4,DATOS!$I$2:$I$20000,"Orquesta/Banda/Conjunto"),"")))</f>
        <v/>
      </c>
      <c r="P435" t="str">
        <f>IF(M435="","",IF(M435="[FÓRMULA MANUAL]","",IFERROR(AVERAGEIFS(DATOS!$K$2:$K$20000,DATOS!$A$2:$A$20000,M435,DATOS!$G$2:$G$20000,CONFIG_METADATA!$B$4,DATOS!$I$2:$I$20000,"Música de Cámara"),"")))</f>
        <v/>
      </c>
      <c r="Q435" t="str">
        <f>IF(M435="","",IF(M435="[FÓRMULA MANUAL]","",IFERROR(SUMPRODUCT((DATOS!$A$2:$A$20000=M435)*(DATOS!$G$2:$G$20000=CONFIG_METADATA!$B$4)*(COUNTIF(CONFIG_ASIGNATURAS!$B$7:$B$27,DATOS!$I$2:$I$20000)&gt;0)*(DATOS!$K$2:$K$20000))/SUMPRODUCT((DATOS!$A$2:$A$20000=M435)*(DATOS!$G$2:$G$20000=CONFIG_METADATA!$B$4)*(COUNTIF(CONFIG_ASIGNATURAS!$B$7:$B$27,DATOS!$I$2:$I$20000)&gt;0)*1),"")))</f>
        <v/>
      </c>
      <c r="T435" t="str">
        <f>IF(S435="","",IF(S435="[FÓRMULA MANUAL]","",IFERROR(AVERAGEIFS(DATOS!$K$2:$K$20000,DATOS!$A$2:$A$20000,S435,DATOS!$G$2:$G$20000,CONFIG_METADATA!$B$4,DATOS!$I$2:$I$20000,"Armonía"),"")))</f>
        <v/>
      </c>
      <c r="U435" t="str">
        <f>IF(S435="","",IF(S435="[FÓRMULA MANUAL]","",IFERROR(AVERAGEIFS(DATOS!$K$2:$K$20000,DATOS!$A$2:$A$20000,S435,DATOS!$G$2:$G$20000,CONFIG_METADATA!$B$4,DATOS!$I$2:$I$20000,"Orquesta/Banda/Conjunto"),"")))</f>
        <v/>
      </c>
      <c r="V435" t="str">
        <f>IF(S435="","",IF(S435="[FÓRMULA MANUAL]","",IFERROR(AVERAGEIFS(DATOS!$K$2:$K$20000,DATOS!$A$2:$A$20000,S435,DATOS!$G$2:$G$20000,CONFIG_METADATA!$B$4,DATOS!$I$2:$I$20000,"Música de Cámara"),"")))</f>
        <v/>
      </c>
      <c r="W435" t="str">
        <f>IF(S435="","",IF(S435="[FÓRMULA MANUAL]","",IFERROR(SUMPRODUCT((DATOS!$A$2:$A$20000=S435)*(DATOS!$G$2:$G$20000=CONFIG_METADATA!$B$4)*(COUNTIF(CONFIG_ASIGNATURAS!$B$7:$B$27,DATOS!$I$2:$I$20000)&gt;0)*(DATOS!$K$2:$K$20000))/SUMPRODUCT((DATOS!$A$2:$A$20000=S435)*(DATOS!$G$2:$G$20000=CONFIG_METADATA!$B$4)*(COUNTIF(CONFIG_ASIGNATURAS!$B$7:$B$27,DATOS!$I$2:$I$20000)&gt;0)*1),"")))</f>
        <v/>
      </c>
      <c r="Z435" t="str">
        <f>IF(Y435="","",IF(Y435="[FÓRMULA MANUAL]","",IFERROR(AVERAGEIFS(DATOS!$K$2:$K$20000,DATOS!$A$2:$A$20000,Y435,DATOS!$G$2:$G$20000,CONFIG_METADATA!$B$4,DATOS!$I$2:$I$20000,"Análisis"),"")))</f>
        <v/>
      </c>
      <c r="AA435" t="str">
        <f>IF(Y435="","",IF(Y435="[FÓRMULA MANUAL]","",IFERROR(AVERAGEIFS(DATOS!$K$2:$K$20000,DATOS!$A$2:$A$20000,Y435,DATOS!$G$2:$G$20000,CONFIG_METADATA!$B$4,DATOS!$I$2:$I$20000,"Orquesta/Banda/Conjunto"),"")))</f>
        <v/>
      </c>
      <c r="AB435" t="str">
        <f>IF(Y435="","",IF(Y435="[FÓRMULA MANUAL]","",IFERROR(AVERAGEIFS(DATOS!$K$2:$K$20000,DATOS!$A$2:$A$20000,Y435,DATOS!$G$2:$G$20000,CONFIG_METADATA!$B$4,DATOS!$I$2:$I$20000,"Música de Cámara"),"")))</f>
        <v/>
      </c>
      <c r="AC435" t="str">
        <f>IF(Y435="","",IF(Y435="[FÓRMULA MANUAL]","",IFERROR(SUMPRODUCT((DATOS!$A$2:$A$20000=Y435)*(DATOS!$G$2:$G$20000=CONFIG_METADATA!$B$4)*(COUNTIF(CONFIG_ASIGNATURAS!$B$7:$B$27,DATOS!$I$2:$I$20000)&gt;0)*(DATOS!$K$2:$K$20000))/SUMPRODUCT((DATOS!$A$2:$A$20000=Y435)*(DATOS!$G$2:$G$20000=CONFIG_METADATA!$B$4)*(COUNTIF(CONFIG_ASIGNATURAS!$B$7:$B$27,DATOS!$I$2:$I$20000)&gt;0)*1),"")))</f>
        <v/>
      </c>
      <c r="AF435" t="str">
        <f>IF(AE435="","",IF(AE435="[FÓRMULA MANUAL]","",IFERROR(AVERAGEIFS(DATOS!$K$2:$K$20000,DATOS!$A$2:$A$20000,AE435,DATOS!$G$2:$G$20000,CONFIG_METADATA!$B$4,DATOS!$I$2:$I$20000,"Análisis"),"")))</f>
        <v/>
      </c>
      <c r="AG435" t="str">
        <f>IF(AE435="","",IF(AE435="[FÓRMULA MANUAL]","",IFERROR(AVERAGEIFS(DATOS!$K$2:$K$20000,DATOS!$A$2:$A$20000,AE435,DATOS!$G$2:$G$20000,CONFIG_METADATA!$B$4,DATOS!$I$2:$I$20000,"Orquesta/Banda/Conjunto"),"")))</f>
        <v/>
      </c>
      <c r="AH435" t="str">
        <f>IF(AE435="","",IF(AE435="[FÓRMULA MANUAL]","",IFERROR(AVERAGEIFS(DATOS!$K$2:$K$20000,DATOS!$A$2:$A$20000,AE435,DATOS!$G$2:$G$20000,CONFIG_METADATA!$B$4,DATOS!$I$2:$I$20000,"Música de Cámara"),"")))</f>
        <v/>
      </c>
      <c r="AI435" t="str">
        <f>IF(AE435="","",IF(AE435="[FÓRMULA MANUAL]","",IFERROR(SUMPRODUCT((DATOS!$A$2:$A$20000=AE435)*(DATOS!$G$2:$G$20000=CONFIG_METADATA!$B$4)*(COUNTIF(CONFIG_ASIGNATURAS!$B$7:$B$27,DATOS!$I$2:$I$20000)&gt;0)*(DATOS!$K$2:$K$20000))/SUMPRODUCT((DATOS!$A$2:$A$20000=AE435)*(DATOS!$G$2:$G$20000=CONFIG_METADATA!$B$4)*(COUNTIF(CONFIG_ASIGNATURAS!$B$7:$B$27,DATOS!$I$2:$I$20000)&gt;0)*1),"")))</f>
        <v/>
      </c>
    </row>
    <row r="436" spans="2:35" x14ac:dyDescent="0.2">
      <c r="B436" t="str">
        <f>IF(A436="","",IF(A436="[FÓRMULA MANUAL]","",IFERROR(AVERAGEIFS(DATOS!$K$2:$K$20000,DATOS!$A$2:$A$20000,A436,DATOS!$G$2:$G$20000,CONFIG_METADATA!$B$4,DATOS!$I$2:$I$20000,"Lenguaje Musical"),"")))</f>
        <v/>
      </c>
      <c r="C436" t="str">
        <f>IF(A436="","",IF(A436="[FÓRMULA MANUAL]","",IFERROR(AVERAGEIFS(DATOS!$K$2:$K$20000,DATOS!$A$2:$A$20000,A436,DATOS!$G$2:$G$20000,CONFIG_METADATA!$B$4,DATOS!$I$2:$I$20000,"Orquesta/Banda/Conjunto"),"")))</f>
        <v/>
      </c>
      <c r="D436" t="str">
        <f>IF(A436="","",IF(A436="[FÓRMULA MANUAL]","",IFERROR(AVERAGEIFS(DATOS!$K$2:$K$20000,DATOS!$A$2:$A$20000,A436,DATOS!$G$2:$G$20000,CONFIG_METADATA!$B$4,DATOS!$I$2:$I$20000,"Conjunto"),"")))</f>
        <v/>
      </c>
      <c r="E436" t="str">
        <f>IF(A436="","",IF(A436="[FÓRMULA MANUAL]","",IFERROR(SUMPRODUCT((DATOS!$A$2:$A$20000=A436)*(DATOS!$G$2:$G$20000=CONFIG_METADATA!$B$4)*(COUNTIF(CONFIG_ASIGNATURAS!$B$7:$B$27,DATOS!$I$2:$I$20000)&gt;0)*(DATOS!$K$2:$K$20000))/SUMPRODUCT((DATOS!$A$2:$A$20000=A436)*(DATOS!$G$2:$G$20000=CONFIG_METADATA!$B$4)*(COUNTIF(CONFIG_ASIGNATURAS!$B$7:$B$27,DATOS!$I$2:$I$20000)&gt;0)*1),"")))</f>
        <v/>
      </c>
      <c r="H436" t="str">
        <f>IF(G436="","",IF(G436="[FÓRMULA MANUAL]","",IFERROR(AVERAGEIFS(DATOS!$K$2:$K$20000,DATOS!$A$2:$A$20000,G436,DATOS!$G$2:$G$20000,CONFIG_METADATA!$B$4,DATOS!$I$2:$I$20000,"Lenguaje Musical"),"")))</f>
        <v/>
      </c>
      <c r="I436" t="str">
        <f>IF(G436="","",IF(G436="[FÓRMULA MANUAL]","",IFERROR(AVERAGEIFS(DATOS!$K$2:$K$20000,DATOS!$A$2:$A$20000,G436,DATOS!$G$2:$G$20000,CONFIG_METADATA!$B$4,DATOS!$I$2:$I$20000,"Orquesta/Banda/Conjunto"),"")))</f>
        <v/>
      </c>
      <c r="J436" t="str">
        <f>IF(G436="","",IF(G436="[FÓRMULA MANUAL]","",IFERROR(AVERAGEIFS(DATOS!$K$2:$K$20000,DATOS!$A$2:$A$20000,G436,DATOS!$G$2:$G$20000,CONFIG_METADATA!$B$4,DATOS!$I$2:$I$20000,"Conjunto"),"")))</f>
        <v/>
      </c>
      <c r="K436" t="str">
        <f>IF(G436="","",IF(G436="[FÓRMULA MANUAL]","",IFERROR(SUMPRODUCT((DATOS!$A$2:$A$20000=G436)*(DATOS!$G$2:$G$20000=CONFIG_METADATA!$B$4)*(COUNTIF(CONFIG_ASIGNATURAS!$B$7:$B$27,DATOS!$I$2:$I$20000)&gt;0)*(DATOS!$K$2:$K$20000))/SUMPRODUCT((DATOS!$A$2:$A$20000=G436)*(DATOS!$G$2:$G$20000=CONFIG_METADATA!$B$4)*(COUNTIF(CONFIG_ASIGNATURAS!$B$7:$B$27,DATOS!$I$2:$I$20000)&gt;0)*1),"")))</f>
        <v/>
      </c>
      <c r="N436" t="str">
        <f>IF(M436="","",IF(M436="[FÓRMULA MANUAL]","",IFERROR(AVERAGEIFS(DATOS!$K$2:$K$20000,DATOS!$A$2:$A$20000,M436,DATOS!$G$2:$G$20000,CONFIG_METADATA!$B$4,DATOS!$I$2:$I$20000,"Armonía"),"")))</f>
        <v/>
      </c>
      <c r="O436" t="str">
        <f>IF(M436="","",IF(M436="[FÓRMULA MANUAL]","",IFERROR(AVERAGEIFS(DATOS!$K$2:$K$20000,DATOS!$A$2:$A$20000,M436,DATOS!$G$2:$G$20000,CONFIG_METADATA!$B$4,DATOS!$I$2:$I$20000,"Orquesta/Banda/Conjunto"),"")))</f>
        <v/>
      </c>
      <c r="P436" t="str">
        <f>IF(M436="","",IF(M436="[FÓRMULA MANUAL]","",IFERROR(AVERAGEIFS(DATOS!$K$2:$K$20000,DATOS!$A$2:$A$20000,M436,DATOS!$G$2:$G$20000,CONFIG_METADATA!$B$4,DATOS!$I$2:$I$20000,"Música de Cámara"),"")))</f>
        <v/>
      </c>
      <c r="Q436" t="str">
        <f>IF(M436="","",IF(M436="[FÓRMULA MANUAL]","",IFERROR(SUMPRODUCT((DATOS!$A$2:$A$20000=M436)*(DATOS!$G$2:$G$20000=CONFIG_METADATA!$B$4)*(COUNTIF(CONFIG_ASIGNATURAS!$B$7:$B$27,DATOS!$I$2:$I$20000)&gt;0)*(DATOS!$K$2:$K$20000))/SUMPRODUCT((DATOS!$A$2:$A$20000=M436)*(DATOS!$G$2:$G$20000=CONFIG_METADATA!$B$4)*(COUNTIF(CONFIG_ASIGNATURAS!$B$7:$B$27,DATOS!$I$2:$I$20000)&gt;0)*1),"")))</f>
        <v/>
      </c>
      <c r="T436" t="str">
        <f>IF(S436="","",IF(S436="[FÓRMULA MANUAL]","",IFERROR(AVERAGEIFS(DATOS!$K$2:$K$20000,DATOS!$A$2:$A$20000,S436,DATOS!$G$2:$G$20000,CONFIG_METADATA!$B$4,DATOS!$I$2:$I$20000,"Armonía"),"")))</f>
        <v/>
      </c>
      <c r="U436" t="str">
        <f>IF(S436="","",IF(S436="[FÓRMULA MANUAL]","",IFERROR(AVERAGEIFS(DATOS!$K$2:$K$20000,DATOS!$A$2:$A$20000,S436,DATOS!$G$2:$G$20000,CONFIG_METADATA!$B$4,DATOS!$I$2:$I$20000,"Orquesta/Banda/Conjunto"),"")))</f>
        <v/>
      </c>
      <c r="V436" t="str">
        <f>IF(S436="","",IF(S436="[FÓRMULA MANUAL]","",IFERROR(AVERAGEIFS(DATOS!$K$2:$K$20000,DATOS!$A$2:$A$20000,S436,DATOS!$G$2:$G$20000,CONFIG_METADATA!$B$4,DATOS!$I$2:$I$20000,"Música de Cámara"),"")))</f>
        <v/>
      </c>
      <c r="W436" t="str">
        <f>IF(S436="","",IF(S436="[FÓRMULA MANUAL]","",IFERROR(SUMPRODUCT((DATOS!$A$2:$A$20000=S436)*(DATOS!$G$2:$G$20000=CONFIG_METADATA!$B$4)*(COUNTIF(CONFIG_ASIGNATURAS!$B$7:$B$27,DATOS!$I$2:$I$20000)&gt;0)*(DATOS!$K$2:$K$20000))/SUMPRODUCT((DATOS!$A$2:$A$20000=S436)*(DATOS!$G$2:$G$20000=CONFIG_METADATA!$B$4)*(COUNTIF(CONFIG_ASIGNATURAS!$B$7:$B$27,DATOS!$I$2:$I$20000)&gt;0)*1),"")))</f>
        <v/>
      </c>
      <c r="Z436" t="str">
        <f>IF(Y436="","",IF(Y436="[FÓRMULA MANUAL]","",IFERROR(AVERAGEIFS(DATOS!$K$2:$K$20000,DATOS!$A$2:$A$20000,Y436,DATOS!$G$2:$G$20000,CONFIG_METADATA!$B$4,DATOS!$I$2:$I$20000,"Análisis"),"")))</f>
        <v/>
      </c>
      <c r="AA436" t="str">
        <f>IF(Y436="","",IF(Y436="[FÓRMULA MANUAL]","",IFERROR(AVERAGEIFS(DATOS!$K$2:$K$20000,DATOS!$A$2:$A$20000,Y436,DATOS!$G$2:$G$20000,CONFIG_METADATA!$B$4,DATOS!$I$2:$I$20000,"Orquesta/Banda/Conjunto"),"")))</f>
        <v/>
      </c>
      <c r="AB436" t="str">
        <f>IF(Y436="","",IF(Y436="[FÓRMULA MANUAL]","",IFERROR(AVERAGEIFS(DATOS!$K$2:$K$20000,DATOS!$A$2:$A$20000,Y436,DATOS!$G$2:$G$20000,CONFIG_METADATA!$B$4,DATOS!$I$2:$I$20000,"Música de Cámara"),"")))</f>
        <v/>
      </c>
      <c r="AC436" t="str">
        <f>IF(Y436="","",IF(Y436="[FÓRMULA MANUAL]","",IFERROR(SUMPRODUCT((DATOS!$A$2:$A$20000=Y436)*(DATOS!$G$2:$G$20000=CONFIG_METADATA!$B$4)*(COUNTIF(CONFIG_ASIGNATURAS!$B$7:$B$27,DATOS!$I$2:$I$20000)&gt;0)*(DATOS!$K$2:$K$20000))/SUMPRODUCT((DATOS!$A$2:$A$20000=Y436)*(DATOS!$G$2:$G$20000=CONFIG_METADATA!$B$4)*(COUNTIF(CONFIG_ASIGNATURAS!$B$7:$B$27,DATOS!$I$2:$I$20000)&gt;0)*1),"")))</f>
        <v/>
      </c>
      <c r="AF436" t="str">
        <f>IF(AE436="","",IF(AE436="[FÓRMULA MANUAL]","",IFERROR(AVERAGEIFS(DATOS!$K$2:$K$20000,DATOS!$A$2:$A$20000,AE436,DATOS!$G$2:$G$20000,CONFIG_METADATA!$B$4,DATOS!$I$2:$I$20000,"Análisis"),"")))</f>
        <v/>
      </c>
      <c r="AG436" t="str">
        <f>IF(AE436="","",IF(AE436="[FÓRMULA MANUAL]","",IFERROR(AVERAGEIFS(DATOS!$K$2:$K$20000,DATOS!$A$2:$A$20000,AE436,DATOS!$G$2:$G$20000,CONFIG_METADATA!$B$4,DATOS!$I$2:$I$20000,"Orquesta/Banda/Conjunto"),"")))</f>
        <v/>
      </c>
      <c r="AH436" t="str">
        <f>IF(AE436="","",IF(AE436="[FÓRMULA MANUAL]","",IFERROR(AVERAGEIFS(DATOS!$K$2:$K$20000,DATOS!$A$2:$A$20000,AE436,DATOS!$G$2:$G$20000,CONFIG_METADATA!$B$4,DATOS!$I$2:$I$20000,"Música de Cámara"),"")))</f>
        <v/>
      </c>
      <c r="AI436" t="str">
        <f>IF(AE436="","",IF(AE436="[FÓRMULA MANUAL]","",IFERROR(SUMPRODUCT((DATOS!$A$2:$A$20000=AE436)*(DATOS!$G$2:$G$20000=CONFIG_METADATA!$B$4)*(COUNTIF(CONFIG_ASIGNATURAS!$B$7:$B$27,DATOS!$I$2:$I$20000)&gt;0)*(DATOS!$K$2:$K$20000))/SUMPRODUCT((DATOS!$A$2:$A$20000=AE436)*(DATOS!$G$2:$G$20000=CONFIG_METADATA!$B$4)*(COUNTIF(CONFIG_ASIGNATURAS!$B$7:$B$27,DATOS!$I$2:$I$20000)&gt;0)*1),"")))</f>
        <v/>
      </c>
    </row>
    <row r="437" spans="2:35" x14ac:dyDescent="0.2">
      <c r="B437" t="str">
        <f>IF(A437="","",IF(A437="[FÓRMULA MANUAL]","",IFERROR(AVERAGEIFS(DATOS!$K$2:$K$20000,DATOS!$A$2:$A$20000,A437,DATOS!$G$2:$G$20000,CONFIG_METADATA!$B$4,DATOS!$I$2:$I$20000,"Lenguaje Musical"),"")))</f>
        <v/>
      </c>
      <c r="C437" t="str">
        <f>IF(A437="","",IF(A437="[FÓRMULA MANUAL]","",IFERROR(AVERAGEIFS(DATOS!$K$2:$K$20000,DATOS!$A$2:$A$20000,A437,DATOS!$G$2:$G$20000,CONFIG_METADATA!$B$4,DATOS!$I$2:$I$20000,"Orquesta/Banda/Conjunto"),"")))</f>
        <v/>
      </c>
      <c r="D437" t="str">
        <f>IF(A437="","",IF(A437="[FÓRMULA MANUAL]","",IFERROR(AVERAGEIFS(DATOS!$K$2:$K$20000,DATOS!$A$2:$A$20000,A437,DATOS!$G$2:$G$20000,CONFIG_METADATA!$B$4,DATOS!$I$2:$I$20000,"Conjunto"),"")))</f>
        <v/>
      </c>
      <c r="E437" t="str">
        <f>IF(A437="","",IF(A437="[FÓRMULA MANUAL]","",IFERROR(SUMPRODUCT((DATOS!$A$2:$A$20000=A437)*(DATOS!$G$2:$G$20000=CONFIG_METADATA!$B$4)*(COUNTIF(CONFIG_ASIGNATURAS!$B$7:$B$27,DATOS!$I$2:$I$20000)&gt;0)*(DATOS!$K$2:$K$20000))/SUMPRODUCT((DATOS!$A$2:$A$20000=A437)*(DATOS!$G$2:$G$20000=CONFIG_METADATA!$B$4)*(COUNTIF(CONFIG_ASIGNATURAS!$B$7:$B$27,DATOS!$I$2:$I$20000)&gt;0)*1),"")))</f>
        <v/>
      </c>
      <c r="H437" t="str">
        <f>IF(G437="","",IF(G437="[FÓRMULA MANUAL]","",IFERROR(AVERAGEIFS(DATOS!$K$2:$K$20000,DATOS!$A$2:$A$20000,G437,DATOS!$G$2:$G$20000,CONFIG_METADATA!$B$4,DATOS!$I$2:$I$20000,"Lenguaje Musical"),"")))</f>
        <v/>
      </c>
      <c r="I437" t="str">
        <f>IF(G437="","",IF(G437="[FÓRMULA MANUAL]","",IFERROR(AVERAGEIFS(DATOS!$K$2:$K$20000,DATOS!$A$2:$A$20000,G437,DATOS!$G$2:$G$20000,CONFIG_METADATA!$B$4,DATOS!$I$2:$I$20000,"Orquesta/Banda/Conjunto"),"")))</f>
        <v/>
      </c>
      <c r="J437" t="str">
        <f>IF(G437="","",IF(G437="[FÓRMULA MANUAL]","",IFERROR(AVERAGEIFS(DATOS!$K$2:$K$20000,DATOS!$A$2:$A$20000,G437,DATOS!$G$2:$G$20000,CONFIG_METADATA!$B$4,DATOS!$I$2:$I$20000,"Conjunto"),"")))</f>
        <v/>
      </c>
      <c r="K437" t="str">
        <f>IF(G437="","",IF(G437="[FÓRMULA MANUAL]","",IFERROR(SUMPRODUCT((DATOS!$A$2:$A$20000=G437)*(DATOS!$G$2:$G$20000=CONFIG_METADATA!$B$4)*(COUNTIF(CONFIG_ASIGNATURAS!$B$7:$B$27,DATOS!$I$2:$I$20000)&gt;0)*(DATOS!$K$2:$K$20000))/SUMPRODUCT((DATOS!$A$2:$A$20000=G437)*(DATOS!$G$2:$G$20000=CONFIG_METADATA!$B$4)*(COUNTIF(CONFIG_ASIGNATURAS!$B$7:$B$27,DATOS!$I$2:$I$20000)&gt;0)*1),"")))</f>
        <v/>
      </c>
      <c r="N437" t="str">
        <f>IF(M437="","",IF(M437="[FÓRMULA MANUAL]","",IFERROR(AVERAGEIFS(DATOS!$K$2:$K$20000,DATOS!$A$2:$A$20000,M437,DATOS!$G$2:$G$20000,CONFIG_METADATA!$B$4,DATOS!$I$2:$I$20000,"Armonía"),"")))</f>
        <v/>
      </c>
      <c r="O437" t="str">
        <f>IF(M437="","",IF(M437="[FÓRMULA MANUAL]","",IFERROR(AVERAGEIFS(DATOS!$K$2:$K$20000,DATOS!$A$2:$A$20000,M437,DATOS!$G$2:$G$20000,CONFIG_METADATA!$B$4,DATOS!$I$2:$I$20000,"Orquesta/Banda/Conjunto"),"")))</f>
        <v/>
      </c>
      <c r="P437" t="str">
        <f>IF(M437="","",IF(M437="[FÓRMULA MANUAL]","",IFERROR(AVERAGEIFS(DATOS!$K$2:$K$20000,DATOS!$A$2:$A$20000,M437,DATOS!$G$2:$G$20000,CONFIG_METADATA!$B$4,DATOS!$I$2:$I$20000,"Música de Cámara"),"")))</f>
        <v/>
      </c>
      <c r="Q437" t="str">
        <f>IF(M437="","",IF(M437="[FÓRMULA MANUAL]","",IFERROR(SUMPRODUCT((DATOS!$A$2:$A$20000=M437)*(DATOS!$G$2:$G$20000=CONFIG_METADATA!$B$4)*(COUNTIF(CONFIG_ASIGNATURAS!$B$7:$B$27,DATOS!$I$2:$I$20000)&gt;0)*(DATOS!$K$2:$K$20000))/SUMPRODUCT((DATOS!$A$2:$A$20000=M437)*(DATOS!$G$2:$G$20000=CONFIG_METADATA!$B$4)*(COUNTIF(CONFIG_ASIGNATURAS!$B$7:$B$27,DATOS!$I$2:$I$20000)&gt;0)*1),"")))</f>
        <v/>
      </c>
      <c r="T437" t="str">
        <f>IF(S437="","",IF(S437="[FÓRMULA MANUAL]","",IFERROR(AVERAGEIFS(DATOS!$K$2:$K$20000,DATOS!$A$2:$A$20000,S437,DATOS!$G$2:$G$20000,CONFIG_METADATA!$B$4,DATOS!$I$2:$I$20000,"Armonía"),"")))</f>
        <v/>
      </c>
      <c r="U437" t="str">
        <f>IF(S437="","",IF(S437="[FÓRMULA MANUAL]","",IFERROR(AVERAGEIFS(DATOS!$K$2:$K$20000,DATOS!$A$2:$A$20000,S437,DATOS!$G$2:$G$20000,CONFIG_METADATA!$B$4,DATOS!$I$2:$I$20000,"Orquesta/Banda/Conjunto"),"")))</f>
        <v/>
      </c>
      <c r="V437" t="str">
        <f>IF(S437="","",IF(S437="[FÓRMULA MANUAL]","",IFERROR(AVERAGEIFS(DATOS!$K$2:$K$20000,DATOS!$A$2:$A$20000,S437,DATOS!$G$2:$G$20000,CONFIG_METADATA!$B$4,DATOS!$I$2:$I$20000,"Música de Cámara"),"")))</f>
        <v/>
      </c>
      <c r="W437" t="str">
        <f>IF(S437="","",IF(S437="[FÓRMULA MANUAL]","",IFERROR(SUMPRODUCT((DATOS!$A$2:$A$20000=S437)*(DATOS!$G$2:$G$20000=CONFIG_METADATA!$B$4)*(COUNTIF(CONFIG_ASIGNATURAS!$B$7:$B$27,DATOS!$I$2:$I$20000)&gt;0)*(DATOS!$K$2:$K$20000))/SUMPRODUCT((DATOS!$A$2:$A$20000=S437)*(DATOS!$G$2:$G$20000=CONFIG_METADATA!$B$4)*(COUNTIF(CONFIG_ASIGNATURAS!$B$7:$B$27,DATOS!$I$2:$I$20000)&gt;0)*1),"")))</f>
        <v/>
      </c>
      <c r="Z437" t="str">
        <f>IF(Y437="","",IF(Y437="[FÓRMULA MANUAL]","",IFERROR(AVERAGEIFS(DATOS!$K$2:$K$20000,DATOS!$A$2:$A$20000,Y437,DATOS!$G$2:$G$20000,CONFIG_METADATA!$B$4,DATOS!$I$2:$I$20000,"Análisis"),"")))</f>
        <v/>
      </c>
      <c r="AA437" t="str">
        <f>IF(Y437="","",IF(Y437="[FÓRMULA MANUAL]","",IFERROR(AVERAGEIFS(DATOS!$K$2:$K$20000,DATOS!$A$2:$A$20000,Y437,DATOS!$G$2:$G$20000,CONFIG_METADATA!$B$4,DATOS!$I$2:$I$20000,"Orquesta/Banda/Conjunto"),"")))</f>
        <v/>
      </c>
      <c r="AB437" t="str">
        <f>IF(Y437="","",IF(Y437="[FÓRMULA MANUAL]","",IFERROR(AVERAGEIFS(DATOS!$K$2:$K$20000,DATOS!$A$2:$A$20000,Y437,DATOS!$G$2:$G$20000,CONFIG_METADATA!$B$4,DATOS!$I$2:$I$20000,"Música de Cámara"),"")))</f>
        <v/>
      </c>
      <c r="AC437" t="str">
        <f>IF(Y437="","",IF(Y437="[FÓRMULA MANUAL]","",IFERROR(SUMPRODUCT((DATOS!$A$2:$A$20000=Y437)*(DATOS!$G$2:$G$20000=CONFIG_METADATA!$B$4)*(COUNTIF(CONFIG_ASIGNATURAS!$B$7:$B$27,DATOS!$I$2:$I$20000)&gt;0)*(DATOS!$K$2:$K$20000))/SUMPRODUCT((DATOS!$A$2:$A$20000=Y437)*(DATOS!$G$2:$G$20000=CONFIG_METADATA!$B$4)*(COUNTIF(CONFIG_ASIGNATURAS!$B$7:$B$27,DATOS!$I$2:$I$20000)&gt;0)*1),"")))</f>
        <v/>
      </c>
      <c r="AF437" t="str">
        <f>IF(AE437="","",IF(AE437="[FÓRMULA MANUAL]","",IFERROR(AVERAGEIFS(DATOS!$K$2:$K$20000,DATOS!$A$2:$A$20000,AE437,DATOS!$G$2:$G$20000,CONFIG_METADATA!$B$4,DATOS!$I$2:$I$20000,"Análisis"),"")))</f>
        <v/>
      </c>
      <c r="AG437" t="str">
        <f>IF(AE437="","",IF(AE437="[FÓRMULA MANUAL]","",IFERROR(AVERAGEIFS(DATOS!$K$2:$K$20000,DATOS!$A$2:$A$20000,AE437,DATOS!$G$2:$G$20000,CONFIG_METADATA!$B$4,DATOS!$I$2:$I$20000,"Orquesta/Banda/Conjunto"),"")))</f>
        <v/>
      </c>
      <c r="AH437" t="str">
        <f>IF(AE437="","",IF(AE437="[FÓRMULA MANUAL]","",IFERROR(AVERAGEIFS(DATOS!$K$2:$K$20000,DATOS!$A$2:$A$20000,AE437,DATOS!$G$2:$G$20000,CONFIG_METADATA!$B$4,DATOS!$I$2:$I$20000,"Música de Cámara"),"")))</f>
        <v/>
      </c>
      <c r="AI437" t="str">
        <f>IF(AE437="","",IF(AE437="[FÓRMULA MANUAL]","",IFERROR(SUMPRODUCT((DATOS!$A$2:$A$20000=AE437)*(DATOS!$G$2:$G$20000=CONFIG_METADATA!$B$4)*(COUNTIF(CONFIG_ASIGNATURAS!$B$7:$B$27,DATOS!$I$2:$I$20000)&gt;0)*(DATOS!$K$2:$K$20000))/SUMPRODUCT((DATOS!$A$2:$A$20000=AE437)*(DATOS!$G$2:$G$20000=CONFIG_METADATA!$B$4)*(COUNTIF(CONFIG_ASIGNATURAS!$B$7:$B$27,DATOS!$I$2:$I$20000)&gt;0)*1),"")))</f>
        <v/>
      </c>
    </row>
    <row r="438" spans="2:35" x14ac:dyDescent="0.2">
      <c r="B438" t="str">
        <f>IF(A438="","",IF(A438="[FÓRMULA MANUAL]","",IFERROR(AVERAGEIFS(DATOS!$K$2:$K$20000,DATOS!$A$2:$A$20000,A438,DATOS!$G$2:$G$20000,CONFIG_METADATA!$B$4,DATOS!$I$2:$I$20000,"Lenguaje Musical"),"")))</f>
        <v/>
      </c>
      <c r="C438" t="str">
        <f>IF(A438="","",IF(A438="[FÓRMULA MANUAL]","",IFERROR(AVERAGEIFS(DATOS!$K$2:$K$20000,DATOS!$A$2:$A$20000,A438,DATOS!$G$2:$G$20000,CONFIG_METADATA!$B$4,DATOS!$I$2:$I$20000,"Orquesta/Banda/Conjunto"),"")))</f>
        <v/>
      </c>
      <c r="D438" t="str">
        <f>IF(A438="","",IF(A438="[FÓRMULA MANUAL]","",IFERROR(AVERAGEIFS(DATOS!$K$2:$K$20000,DATOS!$A$2:$A$20000,A438,DATOS!$G$2:$G$20000,CONFIG_METADATA!$B$4,DATOS!$I$2:$I$20000,"Conjunto"),"")))</f>
        <v/>
      </c>
      <c r="E438" t="str">
        <f>IF(A438="","",IF(A438="[FÓRMULA MANUAL]","",IFERROR(SUMPRODUCT((DATOS!$A$2:$A$20000=A438)*(DATOS!$G$2:$G$20000=CONFIG_METADATA!$B$4)*(COUNTIF(CONFIG_ASIGNATURAS!$B$7:$B$27,DATOS!$I$2:$I$20000)&gt;0)*(DATOS!$K$2:$K$20000))/SUMPRODUCT((DATOS!$A$2:$A$20000=A438)*(DATOS!$G$2:$G$20000=CONFIG_METADATA!$B$4)*(COUNTIF(CONFIG_ASIGNATURAS!$B$7:$B$27,DATOS!$I$2:$I$20000)&gt;0)*1),"")))</f>
        <v/>
      </c>
      <c r="H438" t="str">
        <f>IF(G438="","",IF(G438="[FÓRMULA MANUAL]","",IFERROR(AVERAGEIFS(DATOS!$K$2:$K$20000,DATOS!$A$2:$A$20000,G438,DATOS!$G$2:$G$20000,CONFIG_METADATA!$B$4,DATOS!$I$2:$I$20000,"Lenguaje Musical"),"")))</f>
        <v/>
      </c>
      <c r="I438" t="str">
        <f>IF(G438="","",IF(G438="[FÓRMULA MANUAL]","",IFERROR(AVERAGEIFS(DATOS!$K$2:$K$20000,DATOS!$A$2:$A$20000,G438,DATOS!$G$2:$G$20000,CONFIG_METADATA!$B$4,DATOS!$I$2:$I$20000,"Orquesta/Banda/Conjunto"),"")))</f>
        <v/>
      </c>
      <c r="J438" t="str">
        <f>IF(G438="","",IF(G438="[FÓRMULA MANUAL]","",IFERROR(AVERAGEIFS(DATOS!$K$2:$K$20000,DATOS!$A$2:$A$20000,G438,DATOS!$G$2:$G$20000,CONFIG_METADATA!$B$4,DATOS!$I$2:$I$20000,"Conjunto"),"")))</f>
        <v/>
      </c>
      <c r="K438" t="str">
        <f>IF(G438="","",IF(G438="[FÓRMULA MANUAL]","",IFERROR(SUMPRODUCT((DATOS!$A$2:$A$20000=G438)*(DATOS!$G$2:$G$20000=CONFIG_METADATA!$B$4)*(COUNTIF(CONFIG_ASIGNATURAS!$B$7:$B$27,DATOS!$I$2:$I$20000)&gt;0)*(DATOS!$K$2:$K$20000))/SUMPRODUCT((DATOS!$A$2:$A$20000=G438)*(DATOS!$G$2:$G$20000=CONFIG_METADATA!$B$4)*(COUNTIF(CONFIG_ASIGNATURAS!$B$7:$B$27,DATOS!$I$2:$I$20000)&gt;0)*1),"")))</f>
        <v/>
      </c>
      <c r="N438" t="str">
        <f>IF(M438="","",IF(M438="[FÓRMULA MANUAL]","",IFERROR(AVERAGEIFS(DATOS!$K$2:$K$20000,DATOS!$A$2:$A$20000,M438,DATOS!$G$2:$G$20000,CONFIG_METADATA!$B$4,DATOS!$I$2:$I$20000,"Armonía"),"")))</f>
        <v/>
      </c>
      <c r="O438" t="str">
        <f>IF(M438="","",IF(M438="[FÓRMULA MANUAL]","",IFERROR(AVERAGEIFS(DATOS!$K$2:$K$20000,DATOS!$A$2:$A$20000,M438,DATOS!$G$2:$G$20000,CONFIG_METADATA!$B$4,DATOS!$I$2:$I$20000,"Orquesta/Banda/Conjunto"),"")))</f>
        <v/>
      </c>
      <c r="P438" t="str">
        <f>IF(M438="","",IF(M438="[FÓRMULA MANUAL]","",IFERROR(AVERAGEIFS(DATOS!$K$2:$K$20000,DATOS!$A$2:$A$20000,M438,DATOS!$G$2:$G$20000,CONFIG_METADATA!$B$4,DATOS!$I$2:$I$20000,"Música de Cámara"),"")))</f>
        <v/>
      </c>
      <c r="Q438" t="str">
        <f>IF(M438="","",IF(M438="[FÓRMULA MANUAL]","",IFERROR(SUMPRODUCT((DATOS!$A$2:$A$20000=M438)*(DATOS!$G$2:$G$20000=CONFIG_METADATA!$B$4)*(COUNTIF(CONFIG_ASIGNATURAS!$B$7:$B$27,DATOS!$I$2:$I$20000)&gt;0)*(DATOS!$K$2:$K$20000))/SUMPRODUCT((DATOS!$A$2:$A$20000=M438)*(DATOS!$G$2:$G$20000=CONFIG_METADATA!$B$4)*(COUNTIF(CONFIG_ASIGNATURAS!$B$7:$B$27,DATOS!$I$2:$I$20000)&gt;0)*1),"")))</f>
        <v/>
      </c>
      <c r="T438" t="str">
        <f>IF(S438="","",IF(S438="[FÓRMULA MANUAL]","",IFERROR(AVERAGEIFS(DATOS!$K$2:$K$20000,DATOS!$A$2:$A$20000,S438,DATOS!$G$2:$G$20000,CONFIG_METADATA!$B$4,DATOS!$I$2:$I$20000,"Armonía"),"")))</f>
        <v/>
      </c>
      <c r="U438" t="str">
        <f>IF(S438="","",IF(S438="[FÓRMULA MANUAL]","",IFERROR(AVERAGEIFS(DATOS!$K$2:$K$20000,DATOS!$A$2:$A$20000,S438,DATOS!$G$2:$G$20000,CONFIG_METADATA!$B$4,DATOS!$I$2:$I$20000,"Orquesta/Banda/Conjunto"),"")))</f>
        <v/>
      </c>
      <c r="V438" t="str">
        <f>IF(S438="","",IF(S438="[FÓRMULA MANUAL]","",IFERROR(AVERAGEIFS(DATOS!$K$2:$K$20000,DATOS!$A$2:$A$20000,S438,DATOS!$G$2:$G$20000,CONFIG_METADATA!$B$4,DATOS!$I$2:$I$20000,"Música de Cámara"),"")))</f>
        <v/>
      </c>
      <c r="W438" t="str">
        <f>IF(S438="","",IF(S438="[FÓRMULA MANUAL]","",IFERROR(SUMPRODUCT((DATOS!$A$2:$A$20000=S438)*(DATOS!$G$2:$G$20000=CONFIG_METADATA!$B$4)*(COUNTIF(CONFIG_ASIGNATURAS!$B$7:$B$27,DATOS!$I$2:$I$20000)&gt;0)*(DATOS!$K$2:$K$20000))/SUMPRODUCT((DATOS!$A$2:$A$20000=S438)*(DATOS!$G$2:$G$20000=CONFIG_METADATA!$B$4)*(COUNTIF(CONFIG_ASIGNATURAS!$B$7:$B$27,DATOS!$I$2:$I$20000)&gt;0)*1),"")))</f>
        <v/>
      </c>
      <c r="Z438" t="str">
        <f>IF(Y438="","",IF(Y438="[FÓRMULA MANUAL]","",IFERROR(AVERAGEIFS(DATOS!$K$2:$K$20000,DATOS!$A$2:$A$20000,Y438,DATOS!$G$2:$G$20000,CONFIG_METADATA!$B$4,DATOS!$I$2:$I$20000,"Análisis"),"")))</f>
        <v/>
      </c>
      <c r="AA438" t="str">
        <f>IF(Y438="","",IF(Y438="[FÓRMULA MANUAL]","",IFERROR(AVERAGEIFS(DATOS!$K$2:$K$20000,DATOS!$A$2:$A$20000,Y438,DATOS!$G$2:$G$20000,CONFIG_METADATA!$B$4,DATOS!$I$2:$I$20000,"Orquesta/Banda/Conjunto"),"")))</f>
        <v/>
      </c>
      <c r="AB438" t="str">
        <f>IF(Y438="","",IF(Y438="[FÓRMULA MANUAL]","",IFERROR(AVERAGEIFS(DATOS!$K$2:$K$20000,DATOS!$A$2:$A$20000,Y438,DATOS!$G$2:$G$20000,CONFIG_METADATA!$B$4,DATOS!$I$2:$I$20000,"Música de Cámara"),"")))</f>
        <v/>
      </c>
      <c r="AC438" t="str">
        <f>IF(Y438="","",IF(Y438="[FÓRMULA MANUAL]","",IFERROR(SUMPRODUCT((DATOS!$A$2:$A$20000=Y438)*(DATOS!$G$2:$G$20000=CONFIG_METADATA!$B$4)*(COUNTIF(CONFIG_ASIGNATURAS!$B$7:$B$27,DATOS!$I$2:$I$20000)&gt;0)*(DATOS!$K$2:$K$20000))/SUMPRODUCT((DATOS!$A$2:$A$20000=Y438)*(DATOS!$G$2:$G$20000=CONFIG_METADATA!$B$4)*(COUNTIF(CONFIG_ASIGNATURAS!$B$7:$B$27,DATOS!$I$2:$I$20000)&gt;0)*1),"")))</f>
        <v/>
      </c>
      <c r="AF438" t="str">
        <f>IF(AE438="","",IF(AE438="[FÓRMULA MANUAL]","",IFERROR(AVERAGEIFS(DATOS!$K$2:$K$20000,DATOS!$A$2:$A$20000,AE438,DATOS!$G$2:$G$20000,CONFIG_METADATA!$B$4,DATOS!$I$2:$I$20000,"Análisis"),"")))</f>
        <v/>
      </c>
      <c r="AG438" t="str">
        <f>IF(AE438="","",IF(AE438="[FÓRMULA MANUAL]","",IFERROR(AVERAGEIFS(DATOS!$K$2:$K$20000,DATOS!$A$2:$A$20000,AE438,DATOS!$G$2:$G$20000,CONFIG_METADATA!$B$4,DATOS!$I$2:$I$20000,"Orquesta/Banda/Conjunto"),"")))</f>
        <v/>
      </c>
      <c r="AH438" t="str">
        <f>IF(AE438="","",IF(AE438="[FÓRMULA MANUAL]","",IFERROR(AVERAGEIFS(DATOS!$K$2:$K$20000,DATOS!$A$2:$A$20000,AE438,DATOS!$G$2:$G$20000,CONFIG_METADATA!$B$4,DATOS!$I$2:$I$20000,"Música de Cámara"),"")))</f>
        <v/>
      </c>
      <c r="AI438" t="str">
        <f>IF(AE438="","",IF(AE438="[FÓRMULA MANUAL]","",IFERROR(SUMPRODUCT((DATOS!$A$2:$A$20000=AE438)*(DATOS!$G$2:$G$20000=CONFIG_METADATA!$B$4)*(COUNTIF(CONFIG_ASIGNATURAS!$B$7:$B$27,DATOS!$I$2:$I$20000)&gt;0)*(DATOS!$K$2:$K$20000))/SUMPRODUCT((DATOS!$A$2:$A$20000=AE438)*(DATOS!$G$2:$G$20000=CONFIG_METADATA!$B$4)*(COUNTIF(CONFIG_ASIGNATURAS!$B$7:$B$27,DATOS!$I$2:$I$20000)&gt;0)*1),"")))</f>
        <v/>
      </c>
    </row>
    <row r="439" spans="2:35" x14ac:dyDescent="0.2">
      <c r="B439" t="str">
        <f>IF(A439="","",IF(A439="[FÓRMULA MANUAL]","",IFERROR(AVERAGEIFS(DATOS!$K$2:$K$20000,DATOS!$A$2:$A$20000,A439,DATOS!$G$2:$G$20000,CONFIG_METADATA!$B$4,DATOS!$I$2:$I$20000,"Lenguaje Musical"),"")))</f>
        <v/>
      </c>
      <c r="C439" t="str">
        <f>IF(A439="","",IF(A439="[FÓRMULA MANUAL]","",IFERROR(AVERAGEIFS(DATOS!$K$2:$K$20000,DATOS!$A$2:$A$20000,A439,DATOS!$G$2:$G$20000,CONFIG_METADATA!$B$4,DATOS!$I$2:$I$20000,"Orquesta/Banda/Conjunto"),"")))</f>
        <v/>
      </c>
      <c r="D439" t="str">
        <f>IF(A439="","",IF(A439="[FÓRMULA MANUAL]","",IFERROR(AVERAGEIFS(DATOS!$K$2:$K$20000,DATOS!$A$2:$A$20000,A439,DATOS!$G$2:$G$20000,CONFIG_METADATA!$B$4,DATOS!$I$2:$I$20000,"Conjunto"),"")))</f>
        <v/>
      </c>
      <c r="E439" t="str">
        <f>IF(A439="","",IF(A439="[FÓRMULA MANUAL]","",IFERROR(SUMPRODUCT((DATOS!$A$2:$A$20000=A439)*(DATOS!$G$2:$G$20000=CONFIG_METADATA!$B$4)*(COUNTIF(CONFIG_ASIGNATURAS!$B$7:$B$27,DATOS!$I$2:$I$20000)&gt;0)*(DATOS!$K$2:$K$20000))/SUMPRODUCT((DATOS!$A$2:$A$20000=A439)*(DATOS!$G$2:$G$20000=CONFIG_METADATA!$B$4)*(COUNTIF(CONFIG_ASIGNATURAS!$B$7:$B$27,DATOS!$I$2:$I$20000)&gt;0)*1),"")))</f>
        <v/>
      </c>
      <c r="H439" t="str">
        <f>IF(G439="","",IF(G439="[FÓRMULA MANUAL]","",IFERROR(AVERAGEIFS(DATOS!$K$2:$K$20000,DATOS!$A$2:$A$20000,G439,DATOS!$G$2:$G$20000,CONFIG_METADATA!$B$4,DATOS!$I$2:$I$20000,"Lenguaje Musical"),"")))</f>
        <v/>
      </c>
      <c r="I439" t="str">
        <f>IF(G439="","",IF(G439="[FÓRMULA MANUAL]","",IFERROR(AVERAGEIFS(DATOS!$K$2:$K$20000,DATOS!$A$2:$A$20000,G439,DATOS!$G$2:$G$20000,CONFIG_METADATA!$B$4,DATOS!$I$2:$I$20000,"Orquesta/Banda/Conjunto"),"")))</f>
        <v/>
      </c>
      <c r="J439" t="str">
        <f>IF(G439="","",IF(G439="[FÓRMULA MANUAL]","",IFERROR(AVERAGEIFS(DATOS!$K$2:$K$20000,DATOS!$A$2:$A$20000,G439,DATOS!$G$2:$G$20000,CONFIG_METADATA!$B$4,DATOS!$I$2:$I$20000,"Conjunto"),"")))</f>
        <v/>
      </c>
      <c r="K439" t="str">
        <f>IF(G439="","",IF(G439="[FÓRMULA MANUAL]","",IFERROR(SUMPRODUCT((DATOS!$A$2:$A$20000=G439)*(DATOS!$G$2:$G$20000=CONFIG_METADATA!$B$4)*(COUNTIF(CONFIG_ASIGNATURAS!$B$7:$B$27,DATOS!$I$2:$I$20000)&gt;0)*(DATOS!$K$2:$K$20000))/SUMPRODUCT((DATOS!$A$2:$A$20000=G439)*(DATOS!$G$2:$G$20000=CONFIG_METADATA!$B$4)*(COUNTIF(CONFIG_ASIGNATURAS!$B$7:$B$27,DATOS!$I$2:$I$20000)&gt;0)*1),"")))</f>
        <v/>
      </c>
      <c r="N439" t="str">
        <f>IF(M439="","",IF(M439="[FÓRMULA MANUAL]","",IFERROR(AVERAGEIFS(DATOS!$K$2:$K$20000,DATOS!$A$2:$A$20000,M439,DATOS!$G$2:$G$20000,CONFIG_METADATA!$B$4,DATOS!$I$2:$I$20000,"Armonía"),"")))</f>
        <v/>
      </c>
      <c r="O439" t="str">
        <f>IF(M439="","",IF(M439="[FÓRMULA MANUAL]","",IFERROR(AVERAGEIFS(DATOS!$K$2:$K$20000,DATOS!$A$2:$A$20000,M439,DATOS!$G$2:$G$20000,CONFIG_METADATA!$B$4,DATOS!$I$2:$I$20000,"Orquesta/Banda/Conjunto"),"")))</f>
        <v/>
      </c>
      <c r="P439" t="str">
        <f>IF(M439="","",IF(M439="[FÓRMULA MANUAL]","",IFERROR(AVERAGEIFS(DATOS!$K$2:$K$20000,DATOS!$A$2:$A$20000,M439,DATOS!$G$2:$G$20000,CONFIG_METADATA!$B$4,DATOS!$I$2:$I$20000,"Música de Cámara"),"")))</f>
        <v/>
      </c>
      <c r="Q439" t="str">
        <f>IF(M439="","",IF(M439="[FÓRMULA MANUAL]","",IFERROR(SUMPRODUCT((DATOS!$A$2:$A$20000=M439)*(DATOS!$G$2:$G$20000=CONFIG_METADATA!$B$4)*(COUNTIF(CONFIG_ASIGNATURAS!$B$7:$B$27,DATOS!$I$2:$I$20000)&gt;0)*(DATOS!$K$2:$K$20000))/SUMPRODUCT((DATOS!$A$2:$A$20000=M439)*(DATOS!$G$2:$G$20000=CONFIG_METADATA!$B$4)*(COUNTIF(CONFIG_ASIGNATURAS!$B$7:$B$27,DATOS!$I$2:$I$20000)&gt;0)*1),"")))</f>
        <v/>
      </c>
      <c r="T439" t="str">
        <f>IF(S439="","",IF(S439="[FÓRMULA MANUAL]","",IFERROR(AVERAGEIFS(DATOS!$K$2:$K$20000,DATOS!$A$2:$A$20000,S439,DATOS!$G$2:$G$20000,CONFIG_METADATA!$B$4,DATOS!$I$2:$I$20000,"Armonía"),"")))</f>
        <v/>
      </c>
      <c r="U439" t="str">
        <f>IF(S439="","",IF(S439="[FÓRMULA MANUAL]","",IFERROR(AVERAGEIFS(DATOS!$K$2:$K$20000,DATOS!$A$2:$A$20000,S439,DATOS!$G$2:$G$20000,CONFIG_METADATA!$B$4,DATOS!$I$2:$I$20000,"Orquesta/Banda/Conjunto"),"")))</f>
        <v/>
      </c>
      <c r="V439" t="str">
        <f>IF(S439="","",IF(S439="[FÓRMULA MANUAL]","",IFERROR(AVERAGEIFS(DATOS!$K$2:$K$20000,DATOS!$A$2:$A$20000,S439,DATOS!$G$2:$G$20000,CONFIG_METADATA!$B$4,DATOS!$I$2:$I$20000,"Música de Cámara"),"")))</f>
        <v/>
      </c>
      <c r="W439" t="str">
        <f>IF(S439="","",IF(S439="[FÓRMULA MANUAL]","",IFERROR(SUMPRODUCT((DATOS!$A$2:$A$20000=S439)*(DATOS!$G$2:$G$20000=CONFIG_METADATA!$B$4)*(COUNTIF(CONFIG_ASIGNATURAS!$B$7:$B$27,DATOS!$I$2:$I$20000)&gt;0)*(DATOS!$K$2:$K$20000))/SUMPRODUCT((DATOS!$A$2:$A$20000=S439)*(DATOS!$G$2:$G$20000=CONFIG_METADATA!$B$4)*(COUNTIF(CONFIG_ASIGNATURAS!$B$7:$B$27,DATOS!$I$2:$I$20000)&gt;0)*1),"")))</f>
        <v/>
      </c>
      <c r="Z439" t="str">
        <f>IF(Y439="","",IF(Y439="[FÓRMULA MANUAL]","",IFERROR(AVERAGEIFS(DATOS!$K$2:$K$20000,DATOS!$A$2:$A$20000,Y439,DATOS!$G$2:$G$20000,CONFIG_METADATA!$B$4,DATOS!$I$2:$I$20000,"Análisis"),"")))</f>
        <v/>
      </c>
      <c r="AA439" t="str">
        <f>IF(Y439="","",IF(Y439="[FÓRMULA MANUAL]","",IFERROR(AVERAGEIFS(DATOS!$K$2:$K$20000,DATOS!$A$2:$A$20000,Y439,DATOS!$G$2:$G$20000,CONFIG_METADATA!$B$4,DATOS!$I$2:$I$20000,"Orquesta/Banda/Conjunto"),"")))</f>
        <v/>
      </c>
      <c r="AB439" t="str">
        <f>IF(Y439="","",IF(Y439="[FÓRMULA MANUAL]","",IFERROR(AVERAGEIFS(DATOS!$K$2:$K$20000,DATOS!$A$2:$A$20000,Y439,DATOS!$G$2:$G$20000,CONFIG_METADATA!$B$4,DATOS!$I$2:$I$20000,"Música de Cámara"),"")))</f>
        <v/>
      </c>
      <c r="AC439" t="str">
        <f>IF(Y439="","",IF(Y439="[FÓRMULA MANUAL]","",IFERROR(SUMPRODUCT((DATOS!$A$2:$A$20000=Y439)*(DATOS!$G$2:$G$20000=CONFIG_METADATA!$B$4)*(COUNTIF(CONFIG_ASIGNATURAS!$B$7:$B$27,DATOS!$I$2:$I$20000)&gt;0)*(DATOS!$K$2:$K$20000))/SUMPRODUCT((DATOS!$A$2:$A$20000=Y439)*(DATOS!$G$2:$G$20000=CONFIG_METADATA!$B$4)*(COUNTIF(CONFIG_ASIGNATURAS!$B$7:$B$27,DATOS!$I$2:$I$20000)&gt;0)*1),"")))</f>
        <v/>
      </c>
      <c r="AF439" t="str">
        <f>IF(AE439="","",IF(AE439="[FÓRMULA MANUAL]","",IFERROR(AVERAGEIFS(DATOS!$K$2:$K$20000,DATOS!$A$2:$A$20000,AE439,DATOS!$G$2:$G$20000,CONFIG_METADATA!$B$4,DATOS!$I$2:$I$20000,"Análisis"),"")))</f>
        <v/>
      </c>
      <c r="AG439" t="str">
        <f>IF(AE439="","",IF(AE439="[FÓRMULA MANUAL]","",IFERROR(AVERAGEIFS(DATOS!$K$2:$K$20000,DATOS!$A$2:$A$20000,AE439,DATOS!$G$2:$G$20000,CONFIG_METADATA!$B$4,DATOS!$I$2:$I$20000,"Orquesta/Banda/Conjunto"),"")))</f>
        <v/>
      </c>
      <c r="AH439" t="str">
        <f>IF(AE439="","",IF(AE439="[FÓRMULA MANUAL]","",IFERROR(AVERAGEIFS(DATOS!$K$2:$K$20000,DATOS!$A$2:$A$20000,AE439,DATOS!$G$2:$G$20000,CONFIG_METADATA!$B$4,DATOS!$I$2:$I$20000,"Música de Cámara"),"")))</f>
        <v/>
      </c>
      <c r="AI439" t="str">
        <f>IF(AE439="","",IF(AE439="[FÓRMULA MANUAL]","",IFERROR(SUMPRODUCT((DATOS!$A$2:$A$20000=AE439)*(DATOS!$G$2:$G$20000=CONFIG_METADATA!$B$4)*(COUNTIF(CONFIG_ASIGNATURAS!$B$7:$B$27,DATOS!$I$2:$I$20000)&gt;0)*(DATOS!$K$2:$K$20000))/SUMPRODUCT((DATOS!$A$2:$A$20000=AE439)*(DATOS!$G$2:$G$20000=CONFIG_METADATA!$B$4)*(COUNTIF(CONFIG_ASIGNATURAS!$B$7:$B$27,DATOS!$I$2:$I$20000)&gt;0)*1),"")))</f>
        <v/>
      </c>
    </row>
    <row r="440" spans="2:35" x14ac:dyDescent="0.2">
      <c r="B440" t="str">
        <f>IF(A440="","",IF(A440="[FÓRMULA MANUAL]","",IFERROR(AVERAGEIFS(DATOS!$K$2:$K$20000,DATOS!$A$2:$A$20000,A440,DATOS!$G$2:$G$20000,CONFIG_METADATA!$B$4,DATOS!$I$2:$I$20000,"Lenguaje Musical"),"")))</f>
        <v/>
      </c>
      <c r="C440" t="str">
        <f>IF(A440="","",IF(A440="[FÓRMULA MANUAL]","",IFERROR(AVERAGEIFS(DATOS!$K$2:$K$20000,DATOS!$A$2:$A$20000,A440,DATOS!$G$2:$G$20000,CONFIG_METADATA!$B$4,DATOS!$I$2:$I$20000,"Orquesta/Banda/Conjunto"),"")))</f>
        <v/>
      </c>
      <c r="D440" t="str">
        <f>IF(A440="","",IF(A440="[FÓRMULA MANUAL]","",IFERROR(AVERAGEIFS(DATOS!$K$2:$K$20000,DATOS!$A$2:$A$20000,A440,DATOS!$G$2:$G$20000,CONFIG_METADATA!$B$4,DATOS!$I$2:$I$20000,"Conjunto"),"")))</f>
        <v/>
      </c>
      <c r="E440" t="str">
        <f>IF(A440="","",IF(A440="[FÓRMULA MANUAL]","",IFERROR(SUMPRODUCT((DATOS!$A$2:$A$20000=A440)*(DATOS!$G$2:$G$20000=CONFIG_METADATA!$B$4)*(COUNTIF(CONFIG_ASIGNATURAS!$B$7:$B$27,DATOS!$I$2:$I$20000)&gt;0)*(DATOS!$K$2:$K$20000))/SUMPRODUCT((DATOS!$A$2:$A$20000=A440)*(DATOS!$G$2:$G$20000=CONFIG_METADATA!$B$4)*(COUNTIF(CONFIG_ASIGNATURAS!$B$7:$B$27,DATOS!$I$2:$I$20000)&gt;0)*1),"")))</f>
        <v/>
      </c>
      <c r="H440" t="str">
        <f>IF(G440="","",IF(G440="[FÓRMULA MANUAL]","",IFERROR(AVERAGEIFS(DATOS!$K$2:$K$20000,DATOS!$A$2:$A$20000,G440,DATOS!$G$2:$G$20000,CONFIG_METADATA!$B$4,DATOS!$I$2:$I$20000,"Lenguaje Musical"),"")))</f>
        <v/>
      </c>
      <c r="I440" t="str">
        <f>IF(G440="","",IF(G440="[FÓRMULA MANUAL]","",IFERROR(AVERAGEIFS(DATOS!$K$2:$K$20000,DATOS!$A$2:$A$20000,G440,DATOS!$G$2:$G$20000,CONFIG_METADATA!$B$4,DATOS!$I$2:$I$20000,"Orquesta/Banda/Conjunto"),"")))</f>
        <v/>
      </c>
      <c r="J440" t="str">
        <f>IF(G440="","",IF(G440="[FÓRMULA MANUAL]","",IFERROR(AVERAGEIFS(DATOS!$K$2:$K$20000,DATOS!$A$2:$A$20000,G440,DATOS!$G$2:$G$20000,CONFIG_METADATA!$B$4,DATOS!$I$2:$I$20000,"Conjunto"),"")))</f>
        <v/>
      </c>
      <c r="K440" t="str">
        <f>IF(G440="","",IF(G440="[FÓRMULA MANUAL]","",IFERROR(SUMPRODUCT((DATOS!$A$2:$A$20000=G440)*(DATOS!$G$2:$G$20000=CONFIG_METADATA!$B$4)*(COUNTIF(CONFIG_ASIGNATURAS!$B$7:$B$27,DATOS!$I$2:$I$20000)&gt;0)*(DATOS!$K$2:$K$20000))/SUMPRODUCT((DATOS!$A$2:$A$20000=G440)*(DATOS!$G$2:$G$20000=CONFIG_METADATA!$B$4)*(COUNTIF(CONFIG_ASIGNATURAS!$B$7:$B$27,DATOS!$I$2:$I$20000)&gt;0)*1),"")))</f>
        <v/>
      </c>
      <c r="N440" t="str">
        <f>IF(M440="","",IF(M440="[FÓRMULA MANUAL]","",IFERROR(AVERAGEIFS(DATOS!$K$2:$K$20000,DATOS!$A$2:$A$20000,M440,DATOS!$G$2:$G$20000,CONFIG_METADATA!$B$4,DATOS!$I$2:$I$20000,"Armonía"),"")))</f>
        <v/>
      </c>
      <c r="O440" t="str">
        <f>IF(M440="","",IF(M440="[FÓRMULA MANUAL]","",IFERROR(AVERAGEIFS(DATOS!$K$2:$K$20000,DATOS!$A$2:$A$20000,M440,DATOS!$G$2:$G$20000,CONFIG_METADATA!$B$4,DATOS!$I$2:$I$20000,"Orquesta/Banda/Conjunto"),"")))</f>
        <v/>
      </c>
      <c r="P440" t="str">
        <f>IF(M440="","",IF(M440="[FÓRMULA MANUAL]","",IFERROR(AVERAGEIFS(DATOS!$K$2:$K$20000,DATOS!$A$2:$A$20000,M440,DATOS!$G$2:$G$20000,CONFIG_METADATA!$B$4,DATOS!$I$2:$I$20000,"Música de Cámara"),"")))</f>
        <v/>
      </c>
      <c r="Q440" t="str">
        <f>IF(M440="","",IF(M440="[FÓRMULA MANUAL]","",IFERROR(SUMPRODUCT((DATOS!$A$2:$A$20000=M440)*(DATOS!$G$2:$G$20000=CONFIG_METADATA!$B$4)*(COUNTIF(CONFIG_ASIGNATURAS!$B$7:$B$27,DATOS!$I$2:$I$20000)&gt;0)*(DATOS!$K$2:$K$20000))/SUMPRODUCT((DATOS!$A$2:$A$20000=M440)*(DATOS!$G$2:$G$20000=CONFIG_METADATA!$B$4)*(COUNTIF(CONFIG_ASIGNATURAS!$B$7:$B$27,DATOS!$I$2:$I$20000)&gt;0)*1),"")))</f>
        <v/>
      </c>
      <c r="T440" t="str">
        <f>IF(S440="","",IF(S440="[FÓRMULA MANUAL]","",IFERROR(AVERAGEIFS(DATOS!$K$2:$K$20000,DATOS!$A$2:$A$20000,S440,DATOS!$G$2:$G$20000,CONFIG_METADATA!$B$4,DATOS!$I$2:$I$20000,"Armonía"),"")))</f>
        <v/>
      </c>
      <c r="U440" t="str">
        <f>IF(S440="","",IF(S440="[FÓRMULA MANUAL]","",IFERROR(AVERAGEIFS(DATOS!$K$2:$K$20000,DATOS!$A$2:$A$20000,S440,DATOS!$G$2:$G$20000,CONFIG_METADATA!$B$4,DATOS!$I$2:$I$20000,"Orquesta/Banda/Conjunto"),"")))</f>
        <v/>
      </c>
      <c r="V440" t="str">
        <f>IF(S440="","",IF(S440="[FÓRMULA MANUAL]","",IFERROR(AVERAGEIFS(DATOS!$K$2:$K$20000,DATOS!$A$2:$A$20000,S440,DATOS!$G$2:$G$20000,CONFIG_METADATA!$B$4,DATOS!$I$2:$I$20000,"Música de Cámara"),"")))</f>
        <v/>
      </c>
      <c r="W440" t="str">
        <f>IF(S440="","",IF(S440="[FÓRMULA MANUAL]","",IFERROR(SUMPRODUCT((DATOS!$A$2:$A$20000=S440)*(DATOS!$G$2:$G$20000=CONFIG_METADATA!$B$4)*(COUNTIF(CONFIG_ASIGNATURAS!$B$7:$B$27,DATOS!$I$2:$I$20000)&gt;0)*(DATOS!$K$2:$K$20000))/SUMPRODUCT((DATOS!$A$2:$A$20000=S440)*(DATOS!$G$2:$G$20000=CONFIG_METADATA!$B$4)*(COUNTIF(CONFIG_ASIGNATURAS!$B$7:$B$27,DATOS!$I$2:$I$20000)&gt;0)*1),"")))</f>
        <v/>
      </c>
      <c r="Z440" t="str">
        <f>IF(Y440="","",IF(Y440="[FÓRMULA MANUAL]","",IFERROR(AVERAGEIFS(DATOS!$K$2:$K$20000,DATOS!$A$2:$A$20000,Y440,DATOS!$G$2:$G$20000,CONFIG_METADATA!$B$4,DATOS!$I$2:$I$20000,"Análisis"),"")))</f>
        <v/>
      </c>
      <c r="AA440" t="str">
        <f>IF(Y440="","",IF(Y440="[FÓRMULA MANUAL]","",IFERROR(AVERAGEIFS(DATOS!$K$2:$K$20000,DATOS!$A$2:$A$20000,Y440,DATOS!$G$2:$G$20000,CONFIG_METADATA!$B$4,DATOS!$I$2:$I$20000,"Orquesta/Banda/Conjunto"),"")))</f>
        <v/>
      </c>
      <c r="AB440" t="str">
        <f>IF(Y440="","",IF(Y440="[FÓRMULA MANUAL]","",IFERROR(AVERAGEIFS(DATOS!$K$2:$K$20000,DATOS!$A$2:$A$20000,Y440,DATOS!$G$2:$G$20000,CONFIG_METADATA!$B$4,DATOS!$I$2:$I$20000,"Música de Cámara"),"")))</f>
        <v/>
      </c>
      <c r="AC440" t="str">
        <f>IF(Y440="","",IF(Y440="[FÓRMULA MANUAL]","",IFERROR(SUMPRODUCT((DATOS!$A$2:$A$20000=Y440)*(DATOS!$G$2:$G$20000=CONFIG_METADATA!$B$4)*(COUNTIF(CONFIG_ASIGNATURAS!$B$7:$B$27,DATOS!$I$2:$I$20000)&gt;0)*(DATOS!$K$2:$K$20000))/SUMPRODUCT((DATOS!$A$2:$A$20000=Y440)*(DATOS!$G$2:$G$20000=CONFIG_METADATA!$B$4)*(COUNTIF(CONFIG_ASIGNATURAS!$B$7:$B$27,DATOS!$I$2:$I$20000)&gt;0)*1),"")))</f>
        <v/>
      </c>
      <c r="AF440" t="str">
        <f>IF(AE440="","",IF(AE440="[FÓRMULA MANUAL]","",IFERROR(AVERAGEIFS(DATOS!$K$2:$K$20000,DATOS!$A$2:$A$20000,AE440,DATOS!$G$2:$G$20000,CONFIG_METADATA!$B$4,DATOS!$I$2:$I$20000,"Análisis"),"")))</f>
        <v/>
      </c>
      <c r="AG440" t="str">
        <f>IF(AE440="","",IF(AE440="[FÓRMULA MANUAL]","",IFERROR(AVERAGEIFS(DATOS!$K$2:$K$20000,DATOS!$A$2:$A$20000,AE440,DATOS!$G$2:$G$20000,CONFIG_METADATA!$B$4,DATOS!$I$2:$I$20000,"Orquesta/Banda/Conjunto"),"")))</f>
        <v/>
      </c>
      <c r="AH440" t="str">
        <f>IF(AE440="","",IF(AE440="[FÓRMULA MANUAL]","",IFERROR(AVERAGEIFS(DATOS!$K$2:$K$20000,DATOS!$A$2:$A$20000,AE440,DATOS!$G$2:$G$20000,CONFIG_METADATA!$B$4,DATOS!$I$2:$I$20000,"Música de Cámara"),"")))</f>
        <v/>
      </c>
      <c r="AI440" t="str">
        <f>IF(AE440="","",IF(AE440="[FÓRMULA MANUAL]","",IFERROR(SUMPRODUCT((DATOS!$A$2:$A$20000=AE440)*(DATOS!$G$2:$G$20000=CONFIG_METADATA!$B$4)*(COUNTIF(CONFIG_ASIGNATURAS!$B$7:$B$27,DATOS!$I$2:$I$20000)&gt;0)*(DATOS!$K$2:$K$20000))/SUMPRODUCT((DATOS!$A$2:$A$20000=AE440)*(DATOS!$G$2:$G$20000=CONFIG_METADATA!$B$4)*(COUNTIF(CONFIG_ASIGNATURAS!$B$7:$B$27,DATOS!$I$2:$I$20000)&gt;0)*1),"")))</f>
        <v/>
      </c>
    </row>
    <row r="441" spans="2:35" x14ac:dyDescent="0.2">
      <c r="B441" t="str">
        <f>IF(A441="","",IF(A441="[FÓRMULA MANUAL]","",IFERROR(AVERAGEIFS(DATOS!$K$2:$K$20000,DATOS!$A$2:$A$20000,A441,DATOS!$G$2:$G$20000,CONFIG_METADATA!$B$4,DATOS!$I$2:$I$20000,"Lenguaje Musical"),"")))</f>
        <v/>
      </c>
      <c r="C441" t="str">
        <f>IF(A441="","",IF(A441="[FÓRMULA MANUAL]","",IFERROR(AVERAGEIFS(DATOS!$K$2:$K$20000,DATOS!$A$2:$A$20000,A441,DATOS!$G$2:$G$20000,CONFIG_METADATA!$B$4,DATOS!$I$2:$I$20000,"Orquesta/Banda/Conjunto"),"")))</f>
        <v/>
      </c>
      <c r="D441" t="str">
        <f>IF(A441="","",IF(A441="[FÓRMULA MANUAL]","",IFERROR(AVERAGEIFS(DATOS!$K$2:$K$20000,DATOS!$A$2:$A$20000,A441,DATOS!$G$2:$G$20000,CONFIG_METADATA!$B$4,DATOS!$I$2:$I$20000,"Conjunto"),"")))</f>
        <v/>
      </c>
      <c r="E441" t="str">
        <f>IF(A441="","",IF(A441="[FÓRMULA MANUAL]","",IFERROR(SUMPRODUCT((DATOS!$A$2:$A$20000=A441)*(DATOS!$G$2:$G$20000=CONFIG_METADATA!$B$4)*(COUNTIF(CONFIG_ASIGNATURAS!$B$7:$B$27,DATOS!$I$2:$I$20000)&gt;0)*(DATOS!$K$2:$K$20000))/SUMPRODUCT((DATOS!$A$2:$A$20000=A441)*(DATOS!$G$2:$G$20000=CONFIG_METADATA!$B$4)*(COUNTIF(CONFIG_ASIGNATURAS!$B$7:$B$27,DATOS!$I$2:$I$20000)&gt;0)*1),"")))</f>
        <v/>
      </c>
      <c r="H441" t="str">
        <f>IF(G441="","",IF(G441="[FÓRMULA MANUAL]","",IFERROR(AVERAGEIFS(DATOS!$K$2:$K$20000,DATOS!$A$2:$A$20000,G441,DATOS!$G$2:$G$20000,CONFIG_METADATA!$B$4,DATOS!$I$2:$I$20000,"Lenguaje Musical"),"")))</f>
        <v/>
      </c>
      <c r="I441" t="str">
        <f>IF(G441="","",IF(G441="[FÓRMULA MANUAL]","",IFERROR(AVERAGEIFS(DATOS!$K$2:$K$20000,DATOS!$A$2:$A$20000,G441,DATOS!$G$2:$G$20000,CONFIG_METADATA!$B$4,DATOS!$I$2:$I$20000,"Orquesta/Banda/Conjunto"),"")))</f>
        <v/>
      </c>
      <c r="J441" t="str">
        <f>IF(G441="","",IF(G441="[FÓRMULA MANUAL]","",IFERROR(AVERAGEIFS(DATOS!$K$2:$K$20000,DATOS!$A$2:$A$20000,G441,DATOS!$G$2:$G$20000,CONFIG_METADATA!$B$4,DATOS!$I$2:$I$20000,"Conjunto"),"")))</f>
        <v/>
      </c>
      <c r="K441" t="str">
        <f>IF(G441="","",IF(G441="[FÓRMULA MANUAL]","",IFERROR(SUMPRODUCT((DATOS!$A$2:$A$20000=G441)*(DATOS!$G$2:$G$20000=CONFIG_METADATA!$B$4)*(COUNTIF(CONFIG_ASIGNATURAS!$B$7:$B$27,DATOS!$I$2:$I$20000)&gt;0)*(DATOS!$K$2:$K$20000))/SUMPRODUCT((DATOS!$A$2:$A$20000=G441)*(DATOS!$G$2:$G$20000=CONFIG_METADATA!$B$4)*(COUNTIF(CONFIG_ASIGNATURAS!$B$7:$B$27,DATOS!$I$2:$I$20000)&gt;0)*1),"")))</f>
        <v/>
      </c>
      <c r="N441" t="str">
        <f>IF(M441="","",IF(M441="[FÓRMULA MANUAL]","",IFERROR(AVERAGEIFS(DATOS!$K$2:$K$20000,DATOS!$A$2:$A$20000,M441,DATOS!$G$2:$G$20000,CONFIG_METADATA!$B$4,DATOS!$I$2:$I$20000,"Armonía"),"")))</f>
        <v/>
      </c>
      <c r="O441" t="str">
        <f>IF(M441="","",IF(M441="[FÓRMULA MANUAL]","",IFERROR(AVERAGEIFS(DATOS!$K$2:$K$20000,DATOS!$A$2:$A$20000,M441,DATOS!$G$2:$G$20000,CONFIG_METADATA!$B$4,DATOS!$I$2:$I$20000,"Orquesta/Banda/Conjunto"),"")))</f>
        <v/>
      </c>
      <c r="P441" t="str">
        <f>IF(M441="","",IF(M441="[FÓRMULA MANUAL]","",IFERROR(AVERAGEIFS(DATOS!$K$2:$K$20000,DATOS!$A$2:$A$20000,M441,DATOS!$G$2:$G$20000,CONFIG_METADATA!$B$4,DATOS!$I$2:$I$20000,"Música de Cámara"),"")))</f>
        <v/>
      </c>
      <c r="Q441" t="str">
        <f>IF(M441="","",IF(M441="[FÓRMULA MANUAL]","",IFERROR(SUMPRODUCT((DATOS!$A$2:$A$20000=M441)*(DATOS!$G$2:$G$20000=CONFIG_METADATA!$B$4)*(COUNTIF(CONFIG_ASIGNATURAS!$B$7:$B$27,DATOS!$I$2:$I$20000)&gt;0)*(DATOS!$K$2:$K$20000))/SUMPRODUCT((DATOS!$A$2:$A$20000=M441)*(DATOS!$G$2:$G$20000=CONFIG_METADATA!$B$4)*(COUNTIF(CONFIG_ASIGNATURAS!$B$7:$B$27,DATOS!$I$2:$I$20000)&gt;0)*1),"")))</f>
        <v/>
      </c>
      <c r="T441" t="str">
        <f>IF(S441="","",IF(S441="[FÓRMULA MANUAL]","",IFERROR(AVERAGEIFS(DATOS!$K$2:$K$20000,DATOS!$A$2:$A$20000,S441,DATOS!$G$2:$G$20000,CONFIG_METADATA!$B$4,DATOS!$I$2:$I$20000,"Armonía"),"")))</f>
        <v/>
      </c>
      <c r="U441" t="str">
        <f>IF(S441="","",IF(S441="[FÓRMULA MANUAL]","",IFERROR(AVERAGEIFS(DATOS!$K$2:$K$20000,DATOS!$A$2:$A$20000,S441,DATOS!$G$2:$G$20000,CONFIG_METADATA!$B$4,DATOS!$I$2:$I$20000,"Orquesta/Banda/Conjunto"),"")))</f>
        <v/>
      </c>
      <c r="V441" t="str">
        <f>IF(S441="","",IF(S441="[FÓRMULA MANUAL]","",IFERROR(AVERAGEIFS(DATOS!$K$2:$K$20000,DATOS!$A$2:$A$20000,S441,DATOS!$G$2:$G$20000,CONFIG_METADATA!$B$4,DATOS!$I$2:$I$20000,"Música de Cámara"),"")))</f>
        <v/>
      </c>
      <c r="W441" t="str">
        <f>IF(S441="","",IF(S441="[FÓRMULA MANUAL]","",IFERROR(SUMPRODUCT((DATOS!$A$2:$A$20000=S441)*(DATOS!$G$2:$G$20000=CONFIG_METADATA!$B$4)*(COUNTIF(CONFIG_ASIGNATURAS!$B$7:$B$27,DATOS!$I$2:$I$20000)&gt;0)*(DATOS!$K$2:$K$20000))/SUMPRODUCT((DATOS!$A$2:$A$20000=S441)*(DATOS!$G$2:$G$20000=CONFIG_METADATA!$B$4)*(COUNTIF(CONFIG_ASIGNATURAS!$B$7:$B$27,DATOS!$I$2:$I$20000)&gt;0)*1),"")))</f>
        <v/>
      </c>
      <c r="Z441" t="str">
        <f>IF(Y441="","",IF(Y441="[FÓRMULA MANUAL]","",IFERROR(AVERAGEIFS(DATOS!$K$2:$K$20000,DATOS!$A$2:$A$20000,Y441,DATOS!$G$2:$G$20000,CONFIG_METADATA!$B$4,DATOS!$I$2:$I$20000,"Análisis"),"")))</f>
        <v/>
      </c>
      <c r="AA441" t="str">
        <f>IF(Y441="","",IF(Y441="[FÓRMULA MANUAL]","",IFERROR(AVERAGEIFS(DATOS!$K$2:$K$20000,DATOS!$A$2:$A$20000,Y441,DATOS!$G$2:$G$20000,CONFIG_METADATA!$B$4,DATOS!$I$2:$I$20000,"Orquesta/Banda/Conjunto"),"")))</f>
        <v/>
      </c>
      <c r="AB441" t="str">
        <f>IF(Y441="","",IF(Y441="[FÓRMULA MANUAL]","",IFERROR(AVERAGEIFS(DATOS!$K$2:$K$20000,DATOS!$A$2:$A$20000,Y441,DATOS!$G$2:$G$20000,CONFIG_METADATA!$B$4,DATOS!$I$2:$I$20000,"Música de Cámara"),"")))</f>
        <v/>
      </c>
      <c r="AC441" t="str">
        <f>IF(Y441="","",IF(Y441="[FÓRMULA MANUAL]","",IFERROR(SUMPRODUCT((DATOS!$A$2:$A$20000=Y441)*(DATOS!$G$2:$G$20000=CONFIG_METADATA!$B$4)*(COUNTIF(CONFIG_ASIGNATURAS!$B$7:$B$27,DATOS!$I$2:$I$20000)&gt;0)*(DATOS!$K$2:$K$20000))/SUMPRODUCT((DATOS!$A$2:$A$20000=Y441)*(DATOS!$G$2:$G$20000=CONFIG_METADATA!$B$4)*(COUNTIF(CONFIG_ASIGNATURAS!$B$7:$B$27,DATOS!$I$2:$I$20000)&gt;0)*1),"")))</f>
        <v/>
      </c>
      <c r="AF441" t="str">
        <f>IF(AE441="","",IF(AE441="[FÓRMULA MANUAL]","",IFERROR(AVERAGEIFS(DATOS!$K$2:$K$20000,DATOS!$A$2:$A$20000,AE441,DATOS!$G$2:$G$20000,CONFIG_METADATA!$B$4,DATOS!$I$2:$I$20000,"Análisis"),"")))</f>
        <v/>
      </c>
      <c r="AG441" t="str">
        <f>IF(AE441="","",IF(AE441="[FÓRMULA MANUAL]","",IFERROR(AVERAGEIFS(DATOS!$K$2:$K$20000,DATOS!$A$2:$A$20000,AE441,DATOS!$G$2:$G$20000,CONFIG_METADATA!$B$4,DATOS!$I$2:$I$20000,"Orquesta/Banda/Conjunto"),"")))</f>
        <v/>
      </c>
      <c r="AH441" t="str">
        <f>IF(AE441="","",IF(AE441="[FÓRMULA MANUAL]","",IFERROR(AVERAGEIFS(DATOS!$K$2:$K$20000,DATOS!$A$2:$A$20000,AE441,DATOS!$G$2:$G$20000,CONFIG_METADATA!$B$4,DATOS!$I$2:$I$20000,"Música de Cámara"),"")))</f>
        <v/>
      </c>
      <c r="AI441" t="str">
        <f>IF(AE441="","",IF(AE441="[FÓRMULA MANUAL]","",IFERROR(SUMPRODUCT((DATOS!$A$2:$A$20000=AE441)*(DATOS!$G$2:$G$20000=CONFIG_METADATA!$B$4)*(COUNTIF(CONFIG_ASIGNATURAS!$B$7:$B$27,DATOS!$I$2:$I$20000)&gt;0)*(DATOS!$K$2:$K$20000))/SUMPRODUCT((DATOS!$A$2:$A$20000=AE441)*(DATOS!$G$2:$G$20000=CONFIG_METADATA!$B$4)*(COUNTIF(CONFIG_ASIGNATURAS!$B$7:$B$27,DATOS!$I$2:$I$20000)&gt;0)*1),"")))</f>
        <v/>
      </c>
    </row>
    <row r="442" spans="2:35" x14ac:dyDescent="0.2">
      <c r="B442" t="str">
        <f>IF(A442="","",IF(A442="[FÓRMULA MANUAL]","",IFERROR(AVERAGEIFS(DATOS!$K$2:$K$20000,DATOS!$A$2:$A$20000,A442,DATOS!$G$2:$G$20000,CONFIG_METADATA!$B$4,DATOS!$I$2:$I$20000,"Lenguaje Musical"),"")))</f>
        <v/>
      </c>
      <c r="C442" t="str">
        <f>IF(A442="","",IF(A442="[FÓRMULA MANUAL]","",IFERROR(AVERAGEIFS(DATOS!$K$2:$K$20000,DATOS!$A$2:$A$20000,A442,DATOS!$G$2:$G$20000,CONFIG_METADATA!$B$4,DATOS!$I$2:$I$20000,"Orquesta/Banda/Conjunto"),"")))</f>
        <v/>
      </c>
      <c r="D442" t="str">
        <f>IF(A442="","",IF(A442="[FÓRMULA MANUAL]","",IFERROR(AVERAGEIFS(DATOS!$K$2:$K$20000,DATOS!$A$2:$A$20000,A442,DATOS!$G$2:$G$20000,CONFIG_METADATA!$B$4,DATOS!$I$2:$I$20000,"Conjunto"),"")))</f>
        <v/>
      </c>
      <c r="E442" t="str">
        <f>IF(A442="","",IF(A442="[FÓRMULA MANUAL]","",IFERROR(SUMPRODUCT((DATOS!$A$2:$A$20000=A442)*(DATOS!$G$2:$G$20000=CONFIG_METADATA!$B$4)*(COUNTIF(CONFIG_ASIGNATURAS!$B$7:$B$27,DATOS!$I$2:$I$20000)&gt;0)*(DATOS!$K$2:$K$20000))/SUMPRODUCT((DATOS!$A$2:$A$20000=A442)*(DATOS!$G$2:$G$20000=CONFIG_METADATA!$B$4)*(COUNTIF(CONFIG_ASIGNATURAS!$B$7:$B$27,DATOS!$I$2:$I$20000)&gt;0)*1),"")))</f>
        <v/>
      </c>
      <c r="H442" t="str">
        <f>IF(G442="","",IF(G442="[FÓRMULA MANUAL]","",IFERROR(AVERAGEIFS(DATOS!$K$2:$K$20000,DATOS!$A$2:$A$20000,G442,DATOS!$G$2:$G$20000,CONFIG_METADATA!$B$4,DATOS!$I$2:$I$20000,"Lenguaje Musical"),"")))</f>
        <v/>
      </c>
      <c r="I442" t="str">
        <f>IF(G442="","",IF(G442="[FÓRMULA MANUAL]","",IFERROR(AVERAGEIFS(DATOS!$K$2:$K$20000,DATOS!$A$2:$A$20000,G442,DATOS!$G$2:$G$20000,CONFIG_METADATA!$B$4,DATOS!$I$2:$I$20000,"Orquesta/Banda/Conjunto"),"")))</f>
        <v/>
      </c>
      <c r="J442" t="str">
        <f>IF(G442="","",IF(G442="[FÓRMULA MANUAL]","",IFERROR(AVERAGEIFS(DATOS!$K$2:$K$20000,DATOS!$A$2:$A$20000,G442,DATOS!$G$2:$G$20000,CONFIG_METADATA!$B$4,DATOS!$I$2:$I$20000,"Conjunto"),"")))</f>
        <v/>
      </c>
      <c r="K442" t="str">
        <f>IF(G442="","",IF(G442="[FÓRMULA MANUAL]","",IFERROR(SUMPRODUCT((DATOS!$A$2:$A$20000=G442)*(DATOS!$G$2:$G$20000=CONFIG_METADATA!$B$4)*(COUNTIF(CONFIG_ASIGNATURAS!$B$7:$B$27,DATOS!$I$2:$I$20000)&gt;0)*(DATOS!$K$2:$K$20000))/SUMPRODUCT((DATOS!$A$2:$A$20000=G442)*(DATOS!$G$2:$G$20000=CONFIG_METADATA!$B$4)*(COUNTIF(CONFIG_ASIGNATURAS!$B$7:$B$27,DATOS!$I$2:$I$20000)&gt;0)*1),"")))</f>
        <v/>
      </c>
      <c r="N442" t="str">
        <f>IF(M442="","",IF(M442="[FÓRMULA MANUAL]","",IFERROR(AVERAGEIFS(DATOS!$K$2:$K$20000,DATOS!$A$2:$A$20000,M442,DATOS!$G$2:$G$20000,CONFIG_METADATA!$B$4,DATOS!$I$2:$I$20000,"Armonía"),"")))</f>
        <v/>
      </c>
      <c r="O442" t="str">
        <f>IF(M442="","",IF(M442="[FÓRMULA MANUAL]","",IFERROR(AVERAGEIFS(DATOS!$K$2:$K$20000,DATOS!$A$2:$A$20000,M442,DATOS!$G$2:$G$20000,CONFIG_METADATA!$B$4,DATOS!$I$2:$I$20000,"Orquesta/Banda/Conjunto"),"")))</f>
        <v/>
      </c>
      <c r="P442" t="str">
        <f>IF(M442="","",IF(M442="[FÓRMULA MANUAL]","",IFERROR(AVERAGEIFS(DATOS!$K$2:$K$20000,DATOS!$A$2:$A$20000,M442,DATOS!$G$2:$G$20000,CONFIG_METADATA!$B$4,DATOS!$I$2:$I$20000,"Música de Cámara"),"")))</f>
        <v/>
      </c>
      <c r="Q442" t="str">
        <f>IF(M442="","",IF(M442="[FÓRMULA MANUAL]","",IFERROR(SUMPRODUCT((DATOS!$A$2:$A$20000=M442)*(DATOS!$G$2:$G$20000=CONFIG_METADATA!$B$4)*(COUNTIF(CONFIG_ASIGNATURAS!$B$7:$B$27,DATOS!$I$2:$I$20000)&gt;0)*(DATOS!$K$2:$K$20000))/SUMPRODUCT((DATOS!$A$2:$A$20000=M442)*(DATOS!$G$2:$G$20000=CONFIG_METADATA!$B$4)*(COUNTIF(CONFIG_ASIGNATURAS!$B$7:$B$27,DATOS!$I$2:$I$20000)&gt;0)*1),"")))</f>
        <v/>
      </c>
      <c r="T442" t="str">
        <f>IF(S442="","",IF(S442="[FÓRMULA MANUAL]","",IFERROR(AVERAGEIFS(DATOS!$K$2:$K$20000,DATOS!$A$2:$A$20000,S442,DATOS!$G$2:$G$20000,CONFIG_METADATA!$B$4,DATOS!$I$2:$I$20000,"Armonía"),"")))</f>
        <v/>
      </c>
      <c r="U442" t="str">
        <f>IF(S442="","",IF(S442="[FÓRMULA MANUAL]","",IFERROR(AVERAGEIFS(DATOS!$K$2:$K$20000,DATOS!$A$2:$A$20000,S442,DATOS!$G$2:$G$20000,CONFIG_METADATA!$B$4,DATOS!$I$2:$I$20000,"Orquesta/Banda/Conjunto"),"")))</f>
        <v/>
      </c>
      <c r="V442" t="str">
        <f>IF(S442="","",IF(S442="[FÓRMULA MANUAL]","",IFERROR(AVERAGEIFS(DATOS!$K$2:$K$20000,DATOS!$A$2:$A$20000,S442,DATOS!$G$2:$G$20000,CONFIG_METADATA!$B$4,DATOS!$I$2:$I$20000,"Música de Cámara"),"")))</f>
        <v/>
      </c>
      <c r="W442" t="str">
        <f>IF(S442="","",IF(S442="[FÓRMULA MANUAL]","",IFERROR(SUMPRODUCT((DATOS!$A$2:$A$20000=S442)*(DATOS!$G$2:$G$20000=CONFIG_METADATA!$B$4)*(COUNTIF(CONFIG_ASIGNATURAS!$B$7:$B$27,DATOS!$I$2:$I$20000)&gt;0)*(DATOS!$K$2:$K$20000))/SUMPRODUCT((DATOS!$A$2:$A$20000=S442)*(DATOS!$G$2:$G$20000=CONFIG_METADATA!$B$4)*(COUNTIF(CONFIG_ASIGNATURAS!$B$7:$B$27,DATOS!$I$2:$I$20000)&gt;0)*1),"")))</f>
        <v/>
      </c>
      <c r="Z442" t="str">
        <f>IF(Y442="","",IF(Y442="[FÓRMULA MANUAL]","",IFERROR(AVERAGEIFS(DATOS!$K$2:$K$20000,DATOS!$A$2:$A$20000,Y442,DATOS!$G$2:$G$20000,CONFIG_METADATA!$B$4,DATOS!$I$2:$I$20000,"Análisis"),"")))</f>
        <v/>
      </c>
      <c r="AA442" t="str">
        <f>IF(Y442="","",IF(Y442="[FÓRMULA MANUAL]","",IFERROR(AVERAGEIFS(DATOS!$K$2:$K$20000,DATOS!$A$2:$A$20000,Y442,DATOS!$G$2:$G$20000,CONFIG_METADATA!$B$4,DATOS!$I$2:$I$20000,"Orquesta/Banda/Conjunto"),"")))</f>
        <v/>
      </c>
      <c r="AB442" t="str">
        <f>IF(Y442="","",IF(Y442="[FÓRMULA MANUAL]","",IFERROR(AVERAGEIFS(DATOS!$K$2:$K$20000,DATOS!$A$2:$A$20000,Y442,DATOS!$G$2:$G$20000,CONFIG_METADATA!$B$4,DATOS!$I$2:$I$20000,"Música de Cámara"),"")))</f>
        <v/>
      </c>
      <c r="AC442" t="str">
        <f>IF(Y442="","",IF(Y442="[FÓRMULA MANUAL]","",IFERROR(SUMPRODUCT((DATOS!$A$2:$A$20000=Y442)*(DATOS!$G$2:$G$20000=CONFIG_METADATA!$B$4)*(COUNTIF(CONFIG_ASIGNATURAS!$B$7:$B$27,DATOS!$I$2:$I$20000)&gt;0)*(DATOS!$K$2:$K$20000))/SUMPRODUCT((DATOS!$A$2:$A$20000=Y442)*(DATOS!$G$2:$G$20000=CONFIG_METADATA!$B$4)*(COUNTIF(CONFIG_ASIGNATURAS!$B$7:$B$27,DATOS!$I$2:$I$20000)&gt;0)*1),"")))</f>
        <v/>
      </c>
      <c r="AF442" t="str">
        <f>IF(AE442="","",IF(AE442="[FÓRMULA MANUAL]","",IFERROR(AVERAGEIFS(DATOS!$K$2:$K$20000,DATOS!$A$2:$A$20000,AE442,DATOS!$G$2:$G$20000,CONFIG_METADATA!$B$4,DATOS!$I$2:$I$20000,"Análisis"),"")))</f>
        <v/>
      </c>
      <c r="AG442" t="str">
        <f>IF(AE442="","",IF(AE442="[FÓRMULA MANUAL]","",IFERROR(AVERAGEIFS(DATOS!$K$2:$K$20000,DATOS!$A$2:$A$20000,AE442,DATOS!$G$2:$G$20000,CONFIG_METADATA!$B$4,DATOS!$I$2:$I$20000,"Orquesta/Banda/Conjunto"),"")))</f>
        <v/>
      </c>
      <c r="AH442" t="str">
        <f>IF(AE442="","",IF(AE442="[FÓRMULA MANUAL]","",IFERROR(AVERAGEIFS(DATOS!$K$2:$K$20000,DATOS!$A$2:$A$20000,AE442,DATOS!$G$2:$G$20000,CONFIG_METADATA!$B$4,DATOS!$I$2:$I$20000,"Música de Cámara"),"")))</f>
        <v/>
      </c>
      <c r="AI442" t="str">
        <f>IF(AE442="","",IF(AE442="[FÓRMULA MANUAL]","",IFERROR(SUMPRODUCT((DATOS!$A$2:$A$20000=AE442)*(DATOS!$G$2:$G$20000=CONFIG_METADATA!$B$4)*(COUNTIF(CONFIG_ASIGNATURAS!$B$7:$B$27,DATOS!$I$2:$I$20000)&gt;0)*(DATOS!$K$2:$K$20000))/SUMPRODUCT((DATOS!$A$2:$A$20000=AE442)*(DATOS!$G$2:$G$20000=CONFIG_METADATA!$B$4)*(COUNTIF(CONFIG_ASIGNATURAS!$B$7:$B$27,DATOS!$I$2:$I$20000)&gt;0)*1),"")))</f>
        <v/>
      </c>
    </row>
    <row r="443" spans="2:35" x14ac:dyDescent="0.2">
      <c r="B443" t="str">
        <f>IF(A443="","",IF(A443="[FÓRMULA MANUAL]","",IFERROR(AVERAGEIFS(DATOS!$K$2:$K$20000,DATOS!$A$2:$A$20000,A443,DATOS!$G$2:$G$20000,CONFIG_METADATA!$B$4,DATOS!$I$2:$I$20000,"Lenguaje Musical"),"")))</f>
        <v/>
      </c>
      <c r="C443" t="str">
        <f>IF(A443="","",IF(A443="[FÓRMULA MANUAL]","",IFERROR(AVERAGEIFS(DATOS!$K$2:$K$20000,DATOS!$A$2:$A$20000,A443,DATOS!$G$2:$G$20000,CONFIG_METADATA!$B$4,DATOS!$I$2:$I$20000,"Orquesta/Banda/Conjunto"),"")))</f>
        <v/>
      </c>
      <c r="D443" t="str">
        <f>IF(A443="","",IF(A443="[FÓRMULA MANUAL]","",IFERROR(AVERAGEIFS(DATOS!$K$2:$K$20000,DATOS!$A$2:$A$20000,A443,DATOS!$G$2:$G$20000,CONFIG_METADATA!$B$4,DATOS!$I$2:$I$20000,"Conjunto"),"")))</f>
        <v/>
      </c>
      <c r="E443" t="str">
        <f>IF(A443="","",IF(A443="[FÓRMULA MANUAL]","",IFERROR(SUMPRODUCT((DATOS!$A$2:$A$20000=A443)*(DATOS!$G$2:$G$20000=CONFIG_METADATA!$B$4)*(COUNTIF(CONFIG_ASIGNATURAS!$B$7:$B$27,DATOS!$I$2:$I$20000)&gt;0)*(DATOS!$K$2:$K$20000))/SUMPRODUCT((DATOS!$A$2:$A$20000=A443)*(DATOS!$G$2:$G$20000=CONFIG_METADATA!$B$4)*(COUNTIF(CONFIG_ASIGNATURAS!$B$7:$B$27,DATOS!$I$2:$I$20000)&gt;0)*1),"")))</f>
        <v/>
      </c>
      <c r="H443" t="str">
        <f>IF(G443="","",IF(G443="[FÓRMULA MANUAL]","",IFERROR(AVERAGEIFS(DATOS!$K$2:$K$20000,DATOS!$A$2:$A$20000,G443,DATOS!$G$2:$G$20000,CONFIG_METADATA!$B$4,DATOS!$I$2:$I$20000,"Lenguaje Musical"),"")))</f>
        <v/>
      </c>
      <c r="I443" t="str">
        <f>IF(G443="","",IF(G443="[FÓRMULA MANUAL]","",IFERROR(AVERAGEIFS(DATOS!$K$2:$K$20000,DATOS!$A$2:$A$20000,G443,DATOS!$G$2:$G$20000,CONFIG_METADATA!$B$4,DATOS!$I$2:$I$20000,"Orquesta/Banda/Conjunto"),"")))</f>
        <v/>
      </c>
      <c r="J443" t="str">
        <f>IF(G443="","",IF(G443="[FÓRMULA MANUAL]","",IFERROR(AVERAGEIFS(DATOS!$K$2:$K$20000,DATOS!$A$2:$A$20000,G443,DATOS!$G$2:$G$20000,CONFIG_METADATA!$B$4,DATOS!$I$2:$I$20000,"Conjunto"),"")))</f>
        <v/>
      </c>
      <c r="K443" t="str">
        <f>IF(G443="","",IF(G443="[FÓRMULA MANUAL]","",IFERROR(SUMPRODUCT((DATOS!$A$2:$A$20000=G443)*(DATOS!$G$2:$G$20000=CONFIG_METADATA!$B$4)*(COUNTIF(CONFIG_ASIGNATURAS!$B$7:$B$27,DATOS!$I$2:$I$20000)&gt;0)*(DATOS!$K$2:$K$20000))/SUMPRODUCT((DATOS!$A$2:$A$20000=G443)*(DATOS!$G$2:$G$20000=CONFIG_METADATA!$B$4)*(COUNTIF(CONFIG_ASIGNATURAS!$B$7:$B$27,DATOS!$I$2:$I$20000)&gt;0)*1),"")))</f>
        <v/>
      </c>
      <c r="N443" t="str">
        <f>IF(M443="","",IF(M443="[FÓRMULA MANUAL]","",IFERROR(AVERAGEIFS(DATOS!$K$2:$K$20000,DATOS!$A$2:$A$20000,M443,DATOS!$G$2:$G$20000,CONFIG_METADATA!$B$4,DATOS!$I$2:$I$20000,"Armonía"),"")))</f>
        <v/>
      </c>
      <c r="O443" t="str">
        <f>IF(M443="","",IF(M443="[FÓRMULA MANUAL]","",IFERROR(AVERAGEIFS(DATOS!$K$2:$K$20000,DATOS!$A$2:$A$20000,M443,DATOS!$G$2:$G$20000,CONFIG_METADATA!$B$4,DATOS!$I$2:$I$20000,"Orquesta/Banda/Conjunto"),"")))</f>
        <v/>
      </c>
      <c r="P443" t="str">
        <f>IF(M443="","",IF(M443="[FÓRMULA MANUAL]","",IFERROR(AVERAGEIFS(DATOS!$K$2:$K$20000,DATOS!$A$2:$A$20000,M443,DATOS!$G$2:$G$20000,CONFIG_METADATA!$B$4,DATOS!$I$2:$I$20000,"Música de Cámara"),"")))</f>
        <v/>
      </c>
      <c r="Q443" t="str">
        <f>IF(M443="","",IF(M443="[FÓRMULA MANUAL]","",IFERROR(SUMPRODUCT((DATOS!$A$2:$A$20000=M443)*(DATOS!$G$2:$G$20000=CONFIG_METADATA!$B$4)*(COUNTIF(CONFIG_ASIGNATURAS!$B$7:$B$27,DATOS!$I$2:$I$20000)&gt;0)*(DATOS!$K$2:$K$20000))/SUMPRODUCT((DATOS!$A$2:$A$20000=M443)*(DATOS!$G$2:$G$20000=CONFIG_METADATA!$B$4)*(COUNTIF(CONFIG_ASIGNATURAS!$B$7:$B$27,DATOS!$I$2:$I$20000)&gt;0)*1),"")))</f>
        <v/>
      </c>
      <c r="T443" t="str">
        <f>IF(S443="","",IF(S443="[FÓRMULA MANUAL]","",IFERROR(AVERAGEIFS(DATOS!$K$2:$K$20000,DATOS!$A$2:$A$20000,S443,DATOS!$G$2:$G$20000,CONFIG_METADATA!$B$4,DATOS!$I$2:$I$20000,"Armonía"),"")))</f>
        <v/>
      </c>
      <c r="U443" t="str">
        <f>IF(S443="","",IF(S443="[FÓRMULA MANUAL]","",IFERROR(AVERAGEIFS(DATOS!$K$2:$K$20000,DATOS!$A$2:$A$20000,S443,DATOS!$G$2:$G$20000,CONFIG_METADATA!$B$4,DATOS!$I$2:$I$20000,"Orquesta/Banda/Conjunto"),"")))</f>
        <v/>
      </c>
      <c r="V443" t="str">
        <f>IF(S443="","",IF(S443="[FÓRMULA MANUAL]","",IFERROR(AVERAGEIFS(DATOS!$K$2:$K$20000,DATOS!$A$2:$A$20000,S443,DATOS!$G$2:$G$20000,CONFIG_METADATA!$B$4,DATOS!$I$2:$I$20000,"Música de Cámara"),"")))</f>
        <v/>
      </c>
      <c r="W443" t="str">
        <f>IF(S443="","",IF(S443="[FÓRMULA MANUAL]","",IFERROR(SUMPRODUCT((DATOS!$A$2:$A$20000=S443)*(DATOS!$G$2:$G$20000=CONFIG_METADATA!$B$4)*(COUNTIF(CONFIG_ASIGNATURAS!$B$7:$B$27,DATOS!$I$2:$I$20000)&gt;0)*(DATOS!$K$2:$K$20000))/SUMPRODUCT((DATOS!$A$2:$A$20000=S443)*(DATOS!$G$2:$G$20000=CONFIG_METADATA!$B$4)*(COUNTIF(CONFIG_ASIGNATURAS!$B$7:$B$27,DATOS!$I$2:$I$20000)&gt;0)*1),"")))</f>
        <v/>
      </c>
      <c r="Z443" t="str">
        <f>IF(Y443="","",IF(Y443="[FÓRMULA MANUAL]","",IFERROR(AVERAGEIFS(DATOS!$K$2:$K$20000,DATOS!$A$2:$A$20000,Y443,DATOS!$G$2:$G$20000,CONFIG_METADATA!$B$4,DATOS!$I$2:$I$20000,"Análisis"),"")))</f>
        <v/>
      </c>
      <c r="AA443" t="str">
        <f>IF(Y443="","",IF(Y443="[FÓRMULA MANUAL]","",IFERROR(AVERAGEIFS(DATOS!$K$2:$K$20000,DATOS!$A$2:$A$20000,Y443,DATOS!$G$2:$G$20000,CONFIG_METADATA!$B$4,DATOS!$I$2:$I$20000,"Orquesta/Banda/Conjunto"),"")))</f>
        <v/>
      </c>
      <c r="AB443" t="str">
        <f>IF(Y443="","",IF(Y443="[FÓRMULA MANUAL]","",IFERROR(AVERAGEIFS(DATOS!$K$2:$K$20000,DATOS!$A$2:$A$20000,Y443,DATOS!$G$2:$G$20000,CONFIG_METADATA!$B$4,DATOS!$I$2:$I$20000,"Música de Cámara"),"")))</f>
        <v/>
      </c>
      <c r="AC443" t="str">
        <f>IF(Y443="","",IF(Y443="[FÓRMULA MANUAL]","",IFERROR(SUMPRODUCT((DATOS!$A$2:$A$20000=Y443)*(DATOS!$G$2:$G$20000=CONFIG_METADATA!$B$4)*(COUNTIF(CONFIG_ASIGNATURAS!$B$7:$B$27,DATOS!$I$2:$I$20000)&gt;0)*(DATOS!$K$2:$K$20000))/SUMPRODUCT((DATOS!$A$2:$A$20000=Y443)*(DATOS!$G$2:$G$20000=CONFIG_METADATA!$B$4)*(COUNTIF(CONFIG_ASIGNATURAS!$B$7:$B$27,DATOS!$I$2:$I$20000)&gt;0)*1),"")))</f>
        <v/>
      </c>
      <c r="AF443" t="str">
        <f>IF(AE443="","",IF(AE443="[FÓRMULA MANUAL]","",IFERROR(AVERAGEIFS(DATOS!$K$2:$K$20000,DATOS!$A$2:$A$20000,AE443,DATOS!$G$2:$G$20000,CONFIG_METADATA!$B$4,DATOS!$I$2:$I$20000,"Análisis"),"")))</f>
        <v/>
      </c>
      <c r="AG443" t="str">
        <f>IF(AE443="","",IF(AE443="[FÓRMULA MANUAL]","",IFERROR(AVERAGEIFS(DATOS!$K$2:$K$20000,DATOS!$A$2:$A$20000,AE443,DATOS!$G$2:$G$20000,CONFIG_METADATA!$B$4,DATOS!$I$2:$I$20000,"Orquesta/Banda/Conjunto"),"")))</f>
        <v/>
      </c>
      <c r="AH443" t="str">
        <f>IF(AE443="","",IF(AE443="[FÓRMULA MANUAL]","",IFERROR(AVERAGEIFS(DATOS!$K$2:$K$20000,DATOS!$A$2:$A$20000,AE443,DATOS!$G$2:$G$20000,CONFIG_METADATA!$B$4,DATOS!$I$2:$I$20000,"Música de Cámara"),"")))</f>
        <v/>
      </c>
      <c r="AI443" t="str">
        <f>IF(AE443="","",IF(AE443="[FÓRMULA MANUAL]","",IFERROR(SUMPRODUCT((DATOS!$A$2:$A$20000=AE443)*(DATOS!$G$2:$G$20000=CONFIG_METADATA!$B$4)*(COUNTIF(CONFIG_ASIGNATURAS!$B$7:$B$27,DATOS!$I$2:$I$20000)&gt;0)*(DATOS!$K$2:$K$20000))/SUMPRODUCT((DATOS!$A$2:$A$20000=AE443)*(DATOS!$G$2:$G$20000=CONFIG_METADATA!$B$4)*(COUNTIF(CONFIG_ASIGNATURAS!$B$7:$B$27,DATOS!$I$2:$I$20000)&gt;0)*1),"")))</f>
        <v/>
      </c>
    </row>
    <row r="444" spans="2:35" x14ac:dyDescent="0.2">
      <c r="B444" t="str">
        <f>IF(A444="","",IF(A444="[FÓRMULA MANUAL]","",IFERROR(AVERAGEIFS(DATOS!$K$2:$K$20000,DATOS!$A$2:$A$20000,A444,DATOS!$G$2:$G$20000,CONFIG_METADATA!$B$4,DATOS!$I$2:$I$20000,"Lenguaje Musical"),"")))</f>
        <v/>
      </c>
      <c r="C444" t="str">
        <f>IF(A444="","",IF(A444="[FÓRMULA MANUAL]","",IFERROR(AVERAGEIFS(DATOS!$K$2:$K$20000,DATOS!$A$2:$A$20000,A444,DATOS!$G$2:$G$20000,CONFIG_METADATA!$B$4,DATOS!$I$2:$I$20000,"Orquesta/Banda/Conjunto"),"")))</f>
        <v/>
      </c>
      <c r="D444" t="str">
        <f>IF(A444="","",IF(A444="[FÓRMULA MANUAL]","",IFERROR(AVERAGEIFS(DATOS!$K$2:$K$20000,DATOS!$A$2:$A$20000,A444,DATOS!$G$2:$G$20000,CONFIG_METADATA!$B$4,DATOS!$I$2:$I$20000,"Conjunto"),"")))</f>
        <v/>
      </c>
      <c r="E444" t="str">
        <f>IF(A444="","",IF(A444="[FÓRMULA MANUAL]","",IFERROR(SUMPRODUCT((DATOS!$A$2:$A$20000=A444)*(DATOS!$G$2:$G$20000=CONFIG_METADATA!$B$4)*(COUNTIF(CONFIG_ASIGNATURAS!$B$7:$B$27,DATOS!$I$2:$I$20000)&gt;0)*(DATOS!$K$2:$K$20000))/SUMPRODUCT((DATOS!$A$2:$A$20000=A444)*(DATOS!$G$2:$G$20000=CONFIG_METADATA!$B$4)*(COUNTIF(CONFIG_ASIGNATURAS!$B$7:$B$27,DATOS!$I$2:$I$20000)&gt;0)*1),"")))</f>
        <v/>
      </c>
      <c r="H444" t="str">
        <f>IF(G444="","",IF(G444="[FÓRMULA MANUAL]","",IFERROR(AVERAGEIFS(DATOS!$K$2:$K$20000,DATOS!$A$2:$A$20000,G444,DATOS!$G$2:$G$20000,CONFIG_METADATA!$B$4,DATOS!$I$2:$I$20000,"Lenguaje Musical"),"")))</f>
        <v/>
      </c>
      <c r="I444" t="str">
        <f>IF(G444="","",IF(G444="[FÓRMULA MANUAL]","",IFERROR(AVERAGEIFS(DATOS!$K$2:$K$20000,DATOS!$A$2:$A$20000,G444,DATOS!$G$2:$G$20000,CONFIG_METADATA!$B$4,DATOS!$I$2:$I$20000,"Orquesta/Banda/Conjunto"),"")))</f>
        <v/>
      </c>
      <c r="J444" t="str">
        <f>IF(G444="","",IF(G444="[FÓRMULA MANUAL]","",IFERROR(AVERAGEIFS(DATOS!$K$2:$K$20000,DATOS!$A$2:$A$20000,G444,DATOS!$G$2:$G$20000,CONFIG_METADATA!$B$4,DATOS!$I$2:$I$20000,"Conjunto"),"")))</f>
        <v/>
      </c>
      <c r="K444" t="str">
        <f>IF(G444="","",IF(G444="[FÓRMULA MANUAL]","",IFERROR(SUMPRODUCT((DATOS!$A$2:$A$20000=G444)*(DATOS!$G$2:$G$20000=CONFIG_METADATA!$B$4)*(COUNTIF(CONFIG_ASIGNATURAS!$B$7:$B$27,DATOS!$I$2:$I$20000)&gt;0)*(DATOS!$K$2:$K$20000))/SUMPRODUCT((DATOS!$A$2:$A$20000=G444)*(DATOS!$G$2:$G$20000=CONFIG_METADATA!$B$4)*(COUNTIF(CONFIG_ASIGNATURAS!$B$7:$B$27,DATOS!$I$2:$I$20000)&gt;0)*1),"")))</f>
        <v/>
      </c>
      <c r="N444" t="str">
        <f>IF(M444="","",IF(M444="[FÓRMULA MANUAL]","",IFERROR(AVERAGEIFS(DATOS!$K$2:$K$20000,DATOS!$A$2:$A$20000,M444,DATOS!$G$2:$G$20000,CONFIG_METADATA!$B$4,DATOS!$I$2:$I$20000,"Armonía"),"")))</f>
        <v/>
      </c>
      <c r="O444" t="str">
        <f>IF(M444="","",IF(M444="[FÓRMULA MANUAL]","",IFERROR(AVERAGEIFS(DATOS!$K$2:$K$20000,DATOS!$A$2:$A$20000,M444,DATOS!$G$2:$G$20000,CONFIG_METADATA!$B$4,DATOS!$I$2:$I$20000,"Orquesta/Banda/Conjunto"),"")))</f>
        <v/>
      </c>
      <c r="P444" t="str">
        <f>IF(M444="","",IF(M444="[FÓRMULA MANUAL]","",IFERROR(AVERAGEIFS(DATOS!$K$2:$K$20000,DATOS!$A$2:$A$20000,M444,DATOS!$G$2:$G$20000,CONFIG_METADATA!$B$4,DATOS!$I$2:$I$20000,"Música de Cámara"),"")))</f>
        <v/>
      </c>
      <c r="Q444" t="str">
        <f>IF(M444="","",IF(M444="[FÓRMULA MANUAL]","",IFERROR(SUMPRODUCT((DATOS!$A$2:$A$20000=M444)*(DATOS!$G$2:$G$20000=CONFIG_METADATA!$B$4)*(COUNTIF(CONFIG_ASIGNATURAS!$B$7:$B$27,DATOS!$I$2:$I$20000)&gt;0)*(DATOS!$K$2:$K$20000))/SUMPRODUCT((DATOS!$A$2:$A$20000=M444)*(DATOS!$G$2:$G$20000=CONFIG_METADATA!$B$4)*(COUNTIF(CONFIG_ASIGNATURAS!$B$7:$B$27,DATOS!$I$2:$I$20000)&gt;0)*1),"")))</f>
        <v/>
      </c>
      <c r="T444" t="str">
        <f>IF(S444="","",IF(S444="[FÓRMULA MANUAL]","",IFERROR(AVERAGEIFS(DATOS!$K$2:$K$20000,DATOS!$A$2:$A$20000,S444,DATOS!$G$2:$G$20000,CONFIG_METADATA!$B$4,DATOS!$I$2:$I$20000,"Armonía"),"")))</f>
        <v/>
      </c>
      <c r="U444" t="str">
        <f>IF(S444="","",IF(S444="[FÓRMULA MANUAL]","",IFERROR(AVERAGEIFS(DATOS!$K$2:$K$20000,DATOS!$A$2:$A$20000,S444,DATOS!$G$2:$G$20000,CONFIG_METADATA!$B$4,DATOS!$I$2:$I$20000,"Orquesta/Banda/Conjunto"),"")))</f>
        <v/>
      </c>
      <c r="V444" t="str">
        <f>IF(S444="","",IF(S444="[FÓRMULA MANUAL]","",IFERROR(AVERAGEIFS(DATOS!$K$2:$K$20000,DATOS!$A$2:$A$20000,S444,DATOS!$G$2:$G$20000,CONFIG_METADATA!$B$4,DATOS!$I$2:$I$20000,"Música de Cámara"),"")))</f>
        <v/>
      </c>
      <c r="W444" t="str">
        <f>IF(S444="","",IF(S444="[FÓRMULA MANUAL]","",IFERROR(SUMPRODUCT((DATOS!$A$2:$A$20000=S444)*(DATOS!$G$2:$G$20000=CONFIG_METADATA!$B$4)*(COUNTIF(CONFIG_ASIGNATURAS!$B$7:$B$27,DATOS!$I$2:$I$20000)&gt;0)*(DATOS!$K$2:$K$20000))/SUMPRODUCT((DATOS!$A$2:$A$20000=S444)*(DATOS!$G$2:$G$20000=CONFIG_METADATA!$B$4)*(COUNTIF(CONFIG_ASIGNATURAS!$B$7:$B$27,DATOS!$I$2:$I$20000)&gt;0)*1),"")))</f>
        <v/>
      </c>
      <c r="Z444" t="str">
        <f>IF(Y444="","",IF(Y444="[FÓRMULA MANUAL]","",IFERROR(AVERAGEIFS(DATOS!$K$2:$K$20000,DATOS!$A$2:$A$20000,Y444,DATOS!$G$2:$G$20000,CONFIG_METADATA!$B$4,DATOS!$I$2:$I$20000,"Análisis"),"")))</f>
        <v/>
      </c>
      <c r="AA444" t="str">
        <f>IF(Y444="","",IF(Y444="[FÓRMULA MANUAL]","",IFERROR(AVERAGEIFS(DATOS!$K$2:$K$20000,DATOS!$A$2:$A$20000,Y444,DATOS!$G$2:$G$20000,CONFIG_METADATA!$B$4,DATOS!$I$2:$I$20000,"Orquesta/Banda/Conjunto"),"")))</f>
        <v/>
      </c>
      <c r="AB444" t="str">
        <f>IF(Y444="","",IF(Y444="[FÓRMULA MANUAL]","",IFERROR(AVERAGEIFS(DATOS!$K$2:$K$20000,DATOS!$A$2:$A$20000,Y444,DATOS!$G$2:$G$20000,CONFIG_METADATA!$B$4,DATOS!$I$2:$I$20000,"Música de Cámara"),"")))</f>
        <v/>
      </c>
      <c r="AC444" t="str">
        <f>IF(Y444="","",IF(Y444="[FÓRMULA MANUAL]","",IFERROR(SUMPRODUCT((DATOS!$A$2:$A$20000=Y444)*(DATOS!$G$2:$G$20000=CONFIG_METADATA!$B$4)*(COUNTIF(CONFIG_ASIGNATURAS!$B$7:$B$27,DATOS!$I$2:$I$20000)&gt;0)*(DATOS!$K$2:$K$20000))/SUMPRODUCT((DATOS!$A$2:$A$20000=Y444)*(DATOS!$G$2:$G$20000=CONFIG_METADATA!$B$4)*(COUNTIF(CONFIG_ASIGNATURAS!$B$7:$B$27,DATOS!$I$2:$I$20000)&gt;0)*1),"")))</f>
        <v/>
      </c>
      <c r="AF444" t="str">
        <f>IF(AE444="","",IF(AE444="[FÓRMULA MANUAL]","",IFERROR(AVERAGEIFS(DATOS!$K$2:$K$20000,DATOS!$A$2:$A$20000,AE444,DATOS!$G$2:$G$20000,CONFIG_METADATA!$B$4,DATOS!$I$2:$I$20000,"Análisis"),"")))</f>
        <v/>
      </c>
      <c r="AG444" t="str">
        <f>IF(AE444="","",IF(AE444="[FÓRMULA MANUAL]","",IFERROR(AVERAGEIFS(DATOS!$K$2:$K$20000,DATOS!$A$2:$A$20000,AE444,DATOS!$G$2:$G$20000,CONFIG_METADATA!$B$4,DATOS!$I$2:$I$20000,"Orquesta/Banda/Conjunto"),"")))</f>
        <v/>
      </c>
      <c r="AH444" t="str">
        <f>IF(AE444="","",IF(AE444="[FÓRMULA MANUAL]","",IFERROR(AVERAGEIFS(DATOS!$K$2:$K$20000,DATOS!$A$2:$A$20000,AE444,DATOS!$G$2:$G$20000,CONFIG_METADATA!$B$4,DATOS!$I$2:$I$20000,"Música de Cámara"),"")))</f>
        <v/>
      </c>
      <c r="AI444" t="str">
        <f>IF(AE444="","",IF(AE444="[FÓRMULA MANUAL]","",IFERROR(SUMPRODUCT((DATOS!$A$2:$A$20000=AE444)*(DATOS!$G$2:$G$20000=CONFIG_METADATA!$B$4)*(COUNTIF(CONFIG_ASIGNATURAS!$B$7:$B$27,DATOS!$I$2:$I$20000)&gt;0)*(DATOS!$K$2:$K$20000))/SUMPRODUCT((DATOS!$A$2:$A$20000=AE444)*(DATOS!$G$2:$G$20000=CONFIG_METADATA!$B$4)*(COUNTIF(CONFIG_ASIGNATURAS!$B$7:$B$27,DATOS!$I$2:$I$20000)&gt;0)*1),"")))</f>
        <v/>
      </c>
    </row>
    <row r="445" spans="2:35" x14ac:dyDescent="0.2">
      <c r="B445" t="str">
        <f>IF(A445="","",IF(A445="[FÓRMULA MANUAL]","",IFERROR(AVERAGEIFS(DATOS!$K$2:$K$20000,DATOS!$A$2:$A$20000,A445,DATOS!$G$2:$G$20000,CONFIG_METADATA!$B$4,DATOS!$I$2:$I$20000,"Lenguaje Musical"),"")))</f>
        <v/>
      </c>
      <c r="C445" t="str">
        <f>IF(A445="","",IF(A445="[FÓRMULA MANUAL]","",IFERROR(AVERAGEIFS(DATOS!$K$2:$K$20000,DATOS!$A$2:$A$20000,A445,DATOS!$G$2:$G$20000,CONFIG_METADATA!$B$4,DATOS!$I$2:$I$20000,"Orquesta/Banda/Conjunto"),"")))</f>
        <v/>
      </c>
      <c r="D445" t="str">
        <f>IF(A445="","",IF(A445="[FÓRMULA MANUAL]","",IFERROR(AVERAGEIFS(DATOS!$K$2:$K$20000,DATOS!$A$2:$A$20000,A445,DATOS!$G$2:$G$20000,CONFIG_METADATA!$B$4,DATOS!$I$2:$I$20000,"Conjunto"),"")))</f>
        <v/>
      </c>
      <c r="E445" t="str">
        <f>IF(A445="","",IF(A445="[FÓRMULA MANUAL]","",IFERROR(SUMPRODUCT((DATOS!$A$2:$A$20000=A445)*(DATOS!$G$2:$G$20000=CONFIG_METADATA!$B$4)*(COUNTIF(CONFIG_ASIGNATURAS!$B$7:$B$27,DATOS!$I$2:$I$20000)&gt;0)*(DATOS!$K$2:$K$20000))/SUMPRODUCT((DATOS!$A$2:$A$20000=A445)*(DATOS!$G$2:$G$20000=CONFIG_METADATA!$B$4)*(COUNTIF(CONFIG_ASIGNATURAS!$B$7:$B$27,DATOS!$I$2:$I$20000)&gt;0)*1),"")))</f>
        <v/>
      </c>
      <c r="H445" t="str">
        <f>IF(G445="","",IF(G445="[FÓRMULA MANUAL]","",IFERROR(AVERAGEIFS(DATOS!$K$2:$K$20000,DATOS!$A$2:$A$20000,G445,DATOS!$G$2:$G$20000,CONFIG_METADATA!$B$4,DATOS!$I$2:$I$20000,"Lenguaje Musical"),"")))</f>
        <v/>
      </c>
      <c r="I445" t="str">
        <f>IF(G445="","",IF(G445="[FÓRMULA MANUAL]","",IFERROR(AVERAGEIFS(DATOS!$K$2:$K$20000,DATOS!$A$2:$A$20000,G445,DATOS!$G$2:$G$20000,CONFIG_METADATA!$B$4,DATOS!$I$2:$I$20000,"Orquesta/Banda/Conjunto"),"")))</f>
        <v/>
      </c>
      <c r="J445" t="str">
        <f>IF(G445="","",IF(G445="[FÓRMULA MANUAL]","",IFERROR(AVERAGEIFS(DATOS!$K$2:$K$20000,DATOS!$A$2:$A$20000,G445,DATOS!$G$2:$G$20000,CONFIG_METADATA!$B$4,DATOS!$I$2:$I$20000,"Conjunto"),"")))</f>
        <v/>
      </c>
      <c r="K445" t="str">
        <f>IF(G445="","",IF(G445="[FÓRMULA MANUAL]","",IFERROR(SUMPRODUCT((DATOS!$A$2:$A$20000=G445)*(DATOS!$G$2:$G$20000=CONFIG_METADATA!$B$4)*(COUNTIF(CONFIG_ASIGNATURAS!$B$7:$B$27,DATOS!$I$2:$I$20000)&gt;0)*(DATOS!$K$2:$K$20000))/SUMPRODUCT((DATOS!$A$2:$A$20000=G445)*(DATOS!$G$2:$G$20000=CONFIG_METADATA!$B$4)*(COUNTIF(CONFIG_ASIGNATURAS!$B$7:$B$27,DATOS!$I$2:$I$20000)&gt;0)*1),"")))</f>
        <v/>
      </c>
      <c r="N445" t="str">
        <f>IF(M445="","",IF(M445="[FÓRMULA MANUAL]","",IFERROR(AVERAGEIFS(DATOS!$K$2:$K$20000,DATOS!$A$2:$A$20000,M445,DATOS!$G$2:$G$20000,CONFIG_METADATA!$B$4,DATOS!$I$2:$I$20000,"Armonía"),"")))</f>
        <v/>
      </c>
      <c r="O445" t="str">
        <f>IF(M445="","",IF(M445="[FÓRMULA MANUAL]","",IFERROR(AVERAGEIFS(DATOS!$K$2:$K$20000,DATOS!$A$2:$A$20000,M445,DATOS!$G$2:$G$20000,CONFIG_METADATA!$B$4,DATOS!$I$2:$I$20000,"Orquesta/Banda/Conjunto"),"")))</f>
        <v/>
      </c>
      <c r="P445" t="str">
        <f>IF(M445="","",IF(M445="[FÓRMULA MANUAL]","",IFERROR(AVERAGEIFS(DATOS!$K$2:$K$20000,DATOS!$A$2:$A$20000,M445,DATOS!$G$2:$G$20000,CONFIG_METADATA!$B$4,DATOS!$I$2:$I$20000,"Música de Cámara"),"")))</f>
        <v/>
      </c>
      <c r="Q445" t="str">
        <f>IF(M445="","",IF(M445="[FÓRMULA MANUAL]","",IFERROR(SUMPRODUCT((DATOS!$A$2:$A$20000=M445)*(DATOS!$G$2:$G$20000=CONFIG_METADATA!$B$4)*(COUNTIF(CONFIG_ASIGNATURAS!$B$7:$B$27,DATOS!$I$2:$I$20000)&gt;0)*(DATOS!$K$2:$K$20000))/SUMPRODUCT((DATOS!$A$2:$A$20000=M445)*(DATOS!$G$2:$G$20000=CONFIG_METADATA!$B$4)*(COUNTIF(CONFIG_ASIGNATURAS!$B$7:$B$27,DATOS!$I$2:$I$20000)&gt;0)*1),"")))</f>
        <v/>
      </c>
      <c r="T445" t="str">
        <f>IF(S445="","",IF(S445="[FÓRMULA MANUAL]","",IFERROR(AVERAGEIFS(DATOS!$K$2:$K$20000,DATOS!$A$2:$A$20000,S445,DATOS!$G$2:$G$20000,CONFIG_METADATA!$B$4,DATOS!$I$2:$I$20000,"Armonía"),"")))</f>
        <v/>
      </c>
      <c r="U445" t="str">
        <f>IF(S445="","",IF(S445="[FÓRMULA MANUAL]","",IFERROR(AVERAGEIFS(DATOS!$K$2:$K$20000,DATOS!$A$2:$A$20000,S445,DATOS!$G$2:$G$20000,CONFIG_METADATA!$B$4,DATOS!$I$2:$I$20000,"Orquesta/Banda/Conjunto"),"")))</f>
        <v/>
      </c>
      <c r="V445" t="str">
        <f>IF(S445="","",IF(S445="[FÓRMULA MANUAL]","",IFERROR(AVERAGEIFS(DATOS!$K$2:$K$20000,DATOS!$A$2:$A$20000,S445,DATOS!$G$2:$G$20000,CONFIG_METADATA!$B$4,DATOS!$I$2:$I$20000,"Música de Cámara"),"")))</f>
        <v/>
      </c>
      <c r="W445" t="str">
        <f>IF(S445="","",IF(S445="[FÓRMULA MANUAL]","",IFERROR(SUMPRODUCT((DATOS!$A$2:$A$20000=S445)*(DATOS!$G$2:$G$20000=CONFIG_METADATA!$B$4)*(COUNTIF(CONFIG_ASIGNATURAS!$B$7:$B$27,DATOS!$I$2:$I$20000)&gt;0)*(DATOS!$K$2:$K$20000))/SUMPRODUCT((DATOS!$A$2:$A$20000=S445)*(DATOS!$G$2:$G$20000=CONFIG_METADATA!$B$4)*(COUNTIF(CONFIG_ASIGNATURAS!$B$7:$B$27,DATOS!$I$2:$I$20000)&gt;0)*1),"")))</f>
        <v/>
      </c>
      <c r="Z445" t="str">
        <f>IF(Y445="","",IF(Y445="[FÓRMULA MANUAL]","",IFERROR(AVERAGEIFS(DATOS!$K$2:$K$20000,DATOS!$A$2:$A$20000,Y445,DATOS!$G$2:$G$20000,CONFIG_METADATA!$B$4,DATOS!$I$2:$I$20000,"Análisis"),"")))</f>
        <v/>
      </c>
      <c r="AA445" t="str">
        <f>IF(Y445="","",IF(Y445="[FÓRMULA MANUAL]","",IFERROR(AVERAGEIFS(DATOS!$K$2:$K$20000,DATOS!$A$2:$A$20000,Y445,DATOS!$G$2:$G$20000,CONFIG_METADATA!$B$4,DATOS!$I$2:$I$20000,"Orquesta/Banda/Conjunto"),"")))</f>
        <v/>
      </c>
      <c r="AB445" t="str">
        <f>IF(Y445="","",IF(Y445="[FÓRMULA MANUAL]","",IFERROR(AVERAGEIFS(DATOS!$K$2:$K$20000,DATOS!$A$2:$A$20000,Y445,DATOS!$G$2:$G$20000,CONFIG_METADATA!$B$4,DATOS!$I$2:$I$20000,"Música de Cámara"),"")))</f>
        <v/>
      </c>
      <c r="AC445" t="str">
        <f>IF(Y445="","",IF(Y445="[FÓRMULA MANUAL]","",IFERROR(SUMPRODUCT((DATOS!$A$2:$A$20000=Y445)*(DATOS!$G$2:$G$20000=CONFIG_METADATA!$B$4)*(COUNTIF(CONFIG_ASIGNATURAS!$B$7:$B$27,DATOS!$I$2:$I$20000)&gt;0)*(DATOS!$K$2:$K$20000))/SUMPRODUCT((DATOS!$A$2:$A$20000=Y445)*(DATOS!$G$2:$G$20000=CONFIG_METADATA!$B$4)*(COUNTIF(CONFIG_ASIGNATURAS!$B$7:$B$27,DATOS!$I$2:$I$20000)&gt;0)*1),"")))</f>
        <v/>
      </c>
      <c r="AF445" t="str">
        <f>IF(AE445="","",IF(AE445="[FÓRMULA MANUAL]","",IFERROR(AVERAGEIFS(DATOS!$K$2:$K$20000,DATOS!$A$2:$A$20000,AE445,DATOS!$G$2:$G$20000,CONFIG_METADATA!$B$4,DATOS!$I$2:$I$20000,"Análisis"),"")))</f>
        <v/>
      </c>
      <c r="AG445" t="str">
        <f>IF(AE445="","",IF(AE445="[FÓRMULA MANUAL]","",IFERROR(AVERAGEIFS(DATOS!$K$2:$K$20000,DATOS!$A$2:$A$20000,AE445,DATOS!$G$2:$G$20000,CONFIG_METADATA!$B$4,DATOS!$I$2:$I$20000,"Orquesta/Banda/Conjunto"),"")))</f>
        <v/>
      </c>
      <c r="AH445" t="str">
        <f>IF(AE445="","",IF(AE445="[FÓRMULA MANUAL]","",IFERROR(AVERAGEIFS(DATOS!$K$2:$K$20000,DATOS!$A$2:$A$20000,AE445,DATOS!$G$2:$G$20000,CONFIG_METADATA!$B$4,DATOS!$I$2:$I$20000,"Música de Cámara"),"")))</f>
        <v/>
      </c>
      <c r="AI445" t="str">
        <f>IF(AE445="","",IF(AE445="[FÓRMULA MANUAL]","",IFERROR(SUMPRODUCT((DATOS!$A$2:$A$20000=AE445)*(DATOS!$G$2:$G$20000=CONFIG_METADATA!$B$4)*(COUNTIF(CONFIG_ASIGNATURAS!$B$7:$B$27,DATOS!$I$2:$I$20000)&gt;0)*(DATOS!$K$2:$K$20000))/SUMPRODUCT((DATOS!$A$2:$A$20000=AE445)*(DATOS!$G$2:$G$20000=CONFIG_METADATA!$B$4)*(COUNTIF(CONFIG_ASIGNATURAS!$B$7:$B$27,DATOS!$I$2:$I$20000)&gt;0)*1),"")))</f>
        <v/>
      </c>
    </row>
    <row r="446" spans="2:35" x14ac:dyDescent="0.2">
      <c r="B446" t="str">
        <f>IF(A446="","",IF(A446="[FÓRMULA MANUAL]","",IFERROR(AVERAGEIFS(DATOS!$K$2:$K$20000,DATOS!$A$2:$A$20000,A446,DATOS!$G$2:$G$20000,CONFIG_METADATA!$B$4,DATOS!$I$2:$I$20000,"Lenguaje Musical"),"")))</f>
        <v/>
      </c>
      <c r="C446" t="str">
        <f>IF(A446="","",IF(A446="[FÓRMULA MANUAL]","",IFERROR(AVERAGEIFS(DATOS!$K$2:$K$20000,DATOS!$A$2:$A$20000,A446,DATOS!$G$2:$G$20000,CONFIG_METADATA!$B$4,DATOS!$I$2:$I$20000,"Orquesta/Banda/Conjunto"),"")))</f>
        <v/>
      </c>
      <c r="D446" t="str">
        <f>IF(A446="","",IF(A446="[FÓRMULA MANUAL]","",IFERROR(AVERAGEIFS(DATOS!$K$2:$K$20000,DATOS!$A$2:$A$20000,A446,DATOS!$G$2:$G$20000,CONFIG_METADATA!$B$4,DATOS!$I$2:$I$20000,"Conjunto"),"")))</f>
        <v/>
      </c>
      <c r="E446" t="str">
        <f>IF(A446="","",IF(A446="[FÓRMULA MANUAL]","",IFERROR(SUMPRODUCT((DATOS!$A$2:$A$20000=A446)*(DATOS!$G$2:$G$20000=CONFIG_METADATA!$B$4)*(COUNTIF(CONFIG_ASIGNATURAS!$B$7:$B$27,DATOS!$I$2:$I$20000)&gt;0)*(DATOS!$K$2:$K$20000))/SUMPRODUCT((DATOS!$A$2:$A$20000=A446)*(DATOS!$G$2:$G$20000=CONFIG_METADATA!$B$4)*(COUNTIF(CONFIG_ASIGNATURAS!$B$7:$B$27,DATOS!$I$2:$I$20000)&gt;0)*1),"")))</f>
        <v/>
      </c>
      <c r="H446" t="str">
        <f>IF(G446="","",IF(G446="[FÓRMULA MANUAL]","",IFERROR(AVERAGEIFS(DATOS!$K$2:$K$20000,DATOS!$A$2:$A$20000,G446,DATOS!$G$2:$G$20000,CONFIG_METADATA!$B$4,DATOS!$I$2:$I$20000,"Lenguaje Musical"),"")))</f>
        <v/>
      </c>
      <c r="I446" t="str">
        <f>IF(G446="","",IF(G446="[FÓRMULA MANUAL]","",IFERROR(AVERAGEIFS(DATOS!$K$2:$K$20000,DATOS!$A$2:$A$20000,G446,DATOS!$G$2:$G$20000,CONFIG_METADATA!$B$4,DATOS!$I$2:$I$20000,"Orquesta/Banda/Conjunto"),"")))</f>
        <v/>
      </c>
      <c r="J446" t="str">
        <f>IF(G446="","",IF(G446="[FÓRMULA MANUAL]","",IFERROR(AVERAGEIFS(DATOS!$K$2:$K$20000,DATOS!$A$2:$A$20000,G446,DATOS!$G$2:$G$20000,CONFIG_METADATA!$B$4,DATOS!$I$2:$I$20000,"Conjunto"),"")))</f>
        <v/>
      </c>
      <c r="K446" t="str">
        <f>IF(G446="","",IF(G446="[FÓRMULA MANUAL]","",IFERROR(SUMPRODUCT((DATOS!$A$2:$A$20000=G446)*(DATOS!$G$2:$G$20000=CONFIG_METADATA!$B$4)*(COUNTIF(CONFIG_ASIGNATURAS!$B$7:$B$27,DATOS!$I$2:$I$20000)&gt;0)*(DATOS!$K$2:$K$20000))/SUMPRODUCT((DATOS!$A$2:$A$20000=G446)*(DATOS!$G$2:$G$20000=CONFIG_METADATA!$B$4)*(COUNTIF(CONFIG_ASIGNATURAS!$B$7:$B$27,DATOS!$I$2:$I$20000)&gt;0)*1),"")))</f>
        <v/>
      </c>
      <c r="N446" t="str">
        <f>IF(M446="","",IF(M446="[FÓRMULA MANUAL]","",IFERROR(AVERAGEIFS(DATOS!$K$2:$K$20000,DATOS!$A$2:$A$20000,M446,DATOS!$G$2:$G$20000,CONFIG_METADATA!$B$4,DATOS!$I$2:$I$20000,"Armonía"),"")))</f>
        <v/>
      </c>
      <c r="O446" t="str">
        <f>IF(M446="","",IF(M446="[FÓRMULA MANUAL]","",IFERROR(AVERAGEIFS(DATOS!$K$2:$K$20000,DATOS!$A$2:$A$20000,M446,DATOS!$G$2:$G$20000,CONFIG_METADATA!$B$4,DATOS!$I$2:$I$20000,"Orquesta/Banda/Conjunto"),"")))</f>
        <v/>
      </c>
      <c r="P446" t="str">
        <f>IF(M446="","",IF(M446="[FÓRMULA MANUAL]","",IFERROR(AVERAGEIFS(DATOS!$K$2:$K$20000,DATOS!$A$2:$A$20000,M446,DATOS!$G$2:$G$20000,CONFIG_METADATA!$B$4,DATOS!$I$2:$I$20000,"Música de Cámara"),"")))</f>
        <v/>
      </c>
      <c r="Q446" t="str">
        <f>IF(M446="","",IF(M446="[FÓRMULA MANUAL]","",IFERROR(SUMPRODUCT((DATOS!$A$2:$A$20000=M446)*(DATOS!$G$2:$G$20000=CONFIG_METADATA!$B$4)*(COUNTIF(CONFIG_ASIGNATURAS!$B$7:$B$27,DATOS!$I$2:$I$20000)&gt;0)*(DATOS!$K$2:$K$20000))/SUMPRODUCT((DATOS!$A$2:$A$20000=M446)*(DATOS!$G$2:$G$20000=CONFIG_METADATA!$B$4)*(COUNTIF(CONFIG_ASIGNATURAS!$B$7:$B$27,DATOS!$I$2:$I$20000)&gt;0)*1),"")))</f>
        <v/>
      </c>
      <c r="T446" t="str">
        <f>IF(S446="","",IF(S446="[FÓRMULA MANUAL]","",IFERROR(AVERAGEIFS(DATOS!$K$2:$K$20000,DATOS!$A$2:$A$20000,S446,DATOS!$G$2:$G$20000,CONFIG_METADATA!$B$4,DATOS!$I$2:$I$20000,"Armonía"),"")))</f>
        <v/>
      </c>
      <c r="U446" t="str">
        <f>IF(S446="","",IF(S446="[FÓRMULA MANUAL]","",IFERROR(AVERAGEIFS(DATOS!$K$2:$K$20000,DATOS!$A$2:$A$20000,S446,DATOS!$G$2:$G$20000,CONFIG_METADATA!$B$4,DATOS!$I$2:$I$20000,"Orquesta/Banda/Conjunto"),"")))</f>
        <v/>
      </c>
      <c r="V446" t="str">
        <f>IF(S446="","",IF(S446="[FÓRMULA MANUAL]","",IFERROR(AVERAGEIFS(DATOS!$K$2:$K$20000,DATOS!$A$2:$A$20000,S446,DATOS!$G$2:$G$20000,CONFIG_METADATA!$B$4,DATOS!$I$2:$I$20000,"Música de Cámara"),"")))</f>
        <v/>
      </c>
      <c r="W446" t="str">
        <f>IF(S446="","",IF(S446="[FÓRMULA MANUAL]","",IFERROR(SUMPRODUCT((DATOS!$A$2:$A$20000=S446)*(DATOS!$G$2:$G$20000=CONFIG_METADATA!$B$4)*(COUNTIF(CONFIG_ASIGNATURAS!$B$7:$B$27,DATOS!$I$2:$I$20000)&gt;0)*(DATOS!$K$2:$K$20000))/SUMPRODUCT((DATOS!$A$2:$A$20000=S446)*(DATOS!$G$2:$G$20000=CONFIG_METADATA!$B$4)*(COUNTIF(CONFIG_ASIGNATURAS!$B$7:$B$27,DATOS!$I$2:$I$20000)&gt;0)*1),"")))</f>
        <v/>
      </c>
      <c r="Z446" t="str">
        <f>IF(Y446="","",IF(Y446="[FÓRMULA MANUAL]","",IFERROR(AVERAGEIFS(DATOS!$K$2:$K$20000,DATOS!$A$2:$A$20000,Y446,DATOS!$G$2:$G$20000,CONFIG_METADATA!$B$4,DATOS!$I$2:$I$20000,"Análisis"),"")))</f>
        <v/>
      </c>
      <c r="AA446" t="str">
        <f>IF(Y446="","",IF(Y446="[FÓRMULA MANUAL]","",IFERROR(AVERAGEIFS(DATOS!$K$2:$K$20000,DATOS!$A$2:$A$20000,Y446,DATOS!$G$2:$G$20000,CONFIG_METADATA!$B$4,DATOS!$I$2:$I$20000,"Orquesta/Banda/Conjunto"),"")))</f>
        <v/>
      </c>
      <c r="AB446" t="str">
        <f>IF(Y446="","",IF(Y446="[FÓRMULA MANUAL]","",IFERROR(AVERAGEIFS(DATOS!$K$2:$K$20000,DATOS!$A$2:$A$20000,Y446,DATOS!$G$2:$G$20000,CONFIG_METADATA!$B$4,DATOS!$I$2:$I$20000,"Música de Cámara"),"")))</f>
        <v/>
      </c>
      <c r="AC446" t="str">
        <f>IF(Y446="","",IF(Y446="[FÓRMULA MANUAL]","",IFERROR(SUMPRODUCT((DATOS!$A$2:$A$20000=Y446)*(DATOS!$G$2:$G$20000=CONFIG_METADATA!$B$4)*(COUNTIF(CONFIG_ASIGNATURAS!$B$7:$B$27,DATOS!$I$2:$I$20000)&gt;0)*(DATOS!$K$2:$K$20000))/SUMPRODUCT((DATOS!$A$2:$A$20000=Y446)*(DATOS!$G$2:$G$20000=CONFIG_METADATA!$B$4)*(COUNTIF(CONFIG_ASIGNATURAS!$B$7:$B$27,DATOS!$I$2:$I$20000)&gt;0)*1),"")))</f>
        <v/>
      </c>
      <c r="AF446" t="str">
        <f>IF(AE446="","",IF(AE446="[FÓRMULA MANUAL]","",IFERROR(AVERAGEIFS(DATOS!$K$2:$K$20000,DATOS!$A$2:$A$20000,AE446,DATOS!$G$2:$G$20000,CONFIG_METADATA!$B$4,DATOS!$I$2:$I$20000,"Análisis"),"")))</f>
        <v/>
      </c>
      <c r="AG446" t="str">
        <f>IF(AE446="","",IF(AE446="[FÓRMULA MANUAL]","",IFERROR(AVERAGEIFS(DATOS!$K$2:$K$20000,DATOS!$A$2:$A$20000,AE446,DATOS!$G$2:$G$20000,CONFIG_METADATA!$B$4,DATOS!$I$2:$I$20000,"Orquesta/Banda/Conjunto"),"")))</f>
        <v/>
      </c>
      <c r="AH446" t="str">
        <f>IF(AE446="","",IF(AE446="[FÓRMULA MANUAL]","",IFERROR(AVERAGEIFS(DATOS!$K$2:$K$20000,DATOS!$A$2:$A$20000,AE446,DATOS!$G$2:$G$20000,CONFIG_METADATA!$B$4,DATOS!$I$2:$I$20000,"Música de Cámara"),"")))</f>
        <v/>
      </c>
      <c r="AI446" t="str">
        <f>IF(AE446="","",IF(AE446="[FÓRMULA MANUAL]","",IFERROR(SUMPRODUCT((DATOS!$A$2:$A$20000=AE446)*(DATOS!$G$2:$G$20000=CONFIG_METADATA!$B$4)*(COUNTIF(CONFIG_ASIGNATURAS!$B$7:$B$27,DATOS!$I$2:$I$20000)&gt;0)*(DATOS!$K$2:$K$20000))/SUMPRODUCT((DATOS!$A$2:$A$20000=AE446)*(DATOS!$G$2:$G$20000=CONFIG_METADATA!$B$4)*(COUNTIF(CONFIG_ASIGNATURAS!$B$7:$B$27,DATOS!$I$2:$I$20000)&gt;0)*1),"")))</f>
        <v/>
      </c>
    </row>
    <row r="447" spans="2:35" x14ac:dyDescent="0.2">
      <c r="B447" t="str">
        <f>IF(A447="","",IF(A447="[FÓRMULA MANUAL]","",IFERROR(AVERAGEIFS(DATOS!$K$2:$K$20000,DATOS!$A$2:$A$20000,A447,DATOS!$G$2:$G$20000,CONFIG_METADATA!$B$4,DATOS!$I$2:$I$20000,"Lenguaje Musical"),"")))</f>
        <v/>
      </c>
      <c r="C447" t="str">
        <f>IF(A447="","",IF(A447="[FÓRMULA MANUAL]","",IFERROR(AVERAGEIFS(DATOS!$K$2:$K$20000,DATOS!$A$2:$A$20000,A447,DATOS!$G$2:$G$20000,CONFIG_METADATA!$B$4,DATOS!$I$2:$I$20000,"Orquesta/Banda/Conjunto"),"")))</f>
        <v/>
      </c>
      <c r="D447" t="str">
        <f>IF(A447="","",IF(A447="[FÓRMULA MANUAL]","",IFERROR(AVERAGEIFS(DATOS!$K$2:$K$20000,DATOS!$A$2:$A$20000,A447,DATOS!$G$2:$G$20000,CONFIG_METADATA!$B$4,DATOS!$I$2:$I$20000,"Conjunto"),"")))</f>
        <v/>
      </c>
      <c r="E447" t="str">
        <f>IF(A447="","",IF(A447="[FÓRMULA MANUAL]","",IFERROR(SUMPRODUCT((DATOS!$A$2:$A$20000=A447)*(DATOS!$G$2:$G$20000=CONFIG_METADATA!$B$4)*(COUNTIF(CONFIG_ASIGNATURAS!$B$7:$B$27,DATOS!$I$2:$I$20000)&gt;0)*(DATOS!$K$2:$K$20000))/SUMPRODUCT((DATOS!$A$2:$A$20000=A447)*(DATOS!$G$2:$G$20000=CONFIG_METADATA!$B$4)*(COUNTIF(CONFIG_ASIGNATURAS!$B$7:$B$27,DATOS!$I$2:$I$20000)&gt;0)*1),"")))</f>
        <v/>
      </c>
      <c r="H447" t="str">
        <f>IF(G447="","",IF(G447="[FÓRMULA MANUAL]","",IFERROR(AVERAGEIFS(DATOS!$K$2:$K$20000,DATOS!$A$2:$A$20000,G447,DATOS!$G$2:$G$20000,CONFIG_METADATA!$B$4,DATOS!$I$2:$I$20000,"Lenguaje Musical"),"")))</f>
        <v/>
      </c>
      <c r="I447" t="str">
        <f>IF(G447="","",IF(G447="[FÓRMULA MANUAL]","",IFERROR(AVERAGEIFS(DATOS!$K$2:$K$20000,DATOS!$A$2:$A$20000,G447,DATOS!$G$2:$G$20000,CONFIG_METADATA!$B$4,DATOS!$I$2:$I$20000,"Orquesta/Banda/Conjunto"),"")))</f>
        <v/>
      </c>
      <c r="J447" t="str">
        <f>IF(G447="","",IF(G447="[FÓRMULA MANUAL]","",IFERROR(AVERAGEIFS(DATOS!$K$2:$K$20000,DATOS!$A$2:$A$20000,G447,DATOS!$G$2:$G$20000,CONFIG_METADATA!$B$4,DATOS!$I$2:$I$20000,"Conjunto"),"")))</f>
        <v/>
      </c>
      <c r="K447" t="str">
        <f>IF(G447="","",IF(G447="[FÓRMULA MANUAL]","",IFERROR(SUMPRODUCT((DATOS!$A$2:$A$20000=G447)*(DATOS!$G$2:$G$20000=CONFIG_METADATA!$B$4)*(COUNTIF(CONFIG_ASIGNATURAS!$B$7:$B$27,DATOS!$I$2:$I$20000)&gt;0)*(DATOS!$K$2:$K$20000))/SUMPRODUCT((DATOS!$A$2:$A$20000=G447)*(DATOS!$G$2:$G$20000=CONFIG_METADATA!$B$4)*(COUNTIF(CONFIG_ASIGNATURAS!$B$7:$B$27,DATOS!$I$2:$I$20000)&gt;0)*1),"")))</f>
        <v/>
      </c>
      <c r="N447" t="str">
        <f>IF(M447="","",IF(M447="[FÓRMULA MANUAL]","",IFERROR(AVERAGEIFS(DATOS!$K$2:$K$20000,DATOS!$A$2:$A$20000,M447,DATOS!$G$2:$G$20000,CONFIG_METADATA!$B$4,DATOS!$I$2:$I$20000,"Armonía"),"")))</f>
        <v/>
      </c>
      <c r="O447" t="str">
        <f>IF(M447="","",IF(M447="[FÓRMULA MANUAL]","",IFERROR(AVERAGEIFS(DATOS!$K$2:$K$20000,DATOS!$A$2:$A$20000,M447,DATOS!$G$2:$G$20000,CONFIG_METADATA!$B$4,DATOS!$I$2:$I$20000,"Orquesta/Banda/Conjunto"),"")))</f>
        <v/>
      </c>
      <c r="P447" t="str">
        <f>IF(M447="","",IF(M447="[FÓRMULA MANUAL]","",IFERROR(AVERAGEIFS(DATOS!$K$2:$K$20000,DATOS!$A$2:$A$20000,M447,DATOS!$G$2:$G$20000,CONFIG_METADATA!$B$4,DATOS!$I$2:$I$20000,"Música de Cámara"),"")))</f>
        <v/>
      </c>
      <c r="Q447" t="str">
        <f>IF(M447="","",IF(M447="[FÓRMULA MANUAL]","",IFERROR(SUMPRODUCT((DATOS!$A$2:$A$20000=M447)*(DATOS!$G$2:$G$20000=CONFIG_METADATA!$B$4)*(COUNTIF(CONFIG_ASIGNATURAS!$B$7:$B$27,DATOS!$I$2:$I$20000)&gt;0)*(DATOS!$K$2:$K$20000))/SUMPRODUCT((DATOS!$A$2:$A$20000=M447)*(DATOS!$G$2:$G$20000=CONFIG_METADATA!$B$4)*(COUNTIF(CONFIG_ASIGNATURAS!$B$7:$B$27,DATOS!$I$2:$I$20000)&gt;0)*1),"")))</f>
        <v/>
      </c>
      <c r="T447" t="str">
        <f>IF(S447="","",IF(S447="[FÓRMULA MANUAL]","",IFERROR(AVERAGEIFS(DATOS!$K$2:$K$20000,DATOS!$A$2:$A$20000,S447,DATOS!$G$2:$G$20000,CONFIG_METADATA!$B$4,DATOS!$I$2:$I$20000,"Armonía"),"")))</f>
        <v/>
      </c>
      <c r="U447" t="str">
        <f>IF(S447="","",IF(S447="[FÓRMULA MANUAL]","",IFERROR(AVERAGEIFS(DATOS!$K$2:$K$20000,DATOS!$A$2:$A$20000,S447,DATOS!$G$2:$G$20000,CONFIG_METADATA!$B$4,DATOS!$I$2:$I$20000,"Orquesta/Banda/Conjunto"),"")))</f>
        <v/>
      </c>
      <c r="V447" t="str">
        <f>IF(S447="","",IF(S447="[FÓRMULA MANUAL]","",IFERROR(AVERAGEIFS(DATOS!$K$2:$K$20000,DATOS!$A$2:$A$20000,S447,DATOS!$G$2:$G$20000,CONFIG_METADATA!$B$4,DATOS!$I$2:$I$20000,"Música de Cámara"),"")))</f>
        <v/>
      </c>
      <c r="W447" t="str">
        <f>IF(S447="","",IF(S447="[FÓRMULA MANUAL]","",IFERROR(SUMPRODUCT((DATOS!$A$2:$A$20000=S447)*(DATOS!$G$2:$G$20000=CONFIG_METADATA!$B$4)*(COUNTIF(CONFIG_ASIGNATURAS!$B$7:$B$27,DATOS!$I$2:$I$20000)&gt;0)*(DATOS!$K$2:$K$20000))/SUMPRODUCT((DATOS!$A$2:$A$20000=S447)*(DATOS!$G$2:$G$20000=CONFIG_METADATA!$B$4)*(COUNTIF(CONFIG_ASIGNATURAS!$B$7:$B$27,DATOS!$I$2:$I$20000)&gt;0)*1),"")))</f>
        <v/>
      </c>
      <c r="Z447" t="str">
        <f>IF(Y447="","",IF(Y447="[FÓRMULA MANUAL]","",IFERROR(AVERAGEIFS(DATOS!$K$2:$K$20000,DATOS!$A$2:$A$20000,Y447,DATOS!$G$2:$G$20000,CONFIG_METADATA!$B$4,DATOS!$I$2:$I$20000,"Análisis"),"")))</f>
        <v/>
      </c>
      <c r="AA447" t="str">
        <f>IF(Y447="","",IF(Y447="[FÓRMULA MANUAL]","",IFERROR(AVERAGEIFS(DATOS!$K$2:$K$20000,DATOS!$A$2:$A$20000,Y447,DATOS!$G$2:$G$20000,CONFIG_METADATA!$B$4,DATOS!$I$2:$I$20000,"Orquesta/Banda/Conjunto"),"")))</f>
        <v/>
      </c>
      <c r="AB447" t="str">
        <f>IF(Y447="","",IF(Y447="[FÓRMULA MANUAL]","",IFERROR(AVERAGEIFS(DATOS!$K$2:$K$20000,DATOS!$A$2:$A$20000,Y447,DATOS!$G$2:$G$20000,CONFIG_METADATA!$B$4,DATOS!$I$2:$I$20000,"Música de Cámara"),"")))</f>
        <v/>
      </c>
      <c r="AC447" t="str">
        <f>IF(Y447="","",IF(Y447="[FÓRMULA MANUAL]","",IFERROR(SUMPRODUCT((DATOS!$A$2:$A$20000=Y447)*(DATOS!$G$2:$G$20000=CONFIG_METADATA!$B$4)*(COUNTIF(CONFIG_ASIGNATURAS!$B$7:$B$27,DATOS!$I$2:$I$20000)&gt;0)*(DATOS!$K$2:$K$20000))/SUMPRODUCT((DATOS!$A$2:$A$20000=Y447)*(DATOS!$G$2:$G$20000=CONFIG_METADATA!$B$4)*(COUNTIF(CONFIG_ASIGNATURAS!$B$7:$B$27,DATOS!$I$2:$I$20000)&gt;0)*1),"")))</f>
        <v/>
      </c>
      <c r="AF447" t="str">
        <f>IF(AE447="","",IF(AE447="[FÓRMULA MANUAL]","",IFERROR(AVERAGEIFS(DATOS!$K$2:$K$20000,DATOS!$A$2:$A$20000,AE447,DATOS!$G$2:$G$20000,CONFIG_METADATA!$B$4,DATOS!$I$2:$I$20000,"Análisis"),"")))</f>
        <v/>
      </c>
      <c r="AG447" t="str">
        <f>IF(AE447="","",IF(AE447="[FÓRMULA MANUAL]","",IFERROR(AVERAGEIFS(DATOS!$K$2:$K$20000,DATOS!$A$2:$A$20000,AE447,DATOS!$G$2:$G$20000,CONFIG_METADATA!$B$4,DATOS!$I$2:$I$20000,"Orquesta/Banda/Conjunto"),"")))</f>
        <v/>
      </c>
      <c r="AH447" t="str">
        <f>IF(AE447="","",IF(AE447="[FÓRMULA MANUAL]","",IFERROR(AVERAGEIFS(DATOS!$K$2:$K$20000,DATOS!$A$2:$A$20000,AE447,DATOS!$G$2:$G$20000,CONFIG_METADATA!$B$4,DATOS!$I$2:$I$20000,"Música de Cámara"),"")))</f>
        <v/>
      </c>
      <c r="AI447" t="str">
        <f>IF(AE447="","",IF(AE447="[FÓRMULA MANUAL]","",IFERROR(SUMPRODUCT((DATOS!$A$2:$A$20000=AE447)*(DATOS!$G$2:$G$20000=CONFIG_METADATA!$B$4)*(COUNTIF(CONFIG_ASIGNATURAS!$B$7:$B$27,DATOS!$I$2:$I$20000)&gt;0)*(DATOS!$K$2:$K$20000))/SUMPRODUCT((DATOS!$A$2:$A$20000=AE447)*(DATOS!$G$2:$G$20000=CONFIG_METADATA!$B$4)*(COUNTIF(CONFIG_ASIGNATURAS!$B$7:$B$27,DATOS!$I$2:$I$20000)&gt;0)*1),"")))</f>
        <v/>
      </c>
    </row>
    <row r="448" spans="2:35" x14ac:dyDescent="0.2">
      <c r="B448" t="str">
        <f>IF(A448="","",IF(A448="[FÓRMULA MANUAL]","",IFERROR(AVERAGEIFS(DATOS!$K$2:$K$20000,DATOS!$A$2:$A$20000,A448,DATOS!$G$2:$G$20000,CONFIG_METADATA!$B$4,DATOS!$I$2:$I$20000,"Lenguaje Musical"),"")))</f>
        <v/>
      </c>
      <c r="C448" t="str">
        <f>IF(A448="","",IF(A448="[FÓRMULA MANUAL]","",IFERROR(AVERAGEIFS(DATOS!$K$2:$K$20000,DATOS!$A$2:$A$20000,A448,DATOS!$G$2:$G$20000,CONFIG_METADATA!$B$4,DATOS!$I$2:$I$20000,"Orquesta/Banda/Conjunto"),"")))</f>
        <v/>
      </c>
      <c r="D448" t="str">
        <f>IF(A448="","",IF(A448="[FÓRMULA MANUAL]","",IFERROR(AVERAGEIFS(DATOS!$K$2:$K$20000,DATOS!$A$2:$A$20000,A448,DATOS!$G$2:$G$20000,CONFIG_METADATA!$B$4,DATOS!$I$2:$I$20000,"Conjunto"),"")))</f>
        <v/>
      </c>
      <c r="E448" t="str">
        <f>IF(A448="","",IF(A448="[FÓRMULA MANUAL]","",IFERROR(SUMPRODUCT((DATOS!$A$2:$A$20000=A448)*(DATOS!$G$2:$G$20000=CONFIG_METADATA!$B$4)*(COUNTIF(CONFIG_ASIGNATURAS!$B$7:$B$27,DATOS!$I$2:$I$20000)&gt;0)*(DATOS!$K$2:$K$20000))/SUMPRODUCT((DATOS!$A$2:$A$20000=A448)*(DATOS!$G$2:$G$20000=CONFIG_METADATA!$B$4)*(COUNTIF(CONFIG_ASIGNATURAS!$B$7:$B$27,DATOS!$I$2:$I$20000)&gt;0)*1),"")))</f>
        <v/>
      </c>
      <c r="H448" t="str">
        <f>IF(G448="","",IF(G448="[FÓRMULA MANUAL]","",IFERROR(AVERAGEIFS(DATOS!$K$2:$K$20000,DATOS!$A$2:$A$20000,G448,DATOS!$G$2:$G$20000,CONFIG_METADATA!$B$4,DATOS!$I$2:$I$20000,"Lenguaje Musical"),"")))</f>
        <v/>
      </c>
      <c r="I448" t="str">
        <f>IF(G448="","",IF(G448="[FÓRMULA MANUAL]","",IFERROR(AVERAGEIFS(DATOS!$K$2:$K$20000,DATOS!$A$2:$A$20000,G448,DATOS!$G$2:$G$20000,CONFIG_METADATA!$B$4,DATOS!$I$2:$I$20000,"Orquesta/Banda/Conjunto"),"")))</f>
        <v/>
      </c>
      <c r="J448" t="str">
        <f>IF(G448="","",IF(G448="[FÓRMULA MANUAL]","",IFERROR(AVERAGEIFS(DATOS!$K$2:$K$20000,DATOS!$A$2:$A$20000,G448,DATOS!$G$2:$G$20000,CONFIG_METADATA!$B$4,DATOS!$I$2:$I$20000,"Conjunto"),"")))</f>
        <v/>
      </c>
      <c r="K448" t="str">
        <f>IF(G448="","",IF(G448="[FÓRMULA MANUAL]","",IFERROR(SUMPRODUCT((DATOS!$A$2:$A$20000=G448)*(DATOS!$G$2:$G$20000=CONFIG_METADATA!$B$4)*(COUNTIF(CONFIG_ASIGNATURAS!$B$7:$B$27,DATOS!$I$2:$I$20000)&gt;0)*(DATOS!$K$2:$K$20000))/SUMPRODUCT((DATOS!$A$2:$A$20000=G448)*(DATOS!$G$2:$G$20000=CONFIG_METADATA!$B$4)*(COUNTIF(CONFIG_ASIGNATURAS!$B$7:$B$27,DATOS!$I$2:$I$20000)&gt;0)*1),"")))</f>
        <v/>
      </c>
      <c r="N448" t="str">
        <f>IF(M448="","",IF(M448="[FÓRMULA MANUAL]","",IFERROR(AVERAGEIFS(DATOS!$K$2:$K$20000,DATOS!$A$2:$A$20000,M448,DATOS!$G$2:$G$20000,CONFIG_METADATA!$B$4,DATOS!$I$2:$I$20000,"Armonía"),"")))</f>
        <v/>
      </c>
      <c r="O448" t="str">
        <f>IF(M448="","",IF(M448="[FÓRMULA MANUAL]","",IFERROR(AVERAGEIFS(DATOS!$K$2:$K$20000,DATOS!$A$2:$A$20000,M448,DATOS!$G$2:$G$20000,CONFIG_METADATA!$B$4,DATOS!$I$2:$I$20000,"Orquesta/Banda/Conjunto"),"")))</f>
        <v/>
      </c>
      <c r="P448" t="str">
        <f>IF(M448="","",IF(M448="[FÓRMULA MANUAL]","",IFERROR(AVERAGEIFS(DATOS!$K$2:$K$20000,DATOS!$A$2:$A$20000,M448,DATOS!$G$2:$G$20000,CONFIG_METADATA!$B$4,DATOS!$I$2:$I$20000,"Música de Cámara"),"")))</f>
        <v/>
      </c>
      <c r="Q448" t="str">
        <f>IF(M448="","",IF(M448="[FÓRMULA MANUAL]","",IFERROR(SUMPRODUCT((DATOS!$A$2:$A$20000=M448)*(DATOS!$G$2:$G$20000=CONFIG_METADATA!$B$4)*(COUNTIF(CONFIG_ASIGNATURAS!$B$7:$B$27,DATOS!$I$2:$I$20000)&gt;0)*(DATOS!$K$2:$K$20000))/SUMPRODUCT((DATOS!$A$2:$A$20000=M448)*(DATOS!$G$2:$G$20000=CONFIG_METADATA!$B$4)*(COUNTIF(CONFIG_ASIGNATURAS!$B$7:$B$27,DATOS!$I$2:$I$20000)&gt;0)*1),"")))</f>
        <v/>
      </c>
      <c r="T448" t="str">
        <f>IF(S448="","",IF(S448="[FÓRMULA MANUAL]","",IFERROR(AVERAGEIFS(DATOS!$K$2:$K$20000,DATOS!$A$2:$A$20000,S448,DATOS!$G$2:$G$20000,CONFIG_METADATA!$B$4,DATOS!$I$2:$I$20000,"Armonía"),"")))</f>
        <v/>
      </c>
      <c r="U448" t="str">
        <f>IF(S448="","",IF(S448="[FÓRMULA MANUAL]","",IFERROR(AVERAGEIFS(DATOS!$K$2:$K$20000,DATOS!$A$2:$A$20000,S448,DATOS!$G$2:$G$20000,CONFIG_METADATA!$B$4,DATOS!$I$2:$I$20000,"Orquesta/Banda/Conjunto"),"")))</f>
        <v/>
      </c>
      <c r="V448" t="str">
        <f>IF(S448="","",IF(S448="[FÓRMULA MANUAL]","",IFERROR(AVERAGEIFS(DATOS!$K$2:$K$20000,DATOS!$A$2:$A$20000,S448,DATOS!$G$2:$G$20000,CONFIG_METADATA!$B$4,DATOS!$I$2:$I$20000,"Música de Cámara"),"")))</f>
        <v/>
      </c>
      <c r="W448" t="str">
        <f>IF(S448="","",IF(S448="[FÓRMULA MANUAL]","",IFERROR(SUMPRODUCT((DATOS!$A$2:$A$20000=S448)*(DATOS!$G$2:$G$20000=CONFIG_METADATA!$B$4)*(COUNTIF(CONFIG_ASIGNATURAS!$B$7:$B$27,DATOS!$I$2:$I$20000)&gt;0)*(DATOS!$K$2:$K$20000))/SUMPRODUCT((DATOS!$A$2:$A$20000=S448)*(DATOS!$G$2:$G$20000=CONFIG_METADATA!$B$4)*(COUNTIF(CONFIG_ASIGNATURAS!$B$7:$B$27,DATOS!$I$2:$I$20000)&gt;0)*1),"")))</f>
        <v/>
      </c>
      <c r="Z448" t="str">
        <f>IF(Y448="","",IF(Y448="[FÓRMULA MANUAL]","",IFERROR(AVERAGEIFS(DATOS!$K$2:$K$20000,DATOS!$A$2:$A$20000,Y448,DATOS!$G$2:$G$20000,CONFIG_METADATA!$B$4,DATOS!$I$2:$I$20000,"Análisis"),"")))</f>
        <v/>
      </c>
      <c r="AA448" t="str">
        <f>IF(Y448="","",IF(Y448="[FÓRMULA MANUAL]","",IFERROR(AVERAGEIFS(DATOS!$K$2:$K$20000,DATOS!$A$2:$A$20000,Y448,DATOS!$G$2:$G$20000,CONFIG_METADATA!$B$4,DATOS!$I$2:$I$20000,"Orquesta/Banda/Conjunto"),"")))</f>
        <v/>
      </c>
      <c r="AB448" t="str">
        <f>IF(Y448="","",IF(Y448="[FÓRMULA MANUAL]","",IFERROR(AVERAGEIFS(DATOS!$K$2:$K$20000,DATOS!$A$2:$A$20000,Y448,DATOS!$G$2:$G$20000,CONFIG_METADATA!$B$4,DATOS!$I$2:$I$20000,"Música de Cámara"),"")))</f>
        <v/>
      </c>
      <c r="AC448" t="str">
        <f>IF(Y448="","",IF(Y448="[FÓRMULA MANUAL]","",IFERROR(SUMPRODUCT((DATOS!$A$2:$A$20000=Y448)*(DATOS!$G$2:$G$20000=CONFIG_METADATA!$B$4)*(COUNTIF(CONFIG_ASIGNATURAS!$B$7:$B$27,DATOS!$I$2:$I$20000)&gt;0)*(DATOS!$K$2:$K$20000))/SUMPRODUCT((DATOS!$A$2:$A$20000=Y448)*(DATOS!$G$2:$G$20000=CONFIG_METADATA!$B$4)*(COUNTIF(CONFIG_ASIGNATURAS!$B$7:$B$27,DATOS!$I$2:$I$20000)&gt;0)*1),"")))</f>
        <v/>
      </c>
      <c r="AF448" t="str">
        <f>IF(AE448="","",IF(AE448="[FÓRMULA MANUAL]","",IFERROR(AVERAGEIFS(DATOS!$K$2:$K$20000,DATOS!$A$2:$A$20000,AE448,DATOS!$G$2:$G$20000,CONFIG_METADATA!$B$4,DATOS!$I$2:$I$20000,"Análisis"),"")))</f>
        <v/>
      </c>
      <c r="AG448" t="str">
        <f>IF(AE448="","",IF(AE448="[FÓRMULA MANUAL]","",IFERROR(AVERAGEIFS(DATOS!$K$2:$K$20000,DATOS!$A$2:$A$20000,AE448,DATOS!$G$2:$G$20000,CONFIG_METADATA!$B$4,DATOS!$I$2:$I$20000,"Orquesta/Banda/Conjunto"),"")))</f>
        <v/>
      </c>
      <c r="AH448" t="str">
        <f>IF(AE448="","",IF(AE448="[FÓRMULA MANUAL]","",IFERROR(AVERAGEIFS(DATOS!$K$2:$K$20000,DATOS!$A$2:$A$20000,AE448,DATOS!$G$2:$G$20000,CONFIG_METADATA!$B$4,DATOS!$I$2:$I$20000,"Música de Cámara"),"")))</f>
        <v/>
      </c>
      <c r="AI448" t="str">
        <f>IF(AE448="","",IF(AE448="[FÓRMULA MANUAL]","",IFERROR(SUMPRODUCT((DATOS!$A$2:$A$20000=AE448)*(DATOS!$G$2:$G$20000=CONFIG_METADATA!$B$4)*(COUNTIF(CONFIG_ASIGNATURAS!$B$7:$B$27,DATOS!$I$2:$I$20000)&gt;0)*(DATOS!$K$2:$K$20000))/SUMPRODUCT((DATOS!$A$2:$A$20000=AE448)*(DATOS!$G$2:$G$20000=CONFIG_METADATA!$B$4)*(COUNTIF(CONFIG_ASIGNATURAS!$B$7:$B$27,DATOS!$I$2:$I$20000)&gt;0)*1),"")))</f>
        <v/>
      </c>
    </row>
    <row r="449" spans="2:35" x14ac:dyDescent="0.2">
      <c r="B449" t="str">
        <f>IF(A449="","",IF(A449="[FÓRMULA MANUAL]","",IFERROR(AVERAGEIFS(DATOS!$K$2:$K$20000,DATOS!$A$2:$A$20000,A449,DATOS!$G$2:$G$20000,CONFIG_METADATA!$B$4,DATOS!$I$2:$I$20000,"Lenguaje Musical"),"")))</f>
        <v/>
      </c>
      <c r="C449" t="str">
        <f>IF(A449="","",IF(A449="[FÓRMULA MANUAL]","",IFERROR(AVERAGEIFS(DATOS!$K$2:$K$20000,DATOS!$A$2:$A$20000,A449,DATOS!$G$2:$G$20000,CONFIG_METADATA!$B$4,DATOS!$I$2:$I$20000,"Orquesta/Banda/Conjunto"),"")))</f>
        <v/>
      </c>
      <c r="D449" t="str">
        <f>IF(A449="","",IF(A449="[FÓRMULA MANUAL]","",IFERROR(AVERAGEIFS(DATOS!$K$2:$K$20000,DATOS!$A$2:$A$20000,A449,DATOS!$G$2:$G$20000,CONFIG_METADATA!$B$4,DATOS!$I$2:$I$20000,"Conjunto"),"")))</f>
        <v/>
      </c>
      <c r="E449" t="str">
        <f>IF(A449="","",IF(A449="[FÓRMULA MANUAL]","",IFERROR(SUMPRODUCT((DATOS!$A$2:$A$20000=A449)*(DATOS!$G$2:$G$20000=CONFIG_METADATA!$B$4)*(COUNTIF(CONFIG_ASIGNATURAS!$B$7:$B$27,DATOS!$I$2:$I$20000)&gt;0)*(DATOS!$K$2:$K$20000))/SUMPRODUCT((DATOS!$A$2:$A$20000=A449)*(DATOS!$G$2:$G$20000=CONFIG_METADATA!$B$4)*(COUNTIF(CONFIG_ASIGNATURAS!$B$7:$B$27,DATOS!$I$2:$I$20000)&gt;0)*1),"")))</f>
        <v/>
      </c>
      <c r="H449" t="str">
        <f>IF(G449="","",IF(G449="[FÓRMULA MANUAL]","",IFERROR(AVERAGEIFS(DATOS!$K$2:$K$20000,DATOS!$A$2:$A$20000,G449,DATOS!$G$2:$G$20000,CONFIG_METADATA!$B$4,DATOS!$I$2:$I$20000,"Lenguaje Musical"),"")))</f>
        <v/>
      </c>
      <c r="I449" t="str">
        <f>IF(G449="","",IF(G449="[FÓRMULA MANUAL]","",IFERROR(AVERAGEIFS(DATOS!$K$2:$K$20000,DATOS!$A$2:$A$20000,G449,DATOS!$G$2:$G$20000,CONFIG_METADATA!$B$4,DATOS!$I$2:$I$20000,"Orquesta/Banda/Conjunto"),"")))</f>
        <v/>
      </c>
      <c r="J449" t="str">
        <f>IF(G449="","",IF(G449="[FÓRMULA MANUAL]","",IFERROR(AVERAGEIFS(DATOS!$K$2:$K$20000,DATOS!$A$2:$A$20000,G449,DATOS!$G$2:$G$20000,CONFIG_METADATA!$B$4,DATOS!$I$2:$I$20000,"Conjunto"),"")))</f>
        <v/>
      </c>
      <c r="K449" t="str">
        <f>IF(G449="","",IF(G449="[FÓRMULA MANUAL]","",IFERROR(SUMPRODUCT((DATOS!$A$2:$A$20000=G449)*(DATOS!$G$2:$G$20000=CONFIG_METADATA!$B$4)*(COUNTIF(CONFIG_ASIGNATURAS!$B$7:$B$27,DATOS!$I$2:$I$20000)&gt;0)*(DATOS!$K$2:$K$20000))/SUMPRODUCT((DATOS!$A$2:$A$20000=G449)*(DATOS!$G$2:$G$20000=CONFIG_METADATA!$B$4)*(COUNTIF(CONFIG_ASIGNATURAS!$B$7:$B$27,DATOS!$I$2:$I$20000)&gt;0)*1),"")))</f>
        <v/>
      </c>
      <c r="N449" t="str">
        <f>IF(M449="","",IF(M449="[FÓRMULA MANUAL]","",IFERROR(AVERAGEIFS(DATOS!$K$2:$K$20000,DATOS!$A$2:$A$20000,M449,DATOS!$G$2:$G$20000,CONFIG_METADATA!$B$4,DATOS!$I$2:$I$20000,"Armonía"),"")))</f>
        <v/>
      </c>
      <c r="O449" t="str">
        <f>IF(M449="","",IF(M449="[FÓRMULA MANUAL]","",IFERROR(AVERAGEIFS(DATOS!$K$2:$K$20000,DATOS!$A$2:$A$20000,M449,DATOS!$G$2:$G$20000,CONFIG_METADATA!$B$4,DATOS!$I$2:$I$20000,"Orquesta/Banda/Conjunto"),"")))</f>
        <v/>
      </c>
      <c r="P449" t="str">
        <f>IF(M449="","",IF(M449="[FÓRMULA MANUAL]","",IFERROR(AVERAGEIFS(DATOS!$K$2:$K$20000,DATOS!$A$2:$A$20000,M449,DATOS!$G$2:$G$20000,CONFIG_METADATA!$B$4,DATOS!$I$2:$I$20000,"Música de Cámara"),"")))</f>
        <v/>
      </c>
      <c r="Q449" t="str">
        <f>IF(M449="","",IF(M449="[FÓRMULA MANUAL]","",IFERROR(SUMPRODUCT((DATOS!$A$2:$A$20000=M449)*(DATOS!$G$2:$G$20000=CONFIG_METADATA!$B$4)*(COUNTIF(CONFIG_ASIGNATURAS!$B$7:$B$27,DATOS!$I$2:$I$20000)&gt;0)*(DATOS!$K$2:$K$20000))/SUMPRODUCT((DATOS!$A$2:$A$20000=M449)*(DATOS!$G$2:$G$20000=CONFIG_METADATA!$B$4)*(COUNTIF(CONFIG_ASIGNATURAS!$B$7:$B$27,DATOS!$I$2:$I$20000)&gt;0)*1),"")))</f>
        <v/>
      </c>
      <c r="T449" t="str">
        <f>IF(S449="","",IF(S449="[FÓRMULA MANUAL]","",IFERROR(AVERAGEIFS(DATOS!$K$2:$K$20000,DATOS!$A$2:$A$20000,S449,DATOS!$G$2:$G$20000,CONFIG_METADATA!$B$4,DATOS!$I$2:$I$20000,"Armonía"),"")))</f>
        <v/>
      </c>
      <c r="U449" t="str">
        <f>IF(S449="","",IF(S449="[FÓRMULA MANUAL]","",IFERROR(AVERAGEIFS(DATOS!$K$2:$K$20000,DATOS!$A$2:$A$20000,S449,DATOS!$G$2:$G$20000,CONFIG_METADATA!$B$4,DATOS!$I$2:$I$20000,"Orquesta/Banda/Conjunto"),"")))</f>
        <v/>
      </c>
      <c r="V449" t="str">
        <f>IF(S449="","",IF(S449="[FÓRMULA MANUAL]","",IFERROR(AVERAGEIFS(DATOS!$K$2:$K$20000,DATOS!$A$2:$A$20000,S449,DATOS!$G$2:$G$20000,CONFIG_METADATA!$B$4,DATOS!$I$2:$I$20000,"Música de Cámara"),"")))</f>
        <v/>
      </c>
      <c r="W449" t="str">
        <f>IF(S449="","",IF(S449="[FÓRMULA MANUAL]","",IFERROR(SUMPRODUCT((DATOS!$A$2:$A$20000=S449)*(DATOS!$G$2:$G$20000=CONFIG_METADATA!$B$4)*(COUNTIF(CONFIG_ASIGNATURAS!$B$7:$B$27,DATOS!$I$2:$I$20000)&gt;0)*(DATOS!$K$2:$K$20000))/SUMPRODUCT((DATOS!$A$2:$A$20000=S449)*(DATOS!$G$2:$G$20000=CONFIG_METADATA!$B$4)*(COUNTIF(CONFIG_ASIGNATURAS!$B$7:$B$27,DATOS!$I$2:$I$20000)&gt;0)*1),"")))</f>
        <v/>
      </c>
      <c r="Z449" t="str">
        <f>IF(Y449="","",IF(Y449="[FÓRMULA MANUAL]","",IFERROR(AVERAGEIFS(DATOS!$K$2:$K$20000,DATOS!$A$2:$A$20000,Y449,DATOS!$G$2:$G$20000,CONFIG_METADATA!$B$4,DATOS!$I$2:$I$20000,"Análisis"),"")))</f>
        <v/>
      </c>
      <c r="AA449" t="str">
        <f>IF(Y449="","",IF(Y449="[FÓRMULA MANUAL]","",IFERROR(AVERAGEIFS(DATOS!$K$2:$K$20000,DATOS!$A$2:$A$20000,Y449,DATOS!$G$2:$G$20000,CONFIG_METADATA!$B$4,DATOS!$I$2:$I$20000,"Orquesta/Banda/Conjunto"),"")))</f>
        <v/>
      </c>
      <c r="AB449" t="str">
        <f>IF(Y449="","",IF(Y449="[FÓRMULA MANUAL]","",IFERROR(AVERAGEIFS(DATOS!$K$2:$K$20000,DATOS!$A$2:$A$20000,Y449,DATOS!$G$2:$G$20000,CONFIG_METADATA!$B$4,DATOS!$I$2:$I$20000,"Música de Cámara"),"")))</f>
        <v/>
      </c>
      <c r="AC449" t="str">
        <f>IF(Y449="","",IF(Y449="[FÓRMULA MANUAL]","",IFERROR(SUMPRODUCT((DATOS!$A$2:$A$20000=Y449)*(DATOS!$G$2:$G$20000=CONFIG_METADATA!$B$4)*(COUNTIF(CONFIG_ASIGNATURAS!$B$7:$B$27,DATOS!$I$2:$I$20000)&gt;0)*(DATOS!$K$2:$K$20000))/SUMPRODUCT((DATOS!$A$2:$A$20000=Y449)*(DATOS!$G$2:$G$20000=CONFIG_METADATA!$B$4)*(COUNTIF(CONFIG_ASIGNATURAS!$B$7:$B$27,DATOS!$I$2:$I$20000)&gt;0)*1),"")))</f>
        <v/>
      </c>
      <c r="AF449" t="str">
        <f>IF(AE449="","",IF(AE449="[FÓRMULA MANUAL]","",IFERROR(AVERAGEIFS(DATOS!$K$2:$K$20000,DATOS!$A$2:$A$20000,AE449,DATOS!$G$2:$G$20000,CONFIG_METADATA!$B$4,DATOS!$I$2:$I$20000,"Análisis"),"")))</f>
        <v/>
      </c>
      <c r="AG449" t="str">
        <f>IF(AE449="","",IF(AE449="[FÓRMULA MANUAL]","",IFERROR(AVERAGEIFS(DATOS!$K$2:$K$20000,DATOS!$A$2:$A$20000,AE449,DATOS!$G$2:$G$20000,CONFIG_METADATA!$B$4,DATOS!$I$2:$I$20000,"Orquesta/Banda/Conjunto"),"")))</f>
        <v/>
      </c>
      <c r="AH449" t="str">
        <f>IF(AE449="","",IF(AE449="[FÓRMULA MANUAL]","",IFERROR(AVERAGEIFS(DATOS!$K$2:$K$20000,DATOS!$A$2:$A$20000,AE449,DATOS!$G$2:$G$20000,CONFIG_METADATA!$B$4,DATOS!$I$2:$I$20000,"Música de Cámara"),"")))</f>
        <v/>
      </c>
      <c r="AI449" t="str">
        <f>IF(AE449="","",IF(AE449="[FÓRMULA MANUAL]","",IFERROR(SUMPRODUCT((DATOS!$A$2:$A$20000=AE449)*(DATOS!$G$2:$G$20000=CONFIG_METADATA!$B$4)*(COUNTIF(CONFIG_ASIGNATURAS!$B$7:$B$27,DATOS!$I$2:$I$20000)&gt;0)*(DATOS!$K$2:$K$20000))/SUMPRODUCT((DATOS!$A$2:$A$20000=AE449)*(DATOS!$G$2:$G$20000=CONFIG_METADATA!$B$4)*(COUNTIF(CONFIG_ASIGNATURAS!$B$7:$B$27,DATOS!$I$2:$I$20000)&gt;0)*1),"")))</f>
        <v/>
      </c>
    </row>
    <row r="450" spans="2:35" x14ac:dyDescent="0.2">
      <c r="B450" t="str">
        <f>IF(A450="","",IF(A450="[FÓRMULA MANUAL]","",IFERROR(AVERAGEIFS(DATOS!$K$2:$K$20000,DATOS!$A$2:$A$20000,A450,DATOS!$G$2:$G$20000,CONFIG_METADATA!$B$4,DATOS!$I$2:$I$20000,"Lenguaje Musical"),"")))</f>
        <v/>
      </c>
      <c r="C450" t="str">
        <f>IF(A450="","",IF(A450="[FÓRMULA MANUAL]","",IFERROR(AVERAGEIFS(DATOS!$K$2:$K$20000,DATOS!$A$2:$A$20000,A450,DATOS!$G$2:$G$20000,CONFIG_METADATA!$B$4,DATOS!$I$2:$I$20000,"Orquesta/Banda/Conjunto"),"")))</f>
        <v/>
      </c>
      <c r="D450" t="str">
        <f>IF(A450="","",IF(A450="[FÓRMULA MANUAL]","",IFERROR(AVERAGEIFS(DATOS!$K$2:$K$20000,DATOS!$A$2:$A$20000,A450,DATOS!$G$2:$G$20000,CONFIG_METADATA!$B$4,DATOS!$I$2:$I$20000,"Conjunto"),"")))</f>
        <v/>
      </c>
      <c r="E450" t="str">
        <f>IF(A450="","",IF(A450="[FÓRMULA MANUAL]","",IFERROR(SUMPRODUCT((DATOS!$A$2:$A$20000=A450)*(DATOS!$G$2:$G$20000=CONFIG_METADATA!$B$4)*(COUNTIF(CONFIG_ASIGNATURAS!$B$7:$B$27,DATOS!$I$2:$I$20000)&gt;0)*(DATOS!$K$2:$K$20000))/SUMPRODUCT((DATOS!$A$2:$A$20000=A450)*(DATOS!$G$2:$G$20000=CONFIG_METADATA!$B$4)*(COUNTIF(CONFIG_ASIGNATURAS!$B$7:$B$27,DATOS!$I$2:$I$20000)&gt;0)*1),"")))</f>
        <v/>
      </c>
      <c r="H450" t="str">
        <f>IF(G450="","",IF(G450="[FÓRMULA MANUAL]","",IFERROR(AVERAGEIFS(DATOS!$K$2:$K$20000,DATOS!$A$2:$A$20000,G450,DATOS!$G$2:$G$20000,CONFIG_METADATA!$B$4,DATOS!$I$2:$I$20000,"Lenguaje Musical"),"")))</f>
        <v/>
      </c>
      <c r="I450" t="str">
        <f>IF(G450="","",IF(G450="[FÓRMULA MANUAL]","",IFERROR(AVERAGEIFS(DATOS!$K$2:$K$20000,DATOS!$A$2:$A$20000,G450,DATOS!$G$2:$G$20000,CONFIG_METADATA!$B$4,DATOS!$I$2:$I$20000,"Orquesta/Banda/Conjunto"),"")))</f>
        <v/>
      </c>
      <c r="J450" t="str">
        <f>IF(G450="","",IF(G450="[FÓRMULA MANUAL]","",IFERROR(AVERAGEIFS(DATOS!$K$2:$K$20000,DATOS!$A$2:$A$20000,G450,DATOS!$G$2:$G$20000,CONFIG_METADATA!$B$4,DATOS!$I$2:$I$20000,"Conjunto"),"")))</f>
        <v/>
      </c>
      <c r="K450" t="str">
        <f>IF(G450="","",IF(G450="[FÓRMULA MANUAL]","",IFERROR(SUMPRODUCT((DATOS!$A$2:$A$20000=G450)*(DATOS!$G$2:$G$20000=CONFIG_METADATA!$B$4)*(COUNTIF(CONFIG_ASIGNATURAS!$B$7:$B$27,DATOS!$I$2:$I$20000)&gt;0)*(DATOS!$K$2:$K$20000))/SUMPRODUCT((DATOS!$A$2:$A$20000=G450)*(DATOS!$G$2:$G$20000=CONFIG_METADATA!$B$4)*(COUNTIF(CONFIG_ASIGNATURAS!$B$7:$B$27,DATOS!$I$2:$I$20000)&gt;0)*1),"")))</f>
        <v/>
      </c>
      <c r="N450" t="str">
        <f>IF(M450="","",IF(M450="[FÓRMULA MANUAL]","",IFERROR(AVERAGEIFS(DATOS!$K$2:$K$20000,DATOS!$A$2:$A$20000,M450,DATOS!$G$2:$G$20000,CONFIG_METADATA!$B$4,DATOS!$I$2:$I$20000,"Armonía"),"")))</f>
        <v/>
      </c>
      <c r="O450" t="str">
        <f>IF(M450="","",IF(M450="[FÓRMULA MANUAL]","",IFERROR(AVERAGEIFS(DATOS!$K$2:$K$20000,DATOS!$A$2:$A$20000,M450,DATOS!$G$2:$G$20000,CONFIG_METADATA!$B$4,DATOS!$I$2:$I$20000,"Orquesta/Banda/Conjunto"),"")))</f>
        <v/>
      </c>
      <c r="P450" t="str">
        <f>IF(M450="","",IF(M450="[FÓRMULA MANUAL]","",IFERROR(AVERAGEIFS(DATOS!$K$2:$K$20000,DATOS!$A$2:$A$20000,M450,DATOS!$G$2:$G$20000,CONFIG_METADATA!$B$4,DATOS!$I$2:$I$20000,"Música de Cámara"),"")))</f>
        <v/>
      </c>
      <c r="Q450" t="str">
        <f>IF(M450="","",IF(M450="[FÓRMULA MANUAL]","",IFERROR(SUMPRODUCT((DATOS!$A$2:$A$20000=M450)*(DATOS!$G$2:$G$20000=CONFIG_METADATA!$B$4)*(COUNTIF(CONFIG_ASIGNATURAS!$B$7:$B$27,DATOS!$I$2:$I$20000)&gt;0)*(DATOS!$K$2:$K$20000))/SUMPRODUCT((DATOS!$A$2:$A$20000=M450)*(DATOS!$G$2:$G$20000=CONFIG_METADATA!$B$4)*(COUNTIF(CONFIG_ASIGNATURAS!$B$7:$B$27,DATOS!$I$2:$I$20000)&gt;0)*1),"")))</f>
        <v/>
      </c>
      <c r="T450" t="str">
        <f>IF(S450="","",IF(S450="[FÓRMULA MANUAL]","",IFERROR(AVERAGEIFS(DATOS!$K$2:$K$20000,DATOS!$A$2:$A$20000,S450,DATOS!$G$2:$G$20000,CONFIG_METADATA!$B$4,DATOS!$I$2:$I$20000,"Armonía"),"")))</f>
        <v/>
      </c>
      <c r="U450" t="str">
        <f>IF(S450="","",IF(S450="[FÓRMULA MANUAL]","",IFERROR(AVERAGEIFS(DATOS!$K$2:$K$20000,DATOS!$A$2:$A$20000,S450,DATOS!$G$2:$G$20000,CONFIG_METADATA!$B$4,DATOS!$I$2:$I$20000,"Orquesta/Banda/Conjunto"),"")))</f>
        <v/>
      </c>
      <c r="V450" t="str">
        <f>IF(S450="","",IF(S450="[FÓRMULA MANUAL]","",IFERROR(AVERAGEIFS(DATOS!$K$2:$K$20000,DATOS!$A$2:$A$20000,S450,DATOS!$G$2:$G$20000,CONFIG_METADATA!$B$4,DATOS!$I$2:$I$20000,"Música de Cámara"),"")))</f>
        <v/>
      </c>
      <c r="W450" t="str">
        <f>IF(S450="","",IF(S450="[FÓRMULA MANUAL]","",IFERROR(SUMPRODUCT((DATOS!$A$2:$A$20000=S450)*(DATOS!$G$2:$G$20000=CONFIG_METADATA!$B$4)*(COUNTIF(CONFIG_ASIGNATURAS!$B$7:$B$27,DATOS!$I$2:$I$20000)&gt;0)*(DATOS!$K$2:$K$20000))/SUMPRODUCT((DATOS!$A$2:$A$20000=S450)*(DATOS!$G$2:$G$20000=CONFIG_METADATA!$B$4)*(COUNTIF(CONFIG_ASIGNATURAS!$B$7:$B$27,DATOS!$I$2:$I$20000)&gt;0)*1),"")))</f>
        <v/>
      </c>
      <c r="Z450" t="str">
        <f>IF(Y450="","",IF(Y450="[FÓRMULA MANUAL]","",IFERROR(AVERAGEIFS(DATOS!$K$2:$K$20000,DATOS!$A$2:$A$20000,Y450,DATOS!$G$2:$G$20000,CONFIG_METADATA!$B$4,DATOS!$I$2:$I$20000,"Análisis"),"")))</f>
        <v/>
      </c>
      <c r="AA450" t="str">
        <f>IF(Y450="","",IF(Y450="[FÓRMULA MANUAL]","",IFERROR(AVERAGEIFS(DATOS!$K$2:$K$20000,DATOS!$A$2:$A$20000,Y450,DATOS!$G$2:$G$20000,CONFIG_METADATA!$B$4,DATOS!$I$2:$I$20000,"Orquesta/Banda/Conjunto"),"")))</f>
        <v/>
      </c>
      <c r="AB450" t="str">
        <f>IF(Y450="","",IF(Y450="[FÓRMULA MANUAL]","",IFERROR(AVERAGEIFS(DATOS!$K$2:$K$20000,DATOS!$A$2:$A$20000,Y450,DATOS!$G$2:$G$20000,CONFIG_METADATA!$B$4,DATOS!$I$2:$I$20000,"Música de Cámara"),"")))</f>
        <v/>
      </c>
      <c r="AC450" t="str">
        <f>IF(Y450="","",IF(Y450="[FÓRMULA MANUAL]","",IFERROR(SUMPRODUCT((DATOS!$A$2:$A$20000=Y450)*(DATOS!$G$2:$G$20000=CONFIG_METADATA!$B$4)*(COUNTIF(CONFIG_ASIGNATURAS!$B$7:$B$27,DATOS!$I$2:$I$20000)&gt;0)*(DATOS!$K$2:$K$20000))/SUMPRODUCT((DATOS!$A$2:$A$20000=Y450)*(DATOS!$G$2:$G$20000=CONFIG_METADATA!$B$4)*(COUNTIF(CONFIG_ASIGNATURAS!$B$7:$B$27,DATOS!$I$2:$I$20000)&gt;0)*1),"")))</f>
        <v/>
      </c>
      <c r="AF450" t="str">
        <f>IF(AE450="","",IF(AE450="[FÓRMULA MANUAL]","",IFERROR(AVERAGEIFS(DATOS!$K$2:$K$20000,DATOS!$A$2:$A$20000,AE450,DATOS!$G$2:$G$20000,CONFIG_METADATA!$B$4,DATOS!$I$2:$I$20000,"Análisis"),"")))</f>
        <v/>
      </c>
      <c r="AG450" t="str">
        <f>IF(AE450="","",IF(AE450="[FÓRMULA MANUAL]","",IFERROR(AVERAGEIFS(DATOS!$K$2:$K$20000,DATOS!$A$2:$A$20000,AE450,DATOS!$G$2:$G$20000,CONFIG_METADATA!$B$4,DATOS!$I$2:$I$20000,"Orquesta/Banda/Conjunto"),"")))</f>
        <v/>
      </c>
      <c r="AH450" t="str">
        <f>IF(AE450="","",IF(AE450="[FÓRMULA MANUAL]","",IFERROR(AVERAGEIFS(DATOS!$K$2:$K$20000,DATOS!$A$2:$A$20000,AE450,DATOS!$G$2:$G$20000,CONFIG_METADATA!$B$4,DATOS!$I$2:$I$20000,"Música de Cámara"),"")))</f>
        <v/>
      </c>
      <c r="AI450" t="str">
        <f>IF(AE450="","",IF(AE450="[FÓRMULA MANUAL]","",IFERROR(SUMPRODUCT((DATOS!$A$2:$A$20000=AE450)*(DATOS!$G$2:$G$20000=CONFIG_METADATA!$B$4)*(COUNTIF(CONFIG_ASIGNATURAS!$B$7:$B$27,DATOS!$I$2:$I$20000)&gt;0)*(DATOS!$K$2:$K$20000))/SUMPRODUCT((DATOS!$A$2:$A$20000=AE450)*(DATOS!$G$2:$G$20000=CONFIG_METADATA!$B$4)*(COUNTIF(CONFIG_ASIGNATURAS!$B$7:$B$27,DATOS!$I$2:$I$20000)&gt;0)*1),"")))</f>
        <v/>
      </c>
    </row>
    <row r="451" spans="2:35" x14ac:dyDescent="0.2">
      <c r="B451" t="str">
        <f>IF(A451="","",IF(A451="[FÓRMULA MANUAL]","",IFERROR(AVERAGEIFS(DATOS!$K$2:$K$20000,DATOS!$A$2:$A$20000,A451,DATOS!$G$2:$G$20000,CONFIG_METADATA!$B$4,DATOS!$I$2:$I$20000,"Lenguaje Musical"),"")))</f>
        <v/>
      </c>
      <c r="C451" t="str">
        <f>IF(A451="","",IF(A451="[FÓRMULA MANUAL]","",IFERROR(AVERAGEIFS(DATOS!$K$2:$K$20000,DATOS!$A$2:$A$20000,A451,DATOS!$G$2:$G$20000,CONFIG_METADATA!$B$4,DATOS!$I$2:$I$20000,"Orquesta/Banda/Conjunto"),"")))</f>
        <v/>
      </c>
      <c r="D451" t="str">
        <f>IF(A451="","",IF(A451="[FÓRMULA MANUAL]","",IFERROR(AVERAGEIFS(DATOS!$K$2:$K$20000,DATOS!$A$2:$A$20000,A451,DATOS!$G$2:$G$20000,CONFIG_METADATA!$B$4,DATOS!$I$2:$I$20000,"Conjunto"),"")))</f>
        <v/>
      </c>
      <c r="E451" t="str">
        <f>IF(A451="","",IF(A451="[FÓRMULA MANUAL]","",IFERROR(SUMPRODUCT((DATOS!$A$2:$A$20000=A451)*(DATOS!$G$2:$G$20000=CONFIG_METADATA!$B$4)*(COUNTIF(CONFIG_ASIGNATURAS!$B$7:$B$27,DATOS!$I$2:$I$20000)&gt;0)*(DATOS!$K$2:$K$20000))/SUMPRODUCT((DATOS!$A$2:$A$20000=A451)*(DATOS!$G$2:$G$20000=CONFIG_METADATA!$B$4)*(COUNTIF(CONFIG_ASIGNATURAS!$B$7:$B$27,DATOS!$I$2:$I$20000)&gt;0)*1),"")))</f>
        <v/>
      </c>
      <c r="H451" t="str">
        <f>IF(G451="","",IF(G451="[FÓRMULA MANUAL]","",IFERROR(AVERAGEIFS(DATOS!$K$2:$K$20000,DATOS!$A$2:$A$20000,G451,DATOS!$G$2:$G$20000,CONFIG_METADATA!$B$4,DATOS!$I$2:$I$20000,"Lenguaje Musical"),"")))</f>
        <v/>
      </c>
      <c r="I451" t="str">
        <f>IF(G451="","",IF(G451="[FÓRMULA MANUAL]","",IFERROR(AVERAGEIFS(DATOS!$K$2:$K$20000,DATOS!$A$2:$A$20000,G451,DATOS!$G$2:$G$20000,CONFIG_METADATA!$B$4,DATOS!$I$2:$I$20000,"Orquesta/Banda/Conjunto"),"")))</f>
        <v/>
      </c>
      <c r="J451" t="str">
        <f>IF(G451="","",IF(G451="[FÓRMULA MANUAL]","",IFERROR(AVERAGEIFS(DATOS!$K$2:$K$20000,DATOS!$A$2:$A$20000,G451,DATOS!$G$2:$G$20000,CONFIG_METADATA!$B$4,DATOS!$I$2:$I$20000,"Conjunto"),"")))</f>
        <v/>
      </c>
      <c r="K451" t="str">
        <f>IF(G451="","",IF(G451="[FÓRMULA MANUAL]","",IFERROR(SUMPRODUCT((DATOS!$A$2:$A$20000=G451)*(DATOS!$G$2:$G$20000=CONFIG_METADATA!$B$4)*(COUNTIF(CONFIG_ASIGNATURAS!$B$7:$B$27,DATOS!$I$2:$I$20000)&gt;0)*(DATOS!$K$2:$K$20000))/SUMPRODUCT((DATOS!$A$2:$A$20000=G451)*(DATOS!$G$2:$G$20000=CONFIG_METADATA!$B$4)*(COUNTIF(CONFIG_ASIGNATURAS!$B$7:$B$27,DATOS!$I$2:$I$20000)&gt;0)*1),"")))</f>
        <v/>
      </c>
      <c r="N451" t="str">
        <f>IF(M451="","",IF(M451="[FÓRMULA MANUAL]","",IFERROR(AVERAGEIFS(DATOS!$K$2:$K$20000,DATOS!$A$2:$A$20000,M451,DATOS!$G$2:$G$20000,CONFIG_METADATA!$B$4,DATOS!$I$2:$I$20000,"Armonía"),"")))</f>
        <v/>
      </c>
      <c r="O451" t="str">
        <f>IF(M451="","",IF(M451="[FÓRMULA MANUAL]","",IFERROR(AVERAGEIFS(DATOS!$K$2:$K$20000,DATOS!$A$2:$A$20000,M451,DATOS!$G$2:$G$20000,CONFIG_METADATA!$B$4,DATOS!$I$2:$I$20000,"Orquesta/Banda/Conjunto"),"")))</f>
        <v/>
      </c>
      <c r="P451" t="str">
        <f>IF(M451="","",IF(M451="[FÓRMULA MANUAL]","",IFERROR(AVERAGEIFS(DATOS!$K$2:$K$20000,DATOS!$A$2:$A$20000,M451,DATOS!$G$2:$G$20000,CONFIG_METADATA!$B$4,DATOS!$I$2:$I$20000,"Música de Cámara"),"")))</f>
        <v/>
      </c>
      <c r="Q451" t="str">
        <f>IF(M451="","",IF(M451="[FÓRMULA MANUAL]","",IFERROR(SUMPRODUCT((DATOS!$A$2:$A$20000=M451)*(DATOS!$G$2:$G$20000=CONFIG_METADATA!$B$4)*(COUNTIF(CONFIG_ASIGNATURAS!$B$7:$B$27,DATOS!$I$2:$I$20000)&gt;0)*(DATOS!$K$2:$K$20000))/SUMPRODUCT((DATOS!$A$2:$A$20000=M451)*(DATOS!$G$2:$G$20000=CONFIG_METADATA!$B$4)*(COUNTIF(CONFIG_ASIGNATURAS!$B$7:$B$27,DATOS!$I$2:$I$20000)&gt;0)*1),"")))</f>
        <v/>
      </c>
      <c r="T451" t="str">
        <f>IF(S451="","",IF(S451="[FÓRMULA MANUAL]","",IFERROR(AVERAGEIFS(DATOS!$K$2:$K$20000,DATOS!$A$2:$A$20000,S451,DATOS!$G$2:$G$20000,CONFIG_METADATA!$B$4,DATOS!$I$2:$I$20000,"Armonía"),"")))</f>
        <v/>
      </c>
      <c r="U451" t="str">
        <f>IF(S451="","",IF(S451="[FÓRMULA MANUAL]","",IFERROR(AVERAGEIFS(DATOS!$K$2:$K$20000,DATOS!$A$2:$A$20000,S451,DATOS!$G$2:$G$20000,CONFIG_METADATA!$B$4,DATOS!$I$2:$I$20000,"Orquesta/Banda/Conjunto"),"")))</f>
        <v/>
      </c>
      <c r="V451" t="str">
        <f>IF(S451="","",IF(S451="[FÓRMULA MANUAL]","",IFERROR(AVERAGEIFS(DATOS!$K$2:$K$20000,DATOS!$A$2:$A$20000,S451,DATOS!$G$2:$G$20000,CONFIG_METADATA!$B$4,DATOS!$I$2:$I$20000,"Música de Cámara"),"")))</f>
        <v/>
      </c>
      <c r="W451" t="str">
        <f>IF(S451="","",IF(S451="[FÓRMULA MANUAL]","",IFERROR(SUMPRODUCT((DATOS!$A$2:$A$20000=S451)*(DATOS!$G$2:$G$20000=CONFIG_METADATA!$B$4)*(COUNTIF(CONFIG_ASIGNATURAS!$B$7:$B$27,DATOS!$I$2:$I$20000)&gt;0)*(DATOS!$K$2:$K$20000))/SUMPRODUCT((DATOS!$A$2:$A$20000=S451)*(DATOS!$G$2:$G$20000=CONFIG_METADATA!$B$4)*(COUNTIF(CONFIG_ASIGNATURAS!$B$7:$B$27,DATOS!$I$2:$I$20000)&gt;0)*1),"")))</f>
        <v/>
      </c>
      <c r="Z451" t="str">
        <f>IF(Y451="","",IF(Y451="[FÓRMULA MANUAL]","",IFERROR(AVERAGEIFS(DATOS!$K$2:$K$20000,DATOS!$A$2:$A$20000,Y451,DATOS!$G$2:$G$20000,CONFIG_METADATA!$B$4,DATOS!$I$2:$I$20000,"Análisis"),"")))</f>
        <v/>
      </c>
      <c r="AA451" t="str">
        <f>IF(Y451="","",IF(Y451="[FÓRMULA MANUAL]","",IFERROR(AVERAGEIFS(DATOS!$K$2:$K$20000,DATOS!$A$2:$A$20000,Y451,DATOS!$G$2:$G$20000,CONFIG_METADATA!$B$4,DATOS!$I$2:$I$20000,"Orquesta/Banda/Conjunto"),"")))</f>
        <v/>
      </c>
      <c r="AB451" t="str">
        <f>IF(Y451="","",IF(Y451="[FÓRMULA MANUAL]","",IFERROR(AVERAGEIFS(DATOS!$K$2:$K$20000,DATOS!$A$2:$A$20000,Y451,DATOS!$G$2:$G$20000,CONFIG_METADATA!$B$4,DATOS!$I$2:$I$20000,"Música de Cámara"),"")))</f>
        <v/>
      </c>
      <c r="AC451" t="str">
        <f>IF(Y451="","",IF(Y451="[FÓRMULA MANUAL]","",IFERROR(SUMPRODUCT((DATOS!$A$2:$A$20000=Y451)*(DATOS!$G$2:$G$20000=CONFIG_METADATA!$B$4)*(COUNTIF(CONFIG_ASIGNATURAS!$B$7:$B$27,DATOS!$I$2:$I$20000)&gt;0)*(DATOS!$K$2:$K$20000))/SUMPRODUCT((DATOS!$A$2:$A$20000=Y451)*(DATOS!$G$2:$G$20000=CONFIG_METADATA!$B$4)*(COUNTIF(CONFIG_ASIGNATURAS!$B$7:$B$27,DATOS!$I$2:$I$20000)&gt;0)*1),"")))</f>
        <v/>
      </c>
      <c r="AF451" t="str">
        <f>IF(AE451="","",IF(AE451="[FÓRMULA MANUAL]","",IFERROR(AVERAGEIFS(DATOS!$K$2:$K$20000,DATOS!$A$2:$A$20000,AE451,DATOS!$G$2:$G$20000,CONFIG_METADATA!$B$4,DATOS!$I$2:$I$20000,"Análisis"),"")))</f>
        <v/>
      </c>
      <c r="AG451" t="str">
        <f>IF(AE451="","",IF(AE451="[FÓRMULA MANUAL]","",IFERROR(AVERAGEIFS(DATOS!$K$2:$K$20000,DATOS!$A$2:$A$20000,AE451,DATOS!$G$2:$G$20000,CONFIG_METADATA!$B$4,DATOS!$I$2:$I$20000,"Orquesta/Banda/Conjunto"),"")))</f>
        <v/>
      </c>
      <c r="AH451" t="str">
        <f>IF(AE451="","",IF(AE451="[FÓRMULA MANUAL]","",IFERROR(AVERAGEIFS(DATOS!$K$2:$K$20000,DATOS!$A$2:$A$20000,AE451,DATOS!$G$2:$G$20000,CONFIG_METADATA!$B$4,DATOS!$I$2:$I$20000,"Música de Cámara"),"")))</f>
        <v/>
      </c>
      <c r="AI451" t="str">
        <f>IF(AE451="","",IF(AE451="[FÓRMULA MANUAL]","",IFERROR(SUMPRODUCT((DATOS!$A$2:$A$20000=AE451)*(DATOS!$G$2:$G$20000=CONFIG_METADATA!$B$4)*(COUNTIF(CONFIG_ASIGNATURAS!$B$7:$B$27,DATOS!$I$2:$I$20000)&gt;0)*(DATOS!$K$2:$K$20000))/SUMPRODUCT((DATOS!$A$2:$A$20000=AE451)*(DATOS!$G$2:$G$20000=CONFIG_METADATA!$B$4)*(COUNTIF(CONFIG_ASIGNATURAS!$B$7:$B$27,DATOS!$I$2:$I$20000)&gt;0)*1),"")))</f>
        <v/>
      </c>
    </row>
    <row r="452" spans="2:35" x14ac:dyDescent="0.2">
      <c r="B452" t="str">
        <f>IF(A452="","",IF(A452="[FÓRMULA MANUAL]","",IFERROR(AVERAGEIFS(DATOS!$K$2:$K$20000,DATOS!$A$2:$A$20000,A452,DATOS!$G$2:$G$20000,CONFIG_METADATA!$B$4,DATOS!$I$2:$I$20000,"Lenguaje Musical"),"")))</f>
        <v/>
      </c>
      <c r="C452" t="str">
        <f>IF(A452="","",IF(A452="[FÓRMULA MANUAL]","",IFERROR(AVERAGEIFS(DATOS!$K$2:$K$20000,DATOS!$A$2:$A$20000,A452,DATOS!$G$2:$G$20000,CONFIG_METADATA!$B$4,DATOS!$I$2:$I$20000,"Orquesta/Banda/Conjunto"),"")))</f>
        <v/>
      </c>
      <c r="D452" t="str">
        <f>IF(A452="","",IF(A452="[FÓRMULA MANUAL]","",IFERROR(AVERAGEIFS(DATOS!$K$2:$K$20000,DATOS!$A$2:$A$20000,A452,DATOS!$G$2:$G$20000,CONFIG_METADATA!$B$4,DATOS!$I$2:$I$20000,"Conjunto"),"")))</f>
        <v/>
      </c>
      <c r="E452" t="str">
        <f>IF(A452="","",IF(A452="[FÓRMULA MANUAL]","",IFERROR(SUMPRODUCT((DATOS!$A$2:$A$20000=A452)*(DATOS!$G$2:$G$20000=CONFIG_METADATA!$B$4)*(COUNTIF(CONFIG_ASIGNATURAS!$B$7:$B$27,DATOS!$I$2:$I$20000)&gt;0)*(DATOS!$K$2:$K$20000))/SUMPRODUCT((DATOS!$A$2:$A$20000=A452)*(DATOS!$G$2:$G$20000=CONFIG_METADATA!$B$4)*(COUNTIF(CONFIG_ASIGNATURAS!$B$7:$B$27,DATOS!$I$2:$I$20000)&gt;0)*1),"")))</f>
        <v/>
      </c>
      <c r="H452" t="str">
        <f>IF(G452="","",IF(G452="[FÓRMULA MANUAL]","",IFERROR(AVERAGEIFS(DATOS!$K$2:$K$20000,DATOS!$A$2:$A$20000,G452,DATOS!$G$2:$G$20000,CONFIG_METADATA!$B$4,DATOS!$I$2:$I$20000,"Lenguaje Musical"),"")))</f>
        <v/>
      </c>
      <c r="I452" t="str">
        <f>IF(G452="","",IF(G452="[FÓRMULA MANUAL]","",IFERROR(AVERAGEIFS(DATOS!$K$2:$K$20000,DATOS!$A$2:$A$20000,G452,DATOS!$G$2:$G$20000,CONFIG_METADATA!$B$4,DATOS!$I$2:$I$20000,"Orquesta/Banda/Conjunto"),"")))</f>
        <v/>
      </c>
      <c r="J452" t="str">
        <f>IF(G452="","",IF(G452="[FÓRMULA MANUAL]","",IFERROR(AVERAGEIFS(DATOS!$K$2:$K$20000,DATOS!$A$2:$A$20000,G452,DATOS!$G$2:$G$20000,CONFIG_METADATA!$B$4,DATOS!$I$2:$I$20000,"Conjunto"),"")))</f>
        <v/>
      </c>
      <c r="K452" t="str">
        <f>IF(G452="","",IF(G452="[FÓRMULA MANUAL]","",IFERROR(SUMPRODUCT((DATOS!$A$2:$A$20000=G452)*(DATOS!$G$2:$G$20000=CONFIG_METADATA!$B$4)*(COUNTIF(CONFIG_ASIGNATURAS!$B$7:$B$27,DATOS!$I$2:$I$20000)&gt;0)*(DATOS!$K$2:$K$20000))/SUMPRODUCT((DATOS!$A$2:$A$20000=G452)*(DATOS!$G$2:$G$20000=CONFIG_METADATA!$B$4)*(COUNTIF(CONFIG_ASIGNATURAS!$B$7:$B$27,DATOS!$I$2:$I$20000)&gt;0)*1),"")))</f>
        <v/>
      </c>
      <c r="N452" t="str">
        <f>IF(M452="","",IF(M452="[FÓRMULA MANUAL]","",IFERROR(AVERAGEIFS(DATOS!$K$2:$K$20000,DATOS!$A$2:$A$20000,M452,DATOS!$G$2:$G$20000,CONFIG_METADATA!$B$4,DATOS!$I$2:$I$20000,"Armonía"),"")))</f>
        <v/>
      </c>
      <c r="O452" t="str">
        <f>IF(M452="","",IF(M452="[FÓRMULA MANUAL]","",IFERROR(AVERAGEIFS(DATOS!$K$2:$K$20000,DATOS!$A$2:$A$20000,M452,DATOS!$G$2:$G$20000,CONFIG_METADATA!$B$4,DATOS!$I$2:$I$20000,"Orquesta/Banda/Conjunto"),"")))</f>
        <v/>
      </c>
      <c r="P452" t="str">
        <f>IF(M452="","",IF(M452="[FÓRMULA MANUAL]","",IFERROR(AVERAGEIFS(DATOS!$K$2:$K$20000,DATOS!$A$2:$A$20000,M452,DATOS!$G$2:$G$20000,CONFIG_METADATA!$B$4,DATOS!$I$2:$I$20000,"Música de Cámara"),"")))</f>
        <v/>
      </c>
      <c r="Q452" t="str">
        <f>IF(M452="","",IF(M452="[FÓRMULA MANUAL]","",IFERROR(SUMPRODUCT((DATOS!$A$2:$A$20000=M452)*(DATOS!$G$2:$G$20000=CONFIG_METADATA!$B$4)*(COUNTIF(CONFIG_ASIGNATURAS!$B$7:$B$27,DATOS!$I$2:$I$20000)&gt;0)*(DATOS!$K$2:$K$20000))/SUMPRODUCT((DATOS!$A$2:$A$20000=M452)*(DATOS!$G$2:$G$20000=CONFIG_METADATA!$B$4)*(COUNTIF(CONFIG_ASIGNATURAS!$B$7:$B$27,DATOS!$I$2:$I$20000)&gt;0)*1),"")))</f>
        <v/>
      </c>
      <c r="T452" t="str">
        <f>IF(S452="","",IF(S452="[FÓRMULA MANUAL]","",IFERROR(AVERAGEIFS(DATOS!$K$2:$K$20000,DATOS!$A$2:$A$20000,S452,DATOS!$G$2:$G$20000,CONFIG_METADATA!$B$4,DATOS!$I$2:$I$20000,"Armonía"),"")))</f>
        <v/>
      </c>
      <c r="U452" t="str">
        <f>IF(S452="","",IF(S452="[FÓRMULA MANUAL]","",IFERROR(AVERAGEIFS(DATOS!$K$2:$K$20000,DATOS!$A$2:$A$20000,S452,DATOS!$G$2:$G$20000,CONFIG_METADATA!$B$4,DATOS!$I$2:$I$20000,"Orquesta/Banda/Conjunto"),"")))</f>
        <v/>
      </c>
      <c r="V452" t="str">
        <f>IF(S452="","",IF(S452="[FÓRMULA MANUAL]","",IFERROR(AVERAGEIFS(DATOS!$K$2:$K$20000,DATOS!$A$2:$A$20000,S452,DATOS!$G$2:$G$20000,CONFIG_METADATA!$B$4,DATOS!$I$2:$I$20000,"Música de Cámara"),"")))</f>
        <v/>
      </c>
      <c r="W452" t="str">
        <f>IF(S452="","",IF(S452="[FÓRMULA MANUAL]","",IFERROR(SUMPRODUCT((DATOS!$A$2:$A$20000=S452)*(DATOS!$G$2:$G$20000=CONFIG_METADATA!$B$4)*(COUNTIF(CONFIG_ASIGNATURAS!$B$7:$B$27,DATOS!$I$2:$I$20000)&gt;0)*(DATOS!$K$2:$K$20000))/SUMPRODUCT((DATOS!$A$2:$A$20000=S452)*(DATOS!$G$2:$G$20000=CONFIG_METADATA!$B$4)*(COUNTIF(CONFIG_ASIGNATURAS!$B$7:$B$27,DATOS!$I$2:$I$20000)&gt;0)*1),"")))</f>
        <v/>
      </c>
      <c r="Z452" t="str">
        <f>IF(Y452="","",IF(Y452="[FÓRMULA MANUAL]","",IFERROR(AVERAGEIFS(DATOS!$K$2:$K$20000,DATOS!$A$2:$A$20000,Y452,DATOS!$G$2:$G$20000,CONFIG_METADATA!$B$4,DATOS!$I$2:$I$20000,"Análisis"),"")))</f>
        <v/>
      </c>
      <c r="AA452" t="str">
        <f>IF(Y452="","",IF(Y452="[FÓRMULA MANUAL]","",IFERROR(AVERAGEIFS(DATOS!$K$2:$K$20000,DATOS!$A$2:$A$20000,Y452,DATOS!$G$2:$G$20000,CONFIG_METADATA!$B$4,DATOS!$I$2:$I$20000,"Orquesta/Banda/Conjunto"),"")))</f>
        <v/>
      </c>
      <c r="AB452" t="str">
        <f>IF(Y452="","",IF(Y452="[FÓRMULA MANUAL]","",IFERROR(AVERAGEIFS(DATOS!$K$2:$K$20000,DATOS!$A$2:$A$20000,Y452,DATOS!$G$2:$G$20000,CONFIG_METADATA!$B$4,DATOS!$I$2:$I$20000,"Música de Cámara"),"")))</f>
        <v/>
      </c>
      <c r="AC452" t="str">
        <f>IF(Y452="","",IF(Y452="[FÓRMULA MANUAL]","",IFERROR(SUMPRODUCT((DATOS!$A$2:$A$20000=Y452)*(DATOS!$G$2:$G$20000=CONFIG_METADATA!$B$4)*(COUNTIF(CONFIG_ASIGNATURAS!$B$7:$B$27,DATOS!$I$2:$I$20000)&gt;0)*(DATOS!$K$2:$K$20000))/SUMPRODUCT((DATOS!$A$2:$A$20000=Y452)*(DATOS!$G$2:$G$20000=CONFIG_METADATA!$B$4)*(COUNTIF(CONFIG_ASIGNATURAS!$B$7:$B$27,DATOS!$I$2:$I$20000)&gt;0)*1),"")))</f>
        <v/>
      </c>
      <c r="AF452" t="str">
        <f>IF(AE452="","",IF(AE452="[FÓRMULA MANUAL]","",IFERROR(AVERAGEIFS(DATOS!$K$2:$K$20000,DATOS!$A$2:$A$20000,AE452,DATOS!$G$2:$G$20000,CONFIG_METADATA!$B$4,DATOS!$I$2:$I$20000,"Análisis"),"")))</f>
        <v/>
      </c>
      <c r="AG452" t="str">
        <f>IF(AE452="","",IF(AE452="[FÓRMULA MANUAL]","",IFERROR(AVERAGEIFS(DATOS!$K$2:$K$20000,DATOS!$A$2:$A$20000,AE452,DATOS!$G$2:$G$20000,CONFIG_METADATA!$B$4,DATOS!$I$2:$I$20000,"Orquesta/Banda/Conjunto"),"")))</f>
        <v/>
      </c>
      <c r="AH452" t="str">
        <f>IF(AE452="","",IF(AE452="[FÓRMULA MANUAL]","",IFERROR(AVERAGEIFS(DATOS!$K$2:$K$20000,DATOS!$A$2:$A$20000,AE452,DATOS!$G$2:$G$20000,CONFIG_METADATA!$B$4,DATOS!$I$2:$I$20000,"Música de Cámara"),"")))</f>
        <v/>
      </c>
      <c r="AI452" t="str">
        <f>IF(AE452="","",IF(AE452="[FÓRMULA MANUAL]","",IFERROR(SUMPRODUCT((DATOS!$A$2:$A$20000=AE452)*(DATOS!$G$2:$G$20000=CONFIG_METADATA!$B$4)*(COUNTIF(CONFIG_ASIGNATURAS!$B$7:$B$27,DATOS!$I$2:$I$20000)&gt;0)*(DATOS!$K$2:$K$20000))/SUMPRODUCT((DATOS!$A$2:$A$20000=AE452)*(DATOS!$G$2:$G$20000=CONFIG_METADATA!$B$4)*(COUNTIF(CONFIG_ASIGNATURAS!$B$7:$B$27,DATOS!$I$2:$I$20000)&gt;0)*1),"")))</f>
        <v/>
      </c>
    </row>
    <row r="453" spans="2:35" x14ac:dyDescent="0.2">
      <c r="B453" t="str">
        <f>IF(A453="","",IF(A453="[FÓRMULA MANUAL]","",IFERROR(AVERAGEIFS(DATOS!$K$2:$K$20000,DATOS!$A$2:$A$20000,A453,DATOS!$G$2:$G$20000,CONFIG_METADATA!$B$4,DATOS!$I$2:$I$20000,"Lenguaje Musical"),"")))</f>
        <v/>
      </c>
      <c r="C453" t="str">
        <f>IF(A453="","",IF(A453="[FÓRMULA MANUAL]","",IFERROR(AVERAGEIFS(DATOS!$K$2:$K$20000,DATOS!$A$2:$A$20000,A453,DATOS!$G$2:$G$20000,CONFIG_METADATA!$B$4,DATOS!$I$2:$I$20000,"Orquesta/Banda/Conjunto"),"")))</f>
        <v/>
      </c>
      <c r="D453" t="str">
        <f>IF(A453="","",IF(A453="[FÓRMULA MANUAL]","",IFERROR(AVERAGEIFS(DATOS!$K$2:$K$20000,DATOS!$A$2:$A$20000,A453,DATOS!$G$2:$G$20000,CONFIG_METADATA!$B$4,DATOS!$I$2:$I$20000,"Conjunto"),"")))</f>
        <v/>
      </c>
      <c r="E453" t="str">
        <f>IF(A453="","",IF(A453="[FÓRMULA MANUAL]","",IFERROR(SUMPRODUCT((DATOS!$A$2:$A$20000=A453)*(DATOS!$G$2:$G$20000=CONFIG_METADATA!$B$4)*(COUNTIF(CONFIG_ASIGNATURAS!$B$7:$B$27,DATOS!$I$2:$I$20000)&gt;0)*(DATOS!$K$2:$K$20000))/SUMPRODUCT((DATOS!$A$2:$A$20000=A453)*(DATOS!$G$2:$G$20000=CONFIG_METADATA!$B$4)*(COUNTIF(CONFIG_ASIGNATURAS!$B$7:$B$27,DATOS!$I$2:$I$20000)&gt;0)*1),"")))</f>
        <v/>
      </c>
      <c r="H453" t="str">
        <f>IF(G453="","",IF(G453="[FÓRMULA MANUAL]","",IFERROR(AVERAGEIFS(DATOS!$K$2:$K$20000,DATOS!$A$2:$A$20000,G453,DATOS!$G$2:$G$20000,CONFIG_METADATA!$B$4,DATOS!$I$2:$I$20000,"Lenguaje Musical"),"")))</f>
        <v/>
      </c>
      <c r="I453" t="str">
        <f>IF(G453="","",IF(G453="[FÓRMULA MANUAL]","",IFERROR(AVERAGEIFS(DATOS!$K$2:$K$20000,DATOS!$A$2:$A$20000,G453,DATOS!$G$2:$G$20000,CONFIG_METADATA!$B$4,DATOS!$I$2:$I$20000,"Orquesta/Banda/Conjunto"),"")))</f>
        <v/>
      </c>
      <c r="J453" t="str">
        <f>IF(G453="","",IF(G453="[FÓRMULA MANUAL]","",IFERROR(AVERAGEIFS(DATOS!$K$2:$K$20000,DATOS!$A$2:$A$20000,G453,DATOS!$G$2:$G$20000,CONFIG_METADATA!$B$4,DATOS!$I$2:$I$20000,"Conjunto"),"")))</f>
        <v/>
      </c>
      <c r="K453" t="str">
        <f>IF(G453="","",IF(G453="[FÓRMULA MANUAL]","",IFERROR(SUMPRODUCT((DATOS!$A$2:$A$20000=G453)*(DATOS!$G$2:$G$20000=CONFIG_METADATA!$B$4)*(COUNTIF(CONFIG_ASIGNATURAS!$B$7:$B$27,DATOS!$I$2:$I$20000)&gt;0)*(DATOS!$K$2:$K$20000))/SUMPRODUCT((DATOS!$A$2:$A$20000=G453)*(DATOS!$G$2:$G$20000=CONFIG_METADATA!$B$4)*(COUNTIF(CONFIG_ASIGNATURAS!$B$7:$B$27,DATOS!$I$2:$I$20000)&gt;0)*1),"")))</f>
        <v/>
      </c>
      <c r="N453" t="str">
        <f>IF(M453="","",IF(M453="[FÓRMULA MANUAL]","",IFERROR(AVERAGEIFS(DATOS!$K$2:$K$20000,DATOS!$A$2:$A$20000,M453,DATOS!$G$2:$G$20000,CONFIG_METADATA!$B$4,DATOS!$I$2:$I$20000,"Armonía"),"")))</f>
        <v/>
      </c>
      <c r="O453" t="str">
        <f>IF(M453="","",IF(M453="[FÓRMULA MANUAL]","",IFERROR(AVERAGEIFS(DATOS!$K$2:$K$20000,DATOS!$A$2:$A$20000,M453,DATOS!$G$2:$G$20000,CONFIG_METADATA!$B$4,DATOS!$I$2:$I$20000,"Orquesta/Banda/Conjunto"),"")))</f>
        <v/>
      </c>
      <c r="P453" t="str">
        <f>IF(M453="","",IF(M453="[FÓRMULA MANUAL]","",IFERROR(AVERAGEIFS(DATOS!$K$2:$K$20000,DATOS!$A$2:$A$20000,M453,DATOS!$G$2:$G$20000,CONFIG_METADATA!$B$4,DATOS!$I$2:$I$20000,"Música de Cámara"),"")))</f>
        <v/>
      </c>
      <c r="Q453" t="str">
        <f>IF(M453="","",IF(M453="[FÓRMULA MANUAL]","",IFERROR(SUMPRODUCT((DATOS!$A$2:$A$20000=M453)*(DATOS!$G$2:$G$20000=CONFIG_METADATA!$B$4)*(COUNTIF(CONFIG_ASIGNATURAS!$B$7:$B$27,DATOS!$I$2:$I$20000)&gt;0)*(DATOS!$K$2:$K$20000))/SUMPRODUCT((DATOS!$A$2:$A$20000=M453)*(DATOS!$G$2:$G$20000=CONFIG_METADATA!$B$4)*(COUNTIF(CONFIG_ASIGNATURAS!$B$7:$B$27,DATOS!$I$2:$I$20000)&gt;0)*1),"")))</f>
        <v/>
      </c>
      <c r="T453" t="str">
        <f>IF(S453="","",IF(S453="[FÓRMULA MANUAL]","",IFERROR(AVERAGEIFS(DATOS!$K$2:$K$20000,DATOS!$A$2:$A$20000,S453,DATOS!$G$2:$G$20000,CONFIG_METADATA!$B$4,DATOS!$I$2:$I$20000,"Armonía"),"")))</f>
        <v/>
      </c>
      <c r="U453" t="str">
        <f>IF(S453="","",IF(S453="[FÓRMULA MANUAL]","",IFERROR(AVERAGEIFS(DATOS!$K$2:$K$20000,DATOS!$A$2:$A$20000,S453,DATOS!$G$2:$G$20000,CONFIG_METADATA!$B$4,DATOS!$I$2:$I$20000,"Orquesta/Banda/Conjunto"),"")))</f>
        <v/>
      </c>
      <c r="V453" t="str">
        <f>IF(S453="","",IF(S453="[FÓRMULA MANUAL]","",IFERROR(AVERAGEIFS(DATOS!$K$2:$K$20000,DATOS!$A$2:$A$20000,S453,DATOS!$G$2:$G$20000,CONFIG_METADATA!$B$4,DATOS!$I$2:$I$20000,"Música de Cámara"),"")))</f>
        <v/>
      </c>
      <c r="W453" t="str">
        <f>IF(S453="","",IF(S453="[FÓRMULA MANUAL]","",IFERROR(SUMPRODUCT((DATOS!$A$2:$A$20000=S453)*(DATOS!$G$2:$G$20000=CONFIG_METADATA!$B$4)*(COUNTIF(CONFIG_ASIGNATURAS!$B$7:$B$27,DATOS!$I$2:$I$20000)&gt;0)*(DATOS!$K$2:$K$20000))/SUMPRODUCT((DATOS!$A$2:$A$20000=S453)*(DATOS!$G$2:$G$20000=CONFIG_METADATA!$B$4)*(COUNTIF(CONFIG_ASIGNATURAS!$B$7:$B$27,DATOS!$I$2:$I$20000)&gt;0)*1),"")))</f>
        <v/>
      </c>
      <c r="Z453" t="str">
        <f>IF(Y453="","",IF(Y453="[FÓRMULA MANUAL]","",IFERROR(AVERAGEIFS(DATOS!$K$2:$K$20000,DATOS!$A$2:$A$20000,Y453,DATOS!$G$2:$G$20000,CONFIG_METADATA!$B$4,DATOS!$I$2:$I$20000,"Análisis"),"")))</f>
        <v/>
      </c>
      <c r="AA453" t="str">
        <f>IF(Y453="","",IF(Y453="[FÓRMULA MANUAL]","",IFERROR(AVERAGEIFS(DATOS!$K$2:$K$20000,DATOS!$A$2:$A$20000,Y453,DATOS!$G$2:$G$20000,CONFIG_METADATA!$B$4,DATOS!$I$2:$I$20000,"Orquesta/Banda/Conjunto"),"")))</f>
        <v/>
      </c>
      <c r="AB453" t="str">
        <f>IF(Y453="","",IF(Y453="[FÓRMULA MANUAL]","",IFERROR(AVERAGEIFS(DATOS!$K$2:$K$20000,DATOS!$A$2:$A$20000,Y453,DATOS!$G$2:$G$20000,CONFIG_METADATA!$B$4,DATOS!$I$2:$I$20000,"Música de Cámara"),"")))</f>
        <v/>
      </c>
      <c r="AC453" t="str">
        <f>IF(Y453="","",IF(Y453="[FÓRMULA MANUAL]","",IFERROR(SUMPRODUCT((DATOS!$A$2:$A$20000=Y453)*(DATOS!$G$2:$G$20000=CONFIG_METADATA!$B$4)*(COUNTIF(CONFIG_ASIGNATURAS!$B$7:$B$27,DATOS!$I$2:$I$20000)&gt;0)*(DATOS!$K$2:$K$20000))/SUMPRODUCT((DATOS!$A$2:$A$20000=Y453)*(DATOS!$G$2:$G$20000=CONFIG_METADATA!$B$4)*(COUNTIF(CONFIG_ASIGNATURAS!$B$7:$B$27,DATOS!$I$2:$I$20000)&gt;0)*1),"")))</f>
        <v/>
      </c>
      <c r="AF453" t="str">
        <f>IF(AE453="","",IF(AE453="[FÓRMULA MANUAL]","",IFERROR(AVERAGEIFS(DATOS!$K$2:$K$20000,DATOS!$A$2:$A$20000,AE453,DATOS!$G$2:$G$20000,CONFIG_METADATA!$B$4,DATOS!$I$2:$I$20000,"Análisis"),"")))</f>
        <v/>
      </c>
      <c r="AG453" t="str">
        <f>IF(AE453="","",IF(AE453="[FÓRMULA MANUAL]","",IFERROR(AVERAGEIFS(DATOS!$K$2:$K$20000,DATOS!$A$2:$A$20000,AE453,DATOS!$G$2:$G$20000,CONFIG_METADATA!$B$4,DATOS!$I$2:$I$20000,"Orquesta/Banda/Conjunto"),"")))</f>
        <v/>
      </c>
      <c r="AH453" t="str">
        <f>IF(AE453="","",IF(AE453="[FÓRMULA MANUAL]","",IFERROR(AVERAGEIFS(DATOS!$K$2:$K$20000,DATOS!$A$2:$A$20000,AE453,DATOS!$G$2:$G$20000,CONFIG_METADATA!$B$4,DATOS!$I$2:$I$20000,"Música de Cámara"),"")))</f>
        <v/>
      </c>
      <c r="AI453" t="str">
        <f>IF(AE453="","",IF(AE453="[FÓRMULA MANUAL]","",IFERROR(SUMPRODUCT((DATOS!$A$2:$A$20000=AE453)*(DATOS!$G$2:$G$20000=CONFIG_METADATA!$B$4)*(COUNTIF(CONFIG_ASIGNATURAS!$B$7:$B$27,DATOS!$I$2:$I$20000)&gt;0)*(DATOS!$K$2:$K$20000))/SUMPRODUCT((DATOS!$A$2:$A$20000=AE453)*(DATOS!$G$2:$G$20000=CONFIG_METADATA!$B$4)*(COUNTIF(CONFIG_ASIGNATURAS!$B$7:$B$27,DATOS!$I$2:$I$20000)&gt;0)*1),"")))</f>
        <v/>
      </c>
    </row>
    <row r="454" spans="2:35" x14ac:dyDescent="0.2">
      <c r="B454" t="str">
        <f>IF(A454="","",IF(A454="[FÓRMULA MANUAL]","",IFERROR(AVERAGEIFS(DATOS!$K$2:$K$20000,DATOS!$A$2:$A$20000,A454,DATOS!$G$2:$G$20000,CONFIG_METADATA!$B$4,DATOS!$I$2:$I$20000,"Lenguaje Musical"),"")))</f>
        <v/>
      </c>
      <c r="C454" t="str">
        <f>IF(A454="","",IF(A454="[FÓRMULA MANUAL]","",IFERROR(AVERAGEIFS(DATOS!$K$2:$K$20000,DATOS!$A$2:$A$20000,A454,DATOS!$G$2:$G$20000,CONFIG_METADATA!$B$4,DATOS!$I$2:$I$20000,"Orquesta/Banda/Conjunto"),"")))</f>
        <v/>
      </c>
      <c r="D454" t="str">
        <f>IF(A454="","",IF(A454="[FÓRMULA MANUAL]","",IFERROR(AVERAGEIFS(DATOS!$K$2:$K$20000,DATOS!$A$2:$A$20000,A454,DATOS!$G$2:$G$20000,CONFIG_METADATA!$B$4,DATOS!$I$2:$I$20000,"Conjunto"),"")))</f>
        <v/>
      </c>
      <c r="E454" t="str">
        <f>IF(A454="","",IF(A454="[FÓRMULA MANUAL]","",IFERROR(SUMPRODUCT((DATOS!$A$2:$A$20000=A454)*(DATOS!$G$2:$G$20000=CONFIG_METADATA!$B$4)*(COUNTIF(CONFIG_ASIGNATURAS!$B$7:$B$27,DATOS!$I$2:$I$20000)&gt;0)*(DATOS!$K$2:$K$20000))/SUMPRODUCT((DATOS!$A$2:$A$20000=A454)*(DATOS!$G$2:$G$20000=CONFIG_METADATA!$B$4)*(COUNTIF(CONFIG_ASIGNATURAS!$B$7:$B$27,DATOS!$I$2:$I$20000)&gt;0)*1),"")))</f>
        <v/>
      </c>
      <c r="H454" t="str">
        <f>IF(G454="","",IF(G454="[FÓRMULA MANUAL]","",IFERROR(AVERAGEIFS(DATOS!$K$2:$K$20000,DATOS!$A$2:$A$20000,G454,DATOS!$G$2:$G$20000,CONFIG_METADATA!$B$4,DATOS!$I$2:$I$20000,"Lenguaje Musical"),"")))</f>
        <v/>
      </c>
      <c r="I454" t="str">
        <f>IF(G454="","",IF(G454="[FÓRMULA MANUAL]","",IFERROR(AVERAGEIFS(DATOS!$K$2:$K$20000,DATOS!$A$2:$A$20000,G454,DATOS!$G$2:$G$20000,CONFIG_METADATA!$B$4,DATOS!$I$2:$I$20000,"Orquesta/Banda/Conjunto"),"")))</f>
        <v/>
      </c>
      <c r="J454" t="str">
        <f>IF(G454="","",IF(G454="[FÓRMULA MANUAL]","",IFERROR(AVERAGEIFS(DATOS!$K$2:$K$20000,DATOS!$A$2:$A$20000,G454,DATOS!$G$2:$G$20000,CONFIG_METADATA!$B$4,DATOS!$I$2:$I$20000,"Conjunto"),"")))</f>
        <v/>
      </c>
      <c r="K454" t="str">
        <f>IF(G454="","",IF(G454="[FÓRMULA MANUAL]","",IFERROR(SUMPRODUCT((DATOS!$A$2:$A$20000=G454)*(DATOS!$G$2:$G$20000=CONFIG_METADATA!$B$4)*(COUNTIF(CONFIG_ASIGNATURAS!$B$7:$B$27,DATOS!$I$2:$I$20000)&gt;0)*(DATOS!$K$2:$K$20000))/SUMPRODUCT((DATOS!$A$2:$A$20000=G454)*(DATOS!$G$2:$G$20000=CONFIG_METADATA!$B$4)*(COUNTIF(CONFIG_ASIGNATURAS!$B$7:$B$27,DATOS!$I$2:$I$20000)&gt;0)*1),"")))</f>
        <v/>
      </c>
      <c r="N454" t="str">
        <f>IF(M454="","",IF(M454="[FÓRMULA MANUAL]","",IFERROR(AVERAGEIFS(DATOS!$K$2:$K$20000,DATOS!$A$2:$A$20000,M454,DATOS!$G$2:$G$20000,CONFIG_METADATA!$B$4,DATOS!$I$2:$I$20000,"Armonía"),"")))</f>
        <v/>
      </c>
      <c r="O454" t="str">
        <f>IF(M454="","",IF(M454="[FÓRMULA MANUAL]","",IFERROR(AVERAGEIFS(DATOS!$K$2:$K$20000,DATOS!$A$2:$A$20000,M454,DATOS!$G$2:$G$20000,CONFIG_METADATA!$B$4,DATOS!$I$2:$I$20000,"Orquesta/Banda/Conjunto"),"")))</f>
        <v/>
      </c>
      <c r="P454" t="str">
        <f>IF(M454="","",IF(M454="[FÓRMULA MANUAL]","",IFERROR(AVERAGEIFS(DATOS!$K$2:$K$20000,DATOS!$A$2:$A$20000,M454,DATOS!$G$2:$G$20000,CONFIG_METADATA!$B$4,DATOS!$I$2:$I$20000,"Música de Cámara"),"")))</f>
        <v/>
      </c>
      <c r="Q454" t="str">
        <f>IF(M454="","",IF(M454="[FÓRMULA MANUAL]","",IFERROR(SUMPRODUCT((DATOS!$A$2:$A$20000=M454)*(DATOS!$G$2:$G$20000=CONFIG_METADATA!$B$4)*(COUNTIF(CONFIG_ASIGNATURAS!$B$7:$B$27,DATOS!$I$2:$I$20000)&gt;0)*(DATOS!$K$2:$K$20000))/SUMPRODUCT((DATOS!$A$2:$A$20000=M454)*(DATOS!$G$2:$G$20000=CONFIG_METADATA!$B$4)*(COUNTIF(CONFIG_ASIGNATURAS!$B$7:$B$27,DATOS!$I$2:$I$20000)&gt;0)*1),"")))</f>
        <v/>
      </c>
      <c r="T454" t="str">
        <f>IF(S454="","",IF(S454="[FÓRMULA MANUAL]","",IFERROR(AVERAGEIFS(DATOS!$K$2:$K$20000,DATOS!$A$2:$A$20000,S454,DATOS!$G$2:$G$20000,CONFIG_METADATA!$B$4,DATOS!$I$2:$I$20000,"Armonía"),"")))</f>
        <v/>
      </c>
      <c r="U454" t="str">
        <f>IF(S454="","",IF(S454="[FÓRMULA MANUAL]","",IFERROR(AVERAGEIFS(DATOS!$K$2:$K$20000,DATOS!$A$2:$A$20000,S454,DATOS!$G$2:$G$20000,CONFIG_METADATA!$B$4,DATOS!$I$2:$I$20000,"Orquesta/Banda/Conjunto"),"")))</f>
        <v/>
      </c>
      <c r="V454" t="str">
        <f>IF(S454="","",IF(S454="[FÓRMULA MANUAL]","",IFERROR(AVERAGEIFS(DATOS!$K$2:$K$20000,DATOS!$A$2:$A$20000,S454,DATOS!$G$2:$G$20000,CONFIG_METADATA!$B$4,DATOS!$I$2:$I$20000,"Música de Cámara"),"")))</f>
        <v/>
      </c>
      <c r="W454" t="str">
        <f>IF(S454="","",IF(S454="[FÓRMULA MANUAL]","",IFERROR(SUMPRODUCT((DATOS!$A$2:$A$20000=S454)*(DATOS!$G$2:$G$20000=CONFIG_METADATA!$B$4)*(COUNTIF(CONFIG_ASIGNATURAS!$B$7:$B$27,DATOS!$I$2:$I$20000)&gt;0)*(DATOS!$K$2:$K$20000))/SUMPRODUCT((DATOS!$A$2:$A$20000=S454)*(DATOS!$G$2:$G$20000=CONFIG_METADATA!$B$4)*(COUNTIF(CONFIG_ASIGNATURAS!$B$7:$B$27,DATOS!$I$2:$I$20000)&gt;0)*1),"")))</f>
        <v/>
      </c>
      <c r="Z454" t="str">
        <f>IF(Y454="","",IF(Y454="[FÓRMULA MANUAL]","",IFERROR(AVERAGEIFS(DATOS!$K$2:$K$20000,DATOS!$A$2:$A$20000,Y454,DATOS!$G$2:$G$20000,CONFIG_METADATA!$B$4,DATOS!$I$2:$I$20000,"Análisis"),"")))</f>
        <v/>
      </c>
      <c r="AA454" t="str">
        <f>IF(Y454="","",IF(Y454="[FÓRMULA MANUAL]","",IFERROR(AVERAGEIFS(DATOS!$K$2:$K$20000,DATOS!$A$2:$A$20000,Y454,DATOS!$G$2:$G$20000,CONFIG_METADATA!$B$4,DATOS!$I$2:$I$20000,"Orquesta/Banda/Conjunto"),"")))</f>
        <v/>
      </c>
      <c r="AB454" t="str">
        <f>IF(Y454="","",IF(Y454="[FÓRMULA MANUAL]","",IFERROR(AVERAGEIFS(DATOS!$K$2:$K$20000,DATOS!$A$2:$A$20000,Y454,DATOS!$G$2:$G$20000,CONFIG_METADATA!$B$4,DATOS!$I$2:$I$20000,"Música de Cámara"),"")))</f>
        <v/>
      </c>
      <c r="AC454" t="str">
        <f>IF(Y454="","",IF(Y454="[FÓRMULA MANUAL]","",IFERROR(SUMPRODUCT((DATOS!$A$2:$A$20000=Y454)*(DATOS!$G$2:$G$20000=CONFIG_METADATA!$B$4)*(COUNTIF(CONFIG_ASIGNATURAS!$B$7:$B$27,DATOS!$I$2:$I$20000)&gt;0)*(DATOS!$K$2:$K$20000))/SUMPRODUCT((DATOS!$A$2:$A$20000=Y454)*(DATOS!$G$2:$G$20000=CONFIG_METADATA!$B$4)*(COUNTIF(CONFIG_ASIGNATURAS!$B$7:$B$27,DATOS!$I$2:$I$20000)&gt;0)*1),"")))</f>
        <v/>
      </c>
      <c r="AF454" t="str">
        <f>IF(AE454="","",IF(AE454="[FÓRMULA MANUAL]","",IFERROR(AVERAGEIFS(DATOS!$K$2:$K$20000,DATOS!$A$2:$A$20000,AE454,DATOS!$G$2:$G$20000,CONFIG_METADATA!$B$4,DATOS!$I$2:$I$20000,"Análisis"),"")))</f>
        <v/>
      </c>
      <c r="AG454" t="str">
        <f>IF(AE454="","",IF(AE454="[FÓRMULA MANUAL]","",IFERROR(AVERAGEIFS(DATOS!$K$2:$K$20000,DATOS!$A$2:$A$20000,AE454,DATOS!$G$2:$G$20000,CONFIG_METADATA!$B$4,DATOS!$I$2:$I$20000,"Orquesta/Banda/Conjunto"),"")))</f>
        <v/>
      </c>
      <c r="AH454" t="str">
        <f>IF(AE454="","",IF(AE454="[FÓRMULA MANUAL]","",IFERROR(AVERAGEIFS(DATOS!$K$2:$K$20000,DATOS!$A$2:$A$20000,AE454,DATOS!$G$2:$G$20000,CONFIG_METADATA!$B$4,DATOS!$I$2:$I$20000,"Música de Cámara"),"")))</f>
        <v/>
      </c>
      <c r="AI454" t="str">
        <f>IF(AE454="","",IF(AE454="[FÓRMULA MANUAL]","",IFERROR(SUMPRODUCT((DATOS!$A$2:$A$20000=AE454)*(DATOS!$G$2:$G$20000=CONFIG_METADATA!$B$4)*(COUNTIF(CONFIG_ASIGNATURAS!$B$7:$B$27,DATOS!$I$2:$I$20000)&gt;0)*(DATOS!$K$2:$K$20000))/SUMPRODUCT((DATOS!$A$2:$A$20000=AE454)*(DATOS!$G$2:$G$20000=CONFIG_METADATA!$B$4)*(COUNTIF(CONFIG_ASIGNATURAS!$B$7:$B$27,DATOS!$I$2:$I$20000)&gt;0)*1),"")))</f>
        <v/>
      </c>
    </row>
    <row r="455" spans="2:35" x14ac:dyDescent="0.2">
      <c r="B455" t="str">
        <f>IF(A455="","",IF(A455="[FÓRMULA MANUAL]","",IFERROR(AVERAGEIFS(DATOS!$K$2:$K$20000,DATOS!$A$2:$A$20000,A455,DATOS!$G$2:$G$20000,CONFIG_METADATA!$B$4,DATOS!$I$2:$I$20000,"Lenguaje Musical"),"")))</f>
        <v/>
      </c>
      <c r="C455" t="str">
        <f>IF(A455="","",IF(A455="[FÓRMULA MANUAL]","",IFERROR(AVERAGEIFS(DATOS!$K$2:$K$20000,DATOS!$A$2:$A$20000,A455,DATOS!$G$2:$G$20000,CONFIG_METADATA!$B$4,DATOS!$I$2:$I$20000,"Orquesta/Banda/Conjunto"),"")))</f>
        <v/>
      </c>
      <c r="D455" t="str">
        <f>IF(A455="","",IF(A455="[FÓRMULA MANUAL]","",IFERROR(AVERAGEIFS(DATOS!$K$2:$K$20000,DATOS!$A$2:$A$20000,A455,DATOS!$G$2:$G$20000,CONFIG_METADATA!$B$4,DATOS!$I$2:$I$20000,"Conjunto"),"")))</f>
        <v/>
      </c>
      <c r="E455" t="str">
        <f>IF(A455="","",IF(A455="[FÓRMULA MANUAL]","",IFERROR(SUMPRODUCT((DATOS!$A$2:$A$20000=A455)*(DATOS!$G$2:$G$20000=CONFIG_METADATA!$B$4)*(COUNTIF(CONFIG_ASIGNATURAS!$B$7:$B$27,DATOS!$I$2:$I$20000)&gt;0)*(DATOS!$K$2:$K$20000))/SUMPRODUCT((DATOS!$A$2:$A$20000=A455)*(DATOS!$G$2:$G$20000=CONFIG_METADATA!$B$4)*(COUNTIF(CONFIG_ASIGNATURAS!$B$7:$B$27,DATOS!$I$2:$I$20000)&gt;0)*1),"")))</f>
        <v/>
      </c>
      <c r="H455" t="str">
        <f>IF(G455="","",IF(G455="[FÓRMULA MANUAL]","",IFERROR(AVERAGEIFS(DATOS!$K$2:$K$20000,DATOS!$A$2:$A$20000,G455,DATOS!$G$2:$G$20000,CONFIG_METADATA!$B$4,DATOS!$I$2:$I$20000,"Lenguaje Musical"),"")))</f>
        <v/>
      </c>
      <c r="I455" t="str">
        <f>IF(G455="","",IF(G455="[FÓRMULA MANUAL]","",IFERROR(AVERAGEIFS(DATOS!$K$2:$K$20000,DATOS!$A$2:$A$20000,G455,DATOS!$G$2:$G$20000,CONFIG_METADATA!$B$4,DATOS!$I$2:$I$20000,"Orquesta/Banda/Conjunto"),"")))</f>
        <v/>
      </c>
      <c r="J455" t="str">
        <f>IF(G455="","",IF(G455="[FÓRMULA MANUAL]","",IFERROR(AVERAGEIFS(DATOS!$K$2:$K$20000,DATOS!$A$2:$A$20000,G455,DATOS!$G$2:$G$20000,CONFIG_METADATA!$B$4,DATOS!$I$2:$I$20000,"Conjunto"),"")))</f>
        <v/>
      </c>
      <c r="K455" t="str">
        <f>IF(G455="","",IF(G455="[FÓRMULA MANUAL]","",IFERROR(SUMPRODUCT((DATOS!$A$2:$A$20000=G455)*(DATOS!$G$2:$G$20000=CONFIG_METADATA!$B$4)*(COUNTIF(CONFIG_ASIGNATURAS!$B$7:$B$27,DATOS!$I$2:$I$20000)&gt;0)*(DATOS!$K$2:$K$20000))/SUMPRODUCT((DATOS!$A$2:$A$20000=G455)*(DATOS!$G$2:$G$20000=CONFIG_METADATA!$B$4)*(COUNTIF(CONFIG_ASIGNATURAS!$B$7:$B$27,DATOS!$I$2:$I$20000)&gt;0)*1),"")))</f>
        <v/>
      </c>
      <c r="N455" t="str">
        <f>IF(M455="","",IF(M455="[FÓRMULA MANUAL]","",IFERROR(AVERAGEIFS(DATOS!$K$2:$K$20000,DATOS!$A$2:$A$20000,M455,DATOS!$G$2:$G$20000,CONFIG_METADATA!$B$4,DATOS!$I$2:$I$20000,"Armonía"),"")))</f>
        <v/>
      </c>
      <c r="O455" t="str">
        <f>IF(M455="","",IF(M455="[FÓRMULA MANUAL]","",IFERROR(AVERAGEIFS(DATOS!$K$2:$K$20000,DATOS!$A$2:$A$20000,M455,DATOS!$G$2:$G$20000,CONFIG_METADATA!$B$4,DATOS!$I$2:$I$20000,"Orquesta/Banda/Conjunto"),"")))</f>
        <v/>
      </c>
      <c r="P455" t="str">
        <f>IF(M455="","",IF(M455="[FÓRMULA MANUAL]","",IFERROR(AVERAGEIFS(DATOS!$K$2:$K$20000,DATOS!$A$2:$A$20000,M455,DATOS!$G$2:$G$20000,CONFIG_METADATA!$B$4,DATOS!$I$2:$I$20000,"Música de Cámara"),"")))</f>
        <v/>
      </c>
      <c r="Q455" t="str">
        <f>IF(M455="","",IF(M455="[FÓRMULA MANUAL]","",IFERROR(SUMPRODUCT((DATOS!$A$2:$A$20000=M455)*(DATOS!$G$2:$G$20000=CONFIG_METADATA!$B$4)*(COUNTIF(CONFIG_ASIGNATURAS!$B$7:$B$27,DATOS!$I$2:$I$20000)&gt;0)*(DATOS!$K$2:$K$20000))/SUMPRODUCT((DATOS!$A$2:$A$20000=M455)*(DATOS!$G$2:$G$20000=CONFIG_METADATA!$B$4)*(COUNTIF(CONFIG_ASIGNATURAS!$B$7:$B$27,DATOS!$I$2:$I$20000)&gt;0)*1),"")))</f>
        <v/>
      </c>
      <c r="T455" t="str">
        <f>IF(S455="","",IF(S455="[FÓRMULA MANUAL]","",IFERROR(AVERAGEIFS(DATOS!$K$2:$K$20000,DATOS!$A$2:$A$20000,S455,DATOS!$G$2:$G$20000,CONFIG_METADATA!$B$4,DATOS!$I$2:$I$20000,"Armonía"),"")))</f>
        <v/>
      </c>
      <c r="U455" t="str">
        <f>IF(S455="","",IF(S455="[FÓRMULA MANUAL]","",IFERROR(AVERAGEIFS(DATOS!$K$2:$K$20000,DATOS!$A$2:$A$20000,S455,DATOS!$G$2:$G$20000,CONFIG_METADATA!$B$4,DATOS!$I$2:$I$20000,"Orquesta/Banda/Conjunto"),"")))</f>
        <v/>
      </c>
      <c r="V455" t="str">
        <f>IF(S455="","",IF(S455="[FÓRMULA MANUAL]","",IFERROR(AVERAGEIFS(DATOS!$K$2:$K$20000,DATOS!$A$2:$A$20000,S455,DATOS!$G$2:$G$20000,CONFIG_METADATA!$B$4,DATOS!$I$2:$I$20000,"Música de Cámara"),"")))</f>
        <v/>
      </c>
      <c r="W455" t="str">
        <f>IF(S455="","",IF(S455="[FÓRMULA MANUAL]","",IFERROR(SUMPRODUCT((DATOS!$A$2:$A$20000=S455)*(DATOS!$G$2:$G$20000=CONFIG_METADATA!$B$4)*(COUNTIF(CONFIG_ASIGNATURAS!$B$7:$B$27,DATOS!$I$2:$I$20000)&gt;0)*(DATOS!$K$2:$K$20000))/SUMPRODUCT((DATOS!$A$2:$A$20000=S455)*(DATOS!$G$2:$G$20000=CONFIG_METADATA!$B$4)*(COUNTIF(CONFIG_ASIGNATURAS!$B$7:$B$27,DATOS!$I$2:$I$20000)&gt;0)*1),"")))</f>
        <v/>
      </c>
      <c r="Z455" t="str">
        <f>IF(Y455="","",IF(Y455="[FÓRMULA MANUAL]","",IFERROR(AVERAGEIFS(DATOS!$K$2:$K$20000,DATOS!$A$2:$A$20000,Y455,DATOS!$G$2:$G$20000,CONFIG_METADATA!$B$4,DATOS!$I$2:$I$20000,"Análisis"),"")))</f>
        <v/>
      </c>
      <c r="AA455" t="str">
        <f>IF(Y455="","",IF(Y455="[FÓRMULA MANUAL]","",IFERROR(AVERAGEIFS(DATOS!$K$2:$K$20000,DATOS!$A$2:$A$20000,Y455,DATOS!$G$2:$G$20000,CONFIG_METADATA!$B$4,DATOS!$I$2:$I$20000,"Orquesta/Banda/Conjunto"),"")))</f>
        <v/>
      </c>
      <c r="AB455" t="str">
        <f>IF(Y455="","",IF(Y455="[FÓRMULA MANUAL]","",IFERROR(AVERAGEIFS(DATOS!$K$2:$K$20000,DATOS!$A$2:$A$20000,Y455,DATOS!$G$2:$G$20000,CONFIG_METADATA!$B$4,DATOS!$I$2:$I$20000,"Música de Cámara"),"")))</f>
        <v/>
      </c>
      <c r="AC455" t="str">
        <f>IF(Y455="","",IF(Y455="[FÓRMULA MANUAL]","",IFERROR(SUMPRODUCT((DATOS!$A$2:$A$20000=Y455)*(DATOS!$G$2:$G$20000=CONFIG_METADATA!$B$4)*(COUNTIF(CONFIG_ASIGNATURAS!$B$7:$B$27,DATOS!$I$2:$I$20000)&gt;0)*(DATOS!$K$2:$K$20000))/SUMPRODUCT((DATOS!$A$2:$A$20000=Y455)*(DATOS!$G$2:$G$20000=CONFIG_METADATA!$B$4)*(COUNTIF(CONFIG_ASIGNATURAS!$B$7:$B$27,DATOS!$I$2:$I$20000)&gt;0)*1),"")))</f>
        <v/>
      </c>
      <c r="AF455" t="str">
        <f>IF(AE455="","",IF(AE455="[FÓRMULA MANUAL]","",IFERROR(AVERAGEIFS(DATOS!$K$2:$K$20000,DATOS!$A$2:$A$20000,AE455,DATOS!$G$2:$G$20000,CONFIG_METADATA!$B$4,DATOS!$I$2:$I$20000,"Análisis"),"")))</f>
        <v/>
      </c>
      <c r="AG455" t="str">
        <f>IF(AE455="","",IF(AE455="[FÓRMULA MANUAL]","",IFERROR(AVERAGEIFS(DATOS!$K$2:$K$20000,DATOS!$A$2:$A$20000,AE455,DATOS!$G$2:$G$20000,CONFIG_METADATA!$B$4,DATOS!$I$2:$I$20000,"Orquesta/Banda/Conjunto"),"")))</f>
        <v/>
      </c>
      <c r="AH455" t="str">
        <f>IF(AE455="","",IF(AE455="[FÓRMULA MANUAL]","",IFERROR(AVERAGEIFS(DATOS!$K$2:$K$20000,DATOS!$A$2:$A$20000,AE455,DATOS!$G$2:$G$20000,CONFIG_METADATA!$B$4,DATOS!$I$2:$I$20000,"Música de Cámara"),"")))</f>
        <v/>
      </c>
      <c r="AI455" t="str">
        <f>IF(AE455="","",IF(AE455="[FÓRMULA MANUAL]","",IFERROR(SUMPRODUCT((DATOS!$A$2:$A$20000=AE455)*(DATOS!$G$2:$G$20000=CONFIG_METADATA!$B$4)*(COUNTIF(CONFIG_ASIGNATURAS!$B$7:$B$27,DATOS!$I$2:$I$20000)&gt;0)*(DATOS!$K$2:$K$20000))/SUMPRODUCT((DATOS!$A$2:$A$20000=AE455)*(DATOS!$G$2:$G$20000=CONFIG_METADATA!$B$4)*(COUNTIF(CONFIG_ASIGNATURAS!$B$7:$B$27,DATOS!$I$2:$I$20000)&gt;0)*1),"")))</f>
        <v/>
      </c>
    </row>
    <row r="456" spans="2:35" x14ac:dyDescent="0.2">
      <c r="B456" t="str">
        <f>IF(A456="","",IF(A456="[FÓRMULA MANUAL]","",IFERROR(AVERAGEIFS(DATOS!$K$2:$K$20000,DATOS!$A$2:$A$20000,A456,DATOS!$G$2:$G$20000,CONFIG_METADATA!$B$4,DATOS!$I$2:$I$20000,"Lenguaje Musical"),"")))</f>
        <v/>
      </c>
      <c r="C456" t="str">
        <f>IF(A456="","",IF(A456="[FÓRMULA MANUAL]","",IFERROR(AVERAGEIFS(DATOS!$K$2:$K$20000,DATOS!$A$2:$A$20000,A456,DATOS!$G$2:$G$20000,CONFIG_METADATA!$B$4,DATOS!$I$2:$I$20000,"Orquesta/Banda/Conjunto"),"")))</f>
        <v/>
      </c>
      <c r="D456" t="str">
        <f>IF(A456="","",IF(A456="[FÓRMULA MANUAL]","",IFERROR(AVERAGEIFS(DATOS!$K$2:$K$20000,DATOS!$A$2:$A$20000,A456,DATOS!$G$2:$G$20000,CONFIG_METADATA!$B$4,DATOS!$I$2:$I$20000,"Conjunto"),"")))</f>
        <v/>
      </c>
      <c r="E456" t="str">
        <f>IF(A456="","",IF(A456="[FÓRMULA MANUAL]","",IFERROR(SUMPRODUCT((DATOS!$A$2:$A$20000=A456)*(DATOS!$G$2:$G$20000=CONFIG_METADATA!$B$4)*(COUNTIF(CONFIG_ASIGNATURAS!$B$7:$B$27,DATOS!$I$2:$I$20000)&gt;0)*(DATOS!$K$2:$K$20000))/SUMPRODUCT((DATOS!$A$2:$A$20000=A456)*(DATOS!$G$2:$G$20000=CONFIG_METADATA!$B$4)*(COUNTIF(CONFIG_ASIGNATURAS!$B$7:$B$27,DATOS!$I$2:$I$20000)&gt;0)*1),"")))</f>
        <v/>
      </c>
      <c r="H456" t="str">
        <f>IF(G456="","",IF(G456="[FÓRMULA MANUAL]","",IFERROR(AVERAGEIFS(DATOS!$K$2:$K$20000,DATOS!$A$2:$A$20000,G456,DATOS!$G$2:$G$20000,CONFIG_METADATA!$B$4,DATOS!$I$2:$I$20000,"Lenguaje Musical"),"")))</f>
        <v/>
      </c>
      <c r="I456" t="str">
        <f>IF(G456="","",IF(G456="[FÓRMULA MANUAL]","",IFERROR(AVERAGEIFS(DATOS!$K$2:$K$20000,DATOS!$A$2:$A$20000,G456,DATOS!$G$2:$G$20000,CONFIG_METADATA!$B$4,DATOS!$I$2:$I$20000,"Orquesta/Banda/Conjunto"),"")))</f>
        <v/>
      </c>
      <c r="J456" t="str">
        <f>IF(G456="","",IF(G456="[FÓRMULA MANUAL]","",IFERROR(AVERAGEIFS(DATOS!$K$2:$K$20000,DATOS!$A$2:$A$20000,G456,DATOS!$G$2:$G$20000,CONFIG_METADATA!$B$4,DATOS!$I$2:$I$20000,"Conjunto"),"")))</f>
        <v/>
      </c>
      <c r="K456" t="str">
        <f>IF(G456="","",IF(G456="[FÓRMULA MANUAL]","",IFERROR(SUMPRODUCT((DATOS!$A$2:$A$20000=G456)*(DATOS!$G$2:$G$20000=CONFIG_METADATA!$B$4)*(COUNTIF(CONFIG_ASIGNATURAS!$B$7:$B$27,DATOS!$I$2:$I$20000)&gt;0)*(DATOS!$K$2:$K$20000))/SUMPRODUCT((DATOS!$A$2:$A$20000=G456)*(DATOS!$G$2:$G$20000=CONFIG_METADATA!$B$4)*(COUNTIF(CONFIG_ASIGNATURAS!$B$7:$B$27,DATOS!$I$2:$I$20000)&gt;0)*1),"")))</f>
        <v/>
      </c>
      <c r="N456" t="str">
        <f>IF(M456="","",IF(M456="[FÓRMULA MANUAL]","",IFERROR(AVERAGEIFS(DATOS!$K$2:$K$20000,DATOS!$A$2:$A$20000,M456,DATOS!$G$2:$G$20000,CONFIG_METADATA!$B$4,DATOS!$I$2:$I$20000,"Armonía"),"")))</f>
        <v/>
      </c>
      <c r="O456" t="str">
        <f>IF(M456="","",IF(M456="[FÓRMULA MANUAL]","",IFERROR(AVERAGEIFS(DATOS!$K$2:$K$20000,DATOS!$A$2:$A$20000,M456,DATOS!$G$2:$G$20000,CONFIG_METADATA!$B$4,DATOS!$I$2:$I$20000,"Orquesta/Banda/Conjunto"),"")))</f>
        <v/>
      </c>
      <c r="P456" t="str">
        <f>IF(M456="","",IF(M456="[FÓRMULA MANUAL]","",IFERROR(AVERAGEIFS(DATOS!$K$2:$K$20000,DATOS!$A$2:$A$20000,M456,DATOS!$G$2:$G$20000,CONFIG_METADATA!$B$4,DATOS!$I$2:$I$20000,"Música de Cámara"),"")))</f>
        <v/>
      </c>
      <c r="Q456" t="str">
        <f>IF(M456="","",IF(M456="[FÓRMULA MANUAL]","",IFERROR(SUMPRODUCT((DATOS!$A$2:$A$20000=M456)*(DATOS!$G$2:$G$20000=CONFIG_METADATA!$B$4)*(COUNTIF(CONFIG_ASIGNATURAS!$B$7:$B$27,DATOS!$I$2:$I$20000)&gt;0)*(DATOS!$K$2:$K$20000))/SUMPRODUCT((DATOS!$A$2:$A$20000=M456)*(DATOS!$G$2:$G$20000=CONFIG_METADATA!$B$4)*(COUNTIF(CONFIG_ASIGNATURAS!$B$7:$B$27,DATOS!$I$2:$I$20000)&gt;0)*1),"")))</f>
        <v/>
      </c>
      <c r="T456" t="str">
        <f>IF(S456="","",IF(S456="[FÓRMULA MANUAL]","",IFERROR(AVERAGEIFS(DATOS!$K$2:$K$20000,DATOS!$A$2:$A$20000,S456,DATOS!$G$2:$G$20000,CONFIG_METADATA!$B$4,DATOS!$I$2:$I$20000,"Armonía"),"")))</f>
        <v/>
      </c>
      <c r="U456" t="str">
        <f>IF(S456="","",IF(S456="[FÓRMULA MANUAL]","",IFERROR(AVERAGEIFS(DATOS!$K$2:$K$20000,DATOS!$A$2:$A$20000,S456,DATOS!$G$2:$G$20000,CONFIG_METADATA!$B$4,DATOS!$I$2:$I$20000,"Orquesta/Banda/Conjunto"),"")))</f>
        <v/>
      </c>
      <c r="V456" t="str">
        <f>IF(S456="","",IF(S456="[FÓRMULA MANUAL]","",IFERROR(AVERAGEIFS(DATOS!$K$2:$K$20000,DATOS!$A$2:$A$20000,S456,DATOS!$G$2:$G$20000,CONFIG_METADATA!$B$4,DATOS!$I$2:$I$20000,"Música de Cámara"),"")))</f>
        <v/>
      </c>
      <c r="W456" t="str">
        <f>IF(S456="","",IF(S456="[FÓRMULA MANUAL]","",IFERROR(SUMPRODUCT((DATOS!$A$2:$A$20000=S456)*(DATOS!$G$2:$G$20000=CONFIG_METADATA!$B$4)*(COUNTIF(CONFIG_ASIGNATURAS!$B$7:$B$27,DATOS!$I$2:$I$20000)&gt;0)*(DATOS!$K$2:$K$20000))/SUMPRODUCT((DATOS!$A$2:$A$20000=S456)*(DATOS!$G$2:$G$20000=CONFIG_METADATA!$B$4)*(COUNTIF(CONFIG_ASIGNATURAS!$B$7:$B$27,DATOS!$I$2:$I$20000)&gt;0)*1),"")))</f>
        <v/>
      </c>
      <c r="Z456" t="str">
        <f>IF(Y456="","",IF(Y456="[FÓRMULA MANUAL]","",IFERROR(AVERAGEIFS(DATOS!$K$2:$K$20000,DATOS!$A$2:$A$20000,Y456,DATOS!$G$2:$G$20000,CONFIG_METADATA!$B$4,DATOS!$I$2:$I$20000,"Análisis"),"")))</f>
        <v/>
      </c>
      <c r="AA456" t="str">
        <f>IF(Y456="","",IF(Y456="[FÓRMULA MANUAL]","",IFERROR(AVERAGEIFS(DATOS!$K$2:$K$20000,DATOS!$A$2:$A$20000,Y456,DATOS!$G$2:$G$20000,CONFIG_METADATA!$B$4,DATOS!$I$2:$I$20000,"Orquesta/Banda/Conjunto"),"")))</f>
        <v/>
      </c>
      <c r="AB456" t="str">
        <f>IF(Y456="","",IF(Y456="[FÓRMULA MANUAL]","",IFERROR(AVERAGEIFS(DATOS!$K$2:$K$20000,DATOS!$A$2:$A$20000,Y456,DATOS!$G$2:$G$20000,CONFIG_METADATA!$B$4,DATOS!$I$2:$I$20000,"Música de Cámara"),"")))</f>
        <v/>
      </c>
      <c r="AC456" t="str">
        <f>IF(Y456="","",IF(Y456="[FÓRMULA MANUAL]","",IFERROR(SUMPRODUCT((DATOS!$A$2:$A$20000=Y456)*(DATOS!$G$2:$G$20000=CONFIG_METADATA!$B$4)*(COUNTIF(CONFIG_ASIGNATURAS!$B$7:$B$27,DATOS!$I$2:$I$20000)&gt;0)*(DATOS!$K$2:$K$20000))/SUMPRODUCT((DATOS!$A$2:$A$20000=Y456)*(DATOS!$G$2:$G$20000=CONFIG_METADATA!$B$4)*(COUNTIF(CONFIG_ASIGNATURAS!$B$7:$B$27,DATOS!$I$2:$I$20000)&gt;0)*1),"")))</f>
        <v/>
      </c>
      <c r="AF456" t="str">
        <f>IF(AE456="","",IF(AE456="[FÓRMULA MANUAL]","",IFERROR(AVERAGEIFS(DATOS!$K$2:$K$20000,DATOS!$A$2:$A$20000,AE456,DATOS!$G$2:$G$20000,CONFIG_METADATA!$B$4,DATOS!$I$2:$I$20000,"Análisis"),"")))</f>
        <v/>
      </c>
      <c r="AG456" t="str">
        <f>IF(AE456="","",IF(AE456="[FÓRMULA MANUAL]","",IFERROR(AVERAGEIFS(DATOS!$K$2:$K$20000,DATOS!$A$2:$A$20000,AE456,DATOS!$G$2:$G$20000,CONFIG_METADATA!$B$4,DATOS!$I$2:$I$20000,"Orquesta/Banda/Conjunto"),"")))</f>
        <v/>
      </c>
      <c r="AH456" t="str">
        <f>IF(AE456="","",IF(AE456="[FÓRMULA MANUAL]","",IFERROR(AVERAGEIFS(DATOS!$K$2:$K$20000,DATOS!$A$2:$A$20000,AE456,DATOS!$G$2:$G$20000,CONFIG_METADATA!$B$4,DATOS!$I$2:$I$20000,"Música de Cámara"),"")))</f>
        <v/>
      </c>
      <c r="AI456" t="str">
        <f>IF(AE456="","",IF(AE456="[FÓRMULA MANUAL]","",IFERROR(SUMPRODUCT((DATOS!$A$2:$A$20000=AE456)*(DATOS!$G$2:$G$20000=CONFIG_METADATA!$B$4)*(COUNTIF(CONFIG_ASIGNATURAS!$B$7:$B$27,DATOS!$I$2:$I$20000)&gt;0)*(DATOS!$K$2:$K$20000))/SUMPRODUCT((DATOS!$A$2:$A$20000=AE456)*(DATOS!$G$2:$G$20000=CONFIG_METADATA!$B$4)*(COUNTIF(CONFIG_ASIGNATURAS!$B$7:$B$27,DATOS!$I$2:$I$20000)&gt;0)*1),"")))</f>
        <v/>
      </c>
    </row>
    <row r="457" spans="2:35" x14ac:dyDescent="0.2">
      <c r="B457" t="str">
        <f>IF(A457="","",IF(A457="[FÓRMULA MANUAL]","",IFERROR(AVERAGEIFS(DATOS!$K$2:$K$20000,DATOS!$A$2:$A$20000,A457,DATOS!$G$2:$G$20000,CONFIG_METADATA!$B$4,DATOS!$I$2:$I$20000,"Lenguaje Musical"),"")))</f>
        <v/>
      </c>
      <c r="C457" t="str">
        <f>IF(A457="","",IF(A457="[FÓRMULA MANUAL]","",IFERROR(AVERAGEIFS(DATOS!$K$2:$K$20000,DATOS!$A$2:$A$20000,A457,DATOS!$G$2:$G$20000,CONFIG_METADATA!$B$4,DATOS!$I$2:$I$20000,"Orquesta/Banda/Conjunto"),"")))</f>
        <v/>
      </c>
      <c r="D457" t="str">
        <f>IF(A457="","",IF(A457="[FÓRMULA MANUAL]","",IFERROR(AVERAGEIFS(DATOS!$K$2:$K$20000,DATOS!$A$2:$A$20000,A457,DATOS!$G$2:$G$20000,CONFIG_METADATA!$B$4,DATOS!$I$2:$I$20000,"Conjunto"),"")))</f>
        <v/>
      </c>
      <c r="E457" t="str">
        <f>IF(A457="","",IF(A457="[FÓRMULA MANUAL]","",IFERROR(SUMPRODUCT((DATOS!$A$2:$A$20000=A457)*(DATOS!$G$2:$G$20000=CONFIG_METADATA!$B$4)*(COUNTIF(CONFIG_ASIGNATURAS!$B$7:$B$27,DATOS!$I$2:$I$20000)&gt;0)*(DATOS!$K$2:$K$20000))/SUMPRODUCT((DATOS!$A$2:$A$20000=A457)*(DATOS!$G$2:$G$20000=CONFIG_METADATA!$B$4)*(COUNTIF(CONFIG_ASIGNATURAS!$B$7:$B$27,DATOS!$I$2:$I$20000)&gt;0)*1),"")))</f>
        <v/>
      </c>
      <c r="H457" t="str">
        <f>IF(G457="","",IF(G457="[FÓRMULA MANUAL]","",IFERROR(AVERAGEIFS(DATOS!$K$2:$K$20000,DATOS!$A$2:$A$20000,G457,DATOS!$G$2:$G$20000,CONFIG_METADATA!$B$4,DATOS!$I$2:$I$20000,"Lenguaje Musical"),"")))</f>
        <v/>
      </c>
      <c r="I457" t="str">
        <f>IF(G457="","",IF(G457="[FÓRMULA MANUAL]","",IFERROR(AVERAGEIFS(DATOS!$K$2:$K$20000,DATOS!$A$2:$A$20000,G457,DATOS!$G$2:$G$20000,CONFIG_METADATA!$B$4,DATOS!$I$2:$I$20000,"Orquesta/Banda/Conjunto"),"")))</f>
        <v/>
      </c>
      <c r="J457" t="str">
        <f>IF(G457="","",IF(G457="[FÓRMULA MANUAL]","",IFERROR(AVERAGEIFS(DATOS!$K$2:$K$20000,DATOS!$A$2:$A$20000,G457,DATOS!$G$2:$G$20000,CONFIG_METADATA!$B$4,DATOS!$I$2:$I$20000,"Conjunto"),"")))</f>
        <v/>
      </c>
      <c r="K457" t="str">
        <f>IF(G457="","",IF(G457="[FÓRMULA MANUAL]","",IFERROR(SUMPRODUCT((DATOS!$A$2:$A$20000=G457)*(DATOS!$G$2:$G$20000=CONFIG_METADATA!$B$4)*(COUNTIF(CONFIG_ASIGNATURAS!$B$7:$B$27,DATOS!$I$2:$I$20000)&gt;0)*(DATOS!$K$2:$K$20000))/SUMPRODUCT((DATOS!$A$2:$A$20000=G457)*(DATOS!$G$2:$G$20000=CONFIG_METADATA!$B$4)*(COUNTIF(CONFIG_ASIGNATURAS!$B$7:$B$27,DATOS!$I$2:$I$20000)&gt;0)*1),"")))</f>
        <v/>
      </c>
      <c r="N457" t="str">
        <f>IF(M457="","",IF(M457="[FÓRMULA MANUAL]","",IFERROR(AVERAGEIFS(DATOS!$K$2:$K$20000,DATOS!$A$2:$A$20000,M457,DATOS!$G$2:$G$20000,CONFIG_METADATA!$B$4,DATOS!$I$2:$I$20000,"Armonía"),"")))</f>
        <v/>
      </c>
      <c r="O457" t="str">
        <f>IF(M457="","",IF(M457="[FÓRMULA MANUAL]","",IFERROR(AVERAGEIFS(DATOS!$K$2:$K$20000,DATOS!$A$2:$A$20000,M457,DATOS!$G$2:$G$20000,CONFIG_METADATA!$B$4,DATOS!$I$2:$I$20000,"Orquesta/Banda/Conjunto"),"")))</f>
        <v/>
      </c>
      <c r="P457" t="str">
        <f>IF(M457="","",IF(M457="[FÓRMULA MANUAL]","",IFERROR(AVERAGEIFS(DATOS!$K$2:$K$20000,DATOS!$A$2:$A$20000,M457,DATOS!$G$2:$G$20000,CONFIG_METADATA!$B$4,DATOS!$I$2:$I$20000,"Música de Cámara"),"")))</f>
        <v/>
      </c>
      <c r="Q457" t="str">
        <f>IF(M457="","",IF(M457="[FÓRMULA MANUAL]","",IFERROR(SUMPRODUCT((DATOS!$A$2:$A$20000=M457)*(DATOS!$G$2:$G$20000=CONFIG_METADATA!$B$4)*(COUNTIF(CONFIG_ASIGNATURAS!$B$7:$B$27,DATOS!$I$2:$I$20000)&gt;0)*(DATOS!$K$2:$K$20000))/SUMPRODUCT((DATOS!$A$2:$A$20000=M457)*(DATOS!$G$2:$G$20000=CONFIG_METADATA!$B$4)*(COUNTIF(CONFIG_ASIGNATURAS!$B$7:$B$27,DATOS!$I$2:$I$20000)&gt;0)*1),"")))</f>
        <v/>
      </c>
      <c r="T457" t="str">
        <f>IF(S457="","",IF(S457="[FÓRMULA MANUAL]","",IFERROR(AVERAGEIFS(DATOS!$K$2:$K$20000,DATOS!$A$2:$A$20000,S457,DATOS!$G$2:$G$20000,CONFIG_METADATA!$B$4,DATOS!$I$2:$I$20000,"Armonía"),"")))</f>
        <v/>
      </c>
      <c r="U457" t="str">
        <f>IF(S457="","",IF(S457="[FÓRMULA MANUAL]","",IFERROR(AVERAGEIFS(DATOS!$K$2:$K$20000,DATOS!$A$2:$A$20000,S457,DATOS!$G$2:$G$20000,CONFIG_METADATA!$B$4,DATOS!$I$2:$I$20000,"Orquesta/Banda/Conjunto"),"")))</f>
        <v/>
      </c>
      <c r="V457" t="str">
        <f>IF(S457="","",IF(S457="[FÓRMULA MANUAL]","",IFERROR(AVERAGEIFS(DATOS!$K$2:$K$20000,DATOS!$A$2:$A$20000,S457,DATOS!$G$2:$G$20000,CONFIG_METADATA!$B$4,DATOS!$I$2:$I$20000,"Música de Cámara"),"")))</f>
        <v/>
      </c>
      <c r="W457" t="str">
        <f>IF(S457="","",IF(S457="[FÓRMULA MANUAL]","",IFERROR(SUMPRODUCT((DATOS!$A$2:$A$20000=S457)*(DATOS!$G$2:$G$20000=CONFIG_METADATA!$B$4)*(COUNTIF(CONFIG_ASIGNATURAS!$B$7:$B$27,DATOS!$I$2:$I$20000)&gt;0)*(DATOS!$K$2:$K$20000))/SUMPRODUCT((DATOS!$A$2:$A$20000=S457)*(DATOS!$G$2:$G$20000=CONFIG_METADATA!$B$4)*(COUNTIF(CONFIG_ASIGNATURAS!$B$7:$B$27,DATOS!$I$2:$I$20000)&gt;0)*1),"")))</f>
        <v/>
      </c>
      <c r="Z457" t="str">
        <f>IF(Y457="","",IF(Y457="[FÓRMULA MANUAL]","",IFERROR(AVERAGEIFS(DATOS!$K$2:$K$20000,DATOS!$A$2:$A$20000,Y457,DATOS!$G$2:$G$20000,CONFIG_METADATA!$B$4,DATOS!$I$2:$I$20000,"Análisis"),"")))</f>
        <v/>
      </c>
      <c r="AA457" t="str">
        <f>IF(Y457="","",IF(Y457="[FÓRMULA MANUAL]","",IFERROR(AVERAGEIFS(DATOS!$K$2:$K$20000,DATOS!$A$2:$A$20000,Y457,DATOS!$G$2:$G$20000,CONFIG_METADATA!$B$4,DATOS!$I$2:$I$20000,"Orquesta/Banda/Conjunto"),"")))</f>
        <v/>
      </c>
      <c r="AB457" t="str">
        <f>IF(Y457="","",IF(Y457="[FÓRMULA MANUAL]","",IFERROR(AVERAGEIFS(DATOS!$K$2:$K$20000,DATOS!$A$2:$A$20000,Y457,DATOS!$G$2:$G$20000,CONFIG_METADATA!$B$4,DATOS!$I$2:$I$20000,"Música de Cámara"),"")))</f>
        <v/>
      </c>
      <c r="AC457" t="str">
        <f>IF(Y457="","",IF(Y457="[FÓRMULA MANUAL]","",IFERROR(SUMPRODUCT((DATOS!$A$2:$A$20000=Y457)*(DATOS!$G$2:$G$20000=CONFIG_METADATA!$B$4)*(COUNTIF(CONFIG_ASIGNATURAS!$B$7:$B$27,DATOS!$I$2:$I$20000)&gt;0)*(DATOS!$K$2:$K$20000))/SUMPRODUCT((DATOS!$A$2:$A$20000=Y457)*(DATOS!$G$2:$G$20000=CONFIG_METADATA!$B$4)*(COUNTIF(CONFIG_ASIGNATURAS!$B$7:$B$27,DATOS!$I$2:$I$20000)&gt;0)*1),"")))</f>
        <v/>
      </c>
      <c r="AF457" t="str">
        <f>IF(AE457="","",IF(AE457="[FÓRMULA MANUAL]","",IFERROR(AVERAGEIFS(DATOS!$K$2:$K$20000,DATOS!$A$2:$A$20000,AE457,DATOS!$G$2:$G$20000,CONFIG_METADATA!$B$4,DATOS!$I$2:$I$20000,"Análisis"),"")))</f>
        <v/>
      </c>
      <c r="AG457" t="str">
        <f>IF(AE457="","",IF(AE457="[FÓRMULA MANUAL]","",IFERROR(AVERAGEIFS(DATOS!$K$2:$K$20000,DATOS!$A$2:$A$20000,AE457,DATOS!$G$2:$G$20000,CONFIG_METADATA!$B$4,DATOS!$I$2:$I$20000,"Orquesta/Banda/Conjunto"),"")))</f>
        <v/>
      </c>
      <c r="AH457" t="str">
        <f>IF(AE457="","",IF(AE457="[FÓRMULA MANUAL]","",IFERROR(AVERAGEIFS(DATOS!$K$2:$K$20000,DATOS!$A$2:$A$20000,AE457,DATOS!$G$2:$G$20000,CONFIG_METADATA!$B$4,DATOS!$I$2:$I$20000,"Música de Cámara"),"")))</f>
        <v/>
      </c>
      <c r="AI457" t="str">
        <f>IF(AE457="","",IF(AE457="[FÓRMULA MANUAL]","",IFERROR(SUMPRODUCT((DATOS!$A$2:$A$20000=AE457)*(DATOS!$G$2:$G$20000=CONFIG_METADATA!$B$4)*(COUNTIF(CONFIG_ASIGNATURAS!$B$7:$B$27,DATOS!$I$2:$I$20000)&gt;0)*(DATOS!$K$2:$K$20000))/SUMPRODUCT((DATOS!$A$2:$A$20000=AE457)*(DATOS!$G$2:$G$20000=CONFIG_METADATA!$B$4)*(COUNTIF(CONFIG_ASIGNATURAS!$B$7:$B$27,DATOS!$I$2:$I$20000)&gt;0)*1),"")))</f>
        <v/>
      </c>
    </row>
    <row r="458" spans="2:35" x14ac:dyDescent="0.2">
      <c r="B458" t="str">
        <f>IF(A458="","",IF(A458="[FÓRMULA MANUAL]","",IFERROR(AVERAGEIFS(DATOS!$K$2:$K$20000,DATOS!$A$2:$A$20000,A458,DATOS!$G$2:$G$20000,CONFIG_METADATA!$B$4,DATOS!$I$2:$I$20000,"Lenguaje Musical"),"")))</f>
        <v/>
      </c>
      <c r="C458" t="str">
        <f>IF(A458="","",IF(A458="[FÓRMULA MANUAL]","",IFERROR(AVERAGEIFS(DATOS!$K$2:$K$20000,DATOS!$A$2:$A$20000,A458,DATOS!$G$2:$G$20000,CONFIG_METADATA!$B$4,DATOS!$I$2:$I$20000,"Orquesta/Banda/Conjunto"),"")))</f>
        <v/>
      </c>
      <c r="D458" t="str">
        <f>IF(A458="","",IF(A458="[FÓRMULA MANUAL]","",IFERROR(AVERAGEIFS(DATOS!$K$2:$K$20000,DATOS!$A$2:$A$20000,A458,DATOS!$G$2:$G$20000,CONFIG_METADATA!$B$4,DATOS!$I$2:$I$20000,"Conjunto"),"")))</f>
        <v/>
      </c>
      <c r="E458" t="str">
        <f>IF(A458="","",IF(A458="[FÓRMULA MANUAL]","",IFERROR(SUMPRODUCT((DATOS!$A$2:$A$20000=A458)*(DATOS!$G$2:$G$20000=CONFIG_METADATA!$B$4)*(COUNTIF(CONFIG_ASIGNATURAS!$B$7:$B$27,DATOS!$I$2:$I$20000)&gt;0)*(DATOS!$K$2:$K$20000))/SUMPRODUCT((DATOS!$A$2:$A$20000=A458)*(DATOS!$G$2:$G$20000=CONFIG_METADATA!$B$4)*(COUNTIF(CONFIG_ASIGNATURAS!$B$7:$B$27,DATOS!$I$2:$I$20000)&gt;0)*1),"")))</f>
        <v/>
      </c>
      <c r="H458" t="str">
        <f>IF(G458="","",IF(G458="[FÓRMULA MANUAL]","",IFERROR(AVERAGEIFS(DATOS!$K$2:$K$20000,DATOS!$A$2:$A$20000,G458,DATOS!$G$2:$G$20000,CONFIG_METADATA!$B$4,DATOS!$I$2:$I$20000,"Lenguaje Musical"),"")))</f>
        <v/>
      </c>
      <c r="I458" t="str">
        <f>IF(G458="","",IF(G458="[FÓRMULA MANUAL]","",IFERROR(AVERAGEIFS(DATOS!$K$2:$K$20000,DATOS!$A$2:$A$20000,G458,DATOS!$G$2:$G$20000,CONFIG_METADATA!$B$4,DATOS!$I$2:$I$20000,"Orquesta/Banda/Conjunto"),"")))</f>
        <v/>
      </c>
      <c r="J458" t="str">
        <f>IF(G458="","",IF(G458="[FÓRMULA MANUAL]","",IFERROR(AVERAGEIFS(DATOS!$K$2:$K$20000,DATOS!$A$2:$A$20000,G458,DATOS!$G$2:$G$20000,CONFIG_METADATA!$B$4,DATOS!$I$2:$I$20000,"Conjunto"),"")))</f>
        <v/>
      </c>
      <c r="K458" t="str">
        <f>IF(G458="","",IF(G458="[FÓRMULA MANUAL]","",IFERROR(SUMPRODUCT((DATOS!$A$2:$A$20000=G458)*(DATOS!$G$2:$G$20000=CONFIG_METADATA!$B$4)*(COUNTIF(CONFIG_ASIGNATURAS!$B$7:$B$27,DATOS!$I$2:$I$20000)&gt;0)*(DATOS!$K$2:$K$20000))/SUMPRODUCT((DATOS!$A$2:$A$20000=G458)*(DATOS!$G$2:$G$20000=CONFIG_METADATA!$B$4)*(COUNTIF(CONFIG_ASIGNATURAS!$B$7:$B$27,DATOS!$I$2:$I$20000)&gt;0)*1),"")))</f>
        <v/>
      </c>
      <c r="N458" t="str">
        <f>IF(M458="","",IF(M458="[FÓRMULA MANUAL]","",IFERROR(AVERAGEIFS(DATOS!$K$2:$K$20000,DATOS!$A$2:$A$20000,M458,DATOS!$G$2:$G$20000,CONFIG_METADATA!$B$4,DATOS!$I$2:$I$20000,"Armonía"),"")))</f>
        <v/>
      </c>
      <c r="O458" t="str">
        <f>IF(M458="","",IF(M458="[FÓRMULA MANUAL]","",IFERROR(AVERAGEIFS(DATOS!$K$2:$K$20000,DATOS!$A$2:$A$20000,M458,DATOS!$G$2:$G$20000,CONFIG_METADATA!$B$4,DATOS!$I$2:$I$20000,"Orquesta/Banda/Conjunto"),"")))</f>
        <v/>
      </c>
      <c r="P458" t="str">
        <f>IF(M458="","",IF(M458="[FÓRMULA MANUAL]","",IFERROR(AVERAGEIFS(DATOS!$K$2:$K$20000,DATOS!$A$2:$A$20000,M458,DATOS!$G$2:$G$20000,CONFIG_METADATA!$B$4,DATOS!$I$2:$I$20000,"Música de Cámara"),"")))</f>
        <v/>
      </c>
      <c r="Q458" t="str">
        <f>IF(M458="","",IF(M458="[FÓRMULA MANUAL]","",IFERROR(SUMPRODUCT((DATOS!$A$2:$A$20000=M458)*(DATOS!$G$2:$G$20000=CONFIG_METADATA!$B$4)*(COUNTIF(CONFIG_ASIGNATURAS!$B$7:$B$27,DATOS!$I$2:$I$20000)&gt;0)*(DATOS!$K$2:$K$20000))/SUMPRODUCT((DATOS!$A$2:$A$20000=M458)*(DATOS!$G$2:$G$20000=CONFIG_METADATA!$B$4)*(COUNTIF(CONFIG_ASIGNATURAS!$B$7:$B$27,DATOS!$I$2:$I$20000)&gt;0)*1),"")))</f>
        <v/>
      </c>
      <c r="T458" t="str">
        <f>IF(S458="","",IF(S458="[FÓRMULA MANUAL]","",IFERROR(AVERAGEIFS(DATOS!$K$2:$K$20000,DATOS!$A$2:$A$20000,S458,DATOS!$G$2:$G$20000,CONFIG_METADATA!$B$4,DATOS!$I$2:$I$20000,"Armonía"),"")))</f>
        <v/>
      </c>
      <c r="U458" t="str">
        <f>IF(S458="","",IF(S458="[FÓRMULA MANUAL]","",IFERROR(AVERAGEIFS(DATOS!$K$2:$K$20000,DATOS!$A$2:$A$20000,S458,DATOS!$G$2:$G$20000,CONFIG_METADATA!$B$4,DATOS!$I$2:$I$20000,"Orquesta/Banda/Conjunto"),"")))</f>
        <v/>
      </c>
      <c r="V458" t="str">
        <f>IF(S458="","",IF(S458="[FÓRMULA MANUAL]","",IFERROR(AVERAGEIFS(DATOS!$K$2:$K$20000,DATOS!$A$2:$A$20000,S458,DATOS!$G$2:$G$20000,CONFIG_METADATA!$B$4,DATOS!$I$2:$I$20000,"Música de Cámara"),"")))</f>
        <v/>
      </c>
      <c r="W458" t="str">
        <f>IF(S458="","",IF(S458="[FÓRMULA MANUAL]","",IFERROR(SUMPRODUCT((DATOS!$A$2:$A$20000=S458)*(DATOS!$G$2:$G$20000=CONFIG_METADATA!$B$4)*(COUNTIF(CONFIG_ASIGNATURAS!$B$7:$B$27,DATOS!$I$2:$I$20000)&gt;0)*(DATOS!$K$2:$K$20000))/SUMPRODUCT((DATOS!$A$2:$A$20000=S458)*(DATOS!$G$2:$G$20000=CONFIG_METADATA!$B$4)*(COUNTIF(CONFIG_ASIGNATURAS!$B$7:$B$27,DATOS!$I$2:$I$20000)&gt;0)*1),"")))</f>
        <v/>
      </c>
      <c r="Z458" t="str">
        <f>IF(Y458="","",IF(Y458="[FÓRMULA MANUAL]","",IFERROR(AVERAGEIFS(DATOS!$K$2:$K$20000,DATOS!$A$2:$A$20000,Y458,DATOS!$G$2:$G$20000,CONFIG_METADATA!$B$4,DATOS!$I$2:$I$20000,"Análisis"),"")))</f>
        <v/>
      </c>
      <c r="AA458" t="str">
        <f>IF(Y458="","",IF(Y458="[FÓRMULA MANUAL]","",IFERROR(AVERAGEIFS(DATOS!$K$2:$K$20000,DATOS!$A$2:$A$20000,Y458,DATOS!$G$2:$G$20000,CONFIG_METADATA!$B$4,DATOS!$I$2:$I$20000,"Orquesta/Banda/Conjunto"),"")))</f>
        <v/>
      </c>
      <c r="AB458" t="str">
        <f>IF(Y458="","",IF(Y458="[FÓRMULA MANUAL]","",IFERROR(AVERAGEIFS(DATOS!$K$2:$K$20000,DATOS!$A$2:$A$20000,Y458,DATOS!$G$2:$G$20000,CONFIG_METADATA!$B$4,DATOS!$I$2:$I$20000,"Música de Cámara"),"")))</f>
        <v/>
      </c>
      <c r="AC458" t="str">
        <f>IF(Y458="","",IF(Y458="[FÓRMULA MANUAL]","",IFERROR(SUMPRODUCT((DATOS!$A$2:$A$20000=Y458)*(DATOS!$G$2:$G$20000=CONFIG_METADATA!$B$4)*(COUNTIF(CONFIG_ASIGNATURAS!$B$7:$B$27,DATOS!$I$2:$I$20000)&gt;0)*(DATOS!$K$2:$K$20000))/SUMPRODUCT((DATOS!$A$2:$A$20000=Y458)*(DATOS!$G$2:$G$20000=CONFIG_METADATA!$B$4)*(COUNTIF(CONFIG_ASIGNATURAS!$B$7:$B$27,DATOS!$I$2:$I$20000)&gt;0)*1),"")))</f>
        <v/>
      </c>
      <c r="AF458" t="str">
        <f>IF(AE458="","",IF(AE458="[FÓRMULA MANUAL]","",IFERROR(AVERAGEIFS(DATOS!$K$2:$K$20000,DATOS!$A$2:$A$20000,AE458,DATOS!$G$2:$G$20000,CONFIG_METADATA!$B$4,DATOS!$I$2:$I$20000,"Análisis"),"")))</f>
        <v/>
      </c>
      <c r="AG458" t="str">
        <f>IF(AE458="","",IF(AE458="[FÓRMULA MANUAL]","",IFERROR(AVERAGEIFS(DATOS!$K$2:$K$20000,DATOS!$A$2:$A$20000,AE458,DATOS!$G$2:$G$20000,CONFIG_METADATA!$B$4,DATOS!$I$2:$I$20000,"Orquesta/Banda/Conjunto"),"")))</f>
        <v/>
      </c>
      <c r="AH458" t="str">
        <f>IF(AE458="","",IF(AE458="[FÓRMULA MANUAL]","",IFERROR(AVERAGEIFS(DATOS!$K$2:$K$20000,DATOS!$A$2:$A$20000,AE458,DATOS!$G$2:$G$20000,CONFIG_METADATA!$B$4,DATOS!$I$2:$I$20000,"Música de Cámara"),"")))</f>
        <v/>
      </c>
      <c r="AI458" t="str">
        <f>IF(AE458="","",IF(AE458="[FÓRMULA MANUAL]","",IFERROR(SUMPRODUCT((DATOS!$A$2:$A$20000=AE458)*(DATOS!$G$2:$G$20000=CONFIG_METADATA!$B$4)*(COUNTIF(CONFIG_ASIGNATURAS!$B$7:$B$27,DATOS!$I$2:$I$20000)&gt;0)*(DATOS!$K$2:$K$20000))/SUMPRODUCT((DATOS!$A$2:$A$20000=AE458)*(DATOS!$G$2:$G$20000=CONFIG_METADATA!$B$4)*(COUNTIF(CONFIG_ASIGNATURAS!$B$7:$B$27,DATOS!$I$2:$I$20000)&gt;0)*1),"")))</f>
        <v/>
      </c>
    </row>
    <row r="459" spans="2:35" x14ac:dyDescent="0.2">
      <c r="B459" t="str">
        <f>IF(A459="","",IF(A459="[FÓRMULA MANUAL]","",IFERROR(AVERAGEIFS(DATOS!$K$2:$K$20000,DATOS!$A$2:$A$20000,A459,DATOS!$G$2:$G$20000,CONFIG_METADATA!$B$4,DATOS!$I$2:$I$20000,"Lenguaje Musical"),"")))</f>
        <v/>
      </c>
      <c r="C459" t="str">
        <f>IF(A459="","",IF(A459="[FÓRMULA MANUAL]","",IFERROR(AVERAGEIFS(DATOS!$K$2:$K$20000,DATOS!$A$2:$A$20000,A459,DATOS!$G$2:$G$20000,CONFIG_METADATA!$B$4,DATOS!$I$2:$I$20000,"Orquesta/Banda/Conjunto"),"")))</f>
        <v/>
      </c>
      <c r="D459" t="str">
        <f>IF(A459="","",IF(A459="[FÓRMULA MANUAL]","",IFERROR(AVERAGEIFS(DATOS!$K$2:$K$20000,DATOS!$A$2:$A$20000,A459,DATOS!$G$2:$G$20000,CONFIG_METADATA!$B$4,DATOS!$I$2:$I$20000,"Conjunto"),"")))</f>
        <v/>
      </c>
      <c r="E459" t="str">
        <f>IF(A459="","",IF(A459="[FÓRMULA MANUAL]","",IFERROR(SUMPRODUCT((DATOS!$A$2:$A$20000=A459)*(DATOS!$G$2:$G$20000=CONFIG_METADATA!$B$4)*(COUNTIF(CONFIG_ASIGNATURAS!$B$7:$B$27,DATOS!$I$2:$I$20000)&gt;0)*(DATOS!$K$2:$K$20000))/SUMPRODUCT((DATOS!$A$2:$A$20000=A459)*(DATOS!$G$2:$G$20000=CONFIG_METADATA!$B$4)*(COUNTIF(CONFIG_ASIGNATURAS!$B$7:$B$27,DATOS!$I$2:$I$20000)&gt;0)*1),"")))</f>
        <v/>
      </c>
      <c r="H459" t="str">
        <f>IF(G459="","",IF(G459="[FÓRMULA MANUAL]","",IFERROR(AVERAGEIFS(DATOS!$K$2:$K$20000,DATOS!$A$2:$A$20000,G459,DATOS!$G$2:$G$20000,CONFIG_METADATA!$B$4,DATOS!$I$2:$I$20000,"Lenguaje Musical"),"")))</f>
        <v/>
      </c>
      <c r="I459" t="str">
        <f>IF(G459="","",IF(G459="[FÓRMULA MANUAL]","",IFERROR(AVERAGEIFS(DATOS!$K$2:$K$20000,DATOS!$A$2:$A$20000,G459,DATOS!$G$2:$G$20000,CONFIG_METADATA!$B$4,DATOS!$I$2:$I$20000,"Orquesta/Banda/Conjunto"),"")))</f>
        <v/>
      </c>
      <c r="J459" t="str">
        <f>IF(G459="","",IF(G459="[FÓRMULA MANUAL]","",IFERROR(AVERAGEIFS(DATOS!$K$2:$K$20000,DATOS!$A$2:$A$20000,G459,DATOS!$G$2:$G$20000,CONFIG_METADATA!$B$4,DATOS!$I$2:$I$20000,"Conjunto"),"")))</f>
        <v/>
      </c>
      <c r="K459" t="str">
        <f>IF(G459="","",IF(G459="[FÓRMULA MANUAL]","",IFERROR(SUMPRODUCT((DATOS!$A$2:$A$20000=G459)*(DATOS!$G$2:$G$20000=CONFIG_METADATA!$B$4)*(COUNTIF(CONFIG_ASIGNATURAS!$B$7:$B$27,DATOS!$I$2:$I$20000)&gt;0)*(DATOS!$K$2:$K$20000))/SUMPRODUCT((DATOS!$A$2:$A$20000=G459)*(DATOS!$G$2:$G$20000=CONFIG_METADATA!$B$4)*(COUNTIF(CONFIG_ASIGNATURAS!$B$7:$B$27,DATOS!$I$2:$I$20000)&gt;0)*1),"")))</f>
        <v/>
      </c>
      <c r="N459" t="str">
        <f>IF(M459="","",IF(M459="[FÓRMULA MANUAL]","",IFERROR(AVERAGEIFS(DATOS!$K$2:$K$20000,DATOS!$A$2:$A$20000,M459,DATOS!$G$2:$G$20000,CONFIG_METADATA!$B$4,DATOS!$I$2:$I$20000,"Armonía"),"")))</f>
        <v/>
      </c>
      <c r="O459" t="str">
        <f>IF(M459="","",IF(M459="[FÓRMULA MANUAL]","",IFERROR(AVERAGEIFS(DATOS!$K$2:$K$20000,DATOS!$A$2:$A$20000,M459,DATOS!$G$2:$G$20000,CONFIG_METADATA!$B$4,DATOS!$I$2:$I$20000,"Orquesta/Banda/Conjunto"),"")))</f>
        <v/>
      </c>
      <c r="P459" t="str">
        <f>IF(M459="","",IF(M459="[FÓRMULA MANUAL]","",IFERROR(AVERAGEIFS(DATOS!$K$2:$K$20000,DATOS!$A$2:$A$20000,M459,DATOS!$G$2:$G$20000,CONFIG_METADATA!$B$4,DATOS!$I$2:$I$20000,"Música de Cámara"),"")))</f>
        <v/>
      </c>
      <c r="Q459" t="str">
        <f>IF(M459="","",IF(M459="[FÓRMULA MANUAL]","",IFERROR(SUMPRODUCT((DATOS!$A$2:$A$20000=M459)*(DATOS!$G$2:$G$20000=CONFIG_METADATA!$B$4)*(COUNTIF(CONFIG_ASIGNATURAS!$B$7:$B$27,DATOS!$I$2:$I$20000)&gt;0)*(DATOS!$K$2:$K$20000))/SUMPRODUCT((DATOS!$A$2:$A$20000=M459)*(DATOS!$G$2:$G$20000=CONFIG_METADATA!$B$4)*(COUNTIF(CONFIG_ASIGNATURAS!$B$7:$B$27,DATOS!$I$2:$I$20000)&gt;0)*1),"")))</f>
        <v/>
      </c>
      <c r="T459" t="str">
        <f>IF(S459="","",IF(S459="[FÓRMULA MANUAL]","",IFERROR(AVERAGEIFS(DATOS!$K$2:$K$20000,DATOS!$A$2:$A$20000,S459,DATOS!$G$2:$G$20000,CONFIG_METADATA!$B$4,DATOS!$I$2:$I$20000,"Armonía"),"")))</f>
        <v/>
      </c>
      <c r="U459" t="str">
        <f>IF(S459="","",IF(S459="[FÓRMULA MANUAL]","",IFERROR(AVERAGEIFS(DATOS!$K$2:$K$20000,DATOS!$A$2:$A$20000,S459,DATOS!$G$2:$G$20000,CONFIG_METADATA!$B$4,DATOS!$I$2:$I$20000,"Orquesta/Banda/Conjunto"),"")))</f>
        <v/>
      </c>
      <c r="V459" t="str">
        <f>IF(S459="","",IF(S459="[FÓRMULA MANUAL]","",IFERROR(AVERAGEIFS(DATOS!$K$2:$K$20000,DATOS!$A$2:$A$20000,S459,DATOS!$G$2:$G$20000,CONFIG_METADATA!$B$4,DATOS!$I$2:$I$20000,"Música de Cámara"),"")))</f>
        <v/>
      </c>
      <c r="W459" t="str">
        <f>IF(S459="","",IF(S459="[FÓRMULA MANUAL]","",IFERROR(SUMPRODUCT((DATOS!$A$2:$A$20000=S459)*(DATOS!$G$2:$G$20000=CONFIG_METADATA!$B$4)*(COUNTIF(CONFIG_ASIGNATURAS!$B$7:$B$27,DATOS!$I$2:$I$20000)&gt;0)*(DATOS!$K$2:$K$20000))/SUMPRODUCT((DATOS!$A$2:$A$20000=S459)*(DATOS!$G$2:$G$20000=CONFIG_METADATA!$B$4)*(COUNTIF(CONFIG_ASIGNATURAS!$B$7:$B$27,DATOS!$I$2:$I$20000)&gt;0)*1),"")))</f>
        <v/>
      </c>
      <c r="Z459" t="str">
        <f>IF(Y459="","",IF(Y459="[FÓRMULA MANUAL]","",IFERROR(AVERAGEIFS(DATOS!$K$2:$K$20000,DATOS!$A$2:$A$20000,Y459,DATOS!$G$2:$G$20000,CONFIG_METADATA!$B$4,DATOS!$I$2:$I$20000,"Análisis"),"")))</f>
        <v/>
      </c>
      <c r="AA459" t="str">
        <f>IF(Y459="","",IF(Y459="[FÓRMULA MANUAL]","",IFERROR(AVERAGEIFS(DATOS!$K$2:$K$20000,DATOS!$A$2:$A$20000,Y459,DATOS!$G$2:$G$20000,CONFIG_METADATA!$B$4,DATOS!$I$2:$I$20000,"Orquesta/Banda/Conjunto"),"")))</f>
        <v/>
      </c>
      <c r="AB459" t="str">
        <f>IF(Y459="","",IF(Y459="[FÓRMULA MANUAL]","",IFERROR(AVERAGEIFS(DATOS!$K$2:$K$20000,DATOS!$A$2:$A$20000,Y459,DATOS!$G$2:$G$20000,CONFIG_METADATA!$B$4,DATOS!$I$2:$I$20000,"Música de Cámara"),"")))</f>
        <v/>
      </c>
      <c r="AC459" t="str">
        <f>IF(Y459="","",IF(Y459="[FÓRMULA MANUAL]","",IFERROR(SUMPRODUCT((DATOS!$A$2:$A$20000=Y459)*(DATOS!$G$2:$G$20000=CONFIG_METADATA!$B$4)*(COUNTIF(CONFIG_ASIGNATURAS!$B$7:$B$27,DATOS!$I$2:$I$20000)&gt;0)*(DATOS!$K$2:$K$20000))/SUMPRODUCT((DATOS!$A$2:$A$20000=Y459)*(DATOS!$G$2:$G$20000=CONFIG_METADATA!$B$4)*(COUNTIF(CONFIG_ASIGNATURAS!$B$7:$B$27,DATOS!$I$2:$I$20000)&gt;0)*1),"")))</f>
        <v/>
      </c>
      <c r="AF459" t="str">
        <f>IF(AE459="","",IF(AE459="[FÓRMULA MANUAL]","",IFERROR(AVERAGEIFS(DATOS!$K$2:$K$20000,DATOS!$A$2:$A$20000,AE459,DATOS!$G$2:$G$20000,CONFIG_METADATA!$B$4,DATOS!$I$2:$I$20000,"Análisis"),"")))</f>
        <v/>
      </c>
      <c r="AG459" t="str">
        <f>IF(AE459="","",IF(AE459="[FÓRMULA MANUAL]","",IFERROR(AVERAGEIFS(DATOS!$K$2:$K$20000,DATOS!$A$2:$A$20000,AE459,DATOS!$G$2:$G$20000,CONFIG_METADATA!$B$4,DATOS!$I$2:$I$20000,"Orquesta/Banda/Conjunto"),"")))</f>
        <v/>
      </c>
      <c r="AH459" t="str">
        <f>IF(AE459="","",IF(AE459="[FÓRMULA MANUAL]","",IFERROR(AVERAGEIFS(DATOS!$K$2:$K$20000,DATOS!$A$2:$A$20000,AE459,DATOS!$G$2:$G$20000,CONFIG_METADATA!$B$4,DATOS!$I$2:$I$20000,"Música de Cámara"),"")))</f>
        <v/>
      </c>
      <c r="AI459" t="str">
        <f>IF(AE459="","",IF(AE459="[FÓRMULA MANUAL]","",IFERROR(SUMPRODUCT((DATOS!$A$2:$A$20000=AE459)*(DATOS!$G$2:$G$20000=CONFIG_METADATA!$B$4)*(COUNTIF(CONFIG_ASIGNATURAS!$B$7:$B$27,DATOS!$I$2:$I$20000)&gt;0)*(DATOS!$K$2:$K$20000))/SUMPRODUCT((DATOS!$A$2:$A$20000=AE459)*(DATOS!$G$2:$G$20000=CONFIG_METADATA!$B$4)*(COUNTIF(CONFIG_ASIGNATURAS!$B$7:$B$27,DATOS!$I$2:$I$20000)&gt;0)*1),"")))</f>
        <v/>
      </c>
    </row>
    <row r="460" spans="2:35" x14ac:dyDescent="0.2">
      <c r="B460" t="str">
        <f>IF(A460="","",IF(A460="[FÓRMULA MANUAL]","",IFERROR(AVERAGEIFS(DATOS!$K$2:$K$20000,DATOS!$A$2:$A$20000,A460,DATOS!$G$2:$G$20000,CONFIG_METADATA!$B$4,DATOS!$I$2:$I$20000,"Lenguaje Musical"),"")))</f>
        <v/>
      </c>
      <c r="C460" t="str">
        <f>IF(A460="","",IF(A460="[FÓRMULA MANUAL]","",IFERROR(AVERAGEIFS(DATOS!$K$2:$K$20000,DATOS!$A$2:$A$20000,A460,DATOS!$G$2:$G$20000,CONFIG_METADATA!$B$4,DATOS!$I$2:$I$20000,"Orquesta/Banda/Conjunto"),"")))</f>
        <v/>
      </c>
      <c r="D460" t="str">
        <f>IF(A460="","",IF(A460="[FÓRMULA MANUAL]","",IFERROR(AVERAGEIFS(DATOS!$K$2:$K$20000,DATOS!$A$2:$A$20000,A460,DATOS!$G$2:$G$20000,CONFIG_METADATA!$B$4,DATOS!$I$2:$I$20000,"Conjunto"),"")))</f>
        <v/>
      </c>
      <c r="E460" t="str">
        <f>IF(A460="","",IF(A460="[FÓRMULA MANUAL]","",IFERROR(SUMPRODUCT((DATOS!$A$2:$A$20000=A460)*(DATOS!$G$2:$G$20000=CONFIG_METADATA!$B$4)*(COUNTIF(CONFIG_ASIGNATURAS!$B$7:$B$27,DATOS!$I$2:$I$20000)&gt;0)*(DATOS!$K$2:$K$20000))/SUMPRODUCT((DATOS!$A$2:$A$20000=A460)*(DATOS!$G$2:$G$20000=CONFIG_METADATA!$B$4)*(COUNTIF(CONFIG_ASIGNATURAS!$B$7:$B$27,DATOS!$I$2:$I$20000)&gt;0)*1),"")))</f>
        <v/>
      </c>
      <c r="H460" t="str">
        <f>IF(G460="","",IF(G460="[FÓRMULA MANUAL]","",IFERROR(AVERAGEIFS(DATOS!$K$2:$K$20000,DATOS!$A$2:$A$20000,G460,DATOS!$G$2:$G$20000,CONFIG_METADATA!$B$4,DATOS!$I$2:$I$20000,"Lenguaje Musical"),"")))</f>
        <v/>
      </c>
      <c r="I460" t="str">
        <f>IF(G460="","",IF(G460="[FÓRMULA MANUAL]","",IFERROR(AVERAGEIFS(DATOS!$K$2:$K$20000,DATOS!$A$2:$A$20000,G460,DATOS!$G$2:$G$20000,CONFIG_METADATA!$B$4,DATOS!$I$2:$I$20000,"Orquesta/Banda/Conjunto"),"")))</f>
        <v/>
      </c>
      <c r="J460" t="str">
        <f>IF(G460="","",IF(G460="[FÓRMULA MANUAL]","",IFERROR(AVERAGEIFS(DATOS!$K$2:$K$20000,DATOS!$A$2:$A$20000,G460,DATOS!$G$2:$G$20000,CONFIG_METADATA!$B$4,DATOS!$I$2:$I$20000,"Conjunto"),"")))</f>
        <v/>
      </c>
      <c r="K460" t="str">
        <f>IF(G460="","",IF(G460="[FÓRMULA MANUAL]","",IFERROR(SUMPRODUCT((DATOS!$A$2:$A$20000=G460)*(DATOS!$G$2:$G$20000=CONFIG_METADATA!$B$4)*(COUNTIF(CONFIG_ASIGNATURAS!$B$7:$B$27,DATOS!$I$2:$I$20000)&gt;0)*(DATOS!$K$2:$K$20000))/SUMPRODUCT((DATOS!$A$2:$A$20000=G460)*(DATOS!$G$2:$G$20000=CONFIG_METADATA!$B$4)*(COUNTIF(CONFIG_ASIGNATURAS!$B$7:$B$27,DATOS!$I$2:$I$20000)&gt;0)*1),"")))</f>
        <v/>
      </c>
      <c r="N460" t="str">
        <f>IF(M460="","",IF(M460="[FÓRMULA MANUAL]","",IFERROR(AVERAGEIFS(DATOS!$K$2:$K$20000,DATOS!$A$2:$A$20000,M460,DATOS!$G$2:$G$20000,CONFIG_METADATA!$B$4,DATOS!$I$2:$I$20000,"Armonía"),"")))</f>
        <v/>
      </c>
      <c r="O460" t="str">
        <f>IF(M460="","",IF(M460="[FÓRMULA MANUAL]","",IFERROR(AVERAGEIFS(DATOS!$K$2:$K$20000,DATOS!$A$2:$A$20000,M460,DATOS!$G$2:$G$20000,CONFIG_METADATA!$B$4,DATOS!$I$2:$I$20000,"Orquesta/Banda/Conjunto"),"")))</f>
        <v/>
      </c>
      <c r="P460" t="str">
        <f>IF(M460="","",IF(M460="[FÓRMULA MANUAL]","",IFERROR(AVERAGEIFS(DATOS!$K$2:$K$20000,DATOS!$A$2:$A$20000,M460,DATOS!$G$2:$G$20000,CONFIG_METADATA!$B$4,DATOS!$I$2:$I$20000,"Música de Cámara"),"")))</f>
        <v/>
      </c>
      <c r="Q460" t="str">
        <f>IF(M460="","",IF(M460="[FÓRMULA MANUAL]","",IFERROR(SUMPRODUCT((DATOS!$A$2:$A$20000=M460)*(DATOS!$G$2:$G$20000=CONFIG_METADATA!$B$4)*(COUNTIF(CONFIG_ASIGNATURAS!$B$7:$B$27,DATOS!$I$2:$I$20000)&gt;0)*(DATOS!$K$2:$K$20000))/SUMPRODUCT((DATOS!$A$2:$A$20000=M460)*(DATOS!$G$2:$G$20000=CONFIG_METADATA!$B$4)*(COUNTIF(CONFIG_ASIGNATURAS!$B$7:$B$27,DATOS!$I$2:$I$20000)&gt;0)*1),"")))</f>
        <v/>
      </c>
      <c r="T460" t="str">
        <f>IF(S460="","",IF(S460="[FÓRMULA MANUAL]","",IFERROR(AVERAGEIFS(DATOS!$K$2:$K$20000,DATOS!$A$2:$A$20000,S460,DATOS!$G$2:$G$20000,CONFIG_METADATA!$B$4,DATOS!$I$2:$I$20000,"Armonía"),"")))</f>
        <v/>
      </c>
      <c r="U460" t="str">
        <f>IF(S460="","",IF(S460="[FÓRMULA MANUAL]","",IFERROR(AVERAGEIFS(DATOS!$K$2:$K$20000,DATOS!$A$2:$A$20000,S460,DATOS!$G$2:$G$20000,CONFIG_METADATA!$B$4,DATOS!$I$2:$I$20000,"Orquesta/Banda/Conjunto"),"")))</f>
        <v/>
      </c>
      <c r="V460" t="str">
        <f>IF(S460="","",IF(S460="[FÓRMULA MANUAL]","",IFERROR(AVERAGEIFS(DATOS!$K$2:$K$20000,DATOS!$A$2:$A$20000,S460,DATOS!$G$2:$G$20000,CONFIG_METADATA!$B$4,DATOS!$I$2:$I$20000,"Música de Cámara"),"")))</f>
        <v/>
      </c>
      <c r="W460" t="str">
        <f>IF(S460="","",IF(S460="[FÓRMULA MANUAL]","",IFERROR(SUMPRODUCT((DATOS!$A$2:$A$20000=S460)*(DATOS!$G$2:$G$20000=CONFIG_METADATA!$B$4)*(COUNTIF(CONFIG_ASIGNATURAS!$B$7:$B$27,DATOS!$I$2:$I$20000)&gt;0)*(DATOS!$K$2:$K$20000))/SUMPRODUCT((DATOS!$A$2:$A$20000=S460)*(DATOS!$G$2:$G$20000=CONFIG_METADATA!$B$4)*(COUNTIF(CONFIG_ASIGNATURAS!$B$7:$B$27,DATOS!$I$2:$I$20000)&gt;0)*1),"")))</f>
        <v/>
      </c>
      <c r="Z460" t="str">
        <f>IF(Y460="","",IF(Y460="[FÓRMULA MANUAL]","",IFERROR(AVERAGEIFS(DATOS!$K$2:$K$20000,DATOS!$A$2:$A$20000,Y460,DATOS!$G$2:$G$20000,CONFIG_METADATA!$B$4,DATOS!$I$2:$I$20000,"Análisis"),"")))</f>
        <v/>
      </c>
      <c r="AA460" t="str">
        <f>IF(Y460="","",IF(Y460="[FÓRMULA MANUAL]","",IFERROR(AVERAGEIFS(DATOS!$K$2:$K$20000,DATOS!$A$2:$A$20000,Y460,DATOS!$G$2:$G$20000,CONFIG_METADATA!$B$4,DATOS!$I$2:$I$20000,"Orquesta/Banda/Conjunto"),"")))</f>
        <v/>
      </c>
      <c r="AB460" t="str">
        <f>IF(Y460="","",IF(Y460="[FÓRMULA MANUAL]","",IFERROR(AVERAGEIFS(DATOS!$K$2:$K$20000,DATOS!$A$2:$A$20000,Y460,DATOS!$G$2:$G$20000,CONFIG_METADATA!$B$4,DATOS!$I$2:$I$20000,"Música de Cámara"),"")))</f>
        <v/>
      </c>
      <c r="AC460" t="str">
        <f>IF(Y460="","",IF(Y460="[FÓRMULA MANUAL]","",IFERROR(SUMPRODUCT((DATOS!$A$2:$A$20000=Y460)*(DATOS!$G$2:$G$20000=CONFIG_METADATA!$B$4)*(COUNTIF(CONFIG_ASIGNATURAS!$B$7:$B$27,DATOS!$I$2:$I$20000)&gt;0)*(DATOS!$K$2:$K$20000))/SUMPRODUCT((DATOS!$A$2:$A$20000=Y460)*(DATOS!$G$2:$G$20000=CONFIG_METADATA!$B$4)*(COUNTIF(CONFIG_ASIGNATURAS!$B$7:$B$27,DATOS!$I$2:$I$20000)&gt;0)*1),"")))</f>
        <v/>
      </c>
      <c r="AF460" t="str">
        <f>IF(AE460="","",IF(AE460="[FÓRMULA MANUAL]","",IFERROR(AVERAGEIFS(DATOS!$K$2:$K$20000,DATOS!$A$2:$A$20000,AE460,DATOS!$G$2:$G$20000,CONFIG_METADATA!$B$4,DATOS!$I$2:$I$20000,"Análisis"),"")))</f>
        <v/>
      </c>
      <c r="AG460" t="str">
        <f>IF(AE460="","",IF(AE460="[FÓRMULA MANUAL]","",IFERROR(AVERAGEIFS(DATOS!$K$2:$K$20000,DATOS!$A$2:$A$20000,AE460,DATOS!$G$2:$G$20000,CONFIG_METADATA!$B$4,DATOS!$I$2:$I$20000,"Orquesta/Banda/Conjunto"),"")))</f>
        <v/>
      </c>
      <c r="AH460" t="str">
        <f>IF(AE460="","",IF(AE460="[FÓRMULA MANUAL]","",IFERROR(AVERAGEIFS(DATOS!$K$2:$K$20000,DATOS!$A$2:$A$20000,AE460,DATOS!$G$2:$G$20000,CONFIG_METADATA!$B$4,DATOS!$I$2:$I$20000,"Música de Cámara"),"")))</f>
        <v/>
      </c>
      <c r="AI460" t="str">
        <f>IF(AE460="","",IF(AE460="[FÓRMULA MANUAL]","",IFERROR(SUMPRODUCT((DATOS!$A$2:$A$20000=AE460)*(DATOS!$G$2:$G$20000=CONFIG_METADATA!$B$4)*(COUNTIF(CONFIG_ASIGNATURAS!$B$7:$B$27,DATOS!$I$2:$I$20000)&gt;0)*(DATOS!$K$2:$K$20000))/SUMPRODUCT((DATOS!$A$2:$A$20000=AE460)*(DATOS!$G$2:$G$20000=CONFIG_METADATA!$B$4)*(COUNTIF(CONFIG_ASIGNATURAS!$B$7:$B$27,DATOS!$I$2:$I$20000)&gt;0)*1),"")))</f>
        <v/>
      </c>
    </row>
    <row r="461" spans="2:35" x14ac:dyDescent="0.2">
      <c r="B461" t="str">
        <f>IF(A461="","",IF(A461="[FÓRMULA MANUAL]","",IFERROR(AVERAGEIFS(DATOS!$K$2:$K$20000,DATOS!$A$2:$A$20000,A461,DATOS!$G$2:$G$20000,CONFIG_METADATA!$B$4,DATOS!$I$2:$I$20000,"Lenguaje Musical"),"")))</f>
        <v/>
      </c>
      <c r="C461" t="str">
        <f>IF(A461="","",IF(A461="[FÓRMULA MANUAL]","",IFERROR(AVERAGEIFS(DATOS!$K$2:$K$20000,DATOS!$A$2:$A$20000,A461,DATOS!$G$2:$G$20000,CONFIG_METADATA!$B$4,DATOS!$I$2:$I$20000,"Orquesta/Banda/Conjunto"),"")))</f>
        <v/>
      </c>
      <c r="D461" t="str">
        <f>IF(A461="","",IF(A461="[FÓRMULA MANUAL]","",IFERROR(AVERAGEIFS(DATOS!$K$2:$K$20000,DATOS!$A$2:$A$20000,A461,DATOS!$G$2:$G$20000,CONFIG_METADATA!$B$4,DATOS!$I$2:$I$20000,"Conjunto"),"")))</f>
        <v/>
      </c>
      <c r="E461" t="str">
        <f>IF(A461="","",IF(A461="[FÓRMULA MANUAL]","",IFERROR(SUMPRODUCT((DATOS!$A$2:$A$20000=A461)*(DATOS!$G$2:$G$20000=CONFIG_METADATA!$B$4)*(COUNTIF(CONFIG_ASIGNATURAS!$B$7:$B$27,DATOS!$I$2:$I$20000)&gt;0)*(DATOS!$K$2:$K$20000))/SUMPRODUCT((DATOS!$A$2:$A$20000=A461)*(DATOS!$G$2:$G$20000=CONFIG_METADATA!$B$4)*(COUNTIF(CONFIG_ASIGNATURAS!$B$7:$B$27,DATOS!$I$2:$I$20000)&gt;0)*1),"")))</f>
        <v/>
      </c>
      <c r="H461" t="str">
        <f>IF(G461="","",IF(G461="[FÓRMULA MANUAL]","",IFERROR(AVERAGEIFS(DATOS!$K$2:$K$20000,DATOS!$A$2:$A$20000,G461,DATOS!$G$2:$G$20000,CONFIG_METADATA!$B$4,DATOS!$I$2:$I$20000,"Lenguaje Musical"),"")))</f>
        <v/>
      </c>
      <c r="I461" t="str">
        <f>IF(G461="","",IF(G461="[FÓRMULA MANUAL]","",IFERROR(AVERAGEIFS(DATOS!$K$2:$K$20000,DATOS!$A$2:$A$20000,G461,DATOS!$G$2:$G$20000,CONFIG_METADATA!$B$4,DATOS!$I$2:$I$20000,"Orquesta/Banda/Conjunto"),"")))</f>
        <v/>
      </c>
      <c r="J461" t="str">
        <f>IF(G461="","",IF(G461="[FÓRMULA MANUAL]","",IFERROR(AVERAGEIFS(DATOS!$K$2:$K$20000,DATOS!$A$2:$A$20000,G461,DATOS!$G$2:$G$20000,CONFIG_METADATA!$B$4,DATOS!$I$2:$I$20000,"Conjunto"),"")))</f>
        <v/>
      </c>
      <c r="K461" t="str">
        <f>IF(G461="","",IF(G461="[FÓRMULA MANUAL]","",IFERROR(SUMPRODUCT((DATOS!$A$2:$A$20000=G461)*(DATOS!$G$2:$G$20000=CONFIG_METADATA!$B$4)*(COUNTIF(CONFIG_ASIGNATURAS!$B$7:$B$27,DATOS!$I$2:$I$20000)&gt;0)*(DATOS!$K$2:$K$20000))/SUMPRODUCT((DATOS!$A$2:$A$20000=G461)*(DATOS!$G$2:$G$20000=CONFIG_METADATA!$B$4)*(COUNTIF(CONFIG_ASIGNATURAS!$B$7:$B$27,DATOS!$I$2:$I$20000)&gt;0)*1),"")))</f>
        <v/>
      </c>
      <c r="N461" t="str">
        <f>IF(M461="","",IF(M461="[FÓRMULA MANUAL]","",IFERROR(AVERAGEIFS(DATOS!$K$2:$K$20000,DATOS!$A$2:$A$20000,M461,DATOS!$G$2:$G$20000,CONFIG_METADATA!$B$4,DATOS!$I$2:$I$20000,"Armonía"),"")))</f>
        <v/>
      </c>
      <c r="O461" t="str">
        <f>IF(M461="","",IF(M461="[FÓRMULA MANUAL]","",IFERROR(AVERAGEIFS(DATOS!$K$2:$K$20000,DATOS!$A$2:$A$20000,M461,DATOS!$G$2:$G$20000,CONFIG_METADATA!$B$4,DATOS!$I$2:$I$20000,"Orquesta/Banda/Conjunto"),"")))</f>
        <v/>
      </c>
      <c r="P461" t="str">
        <f>IF(M461="","",IF(M461="[FÓRMULA MANUAL]","",IFERROR(AVERAGEIFS(DATOS!$K$2:$K$20000,DATOS!$A$2:$A$20000,M461,DATOS!$G$2:$G$20000,CONFIG_METADATA!$B$4,DATOS!$I$2:$I$20000,"Música de Cámara"),"")))</f>
        <v/>
      </c>
      <c r="Q461" t="str">
        <f>IF(M461="","",IF(M461="[FÓRMULA MANUAL]","",IFERROR(SUMPRODUCT((DATOS!$A$2:$A$20000=M461)*(DATOS!$G$2:$G$20000=CONFIG_METADATA!$B$4)*(COUNTIF(CONFIG_ASIGNATURAS!$B$7:$B$27,DATOS!$I$2:$I$20000)&gt;0)*(DATOS!$K$2:$K$20000))/SUMPRODUCT((DATOS!$A$2:$A$20000=M461)*(DATOS!$G$2:$G$20000=CONFIG_METADATA!$B$4)*(COUNTIF(CONFIG_ASIGNATURAS!$B$7:$B$27,DATOS!$I$2:$I$20000)&gt;0)*1),"")))</f>
        <v/>
      </c>
      <c r="T461" t="str">
        <f>IF(S461="","",IF(S461="[FÓRMULA MANUAL]","",IFERROR(AVERAGEIFS(DATOS!$K$2:$K$20000,DATOS!$A$2:$A$20000,S461,DATOS!$G$2:$G$20000,CONFIG_METADATA!$B$4,DATOS!$I$2:$I$20000,"Armonía"),"")))</f>
        <v/>
      </c>
      <c r="U461" t="str">
        <f>IF(S461="","",IF(S461="[FÓRMULA MANUAL]","",IFERROR(AVERAGEIFS(DATOS!$K$2:$K$20000,DATOS!$A$2:$A$20000,S461,DATOS!$G$2:$G$20000,CONFIG_METADATA!$B$4,DATOS!$I$2:$I$20000,"Orquesta/Banda/Conjunto"),"")))</f>
        <v/>
      </c>
      <c r="V461" t="str">
        <f>IF(S461="","",IF(S461="[FÓRMULA MANUAL]","",IFERROR(AVERAGEIFS(DATOS!$K$2:$K$20000,DATOS!$A$2:$A$20000,S461,DATOS!$G$2:$G$20000,CONFIG_METADATA!$B$4,DATOS!$I$2:$I$20000,"Música de Cámara"),"")))</f>
        <v/>
      </c>
      <c r="W461" t="str">
        <f>IF(S461="","",IF(S461="[FÓRMULA MANUAL]","",IFERROR(SUMPRODUCT((DATOS!$A$2:$A$20000=S461)*(DATOS!$G$2:$G$20000=CONFIG_METADATA!$B$4)*(COUNTIF(CONFIG_ASIGNATURAS!$B$7:$B$27,DATOS!$I$2:$I$20000)&gt;0)*(DATOS!$K$2:$K$20000))/SUMPRODUCT((DATOS!$A$2:$A$20000=S461)*(DATOS!$G$2:$G$20000=CONFIG_METADATA!$B$4)*(COUNTIF(CONFIG_ASIGNATURAS!$B$7:$B$27,DATOS!$I$2:$I$20000)&gt;0)*1),"")))</f>
        <v/>
      </c>
      <c r="Z461" t="str">
        <f>IF(Y461="","",IF(Y461="[FÓRMULA MANUAL]","",IFERROR(AVERAGEIFS(DATOS!$K$2:$K$20000,DATOS!$A$2:$A$20000,Y461,DATOS!$G$2:$G$20000,CONFIG_METADATA!$B$4,DATOS!$I$2:$I$20000,"Análisis"),"")))</f>
        <v/>
      </c>
      <c r="AA461" t="str">
        <f>IF(Y461="","",IF(Y461="[FÓRMULA MANUAL]","",IFERROR(AVERAGEIFS(DATOS!$K$2:$K$20000,DATOS!$A$2:$A$20000,Y461,DATOS!$G$2:$G$20000,CONFIG_METADATA!$B$4,DATOS!$I$2:$I$20000,"Orquesta/Banda/Conjunto"),"")))</f>
        <v/>
      </c>
      <c r="AB461" t="str">
        <f>IF(Y461="","",IF(Y461="[FÓRMULA MANUAL]","",IFERROR(AVERAGEIFS(DATOS!$K$2:$K$20000,DATOS!$A$2:$A$20000,Y461,DATOS!$G$2:$G$20000,CONFIG_METADATA!$B$4,DATOS!$I$2:$I$20000,"Música de Cámara"),"")))</f>
        <v/>
      </c>
      <c r="AC461" t="str">
        <f>IF(Y461="","",IF(Y461="[FÓRMULA MANUAL]","",IFERROR(SUMPRODUCT((DATOS!$A$2:$A$20000=Y461)*(DATOS!$G$2:$G$20000=CONFIG_METADATA!$B$4)*(COUNTIF(CONFIG_ASIGNATURAS!$B$7:$B$27,DATOS!$I$2:$I$20000)&gt;0)*(DATOS!$K$2:$K$20000))/SUMPRODUCT((DATOS!$A$2:$A$20000=Y461)*(DATOS!$G$2:$G$20000=CONFIG_METADATA!$B$4)*(COUNTIF(CONFIG_ASIGNATURAS!$B$7:$B$27,DATOS!$I$2:$I$20000)&gt;0)*1),"")))</f>
        <v/>
      </c>
      <c r="AF461" t="str">
        <f>IF(AE461="","",IF(AE461="[FÓRMULA MANUAL]","",IFERROR(AVERAGEIFS(DATOS!$K$2:$K$20000,DATOS!$A$2:$A$20000,AE461,DATOS!$G$2:$G$20000,CONFIG_METADATA!$B$4,DATOS!$I$2:$I$20000,"Análisis"),"")))</f>
        <v/>
      </c>
      <c r="AG461" t="str">
        <f>IF(AE461="","",IF(AE461="[FÓRMULA MANUAL]","",IFERROR(AVERAGEIFS(DATOS!$K$2:$K$20000,DATOS!$A$2:$A$20000,AE461,DATOS!$G$2:$G$20000,CONFIG_METADATA!$B$4,DATOS!$I$2:$I$20000,"Orquesta/Banda/Conjunto"),"")))</f>
        <v/>
      </c>
      <c r="AH461" t="str">
        <f>IF(AE461="","",IF(AE461="[FÓRMULA MANUAL]","",IFERROR(AVERAGEIFS(DATOS!$K$2:$K$20000,DATOS!$A$2:$A$20000,AE461,DATOS!$G$2:$G$20000,CONFIG_METADATA!$B$4,DATOS!$I$2:$I$20000,"Música de Cámara"),"")))</f>
        <v/>
      </c>
      <c r="AI461" t="str">
        <f>IF(AE461="","",IF(AE461="[FÓRMULA MANUAL]","",IFERROR(SUMPRODUCT((DATOS!$A$2:$A$20000=AE461)*(DATOS!$G$2:$G$20000=CONFIG_METADATA!$B$4)*(COUNTIF(CONFIG_ASIGNATURAS!$B$7:$B$27,DATOS!$I$2:$I$20000)&gt;0)*(DATOS!$K$2:$K$20000))/SUMPRODUCT((DATOS!$A$2:$A$20000=AE461)*(DATOS!$G$2:$G$20000=CONFIG_METADATA!$B$4)*(COUNTIF(CONFIG_ASIGNATURAS!$B$7:$B$27,DATOS!$I$2:$I$20000)&gt;0)*1),"")))</f>
        <v/>
      </c>
    </row>
    <row r="462" spans="2:35" x14ac:dyDescent="0.2">
      <c r="B462" t="str">
        <f>IF(A462="","",IF(A462="[FÓRMULA MANUAL]","",IFERROR(AVERAGEIFS(DATOS!$K$2:$K$20000,DATOS!$A$2:$A$20000,A462,DATOS!$G$2:$G$20000,CONFIG_METADATA!$B$4,DATOS!$I$2:$I$20000,"Lenguaje Musical"),"")))</f>
        <v/>
      </c>
      <c r="C462" t="str">
        <f>IF(A462="","",IF(A462="[FÓRMULA MANUAL]","",IFERROR(AVERAGEIFS(DATOS!$K$2:$K$20000,DATOS!$A$2:$A$20000,A462,DATOS!$G$2:$G$20000,CONFIG_METADATA!$B$4,DATOS!$I$2:$I$20000,"Orquesta/Banda/Conjunto"),"")))</f>
        <v/>
      </c>
      <c r="D462" t="str">
        <f>IF(A462="","",IF(A462="[FÓRMULA MANUAL]","",IFERROR(AVERAGEIFS(DATOS!$K$2:$K$20000,DATOS!$A$2:$A$20000,A462,DATOS!$G$2:$G$20000,CONFIG_METADATA!$B$4,DATOS!$I$2:$I$20000,"Conjunto"),"")))</f>
        <v/>
      </c>
      <c r="E462" t="str">
        <f>IF(A462="","",IF(A462="[FÓRMULA MANUAL]","",IFERROR(SUMPRODUCT((DATOS!$A$2:$A$20000=A462)*(DATOS!$G$2:$G$20000=CONFIG_METADATA!$B$4)*(COUNTIF(CONFIG_ASIGNATURAS!$B$7:$B$27,DATOS!$I$2:$I$20000)&gt;0)*(DATOS!$K$2:$K$20000))/SUMPRODUCT((DATOS!$A$2:$A$20000=A462)*(DATOS!$G$2:$G$20000=CONFIG_METADATA!$B$4)*(COUNTIF(CONFIG_ASIGNATURAS!$B$7:$B$27,DATOS!$I$2:$I$20000)&gt;0)*1),"")))</f>
        <v/>
      </c>
      <c r="H462" t="str">
        <f>IF(G462="","",IF(G462="[FÓRMULA MANUAL]","",IFERROR(AVERAGEIFS(DATOS!$K$2:$K$20000,DATOS!$A$2:$A$20000,G462,DATOS!$G$2:$G$20000,CONFIG_METADATA!$B$4,DATOS!$I$2:$I$20000,"Lenguaje Musical"),"")))</f>
        <v/>
      </c>
      <c r="I462" t="str">
        <f>IF(G462="","",IF(G462="[FÓRMULA MANUAL]","",IFERROR(AVERAGEIFS(DATOS!$K$2:$K$20000,DATOS!$A$2:$A$20000,G462,DATOS!$G$2:$G$20000,CONFIG_METADATA!$B$4,DATOS!$I$2:$I$20000,"Orquesta/Banda/Conjunto"),"")))</f>
        <v/>
      </c>
      <c r="J462" t="str">
        <f>IF(G462="","",IF(G462="[FÓRMULA MANUAL]","",IFERROR(AVERAGEIFS(DATOS!$K$2:$K$20000,DATOS!$A$2:$A$20000,G462,DATOS!$G$2:$G$20000,CONFIG_METADATA!$B$4,DATOS!$I$2:$I$20000,"Conjunto"),"")))</f>
        <v/>
      </c>
      <c r="K462" t="str">
        <f>IF(G462="","",IF(G462="[FÓRMULA MANUAL]","",IFERROR(SUMPRODUCT((DATOS!$A$2:$A$20000=G462)*(DATOS!$G$2:$G$20000=CONFIG_METADATA!$B$4)*(COUNTIF(CONFIG_ASIGNATURAS!$B$7:$B$27,DATOS!$I$2:$I$20000)&gt;0)*(DATOS!$K$2:$K$20000))/SUMPRODUCT((DATOS!$A$2:$A$20000=G462)*(DATOS!$G$2:$G$20000=CONFIG_METADATA!$B$4)*(COUNTIF(CONFIG_ASIGNATURAS!$B$7:$B$27,DATOS!$I$2:$I$20000)&gt;0)*1),"")))</f>
        <v/>
      </c>
      <c r="N462" t="str">
        <f>IF(M462="","",IF(M462="[FÓRMULA MANUAL]","",IFERROR(AVERAGEIFS(DATOS!$K$2:$K$20000,DATOS!$A$2:$A$20000,M462,DATOS!$G$2:$G$20000,CONFIG_METADATA!$B$4,DATOS!$I$2:$I$20000,"Armonía"),"")))</f>
        <v/>
      </c>
      <c r="O462" t="str">
        <f>IF(M462="","",IF(M462="[FÓRMULA MANUAL]","",IFERROR(AVERAGEIFS(DATOS!$K$2:$K$20000,DATOS!$A$2:$A$20000,M462,DATOS!$G$2:$G$20000,CONFIG_METADATA!$B$4,DATOS!$I$2:$I$20000,"Orquesta/Banda/Conjunto"),"")))</f>
        <v/>
      </c>
      <c r="P462" t="str">
        <f>IF(M462="","",IF(M462="[FÓRMULA MANUAL]","",IFERROR(AVERAGEIFS(DATOS!$K$2:$K$20000,DATOS!$A$2:$A$20000,M462,DATOS!$G$2:$G$20000,CONFIG_METADATA!$B$4,DATOS!$I$2:$I$20000,"Música de Cámara"),"")))</f>
        <v/>
      </c>
      <c r="Q462" t="str">
        <f>IF(M462="","",IF(M462="[FÓRMULA MANUAL]","",IFERROR(SUMPRODUCT((DATOS!$A$2:$A$20000=M462)*(DATOS!$G$2:$G$20000=CONFIG_METADATA!$B$4)*(COUNTIF(CONFIG_ASIGNATURAS!$B$7:$B$27,DATOS!$I$2:$I$20000)&gt;0)*(DATOS!$K$2:$K$20000))/SUMPRODUCT((DATOS!$A$2:$A$20000=M462)*(DATOS!$G$2:$G$20000=CONFIG_METADATA!$B$4)*(COUNTIF(CONFIG_ASIGNATURAS!$B$7:$B$27,DATOS!$I$2:$I$20000)&gt;0)*1),"")))</f>
        <v/>
      </c>
      <c r="T462" t="str">
        <f>IF(S462="","",IF(S462="[FÓRMULA MANUAL]","",IFERROR(AVERAGEIFS(DATOS!$K$2:$K$20000,DATOS!$A$2:$A$20000,S462,DATOS!$G$2:$G$20000,CONFIG_METADATA!$B$4,DATOS!$I$2:$I$20000,"Armonía"),"")))</f>
        <v/>
      </c>
      <c r="U462" t="str">
        <f>IF(S462="","",IF(S462="[FÓRMULA MANUAL]","",IFERROR(AVERAGEIFS(DATOS!$K$2:$K$20000,DATOS!$A$2:$A$20000,S462,DATOS!$G$2:$G$20000,CONFIG_METADATA!$B$4,DATOS!$I$2:$I$20000,"Orquesta/Banda/Conjunto"),"")))</f>
        <v/>
      </c>
      <c r="V462" t="str">
        <f>IF(S462="","",IF(S462="[FÓRMULA MANUAL]","",IFERROR(AVERAGEIFS(DATOS!$K$2:$K$20000,DATOS!$A$2:$A$20000,S462,DATOS!$G$2:$G$20000,CONFIG_METADATA!$B$4,DATOS!$I$2:$I$20000,"Música de Cámara"),"")))</f>
        <v/>
      </c>
      <c r="W462" t="str">
        <f>IF(S462="","",IF(S462="[FÓRMULA MANUAL]","",IFERROR(SUMPRODUCT((DATOS!$A$2:$A$20000=S462)*(DATOS!$G$2:$G$20000=CONFIG_METADATA!$B$4)*(COUNTIF(CONFIG_ASIGNATURAS!$B$7:$B$27,DATOS!$I$2:$I$20000)&gt;0)*(DATOS!$K$2:$K$20000))/SUMPRODUCT((DATOS!$A$2:$A$20000=S462)*(DATOS!$G$2:$G$20000=CONFIG_METADATA!$B$4)*(COUNTIF(CONFIG_ASIGNATURAS!$B$7:$B$27,DATOS!$I$2:$I$20000)&gt;0)*1),"")))</f>
        <v/>
      </c>
      <c r="Z462" t="str">
        <f>IF(Y462="","",IF(Y462="[FÓRMULA MANUAL]","",IFERROR(AVERAGEIFS(DATOS!$K$2:$K$20000,DATOS!$A$2:$A$20000,Y462,DATOS!$G$2:$G$20000,CONFIG_METADATA!$B$4,DATOS!$I$2:$I$20000,"Análisis"),"")))</f>
        <v/>
      </c>
      <c r="AA462" t="str">
        <f>IF(Y462="","",IF(Y462="[FÓRMULA MANUAL]","",IFERROR(AVERAGEIFS(DATOS!$K$2:$K$20000,DATOS!$A$2:$A$20000,Y462,DATOS!$G$2:$G$20000,CONFIG_METADATA!$B$4,DATOS!$I$2:$I$20000,"Orquesta/Banda/Conjunto"),"")))</f>
        <v/>
      </c>
      <c r="AB462" t="str">
        <f>IF(Y462="","",IF(Y462="[FÓRMULA MANUAL]","",IFERROR(AVERAGEIFS(DATOS!$K$2:$K$20000,DATOS!$A$2:$A$20000,Y462,DATOS!$G$2:$G$20000,CONFIG_METADATA!$B$4,DATOS!$I$2:$I$20000,"Música de Cámara"),"")))</f>
        <v/>
      </c>
      <c r="AC462" t="str">
        <f>IF(Y462="","",IF(Y462="[FÓRMULA MANUAL]","",IFERROR(SUMPRODUCT((DATOS!$A$2:$A$20000=Y462)*(DATOS!$G$2:$G$20000=CONFIG_METADATA!$B$4)*(COUNTIF(CONFIG_ASIGNATURAS!$B$7:$B$27,DATOS!$I$2:$I$20000)&gt;0)*(DATOS!$K$2:$K$20000))/SUMPRODUCT((DATOS!$A$2:$A$20000=Y462)*(DATOS!$G$2:$G$20000=CONFIG_METADATA!$B$4)*(COUNTIF(CONFIG_ASIGNATURAS!$B$7:$B$27,DATOS!$I$2:$I$20000)&gt;0)*1),"")))</f>
        <v/>
      </c>
      <c r="AF462" t="str">
        <f>IF(AE462="","",IF(AE462="[FÓRMULA MANUAL]","",IFERROR(AVERAGEIFS(DATOS!$K$2:$K$20000,DATOS!$A$2:$A$20000,AE462,DATOS!$G$2:$G$20000,CONFIG_METADATA!$B$4,DATOS!$I$2:$I$20000,"Análisis"),"")))</f>
        <v/>
      </c>
      <c r="AG462" t="str">
        <f>IF(AE462="","",IF(AE462="[FÓRMULA MANUAL]","",IFERROR(AVERAGEIFS(DATOS!$K$2:$K$20000,DATOS!$A$2:$A$20000,AE462,DATOS!$G$2:$G$20000,CONFIG_METADATA!$B$4,DATOS!$I$2:$I$20000,"Orquesta/Banda/Conjunto"),"")))</f>
        <v/>
      </c>
      <c r="AH462" t="str">
        <f>IF(AE462="","",IF(AE462="[FÓRMULA MANUAL]","",IFERROR(AVERAGEIFS(DATOS!$K$2:$K$20000,DATOS!$A$2:$A$20000,AE462,DATOS!$G$2:$G$20000,CONFIG_METADATA!$B$4,DATOS!$I$2:$I$20000,"Música de Cámara"),"")))</f>
        <v/>
      </c>
      <c r="AI462" t="str">
        <f>IF(AE462="","",IF(AE462="[FÓRMULA MANUAL]","",IFERROR(SUMPRODUCT((DATOS!$A$2:$A$20000=AE462)*(DATOS!$G$2:$G$20000=CONFIG_METADATA!$B$4)*(COUNTIF(CONFIG_ASIGNATURAS!$B$7:$B$27,DATOS!$I$2:$I$20000)&gt;0)*(DATOS!$K$2:$K$20000))/SUMPRODUCT((DATOS!$A$2:$A$20000=AE462)*(DATOS!$G$2:$G$20000=CONFIG_METADATA!$B$4)*(COUNTIF(CONFIG_ASIGNATURAS!$B$7:$B$27,DATOS!$I$2:$I$20000)&gt;0)*1),"")))</f>
        <v/>
      </c>
    </row>
    <row r="463" spans="2:35" x14ac:dyDescent="0.2">
      <c r="B463" t="str">
        <f>IF(A463="","",IF(A463="[FÓRMULA MANUAL]","",IFERROR(AVERAGEIFS(DATOS!$K$2:$K$20000,DATOS!$A$2:$A$20000,A463,DATOS!$G$2:$G$20000,CONFIG_METADATA!$B$4,DATOS!$I$2:$I$20000,"Lenguaje Musical"),"")))</f>
        <v/>
      </c>
      <c r="C463" t="str">
        <f>IF(A463="","",IF(A463="[FÓRMULA MANUAL]","",IFERROR(AVERAGEIFS(DATOS!$K$2:$K$20000,DATOS!$A$2:$A$20000,A463,DATOS!$G$2:$G$20000,CONFIG_METADATA!$B$4,DATOS!$I$2:$I$20000,"Orquesta/Banda/Conjunto"),"")))</f>
        <v/>
      </c>
      <c r="D463" t="str">
        <f>IF(A463="","",IF(A463="[FÓRMULA MANUAL]","",IFERROR(AVERAGEIFS(DATOS!$K$2:$K$20000,DATOS!$A$2:$A$20000,A463,DATOS!$G$2:$G$20000,CONFIG_METADATA!$B$4,DATOS!$I$2:$I$20000,"Conjunto"),"")))</f>
        <v/>
      </c>
      <c r="E463" t="str">
        <f>IF(A463="","",IF(A463="[FÓRMULA MANUAL]","",IFERROR(SUMPRODUCT((DATOS!$A$2:$A$20000=A463)*(DATOS!$G$2:$G$20000=CONFIG_METADATA!$B$4)*(COUNTIF(CONFIG_ASIGNATURAS!$B$7:$B$27,DATOS!$I$2:$I$20000)&gt;0)*(DATOS!$K$2:$K$20000))/SUMPRODUCT((DATOS!$A$2:$A$20000=A463)*(DATOS!$G$2:$G$20000=CONFIG_METADATA!$B$4)*(COUNTIF(CONFIG_ASIGNATURAS!$B$7:$B$27,DATOS!$I$2:$I$20000)&gt;0)*1),"")))</f>
        <v/>
      </c>
      <c r="H463" t="str">
        <f>IF(G463="","",IF(G463="[FÓRMULA MANUAL]","",IFERROR(AVERAGEIFS(DATOS!$K$2:$K$20000,DATOS!$A$2:$A$20000,G463,DATOS!$G$2:$G$20000,CONFIG_METADATA!$B$4,DATOS!$I$2:$I$20000,"Lenguaje Musical"),"")))</f>
        <v/>
      </c>
      <c r="I463" t="str">
        <f>IF(G463="","",IF(G463="[FÓRMULA MANUAL]","",IFERROR(AVERAGEIFS(DATOS!$K$2:$K$20000,DATOS!$A$2:$A$20000,G463,DATOS!$G$2:$G$20000,CONFIG_METADATA!$B$4,DATOS!$I$2:$I$20000,"Orquesta/Banda/Conjunto"),"")))</f>
        <v/>
      </c>
      <c r="J463" t="str">
        <f>IF(G463="","",IF(G463="[FÓRMULA MANUAL]","",IFERROR(AVERAGEIFS(DATOS!$K$2:$K$20000,DATOS!$A$2:$A$20000,G463,DATOS!$G$2:$G$20000,CONFIG_METADATA!$B$4,DATOS!$I$2:$I$20000,"Conjunto"),"")))</f>
        <v/>
      </c>
      <c r="K463" t="str">
        <f>IF(G463="","",IF(G463="[FÓRMULA MANUAL]","",IFERROR(SUMPRODUCT((DATOS!$A$2:$A$20000=G463)*(DATOS!$G$2:$G$20000=CONFIG_METADATA!$B$4)*(COUNTIF(CONFIG_ASIGNATURAS!$B$7:$B$27,DATOS!$I$2:$I$20000)&gt;0)*(DATOS!$K$2:$K$20000))/SUMPRODUCT((DATOS!$A$2:$A$20000=G463)*(DATOS!$G$2:$G$20000=CONFIG_METADATA!$B$4)*(COUNTIF(CONFIG_ASIGNATURAS!$B$7:$B$27,DATOS!$I$2:$I$20000)&gt;0)*1),"")))</f>
        <v/>
      </c>
      <c r="N463" t="str">
        <f>IF(M463="","",IF(M463="[FÓRMULA MANUAL]","",IFERROR(AVERAGEIFS(DATOS!$K$2:$K$20000,DATOS!$A$2:$A$20000,M463,DATOS!$G$2:$G$20000,CONFIG_METADATA!$B$4,DATOS!$I$2:$I$20000,"Armonía"),"")))</f>
        <v/>
      </c>
      <c r="O463" t="str">
        <f>IF(M463="","",IF(M463="[FÓRMULA MANUAL]","",IFERROR(AVERAGEIFS(DATOS!$K$2:$K$20000,DATOS!$A$2:$A$20000,M463,DATOS!$G$2:$G$20000,CONFIG_METADATA!$B$4,DATOS!$I$2:$I$20000,"Orquesta/Banda/Conjunto"),"")))</f>
        <v/>
      </c>
      <c r="P463" t="str">
        <f>IF(M463="","",IF(M463="[FÓRMULA MANUAL]","",IFERROR(AVERAGEIFS(DATOS!$K$2:$K$20000,DATOS!$A$2:$A$20000,M463,DATOS!$G$2:$G$20000,CONFIG_METADATA!$B$4,DATOS!$I$2:$I$20000,"Música de Cámara"),"")))</f>
        <v/>
      </c>
      <c r="Q463" t="str">
        <f>IF(M463="","",IF(M463="[FÓRMULA MANUAL]","",IFERROR(SUMPRODUCT((DATOS!$A$2:$A$20000=M463)*(DATOS!$G$2:$G$20000=CONFIG_METADATA!$B$4)*(COUNTIF(CONFIG_ASIGNATURAS!$B$7:$B$27,DATOS!$I$2:$I$20000)&gt;0)*(DATOS!$K$2:$K$20000))/SUMPRODUCT((DATOS!$A$2:$A$20000=M463)*(DATOS!$G$2:$G$20000=CONFIG_METADATA!$B$4)*(COUNTIF(CONFIG_ASIGNATURAS!$B$7:$B$27,DATOS!$I$2:$I$20000)&gt;0)*1),"")))</f>
        <v/>
      </c>
      <c r="T463" t="str">
        <f>IF(S463="","",IF(S463="[FÓRMULA MANUAL]","",IFERROR(AVERAGEIFS(DATOS!$K$2:$K$20000,DATOS!$A$2:$A$20000,S463,DATOS!$G$2:$G$20000,CONFIG_METADATA!$B$4,DATOS!$I$2:$I$20000,"Armonía"),"")))</f>
        <v/>
      </c>
      <c r="U463" t="str">
        <f>IF(S463="","",IF(S463="[FÓRMULA MANUAL]","",IFERROR(AVERAGEIFS(DATOS!$K$2:$K$20000,DATOS!$A$2:$A$20000,S463,DATOS!$G$2:$G$20000,CONFIG_METADATA!$B$4,DATOS!$I$2:$I$20000,"Orquesta/Banda/Conjunto"),"")))</f>
        <v/>
      </c>
      <c r="V463" t="str">
        <f>IF(S463="","",IF(S463="[FÓRMULA MANUAL]","",IFERROR(AVERAGEIFS(DATOS!$K$2:$K$20000,DATOS!$A$2:$A$20000,S463,DATOS!$G$2:$G$20000,CONFIG_METADATA!$B$4,DATOS!$I$2:$I$20000,"Música de Cámara"),"")))</f>
        <v/>
      </c>
      <c r="W463" t="str">
        <f>IF(S463="","",IF(S463="[FÓRMULA MANUAL]","",IFERROR(SUMPRODUCT((DATOS!$A$2:$A$20000=S463)*(DATOS!$G$2:$G$20000=CONFIG_METADATA!$B$4)*(COUNTIF(CONFIG_ASIGNATURAS!$B$7:$B$27,DATOS!$I$2:$I$20000)&gt;0)*(DATOS!$K$2:$K$20000))/SUMPRODUCT((DATOS!$A$2:$A$20000=S463)*(DATOS!$G$2:$G$20000=CONFIG_METADATA!$B$4)*(COUNTIF(CONFIG_ASIGNATURAS!$B$7:$B$27,DATOS!$I$2:$I$20000)&gt;0)*1),"")))</f>
        <v/>
      </c>
      <c r="Z463" t="str">
        <f>IF(Y463="","",IF(Y463="[FÓRMULA MANUAL]","",IFERROR(AVERAGEIFS(DATOS!$K$2:$K$20000,DATOS!$A$2:$A$20000,Y463,DATOS!$G$2:$G$20000,CONFIG_METADATA!$B$4,DATOS!$I$2:$I$20000,"Análisis"),"")))</f>
        <v/>
      </c>
      <c r="AA463" t="str">
        <f>IF(Y463="","",IF(Y463="[FÓRMULA MANUAL]","",IFERROR(AVERAGEIFS(DATOS!$K$2:$K$20000,DATOS!$A$2:$A$20000,Y463,DATOS!$G$2:$G$20000,CONFIG_METADATA!$B$4,DATOS!$I$2:$I$20000,"Orquesta/Banda/Conjunto"),"")))</f>
        <v/>
      </c>
      <c r="AB463" t="str">
        <f>IF(Y463="","",IF(Y463="[FÓRMULA MANUAL]","",IFERROR(AVERAGEIFS(DATOS!$K$2:$K$20000,DATOS!$A$2:$A$20000,Y463,DATOS!$G$2:$G$20000,CONFIG_METADATA!$B$4,DATOS!$I$2:$I$20000,"Música de Cámara"),"")))</f>
        <v/>
      </c>
      <c r="AC463" t="str">
        <f>IF(Y463="","",IF(Y463="[FÓRMULA MANUAL]","",IFERROR(SUMPRODUCT((DATOS!$A$2:$A$20000=Y463)*(DATOS!$G$2:$G$20000=CONFIG_METADATA!$B$4)*(COUNTIF(CONFIG_ASIGNATURAS!$B$7:$B$27,DATOS!$I$2:$I$20000)&gt;0)*(DATOS!$K$2:$K$20000))/SUMPRODUCT((DATOS!$A$2:$A$20000=Y463)*(DATOS!$G$2:$G$20000=CONFIG_METADATA!$B$4)*(COUNTIF(CONFIG_ASIGNATURAS!$B$7:$B$27,DATOS!$I$2:$I$20000)&gt;0)*1),"")))</f>
        <v/>
      </c>
      <c r="AF463" t="str">
        <f>IF(AE463="","",IF(AE463="[FÓRMULA MANUAL]","",IFERROR(AVERAGEIFS(DATOS!$K$2:$K$20000,DATOS!$A$2:$A$20000,AE463,DATOS!$G$2:$G$20000,CONFIG_METADATA!$B$4,DATOS!$I$2:$I$20000,"Análisis"),"")))</f>
        <v/>
      </c>
      <c r="AG463" t="str">
        <f>IF(AE463="","",IF(AE463="[FÓRMULA MANUAL]","",IFERROR(AVERAGEIFS(DATOS!$K$2:$K$20000,DATOS!$A$2:$A$20000,AE463,DATOS!$G$2:$G$20000,CONFIG_METADATA!$B$4,DATOS!$I$2:$I$20000,"Orquesta/Banda/Conjunto"),"")))</f>
        <v/>
      </c>
      <c r="AH463" t="str">
        <f>IF(AE463="","",IF(AE463="[FÓRMULA MANUAL]","",IFERROR(AVERAGEIFS(DATOS!$K$2:$K$20000,DATOS!$A$2:$A$20000,AE463,DATOS!$G$2:$G$20000,CONFIG_METADATA!$B$4,DATOS!$I$2:$I$20000,"Música de Cámara"),"")))</f>
        <v/>
      </c>
      <c r="AI463" t="str">
        <f>IF(AE463="","",IF(AE463="[FÓRMULA MANUAL]","",IFERROR(SUMPRODUCT((DATOS!$A$2:$A$20000=AE463)*(DATOS!$G$2:$G$20000=CONFIG_METADATA!$B$4)*(COUNTIF(CONFIG_ASIGNATURAS!$B$7:$B$27,DATOS!$I$2:$I$20000)&gt;0)*(DATOS!$K$2:$K$20000))/SUMPRODUCT((DATOS!$A$2:$A$20000=AE463)*(DATOS!$G$2:$G$20000=CONFIG_METADATA!$B$4)*(COUNTIF(CONFIG_ASIGNATURAS!$B$7:$B$27,DATOS!$I$2:$I$20000)&gt;0)*1),"")))</f>
        <v/>
      </c>
    </row>
    <row r="464" spans="2:35" x14ac:dyDescent="0.2">
      <c r="B464" t="str">
        <f>IF(A464="","",IF(A464="[FÓRMULA MANUAL]","",IFERROR(AVERAGEIFS(DATOS!$K$2:$K$20000,DATOS!$A$2:$A$20000,A464,DATOS!$G$2:$G$20000,CONFIG_METADATA!$B$4,DATOS!$I$2:$I$20000,"Lenguaje Musical"),"")))</f>
        <v/>
      </c>
      <c r="C464" t="str">
        <f>IF(A464="","",IF(A464="[FÓRMULA MANUAL]","",IFERROR(AVERAGEIFS(DATOS!$K$2:$K$20000,DATOS!$A$2:$A$20000,A464,DATOS!$G$2:$G$20000,CONFIG_METADATA!$B$4,DATOS!$I$2:$I$20000,"Orquesta/Banda/Conjunto"),"")))</f>
        <v/>
      </c>
      <c r="D464" t="str">
        <f>IF(A464="","",IF(A464="[FÓRMULA MANUAL]","",IFERROR(AVERAGEIFS(DATOS!$K$2:$K$20000,DATOS!$A$2:$A$20000,A464,DATOS!$G$2:$G$20000,CONFIG_METADATA!$B$4,DATOS!$I$2:$I$20000,"Conjunto"),"")))</f>
        <v/>
      </c>
      <c r="E464" t="str">
        <f>IF(A464="","",IF(A464="[FÓRMULA MANUAL]","",IFERROR(SUMPRODUCT((DATOS!$A$2:$A$20000=A464)*(DATOS!$G$2:$G$20000=CONFIG_METADATA!$B$4)*(COUNTIF(CONFIG_ASIGNATURAS!$B$7:$B$27,DATOS!$I$2:$I$20000)&gt;0)*(DATOS!$K$2:$K$20000))/SUMPRODUCT((DATOS!$A$2:$A$20000=A464)*(DATOS!$G$2:$G$20000=CONFIG_METADATA!$B$4)*(COUNTIF(CONFIG_ASIGNATURAS!$B$7:$B$27,DATOS!$I$2:$I$20000)&gt;0)*1),"")))</f>
        <v/>
      </c>
      <c r="H464" t="str">
        <f>IF(G464="","",IF(G464="[FÓRMULA MANUAL]","",IFERROR(AVERAGEIFS(DATOS!$K$2:$K$20000,DATOS!$A$2:$A$20000,G464,DATOS!$G$2:$G$20000,CONFIG_METADATA!$B$4,DATOS!$I$2:$I$20000,"Lenguaje Musical"),"")))</f>
        <v/>
      </c>
      <c r="I464" t="str">
        <f>IF(G464="","",IF(G464="[FÓRMULA MANUAL]","",IFERROR(AVERAGEIFS(DATOS!$K$2:$K$20000,DATOS!$A$2:$A$20000,G464,DATOS!$G$2:$G$20000,CONFIG_METADATA!$B$4,DATOS!$I$2:$I$20000,"Orquesta/Banda/Conjunto"),"")))</f>
        <v/>
      </c>
      <c r="J464" t="str">
        <f>IF(G464="","",IF(G464="[FÓRMULA MANUAL]","",IFERROR(AVERAGEIFS(DATOS!$K$2:$K$20000,DATOS!$A$2:$A$20000,G464,DATOS!$G$2:$G$20000,CONFIG_METADATA!$B$4,DATOS!$I$2:$I$20000,"Conjunto"),"")))</f>
        <v/>
      </c>
      <c r="K464" t="str">
        <f>IF(G464="","",IF(G464="[FÓRMULA MANUAL]","",IFERROR(SUMPRODUCT((DATOS!$A$2:$A$20000=G464)*(DATOS!$G$2:$G$20000=CONFIG_METADATA!$B$4)*(COUNTIF(CONFIG_ASIGNATURAS!$B$7:$B$27,DATOS!$I$2:$I$20000)&gt;0)*(DATOS!$K$2:$K$20000))/SUMPRODUCT((DATOS!$A$2:$A$20000=G464)*(DATOS!$G$2:$G$20000=CONFIG_METADATA!$B$4)*(COUNTIF(CONFIG_ASIGNATURAS!$B$7:$B$27,DATOS!$I$2:$I$20000)&gt;0)*1),"")))</f>
        <v/>
      </c>
      <c r="N464" t="str">
        <f>IF(M464="","",IF(M464="[FÓRMULA MANUAL]","",IFERROR(AVERAGEIFS(DATOS!$K$2:$K$20000,DATOS!$A$2:$A$20000,M464,DATOS!$G$2:$G$20000,CONFIG_METADATA!$B$4,DATOS!$I$2:$I$20000,"Armonía"),"")))</f>
        <v/>
      </c>
      <c r="O464" t="str">
        <f>IF(M464="","",IF(M464="[FÓRMULA MANUAL]","",IFERROR(AVERAGEIFS(DATOS!$K$2:$K$20000,DATOS!$A$2:$A$20000,M464,DATOS!$G$2:$G$20000,CONFIG_METADATA!$B$4,DATOS!$I$2:$I$20000,"Orquesta/Banda/Conjunto"),"")))</f>
        <v/>
      </c>
      <c r="P464" t="str">
        <f>IF(M464="","",IF(M464="[FÓRMULA MANUAL]","",IFERROR(AVERAGEIFS(DATOS!$K$2:$K$20000,DATOS!$A$2:$A$20000,M464,DATOS!$G$2:$G$20000,CONFIG_METADATA!$B$4,DATOS!$I$2:$I$20000,"Música de Cámara"),"")))</f>
        <v/>
      </c>
      <c r="Q464" t="str">
        <f>IF(M464="","",IF(M464="[FÓRMULA MANUAL]","",IFERROR(SUMPRODUCT((DATOS!$A$2:$A$20000=M464)*(DATOS!$G$2:$G$20000=CONFIG_METADATA!$B$4)*(COUNTIF(CONFIG_ASIGNATURAS!$B$7:$B$27,DATOS!$I$2:$I$20000)&gt;0)*(DATOS!$K$2:$K$20000))/SUMPRODUCT((DATOS!$A$2:$A$20000=M464)*(DATOS!$G$2:$G$20000=CONFIG_METADATA!$B$4)*(COUNTIF(CONFIG_ASIGNATURAS!$B$7:$B$27,DATOS!$I$2:$I$20000)&gt;0)*1),"")))</f>
        <v/>
      </c>
      <c r="T464" t="str">
        <f>IF(S464="","",IF(S464="[FÓRMULA MANUAL]","",IFERROR(AVERAGEIFS(DATOS!$K$2:$K$20000,DATOS!$A$2:$A$20000,S464,DATOS!$G$2:$G$20000,CONFIG_METADATA!$B$4,DATOS!$I$2:$I$20000,"Armonía"),"")))</f>
        <v/>
      </c>
      <c r="U464" t="str">
        <f>IF(S464="","",IF(S464="[FÓRMULA MANUAL]","",IFERROR(AVERAGEIFS(DATOS!$K$2:$K$20000,DATOS!$A$2:$A$20000,S464,DATOS!$G$2:$G$20000,CONFIG_METADATA!$B$4,DATOS!$I$2:$I$20000,"Orquesta/Banda/Conjunto"),"")))</f>
        <v/>
      </c>
      <c r="V464" t="str">
        <f>IF(S464="","",IF(S464="[FÓRMULA MANUAL]","",IFERROR(AVERAGEIFS(DATOS!$K$2:$K$20000,DATOS!$A$2:$A$20000,S464,DATOS!$G$2:$G$20000,CONFIG_METADATA!$B$4,DATOS!$I$2:$I$20000,"Música de Cámara"),"")))</f>
        <v/>
      </c>
      <c r="W464" t="str">
        <f>IF(S464="","",IF(S464="[FÓRMULA MANUAL]","",IFERROR(SUMPRODUCT((DATOS!$A$2:$A$20000=S464)*(DATOS!$G$2:$G$20000=CONFIG_METADATA!$B$4)*(COUNTIF(CONFIG_ASIGNATURAS!$B$7:$B$27,DATOS!$I$2:$I$20000)&gt;0)*(DATOS!$K$2:$K$20000))/SUMPRODUCT((DATOS!$A$2:$A$20000=S464)*(DATOS!$G$2:$G$20000=CONFIG_METADATA!$B$4)*(COUNTIF(CONFIG_ASIGNATURAS!$B$7:$B$27,DATOS!$I$2:$I$20000)&gt;0)*1),"")))</f>
        <v/>
      </c>
      <c r="Z464" t="str">
        <f>IF(Y464="","",IF(Y464="[FÓRMULA MANUAL]","",IFERROR(AVERAGEIFS(DATOS!$K$2:$K$20000,DATOS!$A$2:$A$20000,Y464,DATOS!$G$2:$G$20000,CONFIG_METADATA!$B$4,DATOS!$I$2:$I$20000,"Análisis"),"")))</f>
        <v/>
      </c>
      <c r="AA464" t="str">
        <f>IF(Y464="","",IF(Y464="[FÓRMULA MANUAL]","",IFERROR(AVERAGEIFS(DATOS!$K$2:$K$20000,DATOS!$A$2:$A$20000,Y464,DATOS!$G$2:$G$20000,CONFIG_METADATA!$B$4,DATOS!$I$2:$I$20000,"Orquesta/Banda/Conjunto"),"")))</f>
        <v/>
      </c>
      <c r="AB464" t="str">
        <f>IF(Y464="","",IF(Y464="[FÓRMULA MANUAL]","",IFERROR(AVERAGEIFS(DATOS!$K$2:$K$20000,DATOS!$A$2:$A$20000,Y464,DATOS!$G$2:$G$20000,CONFIG_METADATA!$B$4,DATOS!$I$2:$I$20000,"Música de Cámara"),"")))</f>
        <v/>
      </c>
      <c r="AC464" t="str">
        <f>IF(Y464="","",IF(Y464="[FÓRMULA MANUAL]","",IFERROR(SUMPRODUCT((DATOS!$A$2:$A$20000=Y464)*(DATOS!$G$2:$G$20000=CONFIG_METADATA!$B$4)*(COUNTIF(CONFIG_ASIGNATURAS!$B$7:$B$27,DATOS!$I$2:$I$20000)&gt;0)*(DATOS!$K$2:$K$20000))/SUMPRODUCT((DATOS!$A$2:$A$20000=Y464)*(DATOS!$G$2:$G$20000=CONFIG_METADATA!$B$4)*(COUNTIF(CONFIG_ASIGNATURAS!$B$7:$B$27,DATOS!$I$2:$I$20000)&gt;0)*1),"")))</f>
        <v/>
      </c>
      <c r="AF464" t="str">
        <f>IF(AE464="","",IF(AE464="[FÓRMULA MANUAL]","",IFERROR(AVERAGEIFS(DATOS!$K$2:$K$20000,DATOS!$A$2:$A$20000,AE464,DATOS!$G$2:$G$20000,CONFIG_METADATA!$B$4,DATOS!$I$2:$I$20000,"Análisis"),"")))</f>
        <v/>
      </c>
      <c r="AG464" t="str">
        <f>IF(AE464="","",IF(AE464="[FÓRMULA MANUAL]","",IFERROR(AVERAGEIFS(DATOS!$K$2:$K$20000,DATOS!$A$2:$A$20000,AE464,DATOS!$G$2:$G$20000,CONFIG_METADATA!$B$4,DATOS!$I$2:$I$20000,"Orquesta/Banda/Conjunto"),"")))</f>
        <v/>
      </c>
      <c r="AH464" t="str">
        <f>IF(AE464="","",IF(AE464="[FÓRMULA MANUAL]","",IFERROR(AVERAGEIFS(DATOS!$K$2:$K$20000,DATOS!$A$2:$A$20000,AE464,DATOS!$G$2:$G$20000,CONFIG_METADATA!$B$4,DATOS!$I$2:$I$20000,"Música de Cámara"),"")))</f>
        <v/>
      </c>
      <c r="AI464" t="str">
        <f>IF(AE464="","",IF(AE464="[FÓRMULA MANUAL]","",IFERROR(SUMPRODUCT((DATOS!$A$2:$A$20000=AE464)*(DATOS!$G$2:$G$20000=CONFIG_METADATA!$B$4)*(COUNTIF(CONFIG_ASIGNATURAS!$B$7:$B$27,DATOS!$I$2:$I$20000)&gt;0)*(DATOS!$K$2:$K$20000))/SUMPRODUCT((DATOS!$A$2:$A$20000=AE464)*(DATOS!$G$2:$G$20000=CONFIG_METADATA!$B$4)*(COUNTIF(CONFIG_ASIGNATURAS!$B$7:$B$27,DATOS!$I$2:$I$20000)&gt;0)*1),"")))</f>
        <v/>
      </c>
    </row>
    <row r="465" spans="2:35" x14ac:dyDescent="0.2">
      <c r="B465" t="str">
        <f>IF(A465="","",IF(A465="[FÓRMULA MANUAL]","",IFERROR(AVERAGEIFS(DATOS!$K$2:$K$20000,DATOS!$A$2:$A$20000,A465,DATOS!$G$2:$G$20000,CONFIG_METADATA!$B$4,DATOS!$I$2:$I$20000,"Lenguaje Musical"),"")))</f>
        <v/>
      </c>
      <c r="C465" t="str">
        <f>IF(A465="","",IF(A465="[FÓRMULA MANUAL]","",IFERROR(AVERAGEIFS(DATOS!$K$2:$K$20000,DATOS!$A$2:$A$20000,A465,DATOS!$G$2:$G$20000,CONFIG_METADATA!$B$4,DATOS!$I$2:$I$20000,"Orquesta/Banda/Conjunto"),"")))</f>
        <v/>
      </c>
      <c r="D465" t="str">
        <f>IF(A465="","",IF(A465="[FÓRMULA MANUAL]","",IFERROR(AVERAGEIFS(DATOS!$K$2:$K$20000,DATOS!$A$2:$A$20000,A465,DATOS!$G$2:$G$20000,CONFIG_METADATA!$B$4,DATOS!$I$2:$I$20000,"Conjunto"),"")))</f>
        <v/>
      </c>
      <c r="E465" t="str">
        <f>IF(A465="","",IF(A465="[FÓRMULA MANUAL]","",IFERROR(SUMPRODUCT((DATOS!$A$2:$A$20000=A465)*(DATOS!$G$2:$G$20000=CONFIG_METADATA!$B$4)*(COUNTIF(CONFIG_ASIGNATURAS!$B$7:$B$27,DATOS!$I$2:$I$20000)&gt;0)*(DATOS!$K$2:$K$20000))/SUMPRODUCT((DATOS!$A$2:$A$20000=A465)*(DATOS!$G$2:$G$20000=CONFIG_METADATA!$B$4)*(COUNTIF(CONFIG_ASIGNATURAS!$B$7:$B$27,DATOS!$I$2:$I$20000)&gt;0)*1),"")))</f>
        <v/>
      </c>
      <c r="H465" t="str">
        <f>IF(G465="","",IF(G465="[FÓRMULA MANUAL]","",IFERROR(AVERAGEIFS(DATOS!$K$2:$K$20000,DATOS!$A$2:$A$20000,G465,DATOS!$G$2:$G$20000,CONFIG_METADATA!$B$4,DATOS!$I$2:$I$20000,"Lenguaje Musical"),"")))</f>
        <v/>
      </c>
      <c r="I465" t="str">
        <f>IF(G465="","",IF(G465="[FÓRMULA MANUAL]","",IFERROR(AVERAGEIFS(DATOS!$K$2:$K$20000,DATOS!$A$2:$A$20000,G465,DATOS!$G$2:$G$20000,CONFIG_METADATA!$B$4,DATOS!$I$2:$I$20000,"Orquesta/Banda/Conjunto"),"")))</f>
        <v/>
      </c>
      <c r="J465" t="str">
        <f>IF(G465="","",IF(G465="[FÓRMULA MANUAL]","",IFERROR(AVERAGEIFS(DATOS!$K$2:$K$20000,DATOS!$A$2:$A$20000,G465,DATOS!$G$2:$G$20000,CONFIG_METADATA!$B$4,DATOS!$I$2:$I$20000,"Conjunto"),"")))</f>
        <v/>
      </c>
      <c r="K465" t="str">
        <f>IF(G465="","",IF(G465="[FÓRMULA MANUAL]","",IFERROR(SUMPRODUCT((DATOS!$A$2:$A$20000=G465)*(DATOS!$G$2:$G$20000=CONFIG_METADATA!$B$4)*(COUNTIF(CONFIG_ASIGNATURAS!$B$7:$B$27,DATOS!$I$2:$I$20000)&gt;0)*(DATOS!$K$2:$K$20000))/SUMPRODUCT((DATOS!$A$2:$A$20000=G465)*(DATOS!$G$2:$G$20000=CONFIG_METADATA!$B$4)*(COUNTIF(CONFIG_ASIGNATURAS!$B$7:$B$27,DATOS!$I$2:$I$20000)&gt;0)*1),"")))</f>
        <v/>
      </c>
      <c r="N465" t="str">
        <f>IF(M465="","",IF(M465="[FÓRMULA MANUAL]","",IFERROR(AVERAGEIFS(DATOS!$K$2:$K$20000,DATOS!$A$2:$A$20000,M465,DATOS!$G$2:$G$20000,CONFIG_METADATA!$B$4,DATOS!$I$2:$I$20000,"Armonía"),"")))</f>
        <v/>
      </c>
      <c r="O465" t="str">
        <f>IF(M465="","",IF(M465="[FÓRMULA MANUAL]","",IFERROR(AVERAGEIFS(DATOS!$K$2:$K$20000,DATOS!$A$2:$A$20000,M465,DATOS!$G$2:$G$20000,CONFIG_METADATA!$B$4,DATOS!$I$2:$I$20000,"Orquesta/Banda/Conjunto"),"")))</f>
        <v/>
      </c>
      <c r="P465" t="str">
        <f>IF(M465="","",IF(M465="[FÓRMULA MANUAL]","",IFERROR(AVERAGEIFS(DATOS!$K$2:$K$20000,DATOS!$A$2:$A$20000,M465,DATOS!$G$2:$G$20000,CONFIG_METADATA!$B$4,DATOS!$I$2:$I$20000,"Música de Cámara"),"")))</f>
        <v/>
      </c>
      <c r="Q465" t="str">
        <f>IF(M465="","",IF(M465="[FÓRMULA MANUAL]","",IFERROR(SUMPRODUCT((DATOS!$A$2:$A$20000=M465)*(DATOS!$G$2:$G$20000=CONFIG_METADATA!$B$4)*(COUNTIF(CONFIG_ASIGNATURAS!$B$7:$B$27,DATOS!$I$2:$I$20000)&gt;0)*(DATOS!$K$2:$K$20000))/SUMPRODUCT((DATOS!$A$2:$A$20000=M465)*(DATOS!$G$2:$G$20000=CONFIG_METADATA!$B$4)*(COUNTIF(CONFIG_ASIGNATURAS!$B$7:$B$27,DATOS!$I$2:$I$20000)&gt;0)*1),"")))</f>
        <v/>
      </c>
      <c r="T465" t="str">
        <f>IF(S465="","",IF(S465="[FÓRMULA MANUAL]","",IFERROR(AVERAGEIFS(DATOS!$K$2:$K$20000,DATOS!$A$2:$A$20000,S465,DATOS!$G$2:$G$20000,CONFIG_METADATA!$B$4,DATOS!$I$2:$I$20000,"Armonía"),"")))</f>
        <v/>
      </c>
      <c r="U465" t="str">
        <f>IF(S465="","",IF(S465="[FÓRMULA MANUAL]","",IFERROR(AVERAGEIFS(DATOS!$K$2:$K$20000,DATOS!$A$2:$A$20000,S465,DATOS!$G$2:$G$20000,CONFIG_METADATA!$B$4,DATOS!$I$2:$I$20000,"Orquesta/Banda/Conjunto"),"")))</f>
        <v/>
      </c>
      <c r="V465" t="str">
        <f>IF(S465="","",IF(S465="[FÓRMULA MANUAL]","",IFERROR(AVERAGEIFS(DATOS!$K$2:$K$20000,DATOS!$A$2:$A$20000,S465,DATOS!$G$2:$G$20000,CONFIG_METADATA!$B$4,DATOS!$I$2:$I$20000,"Música de Cámara"),"")))</f>
        <v/>
      </c>
      <c r="W465" t="str">
        <f>IF(S465="","",IF(S465="[FÓRMULA MANUAL]","",IFERROR(SUMPRODUCT((DATOS!$A$2:$A$20000=S465)*(DATOS!$G$2:$G$20000=CONFIG_METADATA!$B$4)*(COUNTIF(CONFIG_ASIGNATURAS!$B$7:$B$27,DATOS!$I$2:$I$20000)&gt;0)*(DATOS!$K$2:$K$20000))/SUMPRODUCT((DATOS!$A$2:$A$20000=S465)*(DATOS!$G$2:$G$20000=CONFIG_METADATA!$B$4)*(COUNTIF(CONFIG_ASIGNATURAS!$B$7:$B$27,DATOS!$I$2:$I$20000)&gt;0)*1),"")))</f>
        <v/>
      </c>
      <c r="Z465" t="str">
        <f>IF(Y465="","",IF(Y465="[FÓRMULA MANUAL]","",IFERROR(AVERAGEIFS(DATOS!$K$2:$K$20000,DATOS!$A$2:$A$20000,Y465,DATOS!$G$2:$G$20000,CONFIG_METADATA!$B$4,DATOS!$I$2:$I$20000,"Análisis"),"")))</f>
        <v/>
      </c>
      <c r="AA465" t="str">
        <f>IF(Y465="","",IF(Y465="[FÓRMULA MANUAL]","",IFERROR(AVERAGEIFS(DATOS!$K$2:$K$20000,DATOS!$A$2:$A$20000,Y465,DATOS!$G$2:$G$20000,CONFIG_METADATA!$B$4,DATOS!$I$2:$I$20000,"Orquesta/Banda/Conjunto"),"")))</f>
        <v/>
      </c>
      <c r="AB465" t="str">
        <f>IF(Y465="","",IF(Y465="[FÓRMULA MANUAL]","",IFERROR(AVERAGEIFS(DATOS!$K$2:$K$20000,DATOS!$A$2:$A$20000,Y465,DATOS!$G$2:$G$20000,CONFIG_METADATA!$B$4,DATOS!$I$2:$I$20000,"Música de Cámara"),"")))</f>
        <v/>
      </c>
      <c r="AC465" t="str">
        <f>IF(Y465="","",IF(Y465="[FÓRMULA MANUAL]","",IFERROR(SUMPRODUCT((DATOS!$A$2:$A$20000=Y465)*(DATOS!$G$2:$G$20000=CONFIG_METADATA!$B$4)*(COUNTIF(CONFIG_ASIGNATURAS!$B$7:$B$27,DATOS!$I$2:$I$20000)&gt;0)*(DATOS!$K$2:$K$20000))/SUMPRODUCT((DATOS!$A$2:$A$20000=Y465)*(DATOS!$G$2:$G$20000=CONFIG_METADATA!$B$4)*(COUNTIF(CONFIG_ASIGNATURAS!$B$7:$B$27,DATOS!$I$2:$I$20000)&gt;0)*1),"")))</f>
        <v/>
      </c>
      <c r="AF465" t="str">
        <f>IF(AE465="","",IF(AE465="[FÓRMULA MANUAL]","",IFERROR(AVERAGEIFS(DATOS!$K$2:$K$20000,DATOS!$A$2:$A$20000,AE465,DATOS!$G$2:$G$20000,CONFIG_METADATA!$B$4,DATOS!$I$2:$I$20000,"Análisis"),"")))</f>
        <v/>
      </c>
      <c r="AG465" t="str">
        <f>IF(AE465="","",IF(AE465="[FÓRMULA MANUAL]","",IFERROR(AVERAGEIFS(DATOS!$K$2:$K$20000,DATOS!$A$2:$A$20000,AE465,DATOS!$G$2:$G$20000,CONFIG_METADATA!$B$4,DATOS!$I$2:$I$20000,"Orquesta/Banda/Conjunto"),"")))</f>
        <v/>
      </c>
      <c r="AH465" t="str">
        <f>IF(AE465="","",IF(AE465="[FÓRMULA MANUAL]","",IFERROR(AVERAGEIFS(DATOS!$K$2:$K$20000,DATOS!$A$2:$A$20000,AE465,DATOS!$G$2:$G$20000,CONFIG_METADATA!$B$4,DATOS!$I$2:$I$20000,"Música de Cámara"),"")))</f>
        <v/>
      </c>
      <c r="AI465" t="str">
        <f>IF(AE465="","",IF(AE465="[FÓRMULA MANUAL]","",IFERROR(SUMPRODUCT((DATOS!$A$2:$A$20000=AE465)*(DATOS!$G$2:$G$20000=CONFIG_METADATA!$B$4)*(COUNTIF(CONFIG_ASIGNATURAS!$B$7:$B$27,DATOS!$I$2:$I$20000)&gt;0)*(DATOS!$K$2:$K$20000))/SUMPRODUCT((DATOS!$A$2:$A$20000=AE465)*(DATOS!$G$2:$G$20000=CONFIG_METADATA!$B$4)*(COUNTIF(CONFIG_ASIGNATURAS!$B$7:$B$27,DATOS!$I$2:$I$20000)&gt;0)*1),"")))</f>
        <v/>
      </c>
    </row>
    <row r="466" spans="2:35" x14ac:dyDescent="0.2">
      <c r="B466" t="str">
        <f>IF(A466="","",IF(A466="[FÓRMULA MANUAL]","",IFERROR(AVERAGEIFS(DATOS!$K$2:$K$20000,DATOS!$A$2:$A$20000,A466,DATOS!$G$2:$G$20000,CONFIG_METADATA!$B$4,DATOS!$I$2:$I$20000,"Lenguaje Musical"),"")))</f>
        <v/>
      </c>
      <c r="C466" t="str">
        <f>IF(A466="","",IF(A466="[FÓRMULA MANUAL]","",IFERROR(AVERAGEIFS(DATOS!$K$2:$K$20000,DATOS!$A$2:$A$20000,A466,DATOS!$G$2:$G$20000,CONFIG_METADATA!$B$4,DATOS!$I$2:$I$20000,"Orquesta/Banda/Conjunto"),"")))</f>
        <v/>
      </c>
      <c r="D466" t="str">
        <f>IF(A466="","",IF(A466="[FÓRMULA MANUAL]","",IFERROR(AVERAGEIFS(DATOS!$K$2:$K$20000,DATOS!$A$2:$A$20000,A466,DATOS!$G$2:$G$20000,CONFIG_METADATA!$B$4,DATOS!$I$2:$I$20000,"Conjunto"),"")))</f>
        <v/>
      </c>
      <c r="E466" t="str">
        <f>IF(A466="","",IF(A466="[FÓRMULA MANUAL]","",IFERROR(SUMPRODUCT((DATOS!$A$2:$A$20000=A466)*(DATOS!$G$2:$G$20000=CONFIG_METADATA!$B$4)*(COUNTIF(CONFIG_ASIGNATURAS!$B$7:$B$27,DATOS!$I$2:$I$20000)&gt;0)*(DATOS!$K$2:$K$20000))/SUMPRODUCT((DATOS!$A$2:$A$20000=A466)*(DATOS!$G$2:$G$20000=CONFIG_METADATA!$B$4)*(COUNTIF(CONFIG_ASIGNATURAS!$B$7:$B$27,DATOS!$I$2:$I$20000)&gt;0)*1),"")))</f>
        <v/>
      </c>
      <c r="H466" t="str">
        <f>IF(G466="","",IF(G466="[FÓRMULA MANUAL]","",IFERROR(AVERAGEIFS(DATOS!$K$2:$K$20000,DATOS!$A$2:$A$20000,G466,DATOS!$G$2:$G$20000,CONFIG_METADATA!$B$4,DATOS!$I$2:$I$20000,"Lenguaje Musical"),"")))</f>
        <v/>
      </c>
      <c r="I466" t="str">
        <f>IF(G466="","",IF(G466="[FÓRMULA MANUAL]","",IFERROR(AVERAGEIFS(DATOS!$K$2:$K$20000,DATOS!$A$2:$A$20000,G466,DATOS!$G$2:$G$20000,CONFIG_METADATA!$B$4,DATOS!$I$2:$I$20000,"Orquesta/Banda/Conjunto"),"")))</f>
        <v/>
      </c>
      <c r="J466" t="str">
        <f>IF(G466="","",IF(G466="[FÓRMULA MANUAL]","",IFERROR(AVERAGEIFS(DATOS!$K$2:$K$20000,DATOS!$A$2:$A$20000,G466,DATOS!$G$2:$G$20000,CONFIG_METADATA!$B$4,DATOS!$I$2:$I$20000,"Conjunto"),"")))</f>
        <v/>
      </c>
      <c r="K466" t="str">
        <f>IF(G466="","",IF(G466="[FÓRMULA MANUAL]","",IFERROR(SUMPRODUCT((DATOS!$A$2:$A$20000=G466)*(DATOS!$G$2:$G$20000=CONFIG_METADATA!$B$4)*(COUNTIF(CONFIG_ASIGNATURAS!$B$7:$B$27,DATOS!$I$2:$I$20000)&gt;0)*(DATOS!$K$2:$K$20000))/SUMPRODUCT((DATOS!$A$2:$A$20000=G466)*(DATOS!$G$2:$G$20000=CONFIG_METADATA!$B$4)*(COUNTIF(CONFIG_ASIGNATURAS!$B$7:$B$27,DATOS!$I$2:$I$20000)&gt;0)*1),"")))</f>
        <v/>
      </c>
      <c r="N466" t="str">
        <f>IF(M466="","",IF(M466="[FÓRMULA MANUAL]","",IFERROR(AVERAGEIFS(DATOS!$K$2:$K$20000,DATOS!$A$2:$A$20000,M466,DATOS!$G$2:$G$20000,CONFIG_METADATA!$B$4,DATOS!$I$2:$I$20000,"Armonía"),"")))</f>
        <v/>
      </c>
      <c r="O466" t="str">
        <f>IF(M466="","",IF(M466="[FÓRMULA MANUAL]","",IFERROR(AVERAGEIFS(DATOS!$K$2:$K$20000,DATOS!$A$2:$A$20000,M466,DATOS!$G$2:$G$20000,CONFIG_METADATA!$B$4,DATOS!$I$2:$I$20000,"Orquesta/Banda/Conjunto"),"")))</f>
        <v/>
      </c>
      <c r="P466" t="str">
        <f>IF(M466="","",IF(M466="[FÓRMULA MANUAL]","",IFERROR(AVERAGEIFS(DATOS!$K$2:$K$20000,DATOS!$A$2:$A$20000,M466,DATOS!$G$2:$G$20000,CONFIG_METADATA!$B$4,DATOS!$I$2:$I$20000,"Música de Cámara"),"")))</f>
        <v/>
      </c>
      <c r="Q466" t="str">
        <f>IF(M466="","",IF(M466="[FÓRMULA MANUAL]","",IFERROR(SUMPRODUCT((DATOS!$A$2:$A$20000=M466)*(DATOS!$G$2:$G$20000=CONFIG_METADATA!$B$4)*(COUNTIF(CONFIG_ASIGNATURAS!$B$7:$B$27,DATOS!$I$2:$I$20000)&gt;0)*(DATOS!$K$2:$K$20000))/SUMPRODUCT((DATOS!$A$2:$A$20000=M466)*(DATOS!$G$2:$G$20000=CONFIG_METADATA!$B$4)*(COUNTIF(CONFIG_ASIGNATURAS!$B$7:$B$27,DATOS!$I$2:$I$20000)&gt;0)*1),"")))</f>
        <v/>
      </c>
      <c r="T466" t="str">
        <f>IF(S466="","",IF(S466="[FÓRMULA MANUAL]","",IFERROR(AVERAGEIFS(DATOS!$K$2:$K$20000,DATOS!$A$2:$A$20000,S466,DATOS!$G$2:$G$20000,CONFIG_METADATA!$B$4,DATOS!$I$2:$I$20000,"Armonía"),"")))</f>
        <v/>
      </c>
      <c r="U466" t="str">
        <f>IF(S466="","",IF(S466="[FÓRMULA MANUAL]","",IFERROR(AVERAGEIFS(DATOS!$K$2:$K$20000,DATOS!$A$2:$A$20000,S466,DATOS!$G$2:$G$20000,CONFIG_METADATA!$B$4,DATOS!$I$2:$I$20000,"Orquesta/Banda/Conjunto"),"")))</f>
        <v/>
      </c>
      <c r="V466" t="str">
        <f>IF(S466="","",IF(S466="[FÓRMULA MANUAL]","",IFERROR(AVERAGEIFS(DATOS!$K$2:$K$20000,DATOS!$A$2:$A$20000,S466,DATOS!$G$2:$G$20000,CONFIG_METADATA!$B$4,DATOS!$I$2:$I$20000,"Música de Cámara"),"")))</f>
        <v/>
      </c>
      <c r="W466" t="str">
        <f>IF(S466="","",IF(S466="[FÓRMULA MANUAL]","",IFERROR(SUMPRODUCT((DATOS!$A$2:$A$20000=S466)*(DATOS!$G$2:$G$20000=CONFIG_METADATA!$B$4)*(COUNTIF(CONFIG_ASIGNATURAS!$B$7:$B$27,DATOS!$I$2:$I$20000)&gt;0)*(DATOS!$K$2:$K$20000))/SUMPRODUCT((DATOS!$A$2:$A$20000=S466)*(DATOS!$G$2:$G$20000=CONFIG_METADATA!$B$4)*(COUNTIF(CONFIG_ASIGNATURAS!$B$7:$B$27,DATOS!$I$2:$I$20000)&gt;0)*1),"")))</f>
        <v/>
      </c>
      <c r="Z466" t="str">
        <f>IF(Y466="","",IF(Y466="[FÓRMULA MANUAL]","",IFERROR(AVERAGEIFS(DATOS!$K$2:$K$20000,DATOS!$A$2:$A$20000,Y466,DATOS!$G$2:$G$20000,CONFIG_METADATA!$B$4,DATOS!$I$2:$I$20000,"Análisis"),"")))</f>
        <v/>
      </c>
      <c r="AA466" t="str">
        <f>IF(Y466="","",IF(Y466="[FÓRMULA MANUAL]","",IFERROR(AVERAGEIFS(DATOS!$K$2:$K$20000,DATOS!$A$2:$A$20000,Y466,DATOS!$G$2:$G$20000,CONFIG_METADATA!$B$4,DATOS!$I$2:$I$20000,"Orquesta/Banda/Conjunto"),"")))</f>
        <v/>
      </c>
      <c r="AB466" t="str">
        <f>IF(Y466="","",IF(Y466="[FÓRMULA MANUAL]","",IFERROR(AVERAGEIFS(DATOS!$K$2:$K$20000,DATOS!$A$2:$A$20000,Y466,DATOS!$G$2:$G$20000,CONFIG_METADATA!$B$4,DATOS!$I$2:$I$20000,"Música de Cámara"),"")))</f>
        <v/>
      </c>
      <c r="AC466" t="str">
        <f>IF(Y466="","",IF(Y466="[FÓRMULA MANUAL]","",IFERROR(SUMPRODUCT((DATOS!$A$2:$A$20000=Y466)*(DATOS!$G$2:$G$20000=CONFIG_METADATA!$B$4)*(COUNTIF(CONFIG_ASIGNATURAS!$B$7:$B$27,DATOS!$I$2:$I$20000)&gt;0)*(DATOS!$K$2:$K$20000))/SUMPRODUCT((DATOS!$A$2:$A$20000=Y466)*(DATOS!$G$2:$G$20000=CONFIG_METADATA!$B$4)*(COUNTIF(CONFIG_ASIGNATURAS!$B$7:$B$27,DATOS!$I$2:$I$20000)&gt;0)*1),"")))</f>
        <v/>
      </c>
      <c r="AF466" t="str">
        <f>IF(AE466="","",IF(AE466="[FÓRMULA MANUAL]","",IFERROR(AVERAGEIFS(DATOS!$K$2:$K$20000,DATOS!$A$2:$A$20000,AE466,DATOS!$G$2:$G$20000,CONFIG_METADATA!$B$4,DATOS!$I$2:$I$20000,"Análisis"),"")))</f>
        <v/>
      </c>
      <c r="AG466" t="str">
        <f>IF(AE466="","",IF(AE466="[FÓRMULA MANUAL]","",IFERROR(AVERAGEIFS(DATOS!$K$2:$K$20000,DATOS!$A$2:$A$20000,AE466,DATOS!$G$2:$G$20000,CONFIG_METADATA!$B$4,DATOS!$I$2:$I$20000,"Orquesta/Banda/Conjunto"),"")))</f>
        <v/>
      </c>
      <c r="AH466" t="str">
        <f>IF(AE466="","",IF(AE466="[FÓRMULA MANUAL]","",IFERROR(AVERAGEIFS(DATOS!$K$2:$K$20000,DATOS!$A$2:$A$20000,AE466,DATOS!$G$2:$G$20000,CONFIG_METADATA!$B$4,DATOS!$I$2:$I$20000,"Música de Cámara"),"")))</f>
        <v/>
      </c>
      <c r="AI466" t="str">
        <f>IF(AE466="","",IF(AE466="[FÓRMULA MANUAL]","",IFERROR(SUMPRODUCT((DATOS!$A$2:$A$20000=AE466)*(DATOS!$G$2:$G$20000=CONFIG_METADATA!$B$4)*(COUNTIF(CONFIG_ASIGNATURAS!$B$7:$B$27,DATOS!$I$2:$I$20000)&gt;0)*(DATOS!$K$2:$K$20000))/SUMPRODUCT((DATOS!$A$2:$A$20000=AE466)*(DATOS!$G$2:$G$20000=CONFIG_METADATA!$B$4)*(COUNTIF(CONFIG_ASIGNATURAS!$B$7:$B$27,DATOS!$I$2:$I$20000)&gt;0)*1),"")))</f>
        <v/>
      </c>
    </row>
    <row r="467" spans="2:35" x14ac:dyDescent="0.2">
      <c r="B467" t="str">
        <f>IF(A467="","",IF(A467="[FÓRMULA MANUAL]","",IFERROR(AVERAGEIFS(DATOS!$K$2:$K$20000,DATOS!$A$2:$A$20000,A467,DATOS!$G$2:$G$20000,CONFIG_METADATA!$B$4,DATOS!$I$2:$I$20000,"Lenguaje Musical"),"")))</f>
        <v/>
      </c>
      <c r="C467" t="str">
        <f>IF(A467="","",IF(A467="[FÓRMULA MANUAL]","",IFERROR(AVERAGEIFS(DATOS!$K$2:$K$20000,DATOS!$A$2:$A$20000,A467,DATOS!$G$2:$G$20000,CONFIG_METADATA!$B$4,DATOS!$I$2:$I$20000,"Orquesta/Banda/Conjunto"),"")))</f>
        <v/>
      </c>
      <c r="D467" t="str">
        <f>IF(A467="","",IF(A467="[FÓRMULA MANUAL]","",IFERROR(AVERAGEIFS(DATOS!$K$2:$K$20000,DATOS!$A$2:$A$20000,A467,DATOS!$G$2:$G$20000,CONFIG_METADATA!$B$4,DATOS!$I$2:$I$20000,"Conjunto"),"")))</f>
        <v/>
      </c>
      <c r="E467" t="str">
        <f>IF(A467="","",IF(A467="[FÓRMULA MANUAL]","",IFERROR(SUMPRODUCT((DATOS!$A$2:$A$20000=A467)*(DATOS!$G$2:$G$20000=CONFIG_METADATA!$B$4)*(COUNTIF(CONFIG_ASIGNATURAS!$B$7:$B$27,DATOS!$I$2:$I$20000)&gt;0)*(DATOS!$K$2:$K$20000))/SUMPRODUCT((DATOS!$A$2:$A$20000=A467)*(DATOS!$G$2:$G$20000=CONFIG_METADATA!$B$4)*(COUNTIF(CONFIG_ASIGNATURAS!$B$7:$B$27,DATOS!$I$2:$I$20000)&gt;0)*1),"")))</f>
        <v/>
      </c>
      <c r="H467" t="str">
        <f>IF(G467="","",IF(G467="[FÓRMULA MANUAL]","",IFERROR(AVERAGEIFS(DATOS!$K$2:$K$20000,DATOS!$A$2:$A$20000,G467,DATOS!$G$2:$G$20000,CONFIG_METADATA!$B$4,DATOS!$I$2:$I$20000,"Lenguaje Musical"),"")))</f>
        <v/>
      </c>
      <c r="I467" t="str">
        <f>IF(G467="","",IF(G467="[FÓRMULA MANUAL]","",IFERROR(AVERAGEIFS(DATOS!$K$2:$K$20000,DATOS!$A$2:$A$20000,G467,DATOS!$G$2:$G$20000,CONFIG_METADATA!$B$4,DATOS!$I$2:$I$20000,"Orquesta/Banda/Conjunto"),"")))</f>
        <v/>
      </c>
      <c r="J467" t="str">
        <f>IF(G467="","",IF(G467="[FÓRMULA MANUAL]","",IFERROR(AVERAGEIFS(DATOS!$K$2:$K$20000,DATOS!$A$2:$A$20000,G467,DATOS!$G$2:$G$20000,CONFIG_METADATA!$B$4,DATOS!$I$2:$I$20000,"Conjunto"),"")))</f>
        <v/>
      </c>
      <c r="K467" t="str">
        <f>IF(G467="","",IF(G467="[FÓRMULA MANUAL]","",IFERROR(SUMPRODUCT((DATOS!$A$2:$A$20000=G467)*(DATOS!$G$2:$G$20000=CONFIG_METADATA!$B$4)*(COUNTIF(CONFIG_ASIGNATURAS!$B$7:$B$27,DATOS!$I$2:$I$20000)&gt;0)*(DATOS!$K$2:$K$20000))/SUMPRODUCT((DATOS!$A$2:$A$20000=G467)*(DATOS!$G$2:$G$20000=CONFIG_METADATA!$B$4)*(COUNTIF(CONFIG_ASIGNATURAS!$B$7:$B$27,DATOS!$I$2:$I$20000)&gt;0)*1),"")))</f>
        <v/>
      </c>
      <c r="N467" t="str">
        <f>IF(M467="","",IF(M467="[FÓRMULA MANUAL]","",IFERROR(AVERAGEIFS(DATOS!$K$2:$K$20000,DATOS!$A$2:$A$20000,M467,DATOS!$G$2:$G$20000,CONFIG_METADATA!$B$4,DATOS!$I$2:$I$20000,"Armonía"),"")))</f>
        <v/>
      </c>
      <c r="O467" t="str">
        <f>IF(M467="","",IF(M467="[FÓRMULA MANUAL]","",IFERROR(AVERAGEIFS(DATOS!$K$2:$K$20000,DATOS!$A$2:$A$20000,M467,DATOS!$G$2:$G$20000,CONFIG_METADATA!$B$4,DATOS!$I$2:$I$20000,"Orquesta/Banda/Conjunto"),"")))</f>
        <v/>
      </c>
      <c r="P467" t="str">
        <f>IF(M467="","",IF(M467="[FÓRMULA MANUAL]","",IFERROR(AVERAGEIFS(DATOS!$K$2:$K$20000,DATOS!$A$2:$A$20000,M467,DATOS!$G$2:$G$20000,CONFIG_METADATA!$B$4,DATOS!$I$2:$I$20000,"Música de Cámara"),"")))</f>
        <v/>
      </c>
      <c r="Q467" t="str">
        <f>IF(M467="","",IF(M467="[FÓRMULA MANUAL]","",IFERROR(SUMPRODUCT((DATOS!$A$2:$A$20000=M467)*(DATOS!$G$2:$G$20000=CONFIG_METADATA!$B$4)*(COUNTIF(CONFIG_ASIGNATURAS!$B$7:$B$27,DATOS!$I$2:$I$20000)&gt;0)*(DATOS!$K$2:$K$20000))/SUMPRODUCT((DATOS!$A$2:$A$20000=M467)*(DATOS!$G$2:$G$20000=CONFIG_METADATA!$B$4)*(COUNTIF(CONFIG_ASIGNATURAS!$B$7:$B$27,DATOS!$I$2:$I$20000)&gt;0)*1),"")))</f>
        <v/>
      </c>
      <c r="T467" t="str">
        <f>IF(S467="","",IF(S467="[FÓRMULA MANUAL]","",IFERROR(AVERAGEIFS(DATOS!$K$2:$K$20000,DATOS!$A$2:$A$20000,S467,DATOS!$G$2:$G$20000,CONFIG_METADATA!$B$4,DATOS!$I$2:$I$20000,"Armonía"),"")))</f>
        <v/>
      </c>
      <c r="U467" t="str">
        <f>IF(S467="","",IF(S467="[FÓRMULA MANUAL]","",IFERROR(AVERAGEIFS(DATOS!$K$2:$K$20000,DATOS!$A$2:$A$20000,S467,DATOS!$G$2:$G$20000,CONFIG_METADATA!$B$4,DATOS!$I$2:$I$20000,"Orquesta/Banda/Conjunto"),"")))</f>
        <v/>
      </c>
      <c r="V467" t="str">
        <f>IF(S467="","",IF(S467="[FÓRMULA MANUAL]","",IFERROR(AVERAGEIFS(DATOS!$K$2:$K$20000,DATOS!$A$2:$A$20000,S467,DATOS!$G$2:$G$20000,CONFIG_METADATA!$B$4,DATOS!$I$2:$I$20000,"Música de Cámara"),"")))</f>
        <v/>
      </c>
      <c r="W467" t="str">
        <f>IF(S467="","",IF(S467="[FÓRMULA MANUAL]","",IFERROR(SUMPRODUCT((DATOS!$A$2:$A$20000=S467)*(DATOS!$G$2:$G$20000=CONFIG_METADATA!$B$4)*(COUNTIF(CONFIG_ASIGNATURAS!$B$7:$B$27,DATOS!$I$2:$I$20000)&gt;0)*(DATOS!$K$2:$K$20000))/SUMPRODUCT((DATOS!$A$2:$A$20000=S467)*(DATOS!$G$2:$G$20000=CONFIG_METADATA!$B$4)*(COUNTIF(CONFIG_ASIGNATURAS!$B$7:$B$27,DATOS!$I$2:$I$20000)&gt;0)*1),"")))</f>
        <v/>
      </c>
      <c r="Z467" t="str">
        <f>IF(Y467="","",IF(Y467="[FÓRMULA MANUAL]","",IFERROR(AVERAGEIFS(DATOS!$K$2:$K$20000,DATOS!$A$2:$A$20000,Y467,DATOS!$G$2:$G$20000,CONFIG_METADATA!$B$4,DATOS!$I$2:$I$20000,"Análisis"),"")))</f>
        <v/>
      </c>
      <c r="AA467" t="str">
        <f>IF(Y467="","",IF(Y467="[FÓRMULA MANUAL]","",IFERROR(AVERAGEIFS(DATOS!$K$2:$K$20000,DATOS!$A$2:$A$20000,Y467,DATOS!$G$2:$G$20000,CONFIG_METADATA!$B$4,DATOS!$I$2:$I$20000,"Orquesta/Banda/Conjunto"),"")))</f>
        <v/>
      </c>
      <c r="AB467" t="str">
        <f>IF(Y467="","",IF(Y467="[FÓRMULA MANUAL]","",IFERROR(AVERAGEIFS(DATOS!$K$2:$K$20000,DATOS!$A$2:$A$20000,Y467,DATOS!$G$2:$G$20000,CONFIG_METADATA!$B$4,DATOS!$I$2:$I$20000,"Música de Cámara"),"")))</f>
        <v/>
      </c>
      <c r="AC467" t="str">
        <f>IF(Y467="","",IF(Y467="[FÓRMULA MANUAL]","",IFERROR(SUMPRODUCT((DATOS!$A$2:$A$20000=Y467)*(DATOS!$G$2:$G$20000=CONFIG_METADATA!$B$4)*(COUNTIF(CONFIG_ASIGNATURAS!$B$7:$B$27,DATOS!$I$2:$I$20000)&gt;0)*(DATOS!$K$2:$K$20000))/SUMPRODUCT((DATOS!$A$2:$A$20000=Y467)*(DATOS!$G$2:$G$20000=CONFIG_METADATA!$B$4)*(COUNTIF(CONFIG_ASIGNATURAS!$B$7:$B$27,DATOS!$I$2:$I$20000)&gt;0)*1),"")))</f>
        <v/>
      </c>
      <c r="AF467" t="str">
        <f>IF(AE467="","",IF(AE467="[FÓRMULA MANUAL]","",IFERROR(AVERAGEIFS(DATOS!$K$2:$K$20000,DATOS!$A$2:$A$20000,AE467,DATOS!$G$2:$G$20000,CONFIG_METADATA!$B$4,DATOS!$I$2:$I$20000,"Análisis"),"")))</f>
        <v/>
      </c>
      <c r="AG467" t="str">
        <f>IF(AE467="","",IF(AE467="[FÓRMULA MANUAL]","",IFERROR(AVERAGEIFS(DATOS!$K$2:$K$20000,DATOS!$A$2:$A$20000,AE467,DATOS!$G$2:$G$20000,CONFIG_METADATA!$B$4,DATOS!$I$2:$I$20000,"Orquesta/Banda/Conjunto"),"")))</f>
        <v/>
      </c>
      <c r="AH467" t="str">
        <f>IF(AE467="","",IF(AE467="[FÓRMULA MANUAL]","",IFERROR(AVERAGEIFS(DATOS!$K$2:$K$20000,DATOS!$A$2:$A$20000,AE467,DATOS!$G$2:$G$20000,CONFIG_METADATA!$B$4,DATOS!$I$2:$I$20000,"Música de Cámara"),"")))</f>
        <v/>
      </c>
      <c r="AI467" t="str">
        <f>IF(AE467="","",IF(AE467="[FÓRMULA MANUAL]","",IFERROR(SUMPRODUCT((DATOS!$A$2:$A$20000=AE467)*(DATOS!$G$2:$G$20000=CONFIG_METADATA!$B$4)*(COUNTIF(CONFIG_ASIGNATURAS!$B$7:$B$27,DATOS!$I$2:$I$20000)&gt;0)*(DATOS!$K$2:$K$20000))/SUMPRODUCT((DATOS!$A$2:$A$20000=AE467)*(DATOS!$G$2:$G$20000=CONFIG_METADATA!$B$4)*(COUNTIF(CONFIG_ASIGNATURAS!$B$7:$B$27,DATOS!$I$2:$I$20000)&gt;0)*1),"")))</f>
        <v/>
      </c>
    </row>
    <row r="468" spans="2:35" x14ac:dyDescent="0.2">
      <c r="B468" t="str">
        <f>IF(A468="","",IF(A468="[FÓRMULA MANUAL]","",IFERROR(AVERAGEIFS(DATOS!$K$2:$K$20000,DATOS!$A$2:$A$20000,A468,DATOS!$G$2:$G$20000,CONFIG_METADATA!$B$4,DATOS!$I$2:$I$20000,"Lenguaje Musical"),"")))</f>
        <v/>
      </c>
      <c r="C468" t="str">
        <f>IF(A468="","",IF(A468="[FÓRMULA MANUAL]","",IFERROR(AVERAGEIFS(DATOS!$K$2:$K$20000,DATOS!$A$2:$A$20000,A468,DATOS!$G$2:$G$20000,CONFIG_METADATA!$B$4,DATOS!$I$2:$I$20000,"Orquesta/Banda/Conjunto"),"")))</f>
        <v/>
      </c>
      <c r="D468" t="str">
        <f>IF(A468="","",IF(A468="[FÓRMULA MANUAL]","",IFERROR(AVERAGEIFS(DATOS!$K$2:$K$20000,DATOS!$A$2:$A$20000,A468,DATOS!$G$2:$G$20000,CONFIG_METADATA!$B$4,DATOS!$I$2:$I$20000,"Conjunto"),"")))</f>
        <v/>
      </c>
      <c r="E468" t="str">
        <f>IF(A468="","",IF(A468="[FÓRMULA MANUAL]","",IFERROR(SUMPRODUCT((DATOS!$A$2:$A$20000=A468)*(DATOS!$G$2:$G$20000=CONFIG_METADATA!$B$4)*(COUNTIF(CONFIG_ASIGNATURAS!$B$7:$B$27,DATOS!$I$2:$I$20000)&gt;0)*(DATOS!$K$2:$K$20000))/SUMPRODUCT((DATOS!$A$2:$A$20000=A468)*(DATOS!$G$2:$G$20000=CONFIG_METADATA!$B$4)*(COUNTIF(CONFIG_ASIGNATURAS!$B$7:$B$27,DATOS!$I$2:$I$20000)&gt;0)*1),"")))</f>
        <v/>
      </c>
      <c r="H468" t="str">
        <f>IF(G468="","",IF(G468="[FÓRMULA MANUAL]","",IFERROR(AVERAGEIFS(DATOS!$K$2:$K$20000,DATOS!$A$2:$A$20000,G468,DATOS!$G$2:$G$20000,CONFIG_METADATA!$B$4,DATOS!$I$2:$I$20000,"Lenguaje Musical"),"")))</f>
        <v/>
      </c>
      <c r="I468" t="str">
        <f>IF(G468="","",IF(G468="[FÓRMULA MANUAL]","",IFERROR(AVERAGEIFS(DATOS!$K$2:$K$20000,DATOS!$A$2:$A$20000,G468,DATOS!$G$2:$G$20000,CONFIG_METADATA!$B$4,DATOS!$I$2:$I$20000,"Orquesta/Banda/Conjunto"),"")))</f>
        <v/>
      </c>
      <c r="J468" t="str">
        <f>IF(G468="","",IF(G468="[FÓRMULA MANUAL]","",IFERROR(AVERAGEIFS(DATOS!$K$2:$K$20000,DATOS!$A$2:$A$20000,G468,DATOS!$G$2:$G$20000,CONFIG_METADATA!$B$4,DATOS!$I$2:$I$20000,"Conjunto"),"")))</f>
        <v/>
      </c>
      <c r="K468" t="str">
        <f>IF(G468="","",IF(G468="[FÓRMULA MANUAL]","",IFERROR(SUMPRODUCT((DATOS!$A$2:$A$20000=G468)*(DATOS!$G$2:$G$20000=CONFIG_METADATA!$B$4)*(COUNTIF(CONFIG_ASIGNATURAS!$B$7:$B$27,DATOS!$I$2:$I$20000)&gt;0)*(DATOS!$K$2:$K$20000))/SUMPRODUCT((DATOS!$A$2:$A$20000=G468)*(DATOS!$G$2:$G$20000=CONFIG_METADATA!$B$4)*(COUNTIF(CONFIG_ASIGNATURAS!$B$7:$B$27,DATOS!$I$2:$I$20000)&gt;0)*1),"")))</f>
        <v/>
      </c>
      <c r="N468" t="str">
        <f>IF(M468="","",IF(M468="[FÓRMULA MANUAL]","",IFERROR(AVERAGEIFS(DATOS!$K$2:$K$20000,DATOS!$A$2:$A$20000,M468,DATOS!$G$2:$G$20000,CONFIG_METADATA!$B$4,DATOS!$I$2:$I$20000,"Armonía"),"")))</f>
        <v/>
      </c>
      <c r="O468" t="str">
        <f>IF(M468="","",IF(M468="[FÓRMULA MANUAL]","",IFERROR(AVERAGEIFS(DATOS!$K$2:$K$20000,DATOS!$A$2:$A$20000,M468,DATOS!$G$2:$G$20000,CONFIG_METADATA!$B$4,DATOS!$I$2:$I$20000,"Orquesta/Banda/Conjunto"),"")))</f>
        <v/>
      </c>
      <c r="P468" t="str">
        <f>IF(M468="","",IF(M468="[FÓRMULA MANUAL]","",IFERROR(AVERAGEIFS(DATOS!$K$2:$K$20000,DATOS!$A$2:$A$20000,M468,DATOS!$G$2:$G$20000,CONFIG_METADATA!$B$4,DATOS!$I$2:$I$20000,"Música de Cámara"),"")))</f>
        <v/>
      </c>
      <c r="Q468" t="str">
        <f>IF(M468="","",IF(M468="[FÓRMULA MANUAL]","",IFERROR(SUMPRODUCT((DATOS!$A$2:$A$20000=M468)*(DATOS!$G$2:$G$20000=CONFIG_METADATA!$B$4)*(COUNTIF(CONFIG_ASIGNATURAS!$B$7:$B$27,DATOS!$I$2:$I$20000)&gt;0)*(DATOS!$K$2:$K$20000))/SUMPRODUCT((DATOS!$A$2:$A$20000=M468)*(DATOS!$G$2:$G$20000=CONFIG_METADATA!$B$4)*(COUNTIF(CONFIG_ASIGNATURAS!$B$7:$B$27,DATOS!$I$2:$I$20000)&gt;0)*1),"")))</f>
        <v/>
      </c>
      <c r="T468" t="str">
        <f>IF(S468="","",IF(S468="[FÓRMULA MANUAL]","",IFERROR(AVERAGEIFS(DATOS!$K$2:$K$20000,DATOS!$A$2:$A$20000,S468,DATOS!$G$2:$G$20000,CONFIG_METADATA!$B$4,DATOS!$I$2:$I$20000,"Armonía"),"")))</f>
        <v/>
      </c>
      <c r="U468" t="str">
        <f>IF(S468="","",IF(S468="[FÓRMULA MANUAL]","",IFERROR(AVERAGEIFS(DATOS!$K$2:$K$20000,DATOS!$A$2:$A$20000,S468,DATOS!$G$2:$G$20000,CONFIG_METADATA!$B$4,DATOS!$I$2:$I$20000,"Orquesta/Banda/Conjunto"),"")))</f>
        <v/>
      </c>
      <c r="V468" t="str">
        <f>IF(S468="","",IF(S468="[FÓRMULA MANUAL]","",IFERROR(AVERAGEIFS(DATOS!$K$2:$K$20000,DATOS!$A$2:$A$20000,S468,DATOS!$G$2:$G$20000,CONFIG_METADATA!$B$4,DATOS!$I$2:$I$20000,"Música de Cámara"),"")))</f>
        <v/>
      </c>
      <c r="W468" t="str">
        <f>IF(S468="","",IF(S468="[FÓRMULA MANUAL]","",IFERROR(SUMPRODUCT((DATOS!$A$2:$A$20000=S468)*(DATOS!$G$2:$G$20000=CONFIG_METADATA!$B$4)*(COUNTIF(CONFIG_ASIGNATURAS!$B$7:$B$27,DATOS!$I$2:$I$20000)&gt;0)*(DATOS!$K$2:$K$20000))/SUMPRODUCT((DATOS!$A$2:$A$20000=S468)*(DATOS!$G$2:$G$20000=CONFIG_METADATA!$B$4)*(COUNTIF(CONFIG_ASIGNATURAS!$B$7:$B$27,DATOS!$I$2:$I$20000)&gt;0)*1),"")))</f>
        <v/>
      </c>
      <c r="Z468" t="str">
        <f>IF(Y468="","",IF(Y468="[FÓRMULA MANUAL]","",IFERROR(AVERAGEIFS(DATOS!$K$2:$K$20000,DATOS!$A$2:$A$20000,Y468,DATOS!$G$2:$G$20000,CONFIG_METADATA!$B$4,DATOS!$I$2:$I$20000,"Análisis"),"")))</f>
        <v/>
      </c>
      <c r="AA468" t="str">
        <f>IF(Y468="","",IF(Y468="[FÓRMULA MANUAL]","",IFERROR(AVERAGEIFS(DATOS!$K$2:$K$20000,DATOS!$A$2:$A$20000,Y468,DATOS!$G$2:$G$20000,CONFIG_METADATA!$B$4,DATOS!$I$2:$I$20000,"Orquesta/Banda/Conjunto"),"")))</f>
        <v/>
      </c>
      <c r="AB468" t="str">
        <f>IF(Y468="","",IF(Y468="[FÓRMULA MANUAL]","",IFERROR(AVERAGEIFS(DATOS!$K$2:$K$20000,DATOS!$A$2:$A$20000,Y468,DATOS!$G$2:$G$20000,CONFIG_METADATA!$B$4,DATOS!$I$2:$I$20000,"Música de Cámara"),"")))</f>
        <v/>
      </c>
      <c r="AC468" t="str">
        <f>IF(Y468="","",IF(Y468="[FÓRMULA MANUAL]","",IFERROR(SUMPRODUCT((DATOS!$A$2:$A$20000=Y468)*(DATOS!$G$2:$G$20000=CONFIG_METADATA!$B$4)*(COUNTIF(CONFIG_ASIGNATURAS!$B$7:$B$27,DATOS!$I$2:$I$20000)&gt;0)*(DATOS!$K$2:$K$20000))/SUMPRODUCT((DATOS!$A$2:$A$20000=Y468)*(DATOS!$G$2:$G$20000=CONFIG_METADATA!$B$4)*(COUNTIF(CONFIG_ASIGNATURAS!$B$7:$B$27,DATOS!$I$2:$I$20000)&gt;0)*1),"")))</f>
        <v/>
      </c>
      <c r="AF468" t="str">
        <f>IF(AE468="","",IF(AE468="[FÓRMULA MANUAL]","",IFERROR(AVERAGEIFS(DATOS!$K$2:$K$20000,DATOS!$A$2:$A$20000,AE468,DATOS!$G$2:$G$20000,CONFIG_METADATA!$B$4,DATOS!$I$2:$I$20000,"Análisis"),"")))</f>
        <v/>
      </c>
      <c r="AG468" t="str">
        <f>IF(AE468="","",IF(AE468="[FÓRMULA MANUAL]","",IFERROR(AVERAGEIFS(DATOS!$K$2:$K$20000,DATOS!$A$2:$A$20000,AE468,DATOS!$G$2:$G$20000,CONFIG_METADATA!$B$4,DATOS!$I$2:$I$20000,"Orquesta/Banda/Conjunto"),"")))</f>
        <v/>
      </c>
      <c r="AH468" t="str">
        <f>IF(AE468="","",IF(AE468="[FÓRMULA MANUAL]","",IFERROR(AVERAGEIFS(DATOS!$K$2:$K$20000,DATOS!$A$2:$A$20000,AE468,DATOS!$G$2:$G$20000,CONFIG_METADATA!$B$4,DATOS!$I$2:$I$20000,"Música de Cámara"),"")))</f>
        <v/>
      </c>
      <c r="AI468" t="str">
        <f>IF(AE468="","",IF(AE468="[FÓRMULA MANUAL]","",IFERROR(SUMPRODUCT((DATOS!$A$2:$A$20000=AE468)*(DATOS!$G$2:$G$20000=CONFIG_METADATA!$B$4)*(COUNTIF(CONFIG_ASIGNATURAS!$B$7:$B$27,DATOS!$I$2:$I$20000)&gt;0)*(DATOS!$K$2:$K$20000))/SUMPRODUCT((DATOS!$A$2:$A$20000=AE468)*(DATOS!$G$2:$G$20000=CONFIG_METADATA!$B$4)*(COUNTIF(CONFIG_ASIGNATURAS!$B$7:$B$27,DATOS!$I$2:$I$20000)&gt;0)*1),"")))</f>
        <v/>
      </c>
    </row>
    <row r="469" spans="2:35" x14ac:dyDescent="0.2">
      <c r="B469" t="str">
        <f>IF(A469="","",IF(A469="[FÓRMULA MANUAL]","",IFERROR(AVERAGEIFS(DATOS!$K$2:$K$20000,DATOS!$A$2:$A$20000,A469,DATOS!$G$2:$G$20000,CONFIG_METADATA!$B$4,DATOS!$I$2:$I$20000,"Lenguaje Musical"),"")))</f>
        <v/>
      </c>
      <c r="C469" t="str">
        <f>IF(A469="","",IF(A469="[FÓRMULA MANUAL]","",IFERROR(AVERAGEIFS(DATOS!$K$2:$K$20000,DATOS!$A$2:$A$20000,A469,DATOS!$G$2:$G$20000,CONFIG_METADATA!$B$4,DATOS!$I$2:$I$20000,"Orquesta/Banda/Conjunto"),"")))</f>
        <v/>
      </c>
      <c r="D469" t="str">
        <f>IF(A469="","",IF(A469="[FÓRMULA MANUAL]","",IFERROR(AVERAGEIFS(DATOS!$K$2:$K$20000,DATOS!$A$2:$A$20000,A469,DATOS!$G$2:$G$20000,CONFIG_METADATA!$B$4,DATOS!$I$2:$I$20000,"Conjunto"),"")))</f>
        <v/>
      </c>
      <c r="E469" t="str">
        <f>IF(A469="","",IF(A469="[FÓRMULA MANUAL]","",IFERROR(SUMPRODUCT((DATOS!$A$2:$A$20000=A469)*(DATOS!$G$2:$G$20000=CONFIG_METADATA!$B$4)*(COUNTIF(CONFIG_ASIGNATURAS!$B$7:$B$27,DATOS!$I$2:$I$20000)&gt;0)*(DATOS!$K$2:$K$20000))/SUMPRODUCT((DATOS!$A$2:$A$20000=A469)*(DATOS!$G$2:$G$20000=CONFIG_METADATA!$B$4)*(COUNTIF(CONFIG_ASIGNATURAS!$B$7:$B$27,DATOS!$I$2:$I$20000)&gt;0)*1),"")))</f>
        <v/>
      </c>
      <c r="H469" t="str">
        <f>IF(G469="","",IF(G469="[FÓRMULA MANUAL]","",IFERROR(AVERAGEIFS(DATOS!$K$2:$K$20000,DATOS!$A$2:$A$20000,G469,DATOS!$G$2:$G$20000,CONFIG_METADATA!$B$4,DATOS!$I$2:$I$20000,"Lenguaje Musical"),"")))</f>
        <v/>
      </c>
      <c r="I469" t="str">
        <f>IF(G469="","",IF(G469="[FÓRMULA MANUAL]","",IFERROR(AVERAGEIFS(DATOS!$K$2:$K$20000,DATOS!$A$2:$A$20000,G469,DATOS!$G$2:$G$20000,CONFIG_METADATA!$B$4,DATOS!$I$2:$I$20000,"Orquesta/Banda/Conjunto"),"")))</f>
        <v/>
      </c>
      <c r="J469" t="str">
        <f>IF(G469="","",IF(G469="[FÓRMULA MANUAL]","",IFERROR(AVERAGEIFS(DATOS!$K$2:$K$20000,DATOS!$A$2:$A$20000,G469,DATOS!$G$2:$G$20000,CONFIG_METADATA!$B$4,DATOS!$I$2:$I$20000,"Conjunto"),"")))</f>
        <v/>
      </c>
      <c r="K469" t="str">
        <f>IF(G469="","",IF(G469="[FÓRMULA MANUAL]","",IFERROR(SUMPRODUCT((DATOS!$A$2:$A$20000=G469)*(DATOS!$G$2:$G$20000=CONFIG_METADATA!$B$4)*(COUNTIF(CONFIG_ASIGNATURAS!$B$7:$B$27,DATOS!$I$2:$I$20000)&gt;0)*(DATOS!$K$2:$K$20000))/SUMPRODUCT((DATOS!$A$2:$A$20000=G469)*(DATOS!$G$2:$G$20000=CONFIG_METADATA!$B$4)*(COUNTIF(CONFIG_ASIGNATURAS!$B$7:$B$27,DATOS!$I$2:$I$20000)&gt;0)*1),"")))</f>
        <v/>
      </c>
      <c r="N469" t="str">
        <f>IF(M469="","",IF(M469="[FÓRMULA MANUAL]","",IFERROR(AVERAGEIFS(DATOS!$K$2:$K$20000,DATOS!$A$2:$A$20000,M469,DATOS!$G$2:$G$20000,CONFIG_METADATA!$B$4,DATOS!$I$2:$I$20000,"Armonía"),"")))</f>
        <v/>
      </c>
      <c r="O469" t="str">
        <f>IF(M469="","",IF(M469="[FÓRMULA MANUAL]","",IFERROR(AVERAGEIFS(DATOS!$K$2:$K$20000,DATOS!$A$2:$A$20000,M469,DATOS!$G$2:$G$20000,CONFIG_METADATA!$B$4,DATOS!$I$2:$I$20000,"Orquesta/Banda/Conjunto"),"")))</f>
        <v/>
      </c>
      <c r="P469" t="str">
        <f>IF(M469="","",IF(M469="[FÓRMULA MANUAL]","",IFERROR(AVERAGEIFS(DATOS!$K$2:$K$20000,DATOS!$A$2:$A$20000,M469,DATOS!$G$2:$G$20000,CONFIG_METADATA!$B$4,DATOS!$I$2:$I$20000,"Música de Cámara"),"")))</f>
        <v/>
      </c>
      <c r="Q469" t="str">
        <f>IF(M469="","",IF(M469="[FÓRMULA MANUAL]","",IFERROR(SUMPRODUCT((DATOS!$A$2:$A$20000=M469)*(DATOS!$G$2:$G$20000=CONFIG_METADATA!$B$4)*(COUNTIF(CONFIG_ASIGNATURAS!$B$7:$B$27,DATOS!$I$2:$I$20000)&gt;0)*(DATOS!$K$2:$K$20000))/SUMPRODUCT((DATOS!$A$2:$A$20000=M469)*(DATOS!$G$2:$G$20000=CONFIG_METADATA!$B$4)*(COUNTIF(CONFIG_ASIGNATURAS!$B$7:$B$27,DATOS!$I$2:$I$20000)&gt;0)*1),"")))</f>
        <v/>
      </c>
      <c r="T469" t="str">
        <f>IF(S469="","",IF(S469="[FÓRMULA MANUAL]","",IFERROR(AVERAGEIFS(DATOS!$K$2:$K$20000,DATOS!$A$2:$A$20000,S469,DATOS!$G$2:$G$20000,CONFIG_METADATA!$B$4,DATOS!$I$2:$I$20000,"Armonía"),"")))</f>
        <v/>
      </c>
      <c r="U469" t="str">
        <f>IF(S469="","",IF(S469="[FÓRMULA MANUAL]","",IFERROR(AVERAGEIFS(DATOS!$K$2:$K$20000,DATOS!$A$2:$A$20000,S469,DATOS!$G$2:$G$20000,CONFIG_METADATA!$B$4,DATOS!$I$2:$I$20000,"Orquesta/Banda/Conjunto"),"")))</f>
        <v/>
      </c>
      <c r="V469" t="str">
        <f>IF(S469="","",IF(S469="[FÓRMULA MANUAL]","",IFERROR(AVERAGEIFS(DATOS!$K$2:$K$20000,DATOS!$A$2:$A$20000,S469,DATOS!$G$2:$G$20000,CONFIG_METADATA!$B$4,DATOS!$I$2:$I$20000,"Música de Cámara"),"")))</f>
        <v/>
      </c>
      <c r="W469" t="str">
        <f>IF(S469="","",IF(S469="[FÓRMULA MANUAL]","",IFERROR(SUMPRODUCT((DATOS!$A$2:$A$20000=S469)*(DATOS!$G$2:$G$20000=CONFIG_METADATA!$B$4)*(COUNTIF(CONFIG_ASIGNATURAS!$B$7:$B$27,DATOS!$I$2:$I$20000)&gt;0)*(DATOS!$K$2:$K$20000))/SUMPRODUCT((DATOS!$A$2:$A$20000=S469)*(DATOS!$G$2:$G$20000=CONFIG_METADATA!$B$4)*(COUNTIF(CONFIG_ASIGNATURAS!$B$7:$B$27,DATOS!$I$2:$I$20000)&gt;0)*1),"")))</f>
        <v/>
      </c>
      <c r="Z469" t="str">
        <f>IF(Y469="","",IF(Y469="[FÓRMULA MANUAL]","",IFERROR(AVERAGEIFS(DATOS!$K$2:$K$20000,DATOS!$A$2:$A$20000,Y469,DATOS!$G$2:$G$20000,CONFIG_METADATA!$B$4,DATOS!$I$2:$I$20000,"Análisis"),"")))</f>
        <v/>
      </c>
      <c r="AA469" t="str">
        <f>IF(Y469="","",IF(Y469="[FÓRMULA MANUAL]","",IFERROR(AVERAGEIFS(DATOS!$K$2:$K$20000,DATOS!$A$2:$A$20000,Y469,DATOS!$G$2:$G$20000,CONFIG_METADATA!$B$4,DATOS!$I$2:$I$20000,"Orquesta/Banda/Conjunto"),"")))</f>
        <v/>
      </c>
      <c r="AB469" t="str">
        <f>IF(Y469="","",IF(Y469="[FÓRMULA MANUAL]","",IFERROR(AVERAGEIFS(DATOS!$K$2:$K$20000,DATOS!$A$2:$A$20000,Y469,DATOS!$G$2:$G$20000,CONFIG_METADATA!$B$4,DATOS!$I$2:$I$20000,"Música de Cámara"),"")))</f>
        <v/>
      </c>
      <c r="AC469" t="str">
        <f>IF(Y469="","",IF(Y469="[FÓRMULA MANUAL]","",IFERROR(SUMPRODUCT((DATOS!$A$2:$A$20000=Y469)*(DATOS!$G$2:$G$20000=CONFIG_METADATA!$B$4)*(COUNTIF(CONFIG_ASIGNATURAS!$B$7:$B$27,DATOS!$I$2:$I$20000)&gt;0)*(DATOS!$K$2:$K$20000))/SUMPRODUCT((DATOS!$A$2:$A$20000=Y469)*(DATOS!$G$2:$G$20000=CONFIG_METADATA!$B$4)*(COUNTIF(CONFIG_ASIGNATURAS!$B$7:$B$27,DATOS!$I$2:$I$20000)&gt;0)*1),"")))</f>
        <v/>
      </c>
      <c r="AF469" t="str">
        <f>IF(AE469="","",IF(AE469="[FÓRMULA MANUAL]","",IFERROR(AVERAGEIFS(DATOS!$K$2:$K$20000,DATOS!$A$2:$A$20000,AE469,DATOS!$G$2:$G$20000,CONFIG_METADATA!$B$4,DATOS!$I$2:$I$20000,"Análisis"),"")))</f>
        <v/>
      </c>
      <c r="AG469" t="str">
        <f>IF(AE469="","",IF(AE469="[FÓRMULA MANUAL]","",IFERROR(AVERAGEIFS(DATOS!$K$2:$K$20000,DATOS!$A$2:$A$20000,AE469,DATOS!$G$2:$G$20000,CONFIG_METADATA!$B$4,DATOS!$I$2:$I$20000,"Orquesta/Banda/Conjunto"),"")))</f>
        <v/>
      </c>
      <c r="AH469" t="str">
        <f>IF(AE469="","",IF(AE469="[FÓRMULA MANUAL]","",IFERROR(AVERAGEIFS(DATOS!$K$2:$K$20000,DATOS!$A$2:$A$20000,AE469,DATOS!$G$2:$G$20000,CONFIG_METADATA!$B$4,DATOS!$I$2:$I$20000,"Música de Cámara"),"")))</f>
        <v/>
      </c>
      <c r="AI469" t="str">
        <f>IF(AE469="","",IF(AE469="[FÓRMULA MANUAL]","",IFERROR(SUMPRODUCT((DATOS!$A$2:$A$20000=AE469)*(DATOS!$G$2:$G$20000=CONFIG_METADATA!$B$4)*(COUNTIF(CONFIG_ASIGNATURAS!$B$7:$B$27,DATOS!$I$2:$I$20000)&gt;0)*(DATOS!$K$2:$K$20000))/SUMPRODUCT((DATOS!$A$2:$A$20000=AE469)*(DATOS!$G$2:$G$20000=CONFIG_METADATA!$B$4)*(COUNTIF(CONFIG_ASIGNATURAS!$B$7:$B$27,DATOS!$I$2:$I$20000)&gt;0)*1),"")))</f>
        <v/>
      </c>
    </row>
    <row r="470" spans="2:35" x14ac:dyDescent="0.2">
      <c r="B470" t="str">
        <f>IF(A470="","",IF(A470="[FÓRMULA MANUAL]","",IFERROR(AVERAGEIFS(DATOS!$K$2:$K$20000,DATOS!$A$2:$A$20000,A470,DATOS!$G$2:$G$20000,CONFIG_METADATA!$B$4,DATOS!$I$2:$I$20000,"Lenguaje Musical"),"")))</f>
        <v/>
      </c>
      <c r="C470" t="str">
        <f>IF(A470="","",IF(A470="[FÓRMULA MANUAL]","",IFERROR(AVERAGEIFS(DATOS!$K$2:$K$20000,DATOS!$A$2:$A$20000,A470,DATOS!$G$2:$G$20000,CONFIG_METADATA!$B$4,DATOS!$I$2:$I$20000,"Orquesta/Banda/Conjunto"),"")))</f>
        <v/>
      </c>
      <c r="D470" t="str">
        <f>IF(A470="","",IF(A470="[FÓRMULA MANUAL]","",IFERROR(AVERAGEIFS(DATOS!$K$2:$K$20000,DATOS!$A$2:$A$20000,A470,DATOS!$G$2:$G$20000,CONFIG_METADATA!$B$4,DATOS!$I$2:$I$20000,"Conjunto"),"")))</f>
        <v/>
      </c>
      <c r="E470" t="str">
        <f>IF(A470="","",IF(A470="[FÓRMULA MANUAL]","",IFERROR(SUMPRODUCT((DATOS!$A$2:$A$20000=A470)*(DATOS!$G$2:$G$20000=CONFIG_METADATA!$B$4)*(COUNTIF(CONFIG_ASIGNATURAS!$B$7:$B$27,DATOS!$I$2:$I$20000)&gt;0)*(DATOS!$K$2:$K$20000))/SUMPRODUCT((DATOS!$A$2:$A$20000=A470)*(DATOS!$G$2:$G$20000=CONFIG_METADATA!$B$4)*(COUNTIF(CONFIG_ASIGNATURAS!$B$7:$B$27,DATOS!$I$2:$I$20000)&gt;0)*1),"")))</f>
        <v/>
      </c>
      <c r="H470" t="str">
        <f>IF(G470="","",IF(G470="[FÓRMULA MANUAL]","",IFERROR(AVERAGEIFS(DATOS!$K$2:$K$20000,DATOS!$A$2:$A$20000,G470,DATOS!$G$2:$G$20000,CONFIG_METADATA!$B$4,DATOS!$I$2:$I$20000,"Lenguaje Musical"),"")))</f>
        <v/>
      </c>
      <c r="I470" t="str">
        <f>IF(G470="","",IF(G470="[FÓRMULA MANUAL]","",IFERROR(AVERAGEIFS(DATOS!$K$2:$K$20000,DATOS!$A$2:$A$20000,G470,DATOS!$G$2:$G$20000,CONFIG_METADATA!$B$4,DATOS!$I$2:$I$20000,"Orquesta/Banda/Conjunto"),"")))</f>
        <v/>
      </c>
      <c r="J470" t="str">
        <f>IF(G470="","",IF(G470="[FÓRMULA MANUAL]","",IFERROR(AVERAGEIFS(DATOS!$K$2:$K$20000,DATOS!$A$2:$A$20000,G470,DATOS!$G$2:$G$20000,CONFIG_METADATA!$B$4,DATOS!$I$2:$I$20000,"Conjunto"),"")))</f>
        <v/>
      </c>
      <c r="K470" t="str">
        <f>IF(G470="","",IF(G470="[FÓRMULA MANUAL]","",IFERROR(SUMPRODUCT((DATOS!$A$2:$A$20000=G470)*(DATOS!$G$2:$G$20000=CONFIG_METADATA!$B$4)*(COUNTIF(CONFIG_ASIGNATURAS!$B$7:$B$27,DATOS!$I$2:$I$20000)&gt;0)*(DATOS!$K$2:$K$20000))/SUMPRODUCT((DATOS!$A$2:$A$20000=G470)*(DATOS!$G$2:$G$20000=CONFIG_METADATA!$B$4)*(COUNTIF(CONFIG_ASIGNATURAS!$B$7:$B$27,DATOS!$I$2:$I$20000)&gt;0)*1),"")))</f>
        <v/>
      </c>
      <c r="N470" t="str">
        <f>IF(M470="","",IF(M470="[FÓRMULA MANUAL]","",IFERROR(AVERAGEIFS(DATOS!$K$2:$K$20000,DATOS!$A$2:$A$20000,M470,DATOS!$G$2:$G$20000,CONFIG_METADATA!$B$4,DATOS!$I$2:$I$20000,"Armonía"),"")))</f>
        <v/>
      </c>
      <c r="O470" t="str">
        <f>IF(M470="","",IF(M470="[FÓRMULA MANUAL]","",IFERROR(AVERAGEIFS(DATOS!$K$2:$K$20000,DATOS!$A$2:$A$20000,M470,DATOS!$G$2:$G$20000,CONFIG_METADATA!$B$4,DATOS!$I$2:$I$20000,"Orquesta/Banda/Conjunto"),"")))</f>
        <v/>
      </c>
      <c r="P470" t="str">
        <f>IF(M470="","",IF(M470="[FÓRMULA MANUAL]","",IFERROR(AVERAGEIFS(DATOS!$K$2:$K$20000,DATOS!$A$2:$A$20000,M470,DATOS!$G$2:$G$20000,CONFIG_METADATA!$B$4,DATOS!$I$2:$I$20000,"Música de Cámara"),"")))</f>
        <v/>
      </c>
      <c r="Q470" t="str">
        <f>IF(M470="","",IF(M470="[FÓRMULA MANUAL]","",IFERROR(SUMPRODUCT((DATOS!$A$2:$A$20000=M470)*(DATOS!$G$2:$G$20000=CONFIG_METADATA!$B$4)*(COUNTIF(CONFIG_ASIGNATURAS!$B$7:$B$27,DATOS!$I$2:$I$20000)&gt;0)*(DATOS!$K$2:$K$20000))/SUMPRODUCT((DATOS!$A$2:$A$20000=M470)*(DATOS!$G$2:$G$20000=CONFIG_METADATA!$B$4)*(COUNTIF(CONFIG_ASIGNATURAS!$B$7:$B$27,DATOS!$I$2:$I$20000)&gt;0)*1),"")))</f>
        <v/>
      </c>
      <c r="T470" t="str">
        <f>IF(S470="","",IF(S470="[FÓRMULA MANUAL]","",IFERROR(AVERAGEIFS(DATOS!$K$2:$K$20000,DATOS!$A$2:$A$20000,S470,DATOS!$G$2:$G$20000,CONFIG_METADATA!$B$4,DATOS!$I$2:$I$20000,"Armonía"),"")))</f>
        <v/>
      </c>
      <c r="U470" t="str">
        <f>IF(S470="","",IF(S470="[FÓRMULA MANUAL]","",IFERROR(AVERAGEIFS(DATOS!$K$2:$K$20000,DATOS!$A$2:$A$20000,S470,DATOS!$G$2:$G$20000,CONFIG_METADATA!$B$4,DATOS!$I$2:$I$20000,"Orquesta/Banda/Conjunto"),"")))</f>
        <v/>
      </c>
      <c r="V470" t="str">
        <f>IF(S470="","",IF(S470="[FÓRMULA MANUAL]","",IFERROR(AVERAGEIFS(DATOS!$K$2:$K$20000,DATOS!$A$2:$A$20000,S470,DATOS!$G$2:$G$20000,CONFIG_METADATA!$B$4,DATOS!$I$2:$I$20000,"Música de Cámara"),"")))</f>
        <v/>
      </c>
      <c r="W470" t="str">
        <f>IF(S470="","",IF(S470="[FÓRMULA MANUAL]","",IFERROR(SUMPRODUCT((DATOS!$A$2:$A$20000=S470)*(DATOS!$G$2:$G$20000=CONFIG_METADATA!$B$4)*(COUNTIF(CONFIG_ASIGNATURAS!$B$7:$B$27,DATOS!$I$2:$I$20000)&gt;0)*(DATOS!$K$2:$K$20000))/SUMPRODUCT((DATOS!$A$2:$A$20000=S470)*(DATOS!$G$2:$G$20000=CONFIG_METADATA!$B$4)*(COUNTIF(CONFIG_ASIGNATURAS!$B$7:$B$27,DATOS!$I$2:$I$20000)&gt;0)*1),"")))</f>
        <v/>
      </c>
      <c r="Z470" t="str">
        <f>IF(Y470="","",IF(Y470="[FÓRMULA MANUAL]","",IFERROR(AVERAGEIFS(DATOS!$K$2:$K$20000,DATOS!$A$2:$A$20000,Y470,DATOS!$G$2:$G$20000,CONFIG_METADATA!$B$4,DATOS!$I$2:$I$20000,"Análisis"),"")))</f>
        <v/>
      </c>
      <c r="AA470" t="str">
        <f>IF(Y470="","",IF(Y470="[FÓRMULA MANUAL]","",IFERROR(AVERAGEIFS(DATOS!$K$2:$K$20000,DATOS!$A$2:$A$20000,Y470,DATOS!$G$2:$G$20000,CONFIG_METADATA!$B$4,DATOS!$I$2:$I$20000,"Orquesta/Banda/Conjunto"),"")))</f>
        <v/>
      </c>
      <c r="AB470" t="str">
        <f>IF(Y470="","",IF(Y470="[FÓRMULA MANUAL]","",IFERROR(AVERAGEIFS(DATOS!$K$2:$K$20000,DATOS!$A$2:$A$20000,Y470,DATOS!$G$2:$G$20000,CONFIG_METADATA!$B$4,DATOS!$I$2:$I$20000,"Música de Cámara"),"")))</f>
        <v/>
      </c>
      <c r="AC470" t="str">
        <f>IF(Y470="","",IF(Y470="[FÓRMULA MANUAL]","",IFERROR(SUMPRODUCT((DATOS!$A$2:$A$20000=Y470)*(DATOS!$G$2:$G$20000=CONFIG_METADATA!$B$4)*(COUNTIF(CONFIG_ASIGNATURAS!$B$7:$B$27,DATOS!$I$2:$I$20000)&gt;0)*(DATOS!$K$2:$K$20000))/SUMPRODUCT((DATOS!$A$2:$A$20000=Y470)*(DATOS!$G$2:$G$20000=CONFIG_METADATA!$B$4)*(COUNTIF(CONFIG_ASIGNATURAS!$B$7:$B$27,DATOS!$I$2:$I$20000)&gt;0)*1),"")))</f>
        <v/>
      </c>
      <c r="AF470" t="str">
        <f>IF(AE470="","",IF(AE470="[FÓRMULA MANUAL]","",IFERROR(AVERAGEIFS(DATOS!$K$2:$K$20000,DATOS!$A$2:$A$20000,AE470,DATOS!$G$2:$G$20000,CONFIG_METADATA!$B$4,DATOS!$I$2:$I$20000,"Análisis"),"")))</f>
        <v/>
      </c>
      <c r="AG470" t="str">
        <f>IF(AE470="","",IF(AE470="[FÓRMULA MANUAL]","",IFERROR(AVERAGEIFS(DATOS!$K$2:$K$20000,DATOS!$A$2:$A$20000,AE470,DATOS!$G$2:$G$20000,CONFIG_METADATA!$B$4,DATOS!$I$2:$I$20000,"Orquesta/Banda/Conjunto"),"")))</f>
        <v/>
      </c>
      <c r="AH470" t="str">
        <f>IF(AE470="","",IF(AE470="[FÓRMULA MANUAL]","",IFERROR(AVERAGEIFS(DATOS!$K$2:$K$20000,DATOS!$A$2:$A$20000,AE470,DATOS!$G$2:$G$20000,CONFIG_METADATA!$B$4,DATOS!$I$2:$I$20000,"Música de Cámara"),"")))</f>
        <v/>
      </c>
      <c r="AI470" t="str">
        <f>IF(AE470="","",IF(AE470="[FÓRMULA MANUAL]","",IFERROR(SUMPRODUCT((DATOS!$A$2:$A$20000=AE470)*(DATOS!$G$2:$G$20000=CONFIG_METADATA!$B$4)*(COUNTIF(CONFIG_ASIGNATURAS!$B$7:$B$27,DATOS!$I$2:$I$20000)&gt;0)*(DATOS!$K$2:$K$20000))/SUMPRODUCT((DATOS!$A$2:$A$20000=AE470)*(DATOS!$G$2:$G$20000=CONFIG_METADATA!$B$4)*(COUNTIF(CONFIG_ASIGNATURAS!$B$7:$B$27,DATOS!$I$2:$I$20000)&gt;0)*1),"")))</f>
        <v/>
      </c>
    </row>
    <row r="471" spans="2:35" x14ac:dyDescent="0.2">
      <c r="B471" t="str">
        <f>IF(A471="","",IF(A471="[FÓRMULA MANUAL]","",IFERROR(AVERAGEIFS(DATOS!$K$2:$K$20000,DATOS!$A$2:$A$20000,A471,DATOS!$G$2:$G$20000,CONFIG_METADATA!$B$4,DATOS!$I$2:$I$20000,"Lenguaje Musical"),"")))</f>
        <v/>
      </c>
      <c r="C471" t="str">
        <f>IF(A471="","",IF(A471="[FÓRMULA MANUAL]","",IFERROR(AVERAGEIFS(DATOS!$K$2:$K$20000,DATOS!$A$2:$A$20000,A471,DATOS!$G$2:$G$20000,CONFIG_METADATA!$B$4,DATOS!$I$2:$I$20000,"Orquesta/Banda/Conjunto"),"")))</f>
        <v/>
      </c>
      <c r="D471" t="str">
        <f>IF(A471="","",IF(A471="[FÓRMULA MANUAL]","",IFERROR(AVERAGEIFS(DATOS!$K$2:$K$20000,DATOS!$A$2:$A$20000,A471,DATOS!$G$2:$G$20000,CONFIG_METADATA!$B$4,DATOS!$I$2:$I$20000,"Conjunto"),"")))</f>
        <v/>
      </c>
      <c r="E471" t="str">
        <f>IF(A471="","",IF(A471="[FÓRMULA MANUAL]","",IFERROR(SUMPRODUCT((DATOS!$A$2:$A$20000=A471)*(DATOS!$G$2:$G$20000=CONFIG_METADATA!$B$4)*(COUNTIF(CONFIG_ASIGNATURAS!$B$7:$B$27,DATOS!$I$2:$I$20000)&gt;0)*(DATOS!$K$2:$K$20000))/SUMPRODUCT((DATOS!$A$2:$A$20000=A471)*(DATOS!$G$2:$G$20000=CONFIG_METADATA!$B$4)*(COUNTIF(CONFIG_ASIGNATURAS!$B$7:$B$27,DATOS!$I$2:$I$20000)&gt;0)*1),"")))</f>
        <v/>
      </c>
      <c r="H471" t="str">
        <f>IF(G471="","",IF(G471="[FÓRMULA MANUAL]","",IFERROR(AVERAGEIFS(DATOS!$K$2:$K$20000,DATOS!$A$2:$A$20000,G471,DATOS!$G$2:$G$20000,CONFIG_METADATA!$B$4,DATOS!$I$2:$I$20000,"Lenguaje Musical"),"")))</f>
        <v/>
      </c>
      <c r="I471" t="str">
        <f>IF(G471="","",IF(G471="[FÓRMULA MANUAL]","",IFERROR(AVERAGEIFS(DATOS!$K$2:$K$20000,DATOS!$A$2:$A$20000,G471,DATOS!$G$2:$G$20000,CONFIG_METADATA!$B$4,DATOS!$I$2:$I$20000,"Orquesta/Banda/Conjunto"),"")))</f>
        <v/>
      </c>
      <c r="J471" t="str">
        <f>IF(G471="","",IF(G471="[FÓRMULA MANUAL]","",IFERROR(AVERAGEIFS(DATOS!$K$2:$K$20000,DATOS!$A$2:$A$20000,G471,DATOS!$G$2:$G$20000,CONFIG_METADATA!$B$4,DATOS!$I$2:$I$20000,"Conjunto"),"")))</f>
        <v/>
      </c>
      <c r="K471" t="str">
        <f>IF(G471="","",IF(G471="[FÓRMULA MANUAL]","",IFERROR(SUMPRODUCT((DATOS!$A$2:$A$20000=G471)*(DATOS!$G$2:$G$20000=CONFIG_METADATA!$B$4)*(COUNTIF(CONFIG_ASIGNATURAS!$B$7:$B$27,DATOS!$I$2:$I$20000)&gt;0)*(DATOS!$K$2:$K$20000))/SUMPRODUCT((DATOS!$A$2:$A$20000=G471)*(DATOS!$G$2:$G$20000=CONFIG_METADATA!$B$4)*(COUNTIF(CONFIG_ASIGNATURAS!$B$7:$B$27,DATOS!$I$2:$I$20000)&gt;0)*1),"")))</f>
        <v/>
      </c>
      <c r="N471" t="str">
        <f>IF(M471="","",IF(M471="[FÓRMULA MANUAL]","",IFERROR(AVERAGEIFS(DATOS!$K$2:$K$20000,DATOS!$A$2:$A$20000,M471,DATOS!$G$2:$G$20000,CONFIG_METADATA!$B$4,DATOS!$I$2:$I$20000,"Armonía"),"")))</f>
        <v/>
      </c>
      <c r="O471" t="str">
        <f>IF(M471="","",IF(M471="[FÓRMULA MANUAL]","",IFERROR(AVERAGEIFS(DATOS!$K$2:$K$20000,DATOS!$A$2:$A$20000,M471,DATOS!$G$2:$G$20000,CONFIG_METADATA!$B$4,DATOS!$I$2:$I$20000,"Orquesta/Banda/Conjunto"),"")))</f>
        <v/>
      </c>
      <c r="P471" t="str">
        <f>IF(M471="","",IF(M471="[FÓRMULA MANUAL]","",IFERROR(AVERAGEIFS(DATOS!$K$2:$K$20000,DATOS!$A$2:$A$20000,M471,DATOS!$G$2:$G$20000,CONFIG_METADATA!$B$4,DATOS!$I$2:$I$20000,"Música de Cámara"),"")))</f>
        <v/>
      </c>
      <c r="Q471" t="str">
        <f>IF(M471="","",IF(M471="[FÓRMULA MANUAL]","",IFERROR(SUMPRODUCT((DATOS!$A$2:$A$20000=M471)*(DATOS!$G$2:$G$20000=CONFIG_METADATA!$B$4)*(COUNTIF(CONFIG_ASIGNATURAS!$B$7:$B$27,DATOS!$I$2:$I$20000)&gt;0)*(DATOS!$K$2:$K$20000))/SUMPRODUCT((DATOS!$A$2:$A$20000=M471)*(DATOS!$G$2:$G$20000=CONFIG_METADATA!$B$4)*(COUNTIF(CONFIG_ASIGNATURAS!$B$7:$B$27,DATOS!$I$2:$I$20000)&gt;0)*1),"")))</f>
        <v/>
      </c>
      <c r="T471" t="str">
        <f>IF(S471="","",IF(S471="[FÓRMULA MANUAL]","",IFERROR(AVERAGEIFS(DATOS!$K$2:$K$20000,DATOS!$A$2:$A$20000,S471,DATOS!$G$2:$G$20000,CONFIG_METADATA!$B$4,DATOS!$I$2:$I$20000,"Armonía"),"")))</f>
        <v/>
      </c>
      <c r="U471" t="str">
        <f>IF(S471="","",IF(S471="[FÓRMULA MANUAL]","",IFERROR(AVERAGEIFS(DATOS!$K$2:$K$20000,DATOS!$A$2:$A$20000,S471,DATOS!$G$2:$G$20000,CONFIG_METADATA!$B$4,DATOS!$I$2:$I$20000,"Orquesta/Banda/Conjunto"),"")))</f>
        <v/>
      </c>
      <c r="V471" t="str">
        <f>IF(S471="","",IF(S471="[FÓRMULA MANUAL]","",IFERROR(AVERAGEIFS(DATOS!$K$2:$K$20000,DATOS!$A$2:$A$20000,S471,DATOS!$G$2:$G$20000,CONFIG_METADATA!$B$4,DATOS!$I$2:$I$20000,"Música de Cámara"),"")))</f>
        <v/>
      </c>
      <c r="W471" t="str">
        <f>IF(S471="","",IF(S471="[FÓRMULA MANUAL]","",IFERROR(SUMPRODUCT((DATOS!$A$2:$A$20000=S471)*(DATOS!$G$2:$G$20000=CONFIG_METADATA!$B$4)*(COUNTIF(CONFIG_ASIGNATURAS!$B$7:$B$27,DATOS!$I$2:$I$20000)&gt;0)*(DATOS!$K$2:$K$20000))/SUMPRODUCT((DATOS!$A$2:$A$20000=S471)*(DATOS!$G$2:$G$20000=CONFIG_METADATA!$B$4)*(COUNTIF(CONFIG_ASIGNATURAS!$B$7:$B$27,DATOS!$I$2:$I$20000)&gt;0)*1),"")))</f>
        <v/>
      </c>
      <c r="Z471" t="str">
        <f>IF(Y471="","",IF(Y471="[FÓRMULA MANUAL]","",IFERROR(AVERAGEIFS(DATOS!$K$2:$K$20000,DATOS!$A$2:$A$20000,Y471,DATOS!$G$2:$G$20000,CONFIG_METADATA!$B$4,DATOS!$I$2:$I$20000,"Análisis"),"")))</f>
        <v/>
      </c>
      <c r="AA471" t="str">
        <f>IF(Y471="","",IF(Y471="[FÓRMULA MANUAL]","",IFERROR(AVERAGEIFS(DATOS!$K$2:$K$20000,DATOS!$A$2:$A$20000,Y471,DATOS!$G$2:$G$20000,CONFIG_METADATA!$B$4,DATOS!$I$2:$I$20000,"Orquesta/Banda/Conjunto"),"")))</f>
        <v/>
      </c>
      <c r="AB471" t="str">
        <f>IF(Y471="","",IF(Y471="[FÓRMULA MANUAL]","",IFERROR(AVERAGEIFS(DATOS!$K$2:$K$20000,DATOS!$A$2:$A$20000,Y471,DATOS!$G$2:$G$20000,CONFIG_METADATA!$B$4,DATOS!$I$2:$I$20000,"Música de Cámara"),"")))</f>
        <v/>
      </c>
      <c r="AC471" t="str">
        <f>IF(Y471="","",IF(Y471="[FÓRMULA MANUAL]","",IFERROR(SUMPRODUCT((DATOS!$A$2:$A$20000=Y471)*(DATOS!$G$2:$G$20000=CONFIG_METADATA!$B$4)*(COUNTIF(CONFIG_ASIGNATURAS!$B$7:$B$27,DATOS!$I$2:$I$20000)&gt;0)*(DATOS!$K$2:$K$20000))/SUMPRODUCT((DATOS!$A$2:$A$20000=Y471)*(DATOS!$G$2:$G$20000=CONFIG_METADATA!$B$4)*(COUNTIF(CONFIG_ASIGNATURAS!$B$7:$B$27,DATOS!$I$2:$I$20000)&gt;0)*1),"")))</f>
        <v/>
      </c>
      <c r="AF471" t="str">
        <f>IF(AE471="","",IF(AE471="[FÓRMULA MANUAL]","",IFERROR(AVERAGEIFS(DATOS!$K$2:$K$20000,DATOS!$A$2:$A$20000,AE471,DATOS!$G$2:$G$20000,CONFIG_METADATA!$B$4,DATOS!$I$2:$I$20000,"Análisis"),"")))</f>
        <v/>
      </c>
      <c r="AG471" t="str">
        <f>IF(AE471="","",IF(AE471="[FÓRMULA MANUAL]","",IFERROR(AVERAGEIFS(DATOS!$K$2:$K$20000,DATOS!$A$2:$A$20000,AE471,DATOS!$G$2:$G$20000,CONFIG_METADATA!$B$4,DATOS!$I$2:$I$20000,"Orquesta/Banda/Conjunto"),"")))</f>
        <v/>
      </c>
      <c r="AH471" t="str">
        <f>IF(AE471="","",IF(AE471="[FÓRMULA MANUAL]","",IFERROR(AVERAGEIFS(DATOS!$K$2:$K$20000,DATOS!$A$2:$A$20000,AE471,DATOS!$G$2:$G$20000,CONFIG_METADATA!$B$4,DATOS!$I$2:$I$20000,"Música de Cámara"),"")))</f>
        <v/>
      </c>
      <c r="AI471" t="str">
        <f>IF(AE471="","",IF(AE471="[FÓRMULA MANUAL]","",IFERROR(SUMPRODUCT((DATOS!$A$2:$A$20000=AE471)*(DATOS!$G$2:$G$20000=CONFIG_METADATA!$B$4)*(COUNTIF(CONFIG_ASIGNATURAS!$B$7:$B$27,DATOS!$I$2:$I$20000)&gt;0)*(DATOS!$K$2:$K$20000))/SUMPRODUCT((DATOS!$A$2:$A$20000=AE471)*(DATOS!$G$2:$G$20000=CONFIG_METADATA!$B$4)*(COUNTIF(CONFIG_ASIGNATURAS!$B$7:$B$27,DATOS!$I$2:$I$20000)&gt;0)*1),"")))</f>
        <v/>
      </c>
    </row>
    <row r="472" spans="2:35" x14ac:dyDescent="0.2">
      <c r="B472" t="str">
        <f>IF(A472="","",IF(A472="[FÓRMULA MANUAL]","",IFERROR(AVERAGEIFS(DATOS!$K$2:$K$20000,DATOS!$A$2:$A$20000,A472,DATOS!$G$2:$G$20000,CONFIG_METADATA!$B$4,DATOS!$I$2:$I$20000,"Lenguaje Musical"),"")))</f>
        <v/>
      </c>
      <c r="C472" t="str">
        <f>IF(A472="","",IF(A472="[FÓRMULA MANUAL]","",IFERROR(AVERAGEIFS(DATOS!$K$2:$K$20000,DATOS!$A$2:$A$20000,A472,DATOS!$G$2:$G$20000,CONFIG_METADATA!$B$4,DATOS!$I$2:$I$20000,"Orquesta/Banda/Conjunto"),"")))</f>
        <v/>
      </c>
      <c r="D472" t="str">
        <f>IF(A472="","",IF(A472="[FÓRMULA MANUAL]","",IFERROR(AVERAGEIFS(DATOS!$K$2:$K$20000,DATOS!$A$2:$A$20000,A472,DATOS!$G$2:$G$20000,CONFIG_METADATA!$B$4,DATOS!$I$2:$I$20000,"Conjunto"),"")))</f>
        <v/>
      </c>
      <c r="E472" t="str">
        <f>IF(A472="","",IF(A472="[FÓRMULA MANUAL]","",IFERROR(SUMPRODUCT((DATOS!$A$2:$A$20000=A472)*(DATOS!$G$2:$G$20000=CONFIG_METADATA!$B$4)*(COUNTIF(CONFIG_ASIGNATURAS!$B$7:$B$27,DATOS!$I$2:$I$20000)&gt;0)*(DATOS!$K$2:$K$20000))/SUMPRODUCT((DATOS!$A$2:$A$20000=A472)*(DATOS!$G$2:$G$20000=CONFIG_METADATA!$B$4)*(COUNTIF(CONFIG_ASIGNATURAS!$B$7:$B$27,DATOS!$I$2:$I$20000)&gt;0)*1),"")))</f>
        <v/>
      </c>
      <c r="H472" t="str">
        <f>IF(G472="","",IF(G472="[FÓRMULA MANUAL]","",IFERROR(AVERAGEIFS(DATOS!$K$2:$K$20000,DATOS!$A$2:$A$20000,G472,DATOS!$G$2:$G$20000,CONFIG_METADATA!$B$4,DATOS!$I$2:$I$20000,"Lenguaje Musical"),"")))</f>
        <v/>
      </c>
      <c r="I472" t="str">
        <f>IF(G472="","",IF(G472="[FÓRMULA MANUAL]","",IFERROR(AVERAGEIFS(DATOS!$K$2:$K$20000,DATOS!$A$2:$A$20000,G472,DATOS!$G$2:$G$20000,CONFIG_METADATA!$B$4,DATOS!$I$2:$I$20000,"Orquesta/Banda/Conjunto"),"")))</f>
        <v/>
      </c>
      <c r="J472" t="str">
        <f>IF(G472="","",IF(G472="[FÓRMULA MANUAL]","",IFERROR(AVERAGEIFS(DATOS!$K$2:$K$20000,DATOS!$A$2:$A$20000,G472,DATOS!$G$2:$G$20000,CONFIG_METADATA!$B$4,DATOS!$I$2:$I$20000,"Conjunto"),"")))</f>
        <v/>
      </c>
      <c r="K472" t="str">
        <f>IF(G472="","",IF(G472="[FÓRMULA MANUAL]","",IFERROR(SUMPRODUCT((DATOS!$A$2:$A$20000=G472)*(DATOS!$G$2:$G$20000=CONFIG_METADATA!$B$4)*(COUNTIF(CONFIG_ASIGNATURAS!$B$7:$B$27,DATOS!$I$2:$I$20000)&gt;0)*(DATOS!$K$2:$K$20000))/SUMPRODUCT((DATOS!$A$2:$A$20000=G472)*(DATOS!$G$2:$G$20000=CONFIG_METADATA!$B$4)*(COUNTIF(CONFIG_ASIGNATURAS!$B$7:$B$27,DATOS!$I$2:$I$20000)&gt;0)*1),"")))</f>
        <v/>
      </c>
      <c r="N472" t="str">
        <f>IF(M472="","",IF(M472="[FÓRMULA MANUAL]","",IFERROR(AVERAGEIFS(DATOS!$K$2:$K$20000,DATOS!$A$2:$A$20000,M472,DATOS!$G$2:$G$20000,CONFIG_METADATA!$B$4,DATOS!$I$2:$I$20000,"Armonía"),"")))</f>
        <v/>
      </c>
      <c r="O472" t="str">
        <f>IF(M472="","",IF(M472="[FÓRMULA MANUAL]","",IFERROR(AVERAGEIFS(DATOS!$K$2:$K$20000,DATOS!$A$2:$A$20000,M472,DATOS!$G$2:$G$20000,CONFIG_METADATA!$B$4,DATOS!$I$2:$I$20000,"Orquesta/Banda/Conjunto"),"")))</f>
        <v/>
      </c>
      <c r="P472" t="str">
        <f>IF(M472="","",IF(M472="[FÓRMULA MANUAL]","",IFERROR(AVERAGEIFS(DATOS!$K$2:$K$20000,DATOS!$A$2:$A$20000,M472,DATOS!$G$2:$G$20000,CONFIG_METADATA!$B$4,DATOS!$I$2:$I$20000,"Música de Cámara"),"")))</f>
        <v/>
      </c>
      <c r="Q472" t="str">
        <f>IF(M472="","",IF(M472="[FÓRMULA MANUAL]","",IFERROR(SUMPRODUCT((DATOS!$A$2:$A$20000=M472)*(DATOS!$G$2:$G$20000=CONFIG_METADATA!$B$4)*(COUNTIF(CONFIG_ASIGNATURAS!$B$7:$B$27,DATOS!$I$2:$I$20000)&gt;0)*(DATOS!$K$2:$K$20000))/SUMPRODUCT((DATOS!$A$2:$A$20000=M472)*(DATOS!$G$2:$G$20000=CONFIG_METADATA!$B$4)*(COUNTIF(CONFIG_ASIGNATURAS!$B$7:$B$27,DATOS!$I$2:$I$20000)&gt;0)*1),"")))</f>
        <v/>
      </c>
      <c r="T472" t="str">
        <f>IF(S472="","",IF(S472="[FÓRMULA MANUAL]","",IFERROR(AVERAGEIFS(DATOS!$K$2:$K$20000,DATOS!$A$2:$A$20000,S472,DATOS!$G$2:$G$20000,CONFIG_METADATA!$B$4,DATOS!$I$2:$I$20000,"Armonía"),"")))</f>
        <v/>
      </c>
      <c r="U472" t="str">
        <f>IF(S472="","",IF(S472="[FÓRMULA MANUAL]","",IFERROR(AVERAGEIFS(DATOS!$K$2:$K$20000,DATOS!$A$2:$A$20000,S472,DATOS!$G$2:$G$20000,CONFIG_METADATA!$B$4,DATOS!$I$2:$I$20000,"Orquesta/Banda/Conjunto"),"")))</f>
        <v/>
      </c>
      <c r="V472" t="str">
        <f>IF(S472="","",IF(S472="[FÓRMULA MANUAL]","",IFERROR(AVERAGEIFS(DATOS!$K$2:$K$20000,DATOS!$A$2:$A$20000,S472,DATOS!$G$2:$G$20000,CONFIG_METADATA!$B$4,DATOS!$I$2:$I$20000,"Música de Cámara"),"")))</f>
        <v/>
      </c>
      <c r="W472" t="str">
        <f>IF(S472="","",IF(S472="[FÓRMULA MANUAL]","",IFERROR(SUMPRODUCT((DATOS!$A$2:$A$20000=S472)*(DATOS!$G$2:$G$20000=CONFIG_METADATA!$B$4)*(COUNTIF(CONFIG_ASIGNATURAS!$B$7:$B$27,DATOS!$I$2:$I$20000)&gt;0)*(DATOS!$K$2:$K$20000))/SUMPRODUCT((DATOS!$A$2:$A$20000=S472)*(DATOS!$G$2:$G$20000=CONFIG_METADATA!$B$4)*(COUNTIF(CONFIG_ASIGNATURAS!$B$7:$B$27,DATOS!$I$2:$I$20000)&gt;0)*1),"")))</f>
        <v/>
      </c>
      <c r="Z472" t="str">
        <f>IF(Y472="","",IF(Y472="[FÓRMULA MANUAL]","",IFERROR(AVERAGEIFS(DATOS!$K$2:$K$20000,DATOS!$A$2:$A$20000,Y472,DATOS!$G$2:$G$20000,CONFIG_METADATA!$B$4,DATOS!$I$2:$I$20000,"Análisis"),"")))</f>
        <v/>
      </c>
      <c r="AA472" t="str">
        <f>IF(Y472="","",IF(Y472="[FÓRMULA MANUAL]","",IFERROR(AVERAGEIFS(DATOS!$K$2:$K$20000,DATOS!$A$2:$A$20000,Y472,DATOS!$G$2:$G$20000,CONFIG_METADATA!$B$4,DATOS!$I$2:$I$20000,"Orquesta/Banda/Conjunto"),"")))</f>
        <v/>
      </c>
      <c r="AB472" t="str">
        <f>IF(Y472="","",IF(Y472="[FÓRMULA MANUAL]","",IFERROR(AVERAGEIFS(DATOS!$K$2:$K$20000,DATOS!$A$2:$A$20000,Y472,DATOS!$G$2:$G$20000,CONFIG_METADATA!$B$4,DATOS!$I$2:$I$20000,"Música de Cámara"),"")))</f>
        <v/>
      </c>
      <c r="AC472" t="str">
        <f>IF(Y472="","",IF(Y472="[FÓRMULA MANUAL]","",IFERROR(SUMPRODUCT((DATOS!$A$2:$A$20000=Y472)*(DATOS!$G$2:$G$20000=CONFIG_METADATA!$B$4)*(COUNTIF(CONFIG_ASIGNATURAS!$B$7:$B$27,DATOS!$I$2:$I$20000)&gt;0)*(DATOS!$K$2:$K$20000))/SUMPRODUCT((DATOS!$A$2:$A$20000=Y472)*(DATOS!$G$2:$G$20000=CONFIG_METADATA!$B$4)*(COUNTIF(CONFIG_ASIGNATURAS!$B$7:$B$27,DATOS!$I$2:$I$20000)&gt;0)*1),"")))</f>
        <v/>
      </c>
      <c r="AF472" t="str">
        <f>IF(AE472="","",IF(AE472="[FÓRMULA MANUAL]","",IFERROR(AVERAGEIFS(DATOS!$K$2:$K$20000,DATOS!$A$2:$A$20000,AE472,DATOS!$G$2:$G$20000,CONFIG_METADATA!$B$4,DATOS!$I$2:$I$20000,"Análisis"),"")))</f>
        <v/>
      </c>
      <c r="AG472" t="str">
        <f>IF(AE472="","",IF(AE472="[FÓRMULA MANUAL]","",IFERROR(AVERAGEIFS(DATOS!$K$2:$K$20000,DATOS!$A$2:$A$20000,AE472,DATOS!$G$2:$G$20000,CONFIG_METADATA!$B$4,DATOS!$I$2:$I$20000,"Orquesta/Banda/Conjunto"),"")))</f>
        <v/>
      </c>
      <c r="AH472" t="str">
        <f>IF(AE472="","",IF(AE472="[FÓRMULA MANUAL]","",IFERROR(AVERAGEIFS(DATOS!$K$2:$K$20000,DATOS!$A$2:$A$20000,AE472,DATOS!$G$2:$G$20000,CONFIG_METADATA!$B$4,DATOS!$I$2:$I$20000,"Música de Cámara"),"")))</f>
        <v/>
      </c>
      <c r="AI472" t="str">
        <f>IF(AE472="","",IF(AE472="[FÓRMULA MANUAL]","",IFERROR(SUMPRODUCT((DATOS!$A$2:$A$20000=AE472)*(DATOS!$G$2:$G$20000=CONFIG_METADATA!$B$4)*(COUNTIF(CONFIG_ASIGNATURAS!$B$7:$B$27,DATOS!$I$2:$I$20000)&gt;0)*(DATOS!$K$2:$K$20000))/SUMPRODUCT((DATOS!$A$2:$A$20000=AE472)*(DATOS!$G$2:$G$20000=CONFIG_METADATA!$B$4)*(COUNTIF(CONFIG_ASIGNATURAS!$B$7:$B$27,DATOS!$I$2:$I$20000)&gt;0)*1),"")))</f>
        <v/>
      </c>
    </row>
    <row r="473" spans="2:35" x14ac:dyDescent="0.2">
      <c r="B473" t="str">
        <f>IF(A473="","",IF(A473="[FÓRMULA MANUAL]","",IFERROR(AVERAGEIFS(DATOS!$K$2:$K$20000,DATOS!$A$2:$A$20000,A473,DATOS!$G$2:$G$20000,CONFIG_METADATA!$B$4,DATOS!$I$2:$I$20000,"Lenguaje Musical"),"")))</f>
        <v/>
      </c>
      <c r="C473" t="str">
        <f>IF(A473="","",IF(A473="[FÓRMULA MANUAL]","",IFERROR(AVERAGEIFS(DATOS!$K$2:$K$20000,DATOS!$A$2:$A$20000,A473,DATOS!$G$2:$G$20000,CONFIG_METADATA!$B$4,DATOS!$I$2:$I$20000,"Orquesta/Banda/Conjunto"),"")))</f>
        <v/>
      </c>
      <c r="D473" t="str">
        <f>IF(A473="","",IF(A473="[FÓRMULA MANUAL]","",IFERROR(AVERAGEIFS(DATOS!$K$2:$K$20000,DATOS!$A$2:$A$20000,A473,DATOS!$G$2:$G$20000,CONFIG_METADATA!$B$4,DATOS!$I$2:$I$20000,"Conjunto"),"")))</f>
        <v/>
      </c>
      <c r="E473" t="str">
        <f>IF(A473="","",IF(A473="[FÓRMULA MANUAL]","",IFERROR(SUMPRODUCT((DATOS!$A$2:$A$20000=A473)*(DATOS!$G$2:$G$20000=CONFIG_METADATA!$B$4)*(COUNTIF(CONFIG_ASIGNATURAS!$B$7:$B$27,DATOS!$I$2:$I$20000)&gt;0)*(DATOS!$K$2:$K$20000))/SUMPRODUCT((DATOS!$A$2:$A$20000=A473)*(DATOS!$G$2:$G$20000=CONFIG_METADATA!$B$4)*(COUNTIF(CONFIG_ASIGNATURAS!$B$7:$B$27,DATOS!$I$2:$I$20000)&gt;0)*1),"")))</f>
        <v/>
      </c>
      <c r="H473" t="str">
        <f>IF(G473="","",IF(G473="[FÓRMULA MANUAL]","",IFERROR(AVERAGEIFS(DATOS!$K$2:$K$20000,DATOS!$A$2:$A$20000,G473,DATOS!$G$2:$G$20000,CONFIG_METADATA!$B$4,DATOS!$I$2:$I$20000,"Lenguaje Musical"),"")))</f>
        <v/>
      </c>
      <c r="I473" t="str">
        <f>IF(G473="","",IF(G473="[FÓRMULA MANUAL]","",IFERROR(AVERAGEIFS(DATOS!$K$2:$K$20000,DATOS!$A$2:$A$20000,G473,DATOS!$G$2:$G$20000,CONFIG_METADATA!$B$4,DATOS!$I$2:$I$20000,"Orquesta/Banda/Conjunto"),"")))</f>
        <v/>
      </c>
      <c r="J473" t="str">
        <f>IF(G473="","",IF(G473="[FÓRMULA MANUAL]","",IFERROR(AVERAGEIFS(DATOS!$K$2:$K$20000,DATOS!$A$2:$A$20000,G473,DATOS!$G$2:$G$20000,CONFIG_METADATA!$B$4,DATOS!$I$2:$I$20000,"Conjunto"),"")))</f>
        <v/>
      </c>
      <c r="K473" t="str">
        <f>IF(G473="","",IF(G473="[FÓRMULA MANUAL]","",IFERROR(SUMPRODUCT((DATOS!$A$2:$A$20000=G473)*(DATOS!$G$2:$G$20000=CONFIG_METADATA!$B$4)*(COUNTIF(CONFIG_ASIGNATURAS!$B$7:$B$27,DATOS!$I$2:$I$20000)&gt;0)*(DATOS!$K$2:$K$20000))/SUMPRODUCT((DATOS!$A$2:$A$20000=G473)*(DATOS!$G$2:$G$20000=CONFIG_METADATA!$B$4)*(COUNTIF(CONFIG_ASIGNATURAS!$B$7:$B$27,DATOS!$I$2:$I$20000)&gt;0)*1),"")))</f>
        <v/>
      </c>
      <c r="N473" t="str">
        <f>IF(M473="","",IF(M473="[FÓRMULA MANUAL]","",IFERROR(AVERAGEIFS(DATOS!$K$2:$K$20000,DATOS!$A$2:$A$20000,M473,DATOS!$G$2:$G$20000,CONFIG_METADATA!$B$4,DATOS!$I$2:$I$20000,"Armonía"),"")))</f>
        <v/>
      </c>
      <c r="O473" t="str">
        <f>IF(M473="","",IF(M473="[FÓRMULA MANUAL]","",IFERROR(AVERAGEIFS(DATOS!$K$2:$K$20000,DATOS!$A$2:$A$20000,M473,DATOS!$G$2:$G$20000,CONFIG_METADATA!$B$4,DATOS!$I$2:$I$20000,"Orquesta/Banda/Conjunto"),"")))</f>
        <v/>
      </c>
      <c r="P473" t="str">
        <f>IF(M473="","",IF(M473="[FÓRMULA MANUAL]","",IFERROR(AVERAGEIFS(DATOS!$K$2:$K$20000,DATOS!$A$2:$A$20000,M473,DATOS!$G$2:$G$20000,CONFIG_METADATA!$B$4,DATOS!$I$2:$I$20000,"Música de Cámara"),"")))</f>
        <v/>
      </c>
      <c r="Q473" t="str">
        <f>IF(M473="","",IF(M473="[FÓRMULA MANUAL]","",IFERROR(SUMPRODUCT((DATOS!$A$2:$A$20000=M473)*(DATOS!$G$2:$G$20000=CONFIG_METADATA!$B$4)*(COUNTIF(CONFIG_ASIGNATURAS!$B$7:$B$27,DATOS!$I$2:$I$20000)&gt;0)*(DATOS!$K$2:$K$20000))/SUMPRODUCT((DATOS!$A$2:$A$20000=M473)*(DATOS!$G$2:$G$20000=CONFIG_METADATA!$B$4)*(COUNTIF(CONFIG_ASIGNATURAS!$B$7:$B$27,DATOS!$I$2:$I$20000)&gt;0)*1),"")))</f>
        <v/>
      </c>
      <c r="T473" t="str">
        <f>IF(S473="","",IF(S473="[FÓRMULA MANUAL]","",IFERROR(AVERAGEIFS(DATOS!$K$2:$K$20000,DATOS!$A$2:$A$20000,S473,DATOS!$G$2:$G$20000,CONFIG_METADATA!$B$4,DATOS!$I$2:$I$20000,"Armonía"),"")))</f>
        <v/>
      </c>
      <c r="U473" t="str">
        <f>IF(S473="","",IF(S473="[FÓRMULA MANUAL]","",IFERROR(AVERAGEIFS(DATOS!$K$2:$K$20000,DATOS!$A$2:$A$20000,S473,DATOS!$G$2:$G$20000,CONFIG_METADATA!$B$4,DATOS!$I$2:$I$20000,"Orquesta/Banda/Conjunto"),"")))</f>
        <v/>
      </c>
      <c r="V473" t="str">
        <f>IF(S473="","",IF(S473="[FÓRMULA MANUAL]","",IFERROR(AVERAGEIFS(DATOS!$K$2:$K$20000,DATOS!$A$2:$A$20000,S473,DATOS!$G$2:$G$20000,CONFIG_METADATA!$B$4,DATOS!$I$2:$I$20000,"Música de Cámara"),"")))</f>
        <v/>
      </c>
      <c r="W473" t="str">
        <f>IF(S473="","",IF(S473="[FÓRMULA MANUAL]","",IFERROR(SUMPRODUCT((DATOS!$A$2:$A$20000=S473)*(DATOS!$G$2:$G$20000=CONFIG_METADATA!$B$4)*(COUNTIF(CONFIG_ASIGNATURAS!$B$7:$B$27,DATOS!$I$2:$I$20000)&gt;0)*(DATOS!$K$2:$K$20000))/SUMPRODUCT((DATOS!$A$2:$A$20000=S473)*(DATOS!$G$2:$G$20000=CONFIG_METADATA!$B$4)*(COUNTIF(CONFIG_ASIGNATURAS!$B$7:$B$27,DATOS!$I$2:$I$20000)&gt;0)*1),"")))</f>
        <v/>
      </c>
      <c r="Z473" t="str">
        <f>IF(Y473="","",IF(Y473="[FÓRMULA MANUAL]","",IFERROR(AVERAGEIFS(DATOS!$K$2:$K$20000,DATOS!$A$2:$A$20000,Y473,DATOS!$G$2:$G$20000,CONFIG_METADATA!$B$4,DATOS!$I$2:$I$20000,"Análisis"),"")))</f>
        <v/>
      </c>
      <c r="AA473" t="str">
        <f>IF(Y473="","",IF(Y473="[FÓRMULA MANUAL]","",IFERROR(AVERAGEIFS(DATOS!$K$2:$K$20000,DATOS!$A$2:$A$20000,Y473,DATOS!$G$2:$G$20000,CONFIG_METADATA!$B$4,DATOS!$I$2:$I$20000,"Orquesta/Banda/Conjunto"),"")))</f>
        <v/>
      </c>
      <c r="AB473" t="str">
        <f>IF(Y473="","",IF(Y473="[FÓRMULA MANUAL]","",IFERROR(AVERAGEIFS(DATOS!$K$2:$K$20000,DATOS!$A$2:$A$20000,Y473,DATOS!$G$2:$G$20000,CONFIG_METADATA!$B$4,DATOS!$I$2:$I$20000,"Música de Cámara"),"")))</f>
        <v/>
      </c>
      <c r="AC473" t="str">
        <f>IF(Y473="","",IF(Y473="[FÓRMULA MANUAL]","",IFERROR(SUMPRODUCT((DATOS!$A$2:$A$20000=Y473)*(DATOS!$G$2:$G$20000=CONFIG_METADATA!$B$4)*(COUNTIF(CONFIG_ASIGNATURAS!$B$7:$B$27,DATOS!$I$2:$I$20000)&gt;0)*(DATOS!$K$2:$K$20000))/SUMPRODUCT((DATOS!$A$2:$A$20000=Y473)*(DATOS!$G$2:$G$20000=CONFIG_METADATA!$B$4)*(COUNTIF(CONFIG_ASIGNATURAS!$B$7:$B$27,DATOS!$I$2:$I$20000)&gt;0)*1),"")))</f>
        <v/>
      </c>
      <c r="AF473" t="str">
        <f>IF(AE473="","",IF(AE473="[FÓRMULA MANUAL]","",IFERROR(AVERAGEIFS(DATOS!$K$2:$K$20000,DATOS!$A$2:$A$20000,AE473,DATOS!$G$2:$G$20000,CONFIG_METADATA!$B$4,DATOS!$I$2:$I$20000,"Análisis"),"")))</f>
        <v/>
      </c>
      <c r="AG473" t="str">
        <f>IF(AE473="","",IF(AE473="[FÓRMULA MANUAL]","",IFERROR(AVERAGEIFS(DATOS!$K$2:$K$20000,DATOS!$A$2:$A$20000,AE473,DATOS!$G$2:$G$20000,CONFIG_METADATA!$B$4,DATOS!$I$2:$I$20000,"Orquesta/Banda/Conjunto"),"")))</f>
        <v/>
      </c>
      <c r="AH473" t="str">
        <f>IF(AE473="","",IF(AE473="[FÓRMULA MANUAL]","",IFERROR(AVERAGEIFS(DATOS!$K$2:$K$20000,DATOS!$A$2:$A$20000,AE473,DATOS!$G$2:$G$20000,CONFIG_METADATA!$B$4,DATOS!$I$2:$I$20000,"Música de Cámara"),"")))</f>
        <v/>
      </c>
      <c r="AI473" t="str">
        <f>IF(AE473="","",IF(AE473="[FÓRMULA MANUAL]","",IFERROR(SUMPRODUCT((DATOS!$A$2:$A$20000=AE473)*(DATOS!$G$2:$G$20000=CONFIG_METADATA!$B$4)*(COUNTIF(CONFIG_ASIGNATURAS!$B$7:$B$27,DATOS!$I$2:$I$20000)&gt;0)*(DATOS!$K$2:$K$20000))/SUMPRODUCT((DATOS!$A$2:$A$20000=AE473)*(DATOS!$G$2:$G$20000=CONFIG_METADATA!$B$4)*(COUNTIF(CONFIG_ASIGNATURAS!$B$7:$B$27,DATOS!$I$2:$I$20000)&gt;0)*1),"")))</f>
        <v/>
      </c>
    </row>
    <row r="474" spans="2:35" x14ac:dyDescent="0.2">
      <c r="B474" t="str">
        <f>IF(A474="","",IF(A474="[FÓRMULA MANUAL]","",IFERROR(AVERAGEIFS(DATOS!$K$2:$K$20000,DATOS!$A$2:$A$20000,A474,DATOS!$G$2:$G$20000,CONFIG_METADATA!$B$4,DATOS!$I$2:$I$20000,"Lenguaje Musical"),"")))</f>
        <v/>
      </c>
      <c r="C474" t="str">
        <f>IF(A474="","",IF(A474="[FÓRMULA MANUAL]","",IFERROR(AVERAGEIFS(DATOS!$K$2:$K$20000,DATOS!$A$2:$A$20000,A474,DATOS!$G$2:$G$20000,CONFIG_METADATA!$B$4,DATOS!$I$2:$I$20000,"Orquesta/Banda/Conjunto"),"")))</f>
        <v/>
      </c>
      <c r="D474" t="str">
        <f>IF(A474="","",IF(A474="[FÓRMULA MANUAL]","",IFERROR(AVERAGEIFS(DATOS!$K$2:$K$20000,DATOS!$A$2:$A$20000,A474,DATOS!$G$2:$G$20000,CONFIG_METADATA!$B$4,DATOS!$I$2:$I$20000,"Conjunto"),"")))</f>
        <v/>
      </c>
      <c r="E474" t="str">
        <f>IF(A474="","",IF(A474="[FÓRMULA MANUAL]","",IFERROR(SUMPRODUCT((DATOS!$A$2:$A$20000=A474)*(DATOS!$G$2:$G$20000=CONFIG_METADATA!$B$4)*(COUNTIF(CONFIG_ASIGNATURAS!$B$7:$B$27,DATOS!$I$2:$I$20000)&gt;0)*(DATOS!$K$2:$K$20000))/SUMPRODUCT((DATOS!$A$2:$A$20000=A474)*(DATOS!$G$2:$G$20000=CONFIG_METADATA!$B$4)*(COUNTIF(CONFIG_ASIGNATURAS!$B$7:$B$27,DATOS!$I$2:$I$20000)&gt;0)*1),"")))</f>
        <v/>
      </c>
      <c r="H474" t="str">
        <f>IF(G474="","",IF(G474="[FÓRMULA MANUAL]","",IFERROR(AVERAGEIFS(DATOS!$K$2:$K$20000,DATOS!$A$2:$A$20000,G474,DATOS!$G$2:$G$20000,CONFIG_METADATA!$B$4,DATOS!$I$2:$I$20000,"Lenguaje Musical"),"")))</f>
        <v/>
      </c>
      <c r="I474" t="str">
        <f>IF(G474="","",IF(G474="[FÓRMULA MANUAL]","",IFERROR(AVERAGEIFS(DATOS!$K$2:$K$20000,DATOS!$A$2:$A$20000,G474,DATOS!$G$2:$G$20000,CONFIG_METADATA!$B$4,DATOS!$I$2:$I$20000,"Orquesta/Banda/Conjunto"),"")))</f>
        <v/>
      </c>
      <c r="J474" t="str">
        <f>IF(G474="","",IF(G474="[FÓRMULA MANUAL]","",IFERROR(AVERAGEIFS(DATOS!$K$2:$K$20000,DATOS!$A$2:$A$20000,G474,DATOS!$G$2:$G$20000,CONFIG_METADATA!$B$4,DATOS!$I$2:$I$20000,"Conjunto"),"")))</f>
        <v/>
      </c>
      <c r="K474" t="str">
        <f>IF(G474="","",IF(G474="[FÓRMULA MANUAL]","",IFERROR(SUMPRODUCT((DATOS!$A$2:$A$20000=G474)*(DATOS!$G$2:$G$20000=CONFIG_METADATA!$B$4)*(COUNTIF(CONFIG_ASIGNATURAS!$B$7:$B$27,DATOS!$I$2:$I$20000)&gt;0)*(DATOS!$K$2:$K$20000))/SUMPRODUCT((DATOS!$A$2:$A$20000=G474)*(DATOS!$G$2:$G$20000=CONFIG_METADATA!$B$4)*(COUNTIF(CONFIG_ASIGNATURAS!$B$7:$B$27,DATOS!$I$2:$I$20000)&gt;0)*1),"")))</f>
        <v/>
      </c>
      <c r="N474" t="str">
        <f>IF(M474="","",IF(M474="[FÓRMULA MANUAL]","",IFERROR(AVERAGEIFS(DATOS!$K$2:$K$20000,DATOS!$A$2:$A$20000,M474,DATOS!$G$2:$G$20000,CONFIG_METADATA!$B$4,DATOS!$I$2:$I$20000,"Armonía"),"")))</f>
        <v/>
      </c>
      <c r="O474" t="str">
        <f>IF(M474="","",IF(M474="[FÓRMULA MANUAL]","",IFERROR(AVERAGEIFS(DATOS!$K$2:$K$20000,DATOS!$A$2:$A$20000,M474,DATOS!$G$2:$G$20000,CONFIG_METADATA!$B$4,DATOS!$I$2:$I$20000,"Orquesta/Banda/Conjunto"),"")))</f>
        <v/>
      </c>
      <c r="P474" t="str">
        <f>IF(M474="","",IF(M474="[FÓRMULA MANUAL]","",IFERROR(AVERAGEIFS(DATOS!$K$2:$K$20000,DATOS!$A$2:$A$20000,M474,DATOS!$G$2:$G$20000,CONFIG_METADATA!$B$4,DATOS!$I$2:$I$20000,"Música de Cámara"),"")))</f>
        <v/>
      </c>
      <c r="Q474" t="str">
        <f>IF(M474="","",IF(M474="[FÓRMULA MANUAL]","",IFERROR(SUMPRODUCT((DATOS!$A$2:$A$20000=M474)*(DATOS!$G$2:$G$20000=CONFIG_METADATA!$B$4)*(COUNTIF(CONFIG_ASIGNATURAS!$B$7:$B$27,DATOS!$I$2:$I$20000)&gt;0)*(DATOS!$K$2:$K$20000))/SUMPRODUCT((DATOS!$A$2:$A$20000=M474)*(DATOS!$G$2:$G$20000=CONFIG_METADATA!$B$4)*(COUNTIF(CONFIG_ASIGNATURAS!$B$7:$B$27,DATOS!$I$2:$I$20000)&gt;0)*1),"")))</f>
        <v/>
      </c>
      <c r="T474" t="str">
        <f>IF(S474="","",IF(S474="[FÓRMULA MANUAL]","",IFERROR(AVERAGEIFS(DATOS!$K$2:$K$20000,DATOS!$A$2:$A$20000,S474,DATOS!$G$2:$G$20000,CONFIG_METADATA!$B$4,DATOS!$I$2:$I$20000,"Armonía"),"")))</f>
        <v/>
      </c>
      <c r="U474" t="str">
        <f>IF(S474="","",IF(S474="[FÓRMULA MANUAL]","",IFERROR(AVERAGEIFS(DATOS!$K$2:$K$20000,DATOS!$A$2:$A$20000,S474,DATOS!$G$2:$G$20000,CONFIG_METADATA!$B$4,DATOS!$I$2:$I$20000,"Orquesta/Banda/Conjunto"),"")))</f>
        <v/>
      </c>
      <c r="V474" t="str">
        <f>IF(S474="","",IF(S474="[FÓRMULA MANUAL]","",IFERROR(AVERAGEIFS(DATOS!$K$2:$K$20000,DATOS!$A$2:$A$20000,S474,DATOS!$G$2:$G$20000,CONFIG_METADATA!$B$4,DATOS!$I$2:$I$20000,"Música de Cámara"),"")))</f>
        <v/>
      </c>
      <c r="W474" t="str">
        <f>IF(S474="","",IF(S474="[FÓRMULA MANUAL]","",IFERROR(SUMPRODUCT((DATOS!$A$2:$A$20000=S474)*(DATOS!$G$2:$G$20000=CONFIG_METADATA!$B$4)*(COUNTIF(CONFIG_ASIGNATURAS!$B$7:$B$27,DATOS!$I$2:$I$20000)&gt;0)*(DATOS!$K$2:$K$20000))/SUMPRODUCT((DATOS!$A$2:$A$20000=S474)*(DATOS!$G$2:$G$20000=CONFIG_METADATA!$B$4)*(COUNTIF(CONFIG_ASIGNATURAS!$B$7:$B$27,DATOS!$I$2:$I$20000)&gt;0)*1),"")))</f>
        <v/>
      </c>
      <c r="Z474" t="str">
        <f>IF(Y474="","",IF(Y474="[FÓRMULA MANUAL]","",IFERROR(AVERAGEIFS(DATOS!$K$2:$K$20000,DATOS!$A$2:$A$20000,Y474,DATOS!$G$2:$G$20000,CONFIG_METADATA!$B$4,DATOS!$I$2:$I$20000,"Análisis"),"")))</f>
        <v/>
      </c>
      <c r="AA474" t="str">
        <f>IF(Y474="","",IF(Y474="[FÓRMULA MANUAL]","",IFERROR(AVERAGEIFS(DATOS!$K$2:$K$20000,DATOS!$A$2:$A$20000,Y474,DATOS!$G$2:$G$20000,CONFIG_METADATA!$B$4,DATOS!$I$2:$I$20000,"Orquesta/Banda/Conjunto"),"")))</f>
        <v/>
      </c>
      <c r="AB474" t="str">
        <f>IF(Y474="","",IF(Y474="[FÓRMULA MANUAL]","",IFERROR(AVERAGEIFS(DATOS!$K$2:$K$20000,DATOS!$A$2:$A$20000,Y474,DATOS!$G$2:$G$20000,CONFIG_METADATA!$B$4,DATOS!$I$2:$I$20000,"Música de Cámara"),"")))</f>
        <v/>
      </c>
      <c r="AC474" t="str">
        <f>IF(Y474="","",IF(Y474="[FÓRMULA MANUAL]","",IFERROR(SUMPRODUCT((DATOS!$A$2:$A$20000=Y474)*(DATOS!$G$2:$G$20000=CONFIG_METADATA!$B$4)*(COUNTIF(CONFIG_ASIGNATURAS!$B$7:$B$27,DATOS!$I$2:$I$20000)&gt;0)*(DATOS!$K$2:$K$20000))/SUMPRODUCT((DATOS!$A$2:$A$20000=Y474)*(DATOS!$G$2:$G$20000=CONFIG_METADATA!$B$4)*(COUNTIF(CONFIG_ASIGNATURAS!$B$7:$B$27,DATOS!$I$2:$I$20000)&gt;0)*1),"")))</f>
        <v/>
      </c>
      <c r="AF474" t="str">
        <f>IF(AE474="","",IF(AE474="[FÓRMULA MANUAL]","",IFERROR(AVERAGEIFS(DATOS!$K$2:$K$20000,DATOS!$A$2:$A$20000,AE474,DATOS!$G$2:$G$20000,CONFIG_METADATA!$B$4,DATOS!$I$2:$I$20000,"Análisis"),"")))</f>
        <v/>
      </c>
      <c r="AG474" t="str">
        <f>IF(AE474="","",IF(AE474="[FÓRMULA MANUAL]","",IFERROR(AVERAGEIFS(DATOS!$K$2:$K$20000,DATOS!$A$2:$A$20000,AE474,DATOS!$G$2:$G$20000,CONFIG_METADATA!$B$4,DATOS!$I$2:$I$20000,"Orquesta/Banda/Conjunto"),"")))</f>
        <v/>
      </c>
      <c r="AH474" t="str">
        <f>IF(AE474="","",IF(AE474="[FÓRMULA MANUAL]","",IFERROR(AVERAGEIFS(DATOS!$K$2:$K$20000,DATOS!$A$2:$A$20000,AE474,DATOS!$G$2:$G$20000,CONFIG_METADATA!$B$4,DATOS!$I$2:$I$20000,"Música de Cámara"),"")))</f>
        <v/>
      </c>
      <c r="AI474" t="str">
        <f>IF(AE474="","",IF(AE474="[FÓRMULA MANUAL]","",IFERROR(SUMPRODUCT((DATOS!$A$2:$A$20000=AE474)*(DATOS!$G$2:$G$20000=CONFIG_METADATA!$B$4)*(COUNTIF(CONFIG_ASIGNATURAS!$B$7:$B$27,DATOS!$I$2:$I$20000)&gt;0)*(DATOS!$K$2:$K$20000))/SUMPRODUCT((DATOS!$A$2:$A$20000=AE474)*(DATOS!$G$2:$G$20000=CONFIG_METADATA!$B$4)*(COUNTIF(CONFIG_ASIGNATURAS!$B$7:$B$27,DATOS!$I$2:$I$20000)&gt;0)*1),"")))</f>
        <v/>
      </c>
    </row>
    <row r="475" spans="2:35" x14ac:dyDescent="0.2">
      <c r="B475" t="str">
        <f>IF(A475="","",IF(A475="[FÓRMULA MANUAL]","",IFERROR(AVERAGEIFS(DATOS!$K$2:$K$20000,DATOS!$A$2:$A$20000,A475,DATOS!$G$2:$G$20000,CONFIG_METADATA!$B$4,DATOS!$I$2:$I$20000,"Lenguaje Musical"),"")))</f>
        <v/>
      </c>
      <c r="C475" t="str">
        <f>IF(A475="","",IF(A475="[FÓRMULA MANUAL]","",IFERROR(AVERAGEIFS(DATOS!$K$2:$K$20000,DATOS!$A$2:$A$20000,A475,DATOS!$G$2:$G$20000,CONFIG_METADATA!$B$4,DATOS!$I$2:$I$20000,"Orquesta/Banda/Conjunto"),"")))</f>
        <v/>
      </c>
      <c r="D475" t="str">
        <f>IF(A475="","",IF(A475="[FÓRMULA MANUAL]","",IFERROR(AVERAGEIFS(DATOS!$K$2:$K$20000,DATOS!$A$2:$A$20000,A475,DATOS!$G$2:$G$20000,CONFIG_METADATA!$B$4,DATOS!$I$2:$I$20000,"Conjunto"),"")))</f>
        <v/>
      </c>
      <c r="E475" t="str">
        <f>IF(A475="","",IF(A475="[FÓRMULA MANUAL]","",IFERROR(SUMPRODUCT((DATOS!$A$2:$A$20000=A475)*(DATOS!$G$2:$G$20000=CONFIG_METADATA!$B$4)*(COUNTIF(CONFIG_ASIGNATURAS!$B$7:$B$27,DATOS!$I$2:$I$20000)&gt;0)*(DATOS!$K$2:$K$20000))/SUMPRODUCT((DATOS!$A$2:$A$20000=A475)*(DATOS!$G$2:$G$20000=CONFIG_METADATA!$B$4)*(COUNTIF(CONFIG_ASIGNATURAS!$B$7:$B$27,DATOS!$I$2:$I$20000)&gt;0)*1),"")))</f>
        <v/>
      </c>
      <c r="H475" t="str">
        <f>IF(G475="","",IF(G475="[FÓRMULA MANUAL]","",IFERROR(AVERAGEIFS(DATOS!$K$2:$K$20000,DATOS!$A$2:$A$20000,G475,DATOS!$G$2:$G$20000,CONFIG_METADATA!$B$4,DATOS!$I$2:$I$20000,"Lenguaje Musical"),"")))</f>
        <v/>
      </c>
      <c r="I475" t="str">
        <f>IF(G475="","",IF(G475="[FÓRMULA MANUAL]","",IFERROR(AVERAGEIFS(DATOS!$K$2:$K$20000,DATOS!$A$2:$A$20000,G475,DATOS!$G$2:$G$20000,CONFIG_METADATA!$B$4,DATOS!$I$2:$I$20000,"Orquesta/Banda/Conjunto"),"")))</f>
        <v/>
      </c>
      <c r="J475" t="str">
        <f>IF(G475="","",IF(G475="[FÓRMULA MANUAL]","",IFERROR(AVERAGEIFS(DATOS!$K$2:$K$20000,DATOS!$A$2:$A$20000,G475,DATOS!$G$2:$G$20000,CONFIG_METADATA!$B$4,DATOS!$I$2:$I$20000,"Conjunto"),"")))</f>
        <v/>
      </c>
      <c r="K475" t="str">
        <f>IF(G475="","",IF(G475="[FÓRMULA MANUAL]","",IFERROR(SUMPRODUCT((DATOS!$A$2:$A$20000=G475)*(DATOS!$G$2:$G$20000=CONFIG_METADATA!$B$4)*(COUNTIF(CONFIG_ASIGNATURAS!$B$7:$B$27,DATOS!$I$2:$I$20000)&gt;0)*(DATOS!$K$2:$K$20000))/SUMPRODUCT((DATOS!$A$2:$A$20000=G475)*(DATOS!$G$2:$G$20000=CONFIG_METADATA!$B$4)*(COUNTIF(CONFIG_ASIGNATURAS!$B$7:$B$27,DATOS!$I$2:$I$20000)&gt;0)*1),"")))</f>
        <v/>
      </c>
      <c r="N475" t="str">
        <f>IF(M475="","",IF(M475="[FÓRMULA MANUAL]","",IFERROR(AVERAGEIFS(DATOS!$K$2:$K$20000,DATOS!$A$2:$A$20000,M475,DATOS!$G$2:$G$20000,CONFIG_METADATA!$B$4,DATOS!$I$2:$I$20000,"Armonía"),"")))</f>
        <v/>
      </c>
      <c r="O475" t="str">
        <f>IF(M475="","",IF(M475="[FÓRMULA MANUAL]","",IFERROR(AVERAGEIFS(DATOS!$K$2:$K$20000,DATOS!$A$2:$A$20000,M475,DATOS!$G$2:$G$20000,CONFIG_METADATA!$B$4,DATOS!$I$2:$I$20000,"Orquesta/Banda/Conjunto"),"")))</f>
        <v/>
      </c>
      <c r="P475" t="str">
        <f>IF(M475="","",IF(M475="[FÓRMULA MANUAL]","",IFERROR(AVERAGEIFS(DATOS!$K$2:$K$20000,DATOS!$A$2:$A$20000,M475,DATOS!$G$2:$G$20000,CONFIG_METADATA!$B$4,DATOS!$I$2:$I$20000,"Música de Cámara"),"")))</f>
        <v/>
      </c>
      <c r="Q475" t="str">
        <f>IF(M475="","",IF(M475="[FÓRMULA MANUAL]","",IFERROR(SUMPRODUCT((DATOS!$A$2:$A$20000=M475)*(DATOS!$G$2:$G$20000=CONFIG_METADATA!$B$4)*(COUNTIF(CONFIG_ASIGNATURAS!$B$7:$B$27,DATOS!$I$2:$I$20000)&gt;0)*(DATOS!$K$2:$K$20000))/SUMPRODUCT((DATOS!$A$2:$A$20000=M475)*(DATOS!$G$2:$G$20000=CONFIG_METADATA!$B$4)*(COUNTIF(CONFIG_ASIGNATURAS!$B$7:$B$27,DATOS!$I$2:$I$20000)&gt;0)*1),"")))</f>
        <v/>
      </c>
      <c r="T475" t="str">
        <f>IF(S475="","",IF(S475="[FÓRMULA MANUAL]","",IFERROR(AVERAGEIFS(DATOS!$K$2:$K$20000,DATOS!$A$2:$A$20000,S475,DATOS!$G$2:$G$20000,CONFIG_METADATA!$B$4,DATOS!$I$2:$I$20000,"Armonía"),"")))</f>
        <v/>
      </c>
      <c r="U475" t="str">
        <f>IF(S475="","",IF(S475="[FÓRMULA MANUAL]","",IFERROR(AVERAGEIFS(DATOS!$K$2:$K$20000,DATOS!$A$2:$A$20000,S475,DATOS!$G$2:$G$20000,CONFIG_METADATA!$B$4,DATOS!$I$2:$I$20000,"Orquesta/Banda/Conjunto"),"")))</f>
        <v/>
      </c>
      <c r="V475" t="str">
        <f>IF(S475="","",IF(S475="[FÓRMULA MANUAL]","",IFERROR(AVERAGEIFS(DATOS!$K$2:$K$20000,DATOS!$A$2:$A$20000,S475,DATOS!$G$2:$G$20000,CONFIG_METADATA!$B$4,DATOS!$I$2:$I$20000,"Música de Cámara"),"")))</f>
        <v/>
      </c>
      <c r="W475" t="str">
        <f>IF(S475="","",IF(S475="[FÓRMULA MANUAL]","",IFERROR(SUMPRODUCT((DATOS!$A$2:$A$20000=S475)*(DATOS!$G$2:$G$20000=CONFIG_METADATA!$B$4)*(COUNTIF(CONFIG_ASIGNATURAS!$B$7:$B$27,DATOS!$I$2:$I$20000)&gt;0)*(DATOS!$K$2:$K$20000))/SUMPRODUCT((DATOS!$A$2:$A$20000=S475)*(DATOS!$G$2:$G$20000=CONFIG_METADATA!$B$4)*(COUNTIF(CONFIG_ASIGNATURAS!$B$7:$B$27,DATOS!$I$2:$I$20000)&gt;0)*1),"")))</f>
        <v/>
      </c>
      <c r="Z475" t="str">
        <f>IF(Y475="","",IF(Y475="[FÓRMULA MANUAL]","",IFERROR(AVERAGEIFS(DATOS!$K$2:$K$20000,DATOS!$A$2:$A$20000,Y475,DATOS!$G$2:$G$20000,CONFIG_METADATA!$B$4,DATOS!$I$2:$I$20000,"Análisis"),"")))</f>
        <v/>
      </c>
      <c r="AA475" t="str">
        <f>IF(Y475="","",IF(Y475="[FÓRMULA MANUAL]","",IFERROR(AVERAGEIFS(DATOS!$K$2:$K$20000,DATOS!$A$2:$A$20000,Y475,DATOS!$G$2:$G$20000,CONFIG_METADATA!$B$4,DATOS!$I$2:$I$20000,"Orquesta/Banda/Conjunto"),"")))</f>
        <v/>
      </c>
      <c r="AB475" t="str">
        <f>IF(Y475="","",IF(Y475="[FÓRMULA MANUAL]","",IFERROR(AVERAGEIFS(DATOS!$K$2:$K$20000,DATOS!$A$2:$A$20000,Y475,DATOS!$G$2:$G$20000,CONFIG_METADATA!$B$4,DATOS!$I$2:$I$20000,"Música de Cámara"),"")))</f>
        <v/>
      </c>
      <c r="AC475" t="str">
        <f>IF(Y475="","",IF(Y475="[FÓRMULA MANUAL]","",IFERROR(SUMPRODUCT((DATOS!$A$2:$A$20000=Y475)*(DATOS!$G$2:$G$20000=CONFIG_METADATA!$B$4)*(COUNTIF(CONFIG_ASIGNATURAS!$B$7:$B$27,DATOS!$I$2:$I$20000)&gt;0)*(DATOS!$K$2:$K$20000))/SUMPRODUCT((DATOS!$A$2:$A$20000=Y475)*(DATOS!$G$2:$G$20000=CONFIG_METADATA!$B$4)*(COUNTIF(CONFIG_ASIGNATURAS!$B$7:$B$27,DATOS!$I$2:$I$20000)&gt;0)*1),"")))</f>
        <v/>
      </c>
      <c r="AF475" t="str">
        <f>IF(AE475="","",IF(AE475="[FÓRMULA MANUAL]","",IFERROR(AVERAGEIFS(DATOS!$K$2:$K$20000,DATOS!$A$2:$A$20000,AE475,DATOS!$G$2:$G$20000,CONFIG_METADATA!$B$4,DATOS!$I$2:$I$20000,"Análisis"),"")))</f>
        <v/>
      </c>
      <c r="AG475" t="str">
        <f>IF(AE475="","",IF(AE475="[FÓRMULA MANUAL]","",IFERROR(AVERAGEIFS(DATOS!$K$2:$K$20000,DATOS!$A$2:$A$20000,AE475,DATOS!$G$2:$G$20000,CONFIG_METADATA!$B$4,DATOS!$I$2:$I$20000,"Orquesta/Banda/Conjunto"),"")))</f>
        <v/>
      </c>
      <c r="AH475" t="str">
        <f>IF(AE475="","",IF(AE475="[FÓRMULA MANUAL]","",IFERROR(AVERAGEIFS(DATOS!$K$2:$K$20000,DATOS!$A$2:$A$20000,AE475,DATOS!$G$2:$G$20000,CONFIG_METADATA!$B$4,DATOS!$I$2:$I$20000,"Música de Cámara"),"")))</f>
        <v/>
      </c>
      <c r="AI475" t="str">
        <f>IF(AE475="","",IF(AE475="[FÓRMULA MANUAL]","",IFERROR(SUMPRODUCT((DATOS!$A$2:$A$20000=AE475)*(DATOS!$G$2:$G$20000=CONFIG_METADATA!$B$4)*(COUNTIF(CONFIG_ASIGNATURAS!$B$7:$B$27,DATOS!$I$2:$I$20000)&gt;0)*(DATOS!$K$2:$K$20000))/SUMPRODUCT((DATOS!$A$2:$A$20000=AE475)*(DATOS!$G$2:$G$20000=CONFIG_METADATA!$B$4)*(COUNTIF(CONFIG_ASIGNATURAS!$B$7:$B$27,DATOS!$I$2:$I$20000)&gt;0)*1),"")))</f>
        <v/>
      </c>
    </row>
    <row r="476" spans="2:35" x14ac:dyDescent="0.2">
      <c r="B476" t="str">
        <f>IF(A476="","",IF(A476="[FÓRMULA MANUAL]","",IFERROR(AVERAGEIFS(DATOS!$K$2:$K$20000,DATOS!$A$2:$A$20000,A476,DATOS!$G$2:$G$20000,CONFIG_METADATA!$B$4,DATOS!$I$2:$I$20000,"Lenguaje Musical"),"")))</f>
        <v/>
      </c>
      <c r="C476" t="str">
        <f>IF(A476="","",IF(A476="[FÓRMULA MANUAL]","",IFERROR(AVERAGEIFS(DATOS!$K$2:$K$20000,DATOS!$A$2:$A$20000,A476,DATOS!$G$2:$G$20000,CONFIG_METADATA!$B$4,DATOS!$I$2:$I$20000,"Orquesta/Banda/Conjunto"),"")))</f>
        <v/>
      </c>
      <c r="D476" t="str">
        <f>IF(A476="","",IF(A476="[FÓRMULA MANUAL]","",IFERROR(AVERAGEIFS(DATOS!$K$2:$K$20000,DATOS!$A$2:$A$20000,A476,DATOS!$G$2:$G$20000,CONFIG_METADATA!$B$4,DATOS!$I$2:$I$20000,"Conjunto"),"")))</f>
        <v/>
      </c>
      <c r="E476" t="str">
        <f>IF(A476="","",IF(A476="[FÓRMULA MANUAL]","",IFERROR(SUMPRODUCT((DATOS!$A$2:$A$20000=A476)*(DATOS!$G$2:$G$20000=CONFIG_METADATA!$B$4)*(COUNTIF(CONFIG_ASIGNATURAS!$B$7:$B$27,DATOS!$I$2:$I$20000)&gt;0)*(DATOS!$K$2:$K$20000))/SUMPRODUCT((DATOS!$A$2:$A$20000=A476)*(DATOS!$G$2:$G$20000=CONFIG_METADATA!$B$4)*(COUNTIF(CONFIG_ASIGNATURAS!$B$7:$B$27,DATOS!$I$2:$I$20000)&gt;0)*1),"")))</f>
        <v/>
      </c>
      <c r="H476" t="str">
        <f>IF(G476="","",IF(G476="[FÓRMULA MANUAL]","",IFERROR(AVERAGEIFS(DATOS!$K$2:$K$20000,DATOS!$A$2:$A$20000,G476,DATOS!$G$2:$G$20000,CONFIG_METADATA!$B$4,DATOS!$I$2:$I$20000,"Lenguaje Musical"),"")))</f>
        <v/>
      </c>
      <c r="I476" t="str">
        <f>IF(G476="","",IF(G476="[FÓRMULA MANUAL]","",IFERROR(AVERAGEIFS(DATOS!$K$2:$K$20000,DATOS!$A$2:$A$20000,G476,DATOS!$G$2:$G$20000,CONFIG_METADATA!$B$4,DATOS!$I$2:$I$20000,"Orquesta/Banda/Conjunto"),"")))</f>
        <v/>
      </c>
      <c r="J476" t="str">
        <f>IF(G476="","",IF(G476="[FÓRMULA MANUAL]","",IFERROR(AVERAGEIFS(DATOS!$K$2:$K$20000,DATOS!$A$2:$A$20000,G476,DATOS!$G$2:$G$20000,CONFIG_METADATA!$B$4,DATOS!$I$2:$I$20000,"Conjunto"),"")))</f>
        <v/>
      </c>
      <c r="K476" t="str">
        <f>IF(G476="","",IF(G476="[FÓRMULA MANUAL]","",IFERROR(SUMPRODUCT((DATOS!$A$2:$A$20000=G476)*(DATOS!$G$2:$G$20000=CONFIG_METADATA!$B$4)*(COUNTIF(CONFIG_ASIGNATURAS!$B$7:$B$27,DATOS!$I$2:$I$20000)&gt;0)*(DATOS!$K$2:$K$20000))/SUMPRODUCT((DATOS!$A$2:$A$20000=G476)*(DATOS!$G$2:$G$20000=CONFIG_METADATA!$B$4)*(COUNTIF(CONFIG_ASIGNATURAS!$B$7:$B$27,DATOS!$I$2:$I$20000)&gt;0)*1),"")))</f>
        <v/>
      </c>
      <c r="N476" t="str">
        <f>IF(M476="","",IF(M476="[FÓRMULA MANUAL]","",IFERROR(AVERAGEIFS(DATOS!$K$2:$K$20000,DATOS!$A$2:$A$20000,M476,DATOS!$G$2:$G$20000,CONFIG_METADATA!$B$4,DATOS!$I$2:$I$20000,"Armonía"),"")))</f>
        <v/>
      </c>
      <c r="O476" t="str">
        <f>IF(M476="","",IF(M476="[FÓRMULA MANUAL]","",IFERROR(AVERAGEIFS(DATOS!$K$2:$K$20000,DATOS!$A$2:$A$20000,M476,DATOS!$G$2:$G$20000,CONFIG_METADATA!$B$4,DATOS!$I$2:$I$20000,"Orquesta/Banda/Conjunto"),"")))</f>
        <v/>
      </c>
      <c r="P476" t="str">
        <f>IF(M476="","",IF(M476="[FÓRMULA MANUAL]","",IFERROR(AVERAGEIFS(DATOS!$K$2:$K$20000,DATOS!$A$2:$A$20000,M476,DATOS!$G$2:$G$20000,CONFIG_METADATA!$B$4,DATOS!$I$2:$I$20000,"Música de Cámara"),"")))</f>
        <v/>
      </c>
      <c r="Q476" t="str">
        <f>IF(M476="","",IF(M476="[FÓRMULA MANUAL]","",IFERROR(SUMPRODUCT((DATOS!$A$2:$A$20000=M476)*(DATOS!$G$2:$G$20000=CONFIG_METADATA!$B$4)*(COUNTIF(CONFIG_ASIGNATURAS!$B$7:$B$27,DATOS!$I$2:$I$20000)&gt;0)*(DATOS!$K$2:$K$20000))/SUMPRODUCT((DATOS!$A$2:$A$20000=M476)*(DATOS!$G$2:$G$20000=CONFIG_METADATA!$B$4)*(COUNTIF(CONFIG_ASIGNATURAS!$B$7:$B$27,DATOS!$I$2:$I$20000)&gt;0)*1),"")))</f>
        <v/>
      </c>
      <c r="T476" t="str">
        <f>IF(S476="","",IF(S476="[FÓRMULA MANUAL]","",IFERROR(AVERAGEIFS(DATOS!$K$2:$K$20000,DATOS!$A$2:$A$20000,S476,DATOS!$G$2:$G$20000,CONFIG_METADATA!$B$4,DATOS!$I$2:$I$20000,"Armonía"),"")))</f>
        <v/>
      </c>
      <c r="U476" t="str">
        <f>IF(S476="","",IF(S476="[FÓRMULA MANUAL]","",IFERROR(AVERAGEIFS(DATOS!$K$2:$K$20000,DATOS!$A$2:$A$20000,S476,DATOS!$G$2:$G$20000,CONFIG_METADATA!$B$4,DATOS!$I$2:$I$20000,"Orquesta/Banda/Conjunto"),"")))</f>
        <v/>
      </c>
      <c r="V476" t="str">
        <f>IF(S476="","",IF(S476="[FÓRMULA MANUAL]","",IFERROR(AVERAGEIFS(DATOS!$K$2:$K$20000,DATOS!$A$2:$A$20000,S476,DATOS!$G$2:$G$20000,CONFIG_METADATA!$B$4,DATOS!$I$2:$I$20000,"Música de Cámara"),"")))</f>
        <v/>
      </c>
      <c r="W476" t="str">
        <f>IF(S476="","",IF(S476="[FÓRMULA MANUAL]","",IFERROR(SUMPRODUCT((DATOS!$A$2:$A$20000=S476)*(DATOS!$G$2:$G$20000=CONFIG_METADATA!$B$4)*(COUNTIF(CONFIG_ASIGNATURAS!$B$7:$B$27,DATOS!$I$2:$I$20000)&gt;0)*(DATOS!$K$2:$K$20000))/SUMPRODUCT((DATOS!$A$2:$A$20000=S476)*(DATOS!$G$2:$G$20000=CONFIG_METADATA!$B$4)*(COUNTIF(CONFIG_ASIGNATURAS!$B$7:$B$27,DATOS!$I$2:$I$20000)&gt;0)*1),"")))</f>
        <v/>
      </c>
      <c r="Z476" t="str">
        <f>IF(Y476="","",IF(Y476="[FÓRMULA MANUAL]","",IFERROR(AVERAGEIFS(DATOS!$K$2:$K$20000,DATOS!$A$2:$A$20000,Y476,DATOS!$G$2:$G$20000,CONFIG_METADATA!$B$4,DATOS!$I$2:$I$20000,"Análisis"),"")))</f>
        <v/>
      </c>
      <c r="AA476" t="str">
        <f>IF(Y476="","",IF(Y476="[FÓRMULA MANUAL]","",IFERROR(AVERAGEIFS(DATOS!$K$2:$K$20000,DATOS!$A$2:$A$20000,Y476,DATOS!$G$2:$G$20000,CONFIG_METADATA!$B$4,DATOS!$I$2:$I$20000,"Orquesta/Banda/Conjunto"),"")))</f>
        <v/>
      </c>
      <c r="AB476" t="str">
        <f>IF(Y476="","",IF(Y476="[FÓRMULA MANUAL]","",IFERROR(AVERAGEIFS(DATOS!$K$2:$K$20000,DATOS!$A$2:$A$20000,Y476,DATOS!$G$2:$G$20000,CONFIG_METADATA!$B$4,DATOS!$I$2:$I$20000,"Música de Cámara"),"")))</f>
        <v/>
      </c>
      <c r="AC476" t="str">
        <f>IF(Y476="","",IF(Y476="[FÓRMULA MANUAL]","",IFERROR(SUMPRODUCT((DATOS!$A$2:$A$20000=Y476)*(DATOS!$G$2:$G$20000=CONFIG_METADATA!$B$4)*(COUNTIF(CONFIG_ASIGNATURAS!$B$7:$B$27,DATOS!$I$2:$I$20000)&gt;0)*(DATOS!$K$2:$K$20000))/SUMPRODUCT((DATOS!$A$2:$A$20000=Y476)*(DATOS!$G$2:$G$20000=CONFIG_METADATA!$B$4)*(COUNTIF(CONFIG_ASIGNATURAS!$B$7:$B$27,DATOS!$I$2:$I$20000)&gt;0)*1),"")))</f>
        <v/>
      </c>
      <c r="AF476" t="str">
        <f>IF(AE476="","",IF(AE476="[FÓRMULA MANUAL]","",IFERROR(AVERAGEIFS(DATOS!$K$2:$K$20000,DATOS!$A$2:$A$20000,AE476,DATOS!$G$2:$G$20000,CONFIG_METADATA!$B$4,DATOS!$I$2:$I$20000,"Análisis"),"")))</f>
        <v/>
      </c>
      <c r="AG476" t="str">
        <f>IF(AE476="","",IF(AE476="[FÓRMULA MANUAL]","",IFERROR(AVERAGEIFS(DATOS!$K$2:$K$20000,DATOS!$A$2:$A$20000,AE476,DATOS!$G$2:$G$20000,CONFIG_METADATA!$B$4,DATOS!$I$2:$I$20000,"Orquesta/Banda/Conjunto"),"")))</f>
        <v/>
      </c>
      <c r="AH476" t="str">
        <f>IF(AE476="","",IF(AE476="[FÓRMULA MANUAL]","",IFERROR(AVERAGEIFS(DATOS!$K$2:$K$20000,DATOS!$A$2:$A$20000,AE476,DATOS!$G$2:$G$20000,CONFIG_METADATA!$B$4,DATOS!$I$2:$I$20000,"Música de Cámara"),"")))</f>
        <v/>
      </c>
      <c r="AI476" t="str">
        <f>IF(AE476="","",IF(AE476="[FÓRMULA MANUAL]","",IFERROR(SUMPRODUCT((DATOS!$A$2:$A$20000=AE476)*(DATOS!$G$2:$G$20000=CONFIG_METADATA!$B$4)*(COUNTIF(CONFIG_ASIGNATURAS!$B$7:$B$27,DATOS!$I$2:$I$20000)&gt;0)*(DATOS!$K$2:$K$20000))/SUMPRODUCT((DATOS!$A$2:$A$20000=AE476)*(DATOS!$G$2:$G$20000=CONFIG_METADATA!$B$4)*(COUNTIF(CONFIG_ASIGNATURAS!$B$7:$B$27,DATOS!$I$2:$I$20000)&gt;0)*1),"")))</f>
        <v/>
      </c>
    </row>
    <row r="477" spans="2:35" x14ac:dyDescent="0.2">
      <c r="B477" t="str">
        <f>IF(A477="","",IF(A477="[FÓRMULA MANUAL]","",IFERROR(AVERAGEIFS(DATOS!$K$2:$K$20000,DATOS!$A$2:$A$20000,A477,DATOS!$G$2:$G$20000,CONFIG_METADATA!$B$4,DATOS!$I$2:$I$20000,"Lenguaje Musical"),"")))</f>
        <v/>
      </c>
      <c r="C477" t="str">
        <f>IF(A477="","",IF(A477="[FÓRMULA MANUAL]","",IFERROR(AVERAGEIFS(DATOS!$K$2:$K$20000,DATOS!$A$2:$A$20000,A477,DATOS!$G$2:$G$20000,CONFIG_METADATA!$B$4,DATOS!$I$2:$I$20000,"Orquesta/Banda/Conjunto"),"")))</f>
        <v/>
      </c>
      <c r="D477" t="str">
        <f>IF(A477="","",IF(A477="[FÓRMULA MANUAL]","",IFERROR(AVERAGEIFS(DATOS!$K$2:$K$20000,DATOS!$A$2:$A$20000,A477,DATOS!$G$2:$G$20000,CONFIG_METADATA!$B$4,DATOS!$I$2:$I$20000,"Conjunto"),"")))</f>
        <v/>
      </c>
      <c r="E477" t="str">
        <f>IF(A477="","",IF(A477="[FÓRMULA MANUAL]","",IFERROR(SUMPRODUCT((DATOS!$A$2:$A$20000=A477)*(DATOS!$G$2:$G$20000=CONFIG_METADATA!$B$4)*(COUNTIF(CONFIG_ASIGNATURAS!$B$7:$B$27,DATOS!$I$2:$I$20000)&gt;0)*(DATOS!$K$2:$K$20000))/SUMPRODUCT((DATOS!$A$2:$A$20000=A477)*(DATOS!$G$2:$G$20000=CONFIG_METADATA!$B$4)*(COUNTIF(CONFIG_ASIGNATURAS!$B$7:$B$27,DATOS!$I$2:$I$20000)&gt;0)*1),"")))</f>
        <v/>
      </c>
      <c r="H477" t="str">
        <f>IF(G477="","",IF(G477="[FÓRMULA MANUAL]","",IFERROR(AVERAGEIFS(DATOS!$K$2:$K$20000,DATOS!$A$2:$A$20000,G477,DATOS!$G$2:$G$20000,CONFIG_METADATA!$B$4,DATOS!$I$2:$I$20000,"Lenguaje Musical"),"")))</f>
        <v/>
      </c>
      <c r="I477" t="str">
        <f>IF(G477="","",IF(G477="[FÓRMULA MANUAL]","",IFERROR(AVERAGEIFS(DATOS!$K$2:$K$20000,DATOS!$A$2:$A$20000,G477,DATOS!$G$2:$G$20000,CONFIG_METADATA!$B$4,DATOS!$I$2:$I$20000,"Orquesta/Banda/Conjunto"),"")))</f>
        <v/>
      </c>
      <c r="J477" t="str">
        <f>IF(G477="","",IF(G477="[FÓRMULA MANUAL]","",IFERROR(AVERAGEIFS(DATOS!$K$2:$K$20000,DATOS!$A$2:$A$20000,G477,DATOS!$G$2:$G$20000,CONFIG_METADATA!$B$4,DATOS!$I$2:$I$20000,"Conjunto"),"")))</f>
        <v/>
      </c>
      <c r="K477" t="str">
        <f>IF(G477="","",IF(G477="[FÓRMULA MANUAL]","",IFERROR(SUMPRODUCT((DATOS!$A$2:$A$20000=G477)*(DATOS!$G$2:$G$20000=CONFIG_METADATA!$B$4)*(COUNTIF(CONFIG_ASIGNATURAS!$B$7:$B$27,DATOS!$I$2:$I$20000)&gt;0)*(DATOS!$K$2:$K$20000))/SUMPRODUCT((DATOS!$A$2:$A$20000=G477)*(DATOS!$G$2:$G$20000=CONFIG_METADATA!$B$4)*(COUNTIF(CONFIG_ASIGNATURAS!$B$7:$B$27,DATOS!$I$2:$I$20000)&gt;0)*1),"")))</f>
        <v/>
      </c>
      <c r="N477" t="str">
        <f>IF(M477="","",IF(M477="[FÓRMULA MANUAL]","",IFERROR(AVERAGEIFS(DATOS!$K$2:$K$20000,DATOS!$A$2:$A$20000,M477,DATOS!$G$2:$G$20000,CONFIG_METADATA!$B$4,DATOS!$I$2:$I$20000,"Armonía"),"")))</f>
        <v/>
      </c>
      <c r="O477" t="str">
        <f>IF(M477="","",IF(M477="[FÓRMULA MANUAL]","",IFERROR(AVERAGEIFS(DATOS!$K$2:$K$20000,DATOS!$A$2:$A$20000,M477,DATOS!$G$2:$G$20000,CONFIG_METADATA!$B$4,DATOS!$I$2:$I$20000,"Orquesta/Banda/Conjunto"),"")))</f>
        <v/>
      </c>
      <c r="P477" t="str">
        <f>IF(M477="","",IF(M477="[FÓRMULA MANUAL]","",IFERROR(AVERAGEIFS(DATOS!$K$2:$K$20000,DATOS!$A$2:$A$20000,M477,DATOS!$G$2:$G$20000,CONFIG_METADATA!$B$4,DATOS!$I$2:$I$20000,"Música de Cámara"),"")))</f>
        <v/>
      </c>
      <c r="Q477" t="str">
        <f>IF(M477="","",IF(M477="[FÓRMULA MANUAL]","",IFERROR(SUMPRODUCT((DATOS!$A$2:$A$20000=M477)*(DATOS!$G$2:$G$20000=CONFIG_METADATA!$B$4)*(COUNTIF(CONFIG_ASIGNATURAS!$B$7:$B$27,DATOS!$I$2:$I$20000)&gt;0)*(DATOS!$K$2:$K$20000))/SUMPRODUCT((DATOS!$A$2:$A$20000=M477)*(DATOS!$G$2:$G$20000=CONFIG_METADATA!$B$4)*(COUNTIF(CONFIG_ASIGNATURAS!$B$7:$B$27,DATOS!$I$2:$I$20000)&gt;0)*1),"")))</f>
        <v/>
      </c>
      <c r="T477" t="str">
        <f>IF(S477="","",IF(S477="[FÓRMULA MANUAL]","",IFERROR(AVERAGEIFS(DATOS!$K$2:$K$20000,DATOS!$A$2:$A$20000,S477,DATOS!$G$2:$G$20000,CONFIG_METADATA!$B$4,DATOS!$I$2:$I$20000,"Armonía"),"")))</f>
        <v/>
      </c>
      <c r="U477" t="str">
        <f>IF(S477="","",IF(S477="[FÓRMULA MANUAL]","",IFERROR(AVERAGEIFS(DATOS!$K$2:$K$20000,DATOS!$A$2:$A$20000,S477,DATOS!$G$2:$G$20000,CONFIG_METADATA!$B$4,DATOS!$I$2:$I$20000,"Orquesta/Banda/Conjunto"),"")))</f>
        <v/>
      </c>
      <c r="V477" t="str">
        <f>IF(S477="","",IF(S477="[FÓRMULA MANUAL]","",IFERROR(AVERAGEIFS(DATOS!$K$2:$K$20000,DATOS!$A$2:$A$20000,S477,DATOS!$G$2:$G$20000,CONFIG_METADATA!$B$4,DATOS!$I$2:$I$20000,"Música de Cámara"),"")))</f>
        <v/>
      </c>
      <c r="W477" t="str">
        <f>IF(S477="","",IF(S477="[FÓRMULA MANUAL]","",IFERROR(SUMPRODUCT((DATOS!$A$2:$A$20000=S477)*(DATOS!$G$2:$G$20000=CONFIG_METADATA!$B$4)*(COUNTIF(CONFIG_ASIGNATURAS!$B$7:$B$27,DATOS!$I$2:$I$20000)&gt;0)*(DATOS!$K$2:$K$20000))/SUMPRODUCT((DATOS!$A$2:$A$20000=S477)*(DATOS!$G$2:$G$20000=CONFIG_METADATA!$B$4)*(COUNTIF(CONFIG_ASIGNATURAS!$B$7:$B$27,DATOS!$I$2:$I$20000)&gt;0)*1),"")))</f>
        <v/>
      </c>
      <c r="Z477" t="str">
        <f>IF(Y477="","",IF(Y477="[FÓRMULA MANUAL]","",IFERROR(AVERAGEIFS(DATOS!$K$2:$K$20000,DATOS!$A$2:$A$20000,Y477,DATOS!$G$2:$G$20000,CONFIG_METADATA!$B$4,DATOS!$I$2:$I$20000,"Análisis"),"")))</f>
        <v/>
      </c>
      <c r="AA477" t="str">
        <f>IF(Y477="","",IF(Y477="[FÓRMULA MANUAL]","",IFERROR(AVERAGEIFS(DATOS!$K$2:$K$20000,DATOS!$A$2:$A$20000,Y477,DATOS!$G$2:$G$20000,CONFIG_METADATA!$B$4,DATOS!$I$2:$I$20000,"Orquesta/Banda/Conjunto"),"")))</f>
        <v/>
      </c>
      <c r="AB477" t="str">
        <f>IF(Y477="","",IF(Y477="[FÓRMULA MANUAL]","",IFERROR(AVERAGEIFS(DATOS!$K$2:$K$20000,DATOS!$A$2:$A$20000,Y477,DATOS!$G$2:$G$20000,CONFIG_METADATA!$B$4,DATOS!$I$2:$I$20000,"Música de Cámara"),"")))</f>
        <v/>
      </c>
      <c r="AC477" t="str">
        <f>IF(Y477="","",IF(Y477="[FÓRMULA MANUAL]","",IFERROR(SUMPRODUCT((DATOS!$A$2:$A$20000=Y477)*(DATOS!$G$2:$G$20000=CONFIG_METADATA!$B$4)*(COUNTIF(CONFIG_ASIGNATURAS!$B$7:$B$27,DATOS!$I$2:$I$20000)&gt;0)*(DATOS!$K$2:$K$20000))/SUMPRODUCT((DATOS!$A$2:$A$20000=Y477)*(DATOS!$G$2:$G$20000=CONFIG_METADATA!$B$4)*(COUNTIF(CONFIG_ASIGNATURAS!$B$7:$B$27,DATOS!$I$2:$I$20000)&gt;0)*1),"")))</f>
        <v/>
      </c>
      <c r="AF477" t="str">
        <f>IF(AE477="","",IF(AE477="[FÓRMULA MANUAL]","",IFERROR(AVERAGEIFS(DATOS!$K$2:$K$20000,DATOS!$A$2:$A$20000,AE477,DATOS!$G$2:$G$20000,CONFIG_METADATA!$B$4,DATOS!$I$2:$I$20000,"Análisis"),"")))</f>
        <v/>
      </c>
      <c r="AG477" t="str">
        <f>IF(AE477="","",IF(AE477="[FÓRMULA MANUAL]","",IFERROR(AVERAGEIFS(DATOS!$K$2:$K$20000,DATOS!$A$2:$A$20000,AE477,DATOS!$G$2:$G$20000,CONFIG_METADATA!$B$4,DATOS!$I$2:$I$20000,"Orquesta/Banda/Conjunto"),"")))</f>
        <v/>
      </c>
      <c r="AH477" t="str">
        <f>IF(AE477="","",IF(AE477="[FÓRMULA MANUAL]","",IFERROR(AVERAGEIFS(DATOS!$K$2:$K$20000,DATOS!$A$2:$A$20000,AE477,DATOS!$G$2:$G$20000,CONFIG_METADATA!$B$4,DATOS!$I$2:$I$20000,"Música de Cámara"),"")))</f>
        <v/>
      </c>
      <c r="AI477" t="str">
        <f>IF(AE477="","",IF(AE477="[FÓRMULA MANUAL]","",IFERROR(SUMPRODUCT((DATOS!$A$2:$A$20000=AE477)*(DATOS!$G$2:$G$20000=CONFIG_METADATA!$B$4)*(COUNTIF(CONFIG_ASIGNATURAS!$B$7:$B$27,DATOS!$I$2:$I$20000)&gt;0)*(DATOS!$K$2:$K$20000))/SUMPRODUCT((DATOS!$A$2:$A$20000=AE477)*(DATOS!$G$2:$G$20000=CONFIG_METADATA!$B$4)*(COUNTIF(CONFIG_ASIGNATURAS!$B$7:$B$27,DATOS!$I$2:$I$20000)&gt;0)*1),"")))</f>
        <v/>
      </c>
    </row>
    <row r="478" spans="2:35" x14ac:dyDescent="0.2">
      <c r="B478" t="str">
        <f>IF(A478="","",IF(A478="[FÓRMULA MANUAL]","",IFERROR(AVERAGEIFS(DATOS!$K$2:$K$20000,DATOS!$A$2:$A$20000,A478,DATOS!$G$2:$G$20000,CONFIG_METADATA!$B$4,DATOS!$I$2:$I$20000,"Lenguaje Musical"),"")))</f>
        <v/>
      </c>
      <c r="C478" t="str">
        <f>IF(A478="","",IF(A478="[FÓRMULA MANUAL]","",IFERROR(AVERAGEIFS(DATOS!$K$2:$K$20000,DATOS!$A$2:$A$20000,A478,DATOS!$G$2:$G$20000,CONFIG_METADATA!$B$4,DATOS!$I$2:$I$20000,"Orquesta/Banda/Conjunto"),"")))</f>
        <v/>
      </c>
      <c r="D478" t="str">
        <f>IF(A478="","",IF(A478="[FÓRMULA MANUAL]","",IFERROR(AVERAGEIFS(DATOS!$K$2:$K$20000,DATOS!$A$2:$A$20000,A478,DATOS!$G$2:$G$20000,CONFIG_METADATA!$B$4,DATOS!$I$2:$I$20000,"Conjunto"),"")))</f>
        <v/>
      </c>
      <c r="E478" t="str">
        <f>IF(A478="","",IF(A478="[FÓRMULA MANUAL]","",IFERROR(SUMPRODUCT((DATOS!$A$2:$A$20000=A478)*(DATOS!$G$2:$G$20000=CONFIG_METADATA!$B$4)*(COUNTIF(CONFIG_ASIGNATURAS!$B$7:$B$27,DATOS!$I$2:$I$20000)&gt;0)*(DATOS!$K$2:$K$20000))/SUMPRODUCT((DATOS!$A$2:$A$20000=A478)*(DATOS!$G$2:$G$20000=CONFIG_METADATA!$B$4)*(COUNTIF(CONFIG_ASIGNATURAS!$B$7:$B$27,DATOS!$I$2:$I$20000)&gt;0)*1),"")))</f>
        <v/>
      </c>
      <c r="H478" t="str">
        <f>IF(G478="","",IF(G478="[FÓRMULA MANUAL]","",IFERROR(AVERAGEIFS(DATOS!$K$2:$K$20000,DATOS!$A$2:$A$20000,G478,DATOS!$G$2:$G$20000,CONFIG_METADATA!$B$4,DATOS!$I$2:$I$20000,"Lenguaje Musical"),"")))</f>
        <v/>
      </c>
      <c r="I478" t="str">
        <f>IF(G478="","",IF(G478="[FÓRMULA MANUAL]","",IFERROR(AVERAGEIFS(DATOS!$K$2:$K$20000,DATOS!$A$2:$A$20000,G478,DATOS!$G$2:$G$20000,CONFIG_METADATA!$B$4,DATOS!$I$2:$I$20000,"Orquesta/Banda/Conjunto"),"")))</f>
        <v/>
      </c>
      <c r="J478" t="str">
        <f>IF(G478="","",IF(G478="[FÓRMULA MANUAL]","",IFERROR(AVERAGEIFS(DATOS!$K$2:$K$20000,DATOS!$A$2:$A$20000,G478,DATOS!$G$2:$G$20000,CONFIG_METADATA!$B$4,DATOS!$I$2:$I$20000,"Conjunto"),"")))</f>
        <v/>
      </c>
      <c r="K478" t="str">
        <f>IF(G478="","",IF(G478="[FÓRMULA MANUAL]","",IFERROR(SUMPRODUCT((DATOS!$A$2:$A$20000=G478)*(DATOS!$G$2:$G$20000=CONFIG_METADATA!$B$4)*(COUNTIF(CONFIG_ASIGNATURAS!$B$7:$B$27,DATOS!$I$2:$I$20000)&gt;0)*(DATOS!$K$2:$K$20000))/SUMPRODUCT((DATOS!$A$2:$A$20000=G478)*(DATOS!$G$2:$G$20000=CONFIG_METADATA!$B$4)*(COUNTIF(CONFIG_ASIGNATURAS!$B$7:$B$27,DATOS!$I$2:$I$20000)&gt;0)*1),"")))</f>
        <v/>
      </c>
      <c r="N478" t="str">
        <f>IF(M478="","",IF(M478="[FÓRMULA MANUAL]","",IFERROR(AVERAGEIFS(DATOS!$K$2:$K$20000,DATOS!$A$2:$A$20000,M478,DATOS!$G$2:$G$20000,CONFIG_METADATA!$B$4,DATOS!$I$2:$I$20000,"Armonía"),"")))</f>
        <v/>
      </c>
      <c r="O478" t="str">
        <f>IF(M478="","",IF(M478="[FÓRMULA MANUAL]","",IFERROR(AVERAGEIFS(DATOS!$K$2:$K$20000,DATOS!$A$2:$A$20000,M478,DATOS!$G$2:$G$20000,CONFIG_METADATA!$B$4,DATOS!$I$2:$I$20000,"Orquesta/Banda/Conjunto"),"")))</f>
        <v/>
      </c>
      <c r="P478" t="str">
        <f>IF(M478="","",IF(M478="[FÓRMULA MANUAL]","",IFERROR(AVERAGEIFS(DATOS!$K$2:$K$20000,DATOS!$A$2:$A$20000,M478,DATOS!$G$2:$G$20000,CONFIG_METADATA!$B$4,DATOS!$I$2:$I$20000,"Música de Cámara"),"")))</f>
        <v/>
      </c>
      <c r="Q478" t="str">
        <f>IF(M478="","",IF(M478="[FÓRMULA MANUAL]","",IFERROR(SUMPRODUCT((DATOS!$A$2:$A$20000=M478)*(DATOS!$G$2:$G$20000=CONFIG_METADATA!$B$4)*(COUNTIF(CONFIG_ASIGNATURAS!$B$7:$B$27,DATOS!$I$2:$I$20000)&gt;0)*(DATOS!$K$2:$K$20000))/SUMPRODUCT((DATOS!$A$2:$A$20000=M478)*(DATOS!$G$2:$G$20000=CONFIG_METADATA!$B$4)*(COUNTIF(CONFIG_ASIGNATURAS!$B$7:$B$27,DATOS!$I$2:$I$20000)&gt;0)*1),"")))</f>
        <v/>
      </c>
      <c r="T478" t="str">
        <f>IF(S478="","",IF(S478="[FÓRMULA MANUAL]","",IFERROR(AVERAGEIFS(DATOS!$K$2:$K$20000,DATOS!$A$2:$A$20000,S478,DATOS!$G$2:$G$20000,CONFIG_METADATA!$B$4,DATOS!$I$2:$I$20000,"Armonía"),"")))</f>
        <v/>
      </c>
      <c r="U478" t="str">
        <f>IF(S478="","",IF(S478="[FÓRMULA MANUAL]","",IFERROR(AVERAGEIFS(DATOS!$K$2:$K$20000,DATOS!$A$2:$A$20000,S478,DATOS!$G$2:$G$20000,CONFIG_METADATA!$B$4,DATOS!$I$2:$I$20000,"Orquesta/Banda/Conjunto"),"")))</f>
        <v/>
      </c>
      <c r="V478" t="str">
        <f>IF(S478="","",IF(S478="[FÓRMULA MANUAL]","",IFERROR(AVERAGEIFS(DATOS!$K$2:$K$20000,DATOS!$A$2:$A$20000,S478,DATOS!$G$2:$G$20000,CONFIG_METADATA!$B$4,DATOS!$I$2:$I$20000,"Música de Cámara"),"")))</f>
        <v/>
      </c>
      <c r="W478" t="str">
        <f>IF(S478="","",IF(S478="[FÓRMULA MANUAL]","",IFERROR(SUMPRODUCT((DATOS!$A$2:$A$20000=S478)*(DATOS!$G$2:$G$20000=CONFIG_METADATA!$B$4)*(COUNTIF(CONFIG_ASIGNATURAS!$B$7:$B$27,DATOS!$I$2:$I$20000)&gt;0)*(DATOS!$K$2:$K$20000))/SUMPRODUCT((DATOS!$A$2:$A$20000=S478)*(DATOS!$G$2:$G$20000=CONFIG_METADATA!$B$4)*(COUNTIF(CONFIG_ASIGNATURAS!$B$7:$B$27,DATOS!$I$2:$I$20000)&gt;0)*1),"")))</f>
        <v/>
      </c>
      <c r="Z478" t="str">
        <f>IF(Y478="","",IF(Y478="[FÓRMULA MANUAL]","",IFERROR(AVERAGEIFS(DATOS!$K$2:$K$20000,DATOS!$A$2:$A$20000,Y478,DATOS!$G$2:$G$20000,CONFIG_METADATA!$B$4,DATOS!$I$2:$I$20000,"Análisis"),"")))</f>
        <v/>
      </c>
      <c r="AA478" t="str">
        <f>IF(Y478="","",IF(Y478="[FÓRMULA MANUAL]","",IFERROR(AVERAGEIFS(DATOS!$K$2:$K$20000,DATOS!$A$2:$A$20000,Y478,DATOS!$G$2:$G$20000,CONFIG_METADATA!$B$4,DATOS!$I$2:$I$20000,"Orquesta/Banda/Conjunto"),"")))</f>
        <v/>
      </c>
      <c r="AB478" t="str">
        <f>IF(Y478="","",IF(Y478="[FÓRMULA MANUAL]","",IFERROR(AVERAGEIFS(DATOS!$K$2:$K$20000,DATOS!$A$2:$A$20000,Y478,DATOS!$G$2:$G$20000,CONFIG_METADATA!$B$4,DATOS!$I$2:$I$20000,"Música de Cámara"),"")))</f>
        <v/>
      </c>
      <c r="AC478" t="str">
        <f>IF(Y478="","",IF(Y478="[FÓRMULA MANUAL]","",IFERROR(SUMPRODUCT((DATOS!$A$2:$A$20000=Y478)*(DATOS!$G$2:$G$20000=CONFIG_METADATA!$B$4)*(COUNTIF(CONFIG_ASIGNATURAS!$B$7:$B$27,DATOS!$I$2:$I$20000)&gt;0)*(DATOS!$K$2:$K$20000))/SUMPRODUCT((DATOS!$A$2:$A$20000=Y478)*(DATOS!$G$2:$G$20000=CONFIG_METADATA!$B$4)*(COUNTIF(CONFIG_ASIGNATURAS!$B$7:$B$27,DATOS!$I$2:$I$20000)&gt;0)*1),"")))</f>
        <v/>
      </c>
      <c r="AF478" t="str">
        <f>IF(AE478="","",IF(AE478="[FÓRMULA MANUAL]","",IFERROR(AVERAGEIFS(DATOS!$K$2:$K$20000,DATOS!$A$2:$A$20000,AE478,DATOS!$G$2:$G$20000,CONFIG_METADATA!$B$4,DATOS!$I$2:$I$20000,"Análisis"),"")))</f>
        <v/>
      </c>
      <c r="AG478" t="str">
        <f>IF(AE478="","",IF(AE478="[FÓRMULA MANUAL]","",IFERROR(AVERAGEIFS(DATOS!$K$2:$K$20000,DATOS!$A$2:$A$20000,AE478,DATOS!$G$2:$G$20000,CONFIG_METADATA!$B$4,DATOS!$I$2:$I$20000,"Orquesta/Banda/Conjunto"),"")))</f>
        <v/>
      </c>
      <c r="AH478" t="str">
        <f>IF(AE478="","",IF(AE478="[FÓRMULA MANUAL]","",IFERROR(AVERAGEIFS(DATOS!$K$2:$K$20000,DATOS!$A$2:$A$20000,AE478,DATOS!$G$2:$G$20000,CONFIG_METADATA!$B$4,DATOS!$I$2:$I$20000,"Música de Cámara"),"")))</f>
        <v/>
      </c>
      <c r="AI478" t="str">
        <f>IF(AE478="","",IF(AE478="[FÓRMULA MANUAL]","",IFERROR(SUMPRODUCT((DATOS!$A$2:$A$20000=AE478)*(DATOS!$G$2:$G$20000=CONFIG_METADATA!$B$4)*(COUNTIF(CONFIG_ASIGNATURAS!$B$7:$B$27,DATOS!$I$2:$I$20000)&gt;0)*(DATOS!$K$2:$K$20000))/SUMPRODUCT((DATOS!$A$2:$A$20000=AE478)*(DATOS!$G$2:$G$20000=CONFIG_METADATA!$B$4)*(COUNTIF(CONFIG_ASIGNATURAS!$B$7:$B$27,DATOS!$I$2:$I$20000)&gt;0)*1),"")))</f>
        <v/>
      </c>
    </row>
    <row r="479" spans="2:35" x14ac:dyDescent="0.2">
      <c r="B479" t="str">
        <f>IF(A479="","",IF(A479="[FÓRMULA MANUAL]","",IFERROR(AVERAGEIFS(DATOS!$K$2:$K$20000,DATOS!$A$2:$A$20000,A479,DATOS!$G$2:$G$20000,CONFIG_METADATA!$B$4,DATOS!$I$2:$I$20000,"Lenguaje Musical"),"")))</f>
        <v/>
      </c>
      <c r="C479" t="str">
        <f>IF(A479="","",IF(A479="[FÓRMULA MANUAL]","",IFERROR(AVERAGEIFS(DATOS!$K$2:$K$20000,DATOS!$A$2:$A$20000,A479,DATOS!$G$2:$G$20000,CONFIG_METADATA!$B$4,DATOS!$I$2:$I$20000,"Orquesta/Banda/Conjunto"),"")))</f>
        <v/>
      </c>
      <c r="D479" t="str">
        <f>IF(A479="","",IF(A479="[FÓRMULA MANUAL]","",IFERROR(AVERAGEIFS(DATOS!$K$2:$K$20000,DATOS!$A$2:$A$20000,A479,DATOS!$G$2:$G$20000,CONFIG_METADATA!$B$4,DATOS!$I$2:$I$20000,"Conjunto"),"")))</f>
        <v/>
      </c>
      <c r="E479" t="str">
        <f>IF(A479="","",IF(A479="[FÓRMULA MANUAL]","",IFERROR(SUMPRODUCT((DATOS!$A$2:$A$20000=A479)*(DATOS!$G$2:$G$20000=CONFIG_METADATA!$B$4)*(COUNTIF(CONFIG_ASIGNATURAS!$B$7:$B$27,DATOS!$I$2:$I$20000)&gt;0)*(DATOS!$K$2:$K$20000))/SUMPRODUCT((DATOS!$A$2:$A$20000=A479)*(DATOS!$G$2:$G$20000=CONFIG_METADATA!$B$4)*(COUNTIF(CONFIG_ASIGNATURAS!$B$7:$B$27,DATOS!$I$2:$I$20000)&gt;0)*1),"")))</f>
        <v/>
      </c>
      <c r="H479" t="str">
        <f>IF(G479="","",IF(G479="[FÓRMULA MANUAL]","",IFERROR(AVERAGEIFS(DATOS!$K$2:$K$20000,DATOS!$A$2:$A$20000,G479,DATOS!$G$2:$G$20000,CONFIG_METADATA!$B$4,DATOS!$I$2:$I$20000,"Lenguaje Musical"),"")))</f>
        <v/>
      </c>
      <c r="I479" t="str">
        <f>IF(G479="","",IF(G479="[FÓRMULA MANUAL]","",IFERROR(AVERAGEIFS(DATOS!$K$2:$K$20000,DATOS!$A$2:$A$20000,G479,DATOS!$G$2:$G$20000,CONFIG_METADATA!$B$4,DATOS!$I$2:$I$20000,"Orquesta/Banda/Conjunto"),"")))</f>
        <v/>
      </c>
      <c r="J479" t="str">
        <f>IF(G479="","",IF(G479="[FÓRMULA MANUAL]","",IFERROR(AVERAGEIFS(DATOS!$K$2:$K$20000,DATOS!$A$2:$A$20000,G479,DATOS!$G$2:$G$20000,CONFIG_METADATA!$B$4,DATOS!$I$2:$I$20000,"Conjunto"),"")))</f>
        <v/>
      </c>
      <c r="K479" t="str">
        <f>IF(G479="","",IF(G479="[FÓRMULA MANUAL]","",IFERROR(SUMPRODUCT((DATOS!$A$2:$A$20000=G479)*(DATOS!$G$2:$G$20000=CONFIG_METADATA!$B$4)*(COUNTIF(CONFIG_ASIGNATURAS!$B$7:$B$27,DATOS!$I$2:$I$20000)&gt;0)*(DATOS!$K$2:$K$20000))/SUMPRODUCT((DATOS!$A$2:$A$20000=G479)*(DATOS!$G$2:$G$20000=CONFIG_METADATA!$B$4)*(COUNTIF(CONFIG_ASIGNATURAS!$B$7:$B$27,DATOS!$I$2:$I$20000)&gt;0)*1),"")))</f>
        <v/>
      </c>
      <c r="N479" t="str">
        <f>IF(M479="","",IF(M479="[FÓRMULA MANUAL]","",IFERROR(AVERAGEIFS(DATOS!$K$2:$K$20000,DATOS!$A$2:$A$20000,M479,DATOS!$G$2:$G$20000,CONFIG_METADATA!$B$4,DATOS!$I$2:$I$20000,"Armonía"),"")))</f>
        <v/>
      </c>
      <c r="O479" t="str">
        <f>IF(M479="","",IF(M479="[FÓRMULA MANUAL]","",IFERROR(AVERAGEIFS(DATOS!$K$2:$K$20000,DATOS!$A$2:$A$20000,M479,DATOS!$G$2:$G$20000,CONFIG_METADATA!$B$4,DATOS!$I$2:$I$20000,"Orquesta/Banda/Conjunto"),"")))</f>
        <v/>
      </c>
      <c r="P479" t="str">
        <f>IF(M479="","",IF(M479="[FÓRMULA MANUAL]","",IFERROR(AVERAGEIFS(DATOS!$K$2:$K$20000,DATOS!$A$2:$A$20000,M479,DATOS!$G$2:$G$20000,CONFIG_METADATA!$B$4,DATOS!$I$2:$I$20000,"Música de Cámara"),"")))</f>
        <v/>
      </c>
      <c r="Q479" t="str">
        <f>IF(M479="","",IF(M479="[FÓRMULA MANUAL]","",IFERROR(SUMPRODUCT((DATOS!$A$2:$A$20000=M479)*(DATOS!$G$2:$G$20000=CONFIG_METADATA!$B$4)*(COUNTIF(CONFIG_ASIGNATURAS!$B$7:$B$27,DATOS!$I$2:$I$20000)&gt;0)*(DATOS!$K$2:$K$20000))/SUMPRODUCT((DATOS!$A$2:$A$20000=M479)*(DATOS!$G$2:$G$20000=CONFIG_METADATA!$B$4)*(COUNTIF(CONFIG_ASIGNATURAS!$B$7:$B$27,DATOS!$I$2:$I$20000)&gt;0)*1),"")))</f>
        <v/>
      </c>
      <c r="T479" t="str">
        <f>IF(S479="","",IF(S479="[FÓRMULA MANUAL]","",IFERROR(AVERAGEIFS(DATOS!$K$2:$K$20000,DATOS!$A$2:$A$20000,S479,DATOS!$G$2:$G$20000,CONFIG_METADATA!$B$4,DATOS!$I$2:$I$20000,"Armonía"),"")))</f>
        <v/>
      </c>
      <c r="U479" t="str">
        <f>IF(S479="","",IF(S479="[FÓRMULA MANUAL]","",IFERROR(AVERAGEIFS(DATOS!$K$2:$K$20000,DATOS!$A$2:$A$20000,S479,DATOS!$G$2:$G$20000,CONFIG_METADATA!$B$4,DATOS!$I$2:$I$20000,"Orquesta/Banda/Conjunto"),"")))</f>
        <v/>
      </c>
      <c r="V479" t="str">
        <f>IF(S479="","",IF(S479="[FÓRMULA MANUAL]","",IFERROR(AVERAGEIFS(DATOS!$K$2:$K$20000,DATOS!$A$2:$A$20000,S479,DATOS!$G$2:$G$20000,CONFIG_METADATA!$B$4,DATOS!$I$2:$I$20000,"Música de Cámara"),"")))</f>
        <v/>
      </c>
      <c r="W479" t="str">
        <f>IF(S479="","",IF(S479="[FÓRMULA MANUAL]","",IFERROR(SUMPRODUCT((DATOS!$A$2:$A$20000=S479)*(DATOS!$G$2:$G$20000=CONFIG_METADATA!$B$4)*(COUNTIF(CONFIG_ASIGNATURAS!$B$7:$B$27,DATOS!$I$2:$I$20000)&gt;0)*(DATOS!$K$2:$K$20000))/SUMPRODUCT((DATOS!$A$2:$A$20000=S479)*(DATOS!$G$2:$G$20000=CONFIG_METADATA!$B$4)*(COUNTIF(CONFIG_ASIGNATURAS!$B$7:$B$27,DATOS!$I$2:$I$20000)&gt;0)*1),"")))</f>
        <v/>
      </c>
      <c r="Z479" t="str">
        <f>IF(Y479="","",IF(Y479="[FÓRMULA MANUAL]","",IFERROR(AVERAGEIFS(DATOS!$K$2:$K$20000,DATOS!$A$2:$A$20000,Y479,DATOS!$G$2:$G$20000,CONFIG_METADATA!$B$4,DATOS!$I$2:$I$20000,"Análisis"),"")))</f>
        <v/>
      </c>
      <c r="AA479" t="str">
        <f>IF(Y479="","",IF(Y479="[FÓRMULA MANUAL]","",IFERROR(AVERAGEIFS(DATOS!$K$2:$K$20000,DATOS!$A$2:$A$20000,Y479,DATOS!$G$2:$G$20000,CONFIG_METADATA!$B$4,DATOS!$I$2:$I$20000,"Orquesta/Banda/Conjunto"),"")))</f>
        <v/>
      </c>
      <c r="AB479" t="str">
        <f>IF(Y479="","",IF(Y479="[FÓRMULA MANUAL]","",IFERROR(AVERAGEIFS(DATOS!$K$2:$K$20000,DATOS!$A$2:$A$20000,Y479,DATOS!$G$2:$G$20000,CONFIG_METADATA!$B$4,DATOS!$I$2:$I$20000,"Música de Cámara"),"")))</f>
        <v/>
      </c>
      <c r="AC479" t="str">
        <f>IF(Y479="","",IF(Y479="[FÓRMULA MANUAL]","",IFERROR(SUMPRODUCT((DATOS!$A$2:$A$20000=Y479)*(DATOS!$G$2:$G$20000=CONFIG_METADATA!$B$4)*(COUNTIF(CONFIG_ASIGNATURAS!$B$7:$B$27,DATOS!$I$2:$I$20000)&gt;0)*(DATOS!$K$2:$K$20000))/SUMPRODUCT((DATOS!$A$2:$A$20000=Y479)*(DATOS!$G$2:$G$20000=CONFIG_METADATA!$B$4)*(COUNTIF(CONFIG_ASIGNATURAS!$B$7:$B$27,DATOS!$I$2:$I$20000)&gt;0)*1),"")))</f>
        <v/>
      </c>
      <c r="AF479" t="str">
        <f>IF(AE479="","",IF(AE479="[FÓRMULA MANUAL]","",IFERROR(AVERAGEIFS(DATOS!$K$2:$K$20000,DATOS!$A$2:$A$20000,AE479,DATOS!$G$2:$G$20000,CONFIG_METADATA!$B$4,DATOS!$I$2:$I$20000,"Análisis"),"")))</f>
        <v/>
      </c>
      <c r="AG479" t="str">
        <f>IF(AE479="","",IF(AE479="[FÓRMULA MANUAL]","",IFERROR(AVERAGEIFS(DATOS!$K$2:$K$20000,DATOS!$A$2:$A$20000,AE479,DATOS!$G$2:$G$20000,CONFIG_METADATA!$B$4,DATOS!$I$2:$I$20000,"Orquesta/Banda/Conjunto"),"")))</f>
        <v/>
      </c>
      <c r="AH479" t="str">
        <f>IF(AE479="","",IF(AE479="[FÓRMULA MANUAL]","",IFERROR(AVERAGEIFS(DATOS!$K$2:$K$20000,DATOS!$A$2:$A$20000,AE479,DATOS!$G$2:$G$20000,CONFIG_METADATA!$B$4,DATOS!$I$2:$I$20000,"Música de Cámara"),"")))</f>
        <v/>
      </c>
      <c r="AI479" t="str">
        <f>IF(AE479="","",IF(AE479="[FÓRMULA MANUAL]","",IFERROR(SUMPRODUCT((DATOS!$A$2:$A$20000=AE479)*(DATOS!$G$2:$G$20000=CONFIG_METADATA!$B$4)*(COUNTIF(CONFIG_ASIGNATURAS!$B$7:$B$27,DATOS!$I$2:$I$20000)&gt;0)*(DATOS!$K$2:$K$20000))/SUMPRODUCT((DATOS!$A$2:$A$20000=AE479)*(DATOS!$G$2:$G$20000=CONFIG_METADATA!$B$4)*(COUNTIF(CONFIG_ASIGNATURAS!$B$7:$B$27,DATOS!$I$2:$I$20000)&gt;0)*1),"")))</f>
        <v/>
      </c>
    </row>
    <row r="480" spans="2:35" x14ac:dyDescent="0.2">
      <c r="B480" t="str">
        <f>IF(A480="","",IF(A480="[FÓRMULA MANUAL]","",IFERROR(AVERAGEIFS(DATOS!$K$2:$K$20000,DATOS!$A$2:$A$20000,A480,DATOS!$G$2:$G$20000,CONFIG_METADATA!$B$4,DATOS!$I$2:$I$20000,"Lenguaje Musical"),"")))</f>
        <v/>
      </c>
      <c r="C480" t="str">
        <f>IF(A480="","",IF(A480="[FÓRMULA MANUAL]","",IFERROR(AVERAGEIFS(DATOS!$K$2:$K$20000,DATOS!$A$2:$A$20000,A480,DATOS!$G$2:$G$20000,CONFIG_METADATA!$B$4,DATOS!$I$2:$I$20000,"Orquesta/Banda/Conjunto"),"")))</f>
        <v/>
      </c>
      <c r="D480" t="str">
        <f>IF(A480="","",IF(A480="[FÓRMULA MANUAL]","",IFERROR(AVERAGEIFS(DATOS!$K$2:$K$20000,DATOS!$A$2:$A$20000,A480,DATOS!$G$2:$G$20000,CONFIG_METADATA!$B$4,DATOS!$I$2:$I$20000,"Conjunto"),"")))</f>
        <v/>
      </c>
      <c r="E480" t="str">
        <f>IF(A480="","",IF(A480="[FÓRMULA MANUAL]","",IFERROR(SUMPRODUCT((DATOS!$A$2:$A$20000=A480)*(DATOS!$G$2:$G$20000=CONFIG_METADATA!$B$4)*(COUNTIF(CONFIG_ASIGNATURAS!$B$7:$B$27,DATOS!$I$2:$I$20000)&gt;0)*(DATOS!$K$2:$K$20000))/SUMPRODUCT((DATOS!$A$2:$A$20000=A480)*(DATOS!$G$2:$G$20000=CONFIG_METADATA!$B$4)*(COUNTIF(CONFIG_ASIGNATURAS!$B$7:$B$27,DATOS!$I$2:$I$20000)&gt;0)*1),"")))</f>
        <v/>
      </c>
      <c r="H480" t="str">
        <f>IF(G480="","",IF(G480="[FÓRMULA MANUAL]","",IFERROR(AVERAGEIFS(DATOS!$K$2:$K$20000,DATOS!$A$2:$A$20000,G480,DATOS!$G$2:$G$20000,CONFIG_METADATA!$B$4,DATOS!$I$2:$I$20000,"Lenguaje Musical"),"")))</f>
        <v/>
      </c>
      <c r="I480" t="str">
        <f>IF(G480="","",IF(G480="[FÓRMULA MANUAL]","",IFERROR(AVERAGEIFS(DATOS!$K$2:$K$20000,DATOS!$A$2:$A$20000,G480,DATOS!$G$2:$G$20000,CONFIG_METADATA!$B$4,DATOS!$I$2:$I$20000,"Orquesta/Banda/Conjunto"),"")))</f>
        <v/>
      </c>
      <c r="J480" t="str">
        <f>IF(G480="","",IF(G480="[FÓRMULA MANUAL]","",IFERROR(AVERAGEIFS(DATOS!$K$2:$K$20000,DATOS!$A$2:$A$20000,G480,DATOS!$G$2:$G$20000,CONFIG_METADATA!$B$4,DATOS!$I$2:$I$20000,"Conjunto"),"")))</f>
        <v/>
      </c>
      <c r="K480" t="str">
        <f>IF(G480="","",IF(G480="[FÓRMULA MANUAL]","",IFERROR(SUMPRODUCT((DATOS!$A$2:$A$20000=G480)*(DATOS!$G$2:$G$20000=CONFIG_METADATA!$B$4)*(COUNTIF(CONFIG_ASIGNATURAS!$B$7:$B$27,DATOS!$I$2:$I$20000)&gt;0)*(DATOS!$K$2:$K$20000))/SUMPRODUCT((DATOS!$A$2:$A$20000=G480)*(DATOS!$G$2:$G$20000=CONFIG_METADATA!$B$4)*(COUNTIF(CONFIG_ASIGNATURAS!$B$7:$B$27,DATOS!$I$2:$I$20000)&gt;0)*1),"")))</f>
        <v/>
      </c>
      <c r="N480" t="str">
        <f>IF(M480="","",IF(M480="[FÓRMULA MANUAL]","",IFERROR(AVERAGEIFS(DATOS!$K$2:$K$20000,DATOS!$A$2:$A$20000,M480,DATOS!$G$2:$G$20000,CONFIG_METADATA!$B$4,DATOS!$I$2:$I$20000,"Armonía"),"")))</f>
        <v/>
      </c>
      <c r="O480" t="str">
        <f>IF(M480="","",IF(M480="[FÓRMULA MANUAL]","",IFERROR(AVERAGEIFS(DATOS!$K$2:$K$20000,DATOS!$A$2:$A$20000,M480,DATOS!$G$2:$G$20000,CONFIG_METADATA!$B$4,DATOS!$I$2:$I$20000,"Orquesta/Banda/Conjunto"),"")))</f>
        <v/>
      </c>
      <c r="P480" t="str">
        <f>IF(M480="","",IF(M480="[FÓRMULA MANUAL]","",IFERROR(AVERAGEIFS(DATOS!$K$2:$K$20000,DATOS!$A$2:$A$20000,M480,DATOS!$G$2:$G$20000,CONFIG_METADATA!$B$4,DATOS!$I$2:$I$20000,"Música de Cámara"),"")))</f>
        <v/>
      </c>
      <c r="Q480" t="str">
        <f>IF(M480="","",IF(M480="[FÓRMULA MANUAL]","",IFERROR(SUMPRODUCT((DATOS!$A$2:$A$20000=M480)*(DATOS!$G$2:$G$20000=CONFIG_METADATA!$B$4)*(COUNTIF(CONFIG_ASIGNATURAS!$B$7:$B$27,DATOS!$I$2:$I$20000)&gt;0)*(DATOS!$K$2:$K$20000))/SUMPRODUCT((DATOS!$A$2:$A$20000=M480)*(DATOS!$G$2:$G$20000=CONFIG_METADATA!$B$4)*(COUNTIF(CONFIG_ASIGNATURAS!$B$7:$B$27,DATOS!$I$2:$I$20000)&gt;0)*1),"")))</f>
        <v/>
      </c>
      <c r="T480" t="str">
        <f>IF(S480="","",IF(S480="[FÓRMULA MANUAL]","",IFERROR(AVERAGEIFS(DATOS!$K$2:$K$20000,DATOS!$A$2:$A$20000,S480,DATOS!$G$2:$G$20000,CONFIG_METADATA!$B$4,DATOS!$I$2:$I$20000,"Armonía"),"")))</f>
        <v/>
      </c>
      <c r="U480" t="str">
        <f>IF(S480="","",IF(S480="[FÓRMULA MANUAL]","",IFERROR(AVERAGEIFS(DATOS!$K$2:$K$20000,DATOS!$A$2:$A$20000,S480,DATOS!$G$2:$G$20000,CONFIG_METADATA!$B$4,DATOS!$I$2:$I$20000,"Orquesta/Banda/Conjunto"),"")))</f>
        <v/>
      </c>
      <c r="V480" t="str">
        <f>IF(S480="","",IF(S480="[FÓRMULA MANUAL]","",IFERROR(AVERAGEIFS(DATOS!$K$2:$K$20000,DATOS!$A$2:$A$20000,S480,DATOS!$G$2:$G$20000,CONFIG_METADATA!$B$4,DATOS!$I$2:$I$20000,"Música de Cámara"),"")))</f>
        <v/>
      </c>
      <c r="W480" t="str">
        <f>IF(S480="","",IF(S480="[FÓRMULA MANUAL]","",IFERROR(SUMPRODUCT((DATOS!$A$2:$A$20000=S480)*(DATOS!$G$2:$G$20000=CONFIG_METADATA!$B$4)*(COUNTIF(CONFIG_ASIGNATURAS!$B$7:$B$27,DATOS!$I$2:$I$20000)&gt;0)*(DATOS!$K$2:$K$20000))/SUMPRODUCT((DATOS!$A$2:$A$20000=S480)*(DATOS!$G$2:$G$20000=CONFIG_METADATA!$B$4)*(COUNTIF(CONFIG_ASIGNATURAS!$B$7:$B$27,DATOS!$I$2:$I$20000)&gt;0)*1),"")))</f>
        <v/>
      </c>
      <c r="Z480" t="str">
        <f>IF(Y480="","",IF(Y480="[FÓRMULA MANUAL]","",IFERROR(AVERAGEIFS(DATOS!$K$2:$K$20000,DATOS!$A$2:$A$20000,Y480,DATOS!$G$2:$G$20000,CONFIG_METADATA!$B$4,DATOS!$I$2:$I$20000,"Análisis"),"")))</f>
        <v/>
      </c>
      <c r="AA480" t="str">
        <f>IF(Y480="","",IF(Y480="[FÓRMULA MANUAL]","",IFERROR(AVERAGEIFS(DATOS!$K$2:$K$20000,DATOS!$A$2:$A$20000,Y480,DATOS!$G$2:$G$20000,CONFIG_METADATA!$B$4,DATOS!$I$2:$I$20000,"Orquesta/Banda/Conjunto"),"")))</f>
        <v/>
      </c>
      <c r="AB480" t="str">
        <f>IF(Y480="","",IF(Y480="[FÓRMULA MANUAL]","",IFERROR(AVERAGEIFS(DATOS!$K$2:$K$20000,DATOS!$A$2:$A$20000,Y480,DATOS!$G$2:$G$20000,CONFIG_METADATA!$B$4,DATOS!$I$2:$I$20000,"Música de Cámara"),"")))</f>
        <v/>
      </c>
      <c r="AC480" t="str">
        <f>IF(Y480="","",IF(Y480="[FÓRMULA MANUAL]","",IFERROR(SUMPRODUCT((DATOS!$A$2:$A$20000=Y480)*(DATOS!$G$2:$G$20000=CONFIG_METADATA!$B$4)*(COUNTIF(CONFIG_ASIGNATURAS!$B$7:$B$27,DATOS!$I$2:$I$20000)&gt;0)*(DATOS!$K$2:$K$20000))/SUMPRODUCT((DATOS!$A$2:$A$20000=Y480)*(DATOS!$G$2:$G$20000=CONFIG_METADATA!$B$4)*(COUNTIF(CONFIG_ASIGNATURAS!$B$7:$B$27,DATOS!$I$2:$I$20000)&gt;0)*1),"")))</f>
        <v/>
      </c>
      <c r="AF480" t="str">
        <f>IF(AE480="","",IF(AE480="[FÓRMULA MANUAL]","",IFERROR(AVERAGEIFS(DATOS!$K$2:$K$20000,DATOS!$A$2:$A$20000,AE480,DATOS!$G$2:$G$20000,CONFIG_METADATA!$B$4,DATOS!$I$2:$I$20000,"Análisis"),"")))</f>
        <v/>
      </c>
      <c r="AG480" t="str">
        <f>IF(AE480="","",IF(AE480="[FÓRMULA MANUAL]","",IFERROR(AVERAGEIFS(DATOS!$K$2:$K$20000,DATOS!$A$2:$A$20000,AE480,DATOS!$G$2:$G$20000,CONFIG_METADATA!$B$4,DATOS!$I$2:$I$20000,"Orquesta/Banda/Conjunto"),"")))</f>
        <v/>
      </c>
      <c r="AH480" t="str">
        <f>IF(AE480="","",IF(AE480="[FÓRMULA MANUAL]","",IFERROR(AVERAGEIFS(DATOS!$K$2:$K$20000,DATOS!$A$2:$A$20000,AE480,DATOS!$G$2:$G$20000,CONFIG_METADATA!$B$4,DATOS!$I$2:$I$20000,"Música de Cámara"),"")))</f>
        <v/>
      </c>
      <c r="AI480" t="str">
        <f>IF(AE480="","",IF(AE480="[FÓRMULA MANUAL]","",IFERROR(SUMPRODUCT((DATOS!$A$2:$A$20000=AE480)*(DATOS!$G$2:$G$20000=CONFIG_METADATA!$B$4)*(COUNTIF(CONFIG_ASIGNATURAS!$B$7:$B$27,DATOS!$I$2:$I$20000)&gt;0)*(DATOS!$K$2:$K$20000))/SUMPRODUCT((DATOS!$A$2:$A$20000=AE480)*(DATOS!$G$2:$G$20000=CONFIG_METADATA!$B$4)*(COUNTIF(CONFIG_ASIGNATURAS!$B$7:$B$27,DATOS!$I$2:$I$20000)&gt;0)*1),"")))</f>
        <v/>
      </c>
    </row>
    <row r="481" spans="2:35" x14ac:dyDescent="0.2">
      <c r="B481" t="str">
        <f>IF(A481="","",IF(A481="[FÓRMULA MANUAL]","",IFERROR(AVERAGEIFS(DATOS!$K$2:$K$20000,DATOS!$A$2:$A$20000,A481,DATOS!$G$2:$G$20000,CONFIG_METADATA!$B$4,DATOS!$I$2:$I$20000,"Lenguaje Musical"),"")))</f>
        <v/>
      </c>
      <c r="C481" t="str">
        <f>IF(A481="","",IF(A481="[FÓRMULA MANUAL]","",IFERROR(AVERAGEIFS(DATOS!$K$2:$K$20000,DATOS!$A$2:$A$20000,A481,DATOS!$G$2:$G$20000,CONFIG_METADATA!$B$4,DATOS!$I$2:$I$20000,"Orquesta/Banda/Conjunto"),"")))</f>
        <v/>
      </c>
      <c r="D481" t="str">
        <f>IF(A481="","",IF(A481="[FÓRMULA MANUAL]","",IFERROR(AVERAGEIFS(DATOS!$K$2:$K$20000,DATOS!$A$2:$A$20000,A481,DATOS!$G$2:$G$20000,CONFIG_METADATA!$B$4,DATOS!$I$2:$I$20000,"Conjunto"),"")))</f>
        <v/>
      </c>
      <c r="E481" t="str">
        <f>IF(A481="","",IF(A481="[FÓRMULA MANUAL]","",IFERROR(SUMPRODUCT((DATOS!$A$2:$A$20000=A481)*(DATOS!$G$2:$G$20000=CONFIG_METADATA!$B$4)*(COUNTIF(CONFIG_ASIGNATURAS!$B$7:$B$27,DATOS!$I$2:$I$20000)&gt;0)*(DATOS!$K$2:$K$20000))/SUMPRODUCT((DATOS!$A$2:$A$20000=A481)*(DATOS!$G$2:$G$20000=CONFIG_METADATA!$B$4)*(COUNTIF(CONFIG_ASIGNATURAS!$B$7:$B$27,DATOS!$I$2:$I$20000)&gt;0)*1),"")))</f>
        <v/>
      </c>
      <c r="H481" t="str">
        <f>IF(G481="","",IF(G481="[FÓRMULA MANUAL]","",IFERROR(AVERAGEIFS(DATOS!$K$2:$K$20000,DATOS!$A$2:$A$20000,G481,DATOS!$G$2:$G$20000,CONFIG_METADATA!$B$4,DATOS!$I$2:$I$20000,"Lenguaje Musical"),"")))</f>
        <v/>
      </c>
      <c r="I481" t="str">
        <f>IF(G481="","",IF(G481="[FÓRMULA MANUAL]","",IFERROR(AVERAGEIFS(DATOS!$K$2:$K$20000,DATOS!$A$2:$A$20000,G481,DATOS!$G$2:$G$20000,CONFIG_METADATA!$B$4,DATOS!$I$2:$I$20000,"Orquesta/Banda/Conjunto"),"")))</f>
        <v/>
      </c>
      <c r="J481" t="str">
        <f>IF(G481="","",IF(G481="[FÓRMULA MANUAL]","",IFERROR(AVERAGEIFS(DATOS!$K$2:$K$20000,DATOS!$A$2:$A$20000,G481,DATOS!$G$2:$G$20000,CONFIG_METADATA!$B$4,DATOS!$I$2:$I$20000,"Conjunto"),"")))</f>
        <v/>
      </c>
      <c r="K481" t="str">
        <f>IF(G481="","",IF(G481="[FÓRMULA MANUAL]","",IFERROR(SUMPRODUCT((DATOS!$A$2:$A$20000=G481)*(DATOS!$G$2:$G$20000=CONFIG_METADATA!$B$4)*(COUNTIF(CONFIG_ASIGNATURAS!$B$7:$B$27,DATOS!$I$2:$I$20000)&gt;0)*(DATOS!$K$2:$K$20000))/SUMPRODUCT((DATOS!$A$2:$A$20000=G481)*(DATOS!$G$2:$G$20000=CONFIG_METADATA!$B$4)*(COUNTIF(CONFIG_ASIGNATURAS!$B$7:$B$27,DATOS!$I$2:$I$20000)&gt;0)*1),"")))</f>
        <v/>
      </c>
      <c r="N481" t="str">
        <f>IF(M481="","",IF(M481="[FÓRMULA MANUAL]","",IFERROR(AVERAGEIFS(DATOS!$K$2:$K$20000,DATOS!$A$2:$A$20000,M481,DATOS!$G$2:$G$20000,CONFIG_METADATA!$B$4,DATOS!$I$2:$I$20000,"Armonía"),"")))</f>
        <v/>
      </c>
      <c r="O481" t="str">
        <f>IF(M481="","",IF(M481="[FÓRMULA MANUAL]","",IFERROR(AVERAGEIFS(DATOS!$K$2:$K$20000,DATOS!$A$2:$A$20000,M481,DATOS!$G$2:$G$20000,CONFIG_METADATA!$B$4,DATOS!$I$2:$I$20000,"Orquesta/Banda/Conjunto"),"")))</f>
        <v/>
      </c>
      <c r="P481" t="str">
        <f>IF(M481="","",IF(M481="[FÓRMULA MANUAL]","",IFERROR(AVERAGEIFS(DATOS!$K$2:$K$20000,DATOS!$A$2:$A$20000,M481,DATOS!$G$2:$G$20000,CONFIG_METADATA!$B$4,DATOS!$I$2:$I$20000,"Música de Cámara"),"")))</f>
        <v/>
      </c>
      <c r="Q481" t="str">
        <f>IF(M481="","",IF(M481="[FÓRMULA MANUAL]","",IFERROR(SUMPRODUCT((DATOS!$A$2:$A$20000=M481)*(DATOS!$G$2:$G$20000=CONFIG_METADATA!$B$4)*(COUNTIF(CONFIG_ASIGNATURAS!$B$7:$B$27,DATOS!$I$2:$I$20000)&gt;0)*(DATOS!$K$2:$K$20000))/SUMPRODUCT((DATOS!$A$2:$A$20000=M481)*(DATOS!$G$2:$G$20000=CONFIG_METADATA!$B$4)*(COUNTIF(CONFIG_ASIGNATURAS!$B$7:$B$27,DATOS!$I$2:$I$20000)&gt;0)*1),"")))</f>
        <v/>
      </c>
      <c r="T481" t="str">
        <f>IF(S481="","",IF(S481="[FÓRMULA MANUAL]","",IFERROR(AVERAGEIFS(DATOS!$K$2:$K$20000,DATOS!$A$2:$A$20000,S481,DATOS!$G$2:$G$20000,CONFIG_METADATA!$B$4,DATOS!$I$2:$I$20000,"Armonía"),"")))</f>
        <v/>
      </c>
      <c r="U481" t="str">
        <f>IF(S481="","",IF(S481="[FÓRMULA MANUAL]","",IFERROR(AVERAGEIFS(DATOS!$K$2:$K$20000,DATOS!$A$2:$A$20000,S481,DATOS!$G$2:$G$20000,CONFIG_METADATA!$B$4,DATOS!$I$2:$I$20000,"Orquesta/Banda/Conjunto"),"")))</f>
        <v/>
      </c>
      <c r="V481" t="str">
        <f>IF(S481="","",IF(S481="[FÓRMULA MANUAL]","",IFERROR(AVERAGEIFS(DATOS!$K$2:$K$20000,DATOS!$A$2:$A$20000,S481,DATOS!$G$2:$G$20000,CONFIG_METADATA!$B$4,DATOS!$I$2:$I$20000,"Música de Cámara"),"")))</f>
        <v/>
      </c>
      <c r="W481" t="str">
        <f>IF(S481="","",IF(S481="[FÓRMULA MANUAL]","",IFERROR(SUMPRODUCT((DATOS!$A$2:$A$20000=S481)*(DATOS!$G$2:$G$20000=CONFIG_METADATA!$B$4)*(COUNTIF(CONFIG_ASIGNATURAS!$B$7:$B$27,DATOS!$I$2:$I$20000)&gt;0)*(DATOS!$K$2:$K$20000))/SUMPRODUCT((DATOS!$A$2:$A$20000=S481)*(DATOS!$G$2:$G$20000=CONFIG_METADATA!$B$4)*(COUNTIF(CONFIG_ASIGNATURAS!$B$7:$B$27,DATOS!$I$2:$I$20000)&gt;0)*1),"")))</f>
        <v/>
      </c>
      <c r="Z481" t="str">
        <f>IF(Y481="","",IF(Y481="[FÓRMULA MANUAL]","",IFERROR(AVERAGEIFS(DATOS!$K$2:$K$20000,DATOS!$A$2:$A$20000,Y481,DATOS!$G$2:$G$20000,CONFIG_METADATA!$B$4,DATOS!$I$2:$I$20000,"Análisis"),"")))</f>
        <v/>
      </c>
      <c r="AA481" t="str">
        <f>IF(Y481="","",IF(Y481="[FÓRMULA MANUAL]","",IFERROR(AVERAGEIFS(DATOS!$K$2:$K$20000,DATOS!$A$2:$A$20000,Y481,DATOS!$G$2:$G$20000,CONFIG_METADATA!$B$4,DATOS!$I$2:$I$20000,"Orquesta/Banda/Conjunto"),"")))</f>
        <v/>
      </c>
      <c r="AB481" t="str">
        <f>IF(Y481="","",IF(Y481="[FÓRMULA MANUAL]","",IFERROR(AVERAGEIFS(DATOS!$K$2:$K$20000,DATOS!$A$2:$A$20000,Y481,DATOS!$G$2:$G$20000,CONFIG_METADATA!$B$4,DATOS!$I$2:$I$20000,"Música de Cámara"),"")))</f>
        <v/>
      </c>
      <c r="AC481" t="str">
        <f>IF(Y481="","",IF(Y481="[FÓRMULA MANUAL]","",IFERROR(SUMPRODUCT((DATOS!$A$2:$A$20000=Y481)*(DATOS!$G$2:$G$20000=CONFIG_METADATA!$B$4)*(COUNTIF(CONFIG_ASIGNATURAS!$B$7:$B$27,DATOS!$I$2:$I$20000)&gt;0)*(DATOS!$K$2:$K$20000))/SUMPRODUCT((DATOS!$A$2:$A$20000=Y481)*(DATOS!$G$2:$G$20000=CONFIG_METADATA!$B$4)*(COUNTIF(CONFIG_ASIGNATURAS!$B$7:$B$27,DATOS!$I$2:$I$20000)&gt;0)*1),"")))</f>
        <v/>
      </c>
      <c r="AF481" t="str">
        <f>IF(AE481="","",IF(AE481="[FÓRMULA MANUAL]","",IFERROR(AVERAGEIFS(DATOS!$K$2:$K$20000,DATOS!$A$2:$A$20000,AE481,DATOS!$G$2:$G$20000,CONFIG_METADATA!$B$4,DATOS!$I$2:$I$20000,"Análisis"),"")))</f>
        <v/>
      </c>
      <c r="AG481" t="str">
        <f>IF(AE481="","",IF(AE481="[FÓRMULA MANUAL]","",IFERROR(AVERAGEIFS(DATOS!$K$2:$K$20000,DATOS!$A$2:$A$20000,AE481,DATOS!$G$2:$G$20000,CONFIG_METADATA!$B$4,DATOS!$I$2:$I$20000,"Orquesta/Banda/Conjunto"),"")))</f>
        <v/>
      </c>
      <c r="AH481" t="str">
        <f>IF(AE481="","",IF(AE481="[FÓRMULA MANUAL]","",IFERROR(AVERAGEIFS(DATOS!$K$2:$K$20000,DATOS!$A$2:$A$20000,AE481,DATOS!$G$2:$G$20000,CONFIG_METADATA!$B$4,DATOS!$I$2:$I$20000,"Música de Cámara"),"")))</f>
        <v/>
      </c>
      <c r="AI481" t="str">
        <f>IF(AE481="","",IF(AE481="[FÓRMULA MANUAL]","",IFERROR(SUMPRODUCT((DATOS!$A$2:$A$20000=AE481)*(DATOS!$G$2:$G$20000=CONFIG_METADATA!$B$4)*(COUNTIF(CONFIG_ASIGNATURAS!$B$7:$B$27,DATOS!$I$2:$I$20000)&gt;0)*(DATOS!$K$2:$K$20000))/SUMPRODUCT((DATOS!$A$2:$A$20000=AE481)*(DATOS!$G$2:$G$20000=CONFIG_METADATA!$B$4)*(COUNTIF(CONFIG_ASIGNATURAS!$B$7:$B$27,DATOS!$I$2:$I$20000)&gt;0)*1),"")))</f>
        <v/>
      </c>
    </row>
    <row r="482" spans="2:35" x14ac:dyDescent="0.2">
      <c r="B482" t="str">
        <f>IF(A482="","",IF(A482="[FÓRMULA MANUAL]","",IFERROR(AVERAGEIFS(DATOS!$K$2:$K$20000,DATOS!$A$2:$A$20000,A482,DATOS!$G$2:$G$20000,CONFIG_METADATA!$B$4,DATOS!$I$2:$I$20000,"Lenguaje Musical"),"")))</f>
        <v/>
      </c>
      <c r="C482" t="str">
        <f>IF(A482="","",IF(A482="[FÓRMULA MANUAL]","",IFERROR(AVERAGEIFS(DATOS!$K$2:$K$20000,DATOS!$A$2:$A$20000,A482,DATOS!$G$2:$G$20000,CONFIG_METADATA!$B$4,DATOS!$I$2:$I$20000,"Orquesta/Banda/Conjunto"),"")))</f>
        <v/>
      </c>
      <c r="D482" t="str">
        <f>IF(A482="","",IF(A482="[FÓRMULA MANUAL]","",IFERROR(AVERAGEIFS(DATOS!$K$2:$K$20000,DATOS!$A$2:$A$20000,A482,DATOS!$G$2:$G$20000,CONFIG_METADATA!$B$4,DATOS!$I$2:$I$20000,"Conjunto"),"")))</f>
        <v/>
      </c>
      <c r="E482" t="str">
        <f>IF(A482="","",IF(A482="[FÓRMULA MANUAL]","",IFERROR(SUMPRODUCT((DATOS!$A$2:$A$20000=A482)*(DATOS!$G$2:$G$20000=CONFIG_METADATA!$B$4)*(COUNTIF(CONFIG_ASIGNATURAS!$B$7:$B$27,DATOS!$I$2:$I$20000)&gt;0)*(DATOS!$K$2:$K$20000))/SUMPRODUCT((DATOS!$A$2:$A$20000=A482)*(DATOS!$G$2:$G$20000=CONFIG_METADATA!$B$4)*(COUNTIF(CONFIG_ASIGNATURAS!$B$7:$B$27,DATOS!$I$2:$I$20000)&gt;0)*1),"")))</f>
        <v/>
      </c>
      <c r="H482" t="str">
        <f>IF(G482="","",IF(G482="[FÓRMULA MANUAL]","",IFERROR(AVERAGEIFS(DATOS!$K$2:$K$20000,DATOS!$A$2:$A$20000,G482,DATOS!$G$2:$G$20000,CONFIG_METADATA!$B$4,DATOS!$I$2:$I$20000,"Lenguaje Musical"),"")))</f>
        <v/>
      </c>
      <c r="I482" t="str">
        <f>IF(G482="","",IF(G482="[FÓRMULA MANUAL]","",IFERROR(AVERAGEIFS(DATOS!$K$2:$K$20000,DATOS!$A$2:$A$20000,G482,DATOS!$G$2:$G$20000,CONFIG_METADATA!$B$4,DATOS!$I$2:$I$20000,"Orquesta/Banda/Conjunto"),"")))</f>
        <v/>
      </c>
      <c r="J482" t="str">
        <f>IF(G482="","",IF(G482="[FÓRMULA MANUAL]","",IFERROR(AVERAGEIFS(DATOS!$K$2:$K$20000,DATOS!$A$2:$A$20000,G482,DATOS!$G$2:$G$20000,CONFIG_METADATA!$B$4,DATOS!$I$2:$I$20000,"Conjunto"),"")))</f>
        <v/>
      </c>
      <c r="K482" t="str">
        <f>IF(G482="","",IF(G482="[FÓRMULA MANUAL]","",IFERROR(SUMPRODUCT((DATOS!$A$2:$A$20000=G482)*(DATOS!$G$2:$G$20000=CONFIG_METADATA!$B$4)*(COUNTIF(CONFIG_ASIGNATURAS!$B$7:$B$27,DATOS!$I$2:$I$20000)&gt;0)*(DATOS!$K$2:$K$20000))/SUMPRODUCT((DATOS!$A$2:$A$20000=G482)*(DATOS!$G$2:$G$20000=CONFIG_METADATA!$B$4)*(COUNTIF(CONFIG_ASIGNATURAS!$B$7:$B$27,DATOS!$I$2:$I$20000)&gt;0)*1),"")))</f>
        <v/>
      </c>
      <c r="N482" t="str">
        <f>IF(M482="","",IF(M482="[FÓRMULA MANUAL]","",IFERROR(AVERAGEIFS(DATOS!$K$2:$K$20000,DATOS!$A$2:$A$20000,M482,DATOS!$G$2:$G$20000,CONFIG_METADATA!$B$4,DATOS!$I$2:$I$20000,"Armonía"),"")))</f>
        <v/>
      </c>
      <c r="O482" t="str">
        <f>IF(M482="","",IF(M482="[FÓRMULA MANUAL]","",IFERROR(AVERAGEIFS(DATOS!$K$2:$K$20000,DATOS!$A$2:$A$20000,M482,DATOS!$G$2:$G$20000,CONFIG_METADATA!$B$4,DATOS!$I$2:$I$20000,"Orquesta/Banda/Conjunto"),"")))</f>
        <v/>
      </c>
      <c r="P482" t="str">
        <f>IF(M482="","",IF(M482="[FÓRMULA MANUAL]","",IFERROR(AVERAGEIFS(DATOS!$K$2:$K$20000,DATOS!$A$2:$A$20000,M482,DATOS!$G$2:$G$20000,CONFIG_METADATA!$B$4,DATOS!$I$2:$I$20000,"Música de Cámara"),"")))</f>
        <v/>
      </c>
      <c r="Q482" t="str">
        <f>IF(M482="","",IF(M482="[FÓRMULA MANUAL]","",IFERROR(SUMPRODUCT((DATOS!$A$2:$A$20000=M482)*(DATOS!$G$2:$G$20000=CONFIG_METADATA!$B$4)*(COUNTIF(CONFIG_ASIGNATURAS!$B$7:$B$27,DATOS!$I$2:$I$20000)&gt;0)*(DATOS!$K$2:$K$20000))/SUMPRODUCT((DATOS!$A$2:$A$20000=M482)*(DATOS!$G$2:$G$20000=CONFIG_METADATA!$B$4)*(COUNTIF(CONFIG_ASIGNATURAS!$B$7:$B$27,DATOS!$I$2:$I$20000)&gt;0)*1),"")))</f>
        <v/>
      </c>
      <c r="T482" t="str">
        <f>IF(S482="","",IF(S482="[FÓRMULA MANUAL]","",IFERROR(AVERAGEIFS(DATOS!$K$2:$K$20000,DATOS!$A$2:$A$20000,S482,DATOS!$G$2:$G$20000,CONFIG_METADATA!$B$4,DATOS!$I$2:$I$20000,"Armonía"),"")))</f>
        <v/>
      </c>
      <c r="U482" t="str">
        <f>IF(S482="","",IF(S482="[FÓRMULA MANUAL]","",IFERROR(AVERAGEIFS(DATOS!$K$2:$K$20000,DATOS!$A$2:$A$20000,S482,DATOS!$G$2:$G$20000,CONFIG_METADATA!$B$4,DATOS!$I$2:$I$20000,"Orquesta/Banda/Conjunto"),"")))</f>
        <v/>
      </c>
      <c r="V482" t="str">
        <f>IF(S482="","",IF(S482="[FÓRMULA MANUAL]","",IFERROR(AVERAGEIFS(DATOS!$K$2:$K$20000,DATOS!$A$2:$A$20000,S482,DATOS!$G$2:$G$20000,CONFIG_METADATA!$B$4,DATOS!$I$2:$I$20000,"Música de Cámara"),"")))</f>
        <v/>
      </c>
      <c r="W482" t="str">
        <f>IF(S482="","",IF(S482="[FÓRMULA MANUAL]","",IFERROR(SUMPRODUCT((DATOS!$A$2:$A$20000=S482)*(DATOS!$G$2:$G$20000=CONFIG_METADATA!$B$4)*(COUNTIF(CONFIG_ASIGNATURAS!$B$7:$B$27,DATOS!$I$2:$I$20000)&gt;0)*(DATOS!$K$2:$K$20000))/SUMPRODUCT((DATOS!$A$2:$A$20000=S482)*(DATOS!$G$2:$G$20000=CONFIG_METADATA!$B$4)*(COUNTIF(CONFIG_ASIGNATURAS!$B$7:$B$27,DATOS!$I$2:$I$20000)&gt;0)*1),"")))</f>
        <v/>
      </c>
      <c r="Z482" t="str">
        <f>IF(Y482="","",IF(Y482="[FÓRMULA MANUAL]","",IFERROR(AVERAGEIFS(DATOS!$K$2:$K$20000,DATOS!$A$2:$A$20000,Y482,DATOS!$G$2:$G$20000,CONFIG_METADATA!$B$4,DATOS!$I$2:$I$20000,"Análisis"),"")))</f>
        <v/>
      </c>
      <c r="AA482" t="str">
        <f>IF(Y482="","",IF(Y482="[FÓRMULA MANUAL]","",IFERROR(AVERAGEIFS(DATOS!$K$2:$K$20000,DATOS!$A$2:$A$20000,Y482,DATOS!$G$2:$G$20000,CONFIG_METADATA!$B$4,DATOS!$I$2:$I$20000,"Orquesta/Banda/Conjunto"),"")))</f>
        <v/>
      </c>
      <c r="AB482" t="str">
        <f>IF(Y482="","",IF(Y482="[FÓRMULA MANUAL]","",IFERROR(AVERAGEIFS(DATOS!$K$2:$K$20000,DATOS!$A$2:$A$20000,Y482,DATOS!$G$2:$G$20000,CONFIG_METADATA!$B$4,DATOS!$I$2:$I$20000,"Música de Cámara"),"")))</f>
        <v/>
      </c>
      <c r="AC482" t="str">
        <f>IF(Y482="","",IF(Y482="[FÓRMULA MANUAL]","",IFERROR(SUMPRODUCT((DATOS!$A$2:$A$20000=Y482)*(DATOS!$G$2:$G$20000=CONFIG_METADATA!$B$4)*(COUNTIF(CONFIG_ASIGNATURAS!$B$7:$B$27,DATOS!$I$2:$I$20000)&gt;0)*(DATOS!$K$2:$K$20000))/SUMPRODUCT((DATOS!$A$2:$A$20000=Y482)*(DATOS!$G$2:$G$20000=CONFIG_METADATA!$B$4)*(COUNTIF(CONFIG_ASIGNATURAS!$B$7:$B$27,DATOS!$I$2:$I$20000)&gt;0)*1),"")))</f>
        <v/>
      </c>
      <c r="AF482" t="str">
        <f>IF(AE482="","",IF(AE482="[FÓRMULA MANUAL]","",IFERROR(AVERAGEIFS(DATOS!$K$2:$K$20000,DATOS!$A$2:$A$20000,AE482,DATOS!$G$2:$G$20000,CONFIG_METADATA!$B$4,DATOS!$I$2:$I$20000,"Análisis"),"")))</f>
        <v/>
      </c>
      <c r="AG482" t="str">
        <f>IF(AE482="","",IF(AE482="[FÓRMULA MANUAL]","",IFERROR(AVERAGEIFS(DATOS!$K$2:$K$20000,DATOS!$A$2:$A$20000,AE482,DATOS!$G$2:$G$20000,CONFIG_METADATA!$B$4,DATOS!$I$2:$I$20000,"Orquesta/Banda/Conjunto"),"")))</f>
        <v/>
      </c>
      <c r="AH482" t="str">
        <f>IF(AE482="","",IF(AE482="[FÓRMULA MANUAL]","",IFERROR(AVERAGEIFS(DATOS!$K$2:$K$20000,DATOS!$A$2:$A$20000,AE482,DATOS!$G$2:$G$20000,CONFIG_METADATA!$B$4,DATOS!$I$2:$I$20000,"Música de Cámara"),"")))</f>
        <v/>
      </c>
      <c r="AI482" t="str">
        <f>IF(AE482="","",IF(AE482="[FÓRMULA MANUAL]","",IFERROR(SUMPRODUCT((DATOS!$A$2:$A$20000=AE482)*(DATOS!$G$2:$G$20000=CONFIG_METADATA!$B$4)*(COUNTIF(CONFIG_ASIGNATURAS!$B$7:$B$27,DATOS!$I$2:$I$20000)&gt;0)*(DATOS!$K$2:$K$20000))/SUMPRODUCT((DATOS!$A$2:$A$20000=AE482)*(DATOS!$G$2:$G$20000=CONFIG_METADATA!$B$4)*(COUNTIF(CONFIG_ASIGNATURAS!$B$7:$B$27,DATOS!$I$2:$I$20000)&gt;0)*1),"")))</f>
        <v/>
      </c>
    </row>
    <row r="483" spans="2:35" x14ac:dyDescent="0.2">
      <c r="B483" t="str">
        <f>IF(A483="","",IF(A483="[FÓRMULA MANUAL]","",IFERROR(AVERAGEIFS(DATOS!$K$2:$K$20000,DATOS!$A$2:$A$20000,A483,DATOS!$G$2:$G$20000,CONFIG_METADATA!$B$4,DATOS!$I$2:$I$20000,"Lenguaje Musical"),"")))</f>
        <v/>
      </c>
      <c r="C483" t="str">
        <f>IF(A483="","",IF(A483="[FÓRMULA MANUAL]","",IFERROR(AVERAGEIFS(DATOS!$K$2:$K$20000,DATOS!$A$2:$A$20000,A483,DATOS!$G$2:$G$20000,CONFIG_METADATA!$B$4,DATOS!$I$2:$I$20000,"Orquesta/Banda/Conjunto"),"")))</f>
        <v/>
      </c>
      <c r="D483" t="str">
        <f>IF(A483="","",IF(A483="[FÓRMULA MANUAL]","",IFERROR(AVERAGEIFS(DATOS!$K$2:$K$20000,DATOS!$A$2:$A$20000,A483,DATOS!$G$2:$G$20000,CONFIG_METADATA!$B$4,DATOS!$I$2:$I$20000,"Conjunto"),"")))</f>
        <v/>
      </c>
      <c r="E483" t="str">
        <f>IF(A483="","",IF(A483="[FÓRMULA MANUAL]","",IFERROR(SUMPRODUCT((DATOS!$A$2:$A$20000=A483)*(DATOS!$G$2:$G$20000=CONFIG_METADATA!$B$4)*(COUNTIF(CONFIG_ASIGNATURAS!$B$7:$B$27,DATOS!$I$2:$I$20000)&gt;0)*(DATOS!$K$2:$K$20000))/SUMPRODUCT((DATOS!$A$2:$A$20000=A483)*(DATOS!$G$2:$G$20000=CONFIG_METADATA!$B$4)*(COUNTIF(CONFIG_ASIGNATURAS!$B$7:$B$27,DATOS!$I$2:$I$20000)&gt;0)*1),"")))</f>
        <v/>
      </c>
      <c r="H483" t="str">
        <f>IF(G483="","",IF(G483="[FÓRMULA MANUAL]","",IFERROR(AVERAGEIFS(DATOS!$K$2:$K$20000,DATOS!$A$2:$A$20000,G483,DATOS!$G$2:$G$20000,CONFIG_METADATA!$B$4,DATOS!$I$2:$I$20000,"Lenguaje Musical"),"")))</f>
        <v/>
      </c>
      <c r="I483" t="str">
        <f>IF(G483="","",IF(G483="[FÓRMULA MANUAL]","",IFERROR(AVERAGEIFS(DATOS!$K$2:$K$20000,DATOS!$A$2:$A$20000,G483,DATOS!$G$2:$G$20000,CONFIG_METADATA!$B$4,DATOS!$I$2:$I$20000,"Orquesta/Banda/Conjunto"),"")))</f>
        <v/>
      </c>
      <c r="J483" t="str">
        <f>IF(G483="","",IF(G483="[FÓRMULA MANUAL]","",IFERROR(AVERAGEIFS(DATOS!$K$2:$K$20000,DATOS!$A$2:$A$20000,G483,DATOS!$G$2:$G$20000,CONFIG_METADATA!$B$4,DATOS!$I$2:$I$20000,"Conjunto"),"")))</f>
        <v/>
      </c>
      <c r="K483" t="str">
        <f>IF(G483="","",IF(G483="[FÓRMULA MANUAL]","",IFERROR(SUMPRODUCT((DATOS!$A$2:$A$20000=G483)*(DATOS!$G$2:$G$20000=CONFIG_METADATA!$B$4)*(COUNTIF(CONFIG_ASIGNATURAS!$B$7:$B$27,DATOS!$I$2:$I$20000)&gt;0)*(DATOS!$K$2:$K$20000))/SUMPRODUCT((DATOS!$A$2:$A$20000=G483)*(DATOS!$G$2:$G$20000=CONFIG_METADATA!$B$4)*(COUNTIF(CONFIG_ASIGNATURAS!$B$7:$B$27,DATOS!$I$2:$I$20000)&gt;0)*1),"")))</f>
        <v/>
      </c>
      <c r="N483" t="str">
        <f>IF(M483="","",IF(M483="[FÓRMULA MANUAL]","",IFERROR(AVERAGEIFS(DATOS!$K$2:$K$20000,DATOS!$A$2:$A$20000,M483,DATOS!$G$2:$G$20000,CONFIG_METADATA!$B$4,DATOS!$I$2:$I$20000,"Armonía"),"")))</f>
        <v/>
      </c>
      <c r="O483" t="str">
        <f>IF(M483="","",IF(M483="[FÓRMULA MANUAL]","",IFERROR(AVERAGEIFS(DATOS!$K$2:$K$20000,DATOS!$A$2:$A$20000,M483,DATOS!$G$2:$G$20000,CONFIG_METADATA!$B$4,DATOS!$I$2:$I$20000,"Orquesta/Banda/Conjunto"),"")))</f>
        <v/>
      </c>
      <c r="P483" t="str">
        <f>IF(M483="","",IF(M483="[FÓRMULA MANUAL]","",IFERROR(AVERAGEIFS(DATOS!$K$2:$K$20000,DATOS!$A$2:$A$20000,M483,DATOS!$G$2:$G$20000,CONFIG_METADATA!$B$4,DATOS!$I$2:$I$20000,"Música de Cámara"),"")))</f>
        <v/>
      </c>
      <c r="Q483" t="str">
        <f>IF(M483="","",IF(M483="[FÓRMULA MANUAL]","",IFERROR(SUMPRODUCT((DATOS!$A$2:$A$20000=M483)*(DATOS!$G$2:$G$20000=CONFIG_METADATA!$B$4)*(COUNTIF(CONFIG_ASIGNATURAS!$B$7:$B$27,DATOS!$I$2:$I$20000)&gt;0)*(DATOS!$K$2:$K$20000))/SUMPRODUCT((DATOS!$A$2:$A$20000=M483)*(DATOS!$G$2:$G$20000=CONFIG_METADATA!$B$4)*(COUNTIF(CONFIG_ASIGNATURAS!$B$7:$B$27,DATOS!$I$2:$I$20000)&gt;0)*1),"")))</f>
        <v/>
      </c>
      <c r="T483" t="str">
        <f>IF(S483="","",IF(S483="[FÓRMULA MANUAL]","",IFERROR(AVERAGEIFS(DATOS!$K$2:$K$20000,DATOS!$A$2:$A$20000,S483,DATOS!$G$2:$G$20000,CONFIG_METADATA!$B$4,DATOS!$I$2:$I$20000,"Armonía"),"")))</f>
        <v/>
      </c>
      <c r="U483" t="str">
        <f>IF(S483="","",IF(S483="[FÓRMULA MANUAL]","",IFERROR(AVERAGEIFS(DATOS!$K$2:$K$20000,DATOS!$A$2:$A$20000,S483,DATOS!$G$2:$G$20000,CONFIG_METADATA!$B$4,DATOS!$I$2:$I$20000,"Orquesta/Banda/Conjunto"),"")))</f>
        <v/>
      </c>
      <c r="V483" t="str">
        <f>IF(S483="","",IF(S483="[FÓRMULA MANUAL]","",IFERROR(AVERAGEIFS(DATOS!$K$2:$K$20000,DATOS!$A$2:$A$20000,S483,DATOS!$G$2:$G$20000,CONFIG_METADATA!$B$4,DATOS!$I$2:$I$20000,"Música de Cámara"),"")))</f>
        <v/>
      </c>
      <c r="W483" t="str">
        <f>IF(S483="","",IF(S483="[FÓRMULA MANUAL]","",IFERROR(SUMPRODUCT((DATOS!$A$2:$A$20000=S483)*(DATOS!$G$2:$G$20000=CONFIG_METADATA!$B$4)*(COUNTIF(CONFIG_ASIGNATURAS!$B$7:$B$27,DATOS!$I$2:$I$20000)&gt;0)*(DATOS!$K$2:$K$20000))/SUMPRODUCT((DATOS!$A$2:$A$20000=S483)*(DATOS!$G$2:$G$20000=CONFIG_METADATA!$B$4)*(COUNTIF(CONFIG_ASIGNATURAS!$B$7:$B$27,DATOS!$I$2:$I$20000)&gt;0)*1),"")))</f>
        <v/>
      </c>
      <c r="Z483" t="str">
        <f>IF(Y483="","",IF(Y483="[FÓRMULA MANUAL]","",IFERROR(AVERAGEIFS(DATOS!$K$2:$K$20000,DATOS!$A$2:$A$20000,Y483,DATOS!$G$2:$G$20000,CONFIG_METADATA!$B$4,DATOS!$I$2:$I$20000,"Análisis"),"")))</f>
        <v/>
      </c>
      <c r="AA483" t="str">
        <f>IF(Y483="","",IF(Y483="[FÓRMULA MANUAL]","",IFERROR(AVERAGEIFS(DATOS!$K$2:$K$20000,DATOS!$A$2:$A$20000,Y483,DATOS!$G$2:$G$20000,CONFIG_METADATA!$B$4,DATOS!$I$2:$I$20000,"Orquesta/Banda/Conjunto"),"")))</f>
        <v/>
      </c>
      <c r="AB483" t="str">
        <f>IF(Y483="","",IF(Y483="[FÓRMULA MANUAL]","",IFERROR(AVERAGEIFS(DATOS!$K$2:$K$20000,DATOS!$A$2:$A$20000,Y483,DATOS!$G$2:$G$20000,CONFIG_METADATA!$B$4,DATOS!$I$2:$I$20000,"Música de Cámara"),"")))</f>
        <v/>
      </c>
      <c r="AC483" t="str">
        <f>IF(Y483="","",IF(Y483="[FÓRMULA MANUAL]","",IFERROR(SUMPRODUCT((DATOS!$A$2:$A$20000=Y483)*(DATOS!$G$2:$G$20000=CONFIG_METADATA!$B$4)*(COUNTIF(CONFIG_ASIGNATURAS!$B$7:$B$27,DATOS!$I$2:$I$20000)&gt;0)*(DATOS!$K$2:$K$20000))/SUMPRODUCT((DATOS!$A$2:$A$20000=Y483)*(DATOS!$G$2:$G$20000=CONFIG_METADATA!$B$4)*(COUNTIF(CONFIG_ASIGNATURAS!$B$7:$B$27,DATOS!$I$2:$I$20000)&gt;0)*1),"")))</f>
        <v/>
      </c>
      <c r="AF483" t="str">
        <f>IF(AE483="","",IF(AE483="[FÓRMULA MANUAL]","",IFERROR(AVERAGEIFS(DATOS!$K$2:$K$20000,DATOS!$A$2:$A$20000,AE483,DATOS!$G$2:$G$20000,CONFIG_METADATA!$B$4,DATOS!$I$2:$I$20000,"Análisis"),"")))</f>
        <v/>
      </c>
      <c r="AG483" t="str">
        <f>IF(AE483="","",IF(AE483="[FÓRMULA MANUAL]","",IFERROR(AVERAGEIFS(DATOS!$K$2:$K$20000,DATOS!$A$2:$A$20000,AE483,DATOS!$G$2:$G$20000,CONFIG_METADATA!$B$4,DATOS!$I$2:$I$20000,"Orquesta/Banda/Conjunto"),"")))</f>
        <v/>
      </c>
      <c r="AH483" t="str">
        <f>IF(AE483="","",IF(AE483="[FÓRMULA MANUAL]","",IFERROR(AVERAGEIFS(DATOS!$K$2:$K$20000,DATOS!$A$2:$A$20000,AE483,DATOS!$G$2:$G$20000,CONFIG_METADATA!$B$4,DATOS!$I$2:$I$20000,"Música de Cámara"),"")))</f>
        <v/>
      </c>
      <c r="AI483" t="str">
        <f>IF(AE483="","",IF(AE483="[FÓRMULA MANUAL]","",IFERROR(SUMPRODUCT((DATOS!$A$2:$A$20000=AE483)*(DATOS!$G$2:$G$20000=CONFIG_METADATA!$B$4)*(COUNTIF(CONFIG_ASIGNATURAS!$B$7:$B$27,DATOS!$I$2:$I$20000)&gt;0)*(DATOS!$K$2:$K$20000))/SUMPRODUCT((DATOS!$A$2:$A$20000=AE483)*(DATOS!$G$2:$G$20000=CONFIG_METADATA!$B$4)*(COUNTIF(CONFIG_ASIGNATURAS!$B$7:$B$27,DATOS!$I$2:$I$20000)&gt;0)*1),"")))</f>
        <v/>
      </c>
    </row>
    <row r="484" spans="2:35" x14ac:dyDescent="0.2">
      <c r="B484" t="str">
        <f>IF(A484="","",IF(A484="[FÓRMULA MANUAL]","",IFERROR(AVERAGEIFS(DATOS!$K$2:$K$20000,DATOS!$A$2:$A$20000,A484,DATOS!$G$2:$G$20000,CONFIG_METADATA!$B$4,DATOS!$I$2:$I$20000,"Lenguaje Musical"),"")))</f>
        <v/>
      </c>
      <c r="C484" t="str">
        <f>IF(A484="","",IF(A484="[FÓRMULA MANUAL]","",IFERROR(AVERAGEIFS(DATOS!$K$2:$K$20000,DATOS!$A$2:$A$20000,A484,DATOS!$G$2:$G$20000,CONFIG_METADATA!$B$4,DATOS!$I$2:$I$20000,"Orquesta/Banda/Conjunto"),"")))</f>
        <v/>
      </c>
      <c r="D484" t="str">
        <f>IF(A484="","",IF(A484="[FÓRMULA MANUAL]","",IFERROR(AVERAGEIFS(DATOS!$K$2:$K$20000,DATOS!$A$2:$A$20000,A484,DATOS!$G$2:$G$20000,CONFIG_METADATA!$B$4,DATOS!$I$2:$I$20000,"Conjunto"),"")))</f>
        <v/>
      </c>
      <c r="E484" t="str">
        <f>IF(A484="","",IF(A484="[FÓRMULA MANUAL]","",IFERROR(SUMPRODUCT((DATOS!$A$2:$A$20000=A484)*(DATOS!$G$2:$G$20000=CONFIG_METADATA!$B$4)*(COUNTIF(CONFIG_ASIGNATURAS!$B$7:$B$27,DATOS!$I$2:$I$20000)&gt;0)*(DATOS!$K$2:$K$20000))/SUMPRODUCT((DATOS!$A$2:$A$20000=A484)*(DATOS!$G$2:$G$20000=CONFIG_METADATA!$B$4)*(COUNTIF(CONFIG_ASIGNATURAS!$B$7:$B$27,DATOS!$I$2:$I$20000)&gt;0)*1),"")))</f>
        <v/>
      </c>
      <c r="H484" t="str">
        <f>IF(G484="","",IF(G484="[FÓRMULA MANUAL]","",IFERROR(AVERAGEIFS(DATOS!$K$2:$K$20000,DATOS!$A$2:$A$20000,G484,DATOS!$G$2:$G$20000,CONFIG_METADATA!$B$4,DATOS!$I$2:$I$20000,"Lenguaje Musical"),"")))</f>
        <v/>
      </c>
      <c r="I484" t="str">
        <f>IF(G484="","",IF(G484="[FÓRMULA MANUAL]","",IFERROR(AVERAGEIFS(DATOS!$K$2:$K$20000,DATOS!$A$2:$A$20000,G484,DATOS!$G$2:$G$20000,CONFIG_METADATA!$B$4,DATOS!$I$2:$I$20000,"Orquesta/Banda/Conjunto"),"")))</f>
        <v/>
      </c>
      <c r="J484" t="str">
        <f>IF(G484="","",IF(G484="[FÓRMULA MANUAL]","",IFERROR(AVERAGEIFS(DATOS!$K$2:$K$20000,DATOS!$A$2:$A$20000,G484,DATOS!$G$2:$G$20000,CONFIG_METADATA!$B$4,DATOS!$I$2:$I$20000,"Conjunto"),"")))</f>
        <v/>
      </c>
      <c r="K484" t="str">
        <f>IF(G484="","",IF(G484="[FÓRMULA MANUAL]","",IFERROR(SUMPRODUCT((DATOS!$A$2:$A$20000=G484)*(DATOS!$G$2:$G$20000=CONFIG_METADATA!$B$4)*(COUNTIF(CONFIG_ASIGNATURAS!$B$7:$B$27,DATOS!$I$2:$I$20000)&gt;0)*(DATOS!$K$2:$K$20000))/SUMPRODUCT((DATOS!$A$2:$A$20000=G484)*(DATOS!$G$2:$G$20000=CONFIG_METADATA!$B$4)*(COUNTIF(CONFIG_ASIGNATURAS!$B$7:$B$27,DATOS!$I$2:$I$20000)&gt;0)*1),"")))</f>
        <v/>
      </c>
      <c r="N484" t="str">
        <f>IF(M484="","",IF(M484="[FÓRMULA MANUAL]","",IFERROR(AVERAGEIFS(DATOS!$K$2:$K$20000,DATOS!$A$2:$A$20000,M484,DATOS!$G$2:$G$20000,CONFIG_METADATA!$B$4,DATOS!$I$2:$I$20000,"Armonía"),"")))</f>
        <v/>
      </c>
      <c r="O484" t="str">
        <f>IF(M484="","",IF(M484="[FÓRMULA MANUAL]","",IFERROR(AVERAGEIFS(DATOS!$K$2:$K$20000,DATOS!$A$2:$A$20000,M484,DATOS!$G$2:$G$20000,CONFIG_METADATA!$B$4,DATOS!$I$2:$I$20000,"Orquesta/Banda/Conjunto"),"")))</f>
        <v/>
      </c>
      <c r="P484" t="str">
        <f>IF(M484="","",IF(M484="[FÓRMULA MANUAL]","",IFERROR(AVERAGEIFS(DATOS!$K$2:$K$20000,DATOS!$A$2:$A$20000,M484,DATOS!$G$2:$G$20000,CONFIG_METADATA!$B$4,DATOS!$I$2:$I$20000,"Música de Cámara"),"")))</f>
        <v/>
      </c>
      <c r="Q484" t="str">
        <f>IF(M484="","",IF(M484="[FÓRMULA MANUAL]","",IFERROR(SUMPRODUCT((DATOS!$A$2:$A$20000=M484)*(DATOS!$G$2:$G$20000=CONFIG_METADATA!$B$4)*(COUNTIF(CONFIG_ASIGNATURAS!$B$7:$B$27,DATOS!$I$2:$I$20000)&gt;0)*(DATOS!$K$2:$K$20000))/SUMPRODUCT((DATOS!$A$2:$A$20000=M484)*(DATOS!$G$2:$G$20000=CONFIG_METADATA!$B$4)*(COUNTIF(CONFIG_ASIGNATURAS!$B$7:$B$27,DATOS!$I$2:$I$20000)&gt;0)*1),"")))</f>
        <v/>
      </c>
      <c r="T484" t="str">
        <f>IF(S484="","",IF(S484="[FÓRMULA MANUAL]","",IFERROR(AVERAGEIFS(DATOS!$K$2:$K$20000,DATOS!$A$2:$A$20000,S484,DATOS!$G$2:$G$20000,CONFIG_METADATA!$B$4,DATOS!$I$2:$I$20000,"Armonía"),"")))</f>
        <v/>
      </c>
      <c r="U484" t="str">
        <f>IF(S484="","",IF(S484="[FÓRMULA MANUAL]","",IFERROR(AVERAGEIFS(DATOS!$K$2:$K$20000,DATOS!$A$2:$A$20000,S484,DATOS!$G$2:$G$20000,CONFIG_METADATA!$B$4,DATOS!$I$2:$I$20000,"Orquesta/Banda/Conjunto"),"")))</f>
        <v/>
      </c>
      <c r="V484" t="str">
        <f>IF(S484="","",IF(S484="[FÓRMULA MANUAL]","",IFERROR(AVERAGEIFS(DATOS!$K$2:$K$20000,DATOS!$A$2:$A$20000,S484,DATOS!$G$2:$G$20000,CONFIG_METADATA!$B$4,DATOS!$I$2:$I$20000,"Música de Cámara"),"")))</f>
        <v/>
      </c>
      <c r="W484" t="str">
        <f>IF(S484="","",IF(S484="[FÓRMULA MANUAL]","",IFERROR(SUMPRODUCT((DATOS!$A$2:$A$20000=S484)*(DATOS!$G$2:$G$20000=CONFIG_METADATA!$B$4)*(COUNTIF(CONFIG_ASIGNATURAS!$B$7:$B$27,DATOS!$I$2:$I$20000)&gt;0)*(DATOS!$K$2:$K$20000))/SUMPRODUCT((DATOS!$A$2:$A$20000=S484)*(DATOS!$G$2:$G$20000=CONFIG_METADATA!$B$4)*(COUNTIF(CONFIG_ASIGNATURAS!$B$7:$B$27,DATOS!$I$2:$I$20000)&gt;0)*1),"")))</f>
        <v/>
      </c>
      <c r="Z484" t="str">
        <f>IF(Y484="","",IF(Y484="[FÓRMULA MANUAL]","",IFERROR(AVERAGEIFS(DATOS!$K$2:$K$20000,DATOS!$A$2:$A$20000,Y484,DATOS!$G$2:$G$20000,CONFIG_METADATA!$B$4,DATOS!$I$2:$I$20000,"Análisis"),"")))</f>
        <v/>
      </c>
      <c r="AA484" t="str">
        <f>IF(Y484="","",IF(Y484="[FÓRMULA MANUAL]","",IFERROR(AVERAGEIFS(DATOS!$K$2:$K$20000,DATOS!$A$2:$A$20000,Y484,DATOS!$G$2:$G$20000,CONFIG_METADATA!$B$4,DATOS!$I$2:$I$20000,"Orquesta/Banda/Conjunto"),"")))</f>
        <v/>
      </c>
      <c r="AB484" t="str">
        <f>IF(Y484="","",IF(Y484="[FÓRMULA MANUAL]","",IFERROR(AVERAGEIFS(DATOS!$K$2:$K$20000,DATOS!$A$2:$A$20000,Y484,DATOS!$G$2:$G$20000,CONFIG_METADATA!$B$4,DATOS!$I$2:$I$20000,"Música de Cámara"),"")))</f>
        <v/>
      </c>
      <c r="AC484" t="str">
        <f>IF(Y484="","",IF(Y484="[FÓRMULA MANUAL]","",IFERROR(SUMPRODUCT((DATOS!$A$2:$A$20000=Y484)*(DATOS!$G$2:$G$20000=CONFIG_METADATA!$B$4)*(COUNTIF(CONFIG_ASIGNATURAS!$B$7:$B$27,DATOS!$I$2:$I$20000)&gt;0)*(DATOS!$K$2:$K$20000))/SUMPRODUCT((DATOS!$A$2:$A$20000=Y484)*(DATOS!$G$2:$G$20000=CONFIG_METADATA!$B$4)*(COUNTIF(CONFIG_ASIGNATURAS!$B$7:$B$27,DATOS!$I$2:$I$20000)&gt;0)*1),"")))</f>
        <v/>
      </c>
      <c r="AF484" t="str">
        <f>IF(AE484="","",IF(AE484="[FÓRMULA MANUAL]","",IFERROR(AVERAGEIFS(DATOS!$K$2:$K$20000,DATOS!$A$2:$A$20000,AE484,DATOS!$G$2:$G$20000,CONFIG_METADATA!$B$4,DATOS!$I$2:$I$20000,"Análisis"),"")))</f>
        <v/>
      </c>
      <c r="AG484" t="str">
        <f>IF(AE484="","",IF(AE484="[FÓRMULA MANUAL]","",IFERROR(AVERAGEIFS(DATOS!$K$2:$K$20000,DATOS!$A$2:$A$20000,AE484,DATOS!$G$2:$G$20000,CONFIG_METADATA!$B$4,DATOS!$I$2:$I$20000,"Orquesta/Banda/Conjunto"),"")))</f>
        <v/>
      </c>
      <c r="AH484" t="str">
        <f>IF(AE484="","",IF(AE484="[FÓRMULA MANUAL]","",IFERROR(AVERAGEIFS(DATOS!$K$2:$K$20000,DATOS!$A$2:$A$20000,AE484,DATOS!$G$2:$G$20000,CONFIG_METADATA!$B$4,DATOS!$I$2:$I$20000,"Música de Cámara"),"")))</f>
        <v/>
      </c>
      <c r="AI484" t="str">
        <f>IF(AE484="","",IF(AE484="[FÓRMULA MANUAL]","",IFERROR(SUMPRODUCT((DATOS!$A$2:$A$20000=AE484)*(DATOS!$G$2:$G$20000=CONFIG_METADATA!$B$4)*(COUNTIF(CONFIG_ASIGNATURAS!$B$7:$B$27,DATOS!$I$2:$I$20000)&gt;0)*(DATOS!$K$2:$K$20000))/SUMPRODUCT((DATOS!$A$2:$A$20000=AE484)*(DATOS!$G$2:$G$20000=CONFIG_METADATA!$B$4)*(COUNTIF(CONFIG_ASIGNATURAS!$B$7:$B$27,DATOS!$I$2:$I$20000)&gt;0)*1),"")))</f>
        <v/>
      </c>
    </row>
    <row r="485" spans="2:35" x14ac:dyDescent="0.2">
      <c r="B485" t="str">
        <f>IF(A485="","",IF(A485="[FÓRMULA MANUAL]","",IFERROR(AVERAGEIFS(DATOS!$K$2:$K$20000,DATOS!$A$2:$A$20000,A485,DATOS!$G$2:$G$20000,CONFIG_METADATA!$B$4,DATOS!$I$2:$I$20000,"Lenguaje Musical"),"")))</f>
        <v/>
      </c>
      <c r="C485" t="str">
        <f>IF(A485="","",IF(A485="[FÓRMULA MANUAL]","",IFERROR(AVERAGEIFS(DATOS!$K$2:$K$20000,DATOS!$A$2:$A$20000,A485,DATOS!$G$2:$G$20000,CONFIG_METADATA!$B$4,DATOS!$I$2:$I$20000,"Orquesta/Banda/Conjunto"),"")))</f>
        <v/>
      </c>
      <c r="D485" t="str">
        <f>IF(A485="","",IF(A485="[FÓRMULA MANUAL]","",IFERROR(AVERAGEIFS(DATOS!$K$2:$K$20000,DATOS!$A$2:$A$20000,A485,DATOS!$G$2:$G$20000,CONFIG_METADATA!$B$4,DATOS!$I$2:$I$20000,"Conjunto"),"")))</f>
        <v/>
      </c>
      <c r="E485" t="str">
        <f>IF(A485="","",IF(A485="[FÓRMULA MANUAL]","",IFERROR(SUMPRODUCT((DATOS!$A$2:$A$20000=A485)*(DATOS!$G$2:$G$20000=CONFIG_METADATA!$B$4)*(COUNTIF(CONFIG_ASIGNATURAS!$B$7:$B$27,DATOS!$I$2:$I$20000)&gt;0)*(DATOS!$K$2:$K$20000))/SUMPRODUCT((DATOS!$A$2:$A$20000=A485)*(DATOS!$G$2:$G$20000=CONFIG_METADATA!$B$4)*(COUNTIF(CONFIG_ASIGNATURAS!$B$7:$B$27,DATOS!$I$2:$I$20000)&gt;0)*1),"")))</f>
        <v/>
      </c>
      <c r="H485" t="str">
        <f>IF(G485="","",IF(G485="[FÓRMULA MANUAL]","",IFERROR(AVERAGEIFS(DATOS!$K$2:$K$20000,DATOS!$A$2:$A$20000,G485,DATOS!$G$2:$G$20000,CONFIG_METADATA!$B$4,DATOS!$I$2:$I$20000,"Lenguaje Musical"),"")))</f>
        <v/>
      </c>
      <c r="I485" t="str">
        <f>IF(G485="","",IF(G485="[FÓRMULA MANUAL]","",IFERROR(AVERAGEIFS(DATOS!$K$2:$K$20000,DATOS!$A$2:$A$20000,G485,DATOS!$G$2:$G$20000,CONFIG_METADATA!$B$4,DATOS!$I$2:$I$20000,"Orquesta/Banda/Conjunto"),"")))</f>
        <v/>
      </c>
      <c r="J485" t="str">
        <f>IF(G485="","",IF(G485="[FÓRMULA MANUAL]","",IFERROR(AVERAGEIFS(DATOS!$K$2:$K$20000,DATOS!$A$2:$A$20000,G485,DATOS!$G$2:$G$20000,CONFIG_METADATA!$B$4,DATOS!$I$2:$I$20000,"Conjunto"),"")))</f>
        <v/>
      </c>
      <c r="K485" t="str">
        <f>IF(G485="","",IF(G485="[FÓRMULA MANUAL]","",IFERROR(SUMPRODUCT((DATOS!$A$2:$A$20000=G485)*(DATOS!$G$2:$G$20000=CONFIG_METADATA!$B$4)*(COUNTIF(CONFIG_ASIGNATURAS!$B$7:$B$27,DATOS!$I$2:$I$20000)&gt;0)*(DATOS!$K$2:$K$20000))/SUMPRODUCT((DATOS!$A$2:$A$20000=G485)*(DATOS!$G$2:$G$20000=CONFIG_METADATA!$B$4)*(COUNTIF(CONFIG_ASIGNATURAS!$B$7:$B$27,DATOS!$I$2:$I$20000)&gt;0)*1),"")))</f>
        <v/>
      </c>
      <c r="N485" t="str">
        <f>IF(M485="","",IF(M485="[FÓRMULA MANUAL]","",IFERROR(AVERAGEIFS(DATOS!$K$2:$K$20000,DATOS!$A$2:$A$20000,M485,DATOS!$G$2:$G$20000,CONFIG_METADATA!$B$4,DATOS!$I$2:$I$20000,"Armonía"),"")))</f>
        <v/>
      </c>
      <c r="O485" t="str">
        <f>IF(M485="","",IF(M485="[FÓRMULA MANUAL]","",IFERROR(AVERAGEIFS(DATOS!$K$2:$K$20000,DATOS!$A$2:$A$20000,M485,DATOS!$G$2:$G$20000,CONFIG_METADATA!$B$4,DATOS!$I$2:$I$20000,"Orquesta/Banda/Conjunto"),"")))</f>
        <v/>
      </c>
      <c r="P485" t="str">
        <f>IF(M485="","",IF(M485="[FÓRMULA MANUAL]","",IFERROR(AVERAGEIFS(DATOS!$K$2:$K$20000,DATOS!$A$2:$A$20000,M485,DATOS!$G$2:$G$20000,CONFIG_METADATA!$B$4,DATOS!$I$2:$I$20000,"Música de Cámara"),"")))</f>
        <v/>
      </c>
      <c r="Q485" t="str">
        <f>IF(M485="","",IF(M485="[FÓRMULA MANUAL]","",IFERROR(SUMPRODUCT((DATOS!$A$2:$A$20000=M485)*(DATOS!$G$2:$G$20000=CONFIG_METADATA!$B$4)*(COUNTIF(CONFIG_ASIGNATURAS!$B$7:$B$27,DATOS!$I$2:$I$20000)&gt;0)*(DATOS!$K$2:$K$20000))/SUMPRODUCT((DATOS!$A$2:$A$20000=M485)*(DATOS!$G$2:$G$20000=CONFIG_METADATA!$B$4)*(COUNTIF(CONFIG_ASIGNATURAS!$B$7:$B$27,DATOS!$I$2:$I$20000)&gt;0)*1),"")))</f>
        <v/>
      </c>
      <c r="T485" t="str">
        <f>IF(S485="","",IF(S485="[FÓRMULA MANUAL]","",IFERROR(AVERAGEIFS(DATOS!$K$2:$K$20000,DATOS!$A$2:$A$20000,S485,DATOS!$G$2:$G$20000,CONFIG_METADATA!$B$4,DATOS!$I$2:$I$20000,"Armonía"),"")))</f>
        <v/>
      </c>
      <c r="U485" t="str">
        <f>IF(S485="","",IF(S485="[FÓRMULA MANUAL]","",IFERROR(AVERAGEIFS(DATOS!$K$2:$K$20000,DATOS!$A$2:$A$20000,S485,DATOS!$G$2:$G$20000,CONFIG_METADATA!$B$4,DATOS!$I$2:$I$20000,"Orquesta/Banda/Conjunto"),"")))</f>
        <v/>
      </c>
      <c r="V485" t="str">
        <f>IF(S485="","",IF(S485="[FÓRMULA MANUAL]","",IFERROR(AVERAGEIFS(DATOS!$K$2:$K$20000,DATOS!$A$2:$A$20000,S485,DATOS!$G$2:$G$20000,CONFIG_METADATA!$B$4,DATOS!$I$2:$I$20000,"Música de Cámara"),"")))</f>
        <v/>
      </c>
      <c r="W485" t="str">
        <f>IF(S485="","",IF(S485="[FÓRMULA MANUAL]","",IFERROR(SUMPRODUCT((DATOS!$A$2:$A$20000=S485)*(DATOS!$G$2:$G$20000=CONFIG_METADATA!$B$4)*(COUNTIF(CONFIG_ASIGNATURAS!$B$7:$B$27,DATOS!$I$2:$I$20000)&gt;0)*(DATOS!$K$2:$K$20000))/SUMPRODUCT((DATOS!$A$2:$A$20000=S485)*(DATOS!$G$2:$G$20000=CONFIG_METADATA!$B$4)*(COUNTIF(CONFIG_ASIGNATURAS!$B$7:$B$27,DATOS!$I$2:$I$20000)&gt;0)*1),"")))</f>
        <v/>
      </c>
      <c r="Z485" t="str">
        <f>IF(Y485="","",IF(Y485="[FÓRMULA MANUAL]","",IFERROR(AVERAGEIFS(DATOS!$K$2:$K$20000,DATOS!$A$2:$A$20000,Y485,DATOS!$G$2:$G$20000,CONFIG_METADATA!$B$4,DATOS!$I$2:$I$20000,"Análisis"),"")))</f>
        <v/>
      </c>
      <c r="AA485" t="str">
        <f>IF(Y485="","",IF(Y485="[FÓRMULA MANUAL]","",IFERROR(AVERAGEIFS(DATOS!$K$2:$K$20000,DATOS!$A$2:$A$20000,Y485,DATOS!$G$2:$G$20000,CONFIG_METADATA!$B$4,DATOS!$I$2:$I$20000,"Orquesta/Banda/Conjunto"),"")))</f>
        <v/>
      </c>
      <c r="AB485" t="str">
        <f>IF(Y485="","",IF(Y485="[FÓRMULA MANUAL]","",IFERROR(AVERAGEIFS(DATOS!$K$2:$K$20000,DATOS!$A$2:$A$20000,Y485,DATOS!$G$2:$G$20000,CONFIG_METADATA!$B$4,DATOS!$I$2:$I$20000,"Música de Cámara"),"")))</f>
        <v/>
      </c>
      <c r="AC485" t="str">
        <f>IF(Y485="","",IF(Y485="[FÓRMULA MANUAL]","",IFERROR(SUMPRODUCT((DATOS!$A$2:$A$20000=Y485)*(DATOS!$G$2:$G$20000=CONFIG_METADATA!$B$4)*(COUNTIF(CONFIG_ASIGNATURAS!$B$7:$B$27,DATOS!$I$2:$I$20000)&gt;0)*(DATOS!$K$2:$K$20000))/SUMPRODUCT((DATOS!$A$2:$A$20000=Y485)*(DATOS!$G$2:$G$20000=CONFIG_METADATA!$B$4)*(COUNTIF(CONFIG_ASIGNATURAS!$B$7:$B$27,DATOS!$I$2:$I$20000)&gt;0)*1),"")))</f>
        <v/>
      </c>
      <c r="AF485" t="str">
        <f>IF(AE485="","",IF(AE485="[FÓRMULA MANUAL]","",IFERROR(AVERAGEIFS(DATOS!$K$2:$K$20000,DATOS!$A$2:$A$20000,AE485,DATOS!$G$2:$G$20000,CONFIG_METADATA!$B$4,DATOS!$I$2:$I$20000,"Análisis"),"")))</f>
        <v/>
      </c>
      <c r="AG485" t="str">
        <f>IF(AE485="","",IF(AE485="[FÓRMULA MANUAL]","",IFERROR(AVERAGEIFS(DATOS!$K$2:$K$20000,DATOS!$A$2:$A$20000,AE485,DATOS!$G$2:$G$20000,CONFIG_METADATA!$B$4,DATOS!$I$2:$I$20000,"Orquesta/Banda/Conjunto"),"")))</f>
        <v/>
      </c>
      <c r="AH485" t="str">
        <f>IF(AE485="","",IF(AE485="[FÓRMULA MANUAL]","",IFERROR(AVERAGEIFS(DATOS!$K$2:$K$20000,DATOS!$A$2:$A$20000,AE485,DATOS!$G$2:$G$20000,CONFIG_METADATA!$B$4,DATOS!$I$2:$I$20000,"Música de Cámara"),"")))</f>
        <v/>
      </c>
      <c r="AI485" t="str">
        <f>IF(AE485="","",IF(AE485="[FÓRMULA MANUAL]","",IFERROR(SUMPRODUCT((DATOS!$A$2:$A$20000=AE485)*(DATOS!$G$2:$G$20000=CONFIG_METADATA!$B$4)*(COUNTIF(CONFIG_ASIGNATURAS!$B$7:$B$27,DATOS!$I$2:$I$20000)&gt;0)*(DATOS!$K$2:$K$20000))/SUMPRODUCT((DATOS!$A$2:$A$20000=AE485)*(DATOS!$G$2:$G$20000=CONFIG_METADATA!$B$4)*(COUNTIF(CONFIG_ASIGNATURAS!$B$7:$B$27,DATOS!$I$2:$I$20000)&gt;0)*1),"")))</f>
        <v/>
      </c>
    </row>
    <row r="486" spans="2:35" x14ac:dyDescent="0.2">
      <c r="B486" t="str">
        <f>IF(A486="","",IF(A486="[FÓRMULA MANUAL]","",IFERROR(AVERAGEIFS(DATOS!$K$2:$K$20000,DATOS!$A$2:$A$20000,A486,DATOS!$G$2:$G$20000,CONFIG_METADATA!$B$4,DATOS!$I$2:$I$20000,"Lenguaje Musical"),"")))</f>
        <v/>
      </c>
      <c r="C486" t="str">
        <f>IF(A486="","",IF(A486="[FÓRMULA MANUAL]","",IFERROR(AVERAGEIFS(DATOS!$K$2:$K$20000,DATOS!$A$2:$A$20000,A486,DATOS!$G$2:$G$20000,CONFIG_METADATA!$B$4,DATOS!$I$2:$I$20000,"Orquesta/Banda/Conjunto"),"")))</f>
        <v/>
      </c>
      <c r="D486" t="str">
        <f>IF(A486="","",IF(A486="[FÓRMULA MANUAL]","",IFERROR(AVERAGEIFS(DATOS!$K$2:$K$20000,DATOS!$A$2:$A$20000,A486,DATOS!$G$2:$G$20000,CONFIG_METADATA!$B$4,DATOS!$I$2:$I$20000,"Conjunto"),"")))</f>
        <v/>
      </c>
      <c r="E486" t="str">
        <f>IF(A486="","",IF(A486="[FÓRMULA MANUAL]","",IFERROR(SUMPRODUCT((DATOS!$A$2:$A$20000=A486)*(DATOS!$G$2:$G$20000=CONFIG_METADATA!$B$4)*(COUNTIF(CONFIG_ASIGNATURAS!$B$7:$B$27,DATOS!$I$2:$I$20000)&gt;0)*(DATOS!$K$2:$K$20000))/SUMPRODUCT((DATOS!$A$2:$A$20000=A486)*(DATOS!$G$2:$G$20000=CONFIG_METADATA!$B$4)*(COUNTIF(CONFIG_ASIGNATURAS!$B$7:$B$27,DATOS!$I$2:$I$20000)&gt;0)*1),"")))</f>
        <v/>
      </c>
      <c r="H486" t="str">
        <f>IF(G486="","",IF(G486="[FÓRMULA MANUAL]","",IFERROR(AVERAGEIFS(DATOS!$K$2:$K$20000,DATOS!$A$2:$A$20000,G486,DATOS!$G$2:$G$20000,CONFIG_METADATA!$B$4,DATOS!$I$2:$I$20000,"Lenguaje Musical"),"")))</f>
        <v/>
      </c>
      <c r="I486" t="str">
        <f>IF(G486="","",IF(G486="[FÓRMULA MANUAL]","",IFERROR(AVERAGEIFS(DATOS!$K$2:$K$20000,DATOS!$A$2:$A$20000,G486,DATOS!$G$2:$G$20000,CONFIG_METADATA!$B$4,DATOS!$I$2:$I$20000,"Orquesta/Banda/Conjunto"),"")))</f>
        <v/>
      </c>
      <c r="J486" t="str">
        <f>IF(G486="","",IF(G486="[FÓRMULA MANUAL]","",IFERROR(AVERAGEIFS(DATOS!$K$2:$K$20000,DATOS!$A$2:$A$20000,G486,DATOS!$G$2:$G$20000,CONFIG_METADATA!$B$4,DATOS!$I$2:$I$20000,"Conjunto"),"")))</f>
        <v/>
      </c>
      <c r="K486" t="str">
        <f>IF(G486="","",IF(G486="[FÓRMULA MANUAL]","",IFERROR(SUMPRODUCT((DATOS!$A$2:$A$20000=G486)*(DATOS!$G$2:$G$20000=CONFIG_METADATA!$B$4)*(COUNTIF(CONFIG_ASIGNATURAS!$B$7:$B$27,DATOS!$I$2:$I$20000)&gt;0)*(DATOS!$K$2:$K$20000))/SUMPRODUCT((DATOS!$A$2:$A$20000=G486)*(DATOS!$G$2:$G$20000=CONFIG_METADATA!$B$4)*(COUNTIF(CONFIG_ASIGNATURAS!$B$7:$B$27,DATOS!$I$2:$I$20000)&gt;0)*1),"")))</f>
        <v/>
      </c>
      <c r="N486" t="str">
        <f>IF(M486="","",IF(M486="[FÓRMULA MANUAL]","",IFERROR(AVERAGEIFS(DATOS!$K$2:$K$20000,DATOS!$A$2:$A$20000,M486,DATOS!$G$2:$G$20000,CONFIG_METADATA!$B$4,DATOS!$I$2:$I$20000,"Armonía"),"")))</f>
        <v/>
      </c>
      <c r="O486" t="str">
        <f>IF(M486="","",IF(M486="[FÓRMULA MANUAL]","",IFERROR(AVERAGEIFS(DATOS!$K$2:$K$20000,DATOS!$A$2:$A$20000,M486,DATOS!$G$2:$G$20000,CONFIG_METADATA!$B$4,DATOS!$I$2:$I$20000,"Orquesta/Banda/Conjunto"),"")))</f>
        <v/>
      </c>
      <c r="P486" t="str">
        <f>IF(M486="","",IF(M486="[FÓRMULA MANUAL]","",IFERROR(AVERAGEIFS(DATOS!$K$2:$K$20000,DATOS!$A$2:$A$20000,M486,DATOS!$G$2:$G$20000,CONFIG_METADATA!$B$4,DATOS!$I$2:$I$20000,"Música de Cámara"),"")))</f>
        <v/>
      </c>
      <c r="Q486" t="str">
        <f>IF(M486="","",IF(M486="[FÓRMULA MANUAL]","",IFERROR(SUMPRODUCT((DATOS!$A$2:$A$20000=M486)*(DATOS!$G$2:$G$20000=CONFIG_METADATA!$B$4)*(COUNTIF(CONFIG_ASIGNATURAS!$B$7:$B$27,DATOS!$I$2:$I$20000)&gt;0)*(DATOS!$K$2:$K$20000))/SUMPRODUCT((DATOS!$A$2:$A$20000=M486)*(DATOS!$G$2:$G$20000=CONFIG_METADATA!$B$4)*(COUNTIF(CONFIG_ASIGNATURAS!$B$7:$B$27,DATOS!$I$2:$I$20000)&gt;0)*1),"")))</f>
        <v/>
      </c>
      <c r="T486" t="str">
        <f>IF(S486="","",IF(S486="[FÓRMULA MANUAL]","",IFERROR(AVERAGEIFS(DATOS!$K$2:$K$20000,DATOS!$A$2:$A$20000,S486,DATOS!$G$2:$G$20000,CONFIG_METADATA!$B$4,DATOS!$I$2:$I$20000,"Armonía"),"")))</f>
        <v/>
      </c>
      <c r="U486" t="str">
        <f>IF(S486="","",IF(S486="[FÓRMULA MANUAL]","",IFERROR(AVERAGEIFS(DATOS!$K$2:$K$20000,DATOS!$A$2:$A$20000,S486,DATOS!$G$2:$G$20000,CONFIG_METADATA!$B$4,DATOS!$I$2:$I$20000,"Orquesta/Banda/Conjunto"),"")))</f>
        <v/>
      </c>
      <c r="V486" t="str">
        <f>IF(S486="","",IF(S486="[FÓRMULA MANUAL]","",IFERROR(AVERAGEIFS(DATOS!$K$2:$K$20000,DATOS!$A$2:$A$20000,S486,DATOS!$G$2:$G$20000,CONFIG_METADATA!$B$4,DATOS!$I$2:$I$20000,"Música de Cámara"),"")))</f>
        <v/>
      </c>
      <c r="W486" t="str">
        <f>IF(S486="","",IF(S486="[FÓRMULA MANUAL]","",IFERROR(SUMPRODUCT((DATOS!$A$2:$A$20000=S486)*(DATOS!$G$2:$G$20000=CONFIG_METADATA!$B$4)*(COUNTIF(CONFIG_ASIGNATURAS!$B$7:$B$27,DATOS!$I$2:$I$20000)&gt;0)*(DATOS!$K$2:$K$20000))/SUMPRODUCT((DATOS!$A$2:$A$20000=S486)*(DATOS!$G$2:$G$20000=CONFIG_METADATA!$B$4)*(COUNTIF(CONFIG_ASIGNATURAS!$B$7:$B$27,DATOS!$I$2:$I$20000)&gt;0)*1),"")))</f>
        <v/>
      </c>
      <c r="Z486" t="str">
        <f>IF(Y486="","",IF(Y486="[FÓRMULA MANUAL]","",IFERROR(AVERAGEIFS(DATOS!$K$2:$K$20000,DATOS!$A$2:$A$20000,Y486,DATOS!$G$2:$G$20000,CONFIG_METADATA!$B$4,DATOS!$I$2:$I$20000,"Análisis"),"")))</f>
        <v/>
      </c>
      <c r="AA486" t="str">
        <f>IF(Y486="","",IF(Y486="[FÓRMULA MANUAL]","",IFERROR(AVERAGEIFS(DATOS!$K$2:$K$20000,DATOS!$A$2:$A$20000,Y486,DATOS!$G$2:$G$20000,CONFIG_METADATA!$B$4,DATOS!$I$2:$I$20000,"Orquesta/Banda/Conjunto"),"")))</f>
        <v/>
      </c>
      <c r="AB486" t="str">
        <f>IF(Y486="","",IF(Y486="[FÓRMULA MANUAL]","",IFERROR(AVERAGEIFS(DATOS!$K$2:$K$20000,DATOS!$A$2:$A$20000,Y486,DATOS!$G$2:$G$20000,CONFIG_METADATA!$B$4,DATOS!$I$2:$I$20000,"Música de Cámara"),"")))</f>
        <v/>
      </c>
      <c r="AC486" t="str">
        <f>IF(Y486="","",IF(Y486="[FÓRMULA MANUAL]","",IFERROR(SUMPRODUCT((DATOS!$A$2:$A$20000=Y486)*(DATOS!$G$2:$G$20000=CONFIG_METADATA!$B$4)*(COUNTIF(CONFIG_ASIGNATURAS!$B$7:$B$27,DATOS!$I$2:$I$20000)&gt;0)*(DATOS!$K$2:$K$20000))/SUMPRODUCT((DATOS!$A$2:$A$20000=Y486)*(DATOS!$G$2:$G$20000=CONFIG_METADATA!$B$4)*(COUNTIF(CONFIG_ASIGNATURAS!$B$7:$B$27,DATOS!$I$2:$I$20000)&gt;0)*1),"")))</f>
        <v/>
      </c>
      <c r="AF486" t="str">
        <f>IF(AE486="","",IF(AE486="[FÓRMULA MANUAL]","",IFERROR(AVERAGEIFS(DATOS!$K$2:$K$20000,DATOS!$A$2:$A$20000,AE486,DATOS!$G$2:$G$20000,CONFIG_METADATA!$B$4,DATOS!$I$2:$I$20000,"Análisis"),"")))</f>
        <v/>
      </c>
      <c r="AG486" t="str">
        <f>IF(AE486="","",IF(AE486="[FÓRMULA MANUAL]","",IFERROR(AVERAGEIFS(DATOS!$K$2:$K$20000,DATOS!$A$2:$A$20000,AE486,DATOS!$G$2:$G$20000,CONFIG_METADATA!$B$4,DATOS!$I$2:$I$20000,"Orquesta/Banda/Conjunto"),"")))</f>
        <v/>
      </c>
      <c r="AH486" t="str">
        <f>IF(AE486="","",IF(AE486="[FÓRMULA MANUAL]","",IFERROR(AVERAGEIFS(DATOS!$K$2:$K$20000,DATOS!$A$2:$A$20000,AE486,DATOS!$G$2:$G$20000,CONFIG_METADATA!$B$4,DATOS!$I$2:$I$20000,"Música de Cámara"),"")))</f>
        <v/>
      </c>
      <c r="AI486" t="str">
        <f>IF(AE486="","",IF(AE486="[FÓRMULA MANUAL]","",IFERROR(SUMPRODUCT((DATOS!$A$2:$A$20000=AE486)*(DATOS!$G$2:$G$20000=CONFIG_METADATA!$B$4)*(COUNTIF(CONFIG_ASIGNATURAS!$B$7:$B$27,DATOS!$I$2:$I$20000)&gt;0)*(DATOS!$K$2:$K$20000))/SUMPRODUCT((DATOS!$A$2:$A$20000=AE486)*(DATOS!$G$2:$G$20000=CONFIG_METADATA!$B$4)*(COUNTIF(CONFIG_ASIGNATURAS!$B$7:$B$27,DATOS!$I$2:$I$20000)&gt;0)*1),"")))</f>
        <v/>
      </c>
    </row>
    <row r="487" spans="2:35" x14ac:dyDescent="0.2">
      <c r="B487" t="str">
        <f>IF(A487="","",IF(A487="[FÓRMULA MANUAL]","",IFERROR(AVERAGEIFS(DATOS!$K$2:$K$20000,DATOS!$A$2:$A$20000,A487,DATOS!$G$2:$G$20000,CONFIG_METADATA!$B$4,DATOS!$I$2:$I$20000,"Lenguaje Musical"),"")))</f>
        <v/>
      </c>
      <c r="C487" t="str">
        <f>IF(A487="","",IF(A487="[FÓRMULA MANUAL]","",IFERROR(AVERAGEIFS(DATOS!$K$2:$K$20000,DATOS!$A$2:$A$20000,A487,DATOS!$G$2:$G$20000,CONFIG_METADATA!$B$4,DATOS!$I$2:$I$20000,"Orquesta/Banda/Conjunto"),"")))</f>
        <v/>
      </c>
      <c r="D487" t="str">
        <f>IF(A487="","",IF(A487="[FÓRMULA MANUAL]","",IFERROR(AVERAGEIFS(DATOS!$K$2:$K$20000,DATOS!$A$2:$A$20000,A487,DATOS!$G$2:$G$20000,CONFIG_METADATA!$B$4,DATOS!$I$2:$I$20000,"Conjunto"),"")))</f>
        <v/>
      </c>
      <c r="E487" t="str">
        <f>IF(A487="","",IF(A487="[FÓRMULA MANUAL]","",IFERROR(SUMPRODUCT((DATOS!$A$2:$A$20000=A487)*(DATOS!$G$2:$G$20000=CONFIG_METADATA!$B$4)*(COUNTIF(CONFIG_ASIGNATURAS!$B$7:$B$27,DATOS!$I$2:$I$20000)&gt;0)*(DATOS!$K$2:$K$20000))/SUMPRODUCT((DATOS!$A$2:$A$20000=A487)*(DATOS!$G$2:$G$20000=CONFIG_METADATA!$B$4)*(COUNTIF(CONFIG_ASIGNATURAS!$B$7:$B$27,DATOS!$I$2:$I$20000)&gt;0)*1),"")))</f>
        <v/>
      </c>
      <c r="H487" t="str">
        <f>IF(G487="","",IF(G487="[FÓRMULA MANUAL]","",IFERROR(AVERAGEIFS(DATOS!$K$2:$K$20000,DATOS!$A$2:$A$20000,G487,DATOS!$G$2:$G$20000,CONFIG_METADATA!$B$4,DATOS!$I$2:$I$20000,"Lenguaje Musical"),"")))</f>
        <v/>
      </c>
      <c r="I487" t="str">
        <f>IF(G487="","",IF(G487="[FÓRMULA MANUAL]","",IFERROR(AVERAGEIFS(DATOS!$K$2:$K$20000,DATOS!$A$2:$A$20000,G487,DATOS!$G$2:$G$20000,CONFIG_METADATA!$B$4,DATOS!$I$2:$I$20000,"Orquesta/Banda/Conjunto"),"")))</f>
        <v/>
      </c>
      <c r="J487" t="str">
        <f>IF(G487="","",IF(G487="[FÓRMULA MANUAL]","",IFERROR(AVERAGEIFS(DATOS!$K$2:$K$20000,DATOS!$A$2:$A$20000,G487,DATOS!$G$2:$G$20000,CONFIG_METADATA!$B$4,DATOS!$I$2:$I$20000,"Conjunto"),"")))</f>
        <v/>
      </c>
      <c r="K487" t="str">
        <f>IF(G487="","",IF(G487="[FÓRMULA MANUAL]","",IFERROR(SUMPRODUCT((DATOS!$A$2:$A$20000=G487)*(DATOS!$G$2:$G$20000=CONFIG_METADATA!$B$4)*(COUNTIF(CONFIG_ASIGNATURAS!$B$7:$B$27,DATOS!$I$2:$I$20000)&gt;0)*(DATOS!$K$2:$K$20000))/SUMPRODUCT((DATOS!$A$2:$A$20000=G487)*(DATOS!$G$2:$G$20000=CONFIG_METADATA!$B$4)*(COUNTIF(CONFIG_ASIGNATURAS!$B$7:$B$27,DATOS!$I$2:$I$20000)&gt;0)*1),"")))</f>
        <v/>
      </c>
      <c r="N487" t="str">
        <f>IF(M487="","",IF(M487="[FÓRMULA MANUAL]","",IFERROR(AVERAGEIFS(DATOS!$K$2:$K$20000,DATOS!$A$2:$A$20000,M487,DATOS!$G$2:$G$20000,CONFIG_METADATA!$B$4,DATOS!$I$2:$I$20000,"Armonía"),"")))</f>
        <v/>
      </c>
      <c r="O487" t="str">
        <f>IF(M487="","",IF(M487="[FÓRMULA MANUAL]","",IFERROR(AVERAGEIFS(DATOS!$K$2:$K$20000,DATOS!$A$2:$A$20000,M487,DATOS!$G$2:$G$20000,CONFIG_METADATA!$B$4,DATOS!$I$2:$I$20000,"Orquesta/Banda/Conjunto"),"")))</f>
        <v/>
      </c>
      <c r="P487" t="str">
        <f>IF(M487="","",IF(M487="[FÓRMULA MANUAL]","",IFERROR(AVERAGEIFS(DATOS!$K$2:$K$20000,DATOS!$A$2:$A$20000,M487,DATOS!$G$2:$G$20000,CONFIG_METADATA!$B$4,DATOS!$I$2:$I$20000,"Música de Cámara"),"")))</f>
        <v/>
      </c>
      <c r="Q487" t="str">
        <f>IF(M487="","",IF(M487="[FÓRMULA MANUAL]","",IFERROR(SUMPRODUCT((DATOS!$A$2:$A$20000=M487)*(DATOS!$G$2:$G$20000=CONFIG_METADATA!$B$4)*(COUNTIF(CONFIG_ASIGNATURAS!$B$7:$B$27,DATOS!$I$2:$I$20000)&gt;0)*(DATOS!$K$2:$K$20000))/SUMPRODUCT((DATOS!$A$2:$A$20000=M487)*(DATOS!$G$2:$G$20000=CONFIG_METADATA!$B$4)*(COUNTIF(CONFIG_ASIGNATURAS!$B$7:$B$27,DATOS!$I$2:$I$20000)&gt;0)*1),"")))</f>
        <v/>
      </c>
      <c r="T487" t="str">
        <f>IF(S487="","",IF(S487="[FÓRMULA MANUAL]","",IFERROR(AVERAGEIFS(DATOS!$K$2:$K$20000,DATOS!$A$2:$A$20000,S487,DATOS!$G$2:$G$20000,CONFIG_METADATA!$B$4,DATOS!$I$2:$I$20000,"Armonía"),"")))</f>
        <v/>
      </c>
      <c r="U487" t="str">
        <f>IF(S487="","",IF(S487="[FÓRMULA MANUAL]","",IFERROR(AVERAGEIFS(DATOS!$K$2:$K$20000,DATOS!$A$2:$A$20000,S487,DATOS!$G$2:$G$20000,CONFIG_METADATA!$B$4,DATOS!$I$2:$I$20000,"Orquesta/Banda/Conjunto"),"")))</f>
        <v/>
      </c>
      <c r="V487" t="str">
        <f>IF(S487="","",IF(S487="[FÓRMULA MANUAL]","",IFERROR(AVERAGEIFS(DATOS!$K$2:$K$20000,DATOS!$A$2:$A$20000,S487,DATOS!$G$2:$G$20000,CONFIG_METADATA!$B$4,DATOS!$I$2:$I$20000,"Música de Cámara"),"")))</f>
        <v/>
      </c>
      <c r="W487" t="str">
        <f>IF(S487="","",IF(S487="[FÓRMULA MANUAL]","",IFERROR(SUMPRODUCT((DATOS!$A$2:$A$20000=S487)*(DATOS!$G$2:$G$20000=CONFIG_METADATA!$B$4)*(COUNTIF(CONFIG_ASIGNATURAS!$B$7:$B$27,DATOS!$I$2:$I$20000)&gt;0)*(DATOS!$K$2:$K$20000))/SUMPRODUCT((DATOS!$A$2:$A$20000=S487)*(DATOS!$G$2:$G$20000=CONFIG_METADATA!$B$4)*(COUNTIF(CONFIG_ASIGNATURAS!$B$7:$B$27,DATOS!$I$2:$I$20000)&gt;0)*1),"")))</f>
        <v/>
      </c>
      <c r="Z487" t="str">
        <f>IF(Y487="","",IF(Y487="[FÓRMULA MANUAL]","",IFERROR(AVERAGEIFS(DATOS!$K$2:$K$20000,DATOS!$A$2:$A$20000,Y487,DATOS!$G$2:$G$20000,CONFIG_METADATA!$B$4,DATOS!$I$2:$I$20000,"Análisis"),"")))</f>
        <v/>
      </c>
      <c r="AA487" t="str">
        <f>IF(Y487="","",IF(Y487="[FÓRMULA MANUAL]","",IFERROR(AVERAGEIFS(DATOS!$K$2:$K$20000,DATOS!$A$2:$A$20000,Y487,DATOS!$G$2:$G$20000,CONFIG_METADATA!$B$4,DATOS!$I$2:$I$20000,"Orquesta/Banda/Conjunto"),"")))</f>
        <v/>
      </c>
      <c r="AB487" t="str">
        <f>IF(Y487="","",IF(Y487="[FÓRMULA MANUAL]","",IFERROR(AVERAGEIFS(DATOS!$K$2:$K$20000,DATOS!$A$2:$A$20000,Y487,DATOS!$G$2:$G$20000,CONFIG_METADATA!$B$4,DATOS!$I$2:$I$20000,"Música de Cámara"),"")))</f>
        <v/>
      </c>
      <c r="AC487" t="str">
        <f>IF(Y487="","",IF(Y487="[FÓRMULA MANUAL]","",IFERROR(SUMPRODUCT((DATOS!$A$2:$A$20000=Y487)*(DATOS!$G$2:$G$20000=CONFIG_METADATA!$B$4)*(COUNTIF(CONFIG_ASIGNATURAS!$B$7:$B$27,DATOS!$I$2:$I$20000)&gt;0)*(DATOS!$K$2:$K$20000))/SUMPRODUCT((DATOS!$A$2:$A$20000=Y487)*(DATOS!$G$2:$G$20000=CONFIG_METADATA!$B$4)*(COUNTIF(CONFIG_ASIGNATURAS!$B$7:$B$27,DATOS!$I$2:$I$20000)&gt;0)*1),"")))</f>
        <v/>
      </c>
      <c r="AF487" t="str">
        <f>IF(AE487="","",IF(AE487="[FÓRMULA MANUAL]","",IFERROR(AVERAGEIFS(DATOS!$K$2:$K$20000,DATOS!$A$2:$A$20000,AE487,DATOS!$G$2:$G$20000,CONFIG_METADATA!$B$4,DATOS!$I$2:$I$20000,"Análisis"),"")))</f>
        <v/>
      </c>
      <c r="AG487" t="str">
        <f>IF(AE487="","",IF(AE487="[FÓRMULA MANUAL]","",IFERROR(AVERAGEIFS(DATOS!$K$2:$K$20000,DATOS!$A$2:$A$20000,AE487,DATOS!$G$2:$G$20000,CONFIG_METADATA!$B$4,DATOS!$I$2:$I$20000,"Orquesta/Banda/Conjunto"),"")))</f>
        <v/>
      </c>
      <c r="AH487" t="str">
        <f>IF(AE487="","",IF(AE487="[FÓRMULA MANUAL]","",IFERROR(AVERAGEIFS(DATOS!$K$2:$K$20000,DATOS!$A$2:$A$20000,AE487,DATOS!$G$2:$G$20000,CONFIG_METADATA!$B$4,DATOS!$I$2:$I$20000,"Música de Cámara"),"")))</f>
        <v/>
      </c>
      <c r="AI487" t="str">
        <f>IF(AE487="","",IF(AE487="[FÓRMULA MANUAL]","",IFERROR(SUMPRODUCT((DATOS!$A$2:$A$20000=AE487)*(DATOS!$G$2:$G$20000=CONFIG_METADATA!$B$4)*(COUNTIF(CONFIG_ASIGNATURAS!$B$7:$B$27,DATOS!$I$2:$I$20000)&gt;0)*(DATOS!$K$2:$K$20000))/SUMPRODUCT((DATOS!$A$2:$A$20000=AE487)*(DATOS!$G$2:$G$20000=CONFIG_METADATA!$B$4)*(COUNTIF(CONFIG_ASIGNATURAS!$B$7:$B$27,DATOS!$I$2:$I$20000)&gt;0)*1),"")))</f>
        <v/>
      </c>
    </row>
    <row r="488" spans="2:35" x14ac:dyDescent="0.2">
      <c r="B488" t="str">
        <f>IF(A488="","",IF(A488="[FÓRMULA MANUAL]","",IFERROR(AVERAGEIFS(DATOS!$K$2:$K$20000,DATOS!$A$2:$A$20000,A488,DATOS!$G$2:$G$20000,CONFIG_METADATA!$B$4,DATOS!$I$2:$I$20000,"Lenguaje Musical"),"")))</f>
        <v/>
      </c>
      <c r="C488" t="str">
        <f>IF(A488="","",IF(A488="[FÓRMULA MANUAL]","",IFERROR(AVERAGEIFS(DATOS!$K$2:$K$20000,DATOS!$A$2:$A$20000,A488,DATOS!$G$2:$G$20000,CONFIG_METADATA!$B$4,DATOS!$I$2:$I$20000,"Orquesta/Banda/Conjunto"),"")))</f>
        <v/>
      </c>
      <c r="D488" t="str">
        <f>IF(A488="","",IF(A488="[FÓRMULA MANUAL]","",IFERROR(AVERAGEIFS(DATOS!$K$2:$K$20000,DATOS!$A$2:$A$20000,A488,DATOS!$G$2:$G$20000,CONFIG_METADATA!$B$4,DATOS!$I$2:$I$20000,"Conjunto"),"")))</f>
        <v/>
      </c>
      <c r="E488" t="str">
        <f>IF(A488="","",IF(A488="[FÓRMULA MANUAL]","",IFERROR(SUMPRODUCT((DATOS!$A$2:$A$20000=A488)*(DATOS!$G$2:$G$20000=CONFIG_METADATA!$B$4)*(COUNTIF(CONFIG_ASIGNATURAS!$B$7:$B$27,DATOS!$I$2:$I$20000)&gt;0)*(DATOS!$K$2:$K$20000))/SUMPRODUCT((DATOS!$A$2:$A$20000=A488)*(DATOS!$G$2:$G$20000=CONFIG_METADATA!$B$4)*(COUNTIF(CONFIG_ASIGNATURAS!$B$7:$B$27,DATOS!$I$2:$I$20000)&gt;0)*1),"")))</f>
        <v/>
      </c>
      <c r="H488" t="str">
        <f>IF(G488="","",IF(G488="[FÓRMULA MANUAL]","",IFERROR(AVERAGEIFS(DATOS!$K$2:$K$20000,DATOS!$A$2:$A$20000,G488,DATOS!$G$2:$G$20000,CONFIG_METADATA!$B$4,DATOS!$I$2:$I$20000,"Lenguaje Musical"),"")))</f>
        <v/>
      </c>
      <c r="I488" t="str">
        <f>IF(G488="","",IF(G488="[FÓRMULA MANUAL]","",IFERROR(AVERAGEIFS(DATOS!$K$2:$K$20000,DATOS!$A$2:$A$20000,G488,DATOS!$G$2:$G$20000,CONFIG_METADATA!$B$4,DATOS!$I$2:$I$20000,"Orquesta/Banda/Conjunto"),"")))</f>
        <v/>
      </c>
      <c r="J488" t="str">
        <f>IF(G488="","",IF(G488="[FÓRMULA MANUAL]","",IFERROR(AVERAGEIFS(DATOS!$K$2:$K$20000,DATOS!$A$2:$A$20000,G488,DATOS!$G$2:$G$20000,CONFIG_METADATA!$B$4,DATOS!$I$2:$I$20000,"Conjunto"),"")))</f>
        <v/>
      </c>
      <c r="K488" t="str">
        <f>IF(G488="","",IF(G488="[FÓRMULA MANUAL]","",IFERROR(SUMPRODUCT((DATOS!$A$2:$A$20000=G488)*(DATOS!$G$2:$G$20000=CONFIG_METADATA!$B$4)*(COUNTIF(CONFIG_ASIGNATURAS!$B$7:$B$27,DATOS!$I$2:$I$20000)&gt;0)*(DATOS!$K$2:$K$20000))/SUMPRODUCT((DATOS!$A$2:$A$20000=G488)*(DATOS!$G$2:$G$20000=CONFIG_METADATA!$B$4)*(COUNTIF(CONFIG_ASIGNATURAS!$B$7:$B$27,DATOS!$I$2:$I$20000)&gt;0)*1),"")))</f>
        <v/>
      </c>
      <c r="N488" t="str">
        <f>IF(M488="","",IF(M488="[FÓRMULA MANUAL]","",IFERROR(AVERAGEIFS(DATOS!$K$2:$K$20000,DATOS!$A$2:$A$20000,M488,DATOS!$G$2:$G$20000,CONFIG_METADATA!$B$4,DATOS!$I$2:$I$20000,"Armonía"),"")))</f>
        <v/>
      </c>
      <c r="O488" t="str">
        <f>IF(M488="","",IF(M488="[FÓRMULA MANUAL]","",IFERROR(AVERAGEIFS(DATOS!$K$2:$K$20000,DATOS!$A$2:$A$20000,M488,DATOS!$G$2:$G$20000,CONFIG_METADATA!$B$4,DATOS!$I$2:$I$20000,"Orquesta/Banda/Conjunto"),"")))</f>
        <v/>
      </c>
      <c r="P488" t="str">
        <f>IF(M488="","",IF(M488="[FÓRMULA MANUAL]","",IFERROR(AVERAGEIFS(DATOS!$K$2:$K$20000,DATOS!$A$2:$A$20000,M488,DATOS!$G$2:$G$20000,CONFIG_METADATA!$B$4,DATOS!$I$2:$I$20000,"Música de Cámara"),"")))</f>
        <v/>
      </c>
      <c r="Q488" t="str">
        <f>IF(M488="","",IF(M488="[FÓRMULA MANUAL]","",IFERROR(SUMPRODUCT((DATOS!$A$2:$A$20000=M488)*(DATOS!$G$2:$G$20000=CONFIG_METADATA!$B$4)*(COUNTIF(CONFIG_ASIGNATURAS!$B$7:$B$27,DATOS!$I$2:$I$20000)&gt;0)*(DATOS!$K$2:$K$20000))/SUMPRODUCT((DATOS!$A$2:$A$20000=M488)*(DATOS!$G$2:$G$20000=CONFIG_METADATA!$B$4)*(COUNTIF(CONFIG_ASIGNATURAS!$B$7:$B$27,DATOS!$I$2:$I$20000)&gt;0)*1),"")))</f>
        <v/>
      </c>
      <c r="T488" t="str">
        <f>IF(S488="","",IF(S488="[FÓRMULA MANUAL]","",IFERROR(AVERAGEIFS(DATOS!$K$2:$K$20000,DATOS!$A$2:$A$20000,S488,DATOS!$G$2:$G$20000,CONFIG_METADATA!$B$4,DATOS!$I$2:$I$20000,"Armonía"),"")))</f>
        <v/>
      </c>
      <c r="U488" t="str">
        <f>IF(S488="","",IF(S488="[FÓRMULA MANUAL]","",IFERROR(AVERAGEIFS(DATOS!$K$2:$K$20000,DATOS!$A$2:$A$20000,S488,DATOS!$G$2:$G$20000,CONFIG_METADATA!$B$4,DATOS!$I$2:$I$20000,"Orquesta/Banda/Conjunto"),"")))</f>
        <v/>
      </c>
      <c r="V488" t="str">
        <f>IF(S488="","",IF(S488="[FÓRMULA MANUAL]","",IFERROR(AVERAGEIFS(DATOS!$K$2:$K$20000,DATOS!$A$2:$A$20000,S488,DATOS!$G$2:$G$20000,CONFIG_METADATA!$B$4,DATOS!$I$2:$I$20000,"Música de Cámara"),"")))</f>
        <v/>
      </c>
      <c r="W488" t="str">
        <f>IF(S488="","",IF(S488="[FÓRMULA MANUAL]","",IFERROR(SUMPRODUCT((DATOS!$A$2:$A$20000=S488)*(DATOS!$G$2:$G$20000=CONFIG_METADATA!$B$4)*(COUNTIF(CONFIG_ASIGNATURAS!$B$7:$B$27,DATOS!$I$2:$I$20000)&gt;0)*(DATOS!$K$2:$K$20000))/SUMPRODUCT((DATOS!$A$2:$A$20000=S488)*(DATOS!$G$2:$G$20000=CONFIG_METADATA!$B$4)*(COUNTIF(CONFIG_ASIGNATURAS!$B$7:$B$27,DATOS!$I$2:$I$20000)&gt;0)*1),"")))</f>
        <v/>
      </c>
      <c r="Z488" t="str">
        <f>IF(Y488="","",IF(Y488="[FÓRMULA MANUAL]","",IFERROR(AVERAGEIFS(DATOS!$K$2:$K$20000,DATOS!$A$2:$A$20000,Y488,DATOS!$G$2:$G$20000,CONFIG_METADATA!$B$4,DATOS!$I$2:$I$20000,"Análisis"),"")))</f>
        <v/>
      </c>
      <c r="AA488" t="str">
        <f>IF(Y488="","",IF(Y488="[FÓRMULA MANUAL]","",IFERROR(AVERAGEIFS(DATOS!$K$2:$K$20000,DATOS!$A$2:$A$20000,Y488,DATOS!$G$2:$G$20000,CONFIG_METADATA!$B$4,DATOS!$I$2:$I$20000,"Orquesta/Banda/Conjunto"),"")))</f>
        <v/>
      </c>
      <c r="AB488" t="str">
        <f>IF(Y488="","",IF(Y488="[FÓRMULA MANUAL]","",IFERROR(AVERAGEIFS(DATOS!$K$2:$K$20000,DATOS!$A$2:$A$20000,Y488,DATOS!$G$2:$G$20000,CONFIG_METADATA!$B$4,DATOS!$I$2:$I$20000,"Música de Cámara"),"")))</f>
        <v/>
      </c>
      <c r="AC488" t="str">
        <f>IF(Y488="","",IF(Y488="[FÓRMULA MANUAL]","",IFERROR(SUMPRODUCT((DATOS!$A$2:$A$20000=Y488)*(DATOS!$G$2:$G$20000=CONFIG_METADATA!$B$4)*(COUNTIF(CONFIG_ASIGNATURAS!$B$7:$B$27,DATOS!$I$2:$I$20000)&gt;0)*(DATOS!$K$2:$K$20000))/SUMPRODUCT((DATOS!$A$2:$A$20000=Y488)*(DATOS!$G$2:$G$20000=CONFIG_METADATA!$B$4)*(COUNTIF(CONFIG_ASIGNATURAS!$B$7:$B$27,DATOS!$I$2:$I$20000)&gt;0)*1),"")))</f>
        <v/>
      </c>
      <c r="AF488" t="str">
        <f>IF(AE488="","",IF(AE488="[FÓRMULA MANUAL]","",IFERROR(AVERAGEIFS(DATOS!$K$2:$K$20000,DATOS!$A$2:$A$20000,AE488,DATOS!$G$2:$G$20000,CONFIG_METADATA!$B$4,DATOS!$I$2:$I$20000,"Análisis"),"")))</f>
        <v/>
      </c>
      <c r="AG488" t="str">
        <f>IF(AE488="","",IF(AE488="[FÓRMULA MANUAL]","",IFERROR(AVERAGEIFS(DATOS!$K$2:$K$20000,DATOS!$A$2:$A$20000,AE488,DATOS!$G$2:$G$20000,CONFIG_METADATA!$B$4,DATOS!$I$2:$I$20000,"Orquesta/Banda/Conjunto"),"")))</f>
        <v/>
      </c>
      <c r="AH488" t="str">
        <f>IF(AE488="","",IF(AE488="[FÓRMULA MANUAL]","",IFERROR(AVERAGEIFS(DATOS!$K$2:$K$20000,DATOS!$A$2:$A$20000,AE488,DATOS!$G$2:$G$20000,CONFIG_METADATA!$B$4,DATOS!$I$2:$I$20000,"Música de Cámara"),"")))</f>
        <v/>
      </c>
      <c r="AI488" t="str">
        <f>IF(AE488="","",IF(AE488="[FÓRMULA MANUAL]","",IFERROR(SUMPRODUCT((DATOS!$A$2:$A$20000=AE488)*(DATOS!$G$2:$G$20000=CONFIG_METADATA!$B$4)*(COUNTIF(CONFIG_ASIGNATURAS!$B$7:$B$27,DATOS!$I$2:$I$20000)&gt;0)*(DATOS!$K$2:$K$20000))/SUMPRODUCT((DATOS!$A$2:$A$20000=AE488)*(DATOS!$G$2:$G$20000=CONFIG_METADATA!$B$4)*(COUNTIF(CONFIG_ASIGNATURAS!$B$7:$B$27,DATOS!$I$2:$I$20000)&gt;0)*1),"")))</f>
        <v/>
      </c>
    </row>
    <row r="489" spans="2:35" x14ac:dyDescent="0.2">
      <c r="B489" t="str">
        <f>IF(A489="","",IF(A489="[FÓRMULA MANUAL]","",IFERROR(AVERAGEIFS(DATOS!$K$2:$K$20000,DATOS!$A$2:$A$20000,A489,DATOS!$G$2:$G$20000,CONFIG_METADATA!$B$4,DATOS!$I$2:$I$20000,"Lenguaje Musical"),"")))</f>
        <v/>
      </c>
      <c r="C489" t="str">
        <f>IF(A489="","",IF(A489="[FÓRMULA MANUAL]","",IFERROR(AVERAGEIFS(DATOS!$K$2:$K$20000,DATOS!$A$2:$A$20000,A489,DATOS!$G$2:$G$20000,CONFIG_METADATA!$B$4,DATOS!$I$2:$I$20000,"Orquesta/Banda/Conjunto"),"")))</f>
        <v/>
      </c>
      <c r="D489" t="str">
        <f>IF(A489="","",IF(A489="[FÓRMULA MANUAL]","",IFERROR(AVERAGEIFS(DATOS!$K$2:$K$20000,DATOS!$A$2:$A$20000,A489,DATOS!$G$2:$G$20000,CONFIG_METADATA!$B$4,DATOS!$I$2:$I$20000,"Conjunto"),"")))</f>
        <v/>
      </c>
      <c r="E489" t="str">
        <f>IF(A489="","",IF(A489="[FÓRMULA MANUAL]","",IFERROR(SUMPRODUCT((DATOS!$A$2:$A$20000=A489)*(DATOS!$G$2:$G$20000=CONFIG_METADATA!$B$4)*(COUNTIF(CONFIG_ASIGNATURAS!$B$7:$B$27,DATOS!$I$2:$I$20000)&gt;0)*(DATOS!$K$2:$K$20000))/SUMPRODUCT((DATOS!$A$2:$A$20000=A489)*(DATOS!$G$2:$G$20000=CONFIG_METADATA!$B$4)*(COUNTIF(CONFIG_ASIGNATURAS!$B$7:$B$27,DATOS!$I$2:$I$20000)&gt;0)*1),"")))</f>
        <v/>
      </c>
      <c r="H489" t="str">
        <f>IF(G489="","",IF(G489="[FÓRMULA MANUAL]","",IFERROR(AVERAGEIFS(DATOS!$K$2:$K$20000,DATOS!$A$2:$A$20000,G489,DATOS!$G$2:$G$20000,CONFIG_METADATA!$B$4,DATOS!$I$2:$I$20000,"Lenguaje Musical"),"")))</f>
        <v/>
      </c>
      <c r="I489" t="str">
        <f>IF(G489="","",IF(G489="[FÓRMULA MANUAL]","",IFERROR(AVERAGEIFS(DATOS!$K$2:$K$20000,DATOS!$A$2:$A$20000,G489,DATOS!$G$2:$G$20000,CONFIG_METADATA!$B$4,DATOS!$I$2:$I$20000,"Orquesta/Banda/Conjunto"),"")))</f>
        <v/>
      </c>
      <c r="J489" t="str">
        <f>IF(G489="","",IF(G489="[FÓRMULA MANUAL]","",IFERROR(AVERAGEIFS(DATOS!$K$2:$K$20000,DATOS!$A$2:$A$20000,G489,DATOS!$G$2:$G$20000,CONFIG_METADATA!$B$4,DATOS!$I$2:$I$20000,"Conjunto"),"")))</f>
        <v/>
      </c>
      <c r="K489" t="str">
        <f>IF(G489="","",IF(G489="[FÓRMULA MANUAL]","",IFERROR(SUMPRODUCT((DATOS!$A$2:$A$20000=G489)*(DATOS!$G$2:$G$20000=CONFIG_METADATA!$B$4)*(COUNTIF(CONFIG_ASIGNATURAS!$B$7:$B$27,DATOS!$I$2:$I$20000)&gt;0)*(DATOS!$K$2:$K$20000))/SUMPRODUCT((DATOS!$A$2:$A$20000=G489)*(DATOS!$G$2:$G$20000=CONFIG_METADATA!$B$4)*(COUNTIF(CONFIG_ASIGNATURAS!$B$7:$B$27,DATOS!$I$2:$I$20000)&gt;0)*1),"")))</f>
        <v/>
      </c>
      <c r="N489" t="str">
        <f>IF(M489="","",IF(M489="[FÓRMULA MANUAL]","",IFERROR(AVERAGEIFS(DATOS!$K$2:$K$20000,DATOS!$A$2:$A$20000,M489,DATOS!$G$2:$G$20000,CONFIG_METADATA!$B$4,DATOS!$I$2:$I$20000,"Armonía"),"")))</f>
        <v/>
      </c>
      <c r="O489" t="str">
        <f>IF(M489="","",IF(M489="[FÓRMULA MANUAL]","",IFERROR(AVERAGEIFS(DATOS!$K$2:$K$20000,DATOS!$A$2:$A$20000,M489,DATOS!$G$2:$G$20000,CONFIG_METADATA!$B$4,DATOS!$I$2:$I$20000,"Orquesta/Banda/Conjunto"),"")))</f>
        <v/>
      </c>
      <c r="P489" t="str">
        <f>IF(M489="","",IF(M489="[FÓRMULA MANUAL]","",IFERROR(AVERAGEIFS(DATOS!$K$2:$K$20000,DATOS!$A$2:$A$20000,M489,DATOS!$G$2:$G$20000,CONFIG_METADATA!$B$4,DATOS!$I$2:$I$20000,"Música de Cámara"),"")))</f>
        <v/>
      </c>
      <c r="Q489" t="str">
        <f>IF(M489="","",IF(M489="[FÓRMULA MANUAL]","",IFERROR(SUMPRODUCT((DATOS!$A$2:$A$20000=M489)*(DATOS!$G$2:$G$20000=CONFIG_METADATA!$B$4)*(COUNTIF(CONFIG_ASIGNATURAS!$B$7:$B$27,DATOS!$I$2:$I$20000)&gt;0)*(DATOS!$K$2:$K$20000))/SUMPRODUCT((DATOS!$A$2:$A$20000=M489)*(DATOS!$G$2:$G$20000=CONFIG_METADATA!$B$4)*(COUNTIF(CONFIG_ASIGNATURAS!$B$7:$B$27,DATOS!$I$2:$I$20000)&gt;0)*1),"")))</f>
        <v/>
      </c>
      <c r="T489" t="str">
        <f>IF(S489="","",IF(S489="[FÓRMULA MANUAL]","",IFERROR(AVERAGEIFS(DATOS!$K$2:$K$20000,DATOS!$A$2:$A$20000,S489,DATOS!$G$2:$G$20000,CONFIG_METADATA!$B$4,DATOS!$I$2:$I$20000,"Armonía"),"")))</f>
        <v/>
      </c>
      <c r="U489" t="str">
        <f>IF(S489="","",IF(S489="[FÓRMULA MANUAL]","",IFERROR(AVERAGEIFS(DATOS!$K$2:$K$20000,DATOS!$A$2:$A$20000,S489,DATOS!$G$2:$G$20000,CONFIG_METADATA!$B$4,DATOS!$I$2:$I$20000,"Orquesta/Banda/Conjunto"),"")))</f>
        <v/>
      </c>
      <c r="V489" t="str">
        <f>IF(S489="","",IF(S489="[FÓRMULA MANUAL]","",IFERROR(AVERAGEIFS(DATOS!$K$2:$K$20000,DATOS!$A$2:$A$20000,S489,DATOS!$G$2:$G$20000,CONFIG_METADATA!$B$4,DATOS!$I$2:$I$20000,"Música de Cámara"),"")))</f>
        <v/>
      </c>
      <c r="W489" t="str">
        <f>IF(S489="","",IF(S489="[FÓRMULA MANUAL]","",IFERROR(SUMPRODUCT((DATOS!$A$2:$A$20000=S489)*(DATOS!$G$2:$G$20000=CONFIG_METADATA!$B$4)*(COUNTIF(CONFIG_ASIGNATURAS!$B$7:$B$27,DATOS!$I$2:$I$20000)&gt;0)*(DATOS!$K$2:$K$20000))/SUMPRODUCT((DATOS!$A$2:$A$20000=S489)*(DATOS!$G$2:$G$20000=CONFIG_METADATA!$B$4)*(COUNTIF(CONFIG_ASIGNATURAS!$B$7:$B$27,DATOS!$I$2:$I$20000)&gt;0)*1),"")))</f>
        <v/>
      </c>
      <c r="Z489" t="str">
        <f>IF(Y489="","",IF(Y489="[FÓRMULA MANUAL]","",IFERROR(AVERAGEIFS(DATOS!$K$2:$K$20000,DATOS!$A$2:$A$20000,Y489,DATOS!$G$2:$G$20000,CONFIG_METADATA!$B$4,DATOS!$I$2:$I$20000,"Análisis"),"")))</f>
        <v/>
      </c>
      <c r="AA489" t="str">
        <f>IF(Y489="","",IF(Y489="[FÓRMULA MANUAL]","",IFERROR(AVERAGEIFS(DATOS!$K$2:$K$20000,DATOS!$A$2:$A$20000,Y489,DATOS!$G$2:$G$20000,CONFIG_METADATA!$B$4,DATOS!$I$2:$I$20000,"Orquesta/Banda/Conjunto"),"")))</f>
        <v/>
      </c>
      <c r="AB489" t="str">
        <f>IF(Y489="","",IF(Y489="[FÓRMULA MANUAL]","",IFERROR(AVERAGEIFS(DATOS!$K$2:$K$20000,DATOS!$A$2:$A$20000,Y489,DATOS!$G$2:$G$20000,CONFIG_METADATA!$B$4,DATOS!$I$2:$I$20000,"Música de Cámara"),"")))</f>
        <v/>
      </c>
      <c r="AC489" t="str">
        <f>IF(Y489="","",IF(Y489="[FÓRMULA MANUAL]","",IFERROR(SUMPRODUCT((DATOS!$A$2:$A$20000=Y489)*(DATOS!$G$2:$G$20000=CONFIG_METADATA!$B$4)*(COUNTIF(CONFIG_ASIGNATURAS!$B$7:$B$27,DATOS!$I$2:$I$20000)&gt;0)*(DATOS!$K$2:$K$20000))/SUMPRODUCT((DATOS!$A$2:$A$20000=Y489)*(DATOS!$G$2:$G$20000=CONFIG_METADATA!$B$4)*(COUNTIF(CONFIG_ASIGNATURAS!$B$7:$B$27,DATOS!$I$2:$I$20000)&gt;0)*1),"")))</f>
        <v/>
      </c>
      <c r="AF489" t="str">
        <f>IF(AE489="","",IF(AE489="[FÓRMULA MANUAL]","",IFERROR(AVERAGEIFS(DATOS!$K$2:$K$20000,DATOS!$A$2:$A$20000,AE489,DATOS!$G$2:$G$20000,CONFIG_METADATA!$B$4,DATOS!$I$2:$I$20000,"Análisis"),"")))</f>
        <v/>
      </c>
      <c r="AG489" t="str">
        <f>IF(AE489="","",IF(AE489="[FÓRMULA MANUAL]","",IFERROR(AVERAGEIFS(DATOS!$K$2:$K$20000,DATOS!$A$2:$A$20000,AE489,DATOS!$G$2:$G$20000,CONFIG_METADATA!$B$4,DATOS!$I$2:$I$20000,"Orquesta/Banda/Conjunto"),"")))</f>
        <v/>
      </c>
      <c r="AH489" t="str">
        <f>IF(AE489="","",IF(AE489="[FÓRMULA MANUAL]","",IFERROR(AVERAGEIFS(DATOS!$K$2:$K$20000,DATOS!$A$2:$A$20000,AE489,DATOS!$G$2:$G$20000,CONFIG_METADATA!$B$4,DATOS!$I$2:$I$20000,"Música de Cámara"),"")))</f>
        <v/>
      </c>
      <c r="AI489" t="str">
        <f>IF(AE489="","",IF(AE489="[FÓRMULA MANUAL]","",IFERROR(SUMPRODUCT((DATOS!$A$2:$A$20000=AE489)*(DATOS!$G$2:$G$20000=CONFIG_METADATA!$B$4)*(COUNTIF(CONFIG_ASIGNATURAS!$B$7:$B$27,DATOS!$I$2:$I$20000)&gt;0)*(DATOS!$K$2:$K$20000))/SUMPRODUCT((DATOS!$A$2:$A$20000=AE489)*(DATOS!$G$2:$G$20000=CONFIG_METADATA!$B$4)*(COUNTIF(CONFIG_ASIGNATURAS!$B$7:$B$27,DATOS!$I$2:$I$20000)&gt;0)*1),"")))</f>
        <v/>
      </c>
    </row>
    <row r="490" spans="2:35" x14ac:dyDescent="0.2">
      <c r="B490" t="str">
        <f>IF(A490="","",IF(A490="[FÓRMULA MANUAL]","",IFERROR(AVERAGEIFS(DATOS!$K$2:$K$20000,DATOS!$A$2:$A$20000,A490,DATOS!$G$2:$G$20000,CONFIG_METADATA!$B$4,DATOS!$I$2:$I$20000,"Lenguaje Musical"),"")))</f>
        <v/>
      </c>
      <c r="C490" t="str">
        <f>IF(A490="","",IF(A490="[FÓRMULA MANUAL]","",IFERROR(AVERAGEIFS(DATOS!$K$2:$K$20000,DATOS!$A$2:$A$20000,A490,DATOS!$G$2:$G$20000,CONFIG_METADATA!$B$4,DATOS!$I$2:$I$20000,"Orquesta/Banda/Conjunto"),"")))</f>
        <v/>
      </c>
      <c r="D490" t="str">
        <f>IF(A490="","",IF(A490="[FÓRMULA MANUAL]","",IFERROR(AVERAGEIFS(DATOS!$K$2:$K$20000,DATOS!$A$2:$A$20000,A490,DATOS!$G$2:$G$20000,CONFIG_METADATA!$B$4,DATOS!$I$2:$I$20000,"Conjunto"),"")))</f>
        <v/>
      </c>
      <c r="E490" t="str">
        <f>IF(A490="","",IF(A490="[FÓRMULA MANUAL]","",IFERROR(SUMPRODUCT((DATOS!$A$2:$A$20000=A490)*(DATOS!$G$2:$G$20000=CONFIG_METADATA!$B$4)*(COUNTIF(CONFIG_ASIGNATURAS!$B$7:$B$27,DATOS!$I$2:$I$20000)&gt;0)*(DATOS!$K$2:$K$20000))/SUMPRODUCT((DATOS!$A$2:$A$20000=A490)*(DATOS!$G$2:$G$20000=CONFIG_METADATA!$B$4)*(COUNTIF(CONFIG_ASIGNATURAS!$B$7:$B$27,DATOS!$I$2:$I$20000)&gt;0)*1),"")))</f>
        <v/>
      </c>
      <c r="H490" t="str">
        <f>IF(G490="","",IF(G490="[FÓRMULA MANUAL]","",IFERROR(AVERAGEIFS(DATOS!$K$2:$K$20000,DATOS!$A$2:$A$20000,G490,DATOS!$G$2:$G$20000,CONFIG_METADATA!$B$4,DATOS!$I$2:$I$20000,"Lenguaje Musical"),"")))</f>
        <v/>
      </c>
      <c r="I490" t="str">
        <f>IF(G490="","",IF(G490="[FÓRMULA MANUAL]","",IFERROR(AVERAGEIFS(DATOS!$K$2:$K$20000,DATOS!$A$2:$A$20000,G490,DATOS!$G$2:$G$20000,CONFIG_METADATA!$B$4,DATOS!$I$2:$I$20000,"Orquesta/Banda/Conjunto"),"")))</f>
        <v/>
      </c>
      <c r="J490" t="str">
        <f>IF(G490="","",IF(G490="[FÓRMULA MANUAL]","",IFERROR(AVERAGEIFS(DATOS!$K$2:$K$20000,DATOS!$A$2:$A$20000,G490,DATOS!$G$2:$G$20000,CONFIG_METADATA!$B$4,DATOS!$I$2:$I$20000,"Conjunto"),"")))</f>
        <v/>
      </c>
      <c r="K490" t="str">
        <f>IF(G490="","",IF(G490="[FÓRMULA MANUAL]","",IFERROR(SUMPRODUCT((DATOS!$A$2:$A$20000=G490)*(DATOS!$G$2:$G$20000=CONFIG_METADATA!$B$4)*(COUNTIF(CONFIG_ASIGNATURAS!$B$7:$B$27,DATOS!$I$2:$I$20000)&gt;0)*(DATOS!$K$2:$K$20000))/SUMPRODUCT((DATOS!$A$2:$A$20000=G490)*(DATOS!$G$2:$G$20000=CONFIG_METADATA!$B$4)*(COUNTIF(CONFIG_ASIGNATURAS!$B$7:$B$27,DATOS!$I$2:$I$20000)&gt;0)*1),"")))</f>
        <v/>
      </c>
      <c r="N490" t="str">
        <f>IF(M490="","",IF(M490="[FÓRMULA MANUAL]","",IFERROR(AVERAGEIFS(DATOS!$K$2:$K$20000,DATOS!$A$2:$A$20000,M490,DATOS!$G$2:$G$20000,CONFIG_METADATA!$B$4,DATOS!$I$2:$I$20000,"Armonía"),"")))</f>
        <v/>
      </c>
      <c r="O490" t="str">
        <f>IF(M490="","",IF(M490="[FÓRMULA MANUAL]","",IFERROR(AVERAGEIFS(DATOS!$K$2:$K$20000,DATOS!$A$2:$A$20000,M490,DATOS!$G$2:$G$20000,CONFIG_METADATA!$B$4,DATOS!$I$2:$I$20000,"Orquesta/Banda/Conjunto"),"")))</f>
        <v/>
      </c>
      <c r="P490" t="str">
        <f>IF(M490="","",IF(M490="[FÓRMULA MANUAL]","",IFERROR(AVERAGEIFS(DATOS!$K$2:$K$20000,DATOS!$A$2:$A$20000,M490,DATOS!$G$2:$G$20000,CONFIG_METADATA!$B$4,DATOS!$I$2:$I$20000,"Música de Cámara"),"")))</f>
        <v/>
      </c>
      <c r="Q490" t="str">
        <f>IF(M490="","",IF(M490="[FÓRMULA MANUAL]","",IFERROR(SUMPRODUCT((DATOS!$A$2:$A$20000=M490)*(DATOS!$G$2:$G$20000=CONFIG_METADATA!$B$4)*(COUNTIF(CONFIG_ASIGNATURAS!$B$7:$B$27,DATOS!$I$2:$I$20000)&gt;0)*(DATOS!$K$2:$K$20000))/SUMPRODUCT((DATOS!$A$2:$A$20000=M490)*(DATOS!$G$2:$G$20000=CONFIG_METADATA!$B$4)*(COUNTIF(CONFIG_ASIGNATURAS!$B$7:$B$27,DATOS!$I$2:$I$20000)&gt;0)*1),"")))</f>
        <v/>
      </c>
      <c r="T490" t="str">
        <f>IF(S490="","",IF(S490="[FÓRMULA MANUAL]","",IFERROR(AVERAGEIFS(DATOS!$K$2:$K$20000,DATOS!$A$2:$A$20000,S490,DATOS!$G$2:$G$20000,CONFIG_METADATA!$B$4,DATOS!$I$2:$I$20000,"Armonía"),"")))</f>
        <v/>
      </c>
      <c r="U490" t="str">
        <f>IF(S490="","",IF(S490="[FÓRMULA MANUAL]","",IFERROR(AVERAGEIFS(DATOS!$K$2:$K$20000,DATOS!$A$2:$A$20000,S490,DATOS!$G$2:$G$20000,CONFIG_METADATA!$B$4,DATOS!$I$2:$I$20000,"Orquesta/Banda/Conjunto"),"")))</f>
        <v/>
      </c>
      <c r="V490" t="str">
        <f>IF(S490="","",IF(S490="[FÓRMULA MANUAL]","",IFERROR(AVERAGEIFS(DATOS!$K$2:$K$20000,DATOS!$A$2:$A$20000,S490,DATOS!$G$2:$G$20000,CONFIG_METADATA!$B$4,DATOS!$I$2:$I$20000,"Música de Cámara"),"")))</f>
        <v/>
      </c>
      <c r="W490" t="str">
        <f>IF(S490="","",IF(S490="[FÓRMULA MANUAL]","",IFERROR(SUMPRODUCT((DATOS!$A$2:$A$20000=S490)*(DATOS!$G$2:$G$20000=CONFIG_METADATA!$B$4)*(COUNTIF(CONFIG_ASIGNATURAS!$B$7:$B$27,DATOS!$I$2:$I$20000)&gt;0)*(DATOS!$K$2:$K$20000))/SUMPRODUCT((DATOS!$A$2:$A$20000=S490)*(DATOS!$G$2:$G$20000=CONFIG_METADATA!$B$4)*(COUNTIF(CONFIG_ASIGNATURAS!$B$7:$B$27,DATOS!$I$2:$I$20000)&gt;0)*1),"")))</f>
        <v/>
      </c>
      <c r="Z490" t="str">
        <f>IF(Y490="","",IF(Y490="[FÓRMULA MANUAL]","",IFERROR(AVERAGEIFS(DATOS!$K$2:$K$20000,DATOS!$A$2:$A$20000,Y490,DATOS!$G$2:$G$20000,CONFIG_METADATA!$B$4,DATOS!$I$2:$I$20000,"Análisis"),"")))</f>
        <v/>
      </c>
      <c r="AA490" t="str">
        <f>IF(Y490="","",IF(Y490="[FÓRMULA MANUAL]","",IFERROR(AVERAGEIFS(DATOS!$K$2:$K$20000,DATOS!$A$2:$A$20000,Y490,DATOS!$G$2:$G$20000,CONFIG_METADATA!$B$4,DATOS!$I$2:$I$20000,"Orquesta/Banda/Conjunto"),"")))</f>
        <v/>
      </c>
      <c r="AB490" t="str">
        <f>IF(Y490="","",IF(Y490="[FÓRMULA MANUAL]","",IFERROR(AVERAGEIFS(DATOS!$K$2:$K$20000,DATOS!$A$2:$A$20000,Y490,DATOS!$G$2:$G$20000,CONFIG_METADATA!$B$4,DATOS!$I$2:$I$20000,"Música de Cámara"),"")))</f>
        <v/>
      </c>
      <c r="AC490" t="str">
        <f>IF(Y490="","",IF(Y490="[FÓRMULA MANUAL]","",IFERROR(SUMPRODUCT((DATOS!$A$2:$A$20000=Y490)*(DATOS!$G$2:$G$20000=CONFIG_METADATA!$B$4)*(COUNTIF(CONFIG_ASIGNATURAS!$B$7:$B$27,DATOS!$I$2:$I$20000)&gt;0)*(DATOS!$K$2:$K$20000))/SUMPRODUCT((DATOS!$A$2:$A$20000=Y490)*(DATOS!$G$2:$G$20000=CONFIG_METADATA!$B$4)*(COUNTIF(CONFIG_ASIGNATURAS!$B$7:$B$27,DATOS!$I$2:$I$20000)&gt;0)*1),"")))</f>
        <v/>
      </c>
      <c r="AF490" t="str">
        <f>IF(AE490="","",IF(AE490="[FÓRMULA MANUAL]","",IFERROR(AVERAGEIFS(DATOS!$K$2:$K$20000,DATOS!$A$2:$A$20000,AE490,DATOS!$G$2:$G$20000,CONFIG_METADATA!$B$4,DATOS!$I$2:$I$20000,"Análisis"),"")))</f>
        <v/>
      </c>
      <c r="AG490" t="str">
        <f>IF(AE490="","",IF(AE490="[FÓRMULA MANUAL]","",IFERROR(AVERAGEIFS(DATOS!$K$2:$K$20000,DATOS!$A$2:$A$20000,AE490,DATOS!$G$2:$G$20000,CONFIG_METADATA!$B$4,DATOS!$I$2:$I$20000,"Orquesta/Banda/Conjunto"),"")))</f>
        <v/>
      </c>
      <c r="AH490" t="str">
        <f>IF(AE490="","",IF(AE490="[FÓRMULA MANUAL]","",IFERROR(AVERAGEIFS(DATOS!$K$2:$K$20000,DATOS!$A$2:$A$20000,AE490,DATOS!$G$2:$G$20000,CONFIG_METADATA!$B$4,DATOS!$I$2:$I$20000,"Música de Cámara"),"")))</f>
        <v/>
      </c>
      <c r="AI490" t="str">
        <f>IF(AE490="","",IF(AE490="[FÓRMULA MANUAL]","",IFERROR(SUMPRODUCT((DATOS!$A$2:$A$20000=AE490)*(DATOS!$G$2:$G$20000=CONFIG_METADATA!$B$4)*(COUNTIF(CONFIG_ASIGNATURAS!$B$7:$B$27,DATOS!$I$2:$I$20000)&gt;0)*(DATOS!$K$2:$K$20000))/SUMPRODUCT((DATOS!$A$2:$A$20000=AE490)*(DATOS!$G$2:$G$20000=CONFIG_METADATA!$B$4)*(COUNTIF(CONFIG_ASIGNATURAS!$B$7:$B$27,DATOS!$I$2:$I$20000)&gt;0)*1),"")))</f>
        <v/>
      </c>
    </row>
    <row r="491" spans="2:35" x14ac:dyDescent="0.2">
      <c r="B491" t="str">
        <f>IF(A491="","",IF(A491="[FÓRMULA MANUAL]","",IFERROR(AVERAGEIFS(DATOS!$K$2:$K$20000,DATOS!$A$2:$A$20000,A491,DATOS!$G$2:$G$20000,CONFIG_METADATA!$B$4,DATOS!$I$2:$I$20000,"Lenguaje Musical"),"")))</f>
        <v/>
      </c>
      <c r="C491" t="str">
        <f>IF(A491="","",IF(A491="[FÓRMULA MANUAL]","",IFERROR(AVERAGEIFS(DATOS!$K$2:$K$20000,DATOS!$A$2:$A$20000,A491,DATOS!$G$2:$G$20000,CONFIG_METADATA!$B$4,DATOS!$I$2:$I$20000,"Orquesta/Banda/Conjunto"),"")))</f>
        <v/>
      </c>
      <c r="D491" t="str">
        <f>IF(A491="","",IF(A491="[FÓRMULA MANUAL]","",IFERROR(AVERAGEIFS(DATOS!$K$2:$K$20000,DATOS!$A$2:$A$20000,A491,DATOS!$G$2:$G$20000,CONFIG_METADATA!$B$4,DATOS!$I$2:$I$20000,"Conjunto"),"")))</f>
        <v/>
      </c>
      <c r="E491" t="str">
        <f>IF(A491="","",IF(A491="[FÓRMULA MANUAL]","",IFERROR(SUMPRODUCT((DATOS!$A$2:$A$20000=A491)*(DATOS!$G$2:$G$20000=CONFIG_METADATA!$B$4)*(COUNTIF(CONFIG_ASIGNATURAS!$B$7:$B$27,DATOS!$I$2:$I$20000)&gt;0)*(DATOS!$K$2:$K$20000))/SUMPRODUCT((DATOS!$A$2:$A$20000=A491)*(DATOS!$G$2:$G$20000=CONFIG_METADATA!$B$4)*(COUNTIF(CONFIG_ASIGNATURAS!$B$7:$B$27,DATOS!$I$2:$I$20000)&gt;0)*1),"")))</f>
        <v/>
      </c>
      <c r="H491" t="str">
        <f>IF(G491="","",IF(G491="[FÓRMULA MANUAL]","",IFERROR(AVERAGEIFS(DATOS!$K$2:$K$20000,DATOS!$A$2:$A$20000,G491,DATOS!$G$2:$G$20000,CONFIG_METADATA!$B$4,DATOS!$I$2:$I$20000,"Lenguaje Musical"),"")))</f>
        <v/>
      </c>
      <c r="I491" t="str">
        <f>IF(G491="","",IF(G491="[FÓRMULA MANUAL]","",IFERROR(AVERAGEIFS(DATOS!$K$2:$K$20000,DATOS!$A$2:$A$20000,G491,DATOS!$G$2:$G$20000,CONFIG_METADATA!$B$4,DATOS!$I$2:$I$20000,"Orquesta/Banda/Conjunto"),"")))</f>
        <v/>
      </c>
      <c r="J491" t="str">
        <f>IF(G491="","",IF(G491="[FÓRMULA MANUAL]","",IFERROR(AVERAGEIFS(DATOS!$K$2:$K$20000,DATOS!$A$2:$A$20000,G491,DATOS!$G$2:$G$20000,CONFIG_METADATA!$B$4,DATOS!$I$2:$I$20000,"Conjunto"),"")))</f>
        <v/>
      </c>
      <c r="K491" t="str">
        <f>IF(G491="","",IF(G491="[FÓRMULA MANUAL]","",IFERROR(SUMPRODUCT((DATOS!$A$2:$A$20000=G491)*(DATOS!$G$2:$G$20000=CONFIG_METADATA!$B$4)*(COUNTIF(CONFIG_ASIGNATURAS!$B$7:$B$27,DATOS!$I$2:$I$20000)&gt;0)*(DATOS!$K$2:$K$20000))/SUMPRODUCT((DATOS!$A$2:$A$20000=G491)*(DATOS!$G$2:$G$20000=CONFIG_METADATA!$B$4)*(COUNTIF(CONFIG_ASIGNATURAS!$B$7:$B$27,DATOS!$I$2:$I$20000)&gt;0)*1),"")))</f>
        <v/>
      </c>
      <c r="N491" t="str">
        <f>IF(M491="","",IF(M491="[FÓRMULA MANUAL]","",IFERROR(AVERAGEIFS(DATOS!$K$2:$K$20000,DATOS!$A$2:$A$20000,M491,DATOS!$G$2:$G$20000,CONFIG_METADATA!$B$4,DATOS!$I$2:$I$20000,"Armonía"),"")))</f>
        <v/>
      </c>
      <c r="O491" t="str">
        <f>IF(M491="","",IF(M491="[FÓRMULA MANUAL]","",IFERROR(AVERAGEIFS(DATOS!$K$2:$K$20000,DATOS!$A$2:$A$20000,M491,DATOS!$G$2:$G$20000,CONFIG_METADATA!$B$4,DATOS!$I$2:$I$20000,"Orquesta/Banda/Conjunto"),"")))</f>
        <v/>
      </c>
      <c r="P491" t="str">
        <f>IF(M491="","",IF(M491="[FÓRMULA MANUAL]","",IFERROR(AVERAGEIFS(DATOS!$K$2:$K$20000,DATOS!$A$2:$A$20000,M491,DATOS!$G$2:$G$20000,CONFIG_METADATA!$B$4,DATOS!$I$2:$I$20000,"Música de Cámara"),"")))</f>
        <v/>
      </c>
      <c r="Q491" t="str">
        <f>IF(M491="","",IF(M491="[FÓRMULA MANUAL]","",IFERROR(SUMPRODUCT((DATOS!$A$2:$A$20000=M491)*(DATOS!$G$2:$G$20000=CONFIG_METADATA!$B$4)*(COUNTIF(CONFIG_ASIGNATURAS!$B$7:$B$27,DATOS!$I$2:$I$20000)&gt;0)*(DATOS!$K$2:$K$20000))/SUMPRODUCT((DATOS!$A$2:$A$20000=M491)*(DATOS!$G$2:$G$20000=CONFIG_METADATA!$B$4)*(COUNTIF(CONFIG_ASIGNATURAS!$B$7:$B$27,DATOS!$I$2:$I$20000)&gt;0)*1),"")))</f>
        <v/>
      </c>
      <c r="T491" t="str">
        <f>IF(S491="","",IF(S491="[FÓRMULA MANUAL]","",IFERROR(AVERAGEIFS(DATOS!$K$2:$K$20000,DATOS!$A$2:$A$20000,S491,DATOS!$G$2:$G$20000,CONFIG_METADATA!$B$4,DATOS!$I$2:$I$20000,"Armonía"),"")))</f>
        <v/>
      </c>
      <c r="U491" t="str">
        <f>IF(S491="","",IF(S491="[FÓRMULA MANUAL]","",IFERROR(AVERAGEIFS(DATOS!$K$2:$K$20000,DATOS!$A$2:$A$20000,S491,DATOS!$G$2:$G$20000,CONFIG_METADATA!$B$4,DATOS!$I$2:$I$20000,"Orquesta/Banda/Conjunto"),"")))</f>
        <v/>
      </c>
      <c r="V491" t="str">
        <f>IF(S491="","",IF(S491="[FÓRMULA MANUAL]","",IFERROR(AVERAGEIFS(DATOS!$K$2:$K$20000,DATOS!$A$2:$A$20000,S491,DATOS!$G$2:$G$20000,CONFIG_METADATA!$B$4,DATOS!$I$2:$I$20000,"Música de Cámara"),"")))</f>
        <v/>
      </c>
      <c r="W491" t="str">
        <f>IF(S491="","",IF(S491="[FÓRMULA MANUAL]","",IFERROR(SUMPRODUCT((DATOS!$A$2:$A$20000=S491)*(DATOS!$G$2:$G$20000=CONFIG_METADATA!$B$4)*(COUNTIF(CONFIG_ASIGNATURAS!$B$7:$B$27,DATOS!$I$2:$I$20000)&gt;0)*(DATOS!$K$2:$K$20000))/SUMPRODUCT((DATOS!$A$2:$A$20000=S491)*(DATOS!$G$2:$G$20000=CONFIG_METADATA!$B$4)*(COUNTIF(CONFIG_ASIGNATURAS!$B$7:$B$27,DATOS!$I$2:$I$20000)&gt;0)*1),"")))</f>
        <v/>
      </c>
      <c r="Z491" t="str">
        <f>IF(Y491="","",IF(Y491="[FÓRMULA MANUAL]","",IFERROR(AVERAGEIFS(DATOS!$K$2:$K$20000,DATOS!$A$2:$A$20000,Y491,DATOS!$G$2:$G$20000,CONFIG_METADATA!$B$4,DATOS!$I$2:$I$20000,"Análisis"),"")))</f>
        <v/>
      </c>
      <c r="AA491" t="str">
        <f>IF(Y491="","",IF(Y491="[FÓRMULA MANUAL]","",IFERROR(AVERAGEIFS(DATOS!$K$2:$K$20000,DATOS!$A$2:$A$20000,Y491,DATOS!$G$2:$G$20000,CONFIG_METADATA!$B$4,DATOS!$I$2:$I$20000,"Orquesta/Banda/Conjunto"),"")))</f>
        <v/>
      </c>
      <c r="AB491" t="str">
        <f>IF(Y491="","",IF(Y491="[FÓRMULA MANUAL]","",IFERROR(AVERAGEIFS(DATOS!$K$2:$K$20000,DATOS!$A$2:$A$20000,Y491,DATOS!$G$2:$G$20000,CONFIG_METADATA!$B$4,DATOS!$I$2:$I$20000,"Música de Cámara"),"")))</f>
        <v/>
      </c>
      <c r="AC491" t="str">
        <f>IF(Y491="","",IF(Y491="[FÓRMULA MANUAL]","",IFERROR(SUMPRODUCT((DATOS!$A$2:$A$20000=Y491)*(DATOS!$G$2:$G$20000=CONFIG_METADATA!$B$4)*(COUNTIF(CONFIG_ASIGNATURAS!$B$7:$B$27,DATOS!$I$2:$I$20000)&gt;0)*(DATOS!$K$2:$K$20000))/SUMPRODUCT((DATOS!$A$2:$A$20000=Y491)*(DATOS!$G$2:$G$20000=CONFIG_METADATA!$B$4)*(COUNTIF(CONFIG_ASIGNATURAS!$B$7:$B$27,DATOS!$I$2:$I$20000)&gt;0)*1),"")))</f>
        <v/>
      </c>
      <c r="AF491" t="str">
        <f>IF(AE491="","",IF(AE491="[FÓRMULA MANUAL]","",IFERROR(AVERAGEIFS(DATOS!$K$2:$K$20000,DATOS!$A$2:$A$20000,AE491,DATOS!$G$2:$G$20000,CONFIG_METADATA!$B$4,DATOS!$I$2:$I$20000,"Análisis"),"")))</f>
        <v/>
      </c>
      <c r="AG491" t="str">
        <f>IF(AE491="","",IF(AE491="[FÓRMULA MANUAL]","",IFERROR(AVERAGEIFS(DATOS!$K$2:$K$20000,DATOS!$A$2:$A$20000,AE491,DATOS!$G$2:$G$20000,CONFIG_METADATA!$B$4,DATOS!$I$2:$I$20000,"Orquesta/Banda/Conjunto"),"")))</f>
        <v/>
      </c>
      <c r="AH491" t="str">
        <f>IF(AE491="","",IF(AE491="[FÓRMULA MANUAL]","",IFERROR(AVERAGEIFS(DATOS!$K$2:$K$20000,DATOS!$A$2:$A$20000,AE491,DATOS!$G$2:$G$20000,CONFIG_METADATA!$B$4,DATOS!$I$2:$I$20000,"Música de Cámara"),"")))</f>
        <v/>
      </c>
      <c r="AI491" t="str">
        <f>IF(AE491="","",IF(AE491="[FÓRMULA MANUAL]","",IFERROR(SUMPRODUCT((DATOS!$A$2:$A$20000=AE491)*(DATOS!$G$2:$G$20000=CONFIG_METADATA!$B$4)*(COUNTIF(CONFIG_ASIGNATURAS!$B$7:$B$27,DATOS!$I$2:$I$20000)&gt;0)*(DATOS!$K$2:$K$20000))/SUMPRODUCT((DATOS!$A$2:$A$20000=AE491)*(DATOS!$G$2:$G$20000=CONFIG_METADATA!$B$4)*(COUNTIF(CONFIG_ASIGNATURAS!$B$7:$B$27,DATOS!$I$2:$I$20000)&gt;0)*1),"")))</f>
        <v/>
      </c>
    </row>
    <row r="492" spans="2:35" x14ac:dyDescent="0.2">
      <c r="B492" t="str">
        <f>IF(A492="","",IF(A492="[FÓRMULA MANUAL]","",IFERROR(AVERAGEIFS(DATOS!$K$2:$K$20000,DATOS!$A$2:$A$20000,A492,DATOS!$G$2:$G$20000,CONFIG_METADATA!$B$4,DATOS!$I$2:$I$20000,"Lenguaje Musical"),"")))</f>
        <v/>
      </c>
      <c r="C492" t="str">
        <f>IF(A492="","",IF(A492="[FÓRMULA MANUAL]","",IFERROR(AVERAGEIFS(DATOS!$K$2:$K$20000,DATOS!$A$2:$A$20000,A492,DATOS!$G$2:$G$20000,CONFIG_METADATA!$B$4,DATOS!$I$2:$I$20000,"Orquesta/Banda/Conjunto"),"")))</f>
        <v/>
      </c>
      <c r="D492" t="str">
        <f>IF(A492="","",IF(A492="[FÓRMULA MANUAL]","",IFERROR(AVERAGEIFS(DATOS!$K$2:$K$20000,DATOS!$A$2:$A$20000,A492,DATOS!$G$2:$G$20000,CONFIG_METADATA!$B$4,DATOS!$I$2:$I$20000,"Conjunto"),"")))</f>
        <v/>
      </c>
      <c r="E492" t="str">
        <f>IF(A492="","",IF(A492="[FÓRMULA MANUAL]","",IFERROR(SUMPRODUCT((DATOS!$A$2:$A$20000=A492)*(DATOS!$G$2:$G$20000=CONFIG_METADATA!$B$4)*(COUNTIF(CONFIG_ASIGNATURAS!$B$7:$B$27,DATOS!$I$2:$I$20000)&gt;0)*(DATOS!$K$2:$K$20000))/SUMPRODUCT((DATOS!$A$2:$A$20000=A492)*(DATOS!$G$2:$G$20000=CONFIG_METADATA!$B$4)*(COUNTIF(CONFIG_ASIGNATURAS!$B$7:$B$27,DATOS!$I$2:$I$20000)&gt;0)*1),"")))</f>
        <v/>
      </c>
      <c r="H492" t="str">
        <f>IF(G492="","",IF(G492="[FÓRMULA MANUAL]","",IFERROR(AVERAGEIFS(DATOS!$K$2:$K$20000,DATOS!$A$2:$A$20000,G492,DATOS!$G$2:$G$20000,CONFIG_METADATA!$B$4,DATOS!$I$2:$I$20000,"Lenguaje Musical"),"")))</f>
        <v/>
      </c>
      <c r="I492" t="str">
        <f>IF(G492="","",IF(G492="[FÓRMULA MANUAL]","",IFERROR(AVERAGEIFS(DATOS!$K$2:$K$20000,DATOS!$A$2:$A$20000,G492,DATOS!$G$2:$G$20000,CONFIG_METADATA!$B$4,DATOS!$I$2:$I$20000,"Orquesta/Banda/Conjunto"),"")))</f>
        <v/>
      </c>
      <c r="J492" t="str">
        <f>IF(G492="","",IF(G492="[FÓRMULA MANUAL]","",IFERROR(AVERAGEIFS(DATOS!$K$2:$K$20000,DATOS!$A$2:$A$20000,G492,DATOS!$G$2:$G$20000,CONFIG_METADATA!$B$4,DATOS!$I$2:$I$20000,"Conjunto"),"")))</f>
        <v/>
      </c>
      <c r="K492" t="str">
        <f>IF(G492="","",IF(G492="[FÓRMULA MANUAL]","",IFERROR(SUMPRODUCT((DATOS!$A$2:$A$20000=G492)*(DATOS!$G$2:$G$20000=CONFIG_METADATA!$B$4)*(COUNTIF(CONFIG_ASIGNATURAS!$B$7:$B$27,DATOS!$I$2:$I$20000)&gt;0)*(DATOS!$K$2:$K$20000))/SUMPRODUCT((DATOS!$A$2:$A$20000=G492)*(DATOS!$G$2:$G$20000=CONFIG_METADATA!$B$4)*(COUNTIF(CONFIG_ASIGNATURAS!$B$7:$B$27,DATOS!$I$2:$I$20000)&gt;0)*1),"")))</f>
        <v/>
      </c>
      <c r="N492" t="str">
        <f>IF(M492="","",IF(M492="[FÓRMULA MANUAL]","",IFERROR(AVERAGEIFS(DATOS!$K$2:$K$20000,DATOS!$A$2:$A$20000,M492,DATOS!$G$2:$G$20000,CONFIG_METADATA!$B$4,DATOS!$I$2:$I$20000,"Armonía"),"")))</f>
        <v/>
      </c>
      <c r="O492" t="str">
        <f>IF(M492="","",IF(M492="[FÓRMULA MANUAL]","",IFERROR(AVERAGEIFS(DATOS!$K$2:$K$20000,DATOS!$A$2:$A$20000,M492,DATOS!$G$2:$G$20000,CONFIG_METADATA!$B$4,DATOS!$I$2:$I$20000,"Orquesta/Banda/Conjunto"),"")))</f>
        <v/>
      </c>
      <c r="P492" t="str">
        <f>IF(M492="","",IF(M492="[FÓRMULA MANUAL]","",IFERROR(AVERAGEIFS(DATOS!$K$2:$K$20000,DATOS!$A$2:$A$20000,M492,DATOS!$G$2:$G$20000,CONFIG_METADATA!$B$4,DATOS!$I$2:$I$20000,"Música de Cámara"),"")))</f>
        <v/>
      </c>
      <c r="Q492" t="str">
        <f>IF(M492="","",IF(M492="[FÓRMULA MANUAL]","",IFERROR(SUMPRODUCT((DATOS!$A$2:$A$20000=M492)*(DATOS!$G$2:$G$20000=CONFIG_METADATA!$B$4)*(COUNTIF(CONFIG_ASIGNATURAS!$B$7:$B$27,DATOS!$I$2:$I$20000)&gt;0)*(DATOS!$K$2:$K$20000))/SUMPRODUCT((DATOS!$A$2:$A$20000=M492)*(DATOS!$G$2:$G$20000=CONFIG_METADATA!$B$4)*(COUNTIF(CONFIG_ASIGNATURAS!$B$7:$B$27,DATOS!$I$2:$I$20000)&gt;0)*1),"")))</f>
        <v/>
      </c>
      <c r="T492" t="str">
        <f>IF(S492="","",IF(S492="[FÓRMULA MANUAL]","",IFERROR(AVERAGEIFS(DATOS!$K$2:$K$20000,DATOS!$A$2:$A$20000,S492,DATOS!$G$2:$G$20000,CONFIG_METADATA!$B$4,DATOS!$I$2:$I$20000,"Armonía"),"")))</f>
        <v/>
      </c>
      <c r="U492" t="str">
        <f>IF(S492="","",IF(S492="[FÓRMULA MANUAL]","",IFERROR(AVERAGEIFS(DATOS!$K$2:$K$20000,DATOS!$A$2:$A$20000,S492,DATOS!$G$2:$G$20000,CONFIG_METADATA!$B$4,DATOS!$I$2:$I$20000,"Orquesta/Banda/Conjunto"),"")))</f>
        <v/>
      </c>
      <c r="V492" t="str">
        <f>IF(S492="","",IF(S492="[FÓRMULA MANUAL]","",IFERROR(AVERAGEIFS(DATOS!$K$2:$K$20000,DATOS!$A$2:$A$20000,S492,DATOS!$G$2:$G$20000,CONFIG_METADATA!$B$4,DATOS!$I$2:$I$20000,"Música de Cámara"),"")))</f>
        <v/>
      </c>
      <c r="W492" t="str">
        <f>IF(S492="","",IF(S492="[FÓRMULA MANUAL]","",IFERROR(SUMPRODUCT((DATOS!$A$2:$A$20000=S492)*(DATOS!$G$2:$G$20000=CONFIG_METADATA!$B$4)*(COUNTIF(CONFIG_ASIGNATURAS!$B$7:$B$27,DATOS!$I$2:$I$20000)&gt;0)*(DATOS!$K$2:$K$20000))/SUMPRODUCT((DATOS!$A$2:$A$20000=S492)*(DATOS!$G$2:$G$20000=CONFIG_METADATA!$B$4)*(COUNTIF(CONFIG_ASIGNATURAS!$B$7:$B$27,DATOS!$I$2:$I$20000)&gt;0)*1),"")))</f>
        <v/>
      </c>
      <c r="Z492" t="str">
        <f>IF(Y492="","",IF(Y492="[FÓRMULA MANUAL]","",IFERROR(AVERAGEIFS(DATOS!$K$2:$K$20000,DATOS!$A$2:$A$20000,Y492,DATOS!$G$2:$G$20000,CONFIG_METADATA!$B$4,DATOS!$I$2:$I$20000,"Análisis"),"")))</f>
        <v/>
      </c>
      <c r="AA492" t="str">
        <f>IF(Y492="","",IF(Y492="[FÓRMULA MANUAL]","",IFERROR(AVERAGEIFS(DATOS!$K$2:$K$20000,DATOS!$A$2:$A$20000,Y492,DATOS!$G$2:$G$20000,CONFIG_METADATA!$B$4,DATOS!$I$2:$I$20000,"Orquesta/Banda/Conjunto"),"")))</f>
        <v/>
      </c>
      <c r="AB492" t="str">
        <f>IF(Y492="","",IF(Y492="[FÓRMULA MANUAL]","",IFERROR(AVERAGEIFS(DATOS!$K$2:$K$20000,DATOS!$A$2:$A$20000,Y492,DATOS!$G$2:$G$20000,CONFIG_METADATA!$B$4,DATOS!$I$2:$I$20000,"Música de Cámara"),"")))</f>
        <v/>
      </c>
      <c r="AC492" t="str">
        <f>IF(Y492="","",IF(Y492="[FÓRMULA MANUAL]","",IFERROR(SUMPRODUCT((DATOS!$A$2:$A$20000=Y492)*(DATOS!$G$2:$G$20000=CONFIG_METADATA!$B$4)*(COUNTIF(CONFIG_ASIGNATURAS!$B$7:$B$27,DATOS!$I$2:$I$20000)&gt;0)*(DATOS!$K$2:$K$20000))/SUMPRODUCT((DATOS!$A$2:$A$20000=Y492)*(DATOS!$G$2:$G$20000=CONFIG_METADATA!$B$4)*(COUNTIF(CONFIG_ASIGNATURAS!$B$7:$B$27,DATOS!$I$2:$I$20000)&gt;0)*1),"")))</f>
        <v/>
      </c>
      <c r="AF492" t="str">
        <f>IF(AE492="","",IF(AE492="[FÓRMULA MANUAL]","",IFERROR(AVERAGEIFS(DATOS!$K$2:$K$20000,DATOS!$A$2:$A$20000,AE492,DATOS!$G$2:$G$20000,CONFIG_METADATA!$B$4,DATOS!$I$2:$I$20000,"Análisis"),"")))</f>
        <v/>
      </c>
      <c r="AG492" t="str">
        <f>IF(AE492="","",IF(AE492="[FÓRMULA MANUAL]","",IFERROR(AVERAGEIFS(DATOS!$K$2:$K$20000,DATOS!$A$2:$A$20000,AE492,DATOS!$G$2:$G$20000,CONFIG_METADATA!$B$4,DATOS!$I$2:$I$20000,"Orquesta/Banda/Conjunto"),"")))</f>
        <v/>
      </c>
      <c r="AH492" t="str">
        <f>IF(AE492="","",IF(AE492="[FÓRMULA MANUAL]","",IFERROR(AVERAGEIFS(DATOS!$K$2:$K$20000,DATOS!$A$2:$A$20000,AE492,DATOS!$G$2:$G$20000,CONFIG_METADATA!$B$4,DATOS!$I$2:$I$20000,"Música de Cámara"),"")))</f>
        <v/>
      </c>
      <c r="AI492" t="str">
        <f>IF(AE492="","",IF(AE492="[FÓRMULA MANUAL]","",IFERROR(SUMPRODUCT((DATOS!$A$2:$A$20000=AE492)*(DATOS!$G$2:$G$20000=CONFIG_METADATA!$B$4)*(COUNTIF(CONFIG_ASIGNATURAS!$B$7:$B$27,DATOS!$I$2:$I$20000)&gt;0)*(DATOS!$K$2:$K$20000))/SUMPRODUCT((DATOS!$A$2:$A$20000=AE492)*(DATOS!$G$2:$G$20000=CONFIG_METADATA!$B$4)*(COUNTIF(CONFIG_ASIGNATURAS!$B$7:$B$27,DATOS!$I$2:$I$20000)&gt;0)*1),"")))</f>
        <v/>
      </c>
    </row>
    <row r="493" spans="2:35" x14ac:dyDescent="0.2">
      <c r="B493" t="str">
        <f>IF(A493="","",IF(A493="[FÓRMULA MANUAL]","",IFERROR(AVERAGEIFS(DATOS!$K$2:$K$20000,DATOS!$A$2:$A$20000,A493,DATOS!$G$2:$G$20000,CONFIG_METADATA!$B$4,DATOS!$I$2:$I$20000,"Lenguaje Musical"),"")))</f>
        <v/>
      </c>
      <c r="C493" t="str">
        <f>IF(A493="","",IF(A493="[FÓRMULA MANUAL]","",IFERROR(AVERAGEIFS(DATOS!$K$2:$K$20000,DATOS!$A$2:$A$20000,A493,DATOS!$G$2:$G$20000,CONFIG_METADATA!$B$4,DATOS!$I$2:$I$20000,"Orquesta/Banda/Conjunto"),"")))</f>
        <v/>
      </c>
      <c r="D493" t="str">
        <f>IF(A493="","",IF(A493="[FÓRMULA MANUAL]","",IFERROR(AVERAGEIFS(DATOS!$K$2:$K$20000,DATOS!$A$2:$A$20000,A493,DATOS!$G$2:$G$20000,CONFIG_METADATA!$B$4,DATOS!$I$2:$I$20000,"Conjunto"),"")))</f>
        <v/>
      </c>
      <c r="E493" t="str">
        <f>IF(A493="","",IF(A493="[FÓRMULA MANUAL]","",IFERROR(SUMPRODUCT((DATOS!$A$2:$A$20000=A493)*(DATOS!$G$2:$G$20000=CONFIG_METADATA!$B$4)*(COUNTIF(CONFIG_ASIGNATURAS!$B$7:$B$27,DATOS!$I$2:$I$20000)&gt;0)*(DATOS!$K$2:$K$20000))/SUMPRODUCT((DATOS!$A$2:$A$20000=A493)*(DATOS!$G$2:$G$20000=CONFIG_METADATA!$B$4)*(COUNTIF(CONFIG_ASIGNATURAS!$B$7:$B$27,DATOS!$I$2:$I$20000)&gt;0)*1),"")))</f>
        <v/>
      </c>
      <c r="H493" t="str">
        <f>IF(G493="","",IF(G493="[FÓRMULA MANUAL]","",IFERROR(AVERAGEIFS(DATOS!$K$2:$K$20000,DATOS!$A$2:$A$20000,G493,DATOS!$G$2:$G$20000,CONFIG_METADATA!$B$4,DATOS!$I$2:$I$20000,"Lenguaje Musical"),"")))</f>
        <v/>
      </c>
      <c r="I493" t="str">
        <f>IF(G493="","",IF(G493="[FÓRMULA MANUAL]","",IFERROR(AVERAGEIFS(DATOS!$K$2:$K$20000,DATOS!$A$2:$A$20000,G493,DATOS!$G$2:$G$20000,CONFIG_METADATA!$B$4,DATOS!$I$2:$I$20000,"Orquesta/Banda/Conjunto"),"")))</f>
        <v/>
      </c>
      <c r="J493" t="str">
        <f>IF(G493="","",IF(G493="[FÓRMULA MANUAL]","",IFERROR(AVERAGEIFS(DATOS!$K$2:$K$20000,DATOS!$A$2:$A$20000,G493,DATOS!$G$2:$G$20000,CONFIG_METADATA!$B$4,DATOS!$I$2:$I$20000,"Conjunto"),"")))</f>
        <v/>
      </c>
      <c r="K493" t="str">
        <f>IF(G493="","",IF(G493="[FÓRMULA MANUAL]","",IFERROR(SUMPRODUCT((DATOS!$A$2:$A$20000=G493)*(DATOS!$G$2:$G$20000=CONFIG_METADATA!$B$4)*(COUNTIF(CONFIG_ASIGNATURAS!$B$7:$B$27,DATOS!$I$2:$I$20000)&gt;0)*(DATOS!$K$2:$K$20000))/SUMPRODUCT((DATOS!$A$2:$A$20000=G493)*(DATOS!$G$2:$G$20000=CONFIG_METADATA!$B$4)*(COUNTIF(CONFIG_ASIGNATURAS!$B$7:$B$27,DATOS!$I$2:$I$20000)&gt;0)*1),"")))</f>
        <v/>
      </c>
      <c r="N493" t="str">
        <f>IF(M493="","",IF(M493="[FÓRMULA MANUAL]","",IFERROR(AVERAGEIFS(DATOS!$K$2:$K$20000,DATOS!$A$2:$A$20000,M493,DATOS!$G$2:$G$20000,CONFIG_METADATA!$B$4,DATOS!$I$2:$I$20000,"Armonía"),"")))</f>
        <v/>
      </c>
      <c r="O493" t="str">
        <f>IF(M493="","",IF(M493="[FÓRMULA MANUAL]","",IFERROR(AVERAGEIFS(DATOS!$K$2:$K$20000,DATOS!$A$2:$A$20000,M493,DATOS!$G$2:$G$20000,CONFIG_METADATA!$B$4,DATOS!$I$2:$I$20000,"Orquesta/Banda/Conjunto"),"")))</f>
        <v/>
      </c>
      <c r="P493" t="str">
        <f>IF(M493="","",IF(M493="[FÓRMULA MANUAL]","",IFERROR(AVERAGEIFS(DATOS!$K$2:$K$20000,DATOS!$A$2:$A$20000,M493,DATOS!$G$2:$G$20000,CONFIG_METADATA!$B$4,DATOS!$I$2:$I$20000,"Música de Cámara"),"")))</f>
        <v/>
      </c>
      <c r="Q493" t="str">
        <f>IF(M493="","",IF(M493="[FÓRMULA MANUAL]","",IFERROR(SUMPRODUCT((DATOS!$A$2:$A$20000=M493)*(DATOS!$G$2:$G$20000=CONFIG_METADATA!$B$4)*(COUNTIF(CONFIG_ASIGNATURAS!$B$7:$B$27,DATOS!$I$2:$I$20000)&gt;0)*(DATOS!$K$2:$K$20000))/SUMPRODUCT((DATOS!$A$2:$A$20000=M493)*(DATOS!$G$2:$G$20000=CONFIG_METADATA!$B$4)*(COUNTIF(CONFIG_ASIGNATURAS!$B$7:$B$27,DATOS!$I$2:$I$20000)&gt;0)*1),"")))</f>
        <v/>
      </c>
      <c r="T493" t="str">
        <f>IF(S493="","",IF(S493="[FÓRMULA MANUAL]","",IFERROR(AVERAGEIFS(DATOS!$K$2:$K$20000,DATOS!$A$2:$A$20000,S493,DATOS!$G$2:$G$20000,CONFIG_METADATA!$B$4,DATOS!$I$2:$I$20000,"Armonía"),"")))</f>
        <v/>
      </c>
      <c r="U493" t="str">
        <f>IF(S493="","",IF(S493="[FÓRMULA MANUAL]","",IFERROR(AVERAGEIFS(DATOS!$K$2:$K$20000,DATOS!$A$2:$A$20000,S493,DATOS!$G$2:$G$20000,CONFIG_METADATA!$B$4,DATOS!$I$2:$I$20000,"Orquesta/Banda/Conjunto"),"")))</f>
        <v/>
      </c>
      <c r="V493" t="str">
        <f>IF(S493="","",IF(S493="[FÓRMULA MANUAL]","",IFERROR(AVERAGEIFS(DATOS!$K$2:$K$20000,DATOS!$A$2:$A$20000,S493,DATOS!$G$2:$G$20000,CONFIG_METADATA!$B$4,DATOS!$I$2:$I$20000,"Música de Cámara"),"")))</f>
        <v/>
      </c>
      <c r="W493" t="str">
        <f>IF(S493="","",IF(S493="[FÓRMULA MANUAL]","",IFERROR(SUMPRODUCT((DATOS!$A$2:$A$20000=S493)*(DATOS!$G$2:$G$20000=CONFIG_METADATA!$B$4)*(COUNTIF(CONFIG_ASIGNATURAS!$B$7:$B$27,DATOS!$I$2:$I$20000)&gt;0)*(DATOS!$K$2:$K$20000))/SUMPRODUCT((DATOS!$A$2:$A$20000=S493)*(DATOS!$G$2:$G$20000=CONFIG_METADATA!$B$4)*(COUNTIF(CONFIG_ASIGNATURAS!$B$7:$B$27,DATOS!$I$2:$I$20000)&gt;0)*1),"")))</f>
        <v/>
      </c>
      <c r="Z493" t="str">
        <f>IF(Y493="","",IF(Y493="[FÓRMULA MANUAL]","",IFERROR(AVERAGEIFS(DATOS!$K$2:$K$20000,DATOS!$A$2:$A$20000,Y493,DATOS!$G$2:$G$20000,CONFIG_METADATA!$B$4,DATOS!$I$2:$I$20000,"Análisis"),"")))</f>
        <v/>
      </c>
      <c r="AA493" t="str">
        <f>IF(Y493="","",IF(Y493="[FÓRMULA MANUAL]","",IFERROR(AVERAGEIFS(DATOS!$K$2:$K$20000,DATOS!$A$2:$A$20000,Y493,DATOS!$G$2:$G$20000,CONFIG_METADATA!$B$4,DATOS!$I$2:$I$20000,"Orquesta/Banda/Conjunto"),"")))</f>
        <v/>
      </c>
      <c r="AB493" t="str">
        <f>IF(Y493="","",IF(Y493="[FÓRMULA MANUAL]","",IFERROR(AVERAGEIFS(DATOS!$K$2:$K$20000,DATOS!$A$2:$A$20000,Y493,DATOS!$G$2:$G$20000,CONFIG_METADATA!$B$4,DATOS!$I$2:$I$20000,"Música de Cámara"),"")))</f>
        <v/>
      </c>
      <c r="AC493" t="str">
        <f>IF(Y493="","",IF(Y493="[FÓRMULA MANUAL]","",IFERROR(SUMPRODUCT((DATOS!$A$2:$A$20000=Y493)*(DATOS!$G$2:$G$20000=CONFIG_METADATA!$B$4)*(COUNTIF(CONFIG_ASIGNATURAS!$B$7:$B$27,DATOS!$I$2:$I$20000)&gt;0)*(DATOS!$K$2:$K$20000))/SUMPRODUCT((DATOS!$A$2:$A$20000=Y493)*(DATOS!$G$2:$G$20000=CONFIG_METADATA!$B$4)*(COUNTIF(CONFIG_ASIGNATURAS!$B$7:$B$27,DATOS!$I$2:$I$20000)&gt;0)*1),"")))</f>
        <v/>
      </c>
      <c r="AF493" t="str">
        <f>IF(AE493="","",IF(AE493="[FÓRMULA MANUAL]","",IFERROR(AVERAGEIFS(DATOS!$K$2:$K$20000,DATOS!$A$2:$A$20000,AE493,DATOS!$G$2:$G$20000,CONFIG_METADATA!$B$4,DATOS!$I$2:$I$20000,"Análisis"),"")))</f>
        <v/>
      </c>
      <c r="AG493" t="str">
        <f>IF(AE493="","",IF(AE493="[FÓRMULA MANUAL]","",IFERROR(AVERAGEIFS(DATOS!$K$2:$K$20000,DATOS!$A$2:$A$20000,AE493,DATOS!$G$2:$G$20000,CONFIG_METADATA!$B$4,DATOS!$I$2:$I$20000,"Orquesta/Banda/Conjunto"),"")))</f>
        <v/>
      </c>
      <c r="AH493" t="str">
        <f>IF(AE493="","",IF(AE493="[FÓRMULA MANUAL]","",IFERROR(AVERAGEIFS(DATOS!$K$2:$K$20000,DATOS!$A$2:$A$20000,AE493,DATOS!$G$2:$G$20000,CONFIG_METADATA!$B$4,DATOS!$I$2:$I$20000,"Música de Cámara"),"")))</f>
        <v/>
      </c>
      <c r="AI493" t="str">
        <f>IF(AE493="","",IF(AE493="[FÓRMULA MANUAL]","",IFERROR(SUMPRODUCT((DATOS!$A$2:$A$20000=AE493)*(DATOS!$G$2:$G$20000=CONFIG_METADATA!$B$4)*(COUNTIF(CONFIG_ASIGNATURAS!$B$7:$B$27,DATOS!$I$2:$I$20000)&gt;0)*(DATOS!$K$2:$K$20000))/SUMPRODUCT((DATOS!$A$2:$A$20000=AE493)*(DATOS!$G$2:$G$20000=CONFIG_METADATA!$B$4)*(COUNTIF(CONFIG_ASIGNATURAS!$B$7:$B$27,DATOS!$I$2:$I$20000)&gt;0)*1),"")))</f>
        <v/>
      </c>
    </row>
    <row r="494" spans="2:35" x14ac:dyDescent="0.2">
      <c r="B494" t="str">
        <f>IF(A494="","",IF(A494="[FÓRMULA MANUAL]","",IFERROR(AVERAGEIFS(DATOS!$K$2:$K$20000,DATOS!$A$2:$A$20000,A494,DATOS!$G$2:$G$20000,CONFIG_METADATA!$B$4,DATOS!$I$2:$I$20000,"Lenguaje Musical"),"")))</f>
        <v/>
      </c>
      <c r="C494" t="str">
        <f>IF(A494="","",IF(A494="[FÓRMULA MANUAL]","",IFERROR(AVERAGEIFS(DATOS!$K$2:$K$20000,DATOS!$A$2:$A$20000,A494,DATOS!$G$2:$G$20000,CONFIG_METADATA!$B$4,DATOS!$I$2:$I$20000,"Orquesta/Banda/Conjunto"),"")))</f>
        <v/>
      </c>
      <c r="D494" t="str">
        <f>IF(A494="","",IF(A494="[FÓRMULA MANUAL]","",IFERROR(AVERAGEIFS(DATOS!$K$2:$K$20000,DATOS!$A$2:$A$20000,A494,DATOS!$G$2:$G$20000,CONFIG_METADATA!$B$4,DATOS!$I$2:$I$20000,"Conjunto"),"")))</f>
        <v/>
      </c>
      <c r="E494" t="str">
        <f>IF(A494="","",IF(A494="[FÓRMULA MANUAL]","",IFERROR(SUMPRODUCT((DATOS!$A$2:$A$20000=A494)*(DATOS!$G$2:$G$20000=CONFIG_METADATA!$B$4)*(COUNTIF(CONFIG_ASIGNATURAS!$B$7:$B$27,DATOS!$I$2:$I$20000)&gt;0)*(DATOS!$K$2:$K$20000))/SUMPRODUCT((DATOS!$A$2:$A$20000=A494)*(DATOS!$G$2:$G$20000=CONFIG_METADATA!$B$4)*(COUNTIF(CONFIG_ASIGNATURAS!$B$7:$B$27,DATOS!$I$2:$I$20000)&gt;0)*1),"")))</f>
        <v/>
      </c>
      <c r="H494" t="str">
        <f>IF(G494="","",IF(G494="[FÓRMULA MANUAL]","",IFERROR(AVERAGEIFS(DATOS!$K$2:$K$20000,DATOS!$A$2:$A$20000,G494,DATOS!$G$2:$G$20000,CONFIG_METADATA!$B$4,DATOS!$I$2:$I$20000,"Lenguaje Musical"),"")))</f>
        <v/>
      </c>
      <c r="I494" t="str">
        <f>IF(G494="","",IF(G494="[FÓRMULA MANUAL]","",IFERROR(AVERAGEIFS(DATOS!$K$2:$K$20000,DATOS!$A$2:$A$20000,G494,DATOS!$G$2:$G$20000,CONFIG_METADATA!$B$4,DATOS!$I$2:$I$20000,"Orquesta/Banda/Conjunto"),"")))</f>
        <v/>
      </c>
      <c r="J494" t="str">
        <f>IF(G494="","",IF(G494="[FÓRMULA MANUAL]","",IFERROR(AVERAGEIFS(DATOS!$K$2:$K$20000,DATOS!$A$2:$A$20000,G494,DATOS!$G$2:$G$20000,CONFIG_METADATA!$B$4,DATOS!$I$2:$I$20000,"Conjunto"),"")))</f>
        <v/>
      </c>
      <c r="K494" t="str">
        <f>IF(G494="","",IF(G494="[FÓRMULA MANUAL]","",IFERROR(SUMPRODUCT((DATOS!$A$2:$A$20000=G494)*(DATOS!$G$2:$G$20000=CONFIG_METADATA!$B$4)*(COUNTIF(CONFIG_ASIGNATURAS!$B$7:$B$27,DATOS!$I$2:$I$20000)&gt;0)*(DATOS!$K$2:$K$20000))/SUMPRODUCT((DATOS!$A$2:$A$20000=G494)*(DATOS!$G$2:$G$20000=CONFIG_METADATA!$B$4)*(COUNTIF(CONFIG_ASIGNATURAS!$B$7:$B$27,DATOS!$I$2:$I$20000)&gt;0)*1),"")))</f>
        <v/>
      </c>
      <c r="N494" t="str">
        <f>IF(M494="","",IF(M494="[FÓRMULA MANUAL]","",IFERROR(AVERAGEIFS(DATOS!$K$2:$K$20000,DATOS!$A$2:$A$20000,M494,DATOS!$G$2:$G$20000,CONFIG_METADATA!$B$4,DATOS!$I$2:$I$20000,"Armonía"),"")))</f>
        <v/>
      </c>
      <c r="O494" t="str">
        <f>IF(M494="","",IF(M494="[FÓRMULA MANUAL]","",IFERROR(AVERAGEIFS(DATOS!$K$2:$K$20000,DATOS!$A$2:$A$20000,M494,DATOS!$G$2:$G$20000,CONFIG_METADATA!$B$4,DATOS!$I$2:$I$20000,"Orquesta/Banda/Conjunto"),"")))</f>
        <v/>
      </c>
      <c r="P494" t="str">
        <f>IF(M494="","",IF(M494="[FÓRMULA MANUAL]","",IFERROR(AVERAGEIFS(DATOS!$K$2:$K$20000,DATOS!$A$2:$A$20000,M494,DATOS!$G$2:$G$20000,CONFIG_METADATA!$B$4,DATOS!$I$2:$I$20000,"Música de Cámara"),"")))</f>
        <v/>
      </c>
      <c r="Q494" t="str">
        <f>IF(M494="","",IF(M494="[FÓRMULA MANUAL]","",IFERROR(SUMPRODUCT((DATOS!$A$2:$A$20000=M494)*(DATOS!$G$2:$G$20000=CONFIG_METADATA!$B$4)*(COUNTIF(CONFIG_ASIGNATURAS!$B$7:$B$27,DATOS!$I$2:$I$20000)&gt;0)*(DATOS!$K$2:$K$20000))/SUMPRODUCT((DATOS!$A$2:$A$20000=M494)*(DATOS!$G$2:$G$20000=CONFIG_METADATA!$B$4)*(COUNTIF(CONFIG_ASIGNATURAS!$B$7:$B$27,DATOS!$I$2:$I$20000)&gt;0)*1),"")))</f>
        <v/>
      </c>
      <c r="T494" t="str">
        <f>IF(S494="","",IF(S494="[FÓRMULA MANUAL]","",IFERROR(AVERAGEIFS(DATOS!$K$2:$K$20000,DATOS!$A$2:$A$20000,S494,DATOS!$G$2:$G$20000,CONFIG_METADATA!$B$4,DATOS!$I$2:$I$20000,"Armonía"),"")))</f>
        <v/>
      </c>
      <c r="U494" t="str">
        <f>IF(S494="","",IF(S494="[FÓRMULA MANUAL]","",IFERROR(AVERAGEIFS(DATOS!$K$2:$K$20000,DATOS!$A$2:$A$20000,S494,DATOS!$G$2:$G$20000,CONFIG_METADATA!$B$4,DATOS!$I$2:$I$20000,"Orquesta/Banda/Conjunto"),"")))</f>
        <v/>
      </c>
      <c r="V494" t="str">
        <f>IF(S494="","",IF(S494="[FÓRMULA MANUAL]","",IFERROR(AVERAGEIFS(DATOS!$K$2:$K$20000,DATOS!$A$2:$A$20000,S494,DATOS!$G$2:$G$20000,CONFIG_METADATA!$B$4,DATOS!$I$2:$I$20000,"Música de Cámara"),"")))</f>
        <v/>
      </c>
      <c r="W494" t="str">
        <f>IF(S494="","",IF(S494="[FÓRMULA MANUAL]","",IFERROR(SUMPRODUCT((DATOS!$A$2:$A$20000=S494)*(DATOS!$G$2:$G$20000=CONFIG_METADATA!$B$4)*(COUNTIF(CONFIG_ASIGNATURAS!$B$7:$B$27,DATOS!$I$2:$I$20000)&gt;0)*(DATOS!$K$2:$K$20000))/SUMPRODUCT((DATOS!$A$2:$A$20000=S494)*(DATOS!$G$2:$G$20000=CONFIG_METADATA!$B$4)*(COUNTIF(CONFIG_ASIGNATURAS!$B$7:$B$27,DATOS!$I$2:$I$20000)&gt;0)*1),"")))</f>
        <v/>
      </c>
      <c r="Z494" t="str">
        <f>IF(Y494="","",IF(Y494="[FÓRMULA MANUAL]","",IFERROR(AVERAGEIFS(DATOS!$K$2:$K$20000,DATOS!$A$2:$A$20000,Y494,DATOS!$G$2:$G$20000,CONFIG_METADATA!$B$4,DATOS!$I$2:$I$20000,"Análisis"),"")))</f>
        <v/>
      </c>
      <c r="AA494" t="str">
        <f>IF(Y494="","",IF(Y494="[FÓRMULA MANUAL]","",IFERROR(AVERAGEIFS(DATOS!$K$2:$K$20000,DATOS!$A$2:$A$20000,Y494,DATOS!$G$2:$G$20000,CONFIG_METADATA!$B$4,DATOS!$I$2:$I$20000,"Orquesta/Banda/Conjunto"),"")))</f>
        <v/>
      </c>
      <c r="AB494" t="str">
        <f>IF(Y494="","",IF(Y494="[FÓRMULA MANUAL]","",IFERROR(AVERAGEIFS(DATOS!$K$2:$K$20000,DATOS!$A$2:$A$20000,Y494,DATOS!$G$2:$G$20000,CONFIG_METADATA!$B$4,DATOS!$I$2:$I$20000,"Música de Cámara"),"")))</f>
        <v/>
      </c>
      <c r="AC494" t="str">
        <f>IF(Y494="","",IF(Y494="[FÓRMULA MANUAL]","",IFERROR(SUMPRODUCT((DATOS!$A$2:$A$20000=Y494)*(DATOS!$G$2:$G$20000=CONFIG_METADATA!$B$4)*(COUNTIF(CONFIG_ASIGNATURAS!$B$7:$B$27,DATOS!$I$2:$I$20000)&gt;0)*(DATOS!$K$2:$K$20000))/SUMPRODUCT((DATOS!$A$2:$A$20000=Y494)*(DATOS!$G$2:$G$20000=CONFIG_METADATA!$B$4)*(COUNTIF(CONFIG_ASIGNATURAS!$B$7:$B$27,DATOS!$I$2:$I$20000)&gt;0)*1),"")))</f>
        <v/>
      </c>
      <c r="AF494" t="str">
        <f>IF(AE494="","",IF(AE494="[FÓRMULA MANUAL]","",IFERROR(AVERAGEIFS(DATOS!$K$2:$K$20000,DATOS!$A$2:$A$20000,AE494,DATOS!$G$2:$G$20000,CONFIG_METADATA!$B$4,DATOS!$I$2:$I$20000,"Análisis"),"")))</f>
        <v/>
      </c>
      <c r="AG494" t="str">
        <f>IF(AE494="","",IF(AE494="[FÓRMULA MANUAL]","",IFERROR(AVERAGEIFS(DATOS!$K$2:$K$20000,DATOS!$A$2:$A$20000,AE494,DATOS!$G$2:$G$20000,CONFIG_METADATA!$B$4,DATOS!$I$2:$I$20000,"Orquesta/Banda/Conjunto"),"")))</f>
        <v/>
      </c>
      <c r="AH494" t="str">
        <f>IF(AE494="","",IF(AE494="[FÓRMULA MANUAL]","",IFERROR(AVERAGEIFS(DATOS!$K$2:$K$20000,DATOS!$A$2:$A$20000,AE494,DATOS!$G$2:$G$20000,CONFIG_METADATA!$B$4,DATOS!$I$2:$I$20000,"Música de Cámara"),"")))</f>
        <v/>
      </c>
      <c r="AI494" t="str">
        <f>IF(AE494="","",IF(AE494="[FÓRMULA MANUAL]","",IFERROR(SUMPRODUCT((DATOS!$A$2:$A$20000=AE494)*(DATOS!$G$2:$G$20000=CONFIG_METADATA!$B$4)*(COUNTIF(CONFIG_ASIGNATURAS!$B$7:$B$27,DATOS!$I$2:$I$20000)&gt;0)*(DATOS!$K$2:$K$20000))/SUMPRODUCT((DATOS!$A$2:$A$20000=AE494)*(DATOS!$G$2:$G$20000=CONFIG_METADATA!$B$4)*(COUNTIF(CONFIG_ASIGNATURAS!$B$7:$B$27,DATOS!$I$2:$I$20000)&gt;0)*1),"")))</f>
        <v/>
      </c>
    </row>
    <row r="495" spans="2:35" x14ac:dyDescent="0.2">
      <c r="B495" t="str">
        <f>IF(A495="","",IF(A495="[FÓRMULA MANUAL]","",IFERROR(AVERAGEIFS(DATOS!$K$2:$K$20000,DATOS!$A$2:$A$20000,A495,DATOS!$G$2:$G$20000,CONFIG_METADATA!$B$4,DATOS!$I$2:$I$20000,"Lenguaje Musical"),"")))</f>
        <v/>
      </c>
      <c r="C495" t="str">
        <f>IF(A495="","",IF(A495="[FÓRMULA MANUAL]","",IFERROR(AVERAGEIFS(DATOS!$K$2:$K$20000,DATOS!$A$2:$A$20000,A495,DATOS!$G$2:$G$20000,CONFIG_METADATA!$B$4,DATOS!$I$2:$I$20000,"Orquesta/Banda/Conjunto"),"")))</f>
        <v/>
      </c>
      <c r="D495" t="str">
        <f>IF(A495="","",IF(A495="[FÓRMULA MANUAL]","",IFERROR(AVERAGEIFS(DATOS!$K$2:$K$20000,DATOS!$A$2:$A$20000,A495,DATOS!$G$2:$G$20000,CONFIG_METADATA!$B$4,DATOS!$I$2:$I$20000,"Conjunto"),"")))</f>
        <v/>
      </c>
      <c r="E495" t="str">
        <f>IF(A495="","",IF(A495="[FÓRMULA MANUAL]","",IFERROR(SUMPRODUCT((DATOS!$A$2:$A$20000=A495)*(DATOS!$G$2:$G$20000=CONFIG_METADATA!$B$4)*(COUNTIF(CONFIG_ASIGNATURAS!$B$7:$B$27,DATOS!$I$2:$I$20000)&gt;0)*(DATOS!$K$2:$K$20000))/SUMPRODUCT((DATOS!$A$2:$A$20000=A495)*(DATOS!$G$2:$G$20000=CONFIG_METADATA!$B$4)*(COUNTIF(CONFIG_ASIGNATURAS!$B$7:$B$27,DATOS!$I$2:$I$20000)&gt;0)*1),"")))</f>
        <v/>
      </c>
      <c r="H495" t="str">
        <f>IF(G495="","",IF(G495="[FÓRMULA MANUAL]","",IFERROR(AVERAGEIFS(DATOS!$K$2:$K$20000,DATOS!$A$2:$A$20000,G495,DATOS!$G$2:$G$20000,CONFIG_METADATA!$B$4,DATOS!$I$2:$I$20000,"Lenguaje Musical"),"")))</f>
        <v/>
      </c>
      <c r="I495" t="str">
        <f>IF(G495="","",IF(G495="[FÓRMULA MANUAL]","",IFERROR(AVERAGEIFS(DATOS!$K$2:$K$20000,DATOS!$A$2:$A$20000,G495,DATOS!$G$2:$G$20000,CONFIG_METADATA!$B$4,DATOS!$I$2:$I$20000,"Orquesta/Banda/Conjunto"),"")))</f>
        <v/>
      </c>
      <c r="J495" t="str">
        <f>IF(G495="","",IF(G495="[FÓRMULA MANUAL]","",IFERROR(AVERAGEIFS(DATOS!$K$2:$K$20000,DATOS!$A$2:$A$20000,G495,DATOS!$G$2:$G$20000,CONFIG_METADATA!$B$4,DATOS!$I$2:$I$20000,"Conjunto"),"")))</f>
        <v/>
      </c>
      <c r="K495" t="str">
        <f>IF(G495="","",IF(G495="[FÓRMULA MANUAL]","",IFERROR(SUMPRODUCT((DATOS!$A$2:$A$20000=G495)*(DATOS!$G$2:$G$20000=CONFIG_METADATA!$B$4)*(COUNTIF(CONFIG_ASIGNATURAS!$B$7:$B$27,DATOS!$I$2:$I$20000)&gt;0)*(DATOS!$K$2:$K$20000))/SUMPRODUCT((DATOS!$A$2:$A$20000=G495)*(DATOS!$G$2:$G$20000=CONFIG_METADATA!$B$4)*(COUNTIF(CONFIG_ASIGNATURAS!$B$7:$B$27,DATOS!$I$2:$I$20000)&gt;0)*1),"")))</f>
        <v/>
      </c>
      <c r="N495" t="str">
        <f>IF(M495="","",IF(M495="[FÓRMULA MANUAL]","",IFERROR(AVERAGEIFS(DATOS!$K$2:$K$20000,DATOS!$A$2:$A$20000,M495,DATOS!$G$2:$G$20000,CONFIG_METADATA!$B$4,DATOS!$I$2:$I$20000,"Armonía"),"")))</f>
        <v/>
      </c>
      <c r="O495" t="str">
        <f>IF(M495="","",IF(M495="[FÓRMULA MANUAL]","",IFERROR(AVERAGEIFS(DATOS!$K$2:$K$20000,DATOS!$A$2:$A$20000,M495,DATOS!$G$2:$G$20000,CONFIG_METADATA!$B$4,DATOS!$I$2:$I$20000,"Orquesta/Banda/Conjunto"),"")))</f>
        <v/>
      </c>
      <c r="P495" t="str">
        <f>IF(M495="","",IF(M495="[FÓRMULA MANUAL]","",IFERROR(AVERAGEIFS(DATOS!$K$2:$K$20000,DATOS!$A$2:$A$20000,M495,DATOS!$G$2:$G$20000,CONFIG_METADATA!$B$4,DATOS!$I$2:$I$20000,"Música de Cámara"),"")))</f>
        <v/>
      </c>
      <c r="Q495" t="str">
        <f>IF(M495="","",IF(M495="[FÓRMULA MANUAL]","",IFERROR(SUMPRODUCT((DATOS!$A$2:$A$20000=M495)*(DATOS!$G$2:$G$20000=CONFIG_METADATA!$B$4)*(COUNTIF(CONFIG_ASIGNATURAS!$B$7:$B$27,DATOS!$I$2:$I$20000)&gt;0)*(DATOS!$K$2:$K$20000))/SUMPRODUCT((DATOS!$A$2:$A$20000=M495)*(DATOS!$G$2:$G$20000=CONFIG_METADATA!$B$4)*(COUNTIF(CONFIG_ASIGNATURAS!$B$7:$B$27,DATOS!$I$2:$I$20000)&gt;0)*1),"")))</f>
        <v/>
      </c>
      <c r="T495" t="str">
        <f>IF(S495="","",IF(S495="[FÓRMULA MANUAL]","",IFERROR(AVERAGEIFS(DATOS!$K$2:$K$20000,DATOS!$A$2:$A$20000,S495,DATOS!$G$2:$G$20000,CONFIG_METADATA!$B$4,DATOS!$I$2:$I$20000,"Armonía"),"")))</f>
        <v/>
      </c>
      <c r="U495" t="str">
        <f>IF(S495="","",IF(S495="[FÓRMULA MANUAL]","",IFERROR(AVERAGEIFS(DATOS!$K$2:$K$20000,DATOS!$A$2:$A$20000,S495,DATOS!$G$2:$G$20000,CONFIG_METADATA!$B$4,DATOS!$I$2:$I$20000,"Orquesta/Banda/Conjunto"),"")))</f>
        <v/>
      </c>
      <c r="V495" t="str">
        <f>IF(S495="","",IF(S495="[FÓRMULA MANUAL]","",IFERROR(AVERAGEIFS(DATOS!$K$2:$K$20000,DATOS!$A$2:$A$20000,S495,DATOS!$G$2:$G$20000,CONFIG_METADATA!$B$4,DATOS!$I$2:$I$20000,"Música de Cámara"),"")))</f>
        <v/>
      </c>
      <c r="W495" t="str">
        <f>IF(S495="","",IF(S495="[FÓRMULA MANUAL]","",IFERROR(SUMPRODUCT((DATOS!$A$2:$A$20000=S495)*(DATOS!$G$2:$G$20000=CONFIG_METADATA!$B$4)*(COUNTIF(CONFIG_ASIGNATURAS!$B$7:$B$27,DATOS!$I$2:$I$20000)&gt;0)*(DATOS!$K$2:$K$20000))/SUMPRODUCT((DATOS!$A$2:$A$20000=S495)*(DATOS!$G$2:$G$20000=CONFIG_METADATA!$B$4)*(COUNTIF(CONFIG_ASIGNATURAS!$B$7:$B$27,DATOS!$I$2:$I$20000)&gt;0)*1),"")))</f>
        <v/>
      </c>
      <c r="Z495" t="str">
        <f>IF(Y495="","",IF(Y495="[FÓRMULA MANUAL]","",IFERROR(AVERAGEIFS(DATOS!$K$2:$K$20000,DATOS!$A$2:$A$20000,Y495,DATOS!$G$2:$G$20000,CONFIG_METADATA!$B$4,DATOS!$I$2:$I$20000,"Análisis"),"")))</f>
        <v/>
      </c>
      <c r="AA495" t="str">
        <f>IF(Y495="","",IF(Y495="[FÓRMULA MANUAL]","",IFERROR(AVERAGEIFS(DATOS!$K$2:$K$20000,DATOS!$A$2:$A$20000,Y495,DATOS!$G$2:$G$20000,CONFIG_METADATA!$B$4,DATOS!$I$2:$I$20000,"Orquesta/Banda/Conjunto"),"")))</f>
        <v/>
      </c>
      <c r="AB495" t="str">
        <f>IF(Y495="","",IF(Y495="[FÓRMULA MANUAL]","",IFERROR(AVERAGEIFS(DATOS!$K$2:$K$20000,DATOS!$A$2:$A$20000,Y495,DATOS!$G$2:$G$20000,CONFIG_METADATA!$B$4,DATOS!$I$2:$I$20000,"Música de Cámara"),"")))</f>
        <v/>
      </c>
      <c r="AC495" t="str">
        <f>IF(Y495="","",IF(Y495="[FÓRMULA MANUAL]","",IFERROR(SUMPRODUCT((DATOS!$A$2:$A$20000=Y495)*(DATOS!$G$2:$G$20000=CONFIG_METADATA!$B$4)*(COUNTIF(CONFIG_ASIGNATURAS!$B$7:$B$27,DATOS!$I$2:$I$20000)&gt;0)*(DATOS!$K$2:$K$20000))/SUMPRODUCT((DATOS!$A$2:$A$20000=Y495)*(DATOS!$G$2:$G$20000=CONFIG_METADATA!$B$4)*(COUNTIF(CONFIG_ASIGNATURAS!$B$7:$B$27,DATOS!$I$2:$I$20000)&gt;0)*1),"")))</f>
        <v/>
      </c>
      <c r="AF495" t="str">
        <f>IF(AE495="","",IF(AE495="[FÓRMULA MANUAL]","",IFERROR(AVERAGEIFS(DATOS!$K$2:$K$20000,DATOS!$A$2:$A$20000,AE495,DATOS!$G$2:$G$20000,CONFIG_METADATA!$B$4,DATOS!$I$2:$I$20000,"Análisis"),"")))</f>
        <v/>
      </c>
      <c r="AG495" t="str">
        <f>IF(AE495="","",IF(AE495="[FÓRMULA MANUAL]","",IFERROR(AVERAGEIFS(DATOS!$K$2:$K$20000,DATOS!$A$2:$A$20000,AE495,DATOS!$G$2:$G$20000,CONFIG_METADATA!$B$4,DATOS!$I$2:$I$20000,"Orquesta/Banda/Conjunto"),"")))</f>
        <v/>
      </c>
      <c r="AH495" t="str">
        <f>IF(AE495="","",IF(AE495="[FÓRMULA MANUAL]","",IFERROR(AVERAGEIFS(DATOS!$K$2:$K$20000,DATOS!$A$2:$A$20000,AE495,DATOS!$G$2:$G$20000,CONFIG_METADATA!$B$4,DATOS!$I$2:$I$20000,"Música de Cámara"),"")))</f>
        <v/>
      </c>
      <c r="AI495" t="str">
        <f>IF(AE495="","",IF(AE495="[FÓRMULA MANUAL]","",IFERROR(SUMPRODUCT((DATOS!$A$2:$A$20000=AE495)*(DATOS!$G$2:$G$20000=CONFIG_METADATA!$B$4)*(COUNTIF(CONFIG_ASIGNATURAS!$B$7:$B$27,DATOS!$I$2:$I$20000)&gt;0)*(DATOS!$K$2:$K$20000))/SUMPRODUCT((DATOS!$A$2:$A$20000=AE495)*(DATOS!$G$2:$G$20000=CONFIG_METADATA!$B$4)*(COUNTIF(CONFIG_ASIGNATURAS!$B$7:$B$27,DATOS!$I$2:$I$20000)&gt;0)*1),"")))</f>
        <v/>
      </c>
    </row>
    <row r="496" spans="2:35" x14ac:dyDescent="0.2">
      <c r="B496" t="str">
        <f>IF(A496="","",IF(A496="[FÓRMULA MANUAL]","",IFERROR(AVERAGEIFS(DATOS!$K$2:$K$20000,DATOS!$A$2:$A$20000,A496,DATOS!$G$2:$G$20000,CONFIG_METADATA!$B$4,DATOS!$I$2:$I$20000,"Lenguaje Musical"),"")))</f>
        <v/>
      </c>
      <c r="C496" t="str">
        <f>IF(A496="","",IF(A496="[FÓRMULA MANUAL]","",IFERROR(AVERAGEIFS(DATOS!$K$2:$K$20000,DATOS!$A$2:$A$20000,A496,DATOS!$G$2:$G$20000,CONFIG_METADATA!$B$4,DATOS!$I$2:$I$20000,"Orquesta/Banda/Conjunto"),"")))</f>
        <v/>
      </c>
      <c r="D496" t="str">
        <f>IF(A496="","",IF(A496="[FÓRMULA MANUAL]","",IFERROR(AVERAGEIFS(DATOS!$K$2:$K$20000,DATOS!$A$2:$A$20000,A496,DATOS!$G$2:$G$20000,CONFIG_METADATA!$B$4,DATOS!$I$2:$I$20000,"Conjunto"),"")))</f>
        <v/>
      </c>
      <c r="E496" t="str">
        <f>IF(A496="","",IF(A496="[FÓRMULA MANUAL]","",IFERROR(SUMPRODUCT((DATOS!$A$2:$A$20000=A496)*(DATOS!$G$2:$G$20000=CONFIG_METADATA!$B$4)*(COUNTIF(CONFIG_ASIGNATURAS!$B$7:$B$27,DATOS!$I$2:$I$20000)&gt;0)*(DATOS!$K$2:$K$20000))/SUMPRODUCT((DATOS!$A$2:$A$20000=A496)*(DATOS!$G$2:$G$20000=CONFIG_METADATA!$B$4)*(COUNTIF(CONFIG_ASIGNATURAS!$B$7:$B$27,DATOS!$I$2:$I$20000)&gt;0)*1),"")))</f>
        <v/>
      </c>
      <c r="H496" t="str">
        <f>IF(G496="","",IF(G496="[FÓRMULA MANUAL]","",IFERROR(AVERAGEIFS(DATOS!$K$2:$K$20000,DATOS!$A$2:$A$20000,G496,DATOS!$G$2:$G$20000,CONFIG_METADATA!$B$4,DATOS!$I$2:$I$20000,"Lenguaje Musical"),"")))</f>
        <v/>
      </c>
      <c r="I496" t="str">
        <f>IF(G496="","",IF(G496="[FÓRMULA MANUAL]","",IFERROR(AVERAGEIFS(DATOS!$K$2:$K$20000,DATOS!$A$2:$A$20000,G496,DATOS!$G$2:$G$20000,CONFIG_METADATA!$B$4,DATOS!$I$2:$I$20000,"Orquesta/Banda/Conjunto"),"")))</f>
        <v/>
      </c>
      <c r="J496" t="str">
        <f>IF(G496="","",IF(G496="[FÓRMULA MANUAL]","",IFERROR(AVERAGEIFS(DATOS!$K$2:$K$20000,DATOS!$A$2:$A$20000,G496,DATOS!$G$2:$G$20000,CONFIG_METADATA!$B$4,DATOS!$I$2:$I$20000,"Conjunto"),"")))</f>
        <v/>
      </c>
      <c r="K496" t="str">
        <f>IF(G496="","",IF(G496="[FÓRMULA MANUAL]","",IFERROR(SUMPRODUCT((DATOS!$A$2:$A$20000=G496)*(DATOS!$G$2:$G$20000=CONFIG_METADATA!$B$4)*(COUNTIF(CONFIG_ASIGNATURAS!$B$7:$B$27,DATOS!$I$2:$I$20000)&gt;0)*(DATOS!$K$2:$K$20000))/SUMPRODUCT((DATOS!$A$2:$A$20000=G496)*(DATOS!$G$2:$G$20000=CONFIG_METADATA!$B$4)*(COUNTIF(CONFIG_ASIGNATURAS!$B$7:$B$27,DATOS!$I$2:$I$20000)&gt;0)*1),"")))</f>
        <v/>
      </c>
      <c r="N496" t="str">
        <f>IF(M496="","",IF(M496="[FÓRMULA MANUAL]","",IFERROR(AVERAGEIFS(DATOS!$K$2:$K$20000,DATOS!$A$2:$A$20000,M496,DATOS!$G$2:$G$20000,CONFIG_METADATA!$B$4,DATOS!$I$2:$I$20000,"Armonía"),"")))</f>
        <v/>
      </c>
      <c r="O496" t="str">
        <f>IF(M496="","",IF(M496="[FÓRMULA MANUAL]","",IFERROR(AVERAGEIFS(DATOS!$K$2:$K$20000,DATOS!$A$2:$A$20000,M496,DATOS!$G$2:$G$20000,CONFIG_METADATA!$B$4,DATOS!$I$2:$I$20000,"Orquesta/Banda/Conjunto"),"")))</f>
        <v/>
      </c>
      <c r="P496" t="str">
        <f>IF(M496="","",IF(M496="[FÓRMULA MANUAL]","",IFERROR(AVERAGEIFS(DATOS!$K$2:$K$20000,DATOS!$A$2:$A$20000,M496,DATOS!$G$2:$G$20000,CONFIG_METADATA!$B$4,DATOS!$I$2:$I$20000,"Música de Cámara"),"")))</f>
        <v/>
      </c>
      <c r="Q496" t="str">
        <f>IF(M496="","",IF(M496="[FÓRMULA MANUAL]","",IFERROR(SUMPRODUCT((DATOS!$A$2:$A$20000=M496)*(DATOS!$G$2:$G$20000=CONFIG_METADATA!$B$4)*(COUNTIF(CONFIG_ASIGNATURAS!$B$7:$B$27,DATOS!$I$2:$I$20000)&gt;0)*(DATOS!$K$2:$K$20000))/SUMPRODUCT((DATOS!$A$2:$A$20000=M496)*(DATOS!$G$2:$G$20000=CONFIG_METADATA!$B$4)*(COUNTIF(CONFIG_ASIGNATURAS!$B$7:$B$27,DATOS!$I$2:$I$20000)&gt;0)*1),"")))</f>
        <v/>
      </c>
      <c r="T496" t="str">
        <f>IF(S496="","",IF(S496="[FÓRMULA MANUAL]","",IFERROR(AVERAGEIFS(DATOS!$K$2:$K$20000,DATOS!$A$2:$A$20000,S496,DATOS!$G$2:$G$20000,CONFIG_METADATA!$B$4,DATOS!$I$2:$I$20000,"Armonía"),"")))</f>
        <v/>
      </c>
      <c r="U496" t="str">
        <f>IF(S496="","",IF(S496="[FÓRMULA MANUAL]","",IFERROR(AVERAGEIFS(DATOS!$K$2:$K$20000,DATOS!$A$2:$A$20000,S496,DATOS!$G$2:$G$20000,CONFIG_METADATA!$B$4,DATOS!$I$2:$I$20000,"Orquesta/Banda/Conjunto"),"")))</f>
        <v/>
      </c>
      <c r="V496" t="str">
        <f>IF(S496="","",IF(S496="[FÓRMULA MANUAL]","",IFERROR(AVERAGEIFS(DATOS!$K$2:$K$20000,DATOS!$A$2:$A$20000,S496,DATOS!$G$2:$G$20000,CONFIG_METADATA!$B$4,DATOS!$I$2:$I$20000,"Música de Cámara"),"")))</f>
        <v/>
      </c>
      <c r="W496" t="str">
        <f>IF(S496="","",IF(S496="[FÓRMULA MANUAL]","",IFERROR(SUMPRODUCT((DATOS!$A$2:$A$20000=S496)*(DATOS!$G$2:$G$20000=CONFIG_METADATA!$B$4)*(COUNTIF(CONFIG_ASIGNATURAS!$B$7:$B$27,DATOS!$I$2:$I$20000)&gt;0)*(DATOS!$K$2:$K$20000))/SUMPRODUCT((DATOS!$A$2:$A$20000=S496)*(DATOS!$G$2:$G$20000=CONFIG_METADATA!$B$4)*(COUNTIF(CONFIG_ASIGNATURAS!$B$7:$B$27,DATOS!$I$2:$I$20000)&gt;0)*1),"")))</f>
        <v/>
      </c>
      <c r="Z496" t="str">
        <f>IF(Y496="","",IF(Y496="[FÓRMULA MANUAL]","",IFERROR(AVERAGEIFS(DATOS!$K$2:$K$20000,DATOS!$A$2:$A$20000,Y496,DATOS!$G$2:$G$20000,CONFIG_METADATA!$B$4,DATOS!$I$2:$I$20000,"Análisis"),"")))</f>
        <v/>
      </c>
      <c r="AA496" t="str">
        <f>IF(Y496="","",IF(Y496="[FÓRMULA MANUAL]","",IFERROR(AVERAGEIFS(DATOS!$K$2:$K$20000,DATOS!$A$2:$A$20000,Y496,DATOS!$G$2:$G$20000,CONFIG_METADATA!$B$4,DATOS!$I$2:$I$20000,"Orquesta/Banda/Conjunto"),"")))</f>
        <v/>
      </c>
      <c r="AB496" t="str">
        <f>IF(Y496="","",IF(Y496="[FÓRMULA MANUAL]","",IFERROR(AVERAGEIFS(DATOS!$K$2:$K$20000,DATOS!$A$2:$A$20000,Y496,DATOS!$G$2:$G$20000,CONFIG_METADATA!$B$4,DATOS!$I$2:$I$20000,"Música de Cámara"),"")))</f>
        <v/>
      </c>
      <c r="AC496" t="str">
        <f>IF(Y496="","",IF(Y496="[FÓRMULA MANUAL]","",IFERROR(SUMPRODUCT((DATOS!$A$2:$A$20000=Y496)*(DATOS!$G$2:$G$20000=CONFIG_METADATA!$B$4)*(COUNTIF(CONFIG_ASIGNATURAS!$B$7:$B$27,DATOS!$I$2:$I$20000)&gt;0)*(DATOS!$K$2:$K$20000))/SUMPRODUCT((DATOS!$A$2:$A$20000=Y496)*(DATOS!$G$2:$G$20000=CONFIG_METADATA!$B$4)*(COUNTIF(CONFIG_ASIGNATURAS!$B$7:$B$27,DATOS!$I$2:$I$20000)&gt;0)*1),"")))</f>
        <v/>
      </c>
      <c r="AF496" t="str">
        <f>IF(AE496="","",IF(AE496="[FÓRMULA MANUAL]","",IFERROR(AVERAGEIFS(DATOS!$K$2:$K$20000,DATOS!$A$2:$A$20000,AE496,DATOS!$G$2:$G$20000,CONFIG_METADATA!$B$4,DATOS!$I$2:$I$20000,"Análisis"),"")))</f>
        <v/>
      </c>
      <c r="AG496" t="str">
        <f>IF(AE496="","",IF(AE496="[FÓRMULA MANUAL]","",IFERROR(AVERAGEIFS(DATOS!$K$2:$K$20000,DATOS!$A$2:$A$20000,AE496,DATOS!$G$2:$G$20000,CONFIG_METADATA!$B$4,DATOS!$I$2:$I$20000,"Orquesta/Banda/Conjunto"),"")))</f>
        <v/>
      </c>
      <c r="AH496" t="str">
        <f>IF(AE496="","",IF(AE496="[FÓRMULA MANUAL]","",IFERROR(AVERAGEIFS(DATOS!$K$2:$K$20000,DATOS!$A$2:$A$20000,AE496,DATOS!$G$2:$G$20000,CONFIG_METADATA!$B$4,DATOS!$I$2:$I$20000,"Música de Cámara"),"")))</f>
        <v/>
      </c>
      <c r="AI496" t="str">
        <f>IF(AE496="","",IF(AE496="[FÓRMULA MANUAL]","",IFERROR(SUMPRODUCT((DATOS!$A$2:$A$20000=AE496)*(DATOS!$G$2:$G$20000=CONFIG_METADATA!$B$4)*(COUNTIF(CONFIG_ASIGNATURAS!$B$7:$B$27,DATOS!$I$2:$I$20000)&gt;0)*(DATOS!$K$2:$K$20000))/SUMPRODUCT((DATOS!$A$2:$A$20000=AE496)*(DATOS!$G$2:$G$20000=CONFIG_METADATA!$B$4)*(COUNTIF(CONFIG_ASIGNATURAS!$B$7:$B$27,DATOS!$I$2:$I$20000)&gt;0)*1),"")))</f>
        <v/>
      </c>
    </row>
    <row r="497" spans="2:35" x14ac:dyDescent="0.2">
      <c r="B497" t="str">
        <f>IF(A497="","",IF(A497="[FÓRMULA MANUAL]","",IFERROR(AVERAGEIFS(DATOS!$K$2:$K$20000,DATOS!$A$2:$A$20000,A497,DATOS!$G$2:$G$20000,CONFIG_METADATA!$B$4,DATOS!$I$2:$I$20000,"Lenguaje Musical"),"")))</f>
        <v/>
      </c>
      <c r="C497" t="str">
        <f>IF(A497="","",IF(A497="[FÓRMULA MANUAL]","",IFERROR(AVERAGEIFS(DATOS!$K$2:$K$20000,DATOS!$A$2:$A$20000,A497,DATOS!$G$2:$G$20000,CONFIG_METADATA!$B$4,DATOS!$I$2:$I$20000,"Orquesta/Banda/Conjunto"),"")))</f>
        <v/>
      </c>
      <c r="D497" t="str">
        <f>IF(A497="","",IF(A497="[FÓRMULA MANUAL]","",IFERROR(AVERAGEIFS(DATOS!$K$2:$K$20000,DATOS!$A$2:$A$20000,A497,DATOS!$G$2:$G$20000,CONFIG_METADATA!$B$4,DATOS!$I$2:$I$20000,"Conjunto"),"")))</f>
        <v/>
      </c>
      <c r="E497" t="str">
        <f>IF(A497="","",IF(A497="[FÓRMULA MANUAL]","",IFERROR(SUMPRODUCT((DATOS!$A$2:$A$20000=A497)*(DATOS!$G$2:$G$20000=CONFIG_METADATA!$B$4)*(COUNTIF(CONFIG_ASIGNATURAS!$B$7:$B$27,DATOS!$I$2:$I$20000)&gt;0)*(DATOS!$K$2:$K$20000))/SUMPRODUCT((DATOS!$A$2:$A$20000=A497)*(DATOS!$G$2:$G$20000=CONFIG_METADATA!$B$4)*(COUNTIF(CONFIG_ASIGNATURAS!$B$7:$B$27,DATOS!$I$2:$I$20000)&gt;0)*1),"")))</f>
        <v/>
      </c>
      <c r="H497" t="str">
        <f>IF(G497="","",IF(G497="[FÓRMULA MANUAL]","",IFERROR(AVERAGEIFS(DATOS!$K$2:$K$20000,DATOS!$A$2:$A$20000,G497,DATOS!$G$2:$G$20000,CONFIG_METADATA!$B$4,DATOS!$I$2:$I$20000,"Lenguaje Musical"),"")))</f>
        <v/>
      </c>
      <c r="I497" t="str">
        <f>IF(G497="","",IF(G497="[FÓRMULA MANUAL]","",IFERROR(AVERAGEIFS(DATOS!$K$2:$K$20000,DATOS!$A$2:$A$20000,G497,DATOS!$G$2:$G$20000,CONFIG_METADATA!$B$4,DATOS!$I$2:$I$20000,"Orquesta/Banda/Conjunto"),"")))</f>
        <v/>
      </c>
      <c r="J497" t="str">
        <f>IF(G497="","",IF(G497="[FÓRMULA MANUAL]","",IFERROR(AVERAGEIFS(DATOS!$K$2:$K$20000,DATOS!$A$2:$A$20000,G497,DATOS!$G$2:$G$20000,CONFIG_METADATA!$B$4,DATOS!$I$2:$I$20000,"Conjunto"),"")))</f>
        <v/>
      </c>
      <c r="K497" t="str">
        <f>IF(G497="","",IF(G497="[FÓRMULA MANUAL]","",IFERROR(SUMPRODUCT((DATOS!$A$2:$A$20000=G497)*(DATOS!$G$2:$G$20000=CONFIG_METADATA!$B$4)*(COUNTIF(CONFIG_ASIGNATURAS!$B$7:$B$27,DATOS!$I$2:$I$20000)&gt;0)*(DATOS!$K$2:$K$20000))/SUMPRODUCT((DATOS!$A$2:$A$20000=G497)*(DATOS!$G$2:$G$20000=CONFIG_METADATA!$B$4)*(COUNTIF(CONFIG_ASIGNATURAS!$B$7:$B$27,DATOS!$I$2:$I$20000)&gt;0)*1),"")))</f>
        <v/>
      </c>
      <c r="N497" t="str">
        <f>IF(M497="","",IF(M497="[FÓRMULA MANUAL]","",IFERROR(AVERAGEIFS(DATOS!$K$2:$K$20000,DATOS!$A$2:$A$20000,M497,DATOS!$G$2:$G$20000,CONFIG_METADATA!$B$4,DATOS!$I$2:$I$20000,"Armonía"),"")))</f>
        <v/>
      </c>
      <c r="O497" t="str">
        <f>IF(M497="","",IF(M497="[FÓRMULA MANUAL]","",IFERROR(AVERAGEIFS(DATOS!$K$2:$K$20000,DATOS!$A$2:$A$20000,M497,DATOS!$G$2:$G$20000,CONFIG_METADATA!$B$4,DATOS!$I$2:$I$20000,"Orquesta/Banda/Conjunto"),"")))</f>
        <v/>
      </c>
      <c r="P497" t="str">
        <f>IF(M497="","",IF(M497="[FÓRMULA MANUAL]","",IFERROR(AVERAGEIFS(DATOS!$K$2:$K$20000,DATOS!$A$2:$A$20000,M497,DATOS!$G$2:$G$20000,CONFIG_METADATA!$B$4,DATOS!$I$2:$I$20000,"Música de Cámara"),"")))</f>
        <v/>
      </c>
      <c r="Q497" t="str">
        <f>IF(M497="","",IF(M497="[FÓRMULA MANUAL]","",IFERROR(SUMPRODUCT((DATOS!$A$2:$A$20000=M497)*(DATOS!$G$2:$G$20000=CONFIG_METADATA!$B$4)*(COUNTIF(CONFIG_ASIGNATURAS!$B$7:$B$27,DATOS!$I$2:$I$20000)&gt;0)*(DATOS!$K$2:$K$20000))/SUMPRODUCT((DATOS!$A$2:$A$20000=M497)*(DATOS!$G$2:$G$20000=CONFIG_METADATA!$B$4)*(COUNTIF(CONFIG_ASIGNATURAS!$B$7:$B$27,DATOS!$I$2:$I$20000)&gt;0)*1),"")))</f>
        <v/>
      </c>
      <c r="T497" t="str">
        <f>IF(S497="","",IF(S497="[FÓRMULA MANUAL]","",IFERROR(AVERAGEIFS(DATOS!$K$2:$K$20000,DATOS!$A$2:$A$20000,S497,DATOS!$G$2:$G$20000,CONFIG_METADATA!$B$4,DATOS!$I$2:$I$20000,"Armonía"),"")))</f>
        <v/>
      </c>
      <c r="U497" t="str">
        <f>IF(S497="","",IF(S497="[FÓRMULA MANUAL]","",IFERROR(AVERAGEIFS(DATOS!$K$2:$K$20000,DATOS!$A$2:$A$20000,S497,DATOS!$G$2:$G$20000,CONFIG_METADATA!$B$4,DATOS!$I$2:$I$20000,"Orquesta/Banda/Conjunto"),"")))</f>
        <v/>
      </c>
      <c r="V497" t="str">
        <f>IF(S497="","",IF(S497="[FÓRMULA MANUAL]","",IFERROR(AVERAGEIFS(DATOS!$K$2:$K$20000,DATOS!$A$2:$A$20000,S497,DATOS!$G$2:$G$20000,CONFIG_METADATA!$B$4,DATOS!$I$2:$I$20000,"Música de Cámara"),"")))</f>
        <v/>
      </c>
      <c r="W497" t="str">
        <f>IF(S497="","",IF(S497="[FÓRMULA MANUAL]","",IFERROR(SUMPRODUCT((DATOS!$A$2:$A$20000=S497)*(DATOS!$G$2:$G$20000=CONFIG_METADATA!$B$4)*(COUNTIF(CONFIG_ASIGNATURAS!$B$7:$B$27,DATOS!$I$2:$I$20000)&gt;0)*(DATOS!$K$2:$K$20000))/SUMPRODUCT((DATOS!$A$2:$A$20000=S497)*(DATOS!$G$2:$G$20000=CONFIG_METADATA!$B$4)*(COUNTIF(CONFIG_ASIGNATURAS!$B$7:$B$27,DATOS!$I$2:$I$20000)&gt;0)*1),"")))</f>
        <v/>
      </c>
      <c r="Z497" t="str">
        <f>IF(Y497="","",IF(Y497="[FÓRMULA MANUAL]","",IFERROR(AVERAGEIFS(DATOS!$K$2:$K$20000,DATOS!$A$2:$A$20000,Y497,DATOS!$G$2:$G$20000,CONFIG_METADATA!$B$4,DATOS!$I$2:$I$20000,"Análisis"),"")))</f>
        <v/>
      </c>
      <c r="AA497" t="str">
        <f>IF(Y497="","",IF(Y497="[FÓRMULA MANUAL]","",IFERROR(AVERAGEIFS(DATOS!$K$2:$K$20000,DATOS!$A$2:$A$20000,Y497,DATOS!$G$2:$G$20000,CONFIG_METADATA!$B$4,DATOS!$I$2:$I$20000,"Orquesta/Banda/Conjunto"),"")))</f>
        <v/>
      </c>
      <c r="AB497" t="str">
        <f>IF(Y497="","",IF(Y497="[FÓRMULA MANUAL]","",IFERROR(AVERAGEIFS(DATOS!$K$2:$K$20000,DATOS!$A$2:$A$20000,Y497,DATOS!$G$2:$G$20000,CONFIG_METADATA!$B$4,DATOS!$I$2:$I$20000,"Música de Cámara"),"")))</f>
        <v/>
      </c>
      <c r="AC497" t="str">
        <f>IF(Y497="","",IF(Y497="[FÓRMULA MANUAL]","",IFERROR(SUMPRODUCT((DATOS!$A$2:$A$20000=Y497)*(DATOS!$G$2:$G$20000=CONFIG_METADATA!$B$4)*(COUNTIF(CONFIG_ASIGNATURAS!$B$7:$B$27,DATOS!$I$2:$I$20000)&gt;0)*(DATOS!$K$2:$K$20000))/SUMPRODUCT((DATOS!$A$2:$A$20000=Y497)*(DATOS!$G$2:$G$20000=CONFIG_METADATA!$B$4)*(COUNTIF(CONFIG_ASIGNATURAS!$B$7:$B$27,DATOS!$I$2:$I$20000)&gt;0)*1),"")))</f>
        <v/>
      </c>
      <c r="AF497" t="str">
        <f>IF(AE497="","",IF(AE497="[FÓRMULA MANUAL]","",IFERROR(AVERAGEIFS(DATOS!$K$2:$K$20000,DATOS!$A$2:$A$20000,AE497,DATOS!$G$2:$G$20000,CONFIG_METADATA!$B$4,DATOS!$I$2:$I$20000,"Análisis"),"")))</f>
        <v/>
      </c>
      <c r="AG497" t="str">
        <f>IF(AE497="","",IF(AE497="[FÓRMULA MANUAL]","",IFERROR(AVERAGEIFS(DATOS!$K$2:$K$20000,DATOS!$A$2:$A$20000,AE497,DATOS!$G$2:$G$20000,CONFIG_METADATA!$B$4,DATOS!$I$2:$I$20000,"Orquesta/Banda/Conjunto"),"")))</f>
        <v/>
      </c>
      <c r="AH497" t="str">
        <f>IF(AE497="","",IF(AE497="[FÓRMULA MANUAL]","",IFERROR(AVERAGEIFS(DATOS!$K$2:$K$20000,DATOS!$A$2:$A$20000,AE497,DATOS!$G$2:$G$20000,CONFIG_METADATA!$B$4,DATOS!$I$2:$I$20000,"Música de Cámara"),"")))</f>
        <v/>
      </c>
      <c r="AI497" t="str">
        <f>IF(AE497="","",IF(AE497="[FÓRMULA MANUAL]","",IFERROR(SUMPRODUCT((DATOS!$A$2:$A$20000=AE497)*(DATOS!$G$2:$G$20000=CONFIG_METADATA!$B$4)*(COUNTIF(CONFIG_ASIGNATURAS!$B$7:$B$27,DATOS!$I$2:$I$20000)&gt;0)*(DATOS!$K$2:$K$20000))/SUMPRODUCT((DATOS!$A$2:$A$20000=AE497)*(DATOS!$G$2:$G$20000=CONFIG_METADATA!$B$4)*(COUNTIF(CONFIG_ASIGNATURAS!$B$7:$B$27,DATOS!$I$2:$I$20000)&gt;0)*1),"")))</f>
        <v/>
      </c>
    </row>
    <row r="498" spans="2:35" x14ac:dyDescent="0.2">
      <c r="B498" t="str">
        <f>IF(A498="","",IF(A498="[FÓRMULA MANUAL]","",IFERROR(AVERAGEIFS(DATOS!$K$2:$K$20000,DATOS!$A$2:$A$20000,A498,DATOS!$G$2:$G$20000,CONFIG_METADATA!$B$4,DATOS!$I$2:$I$20000,"Lenguaje Musical"),"")))</f>
        <v/>
      </c>
      <c r="C498" t="str">
        <f>IF(A498="","",IF(A498="[FÓRMULA MANUAL]","",IFERROR(AVERAGEIFS(DATOS!$K$2:$K$20000,DATOS!$A$2:$A$20000,A498,DATOS!$G$2:$G$20000,CONFIG_METADATA!$B$4,DATOS!$I$2:$I$20000,"Orquesta/Banda/Conjunto"),"")))</f>
        <v/>
      </c>
      <c r="D498" t="str">
        <f>IF(A498="","",IF(A498="[FÓRMULA MANUAL]","",IFERROR(AVERAGEIFS(DATOS!$K$2:$K$20000,DATOS!$A$2:$A$20000,A498,DATOS!$G$2:$G$20000,CONFIG_METADATA!$B$4,DATOS!$I$2:$I$20000,"Conjunto"),"")))</f>
        <v/>
      </c>
      <c r="E498" t="str">
        <f>IF(A498="","",IF(A498="[FÓRMULA MANUAL]","",IFERROR(SUMPRODUCT((DATOS!$A$2:$A$20000=A498)*(DATOS!$G$2:$G$20000=CONFIG_METADATA!$B$4)*(COUNTIF(CONFIG_ASIGNATURAS!$B$7:$B$27,DATOS!$I$2:$I$20000)&gt;0)*(DATOS!$K$2:$K$20000))/SUMPRODUCT((DATOS!$A$2:$A$20000=A498)*(DATOS!$G$2:$G$20000=CONFIG_METADATA!$B$4)*(COUNTIF(CONFIG_ASIGNATURAS!$B$7:$B$27,DATOS!$I$2:$I$20000)&gt;0)*1),"")))</f>
        <v/>
      </c>
      <c r="H498" t="str">
        <f>IF(G498="","",IF(G498="[FÓRMULA MANUAL]","",IFERROR(AVERAGEIFS(DATOS!$K$2:$K$20000,DATOS!$A$2:$A$20000,G498,DATOS!$G$2:$G$20000,CONFIG_METADATA!$B$4,DATOS!$I$2:$I$20000,"Lenguaje Musical"),"")))</f>
        <v/>
      </c>
      <c r="I498" t="str">
        <f>IF(G498="","",IF(G498="[FÓRMULA MANUAL]","",IFERROR(AVERAGEIFS(DATOS!$K$2:$K$20000,DATOS!$A$2:$A$20000,G498,DATOS!$G$2:$G$20000,CONFIG_METADATA!$B$4,DATOS!$I$2:$I$20000,"Orquesta/Banda/Conjunto"),"")))</f>
        <v/>
      </c>
      <c r="J498" t="str">
        <f>IF(G498="","",IF(G498="[FÓRMULA MANUAL]","",IFERROR(AVERAGEIFS(DATOS!$K$2:$K$20000,DATOS!$A$2:$A$20000,G498,DATOS!$G$2:$G$20000,CONFIG_METADATA!$B$4,DATOS!$I$2:$I$20000,"Conjunto"),"")))</f>
        <v/>
      </c>
      <c r="K498" t="str">
        <f>IF(G498="","",IF(G498="[FÓRMULA MANUAL]","",IFERROR(SUMPRODUCT((DATOS!$A$2:$A$20000=G498)*(DATOS!$G$2:$G$20000=CONFIG_METADATA!$B$4)*(COUNTIF(CONFIG_ASIGNATURAS!$B$7:$B$27,DATOS!$I$2:$I$20000)&gt;0)*(DATOS!$K$2:$K$20000))/SUMPRODUCT((DATOS!$A$2:$A$20000=G498)*(DATOS!$G$2:$G$20000=CONFIG_METADATA!$B$4)*(COUNTIF(CONFIG_ASIGNATURAS!$B$7:$B$27,DATOS!$I$2:$I$20000)&gt;0)*1),"")))</f>
        <v/>
      </c>
      <c r="N498" t="str">
        <f>IF(M498="","",IF(M498="[FÓRMULA MANUAL]","",IFERROR(AVERAGEIFS(DATOS!$K$2:$K$20000,DATOS!$A$2:$A$20000,M498,DATOS!$G$2:$G$20000,CONFIG_METADATA!$B$4,DATOS!$I$2:$I$20000,"Armonía"),"")))</f>
        <v/>
      </c>
      <c r="O498" t="str">
        <f>IF(M498="","",IF(M498="[FÓRMULA MANUAL]","",IFERROR(AVERAGEIFS(DATOS!$K$2:$K$20000,DATOS!$A$2:$A$20000,M498,DATOS!$G$2:$G$20000,CONFIG_METADATA!$B$4,DATOS!$I$2:$I$20000,"Orquesta/Banda/Conjunto"),"")))</f>
        <v/>
      </c>
      <c r="P498" t="str">
        <f>IF(M498="","",IF(M498="[FÓRMULA MANUAL]","",IFERROR(AVERAGEIFS(DATOS!$K$2:$K$20000,DATOS!$A$2:$A$20000,M498,DATOS!$G$2:$G$20000,CONFIG_METADATA!$B$4,DATOS!$I$2:$I$20000,"Música de Cámara"),"")))</f>
        <v/>
      </c>
      <c r="Q498" t="str">
        <f>IF(M498="","",IF(M498="[FÓRMULA MANUAL]","",IFERROR(SUMPRODUCT((DATOS!$A$2:$A$20000=M498)*(DATOS!$G$2:$G$20000=CONFIG_METADATA!$B$4)*(COUNTIF(CONFIG_ASIGNATURAS!$B$7:$B$27,DATOS!$I$2:$I$20000)&gt;0)*(DATOS!$K$2:$K$20000))/SUMPRODUCT((DATOS!$A$2:$A$20000=M498)*(DATOS!$G$2:$G$20000=CONFIG_METADATA!$B$4)*(COUNTIF(CONFIG_ASIGNATURAS!$B$7:$B$27,DATOS!$I$2:$I$20000)&gt;0)*1),"")))</f>
        <v/>
      </c>
      <c r="T498" t="str">
        <f>IF(S498="","",IF(S498="[FÓRMULA MANUAL]","",IFERROR(AVERAGEIFS(DATOS!$K$2:$K$20000,DATOS!$A$2:$A$20000,S498,DATOS!$G$2:$G$20000,CONFIG_METADATA!$B$4,DATOS!$I$2:$I$20000,"Armonía"),"")))</f>
        <v/>
      </c>
      <c r="U498" t="str">
        <f>IF(S498="","",IF(S498="[FÓRMULA MANUAL]","",IFERROR(AVERAGEIFS(DATOS!$K$2:$K$20000,DATOS!$A$2:$A$20000,S498,DATOS!$G$2:$G$20000,CONFIG_METADATA!$B$4,DATOS!$I$2:$I$20000,"Orquesta/Banda/Conjunto"),"")))</f>
        <v/>
      </c>
      <c r="V498" t="str">
        <f>IF(S498="","",IF(S498="[FÓRMULA MANUAL]","",IFERROR(AVERAGEIFS(DATOS!$K$2:$K$20000,DATOS!$A$2:$A$20000,S498,DATOS!$G$2:$G$20000,CONFIG_METADATA!$B$4,DATOS!$I$2:$I$20000,"Música de Cámara"),"")))</f>
        <v/>
      </c>
      <c r="W498" t="str">
        <f>IF(S498="","",IF(S498="[FÓRMULA MANUAL]","",IFERROR(SUMPRODUCT((DATOS!$A$2:$A$20000=S498)*(DATOS!$G$2:$G$20000=CONFIG_METADATA!$B$4)*(COUNTIF(CONFIG_ASIGNATURAS!$B$7:$B$27,DATOS!$I$2:$I$20000)&gt;0)*(DATOS!$K$2:$K$20000))/SUMPRODUCT((DATOS!$A$2:$A$20000=S498)*(DATOS!$G$2:$G$20000=CONFIG_METADATA!$B$4)*(COUNTIF(CONFIG_ASIGNATURAS!$B$7:$B$27,DATOS!$I$2:$I$20000)&gt;0)*1),"")))</f>
        <v/>
      </c>
      <c r="Z498" t="str">
        <f>IF(Y498="","",IF(Y498="[FÓRMULA MANUAL]","",IFERROR(AVERAGEIFS(DATOS!$K$2:$K$20000,DATOS!$A$2:$A$20000,Y498,DATOS!$G$2:$G$20000,CONFIG_METADATA!$B$4,DATOS!$I$2:$I$20000,"Análisis"),"")))</f>
        <v/>
      </c>
      <c r="AA498" t="str">
        <f>IF(Y498="","",IF(Y498="[FÓRMULA MANUAL]","",IFERROR(AVERAGEIFS(DATOS!$K$2:$K$20000,DATOS!$A$2:$A$20000,Y498,DATOS!$G$2:$G$20000,CONFIG_METADATA!$B$4,DATOS!$I$2:$I$20000,"Orquesta/Banda/Conjunto"),"")))</f>
        <v/>
      </c>
      <c r="AB498" t="str">
        <f>IF(Y498="","",IF(Y498="[FÓRMULA MANUAL]","",IFERROR(AVERAGEIFS(DATOS!$K$2:$K$20000,DATOS!$A$2:$A$20000,Y498,DATOS!$G$2:$G$20000,CONFIG_METADATA!$B$4,DATOS!$I$2:$I$20000,"Música de Cámara"),"")))</f>
        <v/>
      </c>
      <c r="AC498" t="str">
        <f>IF(Y498="","",IF(Y498="[FÓRMULA MANUAL]","",IFERROR(SUMPRODUCT((DATOS!$A$2:$A$20000=Y498)*(DATOS!$G$2:$G$20000=CONFIG_METADATA!$B$4)*(COUNTIF(CONFIG_ASIGNATURAS!$B$7:$B$27,DATOS!$I$2:$I$20000)&gt;0)*(DATOS!$K$2:$K$20000))/SUMPRODUCT((DATOS!$A$2:$A$20000=Y498)*(DATOS!$G$2:$G$20000=CONFIG_METADATA!$B$4)*(COUNTIF(CONFIG_ASIGNATURAS!$B$7:$B$27,DATOS!$I$2:$I$20000)&gt;0)*1),"")))</f>
        <v/>
      </c>
      <c r="AF498" t="str">
        <f>IF(AE498="","",IF(AE498="[FÓRMULA MANUAL]","",IFERROR(AVERAGEIFS(DATOS!$K$2:$K$20000,DATOS!$A$2:$A$20000,AE498,DATOS!$G$2:$G$20000,CONFIG_METADATA!$B$4,DATOS!$I$2:$I$20000,"Análisis"),"")))</f>
        <v/>
      </c>
      <c r="AG498" t="str">
        <f>IF(AE498="","",IF(AE498="[FÓRMULA MANUAL]","",IFERROR(AVERAGEIFS(DATOS!$K$2:$K$20000,DATOS!$A$2:$A$20000,AE498,DATOS!$G$2:$G$20000,CONFIG_METADATA!$B$4,DATOS!$I$2:$I$20000,"Orquesta/Banda/Conjunto"),"")))</f>
        <v/>
      </c>
      <c r="AH498" t="str">
        <f>IF(AE498="","",IF(AE498="[FÓRMULA MANUAL]","",IFERROR(AVERAGEIFS(DATOS!$K$2:$K$20000,DATOS!$A$2:$A$20000,AE498,DATOS!$G$2:$G$20000,CONFIG_METADATA!$B$4,DATOS!$I$2:$I$20000,"Música de Cámara"),"")))</f>
        <v/>
      </c>
      <c r="AI498" t="str">
        <f>IF(AE498="","",IF(AE498="[FÓRMULA MANUAL]","",IFERROR(SUMPRODUCT((DATOS!$A$2:$A$20000=AE498)*(DATOS!$G$2:$G$20000=CONFIG_METADATA!$B$4)*(COUNTIF(CONFIG_ASIGNATURAS!$B$7:$B$27,DATOS!$I$2:$I$20000)&gt;0)*(DATOS!$K$2:$K$20000))/SUMPRODUCT((DATOS!$A$2:$A$20000=AE498)*(DATOS!$G$2:$G$20000=CONFIG_METADATA!$B$4)*(COUNTIF(CONFIG_ASIGNATURAS!$B$7:$B$27,DATOS!$I$2:$I$20000)&gt;0)*1),"")))</f>
        <v/>
      </c>
    </row>
    <row r="499" spans="2:35" x14ac:dyDescent="0.2">
      <c r="B499" t="str">
        <f>IF(A499="","",IF(A499="[FÓRMULA MANUAL]","",IFERROR(AVERAGEIFS(DATOS!$K$2:$K$20000,DATOS!$A$2:$A$20000,A499,DATOS!$G$2:$G$20000,CONFIG_METADATA!$B$4,DATOS!$I$2:$I$20000,"Lenguaje Musical"),"")))</f>
        <v/>
      </c>
      <c r="C499" t="str">
        <f>IF(A499="","",IF(A499="[FÓRMULA MANUAL]","",IFERROR(AVERAGEIFS(DATOS!$K$2:$K$20000,DATOS!$A$2:$A$20000,A499,DATOS!$G$2:$G$20000,CONFIG_METADATA!$B$4,DATOS!$I$2:$I$20000,"Orquesta/Banda/Conjunto"),"")))</f>
        <v/>
      </c>
      <c r="D499" t="str">
        <f>IF(A499="","",IF(A499="[FÓRMULA MANUAL]","",IFERROR(AVERAGEIFS(DATOS!$K$2:$K$20000,DATOS!$A$2:$A$20000,A499,DATOS!$G$2:$G$20000,CONFIG_METADATA!$B$4,DATOS!$I$2:$I$20000,"Conjunto"),"")))</f>
        <v/>
      </c>
      <c r="E499" t="str">
        <f>IF(A499="","",IF(A499="[FÓRMULA MANUAL]","",IFERROR(SUMPRODUCT((DATOS!$A$2:$A$20000=A499)*(DATOS!$G$2:$G$20000=CONFIG_METADATA!$B$4)*(COUNTIF(CONFIG_ASIGNATURAS!$B$7:$B$27,DATOS!$I$2:$I$20000)&gt;0)*(DATOS!$K$2:$K$20000))/SUMPRODUCT((DATOS!$A$2:$A$20000=A499)*(DATOS!$G$2:$G$20000=CONFIG_METADATA!$B$4)*(COUNTIF(CONFIG_ASIGNATURAS!$B$7:$B$27,DATOS!$I$2:$I$20000)&gt;0)*1),"")))</f>
        <v/>
      </c>
      <c r="H499" t="str">
        <f>IF(G499="","",IF(G499="[FÓRMULA MANUAL]","",IFERROR(AVERAGEIFS(DATOS!$K$2:$K$20000,DATOS!$A$2:$A$20000,G499,DATOS!$G$2:$G$20000,CONFIG_METADATA!$B$4,DATOS!$I$2:$I$20000,"Lenguaje Musical"),"")))</f>
        <v/>
      </c>
      <c r="I499" t="str">
        <f>IF(G499="","",IF(G499="[FÓRMULA MANUAL]","",IFERROR(AVERAGEIFS(DATOS!$K$2:$K$20000,DATOS!$A$2:$A$20000,G499,DATOS!$G$2:$G$20000,CONFIG_METADATA!$B$4,DATOS!$I$2:$I$20000,"Orquesta/Banda/Conjunto"),"")))</f>
        <v/>
      </c>
      <c r="J499" t="str">
        <f>IF(G499="","",IF(G499="[FÓRMULA MANUAL]","",IFERROR(AVERAGEIFS(DATOS!$K$2:$K$20000,DATOS!$A$2:$A$20000,G499,DATOS!$G$2:$G$20000,CONFIG_METADATA!$B$4,DATOS!$I$2:$I$20000,"Conjunto"),"")))</f>
        <v/>
      </c>
      <c r="K499" t="str">
        <f>IF(G499="","",IF(G499="[FÓRMULA MANUAL]","",IFERROR(SUMPRODUCT((DATOS!$A$2:$A$20000=G499)*(DATOS!$G$2:$G$20000=CONFIG_METADATA!$B$4)*(COUNTIF(CONFIG_ASIGNATURAS!$B$7:$B$27,DATOS!$I$2:$I$20000)&gt;0)*(DATOS!$K$2:$K$20000))/SUMPRODUCT((DATOS!$A$2:$A$20000=G499)*(DATOS!$G$2:$G$20000=CONFIG_METADATA!$B$4)*(COUNTIF(CONFIG_ASIGNATURAS!$B$7:$B$27,DATOS!$I$2:$I$20000)&gt;0)*1),"")))</f>
        <v/>
      </c>
      <c r="N499" t="str">
        <f>IF(M499="","",IF(M499="[FÓRMULA MANUAL]","",IFERROR(AVERAGEIFS(DATOS!$K$2:$K$20000,DATOS!$A$2:$A$20000,M499,DATOS!$G$2:$G$20000,CONFIG_METADATA!$B$4,DATOS!$I$2:$I$20000,"Armonía"),"")))</f>
        <v/>
      </c>
      <c r="O499" t="str">
        <f>IF(M499="","",IF(M499="[FÓRMULA MANUAL]","",IFERROR(AVERAGEIFS(DATOS!$K$2:$K$20000,DATOS!$A$2:$A$20000,M499,DATOS!$G$2:$G$20000,CONFIG_METADATA!$B$4,DATOS!$I$2:$I$20000,"Orquesta/Banda/Conjunto"),"")))</f>
        <v/>
      </c>
      <c r="P499" t="str">
        <f>IF(M499="","",IF(M499="[FÓRMULA MANUAL]","",IFERROR(AVERAGEIFS(DATOS!$K$2:$K$20000,DATOS!$A$2:$A$20000,M499,DATOS!$G$2:$G$20000,CONFIG_METADATA!$B$4,DATOS!$I$2:$I$20000,"Música de Cámara"),"")))</f>
        <v/>
      </c>
      <c r="Q499" t="str">
        <f>IF(M499="","",IF(M499="[FÓRMULA MANUAL]","",IFERROR(SUMPRODUCT((DATOS!$A$2:$A$20000=M499)*(DATOS!$G$2:$G$20000=CONFIG_METADATA!$B$4)*(COUNTIF(CONFIG_ASIGNATURAS!$B$7:$B$27,DATOS!$I$2:$I$20000)&gt;0)*(DATOS!$K$2:$K$20000))/SUMPRODUCT((DATOS!$A$2:$A$20000=M499)*(DATOS!$G$2:$G$20000=CONFIG_METADATA!$B$4)*(COUNTIF(CONFIG_ASIGNATURAS!$B$7:$B$27,DATOS!$I$2:$I$20000)&gt;0)*1),"")))</f>
        <v/>
      </c>
      <c r="T499" t="str">
        <f>IF(S499="","",IF(S499="[FÓRMULA MANUAL]","",IFERROR(AVERAGEIFS(DATOS!$K$2:$K$20000,DATOS!$A$2:$A$20000,S499,DATOS!$G$2:$G$20000,CONFIG_METADATA!$B$4,DATOS!$I$2:$I$20000,"Armonía"),"")))</f>
        <v/>
      </c>
      <c r="U499" t="str">
        <f>IF(S499="","",IF(S499="[FÓRMULA MANUAL]","",IFERROR(AVERAGEIFS(DATOS!$K$2:$K$20000,DATOS!$A$2:$A$20000,S499,DATOS!$G$2:$G$20000,CONFIG_METADATA!$B$4,DATOS!$I$2:$I$20000,"Orquesta/Banda/Conjunto"),"")))</f>
        <v/>
      </c>
      <c r="V499" t="str">
        <f>IF(S499="","",IF(S499="[FÓRMULA MANUAL]","",IFERROR(AVERAGEIFS(DATOS!$K$2:$K$20000,DATOS!$A$2:$A$20000,S499,DATOS!$G$2:$G$20000,CONFIG_METADATA!$B$4,DATOS!$I$2:$I$20000,"Música de Cámara"),"")))</f>
        <v/>
      </c>
      <c r="W499" t="str">
        <f>IF(S499="","",IF(S499="[FÓRMULA MANUAL]","",IFERROR(SUMPRODUCT((DATOS!$A$2:$A$20000=S499)*(DATOS!$G$2:$G$20000=CONFIG_METADATA!$B$4)*(COUNTIF(CONFIG_ASIGNATURAS!$B$7:$B$27,DATOS!$I$2:$I$20000)&gt;0)*(DATOS!$K$2:$K$20000))/SUMPRODUCT((DATOS!$A$2:$A$20000=S499)*(DATOS!$G$2:$G$20000=CONFIG_METADATA!$B$4)*(COUNTIF(CONFIG_ASIGNATURAS!$B$7:$B$27,DATOS!$I$2:$I$20000)&gt;0)*1),"")))</f>
        <v/>
      </c>
      <c r="Z499" t="str">
        <f>IF(Y499="","",IF(Y499="[FÓRMULA MANUAL]","",IFERROR(AVERAGEIFS(DATOS!$K$2:$K$20000,DATOS!$A$2:$A$20000,Y499,DATOS!$G$2:$G$20000,CONFIG_METADATA!$B$4,DATOS!$I$2:$I$20000,"Análisis"),"")))</f>
        <v/>
      </c>
      <c r="AA499" t="str">
        <f>IF(Y499="","",IF(Y499="[FÓRMULA MANUAL]","",IFERROR(AVERAGEIFS(DATOS!$K$2:$K$20000,DATOS!$A$2:$A$20000,Y499,DATOS!$G$2:$G$20000,CONFIG_METADATA!$B$4,DATOS!$I$2:$I$20000,"Orquesta/Banda/Conjunto"),"")))</f>
        <v/>
      </c>
      <c r="AB499" t="str">
        <f>IF(Y499="","",IF(Y499="[FÓRMULA MANUAL]","",IFERROR(AVERAGEIFS(DATOS!$K$2:$K$20000,DATOS!$A$2:$A$20000,Y499,DATOS!$G$2:$G$20000,CONFIG_METADATA!$B$4,DATOS!$I$2:$I$20000,"Música de Cámara"),"")))</f>
        <v/>
      </c>
      <c r="AC499" t="str">
        <f>IF(Y499="","",IF(Y499="[FÓRMULA MANUAL]","",IFERROR(SUMPRODUCT((DATOS!$A$2:$A$20000=Y499)*(DATOS!$G$2:$G$20000=CONFIG_METADATA!$B$4)*(COUNTIF(CONFIG_ASIGNATURAS!$B$7:$B$27,DATOS!$I$2:$I$20000)&gt;0)*(DATOS!$K$2:$K$20000))/SUMPRODUCT((DATOS!$A$2:$A$20000=Y499)*(DATOS!$G$2:$G$20000=CONFIG_METADATA!$B$4)*(COUNTIF(CONFIG_ASIGNATURAS!$B$7:$B$27,DATOS!$I$2:$I$20000)&gt;0)*1),"")))</f>
        <v/>
      </c>
      <c r="AF499" t="str">
        <f>IF(AE499="","",IF(AE499="[FÓRMULA MANUAL]","",IFERROR(AVERAGEIFS(DATOS!$K$2:$K$20000,DATOS!$A$2:$A$20000,AE499,DATOS!$G$2:$G$20000,CONFIG_METADATA!$B$4,DATOS!$I$2:$I$20000,"Análisis"),"")))</f>
        <v/>
      </c>
      <c r="AG499" t="str">
        <f>IF(AE499="","",IF(AE499="[FÓRMULA MANUAL]","",IFERROR(AVERAGEIFS(DATOS!$K$2:$K$20000,DATOS!$A$2:$A$20000,AE499,DATOS!$G$2:$G$20000,CONFIG_METADATA!$B$4,DATOS!$I$2:$I$20000,"Orquesta/Banda/Conjunto"),"")))</f>
        <v/>
      </c>
      <c r="AH499" t="str">
        <f>IF(AE499="","",IF(AE499="[FÓRMULA MANUAL]","",IFERROR(AVERAGEIFS(DATOS!$K$2:$K$20000,DATOS!$A$2:$A$20000,AE499,DATOS!$G$2:$G$20000,CONFIG_METADATA!$B$4,DATOS!$I$2:$I$20000,"Música de Cámara"),"")))</f>
        <v/>
      </c>
      <c r="AI499" t="str">
        <f>IF(AE499="","",IF(AE499="[FÓRMULA MANUAL]","",IFERROR(SUMPRODUCT((DATOS!$A$2:$A$20000=AE499)*(DATOS!$G$2:$G$20000=CONFIG_METADATA!$B$4)*(COUNTIF(CONFIG_ASIGNATURAS!$B$7:$B$27,DATOS!$I$2:$I$20000)&gt;0)*(DATOS!$K$2:$K$20000))/SUMPRODUCT((DATOS!$A$2:$A$20000=AE499)*(DATOS!$G$2:$G$20000=CONFIG_METADATA!$B$4)*(COUNTIF(CONFIG_ASIGNATURAS!$B$7:$B$27,DATOS!$I$2:$I$20000)&gt;0)*1),"")))</f>
        <v/>
      </c>
    </row>
    <row r="500" spans="2:35" x14ac:dyDescent="0.2">
      <c r="B500" t="str">
        <f>IF(A500="","",IF(A500="[FÓRMULA MANUAL]","",IFERROR(AVERAGEIFS(DATOS!$K$2:$K$20000,DATOS!$A$2:$A$20000,A500,DATOS!$G$2:$G$20000,CONFIG_METADATA!$B$4,DATOS!$I$2:$I$20000,"Lenguaje Musical"),"")))</f>
        <v/>
      </c>
      <c r="C500" t="str">
        <f>IF(A500="","",IF(A500="[FÓRMULA MANUAL]","",IFERROR(AVERAGEIFS(DATOS!$K$2:$K$20000,DATOS!$A$2:$A$20000,A500,DATOS!$G$2:$G$20000,CONFIG_METADATA!$B$4,DATOS!$I$2:$I$20000,"Orquesta/Banda/Conjunto"),"")))</f>
        <v/>
      </c>
      <c r="D500" t="str">
        <f>IF(A500="","",IF(A500="[FÓRMULA MANUAL]","",IFERROR(AVERAGEIFS(DATOS!$K$2:$K$20000,DATOS!$A$2:$A$20000,A500,DATOS!$G$2:$G$20000,CONFIG_METADATA!$B$4,DATOS!$I$2:$I$20000,"Conjunto"),"")))</f>
        <v/>
      </c>
      <c r="E500" t="str">
        <f>IF(A500="","",IF(A500="[FÓRMULA MANUAL]","",IFERROR(SUMPRODUCT((DATOS!$A$2:$A$20000=A500)*(DATOS!$G$2:$G$20000=CONFIG_METADATA!$B$4)*(COUNTIF(CONFIG_ASIGNATURAS!$B$7:$B$27,DATOS!$I$2:$I$20000)&gt;0)*(DATOS!$K$2:$K$20000))/SUMPRODUCT((DATOS!$A$2:$A$20000=A500)*(DATOS!$G$2:$G$20000=CONFIG_METADATA!$B$4)*(COUNTIF(CONFIG_ASIGNATURAS!$B$7:$B$27,DATOS!$I$2:$I$20000)&gt;0)*1),"")))</f>
        <v/>
      </c>
      <c r="H500" t="str">
        <f>IF(G500="","",IF(G500="[FÓRMULA MANUAL]","",IFERROR(AVERAGEIFS(DATOS!$K$2:$K$20000,DATOS!$A$2:$A$20000,G500,DATOS!$G$2:$G$20000,CONFIG_METADATA!$B$4,DATOS!$I$2:$I$20000,"Lenguaje Musical"),"")))</f>
        <v/>
      </c>
      <c r="I500" t="str">
        <f>IF(G500="","",IF(G500="[FÓRMULA MANUAL]","",IFERROR(AVERAGEIFS(DATOS!$K$2:$K$20000,DATOS!$A$2:$A$20000,G500,DATOS!$G$2:$G$20000,CONFIG_METADATA!$B$4,DATOS!$I$2:$I$20000,"Orquesta/Banda/Conjunto"),"")))</f>
        <v/>
      </c>
      <c r="J500" t="str">
        <f>IF(G500="","",IF(G500="[FÓRMULA MANUAL]","",IFERROR(AVERAGEIFS(DATOS!$K$2:$K$20000,DATOS!$A$2:$A$20000,G500,DATOS!$G$2:$G$20000,CONFIG_METADATA!$B$4,DATOS!$I$2:$I$20000,"Conjunto"),"")))</f>
        <v/>
      </c>
      <c r="K500" t="str">
        <f>IF(G500="","",IF(G500="[FÓRMULA MANUAL]","",IFERROR(SUMPRODUCT((DATOS!$A$2:$A$20000=G500)*(DATOS!$G$2:$G$20000=CONFIG_METADATA!$B$4)*(COUNTIF(CONFIG_ASIGNATURAS!$B$7:$B$27,DATOS!$I$2:$I$20000)&gt;0)*(DATOS!$K$2:$K$20000))/SUMPRODUCT((DATOS!$A$2:$A$20000=G500)*(DATOS!$G$2:$G$20000=CONFIG_METADATA!$B$4)*(COUNTIF(CONFIG_ASIGNATURAS!$B$7:$B$27,DATOS!$I$2:$I$20000)&gt;0)*1),"")))</f>
        <v/>
      </c>
      <c r="N500" t="str">
        <f>IF(M500="","",IF(M500="[FÓRMULA MANUAL]","",IFERROR(AVERAGEIFS(DATOS!$K$2:$K$20000,DATOS!$A$2:$A$20000,M500,DATOS!$G$2:$G$20000,CONFIG_METADATA!$B$4,DATOS!$I$2:$I$20000,"Armonía"),"")))</f>
        <v/>
      </c>
      <c r="O500" t="str">
        <f>IF(M500="","",IF(M500="[FÓRMULA MANUAL]","",IFERROR(AVERAGEIFS(DATOS!$K$2:$K$20000,DATOS!$A$2:$A$20000,M500,DATOS!$G$2:$G$20000,CONFIG_METADATA!$B$4,DATOS!$I$2:$I$20000,"Orquesta/Banda/Conjunto"),"")))</f>
        <v/>
      </c>
      <c r="P500" t="str">
        <f>IF(M500="","",IF(M500="[FÓRMULA MANUAL]","",IFERROR(AVERAGEIFS(DATOS!$K$2:$K$20000,DATOS!$A$2:$A$20000,M500,DATOS!$G$2:$G$20000,CONFIG_METADATA!$B$4,DATOS!$I$2:$I$20000,"Música de Cámara"),"")))</f>
        <v/>
      </c>
      <c r="Q500" t="str">
        <f>IF(M500="","",IF(M500="[FÓRMULA MANUAL]","",IFERROR(SUMPRODUCT((DATOS!$A$2:$A$20000=M500)*(DATOS!$G$2:$G$20000=CONFIG_METADATA!$B$4)*(COUNTIF(CONFIG_ASIGNATURAS!$B$7:$B$27,DATOS!$I$2:$I$20000)&gt;0)*(DATOS!$K$2:$K$20000))/SUMPRODUCT((DATOS!$A$2:$A$20000=M500)*(DATOS!$G$2:$G$20000=CONFIG_METADATA!$B$4)*(COUNTIF(CONFIG_ASIGNATURAS!$B$7:$B$27,DATOS!$I$2:$I$20000)&gt;0)*1),"")))</f>
        <v/>
      </c>
      <c r="T500" t="str">
        <f>IF(S500="","",IF(S500="[FÓRMULA MANUAL]","",IFERROR(AVERAGEIFS(DATOS!$K$2:$K$20000,DATOS!$A$2:$A$20000,S500,DATOS!$G$2:$G$20000,CONFIG_METADATA!$B$4,DATOS!$I$2:$I$20000,"Armonía"),"")))</f>
        <v/>
      </c>
      <c r="U500" t="str">
        <f>IF(S500="","",IF(S500="[FÓRMULA MANUAL]","",IFERROR(AVERAGEIFS(DATOS!$K$2:$K$20000,DATOS!$A$2:$A$20000,S500,DATOS!$G$2:$G$20000,CONFIG_METADATA!$B$4,DATOS!$I$2:$I$20000,"Orquesta/Banda/Conjunto"),"")))</f>
        <v/>
      </c>
      <c r="V500" t="str">
        <f>IF(S500="","",IF(S500="[FÓRMULA MANUAL]","",IFERROR(AVERAGEIFS(DATOS!$K$2:$K$20000,DATOS!$A$2:$A$20000,S500,DATOS!$G$2:$G$20000,CONFIG_METADATA!$B$4,DATOS!$I$2:$I$20000,"Música de Cámara"),"")))</f>
        <v/>
      </c>
      <c r="W500" t="str">
        <f>IF(S500="","",IF(S500="[FÓRMULA MANUAL]","",IFERROR(SUMPRODUCT((DATOS!$A$2:$A$20000=S500)*(DATOS!$G$2:$G$20000=CONFIG_METADATA!$B$4)*(COUNTIF(CONFIG_ASIGNATURAS!$B$7:$B$27,DATOS!$I$2:$I$20000)&gt;0)*(DATOS!$K$2:$K$20000))/SUMPRODUCT((DATOS!$A$2:$A$20000=S500)*(DATOS!$G$2:$G$20000=CONFIG_METADATA!$B$4)*(COUNTIF(CONFIG_ASIGNATURAS!$B$7:$B$27,DATOS!$I$2:$I$20000)&gt;0)*1),"")))</f>
        <v/>
      </c>
      <c r="Z500" t="str">
        <f>IF(Y500="","",IF(Y500="[FÓRMULA MANUAL]","",IFERROR(AVERAGEIFS(DATOS!$K$2:$K$20000,DATOS!$A$2:$A$20000,Y500,DATOS!$G$2:$G$20000,CONFIG_METADATA!$B$4,DATOS!$I$2:$I$20000,"Análisis"),"")))</f>
        <v/>
      </c>
      <c r="AA500" t="str">
        <f>IF(Y500="","",IF(Y500="[FÓRMULA MANUAL]","",IFERROR(AVERAGEIFS(DATOS!$K$2:$K$20000,DATOS!$A$2:$A$20000,Y500,DATOS!$G$2:$G$20000,CONFIG_METADATA!$B$4,DATOS!$I$2:$I$20000,"Orquesta/Banda/Conjunto"),"")))</f>
        <v/>
      </c>
      <c r="AB500" t="str">
        <f>IF(Y500="","",IF(Y500="[FÓRMULA MANUAL]","",IFERROR(AVERAGEIFS(DATOS!$K$2:$K$20000,DATOS!$A$2:$A$20000,Y500,DATOS!$G$2:$G$20000,CONFIG_METADATA!$B$4,DATOS!$I$2:$I$20000,"Música de Cámara"),"")))</f>
        <v/>
      </c>
      <c r="AC500" t="str">
        <f>IF(Y500="","",IF(Y500="[FÓRMULA MANUAL]","",IFERROR(SUMPRODUCT((DATOS!$A$2:$A$20000=Y500)*(DATOS!$G$2:$G$20000=CONFIG_METADATA!$B$4)*(COUNTIF(CONFIG_ASIGNATURAS!$B$7:$B$27,DATOS!$I$2:$I$20000)&gt;0)*(DATOS!$K$2:$K$20000))/SUMPRODUCT((DATOS!$A$2:$A$20000=Y500)*(DATOS!$G$2:$G$20000=CONFIG_METADATA!$B$4)*(COUNTIF(CONFIG_ASIGNATURAS!$B$7:$B$27,DATOS!$I$2:$I$20000)&gt;0)*1),"")))</f>
        <v/>
      </c>
      <c r="AF500" t="str">
        <f>IF(AE500="","",IF(AE500="[FÓRMULA MANUAL]","",IFERROR(AVERAGEIFS(DATOS!$K$2:$K$20000,DATOS!$A$2:$A$20000,AE500,DATOS!$G$2:$G$20000,CONFIG_METADATA!$B$4,DATOS!$I$2:$I$20000,"Análisis"),"")))</f>
        <v/>
      </c>
      <c r="AG500" t="str">
        <f>IF(AE500="","",IF(AE500="[FÓRMULA MANUAL]","",IFERROR(AVERAGEIFS(DATOS!$K$2:$K$20000,DATOS!$A$2:$A$20000,AE500,DATOS!$G$2:$G$20000,CONFIG_METADATA!$B$4,DATOS!$I$2:$I$20000,"Orquesta/Banda/Conjunto"),"")))</f>
        <v/>
      </c>
      <c r="AH500" t="str">
        <f>IF(AE500="","",IF(AE500="[FÓRMULA MANUAL]","",IFERROR(AVERAGEIFS(DATOS!$K$2:$K$20000,DATOS!$A$2:$A$20000,AE500,DATOS!$G$2:$G$20000,CONFIG_METADATA!$B$4,DATOS!$I$2:$I$20000,"Música de Cámara"),"")))</f>
        <v/>
      </c>
      <c r="AI500" t="str">
        <f>IF(AE500="","",IF(AE500="[FÓRMULA MANUAL]","",IFERROR(SUMPRODUCT((DATOS!$A$2:$A$20000=AE500)*(DATOS!$G$2:$G$20000=CONFIG_METADATA!$B$4)*(COUNTIF(CONFIG_ASIGNATURAS!$B$7:$B$27,DATOS!$I$2:$I$20000)&gt;0)*(DATOS!$K$2:$K$20000))/SUMPRODUCT((DATOS!$A$2:$A$20000=AE500)*(DATOS!$G$2:$G$20000=CONFIG_METADATA!$B$4)*(COUNTIF(CONFIG_ASIGNATURAS!$B$7:$B$27,DATOS!$I$2:$I$20000)&gt;0)*1),"")))</f>
        <v/>
      </c>
    </row>
    <row r="501" spans="2:35" x14ac:dyDescent="0.2">
      <c r="B501" t="str">
        <f>IF(A501="","",IF(A501="[FÓRMULA MANUAL]","",IFERROR(AVERAGEIFS(DATOS!$K$2:$K$20000,DATOS!$A$2:$A$20000,A501,DATOS!$G$2:$G$20000,CONFIG_METADATA!$B$4,DATOS!$I$2:$I$20000,"Lenguaje Musical"),"")))</f>
        <v/>
      </c>
      <c r="C501" t="str">
        <f>IF(A501="","",IF(A501="[FÓRMULA MANUAL]","",IFERROR(AVERAGEIFS(DATOS!$K$2:$K$20000,DATOS!$A$2:$A$20000,A501,DATOS!$G$2:$G$20000,CONFIG_METADATA!$B$4,DATOS!$I$2:$I$20000,"Orquesta/Banda/Conjunto"),"")))</f>
        <v/>
      </c>
      <c r="D501" t="str">
        <f>IF(A501="","",IF(A501="[FÓRMULA MANUAL]","",IFERROR(AVERAGEIFS(DATOS!$K$2:$K$20000,DATOS!$A$2:$A$20000,A501,DATOS!$G$2:$G$20000,CONFIG_METADATA!$B$4,DATOS!$I$2:$I$20000,"Conjunto"),"")))</f>
        <v/>
      </c>
      <c r="E501" t="str">
        <f>IF(A501="","",IF(A501="[FÓRMULA MANUAL]","",IFERROR(SUMPRODUCT((DATOS!$A$2:$A$20000=A501)*(DATOS!$G$2:$G$20000=CONFIG_METADATA!$B$4)*(COUNTIF(CONFIG_ASIGNATURAS!$B$7:$B$27,DATOS!$I$2:$I$20000)&gt;0)*(DATOS!$K$2:$K$20000))/SUMPRODUCT((DATOS!$A$2:$A$20000=A501)*(DATOS!$G$2:$G$20000=CONFIG_METADATA!$B$4)*(COUNTIF(CONFIG_ASIGNATURAS!$B$7:$B$27,DATOS!$I$2:$I$20000)&gt;0)*1),"")))</f>
        <v/>
      </c>
      <c r="H501" t="str">
        <f>IF(G501="","",IF(G501="[FÓRMULA MANUAL]","",IFERROR(AVERAGEIFS(DATOS!$K$2:$K$20000,DATOS!$A$2:$A$20000,G501,DATOS!$G$2:$G$20000,CONFIG_METADATA!$B$4,DATOS!$I$2:$I$20000,"Lenguaje Musical"),"")))</f>
        <v/>
      </c>
      <c r="I501" t="str">
        <f>IF(G501="","",IF(G501="[FÓRMULA MANUAL]","",IFERROR(AVERAGEIFS(DATOS!$K$2:$K$20000,DATOS!$A$2:$A$20000,G501,DATOS!$G$2:$G$20000,CONFIG_METADATA!$B$4,DATOS!$I$2:$I$20000,"Orquesta/Banda/Conjunto"),"")))</f>
        <v/>
      </c>
      <c r="J501" t="str">
        <f>IF(G501="","",IF(G501="[FÓRMULA MANUAL]","",IFERROR(AVERAGEIFS(DATOS!$K$2:$K$20000,DATOS!$A$2:$A$20000,G501,DATOS!$G$2:$G$20000,CONFIG_METADATA!$B$4,DATOS!$I$2:$I$20000,"Conjunto"),"")))</f>
        <v/>
      </c>
      <c r="K501" t="str">
        <f>IF(G501="","",IF(G501="[FÓRMULA MANUAL]","",IFERROR(SUMPRODUCT((DATOS!$A$2:$A$20000=G501)*(DATOS!$G$2:$G$20000=CONFIG_METADATA!$B$4)*(COUNTIF(CONFIG_ASIGNATURAS!$B$7:$B$27,DATOS!$I$2:$I$20000)&gt;0)*(DATOS!$K$2:$K$20000))/SUMPRODUCT((DATOS!$A$2:$A$20000=G501)*(DATOS!$G$2:$G$20000=CONFIG_METADATA!$B$4)*(COUNTIF(CONFIG_ASIGNATURAS!$B$7:$B$27,DATOS!$I$2:$I$20000)&gt;0)*1),"")))</f>
        <v/>
      </c>
      <c r="N501" t="str">
        <f>IF(M501="","",IF(M501="[FÓRMULA MANUAL]","",IFERROR(AVERAGEIFS(DATOS!$K$2:$K$20000,DATOS!$A$2:$A$20000,M501,DATOS!$G$2:$G$20000,CONFIG_METADATA!$B$4,DATOS!$I$2:$I$20000,"Armonía"),"")))</f>
        <v/>
      </c>
      <c r="O501" t="str">
        <f>IF(M501="","",IF(M501="[FÓRMULA MANUAL]","",IFERROR(AVERAGEIFS(DATOS!$K$2:$K$20000,DATOS!$A$2:$A$20000,M501,DATOS!$G$2:$G$20000,CONFIG_METADATA!$B$4,DATOS!$I$2:$I$20000,"Orquesta/Banda/Conjunto"),"")))</f>
        <v/>
      </c>
      <c r="P501" t="str">
        <f>IF(M501="","",IF(M501="[FÓRMULA MANUAL]","",IFERROR(AVERAGEIFS(DATOS!$K$2:$K$20000,DATOS!$A$2:$A$20000,M501,DATOS!$G$2:$G$20000,CONFIG_METADATA!$B$4,DATOS!$I$2:$I$20000,"Música de Cámara"),"")))</f>
        <v/>
      </c>
      <c r="Q501" t="str">
        <f>IF(M501="","",IF(M501="[FÓRMULA MANUAL]","",IFERROR(SUMPRODUCT((DATOS!$A$2:$A$20000=M501)*(DATOS!$G$2:$G$20000=CONFIG_METADATA!$B$4)*(COUNTIF(CONFIG_ASIGNATURAS!$B$7:$B$27,DATOS!$I$2:$I$20000)&gt;0)*(DATOS!$K$2:$K$20000))/SUMPRODUCT((DATOS!$A$2:$A$20000=M501)*(DATOS!$G$2:$G$20000=CONFIG_METADATA!$B$4)*(COUNTIF(CONFIG_ASIGNATURAS!$B$7:$B$27,DATOS!$I$2:$I$20000)&gt;0)*1),"")))</f>
        <v/>
      </c>
      <c r="T501" t="str">
        <f>IF(S501="","",IF(S501="[FÓRMULA MANUAL]","",IFERROR(AVERAGEIFS(DATOS!$K$2:$K$20000,DATOS!$A$2:$A$20000,S501,DATOS!$G$2:$G$20000,CONFIG_METADATA!$B$4,DATOS!$I$2:$I$20000,"Armonía"),"")))</f>
        <v/>
      </c>
      <c r="U501" t="str">
        <f>IF(S501="","",IF(S501="[FÓRMULA MANUAL]","",IFERROR(AVERAGEIFS(DATOS!$K$2:$K$20000,DATOS!$A$2:$A$20000,S501,DATOS!$G$2:$G$20000,CONFIG_METADATA!$B$4,DATOS!$I$2:$I$20000,"Orquesta/Banda/Conjunto"),"")))</f>
        <v/>
      </c>
      <c r="V501" t="str">
        <f>IF(S501="","",IF(S501="[FÓRMULA MANUAL]","",IFERROR(AVERAGEIFS(DATOS!$K$2:$K$20000,DATOS!$A$2:$A$20000,S501,DATOS!$G$2:$G$20000,CONFIG_METADATA!$B$4,DATOS!$I$2:$I$20000,"Música de Cámara"),"")))</f>
        <v/>
      </c>
      <c r="W501" t="str">
        <f>IF(S501="","",IF(S501="[FÓRMULA MANUAL]","",IFERROR(SUMPRODUCT((DATOS!$A$2:$A$20000=S501)*(DATOS!$G$2:$G$20000=CONFIG_METADATA!$B$4)*(COUNTIF(CONFIG_ASIGNATURAS!$B$7:$B$27,DATOS!$I$2:$I$20000)&gt;0)*(DATOS!$K$2:$K$20000))/SUMPRODUCT((DATOS!$A$2:$A$20000=S501)*(DATOS!$G$2:$G$20000=CONFIG_METADATA!$B$4)*(COUNTIF(CONFIG_ASIGNATURAS!$B$7:$B$27,DATOS!$I$2:$I$20000)&gt;0)*1),"")))</f>
        <v/>
      </c>
      <c r="Z501" t="str">
        <f>IF(Y501="","",IF(Y501="[FÓRMULA MANUAL]","",IFERROR(AVERAGEIFS(DATOS!$K$2:$K$20000,DATOS!$A$2:$A$20000,Y501,DATOS!$G$2:$G$20000,CONFIG_METADATA!$B$4,DATOS!$I$2:$I$20000,"Análisis"),"")))</f>
        <v/>
      </c>
      <c r="AA501" t="str">
        <f>IF(Y501="","",IF(Y501="[FÓRMULA MANUAL]","",IFERROR(AVERAGEIFS(DATOS!$K$2:$K$20000,DATOS!$A$2:$A$20000,Y501,DATOS!$G$2:$G$20000,CONFIG_METADATA!$B$4,DATOS!$I$2:$I$20000,"Orquesta/Banda/Conjunto"),"")))</f>
        <v/>
      </c>
      <c r="AB501" t="str">
        <f>IF(Y501="","",IF(Y501="[FÓRMULA MANUAL]","",IFERROR(AVERAGEIFS(DATOS!$K$2:$K$20000,DATOS!$A$2:$A$20000,Y501,DATOS!$G$2:$G$20000,CONFIG_METADATA!$B$4,DATOS!$I$2:$I$20000,"Música de Cámara"),"")))</f>
        <v/>
      </c>
      <c r="AC501" t="str">
        <f>IF(Y501="","",IF(Y501="[FÓRMULA MANUAL]","",IFERROR(SUMPRODUCT((DATOS!$A$2:$A$20000=Y501)*(DATOS!$G$2:$G$20000=CONFIG_METADATA!$B$4)*(COUNTIF(CONFIG_ASIGNATURAS!$B$7:$B$27,DATOS!$I$2:$I$20000)&gt;0)*(DATOS!$K$2:$K$20000))/SUMPRODUCT((DATOS!$A$2:$A$20000=Y501)*(DATOS!$G$2:$G$20000=CONFIG_METADATA!$B$4)*(COUNTIF(CONFIG_ASIGNATURAS!$B$7:$B$27,DATOS!$I$2:$I$20000)&gt;0)*1),"")))</f>
        <v/>
      </c>
      <c r="AF501" t="str">
        <f>IF(AE501="","",IF(AE501="[FÓRMULA MANUAL]","",IFERROR(AVERAGEIFS(DATOS!$K$2:$K$20000,DATOS!$A$2:$A$20000,AE501,DATOS!$G$2:$G$20000,CONFIG_METADATA!$B$4,DATOS!$I$2:$I$20000,"Análisis"),"")))</f>
        <v/>
      </c>
      <c r="AG501" t="str">
        <f>IF(AE501="","",IF(AE501="[FÓRMULA MANUAL]","",IFERROR(AVERAGEIFS(DATOS!$K$2:$K$20000,DATOS!$A$2:$A$20000,AE501,DATOS!$G$2:$G$20000,CONFIG_METADATA!$B$4,DATOS!$I$2:$I$20000,"Orquesta/Banda/Conjunto"),"")))</f>
        <v/>
      </c>
      <c r="AH501" t="str">
        <f>IF(AE501="","",IF(AE501="[FÓRMULA MANUAL]","",IFERROR(AVERAGEIFS(DATOS!$K$2:$K$20000,DATOS!$A$2:$A$20000,AE501,DATOS!$G$2:$G$20000,CONFIG_METADATA!$B$4,DATOS!$I$2:$I$20000,"Música de Cámara"),"")))</f>
        <v/>
      </c>
      <c r="AI501" t="str">
        <f>IF(AE501="","",IF(AE501="[FÓRMULA MANUAL]","",IFERROR(SUMPRODUCT((DATOS!$A$2:$A$20000=AE501)*(DATOS!$G$2:$G$20000=CONFIG_METADATA!$B$4)*(COUNTIF(CONFIG_ASIGNATURAS!$B$7:$B$27,DATOS!$I$2:$I$20000)&gt;0)*(DATOS!$K$2:$K$20000))/SUMPRODUCT((DATOS!$A$2:$A$20000=AE501)*(DATOS!$G$2:$G$20000=CONFIG_METADATA!$B$4)*(COUNTIF(CONFIG_ASIGNATURAS!$B$7:$B$27,DATOS!$I$2:$I$20000)&gt;0)*1),"")))</f>
        <v/>
      </c>
    </row>
    <row r="502" spans="2:35" x14ac:dyDescent="0.2">
      <c r="B502" t="str">
        <f>IF(A502="","",IF(A502="[FÓRMULA MANUAL]","",IFERROR(AVERAGEIFS(DATOS!$K$2:$K$20000,DATOS!$A$2:$A$20000,A502,DATOS!$G$2:$G$20000,CONFIG_METADATA!$B$4,DATOS!$I$2:$I$20000,"Lenguaje Musical"),"")))</f>
        <v/>
      </c>
      <c r="C502" t="str">
        <f>IF(A502="","",IF(A502="[FÓRMULA MANUAL]","",IFERROR(AVERAGEIFS(DATOS!$K$2:$K$20000,DATOS!$A$2:$A$20000,A502,DATOS!$G$2:$G$20000,CONFIG_METADATA!$B$4,DATOS!$I$2:$I$20000,"Orquesta/Banda/Conjunto"),"")))</f>
        <v/>
      </c>
      <c r="D502" t="str">
        <f>IF(A502="","",IF(A502="[FÓRMULA MANUAL]","",IFERROR(AVERAGEIFS(DATOS!$K$2:$K$20000,DATOS!$A$2:$A$20000,A502,DATOS!$G$2:$G$20000,CONFIG_METADATA!$B$4,DATOS!$I$2:$I$20000,"Conjunto"),"")))</f>
        <v/>
      </c>
      <c r="E502" t="str">
        <f>IF(A502="","",IF(A502="[FÓRMULA MANUAL]","",IFERROR(SUMPRODUCT((DATOS!$A$2:$A$20000=A502)*(DATOS!$G$2:$G$20000=CONFIG_METADATA!$B$4)*(COUNTIF(CONFIG_ASIGNATURAS!$B$7:$B$27,DATOS!$I$2:$I$20000)&gt;0)*(DATOS!$K$2:$K$20000))/SUMPRODUCT((DATOS!$A$2:$A$20000=A502)*(DATOS!$G$2:$G$20000=CONFIG_METADATA!$B$4)*(COUNTIF(CONFIG_ASIGNATURAS!$B$7:$B$27,DATOS!$I$2:$I$20000)&gt;0)*1),"")))</f>
        <v/>
      </c>
      <c r="H502" t="str">
        <f>IF(G502="","",IF(G502="[FÓRMULA MANUAL]","",IFERROR(AVERAGEIFS(DATOS!$K$2:$K$20000,DATOS!$A$2:$A$20000,G502,DATOS!$G$2:$G$20000,CONFIG_METADATA!$B$4,DATOS!$I$2:$I$20000,"Lenguaje Musical"),"")))</f>
        <v/>
      </c>
      <c r="I502" t="str">
        <f>IF(G502="","",IF(G502="[FÓRMULA MANUAL]","",IFERROR(AVERAGEIFS(DATOS!$K$2:$K$20000,DATOS!$A$2:$A$20000,G502,DATOS!$G$2:$G$20000,CONFIG_METADATA!$B$4,DATOS!$I$2:$I$20000,"Orquesta/Banda/Conjunto"),"")))</f>
        <v/>
      </c>
      <c r="J502" t="str">
        <f>IF(G502="","",IF(G502="[FÓRMULA MANUAL]","",IFERROR(AVERAGEIFS(DATOS!$K$2:$K$20000,DATOS!$A$2:$A$20000,G502,DATOS!$G$2:$G$20000,CONFIG_METADATA!$B$4,DATOS!$I$2:$I$20000,"Conjunto"),"")))</f>
        <v/>
      </c>
      <c r="K502" t="str">
        <f>IF(G502="","",IF(G502="[FÓRMULA MANUAL]","",IFERROR(SUMPRODUCT((DATOS!$A$2:$A$20000=G502)*(DATOS!$G$2:$G$20000=CONFIG_METADATA!$B$4)*(COUNTIF(CONFIG_ASIGNATURAS!$B$7:$B$27,DATOS!$I$2:$I$20000)&gt;0)*(DATOS!$K$2:$K$20000))/SUMPRODUCT((DATOS!$A$2:$A$20000=G502)*(DATOS!$G$2:$G$20000=CONFIG_METADATA!$B$4)*(COUNTIF(CONFIG_ASIGNATURAS!$B$7:$B$27,DATOS!$I$2:$I$20000)&gt;0)*1),"")))</f>
        <v/>
      </c>
      <c r="N502" t="str">
        <f>IF(M502="","",IF(M502="[FÓRMULA MANUAL]","",IFERROR(AVERAGEIFS(DATOS!$K$2:$K$20000,DATOS!$A$2:$A$20000,M502,DATOS!$G$2:$G$20000,CONFIG_METADATA!$B$4,DATOS!$I$2:$I$20000,"Armonía"),"")))</f>
        <v/>
      </c>
      <c r="O502" t="str">
        <f>IF(M502="","",IF(M502="[FÓRMULA MANUAL]","",IFERROR(AVERAGEIFS(DATOS!$K$2:$K$20000,DATOS!$A$2:$A$20000,M502,DATOS!$G$2:$G$20000,CONFIG_METADATA!$B$4,DATOS!$I$2:$I$20000,"Orquesta/Banda/Conjunto"),"")))</f>
        <v/>
      </c>
      <c r="P502" t="str">
        <f>IF(M502="","",IF(M502="[FÓRMULA MANUAL]","",IFERROR(AVERAGEIFS(DATOS!$K$2:$K$20000,DATOS!$A$2:$A$20000,M502,DATOS!$G$2:$G$20000,CONFIG_METADATA!$B$4,DATOS!$I$2:$I$20000,"Música de Cámara"),"")))</f>
        <v/>
      </c>
      <c r="Q502" t="str">
        <f>IF(M502="","",IF(M502="[FÓRMULA MANUAL]","",IFERROR(SUMPRODUCT((DATOS!$A$2:$A$20000=M502)*(DATOS!$G$2:$G$20000=CONFIG_METADATA!$B$4)*(COUNTIF(CONFIG_ASIGNATURAS!$B$7:$B$27,DATOS!$I$2:$I$20000)&gt;0)*(DATOS!$K$2:$K$20000))/SUMPRODUCT((DATOS!$A$2:$A$20000=M502)*(DATOS!$G$2:$G$20000=CONFIG_METADATA!$B$4)*(COUNTIF(CONFIG_ASIGNATURAS!$B$7:$B$27,DATOS!$I$2:$I$20000)&gt;0)*1),"")))</f>
        <v/>
      </c>
      <c r="T502" t="str">
        <f>IF(S502="","",IF(S502="[FÓRMULA MANUAL]","",IFERROR(AVERAGEIFS(DATOS!$K$2:$K$20000,DATOS!$A$2:$A$20000,S502,DATOS!$G$2:$G$20000,CONFIG_METADATA!$B$4,DATOS!$I$2:$I$20000,"Armonía"),"")))</f>
        <v/>
      </c>
      <c r="U502" t="str">
        <f>IF(S502="","",IF(S502="[FÓRMULA MANUAL]","",IFERROR(AVERAGEIFS(DATOS!$K$2:$K$20000,DATOS!$A$2:$A$20000,S502,DATOS!$G$2:$G$20000,CONFIG_METADATA!$B$4,DATOS!$I$2:$I$20000,"Orquesta/Banda/Conjunto"),"")))</f>
        <v/>
      </c>
      <c r="V502" t="str">
        <f>IF(S502="","",IF(S502="[FÓRMULA MANUAL]","",IFERROR(AVERAGEIFS(DATOS!$K$2:$K$20000,DATOS!$A$2:$A$20000,S502,DATOS!$G$2:$G$20000,CONFIG_METADATA!$B$4,DATOS!$I$2:$I$20000,"Música de Cámara"),"")))</f>
        <v/>
      </c>
      <c r="W502" t="str">
        <f>IF(S502="","",IF(S502="[FÓRMULA MANUAL]","",IFERROR(SUMPRODUCT((DATOS!$A$2:$A$20000=S502)*(DATOS!$G$2:$G$20000=CONFIG_METADATA!$B$4)*(COUNTIF(CONFIG_ASIGNATURAS!$B$7:$B$27,DATOS!$I$2:$I$20000)&gt;0)*(DATOS!$K$2:$K$20000))/SUMPRODUCT((DATOS!$A$2:$A$20000=S502)*(DATOS!$G$2:$G$20000=CONFIG_METADATA!$B$4)*(COUNTIF(CONFIG_ASIGNATURAS!$B$7:$B$27,DATOS!$I$2:$I$20000)&gt;0)*1),"")))</f>
        <v/>
      </c>
      <c r="Z502" t="str">
        <f>IF(Y502="","",IF(Y502="[FÓRMULA MANUAL]","",IFERROR(AVERAGEIFS(DATOS!$K$2:$K$20000,DATOS!$A$2:$A$20000,Y502,DATOS!$G$2:$G$20000,CONFIG_METADATA!$B$4,DATOS!$I$2:$I$20000,"Análisis"),"")))</f>
        <v/>
      </c>
      <c r="AA502" t="str">
        <f>IF(Y502="","",IF(Y502="[FÓRMULA MANUAL]","",IFERROR(AVERAGEIFS(DATOS!$K$2:$K$20000,DATOS!$A$2:$A$20000,Y502,DATOS!$G$2:$G$20000,CONFIG_METADATA!$B$4,DATOS!$I$2:$I$20000,"Orquesta/Banda/Conjunto"),"")))</f>
        <v/>
      </c>
      <c r="AB502" t="str">
        <f>IF(Y502="","",IF(Y502="[FÓRMULA MANUAL]","",IFERROR(AVERAGEIFS(DATOS!$K$2:$K$20000,DATOS!$A$2:$A$20000,Y502,DATOS!$G$2:$G$20000,CONFIG_METADATA!$B$4,DATOS!$I$2:$I$20000,"Música de Cámara"),"")))</f>
        <v/>
      </c>
      <c r="AC502" t="str">
        <f>IF(Y502="","",IF(Y502="[FÓRMULA MANUAL]","",IFERROR(SUMPRODUCT((DATOS!$A$2:$A$20000=Y502)*(DATOS!$G$2:$G$20000=CONFIG_METADATA!$B$4)*(COUNTIF(CONFIG_ASIGNATURAS!$B$7:$B$27,DATOS!$I$2:$I$20000)&gt;0)*(DATOS!$K$2:$K$20000))/SUMPRODUCT((DATOS!$A$2:$A$20000=Y502)*(DATOS!$G$2:$G$20000=CONFIG_METADATA!$B$4)*(COUNTIF(CONFIG_ASIGNATURAS!$B$7:$B$27,DATOS!$I$2:$I$20000)&gt;0)*1),"")))</f>
        <v/>
      </c>
      <c r="AF502" t="str">
        <f>IF(AE502="","",IF(AE502="[FÓRMULA MANUAL]","",IFERROR(AVERAGEIFS(DATOS!$K$2:$K$20000,DATOS!$A$2:$A$20000,AE502,DATOS!$G$2:$G$20000,CONFIG_METADATA!$B$4,DATOS!$I$2:$I$20000,"Análisis"),"")))</f>
        <v/>
      </c>
      <c r="AG502" t="str">
        <f>IF(AE502="","",IF(AE502="[FÓRMULA MANUAL]","",IFERROR(AVERAGEIFS(DATOS!$K$2:$K$20000,DATOS!$A$2:$A$20000,AE502,DATOS!$G$2:$G$20000,CONFIG_METADATA!$B$4,DATOS!$I$2:$I$20000,"Orquesta/Banda/Conjunto"),"")))</f>
        <v/>
      </c>
      <c r="AH502" t="str">
        <f>IF(AE502="","",IF(AE502="[FÓRMULA MANUAL]","",IFERROR(AVERAGEIFS(DATOS!$K$2:$K$20000,DATOS!$A$2:$A$20000,AE502,DATOS!$G$2:$G$20000,CONFIG_METADATA!$B$4,DATOS!$I$2:$I$20000,"Música de Cámara"),"")))</f>
        <v/>
      </c>
      <c r="AI502" t="str">
        <f>IF(AE502="","",IF(AE502="[FÓRMULA MANUAL]","",IFERROR(SUMPRODUCT((DATOS!$A$2:$A$20000=AE502)*(DATOS!$G$2:$G$20000=CONFIG_METADATA!$B$4)*(COUNTIF(CONFIG_ASIGNATURAS!$B$7:$B$27,DATOS!$I$2:$I$20000)&gt;0)*(DATOS!$K$2:$K$20000))/SUMPRODUCT((DATOS!$A$2:$A$20000=AE502)*(DATOS!$G$2:$G$20000=CONFIG_METADATA!$B$4)*(COUNTIF(CONFIG_ASIGNATURAS!$B$7:$B$27,DATOS!$I$2:$I$20000)&gt;0)*1),"")))</f>
        <v/>
      </c>
    </row>
    <row r="503" spans="2:35" x14ac:dyDescent="0.2">
      <c r="B503" t="str">
        <f>IF(A503="","",IF(A503="[FÓRMULA MANUAL]","",IFERROR(AVERAGEIFS(DATOS!$K$2:$K$20000,DATOS!$A$2:$A$20000,A503,DATOS!$G$2:$G$20000,CONFIG_METADATA!$B$4,DATOS!$I$2:$I$20000,"Lenguaje Musical"),"")))</f>
        <v/>
      </c>
      <c r="C503" t="str">
        <f>IF(A503="","",IF(A503="[FÓRMULA MANUAL]","",IFERROR(AVERAGEIFS(DATOS!$K$2:$K$20000,DATOS!$A$2:$A$20000,A503,DATOS!$G$2:$G$20000,CONFIG_METADATA!$B$4,DATOS!$I$2:$I$20000,"Orquesta/Banda/Conjunto"),"")))</f>
        <v/>
      </c>
      <c r="D503" t="str">
        <f>IF(A503="","",IF(A503="[FÓRMULA MANUAL]","",IFERROR(AVERAGEIFS(DATOS!$K$2:$K$20000,DATOS!$A$2:$A$20000,A503,DATOS!$G$2:$G$20000,CONFIG_METADATA!$B$4,DATOS!$I$2:$I$20000,"Conjunto"),"")))</f>
        <v/>
      </c>
      <c r="E503" t="str">
        <f>IF(A503="","",IF(A503="[FÓRMULA MANUAL]","",IFERROR(SUMPRODUCT((DATOS!$A$2:$A$20000=A503)*(DATOS!$G$2:$G$20000=CONFIG_METADATA!$B$4)*(COUNTIF(CONFIG_ASIGNATURAS!$B$7:$B$27,DATOS!$I$2:$I$20000)&gt;0)*(DATOS!$K$2:$K$20000))/SUMPRODUCT((DATOS!$A$2:$A$20000=A503)*(DATOS!$G$2:$G$20000=CONFIG_METADATA!$B$4)*(COUNTIF(CONFIG_ASIGNATURAS!$B$7:$B$27,DATOS!$I$2:$I$20000)&gt;0)*1),"")))</f>
        <v/>
      </c>
      <c r="H503" t="str">
        <f>IF(G503="","",IF(G503="[FÓRMULA MANUAL]","",IFERROR(AVERAGEIFS(DATOS!$K$2:$K$20000,DATOS!$A$2:$A$20000,G503,DATOS!$G$2:$G$20000,CONFIG_METADATA!$B$4,DATOS!$I$2:$I$20000,"Lenguaje Musical"),"")))</f>
        <v/>
      </c>
      <c r="I503" t="str">
        <f>IF(G503="","",IF(G503="[FÓRMULA MANUAL]","",IFERROR(AVERAGEIFS(DATOS!$K$2:$K$20000,DATOS!$A$2:$A$20000,G503,DATOS!$G$2:$G$20000,CONFIG_METADATA!$B$4,DATOS!$I$2:$I$20000,"Orquesta/Banda/Conjunto"),"")))</f>
        <v/>
      </c>
      <c r="J503" t="str">
        <f>IF(G503="","",IF(G503="[FÓRMULA MANUAL]","",IFERROR(AVERAGEIFS(DATOS!$K$2:$K$20000,DATOS!$A$2:$A$20000,G503,DATOS!$G$2:$G$20000,CONFIG_METADATA!$B$4,DATOS!$I$2:$I$20000,"Conjunto"),"")))</f>
        <v/>
      </c>
      <c r="K503" t="str">
        <f>IF(G503="","",IF(G503="[FÓRMULA MANUAL]","",IFERROR(SUMPRODUCT((DATOS!$A$2:$A$20000=G503)*(DATOS!$G$2:$G$20000=CONFIG_METADATA!$B$4)*(COUNTIF(CONFIG_ASIGNATURAS!$B$7:$B$27,DATOS!$I$2:$I$20000)&gt;0)*(DATOS!$K$2:$K$20000))/SUMPRODUCT((DATOS!$A$2:$A$20000=G503)*(DATOS!$G$2:$G$20000=CONFIG_METADATA!$B$4)*(COUNTIF(CONFIG_ASIGNATURAS!$B$7:$B$27,DATOS!$I$2:$I$20000)&gt;0)*1),"")))</f>
        <v/>
      </c>
      <c r="N503" t="str">
        <f>IF(M503="","",IF(M503="[FÓRMULA MANUAL]","",IFERROR(AVERAGEIFS(DATOS!$K$2:$K$20000,DATOS!$A$2:$A$20000,M503,DATOS!$G$2:$G$20000,CONFIG_METADATA!$B$4,DATOS!$I$2:$I$20000,"Armonía"),"")))</f>
        <v/>
      </c>
      <c r="O503" t="str">
        <f>IF(M503="","",IF(M503="[FÓRMULA MANUAL]","",IFERROR(AVERAGEIFS(DATOS!$K$2:$K$20000,DATOS!$A$2:$A$20000,M503,DATOS!$G$2:$G$20000,CONFIG_METADATA!$B$4,DATOS!$I$2:$I$20000,"Orquesta/Banda/Conjunto"),"")))</f>
        <v/>
      </c>
      <c r="P503" t="str">
        <f>IF(M503="","",IF(M503="[FÓRMULA MANUAL]","",IFERROR(AVERAGEIFS(DATOS!$K$2:$K$20000,DATOS!$A$2:$A$20000,M503,DATOS!$G$2:$G$20000,CONFIG_METADATA!$B$4,DATOS!$I$2:$I$20000,"Música de Cámara"),"")))</f>
        <v/>
      </c>
      <c r="Q503" t="str">
        <f>IF(M503="","",IF(M503="[FÓRMULA MANUAL]","",IFERROR(SUMPRODUCT((DATOS!$A$2:$A$20000=M503)*(DATOS!$G$2:$G$20000=CONFIG_METADATA!$B$4)*(COUNTIF(CONFIG_ASIGNATURAS!$B$7:$B$27,DATOS!$I$2:$I$20000)&gt;0)*(DATOS!$K$2:$K$20000))/SUMPRODUCT((DATOS!$A$2:$A$20000=M503)*(DATOS!$G$2:$G$20000=CONFIG_METADATA!$B$4)*(COUNTIF(CONFIG_ASIGNATURAS!$B$7:$B$27,DATOS!$I$2:$I$20000)&gt;0)*1),"")))</f>
        <v/>
      </c>
      <c r="T503" t="str">
        <f>IF(S503="","",IF(S503="[FÓRMULA MANUAL]","",IFERROR(AVERAGEIFS(DATOS!$K$2:$K$20000,DATOS!$A$2:$A$20000,S503,DATOS!$G$2:$G$20000,CONFIG_METADATA!$B$4,DATOS!$I$2:$I$20000,"Armonía"),"")))</f>
        <v/>
      </c>
      <c r="U503" t="str">
        <f>IF(S503="","",IF(S503="[FÓRMULA MANUAL]","",IFERROR(AVERAGEIFS(DATOS!$K$2:$K$20000,DATOS!$A$2:$A$20000,S503,DATOS!$G$2:$G$20000,CONFIG_METADATA!$B$4,DATOS!$I$2:$I$20000,"Orquesta/Banda/Conjunto"),"")))</f>
        <v/>
      </c>
      <c r="V503" t="str">
        <f>IF(S503="","",IF(S503="[FÓRMULA MANUAL]","",IFERROR(AVERAGEIFS(DATOS!$K$2:$K$20000,DATOS!$A$2:$A$20000,S503,DATOS!$G$2:$G$20000,CONFIG_METADATA!$B$4,DATOS!$I$2:$I$20000,"Música de Cámara"),"")))</f>
        <v/>
      </c>
      <c r="W503" t="str">
        <f>IF(S503="","",IF(S503="[FÓRMULA MANUAL]","",IFERROR(SUMPRODUCT((DATOS!$A$2:$A$20000=S503)*(DATOS!$G$2:$G$20000=CONFIG_METADATA!$B$4)*(COUNTIF(CONFIG_ASIGNATURAS!$B$7:$B$27,DATOS!$I$2:$I$20000)&gt;0)*(DATOS!$K$2:$K$20000))/SUMPRODUCT((DATOS!$A$2:$A$20000=S503)*(DATOS!$G$2:$G$20000=CONFIG_METADATA!$B$4)*(COUNTIF(CONFIG_ASIGNATURAS!$B$7:$B$27,DATOS!$I$2:$I$20000)&gt;0)*1),"")))</f>
        <v/>
      </c>
      <c r="Z503" t="str">
        <f>IF(Y503="","",IF(Y503="[FÓRMULA MANUAL]","",IFERROR(AVERAGEIFS(DATOS!$K$2:$K$20000,DATOS!$A$2:$A$20000,Y503,DATOS!$G$2:$G$20000,CONFIG_METADATA!$B$4,DATOS!$I$2:$I$20000,"Análisis"),"")))</f>
        <v/>
      </c>
      <c r="AA503" t="str">
        <f>IF(Y503="","",IF(Y503="[FÓRMULA MANUAL]","",IFERROR(AVERAGEIFS(DATOS!$K$2:$K$20000,DATOS!$A$2:$A$20000,Y503,DATOS!$G$2:$G$20000,CONFIG_METADATA!$B$4,DATOS!$I$2:$I$20000,"Orquesta/Banda/Conjunto"),"")))</f>
        <v/>
      </c>
      <c r="AB503" t="str">
        <f>IF(Y503="","",IF(Y503="[FÓRMULA MANUAL]","",IFERROR(AVERAGEIFS(DATOS!$K$2:$K$20000,DATOS!$A$2:$A$20000,Y503,DATOS!$G$2:$G$20000,CONFIG_METADATA!$B$4,DATOS!$I$2:$I$20000,"Música de Cámara"),"")))</f>
        <v/>
      </c>
      <c r="AC503" t="str">
        <f>IF(Y503="","",IF(Y503="[FÓRMULA MANUAL]","",IFERROR(SUMPRODUCT((DATOS!$A$2:$A$20000=Y503)*(DATOS!$G$2:$G$20000=CONFIG_METADATA!$B$4)*(COUNTIF(CONFIG_ASIGNATURAS!$B$7:$B$27,DATOS!$I$2:$I$20000)&gt;0)*(DATOS!$K$2:$K$20000))/SUMPRODUCT((DATOS!$A$2:$A$20000=Y503)*(DATOS!$G$2:$G$20000=CONFIG_METADATA!$B$4)*(COUNTIF(CONFIG_ASIGNATURAS!$B$7:$B$27,DATOS!$I$2:$I$20000)&gt;0)*1),"")))</f>
        <v/>
      </c>
      <c r="AF503" t="str">
        <f>IF(AE503="","",IF(AE503="[FÓRMULA MANUAL]","",IFERROR(AVERAGEIFS(DATOS!$K$2:$K$20000,DATOS!$A$2:$A$20000,AE503,DATOS!$G$2:$G$20000,CONFIG_METADATA!$B$4,DATOS!$I$2:$I$20000,"Análisis"),"")))</f>
        <v/>
      </c>
      <c r="AG503" t="str">
        <f>IF(AE503="","",IF(AE503="[FÓRMULA MANUAL]","",IFERROR(AVERAGEIFS(DATOS!$K$2:$K$20000,DATOS!$A$2:$A$20000,AE503,DATOS!$G$2:$G$20000,CONFIG_METADATA!$B$4,DATOS!$I$2:$I$20000,"Orquesta/Banda/Conjunto"),"")))</f>
        <v/>
      </c>
      <c r="AH503" t="str">
        <f>IF(AE503="","",IF(AE503="[FÓRMULA MANUAL]","",IFERROR(AVERAGEIFS(DATOS!$K$2:$K$20000,DATOS!$A$2:$A$20000,AE503,DATOS!$G$2:$G$20000,CONFIG_METADATA!$B$4,DATOS!$I$2:$I$20000,"Música de Cámara"),"")))</f>
        <v/>
      </c>
      <c r="AI503" t="str">
        <f>IF(AE503="","",IF(AE503="[FÓRMULA MANUAL]","",IFERROR(SUMPRODUCT((DATOS!$A$2:$A$20000=AE503)*(DATOS!$G$2:$G$20000=CONFIG_METADATA!$B$4)*(COUNTIF(CONFIG_ASIGNATURAS!$B$7:$B$27,DATOS!$I$2:$I$20000)&gt;0)*(DATOS!$K$2:$K$20000))/SUMPRODUCT((DATOS!$A$2:$A$20000=AE503)*(DATOS!$G$2:$G$20000=CONFIG_METADATA!$B$4)*(COUNTIF(CONFIG_ASIGNATURAS!$B$7:$B$27,DATOS!$I$2:$I$20000)&gt;0)*1),"")))</f>
        <v/>
      </c>
    </row>
    <row r="504" spans="2:35" x14ac:dyDescent="0.2">
      <c r="B504" t="str">
        <f>IF(A504="","",IF(A504="[FÓRMULA MANUAL]","",IFERROR(AVERAGEIFS(DATOS!$K$2:$K$20000,DATOS!$A$2:$A$20000,A504,DATOS!$G$2:$G$20000,CONFIG_METADATA!$B$4,DATOS!$I$2:$I$20000,"Lenguaje Musical"),"")))</f>
        <v/>
      </c>
      <c r="C504" t="str">
        <f>IF(A504="","",IF(A504="[FÓRMULA MANUAL]","",IFERROR(AVERAGEIFS(DATOS!$K$2:$K$20000,DATOS!$A$2:$A$20000,A504,DATOS!$G$2:$G$20000,CONFIG_METADATA!$B$4,DATOS!$I$2:$I$20000,"Orquesta/Banda/Conjunto"),"")))</f>
        <v/>
      </c>
      <c r="D504" t="str">
        <f>IF(A504="","",IF(A504="[FÓRMULA MANUAL]","",IFERROR(AVERAGEIFS(DATOS!$K$2:$K$20000,DATOS!$A$2:$A$20000,A504,DATOS!$G$2:$G$20000,CONFIG_METADATA!$B$4,DATOS!$I$2:$I$20000,"Conjunto"),"")))</f>
        <v/>
      </c>
      <c r="E504" t="str">
        <f>IF(A504="","",IF(A504="[FÓRMULA MANUAL]","",IFERROR(SUMPRODUCT((DATOS!$A$2:$A$20000=A504)*(DATOS!$G$2:$G$20000=CONFIG_METADATA!$B$4)*(COUNTIF(CONFIG_ASIGNATURAS!$B$7:$B$27,DATOS!$I$2:$I$20000)&gt;0)*(DATOS!$K$2:$K$20000))/SUMPRODUCT((DATOS!$A$2:$A$20000=A504)*(DATOS!$G$2:$G$20000=CONFIG_METADATA!$B$4)*(COUNTIF(CONFIG_ASIGNATURAS!$B$7:$B$27,DATOS!$I$2:$I$20000)&gt;0)*1),"")))</f>
        <v/>
      </c>
      <c r="H504" t="str">
        <f>IF(G504="","",IF(G504="[FÓRMULA MANUAL]","",IFERROR(AVERAGEIFS(DATOS!$K$2:$K$20000,DATOS!$A$2:$A$20000,G504,DATOS!$G$2:$G$20000,CONFIG_METADATA!$B$4,DATOS!$I$2:$I$20000,"Lenguaje Musical"),"")))</f>
        <v/>
      </c>
      <c r="I504" t="str">
        <f>IF(G504="","",IF(G504="[FÓRMULA MANUAL]","",IFERROR(AVERAGEIFS(DATOS!$K$2:$K$20000,DATOS!$A$2:$A$20000,G504,DATOS!$G$2:$G$20000,CONFIG_METADATA!$B$4,DATOS!$I$2:$I$20000,"Orquesta/Banda/Conjunto"),"")))</f>
        <v/>
      </c>
      <c r="J504" t="str">
        <f>IF(G504="","",IF(G504="[FÓRMULA MANUAL]","",IFERROR(AVERAGEIFS(DATOS!$K$2:$K$20000,DATOS!$A$2:$A$20000,G504,DATOS!$G$2:$G$20000,CONFIG_METADATA!$B$4,DATOS!$I$2:$I$20000,"Conjunto"),"")))</f>
        <v/>
      </c>
      <c r="K504" t="str">
        <f>IF(G504="","",IF(G504="[FÓRMULA MANUAL]","",IFERROR(SUMPRODUCT((DATOS!$A$2:$A$20000=G504)*(DATOS!$G$2:$G$20000=CONFIG_METADATA!$B$4)*(COUNTIF(CONFIG_ASIGNATURAS!$B$7:$B$27,DATOS!$I$2:$I$20000)&gt;0)*(DATOS!$K$2:$K$20000))/SUMPRODUCT((DATOS!$A$2:$A$20000=G504)*(DATOS!$G$2:$G$20000=CONFIG_METADATA!$B$4)*(COUNTIF(CONFIG_ASIGNATURAS!$B$7:$B$27,DATOS!$I$2:$I$20000)&gt;0)*1),"")))</f>
        <v/>
      </c>
      <c r="N504" t="str">
        <f>IF(M504="","",IF(M504="[FÓRMULA MANUAL]","",IFERROR(AVERAGEIFS(DATOS!$K$2:$K$20000,DATOS!$A$2:$A$20000,M504,DATOS!$G$2:$G$20000,CONFIG_METADATA!$B$4,DATOS!$I$2:$I$20000,"Armonía"),"")))</f>
        <v/>
      </c>
      <c r="O504" t="str">
        <f>IF(M504="","",IF(M504="[FÓRMULA MANUAL]","",IFERROR(AVERAGEIFS(DATOS!$K$2:$K$20000,DATOS!$A$2:$A$20000,M504,DATOS!$G$2:$G$20000,CONFIG_METADATA!$B$4,DATOS!$I$2:$I$20000,"Orquesta/Banda/Conjunto"),"")))</f>
        <v/>
      </c>
      <c r="P504" t="str">
        <f>IF(M504="","",IF(M504="[FÓRMULA MANUAL]","",IFERROR(AVERAGEIFS(DATOS!$K$2:$K$20000,DATOS!$A$2:$A$20000,M504,DATOS!$G$2:$G$20000,CONFIG_METADATA!$B$4,DATOS!$I$2:$I$20000,"Música de Cámara"),"")))</f>
        <v/>
      </c>
      <c r="Q504" t="str">
        <f>IF(M504="","",IF(M504="[FÓRMULA MANUAL]","",IFERROR(SUMPRODUCT((DATOS!$A$2:$A$20000=M504)*(DATOS!$G$2:$G$20000=CONFIG_METADATA!$B$4)*(COUNTIF(CONFIG_ASIGNATURAS!$B$7:$B$27,DATOS!$I$2:$I$20000)&gt;0)*(DATOS!$K$2:$K$20000))/SUMPRODUCT((DATOS!$A$2:$A$20000=M504)*(DATOS!$G$2:$G$20000=CONFIG_METADATA!$B$4)*(COUNTIF(CONFIG_ASIGNATURAS!$B$7:$B$27,DATOS!$I$2:$I$20000)&gt;0)*1),"")))</f>
        <v/>
      </c>
      <c r="T504" t="str">
        <f>IF(S504="","",IF(S504="[FÓRMULA MANUAL]","",IFERROR(AVERAGEIFS(DATOS!$K$2:$K$20000,DATOS!$A$2:$A$20000,S504,DATOS!$G$2:$G$20000,CONFIG_METADATA!$B$4,DATOS!$I$2:$I$20000,"Armonía"),"")))</f>
        <v/>
      </c>
      <c r="U504" t="str">
        <f>IF(S504="","",IF(S504="[FÓRMULA MANUAL]","",IFERROR(AVERAGEIFS(DATOS!$K$2:$K$20000,DATOS!$A$2:$A$20000,S504,DATOS!$G$2:$G$20000,CONFIG_METADATA!$B$4,DATOS!$I$2:$I$20000,"Orquesta/Banda/Conjunto"),"")))</f>
        <v/>
      </c>
      <c r="V504" t="str">
        <f>IF(S504="","",IF(S504="[FÓRMULA MANUAL]","",IFERROR(AVERAGEIFS(DATOS!$K$2:$K$20000,DATOS!$A$2:$A$20000,S504,DATOS!$G$2:$G$20000,CONFIG_METADATA!$B$4,DATOS!$I$2:$I$20000,"Música de Cámara"),"")))</f>
        <v/>
      </c>
      <c r="W504" t="str">
        <f>IF(S504="","",IF(S504="[FÓRMULA MANUAL]","",IFERROR(SUMPRODUCT((DATOS!$A$2:$A$20000=S504)*(DATOS!$G$2:$G$20000=CONFIG_METADATA!$B$4)*(COUNTIF(CONFIG_ASIGNATURAS!$B$7:$B$27,DATOS!$I$2:$I$20000)&gt;0)*(DATOS!$K$2:$K$20000))/SUMPRODUCT((DATOS!$A$2:$A$20000=S504)*(DATOS!$G$2:$G$20000=CONFIG_METADATA!$B$4)*(COUNTIF(CONFIG_ASIGNATURAS!$B$7:$B$27,DATOS!$I$2:$I$20000)&gt;0)*1),"")))</f>
        <v/>
      </c>
      <c r="Z504" t="str">
        <f>IF(Y504="","",IF(Y504="[FÓRMULA MANUAL]","",IFERROR(AVERAGEIFS(DATOS!$K$2:$K$20000,DATOS!$A$2:$A$20000,Y504,DATOS!$G$2:$G$20000,CONFIG_METADATA!$B$4,DATOS!$I$2:$I$20000,"Análisis"),"")))</f>
        <v/>
      </c>
      <c r="AA504" t="str">
        <f>IF(Y504="","",IF(Y504="[FÓRMULA MANUAL]","",IFERROR(AVERAGEIFS(DATOS!$K$2:$K$20000,DATOS!$A$2:$A$20000,Y504,DATOS!$G$2:$G$20000,CONFIG_METADATA!$B$4,DATOS!$I$2:$I$20000,"Orquesta/Banda/Conjunto"),"")))</f>
        <v/>
      </c>
      <c r="AB504" t="str">
        <f>IF(Y504="","",IF(Y504="[FÓRMULA MANUAL]","",IFERROR(AVERAGEIFS(DATOS!$K$2:$K$20000,DATOS!$A$2:$A$20000,Y504,DATOS!$G$2:$G$20000,CONFIG_METADATA!$B$4,DATOS!$I$2:$I$20000,"Música de Cámara"),"")))</f>
        <v/>
      </c>
      <c r="AC504" t="str">
        <f>IF(Y504="","",IF(Y504="[FÓRMULA MANUAL]","",IFERROR(SUMPRODUCT((DATOS!$A$2:$A$20000=Y504)*(DATOS!$G$2:$G$20000=CONFIG_METADATA!$B$4)*(COUNTIF(CONFIG_ASIGNATURAS!$B$7:$B$27,DATOS!$I$2:$I$20000)&gt;0)*(DATOS!$K$2:$K$20000))/SUMPRODUCT((DATOS!$A$2:$A$20000=Y504)*(DATOS!$G$2:$G$20000=CONFIG_METADATA!$B$4)*(COUNTIF(CONFIG_ASIGNATURAS!$B$7:$B$27,DATOS!$I$2:$I$20000)&gt;0)*1),"")))</f>
        <v/>
      </c>
      <c r="AF504" t="str">
        <f>IF(AE504="","",IF(AE504="[FÓRMULA MANUAL]","",IFERROR(AVERAGEIFS(DATOS!$K$2:$K$20000,DATOS!$A$2:$A$20000,AE504,DATOS!$G$2:$G$20000,CONFIG_METADATA!$B$4,DATOS!$I$2:$I$20000,"Análisis"),"")))</f>
        <v/>
      </c>
      <c r="AG504" t="str">
        <f>IF(AE504="","",IF(AE504="[FÓRMULA MANUAL]","",IFERROR(AVERAGEIFS(DATOS!$K$2:$K$20000,DATOS!$A$2:$A$20000,AE504,DATOS!$G$2:$G$20000,CONFIG_METADATA!$B$4,DATOS!$I$2:$I$20000,"Orquesta/Banda/Conjunto"),"")))</f>
        <v/>
      </c>
      <c r="AH504" t="str">
        <f>IF(AE504="","",IF(AE504="[FÓRMULA MANUAL]","",IFERROR(AVERAGEIFS(DATOS!$K$2:$K$20000,DATOS!$A$2:$A$20000,AE504,DATOS!$G$2:$G$20000,CONFIG_METADATA!$B$4,DATOS!$I$2:$I$20000,"Música de Cámara"),"")))</f>
        <v/>
      </c>
      <c r="AI504" t="str">
        <f>IF(AE504="","",IF(AE504="[FÓRMULA MANUAL]","",IFERROR(SUMPRODUCT((DATOS!$A$2:$A$20000=AE504)*(DATOS!$G$2:$G$20000=CONFIG_METADATA!$B$4)*(COUNTIF(CONFIG_ASIGNATURAS!$B$7:$B$27,DATOS!$I$2:$I$20000)&gt;0)*(DATOS!$K$2:$K$20000))/SUMPRODUCT((DATOS!$A$2:$A$20000=AE504)*(DATOS!$G$2:$G$20000=CONFIG_METADATA!$B$4)*(COUNTIF(CONFIG_ASIGNATURAS!$B$7:$B$27,DATOS!$I$2:$I$20000)&gt;0)*1),"")))</f>
        <v/>
      </c>
    </row>
    <row r="505" spans="2:35" x14ac:dyDescent="0.2">
      <c r="B505" t="str">
        <f>IF(A505="","",IF(A505="[FÓRMULA MANUAL]","",IFERROR(AVERAGEIFS(DATOS!$K$2:$K$20000,DATOS!$A$2:$A$20000,A505,DATOS!$G$2:$G$20000,CONFIG_METADATA!$B$4,DATOS!$I$2:$I$20000,"Lenguaje Musical"),"")))</f>
        <v/>
      </c>
      <c r="C505" t="str">
        <f>IF(A505="","",IF(A505="[FÓRMULA MANUAL]","",IFERROR(AVERAGEIFS(DATOS!$K$2:$K$20000,DATOS!$A$2:$A$20000,A505,DATOS!$G$2:$G$20000,CONFIG_METADATA!$B$4,DATOS!$I$2:$I$20000,"Orquesta/Banda/Conjunto"),"")))</f>
        <v/>
      </c>
      <c r="D505" t="str">
        <f>IF(A505="","",IF(A505="[FÓRMULA MANUAL]","",IFERROR(AVERAGEIFS(DATOS!$K$2:$K$20000,DATOS!$A$2:$A$20000,A505,DATOS!$G$2:$G$20000,CONFIG_METADATA!$B$4,DATOS!$I$2:$I$20000,"Conjunto"),"")))</f>
        <v/>
      </c>
      <c r="E505" t="str">
        <f>IF(A505="","",IF(A505="[FÓRMULA MANUAL]","",IFERROR(SUMPRODUCT((DATOS!$A$2:$A$20000=A505)*(DATOS!$G$2:$G$20000=CONFIG_METADATA!$B$4)*(COUNTIF(CONFIG_ASIGNATURAS!$B$7:$B$27,DATOS!$I$2:$I$20000)&gt;0)*(DATOS!$K$2:$K$20000))/SUMPRODUCT((DATOS!$A$2:$A$20000=A505)*(DATOS!$G$2:$G$20000=CONFIG_METADATA!$B$4)*(COUNTIF(CONFIG_ASIGNATURAS!$B$7:$B$27,DATOS!$I$2:$I$20000)&gt;0)*1),"")))</f>
        <v/>
      </c>
      <c r="H505" t="str">
        <f>IF(G505="","",IF(G505="[FÓRMULA MANUAL]","",IFERROR(AVERAGEIFS(DATOS!$K$2:$K$20000,DATOS!$A$2:$A$20000,G505,DATOS!$G$2:$G$20000,CONFIG_METADATA!$B$4,DATOS!$I$2:$I$20000,"Lenguaje Musical"),"")))</f>
        <v/>
      </c>
      <c r="I505" t="str">
        <f>IF(G505="","",IF(G505="[FÓRMULA MANUAL]","",IFERROR(AVERAGEIFS(DATOS!$K$2:$K$20000,DATOS!$A$2:$A$20000,G505,DATOS!$G$2:$G$20000,CONFIG_METADATA!$B$4,DATOS!$I$2:$I$20000,"Orquesta/Banda/Conjunto"),"")))</f>
        <v/>
      </c>
      <c r="J505" t="str">
        <f>IF(G505="","",IF(G505="[FÓRMULA MANUAL]","",IFERROR(AVERAGEIFS(DATOS!$K$2:$K$20000,DATOS!$A$2:$A$20000,G505,DATOS!$G$2:$G$20000,CONFIG_METADATA!$B$4,DATOS!$I$2:$I$20000,"Conjunto"),"")))</f>
        <v/>
      </c>
      <c r="K505" t="str">
        <f>IF(G505="","",IF(G505="[FÓRMULA MANUAL]","",IFERROR(SUMPRODUCT((DATOS!$A$2:$A$20000=G505)*(DATOS!$G$2:$G$20000=CONFIG_METADATA!$B$4)*(COUNTIF(CONFIG_ASIGNATURAS!$B$7:$B$27,DATOS!$I$2:$I$20000)&gt;0)*(DATOS!$K$2:$K$20000))/SUMPRODUCT((DATOS!$A$2:$A$20000=G505)*(DATOS!$G$2:$G$20000=CONFIG_METADATA!$B$4)*(COUNTIF(CONFIG_ASIGNATURAS!$B$7:$B$27,DATOS!$I$2:$I$20000)&gt;0)*1),"")))</f>
        <v/>
      </c>
      <c r="N505" t="str">
        <f>IF(M505="","",IF(M505="[FÓRMULA MANUAL]","",IFERROR(AVERAGEIFS(DATOS!$K$2:$K$20000,DATOS!$A$2:$A$20000,M505,DATOS!$G$2:$G$20000,CONFIG_METADATA!$B$4,DATOS!$I$2:$I$20000,"Armonía"),"")))</f>
        <v/>
      </c>
      <c r="O505" t="str">
        <f>IF(M505="","",IF(M505="[FÓRMULA MANUAL]","",IFERROR(AVERAGEIFS(DATOS!$K$2:$K$20000,DATOS!$A$2:$A$20000,M505,DATOS!$G$2:$G$20000,CONFIG_METADATA!$B$4,DATOS!$I$2:$I$20000,"Orquesta/Banda/Conjunto"),"")))</f>
        <v/>
      </c>
      <c r="P505" t="str">
        <f>IF(M505="","",IF(M505="[FÓRMULA MANUAL]","",IFERROR(AVERAGEIFS(DATOS!$K$2:$K$20000,DATOS!$A$2:$A$20000,M505,DATOS!$G$2:$G$20000,CONFIG_METADATA!$B$4,DATOS!$I$2:$I$20000,"Música de Cámara"),"")))</f>
        <v/>
      </c>
      <c r="Q505" t="str">
        <f>IF(M505="","",IF(M505="[FÓRMULA MANUAL]","",IFERROR(SUMPRODUCT((DATOS!$A$2:$A$20000=M505)*(DATOS!$G$2:$G$20000=CONFIG_METADATA!$B$4)*(COUNTIF(CONFIG_ASIGNATURAS!$B$7:$B$27,DATOS!$I$2:$I$20000)&gt;0)*(DATOS!$K$2:$K$20000))/SUMPRODUCT((DATOS!$A$2:$A$20000=M505)*(DATOS!$G$2:$G$20000=CONFIG_METADATA!$B$4)*(COUNTIF(CONFIG_ASIGNATURAS!$B$7:$B$27,DATOS!$I$2:$I$20000)&gt;0)*1),"")))</f>
        <v/>
      </c>
      <c r="T505" t="str">
        <f>IF(S505="","",IF(S505="[FÓRMULA MANUAL]","",IFERROR(AVERAGEIFS(DATOS!$K$2:$K$20000,DATOS!$A$2:$A$20000,S505,DATOS!$G$2:$G$20000,CONFIG_METADATA!$B$4,DATOS!$I$2:$I$20000,"Armonía"),"")))</f>
        <v/>
      </c>
      <c r="U505" t="str">
        <f>IF(S505="","",IF(S505="[FÓRMULA MANUAL]","",IFERROR(AVERAGEIFS(DATOS!$K$2:$K$20000,DATOS!$A$2:$A$20000,S505,DATOS!$G$2:$G$20000,CONFIG_METADATA!$B$4,DATOS!$I$2:$I$20000,"Orquesta/Banda/Conjunto"),"")))</f>
        <v/>
      </c>
      <c r="V505" t="str">
        <f>IF(S505="","",IF(S505="[FÓRMULA MANUAL]","",IFERROR(AVERAGEIFS(DATOS!$K$2:$K$20000,DATOS!$A$2:$A$20000,S505,DATOS!$G$2:$G$20000,CONFIG_METADATA!$B$4,DATOS!$I$2:$I$20000,"Música de Cámara"),"")))</f>
        <v/>
      </c>
      <c r="W505" t="str">
        <f>IF(S505="","",IF(S505="[FÓRMULA MANUAL]","",IFERROR(SUMPRODUCT((DATOS!$A$2:$A$20000=S505)*(DATOS!$G$2:$G$20000=CONFIG_METADATA!$B$4)*(COUNTIF(CONFIG_ASIGNATURAS!$B$7:$B$27,DATOS!$I$2:$I$20000)&gt;0)*(DATOS!$K$2:$K$20000))/SUMPRODUCT((DATOS!$A$2:$A$20000=S505)*(DATOS!$G$2:$G$20000=CONFIG_METADATA!$B$4)*(COUNTIF(CONFIG_ASIGNATURAS!$B$7:$B$27,DATOS!$I$2:$I$20000)&gt;0)*1),"")))</f>
        <v/>
      </c>
      <c r="Z505" t="str">
        <f>IF(Y505="","",IF(Y505="[FÓRMULA MANUAL]","",IFERROR(AVERAGEIFS(DATOS!$K$2:$K$20000,DATOS!$A$2:$A$20000,Y505,DATOS!$G$2:$G$20000,CONFIG_METADATA!$B$4,DATOS!$I$2:$I$20000,"Análisis"),"")))</f>
        <v/>
      </c>
      <c r="AA505" t="str">
        <f>IF(Y505="","",IF(Y505="[FÓRMULA MANUAL]","",IFERROR(AVERAGEIFS(DATOS!$K$2:$K$20000,DATOS!$A$2:$A$20000,Y505,DATOS!$G$2:$G$20000,CONFIG_METADATA!$B$4,DATOS!$I$2:$I$20000,"Orquesta/Banda/Conjunto"),"")))</f>
        <v/>
      </c>
      <c r="AB505" t="str">
        <f>IF(Y505="","",IF(Y505="[FÓRMULA MANUAL]","",IFERROR(AVERAGEIFS(DATOS!$K$2:$K$20000,DATOS!$A$2:$A$20000,Y505,DATOS!$G$2:$G$20000,CONFIG_METADATA!$B$4,DATOS!$I$2:$I$20000,"Música de Cámara"),"")))</f>
        <v/>
      </c>
      <c r="AC505" t="str">
        <f>IF(Y505="","",IF(Y505="[FÓRMULA MANUAL]","",IFERROR(SUMPRODUCT((DATOS!$A$2:$A$20000=Y505)*(DATOS!$G$2:$G$20000=CONFIG_METADATA!$B$4)*(COUNTIF(CONFIG_ASIGNATURAS!$B$7:$B$27,DATOS!$I$2:$I$20000)&gt;0)*(DATOS!$K$2:$K$20000))/SUMPRODUCT((DATOS!$A$2:$A$20000=Y505)*(DATOS!$G$2:$G$20000=CONFIG_METADATA!$B$4)*(COUNTIF(CONFIG_ASIGNATURAS!$B$7:$B$27,DATOS!$I$2:$I$20000)&gt;0)*1),"")))</f>
        <v/>
      </c>
      <c r="AF505" t="str">
        <f>IF(AE505="","",IF(AE505="[FÓRMULA MANUAL]","",IFERROR(AVERAGEIFS(DATOS!$K$2:$K$20000,DATOS!$A$2:$A$20000,AE505,DATOS!$G$2:$G$20000,CONFIG_METADATA!$B$4,DATOS!$I$2:$I$20000,"Análisis"),"")))</f>
        <v/>
      </c>
      <c r="AG505" t="str">
        <f>IF(AE505="","",IF(AE505="[FÓRMULA MANUAL]","",IFERROR(AVERAGEIFS(DATOS!$K$2:$K$20000,DATOS!$A$2:$A$20000,AE505,DATOS!$G$2:$G$20000,CONFIG_METADATA!$B$4,DATOS!$I$2:$I$20000,"Orquesta/Banda/Conjunto"),"")))</f>
        <v/>
      </c>
      <c r="AH505" t="str">
        <f>IF(AE505="","",IF(AE505="[FÓRMULA MANUAL]","",IFERROR(AVERAGEIFS(DATOS!$K$2:$K$20000,DATOS!$A$2:$A$20000,AE505,DATOS!$G$2:$G$20000,CONFIG_METADATA!$B$4,DATOS!$I$2:$I$20000,"Música de Cámara"),"")))</f>
        <v/>
      </c>
      <c r="AI505" t="str">
        <f>IF(AE505="","",IF(AE505="[FÓRMULA MANUAL]","",IFERROR(SUMPRODUCT((DATOS!$A$2:$A$20000=AE505)*(DATOS!$G$2:$G$20000=CONFIG_METADATA!$B$4)*(COUNTIF(CONFIG_ASIGNATURAS!$B$7:$B$27,DATOS!$I$2:$I$20000)&gt;0)*(DATOS!$K$2:$K$20000))/SUMPRODUCT((DATOS!$A$2:$A$20000=AE505)*(DATOS!$G$2:$G$20000=CONFIG_METADATA!$B$4)*(COUNTIF(CONFIG_ASIGNATURAS!$B$7:$B$27,DATOS!$I$2:$I$20000)&gt;0)*1),"")))</f>
        <v/>
      </c>
    </row>
    <row r="506" spans="2:35" x14ac:dyDescent="0.2">
      <c r="B506" t="str">
        <f>IF(A506="","",IF(A506="[FÓRMULA MANUAL]","",IFERROR(AVERAGEIFS(DATOS!$K$2:$K$20000,DATOS!$A$2:$A$20000,A506,DATOS!$G$2:$G$20000,CONFIG_METADATA!$B$4,DATOS!$I$2:$I$20000,"Lenguaje Musical"),"")))</f>
        <v/>
      </c>
      <c r="C506" t="str">
        <f>IF(A506="","",IF(A506="[FÓRMULA MANUAL]","",IFERROR(AVERAGEIFS(DATOS!$K$2:$K$20000,DATOS!$A$2:$A$20000,A506,DATOS!$G$2:$G$20000,CONFIG_METADATA!$B$4,DATOS!$I$2:$I$20000,"Orquesta/Banda/Conjunto"),"")))</f>
        <v/>
      </c>
      <c r="D506" t="str">
        <f>IF(A506="","",IF(A506="[FÓRMULA MANUAL]","",IFERROR(AVERAGEIFS(DATOS!$K$2:$K$20000,DATOS!$A$2:$A$20000,A506,DATOS!$G$2:$G$20000,CONFIG_METADATA!$B$4,DATOS!$I$2:$I$20000,"Conjunto"),"")))</f>
        <v/>
      </c>
      <c r="E506" t="str">
        <f>IF(A506="","",IF(A506="[FÓRMULA MANUAL]","",IFERROR(SUMPRODUCT((DATOS!$A$2:$A$20000=A506)*(DATOS!$G$2:$G$20000=CONFIG_METADATA!$B$4)*(COUNTIF(CONFIG_ASIGNATURAS!$B$7:$B$27,DATOS!$I$2:$I$20000)&gt;0)*(DATOS!$K$2:$K$20000))/SUMPRODUCT((DATOS!$A$2:$A$20000=A506)*(DATOS!$G$2:$G$20000=CONFIG_METADATA!$B$4)*(COUNTIF(CONFIG_ASIGNATURAS!$B$7:$B$27,DATOS!$I$2:$I$20000)&gt;0)*1),"")))</f>
        <v/>
      </c>
      <c r="H506" t="str">
        <f>IF(G506="","",IF(G506="[FÓRMULA MANUAL]","",IFERROR(AVERAGEIFS(DATOS!$K$2:$K$20000,DATOS!$A$2:$A$20000,G506,DATOS!$G$2:$G$20000,CONFIG_METADATA!$B$4,DATOS!$I$2:$I$20000,"Lenguaje Musical"),"")))</f>
        <v/>
      </c>
      <c r="I506" t="str">
        <f>IF(G506="","",IF(G506="[FÓRMULA MANUAL]","",IFERROR(AVERAGEIFS(DATOS!$K$2:$K$20000,DATOS!$A$2:$A$20000,G506,DATOS!$G$2:$G$20000,CONFIG_METADATA!$B$4,DATOS!$I$2:$I$20000,"Orquesta/Banda/Conjunto"),"")))</f>
        <v/>
      </c>
      <c r="J506" t="str">
        <f>IF(G506="","",IF(G506="[FÓRMULA MANUAL]","",IFERROR(AVERAGEIFS(DATOS!$K$2:$K$20000,DATOS!$A$2:$A$20000,G506,DATOS!$G$2:$G$20000,CONFIG_METADATA!$B$4,DATOS!$I$2:$I$20000,"Conjunto"),"")))</f>
        <v/>
      </c>
      <c r="K506" t="str">
        <f>IF(G506="","",IF(G506="[FÓRMULA MANUAL]","",IFERROR(SUMPRODUCT((DATOS!$A$2:$A$20000=G506)*(DATOS!$G$2:$G$20000=CONFIG_METADATA!$B$4)*(COUNTIF(CONFIG_ASIGNATURAS!$B$7:$B$27,DATOS!$I$2:$I$20000)&gt;0)*(DATOS!$K$2:$K$20000))/SUMPRODUCT((DATOS!$A$2:$A$20000=G506)*(DATOS!$G$2:$G$20000=CONFIG_METADATA!$B$4)*(COUNTIF(CONFIG_ASIGNATURAS!$B$7:$B$27,DATOS!$I$2:$I$20000)&gt;0)*1),"")))</f>
        <v/>
      </c>
      <c r="N506" t="str">
        <f>IF(M506="","",IF(M506="[FÓRMULA MANUAL]","",IFERROR(AVERAGEIFS(DATOS!$K$2:$K$20000,DATOS!$A$2:$A$20000,M506,DATOS!$G$2:$G$20000,CONFIG_METADATA!$B$4,DATOS!$I$2:$I$20000,"Armonía"),"")))</f>
        <v/>
      </c>
      <c r="O506" t="str">
        <f>IF(M506="","",IF(M506="[FÓRMULA MANUAL]","",IFERROR(AVERAGEIFS(DATOS!$K$2:$K$20000,DATOS!$A$2:$A$20000,M506,DATOS!$G$2:$G$20000,CONFIG_METADATA!$B$4,DATOS!$I$2:$I$20000,"Orquesta/Banda/Conjunto"),"")))</f>
        <v/>
      </c>
      <c r="P506" t="str">
        <f>IF(M506="","",IF(M506="[FÓRMULA MANUAL]","",IFERROR(AVERAGEIFS(DATOS!$K$2:$K$20000,DATOS!$A$2:$A$20000,M506,DATOS!$G$2:$G$20000,CONFIG_METADATA!$B$4,DATOS!$I$2:$I$20000,"Música de Cámara"),"")))</f>
        <v/>
      </c>
      <c r="Q506" t="str">
        <f>IF(M506="","",IF(M506="[FÓRMULA MANUAL]","",IFERROR(SUMPRODUCT((DATOS!$A$2:$A$20000=M506)*(DATOS!$G$2:$G$20000=CONFIG_METADATA!$B$4)*(COUNTIF(CONFIG_ASIGNATURAS!$B$7:$B$27,DATOS!$I$2:$I$20000)&gt;0)*(DATOS!$K$2:$K$20000))/SUMPRODUCT((DATOS!$A$2:$A$20000=M506)*(DATOS!$G$2:$G$20000=CONFIG_METADATA!$B$4)*(COUNTIF(CONFIG_ASIGNATURAS!$B$7:$B$27,DATOS!$I$2:$I$20000)&gt;0)*1),"")))</f>
        <v/>
      </c>
      <c r="T506" t="str">
        <f>IF(S506="","",IF(S506="[FÓRMULA MANUAL]","",IFERROR(AVERAGEIFS(DATOS!$K$2:$K$20000,DATOS!$A$2:$A$20000,S506,DATOS!$G$2:$G$20000,CONFIG_METADATA!$B$4,DATOS!$I$2:$I$20000,"Armonía"),"")))</f>
        <v/>
      </c>
      <c r="U506" t="str">
        <f>IF(S506="","",IF(S506="[FÓRMULA MANUAL]","",IFERROR(AVERAGEIFS(DATOS!$K$2:$K$20000,DATOS!$A$2:$A$20000,S506,DATOS!$G$2:$G$20000,CONFIG_METADATA!$B$4,DATOS!$I$2:$I$20000,"Orquesta/Banda/Conjunto"),"")))</f>
        <v/>
      </c>
      <c r="V506" t="str">
        <f>IF(S506="","",IF(S506="[FÓRMULA MANUAL]","",IFERROR(AVERAGEIFS(DATOS!$K$2:$K$20000,DATOS!$A$2:$A$20000,S506,DATOS!$G$2:$G$20000,CONFIG_METADATA!$B$4,DATOS!$I$2:$I$20000,"Música de Cámara"),"")))</f>
        <v/>
      </c>
      <c r="W506" t="str">
        <f>IF(S506="","",IF(S506="[FÓRMULA MANUAL]","",IFERROR(SUMPRODUCT((DATOS!$A$2:$A$20000=S506)*(DATOS!$G$2:$G$20000=CONFIG_METADATA!$B$4)*(COUNTIF(CONFIG_ASIGNATURAS!$B$7:$B$27,DATOS!$I$2:$I$20000)&gt;0)*(DATOS!$K$2:$K$20000))/SUMPRODUCT((DATOS!$A$2:$A$20000=S506)*(DATOS!$G$2:$G$20000=CONFIG_METADATA!$B$4)*(COUNTIF(CONFIG_ASIGNATURAS!$B$7:$B$27,DATOS!$I$2:$I$20000)&gt;0)*1),"")))</f>
        <v/>
      </c>
      <c r="Z506" t="str">
        <f>IF(Y506="","",IF(Y506="[FÓRMULA MANUAL]","",IFERROR(AVERAGEIFS(DATOS!$K$2:$K$20000,DATOS!$A$2:$A$20000,Y506,DATOS!$G$2:$G$20000,CONFIG_METADATA!$B$4,DATOS!$I$2:$I$20000,"Análisis"),"")))</f>
        <v/>
      </c>
      <c r="AA506" t="str">
        <f>IF(Y506="","",IF(Y506="[FÓRMULA MANUAL]","",IFERROR(AVERAGEIFS(DATOS!$K$2:$K$20000,DATOS!$A$2:$A$20000,Y506,DATOS!$G$2:$G$20000,CONFIG_METADATA!$B$4,DATOS!$I$2:$I$20000,"Orquesta/Banda/Conjunto"),"")))</f>
        <v/>
      </c>
      <c r="AB506" t="str">
        <f>IF(Y506="","",IF(Y506="[FÓRMULA MANUAL]","",IFERROR(AVERAGEIFS(DATOS!$K$2:$K$20000,DATOS!$A$2:$A$20000,Y506,DATOS!$G$2:$G$20000,CONFIG_METADATA!$B$4,DATOS!$I$2:$I$20000,"Música de Cámara"),"")))</f>
        <v/>
      </c>
      <c r="AC506" t="str">
        <f>IF(Y506="","",IF(Y506="[FÓRMULA MANUAL]","",IFERROR(SUMPRODUCT((DATOS!$A$2:$A$20000=Y506)*(DATOS!$G$2:$G$20000=CONFIG_METADATA!$B$4)*(COUNTIF(CONFIG_ASIGNATURAS!$B$7:$B$27,DATOS!$I$2:$I$20000)&gt;0)*(DATOS!$K$2:$K$20000))/SUMPRODUCT((DATOS!$A$2:$A$20000=Y506)*(DATOS!$G$2:$G$20000=CONFIG_METADATA!$B$4)*(COUNTIF(CONFIG_ASIGNATURAS!$B$7:$B$27,DATOS!$I$2:$I$20000)&gt;0)*1),"")))</f>
        <v/>
      </c>
      <c r="AF506" t="str">
        <f>IF(AE506="","",IF(AE506="[FÓRMULA MANUAL]","",IFERROR(AVERAGEIFS(DATOS!$K$2:$K$20000,DATOS!$A$2:$A$20000,AE506,DATOS!$G$2:$G$20000,CONFIG_METADATA!$B$4,DATOS!$I$2:$I$20000,"Análisis"),"")))</f>
        <v/>
      </c>
      <c r="AG506" t="str">
        <f>IF(AE506="","",IF(AE506="[FÓRMULA MANUAL]","",IFERROR(AVERAGEIFS(DATOS!$K$2:$K$20000,DATOS!$A$2:$A$20000,AE506,DATOS!$G$2:$G$20000,CONFIG_METADATA!$B$4,DATOS!$I$2:$I$20000,"Orquesta/Banda/Conjunto"),"")))</f>
        <v/>
      </c>
      <c r="AH506" t="str">
        <f>IF(AE506="","",IF(AE506="[FÓRMULA MANUAL]","",IFERROR(AVERAGEIFS(DATOS!$K$2:$K$20000,DATOS!$A$2:$A$20000,AE506,DATOS!$G$2:$G$20000,CONFIG_METADATA!$B$4,DATOS!$I$2:$I$20000,"Música de Cámara"),"")))</f>
        <v/>
      </c>
      <c r="AI506" t="str">
        <f>IF(AE506="","",IF(AE506="[FÓRMULA MANUAL]","",IFERROR(SUMPRODUCT((DATOS!$A$2:$A$20000=AE506)*(DATOS!$G$2:$G$20000=CONFIG_METADATA!$B$4)*(COUNTIF(CONFIG_ASIGNATURAS!$B$7:$B$27,DATOS!$I$2:$I$20000)&gt;0)*(DATOS!$K$2:$K$20000))/SUMPRODUCT((DATOS!$A$2:$A$20000=AE506)*(DATOS!$G$2:$G$20000=CONFIG_METADATA!$B$4)*(COUNTIF(CONFIG_ASIGNATURAS!$B$7:$B$27,DATOS!$I$2:$I$20000)&gt;0)*1),"")))</f>
        <v/>
      </c>
    </row>
    <row r="507" spans="2:35" x14ac:dyDescent="0.2">
      <c r="B507" t="str">
        <f>IF(A507="","",IF(A507="[FÓRMULA MANUAL]","",IFERROR(AVERAGEIFS(DATOS!$K$2:$K$20000,DATOS!$A$2:$A$20000,A507,DATOS!$G$2:$G$20000,CONFIG_METADATA!$B$4,DATOS!$I$2:$I$20000,"Lenguaje Musical"),"")))</f>
        <v/>
      </c>
      <c r="C507" t="str">
        <f>IF(A507="","",IF(A507="[FÓRMULA MANUAL]","",IFERROR(AVERAGEIFS(DATOS!$K$2:$K$20000,DATOS!$A$2:$A$20000,A507,DATOS!$G$2:$G$20000,CONFIG_METADATA!$B$4,DATOS!$I$2:$I$20000,"Orquesta/Banda/Conjunto"),"")))</f>
        <v/>
      </c>
      <c r="D507" t="str">
        <f>IF(A507="","",IF(A507="[FÓRMULA MANUAL]","",IFERROR(AVERAGEIFS(DATOS!$K$2:$K$20000,DATOS!$A$2:$A$20000,A507,DATOS!$G$2:$G$20000,CONFIG_METADATA!$B$4,DATOS!$I$2:$I$20000,"Conjunto"),"")))</f>
        <v/>
      </c>
      <c r="E507" t="str">
        <f>IF(A507="","",IF(A507="[FÓRMULA MANUAL]","",IFERROR(SUMPRODUCT((DATOS!$A$2:$A$20000=A507)*(DATOS!$G$2:$G$20000=CONFIG_METADATA!$B$4)*(COUNTIF(CONFIG_ASIGNATURAS!$B$7:$B$27,DATOS!$I$2:$I$20000)&gt;0)*(DATOS!$K$2:$K$20000))/SUMPRODUCT((DATOS!$A$2:$A$20000=A507)*(DATOS!$G$2:$G$20000=CONFIG_METADATA!$B$4)*(COUNTIF(CONFIG_ASIGNATURAS!$B$7:$B$27,DATOS!$I$2:$I$20000)&gt;0)*1),"")))</f>
        <v/>
      </c>
      <c r="H507" t="str">
        <f>IF(G507="","",IF(G507="[FÓRMULA MANUAL]","",IFERROR(AVERAGEIFS(DATOS!$K$2:$K$20000,DATOS!$A$2:$A$20000,G507,DATOS!$G$2:$G$20000,CONFIG_METADATA!$B$4,DATOS!$I$2:$I$20000,"Lenguaje Musical"),"")))</f>
        <v/>
      </c>
      <c r="I507" t="str">
        <f>IF(G507="","",IF(G507="[FÓRMULA MANUAL]","",IFERROR(AVERAGEIFS(DATOS!$K$2:$K$20000,DATOS!$A$2:$A$20000,G507,DATOS!$G$2:$G$20000,CONFIG_METADATA!$B$4,DATOS!$I$2:$I$20000,"Orquesta/Banda/Conjunto"),"")))</f>
        <v/>
      </c>
      <c r="J507" t="str">
        <f>IF(G507="","",IF(G507="[FÓRMULA MANUAL]","",IFERROR(AVERAGEIFS(DATOS!$K$2:$K$20000,DATOS!$A$2:$A$20000,G507,DATOS!$G$2:$G$20000,CONFIG_METADATA!$B$4,DATOS!$I$2:$I$20000,"Conjunto"),"")))</f>
        <v/>
      </c>
      <c r="K507" t="str">
        <f>IF(G507="","",IF(G507="[FÓRMULA MANUAL]","",IFERROR(SUMPRODUCT((DATOS!$A$2:$A$20000=G507)*(DATOS!$G$2:$G$20000=CONFIG_METADATA!$B$4)*(COUNTIF(CONFIG_ASIGNATURAS!$B$7:$B$27,DATOS!$I$2:$I$20000)&gt;0)*(DATOS!$K$2:$K$20000))/SUMPRODUCT((DATOS!$A$2:$A$20000=G507)*(DATOS!$G$2:$G$20000=CONFIG_METADATA!$B$4)*(COUNTIF(CONFIG_ASIGNATURAS!$B$7:$B$27,DATOS!$I$2:$I$20000)&gt;0)*1),"")))</f>
        <v/>
      </c>
      <c r="N507" t="str">
        <f>IF(M507="","",IF(M507="[FÓRMULA MANUAL]","",IFERROR(AVERAGEIFS(DATOS!$K$2:$K$20000,DATOS!$A$2:$A$20000,M507,DATOS!$G$2:$G$20000,CONFIG_METADATA!$B$4,DATOS!$I$2:$I$20000,"Armonía"),"")))</f>
        <v/>
      </c>
      <c r="O507" t="str">
        <f>IF(M507="","",IF(M507="[FÓRMULA MANUAL]","",IFERROR(AVERAGEIFS(DATOS!$K$2:$K$20000,DATOS!$A$2:$A$20000,M507,DATOS!$G$2:$G$20000,CONFIG_METADATA!$B$4,DATOS!$I$2:$I$20000,"Orquesta/Banda/Conjunto"),"")))</f>
        <v/>
      </c>
      <c r="P507" t="str">
        <f>IF(M507="","",IF(M507="[FÓRMULA MANUAL]","",IFERROR(AVERAGEIFS(DATOS!$K$2:$K$20000,DATOS!$A$2:$A$20000,M507,DATOS!$G$2:$G$20000,CONFIG_METADATA!$B$4,DATOS!$I$2:$I$20000,"Música de Cámara"),"")))</f>
        <v/>
      </c>
      <c r="Q507" t="str">
        <f>IF(M507="","",IF(M507="[FÓRMULA MANUAL]","",IFERROR(SUMPRODUCT((DATOS!$A$2:$A$20000=M507)*(DATOS!$G$2:$G$20000=CONFIG_METADATA!$B$4)*(COUNTIF(CONFIG_ASIGNATURAS!$B$7:$B$27,DATOS!$I$2:$I$20000)&gt;0)*(DATOS!$K$2:$K$20000))/SUMPRODUCT((DATOS!$A$2:$A$20000=M507)*(DATOS!$G$2:$G$20000=CONFIG_METADATA!$B$4)*(COUNTIF(CONFIG_ASIGNATURAS!$B$7:$B$27,DATOS!$I$2:$I$20000)&gt;0)*1),"")))</f>
        <v/>
      </c>
      <c r="T507" t="str">
        <f>IF(S507="","",IF(S507="[FÓRMULA MANUAL]","",IFERROR(AVERAGEIFS(DATOS!$K$2:$K$20000,DATOS!$A$2:$A$20000,S507,DATOS!$G$2:$G$20000,CONFIG_METADATA!$B$4,DATOS!$I$2:$I$20000,"Armonía"),"")))</f>
        <v/>
      </c>
      <c r="U507" t="str">
        <f>IF(S507="","",IF(S507="[FÓRMULA MANUAL]","",IFERROR(AVERAGEIFS(DATOS!$K$2:$K$20000,DATOS!$A$2:$A$20000,S507,DATOS!$G$2:$G$20000,CONFIG_METADATA!$B$4,DATOS!$I$2:$I$20000,"Orquesta/Banda/Conjunto"),"")))</f>
        <v/>
      </c>
      <c r="V507" t="str">
        <f>IF(S507="","",IF(S507="[FÓRMULA MANUAL]","",IFERROR(AVERAGEIFS(DATOS!$K$2:$K$20000,DATOS!$A$2:$A$20000,S507,DATOS!$G$2:$G$20000,CONFIG_METADATA!$B$4,DATOS!$I$2:$I$20000,"Música de Cámara"),"")))</f>
        <v/>
      </c>
      <c r="W507" t="str">
        <f>IF(S507="","",IF(S507="[FÓRMULA MANUAL]","",IFERROR(SUMPRODUCT((DATOS!$A$2:$A$20000=S507)*(DATOS!$G$2:$G$20000=CONFIG_METADATA!$B$4)*(COUNTIF(CONFIG_ASIGNATURAS!$B$7:$B$27,DATOS!$I$2:$I$20000)&gt;0)*(DATOS!$K$2:$K$20000))/SUMPRODUCT((DATOS!$A$2:$A$20000=S507)*(DATOS!$G$2:$G$20000=CONFIG_METADATA!$B$4)*(COUNTIF(CONFIG_ASIGNATURAS!$B$7:$B$27,DATOS!$I$2:$I$20000)&gt;0)*1),"")))</f>
        <v/>
      </c>
      <c r="Z507" t="str">
        <f>IF(Y507="","",IF(Y507="[FÓRMULA MANUAL]","",IFERROR(AVERAGEIFS(DATOS!$K$2:$K$20000,DATOS!$A$2:$A$20000,Y507,DATOS!$G$2:$G$20000,CONFIG_METADATA!$B$4,DATOS!$I$2:$I$20000,"Análisis"),"")))</f>
        <v/>
      </c>
      <c r="AA507" t="str">
        <f>IF(Y507="","",IF(Y507="[FÓRMULA MANUAL]","",IFERROR(AVERAGEIFS(DATOS!$K$2:$K$20000,DATOS!$A$2:$A$20000,Y507,DATOS!$G$2:$G$20000,CONFIG_METADATA!$B$4,DATOS!$I$2:$I$20000,"Orquesta/Banda/Conjunto"),"")))</f>
        <v/>
      </c>
      <c r="AB507" t="str">
        <f>IF(Y507="","",IF(Y507="[FÓRMULA MANUAL]","",IFERROR(AVERAGEIFS(DATOS!$K$2:$K$20000,DATOS!$A$2:$A$20000,Y507,DATOS!$G$2:$G$20000,CONFIG_METADATA!$B$4,DATOS!$I$2:$I$20000,"Música de Cámara"),"")))</f>
        <v/>
      </c>
      <c r="AC507" t="str">
        <f>IF(Y507="","",IF(Y507="[FÓRMULA MANUAL]","",IFERROR(SUMPRODUCT((DATOS!$A$2:$A$20000=Y507)*(DATOS!$G$2:$G$20000=CONFIG_METADATA!$B$4)*(COUNTIF(CONFIG_ASIGNATURAS!$B$7:$B$27,DATOS!$I$2:$I$20000)&gt;0)*(DATOS!$K$2:$K$20000))/SUMPRODUCT((DATOS!$A$2:$A$20000=Y507)*(DATOS!$G$2:$G$20000=CONFIG_METADATA!$B$4)*(COUNTIF(CONFIG_ASIGNATURAS!$B$7:$B$27,DATOS!$I$2:$I$20000)&gt;0)*1),"")))</f>
        <v/>
      </c>
      <c r="AF507" t="str">
        <f>IF(AE507="","",IF(AE507="[FÓRMULA MANUAL]","",IFERROR(AVERAGEIFS(DATOS!$K$2:$K$20000,DATOS!$A$2:$A$20000,AE507,DATOS!$G$2:$G$20000,CONFIG_METADATA!$B$4,DATOS!$I$2:$I$20000,"Análisis"),"")))</f>
        <v/>
      </c>
      <c r="AG507" t="str">
        <f>IF(AE507="","",IF(AE507="[FÓRMULA MANUAL]","",IFERROR(AVERAGEIFS(DATOS!$K$2:$K$20000,DATOS!$A$2:$A$20000,AE507,DATOS!$G$2:$G$20000,CONFIG_METADATA!$B$4,DATOS!$I$2:$I$20000,"Orquesta/Banda/Conjunto"),"")))</f>
        <v/>
      </c>
      <c r="AH507" t="str">
        <f>IF(AE507="","",IF(AE507="[FÓRMULA MANUAL]","",IFERROR(AVERAGEIFS(DATOS!$K$2:$K$20000,DATOS!$A$2:$A$20000,AE507,DATOS!$G$2:$G$20000,CONFIG_METADATA!$B$4,DATOS!$I$2:$I$20000,"Música de Cámara"),"")))</f>
        <v/>
      </c>
      <c r="AI507" t="str">
        <f>IF(AE507="","",IF(AE507="[FÓRMULA MANUAL]","",IFERROR(SUMPRODUCT((DATOS!$A$2:$A$20000=AE507)*(DATOS!$G$2:$G$20000=CONFIG_METADATA!$B$4)*(COUNTIF(CONFIG_ASIGNATURAS!$B$7:$B$27,DATOS!$I$2:$I$20000)&gt;0)*(DATOS!$K$2:$K$20000))/SUMPRODUCT((DATOS!$A$2:$A$20000=AE507)*(DATOS!$G$2:$G$20000=CONFIG_METADATA!$B$4)*(COUNTIF(CONFIG_ASIGNATURAS!$B$7:$B$27,DATOS!$I$2:$I$20000)&gt;0)*1),"")))</f>
        <v/>
      </c>
    </row>
    <row r="508" spans="2:35" x14ac:dyDescent="0.2">
      <c r="B508" t="str">
        <f>IF(A508="","",IF(A508="[FÓRMULA MANUAL]","",IFERROR(AVERAGEIFS(DATOS!$K$2:$K$20000,DATOS!$A$2:$A$20000,A508,DATOS!$G$2:$G$20000,CONFIG_METADATA!$B$4,DATOS!$I$2:$I$20000,"Lenguaje Musical"),"")))</f>
        <v/>
      </c>
      <c r="C508" t="str">
        <f>IF(A508="","",IF(A508="[FÓRMULA MANUAL]","",IFERROR(AVERAGEIFS(DATOS!$K$2:$K$20000,DATOS!$A$2:$A$20000,A508,DATOS!$G$2:$G$20000,CONFIG_METADATA!$B$4,DATOS!$I$2:$I$20000,"Orquesta/Banda/Conjunto"),"")))</f>
        <v/>
      </c>
      <c r="D508" t="str">
        <f>IF(A508="","",IF(A508="[FÓRMULA MANUAL]","",IFERROR(AVERAGEIFS(DATOS!$K$2:$K$20000,DATOS!$A$2:$A$20000,A508,DATOS!$G$2:$G$20000,CONFIG_METADATA!$B$4,DATOS!$I$2:$I$20000,"Conjunto"),"")))</f>
        <v/>
      </c>
      <c r="E508" t="str">
        <f>IF(A508="","",IF(A508="[FÓRMULA MANUAL]","",IFERROR(SUMPRODUCT((DATOS!$A$2:$A$20000=A508)*(DATOS!$G$2:$G$20000=CONFIG_METADATA!$B$4)*(COUNTIF(CONFIG_ASIGNATURAS!$B$7:$B$27,DATOS!$I$2:$I$20000)&gt;0)*(DATOS!$K$2:$K$20000))/SUMPRODUCT((DATOS!$A$2:$A$20000=A508)*(DATOS!$G$2:$G$20000=CONFIG_METADATA!$B$4)*(COUNTIF(CONFIG_ASIGNATURAS!$B$7:$B$27,DATOS!$I$2:$I$20000)&gt;0)*1),"")))</f>
        <v/>
      </c>
      <c r="H508" t="str">
        <f>IF(G508="","",IF(G508="[FÓRMULA MANUAL]","",IFERROR(AVERAGEIFS(DATOS!$K$2:$K$20000,DATOS!$A$2:$A$20000,G508,DATOS!$G$2:$G$20000,CONFIG_METADATA!$B$4,DATOS!$I$2:$I$20000,"Lenguaje Musical"),"")))</f>
        <v/>
      </c>
      <c r="I508" t="str">
        <f>IF(G508="","",IF(G508="[FÓRMULA MANUAL]","",IFERROR(AVERAGEIFS(DATOS!$K$2:$K$20000,DATOS!$A$2:$A$20000,G508,DATOS!$G$2:$G$20000,CONFIG_METADATA!$B$4,DATOS!$I$2:$I$20000,"Orquesta/Banda/Conjunto"),"")))</f>
        <v/>
      </c>
      <c r="J508" t="str">
        <f>IF(G508="","",IF(G508="[FÓRMULA MANUAL]","",IFERROR(AVERAGEIFS(DATOS!$K$2:$K$20000,DATOS!$A$2:$A$20000,G508,DATOS!$G$2:$G$20000,CONFIG_METADATA!$B$4,DATOS!$I$2:$I$20000,"Conjunto"),"")))</f>
        <v/>
      </c>
      <c r="K508" t="str">
        <f>IF(G508="","",IF(G508="[FÓRMULA MANUAL]","",IFERROR(SUMPRODUCT((DATOS!$A$2:$A$20000=G508)*(DATOS!$G$2:$G$20000=CONFIG_METADATA!$B$4)*(COUNTIF(CONFIG_ASIGNATURAS!$B$7:$B$27,DATOS!$I$2:$I$20000)&gt;0)*(DATOS!$K$2:$K$20000))/SUMPRODUCT((DATOS!$A$2:$A$20000=G508)*(DATOS!$G$2:$G$20000=CONFIG_METADATA!$B$4)*(COUNTIF(CONFIG_ASIGNATURAS!$B$7:$B$27,DATOS!$I$2:$I$20000)&gt;0)*1),"")))</f>
        <v/>
      </c>
      <c r="N508" t="str">
        <f>IF(M508="","",IF(M508="[FÓRMULA MANUAL]","",IFERROR(AVERAGEIFS(DATOS!$K$2:$K$20000,DATOS!$A$2:$A$20000,M508,DATOS!$G$2:$G$20000,CONFIG_METADATA!$B$4,DATOS!$I$2:$I$20000,"Armonía"),"")))</f>
        <v/>
      </c>
      <c r="O508" t="str">
        <f>IF(M508="","",IF(M508="[FÓRMULA MANUAL]","",IFERROR(AVERAGEIFS(DATOS!$K$2:$K$20000,DATOS!$A$2:$A$20000,M508,DATOS!$G$2:$G$20000,CONFIG_METADATA!$B$4,DATOS!$I$2:$I$20000,"Orquesta/Banda/Conjunto"),"")))</f>
        <v/>
      </c>
      <c r="P508" t="str">
        <f>IF(M508="","",IF(M508="[FÓRMULA MANUAL]","",IFERROR(AVERAGEIFS(DATOS!$K$2:$K$20000,DATOS!$A$2:$A$20000,M508,DATOS!$G$2:$G$20000,CONFIG_METADATA!$B$4,DATOS!$I$2:$I$20000,"Música de Cámara"),"")))</f>
        <v/>
      </c>
      <c r="Q508" t="str">
        <f>IF(M508="","",IF(M508="[FÓRMULA MANUAL]","",IFERROR(SUMPRODUCT((DATOS!$A$2:$A$20000=M508)*(DATOS!$G$2:$G$20000=CONFIG_METADATA!$B$4)*(COUNTIF(CONFIG_ASIGNATURAS!$B$7:$B$27,DATOS!$I$2:$I$20000)&gt;0)*(DATOS!$K$2:$K$20000))/SUMPRODUCT((DATOS!$A$2:$A$20000=M508)*(DATOS!$G$2:$G$20000=CONFIG_METADATA!$B$4)*(COUNTIF(CONFIG_ASIGNATURAS!$B$7:$B$27,DATOS!$I$2:$I$20000)&gt;0)*1),"")))</f>
        <v/>
      </c>
      <c r="T508" t="str">
        <f>IF(S508="","",IF(S508="[FÓRMULA MANUAL]","",IFERROR(AVERAGEIFS(DATOS!$K$2:$K$20000,DATOS!$A$2:$A$20000,S508,DATOS!$G$2:$G$20000,CONFIG_METADATA!$B$4,DATOS!$I$2:$I$20000,"Armonía"),"")))</f>
        <v/>
      </c>
      <c r="U508" t="str">
        <f>IF(S508="","",IF(S508="[FÓRMULA MANUAL]","",IFERROR(AVERAGEIFS(DATOS!$K$2:$K$20000,DATOS!$A$2:$A$20000,S508,DATOS!$G$2:$G$20000,CONFIG_METADATA!$B$4,DATOS!$I$2:$I$20000,"Orquesta/Banda/Conjunto"),"")))</f>
        <v/>
      </c>
      <c r="V508" t="str">
        <f>IF(S508="","",IF(S508="[FÓRMULA MANUAL]","",IFERROR(AVERAGEIFS(DATOS!$K$2:$K$20000,DATOS!$A$2:$A$20000,S508,DATOS!$G$2:$G$20000,CONFIG_METADATA!$B$4,DATOS!$I$2:$I$20000,"Música de Cámara"),"")))</f>
        <v/>
      </c>
      <c r="W508" t="str">
        <f>IF(S508="","",IF(S508="[FÓRMULA MANUAL]","",IFERROR(SUMPRODUCT((DATOS!$A$2:$A$20000=S508)*(DATOS!$G$2:$G$20000=CONFIG_METADATA!$B$4)*(COUNTIF(CONFIG_ASIGNATURAS!$B$7:$B$27,DATOS!$I$2:$I$20000)&gt;0)*(DATOS!$K$2:$K$20000))/SUMPRODUCT((DATOS!$A$2:$A$20000=S508)*(DATOS!$G$2:$G$20000=CONFIG_METADATA!$B$4)*(COUNTIF(CONFIG_ASIGNATURAS!$B$7:$B$27,DATOS!$I$2:$I$20000)&gt;0)*1),"")))</f>
        <v/>
      </c>
      <c r="Z508" t="str">
        <f>IF(Y508="","",IF(Y508="[FÓRMULA MANUAL]","",IFERROR(AVERAGEIFS(DATOS!$K$2:$K$20000,DATOS!$A$2:$A$20000,Y508,DATOS!$G$2:$G$20000,CONFIG_METADATA!$B$4,DATOS!$I$2:$I$20000,"Análisis"),"")))</f>
        <v/>
      </c>
      <c r="AA508" t="str">
        <f>IF(Y508="","",IF(Y508="[FÓRMULA MANUAL]","",IFERROR(AVERAGEIFS(DATOS!$K$2:$K$20000,DATOS!$A$2:$A$20000,Y508,DATOS!$G$2:$G$20000,CONFIG_METADATA!$B$4,DATOS!$I$2:$I$20000,"Orquesta/Banda/Conjunto"),"")))</f>
        <v/>
      </c>
      <c r="AB508" t="str">
        <f>IF(Y508="","",IF(Y508="[FÓRMULA MANUAL]","",IFERROR(AVERAGEIFS(DATOS!$K$2:$K$20000,DATOS!$A$2:$A$20000,Y508,DATOS!$G$2:$G$20000,CONFIG_METADATA!$B$4,DATOS!$I$2:$I$20000,"Música de Cámara"),"")))</f>
        <v/>
      </c>
      <c r="AC508" t="str">
        <f>IF(Y508="","",IF(Y508="[FÓRMULA MANUAL]","",IFERROR(SUMPRODUCT((DATOS!$A$2:$A$20000=Y508)*(DATOS!$G$2:$G$20000=CONFIG_METADATA!$B$4)*(COUNTIF(CONFIG_ASIGNATURAS!$B$7:$B$27,DATOS!$I$2:$I$20000)&gt;0)*(DATOS!$K$2:$K$20000))/SUMPRODUCT((DATOS!$A$2:$A$20000=Y508)*(DATOS!$G$2:$G$20000=CONFIG_METADATA!$B$4)*(COUNTIF(CONFIG_ASIGNATURAS!$B$7:$B$27,DATOS!$I$2:$I$20000)&gt;0)*1),"")))</f>
        <v/>
      </c>
      <c r="AF508" t="str">
        <f>IF(AE508="","",IF(AE508="[FÓRMULA MANUAL]","",IFERROR(AVERAGEIFS(DATOS!$K$2:$K$20000,DATOS!$A$2:$A$20000,AE508,DATOS!$G$2:$G$20000,CONFIG_METADATA!$B$4,DATOS!$I$2:$I$20000,"Análisis"),"")))</f>
        <v/>
      </c>
      <c r="AG508" t="str">
        <f>IF(AE508="","",IF(AE508="[FÓRMULA MANUAL]","",IFERROR(AVERAGEIFS(DATOS!$K$2:$K$20000,DATOS!$A$2:$A$20000,AE508,DATOS!$G$2:$G$20000,CONFIG_METADATA!$B$4,DATOS!$I$2:$I$20000,"Orquesta/Banda/Conjunto"),"")))</f>
        <v/>
      </c>
      <c r="AH508" t="str">
        <f>IF(AE508="","",IF(AE508="[FÓRMULA MANUAL]","",IFERROR(AVERAGEIFS(DATOS!$K$2:$K$20000,DATOS!$A$2:$A$20000,AE508,DATOS!$G$2:$G$20000,CONFIG_METADATA!$B$4,DATOS!$I$2:$I$20000,"Música de Cámara"),"")))</f>
        <v/>
      </c>
      <c r="AI508" t="str">
        <f>IF(AE508="","",IF(AE508="[FÓRMULA MANUAL]","",IFERROR(SUMPRODUCT((DATOS!$A$2:$A$20000=AE508)*(DATOS!$G$2:$G$20000=CONFIG_METADATA!$B$4)*(COUNTIF(CONFIG_ASIGNATURAS!$B$7:$B$27,DATOS!$I$2:$I$20000)&gt;0)*(DATOS!$K$2:$K$20000))/SUMPRODUCT((DATOS!$A$2:$A$20000=AE508)*(DATOS!$G$2:$G$20000=CONFIG_METADATA!$B$4)*(COUNTIF(CONFIG_ASIGNATURAS!$B$7:$B$27,DATOS!$I$2:$I$20000)&gt;0)*1),"")))</f>
        <v/>
      </c>
    </row>
    <row r="509" spans="2:35" x14ac:dyDescent="0.2">
      <c r="B509" t="str">
        <f>IF(A509="","",IF(A509="[FÓRMULA MANUAL]","",IFERROR(AVERAGEIFS(DATOS!$K$2:$K$20000,DATOS!$A$2:$A$20000,A509,DATOS!$G$2:$G$20000,CONFIG_METADATA!$B$4,DATOS!$I$2:$I$20000,"Lenguaje Musical"),"")))</f>
        <v/>
      </c>
      <c r="C509" t="str">
        <f>IF(A509="","",IF(A509="[FÓRMULA MANUAL]","",IFERROR(AVERAGEIFS(DATOS!$K$2:$K$20000,DATOS!$A$2:$A$20000,A509,DATOS!$G$2:$G$20000,CONFIG_METADATA!$B$4,DATOS!$I$2:$I$20000,"Orquesta/Banda/Conjunto"),"")))</f>
        <v/>
      </c>
      <c r="D509" t="str">
        <f>IF(A509="","",IF(A509="[FÓRMULA MANUAL]","",IFERROR(AVERAGEIFS(DATOS!$K$2:$K$20000,DATOS!$A$2:$A$20000,A509,DATOS!$G$2:$G$20000,CONFIG_METADATA!$B$4,DATOS!$I$2:$I$20000,"Conjunto"),"")))</f>
        <v/>
      </c>
      <c r="E509" t="str">
        <f>IF(A509="","",IF(A509="[FÓRMULA MANUAL]","",IFERROR(SUMPRODUCT((DATOS!$A$2:$A$20000=A509)*(DATOS!$G$2:$G$20000=CONFIG_METADATA!$B$4)*(COUNTIF(CONFIG_ASIGNATURAS!$B$7:$B$27,DATOS!$I$2:$I$20000)&gt;0)*(DATOS!$K$2:$K$20000))/SUMPRODUCT((DATOS!$A$2:$A$20000=A509)*(DATOS!$G$2:$G$20000=CONFIG_METADATA!$B$4)*(COUNTIF(CONFIG_ASIGNATURAS!$B$7:$B$27,DATOS!$I$2:$I$20000)&gt;0)*1),"")))</f>
        <v/>
      </c>
      <c r="H509" t="str">
        <f>IF(G509="","",IF(G509="[FÓRMULA MANUAL]","",IFERROR(AVERAGEIFS(DATOS!$K$2:$K$20000,DATOS!$A$2:$A$20000,G509,DATOS!$G$2:$G$20000,CONFIG_METADATA!$B$4,DATOS!$I$2:$I$20000,"Lenguaje Musical"),"")))</f>
        <v/>
      </c>
      <c r="I509" t="str">
        <f>IF(G509="","",IF(G509="[FÓRMULA MANUAL]","",IFERROR(AVERAGEIFS(DATOS!$K$2:$K$20000,DATOS!$A$2:$A$20000,G509,DATOS!$G$2:$G$20000,CONFIG_METADATA!$B$4,DATOS!$I$2:$I$20000,"Orquesta/Banda/Conjunto"),"")))</f>
        <v/>
      </c>
      <c r="J509" t="str">
        <f>IF(G509="","",IF(G509="[FÓRMULA MANUAL]","",IFERROR(AVERAGEIFS(DATOS!$K$2:$K$20000,DATOS!$A$2:$A$20000,G509,DATOS!$G$2:$G$20000,CONFIG_METADATA!$B$4,DATOS!$I$2:$I$20000,"Conjunto"),"")))</f>
        <v/>
      </c>
      <c r="K509" t="str">
        <f>IF(G509="","",IF(G509="[FÓRMULA MANUAL]","",IFERROR(SUMPRODUCT((DATOS!$A$2:$A$20000=G509)*(DATOS!$G$2:$G$20000=CONFIG_METADATA!$B$4)*(COUNTIF(CONFIG_ASIGNATURAS!$B$7:$B$27,DATOS!$I$2:$I$20000)&gt;0)*(DATOS!$K$2:$K$20000))/SUMPRODUCT((DATOS!$A$2:$A$20000=G509)*(DATOS!$G$2:$G$20000=CONFIG_METADATA!$B$4)*(COUNTIF(CONFIG_ASIGNATURAS!$B$7:$B$27,DATOS!$I$2:$I$20000)&gt;0)*1),"")))</f>
        <v/>
      </c>
      <c r="N509" t="str">
        <f>IF(M509="","",IF(M509="[FÓRMULA MANUAL]","",IFERROR(AVERAGEIFS(DATOS!$K$2:$K$20000,DATOS!$A$2:$A$20000,M509,DATOS!$G$2:$G$20000,CONFIG_METADATA!$B$4,DATOS!$I$2:$I$20000,"Armonía"),"")))</f>
        <v/>
      </c>
      <c r="O509" t="str">
        <f>IF(M509="","",IF(M509="[FÓRMULA MANUAL]","",IFERROR(AVERAGEIFS(DATOS!$K$2:$K$20000,DATOS!$A$2:$A$20000,M509,DATOS!$G$2:$G$20000,CONFIG_METADATA!$B$4,DATOS!$I$2:$I$20000,"Orquesta/Banda/Conjunto"),"")))</f>
        <v/>
      </c>
      <c r="P509" t="str">
        <f>IF(M509="","",IF(M509="[FÓRMULA MANUAL]","",IFERROR(AVERAGEIFS(DATOS!$K$2:$K$20000,DATOS!$A$2:$A$20000,M509,DATOS!$G$2:$G$20000,CONFIG_METADATA!$B$4,DATOS!$I$2:$I$20000,"Música de Cámara"),"")))</f>
        <v/>
      </c>
      <c r="Q509" t="str">
        <f>IF(M509="","",IF(M509="[FÓRMULA MANUAL]","",IFERROR(SUMPRODUCT((DATOS!$A$2:$A$20000=M509)*(DATOS!$G$2:$G$20000=CONFIG_METADATA!$B$4)*(COUNTIF(CONFIG_ASIGNATURAS!$B$7:$B$27,DATOS!$I$2:$I$20000)&gt;0)*(DATOS!$K$2:$K$20000))/SUMPRODUCT((DATOS!$A$2:$A$20000=M509)*(DATOS!$G$2:$G$20000=CONFIG_METADATA!$B$4)*(COUNTIF(CONFIG_ASIGNATURAS!$B$7:$B$27,DATOS!$I$2:$I$20000)&gt;0)*1),"")))</f>
        <v/>
      </c>
      <c r="T509" t="str">
        <f>IF(S509="","",IF(S509="[FÓRMULA MANUAL]","",IFERROR(AVERAGEIFS(DATOS!$K$2:$K$20000,DATOS!$A$2:$A$20000,S509,DATOS!$G$2:$G$20000,CONFIG_METADATA!$B$4,DATOS!$I$2:$I$20000,"Armonía"),"")))</f>
        <v/>
      </c>
      <c r="U509" t="str">
        <f>IF(S509="","",IF(S509="[FÓRMULA MANUAL]","",IFERROR(AVERAGEIFS(DATOS!$K$2:$K$20000,DATOS!$A$2:$A$20000,S509,DATOS!$G$2:$G$20000,CONFIG_METADATA!$B$4,DATOS!$I$2:$I$20000,"Orquesta/Banda/Conjunto"),"")))</f>
        <v/>
      </c>
      <c r="V509" t="str">
        <f>IF(S509="","",IF(S509="[FÓRMULA MANUAL]","",IFERROR(AVERAGEIFS(DATOS!$K$2:$K$20000,DATOS!$A$2:$A$20000,S509,DATOS!$G$2:$G$20000,CONFIG_METADATA!$B$4,DATOS!$I$2:$I$20000,"Música de Cámara"),"")))</f>
        <v/>
      </c>
      <c r="W509" t="str">
        <f>IF(S509="","",IF(S509="[FÓRMULA MANUAL]","",IFERROR(SUMPRODUCT((DATOS!$A$2:$A$20000=S509)*(DATOS!$G$2:$G$20000=CONFIG_METADATA!$B$4)*(COUNTIF(CONFIG_ASIGNATURAS!$B$7:$B$27,DATOS!$I$2:$I$20000)&gt;0)*(DATOS!$K$2:$K$20000))/SUMPRODUCT((DATOS!$A$2:$A$20000=S509)*(DATOS!$G$2:$G$20000=CONFIG_METADATA!$B$4)*(COUNTIF(CONFIG_ASIGNATURAS!$B$7:$B$27,DATOS!$I$2:$I$20000)&gt;0)*1),"")))</f>
        <v/>
      </c>
      <c r="Z509" t="str">
        <f>IF(Y509="","",IF(Y509="[FÓRMULA MANUAL]","",IFERROR(AVERAGEIFS(DATOS!$K$2:$K$20000,DATOS!$A$2:$A$20000,Y509,DATOS!$G$2:$G$20000,CONFIG_METADATA!$B$4,DATOS!$I$2:$I$20000,"Análisis"),"")))</f>
        <v/>
      </c>
      <c r="AA509" t="str">
        <f>IF(Y509="","",IF(Y509="[FÓRMULA MANUAL]","",IFERROR(AVERAGEIFS(DATOS!$K$2:$K$20000,DATOS!$A$2:$A$20000,Y509,DATOS!$G$2:$G$20000,CONFIG_METADATA!$B$4,DATOS!$I$2:$I$20000,"Orquesta/Banda/Conjunto"),"")))</f>
        <v/>
      </c>
      <c r="AB509" t="str">
        <f>IF(Y509="","",IF(Y509="[FÓRMULA MANUAL]","",IFERROR(AVERAGEIFS(DATOS!$K$2:$K$20000,DATOS!$A$2:$A$20000,Y509,DATOS!$G$2:$G$20000,CONFIG_METADATA!$B$4,DATOS!$I$2:$I$20000,"Música de Cámara"),"")))</f>
        <v/>
      </c>
      <c r="AC509" t="str">
        <f>IF(Y509="","",IF(Y509="[FÓRMULA MANUAL]","",IFERROR(SUMPRODUCT((DATOS!$A$2:$A$20000=Y509)*(DATOS!$G$2:$G$20000=CONFIG_METADATA!$B$4)*(COUNTIF(CONFIG_ASIGNATURAS!$B$7:$B$27,DATOS!$I$2:$I$20000)&gt;0)*(DATOS!$K$2:$K$20000))/SUMPRODUCT((DATOS!$A$2:$A$20000=Y509)*(DATOS!$G$2:$G$20000=CONFIG_METADATA!$B$4)*(COUNTIF(CONFIG_ASIGNATURAS!$B$7:$B$27,DATOS!$I$2:$I$20000)&gt;0)*1),"")))</f>
        <v/>
      </c>
      <c r="AF509" t="str">
        <f>IF(AE509="","",IF(AE509="[FÓRMULA MANUAL]","",IFERROR(AVERAGEIFS(DATOS!$K$2:$K$20000,DATOS!$A$2:$A$20000,AE509,DATOS!$G$2:$G$20000,CONFIG_METADATA!$B$4,DATOS!$I$2:$I$20000,"Análisis"),"")))</f>
        <v/>
      </c>
      <c r="AG509" t="str">
        <f>IF(AE509="","",IF(AE509="[FÓRMULA MANUAL]","",IFERROR(AVERAGEIFS(DATOS!$K$2:$K$20000,DATOS!$A$2:$A$20000,AE509,DATOS!$G$2:$G$20000,CONFIG_METADATA!$B$4,DATOS!$I$2:$I$20000,"Orquesta/Banda/Conjunto"),"")))</f>
        <v/>
      </c>
      <c r="AH509" t="str">
        <f>IF(AE509="","",IF(AE509="[FÓRMULA MANUAL]","",IFERROR(AVERAGEIFS(DATOS!$K$2:$K$20000,DATOS!$A$2:$A$20000,AE509,DATOS!$G$2:$G$20000,CONFIG_METADATA!$B$4,DATOS!$I$2:$I$20000,"Música de Cámara"),"")))</f>
        <v/>
      </c>
      <c r="AI509" t="str">
        <f>IF(AE509="","",IF(AE509="[FÓRMULA MANUAL]","",IFERROR(SUMPRODUCT((DATOS!$A$2:$A$20000=AE509)*(DATOS!$G$2:$G$20000=CONFIG_METADATA!$B$4)*(COUNTIF(CONFIG_ASIGNATURAS!$B$7:$B$27,DATOS!$I$2:$I$20000)&gt;0)*(DATOS!$K$2:$K$20000))/SUMPRODUCT((DATOS!$A$2:$A$20000=AE509)*(DATOS!$G$2:$G$20000=CONFIG_METADATA!$B$4)*(COUNTIF(CONFIG_ASIGNATURAS!$B$7:$B$27,DATOS!$I$2:$I$20000)&gt;0)*1),"")))</f>
        <v/>
      </c>
    </row>
    <row r="510" spans="2:35" x14ac:dyDescent="0.2">
      <c r="B510" t="str">
        <f>IF(A510="","",IF(A510="[FÓRMULA MANUAL]","",IFERROR(AVERAGEIFS(DATOS!$K$2:$K$20000,DATOS!$A$2:$A$20000,A510,DATOS!$G$2:$G$20000,CONFIG_METADATA!$B$4,DATOS!$I$2:$I$20000,"Lenguaje Musical"),"")))</f>
        <v/>
      </c>
      <c r="C510" t="str">
        <f>IF(A510="","",IF(A510="[FÓRMULA MANUAL]","",IFERROR(AVERAGEIFS(DATOS!$K$2:$K$20000,DATOS!$A$2:$A$20000,A510,DATOS!$G$2:$G$20000,CONFIG_METADATA!$B$4,DATOS!$I$2:$I$20000,"Orquesta/Banda/Conjunto"),"")))</f>
        <v/>
      </c>
      <c r="D510" t="str">
        <f>IF(A510="","",IF(A510="[FÓRMULA MANUAL]","",IFERROR(AVERAGEIFS(DATOS!$K$2:$K$20000,DATOS!$A$2:$A$20000,A510,DATOS!$G$2:$G$20000,CONFIG_METADATA!$B$4,DATOS!$I$2:$I$20000,"Conjunto"),"")))</f>
        <v/>
      </c>
      <c r="E510" t="str">
        <f>IF(A510="","",IF(A510="[FÓRMULA MANUAL]","",IFERROR(SUMPRODUCT((DATOS!$A$2:$A$20000=A510)*(DATOS!$G$2:$G$20000=CONFIG_METADATA!$B$4)*(COUNTIF(CONFIG_ASIGNATURAS!$B$7:$B$27,DATOS!$I$2:$I$20000)&gt;0)*(DATOS!$K$2:$K$20000))/SUMPRODUCT((DATOS!$A$2:$A$20000=A510)*(DATOS!$G$2:$G$20000=CONFIG_METADATA!$B$4)*(COUNTIF(CONFIG_ASIGNATURAS!$B$7:$B$27,DATOS!$I$2:$I$20000)&gt;0)*1),"")))</f>
        <v/>
      </c>
      <c r="H510" t="str">
        <f>IF(G510="","",IF(G510="[FÓRMULA MANUAL]","",IFERROR(AVERAGEIFS(DATOS!$K$2:$K$20000,DATOS!$A$2:$A$20000,G510,DATOS!$G$2:$G$20000,CONFIG_METADATA!$B$4,DATOS!$I$2:$I$20000,"Lenguaje Musical"),"")))</f>
        <v/>
      </c>
      <c r="I510" t="str">
        <f>IF(G510="","",IF(G510="[FÓRMULA MANUAL]","",IFERROR(AVERAGEIFS(DATOS!$K$2:$K$20000,DATOS!$A$2:$A$20000,G510,DATOS!$G$2:$G$20000,CONFIG_METADATA!$B$4,DATOS!$I$2:$I$20000,"Orquesta/Banda/Conjunto"),"")))</f>
        <v/>
      </c>
      <c r="J510" t="str">
        <f>IF(G510="","",IF(G510="[FÓRMULA MANUAL]","",IFERROR(AVERAGEIFS(DATOS!$K$2:$K$20000,DATOS!$A$2:$A$20000,G510,DATOS!$G$2:$G$20000,CONFIG_METADATA!$B$4,DATOS!$I$2:$I$20000,"Conjunto"),"")))</f>
        <v/>
      </c>
      <c r="K510" t="str">
        <f>IF(G510="","",IF(G510="[FÓRMULA MANUAL]","",IFERROR(SUMPRODUCT((DATOS!$A$2:$A$20000=G510)*(DATOS!$G$2:$G$20000=CONFIG_METADATA!$B$4)*(COUNTIF(CONFIG_ASIGNATURAS!$B$7:$B$27,DATOS!$I$2:$I$20000)&gt;0)*(DATOS!$K$2:$K$20000))/SUMPRODUCT((DATOS!$A$2:$A$20000=G510)*(DATOS!$G$2:$G$20000=CONFIG_METADATA!$B$4)*(COUNTIF(CONFIG_ASIGNATURAS!$B$7:$B$27,DATOS!$I$2:$I$20000)&gt;0)*1),"")))</f>
        <v/>
      </c>
      <c r="N510" t="str">
        <f>IF(M510="","",IF(M510="[FÓRMULA MANUAL]","",IFERROR(AVERAGEIFS(DATOS!$K$2:$K$20000,DATOS!$A$2:$A$20000,M510,DATOS!$G$2:$G$20000,CONFIG_METADATA!$B$4,DATOS!$I$2:$I$20000,"Armonía"),"")))</f>
        <v/>
      </c>
      <c r="O510" t="str">
        <f>IF(M510="","",IF(M510="[FÓRMULA MANUAL]","",IFERROR(AVERAGEIFS(DATOS!$K$2:$K$20000,DATOS!$A$2:$A$20000,M510,DATOS!$G$2:$G$20000,CONFIG_METADATA!$B$4,DATOS!$I$2:$I$20000,"Orquesta/Banda/Conjunto"),"")))</f>
        <v/>
      </c>
      <c r="P510" t="str">
        <f>IF(M510="","",IF(M510="[FÓRMULA MANUAL]","",IFERROR(AVERAGEIFS(DATOS!$K$2:$K$20000,DATOS!$A$2:$A$20000,M510,DATOS!$G$2:$G$20000,CONFIG_METADATA!$B$4,DATOS!$I$2:$I$20000,"Música de Cámara"),"")))</f>
        <v/>
      </c>
      <c r="Q510" t="str">
        <f>IF(M510="","",IF(M510="[FÓRMULA MANUAL]","",IFERROR(SUMPRODUCT((DATOS!$A$2:$A$20000=M510)*(DATOS!$G$2:$G$20000=CONFIG_METADATA!$B$4)*(COUNTIF(CONFIG_ASIGNATURAS!$B$7:$B$27,DATOS!$I$2:$I$20000)&gt;0)*(DATOS!$K$2:$K$20000))/SUMPRODUCT((DATOS!$A$2:$A$20000=M510)*(DATOS!$G$2:$G$20000=CONFIG_METADATA!$B$4)*(COUNTIF(CONFIG_ASIGNATURAS!$B$7:$B$27,DATOS!$I$2:$I$20000)&gt;0)*1),"")))</f>
        <v/>
      </c>
      <c r="T510" t="str">
        <f>IF(S510="","",IF(S510="[FÓRMULA MANUAL]","",IFERROR(AVERAGEIFS(DATOS!$K$2:$K$20000,DATOS!$A$2:$A$20000,S510,DATOS!$G$2:$G$20000,CONFIG_METADATA!$B$4,DATOS!$I$2:$I$20000,"Armonía"),"")))</f>
        <v/>
      </c>
      <c r="U510" t="str">
        <f>IF(S510="","",IF(S510="[FÓRMULA MANUAL]","",IFERROR(AVERAGEIFS(DATOS!$K$2:$K$20000,DATOS!$A$2:$A$20000,S510,DATOS!$G$2:$G$20000,CONFIG_METADATA!$B$4,DATOS!$I$2:$I$20000,"Orquesta/Banda/Conjunto"),"")))</f>
        <v/>
      </c>
      <c r="V510" t="str">
        <f>IF(S510="","",IF(S510="[FÓRMULA MANUAL]","",IFERROR(AVERAGEIFS(DATOS!$K$2:$K$20000,DATOS!$A$2:$A$20000,S510,DATOS!$G$2:$G$20000,CONFIG_METADATA!$B$4,DATOS!$I$2:$I$20000,"Música de Cámara"),"")))</f>
        <v/>
      </c>
      <c r="W510" t="str">
        <f>IF(S510="","",IF(S510="[FÓRMULA MANUAL]","",IFERROR(SUMPRODUCT((DATOS!$A$2:$A$20000=S510)*(DATOS!$G$2:$G$20000=CONFIG_METADATA!$B$4)*(COUNTIF(CONFIG_ASIGNATURAS!$B$7:$B$27,DATOS!$I$2:$I$20000)&gt;0)*(DATOS!$K$2:$K$20000))/SUMPRODUCT((DATOS!$A$2:$A$20000=S510)*(DATOS!$G$2:$G$20000=CONFIG_METADATA!$B$4)*(COUNTIF(CONFIG_ASIGNATURAS!$B$7:$B$27,DATOS!$I$2:$I$20000)&gt;0)*1),"")))</f>
        <v/>
      </c>
      <c r="Z510" t="str">
        <f>IF(Y510="","",IF(Y510="[FÓRMULA MANUAL]","",IFERROR(AVERAGEIFS(DATOS!$K$2:$K$20000,DATOS!$A$2:$A$20000,Y510,DATOS!$G$2:$G$20000,CONFIG_METADATA!$B$4,DATOS!$I$2:$I$20000,"Análisis"),"")))</f>
        <v/>
      </c>
      <c r="AA510" t="str">
        <f>IF(Y510="","",IF(Y510="[FÓRMULA MANUAL]","",IFERROR(AVERAGEIFS(DATOS!$K$2:$K$20000,DATOS!$A$2:$A$20000,Y510,DATOS!$G$2:$G$20000,CONFIG_METADATA!$B$4,DATOS!$I$2:$I$20000,"Orquesta/Banda/Conjunto"),"")))</f>
        <v/>
      </c>
      <c r="AB510" t="str">
        <f>IF(Y510="","",IF(Y510="[FÓRMULA MANUAL]","",IFERROR(AVERAGEIFS(DATOS!$K$2:$K$20000,DATOS!$A$2:$A$20000,Y510,DATOS!$G$2:$G$20000,CONFIG_METADATA!$B$4,DATOS!$I$2:$I$20000,"Música de Cámara"),"")))</f>
        <v/>
      </c>
      <c r="AC510" t="str">
        <f>IF(Y510="","",IF(Y510="[FÓRMULA MANUAL]","",IFERROR(SUMPRODUCT((DATOS!$A$2:$A$20000=Y510)*(DATOS!$G$2:$G$20000=CONFIG_METADATA!$B$4)*(COUNTIF(CONFIG_ASIGNATURAS!$B$7:$B$27,DATOS!$I$2:$I$20000)&gt;0)*(DATOS!$K$2:$K$20000))/SUMPRODUCT((DATOS!$A$2:$A$20000=Y510)*(DATOS!$G$2:$G$20000=CONFIG_METADATA!$B$4)*(COUNTIF(CONFIG_ASIGNATURAS!$B$7:$B$27,DATOS!$I$2:$I$20000)&gt;0)*1),"")))</f>
        <v/>
      </c>
      <c r="AF510" t="str">
        <f>IF(AE510="","",IF(AE510="[FÓRMULA MANUAL]","",IFERROR(AVERAGEIFS(DATOS!$K$2:$K$20000,DATOS!$A$2:$A$20000,AE510,DATOS!$G$2:$G$20000,CONFIG_METADATA!$B$4,DATOS!$I$2:$I$20000,"Análisis"),"")))</f>
        <v/>
      </c>
      <c r="AG510" t="str">
        <f>IF(AE510="","",IF(AE510="[FÓRMULA MANUAL]","",IFERROR(AVERAGEIFS(DATOS!$K$2:$K$20000,DATOS!$A$2:$A$20000,AE510,DATOS!$G$2:$G$20000,CONFIG_METADATA!$B$4,DATOS!$I$2:$I$20000,"Orquesta/Banda/Conjunto"),"")))</f>
        <v/>
      </c>
      <c r="AH510" t="str">
        <f>IF(AE510="","",IF(AE510="[FÓRMULA MANUAL]","",IFERROR(AVERAGEIFS(DATOS!$K$2:$K$20000,DATOS!$A$2:$A$20000,AE510,DATOS!$G$2:$G$20000,CONFIG_METADATA!$B$4,DATOS!$I$2:$I$20000,"Música de Cámara"),"")))</f>
        <v/>
      </c>
      <c r="AI510" t="str">
        <f>IF(AE510="","",IF(AE510="[FÓRMULA MANUAL]","",IFERROR(SUMPRODUCT((DATOS!$A$2:$A$20000=AE510)*(DATOS!$G$2:$G$20000=CONFIG_METADATA!$B$4)*(COUNTIF(CONFIG_ASIGNATURAS!$B$7:$B$27,DATOS!$I$2:$I$20000)&gt;0)*(DATOS!$K$2:$K$20000))/SUMPRODUCT((DATOS!$A$2:$A$20000=AE510)*(DATOS!$G$2:$G$20000=CONFIG_METADATA!$B$4)*(COUNTIF(CONFIG_ASIGNATURAS!$B$7:$B$27,DATOS!$I$2:$I$20000)&gt;0)*1),"")))</f>
        <v/>
      </c>
    </row>
    <row r="511" spans="2:35" x14ac:dyDescent="0.2">
      <c r="B511" t="str">
        <f>IF(A511="","",IF(A511="[FÓRMULA MANUAL]","",IFERROR(AVERAGEIFS(DATOS!$K$2:$K$20000,DATOS!$A$2:$A$20000,A511,DATOS!$G$2:$G$20000,CONFIG_METADATA!$B$4,DATOS!$I$2:$I$20000,"Lenguaje Musical"),"")))</f>
        <v/>
      </c>
      <c r="C511" t="str">
        <f>IF(A511="","",IF(A511="[FÓRMULA MANUAL]","",IFERROR(AVERAGEIFS(DATOS!$K$2:$K$20000,DATOS!$A$2:$A$20000,A511,DATOS!$G$2:$G$20000,CONFIG_METADATA!$B$4,DATOS!$I$2:$I$20000,"Orquesta/Banda/Conjunto"),"")))</f>
        <v/>
      </c>
      <c r="D511" t="str">
        <f>IF(A511="","",IF(A511="[FÓRMULA MANUAL]","",IFERROR(AVERAGEIFS(DATOS!$K$2:$K$20000,DATOS!$A$2:$A$20000,A511,DATOS!$G$2:$G$20000,CONFIG_METADATA!$B$4,DATOS!$I$2:$I$20000,"Conjunto"),"")))</f>
        <v/>
      </c>
      <c r="E511" t="str">
        <f>IF(A511="","",IF(A511="[FÓRMULA MANUAL]","",IFERROR(SUMPRODUCT((DATOS!$A$2:$A$20000=A511)*(DATOS!$G$2:$G$20000=CONFIG_METADATA!$B$4)*(COUNTIF(CONFIG_ASIGNATURAS!$B$7:$B$27,DATOS!$I$2:$I$20000)&gt;0)*(DATOS!$K$2:$K$20000))/SUMPRODUCT((DATOS!$A$2:$A$20000=A511)*(DATOS!$G$2:$G$20000=CONFIG_METADATA!$B$4)*(COUNTIF(CONFIG_ASIGNATURAS!$B$7:$B$27,DATOS!$I$2:$I$20000)&gt;0)*1),"")))</f>
        <v/>
      </c>
      <c r="H511" t="str">
        <f>IF(G511="","",IF(G511="[FÓRMULA MANUAL]","",IFERROR(AVERAGEIFS(DATOS!$K$2:$K$20000,DATOS!$A$2:$A$20000,G511,DATOS!$G$2:$G$20000,CONFIG_METADATA!$B$4,DATOS!$I$2:$I$20000,"Lenguaje Musical"),"")))</f>
        <v/>
      </c>
      <c r="I511" t="str">
        <f>IF(G511="","",IF(G511="[FÓRMULA MANUAL]","",IFERROR(AVERAGEIFS(DATOS!$K$2:$K$20000,DATOS!$A$2:$A$20000,G511,DATOS!$G$2:$G$20000,CONFIG_METADATA!$B$4,DATOS!$I$2:$I$20000,"Orquesta/Banda/Conjunto"),"")))</f>
        <v/>
      </c>
      <c r="J511" t="str">
        <f>IF(G511="","",IF(G511="[FÓRMULA MANUAL]","",IFERROR(AVERAGEIFS(DATOS!$K$2:$K$20000,DATOS!$A$2:$A$20000,G511,DATOS!$G$2:$G$20000,CONFIG_METADATA!$B$4,DATOS!$I$2:$I$20000,"Conjunto"),"")))</f>
        <v/>
      </c>
      <c r="K511" t="str">
        <f>IF(G511="","",IF(G511="[FÓRMULA MANUAL]","",IFERROR(SUMPRODUCT((DATOS!$A$2:$A$20000=G511)*(DATOS!$G$2:$G$20000=CONFIG_METADATA!$B$4)*(COUNTIF(CONFIG_ASIGNATURAS!$B$7:$B$27,DATOS!$I$2:$I$20000)&gt;0)*(DATOS!$K$2:$K$20000))/SUMPRODUCT((DATOS!$A$2:$A$20000=G511)*(DATOS!$G$2:$G$20000=CONFIG_METADATA!$B$4)*(COUNTIF(CONFIG_ASIGNATURAS!$B$7:$B$27,DATOS!$I$2:$I$20000)&gt;0)*1),"")))</f>
        <v/>
      </c>
      <c r="N511" t="str">
        <f>IF(M511="","",IF(M511="[FÓRMULA MANUAL]","",IFERROR(AVERAGEIFS(DATOS!$K$2:$K$20000,DATOS!$A$2:$A$20000,M511,DATOS!$G$2:$G$20000,CONFIG_METADATA!$B$4,DATOS!$I$2:$I$20000,"Armonía"),"")))</f>
        <v/>
      </c>
      <c r="O511" t="str">
        <f>IF(M511="","",IF(M511="[FÓRMULA MANUAL]","",IFERROR(AVERAGEIFS(DATOS!$K$2:$K$20000,DATOS!$A$2:$A$20000,M511,DATOS!$G$2:$G$20000,CONFIG_METADATA!$B$4,DATOS!$I$2:$I$20000,"Orquesta/Banda/Conjunto"),"")))</f>
        <v/>
      </c>
      <c r="P511" t="str">
        <f>IF(M511="","",IF(M511="[FÓRMULA MANUAL]","",IFERROR(AVERAGEIFS(DATOS!$K$2:$K$20000,DATOS!$A$2:$A$20000,M511,DATOS!$G$2:$G$20000,CONFIG_METADATA!$B$4,DATOS!$I$2:$I$20000,"Música de Cámara"),"")))</f>
        <v/>
      </c>
      <c r="Q511" t="str">
        <f>IF(M511="","",IF(M511="[FÓRMULA MANUAL]","",IFERROR(SUMPRODUCT((DATOS!$A$2:$A$20000=M511)*(DATOS!$G$2:$G$20000=CONFIG_METADATA!$B$4)*(COUNTIF(CONFIG_ASIGNATURAS!$B$7:$B$27,DATOS!$I$2:$I$20000)&gt;0)*(DATOS!$K$2:$K$20000))/SUMPRODUCT((DATOS!$A$2:$A$20000=M511)*(DATOS!$G$2:$G$20000=CONFIG_METADATA!$B$4)*(COUNTIF(CONFIG_ASIGNATURAS!$B$7:$B$27,DATOS!$I$2:$I$20000)&gt;0)*1),"")))</f>
        <v/>
      </c>
      <c r="T511" t="str">
        <f>IF(S511="","",IF(S511="[FÓRMULA MANUAL]","",IFERROR(AVERAGEIFS(DATOS!$K$2:$K$20000,DATOS!$A$2:$A$20000,S511,DATOS!$G$2:$G$20000,CONFIG_METADATA!$B$4,DATOS!$I$2:$I$20000,"Armonía"),"")))</f>
        <v/>
      </c>
      <c r="U511" t="str">
        <f>IF(S511="","",IF(S511="[FÓRMULA MANUAL]","",IFERROR(AVERAGEIFS(DATOS!$K$2:$K$20000,DATOS!$A$2:$A$20000,S511,DATOS!$G$2:$G$20000,CONFIG_METADATA!$B$4,DATOS!$I$2:$I$20000,"Orquesta/Banda/Conjunto"),"")))</f>
        <v/>
      </c>
      <c r="V511" t="str">
        <f>IF(S511="","",IF(S511="[FÓRMULA MANUAL]","",IFERROR(AVERAGEIFS(DATOS!$K$2:$K$20000,DATOS!$A$2:$A$20000,S511,DATOS!$G$2:$G$20000,CONFIG_METADATA!$B$4,DATOS!$I$2:$I$20000,"Música de Cámara"),"")))</f>
        <v/>
      </c>
      <c r="W511" t="str">
        <f>IF(S511="","",IF(S511="[FÓRMULA MANUAL]","",IFERROR(SUMPRODUCT((DATOS!$A$2:$A$20000=S511)*(DATOS!$G$2:$G$20000=CONFIG_METADATA!$B$4)*(COUNTIF(CONFIG_ASIGNATURAS!$B$7:$B$27,DATOS!$I$2:$I$20000)&gt;0)*(DATOS!$K$2:$K$20000))/SUMPRODUCT((DATOS!$A$2:$A$20000=S511)*(DATOS!$G$2:$G$20000=CONFIG_METADATA!$B$4)*(COUNTIF(CONFIG_ASIGNATURAS!$B$7:$B$27,DATOS!$I$2:$I$20000)&gt;0)*1),"")))</f>
        <v/>
      </c>
      <c r="Z511" t="str">
        <f>IF(Y511="","",IF(Y511="[FÓRMULA MANUAL]","",IFERROR(AVERAGEIFS(DATOS!$K$2:$K$20000,DATOS!$A$2:$A$20000,Y511,DATOS!$G$2:$G$20000,CONFIG_METADATA!$B$4,DATOS!$I$2:$I$20000,"Análisis"),"")))</f>
        <v/>
      </c>
      <c r="AA511" t="str">
        <f>IF(Y511="","",IF(Y511="[FÓRMULA MANUAL]","",IFERROR(AVERAGEIFS(DATOS!$K$2:$K$20000,DATOS!$A$2:$A$20000,Y511,DATOS!$G$2:$G$20000,CONFIG_METADATA!$B$4,DATOS!$I$2:$I$20000,"Orquesta/Banda/Conjunto"),"")))</f>
        <v/>
      </c>
      <c r="AB511" t="str">
        <f>IF(Y511="","",IF(Y511="[FÓRMULA MANUAL]","",IFERROR(AVERAGEIFS(DATOS!$K$2:$K$20000,DATOS!$A$2:$A$20000,Y511,DATOS!$G$2:$G$20000,CONFIG_METADATA!$B$4,DATOS!$I$2:$I$20000,"Música de Cámara"),"")))</f>
        <v/>
      </c>
      <c r="AC511" t="str">
        <f>IF(Y511="","",IF(Y511="[FÓRMULA MANUAL]","",IFERROR(SUMPRODUCT((DATOS!$A$2:$A$20000=Y511)*(DATOS!$G$2:$G$20000=CONFIG_METADATA!$B$4)*(COUNTIF(CONFIG_ASIGNATURAS!$B$7:$B$27,DATOS!$I$2:$I$20000)&gt;0)*(DATOS!$K$2:$K$20000))/SUMPRODUCT((DATOS!$A$2:$A$20000=Y511)*(DATOS!$G$2:$G$20000=CONFIG_METADATA!$B$4)*(COUNTIF(CONFIG_ASIGNATURAS!$B$7:$B$27,DATOS!$I$2:$I$20000)&gt;0)*1),"")))</f>
        <v/>
      </c>
      <c r="AF511" t="str">
        <f>IF(AE511="","",IF(AE511="[FÓRMULA MANUAL]","",IFERROR(AVERAGEIFS(DATOS!$K$2:$K$20000,DATOS!$A$2:$A$20000,AE511,DATOS!$G$2:$G$20000,CONFIG_METADATA!$B$4,DATOS!$I$2:$I$20000,"Análisis"),"")))</f>
        <v/>
      </c>
      <c r="AG511" t="str">
        <f>IF(AE511="","",IF(AE511="[FÓRMULA MANUAL]","",IFERROR(AVERAGEIFS(DATOS!$K$2:$K$20000,DATOS!$A$2:$A$20000,AE511,DATOS!$G$2:$G$20000,CONFIG_METADATA!$B$4,DATOS!$I$2:$I$20000,"Orquesta/Banda/Conjunto"),"")))</f>
        <v/>
      </c>
      <c r="AH511" t="str">
        <f>IF(AE511="","",IF(AE511="[FÓRMULA MANUAL]","",IFERROR(AVERAGEIFS(DATOS!$K$2:$K$20000,DATOS!$A$2:$A$20000,AE511,DATOS!$G$2:$G$20000,CONFIG_METADATA!$B$4,DATOS!$I$2:$I$20000,"Música de Cámara"),"")))</f>
        <v/>
      </c>
      <c r="AI511" t="str">
        <f>IF(AE511="","",IF(AE511="[FÓRMULA MANUAL]","",IFERROR(SUMPRODUCT((DATOS!$A$2:$A$20000=AE511)*(DATOS!$G$2:$G$20000=CONFIG_METADATA!$B$4)*(COUNTIF(CONFIG_ASIGNATURAS!$B$7:$B$27,DATOS!$I$2:$I$20000)&gt;0)*(DATOS!$K$2:$K$20000))/SUMPRODUCT((DATOS!$A$2:$A$20000=AE511)*(DATOS!$G$2:$G$20000=CONFIG_METADATA!$B$4)*(COUNTIF(CONFIG_ASIGNATURAS!$B$7:$B$27,DATOS!$I$2:$I$20000)&gt;0)*1),"")))</f>
        <v/>
      </c>
    </row>
    <row r="512" spans="2:35" x14ac:dyDescent="0.2">
      <c r="B512" t="str">
        <f>IF(A512="","",IF(A512="[FÓRMULA MANUAL]","",IFERROR(AVERAGEIFS(DATOS!$K$2:$K$20000,DATOS!$A$2:$A$20000,A512,DATOS!$G$2:$G$20000,CONFIG_METADATA!$B$4,DATOS!$I$2:$I$20000,"Lenguaje Musical"),"")))</f>
        <v/>
      </c>
      <c r="C512" t="str">
        <f>IF(A512="","",IF(A512="[FÓRMULA MANUAL]","",IFERROR(AVERAGEIFS(DATOS!$K$2:$K$20000,DATOS!$A$2:$A$20000,A512,DATOS!$G$2:$G$20000,CONFIG_METADATA!$B$4,DATOS!$I$2:$I$20000,"Orquesta/Banda/Conjunto"),"")))</f>
        <v/>
      </c>
      <c r="D512" t="str">
        <f>IF(A512="","",IF(A512="[FÓRMULA MANUAL]","",IFERROR(AVERAGEIFS(DATOS!$K$2:$K$20000,DATOS!$A$2:$A$20000,A512,DATOS!$G$2:$G$20000,CONFIG_METADATA!$B$4,DATOS!$I$2:$I$20000,"Conjunto"),"")))</f>
        <v/>
      </c>
      <c r="E512" t="str">
        <f>IF(A512="","",IF(A512="[FÓRMULA MANUAL]","",IFERROR(SUMPRODUCT((DATOS!$A$2:$A$20000=A512)*(DATOS!$G$2:$G$20000=CONFIG_METADATA!$B$4)*(COUNTIF(CONFIG_ASIGNATURAS!$B$7:$B$27,DATOS!$I$2:$I$20000)&gt;0)*(DATOS!$K$2:$K$20000))/SUMPRODUCT((DATOS!$A$2:$A$20000=A512)*(DATOS!$G$2:$G$20000=CONFIG_METADATA!$B$4)*(COUNTIF(CONFIG_ASIGNATURAS!$B$7:$B$27,DATOS!$I$2:$I$20000)&gt;0)*1),"")))</f>
        <v/>
      </c>
      <c r="H512" t="str">
        <f>IF(G512="","",IF(G512="[FÓRMULA MANUAL]","",IFERROR(AVERAGEIFS(DATOS!$K$2:$K$20000,DATOS!$A$2:$A$20000,G512,DATOS!$G$2:$G$20000,CONFIG_METADATA!$B$4,DATOS!$I$2:$I$20000,"Lenguaje Musical"),"")))</f>
        <v/>
      </c>
      <c r="I512" t="str">
        <f>IF(G512="","",IF(G512="[FÓRMULA MANUAL]","",IFERROR(AVERAGEIFS(DATOS!$K$2:$K$20000,DATOS!$A$2:$A$20000,G512,DATOS!$G$2:$G$20000,CONFIG_METADATA!$B$4,DATOS!$I$2:$I$20000,"Orquesta/Banda/Conjunto"),"")))</f>
        <v/>
      </c>
      <c r="J512" t="str">
        <f>IF(G512="","",IF(G512="[FÓRMULA MANUAL]","",IFERROR(AVERAGEIFS(DATOS!$K$2:$K$20000,DATOS!$A$2:$A$20000,G512,DATOS!$G$2:$G$20000,CONFIG_METADATA!$B$4,DATOS!$I$2:$I$20000,"Conjunto"),"")))</f>
        <v/>
      </c>
      <c r="K512" t="str">
        <f>IF(G512="","",IF(G512="[FÓRMULA MANUAL]","",IFERROR(SUMPRODUCT((DATOS!$A$2:$A$20000=G512)*(DATOS!$G$2:$G$20000=CONFIG_METADATA!$B$4)*(COUNTIF(CONFIG_ASIGNATURAS!$B$7:$B$27,DATOS!$I$2:$I$20000)&gt;0)*(DATOS!$K$2:$K$20000))/SUMPRODUCT((DATOS!$A$2:$A$20000=G512)*(DATOS!$G$2:$G$20000=CONFIG_METADATA!$B$4)*(COUNTIF(CONFIG_ASIGNATURAS!$B$7:$B$27,DATOS!$I$2:$I$20000)&gt;0)*1),"")))</f>
        <v/>
      </c>
      <c r="N512" t="str">
        <f>IF(M512="","",IF(M512="[FÓRMULA MANUAL]","",IFERROR(AVERAGEIFS(DATOS!$K$2:$K$20000,DATOS!$A$2:$A$20000,M512,DATOS!$G$2:$G$20000,CONFIG_METADATA!$B$4,DATOS!$I$2:$I$20000,"Armonía"),"")))</f>
        <v/>
      </c>
      <c r="O512" t="str">
        <f>IF(M512="","",IF(M512="[FÓRMULA MANUAL]","",IFERROR(AVERAGEIFS(DATOS!$K$2:$K$20000,DATOS!$A$2:$A$20000,M512,DATOS!$G$2:$G$20000,CONFIG_METADATA!$B$4,DATOS!$I$2:$I$20000,"Orquesta/Banda/Conjunto"),"")))</f>
        <v/>
      </c>
      <c r="P512" t="str">
        <f>IF(M512="","",IF(M512="[FÓRMULA MANUAL]","",IFERROR(AVERAGEIFS(DATOS!$K$2:$K$20000,DATOS!$A$2:$A$20000,M512,DATOS!$G$2:$G$20000,CONFIG_METADATA!$B$4,DATOS!$I$2:$I$20000,"Música de Cámara"),"")))</f>
        <v/>
      </c>
      <c r="Q512" t="str">
        <f>IF(M512="","",IF(M512="[FÓRMULA MANUAL]","",IFERROR(SUMPRODUCT((DATOS!$A$2:$A$20000=M512)*(DATOS!$G$2:$G$20000=CONFIG_METADATA!$B$4)*(COUNTIF(CONFIG_ASIGNATURAS!$B$7:$B$27,DATOS!$I$2:$I$20000)&gt;0)*(DATOS!$K$2:$K$20000))/SUMPRODUCT((DATOS!$A$2:$A$20000=M512)*(DATOS!$G$2:$G$20000=CONFIG_METADATA!$B$4)*(COUNTIF(CONFIG_ASIGNATURAS!$B$7:$B$27,DATOS!$I$2:$I$20000)&gt;0)*1),"")))</f>
        <v/>
      </c>
      <c r="T512" t="str">
        <f>IF(S512="","",IF(S512="[FÓRMULA MANUAL]","",IFERROR(AVERAGEIFS(DATOS!$K$2:$K$20000,DATOS!$A$2:$A$20000,S512,DATOS!$G$2:$G$20000,CONFIG_METADATA!$B$4,DATOS!$I$2:$I$20000,"Armonía"),"")))</f>
        <v/>
      </c>
      <c r="U512" t="str">
        <f>IF(S512="","",IF(S512="[FÓRMULA MANUAL]","",IFERROR(AVERAGEIFS(DATOS!$K$2:$K$20000,DATOS!$A$2:$A$20000,S512,DATOS!$G$2:$G$20000,CONFIG_METADATA!$B$4,DATOS!$I$2:$I$20000,"Orquesta/Banda/Conjunto"),"")))</f>
        <v/>
      </c>
      <c r="V512" t="str">
        <f>IF(S512="","",IF(S512="[FÓRMULA MANUAL]","",IFERROR(AVERAGEIFS(DATOS!$K$2:$K$20000,DATOS!$A$2:$A$20000,S512,DATOS!$G$2:$G$20000,CONFIG_METADATA!$B$4,DATOS!$I$2:$I$20000,"Música de Cámara"),"")))</f>
        <v/>
      </c>
      <c r="W512" t="str">
        <f>IF(S512="","",IF(S512="[FÓRMULA MANUAL]","",IFERROR(SUMPRODUCT((DATOS!$A$2:$A$20000=S512)*(DATOS!$G$2:$G$20000=CONFIG_METADATA!$B$4)*(COUNTIF(CONFIG_ASIGNATURAS!$B$7:$B$27,DATOS!$I$2:$I$20000)&gt;0)*(DATOS!$K$2:$K$20000))/SUMPRODUCT((DATOS!$A$2:$A$20000=S512)*(DATOS!$G$2:$G$20000=CONFIG_METADATA!$B$4)*(COUNTIF(CONFIG_ASIGNATURAS!$B$7:$B$27,DATOS!$I$2:$I$20000)&gt;0)*1),"")))</f>
        <v/>
      </c>
      <c r="Z512" t="str">
        <f>IF(Y512="","",IF(Y512="[FÓRMULA MANUAL]","",IFERROR(AVERAGEIFS(DATOS!$K$2:$K$20000,DATOS!$A$2:$A$20000,Y512,DATOS!$G$2:$G$20000,CONFIG_METADATA!$B$4,DATOS!$I$2:$I$20000,"Análisis"),"")))</f>
        <v/>
      </c>
      <c r="AA512" t="str">
        <f>IF(Y512="","",IF(Y512="[FÓRMULA MANUAL]","",IFERROR(AVERAGEIFS(DATOS!$K$2:$K$20000,DATOS!$A$2:$A$20000,Y512,DATOS!$G$2:$G$20000,CONFIG_METADATA!$B$4,DATOS!$I$2:$I$20000,"Orquesta/Banda/Conjunto"),"")))</f>
        <v/>
      </c>
      <c r="AB512" t="str">
        <f>IF(Y512="","",IF(Y512="[FÓRMULA MANUAL]","",IFERROR(AVERAGEIFS(DATOS!$K$2:$K$20000,DATOS!$A$2:$A$20000,Y512,DATOS!$G$2:$G$20000,CONFIG_METADATA!$B$4,DATOS!$I$2:$I$20000,"Música de Cámara"),"")))</f>
        <v/>
      </c>
      <c r="AC512" t="str">
        <f>IF(Y512="","",IF(Y512="[FÓRMULA MANUAL]","",IFERROR(SUMPRODUCT((DATOS!$A$2:$A$20000=Y512)*(DATOS!$G$2:$G$20000=CONFIG_METADATA!$B$4)*(COUNTIF(CONFIG_ASIGNATURAS!$B$7:$B$27,DATOS!$I$2:$I$20000)&gt;0)*(DATOS!$K$2:$K$20000))/SUMPRODUCT((DATOS!$A$2:$A$20000=Y512)*(DATOS!$G$2:$G$20000=CONFIG_METADATA!$B$4)*(COUNTIF(CONFIG_ASIGNATURAS!$B$7:$B$27,DATOS!$I$2:$I$20000)&gt;0)*1),"")))</f>
        <v/>
      </c>
      <c r="AF512" t="str">
        <f>IF(AE512="","",IF(AE512="[FÓRMULA MANUAL]","",IFERROR(AVERAGEIFS(DATOS!$K$2:$K$20000,DATOS!$A$2:$A$20000,AE512,DATOS!$G$2:$G$20000,CONFIG_METADATA!$B$4,DATOS!$I$2:$I$20000,"Análisis"),"")))</f>
        <v/>
      </c>
      <c r="AG512" t="str">
        <f>IF(AE512="","",IF(AE512="[FÓRMULA MANUAL]","",IFERROR(AVERAGEIFS(DATOS!$K$2:$K$20000,DATOS!$A$2:$A$20000,AE512,DATOS!$G$2:$G$20000,CONFIG_METADATA!$B$4,DATOS!$I$2:$I$20000,"Orquesta/Banda/Conjunto"),"")))</f>
        <v/>
      </c>
      <c r="AH512" t="str">
        <f>IF(AE512="","",IF(AE512="[FÓRMULA MANUAL]","",IFERROR(AVERAGEIFS(DATOS!$K$2:$K$20000,DATOS!$A$2:$A$20000,AE512,DATOS!$G$2:$G$20000,CONFIG_METADATA!$B$4,DATOS!$I$2:$I$20000,"Música de Cámara"),"")))</f>
        <v/>
      </c>
      <c r="AI512" t="str">
        <f>IF(AE512="","",IF(AE512="[FÓRMULA MANUAL]","",IFERROR(SUMPRODUCT((DATOS!$A$2:$A$20000=AE512)*(DATOS!$G$2:$G$20000=CONFIG_METADATA!$B$4)*(COUNTIF(CONFIG_ASIGNATURAS!$B$7:$B$27,DATOS!$I$2:$I$20000)&gt;0)*(DATOS!$K$2:$K$20000))/SUMPRODUCT((DATOS!$A$2:$A$20000=AE512)*(DATOS!$G$2:$G$20000=CONFIG_METADATA!$B$4)*(COUNTIF(CONFIG_ASIGNATURAS!$B$7:$B$27,DATOS!$I$2:$I$20000)&gt;0)*1),"")))</f>
        <v/>
      </c>
    </row>
    <row r="513" spans="2:35" x14ac:dyDescent="0.2">
      <c r="B513" t="str">
        <f>IF(A513="","",IF(A513="[FÓRMULA MANUAL]","",IFERROR(AVERAGEIFS(DATOS!$K$2:$K$20000,DATOS!$A$2:$A$20000,A513,DATOS!$G$2:$G$20000,CONFIG_METADATA!$B$4,DATOS!$I$2:$I$20000,"Lenguaje Musical"),"")))</f>
        <v/>
      </c>
      <c r="C513" t="str">
        <f>IF(A513="","",IF(A513="[FÓRMULA MANUAL]","",IFERROR(AVERAGEIFS(DATOS!$K$2:$K$20000,DATOS!$A$2:$A$20000,A513,DATOS!$G$2:$G$20000,CONFIG_METADATA!$B$4,DATOS!$I$2:$I$20000,"Orquesta/Banda/Conjunto"),"")))</f>
        <v/>
      </c>
      <c r="D513" t="str">
        <f>IF(A513="","",IF(A513="[FÓRMULA MANUAL]","",IFERROR(AVERAGEIFS(DATOS!$K$2:$K$20000,DATOS!$A$2:$A$20000,A513,DATOS!$G$2:$G$20000,CONFIG_METADATA!$B$4,DATOS!$I$2:$I$20000,"Conjunto"),"")))</f>
        <v/>
      </c>
      <c r="E513" t="str">
        <f>IF(A513="","",IF(A513="[FÓRMULA MANUAL]","",IFERROR(SUMPRODUCT((DATOS!$A$2:$A$20000=A513)*(DATOS!$G$2:$G$20000=CONFIG_METADATA!$B$4)*(COUNTIF(CONFIG_ASIGNATURAS!$B$7:$B$27,DATOS!$I$2:$I$20000)&gt;0)*(DATOS!$K$2:$K$20000))/SUMPRODUCT((DATOS!$A$2:$A$20000=A513)*(DATOS!$G$2:$G$20000=CONFIG_METADATA!$B$4)*(COUNTIF(CONFIG_ASIGNATURAS!$B$7:$B$27,DATOS!$I$2:$I$20000)&gt;0)*1),"")))</f>
        <v/>
      </c>
      <c r="H513" t="str">
        <f>IF(G513="","",IF(G513="[FÓRMULA MANUAL]","",IFERROR(AVERAGEIFS(DATOS!$K$2:$K$20000,DATOS!$A$2:$A$20000,G513,DATOS!$G$2:$G$20000,CONFIG_METADATA!$B$4,DATOS!$I$2:$I$20000,"Lenguaje Musical"),"")))</f>
        <v/>
      </c>
      <c r="I513" t="str">
        <f>IF(G513="","",IF(G513="[FÓRMULA MANUAL]","",IFERROR(AVERAGEIFS(DATOS!$K$2:$K$20000,DATOS!$A$2:$A$20000,G513,DATOS!$G$2:$G$20000,CONFIG_METADATA!$B$4,DATOS!$I$2:$I$20000,"Orquesta/Banda/Conjunto"),"")))</f>
        <v/>
      </c>
      <c r="J513" t="str">
        <f>IF(G513="","",IF(G513="[FÓRMULA MANUAL]","",IFERROR(AVERAGEIFS(DATOS!$K$2:$K$20000,DATOS!$A$2:$A$20000,G513,DATOS!$G$2:$G$20000,CONFIG_METADATA!$B$4,DATOS!$I$2:$I$20000,"Conjunto"),"")))</f>
        <v/>
      </c>
      <c r="K513" t="str">
        <f>IF(G513="","",IF(G513="[FÓRMULA MANUAL]","",IFERROR(SUMPRODUCT((DATOS!$A$2:$A$20000=G513)*(DATOS!$G$2:$G$20000=CONFIG_METADATA!$B$4)*(COUNTIF(CONFIG_ASIGNATURAS!$B$7:$B$27,DATOS!$I$2:$I$20000)&gt;0)*(DATOS!$K$2:$K$20000))/SUMPRODUCT((DATOS!$A$2:$A$20000=G513)*(DATOS!$G$2:$G$20000=CONFIG_METADATA!$B$4)*(COUNTIF(CONFIG_ASIGNATURAS!$B$7:$B$27,DATOS!$I$2:$I$20000)&gt;0)*1),"")))</f>
        <v/>
      </c>
      <c r="N513" t="str">
        <f>IF(M513="","",IF(M513="[FÓRMULA MANUAL]","",IFERROR(AVERAGEIFS(DATOS!$K$2:$K$20000,DATOS!$A$2:$A$20000,M513,DATOS!$G$2:$G$20000,CONFIG_METADATA!$B$4,DATOS!$I$2:$I$20000,"Armonía"),"")))</f>
        <v/>
      </c>
      <c r="O513" t="str">
        <f>IF(M513="","",IF(M513="[FÓRMULA MANUAL]","",IFERROR(AVERAGEIFS(DATOS!$K$2:$K$20000,DATOS!$A$2:$A$20000,M513,DATOS!$G$2:$G$20000,CONFIG_METADATA!$B$4,DATOS!$I$2:$I$20000,"Orquesta/Banda/Conjunto"),"")))</f>
        <v/>
      </c>
      <c r="P513" t="str">
        <f>IF(M513="","",IF(M513="[FÓRMULA MANUAL]","",IFERROR(AVERAGEIFS(DATOS!$K$2:$K$20000,DATOS!$A$2:$A$20000,M513,DATOS!$G$2:$G$20000,CONFIG_METADATA!$B$4,DATOS!$I$2:$I$20000,"Música de Cámara"),"")))</f>
        <v/>
      </c>
      <c r="Q513" t="str">
        <f>IF(M513="","",IF(M513="[FÓRMULA MANUAL]","",IFERROR(SUMPRODUCT((DATOS!$A$2:$A$20000=M513)*(DATOS!$G$2:$G$20000=CONFIG_METADATA!$B$4)*(COUNTIF(CONFIG_ASIGNATURAS!$B$7:$B$27,DATOS!$I$2:$I$20000)&gt;0)*(DATOS!$K$2:$K$20000))/SUMPRODUCT((DATOS!$A$2:$A$20000=M513)*(DATOS!$G$2:$G$20000=CONFIG_METADATA!$B$4)*(COUNTIF(CONFIG_ASIGNATURAS!$B$7:$B$27,DATOS!$I$2:$I$20000)&gt;0)*1),"")))</f>
        <v/>
      </c>
      <c r="T513" t="str">
        <f>IF(S513="","",IF(S513="[FÓRMULA MANUAL]","",IFERROR(AVERAGEIFS(DATOS!$K$2:$K$20000,DATOS!$A$2:$A$20000,S513,DATOS!$G$2:$G$20000,CONFIG_METADATA!$B$4,DATOS!$I$2:$I$20000,"Armonía"),"")))</f>
        <v/>
      </c>
      <c r="U513" t="str">
        <f>IF(S513="","",IF(S513="[FÓRMULA MANUAL]","",IFERROR(AVERAGEIFS(DATOS!$K$2:$K$20000,DATOS!$A$2:$A$20000,S513,DATOS!$G$2:$G$20000,CONFIG_METADATA!$B$4,DATOS!$I$2:$I$20000,"Orquesta/Banda/Conjunto"),"")))</f>
        <v/>
      </c>
      <c r="V513" t="str">
        <f>IF(S513="","",IF(S513="[FÓRMULA MANUAL]","",IFERROR(AVERAGEIFS(DATOS!$K$2:$K$20000,DATOS!$A$2:$A$20000,S513,DATOS!$G$2:$G$20000,CONFIG_METADATA!$B$4,DATOS!$I$2:$I$20000,"Música de Cámara"),"")))</f>
        <v/>
      </c>
      <c r="W513" t="str">
        <f>IF(S513="","",IF(S513="[FÓRMULA MANUAL]","",IFERROR(SUMPRODUCT((DATOS!$A$2:$A$20000=S513)*(DATOS!$G$2:$G$20000=CONFIG_METADATA!$B$4)*(COUNTIF(CONFIG_ASIGNATURAS!$B$7:$B$27,DATOS!$I$2:$I$20000)&gt;0)*(DATOS!$K$2:$K$20000))/SUMPRODUCT((DATOS!$A$2:$A$20000=S513)*(DATOS!$G$2:$G$20000=CONFIG_METADATA!$B$4)*(COUNTIF(CONFIG_ASIGNATURAS!$B$7:$B$27,DATOS!$I$2:$I$20000)&gt;0)*1),"")))</f>
        <v/>
      </c>
      <c r="Z513" t="str">
        <f>IF(Y513="","",IF(Y513="[FÓRMULA MANUAL]","",IFERROR(AVERAGEIFS(DATOS!$K$2:$K$20000,DATOS!$A$2:$A$20000,Y513,DATOS!$G$2:$G$20000,CONFIG_METADATA!$B$4,DATOS!$I$2:$I$20000,"Análisis"),"")))</f>
        <v/>
      </c>
      <c r="AA513" t="str">
        <f>IF(Y513="","",IF(Y513="[FÓRMULA MANUAL]","",IFERROR(AVERAGEIFS(DATOS!$K$2:$K$20000,DATOS!$A$2:$A$20000,Y513,DATOS!$G$2:$G$20000,CONFIG_METADATA!$B$4,DATOS!$I$2:$I$20000,"Orquesta/Banda/Conjunto"),"")))</f>
        <v/>
      </c>
      <c r="AB513" t="str">
        <f>IF(Y513="","",IF(Y513="[FÓRMULA MANUAL]","",IFERROR(AVERAGEIFS(DATOS!$K$2:$K$20000,DATOS!$A$2:$A$20000,Y513,DATOS!$G$2:$G$20000,CONFIG_METADATA!$B$4,DATOS!$I$2:$I$20000,"Música de Cámara"),"")))</f>
        <v/>
      </c>
      <c r="AC513" t="str">
        <f>IF(Y513="","",IF(Y513="[FÓRMULA MANUAL]","",IFERROR(SUMPRODUCT((DATOS!$A$2:$A$20000=Y513)*(DATOS!$G$2:$G$20000=CONFIG_METADATA!$B$4)*(COUNTIF(CONFIG_ASIGNATURAS!$B$7:$B$27,DATOS!$I$2:$I$20000)&gt;0)*(DATOS!$K$2:$K$20000))/SUMPRODUCT((DATOS!$A$2:$A$20000=Y513)*(DATOS!$G$2:$G$20000=CONFIG_METADATA!$B$4)*(COUNTIF(CONFIG_ASIGNATURAS!$B$7:$B$27,DATOS!$I$2:$I$20000)&gt;0)*1),"")))</f>
        <v/>
      </c>
      <c r="AF513" t="str">
        <f>IF(AE513="","",IF(AE513="[FÓRMULA MANUAL]","",IFERROR(AVERAGEIFS(DATOS!$K$2:$K$20000,DATOS!$A$2:$A$20000,AE513,DATOS!$G$2:$G$20000,CONFIG_METADATA!$B$4,DATOS!$I$2:$I$20000,"Análisis"),"")))</f>
        <v/>
      </c>
      <c r="AG513" t="str">
        <f>IF(AE513="","",IF(AE513="[FÓRMULA MANUAL]","",IFERROR(AVERAGEIFS(DATOS!$K$2:$K$20000,DATOS!$A$2:$A$20000,AE513,DATOS!$G$2:$G$20000,CONFIG_METADATA!$B$4,DATOS!$I$2:$I$20000,"Orquesta/Banda/Conjunto"),"")))</f>
        <v/>
      </c>
      <c r="AH513" t="str">
        <f>IF(AE513="","",IF(AE513="[FÓRMULA MANUAL]","",IFERROR(AVERAGEIFS(DATOS!$K$2:$K$20000,DATOS!$A$2:$A$20000,AE513,DATOS!$G$2:$G$20000,CONFIG_METADATA!$B$4,DATOS!$I$2:$I$20000,"Música de Cámara"),"")))</f>
        <v/>
      </c>
      <c r="AI513" t="str">
        <f>IF(AE513="","",IF(AE513="[FÓRMULA MANUAL]","",IFERROR(SUMPRODUCT((DATOS!$A$2:$A$20000=AE513)*(DATOS!$G$2:$G$20000=CONFIG_METADATA!$B$4)*(COUNTIF(CONFIG_ASIGNATURAS!$B$7:$B$27,DATOS!$I$2:$I$20000)&gt;0)*(DATOS!$K$2:$K$20000))/SUMPRODUCT((DATOS!$A$2:$A$20000=AE513)*(DATOS!$G$2:$G$20000=CONFIG_METADATA!$B$4)*(COUNTIF(CONFIG_ASIGNATURAS!$B$7:$B$27,DATOS!$I$2:$I$20000)&gt;0)*1),"")))</f>
        <v/>
      </c>
    </row>
    <row r="514" spans="2:35" x14ac:dyDescent="0.2">
      <c r="B514" t="str">
        <f>IF(A514="","",IF(A514="[FÓRMULA MANUAL]","",IFERROR(AVERAGEIFS(DATOS!$K$2:$K$20000,DATOS!$A$2:$A$20000,A514,DATOS!$G$2:$G$20000,CONFIG_METADATA!$B$4,DATOS!$I$2:$I$20000,"Lenguaje Musical"),"")))</f>
        <v/>
      </c>
      <c r="C514" t="str">
        <f>IF(A514="","",IF(A514="[FÓRMULA MANUAL]","",IFERROR(AVERAGEIFS(DATOS!$K$2:$K$20000,DATOS!$A$2:$A$20000,A514,DATOS!$G$2:$G$20000,CONFIG_METADATA!$B$4,DATOS!$I$2:$I$20000,"Orquesta/Banda/Conjunto"),"")))</f>
        <v/>
      </c>
      <c r="D514" t="str">
        <f>IF(A514="","",IF(A514="[FÓRMULA MANUAL]","",IFERROR(AVERAGEIFS(DATOS!$K$2:$K$20000,DATOS!$A$2:$A$20000,A514,DATOS!$G$2:$G$20000,CONFIG_METADATA!$B$4,DATOS!$I$2:$I$20000,"Conjunto"),"")))</f>
        <v/>
      </c>
      <c r="E514" t="str">
        <f>IF(A514="","",IF(A514="[FÓRMULA MANUAL]","",IFERROR(SUMPRODUCT((DATOS!$A$2:$A$20000=A514)*(DATOS!$G$2:$G$20000=CONFIG_METADATA!$B$4)*(COUNTIF(CONFIG_ASIGNATURAS!$B$7:$B$27,DATOS!$I$2:$I$20000)&gt;0)*(DATOS!$K$2:$K$20000))/SUMPRODUCT((DATOS!$A$2:$A$20000=A514)*(DATOS!$G$2:$G$20000=CONFIG_METADATA!$B$4)*(COUNTIF(CONFIG_ASIGNATURAS!$B$7:$B$27,DATOS!$I$2:$I$20000)&gt;0)*1),"")))</f>
        <v/>
      </c>
      <c r="H514" t="str">
        <f>IF(G514="","",IF(G514="[FÓRMULA MANUAL]","",IFERROR(AVERAGEIFS(DATOS!$K$2:$K$20000,DATOS!$A$2:$A$20000,G514,DATOS!$G$2:$G$20000,CONFIG_METADATA!$B$4,DATOS!$I$2:$I$20000,"Lenguaje Musical"),"")))</f>
        <v/>
      </c>
      <c r="I514" t="str">
        <f>IF(G514="","",IF(G514="[FÓRMULA MANUAL]","",IFERROR(AVERAGEIFS(DATOS!$K$2:$K$20000,DATOS!$A$2:$A$20000,G514,DATOS!$G$2:$G$20000,CONFIG_METADATA!$B$4,DATOS!$I$2:$I$20000,"Orquesta/Banda/Conjunto"),"")))</f>
        <v/>
      </c>
      <c r="J514" t="str">
        <f>IF(G514="","",IF(G514="[FÓRMULA MANUAL]","",IFERROR(AVERAGEIFS(DATOS!$K$2:$K$20000,DATOS!$A$2:$A$20000,G514,DATOS!$G$2:$G$20000,CONFIG_METADATA!$B$4,DATOS!$I$2:$I$20000,"Conjunto"),"")))</f>
        <v/>
      </c>
      <c r="K514" t="str">
        <f>IF(G514="","",IF(G514="[FÓRMULA MANUAL]","",IFERROR(SUMPRODUCT((DATOS!$A$2:$A$20000=G514)*(DATOS!$G$2:$G$20000=CONFIG_METADATA!$B$4)*(COUNTIF(CONFIG_ASIGNATURAS!$B$7:$B$27,DATOS!$I$2:$I$20000)&gt;0)*(DATOS!$K$2:$K$20000))/SUMPRODUCT((DATOS!$A$2:$A$20000=G514)*(DATOS!$G$2:$G$20000=CONFIG_METADATA!$B$4)*(COUNTIF(CONFIG_ASIGNATURAS!$B$7:$B$27,DATOS!$I$2:$I$20000)&gt;0)*1),"")))</f>
        <v/>
      </c>
      <c r="N514" t="str">
        <f>IF(M514="","",IF(M514="[FÓRMULA MANUAL]","",IFERROR(AVERAGEIFS(DATOS!$K$2:$K$20000,DATOS!$A$2:$A$20000,M514,DATOS!$G$2:$G$20000,CONFIG_METADATA!$B$4,DATOS!$I$2:$I$20000,"Armonía"),"")))</f>
        <v/>
      </c>
      <c r="O514" t="str">
        <f>IF(M514="","",IF(M514="[FÓRMULA MANUAL]","",IFERROR(AVERAGEIFS(DATOS!$K$2:$K$20000,DATOS!$A$2:$A$20000,M514,DATOS!$G$2:$G$20000,CONFIG_METADATA!$B$4,DATOS!$I$2:$I$20000,"Orquesta/Banda/Conjunto"),"")))</f>
        <v/>
      </c>
      <c r="P514" t="str">
        <f>IF(M514="","",IF(M514="[FÓRMULA MANUAL]","",IFERROR(AVERAGEIFS(DATOS!$K$2:$K$20000,DATOS!$A$2:$A$20000,M514,DATOS!$G$2:$G$20000,CONFIG_METADATA!$B$4,DATOS!$I$2:$I$20000,"Música de Cámara"),"")))</f>
        <v/>
      </c>
      <c r="Q514" t="str">
        <f>IF(M514="","",IF(M514="[FÓRMULA MANUAL]","",IFERROR(SUMPRODUCT((DATOS!$A$2:$A$20000=M514)*(DATOS!$G$2:$G$20000=CONFIG_METADATA!$B$4)*(COUNTIF(CONFIG_ASIGNATURAS!$B$7:$B$27,DATOS!$I$2:$I$20000)&gt;0)*(DATOS!$K$2:$K$20000))/SUMPRODUCT((DATOS!$A$2:$A$20000=M514)*(DATOS!$G$2:$G$20000=CONFIG_METADATA!$B$4)*(COUNTIF(CONFIG_ASIGNATURAS!$B$7:$B$27,DATOS!$I$2:$I$20000)&gt;0)*1),"")))</f>
        <v/>
      </c>
      <c r="T514" t="str">
        <f>IF(S514="","",IF(S514="[FÓRMULA MANUAL]","",IFERROR(AVERAGEIFS(DATOS!$K$2:$K$20000,DATOS!$A$2:$A$20000,S514,DATOS!$G$2:$G$20000,CONFIG_METADATA!$B$4,DATOS!$I$2:$I$20000,"Armonía"),"")))</f>
        <v/>
      </c>
      <c r="U514" t="str">
        <f>IF(S514="","",IF(S514="[FÓRMULA MANUAL]","",IFERROR(AVERAGEIFS(DATOS!$K$2:$K$20000,DATOS!$A$2:$A$20000,S514,DATOS!$G$2:$G$20000,CONFIG_METADATA!$B$4,DATOS!$I$2:$I$20000,"Orquesta/Banda/Conjunto"),"")))</f>
        <v/>
      </c>
      <c r="V514" t="str">
        <f>IF(S514="","",IF(S514="[FÓRMULA MANUAL]","",IFERROR(AVERAGEIFS(DATOS!$K$2:$K$20000,DATOS!$A$2:$A$20000,S514,DATOS!$G$2:$G$20000,CONFIG_METADATA!$B$4,DATOS!$I$2:$I$20000,"Música de Cámara"),"")))</f>
        <v/>
      </c>
      <c r="W514" t="str">
        <f>IF(S514="","",IF(S514="[FÓRMULA MANUAL]","",IFERROR(SUMPRODUCT((DATOS!$A$2:$A$20000=S514)*(DATOS!$G$2:$G$20000=CONFIG_METADATA!$B$4)*(COUNTIF(CONFIG_ASIGNATURAS!$B$7:$B$27,DATOS!$I$2:$I$20000)&gt;0)*(DATOS!$K$2:$K$20000))/SUMPRODUCT((DATOS!$A$2:$A$20000=S514)*(DATOS!$G$2:$G$20000=CONFIG_METADATA!$B$4)*(COUNTIF(CONFIG_ASIGNATURAS!$B$7:$B$27,DATOS!$I$2:$I$20000)&gt;0)*1),"")))</f>
        <v/>
      </c>
      <c r="Z514" t="str">
        <f>IF(Y514="","",IF(Y514="[FÓRMULA MANUAL]","",IFERROR(AVERAGEIFS(DATOS!$K$2:$K$20000,DATOS!$A$2:$A$20000,Y514,DATOS!$G$2:$G$20000,CONFIG_METADATA!$B$4,DATOS!$I$2:$I$20000,"Análisis"),"")))</f>
        <v/>
      </c>
      <c r="AA514" t="str">
        <f>IF(Y514="","",IF(Y514="[FÓRMULA MANUAL]","",IFERROR(AVERAGEIFS(DATOS!$K$2:$K$20000,DATOS!$A$2:$A$20000,Y514,DATOS!$G$2:$G$20000,CONFIG_METADATA!$B$4,DATOS!$I$2:$I$20000,"Orquesta/Banda/Conjunto"),"")))</f>
        <v/>
      </c>
      <c r="AB514" t="str">
        <f>IF(Y514="","",IF(Y514="[FÓRMULA MANUAL]","",IFERROR(AVERAGEIFS(DATOS!$K$2:$K$20000,DATOS!$A$2:$A$20000,Y514,DATOS!$G$2:$G$20000,CONFIG_METADATA!$B$4,DATOS!$I$2:$I$20000,"Música de Cámara"),"")))</f>
        <v/>
      </c>
      <c r="AC514" t="str">
        <f>IF(Y514="","",IF(Y514="[FÓRMULA MANUAL]","",IFERROR(SUMPRODUCT((DATOS!$A$2:$A$20000=Y514)*(DATOS!$G$2:$G$20000=CONFIG_METADATA!$B$4)*(COUNTIF(CONFIG_ASIGNATURAS!$B$7:$B$27,DATOS!$I$2:$I$20000)&gt;0)*(DATOS!$K$2:$K$20000))/SUMPRODUCT((DATOS!$A$2:$A$20000=Y514)*(DATOS!$G$2:$G$20000=CONFIG_METADATA!$B$4)*(COUNTIF(CONFIG_ASIGNATURAS!$B$7:$B$27,DATOS!$I$2:$I$20000)&gt;0)*1),"")))</f>
        <v/>
      </c>
      <c r="AF514" t="str">
        <f>IF(AE514="","",IF(AE514="[FÓRMULA MANUAL]","",IFERROR(AVERAGEIFS(DATOS!$K$2:$K$20000,DATOS!$A$2:$A$20000,AE514,DATOS!$G$2:$G$20000,CONFIG_METADATA!$B$4,DATOS!$I$2:$I$20000,"Análisis"),"")))</f>
        <v/>
      </c>
      <c r="AG514" t="str">
        <f>IF(AE514="","",IF(AE514="[FÓRMULA MANUAL]","",IFERROR(AVERAGEIFS(DATOS!$K$2:$K$20000,DATOS!$A$2:$A$20000,AE514,DATOS!$G$2:$G$20000,CONFIG_METADATA!$B$4,DATOS!$I$2:$I$20000,"Orquesta/Banda/Conjunto"),"")))</f>
        <v/>
      </c>
      <c r="AH514" t="str">
        <f>IF(AE514="","",IF(AE514="[FÓRMULA MANUAL]","",IFERROR(AVERAGEIFS(DATOS!$K$2:$K$20000,DATOS!$A$2:$A$20000,AE514,DATOS!$G$2:$G$20000,CONFIG_METADATA!$B$4,DATOS!$I$2:$I$20000,"Música de Cámara"),"")))</f>
        <v/>
      </c>
      <c r="AI514" t="str">
        <f>IF(AE514="","",IF(AE514="[FÓRMULA MANUAL]","",IFERROR(SUMPRODUCT((DATOS!$A$2:$A$20000=AE514)*(DATOS!$G$2:$G$20000=CONFIG_METADATA!$B$4)*(COUNTIF(CONFIG_ASIGNATURAS!$B$7:$B$27,DATOS!$I$2:$I$20000)&gt;0)*(DATOS!$K$2:$K$20000))/SUMPRODUCT((DATOS!$A$2:$A$20000=AE514)*(DATOS!$G$2:$G$20000=CONFIG_METADATA!$B$4)*(COUNTIF(CONFIG_ASIGNATURAS!$B$7:$B$27,DATOS!$I$2:$I$20000)&gt;0)*1),"")))</f>
        <v/>
      </c>
    </row>
    <row r="515" spans="2:35" x14ac:dyDescent="0.2">
      <c r="B515" t="str">
        <f>IF(A515="","",IF(A515="[FÓRMULA MANUAL]","",IFERROR(AVERAGEIFS(DATOS!$K$2:$K$20000,DATOS!$A$2:$A$20000,A515,DATOS!$G$2:$G$20000,CONFIG_METADATA!$B$4,DATOS!$I$2:$I$20000,"Lenguaje Musical"),"")))</f>
        <v/>
      </c>
      <c r="C515" t="str">
        <f>IF(A515="","",IF(A515="[FÓRMULA MANUAL]","",IFERROR(AVERAGEIFS(DATOS!$K$2:$K$20000,DATOS!$A$2:$A$20000,A515,DATOS!$G$2:$G$20000,CONFIG_METADATA!$B$4,DATOS!$I$2:$I$20000,"Orquesta/Banda/Conjunto"),"")))</f>
        <v/>
      </c>
      <c r="D515" t="str">
        <f>IF(A515="","",IF(A515="[FÓRMULA MANUAL]","",IFERROR(AVERAGEIFS(DATOS!$K$2:$K$20000,DATOS!$A$2:$A$20000,A515,DATOS!$G$2:$G$20000,CONFIG_METADATA!$B$4,DATOS!$I$2:$I$20000,"Conjunto"),"")))</f>
        <v/>
      </c>
      <c r="E515" t="str">
        <f>IF(A515="","",IF(A515="[FÓRMULA MANUAL]","",IFERROR(SUMPRODUCT((DATOS!$A$2:$A$20000=A515)*(DATOS!$G$2:$G$20000=CONFIG_METADATA!$B$4)*(COUNTIF(CONFIG_ASIGNATURAS!$B$7:$B$27,DATOS!$I$2:$I$20000)&gt;0)*(DATOS!$K$2:$K$20000))/SUMPRODUCT((DATOS!$A$2:$A$20000=A515)*(DATOS!$G$2:$G$20000=CONFIG_METADATA!$B$4)*(COUNTIF(CONFIG_ASIGNATURAS!$B$7:$B$27,DATOS!$I$2:$I$20000)&gt;0)*1),"")))</f>
        <v/>
      </c>
      <c r="H515" t="str">
        <f>IF(G515="","",IF(G515="[FÓRMULA MANUAL]","",IFERROR(AVERAGEIFS(DATOS!$K$2:$K$20000,DATOS!$A$2:$A$20000,G515,DATOS!$G$2:$G$20000,CONFIG_METADATA!$B$4,DATOS!$I$2:$I$20000,"Lenguaje Musical"),"")))</f>
        <v/>
      </c>
      <c r="I515" t="str">
        <f>IF(G515="","",IF(G515="[FÓRMULA MANUAL]","",IFERROR(AVERAGEIFS(DATOS!$K$2:$K$20000,DATOS!$A$2:$A$20000,G515,DATOS!$G$2:$G$20000,CONFIG_METADATA!$B$4,DATOS!$I$2:$I$20000,"Orquesta/Banda/Conjunto"),"")))</f>
        <v/>
      </c>
      <c r="J515" t="str">
        <f>IF(G515="","",IF(G515="[FÓRMULA MANUAL]","",IFERROR(AVERAGEIFS(DATOS!$K$2:$K$20000,DATOS!$A$2:$A$20000,G515,DATOS!$G$2:$G$20000,CONFIG_METADATA!$B$4,DATOS!$I$2:$I$20000,"Conjunto"),"")))</f>
        <v/>
      </c>
      <c r="K515" t="str">
        <f>IF(G515="","",IF(G515="[FÓRMULA MANUAL]","",IFERROR(SUMPRODUCT((DATOS!$A$2:$A$20000=G515)*(DATOS!$G$2:$G$20000=CONFIG_METADATA!$B$4)*(COUNTIF(CONFIG_ASIGNATURAS!$B$7:$B$27,DATOS!$I$2:$I$20000)&gt;0)*(DATOS!$K$2:$K$20000))/SUMPRODUCT((DATOS!$A$2:$A$20000=G515)*(DATOS!$G$2:$G$20000=CONFIG_METADATA!$B$4)*(COUNTIF(CONFIG_ASIGNATURAS!$B$7:$B$27,DATOS!$I$2:$I$20000)&gt;0)*1),"")))</f>
        <v/>
      </c>
      <c r="N515" t="str">
        <f>IF(M515="","",IF(M515="[FÓRMULA MANUAL]","",IFERROR(AVERAGEIFS(DATOS!$K$2:$K$20000,DATOS!$A$2:$A$20000,M515,DATOS!$G$2:$G$20000,CONFIG_METADATA!$B$4,DATOS!$I$2:$I$20000,"Armonía"),"")))</f>
        <v/>
      </c>
      <c r="O515" t="str">
        <f>IF(M515="","",IF(M515="[FÓRMULA MANUAL]","",IFERROR(AVERAGEIFS(DATOS!$K$2:$K$20000,DATOS!$A$2:$A$20000,M515,DATOS!$G$2:$G$20000,CONFIG_METADATA!$B$4,DATOS!$I$2:$I$20000,"Orquesta/Banda/Conjunto"),"")))</f>
        <v/>
      </c>
      <c r="P515" t="str">
        <f>IF(M515="","",IF(M515="[FÓRMULA MANUAL]","",IFERROR(AVERAGEIFS(DATOS!$K$2:$K$20000,DATOS!$A$2:$A$20000,M515,DATOS!$G$2:$G$20000,CONFIG_METADATA!$B$4,DATOS!$I$2:$I$20000,"Música de Cámara"),"")))</f>
        <v/>
      </c>
      <c r="Q515" t="str">
        <f>IF(M515="","",IF(M515="[FÓRMULA MANUAL]","",IFERROR(SUMPRODUCT((DATOS!$A$2:$A$20000=M515)*(DATOS!$G$2:$G$20000=CONFIG_METADATA!$B$4)*(COUNTIF(CONFIG_ASIGNATURAS!$B$7:$B$27,DATOS!$I$2:$I$20000)&gt;0)*(DATOS!$K$2:$K$20000))/SUMPRODUCT((DATOS!$A$2:$A$20000=M515)*(DATOS!$G$2:$G$20000=CONFIG_METADATA!$B$4)*(COUNTIF(CONFIG_ASIGNATURAS!$B$7:$B$27,DATOS!$I$2:$I$20000)&gt;0)*1),"")))</f>
        <v/>
      </c>
      <c r="T515" t="str">
        <f>IF(S515="","",IF(S515="[FÓRMULA MANUAL]","",IFERROR(AVERAGEIFS(DATOS!$K$2:$K$20000,DATOS!$A$2:$A$20000,S515,DATOS!$G$2:$G$20000,CONFIG_METADATA!$B$4,DATOS!$I$2:$I$20000,"Armonía"),"")))</f>
        <v/>
      </c>
      <c r="U515" t="str">
        <f>IF(S515="","",IF(S515="[FÓRMULA MANUAL]","",IFERROR(AVERAGEIFS(DATOS!$K$2:$K$20000,DATOS!$A$2:$A$20000,S515,DATOS!$G$2:$G$20000,CONFIG_METADATA!$B$4,DATOS!$I$2:$I$20000,"Orquesta/Banda/Conjunto"),"")))</f>
        <v/>
      </c>
      <c r="V515" t="str">
        <f>IF(S515="","",IF(S515="[FÓRMULA MANUAL]","",IFERROR(AVERAGEIFS(DATOS!$K$2:$K$20000,DATOS!$A$2:$A$20000,S515,DATOS!$G$2:$G$20000,CONFIG_METADATA!$B$4,DATOS!$I$2:$I$20000,"Música de Cámara"),"")))</f>
        <v/>
      </c>
      <c r="W515" t="str">
        <f>IF(S515="","",IF(S515="[FÓRMULA MANUAL]","",IFERROR(SUMPRODUCT((DATOS!$A$2:$A$20000=S515)*(DATOS!$G$2:$G$20000=CONFIG_METADATA!$B$4)*(COUNTIF(CONFIG_ASIGNATURAS!$B$7:$B$27,DATOS!$I$2:$I$20000)&gt;0)*(DATOS!$K$2:$K$20000))/SUMPRODUCT((DATOS!$A$2:$A$20000=S515)*(DATOS!$G$2:$G$20000=CONFIG_METADATA!$B$4)*(COUNTIF(CONFIG_ASIGNATURAS!$B$7:$B$27,DATOS!$I$2:$I$20000)&gt;0)*1),"")))</f>
        <v/>
      </c>
      <c r="Z515" t="str">
        <f>IF(Y515="","",IF(Y515="[FÓRMULA MANUAL]","",IFERROR(AVERAGEIFS(DATOS!$K$2:$K$20000,DATOS!$A$2:$A$20000,Y515,DATOS!$G$2:$G$20000,CONFIG_METADATA!$B$4,DATOS!$I$2:$I$20000,"Análisis"),"")))</f>
        <v/>
      </c>
      <c r="AA515" t="str">
        <f>IF(Y515="","",IF(Y515="[FÓRMULA MANUAL]","",IFERROR(AVERAGEIFS(DATOS!$K$2:$K$20000,DATOS!$A$2:$A$20000,Y515,DATOS!$G$2:$G$20000,CONFIG_METADATA!$B$4,DATOS!$I$2:$I$20000,"Orquesta/Banda/Conjunto"),"")))</f>
        <v/>
      </c>
      <c r="AB515" t="str">
        <f>IF(Y515="","",IF(Y515="[FÓRMULA MANUAL]","",IFERROR(AVERAGEIFS(DATOS!$K$2:$K$20000,DATOS!$A$2:$A$20000,Y515,DATOS!$G$2:$G$20000,CONFIG_METADATA!$B$4,DATOS!$I$2:$I$20000,"Música de Cámara"),"")))</f>
        <v/>
      </c>
      <c r="AC515" t="str">
        <f>IF(Y515="","",IF(Y515="[FÓRMULA MANUAL]","",IFERROR(SUMPRODUCT((DATOS!$A$2:$A$20000=Y515)*(DATOS!$G$2:$G$20000=CONFIG_METADATA!$B$4)*(COUNTIF(CONFIG_ASIGNATURAS!$B$7:$B$27,DATOS!$I$2:$I$20000)&gt;0)*(DATOS!$K$2:$K$20000))/SUMPRODUCT((DATOS!$A$2:$A$20000=Y515)*(DATOS!$G$2:$G$20000=CONFIG_METADATA!$B$4)*(COUNTIF(CONFIG_ASIGNATURAS!$B$7:$B$27,DATOS!$I$2:$I$20000)&gt;0)*1),"")))</f>
        <v/>
      </c>
      <c r="AF515" t="str">
        <f>IF(AE515="","",IF(AE515="[FÓRMULA MANUAL]","",IFERROR(AVERAGEIFS(DATOS!$K$2:$K$20000,DATOS!$A$2:$A$20000,AE515,DATOS!$G$2:$G$20000,CONFIG_METADATA!$B$4,DATOS!$I$2:$I$20000,"Análisis"),"")))</f>
        <v/>
      </c>
      <c r="AG515" t="str">
        <f>IF(AE515="","",IF(AE515="[FÓRMULA MANUAL]","",IFERROR(AVERAGEIFS(DATOS!$K$2:$K$20000,DATOS!$A$2:$A$20000,AE515,DATOS!$G$2:$G$20000,CONFIG_METADATA!$B$4,DATOS!$I$2:$I$20000,"Orquesta/Banda/Conjunto"),"")))</f>
        <v/>
      </c>
      <c r="AH515" t="str">
        <f>IF(AE515="","",IF(AE515="[FÓRMULA MANUAL]","",IFERROR(AVERAGEIFS(DATOS!$K$2:$K$20000,DATOS!$A$2:$A$20000,AE515,DATOS!$G$2:$G$20000,CONFIG_METADATA!$B$4,DATOS!$I$2:$I$20000,"Música de Cámara"),"")))</f>
        <v/>
      </c>
      <c r="AI515" t="str">
        <f>IF(AE515="","",IF(AE515="[FÓRMULA MANUAL]","",IFERROR(SUMPRODUCT((DATOS!$A$2:$A$20000=AE515)*(DATOS!$G$2:$G$20000=CONFIG_METADATA!$B$4)*(COUNTIF(CONFIG_ASIGNATURAS!$B$7:$B$27,DATOS!$I$2:$I$20000)&gt;0)*(DATOS!$K$2:$K$20000))/SUMPRODUCT((DATOS!$A$2:$A$20000=AE515)*(DATOS!$G$2:$G$20000=CONFIG_METADATA!$B$4)*(COUNTIF(CONFIG_ASIGNATURAS!$B$7:$B$27,DATOS!$I$2:$I$20000)&gt;0)*1),"")))</f>
        <v/>
      </c>
    </row>
    <row r="516" spans="2:35" x14ac:dyDescent="0.2">
      <c r="B516" t="str">
        <f>IF(A516="","",IF(A516="[FÓRMULA MANUAL]","",IFERROR(AVERAGEIFS(DATOS!$K$2:$K$20000,DATOS!$A$2:$A$20000,A516,DATOS!$G$2:$G$20000,CONFIG_METADATA!$B$4,DATOS!$I$2:$I$20000,"Lenguaje Musical"),"")))</f>
        <v/>
      </c>
      <c r="C516" t="str">
        <f>IF(A516="","",IF(A516="[FÓRMULA MANUAL]","",IFERROR(AVERAGEIFS(DATOS!$K$2:$K$20000,DATOS!$A$2:$A$20000,A516,DATOS!$G$2:$G$20000,CONFIG_METADATA!$B$4,DATOS!$I$2:$I$20000,"Orquesta/Banda/Conjunto"),"")))</f>
        <v/>
      </c>
      <c r="D516" t="str">
        <f>IF(A516="","",IF(A516="[FÓRMULA MANUAL]","",IFERROR(AVERAGEIFS(DATOS!$K$2:$K$20000,DATOS!$A$2:$A$20000,A516,DATOS!$G$2:$G$20000,CONFIG_METADATA!$B$4,DATOS!$I$2:$I$20000,"Conjunto"),"")))</f>
        <v/>
      </c>
      <c r="E516" t="str">
        <f>IF(A516="","",IF(A516="[FÓRMULA MANUAL]","",IFERROR(SUMPRODUCT((DATOS!$A$2:$A$20000=A516)*(DATOS!$G$2:$G$20000=CONFIG_METADATA!$B$4)*(COUNTIF(CONFIG_ASIGNATURAS!$B$7:$B$27,DATOS!$I$2:$I$20000)&gt;0)*(DATOS!$K$2:$K$20000))/SUMPRODUCT((DATOS!$A$2:$A$20000=A516)*(DATOS!$G$2:$G$20000=CONFIG_METADATA!$B$4)*(COUNTIF(CONFIG_ASIGNATURAS!$B$7:$B$27,DATOS!$I$2:$I$20000)&gt;0)*1),"")))</f>
        <v/>
      </c>
      <c r="H516" t="str">
        <f>IF(G516="","",IF(G516="[FÓRMULA MANUAL]","",IFERROR(AVERAGEIFS(DATOS!$K$2:$K$20000,DATOS!$A$2:$A$20000,G516,DATOS!$G$2:$G$20000,CONFIG_METADATA!$B$4,DATOS!$I$2:$I$20000,"Lenguaje Musical"),"")))</f>
        <v/>
      </c>
      <c r="I516" t="str">
        <f>IF(G516="","",IF(G516="[FÓRMULA MANUAL]","",IFERROR(AVERAGEIFS(DATOS!$K$2:$K$20000,DATOS!$A$2:$A$20000,G516,DATOS!$G$2:$G$20000,CONFIG_METADATA!$B$4,DATOS!$I$2:$I$20000,"Orquesta/Banda/Conjunto"),"")))</f>
        <v/>
      </c>
      <c r="J516" t="str">
        <f>IF(G516="","",IF(G516="[FÓRMULA MANUAL]","",IFERROR(AVERAGEIFS(DATOS!$K$2:$K$20000,DATOS!$A$2:$A$20000,G516,DATOS!$G$2:$G$20000,CONFIG_METADATA!$B$4,DATOS!$I$2:$I$20000,"Conjunto"),"")))</f>
        <v/>
      </c>
      <c r="K516" t="str">
        <f>IF(G516="","",IF(G516="[FÓRMULA MANUAL]","",IFERROR(SUMPRODUCT((DATOS!$A$2:$A$20000=G516)*(DATOS!$G$2:$G$20000=CONFIG_METADATA!$B$4)*(COUNTIF(CONFIG_ASIGNATURAS!$B$7:$B$27,DATOS!$I$2:$I$20000)&gt;0)*(DATOS!$K$2:$K$20000))/SUMPRODUCT((DATOS!$A$2:$A$20000=G516)*(DATOS!$G$2:$G$20000=CONFIG_METADATA!$B$4)*(COUNTIF(CONFIG_ASIGNATURAS!$B$7:$B$27,DATOS!$I$2:$I$20000)&gt;0)*1),"")))</f>
        <v/>
      </c>
      <c r="N516" t="str">
        <f>IF(M516="","",IF(M516="[FÓRMULA MANUAL]","",IFERROR(AVERAGEIFS(DATOS!$K$2:$K$20000,DATOS!$A$2:$A$20000,M516,DATOS!$G$2:$G$20000,CONFIG_METADATA!$B$4,DATOS!$I$2:$I$20000,"Armonía"),"")))</f>
        <v/>
      </c>
      <c r="O516" t="str">
        <f>IF(M516="","",IF(M516="[FÓRMULA MANUAL]","",IFERROR(AVERAGEIFS(DATOS!$K$2:$K$20000,DATOS!$A$2:$A$20000,M516,DATOS!$G$2:$G$20000,CONFIG_METADATA!$B$4,DATOS!$I$2:$I$20000,"Orquesta/Banda/Conjunto"),"")))</f>
        <v/>
      </c>
      <c r="P516" t="str">
        <f>IF(M516="","",IF(M516="[FÓRMULA MANUAL]","",IFERROR(AVERAGEIFS(DATOS!$K$2:$K$20000,DATOS!$A$2:$A$20000,M516,DATOS!$G$2:$G$20000,CONFIG_METADATA!$B$4,DATOS!$I$2:$I$20000,"Música de Cámara"),"")))</f>
        <v/>
      </c>
      <c r="Q516" t="str">
        <f>IF(M516="","",IF(M516="[FÓRMULA MANUAL]","",IFERROR(SUMPRODUCT((DATOS!$A$2:$A$20000=M516)*(DATOS!$G$2:$G$20000=CONFIG_METADATA!$B$4)*(COUNTIF(CONFIG_ASIGNATURAS!$B$7:$B$27,DATOS!$I$2:$I$20000)&gt;0)*(DATOS!$K$2:$K$20000))/SUMPRODUCT((DATOS!$A$2:$A$20000=M516)*(DATOS!$G$2:$G$20000=CONFIG_METADATA!$B$4)*(COUNTIF(CONFIG_ASIGNATURAS!$B$7:$B$27,DATOS!$I$2:$I$20000)&gt;0)*1),"")))</f>
        <v/>
      </c>
      <c r="T516" t="str">
        <f>IF(S516="","",IF(S516="[FÓRMULA MANUAL]","",IFERROR(AVERAGEIFS(DATOS!$K$2:$K$20000,DATOS!$A$2:$A$20000,S516,DATOS!$G$2:$G$20000,CONFIG_METADATA!$B$4,DATOS!$I$2:$I$20000,"Armonía"),"")))</f>
        <v/>
      </c>
      <c r="U516" t="str">
        <f>IF(S516="","",IF(S516="[FÓRMULA MANUAL]","",IFERROR(AVERAGEIFS(DATOS!$K$2:$K$20000,DATOS!$A$2:$A$20000,S516,DATOS!$G$2:$G$20000,CONFIG_METADATA!$B$4,DATOS!$I$2:$I$20000,"Orquesta/Banda/Conjunto"),"")))</f>
        <v/>
      </c>
      <c r="V516" t="str">
        <f>IF(S516="","",IF(S516="[FÓRMULA MANUAL]","",IFERROR(AVERAGEIFS(DATOS!$K$2:$K$20000,DATOS!$A$2:$A$20000,S516,DATOS!$G$2:$G$20000,CONFIG_METADATA!$B$4,DATOS!$I$2:$I$20000,"Música de Cámara"),"")))</f>
        <v/>
      </c>
      <c r="W516" t="str">
        <f>IF(S516="","",IF(S516="[FÓRMULA MANUAL]","",IFERROR(SUMPRODUCT((DATOS!$A$2:$A$20000=S516)*(DATOS!$G$2:$G$20000=CONFIG_METADATA!$B$4)*(COUNTIF(CONFIG_ASIGNATURAS!$B$7:$B$27,DATOS!$I$2:$I$20000)&gt;0)*(DATOS!$K$2:$K$20000))/SUMPRODUCT((DATOS!$A$2:$A$20000=S516)*(DATOS!$G$2:$G$20000=CONFIG_METADATA!$B$4)*(COUNTIF(CONFIG_ASIGNATURAS!$B$7:$B$27,DATOS!$I$2:$I$20000)&gt;0)*1),"")))</f>
        <v/>
      </c>
      <c r="Z516" t="str">
        <f>IF(Y516="","",IF(Y516="[FÓRMULA MANUAL]","",IFERROR(AVERAGEIFS(DATOS!$K$2:$K$20000,DATOS!$A$2:$A$20000,Y516,DATOS!$G$2:$G$20000,CONFIG_METADATA!$B$4,DATOS!$I$2:$I$20000,"Análisis"),"")))</f>
        <v/>
      </c>
      <c r="AA516" t="str">
        <f>IF(Y516="","",IF(Y516="[FÓRMULA MANUAL]","",IFERROR(AVERAGEIFS(DATOS!$K$2:$K$20000,DATOS!$A$2:$A$20000,Y516,DATOS!$G$2:$G$20000,CONFIG_METADATA!$B$4,DATOS!$I$2:$I$20000,"Orquesta/Banda/Conjunto"),"")))</f>
        <v/>
      </c>
      <c r="AB516" t="str">
        <f>IF(Y516="","",IF(Y516="[FÓRMULA MANUAL]","",IFERROR(AVERAGEIFS(DATOS!$K$2:$K$20000,DATOS!$A$2:$A$20000,Y516,DATOS!$G$2:$G$20000,CONFIG_METADATA!$B$4,DATOS!$I$2:$I$20000,"Música de Cámara"),"")))</f>
        <v/>
      </c>
      <c r="AC516" t="str">
        <f>IF(Y516="","",IF(Y516="[FÓRMULA MANUAL]","",IFERROR(SUMPRODUCT((DATOS!$A$2:$A$20000=Y516)*(DATOS!$G$2:$G$20000=CONFIG_METADATA!$B$4)*(COUNTIF(CONFIG_ASIGNATURAS!$B$7:$B$27,DATOS!$I$2:$I$20000)&gt;0)*(DATOS!$K$2:$K$20000))/SUMPRODUCT((DATOS!$A$2:$A$20000=Y516)*(DATOS!$G$2:$G$20000=CONFIG_METADATA!$B$4)*(COUNTIF(CONFIG_ASIGNATURAS!$B$7:$B$27,DATOS!$I$2:$I$20000)&gt;0)*1),"")))</f>
        <v/>
      </c>
      <c r="AF516" t="str">
        <f>IF(AE516="","",IF(AE516="[FÓRMULA MANUAL]","",IFERROR(AVERAGEIFS(DATOS!$K$2:$K$20000,DATOS!$A$2:$A$20000,AE516,DATOS!$G$2:$G$20000,CONFIG_METADATA!$B$4,DATOS!$I$2:$I$20000,"Análisis"),"")))</f>
        <v/>
      </c>
      <c r="AG516" t="str">
        <f>IF(AE516="","",IF(AE516="[FÓRMULA MANUAL]","",IFERROR(AVERAGEIFS(DATOS!$K$2:$K$20000,DATOS!$A$2:$A$20000,AE516,DATOS!$G$2:$G$20000,CONFIG_METADATA!$B$4,DATOS!$I$2:$I$20000,"Orquesta/Banda/Conjunto"),"")))</f>
        <v/>
      </c>
      <c r="AH516" t="str">
        <f>IF(AE516="","",IF(AE516="[FÓRMULA MANUAL]","",IFERROR(AVERAGEIFS(DATOS!$K$2:$K$20000,DATOS!$A$2:$A$20000,AE516,DATOS!$G$2:$G$20000,CONFIG_METADATA!$B$4,DATOS!$I$2:$I$20000,"Música de Cámara"),"")))</f>
        <v/>
      </c>
      <c r="AI516" t="str">
        <f>IF(AE516="","",IF(AE516="[FÓRMULA MANUAL]","",IFERROR(SUMPRODUCT((DATOS!$A$2:$A$20000=AE516)*(DATOS!$G$2:$G$20000=CONFIG_METADATA!$B$4)*(COUNTIF(CONFIG_ASIGNATURAS!$B$7:$B$27,DATOS!$I$2:$I$20000)&gt;0)*(DATOS!$K$2:$K$20000))/SUMPRODUCT((DATOS!$A$2:$A$20000=AE516)*(DATOS!$G$2:$G$20000=CONFIG_METADATA!$B$4)*(COUNTIF(CONFIG_ASIGNATURAS!$B$7:$B$27,DATOS!$I$2:$I$20000)&gt;0)*1),"")))</f>
        <v/>
      </c>
    </row>
    <row r="517" spans="2:35" x14ac:dyDescent="0.2">
      <c r="B517" t="str">
        <f>IF(A517="","",IF(A517="[FÓRMULA MANUAL]","",IFERROR(AVERAGEIFS(DATOS!$K$2:$K$20000,DATOS!$A$2:$A$20000,A517,DATOS!$G$2:$G$20000,CONFIG_METADATA!$B$4,DATOS!$I$2:$I$20000,"Lenguaje Musical"),"")))</f>
        <v/>
      </c>
      <c r="C517" t="str">
        <f>IF(A517="","",IF(A517="[FÓRMULA MANUAL]","",IFERROR(AVERAGEIFS(DATOS!$K$2:$K$20000,DATOS!$A$2:$A$20000,A517,DATOS!$G$2:$G$20000,CONFIG_METADATA!$B$4,DATOS!$I$2:$I$20000,"Orquesta/Banda/Conjunto"),"")))</f>
        <v/>
      </c>
      <c r="D517" t="str">
        <f>IF(A517="","",IF(A517="[FÓRMULA MANUAL]","",IFERROR(AVERAGEIFS(DATOS!$K$2:$K$20000,DATOS!$A$2:$A$20000,A517,DATOS!$G$2:$G$20000,CONFIG_METADATA!$B$4,DATOS!$I$2:$I$20000,"Conjunto"),"")))</f>
        <v/>
      </c>
      <c r="E517" t="str">
        <f>IF(A517="","",IF(A517="[FÓRMULA MANUAL]","",IFERROR(SUMPRODUCT((DATOS!$A$2:$A$20000=A517)*(DATOS!$G$2:$G$20000=CONFIG_METADATA!$B$4)*(COUNTIF(CONFIG_ASIGNATURAS!$B$7:$B$27,DATOS!$I$2:$I$20000)&gt;0)*(DATOS!$K$2:$K$20000))/SUMPRODUCT((DATOS!$A$2:$A$20000=A517)*(DATOS!$G$2:$G$20000=CONFIG_METADATA!$B$4)*(COUNTIF(CONFIG_ASIGNATURAS!$B$7:$B$27,DATOS!$I$2:$I$20000)&gt;0)*1),"")))</f>
        <v/>
      </c>
      <c r="H517" t="str">
        <f>IF(G517="","",IF(G517="[FÓRMULA MANUAL]","",IFERROR(AVERAGEIFS(DATOS!$K$2:$K$20000,DATOS!$A$2:$A$20000,G517,DATOS!$G$2:$G$20000,CONFIG_METADATA!$B$4,DATOS!$I$2:$I$20000,"Lenguaje Musical"),"")))</f>
        <v/>
      </c>
      <c r="I517" t="str">
        <f>IF(G517="","",IF(G517="[FÓRMULA MANUAL]","",IFERROR(AVERAGEIFS(DATOS!$K$2:$K$20000,DATOS!$A$2:$A$20000,G517,DATOS!$G$2:$G$20000,CONFIG_METADATA!$B$4,DATOS!$I$2:$I$20000,"Orquesta/Banda/Conjunto"),"")))</f>
        <v/>
      </c>
      <c r="J517" t="str">
        <f>IF(G517="","",IF(G517="[FÓRMULA MANUAL]","",IFERROR(AVERAGEIFS(DATOS!$K$2:$K$20000,DATOS!$A$2:$A$20000,G517,DATOS!$G$2:$G$20000,CONFIG_METADATA!$B$4,DATOS!$I$2:$I$20000,"Conjunto"),"")))</f>
        <v/>
      </c>
      <c r="K517" t="str">
        <f>IF(G517="","",IF(G517="[FÓRMULA MANUAL]","",IFERROR(SUMPRODUCT((DATOS!$A$2:$A$20000=G517)*(DATOS!$G$2:$G$20000=CONFIG_METADATA!$B$4)*(COUNTIF(CONFIG_ASIGNATURAS!$B$7:$B$27,DATOS!$I$2:$I$20000)&gt;0)*(DATOS!$K$2:$K$20000))/SUMPRODUCT((DATOS!$A$2:$A$20000=G517)*(DATOS!$G$2:$G$20000=CONFIG_METADATA!$B$4)*(COUNTIF(CONFIG_ASIGNATURAS!$B$7:$B$27,DATOS!$I$2:$I$20000)&gt;0)*1),"")))</f>
        <v/>
      </c>
      <c r="N517" t="str">
        <f>IF(M517="","",IF(M517="[FÓRMULA MANUAL]","",IFERROR(AVERAGEIFS(DATOS!$K$2:$K$20000,DATOS!$A$2:$A$20000,M517,DATOS!$G$2:$G$20000,CONFIG_METADATA!$B$4,DATOS!$I$2:$I$20000,"Armonía"),"")))</f>
        <v/>
      </c>
      <c r="O517" t="str">
        <f>IF(M517="","",IF(M517="[FÓRMULA MANUAL]","",IFERROR(AVERAGEIFS(DATOS!$K$2:$K$20000,DATOS!$A$2:$A$20000,M517,DATOS!$G$2:$G$20000,CONFIG_METADATA!$B$4,DATOS!$I$2:$I$20000,"Orquesta/Banda/Conjunto"),"")))</f>
        <v/>
      </c>
      <c r="P517" t="str">
        <f>IF(M517="","",IF(M517="[FÓRMULA MANUAL]","",IFERROR(AVERAGEIFS(DATOS!$K$2:$K$20000,DATOS!$A$2:$A$20000,M517,DATOS!$G$2:$G$20000,CONFIG_METADATA!$B$4,DATOS!$I$2:$I$20000,"Música de Cámara"),"")))</f>
        <v/>
      </c>
      <c r="Q517" t="str">
        <f>IF(M517="","",IF(M517="[FÓRMULA MANUAL]","",IFERROR(SUMPRODUCT((DATOS!$A$2:$A$20000=M517)*(DATOS!$G$2:$G$20000=CONFIG_METADATA!$B$4)*(COUNTIF(CONFIG_ASIGNATURAS!$B$7:$B$27,DATOS!$I$2:$I$20000)&gt;0)*(DATOS!$K$2:$K$20000))/SUMPRODUCT((DATOS!$A$2:$A$20000=M517)*(DATOS!$G$2:$G$20000=CONFIG_METADATA!$B$4)*(COUNTIF(CONFIG_ASIGNATURAS!$B$7:$B$27,DATOS!$I$2:$I$20000)&gt;0)*1),"")))</f>
        <v/>
      </c>
      <c r="T517" t="str">
        <f>IF(S517="","",IF(S517="[FÓRMULA MANUAL]","",IFERROR(AVERAGEIFS(DATOS!$K$2:$K$20000,DATOS!$A$2:$A$20000,S517,DATOS!$G$2:$G$20000,CONFIG_METADATA!$B$4,DATOS!$I$2:$I$20000,"Armonía"),"")))</f>
        <v/>
      </c>
      <c r="U517" t="str">
        <f>IF(S517="","",IF(S517="[FÓRMULA MANUAL]","",IFERROR(AVERAGEIFS(DATOS!$K$2:$K$20000,DATOS!$A$2:$A$20000,S517,DATOS!$G$2:$G$20000,CONFIG_METADATA!$B$4,DATOS!$I$2:$I$20000,"Orquesta/Banda/Conjunto"),"")))</f>
        <v/>
      </c>
      <c r="V517" t="str">
        <f>IF(S517="","",IF(S517="[FÓRMULA MANUAL]","",IFERROR(AVERAGEIFS(DATOS!$K$2:$K$20000,DATOS!$A$2:$A$20000,S517,DATOS!$G$2:$G$20000,CONFIG_METADATA!$B$4,DATOS!$I$2:$I$20000,"Música de Cámara"),"")))</f>
        <v/>
      </c>
      <c r="W517" t="str">
        <f>IF(S517="","",IF(S517="[FÓRMULA MANUAL]","",IFERROR(SUMPRODUCT((DATOS!$A$2:$A$20000=S517)*(DATOS!$G$2:$G$20000=CONFIG_METADATA!$B$4)*(COUNTIF(CONFIG_ASIGNATURAS!$B$7:$B$27,DATOS!$I$2:$I$20000)&gt;0)*(DATOS!$K$2:$K$20000))/SUMPRODUCT((DATOS!$A$2:$A$20000=S517)*(DATOS!$G$2:$G$20000=CONFIG_METADATA!$B$4)*(COUNTIF(CONFIG_ASIGNATURAS!$B$7:$B$27,DATOS!$I$2:$I$20000)&gt;0)*1),"")))</f>
        <v/>
      </c>
      <c r="Z517" t="str">
        <f>IF(Y517="","",IF(Y517="[FÓRMULA MANUAL]","",IFERROR(AVERAGEIFS(DATOS!$K$2:$K$20000,DATOS!$A$2:$A$20000,Y517,DATOS!$G$2:$G$20000,CONFIG_METADATA!$B$4,DATOS!$I$2:$I$20000,"Análisis"),"")))</f>
        <v/>
      </c>
      <c r="AA517" t="str">
        <f>IF(Y517="","",IF(Y517="[FÓRMULA MANUAL]","",IFERROR(AVERAGEIFS(DATOS!$K$2:$K$20000,DATOS!$A$2:$A$20000,Y517,DATOS!$G$2:$G$20000,CONFIG_METADATA!$B$4,DATOS!$I$2:$I$20000,"Orquesta/Banda/Conjunto"),"")))</f>
        <v/>
      </c>
      <c r="AB517" t="str">
        <f>IF(Y517="","",IF(Y517="[FÓRMULA MANUAL]","",IFERROR(AVERAGEIFS(DATOS!$K$2:$K$20000,DATOS!$A$2:$A$20000,Y517,DATOS!$G$2:$G$20000,CONFIG_METADATA!$B$4,DATOS!$I$2:$I$20000,"Música de Cámara"),"")))</f>
        <v/>
      </c>
      <c r="AC517" t="str">
        <f>IF(Y517="","",IF(Y517="[FÓRMULA MANUAL]","",IFERROR(SUMPRODUCT((DATOS!$A$2:$A$20000=Y517)*(DATOS!$G$2:$G$20000=CONFIG_METADATA!$B$4)*(COUNTIF(CONFIG_ASIGNATURAS!$B$7:$B$27,DATOS!$I$2:$I$20000)&gt;0)*(DATOS!$K$2:$K$20000))/SUMPRODUCT((DATOS!$A$2:$A$20000=Y517)*(DATOS!$G$2:$G$20000=CONFIG_METADATA!$B$4)*(COUNTIF(CONFIG_ASIGNATURAS!$B$7:$B$27,DATOS!$I$2:$I$20000)&gt;0)*1),"")))</f>
        <v/>
      </c>
      <c r="AF517" t="str">
        <f>IF(AE517="","",IF(AE517="[FÓRMULA MANUAL]","",IFERROR(AVERAGEIFS(DATOS!$K$2:$K$20000,DATOS!$A$2:$A$20000,AE517,DATOS!$G$2:$G$20000,CONFIG_METADATA!$B$4,DATOS!$I$2:$I$20000,"Análisis"),"")))</f>
        <v/>
      </c>
      <c r="AG517" t="str">
        <f>IF(AE517="","",IF(AE517="[FÓRMULA MANUAL]","",IFERROR(AVERAGEIFS(DATOS!$K$2:$K$20000,DATOS!$A$2:$A$20000,AE517,DATOS!$G$2:$G$20000,CONFIG_METADATA!$B$4,DATOS!$I$2:$I$20000,"Orquesta/Banda/Conjunto"),"")))</f>
        <v/>
      </c>
      <c r="AH517" t="str">
        <f>IF(AE517="","",IF(AE517="[FÓRMULA MANUAL]","",IFERROR(AVERAGEIFS(DATOS!$K$2:$K$20000,DATOS!$A$2:$A$20000,AE517,DATOS!$G$2:$G$20000,CONFIG_METADATA!$B$4,DATOS!$I$2:$I$20000,"Música de Cámara"),"")))</f>
        <v/>
      </c>
      <c r="AI517" t="str">
        <f>IF(AE517="","",IF(AE517="[FÓRMULA MANUAL]","",IFERROR(SUMPRODUCT((DATOS!$A$2:$A$20000=AE517)*(DATOS!$G$2:$G$20000=CONFIG_METADATA!$B$4)*(COUNTIF(CONFIG_ASIGNATURAS!$B$7:$B$27,DATOS!$I$2:$I$20000)&gt;0)*(DATOS!$K$2:$K$20000))/SUMPRODUCT((DATOS!$A$2:$A$20000=AE517)*(DATOS!$G$2:$G$20000=CONFIG_METADATA!$B$4)*(COUNTIF(CONFIG_ASIGNATURAS!$B$7:$B$27,DATOS!$I$2:$I$20000)&gt;0)*1),"")))</f>
        <v/>
      </c>
    </row>
    <row r="518" spans="2:35" x14ac:dyDescent="0.2">
      <c r="B518" t="str">
        <f>IF(A518="","",IF(A518="[FÓRMULA MANUAL]","",IFERROR(AVERAGEIFS(DATOS!$K$2:$K$20000,DATOS!$A$2:$A$20000,A518,DATOS!$G$2:$G$20000,CONFIG_METADATA!$B$4,DATOS!$I$2:$I$20000,"Lenguaje Musical"),"")))</f>
        <v/>
      </c>
      <c r="C518" t="str">
        <f>IF(A518="","",IF(A518="[FÓRMULA MANUAL]","",IFERROR(AVERAGEIFS(DATOS!$K$2:$K$20000,DATOS!$A$2:$A$20000,A518,DATOS!$G$2:$G$20000,CONFIG_METADATA!$B$4,DATOS!$I$2:$I$20000,"Orquesta/Banda/Conjunto"),"")))</f>
        <v/>
      </c>
      <c r="D518" t="str">
        <f>IF(A518="","",IF(A518="[FÓRMULA MANUAL]","",IFERROR(AVERAGEIFS(DATOS!$K$2:$K$20000,DATOS!$A$2:$A$20000,A518,DATOS!$G$2:$G$20000,CONFIG_METADATA!$B$4,DATOS!$I$2:$I$20000,"Conjunto"),"")))</f>
        <v/>
      </c>
      <c r="E518" t="str">
        <f>IF(A518="","",IF(A518="[FÓRMULA MANUAL]","",IFERROR(SUMPRODUCT((DATOS!$A$2:$A$20000=A518)*(DATOS!$G$2:$G$20000=CONFIG_METADATA!$B$4)*(COUNTIF(CONFIG_ASIGNATURAS!$B$7:$B$27,DATOS!$I$2:$I$20000)&gt;0)*(DATOS!$K$2:$K$20000))/SUMPRODUCT((DATOS!$A$2:$A$20000=A518)*(DATOS!$G$2:$G$20000=CONFIG_METADATA!$B$4)*(COUNTIF(CONFIG_ASIGNATURAS!$B$7:$B$27,DATOS!$I$2:$I$20000)&gt;0)*1),"")))</f>
        <v/>
      </c>
      <c r="H518" t="str">
        <f>IF(G518="","",IF(G518="[FÓRMULA MANUAL]","",IFERROR(AVERAGEIFS(DATOS!$K$2:$K$20000,DATOS!$A$2:$A$20000,G518,DATOS!$G$2:$G$20000,CONFIG_METADATA!$B$4,DATOS!$I$2:$I$20000,"Lenguaje Musical"),"")))</f>
        <v/>
      </c>
      <c r="I518" t="str">
        <f>IF(G518="","",IF(G518="[FÓRMULA MANUAL]","",IFERROR(AVERAGEIFS(DATOS!$K$2:$K$20000,DATOS!$A$2:$A$20000,G518,DATOS!$G$2:$G$20000,CONFIG_METADATA!$B$4,DATOS!$I$2:$I$20000,"Orquesta/Banda/Conjunto"),"")))</f>
        <v/>
      </c>
      <c r="J518" t="str">
        <f>IF(G518="","",IF(G518="[FÓRMULA MANUAL]","",IFERROR(AVERAGEIFS(DATOS!$K$2:$K$20000,DATOS!$A$2:$A$20000,G518,DATOS!$G$2:$G$20000,CONFIG_METADATA!$B$4,DATOS!$I$2:$I$20000,"Conjunto"),"")))</f>
        <v/>
      </c>
      <c r="K518" t="str">
        <f>IF(G518="","",IF(G518="[FÓRMULA MANUAL]","",IFERROR(SUMPRODUCT((DATOS!$A$2:$A$20000=G518)*(DATOS!$G$2:$G$20000=CONFIG_METADATA!$B$4)*(COUNTIF(CONFIG_ASIGNATURAS!$B$7:$B$27,DATOS!$I$2:$I$20000)&gt;0)*(DATOS!$K$2:$K$20000))/SUMPRODUCT((DATOS!$A$2:$A$20000=G518)*(DATOS!$G$2:$G$20000=CONFIG_METADATA!$B$4)*(COUNTIF(CONFIG_ASIGNATURAS!$B$7:$B$27,DATOS!$I$2:$I$20000)&gt;0)*1),"")))</f>
        <v/>
      </c>
      <c r="N518" t="str">
        <f>IF(M518="","",IF(M518="[FÓRMULA MANUAL]","",IFERROR(AVERAGEIFS(DATOS!$K$2:$K$20000,DATOS!$A$2:$A$20000,M518,DATOS!$G$2:$G$20000,CONFIG_METADATA!$B$4,DATOS!$I$2:$I$20000,"Armonía"),"")))</f>
        <v/>
      </c>
      <c r="O518" t="str">
        <f>IF(M518="","",IF(M518="[FÓRMULA MANUAL]","",IFERROR(AVERAGEIFS(DATOS!$K$2:$K$20000,DATOS!$A$2:$A$20000,M518,DATOS!$G$2:$G$20000,CONFIG_METADATA!$B$4,DATOS!$I$2:$I$20000,"Orquesta/Banda/Conjunto"),"")))</f>
        <v/>
      </c>
      <c r="P518" t="str">
        <f>IF(M518="","",IF(M518="[FÓRMULA MANUAL]","",IFERROR(AVERAGEIFS(DATOS!$K$2:$K$20000,DATOS!$A$2:$A$20000,M518,DATOS!$G$2:$G$20000,CONFIG_METADATA!$B$4,DATOS!$I$2:$I$20000,"Música de Cámara"),"")))</f>
        <v/>
      </c>
      <c r="Q518" t="str">
        <f>IF(M518="","",IF(M518="[FÓRMULA MANUAL]","",IFERROR(SUMPRODUCT((DATOS!$A$2:$A$20000=M518)*(DATOS!$G$2:$G$20000=CONFIG_METADATA!$B$4)*(COUNTIF(CONFIG_ASIGNATURAS!$B$7:$B$27,DATOS!$I$2:$I$20000)&gt;0)*(DATOS!$K$2:$K$20000))/SUMPRODUCT((DATOS!$A$2:$A$20000=M518)*(DATOS!$G$2:$G$20000=CONFIG_METADATA!$B$4)*(COUNTIF(CONFIG_ASIGNATURAS!$B$7:$B$27,DATOS!$I$2:$I$20000)&gt;0)*1),"")))</f>
        <v/>
      </c>
      <c r="T518" t="str">
        <f>IF(S518="","",IF(S518="[FÓRMULA MANUAL]","",IFERROR(AVERAGEIFS(DATOS!$K$2:$K$20000,DATOS!$A$2:$A$20000,S518,DATOS!$G$2:$G$20000,CONFIG_METADATA!$B$4,DATOS!$I$2:$I$20000,"Armonía"),"")))</f>
        <v/>
      </c>
      <c r="U518" t="str">
        <f>IF(S518="","",IF(S518="[FÓRMULA MANUAL]","",IFERROR(AVERAGEIFS(DATOS!$K$2:$K$20000,DATOS!$A$2:$A$20000,S518,DATOS!$G$2:$G$20000,CONFIG_METADATA!$B$4,DATOS!$I$2:$I$20000,"Orquesta/Banda/Conjunto"),"")))</f>
        <v/>
      </c>
      <c r="V518" t="str">
        <f>IF(S518="","",IF(S518="[FÓRMULA MANUAL]","",IFERROR(AVERAGEIFS(DATOS!$K$2:$K$20000,DATOS!$A$2:$A$20000,S518,DATOS!$G$2:$G$20000,CONFIG_METADATA!$B$4,DATOS!$I$2:$I$20000,"Música de Cámara"),"")))</f>
        <v/>
      </c>
      <c r="W518" t="str">
        <f>IF(S518="","",IF(S518="[FÓRMULA MANUAL]","",IFERROR(SUMPRODUCT((DATOS!$A$2:$A$20000=S518)*(DATOS!$G$2:$G$20000=CONFIG_METADATA!$B$4)*(COUNTIF(CONFIG_ASIGNATURAS!$B$7:$B$27,DATOS!$I$2:$I$20000)&gt;0)*(DATOS!$K$2:$K$20000))/SUMPRODUCT((DATOS!$A$2:$A$20000=S518)*(DATOS!$G$2:$G$20000=CONFIG_METADATA!$B$4)*(COUNTIF(CONFIG_ASIGNATURAS!$B$7:$B$27,DATOS!$I$2:$I$20000)&gt;0)*1),"")))</f>
        <v/>
      </c>
      <c r="Z518" t="str">
        <f>IF(Y518="","",IF(Y518="[FÓRMULA MANUAL]","",IFERROR(AVERAGEIFS(DATOS!$K$2:$K$20000,DATOS!$A$2:$A$20000,Y518,DATOS!$G$2:$G$20000,CONFIG_METADATA!$B$4,DATOS!$I$2:$I$20000,"Análisis"),"")))</f>
        <v/>
      </c>
      <c r="AA518" t="str">
        <f>IF(Y518="","",IF(Y518="[FÓRMULA MANUAL]","",IFERROR(AVERAGEIFS(DATOS!$K$2:$K$20000,DATOS!$A$2:$A$20000,Y518,DATOS!$G$2:$G$20000,CONFIG_METADATA!$B$4,DATOS!$I$2:$I$20000,"Orquesta/Banda/Conjunto"),"")))</f>
        <v/>
      </c>
      <c r="AB518" t="str">
        <f>IF(Y518="","",IF(Y518="[FÓRMULA MANUAL]","",IFERROR(AVERAGEIFS(DATOS!$K$2:$K$20000,DATOS!$A$2:$A$20000,Y518,DATOS!$G$2:$G$20000,CONFIG_METADATA!$B$4,DATOS!$I$2:$I$20000,"Música de Cámara"),"")))</f>
        <v/>
      </c>
      <c r="AC518" t="str">
        <f>IF(Y518="","",IF(Y518="[FÓRMULA MANUAL]","",IFERROR(SUMPRODUCT((DATOS!$A$2:$A$20000=Y518)*(DATOS!$G$2:$G$20000=CONFIG_METADATA!$B$4)*(COUNTIF(CONFIG_ASIGNATURAS!$B$7:$B$27,DATOS!$I$2:$I$20000)&gt;0)*(DATOS!$K$2:$K$20000))/SUMPRODUCT((DATOS!$A$2:$A$20000=Y518)*(DATOS!$G$2:$G$20000=CONFIG_METADATA!$B$4)*(COUNTIF(CONFIG_ASIGNATURAS!$B$7:$B$27,DATOS!$I$2:$I$20000)&gt;0)*1),"")))</f>
        <v/>
      </c>
      <c r="AF518" t="str">
        <f>IF(AE518="","",IF(AE518="[FÓRMULA MANUAL]","",IFERROR(AVERAGEIFS(DATOS!$K$2:$K$20000,DATOS!$A$2:$A$20000,AE518,DATOS!$G$2:$G$20000,CONFIG_METADATA!$B$4,DATOS!$I$2:$I$20000,"Análisis"),"")))</f>
        <v/>
      </c>
      <c r="AG518" t="str">
        <f>IF(AE518="","",IF(AE518="[FÓRMULA MANUAL]","",IFERROR(AVERAGEIFS(DATOS!$K$2:$K$20000,DATOS!$A$2:$A$20000,AE518,DATOS!$G$2:$G$20000,CONFIG_METADATA!$B$4,DATOS!$I$2:$I$20000,"Orquesta/Banda/Conjunto"),"")))</f>
        <v/>
      </c>
      <c r="AH518" t="str">
        <f>IF(AE518="","",IF(AE518="[FÓRMULA MANUAL]","",IFERROR(AVERAGEIFS(DATOS!$K$2:$K$20000,DATOS!$A$2:$A$20000,AE518,DATOS!$G$2:$G$20000,CONFIG_METADATA!$B$4,DATOS!$I$2:$I$20000,"Música de Cámara"),"")))</f>
        <v/>
      </c>
      <c r="AI518" t="str">
        <f>IF(AE518="","",IF(AE518="[FÓRMULA MANUAL]","",IFERROR(SUMPRODUCT((DATOS!$A$2:$A$20000=AE518)*(DATOS!$G$2:$G$20000=CONFIG_METADATA!$B$4)*(COUNTIF(CONFIG_ASIGNATURAS!$B$7:$B$27,DATOS!$I$2:$I$20000)&gt;0)*(DATOS!$K$2:$K$20000))/SUMPRODUCT((DATOS!$A$2:$A$20000=AE518)*(DATOS!$G$2:$G$20000=CONFIG_METADATA!$B$4)*(COUNTIF(CONFIG_ASIGNATURAS!$B$7:$B$27,DATOS!$I$2:$I$20000)&gt;0)*1),"")))</f>
        <v/>
      </c>
    </row>
    <row r="519" spans="2:35" x14ac:dyDescent="0.2">
      <c r="B519" t="str">
        <f>IF(A519="","",IF(A519="[FÓRMULA MANUAL]","",IFERROR(AVERAGEIFS(DATOS!$K$2:$K$20000,DATOS!$A$2:$A$20000,A519,DATOS!$G$2:$G$20000,CONFIG_METADATA!$B$4,DATOS!$I$2:$I$20000,"Lenguaje Musical"),"")))</f>
        <v/>
      </c>
      <c r="C519" t="str">
        <f>IF(A519="","",IF(A519="[FÓRMULA MANUAL]","",IFERROR(AVERAGEIFS(DATOS!$K$2:$K$20000,DATOS!$A$2:$A$20000,A519,DATOS!$G$2:$G$20000,CONFIG_METADATA!$B$4,DATOS!$I$2:$I$20000,"Orquesta/Banda/Conjunto"),"")))</f>
        <v/>
      </c>
      <c r="D519" t="str">
        <f>IF(A519="","",IF(A519="[FÓRMULA MANUAL]","",IFERROR(AVERAGEIFS(DATOS!$K$2:$K$20000,DATOS!$A$2:$A$20000,A519,DATOS!$G$2:$G$20000,CONFIG_METADATA!$B$4,DATOS!$I$2:$I$20000,"Conjunto"),"")))</f>
        <v/>
      </c>
      <c r="E519" t="str">
        <f>IF(A519="","",IF(A519="[FÓRMULA MANUAL]","",IFERROR(SUMPRODUCT((DATOS!$A$2:$A$20000=A519)*(DATOS!$G$2:$G$20000=CONFIG_METADATA!$B$4)*(COUNTIF(CONFIG_ASIGNATURAS!$B$7:$B$27,DATOS!$I$2:$I$20000)&gt;0)*(DATOS!$K$2:$K$20000))/SUMPRODUCT((DATOS!$A$2:$A$20000=A519)*(DATOS!$G$2:$G$20000=CONFIG_METADATA!$B$4)*(COUNTIF(CONFIG_ASIGNATURAS!$B$7:$B$27,DATOS!$I$2:$I$20000)&gt;0)*1),"")))</f>
        <v/>
      </c>
      <c r="H519" t="str">
        <f>IF(G519="","",IF(G519="[FÓRMULA MANUAL]","",IFERROR(AVERAGEIFS(DATOS!$K$2:$K$20000,DATOS!$A$2:$A$20000,G519,DATOS!$G$2:$G$20000,CONFIG_METADATA!$B$4,DATOS!$I$2:$I$20000,"Lenguaje Musical"),"")))</f>
        <v/>
      </c>
      <c r="I519" t="str">
        <f>IF(G519="","",IF(G519="[FÓRMULA MANUAL]","",IFERROR(AVERAGEIFS(DATOS!$K$2:$K$20000,DATOS!$A$2:$A$20000,G519,DATOS!$G$2:$G$20000,CONFIG_METADATA!$B$4,DATOS!$I$2:$I$20000,"Orquesta/Banda/Conjunto"),"")))</f>
        <v/>
      </c>
      <c r="J519" t="str">
        <f>IF(G519="","",IF(G519="[FÓRMULA MANUAL]","",IFERROR(AVERAGEIFS(DATOS!$K$2:$K$20000,DATOS!$A$2:$A$20000,G519,DATOS!$G$2:$G$20000,CONFIG_METADATA!$B$4,DATOS!$I$2:$I$20000,"Conjunto"),"")))</f>
        <v/>
      </c>
      <c r="K519" t="str">
        <f>IF(G519="","",IF(G519="[FÓRMULA MANUAL]","",IFERROR(SUMPRODUCT((DATOS!$A$2:$A$20000=G519)*(DATOS!$G$2:$G$20000=CONFIG_METADATA!$B$4)*(COUNTIF(CONFIG_ASIGNATURAS!$B$7:$B$27,DATOS!$I$2:$I$20000)&gt;0)*(DATOS!$K$2:$K$20000))/SUMPRODUCT((DATOS!$A$2:$A$20000=G519)*(DATOS!$G$2:$G$20000=CONFIG_METADATA!$B$4)*(COUNTIF(CONFIG_ASIGNATURAS!$B$7:$B$27,DATOS!$I$2:$I$20000)&gt;0)*1),"")))</f>
        <v/>
      </c>
      <c r="N519" t="str">
        <f>IF(M519="","",IF(M519="[FÓRMULA MANUAL]","",IFERROR(AVERAGEIFS(DATOS!$K$2:$K$20000,DATOS!$A$2:$A$20000,M519,DATOS!$G$2:$G$20000,CONFIG_METADATA!$B$4,DATOS!$I$2:$I$20000,"Armonía"),"")))</f>
        <v/>
      </c>
      <c r="O519" t="str">
        <f>IF(M519="","",IF(M519="[FÓRMULA MANUAL]","",IFERROR(AVERAGEIFS(DATOS!$K$2:$K$20000,DATOS!$A$2:$A$20000,M519,DATOS!$G$2:$G$20000,CONFIG_METADATA!$B$4,DATOS!$I$2:$I$20000,"Orquesta/Banda/Conjunto"),"")))</f>
        <v/>
      </c>
      <c r="P519" t="str">
        <f>IF(M519="","",IF(M519="[FÓRMULA MANUAL]","",IFERROR(AVERAGEIFS(DATOS!$K$2:$K$20000,DATOS!$A$2:$A$20000,M519,DATOS!$G$2:$G$20000,CONFIG_METADATA!$B$4,DATOS!$I$2:$I$20000,"Música de Cámara"),"")))</f>
        <v/>
      </c>
      <c r="Q519" t="str">
        <f>IF(M519="","",IF(M519="[FÓRMULA MANUAL]","",IFERROR(SUMPRODUCT((DATOS!$A$2:$A$20000=M519)*(DATOS!$G$2:$G$20000=CONFIG_METADATA!$B$4)*(COUNTIF(CONFIG_ASIGNATURAS!$B$7:$B$27,DATOS!$I$2:$I$20000)&gt;0)*(DATOS!$K$2:$K$20000))/SUMPRODUCT((DATOS!$A$2:$A$20000=M519)*(DATOS!$G$2:$G$20000=CONFIG_METADATA!$B$4)*(COUNTIF(CONFIG_ASIGNATURAS!$B$7:$B$27,DATOS!$I$2:$I$20000)&gt;0)*1),"")))</f>
        <v/>
      </c>
      <c r="T519" t="str">
        <f>IF(S519="","",IF(S519="[FÓRMULA MANUAL]","",IFERROR(AVERAGEIFS(DATOS!$K$2:$K$20000,DATOS!$A$2:$A$20000,S519,DATOS!$G$2:$G$20000,CONFIG_METADATA!$B$4,DATOS!$I$2:$I$20000,"Armonía"),"")))</f>
        <v/>
      </c>
      <c r="U519" t="str">
        <f>IF(S519="","",IF(S519="[FÓRMULA MANUAL]","",IFERROR(AVERAGEIFS(DATOS!$K$2:$K$20000,DATOS!$A$2:$A$20000,S519,DATOS!$G$2:$G$20000,CONFIG_METADATA!$B$4,DATOS!$I$2:$I$20000,"Orquesta/Banda/Conjunto"),"")))</f>
        <v/>
      </c>
      <c r="V519" t="str">
        <f>IF(S519="","",IF(S519="[FÓRMULA MANUAL]","",IFERROR(AVERAGEIFS(DATOS!$K$2:$K$20000,DATOS!$A$2:$A$20000,S519,DATOS!$G$2:$G$20000,CONFIG_METADATA!$B$4,DATOS!$I$2:$I$20000,"Música de Cámara"),"")))</f>
        <v/>
      </c>
      <c r="W519" t="str">
        <f>IF(S519="","",IF(S519="[FÓRMULA MANUAL]","",IFERROR(SUMPRODUCT((DATOS!$A$2:$A$20000=S519)*(DATOS!$G$2:$G$20000=CONFIG_METADATA!$B$4)*(COUNTIF(CONFIG_ASIGNATURAS!$B$7:$B$27,DATOS!$I$2:$I$20000)&gt;0)*(DATOS!$K$2:$K$20000))/SUMPRODUCT((DATOS!$A$2:$A$20000=S519)*(DATOS!$G$2:$G$20000=CONFIG_METADATA!$B$4)*(COUNTIF(CONFIG_ASIGNATURAS!$B$7:$B$27,DATOS!$I$2:$I$20000)&gt;0)*1),"")))</f>
        <v/>
      </c>
      <c r="Z519" t="str">
        <f>IF(Y519="","",IF(Y519="[FÓRMULA MANUAL]","",IFERROR(AVERAGEIFS(DATOS!$K$2:$K$20000,DATOS!$A$2:$A$20000,Y519,DATOS!$G$2:$G$20000,CONFIG_METADATA!$B$4,DATOS!$I$2:$I$20000,"Análisis"),"")))</f>
        <v/>
      </c>
      <c r="AA519" t="str">
        <f>IF(Y519="","",IF(Y519="[FÓRMULA MANUAL]","",IFERROR(AVERAGEIFS(DATOS!$K$2:$K$20000,DATOS!$A$2:$A$20000,Y519,DATOS!$G$2:$G$20000,CONFIG_METADATA!$B$4,DATOS!$I$2:$I$20000,"Orquesta/Banda/Conjunto"),"")))</f>
        <v/>
      </c>
      <c r="AB519" t="str">
        <f>IF(Y519="","",IF(Y519="[FÓRMULA MANUAL]","",IFERROR(AVERAGEIFS(DATOS!$K$2:$K$20000,DATOS!$A$2:$A$20000,Y519,DATOS!$G$2:$G$20000,CONFIG_METADATA!$B$4,DATOS!$I$2:$I$20000,"Música de Cámara"),"")))</f>
        <v/>
      </c>
      <c r="AC519" t="str">
        <f>IF(Y519="","",IF(Y519="[FÓRMULA MANUAL]","",IFERROR(SUMPRODUCT((DATOS!$A$2:$A$20000=Y519)*(DATOS!$G$2:$G$20000=CONFIG_METADATA!$B$4)*(COUNTIF(CONFIG_ASIGNATURAS!$B$7:$B$27,DATOS!$I$2:$I$20000)&gt;0)*(DATOS!$K$2:$K$20000))/SUMPRODUCT((DATOS!$A$2:$A$20000=Y519)*(DATOS!$G$2:$G$20000=CONFIG_METADATA!$B$4)*(COUNTIF(CONFIG_ASIGNATURAS!$B$7:$B$27,DATOS!$I$2:$I$20000)&gt;0)*1),"")))</f>
        <v/>
      </c>
      <c r="AF519" t="str">
        <f>IF(AE519="","",IF(AE519="[FÓRMULA MANUAL]","",IFERROR(AVERAGEIFS(DATOS!$K$2:$K$20000,DATOS!$A$2:$A$20000,AE519,DATOS!$G$2:$G$20000,CONFIG_METADATA!$B$4,DATOS!$I$2:$I$20000,"Análisis"),"")))</f>
        <v/>
      </c>
      <c r="AG519" t="str">
        <f>IF(AE519="","",IF(AE519="[FÓRMULA MANUAL]","",IFERROR(AVERAGEIFS(DATOS!$K$2:$K$20000,DATOS!$A$2:$A$20000,AE519,DATOS!$G$2:$G$20000,CONFIG_METADATA!$B$4,DATOS!$I$2:$I$20000,"Orquesta/Banda/Conjunto"),"")))</f>
        <v/>
      </c>
      <c r="AH519" t="str">
        <f>IF(AE519="","",IF(AE519="[FÓRMULA MANUAL]","",IFERROR(AVERAGEIFS(DATOS!$K$2:$K$20000,DATOS!$A$2:$A$20000,AE519,DATOS!$G$2:$G$20000,CONFIG_METADATA!$B$4,DATOS!$I$2:$I$20000,"Música de Cámara"),"")))</f>
        <v/>
      </c>
      <c r="AI519" t="str">
        <f>IF(AE519="","",IF(AE519="[FÓRMULA MANUAL]","",IFERROR(SUMPRODUCT((DATOS!$A$2:$A$20000=AE519)*(DATOS!$G$2:$G$20000=CONFIG_METADATA!$B$4)*(COUNTIF(CONFIG_ASIGNATURAS!$B$7:$B$27,DATOS!$I$2:$I$20000)&gt;0)*(DATOS!$K$2:$K$20000))/SUMPRODUCT((DATOS!$A$2:$A$20000=AE519)*(DATOS!$G$2:$G$20000=CONFIG_METADATA!$B$4)*(COUNTIF(CONFIG_ASIGNATURAS!$B$7:$B$27,DATOS!$I$2:$I$20000)&gt;0)*1),"")))</f>
        <v/>
      </c>
    </row>
    <row r="520" spans="2:35" x14ac:dyDescent="0.2">
      <c r="B520" t="str">
        <f>IF(A520="","",IF(A520="[FÓRMULA MANUAL]","",IFERROR(AVERAGEIFS(DATOS!$K$2:$K$20000,DATOS!$A$2:$A$20000,A520,DATOS!$G$2:$G$20000,CONFIG_METADATA!$B$4,DATOS!$I$2:$I$20000,"Lenguaje Musical"),"")))</f>
        <v/>
      </c>
      <c r="C520" t="str">
        <f>IF(A520="","",IF(A520="[FÓRMULA MANUAL]","",IFERROR(AVERAGEIFS(DATOS!$K$2:$K$20000,DATOS!$A$2:$A$20000,A520,DATOS!$G$2:$G$20000,CONFIG_METADATA!$B$4,DATOS!$I$2:$I$20000,"Orquesta/Banda/Conjunto"),"")))</f>
        <v/>
      </c>
      <c r="D520" t="str">
        <f>IF(A520="","",IF(A520="[FÓRMULA MANUAL]","",IFERROR(AVERAGEIFS(DATOS!$K$2:$K$20000,DATOS!$A$2:$A$20000,A520,DATOS!$G$2:$G$20000,CONFIG_METADATA!$B$4,DATOS!$I$2:$I$20000,"Conjunto"),"")))</f>
        <v/>
      </c>
      <c r="E520" t="str">
        <f>IF(A520="","",IF(A520="[FÓRMULA MANUAL]","",IFERROR(SUMPRODUCT((DATOS!$A$2:$A$20000=A520)*(DATOS!$G$2:$G$20000=CONFIG_METADATA!$B$4)*(COUNTIF(CONFIG_ASIGNATURAS!$B$7:$B$27,DATOS!$I$2:$I$20000)&gt;0)*(DATOS!$K$2:$K$20000))/SUMPRODUCT((DATOS!$A$2:$A$20000=A520)*(DATOS!$G$2:$G$20000=CONFIG_METADATA!$B$4)*(COUNTIF(CONFIG_ASIGNATURAS!$B$7:$B$27,DATOS!$I$2:$I$20000)&gt;0)*1),"")))</f>
        <v/>
      </c>
      <c r="H520" t="str">
        <f>IF(G520="","",IF(G520="[FÓRMULA MANUAL]","",IFERROR(AVERAGEIFS(DATOS!$K$2:$K$20000,DATOS!$A$2:$A$20000,G520,DATOS!$G$2:$G$20000,CONFIG_METADATA!$B$4,DATOS!$I$2:$I$20000,"Lenguaje Musical"),"")))</f>
        <v/>
      </c>
      <c r="I520" t="str">
        <f>IF(G520="","",IF(G520="[FÓRMULA MANUAL]","",IFERROR(AVERAGEIFS(DATOS!$K$2:$K$20000,DATOS!$A$2:$A$20000,G520,DATOS!$G$2:$G$20000,CONFIG_METADATA!$B$4,DATOS!$I$2:$I$20000,"Orquesta/Banda/Conjunto"),"")))</f>
        <v/>
      </c>
      <c r="J520" t="str">
        <f>IF(G520="","",IF(G520="[FÓRMULA MANUAL]","",IFERROR(AVERAGEIFS(DATOS!$K$2:$K$20000,DATOS!$A$2:$A$20000,G520,DATOS!$G$2:$G$20000,CONFIG_METADATA!$B$4,DATOS!$I$2:$I$20000,"Conjunto"),"")))</f>
        <v/>
      </c>
      <c r="K520" t="str">
        <f>IF(G520="","",IF(G520="[FÓRMULA MANUAL]","",IFERROR(SUMPRODUCT((DATOS!$A$2:$A$20000=G520)*(DATOS!$G$2:$G$20000=CONFIG_METADATA!$B$4)*(COUNTIF(CONFIG_ASIGNATURAS!$B$7:$B$27,DATOS!$I$2:$I$20000)&gt;0)*(DATOS!$K$2:$K$20000))/SUMPRODUCT((DATOS!$A$2:$A$20000=G520)*(DATOS!$G$2:$G$20000=CONFIG_METADATA!$B$4)*(COUNTIF(CONFIG_ASIGNATURAS!$B$7:$B$27,DATOS!$I$2:$I$20000)&gt;0)*1),"")))</f>
        <v/>
      </c>
      <c r="N520" t="str">
        <f>IF(M520="","",IF(M520="[FÓRMULA MANUAL]","",IFERROR(AVERAGEIFS(DATOS!$K$2:$K$20000,DATOS!$A$2:$A$20000,M520,DATOS!$G$2:$G$20000,CONFIG_METADATA!$B$4,DATOS!$I$2:$I$20000,"Armonía"),"")))</f>
        <v/>
      </c>
      <c r="O520" t="str">
        <f>IF(M520="","",IF(M520="[FÓRMULA MANUAL]","",IFERROR(AVERAGEIFS(DATOS!$K$2:$K$20000,DATOS!$A$2:$A$20000,M520,DATOS!$G$2:$G$20000,CONFIG_METADATA!$B$4,DATOS!$I$2:$I$20000,"Orquesta/Banda/Conjunto"),"")))</f>
        <v/>
      </c>
      <c r="P520" t="str">
        <f>IF(M520="","",IF(M520="[FÓRMULA MANUAL]","",IFERROR(AVERAGEIFS(DATOS!$K$2:$K$20000,DATOS!$A$2:$A$20000,M520,DATOS!$G$2:$G$20000,CONFIG_METADATA!$B$4,DATOS!$I$2:$I$20000,"Música de Cámara"),"")))</f>
        <v/>
      </c>
      <c r="Q520" t="str">
        <f>IF(M520="","",IF(M520="[FÓRMULA MANUAL]","",IFERROR(SUMPRODUCT((DATOS!$A$2:$A$20000=M520)*(DATOS!$G$2:$G$20000=CONFIG_METADATA!$B$4)*(COUNTIF(CONFIG_ASIGNATURAS!$B$7:$B$27,DATOS!$I$2:$I$20000)&gt;0)*(DATOS!$K$2:$K$20000))/SUMPRODUCT((DATOS!$A$2:$A$20000=M520)*(DATOS!$G$2:$G$20000=CONFIG_METADATA!$B$4)*(COUNTIF(CONFIG_ASIGNATURAS!$B$7:$B$27,DATOS!$I$2:$I$20000)&gt;0)*1),"")))</f>
        <v/>
      </c>
      <c r="T520" t="str">
        <f>IF(S520="","",IF(S520="[FÓRMULA MANUAL]","",IFERROR(AVERAGEIFS(DATOS!$K$2:$K$20000,DATOS!$A$2:$A$20000,S520,DATOS!$G$2:$G$20000,CONFIG_METADATA!$B$4,DATOS!$I$2:$I$20000,"Armonía"),"")))</f>
        <v/>
      </c>
      <c r="U520" t="str">
        <f>IF(S520="","",IF(S520="[FÓRMULA MANUAL]","",IFERROR(AVERAGEIFS(DATOS!$K$2:$K$20000,DATOS!$A$2:$A$20000,S520,DATOS!$G$2:$G$20000,CONFIG_METADATA!$B$4,DATOS!$I$2:$I$20000,"Orquesta/Banda/Conjunto"),"")))</f>
        <v/>
      </c>
      <c r="V520" t="str">
        <f>IF(S520="","",IF(S520="[FÓRMULA MANUAL]","",IFERROR(AVERAGEIFS(DATOS!$K$2:$K$20000,DATOS!$A$2:$A$20000,S520,DATOS!$G$2:$G$20000,CONFIG_METADATA!$B$4,DATOS!$I$2:$I$20000,"Música de Cámara"),"")))</f>
        <v/>
      </c>
      <c r="W520" t="str">
        <f>IF(S520="","",IF(S520="[FÓRMULA MANUAL]","",IFERROR(SUMPRODUCT((DATOS!$A$2:$A$20000=S520)*(DATOS!$G$2:$G$20000=CONFIG_METADATA!$B$4)*(COUNTIF(CONFIG_ASIGNATURAS!$B$7:$B$27,DATOS!$I$2:$I$20000)&gt;0)*(DATOS!$K$2:$K$20000))/SUMPRODUCT((DATOS!$A$2:$A$20000=S520)*(DATOS!$G$2:$G$20000=CONFIG_METADATA!$B$4)*(COUNTIF(CONFIG_ASIGNATURAS!$B$7:$B$27,DATOS!$I$2:$I$20000)&gt;0)*1),"")))</f>
        <v/>
      </c>
      <c r="Z520" t="str">
        <f>IF(Y520="","",IF(Y520="[FÓRMULA MANUAL]","",IFERROR(AVERAGEIFS(DATOS!$K$2:$K$20000,DATOS!$A$2:$A$20000,Y520,DATOS!$G$2:$G$20000,CONFIG_METADATA!$B$4,DATOS!$I$2:$I$20000,"Análisis"),"")))</f>
        <v/>
      </c>
      <c r="AA520" t="str">
        <f>IF(Y520="","",IF(Y520="[FÓRMULA MANUAL]","",IFERROR(AVERAGEIFS(DATOS!$K$2:$K$20000,DATOS!$A$2:$A$20000,Y520,DATOS!$G$2:$G$20000,CONFIG_METADATA!$B$4,DATOS!$I$2:$I$20000,"Orquesta/Banda/Conjunto"),"")))</f>
        <v/>
      </c>
      <c r="AB520" t="str">
        <f>IF(Y520="","",IF(Y520="[FÓRMULA MANUAL]","",IFERROR(AVERAGEIFS(DATOS!$K$2:$K$20000,DATOS!$A$2:$A$20000,Y520,DATOS!$G$2:$G$20000,CONFIG_METADATA!$B$4,DATOS!$I$2:$I$20000,"Música de Cámara"),"")))</f>
        <v/>
      </c>
      <c r="AC520" t="str">
        <f>IF(Y520="","",IF(Y520="[FÓRMULA MANUAL]","",IFERROR(SUMPRODUCT((DATOS!$A$2:$A$20000=Y520)*(DATOS!$G$2:$G$20000=CONFIG_METADATA!$B$4)*(COUNTIF(CONFIG_ASIGNATURAS!$B$7:$B$27,DATOS!$I$2:$I$20000)&gt;0)*(DATOS!$K$2:$K$20000))/SUMPRODUCT((DATOS!$A$2:$A$20000=Y520)*(DATOS!$G$2:$G$20000=CONFIG_METADATA!$B$4)*(COUNTIF(CONFIG_ASIGNATURAS!$B$7:$B$27,DATOS!$I$2:$I$20000)&gt;0)*1),"")))</f>
        <v/>
      </c>
      <c r="AF520" t="str">
        <f>IF(AE520="","",IF(AE520="[FÓRMULA MANUAL]","",IFERROR(AVERAGEIFS(DATOS!$K$2:$K$20000,DATOS!$A$2:$A$20000,AE520,DATOS!$G$2:$G$20000,CONFIG_METADATA!$B$4,DATOS!$I$2:$I$20000,"Análisis"),"")))</f>
        <v/>
      </c>
      <c r="AG520" t="str">
        <f>IF(AE520="","",IF(AE520="[FÓRMULA MANUAL]","",IFERROR(AVERAGEIFS(DATOS!$K$2:$K$20000,DATOS!$A$2:$A$20000,AE520,DATOS!$G$2:$G$20000,CONFIG_METADATA!$B$4,DATOS!$I$2:$I$20000,"Orquesta/Banda/Conjunto"),"")))</f>
        <v/>
      </c>
      <c r="AH520" t="str">
        <f>IF(AE520="","",IF(AE520="[FÓRMULA MANUAL]","",IFERROR(AVERAGEIFS(DATOS!$K$2:$K$20000,DATOS!$A$2:$A$20000,AE520,DATOS!$G$2:$G$20000,CONFIG_METADATA!$B$4,DATOS!$I$2:$I$20000,"Música de Cámara"),"")))</f>
        <v/>
      </c>
      <c r="AI520" t="str">
        <f>IF(AE520="","",IF(AE520="[FÓRMULA MANUAL]","",IFERROR(SUMPRODUCT((DATOS!$A$2:$A$20000=AE520)*(DATOS!$G$2:$G$20000=CONFIG_METADATA!$B$4)*(COUNTIF(CONFIG_ASIGNATURAS!$B$7:$B$27,DATOS!$I$2:$I$20000)&gt;0)*(DATOS!$K$2:$K$20000))/SUMPRODUCT((DATOS!$A$2:$A$20000=AE520)*(DATOS!$G$2:$G$20000=CONFIG_METADATA!$B$4)*(COUNTIF(CONFIG_ASIGNATURAS!$B$7:$B$27,DATOS!$I$2:$I$20000)&gt;0)*1),"")))</f>
        <v/>
      </c>
    </row>
    <row r="521" spans="2:35" x14ac:dyDescent="0.2">
      <c r="B521" t="str">
        <f>IF(A521="","",IF(A521="[FÓRMULA MANUAL]","",IFERROR(AVERAGEIFS(DATOS!$K$2:$K$20000,DATOS!$A$2:$A$20000,A521,DATOS!$G$2:$G$20000,CONFIG_METADATA!$B$4,DATOS!$I$2:$I$20000,"Lenguaje Musical"),"")))</f>
        <v/>
      </c>
      <c r="C521" t="str">
        <f>IF(A521="","",IF(A521="[FÓRMULA MANUAL]","",IFERROR(AVERAGEIFS(DATOS!$K$2:$K$20000,DATOS!$A$2:$A$20000,A521,DATOS!$G$2:$G$20000,CONFIG_METADATA!$B$4,DATOS!$I$2:$I$20000,"Orquesta/Banda/Conjunto"),"")))</f>
        <v/>
      </c>
      <c r="D521" t="str">
        <f>IF(A521="","",IF(A521="[FÓRMULA MANUAL]","",IFERROR(AVERAGEIFS(DATOS!$K$2:$K$20000,DATOS!$A$2:$A$20000,A521,DATOS!$G$2:$G$20000,CONFIG_METADATA!$B$4,DATOS!$I$2:$I$20000,"Conjunto"),"")))</f>
        <v/>
      </c>
      <c r="E521" t="str">
        <f>IF(A521="","",IF(A521="[FÓRMULA MANUAL]","",IFERROR(SUMPRODUCT((DATOS!$A$2:$A$20000=A521)*(DATOS!$G$2:$G$20000=CONFIG_METADATA!$B$4)*(COUNTIF(CONFIG_ASIGNATURAS!$B$7:$B$27,DATOS!$I$2:$I$20000)&gt;0)*(DATOS!$K$2:$K$20000))/SUMPRODUCT((DATOS!$A$2:$A$20000=A521)*(DATOS!$G$2:$G$20000=CONFIG_METADATA!$B$4)*(COUNTIF(CONFIG_ASIGNATURAS!$B$7:$B$27,DATOS!$I$2:$I$20000)&gt;0)*1),"")))</f>
        <v/>
      </c>
      <c r="H521" t="str">
        <f>IF(G521="","",IF(G521="[FÓRMULA MANUAL]","",IFERROR(AVERAGEIFS(DATOS!$K$2:$K$20000,DATOS!$A$2:$A$20000,G521,DATOS!$G$2:$G$20000,CONFIG_METADATA!$B$4,DATOS!$I$2:$I$20000,"Lenguaje Musical"),"")))</f>
        <v/>
      </c>
      <c r="I521" t="str">
        <f>IF(G521="","",IF(G521="[FÓRMULA MANUAL]","",IFERROR(AVERAGEIFS(DATOS!$K$2:$K$20000,DATOS!$A$2:$A$20000,G521,DATOS!$G$2:$G$20000,CONFIG_METADATA!$B$4,DATOS!$I$2:$I$20000,"Orquesta/Banda/Conjunto"),"")))</f>
        <v/>
      </c>
      <c r="J521" t="str">
        <f>IF(G521="","",IF(G521="[FÓRMULA MANUAL]","",IFERROR(AVERAGEIFS(DATOS!$K$2:$K$20000,DATOS!$A$2:$A$20000,G521,DATOS!$G$2:$G$20000,CONFIG_METADATA!$B$4,DATOS!$I$2:$I$20000,"Conjunto"),"")))</f>
        <v/>
      </c>
      <c r="K521" t="str">
        <f>IF(G521="","",IF(G521="[FÓRMULA MANUAL]","",IFERROR(SUMPRODUCT((DATOS!$A$2:$A$20000=G521)*(DATOS!$G$2:$G$20000=CONFIG_METADATA!$B$4)*(COUNTIF(CONFIG_ASIGNATURAS!$B$7:$B$27,DATOS!$I$2:$I$20000)&gt;0)*(DATOS!$K$2:$K$20000))/SUMPRODUCT((DATOS!$A$2:$A$20000=G521)*(DATOS!$G$2:$G$20000=CONFIG_METADATA!$B$4)*(COUNTIF(CONFIG_ASIGNATURAS!$B$7:$B$27,DATOS!$I$2:$I$20000)&gt;0)*1),"")))</f>
        <v/>
      </c>
      <c r="N521" t="str">
        <f>IF(M521="","",IF(M521="[FÓRMULA MANUAL]","",IFERROR(AVERAGEIFS(DATOS!$K$2:$K$20000,DATOS!$A$2:$A$20000,M521,DATOS!$G$2:$G$20000,CONFIG_METADATA!$B$4,DATOS!$I$2:$I$20000,"Armonía"),"")))</f>
        <v/>
      </c>
      <c r="O521" t="str">
        <f>IF(M521="","",IF(M521="[FÓRMULA MANUAL]","",IFERROR(AVERAGEIFS(DATOS!$K$2:$K$20000,DATOS!$A$2:$A$20000,M521,DATOS!$G$2:$G$20000,CONFIG_METADATA!$B$4,DATOS!$I$2:$I$20000,"Orquesta/Banda/Conjunto"),"")))</f>
        <v/>
      </c>
      <c r="P521" t="str">
        <f>IF(M521="","",IF(M521="[FÓRMULA MANUAL]","",IFERROR(AVERAGEIFS(DATOS!$K$2:$K$20000,DATOS!$A$2:$A$20000,M521,DATOS!$G$2:$G$20000,CONFIG_METADATA!$B$4,DATOS!$I$2:$I$20000,"Música de Cámara"),"")))</f>
        <v/>
      </c>
      <c r="Q521" t="str">
        <f>IF(M521="","",IF(M521="[FÓRMULA MANUAL]","",IFERROR(SUMPRODUCT((DATOS!$A$2:$A$20000=M521)*(DATOS!$G$2:$G$20000=CONFIG_METADATA!$B$4)*(COUNTIF(CONFIG_ASIGNATURAS!$B$7:$B$27,DATOS!$I$2:$I$20000)&gt;0)*(DATOS!$K$2:$K$20000))/SUMPRODUCT((DATOS!$A$2:$A$20000=M521)*(DATOS!$G$2:$G$20000=CONFIG_METADATA!$B$4)*(COUNTIF(CONFIG_ASIGNATURAS!$B$7:$B$27,DATOS!$I$2:$I$20000)&gt;0)*1),"")))</f>
        <v/>
      </c>
      <c r="T521" t="str">
        <f>IF(S521="","",IF(S521="[FÓRMULA MANUAL]","",IFERROR(AVERAGEIFS(DATOS!$K$2:$K$20000,DATOS!$A$2:$A$20000,S521,DATOS!$G$2:$G$20000,CONFIG_METADATA!$B$4,DATOS!$I$2:$I$20000,"Armonía"),"")))</f>
        <v/>
      </c>
      <c r="U521" t="str">
        <f>IF(S521="","",IF(S521="[FÓRMULA MANUAL]","",IFERROR(AVERAGEIFS(DATOS!$K$2:$K$20000,DATOS!$A$2:$A$20000,S521,DATOS!$G$2:$G$20000,CONFIG_METADATA!$B$4,DATOS!$I$2:$I$20000,"Orquesta/Banda/Conjunto"),"")))</f>
        <v/>
      </c>
      <c r="V521" t="str">
        <f>IF(S521="","",IF(S521="[FÓRMULA MANUAL]","",IFERROR(AVERAGEIFS(DATOS!$K$2:$K$20000,DATOS!$A$2:$A$20000,S521,DATOS!$G$2:$G$20000,CONFIG_METADATA!$B$4,DATOS!$I$2:$I$20000,"Música de Cámara"),"")))</f>
        <v/>
      </c>
      <c r="W521" t="str">
        <f>IF(S521="","",IF(S521="[FÓRMULA MANUAL]","",IFERROR(SUMPRODUCT((DATOS!$A$2:$A$20000=S521)*(DATOS!$G$2:$G$20000=CONFIG_METADATA!$B$4)*(COUNTIF(CONFIG_ASIGNATURAS!$B$7:$B$27,DATOS!$I$2:$I$20000)&gt;0)*(DATOS!$K$2:$K$20000))/SUMPRODUCT((DATOS!$A$2:$A$20000=S521)*(DATOS!$G$2:$G$20000=CONFIG_METADATA!$B$4)*(COUNTIF(CONFIG_ASIGNATURAS!$B$7:$B$27,DATOS!$I$2:$I$20000)&gt;0)*1),"")))</f>
        <v/>
      </c>
      <c r="Z521" t="str">
        <f>IF(Y521="","",IF(Y521="[FÓRMULA MANUAL]","",IFERROR(AVERAGEIFS(DATOS!$K$2:$K$20000,DATOS!$A$2:$A$20000,Y521,DATOS!$G$2:$G$20000,CONFIG_METADATA!$B$4,DATOS!$I$2:$I$20000,"Análisis"),"")))</f>
        <v/>
      </c>
      <c r="AA521" t="str">
        <f>IF(Y521="","",IF(Y521="[FÓRMULA MANUAL]","",IFERROR(AVERAGEIFS(DATOS!$K$2:$K$20000,DATOS!$A$2:$A$20000,Y521,DATOS!$G$2:$G$20000,CONFIG_METADATA!$B$4,DATOS!$I$2:$I$20000,"Orquesta/Banda/Conjunto"),"")))</f>
        <v/>
      </c>
      <c r="AB521" t="str">
        <f>IF(Y521="","",IF(Y521="[FÓRMULA MANUAL]","",IFERROR(AVERAGEIFS(DATOS!$K$2:$K$20000,DATOS!$A$2:$A$20000,Y521,DATOS!$G$2:$G$20000,CONFIG_METADATA!$B$4,DATOS!$I$2:$I$20000,"Música de Cámara"),"")))</f>
        <v/>
      </c>
      <c r="AC521" t="str">
        <f>IF(Y521="","",IF(Y521="[FÓRMULA MANUAL]","",IFERROR(SUMPRODUCT((DATOS!$A$2:$A$20000=Y521)*(DATOS!$G$2:$G$20000=CONFIG_METADATA!$B$4)*(COUNTIF(CONFIG_ASIGNATURAS!$B$7:$B$27,DATOS!$I$2:$I$20000)&gt;0)*(DATOS!$K$2:$K$20000))/SUMPRODUCT((DATOS!$A$2:$A$20000=Y521)*(DATOS!$G$2:$G$20000=CONFIG_METADATA!$B$4)*(COUNTIF(CONFIG_ASIGNATURAS!$B$7:$B$27,DATOS!$I$2:$I$20000)&gt;0)*1),"")))</f>
        <v/>
      </c>
      <c r="AF521" t="str">
        <f>IF(AE521="","",IF(AE521="[FÓRMULA MANUAL]","",IFERROR(AVERAGEIFS(DATOS!$K$2:$K$20000,DATOS!$A$2:$A$20000,AE521,DATOS!$G$2:$G$20000,CONFIG_METADATA!$B$4,DATOS!$I$2:$I$20000,"Análisis"),"")))</f>
        <v/>
      </c>
      <c r="AG521" t="str">
        <f>IF(AE521="","",IF(AE521="[FÓRMULA MANUAL]","",IFERROR(AVERAGEIFS(DATOS!$K$2:$K$20000,DATOS!$A$2:$A$20000,AE521,DATOS!$G$2:$G$20000,CONFIG_METADATA!$B$4,DATOS!$I$2:$I$20000,"Orquesta/Banda/Conjunto"),"")))</f>
        <v/>
      </c>
      <c r="AH521" t="str">
        <f>IF(AE521="","",IF(AE521="[FÓRMULA MANUAL]","",IFERROR(AVERAGEIFS(DATOS!$K$2:$K$20000,DATOS!$A$2:$A$20000,AE521,DATOS!$G$2:$G$20000,CONFIG_METADATA!$B$4,DATOS!$I$2:$I$20000,"Música de Cámara"),"")))</f>
        <v/>
      </c>
      <c r="AI521" t="str">
        <f>IF(AE521="","",IF(AE521="[FÓRMULA MANUAL]","",IFERROR(SUMPRODUCT((DATOS!$A$2:$A$20000=AE521)*(DATOS!$G$2:$G$20000=CONFIG_METADATA!$B$4)*(COUNTIF(CONFIG_ASIGNATURAS!$B$7:$B$27,DATOS!$I$2:$I$20000)&gt;0)*(DATOS!$K$2:$K$20000))/SUMPRODUCT((DATOS!$A$2:$A$20000=AE521)*(DATOS!$G$2:$G$20000=CONFIG_METADATA!$B$4)*(COUNTIF(CONFIG_ASIGNATURAS!$B$7:$B$27,DATOS!$I$2:$I$20000)&gt;0)*1),"")))</f>
        <v/>
      </c>
    </row>
    <row r="522" spans="2:35" x14ac:dyDescent="0.2">
      <c r="B522" t="str">
        <f>IF(A522="","",IF(A522="[FÓRMULA MANUAL]","",IFERROR(AVERAGEIFS(DATOS!$K$2:$K$20000,DATOS!$A$2:$A$20000,A522,DATOS!$G$2:$G$20000,CONFIG_METADATA!$B$4,DATOS!$I$2:$I$20000,"Lenguaje Musical"),"")))</f>
        <v/>
      </c>
      <c r="C522" t="str">
        <f>IF(A522="","",IF(A522="[FÓRMULA MANUAL]","",IFERROR(AVERAGEIFS(DATOS!$K$2:$K$20000,DATOS!$A$2:$A$20000,A522,DATOS!$G$2:$G$20000,CONFIG_METADATA!$B$4,DATOS!$I$2:$I$20000,"Orquesta/Banda/Conjunto"),"")))</f>
        <v/>
      </c>
      <c r="D522" t="str">
        <f>IF(A522="","",IF(A522="[FÓRMULA MANUAL]","",IFERROR(AVERAGEIFS(DATOS!$K$2:$K$20000,DATOS!$A$2:$A$20000,A522,DATOS!$G$2:$G$20000,CONFIG_METADATA!$B$4,DATOS!$I$2:$I$20000,"Conjunto"),"")))</f>
        <v/>
      </c>
      <c r="E522" t="str">
        <f>IF(A522="","",IF(A522="[FÓRMULA MANUAL]","",IFERROR(SUMPRODUCT((DATOS!$A$2:$A$20000=A522)*(DATOS!$G$2:$G$20000=CONFIG_METADATA!$B$4)*(COUNTIF(CONFIG_ASIGNATURAS!$B$7:$B$27,DATOS!$I$2:$I$20000)&gt;0)*(DATOS!$K$2:$K$20000))/SUMPRODUCT((DATOS!$A$2:$A$20000=A522)*(DATOS!$G$2:$G$20000=CONFIG_METADATA!$B$4)*(COUNTIF(CONFIG_ASIGNATURAS!$B$7:$B$27,DATOS!$I$2:$I$20000)&gt;0)*1),"")))</f>
        <v/>
      </c>
      <c r="H522" t="str">
        <f>IF(G522="","",IF(G522="[FÓRMULA MANUAL]","",IFERROR(AVERAGEIFS(DATOS!$K$2:$K$20000,DATOS!$A$2:$A$20000,G522,DATOS!$G$2:$G$20000,CONFIG_METADATA!$B$4,DATOS!$I$2:$I$20000,"Lenguaje Musical"),"")))</f>
        <v/>
      </c>
      <c r="I522" t="str">
        <f>IF(G522="","",IF(G522="[FÓRMULA MANUAL]","",IFERROR(AVERAGEIFS(DATOS!$K$2:$K$20000,DATOS!$A$2:$A$20000,G522,DATOS!$G$2:$G$20000,CONFIG_METADATA!$B$4,DATOS!$I$2:$I$20000,"Orquesta/Banda/Conjunto"),"")))</f>
        <v/>
      </c>
      <c r="J522" t="str">
        <f>IF(G522="","",IF(G522="[FÓRMULA MANUAL]","",IFERROR(AVERAGEIFS(DATOS!$K$2:$K$20000,DATOS!$A$2:$A$20000,G522,DATOS!$G$2:$G$20000,CONFIG_METADATA!$B$4,DATOS!$I$2:$I$20000,"Conjunto"),"")))</f>
        <v/>
      </c>
      <c r="K522" t="str">
        <f>IF(G522="","",IF(G522="[FÓRMULA MANUAL]","",IFERROR(SUMPRODUCT((DATOS!$A$2:$A$20000=G522)*(DATOS!$G$2:$G$20000=CONFIG_METADATA!$B$4)*(COUNTIF(CONFIG_ASIGNATURAS!$B$7:$B$27,DATOS!$I$2:$I$20000)&gt;0)*(DATOS!$K$2:$K$20000))/SUMPRODUCT((DATOS!$A$2:$A$20000=G522)*(DATOS!$G$2:$G$20000=CONFIG_METADATA!$B$4)*(COUNTIF(CONFIG_ASIGNATURAS!$B$7:$B$27,DATOS!$I$2:$I$20000)&gt;0)*1),"")))</f>
        <v/>
      </c>
      <c r="N522" t="str">
        <f>IF(M522="","",IF(M522="[FÓRMULA MANUAL]","",IFERROR(AVERAGEIFS(DATOS!$K$2:$K$20000,DATOS!$A$2:$A$20000,M522,DATOS!$G$2:$G$20000,CONFIG_METADATA!$B$4,DATOS!$I$2:$I$20000,"Armonía"),"")))</f>
        <v/>
      </c>
      <c r="O522" t="str">
        <f>IF(M522="","",IF(M522="[FÓRMULA MANUAL]","",IFERROR(AVERAGEIFS(DATOS!$K$2:$K$20000,DATOS!$A$2:$A$20000,M522,DATOS!$G$2:$G$20000,CONFIG_METADATA!$B$4,DATOS!$I$2:$I$20000,"Orquesta/Banda/Conjunto"),"")))</f>
        <v/>
      </c>
      <c r="P522" t="str">
        <f>IF(M522="","",IF(M522="[FÓRMULA MANUAL]","",IFERROR(AVERAGEIFS(DATOS!$K$2:$K$20000,DATOS!$A$2:$A$20000,M522,DATOS!$G$2:$G$20000,CONFIG_METADATA!$B$4,DATOS!$I$2:$I$20000,"Música de Cámara"),"")))</f>
        <v/>
      </c>
      <c r="Q522" t="str">
        <f>IF(M522="","",IF(M522="[FÓRMULA MANUAL]","",IFERROR(SUMPRODUCT((DATOS!$A$2:$A$20000=M522)*(DATOS!$G$2:$G$20000=CONFIG_METADATA!$B$4)*(COUNTIF(CONFIG_ASIGNATURAS!$B$7:$B$27,DATOS!$I$2:$I$20000)&gt;0)*(DATOS!$K$2:$K$20000))/SUMPRODUCT((DATOS!$A$2:$A$20000=M522)*(DATOS!$G$2:$G$20000=CONFIG_METADATA!$B$4)*(COUNTIF(CONFIG_ASIGNATURAS!$B$7:$B$27,DATOS!$I$2:$I$20000)&gt;0)*1),"")))</f>
        <v/>
      </c>
      <c r="T522" t="str">
        <f>IF(S522="","",IF(S522="[FÓRMULA MANUAL]","",IFERROR(AVERAGEIFS(DATOS!$K$2:$K$20000,DATOS!$A$2:$A$20000,S522,DATOS!$G$2:$G$20000,CONFIG_METADATA!$B$4,DATOS!$I$2:$I$20000,"Armonía"),"")))</f>
        <v/>
      </c>
      <c r="U522" t="str">
        <f>IF(S522="","",IF(S522="[FÓRMULA MANUAL]","",IFERROR(AVERAGEIFS(DATOS!$K$2:$K$20000,DATOS!$A$2:$A$20000,S522,DATOS!$G$2:$G$20000,CONFIG_METADATA!$B$4,DATOS!$I$2:$I$20000,"Orquesta/Banda/Conjunto"),"")))</f>
        <v/>
      </c>
      <c r="V522" t="str">
        <f>IF(S522="","",IF(S522="[FÓRMULA MANUAL]","",IFERROR(AVERAGEIFS(DATOS!$K$2:$K$20000,DATOS!$A$2:$A$20000,S522,DATOS!$G$2:$G$20000,CONFIG_METADATA!$B$4,DATOS!$I$2:$I$20000,"Música de Cámara"),"")))</f>
        <v/>
      </c>
      <c r="W522" t="str">
        <f>IF(S522="","",IF(S522="[FÓRMULA MANUAL]","",IFERROR(SUMPRODUCT((DATOS!$A$2:$A$20000=S522)*(DATOS!$G$2:$G$20000=CONFIG_METADATA!$B$4)*(COUNTIF(CONFIG_ASIGNATURAS!$B$7:$B$27,DATOS!$I$2:$I$20000)&gt;0)*(DATOS!$K$2:$K$20000))/SUMPRODUCT((DATOS!$A$2:$A$20000=S522)*(DATOS!$G$2:$G$20000=CONFIG_METADATA!$B$4)*(COUNTIF(CONFIG_ASIGNATURAS!$B$7:$B$27,DATOS!$I$2:$I$20000)&gt;0)*1),"")))</f>
        <v/>
      </c>
      <c r="Z522" t="str">
        <f>IF(Y522="","",IF(Y522="[FÓRMULA MANUAL]","",IFERROR(AVERAGEIFS(DATOS!$K$2:$K$20000,DATOS!$A$2:$A$20000,Y522,DATOS!$G$2:$G$20000,CONFIG_METADATA!$B$4,DATOS!$I$2:$I$20000,"Análisis"),"")))</f>
        <v/>
      </c>
      <c r="AA522" t="str">
        <f>IF(Y522="","",IF(Y522="[FÓRMULA MANUAL]","",IFERROR(AVERAGEIFS(DATOS!$K$2:$K$20000,DATOS!$A$2:$A$20000,Y522,DATOS!$G$2:$G$20000,CONFIG_METADATA!$B$4,DATOS!$I$2:$I$20000,"Orquesta/Banda/Conjunto"),"")))</f>
        <v/>
      </c>
      <c r="AB522" t="str">
        <f>IF(Y522="","",IF(Y522="[FÓRMULA MANUAL]","",IFERROR(AVERAGEIFS(DATOS!$K$2:$K$20000,DATOS!$A$2:$A$20000,Y522,DATOS!$G$2:$G$20000,CONFIG_METADATA!$B$4,DATOS!$I$2:$I$20000,"Música de Cámara"),"")))</f>
        <v/>
      </c>
      <c r="AC522" t="str">
        <f>IF(Y522="","",IF(Y522="[FÓRMULA MANUAL]","",IFERROR(SUMPRODUCT((DATOS!$A$2:$A$20000=Y522)*(DATOS!$G$2:$G$20000=CONFIG_METADATA!$B$4)*(COUNTIF(CONFIG_ASIGNATURAS!$B$7:$B$27,DATOS!$I$2:$I$20000)&gt;0)*(DATOS!$K$2:$K$20000))/SUMPRODUCT((DATOS!$A$2:$A$20000=Y522)*(DATOS!$G$2:$G$20000=CONFIG_METADATA!$B$4)*(COUNTIF(CONFIG_ASIGNATURAS!$B$7:$B$27,DATOS!$I$2:$I$20000)&gt;0)*1),"")))</f>
        <v/>
      </c>
      <c r="AF522" t="str">
        <f>IF(AE522="","",IF(AE522="[FÓRMULA MANUAL]","",IFERROR(AVERAGEIFS(DATOS!$K$2:$K$20000,DATOS!$A$2:$A$20000,AE522,DATOS!$G$2:$G$20000,CONFIG_METADATA!$B$4,DATOS!$I$2:$I$20000,"Análisis"),"")))</f>
        <v/>
      </c>
      <c r="AG522" t="str">
        <f>IF(AE522="","",IF(AE522="[FÓRMULA MANUAL]","",IFERROR(AVERAGEIFS(DATOS!$K$2:$K$20000,DATOS!$A$2:$A$20000,AE522,DATOS!$G$2:$G$20000,CONFIG_METADATA!$B$4,DATOS!$I$2:$I$20000,"Orquesta/Banda/Conjunto"),"")))</f>
        <v/>
      </c>
      <c r="AH522" t="str">
        <f>IF(AE522="","",IF(AE522="[FÓRMULA MANUAL]","",IFERROR(AVERAGEIFS(DATOS!$K$2:$K$20000,DATOS!$A$2:$A$20000,AE522,DATOS!$G$2:$G$20000,CONFIG_METADATA!$B$4,DATOS!$I$2:$I$20000,"Música de Cámara"),"")))</f>
        <v/>
      </c>
      <c r="AI522" t="str">
        <f>IF(AE522="","",IF(AE522="[FÓRMULA MANUAL]","",IFERROR(SUMPRODUCT((DATOS!$A$2:$A$20000=AE522)*(DATOS!$G$2:$G$20000=CONFIG_METADATA!$B$4)*(COUNTIF(CONFIG_ASIGNATURAS!$B$7:$B$27,DATOS!$I$2:$I$20000)&gt;0)*(DATOS!$K$2:$K$20000))/SUMPRODUCT((DATOS!$A$2:$A$20000=AE522)*(DATOS!$G$2:$G$20000=CONFIG_METADATA!$B$4)*(COUNTIF(CONFIG_ASIGNATURAS!$B$7:$B$27,DATOS!$I$2:$I$20000)&gt;0)*1),"")))</f>
        <v/>
      </c>
    </row>
    <row r="523" spans="2:35" x14ac:dyDescent="0.2">
      <c r="B523" t="str">
        <f>IF(A523="","",IF(A523="[FÓRMULA MANUAL]","",IFERROR(AVERAGEIFS(DATOS!$K$2:$K$20000,DATOS!$A$2:$A$20000,A523,DATOS!$G$2:$G$20000,CONFIG_METADATA!$B$4,DATOS!$I$2:$I$20000,"Lenguaje Musical"),"")))</f>
        <v/>
      </c>
      <c r="C523" t="str">
        <f>IF(A523="","",IF(A523="[FÓRMULA MANUAL]","",IFERROR(AVERAGEIFS(DATOS!$K$2:$K$20000,DATOS!$A$2:$A$20000,A523,DATOS!$G$2:$G$20000,CONFIG_METADATA!$B$4,DATOS!$I$2:$I$20000,"Orquesta/Banda/Conjunto"),"")))</f>
        <v/>
      </c>
      <c r="D523" t="str">
        <f>IF(A523="","",IF(A523="[FÓRMULA MANUAL]","",IFERROR(AVERAGEIFS(DATOS!$K$2:$K$20000,DATOS!$A$2:$A$20000,A523,DATOS!$G$2:$G$20000,CONFIG_METADATA!$B$4,DATOS!$I$2:$I$20000,"Conjunto"),"")))</f>
        <v/>
      </c>
      <c r="E523" t="str">
        <f>IF(A523="","",IF(A523="[FÓRMULA MANUAL]","",IFERROR(SUMPRODUCT((DATOS!$A$2:$A$20000=A523)*(DATOS!$G$2:$G$20000=CONFIG_METADATA!$B$4)*(COUNTIF(CONFIG_ASIGNATURAS!$B$7:$B$27,DATOS!$I$2:$I$20000)&gt;0)*(DATOS!$K$2:$K$20000))/SUMPRODUCT((DATOS!$A$2:$A$20000=A523)*(DATOS!$G$2:$G$20000=CONFIG_METADATA!$B$4)*(COUNTIF(CONFIG_ASIGNATURAS!$B$7:$B$27,DATOS!$I$2:$I$20000)&gt;0)*1),"")))</f>
        <v/>
      </c>
      <c r="H523" t="str">
        <f>IF(G523="","",IF(G523="[FÓRMULA MANUAL]","",IFERROR(AVERAGEIFS(DATOS!$K$2:$K$20000,DATOS!$A$2:$A$20000,G523,DATOS!$G$2:$G$20000,CONFIG_METADATA!$B$4,DATOS!$I$2:$I$20000,"Lenguaje Musical"),"")))</f>
        <v/>
      </c>
      <c r="I523" t="str">
        <f>IF(G523="","",IF(G523="[FÓRMULA MANUAL]","",IFERROR(AVERAGEIFS(DATOS!$K$2:$K$20000,DATOS!$A$2:$A$20000,G523,DATOS!$G$2:$G$20000,CONFIG_METADATA!$B$4,DATOS!$I$2:$I$20000,"Orquesta/Banda/Conjunto"),"")))</f>
        <v/>
      </c>
      <c r="J523" t="str">
        <f>IF(G523="","",IF(G523="[FÓRMULA MANUAL]","",IFERROR(AVERAGEIFS(DATOS!$K$2:$K$20000,DATOS!$A$2:$A$20000,G523,DATOS!$G$2:$G$20000,CONFIG_METADATA!$B$4,DATOS!$I$2:$I$20000,"Conjunto"),"")))</f>
        <v/>
      </c>
      <c r="K523" t="str">
        <f>IF(G523="","",IF(G523="[FÓRMULA MANUAL]","",IFERROR(SUMPRODUCT((DATOS!$A$2:$A$20000=G523)*(DATOS!$G$2:$G$20000=CONFIG_METADATA!$B$4)*(COUNTIF(CONFIG_ASIGNATURAS!$B$7:$B$27,DATOS!$I$2:$I$20000)&gt;0)*(DATOS!$K$2:$K$20000))/SUMPRODUCT((DATOS!$A$2:$A$20000=G523)*(DATOS!$G$2:$G$20000=CONFIG_METADATA!$B$4)*(COUNTIF(CONFIG_ASIGNATURAS!$B$7:$B$27,DATOS!$I$2:$I$20000)&gt;0)*1),"")))</f>
        <v/>
      </c>
      <c r="N523" t="str">
        <f>IF(M523="","",IF(M523="[FÓRMULA MANUAL]","",IFERROR(AVERAGEIFS(DATOS!$K$2:$K$20000,DATOS!$A$2:$A$20000,M523,DATOS!$G$2:$G$20000,CONFIG_METADATA!$B$4,DATOS!$I$2:$I$20000,"Armonía"),"")))</f>
        <v/>
      </c>
      <c r="O523" t="str">
        <f>IF(M523="","",IF(M523="[FÓRMULA MANUAL]","",IFERROR(AVERAGEIFS(DATOS!$K$2:$K$20000,DATOS!$A$2:$A$20000,M523,DATOS!$G$2:$G$20000,CONFIG_METADATA!$B$4,DATOS!$I$2:$I$20000,"Orquesta/Banda/Conjunto"),"")))</f>
        <v/>
      </c>
      <c r="P523" t="str">
        <f>IF(M523="","",IF(M523="[FÓRMULA MANUAL]","",IFERROR(AVERAGEIFS(DATOS!$K$2:$K$20000,DATOS!$A$2:$A$20000,M523,DATOS!$G$2:$G$20000,CONFIG_METADATA!$B$4,DATOS!$I$2:$I$20000,"Música de Cámara"),"")))</f>
        <v/>
      </c>
      <c r="Q523" t="str">
        <f>IF(M523="","",IF(M523="[FÓRMULA MANUAL]","",IFERROR(SUMPRODUCT((DATOS!$A$2:$A$20000=M523)*(DATOS!$G$2:$G$20000=CONFIG_METADATA!$B$4)*(COUNTIF(CONFIG_ASIGNATURAS!$B$7:$B$27,DATOS!$I$2:$I$20000)&gt;0)*(DATOS!$K$2:$K$20000))/SUMPRODUCT((DATOS!$A$2:$A$20000=M523)*(DATOS!$G$2:$G$20000=CONFIG_METADATA!$B$4)*(COUNTIF(CONFIG_ASIGNATURAS!$B$7:$B$27,DATOS!$I$2:$I$20000)&gt;0)*1),"")))</f>
        <v/>
      </c>
      <c r="T523" t="str">
        <f>IF(S523="","",IF(S523="[FÓRMULA MANUAL]","",IFERROR(AVERAGEIFS(DATOS!$K$2:$K$20000,DATOS!$A$2:$A$20000,S523,DATOS!$G$2:$G$20000,CONFIG_METADATA!$B$4,DATOS!$I$2:$I$20000,"Armonía"),"")))</f>
        <v/>
      </c>
      <c r="U523" t="str">
        <f>IF(S523="","",IF(S523="[FÓRMULA MANUAL]","",IFERROR(AVERAGEIFS(DATOS!$K$2:$K$20000,DATOS!$A$2:$A$20000,S523,DATOS!$G$2:$G$20000,CONFIG_METADATA!$B$4,DATOS!$I$2:$I$20000,"Orquesta/Banda/Conjunto"),"")))</f>
        <v/>
      </c>
      <c r="V523" t="str">
        <f>IF(S523="","",IF(S523="[FÓRMULA MANUAL]","",IFERROR(AVERAGEIFS(DATOS!$K$2:$K$20000,DATOS!$A$2:$A$20000,S523,DATOS!$G$2:$G$20000,CONFIG_METADATA!$B$4,DATOS!$I$2:$I$20000,"Música de Cámara"),"")))</f>
        <v/>
      </c>
      <c r="W523" t="str">
        <f>IF(S523="","",IF(S523="[FÓRMULA MANUAL]","",IFERROR(SUMPRODUCT((DATOS!$A$2:$A$20000=S523)*(DATOS!$G$2:$G$20000=CONFIG_METADATA!$B$4)*(COUNTIF(CONFIG_ASIGNATURAS!$B$7:$B$27,DATOS!$I$2:$I$20000)&gt;0)*(DATOS!$K$2:$K$20000))/SUMPRODUCT((DATOS!$A$2:$A$20000=S523)*(DATOS!$G$2:$G$20000=CONFIG_METADATA!$B$4)*(COUNTIF(CONFIG_ASIGNATURAS!$B$7:$B$27,DATOS!$I$2:$I$20000)&gt;0)*1),"")))</f>
        <v/>
      </c>
      <c r="Z523" t="str">
        <f>IF(Y523="","",IF(Y523="[FÓRMULA MANUAL]","",IFERROR(AVERAGEIFS(DATOS!$K$2:$K$20000,DATOS!$A$2:$A$20000,Y523,DATOS!$G$2:$G$20000,CONFIG_METADATA!$B$4,DATOS!$I$2:$I$20000,"Análisis"),"")))</f>
        <v/>
      </c>
      <c r="AA523" t="str">
        <f>IF(Y523="","",IF(Y523="[FÓRMULA MANUAL]","",IFERROR(AVERAGEIFS(DATOS!$K$2:$K$20000,DATOS!$A$2:$A$20000,Y523,DATOS!$G$2:$G$20000,CONFIG_METADATA!$B$4,DATOS!$I$2:$I$20000,"Orquesta/Banda/Conjunto"),"")))</f>
        <v/>
      </c>
      <c r="AB523" t="str">
        <f>IF(Y523="","",IF(Y523="[FÓRMULA MANUAL]","",IFERROR(AVERAGEIFS(DATOS!$K$2:$K$20000,DATOS!$A$2:$A$20000,Y523,DATOS!$G$2:$G$20000,CONFIG_METADATA!$B$4,DATOS!$I$2:$I$20000,"Música de Cámara"),"")))</f>
        <v/>
      </c>
      <c r="AC523" t="str">
        <f>IF(Y523="","",IF(Y523="[FÓRMULA MANUAL]","",IFERROR(SUMPRODUCT((DATOS!$A$2:$A$20000=Y523)*(DATOS!$G$2:$G$20000=CONFIG_METADATA!$B$4)*(COUNTIF(CONFIG_ASIGNATURAS!$B$7:$B$27,DATOS!$I$2:$I$20000)&gt;0)*(DATOS!$K$2:$K$20000))/SUMPRODUCT((DATOS!$A$2:$A$20000=Y523)*(DATOS!$G$2:$G$20000=CONFIG_METADATA!$B$4)*(COUNTIF(CONFIG_ASIGNATURAS!$B$7:$B$27,DATOS!$I$2:$I$20000)&gt;0)*1),"")))</f>
        <v/>
      </c>
      <c r="AF523" t="str">
        <f>IF(AE523="","",IF(AE523="[FÓRMULA MANUAL]","",IFERROR(AVERAGEIFS(DATOS!$K$2:$K$20000,DATOS!$A$2:$A$20000,AE523,DATOS!$G$2:$G$20000,CONFIG_METADATA!$B$4,DATOS!$I$2:$I$20000,"Análisis"),"")))</f>
        <v/>
      </c>
      <c r="AG523" t="str">
        <f>IF(AE523="","",IF(AE523="[FÓRMULA MANUAL]","",IFERROR(AVERAGEIFS(DATOS!$K$2:$K$20000,DATOS!$A$2:$A$20000,AE523,DATOS!$G$2:$G$20000,CONFIG_METADATA!$B$4,DATOS!$I$2:$I$20000,"Orquesta/Banda/Conjunto"),"")))</f>
        <v/>
      </c>
      <c r="AH523" t="str">
        <f>IF(AE523="","",IF(AE523="[FÓRMULA MANUAL]","",IFERROR(AVERAGEIFS(DATOS!$K$2:$K$20000,DATOS!$A$2:$A$20000,AE523,DATOS!$G$2:$G$20000,CONFIG_METADATA!$B$4,DATOS!$I$2:$I$20000,"Música de Cámara"),"")))</f>
        <v/>
      </c>
      <c r="AI523" t="str">
        <f>IF(AE523="","",IF(AE523="[FÓRMULA MANUAL]","",IFERROR(SUMPRODUCT((DATOS!$A$2:$A$20000=AE523)*(DATOS!$G$2:$G$20000=CONFIG_METADATA!$B$4)*(COUNTIF(CONFIG_ASIGNATURAS!$B$7:$B$27,DATOS!$I$2:$I$20000)&gt;0)*(DATOS!$K$2:$K$20000))/SUMPRODUCT((DATOS!$A$2:$A$20000=AE523)*(DATOS!$G$2:$G$20000=CONFIG_METADATA!$B$4)*(COUNTIF(CONFIG_ASIGNATURAS!$B$7:$B$27,DATOS!$I$2:$I$20000)&gt;0)*1),"")))</f>
        <v/>
      </c>
    </row>
    <row r="524" spans="2:35" x14ac:dyDescent="0.2">
      <c r="B524" t="str">
        <f>IF(A524="","",IF(A524="[FÓRMULA MANUAL]","",IFERROR(AVERAGEIFS(DATOS!$K$2:$K$20000,DATOS!$A$2:$A$20000,A524,DATOS!$G$2:$G$20000,CONFIG_METADATA!$B$4,DATOS!$I$2:$I$20000,"Lenguaje Musical"),"")))</f>
        <v/>
      </c>
      <c r="C524" t="str">
        <f>IF(A524="","",IF(A524="[FÓRMULA MANUAL]","",IFERROR(AVERAGEIFS(DATOS!$K$2:$K$20000,DATOS!$A$2:$A$20000,A524,DATOS!$G$2:$G$20000,CONFIG_METADATA!$B$4,DATOS!$I$2:$I$20000,"Orquesta/Banda/Conjunto"),"")))</f>
        <v/>
      </c>
      <c r="D524" t="str">
        <f>IF(A524="","",IF(A524="[FÓRMULA MANUAL]","",IFERROR(AVERAGEIFS(DATOS!$K$2:$K$20000,DATOS!$A$2:$A$20000,A524,DATOS!$G$2:$G$20000,CONFIG_METADATA!$B$4,DATOS!$I$2:$I$20000,"Conjunto"),"")))</f>
        <v/>
      </c>
      <c r="E524" t="str">
        <f>IF(A524="","",IF(A524="[FÓRMULA MANUAL]","",IFERROR(SUMPRODUCT((DATOS!$A$2:$A$20000=A524)*(DATOS!$G$2:$G$20000=CONFIG_METADATA!$B$4)*(COUNTIF(CONFIG_ASIGNATURAS!$B$7:$B$27,DATOS!$I$2:$I$20000)&gt;0)*(DATOS!$K$2:$K$20000))/SUMPRODUCT((DATOS!$A$2:$A$20000=A524)*(DATOS!$G$2:$G$20000=CONFIG_METADATA!$B$4)*(COUNTIF(CONFIG_ASIGNATURAS!$B$7:$B$27,DATOS!$I$2:$I$20000)&gt;0)*1),"")))</f>
        <v/>
      </c>
      <c r="H524" t="str">
        <f>IF(G524="","",IF(G524="[FÓRMULA MANUAL]","",IFERROR(AVERAGEIFS(DATOS!$K$2:$K$20000,DATOS!$A$2:$A$20000,G524,DATOS!$G$2:$G$20000,CONFIG_METADATA!$B$4,DATOS!$I$2:$I$20000,"Lenguaje Musical"),"")))</f>
        <v/>
      </c>
      <c r="I524" t="str">
        <f>IF(G524="","",IF(G524="[FÓRMULA MANUAL]","",IFERROR(AVERAGEIFS(DATOS!$K$2:$K$20000,DATOS!$A$2:$A$20000,G524,DATOS!$G$2:$G$20000,CONFIG_METADATA!$B$4,DATOS!$I$2:$I$20000,"Orquesta/Banda/Conjunto"),"")))</f>
        <v/>
      </c>
      <c r="J524" t="str">
        <f>IF(G524="","",IF(G524="[FÓRMULA MANUAL]","",IFERROR(AVERAGEIFS(DATOS!$K$2:$K$20000,DATOS!$A$2:$A$20000,G524,DATOS!$G$2:$G$20000,CONFIG_METADATA!$B$4,DATOS!$I$2:$I$20000,"Conjunto"),"")))</f>
        <v/>
      </c>
      <c r="K524" t="str">
        <f>IF(G524="","",IF(G524="[FÓRMULA MANUAL]","",IFERROR(SUMPRODUCT((DATOS!$A$2:$A$20000=G524)*(DATOS!$G$2:$G$20000=CONFIG_METADATA!$B$4)*(COUNTIF(CONFIG_ASIGNATURAS!$B$7:$B$27,DATOS!$I$2:$I$20000)&gt;0)*(DATOS!$K$2:$K$20000))/SUMPRODUCT((DATOS!$A$2:$A$20000=G524)*(DATOS!$G$2:$G$20000=CONFIG_METADATA!$B$4)*(COUNTIF(CONFIG_ASIGNATURAS!$B$7:$B$27,DATOS!$I$2:$I$20000)&gt;0)*1),"")))</f>
        <v/>
      </c>
      <c r="N524" t="str">
        <f>IF(M524="","",IF(M524="[FÓRMULA MANUAL]","",IFERROR(AVERAGEIFS(DATOS!$K$2:$K$20000,DATOS!$A$2:$A$20000,M524,DATOS!$G$2:$G$20000,CONFIG_METADATA!$B$4,DATOS!$I$2:$I$20000,"Armonía"),"")))</f>
        <v/>
      </c>
      <c r="O524" t="str">
        <f>IF(M524="","",IF(M524="[FÓRMULA MANUAL]","",IFERROR(AVERAGEIFS(DATOS!$K$2:$K$20000,DATOS!$A$2:$A$20000,M524,DATOS!$G$2:$G$20000,CONFIG_METADATA!$B$4,DATOS!$I$2:$I$20000,"Orquesta/Banda/Conjunto"),"")))</f>
        <v/>
      </c>
      <c r="P524" t="str">
        <f>IF(M524="","",IF(M524="[FÓRMULA MANUAL]","",IFERROR(AVERAGEIFS(DATOS!$K$2:$K$20000,DATOS!$A$2:$A$20000,M524,DATOS!$G$2:$G$20000,CONFIG_METADATA!$B$4,DATOS!$I$2:$I$20000,"Música de Cámara"),"")))</f>
        <v/>
      </c>
      <c r="Q524" t="str">
        <f>IF(M524="","",IF(M524="[FÓRMULA MANUAL]","",IFERROR(SUMPRODUCT((DATOS!$A$2:$A$20000=M524)*(DATOS!$G$2:$G$20000=CONFIG_METADATA!$B$4)*(COUNTIF(CONFIG_ASIGNATURAS!$B$7:$B$27,DATOS!$I$2:$I$20000)&gt;0)*(DATOS!$K$2:$K$20000))/SUMPRODUCT((DATOS!$A$2:$A$20000=M524)*(DATOS!$G$2:$G$20000=CONFIG_METADATA!$B$4)*(COUNTIF(CONFIG_ASIGNATURAS!$B$7:$B$27,DATOS!$I$2:$I$20000)&gt;0)*1),"")))</f>
        <v/>
      </c>
      <c r="T524" t="str">
        <f>IF(S524="","",IF(S524="[FÓRMULA MANUAL]","",IFERROR(AVERAGEIFS(DATOS!$K$2:$K$20000,DATOS!$A$2:$A$20000,S524,DATOS!$G$2:$G$20000,CONFIG_METADATA!$B$4,DATOS!$I$2:$I$20000,"Armonía"),"")))</f>
        <v/>
      </c>
      <c r="U524" t="str">
        <f>IF(S524="","",IF(S524="[FÓRMULA MANUAL]","",IFERROR(AVERAGEIFS(DATOS!$K$2:$K$20000,DATOS!$A$2:$A$20000,S524,DATOS!$G$2:$G$20000,CONFIG_METADATA!$B$4,DATOS!$I$2:$I$20000,"Orquesta/Banda/Conjunto"),"")))</f>
        <v/>
      </c>
      <c r="V524" t="str">
        <f>IF(S524="","",IF(S524="[FÓRMULA MANUAL]","",IFERROR(AVERAGEIFS(DATOS!$K$2:$K$20000,DATOS!$A$2:$A$20000,S524,DATOS!$G$2:$G$20000,CONFIG_METADATA!$B$4,DATOS!$I$2:$I$20000,"Música de Cámara"),"")))</f>
        <v/>
      </c>
      <c r="W524" t="str">
        <f>IF(S524="","",IF(S524="[FÓRMULA MANUAL]","",IFERROR(SUMPRODUCT((DATOS!$A$2:$A$20000=S524)*(DATOS!$G$2:$G$20000=CONFIG_METADATA!$B$4)*(COUNTIF(CONFIG_ASIGNATURAS!$B$7:$B$27,DATOS!$I$2:$I$20000)&gt;0)*(DATOS!$K$2:$K$20000))/SUMPRODUCT((DATOS!$A$2:$A$20000=S524)*(DATOS!$G$2:$G$20000=CONFIG_METADATA!$B$4)*(COUNTIF(CONFIG_ASIGNATURAS!$B$7:$B$27,DATOS!$I$2:$I$20000)&gt;0)*1),"")))</f>
        <v/>
      </c>
      <c r="Z524" t="str">
        <f>IF(Y524="","",IF(Y524="[FÓRMULA MANUAL]","",IFERROR(AVERAGEIFS(DATOS!$K$2:$K$20000,DATOS!$A$2:$A$20000,Y524,DATOS!$G$2:$G$20000,CONFIG_METADATA!$B$4,DATOS!$I$2:$I$20000,"Análisis"),"")))</f>
        <v/>
      </c>
      <c r="AA524" t="str">
        <f>IF(Y524="","",IF(Y524="[FÓRMULA MANUAL]","",IFERROR(AVERAGEIFS(DATOS!$K$2:$K$20000,DATOS!$A$2:$A$20000,Y524,DATOS!$G$2:$G$20000,CONFIG_METADATA!$B$4,DATOS!$I$2:$I$20000,"Orquesta/Banda/Conjunto"),"")))</f>
        <v/>
      </c>
      <c r="AB524" t="str">
        <f>IF(Y524="","",IF(Y524="[FÓRMULA MANUAL]","",IFERROR(AVERAGEIFS(DATOS!$K$2:$K$20000,DATOS!$A$2:$A$20000,Y524,DATOS!$G$2:$G$20000,CONFIG_METADATA!$B$4,DATOS!$I$2:$I$20000,"Música de Cámara"),"")))</f>
        <v/>
      </c>
      <c r="AC524" t="str">
        <f>IF(Y524="","",IF(Y524="[FÓRMULA MANUAL]","",IFERROR(SUMPRODUCT((DATOS!$A$2:$A$20000=Y524)*(DATOS!$G$2:$G$20000=CONFIG_METADATA!$B$4)*(COUNTIF(CONFIG_ASIGNATURAS!$B$7:$B$27,DATOS!$I$2:$I$20000)&gt;0)*(DATOS!$K$2:$K$20000))/SUMPRODUCT((DATOS!$A$2:$A$20000=Y524)*(DATOS!$G$2:$G$20000=CONFIG_METADATA!$B$4)*(COUNTIF(CONFIG_ASIGNATURAS!$B$7:$B$27,DATOS!$I$2:$I$20000)&gt;0)*1),"")))</f>
        <v/>
      </c>
      <c r="AF524" t="str">
        <f>IF(AE524="","",IF(AE524="[FÓRMULA MANUAL]","",IFERROR(AVERAGEIFS(DATOS!$K$2:$K$20000,DATOS!$A$2:$A$20000,AE524,DATOS!$G$2:$G$20000,CONFIG_METADATA!$B$4,DATOS!$I$2:$I$20000,"Análisis"),"")))</f>
        <v/>
      </c>
      <c r="AG524" t="str">
        <f>IF(AE524="","",IF(AE524="[FÓRMULA MANUAL]","",IFERROR(AVERAGEIFS(DATOS!$K$2:$K$20000,DATOS!$A$2:$A$20000,AE524,DATOS!$G$2:$G$20000,CONFIG_METADATA!$B$4,DATOS!$I$2:$I$20000,"Orquesta/Banda/Conjunto"),"")))</f>
        <v/>
      </c>
      <c r="AH524" t="str">
        <f>IF(AE524="","",IF(AE524="[FÓRMULA MANUAL]","",IFERROR(AVERAGEIFS(DATOS!$K$2:$K$20000,DATOS!$A$2:$A$20000,AE524,DATOS!$G$2:$G$20000,CONFIG_METADATA!$B$4,DATOS!$I$2:$I$20000,"Música de Cámara"),"")))</f>
        <v/>
      </c>
      <c r="AI524" t="str">
        <f>IF(AE524="","",IF(AE524="[FÓRMULA MANUAL]","",IFERROR(SUMPRODUCT((DATOS!$A$2:$A$20000=AE524)*(DATOS!$G$2:$G$20000=CONFIG_METADATA!$B$4)*(COUNTIF(CONFIG_ASIGNATURAS!$B$7:$B$27,DATOS!$I$2:$I$20000)&gt;0)*(DATOS!$K$2:$K$20000))/SUMPRODUCT((DATOS!$A$2:$A$20000=AE524)*(DATOS!$G$2:$G$20000=CONFIG_METADATA!$B$4)*(COUNTIF(CONFIG_ASIGNATURAS!$B$7:$B$27,DATOS!$I$2:$I$20000)&gt;0)*1),"")))</f>
        <v/>
      </c>
    </row>
    <row r="525" spans="2:35" x14ac:dyDescent="0.2">
      <c r="B525" t="str">
        <f>IF(A525="","",IF(A525="[FÓRMULA MANUAL]","",IFERROR(AVERAGEIFS(DATOS!$K$2:$K$20000,DATOS!$A$2:$A$20000,A525,DATOS!$G$2:$G$20000,CONFIG_METADATA!$B$4,DATOS!$I$2:$I$20000,"Lenguaje Musical"),"")))</f>
        <v/>
      </c>
      <c r="C525" t="str">
        <f>IF(A525="","",IF(A525="[FÓRMULA MANUAL]","",IFERROR(AVERAGEIFS(DATOS!$K$2:$K$20000,DATOS!$A$2:$A$20000,A525,DATOS!$G$2:$G$20000,CONFIG_METADATA!$B$4,DATOS!$I$2:$I$20000,"Orquesta/Banda/Conjunto"),"")))</f>
        <v/>
      </c>
      <c r="D525" t="str">
        <f>IF(A525="","",IF(A525="[FÓRMULA MANUAL]","",IFERROR(AVERAGEIFS(DATOS!$K$2:$K$20000,DATOS!$A$2:$A$20000,A525,DATOS!$G$2:$G$20000,CONFIG_METADATA!$B$4,DATOS!$I$2:$I$20000,"Conjunto"),"")))</f>
        <v/>
      </c>
      <c r="E525" t="str">
        <f>IF(A525="","",IF(A525="[FÓRMULA MANUAL]","",IFERROR(SUMPRODUCT((DATOS!$A$2:$A$20000=A525)*(DATOS!$G$2:$G$20000=CONFIG_METADATA!$B$4)*(COUNTIF(CONFIG_ASIGNATURAS!$B$7:$B$27,DATOS!$I$2:$I$20000)&gt;0)*(DATOS!$K$2:$K$20000))/SUMPRODUCT((DATOS!$A$2:$A$20000=A525)*(DATOS!$G$2:$G$20000=CONFIG_METADATA!$B$4)*(COUNTIF(CONFIG_ASIGNATURAS!$B$7:$B$27,DATOS!$I$2:$I$20000)&gt;0)*1),"")))</f>
        <v/>
      </c>
      <c r="H525" t="str">
        <f>IF(G525="","",IF(G525="[FÓRMULA MANUAL]","",IFERROR(AVERAGEIFS(DATOS!$K$2:$K$20000,DATOS!$A$2:$A$20000,G525,DATOS!$G$2:$G$20000,CONFIG_METADATA!$B$4,DATOS!$I$2:$I$20000,"Lenguaje Musical"),"")))</f>
        <v/>
      </c>
      <c r="I525" t="str">
        <f>IF(G525="","",IF(G525="[FÓRMULA MANUAL]","",IFERROR(AVERAGEIFS(DATOS!$K$2:$K$20000,DATOS!$A$2:$A$20000,G525,DATOS!$G$2:$G$20000,CONFIG_METADATA!$B$4,DATOS!$I$2:$I$20000,"Orquesta/Banda/Conjunto"),"")))</f>
        <v/>
      </c>
      <c r="J525" t="str">
        <f>IF(G525="","",IF(G525="[FÓRMULA MANUAL]","",IFERROR(AVERAGEIFS(DATOS!$K$2:$K$20000,DATOS!$A$2:$A$20000,G525,DATOS!$G$2:$G$20000,CONFIG_METADATA!$B$4,DATOS!$I$2:$I$20000,"Conjunto"),"")))</f>
        <v/>
      </c>
      <c r="K525" t="str">
        <f>IF(G525="","",IF(G525="[FÓRMULA MANUAL]","",IFERROR(SUMPRODUCT((DATOS!$A$2:$A$20000=G525)*(DATOS!$G$2:$G$20000=CONFIG_METADATA!$B$4)*(COUNTIF(CONFIG_ASIGNATURAS!$B$7:$B$27,DATOS!$I$2:$I$20000)&gt;0)*(DATOS!$K$2:$K$20000))/SUMPRODUCT((DATOS!$A$2:$A$20000=G525)*(DATOS!$G$2:$G$20000=CONFIG_METADATA!$B$4)*(COUNTIF(CONFIG_ASIGNATURAS!$B$7:$B$27,DATOS!$I$2:$I$20000)&gt;0)*1),"")))</f>
        <v/>
      </c>
      <c r="N525" t="str">
        <f>IF(M525="","",IF(M525="[FÓRMULA MANUAL]","",IFERROR(AVERAGEIFS(DATOS!$K$2:$K$20000,DATOS!$A$2:$A$20000,M525,DATOS!$G$2:$G$20000,CONFIG_METADATA!$B$4,DATOS!$I$2:$I$20000,"Armonía"),"")))</f>
        <v/>
      </c>
      <c r="O525" t="str">
        <f>IF(M525="","",IF(M525="[FÓRMULA MANUAL]","",IFERROR(AVERAGEIFS(DATOS!$K$2:$K$20000,DATOS!$A$2:$A$20000,M525,DATOS!$G$2:$G$20000,CONFIG_METADATA!$B$4,DATOS!$I$2:$I$20000,"Orquesta/Banda/Conjunto"),"")))</f>
        <v/>
      </c>
      <c r="P525" t="str">
        <f>IF(M525="","",IF(M525="[FÓRMULA MANUAL]","",IFERROR(AVERAGEIFS(DATOS!$K$2:$K$20000,DATOS!$A$2:$A$20000,M525,DATOS!$G$2:$G$20000,CONFIG_METADATA!$B$4,DATOS!$I$2:$I$20000,"Música de Cámara"),"")))</f>
        <v/>
      </c>
      <c r="Q525" t="str">
        <f>IF(M525="","",IF(M525="[FÓRMULA MANUAL]","",IFERROR(SUMPRODUCT((DATOS!$A$2:$A$20000=M525)*(DATOS!$G$2:$G$20000=CONFIG_METADATA!$B$4)*(COUNTIF(CONFIG_ASIGNATURAS!$B$7:$B$27,DATOS!$I$2:$I$20000)&gt;0)*(DATOS!$K$2:$K$20000))/SUMPRODUCT((DATOS!$A$2:$A$20000=M525)*(DATOS!$G$2:$G$20000=CONFIG_METADATA!$B$4)*(COUNTIF(CONFIG_ASIGNATURAS!$B$7:$B$27,DATOS!$I$2:$I$20000)&gt;0)*1),"")))</f>
        <v/>
      </c>
      <c r="T525" t="str">
        <f>IF(S525="","",IF(S525="[FÓRMULA MANUAL]","",IFERROR(AVERAGEIFS(DATOS!$K$2:$K$20000,DATOS!$A$2:$A$20000,S525,DATOS!$G$2:$G$20000,CONFIG_METADATA!$B$4,DATOS!$I$2:$I$20000,"Armonía"),"")))</f>
        <v/>
      </c>
      <c r="U525" t="str">
        <f>IF(S525="","",IF(S525="[FÓRMULA MANUAL]","",IFERROR(AVERAGEIFS(DATOS!$K$2:$K$20000,DATOS!$A$2:$A$20000,S525,DATOS!$G$2:$G$20000,CONFIG_METADATA!$B$4,DATOS!$I$2:$I$20000,"Orquesta/Banda/Conjunto"),"")))</f>
        <v/>
      </c>
      <c r="V525" t="str">
        <f>IF(S525="","",IF(S525="[FÓRMULA MANUAL]","",IFERROR(AVERAGEIFS(DATOS!$K$2:$K$20000,DATOS!$A$2:$A$20000,S525,DATOS!$G$2:$G$20000,CONFIG_METADATA!$B$4,DATOS!$I$2:$I$20000,"Música de Cámara"),"")))</f>
        <v/>
      </c>
      <c r="W525" t="str">
        <f>IF(S525="","",IF(S525="[FÓRMULA MANUAL]","",IFERROR(SUMPRODUCT((DATOS!$A$2:$A$20000=S525)*(DATOS!$G$2:$G$20000=CONFIG_METADATA!$B$4)*(COUNTIF(CONFIG_ASIGNATURAS!$B$7:$B$27,DATOS!$I$2:$I$20000)&gt;0)*(DATOS!$K$2:$K$20000))/SUMPRODUCT((DATOS!$A$2:$A$20000=S525)*(DATOS!$G$2:$G$20000=CONFIG_METADATA!$B$4)*(COUNTIF(CONFIG_ASIGNATURAS!$B$7:$B$27,DATOS!$I$2:$I$20000)&gt;0)*1),"")))</f>
        <v/>
      </c>
      <c r="Z525" t="str">
        <f>IF(Y525="","",IF(Y525="[FÓRMULA MANUAL]","",IFERROR(AVERAGEIFS(DATOS!$K$2:$K$20000,DATOS!$A$2:$A$20000,Y525,DATOS!$G$2:$G$20000,CONFIG_METADATA!$B$4,DATOS!$I$2:$I$20000,"Análisis"),"")))</f>
        <v/>
      </c>
      <c r="AA525" t="str">
        <f>IF(Y525="","",IF(Y525="[FÓRMULA MANUAL]","",IFERROR(AVERAGEIFS(DATOS!$K$2:$K$20000,DATOS!$A$2:$A$20000,Y525,DATOS!$G$2:$G$20000,CONFIG_METADATA!$B$4,DATOS!$I$2:$I$20000,"Orquesta/Banda/Conjunto"),"")))</f>
        <v/>
      </c>
      <c r="AB525" t="str">
        <f>IF(Y525="","",IF(Y525="[FÓRMULA MANUAL]","",IFERROR(AVERAGEIFS(DATOS!$K$2:$K$20000,DATOS!$A$2:$A$20000,Y525,DATOS!$G$2:$G$20000,CONFIG_METADATA!$B$4,DATOS!$I$2:$I$20000,"Música de Cámara"),"")))</f>
        <v/>
      </c>
      <c r="AC525" t="str">
        <f>IF(Y525="","",IF(Y525="[FÓRMULA MANUAL]","",IFERROR(SUMPRODUCT((DATOS!$A$2:$A$20000=Y525)*(DATOS!$G$2:$G$20000=CONFIG_METADATA!$B$4)*(COUNTIF(CONFIG_ASIGNATURAS!$B$7:$B$27,DATOS!$I$2:$I$20000)&gt;0)*(DATOS!$K$2:$K$20000))/SUMPRODUCT((DATOS!$A$2:$A$20000=Y525)*(DATOS!$G$2:$G$20000=CONFIG_METADATA!$B$4)*(COUNTIF(CONFIG_ASIGNATURAS!$B$7:$B$27,DATOS!$I$2:$I$20000)&gt;0)*1),"")))</f>
        <v/>
      </c>
      <c r="AF525" t="str">
        <f>IF(AE525="","",IF(AE525="[FÓRMULA MANUAL]","",IFERROR(AVERAGEIFS(DATOS!$K$2:$K$20000,DATOS!$A$2:$A$20000,AE525,DATOS!$G$2:$G$20000,CONFIG_METADATA!$B$4,DATOS!$I$2:$I$20000,"Análisis"),"")))</f>
        <v/>
      </c>
      <c r="AG525" t="str">
        <f>IF(AE525="","",IF(AE525="[FÓRMULA MANUAL]","",IFERROR(AVERAGEIFS(DATOS!$K$2:$K$20000,DATOS!$A$2:$A$20000,AE525,DATOS!$G$2:$G$20000,CONFIG_METADATA!$B$4,DATOS!$I$2:$I$20000,"Orquesta/Banda/Conjunto"),"")))</f>
        <v/>
      </c>
      <c r="AH525" t="str">
        <f>IF(AE525="","",IF(AE525="[FÓRMULA MANUAL]","",IFERROR(AVERAGEIFS(DATOS!$K$2:$K$20000,DATOS!$A$2:$A$20000,AE525,DATOS!$G$2:$G$20000,CONFIG_METADATA!$B$4,DATOS!$I$2:$I$20000,"Música de Cámara"),"")))</f>
        <v/>
      </c>
      <c r="AI525" t="str">
        <f>IF(AE525="","",IF(AE525="[FÓRMULA MANUAL]","",IFERROR(SUMPRODUCT((DATOS!$A$2:$A$20000=AE525)*(DATOS!$G$2:$G$20000=CONFIG_METADATA!$B$4)*(COUNTIF(CONFIG_ASIGNATURAS!$B$7:$B$27,DATOS!$I$2:$I$20000)&gt;0)*(DATOS!$K$2:$K$20000))/SUMPRODUCT((DATOS!$A$2:$A$20000=AE525)*(DATOS!$G$2:$G$20000=CONFIG_METADATA!$B$4)*(COUNTIF(CONFIG_ASIGNATURAS!$B$7:$B$27,DATOS!$I$2:$I$20000)&gt;0)*1),"")))</f>
        <v/>
      </c>
    </row>
    <row r="526" spans="2:35" x14ac:dyDescent="0.2">
      <c r="B526" t="str">
        <f>IF(A526="","",IF(A526="[FÓRMULA MANUAL]","",IFERROR(AVERAGEIFS(DATOS!$K$2:$K$20000,DATOS!$A$2:$A$20000,A526,DATOS!$G$2:$G$20000,CONFIG_METADATA!$B$4,DATOS!$I$2:$I$20000,"Lenguaje Musical"),"")))</f>
        <v/>
      </c>
      <c r="C526" t="str">
        <f>IF(A526="","",IF(A526="[FÓRMULA MANUAL]","",IFERROR(AVERAGEIFS(DATOS!$K$2:$K$20000,DATOS!$A$2:$A$20000,A526,DATOS!$G$2:$G$20000,CONFIG_METADATA!$B$4,DATOS!$I$2:$I$20000,"Orquesta/Banda/Conjunto"),"")))</f>
        <v/>
      </c>
      <c r="D526" t="str">
        <f>IF(A526="","",IF(A526="[FÓRMULA MANUAL]","",IFERROR(AVERAGEIFS(DATOS!$K$2:$K$20000,DATOS!$A$2:$A$20000,A526,DATOS!$G$2:$G$20000,CONFIG_METADATA!$B$4,DATOS!$I$2:$I$20000,"Conjunto"),"")))</f>
        <v/>
      </c>
      <c r="E526" t="str">
        <f>IF(A526="","",IF(A526="[FÓRMULA MANUAL]","",IFERROR(SUMPRODUCT((DATOS!$A$2:$A$20000=A526)*(DATOS!$G$2:$G$20000=CONFIG_METADATA!$B$4)*(COUNTIF(CONFIG_ASIGNATURAS!$B$7:$B$27,DATOS!$I$2:$I$20000)&gt;0)*(DATOS!$K$2:$K$20000))/SUMPRODUCT((DATOS!$A$2:$A$20000=A526)*(DATOS!$G$2:$G$20000=CONFIG_METADATA!$B$4)*(COUNTIF(CONFIG_ASIGNATURAS!$B$7:$B$27,DATOS!$I$2:$I$20000)&gt;0)*1),"")))</f>
        <v/>
      </c>
      <c r="H526" t="str">
        <f>IF(G526="","",IF(G526="[FÓRMULA MANUAL]","",IFERROR(AVERAGEIFS(DATOS!$K$2:$K$20000,DATOS!$A$2:$A$20000,G526,DATOS!$G$2:$G$20000,CONFIG_METADATA!$B$4,DATOS!$I$2:$I$20000,"Lenguaje Musical"),"")))</f>
        <v/>
      </c>
      <c r="I526" t="str">
        <f>IF(G526="","",IF(G526="[FÓRMULA MANUAL]","",IFERROR(AVERAGEIFS(DATOS!$K$2:$K$20000,DATOS!$A$2:$A$20000,G526,DATOS!$G$2:$G$20000,CONFIG_METADATA!$B$4,DATOS!$I$2:$I$20000,"Orquesta/Banda/Conjunto"),"")))</f>
        <v/>
      </c>
      <c r="J526" t="str">
        <f>IF(G526="","",IF(G526="[FÓRMULA MANUAL]","",IFERROR(AVERAGEIFS(DATOS!$K$2:$K$20000,DATOS!$A$2:$A$20000,G526,DATOS!$G$2:$G$20000,CONFIG_METADATA!$B$4,DATOS!$I$2:$I$20000,"Conjunto"),"")))</f>
        <v/>
      </c>
      <c r="K526" t="str">
        <f>IF(G526="","",IF(G526="[FÓRMULA MANUAL]","",IFERROR(SUMPRODUCT((DATOS!$A$2:$A$20000=G526)*(DATOS!$G$2:$G$20000=CONFIG_METADATA!$B$4)*(COUNTIF(CONFIG_ASIGNATURAS!$B$7:$B$27,DATOS!$I$2:$I$20000)&gt;0)*(DATOS!$K$2:$K$20000))/SUMPRODUCT((DATOS!$A$2:$A$20000=G526)*(DATOS!$G$2:$G$20000=CONFIG_METADATA!$B$4)*(COUNTIF(CONFIG_ASIGNATURAS!$B$7:$B$27,DATOS!$I$2:$I$20000)&gt;0)*1),"")))</f>
        <v/>
      </c>
      <c r="N526" t="str">
        <f>IF(M526="","",IF(M526="[FÓRMULA MANUAL]","",IFERROR(AVERAGEIFS(DATOS!$K$2:$K$20000,DATOS!$A$2:$A$20000,M526,DATOS!$G$2:$G$20000,CONFIG_METADATA!$B$4,DATOS!$I$2:$I$20000,"Armonía"),"")))</f>
        <v/>
      </c>
      <c r="O526" t="str">
        <f>IF(M526="","",IF(M526="[FÓRMULA MANUAL]","",IFERROR(AVERAGEIFS(DATOS!$K$2:$K$20000,DATOS!$A$2:$A$20000,M526,DATOS!$G$2:$G$20000,CONFIG_METADATA!$B$4,DATOS!$I$2:$I$20000,"Orquesta/Banda/Conjunto"),"")))</f>
        <v/>
      </c>
      <c r="P526" t="str">
        <f>IF(M526="","",IF(M526="[FÓRMULA MANUAL]","",IFERROR(AVERAGEIFS(DATOS!$K$2:$K$20000,DATOS!$A$2:$A$20000,M526,DATOS!$G$2:$G$20000,CONFIG_METADATA!$B$4,DATOS!$I$2:$I$20000,"Música de Cámara"),"")))</f>
        <v/>
      </c>
      <c r="Q526" t="str">
        <f>IF(M526="","",IF(M526="[FÓRMULA MANUAL]","",IFERROR(SUMPRODUCT((DATOS!$A$2:$A$20000=M526)*(DATOS!$G$2:$G$20000=CONFIG_METADATA!$B$4)*(COUNTIF(CONFIG_ASIGNATURAS!$B$7:$B$27,DATOS!$I$2:$I$20000)&gt;0)*(DATOS!$K$2:$K$20000))/SUMPRODUCT((DATOS!$A$2:$A$20000=M526)*(DATOS!$G$2:$G$20000=CONFIG_METADATA!$B$4)*(COUNTIF(CONFIG_ASIGNATURAS!$B$7:$B$27,DATOS!$I$2:$I$20000)&gt;0)*1),"")))</f>
        <v/>
      </c>
      <c r="T526" t="str">
        <f>IF(S526="","",IF(S526="[FÓRMULA MANUAL]","",IFERROR(AVERAGEIFS(DATOS!$K$2:$K$20000,DATOS!$A$2:$A$20000,S526,DATOS!$G$2:$G$20000,CONFIG_METADATA!$B$4,DATOS!$I$2:$I$20000,"Armonía"),"")))</f>
        <v/>
      </c>
      <c r="U526" t="str">
        <f>IF(S526="","",IF(S526="[FÓRMULA MANUAL]","",IFERROR(AVERAGEIFS(DATOS!$K$2:$K$20000,DATOS!$A$2:$A$20000,S526,DATOS!$G$2:$G$20000,CONFIG_METADATA!$B$4,DATOS!$I$2:$I$20000,"Orquesta/Banda/Conjunto"),"")))</f>
        <v/>
      </c>
      <c r="V526" t="str">
        <f>IF(S526="","",IF(S526="[FÓRMULA MANUAL]","",IFERROR(AVERAGEIFS(DATOS!$K$2:$K$20000,DATOS!$A$2:$A$20000,S526,DATOS!$G$2:$G$20000,CONFIG_METADATA!$B$4,DATOS!$I$2:$I$20000,"Música de Cámara"),"")))</f>
        <v/>
      </c>
      <c r="W526" t="str">
        <f>IF(S526="","",IF(S526="[FÓRMULA MANUAL]","",IFERROR(SUMPRODUCT((DATOS!$A$2:$A$20000=S526)*(DATOS!$G$2:$G$20000=CONFIG_METADATA!$B$4)*(COUNTIF(CONFIG_ASIGNATURAS!$B$7:$B$27,DATOS!$I$2:$I$20000)&gt;0)*(DATOS!$K$2:$K$20000))/SUMPRODUCT((DATOS!$A$2:$A$20000=S526)*(DATOS!$G$2:$G$20000=CONFIG_METADATA!$B$4)*(COUNTIF(CONFIG_ASIGNATURAS!$B$7:$B$27,DATOS!$I$2:$I$20000)&gt;0)*1),"")))</f>
        <v/>
      </c>
      <c r="Z526" t="str">
        <f>IF(Y526="","",IF(Y526="[FÓRMULA MANUAL]","",IFERROR(AVERAGEIFS(DATOS!$K$2:$K$20000,DATOS!$A$2:$A$20000,Y526,DATOS!$G$2:$G$20000,CONFIG_METADATA!$B$4,DATOS!$I$2:$I$20000,"Análisis"),"")))</f>
        <v/>
      </c>
      <c r="AA526" t="str">
        <f>IF(Y526="","",IF(Y526="[FÓRMULA MANUAL]","",IFERROR(AVERAGEIFS(DATOS!$K$2:$K$20000,DATOS!$A$2:$A$20000,Y526,DATOS!$G$2:$G$20000,CONFIG_METADATA!$B$4,DATOS!$I$2:$I$20000,"Orquesta/Banda/Conjunto"),"")))</f>
        <v/>
      </c>
      <c r="AB526" t="str">
        <f>IF(Y526="","",IF(Y526="[FÓRMULA MANUAL]","",IFERROR(AVERAGEIFS(DATOS!$K$2:$K$20000,DATOS!$A$2:$A$20000,Y526,DATOS!$G$2:$G$20000,CONFIG_METADATA!$B$4,DATOS!$I$2:$I$20000,"Música de Cámara"),"")))</f>
        <v/>
      </c>
      <c r="AC526" t="str">
        <f>IF(Y526="","",IF(Y526="[FÓRMULA MANUAL]","",IFERROR(SUMPRODUCT((DATOS!$A$2:$A$20000=Y526)*(DATOS!$G$2:$G$20000=CONFIG_METADATA!$B$4)*(COUNTIF(CONFIG_ASIGNATURAS!$B$7:$B$27,DATOS!$I$2:$I$20000)&gt;0)*(DATOS!$K$2:$K$20000))/SUMPRODUCT((DATOS!$A$2:$A$20000=Y526)*(DATOS!$G$2:$G$20000=CONFIG_METADATA!$B$4)*(COUNTIF(CONFIG_ASIGNATURAS!$B$7:$B$27,DATOS!$I$2:$I$20000)&gt;0)*1),"")))</f>
        <v/>
      </c>
      <c r="AF526" t="str">
        <f>IF(AE526="","",IF(AE526="[FÓRMULA MANUAL]","",IFERROR(AVERAGEIFS(DATOS!$K$2:$K$20000,DATOS!$A$2:$A$20000,AE526,DATOS!$G$2:$G$20000,CONFIG_METADATA!$B$4,DATOS!$I$2:$I$20000,"Análisis"),"")))</f>
        <v/>
      </c>
      <c r="AG526" t="str">
        <f>IF(AE526="","",IF(AE526="[FÓRMULA MANUAL]","",IFERROR(AVERAGEIFS(DATOS!$K$2:$K$20000,DATOS!$A$2:$A$20000,AE526,DATOS!$G$2:$G$20000,CONFIG_METADATA!$B$4,DATOS!$I$2:$I$20000,"Orquesta/Banda/Conjunto"),"")))</f>
        <v/>
      </c>
      <c r="AH526" t="str">
        <f>IF(AE526="","",IF(AE526="[FÓRMULA MANUAL]","",IFERROR(AVERAGEIFS(DATOS!$K$2:$K$20000,DATOS!$A$2:$A$20000,AE526,DATOS!$G$2:$G$20000,CONFIG_METADATA!$B$4,DATOS!$I$2:$I$20000,"Música de Cámara"),"")))</f>
        <v/>
      </c>
      <c r="AI526" t="str">
        <f>IF(AE526="","",IF(AE526="[FÓRMULA MANUAL]","",IFERROR(SUMPRODUCT((DATOS!$A$2:$A$20000=AE526)*(DATOS!$G$2:$G$20000=CONFIG_METADATA!$B$4)*(COUNTIF(CONFIG_ASIGNATURAS!$B$7:$B$27,DATOS!$I$2:$I$20000)&gt;0)*(DATOS!$K$2:$K$20000))/SUMPRODUCT((DATOS!$A$2:$A$20000=AE526)*(DATOS!$G$2:$G$20000=CONFIG_METADATA!$B$4)*(COUNTIF(CONFIG_ASIGNATURAS!$B$7:$B$27,DATOS!$I$2:$I$20000)&gt;0)*1),"")))</f>
        <v/>
      </c>
    </row>
    <row r="527" spans="2:35" x14ac:dyDescent="0.2">
      <c r="B527" t="str">
        <f>IF(A527="","",IF(A527="[FÓRMULA MANUAL]","",IFERROR(AVERAGEIFS(DATOS!$K$2:$K$20000,DATOS!$A$2:$A$20000,A527,DATOS!$G$2:$G$20000,CONFIG_METADATA!$B$4,DATOS!$I$2:$I$20000,"Lenguaje Musical"),"")))</f>
        <v/>
      </c>
      <c r="C527" t="str">
        <f>IF(A527="","",IF(A527="[FÓRMULA MANUAL]","",IFERROR(AVERAGEIFS(DATOS!$K$2:$K$20000,DATOS!$A$2:$A$20000,A527,DATOS!$G$2:$G$20000,CONFIG_METADATA!$B$4,DATOS!$I$2:$I$20000,"Orquesta/Banda/Conjunto"),"")))</f>
        <v/>
      </c>
      <c r="D527" t="str">
        <f>IF(A527="","",IF(A527="[FÓRMULA MANUAL]","",IFERROR(AVERAGEIFS(DATOS!$K$2:$K$20000,DATOS!$A$2:$A$20000,A527,DATOS!$G$2:$G$20000,CONFIG_METADATA!$B$4,DATOS!$I$2:$I$20000,"Conjunto"),"")))</f>
        <v/>
      </c>
      <c r="E527" t="str">
        <f>IF(A527="","",IF(A527="[FÓRMULA MANUAL]","",IFERROR(SUMPRODUCT((DATOS!$A$2:$A$20000=A527)*(DATOS!$G$2:$G$20000=CONFIG_METADATA!$B$4)*(COUNTIF(CONFIG_ASIGNATURAS!$B$7:$B$27,DATOS!$I$2:$I$20000)&gt;0)*(DATOS!$K$2:$K$20000))/SUMPRODUCT((DATOS!$A$2:$A$20000=A527)*(DATOS!$G$2:$G$20000=CONFIG_METADATA!$B$4)*(COUNTIF(CONFIG_ASIGNATURAS!$B$7:$B$27,DATOS!$I$2:$I$20000)&gt;0)*1),"")))</f>
        <v/>
      </c>
      <c r="H527" t="str">
        <f>IF(G527="","",IF(G527="[FÓRMULA MANUAL]","",IFERROR(AVERAGEIFS(DATOS!$K$2:$K$20000,DATOS!$A$2:$A$20000,G527,DATOS!$G$2:$G$20000,CONFIG_METADATA!$B$4,DATOS!$I$2:$I$20000,"Lenguaje Musical"),"")))</f>
        <v/>
      </c>
      <c r="I527" t="str">
        <f>IF(G527="","",IF(G527="[FÓRMULA MANUAL]","",IFERROR(AVERAGEIFS(DATOS!$K$2:$K$20000,DATOS!$A$2:$A$20000,G527,DATOS!$G$2:$G$20000,CONFIG_METADATA!$B$4,DATOS!$I$2:$I$20000,"Orquesta/Banda/Conjunto"),"")))</f>
        <v/>
      </c>
      <c r="J527" t="str">
        <f>IF(G527="","",IF(G527="[FÓRMULA MANUAL]","",IFERROR(AVERAGEIFS(DATOS!$K$2:$K$20000,DATOS!$A$2:$A$20000,G527,DATOS!$G$2:$G$20000,CONFIG_METADATA!$B$4,DATOS!$I$2:$I$20000,"Conjunto"),"")))</f>
        <v/>
      </c>
      <c r="K527" t="str">
        <f>IF(G527="","",IF(G527="[FÓRMULA MANUAL]","",IFERROR(SUMPRODUCT((DATOS!$A$2:$A$20000=G527)*(DATOS!$G$2:$G$20000=CONFIG_METADATA!$B$4)*(COUNTIF(CONFIG_ASIGNATURAS!$B$7:$B$27,DATOS!$I$2:$I$20000)&gt;0)*(DATOS!$K$2:$K$20000))/SUMPRODUCT((DATOS!$A$2:$A$20000=G527)*(DATOS!$G$2:$G$20000=CONFIG_METADATA!$B$4)*(COUNTIF(CONFIG_ASIGNATURAS!$B$7:$B$27,DATOS!$I$2:$I$20000)&gt;0)*1),"")))</f>
        <v/>
      </c>
      <c r="N527" t="str">
        <f>IF(M527="","",IF(M527="[FÓRMULA MANUAL]","",IFERROR(AVERAGEIFS(DATOS!$K$2:$K$20000,DATOS!$A$2:$A$20000,M527,DATOS!$G$2:$G$20000,CONFIG_METADATA!$B$4,DATOS!$I$2:$I$20000,"Armonía"),"")))</f>
        <v/>
      </c>
      <c r="O527" t="str">
        <f>IF(M527="","",IF(M527="[FÓRMULA MANUAL]","",IFERROR(AVERAGEIFS(DATOS!$K$2:$K$20000,DATOS!$A$2:$A$20000,M527,DATOS!$G$2:$G$20000,CONFIG_METADATA!$B$4,DATOS!$I$2:$I$20000,"Orquesta/Banda/Conjunto"),"")))</f>
        <v/>
      </c>
      <c r="P527" t="str">
        <f>IF(M527="","",IF(M527="[FÓRMULA MANUAL]","",IFERROR(AVERAGEIFS(DATOS!$K$2:$K$20000,DATOS!$A$2:$A$20000,M527,DATOS!$G$2:$G$20000,CONFIG_METADATA!$B$4,DATOS!$I$2:$I$20000,"Música de Cámara"),"")))</f>
        <v/>
      </c>
      <c r="Q527" t="str">
        <f>IF(M527="","",IF(M527="[FÓRMULA MANUAL]","",IFERROR(SUMPRODUCT((DATOS!$A$2:$A$20000=M527)*(DATOS!$G$2:$G$20000=CONFIG_METADATA!$B$4)*(COUNTIF(CONFIG_ASIGNATURAS!$B$7:$B$27,DATOS!$I$2:$I$20000)&gt;0)*(DATOS!$K$2:$K$20000))/SUMPRODUCT((DATOS!$A$2:$A$20000=M527)*(DATOS!$G$2:$G$20000=CONFIG_METADATA!$B$4)*(COUNTIF(CONFIG_ASIGNATURAS!$B$7:$B$27,DATOS!$I$2:$I$20000)&gt;0)*1),"")))</f>
        <v/>
      </c>
      <c r="T527" t="str">
        <f>IF(S527="","",IF(S527="[FÓRMULA MANUAL]","",IFERROR(AVERAGEIFS(DATOS!$K$2:$K$20000,DATOS!$A$2:$A$20000,S527,DATOS!$G$2:$G$20000,CONFIG_METADATA!$B$4,DATOS!$I$2:$I$20000,"Armonía"),"")))</f>
        <v/>
      </c>
      <c r="U527" t="str">
        <f>IF(S527="","",IF(S527="[FÓRMULA MANUAL]","",IFERROR(AVERAGEIFS(DATOS!$K$2:$K$20000,DATOS!$A$2:$A$20000,S527,DATOS!$G$2:$G$20000,CONFIG_METADATA!$B$4,DATOS!$I$2:$I$20000,"Orquesta/Banda/Conjunto"),"")))</f>
        <v/>
      </c>
      <c r="V527" t="str">
        <f>IF(S527="","",IF(S527="[FÓRMULA MANUAL]","",IFERROR(AVERAGEIFS(DATOS!$K$2:$K$20000,DATOS!$A$2:$A$20000,S527,DATOS!$G$2:$G$20000,CONFIG_METADATA!$B$4,DATOS!$I$2:$I$20000,"Música de Cámara"),"")))</f>
        <v/>
      </c>
      <c r="W527" t="str">
        <f>IF(S527="","",IF(S527="[FÓRMULA MANUAL]","",IFERROR(SUMPRODUCT((DATOS!$A$2:$A$20000=S527)*(DATOS!$G$2:$G$20000=CONFIG_METADATA!$B$4)*(COUNTIF(CONFIG_ASIGNATURAS!$B$7:$B$27,DATOS!$I$2:$I$20000)&gt;0)*(DATOS!$K$2:$K$20000))/SUMPRODUCT((DATOS!$A$2:$A$20000=S527)*(DATOS!$G$2:$G$20000=CONFIG_METADATA!$B$4)*(COUNTIF(CONFIG_ASIGNATURAS!$B$7:$B$27,DATOS!$I$2:$I$20000)&gt;0)*1),"")))</f>
        <v/>
      </c>
      <c r="Z527" t="str">
        <f>IF(Y527="","",IF(Y527="[FÓRMULA MANUAL]","",IFERROR(AVERAGEIFS(DATOS!$K$2:$K$20000,DATOS!$A$2:$A$20000,Y527,DATOS!$G$2:$G$20000,CONFIG_METADATA!$B$4,DATOS!$I$2:$I$20000,"Análisis"),"")))</f>
        <v/>
      </c>
      <c r="AA527" t="str">
        <f>IF(Y527="","",IF(Y527="[FÓRMULA MANUAL]","",IFERROR(AVERAGEIFS(DATOS!$K$2:$K$20000,DATOS!$A$2:$A$20000,Y527,DATOS!$G$2:$G$20000,CONFIG_METADATA!$B$4,DATOS!$I$2:$I$20000,"Orquesta/Banda/Conjunto"),"")))</f>
        <v/>
      </c>
      <c r="AB527" t="str">
        <f>IF(Y527="","",IF(Y527="[FÓRMULA MANUAL]","",IFERROR(AVERAGEIFS(DATOS!$K$2:$K$20000,DATOS!$A$2:$A$20000,Y527,DATOS!$G$2:$G$20000,CONFIG_METADATA!$B$4,DATOS!$I$2:$I$20000,"Música de Cámara"),"")))</f>
        <v/>
      </c>
      <c r="AC527" t="str">
        <f>IF(Y527="","",IF(Y527="[FÓRMULA MANUAL]","",IFERROR(SUMPRODUCT((DATOS!$A$2:$A$20000=Y527)*(DATOS!$G$2:$G$20000=CONFIG_METADATA!$B$4)*(COUNTIF(CONFIG_ASIGNATURAS!$B$7:$B$27,DATOS!$I$2:$I$20000)&gt;0)*(DATOS!$K$2:$K$20000))/SUMPRODUCT((DATOS!$A$2:$A$20000=Y527)*(DATOS!$G$2:$G$20000=CONFIG_METADATA!$B$4)*(COUNTIF(CONFIG_ASIGNATURAS!$B$7:$B$27,DATOS!$I$2:$I$20000)&gt;0)*1),"")))</f>
        <v/>
      </c>
      <c r="AF527" t="str">
        <f>IF(AE527="","",IF(AE527="[FÓRMULA MANUAL]","",IFERROR(AVERAGEIFS(DATOS!$K$2:$K$20000,DATOS!$A$2:$A$20000,AE527,DATOS!$G$2:$G$20000,CONFIG_METADATA!$B$4,DATOS!$I$2:$I$20000,"Análisis"),"")))</f>
        <v/>
      </c>
      <c r="AG527" t="str">
        <f>IF(AE527="","",IF(AE527="[FÓRMULA MANUAL]","",IFERROR(AVERAGEIFS(DATOS!$K$2:$K$20000,DATOS!$A$2:$A$20000,AE527,DATOS!$G$2:$G$20000,CONFIG_METADATA!$B$4,DATOS!$I$2:$I$20000,"Orquesta/Banda/Conjunto"),"")))</f>
        <v/>
      </c>
      <c r="AH527" t="str">
        <f>IF(AE527="","",IF(AE527="[FÓRMULA MANUAL]","",IFERROR(AVERAGEIFS(DATOS!$K$2:$K$20000,DATOS!$A$2:$A$20000,AE527,DATOS!$G$2:$G$20000,CONFIG_METADATA!$B$4,DATOS!$I$2:$I$20000,"Música de Cámara"),"")))</f>
        <v/>
      </c>
      <c r="AI527" t="str">
        <f>IF(AE527="","",IF(AE527="[FÓRMULA MANUAL]","",IFERROR(SUMPRODUCT((DATOS!$A$2:$A$20000=AE527)*(DATOS!$G$2:$G$20000=CONFIG_METADATA!$B$4)*(COUNTIF(CONFIG_ASIGNATURAS!$B$7:$B$27,DATOS!$I$2:$I$20000)&gt;0)*(DATOS!$K$2:$K$20000))/SUMPRODUCT((DATOS!$A$2:$A$20000=AE527)*(DATOS!$G$2:$G$20000=CONFIG_METADATA!$B$4)*(COUNTIF(CONFIG_ASIGNATURAS!$B$7:$B$27,DATOS!$I$2:$I$20000)&gt;0)*1),"")))</f>
        <v/>
      </c>
    </row>
    <row r="528" spans="2:35" x14ac:dyDescent="0.2">
      <c r="B528" t="str">
        <f>IF(A528="","",IF(A528="[FÓRMULA MANUAL]","",IFERROR(AVERAGEIFS(DATOS!$K$2:$K$20000,DATOS!$A$2:$A$20000,A528,DATOS!$G$2:$G$20000,CONFIG_METADATA!$B$4,DATOS!$I$2:$I$20000,"Lenguaje Musical"),"")))</f>
        <v/>
      </c>
      <c r="C528" t="str">
        <f>IF(A528="","",IF(A528="[FÓRMULA MANUAL]","",IFERROR(AVERAGEIFS(DATOS!$K$2:$K$20000,DATOS!$A$2:$A$20000,A528,DATOS!$G$2:$G$20000,CONFIG_METADATA!$B$4,DATOS!$I$2:$I$20000,"Orquesta/Banda/Conjunto"),"")))</f>
        <v/>
      </c>
      <c r="D528" t="str">
        <f>IF(A528="","",IF(A528="[FÓRMULA MANUAL]","",IFERROR(AVERAGEIFS(DATOS!$K$2:$K$20000,DATOS!$A$2:$A$20000,A528,DATOS!$G$2:$G$20000,CONFIG_METADATA!$B$4,DATOS!$I$2:$I$20000,"Conjunto"),"")))</f>
        <v/>
      </c>
      <c r="E528" t="str">
        <f>IF(A528="","",IF(A528="[FÓRMULA MANUAL]","",IFERROR(SUMPRODUCT((DATOS!$A$2:$A$20000=A528)*(DATOS!$G$2:$G$20000=CONFIG_METADATA!$B$4)*(COUNTIF(CONFIG_ASIGNATURAS!$B$7:$B$27,DATOS!$I$2:$I$20000)&gt;0)*(DATOS!$K$2:$K$20000))/SUMPRODUCT((DATOS!$A$2:$A$20000=A528)*(DATOS!$G$2:$G$20000=CONFIG_METADATA!$B$4)*(COUNTIF(CONFIG_ASIGNATURAS!$B$7:$B$27,DATOS!$I$2:$I$20000)&gt;0)*1),"")))</f>
        <v/>
      </c>
      <c r="H528" t="str">
        <f>IF(G528="","",IF(G528="[FÓRMULA MANUAL]","",IFERROR(AVERAGEIFS(DATOS!$K$2:$K$20000,DATOS!$A$2:$A$20000,G528,DATOS!$G$2:$G$20000,CONFIG_METADATA!$B$4,DATOS!$I$2:$I$20000,"Lenguaje Musical"),"")))</f>
        <v/>
      </c>
      <c r="I528" t="str">
        <f>IF(G528="","",IF(G528="[FÓRMULA MANUAL]","",IFERROR(AVERAGEIFS(DATOS!$K$2:$K$20000,DATOS!$A$2:$A$20000,G528,DATOS!$G$2:$G$20000,CONFIG_METADATA!$B$4,DATOS!$I$2:$I$20000,"Orquesta/Banda/Conjunto"),"")))</f>
        <v/>
      </c>
      <c r="J528" t="str">
        <f>IF(G528="","",IF(G528="[FÓRMULA MANUAL]","",IFERROR(AVERAGEIFS(DATOS!$K$2:$K$20000,DATOS!$A$2:$A$20000,G528,DATOS!$G$2:$G$20000,CONFIG_METADATA!$B$4,DATOS!$I$2:$I$20000,"Conjunto"),"")))</f>
        <v/>
      </c>
      <c r="K528" t="str">
        <f>IF(G528="","",IF(G528="[FÓRMULA MANUAL]","",IFERROR(SUMPRODUCT((DATOS!$A$2:$A$20000=G528)*(DATOS!$G$2:$G$20000=CONFIG_METADATA!$B$4)*(COUNTIF(CONFIG_ASIGNATURAS!$B$7:$B$27,DATOS!$I$2:$I$20000)&gt;0)*(DATOS!$K$2:$K$20000))/SUMPRODUCT((DATOS!$A$2:$A$20000=G528)*(DATOS!$G$2:$G$20000=CONFIG_METADATA!$B$4)*(COUNTIF(CONFIG_ASIGNATURAS!$B$7:$B$27,DATOS!$I$2:$I$20000)&gt;0)*1),"")))</f>
        <v/>
      </c>
      <c r="N528" t="str">
        <f>IF(M528="","",IF(M528="[FÓRMULA MANUAL]","",IFERROR(AVERAGEIFS(DATOS!$K$2:$K$20000,DATOS!$A$2:$A$20000,M528,DATOS!$G$2:$G$20000,CONFIG_METADATA!$B$4,DATOS!$I$2:$I$20000,"Armonía"),"")))</f>
        <v/>
      </c>
      <c r="O528" t="str">
        <f>IF(M528="","",IF(M528="[FÓRMULA MANUAL]","",IFERROR(AVERAGEIFS(DATOS!$K$2:$K$20000,DATOS!$A$2:$A$20000,M528,DATOS!$G$2:$G$20000,CONFIG_METADATA!$B$4,DATOS!$I$2:$I$20000,"Orquesta/Banda/Conjunto"),"")))</f>
        <v/>
      </c>
      <c r="P528" t="str">
        <f>IF(M528="","",IF(M528="[FÓRMULA MANUAL]","",IFERROR(AVERAGEIFS(DATOS!$K$2:$K$20000,DATOS!$A$2:$A$20000,M528,DATOS!$G$2:$G$20000,CONFIG_METADATA!$B$4,DATOS!$I$2:$I$20000,"Música de Cámara"),"")))</f>
        <v/>
      </c>
      <c r="Q528" t="str">
        <f>IF(M528="","",IF(M528="[FÓRMULA MANUAL]","",IFERROR(SUMPRODUCT((DATOS!$A$2:$A$20000=M528)*(DATOS!$G$2:$G$20000=CONFIG_METADATA!$B$4)*(COUNTIF(CONFIG_ASIGNATURAS!$B$7:$B$27,DATOS!$I$2:$I$20000)&gt;0)*(DATOS!$K$2:$K$20000))/SUMPRODUCT((DATOS!$A$2:$A$20000=M528)*(DATOS!$G$2:$G$20000=CONFIG_METADATA!$B$4)*(COUNTIF(CONFIG_ASIGNATURAS!$B$7:$B$27,DATOS!$I$2:$I$20000)&gt;0)*1),"")))</f>
        <v/>
      </c>
      <c r="T528" t="str">
        <f>IF(S528="","",IF(S528="[FÓRMULA MANUAL]","",IFERROR(AVERAGEIFS(DATOS!$K$2:$K$20000,DATOS!$A$2:$A$20000,S528,DATOS!$G$2:$G$20000,CONFIG_METADATA!$B$4,DATOS!$I$2:$I$20000,"Armonía"),"")))</f>
        <v/>
      </c>
      <c r="U528" t="str">
        <f>IF(S528="","",IF(S528="[FÓRMULA MANUAL]","",IFERROR(AVERAGEIFS(DATOS!$K$2:$K$20000,DATOS!$A$2:$A$20000,S528,DATOS!$G$2:$G$20000,CONFIG_METADATA!$B$4,DATOS!$I$2:$I$20000,"Orquesta/Banda/Conjunto"),"")))</f>
        <v/>
      </c>
      <c r="V528" t="str">
        <f>IF(S528="","",IF(S528="[FÓRMULA MANUAL]","",IFERROR(AVERAGEIFS(DATOS!$K$2:$K$20000,DATOS!$A$2:$A$20000,S528,DATOS!$G$2:$G$20000,CONFIG_METADATA!$B$4,DATOS!$I$2:$I$20000,"Música de Cámara"),"")))</f>
        <v/>
      </c>
      <c r="W528" t="str">
        <f>IF(S528="","",IF(S528="[FÓRMULA MANUAL]","",IFERROR(SUMPRODUCT((DATOS!$A$2:$A$20000=S528)*(DATOS!$G$2:$G$20000=CONFIG_METADATA!$B$4)*(COUNTIF(CONFIG_ASIGNATURAS!$B$7:$B$27,DATOS!$I$2:$I$20000)&gt;0)*(DATOS!$K$2:$K$20000))/SUMPRODUCT((DATOS!$A$2:$A$20000=S528)*(DATOS!$G$2:$G$20000=CONFIG_METADATA!$B$4)*(COUNTIF(CONFIG_ASIGNATURAS!$B$7:$B$27,DATOS!$I$2:$I$20000)&gt;0)*1),"")))</f>
        <v/>
      </c>
      <c r="Z528" t="str">
        <f>IF(Y528="","",IF(Y528="[FÓRMULA MANUAL]","",IFERROR(AVERAGEIFS(DATOS!$K$2:$K$20000,DATOS!$A$2:$A$20000,Y528,DATOS!$G$2:$G$20000,CONFIG_METADATA!$B$4,DATOS!$I$2:$I$20000,"Análisis"),"")))</f>
        <v/>
      </c>
      <c r="AA528" t="str">
        <f>IF(Y528="","",IF(Y528="[FÓRMULA MANUAL]","",IFERROR(AVERAGEIFS(DATOS!$K$2:$K$20000,DATOS!$A$2:$A$20000,Y528,DATOS!$G$2:$G$20000,CONFIG_METADATA!$B$4,DATOS!$I$2:$I$20000,"Orquesta/Banda/Conjunto"),"")))</f>
        <v/>
      </c>
      <c r="AB528" t="str">
        <f>IF(Y528="","",IF(Y528="[FÓRMULA MANUAL]","",IFERROR(AVERAGEIFS(DATOS!$K$2:$K$20000,DATOS!$A$2:$A$20000,Y528,DATOS!$G$2:$G$20000,CONFIG_METADATA!$B$4,DATOS!$I$2:$I$20000,"Música de Cámara"),"")))</f>
        <v/>
      </c>
      <c r="AC528" t="str">
        <f>IF(Y528="","",IF(Y528="[FÓRMULA MANUAL]","",IFERROR(SUMPRODUCT((DATOS!$A$2:$A$20000=Y528)*(DATOS!$G$2:$G$20000=CONFIG_METADATA!$B$4)*(COUNTIF(CONFIG_ASIGNATURAS!$B$7:$B$27,DATOS!$I$2:$I$20000)&gt;0)*(DATOS!$K$2:$K$20000))/SUMPRODUCT((DATOS!$A$2:$A$20000=Y528)*(DATOS!$G$2:$G$20000=CONFIG_METADATA!$B$4)*(COUNTIF(CONFIG_ASIGNATURAS!$B$7:$B$27,DATOS!$I$2:$I$20000)&gt;0)*1),"")))</f>
        <v/>
      </c>
      <c r="AF528" t="str">
        <f>IF(AE528="","",IF(AE528="[FÓRMULA MANUAL]","",IFERROR(AVERAGEIFS(DATOS!$K$2:$K$20000,DATOS!$A$2:$A$20000,AE528,DATOS!$G$2:$G$20000,CONFIG_METADATA!$B$4,DATOS!$I$2:$I$20000,"Análisis"),"")))</f>
        <v/>
      </c>
      <c r="AG528" t="str">
        <f>IF(AE528="","",IF(AE528="[FÓRMULA MANUAL]","",IFERROR(AVERAGEIFS(DATOS!$K$2:$K$20000,DATOS!$A$2:$A$20000,AE528,DATOS!$G$2:$G$20000,CONFIG_METADATA!$B$4,DATOS!$I$2:$I$20000,"Orquesta/Banda/Conjunto"),"")))</f>
        <v/>
      </c>
      <c r="AH528" t="str">
        <f>IF(AE528="","",IF(AE528="[FÓRMULA MANUAL]","",IFERROR(AVERAGEIFS(DATOS!$K$2:$K$20000,DATOS!$A$2:$A$20000,AE528,DATOS!$G$2:$G$20000,CONFIG_METADATA!$B$4,DATOS!$I$2:$I$20000,"Música de Cámara"),"")))</f>
        <v/>
      </c>
      <c r="AI528" t="str">
        <f>IF(AE528="","",IF(AE528="[FÓRMULA MANUAL]","",IFERROR(SUMPRODUCT((DATOS!$A$2:$A$20000=AE528)*(DATOS!$G$2:$G$20000=CONFIG_METADATA!$B$4)*(COUNTIF(CONFIG_ASIGNATURAS!$B$7:$B$27,DATOS!$I$2:$I$20000)&gt;0)*(DATOS!$K$2:$K$20000))/SUMPRODUCT((DATOS!$A$2:$A$20000=AE528)*(DATOS!$G$2:$G$20000=CONFIG_METADATA!$B$4)*(COUNTIF(CONFIG_ASIGNATURAS!$B$7:$B$27,DATOS!$I$2:$I$20000)&gt;0)*1),"")))</f>
        <v/>
      </c>
    </row>
    <row r="529" spans="2:35" x14ac:dyDescent="0.2">
      <c r="B529" t="str">
        <f>IF(A529="","",IF(A529="[FÓRMULA MANUAL]","",IFERROR(AVERAGEIFS(DATOS!$K$2:$K$20000,DATOS!$A$2:$A$20000,A529,DATOS!$G$2:$G$20000,CONFIG_METADATA!$B$4,DATOS!$I$2:$I$20000,"Lenguaje Musical"),"")))</f>
        <v/>
      </c>
      <c r="C529" t="str">
        <f>IF(A529="","",IF(A529="[FÓRMULA MANUAL]","",IFERROR(AVERAGEIFS(DATOS!$K$2:$K$20000,DATOS!$A$2:$A$20000,A529,DATOS!$G$2:$G$20000,CONFIG_METADATA!$B$4,DATOS!$I$2:$I$20000,"Orquesta/Banda/Conjunto"),"")))</f>
        <v/>
      </c>
      <c r="D529" t="str">
        <f>IF(A529="","",IF(A529="[FÓRMULA MANUAL]","",IFERROR(AVERAGEIFS(DATOS!$K$2:$K$20000,DATOS!$A$2:$A$20000,A529,DATOS!$G$2:$G$20000,CONFIG_METADATA!$B$4,DATOS!$I$2:$I$20000,"Conjunto"),"")))</f>
        <v/>
      </c>
      <c r="E529" t="str">
        <f>IF(A529="","",IF(A529="[FÓRMULA MANUAL]","",IFERROR(SUMPRODUCT((DATOS!$A$2:$A$20000=A529)*(DATOS!$G$2:$G$20000=CONFIG_METADATA!$B$4)*(COUNTIF(CONFIG_ASIGNATURAS!$B$7:$B$27,DATOS!$I$2:$I$20000)&gt;0)*(DATOS!$K$2:$K$20000))/SUMPRODUCT((DATOS!$A$2:$A$20000=A529)*(DATOS!$G$2:$G$20000=CONFIG_METADATA!$B$4)*(COUNTIF(CONFIG_ASIGNATURAS!$B$7:$B$27,DATOS!$I$2:$I$20000)&gt;0)*1),"")))</f>
        <v/>
      </c>
      <c r="H529" t="str">
        <f>IF(G529="","",IF(G529="[FÓRMULA MANUAL]","",IFERROR(AVERAGEIFS(DATOS!$K$2:$K$20000,DATOS!$A$2:$A$20000,G529,DATOS!$G$2:$G$20000,CONFIG_METADATA!$B$4,DATOS!$I$2:$I$20000,"Lenguaje Musical"),"")))</f>
        <v/>
      </c>
      <c r="I529" t="str">
        <f>IF(G529="","",IF(G529="[FÓRMULA MANUAL]","",IFERROR(AVERAGEIFS(DATOS!$K$2:$K$20000,DATOS!$A$2:$A$20000,G529,DATOS!$G$2:$G$20000,CONFIG_METADATA!$B$4,DATOS!$I$2:$I$20000,"Orquesta/Banda/Conjunto"),"")))</f>
        <v/>
      </c>
      <c r="J529" t="str">
        <f>IF(G529="","",IF(G529="[FÓRMULA MANUAL]","",IFERROR(AVERAGEIFS(DATOS!$K$2:$K$20000,DATOS!$A$2:$A$20000,G529,DATOS!$G$2:$G$20000,CONFIG_METADATA!$B$4,DATOS!$I$2:$I$20000,"Conjunto"),"")))</f>
        <v/>
      </c>
      <c r="K529" t="str">
        <f>IF(G529="","",IF(G529="[FÓRMULA MANUAL]","",IFERROR(SUMPRODUCT((DATOS!$A$2:$A$20000=G529)*(DATOS!$G$2:$G$20000=CONFIG_METADATA!$B$4)*(COUNTIF(CONFIG_ASIGNATURAS!$B$7:$B$27,DATOS!$I$2:$I$20000)&gt;0)*(DATOS!$K$2:$K$20000))/SUMPRODUCT((DATOS!$A$2:$A$20000=G529)*(DATOS!$G$2:$G$20000=CONFIG_METADATA!$B$4)*(COUNTIF(CONFIG_ASIGNATURAS!$B$7:$B$27,DATOS!$I$2:$I$20000)&gt;0)*1),"")))</f>
        <v/>
      </c>
      <c r="N529" t="str">
        <f>IF(M529="","",IF(M529="[FÓRMULA MANUAL]","",IFERROR(AVERAGEIFS(DATOS!$K$2:$K$20000,DATOS!$A$2:$A$20000,M529,DATOS!$G$2:$G$20000,CONFIG_METADATA!$B$4,DATOS!$I$2:$I$20000,"Armonía"),"")))</f>
        <v/>
      </c>
      <c r="O529" t="str">
        <f>IF(M529="","",IF(M529="[FÓRMULA MANUAL]","",IFERROR(AVERAGEIFS(DATOS!$K$2:$K$20000,DATOS!$A$2:$A$20000,M529,DATOS!$G$2:$G$20000,CONFIG_METADATA!$B$4,DATOS!$I$2:$I$20000,"Orquesta/Banda/Conjunto"),"")))</f>
        <v/>
      </c>
      <c r="P529" t="str">
        <f>IF(M529="","",IF(M529="[FÓRMULA MANUAL]","",IFERROR(AVERAGEIFS(DATOS!$K$2:$K$20000,DATOS!$A$2:$A$20000,M529,DATOS!$G$2:$G$20000,CONFIG_METADATA!$B$4,DATOS!$I$2:$I$20000,"Música de Cámara"),"")))</f>
        <v/>
      </c>
      <c r="Q529" t="str">
        <f>IF(M529="","",IF(M529="[FÓRMULA MANUAL]","",IFERROR(SUMPRODUCT((DATOS!$A$2:$A$20000=M529)*(DATOS!$G$2:$G$20000=CONFIG_METADATA!$B$4)*(COUNTIF(CONFIG_ASIGNATURAS!$B$7:$B$27,DATOS!$I$2:$I$20000)&gt;0)*(DATOS!$K$2:$K$20000))/SUMPRODUCT((DATOS!$A$2:$A$20000=M529)*(DATOS!$G$2:$G$20000=CONFIG_METADATA!$B$4)*(COUNTIF(CONFIG_ASIGNATURAS!$B$7:$B$27,DATOS!$I$2:$I$20000)&gt;0)*1),"")))</f>
        <v/>
      </c>
      <c r="T529" t="str">
        <f>IF(S529="","",IF(S529="[FÓRMULA MANUAL]","",IFERROR(AVERAGEIFS(DATOS!$K$2:$K$20000,DATOS!$A$2:$A$20000,S529,DATOS!$G$2:$G$20000,CONFIG_METADATA!$B$4,DATOS!$I$2:$I$20000,"Armonía"),"")))</f>
        <v/>
      </c>
      <c r="U529" t="str">
        <f>IF(S529="","",IF(S529="[FÓRMULA MANUAL]","",IFERROR(AVERAGEIFS(DATOS!$K$2:$K$20000,DATOS!$A$2:$A$20000,S529,DATOS!$G$2:$G$20000,CONFIG_METADATA!$B$4,DATOS!$I$2:$I$20000,"Orquesta/Banda/Conjunto"),"")))</f>
        <v/>
      </c>
      <c r="V529" t="str">
        <f>IF(S529="","",IF(S529="[FÓRMULA MANUAL]","",IFERROR(AVERAGEIFS(DATOS!$K$2:$K$20000,DATOS!$A$2:$A$20000,S529,DATOS!$G$2:$G$20000,CONFIG_METADATA!$B$4,DATOS!$I$2:$I$20000,"Música de Cámara"),"")))</f>
        <v/>
      </c>
      <c r="W529" t="str">
        <f>IF(S529="","",IF(S529="[FÓRMULA MANUAL]","",IFERROR(SUMPRODUCT((DATOS!$A$2:$A$20000=S529)*(DATOS!$G$2:$G$20000=CONFIG_METADATA!$B$4)*(COUNTIF(CONFIG_ASIGNATURAS!$B$7:$B$27,DATOS!$I$2:$I$20000)&gt;0)*(DATOS!$K$2:$K$20000))/SUMPRODUCT((DATOS!$A$2:$A$20000=S529)*(DATOS!$G$2:$G$20000=CONFIG_METADATA!$B$4)*(COUNTIF(CONFIG_ASIGNATURAS!$B$7:$B$27,DATOS!$I$2:$I$20000)&gt;0)*1),"")))</f>
        <v/>
      </c>
      <c r="Z529" t="str">
        <f>IF(Y529="","",IF(Y529="[FÓRMULA MANUAL]","",IFERROR(AVERAGEIFS(DATOS!$K$2:$K$20000,DATOS!$A$2:$A$20000,Y529,DATOS!$G$2:$G$20000,CONFIG_METADATA!$B$4,DATOS!$I$2:$I$20000,"Análisis"),"")))</f>
        <v/>
      </c>
      <c r="AA529" t="str">
        <f>IF(Y529="","",IF(Y529="[FÓRMULA MANUAL]","",IFERROR(AVERAGEIFS(DATOS!$K$2:$K$20000,DATOS!$A$2:$A$20000,Y529,DATOS!$G$2:$G$20000,CONFIG_METADATA!$B$4,DATOS!$I$2:$I$20000,"Orquesta/Banda/Conjunto"),"")))</f>
        <v/>
      </c>
      <c r="AB529" t="str">
        <f>IF(Y529="","",IF(Y529="[FÓRMULA MANUAL]","",IFERROR(AVERAGEIFS(DATOS!$K$2:$K$20000,DATOS!$A$2:$A$20000,Y529,DATOS!$G$2:$G$20000,CONFIG_METADATA!$B$4,DATOS!$I$2:$I$20000,"Música de Cámara"),"")))</f>
        <v/>
      </c>
      <c r="AC529" t="str">
        <f>IF(Y529="","",IF(Y529="[FÓRMULA MANUAL]","",IFERROR(SUMPRODUCT((DATOS!$A$2:$A$20000=Y529)*(DATOS!$G$2:$G$20000=CONFIG_METADATA!$B$4)*(COUNTIF(CONFIG_ASIGNATURAS!$B$7:$B$27,DATOS!$I$2:$I$20000)&gt;0)*(DATOS!$K$2:$K$20000))/SUMPRODUCT((DATOS!$A$2:$A$20000=Y529)*(DATOS!$G$2:$G$20000=CONFIG_METADATA!$B$4)*(COUNTIF(CONFIG_ASIGNATURAS!$B$7:$B$27,DATOS!$I$2:$I$20000)&gt;0)*1),"")))</f>
        <v/>
      </c>
      <c r="AF529" t="str">
        <f>IF(AE529="","",IF(AE529="[FÓRMULA MANUAL]","",IFERROR(AVERAGEIFS(DATOS!$K$2:$K$20000,DATOS!$A$2:$A$20000,AE529,DATOS!$G$2:$G$20000,CONFIG_METADATA!$B$4,DATOS!$I$2:$I$20000,"Análisis"),"")))</f>
        <v/>
      </c>
      <c r="AG529" t="str">
        <f>IF(AE529="","",IF(AE529="[FÓRMULA MANUAL]","",IFERROR(AVERAGEIFS(DATOS!$K$2:$K$20000,DATOS!$A$2:$A$20000,AE529,DATOS!$G$2:$G$20000,CONFIG_METADATA!$B$4,DATOS!$I$2:$I$20000,"Orquesta/Banda/Conjunto"),"")))</f>
        <v/>
      </c>
      <c r="AH529" t="str">
        <f>IF(AE529="","",IF(AE529="[FÓRMULA MANUAL]","",IFERROR(AVERAGEIFS(DATOS!$K$2:$K$20000,DATOS!$A$2:$A$20000,AE529,DATOS!$G$2:$G$20000,CONFIG_METADATA!$B$4,DATOS!$I$2:$I$20000,"Música de Cámara"),"")))</f>
        <v/>
      </c>
      <c r="AI529" t="str">
        <f>IF(AE529="","",IF(AE529="[FÓRMULA MANUAL]","",IFERROR(SUMPRODUCT((DATOS!$A$2:$A$20000=AE529)*(DATOS!$G$2:$G$20000=CONFIG_METADATA!$B$4)*(COUNTIF(CONFIG_ASIGNATURAS!$B$7:$B$27,DATOS!$I$2:$I$20000)&gt;0)*(DATOS!$K$2:$K$20000))/SUMPRODUCT((DATOS!$A$2:$A$20000=AE529)*(DATOS!$G$2:$G$20000=CONFIG_METADATA!$B$4)*(COUNTIF(CONFIG_ASIGNATURAS!$B$7:$B$27,DATOS!$I$2:$I$20000)&gt;0)*1),"")))</f>
        <v/>
      </c>
    </row>
    <row r="530" spans="2:35" x14ac:dyDescent="0.2">
      <c r="B530" t="str">
        <f>IF(A530="","",IF(A530="[FÓRMULA MANUAL]","",IFERROR(AVERAGEIFS(DATOS!$K$2:$K$20000,DATOS!$A$2:$A$20000,A530,DATOS!$G$2:$G$20000,CONFIG_METADATA!$B$4,DATOS!$I$2:$I$20000,"Lenguaje Musical"),"")))</f>
        <v/>
      </c>
      <c r="C530" t="str">
        <f>IF(A530="","",IF(A530="[FÓRMULA MANUAL]","",IFERROR(AVERAGEIFS(DATOS!$K$2:$K$20000,DATOS!$A$2:$A$20000,A530,DATOS!$G$2:$G$20000,CONFIG_METADATA!$B$4,DATOS!$I$2:$I$20000,"Orquesta/Banda/Conjunto"),"")))</f>
        <v/>
      </c>
      <c r="D530" t="str">
        <f>IF(A530="","",IF(A530="[FÓRMULA MANUAL]","",IFERROR(AVERAGEIFS(DATOS!$K$2:$K$20000,DATOS!$A$2:$A$20000,A530,DATOS!$G$2:$G$20000,CONFIG_METADATA!$B$4,DATOS!$I$2:$I$20000,"Conjunto"),"")))</f>
        <v/>
      </c>
      <c r="E530" t="str">
        <f>IF(A530="","",IF(A530="[FÓRMULA MANUAL]","",IFERROR(SUMPRODUCT((DATOS!$A$2:$A$20000=A530)*(DATOS!$G$2:$G$20000=CONFIG_METADATA!$B$4)*(COUNTIF(CONFIG_ASIGNATURAS!$B$7:$B$27,DATOS!$I$2:$I$20000)&gt;0)*(DATOS!$K$2:$K$20000))/SUMPRODUCT((DATOS!$A$2:$A$20000=A530)*(DATOS!$G$2:$G$20000=CONFIG_METADATA!$B$4)*(COUNTIF(CONFIG_ASIGNATURAS!$B$7:$B$27,DATOS!$I$2:$I$20000)&gt;0)*1),"")))</f>
        <v/>
      </c>
      <c r="H530" t="str">
        <f>IF(G530="","",IF(G530="[FÓRMULA MANUAL]","",IFERROR(AVERAGEIFS(DATOS!$K$2:$K$20000,DATOS!$A$2:$A$20000,G530,DATOS!$G$2:$G$20000,CONFIG_METADATA!$B$4,DATOS!$I$2:$I$20000,"Lenguaje Musical"),"")))</f>
        <v/>
      </c>
      <c r="I530" t="str">
        <f>IF(G530="","",IF(G530="[FÓRMULA MANUAL]","",IFERROR(AVERAGEIFS(DATOS!$K$2:$K$20000,DATOS!$A$2:$A$20000,G530,DATOS!$G$2:$G$20000,CONFIG_METADATA!$B$4,DATOS!$I$2:$I$20000,"Orquesta/Banda/Conjunto"),"")))</f>
        <v/>
      </c>
      <c r="J530" t="str">
        <f>IF(G530="","",IF(G530="[FÓRMULA MANUAL]","",IFERROR(AVERAGEIFS(DATOS!$K$2:$K$20000,DATOS!$A$2:$A$20000,G530,DATOS!$G$2:$G$20000,CONFIG_METADATA!$B$4,DATOS!$I$2:$I$20000,"Conjunto"),"")))</f>
        <v/>
      </c>
      <c r="K530" t="str">
        <f>IF(G530="","",IF(G530="[FÓRMULA MANUAL]","",IFERROR(SUMPRODUCT((DATOS!$A$2:$A$20000=G530)*(DATOS!$G$2:$G$20000=CONFIG_METADATA!$B$4)*(COUNTIF(CONFIG_ASIGNATURAS!$B$7:$B$27,DATOS!$I$2:$I$20000)&gt;0)*(DATOS!$K$2:$K$20000))/SUMPRODUCT((DATOS!$A$2:$A$20000=G530)*(DATOS!$G$2:$G$20000=CONFIG_METADATA!$B$4)*(COUNTIF(CONFIG_ASIGNATURAS!$B$7:$B$27,DATOS!$I$2:$I$20000)&gt;0)*1),"")))</f>
        <v/>
      </c>
      <c r="N530" t="str">
        <f>IF(M530="","",IF(M530="[FÓRMULA MANUAL]","",IFERROR(AVERAGEIFS(DATOS!$K$2:$K$20000,DATOS!$A$2:$A$20000,M530,DATOS!$G$2:$G$20000,CONFIG_METADATA!$B$4,DATOS!$I$2:$I$20000,"Armonía"),"")))</f>
        <v/>
      </c>
      <c r="O530" t="str">
        <f>IF(M530="","",IF(M530="[FÓRMULA MANUAL]","",IFERROR(AVERAGEIFS(DATOS!$K$2:$K$20000,DATOS!$A$2:$A$20000,M530,DATOS!$G$2:$G$20000,CONFIG_METADATA!$B$4,DATOS!$I$2:$I$20000,"Orquesta/Banda/Conjunto"),"")))</f>
        <v/>
      </c>
      <c r="P530" t="str">
        <f>IF(M530="","",IF(M530="[FÓRMULA MANUAL]","",IFERROR(AVERAGEIFS(DATOS!$K$2:$K$20000,DATOS!$A$2:$A$20000,M530,DATOS!$G$2:$G$20000,CONFIG_METADATA!$B$4,DATOS!$I$2:$I$20000,"Música de Cámara"),"")))</f>
        <v/>
      </c>
      <c r="Q530" t="str">
        <f>IF(M530="","",IF(M530="[FÓRMULA MANUAL]","",IFERROR(SUMPRODUCT((DATOS!$A$2:$A$20000=M530)*(DATOS!$G$2:$G$20000=CONFIG_METADATA!$B$4)*(COUNTIF(CONFIG_ASIGNATURAS!$B$7:$B$27,DATOS!$I$2:$I$20000)&gt;0)*(DATOS!$K$2:$K$20000))/SUMPRODUCT((DATOS!$A$2:$A$20000=M530)*(DATOS!$G$2:$G$20000=CONFIG_METADATA!$B$4)*(COUNTIF(CONFIG_ASIGNATURAS!$B$7:$B$27,DATOS!$I$2:$I$20000)&gt;0)*1),"")))</f>
        <v/>
      </c>
      <c r="T530" t="str">
        <f>IF(S530="","",IF(S530="[FÓRMULA MANUAL]","",IFERROR(AVERAGEIFS(DATOS!$K$2:$K$20000,DATOS!$A$2:$A$20000,S530,DATOS!$G$2:$G$20000,CONFIG_METADATA!$B$4,DATOS!$I$2:$I$20000,"Armonía"),"")))</f>
        <v/>
      </c>
      <c r="U530" t="str">
        <f>IF(S530="","",IF(S530="[FÓRMULA MANUAL]","",IFERROR(AVERAGEIFS(DATOS!$K$2:$K$20000,DATOS!$A$2:$A$20000,S530,DATOS!$G$2:$G$20000,CONFIG_METADATA!$B$4,DATOS!$I$2:$I$20000,"Orquesta/Banda/Conjunto"),"")))</f>
        <v/>
      </c>
      <c r="V530" t="str">
        <f>IF(S530="","",IF(S530="[FÓRMULA MANUAL]","",IFERROR(AVERAGEIFS(DATOS!$K$2:$K$20000,DATOS!$A$2:$A$20000,S530,DATOS!$G$2:$G$20000,CONFIG_METADATA!$B$4,DATOS!$I$2:$I$20000,"Música de Cámara"),"")))</f>
        <v/>
      </c>
      <c r="W530" t="str">
        <f>IF(S530="","",IF(S530="[FÓRMULA MANUAL]","",IFERROR(SUMPRODUCT((DATOS!$A$2:$A$20000=S530)*(DATOS!$G$2:$G$20000=CONFIG_METADATA!$B$4)*(COUNTIF(CONFIG_ASIGNATURAS!$B$7:$B$27,DATOS!$I$2:$I$20000)&gt;0)*(DATOS!$K$2:$K$20000))/SUMPRODUCT((DATOS!$A$2:$A$20000=S530)*(DATOS!$G$2:$G$20000=CONFIG_METADATA!$B$4)*(COUNTIF(CONFIG_ASIGNATURAS!$B$7:$B$27,DATOS!$I$2:$I$20000)&gt;0)*1),"")))</f>
        <v/>
      </c>
      <c r="Z530" t="str">
        <f>IF(Y530="","",IF(Y530="[FÓRMULA MANUAL]","",IFERROR(AVERAGEIFS(DATOS!$K$2:$K$20000,DATOS!$A$2:$A$20000,Y530,DATOS!$G$2:$G$20000,CONFIG_METADATA!$B$4,DATOS!$I$2:$I$20000,"Análisis"),"")))</f>
        <v/>
      </c>
      <c r="AA530" t="str">
        <f>IF(Y530="","",IF(Y530="[FÓRMULA MANUAL]","",IFERROR(AVERAGEIFS(DATOS!$K$2:$K$20000,DATOS!$A$2:$A$20000,Y530,DATOS!$G$2:$G$20000,CONFIG_METADATA!$B$4,DATOS!$I$2:$I$20000,"Orquesta/Banda/Conjunto"),"")))</f>
        <v/>
      </c>
      <c r="AB530" t="str">
        <f>IF(Y530="","",IF(Y530="[FÓRMULA MANUAL]","",IFERROR(AVERAGEIFS(DATOS!$K$2:$K$20000,DATOS!$A$2:$A$20000,Y530,DATOS!$G$2:$G$20000,CONFIG_METADATA!$B$4,DATOS!$I$2:$I$20000,"Música de Cámara"),"")))</f>
        <v/>
      </c>
      <c r="AC530" t="str">
        <f>IF(Y530="","",IF(Y530="[FÓRMULA MANUAL]","",IFERROR(SUMPRODUCT((DATOS!$A$2:$A$20000=Y530)*(DATOS!$G$2:$G$20000=CONFIG_METADATA!$B$4)*(COUNTIF(CONFIG_ASIGNATURAS!$B$7:$B$27,DATOS!$I$2:$I$20000)&gt;0)*(DATOS!$K$2:$K$20000))/SUMPRODUCT((DATOS!$A$2:$A$20000=Y530)*(DATOS!$G$2:$G$20000=CONFIG_METADATA!$B$4)*(COUNTIF(CONFIG_ASIGNATURAS!$B$7:$B$27,DATOS!$I$2:$I$20000)&gt;0)*1),"")))</f>
        <v/>
      </c>
      <c r="AF530" t="str">
        <f>IF(AE530="","",IF(AE530="[FÓRMULA MANUAL]","",IFERROR(AVERAGEIFS(DATOS!$K$2:$K$20000,DATOS!$A$2:$A$20000,AE530,DATOS!$G$2:$G$20000,CONFIG_METADATA!$B$4,DATOS!$I$2:$I$20000,"Análisis"),"")))</f>
        <v/>
      </c>
      <c r="AG530" t="str">
        <f>IF(AE530="","",IF(AE530="[FÓRMULA MANUAL]","",IFERROR(AVERAGEIFS(DATOS!$K$2:$K$20000,DATOS!$A$2:$A$20000,AE530,DATOS!$G$2:$G$20000,CONFIG_METADATA!$B$4,DATOS!$I$2:$I$20000,"Orquesta/Banda/Conjunto"),"")))</f>
        <v/>
      </c>
      <c r="AH530" t="str">
        <f>IF(AE530="","",IF(AE530="[FÓRMULA MANUAL]","",IFERROR(AVERAGEIFS(DATOS!$K$2:$K$20000,DATOS!$A$2:$A$20000,AE530,DATOS!$G$2:$G$20000,CONFIG_METADATA!$B$4,DATOS!$I$2:$I$20000,"Música de Cámara"),"")))</f>
        <v/>
      </c>
      <c r="AI530" t="str">
        <f>IF(AE530="","",IF(AE530="[FÓRMULA MANUAL]","",IFERROR(SUMPRODUCT((DATOS!$A$2:$A$20000=AE530)*(DATOS!$G$2:$G$20000=CONFIG_METADATA!$B$4)*(COUNTIF(CONFIG_ASIGNATURAS!$B$7:$B$27,DATOS!$I$2:$I$20000)&gt;0)*(DATOS!$K$2:$K$20000))/SUMPRODUCT((DATOS!$A$2:$A$20000=AE530)*(DATOS!$G$2:$G$20000=CONFIG_METADATA!$B$4)*(COUNTIF(CONFIG_ASIGNATURAS!$B$7:$B$27,DATOS!$I$2:$I$20000)&gt;0)*1),"")))</f>
        <v/>
      </c>
    </row>
    <row r="531" spans="2:35" x14ac:dyDescent="0.2">
      <c r="B531" t="str">
        <f>IF(A531="","",IF(A531="[FÓRMULA MANUAL]","",IFERROR(AVERAGEIFS(DATOS!$K$2:$K$20000,DATOS!$A$2:$A$20000,A531,DATOS!$G$2:$G$20000,CONFIG_METADATA!$B$4,DATOS!$I$2:$I$20000,"Lenguaje Musical"),"")))</f>
        <v/>
      </c>
      <c r="C531" t="str">
        <f>IF(A531="","",IF(A531="[FÓRMULA MANUAL]","",IFERROR(AVERAGEIFS(DATOS!$K$2:$K$20000,DATOS!$A$2:$A$20000,A531,DATOS!$G$2:$G$20000,CONFIG_METADATA!$B$4,DATOS!$I$2:$I$20000,"Orquesta/Banda/Conjunto"),"")))</f>
        <v/>
      </c>
      <c r="D531" t="str">
        <f>IF(A531="","",IF(A531="[FÓRMULA MANUAL]","",IFERROR(AVERAGEIFS(DATOS!$K$2:$K$20000,DATOS!$A$2:$A$20000,A531,DATOS!$G$2:$G$20000,CONFIG_METADATA!$B$4,DATOS!$I$2:$I$20000,"Conjunto"),"")))</f>
        <v/>
      </c>
      <c r="E531" t="str">
        <f>IF(A531="","",IF(A531="[FÓRMULA MANUAL]","",IFERROR(SUMPRODUCT((DATOS!$A$2:$A$20000=A531)*(DATOS!$G$2:$G$20000=CONFIG_METADATA!$B$4)*(COUNTIF(CONFIG_ASIGNATURAS!$B$7:$B$27,DATOS!$I$2:$I$20000)&gt;0)*(DATOS!$K$2:$K$20000))/SUMPRODUCT((DATOS!$A$2:$A$20000=A531)*(DATOS!$G$2:$G$20000=CONFIG_METADATA!$B$4)*(COUNTIF(CONFIG_ASIGNATURAS!$B$7:$B$27,DATOS!$I$2:$I$20000)&gt;0)*1),"")))</f>
        <v/>
      </c>
      <c r="H531" t="str">
        <f>IF(G531="","",IF(G531="[FÓRMULA MANUAL]","",IFERROR(AVERAGEIFS(DATOS!$K$2:$K$20000,DATOS!$A$2:$A$20000,G531,DATOS!$G$2:$G$20000,CONFIG_METADATA!$B$4,DATOS!$I$2:$I$20000,"Lenguaje Musical"),"")))</f>
        <v/>
      </c>
      <c r="I531" t="str">
        <f>IF(G531="","",IF(G531="[FÓRMULA MANUAL]","",IFERROR(AVERAGEIFS(DATOS!$K$2:$K$20000,DATOS!$A$2:$A$20000,G531,DATOS!$G$2:$G$20000,CONFIG_METADATA!$B$4,DATOS!$I$2:$I$20000,"Orquesta/Banda/Conjunto"),"")))</f>
        <v/>
      </c>
      <c r="J531" t="str">
        <f>IF(G531="","",IF(G531="[FÓRMULA MANUAL]","",IFERROR(AVERAGEIFS(DATOS!$K$2:$K$20000,DATOS!$A$2:$A$20000,G531,DATOS!$G$2:$G$20000,CONFIG_METADATA!$B$4,DATOS!$I$2:$I$20000,"Conjunto"),"")))</f>
        <v/>
      </c>
      <c r="K531" t="str">
        <f>IF(G531="","",IF(G531="[FÓRMULA MANUAL]","",IFERROR(SUMPRODUCT((DATOS!$A$2:$A$20000=G531)*(DATOS!$G$2:$G$20000=CONFIG_METADATA!$B$4)*(COUNTIF(CONFIG_ASIGNATURAS!$B$7:$B$27,DATOS!$I$2:$I$20000)&gt;0)*(DATOS!$K$2:$K$20000))/SUMPRODUCT((DATOS!$A$2:$A$20000=G531)*(DATOS!$G$2:$G$20000=CONFIG_METADATA!$B$4)*(COUNTIF(CONFIG_ASIGNATURAS!$B$7:$B$27,DATOS!$I$2:$I$20000)&gt;0)*1),"")))</f>
        <v/>
      </c>
      <c r="N531" t="str">
        <f>IF(M531="","",IF(M531="[FÓRMULA MANUAL]","",IFERROR(AVERAGEIFS(DATOS!$K$2:$K$20000,DATOS!$A$2:$A$20000,M531,DATOS!$G$2:$G$20000,CONFIG_METADATA!$B$4,DATOS!$I$2:$I$20000,"Armonía"),"")))</f>
        <v/>
      </c>
      <c r="O531" t="str">
        <f>IF(M531="","",IF(M531="[FÓRMULA MANUAL]","",IFERROR(AVERAGEIFS(DATOS!$K$2:$K$20000,DATOS!$A$2:$A$20000,M531,DATOS!$G$2:$G$20000,CONFIG_METADATA!$B$4,DATOS!$I$2:$I$20000,"Orquesta/Banda/Conjunto"),"")))</f>
        <v/>
      </c>
      <c r="P531" t="str">
        <f>IF(M531="","",IF(M531="[FÓRMULA MANUAL]","",IFERROR(AVERAGEIFS(DATOS!$K$2:$K$20000,DATOS!$A$2:$A$20000,M531,DATOS!$G$2:$G$20000,CONFIG_METADATA!$B$4,DATOS!$I$2:$I$20000,"Música de Cámara"),"")))</f>
        <v/>
      </c>
      <c r="Q531" t="str">
        <f>IF(M531="","",IF(M531="[FÓRMULA MANUAL]","",IFERROR(SUMPRODUCT((DATOS!$A$2:$A$20000=M531)*(DATOS!$G$2:$G$20000=CONFIG_METADATA!$B$4)*(COUNTIF(CONFIG_ASIGNATURAS!$B$7:$B$27,DATOS!$I$2:$I$20000)&gt;0)*(DATOS!$K$2:$K$20000))/SUMPRODUCT((DATOS!$A$2:$A$20000=M531)*(DATOS!$G$2:$G$20000=CONFIG_METADATA!$B$4)*(COUNTIF(CONFIG_ASIGNATURAS!$B$7:$B$27,DATOS!$I$2:$I$20000)&gt;0)*1),"")))</f>
        <v/>
      </c>
      <c r="T531" t="str">
        <f>IF(S531="","",IF(S531="[FÓRMULA MANUAL]","",IFERROR(AVERAGEIFS(DATOS!$K$2:$K$20000,DATOS!$A$2:$A$20000,S531,DATOS!$G$2:$G$20000,CONFIG_METADATA!$B$4,DATOS!$I$2:$I$20000,"Armonía"),"")))</f>
        <v/>
      </c>
      <c r="U531" t="str">
        <f>IF(S531="","",IF(S531="[FÓRMULA MANUAL]","",IFERROR(AVERAGEIFS(DATOS!$K$2:$K$20000,DATOS!$A$2:$A$20000,S531,DATOS!$G$2:$G$20000,CONFIG_METADATA!$B$4,DATOS!$I$2:$I$20000,"Orquesta/Banda/Conjunto"),"")))</f>
        <v/>
      </c>
      <c r="V531" t="str">
        <f>IF(S531="","",IF(S531="[FÓRMULA MANUAL]","",IFERROR(AVERAGEIFS(DATOS!$K$2:$K$20000,DATOS!$A$2:$A$20000,S531,DATOS!$G$2:$G$20000,CONFIG_METADATA!$B$4,DATOS!$I$2:$I$20000,"Música de Cámara"),"")))</f>
        <v/>
      </c>
      <c r="W531" t="str">
        <f>IF(S531="","",IF(S531="[FÓRMULA MANUAL]","",IFERROR(SUMPRODUCT((DATOS!$A$2:$A$20000=S531)*(DATOS!$G$2:$G$20000=CONFIG_METADATA!$B$4)*(COUNTIF(CONFIG_ASIGNATURAS!$B$7:$B$27,DATOS!$I$2:$I$20000)&gt;0)*(DATOS!$K$2:$K$20000))/SUMPRODUCT((DATOS!$A$2:$A$20000=S531)*(DATOS!$G$2:$G$20000=CONFIG_METADATA!$B$4)*(COUNTIF(CONFIG_ASIGNATURAS!$B$7:$B$27,DATOS!$I$2:$I$20000)&gt;0)*1),"")))</f>
        <v/>
      </c>
      <c r="Z531" t="str">
        <f>IF(Y531="","",IF(Y531="[FÓRMULA MANUAL]","",IFERROR(AVERAGEIFS(DATOS!$K$2:$K$20000,DATOS!$A$2:$A$20000,Y531,DATOS!$G$2:$G$20000,CONFIG_METADATA!$B$4,DATOS!$I$2:$I$20000,"Análisis"),"")))</f>
        <v/>
      </c>
      <c r="AA531" t="str">
        <f>IF(Y531="","",IF(Y531="[FÓRMULA MANUAL]","",IFERROR(AVERAGEIFS(DATOS!$K$2:$K$20000,DATOS!$A$2:$A$20000,Y531,DATOS!$G$2:$G$20000,CONFIG_METADATA!$B$4,DATOS!$I$2:$I$20000,"Orquesta/Banda/Conjunto"),"")))</f>
        <v/>
      </c>
      <c r="AB531" t="str">
        <f>IF(Y531="","",IF(Y531="[FÓRMULA MANUAL]","",IFERROR(AVERAGEIFS(DATOS!$K$2:$K$20000,DATOS!$A$2:$A$20000,Y531,DATOS!$G$2:$G$20000,CONFIG_METADATA!$B$4,DATOS!$I$2:$I$20000,"Música de Cámara"),"")))</f>
        <v/>
      </c>
      <c r="AC531" t="str">
        <f>IF(Y531="","",IF(Y531="[FÓRMULA MANUAL]","",IFERROR(SUMPRODUCT((DATOS!$A$2:$A$20000=Y531)*(DATOS!$G$2:$G$20000=CONFIG_METADATA!$B$4)*(COUNTIF(CONFIG_ASIGNATURAS!$B$7:$B$27,DATOS!$I$2:$I$20000)&gt;0)*(DATOS!$K$2:$K$20000))/SUMPRODUCT((DATOS!$A$2:$A$20000=Y531)*(DATOS!$G$2:$G$20000=CONFIG_METADATA!$B$4)*(COUNTIF(CONFIG_ASIGNATURAS!$B$7:$B$27,DATOS!$I$2:$I$20000)&gt;0)*1),"")))</f>
        <v/>
      </c>
      <c r="AF531" t="str">
        <f>IF(AE531="","",IF(AE531="[FÓRMULA MANUAL]","",IFERROR(AVERAGEIFS(DATOS!$K$2:$K$20000,DATOS!$A$2:$A$20000,AE531,DATOS!$G$2:$G$20000,CONFIG_METADATA!$B$4,DATOS!$I$2:$I$20000,"Análisis"),"")))</f>
        <v/>
      </c>
      <c r="AG531" t="str">
        <f>IF(AE531="","",IF(AE531="[FÓRMULA MANUAL]","",IFERROR(AVERAGEIFS(DATOS!$K$2:$K$20000,DATOS!$A$2:$A$20000,AE531,DATOS!$G$2:$G$20000,CONFIG_METADATA!$B$4,DATOS!$I$2:$I$20000,"Orquesta/Banda/Conjunto"),"")))</f>
        <v/>
      </c>
      <c r="AH531" t="str">
        <f>IF(AE531="","",IF(AE531="[FÓRMULA MANUAL]","",IFERROR(AVERAGEIFS(DATOS!$K$2:$K$20000,DATOS!$A$2:$A$20000,AE531,DATOS!$G$2:$G$20000,CONFIG_METADATA!$B$4,DATOS!$I$2:$I$20000,"Música de Cámara"),"")))</f>
        <v/>
      </c>
      <c r="AI531" t="str">
        <f>IF(AE531="","",IF(AE531="[FÓRMULA MANUAL]","",IFERROR(SUMPRODUCT((DATOS!$A$2:$A$20000=AE531)*(DATOS!$G$2:$G$20000=CONFIG_METADATA!$B$4)*(COUNTIF(CONFIG_ASIGNATURAS!$B$7:$B$27,DATOS!$I$2:$I$20000)&gt;0)*(DATOS!$K$2:$K$20000))/SUMPRODUCT((DATOS!$A$2:$A$20000=AE531)*(DATOS!$G$2:$G$20000=CONFIG_METADATA!$B$4)*(COUNTIF(CONFIG_ASIGNATURAS!$B$7:$B$27,DATOS!$I$2:$I$20000)&gt;0)*1),"")))</f>
        <v/>
      </c>
    </row>
    <row r="532" spans="2:35" x14ac:dyDescent="0.2">
      <c r="B532" t="str">
        <f>IF(A532="","",IF(A532="[FÓRMULA MANUAL]","",IFERROR(AVERAGEIFS(DATOS!$K$2:$K$20000,DATOS!$A$2:$A$20000,A532,DATOS!$G$2:$G$20000,CONFIG_METADATA!$B$4,DATOS!$I$2:$I$20000,"Lenguaje Musical"),"")))</f>
        <v/>
      </c>
      <c r="C532" t="str">
        <f>IF(A532="","",IF(A532="[FÓRMULA MANUAL]","",IFERROR(AVERAGEIFS(DATOS!$K$2:$K$20000,DATOS!$A$2:$A$20000,A532,DATOS!$G$2:$G$20000,CONFIG_METADATA!$B$4,DATOS!$I$2:$I$20000,"Orquesta/Banda/Conjunto"),"")))</f>
        <v/>
      </c>
      <c r="D532" t="str">
        <f>IF(A532="","",IF(A532="[FÓRMULA MANUAL]","",IFERROR(AVERAGEIFS(DATOS!$K$2:$K$20000,DATOS!$A$2:$A$20000,A532,DATOS!$G$2:$G$20000,CONFIG_METADATA!$B$4,DATOS!$I$2:$I$20000,"Conjunto"),"")))</f>
        <v/>
      </c>
      <c r="E532" t="str">
        <f>IF(A532="","",IF(A532="[FÓRMULA MANUAL]","",IFERROR(SUMPRODUCT((DATOS!$A$2:$A$20000=A532)*(DATOS!$G$2:$G$20000=CONFIG_METADATA!$B$4)*(COUNTIF(CONFIG_ASIGNATURAS!$B$7:$B$27,DATOS!$I$2:$I$20000)&gt;0)*(DATOS!$K$2:$K$20000))/SUMPRODUCT((DATOS!$A$2:$A$20000=A532)*(DATOS!$G$2:$G$20000=CONFIG_METADATA!$B$4)*(COUNTIF(CONFIG_ASIGNATURAS!$B$7:$B$27,DATOS!$I$2:$I$20000)&gt;0)*1),"")))</f>
        <v/>
      </c>
      <c r="H532" t="str">
        <f>IF(G532="","",IF(G532="[FÓRMULA MANUAL]","",IFERROR(AVERAGEIFS(DATOS!$K$2:$K$20000,DATOS!$A$2:$A$20000,G532,DATOS!$G$2:$G$20000,CONFIG_METADATA!$B$4,DATOS!$I$2:$I$20000,"Lenguaje Musical"),"")))</f>
        <v/>
      </c>
      <c r="I532" t="str">
        <f>IF(G532="","",IF(G532="[FÓRMULA MANUAL]","",IFERROR(AVERAGEIFS(DATOS!$K$2:$K$20000,DATOS!$A$2:$A$20000,G532,DATOS!$G$2:$G$20000,CONFIG_METADATA!$B$4,DATOS!$I$2:$I$20000,"Orquesta/Banda/Conjunto"),"")))</f>
        <v/>
      </c>
      <c r="J532" t="str">
        <f>IF(G532="","",IF(G532="[FÓRMULA MANUAL]","",IFERROR(AVERAGEIFS(DATOS!$K$2:$K$20000,DATOS!$A$2:$A$20000,G532,DATOS!$G$2:$G$20000,CONFIG_METADATA!$B$4,DATOS!$I$2:$I$20000,"Conjunto"),"")))</f>
        <v/>
      </c>
      <c r="K532" t="str">
        <f>IF(G532="","",IF(G532="[FÓRMULA MANUAL]","",IFERROR(SUMPRODUCT((DATOS!$A$2:$A$20000=G532)*(DATOS!$G$2:$G$20000=CONFIG_METADATA!$B$4)*(COUNTIF(CONFIG_ASIGNATURAS!$B$7:$B$27,DATOS!$I$2:$I$20000)&gt;0)*(DATOS!$K$2:$K$20000))/SUMPRODUCT((DATOS!$A$2:$A$20000=G532)*(DATOS!$G$2:$G$20000=CONFIG_METADATA!$B$4)*(COUNTIF(CONFIG_ASIGNATURAS!$B$7:$B$27,DATOS!$I$2:$I$20000)&gt;0)*1),"")))</f>
        <v/>
      </c>
      <c r="N532" t="str">
        <f>IF(M532="","",IF(M532="[FÓRMULA MANUAL]","",IFERROR(AVERAGEIFS(DATOS!$K$2:$K$20000,DATOS!$A$2:$A$20000,M532,DATOS!$G$2:$G$20000,CONFIG_METADATA!$B$4,DATOS!$I$2:$I$20000,"Armonía"),"")))</f>
        <v/>
      </c>
      <c r="O532" t="str">
        <f>IF(M532="","",IF(M532="[FÓRMULA MANUAL]","",IFERROR(AVERAGEIFS(DATOS!$K$2:$K$20000,DATOS!$A$2:$A$20000,M532,DATOS!$G$2:$G$20000,CONFIG_METADATA!$B$4,DATOS!$I$2:$I$20000,"Orquesta/Banda/Conjunto"),"")))</f>
        <v/>
      </c>
      <c r="P532" t="str">
        <f>IF(M532="","",IF(M532="[FÓRMULA MANUAL]","",IFERROR(AVERAGEIFS(DATOS!$K$2:$K$20000,DATOS!$A$2:$A$20000,M532,DATOS!$G$2:$G$20000,CONFIG_METADATA!$B$4,DATOS!$I$2:$I$20000,"Música de Cámara"),"")))</f>
        <v/>
      </c>
      <c r="Q532" t="str">
        <f>IF(M532="","",IF(M532="[FÓRMULA MANUAL]","",IFERROR(SUMPRODUCT((DATOS!$A$2:$A$20000=M532)*(DATOS!$G$2:$G$20000=CONFIG_METADATA!$B$4)*(COUNTIF(CONFIG_ASIGNATURAS!$B$7:$B$27,DATOS!$I$2:$I$20000)&gt;0)*(DATOS!$K$2:$K$20000))/SUMPRODUCT((DATOS!$A$2:$A$20000=M532)*(DATOS!$G$2:$G$20000=CONFIG_METADATA!$B$4)*(COUNTIF(CONFIG_ASIGNATURAS!$B$7:$B$27,DATOS!$I$2:$I$20000)&gt;0)*1),"")))</f>
        <v/>
      </c>
      <c r="T532" t="str">
        <f>IF(S532="","",IF(S532="[FÓRMULA MANUAL]","",IFERROR(AVERAGEIFS(DATOS!$K$2:$K$20000,DATOS!$A$2:$A$20000,S532,DATOS!$G$2:$G$20000,CONFIG_METADATA!$B$4,DATOS!$I$2:$I$20000,"Armonía"),"")))</f>
        <v/>
      </c>
      <c r="U532" t="str">
        <f>IF(S532="","",IF(S532="[FÓRMULA MANUAL]","",IFERROR(AVERAGEIFS(DATOS!$K$2:$K$20000,DATOS!$A$2:$A$20000,S532,DATOS!$G$2:$G$20000,CONFIG_METADATA!$B$4,DATOS!$I$2:$I$20000,"Orquesta/Banda/Conjunto"),"")))</f>
        <v/>
      </c>
      <c r="V532" t="str">
        <f>IF(S532="","",IF(S532="[FÓRMULA MANUAL]","",IFERROR(AVERAGEIFS(DATOS!$K$2:$K$20000,DATOS!$A$2:$A$20000,S532,DATOS!$G$2:$G$20000,CONFIG_METADATA!$B$4,DATOS!$I$2:$I$20000,"Música de Cámara"),"")))</f>
        <v/>
      </c>
      <c r="W532" t="str">
        <f>IF(S532="","",IF(S532="[FÓRMULA MANUAL]","",IFERROR(SUMPRODUCT((DATOS!$A$2:$A$20000=S532)*(DATOS!$G$2:$G$20000=CONFIG_METADATA!$B$4)*(COUNTIF(CONFIG_ASIGNATURAS!$B$7:$B$27,DATOS!$I$2:$I$20000)&gt;0)*(DATOS!$K$2:$K$20000))/SUMPRODUCT((DATOS!$A$2:$A$20000=S532)*(DATOS!$G$2:$G$20000=CONFIG_METADATA!$B$4)*(COUNTIF(CONFIG_ASIGNATURAS!$B$7:$B$27,DATOS!$I$2:$I$20000)&gt;0)*1),"")))</f>
        <v/>
      </c>
      <c r="Z532" t="str">
        <f>IF(Y532="","",IF(Y532="[FÓRMULA MANUAL]","",IFERROR(AVERAGEIFS(DATOS!$K$2:$K$20000,DATOS!$A$2:$A$20000,Y532,DATOS!$G$2:$G$20000,CONFIG_METADATA!$B$4,DATOS!$I$2:$I$20000,"Análisis"),"")))</f>
        <v/>
      </c>
      <c r="AA532" t="str">
        <f>IF(Y532="","",IF(Y532="[FÓRMULA MANUAL]","",IFERROR(AVERAGEIFS(DATOS!$K$2:$K$20000,DATOS!$A$2:$A$20000,Y532,DATOS!$G$2:$G$20000,CONFIG_METADATA!$B$4,DATOS!$I$2:$I$20000,"Orquesta/Banda/Conjunto"),"")))</f>
        <v/>
      </c>
      <c r="AB532" t="str">
        <f>IF(Y532="","",IF(Y532="[FÓRMULA MANUAL]","",IFERROR(AVERAGEIFS(DATOS!$K$2:$K$20000,DATOS!$A$2:$A$20000,Y532,DATOS!$G$2:$G$20000,CONFIG_METADATA!$B$4,DATOS!$I$2:$I$20000,"Música de Cámara"),"")))</f>
        <v/>
      </c>
      <c r="AC532" t="str">
        <f>IF(Y532="","",IF(Y532="[FÓRMULA MANUAL]","",IFERROR(SUMPRODUCT((DATOS!$A$2:$A$20000=Y532)*(DATOS!$G$2:$G$20000=CONFIG_METADATA!$B$4)*(COUNTIF(CONFIG_ASIGNATURAS!$B$7:$B$27,DATOS!$I$2:$I$20000)&gt;0)*(DATOS!$K$2:$K$20000))/SUMPRODUCT((DATOS!$A$2:$A$20000=Y532)*(DATOS!$G$2:$G$20000=CONFIG_METADATA!$B$4)*(COUNTIF(CONFIG_ASIGNATURAS!$B$7:$B$27,DATOS!$I$2:$I$20000)&gt;0)*1),"")))</f>
        <v/>
      </c>
      <c r="AF532" t="str">
        <f>IF(AE532="","",IF(AE532="[FÓRMULA MANUAL]","",IFERROR(AVERAGEIFS(DATOS!$K$2:$K$20000,DATOS!$A$2:$A$20000,AE532,DATOS!$G$2:$G$20000,CONFIG_METADATA!$B$4,DATOS!$I$2:$I$20000,"Análisis"),"")))</f>
        <v/>
      </c>
      <c r="AG532" t="str">
        <f>IF(AE532="","",IF(AE532="[FÓRMULA MANUAL]","",IFERROR(AVERAGEIFS(DATOS!$K$2:$K$20000,DATOS!$A$2:$A$20000,AE532,DATOS!$G$2:$G$20000,CONFIG_METADATA!$B$4,DATOS!$I$2:$I$20000,"Orquesta/Banda/Conjunto"),"")))</f>
        <v/>
      </c>
      <c r="AH532" t="str">
        <f>IF(AE532="","",IF(AE532="[FÓRMULA MANUAL]","",IFERROR(AVERAGEIFS(DATOS!$K$2:$K$20000,DATOS!$A$2:$A$20000,AE532,DATOS!$G$2:$G$20000,CONFIG_METADATA!$B$4,DATOS!$I$2:$I$20000,"Música de Cámara"),"")))</f>
        <v/>
      </c>
      <c r="AI532" t="str">
        <f>IF(AE532="","",IF(AE532="[FÓRMULA MANUAL]","",IFERROR(SUMPRODUCT((DATOS!$A$2:$A$20000=AE532)*(DATOS!$G$2:$G$20000=CONFIG_METADATA!$B$4)*(COUNTIF(CONFIG_ASIGNATURAS!$B$7:$B$27,DATOS!$I$2:$I$20000)&gt;0)*(DATOS!$K$2:$K$20000))/SUMPRODUCT((DATOS!$A$2:$A$20000=AE532)*(DATOS!$G$2:$G$20000=CONFIG_METADATA!$B$4)*(COUNTIF(CONFIG_ASIGNATURAS!$B$7:$B$27,DATOS!$I$2:$I$20000)&gt;0)*1),"")))</f>
        <v/>
      </c>
    </row>
    <row r="533" spans="2:35" x14ac:dyDescent="0.2">
      <c r="B533" t="str">
        <f>IF(A533="","",IF(A533="[FÓRMULA MANUAL]","",IFERROR(AVERAGEIFS(DATOS!$K$2:$K$20000,DATOS!$A$2:$A$20000,A533,DATOS!$G$2:$G$20000,CONFIG_METADATA!$B$4,DATOS!$I$2:$I$20000,"Lenguaje Musical"),"")))</f>
        <v/>
      </c>
      <c r="C533" t="str">
        <f>IF(A533="","",IF(A533="[FÓRMULA MANUAL]","",IFERROR(AVERAGEIFS(DATOS!$K$2:$K$20000,DATOS!$A$2:$A$20000,A533,DATOS!$G$2:$G$20000,CONFIG_METADATA!$B$4,DATOS!$I$2:$I$20000,"Orquesta/Banda/Conjunto"),"")))</f>
        <v/>
      </c>
      <c r="D533" t="str">
        <f>IF(A533="","",IF(A533="[FÓRMULA MANUAL]","",IFERROR(AVERAGEIFS(DATOS!$K$2:$K$20000,DATOS!$A$2:$A$20000,A533,DATOS!$G$2:$G$20000,CONFIG_METADATA!$B$4,DATOS!$I$2:$I$20000,"Conjunto"),"")))</f>
        <v/>
      </c>
      <c r="E533" t="str">
        <f>IF(A533="","",IF(A533="[FÓRMULA MANUAL]","",IFERROR(SUMPRODUCT((DATOS!$A$2:$A$20000=A533)*(DATOS!$G$2:$G$20000=CONFIG_METADATA!$B$4)*(COUNTIF(CONFIG_ASIGNATURAS!$B$7:$B$27,DATOS!$I$2:$I$20000)&gt;0)*(DATOS!$K$2:$K$20000))/SUMPRODUCT((DATOS!$A$2:$A$20000=A533)*(DATOS!$G$2:$G$20000=CONFIG_METADATA!$B$4)*(COUNTIF(CONFIG_ASIGNATURAS!$B$7:$B$27,DATOS!$I$2:$I$20000)&gt;0)*1),"")))</f>
        <v/>
      </c>
      <c r="H533" t="str">
        <f>IF(G533="","",IF(G533="[FÓRMULA MANUAL]","",IFERROR(AVERAGEIFS(DATOS!$K$2:$K$20000,DATOS!$A$2:$A$20000,G533,DATOS!$G$2:$G$20000,CONFIG_METADATA!$B$4,DATOS!$I$2:$I$20000,"Lenguaje Musical"),"")))</f>
        <v/>
      </c>
      <c r="I533" t="str">
        <f>IF(G533="","",IF(G533="[FÓRMULA MANUAL]","",IFERROR(AVERAGEIFS(DATOS!$K$2:$K$20000,DATOS!$A$2:$A$20000,G533,DATOS!$G$2:$G$20000,CONFIG_METADATA!$B$4,DATOS!$I$2:$I$20000,"Orquesta/Banda/Conjunto"),"")))</f>
        <v/>
      </c>
      <c r="J533" t="str">
        <f>IF(G533="","",IF(G533="[FÓRMULA MANUAL]","",IFERROR(AVERAGEIFS(DATOS!$K$2:$K$20000,DATOS!$A$2:$A$20000,G533,DATOS!$G$2:$G$20000,CONFIG_METADATA!$B$4,DATOS!$I$2:$I$20000,"Conjunto"),"")))</f>
        <v/>
      </c>
      <c r="K533" t="str">
        <f>IF(G533="","",IF(G533="[FÓRMULA MANUAL]","",IFERROR(SUMPRODUCT((DATOS!$A$2:$A$20000=G533)*(DATOS!$G$2:$G$20000=CONFIG_METADATA!$B$4)*(COUNTIF(CONFIG_ASIGNATURAS!$B$7:$B$27,DATOS!$I$2:$I$20000)&gt;0)*(DATOS!$K$2:$K$20000))/SUMPRODUCT((DATOS!$A$2:$A$20000=G533)*(DATOS!$G$2:$G$20000=CONFIG_METADATA!$B$4)*(COUNTIF(CONFIG_ASIGNATURAS!$B$7:$B$27,DATOS!$I$2:$I$20000)&gt;0)*1),"")))</f>
        <v/>
      </c>
      <c r="N533" t="str">
        <f>IF(M533="","",IF(M533="[FÓRMULA MANUAL]","",IFERROR(AVERAGEIFS(DATOS!$K$2:$K$20000,DATOS!$A$2:$A$20000,M533,DATOS!$G$2:$G$20000,CONFIG_METADATA!$B$4,DATOS!$I$2:$I$20000,"Armonía"),"")))</f>
        <v/>
      </c>
      <c r="O533" t="str">
        <f>IF(M533="","",IF(M533="[FÓRMULA MANUAL]","",IFERROR(AVERAGEIFS(DATOS!$K$2:$K$20000,DATOS!$A$2:$A$20000,M533,DATOS!$G$2:$G$20000,CONFIG_METADATA!$B$4,DATOS!$I$2:$I$20000,"Orquesta/Banda/Conjunto"),"")))</f>
        <v/>
      </c>
      <c r="P533" t="str">
        <f>IF(M533="","",IF(M533="[FÓRMULA MANUAL]","",IFERROR(AVERAGEIFS(DATOS!$K$2:$K$20000,DATOS!$A$2:$A$20000,M533,DATOS!$G$2:$G$20000,CONFIG_METADATA!$B$4,DATOS!$I$2:$I$20000,"Música de Cámara"),"")))</f>
        <v/>
      </c>
      <c r="Q533" t="str">
        <f>IF(M533="","",IF(M533="[FÓRMULA MANUAL]","",IFERROR(SUMPRODUCT((DATOS!$A$2:$A$20000=M533)*(DATOS!$G$2:$G$20000=CONFIG_METADATA!$B$4)*(COUNTIF(CONFIG_ASIGNATURAS!$B$7:$B$27,DATOS!$I$2:$I$20000)&gt;0)*(DATOS!$K$2:$K$20000))/SUMPRODUCT((DATOS!$A$2:$A$20000=M533)*(DATOS!$G$2:$G$20000=CONFIG_METADATA!$B$4)*(COUNTIF(CONFIG_ASIGNATURAS!$B$7:$B$27,DATOS!$I$2:$I$20000)&gt;0)*1),"")))</f>
        <v/>
      </c>
      <c r="T533" t="str">
        <f>IF(S533="","",IF(S533="[FÓRMULA MANUAL]","",IFERROR(AVERAGEIFS(DATOS!$K$2:$K$20000,DATOS!$A$2:$A$20000,S533,DATOS!$G$2:$G$20000,CONFIG_METADATA!$B$4,DATOS!$I$2:$I$20000,"Armonía"),"")))</f>
        <v/>
      </c>
      <c r="U533" t="str">
        <f>IF(S533="","",IF(S533="[FÓRMULA MANUAL]","",IFERROR(AVERAGEIFS(DATOS!$K$2:$K$20000,DATOS!$A$2:$A$20000,S533,DATOS!$G$2:$G$20000,CONFIG_METADATA!$B$4,DATOS!$I$2:$I$20000,"Orquesta/Banda/Conjunto"),"")))</f>
        <v/>
      </c>
      <c r="V533" t="str">
        <f>IF(S533="","",IF(S533="[FÓRMULA MANUAL]","",IFERROR(AVERAGEIFS(DATOS!$K$2:$K$20000,DATOS!$A$2:$A$20000,S533,DATOS!$G$2:$G$20000,CONFIG_METADATA!$B$4,DATOS!$I$2:$I$20000,"Música de Cámara"),"")))</f>
        <v/>
      </c>
      <c r="W533" t="str">
        <f>IF(S533="","",IF(S533="[FÓRMULA MANUAL]","",IFERROR(SUMPRODUCT((DATOS!$A$2:$A$20000=S533)*(DATOS!$G$2:$G$20000=CONFIG_METADATA!$B$4)*(COUNTIF(CONFIG_ASIGNATURAS!$B$7:$B$27,DATOS!$I$2:$I$20000)&gt;0)*(DATOS!$K$2:$K$20000))/SUMPRODUCT((DATOS!$A$2:$A$20000=S533)*(DATOS!$G$2:$G$20000=CONFIG_METADATA!$B$4)*(COUNTIF(CONFIG_ASIGNATURAS!$B$7:$B$27,DATOS!$I$2:$I$20000)&gt;0)*1),"")))</f>
        <v/>
      </c>
      <c r="Z533" t="str">
        <f>IF(Y533="","",IF(Y533="[FÓRMULA MANUAL]","",IFERROR(AVERAGEIFS(DATOS!$K$2:$K$20000,DATOS!$A$2:$A$20000,Y533,DATOS!$G$2:$G$20000,CONFIG_METADATA!$B$4,DATOS!$I$2:$I$20000,"Análisis"),"")))</f>
        <v/>
      </c>
      <c r="AA533" t="str">
        <f>IF(Y533="","",IF(Y533="[FÓRMULA MANUAL]","",IFERROR(AVERAGEIFS(DATOS!$K$2:$K$20000,DATOS!$A$2:$A$20000,Y533,DATOS!$G$2:$G$20000,CONFIG_METADATA!$B$4,DATOS!$I$2:$I$20000,"Orquesta/Banda/Conjunto"),"")))</f>
        <v/>
      </c>
      <c r="AB533" t="str">
        <f>IF(Y533="","",IF(Y533="[FÓRMULA MANUAL]","",IFERROR(AVERAGEIFS(DATOS!$K$2:$K$20000,DATOS!$A$2:$A$20000,Y533,DATOS!$G$2:$G$20000,CONFIG_METADATA!$B$4,DATOS!$I$2:$I$20000,"Música de Cámara"),"")))</f>
        <v/>
      </c>
      <c r="AC533" t="str">
        <f>IF(Y533="","",IF(Y533="[FÓRMULA MANUAL]","",IFERROR(SUMPRODUCT((DATOS!$A$2:$A$20000=Y533)*(DATOS!$G$2:$G$20000=CONFIG_METADATA!$B$4)*(COUNTIF(CONFIG_ASIGNATURAS!$B$7:$B$27,DATOS!$I$2:$I$20000)&gt;0)*(DATOS!$K$2:$K$20000))/SUMPRODUCT((DATOS!$A$2:$A$20000=Y533)*(DATOS!$G$2:$G$20000=CONFIG_METADATA!$B$4)*(COUNTIF(CONFIG_ASIGNATURAS!$B$7:$B$27,DATOS!$I$2:$I$20000)&gt;0)*1),"")))</f>
        <v/>
      </c>
      <c r="AF533" t="str">
        <f>IF(AE533="","",IF(AE533="[FÓRMULA MANUAL]","",IFERROR(AVERAGEIFS(DATOS!$K$2:$K$20000,DATOS!$A$2:$A$20000,AE533,DATOS!$G$2:$G$20000,CONFIG_METADATA!$B$4,DATOS!$I$2:$I$20000,"Análisis"),"")))</f>
        <v/>
      </c>
      <c r="AG533" t="str">
        <f>IF(AE533="","",IF(AE533="[FÓRMULA MANUAL]","",IFERROR(AVERAGEIFS(DATOS!$K$2:$K$20000,DATOS!$A$2:$A$20000,AE533,DATOS!$G$2:$G$20000,CONFIG_METADATA!$B$4,DATOS!$I$2:$I$20000,"Orquesta/Banda/Conjunto"),"")))</f>
        <v/>
      </c>
      <c r="AH533" t="str">
        <f>IF(AE533="","",IF(AE533="[FÓRMULA MANUAL]","",IFERROR(AVERAGEIFS(DATOS!$K$2:$K$20000,DATOS!$A$2:$A$20000,AE533,DATOS!$G$2:$G$20000,CONFIG_METADATA!$B$4,DATOS!$I$2:$I$20000,"Música de Cámara"),"")))</f>
        <v/>
      </c>
      <c r="AI533" t="str">
        <f>IF(AE533="","",IF(AE533="[FÓRMULA MANUAL]","",IFERROR(SUMPRODUCT((DATOS!$A$2:$A$20000=AE533)*(DATOS!$G$2:$G$20000=CONFIG_METADATA!$B$4)*(COUNTIF(CONFIG_ASIGNATURAS!$B$7:$B$27,DATOS!$I$2:$I$20000)&gt;0)*(DATOS!$K$2:$K$20000))/SUMPRODUCT((DATOS!$A$2:$A$20000=AE533)*(DATOS!$G$2:$G$20000=CONFIG_METADATA!$B$4)*(COUNTIF(CONFIG_ASIGNATURAS!$B$7:$B$27,DATOS!$I$2:$I$20000)&gt;0)*1),"")))</f>
        <v/>
      </c>
    </row>
    <row r="534" spans="2:35" x14ac:dyDescent="0.2">
      <c r="B534" t="str">
        <f>IF(A534="","",IF(A534="[FÓRMULA MANUAL]","",IFERROR(AVERAGEIFS(DATOS!$K$2:$K$20000,DATOS!$A$2:$A$20000,A534,DATOS!$G$2:$G$20000,CONFIG_METADATA!$B$4,DATOS!$I$2:$I$20000,"Lenguaje Musical"),"")))</f>
        <v/>
      </c>
      <c r="C534" t="str">
        <f>IF(A534="","",IF(A534="[FÓRMULA MANUAL]","",IFERROR(AVERAGEIFS(DATOS!$K$2:$K$20000,DATOS!$A$2:$A$20000,A534,DATOS!$G$2:$G$20000,CONFIG_METADATA!$B$4,DATOS!$I$2:$I$20000,"Orquesta/Banda/Conjunto"),"")))</f>
        <v/>
      </c>
      <c r="D534" t="str">
        <f>IF(A534="","",IF(A534="[FÓRMULA MANUAL]","",IFERROR(AVERAGEIFS(DATOS!$K$2:$K$20000,DATOS!$A$2:$A$20000,A534,DATOS!$G$2:$G$20000,CONFIG_METADATA!$B$4,DATOS!$I$2:$I$20000,"Conjunto"),"")))</f>
        <v/>
      </c>
      <c r="E534" t="str">
        <f>IF(A534="","",IF(A534="[FÓRMULA MANUAL]","",IFERROR(SUMPRODUCT((DATOS!$A$2:$A$20000=A534)*(DATOS!$G$2:$G$20000=CONFIG_METADATA!$B$4)*(COUNTIF(CONFIG_ASIGNATURAS!$B$7:$B$27,DATOS!$I$2:$I$20000)&gt;0)*(DATOS!$K$2:$K$20000))/SUMPRODUCT((DATOS!$A$2:$A$20000=A534)*(DATOS!$G$2:$G$20000=CONFIG_METADATA!$B$4)*(COUNTIF(CONFIG_ASIGNATURAS!$B$7:$B$27,DATOS!$I$2:$I$20000)&gt;0)*1),"")))</f>
        <v/>
      </c>
      <c r="H534" t="str">
        <f>IF(G534="","",IF(G534="[FÓRMULA MANUAL]","",IFERROR(AVERAGEIFS(DATOS!$K$2:$K$20000,DATOS!$A$2:$A$20000,G534,DATOS!$G$2:$G$20000,CONFIG_METADATA!$B$4,DATOS!$I$2:$I$20000,"Lenguaje Musical"),"")))</f>
        <v/>
      </c>
      <c r="I534" t="str">
        <f>IF(G534="","",IF(G534="[FÓRMULA MANUAL]","",IFERROR(AVERAGEIFS(DATOS!$K$2:$K$20000,DATOS!$A$2:$A$20000,G534,DATOS!$G$2:$G$20000,CONFIG_METADATA!$B$4,DATOS!$I$2:$I$20000,"Orquesta/Banda/Conjunto"),"")))</f>
        <v/>
      </c>
      <c r="J534" t="str">
        <f>IF(G534="","",IF(G534="[FÓRMULA MANUAL]","",IFERROR(AVERAGEIFS(DATOS!$K$2:$K$20000,DATOS!$A$2:$A$20000,G534,DATOS!$G$2:$G$20000,CONFIG_METADATA!$B$4,DATOS!$I$2:$I$20000,"Conjunto"),"")))</f>
        <v/>
      </c>
      <c r="K534" t="str">
        <f>IF(G534="","",IF(G534="[FÓRMULA MANUAL]","",IFERROR(SUMPRODUCT((DATOS!$A$2:$A$20000=G534)*(DATOS!$G$2:$G$20000=CONFIG_METADATA!$B$4)*(COUNTIF(CONFIG_ASIGNATURAS!$B$7:$B$27,DATOS!$I$2:$I$20000)&gt;0)*(DATOS!$K$2:$K$20000))/SUMPRODUCT((DATOS!$A$2:$A$20000=G534)*(DATOS!$G$2:$G$20000=CONFIG_METADATA!$B$4)*(COUNTIF(CONFIG_ASIGNATURAS!$B$7:$B$27,DATOS!$I$2:$I$20000)&gt;0)*1),"")))</f>
        <v/>
      </c>
      <c r="N534" t="str">
        <f>IF(M534="","",IF(M534="[FÓRMULA MANUAL]","",IFERROR(AVERAGEIFS(DATOS!$K$2:$K$20000,DATOS!$A$2:$A$20000,M534,DATOS!$G$2:$G$20000,CONFIG_METADATA!$B$4,DATOS!$I$2:$I$20000,"Armonía"),"")))</f>
        <v/>
      </c>
      <c r="O534" t="str">
        <f>IF(M534="","",IF(M534="[FÓRMULA MANUAL]","",IFERROR(AVERAGEIFS(DATOS!$K$2:$K$20000,DATOS!$A$2:$A$20000,M534,DATOS!$G$2:$G$20000,CONFIG_METADATA!$B$4,DATOS!$I$2:$I$20000,"Orquesta/Banda/Conjunto"),"")))</f>
        <v/>
      </c>
      <c r="P534" t="str">
        <f>IF(M534="","",IF(M534="[FÓRMULA MANUAL]","",IFERROR(AVERAGEIFS(DATOS!$K$2:$K$20000,DATOS!$A$2:$A$20000,M534,DATOS!$G$2:$G$20000,CONFIG_METADATA!$B$4,DATOS!$I$2:$I$20000,"Música de Cámara"),"")))</f>
        <v/>
      </c>
      <c r="Q534" t="str">
        <f>IF(M534="","",IF(M534="[FÓRMULA MANUAL]","",IFERROR(SUMPRODUCT((DATOS!$A$2:$A$20000=M534)*(DATOS!$G$2:$G$20000=CONFIG_METADATA!$B$4)*(COUNTIF(CONFIG_ASIGNATURAS!$B$7:$B$27,DATOS!$I$2:$I$20000)&gt;0)*(DATOS!$K$2:$K$20000))/SUMPRODUCT((DATOS!$A$2:$A$20000=M534)*(DATOS!$G$2:$G$20000=CONFIG_METADATA!$B$4)*(COUNTIF(CONFIG_ASIGNATURAS!$B$7:$B$27,DATOS!$I$2:$I$20000)&gt;0)*1),"")))</f>
        <v/>
      </c>
      <c r="T534" t="str">
        <f>IF(S534="","",IF(S534="[FÓRMULA MANUAL]","",IFERROR(AVERAGEIFS(DATOS!$K$2:$K$20000,DATOS!$A$2:$A$20000,S534,DATOS!$G$2:$G$20000,CONFIG_METADATA!$B$4,DATOS!$I$2:$I$20000,"Armonía"),"")))</f>
        <v/>
      </c>
      <c r="U534" t="str">
        <f>IF(S534="","",IF(S534="[FÓRMULA MANUAL]","",IFERROR(AVERAGEIFS(DATOS!$K$2:$K$20000,DATOS!$A$2:$A$20000,S534,DATOS!$G$2:$G$20000,CONFIG_METADATA!$B$4,DATOS!$I$2:$I$20000,"Orquesta/Banda/Conjunto"),"")))</f>
        <v/>
      </c>
      <c r="V534" t="str">
        <f>IF(S534="","",IF(S534="[FÓRMULA MANUAL]","",IFERROR(AVERAGEIFS(DATOS!$K$2:$K$20000,DATOS!$A$2:$A$20000,S534,DATOS!$G$2:$G$20000,CONFIG_METADATA!$B$4,DATOS!$I$2:$I$20000,"Música de Cámara"),"")))</f>
        <v/>
      </c>
      <c r="W534" t="str">
        <f>IF(S534="","",IF(S534="[FÓRMULA MANUAL]","",IFERROR(SUMPRODUCT((DATOS!$A$2:$A$20000=S534)*(DATOS!$G$2:$G$20000=CONFIG_METADATA!$B$4)*(COUNTIF(CONFIG_ASIGNATURAS!$B$7:$B$27,DATOS!$I$2:$I$20000)&gt;0)*(DATOS!$K$2:$K$20000))/SUMPRODUCT((DATOS!$A$2:$A$20000=S534)*(DATOS!$G$2:$G$20000=CONFIG_METADATA!$B$4)*(COUNTIF(CONFIG_ASIGNATURAS!$B$7:$B$27,DATOS!$I$2:$I$20000)&gt;0)*1),"")))</f>
        <v/>
      </c>
      <c r="Z534" t="str">
        <f>IF(Y534="","",IF(Y534="[FÓRMULA MANUAL]","",IFERROR(AVERAGEIFS(DATOS!$K$2:$K$20000,DATOS!$A$2:$A$20000,Y534,DATOS!$G$2:$G$20000,CONFIG_METADATA!$B$4,DATOS!$I$2:$I$20000,"Análisis"),"")))</f>
        <v/>
      </c>
      <c r="AA534" t="str">
        <f>IF(Y534="","",IF(Y534="[FÓRMULA MANUAL]","",IFERROR(AVERAGEIFS(DATOS!$K$2:$K$20000,DATOS!$A$2:$A$20000,Y534,DATOS!$G$2:$G$20000,CONFIG_METADATA!$B$4,DATOS!$I$2:$I$20000,"Orquesta/Banda/Conjunto"),"")))</f>
        <v/>
      </c>
      <c r="AB534" t="str">
        <f>IF(Y534="","",IF(Y534="[FÓRMULA MANUAL]","",IFERROR(AVERAGEIFS(DATOS!$K$2:$K$20000,DATOS!$A$2:$A$20000,Y534,DATOS!$G$2:$G$20000,CONFIG_METADATA!$B$4,DATOS!$I$2:$I$20000,"Música de Cámara"),"")))</f>
        <v/>
      </c>
      <c r="AC534" t="str">
        <f>IF(Y534="","",IF(Y534="[FÓRMULA MANUAL]","",IFERROR(SUMPRODUCT((DATOS!$A$2:$A$20000=Y534)*(DATOS!$G$2:$G$20000=CONFIG_METADATA!$B$4)*(COUNTIF(CONFIG_ASIGNATURAS!$B$7:$B$27,DATOS!$I$2:$I$20000)&gt;0)*(DATOS!$K$2:$K$20000))/SUMPRODUCT((DATOS!$A$2:$A$20000=Y534)*(DATOS!$G$2:$G$20000=CONFIG_METADATA!$B$4)*(COUNTIF(CONFIG_ASIGNATURAS!$B$7:$B$27,DATOS!$I$2:$I$20000)&gt;0)*1),"")))</f>
        <v/>
      </c>
      <c r="AF534" t="str">
        <f>IF(AE534="","",IF(AE534="[FÓRMULA MANUAL]","",IFERROR(AVERAGEIFS(DATOS!$K$2:$K$20000,DATOS!$A$2:$A$20000,AE534,DATOS!$G$2:$G$20000,CONFIG_METADATA!$B$4,DATOS!$I$2:$I$20000,"Análisis"),"")))</f>
        <v/>
      </c>
      <c r="AG534" t="str">
        <f>IF(AE534="","",IF(AE534="[FÓRMULA MANUAL]","",IFERROR(AVERAGEIFS(DATOS!$K$2:$K$20000,DATOS!$A$2:$A$20000,AE534,DATOS!$G$2:$G$20000,CONFIG_METADATA!$B$4,DATOS!$I$2:$I$20000,"Orquesta/Banda/Conjunto"),"")))</f>
        <v/>
      </c>
      <c r="AH534" t="str">
        <f>IF(AE534="","",IF(AE534="[FÓRMULA MANUAL]","",IFERROR(AVERAGEIFS(DATOS!$K$2:$K$20000,DATOS!$A$2:$A$20000,AE534,DATOS!$G$2:$G$20000,CONFIG_METADATA!$B$4,DATOS!$I$2:$I$20000,"Música de Cámara"),"")))</f>
        <v/>
      </c>
      <c r="AI534" t="str">
        <f>IF(AE534="","",IF(AE534="[FÓRMULA MANUAL]","",IFERROR(SUMPRODUCT((DATOS!$A$2:$A$20000=AE534)*(DATOS!$G$2:$G$20000=CONFIG_METADATA!$B$4)*(COUNTIF(CONFIG_ASIGNATURAS!$B$7:$B$27,DATOS!$I$2:$I$20000)&gt;0)*(DATOS!$K$2:$K$20000))/SUMPRODUCT((DATOS!$A$2:$A$20000=AE534)*(DATOS!$G$2:$G$20000=CONFIG_METADATA!$B$4)*(COUNTIF(CONFIG_ASIGNATURAS!$B$7:$B$27,DATOS!$I$2:$I$20000)&gt;0)*1),"")))</f>
        <v/>
      </c>
    </row>
    <row r="535" spans="2:35" x14ac:dyDescent="0.2">
      <c r="B535" t="str">
        <f>IF(A535="","",IF(A535="[FÓRMULA MANUAL]","",IFERROR(AVERAGEIFS(DATOS!$K$2:$K$20000,DATOS!$A$2:$A$20000,A535,DATOS!$G$2:$G$20000,CONFIG_METADATA!$B$4,DATOS!$I$2:$I$20000,"Lenguaje Musical"),"")))</f>
        <v/>
      </c>
      <c r="C535" t="str">
        <f>IF(A535="","",IF(A535="[FÓRMULA MANUAL]","",IFERROR(AVERAGEIFS(DATOS!$K$2:$K$20000,DATOS!$A$2:$A$20000,A535,DATOS!$G$2:$G$20000,CONFIG_METADATA!$B$4,DATOS!$I$2:$I$20000,"Orquesta/Banda/Conjunto"),"")))</f>
        <v/>
      </c>
      <c r="D535" t="str">
        <f>IF(A535="","",IF(A535="[FÓRMULA MANUAL]","",IFERROR(AVERAGEIFS(DATOS!$K$2:$K$20000,DATOS!$A$2:$A$20000,A535,DATOS!$G$2:$G$20000,CONFIG_METADATA!$B$4,DATOS!$I$2:$I$20000,"Conjunto"),"")))</f>
        <v/>
      </c>
      <c r="E535" t="str">
        <f>IF(A535="","",IF(A535="[FÓRMULA MANUAL]","",IFERROR(SUMPRODUCT((DATOS!$A$2:$A$20000=A535)*(DATOS!$G$2:$G$20000=CONFIG_METADATA!$B$4)*(COUNTIF(CONFIG_ASIGNATURAS!$B$7:$B$27,DATOS!$I$2:$I$20000)&gt;0)*(DATOS!$K$2:$K$20000))/SUMPRODUCT((DATOS!$A$2:$A$20000=A535)*(DATOS!$G$2:$G$20000=CONFIG_METADATA!$B$4)*(COUNTIF(CONFIG_ASIGNATURAS!$B$7:$B$27,DATOS!$I$2:$I$20000)&gt;0)*1),"")))</f>
        <v/>
      </c>
      <c r="H535" t="str">
        <f>IF(G535="","",IF(G535="[FÓRMULA MANUAL]","",IFERROR(AVERAGEIFS(DATOS!$K$2:$K$20000,DATOS!$A$2:$A$20000,G535,DATOS!$G$2:$G$20000,CONFIG_METADATA!$B$4,DATOS!$I$2:$I$20000,"Lenguaje Musical"),"")))</f>
        <v/>
      </c>
      <c r="I535" t="str">
        <f>IF(G535="","",IF(G535="[FÓRMULA MANUAL]","",IFERROR(AVERAGEIFS(DATOS!$K$2:$K$20000,DATOS!$A$2:$A$20000,G535,DATOS!$G$2:$G$20000,CONFIG_METADATA!$B$4,DATOS!$I$2:$I$20000,"Orquesta/Banda/Conjunto"),"")))</f>
        <v/>
      </c>
      <c r="J535" t="str">
        <f>IF(G535="","",IF(G535="[FÓRMULA MANUAL]","",IFERROR(AVERAGEIFS(DATOS!$K$2:$K$20000,DATOS!$A$2:$A$20000,G535,DATOS!$G$2:$G$20000,CONFIG_METADATA!$B$4,DATOS!$I$2:$I$20000,"Conjunto"),"")))</f>
        <v/>
      </c>
      <c r="K535" t="str">
        <f>IF(G535="","",IF(G535="[FÓRMULA MANUAL]","",IFERROR(SUMPRODUCT((DATOS!$A$2:$A$20000=G535)*(DATOS!$G$2:$G$20000=CONFIG_METADATA!$B$4)*(COUNTIF(CONFIG_ASIGNATURAS!$B$7:$B$27,DATOS!$I$2:$I$20000)&gt;0)*(DATOS!$K$2:$K$20000))/SUMPRODUCT((DATOS!$A$2:$A$20000=G535)*(DATOS!$G$2:$G$20000=CONFIG_METADATA!$B$4)*(COUNTIF(CONFIG_ASIGNATURAS!$B$7:$B$27,DATOS!$I$2:$I$20000)&gt;0)*1),"")))</f>
        <v/>
      </c>
      <c r="N535" t="str">
        <f>IF(M535="","",IF(M535="[FÓRMULA MANUAL]","",IFERROR(AVERAGEIFS(DATOS!$K$2:$K$20000,DATOS!$A$2:$A$20000,M535,DATOS!$G$2:$G$20000,CONFIG_METADATA!$B$4,DATOS!$I$2:$I$20000,"Armonía"),"")))</f>
        <v/>
      </c>
      <c r="O535" t="str">
        <f>IF(M535="","",IF(M535="[FÓRMULA MANUAL]","",IFERROR(AVERAGEIFS(DATOS!$K$2:$K$20000,DATOS!$A$2:$A$20000,M535,DATOS!$G$2:$G$20000,CONFIG_METADATA!$B$4,DATOS!$I$2:$I$20000,"Orquesta/Banda/Conjunto"),"")))</f>
        <v/>
      </c>
      <c r="P535" t="str">
        <f>IF(M535="","",IF(M535="[FÓRMULA MANUAL]","",IFERROR(AVERAGEIFS(DATOS!$K$2:$K$20000,DATOS!$A$2:$A$20000,M535,DATOS!$G$2:$G$20000,CONFIG_METADATA!$B$4,DATOS!$I$2:$I$20000,"Música de Cámara"),"")))</f>
        <v/>
      </c>
      <c r="Q535" t="str">
        <f>IF(M535="","",IF(M535="[FÓRMULA MANUAL]","",IFERROR(SUMPRODUCT((DATOS!$A$2:$A$20000=M535)*(DATOS!$G$2:$G$20000=CONFIG_METADATA!$B$4)*(COUNTIF(CONFIG_ASIGNATURAS!$B$7:$B$27,DATOS!$I$2:$I$20000)&gt;0)*(DATOS!$K$2:$K$20000))/SUMPRODUCT((DATOS!$A$2:$A$20000=M535)*(DATOS!$G$2:$G$20000=CONFIG_METADATA!$B$4)*(COUNTIF(CONFIG_ASIGNATURAS!$B$7:$B$27,DATOS!$I$2:$I$20000)&gt;0)*1),"")))</f>
        <v/>
      </c>
      <c r="T535" t="str">
        <f>IF(S535="","",IF(S535="[FÓRMULA MANUAL]","",IFERROR(AVERAGEIFS(DATOS!$K$2:$K$20000,DATOS!$A$2:$A$20000,S535,DATOS!$G$2:$G$20000,CONFIG_METADATA!$B$4,DATOS!$I$2:$I$20000,"Armonía"),"")))</f>
        <v/>
      </c>
      <c r="U535" t="str">
        <f>IF(S535="","",IF(S535="[FÓRMULA MANUAL]","",IFERROR(AVERAGEIFS(DATOS!$K$2:$K$20000,DATOS!$A$2:$A$20000,S535,DATOS!$G$2:$G$20000,CONFIG_METADATA!$B$4,DATOS!$I$2:$I$20000,"Orquesta/Banda/Conjunto"),"")))</f>
        <v/>
      </c>
      <c r="V535" t="str">
        <f>IF(S535="","",IF(S535="[FÓRMULA MANUAL]","",IFERROR(AVERAGEIFS(DATOS!$K$2:$K$20000,DATOS!$A$2:$A$20000,S535,DATOS!$G$2:$G$20000,CONFIG_METADATA!$B$4,DATOS!$I$2:$I$20000,"Música de Cámara"),"")))</f>
        <v/>
      </c>
      <c r="W535" t="str">
        <f>IF(S535="","",IF(S535="[FÓRMULA MANUAL]","",IFERROR(SUMPRODUCT((DATOS!$A$2:$A$20000=S535)*(DATOS!$G$2:$G$20000=CONFIG_METADATA!$B$4)*(COUNTIF(CONFIG_ASIGNATURAS!$B$7:$B$27,DATOS!$I$2:$I$20000)&gt;0)*(DATOS!$K$2:$K$20000))/SUMPRODUCT((DATOS!$A$2:$A$20000=S535)*(DATOS!$G$2:$G$20000=CONFIG_METADATA!$B$4)*(COUNTIF(CONFIG_ASIGNATURAS!$B$7:$B$27,DATOS!$I$2:$I$20000)&gt;0)*1),"")))</f>
        <v/>
      </c>
      <c r="Z535" t="str">
        <f>IF(Y535="","",IF(Y535="[FÓRMULA MANUAL]","",IFERROR(AVERAGEIFS(DATOS!$K$2:$K$20000,DATOS!$A$2:$A$20000,Y535,DATOS!$G$2:$G$20000,CONFIG_METADATA!$B$4,DATOS!$I$2:$I$20000,"Análisis"),"")))</f>
        <v/>
      </c>
      <c r="AA535" t="str">
        <f>IF(Y535="","",IF(Y535="[FÓRMULA MANUAL]","",IFERROR(AVERAGEIFS(DATOS!$K$2:$K$20000,DATOS!$A$2:$A$20000,Y535,DATOS!$G$2:$G$20000,CONFIG_METADATA!$B$4,DATOS!$I$2:$I$20000,"Orquesta/Banda/Conjunto"),"")))</f>
        <v/>
      </c>
      <c r="AB535" t="str">
        <f>IF(Y535="","",IF(Y535="[FÓRMULA MANUAL]","",IFERROR(AVERAGEIFS(DATOS!$K$2:$K$20000,DATOS!$A$2:$A$20000,Y535,DATOS!$G$2:$G$20000,CONFIG_METADATA!$B$4,DATOS!$I$2:$I$20000,"Música de Cámara"),"")))</f>
        <v/>
      </c>
      <c r="AC535" t="str">
        <f>IF(Y535="","",IF(Y535="[FÓRMULA MANUAL]","",IFERROR(SUMPRODUCT((DATOS!$A$2:$A$20000=Y535)*(DATOS!$G$2:$G$20000=CONFIG_METADATA!$B$4)*(COUNTIF(CONFIG_ASIGNATURAS!$B$7:$B$27,DATOS!$I$2:$I$20000)&gt;0)*(DATOS!$K$2:$K$20000))/SUMPRODUCT((DATOS!$A$2:$A$20000=Y535)*(DATOS!$G$2:$G$20000=CONFIG_METADATA!$B$4)*(COUNTIF(CONFIG_ASIGNATURAS!$B$7:$B$27,DATOS!$I$2:$I$20000)&gt;0)*1),"")))</f>
        <v/>
      </c>
      <c r="AF535" t="str">
        <f>IF(AE535="","",IF(AE535="[FÓRMULA MANUAL]","",IFERROR(AVERAGEIFS(DATOS!$K$2:$K$20000,DATOS!$A$2:$A$20000,AE535,DATOS!$G$2:$G$20000,CONFIG_METADATA!$B$4,DATOS!$I$2:$I$20000,"Análisis"),"")))</f>
        <v/>
      </c>
      <c r="AG535" t="str">
        <f>IF(AE535="","",IF(AE535="[FÓRMULA MANUAL]","",IFERROR(AVERAGEIFS(DATOS!$K$2:$K$20000,DATOS!$A$2:$A$20000,AE535,DATOS!$G$2:$G$20000,CONFIG_METADATA!$B$4,DATOS!$I$2:$I$20000,"Orquesta/Banda/Conjunto"),"")))</f>
        <v/>
      </c>
      <c r="AH535" t="str">
        <f>IF(AE535="","",IF(AE535="[FÓRMULA MANUAL]","",IFERROR(AVERAGEIFS(DATOS!$K$2:$K$20000,DATOS!$A$2:$A$20000,AE535,DATOS!$G$2:$G$20000,CONFIG_METADATA!$B$4,DATOS!$I$2:$I$20000,"Música de Cámara"),"")))</f>
        <v/>
      </c>
      <c r="AI535" t="str">
        <f>IF(AE535="","",IF(AE535="[FÓRMULA MANUAL]","",IFERROR(SUMPRODUCT((DATOS!$A$2:$A$20000=AE535)*(DATOS!$G$2:$G$20000=CONFIG_METADATA!$B$4)*(COUNTIF(CONFIG_ASIGNATURAS!$B$7:$B$27,DATOS!$I$2:$I$20000)&gt;0)*(DATOS!$K$2:$K$20000))/SUMPRODUCT((DATOS!$A$2:$A$20000=AE535)*(DATOS!$G$2:$G$20000=CONFIG_METADATA!$B$4)*(COUNTIF(CONFIG_ASIGNATURAS!$B$7:$B$27,DATOS!$I$2:$I$20000)&gt;0)*1),"")))</f>
        <v/>
      </c>
    </row>
    <row r="536" spans="2:35" x14ac:dyDescent="0.2">
      <c r="B536" t="str">
        <f>IF(A536="","",IF(A536="[FÓRMULA MANUAL]","",IFERROR(AVERAGEIFS(DATOS!$K$2:$K$20000,DATOS!$A$2:$A$20000,A536,DATOS!$G$2:$G$20000,CONFIG_METADATA!$B$4,DATOS!$I$2:$I$20000,"Lenguaje Musical"),"")))</f>
        <v/>
      </c>
      <c r="C536" t="str">
        <f>IF(A536="","",IF(A536="[FÓRMULA MANUAL]","",IFERROR(AVERAGEIFS(DATOS!$K$2:$K$20000,DATOS!$A$2:$A$20000,A536,DATOS!$G$2:$G$20000,CONFIG_METADATA!$B$4,DATOS!$I$2:$I$20000,"Orquesta/Banda/Conjunto"),"")))</f>
        <v/>
      </c>
      <c r="D536" t="str">
        <f>IF(A536="","",IF(A536="[FÓRMULA MANUAL]","",IFERROR(AVERAGEIFS(DATOS!$K$2:$K$20000,DATOS!$A$2:$A$20000,A536,DATOS!$G$2:$G$20000,CONFIG_METADATA!$B$4,DATOS!$I$2:$I$20000,"Conjunto"),"")))</f>
        <v/>
      </c>
      <c r="E536" t="str">
        <f>IF(A536="","",IF(A536="[FÓRMULA MANUAL]","",IFERROR(SUMPRODUCT((DATOS!$A$2:$A$20000=A536)*(DATOS!$G$2:$G$20000=CONFIG_METADATA!$B$4)*(COUNTIF(CONFIG_ASIGNATURAS!$B$7:$B$27,DATOS!$I$2:$I$20000)&gt;0)*(DATOS!$K$2:$K$20000))/SUMPRODUCT((DATOS!$A$2:$A$20000=A536)*(DATOS!$G$2:$G$20000=CONFIG_METADATA!$B$4)*(COUNTIF(CONFIG_ASIGNATURAS!$B$7:$B$27,DATOS!$I$2:$I$20000)&gt;0)*1),"")))</f>
        <v/>
      </c>
      <c r="H536" t="str">
        <f>IF(G536="","",IF(G536="[FÓRMULA MANUAL]","",IFERROR(AVERAGEIFS(DATOS!$K$2:$K$20000,DATOS!$A$2:$A$20000,G536,DATOS!$G$2:$G$20000,CONFIG_METADATA!$B$4,DATOS!$I$2:$I$20000,"Lenguaje Musical"),"")))</f>
        <v/>
      </c>
      <c r="I536" t="str">
        <f>IF(G536="","",IF(G536="[FÓRMULA MANUAL]","",IFERROR(AVERAGEIFS(DATOS!$K$2:$K$20000,DATOS!$A$2:$A$20000,G536,DATOS!$G$2:$G$20000,CONFIG_METADATA!$B$4,DATOS!$I$2:$I$20000,"Orquesta/Banda/Conjunto"),"")))</f>
        <v/>
      </c>
      <c r="J536" t="str">
        <f>IF(G536="","",IF(G536="[FÓRMULA MANUAL]","",IFERROR(AVERAGEIFS(DATOS!$K$2:$K$20000,DATOS!$A$2:$A$20000,G536,DATOS!$G$2:$G$20000,CONFIG_METADATA!$B$4,DATOS!$I$2:$I$20000,"Conjunto"),"")))</f>
        <v/>
      </c>
      <c r="K536" t="str">
        <f>IF(G536="","",IF(G536="[FÓRMULA MANUAL]","",IFERROR(SUMPRODUCT((DATOS!$A$2:$A$20000=G536)*(DATOS!$G$2:$G$20000=CONFIG_METADATA!$B$4)*(COUNTIF(CONFIG_ASIGNATURAS!$B$7:$B$27,DATOS!$I$2:$I$20000)&gt;0)*(DATOS!$K$2:$K$20000))/SUMPRODUCT((DATOS!$A$2:$A$20000=G536)*(DATOS!$G$2:$G$20000=CONFIG_METADATA!$B$4)*(COUNTIF(CONFIG_ASIGNATURAS!$B$7:$B$27,DATOS!$I$2:$I$20000)&gt;0)*1),"")))</f>
        <v/>
      </c>
      <c r="N536" t="str">
        <f>IF(M536="","",IF(M536="[FÓRMULA MANUAL]","",IFERROR(AVERAGEIFS(DATOS!$K$2:$K$20000,DATOS!$A$2:$A$20000,M536,DATOS!$G$2:$G$20000,CONFIG_METADATA!$B$4,DATOS!$I$2:$I$20000,"Armonía"),"")))</f>
        <v/>
      </c>
      <c r="O536" t="str">
        <f>IF(M536="","",IF(M536="[FÓRMULA MANUAL]","",IFERROR(AVERAGEIFS(DATOS!$K$2:$K$20000,DATOS!$A$2:$A$20000,M536,DATOS!$G$2:$G$20000,CONFIG_METADATA!$B$4,DATOS!$I$2:$I$20000,"Orquesta/Banda/Conjunto"),"")))</f>
        <v/>
      </c>
      <c r="P536" t="str">
        <f>IF(M536="","",IF(M536="[FÓRMULA MANUAL]","",IFERROR(AVERAGEIFS(DATOS!$K$2:$K$20000,DATOS!$A$2:$A$20000,M536,DATOS!$G$2:$G$20000,CONFIG_METADATA!$B$4,DATOS!$I$2:$I$20000,"Música de Cámara"),"")))</f>
        <v/>
      </c>
      <c r="Q536" t="str">
        <f>IF(M536="","",IF(M536="[FÓRMULA MANUAL]","",IFERROR(SUMPRODUCT((DATOS!$A$2:$A$20000=M536)*(DATOS!$G$2:$G$20000=CONFIG_METADATA!$B$4)*(COUNTIF(CONFIG_ASIGNATURAS!$B$7:$B$27,DATOS!$I$2:$I$20000)&gt;0)*(DATOS!$K$2:$K$20000))/SUMPRODUCT((DATOS!$A$2:$A$20000=M536)*(DATOS!$G$2:$G$20000=CONFIG_METADATA!$B$4)*(COUNTIF(CONFIG_ASIGNATURAS!$B$7:$B$27,DATOS!$I$2:$I$20000)&gt;0)*1),"")))</f>
        <v/>
      </c>
      <c r="T536" t="str">
        <f>IF(S536="","",IF(S536="[FÓRMULA MANUAL]","",IFERROR(AVERAGEIFS(DATOS!$K$2:$K$20000,DATOS!$A$2:$A$20000,S536,DATOS!$G$2:$G$20000,CONFIG_METADATA!$B$4,DATOS!$I$2:$I$20000,"Armonía"),"")))</f>
        <v/>
      </c>
      <c r="U536" t="str">
        <f>IF(S536="","",IF(S536="[FÓRMULA MANUAL]","",IFERROR(AVERAGEIFS(DATOS!$K$2:$K$20000,DATOS!$A$2:$A$20000,S536,DATOS!$G$2:$G$20000,CONFIG_METADATA!$B$4,DATOS!$I$2:$I$20000,"Orquesta/Banda/Conjunto"),"")))</f>
        <v/>
      </c>
      <c r="V536" t="str">
        <f>IF(S536="","",IF(S536="[FÓRMULA MANUAL]","",IFERROR(AVERAGEIFS(DATOS!$K$2:$K$20000,DATOS!$A$2:$A$20000,S536,DATOS!$G$2:$G$20000,CONFIG_METADATA!$B$4,DATOS!$I$2:$I$20000,"Música de Cámara"),"")))</f>
        <v/>
      </c>
      <c r="W536" t="str">
        <f>IF(S536="","",IF(S536="[FÓRMULA MANUAL]","",IFERROR(SUMPRODUCT((DATOS!$A$2:$A$20000=S536)*(DATOS!$G$2:$G$20000=CONFIG_METADATA!$B$4)*(COUNTIF(CONFIG_ASIGNATURAS!$B$7:$B$27,DATOS!$I$2:$I$20000)&gt;0)*(DATOS!$K$2:$K$20000))/SUMPRODUCT((DATOS!$A$2:$A$20000=S536)*(DATOS!$G$2:$G$20000=CONFIG_METADATA!$B$4)*(COUNTIF(CONFIG_ASIGNATURAS!$B$7:$B$27,DATOS!$I$2:$I$20000)&gt;0)*1),"")))</f>
        <v/>
      </c>
      <c r="Z536" t="str">
        <f>IF(Y536="","",IF(Y536="[FÓRMULA MANUAL]","",IFERROR(AVERAGEIFS(DATOS!$K$2:$K$20000,DATOS!$A$2:$A$20000,Y536,DATOS!$G$2:$G$20000,CONFIG_METADATA!$B$4,DATOS!$I$2:$I$20000,"Análisis"),"")))</f>
        <v/>
      </c>
      <c r="AA536" t="str">
        <f>IF(Y536="","",IF(Y536="[FÓRMULA MANUAL]","",IFERROR(AVERAGEIFS(DATOS!$K$2:$K$20000,DATOS!$A$2:$A$20000,Y536,DATOS!$G$2:$G$20000,CONFIG_METADATA!$B$4,DATOS!$I$2:$I$20000,"Orquesta/Banda/Conjunto"),"")))</f>
        <v/>
      </c>
      <c r="AB536" t="str">
        <f>IF(Y536="","",IF(Y536="[FÓRMULA MANUAL]","",IFERROR(AVERAGEIFS(DATOS!$K$2:$K$20000,DATOS!$A$2:$A$20000,Y536,DATOS!$G$2:$G$20000,CONFIG_METADATA!$B$4,DATOS!$I$2:$I$20000,"Música de Cámara"),"")))</f>
        <v/>
      </c>
      <c r="AC536" t="str">
        <f>IF(Y536="","",IF(Y536="[FÓRMULA MANUAL]","",IFERROR(SUMPRODUCT((DATOS!$A$2:$A$20000=Y536)*(DATOS!$G$2:$G$20000=CONFIG_METADATA!$B$4)*(COUNTIF(CONFIG_ASIGNATURAS!$B$7:$B$27,DATOS!$I$2:$I$20000)&gt;0)*(DATOS!$K$2:$K$20000))/SUMPRODUCT((DATOS!$A$2:$A$20000=Y536)*(DATOS!$G$2:$G$20000=CONFIG_METADATA!$B$4)*(COUNTIF(CONFIG_ASIGNATURAS!$B$7:$B$27,DATOS!$I$2:$I$20000)&gt;0)*1),"")))</f>
        <v/>
      </c>
      <c r="AF536" t="str">
        <f>IF(AE536="","",IF(AE536="[FÓRMULA MANUAL]","",IFERROR(AVERAGEIFS(DATOS!$K$2:$K$20000,DATOS!$A$2:$A$20000,AE536,DATOS!$G$2:$G$20000,CONFIG_METADATA!$B$4,DATOS!$I$2:$I$20000,"Análisis"),"")))</f>
        <v/>
      </c>
      <c r="AG536" t="str">
        <f>IF(AE536="","",IF(AE536="[FÓRMULA MANUAL]","",IFERROR(AVERAGEIFS(DATOS!$K$2:$K$20000,DATOS!$A$2:$A$20000,AE536,DATOS!$G$2:$G$20000,CONFIG_METADATA!$B$4,DATOS!$I$2:$I$20000,"Orquesta/Banda/Conjunto"),"")))</f>
        <v/>
      </c>
      <c r="AH536" t="str">
        <f>IF(AE536="","",IF(AE536="[FÓRMULA MANUAL]","",IFERROR(AVERAGEIFS(DATOS!$K$2:$K$20000,DATOS!$A$2:$A$20000,AE536,DATOS!$G$2:$G$20000,CONFIG_METADATA!$B$4,DATOS!$I$2:$I$20000,"Música de Cámara"),"")))</f>
        <v/>
      </c>
      <c r="AI536" t="str">
        <f>IF(AE536="","",IF(AE536="[FÓRMULA MANUAL]","",IFERROR(SUMPRODUCT((DATOS!$A$2:$A$20000=AE536)*(DATOS!$G$2:$G$20000=CONFIG_METADATA!$B$4)*(COUNTIF(CONFIG_ASIGNATURAS!$B$7:$B$27,DATOS!$I$2:$I$20000)&gt;0)*(DATOS!$K$2:$K$20000))/SUMPRODUCT((DATOS!$A$2:$A$20000=AE536)*(DATOS!$G$2:$G$20000=CONFIG_METADATA!$B$4)*(COUNTIF(CONFIG_ASIGNATURAS!$B$7:$B$27,DATOS!$I$2:$I$20000)&gt;0)*1),"")))</f>
        <v/>
      </c>
    </row>
    <row r="537" spans="2:35" x14ac:dyDescent="0.2">
      <c r="B537" t="str">
        <f>IF(A537="","",IF(A537="[FÓRMULA MANUAL]","",IFERROR(AVERAGEIFS(DATOS!$K$2:$K$20000,DATOS!$A$2:$A$20000,A537,DATOS!$G$2:$G$20000,CONFIG_METADATA!$B$4,DATOS!$I$2:$I$20000,"Lenguaje Musical"),"")))</f>
        <v/>
      </c>
      <c r="C537" t="str">
        <f>IF(A537="","",IF(A537="[FÓRMULA MANUAL]","",IFERROR(AVERAGEIFS(DATOS!$K$2:$K$20000,DATOS!$A$2:$A$20000,A537,DATOS!$G$2:$G$20000,CONFIG_METADATA!$B$4,DATOS!$I$2:$I$20000,"Orquesta/Banda/Conjunto"),"")))</f>
        <v/>
      </c>
      <c r="D537" t="str">
        <f>IF(A537="","",IF(A537="[FÓRMULA MANUAL]","",IFERROR(AVERAGEIFS(DATOS!$K$2:$K$20000,DATOS!$A$2:$A$20000,A537,DATOS!$G$2:$G$20000,CONFIG_METADATA!$B$4,DATOS!$I$2:$I$20000,"Conjunto"),"")))</f>
        <v/>
      </c>
      <c r="E537" t="str">
        <f>IF(A537="","",IF(A537="[FÓRMULA MANUAL]","",IFERROR(SUMPRODUCT((DATOS!$A$2:$A$20000=A537)*(DATOS!$G$2:$G$20000=CONFIG_METADATA!$B$4)*(COUNTIF(CONFIG_ASIGNATURAS!$B$7:$B$27,DATOS!$I$2:$I$20000)&gt;0)*(DATOS!$K$2:$K$20000))/SUMPRODUCT((DATOS!$A$2:$A$20000=A537)*(DATOS!$G$2:$G$20000=CONFIG_METADATA!$B$4)*(COUNTIF(CONFIG_ASIGNATURAS!$B$7:$B$27,DATOS!$I$2:$I$20000)&gt;0)*1),"")))</f>
        <v/>
      </c>
      <c r="H537" t="str">
        <f>IF(G537="","",IF(G537="[FÓRMULA MANUAL]","",IFERROR(AVERAGEIFS(DATOS!$K$2:$K$20000,DATOS!$A$2:$A$20000,G537,DATOS!$G$2:$G$20000,CONFIG_METADATA!$B$4,DATOS!$I$2:$I$20000,"Lenguaje Musical"),"")))</f>
        <v/>
      </c>
      <c r="I537" t="str">
        <f>IF(G537="","",IF(G537="[FÓRMULA MANUAL]","",IFERROR(AVERAGEIFS(DATOS!$K$2:$K$20000,DATOS!$A$2:$A$20000,G537,DATOS!$G$2:$G$20000,CONFIG_METADATA!$B$4,DATOS!$I$2:$I$20000,"Orquesta/Banda/Conjunto"),"")))</f>
        <v/>
      </c>
      <c r="J537" t="str">
        <f>IF(G537="","",IF(G537="[FÓRMULA MANUAL]","",IFERROR(AVERAGEIFS(DATOS!$K$2:$K$20000,DATOS!$A$2:$A$20000,G537,DATOS!$G$2:$G$20000,CONFIG_METADATA!$B$4,DATOS!$I$2:$I$20000,"Conjunto"),"")))</f>
        <v/>
      </c>
      <c r="K537" t="str">
        <f>IF(G537="","",IF(G537="[FÓRMULA MANUAL]","",IFERROR(SUMPRODUCT((DATOS!$A$2:$A$20000=G537)*(DATOS!$G$2:$G$20000=CONFIG_METADATA!$B$4)*(COUNTIF(CONFIG_ASIGNATURAS!$B$7:$B$27,DATOS!$I$2:$I$20000)&gt;0)*(DATOS!$K$2:$K$20000))/SUMPRODUCT((DATOS!$A$2:$A$20000=G537)*(DATOS!$G$2:$G$20000=CONFIG_METADATA!$B$4)*(COUNTIF(CONFIG_ASIGNATURAS!$B$7:$B$27,DATOS!$I$2:$I$20000)&gt;0)*1),"")))</f>
        <v/>
      </c>
      <c r="N537" t="str">
        <f>IF(M537="","",IF(M537="[FÓRMULA MANUAL]","",IFERROR(AVERAGEIFS(DATOS!$K$2:$K$20000,DATOS!$A$2:$A$20000,M537,DATOS!$G$2:$G$20000,CONFIG_METADATA!$B$4,DATOS!$I$2:$I$20000,"Armonía"),"")))</f>
        <v/>
      </c>
      <c r="O537" t="str">
        <f>IF(M537="","",IF(M537="[FÓRMULA MANUAL]","",IFERROR(AVERAGEIFS(DATOS!$K$2:$K$20000,DATOS!$A$2:$A$20000,M537,DATOS!$G$2:$G$20000,CONFIG_METADATA!$B$4,DATOS!$I$2:$I$20000,"Orquesta/Banda/Conjunto"),"")))</f>
        <v/>
      </c>
      <c r="P537" t="str">
        <f>IF(M537="","",IF(M537="[FÓRMULA MANUAL]","",IFERROR(AVERAGEIFS(DATOS!$K$2:$K$20000,DATOS!$A$2:$A$20000,M537,DATOS!$G$2:$G$20000,CONFIG_METADATA!$B$4,DATOS!$I$2:$I$20000,"Música de Cámara"),"")))</f>
        <v/>
      </c>
      <c r="Q537" t="str">
        <f>IF(M537="","",IF(M537="[FÓRMULA MANUAL]","",IFERROR(SUMPRODUCT((DATOS!$A$2:$A$20000=M537)*(DATOS!$G$2:$G$20000=CONFIG_METADATA!$B$4)*(COUNTIF(CONFIG_ASIGNATURAS!$B$7:$B$27,DATOS!$I$2:$I$20000)&gt;0)*(DATOS!$K$2:$K$20000))/SUMPRODUCT((DATOS!$A$2:$A$20000=M537)*(DATOS!$G$2:$G$20000=CONFIG_METADATA!$B$4)*(COUNTIF(CONFIG_ASIGNATURAS!$B$7:$B$27,DATOS!$I$2:$I$20000)&gt;0)*1),"")))</f>
        <v/>
      </c>
      <c r="T537" t="str">
        <f>IF(S537="","",IF(S537="[FÓRMULA MANUAL]","",IFERROR(AVERAGEIFS(DATOS!$K$2:$K$20000,DATOS!$A$2:$A$20000,S537,DATOS!$G$2:$G$20000,CONFIG_METADATA!$B$4,DATOS!$I$2:$I$20000,"Armonía"),"")))</f>
        <v/>
      </c>
      <c r="U537" t="str">
        <f>IF(S537="","",IF(S537="[FÓRMULA MANUAL]","",IFERROR(AVERAGEIFS(DATOS!$K$2:$K$20000,DATOS!$A$2:$A$20000,S537,DATOS!$G$2:$G$20000,CONFIG_METADATA!$B$4,DATOS!$I$2:$I$20000,"Orquesta/Banda/Conjunto"),"")))</f>
        <v/>
      </c>
      <c r="V537" t="str">
        <f>IF(S537="","",IF(S537="[FÓRMULA MANUAL]","",IFERROR(AVERAGEIFS(DATOS!$K$2:$K$20000,DATOS!$A$2:$A$20000,S537,DATOS!$G$2:$G$20000,CONFIG_METADATA!$B$4,DATOS!$I$2:$I$20000,"Música de Cámara"),"")))</f>
        <v/>
      </c>
      <c r="W537" t="str">
        <f>IF(S537="","",IF(S537="[FÓRMULA MANUAL]","",IFERROR(SUMPRODUCT((DATOS!$A$2:$A$20000=S537)*(DATOS!$G$2:$G$20000=CONFIG_METADATA!$B$4)*(COUNTIF(CONFIG_ASIGNATURAS!$B$7:$B$27,DATOS!$I$2:$I$20000)&gt;0)*(DATOS!$K$2:$K$20000))/SUMPRODUCT((DATOS!$A$2:$A$20000=S537)*(DATOS!$G$2:$G$20000=CONFIG_METADATA!$B$4)*(COUNTIF(CONFIG_ASIGNATURAS!$B$7:$B$27,DATOS!$I$2:$I$20000)&gt;0)*1),"")))</f>
        <v/>
      </c>
      <c r="Z537" t="str">
        <f>IF(Y537="","",IF(Y537="[FÓRMULA MANUAL]","",IFERROR(AVERAGEIFS(DATOS!$K$2:$K$20000,DATOS!$A$2:$A$20000,Y537,DATOS!$G$2:$G$20000,CONFIG_METADATA!$B$4,DATOS!$I$2:$I$20000,"Análisis"),"")))</f>
        <v/>
      </c>
      <c r="AA537" t="str">
        <f>IF(Y537="","",IF(Y537="[FÓRMULA MANUAL]","",IFERROR(AVERAGEIFS(DATOS!$K$2:$K$20000,DATOS!$A$2:$A$20000,Y537,DATOS!$G$2:$G$20000,CONFIG_METADATA!$B$4,DATOS!$I$2:$I$20000,"Orquesta/Banda/Conjunto"),"")))</f>
        <v/>
      </c>
      <c r="AB537" t="str">
        <f>IF(Y537="","",IF(Y537="[FÓRMULA MANUAL]","",IFERROR(AVERAGEIFS(DATOS!$K$2:$K$20000,DATOS!$A$2:$A$20000,Y537,DATOS!$G$2:$G$20000,CONFIG_METADATA!$B$4,DATOS!$I$2:$I$20000,"Música de Cámara"),"")))</f>
        <v/>
      </c>
      <c r="AC537" t="str">
        <f>IF(Y537="","",IF(Y537="[FÓRMULA MANUAL]","",IFERROR(SUMPRODUCT((DATOS!$A$2:$A$20000=Y537)*(DATOS!$G$2:$G$20000=CONFIG_METADATA!$B$4)*(COUNTIF(CONFIG_ASIGNATURAS!$B$7:$B$27,DATOS!$I$2:$I$20000)&gt;0)*(DATOS!$K$2:$K$20000))/SUMPRODUCT((DATOS!$A$2:$A$20000=Y537)*(DATOS!$G$2:$G$20000=CONFIG_METADATA!$B$4)*(COUNTIF(CONFIG_ASIGNATURAS!$B$7:$B$27,DATOS!$I$2:$I$20000)&gt;0)*1),"")))</f>
        <v/>
      </c>
      <c r="AF537" t="str">
        <f>IF(AE537="","",IF(AE537="[FÓRMULA MANUAL]","",IFERROR(AVERAGEIFS(DATOS!$K$2:$K$20000,DATOS!$A$2:$A$20000,AE537,DATOS!$G$2:$G$20000,CONFIG_METADATA!$B$4,DATOS!$I$2:$I$20000,"Análisis"),"")))</f>
        <v/>
      </c>
      <c r="AG537" t="str">
        <f>IF(AE537="","",IF(AE537="[FÓRMULA MANUAL]","",IFERROR(AVERAGEIFS(DATOS!$K$2:$K$20000,DATOS!$A$2:$A$20000,AE537,DATOS!$G$2:$G$20000,CONFIG_METADATA!$B$4,DATOS!$I$2:$I$20000,"Orquesta/Banda/Conjunto"),"")))</f>
        <v/>
      </c>
      <c r="AH537" t="str">
        <f>IF(AE537="","",IF(AE537="[FÓRMULA MANUAL]","",IFERROR(AVERAGEIFS(DATOS!$K$2:$K$20000,DATOS!$A$2:$A$20000,AE537,DATOS!$G$2:$G$20000,CONFIG_METADATA!$B$4,DATOS!$I$2:$I$20000,"Música de Cámara"),"")))</f>
        <v/>
      </c>
      <c r="AI537" t="str">
        <f>IF(AE537="","",IF(AE537="[FÓRMULA MANUAL]","",IFERROR(SUMPRODUCT((DATOS!$A$2:$A$20000=AE537)*(DATOS!$G$2:$G$20000=CONFIG_METADATA!$B$4)*(COUNTIF(CONFIG_ASIGNATURAS!$B$7:$B$27,DATOS!$I$2:$I$20000)&gt;0)*(DATOS!$K$2:$K$20000))/SUMPRODUCT((DATOS!$A$2:$A$20000=AE537)*(DATOS!$G$2:$G$20000=CONFIG_METADATA!$B$4)*(COUNTIF(CONFIG_ASIGNATURAS!$B$7:$B$27,DATOS!$I$2:$I$20000)&gt;0)*1),"")))</f>
        <v/>
      </c>
    </row>
    <row r="538" spans="2:35" x14ac:dyDescent="0.2">
      <c r="B538" t="str">
        <f>IF(A538="","",IF(A538="[FÓRMULA MANUAL]","",IFERROR(AVERAGEIFS(DATOS!$K$2:$K$20000,DATOS!$A$2:$A$20000,A538,DATOS!$G$2:$G$20000,CONFIG_METADATA!$B$4,DATOS!$I$2:$I$20000,"Lenguaje Musical"),"")))</f>
        <v/>
      </c>
      <c r="C538" t="str">
        <f>IF(A538="","",IF(A538="[FÓRMULA MANUAL]","",IFERROR(AVERAGEIFS(DATOS!$K$2:$K$20000,DATOS!$A$2:$A$20000,A538,DATOS!$G$2:$G$20000,CONFIG_METADATA!$B$4,DATOS!$I$2:$I$20000,"Orquesta/Banda/Conjunto"),"")))</f>
        <v/>
      </c>
      <c r="D538" t="str">
        <f>IF(A538="","",IF(A538="[FÓRMULA MANUAL]","",IFERROR(AVERAGEIFS(DATOS!$K$2:$K$20000,DATOS!$A$2:$A$20000,A538,DATOS!$G$2:$G$20000,CONFIG_METADATA!$B$4,DATOS!$I$2:$I$20000,"Conjunto"),"")))</f>
        <v/>
      </c>
      <c r="E538" t="str">
        <f>IF(A538="","",IF(A538="[FÓRMULA MANUAL]","",IFERROR(SUMPRODUCT((DATOS!$A$2:$A$20000=A538)*(DATOS!$G$2:$G$20000=CONFIG_METADATA!$B$4)*(COUNTIF(CONFIG_ASIGNATURAS!$B$7:$B$27,DATOS!$I$2:$I$20000)&gt;0)*(DATOS!$K$2:$K$20000))/SUMPRODUCT((DATOS!$A$2:$A$20000=A538)*(DATOS!$G$2:$G$20000=CONFIG_METADATA!$B$4)*(COUNTIF(CONFIG_ASIGNATURAS!$B$7:$B$27,DATOS!$I$2:$I$20000)&gt;0)*1),"")))</f>
        <v/>
      </c>
      <c r="H538" t="str">
        <f>IF(G538="","",IF(G538="[FÓRMULA MANUAL]","",IFERROR(AVERAGEIFS(DATOS!$K$2:$K$20000,DATOS!$A$2:$A$20000,G538,DATOS!$G$2:$G$20000,CONFIG_METADATA!$B$4,DATOS!$I$2:$I$20000,"Lenguaje Musical"),"")))</f>
        <v/>
      </c>
      <c r="I538" t="str">
        <f>IF(G538="","",IF(G538="[FÓRMULA MANUAL]","",IFERROR(AVERAGEIFS(DATOS!$K$2:$K$20000,DATOS!$A$2:$A$20000,G538,DATOS!$G$2:$G$20000,CONFIG_METADATA!$B$4,DATOS!$I$2:$I$20000,"Orquesta/Banda/Conjunto"),"")))</f>
        <v/>
      </c>
      <c r="J538" t="str">
        <f>IF(G538="","",IF(G538="[FÓRMULA MANUAL]","",IFERROR(AVERAGEIFS(DATOS!$K$2:$K$20000,DATOS!$A$2:$A$20000,G538,DATOS!$G$2:$G$20000,CONFIG_METADATA!$B$4,DATOS!$I$2:$I$20000,"Conjunto"),"")))</f>
        <v/>
      </c>
      <c r="K538" t="str">
        <f>IF(G538="","",IF(G538="[FÓRMULA MANUAL]","",IFERROR(SUMPRODUCT((DATOS!$A$2:$A$20000=G538)*(DATOS!$G$2:$G$20000=CONFIG_METADATA!$B$4)*(COUNTIF(CONFIG_ASIGNATURAS!$B$7:$B$27,DATOS!$I$2:$I$20000)&gt;0)*(DATOS!$K$2:$K$20000))/SUMPRODUCT((DATOS!$A$2:$A$20000=G538)*(DATOS!$G$2:$G$20000=CONFIG_METADATA!$B$4)*(COUNTIF(CONFIG_ASIGNATURAS!$B$7:$B$27,DATOS!$I$2:$I$20000)&gt;0)*1),"")))</f>
        <v/>
      </c>
      <c r="N538" t="str">
        <f>IF(M538="","",IF(M538="[FÓRMULA MANUAL]","",IFERROR(AVERAGEIFS(DATOS!$K$2:$K$20000,DATOS!$A$2:$A$20000,M538,DATOS!$G$2:$G$20000,CONFIG_METADATA!$B$4,DATOS!$I$2:$I$20000,"Armonía"),"")))</f>
        <v/>
      </c>
      <c r="O538" t="str">
        <f>IF(M538="","",IF(M538="[FÓRMULA MANUAL]","",IFERROR(AVERAGEIFS(DATOS!$K$2:$K$20000,DATOS!$A$2:$A$20000,M538,DATOS!$G$2:$G$20000,CONFIG_METADATA!$B$4,DATOS!$I$2:$I$20000,"Orquesta/Banda/Conjunto"),"")))</f>
        <v/>
      </c>
      <c r="P538" t="str">
        <f>IF(M538="","",IF(M538="[FÓRMULA MANUAL]","",IFERROR(AVERAGEIFS(DATOS!$K$2:$K$20000,DATOS!$A$2:$A$20000,M538,DATOS!$G$2:$G$20000,CONFIG_METADATA!$B$4,DATOS!$I$2:$I$20000,"Música de Cámara"),"")))</f>
        <v/>
      </c>
      <c r="Q538" t="str">
        <f>IF(M538="","",IF(M538="[FÓRMULA MANUAL]","",IFERROR(SUMPRODUCT((DATOS!$A$2:$A$20000=M538)*(DATOS!$G$2:$G$20000=CONFIG_METADATA!$B$4)*(COUNTIF(CONFIG_ASIGNATURAS!$B$7:$B$27,DATOS!$I$2:$I$20000)&gt;0)*(DATOS!$K$2:$K$20000))/SUMPRODUCT((DATOS!$A$2:$A$20000=M538)*(DATOS!$G$2:$G$20000=CONFIG_METADATA!$B$4)*(COUNTIF(CONFIG_ASIGNATURAS!$B$7:$B$27,DATOS!$I$2:$I$20000)&gt;0)*1),"")))</f>
        <v/>
      </c>
      <c r="T538" t="str">
        <f>IF(S538="","",IF(S538="[FÓRMULA MANUAL]","",IFERROR(AVERAGEIFS(DATOS!$K$2:$K$20000,DATOS!$A$2:$A$20000,S538,DATOS!$G$2:$G$20000,CONFIG_METADATA!$B$4,DATOS!$I$2:$I$20000,"Armonía"),"")))</f>
        <v/>
      </c>
      <c r="U538" t="str">
        <f>IF(S538="","",IF(S538="[FÓRMULA MANUAL]","",IFERROR(AVERAGEIFS(DATOS!$K$2:$K$20000,DATOS!$A$2:$A$20000,S538,DATOS!$G$2:$G$20000,CONFIG_METADATA!$B$4,DATOS!$I$2:$I$20000,"Orquesta/Banda/Conjunto"),"")))</f>
        <v/>
      </c>
      <c r="V538" t="str">
        <f>IF(S538="","",IF(S538="[FÓRMULA MANUAL]","",IFERROR(AVERAGEIFS(DATOS!$K$2:$K$20000,DATOS!$A$2:$A$20000,S538,DATOS!$G$2:$G$20000,CONFIG_METADATA!$B$4,DATOS!$I$2:$I$20000,"Música de Cámara"),"")))</f>
        <v/>
      </c>
      <c r="W538" t="str">
        <f>IF(S538="","",IF(S538="[FÓRMULA MANUAL]","",IFERROR(SUMPRODUCT((DATOS!$A$2:$A$20000=S538)*(DATOS!$G$2:$G$20000=CONFIG_METADATA!$B$4)*(COUNTIF(CONFIG_ASIGNATURAS!$B$7:$B$27,DATOS!$I$2:$I$20000)&gt;0)*(DATOS!$K$2:$K$20000))/SUMPRODUCT((DATOS!$A$2:$A$20000=S538)*(DATOS!$G$2:$G$20000=CONFIG_METADATA!$B$4)*(COUNTIF(CONFIG_ASIGNATURAS!$B$7:$B$27,DATOS!$I$2:$I$20000)&gt;0)*1),"")))</f>
        <v/>
      </c>
      <c r="Z538" t="str">
        <f>IF(Y538="","",IF(Y538="[FÓRMULA MANUAL]","",IFERROR(AVERAGEIFS(DATOS!$K$2:$K$20000,DATOS!$A$2:$A$20000,Y538,DATOS!$G$2:$G$20000,CONFIG_METADATA!$B$4,DATOS!$I$2:$I$20000,"Análisis"),"")))</f>
        <v/>
      </c>
      <c r="AA538" t="str">
        <f>IF(Y538="","",IF(Y538="[FÓRMULA MANUAL]","",IFERROR(AVERAGEIFS(DATOS!$K$2:$K$20000,DATOS!$A$2:$A$20000,Y538,DATOS!$G$2:$G$20000,CONFIG_METADATA!$B$4,DATOS!$I$2:$I$20000,"Orquesta/Banda/Conjunto"),"")))</f>
        <v/>
      </c>
      <c r="AB538" t="str">
        <f>IF(Y538="","",IF(Y538="[FÓRMULA MANUAL]","",IFERROR(AVERAGEIFS(DATOS!$K$2:$K$20000,DATOS!$A$2:$A$20000,Y538,DATOS!$G$2:$G$20000,CONFIG_METADATA!$B$4,DATOS!$I$2:$I$20000,"Música de Cámara"),"")))</f>
        <v/>
      </c>
      <c r="AC538" t="str">
        <f>IF(Y538="","",IF(Y538="[FÓRMULA MANUAL]","",IFERROR(SUMPRODUCT((DATOS!$A$2:$A$20000=Y538)*(DATOS!$G$2:$G$20000=CONFIG_METADATA!$B$4)*(COUNTIF(CONFIG_ASIGNATURAS!$B$7:$B$27,DATOS!$I$2:$I$20000)&gt;0)*(DATOS!$K$2:$K$20000))/SUMPRODUCT((DATOS!$A$2:$A$20000=Y538)*(DATOS!$G$2:$G$20000=CONFIG_METADATA!$B$4)*(COUNTIF(CONFIG_ASIGNATURAS!$B$7:$B$27,DATOS!$I$2:$I$20000)&gt;0)*1),"")))</f>
        <v/>
      </c>
      <c r="AF538" t="str">
        <f>IF(AE538="","",IF(AE538="[FÓRMULA MANUAL]","",IFERROR(AVERAGEIFS(DATOS!$K$2:$K$20000,DATOS!$A$2:$A$20000,AE538,DATOS!$G$2:$G$20000,CONFIG_METADATA!$B$4,DATOS!$I$2:$I$20000,"Análisis"),"")))</f>
        <v/>
      </c>
      <c r="AG538" t="str">
        <f>IF(AE538="","",IF(AE538="[FÓRMULA MANUAL]","",IFERROR(AVERAGEIFS(DATOS!$K$2:$K$20000,DATOS!$A$2:$A$20000,AE538,DATOS!$G$2:$G$20000,CONFIG_METADATA!$B$4,DATOS!$I$2:$I$20000,"Orquesta/Banda/Conjunto"),"")))</f>
        <v/>
      </c>
      <c r="AH538" t="str">
        <f>IF(AE538="","",IF(AE538="[FÓRMULA MANUAL]","",IFERROR(AVERAGEIFS(DATOS!$K$2:$K$20000,DATOS!$A$2:$A$20000,AE538,DATOS!$G$2:$G$20000,CONFIG_METADATA!$B$4,DATOS!$I$2:$I$20000,"Música de Cámara"),"")))</f>
        <v/>
      </c>
      <c r="AI538" t="str">
        <f>IF(AE538="","",IF(AE538="[FÓRMULA MANUAL]","",IFERROR(SUMPRODUCT((DATOS!$A$2:$A$20000=AE538)*(DATOS!$G$2:$G$20000=CONFIG_METADATA!$B$4)*(COUNTIF(CONFIG_ASIGNATURAS!$B$7:$B$27,DATOS!$I$2:$I$20000)&gt;0)*(DATOS!$K$2:$K$20000))/SUMPRODUCT((DATOS!$A$2:$A$20000=AE538)*(DATOS!$G$2:$G$20000=CONFIG_METADATA!$B$4)*(COUNTIF(CONFIG_ASIGNATURAS!$B$7:$B$27,DATOS!$I$2:$I$20000)&gt;0)*1),"")))</f>
        <v/>
      </c>
    </row>
    <row r="539" spans="2:35" x14ac:dyDescent="0.2">
      <c r="B539" t="str">
        <f>IF(A539="","",IF(A539="[FÓRMULA MANUAL]","",IFERROR(AVERAGEIFS(DATOS!$K$2:$K$20000,DATOS!$A$2:$A$20000,A539,DATOS!$G$2:$G$20000,CONFIG_METADATA!$B$4,DATOS!$I$2:$I$20000,"Lenguaje Musical"),"")))</f>
        <v/>
      </c>
      <c r="C539" t="str">
        <f>IF(A539="","",IF(A539="[FÓRMULA MANUAL]","",IFERROR(AVERAGEIFS(DATOS!$K$2:$K$20000,DATOS!$A$2:$A$20000,A539,DATOS!$G$2:$G$20000,CONFIG_METADATA!$B$4,DATOS!$I$2:$I$20000,"Orquesta/Banda/Conjunto"),"")))</f>
        <v/>
      </c>
      <c r="D539" t="str">
        <f>IF(A539="","",IF(A539="[FÓRMULA MANUAL]","",IFERROR(AVERAGEIFS(DATOS!$K$2:$K$20000,DATOS!$A$2:$A$20000,A539,DATOS!$G$2:$G$20000,CONFIG_METADATA!$B$4,DATOS!$I$2:$I$20000,"Conjunto"),"")))</f>
        <v/>
      </c>
      <c r="E539" t="str">
        <f>IF(A539="","",IF(A539="[FÓRMULA MANUAL]","",IFERROR(SUMPRODUCT((DATOS!$A$2:$A$20000=A539)*(DATOS!$G$2:$G$20000=CONFIG_METADATA!$B$4)*(COUNTIF(CONFIG_ASIGNATURAS!$B$7:$B$27,DATOS!$I$2:$I$20000)&gt;0)*(DATOS!$K$2:$K$20000))/SUMPRODUCT((DATOS!$A$2:$A$20000=A539)*(DATOS!$G$2:$G$20000=CONFIG_METADATA!$B$4)*(COUNTIF(CONFIG_ASIGNATURAS!$B$7:$B$27,DATOS!$I$2:$I$20000)&gt;0)*1),"")))</f>
        <v/>
      </c>
      <c r="H539" t="str">
        <f>IF(G539="","",IF(G539="[FÓRMULA MANUAL]","",IFERROR(AVERAGEIFS(DATOS!$K$2:$K$20000,DATOS!$A$2:$A$20000,G539,DATOS!$G$2:$G$20000,CONFIG_METADATA!$B$4,DATOS!$I$2:$I$20000,"Lenguaje Musical"),"")))</f>
        <v/>
      </c>
      <c r="I539" t="str">
        <f>IF(G539="","",IF(G539="[FÓRMULA MANUAL]","",IFERROR(AVERAGEIFS(DATOS!$K$2:$K$20000,DATOS!$A$2:$A$20000,G539,DATOS!$G$2:$G$20000,CONFIG_METADATA!$B$4,DATOS!$I$2:$I$20000,"Orquesta/Banda/Conjunto"),"")))</f>
        <v/>
      </c>
      <c r="J539" t="str">
        <f>IF(G539="","",IF(G539="[FÓRMULA MANUAL]","",IFERROR(AVERAGEIFS(DATOS!$K$2:$K$20000,DATOS!$A$2:$A$20000,G539,DATOS!$G$2:$G$20000,CONFIG_METADATA!$B$4,DATOS!$I$2:$I$20000,"Conjunto"),"")))</f>
        <v/>
      </c>
      <c r="K539" t="str">
        <f>IF(G539="","",IF(G539="[FÓRMULA MANUAL]","",IFERROR(SUMPRODUCT((DATOS!$A$2:$A$20000=G539)*(DATOS!$G$2:$G$20000=CONFIG_METADATA!$B$4)*(COUNTIF(CONFIG_ASIGNATURAS!$B$7:$B$27,DATOS!$I$2:$I$20000)&gt;0)*(DATOS!$K$2:$K$20000))/SUMPRODUCT((DATOS!$A$2:$A$20000=G539)*(DATOS!$G$2:$G$20000=CONFIG_METADATA!$B$4)*(COUNTIF(CONFIG_ASIGNATURAS!$B$7:$B$27,DATOS!$I$2:$I$20000)&gt;0)*1),"")))</f>
        <v/>
      </c>
      <c r="N539" t="str">
        <f>IF(M539="","",IF(M539="[FÓRMULA MANUAL]","",IFERROR(AVERAGEIFS(DATOS!$K$2:$K$20000,DATOS!$A$2:$A$20000,M539,DATOS!$G$2:$G$20000,CONFIG_METADATA!$B$4,DATOS!$I$2:$I$20000,"Armonía"),"")))</f>
        <v/>
      </c>
      <c r="O539" t="str">
        <f>IF(M539="","",IF(M539="[FÓRMULA MANUAL]","",IFERROR(AVERAGEIFS(DATOS!$K$2:$K$20000,DATOS!$A$2:$A$20000,M539,DATOS!$G$2:$G$20000,CONFIG_METADATA!$B$4,DATOS!$I$2:$I$20000,"Orquesta/Banda/Conjunto"),"")))</f>
        <v/>
      </c>
      <c r="P539" t="str">
        <f>IF(M539="","",IF(M539="[FÓRMULA MANUAL]","",IFERROR(AVERAGEIFS(DATOS!$K$2:$K$20000,DATOS!$A$2:$A$20000,M539,DATOS!$G$2:$G$20000,CONFIG_METADATA!$B$4,DATOS!$I$2:$I$20000,"Música de Cámara"),"")))</f>
        <v/>
      </c>
      <c r="Q539" t="str">
        <f>IF(M539="","",IF(M539="[FÓRMULA MANUAL]","",IFERROR(SUMPRODUCT((DATOS!$A$2:$A$20000=M539)*(DATOS!$G$2:$G$20000=CONFIG_METADATA!$B$4)*(COUNTIF(CONFIG_ASIGNATURAS!$B$7:$B$27,DATOS!$I$2:$I$20000)&gt;0)*(DATOS!$K$2:$K$20000))/SUMPRODUCT((DATOS!$A$2:$A$20000=M539)*(DATOS!$G$2:$G$20000=CONFIG_METADATA!$B$4)*(COUNTIF(CONFIG_ASIGNATURAS!$B$7:$B$27,DATOS!$I$2:$I$20000)&gt;0)*1),"")))</f>
        <v/>
      </c>
      <c r="T539" t="str">
        <f>IF(S539="","",IF(S539="[FÓRMULA MANUAL]","",IFERROR(AVERAGEIFS(DATOS!$K$2:$K$20000,DATOS!$A$2:$A$20000,S539,DATOS!$G$2:$G$20000,CONFIG_METADATA!$B$4,DATOS!$I$2:$I$20000,"Armonía"),"")))</f>
        <v/>
      </c>
      <c r="U539" t="str">
        <f>IF(S539="","",IF(S539="[FÓRMULA MANUAL]","",IFERROR(AVERAGEIFS(DATOS!$K$2:$K$20000,DATOS!$A$2:$A$20000,S539,DATOS!$G$2:$G$20000,CONFIG_METADATA!$B$4,DATOS!$I$2:$I$20000,"Orquesta/Banda/Conjunto"),"")))</f>
        <v/>
      </c>
      <c r="V539" t="str">
        <f>IF(S539="","",IF(S539="[FÓRMULA MANUAL]","",IFERROR(AVERAGEIFS(DATOS!$K$2:$K$20000,DATOS!$A$2:$A$20000,S539,DATOS!$G$2:$G$20000,CONFIG_METADATA!$B$4,DATOS!$I$2:$I$20000,"Música de Cámara"),"")))</f>
        <v/>
      </c>
      <c r="W539" t="str">
        <f>IF(S539="","",IF(S539="[FÓRMULA MANUAL]","",IFERROR(SUMPRODUCT((DATOS!$A$2:$A$20000=S539)*(DATOS!$G$2:$G$20000=CONFIG_METADATA!$B$4)*(COUNTIF(CONFIG_ASIGNATURAS!$B$7:$B$27,DATOS!$I$2:$I$20000)&gt;0)*(DATOS!$K$2:$K$20000))/SUMPRODUCT((DATOS!$A$2:$A$20000=S539)*(DATOS!$G$2:$G$20000=CONFIG_METADATA!$B$4)*(COUNTIF(CONFIG_ASIGNATURAS!$B$7:$B$27,DATOS!$I$2:$I$20000)&gt;0)*1),"")))</f>
        <v/>
      </c>
      <c r="Z539" t="str">
        <f>IF(Y539="","",IF(Y539="[FÓRMULA MANUAL]","",IFERROR(AVERAGEIFS(DATOS!$K$2:$K$20000,DATOS!$A$2:$A$20000,Y539,DATOS!$G$2:$G$20000,CONFIG_METADATA!$B$4,DATOS!$I$2:$I$20000,"Análisis"),"")))</f>
        <v/>
      </c>
      <c r="AA539" t="str">
        <f>IF(Y539="","",IF(Y539="[FÓRMULA MANUAL]","",IFERROR(AVERAGEIFS(DATOS!$K$2:$K$20000,DATOS!$A$2:$A$20000,Y539,DATOS!$G$2:$G$20000,CONFIG_METADATA!$B$4,DATOS!$I$2:$I$20000,"Orquesta/Banda/Conjunto"),"")))</f>
        <v/>
      </c>
      <c r="AB539" t="str">
        <f>IF(Y539="","",IF(Y539="[FÓRMULA MANUAL]","",IFERROR(AVERAGEIFS(DATOS!$K$2:$K$20000,DATOS!$A$2:$A$20000,Y539,DATOS!$G$2:$G$20000,CONFIG_METADATA!$B$4,DATOS!$I$2:$I$20000,"Música de Cámara"),"")))</f>
        <v/>
      </c>
      <c r="AC539" t="str">
        <f>IF(Y539="","",IF(Y539="[FÓRMULA MANUAL]","",IFERROR(SUMPRODUCT((DATOS!$A$2:$A$20000=Y539)*(DATOS!$G$2:$G$20000=CONFIG_METADATA!$B$4)*(COUNTIF(CONFIG_ASIGNATURAS!$B$7:$B$27,DATOS!$I$2:$I$20000)&gt;0)*(DATOS!$K$2:$K$20000))/SUMPRODUCT((DATOS!$A$2:$A$20000=Y539)*(DATOS!$G$2:$G$20000=CONFIG_METADATA!$B$4)*(COUNTIF(CONFIG_ASIGNATURAS!$B$7:$B$27,DATOS!$I$2:$I$20000)&gt;0)*1),"")))</f>
        <v/>
      </c>
      <c r="AF539" t="str">
        <f>IF(AE539="","",IF(AE539="[FÓRMULA MANUAL]","",IFERROR(AVERAGEIFS(DATOS!$K$2:$K$20000,DATOS!$A$2:$A$20000,AE539,DATOS!$G$2:$G$20000,CONFIG_METADATA!$B$4,DATOS!$I$2:$I$20000,"Análisis"),"")))</f>
        <v/>
      </c>
      <c r="AG539" t="str">
        <f>IF(AE539="","",IF(AE539="[FÓRMULA MANUAL]","",IFERROR(AVERAGEIFS(DATOS!$K$2:$K$20000,DATOS!$A$2:$A$20000,AE539,DATOS!$G$2:$G$20000,CONFIG_METADATA!$B$4,DATOS!$I$2:$I$20000,"Orquesta/Banda/Conjunto"),"")))</f>
        <v/>
      </c>
      <c r="AH539" t="str">
        <f>IF(AE539="","",IF(AE539="[FÓRMULA MANUAL]","",IFERROR(AVERAGEIFS(DATOS!$K$2:$K$20000,DATOS!$A$2:$A$20000,AE539,DATOS!$G$2:$G$20000,CONFIG_METADATA!$B$4,DATOS!$I$2:$I$20000,"Música de Cámara"),"")))</f>
        <v/>
      </c>
      <c r="AI539" t="str">
        <f>IF(AE539="","",IF(AE539="[FÓRMULA MANUAL]","",IFERROR(SUMPRODUCT((DATOS!$A$2:$A$20000=AE539)*(DATOS!$G$2:$G$20000=CONFIG_METADATA!$B$4)*(COUNTIF(CONFIG_ASIGNATURAS!$B$7:$B$27,DATOS!$I$2:$I$20000)&gt;0)*(DATOS!$K$2:$K$20000))/SUMPRODUCT((DATOS!$A$2:$A$20000=AE539)*(DATOS!$G$2:$G$20000=CONFIG_METADATA!$B$4)*(COUNTIF(CONFIG_ASIGNATURAS!$B$7:$B$27,DATOS!$I$2:$I$20000)&gt;0)*1),"")))</f>
        <v/>
      </c>
    </row>
    <row r="540" spans="2:35" x14ac:dyDescent="0.2">
      <c r="B540" t="str">
        <f>IF(A540="","",IF(A540="[FÓRMULA MANUAL]","",IFERROR(AVERAGEIFS(DATOS!$K$2:$K$20000,DATOS!$A$2:$A$20000,A540,DATOS!$G$2:$G$20000,CONFIG_METADATA!$B$4,DATOS!$I$2:$I$20000,"Lenguaje Musical"),"")))</f>
        <v/>
      </c>
      <c r="C540" t="str">
        <f>IF(A540="","",IF(A540="[FÓRMULA MANUAL]","",IFERROR(AVERAGEIFS(DATOS!$K$2:$K$20000,DATOS!$A$2:$A$20000,A540,DATOS!$G$2:$G$20000,CONFIG_METADATA!$B$4,DATOS!$I$2:$I$20000,"Orquesta/Banda/Conjunto"),"")))</f>
        <v/>
      </c>
      <c r="D540" t="str">
        <f>IF(A540="","",IF(A540="[FÓRMULA MANUAL]","",IFERROR(AVERAGEIFS(DATOS!$K$2:$K$20000,DATOS!$A$2:$A$20000,A540,DATOS!$G$2:$G$20000,CONFIG_METADATA!$B$4,DATOS!$I$2:$I$20000,"Conjunto"),"")))</f>
        <v/>
      </c>
      <c r="E540" t="str">
        <f>IF(A540="","",IF(A540="[FÓRMULA MANUAL]","",IFERROR(SUMPRODUCT((DATOS!$A$2:$A$20000=A540)*(DATOS!$G$2:$G$20000=CONFIG_METADATA!$B$4)*(COUNTIF(CONFIG_ASIGNATURAS!$B$7:$B$27,DATOS!$I$2:$I$20000)&gt;0)*(DATOS!$K$2:$K$20000))/SUMPRODUCT((DATOS!$A$2:$A$20000=A540)*(DATOS!$G$2:$G$20000=CONFIG_METADATA!$B$4)*(COUNTIF(CONFIG_ASIGNATURAS!$B$7:$B$27,DATOS!$I$2:$I$20000)&gt;0)*1),"")))</f>
        <v/>
      </c>
      <c r="H540" t="str">
        <f>IF(G540="","",IF(G540="[FÓRMULA MANUAL]","",IFERROR(AVERAGEIFS(DATOS!$K$2:$K$20000,DATOS!$A$2:$A$20000,G540,DATOS!$G$2:$G$20000,CONFIG_METADATA!$B$4,DATOS!$I$2:$I$20000,"Lenguaje Musical"),"")))</f>
        <v/>
      </c>
      <c r="I540" t="str">
        <f>IF(G540="","",IF(G540="[FÓRMULA MANUAL]","",IFERROR(AVERAGEIFS(DATOS!$K$2:$K$20000,DATOS!$A$2:$A$20000,G540,DATOS!$G$2:$G$20000,CONFIG_METADATA!$B$4,DATOS!$I$2:$I$20000,"Orquesta/Banda/Conjunto"),"")))</f>
        <v/>
      </c>
      <c r="J540" t="str">
        <f>IF(G540="","",IF(G540="[FÓRMULA MANUAL]","",IFERROR(AVERAGEIFS(DATOS!$K$2:$K$20000,DATOS!$A$2:$A$20000,G540,DATOS!$G$2:$G$20000,CONFIG_METADATA!$B$4,DATOS!$I$2:$I$20000,"Conjunto"),"")))</f>
        <v/>
      </c>
      <c r="K540" t="str">
        <f>IF(G540="","",IF(G540="[FÓRMULA MANUAL]","",IFERROR(SUMPRODUCT((DATOS!$A$2:$A$20000=G540)*(DATOS!$G$2:$G$20000=CONFIG_METADATA!$B$4)*(COUNTIF(CONFIG_ASIGNATURAS!$B$7:$B$27,DATOS!$I$2:$I$20000)&gt;0)*(DATOS!$K$2:$K$20000))/SUMPRODUCT((DATOS!$A$2:$A$20000=G540)*(DATOS!$G$2:$G$20000=CONFIG_METADATA!$B$4)*(COUNTIF(CONFIG_ASIGNATURAS!$B$7:$B$27,DATOS!$I$2:$I$20000)&gt;0)*1),"")))</f>
        <v/>
      </c>
      <c r="N540" t="str">
        <f>IF(M540="","",IF(M540="[FÓRMULA MANUAL]","",IFERROR(AVERAGEIFS(DATOS!$K$2:$K$20000,DATOS!$A$2:$A$20000,M540,DATOS!$G$2:$G$20000,CONFIG_METADATA!$B$4,DATOS!$I$2:$I$20000,"Armonía"),"")))</f>
        <v/>
      </c>
      <c r="O540" t="str">
        <f>IF(M540="","",IF(M540="[FÓRMULA MANUAL]","",IFERROR(AVERAGEIFS(DATOS!$K$2:$K$20000,DATOS!$A$2:$A$20000,M540,DATOS!$G$2:$G$20000,CONFIG_METADATA!$B$4,DATOS!$I$2:$I$20000,"Orquesta/Banda/Conjunto"),"")))</f>
        <v/>
      </c>
      <c r="P540" t="str">
        <f>IF(M540="","",IF(M540="[FÓRMULA MANUAL]","",IFERROR(AVERAGEIFS(DATOS!$K$2:$K$20000,DATOS!$A$2:$A$20000,M540,DATOS!$G$2:$G$20000,CONFIG_METADATA!$B$4,DATOS!$I$2:$I$20000,"Música de Cámara"),"")))</f>
        <v/>
      </c>
      <c r="Q540" t="str">
        <f>IF(M540="","",IF(M540="[FÓRMULA MANUAL]","",IFERROR(SUMPRODUCT((DATOS!$A$2:$A$20000=M540)*(DATOS!$G$2:$G$20000=CONFIG_METADATA!$B$4)*(COUNTIF(CONFIG_ASIGNATURAS!$B$7:$B$27,DATOS!$I$2:$I$20000)&gt;0)*(DATOS!$K$2:$K$20000))/SUMPRODUCT((DATOS!$A$2:$A$20000=M540)*(DATOS!$G$2:$G$20000=CONFIG_METADATA!$B$4)*(COUNTIF(CONFIG_ASIGNATURAS!$B$7:$B$27,DATOS!$I$2:$I$20000)&gt;0)*1),"")))</f>
        <v/>
      </c>
      <c r="T540" t="str">
        <f>IF(S540="","",IF(S540="[FÓRMULA MANUAL]","",IFERROR(AVERAGEIFS(DATOS!$K$2:$K$20000,DATOS!$A$2:$A$20000,S540,DATOS!$G$2:$G$20000,CONFIG_METADATA!$B$4,DATOS!$I$2:$I$20000,"Armonía"),"")))</f>
        <v/>
      </c>
      <c r="U540" t="str">
        <f>IF(S540="","",IF(S540="[FÓRMULA MANUAL]","",IFERROR(AVERAGEIFS(DATOS!$K$2:$K$20000,DATOS!$A$2:$A$20000,S540,DATOS!$G$2:$G$20000,CONFIG_METADATA!$B$4,DATOS!$I$2:$I$20000,"Orquesta/Banda/Conjunto"),"")))</f>
        <v/>
      </c>
      <c r="V540" t="str">
        <f>IF(S540="","",IF(S540="[FÓRMULA MANUAL]","",IFERROR(AVERAGEIFS(DATOS!$K$2:$K$20000,DATOS!$A$2:$A$20000,S540,DATOS!$G$2:$G$20000,CONFIG_METADATA!$B$4,DATOS!$I$2:$I$20000,"Música de Cámara"),"")))</f>
        <v/>
      </c>
      <c r="W540" t="str">
        <f>IF(S540="","",IF(S540="[FÓRMULA MANUAL]","",IFERROR(SUMPRODUCT((DATOS!$A$2:$A$20000=S540)*(DATOS!$G$2:$G$20000=CONFIG_METADATA!$B$4)*(COUNTIF(CONFIG_ASIGNATURAS!$B$7:$B$27,DATOS!$I$2:$I$20000)&gt;0)*(DATOS!$K$2:$K$20000))/SUMPRODUCT((DATOS!$A$2:$A$20000=S540)*(DATOS!$G$2:$G$20000=CONFIG_METADATA!$B$4)*(COUNTIF(CONFIG_ASIGNATURAS!$B$7:$B$27,DATOS!$I$2:$I$20000)&gt;0)*1),"")))</f>
        <v/>
      </c>
      <c r="Z540" t="str">
        <f>IF(Y540="","",IF(Y540="[FÓRMULA MANUAL]","",IFERROR(AVERAGEIFS(DATOS!$K$2:$K$20000,DATOS!$A$2:$A$20000,Y540,DATOS!$G$2:$G$20000,CONFIG_METADATA!$B$4,DATOS!$I$2:$I$20000,"Análisis"),"")))</f>
        <v/>
      </c>
      <c r="AA540" t="str">
        <f>IF(Y540="","",IF(Y540="[FÓRMULA MANUAL]","",IFERROR(AVERAGEIFS(DATOS!$K$2:$K$20000,DATOS!$A$2:$A$20000,Y540,DATOS!$G$2:$G$20000,CONFIG_METADATA!$B$4,DATOS!$I$2:$I$20000,"Orquesta/Banda/Conjunto"),"")))</f>
        <v/>
      </c>
      <c r="AB540" t="str">
        <f>IF(Y540="","",IF(Y540="[FÓRMULA MANUAL]","",IFERROR(AVERAGEIFS(DATOS!$K$2:$K$20000,DATOS!$A$2:$A$20000,Y540,DATOS!$G$2:$G$20000,CONFIG_METADATA!$B$4,DATOS!$I$2:$I$20000,"Música de Cámara"),"")))</f>
        <v/>
      </c>
      <c r="AC540" t="str">
        <f>IF(Y540="","",IF(Y540="[FÓRMULA MANUAL]","",IFERROR(SUMPRODUCT((DATOS!$A$2:$A$20000=Y540)*(DATOS!$G$2:$G$20000=CONFIG_METADATA!$B$4)*(COUNTIF(CONFIG_ASIGNATURAS!$B$7:$B$27,DATOS!$I$2:$I$20000)&gt;0)*(DATOS!$K$2:$K$20000))/SUMPRODUCT((DATOS!$A$2:$A$20000=Y540)*(DATOS!$G$2:$G$20000=CONFIG_METADATA!$B$4)*(COUNTIF(CONFIG_ASIGNATURAS!$B$7:$B$27,DATOS!$I$2:$I$20000)&gt;0)*1),"")))</f>
        <v/>
      </c>
      <c r="AF540" t="str">
        <f>IF(AE540="","",IF(AE540="[FÓRMULA MANUAL]","",IFERROR(AVERAGEIFS(DATOS!$K$2:$K$20000,DATOS!$A$2:$A$20000,AE540,DATOS!$G$2:$G$20000,CONFIG_METADATA!$B$4,DATOS!$I$2:$I$20000,"Análisis"),"")))</f>
        <v/>
      </c>
      <c r="AG540" t="str">
        <f>IF(AE540="","",IF(AE540="[FÓRMULA MANUAL]","",IFERROR(AVERAGEIFS(DATOS!$K$2:$K$20000,DATOS!$A$2:$A$20000,AE540,DATOS!$G$2:$G$20000,CONFIG_METADATA!$B$4,DATOS!$I$2:$I$20000,"Orquesta/Banda/Conjunto"),"")))</f>
        <v/>
      </c>
      <c r="AH540" t="str">
        <f>IF(AE540="","",IF(AE540="[FÓRMULA MANUAL]","",IFERROR(AVERAGEIFS(DATOS!$K$2:$K$20000,DATOS!$A$2:$A$20000,AE540,DATOS!$G$2:$G$20000,CONFIG_METADATA!$B$4,DATOS!$I$2:$I$20000,"Música de Cámara"),"")))</f>
        <v/>
      </c>
      <c r="AI540" t="str">
        <f>IF(AE540="","",IF(AE540="[FÓRMULA MANUAL]","",IFERROR(SUMPRODUCT((DATOS!$A$2:$A$20000=AE540)*(DATOS!$G$2:$G$20000=CONFIG_METADATA!$B$4)*(COUNTIF(CONFIG_ASIGNATURAS!$B$7:$B$27,DATOS!$I$2:$I$20000)&gt;0)*(DATOS!$K$2:$K$20000))/SUMPRODUCT((DATOS!$A$2:$A$20000=AE540)*(DATOS!$G$2:$G$20000=CONFIG_METADATA!$B$4)*(COUNTIF(CONFIG_ASIGNATURAS!$B$7:$B$27,DATOS!$I$2:$I$20000)&gt;0)*1),"")))</f>
        <v/>
      </c>
    </row>
    <row r="541" spans="2:35" x14ac:dyDescent="0.2">
      <c r="B541" t="str">
        <f>IF(A541="","",IF(A541="[FÓRMULA MANUAL]","",IFERROR(AVERAGEIFS(DATOS!$K$2:$K$20000,DATOS!$A$2:$A$20000,A541,DATOS!$G$2:$G$20000,CONFIG_METADATA!$B$4,DATOS!$I$2:$I$20000,"Lenguaje Musical"),"")))</f>
        <v/>
      </c>
      <c r="C541" t="str">
        <f>IF(A541="","",IF(A541="[FÓRMULA MANUAL]","",IFERROR(AVERAGEIFS(DATOS!$K$2:$K$20000,DATOS!$A$2:$A$20000,A541,DATOS!$G$2:$G$20000,CONFIG_METADATA!$B$4,DATOS!$I$2:$I$20000,"Orquesta/Banda/Conjunto"),"")))</f>
        <v/>
      </c>
      <c r="D541" t="str">
        <f>IF(A541="","",IF(A541="[FÓRMULA MANUAL]","",IFERROR(AVERAGEIFS(DATOS!$K$2:$K$20000,DATOS!$A$2:$A$20000,A541,DATOS!$G$2:$G$20000,CONFIG_METADATA!$B$4,DATOS!$I$2:$I$20000,"Conjunto"),"")))</f>
        <v/>
      </c>
      <c r="E541" t="str">
        <f>IF(A541="","",IF(A541="[FÓRMULA MANUAL]","",IFERROR(SUMPRODUCT((DATOS!$A$2:$A$20000=A541)*(DATOS!$G$2:$G$20000=CONFIG_METADATA!$B$4)*(COUNTIF(CONFIG_ASIGNATURAS!$B$7:$B$27,DATOS!$I$2:$I$20000)&gt;0)*(DATOS!$K$2:$K$20000))/SUMPRODUCT((DATOS!$A$2:$A$20000=A541)*(DATOS!$G$2:$G$20000=CONFIG_METADATA!$B$4)*(COUNTIF(CONFIG_ASIGNATURAS!$B$7:$B$27,DATOS!$I$2:$I$20000)&gt;0)*1),"")))</f>
        <v/>
      </c>
      <c r="H541" t="str">
        <f>IF(G541="","",IF(G541="[FÓRMULA MANUAL]","",IFERROR(AVERAGEIFS(DATOS!$K$2:$K$20000,DATOS!$A$2:$A$20000,G541,DATOS!$G$2:$G$20000,CONFIG_METADATA!$B$4,DATOS!$I$2:$I$20000,"Lenguaje Musical"),"")))</f>
        <v/>
      </c>
      <c r="I541" t="str">
        <f>IF(G541="","",IF(G541="[FÓRMULA MANUAL]","",IFERROR(AVERAGEIFS(DATOS!$K$2:$K$20000,DATOS!$A$2:$A$20000,G541,DATOS!$G$2:$G$20000,CONFIG_METADATA!$B$4,DATOS!$I$2:$I$20000,"Orquesta/Banda/Conjunto"),"")))</f>
        <v/>
      </c>
      <c r="J541" t="str">
        <f>IF(G541="","",IF(G541="[FÓRMULA MANUAL]","",IFERROR(AVERAGEIFS(DATOS!$K$2:$K$20000,DATOS!$A$2:$A$20000,G541,DATOS!$G$2:$G$20000,CONFIG_METADATA!$B$4,DATOS!$I$2:$I$20000,"Conjunto"),"")))</f>
        <v/>
      </c>
      <c r="K541" t="str">
        <f>IF(G541="","",IF(G541="[FÓRMULA MANUAL]","",IFERROR(SUMPRODUCT((DATOS!$A$2:$A$20000=G541)*(DATOS!$G$2:$G$20000=CONFIG_METADATA!$B$4)*(COUNTIF(CONFIG_ASIGNATURAS!$B$7:$B$27,DATOS!$I$2:$I$20000)&gt;0)*(DATOS!$K$2:$K$20000))/SUMPRODUCT((DATOS!$A$2:$A$20000=G541)*(DATOS!$G$2:$G$20000=CONFIG_METADATA!$B$4)*(COUNTIF(CONFIG_ASIGNATURAS!$B$7:$B$27,DATOS!$I$2:$I$20000)&gt;0)*1),"")))</f>
        <v/>
      </c>
      <c r="N541" t="str">
        <f>IF(M541="","",IF(M541="[FÓRMULA MANUAL]","",IFERROR(AVERAGEIFS(DATOS!$K$2:$K$20000,DATOS!$A$2:$A$20000,M541,DATOS!$G$2:$G$20000,CONFIG_METADATA!$B$4,DATOS!$I$2:$I$20000,"Armonía"),"")))</f>
        <v/>
      </c>
      <c r="O541" t="str">
        <f>IF(M541="","",IF(M541="[FÓRMULA MANUAL]","",IFERROR(AVERAGEIFS(DATOS!$K$2:$K$20000,DATOS!$A$2:$A$20000,M541,DATOS!$G$2:$G$20000,CONFIG_METADATA!$B$4,DATOS!$I$2:$I$20000,"Orquesta/Banda/Conjunto"),"")))</f>
        <v/>
      </c>
      <c r="P541" t="str">
        <f>IF(M541="","",IF(M541="[FÓRMULA MANUAL]","",IFERROR(AVERAGEIFS(DATOS!$K$2:$K$20000,DATOS!$A$2:$A$20000,M541,DATOS!$G$2:$G$20000,CONFIG_METADATA!$B$4,DATOS!$I$2:$I$20000,"Música de Cámara"),"")))</f>
        <v/>
      </c>
      <c r="Q541" t="str">
        <f>IF(M541="","",IF(M541="[FÓRMULA MANUAL]","",IFERROR(SUMPRODUCT((DATOS!$A$2:$A$20000=M541)*(DATOS!$G$2:$G$20000=CONFIG_METADATA!$B$4)*(COUNTIF(CONFIG_ASIGNATURAS!$B$7:$B$27,DATOS!$I$2:$I$20000)&gt;0)*(DATOS!$K$2:$K$20000))/SUMPRODUCT((DATOS!$A$2:$A$20000=M541)*(DATOS!$G$2:$G$20000=CONFIG_METADATA!$B$4)*(COUNTIF(CONFIG_ASIGNATURAS!$B$7:$B$27,DATOS!$I$2:$I$20000)&gt;0)*1),"")))</f>
        <v/>
      </c>
      <c r="T541" t="str">
        <f>IF(S541="","",IF(S541="[FÓRMULA MANUAL]","",IFERROR(AVERAGEIFS(DATOS!$K$2:$K$20000,DATOS!$A$2:$A$20000,S541,DATOS!$G$2:$G$20000,CONFIG_METADATA!$B$4,DATOS!$I$2:$I$20000,"Armonía"),"")))</f>
        <v/>
      </c>
      <c r="U541" t="str">
        <f>IF(S541="","",IF(S541="[FÓRMULA MANUAL]","",IFERROR(AVERAGEIFS(DATOS!$K$2:$K$20000,DATOS!$A$2:$A$20000,S541,DATOS!$G$2:$G$20000,CONFIG_METADATA!$B$4,DATOS!$I$2:$I$20000,"Orquesta/Banda/Conjunto"),"")))</f>
        <v/>
      </c>
      <c r="V541" t="str">
        <f>IF(S541="","",IF(S541="[FÓRMULA MANUAL]","",IFERROR(AVERAGEIFS(DATOS!$K$2:$K$20000,DATOS!$A$2:$A$20000,S541,DATOS!$G$2:$G$20000,CONFIG_METADATA!$B$4,DATOS!$I$2:$I$20000,"Música de Cámara"),"")))</f>
        <v/>
      </c>
      <c r="W541" t="str">
        <f>IF(S541="","",IF(S541="[FÓRMULA MANUAL]","",IFERROR(SUMPRODUCT((DATOS!$A$2:$A$20000=S541)*(DATOS!$G$2:$G$20000=CONFIG_METADATA!$B$4)*(COUNTIF(CONFIG_ASIGNATURAS!$B$7:$B$27,DATOS!$I$2:$I$20000)&gt;0)*(DATOS!$K$2:$K$20000))/SUMPRODUCT((DATOS!$A$2:$A$20000=S541)*(DATOS!$G$2:$G$20000=CONFIG_METADATA!$B$4)*(COUNTIF(CONFIG_ASIGNATURAS!$B$7:$B$27,DATOS!$I$2:$I$20000)&gt;0)*1),"")))</f>
        <v/>
      </c>
      <c r="Z541" t="str">
        <f>IF(Y541="","",IF(Y541="[FÓRMULA MANUAL]","",IFERROR(AVERAGEIFS(DATOS!$K$2:$K$20000,DATOS!$A$2:$A$20000,Y541,DATOS!$G$2:$G$20000,CONFIG_METADATA!$B$4,DATOS!$I$2:$I$20000,"Análisis"),"")))</f>
        <v/>
      </c>
      <c r="AA541" t="str">
        <f>IF(Y541="","",IF(Y541="[FÓRMULA MANUAL]","",IFERROR(AVERAGEIFS(DATOS!$K$2:$K$20000,DATOS!$A$2:$A$20000,Y541,DATOS!$G$2:$G$20000,CONFIG_METADATA!$B$4,DATOS!$I$2:$I$20000,"Orquesta/Banda/Conjunto"),"")))</f>
        <v/>
      </c>
      <c r="AB541" t="str">
        <f>IF(Y541="","",IF(Y541="[FÓRMULA MANUAL]","",IFERROR(AVERAGEIFS(DATOS!$K$2:$K$20000,DATOS!$A$2:$A$20000,Y541,DATOS!$G$2:$G$20000,CONFIG_METADATA!$B$4,DATOS!$I$2:$I$20000,"Música de Cámara"),"")))</f>
        <v/>
      </c>
      <c r="AC541" t="str">
        <f>IF(Y541="","",IF(Y541="[FÓRMULA MANUAL]","",IFERROR(SUMPRODUCT((DATOS!$A$2:$A$20000=Y541)*(DATOS!$G$2:$G$20000=CONFIG_METADATA!$B$4)*(COUNTIF(CONFIG_ASIGNATURAS!$B$7:$B$27,DATOS!$I$2:$I$20000)&gt;0)*(DATOS!$K$2:$K$20000))/SUMPRODUCT((DATOS!$A$2:$A$20000=Y541)*(DATOS!$G$2:$G$20000=CONFIG_METADATA!$B$4)*(COUNTIF(CONFIG_ASIGNATURAS!$B$7:$B$27,DATOS!$I$2:$I$20000)&gt;0)*1),"")))</f>
        <v/>
      </c>
      <c r="AF541" t="str">
        <f>IF(AE541="","",IF(AE541="[FÓRMULA MANUAL]","",IFERROR(AVERAGEIFS(DATOS!$K$2:$K$20000,DATOS!$A$2:$A$20000,AE541,DATOS!$G$2:$G$20000,CONFIG_METADATA!$B$4,DATOS!$I$2:$I$20000,"Análisis"),"")))</f>
        <v/>
      </c>
      <c r="AG541" t="str">
        <f>IF(AE541="","",IF(AE541="[FÓRMULA MANUAL]","",IFERROR(AVERAGEIFS(DATOS!$K$2:$K$20000,DATOS!$A$2:$A$20000,AE541,DATOS!$G$2:$G$20000,CONFIG_METADATA!$B$4,DATOS!$I$2:$I$20000,"Orquesta/Banda/Conjunto"),"")))</f>
        <v/>
      </c>
      <c r="AH541" t="str">
        <f>IF(AE541="","",IF(AE541="[FÓRMULA MANUAL]","",IFERROR(AVERAGEIFS(DATOS!$K$2:$K$20000,DATOS!$A$2:$A$20000,AE541,DATOS!$G$2:$G$20000,CONFIG_METADATA!$B$4,DATOS!$I$2:$I$20000,"Música de Cámara"),"")))</f>
        <v/>
      </c>
      <c r="AI541" t="str">
        <f>IF(AE541="","",IF(AE541="[FÓRMULA MANUAL]","",IFERROR(SUMPRODUCT((DATOS!$A$2:$A$20000=AE541)*(DATOS!$G$2:$G$20000=CONFIG_METADATA!$B$4)*(COUNTIF(CONFIG_ASIGNATURAS!$B$7:$B$27,DATOS!$I$2:$I$20000)&gt;0)*(DATOS!$K$2:$K$20000))/SUMPRODUCT((DATOS!$A$2:$A$20000=AE541)*(DATOS!$G$2:$G$20000=CONFIG_METADATA!$B$4)*(COUNTIF(CONFIG_ASIGNATURAS!$B$7:$B$27,DATOS!$I$2:$I$20000)&gt;0)*1),"")))</f>
        <v/>
      </c>
    </row>
    <row r="542" spans="2:35" x14ac:dyDescent="0.2">
      <c r="B542" t="str">
        <f>IF(A542="","",IF(A542="[FÓRMULA MANUAL]","",IFERROR(AVERAGEIFS(DATOS!$K$2:$K$20000,DATOS!$A$2:$A$20000,A542,DATOS!$G$2:$G$20000,CONFIG_METADATA!$B$4,DATOS!$I$2:$I$20000,"Lenguaje Musical"),"")))</f>
        <v/>
      </c>
      <c r="C542" t="str">
        <f>IF(A542="","",IF(A542="[FÓRMULA MANUAL]","",IFERROR(AVERAGEIFS(DATOS!$K$2:$K$20000,DATOS!$A$2:$A$20000,A542,DATOS!$G$2:$G$20000,CONFIG_METADATA!$B$4,DATOS!$I$2:$I$20000,"Orquesta/Banda/Conjunto"),"")))</f>
        <v/>
      </c>
      <c r="D542" t="str">
        <f>IF(A542="","",IF(A542="[FÓRMULA MANUAL]","",IFERROR(AVERAGEIFS(DATOS!$K$2:$K$20000,DATOS!$A$2:$A$20000,A542,DATOS!$G$2:$G$20000,CONFIG_METADATA!$B$4,DATOS!$I$2:$I$20000,"Conjunto"),"")))</f>
        <v/>
      </c>
      <c r="E542" t="str">
        <f>IF(A542="","",IF(A542="[FÓRMULA MANUAL]","",IFERROR(SUMPRODUCT((DATOS!$A$2:$A$20000=A542)*(DATOS!$G$2:$G$20000=CONFIG_METADATA!$B$4)*(COUNTIF(CONFIG_ASIGNATURAS!$B$7:$B$27,DATOS!$I$2:$I$20000)&gt;0)*(DATOS!$K$2:$K$20000))/SUMPRODUCT((DATOS!$A$2:$A$20000=A542)*(DATOS!$G$2:$G$20000=CONFIG_METADATA!$B$4)*(COUNTIF(CONFIG_ASIGNATURAS!$B$7:$B$27,DATOS!$I$2:$I$20000)&gt;0)*1),"")))</f>
        <v/>
      </c>
      <c r="H542" t="str">
        <f>IF(G542="","",IF(G542="[FÓRMULA MANUAL]","",IFERROR(AVERAGEIFS(DATOS!$K$2:$K$20000,DATOS!$A$2:$A$20000,G542,DATOS!$G$2:$G$20000,CONFIG_METADATA!$B$4,DATOS!$I$2:$I$20000,"Lenguaje Musical"),"")))</f>
        <v/>
      </c>
      <c r="I542" t="str">
        <f>IF(G542="","",IF(G542="[FÓRMULA MANUAL]","",IFERROR(AVERAGEIFS(DATOS!$K$2:$K$20000,DATOS!$A$2:$A$20000,G542,DATOS!$G$2:$G$20000,CONFIG_METADATA!$B$4,DATOS!$I$2:$I$20000,"Orquesta/Banda/Conjunto"),"")))</f>
        <v/>
      </c>
      <c r="J542" t="str">
        <f>IF(G542="","",IF(G542="[FÓRMULA MANUAL]","",IFERROR(AVERAGEIFS(DATOS!$K$2:$K$20000,DATOS!$A$2:$A$20000,G542,DATOS!$G$2:$G$20000,CONFIG_METADATA!$B$4,DATOS!$I$2:$I$20000,"Conjunto"),"")))</f>
        <v/>
      </c>
      <c r="K542" t="str">
        <f>IF(G542="","",IF(G542="[FÓRMULA MANUAL]","",IFERROR(SUMPRODUCT((DATOS!$A$2:$A$20000=G542)*(DATOS!$G$2:$G$20000=CONFIG_METADATA!$B$4)*(COUNTIF(CONFIG_ASIGNATURAS!$B$7:$B$27,DATOS!$I$2:$I$20000)&gt;0)*(DATOS!$K$2:$K$20000))/SUMPRODUCT((DATOS!$A$2:$A$20000=G542)*(DATOS!$G$2:$G$20000=CONFIG_METADATA!$B$4)*(COUNTIF(CONFIG_ASIGNATURAS!$B$7:$B$27,DATOS!$I$2:$I$20000)&gt;0)*1),"")))</f>
        <v/>
      </c>
      <c r="N542" t="str">
        <f>IF(M542="","",IF(M542="[FÓRMULA MANUAL]","",IFERROR(AVERAGEIFS(DATOS!$K$2:$K$20000,DATOS!$A$2:$A$20000,M542,DATOS!$G$2:$G$20000,CONFIG_METADATA!$B$4,DATOS!$I$2:$I$20000,"Armonía"),"")))</f>
        <v/>
      </c>
      <c r="O542" t="str">
        <f>IF(M542="","",IF(M542="[FÓRMULA MANUAL]","",IFERROR(AVERAGEIFS(DATOS!$K$2:$K$20000,DATOS!$A$2:$A$20000,M542,DATOS!$G$2:$G$20000,CONFIG_METADATA!$B$4,DATOS!$I$2:$I$20000,"Orquesta/Banda/Conjunto"),"")))</f>
        <v/>
      </c>
      <c r="P542" t="str">
        <f>IF(M542="","",IF(M542="[FÓRMULA MANUAL]","",IFERROR(AVERAGEIFS(DATOS!$K$2:$K$20000,DATOS!$A$2:$A$20000,M542,DATOS!$G$2:$G$20000,CONFIG_METADATA!$B$4,DATOS!$I$2:$I$20000,"Música de Cámara"),"")))</f>
        <v/>
      </c>
      <c r="Q542" t="str">
        <f>IF(M542="","",IF(M542="[FÓRMULA MANUAL]","",IFERROR(SUMPRODUCT((DATOS!$A$2:$A$20000=M542)*(DATOS!$G$2:$G$20000=CONFIG_METADATA!$B$4)*(COUNTIF(CONFIG_ASIGNATURAS!$B$7:$B$27,DATOS!$I$2:$I$20000)&gt;0)*(DATOS!$K$2:$K$20000))/SUMPRODUCT((DATOS!$A$2:$A$20000=M542)*(DATOS!$G$2:$G$20000=CONFIG_METADATA!$B$4)*(COUNTIF(CONFIG_ASIGNATURAS!$B$7:$B$27,DATOS!$I$2:$I$20000)&gt;0)*1),"")))</f>
        <v/>
      </c>
      <c r="T542" t="str">
        <f>IF(S542="","",IF(S542="[FÓRMULA MANUAL]","",IFERROR(AVERAGEIFS(DATOS!$K$2:$K$20000,DATOS!$A$2:$A$20000,S542,DATOS!$G$2:$G$20000,CONFIG_METADATA!$B$4,DATOS!$I$2:$I$20000,"Armonía"),"")))</f>
        <v/>
      </c>
      <c r="U542" t="str">
        <f>IF(S542="","",IF(S542="[FÓRMULA MANUAL]","",IFERROR(AVERAGEIFS(DATOS!$K$2:$K$20000,DATOS!$A$2:$A$20000,S542,DATOS!$G$2:$G$20000,CONFIG_METADATA!$B$4,DATOS!$I$2:$I$20000,"Orquesta/Banda/Conjunto"),"")))</f>
        <v/>
      </c>
      <c r="V542" t="str">
        <f>IF(S542="","",IF(S542="[FÓRMULA MANUAL]","",IFERROR(AVERAGEIFS(DATOS!$K$2:$K$20000,DATOS!$A$2:$A$20000,S542,DATOS!$G$2:$G$20000,CONFIG_METADATA!$B$4,DATOS!$I$2:$I$20000,"Música de Cámara"),"")))</f>
        <v/>
      </c>
      <c r="W542" t="str">
        <f>IF(S542="","",IF(S542="[FÓRMULA MANUAL]","",IFERROR(SUMPRODUCT((DATOS!$A$2:$A$20000=S542)*(DATOS!$G$2:$G$20000=CONFIG_METADATA!$B$4)*(COUNTIF(CONFIG_ASIGNATURAS!$B$7:$B$27,DATOS!$I$2:$I$20000)&gt;0)*(DATOS!$K$2:$K$20000))/SUMPRODUCT((DATOS!$A$2:$A$20000=S542)*(DATOS!$G$2:$G$20000=CONFIG_METADATA!$B$4)*(COUNTIF(CONFIG_ASIGNATURAS!$B$7:$B$27,DATOS!$I$2:$I$20000)&gt;0)*1),"")))</f>
        <v/>
      </c>
      <c r="Z542" t="str">
        <f>IF(Y542="","",IF(Y542="[FÓRMULA MANUAL]","",IFERROR(AVERAGEIFS(DATOS!$K$2:$K$20000,DATOS!$A$2:$A$20000,Y542,DATOS!$G$2:$G$20000,CONFIG_METADATA!$B$4,DATOS!$I$2:$I$20000,"Análisis"),"")))</f>
        <v/>
      </c>
      <c r="AA542" t="str">
        <f>IF(Y542="","",IF(Y542="[FÓRMULA MANUAL]","",IFERROR(AVERAGEIFS(DATOS!$K$2:$K$20000,DATOS!$A$2:$A$20000,Y542,DATOS!$G$2:$G$20000,CONFIG_METADATA!$B$4,DATOS!$I$2:$I$20000,"Orquesta/Banda/Conjunto"),"")))</f>
        <v/>
      </c>
      <c r="AB542" t="str">
        <f>IF(Y542="","",IF(Y542="[FÓRMULA MANUAL]","",IFERROR(AVERAGEIFS(DATOS!$K$2:$K$20000,DATOS!$A$2:$A$20000,Y542,DATOS!$G$2:$G$20000,CONFIG_METADATA!$B$4,DATOS!$I$2:$I$20000,"Música de Cámara"),"")))</f>
        <v/>
      </c>
      <c r="AC542" t="str">
        <f>IF(Y542="","",IF(Y542="[FÓRMULA MANUAL]","",IFERROR(SUMPRODUCT((DATOS!$A$2:$A$20000=Y542)*(DATOS!$G$2:$G$20000=CONFIG_METADATA!$B$4)*(COUNTIF(CONFIG_ASIGNATURAS!$B$7:$B$27,DATOS!$I$2:$I$20000)&gt;0)*(DATOS!$K$2:$K$20000))/SUMPRODUCT((DATOS!$A$2:$A$20000=Y542)*(DATOS!$G$2:$G$20000=CONFIG_METADATA!$B$4)*(COUNTIF(CONFIG_ASIGNATURAS!$B$7:$B$27,DATOS!$I$2:$I$20000)&gt;0)*1),"")))</f>
        <v/>
      </c>
      <c r="AF542" t="str">
        <f>IF(AE542="","",IF(AE542="[FÓRMULA MANUAL]","",IFERROR(AVERAGEIFS(DATOS!$K$2:$K$20000,DATOS!$A$2:$A$20000,AE542,DATOS!$G$2:$G$20000,CONFIG_METADATA!$B$4,DATOS!$I$2:$I$20000,"Análisis"),"")))</f>
        <v/>
      </c>
      <c r="AG542" t="str">
        <f>IF(AE542="","",IF(AE542="[FÓRMULA MANUAL]","",IFERROR(AVERAGEIFS(DATOS!$K$2:$K$20000,DATOS!$A$2:$A$20000,AE542,DATOS!$G$2:$G$20000,CONFIG_METADATA!$B$4,DATOS!$I$2:$I$20000,"Orquesta/Banda/Conjunto"),"")))</f>
        <v/>
      </c>
      <c r="AH542" t="str">
        <f>IF(AE542="","",IF(AE542="[FÓRMULA MANUAL]","",IFERROR(AVERAGEIFS(DATOS!$K$2:$K$20000,DATOS!$A$2:$A$20000,AE542,DATOS!$G$2:$G$20000,CONFIG_METADATA!$B$4,DATOS!$I$2:$I$20000,"Música de Cámara"),"")))</f>
        <v/>
      </c>
      <c r="AI542" t="str">
        <f>IF(AE542="","",IF(AE542="[FÓRMULA MANUAL]","",IFERROR(SUMPRODUCT((DATOS!$A$2:$A$20000=AE542)*(DATOS!$G$2:$G$20000=CONFIG_METADATA!$B$4)*(COUNTIF(CONFIG_ASIGNATURAS!$B$7:$B$27,DATOS!$I$2:$I$20000)&gt;0)*(DATOS!$K$2:$K$20000))/SUMPRODUCT((DATOS!$A$2:$A$20000=AE542)*(DATOS!$G$2:$G$20000=CONFIG_METADATA!$B$4)*(COUNTIF(CONFIG_ASIGNATURAS!$B$7:$B$27,DATOS!$I$2:$I$20000)&gt;0)*1),"")))</f>
        <v/>
      </c>
    </row>
    <row r="543" spans="2:35" x14ac:dyDescent="0.2">
      <c r="B543" t="str">
        <f>IF(A543="","",IF(A543="[FÓRMULA MANUAL]","",IFERROR(AVERAGEIFS(DATOS!$K$2:$K$20000,DATOS!$A$2:$A$20000,A543,DATOS!$G$2:$G$20000,CONFIG_METADATA!$B$4,DATOS!$I$2:$I$20000,"Lenguaje Musical"),"")))</f>
        <v/>
      </c>
      <c r="C543" t="str">
        <f>IF(A543="","",IF(A543="[FÓRMULA MANUAL]","",IFERROR(AVERAGEIFS(DATOS!$K$2:$K$20000,DATOS!$A$2:$A$20000,A543,DATOS!$G$2:$G$20000,CONFIG_METADATA!$B$4,DATOS!$I$2:$I$20000,"Orquesta/Banda/Conjunto"),"")))</f>
        <v/>
      </c>
      <c r="D543" t="str">
        <f>IF(A543="","",IF(A543="[FÓRMULA MANUAL]","",IFERROR(AVERAGEIFS(DATOS!$K$2:$K$20000,DATOS!$A$2:$A$20000,A543,DATOS!$G$2:$G$20000,CONFIG_METADATA!$B$4,DATOS!$I$2:$I$20000,"Conjunto"),"")))</f>
        <v/>
      </c>
      <c r="E543" t="str">
        <f>IF(A543="","",IF(A543="[FÓRMULA MANUAL]","",IFERROR(SUMPRODUCT((DATOS!$A$2:$A$20000=A543)*(DATOS!$G$2:$G$20000=CONFIG_METADATA!$B$4)*(COUNTIF(CONFIG_ASIGNATURAS!$B$7:$B$27,DATOS!$I$2:$I$20000)&gt;0)*(DATOS!$K$2:$K$20000))/SUMPRODUCT((DATOS!$A$2:$A$20000=A543)*(DATOS!$G$2:$G$20000=CONFIG_METADATA!$B$4)*(COUNTIF(CONFIG_ASIGNATURAS!$B$7:$B$27,DATOS!$I$2:$I$20000)&gt;0)*1),"")))</f>
        <v/>
      </c>
      <c r="H543" t="str">
        <f>IF(G543="","",IF(G543="[FÓRMULA MANUAL]","",IFERROR(AVERAGEIFS(DATOS!$K$2:$K$20000,DATOS!$A$2:$A$20000,G543,DATOS!$G$2:$G$20000,CONFIG_METADATA!$B$4,DATOS!$I$2:$I$20000,"Lenguaje Musical"),"")))</f>
        <v/>
      </c>
      <c r="I543" t="str">
        <f>IF(G543="","",IF(G543="[FÓRMULA MANUAL]","",IFERROR(AVERAGEIFS(DATOS!$K$2:$K$20000,DATOS!$A$2:$A$20000,G543,DATOS!$G$2:$G$20000,CONFIG_METADATA!$B$4,DATOS!$I$2:$I$20000,"Orquesta/Banda/Conjunto"),"")))</f>
        <v/>
      </c>
      <c r="J543" t="str">
        <f>IF(G543="","",IF(G543="[FÓRMULA MANUAL]","",IFERROR(AVERAGEIFS(DATOS!$K$2:$K$20000,DATOS!$A$2:$A$20000,G543,DATOS!$G$2:$G$20000,CONFIG_METADATA!$B$4,DATOS!$I$2:$I$20000,"Conjunto"),"")))</f>
        <v/>
      </c>
      <c r="K543" t="str">
        <f>IF(G543="","",IF(G543="[FÓRMULA MANUAL]","",IFERROR(SUMPRODUCT((DATOS!$A$2:$A$20000=G543)*(DATOS!$G$2:$G$20000=CONFIG_METADATA!$B$4)*(COUNTIF(CONFIG_ASIGNATURAS!$B$7:$B$27,DATOS!$I$2:$I$20000)&gt;0)*(DATOS!$K$2:$K$20000))/SUMPRODUCT((DATOS!$A$2:$A$20000=G543)*(DATOS!$G$2:$G$20000=CONFIG_METADATA!$B$4)*(COUNTIF(CONFIG_ASIGNATURAS!$B$7:$B$27,DATOS!$I$2:$I$20000)&gt;0)*1),"")))</f>
        <v/>
      </c>
      <c r="N543" t="str">
        <f>IF(M543="","",IF(M543="[FÓRMULA MANUAL]","",IFERROR(AVERAGEIFS(DATOS!$K$2:$K$20000,DATOS!$A$2:$A$20000,M543,DATOS!$G$2:$G$20000,CONFIG_METADATA!$B$4,DATOS!$I$2:$I$20000,"Armonía"),"")))</f>
        <v/>
      </c>
      <c r="O543" t="str">
        <f>IF(M543="","",IF(M543="[FÓRMULA MANUAL]","",IFERROR(AVERAGEIFS(DATOS!$K$2:$K$20000,DATOS!$A$2:$A$20000,M543,DATOS!$G$2:$G$20000,CONFIG_METADATA!$B$4,DATOS!$I$2:$I$20000,"Orquesta/Banda/Conjunto"),"")))</f>
        <v/>
      </c>
      <c r="P543" t="str">
        <f>IF(M543="","",IF(M543="[FÓRMULA MANUAL]","",IFERROR(AVERAGEIFS(DATOS!$K$2:$K$20000,DATOS!$A$2:$A$20000,M543,DATOS!$G$2:$G$20000,CONFIG_METADATA!$B$4,DATOS!$I$2:$I$20000,"Música de Cámara"),"")))</f>
        <v/>
      </c>
      <c r="Q543" t="str">
        <f>IF(M543="","",IF(M543="[FÓRMULA MANUAL]","",IFERROR(SUMPRODUCT((DATOS!$A$2:$A$20000=M543)*(DATOS!$G$2:$G$20000=CONFIG_METADATA!$B$4)*(COUNTIF(CONFIG_ASIGNATURAS!$B$7:$B$27,DATOS!$I$2:$I$20000)&gt;0)*(DATOS!$K$2:$K$20000))/SUMPRODUCT((DATOS!$A$2:$A$20000=M543)*(DATOS!$G$2:$G$20000=CONFIG_METADATA!$B$4)*(COUNTIF(CONFIG_ASIGNATURAS!$B$7:$B$27,DATOS!$I$2:$I$20000)&gt;0)*1),"")))</f>
        <v/>
      </c>
      <c r="T543" t="str">
        <f>IF(S543="","",IF(S543="[FÓRMULA MANUAL]","",IFERROR(AVERAGEIFS(DATOS!$K$2:$K$20000,DATOS!$A$2:$A$20000,S543,DATOS!$G$2:$G$20000,CONFIG_METADATA!$B$4,DATOS!$I$2:$I$20000,"Armonía"),"")))</f>
        <v/>
      </c>
      <c r="U543" t="str">
        <f>IF(S543="","",IF(S543="[FÓRMULA MANUAL]","",IFERROR(AVERAGEIFS(DATOS!$K$2:$K$20000,DATOS!$A$2:$A$20000,S543,DATOS!$G$2:$G$20000,CONFIG_METADATA!$B$4,DATOS!$I$2:$I$20000,"Orquesta/Banda/Conjunto"),"")))</f>
        <v/>
      </c>
      <c r="V543" t="str">
        <f>IF(S543="","",IF(S543="[FÓRMULA MANUAL]","",IFERROR(AVERAGEIFS(DATOS!$K$2:$K$20000,DATOS!$A$2:$A$20000,S543,DATOS!$G$2:$G$20000,CONFIG_METADATA!$B$4,DATOS!$I$2:$I$20000,"Música de Cámara"),"")))</f>
        <v/>
      </c>
      <c r="W543" t="str">
        <f>IF(S543="","",IF(S543="[FÓRMULA MANUAL]","",IFERROR(SUMPRODUCT((DATOS!$A$2:$A$20000=S543)*(DATOS!$G$2:$G$20000=CONFIG_METADATA!$B$4)*(COUNTIF(CONFIG_ASIGNATURAS!$B$7:$B$27,DATOS!$I$2:$I$20000)&gt;0)*(DATOS!$K$2:$K$20000))/SUMPRODUCT((DATOS!$A$2:$A$20000=S543)*(DATOS!$G$2:$G$20000=CONFIG_METADATA!$B$4)*(COUNTIF(CONFIG_ASIGNATURAS!$B$7:$B$27,DATOS!$I$2:$I$20000)&gt;0)*1),"")))</f>
        <v/>
      </c>
      <c r="Z543" t="str">
        <f>IF(Y543="","",IF(Y543="[FÓRMULA MANUAL]","",IFERROR(AVERAGEIFS(DATOS!$K$2:$K$20000,DATOS!$A$2:$A$20000,Y543,DATOS!$G$2:$G$20000,CONFIG_METADATA!$B$4,DATOS!$I$2:$I$20000,"Análisis"),"")))</f>
        <v/>
      </c>
      <c r="AA543" t="str">
        <f>IF(Y543="","",IF(Y543="[FÓRMULA MANUAL]","",IFERROR(AVERAGEIFS(DATOS!$K$2:$K$20000,DATOS!$A$2:$A$20000,Y543,DATOS!$G$2:$G$20000,CONFIG_METADATA!$B$4,DATOS!$I$2:$I$20000,"Orquesta/Banda/Conjunto"),"")))</f>
        <v/>
      </c>
      <c r="AB543" t="str">
        <f>IF(Y543="","",IF(Y543="[FÓRMULA MANUAL]","",IFERROR(AVERAGEIFS(DATOS!$K$2:$K$20000,DATOS!$A$2:$A$20000,Y543,DATOS!$G$2:$G$20000,CONFIG_METADATA!$B$4,DATOS!$I$2:$I$20000,"Música de Cámara"),"")))</f>
        <v/>
      </c>
      <c r="AC543" t="str">
        <f>IF(Y543="","",IF(Y543="[FÓRMULA MANUAL]","",IFERROR(SUMPRODUCT((DATOS!$A$2:$A$20000=Y543)*(DATOS!$G$2:$G$20000=CONFIG_METADATA!$B$4)*(COUNTIF(CONFIG_ASIGNATURAS!$B$7:$B$27,DATOS!$I$2:$I$20000)&gt;0)*(DATOS!$K$2:$K$20000))/SUMPRODUCT((DATOS!$A$2:$A$20000=Y543)*(DATOS!$G$2:$G$20000=CONFIG_METADATA!$B$4)*(COUNTIF(CONFIG_ASIGNATURAS!$B$7:$B$27,DATOS!$I$2:$I$20000)&gt;0)*1),"")))</f>
        <v/>
      </c>
      <c r="AF543" t="str">
        <f>IF(AE543="","",IF(AE543="[FÓRMULA MANUAL]","",IFERROR(AVERAGEIFS(DATOS!$K$2:$K$20000,DATOS!$A$2:$A$20000,AE543,DATOS!$G$2:$G$20000,CONFIG_METADATA!$B$4,DATOS!$I$2:$I$20000,"Análisis"),"")))</f>
        <v/>
      </c>
      <c r="AG543" t="str">
        <f>IF(AE543="","",IF(AE543="[FÓRMULA MANUAL]","",IFERROR(AVERAGEIFS(DATOS!$K$2:$K$20000,DATOS!$A$2:$A$20000,AE543,DATOS!$G$2:$G$20000,CONFIG_METADATA!$B$4,DATOS!$I$2:$I$20000,"Orquesta/Banda/Conjunto"),"")))</f>
        <v/>
      </c>
      <c r="AH543" t="str">
        <f>IF(AE543="","",IF(AE543="[FÓRMULA MANUAL]","",IFERROR(AVERAGEIFS(DATOS!$K$2:$K$20000,DATOS!$A$2:$A$20000,AE543,DATOS!$G$2:$G$20000,CONFIG_METADATA!$B$4,DATOS!$I$2:$I$20000,"Música de Cámara"),"")))</f>
        <v/>
      </c>
      <c r="AI543" t="str">
        <f>IF(AE543="","",IF(AE543="[FÓRMULA MANUAL]","",IFERROR(SUMPRODUCT((DATOS!$A$2:$A$20000=AE543)*(DATOS!$G$2:$G$20000=CONFIG_METADATA!$B$4)*(COUNTIF(CONFIG_ASIGNATURAS!$B$7:$B$27,DATOS!$I$2:$I$20000)&gt;0)*(DATOS!$K$2:$K$20000))/SUMPRODUCT((DATOS!$A$2:$A$20000=AE543)*(DATOS!$G$2:$G$20000=CONFIG_METADATA!$B$4)*(COUNTIF(CONFIG_ASIGNATURAS!$B$7:$B$27,DATOS!$I$2:$I$20000)&gt;0)*1),"")))</f>
        <v/>
      </c>
    </row>
    <row r="544" spans="2:35" x14ac:dyDescent="0.2">
      <c r="B544" t="str">
        <f>IF(A544="","",IF(A544="[FÓRMULA MANUAL]","",IFERROR(AVERAGEIFS(DATOS!$K$2:$K$20000,DATOS!$A$2:$A$20000,A544,DATOS!$G$2:$G$20000,CONFIG_METADATA!$B$4,DATOS!$I$2:$I$20000,"Lenguaje Musical"),"")))</f>
        <v/>
      </c>
      <c r="C544" t="str">
        <f>IF(A544="","",IF(A544="[FÓRMULA MANUAL]","",IFERROR(AVERAGEIFS(DATOS!$K$2:$K$20000,DATOS!$A$2:$A$20000,A544,DATOS!$G$2:$G$20000,CONFIG_METADATA!$B$4,DATOS!$I$2:$I$20000,"Orquesta/Banda/Conjunto"),"")))</f>
        <v/>
      </c>
      <c r="D544" t="str">
        <f>IF(A544="","",IF(A544="[FÓRMULA MANUAL]","",IFERROR(AVERAGEIFS(DATOS!$K$2:$K$20000,DATOS!$A$2:$A$20000,A544,DATOS!$G$2:$G$20000,CONFIG_METADATA!$B$4,DATOS!$I$2:$I$20000,"Conjunto"),"")))</f>
        <v/>
      </c>
      <c r="E544" t="str">
        <f>IF(A544="","",IF(A544="[FÓRMULA MANUAL]","",IFERROR(SUMPRODUCT((DATOS!$A$2:$A$20000=A544)*(DATOS!$G$2:$G$20000=CONFIG_METADATA!$B$4)*(COUNTIF(CONFIG_ASIGNATURAS!$B$7:$B$27,DATOS!$I$2:$I$20000)&gt;0)*(DATOS!$K$2:$K$20000))/SUMPRODUCT((DATOS!$A$2:$A$20000=A544)*(DATOS!$G$2:$G$20000=CONFIG_METADATA!$B$4)*(COUNTIF(CONFIG_ASIGNATURAS!$B$7:$B$27,DATOS!$I$2:$I$20000)&gt;0)*1),"")))</f>
        <v/>
      </c>
      <c r="H544" t="str">
        <f>IF(G544="","",IF(G544="[FÓRMULA MANUAL]","",IFERROR(AVERAGEIFS(DATOS!$K$2:$K$20000,DATOS!$A$2:$A$20000,G544,DATOS!$G$2:$G$20000,CONFIG_METADATA!$B$4,DATOS!$I$2:$I$20000,"Lenguaje Musical"),"")))</f>
        <v/>
      </c>
      <c r="I544" t="str">
        <f>IF(G544="","",IF(G544="[FÓRMULA MANUAL]","",IFERROR(AVERAGEIFS(DATOS!$K$2:$K$20000,DATOS!$A$2:$A$20000,G544,DATOS!$G$2:$G$20000,CONFIG_METADATA!$B$4,DATOS!$I$2:$I$20000,"Orquesta/Banda/Conjunto"),"")))</f>
        <v/>
      </c>
      <c r="J544" t="str">
        <f>IF(G544="","",IF(G544="[FÓRMULA MANUAL]","",IFERROR(AVERAGEIFS(DATOS!$K$2:$K$20000,DATOS!$A$2:$A$20000,G544,DATOS!$G$2:$G$20000,CONFIG_METADATA!$B$4,DATOS!$I$2:$I$20000,"Conjunto"),"")))</f>
        <v/>
      </c>
      <c r="K544" t="str">
        <f>IF(G544="","",IF(G544="[FÓRMULA MANUAL]","",IFERROR(SUMPRODUCT((DATOS!$A$2:$A$20000=G544)*(DATOS!$G$2:$G$20000=CONFIG_METADATA!$B$4)*(COUNTIF(CONFIG_ASIGNATURAS!$B$7:$B$27,DATOS!$I$2:$I$20000)&gt;0)*(DATOS!$K$2:$K$20000))/SUMPRODUCT((DATOS!$A$2:$A$20000=G544)*(DATOS!$G$2:$G$20000=CONFIG_METADATA!$B$4)*(COUNTIF(CONFIG_ASIGNATURAS!$B$7:$B$27,DATOS!$I$2:$I$20000)&gt;0)*1),"")))</f>
        <v/>
      </c>
      <c r="N544" t="str">
        <f>IF(M544="","",IF(M544="[FÓRMULA MANUAL]","",IFERROR(AVERAGEIFS(DATOS!$K$2:$K$20000,DATOS!$A$2:$A$20000,M544,DATOS!$G$2:$G$20000,CONFIG_METADATA!$B$4,DATOS!$I$2:$I$20000,"Armonía"),"")))</f>
        <v/>
      </c>
      <c r="O544" t="str">
        <f>IF(M544="","",IF(M544="[FÓRMULA MANUAL]","",IFERROR(AVERAGEIFS(DATOS!$K$2:$K$20000,DATOS!$A$2:$A$20000,M544,DATOS!$G$2:$G$20000,CONFIG_METADATA!$B$4,DATOS!$I$2:$I$20000,"Orquesta/Banda/Conjunto"),"")))</f>
        <v/>
      </c>
      <c r="P544" t="str">
        <f>IF(M544="","",IF(M544="[FÓRMULA MANUAL]","",IFERROR(AVERAGEIFS(DATOS!$K$2:$K$20000,DATOS!$A$2:$A$20000,M544,DATOS!$G$2:$G$20000,CONFIG_METADATA!$B$4,DATOS!$I$2:$I$20000,"Música de Cámara"),"")))</f>
        <v/>
      </c>
      <c r="Q544" t="str">
        <f>IF(M544="","",IF(M544="[FÓRMULA MANUAL]","",IFERROR(SUMPRODUCT((DATOS!$A$2:$A$20000=M544)*(DATOS!$G$2:$G$20000=CONFIG_METADATA!$B$4)*(COUNTIF(CONFIG_ASIGNATURAS!$B$7:$B$27,DATOS!$I$2:$I$20000)&gt;0)*(DATOS!$K$2:$K$20000))/SUMPRODUCT((DATOS!$A$2:$A$20000=M544)*(DATOS!$G$2:$G$20000=CONFIG_METADATA!$B$4)*(COUNTIF(CONFIG_ASIGNATURAS!$B$7:$B$27,DATOS!$I$2:$I$20000)&gt;0)*1),"")))</f>
        <v/>
      </c>
      <c r="T544" t="str">
        <f>IF(S544="","",IF(S544="[FÓRMULA MANUAL]","",IFERROR(AVERAGEIFS(DATOS!$K$2:$K$20000,DATOS!$A$2:$A$20000,S544,DATOS!$G$2:$G$20000,CONFIG_METADATA!$B$4,DATOS!$I$2:$I$20000,"Armonía"),"")))</f>
        <v/>
      </c>
      <c r="U544" t="str">
        <f>IF(S544="","",IF(S544="[FÓRMULA MANUAL]","",IFERROR(AVERAGEIFS(DATOS!$K$2:$K$20000,DATOS!$A$2:$A$20000,S544,DATOS!$G$2:$G$20000,CONFIG_METADATA!$B$4,DATOS!$I$2:$I$20000,"Orquesta/Banda/Conjunto"),"")))</f>
        <v/>
      </c>
      <c r="V544" t="str">
        <f>IF(S544="","",IF(S544="[FÓRMULA MANUAL]","",IFERROR(AVERAGEIFS(DATOS!$K$2:$K$20000,DATOS!$A$2:$A$20000,S544,DATOS!$G$2:$G$20000,CONFIG_METADATA!$B$4,DATOS!$I$2:$I$20000,"Música de Cámara"),"")))</f>
        <v/>
      </c>
      <c r="W544" t="str">
        <f>IF(S544="","",IF(S544="[FÓRMULA MANUAL]","",IFERROR(SUMPRODUCT((DATOS!$A$2:$A$20000=S544)*(DATOS!$G$2:$G$20000=CONFIG_METADATA!$B$4)*(COUNTIF(CONFIG_ASIGNATURAS!$B$7:$B$27,DATOS!$I$2:$I$20000)&gt;0)*(DATOS!$K$2:$K$20000))/SUMPRODUCT((DATOS!$A$2:$A$20000=S544)*(DATOS!$G$2:$G$20000=CONFIG_METADATA!$B$4)*(COUNTIF(CONFIG_ASIGNATURAS!$B$7:$B$27,DATOS!$I$2:$I$20000)&gt;0)*1),"")))</f>
        <v/>
      </c>
      <c r="Z544" t="str">
        <f>IF(Y544="","",IF(Y544="[FÓRMULA MANUAL]","",IFERROR(AVERAGEIFS(DATOS!$K$2:$K$20000,DATOS!$A$2:$A$20000,Y544,DATOS!$G$2:$G$20000,CONFIG_METADATA!$B$4,DATOS!$I$2:$I$20000,"Análisis"),"")))</f>
        <v/>
      </c>
      <c r="AA544" t="str">
        <f>IF(Y544="","",IF(Y544="[FÓRMULA MANUAL]","",IFERROR(AVERAGEIFS(DATOS!$K$2:$K$20000,DATOS!$A$2:$A$20000,Y544,DATOS!$G$2:$G$20000,CONFIG_METADATA!$B$4,DATOS!$I$2:$I$20000,"Orquesta/Banda/Conjunto"),"")))</f>
        <v/>
      </c>
      <c r="AB544" t="str">
        <f>IF(Y544="","",IF(Y544="[FÓRMULA MANUAL]","",IFERROR(AVERAGEIFS(DATOS!$K$2:$K$20000,DATOS!$A$2:$A$20000,Y544,DATOS!$G$2:$G$20000,CONFIG_METADATA!$B$4,DATOS!$I$2:$I$20000,"Música de Cámara"),"")))</f>
        <v/>
      </c>
      <c r="AC544" t="str">
        <f>IF(Y544="","",IF(Y544="[FÓRMULA MANUAL]","",IFERROR(SUMPRODUCT((DATOS!$A$2:$A$20000=Y544)*(DATOS!$G$2:$G$20000=CONFIG_METADATA!$B$4)*(COUNTIF(CONFIG_ASIGNATURAS!$B$7:$B$27,DATOS!$I$2:$I$20000)&gt;0)*(DATOS!$K$2:$K$20000))/SUMPRODUCT((DATOS!$A$2:$A$20000=Y544)*(DATOS!$G$2:$G$20000=CONFIG_METADATA!$B$4)*(COUNTIF(CONFIG_ASIGNATURAS!$B$7:$B$27,DATOS!$I$2:$I$20000)&gt;0)*1),"")))</f>
        <v/>
      </c>
      <c r="AF544" t="str">
        <f>IF(AE544="","",IF(AE544="[FÓRMULA MANUAL]","",IFERROR(AVERAGEIFS(DATOS!$K$2:$K$20000,DATOS!$A$2:$A$20000,AE544,DATOS!$G$2:$G$20000,CONFIG_METADATA!$B$4,DATOS!$I$2:$I$20000,"Análisis"),"")))</f>
        <v/>
      </c>
      <c r="AG544" t="str">
        <f>IF(AE544="","",IF(AE544="[FÓRMULA MANUAL]","",IFERROR(AVERAGEIFS(DATOS!$K$2:$K$20000,DATOS!$A$2:$A$20000,AE544,DATOS!$G$2:$G$20000,CONFIG_METADATA!$B$4,DATOS!$I$2:$I$20000,"Orquesta/Banda/Conjunto"),"")))</f>
        <v/>
      </c>
      <c r="AH544" t="str">
        <f>IF(AE544="","",IF(AE544="[FÓRMULA MANUAL]","",IFERROR(AVERAGEIFS(DATOS!$K$2:$K$20000,DATOS!$A$2:$A$20000,AE544,DATOS!$G$2:$G$20000,CONFIG_METADATA!$B$4,DATOS!$I$2:$I$20000,"Música de Cámara"),"")))</f>
        <v/>
      </c>
      <c r="AI544" t="str">
        <f>IF(AE544="","",IF(AE544="[FÓRMULA MANUAL]","",IFERROR(SUMPRODUCT((DATOS!$A$2:$A$20000=AE544)*(DATOS!$G$2:$G$20000=CONFIG_METADATA!$B$4)*(COUNTIF(CONFIG_ASIGNATURAS!$B$7:$B$27,DATOS!$I$2:$I$20000)&gt;0)*(DATOS!$K$2:$K$20000))/SUMPRODUCT((DATOS!$A$2:$A$20000=AE544)*(DATOS!$G$2:$G$20000=CONFIG_METADATA!$B$4)*(COUNTIF(CONFIG_ASIGNATURAS!$B$7:$B$27,DATOS!$I$2:$I$20000)&gt;0)*1),"")))</f>
        <v/>
      </c>
    </row>
    <row r="545" spans="2:35" x14ac:dyDescent="0.2">
      <c r="B545" t="str">
        <f>IF(A545="","",IF(A545="[FÓRMULA MANUAL]","",IFERROR(AVERAGEIFS(DATOS!$K$2:$K$20000,DATOS!$A$2:$A$20000,A545,DATOS!$G$2:$G$20000,CONFIG_METADATA!$B$4,DATOS!$I$2:$I$20000,"Lenguaje Musical"),"")))</f>
        <v/>
      </c>
      <c r="C545" t="str">
        <f>IF(A545="","",IF(A545="[FÓRMULA MANUAL]","",IFERROR(AVERAGEIFS(DATOS!$K$2:$K$20000,DATOS!$A$2:$A$20000,A545,DATOS!$G$2:$G$20000,CONFIG_METADATA!$B$4,DATOS!$I$2:$I$20000,"Orquesta/Banda/Conjunto"),"")))</f>
        <v/>
      </c>
      <c r="D545" t="str">
        <f>IF(A545="","",IF(A545="[FÓRMULA MANUAL]","",IFERROR(AVERAGEIFS(DATOS!$K$2:$K$20000,DATOS!$A$2:$A$20000,A545,DATOS!$G$2:$G$20000,CONFIG_METADATA!$B$4,DATOS!$I$2:$I$20000,"Conjunto"),"")))</f>
        <v/>
      </c>
      <c r="E545" t="str">
        <f>IF(A545="","",IF(A545="[FÓRMULA MANUAL]","",IFERROR(SUMPRODUCT((DATOS!$A$2:$A$20000=A545)*(DATOS!$G$2:$G$20000=CONFIG_METADATA!$B$4)*(COUNTIF(CONFIG_ASIGNATURAS!$B$7:$B$27,DATOS!$I$2:$I$20000)&gt;0)*(DATOS!$K$2:$K$20000))/SUMPRODUCT((DATOS!$A$2:$A$20000=A545)*(DATOS!$G$2:$G$20000=CONFIG_METADATA!$B$4)*(COUNTIF(CONFIG_ASIGNATURAS!$B$7:$B$27,DATOS!$I$2:$I$20000)&gt;0)*1),"")))</f>
        <v/>
      </c>
      <c r="H545" t="str">
        <f>IF(G545="","",IF(G545="[FÓRMULA MANUAL]","",IFERROR(AVERAGEIFS(DATOS!$K$2:$K$20000,DATOS!$A$2:$A$20000,G545,DATOS!$G$2:$G$20000,CONFIG_METADATA!$B$4,DATOS!$I$2:$I$20000,"Lenguaje Musical"),"")))</f>
        <v/>
      </c>
      <c r="I545" t="str">
        <f>IF(G545="","",IF(G545="[FÓRMULA MANUAL]","",IFERROR(AVERAGEIFS(DATOS!$K$2:$K$20000,DATOS!$A$2:$A$20000,G545,DATOS!$G$2:$G$20000,CONFIG_METADATA!$B$4,DATOS!$I$2:$I$20000,"Orquesta/Banda/Conjunto"),"")))</f>
        <v/>
      </c>
      <c r="J545" t="str">
        <f>IF(G545="","",IF(G545="[FÓRMULA MANUAL]","",IFERROR(AVERAGEIFS(DATOS!$K$2:$K$20000,DATOS!$A$2:$A$20000,G545,DATOS!$G$2:$G$20000,CONFIG_METADATA!$B$4,DATOS!$I$2:$I$20000,"Conjunto"),"")))</f>
        <v/>
      </c>
      <c r="K545" t="str">
        <f>IF(G545="","",IF(G545="[FÓRMULA MANUAL]","",IFERROR(SUMPRODUCT((DATOS!$A$2:$A$20000=G545)*(DATOS!$G$2:$G$20000=CONFIG_METADATA!$B$4)*(COUNTIF(CONFIG_ASIGNATURAS!$B$7:$B$27,DATOS!$I$2:$I$20000)&gt;0)*(DATOS!$K$2:$K$20000))/SUMPRODUCT((DATOS!$A$2:$A$20000=G545)*(DATOS!$G$2:$G$20000=CONFIG_METADATA!$B$4)*(COUNTIF(CONFIG_ASIGNATURAS!$B$7:$B$27,DATOS!$I$2:$I$20000)&gt;0)*1),"")))</f>
        <v/>
      </c>
      <c r="N545" t="str">
        <f>IF(M545="","",IF(M545="[FÓRMULA MANUAL]","",IFERROR(AVERAGEIFS(DATOS!$K$2:$K$20000,DATOS!$A$2:$A$20000,M545,DATOS!$G$2:$G$20000,CONFIG_METADATA!$B$4,DATOS!$I$2:$I$20000,"Armonía"),"")))</f>
        <v/>
      </c>
      <c r="O545" t="str">
        <f>IF(M545="","",IF(M545="[FÓRMULA MANUAL]","",IFERROR(AVERAGEIFS(DATOS!$K$2:$K$20000,DATOS!$A$2:$A$20000,M545,DATOS!$G$2:$G$20000,CONFIG_METADATA!$B$4,DATOS!$I$2:$I$20000,"Orquesta/Banda/Conjunto"),"")))</f>
        <v/>
      </c>
      <c r="P545" t="str">
        <f>IF(M545="","",IF(M545="[FÓRMULA MANUAL]","",IFERROR(AVERAGEIFS(DATOS!$K$2:$K$20000,DATOS!$A$2:$A$20000,M545,DATOS!$G$2:$G$20000,CONFIG_METADATA!$B$4,DATOS!$I$2:$I$20000,"Música de Cámara"),"")))</f>
        <v/>
      </c>
      <c r="Q545" t="str">
        <f>IF(M545="","",IF(M545="[FÓRMULA MANUAL]","",IFERROR(SUMPRODUCT((DATOS!$A$2:$A$20000=M545)*(DATOS!$G$2:$G$20000=CONFIG_METADATA!$B$4)*(COUNTIF(CONFIG_ASIGNATURAS!$B$7:$B$27,DATOS!$I$2:$I$20000)&gt;0)*(DATOS!$K$2:$K$20000))/SUMPRODUCT((DATOS!$A$2:$A$20000=M545)*(DATOS!$G$2:$G$20000=CONFIG_METADATA!$B$4)*(COUNTIF(CONFIG_ASIGNATURAS!$B$7:$B$27,DATOS!$I$2:$I$20000)&gt;0)*1),"")))</f>
        <v/>
      </c>
      <c r="T545" t="str">
        <f>IF(S545="","",IF(S545="[FÓRMULA MANUAL]","",IFERROR(AVERAGEIFS(DATOS!$K$2:$K$20000,DATOS!$A$2:$A$20000,S545,DATOS!$G$2:$G$20000,CONFIG_METADATA!$B$4,DATOS!$I$2:$I$20000,"Armonía"),"")))</f>
        <v/>
      </c>
      <c r="U545" t="str">
        <f>IF(S545="","",IF(S545="[FÓRMULA MANUAL]","",IFERROR(AVERAGEIFS(DATOS!$K$2:$K$20000,DATOS!$A$2:$A$20000,S545,DATOS!$G$2:$G$20000,CONFIG_METADATA!$B$4,DATOS!$I$2:$I$20000,"Orquesta/Banda/Conjunto"),"")))</f>
        <v/>
      </c>
      <c r="V545" t="str">
        <f>IF(S545="","",IF(S545="[FÓRMULA MANUAL]","",IFERROR(AVERAGEIFS(DATOS!$K$2:$K$20000,DATOS!$A$2:$A$20000,S545,DATOS!$G$2:$G$20000,CONFIG_METADATA!$B$4,DATOS!$I$2:$I$20000,"Música de Cámara"),"")))</f>
        <v/>
      </c>
      <c r="W545" t="str">
        <f>IF(S545="","",IF(S545="[FÓRMULA MANUAL]","",IFERROR(SUMPRODUCT((DATOS!$A$2:$A$20000=S545)*(DATOS!$G$2:$G$20000=CONFIG_METADATA!$B$4)*(COUNTIF(CONFIG_ASIGNATURAS!$B$7:$B$27,DATOS!$I$2:$I$20000)&gt;0)*(DATOS!$K$2:$K$20000))/SUMPRODUCT((DATOS!$A$2:$A$20000=S545)*(DATOS!$G$2:$G$20000=CONFIG_METADATA!$B$4)*(COUNTIF(CONFIG_ASIGNATURAS!$B$7:$B$27,DATOS!$I$2:$I$20000)&gt;0)*1),"")))</f>
        <v/>
      </c>
      <c r="Z545" t="str">
        <f>IF(Y545="","",IF(Y545="[FÓRMULA MANUAL]","",IFERROR(AVERAGEIFS(DATOS!$K$2:$K$20000,DATOS!$A$2:$A$20000,Y545,DATOS!$G$2:$G$20000,CONFIG_METADATA!$B$4,DATOS!$I$2:$I$20000,"Análisis"),"")))</f>
        <v/>
      </c>
      <c r="AA545" t="str">
        <f>IF(Y545="","",IF(Y545="[FÓRMULA MANUAL]","",IFERROR(AVERAGEIFS(DATOS!$K$2:$K$20000,DATOS!$A$2:$A$20000,Y545,DATOS!$G$2:$G$20000,CONFIG_METADATA!$B$4,DATOS!$I$2:$I$20000,"Orquesta/Banda/Conjunto"),"")))</f>
        <v/>
      </c>
      <c r="AB545" t="str">
        <f>IF(Y545="","",IF(Y545="[FÓRMULA MANUAL]","",IFERROR(AVERAGEIFS(DATOS!$K$2:$K$20000,DATOS!$A$2:$A$20000,Y545,DATOS!$G$2:$G$20000,CONFIG_METADATA!$B$4,DATOS!$I$2:$I$20000,"Música de Cámara"),"")))</f>
        <v/>
      </c>
      <c r="AC545" t="str">
        <f>IF(Y545="","",IF(Y545="[FÓRMULA MANUAL]","",IFERROR(SUMPRODUCT((DATOS!$A$2:$A$20000=Y545)*(DATOS!$G$2:$G$20000=CONFIG_METADATA!$B$4)*(COUNTIF(CONFIG_ASIGNATURAS!$B$7:$B$27,DATOS!$I$2:$I$20000)&gt;0)*(DATOS!$K$2:$K$20000))/SUMPRODUCT((DATOS!$A$2:$A$20000=Y545)*(DATOS!$G$2:$G$20000=CONFIG_METADATA!$B$4)*(COUNTIF(CONFIG_ASIGNATURAS!$B$7:$B$27,DATOS!$I$2:$I$20000)&gt;0)*1),"")))</f>
        <v/>
      </c>
      <c r="AF545" t="str">
        <f>IF(AE545="","",IF(AE545="[FÓRMULA MANUAL]","",IFERROR(AVERAGEIFS(DATOS!$K$2:$K$20000,DATOS!$A$2:$A$20000,AE545,DATOS!$G$2:$G$20000,CONFIG_METADATA!$B$4,DATOS!$I$2:$I$20000,"Análisis"),"")))</f>
        <v/>
      </c>
      <c r="AG545" t="str">
        <f>IF(AE545="","",IF(AE545="[FÓRMULA MANUAL]","",IFERROR(AVERAGEIFS(DATOS!$K$2:$K$20000,DATOS!$A$2:$A$20000,AE545,DATOS!$G$2:$G$20000,CONFIG_METADATA!$B$4,DATOS!$I$2:$I$20000,"Orquesta/Banda/Conjunto"),"")))</f>
        <v/>
      </c>
      <c r="AH545" t="str">
        <f>IF(AE545="","",IF(AE545="[FÓRMULA MANUAL]","",IFERROR(AVERAGEIFS(DATOS!$K$2:$K$20000,DATOS!$A$2:$A$20000,AE545,DATOS!$G$2:$G$20000,CONFIG_METADATA!$B$4,DATOS!$I$2:$I$20000,"Música de Cámara"),"")))</f>
        <v/>
      </c>
      <c r="AI545" t="str">
        <f>IF(AE545="","",IF(AE545="[FÓRMULA MANUAL]","",IFERROR(SUMPRODUCT((DATOS!$A$2:$A$20000=AE545)*(DATOS!$G$2:$G$20000=CONFIG_METADATA!$B$4)*(COUNTIF(CONFIG_ASIGNATURAS!$B$7:$B$27,DATOS!$I$2:$I$20000)&gt;0)*(DATOS!$K$2:$K$20000))/SUMPRODUCT((DATOS!$A$2:$A$20000=AE545)*(DATOS!$G$2:$G$20000=CONFIG_METADATA!$B$4)*(COUNTIF(CONFIG_ASIGNATURAS!$B$7:$B$27,DATOS!$I$2:$I$20000)&gt;0)*1),"")))</f>
        <v/>
      </c>
    </row>
    <row r="546" spans="2:35" x14ac:dyDescent="0.2">
      <c r="B546" t="str">
        <f>IF(A546="","",IF(A546="[FÓRMULA MANUAL]","",IFERROR(AVERAGEIFS(DATOS!$K$2:$K$20000,DATOS!$A$2:$A$20000,A546,DATOS!$G$2:$G$20000,CONFIG_METADATA!$B$4,DATOS!$I$2:$I$20000,"Lenguaje Musical"),"")))</f>
        <v/>
      </c>
      <c r="C546" t="str">
        <f>IF(A546="","",IF(A546="[FÓRMULA MANUAL]","",IFERROR(AVERAGEIFS(DATOS!$K$2:$K$20000,DATOS!$A$2:$A$20000,A546,DATOS!$G$2:$G$20000,CONFIG_METADATA!$B$4,DATOS!$I$2:$I$20000,"Orquesta/Banda/Conjunto"),"")))</f>
        <v/>
      </c>
      <c r="D546" t="str">
        <f>IF(A546="","",IF(A546="[FÓRMULA MANUAL]","",IFERROR(AVERAGEIFS(DATOS!$K$2:$K$20000,DATOS!$A$2:$A$20000,A546,DATOS!$G$2:$G$20000,CONFIG_METADATA!$B$4,DATOS!$I$2:$I$20000,"Conjunto"),"")))</f>
        <v/>
      </c>
      <c r="E546" t="str">
        <f>IF(A546="","",IF(A546="[FÓRMULA MANUAL]","",IFERROR(SUMPRODUCT((DATOS!$A$2:$A$20000=A546)*(DATOS!$G$2:$G$20000=CONFIG_METADATA!$B$4)*(COUNTIF(CONFIG_ASIGNATURAS!$B$7:$B$27,DATOS!$I$2:$I$20000)&gt;0)*(DATOS!$K$2:$K$20000))/SUMPRODUCT((DATOS!$A$2:$A$20000=A546)*(DATOS!$G$2:$G$20000=CONFIG_METADATA!$B$4)*(COUNTIF(CONFIG_ASIGNATURAS!$B$7:$B$27,DATOS!$I$2:$I$20000)&gt;0)*1),"")))</f>
        <v/>
      </c>
      <c r="H546" t="str">
        <f>IF(G546="","",IF(G546="[FÓRMULA MANUAL]","",IFERROR(AVERAGEIFS(DATOS!$K$2:$K$20000,DATOS!$A$2:$A$20000,G546,DATOS!$G$2:$G$20000,CONFIG_METADATA!$B$4,DATOS!$I$2:$I$20000,"Lenguaje Musical"),"")))</f>
        <v/>
      </c>
      <c r="I546" t="str">
        <f>IF(G546="","",IF(G546="[FÓRMULA MANUAL]","",IFERROR(AVERAGEIFS(DATOS!$K$2:$K$20000,DATOS!$A$2:$A$20000,G546,DATOS!$G$2:$G$20000,CONFIG_METADATA!$B$4,DATOS!$I$2:$I$20000,"Orquesta/Banda/Conjunto"),"")))</f>
        <v/>
      </c>
      <c r="J546" t="str">
        <f>IF(G546="","",IF(G546="[FÓRMULA MANUAL]","",IFERROR(AVERAGEIFS(DATOS!$K$2:$K$20000,DATOS!$A$2:$A$20000,G546,DATOS!$G$2:$G$20000,CONFIG_METADATA!$B$4,DATOS!$I$2:$I$20000,"Conjunto"),"")))</f>
        <v/>
      </c>
      <c r="K546" t="str">
        <f>IF(G546="","",IF(G546="[FÓRMULA MANUAL]","",IFERROR(SUMPRODUCT((DATOS!$A$2:$A$20000=G546)*(DATOS!$G$2:$G$20000=CONFIG_METADATA!$B$4)*(COUNTIF(CONFIG_ASIGNATURAS!$B$7:$B$27,DATOS!$I$2:$I$20000)&gt;0)*(DATOS!$K$2:$K$20000))/SUMPRODUCT((DATOS!$A$2:$A$20000=G546)*(DATOS!$G$2:$G$20000=CONFIG_METADATA!$B$4)*(COUNTIF(CONFIG_ASIGNATURAS!$B$7:$B$27,DATOS!$I$2:$I$20000)&gt;0)*1),"")))</f>
        <v/>
      </c>
      <c r="N546" t="str">
        <f>IF(M546="","",IF(M546="[FÓRMULA MANUAL]","",IFERROR(AVERAGEIFS(DATOS!$K$2:$K$20000,DATOS!$A$2:$A$20000,M546,DATOS!$G$2:$G$20000,CONFIG_METADATA!$B$4,DATOS!$I$2:$I$20000,"Armonía"),"")))</f>
        <v/>
      </c>
      <c r="O546" t="str">
        <f>IF(M546="","",IF(M546="[FÓRMULA MANUAL]","",IFERROR(AVERAGEIFS(DATOS!$K$2:$K$20000,DATOS!$A$2:$A$20000,M546,DATOS!$G$2:$G$20000,CONFIG_METADATA!$B$4,DATOS!$I$2:$I$20000,"Orquesta/Banda/Conjunto"),"")))</f>
        <v/>
      </c>
      <c r="P546" t="str">
        <f>IF(M546="","",IF(M546="[FÓRMULA MANUAL]","",IFERROR(AVERAGEIFS(DATOS!$K$2:$K$20000,DATOS!$A$2:$A$20000,M546,DATOS!$G$2:$G$20000,CONFIG_METADATA!$B$4,DATOS!$I$2:$I$20000,"Música de Cámara"),"")))</f>
        <v/>
      </c>
      <c r="Q546" t="str">
        <f>IF(M546="","",IF(M546="[FÓRMULA MANUAL]","",IFERROR(SUMPRODUCT((DATOS!$A$2:$A$20000=M546)*(DATOS!$G$2:$G$20000=CONFIG_METADATA!$B$4)*(COUNTIF(CONFIG_ASIGNATURAS!$B$7:$B$27,DATOS!$I$2:$I$20000)&gt;0)*(DATOS!$K$2:$K$20000))/SUMPRODUCT((DATOS!$A$2:$A$20000=M546)*(DATOS!$G$2:$G$20000=CONFIG_METADATA!$B$4)*(COUNTIF(CONFIG_ASIGNATURAS!$B$7:$B$27,DATOS!$I$2:$I$20000)&gt;0)*1),"")))</f>
        <v/>
      </c>
      <c r="T546" t="str">
        <f>IF(S546="","",IF(S546="[FÓRMULA MANUAL]","",IFERROR(AVERAGEIFS(DATOS!$K$2:$K$20000,DATOS!$A$2:$A$20000,S546,DATOS!$G$2:$G$20000,CONFIG_METADATA!$B$4,DATOS!$I$2:$I$20000,"Armonía"),"")))</f>
        <v/>
      </c>
      <c r="U546" t="str">
        <f>IF(S546="","",IF(S546="[FÓRMULA MANUAL]","",IFERROR(AVERAGEIFS(DATOS!$K$2:$K$20000,DATOS!$A$2:$A$20000,S546,DATOS!$G$2:$G$20000,CONFIG_METADATA!$B$4,DATOS!$I$2:$I$20000,"Orquesta/Banda/Conjunto"),"")))</f>
        <v/>
      </c>
      <c r="V546" t="str">
        <f>IF(S546="","",IF(S546="[FÓRMULA MANUAL]","",IFERROR(AVERAGEIFS(DATOS!$K$2:$K$20000,DATOS!$A$2:$A$20000,S546,DATOS!$G$2:$G$20000,CONFIG_METADATA!$B$4,DATOS!$I$2:$I$20000,"Música de Cámara"),"")))</f>
        <v/>
      </c>
      <c r="W546" t="str">
        <f>IF(S546="","",IF(S546="[FÓRMULA MANUAL]","",IFERROR(SUMPRODUCT((DATOS!$A$2:$A$20000=S546)*(DATOS!$G$2:$G$20000=CONFIG_METADATA!$B$4)*(COUNTIF(CONFIG_ASIGNATURAS!$B$7:$B$27,DATOS!$I$2:$I$20000)&gt;0)*(DATOS!$K$2:$K$20000))/SUMPRODUCT((DATOS!$A$2:$A$20000=S546)*(DATOS!$G$2:$G$20000=CONFIG_METADATA!$B$4)*(COUNTIF(CONFIG_ASIGNATURAS!$B$7:$B$27,DATOS!$I$2:$I$20000)&gt;0)*1),"")))</f>
        <v/>
      </c>
      <c r="Z546" t="str">
        <f>IF(Y546="","",IF(Y546="[FÓRMULA MANUAL]","",IFERROR(AVERAGEIFS(DATOS!$K$2:$K$20000,DATOS!$A$2:$A$20000,Y546,DATOS!$G$2:$G$20000,CONFIG_METADATA!$B$4,DATOS!$I$2:$I$20000,"Análisis"),"")))</f>
        <v/>
      </c>
      <c r="AA546" t="str">
        <f>IF(Y546="","",IF(Y546="[FÓRMULA MANUAL]","",IFERROR(AVERAGEIFS(DATOS!$K$2:$K$20000,DATOS!$A$2:$A$20000,Y546,DATOS!$G$2:$G$20000,CONFIG_METADATA!$B$4,DATOS!$I$2:$I$20000,"Orquesta/Banda/Conjunto"),"")))</f>
        <v/>
      </c>
      <c r="AB546" t="str">
        <f>IF(Y546="","",IF(Y546="[FÓRMULA MANUAL]","",IFERROR(AVERAGEIFS(DATOS!$K$2:$K$20000,DATOS!$A$2:$A$20000,Y546,DATOS!$G$2:$G$20000,CONFIG_METADATA!$B$4,DATOS!$I$2:$I$20000,"Música de Cámara"),"")))</f>
        <v/>
      </c>
      <c r="AC546" t="str">
        <f>IF(Y546="","",IF(Y546="[FÓRMULA MANUAL]","",IFERROR(SUMPRODUCT((DATOS!$A$2:$A$20000=Y546)*(DATOS!$G$2:$G$20000=CONFIG_METADATA!$B$4)*(COUNTIF(CONFIG_ASIGNATURAS!$B$7:$B$27,DATOS!$I$2:$I$20000)&gt;0)*(DATOS!$K$2:$K$20000))/SUMPRODUCT((DATOS!$A$2:$A$20000=Y546)*(DATOS!$G$2:$G$20000=CONFIG_METADATA!$B$4)*(COUNTIF(CONFIG_ASIGNATURAS!$B$7:$B$27,DATOS!$I$2:$I$20000)&gt;0)*1),"")))</f>
        <v/>
      </c>
      <c r="AF546" t="str">
        <f>IF(AE546="","",IF(AE546="[FÓRMULA MANUAL]","",IFERROR(AVERAGEIFS(DATOS!$K$2:$K$20000,DATOS!$A$2:$A$20000,AE546,DATOS!$G$2:$G$20000,CONFIG_METADATA!$B$4,DATOS!$I$2:$I$20000,"Análisis"),"")))</f>
        <v/>
      </c>
      <c r="AG546" t="str">
        <f>IF(AE546="","",IF(AE546="[FÓRMULA MANUAL]","",IFERROR(AVERAGEIFS(DATOS!$K$2:$K$20000,DATOS!$A$2:$A$20000,AE546,DATOS!$G$2:$G$20000,CONFIG_METADATA!$B$4,DATOS!$I$2:$I$20000,"Orquesta/Banda/Conjunto"),"")))</f>
        <v/>
      </c>
      <c r="AH546" t="str">
        <f>IF(AE546="","",IF(AE546="[FÓRMULA MANUAL]","",IFERROR(AVERAGEIFS(DATOS!$K$2:$K$20000,DATOS!$A$2:$A$20000,AE546,DATOS!$G$2:$G$20000,CONFIG_METADATA!$B$4,DATOS!$I$2:$I$20000,"Música de Cámara"),"")))</f>
        <v/>
      </c>
      <c r="AI546" t="str">
        <f>IF(AE546="","",IF(AE546="[FÓRMULA MANUAL]","",IFERROR(SUMPRODUCT((DATOS!$A$2:$A$20000=AE546)*(DATOS!$G$2:$G$20000=CONFIG_METADATA!$B$4)*(COUNTIF(CONFIG_ASIGNATURAS!$B$7:$B$27,DATOS!$I$2:$I$20000)&gt;0)*(DATOS!$K$2:$K$20000))/SUMPRODUCT((DATOS!$A$2:$A$20000=AE546)*(DATOS!$G$2:$G$20000=CONFIG_METADATA!$B$4)*(COUNTIF(CONFIG_ASIGNATURAS!$B$7:$B$27,DATOS!$I$2:$I$20000)&gt;0)*1),"")))</f>
        <v/>
      </c>
    </row>
    <row r="547" spans="2:35" x14ac:dyDescent="0.2">
      <c r="B547" t="str">
        <f>IF(A547="","",IF(A547="[FÓRMULA MANUAL]","",IFERROR(AVERAGEIFS(DATOS!$K$2:$K$20000,DATOS!$A$2:$A$20000,A547,DATOS!$G$2:$G$20000,CONFIG_METADATA!$B$4,DATOS!$I$2:$I$20000,"Lenguaje Musical"),"")))</f>
        <v/>
      </c>
      <c r="C547" t="str">
        <f>IF(A547="","",IF(A547="[FÓRMULA MANUAL]","",IFERROR(AVERAGEIFS(DATOS!$K$2:$K$20000,DATOS!$A$2:$A$20000,A547,DATOS!$G$2:$G$20000,CONFIG_METADATA!$B$4,DATOS!$I$2:$I$20000,"Orquesta/Banda/Conjunto"),"")))</f>
        <v/>
      </c>
      <c r="D547" t="str">
        <f>IF(A547="","",IF(A547="[FÓRMULA MANUAL]","",IFERROR(AVERAGEIFS(DATOS!$K$2:$K$20000,DATOS!$A$2:$A$20000,A547,DATOS!$G$2:$G$20000,CONFIG_METADATA!$B$4,DATOS!$I$2:$I$20000,"Conjunto"),"")))</f>
        <v/>
      </c>
      <c r="E547" t="str">
        <f>IF(A547="","",IF(A547="[FÓRMULA MANUAL]","",IFERROR(SUMPRODUCT((DATOS!$A$2:$A$20000=A547)*(DATOS!$G$2:$G$20000=CONFIG_METADATA!$B$4)*(COUNTIF(CONFIG_ASIGNATURAS!$B$7:$B$27,DATOS!$I$2:$I$20000)&gt;0)*(DATOS!$K$2:$K$20000))/SUMPRODUCT((DATOS!$A$2:$A$20000=A547)*(DATOS!$G$2:$G$20000=CONFIG_METADATA!$B$4)*(COUNTIF(CONFIG_ASIGNATURAS!$B$7:$B$27,DATOS!$I$2:$I$20000)&gt;0)*1),"")))</f>
        <v/>
      </c>
      <c r="H547" t="str">
        <f>IF(G547="","",IF(G547="[FÓRMULA MANUAL]","",IFERROR(AVERAGEIFS(DATOS!$K$2:$K$20000,DATOS!$A$2:$A$20000,G547,DATOS!$G$2:$G$20000,CONFIG_METADATA!$B$4,DATOS!$I$2:$I$20000,"Lenguaje Musical"),"")))</f>
        <v/>
      </c>
      <c r="I547" t="str">
        <f>IF(G547="","",IF(G547="[FÓRMULA MANUAL]","",IFERROR(AVERAGEIFS(DATOS!$K$2:$K$20000,DATOS!$A$2:$A$20000,G547,DATOS!$G$2:$G$20000,CONFIG_METADATA!$B$4,DATOS!$I$2:$I$20000,"Orquesta/Banda/Conjunto"),"")))</f>
        <v/>
      </c>
      <c r="J547" t="str">
        <f>IF(G547="","",IF(G547="[FÓRMULA MANUAL]","",IFERROR(AVERAGEIFS(DATOS!$K$2:$K$20000,DATOS!$A$2:$A$20000,G547,DATOS!$G$2:$G$20000,CONFIG_METADATA!$B$4,DATOS!$I$2:$I$20000,"Conjunto"),"")))</f>
        <v/>
      </c>
      <c r="K547" t="str">
        <f>IF(G547="","",IF(G547="[FÓRMULA MANUAL]","",IFERROR(SUMPRODUCT((DATOS!$A$2:$A$20000=G547)*(DATOS!$G$2:$G$20000=CONFIG_METADATA!$B$4)*(COUNTIF(CONFIG_ASIGNATURAS!$B$7:$B$27,DATOS!$I$2:$I$20000)&gt;0)*(DATOS!$K$2:$K$20000))/SUMPRODUCT((DATOS!$A$2:$A$20000=G547)*(DATOS!$G$2:$G$20000=CONFIG_METADATA!$B$4)*(COUNTIF(CONFIG_ASIGNATURAS!$B$7:$B$27,DATOS!$I$2:$I$20000)&gt;0)*1),"")))</f>
        <v/>
      </c>
      <c r="N547" t="str">
        <f>IF(M547="","",IF(M547="[FÓRMULA MANUAL]","",IFERROR(AVERAGEIFS(DATOS!$K$2:$K$20000,DATOS!$A$2:$A$20000,M547,DATOS!$G$2:$G$20000,CONFIG_METADATA!$B$4,DATOS!$I$2:$I$20000,"Armonía"),"")))</f>
        <v/>
      </c>
      <c r="O547" t="str">
        <f>IF(M547="","",IF(M547="[FÓRMULA MANUAL]","",IFERROR(AVERAGEIFS(DATOS!$K$2:$K$20000,DATOS!$A$2:$A$20000,M547,DATOS!$G$2:$G$20000,CONFIG_METADATA!$B$4,DATOS!$I$2:$I$20000,"Orquesta/Banda/Conjunto"),"")))</f>
        <v/>
      </c>
      <c r="P547" t="str">
        <f>IF(M547="","",IF(M547="[FÓRMULA MANUAL]","",IFERROR(AVERAGEIFS(DATOS!$K$2:$K$20000,DATOS!$A$2:$A$20000,M547,DATOS!$G$2:$G$20000,CONFIG_METADATA!$B$4,DATOS!$I$2:$I$20000,"Música de Cámara"),"")))</f>
        <v/>
      </c>
      <c r="Q547" t="str">
        <f>IF(M547="","",IF(M547="[FÓRMULA MANUAL]","",IFERROR(SUMPRODUCT((DATOS!$A$2:$A$20000=M547)*(DATOS!$G$2:$G$20000=CONFIG_METADATA!$B$4)*(COUNTIF(CONFIG_ASIGNATURAS!$B$7:$B$27,DATOS!$I$2:$I$20000)&gt;0)*(DATOS!$K$2:$K$20000))/SUMPRODUCT((DATOS!$A$2:$A$20000=M547)*(DATOS!$G$2:$G$20000=CONFIG_METADATA!$B$4)*(COUNTIF(CONFIG_ASIGNATURAS!$B$7:$B$27,DATOS!$I$2:$I$20000)&gt;0)*1),"")))</f>
        <v/>
      </c>
      <c r="T547" t="str">
        <f>IF(S547="","",IF(S547="[FÓRMULA MANUAL]","",IFERROR(AVERAGEIFS(DATOS!$K$2:$K$20000,DATOS!$A$2:$A$20000,S547,DATOS!$G$2:$G$20000,CONFIG_METADATA!$B$4,DATOS!$I$2:$I$20000,"Armonía"),"")))</f>
        <v/>
      </c>
      <c r="U547" t="str">
        <f>IF(S547="","",IF(S547="[FÓRMULA MANUAL]","",IFERROR(AVERAGEIFS(DATOS!$K$2:$K$20000,DATOS!$A$2:$A$20000,S547,DATOS!$G$2:$G$20000,CONFIG_METADATA!$B$4,DATOS!$I$2:$I$20000,"Orquesta/Banda/Conjunto"),"")))</f>
        <v/>
      </c>
      <c r="V547" t="str">
        <f>IF(S547="","",IF(S547="[FÓRMULA MANUAL]","",IFERROR(AVERAGEIFS(DATOS!$K$2:$K$20000,DATOS!$A$2:$A$20000,S547,DATOS!$G$2:$G$20000,CONFIG_METADATA!$B$4,DATOS!$I$2:$I$20000,"Música de Cámara"),"")))</f>
        <v/>
      </c>
      <c r="W547" t="str">
        <f>IF(S547="","",IF(S547="[FÓRMULA MANUAL]","",IFERROR(SUMPRODUCT((DATOS!$A$2:$A$20000=S547)*(DATOS!$G$2:$G$20000=CONFIG_METADATA!$B$4)*(COUNTIF(CONFIG_ASIGNATURAS!$B$7:$B$27,DATOS!$I$2:$I$20000)&gt;0)*(DATOS!$K$2:$K$20000))/SUMPRODUCT((DATOS!$A$2:$A$20000=S547)*(DATOS!$G$2:$G$20000=CONFIG_METADATA!$B$4)*(COUNTIF(CONFIG_ASIGNATURAS!$B$7:$B$27,DATOS!$I$2:$I$20000)&gt;0)*1),"")))</f>
        <v/>
      </c>
      <c r="Z547" t="str">
        <f>IF(Y547="","",IF(Y547="[FÓRMULA MANUAL]","",IFERROR(AVERAGEIFS(DATOS!$K$2:$K$20000,DATOS!$A$2:$A$20000,Y547,DATOS!$G$2:$G$20000,CONFIG_METADATA!$B$4,DATOS!$I$2:$I$20000,"Análisis"),"")))</f>
        <v/>
      </c>
      <c r="AA547" t="str">
        <f>IF(Y547="","",IF(Y547="[FÓRMULA MANUAL]","",IFERROR(AVERAGEIFS(DATOS!$K$2:$K$20000,DATOS!$A$2:$A$20000,Y547,DATOS!$G$2:$G$20000,CONFIG_METADATA!$B$4,DATOS!$I$2:$I$20000,"Orquesta/Banda/Conjunto"),"")))</f>
        <v/>
      </c>
      <c r="AB547" t="str">
        <f>IF(Y547="","",IF(Y547="[FÓRMULA MANUAL]","",IFERROR(AVERAGEIFS(DATOS!$K$2:$K$20000,DATOS!$A$2:$A$20000,Y547,DATOS!$G$2:$G$20000,CONFIG_METADATA!$B$4,DATOS!$I$2:$I$20000,"Música de Cámara"),"")))</f>
        <v/>
      </c>
      <c r="AC547" t="str">
        <f>IF(Y547="","",IF(Y547="[FÓRMULA MANUAL]","",IFERROR(SUMPRODUCT((DATOS!$A$2:$A$20000=Y547)*(DATOS!$G$2:$G$20000=CONFIG_METADATA!$B$4)*(COUNTIF(CONFIG_ASIGNATURAS!$B$7:$B$27,DATOS!$I$2:$I$20000)&gt;0)*(DATOS!$K$2:$K$20000))/SUMPRODUCT((DATOS!$A$2:$A$20000=Y547)*(DATOS!$G$2:$G$20000=CONFIG_METADATA!$B$4)*(COUNTIF(CONFIG_ASIGNATURAS!$B$7:$B$27,DATOS!$I$2:$I$20000)&gt;0)*1),"")))</f>
        <v/>
      </c>
      <c r="AF547" t="str">
        <f>IF(AE547="","",IF(AE547="[FÓRMULA MANUAL]","",IFERROR(AVERAGEIFS(DATOS!$K$2:$K$20000,DATOS!$A$2:$A$20000,AE547,DATOS!$G$2:$G$20000,CONFIG_METADATA!$B$4,DATOS!$I$2:$I$20000,"Análisis"),"")))</f>
        <v/>
      </c>
      <c r="AG547" t="str">
        <f>IF(AE547="","",IF(AE547="[FÓRMULA MANUAL]","",IFERROR(AVERAGEIFS(DATOS!$K$2:$K$20000,DATOS!$A$2:$A$20000,AE547,DATOS!$G$2:$G$20000,CONFIG_METADATA!$B$4,DATOS!$I$2:$I$20000,"Orquesta/Banda/Conjunto"),"")))</f>
        <v/>
      </c>
      <c r="AH547" t="str">
        <f>IF(AE547="","",IF(AE547="[FÓRMULA MANUAL]","",IFERROR(AVERAGEIFS(DATOS!$K$2:$K$20000,DATOS!$A$2:$A$20000,AE547,DATOS!$G$2:$G$20000,CONFIG_METADATA!$B$4,DATOS!$I$2:$I$20000,"Música de Cámara"),"")))</f>
        <v/>
      </c>
      <c r="AI547" t="str">
        <f>IF(AE547="","",IF(AE547="[FÓRMULA MANUAL]","",IFERROR(SUMPRODUCT((DATOS!$A$2:$A$20000=AE547)*(DATOS!$G$2:$G$20000=CONFIG_METADATA!$B$4)*(COUNTIF(CONFIG_ASIGNATURAS!$B$7:$B$27,DATOS!$I$2:$I$20000)&gt;0)*(DATOS!$K$2:$K$20000))/SUMPRODUCT((DATOS!$A$2:$A$20000=AE547)*(DATOS!$G$2:$G$20000=CONFIG_METADATA!$B$4)*(COUNTIF(CONFIG_ASIGNATURAS!$B$7:$B$27,DATOS!$I$2:$I$20000)&gt;0)*1),"")))</f>
        <v/>
      </c>
    </row>
    <row r="548" spans="2:35" x14ac:dyDescent="0.2">
      <c r="B548" t="str">
        <f>IF(A548="","",IF(A548="[FÓRMULA MANUAL]","",IFERROR(AVERAGEIFS(DATOS!$K$2:$K$20000,DATOS!$A$2:$A$20000,A548,DATOS!$G$2:$G$20000,CONFIG_METADATA!$B$4,DATOS!$I$2:$I$20000,"Lenguaje Musical"),"")))</f>
        <v/>
      </c>
      <c r="C548" t="str">
        <f>IF(A548="","",IF(A548="[FÓRMULA MANUAL]","",IFERROR(AVERAGEIFS(DATOS!$K$2:$K$20000,DATOS!$A$2:$A$20000,A548,DATOS!$G$2:$G$20000,CONFIG_METADATA!$B$4,DATOS!$I$2:$I$20000,"Orquesta/Banda/Conjunto"),"")))</f>
        <v/>
      </c>
      <c r="D548" t="str">
        <f>IF(A548="","",IF(A548="[FÓRMULA MANUAL]","",IFERROR(AVERAGEIFS(DATOS!$K$2:$K$20000,DATOS!$A$2:$A$20000,A548,DATOS!$G$2:$G$20000,CONFIG_METADATA!$B$4,DATOS!$I$2:$I$20000,"Conjunto"),"")))</f>
        <v/>
      </c>
      <c r="E548" t="str">
        <f>IF(A548="","",IF(A548="[FÓRMULA MANUAL]","",IFERROR(SUMPRODUCT((DATOS!$A$2:$A$20000=A548)*(DATOS!$G$2:$G$20000=CONFIG_METADATA!$B$4)*(COUNTIF(CONFIG_ASIGNATURAS!$B$7:$B$27,DATOS!$I$2:$I$20000)&gt;0)*(DATOS!$K$2:$K$20000))/SUMPRODUCT((DATOS!$A$2:$A$20000=A548)*(DATOS!$G$2:$G$20000=CONFIG_METADATA!$B$4)*(COUNTIF(CONFIG_ASIGNATURAS!$B$7:$B$27,DATOS!$I$2:$I$20000)&gt;0)*1),"")))</f>
        <v/>
      </c>
      <c r="H548" t="str">
        <f>IF(G548="","",IF(G548="[FÓRMULA MANUAL]","",IFERROR(AVERAGEIFS(DATOS!$K$2:$K$20000,DATOS!$A$2:$A$20000,G548,DATOS!$G$2:$G$20000,CONFIG_METADATA!$B$4,DATOS!$I$2:$I$20000,"Lenguaje Musical"),"")))</f>
        <v/>
      </c>
      <c r="I548" t="str">
        <f>IF(G548="","",IF(G548="[FÓRMULA MANUAL]","",IFERROR(AVERAGEIFS(DATOS!$K$2:$K$20000,DATOS!$A$2:$A$20000,G548,DATOS!$G$2:$G$20000,CONFIG_METADATA!$B$4,DATOS!$I$2:$I$20000,"Orquesta/Banda/Conjunto"),"")))</f>
        <v/>
      </c>
      <c r="J548" t="str">
        <f>IF(G548="","",IF(G548="[FÓRMULA MANUAL]","",IFERROR(AVERAGEIFS(DATOS!$K$2:$K$20000,DATOS!$A$2:$A$20000,G548,DATOS!$G$2:$G$20000,CONFIG_METADATA!$B$4,DATOS!$I$2:$I$20000,"Conjunto"),"")))</f>
        <v/>
      </c>
      <c r="K548" t="str">
        <f>IF(G548="","",IF(G548="[FÓRMULA MANUAL]","",IFERROR(SUMPRODUCT((DATOS!$A$2:$A$20000=G548)*(DATOS!$G$2:$G$20000=CONFIG_METADATA!$B$4)*(COUNTIF(CONFIG_ASIGNATURAS!$B$7:$B$27,DATOS!$I$2:$I$20000)&gt;0)*(DATOS!$K$2:$K$20000))/SUMPRODUCT((DATOS!$A$2:$A$20000=G548)*(DATOS!$G$2:$G$20000=CONFIG_METADATA!$B$4)*(COUNTIF(CONFIG_ASIGNATURAS!$B$7:$B$27,DATOS!$I$2:$I$20000)&gt;0)*1),"")))</f>
        <v/>
      </c>
      <c r="N548" t="str">
        <f>IF(M548="","",IF(M548="[FÓRMULA MANUAL]","",IFERROR(AVERAGEIFS(DATOS!$K$2:$K$20000,DATOS!$A$2:$A$20000,M548,DATOS!$G$2:$G$20000,CONFIG_METADATA!$B$4,DATOS!$I$2:$I$20000,"Armonía"),"")))</f>
        <v/>
      </c>
      <c r="O548" t="str">
        <f>IF(M548="","",IF(M548="[FÓRMULA MANUAL]","",IFERROR(AVERAGEIFS(DATOS!$K$2:$K$20000,DATOS!$A$2:$A$20000,M548,DATOS!$G$2:$G$20000,CONFIG_METADATA!$B$4,DATOS!$I$2:$I$20000,"Orquesta/Banda/Conjunto"),"")))</f>
        <v/>
      </c>
      <c r="P548" t="str">
        <f>IF(M548="","",IF(M548="[FÓRMULA MANUAL]","",IFERROR(AVERAGEIFS(DATOS!$K$2:$K$20000,DATOS!$A$2:$A$20000,M548,DATOS!$G$2:$G$20000,CONFIG_METADATA!$B$4,DATOS!$I$2:$I$20000,"Música de Cámara"),"")))</f>
        <v/>
      </c>
      <c r="Q548" t="str">
        <f>IF(M548="","",IF(M548="[FÓRMULA MANUAL]","",IFERROR(SUMPRODUCT((DATOS!$A$2:$A$20000=M548)*(DATOS!$G$2:$G$20000=CONFIG_METADATA!$B$4)*(COUNTIF(CONFIG_ASIGNATURAS!$B$7:$B$27,DATOS!$I$2:$I$20000)&gt;0)*(DATOS!$K$2:$K$20000))/SUMPRODUCT((DATOS!$A$2:$A$20000=M548)*(DATOS!$G$2:$G$20000=CONFIG_METADATA!$B$4)*(COUNTIF(CONFIG_ASIGNATURAS!$B$7:$B$27,DATOS!$I$2:$I$20000)&gt;0)*1),"")))</f>
        <v/>
      </c>
      <c r="T548" t="str">
        <f>IF(S548="","",IF(S548="[FÓRMULA MANUAL]","",IFERROR(AVERAGEIFS(DATOS!$K$2:$K$20000,DATOS!$A$2:$A$20000,S548,DATOS!$G$2:$G$20000,CONFIG_METADATA!$B$4,DATOS!$I$2:$I$20000,"Armonía"),"")))</f>
        <v/>
      </c>
      <c r="U548" t="str">
        <f>IF(S548="","",IF(S548="[FÓRMULA MANUAL]","",IFERROR(AVERAGEIFS(DATOS!$K$2:$K$20000,DATOS!$A$2:$A$20000,S548,DATOS!$G$2:$G$20000,CONFIG_METADATA!$B$4,DATOS!$I$2:$I$20000,"Orquesta/Banda/Conjunto"),"")))</f>
        <v/>
      </c>
      <c r="V548" t="str">
        <f>IF(S548="","",IF(S548="[FÓRMULA MANUAL]","",IFERROR(AVERAGEIFS(DATOS!$K$2:$K$20000,DATOS!$A$2:$A$20000,S548,DATOS!$G$2:$G$20000,CONFIG_METADATA!$B$4,DATOS!$I$2:$I$20000,"Música de Cámara"),"")))</f>
        <v/>
      </c>
      <c r="W548" t="str">
        <f>IF(S548="","",IF(S548="[FÓRMULA MANUAL]","",IFERROR(SUMPRODUCT((DATOS!$A$2:$A$20000=S548)*(DATOS!$G$2:$G$20000=CONFIG_METADATA!$B$4)*(COUNTIF(CONFIG_ASIGNATURAS!$B$7:$B$27,DATOS!$I$2:$I$20000)&gt;0)*(DATOS!$K$2:$K$20000))/SUMPRODUCT((DATOS!$A$2:$A$20000=S548)*(DATOS!$G$2:$G$20000=CONFIG_METADATA!$B$4)*(COUNTIF(CONFIG_ASIGNATURAS!$B$7:$B$27,DATOS!$I$2:$I$20000)&gt;0)*1),"")))</f>
        <v/>
      </c>
      <c r="Z548" t="str">
        <f>IF(Y548="","",IF(Y548="[FÓRMULA MANUAL]","",IFERROR(AVERAGEIFS(DATOS!$K$2:$K$20000,DATOS!$A$2:$A$20000,Y548,DATOS!$G$2:$G$20000,CONFIG_METADATA!$B$4,DATOS!$I$2:$I$20000,"Análisis"),"")))</f>
        <v/>
      </c>
      <c r="AA548" t="str">
        <f>IF(Y548="","",IF(Y548="[FÓRMULA MANUAL]","",IFERROR(AVERAGEIFS(DATOS!$K$2:$K$20000,DATOS!$A$2:$A$20000,Y548,DATOS!$G$2:$G$20000,CONFIG_METADATA!$B$4,DATOS!$I$2:$I$20000,"Orquesta/Banda/Conjunto"),"")))</f>
        <v/>
      </c>
      <c r="AB548" t="str">
        <f>IF(Y548="","",IF(Y548="[FÓRMULA MANUAL]","",IFERROR(AVERAGEIFS(DATOS!$K$2:$K$20000,DATOS!$A$2:$A$20000,Y548,DATOS!$G$2:$G$20000,CONFIG_METADATA!$B$4,DATOS!$I$2:$I$20000,"Música de Cámara"),"")))</f>
        <v/>
      </c>
      <c r="AC548" t="str">
        <f>IF(Y548="","",IF(Y548="[FÓRMULA MANUAL]","",IFERROR(SUMPRODUCT((DATOS!$A$2:$A$20000=Y548)*(DATOS!$G$2:$G$20000=CONFIG_METADATA!$B$4)*(COUNTIF(CONFIG_ASIGNATURAS!$B$7:$B$27,DATOS!$I$2:$I$20000)&gt;0)*(DATOS!$K$2:$K$20000))/SUMPRODUCT((DATOS!$A$2:$A$20000=Y548)*(DATOS!$G$2:$G$20000=CONFIG_METADATA!$B$4)*(COUNTIF(CONFIG_ASIGNATURAS!$B$7:$B$27,DATOS!$I$2:$I$20000)&gt;0)*1),"")))</f>
        <v/>
      </c>
      <c r="AF548" t="str">
        <f>IF(AE548="","",IF(AE548="[FÓRMULA MANUAL]","",IFERROR(AVERAGEIFS(DATOS!$K$2:$K$20000,DATOS!$A$2:$A$20000,AE548,DATOS!$G$2:$G$20000,CONFIG_METADATA!$B$4,DATOS!$I$2:$I$20000,"Análisis"),"")))</f>
        <v/>
      </c>
      <c r="AG548" t="str">
        <f>IF(AE548="","",IF(AE548="[FÓRMULA MANUAL]","",IFERROR(AVERAGEIFS(DATOS!$K$2:$K$20000,DATOS!$A$2:$A$20000,AE548,DATOS!$G$2:$G$20000,CONFIG_METADATA!$B$4,DATOS!$I$2:$I$20000,"Orquesta/Banda/Conjunto"),"")))</f>
        <v/>
      </c>
      <c r="AH548" t="str">
        <f>IF(AE548="","",IF(AE548="[FÓRMULA MANUAL]","",IFERROR(AVERAGEIFS(DATOS!$K$2:$K$20000,DATOS!$A$2:$A$20000,AE548,DATOS!$G$2:$G$20000,CONFIG_METADATA!$B$4,DATOS!$I$2:$I$20000,"Música de Cámara"),"")))</f>
        <v/>
      </c>
      <c r="AI548" t="str">
        <f>IF(AE548="","",IF(AE548="[FÓRMULA MANUAL]","",IFERROR(SUMPRODUCT((DATOS!$A$2:$A$20000=AE548)*(DATOS!$G$2:$G$20000=CONFIG_METADATA!$B$4)*(COUNTIF(CONFIG_ASIGNATURAS!$B$7:$B$27,DATOS!$I$2:$I$20000)&gt;0)*(DATOS!$K$2:$K$20000))/SUMPRODUCT((DATOS!$A$2:$A$20000=AE548)*(DATOS!$G$2:$G$20000=CONFIG_METADATA!$B$4)*(COUNTIF(CONFIG_ASIGNATURAS!$B$7:$B$27,DATOS!$I$2:$I$20000)&gt;0)*1),"")))</f>
        <v/>
      </c>
    </row>
    <row r="549" spans="2:35" x14ac:dyDescent="0.2">
      <c r="B549" t="str">
        <f>IF(A549="","",IF(A549="[FÓRMULA MANUAL]","",IFERROR(AVERAGEIFS(DATOS!$K$2:$K$20000,DATOS!$A$2:$A$20000,A549,DATOS!$G$2:$G$20000,CONFIG_METADATA!$B$4,DATOS!$I$2:$I$20000,"Lenguaje Musical"),"")))</f>
        <v/>
      </c>
      <c r="C549" t="str">
        <f>IF(A549="","",IF(A549="[FÓRMULA MANUAL]","",IFERROR(AVERAGEIFS(DATOS!$K$2:$K$20000,DATOS!$A$2:$A$20000,A549,DATOS!$G$2:$G$20000,CONFIG_METADATA!$B$4,DATOS!$I$2:$I$20000,"Orquesta/Banda/Conjunto"),"")))</f>
        <v/>
      </c>
      <c r="D549" t="str">
        <f>IF(A549="","",IF(A549="[FÓRMULA MANUAL]","",IFERROR(AVERAGEIFS(DATOS!$K$2:$K$20000,DATOS!$A$2:$A$20000,A549,DATOS!$G$2:$G$20000,CONFIG_METADATA!$B$4,DATOS!$I$2:$I$20000,"Conjunto"),"")))</f>
        <v/>
      </c>
      <c r="E549" t="str">
        <f>IF(A549="","",IF(A549="[FÓRMULA MANUAL]","",IFERROR(SUMPRODUCT((DATOS!$A$2:$A$20000=A549)*(DATOS!$G$2:$G$20000=CONFIG_METADATA!$B$4)*(COUNTIF(CONFIG_ASIGNATURAS!$B$7:$B$27,DATOS!$I$2:$I$20000)&gt;0)*(DATOS!$K$2:$K$20000))/SUMPRODUCT((DATOS!$A$2:$A$20000=A549)*(DATOS!$G$2:$G$20000=CONFIG_METADATA!$B$4)*(COUNTIF(CONFIG_ASIGNATURAS!$B$7:$B$27,DATOS!$I$2:$I$20000)&gt;0)*1),"")))</f>
        <v/>
      </c>
      <c r="H549" t="str">
        <f>IF(G549="","",IF(G549="[FÓRMULA MANUAL]","",IFERROR(AVERAGEIFS(DATOS!$K$2:$K$20000,DATOS!$A$2:$A$20000,G549,DATOS!$G$2:$G$20000,CONFIG_METADATA!$B$4,DATOS!$I$2:$I$20000,"Lenguaje Musical"),"")))</f>
        <v/>
      </c>
      <c r="I549" t="str">
        <f>IF(G549="","",IF(G549="[FÓRMULA MANUAL]","",IFERROR(AVERAGEIFS(DATOS!$K$2:$K$20000,DATOS!$A$2:$A$20000,G549,DATOS!$G$2:$G$20000,CONFIG_METADATA!$B$4,DATOS!$I$2:$I$20000,"Orquesta/Banda/Conjunto"),"")))</f>
        <v/>
      </c>
      <c r="J549" t="str">
        <f>IF(G549="","",IF(G549="[FÓRMULA MANUAL]","",IFERROR(AVERAGEIFS(DATOS!$K$2:$K$20000,DATOS!$A$2:$A$20000,G549,DATOS!$G$2:$G$20000,CONFIG_METADATA!$B$4,DATOS!$I$2:$I$20000,"Conjunto"),"")))</f>
        <v/>
      </c>
      <c r="K549" t="str">
        <f>IF(G549="","",IF(G549="[FÓRMULA MANUAL]","",IFERROR(SUMPRODUCT((DATOS!$A$2:$A$20000=G549)*(DATOS!$G$2:$G$20000=CONFIG_METADATA!$B$4)*(COUNTIF(CONFIG_ASIGNATURAS!$B$7:$B$27,DATOS!$I$2:$I$20000)&gt;0)*(DATOS!$K$2:$K$20000))/SUMPRODUCT((DATOS!$A$2:$A$20000=G549)*(DATOS!$G$2:$G$20000=CONFIG_METADATA!$B$4)*(COUNTIF(CONFIG_ASIGNATURAS!$B$7:$B$27,DATOS!$I$2:$I$20000)&gt;0)*1),"")))</f>
        <v/>
      </c>
      <c r="N549" t="str">
        <f>IF(M549="","",IF(M549="[FÓRMULA MANUAL]","",IFERROR(AVERAGEIFS(DATOS!$K$2:$K$20000,DATOS!$A$2:$A$20000,M549,DATOS!$G$2:$G$20000,CONFIG_METADATA!$B$4,DATOS!$I$2:$I$20000,"Armonía"),"")))</f>
        <v/>
      </c>
      <c r="O549" t="str">
        <f>IF(M549="","",IF(M549="[FÓRMULA MANUAL]","",IFERROR(AVERAGEIFS(DATOS!$K$2:$K$20000,DATOS!$A$2:$A$20000,M549,DATOS!$G$2:$G$20000,CONFIG_METADATA!$B$4,DATOS!$I$2:$I$20000,"Orquesta/Banda/Conjunto"),"")))</f>
        <v/>
      </c>
      <c r="P549" t="str">
        <f>IF(M549="","",IF(M549="[FÓRMULA MANUAL]","",IFERROR(AVERAGEIFS(DATOS!$K$2:$K$20000,DATOS!$A$2:$A$20000,M549,DATOS!$G$2:$G$20000,CONFIG_METADATA!$B$4,DATOS!$I$2:$I$20000,"Música de Cámara"),"")))</f>
        <v/>
      </c>
      <c r="Q549" t="str">
        <f>IF(M549="","",IF(M549="[FÓRMULA MANUAL]","",IFERROR(SUMPRODUCT((DATOS!$A$2:$A$20000=M549)*(DATOS!$G$2:$G$20000=CONFIG_METADATA!$B$4)*(COUNTIF(CONFIG_ASIGNATURAS!$B$7:$B$27,DATOS!$I$2:$I$20000)&gt;0)*(DATOS!$K$2:$K$20000))/SUMPRODUCT((DATOS!$A$2:$A$20000=M549)*(DATOS!$G$2:$G$20000=CONFIG_METADATA!$B$4)*(COUNTIF(CONFIG_ASIGNATURAS!$B$7:$B$27,DATOS!$I$2:$I$20000)&gt;0)*1),"")))</f>
        <v/>
      </c>
      <c r="T549" t="str">
        <f>IF(S549="","",IF(S549="[FÓRMULA MANUAL]","",IFERROR(AVERAGEIFS(DATOS!$K$2:$K$20000,DATOS!$A$2:$A$20000,S549,DATOS!$G$2:$G$20000,CONFIG_METADATA!$B$4,DATOS!$I$2:$I$20000,"Armonía"),"")))</f>
        <v/>
      </c>
      <c r="U549" t="str">
        <f>IF(S549="","",IF(S549="[FÓRMULA MANUAL]","",IFERROR(AVERAGEIFS(DATOS!$K$2:$K$20000,DATOS!$A$2:$A$20000,S549,DATOS!$G$2:$G$20000,CONFIG_METADATA!$B$4,DATOS!$I$2:$I$20000,"Orquesta/Banda/Conjunto"),"")))</f>
        <v/>
      </c>
      <c r="V549" t="str">
        <f>IF(S549="","",IF(S549="[FÓRMULA MANUAL]","",IFERROR(AVERAGEIFS(DATOS!$K$2:$K$20000,DATOS!$A$2:$A$20000,S549,DATOS!$G$2:$G$20000,CONFIG_METADATA!$B$4,DATOS!$I$2:$I$20000,"Música de Cámara"),"")))</f>
        <v/>
      </c>
      <c r="W549" t="str">
        <f>IF(S549="","",IF(S549="[FÓRMULA MANUAL]","",IFERROR(SUMPRODUCT((DATOS!$A$2:$A$20000=S549)*(DATOS!$G$2:$G$20000=CONFIG_METADATA!$B$4)*(COUNTIF(CONFIG_ASIGNATURAS!$B$7:$B$27,DATOS!$I$2:$I$20000)&gt;0)*(DATOS!$K$2:$K$20000))/SUMPRODUCT((DATOS!$A$2:$A$20000=S549)*(DATOS!$G$2:$G$20000=CONFIG_METADATA!$B$4)*(COUNTIF(CONFIG_ASIGNATURAS!$B$7:$B$27,DATOS!$I$2:$I$20000)&gt;0)*1),"")))</f>
        <v/>
      </c>
      <c r="Z549" t="str">
        <f>IF(Y549="","",IF(Y549="[FÓRMULA MANUAL]","",IFERROR(AVERAGEIFS(DATOS!$K$2:$K$20000,DATOS!$A$2:$A$20000,Y549,DATOS!$G$2:$G$20000,CONFIG_METADATA!$B$4,DATOS!$I$2:$I$20000,"Análisis"),"")))</f>
        <v/>
      </c>
      <c r="AA549" t="str">
        <f>IF(Y549="","",IF(Y549="[FÓRMULA MANUAL]","",IFERROR(AVERAGEIFS(DATOS!$K$2:$K$20000,DATOS!$A$2:$A$20000,Y549,DATOS!$G$2:$G$20000,CONFIG_METADATA!$B$4,DATOS!$I$2:$I$20000,"Orquesta/Banda/Conjunto"),"")))</f>
        <v/>
      </c>
      <c r="AB549" t="str">
        <f>IF(Y549="","",IF(Y549="[FÓRMULA MANUAL]","",IFERROR(AVERAGEIFS(DATOS!$K$2:$K$20000,DATOS!$A$2:$A$20000,Y549,DATOS!$G$2:$G$20000,CONFIG_METADATA!$B$4,DATOS!$I$2:$I$20000,"Música de Cámara"),"")))</f>
        <v/>
      </c>
      <c r="AC549" t="str">
        <f>IF(Y549="","",IF(Y549="[FÓRMULA MANUAL]","",IFERROR(SUMPRODUCT((DATOS!$A$2:$A$20000=Y549)*(DATOS!$G$2:$G$20000=CONFIG_METADATA!$B$4)*(COUNTIF(CONFIG_ASIGNATURAS!$B$7:$B$27,DATOS!$I$2:$I$20000)&gt;0)*(DATOS!$K$2:$K$20000))/SUMPRODUCT((DATOS!$A$2:$A$20000=Y549)*(DATOS!$G$2:$G$20000=CONFIG_METADATA!$B$4)*(COUNTIF(CONFIG_ASIGNATURAS!$B$7:$B$27,DATOS!$I$2:$I$20000)&gt;0)*1),"")))</f>
        <v/>
      </c>
      <c r="AF549" t="str">
        <f>IF(AE549="","",IF(AE549="[FÓRMULA MANUAL]","",IFERROR(AVERAGEIFS(DATOS!$K$2:$K$20000,DATOS!$A$2:$A$20000,AE549,DATOS!$G$2:$G$20000,CONFIG_METADATA!$B$4,DATOS!$I$2:$I$20000,"Análisis"),"")))</f>
        <v/>
      </c>
      <c r="AG549" t="str">
        <f>IF(AE549="","",IF(AE549="[FÓRMULA MANUAL]","",IFERROR(AVERAGEIFS(DATOS!$K$2:$K$20000,DATOS!$A$2:$A$20000,AE549,DATOS!$G$2:$G$20000,CONFIG_METADATA!$B$4,DATOS!$I$2:$I$20000,"Orquesta/Banda/Conjunto"),"")))</f>
        <v/>
      </c>
      <c r="AH549" t="str">
        <f>IF(AE549="","",IF(AE549="[FÓRMULA MANUAL]","",IFERROR(AVERAGEIFS(DATOS!$K$2:$K$20000,DATOS!$A$2:$A$20000,AE549,DATOS!$G$2:$G$20000,CONFIG_METADATA!$B$4,DATOS!$I$2:$I$20000,"Música de Cámara"),"")))</f>
        <v/>
      </c>
      <c r="AI549" t="str">
        <f>IF(AE549="","",IF(AE549="[FÓRMULA MANUAL]","",IFERROR(SUMPRODUCT((DATOS!$A$2:$A$20000=AE549)*(DATOS!$G$2:$G$20000=CONFIG_METADATA!$B$4)*(COUNTIF(CONFIG_ASIGNATURAS!$B$7:$B$27,DATOS!$I$2:$I$20000)&gt;0)*(DATOS!$K$2:$K$20000))/SUMPRODUCT((DATOS!$A$2:$A$20000=AE549)*(DATOS!$G$2:$G$20000=CONFIG_METADATA!$B$4)*(COUNTIF(CONFIG_ASIGNATURAS!$B$7:$B$27,DATOS!$I$2:$I$20000)&gt;0)*1),"")))</f>
        <v/>
      </c>
    </row>
    <row r="550" spans="2:35" x14ac:dyDescent="0.2">
      <c r="B550" t="str">
        <f>IF(A550="","",IF(A550="[FÓRMULA MANUAL]","",IFERROR(AVERAGEIFS(DATOS!$K$2:$K$20000,DATOS!$A$2:$A$20000,A550,DATOS!$G$2:$G$20000,CONFIG_METADATA!$B$4,DATOS!$I$2:$I$20000,"Lenguaje Musical"),"")))</f>
        <v/>
      </c>
      <c r="C550" t="str">
        <f>IF(A550="","",IF(A550="[FÓRMULA MANUAL]","",IFERROR(AVERAGEIFS(DATOS!$K$2:$K$20000,DATOS!$A$2:$A$20000,A550,DATOS!$G$2:$G$20000,CONFIG_METADATA!$B$4,DATOS!$I$2:$I$20000,"Orquesta/Banda/Conjunto"),"")))</f>
        <v/>
      </c>
      <c r="D550" t="str">
        <f>IF(A550="","",IF(A550="[FÓRMULA MANUAL]","",IFERROR(AVERAGEIFS(DATOS!$K$2:$K$20000,DATOS!$A$2:$A$20000,A550,DATOS!$G$2:$G$20000,CONFIG_METADATA!$B$4,DATOS!$I$2:$I$20000,"Conjunto"),"")))</f>
        <v/>
      </c>
      <c r="E550" t="str">
        <f>IF(A550="","",IF(A550="[FÓRMULA MANUAL]","",IFERROR(SUMPRODUCT((DATOS!$A$2:$A$20000=A550)*(DATOS!$G$2:$G$20000=CONFIG_METADATA!$B$4)*(COUNTIF(CONFIG_ASIGNATURAS!$B$7:$B$27,DATOS!$I$2:$I$20000)&gt;0)*(DATOS!$K$2:$K$20000))/SUMPRODUCT((DATOS!$A$2:$A$20000=A550)*(DATOS!$G$2:$G$20000=CONFIG_METADATA!$B$4)*(COUNTIF(CONFIG_ASIGNATURAS!$B$7:$B$27,DATOS!$I$2:$I$20000)&gt;0)*1),"")))</f>
        <v/>
      </c>
      <c r="H550" t="str">
        <f>IF(G550="","",IF(G550="[FÓRMULA MANUAL]","",IFERROR(AVERAGEIFS(DATOS!$K$2:$K$20000,DATOS!$A$2:$A$20000,G550,DATOS!$G$2:$G$20000,CONFIG_METADATA!$B$4,DATOS!$I$2:$I$20000,"Lenguaje Musical"),"")))</f>
        <v/>
      </c>
      <c r="I550" t="str">
        <f>IF(G550="","",IF(G550="[FÓRMULA MANUAL]","",IFERROR(AVERAGEIFS(DATOS!$K$2:$K$20000,DATOS!$A$2:$A$20000,G550,DATOS!$G$2:$G$20000,CONFIG_METADATA!$B$4,DATOS!$I$2:$I$20000,"Orquesta/Banda/Conjunto"),"")))</f>
        <v/>
      </c>
      <c r="J550" t="str">
        <f>IF(G550="","",IF(G550="[FÓRMULA MANUAL]","",IFERROR(AVERAGEIFS(DATOS!$K$2:$K$20000,DATOS!$A$2:$A$20000,G550,DATOS!$G$2:$G$20000,CONFIG_METADATA!$B$4,DATOS!$I$2:$I$20000,"Conjunto"),"")))</f>
        <v/>
      </c>
      <c r="K550" t="str">
        <f>IF(G550="","",IF(G550="[FÓRMULA MANUAL]","",IFERROR(SUMPRODUCT((DATOS!$A$2:$A$20000=G550)*(DATOS!$G$2:$G$20000=CONFIG_METADATA!$B$4)*(COUNTIF(CONFIG_ASIGNATURAS!$B$7:$B$27,DATOS!$I$2:$I$20000)&gt;0)*(DATOS!$K$2:$K$20000))/SUMPRODUCT((DATOS!$A$2:$A$20000=G550)*(DATOS!$G$2:$G$20000=CONFIG_METADATA!$B$4)*(COUNTIF(CONFIG_ASIGNATURAS!$B$7:$B$27,DATOS!$I$2:$I$20000)&gt;0)*1),"")))</f>
        <v/>
      </c>
      <c r="N550" t="str">
        <f>IF(M550="","",IF(M550="[FÓRMULA MANUAL]","",IFERROR(AVERAGEIFS(DATOS!$K$2:$K$20000,DATOS!$A$2:$A$20000,M550,DATOS!$G$2:$G$20000,CONFIG_METADATA!$B$4,DATOS!$I$2:$I$20000,"Armonía"),"")))</f>
        <v/>
      </c>
      <c r="O550" t="str">
        <f>IF(M550="","",IF(M550="[FÓRMULA MANUAL]","",IFERROR(AVERAGEIFS(DATOS!$K$2:$K$20000,DATOS!$A$2:$A$20000,M550,DATOS!$G$2:$G$20000,CONFIG_METADATA!$B$4,DATOS!$I$2:$I$20000,"Orquesta/Banda/Conjunto"),"")))</f>
        <v/>
      </c>
      <c r="P550" t="str">
        <f>IF(M550="","",IF(M550="[FÓRMULA MANUAL]","",IFERROR(AVERAGEIFS(DATOS!$K$2:$K$20000,DATOS!$A$2:$A$20000,M550,DATOS!$G$2:$G$20000,CONFIG_METADATA!$B$4,DATOS!$I$2:$I$20000,"Música de Cámara"),"")))</f>
        <v/>
      </c>
      <c r="Q550" t="str">
        <f>IF(M550="","",IF(M550="[FÓRMULA MANUAL]","",IFERROR(SUMPRODUCT((DATOS!$A$2:$A$20000=M550)*(DATOS!$G$2:$G$20000=CONFIG_METADATA!$B$4)*(COUNTIF(CONFIG_ASIGNATURAS!$B$7:$B$27,DATOS!$I$2:$I$20000)&gt;0)*(DATOS!$K$2:$K$20000))/SUMPRODUCT((DATOS!$A$2:$A$20000=M550)*(DATOS!$G$2:$G$20000=CONFIG_METADATA!$B$4)*(COUNTIF(CONFIG_ASIGNATURAS!$B$7:$B$27,DATOS!$I$2:$I$20000)&gt;0)*1),"")))</f>
        <v/>
      </c>
      <c r="T550" t="str">
        <f>IF(S550="","",IF(S550="[FÓRMULA MANUAL]","",IFERROR(AVERAGEIFS(DATOS!$K$2:$K$20000,DATOS!$A$2:$A$20000,S550,DATOS!$G$2:$G$20000,CONFIG_METADATA!$B$4,DATOS!$I$2:$I$20000,"Armonía"),"")))</f>
        <v/>
      </c>
      <c r="U550" t="str">
        <f>IF(S550="","",IF(S550="[FÓRMULA MANUAL]","",IFERROR(AVERAGEIFS(DATOS!$K$2:$K$20000,DATOS!$A$2:$A$20000,S550,DATOS!$G$2:$G$20000,CONFIG_METADATA!$B$4,DATOS!$I$2:$I$20000,"Orquesta/Banda/Conjunto"),"")))</f>
        <v/>
      </c>
      <c r="V550" t="str">
        <f>IF(S550="","",IF(S550="[FÓRMULA MANUAL]","",IFERROR(AVERAGEIFS(DATOS!$K$2:$K$20000,DATOS!$A$2:$A$20000,S550,DATOS!$G$2:$G$20000,CONFIG_METADATA!$B$4,DATOS!$I$2:$I$20000,"Música de Cámara"),"")))</f>
        <v/>
      </c>
      <c r="W550" t="str">
        <f>IF(S550="","",IF(S550="[FÓRMULA MANUAL]","",IFERROR(SUMPRODUCT((DATOS!$A$2:$A$20000=S550)*(DATOS!$G$2:$G$20000=CONFIG_METADATA!$B$4)*(COUNTIF(CONFIG_ASIGNATURAS!$B$7:$B$27,DATOS!$I$2:$I$20000)&gt;0)*(DATOS!$K$2:$K$20000))/SUMPRODUCT((DATOS!$A$2:$A$20000=S550)*(DATOS!$G$2:$G$20000=CONFIG_METADATA!$B$4)*(COUNTIF(CONFIG_ASIGNATURAS!$B$7:$B$27,DATOS!$I$2:$I$20000)&gt;0)*1),"")))</f>
        <v/>
      </c>
      <c r="Z550" t="str">
        <f>IF(Y550="","",IF(Y550="[FÓRMULA MANUAL]","",IFERROR(AVERAGEIFS(DATOS!$K$2:$K$20000,DATOS!$A$2:$A$20000,Y550,DATOS!$G$2:$G$20000,CONFIG_METADATA!$B$4,DATOS!$I$2:$I$20000,"Análisis"),"")))</f>
        <v/>
      </c>
      <c r="AA550" t="str">
        <f>IF(Y550="","",IF(Y550="[FÓRMULA MANUAL]","",IFERROR(AVERAGEIFS(DATOS!$K$2:$K$20000,DATOS!$A$2:$A$20000,Y550,DATOS!$G$2:$G$20000,CONFIG_METADATA!$B$4,DATOS!$I$2:$I$20000,"Orquesta/Banda/Conjunto"),"")))</f>
        <v/>
      </c>
      <c r="AB550" t="str">
        <f>IF(Y550="","",IF(Y550="[FÓRMULA MANUAL]","",IFERROR(AVERAGEIFS(DATOS!$K$2:$K$20000,DATOS!$A$2:$A$20000,Y550,DATOS!$G$2:$G$20000,CONFIG_METADATA!$B$4,DATOS!$I$2:$I$20000,"Música de Cámara"),"")))</f>
        <v/>
      </c>
      <c r="AC550" t="str">
        <f>IF(Y550="","",IF(Y550="[FÓRMULA MANUAL]","",IFERROR(SUMPRODUCT((DATOS!$A$2:$A$20000=Y550)*(DATOS!$G$2:$G$20000=CONFIG_METADATA!$B$4)*(COUNTIF(CONFIG_ASIGNATURAS!$B$7:$B$27,DATOS!$I$2:$I$20000)&gt;0)*(DATOS!$K$2:$K$20000))/SUMPRODUCT((DATOS!$A$2:$A$20000=Y550)*(DATOS!$G$2:$G$20000=CONFIG_METADATA!$B$4)*(COUNTIF(CONFIG_ASIGNATURAS!$B$7:$B$27,DATOS!$I$2:$I$20000)&gt;0)*1),"")))</f>
        <v/>
      </c>
      <c r="AF550" t="str">
        <f>IF(AE550="","",IF(AE550="[FÓRMULA MANUAL]","",IFERROR(AVERAGEIFS(DATOS!$K$2:$K$20000,DATOS!$A$2:$A$20000,AE550,DATOS!$G$2:$G$20000,CONFIG_METADATA!$B$4,DATOS!$I$2:$I$20000,"Análisis"),"")))</f>
        <v/>
      </c>
      <c r="AG550" t="str">
        <f>IF(AE550="","",IF(AE550="[FÓRMULA MANUAL]","",IFERROR(AVERAGEIFS(DATOS!$K$2:$K$20000,DATOS!$A$2:$A$20000,AE550,DATOS!$G$2:$G$20000,CONFIG_METADATA!$B$4,DATOS!$I$2:$I$20000,"Orquesta/Banda/Conjunto"),"")))</f>
        <v/>
      </c>
      <c r="AH550" t="str">
        <f>IF(AE550="","",IF(AE550="[FÓRMULA MANUAL]","",IFERROR(AVERAGEIFS(DATOS!$K$2:$K$20000,DATOS!$A$2:$A$20000,AE550,DATOS!$G$2:$G$20000,CONFIG_METADATA!$B$4,DATOS!$I$2:$I$20000,"Música de Cámara"),"")))</f>
        <v/>
      </c>
      <c r="AI550" t="str">
        <f>IF(AE550="","",IF(AE550="[FÓRMULA MANUAL]","",IFERROR(SUMPRODUCT((DATOS!$A$2:$A$20000=AE550)*(DATOS!$G$2:$G$20000=CONFIG_METADATA!$B$4)*(COUNTIF(CONFIG_ASIGNATURAS!$B$7:$B$27,DATOS!$I$2:$I$20000)&gt;0)*(DATOS!$K$2:$K$20000))/SUMPRODUCT((DATOS!$A$2:$A$20000=AE550)*(DATOS!$G$2:$G$20000=CONFIG_METADATA!$B$4)*(COUNTIF(CONFIG_ASIGNATURAS!$B$7:$B$27,DATOS!$I$2:$I$20000)&gt;0)*1),"")))</f>
        <v/>
      </c>
    </row>
    <row r="551" spans="2:35" x14ac:dyDescent="0.2">
      <c r="B551" t="str">
        <f>IF(A551="","",IF(A551="[FÓRMULA MANUAL]","",IFERROR(AVERAGEIFS(DATOS!$K$2:$K$20000,DATOS!$A$2:$A$20000,A551,DATOS!$G$2:$G$20000,CONFIG_METADATA!$B$4,DATOS!$I$2:$I$20000,"Lenguaje Musical"),"")))</f>
        <v/>
      </c>
      <c r="C551" t="str">
        <f>IF(A551="","",IF(A551="[FÓRMULA MANUAL]","",IFERROR(AVERAGEIFS(DATOS!$K$2:$K$20000,DATOS!$A$2:$A$20000,A551,DATOS!$G$2:$G$20000,CONFIG_METADATA!$B$4,DATOS!$I$2:$I$20000,"Orquesta/Banda/Conjunto"),"")))</f>
        <v/>
      </c>
      <c r="D551" t="str">
        <f>IF(A551="","",IF(A551="[FÓRMULA MANUAL]","",IFERROR(AVERAGEIFS(DATOS!$K$2:$K$20000,DATOS!$A$2:$A$20000,A551,DATOS!$G$2:$G$20000,CONFIG_METADATA!$B$4,DATOS!$I$2:$I$20000,"Conjunto"),"")))</f>
        <v/>
      </c>
      <c r="E551" t="str">
        <f>IF(A551="","",IF(A551="[FÓRMULA MANUAL]","",IFERROR(SUMPRODUCT((DATOS!$A$2:$A$20000=A551)*(DATOS!$G$2:$G$20000=CONFIG_METADATA!$B$4)*(COUNTIF(CONFIG_ASIGNATURAS!$B$7:$B$27,DATOS!$I$2:$I$20000)&gt;0)*(DATOS!$K$2:$K$20000))/SUMPRODUCT((DATOS!$A$2:$A$20000=A551)*(DATOS!$G$2:$G$20000=CONFIG_METADATA!$B$4)*(COUNTIF(CONFIG_ASIGNATURAS!$B$7:$B$27,DATOS!$I$2:$I$20000)&gt;0)*1),"")))</f>
        <v/>
      </c>
      <c r="H551" t="str">
        <f>IF(G551="","",IF(G551="[FÓRMULA MANUAL]","",IFERROR(AVERAGEIFS(DATOS!$K$2:$K$20000,DATOS!$A$2:$A$20000,G551,DATOS!$G$2:$G$20000,CONFIG_METADATA!$B$4,DATOS!$I$2:$I$20000,"Lenguaje Musical"),"")))</f>
        <v/>
      </c>
      <c r="I551" t="str">
        <f>IF(G551="","",IF(G551="[FÓRMULA MANUAL]","",IFERROR(AVERAGEIFS(DATOS!$K$2:$K$20000,DATOS!$A$2:$A$20000,G551,DATOS!$G$2:$G$20000,CONFIG_METADATA!$B$4,DATOS!$I$2:$I$20000,"Orquesta/Banda/Conjunto"),"")))</f>
        <v/>
      </c>
      <c r="J551" t="str">
        <f>IF(G551="","",IF(G551="[FÓRMULA MANUAL]","",IFERROR(AVERAGEIFS(DATOS!$K$2:$K$20000,DATOS!$A$2:$A$20000,G551,DATOS!$G$2:$G$20000,CONFIG_METADATA!$B$4,DATOS!$I$2:$I$20000,"Conjunto"),"")))</f>
        <v/>
      </c>
      <c r="K551" t="str">
        <f>IF(G551="","",IF(G551="[FÓRMULA MANUAL]","",IFERROR(SUMPRODUCT((DATOS!$A$2:$A$20000=G551)*(DATOS!$G$2:$G$20000=CONFIG_METADATA!$B$4)*(COUNTIF(CONFIG_ASIGNATURAS!$B$7:$B$27,DATOS!$I$2:$I$20000)&gt;0)*(DATOS!$K$2:$K$20000))/SUMPRODUCT((DATOS!$A$2:$A$20000=G551)*(DATOS!$G$2:$G$20000=CONFIG_METADATA!$B$4)*(COUNTIF(CONFIG_ASIGNATURAS!$B$7:$B$27,DATOS!$I$2:$I$20000)&gt;0)*1),"")))</f>
        <v/>
      </c>
      <c r="N551" t="str">
        <f>IF(M551="","",IF(M551="[FÓRMULA MANUAL]","",IFERROR(AVERAGEIFS(DATOS!$K$2:$K$20000,DATOS!$A$2:$A$20000,M551,DATOS!$G$2:$G$20000,CONFIG_METADATA!$B$4,DATOS!$I$2:$I$20000,"Armonía"),"")))</f>
        <v/>
      </c>
      <c r="O551" t="str">
        <f>IF(M551="","",IF(M551="[FÓRMULA MANUAL]","",IFERROR(AVERAGEIFS(DATOS!$K$2:$K$20000,DATOS!$A$2:$A$20000,M551,DATOS!$G$2:$G$20000,CONFIG_METADATA!$B$4,DATOS!$I$2:$I$20000,"Orquesta/Banda/Conjunto"),"")))</f>
        <v/>
      </c>
      <c r="P551" t="str">
        <f>IF(M551="","",IF(M551="[FÓRMULA MANUAL]","",IFERROR(AVERAGEIFS(DATOS!$K$2:$K$20000,DATOS!$A$2:$A$20000,M551,DATOS!$G$2:$G$20000,CONFIG_METADATA!$B$4,DATOS!$I$2:$I$20000,"Música de Cámara"),"")))</f>
        <v/>
      </c>
      <c r="Q551" t="str">
        <f>IF(M551="","",IF(M551="[FÓRMULA MANUAL]","",IFERROR(SUMPRODUCT((DATOS!$A$2:$A$20000=M551)*(DATOS!$G$2:$G$20000=CONFIG_METADATA!$B$4)*(COUNTIF(CONFIG_ASIGNATURAS!$B$7:$B$27,DATOS!$I$2:$I$20000)&gt;0)*(DATOS!$K$2:$K$20000))/SUMPRODUCT((DATOS!$A$2:$A$20000=M551)*(DATOS!$G$2:$G$20000=CONFIG_METADATA!$B$4)*(COUNTIF(CONFIG_ASIGNATURAS!$B$7:$B$27,DATOS!$I$2:$I$20000)&gt;0)*1),"")))</f>
        <v/>
      </c>
      <c r="T551" t="str">
        <f>IF(S551="","",IF(S551="[FÓRMULA MANUAL]","",IFERROR(AVERAGEIFS(DATOS!$K$2:$K$20000,DATOS!$A$2:$A$20000,S551,DATOS!$G$2:$G$20000,CONFIG_METADATA!$B$4,DATOS!$I$2:$I$20000,"Armonía"),"")))</f>
        <v/>
      </c>
      <c r="U551" t="str">
        <f>IF(S551="","",IF(S551="[FÓRMULA MANUAL]","",IFERROR(AVERAGEIFS(DATOS!$K$2:$K$20000,DATOS!$A$2:$A$20000,S551,DATOS!$G$2:$G$20000,CONFIG_METADATA!$B$4,DATOS!$I$2:$I$20000,"Orquesta/Banda/Conjunto"),"")))</f>
        <v/>
      </c>
      <c r="V551" t="str">
        <f>IF(S551="","",IF(S551="[FÓRMULA MANUAL]","",IFERROR(AVERAGEIFS(DATOS!$K$2:$K$20000,DATOS!$A$2:$A$20000,S551,DATOS!$G$2:$G$20000,CONFIG_METADATA!$B$4,DATOS!$I$2:$I$20000,"Música de Cámara"),"")))</f>
        <v/>
      </c>
      <c r="W551" t="str">
        <f>IF(S551="","",IF(S551="[FÓRMULA MANUAL]","",IFERROR(SUMPRODUCT((DATOS!$A$2:$A$20000=S551)*(DATOS!$G$2:$G$20000=CONFIG_METADATA!$B$4)*(COUNTIF(CONFIG_ASIGNATURAS!$B$7:$B$27,DATOS!$I$2:$I$20000)&gt;0)*(DATOS!$K$2:$K$20000))/SUMPRODUCT((DATOS!$A$2:$A$20000=S551)*(DATOS!$G$2:$G$20000=CONFIG_METADATA!$B$4)*(COUNTIF(CONFIG_ASIGNATURAS!$B$7:$B$27,DATOS!$I$2:$I$20000)&gt;0)*1),"")))</f>
        <v/>
      </c>
      <c r="Z551" t="str">
        <f>IF(Y551="","",IF(Y551="[FÓRMULA MANUAL]","",IFERROR(AVERAGEIFS(DATOS!$K$2:$K$20000,DATOS!$A$2:$A$20000,Y551,DATOS!$G$2:$G$20000,CONFIG_METADATA!$B$4,DATOS!$I$2:$I$20000,"Análisis"),"")))</f>
        <v/>
      </c>
      <c r="AA551" t="str">
        <f>IF(Y551="","",IF(Y551="[FÓRMULA MANUAL]","",IFERROR(AVERAGEIFS(DATOS!$K$2:$K$20000,DATOS!$A$2:$A$20000,Y551,DATOS!$G$2:$G$20000,CONFIG_METADATA!$B$4,DATOS!$I$2:$I$20000,"Orquesta/Banda/Conjunto"),"")))</f>
        <v/>
      </c>
      <c r="AB551" t="str">
        <f>IF(Y551="","",IF(Y551="[FÓRMULA MANUAL]","",IFERROR(AVERAGEIFS(DATOS!$K$2:$K$20000,DATOS!$A$2:$A$20000,Y551,DATOS!$G$2:$G$20000,CONFIG_METADATA!$B$4,DATOS!$I$2:$I$20000,"Música de Cámara"),"")))</f>
        <v/>
      </c>
      <c r="AC551" t="str">
        <f>IF(Y551="","",IF(Y551="[FÓRMULA MANUAL]","",IFERROR(SUMPRODUCT((DATOS!$A$2:$A$20000=Y551)*(DATOS!$G$2:$G$20000=CONFIG_METADATA!$B$4)*(COUNTIF(CONFIG_ASIGNATURAS!$B$7:$B$27,DATOS!$I$2:$I$20000)&gt;0)*(DATOS!$K$2:$K$20000))/SUMPRODUCT((DATOS!$A$2:$A$20000=Y551)*(DATOS!$G$2:$G$20000=CONFIG_METADATA!$B$4)*(COUNTIF(CONFIG_ASIGNATURAS!$B$7:$B$27,DATOS!$I$2:$I$20000)&gt;0)*1),"")))</f>
        <v/>
      </c>
      <c r="AF551" t="str">
        <f>IF(AE551="","",IF(AE551="[FÓRMULA MANUAL]","",IFERROR(AVERAGEIFS(DATOS!$K$2:$K$20000,DATOS!$A$2:$A$20000,AE551,DATOS!$G$2:$G$20000,CONFIG_METADATA!$B$4,DATOS!$I$2:$I$20000,"Análisis"),"")))</f>
        <v/>
      </c>
      <c r="AG551" t="str">
        <f>IF(AE551="","",IF(AE551="[FÓRMULA MANUAL]","",IFERROR(AVERAGEIFS(DATOS!$K$2:$K$20000,DATOS!$A$2:$A$20000,AE551,DATOS!$G$2:$G$20000,CONFIG_METADATA!$B$4,DATOS!$I$2:$I$20000,"Orquesta/Banda/Conjunto"),"")))</f>
        <v/>
      </c>
      <c r="AH551" t="str">
        <f>IF(AE551="","",IF(AE551="[FÓRMULA MANUAL]","",IFERROR(AVERAGEIFS(DATOS!$K$2:$K$20000,DATOS!$A$2:$A$20000,AE551,DATOS!$G$2:$G$20000,CONFIG_METADATA!$B$4,DATOS!$I$2:$I$20000,"Música de Cámara"),"")))</f>
        <v/>
      </c>
      <c r="AI551" t="str">
        <f>IF(AE551="","",IF(AE551="[FÓRMULA MANUAL]","",IFERROR(SUMPRODUCT((DATOS!$A$2:$A$20000=AE551)*(DATOS!$G$2:$G$20000=CONFIG_METADATA!$B$4)*(COUNTIF(CONFIG_ASIGNATURAS!$B$7:$B$27,DATOS!$I$2:$I$20000)&gt;0)*(DATOS!$K$2:$K$20000))/SUMPRODUCT((DATOS!$A$2:$A$20000=AE551)*(DATOS!$G$2:$G$20000=CONFIG_METADATA!$B$4)*(COUNTIF(CONFIG_ASIGNATURAS!$B$7:$B$27,DATOS!$I$2:$I$20000)&gt;0)*1),"")))</f>
        <v/>
      </c>
    </row>
    <row r="552" spans="2:35" x14ac:dyDescent="0.2">
      <c r="B552" t="str">
        <f>IF(A552="","",IF(A552="[FÓRMULA MANUAL]","",IFERROR(AVERAGEIFS(DATOS!$K$2:$K$20000,DATOS!$A$2:$A$20000,A552,DATOS!$G$2:$G$20000,CONFIG_METADATA!$B$4,DATOS!$I$2:$I$20000,"Lenguaje Musical"),"")))</f>
        <v/>
      </c>
      <c r="C552" t="str">
        <f>IF(A552="","",IF(A552="[FÓRMULA MANUAL]","",IFERROR(AVERAGEIFS(DATOS!$K$2:$K$20000,DATOS!$A$2:$A$20000,A552,DATOS!$G$2:$G$20000,CONFIG_METADATA!$B$4,DATOS!$I$2:$I$20000,"Orquesta/Banda/Conjunto"),"")))</f>
        <v/>
      </c>
      <c r="D552" t="str">
        <f>IF(A552="","",IF(A552="[FÓRMULA MANUAL]","",IFERROR(AVERAGEIFS(DATOS!$K$2:$K$20000,DATOS!$A$2:$A$20000,A552,DATOS!$G$2:$G$20000,CONFIG_METADATA!$B$4,DATOS!$I$2:$I$20000,"Conjunto"),"")))</f>
        <v/>
      </c>
      <c r="E552" t="str">
        <f>IF(A552="","",IF(A552="[FÓRMULA MANUAL]","",IFERROR(SUMPRODUCT((DATOS!$A$2:$A$20000=A552)*(DATOS!$G$2:$G$20000=CONFIG_METADATA!$B$4)*(COUNTIF(CONFIG_ASIGNATURAS!$B$7:$B$27,DATOS!$I$2:$I$20000)&gt;0)*(DATOS!$K$2:$K$20000))/SUMPRODUCT((DATOS!$A$2:$A$20000=A552)*(DATOS!$G$2:$G$20000=CONFIG_METADATA!$B$4)*(COUNTIF(CONFIG_ASIGNATURAS!$B$7:$B$27,DATOS!$I$2:$I$20000)&gt;0)*1),"")))</f>
        <v/>
      </c>
      <c r="H552" t="str">
        <f>IF(G552="","",IF(G552="[FÓRMULA MANUAL]","",IFERROR(AVERAGEIFS(DATOS!$K$2:$K$20000,DATOS!$A$2:$A$20000,G552,DATOS!$G$2:$G$20000,CONFIG_METADATA!$B$4,DATOS!$I$2:$I$20000,"Lenguaje Musical"),"")))</f>
        <v/>
      </c>
      <c r="I552" t="str">
        <f>IF(G552="","",IF(G552="[FÓRMULA MANUAL]","",IFERROR(AVERAGEIFS(DATOS!$K$2:$K$20000,DATOS!$A$2:$A$20000,G552,DATOS!$G$2:$G$20000,CONFIG_METADATA!$B$4,DATOS!$I$2:$I$20000,"Orquesta/Banda/Conjunto"),"")))</f>
        <v/>
      </c>
      <c r="J552" t="str">
        <f>IF(G552="","",IF(G552="[FÓRMULA MANUAL]","",IFERROR(AVERAGEIFS(DATOS!$K$2:$K$20000,DATOS!$A$2:$A$20000,G552,DATOS!$G$2:$G$20000,CONFIG_METADATA!$B$4,DATOS!$I$2:$I$20000,"Conjunto"),"")))</f>
        <v/>
      </c>
      <c r="K552" t="str">
        <f>IF(G552="","",IF(G552="[FÓRMULA MANUAL]","",IFERROR(SUMPRODUCT((DATOS!$A$2:$A$20000=G552)*(DATOS!$G$2:$G$20000=CONFIG_METADATA!$B$4)*(COUNTIF(CONFIG_ASIGNATURAS!$B$7:$B$27,DATOS!$I$2:$I$20000)&gt;0)*(DATOS!$K$2:$K$20000))/SUMPRODUCT((DATOS!$A$2:$A$20000=G552)*(DATOS!$G$2:$G$20000=CONFIG_METADATA!$B$4)*(COUNTIF(CONFIG_ASIGNATURAS!$B$7:$B$27,DATOS!$I$2:$I$20000)&gt;0)*1),"")))</f>
        <v/>
      </c>
      <c r="N552" t="str">
        <f>IF(M552="","",IF(M552="[FÓRMULA MANUAL]","",IFERROR(AVERAGEIFS(DATOS!$K$2:$K$20000,DATOS!$A$2:$A$20000,M552,DATOS!$G$2:$G$20000,CONFIG_METADATA!$B$4,DATOS!$I$2:$I$20000,"Armonía"),"")))</f>
        <v/>
      </c>
      <c r="O552" t="str">
        <f>IF(M552="","",IF(M552="[FÓRMULA MANUAL]","",IFERROR(AVERAGEIFS(DATOS!$K$2:$K$20000,DATOS!$A$2:$A$20000,M552,DATOS!$G$2:$G$20000,CONFIG_METADATA!$B$4,DATOS!$I$2:$I$20000,"Orquesta/Banda/Conjunto"),"")))</f>
        <v/>
      </c>
      <c r="P552" t="str">
        <f>IF(M552="","",IF(M552="[FÓRMULA MANUAL]","",IFERROR(AVERAGEIFS(DATOS!$K$2:$K$20000,DATOS!$A$2:$A$20000,M552,DATOS!$G$2:$G$20000,CONFIG_METADATA!$B$4,DATOS!$I$2:$I$20000,"Música de Cámara"),"")))</f>
        <v/>
      </c>
      <c r="Q552" t="str">
        <f>IF(M552="","",IF(M552="[FÓRMULA MANUAL]","",IFERROR(SUMPRODUCT((DATOS!$A$2:$A$20000=M552)*(DATOS!$G$2:$G$20000=CONFIG_METADATA!$B$4)*(COUNTIF(CONFIG_ASIGNATURAS!$B$7:$B$27,DATOS!$I$2:$I$20000)&gt;0)*(DATOS!$K$2:$K$20000))/SUMPRODUCT((DATOS!$A$2:$A$20000=M552)*(DATOS!$G$2:$G$20000=CONFIG_METADATA!$B$4)*(COUNTIF(CONFIG_ASIGNATURAS!$B$7:$B$27,DATOS!$I$2:$I$20000)&gt;0)*1),"")))</f>
        <v/>
      </c>
      <c r="T552" t="str">
        <f>IF(S552="","",IF(S552="[FÓRMULA MANUAL]","",IFERROR(AVERAGEIFS(DATOS!$K$2:$K$20000,DATOS!$A$2:$A$20000,S552,DATOS!$G$2:$G$20000,CONFIG_METADATA!$B$4,DATOS!$I$2:$I$20000,"Armonía"),"")))</f>
        <v/>
      </c>
      <c r="U552" t="str">
        <f>IF(S552="","",IF(S552="[FÓRMULA MANUAL]","",IFERROR(AVERAGEIFS(DATOS!$K$2:$K$20000,DATOS!$A$2:$A$20000,S552,DATOS!$G$2:$G$20000,CONFIG_METADATA!$B$4,DATOS!$I$2:$I$20000,"Orquesta/Banda/Conjunto"),"")))</f>
        <v/>
      </c>
      <c r="V552" t="str">
        <f>IF(S552="","",IF(S552="[FÓRMULA MANUAL]","",IFERROR(AVERAGEIFS(DATOS!$K$2:$K$20000,DATOS!$A$2:$A$20000,S552,DATOS!$G$2:$G$20000,CONFIG_METADATA!$B$4,DATOS!$I$2:$I$20000,"Música de Cámara"),"")))</f>
        <v/>
      </c>
      <c r="W552" t="str">
        <f>IF(S552="","",IF(S552="[FÓRMULA MANUAL]","",IFERROR(SUMPRODUCT((DATOS!$A$2:$A$20000=S552)*(DATOS!$G$2:$G$20000=CONFIG_METADATA!$B$4)*(COUNTIF(CONFIG_ASIGNATURAS!$B$7:$B$27,DATOS!$I$2:$I$20000)&gt;0)*(DATOS!$K$2:$K$20000))/SUMPRODUCT((DATOS!$A$2:$A$20000=S552)*(DATOS!$G$2:$G$20000=CONFIG_METADATA!$B$4)*(COUNTIF(CONFIG_ASIGNATURAS!$B$7:$B$27,DATOS!$I$2:$I$20000)&gt;0)*1),"")))</f>
        <v/>
      </c>
      <c r="Z552" t="str">
        <f>IF(Y552="","",IF(Y552="[FÓRMULA MANUAL]","",IFERROR(AVERAGEIFS(DATOS!$K$2:$K$20000,DATOS!$A$2:$A$20000,Y552,DATOS!$G$2:$G$20000,CONFIG_METADATA!$B$4,DATOS!$I$2:$I$20000,"Análisis"),"")))</f>
        <v/>
      </c>
      <c r="AA552" t="str">
        <f>IF(Y552="","",IF(Y552="[FÓRMULA MANUAL]","",IFERROR(AVERAGEIFS(DATOS!$K$2:$K$20000,DATOS!$A$2:$A$20000,Y552,DATOS!$G$2:$G$20000,CONFIG_METADATA!$B$4,DATOS!$I$2:$I$20000,"Orquesta/Banda/Conjunto"),"")))</f>
        <v/>
      </c>
      <c r="AB552" t="str">
        <f>IF(Y552="","",IF(Y552="[FÓRMULA MANUAL]","",IFERROR(AVERAGEIFS(DATOS!$K$2:$K$20000,DATOS!$A$2:$A$20000,Y552,DATOS!$G$2:$G$20000,CONFIG_METADATA!$B$4,DATOS!$I$2:$I$20000,"Música de Cámara"),"")))</f>
        <v/>
      </c>
      <c r="AC552" t="str">
        <f>IF(Y552="","",IF(Y552="[FÓRMULA MANUAL]","",IFERROR(SUMPRODUCT((DATOS!$A$2:$A$20000=Y552)*(DATOS!$G$2:$G$20000=CONFIG_METADATA!$B$4)*(COUNTIF(CONFIG_ASIGNATURAS!$B$7:$B$27,DATOS!$I$2:$I$20000)&gt;0)*(DATOS!$K$2:$K$20000))/SUMPRODUCT((DATOS!$A$2:$A$20000=Y552)*(DATOS!$G$2:$G$20000=CONFIG_METADATA!$B$4)*(COUNTIF(CONFIG_ASIGNATURAS!$B$7:$B$27,DATOS!$I$2:$I$20000)&gt;0)*1),"")))</f>
        <v/>
      </c>
      <c r="AF552" t="str">
        <f>IF(AE552="","",IF(AE552="[FÓRMULA MANUAL]","",IFERROR(AVERAGEIFS(DATOS!$K$2:$K$20000,DATOS!$A$2:$A$20000,AE552,DATOS!$G$2:$G$20000,CONFIG_METADATA!$B$4,DATOS!$I$2:$I$20000,"Análisis"),"")))</f>
        <v/>
      </c>
      <c r="AG552" t="str">
        <f>IF(AE552="","",IF(AE552="[FÓRMULA MANUAL]","",IFERROR(AVERAGEIFS(DATOS!$K$2:$K$20000,DATOS!$A$2:$A$20000,AE552,DATOS!$G$2:$G$20000,CONFIG_METADATA!$B$4,DATOS!$I$2:$I$20000,"Orquesta/Banda/Conjunto"),"")))</f>
        <v/>
      </c>
      <c r="AH552" t="str">
        <f>IF(AE552="","",IF(AE552="[FÓRMULA MANUAL]","",IFERROR(AVERAGEIFS(DATOS!$K$2:$K$20000,DATOS!$A$2:$A$20000,AE552,DATOS!$G$2:$G$20000,CONFIG_METADATA!$B$4,DATOS!$I$2:$I$20000,"Música de Cámara"),"")))</f>
        <v/>
      </c>
      <c r="AI552" t="str">
        <f>IF(AE552="","",IF(AE552="[FÓRMULA MANUAL]","",IFERROR(SUMPRODUCT((DATOS!$A$2:$A$20000=AE552)*(DATOS!$G$2:$G$20000=CONFIG_METADATA!$B$4)*(COUNTIF(CONFIG_ASIGNATURAS!$B$7:$B$27,DATOS!$I$2:$I$20000)&gt;0)*(DATOS!$K$2:$K$20000))/SUMPRODUCT((DATOS!$A$2:$A$20000=AE552)*(DATOS!$G$2:$G$20000=CONFIG_METADATA!$B$4)*(COUNTIF(CONFIG_ASIGNATURAS!$B$7:$B$27,DATOS!$I$2:$I$20000)&gt;0)*1),"")))</f>
        <v/>
      </c>
    </row>
    <row r="553" spans="2:35" x14ac:dyDescent="0.2">
      <c r="B553" t="str">
        <f>IF(A553="","",IF(A553="[FÓRMULA MANUAL]","",IFERROR(AVERAGEIFS(DATOS!$K$2:$K$20000,DATOS!$A$2:$A$20000,A553,DATOS!$G$2:$G$20000,CONFIG_METADATA!$B$4,DATOS!$I$2:$I$20000,"Lenguaje Musical"),"")))</f>
        <v/>
      </c>
      <c r="C553" t="str">
        <f>IF(A553="","",IF(A553="[FÓRMULA MANUAL]","",IFERROR(AVERAGEIFS(DATOS!$K$2:$K$20000,DATOS!$A$2:$A$20000,A553,DATOS!$G$2:$G$20000,CONFIG_METADATA!$B$4,DATOS!$I$2:$I$20000,"Orquesta/Banda/Conjunto"),"")))</f>
        <v/>
      </c>
      <c r="D553" t="str">
        <f>IF(A553="","",IF(A553="[FÓRMULA MANUAL]","",IFERROR(AVERAGEIFS(DATOS!$K$2:$K$20000,DATOS!$A$2:$A$20000,A553,DATOS!$G$2:$G$20000,CONFIG_METADATA!$B$4,DATOS!$I$2:$I$20000,"Conjunto"),"")))</f>
        <v/>
      </c>
      <c r="E553" t="str">
        <f>IF(A553="","",IF(A553="[FÓRMULA MANUAL]","",IFERROR(SUMPRODUCT((DATOS!$A$2:$A$20000=A553)*(DATOS!$G$2:$G$20000=CONFIG_METADATA!$B$4)*(COUNTIF(CONFIG_ASIGNATURAS!$B$7:$B$27,DATOS!$I$2:$I$20000)&gt;0)*(DATOS!$K$2:$K$20000))/SUMPRODUCT((DATOS!$A$2:$A$20000=A553)*(DATOS!$G$2:$G$20000=CONFIG_METADATA!$B$4)*(COUNTIF(CONFIG_ASIGNATURAS!$B$7:$B$27,DATOS!$I$2:$I$20000)&gt;0)*1),"")))</f>
        <v/>
      </c>
      <c r="H553" t="str">
        <f>IF(G553="","",IF(G553="[FÓRMULA MANUAL]","",IFERROR(AVERAGEIFS(DATOS!$K$2:$K$20000,DATOS!$A$2:$A$20000,G553,DATOS!$G$2:$G$20000,CONFIG_METADATA!$B$4,DATOS!$I$2:$I$20000,"Lenguaje Musical"),"")))</f>
        <v/>
      </c>
      <c r="I553" t="str">
        <f>IF(G553="","",IF(G553="[FÓRMULA MANUAL]","",IFERROR(AVERAGEIFS(DATOS!$K$2:$K$20000,DATOS!$A$2:$A$20000,G553,DATOS!$G$2:$G$20000,CONFIG_METADATA!$B$4,DATOS!$I$2:$I$20000,"Orquesta/Banda/Conjunto"),"")))</f>
        <v/>
      </c>
      <c r="J553" t="str">
        <f>IF(G553="","",IF(G553="[FÓRMULA MANUAL]","",IFERROR(AVERAGEIFS(DATOS!$K$2:$K$20000,DATOS!$A$2:$A$20000,G553,DATOS!$G$2:$G$20000,CONFIG_METADATA!$B$4,DATOS!$I$2:$I$20000,"Conjunto"),"")))</f>
        <v/>
      </c>
      <c r="K553" t="str">
        <f>IF(G553="","",IF(G553="[FÓRMULA MANUAL]","",IFERROR(SUMPRODUCT((DATOS!$A$2:$A$20000=G553)*(DATOS!$G$2:$G$20000=CONFIG_METADATA!$B$4)*(COUNTIF(CONFIG_ASIGNATURAS!$B$7:$B$27,DATOS!$I$2:$I$20000)&gt;0)*(DATOS!$K$2:$K$20000))/SUMPRODUCT((DATOS!$A$2:$A$20000=G553)*(DATOS!$G$2:$G$20000=CONFIG_METADATA!$B$4)*(COUNTIF(CONFIG_ASIGNATURAS!$B$7:$B$27,DATOS!$I$2:$I$20000)&gt;0)*1),"")))</f>
        <v/>
      </c>
      <c r="N553" t="str">
        <f>IF(M553="","",IF(M553="[FÓRMULA MANUAL]","",IFERROR(AVERAGEIFS(DATOS!$K$2:$K$20000,DATOS!$A$2:$A$20000,M553,DATOS!$G$2:$G$20000,CONFIG_METADATA!$B$4,DATOS!$I$2:$I$20000,"Armonía"),"")))</f>
        <v/>
      </c>
      <c r="O553" t="str">
        <f>IF(M553="","",IF(M553="[FÓRMULA MANUAL]","",IFERROR(AVERAGEIFS(DATOS!$K$2:$K$20000,DATOS!$A$2:$A$20000,M553,DATOS!$G$2:$G$20000,CONFIG_METADATA!$B$4,DATOS!$I$2:$I$20000,"Orquesta/Banda/Conjunto"),"")))</f>
        <v/>
      </c>
      <c r="P553" t="str">
        <f>IF(M553="","",IF(M553="[FÓRMULA MANUAL]","",IFERROR(AVERAGEIFS(DATOS!$K$2:$K$20000,DATOS!$A$2:$A$20000,M553,DATOS!$G$2:$G$20000,CONFIG_METADATA!$B$4,DATOS!$I$2:$I$20000,"Música de Cámara"),"")))</f>
        <v/>
      </c>
      <c r="Q553" t="str">
        <f>IF(M553="","",IF(M553="[FÓRMULA MANUAL]","",IFERROR(SUMPRODUCT((DATOS!$A$2:$A$20000=M553)*(DATOS!$G$2:$G$20000=CONFIG_METADATA!$B$4)*(COUNTIF(CONFIG_ASIGNATURAS!$B$7:$B$27,DATOS!$I$2:$I$20000)&gt;0)*(DATOS!$K$2:$K$20000))/SUMPRODUCT((DATOS!$A$2:$A$20000=M553)*(DATOS!$G$2:$G$20000=CONFIG_METADATA!$B$4)*(COUNTIF(CONFIG_ASIGNATURAS!$B$7:$B$27,DATOS!$I$2:$I$20000)&gt;0)*1),"")))</f>
        <v/>
      </c>
      <c r="T553" t="str">
        <f>IF(S553="","",IF(S553="[FÓRMULA MANUAL]","",IFERROR(AVERAGEIFS(DATOS!$K$2:$K$20000,DATOS!$A$2:$A$20000,S553,DATOS!$G$2:$G$20000,CONFIG_METADATA!$B$4,DATOS!$I$2:$I$20000,"Armonía"),"")))</f>
        <v/>
      </c>
      <c r="U553" t="str">
        <f>IF(S553="","",IF(S553="[FÓRMULA MANUAL]","",IFERROR(AVERAGEIFS(DATOS!$K$2:$K$20000,DATOS!$A$2:$A$20000,S553,DATOS!$G$2:$G$20000,CONFIG_METADATA!$B$4,DATOS!$I$2:$I$20000,"Orquesta/Banda/Conjunto"),"")))</f>
        <v/>
      </c>
      <c r="V553" t="str">
        <f>IF(S553="","",IF(S553="[FÓRMULA MANUAL]","",IFERROR(AVERAGEIFS(DATOS!$K$2:$K$20000,DATOS!$A$2:$A$20000,S553,DATOS!$G$2:$G$20000,CONFIG_METADATA!$B$4,DATOS!$I$2:$I$20000,"Música de Cámara"),"")))</f>
        <v/>
      </c>
      <c r="W553" t="str">
        <f>IF(S553="","",IF(S553="[FÓRMULA MANUAL]","",IFERROR(SUMPRODUCT((DATOS!$A$2:$A$20000=S553)*(DATOS!$G$2:$G$20000=CONFIG_METADATA!$B$4)*(COUNTIF(CONFIG_ASIGNATURAS!$B$7:$B$27,DATOS!$I$2:$I$20000)&gt;0)*(DATOS!$K$2:$K$20000))/SUMPRODUCT((DATOS!$A$2:$A$20000=S553)*(DATOS!$G$2:$G$20000=CONFIG_METADATA!$B$4)*(COUNTIF(CONFIG_ASIGNATURAS!$B$7:$B$27,DATOS!$I$2:$I$20000)&gt;0)*1),"")))</f>
        <v/>
      </c>
      <c r="Z553" t="str">
        <f>IF(Y553="","",IF(Y553="[FÓRMULA MANUAL]","",IFERROR(AVERAGEIFS(DATOS!$K$2:$K$20000,DATOS!$A$2:$A$20000,Y553,DATOS!$G$2:$G$20000,CONFIG_METADATA!$B$4,DATOS!$I$2:$I$20000,"Análisis"),"")))</f>
        <v/>
      </c>
      <c r="AA553" t="str">
        <f>IF(Y553="","",IF(Y553="[FÓRMULA MANUAL]","",IFERROR(AVERAGEIFS(DATOS!$K$2:$K$20000,DATOS!$A$2:$A$20000,Y553,DATOS!$G$2:$G$20000,CONFIG_METADATA!$B$4,DATOS!$I$2:$I$20000,"Orquesta/Banda/Conjunto"),"")))</f>
        <v/>
      </c>
      <c r="AB553" t="str">
        <f>IF(Y553="","",IF(Y553="[FÓRMULA MANUAL]","",IFERROR(AVERAGEIFS(DATOS!$K$2:$K$20000,DATOS!$A$2:$A$20000,Y553,DATOS!$G$2:$G$20000,CONFIG_METADATA!$B$4,DATOS!$I$2:$I$20000,"Música de Cámara"),"")))</f>
        <v/>
      </c>
      <c r="AC553" t="str">
        <f>IF(Y553="","",IF(Y553="[FÓRMULA MANUAL]","",IFERROR(SUMPRODUCT((DATOS!$A$2:$A$20000=Y553)*(DATOS!$G$2:$G$20000=CONFIG_METADATA!$B$4)*(COUNTIF(CONFIG_ASIGNATURAS!$B$7:$B$27,DATOS!$I$2:$I$20000)&gt;0)*(DATOS!$K$2:$K$20000))/SUMPRODUCT((DATOS!$A$2:$A$20000=Y553)*(DATOS!$G$2:$G$20000=CONFIG_METADATA!$B$4)*(COUNTIF(CONFIG_ASIGNATURAS!$B$7:$B$27,DATOS!$I$2:$I$20000)&gt;0)*1),"")))</f>
        <v/>
      </c>
      <c r="AF553" t="str">
        <f>IF(AE553="","",IF(AE553="[FÓRMULA MANUAL]","",IFERROR(AVERAGEIFS(DATOS!$K$2:$K$20000,DATOS!$A$2:$A$20000,AE553,DATOS!$G$2:$G$20000,CONFIG_METADATA!$B$4,DATOS!$I$2:$I$20000,"Análisis"),"")))</f>
        <v/>
      </c>
      <c r="AG553" t="str">
        <f>IF(AE553="","",IF(AE553="[FÓRMULA MANUAL]","",IFERROR(AVERAGEIFS(DATOS!$K$2:$K$20000,DATOS!$A$2:$A$20000,AE553,DATOS!$G$2:$G$20000,CONFIG_METADATA!$B$4,DATOS!$I$2:$I$20000,"Orquesta/Banda/Conjunto"),"")))</f>
        <v/>
      </c>
      <c r="AH553" t="str">
        <f>IF(AE553="","",IF(AE553="[FÓRMULA MANUAL]","",IFERROR(AVERAGEIFS(DATOS!$K$2:$K$20000,DATOS!$A$2:$A$20000,AE553,DATOS!$G$2:$G$20000,CONFIG_METADATA!$B$4,DATOS!$I$2:$I$20000,"Música de Cámara"),"")))</f>
        <v/>
      </c>
      <c r="AI553" t="str">
        <f>IF(AE553="","",IF(AE553="[FÓRMULA MANUAL]","",IFERROR(SUMPRODUCT((DATOS!$A$2:$A$20000=AE553)*(DATOS!$G$2:$G$20000=CONFIG_METADATA!$B$4)*(COUNTIF(CONFIG_ASIGNATURAS!$B$7:$B$27,DATOS!$I$2:$I$20000)&gt;0)*(DATOS!$K$2:$K$20000))/SUMPRODUCT((DATOS!$A$2:$A$20000=AE553)*(DATOS!$G$2:$G$20000=CONFIG_METADATA!$B$4)*(COUNTIF(CONFIG_ASIGNATURAS!$B$7:$B$27,DATOS!$I$2:$I$20000)&gt;0)*1),"")))</f>
        <v/>
      </c>
    </row>
    <row r="554" spans="2:35" x14ac:dyDescent="0.2">
      <c r="B554" t="str">
        <f>IF(A554="","",IF(A554="[FÓRMULA MANUAL]","",IFERROR(AVERAGEIFS(DATOS!$K$2:$K$20000,DATOS!$A$2:$A$20000,A554,DATOS!$G$2:$G$20000,CONFIG_METADATA!$B$4,DATOS!$I$2:$I$20000,"Lenguaje Musical"),"")))</f>
        <v/>
      </c>
      <c r="C554" t="str">
        <f>IF(A554="","",IF(A554="[FÓRMULA MANUAL]","",IFERROR(AVERAGEIFS(DATOS!$K$2:$K$20000,DATOS!$A$2:$A$20000,A554,DATOS!$G$2:$G$20000,CONFIG_METADATA!$B$4,DATOS!$I$2:$I$20000,"Orquesta/Banda/Conjunto"),"")))</f>
        <v/>
      </c>
      <c r="D554" t="str">
        <f>IF(A554="","",IF(A554="[FÓRMULA MANUAL]","",IFERROR(AVERAGEIFS(DATOS!$K$2:$K$20000,DATOS!$A$2:$A$20000,A554,DATOS!$G$2:$G$20000,CONFIG_METADATA!$B$4,DATOS!$I$2:$I$20000,"Conjunto"),"")))</f>
        <v/>
      </c>
      <c r="E554" t="str">
        <f>IF(A554="","",IF(A554="[FÓRMULA MANUAL]","",IFERROR(SUMPRODUCT((DATOS!$A$2:$A$20000=A554)*(DATOS!$G$2:$G$20000=CONFIG_METADATA!$B$4)*(COUNTIF(CONFIG_ASIGNATURAS!$B$7:$B$27,DATOS!$I$2:$I$20000)&gt;0)*(DATOS!$K$2:$K$20000))/SUMPRODUCT((DATOS!$A$2:$A$20000=A554)*(DATOS!$G$2:$G$20000=CONFIG_METADATA!$B$4)*(COUNTIF(CONFIG_ASIGNATURAS!$B$7:$B$27,DATOS!$I$2:$I$20000)&gt;0)*1),"")))</f>
        <v/>
      </c>
      <c r="H554" t="str">
        <f>IF(G554="","",IF(G554="[FÓRMULA MANUAL]","",IFERROR(AVERAGEIFS(DATOS!$K$2:$K$20000,DATOS!$A$2:$A$20000,G554,DATOS!$G$2:$G$20000,CONFIG_METADATA!$B$4,DATOS!$I$2:$I$20000,"Lenguaje Musical"),"")))</f>
        <v/>
      </c>
      <c r="I554" t="str">
        <f>IF(G554="","",IF(G554="[FÓRMULA MANUAL]","",IFERROR(AVERAGEIFS(DATOS!$K$2:$K$20000,DATOS!$A$2:$A$20000,G554,DATOS!$G$2:$G$20000,CONFIG_METADATA!$B$4,DATOS!$I$2:$I$20000,"Orquesta/Banda/Conjunto"),"")))</f>
        <v/>
      </c>
      <c r="J554" t="str">
        <f>IF(G554="","",IF(G554="[FÓRMULA MANUAL]","",IFERROR(AVERAGEIFS(DATOS!$K$2:$K$20000,DATOS!$A$2:$A$20000,G554,DATOS!$G$2:$G$20000,CONFIG_METADATA!$B$4,DATOS!$I$2:$I$20000,"Conjunto"),"")))</f>
        <v/>
      </c>
      <c r="K554" t="str">
        <f>IF(G554="","",IF(G554="[FÓRMULA MANUAL]","",IFERROR(SUMPRODUCT((DATOS!$A$2:$A$20000=G554)*(DATOS!$G$2:$G$20000=CONFIG_METADATA!$B$4)*(COUNTIF(CONFIG_ASIGNATURAS!$B$7:$B$27,DATOS!$I$2:$I$20000)&gt;0)*(DATOS!$K$2:$K$20000))/SUMPRODUCT((DATOS!$A$2:$A$20000=G554)*(DATOS!$G$2:$G$20000=CONFIG_METADATA!$B$4)*(COUNTIF(CONFIG_ASIGNATURAS!$B$7:$B$27,DATOS!$I$2:$I$20000)&gt;0)*1),"")))</f>
        <v/>
      </c>
      <c r="N554" t="str">
        <f>IF(M554="","",IF(M554="[FÓRMULA MANUAL]","",IFERROR(AVERAGEIFS(DATOS!$K$2:$K$20000,DATOS!$A$2:$A$20000,M554,DATOS!$G$2:$G$20000,CONFIG_METADATA!$B$4,DATOS!$I$2:$I$20000,"Armonía"),"")))</f>
        <v/>
      </c>
      <c r="O554" t="str">
        <f>IF(M554="","",IF(M554="[FÓRMULA MANUAL]","",IFERROR(AVERAGEIFS(DATOS!$K$2:$K$20000,DATOS!$A$2:$A$20000,M554,DATOS!$G$2:$G$20000,CONFIG_METADATA!$B$4,DATOS!$I$2:$I$20000,"Orquesta/Banda/Conjunto"),"")))</f>
        <v/>
      </c>
      <c r="P554" t="str">
        <f>IF(M554="","",IF(M554="[FÓRMULA MANUAL]","",IFERROR(AVERAGEIFS(DATOS!$K$2:$K$20000,DATOS!$A$2:$A$20000,M554,DATOS!$G$2:$G$20000,CONFIG_METADATA!$B$4,DATOS!$I$2:$I$20000,"Música de Cámara"),"")))</f>
        <v/>
      </c>
      <c r="Q554" t="str">
        <f>IF(M554="","",IF(M554="[FÓRMULA MANUAL]","",IFERROR(SUMPRODUCT((DATOS!$A$2:$A$20000=M554)*(DATOS!$G$2:$G$20000=CONFIG_METADATA!$B$4)*(COUNTIF(CONFIG_ASIGNATURAS!$B$7:$B$27,DATOS!$I$2:$I$20000)&gt;0)*(DATOS!$K$2:$K$20000))/SUMPRODUCT((DATOS!$A$2:$A$20000=M554)*(DATOS!$G$2:$G$20000=CONFIG_METADATA!$B$4)*(COUNTIF(CONFIG_ASIGNATURAS!$B$7:$B$27,DATOS!$I$2:$I$20000)&gt;0)*1),"")))</f>
        <v/>
      </c>
      <c r="T554" t="str">
        <f>IF(S554="","",IF(S554="[FÓRMULA MANUAL]","",IFERROR(AVERAGEIFS(DATOS!$K$2:$K$20000,DATOS!$A$2:$A$20000,S554,DATOS!$G$2:$G$20000,CONFIG_METADATA!$B$4,DATOS!$I$2:$I$20000,"Armonía"),"")))</f>
        <v/>
      </c>
      <c r="U554" t="str">
        <f>IF(S554="","",IF(S554="[FÓRMULA MANUAL]","",IFERROR(AVERAGEIFS(DATOS!$K$2:$K$20000,DATOS!$A$2:$A$20000,S554,DATOS!$G$2:$G$20000,CONFIG_METADATA!$B$4,DATOS!$I$2:$I$20000,"Orquesta/Banda/Conjunto"),"")))</f>
        <v/>
      </c>
      <c r="V554" t="str">
        <f>IF(S554="","",IF(S554="[FÓRMULA MANUAL]","",IFERROR(AVERAGEIFS(DATOS!$K$2:$K$20000,DATOS!$A$2:$A$20000,S554,DATOS!$G$2:$G$20000,CONFIG_METADATA!$B$4,DATOS!$I$2:$I$20000,"Música de Cámara"),"")))</f>
        <v/>
      </c>
      <c r="W554" t="str">
        <f>IF(S554="","",IF(S554="[FÓRMULA MANUAL]","",IFERROR(SUMPRODUCT((DATOS!$A$2:$A$20000=S554)*(DATOS!$G$2:$G$20000=CONFIG_METADATA!$B$4)*(COUNTIF(CONFIG_ASIGNATURAS!$B$7:$B$27,DATOS!$I$2:$I$20000)&gt;0)*(DATOS!$K$2:$K$20000))/SUMPRODUCT((DATOS!$A$2:$A$20000=S554)*(DATOS!$G$2:$G$20000=CONFIG_METADATA!$B$4)*(COUNTIF(CONFIG_ASIGNATURAS!$B$7:$B$27,DATOS!$I$2:$I$20000)&gt;0)*1),"")))</f>
        <v/>
      </c>
      <c r="Z554" t="str">
        <f>IF(Y554="","",IF(Y554="[FÓRMULA MANUAL]","",IFERROR(AVERAGEIFS(DATOS!$K$2:$K$20000,DATOS!$A$2:$A$20000,Y554,DATOS!$G$2:$G$20000,CONFIG_METADATA!$B$4,DATOS!$I$2:$I$20000,"Análisis"),"")))</f>
        <v/>
      </c>
      <c r="AA554" t="str">
        <f>IF(Y554="","",IF(Y554="[FÓRMULA MANUAL]","",IFERROR(AVERAGEIFS(DATOS!$K$2:$K$20000,DATOS!$A$2:$A$20000,Y554,DATOS!$G$2:$G$20000,CONFIG_METADATA!$B$4,DATOS!$I$2:$I$20000,"Orquesta/Banda/Conjunto"),"")))</f>
        <v/>
      </c>
      <c r="AB554" t="str">
        <f>IF(Y554="","",IF(Y554="[FÓRMULA MANUAL]","",IFERROR(AVERAGEIFS(DATOS!$K$2:$K$20000,DATOS!$A$2:$A$20000,Y554,DATOS!$G$2:$G$20000,CONFIG_METADATA!$B$4,DATOS!$I$2:$I$20000,"Música de Cámara"),"")))</f>
        <v/>
      </c>
      <c r="AC554" t="str">
        <f>IF(Y554="","",IF(Y554="[FÓRMULA MANUAL]","",IFERROR(SUMPRODUCT((DATOS!$A$2:$A$20000=Y554)*(DATOS!$G$2:$G$20000=CONFIG_METADATA!$B$4)*(COUNTIF(CONFIG_ASIGNATURAS!$B$7:$B$27,DATOS!$I$2:$I$20000)&gt;0)*(DATOS!$K$2:$K$20000))/SUMPRODUCT((DATOS!$A$2:$A$20000=Y554)*(DATOS!$G$2:$G$20000=CONFIG_METADATA!$B$4)*(COUNTIF(CONFIG_ASIGNATURAS!$B$7:$B$27,DATOS!$I$2:$I$20000)&gt;0)*1),"")))</f>
        <v/>
      </c>
      <c r="AF554" t="str">
        <f>IF(AE554="","",IF(AE554="[FÓRMULA MANUAL]","",IFERROR(AVERAGEIFS(DATOS!$K$2:$K$20000,DATOS!$A$2:$A$20000,AE554,DATOS!$G$2:$G$20000,CONFIG_METADATA!$B$4,DATOS!$I$2:$I$20000,"Análisis"),"")))</f>
        <v/>
      </c>
      <c r="AG554" t="str">
        <f>IF(AE554="","",IF(AE554="[FÓRMULA MANUAL]","",IFERROR(AVERAGEIFS(DATOS!$K$2:$K$20000,DATOS!$A$2:$A$20000,AE554,DATOS!$G$2:$G$20000,CONFIG_METADATA!$B$4,DATOS!$I$2:$I$20000,"Orquesta/Banda/Conjunto"),"")))</f>
        <v/>
      </c>
      <c r="AH554" t="str">
        <f>IF(AE554="","",IF(AE554="[FÓRMULA MANUAL]","",IFERROR(AVERAGEIFS(DATOS!$K$2:$K$20000,DATOS!$A$2:$A$20000,AE554,DATOS!$G$2:$G$20000,CONFIG_METADATA!$B$4,DATOS!$I$2:$I$20000,"Música de Cámara"),"")))</f>
        <v/>
      </c>
      <c r="AI554" t="str">
        <f>IF(AE554="","",IF(AE554="[FÓRMULA MANUAL]","",IFERROR(SUMPRODUCT((DATOS!$A$2:$A$20000=AE554)*(DATOS!$G$2:$G$20000=CONFIG_METADATA!$B$4)*(COUNTIF(CONFIG_ASIGNATURAS!$B$7:$B$27,DATOS!$I$2:$I$20000)&gt;0)*(DATOS!$K$2:$K$20000))/SUMPRODUCT((DATOS!$A$2:$A$20000=AE554)*(DATOS!$G$2:$G$20000=CONFIG_METADATA!$B$4)*(COUNTIF(CONFIG_ASIGNATURAS!$B$7:$B$27,DATOS!$I$2:$I$20000)&gt;0)*1),"")))</f>
        <v/>
      </c>
    </row>
    <row r="555" spans="2:35" x14ac:dyDescent="0.2">
      <c r="B555" t="str">
        <f>IF(A555="","",IF(A555="[FÓRMULA MANUAL]","",IFERROR(AVERAGEIFS(DATOS!$K$2:$K$20000,DATOS!$A$2:$A$20000,A555,DATOS!$G$2:$G$20000,CONFIG_METADATA!$B$4,DATOS!$I$2:$I$20000,"Lenguaje Musical"),"")))</f>
        <v/>
      </c>
      <c r="C555" t="str">
        <f>IF(A555="","",IF(A555="[FÓRMULA MANUAL]","",IFERROR(AVERAGEIFS(DATOS!$K$2:$K$20000,DATOS!$A$2:$A$20000,A555,DATOS!$G$2:$G$20000,CONFIG_METADATA!$B$4,DATOS!$I$2:$I$20000,"Orquesta/Banda/Conjunto"),"")))</f>
        <v/>
      </c>
      <c r="D555" t="str">
        <f>IF(A555="","",IF(A555="[FÓRMULA MANUAL]","",IFERROR(AVERAGEIFS(DATOS!$K$2:$K$20000,DATOS!$A$2:$A$20000,A555,DATOS!$G$2:$G$20000,CONFIG_METADATA!$B$4,DATOS!$I$2:$I$20000,"Conjunto"),"")))</f>
        <v/>
      </c>
      <c r="E555" t="str">
        <f>IF(A555="","",IF(A555="[FÓRMULA MANUAL]","",IFERROR(SUMPRODUCT((DATOS!$A$2:$A$20000=A555)*(DATOS!$G$2:$G$20000=CONFIG_METADATA!$B$4)*(COUNTIF(CONFIG_ASIGNATURAS!$B$7:$B$27,DATOS!$I$2:$I$20000)&gt;0)*(DATOS!$K$2:$K$20000))/SUMPRODUCT((DATOS!$A$2:$A$20000=A555)*(DATOS!$G$2:$G$20000=CONFIG_METADATA!$B$4)*(COUNTIF(CONFIG_ASIGNATURAS!$B$7:$B$27,DATOS!$I$2:$I$20000)&gt;0)*1),"")))</f>
        <v/>
      </c>
      <c r="H555" t="str">
        <f>IF(G555="","",IF(G555="[FÓRMULA MANUAL]","",IFERROR(AVERAGEIFS(DATOS!$K$2:$K$20000,DATOS!$A$2:$A$20000,G555,DATOS!$G$2:$G$20000,CONFIG_METADATA!$B$4,DATOS!$I$2:$I$20000,"Lenguaje Musical"),"")))</f>
        <v/>
      </c>
      <c r="I555" t="str">
        <f>IF(G555="","",IF(G555="[FÓRMULA MANUAL]","",IFERROR(AVERAGEIFS(DATOS!$K$2:$K$20000,DATOS!$A$2:$A$20000,G555,DATOS!$G$2:$G$20000,CONFIG_METADATA!$B$4,DATOS!$I$2:$I$20000,"Orquesta/Banda/Conjunto"),"")))</f>
        <v/>
      </c>
      <c r="J555" t="str">
        <f>IF(G555="","",IF(G555="[FÓRMULA MANUAL]","",IFERROR(AVERAGEIFS(DATOS!$K$2:$K$20000,DATOS!$A$2:$A$20000,G555,DATOS!$G$2:$G$20000,CONFIG_METADATA!$B$4,DATOS!$I$2:$I$20000,"Conjunto"),"")))</f>
        <v/>
      </c>
      <c r="K555" t="str">
        <f>IF(G555="","",IF(G555="[FÓRMULA MANUAL]","",IFERROR(SUMPRODUCT((DATOS!$A$2:$A$20000=G555)*(DATOS!$G$2:$G$20000=CONFIG_METADATA!$B$4)*(COUNTIF(CONFIG_ASIGNATURAS!$B$7:$B$27,DATOS!$I$2:$I$20000)&gt;0)*(DATOS!$K$2:$K$20000))/SUMPRODUCT((DATOS!$A$2:$A$20000=G555)*(DATOS!$G$2:$G$20000=CONFIG_METADATA!$B$4)*(COUNTIF(CONFIG_ASIGNATURAS!$B$7:$B$27,DATOS!$I$2:$I$20000)&gt;0)*1),"")))</f>
        <v/>
      </c>
      <c r="N555" t="str">
        <f>IF(M555="","",IF(M555="[FÓRMULA MANUAL]","",IFERROR(AVERAGEIFS(DATOS!$K$2:$K$20000,DATOS!$A$2:$A$20000,M555,DATOS!$G$2:$G$20000,CONFIG_METADATA!$B$4,DATOS!$I$2:$I$20000,"Armonía"),"")))</f>
        <v/>
      </c>
      <c r="O555" t="str">
        <f>IF(M555="","",IF(M555="[FÓRMULA MANUAL]","",IFERROR(AVERAGEIFS(DATOS!$K$2:$K$20000,DATOS!$A$2:$A$20000,M555,DATOS!$G$2:$G$20000,CONFIG_METADATA!$B$4,DATOS!$I$2:$I$20000,"Orquesta/Banda/Conjunto"),"")))</f>
        <v/>
      </c>
      <c r="P555" t="str">
        <f>IF(M555="","",IF(M555="[FÓRMULA MANUAL]","",IFERROR(AVERAGEIFS(DATOS!$K$2:$K$20000,DATOS!$A$2:$A$20000,M555,DATOS!$G$2:$G$20000,CONFIG_METADATA!$B$4,DATOS!$I$2:$I$20000,"Música de Cámara"),"")))</f>
        <v/>
      </c>
      <c r="Q555" t="str">
        <f>IF(M555="","",IF(M555="[FÓRMULA MANUAL]","",IFERROR(SUMPRODUCT((DATOS!$A$2:$A$20000=M555)*(DATOS!$G$2:$G$20000=CONFIG_METADATA!$B$4)*(COUNTIF(CONFIG_ASIGNATURAS!$B$7:$B$27,DATOS!$I$2:$I$20000)&gt;0)*(DATOS!$K$2:$K$20000))/SUMPRODUCT((DATOS!$A$2:$A$20000=M555)*(DATOS!$G$2:$G$20000=CONFIG_METADATA!$B$4)*(COUNTIF(CONFIG_ASIGNATURAS!$B$7:$B$27,DATOS!$I$2:$I$20000)&gt;0)*1),"")))</f>
        <v/>
      </c>
      <c r="T555" t="str">
        <f>IF(S555="","",IF(S555="[FÓRMULA MANUAL]","",IFERROR(AVERAGEIFS(DATOS!$K$2:$K$20000,DATOS!$A$2:$A$20000,S555,DATOS!$G$2:$G$20000,CONFIG_METADATA!$B$4,DATOS!$I$2:$I$20000,"Armonía"),"")))</f>
        <v/>
      </c>
      <c r="U555" t="str">
        <f>IF(S555="","",IF(S555="[FÓRMULA MANUAL]","",IFERROR(AVERAGEIFS(DATOS!$K$2:$K$20000,DATOS!$A$2:$A$20000,S555,DATOS!$G$2:$G$20000,CONFIG_METADATA!$B$4,DATOS!$I$2:$I$20000,"Orquesta/Banda/Conjunto"),"")))</f>
        <v/>
      </c>
      <c r="V555" t="str">
        <f>IF(S555="","",IF(S555="[FÓRMULA MANUAL]","",IFERROR(AVERAGEIFS(DATOS!$K$2:$K$20000,DATOS!$A$2:$A$20000,S555,DATOS!$G$2:$G$20000,CONFIG_METADATA!$B$4,DATOS!$I$2:$I$20000,"Música de Cámara"),"")))</f>
        <v/>
      </c>
      <c r="W555" t="str">
        <f>IF(S555="","",IF(S555="[FÓRMULA MANUAL]","",IFERROR(SUMPRODUCT((DATOS!$A$2:$A$20000=S555)*(DATOS!$G$2:$G$20000=CONFIG_METADATA!$B$4)*(COUNTIF(CONFIG_ASIGNATURAS!$B$7:$B$27,DATOS!$I$2:$I$20000)&gt;0)*(DATOS!$K$2:$K$20000))/SUMPRODUCT((DATOS!$A$2:$A$20000=S555)*(DATOS!$G$2:$G$20000=CONFIG_METADATA!$B$4)*(COUNTIF(CONFIG_ASIGNATURAS!$B$7:$B$27,DATOS!$I$2:$I$20000)&gt;0)*1),"")))</f>
        <v/>
      </c>
      <c r="Z555" t="str">
        <f>IF(Y555="","",IF(Y555="[FÓRMULA MANUAL]","",IFERROR(AVERAGEIFS(DATOS!$K$2:$K$20000,DATOS!$A$2:$A$20000,Y555,DATOS!$G$2:$G$20000,CONFIG_METADATA!$B$4,DATOS!$I$2:$I$20000,"Análisis"),"")))</f>
        <v/>
      </c>
      <c r="AA555" t="str">
        <f>IF(Y555="","",IF(Y555="[FÓRMULA MANUAL]","",IFERROR(AVERAGEIFS(DATOS!$K$2:$K$20000,DATOS!$A$2:$A$20000,Y555,DATOS!$G$2:$G$20000,CONFIG_METADATA!$B$4,DATOS!$I$2:$I$20000,"Orquesta/Banda/Conjunto"),"")))</f>
        <v/>
      </c>
      <c r="AB555" t="str">
        <f>IF(Y555="","",IF(Y555="[FÓRMULA MANUAL]","",IFERROR(AVERAGEIFS(DATOS!$K$2:$K$20000,DATOS!$A$2:$A$20000,Y555,DATOS!$G$2:$G$20000,CONFIG_METADATA!$B$4,DATOS!$I$2:$I$20000,"Música de Cámara"),"")))</f>
        <v/>
      </c>
      <c r="AC555" t="str">
        <f>IF(Y555="","",IF(Y555="[FÓRMULA MANUAL]","",IFERROR(SUMPRODUCT((DATOS!$A$2:$A$20000=Y555)*(DATOS!$G$2:$G$20000=CONFIG_METADATA!$B$4)*(COUNTIF(CONFIG_ASIGNATURAS!$B$7:$B$27,DATOS!$I$2:$I$20000)&gt;0)*(DATOS!$K$2:$K$20000))/SUMPRODUCT((DATOS!$A$2:$A$20000=Y555)*(DATOS!$G$2:$G$20000=CONFIG_METADATA!$B$4)*(COUNTIF(CONFIG_ASIGNATURAS!$B$7:$B$27,DATOS!$I$2:$I$20000)&gt;0)*1),"")))</f>
        <v/>
      </c>
      <c r="AF555" t="str">
        <f>IF(AE555="","",IF(AE555="[FÓRMULA MANUAL]","",IFERROR(AVERAGEIFS(DATOS!$K$2:$K$20000,DATOS!$A$2:$A$20000,AE555,DATOS!$G$2:$G$20000,CONFIG_METADATA!$B$4,DATOS!$I$2:$I$20000,"Análisis"),"")))</f>
        <v/>
      </c>
      <c r="AG555" t="str">
        <f>IF(AE555="","",IF(AE555="[FÓRMULA MANUAL]","",IFERROR(AVERAGEIFS(DATOS!$K$2:$K$20000,DATOS!$A$2:$A$20000,AE555,DATOS!$G$2:$G$20000,CONFIG_METADATA!$B$4,DATOS!$I$2:$I$20000,"Orquesta/Banda/Conjunto"),"")))</f>
        <v/>
      </c>
      <c r="AH555" t="str">
        <f>IF(AE555="","",IF(AE555="[FÓRMULA MANUAL]","",IFERROR(AVERAGEIFS(DATOS!$K$2:$K$20000,DATOS!$A$2:$A$20000,AE555,DATOS!$G$2:$G$20000,CONFIG_METADATA!$B$4,DATOS!$I$2:$I$20000,"Música de Cámara"),"")))</f>
        <v/>
      </c>
      <c r="AI555" t="str">
        <f>IF(AE555="","",IF(AE555="[FÓRMULA MANUAL]","",IFERROR(SUMPRODUCT((DATOS!$A$2:$A$20000=AE555)*(DATOS!$G$2:$G$20000=CONFIG_METADATA!$B$4)*(COUNTIF(CONFIG_ASIGNATURAS!$B$7:$B$27,DATOS!$I$2:$I$20000)&gt;0)*(DATOS!$K$2:$K$20000))/SUMPRODUCT((DATOS!$A$2:$A$20000=AE555)*(DATOS!$G$2:$G$20000=CONFIG_METADATA!$B$4)*(COUNTIF(CONFIG_ASIGNATURAS!$B$7:$B$27,DATOS!$I$2:$I$20000)&gt;0)*1),"")))</f>
        <v/>
      </c>
    </row>
    <row r="556" spans="2:35" x14ac:dyDescent="0.2">
      <c r="B556" t="str">
        <f>IF(A556="","",IF(A556="[FÓRMULA MANUAL]","",IFERROR(AVERAGEIFS(DATOS!$K$2:$K$20000,DATOS!$A$2:$A$20000,A556,DATOS!$G$2:$G$20000,CONFIG_METADATA!$B$4,DATOS!$I$2:$I$20000,"Lenguaje Musical"),"")))</f>
        <v/>
      </c>
      <c r="C556" t="str">
        <f>IF(A556="","",IF(A556="[FÓRMULA MANUAL]","",IFERROR(AVERAGEIFS(DATOS!$K$2:$K$20000,DATOS!$A$2:$A$20000,A556,DATOS!$G$2:$G$20000,CONFIG_METADATA!$B$4,DATOS!$I$2:$I$20000,"Orquesta/Banda/Conjunto"),"")))</f>
        <v/>
      </c>
      <c r="D556" t="str">
        <f>IF(A556="","",IF(A556="[FÓRMULA MANUAL]","",IFERROR(AVERAGEIFS(DATOS!$K$2:$K$20000,DATOS!$A$2:$A$20000,A556,DATOS!$G$2:$G$20000,CONFIG_METADATA!$B$4,DATOS!$I$2:$I$20000,"Conjunto"),"")))</f>
        <v/>
      </c>
      <c r="E556" t="str">
        <f>IF(A556="","",IF(A556="[FÓRMULA MANUAL]","",IFERROR(SUMPRODUCT((DATOS!$A$2:$A$20000=A556)*(DATOS!$G$2:$G$20000=CONFIG_METADATA!$B$4)*(COUNTIF(CONFIG_ASIGNATURAS!$B$7:$B$27,DATOS!$I$2:$I$20000)&gt;0)*(DATOS!$K$2:$K$20000))/SUMPRODUCT((DATOS!$A$2:$A$20000=A556)*(DATOS!$G$2:$G$20000=CONFIG_METADATA!$B$4)*(COUNTIF(CONFIG_ASIGNATURAS!$B$7:$B$27,DATOS!$I$2:$I$20000)&gt;0)*1),"")))</f>
        <v/>
      </c>
      <c r="H556" t="str">
        <f>IF(G556="","",IF(G556="[FÓRMULA MANUAL]","",IFERROR(AVERAGEIFS(DATOS!$K$2:$K$20000,DATOS!$A$2:$A$20000,G556,DATOS!$G$2:$G$20000,CONFIG_METADATA!$B$4,DATOS!$I$2:$I$20000,"Lenguaje Musical"),"")))</f>
        <v/>
      </c>
      <c r="I556" t="str">
        <f>IF(G556="","",IF(G556="[FÓRMULA MANUAL]","",IFERROR(AVERAGEIFS(DATOS!$K$2:$K$20000,DATOS!$A$2:$A$20000,G556,DATOS!$G$2:$G$20000,CONFIG_METADATA!$B$4,DATOS!$I$2:$I$20000,"Orquesta/Banda/Conjunto"),"")))</f>
        <v/>
      </c>
      <c r="J556" t="str">
        <f>IF(G556="","",IF(G556="[FÓRMULA MANUAL]","",IFERROR(AVERAGEIFS(DATOS!$K$2:$K$20000,DATOS!$A$2:$A$20000,G556,DATOS!$G$2:$G$20000,CONFIG_METADATA!$B$4,DATOS!$I$2:$I$20000,"Conjunto"),"")))</f>
        <v/>
      </c>
      <c r="K556" t="str">
        <f>IF(G556="","",IF(G556="[FÓRMULA MANUAL]","",IFERROR(SUMPRODUCT((DATOS!$A$2:$A$20000=G556)*(DATOS!$G$2:$G$20000=CONFIG_METADATA!$B$4)*(COUNTIF(CONFIG_ASIGNATURAS!$B$7:$B$27,DATOS!$I$2:$I$20000)&gt;0)*(DATOS!$K$2:$K$20000))/SUMPRODUCT((DATOS!$A$2:$A$20000=G556)*(DATOS!$G$2:$G$20000=CONFIG_METADATA!$B$4)*(COUNTIF(CONFIG_ASIGNATURAS!$B$7:$B$27,DATOS!$I$2:$I$20000)&gt;0)*1),"")))</f>
        <v/>
      </c>
      <c r="N556" t="str">
        <f>IF(M556="","",IF(M556="[FÓRMULA MANUAL]","",IFERROR(AVERAGEIFS(DATOS!$K$2:$K$20000,DATOS!$A$2:$A$20000,M556,DATOS!$G$2:$G$20000,CONFIG_METADATA!$B$4,DATOS!$I$2:$I$20000,"Armonía"),"")))</f>
        <v/>
      </c>
      <c r="O556" t="str">
        <f>IF(M556="","",IF(M556="[FÓRMULA MANUAL]","",IFERROR(AVERAGEIFS(DATOS!$K$2:$K$20000,DATOS!$A$2:$A$20000,M556,DATOS!$G$2:$G$20000,CONFIG_METADATA!$B$4,DATOS!$I$2:$I$20000,"Orquesta/Banda/Conjunto"),"")))</f>
        <v/>
      </c>
      <c r="P556" t="str">
        <f>IF(M556="","",IF(M556="[FÓRMULA MANUAL]","",IFERROR(AVERAGEIFS(DATOS!$K$2:$K$20000,DATOS!$A$2:$A$20000,M556,DATOS!$G$2:$G$20000,CONFIG_METADATA!$B$4,DATOS!$I$2:$I$20000,"Música de Cámara"),"")))</f>
        <v/>
      </c>
      <c r="Q556" t="str">
        <f>IF(M556="","",IF(M556="[FÓRMULA MANUAL]","",IFERROR(SUMPRODUCT((DATOS!$A$2:$A$20000=M556)*(DATOS!$G$2:$G$20000=CONFIG_METADATA!$B$4)*(COUNTIF(CONFIG_ASIGNATURAS!$B$7:$B$27,DATOS!$I$2:$I$20000)&gt;0)*(DATOS!$K$2:$K$20000))/SUMPRODUCT((DATOS!$A$2:$A$20000=M556)*(DATOS!$G$2:$G$20000=CONFIG_METADATA!$B$4)*(COUNTIF(CONFIG_ASIGNATURAS!$B$7:$B$27,DATOS!$I$2:$I$20000)&gt;0)*1),"")))</f>
        <v/>
      </c>
      <c r="T556" t="str">
        <f>IF(S556="","",IF(S556="[FÓRMULA MANUAL]","",IFERROR(AVERAGEIFS(DATOS!$K$2:$K$20000,DATOS!$A$2:$A$20000,S556,DATOS!$G$2:$G$20000,CONFIG_METADATA!$B$4,DATOS!$I$2:$I$20000,"Armonía"),"")))</f>
        <v/>
      </c>
      <c r="U556" t="str">
        <f>IF(S556="","",IF(S556="[FÓRMULA MANUAL]","",IFERROR(AVERAGEIFS(DATOS!$K$2:$K$20000,DATOS!$A$2:$A$20000,S556,DATOS!$G$2:$G$20000,CONFIG_METADATA!$B$4,DATOS!$I$2:$I$20000,"Orquesta/Banda/Conjunto"),"")))</f>
        <v/>
      </c>
      <c r="V556" t="str">
        <f>IF(S556="","",IF(S556="[FÓRMULA MANUAL]","",IFERROR(AVERAGEIFS(DATOS!$K$2:$K$20000,DATOS!$A$2:$A$20000,S556,DATOS!$G$2:$G$20000,CONFIG_METADATA!$B$4,DATOS!$I$2:$I$20000,"Música de Cámara"),"")))</f>
        <v/>
      </c>
      <c r="W556" t="str">
        <f>IF(S556="","",IF(S556="[FÓRMULA MANUAL]","",IFERROR(SUMPRODUCT((DATOS!$A$2:$A$20000=S556)*(DATOS!$G$2:$G$20000=CONFIG_METADATA!$B$4)*(COUNTIF(CONFIG_ASIGNATURAS!$B$7:$B$27,DATOS!$I$2:$I$20000)&gt;0)*(DATOS!$K$2:$K$20000))/SUMPRODUCT((DATOS!$A$2:$A$20000=S556)*(DATOS!$G$2:$G$20000=CONFIG_METADATA!$B$4)*(COUNTIF(CONFIG_ASIGNATURAS!$B$7:$B$27,DATOS!$I$2:$I$20000)&gt;0)*1),"")))</f>
        <v/>
      </c>
      <c r="Z556" t="str">
        <f>IF(Y556="","",IF(Y556="[FÓRMULA MANUAL]","",IFERROR(AVERAGEIFS(DATOS!$K$2:$K$20000,DATOS!$A$2:$A$20000,Y556,DATOS!$G$2:$G$20000,CONFIG_METADATA!$B$4,DATOS!$I$2:$I$20000,"Análisis"),"")))</f>
        <v/>
      </c>
      <c r="AA556" t="str">
        <f>IF(Y556="","",IF(Y556="[FÓRMULA MANUAL]","",IFERROR(AVERAGEIFS(DATOS!$K$2:$K$20000,DATOS!$A$2:$A$20000,Y556,DATOS!$G$2:$G$20000,CONFIG_METADATA!$B$4,DATOS!$I$2:$I$20000,"Orquesta/Banda/Conjunto"),"")))</f>
        <v/>
      </c>
      <c r="AB556" t="str">
        <f>IF(Y556="","",IF(Y556="[FÓRMULA MANUAL]","",IFERROR(AVERAGEIFS(DATOS!$K$2:$K$20000,DATOS!$A$2:$A$20000,Y556,DATOS!$G$2:$G$20000,CONFIG_METADATA!$B$4,DATOS!$I$2:$I$20000,"Música de Cámara"),"")))</f>
        <v/>
      </c>
      <c r="AC556" t="str">
        <f>IF(Y556="","",IF(Y556="[FÓRMULA MANUAL]","",IFERROR(SUMPRODUCT((DATOS!$A$2:$A$20000=Y556)*(DATOS!$G$2:$G$20000=CONFIG_METADATA!$B$4)*(COUNTIF(CONFIG_ASIGNATURAS!$B$7:$B$27,DATOS!$I$2:$I$20000)&gt;0)*(DATOS!$K$2:$K$20000))/SUMPRODUCT((DATOS!$A$2:$A$20000=Y556)*(DATOS!$G$2:$G$20000=CONFIG_METADATA!$B$4)*(COUNTIF(CONFIG_ASIGNATURAS!$B$7:$B$27,DATOS!$I$2:$I$20000)&gt;0)*1),"")))</f>
        <v/>
      </c>
      <c r="AF556" t="str">
        <f>IF(AE556="","",IF(AE556="[FÓRMULA MANUAL]","",IFERROR(AVERAGEIFS(DATOS!$K$2:$K$20000,DATOS!$A$2:$A$20000,AE556,DATOS!$G$2:$G$20000,CONFIG_METADATA!$B$4,DATOS!$I$2:$I$20000,"Análisis"),"")))</f>
        <v/>
      </c>
      <c r="AG556" t="str">
        <f>IF(AE556="","",IF(AE556="[FÓRMULA MANUAL]","",IFERROR(AVERAGEIFS(DATOS!$K$2:$K$20000,DATOS!$A$2:$A$20000,AE556,DATOS!$G$2:$G$20000,CONFIG_METADATA!$B$4,DATOS!$I$2:$I$20000,"Orquesta/Banda/Conjunto"),"")))</f>
        <v/>
      </c>
      <c r="AH556" t="str">
        <f>IF(AE556="","",IF(AE556="[FÓRMULA MANUAL]","",IFERROR(AVERAGEIFS(DATOS!$K$2:$K$20000,DATOS!$A$2:$A$20000,AE556,DATOS!$G$2:$G$20000,CONFIG_METADATA!$B$4,DATOS!$I$2:$I$20000,"Música de Cámara"),"")))</f>
        <v/>
      </c>
      <c r="AI556" t="str">
        <f>IF(AE556="","",IF(AE556="[FÓRMULA MANUAL]","",IFERROR(SUMPRODUCT((DATOS!$A$2:$A$20000=AE556)*(DATOS!$G$2:$G$20000=CONFIG_METADATA!$B$4)*(COUNTIF(CONFIG_ASIGNATURAS!$B$7:$B$27,DATOS!$I$2:$I$20000)&gt;0)*(DATOS!$K$2:$K$20000))/SUMPRODUCT((DATOS!$A$2:$A$20000=AE556)*(DATOS!$G$2:$G$20000=CONFIG_METADATA!$B$4)*(COUNTIF(CONFIG_ASIGNATURAS!$B$7:$B$27,DATOS!$I$2:$I$20000)&gt;0)*1),"")))</f>
        <v/>
      </c>
    </row>
    <row r="557" spans="2:35" x14ac:dyDescent="0.2">
      <c r="B557" t="str">
        <f>IF(A557="","",IF(A557="[FÓRMULA MANUAL]","",IFERROR(AVERAGEIFS(DATOS!$K$2:$K$20000,DATOS!$A$2:$A$20000,A557,DATOS!$G$2:$G$20000,CONFIG_METADATA!$B$4,DATOS!$I$2:$I$20000,"Lenguaje Musical"),"")))</f>
        <v/>
      </c>
      <c r="C557" t="str">
        <f>IF(A557="","",IF(A557="[FÓRMULA MANUAL]","",IFERROR(AVERAGEIFS(DATOS!$K$2:$K$20000,DATOS!$A$2:$A$20000,A557,DATOS!$G$2:$G$20000,CONFIG_METADATA!$B$4,DATOS!$I$2:$I$20000,"Orquesta/Banda/Conjunto"),"")))</f>
        <v/>
      </c>
      <c r="D557" t="str">
        <f>IF(A557="","",IF(A557="[FÓRMULA MANUAL]","",IFERROR(AVERAGEIFS(DATOS!$K$2:$K$20000,DATOS!$A$2:$A$20000,A557,DATOS!$G$2:$G$20000,CONFIG_METADATA!$B$4,DATOS!$I$2:$I$20000,"Conjunto"),"")))</f>
        <v/>
      </c>
      <c r="E557" t="str">
        <f>IF(A557="","",IF(A557="[FÓRMULA MANUAL]","",IFERROR(SUMPRODUCT((DATOS!$A$2:$A$20000=A557)*(DATOS!$G$2:$G$20000=CONFIG_METADATA!$B$4)*(COUNTIF(CONFIG_ASIGNATURAS!$B$7:$B$27,DATOS!$I$2:$I$20000)&gt;0)*(DATOS!$K$2:$K$20000))/SUMPRODUCT((DATOS!$A$2:$A$20000=A557)*(DATOS!$G$2:$G$20000=CONFIG_METADATA!$B$4)*(COUNTIF(CONFIG_ASIGNATURAS!$B$7:$B$27,DATOS!$I$2:$I$20000)&gt;0)*1),"")))</f>
        <v/>
      </c>
      <c r="H557" t="str">
        <f>IF(G557="","",IF(G557="[FÓRMULA MANUAL]","",IFERROR(AVERAGEIFS(DATOS!$K$2:$K$20000,DATOS!$A$2:$A$20000,G557,DATOS!$G$2:$G$20000,CONFIG_METADATA!$B$4,DATOS!$I$2:$I$20000,"Lenguaje Musical"),"")))</f>
        <v/>
      </c>
      <c r="I557" t="str">
        <f>IF(G557="","",IF(G557="[FÓRMULA MANUAL]","",IFERROR(AVERAGEIFS(DATOS!$K$2:$K$20000,DATOS!$A$2:$A$20000,G557,DATOS!$G$2:$G$20000,CONFIG_METADATA!$B$4,DATOS!$I$2:$I$20000,"Orquesta/Banda/Conjunto"),"")))</f>
        <v/>
      </c>
      <c r="J557" t="str">
        <f>IF(G557="","",IF(G557="[FÓRMULA MANUAL]","",IFERROR(AVERAGEIFS(DATOS!$K$2:$K$20000,DATOS!$A$2:$A$20000,G557,DATOS!$G$2:$G$20000,CONFIG_METADATA!$B$4,DATOS!$I$2:$I$20000,"Conjunto"),"")))</f>
        <v/>
      </c>
      <c r="K557" t="str">
        <f>IF(G557="","",IF(G557="[FÓRMULA MANUAL]","",IFERROR(SUMPRODUCT((DATOS!$A$2:$A$20000=G557)*(DATOS!$G$2:$G$20000=CONFIG_METADATA!$B$4)*(COUNTIF(CONFIG_ASIGNATURAS!$B$7:$B$27,DATOS!$I$2:$I$20000)&gt;0)*(DATOS!$K$2:$K$20000))/SUMPRODUCT((DATOS!$A$2:$A$20000=G557)*(DATOS!$G$2:$G$20000=CONFIG_METADATA!$B$4)*(COUNTIF(CONFIG_ASIGNATURAS!$B$7:$B$27,DATOS!$I$2:$I$20000)&gt;0)*1),"")))</f>
        <v/>
      </c>
      <c r="N557" t="str">
        <f>IF(M557="","",IF(M557="[FÓRMULA MANUAL]","",IFERROR(AVERAGEIFS(DATOS!$K$2:$K$20000,DATOS!$A$2:$A$20000,M557,DATOS!$G$2:$G$20000,CONFIG_METADATA!$B$4,DATOS!$I$2:$I$20000,"Armonía"),"")))</f>
        <v/>
      </c>
      <c r="O557" t="str">
        <f>IF(M557="","",IF(M557="[FÓRMULA MANUAL]","",IFERROR(AVERAGEIFS(DATOS!$K$2:$K$20000,DATOS!$A$2:$A$20000,M557,DATOS!$G$2:$G$20000,CONFIG_METADATA!$B$4,DATOS!$I$2:$I$20000,"Orquesta/Banda/Conjunto"),"")))</f>
        <v/>
      </c>
      <c r="P557" t="str">
        <f>IF(M557="","",IF(M557="[FÓRMULA MANUAL]","",IFERROR(AVERAGEIFS(DATOS!$K$2:$K$20000,DATOS!$A$2:$A$20000,M557,DATOS!$G$2:$G$20000,CONFIG_METADATA!$B$4,DATOS!$I$2:$I$20000,"Música de Cámara"),"")))</f>
        <v/>
      </c>
      <c r="Q557" t="str">
        <f>IF(M557="","",IF(M557="[FÓRMULA MANUAL]","",IFERROR(SUMPRODUCT((DATOS!$A$2:$A$20000=M557)*(DATOS!$G$2:$G$20000=CONFIG_METADATA!$B$4)*(COUNTIF(CONFIG_ASIGNATURAS!$B$7:$B$27,DATOS!$I$2:$I$20000)&gt;0)*(DATOS!$K$2:$K$20000))/SUMPRODUCT((DATOS!$A$2:$A$20000=M557)*(DATOS!$G$2:$G$20000=CONFIG_METADATA!$B$4)*(COUNTIF(CONFIG_ASIGNATURAS!$B$7:$B$27,DATOS!$I$2:$I$20000)&gt;0)*1),"")))</f>
        <v/>
      </c>
      <c r="T557" t="str">
        <f>IF(S557="","",IF(S557="[FÓRMULA MANUAL]","",IFERROR(AVERAGEIFS(DATOS!$K$2:$K$20000,DATOS!$A$2:$A$20000,S557,DATOS!$G$2:$G$20000,CONFIG_METADATA!$B$4,DATOS!$I$2:$I$20000,"Armonía"),"")))</f>
        <v/>
      </c>
      <c r="U557" t="str">
        <f>IF(S557="","",IF(S557="[FÓRMULA MANUAL]","",IFERROR(AVERAGEIFS(DATOS!$K$2:$K$20000,DATOS!$A$2:$A$20000,S557,DATOS!$G$2:$G$20000,CONFIG_METADATA!$B$4,DATOS!$I$2:$I$20000,"Orquesta/Banda/Conjunto"),"")))</f>
        <v/>
      </c>
      <c r="V557" t="str">
        <f>IF(S557="","",IF(S557="[FÓRMULA MANUAL]","",IFERROR(AVERAGEIFS(DATOS!$K$2:$K$20000,DATOS!$A$2:$A$20000,S557,DATOS!$G$2:$G$20000,CONFIG_METADATA!$B$4,DATOS!$I$2:$I$20000,"Música de Cámara"),"")))</f>
        <v/>
      </c>
      <c r="W557" t="str">
        <f>IF(S557="","",IF(S557="[FÓRMULA MANUAL]","",IFERROR(SUMPRODUCT((DATOS!$A$2:$A$20000=S557)*(DATOS!$G$2:$G$20000=CONFIG_METADATA!$B$4)*(COUNTIF(CONFIG_ASIGNATURAS!$B$7:$B$27,DATOS!$I$2:$I$20000)&gt;0)*(DATOS!$K$2:$K$20000))/SUMPRODUCT((DATOS!$A$2:$A$20000=S557)*(DATOS!$G$2:$G$20000=CONFIG_METADATA!$B$4)*(COUNTIF(CONFIG_ASIGNATURAS!$B$7:$B$27,DATOS!$I$2:$I$20000)&gt;0)*1),"")))</f>
        <v/>
      </c>
      <c r="Z557" t="str">
        <f>IF(Y557="","",IF(Y557="[FÓRMULA MANUAL]","",IFERROR(AVERAGEIFS(DATOS!$K$2:$K$20000,DATOS!$A$2:$A$20000,Y557,DATOS!$G$2:$G$20000,CONFIG_METADATA!$B$4,DATOS!$I$2:$I$20000,"Análisis"),"")))</f>
        <v/>
      </c>
      <c r="AA557" t="str">
        <f>IF(Y557="","",IF(Y557="[FÓRMULA MANUAL]","",IFERROR(AVERAGEIFS(DATOS!$K$2:$K$20000,DATOS!$A$2:$A$20000,Y557,DATOS!$G$2:$G$20000,CONFIG_METADATA!$B$4,DATOS!$I$2:$I$20000,"Orquesta/Banda/Conjunto"),"")))</f>
        <v/>
      </c>
      <c r="AB557" t="str">
        <f>IF(Y557="","",IF(Y557="[FÓRMULA MANUAL]","",IFERROR(AVERAGEIFS(DATOS!$K$2:$K$20000,DATOS!$A$2:$A$20000,Y557,DATOS!$G$2:$G$20000,CONFIG_METADATA!$B$4,DATOS!$I$2:$I$20000,"Música de Cámara"),"")))</f>
        <v/>
      </c>
      <c r="AC557" t="str">
        <f>IF(Y557="","",IF(Y557="[FÓRMULA MANUAL]","",IFERROR(SUMPRODUCT((DATOS!$A$2:$A$20000=Y557)*(DATOS!$G$2:$G$20000=CONFIG_METADATA!$B$4)*(COUNTIF(CONFIG_ASIGNATURAS!$B$7:$B$27,DATOS!$I$2:$I$20000)&gt;0)*(DATOS!$K$2:$K$20000))/SUMPRODUCT((DATOS!$A$2:$A$20000=Y557)*(DATOS!$G$2:$G$20000=CONFIG_METADATA!$B$4)*(COUNTIF(CONFIG_ASIGNATURAS!$B$7:$B$27,DATOS!$I$2:$I$20000)&gt;0)*1),"")))</f>
        <v/>
      </c>
      <c r="AF557" t="str">
        <f>IF(AE557="","",IF(AE557="[FÓRMULA MANUAL]","",IFERROR(AVERAGEIFS(DATOS!$K$2:$K$20000,DATOS!$A$2:$A$20000,AE557,DATOS!$G$2:$G$20000,CONFIG_METADATA!$B$4,DATOS!$I$2:$I$20000,"Análisis"),"")))</f>
        <v/>
      </c>
      <c r="AG557" t="str">
        <f>IF(AE557="","",IF(AE557="[FÓRMULA MANUAL]","",IFERROR(AVERAGEIFS(DATOS!$K$2:$K$20000,DATOS!$A$2:$A$20000,AE557,DATOS!$G$2:$G$20000,CONFIG_METADATA!$B$4,DATOS!$I$2:$I$20000,"Orquesta/Banda/Conjunto"),"")))</f>
        <v/>
      </c>
      <c r="AH557" t="str">
        <f>IF(AE557="","",IF(AE557="[FÓRMULA MANUAL]","",IFERROR(AVERAGEIFS(DATOS!$K$2:$K$20000,DATOS!$A$2:$A$20000,AE557,DATOS!$G$2:$G$20000,CONFIG_METADATA!$B$4,DATOS!$I$2:$I$20000,"Música de Cámara"),"")))</f>
        <v/>
      </c>
      <c r="AI557" t="str">
        <f>IF(AE557="","",IF(AE557="[FÓRMULA MANUAL]","",IFERROR(SUMPRODUCT((DATOS!$A$2:$A$20000=AE557)*(DATOS!$G$2:$G$20000=CONFIG_METADATA!$B$4)*(COUNTIF(CONFIG_ASIGNATURAS!$B$7:$B$27,DATOS!$I$2:$I$20000)&gt;0)*(DATOS!$K$2:$K$20000))/SUMPRODUCT((DATOS!$A$2:$A$20000=AE557)*(DATOS!$G$2:$G$20000=CONFIG_METADATA!$B$4)*(COUNTIF(CONFIG_ASIGNATURAS!$B$7:$B$27,DATOS!$I$2:$I$20000)&gt;0)*1),"")))</f>
        <v/>
      </c>
    </row>
    <row r="558" spans="2:35" x14ac:dyDescent="0.2">
      <c r="B558" t="str">
        <f>IF(A558="","",IF(A558="[FÓRMULA MANUAL]","",IFERROR(AVERAGEIFS(DATOS!$K$2:$K$20000,DATOS!$A$2:$A$20000,A558,DATOS!$G$2:$G$20000,CONFIG_METADATA!$B$4,DATOS!$I$2:$I$20000,"Lenguaje Musical"),"")))</f>
        <v/>
      </c>
      <c r="C558" t="str">
        <f>IF(A558="","",IF(A558="[FÓRMULA MANUAL]","",IFERROR(AVERAGEIFS(DATOS!$K$2:$K$20000,DATOS!$A$2:$A$20000,A558,DATOS!$G$2:$G$20000,CONFIG_METADATA!$B$4,DATOS!$I$2:$I$20000,"Orquesta/Banda/Conjunto"),"")))</f>
        <v/>
      </c>
      <c r="D558" t="str">
        <f>IF(A558="","",IF(A558="[FÓRMULA MANUAL]","",IFERROR(AVERAGEIFS(DATOS!$K$2:$K$20000,DATOS!$A$2:$A$20000,A558,DATOS!$G$2:$G$20000,CONFIG_METADATA!$B$4,DATOS!$I$2:$I$20000,"Conjunto"),"")))</f>
        <v/>
      </c>
      <c r="E558" t="str">
        <f>IF(A558="","",IF(A558="[FÓRMULA MANUAL]","",IFERROR(SUMPRODUCT((DATOS!$A$2:$A$20000=A558)*(DATOS!$G$2:$G$20000=CONFIG_METADATA!$B$4)*(COUNTIF(CONFIG_ASIGNATURAS!$B$7:$B$27,DATOS!$I$2:$I$20000)&gt;0)*(DATOS!$K$2:$K$20000))/SUMPRODUCT((DATOS!$A$2:$A$20000=A558)*(DATOS!$G$2:$G$20000=CONFIG_METADATA!$B$4)*(COUNTIF(CONFIG_ASIGNATURAS!$B$7:$B$27,DATOS!$I$2:$I$20000)&gt;0)*1),"")))</f>
        <v/>
      </c>
      <c r="H558" t="str">
        <f>IF(G558="","",IF(G558="[FÓRMULA MANUAL]","",IFERROR(AVERAGEIFS(DATOS!$K$2:$K$20000,DATOS!$A$2:$A$20000,G558,DATOS!$G$2:$G$20000,CONFIG_METADATA!$B$4,DATOS!$I$2:$I$20000,"Lenguaje Musical"),"")))</f>
        <v/>
      </c>
      <c r="I558" t="str">
        <f>IF(G558="","",IF(G558="[FÓRMULA MANUAL]","",IFERROR(AVERAGEIFS(DATOS!$K$2:$K$20000,DATOS!$A$2:$A$20000,G558,DATOS!$G$2:$G$20000,CONFIG_METADATA!$B$4,DATOS!$I$2:$I$20000,"Orquesta/Banda/Conjunto"),"")))</f>
        <v/>
      </c>
      <c r="J558" t="str">
        <f>IF(G558="","",IF(G558="[FÓRMULA MANUAL]","",IFERROR(AVERAGEIFS(DATOS!$K$2:$K$20000,DATOS!$A$2:$A$20000,G558,DATOS!$G$2:$G$20000,CONFIG_METADATA!$B$4,DATOS!$I$2:$I$20000,"Conjunto"),"")))</f>
        <v/>
      </c>
      <c r="K558" t="str">
        <f>IF(G558="","",IF(G558="[FÓRMULA MANUAL]","",IFERROR(SUMPRODUCT((DATOS!$A$2:$A$20000=G558)*(DATOS!$G$2:$G$20000=CONFIG_METADATA!$B$4)*(COUNTIF(CONFIG_ASIGNATURAS!$B$7:$B$27,DATOS!$I$2:$I$20000)&gt;0)*(DATOS!$K$2:$K$20000))/SUMPRODUCT((DATOS!$A$2:$A$20000=G558)*(DATOS!$G$2:$G$20000=CONFIG_METADATA!$B$4)*(COUNTIF(CONFIG_ASIGNATURAS!$B$7:$B$27,DATOS!$I$2:$I$20000)&gt;0)*1),"")))</f>
        <v/>
      </c>
      <c r="N558" t="str">
        <f>IF(M558="","",IF(M558="[FÓRMULA MANUAL]","",IFERROR(AVERAGEIFS(DATOS!$K$2:$K$20000,DATOS!$A$2:$A$20000,M558,DATOS!$G$2:$G$20000,CONFIG_METADATA!$B$4,DATOS!$I$2:$I$20000,"Armonía"),"")))</f>
        <v/>
      </c>
      <c r="O558" t="str">
        <f>IF(M558="","",IF(M558="[FÓRMULA MANUAL]","",IFERROR(AVERAGEIFS(DATOS!$K$2:$K$20000,DATOS!$A$2:$A$20000,M558,DATOS!$G$2:$G$20000,CONFIG_METADATA!$B$4,DATOS!$I$2:$I$20000,"Orquesta/Banda/Conjunto"),"")))</f>
        <v/>
      </c>
      <c r="P558" t="str">
        <f>IF(M558="","",IF(M558="[FÓRMULA MANUAL]","",IFERROR(AVERAGEIFS(DATOS!$K$2:$K$20000,DATOS!$A$2:$A$20000,M558,DATOS!$G$2:$G$20000,CONFIG_METADATA!$B$4,DATOS!$I$2:$I$20000,"Música de Cámara"),"")))</f>
        <v/>
      </c>
      <c r="Q558" t="str">
        <f>IF(M558="","",IF(M558="[FÓRMULA MANUAL]","",IFERROR(SUMPRODUCT((DATOS!$A$2:$A$20000=M558)*(DATOS!$G$2:$G$20000=CONFIG_METADATA!$B$4)*(COUNTIF(CONFIG_ASIGNATURAS!$B$7:$B$27,DATOS!$I$2:$I$20000)&gt;0)*(DATOS!$K$2:$K$20000))/SUMPRODUCT((DATOS!$A$2:$A$20000=M558)*(DATOS!$G$2:$G$20000=CONFIG_METADATA!$B$4)*(COUNTIF(CONFIG_ASIGNATURAS!$B$7:$B$27,DATOS!$I$2:$I$20000)&gt;0)*1),"")))</f>
        <v/>
      </c>
      <c r="T558" t="str">
        <f>IF(S558="","",IF(S558="[FÓRMULA MANUAL]","",IFERROR(AVERAGEIFS(DATOS!$K$2:$K$20000,DATOS!$A$2:$A$20000,S558,DATOS!$G$2:$G$20000,CONFIG_METADATA!$B$4,DATOS!$I$2:$I$20000,"Armonía"),"")))</f>
        <v/>
      </c>
      <c r="U558" t="str">
        <f>IF(S558="","",IF(S558="[FÓRMULA MANUAL]","",IFERROR(AVERAGEIFS(DATOS!$K$2:$K$20000,DATOS!$A$2:$A$20000,S558,DATOS!$G$2:$G$20000,CONFIG_METADATA!$B$4,DATOS!$I$2:$I$20000,"Orquesta/Banda/Conjunto"),"")))</f>
        <v/>
      </c>
      <c r="V558" t="str">
        <f>IF(S558="","",IF(S558="[FÓRMULA MANUAL]","",IFERROR(AVERAGEIFS(DATOS!$K$2:$K$20000,DATOS!$A$2:$A$20000,S558,DATOS!$G$2:$G$20000,CONFIG_METADATA!$B$4,DATOS!$I$2:$I$20000,"Música de Cámara"),"")))</f>
        <v/>
      </c>
      <c r="W558" t="str">
        <f>IF(S558="","",IF(S558="[FÓRMULA MANUAL]","",IFERROR(SUMPRODUCT((DATOS!$A$2:$A$20000=S558)*(DATOS!$G$2:$G$20000=CONFIG_METADATA!$B$4)*(COUNTIF(CONFIG_ASIGNATURAS!$B$7:$B$27,DATOS!$I$2:$I$20000)&gt;0)*(DATOS!$K$2:$K$20000))/SUMPRODUCT((DATOS!$A$2:$A$20000=S558)*(DATOS!$G$2:$G$20000=CONFIG_METADATA!$B$4)*(COUNTIF(CONFIG_ASIGNATURAS!$B$7:$B$27,DATOS!$I$2:$I$20000)&gt;0)*1),"")))</f>
        <v/>
      </c>
      <c r="Z558" t="str">
        <f>IF(Y558="","",IF(Y558="[FÓRMULA MANUAL]","",IFERROR(AVERAGEIFS(DATOS!$K$2:$K$20000,DATOS!$A$2:$A$20000,Y558,DATOS!$G$2:$G$20000,CONFIG_METADATA!$B$4,DATOS!$I$2:$I$20000,"Análisis"),"")))</f>
        <v/>
      </c>
      <c r="AA558" t="str">
        <f>IF(Y558="","",IF(Y558="[FÓRMULA MANUAL]","",IFERROR(AVERAGEIFS(DATOS!$K$2:$K$20000,DATOS!$A$2:$A$20000,Y558,DATOS!$G$2:$G$20000,CONFIG_METADATA!$B$4,DATOS!$I$2:$I$20000,"Orquesta/Banda/Conjunto"),"")))</f>
        <v/>
      </c>
      <c r="AB558" t="str">
        <f>IF(Y558="","",IF(Y558="[FÓRMULA MANUAL]","",IFERROR(AVERAGEIFS(DATOS!$K$2:$K$20000,DATOS!$A$2:$A$20000,Y558,DATOS!$G$2:$G$20000,CONFIG_METADATA!$B$4,DATOS!$I$2:$I$20000,"Música de Cámara"),"")))</f>
        <v/>
      </c>
      <c r="AC558" t="str">
        <f>IF(Y558="","",IF(Y558="[FÓRMULA MANUAL]","",IFERROR(SUMPRODUCT((DATOS!$A$2:$A$20000=Y558)*(DATOS!$G$2:$G$20000=CONFIG_METADATA!$B$4)*(COUNTIF(CONFIG_ASIGNATURAS!$B$7:$B$27,DATOS!$I$2:$I$20000)&gt;0)*(DATOS!$K$2:$K$20000))/SUMPRODUCT((DATOS!$A$2:$A$20000=Y558)*(DATOS!$G$2:$G$20000=CONFIG_METADATA!$B$4)*(COUNTIF(CONFIG_ASIGNATURAS!$B$7:$B$27,DATOS!$I$2:$I$20000)&gt;0)*1),"")))</f>
        <v/>
      </c>
      <c r="AF558" t="str">
        <f>IF(AE558="","",IF(AE558="[FÓRMULA MANUAL]","",IFERROR(AVERAGEIFS(DATOS!$K$2:$K$20000,DATOS!$A$2:$A$20000,AE558,DATOS!$G$2:$G$20000,CONFIG_METADATA!$B$4,DATOS!$I$2:$I$20000,"Análisis"),"")))</f>
        <v/>
      </c>
      <c r="AG558" t="str">
        <f>IF(AE558="","",IF(AE558="[FÓRMULA MANUAL]","",IFERROR(AVERAGEIFS(DATOS!$K$2:$K$20000,DATOS!$A$2:$A$20000,AE558,DATOS!$G$2:$G$20000,CONFIG_METADATA!$B$4,DATOS!$I$2:$I$20000,"Orquesta/Banda/Conjunto"),"")))</f>
        <v/>
      </c>
      <c r="AH558" t="str">
        <f>IF(AE558="","",IF(AE558="[FÓRMULA MANUAL]","",IFERROR(AVERAGEIFS(DATOS!$K$2:$K$20000,DATOS!$A$2:$A$20000,AE558,DATOS!$G$2:$G$20000,CONFIG_METADATA!$B$4,DATOS!$I$2:$I$20000,"Música de Cámara"),"")))</f>
        <v/>
      </c>
      <c r="AI558" t="str">
        <f>IF(AE558="","",IF(AE558="[FÓRMULA MANUAL]","",IFERROR(SUMPRODUCT((DATOS!$A$2:$A$20000=AE558)*(DATOS!$G$2:$G$20000=CONFIG_METADATA!$B$4)*(COUNTIF(CONFIG_ASIGNATURAS!$B$7:$B$27,DATOS!$I$2:$I$20000)&gt;0)*(DATOS!$K$2:$K$20000))/SUMPRODUCT((DATOS!$A$2:$A$20000=AE558)*(DATOS!$G$2:$G$20000=CONFIG_METADATA!$B$4)*(COUNTIF(CONFIG_ASIGNATURAS!$B$7:$B$27,DATOS!$I$2:$I$20000)&gt;0)*1),"")))</f>
        <v/>
      </c>
    </row>
    <row r="559" spans="2:35" x14ac:dyDescent="0.2">
      <c r="B559" t="str">
        <f>IF(A559="","",IF(A559="[FÓRMULA MANUAL]","",IFERROR(AVERAGEIFS(DATOS!$K$2:$K$20000,DATOS!$A$2:$A$20000,A559,DATOS!$G$2:$G$20000,CONFIG_METADATA!$B$4,DATOS!$I$2:$I$20000,"Lenguaje Musical"),"")))</f>
        <v/>
      </c>
      <c r="C559" t="str">
        <f>IF(A559="","",IF(A559="[FÓRMULA MANUAL]","",IFERROR(AVERAGEIFS(DATOS!$K$2:$K$20000,DATOS!$A$2:$A$20000,A559,DATOS!$G$2:$G$20000,CONFIG_METADATA!$B$4,DATOS!$I$2:$I$20000,"Orquesta/Banda/Conjunto"),"")))</f>
        <v/>
      </c>
      <c r="D559" t="str">
        <f>IF(A559="","",IF(A559="[FÓRMULA MANUAL]","",IFERROR(AVERAGEIFS(DATOS!$K$2:$K$20000,DATOS!$A$2:$A$20000,A559,DATOS!$G$2:$G$20000,CONFIG_METADATA!$B$4,DATOS!$I$2:$I$20000,"Conjunto"),"")))</f>
        <v/>
      </c>
      <c r="E559" t="str">
        <f>IF(A559="","",IF(A559="[FÓRMULA MANUAL]","",IFERROR(SUMPRODUCT((DATOS!$A$2:$A$20000=A559)*(DATOS!$G$2:$G$20000=CONFIG_METADATA!$B$4)*(COUNTIF(CONFIG_ASIGNATURAS!$B$7:$B$27,DATOS!$I$2:$I$20000)&gt;0)*(DATOS!$K$2:$K$20000))/SUMPRODUCT((DATOS!$A$2:$A$20000=A559)*(DATOS!$G$2:$G$20000=CONFIG_METADATA!$B$4)*(COUNTIF(CONFIG_ASIGNATURAS!$B$7:$B$27,DATOS!$I$2:$I$20000)&gt;0)*1),"")))</f>
        <v/>
      </c>
      <c r="H559" t="str">
        <f>IF(G559="","",IF(G559="[FÓRMULA MANUAL]","",IFERROR(AVERAGEIFS(DATOS!$K$2:$K$20000,DATOS!$A$2:$A$20000,G559,DATOS!$G$2:$G$20000,CONFIG_METADATA!$B$4,DATOS!$I$2:$I$20000,"Lenguaje Musical"),"")))</f>
        <v/>
      </c>
      <c r="I559" t="str">
        <f>IF(G559="","",IF(G559="[FÓRMULA MANUAL]","",IFERROR(AVERAGEIFS(DATOS!$K$2:$K$20000,DATOS!$A$2:$A$20000,G559,DATOS!$G$2:$G$20000,CONFIG_METADATA!$B$4,DATOS!$I$2:$I$20000,"Orquesta/Banda/Conjunto"),"")))</f>
        <v/>
      </c>
      <c r="J559" t="str">
        <f>IF(G559="","",IF(G559="[FÓRMULA MANUAL]","",IFERROR(AVERAGEIFS(DATOS!$K$2:$K$20000,DATOS!$A$2:$A$20000,G559,DATOS!$G$2:$G$20000,CONFIG_METADATA!$B$4,DATOS!$I$2:$I$20000,"Conjunto"),"")))</f>
        <v/>
      </c>
      <c r="K559" t="str">
        <f>IF(G559="","",IF(G559="[FÓRMULA MANUAL]","",IFERROR(SUMPRODUCT((DATOS!$A$2:$A$20000=G559)*(DATOS!$G$2:$G$20000=CONFIG_METADATA!$B$4)*(COUNTIF(CONFIG_ASIGNATURAS!$B$7:$B$27,DATOS!$I$2:$I$20000)&gt;0)*(DATOS!$K$2:$K$20000))/SUMPRODUCT((DATOS!$A$2:$A$20000=G559)*(DATOS!$G$2:$G$20000=CONFIG_METADATA!$B$4)*(COUNTIF(CONFIG_ASIGNATURAS!$B$7:$B$27,DATOS!$I$2:$I$20000)&gt;0)*1),"")))</f>
        <v/>
      </c>
      <c r="N559" t="str">
        <f>IF(M559="","",IF(M559="[FÓRMULA MANUAL]","",IFERROR(AVERAGEIFS(DATOS!$K$2:$K$20000,DATOS!$A$2:$A$20000,M559,DATOS!$G$2:$G$20000,CONFIG_METADATA!$B$4,DATOS!$I$2:$I$20000,"Armonía"),"")))</f>
        <v/>
      </c>
      <c r="O559" t="str">
        <f>IF(M559="","",IF(M559="[FÓRMULA MANUAL]","",IFERROR(AVERAGEIFS(DATOS!$K$2:$K$20000,DATOS!$A$2:$A$20000,M559,DATOS!$G$2:$G$20000,CONFIG_METADATA!$B$4,DATOS!$I$2:$I$20000,"Orquesta/Banda/Conjunto"),"")))</f>
        <v/>
      </c>
      <c r="P559" t="str">
        <f>IF(M559="","",IF(M559="[FÓRMULA MANUAL]","",IFERROR(AVERAGEIFS(DATOS!$K$2:$K$20000,DATOS!$A$2:$A$20000,M559,DATOS!$G$2:$G$20000,CONFIG_METADATA!$B$4,DATOS!$I$2:$I$20000,"Música de Cámara"),"")))</f>
        <v/>
      </c>
      <c r="Q559" t="str">
        <f>IF(M559="","",IF(M559="[FÓRMULA MANUAL]","",IFERROR(SUMPRODUCT((DATOS!$A$2:$A$20000=M559)*(DATOS!$G$2:$G$20000=CONFIG_METADATA!$B$4)*(COUNTIF(CONFIG_ASIGNATURAS!$B$7:$B$27,DATOS!$I$2:$I$20000)&gt;0)*(DATOS!$K$2:$K$20000))/SUMPRODUCT((DATOS!$A$2:$A$20000=M559)*(DATOS!$G$2:$G$20000=CONFIG_METADATA!$B$4)*(COUNTIF(CONFIG_ASIGNATURAS!$B$7:$B$27,DATOS!$I$2:$I$20000)&gt;0)*1),"")))</f>
        <v/>
      </c>
      <c r="T559" t="str">
        <f>IF(S559="","",IF(S559="[FÓRMULA MANUAL]","",IFERROR(AVERAGEIFS(DATOS!$K$2:$K$20000,DATOS!$A$2:$A$20000,S559,DATOS!$G$2:$G$20000,CONFIG_METADATA!$B$4,DATOS!$I$2:$I$20000,"Armonía"),"")))</f>
        <v/>
      </c>
      <c r="U559" t="str">
        <f>IF(S559="","",IF(S559="[FÓRMULA MANUAL]","",IFERROR(AVERAGEIFS(DATOS!$K$2:$K$20000,DATOS!$A$2:$A$20000,S559,DATOS!$G$2:$G$20000,CONFIG_METADATA!$B$4,DATOS!$I$2:$I$20000,"Orquesta/Banda/Conjunto"),"")))</f>
        <v/>
      </c>
      <c r="V559" t="str">
        <f>IF(S559="","",IF(S559="[FÓRMULA MANUAL]","",IFERROR(AVERAGEIFS(DATOS!$K$2:$K$20000,DATOS!$A$2:$A$20000,S559,DATOS!$G$2:$G$20000,CONFIG_METADATA!$B$4,DATOS!$I$2:$I$20000,"Música de Cámara"),"")))</f>
        <v/>
      </c>
      <c r="W559" t="str">
        <f>IF(S559="","",IF(S559="[FÓRMULA MANUAL]","",IFERROR(SUMPRODUCT((DATOS!$A$2:$A$20000=S559)*(DATOS!$G$2:$G$20000=CONFIG_METADATA!$B$4)*(COUNTIF(CONFIG_ASIGNATURAS!$B$7:$B$27,DATOS!$I$2:$I$20000)&gt;0)*(DATOS!$K$2:$K$20000))/SUMPRODUCT((DATOS!$A$2:$A$20000=S559)*(DATOS!$G$2:$G$20000=CONFIG_METADATA!$B$4)*(COUNTIF(CONFIG_ASIGNATURAS!$B$7:$B$27,DATOS!$I$2:$I$20000)&gt;0)*1),"")))</f>
        <v/>
      </c>
      <c r="Z559" t="str">
        <f>IF(Y559="","",IF(Y559="[FÓRMULA MANUAL]","",IFERROR(AVERAGEIFS(DATOS!$K$2:$K$20000,DATOS!$A$2:$A$20000,Y559,DATOS!$G$2:$G$20000,CONFIG_METADATA!$B$4,DATOS!$I$2:$I$20000,"Análisis"),"")))</f>
        <v/>
      </c>
      <c r="AA559" t="str">
        <f>IF(Y559="","",IF(Y559="[FÓRMULA MANUAL]","",IFERROR(AVERAGEIFS(DATOS!$K$2:$K$20000,DATOS!$A$2:$A$20000,Y559,DATOS!$G$2:$G$20000,CONFIG_METADATA!$B$4,DATOS!$I$2:$I$20000,"Orquesta/Banda/Conjunto"),"")))</f>
        <v/>
      </c>
      <c r="AB559" t="str">
        <f>IF(Y559="","",IF(Y559="[FÓRMULA MANUAL]","",IFERROR(AVERAGEIFS(DATOS!$K$2:$K$20000,DATOS!$A$2:$A$20000,Y559,DATOS!$G$2:$G$20000,CONFIG_METADATA!$B$4,DATOS!$I$2:$I$20000,"Música de Cámara"),"")))</f>
        <v/>
      </c>
      <c r="AC559" t="str">
        <f>IF(Y559="","",IF(Y559="[FÓRMULA MANUAL]","",IFERROR(SUMPRODUCT((DATOS!$A$2:$A$20000=Y559)*(DATOS!$G$2:$G$20000=CONFIG_METADATA!$B$4)*(COUNTIF(CONFIG_ASIGNATURAS!$B$7:$B$27,DATOS!$I$2:$I$20000)&gt;0)*(DATOS!$K$2:$K$20000))/SUMPRODUCT((DATOS!$A$2:$A$20000=Y559)*(DATOS!$G$2:$G$20000=CONFIG_METADATA!$B$4)*(COUNTIF(CONFIG_ASIGNATURAS!$B$7:$B$27,DATOS!$I$2:$I$20000)&gt;0)*1),"")))</f>
        <v/>
      </c>
      <c r="AF559" t="str">
        <f>IF(AE559="","",IF(AE559="[FÓRMULA MANUAL]","",IFERROR(AVERAGEIFS(DATOS!$K$2:$K$20000,DATOS!$A$2:$A$20000,AE559,DATOS!$G$2:$G$20000,CONFIG_METADATA!$B$4,DATOS!$I$2:$I$20000,"Análisis"),"")))</f>
        <v/>
      </c>
      <c r="AG559" t="str">
        <f>IF(AE559="","",IF(AE559="[FÓRMULA MANUAL]","",IFERROR(AVERAGEIFS(DATOS!$K$2:$K$20000,DATOS!$A$2:$A$20000,AE559,DATOS!$G$2:$G$20000,CONFIG_METADATA!$B$4,DATOS!$I$2:$I$20000,"Orquesta/Banda/Conjunto"),"")))</f>
        <v/>
      </c>
      <c r="AH559" t="str">
        <f>IF(AE559="","",IF(AE559="[FÓRMULA MANUAL]","",IFERROR(AVERAGEIFS(DATOS!$K$2:$K$20000,DATOS!$A$2:$A$20000,AE559,DATOS!$G$2:$G$20000,CONFIG_METADATA!$B$4,DATOS!$I$2:$I$20000,"Música de Cámara"),"")))</f>
        <v/>
      </c>
      <c r="AI559" t="str">
        <f>IF(AE559="","",IF(AE559="[FÓRMULA MANUAL]","",IFERROR(SUMPRODUCT((DATOS!$A$2:$A$20000=AE559)*(DATOS!$G$2:$G$20000=CONFIG_METADATA!$B$4)*(COUNTIF(CONFIG_ASIGNATURAS!$B$7:$B$27,DATOS!$I$2:$I$20000)&gt;0)*(DATOS!$K$2:$K$20000))/SUMPRODUCT((DATOS!$A$2:$A$20000=AE559)*(DATOS!$G$2:$G$20000=CONFIG_METADATA!$B$4)*(COUNTIF(CONFIG_ASIGNATURAS!$B$7:$B$27,DATOS!$I$2:$I$20000)&gt;0)*1),"")))</f>
        <v/>
      </c>
    </row>
    <row r="560" spans="2:35" x14ac:dyDescent="0.2">
      <c r="B560" t="str">
        <f>IF(A560="","",IF(A560="[FÓRMULA MANUAL]","",IFERROR(AVERAGEIFS(DATOS!$K$2:$K$20000,DATOS!$A$2:$A$20000,A560,DATOS!$G$2:$G$20000,CONFIG_METADATA!$B$4,DATOS!$I$2:$I$20000,"Lenguaje Musical"),"")))</f>
        <v/>
      </c>
      <c r="C560" t="str">
        <f>IF(A560="","",IF(A560="[FÓRMULA MANUAL]","",IFERROR(AVERAGEIFS(DATOS!$K$2:$K$20000,DATOS!$A$2:$A$20000,A560,DATOS!$G$2:$G$20000,CONFIG_METADATA!$B$4,DATOS!$I$2:$I$20000,"Orquesta/Banda/Conjunto"),"")))</f>
        <v/>
      </c>
      <c r="D560" t="str">
        <f>IF(A560="","",IF(A560="[FÓRMULA MANUAL]","",IFERROR(AVERAGEIFS(DATOS!$K$2:$K$20000,DATOS!$A$2:$A$20000,A560,DATOS!$G$2:$G$20000,CONFIG_METADATA!$B$4,DATOS!$I$2:$I$20000,"Conjunto"),"")))</f>
        <v/>
      </c>
      <c r="E560" t="str">
        <f>IF(A560="","",IF(A560="[FÓRMULA MANUAL]","",IFERROR(SUMPRODUCT((DATOS!$A$2:$A$20000=A560)*(DATOS!$G$2:$G$20000=CONFIG_METADATA!$B$4)*(COUNTIF(CONFIG_ASIGNATURAS!$B$7:$B$27,DATOS!$I$2:$I$20000)&gt;0)*(DATOS!$K$2:$K$20000))/SUMPRODUCT((DATOS!$A$2:$A$20000=A560)*(DATOS!$G$2:$G$20000=CONFIG_METADATA!$B$4)*(COUNTIF(CONFIG_ASIGNATURAS!$B$7:$B$27,DATOS!$I$2:$I$20000)&gt;0)*1),"")))</f>
        <v/>
      </c>
      <c r="H560" t="str">
        <f>IF(G560="","",IF(G560="[FÓRMULA MANUAL]","",IFERROR(AVERAGEIFS(DATOS!$K$2:$K$20000,DATOS!$A$2:$A$20000,G560,DATOS!$G$2:$G$20000,CONFIG_METADATA!$B$4,DATOS!$I$2:$I$20000,"Lenguaje Musical"),"")))</f>
        <v/>
      </c>
      <c r="I560" t="str">
        <f>IF(G560="","",IF(G560="[FÓRMULA MANUAL]","",IFERROR(AVERAGEIFS(DATOS!$K$2:$K$20000,DATOS!$A$2:$A$20000,G560,DATOS!$G$2:$G$20000,CONFIG_METADATA!$B$4,DATOS!$I$2:$I$20000,"Orquesta/Banda/Conjunto"),"")))</f>
        <v/>
      </c>
      <c r="J560" t="str">
        <f>IF(G560="","",IF(G560="[FÓRMULA MANUAL]","",IFERROR(AVERAGEIFS(DATOS!$K$2:$K$20000,DATOS!$A$2:$A$20000,G560,DATOS!$G$2:$G$20000,CONFIG_METADATA!$B$4,DATOS!$I$2:$I$20000,"Conjunto"),"")))</f>
        <v/>
      </c>
      <c r="K560" t="str">
        <f>IF(G560="","",IF(G560="[FÓRMULA MANUAL]","",IFERROR(SUMPRODUCT((DATOS!$A$2:$A$20000=G560)*(DATOS!$G$2:$G$20000=CONFIG_METADATA!$B$4)*(COUNTIF(CONFIG_ASIGNATURAS!$B$7:$B$27,DATOS!$I$2:$I$20000)&gt;0)*(DATOS!$K$2:$K$20000))/SUMPRODUCT((DATOS!$A$2:$A$20000=G560)*(DATOS!$G$2:$G$20000=CONFIG_METADATA!$B$4)*(COUNTIF(CONFIG_ASIGNATURAS!$B$7:$B$27,DATOS!$I$2:$I$20000)&gt;0)*1),"")))</f>
        <v/>
      </c>
      <c r="N560" t="str">
        <f>IF(M560="","",IF(M560="[FÓRMULA MANUAL]","",IFERROR(AVERAGEIFS(DATOS!$K$2:$K$20000,DATOS!$A$2:$A$20000,M560,DATOS!$G$2:$G$20000,CONFIG_METADATA!$B$4,DATOS!$I$2:$I$20000,"Armonía"),"")))</f>
        <v/>
      </c>
      <c r="O560" t="str">
        <f>IF(M560="","",IF(M560="[FÓRMULA MANUAL]","",IFERROR(AVERAGEIFS(DATOS!$K$2:$K$20000,DATOS!$A$2:$A$20000,M560,DATOS!$G$2:$G$20000,CONFIG_METADATA!$B$4,DATOS!$I$2:$I$20000,"Orquesta/Banda/Conjunto"),"")))</f>
        <v/>
      </c>
      <c r="P560" t="str">
        <f>IF(M560="","",IF(M560="[FÓRMULA MANUAL]","",IFERROR(AVERAGEIFS(DATOS!$K$2:$K$20000,DATOS!$A$2:$A$20000,M560,DATOS!$G$2:$G$20000,CONFIG_METADATA!$B$4,DATOS!$I$2:$I$20000,"Música de Cámara"),"")))</f>
        <v/>
      </c>
      <c r="Q560" t="str">
        <f>IF(M560="","",IF(M560="[FÓRMULA MANUAL]","",IFERROR(SUMPRODUCT((DATOS!$A$2:$A$20000=M560)*(DATOS!$G$2:$G$20000=CONFIG_METADATA!$B$4)*(COUNTIF(CONFIG_ASIGNATURAS!$B$7:$B$27,DATOS!$I$2:$I$20000)&gt;0)*(DATOS!$K$2:$K$20000))/SUMPRODUCT((DATOS!$A$2:$A$20000=M560)*(DATOS!$G$2:$G$20000=CONFIG_METADATA!$B$4)*(COUNTIF(CONFIG_ASIGNATURAS!$B$7:$B$27,DATOS!$I$2:$I$20000)&gt;0)*1),"")))</f>
        <v/>
      </c>
      <c r="T560" t="str">
        <f>IF(S560="","",IF(S560="[FÓRMULA MANUAL]","",IFERROR(AVERAGEIFS(DATOS!$K$2:$K$20000,DATOS!$A$2:$A$20000,S560,DATOS!$G$2:$G$20000,CONFIG_METADATA!$B$4,DATOS!$I$2:$I$20000,"Armonía"),"")))</f>
        <v/>
      </c>
      <c r="U560" t="str">
        <f>IF(S560="","",IF(S560="[FÓRMULA MANUAL]","",IFERROR(AVERAGEIFS(DATOS!$K$2:$K$20000,DATOS!$A$2:$A$20000,S560,DATOS!$G$2:$G$20000,CONFIG_METADATA!$B$4,DATOS!$I$2:$I$20000,"Orquesta/Banda/Conjunto"),"")))</f>
        <v/>
      </c>
      <c r="V560" t="str">
        <f>IF(S560="","",IF(S560="[FÓRMULA MANUAL]","",IFERROR(AVERAGEIFS(DATOS!$K$2:$K$20000,DATOS!$A$2:$A$20000,S560,DATOS!$G$2:$G$20000,CONFIG_METADATA!$B$4,DATOS!$I$2:$I$20000,"Música de Cámara"),"")))</f>
        <v/>
      </c>
      <c r="W560" t="str">
        <f>IF(S560="","",IF(S560="[FÓRMULA MANUAL]","",IFERROR(SUMPRODUCT((DATOS!$A$2:$A$20000=S560)*(DATOS!$G$2:$G$20000=CONFIG_METADATA!$B$4)*(COUNTIF(CONFIG_ASIGNATURAS!$B$7:$B$27,DATOS!$I$2:$I$20000)&gt;0)*(DATOS!$K$2:$K$20000))/SUMPRODUCT((DATOS!$A$2:$A$20000=S560)*(DATOS!$G$2:$G$20000=CONFIG_METADATA!$B$4)*(COUNTIF(CONFIG_ASIGNATURAS!$B$7:$B$27,DATOS!$I$2:$I$20000)&gt;0)*1),"")))</f>
        <v/>
      </c>
      <c r="Z560" t="str">
        <f>IF(Y560="","",IF(Y560="[FÓRMULA MANUAL]","",IFERROR(AVERAGEIFS(DATOS!$K$2:$K$20000,DATOS!$A$2:$A$20000,Y560,DATOS!$G$2:$G$20000,CONFIG_METADATA!$B$4,DATOS!$I$2:$I$20000,"Análisis"),"")))</f>
        <v/>
      </c>
      <c r="AA560" t="str">
        <f>IF(Y560="","",IF(Y560="[FÓRMULA MANUAL]","",IFERROR(AVERAGEIFS(DATOS!$K$2:$K$20000,DATOS!$A$2:$A$20000,Y560,DATOS!$G$2:$G$20000,CONFIG_METADATA!$B$4,DATOS!$I$2:$I$20000,"Orquesta/Banda/Conjunto"),"")))</f>
        <v/>
      </c>
      <c r="AB560" t="str">
        <f>IF(Y560="","",IF(Y560="[FÓRMULA MANUAL]","",IFERROR(AVERAGEIFS(DATOS!$K$2:$K$20000,DATOS!$A$2:$A$20000,Y560,DATOS!$G$2:$G$20000,CONFIG_METADATA!$B$4,DATOS!$I$2:$I$20000,"Música de Cámara"),"")))</f>
        <v/>
      </c>
      <c r="AC560" t="str">
        <f>IF(Y560="","",IF(Y560="[FÓRMULA MANUAL]","",IFERROR(SUMPRODUCT((DATOS!$A$2:$A$20000=Y560)*(DATOS!$G$2:$G$20000=CONFIG_METADATA!$B$4)*(COUNTIF(CONFIG_ASIGNATURAS!$B$7:$B$27,DATOS!$I$2:$I$20000)&gt;0)*(DATOS!$K$2:$K$20000))/SUMPRODUCT((DATOS!$A$2:$A$20000=Y560)*(DATOS!$G$2:$G$20000=CONFIG_METADATA!$B$4)*(COUNTIF(CONFIG_ASIGNATURAS!$B$7:$B$27,DATOS!$I$2:$I$20000)&gt;0)*1),"")))</f>
        <v/>
      </c>
      <c r="AF560" t="str">
        <f>IF(AE560="","",IF(AE560="[FÓRMULA MANUAL]","",IFERROR(AVERAGEIFS(DATOS!$K$2:$K$20000,DATOS!$A$2:$A$20000,AE560,DATOS!$G$2:$G$20000,CONFIG_METADATA!$B$4,DATOS!$I$2:$I$20000,"Análisis"),"")))</f>
        <v/>
      </c>
      <c r="AG560" t="str">
        <f>IF(AE560="","",IF(AE560="[FÓRMULA MANUAL]","",IFERROR(AVERAGEIFS(DATOS!$K$2:$K$20000,DATOS!$A$2:$A$20000,AE560,DATOS!$G$2:$G$20000,CONFIG_METADATA!$B$4,DATOS!$I$2:$I$20000,"Orquesta/Banda/Conjunto"),"")))</f>
        <v/>
      </c>
      <c r="AH560" t="str">
        <f>IF(AE560="","",IF(AE560="[FÓRMULA MANUAL]","",IFERROR(AVERAGEIFS(DATOS!$K$2:$K$20000,DATOS!$A$2:$A$20000,AE560,DATOS!$G$2:$G$20000,CONFIG_METADATA!$B$4,DATOS!$I$2:$I$20000,"Música de Cámara"),"")))</f>
        <v/>
      </c>
      <c r="AI560" t="str">
        <f>IF(AE560="","",IF(AE560="[FÓRMULA MANUAL]","",IFERROR(SUMPRODUCT((DATOS!$A$2:$A$20000=AE560)*(DATOS!$G$2:$G$20000=CONFIG_METADATA!$B$4)*(COUNTIF(CONFIG_ASIGNATURAS!$B$7:$B$27,DATOS!$I$2:$I$20000)&gt;0)*(DATOS!$K$2:$K$20000))/SUMPRODUCT((DATOS!$A$2:$A$20000=AE560)*(DATOS!$G$2:$G$20000=CONFIG_METADATA!$B$4)*(COUNTIF(CONFIG_ASIGNATURAS!$B$7:$B$27,DATOS!$I$2:$I$20000)&gt;0)*1),"")))</f>
        <v/>
      </c>
    </row>
    <row r="561" spans="2:35" x14ac:dyDescent="0.2">
      <c r="B561" t="str">
        <f>IF(A561="","",IF(A561="[FÓRMULA MANUAL]","",IFERROR(AVERAGEIFS(DATOS!$K$2:$K$20000,DATOS!$A$2:$A$20000,A561,DATOS!$G$2:$G$20000,CONFIG_METADATA!$B$4,DATOS!$I$2:$I$20000,"Lenguaje Musical"),"")))</f>
        <v/>
      </c>
      <c r="C561" t="str">
        <f>IF(A561="","",IF(A561="[FÓRMULA MANUAL]","",IFERROR(AVERAGEIFS(DATOS!$K$2:$K$20000,DATOS!$A$2:$A$20000,A561,DATOS!$G$2:$G$20000,CONFIG_METADATA!$B$4,DATOS!$I$2:$I$20000,"Orquesta/Banda/Conjunto"),"")))</f>
        <v/>
      </c>
      <c r="D561" t="str">
        <f>IF(A561="","",IF(A561="[FÓRMULA MANUAL]","",IFERROR(AVERAGEIFS(DATOS!$K$2:$K$20000,DATOS!$A$2:$A$20000,A561,DATOS!$G$2:$G$20000,CONFIG_METADATA!$B$4,DATOS!$I$2:$I$20000,"Conjunto"),"")))</f>
        <v/>
      </c>
      <c r="E561" t="str">
        <f>IF(A561="","",IF(A561="[FÓRMULA MANUAL]","",IFERROR(SUMPRODUCT((DATOS!$A$2:$A$20000=A561)*(DATOS!$G$2:$G$20000=CONFIG_METADATA!$B$4)*(COUNTIF(CONFIG_ASIGNATURAS!$B$7:$B$27,DATOS!$I$2:$I$20000)&gt;0)*(DATOS!$K$2:$K$20000))/SUMPRODUCT((DATOS!$A$2:$A$20000=A561)*(DATOS!$G$2:$G$20000=CONFIG_METADATA!$B$4)*(COUNTIF(CONFIG_ASIGNATURAS!$B$7:$B$27,DATOS!$I$2:$I$20000)&gt;0)*1),"")))</f>
        <v/>
      </c>
      <c r="H561" t="str">
        <f>IF(G561="","",IF(G561="[FÓRMULA MANUAL]","",IFERROR(AVERAGEIFS(DATOS!$K$2:$K$20000,DATOS!$A$2:$A$20000,G561,DATOS!$G$2:$G$20000,CONFIG_METADATA!$B$4,DATOS!$I$2:$I$20000,"Lenguaje Musical"),"")))</f>
        <v/>
      </c>
      <c r="I561" t="str">
        <f>IF(G561="","",IF(G561="[FÓRMULA MANUAL]","",IFERROR(AVERAGEIFS(DATOS!$K$2:$K$20000,DATOS!$A$2:$A$20000,G561,DATOS!$G$2:$G$20000,CONFIG_METADATA!$B$4,DATOS!$I$2:$I$20000,"Orquesta/Banda/Conjunto"),"")))</f>
        <v/>
      </c>
      <c r="J561" t="str">
        <f>IF(G561="","",IF(G561="[FÓRMULA MANUAL]","",IFERROR(AVERAGEIFS(DATOS!$K$2:$K$20000,DATOS!$A$2:$A$20000,G561,DATOS!$G$2:$G$20000,CONFIG_METADATA!$B$4,DATOS!$I$2:$I$20000,"Conjunto"),"")))</f>
        <v/>
      </c>
      <c r="K561" t="str">
        <f>IF(G561="","",IF(G561="[FÓRMULA MANUAL]","",IFERROR(SUMPRODUCT((DATOS!$A$2:$A$20000=G561)*(DATOS!$G$2:$G$20000=CONFIG_METADATA!$B$4)*(COUNTIF(CONFIG_ASIGNATURAS!$B$7:$B$27,DATOS!$I$2:$I$20000)&gt;0)*(DATOS!$K$2:$K$20000))/SUMPRODUCT((DATOS!$A$2:$A$20000=G561)*(DATOS!$G$2:$G$20000=CONFIG_METADATA!$B$4)*(COUNTIF(CONFIG_ASIGNATURAS!$B$7:$B$27,DATOS!$I$2:$I$20000)&gt;0)*1),"")))</f>
        <v/>
      </c>
      <c r="N561" t="str">
        <f>IF(M561="","",IF(M561="[FÓRMULA MANUAL]","",IFERROR(AVERAGEIFS(DATOS!$K$2:$K$20000,DATOS!$A$2:$A$20000,M561,DATOS!$G$2:$G$20000,CONFIG_METADATA!$B$4,DATOS!$I$2:$I$20000,"Armonía"),"")))</f>
        <v/>
      </c>
      <c r="O561" t="str">
        <f>IF(M561="","",IF(M561="[FÓRMULA MANUAL]","",IFERROR(AVERAGEIFS(DATOS!$K$2:$K$20000,DATOS!$A$2:$A$20000,M561,DATOS!$G$2:$G$20000,CONFIG_METADATA!$B$4,DATOS!$I$2:$I$20000,"Orquesta/Banda/Conjunto"),"")))</f>
        <v/>
      </c>
      <c r="P561" t="str">
        <f>IF(M561="","",IF(M561="[FÓRMULA MANUAL]","",IFERROR(AVERAGEIFS(DATOS!$K$2:$K$20000,DATOS!$A$2:$A$20000,M561,DATOS!$G$2:$G$20000,CONFIG_METADATA!$B$4,DATOS!$I$2:$I$20000,"Música de Cámara"),"")))</f>
        <v/>
      </c>
      <c r="Q561" t="str">
        <f>IF(M561="","",IF(M561="[FÓRMULA MANUAL]","",IFERROR(SUMPRODUCT((DATOS!$A$2:$A$20000=M561)*(DATOS!$G$2:$G$20000=CONFIG_METADATA!$B$4)*(COUNTIF(CONFIG_ASIGNATURAS!$B$7:$B$27,DATOS!$I$2:$I$20000)&gt;0)*(DATOS!$K$2:$K$20000))/SUMPRODUCT((DATOS!$A$2:$A$20000=M561)*(DATOS!$G$2:$G$20000=CONFIG_METADATA!$B$4)*(COUNTIF(CONFIG_ASIGNATURAS!$B$7:$B$27,DATOS!$I$2:$I$20000)&gt;0)*1),"")))</f>
        <v/>
      </c>
      <c r="T561" t="str">
        <f>IF(S561="","",IF(S561="[FÓRMULA MANUAL]","",IFERROR(AVERAGEIFS(DATOS!$K$2:$K$20000,DATOS!$A$2:$A$20000,S561,DATOS!$G$2:$G$20000,CONFIG_METADATA!$B$4,DATOS!$I$2:$I$20000,"Armonía"),"")))</f>
        <v/>
      </c>
      <c r="U561" t="str">
        <f>IF(S561="","",IF(S561="[FÓRMULA MANUAL]","",IFERROR(AVERAGEIFS(DATOS!$K$2:$K$20000,DATOS!$A$2:$A$20000,S561,DATOS!$G$2:$G$20000,CONFIG_METADATA!$B$4,DATOS!$I$2:$I$20000,"Orquesta/Banda/Conjunto"),"")))</f>
        <v/>
      </c>
      <c r="V561" t="str">
        <f>IF(S561="","",IF(S561="[FÓRMULA MANUAL]","",IFERROR(AVERAGEIFS(DATOS!$K$2:$K$20000,DATOS!$A$2:$A$20000,S561,DATOS!$G$2:$G$20000,CONFIG_METADATA!$B$4,DATOS!$I$2:$I$20000,"Música de Cámara"),"")))</f>
        <v/>
      </c>
      <c r="W561" t="str">
        <f>IF(S561="","",IF(S561="[FÓRMULA MANUAL]","",IFERROR(SUMPRODUCT((DATOS!$A$2:$A$20000=S561)*(DATOS!$G$2:$G$20000=CONFIG_METADATA!$B$4)*(COUNTIF(CONFIG_ASIGNATURAS!$B$7:$B$27,DATOS!$I$2:$I$20000)&gt;0)*(DATOS!$K$2:$K$20000))/SUMPRODUCT((DATOS!$A$2:$A$20000=S561)*(DATOS!$G$2:$G$20000=CONFIG_METADATA!$B$4)*(COUNTIF(CONFIG_ASIGNATURAS!$B$7:$B$27,DATOS!$I$2:$I$20000)&gt;0)*1),"")))</f>
        <v/>
      </c>
      <c r="Z561" t="str">
        <f>IF(Y561="","",IF(Y561="[FÓRMULA MANUAL]","",IFERROR(AVERAGEIFS(DATOS!$K$2:$K$20000,DATOS!$A$2:$A$20000,Y561,DATOS!$G$2:$G$20000,CONFIG_METADATA!$B$4,DATOS!$I$2:$I$20000,"Análisis"),"")))</f>
        <v/>
      </c>
      <c r="AA561" t="str">
        <f>IF(Y561="","",IF(Y561="[FÓRMULA MANUAL]","",IFERROR(AVERAGEIFS(DATOS!$K$2:$K$20000,DATOS!$A$2:$A$20000,Y561,DATOS!$G$2:$G$20000,CONFIG_METADATA!$B$4,DATOS!$I$2:$I$20000,"Orquesta/Banda/Conjunto"),"")))</f>
        <v/>
      </c>
      <c r="AB561" t="str">
        <f>IF(Y561="","",IF(Y561="[FÓRMULA MANUAL]","",IFERROR(AVERAGEIFS(DATOS!$K$2:$K$20000,DATOS!$A$2:$A$20000,Y561,DATOS!$G$2:$G$20000,CONFIG_METADATA!$B$4,DATOS!$I$2:$I$20000,"Música de Cámara"),"")))</f>
        <v/>
      </c>
      <c r="AC561" t="str">
        <f>IF(Y561="","",IF(Y561="[FÓRMULA MANUAL]","",IFERROR(SUMPRODUCT((DATOS!$A$2:$A$20000=Y561)*(DATOS!$G$2:$G$20000=CONFIG_METADATA!$B$4)*(COUNTIF(CONFIG_ASIGNATURAS!$B$7:$B$27,DATOS!$I$2:$I$20000)&gt;0)*(DATOS!$K$2:$K$20000))/SUMPRODUCT((DATOS!$A$2:$A$20000=Y561)*(DATOS!$G$2:$G$20000=CONFIG_METADATA!$B$4)*(COUNTIF(CONFIG_ASIGNATURAS!$B$7:$B$27,DATOS!$I$2:$I$20000)&gt;0)*1),"")))</f>
        <v/>
      </c>
      <c r="AF561" t="str">
        <f>IF(AE561="","",IF(AE561="[FÓRMULA MANUAL]","",IFERROR(AVERAGEIFS(DATOS!$K$2:$K$20000,DATOS!$A$2:$A$20000,AE561,DATOS!$G$2:$G$20000,CONFIG_METADATA!$B$4,DATOS!$I$2:$I$20000,"Análisis"),"")))</f>
        <v/>
      </c>
      <c r="AG561" t="str">
        <f>IF(AE561="","",IF(AE561="[FÓRMULA MANUAL]","",IFERROR(AVERAGEIFS(DATOS!$K$2:$K$20000,DATOS!$A$2:$A$20000,AE561,DATOS!$G$2:$G$20000,CONFIG_METADATA!$B$4,DATOS!$I$2:$I$20000,"Orquesta/Banda/Conjunto"),"")))</f>
        <v/>
      </c>
      <c r="AH561" t="str">
        <f>IF(AE561="","",IF(AE561="[FÓRMULA MANUAL]","",IFERROR(AVERAGEIFS(DATOS!$K$2:$K$20000,DATOS!$A$2:$A$20000,AE561,DATOS!$G$2:$G$20000,CONFIG_METADATA!$B$4,DATOS!$I$2:$I$20000,"Música de Cámara"),"")))</f>
        <v/>
      </c>
      <c r="AI561" t="str">
        <f>IF(AE561="","",IF(AE561="[FÓRMULA MANUAL]","",IFERROR(SUMPRODUCT((DATOS!$A$2:$A$20000=AE561)*(DATOS!$G$2:$G$20000=CONFIG_METADATA!$B$4)*(COUNTIF(CONFIG_ASIGNATURAS!$B$7:$B$27,DATOS!$I$2:$I$20000)&gt;0)*(DATOS!$K$2:$K$20000))/SUMPRODUCT((DATOS!$A$2:$A$20000=AE561)*(DATOS!$G$2:$G$20000=CONFIG_METADATA!$B$4)*(COUNTIF(CONFIG_ASIGNATURAS!$B$7:$B$27,DATOS!$I$2:$I$20000)&gt;0)*1),"")))</f>
        <v/>
      </c>
    </row>
    <row r="562" spans="2:35" x14ac:dyDescent="0.2">
      <c r="B562" t="str">
        <f>IF(A562="","",IF(A562="[FÓRMULA MANUAL]","",IFERROR(AVERAGEIFS(DATOS!$K$2:$K$20000,DATOS!$A$2:$A$20000,A562,DATOS!$G$2:$G$20000,CONFIG_METADATA!$B$4,DATOS!$I$2:$I$20000,"Lenguaje Musical"),"")))</f>
        <v/>
      </c>
      <c r="C562" t="str">
        <f>IF(A562="","",IF(A562="[FÓRMULA MANUAL]","",IFERROR(AVERAGEIFS(DATOS!$K$2:$K$20000,DATOS!$A$2:$A$20000,A562,DATOS!$G$2:$G$20000,CONFIG_METADATA!$B$4,DATOS!$I$2:$I$20000,"Orquesta/Banda/Conjunto"),"")))</f>
        <v/>
      </c>
      <c r="D562" t="str">
        <f>IF(A562="","",IF(A562="[FÓRMULA MANUAL]","",IFERROR(AVERAGEIFS(DATOS!$K$2:$K$20000,DATOS!$A$2:$A$20000,A562,DATOS!$G$2:$G$20000,CONFIG_METADATA!$B$4,DATOS!$I$2:$I$20000,"Conjunto"),"")))</f>
        <v/>
      </c>
      <c r="E562" t="str">
        <f>IF(A562="","",IF(A562="[FÓRMULA MANUAL]","",IFERROR(SUMPRODUCT((DATOS!$A$2:$A$20000=A562)*(DATOS!$G$2:$G$20000=CONFIG_METADATA!$B$4)*(COUNTIF(CONFIG_ASIGNATURAS!$B$7:$B$27,DATOS!$I$2:$I$20000)&gt;0)*(DATOS!$K$2:$K$20000))/SUMPRODUCT((DATOS!$A$2:$A$20000=A562)*(DATOS!$G$2:$G$20000=CONFIG_METADATA!$B$4)*(COUNTIF(CONFIG_ASIGNATURAS!$B$7:$B$27,DATOS!$I$2:$I$20000)&gt;0)*1),"")))</f>
        <v/>
      </c>
      <c r="H562" t="str">
        <f>IF(G562="","",IF(G562="[FÓRMULA MANUAL]","",IFERROR(AVERAGEIFS(DATOS!$K$2:$K$20000,DATOS!$A$2:$A$20000,G562,DATOS!$G$2:$G$20000,CONFIG_METADATA!$B$4,DATOS!$I$2:$I$20000,"Lenguaje Musical"),"")))</f>
        <v/>
      </c>
      <c r="I562" t="str">
        <f>IF(G562="","",IF(G562="[FÓRMULA MANUAL]","",IFERROR(AVERAGEIFS(DATOS!$K$2:$K$20000,DATOS!$A$2:$A$20000,G562,DATOS!$G$2:$G$20000,CONFIG_METADATA!$B$4,DATOS!$I$2:$I$20000,"Orquesta/Banda/Conjunto"),"")))</f>
        <v/>
      </c>
      <c r="J562" t="str">
        <f>IF(G562="","",IF(G562="[FÓRMULA MANUAL]","",IFERROR(AVERAGEIFS(DATOS!$K$2:$K$20000,DATOS!$A$2:$A$20000,G562,DATOS!$G$2:$G$20000,CONFIG_METADATA!$B$4,DATOS!$I$2:$I$20000,"Conjunto"),"")))</f>
        <v/>
      </c>
      <c r="K562" t="str">
        <f>IF(G562="","",IF(G562="[FÓRMULA MANUAL]","",IFERROR(SUMPRODUCT((DATOS!$A$2:$A$20000=G562)*(DATOS!$G$2:$G$20000=CONFIG_METADATA!$B$4)*(COUNTIF(CONFIG_ASIGNATURAS!$B$7:$B$27,DATOS!$I$2:$I$20000)&gt;0)*(DATOS!$K$2:$K$20000))/SUMPRODUCT((DATOS!$A$2:$A$20000=G562)*(DATOS!$G$2:$G$20000=CONFIG_METADATA!$B$4)*(COUNTIF(CONFIG_ASIGNATURAS!$B$7:$B$27,DATOS!$I$2:$I$20000)&gt;0)*1),"")))</f>
        <v/>
      </c>
      <c r="N562" t="str">
        <f>IF(M562="","",IF(M562="[FÓRMULA MANUAL]","",IFERROR(AVERAGEIFS(DATOS!$K$2:$K$20000,DATOS!$A$2:$A$20000,M562,DATOS!$G$2:$G$20000,CONFIG_METADATA!$B$4,DATOS!$I$2:$I$20000,"Armonía"),"")))</f>
        <v/>
      </c>
      <c r="O562" t="str">
        <f>IF(M562="","",IF(M562="[FÓRMULA MANUAL]","",IFERROR(AVERAGEIFS(DATOS!$K$2:$K$20000,DATOS!$A$2:$A$20000,M562,DATOS!$G$2:$G$20000,CONFIG_METADATA!$B$4,DATOS!$I$2:$I$20000,"Orquesta/Banda/Conjunto"),"")))</f>
        <v/>
      </c>
      <c r="P562" t="str">
        <f>IF(M562="","",IF(M562="[FÓRMULA MANUAL]","",IFERROR(AVERAGEIFS(DATOS!$K$2:$K$20000,DATOS!$A$2:$A$20000,M562,DATOS!$G$2:$G$20000,CONFIG_METADATA!$B$4,DATOS!$I$2:$I$20000,"Música de Cámara"),"")))</f>
        <v/>
      </c>
      <c r="Q562" t="str">
        <f>IF(M562="","",IF(M562="[FÓRMULA MANUAL]","",IFERROR(SUMPRODUCT((DATOS!$A$2:$A$20000=M562)*(DATOS!$G$2:$G$20000=CONFIG_METADATA!$B$4)*(COUNTIF(CONFIG_ASIGNATURAS!$B$7:$B$27,DATOS!$I$2:$I$20000)&gt;0)*(DATOS!$K$2:$K$20000))/SUMPRODUCT((DATOS!$A$2:$A$20000=M562)*(DATOS!$G$2:$G$20000=CONFIG_METADATA!$B$4)*(COUNTIF(CONFIG_ASIGNATURAS!$B$7:$B$27,DATOS!$I$2:$I$20000)&gt;0)*1),"")))</f>
        <v/>
      </c>
      <c r="T562" t="str">
        <f>IF(S562="","",IF(S562="[FÓRMULA MANUAL]","",IFERROR(AVERAGEIFS(DATOS!$K$2:$K$20000,DATOS!$A$2:$A$20000,S562,DATOS!$G$2:$G$20000,CONFIG_METADATA!$B$4,DATOS!$I$2:$I$20000,"Armonía"),"")))</f>
        <v/>
      </c>
      <c r="U562" t="str">
        <f>IF(S562="","",IF(S562="[FÓRMULA MANUAL]","",IFERROR(AVERAGEIFS(DATOS!$K$2:$K$20000,DATOS!$A$2:$A$20000,S562,DATOS!$G$2:$G$20000,CONFIG_METADATA!$B$4,DATOS!$I$2:$I$20000,"Orquesta/Banda/Conjunto"),"")))</f>
        <v/>
      </c>
      <c r="V562" t="str">
        <f>IF(S562="","",IF(S562="[FÓRMULA MANUAL]","",IFERROR(AVERAGEIFS(DATOS!$K$2:$K$20000,DATOS!$A$2:$A$20000,S562,DATOS!$G$2:$G$20000,CONFIG_METADATA!$B$4,DATOS!$I$2:$I$20000,"Música de Cámara"),"")))</f>
        <v/>
      </c>
      <c r="W562" t="str">
        <f>IF(S562="","",IF(S562="[FÓRMULA MANUAL]","",IFERROR(SUMPRODUCT((DATOS!$A$2:$A$20000=S562)*(DATOS!$G$2:$G$20000=CONFIG_METADATA!$B$4)*(COUNTIF(CONFIG_ASIGNATURAS!$B$7:$B$27,DATOS!$I$2:$I$20000)&gt;0)*(DATOS!$K$2:$K$20000))/SUMPRODUCT((DATOS!$A$2:$A$20000=S562)*(DATOS!$G$2:$G$20000=CONFIG_METADATA!$B$4)*(COUNTIF(CONFIG_ASIGNATURAS!$B$7:$B$27,DATOS!$I$2:$I$20000)&gt;0)*1),"")))</f>
        <v/>
      </c>
      <c r="Z562" t="str">
        <f>IF(Y562="","",IF(Y562="[FÓRMULA MANUAL]","",IFERROR(AVERAGEIFS(DATOS!$K$2:$K$20000,DATOS!$A$2:$A$20000,Y562,DATOS!$G$2:$G$20000,CONFIG_METADATA!$B$4,DATOS!$I$2:$I$20000,"Análisis"),"")))</f>
        <v/>
      </c>
      <c r="AA562" t="str">
        <f>IF(Y562="","",IF(Y562="[FÓRMULA MANUAL]","",IFERROR(AVERAGEIFS(DATOS!$K$2:$K$20000,DATOS!$A$2:$A$20000,Y562,DATOS!$G$2:$G$20000,CONFIG_METADATA!$B$4,DATOS!$I$2:$I$20000,"Orquesta/Banda/Conjunto"),"")))</f>
        <v/>
      </c>
      <c r="AB562" t="str">
        <f>IF(Y562="","",IF(Y562="[FÓRMULA MANUAL]","",IFERROR(AVERAGEIFS(DATOS!$K$2:$K$20000,DATOS!$A$2:$A$20000,Y562,DATOS!$G$2:$G$20000,CONFIG_METADATA!$B$4,DATOS!$I$2:$I$20000,"Música de Cámara"),"")))</f>
        <v/>
      </c>
      <c r="AC562" t="str">
        <f>IF(Y562="","",IF(Y562="[FÓRMULA MANUAL]","",IFERROR(SUMPRODUCT((DATOS!$A$2:$A$20000=Y562)*(DATOS!$G$2:$G$20000=CONFIG_METADATA!$B$4)*(COUNTIF(CONFIG_ASIGNATURAS!$B$7:$B$27,DATOS!$I$2:$I$20000)&gt;0)*(DATOS!$K$2:$K$20000))/SUMPRODUCT((DATOS!$A$2:$A$20000=Y562)*(DATOS!$G$2:$G$20000=CONFIG_METADATA!$B$4)*(COUNTIF(CONFIG_ASIGNATURAS!$B$7:$B$27,DATOS!$I$2:$I$20000)&gt;0)*1),"")))</f>
        <v/>
      </c>
      <c r="AF562" t="str">
        <f>IF(AE562="","",IF(AE562="[FÓRMULA MANUAL]","",IFERROR(AVERAGEIFS(DATOS!$K$2:$K$20000,DATOS!$A$2:$A$20000,AE562,DATOS!$G$2:$G$20000,CONFIG_METADATA!$B$4,DATOS!$I$2:$I$20000,"Análisis"),"")))</f>
        <v/>
      </c>
      <c r="AG562" t="str">
        <f>IF(AE562="","",IF(AE562="[FÓRMULA MANUAL]","",IFERROR(AVERAGEIFS(DATOS!$K$2:$K$20000,DATOS!$A$2:$A$20000,AE562,DATOS!$G$2:$G$20000,CONFIG_METADATA!$B$4,DATOS!$I$2:$I$20000,"Orquesta/Banda/Conjunto"),"")))</f>
        <v/>
      </c>
      <c r="AH562" t="str">
        <f>IF(AE562="","",IF(AE562="[FÓRMULA MANUAL]","",IFERROR(AVERAGEIFS(DATOS!$K$2:$K$20000,DATOS!$A$2:$A$20000,AE562,DATOS!$G$2:$G$20000,CONFIG_METADATA!$B$4,DATOS!$I$2:$I$20000,"Música de Cámara"),"")))</f>
        <v/>
      </c>
      <c r="AI562" t="str">
        <f>IF(AE562="","",IF(AE562="[FÓRMULA MANUAL]","",IFERROR(SUMPRODUCT((DATOS!$A$2:$A$20000=AE562)*(DATOS!$G$2:$G$20000=CONFIG_METADATA!$B$4)*(COUNTIF(CONFIG_ASIGNATURAS!$B$7:$B$27,DATOS!$I$2:$I$20000)&gt;0)*(DATOS!$K$2:$K$20000))/SUMPRODUCT((DATOS!$A$2:$A$20000=AE562)*(DATOS!$G$2:$G$20000=CONFIG_METADATA!$B$4)*(COUNTIF(CONFIG_ASIGNATURAS!$B$7:$B$27,DATOS!$I$2:$I$20000)&gt;0)*1),"")))</f>
        <v/>
      </c>
    </row>
    <row r="563" spans="2:35" x14ac:dyDescent="0.2">
      <c r="B563" t="str">
        <f>IF(A563="","",IF(A563="[FÓRMULA MANUAL]","",IFERROR(AVERAGEIFS(DATOS!$K$2:$K$20000,DATOS!$A$2:$A$20000,A563,DATOS!$G$2:$G$20000,CONFIG_METADATA!$B$4,DATOS!$I$2:$I$20000,"Lenguaje Musical"),"")))</f>
        <v/>
      </c>
      <c r="C563" t="str">
        <f>IF(A563="","",IF(A563="[FÓRMULA MANUAL]","",IFERROR(AVERAGEIFS(DATOS!$K$2:$K$20000,DATOS!$A$2:$A$20000,A563,DATOS!$G$2:$G$20000,CONFIG_METADATA!$B$4,DATOS!$I$2:$I$20000,"Orquesta/Banda/Conjunto"),"")))</f>
        <v/>
      </c>
      <c r="D563" t="str">
        <f>IF(A563="","",IF(A563="[FÓRMULA MANUAL]","",IFERROR(AVERAGEIFS(DATOS!$K$2:$K$20000,DATOS!$A$2:$A$20000,A563,DATOS!$G$2:$G$20000,CONFIG_METADATA!$B$4,DATOS!$I$2:$I$20000,"Conjunto"),"")))</f>
        <v/>
      </c>
      <c r="E563" t="str">
        <f>IF(A563="","",IF(A563="[FÓRMULA MANUAL]","",IFERROR(SUMPRODUCT((DATOS!$A$2:$A$20000=A563)*(DATOS!$G$2:$G$20000=CONFIG_METADATA!$B$4)*(COUNTIF(CONFIG_ASIGNATURAS!$B$7:$B$27,DATOS!$I$2:$I$20000)&gt;0)*(DATOS!$K$2:$K$20000))/SUMPRODUCT((DATOS!$A$2:$A$20000=A563)*(DATOS!$G$2:$G$20000=CONFIG_METADATA!$B$4)*(COUNTIF(CONFIG_ASIGNATURAS!$B$7:$B$27,DATOS!$I$2:$I$20000)&gt;0)*1),"")))</f>
        <v/>
      </c>
      <c r="H563" t="str">
        <f>IF(G563="","",IF(G563="[FÓRMULA MANUAL]","",IFERROR(AVERAGEIFS(DATOS!$K$2:$K$20000,DATOS!$A$2:$A$20000,G563,DATOS!$G$2:$G$20000,CONFIG_METADATA!$B$4,DATOS!$I$2:$I$20000,"Lenguaje Musical"),"")))</f>
        <v/>
      </c>
      <c r="I563" t="str">
        <f>IF(G563="","",IF(G563="[FÓRMULA MANUAL]","",IFERROR(AVERAGEIFS(DATOS!$K$2:$K$20000,DATOS!$A$2:$A$20000,G563,DATOS!$G$2:$G$20000,CONFIG_METADATA!$B$4,DATOS!$I$2:$I$20000,"Orquesta/Banda/Conjunto"),"")))</f>
        <v/>
      </c>
      <c r="J563" t="str">
        <f>IF(G563="","",IF(G563="[FÓRMULA MANUAL]","",IFERROR(AVERAGEIFS(DATOS!$K$2:$K$20000,DATOS!$A$2:$A$20000,G563,DATOS!$G$2:$G$20000,CONFIG_METADATA!$B$4,DATOS!$I$2:$I$20000,"Conjunto"),"")))</f>
        <v/>
      </c>
      <c r="K563" t="str">
        <f>IF(G563="","",IF(G563="[FÓRMULA MANUAL]","",IFERROR(SUMPRODUCT((DATOS!$A$2:$A$20000=G563)*(DATOS!$G$2:$G$20000=CONFIG_METADATA!$B$4)*(COUNTIF(CONFIG_ASIGNATURAS!$B$7:$B$27,DATOS!$I$2:$I$20000)&gt;0)*(DATOS!$K$2:$K$20000))/SUMPRODUCT((DATOS!$A$2:$A$20000=G563)*(DATOS!$G$2:$G$20000=CONFIG_METADATA!$B$4)*(COUNTIF(CONFIG_ASIGNATURAS!$B$7:$B$27,DATOS!$I$2:$I$20000)&gt;0)*1),"")))</f>
        <v/>
      </c>
      <c r="N563" t="str">
        <f>IF(M563="","",IF(M563="[FÓRMULA MANUAL]","",IFERROR(AVERAGEIFS(DATOS!$K$2:$K$20000,DATOS!$A$2:$A$20000,M563,DATOS!$G$2:$G$20000,CONFIG_METADATA!$B$4,DATOS!$I$2:$I$20000,"Armonía"),"")))</f>
        <v/>
      </c>
      <c r="O563" t="str">
        <f>IF(M563="","",IF(M563="[FÓRMULA MANUAL]","",IFERROR(AVERAGEIFS(DATOS!$K$2:$K$20000,DATOS!$A$2:$A$20000,M563,DATOS!$G$2:$G$20000,CONFIG_METADATA!$B$4,DATOS!$I$2:$I$20000,"Orquesta/Banda/Conjunto"),"")))</f>
        <v/>
      </c>
      <c r="P563" t="str">
        <f>IF(M563="","",IF(M563="[FÓRMULA MANUAL]","",IFERROR(AVERAGEIFS(DATOS!$K$2:$K$20000,DATOS!$A$2:$A$20000,M563,DATOS!$G$2:$G$20000,CONFIG_METADATA!$B$4,DATOS!$I$2:$I$20000,"Música de Cámara"),"")))</f>
        <v/>
      </c>
      <c r="Q563" t="str">
        <f>IF(M563="","",IF(M563="[FÓRMULA MANUAL]","",IFERROR(SUMPRODUCT((DATOS!$A$2:$A$20000=M563)*(DATOS!$G$2:$G$20000=CONFIG_METADATA!$B$4)*(COUNTIF(CONFIG_ASIGNATURAS!$B$7:$B$27,DATOS!$I$2:$I$20000)&gt;0)*(DATOS!$K$2:$K$20000))/SUMPRODUCT((DATOS!$A$2:$A$20000=M563)*(DATOS!$G$2:$G$20000=CONFIG_METADATA!$B$4)*(COUNTIF(CONFIG_ASIGNATURAS!$B$7:$B$27,DATOS!$I$2:$I$20000)&gt;0)*1),"")))</f>
        <v/>
      </c>
      <c r="T563" t="str">
        <f>IF(S563="","",IF(S563="[FÓRMULA MANUAL]","",IFERROR(AVERAGEIFS(DATOS!$K$2:$K$20000,DATOS!$A$2:$A$20000,S563,DATOS!$G$2:$G$20000,CONFIG_METADATA!$B$4,DATOS!$I$2:$I$20000,"Armonía"),"")))</f>
        <v/>
      </c>
      <c r="U563" t="str">
        <f>IF(S563="","",IF(S563="[FÓRMULA MANUAL]","",IFERROR(AVERAGEIFS(DATOS!$K$2:$K$20000,DATOS!$A$2:$A$20000,S563,DATOS!$G$2:$G$20000,CONFIG_METADATA!$B$4,DATOS!$I$2:$I$20000,"Orquesta/Banda/Conjunto"),"")))</f>
        <v/>
      </c>
      <c r="V563" t="str">
        <f>IF(S563="","",IF(S563="[FÓRMULA MANUAL]","",IFERROR(AVERAGEIFS(DATOS!$K$2:$K$20000,DATOS!$A$2:$A$20000,S563,DATOS!$G$2:$G$20000,CONFIG_METADATA!$B$4,DATOS!$I$2:$I$20000,"Música de Cámara"),"")))</f>
        <v/>
      </c>
      <c r="W563" t="str">
        <f>IF(S563="","",IF(S563="[FÓRMULA MANUAL]","",IFERROR(SUMPRODUCT((DATOS!$A$2:$A$20000=S563)*(DATOS!$G$2:$G$20000=CONFIG_METADATA!$B$4)*(COUNTIF(CONFIG_ASIGNATURAS!$B$7:$B$27,DATOS!$I$2:$I$20000)&gt;0)*(DATOS!$K$2:$K$20000))/SUMPRODUCT((DATOS!$A$2:$A$20000=S563)*(DATOS!$G$2:$G$20000=CONFIG_METADATA!$B$4)*(COUNTIF(CONFIG_ASIGNATURAS!$B$7:$B$27,DATOS!$I$2:$I$20000)&gt;0)*1),"")))</f>
        <v/>
      </c>
      <c r="Z563" t="str">
        <f>IF(Y563="","",IF(Y563="[FÓRMULA MANUAL]","",IFERROR(AVERAGEIFS(DATOS!$K$2:$K$20000,DATOS!$A$2:$A$20000,Y563,DATOS!$G$2:$G$20000,CONFIG_METADATA!$B$4,DATOS!$I$2:$I$20000,"Análisis"),"")))</f>
        <v/>
      </c>
      <c r="AA563" t="str">
        <f>IF(Y563="","",IF(Y563="[FÓRMULA MANUAL]","",IFERROR(AVERAGEIFS(DATOS!$K$2:$K$20000,DATOS!$A$2:$A$20000,Y563,DATOS!$G$2:$G$20000,CONFIG_METADATA!$B$4,DATOS!$I$2:$I$20000,"Orquesta/Banda/Conjunto"),"")))</f>
        <v/>
      </c>
      <c r="AB563" t="str">
        <f>IF(Y563="","",IF(Y563="[FÓRMULA MANUAL]","",IFERROR(AVERAGEIFS(DATOS!$K$2:$K$20000,DATOS!$A$2:$A$20000,Y563,DATOS!$G$2:$G$20000,CONFIG_METADATA!$B$4,DATOS!$I$2:$I$20000,"Música de Cámara"),"")))</f>
        <v/>
      </c>
      <c r="AC563" t="str">
        <f>IF(Y563="","",IF(Y563="[FÓRMULA MANUAL]","",IFERROR(SUMPRODUCT((DATOS!$A$2:$A$20000=Y563)*(DATOS!$G$2:$G$20000=CONFIG_METADATA!$B$4)*(COUNTIF(CONFIG_ASIGNATURAS!$B$7:$B$27,DATOS!$I$2:$I$20000)&gt;0)*(DATOS!$K$2:$K$20000))/SUMPRODUCT((DATOS!$A$2:$A$20000=Y563)*(DATOS!$G$2:$G$20000=CONFIG_METADATA!$B$4)*(COUNTIF(CONFIG_ASIGNATURAS!$B$7:$B$27,DATOS!$I$2:$I$20000)&gt;0)*1),"")))</f>
        <v/>
      </c>
      <c r="AF563" t="str">
        <f>IF(AE563="","",IF(AE563="[FÓRMULA MANUAL]","",IFERROR(AVERAGEIFS(DATOS!$K$2:$K$20000,DATOS!$A$2:$A$20000,AE563,DATOS!$G$2:$G$20000,CONFIG_METADATA!$B$4,DATOS!$I$2:$I$20000,"Análisis"),"")))</f>
        <v/>
      </c>
      <c r="AG563" t="str">
        <f>IF(AE563="","",IF(AE563="[FÓRMULA MANUAL]","",IFERROR(AVERAGEIFS(DATOS!$K$2:$K$20000,DATOS!$A$2:$A$20000,AE563,DATOS!$G$2:$G$20000,CONFIG_METADATA!$B$4,DATOS!$I$2:$I$20000,"Orquesta/Banda/Conjunto"),"")))</f>
        <v/>
      </c>
      <c r="AH563" t="str">
        <f>IF(AE563="","",IF(AE563="[FÓRMULA MANUAL]","",IFERROR(AVERAGEIFS(DATOS!$K$2:$K$20000,DATOS!$A$2:$A$20000,AE563,DATOS!$G$2:$G$20000,CONFIG_METADATA!$B$4,DATOS!$I$2:$I$20000,"Música de Cámara"),"")))</f>
        <v/>
      </c>
      <c r="AI563" t="str">
        <f>IF(AE563="","",IF(AE563="[FÓRMULA MANUAL]","",IFERROR(SUMPRODUCT((DATOS!$A$2:$A$20000=AE563)*(DATOS!$G$2:$G$20000=CONFIG_METADATA!$B$4)*(COUNTIF(CONFIG_ASIGNATURAS!$B$7:$B$27,DATOS!$I$2:$I$20000)&gt;0)*(DATOS!$K$2:$K$20000))/SUMPRODUCT((DATOS!$A$2:$A$20000=AE563)*(DATOS!$G$2:$G$20000=CONFIG_METADATA!$B$4)*(COUNTIF(CONFIG_ASIGNATURAS!$B$7:$B$27,DATOS!$I$2:$I$20000)&gt;0)*1),"")))</f>
        <v/>
      </c>
    </row>
    <row r="564" spans="2:35" x14ac:dyDescent="0.2">
      <c r="B564" t="str">
        <f>IF(A564="","",IF(A564="[FÓRMULA MANUAL]","",IFERROR(AVERAGEIFS(DATOS!$K$2:$K$20000,DATOS!$A$2:$A$20000,A564,DATOS!$G$2:$G$20000,CONFIG_METADATA!$B$4,DATOS!$I$2:$I$20000,"Lenguaje Musical"),"")))</f>
        <v/>
      </c>
      <c r="C564" t="str">
        <f>IF(A564="","",IF(A564="[FÓRMULA MANUAL]","",IFERROR(AVERAGEIFS(DATOS!$K$2:$K$20000,DATOS!$A$2:$A$20000,A564,DATOS!$G$2:$G$20000,CONFIG_METADATA!$B$4,DATOS!$I$2:$I$20000,"Orquesta/Banda/Conjunto"),"")))</f>
        <v/>
      </c>
      <c r="D564" t="str">
        <f>IF(A564="","",IF(A564="[FÓRMULA MANUAL]","",IFERROR(AVERAGEIFS(DATOS!$K$2:$K$20000,DATOS!$A$2:$A$20000,A564,DATOS!$G$2:$G$20000,CONFIG_METADATA!$B$4,DATOS!$I$2:$I$20000,"Conjunto"),"")))</f>
        <v/>
      </c>
      <c r="E564" t="str">
        <f>IF(A564="","",IF(A564="[FÓRMULA MANUAL]","",IFERROR(SUMPRODUCT((DATOS!$A$2:$A$20000=A564)*(DATOS!$G$2:$G$20000=CONFIG_METADATA!$B$4)*(COUNTIF(CONFIG_ASIGNATURAS!$B$7:$B$27,DATOS!$I$2:$I$20000)&gt;0)*(DATOS!$K$2:$K$20000))/SUMPRODUCT((DATOS!$A$2:$A$20000=A564)*(DATOS!$G$2:$G$20000=CONFIG_METADATA!$B$4)*(COUNTIF(CONFIG_ASIGNATURAS!$B$7:$B$27,DATOS!$I$2:$I$20000)&gt;0)*1),"")))</f>
        <v/>
      </c>
      <c r="H564" t="str">
        <f>IF(G564="","",IF(G564="[FÓRMULA MANUAL]","",IFERROR(AVERAGEIFS(DATOS!$K$2:$K$20000,DATOS!$A$2:$A$20000,G564,DATOS!$G$2:$G$20000,CONFIG_METADATA!$B$4,DATOS!$I$2:$I$20000,"Lenguaje Musical"),"")))</f>
        <v/>
      </c>
      <c r="I564" t="str">
        <f>IF(G564="","",IF(G564="[FÓRMULA MANUAL]","",IFERROR(AVERAGEIFS(DATOS!$K$2:$K$20000,DATOS!$A$2:$A$20000,G564,DATOS!$G$2:$G$20000,CONFIG_METADATA!$B$4,DATOS!$I$2:$I$20000,"Orquesta/Banda/Conjunto"),"")))</f>
        <v/>
      </c>
      <c r="J564" t="str">
        <f>IF(G564="","",IF(G564="[FÓRMULA MANUAL]","",IFERROR(AVERAGEIFS(DATOS!$K$2:$K$20000,DATOS!$A$2:$A$20000,G564,DATOS!$G$2:$G$20000,CONFIG_METADATA!$B$4,DATOS!$I$2:$I$20000,"Conjunto"),"")))</f>
        <v/>
      </c>
      <c r="K564" t="str">
        <f>IF(G564="","",IF(G564="[FÓRMULA MANUAL]","",IFERROR(SUMPRODUCT((DATOS!$A$2:$A$20000=G564)*(DATOS!$G$2:$G$20000=CONFIG_METADATA!$B$4)*(COUNTIF(CONFIG_ASIGNATURAS!$B$7:$B$27,DATOS!$I$2:$I$20000)&gt;0)*(DATOS!$K$2:$K$20000))/SUMPRODUCT((DATOS!$A$2:$A$20000=G564)*(DATOS!$G$2:$G$20000=CONFIG_METADATA!$B$4)*(COUNTIF(CONFIG_ASIGNATURAS!$B$7:$B$27,DATOS!$I$2:$I$20000)&gt;0)*1),"")))</f>
        <v/>
      </c>
      <c r="N564" t="str">
        <f>IF(M564="","",IF(M564="[FÓRMULA MANUAL]","",IFERROR(AVERAGEIFS(DATOS!$K$2:$K$20000,DATOS!$A$2:$A$20000,M564,DATOS!$G$2:$G$20000,CONFIG_METADATA!$B$4,DATOS!$I$2:$I$20000,"Armonía"),"")))</f>
        <v/>
      </c>
      <c r="O564" t="str">
        <f>IF(M564="","",IF(M564="[FÓRMULA MANUAL]","",IFERROR(AVERAGEIFS(DATOS!$K$2:$K$20000,DATOS!$A$2:$A$20000,M564,DATOS!$G$2:$G$20000,CONFIG_METADATA!$B$4,DATOS!$I$2:$I$20000,"Orquesta/Banda/Conjunto"),"")))</f>
        <v/>
      </c>
      <c r="P564" t="str">
        <f>IF(M564="","",IF(M564="[FÓRMULA MANUAL]","",IFERROR(AVERAGEIFS(DATOS!$K$2:$K$20000,DATOS!$A$2:$A$20000,M564,DATOS!$G$2:$G$20000,CONFIG_METADATA!$B$4,DATOS!$I$2:$I$20000,"Música de Cámara"),"")))</f>
        <v/>
      </c>
      <c r="Q564" t="str">
        <f>IF(M564="","",IF(M564="[FÓRMULA MANUAL]","",IFERROR(SUMPRODUCT((DATOS!$A$2:$A$20000=M564)*(DATOS!$G$2:$G$20000=CONFIG_METADATA!$B$4)*(COUNTIF(CONFIG_ASIGNATURAS!$B$7:$B$27,DATOS!$I$2:$I$20000)&gt;0)*(DATOS!$K$2:$K$20000))/SUMPRODUCT((DATOS!$A$2:$A$20000=M564)*(DATOS!$G$2:$G$20000=CONFIG_METADATA!$B$4)*(COUNTIF(CONFIG_ASIGNATURAS!$B$7:$B$27,DATOS!$I$2:$I$20000)&gt;0)*1),"")))</f>
        <v/>
      </c>
      <c r="T564" t="str">
        <f>IF(S564="","",IF(S564="[FÓRMULA MANUAL]","",IFERROR(AVERAGEIFS(DATOS!$K$2:$K$20000,DATOS!$A$2:$A$20000,S564,DATOS!$G$2:$G$20000,CONFIG_METADATA!$B$4,DATOS!$I$2:$I$20000,"Armonía"),"")))</f>
        <v/>
      </c>
      <c r="U564" t="str">
        <f>IF(S564="","",IF(S564="[FÓRMULA MANUAL]","",IFERROR(AVERAGEIFS(DATOS!$K$2:$K$20000,DATOS!$A$2:$A$20000,S564,DATOS!$G$2:$G$20000,CONFIG_METADATA!$B$4,DATOS!$I$2:$I$20000,"Orquesta/Banda/Conjunto"),"")))</f>
        <v/>
      </c>
      <c r="V564" t="str">
        <f>IF(S564="","",IF(S564="[FÓRMULA MANUAL]","",IFERROR(AVERAGEIFS(DATOS!$K$2:$K$20000,DATOS!$A$2:$A$20000,S564,DATOS!$G$2:$G$20000,CONFIG_METADATA!$B$4,DATOS!$I$2:$I$20000,"Música de Cámara"),"")))</f>
        <v/>
      </c>
      <c r="W564" t="str">
        <f>IF(S564="","",IF(S564="[FÓRMULA MANUAL]","",IFERROR(SUMPRODUCT((DATOS!$A$2:$A$20000=S564)*(DATOS!$G$2:$G$20000=CONFIG_METADATA!$B$4)*(COUNTIF(CONFIG_ASIGNATURAS!$B$7:$B$27,DATOS!$I$2:$I$20000)&gt;0)*(DATOS!$K$2:$K$20000))/SUMPRODUCT((DATOS!$A$2:$A$20000=S564)*(DATOS!$G$2:$G$20000=CONFIG_METADATA!$B$4)*(COUNTIF(CONFIG_ASIGNATURAS!$B$7:$B$27,DATOS!$I$2:$I$20000)&gt;0)*1),"")))</f>
        <v/>
      </c>
      <c r="Z564" t="str">
        <f>IF(Y564="","",IF(Y564="[FÓRMULA MANUAL]","",IFERROR(AVERAGEIFS(DATOS!$K$2:$K$20000,DATOS!$A$2:$A$20000,Y564,DATOS!$G$2:$G$20000,CONFIG_METADATA!$B$4,DATOS!$I$2:$I$20000,"Análisis"),"")))</f>
        <v/>
      </c>
      <c r="AA564" t="str">
        <f>IF(Y564="","",IF(Y564="[FÓRMULA MANUAL]","",IFERROR(AVERAGEIFS(DATOS!$K$2:$K$20000,DATOS!$A$2:$A$20000,Y564,DATOS!$G$2:$G$20000,CONFIG_METADATA!$B$4,DATOS!$I$2:$I$20000,"Orquesta/Banda/Conjunto"),"")))</f>
        <v/>
      </c>
      <c r="AB564" t="str">
        <f>IF(Y564="","",IF(Y564="[FÓRMULA MANUAL]","",IFERROR(AVERAGEIFS(DATOS!$K$2:$K$20000,DATOS!$A$2:$A$20000,Y564,DATOS!$G$2:$G$20000,CONFIG_METADATA!$B$4,DATOS!$I$2:$I$20000,"Música de Cámara"),"")))</f>
        <v/>
      </c>
      <c r="AC564" t="str">
        <f>IF(Y564="","",IF(Y564="[FÓRMULA MANUAL]","",IFERROR(SUMPRODUCT((DATOS!$A$2:$A$20000=Y564)*(DATOS!$G$2:$G$20000=CONFIG_METADATA!$B$4)*(COUNTIF(CONFIG_ASIGNATURAS!$B$7:$B$27,DATOS!$I$2:$I$20000)&gt;0)*(DATOS!$K$2:$K$20000))/SUMPRODUCT((DATOS!$A$2:$A$20000=Y564)*(DATOS!$G$2:$G$20000=CONFIG_METADATA!$B$4)*(COUNTIF(CONFIG_ASIGNATURAS!$B$7:$B$27,DATOS!$I$2:$I$20000)&gt;0)*1),"")))</f>
        <v/>
      </c>
      <c r="AF564" t="str">
        <f>IF(AE564="","",IF(AE564="[FÓRMULA MANUAL]","",IFERROR(AVERAGEIFS(DATOS!$K$2:$K$20000,DATOS!$A$2:$A$20000,AE564,DATOS!$G$2:$G$20000,CONFIG_METADATA!$B$4,DATOS!$I$2:$I$20000,"Análisis"),"")))</f>
        <v/>
      </c>
      <c r="AG564" t="str">
        <f>IF(AE564="","",IF(AE564="[FÓRMULA MANUAL]","",IFERROR(AVERAGEIFS(DATOS!$K$2:$K$20000,DATOS!$A$2:$A$20000,AE564,DATOS!$G$2:$G$20000,CONFIG_METADATA!$B$4,DATOS!$I$2:$I$20000,"Orquesta/Banda/Conjunto"),"")))</f>
        <v/>
      </c>
      <c r="AH564" t="str">
        <f>IF(AE564="","",IF(AE564="[FÓRMULA MANUAL]","",IFERROR(AVERAGEIFS(DATOS!$K$2:$K$20000,DATOS!$A$2:$A$20000,AE564,DATOS!$G$2:$G$20000,CONFIG_METADATA!$B$4,DATOS!$I$2:$I$20000,"Música de Cámara"),"")))</f>
        <v/>
      </c>
      <c r="AI564" t="str">
        <f>IF(AE564="","",IF(AE564="[FÓRMULA MANUAL]","",IFERROR(SUMPRODUCT((DATOS!$A$2:$A$20000=AE564)*(DATOS!$G$2:$G$20000=CONFIG_METADATA!$B$4)*(COUNTIF(CONFIG_ASIGNATURAS!$B$7:$B$27,DATOS!$I$2:$I$20000)&gt;0)*(DATOS!$K$2:$K$20000))/SUMPRODUCT((DATOS!$A$2:$A$20000=AE564)*(DATOS!$G$2:$G$20000=CONFIG_METADATA!$B$4)*(COUNTIF(CONFIG_ASIGNATURAS!$B$7:$B$27,DATOS!$I$2:$I$20000)&gt;0)*1),"")))</f>
        <v/>
      </c>
    </row>
    <row r="565" spans="2:35" x14ac:dyDescent="0.2">
      <c r="B565" t="str">
        <f>IF(A565="","",IF(A565="[FÓRMULA MANUAL]","",IFERROR(AVERAGEIFS(DATOS!$K$2:$K$20000,DATOS!$A$2:$A$20000,A565,DATOS!$G$2:$G$20000,CONFIG_METADATA!$B$4,DATOS!$I$2:$I$20000,"Lenguaje Musical"),"")))</f>
        <v/>
      </c>
      <c r="C565" t="str">
        <f>IF(A565="","",IF(A565="[FÓRMULA MANUAL]","",IFERROR(AVERAGEIFS(DATOS!$K$2:$K$20000,DATOS!$A$2:$A$20000,A565,DATOS!$G$2:$G$20000,CONFIG_METADATA!$B$4,DATOS!$I$2:$I$20000,"Orquesta/Banda/Conjunto"),"")))</f>
        <v/>
      </c>
      <c r="D565" t="str">
        <f>IF(A565="","",IF(A565="[FÓRMULA MANUAL]","",IFERROR(AVERAGEIFS(DATOS!$K$2:$K$20000,DATOS!$A$2:$A$20000,A565,DATOS!$G$2:$G$20000,CONFIG_METADATA!$B$4,DATOS!$I$2:$I$20000,"Conjunto"),"")))</f>
        <v/>
      </c>
      <c r="E565" t="str">
        <f>IF(A565="","",IF(A565="[FÓRMULA MANUAL]","",IFERROR(SUMPRODUCT((DATOS!$A$2:$A$20000=A565)*(DATOS!$G$2:$G$20000=CONFIG_METADATA!$B$4)*(COUNTIF(CONFIG_ASIGNATURAS!$B$7:$B$27,DATOS!$I$2:$I$20000)&gt;0)*(DATOS!$K$2:$K$20000))/SUMPRODUCT((DATOS!$A$2:$A$20000=A565)*(DATOS!$G$2:$G$20000=CONFIG_METADATA!$B$4)*(COUNTIF(CONFIG_ASIGNATURAS!$B$7:$B$27,DATOS!$I$2:$I$20000)&gt;0)*1),"")))</f>
        <v/>
      </c>
      <c r="H565" t="str">
        <f>IF(G565="","",IF(G565="[FÓRMULA MANUAL]","",IFERROR(AVERAGEIFS(DATOS!$K$2:$K$20000,DATOS!$A$2:$A$20000,G565,DATOS!$G$2:$G$20000,CONFIG_METADATA!$B$4,DATOS!$I$2:$I$20000,"Lenguaje Musical"),"")))</f>
        <v/>
      </c>
      <c r="I565" t="str">
        <f>IF(G565="","",IF(G565="[FÓRMULA MANUAL]","",IFERROR(AVERAGEIFS(DATOS!$K$2:$K$20000,DATOS!$A$2:$A$20000,G565,DATOS!$G$2:$G$20000,CONFIG_METADATA!$B$4,DATOS!$I$2:$I$20000,"Orquesta/Banda/Conjunto"),"")))</f>
        <v/>
      </c>
      <c r="J565" t="str">
        <f>IF(G565="","",IF(G565="[FÓRMULA MANUAL]","",IFERROR(AVERAGEIFS(DATOS!$K$2:$K$20000,DATOS!$A$2:$A$20000,G565,DATOS!$G$2:$G$20000,CONFIG_METADATA!$B$4,DATOS!$I$2:$I$20000,"Conjunto"),"")))</f>
        <v/>
      </c>
      <c r="K565" t="str">
        <f>IF(G565="","",IF(G565="[FÓRMULA MANUAL]","",IFERROR(SUMPRODUCT((DATOS!$A$2:$A$20000=G565)*(DATOS!$G$2:$G$20000=CONFIG_METADATA!$B$4)*(COUNTIF(CONFIG_ASIGNATURAS!$B$7:$B$27,DATOS!$I$2:$I$20000)&gt;0)*(DATOS!$K$2:$K$20000))/SUMPRODUCT((DATOS!$A$2:$A$20000=G565)*(DATOS!$G$2:$G$20000=CONFIG_METADATA!$B$4)*(COUNTIF(CONFIG_ASIGNATURAS!$B$7:$B$27,DATOS!$I$2:$I$20000)&gt;0)*1),"")))</f>
        <v/>
      </c>
      <c r="N565" t="str">
        <f>IF(M565="","",IF(M565="[FÓRMULA MANUAL]","",IFERROR(AVERAGEIFS(DATOS!$K$2:$K$20000,DATOS!$A$2:$A$20000,M565,DATOS!$G$2:$G$20000,CONFIG_METADATA!$B$4,DATOS!$I$2:$I$20000,"Armonía"),"")))</f>
        <v/>
      </c>
      <c r="O565" t="str">
        <f>IF(M565="","",IF(M565="[FÓRMULA MANUAL]","",IFERROR(AVERAGEIFS(DATOS!$K$2:$K$20000,DATOS!$A$2:$A$20000,M565,DATOS!$G$2:$G$20000,CONFIG_METADATA!$B$4,DATOS!$I$2:$I$20000,"Orquesta/Banda/Conjunto"),"")))</f>
        <v/>
      </c>
      <c r="P565" t="str">
        <f>IF(M565="","",IF(M565="[FÓRMULA MANUAL]","",IFERROR(AVERAGEIFS(DATOS!$K$2:$K$20000,DATOS!$A$2:$A$20000,M565,DATOS!$G$2:$G$20000,CONFIG_METADATA!$B$4,DATOS!$I$2:$I$20000,"Música de Cámara"),"")))</f>
        <v/>
      </c>
      <c r="Q565" t="str">
        <f>IF(M565="","",IF(M565="[FÓRMULA MANUAL]","",IFERROR(SUMPRODUCT((DATOS!$A$2:$A$20000=M565)*(DATOS!$G$2:$G$20000=CONFIG_METADATA!$B$4)*(COUNTIF(CONFIG_ASIGNATURAS!$B$7:$B$27,DATOS!$I$2:$I$20000)&gt;0)*(DATOS!$K$2:$K$20000))/SUMPRODUCT((DATOS!$A$2:$A$20000=M565)*(DATOS!$G$2:$G$20000=CONFIG_METADATA!$B$4)*(COUNTIF(CONFIG_ASIGNATURAS!$B$7:$B$27,DATOS!$I$2:$I$20000)&gt;0)*1),"")))</f>
        <v/>
      </c>
      <c r="T565" t="str">
        <f>IF(S565="","",IF(S565="[FÓRMULA MANUAL]","",IFERROR(AVERAGEIFS(DATOS!$K$2:$K$20000,DATOS!$A$2:$A$20000,S565,DATOS!$G$2:$G$20000,CONFIG_METADATA!$B$4,DATOS!$I$2:$I$20000,"Armonía"),"")))</f>
        <v/>
      </c>
      <c r="U565" t="str">
        <f>IF(S565="","",IF(S565="[FÓRMULA MANUAL]","",IFERROR(AVERAGEIFS(DATOS!$K$2:$K$20000,DATOS!$A$2:$A$20000,S565,DATOS!$G$2:$G$20000,CONFIG_METADATA!$B$4,DATOS!$I$2:$I$20000,"Orquesta/Banda/Conjunto"),"")))</f>
        <v/>
      </c>
      <c r="V565" t="str">
        <f>IF(S565="","",IF(S565="[FÓRMULA MANUAL]","",IFERROR(AVERAGEIFS(DATOS!$K$2:$K$20000,DATOS!$A$2:$A$20000,S565,DATOS!$G$2:$G$20000,CONFIG_METADATA!$B$4,DATOS!$I$2:$I$20000,"Música de Cámara"),"")))</f>
        <v/>
      </c>
      <c r="W565" t="str">
        <f>IF(S565="","",IF(S565="[FÓRMULA MANUAL]","",IFERROR(SUMPRODUCT((DATOS!$A$2:$A$20000=S565)*(DATOS!$G$2:$G$20000=CONFIG_METADATA!$B$4)*(COUNTIF(CONFIG_ASIGNATURAS!$B$7:$B$27,DATOS!$I$2:$I$20000)&gt;0)*(DATOS!$K$2:$K$20000))/SUMPRODUCT((DATOS!$A$2:$A$20000=S565)*(DATOS!$G$2:$G$20000=CONFIG_METADATA!$B$4)*(COUNTIF(CONFIG_ASIGNATURAS!$B$7:$B$27,DATOS!$I$2:$I$20000)&gt;0)*1),"")))</f>
        <v/>
      </c>
      <c r="Z565" t="str">
        <f>IF(Y565="","",IF(Y565="[FÓRMULA MANUAL]","",IFERROR(AVERAGEIFS(DATOS!$K$2:$K$20000,DATOS!$A$2:$A$20000,Y565,DATOS!$G$2:$G$20000,CONFIG_METADATA!$B$4,DATOS!$I$2:$I$20000,"Análisis"),"")))</f>
        <v/>
      </c>
      <c r="AA565" t="str">
        <f>IF(Y565="","",IF(Y565="[FÓRMULA MANUAL]","",IFERROR(AVERAGEIFS(DATOS!$K$2:$K$20000,DATOS!$A$2:$A$20000,Y565,DATOS!$G$2:$G$20000,CONFIG_METADATA!$B$4,DATOS!$I$2:$I$20000,"Orquesta/Banda/Conjunto"),"")))</f>
        <v/>
      </c>
      <c r="AB565" t="str">
        <f>IF(Y565="","",IF(Y565="[FÓRMULA MANUAL]","",IFERROR(AVERAGEIFS(DATOS!$K$2:$K$20000,DATOS!$A$2:$A$20000,Y565,DATOS!$G$2:$G$20000,CONFIG_METADATA!$B$4,DATOS!$I$2:$I$20000,"Música de Cámara"),"")))</f>
        <v/>
      </c>
      <c r="AC565" t="str">
        <f>IF(Y565="","",IF(Y565="[FÓRMULA MANUAL]","",IFERROR(SUMPRODUCT((DATOS!$A$2:$A$20000=Y565)*(DATOS!$G$2:$G$20000=CONFIG_METADATA!$B$4)*(COUNTIF(CONFIG_ASIGNATURAS!$B$7:$B$27,DATOS!$I$2:$I$20000)&gt;0)*(DATOS!$K$2:$K$20000))/SUMPRODUCT((DATOS!$A$2:$A$20000=Y565)*(DATOS!$G$2:$G$20000=CONFIG_METADATA!$B$4)*(COUNTIF(CONFIG_ASIGNATURAS!$B$7:$B$27,DATOS!$I$2:$I$20000)&gt;0)*1),"")))</f>
        <v/>
      </c>
      <c r="AF565" t="str">
        <f>IF(AE565="","",IF(AE565="[FÓRMULA MANUAL]","",IFERROR(AVERAGEIFS(DATOS!$K$2:$K$20000,DATOS!$A$2:$A$20000,AE565,DATOS!$G$2:$G$20000,CONFIG_METADATA!$B$4,DATOS!$I$2:$I$20000,"Análisis"),"")))</f>
        <v/>
      </c>
      <c r="AG565" t="str">
        <f>IF(AE565="","",IF(AE565="[FÓRMULA MANUAL]","",IFERROR(AVERAGEIFS(DATOS!$K$2:$K$20000,DATOS!$A$2:$A$20000,AE565,DATOS!$G$2:$G$20000,CONFIG_METADATA!$B$4,DATOS!$I$2:$I$20000,"Orquesta/Banda/Conjunto"),"")))</f>
        <v/>
      </c>
      <c r="AH565" t="str">
        <f>IF(AE565="","",IF(AE565="[FÓRMULA MANUAL]","",IFERROR(AVERAGEIFS(DATOS!$K$2:$K$20000,DATOS!$A$2:$A$20000,AE565,DATOS!$G$2:$G$20000,CONFIG_METADATA!$B$4,DATOS!$I$2:$I$20000,"Música de Cámara"),"")))</f>
        <v/>
      </c>
      <c r="AI565" t="str">
        <f>IF(AE565="","",IF(AE565="[FÓRMULA MANUAL]","",IFERROR(SUMPRODUCT((DATOS!$A$2:$A$20000=AE565)*(DATOS!$G$2:$G$20000=CONFIG_METADATA!$B$4)*(COUNTIF(CONFIG_ASIGNATURAS!$B$7:$B$27,DATOS!$I$2:$I$20000)&gt;0)*(DATOS!$K$2:$K$20000))/SUMPRODUCT((DATOS!$A$2:$A$20000=AE565)*(DATOS!$G$2:$G$20000=CONFIG_METADATA!$B$4)*(COUNTIF(CONFIG_ASIGNATURAS!$B$7:$B$27,DATOS!$I$2:$I$20000)&gt;0)*1),"")))</f>
        <v/>
      </c>
    </row>
    <row r="566" spans="2:35" x14ac:dyDescent="0.2">
      <c r="B566" t="str">
        <f>IF(A566="","",IF(A566="[FÓRMULA MANUAL]","",IFERROR(AVERAGEIFS(DATOS!$K$2:$K$20000,DATOS!$A$2:$A$20000,A566,DATOS!$G$2:$G$20000,CONFIG_METADATA!$B$4,DATOS!$I$2:$I$20000,"Lenguaje Musical"),"")))</f>
        <v/>
      </c>
      <c r="C566" t="str">
        <f>IF(A566="","",IF(A566="[FÓRMULA MANUAL]","",IFERROR(AVERAGEIFS(DATOS!$K$2:$K$20000,DATOS!$A$2:$A$20000,A566,DATOS!$G$2:$G$20000,CONFIG_METADATA!$B$4,DATOS!$I$2:$I$20000,"Orquesta/Banda/Conjunto"),"")))</f>
        <v/>
      </c>
      <c r="D566" t="str">
        <f>IF(A566="","",IF(A566="[FÓRMULA MANUAL]","",IFERROR(AVERAGEIFS(DATOS!$K$2:$K$20000,DATOS!$A$2:$A$20000,A566,DATOS!$G$2:$G$20000,CONFIG_METADATA!$B$4,DATOS!$I$2:$I$20000,"Conjunto"),"")))</f>
        <v/>
      </c>
      <c r="E566" t="str">
        <f>IF(A566="","",IF(A566="[FÓRMULA MANUAL]","",IFERROR(SUMPRODUCT((DATOS!$A$2:$A$20000=A566)*(DATOS!$G$2:$G$20000=CONFIG_METADATA!$B$4)*(COUNTIF(CONFIG_ASIGNATURAS!$B$7:$B$27,DATOS!$I$2:$I$20000)&gt;0)*(DATOS!$K$2:$K$20000))/SUMPRODUCT((DATOS!$A$2:$A$20000=A566)*(DATOS!$G$2:$G$20000=CONFIG_METADATA!$B$4)*(COUNTIF(CONFIG_ASIGNATURAS!$B$7:$B$27,DATOS!$I$2:$I$20000)&gt;0)*1),"")))</f>
        <v/>
      </c>
      <c r="H566" t="str">
        <f>IF(G566="","",IF(G566="[FÓRMULA MANUAL]","",IFERROR(AVERAGEIFS(DATOS!$K$2:$K$20000,DATOS!$A$2:$A$20000,G566,DATOS!$G$2:$G$20000,CONFIG_METADATA!$B$4,DATOS!$I$2:$I$20000,"Lenguaje Musical"),"")))</f>
        <v/>
      </c>
      <c r="I566" t="str">
        <f>IF(G566="","",IF(G566="[FÓRMULA MANUAL]","",IFERROR(AVERAGEIFS(DATOS!$K$2:$K$20000,DATOS!$A$2:$A$20000,G566,DATOS!$G$2:$G$20000,CONFIG_METADATA!$B$4,DATOS!$I$2:$I$20000,"Orquesta/Banda/Conjunto"),"")))</f>
        <v/>
      </c>
      <c r="J566" t="str">
        <f>IF(G566="","",IF(G566="[FÓRMULA MANUAL]","",IFERROR(AVERAGEIFS(DATOS!$K$2:$K$20000,DATOS!$A$2:$A$20000,G566,DATOS!$G$2:$G$20000,CONFIG_METADATA!$B$4,DATOS!$I$2:$I$20000,"Conjunto"),"")))</f>
        <v/>
      </c>
      <c r="K566" t="str">
        <f>IF(G566="","",IF(G566="[FÓRMULA MANUAL]","",IFERROR(SUMPRODUCT((DATOS!$A$2:$A$20000=G566)*(DATOS!$G$2:$G$20000=CONFIG_METADATA!$B$4)*(COUNTIF(CONFIG_ASIGNATURAS!$B$7:$B$27,DATOS!$I$2:$I$20000)&gt;0)*(DATOS!$K$2:$K$20000))/SUMPRODUCT((DATOS!$A$2:$A$20000=G566)*(DATOS!$G$2:$G$20000=CONFIG_METADATA!$B$4)*(COUNTIF(CONFIG_ASIGNATURAS!$B$7:$B$27,DATOS!$I$2:$I$20000)&gt;0)*1),"")))</f>
        <v/>
      </c>
      <c r="N566" t="str">
        <f>IF(M566="","",IF(M566="[FÓRMULA MANUAL]","",IFERROR(AVERAGEIFS(DATOS!$K$2:$K$20000,DATOS!$A$2:$A$20000,M566,DATOS!$G$2:$G$20000,CONFIG_METADATA!$B$4,DATOS!$I$2:$I$20000,"Armonía"),"")))</f>
        <v/>
      </c>
      <c r="O566" t="str">
        <f>IF(M566="","",IF(M566="[FÓRMULA MANUAL]","",IFERROR(AVERAGEIFS(DATOS!$K$2:$K$20000,DATOS!$A$2:$A$20000,M566,DATOS!$G$2:$G$20000,CONFIG_METADATA!$B$4,DATOS!$I$2:$I$20000,"Orquesta/Banda/Conjunto"),"")))</f>
        <v/>
      </c>
      <c r="P566" t="str">
        <f>IF(M566="","",IF(M566="[FÓRMULA MANUAL]","",IFERROR(AVERAGEIFS(DATOS!$K$2:$K$20000,DATOS!$A$2:$A$20000,M566,DATOS!$G$2:$G$20000,CONFIG_METADATA!$B$4,DATOS!$I$2:$I$20000,"Música de Cámara"),"")))</f>
        <v/>
      </c>
      <c r="Q566" t="str">
        <f>IF(M566="","",IF(M566="[FÓRMULA MANUAL]","",IFERROR(SUMPRODUCT((DATOS!$A$2:$A$20000=M566)*(DATOS!$G$2:$G$20000=CONFIG_METADATA!$B$4)*(COUNTIF(CONFIG_ASIGNATURAS!$B$7:$B$27,DATOS!$I$2:$I$20000)&gt;0)*(DATOS!$K$2:$K$20000))/SUMPRODUCT((DATOS!$A$2:$A$20000=M566)*(DATOS!$G$2:$G$20000=CONFIG_METADATA!$B$4)*(COUNTIF(CONFIG_ASIGNATURAS!$B$7:$B$27,DATOS!$I$2:$I$20000)&gt;0)*1),"")))</f>
        <v/>
      </c>
      <c r="T566" t="str">
        <f>IF(S566="","",IF(S566="[FÓRMULA MANUAL]","",IFERROR(AVERAGEIFS(DATOS!$K$2:$K$20000,DATOS!$A$2:$A$20000,S566,DATOS!$G$2:$G$20000,CONFIG_METADATA!$B$4,DATOS!$I$2:$I$20000,"Armonía"),"")))</f>
        <v/>
      </c>
      <c r="U566" t="str">
        <f>IF(S566="","",IF(S566="[FÓRMULA MANUAL]","",IFERROR(AVERAGEIFS(DATOS!$K$2:$K$20000,DATOS!$A$2:$A$20000,S566,DATOS!$G$2:$G$20000,CONFIG_METADATA!$B$4,DATOS!$I$2:$I$20000,"Orquesta/Banda/Conjunto"),"")))</f>
        <v/>
      </c>
      <c r="V566" t="str">
        <f>IF(S566="","",IF(S566="[FÓRMULA MANUAL]","",IFERROR(AVERAGEIFS(DATOS!$K$2:$K$20000,DATOS!$A$2:$A$20000,S566,DATOS!$G$2:$G$20000,CONFIG_METADATA!$B$4,DATOS!$I$2:$I$20000,"Música de Cámara"),"")))</f>
        <v/>
      </c>
      <c r="W566" t="str">
        <f>IF(S566="","",IF(S566="[FÓRMULA MANUAL]","",IFERROR(SUMPRODUCT((DATOS!$A$2:$A$20000=S566)*(DATOS!$G$2:$G$20000=CONFIG_METADATA!$B$4)*(COUNTIF(CONFIG_ASIGNATURAS!$B$7:$B$27,DATOS!$I$2:$I$20000)&gt;0)*(DATOS!$K$2:$K$20000))/SUMPRODUCT((DATOS!$A$2:$A$20000=S566)*(DATOS!$G$2:$G$20000=CONFIG_METADATA!$B$4)*(COUNTIF(CONFIG_ASIGNATURAS!$B$7:$B$27,DATOS!$I$2:$I$20000)&gt;0)*1),"")))</f>
        <v/>
      </c>
      <c r="Z566" t="str">
        <f>IF(Y566="","",IF(Y566="[FÓRMULA MANUAL]","",IFERROR(AVERAGEIFS(DATOS!$K$2:$K$20000,DATOS!$A$2:$A$20000,Y566,DATOS!$G$2:$G$20000,CONFIG_METADATA!$B$4,DATOS!$I$2:$I$20000,"Análisis"),"")))</f>
        <v/>
      </c>
      <c r="AA566" t="str">
        <f>IF(Y566="","",IF(Y566="[FÓRMULA MANUAL]","",IFERROR(AVERAGEIFS(DATOS!$K$2:$K$20000,DATOS!$A$2:$A$20000,Y566,DATOS!$G$2:$G$20000,CONFIG_METADATA!$B$4,DATOS!$I$2:$I$20000,"Orquesta/Banda/Conjunto"),"")))</f>
        <v/>
      </c>
      <c r="AB566" t="str">
        <f>IF(Y566="","",IF(Y566="[FÓRMULA MANUAL]","",IFERROR(AVERAGEIFS(DATOS!$K$2:$K$20000,DATOS!$A$2:$A$20000,Y566,DATOS!$G$2:$G$20000,CONFIG_METADATA!$B$4,DATOS!$I$2:$I$20000,"Música de Cámara"),"")))</f>
        <v/>
      </c>
      <c r="AC566" t="str">
        <f>IF(Y566="","",IF(Y566="[FÓRMULA MANUAL]","",IFERROR(SUMPRODUCT((DATOS!$A$2:$A$20000=Y566)*(DATOS!$G$2:$G$20000=CONFIG_METADATA!$B$4)*(COUNTIF(CONFIG_ASIGNATURAS!$B$7:$B$27,DATOS!$I$2:$I$20000)&gt;0)*(DATOS!$K$2:$K$20000))/SUMPRODUCT((DATOS!$A$2:$A$20000=Y566)*(DATOS!$G$2:$G$20000=CONFIG_METADATA!$B$4)*(COUNTIF(CONFIG_ASIGNATURAS!$B$7:$B$27,DATOS!$I$2:$I$20000)&gt;0)*1),"")))</f>
        <v/>
      </c>
      <c r="AF566" t="str">
        <f>IF(AE566="","",IF(AE566="[FÓRMULA MANUAL]","",IFERROR(AVERAGEIFS(DATOS!$K$2:$K$20000,DATOS!$A$2:$A$20000,AE566,DATOS!$G$2:$G$20000,CONFIG_METADATA!$B$4,DATOS!$I$2:$I$20000,"Análisis"),"")))</f>
        <v/>
      </c>
      <c r="AG566" t="str">
        <f>IF(AE566="","",IF(AE566="[FÓRMULA MANUAL]","",IFERROR(AVERAGEIFS(DATOS!$K$2:$K$20000,DATOS!$A$2:$A$20000,AE566,DATOS!$G$2:$G$20000,CONFIG_METADATA!$B$4,DATOS!$I$2:$I$20000,"Orquesta/Banda/Conjunto"),"")))</f>
        <v/>
      </c>
      <c r="AH566" t="str">
        <f>IF(AE566="","",IF(AE566="[FÓRMULA MANUAL]","",IFERROR(AVERAGEIFS(DATOS!$K$2:$K$20000,DATOS!$A$2:$A$20000,AE566,DATOS!$G$2:$G$20000,CONFIG_METADATA!$B$4,DATOS!$I$2:$I$20000,"Música de Cámara"),"")))</f>
        <v/>
      </c>
      <c r="AI566" t="str">
        <f>IF(AE566="","",IF(AE566="[FÓRMULA MANUAL]","",IFERROR(SUMPRODUCT((DATOS!$A$2:$A$20000=AE566)*(DATOS!$G$2:$G$20000=CONFIG_METADATA!$B$4)*(COUNTIF(CONFIG_ASIGNATURAS!$B$7:$B$27,DATOS!$I$2:$I$20000)&gt;0)*(DATOS!$K$2:$K$20000))/SUMPRODUCT((DATOS!$A$2:$A$20000=AE566)*(DATOS!$G$2:$G$20000=CONFIG_METADATA!$B$4)*(COUNTIF(CONFIG_ASIGNATURAS!$B$7:$B$27,DATOS!$I$2:$I$20000)&gt;0)*1),"")))</f>
        <v/>
      </c>
    </row>
    <row r="567" spans="2:35" x14ac:dyDescent="0.2">
      <c r="B567" t="str">
        <f>IF(A567="","",IF(A567="[FÓRMULA MANUAL]","",IFERROR(AVERAGEIFS(DATOS!$K$2:$K$20000,DATOS!$A$2:$A$20000,A567,DATOS!$G$2:$G$20000,CONFIG_METADATA!$B$4,DATOS!$I$2:$I$20000,"Lenguaje Musical"),"")))</f>
        <v/>
      </c>
      <c r="C567" t="str">
        <f>IF(A567="","",IF(A567="[FÓRMULA MANUAL]","",IFERROR(AVERAGEIFS(DATOS!$K$2:$K$20000,DATOS!$A$2:$A$20000,A567,DATOS!$G$2:$G$20000,CONFIG_METADATA!$B$4,DATOS!$I$2:$I$20000,"Orquesta/Banda/Conjunto"),"")))</f>
        <v/>
      </c>
      <c r="D567" t="str">
        <f>IF(A567="","",IF(A567="[FÓRMULA MANUAL]","",IFERROR(AVERAGEIFS(DATOS!$K$2:$K$20000,DATOS!$A$2:$A$20000,A567,DATOS!$G$2:$G$20000,CONFIG_METADATA!$B$4,DATOS!$I$2:$I$20000,"Conjunto"),"")))</f>
        <v/>
      </c>
      <c r="E567" t="str">
        <f>IF(A567="","",IF(A567="[FÓRMULA MANUAL]","",IFERROR(SUMPRODUCT((DATOS!$A$2:$A$20000=A567)*(DATOS!$G$2:$G$20000=CONFIG_METADATA!$B$4)*(COUNTIF(CONFIG_ASIGNATURAS!$B$7:$B$27,DATOS!$I$2:$I$20000)&gt;0)*(DATOS!$K$2:$K$20000))/SUMPRODUCT((DATOS!$A$2:$A$20000=A567)*(DATOS!$G$2:$G$20000=CONFIG_METADATA!$B$4)*(COUNTIF(CONFIG_ASIGNATURAS!$B$7:$B$27,DATOS!$I$2:$I$20000)&gt;0)*1),"")))</f>
        <v/>
      </c>
      <c r="H567" t="str">
        <f>IF(G567="","",IF(G567="[FÓRMULA MANUAL]","",IFERROR(AVERAGEIFS(DATOS!$K$2:$K$20000,DATOS!$A$2:$A$20000,G567,DATOS!$G$2:$G$20000,CONFIG_METADATA!$B$4,DATOS!$I$2:$I$20000,"Lenguaje Musical"),"")))</f>
        <v/>
      </c>
      <c r="I567" t="str">
        <f>IF(G567="","",IF(G567="[FÓRMULA MANUAL]","",IFERROR(AVERAGEIFS(DATOS!$K$2:$K$20000,DATOS!$A$2:$A$20000,G567,DATOS!$G$2:$G$20000,CONFIG_METADATA!$B$4,DATOS!$I$2:$I$20000,"Orquesta/Banda/Conjunto"),"")))</f>
        <v/>
      </c>
      <c r="J567" t="str">
        <f>IF(G567="","",IF(G567="[FÓRMULA MANUAL]","",IFERROR(AVERAGEIFS(DATOS!$K$2:$K$20000,DATOS!$A$2:$A$20000,G567,DATOS!$G$2:$G$20000,CONFIG_METADATA!$B$4,DATOS!$I$2:$I$20000,"Conjunto"),"")))</f>
        <v/>
      </c>
      <c r="K567" t="str">
        <f>IF(G567="","",IF(G567="[FÓRMULA MANUAL]","",IFERROR(SUMPRODUCT((DATOS!$A$2:$A$20000=G567)*(DATOS!$G$2:$G$20000=CONFIG_METADATA!$B$4)*(COUNTIF(CONFIG_ASIGNATURAS!$B$7:$B$27,DATOS!$I$2:$I$20000)&gt;0)*(DATOS!$K$2:$K$20000))/SUMPRODUCT((DATOS!$A$2:$A$20000=G567)*(DATOS!$G$2:$G$20000=CONFIG_METADATA!$B$4)*(COUNTIF(CONFIG_ASIGNATURAS!$B$7:$B$27,DATOS!$I$2:$I$20000)&gt;0)*1),"")))</f>
        <v/>
      </c>
      <c r="N567" t="str">
        <f>IF(M567="","",IF(M567="[FÓRMULA MANUAL]","",IFERROR(AVERAGEIFS(DATOS!$K$2:$K$20000,DATOS!$A$2:$A$20000,M567,DATOS!$G$2:$G$20000,CONFIG_METADATA!$B$4,DATOS!$I$2:$I$20000,"Armonía"),"")))</f>
        <v/>
      </c>
      <c r="O567" t="str">
        <f>IF(M567="","",IF(M567="[FÓRMULA MANUAL]","",IFERROR(AVERAGEIFS(DATOS!$K$2:$K$20000,DATOS!$A$2:$A$20000,M567,DATOS!$G$2:$G$20000,CONFIG_METADATA!$B$4,DATOS!$I$2:$I$20000,"Orquesta/Banda/Conjunto"),"")))</f>
        <v/>
      </c>
      <c r="P567" t="str">
        <f>IF(M567="","",IF(M567="[FÓRMULA MANUAL]","",IFERROR(AVERAGEIFS(DATOS!$K$2:$K$20000,DATOS!$A$2:$A$20000,M567,DATOS!$G$2:$G$20000,CONFIG_METADATA!$B$4,DATOS!$I$2:$I$20000,"Música de Cámara"),"")))</f>
        <v/>
      </c>
      <c r="Q567" t="str">
        <f>IF(M567="","",IF(M567="[FÓRMULA MANUAL]","",IFERROR(SUMPRODUCT((DATOS!$A$2:$A$20000=M567)*(DATOS!$G$2:$G$20000=CONFIG_METADATA!$B$4)*(COUNTIF(CONFIG_ASIGNATURAS!$B$7:$B$27,DATOS!$I$2:$I$20000)&gt;0)*(DATOS!$K$2:$K$20000))/SUMPRODUCT((DATOS!$A$2:$A$20000=M567)*(DATOS!$G$2:$G$20000=CONFIG_METADATA!$B$4)*(COUNTIF(CONFIG_ASIGNATURAS!$B$7:$B$27,DATOS!$I$2:$I$20000)&gt;0)*1),"")))</f>
        <v/>
      </c>
      <c r="T567" t="str">
        <f>IF(S567="","",IF(S567="[FÓRMULA MANUAL]","",IFERROR(AVERAGEIFS(DATOS!$K$2:$K$20000,DATOS!$A$2:$A$20000,S567,DATOS!$G$2:$G$20000,CONFIG_METADATA!$B$4,DATOS!$I$2:$I$20000,"Armonía"),"")))</f>
        <v/>
      </c>
      <c r="U567" t="str">
        <f>IF(S567="","",IF(S567="[FÓRMULA MANUAL]","",IFERROR(AVERAGEIFS(DATOS!$K$2:$K$20000,DATOS!$A$2:$A$20000,S567,DATOS!$G$2:$G$20000,CONFIG_METADATA!$B$4,DATOS!$I$2:$I$20000,"Orquesta/Banda/Conjunto"),"")))</f>
        <v/>
      </c>
      <c r="V567" t="str">
        <f>IF(S567="","",IF(S567="[FÓRMULA MANUAL]","",IFERROR(AVERAGEIFS(DATOS!$K$2:$K$20000,DATOS!$A$2:$A$20000,S567,DATOS!$G$2:$G$20000,CONFIG_METADATA!$B$4,DATOS!$I$2:$I$20000,"Música de Cámara"),"")))</f>
        <v/>
      </c>
      <c r="W567" t="str">
        <f>IF(S567="","",IF(S567="[FÓRMULA MANUAL]","",IFERROR(SUMPRODUCT((DATOS!$A$2:$A$20000=S567)*(DATOS!$G$2:$G$20000=CONFIG_METADATA!$B$4)*(COUNTIF(CONFIG_ASIGNATURAS!$B$7:$B$27,DATOS!$I$2:$I$20000)&gt;0)*(DATOS!$K$2:$K$20000))/SUMPRODUCT((DATOS!$A$2:$A$20000=S567)*(DATOS!$G$2:$G$20000=CONFIG_METADATA!$B$4)*(COUNTIF(CONFIG_ASIGNATURAS!$B$7:$B$27,DATOS!$I$2:$I$20000)&gt;0)*1),"")))</f>
        <v/>
      </c>
      <c r="Z567" t="str">
        <f>IF(Y567="","",IF(Y567="[FÓRMULA MANUAL]","",IFERROR(AVERAGEIFS(DATOS!$K$2:$K$20000,DATOS!$A$2:$A$20000,Y567,DATOS!$G$2:$G$20000,CONFIG_METADATA!$B$4,DATOS!$I$2:$I$20000,"Análisis"),"")))</f>
        <v/>
      </c>
      <c r="AA567" t="str">
        <f>IF(Y567="","",IF(Y567="[FÓRMULA MANUAL]","",IFERROR(AVERAGEIFS(DATOS!$K$2:$K$20000,DATOS!$A$2:$A$20000,Y567,DATOS!$G$2:$G$20000,CONFIG_METADATA!$B$4,DATOS!$I$2:$I$20000,"Orquesta/Banda/Conjunto"),"")))</f>
        <v/>
      </c>
      <c r="AB567" t="str">
        <f>IF(Y567="","",IF(Y567="[FÓRMULA MANUAL]","",IFERROR(AVERAGEIFS(DATOS!$K$2:$K$20000,DATOS!$A$2:$A$20000,Y567,DATOS!$G$2:$G$20000,CONFIG_METADATA!$B$4,DATOS!$I$2:$I$20000,"Música de Cámara"),"")))</f>
        <v/>
      </c>
      <c r="AC567" t="str">
        <f>IF(Y567="","",IF(Y567="[FÓRMULA MANUAL]","",IFERROR(SUMPRODUCT((DATOS!$A$2:$A$20000=Y567)*(DATOS!$G$2:$G$20000=CONFIG_METADATA!$B$4)*(COUNTIF(CONFIG_ASIGNATURAS!$B$7:$B$27,DATOS!$I$2:$I$20000)&gt;0)*(DATOS!$K$2:$K$20000))/SUMPRODUCT((DATOS!$A$2:$A$20000=Y567)*(DATOS!$G$2:$G$20000=CONFIG_METADATA!$B$4)*(COUNTIF(CONFIG_ASIGNATURAS!$B$7:$B$27,DATOS!$I$2:$I$20000)&gt;0)*1),"")))</f>
        <v/>
      </c>
      <c r="AF567" t="str">
        <f>IF(AE567="","",IF(AE567="[FÓRMULA MANUAL]","",IFERROR(AVERAGEIFS(DATOS!$K$2:$K$20000,DATOS!$A$2:$A$20000,AE567,DATOS!$G$2:$G$20000,CONFIG_METADATA!$B$4,DATOS!$I$2:$I$20000,"Análisis"),"")))</f>
        <v/>
      </c>
      <c r="AG567" t="str">
        <f>IF(AE567="","",IF(AE567="[FÓRMULA MANUAL]","",IFERROR(AVERAGEIFS(DATOS!$K$2:$K$20000,DATOS!$A$2:$A$20000,AE567,DATOS!$G$2:$G$20000,CONFIG_METADATA!$B$4,DATOS!$I$2:$I$20000,"Orquesta/Banda/Conjunto"),"")))</f>
        <v/>
      </c>
      <c r="AH567" t="str">
        <f>IF(AE567="","",IF(AE567="[FÓRMULA MANUAL]","",IFERROR(AVERAGEIFS(DATOS!$K$2:$K$20000,DATOS!$A$2:$A$20000,AE567,DATOS!$G$2:$G$20000,CONFIG_METADATA!$B$4,DATOS!$I$2:$I$20000,"Música de Cámara"),"")))</f>
        <v/>
      </c>
      <c r="AI567" t="str">
        <f>IF(AE567="","",IF(AE567="[FÓRMULA MANUAL]","",IFERROR(SUMPRODUCT((DATOS!$A$2:$A$20000=AE567)*(DATOS!$G$2:$G$20000=CONFIG_METADATA!$B$4)*(COUNTIF(CONFIG_ASIGNATURAS!$B$7:$B$27,DATOS!$I$2:$I$20000)&gt;0)*(DATOS!$K$2:$K$20000))/SUMPRODUCT((DATOS!$A$2:$A$20000=AE567)*(DATOS!$G$2:$G$20000=CONFIG_METADATA!$B$4)*(COUNTIF(CONFIG_ASIGNATURAS!$B$7:$B$27,DATOS!$I$2:$I$20000)&gt;0)*1),"")))</f>
        <v/>
      </c>
    </row>
    <row r="568" spans="2:35" x14ac:dyDescent="0.2">
      <c r="B568" t="str">
        <f>IF(A568="","",IF(A568="[FÓRMULA MANUAL]","",IFERROR(AVERAGEIFS(DATOS!$K$2:$K$20000,DATOS!$A$2:$A$20000,A568,DATOS!$G$2:$G$20000,CONFIG_METADATA!$B$4,DATOS!$I$2:$I$20000,"Lenguaje Musical"),"")))</f>
        <v/>
      </c>
      <c r="C568" t="str">
        <f>IF(A568="","",IF(A568="[FÓRMULA MANUAL]","",IFERROR(AVERAGEIFS(DATOS!$K$2:$K$20000,DATOS!$A$2:$A$20000,A568,DATOS!$G$2:$G$20000,CONFIG_METADATA!$B$4,DATOS!$I$2:$I$20000,"Orquesta/Banda/Conjunto"),"")))</f>
        <v/>
      </c>
      <c r="D568" t="str">
        <f>IF(A568="","",IF(A568="[FÓRMULA MANUAL]","",IFERROR(AVERAGEIFS(DATOS!$K$2:$K$20000,DATOS!$A$2:$A$20000,A568,DATOS!$G$2:$G$20000,CONFIG_METADATA!$B$4,DATOS!$I$2:$I$20000,"Conjunto"),"")))</f>
        <v/>
      </c>
      <c r="E568" t="str">
        <f>IF(A568="","",IF(A568="[FÓRMULA MANUAL]","",IFERROR(SUMPRODUCT((DATOS!$A$2:$A$20000=A568)*(DATOS!$G$2:$G$20000=CONFIG_METADATA!$B$4)*(COUNTIF(CONFIG_ASIGNATURAS!$B$7:$B$27,DATOS!$I$2:$I$20000)&gt;0)*(DATOS!$K$2:$K$20000))/SUMPRODUCT((DATOS!$A$2:$A$20000=A568)*(DATOS!$G$2:$G$20000=CONFIG_METADATA!$B$4)*(COUNTIF(CONFIG_ASIGNATURAS!$B$7:$B$27,DATOS!$I$2:$I$20000)&gt;0)*1),"")))</f>
        <v/>
      </c>
      <c r="H568" t="str">
        <f>IF(G568="","",IF(G568="[FÓRMULA MANUAL]","",IFERROR(AVERAGEIFS(DATOS!$K$2:$K$20000,DATOS!$A$2:$A$20000,G568,DATOS!$G$2:$G$20000,CONFIG_METADATA!$B$4,DATOS!$I$2:$I$20000,"Lenguaje Musical"),"")))</f>
        <v/>
      </c>
      <c r="I568" t="str">
        <f>IF(G568="","",IF(G568="[FÓRMULA MANUAL]","",IFERROR(AVERAGEIFS(DATOS!$K$2:$K$20000,DATOS!$A$2:$A$20000,G568,DATOS!$G$2:$G$20000,CONFIG_METADATA!$B$4,DATOS!$I$2:$I$20000,"Orquesta/Banda/Conjunto"),"")))</f>
        <v/>
      </c>
      <c r="J568" t="str">
        <f>IF(G568="","",IF(G568="[FÓRMULA MANUAL]","",IFERROR(AVERAGEIFS(DATOS!$K$2:$K$20000,DATOS!$A$2:$A$20000,G568,DATOS!$G$2:$G$20000,CONFIG_METADATA!$B$4,DATOS!$I$2:$I$20000,"Conjunto"),"")))</f>
        <v/>
      </c>
      <c r="K568" t="str">
        <f>IF(G568="","",IF(G568="[FÓRMULA MANUAL]","",IFERROR(SUMPRODUCT((DATOS!$A$2:$A$20000=G568)*(DATOS!$G$2:$G$20000=CONFIG_METADATA!$B$4)*(COUNTIF(CONFIG_ASIGNATURAS!$B$7:$B$27,DATOS!$I$2:$I$20000)&gt;0)*(DATOS!$K$2:$K$20000))/SUMPRODUCT((DATOS!$A$2:$A$20000=G568)*(DATOS!$G$2:$G$20000=CONFIG_METADATA!$B$4)*(COUNTIF(CONFIG_ASIGNATURAS!$B$7:$B$27,DATOS!$I$2:$I$20000)&gt;0)*1),"")))</f>
        <v/>
      </c>
      <c r="N568" t="str">
        <f>IF(M568="","",IF(M568="[FÓRMULA MANUAL]","",IFERROR(AVERAGEIFS(DATOS!$K$2:$K$20000,DATOS!$A$2:$A$20000,M568,DATOS!$G$2:$G$20000,CONFIG_METADATA!$B$4,DATOS!$I$2:$I$20000,"Armonía"),"")))</f>
        <v/>
      </c>
      <c r="O568" t="str">
        <f>IF(M568="","",IF(M568="[FÓRMULA MANUAL]","",IFERROR(AVERAGEIFS(DATOS!$K$2:$K$20000,DATOS!$A$2:$A$20000,M568,DATOS!$G$2:$G$20000,CONFIG_METADATA!$B$4,DATOS!$I$2:$I$20000,"Orquesta/Banda/Conjunto"),"")))</f>
        <v/>
      </c>
      <c r="P568" t="str">
        <f>IF(M568="","",IF(M568="[FÓRMULA MANUAL]","",IFERROR(AVERAGEIFS(DATOS!$K$2:$K$20000,DATOS!$A$2:$A$20000,M568,DATOS!$G$2:$G$20000,CONFIG_METADATA!$B$4,DATOS!$I$2:$I$20000,"Música de Cámara"),"")))</f>
        <v/>
      </c>
      <c r="Q568" t="str">
        <f>IF(M568="","",IF(M568="[FÓRMULA MANUAL]","",IFERROR(SUMPRODUCT((DATOS!$A$2:$A$20000=M568)*(DATOS!$G$2:$G$20000=CONFIG_METADATA!$B$4)*(COUNTIF(CONFIG_ASIGNATURAS!$B$7:$B$27,DATOS!$I$2:$I$20000)&gt;0)*(DATOS!$K$2:$K$20000))/SUMPRODUCT((DATOS!$A$2:$A$20000=M568)*(DATOS!$G$2:$G$20000=CONFIG_METADATA!$B$4)*(COUNTIF(CONFIG_ASIGNATURAS!$B$7:$B$27,DATOS!$I$2:$I$20000)&gt;0)*1),"")))</f>
        <v/>
      </c>
      <c r="T568" t="str">
        <f>IF(S568="","",IF(S568="[FÓRMULA MANUAL]","",IFERROR(AVERAGEIFS(DATOS!$K$2:$K$20000,DATOS!$A$2:$A$20000,S568,DATOS!$G$2:$G$20000,CONFIG_METADATA!$B$4,DATOS!$I$2:$I$20000,"Armonía"),"")))</f>
        <v/>
      </c>
      <c r="U568" t="str">
        <f>IF(S568="","",IF(S568="[FÓRMULA MANUAL]","",IFERROR(AVERAGEIFS(DATOS!$K$2:$K$20000,DATOS!$A$2:$A$20000,S568,DATOS!$G$2:$G$20000,CONFIG_METADATA!$B$4,DATOS!$I$2:$I$20000,"Orquesta/Banda/Conjunto"),"")))</f>
        <v/>
      </c>
      <c r="V568" t="str">
        <f>IF(S568="","",IF(S568="[FÓRMULA MANUAL]","",IFERROR(AVERAGEIFS(DATOS!$K$2:$K$20000,DATOS!$A$2:$A$20000,S568,DATOS!$G$2:$G$20000,CONFIG_METADATA!$B$4,DATOS!$I$2:$I$20000,"Música de Cámara"),"")))</f>
        <v/>
      </c>
      <c r="W568" t="str">
        <f>IF(S568="","",IF(S568="[FÓRMULA MANUAL]","",IFERROR(SUMPRODUCT((DATOS!$A$2:$A$20000=S568)*(DATOS!$G$2:$G$20000=CONFIG_METADATA!$B$4)*(COUNTIF(CONFIG_ASIGNATURAS!$B$7:$B$27,DATOS!$I$2:$I$20000)&gt;0)*(DATOS!$K$2:$K$20000))/SUMPRODUCT((DATOS!$A$2:$A$20000=S568)*(DATOS!$G$2:$G$20000=CONFIG_METADATA!$B$4)*(COUNTIF(CONFIG_ASIGNATURAS!$B$7:$B$27,DATOS!$I$2:$I$20000)&gt;0)*1),"")))</f>
        <v/>
      </c>
      <c r="Z568" t="str">
        <f>IF(Y568="","",IF(Y568="[FÓRMULA MANUAL]","",IFERROR(AVERAGEIFS(DATOS!$K$2:$K$20000,DATOS!$A$2:$A$20000,Y568,DATOS!$G$2:$G$20000,CONFIG_METADATA!$B$4,DATOS!$I$2:$I$20000,"Análisis"),"")))</f>
        <v/>
      </c>
      <c r="AA568" t="str">
        <f>IF(Y568="","",IF(Y568="[FÓRMULA MANUAL]","",IFERROR(AVERAGEIFS(DATOS!$K$2:$K$20000,DATOS!$A$2:$A$20000,Y568,DATOS!$G$2:$G$20000,CONFIG_METADATA!$B$4,DATOS!$I$2:$I$20000,"Orquesta/Banda/Conjunto"),"")))</f>
        <v/>
      </c>
      <c r="AB568" t="str">
        <f>IF(Y568="","",IF(Y568="[FÓRMULA MANUAL]","",IFERROR(AVERAGEIFS(DATOS!$K$2:$K$20000,DATOS!$A$2:$A$20000,Y568,DATOS!$G$2:$G$20000,CONFIG_METADATA!$B$4,DATOS!$I$2:$I$20000,"Música de Cámara"),"")))</f>
        <v/>
      </c>
      <c r="AC568" t="str">
        <f>IF(Y568="","",IF(Y568="[FÓRMULA MANUAL]","",IFERROR(SUMPRODUCT((DATOS!$A$2:$A$20000=Y568)*(DATOS!$G$2:$G$20000=CONFIG_METADATA!$B$4)*(COUNTIF(CONFIG_ASIGNATURAS!$B$7:$B$27,DATOS!$I$2:$I$20000)&gt;0)*(DATOS!$K$2:$K$20000))/SUMPRODUCT((DATOS!$A$2:$A$20000=Y568)*(DATOS!$G$2:$G$20000=CONFIG_METADATA!$B$4)*(COUNTIF(CONFIG_ASIGNATURAS!$B$7:$B$27,DATOS!$I$2:$I$20000)&gt;0)*1),"")))</f>
        <v/>
      </c>
      <c r="AF568" t="str">
        <f>IF(AE568="","",IF(AE568="[FÓRMULA MANUAL]","",IFERROR(AVERAGEIFS(DATOS!$K$2:$K$20000,DATOS!$A$2:$A$20000,AE568,DATOS!$G$2:$G$20000,CONFIG_METADATA!$B$4,DATOS!$I$2:$I$20000,"Análisis"),"")))</f>
        <v/>
      </c>
      <c r="AG568" t="str">
        <f>IF(AE568="","",IF(AE568="[FÓRMULA MANUAL]","",IFERROR(AVERAGEIFS(DATOS!$K$2:$K$20000,DATOS!$A$2:$A$20000,AE568,DATOS!$G$2:$G$20000,CONFIG_METADATA!$B$4,DATOS!$I$2:$I$20000,"Orquesta/Banda/Conjunto"),"")))</f>
        <v/>
      </c>
      <c r="AH568" t="str">
        <f>IF(AE568="","",IF(AE568="[FÓRMULA MANUAL]","",IFERROR(AVERAGEIFS(DATOS!$K$2:$K$20000,DATOS!$A$2:$A$20000,AE568,DATOS!$G$2:$G$20000,CONFIG_METADATA!$B$4,DATOS!$I$2:$I$20000,"Música de Cámara"),"")))</f>
        <v/>
      </c>
      <c r="AI568" t="str">
        <f>IF(AE568="","",IF(AE568="[FÓRMULA MANUAL]","",IFERROR(SUMPRODUCT((DATOS!$A$2:$A$20000=AE568)*(DATOS!$G$2:$G$20000=CONFIG_METADATA!$B$4)*(COUNTIF(CONFIG_ASIGNATURAS!$B$7:$B$27,DATOS!$I$2:$I$20000)&gt;0)*(DATOS!$K$2:$K$20000))/SUMPRODUCT((DATOS!$A$2:$A$20000=AE568)*(DATOS!$G$2:$G$20000=CONFIG_METADATA!$B$4)*(COUNTIF(CONFIG_ASIGNATURAS!$B$7:$B$27,DATOS!$I$2:$I$20000)&gt;0)*1),"")))</f>
        <v/>
      </c>
    </row>
    <row r="569" spans="2:35" x14ac:dyDescent="0.2">
      <c r="B569" t="str">
        <f>IF(A569="","",IF(A569="[FÓRMULA MANUAL]","",IFERROR(AVERAGEIFS(DATOS!$K$2:$K$20000,DATOS!$A$2:$A$20000,A569,DATOS!$G$2:$G$20000,CONFIG_METADATA!$B$4,DATOS!$I$2:$I$20000,"Lenguaje Musical"),"")))</f>
        <v/>
      </c>
      <c r="C569" t="str">
        <f>IF(A569="","",IF(A569="[FÓRMULA MANUAL]","",IFERROR(AVERAGEIFS(DATOS!$K$2:$K$20000,DATOS!$A$2:$A$20000,A569,DATOS!$G$2:$G$20000,CONFIG_METADATA!$B$4,DATOS!$I$2:$I$20000,"Orquesta/Banda/Conjunto"),"")))</f>
        <v/>
      </c>
      <c r="D569" t="str">
        <f>IF(A569="","",IF(A569="[FÓRMULA MANUAL]","",IFERROR(AVERAGEIFS(DATOS!$K$2:$K$20000,DATOS!$A$2:$A$20000,A569,DATOS!$G$2:$G$20000,CONFIG_METADATA!$B$4,DATOS!$I$2:$I$20000,"Conjunto"),"")))</f>
        <v/>
      </c>
      <c r="E569" t="str">
        <f>IF(A569="","",IF(A569="[FÓRMULA MANUAL]","",IFERROR(SUMPRODUCT((DATOS!$A$2:$A$20000=A569)*(DATOS!$G$2:$G$20000=CONFIG_METADATA!$B$4)*(COUNTIF(CONFIG_ASIGNATURAS!$B$7:$B$27,DATOS!$I$2:$I$20000)&gt;0)*(DATOS!$K$2:$K$20000))/SUMPRODUCT((DATOS!$A$2:$A$20000=A569)*(DATOS!$G$2:$G$20000=CONFIG_METADATA!$B$4)*(COUNTIF(CONFIG_ASIGNATURAS!$B$7:$B$27,DATOS!$I$2:$I$20000)&gt;0)*1),"")))</f>
        <v/>
      </c>
      <c r="H569" t="str">
        <f>IF(G569="","",IF(G569="[FÓRMULA MANUAL]","",IFERROR(AVERAGEIFS(DATOS!$K$2:$K$20000,DATOS!$A$2:$A$20000,G569,DATOS!$G$2:$G$20000,CONFIG_METADATA!$B$4,DATOS!$I$2:$I$20000,"Lenguaje Musical"),"")))</f>
        <v/>
      </c>
      <c r="I569" t="str">
        <f>IF(G569="","",IF(G569="[FÓRMULA MANUAL]","",IFERROR(AVERAGEIFS(DATOS!$K$2:$K$20000,DATOS!$A$2:$A$20000,G569,DATOS!$G$2:$G$20000,CONFIG_METADATA!$B$4,DATOS!$I$2:$I$20000,"Orquesta/Banda/Conjunto"),"")))</f>
        <v/>
      </c>
      <c r="J569" t="str">
        <f>IF(G569="","",IF(G569="[FÓRMULA MANUAL]","",IFERROR(AVERAGEIFS(DATOS!$K$2:$K$20000,DATOS!$A$2:$A$20000,G569,DATOS!$G$2:$G$20000,CONFIG_METADATA!$B$4,DATOS!$I$2:$I$20000,"Conjunto"),"")))</f>
        <v/>
      </c>
      <c r="K569" t="str">
        <f>IF(G569="","",IF(G569="[FÓRMULA MANUAL]","",IFERROR(SUMPRODUCT((DATOS!$A$2:$A$20000=G569)*(DATOS!$G$2:$G$20000=CONFIG_METADATA!$B$4)*(COUNTIF(CONFIG_ASIGNATURAS!$B$7:$B$27,DATOS!$I$2:$I$20000)&gt;0)*(DATOS!$K$2:$K$20000))/SUMPRODUCT((DATOS!$A$2:$A$20000=G569)*(DATOS!$G$2:$G$20000=CONFIG_METADATA!$B$4)*(COUNTIF(CONFIG_ASIGNATURAS!$B$7:$B$27,DATOS!$I$2:$I$20000)&gt;0)*1),"")))</f>
        <v/>
      </c>
      <c r="N569" t="str">
        <f>IF(M569="","",IF(M569="[FÓRMULA MANUAL]","",IFERROR(AVERAGEIFS(DATOS!$K$2:$K$20000,DATOS!$A$2:$A$20000,M569,DATOS!$G$2:$G$20000,CONFIG_METADATA!$B$4,DATOS!$I$2:$I$20000,"Armonía"),"")))</f>
        <v/>
      </c>
      <c r="O569" t="str">
        <f>IF(M569="","",IF(M569="[FÓRMULA MANUAL]","",IFERROR(AVERAGEIFS(DATOS!$K$2:$K$20000,DATOS!$A$2:$A$20000,M569,DATOS!$G$2:$G$20000,CONFIG_METADATA!$B$4,DATOS!$I$2:$I$20000,"Orquesta/Banda/Conjunto"),"")))</f>
        <v/>
      </c>
      <c r="P569" t="str">
        <f>IF(M569="","",IF(M569="[FÓRMULA MANUAL]","",IFERROR(AVERAGEIFS(DATOS!$K$2:$K$20000,DATOS!$A$2:$A$20000,M569,DATOS!$G$2:$G$20000,CONFIG_METADATA!$B$4,DATOS!$I$2:$I$20000,"Música de Cámara"),"")))</f>
        <v/>
      </c>
      <c r="Q569" t="str">
        <f>IF(M569="","",IF(M569="[FÓRMULA MANUAL]","",IFERROR(SUMPRODUCT((DATOS!$A$2:$A$20000=M569)*(DATOS!$G$2:$G$20000=CONFIG_METADATA!$B$4)*(COUNTIF(CONFIG_ASIGNATURAS!$B$7:$B$27,DATOS!$I$2:$I$20000)&gt;0)*(DATOS!$K$2:$K$20000))/SUMPRODUCT((DATOS!$A$2:$A$20000=M569)*(DATOS!$G$2:$G$20000=CONFIG_METADATA!$B$4)*(COUNTIF(CONFIG_ASIGNATURAS!$B$7:$B$27,DATOS!$I$2:$I$20000)&gt;0)*1),"")))</f>
        <v/>
      </c>
      <c r="T569" t="str">
        <f>IF(S569="","",IF(S569="[FÓRMULA MANUAL]","",IFERROR(AVERAGEIFS(DATOS!$K$2:$K$20000,DATOS!$A$2:$A$20000,S569,DATOS!$G$2:$G$20000,CONFIG_METADATA!$B$4,DATOS!$I$2:$I$20000,"Armonía"),"")))</f>
        <v/>
      </c>
      <c r="U569" t="str">
        <f>IF(S569="","",IF(S569="[FÓRMULA MANUAL]","",IFERROR(AVERAGEIFS(DATOS!$K$2:$K$20000,DATOS!$A$2:$A$20000,S569,DATOS!$G$2:$G$20000,CONFIG_METADATA!$B$4,DATOS!$I$2:$I$20000,"Orquesta/Banda/Conjunto"),"")))</f>
        <v/>
      </c>
      <c r="V569" t="str">
        <f>IF(S569="","",IF(S569="[FÓRMULA MANUAL]","",IFERROR(AVERAGEIFS(DATOS!$K$2:$K$20000,DATOS!$A$2:$A$20000,S569,DATOS!$G$2:$G$20000,CONFIG_METADATA!$B$4,DATOS!$I$2:$I$20000,"Música de Cámara"),"")))</f>
        <v/>
      </c>
      <c r="W569" t="str">
        <f>IF(S569="","",IF(S569="[FÓRMULA MANUAL]","",IFERROR(SUMPRODUCT((DATOS!$A$2:$A$20000=S569)*(DATOS!$G$2:$G$20000=CONFIG_METADATA!$B$4)*(COUNTIF(CONFIG_ASIGNATURAS!$B$7:$B$27,DATOS!$I$2:$I$20000)&gt;0)*(DATOS!$K$2:$K$20000))/SUMPRODUCT((DATOS!$A$2:$A$20000=S569)*(DATOS!$G$2:$G$20000=CONFIG_METADATA!$B$4)*(COUNTIF(CONFIG_ASIGNATURAS!$B$7:$B$27,DATOS!$I$2:$I$20000)&gt;0)*1),"")))</f>
        <v/>
      </c>
      <c r="Z569" t="str">
        <f>IF(Y569="","",IF(Y569="[FÓRMULA MANUAL]","",IFERROR(AVERAGEIFS(DATOS!$K$2:$K$20000,DATOS!$A$2:$A$20000,Y569,DATOS!$G$2:$G$20000,CONFIG_METADATA!$B$4,DATOS!$I$2:$I$20000,"Análisis"),"")))</f>
        <v/>
      </c>
      <c r="AA569" t="str">
        <f>IF(Y569="","",IF(Y569="[FÓRMULA MANUAL]","",IFERROR(AVERAGEIFS(DATOS!$K$2:$K$20000,DATOS!$A$2:$A$20000,Y569,DATOS!$G$2:$G$20000,CONFIG_METADATA!$B$4,DATOS!$I$2:$I$20000,"Orquesta/Banda/Conjunto"),"")))</f>
        <v/>
      </c>
      <c r="AB569" t="str">
        <f>IF(Y569="","",IF(Y569="[FÓRMULA MANUAL]","",IFERROR(AVERAGEIFS(DATOS!$K$2:$K$20000,DATOS!$A$2:$A$20000,Y569,DATOS!$G$2:$G$20000,CONFIG_METADATA!$B$4,DATOS!$I$2:$I$20000,"Música de Cámara"),"")))</f>
        <v/>
      </c>
      <c r="AC569" t="str">
        <f>IF(Y569="","",IF(Y569="[FÓRMULA MANUAL]","",IFERROR(SUMPRODUCT((DATOS!$A$2:$A$20000=Y569)*(DATOS!$G$2:$G$20000=CONFIG_METADATA!$B$4)*(COUNTIF(CONFIG_ASIGNATURAS!$B$7:$B$27,DATOS!$I$2:$I$20000)&gt;0)*(DATOS!$K$2:$K$20000))/SUMPRODUCT((DATOS!$A$2:$A$20000=Y569)*(DATOS!$G$2:$G$20000=CONFIG_METADATA!$B$4)*(COUNTIF(CONFIG_ASIGNATURAS!$B$7:$B$27,DATOS!$I$2:$I$20000)&gt;0)*1),"")))</f>
        <v/>
      </c>
      <c r="AF569" t="str">
        <f>IF(AE569="","",IF(AE569="[FÓRMULA MANUAL]","",IFERROR(AVERAGEIFS(DATOS!$K$2:$K$20000,DATOS!$A$2:$A$20000,AE569,DATOS!$G$2:$G$20000,CONFIG_METADATA!$B$4,DATOS!$I$2:$I$20000,"Análisis"),"")))</f>
        <v/>
      </c>
      <c r="AG569" t="str">
        <f>IF(AE569="","",IF(AE569="[FÓRMULA MANUAL]","",IFERROR(AVERAGEIFS(DATOS!$K$2:$K$20000,DATOS!$A$2:$A$20000,AE569,DATOS!$G$2:$G$20000,CONFIG_METADATA!$B$4,DATOS!$I$2:$I$20000,"Orquesta/Banda/Conjunto"),"")))</f>
        <v/>
      </c>
      <c r="AH569" t="str">
        <f>IF(AE569="","",IF(AE569="[FÓRMULA MANUAL]","",IFERROR(AVERAGEIFS(DATOS!$K$2:$K$20000,DATOS!$A$2:$A$20000,AE569,DATOS!$G$2:$G$20000,CONFIG_METADATA!$B$4,DATOS!$I$2:$I$20000,"Música de Cámara"),"")))</f>
        <v/>
      </c>
      <c r="AI569" t="str">
        <f>IF(AE569="","",IF(AE569="[FÓRMULA MANUAL]","",IFERROR(SUMPRODUCT((DATOS!$A$2:$A$20000=AE569)*(DATOS!$G$2:$G$20000=CONFIG_METADATA!$B$4)*(COUNTIF(CONFIG_ASIGNATURAS!$B$7:$B$27,DATOS!$I$2:$I$20000)&gt;0)*(DATOS!$K$2:$K$20000))/SUMPRODUCT((DATOS!$A$2:$A$20000=AE569)*(DATOS!$G$2:$G$20000=CONFIG_METADATA!$B$4)*(COUNTIF(CONFIG_ASIGNATURAS!$B$7:$B$27,DATOS!$I$2:$I$20000)&gt;0)*1),"")))</f>
        <v/>
      </c>
    </row>
    <row r="570" spans="2:35" x14ac:dyDescent="0.2">
      <c r="B570" t="str">
        <f>IF(A570="","",IF(A570="[FÓRMULA MANUAL]","",IFERROR(AVERAGEIFS(DATOS!$K$2:$K$20000,DATOS!$A$2:$A$20000,A570,DATOS!$G$2:$G$20000,CONFIG_METADATA!$B$4,DATOS!$I$2:$I$20000,"Lenguaje Musical"),"")))</f>
        <v/>
      </c>
      <c r="C570" t="str">
        <f>IF(A570="","",IF(A570="[FÓRMULA MANUAL]","",IFERROR(AVERAGEIFS(DATOS!$K$2:$K$20000,DATOS!$A$2:$A$20000,A570,DATOS!$G$2:$G$20000,CONFIG_METADATA!$B$4,DATOS!$I$2:$I$20000,"Orquesta/Banda/Conjunto"),"")))</f>
        <v/>
      </c>
      <c r="D570" t="str">
        <f>IF(A570="","",IF(A570="[FÓRMULA MANUAL]","",IFERROR(AVERAGEIFS(DATOS!$K$2:$K$20000,DATOS!$A$2:$A$20000,A570,DATOS!$G$2:$G$20000,CONFIG_METADATA!$B$4,DATOS!$I$2:$I$20000,"Conjunto"),"")))</f>
        <v/>
      </c>
      <c r="E570" t="str">
        <f>IF(A570="","",IF(A570="[FÓRMULA MANUAL]","",IFERROR(SUMPRODUCT((DATOS!$A$2:$A$20000=A570)*(DATOS!$G$2:$G$20000=CONFIG_METADATA!$B$4)*(COUNTIF(CONFIG_ASIGNATURAS!$B$7:$B$27,DATOS!$I$2:$I$20000)&gt;0)*(DATOS!$K$2:$K$20000))/SUMPRODUCT((DATOS!$A$2:$A$20000=A570)*(DATOS!$G$2:$G$20000=CONFIG_METADATA!$B$4)*(COUNTIF(CONFIG_ASIGNATURAS!$B$7:$B$27,DATOS!$I$2:$I$20000)&gt;0)*1),"")))</f>
        <v/>
      </c>
      <c r="H570" t="str">
        <f>IF(G570="","",IF(G570="[FÓRMULA MANUAL]","",IFERROR(AVERAGEIFS(DATOS!$K$2:$K$20000,DATOS!$A$2:$A$20000,G570,DATOS!$G$2:$G$20000,CONFIG_METADATA!$B$4,DATOS!$I$2:$I$20000,"Lenguaje Musical"),"")))</f>
        <v/>
      </c>
      <c r="I570" t="str">
        <f>IF(G570="","",IF(G570="[FÓRMULA MANUAL]","",IFERROR(AVERAGEIFS(DATOS!$K$2:$K$20000,DATOS!$A$2:$A$20000,G570,DATOS!$G$2:$G$20000,CONFIG_METADATA!$B$4,DATOS!$I$2:$I$20000,"Orquesta/Banda/Conjunto"),"")))</f>
        <v/>
      </c>
      <c r="J570" t="str">
        <f>IF(G570="","",IF(G570="[FÓRMULA MANUAL]","",IFERROR(AVERAGEIFS(DATOS!$K$2:$K$20000,DATOS!$A$2:$A$20000,G570,DATOS!$G$2:$G$20000,CONFIG_METADATA!$B$4,DATOS!$I$2:$I$20000,"Conjunto"),"")))</f>
        <v/>
      </c>
      <c r="K570" t="str">
        <f>IF(G570="","",IF(G570="[FÓRMULA MANUAL]","",IFERROR(SUMPRODUCT((DATOS!$A$2:$A$20000=G570)*(DATOS!$G$2:$G$20000=CONFIG_METADATA!$B$4)*(COUNTIF(CONFIG_ASIGNATURAS!$B$7:$B$27,DATOS!$I$2:$I$20000)&gt;0)*(DATOS!$K$2:$K$20000))/SUMPRODUCT((DATOS!$A$2:$A$20000=G570)*(DATOS!$G$2:$G$20000=CONFIG_METADATA!$B$4)*(COUNTIF(CONFIG_ASIGNATURAS!$B$7:$B$27,DATOS!$I$2:$I$20000)&gt;0)*1),"")))</f>
        <v/>
      </c>
      <c r="N570" t="str">
        <f>IF(M570="","",IF(M570="[FÓRMULA MANUAL]","",IFERROR(AVERAGEIFS(DATOS!$K$2:$K$20000,DATOS!$A$2:$A$20000,M570,DATOS!$G$2:$G$20000,CONFIG_METADATA!$B$4,DATOS!$I$2:$I$20000,"Armonía"),"")))</f>
        <v/>
      </c>
      <c r="O570" t="str">
        <f>IF(M570="","",IF(M570="[FÓRMULA MANUAL]","",IFERROR(AVERAGEIFS(DATOS!$K$2:$K$20000,DATOS!$A$2:$A$20000,M570,DATOS!$G$2:$G$20000,CONFIG_METADATA!$B$4,DATOS!$I$2:$I$20000,"Orquesta/Banda/Conjunto"),"")))</f>
        <v/>
      </c>
      <c r="P570" t="str">
        <f>IF(M570="","",IF(M570="[FÓRMULA MANUAL]","",IFERROR(AVERAGEIFS(DATOS!$K$2:$K$20000,DATOS!$A$2:$A$20000,M570,DATOS!$G$2:$G$20000,CONFIG_METADATA!$B$4,DATOS!$I$2:$I$20000,"Música de Cámara"),"")))</f>
        <v/>
      </c>
      <c r="Q570" t="str">
        <f>IF(M570="","",IF(M570="[FÓRMULA MANUAL]","",IFERROR(SUMPRODUCT((DATOS!$A$2:$A$20000=M570)*(DATOS!$G$2:$G$20000=CONFIG_METADATA!$B$4)*(COUNTIF(CONFIG_ASIGNATURAS!$B$7:$B$27,DATOS!$I$2:$I$20000)&gt;0)*(DATOS!$K$2:$K$20000))/SUMPRODUCT((DATOS!$A$2:$A$20000=M570)*(DATOS!$G$2:$G$20000=CONFIG_METADATA!$B$4)*(COUNTIF(CONFIG_ASIGNATURAS!$B$7:$B$27,DATOS!$I$2:$I$20000)&gt;0)*1),"")))</f>
        <v/>
      </c>
      <c r="T570" t="str">
        <f>IF(S570="","",IF(S570="[FÓRMULA MANUAL]","",IFERROR(AVERAGEIFS(DATOS!$K$2:$K$20000,DATOS!$A$2:$A$20000,S570,DATOS!$G$2:$G$20000,CONFIG_METADATA!$B$4,DATOS!$I$2:$I$20000,"Armonía"),"")))</f>
        <v/>
      </c>
      <c r="U570" t="str">
        <f>IF(S570="","",IF(S570="[FÓRMULA MANUAL]","",IFERROR(AVERAGEIFS(DATOS!$K$2:$K$20000,DATOS!$A$2:$A$20000,S570,DATOS!$G$2:$G$20000,CONFIG_METADATA!$B$4,DATOS!$I$2:$I$20000,"Orquesta/Banda/Conjunto"),"")))</f>
        <v/>
      </c>
      <c r="V570" t="str">
        <f>IF(S570="","",IF(S570="[FÓRMULA MANUAL]","",IFERROR(AVERAGEIFS(DATOS!$K$2:$K$20000,DATOS!$A$2:$A$20000,S570,DATOS!$G$2:$G$20000,CONFIG_METADATA!$B$4,DATOS!$I$2:$I$20000,"Música de Cámara"),"")))</f>
        <v/>
      </c>
      <c r="W570" t="str">
        <f>IF(S570="","",IF(S570="[FÓRMULA MANUAL]","",IFERROR(SUMPRODUCT((DATOS!$A$2:$A$20000=S570)*(DATOS!$G$2:$G$20000=CONFIG_METADATA!$B$4)*(COUNTIF(CONFIG_ASIGNATURAS!$B$7:$B$27,DATOS!$I$2:$I$20000)&gt;0)*(DATOS!$K$2:$K$20000))/SUMPRODUCT((DATOS!$A$2:$A$20000=S570)*(DATOS!$G$2:$G$20000=CONFIG_METADATA!$B$4)*(COUNTIF(CONFIG_ASIGNATURAS!$B$7:$B$27,DATOS!$I$2:$I$20000)&gt;0)*1),"")))</f>
        <v/>
      </c>
      <c r="Z570" t="str">
        <f>IF(Y570="","",IF(Y570="[FÓRMULA MANUAL]","",IFERROR(AVERAGEIFS(DATOS!$K$2:$K$20000,DATOS!$A$2:$A$20000,Y570,DATOS!$G$2:$G$20000,CONFIG_METADATA!$B$4,DATOS!$I$2:$I$20000,"Análisis"),"")))</f>
        <v/>
      </c>
      <c r="AA570" t="str">
        <f>IF(Y570="","",IF(Y570="[FÓRMULA MANUAL]","",IFERROR(AVERAGEIFS(DATOS!$K$2:$K$20000,DATOS!$A$2:$A$20000,Y570,DATOS!$G$2:$G$20000,CONFIG_METADATA!$B$4,DATOS!$I$2:$I$20000,"Orquesta/Banda/Conjunto"),"")))</f>
        <v/>
      </c>
      <c r="AB570" t="str">
        <f>IF(Y570="","",IF(Y570="[FÓRMULA MANUAL]","",IFERROR(AVERAGEIFS(DATOS!$K$2:$K$20000,DATOS!$A$2:$A$20000,Y570,DATOS!$G$2:$G$20000,CONFIG_METADATA!$B$4,DATOS!$I$2:$I$20000,"Música de Cámara"),"")))</f>
        <v/>
      </c>
      <c r="AC570" t="str">
        <f>IF(Y570="","",IF(Y570="[FÓRMULA MANUAL]","",IFERROR(SUMPRODUCT((DATOS!$A$2:$A$20000=Y570)*(DATOS!$G$2:$G$20000=CONFIG_METADATA!$B$4)*(COUNTIF(CONFIG_ASIGNATURAS!$B$7:$B$27,DATOS!$I$2:$I$20000)&gt;0)*(DATOS!$K$2:$K$20000))/SUMPRODUCT((DATOS!$A$2:$A$20000=Y570)*(DATOS!$G$2:$G$20000=CONFIG_METADATA!$B$4)*(COUNTIF(CONFIG_ASIGNATURAS!$B$7:$B$27,DATOS!$I$2:$I$20000)&gt;0)*1),"")))</f>
        <v/>
      </c>
      <c r="AF570" t="str">
        <f>IF(AE570="","",IF(AE570="[FÓRMULA MANUAL]","",IFERROR(AVERAGEIFS(DATOS!$K$2:$K$20000,DATOS!$A$2:$A$20000,AE570,DATOS!$G$2:$G$20000,CONFIG_METADATA!$B$4,DATOS!$I$2:$I$20000,"Análisis"),"")))</f>
        <v/>
      </c>
      <c r="AG570" t="str">
        <f>IF(AE570="","",IF(AE570="[FÓRMULA MANUAL]","",IFERROR(AVERAGEIFS(DATOS!$K$2:$K$20000,DATOS!$A$2:$A$20000,AE570,DATOS!$G$2:$G$20000,CONFIG_METADATA!$B$4,DATOS!$I$2:$I$20000,"Orquesta/Banda/Conjunto"),"")))</f>
        <v/>
      </c>
      <c r="AH570" t="str">
        <f>IF(AE570="","",IF(AE570="[FÓRMULA MANUAL]","",IFERROR(AVERAGEIFS(DATOS!$K$2:$K$20000,DATOS!$A$2:$A$20000,AE570,DATOS!$G$2:$G$20000,CONFIG_METADATA!$B$4,DATOS!$I$2:$I$20000,"Música de Cámara"),"")))</f>
        <v/>
      </c>
      <c r="AI570" t="str">
        <f>IF(AE570="","",IF(AE570="[FÓRMULA MANUAL]","",IFERROR(SUMPRODUCT((DATOS!$A$2:$A$20000=AE570)*(DATOS!$G$2:$G$20000=CONFIG_METADATA!$B$4)*(COUNTIF(CONFIG_ASIGNATURAS!$B$7:$B$27,DATOS!$I$2:$I$20000)&gt;0)*(DATOS!$K$2:$K$20000))/SUMPRODUCT((DATOS!$A$2:$A$20000=AE570)*(DATOS!$G$2:$G$20000=CONFIG_METADATA!$B$4)*(COUNTIF(CONFIG_ASIGNATURAS!$B$7:$B$27,DATOS!$I$2:$I$20000)&gt;0)*1),"")))</f>
        <v/>
      </c>
    </row>
    <row r="571" spans="2:35" x14ac:dyDescent="0.2">
      <c r="B571" t="str">
        <f>IF(A571="","",IF(A571="[FÓRMULA MANUAL]","",IFERROR(AVERAGEIFS(DATOS!$K$2:$K$20000,DATOS!$A$2:$A$20000,A571,DATOS!$G$2:$G$20000,CONFIG_METADATA!$B$4,DATOS!$I$2:$I$20000,"Lenguaje Musical"),"")))</f>
        <v/>
      </c>
      <c r="C571" t="str">
        <f>IF(A571="","",IF(A571="[FÓRMULA MANUAL]","",IFERROR(AVERAGEIFS(DATOS!$K$2:$K$20000,DATOS!$A$2:$A$20000,A571,DATOS!$G$2:$G$20000,CONFIG_METADATA!$B$4,DATOS!$I$2:$I$20000,"Orquesta/Banda/Conjunto"),"")))</f>
        <v/>
      </c>
      <c r="D571" t="str">
        <f>IF(A571="","",IF(A571="[FÓRMULA MANUAL]","",IFERROR(AVERAGEIFS(DATOS!$K$2:$K$20000,DATOS!$A$2:$A$20000,A571,DATOS!$G$2:$G$20000,CONFIG_METADATA!$B$4,DATOS!$I$2:$I$20000,"Conjunto"),"")))</f>
        <v/>
      </c>
      <c r="E571" t="str">
        <f>IF(A571="","",IF(A571="[FÓRMULA MANUAL]","",IFERROR(SUMPRODUCT((DATOS!$A$2:$A$20000=A571)*(DATOS!$G$2:$G$20000=CONFIG_METADATA!$B$4)*(COUNTIF(CONFIG_ASIGNATURAS!$B$7:$B$27,DATOS!$I$2:$I$20000)&gt;0)*(DATOS!$K$2:$K$20000))/SUMPRODUCT((DATOS!$A$2:$A$20000=A571)*(DATOS!$G$2:$G$20000=CONFIG_METADATA!$B$4)*(COUNTIF(CONFIG_ASIGNATURAS!$B$7:$B$27,DATOS!$I$2:$I$20000)&gt;0)*1),"")))</f>
        <v/>
      </c>
      <c r="H571" t="str">
        <f>IF(G571="","",IF(G571="[FÓRMULA MANUAL]","",IFERROR(AVERAGEIFS(DATOS!$K$2:$K$20000,DATOS!$A$2:$A$20000,G571,DATOS!$G$2:$G$20000,CONFIG_METADATA!$B$4,DATOS!$I$2:$I$20000,"Lenguaje Musical"),"")))</f>
        <v/>
      </c>
      <c r="I571" t="str">
        <f>IF(G571="","",IF(G571="[FÓRMULA MANUAL]","",IFERROR(AVERAGEIFS(DATOS!$K$2:$K$20000,DATOS!$A$2:$A$20000,G571,DATOS!$G$2:$G$20000,CONFIG_METADATA!$B$4,DATOS!$I$2:$I$20000,"Orquesta/Banda/Conjunto"),"")))</f>
        <v/>
      </c>
      <c r="J571" t="str">
        <f>IF(G571="","",IF(G571="[FÓRMULA MANUAL]","",IFERROR(AVERAGEIFS(DATOS!$K$2:$K$20000,DATOS!$A$2:$A$20000,G571,DATOS!$G$2:$G$20000,CONFIG_METADATA!$B$4,DATOS!$I$2:$I$20000,"Conjunto"),"")))</f>
        <v/>
      </c>
      <c r="K571" t="str">
        <f>IF(G571="","",IF(G571="[FÓRMULA MANUAL]","",IFERROR(SUMPRODUCT((DATOS!$A$2:$A$20000=G571)*(DATOS!$G$2:$G$20000=CONFIG_METADATA!$B$4)*(COUNTIF(CONFIG_ASIGNATURAS!$B$7:$B$27,DATOS!$I$2:$I$20000)&gt;0)*(DATOS!$K$2:$K$20000))/SUMPRODUCT((DATOS!$A$2:$A$20000=G571)*(DATOS!$G$2:$G$20000=CONFIG_METADATA!$B$4)*(COUNTIF(CONFIG_ASIGNATURAS!$B$7:$B$27,DATOS!$I$2:$I$20000)&gt;0)*1),"")))</f>
        <v/>
      </c>
      <c r="N571" t="str">
        <f>IF(M571="","",IF(M571="[FÓRMULA MANUAL]","",IFERROR(AVERAGEIFS(DATOS!$K$2:$K$20000,DATOS!$A$2:$A$20000,M571,DATOS!$G$2:$G$20000,CONFIG_METADATA!$B$4,DATOS!$I$2:$I$20000,"Armonía"),"")))</f>
        <v/>
      </c>
      <c r="O571" t="str">
        <f>IF(M571="","",IF(M571="[FÓRMULA MANUAL]","",IFERROR(AVERAGEIFS(DATOS!$K$2:$K$20000,DATOS!$A$2:$A$20000,M571,DATOS!$G$2:$G$20000,CONFIG_METADATA!$B$4,DATOS!$I$2:$I$20000,"Orquesta/Banda/Conjunto"),"")))</f>
        <v/>
      </c>
      <c r="P571" t="str">
        <f>IF(M571="","",IF(M571="[FÓRMULA MANUAL]","",IFERROR(AVERAGEIFS(DATOS!$K$2:$K$20000,DATOS!$A$2:$A$20000,M571,DATOS!$G$2:$G$20000,CONFIG_METADATA!$B$4,DATOS!$I$2:$I$20000,"Música de Cámara"),"")))</f>
        <v/>
      </c>
      <c r="Q571" t="str">
        <f>IF(M571="","",IF(M571="[FÓRMULA MANUAL]","",IFERROR(SUMPRODUCT((DATOS!$A$2:$A$20000=M571)*(DATOS!$G$2:$G$20000=CONFIG_METADATA!$B$4)*(COUNTIF(CONFIG_ASIGNATURAS!$B$7:$B$27,DATOS!$I$2:$I$20000)&gt;0)*(DATOS!$K$2:$K$20000))/SUMPRODUCT((DATOS!$A$2:$A$20000=M571)*(DATOS!$G$2:$G$20000=CONFIG_METADATA!$B$4)*(COUNTIF(CONFIG_ASIGNATURAS!$B$7:$B$27,DATOS!$I$2:$I$20000)&gt;0)*1),"")))</f>
        <v/>
      </c>
      <c r="T571" t="str">
        <f>IF(S571="","",IF(S571="[FÓRMULA MANUAL]","",IFERROR(AVERAGEIFS(DATOS!$K$2:$K$20000,DATOS!$A$2:$A$20000,S571,DATOS!$G$2:$G$20000,CONFIG_METADATA!$B$4,DATOS!$I$2:$I$20000,"Armonía"),"")))</f>
        <v/>
      </c>
      <c r="U571" t="str">
        <f>IF(S571="","",IF(S571="[FÓRMULA MANUAL]","",IFERROR(AVERAGEIFS(DATOS!$K$2:$K$20000,DATOS!$A$2:$A$20000,S571,DATOS!$G$2:$G$20000,CONFIG_METADATA!$B$4,DATOS!$I$2:$I$20000,"Orquesta/Banda/Conjunto"),"")))</f>
        <v/>
      </c>
      <c r="V571" t="str">
        <f>IF(S571="","",IF(S571="[FÓRMULA MANUAL]","",IFERROR(AVERAGEIFS(DATOS!$K$2:$K$20000,DATOS!$A$2:$A$20000,S571,DATOS!$G$2:$G$20000,CONFIG_METADATA!$B$4,DATOS!$I$2:$I$20000,"Música de Cámara"),"")))</f>
        <v/>
      </c>
      <c r="W571" t="str">
        <f>IF(S571="","",IF(S571="[FÓRMULA MANUAL]","",IFERROR(SUMPRODUCT((DATOS!$A$2:$A$20000=S571)*(DATOS!$G$2:$G$20000=CONFIG_METADATA!$B$4)*(COUNTIF(CONFIG_ASIGNATURAS!$B$7:$B$27,DATOS!$I$2:$I$20000)&gt;0)*(DATOS!$K$2:$K$20000))/SUMPRODUCT((DATOS!$A$2:$A$20000=S571)*(DATOS!$G$2:$G$20000=CONFIG_METADATA!$B$4)*(COUNTIF(CONFIG_ASIGNATURAS!$B$7:$B$27,DATOS!$I$2:$I$20000)&gt;0)*1),"")))</f>
        <v/>
      </c>
      <c r="Z571" t="str">
        <f>IF(Y571="","",IF(Y571="[FÓRMULA MANUAL]","",IFERROR(AVERAGEIFS(DATOS!$K$2:$K$20000,DATOS!$A$2:$A$20000,Y571,DATOS!$G$2:$G$20000,CONFIG_METADATA!$B$4,DATOS!$I$2:$I$20000,"Análisis"),"")))</f>
        <v/>
      </c>
      <c r="AA571" t="str">
        <f>IF(Y571="","",IF(Y571="[FÓRMULA MANUAL]","",IFERROR(AVERAGEIFS(DATOS!$K$2:$K$20000,DATOS!$A$2:$A$20000,Y571,DATOS!$G$2:$G$20000,CONFIG_METADATA!$B$4,DATOS!$I$2:$I$20000,"Orquesta/Banda/Conjunto"),"")))</f>
        <v/>
      </c>
      <c r="AB571" t="str">
        <f>IF(Y571="","",IF(Y571="[FÓRMULA MANUAL]","",IFERROR(AVERAGEIFS(DATOS!$K$2:$K$20000,DATOS!$A$2:$A$20000,Y571,DATOS!$G$2:$G$20000,CONFIG_METADATA!$B$4,DATOS!$I$2:$I$20000,"Música de Cámara"),"")))</f>
        <v/>
      </c>
      <c r="AC571" t="str">
        <f>IF(Y571="","",IF(Y571="[FÓRMULA MANUAL]","",IFERROR(SUMPRODUCT((DATOS!$A$2:$A$20000=Y571)*(DATOS!$G$2:$G$20000=CONFIG_METADATA!$B$4)*(COUNTIF(CONFIG_ASIGNATURAS!$B$7:$B$27,DATOS!$I$2:$I$20000)&gt;0)*(DATOS!$K$2:$K$20000))/SUMPRODUCT((DATOS!$A$2:$A$20000=Y571)*(DATOS!$G$2:$G$20000=CONFIG_METADATA!$B$4)*(COUNTIF(CONFIG_ASIGNATURAS!$B$7:$B$27,DATOS!$I$2:$I$20000)&gt;0)*1),"")))</f>
        <v/>
      </c>
      <c r="AF571" t="str">
        <f>IF(AE571="","",IF(AE571="[FÓRMULA MANUAL]","",IFERROR(AVERAGEIFS(DATOS!$K$2:$K$20000,DATOS!$A$2:$A$20000,AE571,DATOS!$G$2:$G$20000,CONFIG_METADATA!$B$4,DATOS!$I$2:$I$20000,"Análisis"),"")))</f>
        <v/>
      </c>
      <c r="AG571" t="str">
        <f>IF(AE571="","",IF(AE571="[FÓRMULA MANUAL]","",IFERROR(AVERAGEIFS(DATOS!$K$2:$K$20000,DATOS!$A$2:$A$20000,AE571,DATOS!$G$2:$G$20000,CONFIG_METADATA!$B$4,DATOS!$I$2:$I$20000,"Orquesta/Banda/Conjunto"),"")))</f>
        <v/>
      </c>
      <c r="AH571" t="str">
        <f>IF(AE571="","",IF(AE571="[FÓRMULA MANUAL]","",IFERROR(AVERAGEIFS(DATOS!$K$2:$K$20000,DATOS!$A$2:$A$20000,AE571,DATOS!$G$2:$G$20000,CONFIG_METADATA!$B$4,DATOS!$I$2:$I$20000,"Música de Cámara"),"")))</f>
        <v/>
      </c>
      <c r="AI571" t="str">
        <f>IF(AE571="","",IF(AE571="[FÓRMULA MANUAL]","",IFERROR(SUMPRODUCT((DATOS!$A$2:$A$20000=AE571)*(DATOS!$G$2:$G$20000=CONFIG_METADATA!$B$4)*(COUNTIF(CONFIG_ASIGNATURAS!$B$7:$B$27,DATOS!$I$2:$I$20000)&gt;0)*(DATOS!$K$2:$K$20000))/SUMPRODUCT((DATOS!$A$2:$A$20000=AE571)*(DATOS!$G$2:$G$20000=CONFIG_METADATA!$B$4)*(COUNTIF(CONFIG_ASIGNATURAS!$B$7:$B$27,DATOS!$I$2:$I$20000)&gt;0)*1),"")))</f>
        <v/>
      </c>
    </row>
    <row r="572" spans="2:35" x14ac:dyDescent="0.2">
      <c r="B572" t="str">
        <f>IF(A572="","",IF(A572="[FÓRMULA MANUAL]","",IFERROR(AVERAGEIFS(DATOS!$K$2:$K$20000,DATOS!$A$2:$A$20000,A572,DATOS!$G$2:$G$20000,CONFIG_METADATA!$B$4,DATOS!$I$2:$I$20000,"Lenguaje Musical"),"")))</f>
        <v/>
      </c>
      <c r="C572" t="str">
        <f>IF(A572="","",IF(A572="[FÓRMULA MANUAL]","",IFERROR(AVERAGEIFS(DATOS!$K$2:$K$20000,DATOS!$A$2:$A$20000,A572,DATOS!$G$2:$G$20000,CONFIG_METADATA!$B$4,DATOS!$I$2:$I$20000,"Orquesta/Banda/Conjunto"),"")))</f>
        <v/>
      </c>
      <c r="D572" t="str">
        <f>IF(A572="","",IF(A572="[FÓRMULA MANUAL]","",IFERROR(AVERAGEIFS(DATOS!$K$2:$K$20000,DATOS!$A$2:$A$20000,A572,DATOS!$G$2:$G$20000,CONFIG_METADATA!$B$4,DATOS!$I$2:$I$20000,"Conjunto"),"")))</f>
        <v/>
      </c>
      <c r="E572" t="str">
        <f>IF(A572="","",IF(A572="[FÓRMULA MANUAL]","",IFERROR(SUMPRODUCT((DATOS!$A$2:$A$20000=A572)*(DATOS!$G$2:$G$20000=CONFIG_METADATA!$B$4)*(COUNTIF(CONFIG_ASIGNATURAS!$B$7:$B$27,DATOS!$I$2:$I$20000)&gt;0)*(DATOS!$K$2:$K$20000))/SUMPRODUCT((DATOS!$A$2:$A$20000=A572)*(DATOS!$G$2:$G$20000=CONFIG_METADATA!$B$4)*(COUNTIF(CONFIG_ASIGNATURAS!$B$7:$B$27,DATOS!$I$2:$I$20000)&gt;0)*1),"")))</f>
        <v/>
      </c>
      <c r="H572" t="str">
        <f>IF(G572="","",IF(G572="[FÓRMULA MANUAL]","",IFERROR(AVERAGEIFS(DATOS!$K$2:$K$20000,DATOS!$A$2:$A$20000,G572,DATOS!$G$2:$G$20000,CONFIG_METADATA!$B$4,DATOS!$I$2:$I$20000,"Lenguaje Musical"),"")))</f>
        <v/>
      </c>
      <c r="I572" t="str">
        <f>IF(G572="","",IF(G572="[FÓRMULA MANUAL]","",IFERROR(AVERAGEIFS(DATOS!$K$2:$K$20000,DATOS!$A$2:$A$20000,G572,DATOS!$G$2:$G$20000,CONFIG_METADATA!$B$4,DATOS!$I$2:$I$20000,"Orquesta/Banda/Conjunto"),"")))</f>
        <v/>
      </c>
      <c r="J572" t="str">
        <f>IF(G572="","",IF(G572="[FÓRMULA MANUAL]","",IFERROR(AVERAGEIFS(DATOS!$K$2:$K$20000,DATOS!$A$2:$A$20000,G572,DATOS!$G$2:$G$20000,CONFIG_METADATA!$B$4,DATOS!$I$2:$I$20000,"Conjunto"),"")))</f>
        <v/>
      </c>
      <c r="K572" t="str">
        <f>IF(G572="","",IF(G572="[FÓRMULA MANUAL]","",IFERROR(SUMPRODUCT((DATOS!$A$2:$A$20000=G572)*(DATOS!$G$2:$G$20000=CONFIG_METADATA!$B$4)*(COUNTIF(CONFIG_ASIGNATURAS!$B$7:$B$27,DATOS!$I$2:$I$20000)&gt;0)*(DATOS!$K$2:$K$20000))/SUMPRODUCT((DATOS!$A$2:$A$20000=G572)*(DATOS!$G$2:$G$20000=CONFIG_METADATA!$B$4)*(COUNTIF(CONFIG_ASIGNATURAS!$B$7:$B$27,DATOS!$I$2:$I$20000)&gt;0)*1),"")))</f>
        <v/>
      </c>
      <c r="N572" t="str">
        <f>IF(M572="","",IF(M572="[FÓRMULA MANUAL]","",IFERROR(AVERAGEIFS(DATOS!$K$2:$K$20000,DATOS!$A$2:$A$20000,M572,DATOS!$G$2:$G$20000,CONFIG_METADATA!$B$4,DATOS!$I$2:$I$20000,"Armonía"),"")))</f>
        <v/>
      </c>
      <c r="O572" t="str">
        <f>IF(M572="","",IF(M572="[FÓRMULA MANUAL]","",IFERROR(AVERAGEIFS(DATOS!$K$2:$K$20000,DATOS!$A$2:$A$20000,M572,DATOS!$G$2:$G$20000,CONFIG_METADATA!$B$4,DATOS!$I$2:$I$20000,"Orquesta/Banda/Conjunto"),"")))</f>
        <v/>
      </c>
      <c r="P572" t="str">
        <f>IF(M572="","",IF(M572="[FÓRMULA MANUAL]","",IFERROR(AVERAGEIFS(DATOS!$K$2:$K$20000,DATOS!$A$2:$A$20000,M572,DATOS!$G$2:$G$20000,CONFIG_METADATA!$B$4,DATOS!$I$2:$I$20000,"Música de Cámara"),"")))</f>
        <v/>
      </c>
      <c r="Q572" t="str">
        <f>IF(M572="","",IF(M572="[FÓRMULA MANUAL]","",IFERROR(SUMPRODUCT((DATOS!$A$2:$A$20000=M572)*(DATOS!$G$2:$G$20000=CONFIG_METADATA!$B$4)*(COUNTIF(CONFIG_ASIGNATURAS!$B$7:$B$27,DATOS!$I$2:$I$20000)&gt;0)*(DATOS!$K$2:$K$20000))/SUMPRODUCT((DATOS!$A$2:$A$20000=M572)*(DATOS!$G$2:$G$20000=CONFIG_METADATA!$B$4)*(COUNTIF(CONFIG_ASIGNATURAS!$B$7:$B$27,DATOS!$I$2:$I$20000)&gt;0)*1),"")))</f>
        <v/>
      </c>
      <c r="T572" t="str">
        <f>IF(S572="","",IF(S572="[FÓRMULA MANUAL]","",IFERROR(AVERAGEIFS(DATOS!$K$2:$K$20000,DATOS!$A$2:$A$20000,S572,DATOS!$G$2:$G$20000,CONFIG_METADATA!$B$4,DATOS!$I$2:$I$20000,"Armonía"),"")))</f>
        <v/>
      </c>
      <c r="U572" t="str">
        <f>IF(S572="","",IF(S572="[FÓRMULA MANUAL]","",IFERROR(AVERAGEIFS(DATOS!$K$2:$K$20000,DATOS!$A$2:$A$20000,S572,DATOS!$G$2:$G$20000,CONFIG_METADATA!$B$4,DATOS!$I$2:$I$20000,"Orquesta/Banda/Conjunto"),"")))</f>
        <v/>
      </c>
      <c r="V572" t="str">
        <f>IF(S572="","",IF(S572="[FÓRMULA MANUAL]","",IFERROR(AVERAGEIFS(DATOS!$K$2:$K$20000,DATOS!$A$2:$A$20000,S572,DATOS!$G$2:$G$20000,CONFIG_METADATA!$B$4,DATOS!$I$2:$I$20000,"Música de Cámara"),"")))</f>
        <v/>
      </c>
      <c r="W572" t="str">
        <f>IF(S572="","",IF(S572="[FÓRMULA MANUAL]","",IFERROR(SUMPRODUCT((DATOS!$A$2:$A$20000=S572)*(DATOS!$G$2:$G$20000=CONFIG_METADATA!$B$4)*(COUNTIF(CONFIG_ASIGNATURAS!$B$7:$B$27,DATOS!$I$2:$I$20000)&gt;0)*(DATOS!$K$2:$K$20000))/SUMPRODUCT((DATOS!$A$2:$A$20000=S572)*(DATOS!$G$2:$G$20000=CONFIG_METADATA!$B$4)*(COUNTIF(CONFIG_ASIGNATURAS!$B$7:$B$27,DATOS!$I$2:$I$20000)&gt;0)*1),"")))</f>
        <v/>
      </c>
      <c r="Z572" t="str">
        <f>IF(Y572="","",IF(Y572="[FÓRMULA MANUAL]","",IFERROR(AVERAGEIFS(DATOS!$K$2:$K$20000,DATOS!$A$2:$A$20000,Y572,DATOS!$G$2:$G$20000,CONFIG_METADATA!$B$4,DATOS!$I$2:$I$20000,"Análisis"),"")))</f>
        <v/>
      </c>
      <c r="AA572" t="str">
        <f>IF(Y572="","",IF(Y572="[FÓRMULA MANUAL]","",IFERROR(AVERAGEIFS(DATOS!$K$2:$K$20000,DATOS!$A$2:$A$20000,Y572,DATOS!$G$2:$G$20000,CONFIG_METADATA!$B$4,DATOS!$I$2:$I$20000,"Orquesta/Banda/Conjunto"),"")))</f>
        <v/>
      </c>
      <c r="AB572" t="str">
        <f>IF(Y572="","",IF(Y572="[FÓRMULA MANUAL]","",IFERROR(AVERAGEIFS(DATOS!$K$2:$K$20000,DATOS!$A$2:$A$20000,Y572,DATOS!$G$2:$G$20000,CONFIG_METADATA!$B$4,DATOS!$I$2:$I$20000,"Música de Cámara"),"")))</f>
        <v/>
      </c>
      <c r="AC572" t="str">
        <f>IF(Y572="","",IF(Y572="[FÓRMULA MANUAL]","",IFERROR(SUMPRODUCT((DATOS!$A$2:$A$20000=Y572)*(DATOS!$G$2:$G$20000=CONFIG_METADATA!$B$4)*(COUNTIF(CONFIG_ASIGNATURAS!$B$7:$B$27,DATOS!$I$2:$I$20000)&gt;0)*(DATOS!$K$2:$K$20000))/SUMPRODUCT((DATOS!$A$2:$A$20000=Y572)*(DATOS!$G$2:$G$20000=CONFIG_METADATA!$B$4)*(COUNTIF(CONFIG_ASIGNATURAS!$B$7:$B$27,DATOS!$I$2:$I$20000)&gt;0)*1),"")))</f>
        <v/>
      </c>
      <c r="AF572" t="str">
        <f>IF(AE572="","",IF(AE572="[FÓRMULA MANUAL]","",IFERROR(AVERAGEIFS(DATOS!$K$2:$K$20000,DATOS!$A$2:$A$20000,AE572,DATOS!$G$2:$G$20000,CONFIG_METADATA!$B$4,DATOS!$I$2:$I$20000,"Análisis"),"")))</f>
        <v/>
      </c>
      <c r="AG572" t="str">
        <f>IF(AE572="","",IF(AE572="[FÓRMULA MANUAL]","",IFERROR(AVERAGEIFS(DATOS!$K$2:$K$20000,DATOS!$A$2:$A$20000,AE572,DATOS!$G$2:$G$20000,CONFIG_METADATA!$B$4,DATOS!$I$2:$I$20000,"Orquesta/Banda/Conjunto"),"")))</f>
        <v/>
      </c>
      <c r="AH572" t="str">
        <f>IF(AE572="","",IF(AE572="[FÓRMULA MANUAL]","",IFERROR(AVERAGEIFS(DATOS!$K$2:$K$20000,DATOS!$A$2:$A$20000,AE572,DATOS!$G$2:$G$20000,CONFIG_METADATA!$B$4,DATOS!$I$2:$I$20000,"Música de Cámara"),"")))</f>
        <v/>
      </c>
      <c r="AI572" t="str">
        <f>IF(AE572="","",IF(AE572="[FÓRMULA MANUAL]","",IFERROR(SUMPRODUCT((DATOS!$A$2:$A$20000=AE572)*(DATOS!$G$2:$G$20000=CONFIG_METADATA!$B$4)*(COUNTIF(CONFIG_ASIGNATURAS!$B$7:$B$27,DATOS!$I$2:$I$20000)&gt;0)*(DATOS!$K$2:$K$20000))/SUMPRODUCT((DATOS!$A$2:$A$20000=AE572)*(DATOS!$G$2:$G$20000=CONFIG_METADATA!$B$4)*(COUNTIF(CONFIG_ASIGNATURAS!$B$7:$B$27,DATOS!$I$2:$I$20000)&gt;0)*1),"")))</f>
        <v/>
      </c>
    </row>
    <row r="573" spans="2:35" x14ac:dyDescent="0.2">
      <c r="B573" t="str">
        <f>IF(A573="","",IF(A573="[FÓRMULA MANUAL]","",IFERROR(AVERAGEIFS(DATOS!$K$2:$K$20000,DATOS!$A$2:$A$20000,A573,DATOS!$G$2:$G$20000,CONFIG_METADATA!$B$4,DATOS!$I$2:$I$20000,"Lenguaje Musical"),"")))</f>
        <v/>
      </c>
      <c r="C573" t="str">
        <f>IF(A573="","",IF(A573="[FÓRMULA MANUAL]","",IFERROR(AVERAGEIFS(DATOS!$K$2:$K$20000,DATOS!$A$2:$A$20000,A573,DATOS!$G$2:$G$20000,CONFIG_METADATA!$B$4,DATOS!$I$2:$I$20000,"Orquesta/Banda/Conjunto"),"")))</f>
        <v/>
      </c>
      <c r="D573" t="str">
        <f>IF(A573="","",IF(A573="[FÓRMULA MANUAL]","",IFERROR(AVERAGEIFS(DATOS!$K$2:$K$20000,DATOS!$A$2:$A$20000,A573,DATOS!$G$2:$G$20000,CONFIG_METADATA!$B$4,DATOS!$I$2:$I$20000,"Conjunto"),"")))</f>
        <v/>
      </c>
      <c r="E573" t="str">
        <f>IF(A573="","",IF(A573="[FÓRMULA MANUAL]","",IFERROR(SUMPRODUCT((DATOS!$A$2:$A$20000=A573)*(DATOS!$G$2:$G$20000=CONFIG_METADATA!$B$4)*(COUNTIF(CONFIG_ASIGNATURAS!$B$7:$B$27,DATOS!$I$2:$I$20000)&gt;0)*(DATOS!$K$2:$K$20000))/SUMPRODUCT((DATOS!$A$2:$A$20000=A573)*(DATOS!$G$2:$G$20000=CONFIG_METADATA!$B$4)*(COUNTIF(CONFIG_ASIGNATURAS!$B$7:$B$27,DATOS!$I$2:$I$20000)&gt;0)*1),"")))</f>
        <v/>
      </c>
      <c r="H573" t="str">
        <f>IF(G573="","",IF(G573="[FÓRMULA MANUAL]","",IFERROR(AVERAGEIFS(DATOS!$K$2:$K$20000,DATOS!$A$2:$A$20000,G573,DATOS!$G$2:$G$20000,CONFIG_METADATA!$B$4,DATOS!$I$2:$I$20000,"Lenguaje Musical"),"")))</f>
        <v/>
      </c>
      <c r="I573" t="str">
        <f>IF(G573="","",IF(G573="[FÓRMULA MANUAL]","",IFERROR(AVERAGEIFS(DATOS!$K$2:$K$20000,DATOS!$A$2:$A$20000,G573,DATOS!$G$2:$G$20000,CONFIG_METADATA!$B$4,DATOS!$I$2:$I$20000,"Orquesta/Banda/Conjunto"),"")))</f>
        <v/>
      </c>
      <c r="J573" t="str">
        <f>IF(G573="","",IF(G573="[FÓRMULA MANUAL]","",IFERROR(AVERAGEIFS(DATOS!$K$2:$K$20000,DATOS!$A$2:$A$20000,G573,DATOS!$G$2:$G$20000,CONFIG_METADATA!$B$4,DATOS!$I$2:$I$20000,"Conjunto"),"")))</f>
        <v/>
      </c>
      <c r="K573" t="str">
        <f>IF(G573="","",IF(G573="[FÓRMULA MANUAL]","",IFERROR(SUMPRODUCT((DATOS!$A$2:$A$20000=G573)*(DATOS!$G$2:$G$20000=CONFIG_METADATA!$B$4)*(COUNTIF(CONFIG_ASIGNATURAS!$B$7:$B$27,DATOS!$I$2:$I$20000)&gt;0)*(DATOS!$K$2:$K$20000))/SUMPRODUCT((DATOS!$A$2:$A$20000=G573)*(DATOS!$G$2:$G$20000=CONFIG_METADATA!$B$4)*(COUNTIF(CONFIG_ASIGNATURAS!$B$7:$B$27,DATOS!$I$2:$I$20000)&gt;0)*1),"")))</f>
        <v/>
      </c>
      <c r="N573" t="str">
        <f>IF(M573="","",IF(M573="[FÓRMULA MANUAL]","",IFERROR(AVERAGEIFS(DATOS!$K$2:$K$20000,DATOS!$A$2:$A$20000,M573,DATOS!$G$2:$G$20000,CONFIG_METADATA!$B$4,DATOS!$I$2:$I$20000,"Armonía"),"")))</f>
        <v/>
      </c>
      <c r="O573" t="str">
        <f>IF(M573="","",IF(M573="[FÓRMULA MANUAL]","",IFERROR(AVERAGEIFS(DATOS!$K$2:$K$20000,DATOS!$A$2:$A$20000,M573,DATOS!$G$2:$G$20000,CONFIG_METADATA!$B$4,DATOS!$I$2:$I$20000,"Orquesta/Banda/Conjunto"),"")))</f>
        <v/>
      </c>
      <c r="P573" t="str">
        <f>IF(M573="","",IF(M573="[FÓRMULA MANUAL]","",IFERROR(AVERAGEIFS(DATOS!$K$2:$K$20000,DATOS!$A$2:$A$20000,M573,DATOS!$G$2:$G$20000,CONFIG_METADATA!$B$4,DATOS!$I$2:$I$20000,"Música de Cámara"),"")))</f>
        <v/>
      </c>
      <c r="Q573" t="str">
        <f>IF(M573="","",IF(M573="[FÓRMULA MANUAL]","",IFERROR(SUMPRODUCT((DATOS!$A$2:$A$20000=M573)*(DATOS!$G$2:$G$20000=CONFIG_METADATA!$B$4)*(COUNTIF(CONFIG_ASIGNATURAS!$B$7:$B$27,DATOS!$I$2:$I$20000)&gt;0)*(DATOS!$K$2:$K$20000))/SUMPRODUCT((DATOS!$A$2:$A$20000=M573)*(DATOS!$G$2:$G$20000=CONFIG_METADATA!$B$4)*(COUNTIF(CONFIG_ASIGNATURAS!$B$7:$B$27,DATOS!$I$2:$I$20000)&gt;0)*1),"")))</f>
        <v/>
      </c>
      <c r="T573" t="str">
        <f>IF(S573="","",IF(S573="[FÓRMULA MANUAL]","",IFERROR(AVERAGEIFS(DATOS!$K$2:$K$20000,DATOS!$A$2:$A$20000,S573,DATOS!$G$2:$G$20000,CONFIG_METADATA!$B$4,DATOS!$I$2:$I$20000,"Armonía"),"")))</f>
        <v/>
      </c>
      <c r="U573" t="str">
        <f>IF(S573="","",IF(S573="[FÓRMULA MANUAL]","",IFERROR(AVERAGEIFS(DATOS!$K$2:$K$20000,DATOS!$A$2:$A$20000,S573,DATOS!$G$2:$G$20000,CONFIG_METADATA!$B$4,DATOS!$I$2:$I$20000,"Orquesta/Banda/Conjunto"),"")))</f>
        <v/>
      </c>
      <c r="V573" t="str">
        <f>IF(S573="","",IF(S573="[FÓRMULA MANUAL]","",IFERROR(AVERAGEIFS(DATOS!$K$2:$K$20000,DATOS!$A$2:$A$20000,S573,DATOS!$G$2:$G$20000,CONFIG_METADATA!$B$4,DATOS!$I$2:$I$20000,"Música de Cámara"),"")))</f>
        <v/>
      </c>
      <c r="W573" t="str">
        <f>IF(S573="","",IF(S573="[FÓRMULA MANUAL]","",IFERROR(SUMPRODUCT((DATOS!$A$2:$A$20000=S573)*(DATOS!$G$2:$G$20000=CONFIG_METADATA!$B$4)*(COUNTIF(CONFIG_ASIGNATURAS!$B$7:$B$27,DATOS!$I$2:$I$20000)&gt;0)*(DATOS!$K$2:$K$20000))/SUMPRODUCT((DATOS!$A$2:$A$20000=S573)*(DATOS!$G$2:$G$20000=CONFIG_METADATA!$B$4)*(COUNTIF(CONFIG_ASIGNATURAS!$B$7:$B$27,DATOS!$I$2:$I$20000)&gt;0)*1),"")))</f>
        <v/>
      </c>
      <c r="Z573" t="str">
        <f>IF(Y573="","",IF(Y573="[FÓRMULA MANUAL]","",IFERROR(AVERAGEIFS(DATOS!$K$2:$K$20000,DATOS!$A$2:$A$20000,Y573,DATOS!$G$2:$G$20000,CONFIG_METADATA!$B$4,DATOS!$I$2:$I$20000,"Análisis"),"")))</f>
        <v/>
      </c>
      <c r="AA573" t="str">
        <f>IF(Y573="","",IF(Y573="[FÓRMULA MANUAL]","",IFERROR(AVERAGEIFS(DATOS!$K$2:$K$20000,DATOS!$A$2:$A$20000,Y573,DATOS!$G$2:$G$20000,CONFIG_METADATA!$B$4,DATOS!$I$2:$I$20000,"Orquesta/Banda/Conjunto"),"")))</f>
        <v/>
      </c>
      <c r="AB573" t="str">
        <f>IF(Y573="","",IF(Y573="[FÓRMULA MANUAL]","",IFERROR(AVERAGEIFS(DATOS!$K$2:$K$20000,DATOS!$A$2:$A$20000,Y573,DATOS!$G$2:$G$20000,CONFIG_METADATA!$B$4,DATOS!$I$2:$I$20000,"Música de Cámara"),"")))</f>
        <v/>
      </c>
      <c r="AC573" t="str">
        <f>IF(Y573="","",IF(Y573="[FÓRMULA MANUAL]","",IFERROR(SUMPRODUCT((DATOS!$A$2:$A$20000=Y573)*(DATOS!$G$2:$G$20000=CONFIG_METADATA!$B$4)*(COUNTIF(CONFIG_ASIGNATURAS!$B$7:$B$27,DATOS!$I$2:$I$20000)&gt;0)*(DATOS!$K$2:$K$20000))/SUMPRODUCT((DATOS!$A$2:$A$20000=Y573)*(DATOS!$G$2:$G$20000=CONFIG_METADATA!$B$4)*(COUNTIF(CONFIG_ASIGNATURAS!$B$7:$B$27,DATOS!$I$2:$I$20000)&gt;0)*1),"")))</f>
        <v/>
      </c>
      <c r="AF573" t="str">
        <f>IF(AE573="","",IF(AE573="[FÓRMULA MANUAL]","",IFERROR(AVERAGEIFS(DATOS!$K$2:$K$20000,DATOS!$A$2:$A$20000,AE573,DATOS!$G$2:$G$20000,CONFIG_METADATA!$B$4,DATOS!$I$2:$I$20000,"Análisis"),"")))</f>
        <v/>
      </c>
      <c r="AG573" t="str">
        <f>IF(AE573="","",IF(AE573="[FÓRMULA MANUAL]","",IFERROR(AVERAGEIFS(DATOS!$K$2:$K$20000,DATOS!$A$2:$A$20000,AE573,DATOS!$G$2:$G$20000,CONFIG_METADATA!$B$4,DATOS!$I$2:$I$20000,"Orquesta/Banda/Conjunto"),"")))</f>
        <v/>
      </c>
      <c r="AH573" t="str">
        <f>IF(AE573="","",IF(AE573="[FÓRMULA MANUAL]","",IFERROR(AVERAGEIFS(DATOS!$K$2:$K$20000,DATOS!$A$2:$A$20000,AE573,DATOS!$G$2:$G$20000,CONFIG_METADATA!$B$4,DATOS!$I$2:$I$20000,"Música de Cámara"),"")))</f>
        <v/>
      </c>
      <c r="AI573" t="str">
        <f>IF(AE573="","",IF(AE573="[FÓRMULA MANUAL]","",IFERROR(SUMPRODUCT((DATOS!$A$2:$A$20000=AE573)*(DATOS!$G$2:$G$20000=CONFIG_METADATA!$B$4)*(COUNTIF(CONFIG_ASIGNATURAS!$B$7:$B$27,DATOS!$I$2:$I$20000)&gt;0)*(DATOS!$K$2:$K$20000))/SUMPRODUCT((DATOS!$A$2:$A$20000=AE573)*(DATOS!$G$2:$G$20000=CONFIG_METADATA!$B$4)*(COUNTIF(CONFIG_ASIGNATURAS!$B$7:$B$27,DATOS!$I$2:$I$20000)&gt;0)*1),"")))</f>
        <v/>
      </c>
    </row>
    <row r="574" spans="2:35" x14ac:dyDescent="0.2">
      <c r="B574" t="str">
        <f>IF(A574="","",IF(A574="[FÓRMULA MANUAL]","",IFERROR(AVERAGEIFS(DATOS!$K$2:$K$20000,DATOS!$A$2:$A$20000,A574,DATOS!$G$2:$G$20000,CONFIG_METADATA!$B$4,DATOS!$I$2:$I$20000,"Lenguaje Musical"),"")))</f>
        <v/>
      </c>
      <c r="C574" t="str">
        <f>IF(A574="","",IF(A574="[FÓRMULA MANUAL]","",IFERROR(AVERAGEIFS(DATOS!$K$2:$K$20000,DATOS!$A$2:$A$20000,A574,DATOS!$G$2:$G$20000,CONFIG_METADATA!$B$4,DATOS!$I$2:$I$20000,"Orquesta/Banda/Conjunto"),"")))</f>
        <v/>
      </c>
      <c r="D574" t="str">
        <f>IF(A574="","",IF(A574="[FÓRMULA MANUAL]","",IFERROR(AVERAGEIFS(DATOS!$K$2:$K$20000,DATOS!$A$2:$A$20000,A574,DATOS!$G$2:$G$20000,CONFIG_METADATA!$B$4,DATOS!$I$2:$I$20000,"Conjunto"),"")))</f>
        <v/>
      </c>
      <c r="E574" t="str">
        <f>IF(A574="","",IF(A574="[FÓRMULA MANUAL]","",IFERROR(SUMPRODUCT((DATOS!$A$2:$A$20000=A574)*(DATOS!$G$2:$G$20000=CONFIG_METADATA!$B$4)*(COUNTIF(CONFIG_ASIGNATURAS!$B$7:$B$27,DATOS!$I$2:$I$20000)&gt;0)*(DATOS!$K$2:$K$20000))/SUMPRODUCT((DATOS!$A$2:$A$20000=A574)*(DATOS!$G$2:$G$20000=CONFIG_METADATA!$B$4)*(COUNTIF(CONFIG_ASIGNATURAS!$B$7:$B$27,DATOS!$I$2:$I$20000)&gt;0)*1),"")))</f>
        <v/>
      </c>
      <c r="H574" t="str">
        <f>IF(G574="","",IF(G574="[FÓRMULA MANUAL]","",IFERROR(AVERAGEIFS(DATOS!$K$2:$K$20000,DATOS!$A$2:$A$20000,G574,DATOS!$G$2:$G$20000,CONFIG_METADATA!$B$4,DATOS!$I$2:$I$20000,"Lenguaje Musical"),"")))</f>
        <v/>
      </c>
      <c r="I574" t="str">
        <f>IF(G574="","",IF(G574="[FÓRMULA MANUAL]","",IFERROR(AVERAGEIFS(DATOS!$K$2:$K$20000,DATOS!$A$2:$A$20000,G574,DATOS!$G$2:$G$20000,CONFIG_METADATA!$B$4,DATOS!$I$2:$I$20000,"Orquesta/Banda/Conjunto"),"")))</f>
        <v/>
      </c>
      <c r="J574" t="str">
        <f>IF(G574="","",IF(G574="[FÓRMULA MANUAL]","",IFERROR(AVERAGEIFS(DATOS!$K$2:$K$20000,DATOS!$A$2:$A$20000,G574,DATOS!$G$2:$G$20000,CONFIG_METADATA!$B$4,DATOS!$I$2:$I$20000,"Conjunto"),"")))</f>
        <v/>
      </c>
      <c r="K574" t="str">
        <f>IF(G574="","",IF(G574="[FÓRMULA MANUAL]","",IFERROR(SUMPRODUCT((DATOS!$A$2:$A$20000=G574)*(DATOS!$G$2:$G$20000=CONFIG_METADATA!$B$4)*(COUNTIF(CONFIG_ASIGNATURAS!$B$7:$B$27,DATOS!$I$2:$I$20000)&gt;0)*(DATOS!$K$2:$K$20000))/SUMPRODUCT((DATOS!$A$2:$A$20000=G574)*(DATOS!$G$2:$G$20000=CONFIG_METADATA!$B$4)*(COUNTIF(CONFIG_ASIGNATURAS!$B$7:$B$27,DATOS!$I$2:$I$20000)&gt;0)*1),"")))</f>
        <v/>
      </c>
      <c r="N574" t="str">
        <f>IF(M574="","",IF(M574="[FÓRMULA MANUAL]","",IFERROR(AVERAGEIFS(DATOS!$K$2:$K$20000,DATOS!$A$2:$A$20000,M574,DATOS!$G$2:$G$20000,CONFIG_METADATA!$B$4,DATOS!$I$2:$I$20000,"Armonía"),"")))</f>
        <v/>
      </c>
      <c r="O574" t="str">
        <f>IF(M574="","",IF(M574="[FÓRMULA MANUAL]","",IFERROR(AVERAGEIFS(DATOS!$K$2:$K$20000,DATOS!$A$2:$A$20000,M574,DATOS!$G$2:$G$20000,CONFIG_METADATA!$B$4,DATOS!$I$2:$I$20000,"Orquesta/Banda/Conjunto"),"")))</f>
        <v/>
      </c>
      <c r="P574" t="str">
        <f>IF(M574="","",IF(M574="[FÓRMULA MANUAL]","",IFERROR(AVERAGEIFS(DATOS!$K$2:$K$20000,DATOS!$A$2:$A$20000,M574,DATOS!$G$2:$G$20000,CONFIG_METADATA!$B$4,DATOS!$I$2:$I$20000,"Música de Cámara"),"")))</f>
        <v/>
      </c>
      <c r="Q574" t="str">
        <f>IF(M574="","",IF(M574="[FÓRMULA MANUAL]","",IFERROR(SUMPRODUCT((DATOS!$A$2:$A$20000=M574)*(DATOS!$G$2:$G$20000=CONFIG_METADATA!$B$4)*(COUNTIF(CONFIG_ASIGNATURAS!$B$7:$B$27,DATOS!$I$2:$I$20000)&gt;0)*(DATOS!$K$2:$K$20000))/SUMPRODUCT((DATOS!$A$2:$A$20000=M574)*(DATOS!$G$2:$G$20000=CONFIG_METADATA!$B$4)*(COUNTIF(CONFIG_ASIGNATURAS!$B$7:$B$27,DATOS!$I$2:$I$20000)&gt;0)*1),"")))</f>
        <v/>
      </c>
      <c r="T574" t="str">
        <f>IF(S574="","",IF(S574="[FÓRMULA MANUAL]","",IFERROR(AVERAGEIFS(DATOS!$K$2:$K$20000,DATOS!$A$2:$A$20000,S574,DATOS!$G$2:$G$20000,CONFIG_METADATA!$B$4,DATOS!$I$2:$I$20000,"Armonía"),"")))</f>
        <v/>
      </c>
      <c r="U574" t="str">
        <f>IF(S574="","",IF(S574="[FÓRMULA MANUAL]","",IFERROR(AVERAGEIFS(DATOS!$K$2:$K$20000,DATOS!$A$2:$A$20000,S574,DATOS!$G$2:$G$20000,CONFIG_METADATA!$B$4,DATOS!$I$2:$I$20000,"Orquesta/Banda/Conjunto"),"")))</f>
        <v/>
      </c>
      <c r="V574" t="str">
        <f>IF(S574="","",IF(S574="[FÓRMULA MANUAL]","",IFERROR(AVERAGEIFS(DATOS!$K$2:$K$20000,DATOS!$A$2:$A$20000,S574,DATOS!$G$2:$G$20000,CONFIG_METADATA!$B$4,DATOS!$I$2:$I$20000,"Música de Cámara"),"")))</f>
        <v/>
      </c>
      <c r="W574" t="str">
        <f>IF(S574="","",IF(S574="[FÓRMULA MANUAL]","",IFERROR(SUMPRODUCT((DATOS!$A$2:$A$20000=S574)*(DATOS!$G$2:$G$20000=CONFIG_METADATA!$B$4)*(COUNTIF(CONFIG_ASIGNATURAS!$B$7:$B$27,DATOS!$I$2:$I$20000)&gt;0)*(DATOS!$K$2:$K$20000))/SUMPRODUCT((DATOS!$A$2:$A$20000=S574)*(DATOS!$G$2:$G$20000=CONFIG_METADATA!$B$4)*(COUNTIF(CONFIG_ASIGNATURAS!$B$7:$B$27,DATOS!$I$2:$I$20000)&gt;0)*1),"")))</f>
        <v/>
      </c>
      <c r="Z574" t="str">
        <f>IF(Y574="","",IF(Y574="[FÓRMULA MANUAL]","",IFERROR(AVERAGEIFS(DATOS!$K$2:$K$20000,DATOS!$A$2:$A$20000,Y574,DATOS!$G$2:$G$20000,CONFIG_METADATA!$B$4,DATOS!$I$2:$I$20000,"Análisis"),"")))</f>
        <v/>
      </c>
      <c r="AA574" t="str">
        <f>IF(Y574="","",IF(Y574="[FÓRMULA MANUAL]","",IFERROR(AVERAGEIFS(DATOS!$K$2:$K$20000,DATOS!$A$2:$A$20000,Y574,DATOS!$G$2:$G$20000,CONFIG_METADATA!$B$4,DATOS!$I$2:$I$20000,"Orquesta/Banda/Conjunto"),"")))</f>
        <v/>
      </c>
      <c r="AB574" t="str">
        <f>IF(Y574="","",IF(Y574="[FÓRMULA MANUAL]","",IFERROR(AVERAGEIFS(DATOS!$K$2:$K$20000,DATOS!$A$2:$A$20000,Y574,DATOS!$G$2:$G$20000,CONFIG_METADATA!$B$4,DATOS!$I$2:$I$20000,"Música de Cámara"),"")))</f>
        <v/>
      </c>
      <c r="AC574" t="str">
        <f>IF(Y574="","",IF(Y574="[FÓRMULA MANUAL]","",IFERROR(SUMPRODUCT((DATOS!$A$2:$A$20000=Y574)*(DATOS!$G$2:$G$20000=CONFIG_METADATA!$B$4)*(COUNTIF(CONFIG_ASIGNATURAS!$B$7:$B$27,DATOS!$I$2:$I$20000)&gt;0)*(DATOS!$K$2:$K$20000))/SUMPRODUCT((DATOS!$A$2:$A$20000=Y574)*(DATOS!$G$2:$G$20000=CONFIG_METADATA!$B$4)*(COUNTIF(CONFIG_ASIGNATURAS!$B$7:$B$27,DATOS!$I$2:$I$20000)&gt;0)*1),"")))</f>
        <v/>
      </c>
      <c r="AF574" t="str">
        <f>IF(AE574="","",IF(AE574="[FÓRMULA MANUAL]","",IFERROR(AVERAGEIFS(DATOS!$K$2:$K$20000,DATOS!$A$2:$A$20000,AE574,DATOS!$G$2:$G$20000,CONFIG_METADATA!$B$4,DATOS!$I$2:$I$20000,"Análisis"),"")))</f>
        <v/>
      </c>
      <c r="AG574" t="str">
        <f>IF(AE574="","",IF(AE574="[FÓRMULA MANUAL]","",IFERROR(AVERAGEIFS(DATOS!$K$2:$K$20000,DATOS!$A$2:$A$20000,AE574,DATOS!$G$2:$G$20000,CONFIG_METADATA!$B$4,DATOS!$I$2:$I$20000,"Orquesta/Banda/Conjunto"),"")))</f>
        <v/>
      </c>
      <c r="AH574" t="str">
        <f>IF(AE574="","",IF(AE574="[FÓRMULA MANUAL]","",IFERROR(AVERAGEIFS(DATOS!$K$2:$K$20000,DATOS!$A$2:$A$20000,AE574,DATOS!$G$2:$G$20000,CONFIG_METADATA!$B$4,DATOS!$I$2:$I$20000,"Música de Cámara"),"")))</f>
        <v/>
      </c>
      <c r="AI574" t="str">
        <f>IF(AE574="","",IF(AE574="[FÓRMULA MANUAL]","",IFERROR(SUMPRODUCT((DATOS!$A$2:$A$20000=AE574)*(DATOS!$G$2:$G$20000=CONFIG_METADATA!$B$4)*(COUNTIF(CONFIG_ASIGNATURAS!$B$7:$B$27,DATOS!$I$2:$I$20000)&gt;0)*(DATOS!$K$2:$K$20000))/SUMPRODUCT((DATOS!$A$2:$A$20000=AE574)*(DATOS!$G$2:$G$20000=CONFIG_METADATA!$B$4)*(COUNTIF(CONFIG_ASIGNATURAS!$B$7:$B$27,DATOS!$I$2:$I$20000)&gt;0)*1),"")))</f>
        <v/>
      </c>
    </row>
    <row r="575" spans="2:35" x14ac:dyDescent="0.2">
      <c r="B575" t="str">
        <f>IF(A575="","",IF(A575="[FÓRMULA MANUAL]","",IFERROR(AVERAGEIFS(DATOS!$K$2:$K$20000,DATOS!$A$2:$A$20000,A575,DATOS!$G$2:$G$20000,CONFIG_METADATA!$B$4,DATOS!$I$2:$I$20000,"Lenguaje Musical"),"")))</f>
        <v/>
      </c>
      <c r="C575" t="str">
        <f>IF(A575="","",IF(A575="[FÓRMULA MANUAL]","",IFERROR(AVERAGEIFS(DATOS!$K$2:$K$20000,DATOS!$A$2:$A$20000,A575,DATOS!$G$2:$G$20000,CONFIG_METADATA!$B$4,DATOS!$I$2:$I$20000,"Orquesta/Banda/Conjunto"),"")))</f>
        <v/>
      </c>
      <c r="D575" t="str">
        <f>IF(A575="","",IF(A575="[FÓRMULA MANUAL]","",IFERROR(AVERAGEIFS(DATOS!$K$2:$K$20000,DATOS!$A$2:$A$20000,A575,DATOS!$G$2:$G$20000,CONFIG_METADATA!$B$4,DATOS!$I$2:$I$20000,"Conjunto"),"")))</f>
        <v/>
      </c>
      <c r="E575" t="str">
        <f>IF(A575="","",IF(A575="[FÓRMULA MANUAL]","",IFERROR(SUMPRODUCT((DATOS!$A$2:$A$20000=A575)*(DATOS!$G$2:$G$20000=CONFIG_METADATA!$B$4)*(COUNTIF(CONFIG_ASIGNATURAS!$B$7:$B$27,DATOS!$I$2:$I$20000)&gt;0)*(DATOS!$K$2:$K$20000))/SUMPRODUCT((DATOS!$A$2:$A$20000=A575)*(DATOS!$G$2:$G$20000=CONFIG_METADATA!$B$4)*(COUNTIF(CONFIG_ASIGNATURAS!$B$7:$B$27,DATOS!$I$2:$I$20000)&gt;0)*1),"")))</f>
        <v/>
      </c>
      <c r="H575" t="str">
        <f>IF(G575="","",IF(G575="[FÓRMULA MANUAL]","",IFERROR(AVERAGEIFS(DATOS!$K$2:$K$20000,DATOS!$A$2:$A$20000,G575,DATOS!$G$2:$G$20000,CONFIG_METADATA!$B$4,DATOS!$I$2:$I$20000,"Lenguaje Musical"),"")))</f>
        <v/>
      </c>
      <c r="I575" t="str">
        <f>IF(G575="","",IF(G575="[FÓRMULA MANUAL]","",IFERROR(AVERAGEIFS(DATOS!$K$2:$K$20000,DATOS!$A$2:$A$20000,G575,DATOS!$G$2:$G$20000,CONFIG_METADATA!$B$4,DATOS!$I$2:$I$20000,"Orquesta/Banda/Conjunto"),"")))</f>
        <v/>
      </c>
      <c r="J575" t="str">
        <f>IF(G575="","",IF(G575="[FÓRMULA MANUAL]","",IFERROR(AVERAGEIFS(DATOS!$K$2:$K$20000,DATOS!$A$2:$A$20000,G575,DATOS!$G$2:$G$20000,CONFIG_METADATA!$B$4,DATOS!$I$2:$I$20000,"Conjunto"),"")))</f>
        <v/>
      </c>
      <c r="K575" t="str">
        <f>IF(G575="","",IF(G575="[FÓRMULA MANUAL]","",IFERROR(SUMPRODUCT((DATOS!$A$2:$A$20000=G575)*(DATOS!$G$2:$G$20000=CONFIG_METADATA!$B$4)*(COUNTIF(CONFIG_ASIGNATURAS!$B$7:$B$27,DATOS!$I$2:$I$20000)&gt;0)*(DATOS!$K$2:$K$20000))/SUMPRODUCT((DATOS!$A$2:$A$20000=G575)*(DATOS!$G$2:$G$20000=CONFIG_METADATA!$B$4)*(COUNTIF(CONFIG_ASIGNATURAS!$B$7:$B$27,DATOS!$I$2:$I$20000)&gt;0)*1),"")))</f>
        <v/>
      </c>
      <c r="N575" t="str">
        <f>IF(M575="","",IF(M575="[FÓRMULA MANUAL]","",IFERROR(AVERAGEIFS(DATOS!$K$2:$K$20000,DATOS!$A$2:$A$20000,M575,DATOS!$G$2:$G$20000,CONFIG_METADATA!$B$4,DATOS!$I$2:$I$20000,"Armonía"),"")))</f>
        <v/>
      </c>
      <c r="O575" t="str">
        <f>IF(M575="","",IF(M575="[FÓRMULA MANUAL]","",IFERROR(AVERAGEIFS(DATOS!$K$2:$K$20000,DATOS!$A$2:$A$20000,M575,DATOS!$G$2:$G$20000,CONFIG_METADATA!$B$4,DATOS!$I$2:$I$20000,"Orquesta/Banda/Conjunto"),"")))</f>
        <v/>
      </c>
      <c r="P575" t="str">
        <f>IF(M575="","",IF(M575="[FÓRMULA MANUAL]","",IFERROR(AVERAGEIFS(DATOS!$K$2:$K$20000,DATOS!$A$2:$A$20000,M575,DATOS!$G$2:$G$20000,CONFIG_METADATA!$B$4,DATOS!$I$2:$I$20000,"Música de Cámara"),"")))</f>
        <v/>
      </c>
      <c r="Q575" t="str">
        <f>IF(M575="","",IF(M575="[FÓRMULA MANUAL]","",IFERROR(SUMPRODUCT((DATOS!$A$2:$A$20000=M575)*(DATOS!$G$2:$G$20000=CONFIG_METADATA!$B$4)*(COUNTIF(CONFIG_ASIGNATURAS!$B$7:$B$27,DATOS!$I$2:$I$20000)&gt;0)*(DATOS!$K$2:$K$20000))/SUMPRODUCT((DATOS!$A$2:$A$20000=M575)*(DATOS!$G$2:$G$20000=CONFIG_METADATA!$B$4)*(COUNTIF(CONFIG_ASIGNATURAS!$B$7:$B$27,DATOS!$I$2:$I$20000)&gt;0)*1),"")))</f>
        <v/>
      </c>
      <c r="T575" t="str">
        <f>IF(S575="","",IF(S575="[FÓRMULA MANUAL]","",IFERROR(AVERAGEIFS(DATOS!$K$2:$K$20000,DATOS!$A$2:$A$20000,S575,DATOS!$G$2:$G$20000,CONFIG_METADATA!$B$4,DATOS!$I$2:$I$20000,"Armonía"),"")))</f>
        <v/>
      </c>
      <c r="U575" t="str">
        <f>IF(S575="","",IF(S575="[FÓRMULA MANUAL]","",IFERROR(AVERAGEIFS(DATOS!$K$2:$K$20000,DATOS!$A$2:$A$20000,S575,DATOS!$G$2:$G$20000,CONFIG_METADATA!$B$4,DATOS!$I$2:$I$20000,"Orquesta/Banda/Conjunto"),"")))</f>
        <v/>
      </c>
      <c r="V575" t="str">
        <f>IF(S575="","",IF(S575="[FÓRMULA MANUAL]","",IFERROR(AVERAGEIFS(DATOS!$K$2:$K$20000,DATOS!$A$2:$A$20000,S575,DATOS!$G$2:$G$20000,CONFIG_METADATA!$B$4,DATOS!$I$2:$I$20000,"Música de Cámara"),"")))</f>
        <v/>
      </c>
      <c r="W575" t="str">
        <f>IF(S575="","",IF(S575="[FÓRMULA MANUAL]","",IFERROR(SUMPRODUCT((DATOS!$A$2:$A$20000=S575)*(DATOS!$G$2:$G$20000=CONFIG_METADATA!$B$4)*(COUNTIF(CONFIG_ASIGNATURAS!$B$7:$B$27,DATOS!$I$2:$I$20000)&gt;0)*(DATOS!$K$2:$K$20000))/SUMPRODUCT((DATOS!$A$2:$A$20000=S575)*(DATOS!$G$2:$G$20000=CONFIG_METADATA!$B$4)*(COUNTIF(CONFIG_ASIGNATURAS!$B$7:$B$27,DATOS!$I$2:$I$20000)&gt;0)*1),"")))</f>
        <v/>
      </c>
      <c r="Z575" t="str">
        <f>IF(Y575="","",IF(Y575="[FÓRMULA MANUAL]","",IFERROR(AVERAGEIFS(DATOS!$K$2:$K$20000,DATOS!$A$2:$A$20000,Y575,DATOS!$G$2:$G$20000,CONFIG_METADATA!$B$4,DATOS!$I$2:$I$20000,"Análisis"),"")))</f>
        <v/>
      </c>
      <c r="AA575" t="str">
        <f>IF(Y575="","",IF(Y575="[FÓRMULA MANUAL]","",IFERROR(AVERAGEIFS(DATOS!$K$2:$K$20000,DATOS!$A$2:$A$20000,Y575,DATOS!$G$2:$G$20000,CONFIG_METADATA!$B$4,DATOS!$I$2:$I$20000,"Orquesta/Banda/Conjunto"),"")))</f>
        <v/>
      </c>
      <c r="AB575" t="str">
        <f>IF(Y575="","",IF(Y575="[FÓRMULA MANUAL]","",IFERROR(AVERAGEIFS(DATOS!$K$2:$K$20000,DATOS!$A$2:$A$20000,Y575,DATOS!$G$2:$G$20000,CONFIG_METADATA!$B$4,DATOS!$I$2:$I$20000,"Música de Cámara"),"")))</f>
        <v/>
      </c>
      <c r="AC575" t="str">
        <f>IF(Y575="","",IF(Y575="[FÓRMULA MANUAL]","",IFERROR(SUMPRODUCT((DATOS!$A$2:$A$20000=Y575)*(DATOS!$G$2:$G$20000=CONFIG_METADATA!$B$4)*(COUNTIF(CONFIG_ASIGNATURAS!$B$7:$B$27,DATOS!$I$2:$I$20000)&gt;0)*(DATOS!$K$2:$K$20000))/SUMPRODUCT((DATOS!$A$2:$A$20000=Y575)*(DATOS!$G$2:$G$20000=CONFIG_METADATA!$B$4)*(COUNTIF(CONFIG_ASIGNATURAS!$B$7:$B$27,DATOS!$I$2:$I$20000)&gt;0)*1),"")))</f>
        <v/>
      </c>
      <c r="AF575" t="str">
        <f>IF(AE575="","",IF(AE575="[FÓRMULA MANUAL]","",IFERROR(AVERAGEIFS(DATOS!$K$2:$K$20000,DATOS!$A$2:$A$20000,AE575,DATOS!$G$2:$G$20000,CONFIG_METADATA!$B$4,DATOS!$I$2:$I$20000,"Análisis"),"")))</f>
        <v/>
      </c>
      <c r="AG575" t="str">
        <f>IF(AE575="","",IF(AE575="[FÓRMULA MANUAL]","",IFERROR(AVERAGEIFS(DATOS!$K$2:$K$20000,DATOS!$A$2:$A$20000,AE575,DATOS!$G$2:$G$20000,CONFIG_METADATA!$B$4,DATOS!$I$2:$I$20000,"Orquesta/Banda/Conjunto"),"")))</f>
        <v/>
      </c>
      <c r="AH575" t="str">
        <f>IF(AE575="","",IF(AE575="[FÓRMULA MANUAL]","",IFERROR(AVERAGEIFS(DATOS!$K$2:$K$20000,DATOS!$A$2:$A$20000,AE575,DATOS!$G$2:$G$20000,CONFIG_METADATA!$B$4,DATOS!$I$2:$I$20000,"Música de Cámara"),"")))</f>
        <v/>
      </c>
      <c r="AI575" t="str">
        <f>IF(AE575="","",IF(AE575="[FÓRMULA MANUAL]","",IFERROR(SUMPRODUCT((DATOS!$A$2:$A$20000=AE575)*(DATOS!$G$2:$G$20000=CONFIG_METADATA!$B$4)*(COUNTIF(CONFIG_ASIGNATURAS!$B$7:$B$27,DATOS!$I$2:$I$20000)&gt;0)*(DATOS!$K$2:$K$20000))/SUMPRODUCT((DATOS!$A$2:$A$20000=AE575)*(DATOS!$G$2:$G$20000=CONFIG_METADATA!$B$4)*(COUNTIF(CONFIG_ASIGNATURAS!$B$7:$B$27,DATOS!$I$2:$I$20000)&gt;0)*1),"")))</f>
        <v/>
      </c>
    </row>
    <row r="576" spans="2:35" x14ac:dyDescent="0.2">
      <c r="B576" t="str">
        <f>IF(A576="","",IF(A576="[FÓRMULA MANUAL]","",IFERROR(AVERAGEIFS(DATOS!$K$2:$K$20000,DATOS!$A$2:$A$20000,A576,DATOS!$G$2:$G$20000,CONFIG_METADATA!$B$4,DATOS!$I$2:$I$20000,"Lenguaje Musical"),"")))</f>
        <v/>
      </c>
      <c r="C576" t="str">
        <f>IF(A576="","",IF(A576="[FÓRMULA MANUAL]","",IFERROR(AVERAGEIFS(DATOS!$K$2:$K$20000,DATOS!$A$2:$A$20000,A576,DATOS!$G$2:$G$20000,CONFIG_METADATA!$B$4,DATOS!$I$2:$I$20000,"Orquesta/Banda/Conjunto"),"")))</f>
        <v/>
      </c>
      <c r="D576" t="str">
        <f>IF(A576="","",IF(A576="[FÓRMULA MANUAL]","",IFERROR(AVERAGEIFS(DATOS!$K$2:$K$20000,DATOS!$A$2:$A$20000,A576,DATOS!$G$2:$G$20000,CONFIG_METADATA!$B$4,DATOS!$I$2:$I$20000,"Conjunto"),"")))</f>
        <v/>
      </c>
      <c r="E576" t="str">
        <f>IF(A576="","",IF(A576="[FÓRMULA MANUAL]","",IFERROR(SUMPRODUCT((DATOS!$A$2:$A$20000=A576)*(DATOS!$G$2:$G$20000=CONFIG_METADATA!$B$4)*(COUNTIF(CONFIG_ASIGNATURAS!$B$7:$B$27,DATOS!$I$2:$I$20000)&gt;0)*(DATOS!$K$2:$K$20000))/SUMPRODUCT((DATOS!$A$2:$A$20000=A576)*(DATOS!$G$2:$G$20000=CONFIG_METADATA!$B$4)*(COUNTIF(CONFIG_ASIGNATURAS!$B$7:$B$27,DATOS!$I$2:$I$20000)&gt;0)*1),"")))</f>
        <v/>
      </c>
      <c r="H576" t="str">
        <f>IF(G576="","",IF(G576="[FÓRMULA MANUAL]","",IFERROR(AVERAGEIFS(DATOS!$K$2:$K$20000,DATOS!$A$2:$A$20000,G576,DATOS!$G$2:$G$20000,CONFIG_METADATA!$B$4,DATOS!$I$2:$I$20000,"Lenguaje Musical"),"")))</f>
        <v/>
      </c>
      <c r="I576" t="str">
        <f>IF(G576="","",IF(G576="[FÓRMULA MANUAL]","",IFERROR(AVERAGEIFS(DATOS!$K$2:$K$20000,DATOS!$A$2:$A$20000,G576,DATOS!$G$2:$G$20000,CONFIG_METADATA!$B$4,DATOS!$I$2:$I$20000,"Orquesta/Banda/Conjunto"),"")))</f>
        <v/>
      </c>
      <c r="J576" t="str">
        <f>IF(G576="","",IF(G576="[FÓRMULA MANUAL]","",IFERROR(AVERAGEIFS(DATOS!$K$2:$K$20000,DATOS!$A$2:$A$20000,G576,DATOS!$G$2:$G$20000,CONFIG_METADATA!$B$4,DATOS!$I$2:$I$20000,"Conjunto"),"")))</f>
        <v/>
      </c>
      <c r="K576" t="str">
        <f>IF(G576="","",IF(G576="[FÓRMULA MANUAL]","",IFERROR(SUMPRODUCT((DATOS!$A$2:$A$20000=G576)*(DATOS!$G$2:$G$20000=CONFIG_METADATA!$B$4)*(COUNTIF(CONFIG_ASIGNATURAS!$B$7:$B$27,DATOS!$I$2:$I$20000)&gt;0)*(DATOS!$K$2:$K$20000))/SUMPRODUCT((DATOS!$A$2:$A$20000=G576)*(DATOS!$G$2:$G$20000=CONFIG_METADATA!$B$4)*(COUNTIF(CONFIG_ASIGNATURAS!$B$7:$B$27,DATOS!$I$2:$I$20000)&gt;0)*1),"")))</f>
        <v/>
      </c>
      <c r="N576" t="str">
        <f>IF(M576="","",IF(M576="[FÓRMULA MANUAL]","",IFERROR(AVERAGEIFS(DATOS!$K$2:$K$20000,DATOS!$A$2:$A$20000,M576,DATOS!$G$2:$G$20000,CONFIG_METADATA!$B$4,DATOS!$I$2:$I$20000,"Armonía"),"")))</f>
        <v/>
      </c>
      <c r="O576" t="str">
        <f>IF(M576="","",IF(M576="[FÓRMULA MANUAL]","",IFERROR(AVERAGEIFS(DATOS!$K$2:$K$20000,DATOS!$A$2:$A$20000,M576,DATOS!$G$2:$G$20000,CONFIG_METADATA!$B$4,DATOS!$I$2:$I$20000,"Orquesta/Banda/Conjunto"),"")))</f>
        <v/>
      </c>
      <c r="P576" t="str">
        <f>IF(M576="","",IF(M576="[FÓRMULA MANUAL]","",IFERROR(AVERAGEIFS(DATOS!$K$2:$K$20000,DATOS!$A$2:$A$20000,M576,DATOS!$G$2:$G$20000,CONFIG_METADATA!$B$4,DATOS!$I$2:$I$20000,"Música de Cámara"),"")))</f>
        <v/>
      </c>
      <c r="Q576" t="str">
        <f>IF(M576="","",IF(M576="[FÓRMULA MANUAL]","",IFERROR(SUMPRODUCT((DATOS!$A$2:$A$20000=M576)*(DATOS!$G$2:$G$20000=CONFIG_METADATA!$B$4)*(COUNTIF(CONFIG_ASIGNATURAS!$B$7:$B$27,DATOS!$I$2:$I$20000)&gt;0)*(DATOS!$K$2:$K$20000))/SUMPRODUCT((DATOS!$A$2:$A$20000=M576)*(DATOS!$G$2:$G$20000=CONFIG_METADATA!$B$4)*(COUNTIF(CONFIG_ASIGNATURAS!$B$7:$B$27,DATOS!$I$2:$I$20000)&gt;0)*1),"")))</f>
        <v/>
      </c>
      <c r="T576" t="str">
        <f>IF(S576="","",IF(S576="[FÓRMULA MANUAL]","",IFERROR(AVERAGEIFS(DATOS!$K$2:$K$20000,DATOS!$A$2:$A$20000,S576,DATOS!$G$2:$G$20000,CONFIG_METADATA!$B$4,DATOS!$I$2:$I$20000,"Armonía"),"")))</f>
        <v/>
      </c>
      <c r="U576" t="str">
        <f>IF(S576="","",IF(S576="[FÓRMULA MANUAL]","",IFERROR(AVERAGEIFS(DATOS!$K$2:$K$20000,DATOS!$A$2:$A$20000,S576,DATOS!$G$2:$G$20000,CONFIG_METADATA!$B$4,DATOS!$I$2:$I$20000,"Orquesta/Banda/Conjunto"),"")))</f>
        <v/>
      </c>
      <c r="V576" t="str">
        <f>IF(S576="","",IF(S576="[FÓRMULA MANUAL]","",IFERROR(AVERAGEIFS(DATOS!$K$2:$K$20000,DATOS!$A$2:$A$20000,S576,DATOS!$G$2:$G$20000,CONFIG_METADATA!$B$4,DATOS!$I$2:$I$20000,"Música de Cámara"),"")))</f>
        <v/>
      </c>
      <c r="W576" t="str">
        <f>IF(S576="","",IF(S576="[FÓRMULA MANUAL]","",IFERROR(SUMPRODUCT((DATOS!$A$2:$A$20000=S576)*(DATOS!$G$2:$G$20000=CONFIG_METADATA!$B$4)*(COUNTIF(CONFIG_ASIGNATURAS!$B$7:$B$27,DATOS!$I$2:$I$20000)&gt;0)*(DATOS!$K$2:$K$20000))/SUMPRODUCT((DATOS!$A$2:$A$20000=S576)*(DATOS!$G$2:$G$20000=CONFIG_METADATA!$B$4)*(COUNTIF(CONFIG_ASIGNATURAS!$B$7:$B$27,DATOS!$I$2:$I$20000)&gt;0)*1),"")))</f>
        <v/>
      </c>
      <c r="Z576" t="str">
        <f>IF(Y576="","",IF(Y576="[FÓRMULA MANUAL]","",IFERROR(AVERAGEIFS(DATOS!$K$2:$K$20000,DATOS!$A$2:$A$20000,Y576,DATOS!$G$2:$G$20000,CONFIG_METADATA!$B$4,DATOS!$I$2:$I$20000,"Análisis"),"")))</f>
        <v/>
      </c>
      <c r="AA576" t="str">
        <f>IF(Y576="","",IF(Y576="[FÓRMULA MANUAL]","",IFERROR(AVERAGEIFS(DATOS!$K$2:$K$20000,DATOS!$A$2:$A$20000,Y576,DATOS!$G$2:$G$20000,CONFIG_METADATA!$B$4,DATOS!$I$2:$I$20000,"Orquesta/Banda/Conjunto"),"")))</f>
        <v/>
      </c>
      <c r="AB576" t="str">
        <f>IF(Y576="","",IF(Y576="[FÓRMULA MANUAL]","",IFERROR(AVERAGEIFS(DATOS!$K$2:$K$20000,DATOS!$A$2:$A$20000,Y576,DATOS!$G$2:$G$20000,CONFIG_METADATA!$B$4,DATOS!$I$2:$I$20000,"Música de Cámara"),"")))</f>
        <v/>
      </c>
      <c r="AC576" t="str">
        <f>IF(Y576="","",IF(Y576="[FÓRMULA MANUAL]","",IFERROR(SUMPRODUCT((DATOS!$A$2:$A$20000=Y576)*(DATOS!$G$2:$G$20000=CONFIG_METADATA!$B$4)*(COUNTIF(CONFIG_ASIGNATURAS!$B$7:$B$27,DATOS!$I$2:$I$20000)&gt;0)*(DATOS!$K$2:$K$20000))/SUMPRODUCT((DATOS!$A$2:$A$20000=Y576)*(DATOS!$G$2:$G$20000=CONFIG_METADATA!$B$4)*(COUNTIF(CONFIG_ASIGNATURAS!$B$7:$B$27,DATOS!$I$2:$I$20000)&gt;0)*1),"")))</f>
        <v/>
      </c>
      <c r="AF576" t="str">
        <f>IF(AE576="","",IF(AE576="[FÓRMULA MANUAL]","",IFERROR(AVERAGEIFS(DATOS!$K$2:$K$20000,DATOS!$A$2:$A$20000,AE576,DATOS!$G$2:$G$20000,CONFIG_METADATA!$B$4,DATOS!$I$2:$I$20000,"Análisis"),"")))</f>
        <v/>
      </c>
      <c r="AG576" t="str">
        <f>IF(AE576="","",IF(AE576="[FÓRMULA MANUAL]","",IFERROR(AVERAGEIFS(DATOS!$K$2:$K$20000,DATOS!$A$2:$A$20000,AE576,DATOS!$G$2:$G$20000,CONFIG_METADATA!$B$4,DATOS!$I$2:$I$20000,"Orquesta/Banda/Conjunto"),"")))</f>
        <v/>
      </c>
      <c r="AH576" t="str">
        <f>IF(AE576="","",IF(AE576="[FÓRMULA MANUAL]","",IFERROR(AVERAGEIFS(DATOS!$K$2:$K$20000,DATOS!$A$2:$A$20000,AE576,DATOS!$G$2:$G$20000,CONFIG_METADATA!$B$4,DATOS!$I$2:$I$20000,"Música de Cámara"),"")))</f>
        <v/>
      </c>
      <c r="AI576" t="str">
        <f>IF(AE576="","",IF(AE576="[FÓRMULA MANUAL]","",IFERROR(SUMPRODUCT((DATOS!$A$2:$A$20000=AE576)*(DATOS!$G$2:$G$20000=CONFIG_METADATA!$B$4)*(COUNTIF(CONFIG_ASIGNATURAS!$B$7:$B$27,DATOS!$I$2:$I$20000)&gt;0)*(DATOS!$K$2:$K$20000))/SUMPRODUCT((DATOS!$A$2:$A$20000=AE576)*(DATOS!$G$2:$G$20000=CONFIG_METADATA!$B$4)*(COUNTIF(CONFIG_ASIGNATURAS!$B$7:$B$27,DATOS!$I$2:$I$20000)&gt;0)*1),"")))</f>
        <v/>
      </c>
    </row>
    <row r="577" spans="2:35" x14ac:dyDescent="0.2">
      <c r="B577" t="str">
        <f>IF(A577="","",IF(A577="[FÓRMULA MANUAL]","",IFERROR(AVERAGEIFS(DATOS!$K$2:$K$20000,DATOS!$A$2:$A$20000,A577,DATOS!$G$2:$G$20000,CONFIG_METADATA!$B$4,DATOS!$I$2:$I$20000,"Lenguaje Musical"),"")))</f>
        <v/>
      </c>
      <c r="C577" t="str">
        <f>IF(A577="","",IF(A577="[FÓRMULA MANUAL]","",IFERROR(AVERAGEIFS(DATOS!$K$2:$K$20000,DATOS!$A$2:$A$20000,A577,DATOS!$G$2:$G$20000,CONFIG_METADATA!$B$4,DATOS!$I$2:$I$20000,"Orquesta/Banda/Conjunto"),"")))</f>
        <v/>
      </c>
      <c r="D577" t="str">
        <f>IF(A577="","",IF(A577="[FÓRMULA MANUAL]","",IFERROR(AVERAGEIFS(DATOS!$K$2:$K$20000,DATOS!$A$2:$A$20000,A577,DATOS!$G$2:$G$20000,CONFIG_METADATA!$B$4,DATOS!$I$2:$I$20000,"Conjunto"),"")))</f>
        <v/>
      </c>
      <c r="E577" t="str">
        <f>IF(A577="","",IF(A577="[FÓRMULA MANUAL]","",IFERROR(SUMPRODUCT((DATOS!$A$2:$A$20000=A577)*(DATOS!$G$2:$G$20000=CONFIG_METADATA!$B$4)*(COUNTIF(CONFIG_ASIGNATURAS!$B$7:$B$27,DATOS!$I$2:$I$20000)&gt;0)*(DATOS!$K$2:$K$20000))/SUMPRODUCT((DATOS!$A$2:$A$20000=A577)*(DATOS!$G$2:$G$20000=CONFIG_METADATA!$B$4)*(COUNTIF(CONFIG_ASIGNATURAS!$B$7:$B$27,DATOS!$I$2:$I$20000)&gt;0)*1),"")))</f>
        <v/>
      </c>
      <c r="H577" t="str">
        <f>IF(G577="","",IF(G577="[FÓRMULA MANUAL]","",IFERROR(AVERAGEIFS(DATOS!$K$2:$K$20000,DATOS!$A$2:$A$20000,G577,DATOS!$G$2:$G$20000,CONFIG_METADATA!$B$4,DATOS!$I$2:$I$20000,"Lenguaje Musical"),"")))</f>
        <v/>
      </c>
      <c r="I577" t="str">
        <f>IF(G577="","",IF(G577="[FÓRMULA MANUAL]","",IFERROR(AVERAGEIFS(DATOS!$K$2:$K$20000,DATOS!$A$2:$A$20000,G577,DATOS!$G$2:$G$20000,CONFIG_METADATA!$B$4,DATOS!$I$2:$I$20000,"Orquesta/Banda/Conjunto"),"")))</f>
        <v/>
      </c>
      <c r="J577" t="str">
        <f>IF(G577="","",IF(G577="[FÓRMULA MANUAL]","",IFERROR(AVERAGEIFS(DATOS!$K$2:$K$20000,DATOS!$A$2:$A$20000,G577,DATOS!$G$2:$G$20000,CONFIG_METADATA!$B$4,DATOS!$I$2:$I$20000,"Conjunto"),"")))</f>
        <v/>
      </c>
      <c r="K577" t="str">
        <f>IF(G577="","",IF(G577="[FÓRMULA MANUAL]","",IFERROR(SUMPRODUCT((DATOS!$A$2:$A$20000=G577)*(DATOS!$G$2:$G$20000=CONFIG_METADATA!$B$4)*(COUNTIF(CONFIG_ASIGNATURAS!$B$7:$B$27,DATOS!$I$2:$I$20000)&gt;0)*(DATOS!$K$2:$K$20000))/SUMPRODUCT((DATOS!$A$2:$A$20000=G577)*(DATOS!$G$2:$G$20000=CONFIG_METADATA!$B$4)*(COUNTIF(CONFIG_ASIGNATURAS!$B$7:$B$27,DATOS!$I$2:$I$20000)&gt;0)*1),"")))</f>
        <v/>
      </c>
      <c r="N577" t="str">
        <f>IF(M577="","",IF(M577="[FÓRMULA MANUAL]","",IFERROR(AVERAGEIFS(DATOS!$K$2:$K$20000,DATOS!$A$2:$A$20000,M577,DATOS!$G$2:$G$20000,CONFIG_METADATA!$B$4,DATOS!$I$2:$I$20000,"Armonía"),"")))</f>
        <v/>
      </c>
      <c r="O577" t="str">
        <f>IF(M577="","",IF(M577="[FÓRMULA MANUAL]","",IFERROR(AVERAGEIFS(DATOS!$K$2:$K$20000,DATOS!$A$2:$A$20000,M577,DATOS!$G$2:$G$20000,CONFIG_METADATA!$B$4,DATOS!$I$2:$I$20000,"Orquesta/Banda/Conjunto"),"")))</f>
        <v/>
      </c>
      <c r="P577" t="str">
        <f>IF(M577="","",IF(M577="[FÓRMULA MANUAL]","",IFERROR(AVERAGEIFS(DATOS!$K$2:$K$20000,DATOS!$A$2:$A$20000,M577,DATOS!$G$2:$G$20000,CONFIG_METADATA!$B$4,DATOS!$I$2:$I$20000,"Música de Cámara"),"")))</f>
        <v/>
      </c>
      <c r="Q577" t="str">
        <f>IF(M577="","",IF(M577="[FÓRMULA MANUAL]","",IFERROR(SUMPRODUCT((DATOS!$A$2:$A$20000=M577)*(DATOS!$G$2:$G$20000=CONFIG_METADATA!$B$4)*(COUNTIF(CONFIG_ASIGNATURAS!$B$7:$B$27,DATOS!$I$2:$I$20000)&gt;0)*(DATOS!$K$2:$K$20000))/SUMPRODUCT((DATOS!$A$2:$A$20000=M577)*(DATOS!$G$2:$G$20000=CONFIG_METADATA!$B$4)*(COUNTIF(CONFIG_ASIGNATURAS!$B$7:$B$27,DATOS!$I$2:$I$20000)&gt;0)*1),"")))</f>
        <v/>
      </c>
      <c r="T577" t="str">
        <f>IF(S577="","",IF(S577="[FÓRMULA MANUAL]","",IFERROR(AVERAGEIFS(DATOS!$K$2:$K$20000,DATOS!$A$2:$A$20000,S577,DATOS!$G$2:$G$20000,CONFIG_METADATA!$B$4,DATOS!$I$2:$I$20000,"Armonía"),"")))</f>
        <v/>
      </c>
      <c r="U577" t="str">
        <f>IF(S577="","",IF(S577="[FÓRMULA MANUAL]","",IFERROR(AVERAGEIFS(DATOS!$K$2:$K$20000,DATOS!$A$2:$A$20000,S577,DATOS!$G$2:$G$20000,CONFIG_METADATA!$B$4,DATOS!$I$2:$I$20000,"Orquesta/Banda/Conjunto"),"")))</f>
        <v/>
      </c>
      <c r="V577" t="str">
        <f>IF(S577="","",IF(S577="[FÓRMULA MANUAL]","",IFERROR(AVERAGEIFS(DATOS!$K$2:$K$20000,DATOS!$A$2:$A$20000,S577,DATOS!$G$2:$G$20000,CONFIG_METADATA!$B$4,DATOS!$I$2:$I$20000,"Música de Cámara"),"")))</f>
        <v/>
      </c>
      <c r="W577" t="str">
        <f>IF(S577="","",IF(S577="[FÓRMULA MANUAL]","",IFERROR(SUMPRODUCT((DATOS!$A$2:$A$20000=S577)*(DATOS!$G$2:$G$20000=CONFIG_METADATA!$B$4)*(COUNTIF(CONFIG_ASIGNATURAS!$B$7:$B$27,DATOS!$I$2:$I$20000)&gt;0)*(DATOS!$K$2:$K$20000))/SUMPRODUCT((DATOS!$A$2:$A$20000=S577)*(DATOS!$G$2:$G$20000=CONFIG_METADATA!$B$4)*(COUNTIF(CONFIG_ASIGNATURAS!$B$7:$B$27,DATOS!$I$2:$I$20000)&gt;0)*1),"")))</f>
        <v/>
      </c>
      <c r="Z577" t="str">
        <f>IF(Y577="","",IF(Y577="[FÓRMULA MANUAL]","",IFERROR(AVERAGEIFS(DATOS!$K$2:$K$20000,DATOS!$A$2:$A$20000,Y577,DATOS!$G$2:$G$20000,CONFIG_METADATA!$B$4,DATOS!$I$2:$I$20000,"Análisis"),"")))</f>
        <v/>
      </c>
      <c r="AA577" t="str">
        <f>IF(Y577="","",IF(Y577="[FÓRMULA MANUAL]","",IFERROR(AVERAGEIFS(DATOS!$K$2:$K$20000,DATOS!$A$2:$A$20000,Y577,DATOS!$G$2:$G$20000,CONFIG_METADATA!$B$4,DATOS!$I$2:$I$20000,"Orquesta/Banda/Conjunto"),"")))</f>
        <v/>
      </c>
      <c r="AB577" t="str">
        <f>IF(Y577="","",IF(Y577="[FÓRMULA MANUAL]","",IFERROR(AVERAGEIFS(DATOS!$K$2:$K$20000,DATOS!$A$2:$A$20000,Y577,DATOS!$G$2:$G$20000,CONFIG_METADATA!$B$4,DATOS!$I$2:$I$20000,"Música de Cámara"),"")))</f>
        <v/>
      </c>
      <c r="AC577" t="str">
        <f>IF(Y577="","",IF(Y577="[FÓRMULA MANUAL]","",IFERROR(SUMPRODUCT((DATOS!$A$2:$A$20000=Y577)*(DATOS!$G$2:$G$20000=CONFIG_METADATA!$B$4)*(COUNTIF(CONFIG_ASIGNATURAS!$B$7:$B$27,DATOS!$I$2:$I$20000)&gt;0)*(DATOS!$K$2:$K$20000))/SUMPRODUCT((DATOS!$A$2:$A$20000=Y577)*(DATOS!$G$2:$G$20000=CONFIG_METADATA!$B$4)*(COUNTIF(CONFIG_ASIGNATURAS!$B$7:$B$27,DATOS!$I$2:$I$20000)&gt;0)*1),"")))</f>
        <v/>
      </c>
      <c r="AF577" t="str">
        <f>IF(AE577="","",IF(AE577="[FÓRMULA MANUAL]","",IFERROR(AVERAGEIFS(DATOS!$K$2:$K$20000,DATOS!$A$2:$A$20000,AE577,DATOS!$G$2:$G$20000,CONFIG_METADATA!$B$4,DATOS!$I$2:$I$20000,"Análisis"),"")))</f>
        <v/>
      </c>
      <c r="AG577" t="str">
        <f>IF(AE577="","",IF(AE577="[FÓRMULA MANUAL]","",IFERROR(AVERAGEIFS(DATOS!$K$2:$K$20000,DATOS!$A$2:$A$20000,AE577,DATOS!$G$2:$G$20000,CONFIG_METADATA!$B$4,DATOS!$I$2:$I$20000,"Orquesta/Banda/Conjunto"),"")))</f>
        <v/>
      </c>
      <c r="AH577" t="str">
        <f>IF(AE577="","",IF(AE577="[FÓRMULA MANUAL]","",IFERROR(AVERAGEIFS(DATOS!$K$2:$K$20000,DATOS!$A$2:$A$20000,AE577,DATOS!$G$2:$G$20000,CONFIG_METADATA!$B$4,DATOS!$I$2:$I$20000,"Música de Cámara"),"")))</f>
        <v/>
      </c>
      <c r="AI577" t="str">
        <f>IF(AE577="","",IF(AE577="[FÓRMULA MANUAL]","",IFERROR(SUMPRODUCT((DATOS!$A$2:$A$20000=AE577)*(DATOS!$G$2:$G$20000=CONFIG_METADATA!$B$4)*(COUNTIF(CONFIG_ASIGNATURAS!$B$7:$B$27,DATOS!$I$2:$I$20000)&gt;0)*(DATOS!$K$2:$K$20000))/SUMPRODUCT((DATOS!$A$2:$A$20000=AE577)*(DATOS!$G$2:$G$20000=CONFIG_METADATA!$B$4)*(COUNTIF(CONFIG_ASIGNATURAS!$B$7:$B$27,DATOS!$I$2:$I$20000)&gt;0)*1),"")))</f>
        <v/>
      </c>
    </row>
    <row r="578" spans="2:35" x14ac:dyDescent="0.2">
      <c r="B578" t="str">
        <f>IF(A578="","",IF(A578="[FÓRMULA MANUAL]","",IFERROR(AVERAGEIFS(DATOS!$K$2:$K$20000,DATOS!$A$2:$A$20000,A578,DATOS!$G$2:$G$20000,CONFIG_METADATA!$B$4,DATOS!$I$2:$I$20000,"Lenguaje Musical"),"")))</f>
        <v/>
      </c>
      <c r="C578" t="str">
        <f>IF(A578="","",IF(A578="[FÓRMULA MANUAL]","",IFERROR(AVERAGEIFS(DATOS!$K$2:$K$20000,DATOS!$A$2:$A$20000,A578,DATOS!$G$2:$G$20000,CONFIG_METADATA!$B$4,DATOS!$I$2:$I$20000,"Orquesta/Banda/Conjunto"),"")))</f>
        <v/>
      </c>
      <c r="D578" t="str">
        <f>IF(A578="","",IF(A578="[FÓRMULA MANUAL]","",IFERROR(AVERAGEIFS(DATOS!$K$2:$K$20000,DATOS!$A$2:$A$20000,A578,DATOS!$G$2:$G$20000,CONFIG_METADATA!$B$4,DATOS!$I$2:$I$20000,"Conjunto"),"")))</f>
        <v/>
      </c>
      <c r="E578" t="str">
        <f>IF(A578="","",IF(A578="[FÓRMULA MANUAL]","",IFERROR(SUMPRODUCT((DATOS!$A$2:$A$20000=A578)*(DATOS!$G$2:$G$20000=CONFIG_METADATA!$B$4)*(COUNTIF(CONFIG_ASIGNATURAS!$B$7:$B$27,DATOS!$I$2:$I$20000)&gt;0)*(DATOS!$K$2:$K$20000))/SUMPRODUCT((DATOS!$A$2:$A$20000=A578)*(DATOS!$G$2:$G$20000=CONFIG_METADATA!$B$4)*(COUNTIF(CONFIG_ASIGNATURAS!$B$7:$B$27,DATOS!$I$2:$I$20000)&gt;0)*1),"")))</f>
        <v/>
      </c>
      <c r="H578" t="str">
        <f>IF(G578="","",IF(G578="[FÓRMULA MANUAL]","",IFERROR(AVERAGEIFS(DATOS!$K$2:$K$20000,DATOS!$A$2:$A$20000,G578,DATOS!$G$2:$G$20000,CONFIG_METADATA!$B$4,DATOS!$I$2:$I$20000,"Lenguaje Musical"),"")))</f>
        <v/>
      </c>
      <c r="I578" t="str">
        <f>IF(G578="","",IF(G578="[FÓRMULA MANUAL]","",IFERROR(AVERAGEIFS(DATOS!$K$2:$K$20000,DATOS!$A$2:$A$20000,G578,DATOS!$G$2:$G$20000,CONFIG_METADATA!$B$4,DATOS!$I$2:$I$20000,"Orquesta/Banda/Conjunto"),"")))</f>
        <v/>
      </c>
      <c r="J578" t="str">
        <f>IF(G578="","",IF(G578="[FÓRMULA MANUAL]","",IFERROR(AVERAGEIFS(DATOS!$K$2:$K$20000,DATOS!$A$2:$A$20000,G578,DATOS!$G$2:$G$20000,CONFIG_METADATA!$B$4,DATOS!$I$2:$I$20000,"Conjunto"),"")))</f>
        <v/>
      </c>
      <c r="K578" t="str">
        <f>IF(G578="","",IF(G578="[FÓRMULA MANUAL]","",IFERROR(SUMPRODUCT((DATOS!$A$2:$A$20000=G578)*(DATOS!$G$2:$G$20000=CONFIG_METADATA!$B$4)*(COUNTIF(CONFIG_ASIGNATURAS!$B$7:$B$27,DATOS!$I$2:$I$20000)&gt;0)*(DATOS!$K$2:$K$20000))/SUMPRODUCT((DATOS!$A$2:$A$20000=G578)*(DATOS!$G$2:$G$20000=CONFIG_METADATA!$B$4)*(COUNTIF(CONFIG_ASIGNATURAS!$B$7:$B$27,DATOS!$I$2:$I$20000)&gt;0)*1),"")))</f>
        <v/>
      </c>
      <c r="N578" t="str">
        <f>IF(M578="","",IF(M578="[FÓRMULA MANUAL]","",IFERROR(AVERAGEIFS(DATOS!$K$2:$K$20000,DATOS!$A$2:$A$20000,M578,DATOS!$G$2:$G$20000,CONFIG_METADATA!$B$4,DATOS!$I$2:$I$20000,"Armonía"),"")))</f>
        <v/>
      </c>
      <c r="O578" t="str">
        <f>IF(M578="","",IF(M578="[FÓRMULA MANUAL]","",IFERROR(AVERAGEIFS(DATOS!$K$2:$K$20000,DATOS!$A$2:$A$20000,M578,DATOS!$G$2:$G$20000,CONFIG_METADATA!$B$4,DATOS!$I$2:$I$20000,"Orquesta/Banda/Conjunto"),"")))</f>
        <v/>
      </c>
      <c r="P578" t="str">
        <f>IF(M578="","",IF(M578="[FÓRMULA MANUAL]","",IFERROR(AVERAGEIFS(DATOS!$K$2:$K$20000,DATOS!$A$2:$A$20000,M578,DATOS!$G$2:$G$20000,CONFIG_METADATA!$B$4,DATOS!$I$2:$I$20000,"Música de Cámara"),"")))</f>
        <v/>
      </c>
      <c r="Q578" t="str">
        <f>IF(M578="","",IF(M578="[FÓRMULA MANUAL]","",IFERROR(SUMPRODUCT((DATOS!$A$2:$A$20000=M578)*(DATOS!$G$2:$G$20000=CONFIG_METADATA!$B$4)*(COUNTIF(CONFIG_ASIGNATURAS!$B$7:$B$27,DATOS!$I$2:$I$20000)&gt;0)*(DATOS!$K$2:$K$20000))/SUMPRODUCT((DATOS!$A$2:$A$20000=M578)*(DATOS!$G$2:$G$20000=CONFIG_METADATA!$B$4)*(COUNTIF(CONFIG_ASIGNATURAS!$B$7:$B$27,DATOS!$I$2:$I$20000)&gt;0)*1),"")))</f>
        <v/>
      </c>
      <c r="T578" t="str">
        <f>IF(S578="","",IF(S578="[FÓRMULA MANUAL]","",IFERROR(AVERAGEIFS(DATOS!$K$2:$K$20000,DATOS!$A$2:$A$20000,S578,DATOS!$G$2:$G$20000,CONFIG_METADATA!$B$4,DATOS!$I$2:$I$20000,"Armonía"),"")))</f>
        <v/>
      </c>
      <c r="U578" t="str">
        <f>IF(S578="","",IF(S578="[FÓRMULA MANUAL]","",IFERROR(AVERAGEIFS(DATOS!$K$2:$K$20000,DATOS!$A$2:$A$20000,S578,DATOS!$G$2:$G$20000,CONFIG_METADATA!$B$4,DATOS!$I$2:$I$20000,"Orquesta/Banda/Conjunto"),"")))</f>
        <v/>
      </c>
      <c r="V578" t="str">
        <f>IF(S578="","",IF(S578="[FÓRMULA MANUAL]","",IFERROR(AVERAGEIFS(DATOS!$K$2:$K$20000,DATOS!$A$2:$A$20000,S578,DATOS!$G$2:$G$20000,CONFIG_METADATA!$B$4,DATOS!$I$2:$I$20000,"Música de Cámara"),"")))</f>
        <v/>
      </c>
      <c r="W578" t="str">
        <f>IF(S578="","",IF(S578="[FÓRMULA MANUAL]","",IFERROR(SUMPRODUCT((DATOS!$A$2:$A$20000=S578)*(DATOS!$G$2:$G$20000=CONFIG_METADATA!$B$4)*(COUNTIF(CONFIG_ASIGNATURAS!$B$7:$B$27,DATOS!$I$2:$I$20000)&gt;0)*(DATOS!$K$2:$K$20000))/SUMPRODUCT((DATOS!$A$2:$A$20000=S578)*(DATOS!$G$2:$G$20000=CONFIG_METADATA!$B$4)*(COUNTIF(CONFIG_ASIGNATURAS!$B$7:$B$27,DATOS!$I$2:$I$20000)&gt;0)*1),"")))</f>
        <v/>
      </c>
      <c r="Z578" t="str">
        <f>IF(Y578="","",IF(Y578="[FÓRMULA MANUAL]","",IFERROR(AVERAGEIFS(DATOS!$K$2:$K$20000,DATOS!$A$2:$A$20000,Y578,DATOS!$G$2:$G$20000,CONFIG_METADATA!$B$4,DATOS!$I$2:$I$20000,"Análisis"),"")))</f>
        <v/>
      </c>
      <c r="AA578" t="str">
        <f>IF(Y578="","",IF(Y578="[FÓRMULA MANUAL]","",IFERROR(AVERAGEIFS(DATOS!$K$2:$K$20000,DATOS!$A$2:$A$20000,Y578,DATOS!$G$2:$G$20000,CONFIG_METADATA!$B$4,DATOS!$I$2:$I$20000,"Orquesta/Banda/Conjunto"),"")))</f>
        <v/>
      </c>
      <c r="AB578" t="str">
        <f>IF(Y578="","",IF(Y578="[FÓRMULA MANUAL]","",IFERROR(AVERAGEIFS(DATOS!$K$2:$K$20000,DATOS!$A$2:$A$20000,Y578,DATOS!$G$2:$G$20000,CONFIG_METADATA!$B$4,DATOS!$I$2:$I$20000,"Música de Cámara"),"")))</f>
        <v/>
      </c>
      <c r="AC578" t="str">
        <f>IF(Y578="","",IF(Y578="[FÓRMULA MANUAL]","",IFERROR(SUMPRODUCT((DATOS!$A$2:$A$20000=Y578)*(DATOS!$G$2:$G$20000=CONFIG_METADATA!$B$4)*(COUNTIF(CONFIG_ASIGNATURAS!$B$7:$B$27,DATOS!$I$2:$I$20000)&gt;0)*(DATOS!$K$2:$K$20000))/SUMPRODUCT((DATOS!$A$2:$A$20000=Y578)*(DATOS!$G$2:$G$20000=CONFIG_METADATA!$B$4)*(COUNTIF(CONFIG_ASIGNATURAS!$B$7:$B$27,DATOS!$I$2:$I$20000)&gt;0)*1),"")))</f>
        <v/>
      </c>
      <c r="AF578" t="str">
        <f>IF(AE578="","",IF(AE578="[FÓRMULA MANUAL]","",IFERROR(AVERAGEIFS(DATOS!$K$2:$K$20000,DATOS!$A$2:$A$20000,AE578,DATOS!$G$2:$G$20000,CONFIG_METADATA!$B$4,DATOS!$I$2:$I$20000,"Análisis"),"")))</f>
        <v/>
      </c>
      <c r="AG578" t="str">
        <f>IF(AE578="","",IF(AE578="[FÓRMULA MANUAL]","",IFERROR(AVERAGEIFS(DATOS!$K$2:$K$20000,DATOS!$A$2:$A$20000,AE578,DATOS!$G$2:$G$20000,CONFIG_METADATA!$B$4,DATOS!$I$2:$I$20000,"Orquesta/Banda/Conjunto"),"")))</f>
        <v/>
      </c>
      <c r="AH578" t="str">
        <f>IF(AE578="","",IF(AE578="[FÓRMULA MANUAL]","",IFERROR(AVERAGEIFS(DATOS!$K$2:$K$20000,DATOS!$A$2:$A$20000,AE578,DATOS!$G$2:$G$20000,CONFIG_METADATA!$B$4,DATOS!$I$2:$I$20000,"Música de Cámara"),"")))</f>
        <v/>
      </c>
      <c r="AI578" t="str">
        <f>IF(AE578="","",IF(AE578="[FÓRMULA MANUAL]","",IFERROR(SUMPRODUCT((DATOS!$A$2:$A$20000=AE578)*(DATOS!$G$2:$G$20000=CONFIG_METADATA!$B$4)*(COUNTIF(CONFIG_ASIGNATURAS!$B$7:$B$27,DATOS!$I$2:$I$20000)&gt;0)*(DATOS!$K$2:$K$20000))/SUMPRODUCT((DATOS!$A$2:$A$20000=AE578)*(DATOS!$G$2:$G$20000=CONFIG_METADATA!$B$4)*(COUNTIF(CONFIG_ASIGNATURAS!$B$7:$B$27,DATOS!$I$2:$I$20000)&gt;0)*1),"")))</f>
        <v/>
      </c>
    </row>
    <row r="579" spans="2:35" x14ac:dyDescent="0.2">
      <c r="B579" t="str">
        <f>IF(A579="","",IF(A579="[FÓRMULA MANUAL]","",IFERROR(AVERAGEIFS(DATOS!$K$2:$K$20000,DATOS!$A$2:$A$20000,A579,DATOS!$G$2:$G$20000,CONFIG_METADATA!$B$4,DATOS!$I$2:$I$20000,"Lenguaje Musical"),"")))</f>
        <v/>
      </c>
      <c r="C579" t="str">
        <f>IF(A579="","",IF(A579="[FÓRMULA MANUAL]","",IFERROR(AVERAGEIFS(DATOS!$K$2:$K$20000,DATOS!$A$2:$A$20000,A579,DATOS!$G$2:$G$20000,CONFIG_METADATA!$B$4,DATOS!$I$2:$I$20000,"Orquesta/Banda/Conjunto"),"")))</f>
        <v/>
      </c>
      <c r="D579" t="str">
        <f>IF(A579="","",IF(A579="[FÓRMULA MANUAL]","",IFERROR(AVERAGEIFS(DATOS!$K$2:$K$20000,DATOS!$A$2:$A$20000,A579,DATOS!$G$2:$G$20000,CONFIG_METADATA!$B$4,DATOS!$I$2:$I$20000,"Conjunto"),"")))</f>
        <v/>
      </c>
      <c r="E579" t="str">
        <f>IF(A579="","",IF(A579="[FÓRMULA MANUAL]","",IFERROR(SUMPRODUCT((DATOS!$A$2:$A$20000=A579)*(DATOS!$G$2:$G$20000=CONFIG_METADATA!$B$4)*(COUNTIF(CONFIG_ASIGNATURAS!$B$7:$B$27,DATOS!$I$2:$I$20000)&gt;0)*(DATOS!$K$2:$K$20000))/SUMPRODUCT((DATOS!$A$2:$A$20000=A579)*(DATOS!$G$2:$G$20000=CONFIG_METADATA!$B$4)*(COUNTIF(CONFIG_ASIGNATURAS!$B$7:$B$27,DATOS!$I$2:$I$20000)&gt;0)*1),"")))</f>
        <v/>
      </c>
      <c r="H579" t="str">
        <f>IF(G579="","",IF(G579="[FÓRMULA MANUAL]","",IFERROR(AVERAGEIFS(DATOS!$K$2:$K$20000,DATOS!$A$2:$A$20000,G579,DATOS!$G$2:$G$20000,CONFIG_METADATA!$B$4,DATOS!$I$2:$I$20000,"Lenguaje Musical"),"")))</f>
        <v/>
      </c>
      <c r="I579" t="str">
        <f>IF(G579="","",IF(G579="[FÓRMULA MANUAL]","",IFERROR(AVERAGEIFS(DATOS!$K$2:$K$20000,DATOS!$A$2:$A$20000,G579,DATOS!$G$2:$G$20000,CONFIG_METADATA!$B$4,DATOS!$I$2:$I$20000,"Orquesta/Banda/Conjunto"),"")))</f>
        <v/>
      </c>
      <c r="J579" t="str">
        <f>IF(G579="","",IF(G579="[FÓRMULA MANUAL]","",IFERROR(AVERAGEIFS(DATOS!$K$2:$K$20000,DATOS!$A$2:$A$20000,G579,DATOS!$G$2:$G$20000,CONFIG_METADATA!$B$4,DATOS!$I$2:$I$20000,"Conjunto"),"")))</f>
        <v/>
      </c>
      <c r="K579" t="str">
        <f>IF(G579="","",IF(G579="[FÓRMULA MANUAL]","",IFERROR(SUMPRODUCT((DATOS!$A$2:$A$20000=G579)*(DATOS!$G$2:$G$20000=CONFIG_METADATA!$B$4)*(COUNTIF(CONFIG_ASIGNATURAS!$B$7:$B$27,DATOS!$I$2:$I$20000)&gt;0)*(DATOS!$K$2:$K$20000))/SUMPRODUCT((DATOS!$A$2:$A$20000=G579)*(DATOS!$G$2:$G$20000=CONFIG_METADATA!$B$4)*(COUNTIF(CONFIG_ASIGNATURAS!$B$7:$B$27,DATOS!$I$2:$I$20000)&gt;0)*1),"")))</f>
        <v/>
      </c>
      <c r="N579" t="str">
        <f>IF(M579="","",IF(M579="[FÓRMULA MANUAL]","",IFERROR(AVERAGEIFS(DATOS!$K$2:$K$20000,DATOS!$A$2:$A$20000,M579,DATOS!$G$2:$G$20000,CONFIG_METADATA!$B$4,DATOS!$I$2:$I$20000,"Armonía"),"")))</f>
        <v/>
      </c>
      <c r="O579" t="str">
        <f>IF(M579="","",IF(M579="[FÓRMULA MANUAL]","",IFERROR(AVERAGEIFS(DATOS!$K$2:$K$20000,DATOS!$A$2:$A$20000,M579,DATOS!$G$2:$G$20000,CONFIG_METADATA!$B$4,DATOS!$I$2:$I$20000,"Orquesta/Banda/Conjunto"),"")))</f>
        <v/>
      </c>
      <c r="P579" t="str">
        <f>IF(M579="","",IF(M579="[FÓRMULA MANUAL]","",IFERROR(AVERAGEIFS(DATOS!$K$2:$K$20000,DATOS!$A$2:$A$20000,M579,DATOS!$G$2:$G$20000,CONFIG_METADATA!$B$4,DATOS!$I$2:$I$20000,"Música de Cámara"),"")))</f>
        <v/>
      </c>
      <c r="Q579" t="str">
        <f>IF(M579="","",IF(M579="[FÓRMULA MANUAL]","",IFERROR(SUMPRODUCT((DATOS!$A$2:$A$20000=M579)*(DATOS!$G$2:$G$20000=CONFIG_METADATA!$B$4)*(COUNTIF(CONFIG_ASIGNATURAS!$B$7:$B$27,DATOS!$I$2:$I$20000)&gt;0)*(DATOS!$K$2:$K$20000))/SUMPRODUCT((DATOS!$A$2:$A$20000=M579)*(DATOS!$G$2:$G$20000=CONFIG_METADATA!$B$4)*(COUNTIF(CONFIG_ASIGNATURAS!$B$7:$B$27,DATOS!$I$2:$I$20000)&gt;0)*1),"")))</f>
        <v/>
      </c>
      <c r="T579" t="str">
        <f>IF(S579="","",IF(S579="[FÓRMULA MANUAL]","",IFERROR(AVERAGEIFS(DATOS!$K$2:$K$20000,DATOS!$A$2:$A$20000,S579,DATOS!$G$2:$G$20000,CONFIG_METADATA!$B$4,DATOS!$I$2:$I$20000,"Armonía"),"")))</f>
        <v/>
      </c>
      <c r="U579" t="str">
        <f>IF(S579="","",IF(S579="[FÓRMULA MANUAL]","",IFERROR(AVERAGEIFS(DATOS!$K$2:$K$20000,DATOS!$A$2:$A$20000,S579,DATOS!$G$2:$G$20000,CONFIG_METADATA!$B$4,DATOS!$I$2:$I$20000,"Orquesta/Banda/Conjunto"),"")))</f>
        <v/>
      </c>
      <c r="V579" t="str">
        <f>IF(S579="","",IF(S579="[FÓRMULA MANUAL]","",IFERROR(AVERAGEIFS(DATOS!$K$2:$K$20000,DATOS!$A$2:$A$20000,S579,DATOS!$G$2:$G$20000,CONFIG_METADATA!$B$4,DATOS!$I$2:$I$20000,"Música de Cámara"),"")))</f>
        <v/>
      </c>
      <c r="W579" t="str">
        <f>IF(S579="","",IF(S579="[FÓRMULA MANUAL]","",IFERROR(SUMPRODUCT((DATOS!$A$2:$A$20000=S579)*(DATOS!$G$2:$G$20000=CONFIG_METADATA!$B$4)*(COUNTIF(CONFIG_ASIGNATURAS!$B$7:$B$27,DATOS!$I$2:$I$20000)&gt;0)*(DATOS!$K$2:$K$20000))/SUMPRODUCT((DATOS!$A$2:$A$20000=S579)*(DATOS!$G$2:$G$20000=CONFIG_METADATA!$B$4)*(COUNTIF(CONFIG_ASIGNATURAS!$B$7:$B$27,DATOS!$I$2:$I$20000)&gt;0)*1),"")))</f>
        <v/>
      </c>
      <c r="Z579" t="str">
        <f>IF(Y579="","",IF(Y579="[FÓRMULA MANUAL]","",IFERROR(AVERAGEIFS(DATOS!$K$2:$K$20000,DATOS!$A$2:$A$20000,Y579,DATOS!$G$2:$G$20000,CONFIG_METADATA!$B$4,DATOS!$I$2:$I$20000,"Análisis"),"")))</f>
        <v/>
      </c>
      <c r="AA579" t="str">
        <f>IF(Y579="","",IF(Y579="[FÓRMULA MANUAL]","",IFERROR(AVERAGEIFS(DATOS!$K$2:$K$20000,DATOS!$A$2:$A$20000,Y579,DATOS!$G$2:$G$20000,CONFIG_METADATA!$B$4,DATOS!$I$2:$I$20000,"Orquesta/Banda/Conjunto"),"")))</f>
        <v/>
      </c>
      <c r="AB579" t="str">
        <f>IF(Y579="","",IF(Y579="[FÓRMULA MANUAL]","",IFERROR(AVERAGEIFS(DATOS!$K$2:$K$20000,DATOS!$A$2:$A$20000,Y579,DATOS!$G$2:$G$20000,CONFIG_METADATA!$B$4,DATOS!$I$2:$I$20000,"Música de Cámara"),"")))</f>
        <v/>
      </c>
      <c r="AC579" t="str">
        <f>IF(Y579="","",IF(Y579="[FÓRMULA MANUAL]","",IFERROR(SUMPRODUCT((DATOS!$A$2:$A$20000=Y579)*(DATOS!$G$2:$G$20000=CONFIG_METADATA!$B$4)*(COUNTIF(CONFIG_ASIGNATURAS!$B$7:$B$27,DATOS!$I$2:$I$20000)&gt;0)*(DATOS!$K$2:$K$20000))/SUMPRODUCT((DATOS!$A$2:$A$20000=Y579)*(DATOS!$G$2:$G$20000=CONFIG_METADATA!$B$4)*(COUNTIF(CONFIG_ASIGNATURAS!$B$7:$B$27,DATOS!$I$2:$I$20000)&gt;0)*1),"")))</f>
        <v/>
      </c>
      <c r="AF579" t="str">
        <f>IF(AE579="","",IF(AE579="[FÓRMULA MANUAL]","",IFERROR(AVERAGEIFS(DATOS!$K$2:$K$20000,DATOS!$A$2:$A$20000,AE579,DATOS!$G$2:$G$20000,CONFIG_METADATA!$B$4,DATOS!$I$2:$I$20000,"Análisis"),"")))</f>
        <v/>
      </c>
      <c r="AG579" t="str">
        <f>IF(AE579="","",IF(AE579="[FÓRMULA MANUAL]","",IFERROR(AVERAGEIFS(DATOS!$K$2:$K$20000,DATOS!$A$2:$A$20000,AE579,DATOS!$G$2:$G$20000,CONFIG_METADATA!$B$4,DATOS!$I$2:$I$20000,"Orquesta/Banda/Conjunto"),"")))</f>
        <v/>
      </c>
      <c r="AH579" t="str">
        <f>IF(AE579="","",IF(AE579="[FÓRMULA MANUAL]","",IFERROR(AVERAGEIFS(DATOS!$K$2:$K$20000,DATOS!$A$2:$A$20000,AE579,DATOS!$G$2:$G$20000,CONFIG_METADATA!$B$4,DATOS!$I$2:$I$20000,"Música de Cámara"),"")))</f>
        <v/>
      </c>
      <c r="AI579" t="str">
        <f>IF(AE579="","",IF(AE579="[FÓRMULA MANUAL]","",IFERROR(SUMPRODUCT((DATOS!$A$2:$A$20000=AE579)*(DATOS!$G$2:$G$20000=CONFIG_METADATA!$B$4)*(COUNTIF(CONFIG_ASIGNATURAS!$B$7:$B$27,DATOS!$I$2:$I$20000)&gt;0)*(DATOS!$K$2:$K$20000))/SUMPRODUCT((DATOS!$A$2:$A$20000=AE579)*(DATOS!$G$2:$G$20000=CONFIG_METADATA!$B$4)*(COUNTIF(CONFIG_ASIGNATURAS!$B$7:$B$27,DATOS!$I$2:$I$20000)&gt;0)*1),"")))</f>
        <v/>
      </c>
    </row>
    <row r="580" spans="2:35" x14ac:dyDescent="0.2">
      <c r="B580" t="str">
        <f>IF(A580="","",IF(A580="[FÓRMULA MANUAL]","",IFERROR(AVERAGEIFS(DATOS!$K$2:$K$20000,DATOS!$A$2:$A$20000,A580,DATOS!$G$2:$G$20000,CONFIG_METADATA!$B$4,DATOS!$I$2:$I$20000,"Lenguaje Musical"),"")))</f>
        <v/>
      </c>
      <c r="C580" t="str">
        <f>IF(A580="","",IF(A580="[FÓRMULA MANUAL]","",IFERROR(AVERAGEIFS(DATOS!$K$2:$K$20000,DATOS!$A$2:$A$20000,A580,DATOS!$G$2:$G$20000,CONFIG_METADATA!$B$4,DATOS!$I$2:$I$20000,"Orquesta/Banda/Conjunto"),"")))</f>
        <v/>
      </c>
      <c r="D580" t="str">
        <f>IF(A580="","",IF(A580="[FÓRMULA MANUAL]","",IFERROR(AVERAGEIFS(DATOS!$K$2:$K$20000,DATOS!$A$2:$A$20000,A580,DATOS!$G$2:$G$20000,CONFIG_METADATA!$B$4,DATOS!$I$2:$I$20000,"Conjunto"),"")))</f>
        <v/>
      </c>
      <c r="E580" t="str">
        <f>IF(A580="","",IF(A580="[FÓRMULA MANUAL]","",IFERROR(SUMPRODUCT((DATOS!$A$2:$A$20000=A580)*(DATOS!$G$2:$G$20000=CONFIG_METADATA!$B$4)*(COUNTIF(CONFIG_ASIGNATURAS!$B$7:$B$27,DATOS!$I$2:$I$20000)&gt;0)*(DATOS!$K$2:$K$20000))/SUMPRODUCT((DATOS!$A$2:$A$20000=A580)*(DATOS!$G$2:$G$20000=CONFIG_METADATA!$B$4)*(COUNTIF(CONFIG_ASIGNATURAS!$B$7:$B$27,DATOS!$I$2:$I$20000)&gt;0)*1),"")))</f>
        <v/>
      </c>
      <c r="H580" t="str">
        <f>IF(G580="","",IF(G580="[FÓRMULA MANUAL]","",IFERROR(AVERAGEIFS(DATOS!$K$2:$K$20000,DATOS!$A$2:$A$20000,G580,DATOS!$G$2:$G$20000,CONFIG_METADATA!$B$4,DATOS!$I$2:$I$20000,"Lenguaje Musical"),"")))</f>
        <v/>
      </c>
      <c r="I580" t="str">
        <f>IF(G580="","",IF(G580="[FÓRMULA MANUAL]","",IFERROR(AVERAGEIFS(DATOS!$K$2:$K$20000,DATOS!$A$2:$A$20000,G580,DATOS!$G$2:$G$20000,CONFIG_METADATA!$B$4,DATOS!$I$2:$I$20000,"Orquesta/Banda/Conjunto"),"")))</f>
        <v/>
      </c>
      <c r="J580" t="str">
        <f>IF(G580="","",IF(G580="[FÓRMULA MANUAL]","",IFERROR(AVERAGEIFS(DATOS!$K$2:$K$20000,DATOS!$A$2:$A$20000,G580,DATOS!$G$2:$G$20000,CONFIG_METADATA!$B$4,DATOS!$I$2:$I$20000,"Conjunto"),"")))</f>
        <v/>
      </c>
      <c r="K580" t="str">
        <f>IF(G580="","",IF(G580="[FÓRMULA MANUAL]","",IFERROR(SUMPRODUCT((DATOS!$A$2:$A$20000=G580)*(DATOS!$G$2:$G$20000=CONFIG_METADATA!$B$4)*(COUNTIF(CONFIG_ASIGNATURAS!$B$7:$B$27,DATOS!$I$2:$I$20000)&gt;0)*(DATOS!$K$2:$K$20000))/SUMPRODUCT((DATOS!$A$2:$A$20000=G580)*(DATOS!$G$2:$G$20000=CONFIG_METADATA!$B$4)*(COUNTIF(CONFIG_ASIGNATURAS!$B$7:$B$27,DATOS!$I$2:$I$20000)&gt;0)*1),"")))</f>
        <v/>
      </c>
      <c r="N580" t="str">
        <f>IF(M580="","",IF(M580="[FÓRMULA MANUAL]","",IFERROR(AVERAGEIFS(DATOS!$K$2:$K$20000,DATOS!$A$2:$A$20000,M580,DATOS!$G$2:$G$20000,CONFIG_METADATA!$B$4,DATOS!$I$2:$I$20000,"Armonía"),"")))</f>
        <v/>
      </c>
      <c r="O580" t="str">
        <f>IF(M580="","",IF(M580="[FÓRMULA MANUAL]","",IFERROR(AVERAGEIFS(DATOS!$K$2:$K$20000,DATOS!$A$2:$A$20000,M580,DATOS!$G$2:$G$20000,CONFIG_METADATA!$B$4,DATOS!$I$2:$I$20000,"Orquesta/Banda/Conjunto"),"")))</f>
        <v/>
      </c>
      <c r="P580" t="str">
        <f>IF(M580="","",IF(M580="[FÓRMULA MANUAL]","",IFERROR(AVERAGEIFS(DATOS!$K$2:$K$20000,DATOS!$A$2:$A$20000,M580,DATOS!$G$2:$G$20000,CONFIG_METADATA!$B$4,DATOS!$I$2:$I$20000,"Música de Cámara"),"")))</f>
        <v/>
      </c>
      <c r="Q580" t="str">
        <f>IF(M580="","",IF(M580="[FÓRMULA MANUAL]","",IFERROR(SUMPRODUCT((DATOS!$A$2:$A$20000=M580)*(DATOS!$G$2:$G$20000=CONFIG_METADATA!$B$4)*(COUNTIF(CONFIG_ASIGNATURAS!$B$7:$B$27,DATOS!$I$2:$I$20000)&gt;0)*(DATOS!$K$2:$K$20000))/SUMPRODUCT((DATOS!$A$2:$A$20000=M580)*(DATOS!$G$2:$G$20000=CONFIG_METADATA!$B$4)*(COUNTIF(CONFIG_ASIGNATURAS!$B$7:$B$27,DATOS!$I$2:$I$20000)&gt;0)*1),"")))</f>
        <v/>
      </c>
      <c r="T580" t="str">
        <f>IF(S580="","",IF(S580="[FÓRMULA MANUAL]","",IFERROR(AVERAGEIFS(DATOS!$K$2:$K$20000,DATOS!$A$2:$A$20000,S580,DATOS!$G$2:$G$20000,CONFIG_METADATA!$B$4,DATOS!$I$2:$I$20000,"Armonía"),"")))</f>
        <v/>
      </c>
      <c r="U580" t="str">
        <f>IF(S580="","",IF(S580="[FÓRMULA MANUAL]","",IFERROR(AVERAGEIFS(DATOS!$K$2:$K$20000,DATOS!$A$2:$A$20000,S580,DATOS!$G$2:$G$20000,CONFIG_METADATA!$B$4,DATOS!$I$2:$I$20000,"Orquesta/Banda/Conjunto"),"")))</f>
        <v/>
      </c>
      <c r="V580" t="str">
        <f>IF(S580="","",IF(S580="[FÓRMULA MANUAL]","",IFERROR(AVERAGEIFS(DATOS!$K$2:$K$20000,DATOS!$A$2:$A$20000,S580,DATOS!$G$2:$G$20000,CONFIG_METADATA!$B$4,DATOS!$I$2:$I$20000,"Música de Cámara"),"")))</f>
        <v/>
      </c>
      <c r="W580" t="str">
        <f>IF(S580="","",IF(S580="[FÓRMULA MANUAL]","",IFERROR(SUMPRODUCT((DATOS!$A$2:$A$20000=S580)*(DATOS!$G$2:$G$20000=CONFIG_METADATA!$B$4)*(COUNTIF(CONFIG_ASIGNATURAS!$B$7:$B$27,DATOS!$I$2:$I$20000)&gt;0)*(DATOS!$K$2:$K$20000))/SUMPRODUCT((DATOS!$A$2:$A$20000=S580)*(DATOS!$G$2:$G$20000=CONFIG_METADATA!$B$4)*(COUNTIF(CONFIG_ASIGNATURAS!$B$7:$B$27,DATOS!$I$2:$I$20000)&gt;0)*1),"")))</f>
        <v/>
      </c>
      <c r="Z580" t="str">
        <f>IF(Y580="","",IF(Y580="[FÓRMULA MANUAL]","",IFERROR(AVERAGEIFS(DATOS!$K$2:$K$20000,DATOS!$A$2:$A$20000,Y580,DATOS!$G$2:$G$20000,CONFIG_METADATA!$B$4,DATOS!$I$2:$I$20000,"Análisis"),"")))</f>
        <v/>
      </c>
      <c r="AA580" t="str">
        <f>IF(Y580="","",IF(Y580="[FÓRMULA MANUAL]","",IFERROR(AVERAGEIFS(DATOS!$K$2:$K$20000,DATOS!$A$2:$A$20000,Y580,DATOS!$G$2:$G$20000,CONFIG_METADATA!$B$4,DATOS!$I$2:$I$20000,"Orquesta/Banda/Conjunto"),"")))</f>
        <v/>
      </c>
      <c r="AB580" t="str">
        <f>IF(Y580="","",IF(Y580="[FÓRMULA MANUAL]","",IFERROR(AVERAGEIFS(DATOS!$K$2:$K$20000,DATOS!$A$2:$A$20000,Y580,DATOS!$G$2:$G$20000,CONFIG_METADATA!$B$4,DATOS!$I$2:$I$20000,"Música de Cámara"),"")))</f>
        <v/>
      </c>
      <c r="AC580" t="str">
        <f>IF(Y580="","",IF(Y580="[FÓRMULA MANUAL]","",IFERROR(SUMPRODUCT((DATOS!$A$2:$A$20000=Y580)*(DATOS!$G$2:$G$20000=CONFIG_METADATA!$B$4)*(COUNTIF(CONFIG_ASIGNATURAS!$B$7:$B$27,DATOS!$I$2:$I$20000)&gt;0)*(DATOS!$K$2:$K$20000))/SUMPRODUCT((DATOS!$A$2:$A$20000=Y580)*(DATOS!$G$2:$G$20000=CONFIG_METADATA!$B$4)*(COUNTIF(CONFIG_ASIGNATURAS!$B$7:$B$27,DATOS!$I$2:$I$20000)&gt;0)*1),"")))</f>
        <v/>
      </c>
      <c r="AF580" t="str">
        <f>IF(AE580="","",IF(AE580="[FÓRMULA MANUAL]","",IFERROR(AVERAGEIFS(DATOS!$K$2:$K$20000,DATOS!$A$2:$A$20000,AE580,DATOS!$G$2:$G$20000,CONFIG_METADATA!$B$4,DATOS!$I$2:$I$20000,"Análisis"),"")))</f>
        <v/>
      </c>
      <c r="AG580" t="str">
        <f>IF(AE580="","",IF(AE580="[FÓRMULA MANUAL]","",IFERROR(AVERAGEIFS(DATOS!$K$2:$K$20000,DATOS!$A$2:$A$20000,AE580,DATOS!$G$2:$G$20000,CONFIG_METADATA!$B$4,DATOS!$I$2:$I$20000,"Orquesta/Banda/Conjunto"),"")))</f>
        <v/>
      </c>
      <c r="AH580" t="str">
        <f>IF(AE580="","",IF(AE580="[FÓRMULA MANUAL]","",IFERROR(AVERAGEIFS(DATOS!$K$2:$K$20000,DATOS!$A$2:$A$20000,AE580,DATOS!$G$2:$G$20000,CONFIG_METADATA!$B$4,DATOS!$I$2:$I$20000,"Música de Cámara"),"")))</f>
        <v/>
      </c>
      <c r="AI580" t="str">
        <f>IF(AE580="","",IF(AE580="[FÓRMULA MANUAL]","",IFERROR(SUMPRODUCT((DATOS!$A$2:$A$20000=AE580)*(DATOS!$G$2:$G$20000=CONFIG_METADATA!$B$4)*(COUNTIF(CONFIG_ASIGNATURAS!$B$7:$B$27,DATOS!$I$2:$I$20000)&gt;0)*(DATOS!$K$2:$K$20000))/SUMPRODUCT((DATOS!$A$2:$A$20000=AE580)*(DATOS!$G$2:$G$20000=CONFIG_METADATA!$B$4)*(COUNTIF(CONFIG_ASIGNATURAS!$B$7:$B$27,DATOS!$I$2:$I$20000)&gt;0)*1),"")))</f>
        <v/>
      </c>
    </row>
    <row r="581" spans="2:35" x14ac:dyDescent="0.2">
      <c r="B581" t="str">
        <f>IF(A581="","",IF(A581="[FÓRMULA MANUAL]","",IFERROR(AVERAGEIFS(DATOS!$K$2:$K$20000,DATOS!$A$2:$A$20000,A581,DATOS!$G$2:$G$20000,CONFIG_METADATA!$B$4,DATOS!$I$2:$I$20000,"Lenguaje Musical"),"")))</f>
        <v/>
      </c>
      <c r="C581" t="str">
        <f>IF(A581="","",IF(A581="[FÓRMULA MANUAL]","",IFERROR(AVERAGEIFS(DATOS!$K$2:$K$20000,DATOS!$A$2:$A$20000,A581,DATOS!$G$2:$G$20000,CONFIG_METADATA!$B$4,DATOS!$I$2:$I$20000,"Orquesta/Banda/Conjunto"),"")))</f>
        <v/>
      </c>
      <c r="D581" t="str">
        <f>IF(A581="","",IF(A581="[FÓRMULA MANUAL]","",IFERROR(AVERAGEIFS(DATOS!$K$2:$K$20000,DATOS!$A$2:$A$20000,A581,DATOS!$G$2:$G$20000,CONFIG_METADATA!$B$4,DATOS!$I$2:$I$20000,"Conjunto"),"")))</f>
        <v/>
      </c>
      <c r="E581" t="str">
        <f>IF(A581="","",IF(A581="[FÓRMULA MANUAL]","",IFERROR(SUMPRODUCT((DATOS!$A$2:$A$20000=A581)*(DATOS!$G$2:$G$20000=CONFIG_METADATA!$B$4)*(COUNTIF(CONFIG_ASIGNATURAS!$B$7:$B$27,DATOS!$I$2:$I$20000)&gt;0)*(DATOS!$K$2:$K$20000))/SUMPRODUCT((DATOS!$A$2:$A$20000=A581)*(DATOS!$G$2:$G$20000=CONFIG_METADATA!$B$4)*(COUNTIF(CONFIG_ASIGNATURAS!$B$7:$B$27,DATOS!$I$2:$I$20000)&gt;0)*1),"")))</f>
        <v/>
      </c>
      <c r="H581" t="str">
        <f>IF(G581="","",IF(G581="[FÓRMULA MANUAL]","",IFERROR(AVERAGEIFS(DATOS!$K$2:$K$20000,DATOS!$A$2:$A$20000,G581,DATOS!$G$2:$G$20000,CONFIG_METADATA!$B$4,DATOS!$I$2:$I$20000,"Lenguaje Musical"),"")))</f>
        <v/>
      </c>
      <c r="I581" t="str">
        <f>IF(G581="","",IF(G581="[FÓRMULA MANUAL]","",IFERROR(AVERAGEIFS(DATOS!$K$2:$K$20000,DATOS!$A$2:$A$20000,G581,DATOS!$G$2:$G$20000,CONFIG_METADATA!$B$4,DATOS!$I$2:$I$20000,"Orquesta/Banda/Conjunto"),"")))</f>
        <v/>
      </c>
      <c r="J581" t="str">
        <f>IF(G581="","",IF(G581="[FÓRMULA MANUAL]","",IFERROR(AVERAGEIFS(DATOS!$K$2:$K$20000,DATOS!$A$2:$A$20000,G581,DATOS!$G$2:$G$20000,CONFIG_METADATA!$B$4,DATOS!$I$2:$I$20000,"Conjunto"),"")))</f>
        <v/>
      </c>
      <c r="K581" t="str">
        <f>IF(G581="","",IF(G581="[FÓRMULA MANUAL]","",IFERROR(SUMPRODUCT((DATOS!$A$2:$A$20000=G581)*(DATOS!$G$2:$G$20000=CONFIG_METADATA!$B$4)*(COUNTIF(CONFIG_ASIGNATURAS!$B$7:$B$27,DATOS!$I$2:$I$20000)&gt;0)*(DATOS!$K$2:$K$20000))/SUMPRODUCT((DATOS!$A$2:$A$20000=G581)*(DATOS!$G$2:$G$20000=CONFIG_METADATA!$B$4)*(COUNTIF(CONFIG_ASIGNATURAS!$B$7:$B$27,DATOS!$I$2:$I$20000)&gt;0)*1),"")))</f>
        <v/>
      </c>
      <c r="N581" t="str">
        <f>IF(M581="","",IF(M581="[FÓRMULA MANUAL]","",IFERROR(AVERAGEIFS(DATOS!$K$2:$K$20000,DATOS!$A$2:$A$20000,M581,DATOS!$G$2:$G$20000,CONFIG_METADATA!$B$4,DATOS!$I$2:$I$20000,"Armonía"),"")))</f>
        <v/>
      </c>
      <c r="O581" t="str">
        <f>IF(M581="","",IF(M581="[FÓRMULA MANUAL]","",IFERROR(AVERAGEIFS(DATOS!$K$2:$K$20000,DATOS!$A$2:$A$20000,M581,DATOS!$G$2:$G$20000,CONFIG_METADATA!$B$4,DATOS!$I$2:$I$20000,"Orquesta/Banda/Conjunto"),"")))</f>
        <v/>
      </c>
      <c r="P581" t="str">
        <f>IF(M581="","",IF(M581="[FÓRMULA MANUAL]","",IFERROR(AVERAGEIFS(DATOS!$K$2:$K$20000,DATOS!$A$2:$A$20000,M581,DATOS!$G$2:$G$20000,CONFIG_METADATA!$B$4,DATOS!$I$2:$I$20000,"Música de Cámara"),"")))</f>
        <v/>
      </c>
      <c r="Q581" t="str">
        <f>IF(M581="","",IF(M581="[FÓRMULA MANUAL]","",IFERROR(SUMPRODUCT((DATOS!$A$2:$A$20000=M581)*(DATOS!$G$2:$G$20000=CONFIG_METADATA!$B$4)*(COUNTIF(CONFIG_ASIGNATURAS!$B$7:$B$27,DATOS!$I$2:$I$20000)&gt;0)*(DATOS!$K$2:$K$20000))/SUMPRODUCT((DATOS!$A$2:$A$20000=M581)*(DATOS!$G$2:$G$20000=CONFIG_METADATA!$B$4)*(COUNTIF(CONFIG_ASIGNATURAS!$B$7:$B$27,DATOS!$I$2:$I$20000)&gt;0)*1),"")))</f>
        <v/>
      </c>
      <c r="T581" t="str">
        <f>IF(S581="","",IF(S581="[FÓRMULA MANUAL]","",IFERROR(AVERAGEIFS(DATOS!$K$2:$K$20000,DATOS!$A$2:$A$20000,S581,DATOS!$G$2:$G$20000,CONFIG_METADATA!$B$4,DATOS!$I$2:$I$20000,"Armonía"),"")))</f>
        <v/>
      </c>
      <c r="U581" t="str">
        <f>IF(S581="","",IF(S581="[FÓRMULA MANUAL]","",IFERROR(AVERAGEIFS(DATOS!$K$2:$K$20000,DATOS!$A$2:$A$20000,S581,DATOS!$G$2:$G$20000,CONFIG_METADATA!$B$4,DATOS!$I$2:$I$20000,"Orquesta/Banda/Conjunto"),"")))</f>
        <v/>
      </c>
      <c r="V581" t="str">
        <f>IF(S581="","",IF(S581="[FÓRMULA MANUAL]","",IFERROR(AVERAGEIFS(DATOS!$K$2:$K$20000,DATOS!$A$2:$A$20000,S581,DATOS!$G$2:$G$20000,CONFIG_METADATA!$B$4,DATOS!$I$2:$I$20000,"Música de Cámara"),"")))</f>
        <v/>
      </c>
      <c r="W581" t="str">
        <f>IF(S581="","",IF(S581="[FÓRMULA MANUAL]","",IFERROR(SUMPRODUCT((DATOS!$A$2:$A$20000=S581)*(DATOS!$G$2:$G$20000=CONFIG_METADATA!$B$4)*(COUNTIF(CONFIG_ASIGNATURAS!$B$7:$B$27,DATOS!$I$2:$I$20000)&gt;0)*(DATOS!$K$2:$K$20000))/SUMPRODUCT((DATOS!$A$2:$A$20000=S581)*(DATOS!$G$2:$G$20000=CONFIG_METADATA!$B$4)*(COUNTIF(CONFIG_ASIGNATURAS!$B$7:$B$27,DATOS!$I$2:$I$20000)&gt;0)*1),"")))</f>
        <v/>
      </c>
      <c r="Z581" t="str">
        <f>IF(Y581="","",IF(Y581="[FÓRMULA MANUAL]","",IFERROR(AVERAGEIFS(DATOS!$K$2:$K$20000,DATOS!$A$2:$A$20000,Y581,DATOS!$G$2:$G$20000,CONFIG_METADATA!$B$4,DATOS!$I$2:$I$20000,"Análisis"),"")))</f>
        <v/>
      </c>
      <c r="AA581" t="str">
        <f>IF(Y581="","",IF(Y581="[FÓRMULA MANUAL]","",IFERROR(AVERAGEIFS(DATOS!$K$2:$K$20000,DATOS!$A$2:$A$20000,Y581,DATOS!$G$2:$G$20000,CONFIG_METADATA!$B$4,DATOS!$I$2:$I$20000,"Orquesta/Banda/Conjunto"),"")))</f>
        <v/>
      </c>
      <c r="AB581" t="str">
        <f>IF(Y581="","",IF(Y581="[FÓRMULA MANUAL]","",IFERROR(AVERAGEIFS(DATOS!$K$2:$K$20000,DATOS!$A$2:$A$20000,Y581,DATOS!$G$2:$G$20000,CONFIG_METADATA!$B$4,DATOS!$I$2:$I$20000,"Música de Cámara"),"")))</f>
        <v/>
      </c>
      <c r="AC581" t="str">
        <f>IF(Y581="","",IF(Y581="[FÓRMULA MANUAL]","",IFERROR(SUMPRODUCT((DATOS!$A$2:$A$20000=Y581)*(DATOS!$G$2:$G$20000=CONFIG_METADATA!$B$4)*(COUNTIF(CONFIG_ASIGNATURAS!$B$7:$B$27,DATOS!$I$2:$I$20000)&gt;0)*(DATOS!$K$2:$K$20000))/SUMPRODUCT((DATOS!$A$2:$A$20000=Y581)*(DATOS!$G$2:$G$20000=CONFIG_METADATA!$B$4)*(COUNTIF(CONFIG_ASIGNATURAS!$B$7:$B$27,DATOS!$I$2:$I$20000)&gt;0)*1),"")))</f>
        <v/>
      </c>
      <c r="AF581" t="str">
        <f>IF(AE581="","",IF(AE581="[FÓRMULA MANUAL]","",IFERROR(AVERAGEIFS(DATOS!$K$2:$K$20000,DATOS!$A$2:$A$20000,AE581,DATOS!$G$2:$G$20000,CONFIG_METADATA!$B$4,DATOS!$I$2:$I$20000,"Análisis"),"")))</f>
        <v/>
      </c>
      <c r="AG581" t="str">
        <f>IF(AE581="","",IF(AE581="[FÓRMULA MANUAL]","",IFERROR(AVERAGEIFS(DATOS!$K$2:$K$20000,DATOS!$A$2:$A$20000,AE581,DATOS!$G$2:$G$20000,CONFIG_METADATA!$B$4,DATOS!$I$2:$I$20000,"Orquesta/Banda/Conjunto"),"")))</f>
        <v/>
      </c>
      <c r="AH581" t="str">
        <f>IF(AE581="","",IF(AE581="[FÓRMULA MANUAL]","",IFERROR(AVERAGEIFS(DATOS!$K$2:$K$20000,DATOS!$A$2:$A$20000,AE581,DATOS!$G$2:$G$20000,CONFIG_METADATA!$B$4,DATOS!$I$2:$I$20000,"Música de Cámara"),"")))</f>
        <v/>
      </c>
      <c r="AI581" t="str">
        <f>IF(AE581="","",IF(AE581="[FÓRMULA MANUAL]","",IFERROR(SUMPRODUCT((DATOS!$A$2:$A$20000=AE581)*(DATOS!$G$2:$G$20000=CONFIG_METADATA!$B$4)*(COUNTIF(CONFIG_ASIGNATURAS!$B$7:$B$27,DATOS!$I$2:$I$20000)&gt;0)*(DATOS!$K$2:$K$20000))/SUMPRODUCT((DATOS!$A$2:$A$20000=AE581)*(DATOS!$G$2:$G$20000=CONFIG_METADATA!$B$4)*(COUNTIF(CONFIG_ASIGNATURAS!$B$7:$B$27,DATOS!$I$2:$I$20000)&gt;0)*1),"")))</f>
        <v/>
      </c>
    </row>
    <row r="582" spans="2:35" x14ac:dyDescent="0.2">
      <c r="B582" t="str">
        <f>IF(A582="","",IF(A582="[FÓRMULA MANUAL]","",IFERROR(AVERAGEIFS(DATOS!$K$2:$K$20000,DATOS!$A$2:$A$20000,A582,DATOS!$G$2:$G$20000,CONFIG_METADATA!$B$4,DATOS!$I$2:$I$20000,"Lenguaje Musical"),"")))</f>
        <v/>
      </c>
      <c r="C582" t="str">
        <f>IF(A582="","",IF(A582="[FÓRMULA MANUAL]","",IFERROR(AVERAGEIFS(DATOS!$K$2:$K$20000,DATOS!$A$2:$A$20000,A582,DATOS!$G$2:$G$20000,CONFIG_METADATA!$B$4,DATOS!$I$2:$I$20000,"Orquesta/Banda/Conjunto"),"")))</f>
        <v/>
      </c>
      <c r="D582" t="str">
        <f>IF(A582="","",IF(A582="[FÓRMULA MANUAL]","",IFERROR(AVERAGEIFS(DATOS!$K$2:$K$20000,DATOS!$A$2:$A$20000,A582,DATOS!$G$2:$G$20000,CONFIG_METADATA!$B$4,DATOS!$I$2:$I$20000,"Conjunto"),"")))</f>
        <v/>
      </c>
      <c r="E582" t="str">
        <f>IF(A582="","",IF(A582="[FÓRMULA MANUAL]","",IFERROR(SUMPRODUCT((DATOS!$A$2:$A$20000=A582)*(DATOS!$G$2:$G$20000=CONFIG_METADATA!$B$4)*(COUNTIF(CONFIG_ASIGNATURAS!$B$7:$B$27,DATOS!$I$2:$I$20000)&gt;0)*(DATOS!$K$2:$K$20000))/SUMPRODUCT((DATOS!$A$2:$A$20000=A582)*(DATOS!$G$2:$G$20000=CONFIG_METADATA!$B$4)*(COUNTIF(CONFIG_ASIGNATURAS!$B$7:$B$27,DATOS!$I$2:$I$20000)&gt;0)*1),"")))</f>
        <v/>
      </c>
      <c r="H582" t="str">
        <f>IF(G582="","",IF(G582="[FÓRMULA MANUAL]","",IFERROR(AVERAGEIFS(DATOS!$K$2:$K$20000,DATOS!$A$2:$A$20000,G582,DATOS!$G$2:$G$20000,CONFIG_METADATA!$B$4,DATOS!$I$2:$I$20000,"Lenguaje Musical"),"")))</f>
        <v/>
      </c>
      <c r="I582" t="str">
        <f>IF(G582="","",IF(G582="[FÓRMULA MANUAL]","",IFERROR(AVERAGEIFS(DATOS!$K$2:$K$20000,DATOS!$A$2:$A$20000,G582,DATOS!$G$2:$G$20000,CONFIG_METADATA!$B$4,DATOS!$I$2:$I$20000,"Orquesta/Banda/Conjunto"),"")))</f>
        <v/>
      </c>
      <c r="J582" t="str">
        <f>IF(G582="","",IF(G582="[FÓRMULA MANUAL]","",IFERROR(AVERAGEIFS(DATOS!$K$2:$K$20000,DATOS!$A$2:$A$20000,G582,DATOS!$G$2:$G$20000,CONFIG_METADATA!$B$4,DATOS!$I$2:$I$20000,"Conjunto"),"")))</f>
        <v/>
      </c>
      <c r="K582" t="str">
        <f>IF(G582="","",IF(G582="[FÓRMULA MANUAL]","",IFERROR(SUMPRODUCT((DATOS!$A$2:$A$20000=G582)*(DATOS!$G$2:$G$20000=CONFIG_METADATA!$B$4)*(COUNTIF(CONFIG_ASIGNATURAS!$B$7:$B$27,DATOS!$I$2:$I$20000)&gt;0)*(DATOS!$K$2:$K$20000))/SUMPRODUCT((DATOS!$A$2:$A$20000=G582)*(DATOS!$G$2:$G$20000=CONFIG_METADATA!$B$4)*(COUNTIF(CONFIG_ASIGNATURAS!$B$7:$B$27,DATOS!$I$2:$I$20000)&gt;0)*1),"")))</f>
        <v/>
      </c>
      <c r="N582" t="str">
        <f>IF(M582="","",IF(M582="[FÓRMULA MANUAL]","",IFERROR(AVERAGEIFS(DATOS!$K$2:$K$20000,DATOS!$A$2:$A$20000,M582,DATOS!$G$2:$G$20000,CONFIG_METADATA!$B$4,DATOS!$I$2:$I$20000,"Armonía"),"")))</f>
        <v/>
      </c>
      <c r="O582" t="str">
        <f>IF(M582="","",IF(M582="[FÓRMULA MANUAL]","",IFERROR(AVERAGEIFS(DATOS!$K$2:$K$20000,DATOS!$A$2:$A$20000,M582,DATOS!$G$2:$G$20000,CONFIG_METADATA!$B$4,DATOS!$I$2:$I$20000,"Orquesta/Banda/Conjunto"),"")))</f>
        <v/>
      </c>
      <c r="P582" t="str">
        <f>IF(M582="","",IF(M582="[FÓRMULA MANUAL]","",IFERROR(AVERAGEIFS(DATOS!$K$2:$K$20000,DATOS!$A$2:$A$20000,M582,DATOS!$G$2:$G$20000,CONFIG_METADATA!$B$4,DATOS!$I$2:$I$20000,"Música de Cámara"),"")))</f>
        <v/>
      </c>
      <c r="Q582" t="str">
        <f>IF(M582="","",IF(M582="[FÓRMULA MANUAL]","",IFERROR(SUMPRODUCT((DATOS!$A$2:$A$20000=M582)*(DATOS!$G$2:$G$20000=CONFIG_METADATA!$B$4)*(COUNTIF(CONFIG_ASIGNATURAS!$B$7:$B$27,DATOS!$I$2:$I$20000)&gt;0)*(DATOS!$K$2:$K$20000))/SUMPRODUCT((DATOS!$A$2:$A$20000=M582)*(DATOS!$G$2:$G$20000=CONFIG_METADATA!$B$4)*(COUNTIF(CONFIG_ASIGNATURAS!$B$7:$B$27,DATOS!$I$2:$I$20000)&gt;0)*1),"")))</f>
        <v/>
      </c>
      <c r="T582" t="str">
        <f>IF(S582="","",IF(S582="[FÓRMULA MANUAL]","",IFERROR(AVERAGEIFS(DATOS!$K$2:$K$20000,DATOS!$A$2:$A$20000,S582,DATOS!$G$2:$G$20000,CONFIG_METADATA!$B$4,DATOS!$I$2:$I$20000,"Armonía"),"")))</f>
        <v/>
      </c>
      <c r="U582" t="str">
        <f>IF(S582="","",IF(S582="[FÓRMULA MANUAL]","",IFERROR(AVERAGEIFS(DATOS!$K$2:$K$20000,DATOS!$A$2:$A$20000,S582,DATOS!$G$2:$G$20000,CONFIG_METADATA!$B$4,DATOS!$I$2:$I$20000,"Orquesta/Banda/Conjunto"),"")))</f>
        <v/>
      </c>
      <c r="V582" t="str">
        <f>IF(S582="","",IF(S582="[FÓRMULA MANUAL]","",IFERROR(AVERAGEIFS(DATOS!$K$2:$K$20000,DATOS!$A$2:$A$20000,S582,DATOS!$G$2:$G$20000,CONFIG_METADATA!$B$4,DATOS!$I$2:$I$20000,"Música de Cámara"),"")))</f>
        <v/>
      </c>
      <c r="W582" t="str">
        <f>IF(S582="","",IF(S582="[FÓRMULA MANUAL]","",IFERROR(SUMPRODUCT((DATOS!$A$2:$A$20000=S582)*(DATOS!$G$2:$G$20000=CONFIG_METADATA!$B$4)*(COUNTIF(CONFIG_ASIGNATURAS!$B$7:$B$27,DATOS!$I$2:$I$20000)&gt;0)*(DATOS!$K$2:$K$20000))/SUMPRODUCT((DATOS!$A$2:$A$20000=S582)*(DATOS!$G$2:$G$20000=CONFIG_METADATA!$B$4)*(COUNTIF(CONFIG_ASIGNATURAS!$B$7:$B$27,DATOS!$I$2:$I$20000)&gt;0)*1),"")))</f>
        <v/>
      </c>
      <c r="Z582" t="str">
        <f>IF(Y582="","",IF(Y582="[FÓRMULA MANUAL]","",IFERROR(AVERAGEIFS(DATOS!$K$2:$K$20000,DATOS!$A$2:$A$20000,Y582,DATOS!$G$2:$G$20000,CONFIG_METADATA!$B$4,DATOS!$I$2:$I$20000,"Análisis"),"")))</f>
        <v/>
      </c>
      <c r="AA582" t="str">
        <f>IF(Y582="","",IF(Y582="[FÓRMULA MANUAL]","",IFERROR(AVERAGEIFS(DATOS!$K$2:$K$20000,DATOS!$A$2:$A$20000,Y582,DATOS!$G$2:$G$20000,CONFIG_METADATA!$B$4,DATOS!$I$2:$I$20000,"Orquesta/Banda/Conjunto"),"")))</f>
        <v/>
      </c>
      <c r="AB582" t="str">
        <f>IF(Y582="","",IF(Y582="[FÓRMULA MANUAL]","",IFERROR(AVERAGEIFS(DATOS!$K$2:$K$20000,DATOS!$A$2:$A$20000,Y582,DATOS!$G$2:$G$20000,CONFIG_METADATA!$B$4,DATOS!$I$2:$I$20000,"Música de Cámara"),"")))</f>
        <v/>
      </c>
      <c r="AC582" t="str">
        <f>IF(Y582="","",IF(Y582="[FÓRMULA MANUAL]","",IFERROR(SUMPRODUCT((DATOS!$A$2:$A$20000=Y582)*(DATOS!$G$2:$G$20000=CONFIG_METADATA!$B$4)*(COUNTIF(CONFIG_ASIGNATURAS!$B$7:$B$27,DATOS!$I$2:$I$20000)&gt;0)*(DATOS!$K$2:$K$20000))/SUMPRODUCT((DATOS!$A$2:$A$20000=Y582)*(DATOS!$G$2:$G$20000=CONFIG_METADATA!$B$4)*(COUNTIF(CONFIG_ASIGNATURAS!$B$7:$B$27,DATOS!$I$2:$I$20000)&gt;0)*1),"")))</f>
        <v/>
      </c>
      <c r="AF582" t="str">
        <f>IF(AE582="","",IF(AE582="[FÓRMULA MANUAL]","",IFERROR(AVERAGEIFS(DATOS!$K$2:$K$20000,DATOS!$A$2:$A$20000,AE582,DATOS!$G$2:$G$20000,CONFIG_METADATA!$B$4,DATOS!$I$2:$I$20000,"Análisis"),"")))</f>
        <v/>
      </c>
      <c r="AG582" t="str">
        <f>IF(AE582="","",IF(AE582="[FÓRMULA MANUAL]","",IFERROR(AVERAGEIFS(DATOS!$K$2:$K$20000,DATOS!$A$2:$A$20000,AE582,DATOS!$G$2:$G$20000,CONFIG_METADATA!$B$4,DATOS!$I$2:$I$20000,"Orquesta/Banda/Conjunto"),"")))</f>
        <v/>
      </c>
      <c r="AH582" t="str">
        <f>IF(AE582="","",IF(AE582="[FÓRMULA MANUAL]","",IFERROR(AVERAGEIFS(DATOS!$K$2:$K$20000,DATOS!$A$2:$A$20000,AE582,DATOS!$G$2:$G$20000,CONFIG_METADATA!$B$4,DATOS!$I$2:$I$20000,"Música de Cámara"),"")))</f>
        <v/>
      </c>
      <c r="AI582" t="str">
        <f>IF(AE582="","",IF(AE582="[FÓRMULA MANUAL]","",IFERROR(SUMPRODUCT((DATOS!$A$2:$A$20000=AE582)*(DATOS!$G$2:$G$20000=CONFIG_METADATA!$B$4)*(COUNTIF(CONFIG_ASIGNATURAS!$B$7:$B$27,DATOS!$I$2:$I$20000)&gt;0)*(DATOS!$K$2:$K$20000))/SUMPRODUCT((DATOS!$A$2:$A$20000=AE582)*(DATOS!$G$2:$G$20000=CONFIG_METADATA!$B$4)*(COUNTIF(CONFIG_ASIGNATURAS!$B$7:$B$27,DATOS!$I$2:$I$20000)&gt;0)*1),"")))</f>
        <v/>
      </c>
    </row>
    <row r="583" spans="2:35" x14ac:dyDescent="0.2">
      <c r="B583" t="str">
        <f>IF(A583="","",IF(A583="[FÓRMULA MANUAL]","",IFERROR(AVERAGEIFS(DATOS!$K$2:$K$20000,DATOS!$A$2:$A$20000,A583,DATOS!$G$2:$G$20000,CONFIG_METADATA!$B$4,DATOS!$I$2:$I$20000,"Lenguaje Musical"),"")))</f>
        <v/>
      </c>
      <c r="C583" t="str">
        <f>IF(A583="","",IF(A583="[FÓRMULA MANUAL]","",IFERROR(AVERAGEIFS(DATOS!$K$2:$K$20000,DATOS!$A$2:$A$20000,A583,DATOS!$G$2:$G$20000,CONFIG_METADATA!$B$4,DATOS!$I$2:$I$20000,"Orquesta/Banda/Conjunto"),"")))</f>
        <v/>
      </c>
      <c r="D583" t="str">
        <f>IF(A583="","",IF(A583="[FÓRMULA MANUAL]","",IFERROR(AVERAGEIFS(DATOS!$K$2:$K$20000,DATOS!$A$2:$A$20000,A583,DATOS!$G$2:$G$20000,CONFIG_METADATA!$B$4,DATOS!$I$2:$I$20000,"Conjunto"),"")))</f>
        <v/>
      </c>
      <c r="E583" t="str">
        <f>IF(A583="","",IF(A583="[FÓRMULA MANUAL]","",IFERROR(SUMPRODUCT((DATOS!$A$2:$A$20000=A583)*(DATOS!$G$2:$G$20000=CONFIG_METADATA!$B$4)*(COUNTIF(CONFIG_ASIGNATURAS!$B$7:$B$27,DATOS!$I$2:$I$20000)&gt;0)*(DATOS!$K$2:$K$20000))/SUMPRODUCT((DATOS!$A$2:$A$20000=A583)*(DATOS!$G$2:$G$20000=CONFIG_METADATA!$B$4)*(COUNTIF(CONFIG_ASIGNATURAS!$B$7:$B$27,DATOS!$I$2:$I$20000)&gt;0)*1),"")))</f>
        <v/>
      </c>
      <c r="H583" t="str">
        <f>IF(G583="","",IF(G583="[FÓRMULA MANUAL]","",IFERROR(AVERAGEIFS(DATOS!$K$2:$K$20000,DATOS!$A$2:$A$20000,G583,DATOS!$G$2:$G$20000,CONFIG_METADATA!$B$4,DATOS!$I$2:$I$20000,"Lenguaje Musical"),"")))</f>
        <v/>
      </c>
      <c r="I583" t="str">
        <f>IF(G583="","",IF(G583="[FÓRMULA MANUAL]","",IFERROR(AVERAGEIFS(DATOS!$K$2:$K$20000,DATOS!$A$2:$A$20000,G583,DATOS!$G$2:$G$20000,CONFIG_METADATA!$B$4,DATOS!$I$2:$I$20000,"Orquesta/Banda/Conjunto"),"")))</f>
        <v/>
      </c>
      <c r="J583" t="str">
        <f>IF(G583="","",IF(G583="[FÓRMULA MANUAL]","",IFERROR(AVERAGEIFS(DATOS!$K$2:$K$20000,DATOS!$A$2:$A$20000,G583,DATOS!$G$2:$G$20000,CONFIG_METADATA!$B$4,DATOS!$I$2:$I$20000,"Conjunto"),"")))</f>
        <v/>
      </c>
      <c r="K583" t="str">
        <f>IF(G583="","",IF(G583="[FÓRMULA MANUAL]","",IFERROR(SUMPRODUCT((DATOS!$A$2:$A$20000=G583)*(DATOS!$G$2:$G$20000=CONFIG_METADATA!$B$4)*(COUNTIF(CONFIG_ASIGNATURAS!$B$7:$B$27,DATOS!$I$2:$I$20000)&gt;0)*(DATOS!$K$2:$K$20000))/SUMPRODUCT((DATOS!$A$2:$A$20000=G583)*(DATOS!$G$2:$G$20000=CONFIG_METADATA!$B$4)*(COUNTIF(CONFIG_ASIGNATURAS!$B$7:$B$27,DATOS!$I$2:$I$20000)&gt;0)*1),"")))</f>
        <v/>
      </c>
      <c r="N583" t="str">
        <f>IF(M583="","",IF(M583="[FÓRMULA MANUAL]","",IFERROR(AVERAGEIFS(DATOS!$K$2:$K$20000,DATOS!$A$2:$A$20000,M583,DATOS!$G$2:$G$20000,CONFIG_METADATA!$B$4,DATOS!$I$2:$I$20000,"Armonía"),"")))</f>
        <v/>
      </c>
      <c r="O583" t="str">
        <f>IF(M583="","",IF(M583="[FÓRMULA MANUAL]","",IFERROR(AVERAGEIFS(DATOS!$K$2:$K$20000,DATOS!$A$2:$A$20000,M583,DATOS!$G$2:$G$20000,CONFIG_METADATA!$B$4,DATOS!$I$2:$I$20000,"Orquesta/Banda/Conjunto"),"")))</f>
        <v/>
      </c>
      <c r="P583" t="str">
        <f>IF(M583="","",IF(M583="[FÓRMULA MANUAL]","",IFERROR(AVERAGEIFS(DATOS!$K$2:$K$20000,DATOS!$A$2:$A$20000,M583,DATOS!$G$2:$G$20000,CONFIG_METADATA!$B$4,DATOS!$I$2:$I$20000,"Música de Cámara"),"")))</f>
        <v/>
      </c>
      <c r="Q583" t="str">
        <f>IF(M583="","",IF(M583="[FÓRMULA MANUAL]","",IFERROR(SUMPRODUCT((DATOS!$A$2:$A$20000=M583)*(DATOS!$G$2:$G$20000=CONFIG_METADATA!$B$4)*(COUNTIF(CONFIG_ASIGNATURAS!$B$7:$B$27,DATOS!$I$2:$I$20000)&gt;0)*(DATOS!$K$2:$K$20000))/SUMPRODUCT((DATOS!$A$2:$A$20000=M583)*(DATOS!$G$2:$G$20000=CONFIG_METADATA!$B$4)*(COUNTIF(CONFIG_ASIGNATURAS!$B$7:$B$27,DATOS!$I$2:$I$20000)&gt;0)*1),"")))</f>
        <v/>
      </c>
      <c r="T583" t="str">
        <f>IF(S583="","",IF(S583="[FÓRMULA MANUAL]","",IFERROR(AVERAGEIFS(DATOS!$K$2:$K$20000,DATOS!$A$2:$A$20000,S583,DATOS!$G$2:$G$20000,CONFIG_METADATA!$B$4,DATOS!$I$2:$I$20000,"Armonía"),"")))</f>
        <v/>
      </c>
      <c r="U583" t="str">
        <f>IF(S583="","",IF(S583="[FÓRMULA MANUAL]","",IFERROR(AVERAGEIFS(DATOS!$K$2:$K$20000,DATOS!$A$2:$A$20000,S583,DATOS!$G$2:$G$20000,CONFIG_METADATA!$B$4,DATOS!$I$2:$I$20000,"Orquesta/Banda/Conjunto"),"")))</f>
        <v/>
      </c>
      <c r="V583" t="str">
        <f>IF(S583="","",IF(S583="[FÓRMULA MANUAL]","",IFERROR(AVERAGEIFS(DATOS!$K$2:$K$20000,DATOS!$A$2:$A$20000,S583,DATOS!$G$2:$G$20000,CONFIG_METADATA!$B$4,DATOS!$I$2:$I$20000,"Música de Cámara"),"")))</f>
        <v/>
      </c>
      <c r="W583" t="str">
        <f>IF(S583="","",IF(S583="[FÓRMULA MANUAL]","",IFERROR(SUMPRODUCT((DATOS!$A$2:$A$20000=S583)*(DATOS!$G$2:$G$20000=CONFIG_METADATA!$B$4)*(COUNTIF(CONFIG_ASIGNATURAS!$B$7:$B$27,DATOS!$I$2:$I$20000)&gt;0)*(DATOS!$K$2:$K$20000))/SUMPRODUCT((DATOS!$A$2:$A$20000=S583)*(DATOS!$G$2:$G$20000=CONFIG_METADATA!$B$4)*(COUNTIF(CONFIG_ASIGNATURAS!$B$7:$B$27,DATOS!$I$2:$I$20000)&gt;0)*1),"")))</f>
        <v/>
      </c>
      <c r="Z583" t="str">
        <f>IF(Y583="","",IF(Y583="[FÓRMULA MANUAL]","",IFERROR(AVERAGEIFS(DATOS!$K$2:$K$20000,DATOS!$A$2:$A$20000,Y583,DATOS!$G$2:$G$20000,CONFIG_METADATA!$B$4,DATOS!$I$2:$I$20000,"Análisis"),"")))</f>
        <v/>
      </c>
      <c r="AA583" t="str">
        <f>IF(Y583="","",IF(Y583="[FÓRMULA MANUAL]","",IFERROR(AVERAGEIFS(DATOS!$K$2:$K$20000,DATOS!$A$2:$A$20000,Y583,DATOS!$G$2:$G$20000,CONFIG_METADATA!$B$4,DATOS!$I$2:$I$20000,"Orquesta/Banda/Conjunto"),"")))</f>
        <v/>
      </c>
      <c r="AB583" t="str">
        <f>IF(Y583="","",IF(Y583="[FÓRMULA MANUAL]","",IFERROR(AVERAGEIFS(DATOS!$K$2:$K$20000,DATOS!$A$2:$A$20000,Y583,DATOS!$G$2:$G$20000,CONFIG_METADATA!$B$4,DATOS!$I$2:$I$20000,"Música de Cámara"),"")))</f>
        <v/>
      </c>
      <c r="AC583" t="str">
        <f>IF(Y583="","",IF(Y583="[FÓRMULA MANUAL]","",IFERROR(SUMPRODUCT((DATOS!$A$2:$A$20000=Y583)*(DATOS!$G$2:$G$20000=CONFIG_METADATA!$B$4)*(COUNTIF(CONFIG_ASIGNATURAS!$B$7:$B$27,DATOS!$I$2:$I$20000)&gt;0)*(DATOS!$K$2:$K$20000))/SUMPRODUCT((DATOS!$A$2:$A$20000=Y583)*(DATOS!$G$2:$G$20000=CONFIG_METADATA!$B$4)*(COUNTIF(CONFIG_ASIGNATURAS!$B$7:$B$27,DATOS!$I$2:$I$20000)&gt;0)*1),"")))</f>
        <v/>
      </c>
      <c r="AF583" t="str">
        <f>IF(AE583="","",IF(AE583="[FÓRMULA MANUAL]","",IFERROR(AVERAGEIFS(DATOS!$K$2:$K$20000,DATOS!$A$2:$A$20000,AE583,DATOS!$G$2:$G$20000,CONFIG_METADATA!$B$4,DATOS!$I$2:$I$20000,"Análisis"),"")))</f>
        <v/>
      </c>
      <c r="AG583" t="str">
        <f>IF(AE583="","",IF(AE583="[FÓRMULA MANUAL]","",IFERROR(AVERAGEIFS(DATOS!$K$2:$K$20000,DATOS!$A$2:$A$20000,AE583,DATOS!$G$2:$G$20000,CONFIG_METADATA!$B$4,DATOS!$I$2:$I$20000,"Orquesta/Banda/Conjunto"),"")))</f>
        <v/>
      </c>
      <c r="AH583" t="str">
        <f>IF(AE583="","",IF(AE583="[FÓRMULA MANUAL]","",IFERROR(AVERAGEIFS(DATOS!$K$2:$K$20000,DATOS!$A$2:$A$20000,AE583,DATOS!$G$2:$G$20000,CONFIG_METADATA!$B$4,DATOS!$I$2:$I$20000,"Música de Cámara"),"")))</f>
        <v/>
      </c>
      <c r="AI583" t="str">
        <f>IF(AE583="","",IF(AE583="[FÓRMULA MANUAL]","",IFERROR(SUMPRODUCT((DATOS!$A$2:$A$20000=AE583)*(DATOS!$G$2:$G$20000=CONFIG_METADATA!$B$4)*(COUNTIF(CONFIG_ASIGNATURAS!$B$7:$B$27,DATOS!$I$2:$I$20000)&gt;0)*(DATOS!$K$2:$K$20000))/SUMPRODUCT((DATOS!$A$2:$A$20000=AE583)*(DATOS!$G$2:$G$20000=CONFIG_METADATA!$B$4)*(COUNTIF(CONFIG_ASIGNATURAS!$B$7:$B$27,DATOS!$I$2:$I$20000)&gt;0)*1),"")))</f>
        <v/>
      </c>
    </row>
    <row r="584" spans="2:35" x14ac:dyDescent="0.2">
      <c r="B584" t="str">
        <f>IF(A584="","",IF(A584="[FÓRMULA MANUAL]","",IFERROR(AVERAGEIFS(DATOS!$K$2:$K$20000,DATOS!$A$2:$A$20000,A584,DATOS!$G$2:$G$20000,CONFIG_METADATA!$B$4,DATOS!$I$2:$I$20000,"Lenguaje Musical"),"")))</f>
        <v/>
      </c>
      <c r="C584" t="str">
        <f>IF(A584="","",IF(A584="[FÓRMULA MANUAL]","",IFERROR(AVERAGEIFS(DATOS!$K$2:$K$20000,DATOS!$A$2:$A$20000,A584,DATOS!$G$2:$G$20000,CONFIG_METADATA!$B$4,DATOS!$I$2:$I$20000,"Orquesta/Banda/Conjunto"),"")))</f>
        <v/>
      </c>
      <c r="D584" t="str">
        <f>IF(A584="","",IF(A584="[FÓRMULA MANUAL]","",IFERROR(AVERAGEIFS(DATOS!$K$2:$K$20000,DATOS!$A$2:$A$20000,A584,DATOS!$G$2:$G$20000,CONFIG_METADATA!$B$4,DATOS!$I$2:$I$20000,"Conjunto"),"")))</f>
        <v/>
      </c>
      <c r="E584" t="str">
        <f>IF(A584="","",IF(A584="[FÓRMULA MANUAL]","",IFERROR(SUMPRODUCT((DATOS!$A$2:$A$20000=A584)*(DATOS!$G$2:$G$20000=CONFIG_METADATA!$B$4)*(COUNTIF(CONFIG_ASIGNATURAS!$B$7:$B$27,DATOS!$I$2:$I$20000)&gt;0)*(DATOS!$K$2:$K$20000))/SUMPRODUCT((DATOS!$A$2:$A$20000=A584)*(DATOS!$G$2:$G$20000=CONFIG_METADATA!$B$4)*(COUNTIF(CONFIG_ASIGNATURAS!$B$7:$B$27,DATOS!$I$2:$I$20000)&gt;0)*1),"")))</f>
        <v/>
      </c>
      <c r="H584" t="str">
        <f>IF(G584="","",IF(G584="[FÓRMULA MANUAL]","",IFERROR(AVERAGEIFS(DATOS!$K$2:$K$20000,DATOS!$A$2:$A$20000,G584,DATOS!$G$2:$G$20000,CONFIG_METADATA!$B$4,DATOS!$I$2:$I$20000,"Lenguaje Musical"),"")))</f>
        <v/>
      </c>
      <c r="I584" t="str">
        <f>IF(G584="","",IF(G584="[FÓRMULA MANUAL]","",IFERROR(AVERAGEIFS(DATOS!$K$2:$K$20000,DATOS!$A$2:$A$20000,G584,DATOS!$G$2:$G$20000,CONFIG_METADATA!$B$4,DATOS!$I$2:$I$20000,"Orquesta/Banda/Conjunto"),"")))</f>
        <v/>
      </c>
      <c r="J584" t="str">
        <f>IF(G584="","",IF(G584="[FÓRMULA MANUAL]","",IFERROR(AVERAGEIFS(DATOS!$K$2:$K$20000,DATOS!$A$2:$A$20000,G584,DATOS!$G$2:$G$20000,CONFIG_METADATA!$B$4,DATOS!$I$2:$I$20000,"Conjunto"),"")))</f>
        <v/>
      </c>
      <c r="K584" t="str">
        <f>IF(G584="","",IF(G584="[FÓRMULA MANUAL]","",IFERROR(SUMPRODUCT((DATOS!$A$2:$A$20000=G584)*(DATOS!$G$2:$G$20000=CONFIG_METADATA!$B$4)*(COUNTIF(CONFIG_ASIGNATURAS!$B$7:$B$27,DATOS!$I$2:$I$20000)&gt;0)*(DATOS!$K$2:$K$20000))/SUMPRODUCT((DATOS!$A$2:$A$20000=G584)*(DATOS!$G$2:$G$20000=CONFIG_METADATA!$B$4)*(COUNTIF(CONFIG_ASIGNATURAS!$B$7:$B$27,DATOS!$I$2:$I$20000)&gt;0)*1),"")))</f>
        <v/>
      </c>
      <c r="N584" t="str">
        <f>IF(M584="","",IF(M584="[FÓRMULA MANUAL]","",IFERROR(AVERAGEIFS(DATOS!$K$2:$K$20000,DATOS!$A$2:$A$20000,M584,DATOS!$G$2:$G$20000,CONFIG_METADATA!$B$4,DATOS!$I$2:$I$20000,"Armonía"),"")))</f>
        <v/>
      </c>
      <c r="O584" t="str">
        <f>IF(M584="","",IF(M584="[FÓRMULA MANUAL]","",IFERROR(AVERAGEIFS(DATOS!$K$2:$K$20000,DATOS!$A$2:$A$20000,M584,DATOS!$G$2:$G$20000,CONFIG_METADATA!$B$4,DATOS!$I$2:$I$20000,"Orquesta/Banda/Conjunto"),"")))</f>
        <v/>
      </c>
      <c r="P584" t="str">
        <f>IF(M584="","",IF(M584="[FÓRMULA MANUAL]","",IFERROR(AVERAGEIFS(DATOS!$K$2:$K$20000,DATOS!$A$2:$A$20000,M584,DATOS!$G$2:$G$20000,CONFIG_METADATA!$B$4,DATOS!$I$2:$I$20000,"Música de Cámara"),"")))</f>
        <v/>
      </c>
      <c r="Q584" t="str">
        <f>IF(M584="","",IF(M584="[FÓRMULA MANUAL]","",IFERROR(SUMPRODUCT((DATOS!$A$2:$A$20000=M584)*(DATOS!$G$2:$G$20000=CONFIG_METADATA!$B$4)*(COUNTIF(CONFIG_ASIGNATURAS!$B$7:$B$27,DATOS!$I$2:$I$20000)&gt;0)*(DATOS!$K$2:$K$20000))/SUMPRODUCT((DATOS!$A$2:$A$20000=M584)*(DATOS!$G$2:$G$20000=CONFIG_METADATA!$B$4)*(COUNTIF(CONFIG_ASIGNATURAS!$B$7:$B$27,DATOS!$I$2:$I$20000)&gt;0)*1),"")))</f>
        <v/>
      </c>
      <c r="T584" t="str">
        <f>IF(S584="","",IF(S584="[FÓRMULA MANUAL]","",IFERROR(AVERAGEIFS(DATOS!$K$2:$K$20000,DATOS!$A$2:$A$20000,S584,DATOS!$G$2:$G$20000,CONFIG_METADATA!$B$4,DATOS!$I$2:$I$20000,"Armonía"),"")))</f>
        <v/>
      </c>
      <c r="U584" t="str">
        <f>IF(S584="","",IF(S584="[FÓRMULA MANUAL]","",IFERROR(AVERAGEIFS(DATOS!$K$2:$K$20000,DATOS!$A$2:$A$20000,S584,DATOS!$G$2:$G$20000,CONFIG_METADATA!$B$4,DATOS!$I$2:$I$20000,"Orquesta/Banda/Conjunto"),"")))</f>
        <v/>
      </c>
      <c r="V584" t="str">
        <f>IF(S584="","",IF(S584="[FÓRMULA MANUAL]","",IFERROR(AVERAGEIFS(DATOS!$K$2:$K$20000,DATOS!$A$2:$A$20000,S584,DATOS!$G$2:$G$20000,CONFIG_METADATA!$B$4,DATOS!$I$2:$I$20000,"Música de Cámara"),"")))</f>
        <v/>
      </c>
      <c r="W584" t="str">
        <f>IF(S584="","",IF(S584="[FÓRMULA MANUAL]","",IFERROR(SUMPRODUCT((DATOS!$A$2:$A$20000=S584)*(DATOS!$G$2:$G$20000=CONFIG_METADATA!$B$4)*(COUNTIF(CONFIG_ASIGNATURAS!$B$7:$B$27,DATOS!$I$2:$I$20000)&gt;0)*(DATOS!$K$2:$K$20000))/SUMPRODUCT((DATOS!$A$2:$A$20000=S584)*(DATOS!$G$2:$G$20000=CONFIG_METADATA!$B$4)*(COUNTIF(CONFIG_ASIGNATURAS!$B$7:$B$27,DATOS!$I$2:$I$20000)&gt;0)*1),"")))</f>
        <v/>
      </c>
      <c r="Z584" t="str">
        <f>IF(Y584="","",IF(Y584="[FÓRMULA MANUAL]","",IFERROR(AVERAGEIFS(DATOS!$K$2:$K$20000,DATOS!$A$2:$A$20000,Y584,DATOS!$G$2:$G$20000,CONFIG_METADATA!$B$4,DATOS!$I$2:$I$20000,"Análisis"),"")))</f>
        <v/>
      </c>
      <c r="AA584" t="str">
        <f>IF(Y584="","",IF(Y584="[FÓRMULA MANUAL]","",IFERROR(AVERAGEIFS(DATOS!$K$2:$K$20000,DATOS!$A$2:$A$20000,Y584,DATOS!$G$2:$G$20000,CONFIG_METADATA!$B$4,DATOS!$I$2:$I$20000,"Orquesta/Banda/Conjunto"),"")))</f>
        <v/>
      </c>
      <c r="AB584" t="str">
        <f>IF(Y584="","",IF(Y584="[FÓRMULA MANUAL]","",IFERROR(AVERAGEIFS(DATOS!$K$2:$K$20000,DATOS!$A$2:$A$20000,Y584,DATOS!$G$2:$G$20000,CONFIG_METADATA!$B$4,DATOS!$I$2:$I$20000,"Música de Cámara"),"")))</f>
        <v/>
      </c>
      <c r="AC584" t="str">
        <f>IF(Y584="","",IF(Y584="[FÓRMULA MANUAL]","",IFERROR(SUMPRODUCT((DATOS!$A$2:$A$20000=Y584)*(DATOS!$G$2:$G$20000=CONFIG_METADATA!$B$4)*(COUNTIF(CONFIG_ASIGNATURAS!$B$7:$B$27,DATOS!$I$2:$I$20000)&gt;0)*(DATOS!$K$2:$K$20000))/SUMPRODUCT((DATOS!$A$2:$A$20000=Y584)*(DATOS!$G$2:$G$20000=CONFIG_METADATA!$B$4)*(COUNTIF(CONFIG_ASIGNATURAS!$B$7:$B$27,DATOS!$I$2:$I$20000)&gt;0)*1),"")))</f>
        <v/>
      </c>
      <c r="AF584" t="str">
        <f>IF(AE584="","",IF(AE584="[FÓRMULA MANUAL]","",IFERROR(AVERAGEIFS(DATOS!$K$2:$K$20000,DATOS!$A$2:$A$20000,AE584,DATOS!$G$2:$G$20000,CONFIG_METADATA!$B$4,DATOS!$I$2:$I$20000,"Análisis"),"")))</f>
        <v/>
      </c>
      <c r="AG584" t="str">
        <f>IF(AE584="","",IF(AE584="[FÓRMULA MANUAL]","",IFERROR(AVERAGEIFS(DATOS!$K$2:$K$20000,DATOS!$A$2:$A$20000,AE584,DATOS!$G$2:$G$20000,CONFIG_METADATA!$B$4,DATOS!$I$2:$I$20000,"Orquesta/Banda/Conjunto"),"")))</f>
        <v/>
      </c>
      <c r="AH584" t="str">
        <f>IF(AE584="","",IF(AE584="[FÓRMULA MANUAL]","",IFERROR(AVERAGEIFS(DATOS!$K$2:$K$20000,DATOS!$A$2:$A$20000,AE584,DATOS!$G$2:$G$20000,CONFIG_METADATA!$B$4,DATOS!$I$2:$I$20000,"Música de Cámara"),"")))</f>
        <v/>
      </c>
      <c r="AI584" t="str">
        <f>IF(AE584="","",IF(AE584="[FÓRMULA MANUAL]","",IFERROR(SUMPRODUCT((DATOS!$A$2:$A$20000=AE584)*(DATOS!$G$2:$G$20000=CONFIG_METADATA!$B$4)*(COUNTIF(CONFIG_ASIGNATURAS!$B$7:$B$27,DATOS!$I$2:$I$20000)&gt;0)*(DATOS!$K$2:$K$20000))/SUMPRODUCT((DATOS!$A$2:$A$20000=AE584)*(DATOS!$G$2:$G$20000=CONFIG_METADATA!$B$4)*(COUNTIF(CONFIG_ASIGNATURAS!$B$7:$B$27,DATOS!$I$2:$I$20000)&gt;0)*1),"")))</f>
        <v/>
      </c>
    </row>
    <row r="585" spans="2:35" x14ac:dyDescent="0.2">
      <c r="B585" t="str">
        <f>IF(A585="","",IF(A585="[FÓRMULA MANUAL]","",IFERROR(AVERAGEIFS(DATOS!$K$2:$K$20000,DATOS!$A$2:$A$20000,A585,DATOS!$G$2:$G$20000,CONFIG_METADATA!$B$4,DATOS!$I$2:$I$20000,"Lenguaje Musical"),"")))</f>
        <v/>
      </c>
      <c r="C585" t="str">
        <f>IF(A585="","",IF(A585="[FÓRMULA MANUAL]","",IFERROR(AVERAGEIFS(DATOS!$K$2:$K$20000,DATOS!$A$2:$A$20000,A585,DATOS!$G$2:$G$20000,CONFIG_METADATA!$B$4,DATOS!$I$2:$I$20000,"Orquesta/Banda/Conjunto"),"")))</f>
        <v/>
      </c>
      <c r="D585" t="str">
        <f>IF(A585="","",IF(A585="[FÓRMULA MANUAL]","",IFERROR(AVERAGEIFS(DATOS!$K$2:$K$20000,DATOS!$A$2:$A$20000,A585,DATOS!$G$2:$G$20000,CONFIG_METADATA!$B$4,DATOS!$I$2:$I$20000,"Conjunto"),"")))</f>
        <v/>
      </c>
      <c r="E585" t="str">
        <f>IF(A585="","",IF(A585="[FÓRMULA MANUAL]","",IFERROR(SUMPRODUCT((DATOS!$A$2:$A$20000=A585)*(DATOS!$G$2:$G$20000=CONFIG_METADATA!$B$4)*(COUNTIF(CONFIG_ASIGNATURAS!$B$7:$B$27,DATOS!$I$2:$I$20000)&gt;0)*(DATOS!$K$2:$K$20000))/SUMPRODUCT((DATOS!$A$2:$A$20000=A585)*(DATOS!$G$2:$G$20000=CONFIG_METADATA!$B$4)*(COUNTIF(CONFIG_ASIGNATURAS!$B$7:$B$27,DATOS!$I$2:$I$20000)&gt;0)*1),"")))</f>
        <v/>
      </c>
      <c r="H585" t="str">
        <f>IF(G585="","",IF(G585="[FÓRMULA MANUAL]","",IFERROR(AVERAGEIFS(DATOS!$K$2:$K$20000,DATOS!$A$2:$A$20000,G585,DATOS!$G$2:$G$20000,CONFIG_METADATA!$B$4,DATOS!$I$2:$I$20000,"Lenguaje Musical"),"")))</f>
        <v/>
      </c>
      <c r="I585" t="str">
        <f>IF(G585="","",IF(G585="[FÓRMULA MANUAL]","",IFERROR(AVERAGEIFS(DATOS!$K$2:$K$20000,DATOS!$A$2:$A$20000,G585,DATOS!$G$2:$G$20000,CONFIG_METADATA!$B$4,DATOS!$I$2:$I$20000,"Orquesta/Banda/Conjunto"),"")))</f>
        <v/>
      </c>
      <c r="J585" t="str">
        <f>IF(G585="","",IF(G585="[FÓRMULA MANUAL]","",IFERROR(AVERAGEIFS(DATOS!$K$2:$K$20000,DATOS!$A$2:$A$20000,G585,DATOS!$G$2:$G$20000,CONFIG_METADATA!$B$4,DATOS!$I$2:$I$20000,"Conjunto"),"")))</f>
        <v/>
      </c>
      <c r="K585" t="str">
        <f>IF(G585="","",IF(G585="[FÓRMULA MANUAL]","",IFERROR(SUMPRODUCT((DATOS!$A$2:$A$20000=G585)*(DATOS!$G$2:$G$20000=CONFIG_METADATA!$B$4)*(COUNTIF(CONFIG_ASIGNATURAS!$B$7:$B$27,DATOS!$I$2:$I$20000)&gt;0)*(DATOS!$K$2:$K$20000))/SUMPRODUCT((DATOS!$A$2:$A$20000=G585)*(DATOS!$G$2:$G$20000=CONFIG_METADATA!$B$4)*(COUNTIF(CONFIG_ASIGNATURAS!$B$7:$B$27,DATOS!$I$2:$I$20000)&gt;0)*1),"")))</f>
        <v/>
      </c>
      <c r="N585" t="str">
        <f>IF(M585="","",IF(M585="[FÓRMULA MANUAL]","",IFERROR(AVERAGEIFS(DATOS!$K$2:$K$20000,DATOS!$A$2:$A$20000,M585,DATOS!$G$2:$G$20000,CONFIG_METADATA!$B$4,DATOS!$I$2:$I$20000,"Armonía"),"")))</f>
        <v/>
      </c>
      <c r="O585" t="str">
        <f>IF(M585="","",IF(M585="[FÓRMULA MANUAL]","",IFERROR(AVERAGEIFS(DATOS!$K$2:$K$20000,DATOS!$A$2:$A$20000,M585,DATOS!$G$2:$G$20000,CONFIG_METADATA!$B$4,DATOS!$I$2:$I$20000,"Orquesta/Banda/Conjunto"),"")))</f>
        <v/>
      </c>
      <c r="P585" t="str">
        <f>IF(M585="","",IF(M585="[FÓRMULA MANUAL]","",IFERROR(AVERAGEIFS(DATOS!$K$2:$K$20000,DATOS!$A$2:$A$20000,M585,DATOS!$G$2:$G$20000,CONFIG_METADATA!$B$4,DATOS!$I$2:$I$20000,"Música de Cámara"),"")))</f>
        <v/>
      </c>
      <c r="Q585" t="str">
        <f>IF(M585="","",IF(M585="[FÓRMULA MANUAL]","",IFERROR(SUMPRODUCT((DATOS!$A$2:$A$20000=M585)*(DATOS!$G$2:$G$20000=CONFIG_METADATA!$B$4)*(COUNTIF(CONFIG_ASIGNATURAS!$B$7:$B$27,DATOS!$I$2:$I$20000)&gt;0)*(DATOS!$K$2:$K$20000))/SUMPRODUCT((DATOS!$A$2:$A$20000=M585)*(DATOS!$G$2:$G$20000=CONFIG_METADATA!$B$4)*(COUNTIF(CONFIG_ASIGNATURAS!$B$7:$B$27,DATOS!$I$2:$I$20000)&gt;0)*1),"")))</f>
        <v/>
      </c>
      <c r="T585" t="str">
        <f>IF(S585="","",IF(S585="[FÓRMULA MANUAL]","",IFERROR(AVERAGEIFS(DATOS!$K$2:$K$20000,DATOS!$A$2:$A$20000,S585,DATOS!$G$2:$G$20000,CONFIG_METADATA!$B$4,DATOS!$I$2:$I$20000,"Armonía"),"")))</f>
        <v/>
      </c>
      <c r="U585" t="str">
        <f>IF(S585="","",IF(S585="[FÓRMULA MANUAL]","",IFERROR(AVERAGEIFS(DATOS!$K$2:$K$20000,DATOS!$A$2:$A$20000,S585,DATOS!$G$2:$G$20000,CONFIG_METADATA!$B$4,DATOS!$I$2:$I$20000,"Orquesta/Banda/Conjunto"),"")))</f>
        <v/>
      </c>
      <c r="V585" t="str">
        <f>IF(S585="","",IF(S585="[FÓRMULA MANUAL]","",IFERROR(AVERAGEIFS(DATOS!$K$2:$K$20000,DATOS!$A$2:$A$20000,S585,DATOS!$G$2:$G$20000,CONFIG_METADATA!$B$4,DATOS!$I$2:$I$20000,"Música de Cámara"),"")))</f>
        <v/>
      </c>
      <c r="W585" t="str">
        <f>IF(S585="","",IF(S585="[FÓRMULA MANUAL]","",IFERROR(SUMPRODUCT((DATOS!$A$2:$A$20000=S585)*(DATOS!$G$2:$G$20000=CONFIG_METADATA!$B$4)*(COUNTIF(CONFIG_ASIGNATURAS!$B$7:$B$27,DATOS!$I$2:$I$20000)&gt;0)*(DATOS!$K$2:$K$20000))/SUMPRODUCT((DATOS!$A$2:$A$20000=S585)*(DATOS!$G$2:$G$20000=CONFIG_METADATA!$B$4)*(COUNTIF(CONFIG_ASIGNATURAS!$B$7:$B$27,DATOS!$I$2:$I$20000)&gt;0)*1),"")))</f>
        <v/>
      </c>
      <c r="Z585" t="str">
        <f>IF(Y585="","",IF(Y585="[FÓRMULA MANUAL]","",IFERROR(AVERAGEIFS(DATOS!$K$2:$K$20000,DATOS!$A$2:$A$20000,Y585,DATOS!$G$2:$G$20000,CONFIG_METADATA!$B$4,DATOS!$I$2:$I$20000,"Análisis"),"")))</f>
        <v/>
      </c>
      <c r="AA585" t="str">
        <f>IF(Y585="","",IF(Y585="[FÓRMULA MANUAL]","",IFERROR(AVERAGEIFS(DATOS!$K$2:$K$20000,DATOS!$A$2:$A$20000,Y585,DATOS!$G$2:$G$20000,CONFIG_METADATA!$B$4,DATOS!$I$2:$I$20000,"Orquesta/Banda/Conjunto"),"")))</f>
        <v/>
      </c>
      <c r="AB585" t="str">
        <f>IF(Y585="","",IF(Y585="[FÓRMULA MANUAL]","",IFERROR(AVERAGEIFS(DATOS!$K$2:$K$20000,DATOS!$A$2:$A$20000,Y585,DATOS!$G$2:$G$20000,CONFIG_METADATA!$B$4,DATOS!$I$2:$I$20000,"Música de Cámara"),"")))</f>
        <v/>
      </c>
      <c r="AC585" t="str">
        <f>IF(Y585="","",IF(Y585="[FÓRMULA MANUAL]","",IFERROR(SUMPRODUCT((DATOS!$A$2:$A$20000=Y585)*(DATOS!$G$2:$G$20000=CONFIG_METADATA!$B$4)*(COUNTIF(CONFIG_ASIGNATURAS!$B$7:$B$27,DATOS!$I$2:$I$20000)&gt;0)*(DATOS!$K$2:$K$20000))/SUMPRODUCT((DATOS!$A$2:$A$20000=Y585)*(DATOS!$G$2:$G$20000=CONFIG_METADATA!$B$4)*(COUNTIF(CONFIG_ASIGNATURAS!$B$7:$B$27,DATOS!$I$2:$I$20000)&gt;0)*1),"")))</f>
        <v/>
      </c>
      <c r="AF585" t="str">
        <f>IF(AE585="","",IF(AE585="[FÓRMULA MANUAL]","",IFERROR(AVERAGEIFS(DATOS!$K$2:$K$20000,DATOS!$A$2:$A$20000,AE585,DATOS!$G$2:$G$20000,CONFIG_METADATA!$B$4,DATOS!$I$2:$I$20000,"Análisis"),"")))</f>
        <v/>
      </c>
      <c r="AG585" t="str">
        <f>IF(AE585="","",IF(AE585="[FÓRMULA MANUAL]","",IFERROR(AVERAGEIFS(DATOS!$K$2:$K$20000,DATOS!$A$2:$A$20000,AE585,DATOS!$G$2:$G$20000,CONFIG_METADATA!$B$4,DATOS!$I$2:$I$20000,"Orquesta/Banda/Conjunto"),"")))</f>
        <v/>
      </c>
      <c r="AH585" t="str">
        <f>IF(AE585="","",IF(AE585="[FÓRMULA MANUAL]","",IFERROR(AVERAGEIFS(DATOS!$K$2:$K$20000,DATOS!$A$2:$A$20000,AE585,DATOS!$G$2:$G$20000,CONFIG_METADATA!$B$4,DATOS!$I$2:$I$20000,"Música de Cámara"),"")))</f>
        <v/>
      </c>
      <c r="AI585" t="str">
        <f>IF(AE585="","",IF(AE585="[FÓRMULA MANUAL]","",IFERROR(SUMPRODUCT((DATOS!$A$2:$A$20000=AE585)*(DATOS!$G$2:$G$20000=CONFIG_METADATA!$B$4)*(COUNTIF(CONFIG_ASIGNATURAS!$B$7:$B$27,DATOS!$I$2:$I$20000)&gt;0)*(DATOS!$K$2:$K$20000))/SUMPRODUCT((DATOS!$A$2:$A$20000=AE585)*(DATOS!$G$2:$G$20000=CONFIG_METADATA!$B$4)*(COUNTIF(CONFIG_ASIGNATURAS!$B$7:$B$27,DATOS!$I$2:$I$20000)&gt;0)*1),"")))</f>
        <v/>
      </c>
    </row>
    <row r="586" spans="2:35" x14ac:dyDescent="0.2">
      <c r="B586" t="str">
        <f>IF(A586="","",IF(A586="[FÓRMULA MANUAL]","",IFERROR(AVERAGEIFS(DATOS!$K$2:$K$20000,DATOS!$A$2:$A$20000,A586,DATOS!$G$2:$G$20000,CONFIG_METADATA!$B$4,DATOS!$I$2:$I$20000,"Lenguaje Musical"),"")))</f>
        <v/>
      </c>
      <c r="C586" t="str">
        <f>IF(A586="","",IF(A586="[FÓRMULA MANUAL]","",IFERROR(AVERAGEIFS(DATOS!$K$2:$K$20000,DATOS!$A$2:$A$20000,A586,DATOS!$G$2:$G$20000,CONFIG_METADATA!$B$4,DATOS!$I$2:$I$20000,"Orquesta/Banda/Conjunto"),"")))</f>
        <v/>
      </c>
      <c r="D586" t="str">
        <f>IF(A586="","",IF(A586="[FÓRMULA MANUAL]","",IFERROR(AVERAGEIFS(DATOS!$K$2:$K$20000,DATOS!$A$2:$A$20000,A586,DATOS!$G$2:$G$20000,CONFIG_METADATA!$B$4,DATOS!$I$2:$I$20000,"Conjunto"),"")))</f>
        <v/>
      </c>
      <c r="E586" t="str">
        <f>IF(A586="","",IF(A586="[FÓRMULA MANUAL]","",IFERROR(SUMPRODUCT((DATOS!$A$2:$A$20000=A586)*(DATOS!$G$2:$G$20000=CONFIG_METADATA!$B$4)*(COUNTIF(CONFIG_ASIGNATURAS!$B$7:$B$27,DATOS!$I$2:$I$20000)&gt;0)*(DATOS!$K$2:$K$20000))/SUMPRODUCT((DATOS!$A$2:$A$20000=A586)*(DATOS!$G$2:$G$20000=CONFIG_METADATA!$B$4)*(COUNTIF(CONFIG_ASIGNATURAS!$B$7:$B$27,DATOS!$I$2:$I$20000)&gt;0)*1),"")))</f>
        <v/>
      </c>
      <c r="H586" t="str">
        <f>IF(G586="","",IF(G586="[FÓRMULA MANUAL]","",IFERROR(AVERAGEIFS(DATOS!$K$2:$K$20000,DATOS!$A$2:$A$20000,G586,DATOS!$G$2:$G$20000,CONFIG_METADATA!$B$4,DATOS!$I$2:$I$20000,"Lenguaje Musical"),"")))</f>
        <v/>
      </c>
      <c r="I586" t="str">
        <f>IF(G586="","",IF(G586="[FÓRMULA MANUAL]","",IFERROR(AVERAGEIFS(DATOS!$K$2:$K$20000,DATOS!$A$2:$A$20000,G586,DATOS!$G$2:$G$20000,CONFIG_METADATA!$B$4,DATOS!$I$2:$I$20000,"Orquesta/Banda/Conjunto"),"")))</f>
        <v/>
      </c>
      <c r="J586" t="str">
        <f>IF(G586="","",IF(G586="[FÓRMULA MANUAL]","",IFERROR(AVERAGEIFS(DATOS!$K$2:$K$20000,DATOS!$A$2:$A$20000,G586,DATOS!$G$2:$G$20000,CONFIG_METADATA!$B$4,DATOS!$I$2:$I$20000,"Conjunto"),"")))</f>
        <v/>
      </c>
      <c r="K586" t="str">
        <f>IF(G586="","",IF(G586="[FÓRMULA MANUAL]","",IFERROR(SUMPRODUCT((DATOS!$A$2:$A$20000=G586)*(DATOS!$G$2:$G$20000=CONFIG_METADATA!$B$4)*(COUNTIF(CONFIG_ASIGNATURAS!$B$7:$B$27,DATOS!$I$2:$I$20000)&gt;0)*(DATOS!$K$2:$K$20000))/SUMPRODUCT((DATOS!$A$2:$A$20000=G586)*(DATOS!$G$2:$G$20000=CONFIG_METADATA!$B$4)*(COUNTIF(CONFIG_ASIGNATURAS!$B$7:$B$27,DATOS!$I$2:$I$20000)&gt;0)*1),"")))</f>
        <v/>
      </c>
      <c r="N586" t="str">
        <f>IF(M586="","",IF(M586="[FÓRMULA MANUAL]","",IFERROR(AVERAGEIFS(DATOS!$K$2:$K$20000,DATOS!$A$2:$A$20000,M586,DATOS!$G$2:$G$20000,CONFIG_METADATA!$B$4,DATOS!$I$2:$I$20000,"Armonía"),"")))</f>
        <v/>
      </c>
      <c r="O586" t="str">
        <f>IF(M586="","",IF(M586="[FÓRMULA MANUAL]","",IFERROR(AVERAGEIFS(DATOS!$K$2:$K$20000,DATOS!$A$2:$A$20000,M586,DATOS!$G$2:$G$20000,CONFIG_METADATA!$B$4,DATOS!$I$2:$I$20000,"Orquesta/Banda/Conjunto"),"")))</f>
        <v/>
      </c>
      <c r="P586" t="str">
        <f>IF(M586="","",IF(M586="[FÓRMULA MANUAL]","",IFERROR(AVERAGEIFS(DATOS!$K$2:$K$20000,DATOS!$A$2:$A$20000,M586,DATOS!$G$2:$G$20000,CONFIG_METADATA!$B$4,DATOS!$I$2:$I$20000,"Música de Cámara"),"")))</f>
        <v/>
      </c>
      <c r="Q586" t="str">
        <f>IF(M586="","",IF(M586="[FÓRMULA MANUAL]","",IFERROR(SUMPRODUCT((DATOS!$A$2:$A$20000=M586)*(DATOS!$G$2:$G$20000=CONFIG_METADATA!$B$4)*(COUNTIF(CONFIG_ASIGNATURAS!$B$7:$B$27,DATOS!$I$2:$I$20000)&gt;0)*(DATOS!$K$2:$K$20000))/SUMPRODUCT((DATOS!$A$2:$A$20000=M586)*(DATOS!$G$2:$G$20000=CONFIG_METADATA!$B$4)*(COUNTIF(CONFIG_ASIGNATURAS!$B$7:$B$27,DATOS!$I$2:$I$20000)&gt;0)*1),"")))</f>
        <v/>
      </c>
      <c r="T586" t="str">
        <f>IF(S586="","",IF(S586="[FÓRMULA MANUAL]","",IFERROR(AVERAGEIFS(DATOS!$K$2:$K$20000,DATOS!$A$2:$A$20000,S586,DATOS!$G$2:$G$20000,CONFIG_METADATA!$B$4,DATOS!$I$2:$I$20000,"Armonía"),"")))</f>
        <v/>
      </c>
      <c r="U586" t="str">
        <f>IF(S586="","",IF(S586="[FÓRMULA MANUAL]","",IFERROR(AVERAGEIFS(DATOS!$K$2:$K$20000,DATOS!$A$2:$A$20000,S586,DATOS!$G$2:$G$20000,CONFIG_METADATA!$B$4,DATOS!$I$2:$I$20000,"Orquesta/Banda/Conjunto"),"")))</f>
        <v/>
      </c>
      <c r="V586" t="str">
        <f>IF(S586="","",IF(S586="[FÓRMULA MANUAL]","",IFERROR(AVERAGEIFS(DATOS!$K$2:$K$20000,DATOS!$A$2:$A$20000,S586,DATOS!$G$2:$G$20000,CONFIG_METADATA!$B$4,DATOS!$I$2:$I$20000,"Música de Cámara"),"")))</f>
        <v/>
      </c>
      <c r="W586" t="str">
        <f>IF(S586="","",IF(S586="[FÓRMULA MANUAL]","",IFERROR(SUMPRODUCT((DATOS!$A$2:$A$20000=S586)*(DATOS!$G$2:$G$20000=CONFIG_METADATA!$B$4)*(COUNTIF(CONFIG_ASIGNATURAS!$B$7:$B$27,DATOS!$I$2:$I$20000)&gt;0)*(DATOS!$K$2:$K$20000))/SUMPRODUCT((DATOS!$A$2:$A$20000=S586)*(DATOS!$G$2:$G$20000=CONFIG_METADATA!$B$4)*(COUNTIF(CONFIG_ASIGNATURAS!$B$7:$B$27,DATOS!$I$2:$I$20000)&gt;0)*1),"")))</f>
        <v/>
      </c>
      <c r="Z586" t="str">
        <f>IF(Y586="","",IF(Y586="[FÓRMULA MANUAL]","",IFERROR(AVERAGEIFS(DATOS!$K$2:$K$20000,DATOS!$A$2:$A$20000,Y586,DATOS!$G$2:$G$20000,CONFIG_METADATA!$B$4,DATOS!$I$2:$I$20000,"Análisis"),"")))</f>
        <v/>
      </c>
      <c r="AA586" t="str">
        <f>IF(Y586="","",IF(Y586="[FÓRMULA MANUAL]","",IFERROR(AVERAGEIFS(DATOS!$K$2:$K$20000,DATOS!$A$2:$A$20000,Y586,DATOS!$G$2:$G$20000,CONFIG_METADATA!$B$4,DATOS!$I$2:$I$20000,"Orquesta/Banda/Conjunto"),"")))</f>
        <v/>
      </c>
      <c r="AB586" t="str">
        <f>IF(Y586="","",IF(Y586="[FÓRMULA MANUAL]","",IFERROR(AVERAGEIFS(DATOS!$K$2:$K$20000,DATOS!$A$2:$A$20000,Y586,DATOS!$G$2:$G$20000,CONFIG_METADATA!$B$4,DATOS!$I$2:$I$20000,"Música de Cámara"),"")))</f>
        <v/>
      </c>
      <c r="AC586" t="str">
        <f>IF(Y586="","",IF(Y586="[FÓRMULA MANUAL]","",IFERROR(SUMPRODUCT((DATOS!$A$2:$A$20000=Y586)*(DATOS!$G$2:$G$20000=CONFIG_METADATA!$B$4)*(COUNTIF(CONFIG_ASIGNATURAS!$B$7:$B$27,DATOS!$I$2:$I$20000)&gt;0)*(DATOS!$K$2:$K$20000))/SUMPRODUCT((DATOS!$A$2:$A$20000=Y586)*(DATOS!$G$2:$G$20000=CONFIG_METADATA!$B$4)*(COUNTIF(CONFIG_ASIGNATURAS!$B$7:$B$27,DATOS!$I$2:$I$20000)&gt;0)*1),"")))</f>
        <v/>
      </c>
      <c r="AF586" t="str">
        <f>IF(AE586="","",IF(AE586="[FÓRMULA MANUAL]","",IFERROR(AVERAGEIFS(DATOS!$K$2:$K$20000,DATOS!$A$2:$A$20000,AE586,DATOS!$G$2:$G$20000,CONFIG_METADATA!$B$4,DATOS!$I$2:$I$20000,"Análisis"),"")))</f>
        <v/>
      </c>
      <c r="AG586" t="str">
        <f>IF(AE586="","",IF(AE586="[FÓRMULA MANUAL]","",IFERROR(AVERAGEIFS(DATOS!$K$2:$K$20000,DATOS!$A$2:$A$20000,AE586,DATOS!$G$2:$G$20000,CONFIG_METADATA!$B$4,DATOS!$I$2:$I$20000,"Orquesta/Banda/Conjunto"),"")))</f>
        <v/>
      </c>
      <c r="AH586" t="str">
        <f>IF(AE586="","",IF(AE586="[FÓRMULA MANUAL]","",IFERROR(AVERAGEIFS(DATOS!$K$2:$K$20000,DATOS!$A$2:$A$20000,AE586,DATOS!$G$2:$G$20000,CONFIG_METADATA!$B$4,DATOS!$I$2:$I$20000,"Música de Cámara"),"")))</f>
        <v/>
      </c>
      <c r="AI586" t="str">
        <f>IF(AE586="","",IF(AE586="[FÓRMULA MANUAL]","",IFERROR(SUMPRODUCT((DATOS!$A$2:$A$20000=AE586)*(DATOS!$G$2:$G$20000=CONFIG_METADATA!$B$4)*(COUNTIF(CONFIG_ASIGNATURAS!$B$7:$B$27,DATOS!$I$2:$I$20000)&gt;0)*(DATOS!$K$2:$K$20000))/SUMPRODUCT((DATOS!$A$2:$A$20000=AE586)*(DATOS!$G$2:$G$20000=CONFIG_METADATA!$B$4)*(COUNTIF(CONFIG_ASIGNATURAS!$B$7:$B$27,DATOS!$I$2:$I$20000)&gt;0)*1),"")))</f>
        <v/>
      </c>
    </row>
    <row r="587" spans="2:35" x14ac:dyDescent="0.2">
      <c r="B587" t="str">
        <f>IF(A587="","",IF(A587="[FÓRMULA MANUAL]","",IFERROR(AVERAGEIFS(DATOS!$K$2:$K$20000,DATOS!$A$2:$A$20000,A587,DATOS!$G$2:$G$20000,CONFIG_METADATA!$B$4,DATOS!$I$2:$I$20000,"Lenguaje Musical"),"")))</f>
        <v/>
      </c>
      <c r="C587" t="str">
        <f>IF(A587="","",IF(A587="[FÓRMULA MANUAL]","",IFERROR(AVERAGEIFS(DATOS!$K$2:$K$20000,DATOS!$A$2:$A$20000,A587,DATOS!$G$2:$G$20000,CONFIG_METADATA!$B$4,DATOS!$I$2:$I$20000,"Orquesta/Banda/Conjunto"),"")))</f>
        <v/>
      </c>
      <c r="D587" t="str">
        <f>IF(A587="","",IF(A587="[FÓRMULA MANUAL]","",IFERROR(AVERAGEIFS(DATOS!$K$2:$K$20000,DATOS!$A$2:$A$20000,A587,DATOS!$G$2:$G$20000,CONFIG_METADATA!$B$4,DATOS!$I$2:$I$20000,"Conjunto"),"")))</f>
        <v/>
      </c>
      <c r="E587" t="str">
        <f>IF(A587="","",IF(A587="[FÓRMULA MANUAL]","",IFERROR(SUMPRODUCT((DATOS!$A$2:$A$20000=A587)*(DATOS!$G$2:$G$20000=CONFIG_METADATA!$B$4)*(COUNTIF(CONFIG_ASIGNATURAS!$B$7:$B$27,DATOS!$I$2:$I$20000)&gt;0)*(DATOS!$K$2:$K$20000))/SUMPRODUCT((DATOS!$A$2:$A$20000=A587)*(DATOS!$G$2:$G$20000=CONFIG_METADATA!$B$4)*(COUNTIF(CONFIG_ASIGNATURAS!$B$7:$B$27,DATOS!$I$2:$I$20000)&gt;0)*1),"")))</f>
        <v/>
      </c>
      <c r="H587" t="str">
        <f>IF(G587="","",IF(G587="[FÓRMULA MANUAL]","",IFERROR(AVERAGEIFS(DATOS!$K$2:$K$20000,DATOS!$A$2:$A$20000,G587,DATOS!$G$2:$G$20000,CONFIG_METADATA!$B$4,DATOS!$I$2:$I$20000,"Lenguaje Musical"),"")))</f>
        <v/>
      </c>
      <c r="I587" t="str">
        <f>IF(G587="","",IF(G587="[FÓRMULA MANUAL]","",IFERROR(AVERAGEIFS(DATOS!$K$2:$K$20000,DATOS!$A$2:$A$20000,G587,DATOS!$G$2:$G$20000,CONFIG_METADATA!$B$4,DATOS!$I$2:$I$20000,"Orquesta/Banda/Conjunto"),"")))</f>
        <v/>
      </c>
      <c r="J587" t="str">
        <f>IF(G587="","",IF(G587="[FÓRMULA MANUAL]","",IFERROR(AVERAGEIFS(DATOS!$K$2:$K$20000,DATOS!$A$2:$A$20000,G587,DATOS!$G$2:$G$20000,CONFIG_METADATA!$B$4,DATOS!$I$2:$I$20000,"Conjunto"),"")))</f>
        <v/>
      </c>
      <c r="K587" t="str">
        <f>IF(G587="","",IF(G587="[FÓRMULA MANUAL]","",IFERROR(SUMPRODUCT((DATOS!$A$2:$A$20000=G587)*(DATOS!$G$2:$G$20000=CONFIG_METADATA!$B$4)*(COUNTIF(CONFIG_ASIGNATURAS!$B$7:$B$27,DATOS!$I$2:$I$20000)&gt;0)*(DATOS!$K$2:$K$20000))/SUMPRODUCT((DATOS!$A$2:$A$20000=G587)*(DATOS!$G$2:$G$20000=CONFIG_METADATA!$B$4)*(COUNTIF(CONFIG_ASIGNATURAS!$B$7:$B$27,DATOS!$I$2:$I$20000)&gt;0)*1),"")))</f>
        <v/>
      </c>
      <c r="N587" t="str">
        <f>IF(M587="","",IF(M587="[FÓRMULA MANUAL]","",IFERROR(AVERAGEIFS(DATOS!$K$2:$K$20000,DATOS!$A$2:$A$20000,M587,DATOS!$G$2:$G$20000,CONFIG_METADATA!$B$4,DATOS!$I$2:$I$20000,"Armonía"),"")))</f>
        <v/>
      </c>
      <c r="O587" t="str">
        <f>IF(M587="","",IF(M587="[FÓRMULA MANUAL]","",IFERROR(AVERAGEIFS(DATOS!$K$2:$K$20000,DATOS!$A$2:$A$20000,M587,DATOS!$G$2:$G$20000,CONFIG_METADATA!$B$4,DATOS!$I$2:$I$20000,"Orquesta/Banda/Conjunto"),"")))</f>
        <v/>
      </c>
      <c r="P587" t="str">
        <f>IF(M587="","",IF(M587="[FÓRMULA MANUAL]","",IFERROR(AVERAGEIFS(DATOS!$K$2:$K$20000,DATOS!$A$2:$A$20000,M587,DATOS!$G$2:$G$20000,CONFIG_METADATA!$B$4,DATOS!$I$2:$I$20000,"Música de Cámara"),"")))</f>
        <v/>
      </c>
      <c r="Q587" t="str">
        <f>IF(M587="","",IF(M587="[FÓRMULA MANUAL]","",IFERROR(SUMPRODUCT((DATOS!$A$2:$A$20000=M587)*(DATOS!$G$2:$G$20000=CONFIG_METADATA!$B$4)*(COUNTIF(CONFIG_ASIGNATURAS!$B$7:$B$27,DATOS!$I$2:$I$20000)&gt;0)*(DATOS!$K$2:$K$20000))/SUMPRODUCT((DATOS!$A$2:$A$20000=M587)*(DATOS!$G$2:$G$20000=CONFIG_METADATA!$B$4)*(COUNTIF(CONFIG_ASIGNATURAS!$B$7:$B$27,DATOS!$I$2:$I$20000)&gt;0)*1),"")))</f>
        <v/>
      </c>
      <c r="T587" t="str">
        <f>IF(S587="","",IF(S587="[FÓRMULA MANUAL]","",IFERROR(AVERAGEIFS(DATOS!$K$2:$K$20000,DATOS!$A$2:$A$20000,S587,DATOS!$G$2:$G$20000,CONFIG_METADATA!$B$4,DATOS!$I$2:$I$20000,"Armonía"),"")))</f>
        <v/>
      </c>
      <c r="U587" t="str">
        <f>IF(S587="","",IF(S587="[FÓRMULA MANUAL]","",IFERROR(AVERAGEIFS(DATOS!$K$2:$K$20000,DATOS!$A$2:$A$20000,S587,DATOS!$G$2:$G$20000,CONFIG_METADATA!$B$4,DATOS!$I$2:$I$20000,"Orquesta/Banda/Conjunto"),"")))</f>
        <v/>
      </c>
      <c r="V587" t="str">
        <f>IF(S587="","",IF(S587="[FÓRMULA MANUAL]","",IFERROR(AVERAGEIFS(DATOS!$K$2:$K$20000,DATOS!$A$2:$A$20000,S587,DATOS!$G$2:$G$20000,CONFIG_METADATA!$B$4,DATOS!$I$2:$I$20000,"Música de Cámara"),"")))</f>
        <v/>
      </c>
      <c r="W587" t="str">
        <f>IF(S587="","",IF(S587="[FÓRMULA MANUAL]","",IFERROR(SUMPRODUCT((DATOS!$A$2:$A$20000=S587)*(DATOS!$G$2:$G$20000=CONFIG_METADATA!$B$4)*(COUNTIF(CONFIG_ASIGNATURAS!$B$7:$B$27,DATOS!$I$2:$I$20000)&gt;0)*(DATOS!$K$2:$K$20000))/SUMPRODUCT((DATOS!$A$2:$A$20000=S587)*(DATOS!$G$2:$G$20000=CONFIG_METADATA!$B$4)*(COUNTIF(CONFIG_ASIGNATURAS!$B$7:$B$27,DATOS!$I$2:$I$20000)&gt;0)*1),"")))</f>
        <v/>
      </c>
      <c r="Z587" t="str">
        <f>IF(Y587="","",IF(Y587="[FÓRMULA MANUAL]","",IFERROR(AVERAGEIFS(DATOS!$K$2:$K$20000,DATOS!$A$2:$A$20000,Y587,DATOS!$G$2:$G$20000,CONFIG_METADATA!$B$4,DATOS!$I$2:$I$20000,"Análisis"),"")))</f>
        <v/>
      </c>
      <c r="AA587" t="str">
        <f>IF(Y587="","",IF(Y587="[FÓRMULA MANUAL]","",IFERROR(AVERAGEIFS(DATOS!$K$2:$K$20000,DATOS!$A$2:$A$20000,Y587,DATOS!$G$2:$G$20000,CONFIG_METADATA!$B$4,DATOS!$I$2:$I$20000,"Orquesta/Banda/Conjunto"),"")))</f>
        <v/>
      </c>
      <c r="AB587" t="str">
        <f>IF(Y587="","",IF(Y587="[FÓRMULA MANUAL]","",IFERROR(AVERAGEIFS(DATOS!$K$2:$K$20000,DATOS!$A$2:$A$20000,Y587,DATOS!$G$2:$G$20000,CONFIG_METADATA!$B$4,DATOS!$I$2:$I$20000,"Música de Cámara"),"")))</f>
        <v/>
      </c>
      <c r="AC587" t="str">
        <f>IF(Y587="","",IF(Y587="[FÓRMULA MANUAL]","",IFERROR(SUMPRODUCT((DATOS!$A$2:$A$20000=Y587)*(DATOS!$G$2:$G$20000=CONFIG_METADATA!$B$4)*(COUNTIF(CONFIG_ASIGNATURAS!$B$7:$B$27,DATOS!$I$2:$I$20000)&gt;0)*(DATOS!$K$2:$K$20000))/SUMPRODUCT((DATOS!$A$2:$A$20000=Y587)*(DATOS!$G$2:$G$20000=CONFIG_METADATA!$B$4)*(COUNTIF(CONFIG_ASIGNATURAS!$B$7:$B$27,DATOS!$I$2:$I$20000)&gt;0)*1),"")))</f>
        <v/>
      </c>
      <c r="AF587" t="str">
        <f>IF(AE587="","",IF(AE587="[FÓRMULA MANUAL]","",IFERROR(AVERAGEIFS(DATOS!$K$2:$K$20000,DATOS!$A$2:$A$20000,AE587,DATOS!$G$2:$G$20000,CONFIG_METADATA!$B$4,DATOS!$I$2:$I$20000,"Análisis"),"")))</f>
        <v/>
      </c>
      <c r="AG587" t="str">
        <f>IF(AE587="","",IF(AE587="[FÓRMULA MANUAL]","",IFERROR(AVERAGEIFS(DATOS!$K$2:$K$20000,DATOS!$A$2:$A$20000,AE587,DATOS!$G$2:$G$20000,CONFIG_METADATA!$B$4,DATOS!$I$2:$I$20000,"Orquesta/Banda/Conjunto"),"")))</f>
        <v/>
      </c>
      <c r="AH587" t="str">
        <f>IF(AE587="","",IF(AE587="[FÓRMULA MANUAL]","",IFERROR(AVERAGEIFS(DATOS!$K$2:$K$20000,DATOS!$A$2:$A$20000,AE587,DATOS!$G$2:$G$20000,CONFIG_METADATA!$B$4,DATOS!$I$2:$I$20000,"Música de Cámara"),"")))</f>
        <v/>
      </c>
      <c r="AI587" t="str">
        <f>IF(AE587="","",IF(AE587="[FÓRMULA MANUAL]","",IFERROR(SUMPRODUCT((DATOS!$A$2:$A$20000=AE587)*(DATOS!$G$2:$G$20000=CONFIG_METADATA!$B$4)*(COUNTIF(CONFIG_ASIGNATURAS!$B$7:$B$27,DATOS!$I$2:$I$20000)&gt;0)*(DATOS!$K$2:$K$20000))/SUMPRODUCT((DATOS!$A$2:$A$20000=AE587)*(DATOS!$G$2:$G$20000=CONFIG_METADATA!$B$4)*(COUNTIF(CONFIG_ASIGNATURAS!$B$7:$B$27,DATOS!$I$2:$I$20000)&gt;0)*1),"")))</f>
        <v/>
      </c>
    </row>
    <row r="588" spans="2:35" x14ac:dyDescent="0.2">
      <c r="B588" t="str">
        <f>IF(A588="","",IF(A588="[FÓRMULA MANUAL]","",IFERROR(AVERAGEIFS(DATOS!$K$2:$K$20000,DATOS!$A$2:$A$20000,A588,DATOS!$G$2:$G$20000,CONFIG_METADATA!$B$4,DATOS!$I$2:$I$20000,"Lenguaje Musical"),"")))</f>
        <v/>
      </c>
      <c r="C588" t="str">
        <f>IF(A588="","",IF(A588="[FÓRMULA MANUAL]","",IFERROR(AVERAGEIFS(DATOS!$K$2:$K$20000,DATOS!$A$2:$A$20000,A588,DATOS!$G$2:$G$20000,CONFIG_METADATA!$B$4,DATOS!$I$2:$I$20000,"Orquesta/Banda/Conjunto"),"")))</f>
        <v/>
      </c>
      <c r="D588" t="str">
        <f>IF(A588="","",IF(A588="[FÓRMULA MANUAL]","",IFERROR(AVERAGEIFS(DATOS!$K$2:$K$20000,DATOS!$A$2:$A$20000,A588,DATOS!$G$2:$G$20000,CONFIG_METADATA!$B$4,DATOS!$I$2:$I$20000,"Conjunto"),"")))</f>
        <v/>
      </c>
      <c r="E588" t="str">
        <f>IF(A588="","",IF(A588="[FÓRMULA MANUAL]","",IFERROR(SUMPRODUCT((DATOS!$A$2:$A$20000=A588)*(DATOS!$G$2:$G$20000=CONFIG_METADATA!$B$4)*(COUNTIF(CONFIG_ASIGNATURAS!$B$7:$B$27,DATOS!$I$2:$I$20000)&gt;0)*(DATOS!$K$2:$K$20000))/SUMPRODUCT((DATOS!$A$2:$A$20000=A588)*(DATOS!$G$2:$G$20000=CONFIG_METADATA!$B$4)*(COUNTIF(CONFIG_ASIGNATURAS!$B$7:$B$27,DATOS!$I$2:$I$20000)&gt;0)*1),"")))</f>
        <v/>
      </c>
      <c r="H588" t="str">
        <f>IF(G588="","",IF(G588="[FÓRMULA MANUAL]","",IFERROR(AVERAGEIFS(DATOS!$K$2:$K$20000,DATOS!$A$2:$A$20000,G588,DATOS!$G$2:$G$20000,CONFIG_METADATA!$B$4,DATOS!$I$2:$I$20000,"Lenguaje Musical"),"")))</f>
        <v/>
      </c>
      <c r="I588" t="str">
        <f>IF(G588="","",IF(G588="[FÓRMULA MANUAL]","",IFERROR(AVERAGEIFS(DATOS!$K$2:$K$20000,DATOS!$A$2:$A$20000,G588,DATOS!$G$2:$G$20000,CONFIG_METADATA!$B$4,DATOS!$I$2:$I$20000,"Orquesta/Banda/Conjunto"),"")))</f>
        <v/>
      </c>
      <c r="J588" t="str">
        <f>IF(G588="","",IF(G588="[FÓRMULA MANUAL]","",IFERROR(AVERAGEIFS(DATOS!$K$2:$K$20000,DATOS!$A$2:$A$20000,G588,DATOS!$G$2:$G$20000,CONFIG_METADATA!$B$4,DATOS!$I$2:$I$20000,"Conjunto"),"")))</f>
        <v/>
      </c>
      <c r="K588" t="str">
        <f>IF(G588="","",IF(G588="[FÓRMULA MANUAL]","",IFERROR(SUMPRODUCT((DATOS!$A$2:$A$20000=G588)*(DATOS!$G$2:$G$20000=CONFIG_METADATA!$B$4)*(COUNTIF(CONFIG_ASIGNATURAS!$B$7:$B$27,DATOS!$I$2:$I$20000)&gt;0)*(DATOS!$K$2:$K$20000))/SUMPRODUCT((DATOS!$A$2:$A$20000=G588)*(DATOS!$G$2:$G$20000=CONFIG_METADATA!$B$4)*(COUNTIF(CONFIG_ASIGNATURAS!$B$7:$B$27,DATOS!$I$2:$I$20000)&gt;0)*1),"")))</f>
        <v/>
      </c>
      <c r="N588" t="str">
        <f>IF(M588="","",IF(M588="[FÓRMULA MANUAL]","",IFERROR(AVERAGEIFS(DATOS!$K$2:$K$20000,DATOS!$A$2:$A$20000,M588,DATOS!$G$2:$G$20000,CONFIG_METADATA!$B$4,DATOS!$I$2:$I$20000,"Armonía"),"")))</f>
        <v/>
      </c>
      <c r="O588" t="str">
        <f>IF(M588="","",IF(M588="[FÓRMULA MANUAL]","",IFERROR(AVERAGEIFS(DATOS!$K$2:$K$20000,DATOS!$A$2:$A$20000,M588,DATOS!$G$2:$G$20000,CONFIG_METADATA!$B$4,DATOS!$I$2:$I$20000,"Orquesta/Banda/Conjunto"),"")))</f>
        <v/>
      </c>
      <c r="P588" t="str">
        <f>IF(M588="","",IF(M588="[FÓRMULA MANUAL]","",IFERROR(AVERAGEIFS(DATOS!$K$2:$K$20000,DATOS!$A$2:$A$20000,M588,DATOS!$G$2:$G$20000,CONFIG_METADATA!$B$4,DATOS!$I$2:$I$20000,"Música de Cámara"),"")))</f>
        <v/>
      </c>
      <c r="Q588" t="str">
        <f>IF(M588="","",IF(M588="[FÓRMULA MANUAL]","",IFERROR(SUMPRODUCT((DATOS!$A$2:$A$20000=M588)*(DATOS!$G$2:$G$20000=CONFIG_METADATA!$B$4)*(COUNTIF(CONFIG_ASIGNATURAS!$B$7:$B$27,DATOS!$I$2:$I$20000)&gt;0)*(DATOS!$K$2:$K$20000))/SUMPRODUCT((DATOS!$A$2:$A$20000=M588)*(DATOS!$G$2:$G$20000=CONFIG_METADATA!$B$4)*(COUNTIF(CONFIG_ASIGNATURAS!$B$7:$B$27,DATOS!$I$2:$I$20000)&gt;0)*1),"")))</f>
        <v/>
      </c>
      <c r="T588" t="str">
        <f>IF(S588="","",IF(S588="[FÓRMULA MANUAL]","",IFERROR(AVERAGEIFS(DATOS!$K$2:$K$20000,DATOS!$A$2:$A$20000,S588,DATOS!$G$2:$G$20000,CONFIG_METADATA!$B$4,DATOS!$I$2:$I$20000,"Armonía"),"")))</f>
        <v/>
      </c>
      <c r="U588" t="str">
        <f>IF(S588="","",IF(S588="[FÓRMULA MANUAL]","",IFERROR(AVERAGEIFS(DATOS!$K$2:$K$20000,DATOS!$A$2:$A$20000,S588,DATOS!$G$2:$G$20000,CONFIG_METADATA!$B$4,DATOS!$I$2:$I$20000,"Orquesta/Banda/Conjunto"),"")))</f>
        <v/>
      </c>
      <c r="V588" t="str">
        <f>IF(S588="","",IF(S588="[FÓRMULA MANUAL]","",IFERROR(AVERAGEIFS(DATOS!$K$2:$K$20000,DATOS!$A$2:$A$20000,S588,DATOS!$G$2:$G$20000,CONFIG_METADATA!$B$4,DATOS!$I$2:$I$20000,"Música de Cámara"),"")))</f>
        <v/>
      </c>
      <c r="W588" t="str">
        <f>IF(S588="","",IF(S588="[FÓRMULA MANUAL]","",IFERROR(SUMPRODUCT((DATOS!$A$2:$A$20000=S588)*(DATOS!$G$2:$G$20000=CONFIG_METADATA!$B$4)*(COUNTIF(CONFIG_ASIGNATURAS!$B$7:$B$27,DATOS!$I$2:$I$20000)&gt;0)*(DATOS!$K$2:$K$20000))/SUMPRODUCT((DATOS!$A$2:$A$20000=S588)*(DATOS!$G$2:$G$20000=CONFIG_METADATA!$B$4)*(COUNTIF(CONFIG_ASIGNATURAS!$B$7:$B$27,DATOS!$I$2:$I$20000)&gt;0)*1),"")))</f>
        <v/>
      </c>
      <c r="Z588" t="str">
        <f>IF(Y588="","",IF(Y588="[FÓRMULA MANUAL]","",IFERROR(AVERAGEIFS(DATOS!$K$2:$K$20000,DATOS!$A$2:$A$20000,Y588,DATOS!$G$2:$G$20000,CONFIG_METADATA!$B$4,DATOS!$I$2:$I$20000,"Análisis"),"")))</f>
        <v/>
      </c>
      <c r="AA588" t="str">
        <f>IF(Y588="","",IF(Y588="[FÓRMULA MANUAL]","",IFERROR(AVERAGEIFS(DATOS!$K$2:$K$20000,DATOS!$A$2:$A$20000,Y588,DATOS!$G$2:$G$20000,CONFIG_METADATA!$B$4,DATOS!$I$2:$I$20000,"Orquesta/Banda/Conjunto"),"")))</f>
        <v/>
      </c>
      <c r="AB588" t="str">
        <f>IF(Y588="","",IF(Y588="[FÓRMULA MANUAL]","",IFERROR(AVERAGEIFS(DATOS!$K$2:$K$20000,DATOS!$A$2:$A$20000,Y588,DATOS!$G$2:$G$20000,CONFIG_METADATA!$B$4,DATOS!$I$2:$I$20000,"Música de Cámara"),"")))</f>
        <v/>
      </c>
      <c r="AC588" t="str">
        <f>IF(Y588="","",IF(Y588="[FÓRMULA MANUAL]","",IFERROR(SUMPRODUCT((DATOS!$A$2:$A$20000=Y588)*(DATOS!$G$2:$G$20000=CONFIG_METADATA!$B$4)*(COUNTIF(CONFIG_ASIGNATURAS!$B$7:$B$27,DATOS!$I$2:$I$20000)&gt;0)*(DATOS!$K$2:$K$20000))/SUMPRODUCT((DATOS!$A$2:$A$20000=Y588)*(DATOS!$G$2:$G$20000=CONFIG_METADATA!$B$4)*(COUNTIF(CONFIG_ASIGNATURAS!$B$7:$B$27,DATOS!$I$2:$I$20000)&gt;0)*1),"")))</f>
        <v/>
      </c>
      <c r="AF588" t="str">
        <f>IF(AE588="","",IF(AE588="[FÓRMULA MANUAL]","",IFERROR(AVERAGEIFS(DATOS!$K$2:$K$20000,DATOS!$A$2:$A$20000,AE588,DATOS!$G$2:$G$20000,CONFIG_METADATA!$B$4,DATOS!$I$2:$I$20000,"Análisis"),"")))</f>
        <v/>
      </c>
      <c r="AG588" t="str">
        <f>IF(AE588="","",IF(AE588="[FÓRMULA MANUAL]","",IFERROR(AVERAGEIFS(DATOS!$K$2:$K$20000,DATOS!$A$2:$A$20000,AE588,DATOS!$G$2:$G$20000,CONFIG_METADATA!$B$4,DATOS!$I$2:$I$20000,"Orquesta/Banda/Conjunto"),"")))</f>
        <v/>
      </c>
      <c r="AH588" t="str">
        <f>IF(AE588="","",IF(AE588="[FÓRMULA MANUAL]","",IFERROR(AVERAGEIFS(DATOS!$K$2:$K$20000,DATOS!$A$2:$A$20000,AE588,DATOS!$G$2:$G$20000,CONFIG_METADATA!$B$4,DATOS!$I$2:$I$20000,"Música de Cámara"),"")))</f>
        <v/>
      </c>
      <c r="AI588" t="str">
        <f>IF(AE588="","",IF(AE588="[FÓRMULA MANUAL]","",IFERROR(SUMPRODUCT((DATOS!$A$2:$A$20000=AE588)*(DATOS!$G$2:$G$20000=CONFIG_METADATA!$B$4)*(COUNTIF(CONFIG_ASIGNATURAS!$B$7:$B$27,DATOS!$I$2:$I$20000)&gt;0)*(DATOS!$K$2:$K$20000))/SUMPRODUCT((DATOS!$A$2:$A$20000=AE588)*(DATOS!$G$2:$G$20000=CONFIG_METADATA!$B$4)*(COUNTIF(CONFIG_ASIGNATURAS!$B$7:$B$27,DATOS!$I$2:$I$20000)&gt;0)*1),"")))</f>
        <v/>
      </c>
    </row>
    <row r="589" spans="2:35" x14ac:dyDescent="0.2">
      <c r="B589" t="str">
        <f>IF(A589="","",IF(A589="[FÓRMULA MANUAL]","",IFERROR(AVERAGEIFS(DATOS!$K$2:$K$20000,DATOS!$A$2:$A$20000,A589,DATOS!$G$2:$G$20000,CONFIG_METADATA!$B$4,DATOS!$I$2:$I$20000,"Lenguaje Musical"),"")))</f>
        <v/>
      </c>
      <c r="C589" t="str">
        <f>IF(A589="","",IF(A589="[FÓRMULA MANUAL]","",IFERROR(AVERAGEIFS(DATOS!$K$2:$K$20000,DATOS!$A$2:$A$20000,A589,DATOS!$G$2:$G$20000,CONFIG_METADATA!$B$4,DATOS!$I$2:$I$20000,"Orquesta/Banda/Conjunto"),"")))</f>
        <v/>
      </c>
      <c r="D589" t="str">
        <f>IF(A589="","",IF(A589="[FÓRMULA MANUAL]","",IFERROR(AVERAGEIFS(DATOS!$K$2:$K$20000,DATOS!$A$2:$A$20000,A589,DATOS!$G$2:$G$20000,CONFIG_METADATA!$B$4,DATOS!$I$2:$I$20000,"Conjunto"),"")))</f>
        <v/>
      </c>
      <c r="E589" t="str">
        <f>IF(A589="","",IF(A589="[FÓRMULA MANUAL]","",IFERROR(SUMPRODUCT((DATOS!$A$2:$A$20000=A589)*(DATOS!$G$2:$G$20000=CONFIG_METADATA!$B$4)*(COUNTIF(CONFIG_ASIGNATURAS!$B$7:$B$27,DATOS!$I$2:$I$20000)&gt;0)*(DATOS!$K$2:$K$20000))/SUMPRODUCT((DATOS!$A$2:$A$20000=A589)*(DATOS!$G$2:$G$20000=CONFIG_METADATA!$B$4)*(COUNTIF(CONFIG_ASIGNATURAS!$B$7:$B$27,DATOS!$I$2:$I$20000)&gt;0)*1),"")))</f>
        <v/>
      </c>
      <c r="H589" t="str">
        <f>IF(G589="","",IF(G589="[FÓRMULA MANUAL]","",IFERROR(AVERAGEIFS(DATOS!$K$2:$K$20000,DATOS!$A$2:$A$20000,G589,DATOS!$G$2:$G$20000,CONFIG_METADATA!$B$4,DATOS!$I$2:$I$20000,"Lenguaje Musical"),"")))</f>
        <v/>
      </c>
      <c r="I589" t="str">
        <f>IF(G589="","",IF(G589="[FÓRMULA MANUAL]","",IFERROR(AVERAGEIFS(DATOS!$K$2:$K$20000,DATOS!$A$2:$A$20000,G589,DATOS!$G$2:$G$20000,CONFIG_METADATA!$B$4,DATOS!$I$2:$I$20000,"Orquesta/Banda/Conjunto"),"")))</f>
        <v/>
      </c>
      <c r="J589" t="str">
        <f>IF(G589="","",IF(G589="[FÓRMULA MANUAL]","",IFERROR(AVERAGEIFS(DATOS!$K$2:$K$20000,DATOS!$A$2:$A$20000,G589,DATOS!$G$2:$G$20000,CONFIG_METADATA!$B$4,DATOS!$I$2:$I$20000,"Conjunto"),"")))</f>
        <v/>
      </c>
      <c r="K589" t="str">
        <f>IF(G589="","",IF(G589="[FÓRMULA MANUAL]","",IFERROR(SUMPRODUCT((DATOS!$A$2:$A$20000=G589)*(DATOS!$G$2:$G$20000=CONFIG_METADATA!$B$4)*(COUNTIF(CONFIG_ASIGNATURAS!$B$7:$B$27,DATOS!$I$2:$I$20000)&gt;0)*(DATOS!$K$2:$K$20000))/SUMPRODUCT((DATOS!$A$2:$A$20000=G589)*(DATOS!$G$2:$G$20000=CONFIG_METADATA!$B$4)*(COUNTIF(CONFIG_ASIGNATURAS!$B$7:$B$27,DATOS!$I$2:$I$20000)&gt;0)*1),"")))</f>
        <v/>
      </c>
      <c r="N589" t="str">
        <f>IF(M589="","",IF(M589="[FÓRMULA MANUAL]","",IFERROR(AVERAGEIFS(DATOS!$K$2:$K$20000,DATOS!$A$2:$A$20000,M589,DATOS!$G$2:$G$20000,CONFIG_METADATA!$B$4,DATOS!$I$2:$I$20000,"Armonía"),"")))</f>
        <v/>
      </c>
      <c r="O589" t="str">
        <f>IF(M589="","",IF(M589="[FÓRMULA MANUAL]","",IFERROR(AVERAGEIFS(DATOS!$K$2:$K$20000,DATOS!$A$2:$A$20000,M589,DATOS!$G$2:$G$20000,CONFIG_METADATA!$B$4,DATOS!$I$2:$I$20000,"Orquesta/Banda/Conjunto"),"")))</f>
        <v/>
      </c>
      <c r="P589" t="str">
        <f>IF(M589="","",IF(M589="[FÓRMULA MANUAL]","",IFERROR(AVERAGEIFS(DATOS!$K$2:$K$20000,DATOS!$A$2:$A$20000,M589,DATOS!$G$2:$G$20000,CONFIG_METADATA!$B$4,DATOS!$I$2:$I$20000,"Música de Cámara"),"")))</f>
        <v/>
      </c>
      <c r="Q589" t="str">
        <f>IF(M589="","",IF(M589="[FÓRMULA MANUAL]","",IFERROR(SUMPRODUCT((DATOS!$A$2:$A$20000=M589)*(DATOS!$G$2:$G$20000=CONFIG_METADATA!$B$4)*(COUNTIF(CONFIG_ASIGNATURAS!$B$7:$B$27,DATOS!$I$2:$I$20000)&gt;0)*(DATOS!$K$2:$K$20000))/SUMPRODUCT((DATOS!$A$2:$A$20000=M589)*(DATOS!$G$2:$G$20000=CONFIG_METADATA!$B$4)*(COUNTIF(CONFIG_ASIGNATURAS!$B$7:$B$27,DATOS!$I$2:$I$20000)&gt;0)*1),"")))</f>
        <v/>
      </c>
      <c r="T589" t="str">
        <f>IF(S589="","",IF(S589="[FÓRMULA MANUAL]","",IFERROR(AVERAGEIFS(DATOS!$K$2:$K$20000,DATOS!$A$2:$A$20000,S589,DATOS!$G$2:$G$20000,CONFIG_METADATA!$B$4,DATOS!$I$2:$I$20000,"Armonía"),"")))</f>
        <v/>
      </c>
      <c r="U589" t="str">
        <f>IF(S589="","",IF(S589="[FÓRMULA MANUAL]","",IFERROR(AVERAGEIFS(DATOS!$K$2:$K$20000,DATOS!$A$2:$A$20000,S589,DATOS!$G$2:$G$20000,CONFIG_METADATA!$B$4,DATOS!$I$2:$I$20000,"Orquesta/Banda/Conjunto"),"")))</f>
        <v/>
      </c>
      <c r="V589" t="str">
        <f>IF(S589="","",IF(S589="[FÓRMULA MANUAL]","",IFERROR(AVERAGEIFS(DATOS!$K$2:$K$20000,DATOS!$A$2:$A$20000,S589,DATOS!$G$2:$G$20000,CONFIG_METADATA!$B$4,DATOS!$I$2:$I$20000,"Música de Cámara"),"")))</f>
        <v/>
      </c>
      <c r="W589" t="str">
        <f>IF(S589="","",IF(S589="[FÓRMULA MANUAL]","",IFERROR(SUMPRODUCT((DATOS!$A$2:$A$20000=S589)*(DATOS!$G$2:$G$20000=CONFIG_METADATA!$B$4)*(COUNTIF(CONFIG_ASIGNATURAS!$B$7:$B$27,DATOS!$I$2:$I$20000)&gt;0)*(DATOS!$K$2:$K$20000))/SUMPRODUCT((DATOS!$A$2:$A$20000=S589)*(DATOS!$G$2:$G$20000=CONFIG_METADATA!$B$4)*(COUNTIF(CONFIG_ASIGNATURAS!$B$7:$B$27,DATOS!$I$2:$I$20000)&gt;0)*1),"")))</f>
        <v/>
      </c>
      <c r="Z589" t="str">
        <f>IF(Y589="","",IF(Y589="[FÓRMULA MANUAL]","",IFERROR(AVERAGEIFS(DATOS!$K$2:$K$20000,DATOS!$A$2:$A$20000,Y589,DATOS!$G$2:$G$20000,CONFIG_METADATA!$B$4,DATOS!$I$2:$I$20000,"Análisis"),"")))</f>
        <v/>
      </c>
      <c r="AA589" t="str">
        <f>IF(Y589="","",IF(Y589="[FÓRMULA MANUAL]","",IFERROR(AVERAGEIFS(DATOS!$K$2:$K$20000,DATOS!$A$2:$A$20000,Y589,DATOS!$G$2:$G$20000,CONFIG_METADATA!$B$4,DATOS!$I$2:$I$20000,"Orquesta/Banda/Conjunto"),"")))</f>
        <v/>
      </c>
      <c r="AB589" t="str">
        <f>IF(Y589="","",IF(Y589="[FÓRMULA MANUAL]","",IFERROR(AVERAGEIFS(DATOS!$K$2:$K$20000,DATOS!$A$2:$A$20000,Y589,DATOS!$G$2:$G$20000,CONFIG_METADATA!$B$4,DATOS!$I$2:$I$20000,"Música de Cámara"),"")))</f>
        <v/>
      </c>
      <c r="AC589" t="str">
        <f>IF(Y589="","",IF(Y589="[FÓRMULA MANUAL]","",IFERROR(SUMPRODUCT((DATOS!$A$2:$A$20000=Y589)*(DATOS!$G$2:$G$20000=CONFIG_METADATA!$B$4)*(COUNTIF(CONFIG_ASIGNATURAS!$B$7:$B$27,DATOS!$I$2:$I$20000)&gt;0)*(DATOS!$K$2:$K$20000))/SUMPRODUCT((DATOS!$A$2:$A$20000=Y589)*(DATOS!$G$2:$G$20000=CONFIG_METADATA!$B$4)*(COUNTIF(CONFIG_ASIGNATURAS!$B$7:$B$27,DATOS!$I$2:$I$20000)&gt;0)*1),"")))</f>
        <v/>
      </c>
      <c r="AF589" t="str">
        <f>IF(AE589="","",IF(AE589="[FÓRMULA MANUAL]","",IFERROR(AVERAGEIFS(DATOS!$K$2:$K$20000,DATOS!$A$2:$A$20000,AE589,DATOS!$G$2:$G$20000,CONFIG_METADATA!$B$4,DATOS!$I$2:$I$20000,"Análisis"),"")))</f>
        <v/>
      </c>
      <c r="AG589" t="str">
        <f>IF(AE589="","",IF(AE589="[FÓRMULA MANUAL]","",IFERROR(AVERAGEIFS(DATOS!$K$2:$K$20000,DATOS!$A$2:$A$20000,AE589,DATOS!$G$2:$G$20000,CONFIG_METADATA!$B$4,DATOS!$I$2:$I$20000,"Orquesta/Banda/Conjunto"),"")))</f>
        <v/>
      </c>
      <c r="AH589" t="str">
        <f>IF(AE589="","",IF(AE589="[FÓRMULA MANUAL]","",IFERROR(AVERAGEIFS(DATOS!$K$2:$K$20000,DATOS!$A$2:$A$20000,AE589,DATOS!$G$2:$G$20000,CONFIG_METADATA!$B$4,DATOS!$I$2:$I$20000,"Música de Cámara"),"")))</f>
        <v/>
      </c>
      <c r="AI589" t="str">
        <f>IF(AE589="","",IF(AE589="[FÓRMULA MANUAL]","",IFERROR(SUMPRODUCT((DATOS!$A$2:$A$20000=AE589)*(DATOS!$G$2:$G$20000=CONFIG_METADATA!$B$4)*(COUNTIF(CONFIG_ASIGNATURAS!$B$7:$B$27,DATOS!$I$2:$I$20000)&gt;0)*(DATOS!$K$2:$K$20000))/SUMPRODUCT((DATOS!$A$2:$A$20000=AE589)*(DATOS!$G$2:$G$20000=CONFIG_METADATA!$B$4)*(COUNTIF(CONFIG_ASIGNATURAS!$B$7:$B$27,DATOS!$I$2:$I$20000)&gt;0)*1),"")))</f>
        <v/>
      </c>
    </row>
    <row r="590" spans="2:35" x14ac:dyDescent="0.2">
      <c r="B590" t="str">
        <f>IF(A590="","",IF(A590="[FÓRMULA MANUAL]","",IFERROR(AVERAGEIFS(DATOS!$K$2:$K$20000,DATOS!$A$2:$A$20000,A590,DATOS!$G$2:$G$20000,CONFIG_METADATA!$B$4,DATOS!$I$2:$I$20000,"Lenguaje Musical"),"")))</f>
        <v/>
      </c>
      <c r="C590" t="str">
        <f>IF(A590="","",IF(A590="[FÓRMULA MANUAL]","",IFERROR(AVERAGEIFS(DATOS!$K$2:$K$20000,DATOS!$A$2:$A$20000,A590,DATOS!$G$2:$G$20000,CONFIG_METADATA!$B$4,DATOS!$I$2:$I$20000,"Orquesta/Banda/Conjunto"),"")))</f>
        <v/>
      </c>
      <c r="D590" t="str">
        <f>IF(A590="","",IF(A590="[FÓRMULA MANUAL]","",IFERROR(AVERAGEIFS(DATOS!$K$2:$K$20000,DATOS!$A$2:$A$20000,A590,DATOS!$G$2:$G$20000,CONFIG_METADATA!$B$4,DATOS!$I$2:$I$20000,"Conjunto"),"")))</f>
        <v/>
      </c>
      <c r="E590" t="str">
        <f>IF(A590="","",IF(A590="[FÓRMULA MANUAL]","",IFERROR(SUMPRODUCT((DATOS!$A$2:$A$20000=A590)*(DATOS!$G$2:$G$20000=CONFIG_METADATA!$B$4)*(COUNTIF(CONFIG_ASIGNATURAS!$B$7:$B$27,DATOS!$I$2:$I$20000)&gt;0)*(DATOS!$K$2:$K$20000))/SUMPRODUCT((DATOS!$A$2:$A$20000=A590)*(DATOS!$G$2:$G$20000=CONFIG_METADATA!$B$4)*(COUNTIF(CONFIG_ASIGNATURAS!$B$7:$B$27,DATOS!$I$2:$I$20000)&gt;0)*1),"")))</f>
        <v/>
      </c>
      <c r="H590" t="str">
        <f>IF(G590="","",IF(G590="[FÓRMULA MANUAL]","",IFERROR(AVERAGEIFS(DATOS!$K$2:$K$20000,DATOS!$A$2:$A$20000,G590,DATOS!$G$2:$G$20000,CONFIG_METADATA!$B$4,DATOS!$I$2:$I$20000,"Lenguaje Musical"),"")))</f>
        <v/>
      </c>
      <c r="I590" t="str">
        <f>IF(G590="","",IF(G590="[FÓRMULA MANUAL]","",IFERROR(AVERAGEIFS(DATOS!$K$2:$K$20000,DATOS!$A$2:$A$20000,G590,DATOS!$G$2:$G$20000,CONFIG_METADATA!$B$4,DATOS!$I$2:$I$20000,"Orquesta/Banda/Conjunto"),"")))</f>
        <v/>
      </c>
      <c r="J590" t="str">
        <f>IF(G590="","",IF(G590="[FÓRMULA MANUAL]","",IFERROR(AVERAGEIFS(DATOS!$K$2:$K$20000,DATOS!$A$2:$A$20000,G590,DATOS!$G$2:$G$20000,CONFIG_METADATA!$B$4,DATOS!$I$2:$I$20000,"Conjunto"),"")))</f>
        <v/>
      </c>
      <c r="K590" t="str">
        <f>IF(G590="","",IF(G590="[FÓRMULA MANUAL]","",IFERROR(SUMPRODUCT((DATOS!$A$2:$A$20000=G590)*(DATOS!$G$2:$G$20000=CONFIG_METADATA!$B$4)*(COUNTIF(CONFIG_ASIGNATURAS!$B$7:$B$27,DATOS!$I$2:$I$20000)&gt;0)*(DATOS!$K$2:$K$20000))/SUMPRODUCT((DATOS!$A$2:$A$20000=G590)*(DATOS!$G$2:$G$20000=CONFIG_METADATA!$B$4)*(COUNTIF(CONFIG_ASIGNATURAS!$B$7:$B$27,DATOS!$I$2:$I$20000)&gt;0)*1),"")))</f>
        <v/>
      </c>
      <c r="N590" t="str">
        <f>IF(M590="","",IF(M590="[FÓRMULA MANUAL]","",IFERROR(AVERAGEIFS(DATOS!$K$2:$K$20000,DATOS!$A$2:$A$20000,M590,DATOS!$G$2:$G$20000,CONFIG_METADATA!$B$4,DATOS!$I$2:$I$20000,"Armonía"),"")))</f>
        <v/>
      </c>
      <c r="O590" t="str">
        <f>IF(M590="","",IF(M590="[FÓRMULA MANUAL]","",IFERROR(AVERAGEIFS(DATOS!$K$2:$K$20000,DATOS!$A$2:$A$20000,M590,DATOS!$G$2:$G$20000,CONFIG_METADATA!$B$4,DATOS!$I$2:$I$20000,"Orquesta/Banda/Conjunto"),"")))</f>
        <v/>
      </c>
      <c r="P590" t="str">
        <f>IF(M590="","",IF(M590="[FÓRMULA MANUAL]","",IFERROR(AVERAGEIFS(DATOS!$K$2:$K$20000,DATOS!$A$2:$A$20000,M590,DATOS!$G$2:$G$20000,CONFIG_METADATA!$B$4,DATOS!$I$2:$I$20000,"Música de Cámara"),"")))</f>
        <v/>
      </c>
      <c r="Q590" t="str">
        <f>IF(M590="","",IF(M590="[FÓRMULA MANUAL]","",IFERROR(SUMPRODUCT((DATOS!$A$2:$A$20000=M590)*(DATOS!$G$2:$G$20000=CONFIG_METADATA!$B$4)*(COUNTIF(CONFIG_ASIGNATURAS!$B$7:$B$27,DATOS!$I$2:$I$20000)&gt;0)*(DATOS!$K$2:$K$20000))/SUMPRODUCT((DATOS!$A$2:$A$20000=M590)*(DATOS!$G$2:$G$20000=CONFIG_METADATA!$B$4)*(COUNTIF(CONFIG_ASIGNATURAS!$B$7:$B$27,DATOS!$I$2:$I$20000)&gt;0)*1),"")))</f>
        <v/>
      </c>
      <c r="T590" t="str">
        <f>IF(S590="","",IF(S590="[FÓRMULA MANUAL]","",IFERROR(AVERAGEIFS(DATOS!$K$2:$K$20000,DATOS!$A$2:$A$20000,S590,DATOS!$G$2:$G$20000,CONFIG_METADATA!$B$4,DATOS!$I$2:$I$20000,"Armonía"),"")))</f>
        <v/>
      </c>
      <c r="U590" t="str">
        <f>IF(S590="","",IF(S590="[FÓRMULA MANUAL]","",IFERROR(AVERAGEIFS(DATOS!$K$2:$K$20000,DATOS!$A$2:$A$20000,S590,DATOS!$G$2:$G$20000,CONFIG_METADATA!$B$4,DATOS!$I$2:$I$20000,"Orquesta/Banda/Conjunto"),"")))</f>
        <v/>
      </c>
      <c r="V590" t="str">
        <f>IF(S590="","",IF(S590="[FÓRMULA MANUAL]","",IFERROR(AVERAGEIFS(DATOS!$K$2:$K$20000,DATOS!$A$2:$A$20000,S590,DATOS!$G$2:$G$20000,CONFIG_METADATA!$B$4,DATOS!$I$2:$I$20000,"Música de Cámara"),"")))</f>
        <v/>
      </c>
      <c r="W590" t="str">
        <f>IF(S590="","",IF(S590="[FÓRMULA MANUAL]","",IFERROR(SUMPRODUCT((DATOS!$A$2:$A$20000=S590)*(DATOS!$G$2:$G$20000=CONFIG_METADATA!$B$4)*(COUNTIF(CONFIG_ASIGNATURAS!$B$7:$B$27,DATOS!$I$2:$I$20000)&gt;0)*(DATOS!$K$2:$K$20000))/SUMPRODUCT((DATOS!$A$2:$A$20000=S590)*(DATOS!$G$2:$G$20000=CONFIG_METADATA!$B$4)*(COUNTIF(CONFIG_ASIGNATURAS!$B$7:$B$27,DATOS!$I$2:$I$20000)&gt;0)*1),"")))</f>
        <v/>
      </c>
      <c r="Z590" t="str">
        <f>IF(Y590="","",IF(Y590="[FÓRMULA MANUAL]","",IFERROR(AVERAGEIFS(DATOS!$K$2:$K$20000,DATOS!$A$2:$A$20000,Y590,DATOS!$G$2:$G$20000,CONFIG_METADATA!$B$4,DATOS!$I$2:$I$20000,"Análisis"),"")))</f>
        <v/>
      </c>
      <c r="AA590" t="str">
        <f>IF(Y590="","",IF(Y590="[FÓRMULA MANUAL]","",IFERROR(AVERAGEIFS(DATOS!$K$2:$K$20000,DATOS!$A$2:$A$20000,Y590,DATOS!$G$2:$G$20000,CONFIG_METADATA!$B$4,DATOS!$I$2:$I$20000,"Orquesta/Banda/Conjunto"),"")))</f>
        <v/>
      </c>
      <c r="AB590" t="str">
        <f>IF(Y590="","",IF(Y590="[FÓRMULA MANUAL]","",IFERROR(AVERAGEIFS(DATOS!$K$2:$K$20000,DATOS!$A$2:$A$20000,Y590,DATOS!$G$2:$G$20000,CONFIG_METADATA!$B$4,DATOS!$I$2:$I$20000,"Música de Cámara"),"")))</f>
        <v/>
      </c>
      <c r="AC590" t="str">
        <f>IF(Y590="","",IF(Y590="[FÓRMULA MANUAL]","",IFERROR(SUMPRODUCT((DATOS!$A$2:$A$20000=Y590)*(DATOS!$G$2:$G$20000=CONFIG_METADATA!$B$4)*(COUNTIF(CONFIG_ASIGNATURAS!$B$7:$B$27,DATOS!$I$2:$I$20000)&gt;0)*(DATOS!$K$2:$K$20000))/SUMPRODUCT((DATOS!$A$2:$A$20000=Y590)*(DATOS!$G$2:$G$20000=CONFIG_METADATA!$B$4)*(COUNTIF(CONFIG_ASIGNATURAS!$B$7:$B$27,DATOS!$I$2:$I$20000)&gt;0)*1),"")))</f>
        <v/>
      </c>
      <c r="AF590" t="str">
        <f>IF(AE590="","",IF(AE590="[FÓRMULA MANUAL]","",IFERROR(AVERAGEIFS(DATOS!$K$2:$K$20000,DATOS!$A$2:$A$20000,AE590,DATOS!$G$2:$G$20000,CONFIG_METADATA!$B$4,DATOS!$I$2:$I$20000,"Análisis"),"")))</f>
        <v/>
      </c>
      <c r="AG590" t="str">
        <f>IF(AE590="","",IF(AE590="[FÓRMULA MANUAL]","",IFERROR(AVERAGEIFS(DATOS!$K$2:$K$20000,DATOS!$A$2:$A$20000,AE590,DATOS!$G$2:$G$20000,CONFIG_METADATA!$B$4,DATOS!$I$2:$I$20000,"Orquesta/Banda/Conjunto"),"")))</f>
        <v/>
      </c>
      <c r="AH590" t="str">
        <f>IF(AE590="","",IF(AE590="[FÓRMULA MANUAL]","",IFERROR(AVERAGEIFS(DATOS!$K$2:$K$20000,DATOS!$A$2:$A$20000,AE590,DATOS!$G$2:$G$20000,CONFIG_METADATA!$B$4,DATOS!$I$2:$I$20000,"Música de Cámara"),"")))</f>
        <v/>
      </c>
      <c r="AI590" t="str">
        <f>IF(AE590="","",IF(AE590="[FÓRMULA MANUAL]","",IFERROR(SUMPRODUCT((DATOS!$A$2:$A$20000=AE590)*(DATOS!$G$2:$G$20000=CONFIG_METADATA!$B$4)*(COUNTIF(CONFIG_ASIGNATURAS!$B$7:$B$27,DATOS!$I$2:$I$20000)&gt;0)*(DATOS!$K$2:$K$20000))/SUMPRODUCT((DATOS!$A$2:$A$20000=AE590)*(DATOS!$G$2:$G$20000=CONFIG_METADATA!$B$4)*(COUNTIF(CONFIG_ASIGNATURAS!$B$7:$B$27,DATOS!$I$2:$I$20000)&gt;0)*1),"")))</f>
        <v/>
      </c>
    </row>
    <row r="591" spans="2:35" x14ac:dyDescent="0.2">
      <c r="B591" t="str">
        <f>IF(A591="","",IF(A591="[FÓRMULA MANUAL]","",IFERROR(AVERAGEIFS(DATOS!$K$2:$K$20000,DATOS!$A$2:$A$20000,A591,DATOS!$G$2:$G$20000,CONFIG_METADATA!$B$4,DATOS!$I$2:$I$20000,"Lenguaje Musical"),"")))</f>
        <v/>
      </c>
      <c r="C591" t="str">
        <f>IF(A591="","",IF(A591="[FÓRMULA MANUAL]","",IFERROR(AVERAGEIFS(DATOS!$K$2:$K$20000,DATOS!$A$2:$A$20000,A591,DATOS!$G$2:$G$20000,CONFIG_METADATA!$B$4,DATOS!$I$2:$I$20000,"Orquesta/Banda/Conjunto"),"")))</f>
        <v/>
      </c>
      <c r="D591" t="str">
        <f>IF(A591="","",IF(A591="[FÓRMULA MANUAL]","",IFERROR(AVERAGEIFS(DATOS!$K$2:$K$20000,DATOS!$A$2:$A$20000,A591,DATOS!$G$2:$G$20000,CONFIG_METADATA!$B$4,DATOS!$I$2:$I$20000,"Conjunto"),"")))</f>
        <v/>
      </c>
      <c r="E591" t="str">
        <f>IF(A591="","",IF(A591="[FÓRMULA MANUAL]","",IFERROR(SUMPRODUCT((DATOS!$A$2:$A$20000=A591)*(DATOS!$G$2:$G$20000=CONFIG_METADATA!$B$4)*(COUNTIF(CONFIG_ASIGNATURAS!$B$7:$B$27,DATOS!$I$2:$I$20000)&gt;0)*(DATOS!$K$2:$K$20000))/SUMPRODUCT((DATOS!$A$2:$A$20000=A591)*(DATOS!$G$2:$G$20000=CONFIG_METADATA!$B$4)*(COUNTIF(CONFIG_ASIGNATURAS!$B$7:$B$27,DATOS!$I$2:$I$20000)&gt;0)*1),"")))</f>
        <v/>
      </c>
      <c r="H591" t="str">
        <f>IF(G591="","",IF(G591="[FÓRMULA MANUAL]","",IFERROR(AVERAGEIFS(DATOS!$K$2:$K$20000,DATOS!$A$2:$A$20000,G591,DATOS!$G$2:$G$20000,CONFIG_METADATA!$B$4,DATOS!$I$2:$I$20000,"Lenguaje Musical"),"")))</f>
        <v/>
      </c>
      <c r="I591" t="str">
        <f>IF(G591="","",IF(G591="[FÓRMULA MANUAL]","",IFERROR(AVERAGEIFS(DATOS!$K$2:$K$20000,DATOS!$A$2:$A$20000,G591,DATOS!$G$2:$G$20000,CONFIG_METADATA!$B$4,DATOS!$I$2:$I$20000,"Orquesta/Banda/Conjunto"),"")))</f>
        <v/>
      </c>
      <c r="J591" t="str">
        <f>IF(G591="","",IF(G591="[FÓRMULA MANUAL]","",IFERROR(AVERAGEIFS(DATOS!$K$2:$K$20000,DATOS!$A$2:$A$20000,G591,DATOS!$G$2:$G$20000,CONFIG_METADATA!$B$4,DATOS!$I$2:$I$20000,"Conjunto"),"")))</f>
        <v/>
      </c>
      <c r="K591" t="str">
        <f>IF(G591="","",IF(G591="[FÓRMULA MANUAL]","",IFERROR(SUMPRODUCT((DATOS!$A$2:$A$20000=G591)*(DATOS!$G$2:$G$20000=CONFIG_METADATA!$B$4)*(COUNTIF(CONFIG_ASIGNATURAS!$B$7:$B$27,DATOS!$I$2:$I$20000)&gt;0)*(DATOS!$K$2:$K$20000))/SUMPRODUCT((DATOS!$A$2:$A$20000=G591)*(DATOS!$G$2:$G$20000=CONFIG_METADATA!$B$4)*(COUNTIF(CONFIG_ASIGNATURAS!$B$7:$B$27,DATOS!$I$2:$I$20000)&gt;0)*1),"")))</f>
        <v/>
      </c>
      <c r="N591" t="str">
        <f>IF(M591="","",IF(M591="[FÓRMULA MANUAL]","",IFERROR(AVERAGEIFS(DATOS!$K$2:$K$20000,DATOS!$A$2:$A$20000,M591,DATOS!$G$2:$G$20000,CONFIG_METADATA!$B$4,DATOS!$I$2:$I$20000,"Armonía"),"")))</f>
        <v/>
      </c>
      <c r="O591" t="str">
        <f>IF(M591="","",IF(M591="[FÓRMULA MANUAL]","",IFERROR(AVERAGEIFS(DATOS!$K$2:$K$20000,DATOS!$A$2:$A$20000,M591,DATOS!$G$2:$G$20000,CONFIG_METADATA!$B$4,DATOS!$I$2:$I$20000,"Orquesta/Banda/Conjunto"),"")))</f>
        <v/>
      </c>
      <c r="P591" t="str">
        <f>IF(M591="","",IF(M591="[FÓRMULA MANUAL]","",IFERROR(AVERAGEIFS(DATOS!$K$2:$K$20000,DATOS!$A$2:$A$20000,M591,DATOS!$G$2:$G$20000,CONFIG_METADATA!$B$4,DATOS!$I$2:$I$20000,"Música de Cámara"),"")))</f>
        <v/>
      </c>
      <c r="Q591" t="str">
        <f>IF(M591="","",IF(M591="[FÓRMULA MANUAL]","",IFERROR(SUMPRODUCT((DATOS!$A$2:$A$20000=M591)*(DATOS!$G$2:$G$20000=CONFIG_METADATA!$B$4)*(COUNTIF(CONFIG_ASIGNATURAS!$B$7:$B$27,DATOS!$I$2:$I$20000)&gt;0)*(DATOS!$K$2:$K$20000))/SUMPRODUCT((DATOS!$A$2:$A$20000=M591)*(DATOS!$G$2:$G$20000=CONFIG_METADATA!$B$4)*(COUNTIF(CONFIG_ASIGNATURAS!$B$7:$B$27,DATOS!$I$2:$I$20000)&gt;0)*1),"")))</f>
        <v/>
      </c>
      <c r="T591" t="str">
        <f>IF(S591="","",IF(S591="[FÓRMULA MANUAL]","",IFERROR(AVERAGEIFS(DATOS!$K$2:$K$20000,DATOS!$A$2:$A$20000,S591,DATOS!$G$2:$G$20000,CONFIG_METADATA!$B$4,DATOS!$I$2:$I$20000,"Armonía"),"")))</f>
        <v/>
      </c>
      <c r="U591" t="str">
        <f>IF(S591="","",IF(S591="[FÓRMULA MANUAL]","",IFERROR(AVERAGEIFS(DATOS!$K$2:$K$20000,DATOS!$A$2:$A$20000,S591,DATOS!$G$2:$G$20000,CONFIG_METADATA!$B$4,DATOS!$I$2:$I$20000,"Orquesta/Banda/Conjunto"),"")))</f>
        <v/>
      </c>
      <c r="V591" t="str">
        <f>IF(S591="","",IF(S591="[FÓRMULA MANUAL]","",IFERROR(AVERAGEIFS(DATOS!$K$2:$K$20000,DATOS!$A$2:$A$20000,S591,DATOS!$G$2:$G$20000,CONFIG_METADATA!$B$4,DATOS!$I$2:$I$20000,"Música de Cámara"),"")))</f>
        <v/>
      </c>
      <c r="W591" t="str">
        <f>IF(S591="","",IF(S591="[FÓRMULA MANUAL]","",IFERROR(SUMPRODUCT((DATOS!$A$2:$A$20000=S591)*(DATOS!$G$2:$G$20000=CONFIG_METADATA!$B$4)*(COUNTIF(CONFIG_ASIGNATURAS!$B$7:$B$27,DATOS!$I$2:$I$20000)&gt;0)*(DATOS!$K$2:$K$20000))/SUMPRODUCT((DATOS!$A$2:$A$20000=S591)*(DATOS!$G$2:$G$20000=CONFIG_METADATA!$B$4)*(COUNTIF(CONFIG_ASIGNATURAS!$B$7:$B$27,DATOS!$I$2:$I$20000)&gt;0)*1),"")))</f>
        <v/>
      </c>
      <c r="Z591" t="str">
        <f>IF(Y591="","",IF(Y591="[FÓRMULA MANUAL]","",IFERROR(AVERAGEIFS(DATOS!$K$2:$K$20000,DATOS!$A$2:$A$20000,Y591,DATOS!$G$2:$G$20000,CONFIG_METADATA!$B$4,DATOS!$I$2:$I$20000,"Análisis"),"")))</f>
        <v/>
      </c>
      <c r="AA591" t="str">
        <f>IF(Y591="","",IF(Y591="[FÓRMULA MANUAL]","",IFERROR(AVERAGEIFS(DATOS!$K$2:$K$20000,DATOS!$A$2:$A$20000,Y591,DATOS!$G$2:$G$20000,CONFIG_METADATA!$B$4,DATOS!$I$2:$I$20000,"Orquesta/Banda/Conjunto"),"")))</f>
        <v/>
      </c>
      <c r="AB591" t="str">
        <f>IF(Y591="","",IF(Y591="[FÓRMULA MANUAL]","",IFERROR(AVERAGEIFS(DATOS!$K$2:$K$20000,DATOS!$A$2:$A$20000,Y591,DATOS!$G$2:$G$20000,CONFIG_METADATA!$B$4,DATOS!$I$2:$I$20000,"Música de Cámara"),"")))</f>
        <v/>
      </c>
      <c r="AC591" t="str">
        <f>IF(Y591="","",IF(Y591="[FÓRMULA MANUAL]","",IFERROR(SUMPRODUCT((DATOS!$A$2:$A$20000=Y591)*(DATOS!$G$2:$G$20000=CONFIG_METADATA!$B$4)*(COUNTIF(CONFIG_ASIGNATURAS!$B$7:$B$27,DATOS!$I$2:$I$20000)&gt;0)*(DATOS!$K$2:$K$20000))/SUMPRODUCT((DATOS!$A$2:$A$20000=Y591)*(DATOS!$G$2:$G$20000=CONFIG_METADATA!$B$4)*(COUNTIF(CONFIG_ASIGNATURAS!$B$7:$B$27,DATOS!$I$2:$I$20000)&gt;0)*1),"")))</f>
        <v/>
      </c>
      <c r="AF591" t="str">
        <f>IF(AE591="","",IF(AE591="[FÓRMULA MANUAL]","",IFERROR(AVERAGEIFS(DATOS!$K$2:$K$20000,DATOS!$A$2:$A$20000,AE591,DATOS!$G$2:$G$20000,CONFIG_METADATA!$B$4,DATOS!$I$2:$I$20000,"Análisis"),"")))</f>
        <v/>
      </c>
      <c r="AG591" t="str">
        <f>IF(AE591="","",IF(AE591="[FÓRMULA MANUAL]","",IFERROR(AVERAGEIFS(DATOS!$K$2:$K$20000,DATOS!$A$2:$A$20000,AE591,DATOS!$G$2:$G$20000,CONFIG_METADATA!$B$4,DATOS!$I$2:$I$20000,"Orquesta/Banda/Conjunto"),"")))</f>
        <v/>
      </c>
      <c r="AH591" t="str">
        <f>IF(AE591="","",IF(AE591="[FÓRMULA MANUAL]","",IFERROR(AVERAGEIFS(DATOS!$K$2:$K$20000,DATOS!$A$2:$A$20000,AE591,DATOS!$G$2:$G$20000,CONFIG_METADATA!$B$4,DATOS!$I$2:$I$20000,"Música de Cámara"),"")))</f>
        <v/>
      </c>
      <c r="AI591" t="str">
        <f>IF(AE591="","",IF(AE591="[FÓRMULA MANUAL]","",IFERROR(SUMPRODUCT((DATOS!$A$2:$A$20000=AE591)*(DATOS!$G$2:$G$20000=CONFIG_METADATA!$B$4)*(COUNTIF(CONFIG_ASIGNATURAS!$B$7:$B$27,DATOS!$I$2:$I$20000)&gt;0)*(DATOS!$K$2:$K$20000))/SUMPRODUCT((DATOS!$A$2:$A$20000=AE591)*(DATOS!$G$2:$G$20000=CONFIG_METADATA!$B$4)*(COUNTIF(CONFIG_ASIGNATURAS!$B$7:$B$27,DATOS!$I$2:$I$20000)&gt;0)*1),"")))</f>
        <v/>
      </c>
    </row>
    <row r="592" spans="2:35" x14ac:dyDescent="0.2">
      <c r="B592" t="str">
        <f>IF(A592="","",IF(A592="[FÓRMULA MANUAL]","",IFERROR(AVERAGEIFS(DATOS!$K$2:$K$20000,DATOS!$A$2:$A$20000,A592,DATOS!$G$2:$G$20000,CONFIG_METADATA!$B$4,DATOS!$I$2:$I$20000,"Lenguaje Musical"),"")))</f>
        <v/>
      </c>
      <c r="C592" t="str">
        <f>IF(A592="","",IF(A592="[FÓRMULA MANUAL]","",IFERROR(AVERAGEIFS(DATOS!$K$2:$K$20000,DATOS!$A$2:$A$20000,A592,DATOS!$G$2:$G$20000,CONFIG_METADATA!$B$4,DATOS!$I$2:$I$20000,"Orquesta/Banda/Conjunto"),"")))</f>
        <v/>
      </c>
      <c r="D592" t="str">
        <f>IF(A592="","",IF(A592="[FÓRMULA MANUAL]","",IFERROR(AVERAGEIFS(DATOS!$K$2:$K$20000,DATOS!$A$2:$A$20000,A592,DATOS!$G$2:$G$20000,CONFIG_METADATA!$B$4,DATOS!$I$2:$I$20000,"Conjunto"),"")))</f>
        <v/>
      </c>
      <c r="E592" t="str">
        <f>IF(A592="","",IF(A592="[FÓRMULA MANUAL]","",IFERROR(SUMPRODUCT((DATOS!$A$2:$A$20000=A592)*(DATOS!$G$2:$G$20000=CONFIG_METADATA!$B$4)*(COUNTIF(CONFIG_ASIGNATURAS!$B$7:$B$27,DATOS!$I$2:$I$20000)&gt;0)*(DATOS!$K$2:$K$20000))/SUMPRODUCT((DATOS!$A$2:$A$20000=A592)*(DATOS!$G$2:$G$20000=CONFIG_METADATA!$B$4)*(COUNTIF(CONFIG_ASIGNATURAS!$B$7:$B$27,DATOS!$I$2:$I$20000)&gt;0)*1),"")))</f>
        <v/>
      </c>
      <c r="H592" t="str">
        <f>IF(G592="","",IF(G592="[FÓRMULA MANUAL]","",IFERROR(AVERAGEIFS(DATOS!$K$2:$K$20000,DATOS!$A$2:$A$20000,G592,DATOS!$G$2:$G$20000,CONFIG_METADATA!$B$4,DATOS!$I$2:$I$20000,"Lenguaje Musical"),"")))</f>
        <v/>
      </c>
      <c r="I592" t="str">
        <f>IF(G592="","",IF(G592="[FÓRMULA MANUAL]","",IFERROR(AVERAGEIFS(DATOS!$K$2:$K$20000,DATOS!$A$2:$A$20000,G592,DATOS!$G$2:$G$20000,CONFIG_METADATA!$B$4,DATOS!$I$2:$I$20000,"Orquesta/Banda/Conjunto"),"")))</f>
        <v/>
      </c>
      <c r="J592" t="str">
        <f>IF(G592="","",IF(G592="[FÓRMULA MANUAL]","",IFERROR(AVERAGEIFS(DATOS!$K$2:$K$20000,DATOS!$A$2:$A$20000,G592,DATOS!$G$2:$G$20000,CONFIG_METADATA!$B$4,DATOS!$I$2:$I$20000,"Conjunto"),"")))</f>
        <v/>
      </c>
      <c r="K592" t="str">
        <f>IF(G592="","",IF(G592="[FÓRMULA MANUAL]","",IFERROR(SUMPRODUCT((DATOS!$A$2:$A$20000=G592)*(DATOS!$G$2:$G$20000=CONFIG_METADATA!$B$4)*(COUNTIF(CONFIG_ASIGNATURAS!$B$7:$B$27,DATOS!$I$2:$I$20000)&gt;0)*(DATOS!$K$2:$K$20000))/SUMPRODUCT((DATOS!$A$2:$A$20000=G592)*(DATOS!$G$2:$G$20000=CONFIG_METADATA!$B$4)*(COUNTIF(CONFIG_ASIGNATURAS!$B$7:$B$27,DATOS!$I$2:$I$20000)&gt;0)*1),"")))</f>
        <v/>
      </c>
      <c r="N592" t="str">
        <f>IF(M592="","",IF(M592="[FÓRMULA MANUAL]","",IFERROR(AVERAGEIFS(DATOS!$K$2:$K$20000,DATOS!$A$2:$A$20000,M592,DATOS!$G$2:$G$20000,CONFIG_METADATA!$B$4,DATOS!$I$2:$I$20000,"Armonía"),"")))</f>
        <v/>
      </c>
      <c r="O592" t="str">
        <f>IF(M592="","",IF(M592="[FÓRMULA MANUAL]","",IFERROR(AVERAGEIFS(DATOS!$K$2:$K$20000,DATOS!$A$2:$A$20000,M592,DATOS!$G$2:$G$20000,CONFIG_METADATA!$B$4,DATOS!$I$2:$I$20000,"Orquesta/Banda/Conjunto"),"")))</f>
        <v/>
      </c>
      <c r="P592" t="str">
        <f>IF(M592="","",IF(M592="[FÓRMULA MANUAL]","",IFERROR(AVERAGEIFS(DATOS!$K$2:$K$20000,DATOS!$A$2:$A$20000,M592,DATOS!$G$2:$G$20000,CONFIG_METADATA!$B$4,DATOS!$I$2:$I$20000,"Música de Cámara"),"")))</f>
        <v/>
      </c>
      <c r="Q592" t="str">
        <f>IF(M592="","",IF(M592="[FÓRMULA MANUAL]","",IFERROR(SUMPRODUCT((DATOS!$A$2:$A$20000=M592)*(DATOS!$G$2:$G$20000=CONFIG_METADATA!$B$4)*(COUNTIF(CONFIG_ASIGNATURAS!$B$7:$B$27,DATOS!$I$2:$I$20000)&gt;0)*(DATOS!$K$2:$K$20000))/SUMPRODUCT((DATOS!$A$2:$A$20000=M592)*(DATOS!$G$2:$G$20000=CONFIG_METADATA!$B$4)*(COUNTIF(CONFIG_ASIGNATURAS!$B$7:$B$27,DATOS!$I$2:$I$20000)&gt;0)*1),"")))</f>
        <v/>
      </c>
      <c r="T592" t="str">
        <f>IF(S592="","",IF(S592="[FÓRMULA MANUAL]","",IFERROR(AVERAGEIFS(DATOS!$K$2:$K$20000,DATOS!$A$2:$A$20000,S592,DATOS!$G$2:$G$20000,CONFIG_METADATA!$B$4,DATOS!$I$2:$I$20000,"Armonía"),"")))</f>
        <v/>
      </c>
      <c r="U592" t="str">
        <f>IF(S592="","",IF(S592="[FÓRMULA MANUAL]","",IFERROR(AVERAGEIFS(DATOS!$K$2:$K$20000,DATOS!$A$2:$A$20000,S592,DATOS!$G$2:$G$20000,CONFIG_METADATA!$B$4,DATOS!$I$2:$I$20000,"Orquesta/Banda/Conjunto"),"")))</f>
        <v/>
      </c>
      <c r="V592" t="str">
        <f>IF(S592="","",IF(S592="[FÓRMULA MANUAL]","",IFERROR(AVERAGEIFS(DATOS!$K$2:$K$20000,DATOS!$A$2:$A$20000,S592,DATOS!$G$2:$G$20000,CONFIG_METADATA!$B$4,DATOS!$I$2:$I$20000,"Música de Cámara"),"")))</f>
        <v/>
      </c>
      <c r="W592" t="str">
        <f>IF(S592="","",IF(S592="[FÓRMULA MANUAL]","",IFERROR(SUMPRODUCT((DATOS!$A$2:$A$20000=S592)*(DATOS!$G$2:$G$20000=CONFIG_METADATA!$B$4)*(COUNTIF(CONFIG_ASIGNATURAS!$B$7:$B$27,DATOS!$I$2:$I$20000)&gt;0)*(DATOS!$K$2:$K$20000))/SUMPRODUCT((DATOS!$A$2:$A$20000=S592)*(DATOS!$G$2:$G$20000=CONFIG_METADATA!$B$4)*(COUNTIF(CONFIG_ASIGNATURAS!$B$7:$B$27,DATOS!$I$2:$I$20000)&gt;0)*1),"")))</f>
        <v/>
      </c>
      <c r="Z592" t="str">
        <f>IF(Y592="","",IF(Y592="[FÓRMULA MANUAL]","",IFERROR(AVERAGEIFS(DATOS!$K$2:$K$20000,DATOS!$A$2:$A$20000,Y592,DATOS!$G$2:$G$20000,CONFIG_METADATA!$B$4,DATOS!$I$2:$I$20000,"Análisis"),"")))</f>
        <v/>
      </c>
      <c r="AA592" t="str">
        <f>IF(Y592="","",IF(Y592="[FÓRMULA MANUAL]","",IFERROR(AVERAGEIFS(DATOS!$K$2:$K$20000,DATOS!$A$2:$A$20000,Y592,DATOS!$G$2:$G$20000,CONFIG_METADATA!$B$4,DATOS!$I$2:$I$20000,"Orquesta/Banda/Conjunto"),"")))</f>
        <v/>
      </c>
      <c r="AB592" t="str">
        <f>IF(Y592="","",IF(Y592="[FÓRMULA MANUAL]","",IFERROR(AVERAGEIFS(DATOS!$K$2:$K$20000,DATOS!$A$2:$A$20000,Y592,DATOS!$G$2:$G$20000,CONFIG_METADATA!$B$4,DATOS!$I$2:$I$20000,"Música de Cámara"),"")))</f>
        <v/>
      </c>
      <c r="AC592" t="str">
        <f>IF(Y592="","",IF(Y592="[FÓRMULA MANUAL]","",IFERROR(SUMPRODUCT((DATOS!$A$2:$A$20000=Y592)*(DATOS!$G$2:$G$20000=CONFIG_METADATA!$B$4)*(COUNTIF(CONFIG_ASIGNATURAS!$B$7:$B$27,DATOS!$I$2:$I$20000)&gt;0)*(DATOS!$K$2:$K$20000))/SUMPRODUCT((DATOS!$A$2:$A$20000=Y592)*(DATOS!$G$2:$G$20000=CONFIG_METADATA!$B$4)*(COUNTIF(CONFIG_ASIGNATURAS!$B$7:$B$27,DATOS!$I$2:$I$20000)&gt;0)*1),"")))</f>
        <v/>
      </c>
      <c r="AF592" t="str">
        <f>IF(AE592="","",IF(AE592="[FÓRMULA MANUAL]","",IFERROR(AVERAGEIFS(DATOS!$K$2:$K$20000,DATOS!$A$2:$A$20000,AE592,DATOS!$G$2:$G$20000,CONFIG_METADATA!$B$4,DATOS!$I$2:$I$20000,"Análisis"),"")))</f>
        <v/>
      </c>
      <c r="AG592" t="str">
        <f>IF(AE592="","",IF(AE592="[FÓRMULA MANUAL]","",IFERROR(AVERAGEIFS(DATOS!$K$2:$K$20000,DATOS!$A$2:$A$20000,AE592,DATOS!$G$2:$G$20000,CONFIG_METADATA!$B$4,DATOS!$I$2:$I$20000,"Orquesta/Banda/Conjunto"),"")))</f>
        <v/>
      </c>
      <c r="AH592" t="str">
        <f>IF(AE592="","",IF(AE592="[FÓRMULA MANUAL]","",IFERROR(AVERAGEIFS(DATOS!$K$2:$K$20000,DATOS!$A$2:$A$20000,AE592,DATOS!$G$2:$G$20000,CONFIG_METADATA!$B$4,DATOS!$I$2:$I$20000,"Música de Cámara"),"")))</f>
        <v/>
      </c>
      <c r="AI592" t="str">
        <f>IF(AE592="","",IF(AE592="[FÓRMULA MANUAL]","",IFERROR(SUMPRODUCT((DATOS!$A$2:$A$20000=AE592)*(DATOS!$G$2:$G$20000=CONFIG_METADATA!$B$4)*(COUNTIF(CONFIG_ASIGNATURAS!$B$7:$B$27,DATOS!$I$2:$I$20000)&gt;0)*(DATOS!$K$2:$K$20000))/SUMPRODUCT((DATOS!$A$2:$A$20000=AE592)*(DATOS!$G$2:$G$20000=CONFIG_METADATA!$B$4)*(COUNTIF(CONFIG_ASIGNATURAS!$B$7:$B$27,DATOS!$I$2:$I$20000)&gt;0)*1),"")))</f>
        <v/>
      </c>
    </row>
    <row r="593" spans="2:35" x14ac:dyDescent="0.2">
      <c r="B593" t="str">
        <f>IF(A593="","",IF(A593="[FÓRMULA MANUAL]","",IFERROR(AVERAGEIFS(DATOS!$K$2:$K$20000,DATOS!$A$2:$A$20000,A593,DATOS!$G$2:$G$20000,CONFIG_METADATA!$B$4,DATOS!$I$2:$I$20000,"Lenguaje Musical"),"")))</f>
        <v/>
      </c>
      <c r="C593" t="str">
        <f>IF(A593="","",IF(A593="[FÓRMULA MANUAL]","",IFERROR(AVERAGEIFS(DATOS!$K$2:$K$20000,DATOS!$A$2:$A$20000,A593,DATOS!$G$2:$G$20000,CONFIG_METADATA!$B$4,DATOS!$I$2:$I$20000,"Orquesta/Banda/Conjunto"),"")))</f>
        <v/>
      </c>
      <c r="D593" t="str">
        <f>IF(A593="","",IF(A593="[FÓRMULA MANUAL]","",IFERROR(AVERAGEIFS(DATOS!$K$2:$K$20000,DATOS!$A$2:$A$20000,A593,DATOS!$G$2:$G$20000,CONFIG_METADATA!$B$4,DATOS!$I$2:$I$20000,"Conjunto"),"")))</f>
        <v/>
      </c>
      <c r="E593" t="str">
        <f>IF(A593="","",IF(A593="[FÓRMULA MANUAL]","",IFERROR(SUMPRODUCT((DATOS!$A$2:$A$20000=A593)*(DATOS!$G$2:$G$20000=CONFIG_METADATA!$B$4)*(COUNTIF(CONFIG_ASIGNATURAS!$B$7:$B$27,DATOS!$I$2:$I$20000)&gt;0)*(DATOS!$K$2:$K$20000))/SUMPRODUCT((DATOS!$A$2:$A$20000=A593)*(DATOS!$G$2:$G$20000=CONFIG_METADATA!$B$4)*(COUNTIF(CONFIG_ASIGNATURAS!$B$7:$B$27,DATOS!$I$2:$I$20000)&gt;0)*1),"")))</f>
        <v/>
      </c>
      <c r="H593" t="str">
        <f>IF(G593="","",IF(G593="[FÓRMULA MANUAL]","",IFERROR(AVERAGEIFS(DATOS!$K$2:$K$20000,DATOS!$A$2:$A$20000,G593,DATOS!$G$2:$G$20000,CONFIG_METADATA!$B$4,DATOS!$I$2:$I$20000,"Lenguaje Musical"),"")))</f>
        <v/>
      </c>
      <c r="I593" t="str">
        <f>IF(G593="","",IF(G593="[FÓRMULA MANUAL]","",IFERROR(AVERAGEIFS(DATOS!$K$2:$K$20000,DATOS!$A$2:$A$20000,G593,DATOS!$G$2:$G$20000,CONFIG_METADATA!$B$4,DATOS!$I$2:$I$20000,"Orquesta/Banda/Conjunto"),"")))</f>
        <v/>
      </c>
      <c r="J593" t="str">
        <f>IF(G593="","",IF(G593="[FÓRMULA MANUAL]","",IFERROR(AVERAGEIFS(DATOS!$K$2:$K$20000,DATOS!$A$2:$A$20000,G593,DATOS!$G$2:$G$20000,CONFIG_METADATA!$B$4,DATOS!$I$2:$I$20000,"Conjunto"),"")))</f>
        <v/>
      </c>
      <c r="K593" t="str">
        <f>IF(G593="","",IF(G593="[FÓRMULA MANUAL]","",IFERROR(SUMPRODUCT((DATOS!$A$2:$A$20000=G593)*(DATOS!$G$2:$G$20000=CONFIG_METADATA!$B$4)*(COUNTIF(CONFIG_ASIGNATURAS!$B$7:$B$27,DATOS!$I$2:$I$20000)&gt;0)*(DATOS!$K$2:$K$20000))/SUMPRODUCT((DATOS!$A$2:$A$20000=G593)*(DATOS!$G$2:$G$20000=CONFIG_METADATA!$B$4)*(COUNTIF(CONFIG_ASIGNATURAS!$B$7:$B$27,DATOS!$I$2:$I$20000)&gt;0)*1),"")))</f>
        <v/>
      </c>
      <c r="N593" t="str">
        <f>IF(M593="","",IF(M593="[FÓRMULA MANUAL]","",IFERROR(AVERAGEIFS(DATOS!$K$2:$K$20000,DATOS!$A$2:$A$20000,M593,DATOS!$G$2:$G$20000,CONFIG_METADATA!$B$4,DATOS!$I$2:$I$20000,"Armonía"),"")))</f>
        <v/>
      </c>
      <c r="O593" t="str">
        <f>IF(M593="","",IF(M593="[FÓRMULA MANUAL]","",IFERROR(AVERAGEIFS(DATOS!$K$2:$K$20000,DATOS!$A$2:$A$20000,M593,DATOS!$G$2:$G$20000,CONFIG_METADATA!$B$4,DATOS!$I$2:$I$20000,"Orquesta/Banda/Conjunto"),"")))</f>
        <v/>
      </c>
      <c r="P593" t="str">
        <f>IF(M593="","",IF(M593="[FÓRMULA MANUAL]","",IFERROR(AVERAGEIFS(DATOS!$K$2:$K$20000,DATOS!$A$2:$A$20000,M593,DATOS!$G$2:$G$20000,CONFIG_METADATA!$B$4,DATOS!$I$2:$I$20000,"Música de Cámara"),"")))</f>
        <v/>
      </c>
      <c r="Q593" t="str">
        <f>IF(M593="","",IF(M593="[FÓRMULA MANUAL]","",IFERROR(SUMPRODUCT((DATOS!$A$2:$A$20000=M593)*(DATOS!$G$2:$G$20000=CONFIG_METADATA!$B$4)*(COUNTIF(CONFIG_ASIGNATURAS!$B$7:$B$27,DATOS!$I$2:$I$20000)&gt;0)*(DATOS!$K$2:$K$20000))/SUMPRODUCT((DATOS!$A$2:$A$20000=M593)*(DATOS!$G$2:$G$20000=CONFIG_METADATA!$B$4)*(COUNTIF(CONFIG_ASIGNATURAS!$B$7:$B$27,DATOS!$I$2:$I$20000)&gt;0)*1),"")))</f>
        <v/>
      </c>
      <c r="T593" t="str">
        <f>IF(S593="","",IF(S593="[FÓRMULA MANUAL]","",IFERROR(AVERAGEIFS(DATOS!$K$2:$K$20000,DATOS!$A$2:$A$20000,S593,DATOS!$G$2:$G$20000,CONFIG_METADATA!$B$4,DATOS!$I$2:$I$20000,"Armonía"),"")))</f>
        <v/>
      </c>
      <c r="U593" t="str">
        <f>IF(S593="","",IF(S593="[FÓRMULA MANUAL]","",IFERROR(AVERAGEIFS(DATOS!$K$2:$K$20000,DATOS!$A$2:$A$20000,S593,DATOS!$G$2:$G$20000,CONFIG_METADATA!$B$4,DATOS!$I$2:$I$20000,"Orquesta/Banda/Conjunto"),"")))</f>
        <v/>
      </c>
      <c r="V593" t="str">
        <f>IF(S593="","",IF(S593="[FÓRMULA MANUAL]","",IFERROR(AVERAGEIFS(DATOS!$K$2:$K$20000,DATOS!$A$2:$A$20000,S593,DATOS!$G$2:$G$20000,CONFIG_METADATA!$B$4,DATOS!$I$2:$I$20000,"Música de Cámara"),"")))</f>
        <v/>
      </c>
      <c r="W593" t="str">
        <f>IF(S593="","",IF(S593="[FÓRMULA MANUAL]","",IFERROR(SUMPRODUCT((DATOS!$A$2:$A$20000=S593)*(DATOS!$G$2:$G$20000=CONFIG_METADATA!$B$4)*(COUNTIF(CONFIG_ASIGNATURAS!$B$7:$B$27,DATOS!$I$2:$I$20000)&gt;0)*(DATOS!$K$2:$K$20000))/SUMPRODUCT((DATOS!$A$2:$A$20000=S593)*(DATOS!$G$2:$G$20000=CONFIG_METADATA!$B$4)*(COUNTIF(CONFIG_ASIGNATURAS!$B$7:$B$27,DATOS!$I$2:$I$20000)&gt;0)*1),"")))</f>
        <v/>
      </c>
      <c r="Z593" t="str">
        <f>IF(Y593="","",IF(Y593="[FÓRMULA MANUAL]","",IFERROR(AVERAGEIFS(DATOS!$K$2:$K$20000,DATOS!$A$2:$A$20000,Y593,DATOS!$G$2:$G$20000,CONFIG_METADATA!$B$4,DATOS!$I$2:$I$20000,"Análisis"),"")))</f>
        <v/>
      </c>
      <c r="AA593" t="str">
        <f>IF(Y593="","",IF(Y593="[FÓRMULA MANUAL]","",IFERROR(AVERAGEIFS(DATOS!$K$2:$K$20000,DATOS!$A$2:$A$20000,Y593,DATOS!$G$2:$G$20000,CONFIG_METADATA!$B$4,DATOS!$I$2:$I$20000,"Orquesta/Banda/Conjunto"),"")))</f>
        <v/>
      </c>
      <c r="AB593" t="str">
        <f>IF(Y593="","",IF(Y593="[FÓRMULA MANUAL]","",IFERROR(AVERAGEIFS(DATOS!$K$2:$K$20000,DATOS!$A$2:$A$20000,Y593,DATOS!$G$2:$G$20000,CONFIG_METADATA!$B$4,DATOS!$I$2:$I$20000,"Música de Cámara"),"")))</f>
        <v/>
      </c>
      <c r="AC593" t="str">
        <f>IF(Y593="","",IF(Y593="[FÓRMULA MANUAL]","",IFERROR(SUMPRODUCT((DATOS!$A$2:$A$20000=Y593)*(DATOS!$G$2:$G$20000=CONFIG_METADATA!$B$4)*(COUNTIF(CONFIG_ASIGNATURAS!$B$7:$B$27,DATOS!$I$2:$I$20000)&gt;0)*(DATOS!$K$2:$K$20000))/SUMPRODUCT((DATOS!$A$2:$A$20000=Y593)*(DATOS!$G$2:$G$20000=CONFIG_METADATA!$B$4)*(COUNTIF(CONFIG_ASIGNATURAS!$B$7:$B$27,DATOS!$I$2:$I$20000)&gt;0)*1),"")))</f>
        <v/>
      </c>
      <c r="AF593" t="str">
        <f>IF(AE593="","",IF(AE593="[FÓRMULA MANUAL]","",IFERROR(AVERAGEIFS(DATOS!$K$2:$K$20000,DATOS!$A$2:$A$20000,AE593,DATOS!$G$2:$G$20000,CONFIG_METADATA!$B$4,DATOS!$I$2:$I$20000,"Análisis"),"")))</f>
        <v/>
      </c>
      <c r="AG593" t="str">
        <f>IF(AE593="","",IF(AE593="[FÓRMULA MANUAL]","",IFERROR(AVERAGEIFS(DATOS!$K$2:$K$20000,DATOS!$A$2:$A$20000,AE593,DATOS!$G$2:$G$20000,CONFIG_METADATA!$B$4,DATOS!$I$2:$I$20000,"Orquesta/Banda/Conjunto"),"")))</f>
        <v/>
      </c>
      <c r="AH593" t="str">
        <f>IF(AE593="","",IF(AE593="[FÓRMULA MANUAL]","",IFERROR(AVERAGEIFS(DATOS!$K$2:$K$20000,DATOS!$A$2:$A$20000,AE593,DATOS!$G$2:$G$20000,CONFIG_METADATA!$B$4,DATOS!$I$2:$I$20000,"Música de Cámara"),"")))</f>
        <v/>
      </c>
      <c r="AI593" t="str">
        <f>IF(AE593="","",IF(AE593="[FÓRMULA MANUAL]","",IFERROR(SUMPRODUCT((DATOS!$A$2:$A$20000=AE593)*(DATOS!$G$2:$G$20000=CONFIG_METADATA!$B$4)*(COUNTIF(CONFIG_ASIGNATURAS!$B$7:$B$27,DATOS!$I$2:$I$20000)&gt;0)*(DATOS!$K$2:$K$20000))/SUMPRODUCT((DATOS!$A$2:$A$20000=AE593)*(DATOS!$G$2:$G$20000=CONFIG_METADATA!$B$4)*(COUNTIF(CONFIG_ASIGNATURAS!$B$7:$B$27,DATOS!$I$2:$I$20000)&gt;0)*1),"")))</f>
        <v/>
      </c>
    </row>
    <row r="594" spans="2:35" x14ac:dyDescent="0.2">
      <c r="B594" t="str">
        <f>IF(A594="","",IF(A594="[FÓRMULA MANUAL]","",IFERROR(AVERAGEIFS(DATOS!$K$2:$K$20000,DATOS!$A$2:$A$20000,A594,DATOS!$G$2:$G$20000,CONFIG_METADATA!$B$4,DATOS!$I$2:$I$20000,"Lenguaje Musical"),"")))</f>
        <v/>
      </c>
      <c r="C594" t="str">
        <f>IF(A594="","",IF(A594="[FÓRMULA MANUAL]","",IFERROR(AVERAGEIFS(DATOS!$K$2:$K$20000,DATOS!$A$2:$A$20000,A594,DATOS!$G$2:$G$20000,CONFIG_METADATA!$B$4,DATOS!$I$2:$I$20000,"Orquesta/Banda/Conjunto"),"")))</f>
        <v/>
      </c>
      <c r="D594" t="str">
        <f>IF(A594="","",IF(A594="[FÓRMULA MANUAL]","",IFERROR(AVERAGEIFS(DATOS!$K$2:$K$20000,DATOS!$A$2:$A$20000,A594,DATOS!$G$2:$G$20000,CONFIG_METADATA!$B$4,DATOS!$I$2:$I$20000,"Conjunto"),"")))</f>
        <v/>
      </c>
      <c r="E594" t="str">
        <f>IF(A594="","",IF(A594="[FÓRMULA MANUAL]","",IFERROR(SUMPRODUCT((DATOS!$A$2:$A$20000=A594)*(DATOS!$G$2:$G$20000=CONFIG_METADATA!$B$4)*(COUNTIF(CONFIG_ASIGNATURAS!$B$7:$B$27,DATOS!$I$2:$I$20000)&gt;0)*(DATOS!$K$2:$K$20000))/SUMPRODUCT((DATOS!$A$2:$A$20000=A594)*(DATOS!$G$2:$G$20000=CONFIG_METADATA!$B$4)*(COUNTIF(CONFIG_ASIGNATURAS!$B$7:$B$27,DATOS!$I$2:$I$20000)&gt;0)*1),"")))</f>
        <v/>
      </c>
      <c r="H594" t="str">
        <f>IF(G594="","",IF(G594="[FÓRMULA MANUAL]","",IFERROR(AVERAGEIFS(DATOS!$K$2:$K$20000,DATOS!$A$2:$A$20000,G594,DATOS!$G$2:$G$20000,CONFIG_METADATA!$B$4,DATOS!$I$2:$I$20000,"Lenguaje Musical"),"")))</f>
        <v/>
      </c>
      <c r="I594" t="str">
        <f>IF(G594="","",IF(G594="[FÓRMULA MANUAL]","",IFERROR(AVERAGEIFS(DATOS!$K$2:$K$20000,DATOS!$A$2:$A$20000,G594,DATOS!$G$2:$G$20000,CONFIG_METADATA!$B$4,DATOS!$I$2:$I$20000,"Orquesta/Banda/Conjunto"),"")))</f>
        <v/>
      </c>
      <c r="J594" t="str">
        <f>IF(G594="","",IF(G594="[FÓRMULA MANUAL]","",IFERROR(AVERAGEIFS(DATOS!$K$2:$K$20000,DATOS!$A$2:$A$20000,G594,DATOS!$G$2:$G$20000,CONFIG_METADATA!$B$4,DATOS!$I$2:$I$20000,"Conjunto"),"")))</f>
        <v/>
      </c>
      <c r="K594" t="str">
        <f>IF(G594="","",IF(G594="[FÓRMULA MANUAL]","",IFERROR(SUMPRODUCT((DATOS!$A$2:$A$20000=G594)*(DATOS!$G$2:$G$20000=CONFIG_METADATA!$B$4)*(COUNTIF(CONFIG_ASIGNATURAS!$B$7:$B$27,DATOS!$I$2:$I$20000)&gt;0)*(DATOS!$K$2:$K$20000))/SUMPRODUCT((DATOS!$A$2:$A$20000=G594)*(DATOS!$G$2:$G$20000=CONFIG_METADATA!$B$4)*(COUNTIF(CONFIG_ASIGNATURAS!$B$7:$B$27,DATOS!$I$2:$I$20000)&gt;0)*1),"")))</f>
        <v/>
      </c>
      <c r="N594" t="str">
        <f>IF(M594="","",IF(M594="[FÓRMULA MANUAL]","",IFERROR(AVERAGEIFS(DATOS!$K$2:$K$20000,DATOS!$A$2:$A$20000,M594,DATOS!$G$2:$G$20000,CONFIG_METADATA!$B$4,DATOS!$I$2:$I$20000,"Armonía"),"")))</f>
        <v/>
      </c>
      <c r="O594" t="str">
        <f>IF(M594="","",IF(M594="[FÓRMULA MANUAL]","",IFERROR(AVERAGEIFS(DATOS!$K$2:$K$20000,DATOS!$A$2:$A$20000,M594,DATOS!$G$2:$G$20000,CONFIG_METADATA!$B$4,DATOS!$I$2:$I$20000,"Orquesta/Banda/Conjunto"),"")))</f>
        <v/>
      </c>
      <c r="P594" t="str">
        <f>IF(M594="","",IF(M594="[FÓRMULA MANUAL]","",IFERROR(AVERAGEIFS(DATOS!$K$2:$K$20000,DATOS!$A$2:$A$20000,M594,DATOS!$G$2:$G$20000,CONFIG_METADATA!$B$4,DATOS!$I$2:$I$20000,"Música de Cámara"),"")))</f>
        <v/>
      </c>
      <c r="Q594" t="str">
        <f>IF(M594="","",IF(M594="[FÓRMULA MANUAL]","",IFERROR(SUMPRODUCT((DATOS!$A$2:$A$20000=M594)*(DATOS!$G$2:$G$20000=CONFIG_METADATA!$B$4)*(COUNTIF(CONFIG_ASIGNATURAS!$B$7:$B$27,DATOS!$I$2:$I$20000)&gt;0)*(DATOS!$K$2:$K$20000))/SUMPRODUCT((DATOS!$A$2:$A$20000=M594)*(DATOS!$G$2:$G$20000=CONFIG_METADATA!$B$4)*(COUNTIF(CONFIG_ASIGNATURAS!$B$7:$B$27,DATOS!$I$2:$I$20000)&gt;0)*1),"")))</f>
        <v/>
      </c>
      <c r="T594" t="str">
        <f>IF(S594="","",IF(S594="[FÓRMULA MANUAL]","",IFERROR(AVERAGEIFS(DATOS!$K$2:$K$20000,DATOS!$A$2:$A$20000,S594,DATOS!$G$2:$G$20000,CONFIG_METADATA!$B$4,DATOS!$I$2:$I$20000,"Armonía"),"")))</f>
        <v/>
      </c>
      <c r="U594" t="str">
        <f>IF(S594="","",IF(S594="[FÓRMULA MANUAL]","",IFERROR(AVERAGEIFS(DATOS!$K$2:$K$20000,DATOS!$A$2:$A$20000,S594,DATOS!$G$2:$G$20000,CONFIG_METADATA!$B$4,DATOS!$I$2:$I$20000,"Orquesta/Banda/Conjunto"),"")))</f>
        <v/>
      </c>
      <c r="V594" t="str">
        <f>IF(S594="","",IF(S594="[FÓRMULA MANUAL]","",IFERROR(AVERAGEIFS(DATOS!$K$2:$K$20000,DATOS!$A$2:$A$20000,S594,DATOS!$G$2:$G$20000,CONFIG_METADATA!$B$4,DATOS!$I$2:$I$20000,"Música de Cámara"),"")))</f>
        <v/>
      </c>
      <c r="W594" t="str">
        <f>IF(S594="","",IF(S594="[FÓRMULA MANUAL]","",IFERROR(SUMPRODUCT((DATOS!$A$2:$A$20000=S594)*(DATOS!$G$2:$G$20000=CONFIG_METADATA!$B$4)*(COUNTIF(CONFIG_ASIGNATURAS!$B$7:$B$27,DATOS!$I$2:$I$20000)&gt;0)*(DATOS!$K$2:$K$20000))/SUMPRODUCT((DATOS!$A$2:$A$20000=S594)*(DATOS!$G$2:$G$20000=CONFIG_METADATA!$B$4)*(COUNTIF(CONFIG_ASIGNATURAS!$B$7:$B$27,DATOS!$I$2:$I$20000)&gt;0)*1),"")))</f>
        <v/>
      </c>
      <c r="Z594" t="str">
        <f>IF(Y594="","",IF(Y594="[FÓRMULA MANUAL]","",IFERROR(AVERAGEIFS(DATOS!$K$2:$K$20000,DATOS!$A$2:$A$20000,Y594,DATOS!$G$2:$G$20000,CONFIG_METADATA!$B$4,DATOS!$I$2:$I$20000,"Análisis"),"")))</f>
        <v/>
      </c>
      <c r="AA594" t="str">
        <f>IF(Y594="","",IF(Y594="[FÓRMULA MANUAL]","",IFERROR(AVERAGEIFS(DATOS!$K$2:$K$20000,DATOS!$A$2:$A$20000,Y594,DATOS!$G$2:$G$20000,CONFIG_METADATA!$B$4,DATOS!$I$2:$I$20000,"Orquesta/Banda/Conjunto"),"")))</f>
        <v/>
      </c>
      <c r="AB594" t="str">
        <f>IF(Y594="","",IF(Y594="[FÓRMULA MANUAL]","",IFERROR(AVERAGEIFS(DATOS!$K$2:$K$20000,DATOS!$A$2:$A$20000,Y594,DATOS!$G$2:$G$20000,CONFIG_METADATA!$B$4,DATOS!$I$2:$I$20000,"Música de Cámara"),"")))</f>
        <v/>
      </c>
      <c r="AC594" t="str">
        <f>IF(Y594="","",IF(Y594="[FÓRMULA MANUAL]","",IFERROR(SUMPRODUCT((DATOS!$A$2:$A$20000=Y594)*(DATOS!$G$2:$G$20000=CONFIG_METADATA!$B$4)*(COUNTIF(CONFIG_ASIGNATURAS!$B$7:$B$27,DATOS!$I$2:$I$20000)&gt;0)*(DATOS!$K$2:$K$20000))/SUMPRODUCT((DATOS!$A$2:$A$20000=Y594)*(DATOS!$G$2:$G$20000=CONFIG_METADATA!$B$4)*(COUNTIF(CONFIG_ASIGNATURAS!$B$7:$B$27,DATOS!$I$2:$I$20000)&gt;0)*1),"")))</f>
        <v/>
      </c>
      <c r="AF594" t="str">
        <f>IF(AE594="","",IF(AE594="[FÓRMULA MANUAL]","",IFERROR(AVERAGEIFS(DATOS!$K$2:$K$20000,DATOS!$A$2:$A$20000,AE594,DATOS!$G$2:$G$20000,CONFIG_METADATA!$B$4,DATOS!$I$2:$I$20000,"Análisis"),"")))</f>
        <v/>
      </c>
      <c r="AG594" t="str">
        <f>IF(AE594="","",IF(AE594="[FÓRMULA MANUAL]","",IFERROR(AVERAGEIFS(DATOS!$K$2:$K$20000,DATOS!$A$2:$A$20000,AE594,DATOS!$G$2:$G$20000,CONFIG_METADATA!$B$4,DATOS!$I$2:$I$20000,"Orquesta/Banda/Conjunto"),"")))</f>
        <v/>
      </c>
      <c r="AH594" t="str">
        <f>IF(AE594="","",IF(AE594="[FÓRMULA MANUAL]","",IFERROR(AVERAGEIFS(DATOS!$K$2:$K$20000,DATOS!$A$2:$A$20000,AE594,DATOS!$G$2:$G$20000,CONFIG_METADATA!$B$4,DATOS!$I$2:$I$20000,"Música de Cámara"),"")))</f>
        <v/>
      </c>
      <c r="AI594" t="str">
        <f>IF(AE594="","",IF(AE594="[FÓRMULA MANUAL]","",IFERROR(SUMPRODUCT((DATOS!$A$2:$A$20000=AE594)*(DATOS!$G$2:$G$20000=CONFIG_METADATA!$B$4)*(COUNTIF(CONFIG_ASIGNATURAS!$B$7:$B$27,DATOS!$I$2:$I$20000)&gt;0)*(DATOS!$K$2:$K$20000))/SUMPRODUCT((DATOS!$A$2:$A$20000=AE594)*(DATOS!$G$2:$G$20000=CONFIG_METADATA!$B$4)*(COUNTIF(CONFIG_ASIGNATURAS!$B$7:$B$27,DATOS!$I$2:$I$20000)&gt;0)*1),"")))</f>
        <v/>
      </c>
    </row>
    <row r="595" spans="2:35" x14ac:dyDescent="0.2">
      <c r="B595" t="str">
        <f>IF(A595="","",IF(A595="[FÓRMULA MANUAL]","",IFERROR(AVERAGEIFS(DATOS!$K$2:$K$20000,DATOS!$A$2:$A$20000,A595,DATOS!$G$2:$G$20000,CONFIG_METADATA!$B$4,DATOS!$I$2:$I$20000,"Lenguaje Musical"),"")))</f>
        <v/>
      </c>
      <c r="C595" t="str">
        <f>IF(A595="","",IF(A595="[FÓRMULA MANUAL]","",IFERROR(AVERAGEIFS(DATOS!$K$2:$K$20000,DATOS!$A$2:$A$20000,A595,DATOS!$G$2:$G$20000,CONFIG_METADATA!$B$4,DATOS!$I$2:$I$20000,"Orquesta/Banda/Conjunto"),"")))</f>
        <v/>
      </c>
      <c r="D595" t="str">
        <f>IF(A595="","",IF(A595="[FÓRMULA MANUAL]","",IFERROR(AVERAGEIFS(DATOS!$K$2:$K$20000,DATOS!$A$2:$A$20000,A595,DATOS!$G$2:$G$20000,CONFIG_METADATA!$B$4,DATOS!$I$2:$I$20000,"Conjunto"),"")))</f>
        <v/>
      </c>
      <c r="E595" t="str">
        <f>IF(A595="","",IF(A595="[FÓRMULA MANUAL]","",IFERROR(SUMPRODUCT((DATOS!$A$2:$A$20000=A595)*(DATOS!$G$2:$G$20000=CONFIG_METADATA!$B$4)*(COUNTIF(CONFIG_ASIGNATURAS!$B$7:$B$27,DATOS!$I$2:$I$20000)&gt;0)*(DATOS!$K$2:$K$20000))/SUMPRODUCT((DATOS!$A$2:$A$20000=A595)*(DATOS!$G$2:$G$20000=CONFIG_METADATA!$B$4)*(COUNTIF(CONFIG_ASIGNATURAS!$B$7:$B$27,DATOS!$I$2:$I$20000)&gt;0)*1),"")))</f>
        <v/>
      </c>
      <c r="H595" t="str">
        <f>IF(G595="","",IF(G595="[FÓRMULA MANUAL]","",IFERROR(AVERAGEIFS(DATOS!$K$2:$K$20000,DATOS!$A$2:$A$20000,G595,DATOS!$G$2:$G$20000,CONFIG_METADATA!$B$4,DATOS!$I$2:$I$20000,"Lenguaje Musical"),"")))</f>
        <v/>
      </c>
      <c r="I595" t="str">
        <f>IF(G595="","",IF(G595="[FÓRMULA MANUAL]","",IFERROR(AVERAGEIFS(DATOS!$K$2:$K$20000,DATOS!$A$2:$A$20000,G595,DATOS!$G$2:$G$20000,CONFIG_METADATA!$B$4,DATOS!$I$2:$I$20000,"Orquesta/Banda/Conjunto"),"")))</f>
        <v/>
      </c>
      <c r="J595" t="str">
        <f>IF(G595="","",IF(G595="[FÓRMULA MANUAL]","",IFERROR(AVERAGEIFS(DATOS!$K$2:$K$20000,DATOS!$A$2:$A$20000,G595,DATOS!$G$2:$G$20000,CONFIG_METADATA!$B$4,DATOS!$I$2:$I$20000,"Conjunto"),"")))</f>
        <v/>
      </c>
      <c r="K595" t="str">
        <f>IF(G595="","",IF(G595="[FÓRMULA MANUAL]","",IFERROR(SUMPRODUCT((DATOS!$A$2:$A$20000=G595)*(DATOS!$G$2:$G$20000=CONFIG_METADATA!$B$4)*(COUNTIF(CONFIG_ASIGNATURAS!$B$7:$B$27,DATOS!$I$2:$I$20000)&gt;0)*(DATOS!$K$2:$K$20000))/SUMPRODUCT((DATOS!$A$2:$A$20000=G595)*(DATOS!$G$2:$G$20000=CONFIG_METADATA!$B$4)*(COUNTIF(CONFIG_ASIGNATURAS!$B$7:$B$27,DATOS!$I$2:$I$20000)&gt;0)*1),"")))</f>
        <v/>
      </c>
      <c r="N595" t="str">
        <f>IF(M595="","",IF(M595="[FÓRMULA MANUAL]","",IFERROR(AVERAGEIFS(DATOS!$K$2:$K$20000,DATOS!$A$2:$A$20000,M595,DATOS!$G$2:$G$20000,CONFIG_METADATA!$B$4,DATOS!$I$2:$I$20000,"Armonía"),"")))</f>
        <v/>
      </c>
      <c r="O595" t="str">
        <f>IF(M595="","",IF(M595="[FÓRMULA MANUAL]","",IFERROR(AVERAGEIFS(DATOS!$K$2:$K$20000,DATOS!$A$2:$A$20000,M595,DATOS!$G$2:$G$20000,CONFIG_METADATA!$B$4,DATOS!$I$2:$I$20000,"Orquesta/Banda/Conjunto"),"")))</f>
        <v/>
      </c>
      <c r="P595" t="str">
        <f>IF(M595="","",IF(M595="[FÓRMULA MANUAL]","",IFERROR(AVERAGEIFS(DATOS!$K$2:$K$20000,DATOS!$A$2:$A$20000,M595,DATOS!$G$2:$G$20000,CONFIG_METADATA!$B$4,DATOS!$I$2:$I$20000,"Música de Cámara"),"")))</f>
        <v/>
      </c>
      <c r="Q595" t="str">
        <f>IF(M595="","",IF(M595="[FÓRMULA MANUAL]","",IFERROR(SUMPRODUCT((DATOS!$A$2:$A$20000=M595)*(DATOS!$G$2:$G$20000=CONFIG_METADATA!$B$4)*(COUNTIF(CONFIG_ASIGNATURAS!$B$7:$B$27,DATOS!$I$2:$I$20000)&gt;0)*(DATOS!$K$2:$K$20000))/SUMPRODUCT((DATOS!$A$2:$A$20000=M595)*(DATOS!$G$2:$G$20000=CONFIG_METADATA!$B$4)*(COUNTIF(CONFIG_ASIGNATURAS!$B$7:$B$27,DATOS!$I$2:$I$20000)&gt;0)*1),"")))</f>
        <v/>
      </c>
      <c r="T595" t="str">
        <f>IF(S595="","",IF(S595="[FÓRMULA MANUAL]","",IFERROR(AVERAGEIFS(DATOS!$K$2:$K$20000,DATOS!$A$2:$A$20000,S595,DATOS!$G$2:$G$20000,CONFIG_METADATA!$B$4,DATOS!$I$2:$I$20000,"Armonía"),"")))</f>
        <v/>
      </c>
      <c r="U595" t="str">
        <f>IF(S595="","",IF(S595="[FÓRMULA MANUAL]","",IFERROR(AVERAGEIFS(DATOS!$K$2:$K$20000,DATOS!$A$2:$A$20000,S595,DATOS!$G$2:$G$20000,CONFIG_METADATA!$B$4,DATOS!$I$2:$I$20000,"Orquesta/Banda/Conjunto"),"")))</f>
        <v/>
      </c>
      <c r="V595" t="str">
        <f>IF(S595="","",IF(S595="[FÓRMULA MANUAL]","",IFERROR(AVERAGEIFS(DATOS!$K$2:$K$20000,DATOS!$A$2:$A$20000,S595,DATOS!$G$2:$G$20000,CONFIG_METADATA!$B$4,DATOS!$I$2:$I$20000,"Música de Cámara"),"")))</f>
        <v/>
      </c>
      <c r="W595" t="str">
        <f>IF(S595="","",IF(S595="[FÓRMULA MANUAL]","",IFERROR(SUMPRODUCT((DATOS!$A$2:$A$20000=S595)*(DATOS!$G$2:$G$20000=CONFIG_METADATA!$B$4)*(COUNTIF(CONFIG_ASIGNATURAS!$B$7:$B$27,DATOS!$I$2:$I$20000)&gt;0)*(DATOS!$K$2:$K$20000))/SUMPRODUCT((DATOS!$A$2:$A$20000=S595)*(DATOS!$G$2:$G$20000=CONFIG_METADATA!$B$4)*(COUNTIF(CONFIG_ASIGNATURAS!$B$7:$B$27,DATOS!$I$2:$I$20000)&gt;0)*1),"")))</f>
        <v/>
      </c>
      <c r="Z595" t="str">
        <f>IF(Y595="","",IF(Y595="[FÓRMULA MANUAL]","",IFERROR(AVERAGEIFS(DATOS!$K$2:$K$20000,DATOS!$A$2:$A$20000,Y595,DATOS!$G$2:$G$20000,CONFIG_METADATA!$B$4,DATOS!$I$2:$I$20000,"Análisis"),"")))</f>
        <v/>
      </c>
      <c r="AA595" t="str">
        <f>IF(Y595="","",IF(Y595="[FÓRMULA MANUAL]","",IFERROR(AVERAGEIFS(DATOS!$K$2:$K$20000,DATOS!$A$2:$A$20000,Y595,DATOS!$G$2:$G$20000,CONFIG_METADATA!$B$4,DATOS!$I$2:$I$20000,"Orquesta/Banda/Conjunto"),"")))</f>
        <v/>
      </c>
      <c r="AB595" t="str">
        <f>IF(Y595="","",IF(Y595="[FÓRMULA MANUAL]","",IFERROR(AVERAGEIFS(DATOS!$K$2:$K$20000,DATOS!$A$2:$A$20000,Y595,DATOS!$G$2:$G$20000,CONFIG_METADATA!$B$4,DATOS!$I$2:$I$20000,"Música de Cámara"),"")))</f>
        <v/>
      </c>
      <c r="AC595" t="str">
        <f>IF(Y595="","",IF(Y595="[FÓRMULA MANUAL]","",IFERROR(SUMPRODUCT((DATOS!$A$2:$A$20000=Y595)*(DATOS!$G$2:$G$20000=CONFIG_METADATA!$B$4)*(COUNTIF(CONFIG_ASIGNATURAS!$B$7:$B$27,DATOS!$I$2:$I$20000)&gt;0)*(DATOS!$K$2:$K$20000))/SUMPRODUCT((DATOS!$A$2:$A$20000=Y595)*(DATOS!$G$2:$G$20000=CONFIG_METADATA!$B$4)*(COUNTIF(CONFIG_ASIGNATURAS!$B$7:$B$27,DATOS!$I$2:$I$20000)&gt;0)*1),"")))</f>
        <v/>
      </c>
      <c r="AF595" t="str">
        <f>IF(AE595="","",IF(AE595="[FÓRMULA MANUAL]","",IFERROR(AVERAGEIFS(DATOS!$K$2:$K$20000,DATOS!$A$2:$A$20000,AE595,DATOS!$G$2:$G$20000,CONFIG_METADATA!$B$4,DATOS!$I$2:$I$20000,"Análisis"),"")))</f>
        <v/>
      </c>
      <c r="AG595" t="str">
        <f>IF(AE595="","",IF(AE595="[FÓRMULA MANUAL]","",IFERROR(AVERAGEIFS(DATOS!$K$2:$K$20000,DATOS!$A$2:$A$20000,AE595,DATOS!$G$2:$G$20000,CONFIG_METADATA!$B$4,DATOS!$I$2:$I$20000,"Orquesta/Banda/Conjunto"),"")))</f>
        <v/>
      </c>
      <c r="AH595" t="str">
        <f>IF(AE595="","",IF(AE595="[FÓRMULA MANUAL]","",IFERROR(AVERAGEIFS(DATOS!$K$2:$K$20000,DATOS!$A$2:$A$20000,AE595,DATOS!$G$2:$G$20000,CONFIG_METADATA!$B$4,DATOS!$I$2:$I$20000,"Música de Cámara"),"")))</f>
        <v/>
      </c>
      <c r="AI595" t="str">
        <f>IF(AE595="","",IF(AE595="[FÓRMULA MANUAL]","",IFERROR(SUMPRODUCT((DATOS!$A$2:$A$20000=AE595)*(DATOS!$G$2:$G$20000=CONFIG_METADATA!$B$4)*(COUNTIF(CONFIG_ASIGNATURAS!$B$7:$B$27,DATOS!$I$2:$I$20000)&gt;0)*(DATOS!$K$2:$K$20000))/SUMPRODUCT((DATOS!$A$2:$A$20000=AE595)*(DATOS!$G$2:$G$20000=CONFIG_METADATA!$B$4)*(COUNTIF(CONFIG_ASIGNATURAS!$B$7:$B$27,DATOS!$I$2:$I$20000)&gt;0)*1),"")))</f>
        <v/>
      </c>
    </row>
    <row r="596" spans="2:35" x14ac:dyDescent="0.2">
      <c r="B596" t="str">
        <f>IF(A596="","",IF(A596="[FÓRMULA MANUAL]","",IFERROR(AVERAGEIFS(DATOS!$K$2:$K$20000,DATOS!$A$2:$A$20000,A596,DATOS!$G$2:$G$20000,CONFIG_METADATA!$B$4,DATOS!$I$2:$I$20000,"Lenguaje Musical"),"")))</f>
        <v/>
      </c>
      <c r="C596" t="str">
        <f>IF(A596="","",IF(A596="[FÓRMULA MANUAL]","",IFERROR(AVERAGEIFS(DATOS!$K$2:$K$20000,DATOS!$A$2:$A$20000,A596,DATOS!$G$2:$G$20000,CONFIG_METADATA!$B$4,DATOS!$I$2:$I$20000,"Orquesta/Banda/Conjunto"),"")))</f>
        <v/>
      </c>
      <c r="D596" t="str">
        <f>IF(A596="","",IF(A596="[FÓRMULA MANUAL]","",IFERROR(AVERAGEIFS(DATOS!$K$2:$K$20000,DATOS!$A$2:$A$20000,A596,DATOS!$G$2:$G$20000,CONFIG_METADATA!$B$4,DATOS!$I$2:$I$20000,"Conjunto"),"")))</f>
        <v/>
      </c>
      <c r="E596" t="str">
        <f>IF(A596="","",IF(A596="[FÓRMULA MANUAL]","",IFERROR(SUMPRODUCT((DATOS!$A$2:$A$20000=A596)*(DATOS!$G$2:$G$20000=CONFIG_METADATA!$B$4)*(COUNTIF(CONFIG_ASIGNATURAS!$B$7:$B$27,DATOS!$I$2:$I$20000)&gt;0)*(DATOS!$K$2:$K$20000))/SUMPRODUCT((DATOS!$A$2:$A$20000=A596)*(DATOS!$G$2:$G$20000=CONFIG_METADATA!$B$4)*(COUNTIF(CONFIG_ASIGNATURAS!$B$7:$B$27,DATOS!$I$2:$I$20000)&gt;0)*1),"")))</f>
        <v/>
      </c>
      <c r="H596" t="str">
        <f>IF(G596="","",IF(G596="[FÓRMULA MANUAL]","",IFERROR(AVERAGEIFS(DATOS!$K$2:$K$20000,DATOS!$A$2:$A$20000,G596,DATOS!$G$2:$G$20000,CONFIG_METADATA!$B$4,DATOS!$I$2:$I$20000,"Lenguaje Musical"),"")))</f>
        <v/>
      </c>
      <c r="I596" t="str">
        <f>IF(G596="","",IF(G596="[FÓRMULA MANUAL]","",IFERROR(AVERAGEIFS(DATOS!$K$2:$K$20000,DATOS!$A$2:$A$20000,G596,DATOS!$G$2:$G$20000,CONFIG_METADATA!$B$4,DATOS!$I$2:$I$20000,"Orquesta/Banda/Conjunto"),"")))</f>
        <v/>
      </c>
      <c r="J596" t="str">
        <f>IF(G596="","",IF(G596="[FÓRMULA MANUAL]","",IFERROR(AVERAGEIFS(DATOS!$K$2:$K$20000,DATOS!$A$2:$A$20000,G596,DATOS!$G$2:$G$20000,CONFIG_METADATA!$B$4,DATOS!$I$2:$I$20000,"Conjunto"),"")))</f>
        <v/>
      </c>
      <c r="K596" t="str">
        <f>IF(G596="","",IF(G596="[FÓRMULA MANUAL]","",IFERROR(SUMPRODUCT((DATOS!$A$2:$A$20000=G596)*(DATOS!$G$2:$G$20000=CONFIG_METADATA!$B$4)*(COUNTIF(CONFIG_ASIGNATURAS!$B$7:$B$27,DATOS!$I$2:$I$20000)&gt;0)*(DATOS!$K$2:$K$20000))/SUMPRODUCT((DATOS!$A$2:$A$20000=G596)*(DATOS!$G$2:$G$20000=CONFIG_METADATA!$B$4)*(COUNTIF(CONFIG_ASIGNATURAS!$B$7:$B$27,DATOS!$I$2:$I$20000)&gt;0)*1),"")))</f>
        <v/>
      </c>
      <c r="N596" t="str">
        <f>IF(M596="","",IF(M596="[FÓRMULA MANUAL]","",IFERROR(AVERAGEIFS(DATOS!$K$2:$K$20000,DATOS!$A$2:$A$20000,M596,DATOS!$G$2:$G$20000,CONFIG_METADATA!$B$4,DATOS!$I$2:$I$20000,"Armonía"),"")))</f>
        <v/>
      </c>
      <c r="O596" t="str">
        <f>IF(M596="","",IF(M596="[FÓRMULA MANUAL]","",IFERROR(AVERAGEIFS(DATOS!$K$2:$K$20000,DATOS!$A$2:$A$20000,M596,DATOS!$G$2:$G$20000,CONFIG_METADATA!$B$4,DATOS!$I$2:$I$20000,"Orquesta/Banda/Conjunto"),"")))</f>
        <v/>
      </c>
      <c r="P596" t="str">
        <f>IF(M596="","",IF(M596="[FÓRMULA MANUAL]","",IFERROR(AVERAGEIFS(DATOS!$K$2:$K$20000,DATOS!$A$2:$A$20000,M596,DATOS!$G$2:$G$20000,CONFIG_METADATA!$B$4,DATOS!$I$2:$I$20000,"Música de Cámara"),"")))</f>
        <v/>
      </c>
      <c r="Q596" t="str">
        <f>IF(M596="","",IF(M596="[FÓRMULA MANUAL]","",IFERROR(SUMPRODUCT((DATOS!$A$2:$A$20000=M596)*(DATOS!$G$2:$G$20000=CONFIG_METADATA!$B$4)*(COUNTIF(CONFIG_ASIGNATURAS!$B$7:$B$27,DATOS!$I$2:$I$20000)&gt;0)*(DATOS!$K$2:$K$20000))/SUMPRODUCT((DATOS!$A$2:$A$20000=M596)*(DATOS!$G$2:$G$20000=CONFIG_METADATA!$B$4)*(COUNTIF(CONFIG_ASIGNATURAS!$B$7:$B$27,DATOS!$I$2:$I$20000)&gt;0)*1),"")))</f>
        <v/>
      </c>
      <c r="T596" t="str">
        <f>IF(S596="","",IF(S596="[FÓRMULA MANUAL]","",IFERROR(AVERAGEIFS(DATOS!$K$2:$K$20000,DATOS!$A$2:$A$20000,S596,DATOS!$G$2:$G$20000,CONFIG_METADATA!$B$4,DATOS!$I$2:$I$20000,"Armonía"),"")))</f>
        <v/>
      </c>
      <c r="U596" t="str">
        <f>IF(S596="","",IF(S596="[FÓRMULA MANUAL]","",IFERROR(AVERAGEIFS(DATOS!$K$2:$K$20000,DATOS!$A$2:$A$20000,S596,DATOS!$G$2:$G$20000,CONFIG_METADATA!$B$4,DATOS!$I$2:$I$20000,"Orquesta/Banda/Conjunto"),"")))</f>
        <v/>
      </c>
      <c r="V596" t="str">
        <f>IF(S596="","",IF(S596="[FÓRMULA MANUAL]","",IFERROR(AVERAGEIFS(DATOS!$K$2:$K$20000,DATOS!$A$2:$A$20000,S596,DATOS!$G$2:$G$20000,CONFIG_METADATA!$B$4,DATOS!$I$2:$I$20000,"Música de Cámara"),"")))</f>
        <v/>
      </c>
      <c r="W596" t="str">
        <f>IF(S596="","",IF(S596="[FÓRMULA MANUAL]","",IFERROR(SUMPRODUCT((DATOS!$A$2:$A$20000=S596)*(DATOS!$G$2:$G$20000=CONFIG_METADATA!$B$4)*(COUNTIF(CONFIG_ASIGNATURAS!$B$7:$B$27,DATOS!$I$2:$I$20000)&gt;0)*(DATOS!$K$2:$K$20000))/SUMPRODUCT((DATOS!$A$2:$A$20000=S596)*(DATOS!$G$2:$G$20000=CONFIG_METADATA!$B$4)*(COUNTIF(CONFIG_ASIGNATURAS!$B$7:$B$27,DATOS!$I$2:$I$20000)&gt;0)*1),"")))</f>
        <v/>
      </c>
      <c r="Z596" t="str">
        <f>IF(Y596="","",IF(Y596="[FÓRMULA MANUAL]","",IFERROR(AVERAGEIFS(DATOS!$K$2:$K$20000,DATOS!$A$2:$A$20000,Y596,DATOS!$G$2:$G$20000,CONFIG_METADATA!$B$4,DATOS!$I$2:$I$20000,"Análisis"),"")))</f>
        <v/>
      </c>
      <c r="AA596" t="str">
        <f>IF(Y596="","",IF(Y596="[FÓRMULA MANUAL]","",IFERROR(AVERAGEIFS(DATOS!$K$2:$K$20000,DATOS!$A$2:$A$20000,Y596,DATOS!$G$2:$G$20000,CONFIG_METADATA!$B$4,DATOS!$I$2:$I$20000,"Orquesta/Banda/Conjunto"),"")))</f>
        <v/>
      </c>
      <c r="AB596" t="str">
        <f>IF(Y596="","",IF(Y596="[FÓRMULA MANUAL]","",IFERROR(AVERAGEIFS(DATOS!$K$2:$K$20000,DATOS!$A$2:$A$20000,Y596,DATOS!$G$2:$G$20000,CONFIG_METADATA!$B$4,DATOS!$I$2:$I$20000,"Música de Cámara"),"")))</f>
        <v/>
      </c>
      <c r="AC596" t="str">
        <f>IF(Y596="","",IF(Y596="[FÓRMULA MANUAL]","",IFERROR(SUMPRODUCT((DATOS!$A$2:$A$20000=Y596)*(DATOS!$G$2:$G$20000=CONFIG_METADATA!$B$4)*(COUNTIF(CONFIG_ASIGNATURAS!$B$7:$B$27,DATOS!$I$2:$I$20000)&gt;0)*(DATOS!$K$2:$K$20000))/SUMPRODUCT((DATOS!$A$2:$A$20000=Y596)*(DATOS!$G$2:$G$20000=CONFIG_METADATA!$B$4)*(COUNTIF(CONFIG_ASIGNATURAS!$B$7:$B$27,DATOS!$I$2:$I$20000)&gt;0)*1),"")))</f>
        <v/>
      </c>
      <c r="AF596" t="str">
        <f>IF(AE596="","",IF(AE596="[FÓRMULA MANUAL]","",IFERROR(AVERAGEIFS(DATOS!$K$2:$K$20000,DATOS!$A$2:$A$20000,AE596,DATOS!$G$2:$G$20000,CONFIG_METADATA!$B$4,DATOS!$I$2:$I$20000,"Análisis"),"")))</f>
        <v/>
      </c>
      <c r="AG596" t="str">
        <f>IF(AE596="","",IF(AE596="[FÓRMULA MANUAL]","",IFERROR(AVERAGEIFS(DATOS!$K$2:$K$20000,DATOS!$A$2:$A$20000,AE596,DATOS!$G$2:$G$20000,CONFIG_METADATA!$B$4,DATOS!$I$2:$I$20000,"Orquesta/Banda/Conjunto"),"")))</f>
        <v/>
      </c>
      <c r="AH596" t="str">
        <f>IF(AE596="","",IF(AE596="[FÓRMULA MANUAL]","",IFERROR(AVERAGEIFS(DATOS!$K$2:$K$20000,DATOS!$A$2:$A$20000,AE596,DATOS!$G$2:$G$20000,CONFIG_METADATA!$B$4,DATOS!$I$2:$I$20000,"Música de Cámara"),"")))</f>
        <v/>
      </c>
      <c r="AI596" t="str">
        <f>IF(AE596="","",IF(AE596="[FÓRMULA MANUAL]","",IFERROR(SUMPRODUCT((DATOS!$A$2:$A$20000=AE596)*(DATOS!$G$2:$G$20000=CONFIG_METADATA!$B$4)*(COUNTIF(CONFIG_ASIGNATURAS!$B$7:$B$27,DATOS!$I$2:$I$20000)&gt;0)*(DATOS!$K$2:$K$20000))/SUMPRODUCT((DATOS!$A$2:$A$20000=AE596)*(DATOS!$G$2:$G$20000=CONFIG_METADATA!$B$4)*(COUNTIF(CONFIG_ASIGNATURAS!$B$7:$B$27,DATOS!$I$2:$I$20000)&gt;0)*1),"")))</f>
        <v/>
      </c>
    </row>
    <row r="597" spans="2:35" x14ac:dyDescent="0.2">
      <c r="B597" t="str">
        <f>IF(A597="","",IF(A597="[FÓRMULA MANUAL]","",IFERROR(AVERAGEIFS(DATOS!$K$2:$K$20000,DATOS!$A$2:$A$20000,A597,DATOS!$G$2:$G$20000,CONFIG_METADATA!$B$4,DATOS!$I$2:$I$20000,"Lenguaje Musical"),"")))</f>
        <v/>
      </c>
      <c r="C597" t="str">
        <f>IF(A597="","",IF(A597="[FÓRMULA MANUAL]","",IFERROR(AVERAGEIFS(DATOS!$K$2:$K$20000,DATOS!$A$2:$A$20000,A597,DATOS!$G$2:$G$20000,CONFIG_METADATA!$B$4,DATOS!$I$2:$I$20000,"Orquesta/Banda/Conjunto"),"")))</f>
        <v/>
      </c>
      <c r="D597" t="str">
        <f>IF(A597="","",IF(A597="[FÓRMULA MANUAL]","",IFERROR(AVERAGEIFS(DATOS!$K$2:$K$20000,DATOS!$A$2:$A$20000,A597,DATOS!$G$2:$G$20000,CONFIG_METADATA!$B$4,DATOS!$I$2:$I$20000,"Conjunto"),"")))</f>
        <v/>
      </c>
      <c r="E597" t="str">
        <f>IF(A597="","",IF(A597="[FÓRMULA MANUAL]","",IFERROR(SUMPRODUCT((DATOS!$A$2:$A$20000=A597)*(DATOS!$G$2:$G$20000=CONFIG_METADATA!$B$4)*(COUNTIF(CONFIG_ASIGNATURAS!$B$7:$B$27,DATOS!$I$2:$I$20000)&gt;0)*(DATOS!$K$2:$K$20000))/SUMPRODUCT((DATOS!$A$2:$A$20000=A597)*(DATOS!$G$2:$G$20000=CONFIG_METADATA!$B$4)*(COUNTIF(CONFIG_ASIGNATURAS!$B$7:$B$27,DATOS!$I$2:$I$20000)&gt;0)*1),"")))</f>
        <v/>
      </c>
      <c r="H597" t="str">
        <f>IF(G597="","",IF(G597="[FÓRMULA MANUAL]","",IFERROR(AVERAGEIFS(DATOS!$K$2:$K$20000,DATOS!$A$2:$A$20000,G597,DATOS!$G$2:$G$20000,CONFIG_METADATA!$B$4,DATOS!$I$2:$I$20000,"Lenguaje Musical"),"")))</f>
        <v/>
      </c>
      <c r="I597" t="str">
        <f>IF(G597="","",IF(G597="[FÓRMULA MANUAL]","",IFERROR(AVERAGEIFS(DATOS!$K$2:$K$20000,DATOS!$A$2:$A$20000,G597,DATOS!$G$2:$G$20000,CONFIG_METADATA!$B$4,DATOS!$I$2:$I$20000,"Orquesta/Banda/Conjunto"),"")))</f>
        <v/>
      </c>
      <c r="J597" t="str">
        <f>IF(G597="","",IF(G597="[FÓRMULA MANUAL]","",IFERROR(AVERAGEIFS(DATOS!$K$2:$K$20000,DATOS!$A$2:$A$20000,G597,DATOS!$G$2:$G$20000,CONFIG_METADATA!$B$4,DATOS!$I$2:$I$20000,"Conjunto"),"")))</f>
        <v/>
      </c>
      <c r="K597" t="str">
        <f>IF(G597="","",IF(G597="[FÓRMULA MANUAL]","",IFERROR(SUMPRODUCT((DATOS!$A$2:$A$20000=G597)*(DATOS!$G$2:$G$20000=CONFIG_METADATA!$B$4)*(COUNTIF(CONFIG_ASIGNATURAS!$B$7:$B$27,DATOS!$I$2:$I$20000)&gt;0)*(DATOS!$K$2:$K$20000))/SUMPRODUCT((DATOS!$A$2:$A$20000=G597)*(DATOS!$G$2:$G$20000=CONFIG_METADATA!$B$4)*(COUNTIF(CONFIG_ASIGNATURAS!$B$7:$B$27,DATOS!$I$2:$I$20000)&gt;0)*1),"")))</f>
        <v/>
      </c>
      <c r="N597" t="str">
        <f>IF(M597="","",IF(M597="[FÓRMULA MANUAL]","",IFERROR(AVERAGEIFS(DATOS!$K$2:$K$20000,DATOS!$A$2:$A$20000,M597,DATOS!$G$2:$G$20000,CONFIG_METADATA!$B$4,DATOS!$I$2:$I$20000,"Armonía"),"")))</f>
        <v/>
      </c>
      <c r="O597" t="str">
        <f>IF(M597="","",IF(M597="[FÓRMULA MANUAL]","",IFERROR(AVERAGEIFS(DATOS!$K$2:$K$20000,DATOS!$A$2:$A$20000,M597,DATOS!$G$2:$G$20000,CONFIG_METADATA!$B$4,DATOS!$I$2:$I$20000,"Orquesta/Banda/Conjunto"),"")))</f>
        <v/>
      </c>
      <c r="P597" t="str">
        <f>IF(M597="","",IF(M597="[FÓRMULA MANUAL]","",IFERROR(AVERAGEIFS(DATOS!$K$2:$K$20000,DATOS!$A$2:$A$20000,M597,DATOS!$G$2:$G$20000,CONFIG_METADATA!$B$4,DATOS!$I$2:$I$20000,"Música de Cámara"),"")))</f>
        <v/>
      </c>
      <c r="Q597" t="str">
        <f>IF(M597="","",IF(M597="[FÓRMULA MANUAL]","",IFERROR(SUMPRODUCT((DATOS!$A$2:$A$20000=M597)*(DATOS!$G$2:$G$20000=CONFIG_METADATA!$B$4)*(COUNTIF(CONFIG_ASIGNATURAS!$B$7:$B$27,DATOS!$I$2:$I$20000)&gt;0)*(DATOS!$K$2:$K$20000))/SUMPRODUCT((DATOS!$A$2:$A$20000=M597)*(DATOS!$G$2:$G$20000=CONFIG_METADATA!$B$4)*(COUNTIF(CONFIG_ASIGNATURAS!$B$7:$B$27,DATOS!$I$2:$I$20000)&gt;0)*1),"")))</f>
        <v/>
      </c>
      <c r="T597" t="str">
        <f>IF(S597="","",IF(S597="[FÓRMULA MANUAL]","",IFERROR(AVERAGEIFS(DATOS!$K$2:$K$20000,DATOS!$A$2:$A$20000,S597,DATOS!$G$2:$G$20000,CONFIG_METADATA!$B$4,DATOS!$I$2:$I$20000,"Armonía"),"")))</f>
        <v/>
      </c>
      <c r="U597" t="str">
        <f>IF(S597="","",IF(S597="[FÓRMULA MANUAL]","",IFERROR(AVERAGEIFS(DATOS!$K$2:$K$20000,DATOS!$A$2:$A$20000,S597,DATOS!$G$2:$G$20000,CONFIG_METADATA!$B$4,DATOS!$I$2:$I$20000,"Orquesta/Banda/Conjunto"),"")))</f>
        <v/>
      </c>
      <c r="V597" t="str">
        <f>IF(S597="","",IF(S597="[FÓRMULA MANUAL]","",IFERROR(AVERAGEIFS(DATOS!$K$2:$K$20000,DATOS!$A$2:$A$20000,S597,DATOS!$G$2:$G$20000,CONFIG_METADATA!$B$4,DATOS!$I$2:$I$20000,"Música de Cámara"),"")))</f>
        <v/>
      </c>
      <c r="W597" t="str">
        <f>IF(S597="","",IF(S597="[FÓRMULA MANUAL]","",IFERROR(SUMPRODUCT((DATOS!$A$2:$A$20000=S597)*(DATOS!$G$2:$G$20000=CONFIG_METADATA!$B$4)*(COUNTIF(CONFIG_ASIGNATURAS!$B$7:$B$27,DATOS!$I$2:$I$20000)&gt;0)*(DATOS!$K$2:$K$20000))/SUMPRODUCT((DATOS!$A$2:$A$20000=S597)*(DATOS!$G$2:$G$20000=CONFIG_METADATA!$B$4)*(COUNTIF(CONFIG_ASIGNATURAS!$B$7:$B$27,DATOS!$I$2:$I$20000)&gt;0)*1),"")))</f>
        <v/>
      </c>
      <c r="Z597" t="str">
        <f>IF(Y597="","",IF(Y597="[FÓRMULA MANUAL]","",IFERROR(AVERAGEIFS(DATOS!$K$2:$K$20000,DATOS!$A$2:$A$20000,Y597,DATOS!$G$2:$G$20000,CONFIG_METADATA!$B$4,DATOS!$I$2:$I$20000,"Análisis"),"")))</f>
        <v/>
      </c>
      <c r="AA597" t="str">
        <f>IF(Y597="","",IF(Y597="[FÓRMULA MANUAL]","",IFERROR(AVERAGEIFS(DATOS!$K$2:$K$20000,DATOS!$A$2:$A$20000,Y597,DATOS!$G$2:$G$20000,CONFIG_METADATA!$B$4,DATOS!$I$2:$I$20000,"Orquesta/Banda/Conjunto"),"")))</f>
        <v/>
      </c>
      <c r="AB597" t="str">
        <f>IF(Y597="","",IF(Y597="[FÓRMULA MANUAL]","",IFERROR(AVERAGEIFS(DATOS!$K$2:$K$20000,DATOS!$A$2:$A$20000,Y597,DATOS!$G$2:$G$20000,CONFIG_METADATA!$B$4,DATOS!$I$2:$I$20000,"Música de Cámara"),"")))</f>
        <v/>
      </c>
      <c r="AC597" t="str">
        <f>IF(Y597="","",IF(Y597="[FÓRMULA MANUAL]","",IFERROR(SUMPRODUCT((DATOS!$A$2:$A$20000=Y597)*(DATOS!$G$2:$G$20000=CONFIG_METADATA!$B$4)*(COUNTIF(CONFIG_ASIGNATURAS!$B$7:$B$27,DATOS!$I$2:$I$20000)&gt;0)*(DATOS!$K$2:$K$20000))/SUMPRODUCT((DATOS!$A$2:$A$20000=Y597)*(DATOS!$G$2:$G$20000=CONFIG_METADATA!$B$4)*(COUNTIF(CONFIG_ASIGNATURAS!$B$7:$B$27,DATOS!$I$2:$I$20000)&gt;0)*1),"")))</f>
        <v/>
      </c>
      <c r="AF597" t="str">
        <f>IF(AE597="","",IF(AE597="[FÓRMULA MANUAL]","",IFERROR(AVERAGEIFS(DATOS!$K$2:$K$20000,DATOS!$A$2:$A$20000,AE597,DATOS!$G$2:$G$20000,CONFIG_METADATA!$B$4,DATOS!$I$2:$I$20000,"Análisis"),"")))</f>
        <v/>
      </c>
      <c r="AG597" t="str">
        <f>IF(AE597="","",IF(AE597="[FÓRMULA MANUAL]","",IFERROR(AVERAGEIFS(DATOS!$K$2:$K$20000,DATOS!$A$2:$A$20000,AE597,DATOS!$G$2:$G$20000,CONFIG_METADATA!$B$4,DATOS!$I$2:$I$20000,"Orquesta/Banda/Conjunto"),"")))</f>
        <v/>
      </c>
      <c r="AH597" t="str">
        <f>IF(AE597="","",IF(AE597="[FÓRMULA MANUAL]","",IFERROR(AVERAGEIFS(DATOS!$K$2:$K$20000,DATOS!$A$2:$A$20000,AE597,DATOS!$G$2:$G$20000,CONFIG_METADATA!$B$4,DATOS!$I$2:$I$20000,"Música de Cámara"),"")))</f>
        <v/>
      </c>
      <c r="AI597" t="str">
        <f>IF(AE597="","",IF(AE597="[FÓRMULA MANUAL]","",IFERROR(SUMPRODUCT((DATOS!$A$2:$A$20000=AE597)*(DATOS!$G$2:$G$20000=CONFIG_METADATA!$B$4)*(COUNTIF(CONFIG_ASIGNATURAS!$B$7:$B$27,DATOS!$I$2:$I$20000)&gt;0)*(DATOS!$K$2:$K$20000))/SUMPRODUCT((DATOS!$A$2:$A$20000=AE597)*(DATOS!$G$2:$G$20000=CONFIG_METADATA!$B$4)*(COUNTIF(CONFIG_ASIGNATURAS!$B$7:$B$27,DATOS!$I$2:$I$20000)&gt;0)*1),"")))</f>
        <v/>
      </c>
    </row>
    <row r="598" spans="2:35" x14ac:dyDescent="0.2">
      <c r="B598" t="str">
        <f>IF(A598="","",IF(A598="[FÓRMULA MANUAL]","",IFERROR(AVERAGEIFS(DATOS!$K$2:$K$20000,DATOS!$A$2:$A$20000,A598,DATOS!$G$2:$G$20000,CONFIG_METADATA!$B$4,DATOS!$I$2:$I$20000,"Lenguaje Musical"),"")))</f>
        <v/>
      </c>
      <c r="C598" t="str">
        <f>IF(A598="","",IF(A598="[FÓRMULA MANUAL]","",IFERROR(AVERAGEIFS(DATOS!$K$2:$K$20000,DATOS!$A$2:$A$20000,A598,DATOS!$G$2:$G$20000,CONFIG_METADATA!$B$4,DATOS!$I$2:$I$20000,"Orquesta/Banda/Conjunto"),"")))</f>
        <v/>
      </c>
      <c r="D598" t="str">
        <f>IF(A598="","",IF(A598="[FÓRMULA MANUAL]","",IFERROR(AVERAGEIFS(DATOS!$K$2:$K$20000,DATOS!$A$2:$A$20000,A598,DATOS!$G$2:$G$20000,CONFIG_METADATA!$B$4,DATOS!$I$2:$I$20000,"Conjunto"),"")))</f>
        <v/>
      </c>
      <c r="E598" t="str">
        <f>IF(A598="","",IF(A598="[FÓRMULA MANUAL]","",IFERROR(SUMPRODUCT((DATOS!$A$2:$A$20000=A598)*(DATOS!$G$2:$G$20000=CONFIG_METADATA!$B$4)*(COUNTIF(CONFIG_ASIGNATURAS!$B$7:$B$27,DATOS!$I$2:$I$20000)&gt;0)*(DATOS!$K$2:$K$20000))/SUMPRODUCT((DATOS!$A$2:$A$20000=A598)*(DATOS!$G$2:$G$20000=CONFIG_METADATA!$B$4)*(COUNTIF(CONFIG_ASIGNATURAS!$B$7:$B$27,DATOS!$I$2:$I$20000)&gt;0)*1),"")))</f>
        <v/>
      </c>
      <c r="H598" t="str">
        <f>IF(G598="","",IF(G598="[FÓRMULA MANUAL]","",IFERROR(AVERAGEIFS(DATOS!$K$2:$K$20000,DATOS!$A$2:$A$20000,G598,DATOS!$G$2:$G$20000,CONFIG_METADATA!$B$4,DATOS!$I$2:$I$20000,"Lenguaje Musical"),"")))</f>
        <v/>
      </c>
      <c r="I598" t="str">
        <f>IF(G598="","",IF(G598="[FÓRMULA MANUAL]","",IFERROR(AVERAGEIFS(DATOS!$K$2:$K$20000,DATOS!$A$2:$A$20000,G598,DATOS!$G$2:$G$20000,CONFIG_METADATA!$B$4,DATOS!$I$2:$I$20000,"Orquesta/Banda/Conjunto"),"")))</f>
        <v/>
      </c>
      <c r="J598" t="str">
        <f>IF(G598="","",IF(G598="[FÓRMULA MANUAL]","",IFERROR(AVERAGEIFS(DATOS!$K$2:$K$20000,DATOS!$A$2:$A$20000,G598,DATOS!$G$2:$G$20000,CONFIG_METADATA!$B$4,DATOS!$I$2:$I$20000,"Conjunto"),"")))</f>
        <v/>
      </c>
      <c r="K598" t="str">
        <f>IF(G598="","",IF(G598="[FÓRMULA MANUAL]","",IFERROR(SUMPRODUCT((DATOS!$A$2:$A$20000=G598)*(DATOS!$G$2:$G$20000=CONFIG_METADATA!$B$4)*(COUNTIF(CONFIG_ASIGNATURAS!$B$7:$B$27,DATOS!$I$2:$I$20000)&gt;0)*(DATOS!$K$2:$K$20000))/SUMPRODUCT((DATOS!$A$2:$A$20000=G598)*(DATOS!$G$2:$G$20000=CONFIG_METADATA!$B$4)*(COUNTIF(CONFIG_ASIGNATURAS!$B$7:$B$27,DATOS!$I$2:$I$20000)&gt;0)*1),"")))</f>
        <v/>
      </c>
      <c r="N598" t="str">
        <f>IF(M598="","",IF(M598="[FÓRMULA MANUAL]","",IFERROR(AVERAGEIFS(DATOS!$K$2:$K$20000,DATOS!$A$2:$A$20000,M598,DATOS!$G$2:$G$20000,CONFIG_METADATA!$B$4,DATOS!$I$2:$I$20000,"Armonía"),"")))</f>
        <v/>
      </c>
      <c r="O598" t="str">
        <f>IF(M598="","",IF(M598="[FÓRMULA MANUAL]","",IFERROR(AVERAGEIFS(DATOS!$K$2:$K$20000,DATOS!$A$2:$A$20000,M598,DATOS!$G$2:$G$20000,CONFIG_METADATA!$B$4,DATOS!$I$2:$I$20000,"Orquesta/Banda/Conjunto"),"")))</f>
        <v/>
      </c>
      <c r="P598" t="str">
        <f>IF(M598="","",IF(M598="[FÓRMULA MANUAL]","",IFERROR(AVERAGEIFS(DATOS!$K$2:$K$20000,DATOS!$A$2:$A$20000,M598,DATOS!$G$2:$G$20000,CONFIG_METADATA!$B$4,DATOS!$I$2:$I$20000,"Música de Cámara"),"")))</f>
        <v/>
      </c>
      <c r="Q598" t="str">
        <f>IF(M598="","",IF(M598="[FÓRMULA MANUAL]","",IFERROR(SUMPRODUCT((DATOS!$A$2:$A$20000=M598)*(DATOS!$G$2:$G$20000=CONFIG_METADATA!$B$4)*(COUNTIF(CONFIG_ASIGNATURAS!$B$7:$B$27,DATOS!$I$2:$I$20000)&gt;0)*(DATOS!$K$2:$K$20000))/SUMPRODUCT((DATOS!$A$2:$A$20000=M598)*(DATOS!$G$2:$G$20000=CONFIG_METADATA!$B$4)*(COUNTIF(CONFIG_ASIGNATURAS!$B$7:$B$27,DATOS!$I$2:$I$20000)&gt;0)*1),"")))</f>
        <v/>
      </c>
      <c r="T598" t="str">
        <f>IF(S598="","",IF(S598="[FÓRMULA MANUAL]","",IFERROR(AVERAGEIFS(DATOS!$K$2:$K$20000,DATOS!$A$2:$A$20000,S598,DATOS!$G$2:$G$20000,CONFIG_METADATA!$B$4,DATOS!$I$2:$I$20000,"Armonía"),"")))</f>
        <v/>
      </c>
      <c r="U598" t="str">
        <f>IF(S598="","",IF(S598="[FÓRMULA MANUAL]","",IFERROR(AVERAGEIFS(DATOS!$K$2:$K$20000,DATOS!$A$2:$A$20000,S598,DATOS!$G$2:$G$20000,CONFIG_METADATA!$B$4,DATOS!$I$2:$I$20000,"Orquesta/Banda/Conjunto"),"")))</f>
        <v/>
      </c>
      <c r="V598" t="str">
        <f>IF(S598="","",IF(S598="[FÓRMULA MANUAL]","",IFERROR(AVERAGEIFS(DATOS!$K$2:$K$20000,DATOS!$A$2:$A$20000,S598,DATOS!$G$2:$G$20000,CONFIG_METADATA!$B$4,DATOS!$I$2:$I$20000,"Música de Cámara"),"")))</f>
        <v/>
      </c>
      <c r="W598" t="str">
        <f>IF(S598="","",IF(S598="[FÓRMULA MANUAL]","",IFERROR(SUMPRODUCT((DATOS!$A$2:$A$20000=S598)*(DATOS!$G$2:$G$20000=CONFIG_METADATA!$B$4)*(COUNTIF(CONFIG_ASIGNATURAS!$B$7:$B$27,DATOS!$I$2:$I$20000)&gt;0)*(DATOS!$K$2:$K$20000))/SUMPRODUCT((DATOS!$A$2:$A$20000=S598)*(DATOS!$G$2:$G$20000=CONFIG_METADATA!$B$4)*(COUNTIF(CONFIG_ASIGNATURAS!$B$7:$B$27,DATOS!$I$2:$I$20000)&gt;0)*1),"")))</f>
        <v/>
      </c>
      <c r="Z598" t="str">
        <f>IF(Y598="","",IF(Y598="[FÓRMULA MANUAL]","",IFERROR(AVERAGEIFS(DATOS!$K$2:$K$20000,DATOS!$A$2:$A$20000,Y598,DATOS!$G$2:$G$20000,CONFIG_METADATA!$B$4,DATOS!$I$2:$I$20000,"Análisis"),"")))</f>
        <v/>
      </c>
      <c r="AA598" t="str">
        <f>IF(Y598="","",IF(Y598="[FÓRMULA MANUAL]","",IFERROR(AVERAGEIFS(DATOS!$K$2:$K$20000,DATOS!$A$2:$A$20000,Y598,DATOS!$G$2:$G$20000,CONFIG_METADATA!$B$4,DATOS!$I$2:$I$20000,"Orquesta/Banda/Conjunto"),"")))</f>
        <v/>
      </c>
      <c r="AB598" t="str">
        <f>IF(Y598="","",IF(Y598="[FÓRMULA MANUAL]","",IFERROR(AVERAGEIFS(DATOS!$K$2:$K$20000,DATOS!$A$2:$A$20000,Y598,DATOS!$G$2:$G$20000,CONFIG_METADATA!$B$4,DATOS!$I$2:$I$20000,"Música de Cámara"),"")))</f>
        <v/>
      </c>
      <c r="AC598" t="str">
        <f>IF(Y598="","",IF(Y598="[FÓRMULA MANUAL]","",IFERROR(SUMPRODUCT((DATOS!$A$2:$A$20000=Y598)*(DATOS!$G$2:$G$20000=CONFIG_METADATA!$B$4)*(COUNTIF(CONFIG_ASIGNATURAS!$B$7:$B$27,DATOS!$I$2:$I$20000)&gt;0)*(DATOS!$K$2:$K$20000))/SUMPRODUCT((DATOS!$A$2:$A$20000=Y598)*(DATOS!$G$2:$G$20000=CONFIG_METADATA!$B$4)*(COUNTIF(CONFIG_ASIGNATURAS!$B$7:$B$27,DATOS!$I$2:$I$20000)&gt;0)*1),"")))</f>
        <v/>
      </c>
      <c r="AF598" t="str">
        <f>IF(AE598="","",IF(AE598="[FÓRMULA MANUAL]","",IFERROR(AVERAGEIFS(DATOS!$K$2:$K$20000,DATOS!$A$2:$A$20000,AE598,DATOS!$G$2:$G$20000,CONFIG_METADATA!$B$4,DATOS!$I$2:$I$20000,"Análisis"),"")))</f>
        <v/>
      </c>
      <c r="AG598" t="str">
        <f>IF(AE598="","",IF(AE598="[FÓRMULA MANUAL]","",IFERROR(AVERAGEIFS(DATOS!$K$2:$K$20000,DATOS!$A$2:$A$20000,AE598,DATOS!$G$2:$G$20000,CONFIG_METADATA!$B$4,DATOS!$I$2:$I$20000,"Orquesta/Banda/Conjunto"),"")))</f>
        <v/>
      </c>
      <c r="AH598" t="str">
        <f>IF(AE598="","",IF(AE598="[FÓRMULA MANUAL]","",IFERROR(AVERAGEIFS(DATOS!$K$2:$K$20000,DATOS!$A$2:$A$20000,AE598,DATOS!$G$2:$G$20000,CONFIG_METADATA!$B$4,DATOS!$I$2:$I$20000,"Música de Cámara"),"")))</f>
        <v/>
      </c>
      <c r="AI598" t="str">
        <f>IF(AE598="","",IF(AE598="[FÓRMULA MANUAL]","",IFERROR(SUMPRODUCT((DATOS!$A$2:$A$20000=AE598)*(DATOS!$G$2:$G$20000=CONFIG_METADATA!$B$4)*(COUNTIF(CONFIG_ASIGNATURAS!$B$7:$B$27,DATOS!$I$2:$I$20000)&gt;0)*(DATOS!$K$2:$K$20000))/SUMPRODUCT((DATOS!$A$2:$A$20000=AE598)*(DATOS!$G$2:$G$20000=CONFIG_METADATA!$B$4)*(COUNTIF(CONFIG_ASIGNATURAS!$B$7:$B$27,DATOS!$I$2:$I$20000)&gt;0)*1),"")))</f>
        <v/>
      </c>
    </row>
    <row r="599" spans="2:35" x14ac:dyDescent="0.2">
      <c r="B599" t="str">
        <f>IF(A599="","",IF(A599="[FÓRMULA MANUAL]","",IFERROR(AVERAGEIFS(DATOS!$K$2:$K$20000,DATOS!$A$2:$A$20000,A599,DATOS!$G$2:$G$20000,CONFIG_METADATA!$B$4,DATOS!$I$2:$I$20000,"Lenguaje Musical"),"")))</f>
        <v/>
      </c>
      <c r="C599" t="str">
        <f>IF(A599="","",IF(A599="[FÓRMULA MANUAL]","",IFERROR(AVERAGEIFS(DATOS!$K$2:$K$20000,DATOS!$A$2:$A$20000,A599,DATOS!$G$2:$G$20000,CONFIG_METADATA!$B$4,DATOS!$I$2:$I$20000,"Orquesta/Banda/Conjunto"),"")))</f>
        <v/>
      </c>
      <c r="D599" t="str">
        <f>IF(A599="","",IF(A599="[FÓRMULA MANUAL]","",IFERROR(AVERAGEIFS(DATOS!$K$2:$K$20000,DATOS!$A$2:$A$20000,A599,DATOS!$G$2:$G$20000,CONFIG_METADATA!$B$4,DATOS!$I$2:$I$20000,"Conjunto"),"")))</f>
        <v/>
      </c>
      <c r="E599" t="str">
        <f>IF(A599="","",IF(A599="[FÓRMULA MANUAL]","",IFERROR(SUMPRODUCT((DATOS!$A$2:$A$20000=A599)*(DATOS!$G$2:$G$20000=CONFIG_METADATA!$B$4)*(COUNTIF(CONFIG_ASIGNATURAS!$B$7:$B$27,DATOS!$I$2:$I$20000)&gt;0)*(DATOS!$K$2:$K$20000))/SUMPRODUCT((DATOS!$A$2:$A$20000=A599)*(DATOS!$G$2:$G$20000=CONFIG_METADATA!$B$4)*(COUNTIF(CONFIG_ASIGNATURAS!$B$7:$B$27,DATOS!$I$2:$I$20000)&gt;0)*1),"")))</f>
        <v/>
      </c>
      <c r="H599" t="str">
        <f>IF(G599="","",IF(G599="[FÓRMULA MANUAL]","",IFERROR(AVERAGEIFS(DATOS!$K$2:$K$20000,DATOS!$A$2:$A$20000,G599,DATOS!$G$2:$G$20000,CONFIG_METADATA!$B$4,DATOS!$I$2:$I$20000,"Lenguaje Musical"),"")))</f>
        <v/>
      </c>
      <c r="I599" t="str">
        <f>IF(G599="","",IF(G599="[FÓRMULA MANUAL]","",IFERROR(AVERAGEIFS(DATOS!$K$2:$K$20000,DATOS!$A$2:$A$20000,G599,DATOS!$G$2:$G$20000,CONFIG_METADATA!$B$4,DATOS!$I$2:$I$20000,"Orquesta/Banda/Conjunto"),"")))</f>
        <v/>
      </c>
      <c r="J599" t="str">
        <f>IF(G599="","",IF(G599="[FÓRMULA MANUAL]","",IFERROR(AVERAGEIFS(DATOS!$K$2:$K$20000,DATOS!$A$2:$A$20000,G599,DATOS!$G$2:$G$20000,CONFIG_METADATA!$B$4,DATOS!$I$2:$I$20000,"Conjunto"),"")))</f>
        <v/>
      </c>
      <c r="K599" t="str">
        <f>IF(G599="","",IF(G599="[FÓRMULA MANUAL]","",IFERROR(SUMPRODUCT((DATOS!$A$2:$A$20000=G599)*(DATOS!$G$2:$G$20000=CONFIG_METADATA!$B$4)*(COUNTIF(CONFIG_ASIGNATURAS!$B$7:$B$27,DATOS!$I$2:$I$20000)&gt;0)*(DATOS!$K$2:$K$20000))/SUMPRODUCT((DATOS!$A$2:$A$20000=G599)*(DATOS!$G$2:$G$20000=CONFIG_METADATA!$B$4)*(COUNTIF(CONFIG_ASIGNATURAS!$B$7:$B$27,DATOS!$I$2:$I$20000)&gt;0)*1),"")))</f>
        <v/>
      </c>
      <c r="N599" t="str">
        <f>IF(M599="","",IF(M599="[FÓRMULA MANUAL]","",IFERROR(AVERAGEIFS(DATOS!$K$2:$K$20000,DATOS!$A$2:$A$20000,M599,DATOS!$G$2:$G$20000,CONFIG_METADATA!$B$4,DATOS!$I$2:$I$20000,"Armonía"),"")))</f>
        <v/>
      </c>
      <c r="O599" t="str">
        <f>IF(M599="","",IF(M599="[FÓRMULA MANUAL]","",IFERROR(AVERAGEIFS(DATOS!$K$2:$K$20000,DATOS!$A$2:$A$20000,M599,DATOS!$G$2:$G$20000,CONFIG_METADATA!$B$4,DATOS!$I$2:$I$20000,"Orquesta/Banda/Conjunto"),"")))</f>
        <v/>
      </c>
      <c r="P599" t="str">
        <f>IF(M599="","",IF(M599="[FÓRMULA MANUAL]","",IFERROR(AVERAGEIFS(DATOS!$K$2:$K$20000,DATOS!$A$2:$A$20000,M599,DATOS!$G$2:$G$20000,CONFIG_METADATA!$B$4,DATOS!$I$2:$I$20000,"Música de Cámara"),"")))</f>
        <v/>
      </c>
      <c r="Q599" t="str">
        <f>IF(M599="","",IF(M599="[FÓRMULA MANUAL]","",IFERROR(SUMPRODUCT((DATOS!$A$2:$A$20000=M599)*(DATOS!$G$2:$G$20000=CONFIG_METADATA!$B$4)*(COUNTIF(CONFIG_ASIGNATURAS!$B$7:$B$27,DATOS!$I$2:$I$20000)&gt;0)*(DATOS!$K$2:$K$20000))/SUMPRODUCT((DATOS!$A$2:$A$20000=M599)*(DATOS!$G$2:$G$20000=CONFIG_METADATA!$B$4)*(COUNTIF(CONFIG_ASIGNATURAS!$B$7:$B$27,DATOS!$I$2:$I$20000)&gt;0)*1),"")))</f>
        <v/>
      </c>
      <c r="T599" t="str">
        <f>IF(S599="","",IF(S599="[FÓRMULA MANUAL]","",IFERROR(AVERAGEIFS(DATOS!$K$2:$K$20000,DATOS!$A$2:$A$20000,S599,DATOS!$G$2:$G$20000,CONFIG_METADATA!$B$4,DATOS!$I$2:$I$20000,"Armonía"),"")))</f>
        <v/>
      </c>
      <c r="U599" t="str">
        <f>IF(S599="","",IF(S599="[FÓRMULA MANUAL]","",IFERROR(AVERAGEIFS(DATOS!$K$2:$K$20000,DATOS!$A$2:$A$20000,S599,DATOS!$G$2:$G$20000,CONFIG_METADATA!$B$4,DATOS!$I$2:$I$20000,"Orquesta/Banda/Conjunto"),"")))</f>
        <v/>
      </c>
      <c r="V599" t="str">
        <f>IF(S599="","",IF(S599="[FÓRMULA MANUAL]","",IFERROR(AVERAGEIFS(DATOS!$K$2:$K$20000,DATOS!$A$2:$A$20000,S599,DATOS!$G$2:$G$20000,CONFIG_METADATA!$B$4,DATOS!$I$2:$I$20000,"Música de Cámara"),"")))</f>
        <v/>
      </c>
      <c r="W599" t="str">
        <f>IF(S599="","",IF(S599="[FÓRMULA MANUAL]","",IFERROR(SUMPRODUCT((DATOS!$A$2:$A$20000=S599)*(DATOS!$G$2:$G$20000=CONFIG_METADATA!$B$4)*(COUNTIF(CONFIG_ASIGNATURAS!$B$7:$B$27,DATOS!$I$2:$I$20000)&gt;0)*(DATOS!$K$2:$K$20000))/SUMPRODUCT((DATOS!$A$2:$A$20000=S599)*(DATOS!$G$2:$G$20000=CONFIG_METADATA!$B$4)*(COUNTIF(CONFIG_ASIGNATURAS!$B$7:$B$27,DATOS!$I$2:$I$20000)&gt;0)*1),"")))</f>
        <v/>
      </c>
      <c r="Z599" t="str">
        <f>IF(Y599="","",IF(Y599="[FÓRMULA MANUAL]","",IFERROR(AVERAGEIFS(DATOS!$K$2:$K$20000,DATOS!$A$2:$A$20000,Y599,DATOS!$G$2:$G$20000,CONFIG_METADATA!$B$4,DATOS!$I$2:$I$20000,"Análisis"),"")))</f>
        <v/>
      </c>
      <c r="AA599" t="str">
        <f>IF(Y599="","",IF(Y599="[FÓRMULA MANUAL]","",IFERROR(AVERAGEIFS(DATOS!$K$2:$K$20000,DATOS!$A$2:$A$20000,Y599,DATOS!$G$2:$G$20000,CONFIG_METADATA!$B$4,DATOS!$I$2:$I$20000,"Orquesta/Banda/Conjunto"),"")))</f>
        <v/>
      </c>
      <c r="AB599" t="str">
        <f>IF(Y599="","",IF(Y599="[FÓRMULA MANUAL]","",IFERROR(AVERAGEIFS(DATOS!$K$2:$K$20000,DATOS!$A$2:$A$20000,Y599,DATOS!$G$2:$G$20000,CONFIG_METADATA!$B$4,DATOS!$I$2:$I$20000,"Música de Cámara"),"")))</f>
        <v/>
      </c>
      <c r="AC599" t="str">
        <f>IF(Y599="","",IF(Y599="[FÓRMULA MANUAL]","",IFERROR(SUMPRODUCT((DATOS!$A$2:$A$20000=Y599)*(DATOS!$G$2:$G$20000=CONFIG_METADATA!$B$4)*(COUNTIF(CONFIG_ASIGNATURAS!$B$7:$B$27,DATOS!$I$2:$I$20000)&gt;0)*(DATOS!$K$2:$K$20000))/SUMPRODUCT((DATOS!$A$2:$A$20000=Y599)*(DATOS!$G$2:$G$20000=CONFIG_METADATA!$B$4)*(COUNTIF(CONFIG_ASIGNATURAS!$B$7:$B$27,DATOS!$I$2:$I$20000)&gt;0)*1),"")))</f>
        <v/>
      </c>
      <c r="AF599" t="str">
        <f>IF(AE599="","",IF(AE599="[FÓRMULA MANUAL]","",IFERROR(AVERAGEIFS(DATOS!$K$2:$K$20000,DATOS!$A$2:$A$20000,AE599,DATOS!$G$2:$G$20000,CONFIG_METADATA!$B$4,DATOS!$I$2:$I$20000,"Análisis"),"")))</f>
        <v/>
      </c>
      <c r="AG599" t="str">
        <f>IF(AE599="","",IF(AE599="[FÓRMULA MANUAL]","",IFERROR(AVERAGEIFS(DATOS!$K$2:$K$20000,DATOS!$A$2:$A$20000,AE599,DATOS!$G$2:$G$20000,CONFIG_METADATA!$B$4,DATOS!$I$2:$I$20000,"Orquesta/Banda/Conjunto"),"")))</f>
        <v/>
      </c>
      <c r="AH599" t="str">
        <f>IF(AE599="","",IF(AE599="[FÓRMULA MANUAL]","",IFERROR(AVERAGEIFS(DATOS!$K$2:$K$20000,DATOS!$A$2:$A$20000,AE599,DATOS!$G$2:$G$20000,CONFIG_METADATA!$B$4,DATOS!$I$2:$I$20000,"Música de Cámara"),"")))</f>
        <v/>
      </c>
      <c r="AI599" t="str">
        <f>IF(AE599="","",IF(AE599="[FÓRMULA MANUAL]","",IFERROR(SUMPRODUCT((DATOS!$A$2:$A$20000=AE599)*(DATOS!$G$2:$G$20000=CONFIG_METADATA!$B$4)*(COUNTIF(CONFIG_ASIGNATURAS!$B$7:$B$27,DATOS!$I$2:$I$20000)&gt;0)*(DATOS!$K$2:$K$20000))/SUMPRODUCT((DATOS!$A$2:$A$20000=AE599)*(DATOS!$G$2:$G$20000=CONFIG_METADATA!$B$4)*(COUNTIF(CONFIG_ASIGNATURAS!$B$7:$B$27,DATOS!$I$2:$I$20000)&gt;0)*1),"")))</f>
        <v/>
      </c>
    </row>
    <row r="600" spans="2:35" x14ac:dyDescent="0.2">
      <c r="B600" t="str">
        <f>IF(A600="","",IF(A600="[FÓRMULA MANUAL]","",IFERROR(AVERAGEIFS(DATOS!$K$2:$K$20000,DATOS!$A$2:$A$20000,A600,DATOS!$G$2:$G$20000,CONFIG_METADATA!$B$4,DATOS!$I$2:$I$20000,"Lenguaje Musical"),"")))</f>
        <v/>
      </c>
      <c r="C600" t="str">
        <f>IF(A600="","",IF(A600="[FÓRMULA MANUAL]","",IFERROR(AVERAGEIFS(DATOS!$K$2:$K$20000,DATOS!$A$2:$A$20000,A600,DATOS!$G$2:$G$20000,CONFIG_METADATA!$B$4,DATOS!$I$2:$I$20000,"Orquesta/Banda/Conjunto"),"")))</f>
        <v/>
      </c>
      <c r="D600" t="str">
        <f>IF(A600="","",IF(A600="[FÓRMULA MANUAL]","",IFERROR(AVERAGEIFS(DATOS!$K$2:$K$20000,DATOS!$A$2:$A$20000,A600,DATOS!$G$2:$G$20000,CONFIG_METADATA!$B$4,DATOS!$I$2:$I$20000,"Conjunto"),"")))</f>
        <v/>
      </c>
      <c r="E600" t="str">
        <f>IF(A600="","",IF(A600="[FÓRMULA MANUAL]","",IFERROR(SUMPRODUCT((DATOS!$A$2:$A$20000=A600)*(DATOS!$G$2:$G$20000=CONFIG_METADATA!$B$4)*(COUNTIF(CONFIG_ASIGNATURAS!$B$7:$B$27,DATOS!$I$2:$I$20000)&gt;0)*(DATOS!$K$2:$K$20000))/SUMPRODUCT((DATOS!$A$2:$A$20000=A600)*(DATOS!$G$2:$G$20000=CONFIG_METADATA!$B$4)*(COUNTIF(CONFIG_ASIGNATURAS!$B$7:$B$27,DATOS!$I$2:$I$20000)&gt;0)*1),"")))</f>
        <v/>
      </c>
      <c r="H600" t="str">
        <f>IF(G600="","",IF(G600="[FÓRMULA MANUAL]","",IFERROR(AVERAGEIFS(DATOS!$K$2:$K$20000,DATOS!$A$2:$A$20000,G600,DATOS!$G$2:$G$20000,CONFIG_METADATA!$B$4,DATOS!$I$2:$I$20000,"Lenguaje Musical"),"")))</f>
        <v/>
      </c>
      <c r="I600" t="str">
        <f>IF(G600="","",IF(G600="[FÓRMULA MANUAL]","",IFERROR(AVERAGEIFS(DATOS!$K$2:$K$20000,DATOS!$A$2:$A$20000,G600,DATOS!$G$2:$G$20000,CONFIG_METADATA!$B$4,DATOS!$I$2:$I$20000,"Orquesta/Banda/Conjunto"),"")))</f>
        <v/>
      </c>
      <c r="J600" t="str">
        <f>IF(G600="","",IF(G600="[FÓRMULA MANUAL]","",IFERROR(AVERAGEIFS(DATOS!$K$2:$K$20000,DATOS!$A$2:$A$20000,G600,DATOS!$G$2:$G$20000,CONFIG_METADATA!$B$4,DATOS!$I$2:$I$20000,"Conjunto"),"")))</f>
        <v/>
      </c>
      <c r="K600" t="str">
        <f>IF(G600="","",IF(G600="[FÓRMULA MANUAL]","",IFERROR(SUMPRODUCT((DATOS!$A$2:$A$20000=G600)*(DATOS!$G$2:$G$20000=CONFIG_METADATA!$B$4)*(COUNTIF(CONFIG_ASIGNATURAS!$B$7:$B$27,DATOS!$I$2:$I$20000)&gt;0)*(DATOS!$K$2:$K$20000))/SUMPRODUCT((DATOS!$A$2:$A$20000=G600)*(DATOS!$G$2:$G$20000=CONFIG_METADATA!$B$4)*(COUNTIF(CONFIG_ASIGNATURAS!$B$7:$B$27,DATOS!$I$2:$I$20000)&gt;0)*1),"")))</f>
        <v/>
      </c>
      <c r="N600" t="str">
        <f>IF(M600="","",IF(M600="[FÓRMULA MANUAL]","",IFERROR(AVERAGEIFS(DATOS!$K$2:$K$20000,DATOS!$A$2:$A$20000,M600,DATOS!$G$2:$G$20000,CONFIG_METADATA!$B$4,DATOS!$I$2:$I$20000,"Armonía"),"")))</f>
        <v/>
      </c>
      <c r="O600" t="str">
        <f>IF(M600="","",IF(M600="[FÓRMULA MANUAL]","",IFERROR(AVERAGEIFS(DATOS!$K$2:$K$20000,DATOS!$A$2:$A$20000,M600,DATOS!$G$2:$G$20000,CONFIG_METADATA!$B$4,DATOS!$I$2:$I$20000,"Orquesta/Banda/Conjunto"),"")))</f>
        <v/>
      </c>
      <c r="P600" t="str">
        <f>IF(M600="","",IF(M600="[FÓRMULA MANUAL]","",IFERROR(AVERAGEIFS(DATOS!$K$2:$K$20000,DATOS!$A$2:$A$20000,M600,DATOS!$G$2:$G$20000,CONFIG_METADATA!$B$4,DATOS!$I$2:$I$20000,"Música de Cámara"),"")))</f>
        <v/>
      </c>
      <c r="Q600" t="str">
        <f>IF(M600="","",IF(M600="[FÓRMULA MANUAL]","",IFERROR(SUMPRODUCT((DATOS!$A$2:$A$20000=M600)*(DATOS!$G$2:$G$20000=CONFIG_METADATA!$B$4)*(COUNTIF(CONFIG_ASIGNATURAS!$B$7:$B$27,DATOS!$I$2:$I$20000)&gt;0)*(DATOS!$K$2:$K$20000))/SUMPRODUCT((DATOS!$A$2:$A$20000=M600)*(DATOS!$G$2:$G$20000=CONFIG_METADATA!$B$4)*(COUNTIF(CONFIG_ASIGNATURAS!$B$7:$B$27,DATOS!$I$2:$I$20000)&gt;0)*1),"")))</f>
        <v/>
      </c>
      <c r="T600" t="str">
        <f>IF(S600="","",IF(S600="[FÓRMULA MANUAL]","",IFERROR(AVERAGEIFS(DATOS!$K$2:$K$20000,DATOS!$A$2:$A$20000,S600,DATOS!$G$2:$G$20000,CONFIG_METADATA!$B$4,DATOS!$I$2:$I$20000,"Armonía"),"")))</f>
        <v/>
      </c>
      <c r="U600" t="str">
        <f>IF(S600="","",IF(S600="[FÓRMULA MANUAL]","",IFERROR(AVERAGEIFS(DATOS!$K$2:$K$20000,DATOS!$A$2:$A$20000,S600,DATOS!$G$2:$G$20000,CONFIG_METADATA!$B$4,DATOS!$I$2:$I$20000,"Orquesta/Banda/Conjunto"),"")))</f>
        <v/>
      </c>
      <c r="V600" t="str">
        <f>IF(S600="","",IF(S600="[FÓRMULA MANUAL]","",IFERROR(AVERAGEIFS(DATOS!$K$2:$K$20000,DATOS!$A$2:$A$20000,S600,DATOS!$G$2:$G$20000,CONFIG_METADATA!$B$4,DATOS!$I$2:$I$20000,"Música de Cámara"),"")))</f>
        <v/>
      </c>
      <c r="W600" t="str">
        <f>IF(S600="","",IF(S600="[FÓRMULA MANUAL]","",IFERROR(SUMPRODUCT((DATOS!$A$2:$A$20000=S600)*(DATOS!$G$2:$G$20000=CONFIG_METADATA!$B$4)*(COUNTIF(CONFIG_ASIGNATURAS!$B$7:$B$27,DATOS!$I$2:$I$20000)&gt;0)*(DATOS!$K$2:$K$20000))/SUMPRODUCT((DATOS!$A$2:$A$20000=S600)*(DATOS!$G$2:$G$20000=CONFIG_METADATA!$B$4)*(COUNTIF(CONFIG_ASIGNATURAS!$B$7:$B$27,DATOS!$I$2:$I$20000)&gt;0)*1),"")))</f>
        <v/>
      </c>
      <c r="Z600" t="str">
        <f>IF(Y600="","",IF(Y600="[FÓRMULA MANUAL]","",IFERROR(AVERAGEIFS(DATOS!$K$2:$K$20000,DATOS!$A$2:$A$20000,Y600,DATOS!$G$2:$G$20000,CONFIG_METADATA!$B$4,DATOS!$I$2:$I$20000,"Análisis"),"")))</f>
        <v/>
      </c>
      <c r="AA600" t="str">
        <f>IF(Y600="","",IF(Y600="[FÓRMULA MANUAL]","",IFERROR(AVERAGEIFS(DATOS!$K$2:$K$20000,DATOS!$A$2:$A$20000,Y600,DATOS!$G$2:$G$20000,CONFIG_METADATA!$B$4,DATOS!$I$2:$I$20000,"Orquesta/Banda/Conjunto"),"")))</f>
        <v/>
      </c>
      <c r="AB600" t="str">
        <f>IF(Y600="","",IF(Y600="[FÓRMULA MANUAL]","",IFERROR(AVERAGEIFS(DATOS!$K$2:$K$20000,DATOS!$A$2:$A$20000,Y600,DATOS!$G$2:$G$20000,CONFIG_METADATA!$B$4,DATOS!$I$2:$I$20000,"Música de Cámara"),"")))</f>
        <v/>
      </c>
      <c r="AC600" t="str">
        <f>IF(Y600="","",IF(Y600="[FÓRMULA MANUAL]","",IFERROR(SUMPRODUCT((DATOS!$A$2:$A$20000=Y600)*(DATOS!$G$2:$G$20000=CONFIG_METADATA!$B$4)*(COUNTIF(CONFIG_ASIGNATURAS!$B$7:$B$27,DATOS!$I$2:$I$20000)&gt;0)*(DATOS!$K$2:$K$20000))/SUMPRODUCT((DATOS!$A$2:$A$20000=Y600)*(DATOS!$G$2:$G$20000=CONFIG_METADATA!$B$4)*(COUNTIF(CONFIG_ASIGNATURAS!$B$7:$B$27,DATOS!$I$2:$I$20000)&gt;0)*1),"")))</f>
        <v/>
      </c>
      <c r="AF600" t="str">
        <f>IF(AE600="","",IF(AE600="[FÓRMULA MANUAL]","",IFERROR(AVERAGEIFS(DATOS!$K$2:$K$20000,DATOS!$A$2:$A$20000,AE600,DATOS!$G$2:$G$20000,CONFIG_METADATA!$B$4,DATOS!$I$2:$I$20000,"Análisis"),"")))</f>
        <v/>
      </c>
      <c r="AG600" t="str">
        <f>IF(AE600="","",IF(AE600="[FÓRMULA MANUAL]","",IFERROR(AVERAGEIFS(DATOS!$K$2:$K$20000,DATOS!$A$2:$A$20000,AE600,DATOS!$G$2:$G$20000,CONFIG_METADATA!$B$4,DATOS!$I$2:$I$20000,"Orquesta/Banda/Conjunto"),"")))</f>
        <v/>
      </c>
      <c r="AH600" t="str">
        <f>IF(AE600="","",IF(AE600="[FÓRMULA MANUAL]","",IFERROR(AVERAGEIFS(DATOS!$K$2:$K$20000,DATOS!$A$2:$A$20000,AE600,DATOS!$G$2:$G$20000,CONFIG_METADATA!$B$4,DATOS!$I$2:$I$20000,"Música de Cámara"),"")))</f>
        <v/>
      </c>
      <c r="AI600" t="str">
        <f>IF(AE600="","",IF(AE600="[FÓRMULA MANUAL]","",IFERROR(SUMPRODUCT((DATOS!$A$2:$A$20000=AE600)*(DATOS!$G$2:$G$20000=CONFIG_METADATA!$B$4)*(COUNTIF(CONFIG_ASIGNATURAS!$B$7:$B$27,DATOS!$I$2:$I$20000)&gt;0)*(DATOS!$K$2:$K$20000))/SUMPRODUCT((DATOS!$A$2:$A$20000=AE600)*(DATOS!$G$2:$G$20000=CONFIG_METADATA!$B$4)*(COUNTIF(CONFIG_ASIGNATURAS!$B$7:$B$27,DATOS!$I$2:$I$20000)&gt;0)*1),"")))</f>
        <v/>
      </c>
    </row>
    <row r="601" spans="2:35" x14ac:dyDescent="0.2">
      <c r="B601" t="str">
        <f>IF(A601="","",IF(A601="[FÓRMULA MANUAL]","",IFERROR(AVERAGEIFS(DATOS!$K$2:$K$20000,DATOS!$A$2:$A$20000,A601,DATOS!$G$2:$G$20000,CONFIG_METADATA!$B$4,DATOS!$I$2:$I$20000,"Lenguaje Musical"),"")))</f>
        <v/>
      </c>
      <c r="C601" t="str">
        <f>IF(A601="","",IF(A601="[FÓRMULA MANUAL]","",IFERROR(AVERAGEIFS(DATOS!$K$2:$K$20000,DATOS!$A$2:$A$20000,A601,DATOS!$G$2:$G$20000,CONFIG_METADATA!$B$4,DATOS!$I$2:$I$20000,"Orquesta/Banda/Conjunto"),"")))</f>
        <v/>
      </c>
      <c r="D601" t="str">
        <f>IF(A601="","",IF(A601="[FÓRMULA MANUAL]","",IFERROR(AVERAGEIFS(DATOS!$K$2:$K$20000,DATOS!$A$2:$A$20000,A601,DATOS!$G$2:$G$20000,CONFIG_METADATA!$B$4,DATOS!$I$2:$I$20000,"Conjunto"),"")))</f>
        <v/>
      </c>
      <c r="E601" t="str">
        <f>IF(A601="","",IF(A601="[FÓRMULA MANUAL]","",IFERROR(SUMPRODUCT((DATOS!$A$2:$A$20000=A601)*(DATOS!$G$2:$G$20000=CONFIG_METADATA!$B$4)*(COUNTIF(CONFIG_ASIGNATURAS!$B$7:$B$27,DATOS!$I$2:$I$20000)&gt;0)*(DATOS!$K$2:$K$20000))/SUMPRODUCT((DATOS!$A$2:$A$20000=A601)*(DATOS!$G$2:$G$20000=CONFIG_METADATA!$B$4)*(COUNTIF(CONFIG_ASIGNATURAS!$B$7:$B$27,DATOS!$I$2:$I$20000)&gt;0)*1),"")))</f>
        <v/>
      </c>
      <c r="H601" t="str">
        <f>IF(G601="","",IF(G601="[FÓRMULA MANUAL]","",IFERROR(AVERAGEIFS(DATOS!$K$2:$K$20000,DATOS!$A$2:$A$20000,G601,DATOS!$G$2:$G$20000,CONFIG_METADATA!$B$4,DATOS!$I$2:$I$20000,"Lenguaje Musical"),"")))</f>
        <v/>
      </c>
      <c r="I601" t="str">
        <f>IF(G601="","",IF(G601="[FÓRMULA MANUAL]","",IFERROR(AVERAGEIFS(DATOS!$K$2:$K$20000,DATOS!$A$2:$A$20000,G601,DATOS!$G$2:$G$20000,CONFIG_METADATA!$B$4,DATOS!$I$2:$I$20000,"Orquesta/Banda/Conjunto"),"")))</f>
        <v/>
      </c>
      <c r="J601" t="str">
        <f>IF(G601="","",IF(G601="[FÓRMULA MANUAL]","",IFERROR(AVERAGEIFS(DATOS!$K$2:$K$20000,DATOS!$A$2:$A$20000,G601,DATOS!$G$2:$G$20000,CONFIG_METADATA!$B$4,DATOS!$I$2:$I$20000,"Conjunto"),"")))</f>
        <v/>
      </c>
      <c r="K601" t="str">
        <f>IF(G601="","",IF(G601="[FÓRMULA MANUAL]","",IFERROR(SUMPRODUCT((DATOS!$A$2:$A$20000=G601)*(DATOS!$G$2:$G$20000=CONFIG_METADATA!$B$4)*(COUNTIF(CONFIG_ASIGNATURAS!$B$7:$B$27,DATOS!$I$2:$I$20000)&gt;0)*(DATOS!$K$2:$K$20000))/SUMPRODUCT((DATOS!$A$2:$A$20000=G601)*(DATOS!$G$2:$G$20000=CONFIG_METADATA!$B$4)*(COUNTIF(CONFIG_ASIGNATURAS!$B$7:$B$27,DATOS!$I$2:$I$20000)&gt;0)*1),"")))</f>
        <v/>
      </c>
      <c r="N601" t="str">
        <f>IF(M601="","",IF(M601="[FÓRMULA MANUAL]","",IFERROR(AVERAGEIFS(DATOS!$K$2:$K$20000,DATOS!$A$2:$A$20000,M601,DATOS!$G$2:$G$20000,CONFIG_METADATA!$B$4,DATOS!$I$2:$I$20000,"Armonía"),"")))</f>
        <v/>
      </c>
      <c r="O601" t="str">
        <f>IF(M601="","",IF(M601="[FÓRMULA MANUAL]","",IFERROR(AVERAGEIFS(DATOS!$K$2:$K$20000,DATOS!$A$2:$A$20000,M601,DATOS!$G$2:$G$20000,CONFIG_METADATA!$B$4,DATOS!$I$2:$I$20000,"Orquesta/Banda/Conjunto"),"")))</f>
        <v/>
      </c>
      <c r="P601" t="str">
        <f>IF(M601="","",IF(M601="[FÓRMULA MANUAL]","",IFERROR(AVERAGEIFS(DATOS!$K$2:$K$20000,DATOS!$A$2:$A$20000,M601,DATOS!$G$2:$G$20000,CONFIG_METADATA!$B$4,DATOS!$I$2:$I$20000,"Música de Cámara"),"")))</f>
        <v/>
      </c>
      <c r="Q601" t="str">
        <f>IF(M601="","",IF(M601="[FÓRMULA MANUAL]","",IFERROR(SUMPRODUCT((DATOS!$A$2:$A$20000=M601)*(DATOS!$G$2:$G$20000=CONFIG_METADATA!$B$4)*(COUNTIF(CONFIG_ASIGNATURAS!$B$7:$B$27,DATOS!$I$2:$I$20000)&gt;0)*(DATOS!$K$2:$K$20000))/SUMPRODUCT((DATOS!$A$2:$A$20000=M601)*(DATOS!$G$2:$G$20000=CONFIG_METADATA!$B$4)*(COUNTIF(CONFIG_ASIGNATURAS!$B$7:$B$27,DATOS!$I$2:$I$20000)&gt;0)*1),"")))</f>
        <v/>
      </c>
      <c r="T601" t="str">
        <f>IF(S601="","",IF(S601="[FÓRMULA MANUAL]","",IFERROR(AVERAGEIFS(DATOS!$K$2:$K$20000,DATOS!$A$2:$A$20000,S601,DATOS!$G$2:$G$20000,CONFIG_METADATA!$B$4,DATOS!$I$2:$I$20000,"Armonía"),"")))</f>
        <v/>
      </c>
      <c r="U601" t="str">
        <f>IF(S601="","",IF(S601="[FÓRMULA MANUAL]","",IFERROR(AVERAGEIFS(DATOS!$K$2:$K$20000,DATOS!$A$2:$A$20000,S601,DATOS!$G$2:$G$20000,CONFIG_METADATA!$B$4,DATOS!$I$2:$I$20000,"Orquesta/Banda/Conjunto"),"")))</f>
        <v/>
      </c>
      <c r="V601" t="str">
        <f>IF(S601="","",IF(S601="[FÓRMULA MANUAL]","",IFERROR(AVERAGEIFS(DATOS!$K$2:$K$20000,DATOS!$A$2:$A$20000,S601,DATOS!$G$2:$G$20000,CONFIG_METADATA!$B$4,DATOS!$I$2:$I$20000,"Música de Cámara"),"")))</f>
        <v/>
      </c>
      <c r="W601" t="str">
        <f>IF(S601="","",IF(S601="[FÓRMULA MANUAL]","",IFERROR(SUMPRODUCT((DATOS!$A$2:$A$20000=S601)*(DATOS!$G$2:$G$20000=CONFIG_METADATA!$B$4)*(COUNTIF(CONFIG_ASIGNATURAS!$B$7:$B$27,DATOS!$I$2:$I$20000)&gt;0)*(DATOS!$K$2:$K$20000))/SUMPRODUCT((DATOS!$A$2:$A$20000=S601)*(DATOS!$G$2:$G$20000=CONFIG_METADATA!$B$4)*(COUNTIF(CONFIG_ASIGNATURAS!$B$7:$B$27,DATOS!$I$2:$I$20000)&gt;0)*1),"")))</f>
        <v/>
      </c>
      <c r="Z601" t="str">
        <f>IF(Y601="","",IF(Y601="[FÓRMULA MANUAL]","",IFERROR(AVERAGEIFS(DATOS!$K$2:$K$20000,DATOS!$A$2:$A$20000,Y601,DATOS!$G$2:$G$20000,CONFIG_METADATA!$B$4,DATOS!$I$2:$I$20000,"Análisis"),"")))</f>
        <v/>
      </c>
      <c r="AA601" t="str">
        <f>IF(Y601="","",IF(Y601="[FÓRMULA MANUAL]","",IFERROR(AVERAGEIFS(DATOS!$K$2:$K$20000,DATOS!$A$2:$A$20000,Y601,DATOS!$G$2:$G$20000,CONFIG_METADATA!$B$4,DATOS!$I$2:$I$20000,"Orquesta/Banda/Conjunto"),"")))</f>
        <v/>
      </c>
      <c r="AB601" t="str">
        <f>IF(Y601="","",IF(Y601="[FÓRMULA MANUAL]","",IFERROR(AVERAGEIFS(DATOS!$K$2:$K$20000,DATOS!$A$2:$A$20000,Y601,DATOS!$G$2:$G$20000,CONFIG_METADATA!$B$4,DATOS!$I$2:$I$20000,"Música de Cámara"),"")))</f>
        <v/>
      </c>
      <c r="AC601" t="str">
        <f>IF(Y601="","",IF(Y601="[FÓRMULA MANUAL]","",IFERROR(SUMPRODUCT((DATOS!$A$2:$A$20000=Y601)*(DATOS!$G$2:$G$20000=CONFIG_METADATA!$B$4)*(COUNTIF(CONFIG_ASIGNATURAS!$B$7:$B$27,DATOS!$I$2:$I$20000)&gt;0)*(DATOS!$K$2:$K$20000))/SUMPRODUCT((DATOS!$A$2:$A$20000=Y601)*(DATOS!$G$2:$G$20000=CONFIG_METADATA!$B$4)*(COUNTIF(CONFIG_ASIGNATURAS!$B$7:$B$27,DATOS!$I$2:$I$20000)&gt;0)*1),"")))</f>
        <v/>
      </c>
      <c r="AF601" t="str">
        <f>IF(AE601="","",IF(AE601="[FÓRMULA MANUAL]","",IFERROR(AVERAGEIFS(DATOS!$K$2:$K$20000,DATOS!$A$2:$A$20000,AE601,DATOS!$G$2:$G$20000,CONFIG_METADATA!$B$4,DATOS!$I$2:$I$20000,"Análisis"),"")))</f>
        <v/>
      </c>
      <c r="AG601" t="str">
        <f>IF(AE601="","",IF(AE601="[FÓRMULA MANUAL]","",IFERROR(AVERAGEIFS(DATOS!$K$2:$K$20000,DATOS!$A$2:$A$20000,AE601,DATOS!$G$2:$G$20000,CONFIG_METADATA!$B$4,DATOS!$I$2:$I$20000,"Orquesta/Banda/Conjunto"),"")))</f>
        <v/>
      </c>
      <c r="AH601" t="str">
        <f>IF(AE601="","",IF(AE601="[FÓRMULA MANUAL]","",IFERROR(AVERAGEIFS(DATOS!$K$2:$K$20000,DATOS!$A$2:$A$20000,AE601,DATOS!$G$2:$G$20000,CONFIG_METADATA!$B$4,DATOS!$I$2:$I$20000,"Música de Cámara"),"")))</f>
        <v/>
      </c>
      <c r="AI601" t="str">
        <f>IF(AE601="","",IF(AE601="[FÓRMULA MANUAL]","",IFERROR(SUMPRODUCT((DATOS!$A$2:$A$20000=AE601)*(DATOS!$G$2:$G$20000=CONFIG_METADATA!$B$4)*(COUNTIF(CONFIG_ASIGNATURAS!$B$7:$B$27,DATOS!$I$2:$I$20000)&gt;0)*(DATOS!$K$2:$K$20000))/SUMPRODUCT((DATOS!$A$2:$A$20000=AE601)*(DATOS!$G$2:$G$20000=CONFIG_METADATA!$B$4)*(COUNTIF(CONFIG_ASIGNATURAS!$B$7:$B$27,DATOS!$I$2:$I$20000)&gt;0)*1),"")))</f>
        <v/>
      </c>
    </row>
    <row r="602" spans="2:35" x14ac:dyDescent="0.2">
      <c r="B602" t="str">
        <f>IF(A602="","",IF(A602="[FÓRMULA MANUAL]","",IFERROR(AVERAGEIFS(DATOS!$K$2:$K$20000,DATOS!$A$2:$A$20000,A602,DATOS!$G$2:$G$20000,CONFIG_METADATA!$B$4,DATOS!$I$2:$I$20000,"Lenguaje Musical"),"")))</f>
        <v/>
      </c>
      <c r="C602" t="str">
        <f>IF(A602="","",IF(A602="[FÓRMULA MANUAL]","",IFERROR(AVERAGEIFS(DATOS!$K$2:$K$20000,DATOS!$A$2:$A$20000,A602,DATOS!$G$2:$G$20000,CONFIG_METADATA!$B$4,DATOS!$I$2:$I$20000,"Orquesta/Banda/Conjunto"),"")))</f>
        <v/>
      </c>
      <c r="D602" t="str">
        <f>IF(A602="","",IF(A602="[FÓRMULA MANUAL]","",IFERROR(AVERAGEIFS(DATOS!$K$2:$K$20000,DATOS!$A$2:$A$20000,A602,DATOS!$G$2:$G$20000,CONFIG_METADATA!$B$4,DATOS!$I$2:$I$20000,"Conjunto"),"")))</f>
        <v/>
      </c>
      <c r="E602" t="str">
        <f>IF(A602="","",IF(A602="[FÓRMULA MANUAL]","",IFERROR(SUMPRODUCT((DATOS!$A$2:$A$20000=A602)*(DATOS!$G$2:$G$20000=CONFIG_METADATA!$B$4)*(COUNTIF(CONFIG_ASIGNATURAS!$B$7:$B$27,DATOS!$I$2:$I$20000)&gt;0)*(DATOS!$K$2:$K$20000))/SUMPRODUCT((DATOS!$A$2:$A$20000=A602)*(DATOS!$G$2:$G$20000=CONFIG_METADATA!$B$4)*(COUNTIF(CONFIG_ASIGNATURAS!$B$7:$B$27,DATOS!$I$2:$I$20000)&gt;0)*1),"")))</f>
        <v/>
      </c>
      <c r="H602" t="str">
        <f>IF(G602="","",IF(G602="[FÓRMULA MANUAL]","",IFERROR(AVERAGEIFS(DATOS!$K$2:$K$20000,DATOS!$A$2:$A$20000,G602,DATOS!$G$2:$G$20000,CONFIG_METADATA!$B$4,DATOS!$I$2:$I$20000,"Lenguaje Musical"),"")))</f>
        <v/>
      </c>
      <c r="I602" t="str">
        <f>IF(G602="","",IF(G602="[FÓRMULA MANUAL]","",IFERROR(AVERAGEIFS(DATOS!$K$2:$K$20000,DATOS!$A$2:$A$20000,G602,DATOS!$G$2:$G$20000,CONFIG_METADATA!$B$4,DATOS!$I$2:$I$20000,"Orquesta/Banda/Conjunto"),"")))</f>
        <v/>
      </c>
      <c r="J602" t="str">
        <f>IF(G602="","",IF(G602="[FÓRMULA MANUAL]","",IFERROR(AVERAGEIFS(DATOS!$K$2:$K$20000,DATOS!$A$2:$A$20000,G602,DATOS!$G$2:$G$20000,CONFIG_METADATA!$B$4,DATOS!$I$2:$I$20000,"Conjunto"),"")))</f>
        <v/>
      </c>
      <c r="K602" t="str">
        <f>IF(G602="","",IF(G602="[FÓRMULA MANUAL]","",IFERROR(SUMPRODUCT((DATOS!$A$2:$A$20000=G602)*(DATOS!$G$2:$G$20000=CONFIG_METADATA!$B$4)*(COUNTIF(CONFIG_ASIGNATURAS!$B$7:$B$27,DATOS!$I$2:$I$20000)&gt;0)*(DATOS!$K$2:$K$20000))/SUMPRODUCT((DATOS!$A$2:$A$20000=G602)*(DATOS!$G$2:$G$20000=CONFIG_METADATA!$B$4)*(COUNTIF(CONFIG_ASIGNATURAS!$B$7:$B$27,DATOS!$I$2:$I$20000)&gt;0)*1),"")))</f>
        <v/>
      </c>
      <c r="N602" t="str">
        <f>IF(M602="","",IF(M602="[FÓRMULA MANUAL]","",IFERROR(AVERAGEIFS(DATOS!$K$2:$K$20000,DATOS!$A$2:$A$20000,M602,DATOS!$G$2:$G$20000,CONFIG_METADATA!$B$4,DATOS!$I$2:$I$20000,"Armonía"),"")))</f>
        <v/>
      </c>
      <c r="O602" t="str">
        <f>IF(M602="","",IF(M602="[FÓRMULA MANUAL]","",IFERROR(AVERAGEIFS(DATOS!$K$2:$K$20000,DATOS!$A$2:$A$20000,M602,DATOS!$G$2:$G$20000,CONFIG_METADATA!$B$4,DATOS!$I$2:$I$20000,"Orquesta/Banda/Conjunto"),"")))</f>
        <v/>
      </c>
      <c r="P602" t="str">
        <f>IF(M602="","",IF(M602="[FÓRMULA MANUAL]","",IFERROR(AVERAGEIFS(DATOS!$K$2:$K$20000,DATOS!$A$2:$A$20000,M602,DATOS!$G$2:$G$20000,CONFIG_METADATA!$B$4,DATOS!$I$2:$I$20000,"Música de Cámara"),"")))</f>
        <v/>
      </c>
      <c r="Q602" t="str">
        <f>IF(M602="","",IF(M602="[FÓRMULA MANUAL]","",IFERROR(SUMPRODUCT((DATOS!$A$2:$A$20000=M602)*(DATOS!$G$2:$G$20000=CONFIG_METADATA!$B$4)*(COUNTIF(CONFIG_ASIGNATURAS!$B$7:$B$27,DATOS!$I$2:$I$20000)&gt;0)*(DATOS!$K$2:$K$20000))/SUMPRODUCT((DATOS!$A$2:$A$20000=M602)*(DATOS!$G$2:$G$20000=CONFIG_METADATA!$B$4)*(COUNTIF(CONFIG_ASIGNATURAS!$B$7:$B$27,DATOS!$I$2:$I$20000)&gt;0)*1),"")))</f>
        <v/>
      </c>
      <c r="T602" t="str">
        <f>IF(S602="","",IF(S602="[FÓRMULA MANUAL]","",IFERROR(AVERAGEIFS(DATOS!$K$2:$K$20000,DATOS!$A$2:$A$20000,S602,DATOS!$G$2:$G$20000,CONFIG_METADATA!$B$4,DATOS!$I$2:$I$20000,"Armonía"),"")))</f>
        <v/>
      </c>
      <c r="U602" t="str">
        <f>IF(S602="","",IF(S602="[FÓRMULA MANUAL]","",IFERROR(AVERAGEIFS(DATOS!$K$2:$K$20000,DATOS!$A$2:$A$20000,S602,DATOS!$G$2:$G$20000,CONFIG_METADATA!$B$4,DATOS!$I$2:$I$20000,"Orquesta/Banda/Conjunto"),"")))</f>
        <v/>
      </c>
      <c r="V602" t="str">
        <f>IF(S602="","",IF(S602="[FÓRMULA MANUAL]","",IFERROR(AVERAGEIFS(DATOS!$K$2:$K$20000,DATOS!$A$2:$A$20000,S602,DATOS!$G$2:$G$20000,CONFIG_METADATA!$B$4,DATOS!$I$2:$I$20000,"Música de Cámara"),"")))</f>
        <v/>
      </c>
      <c r="W602" t="str">
        <f>IF(S602="","",IF(S602="[FÓRMULA MANUAL]","",IFERROR(SUMPRODUCT((DATOS!$A$2:$A$20000=S602)*(DATOS!$G$2:$G$20000=CONFIG_METADATA!$B$4)*(COUNTIF(CONFIG_ASIGNATURAS!$B$7:$B$27,DATOS!$I$2:$I$20000)&gt;0)*(DATOS!$K$2:$K$20000))/SUMPRODUCT((DATOS!$A$2:$A$20000=S602)*(DATOS!$G$2:$G$20000=CONFIG_METADATA!$B$4)*(COUNTIF(CONFIG_ASIGNATURAS!$B$7:$B$27,DATOS!$I$2:$I$20000)&gt;0)*1),"")))</f>
        <v/>
      </c>
      <c r="Z602" t="str">
        <f>IF(Y602="","",IF(Y602="[FÓRMULA MANUAL]","",IFERROR(AVERAGEIFS(DATOS!$K$2:$K$20000,DATOS!$A$2:$A$20000,Y602,DATOS!$G$2:$G$20000,CONFIG_METADATA!$B$4,DATOS!$I$2:$I$20000,"Análisis"),"")))</f>
        <v/>
      </c>
      <c r="AA602" t="str">
        <f>IF(Y602="","",IF(Y602="[FÓRMULA MANUAL]","",IFERROR(AVERAGEIFS(DATOS!$K$2:$K$20000,DATOS!$A$2:$A$20000,Y602,DATOS!$G$2:$G$20000,CONFIG_METADATA!$B$4,DATOS!$I$2:$I$20000,"Orquesta/Banda/Conjunto"),"")))</f>
        <v/>
      </c>
      <c r="AB602" t="str">
        <f>IF(Y602="","",IF(Y602="[FÓRMULA MANUAL]","",IFERROR(AVERAGEIFS(DATOS!$K$2:$K$20000,DATOS!$A$2:$A$20000,Y602,DATOS!$G$2:$G$20000,CONFIG_METADATA!$B$4,DATOS!$I$2:$I$20000,"Música de Cámara"),"")))</f>
        <v/>
      </c>
      <c r="AC602" t="str">
        <f>IF(Y602="","",IF(Y602="[FÓRMULA MANUAL]","",IFERROR(SUMPRODUCT((DATOS!$A$2:$A$20000=Y602)*(DATOS!$G$2:$G$20000=CONFIG_METADATA!$B$4)*(COUNTIF(CONFIG_ASIGNATURAS!$B$7:$B$27,DATOS!$I$2:$I$20000)&gt;0)*(DATOS!$K$2:$K$20000))/SUMPRODUCT((DATOS!$A$2:$A$20000=Y602)*(DATOS!$G$2:$G$20000=CONFIG_METADATA!$B$4)*(COUNTIF(CONFIG_ASIGNATURAS!$B$7:$B$27,DATOS!$I$2:$I$20000)&gt;0)*1),"")))</f>
        <v/>
      </c>
      <c r="AF602" t="str">
        <f>IF(AE602="","",IF(AE602="[FÓRMULA MANUAL]","",IFERROR(AVERAGEIFS(DATOS!$K$2:$K$20000,DATOS!$A$2:$A$20000,AE602,DATOS!$G$2:$G$20000,CONFIG_METADATA!$B$4,DATOS!$I$2:$I$20000,"Análisis"),"")))</f>
        <v/>
      </c>
      <c r="AG602" t="str">
        <f>IF(AE602="","",IF(AE602="[FÓRMULA MANUAL]","",IFERROR(AVERAGEIFS(DATOS!$K$2:$K$20000,DATOS!$A$2:$A$20000,AE602,DATOS!$G$2:$G$20000,CONFIG_METADATA!$B$4,DATOS!$I$2:$I$20000,"Orquesta/Banda/Conjunto"),"")))</f>
        <v/>
      </c>
      <c r="AH602" t="str">
        <f>IF(AE602="","",IF(AE602="[FÓRMULA MANUAL]","",IFERROR(AVERAGEIFS(DATOS!$K$2:$K$20000,DATOS!$A$2:$A$20000,AE602,DATOS!$G$2:$G$20000,CONFIG_METADATA!$B$4,DATOS!$I$2:$I$20000,"Música de Cámara"),"")))</f>
        <v/>
      </c>
      <c r="AI602" t="str">
        <f>IF(AE602="","",IF(AE602="[FÓRMULA MANUAL]","",IFERROR(SUMPRODUCT((DATOS!$A$2:$A$20000=AE602)*(DATOS!$G$2:$G$20000=CONFIG_METADATA!$B$4)*(COUNTIF(CONFIG_ASIGNATURAS!$B$7:$B$27,DATOS!$I$2:$I$20000)&gt;0)*(DATOS!$K$2:$K$20000))/SUMPRODUCT((DATOS!$A$2:$A$20000=AE602)*(DATOS!$G$2:$G$20000=CONFIG_METADATA!$B$4)*(COUNTIF(CONFIG_ASIGNATURAS!$B$7:$B$27,DATOS!$I$2:$I$20000)&gt;0)*1),"")))</f>
        <v/>
      </c>
    </row>
    <row r="603" spans="2:35" x14ac:dyDescent="0.2">
      <c r="B603" t="str">
        <f>IF(A603="","",IF(A603="[FÓRMULA MANUAL]","",IFERROR(AVERAGEIFS(DATOS!$K$2:$K$20000,DATOS!$A$2:$A$20000,A603,DATOS!$G$2:$G$20000,CONFIG_METADATA!$B$4,DATOS!$I$2:$I$20000,"Lenguaje Musical"),"")))</f>
        <v/>
      </c>
      <c r="C603" t="str">
        <f>IF(A603="","",IF(A603="[FÓRMULA MANUAL]","",IFERROR(AVERAGEIFS(DATOS!$K$2:$K$20000,DATOS!$A$2:$A$20000,A603,DATOS!$G$2:$G$20000,CONFIG_METADATA!$B$4,DATOS!$I$2:$I$20000,"Orquesta/Banda/Conjunto"),"")))</f>
        <v/>
      </c>
      <c r="D603" t="str">
        <f>IF(A603="","",IF(A603="[FÓRMULA MANUAL]","",IFERROR(AVERAGEIFS(DATOS!$K$2:$K$20000,DATOS!$A$2:$A$20000,A603,DATOS!$G$2:$G$20000,CONFIG_METADATA!$B$4,DATOS!$I$2:$I$20000,"Conjunto"),"")))</f>
        <v/>
      </c>
      <c r="E603" t="str">
        <f>IF(A603="","",IF(A603="[FÓRMULA MANUAL]","",IFERROR(SUMPRODUCT((DATOS!$A$2:$A$20000=A603)*(DATOS!$G$2:$G$20000=CONFIG_METADATA!$B$4)*(COUNTIF(CONFIG_ASIGNATURAS!$B$7:$B$27,DATOS!$I$2:$I$20000)&gt;0)*(DATOS!$K$2:$K$20000))/SUMPRODUCT((DATOS!$A$2:$A$20000=A603)*(DATOS!$G$2:$G$20000=CONFIG_METADATA!$B$4)*(COUNTIF(CONFIG_ASIGNATURAS!$B$7:$B$27,DATOS!$I$2:$I$20000)&gt;0)*1),"")))</f>
        <v/>
      </c>
      <c r="H603" t="str">
        <f>IF(G603="","",IF(G603="[FÓRMULA MANUAL]","",IFERROR(AVERAGEIFS(DATOS!$K$2:$K$20000,DATOS!$A$2:$A$20000,G603,DATOS!$G$2:$G$20000,CONFIG_METADATA!$B$4,DATOS!$I$2:$I$20000,"Lenguaje Musical"),"")))</f>
        <v/>
      </c>
      <c r="I603" t="str">
        <f>IF(G603="","",IF(G603="[FÓRMULA MANUAL]","",IFERROR(AVERAGEIFS(DATOS!$K$2:$K$20000,DATOS!$A$2:$A$20000,G603,DATOS!$G$2:$G$20000,CONFIG_METADATA!$B$4,DATOS!$I$2:$I$20000,"Orquesta/Banda/Conjunto"),"")))</f>
        <v/>
      </c>
      <c r="J603" t="str">
        <f>IF(G603="","",IF(G603="[FÓRMULA MANUAL]","",IFERROR(AVERAGEIFS(DATOS!$K$2:$K$20000,DATOS!$A$2:$A$20000,G603,DATOS!$G$2:$G$20000,CONFIG_METADATA!$B$4,DATOS!$I$2:$I$20000,"Conjunto"),"")))</f>
        <v/>
      </c>
      <c r="K603" t="str">
        <f>IF(G603="","",IF(G603="[FÓRMULA MANUAL]","",IFERROR(SUMPRODUCT((DATOS!$A$2:$A$20000=G603)*(DATOS!$G$2:$G$20000=CONFIG_METADATA!$B$4)*(COUNTIF(CONFIG_ASIGNATURAS!$B$7:$B$27,DATOS!$I$2:$I$20000)&gt;0)*(DATOS!$K$2:$K$20000))/SUMPRODUCT((DATOS!$A$2:$A$20000=G603)*(DATOS!$G$2:$G$20000=CONFIG_METADATA!$B$4)*(COUNTIF(CONFIG_ASIGNATURAS!$B$7:$B$27,DATOS!$I$2:$I$20000)&gt;0)*1),"")))</f>
        <v/>
      </c>
      <c r="N603" t="str">
        <f>IF(M603="","",IF(M603="[FÓRMULA MANUAL]","",IFERROR(AVERAGEIFS(DATOS!$K$2:$K$20000,DATOS!$A$2:$A$20000,M603,DATOS!$G$2:$G$20000,CONFIG_METADATA!$B$4,DATOS!$I$2:$I$20000,"Armonía"),"")))</f>
        <v/>
      </c>
      <c r="O603" t="str">
        <f>IF(M603="","",IF(M603="[FÓRMULA MANUAL]","",IFERROR(AVERAGEIFS(DATOS!$K$2:$K$20000,DATOS!$A$2:$A$20000,M603,DATOS!$G$2:$G$20000,CONFIG_METADATA!$B$4,DATOS!$I$2:$I$20000,"Orquesta/Banda/Conjunto"),"")))</f>
        <v/>
      </c>
      <c r="P603" t="str">
        <f>IF(M603="","",IF(M603="[FÓRMULA MANUAL]","",IFERROR(AVERAGEIFS(DATOS!$K$2:$K$20000,DATOS!$A$2:$A$20000,M603,DATOS!$G$2:$G$20000,CONFIG_METADATA!$B$4,DATOS!$I$2:$I$20000,"Música de Cámara"),"")))</f>
        <v/>
      </c>
      <c r="Q603" t="str">
        <f>IF(M603="","",IF(M603="[FÓRMULA MANUAL]","",IFERROR(SUMPRODUCT((DATOS!$A$2:$A$20000=M603)*(DATOS!$G$2:$G$20000=CONFIG_METADATA!$B$4)*(COUNTIF(CONFIG_ASIGNATURAS!$B$7:$B$27,DATOS!$I$2:$I$20000)&gt;0)*(DATOS!$K$2:$K$20000))/SUMPRODUCT((DATOS!$A$2:$A$20000=M603)*(DATOS!$G$2:$G$20000=CONFIG_METADATA!$B$4)*(COUNTIF(CONFIG_ASIGNATURAS!$B$7:$B$27,DATOS!$I$2:$I$20000)&gt;0)*1),"")))</f>
        <v/>
      </c>
      <c r="T603" t="str">
        <f>IF(S603="","",IF(S603="[FÓRMULA MANUAL]","",IFERROR(AVERAGEIFS(DATOS!$K$2:$K$20000,DATOS!$A$2:$A$20000,S603,DATOS!$G$2:$G$20000,CONFIG_METADATA!$B$4,DATOS!$I$2:$I$20000,"Armonía"),"")))</f>
        <v/>
      </c>
      <c r="U603" t="str">
        <f>IF(S603="","",IF(S603="[FÓRMULA MANUAL]","",IFERROR(AVERAGEIFS(DATOS!$K$2:$K$20000,DATOS!$A$2:$A$20000,S603,DATOS!$G$2:$G$20000,CONFIG_METADATA!$B$4,DATOS!$I$2:$I$20000,"Orquesta/Banda/Conjunto"),"")))</f>
        <v/>
      </c>
      <c r="V603" t="str">
        <f>IF(S603="","",IF(S603="[FÓRMULA MANUAL]","",IFERROR(AVERAGEIFS(DATOS!$K$2:$K$20000,DATOS!$A$2:$A$20000,S603,DATOS!$G$2:$G$20000,CONFIG_METADATA!$B$4,DATOS!$I$2:$I$20000,"Música de Cámara"),"")))</f>
        <v/>
      </c>
      <c r="W603" t="str">
        <f>IF(S603="","",IF(S603="[FÓRMULA MANUAL]","",IFERROR(SUMPRODUCT((DATOS!$A$2:$A$20000=S603)*(DATOS!$G$2:$G$20000=CONFIG_METADATA!$B$4)*(COUNTIF(CONFIG_ASIGNATURAS!$B$7:$B$27,DATOS!$I$2:$I$20000)&gt;0)*(DATOS!$K$2:$K$20000))/SUMPRODUCT((DATOS!$A$2:$A$20000=S603)*(DATOS!$G$2:$G$20000=CONFIG_METADATA!$B$4)*(COUNTIF(CONFIG_ASIGNATURAS!$B$7:$B$27,DATOS!$I$2:$I$20000)&gt;0)*1),"")))</f>
        <v/>
      </c>
      <c r="Z603" t="str">
        <f>IF(Y603="","",IF(Y603="[FÓRMULA MANUAL]","",IFERROR(AVERAGEIFS(DATOS!$K$2:$K$20000,DATOS!$A$2:$A$20000,Y603,DATOS!$G$2:$G$20000,CONFIG_METADATA!$B$4,DATOS!$I$2:$I$20000,"Análisis"),"")))</f>
        <v/>
      </c>
      <c r="AA603" t="str">
        <f>IF(Y603="","",IF(Y603="[FÓRMULA MANUAL]","",IFERROR(AVERAGEIFS(DATOS!$K$2:$K$20000,DATOS!$A$2:$A$20000,Y603,DATOS!$G$2:$G$20000,CONFIG_METADATA!$B$4,DATOS!$I$2:$I$20000,"Orquesta/Banda/Conjunto"),"")))</f>
        <v/>
      </c>
      <c r="AB603" t="str">
        <f>IF(Y603="","",IF(Y603="[FÓRMULA MANUAL]","",IFERROR(AVERAGEIFS(DATOS!$K$2:$K$20000,DATOS!$A$2:$A$20000,Y603,DATOS!$G$2:$G$20000,CONFIG_METADATA!$B$4,DATOS!$I$2:$I$20000,"Música de Cámara"),"")))</f>
        <v/>
      </c>
      <c r="AC603" t="str">
        <f>IF(Y603="","",IF(Y603="[FÓRMULA MANUAL]","",IFERROR(SUMPRODUCT((DATOS!$A$2:$A$20000=Y603)*(DATOS!$G$2:$G$20000=CONFIG_METADATA!$B$4)*(COUNTIF(CONFIG_ASIGNATURAS!$B$7:$B$27,DATOS!$I$2:$I$20000)&gt;0)*(DATOS!$K$2:$K$20000))/SUMPRODUCT((DATOS!$A$2:$A$20000=Y603)*(DATOS!$G$2:$G$20000=CONFIG_METADATA!$B$4)*(COUNTIF(CONFIG_ASIGNATURAS!$B$7:$B$27,DATOS!$I$2:$I$20000)&gt;0)*1),"")))</f>
        <v/>
      </c>
      <c r="AF603" t="str">
        <f>IF(AE603="","",IF(AE603="[FÓRMULA MANUAL]","",IFERROR(AVERAGEIFS(DATOS!$K$2:$K$20000,DATOS!$A$2:$A$20000,AE603,DATOS!$G$2:$G$20000,CONFIG_METADATA!$B$4,DATOS!$I$2:$I$20000,"Análisis"),"")))</f>
        <v/>
      </c>
      <c r="AG603" t="str">
        <f>IF(AE603="","",IF(AE603="[FÓRMULA MANUAL]","",IFERROR(AVERAGEIFS(DATOS!$K$2:$K$20000,DATOS!$A$2:$A$20000,AE603,DATOS!$G$2:$G$20000,CONFIG_METADATA!$B$4,DATOS!$I$2:$I$20000,"Orquesta/Banda/Conjunto"),"")))</f>
        <v/>
      </c>
      <c r="AH603" t="str">
        <f>IF(AE603="","",IF(AE603="[FÓRMULA MANUAL]","",IFERROR(AVERAGEIFS(DATOS!$K$2:$K$20000,DATOS!$A$2:$A$20000,AE603,DATOS!$G$2:$G$20000,CONFIG_METADATA!$B$4,DATOS!$I$2:$I$20000,"Música de Cámara"),"")))</f>
        <v/>
      </c>
      <c r="AI603" t="str">
        <f>IF(AE603="","",IF(AE603="[FÓRMULA MANUAL]","",IFERROR(SUMPRODUCT((DATOS!$A$2:$A$20000=AE603)*(DATOS!$G$2:$G$20000=CONFIG_METADATA!$B$4)*(COUNTIF(CONFIG_ASIGNATURAS!$B$7:$B$27,DATOS!$I$2:$I$20000)&gt;0)*(DATOS!$K$2:$K$20000))/SUMPRODUCT((DATOS!$A$2:$A$20000=AE603)*(DATOS!$G$2:$G$20000=CONFIG_METADATA!$B$4)*(COUNTIF(CONFIG_ASIGNATURAS!$B$7:$B$27,DATOS!$I$2:$I$20000)&gt;0)*1),"")))</f>
        <v/>
      </c>
    </row>
    <row r="604" spans="2:35" x14ac:dyDescent="0.2">
      <c r="B604" t="str">
        <f>IF(A604="","",IF(A604="[FÓRMULA MANUAL]","",IFERROR(AVERAGEIFS(DATOS!$K$2:$K$20000,DATOS!$A$2:$A$20000,A604,DATOS!$G$2:$G$20000,CONFIG_METADATA!$B$4,DATOS!$I$2:$I$20000,"Lenguaje Musical"),"")))</f>
        <v/>
      </c>
      <c r="C604" t="str">
        <f>IF(A604="","",IF(A604="[FÓRMULA MANUAL]","",IFERROR(AVERAGEIFS(DATOS!$K$2:$K$20000,DATOS!$A$2:$A$20000,A604,DATOS!$G$2:$G$20000,CONFIG_METADATA!$B$4,DATOS!$I$2:$I$20000,"Orquesta/Banda/Conjunto"),"")))</f>
        <v/>
      </c>
      <c r="D604" t="str">
        <f>IF(A604="","",IF(A604="[FÓRMULA MANUAL]","",IFERROR(AVERAGEIFS(DATOS!$K$2:$K$20000,DATOS!$A$2:$A$20000,A604,DATOS!$G$2:$G$20000,CONFIG_METADATA!$B$4,DATOS!$I$2:$I$20000,"Conjunto"),"")))</f>
        <v/>
      </c>
      <c r="E604" t="str">
        <f>IF(A604="","",IF(A604="[FÓRMULA MANUAL]","",IFERROR(SUMPRODUCT((DATOS!$A$2:$A$20000=A604)*(DATOS!$G$2:$G$20000=CONFIG_METADATA!$B$4)*(COUNTIF(CONFIG_ASIGNATURAS!$B$7:$B$27,DATOS!$I$2:$I$20000)&gt;0)*(DATOS!$K$2:$K$20000))/SUMPRODUCT((DATOS!$A$2:$A$20000=A604)*(DATOS!$G$2:$G$20000=CONFIG_METADATA!$B$4)*(COUNTIF(CONFIG_ASIGNATURAS!$B$7:$B$27,DATOS!$I$2:$I$20000)&gt;0)*1),"")))</f>
        <v/>
      </c>
      <c r="H604" t="str">
        <f>IF(G604="","",IF(G604="[FÓRMULA MANUAL]","",IFERROR(AVERAGEIFS(DATOS!$K$2:$K$20000,DATOS!$A$2:$A$20000,G604,DATOS!$G$2:$G$20000,CONFIG_METADATA!$B$4,DATOS!$I$2:$I$20000,"Lenguaje Musical"),"")))</f>
        <v/>
      </c>
      <c r="I604" t="str">
        <f>IF(G604="","",IF(G604="[FÓRMULA MANUAL]","",IFERROR(AVERAGEIFS(DATOS!$K$2:$K$20000,DATOS!$A$2:$A$20000,G604,DATOS!$G$2:$G$20000,CONFIG_METADATA!$B$4,DATOS!$I$2:$I$20000,"Orquesta/Banda/Conjunto"),"")))</f>
        <v/>
      </c>
      <c r="J604" t="str">
        <f>IF(G604="","",IF(G604="[FÓRMULA MANUAL]","",IFERROR(AVERAGEIFS(DATOS!$K$2:$K$20000,DATOS!$A$2:$A$20000,G604,DATOS!$G$2:$G$20000,CONFIG_METADATA!$B$4,DATOS!$I$2:$I$20000,"Conjunto"),"")))</f>
        <v/>
      </c>
      <c r="K604" t="str">
        <f>IF(G604="","",IF(G604="[FÓRMULA MANUAL]","",IFERROR(SUMPRODUCT((DATOS!$A$2:$A$20000=G604)*(DATOS!$G$2:$G$20000=CONFIG_METADATA!$B$4)*(COUNTIF(CONFIG_ASIGNATURAS!$B$7:$B$27,DATOS!$I$2:$I$20000)&gt;0)*(DATOS!$K$2:$K$20000))/SUMPRODUCT((DATOS!$A$2:$A$20000=G604)*(DATOS!$G$2:$G$20000=CONFIG_METADATA!$B$4)*(COUNTIF(CONFIG_ASIGNATURAS!$B$7:$B$27,DATOS!$I$2:$I$20000)&gt;0)*1),"")))</f>
        <v/>
      </c>
      <c r="N604" t="str">
        <f>IF(M604="","",IF(M604="[FÓRMULA MANUAL]","",IFERROR(AVERAGEIFS(DATOS!$K$2:$K$20000,DATOS!$A$2:$A$20000,M604,DATOS!$G$2:$G$20000,CONFIG_METADATA!$B$4,DATOS!$I$2:$I$20000,"Armonía"),"")))</f>
        <v/>
      </c>
      <c r="O604" t="str">
        <f>IF(M604="","",IF(M604="[FÓRMULA MANUAL]","",IFERROR(AVERAGEIFS(DATOS!$K$2:$K$20000,DATOS!$A$2:$A$20000,M604,DATOS!$G$2:$G$20000,CONFIG_METADATA!$B$4,DATOS!$I$2:$I$20000,"Orquesta/Banda/Conjunto"),"")))</f>
        <v/>
      </c>
      <c r="P604" t="str">
        <f>IF(M604="","",IF(M604="[FÓRMULA MANUAL]","",IFERROR(AVERAGEIFS(DATOS!$K$2:$K$20000,DATOS!$A$2:$A$20000,M604,DATOS!$G$2:$G$20000,CONFIG_METADATA!$B$4,DATOS!$I$2:$I$20000,"Música de Cámara"),"")))</f>
        <v/>
      </c>
      <c r="Q604" t="str">
        <f>IF(M604="","",IF(M604="[FÓRMULA MANUAL]","",IFERROR(SUMPRODUCT((DATOS!$A$2:$A$20000=M604)*(DATOS!$G$2:$G$20000=CONFIG_METADATA!$B$4)*(COUNTIF(CONFIG_ASIGNATURAS!$B$7:$B$27,DATOS!$I$2:$I$20000)&gt;0)*(DATOS!$K$2:$K$20000))/SUMPRODUCT((DATOS!$A$2:$A$20000=M604)*(DATOS!$G$2:$G$20000=CONFIG_METADATA!$B$4)*(COUNTIF(CONFIG_ASIGNATURAS!$B$7:$B$27,DATOS!$I$2:$I$20000)&gt;0)*1),"")))</f>
        <v/>
      </c>
      <c r="T604" t="str">
        <f>IF(S604="","",IF(S604="[FÓRMULA MANUAL]","",IFERROR(AVERAGEIFS(DATOS!$K$2:$K$20000,DATOS!$A$2:$A$20000,S604,DATOS!$G$2:$G$20000,CONFIG_METADATA!$B$4,DATOS!$I$2:$I$20000,"Armonía"),"")))</f>
        <v/>
      </c>
      <c r="U604" t="str">
        <f>IF(S604="","",IF(S604="[FÓRMULA MANUAL]","",IFERROR(AVERAGEIFS(DATOS!$K$2:$K$20000,DATOS!$A$2:$A$20000,S604,DATOS!$G$2:$G$20000,CONFIG_METADATA!$B$4,DATOS!$I$2:$I$20000,"Orquesta/Banda/Conjunto"),"")))</f>
        <v/>
      </c>
      <c r="V604" t="str">
        <f>IF(S604="","",IF(S604="[FÓRMULA MANUAL]","",IFERROR(AVERAGEIFS(DATOS!$K$2:$K$20000,DATOS!$A$2:$A$20000,S604,DATOS!$G$2:$G$20000,CONFIG_METADATA!$B$4,DATOS!$I$2:$I$20000,"Música de Cámara"),"")))</f>
        <v/>
      </c>
      <c r="W604" t="str">
        <f>IF(S604="","",IF(S604="[FÓRMULA MANUAL]","",IFERROR(SUMPRODUCT((DATOS!$A$2:$A$20000=S604)*(DATOS!$G$2:$G$20000=CONFIG_METADATA!$B$4)*(COUNTIF(CONFIG_ASIGNATURAS!$B$7:$B$27,DATOS!$I$2:$I$20000)&gt;0)*(DATOS!$K$2:$K$20000))/SUMPRODUCT((DATOS!$A$2:$A$20000=S604)*(DATOS!$G$2:$G$20000=CONFIG_METADATA!$B$4)*(COUNTIF(CONFIG_ASIGNATURAS!$B$7:$B$27,DATOS!$I$2:$I$20000)&gt;0)*1),"")))</f>
        <v/>
      </c>
      <c r="Z604" t="str">
        <f>IF(Y604="","",IF(Y604="[FÓRMULA MANUAL]","",IFERROR(AVERAGEIFS(DATOS!$K$2:$K$20000,DATOS!$A$2:$A$20000,Y604,DATOS!$G$2:$G$20000,CONFIG_METADATA!$B$4,DATOS!$I$2:$I$20000,"Análisis"),"")))</f>
        <v/>
      </c>
      <c r="AA604" t="str">
        <f>IF(Y604="","",IF(Y604="[FÓRMULA MANUAL]","",IFERROR(AVERAGEIFS(DATOS!$K$2:$K$20000,DATOS!$A$2:$A$20000,Y604,DATOS!$G$2:$G$20000,CONFIG_METADATA!$B$4,DATOS!$I$2:$I$20000,"Orquesta/Banda/Conjunto"),"")))</f>
        <v/>
      </c>
      <c r="AB604" t="str">
        <f>IF(Y604="","",IF(Y604="[FÓRMULA MANUAL]","",IFERROR(AVERAGEIFS(DATOS!$K$2:$K$20000,DATOS!$A$2:$A$20000,Y604,DATOS!$G$2:$G$20000,CONFIG_METADATA!$B$4,DATOS!$I$2:$I$20000,"Música de Cámara"),"")))</f>
        <v/>
      </c>
      <c r="AC604" t="str">
        <f>IF(Y604="","",IF(Y604="[FÓRMULA MANUAL]","",IFERROR(SUMPRODUCT((DATOS!$A$2:$A$20000=Y604)*(DATOS!$G$2:$G$20000=CONFIG_METADATA!$B$4)*(COUNTIF(CONFIG_ASIGNATURAS!$B$7:$B$27,DATOS!$I$2:$I$20000)&gt;0)*(DATOS!$K$2:$K$20000))/SUMPRODUCT((DATOS!$A$2:$A$20000=Y604)*(DATOS!$G$2:$G$20000=CONFIG_METADATA!$B$4)*(COUNTIF(CONFIG_ASIGNATURAS!$B$7:$B$27,DATOS!$I$2:$I$20000)&gt;0)*1),"")))</f>
        <v/>
      </c>
      <c r="AF604" t="str">
        <f>IF(AE604="","",IF(AE604="[FÓRMULA MANUAL]","",IFERROR(AVERAGEIFS(DATOS!$K$2:$K$20000,DATOS!$A$2:$A$20000,AE604,DATOS!$G$2:$G$20000,CONFIG_METADATA!$B$4,DATOS!$I$2:$I$20000,"Análisis"),"")))</f>
        <v/>
      </c>
      <c r="AG604" t="str">
        <f>IF(AE604="","",IF(AE604="[FÓRMULA MANUAL]","",IFERROR(AVERAGEIFS(DATOS!$K$2:$K$20000,DATOS!$A$2:$A$20000,AE604,DATOS!$G$2:$G$20000,CONFIG_METADATA!$B$4,DATOS!$I$2:$I$20000,"Orquesta/Banda/Conjunto"),"")))</f>
        <v/>
      </c>
      <c r="AH604" t="str">
        <f>IF(AE604="","",IF(AE604="[FÓRMULA MANUAL]","",IFERROR(AVERAGEIFS(DATOS!$K$2:$K$20000,DATOS!$A$2:$A$20000,AE604,DATOS!$G$2:$G$20000,CONFIG_METADATA!$B$4,DATOS!$I$2:$I$20000,"Música de Cámara"),"")))</f>
        <v/>
      </c>
      <c r="AI604" t="str">
        <f>IF(AE604="","",IF(AE604="[FÓRMULA MANUAL]","",IFERROR(SUMPRODUCT((DATOS!$A$2:$A$20000=AE604)*(DATOS!$G$2:$G$20000=CONFIG_METADATA!$B$4)*(COUNTIF(CONFIG_ASIGNATURAS!$B$7:$B$27,DATOS!$I$2:$I$20000)&gt;0)*(DATOS!$K$2:$K$20000))/SUMPRODUCT((DATOS!$A$2:$A$20000=AE604)*(DATOS!$G$2:$G$20000=CONFIG_METADATA!$B$4)*(COUNTIF(CONFIG_ASIGNATURAS!$B$7:$B$27,DATOS!$I$2:$I$20000)&gt;0)*1),"")))</f>
        <v/>
      </c>
    </row>
    <row r="605" spans="2:35" x14ac:dyDescent="0.2">
      <c r="B605" t="str">
        <f>IF(A605="","",IF(A605="[FÓRMULA MANUAL]","",IFERROR(AVERAGEIFS(DATOS!$K$2:$K$20000,DATOS!$A$2:$A$20000,A605,DATOS!$G$2:$G$20000,CONFIG_METADATA!$B$4,DATOS!$I$2:$I$20000,"Lenguaje Musical"),"")))</f>
        <v/>
      </c>
      <c r="C605" t="str">
        <f>IF(A605="","",IF(A605="[FÓRMULA MANUAL]","",IFERROR(AVERAGEIFS(DATOS!$K$2:$K$20000,DATOS!$A$2:$A$20000,A605,DATOS!$G$2:$G$20000,CONFIG_METADATA!$B$4,DATOS!$I$2:$I$20000,"Orquesta/Banda/Conjunto"),"")))</f>
        <v/>
      </c>
      <c r="D605" t="str">
        <f>IF(A605="","",IF(A605="[FÓRMULA MANUAL]","",IFERROR(AVERAGEIFS(DATOS!$K$2:$K$20000,DATOS!$A$2:$A$20000,A605,DATOS!$G$2:$G$20000,CONFIG_METADATA!$B$4,DATOS!$I$2:$I$20000,"Conjunto"),"")))</f>
        <v/>
      </c>
      <c r="E605" t="str">
        <f>IF(A605="","",IF(A605="[FÓRMULA MANUAL]","",IFERROR(SUMPRODUCT((DATOS!$A$2:$A$20000=A605)*(DATOS!$G$2:$G$20000=CONFIG_METADATA!$B$4)*(COUNTIF(CONFIG_ASIGNATURAS!$B$7:$B$27,DATOS!$I$2:$I$20000)&gt;0)*(DATOS!$K$2:$K$20000))/SUMPRODUCT((DATOS!$A$2:$A$20000=A605)*(DATOS!$G$2:$G$20000=CONFIG_METADATA!$B$4)*(COUNTIF(CONFIG_ASIGNATURAS!$B$7:$B$27,DATOS!$I$2:$I$20000)&gt;0)*1),"")))</f>
        <v/>
      </c>
      <c r="H605" t="str">
        <f>IF(G605="","",IF(G605="[FÓRMULA MANUAL]","",IFERROR(AVERAGEIFS(DATOS!$K$2:$K$20000,DATOS!$A$2:$A$20000,G605,DATOS!$G$2:$G$20000,CONFIG_METADATA!$B$4,DATOS!$I$2:$I$20000,"Lenguaje Musical"),"")))</f>
        <v/>
      </c>
      <c r="I605" t="str">
        <f>IF(G605="","",IF(G605="[FÓRMULA MANUAL]","",IFERROR(AVERAGEIFS(DATOS!$K$2:$K$20000,DATOS!$A$2:$A$20000,G605,DATOS!$G$2:$G$20000,CONFIG_METADATA!$B$4,DATOS!$I$2:$I$20000,"Orquesta/Banda/Conjunto"),"")))</f>
        <v/>
      </c>
      <c r="J605" t="str">
        <f>IF(G605="","",IF(G605="[FÓRMULA MANUAL]","",IFERROR(AVERAGEIFS(DATOS!$K$2:$K$20000,DATOS!$A$2:$A$20000,G605,DATOS!$G$2:$G$20000,CONFIG_METADATA!$B$4,DATOS!$I$2:$I$20000,"Conjunto"),"")))</f>
        <v/>
      </c>
      <c r="K605" t="str">
        <f>IF(G605="","",IF(G605="[FÓRMULA MANUAL]","",IFERROR(SUMPRODUCT((DATOS!$A$2:$A$20000=G605)*(DATOS!$G$2:$G$20000=CONFIG_METADATA!$B$4)*(COUNTIF(CONFIG_ASIGNATURAS!$B$7:$B$27,DATOS!$I$2:$I$20000)&gt;0)*(DATOS!$K$2:$K$20000))/SUMPRODUCT((DATOS!$A$2:$A$20000=G605)*(DATOS!$G$2:$G$20000=CONFIG_METADATA!$B$4)*(COUNTIF(CONFIG_ASIGNATURAS!$B$7:$B$27,DATOS!$I$2:$I$20000)&gt;0)*1),"")))</f>
        <v/>
      </c>
      <c r="N605" t="str">
        <f>IF(M605="","",IF(M605="[FÓRMULA MANUAL]","",IFERROR(AVERAGEIFS(DATOS!$K$2:$K$20000,DATOS!$A$2:$A$20000,M605,DATOS!$G$2:$G$20000,CONFIG_METADATA!$B$4,DATOS!$I$2:$I$20000,"Armonía"),"")))</f>
        <v/>
      </c>
      <c r="O605" t="str">
        <f>IF(M605="","",IF(M605="[FÓRMULA MANUAL]","",IFERROR(AVERAGEIFS(DATOS!$K$2:$K$20000,DATOS!$A$2:$A$20000,M605,DATOS!$G$2:$G$20000,CONFIG_METADATA!$B$4,DATOS!$I$2:$I$20000,"Orquesta/Banda/Conjunto"),"")))</f>
        <v/>
      </c>
      <c r="P605" t="str">
        <f>IF(M605="","",IF(M605="[FÓRMULA MANUAL]","",IFERROR(AVERAGEIFS(DATOS!$K$2:$K$20000,DATOS!$A$2:$A$20000,M605,DATOS!$G$2:$G$20000,CONFIG_METADATA!$B$4,DATOS!$I$2:$I$20000,"Música de Cámara"),"")))</f>
        <v/>
      </c>
      <c r="Q605" t="str">
        <f>IF(M605="","",IF(M605="[FÓRMULA MANUAL]","",IFERROR(SUMPRODUCT((DATOS!$A$2:$A$20000=M605)*(DATOS!$G$2:$G$20000=CONFIG_METADATA!$B$4)*(COUNTIF(CONFIG_ASIGNATURAS!$B$7:$B$27,DATOS!$I$2:$I$20000)&gt;0)*(DATOS!$K$2:$K$20000))/SUMPRODUCT((DATOS!$A$2:$A$20000=M605)*(DATOS!$G$2:$G$20000=CONFIG_METADATA!$B$4)*(COUNTIF(CONFIG_ASIGNATURAS!$B$7:$B$27,DATOS!$I$2:$I$20000)&gt;0)*1),"")))</f>
        <v/>
      </c>
      <c r="T605" t="str">
        <f>IF(S605="","",IF(S605="[FÓRMULA MANUAL]","",IFERROR(AVERAGEIFS(DATOS!$K$2:$K$20000,DATOS!$A$2:$A$20000,S605,DATOS!$G$2:$G$20000,CONFIG_METADATA!$B$4,DATOS!$I$2:$I$20000,"Armonía"),"")))</f>
        <v/>
      </c>
      <c r="U605" t="str">
        <f>IF(S605="","",IF(S605="[FÓRMULA MANUAL]","",IFERROR(AVERAGEIFS(DATOS!$K$2:$K$20000,DATOS!$A$2:$A$20000,S605,DATOS!$G$2:$G$20000,CONFIG_METADATA!$B$4,DATOS!$I$2:$I$20000,"Orquesta/Banda/Conjunto"),"")))</f>
        <v/>
      </c>
      <c r="V605" t="str">
        <f>IF(S605="","",IF(S605="[FÓRMULA MANUAL]","",IFERROR(AVERAGEIFS(DATOS!$K$2:$K$20000,DATOS!$A$2:$A$20000,S605,DATOS!$G$2:$G$20000,CONFIG_METADATA!$B$4,DATOS!$I$2:$I$20000,"Música de Cámara"),"")))</f>
        <v/>
      </c>
      <c r="W605" t="str">
        <f>IF(S605="","",IF(S605="[FÓRMULA MANUAL]","",IFERROR(SUMPRODUCT((DATOS!$A$2:$A$20000=S605)*(DATOS!$G$2:$G$20000=CONFIG_METADATA!$B$4)*(COUNTIF(CONFIG_ASIGNATURAS!$B$7:$B$27,DATOS!$I$2:$I$20000)&gt;0)*(DATOS!$K$2:$K$20000))/SUMPRODUCT((DATOS!$A$2:$A$20000=S605)*(DATOS!$G$2:$G$20000=CONFIG_METADATA!$B$4)*(COUNTIF(CONFIG_ASIGNATURAS!$B$7:$B$27,DATOS!$I$2:$I$20000)&gt;0)*1),"")))</f>
        <v/>
      </c>
      <c r="Z605" t="str">
        <f>IF(Y605="","",IF(Y605="[FÓRMULA MANUAL]","",IFERROR(AVERAGEIFS(DATOS!$K$2:$K$20000,DATOS!$A$2:$A$20000,Y605,DATOS!$G$2:$G$20000,CONFIG_METADATA!$B$4,DATOS!$I$2:$I$20000,"Análisis"),"")))</f>
        <v/>
      </c>
      <c r="AA605" t="str">
        <f>IF(Y605="","",IF(Y605="[FÓRMULA MANUAL]","",IFERROR(AVERAGEIFS(DATOS!$K$2:$K$20000,DATOS!$A$2:$A$20000,Y605,DATOS!$G$2:$G$20000,CONFIG_METADATA!$B$4,DATOS!$I$2:$I$20000,"Orquesta/Banda/Conjunto"),"")))</f>
        <v/>
      </c>
      <c r="AB605" t="str">
        <f>IF(Y605="","",IF(Y605="[FÓRMULA MANUAL]","",IFERROR(AVERAGEIFS(DATOS!$K$2:$K$20000,DATOS!$A$2:$A$20000,Y605,DATOS!$G$2:$G$20000,CONFIG_METADATA!$B$4,DATOS!$I$2:$I$20000,"Música de Cámara"),"")))</f>
        <v/>
      </c>
      <c r="AC605" t="str">
        <f>IF(Y605="","",IF(Y605="[FÓRMULA MANUAL]","",IFERROR(SUMPRODUCT((DATOS!$A$2:$A$20000=Y605)*(DATOS!$G$2:$G$20000=CONFIG_METADATA!$B$4)*(COUNTIF(CONFIG_ASIGNATURAS!$B$7:$B$27,DATOS!$I$2:$I$20000)&gt;0)*(DATOS!$K$2:$K$20000))/SUMPRODUCT((DATOS!$A$2:$A$20000=Y605)*(DATOS!$G$2:$G$20000=CONFIG_METADATA!$B$4)*(COUNTIF(CONFIG_ASIGNATURAS!$B$7:$B$27,DATOS!$I$2:$I$20000)&gt;0)*1),"")))</f>
        <v/>
      </c>
      <c r="AF605" t="str">
        <f>IF(AE605="","",IF(AE605="[FÓRMULA MANUAL]","",IFERROR(AVERAGEIFS(DATOS!$K$2:$K$20000,DATOS!$A$2:$A$20000,AE605,DATOS!$G$2:$G$20000,CONFIG_METADATA!$B$4,DATOS!$I$2:$I$20000,"Análisis"),"")))</f>
        <v/>
      </c>
      <c r="AG605" t="str">
        <f>IF(AE605="","",IF(AE605="[FÓRMULA MANUAL]","",IFERROR(AVERAGEIFS(DATOS!$K$2:$K$20000,DATOS!$A$2:$A$20000,AE605,DATOS!$G$2:$G$20000,CONFIG_METADATA!$B$4,DATOS!$I$2:$I$20000,"Orquesta/Banda/Conjunto"),"")))</f>
        <v/>
      </c>
      <c r="AH605" t="str">
        <f>IF(AE605="","",IF(AE605="[FÓRMULA MANUAL]","",IFERROR(AVERAGEIFS(DATOS!$K$2:$K$20000,DATOS!$A$2:$A$20000,AE605,DATOS!$G$2:$G$20000,CONFIG_METADATA!$B$4,DATOS!$I$2:$I$20000,"Música de Cámara"),"")))</f>
        <v/>
      </c>
      <c r="AI605" t="str">
        <f>IF(AE605="","",IF(AE605="[FÓRMULA MANUAL]","",IFERROR(SUMPRODUCT((DATOS!$A$2:$A$20000=AE605)*(DATOS!$G$2:$G$20000=CONFIG_METADATA!$B$4)*(COUNTIF(CONFIG_ASIGNATURAS!$B$7:$B$27,DATOS!$I$2:$I$20000)&gt;0)*(DATOS!$K$2:$K$20000))/SUMPRODUCT((DATOS!$A$2:$A$20000=AE605)*(DATOS!$G$2:$G$20000=CONFIG_METADATA!$B$4)*(COUNTIF(CONFIG_ASIGNATURAS!$B$7:$B$27,DATOS!$I$2:$I$20000)&gt;0)*1),"")))</f>
        <v/>
      </c>
    </row>
    <row r="606" spans="2:35" x14ac:dyDescent="0.2">
      <c r="B606" t="str">
        <f>IF(A606="","",IF(A606="[FÓRMULA MANUAL]","",IFERROR(AVERAGEIFS(DATOS!$K$2:$K$20000,DATOS!$A$2:$A$20000,A606,DATOS!$G$2:$G$20000,CONFIG_METADATA!$B$4,DATOS!$I$2:$I$20000,"Lenguaje Musical"),"")))</f>
        <v/>
      </c>
      <c r="C606" t="str">
        <f>IF(A606="","",IF(A606="[FÓRMULA MANUAL]","",IFERROR(AVERAGEIFS(DATOS!$K$2:$K$20000,DATOS!$A$2:$A$20000,A606,DATOS!$G$2:$G$20000,CONFIG_METADATA!$B$4,DATOS!$I$2:$I$20000,"Orquesta/Banda/Conjunto"),"")))</f>
        <v/>
      </c>
      <c r="D606" t="str">
        <f>IF(A606="","",IF(A606="[FÓRMULA MANUAL]","",IFERROR(AVERAGEIFS(DATOS!$K$2:$K$20000,DATOS!$A$2:$A$20000,A606,DATOS!$G$2:$G$20000,CONFIG_METADATA!$B$4,DATOS!$I$2:$I$20000,"Conjunto"),"")))</f>
        <v/>
      </c>
      <c r="E606" t="str">
        <f>IF(A606="","",IF(A606="[FÓRMULA MANUAL]","",IFERROR(SUMPRODUCT((DATOS!$A$2:$A$20000=A606)*(DATOS!$G$2:$G$20000=CONFIG_METADATA!$B$4)*(COUNTIF(CONFIG_ASIGNATURAS!$B$7:$B$27,DATOS!$I$2:$I$20000)&gt;0)*(DATOS!$K$2:$K$20000))/SUMPRODUCT((DATOS!$A$2:$A$20000=A606)*(DATOS!$G$2:$G$20000=CONFIG_METADATA!$B$4)*(COUNTIF(CONFIG_ASIGNATURAS!$B$7:$B$27,DATOS!$I$2:$I$20000)&gt;0)*1),"")))</f>
        <v/>
      </c>
      <c r="H606" t="str">
        <f>IF(G606="","",IF(G606="[FÓRMULA MANUAL]","",IFERROR(AVERAGEIFS(DATOS!$K$2:$K$20000,DATOS!$A$2:$A$20000,G606,DATOS!$G$2:$G$20000,CONFIG_METADATA!$B$4,DATOS!$I$2:$I$20000,"Lenguaje Musical"),"")))</f>
        <v/>
      </c>
      <c r="I606" t="str">
        <f>IF(G606="","",IF(G606="[FÓRMULA MANUAL]","",IFERROR(AVERAGEIFS(DATOS!$K$2:$K$20000,DATOS!$A$2:$A$20000,G606,DATOS!$G$2:$G$20000,CONFIG_METADATA!$B$4,DATOS!$I$2:$I$20000,"Orquesta/Banda/Conjunto"),"")))</f>
        <v/>
      </c>
      <c r="J606" t="str">
        <f>IF(G606="","",IF(G606="[FÓRMULA MANUAL]","",IFERROR(AVERAGEIFS(DATOS!$K$2:$K$20000,DATOS!$A$2:$A$20000,G606,DATOS!$G$2:$G$20000,CONFIG_METADATA!$B$4,DATOS!$I$2:$I$20000,"Conjunto"),"")))</f>
        <v/>
      </c>
      <c r="K606" t="str">
        <f>IF(G606="","",IF(G606="[FÓRMULA MANUAL]","",IFERROR(SUMPRODUCT((DATOS!$A$2:$A$20000=G606)*(DATOS!$G$2:$G$20000=CONFIG_METADATA!$B$4)*(COUNTIF(CONFIG_ASIGNATURAS!$B$7:$B$27,DATOS!$I$2:$I$20000)&gt;0)*(DATOS!$K$2:$K$20000))/SUMPRODUCT((DATOS!$A$2:$A$20000=G606)*(DATOS!$G$2:$G$20000=CONFIG_METADATA!$B$4)*(COUNTIF(CONFIG_ASIGNATURAS!$B$7:$B$27,DATOS!$I$2:$I$20000)&gt;0)*1),"")))</f>
        <v/>
      </c>
      <c r="N606" t="str">
        <f>IF(M606="","",IF(M606="[FÓRMULA MANUAL]","",IFERROR(AVERAGEIFS(DATOS!$K$2:$K$20000,DATOS!$A$2:$A$20000,M606,DATOS!$G$2:$G$20000,CONFIG_METADATA!$B$4,DATOS!$I$2:$I$20000,"Armonía"),"")))</f>
        <v/>
      </c>
      <c r="O606" t="str">
        <f>IF(M606="","",IF(M606="[FÓRMULA MANUAL]","",IFERROR(AVERAGEIFS(DATOS!$K$2:$K$20000,DATOS!$A$2:$A$20000,M606,DATOS!$G$2:$G$20000,CONFIG_METADATA!$B$4,DATOS!$I$2:$I$20000,"Orquesta/Banda/Conjunto"),"")))</f>
        <v/>
      </c>
      <c r="P606" t="str">
        <f>IF(M606="","",IF(M606="[FÓRMULA MANUAL]","",IFERROR(AVERAGEIFS(DATOS!$K$2:$K$20000,DATOS!$A$2:$A$20000,M606,DATOS!$G$2:$G$20000,CONFIG_METADATA!$B$4,DATOS!$I$2:$I$20000,"Música de Cámara"),"")))</f>
        <v/>
      </c>
      <c r="Q606" t="str">
        <f>IF(M606="","",IF(M606="[FÓRMULA MANUAL]","",IFERROR(SUMPRODUCT((DATOS!$A$2:$A$20000=M606)*(DATOS!$G$2:$G$20000=CONFIG_METADATA!$B$4)*(COUNTIF(CONFIG_ASIGNATURAS!$B$7:$B$27,DATOS!$I$2:$I$20000)&gt;0)*(DATOS!$K$2:$K$20000))/SUMPRODUCT((DATOS!$A$2:$A$20000=M606)*(DATOS!$G$2:$G$20000=CONFIG_METADATA!$B$4)*(COUNTIF(CONFIG_ASIGNATURAS!$B$7:$B$27,DATOS!$I$2:$I$20000)&gt;0)*1),"")))</f>
        <v/>
      </c>
      <c r="T606" t="str">
        <f>IF(S606="","",IF(S606="[FÓRMULA MANUAL]","",IFERROR(AVERAGEIFS(DATOS!$K$2:$K$20000,DATOS!$A$2:$A$20000,S606,DATOS!$G$2:$G$20000,CONFIG_METADATA!$B$4,DATOS!$I$2:$I$20000,"Armonía"),"")))</f>
        <v/>
      </c>
      <c r="U606" t="str">
        <f>IF(S606="","",IF(S606="[FÓRMULA MANUAL]","",IFERROR(AVERAGEIFS(DATOS!$K$2:$K$20000,DATOS!$A$2:$A$20000,S606,DATOS!$G$2:$G$20000,CONFIG_METADATA!$B$4,DATOS!$I$2:$I$20000,"Orquesta/Banda/Conjunto"),"")))</f>
        <v/>
      </c>
      <c r="V606" t="str">
        <f>IF(S606="","",IF(S606="[FÓRMULA MANUAL]","",IFERROR(AVERAGEIFS(DATOS!$K$2:$K$20000,DATOS!$A$2:$A$20000,S606,DATOS!$G$2:$G$20000,CONFIG_METADATA!$B$4,DATOS!$I$2:$I$20000,"Música de Cámara"),"")))</f>
        <v/>
      </c>
      <c r="W606" t="str">
        <f>IF(S606="","",IF(S606="[FÓRMULA MANUAL]","",IFERROR(SUMPRODUCT((DATOS!$A$2:$A$20000=S606)*(DATOS!$G$2:$G$20000=CONFIG_METADATA!$B$4)*(COUNTIF(CONFIG_ASIGNATURAS!$B$7:$B$27,DATOS!$I$2:$I$20000)&gt;0)*(DATOS!$K$2:$K$20000))/SUMPRODUCT((DATOS!$A$2:$A$20000=S606)*(DATOS!$G$2:$G$20000=CONFIG_METADATA!$B$4)*(COUNTIF(CONFIG_ASIGNATURAS!$B$7:$B$27,DATOS!$I$2:$I$20000)&gt;0)*1),"")))</f>
        <v/>
      </c>
      <c r="Z606" t="str">
        <f>IF(Y606="","",IF(Y606="[FÓRMULA MANUAL]","",IFERROR(AVERAGEIFS(DATOS!$K$2:$K$20000,DATOS!$A$2:$A$20000,Y606,DATOS!$G$2:$G$20000,CONFIG_METADATA!$B$4,DATOS!$I$2:$I$20000,"Análisis"),"")))</f>
        <v/>
      </c>
      <c r="AA606" t="str">
        <f>IF(Y606="","",IF(Y606="[FÓRMULA MANUAL]","",IFERROR(AVERAGEIFS(DATOS!$K$2:$K$20000,DATOS!$A$2:$A$20000,Y606,DATOS!$G$2:$G$20000,CONFIG_METADATA!$B$4,DATOS!$I$2:$I$20000,"Orquesta/Banda/Conjunto"),"")))</f>
        <v/>
      </c>
      <c r="AB606" t="str">
        <f>IF(Y606="","",IF(Y606="[FÓRMULA MANUAL]","",IFERROR(AVERAGEIFS(DATOS!$K$2:$K$20000,DATOS!$A$2:$A$20000,Y606,DATOS!$G$2:$G$20000,CONFIG_METADATA!$B$4,DATOS!$I$2:$I$20000,"Música de Cámara"),"")))</f>
        <v/>
      </c>
      <c r="AC606" t="str">
        <f>IF(Y606="","",IF(Y606="[FÓRMULA MANUAL]","",IFERROR(SUMPRODUCT((DATOS!$A$2:$A$20000=Y606)*(DATOS!$G$2:$G$20000=CONFIG_METADATA!$B$4)*(COUNTIF(CONFIG_ASIGNATURAS!$B$7:$B$27,DATOS!$I$2:$I$20000)&gt;0)*(DATOS!$K$2:$K$20000))/SUMPRODUCT((DATOS!$A$2:$A$20000=Y606)*(DATOS!$G$2:$G$20000=CONFIG_METADATA!$B$4)*(COUNTIF(CONFIG_ASIGNATURAS!$B$7:$B$27,DATOS!$I$2:$I$20000)&gt;0)*1),"")))</f>
        <v/>
      </c>
      <c r="AF606" t="str">
        <f>IF(AE606="","",IF(AE606="[FÓRMULA MANUAL]","",IFERROR(AVERAGEIFS(DATOS!$K$2:$K$20000,DATOS!$A$2:$A$20000,AE606,DATOS!$G$2:$G$20000,CONFIG_METADATA!$B$4,DATOS!$I$2:$I$20000,"Análisis"),"")))</f>
        <v/>
      </c>
      <c r="AG606" t="str">
        <f>IF(AE606="","",IF(AE606="[FÓRMULA MANUAL]","",IFERROR(AVERAGEIFS(DATOS!$K$2:$K$20000,DATOS!$A$2:$A$20000,AE606,DATOS!$G$2:$G$20000,CONFIG_METADATA!$B$4,DATOS!$I$2:$I$20000,"Orquesta/Banda/Conjunto"),"")))</f>
        <v/>
      </c>
      <c r="AH606" t="str">
        <f>IF(AE606="","",IF(AE606="[FÓRMULA MANUAL]","",IFERROR(AVERAGEIFS(DATOS!$K$2:$K$20000,DATOS!$A$2:$A$20000,AE606,DATOS!$G$2:$G$20000,CONFIG_METADATA!$B$4,DATOS!$I$2:$I$20000,"Música de Cámara"),"")))</f>
        <v/>
      </c>
      <c r="AI606" t="str">
        <f>IF(AE606="","",IF(AE606="[FÓRMULA MANUAL]","",IFERROR(SUMPRODUCT((DATOS!$A$2:$A$20000=AE606)*(DATOS!$G$2:$G$20000=CONFIG_METADATA!$B$4)*(COUNTIF(CONFIG_ASIGNATURAS!$B$7:$B$27,DATOS!$I$2:$I$20000)&gt;0)*(DATOS!$K$2:$K$20000))/SUMPRODUCT((DATOS!$A$2:$A$20000=AE606)*(DATOS!$G$2:$G$20000=CONFIG_METADATA!$B$4)*(COUNTIF(CONFIG_ASIGNATURAS!$B$7:$B$27,DATOS!$I$2:$I$20000)&gt;0)*1),"")))</f>
        <v/>
      </c>
    </row>
    <row r="607" spans="2:35" x14ac:dyDescent="0.2">
      <c r="B607" t="str">
        <f>IF(A607="","",IF(A607="[FÓRMULA MANUAL]","",IFERROR(AVERAGEIFS(DATOS!$K$2:$K$20000,DATOS!$A$2:$A$20000,A607,DATOS!$G$2:$G$20000,CONFIG_METADATA!$B$4,DATOS!$I$2:$I$20000,"Lenguaje Musical"),"")))</f>
        <v/>
      </c>
      <c r="C607" t="str">
        <f>IF(A607="","",IF(A607="[FÓRMULA MANUAL]","",IFERROR(AVERAGEIFS(DATOS!$K$2:$K$20000,DATOS!$A$2:$A$20000,A607,DATOS!$G$2:$G$20000,CONFIG_METADATA!$B$4,DATOS!$I$2:$I$20000,"Orquesta/Banda/Conjunto"),"")))</f>
        <v/>
      </c>
      <c r="D607" t="str">
        <f>IF(A607="","",IF(A607="[FÓRMULA MANUAL]","",IFERROR(AVERAGEIFS(DATOS!$K$2:$K$20000,DATOS!$A$2:$A$20000,A607,DATOS!$G$2:$G$20000,CONFIG_METADATA!$B$4,DATOS!$I$2:$I$20000,"Conjunto"),"")))</f>
        <v/>
      </c>
      <c r="E607" t="str">
        <f>IF(A607="","",IF(A607="[FÓRMULA MANUAL]","",IFERROR(SUMPRODUCT((DATOS!$A$2:$A$20000=A607)*(DATOS!$G$2:$G$20000=CONFIG_METADATA!$B$4)*(COUNTIF(CONFIG_ASIGNATURAS!$B$7:$B$27,DATOS!$I$2:$I$20000)&gt;0)*(DATOS!$K$2:$K$20000))/SUMPRODUCT((DATOS!$A$2:$A$20000=A607)*(DATOS!$G$2:$G$20000=CONFIG_METADATA!$B$4)*(COUNTIF(CONFIG_ASIGNATURAS!$B$7:$B$27,DATOS!$I$2:$I$20000)&gt;0)*1),"")))</f>
        <v/>
      </c>
      <c r="H607" t="str">
        <f>IF(G607="","",IF(G607="[FÓRMULA MANUAL]","",IFERROR(AVERAGEIFS(DATOS!$K$2:$K$20000,DATOS!$A$2:$A$20000,G607,DATOS!$G$2:$G$20000,CONFIG_METADATA!$B$4,DATOS!$I$2:$I$20000,"Lenguaje Musical"),"")))</f>
        <v/>
      </c>
      <c r="I607" t="str">
        <f>IF(G607="","",IF(G607="[FÓRMULA MANUAL]","",IFERROR(AVERAGEIFS(DATOS!$K$2:$K$20000,DATOS!$A$2:$A$20000,G607,DATOS!$G$2:$G$20000,CONFIG_METADATA!$B$4,DATOS!$I$2:$I$20000,"Orquesta/Banda/Conjunto"),"")))</f>
        <v/>
      </c>
      <c r="J607" t="str">
        <f>IF(G607="","",IF(G607="[FÓRMULA MANUAL]","",IFERROR(AVERAGEIFS(DATOS!$K$2:$K$20000,DATOS!$A$2:$A$20000,G607,DATOS!$G$2:$G$20000,CONFIG_METADATA!$B$4,DATOS!$I$2:$I$20000,"Conjunto"),"")))</f>
        <v/>
      </c>
      <c r="K607" t="str">
        <f>IF(G607="","",IF(G607="[FÓRMULA MANUAL]","",IFERROR(SUMPRODUCT((DATOS!$A$2:$A$20000=G607)*(DATOS!$G$2:$G$20000=CONFIG_METADATA!$B$4)*(COUNTIF(CONFIG_ASIGNATURAS!$B$7:$B$27,DATOS!$I$2:$I$20000)&gt;0)*(DATOS!$K$2:$K$20000))/SUMPRODUCT((DATOS!$A$2:$A$20000=G607)*(DATOS!$G$2:$G$20000=CONFIG_METADATA!$B$4)*(COUNTIF(CONFIG_ASIGNATURAS!$B$7:$B$27,DATOS!$I$2:$I$20000)&gt;0)*1),"")))</f>
        <v/>
      </c>
      <c r="N607" t="str">
        <f>IF(M607="","",IF(M607="[FÓRMULA MANUAL]","",IFERROR(AVERAGEIFS(DATOS!$K$2:$K$20000,DATOS!$A$2:$A$20000,M607,DATOS!$G$2:$G$20000,CONFIG_METADATA!$B$4,DATOS!$I$2:$I$20000,"Armonía"),"")))</f>
        <v/>
      </c>
      <c r="O607" t="str">
        <f>IF(M607="","",IF(M607="[FÓRMULA MANUAL]","",IFERROR(AVERAGEIFS(DATOS!$K$2:$K$20000,DATOS!$A$2:$A$20000,M607,DATOS!$G$2:$G$20000,CONFIG_METADATA!$B$4,DATOS!$I$2:$I$20000,"Orquesta/Banda/Conjunto"),"")))</f>
        <v/>
      </c>
      <c r="P607" t="str">
        <f>IF(M607="","",IF(M607="[FÓRMULA MANUAL]","",IFERROR(AVERAGEIFS(DATOS!$K$2:$K$20000,DATOS!$A$2:$A$20000,M607,DATOS!$G$2:$G$20000,CONFIG_METADATA!$B$4,DATOS!$I$2:$I$20000,"Música de Cámara"),"")))</f>
        <v/>
      </c>
      <c r="Q607" t="str">
        <f>IF(M607="","",IF(M607="[FÓRMULA MANUAL]","",IFERROR(SUMPRODUCT((DATOS!$A$2:$A$20000=M607)*(DATOS!$G$2:$G$20000=CONFIG_METADATA!$B$4)*(COUNTIF(CONFIG_ASIGNATURAS!$B$7:$B$27,DATOS!$I$2:$I$20000)&gt;0)*(DATOS!$K$2:$K$20000))/SUMPRODUCT((DATOS!$A$2:$A$20000=M607)*(DATOS!$G$2:$G$20000=CONFIG_METADATA!$B$4)*(COUNTIF(CONFIG_ASIGNATURAS!$B$7:$B$27,DATOS!$I$2:$I$20000)&gt;0)*1),"")))</f>
        <v/>
      </c>
      <c r="T607" t="str">
        <f>IF(S607="","",IF(S607="[FÓRMULA MANUAL]","",IFERROR(AVERAGEIFS(DATOS!$K$2:$K$20000,DATOS!$A$2:$A$20000,S607,DATOS!$G$2:$G$20000,CONFIG_METADATA!$B$4,DATOS!$I$2:$I$20000,"Armonía"),"")))</f>
        <v/>
      </c>
      <c r="U607" t="str">
        <f>IF(S607="","",IF(S607="[FÓRMULA MANUAL]","",IFERROR(AVERAGEIFS(DATOS!$K$2:$K$20000,DATOS!$A$2:$A$20000,S607,DATOS!$G$2:$G$20000,CONFIG_METADATA!$B$4,DATOS!$I$2:$I$20000,"Orquesta/Banda/Conjunto"),"")))</f>
        <v/>
      </c>
      <c r="V607" t="str">
        <f>IF(S607="","",IF(S607="[FÓRMULA MANUAL]","",IFERROR(AVERAGEIFS(DATOS!$K$2:$K$20000,DATOS!$A$2:$A$20000,S607,DATOS!$G$2:$G$20000,CONFIG_METADATA!$B$4,DATOS!$I$2:$I$20000,"Música de Cámara"),"")))</f>
        <v/>
      </c>
      <c r="W607" t="str">
        <f>IF(S607="","",IF(S607="[FÓRMULA MANUAL]","",IFERROR(SUMPRODUCT((DATOS!$A$2:$A$20000=S607)*(DATOS!$G$2:$G$20000=CONFIG_METADATA!$B$4)*(COUNTIF(CONFIG_ASIGNATURAS!$B$7:$B$27,DATOS!$I$2:$I$20000)&gt;0)*(DATOS!$K$2:$K$20000))/SUMPRODUCT((DATOS!$A$2:$A$20000=S607)*(DATOS!$G$2:$G$20000=CONFIG_METADATA!$B$4)*(COUNTIF(CONFIG_ASIGNATURAS!$B$7:$B$27,DATOS!$I$2:$I$20000)&gt;0)*1),"")))</f>
        <v/>
      </c>
      <c r="Z607" t="str">
        <f>IF(Y607="","",IF(Y607="[FÓRMULA MANUAL]","",IFERROR(AVERAGEIFS(DATOS!$K$2:$K$20000,DATOS!$A$2:$A$20000,Y607,DATOS!$G$2:$G$20000,CONFIG_METADATA!$B$4,DATOS!$I$2:$I$20000,"Análisis"),"")))</f>
        <v/>
      </c>
      <c r="AA607" t="str">
        <f>IF(Y607="","",IF(Y607="[FÓRMULA MANUAL]","",IFERROR(AVERAGEIFS(DATOS!$K$2:$K$20000,DATOS!$A$2:$A$20000,Y607,DATOS!$G$2:$G$20000,CONFIG_METADATA!$B$4,DATOS!$I$2:$I$20000,"Orquesta/Banda/Conjunto"),"")))</f>
        <v/>
      </c>
      <c r="AB607" t="str">
        <f>IF(Y607="","",IF(Y607="[FÓRMULA MANUAL]","",IFERROR(AVERAGEIFS(DATOS!$K$2:$K$20000,DATOS!$A$2:$A$20000,Y607,DATOS!$G$2:$G$20000,CONFIG_METADATA!$B$4,DATOS!$I$2:$I$20000,"Música de Cámara"),"")))</f>
        <v/>
      </c>
      <c r="AC607" t="str">
        <f>IF(Y607="","",IF(Y607="[FÓRMULA MANUAL]","",IFERROR(SUMPRODUCT((DATOS!$A$2:$A$20000=Y607)*(DATOS!$G$2:$G$20000=CONFIG_METADATA!$B$4)*(COUNTIF(CONFIG_ASIGNATURAS!$B$7:$B$27,DATOS!$I$2:$I$20000)&gt;0)*(DATOS!$K$2:$K$20000))/SUMPRODUCT((DATOS!$A$2:$A$20000=Y607)*(DATOS!$G$2:$G$20000=CONFIG_METADATA!$B$4)*(COUNTIF(CONFIG_ASIGNATURAS!$B$7:$B$27,DATOS!$I$2:$I$20000)&gt;0)*1),"")))</f>
        <v/>
      </c>
      <c r="AF607" t="str">
        <f>IF(AE607="","",IF(AE607="[FÓRMULA MANUAL]","",IFERROR(AVERAGEIFS(DATOS!$K$2:$K$20000,DATOS!$A$2:$A$20000,AE607,DATOS!$G$2:$G$20000,CONFIG_METADATA!$B$4,DATOS!$I$2:$I$20000,"Análisis"),"")))</f>
        <v/>
      </c>
      <c r="AG607" t="str">
        <f>IF(AE607="","",IF(AE607="[FÓRMULA MANUAL]","",IFERROR(AVERAGEIFS(DATOS!$K$2:$K$20000,DATOS!$A$2:$A$20000,AE607,DATOS!$G$2:$G$20000,CONFIG_METADATA!$B$4,DATOS!$I$2:$I$20000,"Orquesta/Banda/Conjunto"),"")))</f>
        <v/>
      </c>
      <c r="AH607" t="str">
        <f>IF(AE607="","",IF(AE607="[FÓRMULA MANUAL]","",IFERROR(AVERAGEIFS(DATOS!$K$2:$K$20000,DATOS!$A$2:$A$20000,AE607,DATOS!$G$2:$G$20000,CONFIG_METADATA!$B$4,DATOS!$I$2:$I$20000,"Música de Cámara"),"")))</f>
        <v/>
      </c>
      <c r="AI607" t="str">
        <f>IF(AE607="","",IF(AE607="[FÓRMULA MANUAL]","",IFERROR(SUMPRODUCT((DATOS!$A$2:$A$20000=AE607)*(DATOS!$G$2:$G$20000=CONFIG_METADATA!$B$4)*(COUNTIF(CONFIG_ASIGNATURAS!$B$7:$B$27,DATOS!$I$2:$I$20000)&gt;0)*(DATOS!$K$2:$K$20000))/SUMPRODUCT((DATOS!$A$2:$A$20000=AE607)*(DATOS!$G$2:$G$20000=CONFIG_METADATA!$B$4)*(COUNTIF(CONFIG_ASIGNATURAS!$B$7:$B$27,DATOS!$I$2:$I$20000)&gt;0)*1),"")))</f>
        <v/>
      </c>
    </row>
    <row r="608" spans="2:35" x14ac:dyDescent="0.2">
      <c r="B608" t="str">
        <f>IF(A608="","",IF(A608="[FÓRMULA MANUAL]","",IFERROR(AVERAGEIFS(DATOS!$K$2:$K$20000,DATOS!$A$2:$A$20000,A608,DATOS!$G$2:$G$20000,CONFIG_METADATA!$B$4,DATOS!$I$2:$I$20000,"Lenguaje Musical"),"")))</f>
        <v/>
      </c>
      <c r="C608" t="str">
        <f>IF(A608="","",IF(A608="[FÓRMULA MANUAL]","",IFERROR(AVERAGEIFS(DATOS!$K$2:$K$20000,DATOS!$A$2:$A$20000,A608,DATOS!$G$2:$G$20000,CONFIG_METADATA!$B$4,DATOS!$I$2:$I$20000,"Orquesta/Banda/Conjunto"),"")))</f>
        <v/>
      </c>
      <c r="D608" t="str">
        <f>IF(A608="","",IF(A608="[FÓRMULA MANUAL]","",IFERROR(AVERAGEIFS(DATOS!$K$2:$K$20000,DATOS!$A$2:$A$20000,A608,DATOS!$G$2:$G$20000,CONFIG_METADATA!$B$4,DATOS!$I$2:$I$20000,"Conjunto"),"")))</f>
        <v/>
      </c>
      <c r="E608" t="str">
        <f>IF(A608="","",IF(A608="[FÓRMULA MANUAL]","",IFERROR(SUMPRODUCT((DATOS!$A$2:$A$20000=A608)*(DATOS!$G$2:$G$20000=CONFIG_METADATA!$B$4)*(COUNTIF(CONFIG_ASIGNATURAS!$B$7:$B$27,DATOS!$I$2:$I$20000)&gt;0)*(DATOS!$K$2:$K$20000))/SUMPRODUCT((DATOS!$A$2:$A$20000=A608)*(DATOS!$G$2:$G$20000=CONFIG_METADATA!$B$4)*(COUNTIF(CONFIG_ASIGNATURAS!$B$7:$B$27,DATOS!$I$2:$I$20000)&gt;0)*1),"")))</f>
        <v/>
      </c>
      <c r="H608" t="str">
        <f>IF(G608="","",IF(G608="[FÓRMULA MANUAL]","",IFERROR(AVERAGEIFS(DATOS!$K$2:$K$20000,DATOS!$A$2:$A$20000,G608,DATOS!$G$2:$G$20000,CONFIG_METADATA!$B$4,DATOS!$I$2:$I$20000,"Lenguaje Musical"),"")))</f>
        <v/>
      </c>
      <c r="I608" t="str">
        <f>IF(G608="","",IF(G608="[FÓRMULA MANUAL]","",IFERROR(AVERAGEIFS(DATOS!$K$2:$K$20000,DATOS!$A$2:$A$20000,G608,DATOS!$G$2:$G$20000,CONFIG_METADATA!$B$4,DATOS!$I$2:$I$20000,"Orquesta/Banda/Conjunto"),"")))</f>
        <v/>
      </c>
      <c r="J608" t="str">
        <f>IF(G608="","",IF(G608="[FÓRMULA MANUAL]","",IFERROR(AVERAGEIFS(DATOS!$K$2:$K$20000,DATOS!$A$2:$A$20000,G608,DATOS!$G$2:$G$20000,CONFIG_METADATA!$B$4,DATOS!$I$2:$I$20000,"Conjunto"),"")))</f>
        <v/>
      </c>
      <c r="K608" t="str">
        <f>IF(G608="","",IF(G608="[FÓRMULA MANUAL]","",IFERROR(SUMPRODUCT((DATOS!$A$2:$A$20000=G608)*(DATOS!$G$2:$G$20000=CONFIG_METADATA!$B$4)*(COUNTIF(CONFIG_ASIGNATURAS!$B$7:$B$27,DATOS!$I$2:$I$20000)&gt;0)*(DATOS!$K$2:$K$20000))/SUMPRODUCT((DATOS!$A$2:$A$20000=G608)*(DATOS!$G$2:$G$20000=CONFIG_METADATA!$B$4)*(COUNTIF(CONFIG_ASIGNATURAS!$B$7:$B$27,DATOS!$I$2:$I$20000)&gt;0)*1),"")))</f>
        <v/>
      </c>
      <c r="N608" t="str">
        <f>IF(M608="","",IF(M608="[FÓRMULA MANUAL]","",IFERROR(AVERAGEIFS(DATOS!$K$2:$K$20000,DATOS!$A$2:$A$20000,M608,DATOS!$G$2:$G$20000,CONFIG_METADATA!$B$4,DATOS!$I$2:$I$20000,"Armonía"),"")))</f>
        <v/>
      </c>
      <c r="O608" t="str">
        <f>IF(M608="","",IF(M608="[FÓRMULA MANUAL]","",IFERROR(AVERAGEIFS(DATOS!$K$2:$K$20000,DATOS!$A$2:$A$20000,M608,DATOS!$G$2:$G$20000,CONFIG_METADATA!$B$4,DATOS!$I$2:$I$20000,"Orquesta/Banda/Conjunto"),"")))</f>
        <v/>
      </c>
      <c r="P608" t="str">
        <f>IF(M608="","",IF(M608="[FÓRMULA MANUAL]","",IFERROR(AVERAGEIFS(DATOS!$K$2:$K$20000,DATOS!$A$2:$A$20000,M608,DATOS!$G$2:$G$20000,CONFIG_METADATA!$B$4,DATOS!$I$2:$I$20000,"Música de Cámara"),"")))</f>
        <v/>
      </c>
      <c r="Q608" t="str">
        <f>IF(M608="","",IF(M608="[FÓRMULA MANUAL]","",IFERROR(SUMPRODUCT((DATOS!$A$2:$A$20000=M608)*(DATOS!$G$2:$G$20000=CONFIG_METADATA!$B$4)*(COUNTIF(CONFIG_ASIGNATURAS!$B$7:$B$27,DATOS!$I$2:$I$20000)&gt;0)*(DATOS!$K$2:$K$20000))/SUMPRODUCT((DATOS!$A$2:$A$20000=M608)*(DATOS!$G$2:$G$20000=CONFIG_METADATA!$B$4)*(COUNTIF(CONFIG_ASIGNATURAS!$B$7:$B$27,DATOS!$I$2:$I$20000)&gt;0)*1),"")))</f>
        <v/>
      </c>
      <c r="T608" t="str">
        <f>IF(S608="","",IF(S608="[FÓRMULA MANUAL]","",IFERROR(AVERAGEIFS(DATOS!$K$2:$K$20000,DATOS!$A$2:$A$20000,S608,DATOS!$G$2:$G$20000,CONFIG_METADATA!$B$4,DATOS!$I$2:$I$20000,"Armonía"),"")))</f>
        <v/>
      </c>
      <c r="U608" t="str">
        <f>IF(S608="","",IF(S608="[FÓRMULA MANUAL]","",IFERROR(AVERAGEIFS(DATOS!$K$2:$K$20000,DATOS!$A$2:$A$20000,S608,DATOS!$G$2:$G$20000,CONFIG_METADATA!$B$4,DATOS!$I$2:$I$20000,"Orquesta/Banda/Conjunto"),"")))</f>
        <v/>
      </c>
      <c r="V608" t="str">
        <f>IF(S608="","",IF(S608="[FÓRMULA MANUAL]","",IFERROR(AVERAGEIFS(DATOS!$K$2:$K$20000,DATOS!$A$2:$A$20000,S608,DATOS!$G$2:$G$20000,CONFIG_METADATA!$B$4,DATOS!$I$2:$I$20000,"Música de Cámara"),"")))</f>
        <v/>
      </c>
      <c r="W608" t="str">
        <f>IF(S608="","",IF(S608="[FÓRMULA MANUAL]","",IFERROR(SUMPRODUCT((DATOS!$A$2:$A$20000=S608)*(DATOS!$G$2:$G$20000=CONFIG_METADATA!$B$4)*(COUNTIF(CONFIG_ASIGNATURAS!$B$7:$B$27,DATOS!$I$2:$I$20000)&gt;0)*(DATOS!$K$2:$K$20000))/SUMPRODUCT((DATOS!$A$2:$A$20000=S608)*(DATOS!$G$2:$G$20000=CONFIG_METADATA!$B$4)*(COUNTIF(CONFIG_ASIGNATURAS!$B$7:$B$27,DATOS!$I$2:$I$20000)&gt;0)*1),"")))</f>
        <v/>
      </c>
      <c r="Z608" t="str">
        <f>IF(Y608="","",IF(Y608="[FÓRMULA MANUAL]","",IFERROR(AVERAGEIFS(DATOS!$K$2:$K$20000,DATOS!$A$2:$A$20000,Y608,DATOS!$G$2:$G$20000,CONFIG_METADATA!$B$4,DATOS!$I$2:$I$20000,"Análisis"),"")))</f>
        <v/>
      </c>
      <c r="AA608" t="str">
        <f>IF(Y608="","",IF(Y608="[FÓRMULA MANUAL]","",IFERROR(AVERAGEIFS(DATOS!$K$2:$K$20000,DATOS!$A$2:$A$20000,Y608,DATOS!$G$2:$G$20000,CONFIG_METADATA!$B$4,DATOS!$I$2:$I$20000,"Orquesta/Banda/Conjunto"),"")))</f>
        <v/>
      </c>
      <c r="AB608" t="str">
        <f>IF(Y608="","",IF(Y608="[FÓRMULA MANUAL]","",IFERROR(AVERAGEIFS(DATOS!$K$2:$K$20000,DATOS!$A$2:$A$20000,Y608,DATOS!$G$2:$G$20000,CONFIG_METADATA!$B$4,DATOS!$I$2:$I$20000,"Música de Cámara"),"")))</f>
        <v/>
      </c>
      <c r="AC608" t="str">
        <f>IF(Y608="","",IF(Y608="[FÓRMULA MANUAL]","",IFERROR(SUMPRODUCT((DATOS!$A$2:$A$20000=Y608)*(DATOS!$G$2:$G$20000=CONFIG_METADATA!$B$4)*(COUNTIF(CONFIG_ASIGNATURAS!$B$7:$B$27,DATOS!$I$2:$I$20000)&gt;0)*(DATOS!$K$2:$K$20000))/SUMPRODUCT((DATOS!$A$2:$A$20000=Y608)*(DATOS!$G$2:$G$20000=CONFIG_METADATA!$B$4)*(COUNTIF(CONFIG_ASIGNATURAS!$B$7:$B$27,DATOS!$I$2:$I$20000)&gt;0)*1),"")))</f>
        <v/>
      </c>
      <c r="AF608" t="str">
        <f>IF(AE608="","",IF(AE608="[FÓRMULA MANUAL]","",IFERROR(AVERAGEIFS(DATOS!$K$2:$K$20000,DATOS!$A$2:$A$20000,AE608,DATOS!$G$2:$G$20000,CONFIG_METADATA!$B$4,DATOS!$I$2:$I$20000,"Análisis"),"")))</f>
        <v/>
      </c>
      <c r="AG608" t="str">
        <f>IF(AE608="","",IF(AE608="[FÓRMULA MANUAL]","",IFERROR(AVERAGEIFS(DATOS!$K$2:$K$20000,DATOS!$A$2:$A$20000,AE608,DATOS!$G$2:$G$20000,CONFIG_METADATA!$B$4,DATOS!$I$2:$I$20000,"Orquesta/Banda/Conjunto"),"")))</f>
        <v/>
      </c>
      <c r="AH608" t="str">
        <f>IF(AE608="","",IF(AE608="[FÓRMULA MANUAL]","",IFERROR(AVERAGEIFS(DATOS!$K$2:$K$20000,DATOS!$A$2:$A$20000,AE608,DATOS!$G$2:$G$20000,CONFIG_METADATA!$B$4,DATOS!$I$2:$I$20000,"Música de Cámara"),"")))</f>
        <v/>
      </c>
      <c r="AI608" t="str">
        <f>IF(AE608="","",IF(AE608="[FÓRMULA MANUAL]","",IFERROR(SUMPRODUCT((DATOS!$A$2:$A$20000=AE608)*(DATOS!$G$2:$G$20000=CONFIG_METADATA!$B$4)*(COUNTIF(CONFIG_ASIGNATURAS!$B$7:$B$27,DATOS!$I$2:$I$20000)&gt;0)*(DATOS!$K$2:$K$20000))/SUMPRODUCT((DATOS!$A$2:$A$20000=AE608)*(DATOS!$G$2:$G$20000=CONFIG_METADATA!$B$4)*(COUNTIF(CONFIG_ASIGNATURAS!$B$7:$B$27,DATOS!$I$2:$I$20000)&gt;0)*1),"")))</f>
        <v/>
      </c>
    </row>
    <row r="609" spans="2:35" x14ac:dyDescent="0.2">
      <c r="B609" t="str">
        <f>IF(A609="","",IF(A609="[FÓRMULA MANUAL]","",IFERROR(AVERAGEIFS(DATOS!$K$2:$K$20000,DATOS!$A$2:$A$20000,A609,DATOS!$G$2:$G$20000,CONFIG_METADATA!$B$4,DATOS!$I$2:$I$20000,"Lenguaje Musical"),"")))</f>
        <v/>
      </c>
      <c r="C609" t="str">
        <f>IF(A609="","",IF(A609="[FÓRMULA MANUAL]","",IFERROR(AVERAGEIFS(DATOS!$K$2:$K$20000,DATOS!$A$2:$A$20000,A609,DATOS!$G$2:$G$20000,CONFIG_METADATA!$B$4,DATOS!$I$2:$I$20000,"Orquesta/Banda/Conjunto"),"")))</f>
        <v/>
      </c>
      <c r="D609" t="str">
        <f>IF(A609="","",IF(A609="[FÓRMULA MANUAL]","",IFERROR(AVERAGEIFS(DATOS!$K$2:$K$20000,DATOS!$A$2:$A$20000,A609,DATOS!$G$2:$G$20000,CONFIG_METADATA!$B$4,DATOS!$I$2:$I$20000,"Conjunto"),"")))</f>
        <v/>
      </c>
      <c r="E609" t="str">
        <f>IF(A609="","",IF(A609="[FÓRMULA MANUAL]","",IFERROR(SUMPRODUCT((DATOS!$A$2:$A$20000=A609)*(DATOS!$G$2:$G$20000=CONFIG_METADATA!$B$4)*(COUNTIF(CONFIG_ASIGNATURAS!$B$7:$B$27,DATOS!$I$2:$I$20000)&gt;0)*(DATOS!$K$2:$K$20000))/SUMPRODUCT((DATOS!$A$2:$A$20000=A609)*(DATOS!$G$2:$G$20000=CONFIG_METADATA!$B$4)*(COUNTIF(CONFIG_ASIGNATURAS!$B$7:$B$27,DATOS!$I$2:$I$20000)&gt;0)*1),"")))</f>
        <v/>
      </c>
      <c r="H609" t="str">
        <f>IF(G609="","",IF(G609="[FÓRMULA MANUAL]","",IFERROR(AVERAGEIFS(DATOS!$K$2:$K$20000,DATOS!$A$2:$A$20000,G609,DATOS!$G$2:$G$20000,CONFIG_METADATA!$B$4,DATOS!$I$2:$I$20000,"Lenguaje Musical"),"")))</f>
        <v/>
      </c>
      <c r="I609" t="str">
        <f>IF(G609="","",IF(G609="[FÓRMULA MANUAL]","",IFERROR(AVERAGEIFS(DATOS!$K$2:$K$20000,DATOS!$A$2:$A$20000,G609,DATOS!$G$2:$G$20000,CONFIG_METADATA!$B$4,DATOS!$I$2:$I$20000,"Orquesta/Banda/Conjunto"),"")))</f>
        <v/>
      </c>
      <c r="J609" t="str">
        <f>IF(G609="","",IF(G609="[FÓRMULA MANUAL]","",IFERROR(AVERAGEIFS(DATOS!$K$2:$K$20000,DATOS!$A$2:$A$20000,G609,DATOS!$G$2:$G$20000,CONFIG_METADATA!$B$4,DATOS!$I$2:$I$20000,"Conjunto"),"")))</f>
        <v/>
      </c>
      <c r="K609" t="str">
        <f>IF(G609="","",IF(G609="[FÓRMULA MANUAL]","",IFERROR(SUMPRODUCT((DATOS!$A$2:$A$20000=G609)*(DATOS!$G$2:$G$20000=CONFIG_METADATA!$B$4)*(COUNTIF(CONFIG_ASIGNATURAS!$B$7:$B$27,DATOS!$I$2:$I$20000)&gt;0)*(DATOS!$K$2:$K$20000))/SUMPRODUCT((DATOS!$A$2:$A$20000=G609)*(DATOS!$G$2:$G$20000=CONFIG_METADATA!$B$4)*(COUNTIF(CONFIG_ASIGNATURAS!$B$7:$B$27,DATOS!$I$2:$I$20000)&gt;0)*1),"")))</f>
        <v/>
      </c>
      <c r="N609" t="str">
        <f>IF(M609="","",IF(M609="[FÓRMULA MANUAL]","",IFERROR(AVERAGEIFS(DATOS!$K$2:$K$20000,DATOS!$A$2:$A$20000,M609,DATOS!$G$2:$G$20000,CONFIG_METADATA!$B$4,DATOS!$I$2:$I$20000,"Armonía"),"")))</f>
        <v/>
      </c>
      <c r="O609" t="str">
        <f>IF(M609="","",IF(M609="[FÓRMULA MANUAL]","",IFERROR(AVERAGEIFS(DATOS!$K$2:$K$20000,DATOS!$A$2:$A$20000,M609,DATOS!$G$2:$G$20000,CONFIG_METADATA!$B$4,DATOS!$I$2:$I$20000,"Orquesta/Banda/Conjunto"),"")))</f>
        <v/>
      </c>
      <c r="P609" t="str">
        <f>IF(M609="","",IF(M609="[FÓRMULA MANUAL]","",IFERROR(AVERAGEIFS(DATOS!$K$2:$K$20000,DATOS!$A$2:$A$20000,M609,DATOS!$G$2:$G$20000,CONFIG_METADATA!$B$4,DATOS!$I$2:$I$20000,"Música de Cámara"),"")))</f>
        <v/>
      </c>
      <c r="Q609" t="str">
        <f>IF(M609="","",IF(M609="[FÓRMULA MANUAL]","",IFERROR(SUMPRODUCT((DATOS!$A$2:$A$20000=M609)*(DATOS!$G$2:$G$20000=CONFIG_METADATA!$B$4)*(COUNTIF(CONFIG_ASIGNATURAS!$B$7:$B$27,DATOS!$I$2:$I$20000)&gt;0)*(DATOS!$K$2:$K$20000))/SUMPRODUCT((DATOS!$A$2:$A$20000=M609)*(DATOS!$G$2:$G$20000=CONFIG_METADATA!$B$4)*(COUNTIF(CONFIG_ASIGNATURAS!$B$7:$B$27,DATOS!$I$2:$I$20000)&gt;0)*1),"")))</f>
        <v/>
      </c>
      <c r="T609" t="str">
        <f>IF(S609="","",IF(S609="[FÓRMULA MANUAL]","",IFERROR(AVERAGEIFS(DATOS!$K$2:$K$20000,DATOS!$A$2:$A$20000,S609,DATOS!$G$2:$G$20000,CONFIG_METADATA!$B$4,DATOS!$I$2:$I$20000,"Armonía"),"")))</f>
        <v/>
      </c>
      <c r="U609" t="str">
        <f>IF(S609="","",IF(S609="[FÓRMULA MANUAL]","",IFERROR(AVERAGEIFS(DATOS!$K$2:$K$20000,DATOS!$A$2:$A$20000,S609,DATOS!$G$2:$G$20000,CONFIG_METADATA!$B$4,DATOS!$I$2:$I$20000,"Orquesta/Banda/Conjunto"),"")))</f>
        <v/>
      </c>
      <c r="V609" t="str">
        <f>IF(S609="","",IF(S609="[FÓRMULA MANUAL]","",IFERROR(AVERAGEIFS(DATOS!$K$2:$K$20000,DATOS!$A$2:$A$20000,S609,DATOS!$G$2:$G$20000,CONFIG_METADATA!$B$4,DATOS!$I$2:$I$20000,"Música de Cámara"),"")))</f>
        <v/>
      </c>
      <c r="W609" t="str">
        <f>IF(S609="","",IF(S609="[FÓRMULA MANUAL]","",IFERROR(SUMPRODUCT((DATOS!$A$2:$A$20000=S609)*(DATOS!$G$2:$G$20000=CONFIG_METADATA!$B$4)*(COUNTIF(CONFIG_ASIGNATURAS!$B$7:$B$27,DATOS!$I$2:$I$20000)&gt;0)*(DATOS!$K$2:$K$20000))/SUMPRODUCT((DATOS!$A$2:$A$20000=S609)*(DATOS!$G$2:$G$20000=CONFIG_METADATA!$B$4)*(COUNTIF(CONFIG_ASIGNATURAS!$B$7:$B$27,DATOS!$I$2:$I$20000)&gt;0)*1),"")))</f>
        <v/>
      </c>
      <c r="Z609" t="str">
        <f>IF(Y609="","",IF(Y609="[FÓRMULA MANUAL]","",IFERROR(AVERAGEIFS(DATOS!$K$2:$K$20000,DATOS!$A$2:$A$20000,Y609,DATOS!$G$2:$G$20000,CONFIG_METADATA!$B$4,DATOS!$I$2:$I$20000,"Análisis"),"")))</f>
        <v/>
      </c>
      <c r="AA609" t="str">
        <f>IF(Y609="","",IF(Y609="[FÓRMULA MANUAL]","",IFERROR(AVERAGEIFS(DATOS!$K$2:$K$20000,DATOS!$A$2:$A$20000,Y609,DATOS!$G$2:$G$20000,CONFIG_METADATA!$B$4,DATOS!$I$2:$I$20000,"Orquesta/Banda/Conjunto"),"")))</f>
        <v/>
      </c>
      <c r="AB609" t="str">
        <f>IF(Y609="","",IF(Y609="[FÓRMULA MANUAL]","",IFERROR(AVERAGEIFS(DATOS!$K$2:$K$20000,DATOS!$A$2:$A$20000,Y609,DATOS!$G$2:$G$20000,CONFIG_METADATA!$B$4,DATOS!$I$2:$I$20000,"Música de Cámara"),"")))</f>
        <v/>
      </c>
      <c r="AC609" t="str">
        <f>IF(Y609="","",IF(Y609="[FÓRMULA MANUAL]","",IFERROR(SUMPRODUCT((DATOS!$A$2:$A$20000=Y609)*(DATOS!$G$2:$G$20000=CONFIG_METADATA!$B$4)*(COUNTIF(CONFIG_ASIGNATURAS!$B$7:$B$27,DATOS!$I$2:$I$20000)&gt;0)*(DATOS!$K$2:$K$20000))/SUMPRODUCT((DATOS!$A$2:$A$20000=Y609)*(DATOS!$G$2:$G$20000=CONFIG_METADATA!$B$4)*(COUNTIF(CONFIG_ASIGNATURAS!$B$7:$B$27,DATOS!$I$2:$I$20000)&gt;0)*1),"")))</f>
        <v/>
      </c>
      <c r="AF609" t="str">
        <f>IF(AE609="","",IF(AE609="[FÓRMULA MANUAL]","",IFERROR(AVERAGEIFS(DATOS!$K$2:$K$20000,DATOS!$A$2:$A$20000,AE609,DATOS!$G$2:$G$20000,CONFIG_METADATA!$B$4,DATOS!$I$2:$I$20000,"Análisis"),"")))</f>
        <v/>
      </c>
      <c r="AG609" t="str">
        <f>IF(AE609="","",IF(AE609="[FÓRMULA MANUAL]","",IFERROR(AVERAGEIFS(DATOS!$K$2:$K$20000,DATOS!$A$2:$A$20000,AE609,DATOS!$G$2:$G$20000,CONFIG_METADATA!$B$4,DATOS!$I$2:$I$20000,"Orquesta/Banda/Conjunto"),"")))</f>
        <v/>
      </c>
      <c r="AH609" t="str">
        <f>IF(AE609="","",IF(AE609="[FÓRMULA MANUAL]","",IFERROR(AVERAGEIFS(DATOS!$K$2:$K$20000,DATOS!$A$2:$A$20000,AE609,DATOS!$G$2:$G$20000,CONFIG_METADATA!$B$4,DATOS!$I$2:$I$20000,"Música de Cámara"),"")))</f>
        <v/>
      </c>
      <c r="AI609" t="str">
        <f>IF(AE609="","",IF(AE609="[FÓRMULA MANUAL]","",IFERROR(SUMPRODUCT((DATOS!$A$2:$A$20000=AE609)*(DATOS!$G$2:$G$20000=CONFIG_METADATA!$B$4)*(COUNTIF(CONFIG_ASIGNATURAS!$B$7:$B$27,DATOS!$I$2:$I$20000)&gt;0)*(DATOS!$K$2:$K$20000))/SUMPRODUCT((DATOS!$A$2:$A$20000=AE609)*(DATOS!$G$2:$G$20000=CONFIG_METADATA!$B$4)*(COUNTIF(CONFIG_ASIGNATURAS!$B$7:$B$27,DATOS!$I$2:$I$20000)&gt;0)*1),"")))</f>
        <v/>
      </c>
    </row>
    <row r="610" spans="2:35" x14ac:dyDescent="0.2">
      <c r="B610" t="str">
        <f>IF(A610="","",IF(A610="[FÓRMULA MANUAL]","",IFERROR(AVERAGEIFS(DATOS!$K$2:$K$20000,DATOS!$A$2:$A$20000,A610,DATOS!$G$2:$G$20000,CONFIG_METADATA!$B$4,DATOS!$I$2:$I$20000,"Lenguaje Musical"),"")))</f>
        <v/>
      </c>
      <c r="C610" t="str">
        <f>IF(A610="","",IF(A610="[FÓRMULA MANUAL]","",IFERROR(AVERAGEIFS(DATOS!$K$2:$K$20000,DATOS!$A$2:$A$20000,A610,DATOS!$G$2:$G$20000,CONFIG_METADATA!$B$4,DATOS!$I$2:$I$20000,"Orquesta/Banda/Conjunto"),"")))</f>
        <v/>
      </c>
      <c r="D610" t="str">
        <f>IF(A610="","",IF(A610="[FÓRMULA MANUAL]","",IFERROR(AVERAGEIFS(DATOS!$K$2:$K$20000,DATOS!$A$2:$A$20000,A610,DATOS!$G$2:$G$20000,CONFIG_METADATA!$B$4,DATOS!$I$2:$I$20000,"Conjunto"),"")))</f>
        <v/>
      </c>
      <c r="E610" t="str">
        <f>IF(A610="","",IF(A610="[FÓRMULA MANUAL]","",IFERROR(SUMPRODUCT((DATOS!$A$2:$A$20000=A610)*(DATOS!$G$2:$G$20000=CONFIG_METADATA!$B$4)*(COUNTIF(CONFIG_ASIGNATURAS!$B$7:$B$27,DATOS!$I$2:$I$20000)&gt;0)*(DATOS!$K$2:$K$20000))/SUMPRODUCT((DATOS!$A$2:$A$20000=A610)*(DATOS!$G$2:$G$20000=CONFIG_METADATA!$B$4)*(COUNTIF(CONFIG_ASIGNATURAS!$B$7:$B$27,DATOS!$I$2:$I$20000)&gt;0)*1),"")))</f>
        <v/>
      </c>
      <c r="H610" t="str">
        <f>IF(G610="","",IF(G610="[FÓRMULA MANUAL]","",IFERROR(AVERAGEIFS(DATOS!$K$2:$K$20000,DATOS!$A$2:$A$20000,G610,DATOS!$G$2:$G$20000,CONFIG_METADATA!$B$4,DATOS!$I$2:$I$20000,"Lenguaje Musical"),"")))</f>
        <v/>
      </c>
      <c r="I610" t="str">
        <f>IF(G610="","",IF(G610="[FÓRMULA MANUAL]","",IFERROR(AVERAGEIFS(DATOS!$K$2:$K$20000,DATOS!$A$2:$A$20000,G610,DATOS!$G$2:$G$20000,CONFIG_METADATA!$B$4,DATOS!$I$2:$I$20000,"Orquesta/Banda/Conjunto"),"")))</f>
        <v/>
      </c>
      <c r="J610" t="str">
        <f>IF(G610="","",IF(G610="[FÓRMULA MANUAL]","",IFERROR(AVERAGEIFS(DATOS!$K$2:$K$20000,DATOS!$A$2:$A$20000,G610,DATOS!$G$2:$G$20000,CONFIG_METADATA!$B$4,DATOS!$I$2:$I$20000,"Conjunto"),"")))</f>
        <v/>
      </c>
      <c r="K610" t="str">
        <f>IF(G610="","",IF(G610="[FÓRMULA MANUAL]","",IFERROR(SUMPRODUCT((DATOS!$A$2:$A$20000=G610)*(DATOS!$G$2:$G$20000=CONFIG_METADATA!$B$4)*(COUNTIF(CONFIG_ASIGNATURAS!$B$7:$B$27,DATOS!$I$2:$I$20000)&gt;0)*(DATOS!$K$2:$K$20000))/SUMPRODUCT((DATOS!$A$2:$A$20000=G610)*(DATOS!$G$2:$G$20000=CONFIG_METADATA!$B$4)*(COUNTIF(CONFIG_ASIGNATURAS!$B$7:$B$27,DATOS!$I$2:$I$20000)&gt;0)*1),"")))</f>
        <v/>
      </c>
      <c r="N610" t="str">
        <f>IF(M610="","",IF(M610="[FÓRMULA MANUAL]","",IFERROR(AVERAGEIFS(DATOS!$K$2:$K$20000,DATOS!$A$2:$A$20000,M610,DATOS!$G$2:$G$20000,CONFIG_METADATA!$B$4,DATOS!$I$2:$I$20000,"Armonía"),"")))</f>
        <v/>
      </c>
      <c r="O610" t="str">
        <f>IF(M610="","",IF(M610="[FÓRMULA MANUAL]","",IFERROR(AVERAGEIFS(DATOS!$K$2:$K$20000,DATOS!$A$2:$A$20000,M610,DATOS!$G$2:$G$20000,CONFIG_METADATA!$B$4,DATOS!$I$2:$I$20000,"Orquesta/Banda/Conjunto"),"")))</f>
        <v/>
      </c>
      <c r="P610" t="str">
        <f>IF(M610="","",IF(M610="[FÓRMULA MANUAL]","",IFERROR(AVERAGEIFS(DATOS!$K$2:$K$20000,DATOS!$A$2:$A$20000,M610,DATOS!$G$2:$G$20000,CONFIG_METADATA!$B$4,DATOS!$I$2:$I$20000,"Música de Cámara"),"")))</f>
        <v/>
      </c>
      <c r="Q610" t="str">
        <f>IF(M610="","",IF(M610="[FÓRMULA MANUAL]","",IFERROR(SUMPRODUCT((DATOS!$A$2:$A$20000=M610)*(DATOS!$G$2:$G$20000=CONFIG_METADATA!$B$4)*(COUNTIF(CONFIG_ASIGNATURAS!$B$7:$B$27,DATOS!$I$2:$I$20000)&gt;0)*(DATOS!$K$2:$K$20000))/SUMPRODUCT((DATOS!$A$2:$A$20000=M610)*(DATOS!$G$2:$G$20000=CONFIG_METADATA!$B$4)*(COUNTIF(CONFIG_ASIGNATURAS!$B$7:$B$27,DATOS!$I$2:$I$20000)&gt;0)*1),"")))</f>
        <v/>
      </c>
      <c r="T610" t="str">
        <f>IF(S610="","",IF(S610="[FÓRMULA MANUAL]","",IFERROR(AVERAGEIFS(DATOS!$K$2:$K$20000,DATOS!$A$2:$A$20000,S610,DATOS!$G$2:$G$20000,CONFIG_METADATA!$B$4,DATOS!$I$2:$I$20000,"Armonía"),"")))</f>
        <v/>
      </c>
      <c r="U610" t="str">
        <f>IF(S610="","",IF(S610="[FÓRMULA MANUAL]","",IFERROR(AVERAGEIFS(DATOS!$K$2:$K$20000,DATOS!$A$2:$A$20000,S610,DATOS!$G$2:$G$20000,CONFIG_METADATA!$B$4,DATOS!$I$2:$I$20000,"Orquesta/Banda/Conjunto"),"")))</f>
        <v/>
      </c>
      <c r="V610" t="str">
        <f>IF(S610="","",IF(S610="[FÓRMULA MANUAL]","",IFERROR(AVERAGEIFS(DATOS!$K$2:$K$20000,DATOS!$A$2:$A$20000,S610,DATOS!$G$2:$G$20000,CONFIG_METADATA!$B$4,DATOS!$I$2:$I$20000,"Música de Cámara"),"")))</f>
        <v/>
      </c>
      <c r="W610" t="str">
        <f>IF(S610="","",IF(S610="[FÓRMULA MANUAL]","",IFERROR(SUMPRODUCT((DATOS!$A$2:$A$20000=S610)*(DATOS!$G$2:$G$20000=CONFIG_METADATA!$B$4)*(COUNTIF(CONFIG_ASIGNATURAS!$B$7:$B$27,DATOS!$I$2:$I$20000)&gt;0)*(DATOS!$K$2:$K$20000))/SUMPRODUCT((DATOS!$A$2:$A$20000=S610)*(DATOS!$G$2:$G$20000=CONFIG_METADATA!$B$4)*(COUNTIF(CONFIG_ASIGNATURAS!$B$7:$B$27,DATOS!$I$2:$I$20000)&gt;0)*1),"")))</f>
        <v/>
      </c>
      <c r="Z610" t="str">
        <f>IF(Y610="","",IF(Y610="[FÓRMULA MANUAL]","",IFERROR(AVERAGEIFS(DATOS!$K$2:$K$20000,DATOS!$A$2:$A$20000,Y610,DATOS!$G$2:$G$20000,CONFIG_METADATA!$B$4,DATOS!$I$2:$I$20000,"Análisis"),"")))</f>
        <v/>
      </c>
      <c r="AA610" t="str">
        <f>IF(Y610="","",IF(Y610="[FÓRMULA MANUAL]","",IFERROR(AVERAGEIFS(DATOS!$K$2:$K$20000,DATOS!$A$2:$A$20000,Y610,DATOS!$G$2:$G$20000,CONFIG_METADATA!$B$4,DATOS!$I$2:$I$20000,"Orquesta/Banda/Conjunto"),"")))</f>
        <v/>
      </c>
      <c r="AB610" t="str">
        <f>IF(Y610="","",IF(Y610="[FÓRMULA MANUAL]","",IFERROR(AVERAGEIFS(DATOS!$K$2:$K$20000,DATOS!$A$2:$A$20000,Y610,DATOS!$G$2:$G$20000,CONFIG_METADATA!$B$4,DATOS!$I$2:$I$20000,"Música de Cámara"),"")))</f>
        <v/>
      </c>
      <c r="AC610" t="str">
        <f>IF(Y610="","",IF(Y610="[FÓRMULA MANUAL]","",IFERROR(SUMPRODUCT((DATOS!$A$2:$A$20000=Y610)*(DATOS!$G$2:$G$20000=CONFIG_METADATA!$B$4)*(COUNTIF(CONFIG_ASIGNATURAS!$B$7:$B$27,DATOS!$I$2:$I$20000)&gt;0)*(DATOS!$K$2:$K$20000))/SUMPRODUCT((DATOS!$A$2:$A$20000=Y610)*(DATOS!$G$2:$G$20000=CONFIG_METADATA!$B$4)*(COUNTIF(CONFIG_ASIGNATURAS!$B$7:$B$27,DATOS!$I$2:$I$20000)&gt;0)*1),"")))</f>
        <v/>
      </c>
      <c r="AF610" t="str">
        <f>IF(AE610="","",IF(AE610="[FÓRMULA MANUAL]","",IFERROR(AVERAGEIFS(DATOS!$K$2:$K$20000,DATOS!$A$2:$A$20000,AE610,DATOS!$G$2:$G$20000,CONFIG_METADATA!$B$4,DATOS!$I$2:$I$20000,"Análisis"),"")))</f>
        <v/>
      </c>
      <c r="AG610" t="str">
        <f>IF(AE610="","",IF(AE610="[FÓRMULA MANUAL]","",IFERROR(AVERAGEIFS(DATOS!$K$2:$K$20000,DATOS!$A$2:$A$20000,AE610,DATOS!$G$2:$G$20000,CONFIG_METADATA!$B$4,DATOS!$I$2:$I$20000,"Orquesta/Banda/Conjunto"),"")))</f>
        <v/>
      </c>
      <c r="AH610" t="str">
        <f>IF(AE610="","",IF(AE610="[FÓRMULA MANUAL]","",IFERROR(AVERAGEIFS(DATOS!$K$2:$K$20000,DATOS!$A$2:$A$20000,AE610,DATOS!$G$2:$G$20000,CONFIG_METADATA!$B$4,DATOS!$I$2:$I$20000,"Música de Cámara"),"")))</f>
        <v/>
      </c>
      <c r="AI610" t="str">
        <f>IF(AE610="","",IF(AE610="[FÓRMULA MANUAL]","",IFERROR(SUMPRODUCT((DATOS!$A$2:$A$20000=AE610)*(DATOS!$G$2:$G$20000=CONFIG_METADATA!$B$4)*(COUNTIF(CONFIG_ASIGNATURAS!$B$7:$B$27,DATOS!$I$2:$I$20000)&gt;0)*(DATOS!$K$2:$K$20000))/SUMPRODUCT((DATOS!$A$2:$A$20000=AE610)*(DATOS!$G$2:$G$20000=CONFIG_METADATA!$B$4)*(COUNTIF(CONFIG_ASIGNATURAS!$B$7:$B$27,DATOS!$I$2:$I$20000)&gt;0)*1),"")))</f>
        <v/>
      </c>
    </row>
    <row r="611" spans="2:35" x14ac:dyDescent="0.2">
      <c r="B611" t="str">
        <f>IF(A611="","",IF(A611="[FÓRMULA MANUAL]","",IFERROR(AVERAGEIFS(DATOS!$K$2:$K$20000,DATOS!$A$2:$A$20000,A611,DATOS!$G$2:$G$20000,CONFIG_METADATA!$B$4,DATOS!$I$2:$I$20000,"Lenguaje Musical"),"")))</f>
        <v/>
      </c>
      <c r="C611" t="str">
        <f>IF(A611="","",IF(A611="[FÓRMULA MANUAL]","",IFERROR(AVERAGEIFS(DATOS!$K$2:$K$20000,DATOS!$A$2:$A$20000,A611,DATOS!$G$2:$G$20000,CONFIG_METADATA!$B$4,DATOS!$I$2:$I$20000,"Orquesta/Banda/Conjunto"),"")))</f>
        <v/>
      </c>
      <c r="D611" t="str">
        <f>IF(A611="","",IF(A611="[FÓRMULA MANUAL]","",IFERROR(AVERAGEIFS(DATOS!$K$2:$K$20000,DATOS!$A$2:$A$20000,A611,DATOS!$G$2:$G$20000,CONFIG_METADATA!$B$4,DATOS!$I$2:$I$20000,"Conjunto"),"")))</f>
        <v/>
      </c>
      <c r="E611" t="str">
        <f>IF(A611="","",IF(A611="[FÓRMULA MANUAL]","",IFERROR(SUMPRODUCT((DATOS!$A$2:$A$20000=A611)*(DATOS!$G$2:$G$20000=CONFIG_METADATA!$B$4)*(COUNTIF(CONFIG_ASIGNATURAS!$B$7:$B$27,DATOS!$I$2:$I$20000)&gt;0)*(DATOS!$K$2:$K$20000))/SUMPRODUCT((DATOS!$A$2:$A$20000=A611)*(DATOS!$G$2:$G$20000=CONFIG_METADATA!$B$4)*(COUNTIF(CONFIG_ASIGNATURAS!$B$7:$B$27,DATOS!$I$2:$I$20000)&gt;0)*1),"")))</f>
        <v/>
      </c>
      <c r="H611" t="str">
        <f>IF(G611="","",IF(G611="[FÓRMULA MANUAL]","",IFERROR(AVERAGEIFS(DATOS!$K$2:$K$20000,DATOS!$A$2:$A$20000,G611,DATOS!$G$2:$G$20000,CONFIG_METADATA!$B$4,DATOS!$I$2:$I$20000,"Lenguaje Musical"),"")))</f>
        <v/>
      </c>
      <c r="I611" t="str">
        <f>IF(G611="","",IF(G611="[FÓRMULA MANUAL]","",IFERROR(AVERAGEIFS(DATOS!$K$2:$K$20000,DATOS!$A$2:$A$20000,G611,DATOS!$G$2:$G$20000,CONFIG_METADATA!$B$4,DATOS!$I$2:$I$20000,"Orquesta/Banda/Conjunto"),"")))</f>
        <v/>
      </c>
      <c r="J611" t="str">
        <f>IF(G611="","",IF(G611="[FÓRMULA MANUAL]","",IFERROR(AVERAGEIFS(DATOS!$K$2:$K$20000,DATOS!$A$2:$A$20000,G611,DATOS!$G$2:$G$20000,CONFIG_METADATA!$B$4,DATOS!$I$2:$I$20000,"Conjunto"),"")))</f>
        <v/>
      </c>
      <c r="K611" t="str">
        <f>IF(G611="","",IF(G611="[FÓRMULA MANUAL]","",IFERROR(SUMPRODUCT((DATOS!$A$2:$A$20000=G611)*(DATOS!$G$2:$G$20000=CONFIG_METADATA!$B$4)*(COUNTIF(CONFIG_ASIGNATURAS!$B$7:$B$27,DATOS!$I$2:$I$20000)&gt;0)*(DATOS!$K$2:$K$20000))/SUMPRODUCT((DATOS!$A$2:$A$20000=G611)*(DATOS!$G$2:$G$20000=CONFIG_METADATA!$B$4)*(COUNTIF(CONFIG_ASIGNATURAS!$B$7:$B$27,DATOS!$I$2:$I$20000)&gt;0)*1),"")))</f>
        <v/>
      </c>
      <c r="N611" t="str">
        <f>IF(M611="","",IF(M611="[FÓRMULA MANUAL]","",IFERROR(AVERAGEIFS(DATOS!$K$2:$K$20000,DATOS!$A$2:$A$20000,M611,DATOS!$G$2:$G$20000,CONFIG_METADATA!$B$4,DATOS!$I$2:$I$20000,"Armonía"),"")))</f>
        <v/>
      </c>
      <c r="O611" t="str">
        <f>IF(M611="","",IF(M611="[FÓRMULA MANUAL]","",IFERROR(AVERAGEIFS(DATOS!$K$2:$K$20000,DATOS!$A$2:$A$20000,M611,DATOS!$G$2:$G$20000,CONFIG_METADATA!$B$4,DATOS!$I$2:$I$20000,"Orquesta/Banda/Conjunto"),"")))</f>
        <v/>
      </c>
      <c r="P611" t="str">
        <f>IF(M611="","",IF(M611="[FÓRMULA MANUAL]","",IFERROR(AVERAGEIFS(DATOS!$K$2:$K$20000,DATOS!$A$2:$A$20000,M611,DATOS!$G$2:$G$20000,CONFIG_METADATA!$B$4,DATOS!$I$2:$I$20000,"Música de Cámara"),"")))</f>
        <v/>
      </c>
      <c r="Q611" t="str">
        <f>IF(M611="","",IF(M611="[FÓRMULA MANUAL]","",IFERROR(SUMPRODUCT((DATOS!$A$2:$A$20000=M611)*(DATOS!$G$2:$G$20000=CONFIG_METADATA!$B$4)*(COUNTIF(CONFIG_ASIGNATURAS!$B$7:$B$27,DATOS!$I$2:$I$20000)&gt;0)*(DATOS!$K$2:$K$20000))/SUMPRODUCT((DATOS!$A$2:$A$20000=M611)*(DATOS!$G$2:$G$20000=CONFIG_METADATA!$B$4)*(COUNTIF(CONFIG_ASIGNATURAS!$B$7:$B$27,DATOS!$I$2:$I$20000)&gt;0)*1),"")))</f>
        <v/>
      </c>
      <c r="T611" t="str">
        <f>IF(S611="","",IF(S611="[FÓRMULA MANUAL]","",IFERROR(AVERAGEIFS(DATOS!$K$2:$K$20000,DATOS!$A$2:$A$20000,S611,DATOS!$G$2:$G$20000,CONFIG_METADATA!$B$4,DATOS!$I$2:$I$20000,"Armonía"),"")))</f>
        <v/>
      </c>
      <c r="U611" t="str">
        <f>IF(S611="","",IF(S611="[FÓRMULA MANUAL]","",IFERROR(AVERAGEIFS(DATOS!$K$2:$K$20000,DATOS!$A$2:$A$20000,S611,DATOS!$G$2:$G$20000,CONFIG_METADATA!$B$4,DATOS!$I$2:$I$20000,"Orquesta/Banda/Conjunto"),"")))</f>
        <v/>
      </c>
      <c r="V611" t="str">
        <f>IF(S611="","",IF(S611="[FÓRMULA MANUAL]","",IFERROR(AVERAGEIFS(DATOS!$K$2:$K$20000,DATOS!$A$2:$A$20000,S611,DATOS!$G$2:$G$20000,CONFIG_METADATA!$B$4,DATOS!$I$2:$I$20000,"Música de Cámara"),"")))</f>
        <v/>
      </c>
      <c r="W611" t="str">
        <f>IF(S611="","",IF(S611="[FÓRMULA MANUAL]","",IFERROR(SUMPRODUCT((DATOS!$A$2:$A$20000=S611)*(DATOS!$G$2:$G$20000=CONFIG_METADATA!$B$4)*(COUNTIF(CONFIG_ASIGNATURAS!$B$7:$B$27,DATOS!$I$2:$I$20000)&gt;0)*(DATOS!$K$2:$K$20000))/SUMPRODUCT((DATOS!$A$2:$A$20000=S611)*(DATOS!$G$2:$G$20000=CONFIG_METADATA!$B$4)*(COUNTIF(CONFIG_ASIGNATURAS!$B$7:$B$27,DATOS!$I$2:$I$20000)&gt;0)*1),"")))</f>
        <v/>
      </c>
      <c r="Z611" t="str">
        <f>IF(Y611="","",IF(Y611="[FÓRMULA MANUAL]","",IFERROR(AVERAGEIFS(DATOS!$K$2:$K$20000,DATOS!$A$2:$A$20000,Y611,DATOS!$G$2:$G$20000,CONFIG_METADATA!$B$4,DATOS!$I$2:$I$20000,"Análisis"),"")))</f>
        <v/>
      </c>
      <c r="AA611" t="str">
        <f>IF(Y611="","",IF(Y611="[FÓRMULA MANUAL]","",IFERROR(AVERAGEIFS(DATOS!$K$2:$K$20000,DATOS!$A$2:$A$20000,Y611,DATOS!$G$2:$G$20000,CONFIG_METADATA!$B$4,DATOS!$I$2:$I$20000,"Orquesta/Banda/Conjunto"),"")))</f>
        <v/>
      </c>
      <c r="AB611" t="str">
        <f>IF(Y611="","",IF(Y611="[FÓRMULA MANUAL]","",IFERROR(AVERAGEIFS(DATOS!$K$2:$K$20000,DATOS!$A$2:$A$20000,Y611,DATOS!$G$2:$G$20000,CONFIG_METADATA!$B$4,DATOS!$I$2:$I$20000,"Música de Cámara"),"")))</f>
        <v/>
      </c>
      <c r="AC611" t="str">
        <f>IF(Y611="","",IF(Y611="[FÓRMULA MANUAL]","",IFERROR(SUMPRODUCT((DATOS!$A$2:$A$20000=Y611)*(DATOS!$G$2:$G$20000=CONFIG_METADATA!$B$4)*(COUNTIF(CONFIG_ASIGNATURAS!$B$7:$B$27,DATOS!$I$2:$I$20000)&gt;0)*(DATOS!$K$2:$K$20000))/SUMPRODUCT((DATOS!$A$2:$A$20000=Y611)*(DATOS!$G$2:$G$20000=CONFIG_METADATA!$B$4)*(COUNTIF(CONFIG_ASIGNATURAS!$B$7:$B$27,DATOS!$I$2:$I$20000)&gt;0)*1),"")))</f>
        <v/>
      </c>
      <c r="AF611" t="str">
        <f>IF(AE611="","",IF(AE611="[FÓRMULA MANUAL]","",IFERROR(AVERAGEIFS(DATOS!$K$2:$K$20000,DATOS!$A$2:$A$20000,AE611,DATOS!$G$2:$G$20000,CONFIG_METADATA!$B$4,DATOS!$I$2:$I$20000,"Análisis"),"")))</f>
        <v/>
      </c>
      <c r="AG611" t="str">
        <f>IF(AE611="","",IF(AE611="[FÓRMULA MANUAL]","",IFERROR(AVERAGEIFS(DATOS!$K$2:$K$20000,DATOS!$A$2:$A$20000,AE611,DATOS!$G$2:$G$20000,CONFIG_METADATA!$B$4,DATOS!$I$2:$I$20000,"Orquesta/Banda/Conjunto"),"")))</f>
        <v/>
      </c>
      <c r="AH611" t="str">
        <f>IF(AE611="","",IF(AE611="[FÓRMULA MANUAL]","",IFERROR(AVERAGEIFS(DATOS!$K$2:$K$20000,DATOS!$A$2:$A$20000,AE611,DATOS!$G$2:$G$20000,CONFIG_METADATA!$B$4,DATOS!$I$2:$I$20000,"Música de Cámara"),"")))</f>
        <v/>
      </c>
      <c r="AI611" t="str">
        <f>IF(AE611="","",IF(AE611="[FÓRMULA MANUAL]","",IFERROR(SUMPRODUCT((DATOS!$A$2:$A$20000=AE611)*(DATOS!$G$2:$G$20000=CONFIG_METADATA!$B$4)*(COUNTIF(CONFIG_ASIGNATURAS!$B$7:$B$27,DATOS!$I$2:$I$20000)&gt;0)*(DATOS!$K$2:$K$20000))/SUMPRODUCT((DATOS!$A$2:$A$20000=AE611)*(DATOS!$G$2:$G$20000=CONFIG_METADATA!$B$4)*(COUNTIF(CONFIG_ASIGNATURAS!$B$7:$B$27,DATOS!$I$2:$I$20000)&gt;0)*1),"")))</f>
        <v/>
      </c>
    </row>
    <row r="612" spans="2:35" x14ac:dyDescent="0.2">
      <c r="B612" t="str">
        <f>IF(A612="","",IF(A612="[FÓRMULA MANUAL]","",IFERROR(AVERAGEIFS(DATOS!$K$2:$K$20000,DATOS!$A$2:$A$20000,A612,DATOS!$G$2:$G$20000,CONFIG_METADATA!$B$4,DATOS!$I$2:$I$20000,"Lenguaje Musical"),"")))</f>
        <v/>
      </c>
      <c r="C612" t="str">
        <f>IF(A612="","",IF(A612="[FÓRMULA MANUAL]","",IFERROR(AVERAGEIFS(DATOS!$K$2:$K$20000,DATOS!$A$2:$A$20000,A612,DATOS!$G$2:$G$20000,CONFIG_METADATA!$B$4,DATOS!$I$2:$I$20000,"Orquesta/Banda/Conjunto"),"")))</f>
        <v/>
      </c>
      <c r="D612" t="str">
        <f>IF(A612="","",IF(A612="[FÓRMULA MANUAL]","",IFERROR(AVERAGEIFS(DATOS!$K$2:$K$20000,DATOS!$A$2:$A$20000,A612,DATOS!$G$2:$G$20000,CONFIG_METADATA!$B$4,DATOS!$I$2:$I$20000,"Conjunto"),"")))</f>
        <v/>
      </c>
      <c r="E612" t="str">
        <f>IF(A612="","",IF(A612="[FÓRMULA MANUAL]","",IFERROR(SUMPRODUCT((DATOS!$A$2:$A$20000=A612)*(DATOS!$G$2:$G$20000=CONFIG_METADATA!$B$4)*(COUNTIF(CONFIG_ASIGNATURAS!$B$7:$B$27,DATOS!$I$2:$I$20000)&gt;0)*(DATOS!$K$2:$K$20000))/SUMPRODUCT((DATOS!$A$2:$A$20000=A612)*(DATOS!$G$2:$G$20000=CONFIG_METADATA!$B$4)*(COUNTIF(CONFIG_ASIGNATURAS!$B$7:$B$27,DATOS!$I$2:$I$20000)&gt;0)*1),"")))</f>
        <v/>
      </c>
      <c r="H612" t="str">
        <f>IF(G612="","",IF(G612="[FÓRMULA MANUAL]","",IFERROR(AVERAGEIFS(DATOS!$K$2:$K$20000,DATOS!$A$2:$A$20000,G612,DATOS!$G$2:$G$20000,CONFIG_METADATA!$B$4,DATOS!$I$2:$I$20000,"Lenguaje Musical"),"")))</f>
        <v/>
      </c>
      <c r="I612" t="str">
        <f>IF(G612="","",IF(G612="[FÓRMULA MANUAL]","",IFERROR(AVERAGEIFS(DATOS!$K$2:$K$20000,DATOS!$A$2:$A$20000,G612,DATOS!$G$2:$G$20000,CONFIG_METADATA!$B$4,DATOS!$I$2:$I$20000,"Orquesta/Banda/Conjunto"),"")))</f>
        <v/>
      </c>
      <c r="J612" t="str">
        <f>IF(G612="","",IF(G612="[FÓRMULA MANUAL]","",IFERROR(AVERAGEIFS(DATOS!$K$2:$K$20000,DATOS!$A$2:$A$20000,G612,DATOS!$G$2:$G$20000,CONFIG_METADATA!$B$4,DATOS!$I$2:$I$20000,"Conjunto"),"")))</f>
        <v/>
      </c>
      <c r="K612" t="str">
        <f>IF(G612="","",IF(G612="[FÓRMULA MANUAL]","",IFERROR(SUMPRODUCT((DATOS!$A$2:$A$20000=G612)*(DATOS!$G$2:$G$20000=CONFIG_METADATA!$B$4)*(COUNTIF(CONFIG_ASIGNATURAS!$B$7:$B$27,DATOS!$I$2:$I$20000)&gt;0)*(DATOS!$K$2:$K$20000))/SUMPRODUCT((DATOS!$A$2:$A$20000=G612)*(DATOS!$G$2:$G$20000=CONFIG_METADATA!$B$4)*(COUNTIF(CONFIG_ASIGNATURAS!$B$7:$B$27,DATOS!$I$2:$I$20000)&gt;0)*1),"")))</f>
        <v/>
      </c>
      <c r="N612" t="str">
        <f>IF(M612="","",IF(M612="[FÓRMULA MANUAL]","",IFERROR(AVERAGEIFS(DATOS!$K$2:$K$20000,DATOS!$A$2:$A$20000,M612,DATOS!$G$2:$G$20000,CONFIG_METADATA!$B$4,DATOS!$I$2:$I$20000,"Armonía"),"")))</f>
        <v/>
      </c>
      <c r="O612" t="str">
        <f>IF(M612="","",IF(M612="[FÓRMULA MANUAL]","",IFERROR(AVERAGEIFS(DATOS!$K$2:$K$20000,DATOS!$A$2:$A$20000,M612,DATOS!$G$2:$G$20000,CONFIG_METADATA!$B$4,DATOS!$I$2:$I$20000,"Orquesta/Banda/Conjunto"),"")))</f>
        <v/>
      </c>
      <c r="P612" t="str">
        <f>IF(M612="","",IF(M612="[FÓRMULA MANUAL]","",IFERROR(AVERAGEIFS(DATOS!$K$2:$K$20000,DATOS!$A$2:$A$20000,M612,DATOS!$G$2:$G$20000,CONFIG_METADATA!$B$4,DATOS!$I$2:$I$20000,"Música de Cámara"),"")))</f>
        <v/>
      </c>
      <c r="Q612" t="str">
        <f>IF(M612="","",IF(M612="[FÓRMULA MANUAL]","",IFERROR(SUMPRODUCT((DATOS!$A$2:$A$20000=M612)*(DATOS!$G$2:$G$20000=CONFIG_METADATA!$B$4)*(COUNTIF(CONFIG_ASIGNATURAS!$B$7:$B$27,DATOS!$I$2:$I$20000)&gt;0)*(DATOS!$K$2:$K$20000))/SUMPRODUCT((DATOS!$A$2:$A$20000=M612)*(DATOS!$G$2:$G$20000=CONFIG_METADATA!$B$4)*(COUNTIF(CONFIG_ASIGNATURAS!$B$7:$B$27,DATOS!$I$2:$I$20000)&gt;0)*1),"")))</f>
        <v/>
      </c>
      <c r="T612" t="str">
        <f>IF(S612="","",IF(S612="[FÓRMULA MANUAL]","",IFERROR(AVERAGEIFS(DATOS!$K$2:$K$20000,DATOS!$A$2:$A$20000,S612,DATOS!$G$2:$G$20000,CONFIG_METADATA!$B$4,DATOS!$I$2:$I$20000,"Armonía"),"")))</f>
        <v/>
      </c>
      <c r="U612" t="str">
        <f>IF(S612="","",IF(S612="[FÓRMULA MANUAL]","",IFERROR(AVERAGEIFS(DATOS!$K$2:$K$20000,DATOS!$A$2:$A$20000,S612,DATOS!$G$2:$G$20000,CONFIG_METADATA!$B$4,DATOS!$I$2:$I$20000,"Orquesta/Banda/Conjunto"),"")))</f>
        <v/>
      </c>
      <c r="V612" t="str">
        <f>IF(S612="","",IF(S612="[FÓRMULA MANUAL]","",IFERROR(AVERAGEIFS(DATOS!$K$2:$K$20000,DATOS!$A$2:$A$20000,S612,DATOS!$G$2:$G$20000,CONFIG_METADATA!$B$4,DATOS!$I$2:$I$20000,"Música de Cámara"),"")))</f>
        <v/>
      </c>
      <c r="W612" t="str">
        <f>IF(S612="","",IF(S612="[FÓRMULA MANUAL]","",IFERROR(SUMPRODUCT((DATOS!$A$2:$A$20000=S612)*(DATOS!$G$2:$G$20000=CONFIG_METADATA!$B$4)*(COUNTIF(CONFIG_ASIGNATURAS!$B$7:$B$27,DATOS!$I$2:$I$20000)&gt;0)*(DATOS!$K$2:$K$20000))/SUMPRODUCT((DATOS!$A$2:$A$20000=S612)*(DATOS!$G$2:$G$20000=CONFIG_METADATA!$B$4)*(COUNTIF(CONFIG_ASIGNATURAS!$B$7:$B$27,DATOS!$I$2:$I$20000)&gt;0)*1),"")))</f>
        <v/>
      </c>
      <c r="Z612" t="str">
        <f>IF(Y612="","",IF(Y612="[FÓRMULA MANUAL]","",IFERROR(AVERAGEIFS(DATOS!$K$2:$K$20000,DATOS!$A$2:$A$20000,Y612,DATOS!$G$2:$G$20000,CONFIG_METADATA!$B$4,DATOS!$I$2:$I$20000,"Análisis"),"")))</f>
        <v/>
      </c>
      <c r="AA612" t="str">
        <f>IF(Y612="","",IF(Y612="[FÓRMULA MANUAL]","",IFERROR(AVERAGEIFS(DATOS!$K$2:$K$20000,DATOS!$A$2:$A$20000,Y612,DATOS!$G$2:$G$20000,CONFIG_METADATA!$B$4,DATOS!$I$2:$I$20000,"Orquesta/Banda/Conjunto"),"")))</f>
        <v/>
      </c>
      <c r="AB612" t="str">
        <f>IF(Y612="","",IF(Y612="[FÓRMULA MANUAL]","",IFERROR(AVERAGEIFS(DATOS!$K$2:$K$20000,DATOS!$A$2:$A$20000,Y612,DATOS!$G$2:$G$20000,CONFIG_METADATA!$B$4,DATOS!$I$2:$I$20000,"Música de Cámara"),"")))</f>
        <v/>
      </c>
      <c r="AC612" t="str">
        <f>IF(Y612="","",IF(Y612="[FÓRMULA MANUAL]","",IFERROR(SUMPRODUCT((DATOS!$A$2:$A$20000=Y612)*(DATOS!$G$2:$G$20000=CONFIG_METADATA!$B$4)*(COUNTIF(CONFIG_ASIGNATURAS!$B$7:$B$27,DATOS!$I$2:$I$20000)&gt;0)*(DATOS!$K$2:$K$20000))/SUMPRODUCT((DATOS!$A$2:$A$20000=Y612)*(DATOS!$G$2:$G$20000=CONFIG_METADATA!$B$4)*(COUNTIF(CONFIG_ASIGNATURAS!$B$7:$B$27,DATOS!$I$2:$I$20000)&gt;0)*1),"")))</f>
        <v/>
      </c>
      <c r="AF612" t="str">
        <f>IF(AE612="","",IF(AE612="[FÓRMULA MANUAL]","",IFERROR(AVERAGEIFS(DATOS!$K$2:$K$20000,DATOS!$A$2:$A$20000,AE612,DATOS!$G$2:$G$20000,CONFIG_METADATA!$B$4,DATOS!$I$2:$I$20000,"Análisis"),"")))</f>
        <v/>
      </c>
      <c r="AG612" t="str">
        <f>IF(AE612="","",IF(AE612="[FÓRMULA MANUAL]","",IFERROR(AVERAGEIFS(DATOS!$K$2:$K$20000,DATOS!$A$2:$A$20000,AE612,DATOS!$G$2:$G$20000,CONFIG_METADATA!$B$4,DATOS!$I$2:$I$20000,"Orquesta/Banda/Conjunto"),"")))</f>
        <v/>
      </c>
      <c r="AH612" t="str">
        <f>IF(AE612="","",IF(AE612="[FÓRMULA MANUAL]","",IFERROR(AVERAGEIFS(DATOS!$K$2:$K$20000,DATOS!$A$2:$A$20000,AE612,DATOS!$G$2:$G$20000,CONFIG_METADATA!$B$4,DATOS!$I$2:$I$20000,"Música de Cámara"),"")))</f>
        <v/>
      </c>
      <c r="AI612" t="str">
        <f>IF(AE612="","",IF(AE612="[FÓRMULA MANUAL]","",IFERROR(SUMPRODUCT((DATOS!$A$2:$A$20000=AE612)*(DATOS!$G$2:$G$20000=CONFIG_METADATA!$B$4)*(COUNTIF(CONFIG_ASIGNATURAS!$B$7:$B$27,DATOS!$I$2:$I$20000)&gt;0)*(DATOS!$K$2:$K$20000))/SUMPRODUCT((DATOS!$A$2:$A$20000=AE612)*(DATOS!$G$2:$G$20000=CONFIG_METADATA!$B$4)*(COUNTIF(CONFIG_ASIGNATURAS!$B$7:$B$27,DATOS!$I$2:$I$20000)&gt;0)*1),"")))</f>
        <v/>
      </c>
    </row>
    <row r="613" spans="2:35" x14ac:dyDescent="0.2">
      <c r="B613" t="str">
        <f>IF(A613="","",IF(A613="[FÓRMULA MANUAL]","",IFERROR(AVERAGEIFS(DATOS!$K$2:$K$20000,DATOS!$A$2:$A$20000,A613,DATOS!$G$2:$G$20000,CONFIG_METADATA!$B$4,DATOS!$I$2:$I$20000,"Lenguaje Musical"),"")))</f>
        <v/>
      </c>
      <c r="C613" t="str">
        <f>IF(A613="","",IF(A613="[FÓRMULA MANUAL]","",IFERROR(AVERAGEIFS(DATOS!$K$2:$K$20000,DATOS!$A$2:$A$20000,A613,DATOS!$G$2:$G$20000,CONFIG_METADATA!$B$4,DATOS!$I$2:$I$20000,"Orquesta/Banda/Conjunto"),"")))</f>
        <v/>
      </c>
      <c r="D613" t="str">
        <f>IF(A613="","",IF(A613="[FÓRMULA MANUAL]","",IFERROR(AVERAGEIFS(DATOS!$K$2:$K$20000,DATOS!$A$2:$A$20000,A613,DATOS!$G$2:$G$20000,CONFIG_METADATA!$B$4,DATOS!$I$2:$I$20000,"Conjunto"),"")))</f>
        <v/>
      </c>
      <c r="E613" t="str">
        <f>IF(A613="","",IF(A613="[FÓRMULA MANUAL]","",IFERROR(SUMPRODUCT((DATOS!$A$2:$A$20000=A613)*(DATOS!$G$2:$G$20000=CONFIG_METADATA!$B$4)*(COUNTIF(CONFIG_ASIGNATURAS!$B$7:$B$27,DATOS!$I$2:$I$20000)&gt;0)*(DATOS!$K$2:$K$20000))/SUMPRODUCT((DATOS!$A$2:$A$20000=A613)*(DATOS!$G$2:$G$20000=CONFIG_METADATA!$B$4)*(COUNTIF(CONFIG_ASIGNATURAS!$B$7:$B$27,DATOS!$I$2:$I$20000)&gt;0)*1),"")))</f>
        <v/>
      </c>
      <c r="H613" t="str">
        <f>IF(G613="","",IF(G613="[FÓRMULA MANUAL]","",IFERROR(AVERAGEIFS(DATOS!$K$2:$K$20000,DATOS!$A$2:$A$20000,G613,DATOS!$G$2:$G$20000,CONFIG_METADATA!$B$4,DATOS!$I$2:$I$20000,"Lenguaje Musical"),"")))</f>
        <v/>
      </c>
      <c r="I613" t="str">
        <f>IF(G613="","",IF(G613="[FÓRMULA MANUAL]","",IFERROR(AVERAGEIFS(DATOS!$K$2:$K$20000,DATOS!$A$2:$A$20000,G613,DATOS!$G$2:$G$20000,CONFIG_METADATA!$B$4,DATOS!$I$2:$I$20000,"Orquesta/Banda/Conjunto"),"")))</f>
        <v/>
      </c>
      <c r="J613" t="str">
        <f>IF(G613="","",IF(G613="[FÓRMULA MANUAL]","",IFERROR(AVERAGEIFS(DATOS!$K$2:$K$20000,DATOS!$A$2:$A$20000,G613,DATOS!$G$2:$G$20000,CONFIG_METADATA!$B$4,DATOS!$I$2:$I$20000,"Conjunto"),"")))</f>
        <v/>
      </c>
      <c r="K613" t="str">
        <f>IF(G613="","",IF(G613="[FÓRMULA MANUAL]","",IFERROR(SUMPRODUCT((DATOS!$A$2:$A$20000=G613)*(DATOS!$G$2:$G$20000=CONFIG_METADATA!$B$4)*(COUNTIF(CONFIG_ASIGNATURAS!$B$7:$B$27,DATOS!$I$2:$I$20000)&gt;0)*(DATOS!$K$2:$K$20000))/SUMPRODUCT((DATOS!$A$2:$A$20000=G613)*(DATOS!$G$2:$G$20000=CONFIG_METADATA!$B$4)*(COUNTIF(CONFIG_ASIGNATURAS!$B$7:$B$27,DATOS!$I$2:$I$20000)&gt;0)*1),"")))</f>
        <v/>
      </c>
      <c r="N613" t="str">
        <f>IF(M613="","",IF(M613="[FÓRMULA MANUAL]","",IFERROR(AVERAGEIFS(DATOS!$K$2:$K$20000,DATOS!$A$2:$A$20000,M613,DATOS!$G$2:$G$20000,CONFIG_METADATA!$B$4,DATOS!$I$2:$I$20000,"Armonía"),"")))</f>
        <v/>
      </c>
      <c r="O613" t="str">
        <f>IF(M613="","",IF(M613="[FÓRMULA MANUAL]","",IFERROR(AVERAGEIFS(DATOS!$K$2:$K$20000,DATOS!$A$2:$A$20000,M613,DATOS!$G$2:$G$20000,CONFIG_METADATA!$B$4,DATOS!$I$2:$I$20000,"Orquesta/Banda/Conjunto"),"")))</f>
        <v/>
      </c>
      <c r="P613" t="str">
        <f>IF(M613="","",IF(M613="[FÓRMULA MANUAL]","",IFERROR(AVERAGEIFS(DATOS!$K$2:$K$20000,DATOS!$A$2:$A$20000,M613,DATOS!$G$2:$G$20000,CONFIG_METADATA!$B$4,DATOS!$I$2:$I$20000,"Música de Cámara"),"")))</f>
        <v/>
      </c>
      <c r="Q613" t="str">
        <f>IF(M613="","",IF(M613="[FÓRMULA MANUAL]","",IFERROR(SUMPRODUCT((DATOS!$A$2:$A$20000=M613)*(DATOS!$G$2:$G$20000=CONFIG_METADATA!$B$4)*(COUNTIF(CONFIG_ASIGNATURAS!$B$7:$B$27,DATOS!$I$2:$I$20000)&gt;0)*(DATOS!$K$2:$K$20000))/SUMPRODUCT((DATOS!$A$2:$A$20000=M613)*(DATOS!$G$2:$G$20000=CONFIG_METADATA!$B$4)*(COUNTIF(CONFIG_ASIGNATURAS!$B$7:$B$27,DATOS!$I$2:$I$20000)&gt;0)*1),"")))</f>
        <v/>
      </c>
      <c r="T613" t="str">
        <f>IF(S613="","",IF(S613="[FÓRMULA MANUAL]","",IFERROR(AVERAGEIFS(DATOS!$K$2:$K$20000,DATOS!$A$2:$A$20000,S613,DATOS!$G$2:$G$20000,CONFIG_METADATA!$B$4,DATOS!$I$2:$I$20000,"Armonía"),"")))</f>
        <v/>
      </c>
      <c r="U613" t="str">
        <f>IF(S613="","",IF(S613="[FÓRMULA MANUAL]","",IFERROR(AVERAGEIFS(DATOS!$K$2:$K$20000,DATOS!$A$2:$A$20000,S613,DATOS!$G$2:$G$20000,CONFIG_METADATA!$B$4,DATOS!$I$2:$I$20000,"Orquesta/Banda/Conjunto"),"")))</f>
        <v/>
      </c>
      <c r="V613" t="str">
        <f>IF(S613="","",IF(S613="[FÓRMULA MANUAL]","",IFERROR(AVERAGEIFS(DATOS!$K$2:$K$20000,DATOS!$A$2:$A$20000,S613,DATOS!$G$2:$G$20000,CONFIG_METADATA!$B$4,DATOS!$I$2:$I$20000,"Música de Cámara"),"")))</f>
        <v/>
      </c>
      <c r="W613" t="str">
        <f>IF(S613="","",IF(S613="[FÓRMULA MANUAL]","",IFERROR(SUMPRODUCT((DATOS!$A$2:$A$20000=S613)*(DATOS!$G$2:$G$20000=CONFIG_METADATA!$B$4)*(COUNTIF(CONFIG_ASIGNATURAS!$B$7:$B$27,DATOS!$I$2:$I$20000)&gt;0)*(DATOS!$K$2:$K$20000))/SUMPRODUCT((DATOS!$A$2:$A$20000=S613)*(DATOS!$G$2:$G$20000=CONFIG_METADATA!$B$4)*(COUNTIF(CONFIG_ASIGNATURAS!$B$7:$B$27,DATOS!$I$2:$I$20000)&gt;0)*1),"")))</f>
        <v/>
      </c>
      <c r="Z613" t="str">
        <f>IF(Y613="","",IF(Y613="[FÓRMULA MANUAL]","",IFERROR(AVERAGEIFS(DATOS!$K$2:$K$20000,DATOS!$A$2:$A$20000,Y613,DATOS!$G$2:$G$20000,CONFIG_METADATA!$B$4,DATOS!$I$2:$I$20000,"Análisis"),"")))</f>
        <v/>
      </c>
      <c r="AA613" t="str">
        <f>IF(Y613="","",IF(Y613="[FÓRMULA MANUAL]","",IFERROR(AVERAGEIFS(DATOS!$K$2:$K$20000,DATOS!$A$2:$A$20000,Y613,DATOS!$G$2:$G$20000,CONFIG_METADATA!$B$4,DATOS!$I$2:$I$20000,"Orquesta/Banda/Conjunto"),"")))</f>
        <v/>
      </c>
      <c r="AB613" t="str">
        <f>IF(Y613="","",IF(Y613="[FÓRMULA MANUAL]","",IFERROR(AVERAGEIFS(DATOS!$K$2:$K$20000,DATOS!$A$2:$A$20000,Y613,DATOS!$G$2:$G$20000,CONFIG_METADATA!$B$4,DATOS!$I$2:$I$20000,"Música de Cámara"),"")))</f>
        <v/>
      </c>
      <c r="AC613" t="str">
        <f>IF(Y613="","",IF(Y613="[FÓRMULA MANUAL]","",IFERROR(SUMPRODUCT((DATOS!$A$2:$A$20000=Y613)*(DATOS!$G$2:$G$20000=CONFIG_METADATA!$B$4)*(COUNTIF(CONFIG_ASIGNATURAS!$B$7:$B$27,DATOS!$I$2:$I$20000)&gt;0)*(DATOS!$K$2:$K$20000))/SUMPRODUCT((DATOS!$A$2:$A$20000=Y613)*(DATOS!$G$2:$G$20000=CONFIG_METADATA!$B$4)*(COUNTIF(CONFIG_ASIGNATURAS!$B$7:$B$27,DATOS!$I$2:$I$20000)&gt;0)*1),"")))</f>
        <v/>
      </c>
      <c r="AF613" t="str">
        <f>IF(AE613="","",IF(AE613="[FÓRMULA MANUAL]","",IFERROR(AVERAGEIFS(DATOS!$K$2:$K$20000,DATOS!$A$2:$A$20000,AE613,DATOS!$G$2:$G$20000,CONFIG_METADATA!$B$4,DATOS!$I$2:$I$20000,"Análisis"),"")))</f>
        <v/>
      </c>
      <c r="AG613" t="str">
        <f>IF(AE613="","",IF(AE613="[FÓRMULA MANUAL]","",IFERROR(AVERAGEIFS(DATOS!$K$2:$K$20000,DATOS!$A$2:$A$20000,AE613,DATOS!$G$2:$G$20000,CONFIG_METADATA!$B$4,DATOS!$I$2:$I$20000,"Orquesta/Banda/Conjunto"),"")))</f>
        <v/>
      </c>
      <c r="AH613" t="str">
        <f>IF(AE613="","",IF(AE613="[FÓRMULA MANUAL]","",IFERROR(AVERAGEIFS(DATOS!$K$2:$K$20000,DATOS!$A$2:$A$20000,AE613,DATOS!$G$2:$G$20000,CONFIG_METADATA!$B$4,DATOS!$I$2:$I$20000,"Música de Cámara"),"")))</f>
        <v/>
      </c>
      <c r="AI613" t="str">
        <f>IF(AE613="","",IF(AE613="[FÓRMULA MANUAL]","",IFERROR(SUMPRODUCT((DATOS!$A$2:$A$20000=AE613)*(DATOS!$G$2:$G$20000=CONFIG_METADATA!$B$4)*(COUNTIF(CONFIG_ASIGNATURAS!$B$7:$B$27,DATOS!$I$2:$I$20000)&gt;0)*(DATOS!$K$2:$K$20000))/SUMPRODUCT((DATOS!$A$2:$A$20000=AE613)*(DATOS!$G$2:$G$20000=CONFIG_METADATA!$B$4)*(COUNTIF(CONFIG_ASIGNATURAS!$B$7:$B$27,DATOS!$I$2:$I$20000)&gt;0)*1),"")))</f>
        <v/>
      </c>
    </row>
    <row r="614" spans="2:35" x14ac:dyDescent="0.2">
      <c r="B614" t="str">
        <f>IF(A614="","",IF(A614="[FÓRMULA MANUAL]","",IFERROR(AVERAGEIFS(DATOS!$K$2:$K$20000,DATOS!$A$2:$A$20000,A614,DATOS!$G$2:$G$20000,CONFIG_METADATA!$B$4,DATOS!$I$2:$I$20000,"Lenguaje Musical"),"")))</f>
        <v/>
      </c>
      <c r="C614" t="str">
        <f>IF(A614="","",IF(A614="[FÓRMULA MANUAL]","",IFERROR(AVERAGEIFS(DATOS!$K$2:$K$20000,DATOS!$A$2:$A$20000,A614,DATOS!$G$2:$G$20000,CONFIG_METADATA!$B$4,DATOS!$I$2:$I$20000,"Orquesta/Banda/Conjunto"),"")))</f>
        <v/>
      </c>
      <c r="D614" t="str">
        <f>IF(A614="","",IF(A614="[FÓRMULA MANUAL]","",IFERROR(AVERAGEIFS(DATOS!$K$2:$K$20000,DATOS!$A$2:$A$20000,A614,DATOS!$G$2:$G$20000,CONFIG_METADATA!$B$4,DATOS!$I$2:$I$20000,"Conjunto"),"")))</f>
        <v/>
      </c>
      <c r="E614" t="str">
        <f>IF(A614="","",IF(A614="[FÓRMULA MANUAL]","",IFERROR(SUMPRODUCT((DATOS!$A$2:$A$20000=A614)*(DATOS!$G$2:$G$20000=CONFIG_METADATA!$B$4)*(COUNTIF(CONFIG_ASIGNATURAS!$B$7:$B$27,DATOS!$I$2:$I$20000)&gt;0)*(DATOS!$K$2:$K$20000))/SUMPRODUCT((DATOS!$A$2:$A$20000=A614)*(DATOS!$G$2:$G$20000=CONFIG_METADATA!$B$4)*(COUNTIF(CONFIG_ASIGNATURAS!$B$7:$B$27,DATOS!$I$2:$I$20000)&gt;0)*1),"")))</f>
        <v/>
      </c>
      <c r="H614" t="str">
        <f>IF(G614="","",IF(G614="[FÓRMULA MANUAL]","",IFERROR(AVERAGEIFS(DATOS!$K$2:$K$20000,DATOS!$A$2:$A$20000,G614,DATOS!$G$2:$G$20000,CONFIG_METADATA!$B$4,DATOS!$I$2:$I$20000,"Lenguaje Musical"),"")))</f>
        <v/>
      </c>
      <c r="I614" t="str">
        <f>IF(G614="","",IF(G614="[FÓRMULA MANUAL]","",IFERROR(AVERAGEIFS(DATOS!$K$2:$K$20000,DATOS!$A$2:$A$20000,G614,DATOS!$G$2:$G$20000,CONFIG_METADATA!$B$4,DATOS!$I$2:$I$20000,"Orquesta/Banda/Conjunto"),"")))</f>
        <v/>
      </c>
      <c r="J614" t="str">
        <f>IF(G614="","",IF(G614="[FÓRMULA MANUAL]","",IFERROR(AVERAGEIFS(DATOS!$K$2:$K$20000,DATOS!$A$2:$A$20000,G614,DATOS!$G$2:$G$20000,CONFIG_METADATA!$B$4,DATOS!$I$2:$I$20000,"Conjunto"),"")))</f>
        <v/>
      </c>
      <c r="K614" t="str">
        <f>IF(G614="","",IF(G614="[FÓRMULA MANUAL]","",IFERROR(SUMPRODUCT((DATOS!$A$2:$A$20000=G614)*(DATOS!$G$2:$G$20000=CONFIG_METADATA!$B$4)*(COUNTIF(CONFIG_ASIGNATURAS!$B$7:$B$27,DATOS!$I$2:$I$20000)&gt;0)*(DATOS!$K$2:$K$20000))/SUMPRODUCT((DATOS!$A$2:$A$20000=G614)*(DATOS!$G$2:$G$20000=CONFIG_METADATA!$B$4)*(COUNTIF(CONFIG_ASIGNATURAS!$B$7:$B$27,DATOS!$I$2:$I$20000)&gt;0)*1),"")))</f>
        <v/>
      </c>
      <c r="N614" t="str">
        <f>IF(M614="","",IF(M614="[FÓRMULA MANUAL]","",IFERROR(AVERAGEIFS(DATOS!$K$2:$K$20000,DATOS!$A$2:$A$20000,M614,DATOS!$G$2:$G$20000,CONFIG_METADATA!$B$4,DATOS!$I$2:$I$20000,"Armonía"),"")))</f>
        <v/>
      </c>
      <c r="O614" t="str">
        <f>IF(M614="","",IF(M614="[FÓRMULA MANUAL]","",IFERROR(AVERAGEIFS(DATOS!$K$2:$K$20000,DATOS!$A$2:$A$20000,M614,DATOS!$G$2:$G$20000,CONFIG_METADATA!$B$4,DATOS!$I$2:$I$20000,"Orquesta/Banda/Conjunto"),"")))</f>
        <v/>
      </c>
      <c r="P614" t="str">
        <f>IF(M614="","",IF(M614="[FÓRMULA MANUAL]","",IFERROR(AVERAGEIFS(DATOS!$K$2:$K$20000,DATOS!$A$2:$A$20000,M614,DATOS!$G$2:$G$20000,CONFIG_METADATA!$B$4,DATOS!$I$2:$I$20000,"Música de Cámara"),"")))</f>
        <v/>
      </c>
      <c r="Q614" t="str">
        <f>IF(M614="","",IF(M614="[FÓRMULA MANUAL]","",IFERROR(SUMPRODUCT((DATOS!$A$2:$A$20000=M614)*(DATOS!$G$2:$G$20000=CONFIG_METADATA!$B$4)*(COUNTIF(CONFIG_ASIGNATURAS!$B$7:$B$27,DATOS!$I$2:$I$20000)&gt;0)*(DATOS!$K$2:$K$20000))/SUMPRODUCT((DATOS!$A$2:$A$20000=M614)*(DATOS!$G$2:$G$20000=CONFIG_METADATA!$B$4)*(COUNTIF(CONFIG_ASIGNATURAS!$B$7:$B$27,DATOS!$I$2:$I$20000)&gt;0)*1),"")))</f>
        <v/>
      </c>
      <c r="T614" t="str">
        <f>IF(S614="","",IF(S614="[FÓRMULA MANUAL]","",IFERROR(AVERAGEIFS(DATOS!$K$2:$K$20000,DATOS!$A$2:$A$20000,S614,DATOS!$G$2:$G$20000,CONFIG_METADATA!$B$4,DATOS!$I$2:$I$20000,"Armonía"),"")))</f>
        <v/>
      </c>
      <c r="U614" t="str">
        <f>IF(S614="","",IF(S614="[FÓRMULA MANUAL]","",IFERROR(AVERAGEIFS(DATOS!$K$2:$K$20000,DATOS!$A$2:$A$20000,S614,DATOS!$G$2:$G$20000,CONFIG_METADATA!$B$4,DATOS!$I$2:$I$20000,"Orquesta/Banda/Conjunto"),"")))</f>
        <v/>
      </c>
      <c r="V614" t="str">
        <f>IF(S614="","",IF(S614="[FÓRMULA MANUAL]","",IFERROR(AVERAGEIFS(DATOS!$K$2:$K$20000,DATOS!$A$2:$A$20000,S614,DATOS!$G$2:$G$20000,CONFIG_METADATA!$B$4,DATOS!$I$2:$I$20000,"Música de Cámara"),"")))</f>
        <v/>
      </c>
      <c r="W614" t="str">
        <f>IF(S614="","",IF(S614="[FÓRMULA MANUAL]","",IFERROR(SUMPRODUCT((DATOS!$A$2:$A$20000=S614)*(DATOS!$G$2:$G$20000=CONFIG_METADATA!$B$4)*(COUNTIF(CONFIG_ASIGNATURAS!$B$7:$B$27,DATOS!$I$2:$I$20000)&gt;0)*(DATOS!$K$2:$K$20000))/SUMPRODUCT((DATOS!$A$2:$A$20000=S614)*(DATOS!$G$2:$G$20000=CONFIG_METADATA!$B$4)*(COUNTIF(CONFIG_ASIGNATURAS!$B$7:$B$27,DATOS!$I$2:$I$20000)&gt;0)*1),"")))</f>
        <v/>
      </c>
      <c r="Z614" t="str">
        <f>IF(Y614="","",IF(Y614="[FÓRMULA MANUAL]","",IFERROR(AVERAGEIFS(DATOS!$K$2:$K$20000,DATOS!$A$2:$A$20000,Y614,DATOS!$G$2:$G$20000,CONFIG_METADATA!$B$4,DATOS!$I$2:$I$20000,"Análisis"),"")))</f>
        <v/>
      </c>
      <c r="AA614" t="str">
        <f>IF(Y614="","",IF(Y614="[FÓRMULA MANUAL]","",IFERROR(AVERAGEIFS(DATOS!$K$2:$K$20000,DATOS!$A$2:$A$20000,Y614,DATOS!$G$2:$G$20000,CONFIG_METADATA!$B$4,DATOS!$I$2:$I$20000,"Orquesta/Banda/Conjunto"),"")))</f>
        <v/>
      </c>
      <c r="AB614" t="str">
        <f>IF(Y614="","",IF(Y614="[FÓRMULA MANUAL]","",IFERROR(AVERAGEIFS(DATOS!$K$2:$K$20000,DATOS!$A$2:$A$20000,Y614,DATOS!$G$2:$G$20000,CONFIG_METADATA!$B$4,DATOS!$I$2:$I$20000,"Música de Cámara"),"")))</f>
        <v/>
      </c>
      <c r="AC614" t="str">
        <f>IF(Y614="","",IF(Y614="[FÓRMULA MANUAL]","",IFERROR(SUMPRODUCT((DATOS!$A$2:$A$20000=Y614)*(DATOS!$G$2:$G$20000=CONFIG_METADATA!$B$4)*(COUNTIF(CONFIG_ASIGNATURAS!$B$7:$B$27,DATOS!$I$2:$I$20000)&gt;0)*(DATOS!$K$2:$K$20000))/SUMPRODUCT((DATOS!$A$2:$A$20000=Y614)*(DATOS!$G$2:$G$20000=CONFIG_METADATA!$B$4)*(COUNTIF(CONFIG_ASIGNATURAS!$B$7:$B$27,DATOS!$I$2:$I$20000)&gt;0)*1),"")))</f>
        <v/>
      </c>
      <c r="AF614" t="str">
        <f>IF(AE614="","",IF(AE614="[FÓRMULA MANUAL]","",IFERROR(AVERAGEIFS(DATOS!$K$2:$K$20000,DATOS!$A$2:$A$20000,AE614,DATOS!$G$2:$G$20000,CONFIG_METADATA!$B$4,DATOS!$I$2:$I$20000,"Análisis"),"")))</f>
        <v/>
      </c>
      <c r="AG614" t="str">
        <f>IF(AE614="","",IF(AE614="[FÓRMULA MANUAL]","",IFERROR(AVERAGEIFS(DATOS!$K$2:$K$20000,DATOS!$A$2:$A$20000,AE614,DATOS!$G$2:$G$20000,CONFIG_METADATA!$B$4,DATOS!$I$2:$I$20000,"Orquesta/Banda/Conjunto"),"")))</f>
        <v/>
      </c>
      <c r="AH614" t="str">
        <f>IF(AE614="","",IF(AE614="[FÓRMULA MANUAL]","",IFERROR(AVERAGEIFS(DATOS!$K$2:$K$20000,DATOS!$A$2:$A$20000,AE614,DATOS!$G$2:$G$20000,CONFIG_METADATA!$B$4,DATOS!$I$2:$I$20000,"Música de Cámara"),"")))</f>
        <v/>
      </c>
      <c r="AI614" t="str">
        <f>IF(AE614="","",IF(AE614="[FÓRMULA MANUAL]","",IFERROR(SUMPRODUCT((DATOS!$A$2:$A$20000=AE614)*(DATOS!$G$2:$G$20000=CONFIG_METADATA!$B$4)*(COUNTIF(CONFIG_ASIGNATURAS!$B$7:$B$27,DATOS!$I$2:$I$20000)&gt;0)*(DATOS!$K$2:$K$20000))/SUMPRODUCT((DATOS!$A$2:$A$20000=AE614)*(DATOS!$G$2:$G$20000=CONFIG_METADATA!$B$4)*(COUNTIF(CONFIG_ASIGNATURAS!$B$7:$B$27,DATOS!$I$2:$I$20000)&gt;0)*1),"")))</f>
        <v/>
      </c>
    </row>
    <row r="615" spans="2:35" x14ac:dyDescent="0.2">
      <c r="B615" t="str">
        <f>IF(A615="","",IF(A615="[FÓRMULA MANUAL]","",IFERROR(AVERAGEIFS(DATOS!$K$2:$K$20000,DATOS!$A$2:$A$20000,A615,DATOS!$G$2:$G$20000,CONFIG_METADATA!$B$4,DATOS!$I$2:$I$20000,"Lenguaje Musical"),"")))</f>
        <v/>
      </c>
      <c r="C615" t="str">
        <f>IF(A615="","",IF(A615="[FÓRMULA MANUAL]","",IFERROR(AVERAGEIFS(DATOS!$K$2:$K$20000,DATOS!$A$2:$A$20000,A615,DATOS!$G$2:$G$20000,CONFIG_METADATA!$B$4,DATOS!$I$2:$I$20000,"Orquesta/Banda/Conjunto"),"")))</f>
        <v/>
      </c>
      <c r="D615" t="str">
        <f>IF(A615="","",IF(A615="[FÓRMULA MANUAL]","",IFERROR(AVERAGEIFS(DATOS!$K$2:$K$20000,DATOS!$A$2:$A$20000,A615,DATOS!$G$2:$G$20000,CONFIG_METADATA!$B$4,DATOS!$I$2:$I$20000,"Conjunto"),"")))</f>
        <v/>
      </c>
      <c r="E615" t="str">
        <f>IF(A615="","",IF(A615="[FÓRMULA MANUAL]","",IFERROR(SUMPRODUCT((DATOS!$A$2:$A$20000=A615)*(DATOS!$G$2:$G$20000=CONFIG_METADATA!$B$4)*(COUNTIF(CONFIG_ASIGNATURAS!$B$7:$B$27,DATOS!$I$2:$I$20000)&gt;0)*(DATOS!$K$2:$K$20000))/SUMPRODUCT((DATOS!$A$2:$A$20000=A615)*(DATOS!$G$2:$G$20000=CONFIG_METADATA!$B$4)*(COUNTIF(CONFIG_ASIGNATURAS!$B$7:$B$27,DATOS!$I$2:$I$20000)&gt;0)*1),"")))</f>
        <v/>
      </c>
      <c r="H615" t="str">
        <f>IF(G615="","",IF(G615="[FÓRMULA MANUAL]","",IFERROR(AVERAGEIFS(DATOS!$K$2:$K$20000,DATOS!$A$2:$A$20000,G615,DATOS!$G$2:$G$20000,CONFIG_METADATA!$B$4,DATOS!$I$2:$I$20000,"Lenguaje Musical"),"")))</f>
        <v/>
      </c>
      <c r="I615" t="str">
        <f>IF(G615="","",IF(G615="[FÓRMULA MANUAL]","",IFERROR(AVERAGEIFS(DATOS!$K$2:$K$20000,DATOS!$A$2:$A$20000,G615,DATOS!$G$2:$G$20000,CONFIG_METADATA!$B$4,DATOS!$I$2:$I$20000,"Orquesta/Banda/Conjunto"),"")))</f>
        <v/>
      </c>
      <c r="J615" t="str">
        <f>IF(G615="","",IF(G615="[FÓRMULA MANUAL]","",IFERROR(AVERAGEIFS(DATOS!$K$2:$K$20000,DATOS!$A$2:$A$20000,G615,DATOS!$G$2:$G$20000,CONFIG_METADATA!$B$4,DATOS!$I$2:$I$20000,"Conjunto"),"")))</f>
        <v/>
      </c>
      <c r="K615" t="str">
        <f>IF(G615="","",IF(G615="[FÓRMULA MANUAL]","",IFERROR(SUMPRODUCT((DATOS!$A$2:$A$20000=G615)*(DATOS!$G$2:$G$20000=CONFIG_METADATA!$B$4)*(COUNTIF(CONFIG_ASIGNATURAS!$B$7:$B$27,DATOS!$I$2:$I$20000)&gt;0)*(DATOS!$K$2:$K$20000))/SUMPRODUCT((DATOS!$A$2:$A$20000=G615)*(DATOS!$G$2:$G$20000=CONFIG_METADATA!$B$4)*(COUNTIF(CONFIG_ASIGNATURAS!$B$7:$B$27,DATOS!$I$2:$I$20000)&gt;0)*1),"")))</f>
        <v/>
      </c>
      <c r="N615" t="str">
        <f>IF(M615="","",IF(M615="[FÓRMULA MANUAL]","",IFERROR(AVERAGEIFS(DATOS!$K$2:$K$20000,DATOS!$A$2:$A$20000,M615,DATOS!$G$2:$G$20000,CONFIG_METADATA!$B$4,DATOS!$I$2:$I$20000,"Armonía"),"")))</f>
        <v/>
      </c>
      <c r="O615" t="str">
        <f>IF(M615="","",IF(M615="[FÓRMULA MANUAL]","",IFERROR(AVERAGEIFS(DATOS!$K$2:$K$20000,DATOS!$A$2:$A$20000,M615,DATOS!$G$2:$G$20000,CONFIG_METADATA!$B$4,DATOS!$I$2:$I$20000,"Orquesta/Banda/Conjunto"),"")))</f>
        <v/>
      </c>
      <c r="P615" t="str">
        <f>IF(M615="","",IF(M615="[FÓRMULA MANUAL]","",IFERROR(AVERAGEIFS(DATOS!$K$2:$K$20000,DATOS!$A$2:$A$20000,M615,DATOS!$G$2:$G$20000,CONFIG_METADATA!$B$4,DATOS!$I$2:$I$20000,"Música de Cámara"),"")))</f>
        <v/>
      </c>
      <c r="Q615" t="str">
        <f>IF(M615="","",IF(M615="[FÓRMULA MANUAL]","",IFERROR(SUMPRODUCT((DATOS!$A$2:$A$20000=M615)*(DATOS!$G$2:$G$20000=CONFIG_METADATA!$B$4)*(COUNTIF(CONFIG_ASIGNATURAS!$B$7:$B$27,DATOS!$I$2:$I$20000)&gt;0)*(DATOS!$K$2:$K$20000))/SUMPRODUCT((DATOS!$A$2:$A$20000=M615)*(DATOS!$G$2:$G$20000=CONFIG_METADATA!$B$4)*(COUNTIF(CONFIG_ASIGNATURAS!$B$7:$B$27,DATOS!$I$2:$I$20000)&gt;0)*1),"")))</f>
        <v/>
      </c>
      <c r="T615" t="str">
        <f>IF(S615="","",IF(S615="[FÓRMULA MANUAL]","",IFERROR(AVERAGEIFS(DATOS!$K$2:$K$20000,DATOS!$A$2:$A$20000,S615,DATOS!$G$2:$G$20000,CONFIG_METADATA!$B$4,DATOS!$I$2:$I$20000,"Armonía"),"")))</f>
        <v/>
      </c>
      <c r="U615" t="str">
        <f>IF(S615="","",IF(S615="[FÓRMULA MANUAL]","",IFERROR(AVERAGEIFS(DATOS!$K$2:$K$20000,DATOS!$A$2:$A$20000,S615,DATOS!$G$2:$G$20000,CONFIG_METADATA!$B$4,DATOS!$I$2:$I$20000,"Orquesta/Banda/Conjunto"),"")))</f>
        <v/>
      </c>
      <c r="V615" t="str">
        <f>IF(S615="","",IF(S615="[FÓRMULA MANUAL]","",IFERROR(AVERAGEIFS(DATOS!$K$2:$K$20000,DATOS!$A$2:$A$20000,S615,DATOS!$G$2:$G$20000,CONFIG_METADATA!$B$4,DATOS!$I$2:$I$20000,"Música de Cámara"),"")))</f>
        <v/>
      </c>
      <c r="W615" t="str">
        <f>IF(S615="","",IF(S615="[FÓRMULA MANUAL]","",IFERROR(SUMPRODUCT((DATOS!$A$2:$A$20000=S615)*(DATOS!$G$2:$G$20000=CONFIG_METADATA!$B$4)*(COUNTIF(CONFIG_ASIGNATURAS!$B$7:$B$27,DATOS!$I$2:$I$20000)&gt;0)*(DATOS!$K$2:$K$20000))/SUMPRODUCT((DATOS!$A$2:$A$20000=S615)*(DATOS!$G$2:$G$20000=CONFIG_METADATA!$B$4)*(COUNTIF(CONFIG_ASIGNATURAS!$B$7:$B$27,DATOS!$I$2:$I$20000)&gt;0)*1),"")))</f>
        <v/>
      </c>
      <c r="Z615" t="str">
        <f>IF(Y615="","",IF(Y615="[FÓRMULA MANUAL]","",IFERROR(AVERAGEIFS(DATOS!$K$2:$K$20000,DATOS!$A$2:$A$20000,Y615,DATOS!$G$2:$G$20000,CONFIG_METADATA!$B$4,DATOS!$I$2:$I$20000,"Análisis"),"")))</f>
        <v/>
      </c>
      <c r="AA615" t="str">
        <f>IF(Y615="","",IF(Y615="[FÓRMULA MANUAL]","",IFERROR(AVERAGEIFS(DATOS!$K$2:$K$20000,DATOS!$A$2:$A$20000,Y615,DATOS!$G$2:$G$20000,CONFIG_METADATA!$B$4,DATOS!$I$2:$I$20000,"Orquesta/Banda/Conjunto"),"")))</f>
        <v/>
      </c>
      <c r="AB615" t="str">
        <f>IF(Y615="","",IF(Y615="[FÓRMULA MANUAL]","",IFERROR(AVERAGEIFS(DATOS!$K$2:$K$20000,DATOS!$A$2:$A$20000,Y615,DATOS!$G$2:$G$20000,CONFIG_METADATA!$B$4,DATOS!$I$2:$I$20000,"Música de Cámara"),"")))</f>
        <v/>
      </c>
      <c r="AC615" t="str">
        <f>IF(Y615="","",IF(Y615="[FÓRMULA MANUAL]","",IFERROR(SUMPRODUCT((DATOS!$A$2:$A$20000=Y615)*(DATOS!$G$2:$G$20000=CONFIG_METADATA!$B$4)*(COUNTIF(CONFIG_ASIGNATURAS!$B$7:$B$27,DATOS!$I$2:$I$20000)&gt;0)*(DATOS!$K$2:$K$20000))/SUMPRODUCT((DATOS!$A$2:$A$20000=Y615)*(DATOS!$G$2:$G$20000=CONFIG_METADATA!$B$4)*(COUNTIF(CONFIG_ASIGNATURAS!$B$7:$B$27,DATOS!$I$2:$I$20000)&gt;0)*1),"")))</f>
        <v/>
      </c>
      <c r="AF615" t="str">
        <f>IF(AE615="","",IF(AE615="[FÓRMULA MANUAL]","",IFERROR(AVERAGEIFS(DATOS!$K$2:$K$20000,DATOS!$A$2:$A$20000,AE615,DATOS!$G$2:$G$20000,CONFIG_METADATA!$B$4,DATOS!$I$2:$I$20000,"Análisis"),"")))</f>
        <v/>
      </c>
      <c r="AG615" t="str">
        <f>IF(AE615="","",IF(AE615="[FÓRMULA MANUAL]","",IFERROR(AVERAGEIFS(DATOS!$K$2:$K$20000,DATOS!$A$2:$A$20000,AE615,DATOS!$G$2:$G$20000,CONFIG_METADATA!$B$4,DATOS!$I$2:$I$20000,"Orquesta/Banda/Conjunto"),"")))</f>
        <v/>
      </c>
      <c r="AH615" t="str">
        <f>IF(AE615="","",IF(AE615="[FÓRMULA MANUAL]","",IFERROR(AVERAGEIFS(DATOS!$K$2:$K$20000,DATOS!$A$2:$A$20000,AE615,DATOS!$G$2:$G$20000,CONFIG_METADATA!$B$4,DATOS!$I$2:$I$20000,"Música de Cámara"),"")))</f>
        <v/>
      </c>
      <c r="AI615" t="str">
        <f>IF(AE615="","",IF(AE615="[FÓRMULA MANUAL]","",IFERROR(SUMPRODUCT((DATOS!$A$2:$A$20000=AE615)*(DATOS!$G$2:$G$20000=CONFIG_METADATA!$B$4)*(COUNTIF(CONFIG_ASIGNATURAS!$B$7:$B$27,DATOS!$I$2:$I$20000)&gt;0)*(DATOS!$K$2:$K$20000))/SUMPRODUCT((DATOS!$A$2:$A$20000=AE615)*(DATOS!$G$2:$G$20000=CONFIG_METADATA!$B$4)*(COUNTIF(CONFIG_ASIGNATURAS!$B$7:$B$27,DATOS!$I$2:$I$20000)&gt;0)*1),"")))</f>
        <v/>
      </c>
    </row>
    <row r="616" spans="2:35" x14ac:dyDescent="0.2">
      <c r="B616" t="str">
        <f>IF(A616="","",IF(A616="[FÓRMULA MANUAL]","",IFERROR(AVERAGEIFS(DATOS!$K$2:$K$20000,DATOS!$A$2:$A$20000,A616,DATOS!$G$2:$G$20000,CONFIG_METADATA!$B$4,DATOS!$I$2:$I$20000,"Lenguaje Musical"),"")))</f>
        <v/>
      </c>
      <c r="C616" t="str">
        <f>IF(A616="","",IF(A616="[FÓRMULA MANUAL]","",IFERROR(AVERAGEIFS(DATOS!$K$2:$K$20000,DATOS!$A$2:$A$20000,A616,DATOS!$G$2:$G$20000,CONFIG_METADATA!$B$4,DATOS!$I$2:$I$20000,"Orquesta/Banda/Conjunto"),"")))</f>
        <v/>
      </c>
      <c r="D616" t="str">
        <f>IF(A616="","",IF(A616="[FÓRMULA MANUAL]","",IFERROR(AVERAGEIFS(DATOS!$K$2:$K$20000,DATOS!$A$2:$A$20000,A616,DATOS!$G$2:$G$20000,CONFIG_METADATA!$B$4,DATOS!$I$2:$I$20000,"Conjunto"),"")))</f>
        <v/>
      </c>
      <c r="E616" t="str">
        <f>IF(A616="","",IF(A616="[FÓRMULA MANUAL]","",IFERROR(SUMPRODUCT((DATOS!$A$2:$A$20000=A616)*(DATOS!$G$2:$G$20000=CONFIG_METADATA!$B$4)*(COUNTIF(CONFIG_ASIGNATURAS!$B$7:$B$27,DATOS!$I$2:$I$20000)&gt;0)*(DATOS!$K$2:$K$20000))/SUMPRODUCT((DATOS!$A$2:$A$20000=A616)*(DATOS!$G$2:$G$20000=CONFIG_METADATA!$B$4)*(COUNTIF(CONFIG_ASIGNATURAS!$B$7:$B$27,DATOS!$I$2:$I$20000)&gt;0)*1),"")))</f>
        <v/>
      </c>
      <c r="H616" t="str">
        <f>IF(G616="","",IF(G616="[FÓRMULA MANUAL]","",IFERROR(AVERAGEIFS(DATOS!$K$2:$K$20000,DATOS!$A$2:$A$20000,G616,DATOS!$G$2:$G$20000,CONFIG_METADATA!$B$4,DATOS!$I$2:$I$20000,"Lenguaje Musical"),"")))</f>
        <v/>
      </c>
      <c r="I616" t="str">
        <f>IF(G616="","",IF(G616="[FÓRMULA MANUAL]","",IFERROR(AVERAGEIFS(DATOS!$K$2:$K$20000,DATOS!$A$2:$A$20000,G616,DATOS!$G$2:$G$20000,CONFIG_METADATA!$B$4,DATOS!$I$2:$I$20000,"Orquesta/Banda/Conjunto"),"")))</f>
        <v/>
      </c>
      <c r="J616" t="str">
        <f>IF(G616="","",IF(G616="[FÓRMULA MANUAL]","",IFERROR(AVERAGEIFS(DATOS!$K$2:$K$20000,DATOS!$A$2:$A$20000,G616,DATOS!$G$2:$G$20000,CONFIG_METADATA!$B$4,DATOS!$I$2:$I$20000,"Conjunto"),"")))</f>
        <v/>
      </c>
      <c r="K616" t="str">
        <f>IF(G616="","",IF(G616="[FÓRMULA MANUAL]","",IFERROR(SUMPRODUCT((DATOS!$A$2:$A$20000=G616)*(DATOS!$G$2:$G$20000=CONFIG_METADATA!$B$4)*(COUNTIF(CONFIG_ASIGNATURAS!$B$7:$B$27,DATOS!$I$2:$I$20000)&gt;0)*(DATOS!$K$2:$K$20000))/SUMPRODUCT((DATOS!$A$2:$A$20000=G616)*(DATOS!$G$2:$G$20000=CONFIG_METADATA!$B$4)*(COUNTIF(CONFIG_ASIGNATURAS!$B$7:$B$27,DATOS!$I$2:$I$20000)&gt;0)*1),"")))</f>
        <v/>
      </c>
      <c r="N616" t="str">
        <f>IF(M616="","",IF(M616="[FÓRMULA MANUAL]","",IFERROR(AVERAGEIFS(DATOS!$K$2:$K$20000,DATOS!$A$2:$A$20000,M616,DATOS!$G$2:$G$20000,CONFIG_METADATA!$B$4,DATOS!$I$2:$I$20000,"Armonía"),"")))</f>
        <v/>
      </c>
      <c r="O616" t="str">
        <f>IF(M616="","",IF(M616="[FÓRMULA MANUAL]","",IFERROR(AVERAGEIFS(DATOS!$K$2:$K$20000,DATOS!$A$2:$A$20000,M616,DATOS!$G$2:$G$20000,CONFIG_METADATA!$B$4,DATOS!$I$2:$I$20000,"Orquesta/Banda/Conjunto"),"")))</f>
        <v/>
      </c>
      <c r="P616" t="str">
        <f>IF(M616="","",IF(M616="[FÓRMULA MANUAL]","",IFERROR(AVERAGEIFS(DATOS!$K$2:$K$20000,DATOS!$A$2:$A$20000,M616,DATOS!$G$2:$G$20000,CONFIG_METADATA!$B$4,DATOS!$I$2:$I$20000,"Música de Cámara"),"")))</f>
        <v/>
      </c>
      <c r="Q616" t="str">
        <f>IF(M616="","",IF(M616="[FÓRMULA MANUAL]","",IFERROR(SUMPRODUCT((DATOS!$A$2:$A$20000=M616)*(DATOS!$G$2:$G$20000=CONFIG_METADATA!$B$4)*(COUNTIF(CONFIG_ASIGNATURAS!$B$7:$B$27,DATOS!$I$2:$I$20000)&gt;0)*(DATOS!$K$2:$K$20000))/SUMPRODUCT((DATOS!$A$2:$A$20000=M616)*(DATOS!$G$2:$G$20000=CONFIG_METADATA!$B$4)*(COUNTIF(CONFIG_ASIGNATURAS!$B$7:$B$27,DATOS!$I$2:$I$20000)&gt;0)*1),"")))</f>
        <v/>
      </c>
      <c r="T616" t="str">
        <f>IF(S616="","",IF(S616="[FÓRMULA MANUAL]","",IFERROR(AVERAGEIFS(DATOS!$K$2:$K$20000,DATOS!$A$2:$A$20000,S616,DATOS!$G$2:$G$20000,CONFIG_METADATA!$B$4,DATOS!$I$2:$I$20000,"Armonía"),"")))</f>
        <v/>
      </c>
      <c r="U616" t="str">
        <f>IF(S616="","",IF(S616="[FÓRMULA MANUAL]","",IFERROR(AVERAGEIFS(DATOS!$K$2:$K$20000,DATOS!$A$2:$A$20000,S616,DATOS!$G$2:$G$20000,CONFIG_METADATA!$B$4,DATOS!$I$2:$I$20000,"Orquesta/Banda/Conjunto"),"")))</f>
        <v/>
      </c>
      <c r="V616" t="str">
        <f>IF(S616="","",IF(S616="[FÓRMULA MANUAL]","",IFERROR(AVERAGEIFS(DATOS!$K$2:$K$20000,DATOS!$A$2:$A$20000,S616,DATOS!$G$2:$G$20000,CONFIG_METADATA!$B$4,DATOS!$I$2:$I$20000,"Música de Cámara"),"")))</f>
        <v/>
      </c>
      <c r="W616" t="str">
        <f>IF(S616="","",IF(S616="[FÓRMULA MANUAL]","",IFERROR(SUMPRODUCT((DATOS!$A$2:$A$20000=S616)*(DATOS!$G$2:$G$20000=CONFIG_METADATA!$B$4)*(COUNTIF(CONFIG_ASIGNATURAS!$B$7:$B$27,DATOS!$I$2:$I$20000)&gt;0)*(DATOS!$K$2:$K$20000))/SUMPRODUCT((DATOS!$A$2:$A$20000=S616)*(DATOS!$G$2:$G$20000=CONFIG_METADATA!$B$4)*(COUNTIF(CONFIG_ASIGNATURAS!$B$7:$B$27,DATOS!$I$2:$I$20000)&gt;0)*1),"")))</f>
        <v/>
      </c>
      <c r="Z616" t="str">
        <f>IF(Y616="","",IF(Y616="[FÓRMULA MANUAL]","",IFERROR(AVERAGEIFS(DATOS!$K$2:$K$20000,DATOS!$A$2:$A$20000,Y616,DATOS!$G$2:$G$20000,CONFIG_METADATA!$B$4,DATOS!$I$2:$I$20000,"Análisis"),"")))</f>
        <v/>
      </c>
      <c r="AA616" t="str">
        <f>IF(Y616="","",IF(Y616="[FÓRMULA MANUAL]","",IFERROR(AVERAGEIFS(DATOS!$K$2:$K$20000,DATOS!$A$2:$A$20000,Y616,DATOS!$G$2:$G$20000,CONFIG_METADATA!$B$4,DATOS!$I$2:$I$20000,"Orquesta/Banda/Conjunto"),"")))</f>
        <v/>
      </c>
      <c r="AB616" t="str">
        <f>IF(Y616="","",IF(Y616="[FÓRMULA MANUAL]","",IFERROR(AVERAGEIFS(DATOS!$K$2:$K$20000,DATOS!$A$2:$A$20000,Y616,DATOS!$G$2:$G$20000,CONFIG_METADATA!$B$4,DATOS!$I$2:$I$20000,"Música de Cámara"),"")))</f>
        <v/>
      </c>
      <c r="AC616" t="str">
        <f>IF(Y616="","",IF(Y616="[FÓRMULA MANUAL]","",IFERROR(SUMPRODUCT((DATOS!$A$2:$A$20000=Y616)*(DATOS!$G$2:$G$20000=CONFIG_METADATA!$B$4)*(COUNTIF(CONFIG_ASIGNATURAS!$B$7:$B$27,DATOS!$I$2:$I$20000)&gt;0)*(DATOS!$K$2:$K$20000))/SUMPRODUCT((DATOS!$A$2:$A$20000=Y616)*(DATOS!$G$2:$G$20000=CONFIG_METADATA!$B$4)*(COUNTIF(CONFIG_ASIGNATURAS!$B$7:$B$27,DATOS!$I$2:$I$20000)&gt;0)*1),"")))</f>
        <v/>
      </c>
      <c r="AF616" t="str">
        <f>IF(AE616="","",IF(AE616="[FÓRMULA MANUAL]","",IFERROR(AVERAGEIFS(DATOS!$K$2:$K$20000,DATOS!$A$2:$A$20000,AE616,DATOS!$G$2:$G$20000,CONFIG_METADATA!$B$4,DATOS!$I$2:$I$20000,"Análisis"),"")))</f>
        <v/>
      </c>
      <c r="AG616" t="str">
        <f>IF(AE616="","",IF(AE616="[FÓRMULA MANUAL]","",IFERROR(AVERAGEIFS(DATOS!$K$2:$K$20000,DATOS!$A$2:$A$20000,AE616,DATOS!$G$2:$G$20000,CONFIG_METADATA!$B$4,DATOS!$I$2:$I$20000,"Orquesta/Banda/Conjunto"),"")))</f>
        <v/>
      </c>
      <c r="AH616" t="str">
        <f>IF(AE616="","",IF(AE616="[FÓRMULA MANUAL]","",IFERROR(AVERAGEIFS(DATOS!$K$2:$K$20000,DATOS!$A$2:$A$20000,AE616,DATOS!$G$2:$G$20000,CONFIG_METADATA!$B$4,DATOS!$I$2:$I$20000,"Música de Cámara"),"")))</f>
        <v/>
      </c>
      <c r="AI616" t="str">
        <f>IF(AE616="","",IF(AE616="[FÓRMULA MANUAL]","",IFERROR(SUMPRODUCT((DATOS!$A$2:$A$20000=AE616)*(DATOS!$G$2:$G$20000=CONFIG_METADATA!$B$4)*(COUNTIF(CONFIG_ASIGNATURAS!$B$7:$B$27,DATOS!$I$2:$I$20000)&gt;0)*(DATOS!$K$2:$K$20000))/SUMPRODUCT((DATOS!$A$2:$A$20000=AE616)*(DATOS!$G$2:$G$20000=CONFIG_METADATA!$B$4)*(COUNTIF(CONFIG_ASIGNATURAS!$B$7:$B$27,DATOS!$I$2:$I$20000)&gt;0)*1),"")))</f>
        <v/>
      </c>
    </row>
    <row r="617" spans="2:35" x14ac:dyDescent="0.2">
      <c r="B617" t="str">
        <f>IF(A617="","",IF(A617="[FÓRMULA MANUAL]","",IFERROR(AVERAGEIFS(DATOS!$K$2:$K$20000,DATOS!$A$2:$A$20000,A617,DATOS!$G$2:$G$20000,CONFIG_METADATA!$B$4,DATOS!$I$2:$I$20000,"Lenguaje Musical"),"")))</f>
        <v/>
      </c>
      <c r="C617" t="str">
        <f>IF(A617="","",IF(A617="[FÓRMULA MANUAL]","",IFERROR(AVERAGEIFS(DATOS!$K$2:$K$20000,DATOS!$A$2:$A$20000,A617,DATOS!$G$2:$G$20000,CONFIG_METADATA!$B$4,DATOS!$I$2:$I$20000,"Orquesta/Banda/Conjunto"),"")))</f>
        <v/>
      </c>
      <c r="D617" t="str">
        <f>IF(A617="","",IF(A617="[FÓRMULA MANUAL]","",IFERROR(AVERAGEIFS(DATOS!$K$2:$K$20000,DATOS!$A$2:$A$20000,A617,DATOS!$G$2:$G$20000,CONFIG_METADATA!$B$4,DATOS!$I$2:$I$20000,"Conjunto"),"")))</f>
        <v/>
      </c>
      <c r="E617" t="str">
        <f>IF(A617="","",IF(A617="[FÓRMULA MANUAL]","",IFERROR(SUMPRODUCT((DATOS!$A$2:$A$20000=A617)*(DATOS!$G$2:$G$20000=CONFIG_METADATA!$B$4)*(COUNTIF(CONFIG_ASIGNATURAS!$B$7:$B$27,DATOS!$I$2:$I$20000)&gt;0)*(DATOS!$K$2:$K$20000))/SUMPRODUCT((DATOS!$A$2:$A$20000=A617)*(DATOS!$G$2:$G$20000=CONFIG_METADATA!$B$4)*(COUNTIF(CONFIG_ASIGNATURAS!$B$7:$B$27,DATOS!$I$2:$I$20000)&gt;0)*1),"")))</f>
        <v/>
      </c>
      <c r="H617" t="str">
        <f>IF(G617="","",IF(G617="[FÓRMULA MANUAL]","",IFERROR(AVERAGEIFS(DATOS!$K$2:$K$20000,DATOS!$A$2:$A$20000,G617,DATOS!$G$2:$G$20000,CONFIG_METADATA!$B$4,DATOS!$I$2:$I$20000,"Lenguaje Musical"),"")))</f>
        <v/>
      </c>
      <c r="I617" t="str">
        <f>IF(G617="","",IF(G617="[FÓRMULA MANUAL]","",IFERROR(AVERAGEIFS(DATOS!$K$2:$K$20000,DATOS!$A$2:$A$20000,G617,DATOS!$G$2:$G$20000,CONFIG_METADATA!$B$4,DATOS!$I$2:$I$20000,"Orquesta/Banda/Conjunto"),"")))</f>
        <v/>
      </c>
      <c r="J617" t="str">
        <f>IF(G617="","",IF(G617="[FÓRMULA MANUAL]","",IFERROR(AVERAGEIFS(DATOS!$K$2:$K$20000,DATOS!$A$2:$A$20000,G617,DATOS!$G$2:$G$20000,CONFIG_METADATA!$B$4,DATOS!$I$2:$I$20000,"Conjunto"),"")))</f>
        <v/>
      </c>
      <c r="K617" t="str">
        <f>IF(G617="","",IF(G617="[FÓRMULA MANUAL]","",IFERROR(SUMPRODUCT((DATOS!$A$2:$A$20000=G617)*(DATOS!$G$2:$G$20000=CONFIG_METADATA!$B$4)*(COUNTIF(CONFIG_ASIGNATURAS!$B$7:$B$27,DATOS!$I$2:$I$20000)&gt;0)*(DATOS!$K$2:$K$20000))/SUMPRODUCT((DATOS!$A$2:$A$20000=G617)*(DATOS!$G$2:$G$20000=CONFIG_METADATA!$B$4)*(COUNTIF(CONFIG_ASIGNATURAS!$B$7:$B$27,DATOS!$I$2:$I$20000)&gt;0)*1),"")))</f>
        <v/>
      </c>
      <c r="N617" t="str">
        <f>IF(M617="","",IF(M617="[FÓRMULA MANUAL]","",IFERROR(AVERAGEIFS(DATOS!$K$2:$K$20000,DATOS!$A$2:$A$20000,M617,DATOS!$G$2:$G$20000,CONFIG_METADATA!$B$4,DATOS!$I$2:$I$20000,"Armonía"),"")))</f>
        <v/>
      </c>
      <c r="O617" t="str">
        <f>IF(M617="","",IF(M617="[FÓRMULA MANUAL]","",IFERROR(AVERAGEIFS(DATOS!$K$2:$K$20000,DATOS!$A$2:$A$20000,M617,DATOS!$G$2:$G$20000,CONFIG_METADATA!$B$4,DATOS!$I$2:$I$20000,"Orquesta/Banda/Conjunto"),"")))</f>
        <v/>
      </c>
      <c r="P617" t="str">
        <f>IF(M617="","",IF(M617="[FÓRMULA MANUAL]","",IFERROR(AVERAGEIFS(DATOS!$K$2:$K$20000,DATOS!$A$2:$A$20000,M617,DATOS!$G$2:$G$20000,CONFIG_METADATA!$B$4,DATOS!$I$2:$I$20000,"Música de Cámara"),"")))</f>
        <v/>
      </c>
      <c r="Q617" t="str">
        <f>IF(M617="","",IF(M617="[FÓRMULA MANUAL]","",IFERROR(SUMPRODUCT((DATOS!$A$2:$A$20000=M617)*(DATOS!$G$2:$G$20000=CONFIG_METADATA!$B$4)*(COUNTIF(CONFIG_ASIGNATURAS!$B$7:$B$27,DATOS!$I$2:$I$20000)&gt;0)*(DATOS!$K$2:$K$20000))/SUMPRODUCT((DATOS!$A$2:$A$20000=M617)*(DATOS!$G$2:$G$20000=CONFIG_METADATA!$B$4)*(COUNTIF(CONFIG_ASIGNATURAS!$B$7:$B$27,DATOS!$I$2:$I$20000)&gt;0)*1),"")))</f>
        <v/>
      </c>
      <c r="T617" t="str">
        <f>IF(S617="","",IF(S617="[FÓRMULA MANUAL]","",IFERROR(AVERAGEIFS(DATOS!$K$2:$K$20000,DATOS!$A$2:$A$20000,S617,DATOS!$G$2:$G$20000,CONFIG_METADATA!$B$4,DATOS!$I$2:$I$20000,"Armonía"),"")))</f>
        <v/>
      </c>
      <c r="U617" t="str">
        <f>IF(S617="","",IF(S617="[FÓRMULA MANUAL]","",IFERROR(AVERAGEIFS(DATOS!$K$2:$K$20000,DATOS!$A$2:$A$20000,S617,DATOS!$G$2:$G$20000,CONFIG_METADATA!$B$4,DATOS!$I$2:$I$20000,"Orquesta/Banda/Conjunto"),"")))</f>
        <v/>
      </c>
      <c r="V617" t="str">
        <f>IF(S617="","",IF(S617="[FÓRMULA MANUAL]","",IFERROR(AVERAGEIFS(DATOS!$K$2:$K$20000,DATOS!$A$2:$A$20000,S617,DATOS!$G$2:$G$20000,CONFIG_METADATA!$B$4,DATOS!$I$2:$I$20000,"Música de Cámara"),"")))</f>
        <v/>
      </c>
      <c r="W617" t="str">
        <f>IF(S617="","",IF(S617="[FÓRMULA MANUAL]","",IFERROR(SUMPRODUCT((DATOS!$A$2:$A$20000=S617)*(DATOS!$G$2:$G$20000=CONFIG_METADATA!$B$4)*(COUNTIF(CONFIG_ASIGNATURAS!$B$7:$B$27,DATOS!$I$2:$I$20000)&gt;0)*(DATOS!$K$2:$K$20000))/SUMPRODUCT((DATOS!$A$2:$A$20000=S617)*(DATOS!$G$2:$G$20000=CONFIG_METADATA!$B$4)*(COUNTIF(CONFIG_ASIGNATURAS!$B$7:$B$27,DATOS!$I$2:$I$20000)&gt;0)*1),"")))</f>
        <v/>
      </c>
      <c r="Z617" t="str">
        <f>IF(Y617="","",IF(Y617="[FÓRMULA MANUAL]","",IFERROR(AVERAGEIFS(DATOS!$K$2:$K$20000,DATOS!$A$2:$A$20000,Y617,DATOS!$G$2:$G$20000,CONFIG_METADATA!$B$4,DATOS!$I$2:$I$20000,"Análisis"),"")))</f>
        <v/>
      </c>
      <c r="AA617" t="str">
        <f>IF(Y617="","",IF(Y617="[FÓRMULA MANUAL]","",IFERROR(AVERAGEIFS(DATOS!$K$2:$K$20000,DATOS!$A$2:$A$20000,Y617,DATOS!$G$2:$G$20000,CONFIG_METADATA!$B$4,DATOS!$I$2:$I$20000,"Orquesta/Banda/Conjunto"),"")))</f>
        <v/>
      </c>
      <c r="AB617" t="str">
        <f>IF(Y617="","",IF(Y617="[FÓRMULA MANUAL]","",IFERROR(AVERAGEIFS(DATOS!$K$2:$K$20000,DATOS!$A$2:$A$20000,Y617,DATOS!$G$2:$G$20000,CONFIG_METADATA!$B$4,DATOS!$I$2:$I$20000,"Música de Cámara"),"")))</f>
        <v/>
      </c>
      <c r="AC617" t="str">
        <f>IF(Y617="","",IF(Y617="[FÓRMULA MANUAL]","",IFERROR(SUMPRODUCT((DATOS!$A$2:$A$20000=Y617)*(DATOS!$G$2:$G$20000=CONFIG_METADATA!$B$4)*(COUNTIF(CONFIG_ASIGNATURAS!$B$7:$B$27,DATOS!$I$2:$I$20000)&gt;0)*(DATOS!$K$2:$K$20000))/SUMPRODUCT((DATOS!$A$2:$A$20000=Y617)*(DATOS!$G$2:$G$20000=CONFIG_METADATA!$B$4)*(COUNTIF(CONFIG_ASIGNATURAS!$B$7:$B$27,DATOS!$I$2:$I$20000)&gt;0)*1),"")))</f>
        <v/>
      </c>
      <c r="AF617" t="str">
        <f>IF(AE617="","",IF(AE617="[FÓRMULA MANUAL]","",IFERROR(AVERAGEIFS(DATOS!$K$2:$K$20000,DATOS!$A$2:$A$20000,AE617,DATOS!$G$2:$G$20000,CONFIG_METADATA!$B$4,DATOS!$I$2:$I$20000,"Análisis"),"")))</f>
        <v/>
      </c>
      <c r="AG617" t="str">
        <f>IF(AE617="","",IF(AE617="[FÓRMULA MANUAL]","",IFERROR(AVERAGEIFS(DATOS!$K$2:$K$20000,DATOS!$A$2:$A$20000,AE617,DATOS!$G$2:$G$20000,CONFIG_METADATA!$B$4,DATOS!$I$2:$I$20000,"Orquesta/Banda/Conjunto"),"")))</f>
        <v/>
      </c>
      <c r="AH617" t="str">
        <f>IF(AE617="","",IF(AE617="[FÓRMULA MANUAL]","",IFERROR(AVERAGEIFS(DATOS!$K$2:$K$20000,DATOS!$A$2:$A$20000,AE617,DATOS!$G$2:$G$20000,CONFIG_METADATA!$B$4,DATOS!$I$2:$I$20000,"Música de Cámara"),"")))</f>
        <v/>
      </c>
      <c r="AI617" t="str">
        <f>IF(AE617="","",IF(AE617="[FÓRMULA MANUAL]","",IFERROR(SUMPRODUCT((DATOS!$A$2:$A$20000=AE617)*(DATOS!$G$2:$G$20000=CONFIG_METADATA!$B$4)*(COUNTIF(CONFIG_ASIGNATURAS!$B$7:$B$27,DATOS!$I$2:$I$20000)&gt;0)*(DATOS!$K$2:$K$20000))/SUMPRODUCT((DATOS!$A$2:$A$20000=AE617)*(DATOS!$G$2:$G$20000=CONFIG_METADATA!$B$4)*(COUNTIF(CONFIG_ASIGNATURAS!$B$7:$B$27,DATOS!$I$2:$I$20000)&gt;0)*1),"")))</f>
        <v/>
      </c>
    </row>
    <row r="618" spans="2:35" x14ac:dyDescent="0.2">
      <c r="B618" t="str">
        <f>IF(A618="","",IF(A618="[FÓRMULA MANUAL]","",IFERROR(AVERAGEIFS(DATOS!$K$2:$K$20000,DATOS!$A$2:$A$20000,A618,DATOS!$G$2:$G$20000,CONFIG_METADATA!$B$4,DATOS!$I$2:$I$20000,"Lenguaje Musical"),"")))</f>
        <v/>
      </c>
      <c r="C618" t="str">
        <f>IF(A618="","",IF(A618="[FÓRMULA MANUAL]","",IFERROR(AVERAGEIFS(DATOS!$K$2:$K$20000,DATOS!$A$2:$A$20000,A618,DATOS!$G$2:$G$20000,CONFIG_METADATA!$B$4,DATOS!$I$2:$I$20000,"Orquesta/Banda/Conjunto"),"")))</f>
        <v/>
      </c>
      <c r="D618" t="str">
        <f>IF(A618="","",IF(A618="[FÓRMULA MANUAL]","",IFERROR(AVERAGEIFS(DATOS!$K$2:$K$20000,DATOS!$A$2:$A$20000,A618,DATOS!$G$2:$G$20000,CONFIG_METADATA!$B$4,DATOS!$I$2:$I$20000,"Conjunto"),"")))</f>
        <v/>
      </c>
      <c r="E618" t="str">
        <f>IF(A618="","",IF(A618="[FÓRMULA MANUAL]","",IFERROR(SUMPRODUCT((DATOS!$A$2:$A$20000=A618)*(DATOS!$G$2:$G$20000=CONFIG_METADATA!$B$4)*(COUNTIF(CONFIG_ASIGNATURAS!$B$7:$B$27,DATOS!$I$2:$I$20000)&gt;0)*(DATOS!$K$2:$K$20000))/SUMPRODUCT((DATOS!$A$2:$A$20000=A618)*(DATOS!$G$2:$G$20000=CONFIG_METADATA!$B$4)*(COUNTIF(CONFIG_ASIGNATURAS!$B$7:$B$27,DATOS!$I$2:$I$20000)&gt;0)*1),"")))</f>
        <v/>
      </c>
      <c r="H618" t="str">
        <f>IF(G618="","",IF(G618="[FÓRMULA MANUAL]","",IFERROR(AVERAGEIFS(DATOS!$K$2:$K$20000,DATOS!$A$2:$A$20000,G618,DATOS!$G$2:$G$20000,CONFIG_METADATA!$B$4,DATOS!$I$2:$I$20000,"Lenguaje Musical"),"")))</f>
        <v/>
      </c>
      <c r="I618" t="str">
        <f>IF(G618="","",IF(G618="[FÓRMULA MANUAL]","",IFERROR(AVERAGEIFS(DATOS!$K$2:$K$20000,DATOS!$A$2:$A$20000,G618,DATOS!$G$2:$G$20000,CONFIG_METADATA!$B$4,DATOS!$I$2:$I$20000,"Orquesta/Banda/Conjunto"),"")))</f>
        <v/>
      </c>
      <c r="J618" t="str">
        <f>IF(G618="","",IF(G618="[FÓRMULA MANUAL]","",IFERROR(AVERAGEIFS(DATOS!$K$2:$K$20000,DATOS!$A$2:$A$20000,G618,DATOS!$G$2:$G$20000,CONFIG_METADATA!$B$4,DATOS!$I$2:$I$20000,"Conjunto"),"")))</f>
        <v/>
      </c>
      <c r="K618" t="str">
        <f>IF(G618="","",IF(G618="[FÓRMULA MANUAL]","",IFERROR(SUMPRODUCT((DATOS!$A$2:$A$20000=G618)*(DATOS!$G$2:$G$20000=CONFIG_METADATA!$B$4)*(COUNTIF(CONFIG_ASIGNATURAS!$B$7:$B$27,DATOS!$I$2:$I$20000)&gt;0)*(DATOS!$K$2:$K$20000))/SUMPRODUCT((DATOS!$A$2:$A$20000=G618)*(DATOS!$G$2:$G$20000=CONFIG_METADATA!$B$4)*(COUNTIF(CONFIG_ASIGNATURAS!$B$7:$B$27,DATOS!$I$2:$I$20000)&gt;0)*1),"")))</f>
        <v/>
      </c>
      <c r="N618" t="str">
        <f>IF(M618="","",IF(M618="[FÓRMULA MANUAL]","",IFERROR(AVERAGEIFS(DATOS!$K$2:$K$20000,DATOS!$A$2:$A$20000,M618,DATOS!$G$2:$G$20000,CONFIG_METADATA!$B$4,DATOS!$I$2:$I$20000,"Armonía"),"")))</f>
        <v/>
      </c>
      <c r="O618" t="str">
        <f>IF(M618="","",IF(M618="[FÓRMULA MANUAL]","",IFERROR(AVERAGEIFS(DATOS!$K$2:$K$20000,DATOS!$A$2:$A$20000,M618,DATOS!$G$2:$G$20000,CONFIG_METADATA!$B$4,DATOS!$I$2:$I$20000,"Orquesta/Banda/Conjunto"),"")))</f>
        <v/>
      </c>
      <c r="P618" t="str">
        <f>IF(M618="","",IF(M618="[FÓRMULA MANUAL]","",IFERROR(AVERAGEIFS(DATOS!$K$2:$K$20000,DATOS!$A$2:$A$20000,M618,DATOS!$G$2:$G$20000,CONFIG_METADATA!$B$4,DATOS!$I$2:$I$20000,"Música de Cámara"),"")))</f>
        <v/>
      </c>
      <c r="Q618" t="str">
        <f>IF(M618="","",IF(M618="[FÓRMULA MANUAL]","",IFERROR(SUMPRODUCT((DATOS!$A$2:$A$20000=M618)*(DATOS!$G$2:$G$20000=CONFIG_METADATA!$B$4)*(COUNTIF(CONFIG_ASIGNATURAS!$B$7:$B$27,DATOS!$I$2:$I$20000)&gt;0)*(DATOS!$K$2:$K$20000))/SUMPRODUCT((DATOS!$A$2:$A$20000=M618)*(DATOS!$G$2:$G$20000=CONFIG_METADATA!$B$4)*(COUNTIF(CONFIG_ASIGNATURAS!$B$7:$B$27,DATOS!$I$2:$I$20000)&gt;0)*1),"")))</f>
        <v/>
      </c>
      <c r="T618" t="str">
        <f>IF(S618="","",IF(S618="[FÓRMULA MANUAL]","",IFERROR(AVERAGEIFS(DATOS!$K$2:$K$20000,DATOS!$A$2:$A$20000,S618,DATOS!$G$2:$G$20000,CONFIG_METADATA!$B$4,DATOS!$I$2:$I$20000,"Armonía"),"")))</f>
        <v/>
      </c>
      <c r="U618" t="str">
        <f>IF(S618="","",IF(S618="[FÓRMULA MANUAL]","",IFERROR(AVERAGEIFS(DATOS!$K$2:$K$20000,DATOS!$A$2:$A$20000,S618,DATOS!$G$2:$G$20000,CONFIG_METADATA!$B$4,DATOS!$I$2:$I$20000,"Orquesta/Banda/Conjunto"),"")))</f>
        <v/>
      </c>
      <c r="V618" t="str">
        <f>IF(S618="","",IF(S618="[FÓRMULA MANUAL]","",IFERROR(AVERAGEIFS(DATOS!$K$2:$K$20000,DATOS!$A$2:$A$20000,S618,DATOS!$G$2:$G$20000,CONFIG_METADATA!$B$4,DATOS!$I$2:$I$20000,"Música de Cámara"),"")))</f>
        <v/>
      </c>
      <c r="W618" t="str">
        <f>IF(S618="","",IF(S618="[FÓRMULA MANUAL]","",IFERROR(SUMPRODUCT((DATOS!$A$2:$A$20000=S618)*(DATOS!$G$2:$G$20000=CONFIG_METADATA!$B$4)*(COUNTIF(CONFIG_ASIGNATURAS!$B$7:$B$27,DATOS!$I$2:$I$20000)&gt;0)*(DATOS!$K$2:$K$20000))/SUMPRODUCT((DATOS!$A$2:$A$20000=S618)*(DATOS!$G$2:$G$20000=CONFIG_METADATA!$B$4)*(COUNTIF(CONFIG_ASIGNATURAS!$B$7:$B$27,DATOS!$I$2:$I$20000)&gt;0)*1),"")))</f>
        <v/>
      </c>
      <c r="Z618" t="str">
        <f>IF(Y618="","",IF(Y618="[FÓRMULA MANUAL]","",IFERROR(AVERAGEIFS(DATOS!$K$2:$K$20000,DATOS!$A$2:$A$20000,Y618,DATOS!$G$2:$G$20000,CONFIG_METADATA!$B$4,DATOS!$I$2:$I$20000,"Análisis"),"")))</f>
        <v/>
      </c>
      <c r="AA618" t="str">
        <f>IF(Y618="","",IF(Y618="[FÓRMULA MANUAL]","",IFERROR(AVERAGEIFS(DATOS!$K$2:$K$20000,DATOS!$A$2:$A$20000,Y618,DATOS!$G$2:$G$20000,CONFIG_METADATA!$B$4,DATOS!$I$2:$I$20000,"Orquesta/Banda/Conjunto"),"")))</f>
        <v/>
      </c>
      <c r="AB618" t="str">
        <f>IF(Y618="","",IF(Y618="[FÓRMULA MANUAL]","",IFERROR(AVERAGEIFS(DATOS!$K$2:$K$20000,DATOS!$A$2:$A$20000,Y618,DATOS!$G$2:$G$20000,CONFIG_METADATA!$B$4,DATOS!$I$2:$I$20000,"Música de Cámara"),"")))</f>
        <v/>
      </c>
      <c r="AC618" t="str">
        <f>IF(Y618="","",IF(Y618="[FÓRMULA MANUAL]","",IFERROR(SUMPRODUCT((DATOS!$A$2:$A$20000=Y618)*(DATOS!$G$2:$G$20000=CONFIG_METADATA!$B$4)*(COUNTIF(CONFIG_ASIGNATURAS!$B$7:$B$27,DATOS!$I$2:$I$20000)&gt;0)*(DATOS!$K$2:$K$20000))/SUMPRODUCT((DATOS!$A$2:$A$20000=Y618)*(DATOS!$G$2:$G$20000=CONFIG_METADATA!$B$4)*(COUNTIF(CONFIG_ASIGNATURAS!$B$7:$B$27,DATOS!$I$2:$I$20000)&gt;0)*1),"")))</f>
        <v/>
      </c>
      <c r="AF618" t="str">
        <f>IF(AE618="","",IF(AE618="[FÓRMULA MANUAL]","",IFERROR(AVERAGEIFS(DATOS!$K$2:$K$20000,DATOS!$A$2:$A$20000,AE618,DATOS!$G$2:$G$20000,CONFIG_METADATA!$B$4,DATOS!$I$2:$I$20000,"Análisis"),"")))</f>
        <v/>
      </c>
      <c r="AG618" t="str">
        <f>IF(AE618="","",IF(AE618="[FÓRMULA MANUAL]","",IFERROR(AVERAGEIFS(DATOS!$K$2:$K$20000,DATOS!$A$2:$A$20000,AE618,DATOS!$G$2:$G$20000,CONFIG_METADATA!$B$4,DATOS!$I$2:$I$20000,"Orquesta/Banda/Conjunto"),"")))</f>
        <v/>
      </c>
      <c r="AH618" t="str">
        <f>IF(AE618="","",IF(AE618="[FÓRMULA MANUAL]","",IFERROR(AVERAGEIFS(DATOS!$K$2:$K$20000,DATOS!$A$2:$A$20000,AE618,DATOS!$G$2:$G$20000,CONFIG_METADATA!$B$4,DATOS!$I$2:$I$20000,"Música de Cámara"),"")))</f>
        <v/>
      </c>
      <c r="AI618" t="str">
        <f>IF(AE618="","",IF(AE618="[FÓRMULA MANUAL]","",IFERROR(SUMPRODUCT((DATOS!$A$2:$A$20000=AE618)*(DATOS!$G$2:$G$20000=CONFIG_METADATA!$B$4)*(COUNTIF(CONFIG_ASIGNATURAS!$B$7:$B$27,DATOS!$I$2:$I$20000)&gt;0)*(DATOS!$K$2:$K$20000))/SUMPRODUCT((DATOS!$A$2:$A$20000=AE618)*(DATOS!$G$2:$G$20000=CONFIG_METADATA!$B$4)*(COUNTIF(CONFIG_ASIGNATURAS!$B$7:$B$27,DATOS!$I$2:$I$20000)&gt;0)*1),"")))</f>
        <v/>
      </c>
    </row>
    <row r="619" spans="2:35" x14ac:dyDescent="0.2">
      <c r="B619" t="str">
        <f>IF(A619="","",IF(A619="[FÓRMULA MANUAL]","",IFERROR(AVERAGEIFS(DATOS!$K$2:$K$20000,DATOS!$A$2:$A$20000,A619,DATOS!$G$2:$G$20000,CONFIG_METADATA!$B$4,DATOS!$I$2:$I$20000,"Lenguaje Musical"),"")))</f>
        <v/>
      </c>
      <c r="C619" t="str">
        <f>IF(A619="","",IF(A619="[FÓRMULA MANUAL]","",IFERROR(AVERAGEIFS(DATOS!$K$2:$K$20000,DATOS!$A$2:$A$20000,A619,DATOS!$G$2:$G$20000,CONFIG_METADATA!$B$4,DATOS!$I$2:$I$20000,"Orquesta/Banda/Conjunto"),"")))</f>
        <v/>
      </c>
      <c r="D619" t="str">
        <f>IF(A619="","",IF(A619="[FÓRMULA MANUAL]","",IFERROR(AVERAGEIFS(DATOS!$K$2:$K$20000,DATOS!$A$2:$A$20000,A619,DATOS!$G$2:$G$20000,CONFIG_METADATA!$B$4,DATOS!$I$2:$I$20000,"Conjunto"),"")))</f>
        <v/>
      </c>
      <c r="E619" t="str">
        <f>IF(A619="","",IF(A619="[FÓRMULA MANUAL]","",IFERROR(SUMPRODUCT((DATOS!$A$2:$A$20000=A619)*(DATOS!$G$2:$G$20000=CONFIG_METADATA!$B$4)*(COUNTIF(CONFIG_ASIGNATURAS!$B$7:$B$27,DATOS!$I$2:$I$20000)&gt;0)*(DATOS!$K$2:$K$20000))/SUMPRODUCT((DATOS!$A$2:$A$20000=A619)*(DATOS!$G$2:$G$20000=CONFIG_METADATA!$B$4)*(COUNTIF(CONFIG_ASIGNATURAS!$B$7:$B$27,DATOS!$I$2:$I$20000)&gt;0)*1),"")))</f>
        <v/>
      </c>
      <c r="H619" t="str">
        <f>IF(G619="","",IF(G619="[FÓRMULA MANUAL]","",IFERROR(AVERAGEIFS(DATOS!$K$2:$K$20000,DATOS!$A$2:$A$20000,G619,DATOS!$G$2:$G$20000,CONFIG_METADATA!$B$4,DATOS!$I$2:$I$20000,"Lenguaje Musical"),"")))</f>
        <v/>
      </c>
      <c r="I619" t="str">
        <f>IF(G619="","",IF(G619="[FÓRMULA MANUAL]","",IFERROR(AVERAGEIFS(DATOS!$K$2:$K$20000,DATOS!$A$2:$A$20000,G619,DATOS!$G$2:$G$20000,CONFIG_METADATA!$B$4,DATOS!$I$2:$I$20000,"Orquesta/Banda/Conjunto"),"")))</f>
        <v/>
      </c>
      <c r="J619" t="str">
        <f>IF(G619="","",IF(G619="[FÓRMULA MANUAL]","",IFERROR(AVERAGEIFS(DATOS!$K$2:$K$20000,DATOS!$A$2:$A$20000,G619,DATOS!$G$2:$G$20000,CONFIG_METADATA!$B$4,DATOS!$I$2:$I$20000,"Conjunto"),"")))</f>
        <v/>
      </c>
      <c r="K619" t="str">
        <f>IF(G619="","",IF(G619="[FÓRMULA MANUAL]","",IFERROR(SUMPRODUCT((DATOS!$A$2:$A$20000=G619)*(DATOS!$G$2:$G$20000=CONFIG_METADATA!$B$4)*(COUNTIF(CONFIG_ASIGNATURAS!$B$7:$B$27,DATOS!$I$2:$I$20000)&gt;0)*(DATOS!$K$2:$K$20000))/SUMPRODUCT((DATOS!$A$2:$A$20000=G619)*(DATOS!$G$2:$G$20000=CONFIG_METADATA!$B$4)*(COUNTIF(CONFIG_ASIGNATURAS!$B$7:$B$27,DATOS!$I$2:$I$20000)&gt;0)*1),"")))</f>
        <v/>
      </c>
      <c r="N619" t="str">
        <f>IF(M619="","",IF(M619="[FÓRMULA MANUAL]","",IFERROR(AVERAGEIFS(DATOS!$K$2:$K$20000,DATOS!$A$2:$A$20000,M619,DATOS!$G$2:$G$20000,CONFIG_METADATA!$B$4,DATOS!$I$2:$I$20000,"Armonía"),"")))</f>
        <v/>
      </c>
      <c r="O619" t="str">
        <f>IF(M619="","",IF(M619="[FÓRMULA MANUAL]","",IFERROR(AVERAGEIFS(DATOS!$K$2:$K$20000,DATOS!$A$2:$A$20000,M619,DATOS!$G$2:$G$20000,CONFIG_METADATA!$B$4,DATOS!$I$2:$I$20000,"Orquesta/Banda/Conjunto"),"")))</f>
        <v/>
      </c>
      <c r="P619" t="str">
        <f>IF(M619="","",IF(M619="[FÓRMULA MANUAL]","",IFERROR(AVERAGEIFS(DATOS!$K$2:$K$20000,DATOS!$A$2:$A$20000,M619,DATOS!$G$2:$G$20000,CONFIG_METADATA!$B$4,DATOS!$I$2:$I$20000,"Música de Cámara"),"")))</f>
        <v/>
      </c>
      <c r="Q619" t="str">
        <f>IF(M619="","",IF(M619="[FÓRMULA MANUAL]","",IFERROR(SUMPRODUCT((DATOS!$A$2:$A$20000=M619)*(DATOS!$G$2:$G$20000=CONFIG_METADATA!$B$4)*(COUNTIF(CONFIG_ASIGNATURAS!$B$7:$B$27,DATOS!$I$2:$I$20000)&gt;0)*(DATOS!$K$2:$K$20000))/SUMPRODUCT((DATOS!$A$2:$A$20000=M619)*(DATOS!$G$2:$G$20000=CONFIG_METADATA!$B$4)*(COUNTIF(CONFIG_ASIGNATURAS!$B$7:$B$27,DATOS!$I$2:$I$20000)&gt;0)*1),"")))</f>
        <v/>
      </c>
      <c r="T619" t="str">
        <f>IF(S619="","",IF(S619="[FÓRMULA MANUAL]","",IFERROR(AVERAGEIFS(DATOS!$K$2:$K$20000,DATOS!$A$2:$A$20000,S619,DATOS!$G$2:$G$20000,CONFIG_METADATA!$B$4,DATOS!$I$2:$I$20000,"Armonía"),"")))</f>
        <v/>
      </c>
      <c r="U619" t="str">
        <f>IF(S619="","",IF(S619="[FÓRMULA MANUAL]","",IFERROR(AVERAGEIFS(DATOS!$K$2:$K$20000,DATOS!$A$2:$A$20000,S619,DATOS!$G$2:$G$20000,CONFIG_METADATA!$B$4,DATOS!$I$2:$I$20000,"Orquesta/Banda/Conjunto"),"")))</f>
        <v/>
      </c>
      <c r="V619" t="str">
        <f>IF(S619="","",IF(S619="[FÓRMULA MANUAL]","",IFERROR(AVERAGEIFS(DATOS!$K$2:$K$20000,DATOS!$A$2:$A$20000,S619,DATOS!$G$2:$G$20000,CONFIG_METADATA!$B$4,DATOS!$I$2:$I$20000,"Música de Cámara"),"")))</f>
        <v/>
      </c>
      <c r="W619" t="str">
        <f>IF(S619="","",IF(S619="[FÓRMULA MANUAL]","",IFERROR(SUMPRODUCT((DATOS!$A$2:$A$20000=S619)*(DATOS!$G$2:$G$20000=CONFIG_METADATA!$B$4)*(COUNTIF(CONFIG_ASIGNATURAS!$B$7:$B$27,DATOS!$I$2:$I$20000)&gt;0)*(DATOS!$K$2:$K$20000))/SUMPRODUCT((DATOS!$A$2:$A$20000=S619)*(DATOS!$G$2:$G$20000=CONFIG_METADATA!$B$4)*(COUNTIF(CONFIG_ASIGNATURAS!$B$7:$B$27,DATOS!$I$2:$I$20000)&gt;0)*1),"")))</f>
        <v/>
      </c>
      <c r="Z619" t="str">
        <f>IF(Y619="","",IF(Y619="[FÓRMULA MANUAL]","",IFERROR(AVERAGEIFS(DATOS!$K$2:$K$20000,DATOS!$A$2:$A$20000,Y619,DATOS!$G$2:$G$20000,CONFIG_METADATA!$B$4,DATOS!$I$2:$I$20000,"Análisis"),"")))</f>
        <v/>
      </c>
      <c r="AA619" t="str">
        <f>IF(Y619="","",IF(Y619="[FÓRMULA MANUAL]","",IFERROR(AVERAGEIFS(DATOS!$K$2:$K$20000,DATOS!$A$2:$A$20000,Y619,DATOS!$G$2:$G$20000,CONFIG_METADATA!$B$4,DATOS!$I$2:$I$20000,"Orquesta/Banda/Conjunto"),"")))</f>
        <v/>
      </c>
      <c r="AB619" t="str">
        <f>IF(Y619="","",IF(Y619="[FÓRMULA MANUAL]","",IFERROR(AVERAGEIFS(DATOS!$K$2:$K$20000,DATOS!$A$2:$A$20000,Y619,DATOS!$G$2:$G$20000,CONFIG_METADATA!$B$4,DATOS!$I$2:$I$20000,"Música de Cámara"),"")))</f>
        <v/>
      </c>
      <c r="AC619" t="str">
        <f>IF(Y619="","",IF(Y619="[FÓRMULA MANUAL]","",IFERROR(SUMPRODUCT((DATOS!$A$2:$A$20000=Y619)*(DATOS!$G$2:$G$20000=CONFIG_METADATA!$B$4)*(COUNTIF(CONFIG_ASIGNATURAS!$B$7:$B$27,DATOS!$I$2:$I$20000)&gt;0)*(DATOS!$K$2:$K$20000))/SUMPRODUCT((DATOS!$A$2:$A$20000=Y619)*(DATOS!$G$2:$G$20000=CONFIG_METADATA!$B$4)*(COUNTIF(CONFIG_ASIGNATURAS!$B$7:$B$27,DATOS!$I$2:$I$20000)&gt;0)*1),"")))</f>
        <v/>
      </c>
      <c r="AF619" t="str">
        <f>IF(AE619="","",IF(AE619="[FÓRMULA MANUAL]","",IFERROR(AVERAGEIFS(DATOS!$K$2:$K$20000,DATOS!$A$2:$A$20000,AE619,DATOS!$G$2:$G$20000,CONFIG_METADATA!$B$4,DATOS!$I$2:$I$20000,"Análisis"),"")))</f>
        <v/>
      </c>
      <c r="AG619" t="str">
        <f>IF(AE619="","",IF(AE619="[FÓRMULA MANUAL]","",IFERROR(AVERAGEIFS(DATOS!$K$2:$K$20000,DATOS!$A$2:$A$20000,AE619,DATOS!$G$2:$G$20000,CONFIG_METADATA!$B$4,DATOS!$I$2:$I$20000,"Orquesta/Banda/Conjunto"),"")))</f>
        <v/>
      </c>
      <c r="AH619" t="str">
        <f>IF(AE619="","",IF(AE619="[FÓRMULA MANUAL]","",IFERROR(AVERAGEIFS(DATOS!$K$2:$K$20000,DATOS!$A$2:$A$20000,AE619,DATOS!$G$2:$G$20000,CONFIG_METADATA!$B$4,DATOS!$I$2:$I$20000,"Música de Cámara"),"")))</f>
        <v/>
      </c>
      <c r="AI619" t="str">
        <f>IF(AE619="","",IF(AE619="[FÓRMULA MANUAL]","",IFERROR(SUMPRODUCT((DATOS!$A$2:$A$20000=AE619)*(DATOS!$G$2:$G$20000=CONFIG_METADATA!$B$4)*(COUNTIF(CONFIG_ASIGNATURAS!$B$7:$B$27,DATOS!$I$2:$I$20000)&gt;0)*(DATOS!$K$2:$K$20000))/SUMPRODUCT((DATOS!$A$2:$A$20000=AE619)*(DATOS!$G$2:$G$20000=CONFIG_METADATA!$B$4)*(COUNTIF(CONFIG_ASIGNATURAS!$B$7:$B$27,DATOS!$I$2:$I$20000)&gt;0)*1),"")))</f>
        <v/>
      </c>
    </row>
    <row r="620" spans="2:35" x14ac:dyDescent="0.2">
      <c r="B620" t="str">
        <f>IF(A620="","",IF(A620="[FÓRMULA MANUAL]","",IFERROR(AVERAGEIFS(DATOS!$K$2:$K$20000,DATOS!$A$2:$A$20000,A620,DATOS!$G$2:$G$20000,CONFIG_METADATA!$B$4,DATOS!$I$2:$I$20000,"Lenguaje Musical"),"")))</f>
        <v/>
      </c>
      <c r="C620" t="str">
        <f>IF(A620="","",IF(A620="[FÓRMULA MANUAL]","",IFERROR(AVERAGEIFS(DATOS!$K$2:$K$20000,DATOS!$A$2:$A$20000,A620,DATOS!$G$2:$G$20000,CONFIG_METADATA!$B$4,DATOS!$I$2:$I$20000,"Orquesta/Banda/Conjunto"),"")))</f>
        <v/>
      </c>
      <c r="D620" t="str">
        <f>IF(A620="","",IF(A620="[FÓRMULA MANUAL]","",IFERROR(AVERAGEIFS(DATOS!$K$2:$K$20000,DATOS!$A$2:$A$20000,A620,DATOS!$G$2:$G$20000,CONFIG_METADATA!$B$4,DATOS!$I$2:$I$20000,"Conjunto"),"")))</f>
        <v/>
      </c>
      <c r="E620" t="str">
        <f>IF(A620="","",IF(A620="[FÓRMULA MANUAL]","",IFERROR(SUMPRODUCT((DATOS!$A$2:$A$20000=A620)*(DATOS!$G$2:$G$20000=CONFIG_METADATA!$B$4)*(COUNTIF(CONFIG_ASIGNATURAS!$B$7:$B$27,DATOS!$I$2:$I$20000)&gt;0)*(DATOS!$K$2:$K$20000))/SUMPRODUCT((DATOS!$A$2:$A$20000=A620)*(DATOS!$G$2:$G$20000=CONFIG_METADATA!$B$4)*(COUNTIF(CONFIG_ASIGNATURAS!$B$7:$B$27,DATOS!$I$2:$I$20000)&gt;0)*1),"")))</f>
        <v/>
      </c>
      <c r="H620" t="str">
        <f>IF(G620="","",IF(G620="[FÓRMULA MANUAL]","",IFERROR(AVERAGEIFS(DATOS!$K$2:$K$20000,DATOS!$A$2:$A$20000,G620,DATOS!$G$2:$G$20000,CONFIG_METADATA!$B$4,DATOS!$I$2:$I$20000,"Lenguaje Musical"),"")))</f>
        <v/>
      </c>
      <c r="I620" t="str">
        <f>IF(G620="","",IF(G620="[FÓRMULA MANUAL]","",IFERROR(AVERAGEIFS(DATOS!$K$2:$K$20000,DATOS!$A$2:$A$20000,G620,DATOS!$G$2:$G$20000,CONFIG_METADATA!$B$4,DATOS!$I$2:$I$20000,"Orquesta/Banda/Conjunto"),"")))</f>
        <v/>
      </c>
      <c r="J620" t="str">
        <f>IF(G620="","",IF(G620="[FÓRMULA MANUAL]","",IFERROR(AVERAGEIFS(DATOS!$K$2:$K$20000,DATOS!$A$2:$A$20000,G620,DATOS!$G$2:$G$20000,CONFIG_METADATA!$B$4,DATOS!$I$2:$I$20000,"Conjunto"),"")))</f>
        <v/>
      </c>
      <c r="K620" t="str">
        <f>IF(G620="","",IF(G620="[FÓRMULA MANUAL]","",IFERROR(SUMPRODUCT((DATOS!$A$2:$A$20000=G620)*(DATOS!$G$2:$G$20000=CONFIG_METADATA!$B$4)*(COUNTIF(CONFIG_ASIGNATURAS!$B$7:$B$27,DATOS!$I$2:$I$20000)&gt;0)*(DATOS!$K$2:$K$20000))/SUMPRODUCT((DATOS!$A$2:$A$20000=G620)*(DATOS!$G$2:$G$20000=CONFIG_METADATA!$B$4)*(COUNTIF(CONFIG_ASIGNATURAS!$B$7:$B$27,DATOS!$I$2:$I$20000)&gt;0)*1),"")))</f>
        <v/>
      </c>
      <c r="N620" t="str">
        <f>IF(M620="","",IF(M620="[FÓRMULA MANUAL]","",IFERROR(AVERAGEIFS(DATOS!$K$2:$K$20000,DATOS!$A$2:$A$20000,M620,DATOS!$G$2:$G$20000,CONFIG_METADATA!$B$4,DATOS!$I$2:$I$20000,"Armonía"),"")))</f>
        <v/>
      </c>
      <c r="O620" t="str">
        <f>IF(M620="","",IF(M620="[FÓRMULA MANUAL]","",IFERROR(AVERAGEIFS(DATOS!$K$2:$K$20000,DATOS!$A$2:$A$20000,M620,DATOS!$G$2:$G$20000,CONFIG_METADATA!$B$4,DATOS!$I$2:$I$20000,"Orquesta/Banda/Conjunto"),"")))</f>
        <v/>
      </c>
      <c r="P620" t="str">
        <f>IF(M620="","",IF(M620="[FÓRMULA MANUAL]","",IFERROR(AVERAGEIFS(DATOS!$K$2:$K$20000,DATOS!$A$2:$A$20000,M620,DATOS!$G$2:$G$20000,CONFIG_METADATA!$B$4,DATOS!$I$2:$I$20000,"Música de Cámara"),"")))</f>
        <v/>
      </c>
      <c r="Q620" t="str">
        <f>IF(M620="","",IF(M620="[FÓRMULA MANUAL]","",IFERROR(SUMPRODUCT((DATOS!$A$2:$A$20000=M620)*(DATOS!$G$2:$G$20000=CONFIG_METADATA!$B$4)*(COUNTIF(CONFIG_ASIGNATURAS!$B$7:$B$27,DATOS!$I$2:$I$20000)&gt;0)*(DATOS!$K$2:$K$20000))/SUMPRODUCT((DATOS!$A$2:$A$20000=M620)*(DATOS!$G$2:$G$20000=CONFIG_METADATA!$B$4)*(COUNTIF(CONFIG_ASIGNATURAS!$B$7:$B$27,DATOS!$I$2:$I$20000)&gt;0)*1),"")))</f>
        <v/>
      </c>
      <c r="T620" t="str">
        <f>IF(S620="","",IF(S620="[FÓRMULA MANUAL]","",IFERROR(AVERAGEIFS(DATOS!$K$2:$K$20000,DATOS!$A$2:$A$20000,S620,DATOS!$G$2:$G$20000,CONFIG_METADATA!$B$4,DATOS!$I$2:$I$20000,"Armonía"),"")))</f>
        <v/>
      </c>
      <c r="U620" t="str">
        <f>IF(S620="","",IF(S620="[FÓRMULA MANUAL]","",IFERROR(AVERAGEIFS(DATOS!$K$2:$K$20000,DATOS!$A$2:$A$20000,S620,DATOS!$G$2:$G$20000,CONFIG_METADATA!$B$4,DATOS!$I$2:$I$20000,"Orquesta/Banda/Conjunto"),"")))</f>
        <v/>
      </c>
      <c r="V620" t="str">
        <f>IF(S620="","",IF(S620="[FÓRMULA MANUAL]","",IFERROR(AVERAGEIFS(DATOS!$K$2:$K$20000,DATOS!$A$2:$A$20000,S620,DATOS!$G$2:$G$20000,CONFIG_METADATA!$B$4,DATOS!$I$2:$I$20000,"Música de Cámara"),"")))</f>
        <v/>
      </c>
      <c r="W620" t="str">
        <f>IF(S620="","",IF(S620="[FÓRMULA MANUAL]","",IFERROR(SUMPRODUCT((DATOS!$A$2:$A$20000=S620)*(DATOS!$G$2:$G$20000=CONFIG_METADATA!$B$4)*(COUNTIF(CONFIG_ASIGNATURAS!$B$7:$B$27,DATOS!$I$2:$I$20000)&gt;0)*(DATOS!$K$2:$K$20000))/SUMPRODUCT((DATOS!$A$2:$A$20000=S620)*(DATOS!$G$2:$G$20000=CONFIG_METADATA!$B$4)*(COUNTIF(CONFIG_ASIGNATURAS!$B$7:$B$27,DATOS!$I$2:$I$20000)&gt;0)*1),"")))</f>
        <v/>
      </c>
      <c r="Z620" t="str">
        <f>IF(Y620="","",IF(Y620="[FÓRMULA MANUAL]","",IFERROR(AVERAGEIFS(DATOS!$K$2:$K$20000,DATOS!$A$2:$A$20000,Y620,DATOS!$G$2:$G$20000,CONFIG_METADATA!$B$4,DATOS!$I$2:$I$20000,"Análisis"),"")))</f>
        <v/>
      </c>
      <c r="AA620" t="str">
        <f>IF(Y620="","",IF(Y620="[FÓRMULA MANUAL]","",IFERROR(AVERAGEIFS(DATOS!$K$2:$K$20000,DATOS!$A$2:$A$20000,Y620,DATOS!$G$2:$G$20000,CONFIG_METADATA!$B$4,DATOS!$I$2:$I$20000,"Orquesta/Banda/Conjunto"),"")))</f>
        <v/>
      </c>
      <c r="AB620" t="str">
        <f>IF(Y620="","",IF(Y620="[FÓRMULA MANUAL]","",IFERROR(AVERAGEIFS(DATOS!$K$2:$K$20000,DATOS!$A$2:$A$20000,Y620,DATOS!$G$2:$G$20000,CONFIG_METADATA!$B$4,DATOS!$I$2:$I$20000,"Música de Cámara"),"")))</f>
        <v/>
      </c>
      <c r="AC620" t="str">
        <f>IF(Y620="","",IF(Y620="[FÓRMULA MANUAL]","",IFERROR(SUMPRODUCT((DATOS!$A$2:$A$20000=Y620)*(DATOS!$G$2:$G$20000=CONFIG_METADATA!$B$4)*(COUNTIF(CONFIG_ASIGNATURAS!$B$7:$B$27,DATOS!$I$2:$I$20000)&gt;0)*(DATOS!$K$2:$K$20000))/SUMPRODUCT((DATOS!$A$2:$A$20000=Y620)*(DATOS!$G$2:$G$20000=CONFIG_METADATA!$B$4)*(COUNTIF(CONFIG_ASIGNATURAS!$B$7:$B$27,DATOS!$I$2:$I$20000)&gt;0)*1),"")))</f>
        <v/>
      </c>
      <c r="AF620" t="str">
        <f>IF(AE620="","",IF(AE620="[FÓRMULA MANUAL]","",IFERROR(AVERAGEIFS(DATOS!$K$2:$K$20000,DATOS!$A$2:$A$20000,AE620,DATOS!$G$2:$G$20000,CONFIG_METADATA!$B$4,DATOS!$I$2:$I$20000,"Análisis"),"")))</f>
        <v/>
      </c>
      <c r="AG620" t="str">
        <f>IF(AE620="","",IF(AE620="[FÓRMULA MANUAL]","",IFERROR(AVERAGEIFS(DATOS!$K$2:$K$20000,DATOS!$A$2:$A$20000,AE620,DATOS!$G$2:$G$20000,CONFIG_METADATA!$B$4,DATOS!$I$2:$I$20000,"Orquesta/Banda/Conjunto"),"")))</f>
        <v/>
      </c>
      <c r="AH620" t="str">
        <f>IF(AE620="","",IF(AE620="[FÓRMULA MANUAL]","",IFERROR(AVERAGEIFS(DATOS!$K$2:$K$20000,DATOS!$A$2:$A$20000,AE620,DATOS!$G$2:$G$20000,CONFIG_METADATA!$B$4,DATOS!$I$2:$I$20000,"Música de Cámara"),"")))</f>
        <v/>
      </c>
      <c r="AI620" t="str">
        <f>IF(AE620="","",IF(AE620="[FÓRMULA MANUAL]","",IFERROR(SUMPRODUCT((DATOS!$A$2:$A$20000=AE620)*(DATOS!$G$2:$G$20000=CONFIG_METADATA!$B$4)*(COUNTIF(CONFIG_ASIGNATURAS!$B$7:$B$27,DATOS!$I$2:$I$20000)&gt;0)*(DATOS!$K$2:$K$20000))/SUMPRODUCT((DATOS!$A$2:$A$20000=AE620)*(DATOS!$G$2:$G$20000=CONFIG_METADATA!$B$4)*(COUNTIF(CONFIG_ASIGNATURAS!$B$7:$B$27,DATOS!$I$2:$I$20000)&gt;0)*1),"")))</f>
        <v/>
      </c>
    </row>
    <row r="621" spans="2:35" x14ac:dyDescent="0.2">
      <c r="B621" t="str">
        <f>IF(A621="","",IF(A621="[FÓRMULA MANUAL]","",IFERROR(AVERAGEIFS(DATOS!$K$2:$K$20000,DATOS!$A$2:$A$20000,A621,DATOS!$G$2:$G$20000,CONFIG_METADATA!$B$4,DATOS!$I$2:$I$20000,"Lenguaje Musical"),"")))</f>
        <v/>
      </c>
      <c r="C621" t="str">
        <f>IF(A621="","",IF(A621="[FÓRMULA MANUAL]","",IFERROR(AVERAGEIFS(DATOS!$K$2:$K$20000,DATOS!$A$2:$A$20000,A621,DATOS!$G$2:$G$20000,CONFIG_METADATA!$B$4,DATOS!$I$2:$I$20000,"Orquesta/Banda/Conjunto"),"")))</f>
        <v/>
      </c>
      <c r="D621" t="str">
        <f>IF(A621="","",IF(A621="[FÓRMULA MANUAL]","",IFERROR(AVERAGEIFS(DATOS!$K$2:$K$20000,DATOS!$A$2:$A$20000,A621,DATOS!$G$2:$G$20000,CONFIG_METADATA!$B$4,DATOS!$I$2:$I$20000,"Conjunto"),"")))</f>
        <v/>
      </c>
      <c r="E621" t="str">
        <f>IF(A621="","",IF(A621="[FÓRMULA MANUAL]","",IFERROR(SUMPRODUCT((DATOS!$A$2:$A$20000=A621)*(DATOS!$G$2:$G$20000=CONFIG_METADATA!$B$4)*(COUNTIF(CONFIG_ASIGNATURAS!$B$7:$B$27,DATOS!$I$2:$I$20000)&gt;0)*(DATOS!$K$2:$K$20000))/SUMPRODUCT((DATOS!$A$2:$A$20000=A621)*(DATOS!$G$2:$G$20000=CONFIG_METADATA!$B$4)*(COUNTIF(CONFIG_ASIGNATURAS!$B$7:$B$27,DATOS!$I$2:$I$20000)&gt;0)*1),"")))</f>
        <v/>
      </c>
      <c r="H621" t="str">
        <f>IF(G621="","",IF(G621="[FÓRMULA MANUAL]","",IFERROR(AVERAGEIFS(DATOS!$K$2:$K$20000,DATOS!$A$2:$A$20000,G621,DATOS!$G$2:$G$20000,CONFIG_METADATA!$B$4,DATOS!$I$2:$I$20000,"Lenguaje Musical"),"")))</f>
        <v/>
      </c>
      <c r="I621" t="str">
        <f>IF(G621="","",IF(G621="[FÓRMULA MANUAL]","",IFERROR(AVERAGEIFS(DATOS!$K$2:$K$20000,DATOS!$A$2:$A$20000,G621,DATOS!$G$2:$G$20000,CONFIG_METADATA!$B$4,DATOS!$I$2:$I$20000,"Orquesta/Banda/Conjunto"),"")))</f>
        <v/>
      </c>
      <c r="J621" t="str">
        <f>IF(G621="","",IF(G621="[FÓRMULA MANUAL]","",IFERROR(AVERAGEIFS(DATOS!$K$2:$K$20000,DATOS!$A$2:$A$20000,G621,DATOS!$G$2:$G$20000,CONFIG_METADATA!$B$4,DATOS!$I$2:$I$20000,"Conjunto"),"")))</f>
        <v/>
      </c>
      <c r="K621" t="str">
        <f>IF(G621="","",IF(G621="[FÓRMULA MANUAL]","",IFERROR(SUMPRODUCT((DATOS!$A$2:$A$20000=G621)*(DATOS!$G$2:$G$20000=CONFIG_METADATA!$B$4)*(COUNTIF(CONFIG_ASIGNATURAS!$B$7:$B$27,DATOS!$I$2:$I$20000)&gt;0)*(DATOS!$K$2:$K$20000))/SUMPRODUCT((DATOS!$A$2:$A$20000=G621)*(DATOS!$G$2:$G$20000=CONFIG_METADATA!$B$4)*(COUNTIF(CONFIG_ASIGNATURAS!$B$7:$B$27,DATOS!$I$2:$I$20000)&gt;0)*1),"")))</f>
        <v/>
      </c>
      <c r="N621" t="str">
        <f>IF(M621="","",IF(M621="[FÓRMULA MANUAL]","",IFERROR(AVERAGEIFS(DATOS!$K$2:$K$20000,DATOS!$A$2:$A$20000,M621,DATOS!$G$2:$G$20000,CONFIG_METADATA!$B$4,DATOS!$I$2:$I$20000,"Armonía"),"")))</f>
        <v/>
      </c>
      <c r="O621" t="str">
        <f>IF(M621="","",IF(M621="[FÓRMULA MANUAL]","",IFERROR(AVERAGEIFS(DATOS!$K$2:$K$20000,DATOS!$A$2:$A$20000,M621,DATOS!$G$2:$G$20000,CONFIG_METADATA!$B$4,DATOS!$I$2:$I$20000,"Orquesta/Banda/Conjunto"),"")))</f>
        <v/>
      </c>
      <c r="P621" t="str">
        <f>IF(M621="","",IF(M621="[FÓRMULA MANUAL]","",IFERROR(AVERAGEIFS(DATOS!$K$2:$K$20000,DATOS!$A$2:$A$20000,M621,DATOS!$G$2:$G$20000,CONFIG_METADATA!$B$4,DATOS!$I$2:$I$20000,"Música de Cámara"),"")))</f>
        <v/>
      </c>
      <c r="Q621" t="str">
        <f>IF(M621="","",IF(M621="[FÓRMULA MANUAL]","",IFERROR(SUMPRODUCT((DATOS!$A$2:$A$20000=M621)*(DATOS!$G$2:$G$20000=CONFIG_METADATA!$B$4)*(COUNTIF(CONFIG_ASIGNATURAS!$B$7:$B$27,DATOS!$I$2:$I$20000)&gt;0)*(DATOS!$K$2:$K$20000))/SUMPRODUCT((DATOS!$A$2:$A$20000=M621)*(DATOS!$G$2:$G$20000=CONFIG_METADATA!$B$4)*(COUNTIF(CONFIG_ASIGNATURAS!$B$7:$B$27,DATOS!$I$2:$I$20000)&gt;0)*1),"")))</f>
        <v/>
      </c>
      <c r="T621" t="str">
        <f>IF(S621="","",IF(S621="[FÓRMULA MANUAL]","",IFERROR(AVERAGEIFS(DATOS!$K$2:$K$20000,DATOS!$A$2:$A$20000,S621,DATOS!$G$2:$G$20000,CONFIG_METADATA!$B$4,DATOS!$I$2:$I$20000,"Armonía"),"")))</f>
        <v/>
      </c>
      <c r="U621" t="str">
        <f>IF(S621="","",IF(S621="[FÓRMULA MANUAL]","",IFERROR(AVERAGEIFS(DATOS!$K$2:$K$20000,DATOS!$A$2:$A$20000,S621,DATOS!$G$2:$G$20000,CONFIG_METADATA!$B$4,DATOS!$I$2:$I$20000,"Orquesta/Banda/Conjunto"),"")))</f>
        <v/>
      </c>
      <c r="V621" t="str">
        <f>IF(S621="","",IF(S621="[FÓRMULA MANUAL]","",IFERROR(AVERAGEIFS(DATOS!$K$2:$K$20000,DATOS!$A$2:$A$20000,S621,DATOS!$G$2:$G$20000,CONFIG_METADATA!$B$4,DATOS!$I$2:$I$20000,"Música de Cámara"),"")))</f>
        <v/>
      </c>
      <c r="W621" t="str">
        <f>IF(S621="","",IF(S621="[FÓRMULA MANUAL]","",IFERROR(SUMPRODUCT((DATOS!$A$2:$A$20000=S621)*(DATOS!$G$2:$G$20000=CONFIG_METADATA!$B$4)*(COUNTIF(CONFIG_ASIGNATURAS!$B$7:$B$27,DATOS!$I$2:$I$20000)&gt;0)*(DATOS!$K$2:$K$20000))/SUMPRODUCT((DATOS!$A$2:$A$20000=S621)*(DATOS!$G$2:$G$20000=CONFIG_METADATA!$B$4)*(COUNTIF(CONFIG_ASIGNATURAS!$B$7:$B$27,DATOS!$I$2:$I$20000)&gt;0)*1),"")))</f>
        <v/>
      </c>
      <c r="Z621" t="str">
        <f>IF(Y621="","",IF(Y621="[FÓRMULA MANUAL]","",IFERROR(AVERAGEIFS(DATOS!$K$2:$K$20000,DATOS!$A$2:$A$20000,Y621,DATOS!$G$2:$G$20000,CONFIG_METADATA!$B$4,DATOS!$I$2:$I$20000,"Análisis"),"")))</f>
        <v/>
      </c>
      <c r="AA621" t="str">
        <f>IF(Y621="","",IF(Y621="[FÓRMULA MANUAL]","",IFERROR(AVERAGEIFS(DATOS!$K$2:$K$20000,DATOS!$A$2:$A$20000,Y621,DATOS!$G$2:$G$20000,CONFIG_METADATA!$B$4,DATOS!$I$2:$I$20000,"Orquesta/Banda/Conjunto"),"")))</f>
        <v/>
      </c>
      <c r="AB621" t="str">
        <f>IF(Y621="","",IF(Y621="[FÓRMULA MANUAL]","",IFERROR(AVERAGEIFS(DATOS!$K$2:$K$20000,DATOS!$A$2:$A$20000,Y621,DATOS!$G$2:$G$20000,CONFIG_METADATA!$B$4,DATOS!$I$2:$I$20000,"Música de Cámara"),"")))</f>
        <v/>
      </c>
      <c r="AC621" t="str">
        <f>IF(Y621="","",IF(Y621="[FÓRMULA MANUAL]","",IFERROR(SUMPRODUCT((DATOS!$A$2:$A$20000=Y621)*(DATOS!$G$2:$G$20000=CONFIG_METADATA!$B$4)*(COUNTIF(CONFIG_ASIGNATURAS!$B$7:$B$27,DATOS!$I$2:$I$20000)&gt;0)*(DATOS!$K$2:$K$20000))/SUMPRODUCT((DATOS!$A$2:$A$20000=Y621)*(DATOS!$G$2:$G$20000=CONFIG_METADATA!$B$4)*(COUNTIF(CONFIG_ASIGNATURAS!$B$7:$B$27,DATOS!$I$2:$I$20000)&gt;0)*1),"")))</f>
        <v/>
      </c>
      <c r="AF621" t="str">
        <f>IF(AE621="","",IF(AE621="[FÓRMULA MANUAL]","",IFERROR(AVERAGEIFS(DATOS!$K$2:$K$20000,DATOS!$A$2:$A$20000,AE621,DATOS!$G$2:$G$20000,CONFIG_METADATA!$B$4,DATOS!$I$2:$I$20000,"Análisis"),"")))</f>
        <v/>
      </c>
      <c r="AG621" t="str">
        <f>IF(AE621="","",IF(AE621="[FÓRMULA MANUAL]","",IFERROR(AVERAGEIFS(DATOS!$K$2:$K$20000,DATOS!$A$2:$A$20000,AE621,DATOS!$G$2:$G$20000,CONFIG_METADATA!$B$4,DATOS!$I$2:$I$20000,"Orquesta/Banda/Conjunto"),"")))</f>
        <v/>
      </c>
      <c r="AH621" t="str">
        <f>IF(AE621="","",IF(AE621="[FÓRMULA MANUAL]","",IFERROR(AVERAGEIFS(DATOS!$K$2:$K$20000,DATOS!$A$2:$A$20000,AE621,DATOS!$G$2:$G$20000,CONFIG_METADATA!$B$4,DATOS!$I$2:$I$20000,"Música de Cámara"),"")))</f>
        <v/>
      </c>
      <c r="AI621" t="str">
        <f>IF(AE621="","",IF(AE621="[FÓRMULA MANUAL]","",IFERROR(SUMPRODUCT((DATOS!$A$2:$A$20000=AE621)*(DATOS!$G$2:$G$20000=CONFIG_METADATA!$B$4)*(COUNTIF(CONFIG_ASIGNATURAS!$B$7:$B$27,DATOS!$I$2:$I$20000)&gt;0)*(DATOS!$K$2:$K$20000))/SUMPRODUCT((DATOS!$A$2:$A$20000=AE621)*(DATOS!$G$2:$G$20000=CONFIG_METADATA!$B$4)*(COUNTIF(CONFIG_ASIGNATURAS!$B$7:$B$27,DATOS!$I$2:$I$20000)&gt;0)*1),"")))</f>
        <v/>
      </c>
    </row>
    <row r="622" spans="2:35" x14ac:dyDescent="0.2">
      <c r="B622" t="str">
        <f>IF(A622="","",IF(A622="[FÓRMULA MANUAL]","",IFERROR(AVERAGEIFS(DATOS!$K$2:$K$20000,DATOS!$A$2:$A$20000,A622,DATOS!$G$2:$G$20000,CONFIG_METADATA!$B$4,DATOS!$I$2:$I$20000,"Lenguaje Musical"),"")))</f>
        <v/>
      </c>
      <c r="C622" t="str">
        <f>IF(A622="","",IF(A622="[FÓRMULA MANUAL]","",IFERROR(AVERAGEIFS(DATOS!$K$2:$K$20000,DATOS!$A$2:$A$20000,A622,DATOS!$G$2:$G$20000,CONFIG_METADATA!$B$4,DATOS!$I$2:$I$20000,"Orquesta/Banda/Conjunto"),"")))</f>
        <v/>
      </c>
      <c r="D622" t="str">
        <f>IF(A622="","",IF(A622="[FÓRMULA MANUAL]","",IFERROR(AVERAGEIFS(DATOS!$K$2:$K$20000,DATOS!$A$2:$A$20000,A622,DATOS!$G$2:$G$20000,CONFIG_METADATA!$B$4,DATOS!$I$2:$I$20000,"Conjunto"),"")))</f>
        <v/>
      </c>
      <c r="E622" t="str">
        <f>IF(A622="","",IF(A622="[FÓRMULA MANUAL]","",IFERROR(SUMPRODUCT((DATOS!$A$2:$A$20000=A622)*(DATOS!$G$2:$G$20000=CONFIG_METADATA!$B$4)*(COUNTIF(CONFIG_ASIGNATURAS!$B$7:$B$27,DATOS!$I$2:$I$20000)&gt;0)*(DATOS!$K$2:$K$20000))/SUMPRODUCT((DATOS!$A$2:$A$20000=A622)*(DATOS!$G$2:$G$20000=CONFIG_METADATA!$B$4)*(COUNTIF(CONFIG_ASIGNATURAS!$B$7:$B$27,DATOS!$I$2:$I$20000)&gt;0)*1),"")))</f>
        <v/>
      </c>
      <c r="H622" t="str">
        <f>IF(G622="","",IF(G622="[FÓRMULA MANUAL]","",IFERROR(AVERAGEIFS(DATOS!$K$2:$K$20000,DATOS!$A$2:$A$20000,G622,DATOS!$G$2:$G$20000,CONFIG_METADATA!$B$4,DATOS!$I$2:$I$20000,"Lenguaje Musical"),"")))</f>
        <v/>
      </c>
      <c r="I622" t="str">
        <f>IF(G622="","",IF(G622="[FÓRMULA MANUAL]","",IFERROR(AVERAGEIFS(DATOS!$K$2:$K$20000,DATOS!$A$2:$A$20000,G622,DATOS!$G$2:$G$20000,CONFIG_METADATA!$B$4,DATOS!$I$2:$I$20000,"Orquesta/Banda/Conjunto"),"")))</f>
        <v/>
      </c>
      <c r="J622" t="str">
        <f>IF(G622="","",IF(G622="[FÓRMULA MANUAL]","",IFERROR(AVERAGEIFS(DATOS!$K$2:$K$20000,DATOS!$A$2:$A$20000,G622,DATOS!$G$2:$G$20000,CONFIG_METADATA!$B$4,DATOS!$I$2:$I$20000,"Conjunto"),"")))</f>
        <v/>
      </c>
      <c r="K622" t="str">
        <f>IF(G622="","",IF(G622="[FÓRMULA MANUAL]","",IFERROR(SUMPRODUCT((DATOS!$A$2:$A$20000=G622)*(DATOS!$G$2:$G$20000=CONFIG_METADATA!$B$4)*(COUNTIF(CONFIG_ASIGNATURAS!$B$7:$B$27,DATOS!$I$2:$I$20000)&gt;0)*(DATOS!$K$2:$K$20000))/SUMPRODUCT((DATOS!$A$2:$A$20000=G622)*(DATOS!$G$2:$G$20000=CONFIG_METADATA!$B$4)*(COUNTIF(CONFIG_ASIGNATURAS!$B$7:$B$27,DATOS!$I$2:$I$20000)&gt;0)*1),"")))</f>
        <v/>
      </c>
      <c r="N622" t="str">
        <f>IF(M622="","",IF(M622="[FÓRMULA MANUAL]","",IFERROR(AVERAGEIFS(DATOS!$K$2:$K$20000,DATOS!$A$2:$A$20000,M622,DATOS!$G$2:$G$20000,CONFIG_METADATA!$B$4,DATOS!$I$2:$I$20000,"Armonía"),"")))</f>
        <v/>
      </c>
      <c r="O622" t="str">
        <f>IF(M622="","",IF(M622="[FÓRMULA MANUAL]","",IFERROR(AVERAGEIFS(DATOS!$K$2:$K$20000,DATOS!$A$2:$A$20000,M622,DATOS!$G$2:$G$20000,CONFIG_METADATA!$B$4,DATOS!$I$2:$I$20000,"Orquesta/Banda/Conjunto"),"")))</f>
        <v/>
      </c>
      <c r="P622" t="str">
        <f>IF(M622="","",IF(M622="[FÓRMULA MANUAL]","",IFERROR(AVERAGEIFS(DATOS!$K$2:$K$20000,DATOS!$A$2:$A$20000,M622,DATOS!$G$2:$G$20000,CONFIG_METADATA!$B$4,DATOS!$I$2:$I$20000,"Música de Cámara"),"")))</f>
        <v/>
      </c>
      <c r="Q622" t="str">
        <f>IF(M622="","",IF(M622="[FÓRMULA MANUAL]","",IFERROR(SUMPRODUCT((DATOS!$A$2:$A$20000=M622)*(DATOS!$G$2:$G$20000=CONFIG_METADATA!$B$4)*(COUNTIF(CONFIG_ASIGNATURAS!$B$7:$B$27,DATOS!$I$2:$I$20000)&gt;0)*(DATOS!$K$2:$K$20000))/SUMPRODUCT((DATOS!$A$2:$A$20000=M622)*(DATOS!$G$2:$G$20000=CONFIG_METADATA!$B$4)*(COUNTIF(CONFIG_ASIGNATURAS!$B$7:$B$27,DATOS!$I$2:$I$20000)&gt;0)*1),"")))</f>
        <v/>
      </c>
      <c r="T622" t="str">
        <f>IF(S622="","",IF(S622="[FÓRMULA MANUAL]","",IFERROR(AVERAGEIFS(DATOS!$K$2:$K$20000,DATOS!$A$2:$A$20000,S622,DATOS!$G$2:$G$20000,CONFIG_METADATA!$B$4,DATOS!$I$2:$I$20000,"Armonía"),"")))</f>
        <v/>
      </c>
      <c r="U622" t="str">
        <f>IF(S622="","",IF(S622="[FÓRMULA MANUAL]","",IFERROR(AVERAGEIFS(DATOS!$K$2:$K$20000,DATOS!$A$2:$A$20000,S622,DATOS!$G$2:$G$20000,CONFIG_METADATA!$B$4,DATOS!$I$2:$I$20000,"Orquesta/Banda/Conjunto"),"")))</f>
        <v/>
      </c>
      <c r="V622" t="str">
        <f>IF(S622="","",IF(S622="[FÓRMULA MANUAL]","",IFERROR(AVERAGEIFS(DATOS!$K$2:$K$20000,DATOS!$A$2:$A$20000,S622,DATOS!$G$2:$G$20000,CONFIG_METADATA!$B$4,DATOS!$I$2:$I$20000,"Música de Cámara"),"")))</f>
        <v/>
      </c>
      <c r="W622" t="str">
        <f>IF(S622="","",IF(S622="[FÓRMULA MANUAL]","",IFERROR(SUMPRODUCT((DATOS!$A$2:$A$20000=S622)*(DATOS!$G$2:$G$20000=CONFIG_METADATA!$B$4)*(COUNTIF(CONFIG_ASIGNATURAS!$B$7:$B$27,DATOS!$I$2:$I$20000)&gt;0)*(DATOS!$K$2:$K$20000))/SUMPRODUCT((DATOS!$A$2:$A$20000=S622)*(DATOS!$G$2:$G$20000=CONFIG_METADATA!$B$4)*(COUNTIF(CONFIG_ASIGNATURAS!$B$7:$B$27,DATOS!$I$2:$I$20000)&gt;0)*1),"")))</f>
        <v/>
      </c>
      <c r="Z622" t="str">
        <f>IF(Y622="","",IF(Y622="[FÓRMULA MANUAL]","",IFERROR(AVERAGEIFS(DATOS!$K$2:$K$20000,DATOS!$A$2:$A$20000,Y622,DATOS!$G$2:$G$20000,CONFIG_METADATA!$B$4,DATOS!$I$2:$I$20000,"Análisis"),"")))</f>
        <v/>
      </c>
      <c r="AA622" t="str">
        <f>IF(Y622="","",IF(Y622="[FÓRMULA MANUAL]","",IFERROR(AVERAGEIFS(DATOS!$K$2:$K$20000,DATOS!$A$2:$A$20000,Y622,DATOS!$G$2:$G$20000,CONFIG_METADATA!$B$4,DATOS!$I$2:$I$20000,"Orquesta/Banda/Conjunto"),"")))</f>
        <v/>
      </c>
      <c r="AB622" t="str">
        <f>IF(Y622="","",IF(Y622="[FÓRMULA MANUAL]","",IFERROR(AVERAGEIFS(DATOS!$K$2:$K$20000,DATOS!$A$2:$A$20000,Y622,DATOS!$G$2:$G$20000,CONFIG_METADATA!$B$4,DATOS!$I$2:$I$20000,"Música de Cámara"),"")))</f>
        <v/>
      </c>
      <c r="AC622" t="str">
        <f>IF(Y622="","",IF(Y622="[FÓRMULA MANUAL]","",IFERROR(SUMPRODUCT((DATOS!$A$2:$A$20000=Y622)*(DATOS!$G$2:$G$20000=CONFIG_METADATA!$B$4)*(COUNTIF(CONFIG_ASIGNATURAS!$B$7:$B$27,DATOS!$I$2:$I$20000)&gt;0)*(DATOS!$K$2:$K$20000))/SUMPRODUCT((DATOS!$A$2:$A$20000=Y622)*(DATOS!$G$2:$G$20000=CONFIG_METADATA!$B$4)*(COUNTIF(CONFIG_ASIGNATURAS!$B$7:$B$27,DATOS!$I$2:$I$20000)&gt;0)*1),"")))</f>
        <v/>
      </c>
      <c r="AF622" t="str">
        <f>IF(AE622="","",IF(AE622="[FÓRMULA MANUAL]","",IFERROR(AVERAGEIFS(DATOS!$K$2:$K$20000,DATOS!$A$2:$A$20000,AE622,DATOS!$G$2:$G$20000,CONFIG_METADATA!$B$4,DATOS!$I$2:$I$20000,"Análisis"),"")))</f>
        <v/>
      </c>
      <c r="AG622" t="str">
        <f>IF(AE622="","",IF(AE622="[FÓRMULA MANUAL]","",IFERROR(AVERAGEIFS(DATOS!$K$2:$K$20000,DATOS!$A$2:$A$20000,AE622,DATOS!$G$2:$G$20000,CONFIG_METADATA!$B$4,DATOS!$I$2:$I$20000,"Orquesta/Banda/Conjunto"),"")))</f>
        <v/>
      </c>
      <c r="AH622" t="str">
        <f>IF(AE622="","",IF(AE622="[FÓRMULA MANUAL]","",IFERROR(AVERAGEIFS(DATOS!$K$2:$K$20000,DATOS!$A$2:$A$20000,AE622,DATOS!$G$2:$G$20000,CONFIG_METADATA!$B$4,DATOS!$I$2:$I$20000,"Música de Cámara"),"")))</f>
        <v/>
      </c>
      <c r="AI622" t="str">
        <f>IF(AE622="","",IF(AE622="[FÓRMULA MANUAL]","",IFERROR(SUMPRODUCT((DATOS!$A$2:$A$20000=AE622)*(DATOS!$G$2:$G$20000=CONFIG_METADATA!$B$4)*(COUNTIF(CONFIG_ASIGNATURAS!$B$7:$B$27,DATOS!$I$2:$I$20000)&gt;0)*(DATOS!$K$2:$K$20000))/SUMPRODUCT((DATOS!$A$2:$A$20000=AE622)*(DATOS!$G$2:$G$20000=CONFIG_METADATA!$B$4)*(COUNTIF(CONFIG_ASIGNATURAS!$B$7:$B$27,DATOS!$I$2:$I$20000)&gt;0)*1),"")))</f>
        <v/>
      </c>
    </row>
    <row r="623" spans="2:35" x14ac:dyDescent="0.2">
      <c r="B623" t="str">
        <f>IF(A623="","",IF(A623="[FÓRMULA MANUAL]","",IFERROR(AVERAGEIFS(DATOS!$K$2:$K$20000,DATOS!$A$2:$A$20000,A623,DATOS!$G$2:$G$20000,CONFIG_METADATA!$B$4,DATOS!$I$2:$I$20000,"Lenguaje Musical"),"")))</f>
        <v/>
      </c>
      <c r="C623" t="str">
        <f>IF(A623="","",IF(A623="[FÓRMULA MANUAL]","",IFERROR(AVERAGEIFS(DATOS!$K$2:$K$20000,DATOS!$A$2:$A$20000,A623,DATOS!$G$2:$G$20000,CONFIG_METADATA!$B$4,DATOS!$I$2:$I$20000,"Orquesta/Banda/Conjunto"),"")))</f>
        <v/>
      </c>
      <c r="D623" t="str">
        <f>IF(A623="","",IF(A623="[FÓRMULA MANUAL]","",IFERROR(AVERAGEIFS(DATOS!$K$2:$K$20000,DATOS!$A$2:$A$20000,A623,DATOS!$G$2:$G$20000,CONFIG_METADATA!$B$4,DATOS!$I$2:$I$20000,"Conjunto"),"")))</f>
        <v/>
      </c>
      <c r="E623" t="str">
        <f>IF(A623="","",IF(A623="[FÓRMULA MANUAL]","",IFERROR(SUMPRODUCT((DATOS!$A$2:$A$20000=A623)*(DATOS!$G$2:$G$20000=CONFIG_METADATA!$B$4)*(COUNTIF(CONFIG_ASIGNATURAS!$B$7:$B$27,DATOS!$I$2:$I$20000)&gt;0)*(DATOS!$K$2:$K$20000))/SUMPRODUCT((DATOS!$A$2:$A$20000=A623)*(DATOS!$G$2:$G$20000=CONFIG_METADATA!$B$4)*(COUNTIF(CONFIG_ASIGNATURAS!$B$7:$B$27,DATOS!$I$2:$I$20000)&gt;0)*1),"")))</f>
        <v/>
      </c>
      <c r="H623" t="str">
        <f>IF(G623="","",IF(G623="[FÓRMULA MANUAL]","",IFERROR(AVERAGEIFS(DATOS!$K$2:$K$20000,DATOS!$A$2:$A$20000,G623,DATOS!$G$2:$G$20000,CONFIG_METADATA!$B$4,DATOS!$I$2:$I$20000,"Lenguaje Musical"),"")))</f>
        <v/>
      </c>
      <c r="I623" t="str">
        <f>IF(G623="","",IF(G623="[FÓRMULA MANUAL]","",IFERROR(AVERAGEIFS(DATOS!$K$2:$K$20000,DATOS!$A$2:$A$20000,G623,DATOS!$G$2:$G$20000,CONFIG_METADATA!$B$4,DATOS!$I$2:$I$20000,"Orquesta/Banda/Conjunto"),"")))</f>
        <v/>
      </c>
      <c r="J623" t="str">
        <f>IF(G623="","",IF(G623="[FÓRMULA MANUAL]","",IFERROR(AVERAGEIFS(DATOS!$K$2:$K$20000,DATOS!$A$2:$A$20000,G623,DATOS!$G$2:$G$20000,CONFIG_METADATA!$B$4,DATOS!$I$2:$I$20000,"Conjunto"),"")))</f>
        <v/>
      </c>
      <c r="K623" t="str">
        <f>IF(G623="","",IF(G623="[FÓRMULA MANUAL]","",IFERROR(SUMPRODUCT((DATOS!$A$2:$A$20000=G623)*(DATOS!$G$2:$G$20000=CONFIG_METADATA!$B$4)*(COUNTIF(CONFIG_ASIGNATURAS!$B$7:$B$27,DATOS!$I$2:$I$20000)&gt;0)*(DATOS!$K$2:$K$20000))/SUMPRODUCT((DATOS!$A$2:$A$20000=G623)*(DATOS!$G$2:$G$20000=CONFIG_METADATA!$B$4)*(COUNTIF(CONFIG_ASIGNATURAS!$B$7:$B$27,DATOS!$I$2:$I$20000)&gt;0)*1),"")))</f>
        <v/>
      </c>
      <c r="N623" t="str">
        <f>IF(M623="","",IF(M623="[FÓRMULA MANUAL]","",IFERROR(AVERAGEIFS(DATOS!$K$2:$K$20000,DATOS!$A$2:$A$20000,M623,DATOS!$G$2:$G$20000,CONFIG_METADATA!$B$4,DATOS!$I$2:$I$20000,"Armonía"),"")))</f>
        <v/>
      </c>
      <c r="O623" t="str">
        <f>IF(M623="","",IF(M623="[FÓRMULA MANUAL]","",IFERROR(AVERAGEIFS(DATOS!$K$2:$K$20000,DATOS!$A$2:$A$20000,M623,DATOS!$G$2:$G$20000,CONFIG_METADATA!$B$4,DATOS!$I$2:$I$20000,"Orquesta/Banda/Conjunto"),"")))</f>
        <v/>
      </c>
      <c r="P623" t="str">
        <f>IF(M623="","",IF(M623="[FÓRMULA MANUAL]","",IFERROR(AVERAGEIFS(DATOS!$K$2:$K$20000,DATOS!$A$2:$A$20000,M623,DATOS!$G$2:$G$20000,CONFIG_METADATA!$B$4,DATOS!$I$2:$I$20000,"Música de Cámara"),"")))</f>
        <v/>
      </c>
      <c r="Q623" t="str">
        <f>IF(M623="","",IF(M623="[FÓRMULA MANUAL]","",IFERROR(SUMPRODUCT((DATOS!$A$2:$A$20000=M623)*(DATOS!$G$2:$G$20000=CONFIG_METADATA!$B$4)*(COUNTIF(CONFIG_ASIGNATURAS!$B$7:$B$27,DATOS!$I$2:$I$20000)&gt;0)*(DATOS!$K$2:$K$20000))/SUMPRODUCT((DATOS!$A$2:$A$20000=M623)*(DATOS!$G$2:$G$20000=CONFIG_METADATA!$B$4)*(COUNTIF(CONFIG_ASIGNATURAS!$B$7:$B$27,DATOS!$I$2:$I$20000)&gt;0)*1),"")))</f>
        <v/>
      </c>
      <c r="T623" t="str">
        <f>IF(S623="","",IF(S623="[FÓRMULA MANUAL]","",IFERROR(AVERAGEIFS(DATOS!$K$2:$K$20000,DATOS!$A$2:$A$20000,S623,DATOS!$G$2:$G$20000,CONFIG_METADATA!$B$4,DATOS!$I$2:$I$20000,"Armonía"),"")))</f>
        <v/>
      </c>
      <c r="U623" t="str">
        <f>IF(S623="","",IF(S623="[FÓRMULA MANUAL]","",IFERROR(AVERAGEIFS(DATOS!$K$2:$K$20000,DATOS!$A$2:$A$20000,S623,DATOS!$G$2:$G$20000,CONFIG_METADATA!$B$4,DATOS!$I$2:$I$20000,"Orquesta/Banda/Conjunto"),"")))</f>
        <v/>
      </c>
      <c r="V623" t="str">
        <f>IF(S623="","",IF(S623="[FÓRMULA MANUAL]","",IFERROR(AVERAGEIFS(DATOS!$K$2:$K$20000,DATOS!$A$2:$A$20000,S623,DATOS!$G$2:$G$20000,CONFIG_METADATA!$B$4,DATOS!$I$2:$I$20000,"Música de Cámara"),"")))</f>
        <v/>
      </c>
      <c r="W623" t="str">
        <f>IF(S623="","",IF(S623="[FÓRMULA MANUAL]","",IFERROR(SUMPRODUCT((DATOS!$A$2:$A$20000=S623)*(DATOS!$G$2:$G$20000=CONFIG_METADATA!$B$4)*(COUNTIF(CONFIG_ASIGNATURAS!$B$7:$B$27,DATOS!$I$2:$I$20000)&gt;0)*(DATOS!$K$2:$K$20000))/SUMPRODUCT((DATOS!$A$2:$A$20000=S623)*(DATOS!$G$2:$G$20000=CONFIG_METADATA!$B$4)*(COUNTIF(CONFIG_ASIGNATURAS!$B$7:$B$27,DATOS!$I$2:$I$20000)&gt;0)*1),"")))</f>
        <v/>
      </c>
      <c r="Z623" t="str">
        <f>IF(Y623="","",IF(Y623="[FÓRMULA MANUAL]","",IFERROR(AVERAGEIFS(DATOS!$K$2:$K$20000,DATOS!$A$2:$A$20000,Y623,DATOS!$G$2:$G$20000,CONFIG_METADATA!$B$4,DATOS!$I$2:$I$20000,"Análisis"),"")))</f>
        <v/>
      </c>
      <c r="AA623" t="str">
        <f>IF(Y623="","",IF(Y623="[FÓRMULA MANUAL]","",IFERROR(AVERAGEIFS(DATOS!$K$2:$K$20000,DATOS!$A$2:$A$20000,Y623,DATOS!$G$2:$G$20000,CONFIG_METADATA!$B$4,DATOS!$I$2:$I$20000,"Orquesta/Banda/Conjunto"),"")))</f>
        <v/>
      </c>
      <c r="AB623" t="str">
        <f>IF(Y623="","",IF(Y623="[FÓRMULA MANUAL]","",IFERROR(AVERAGEIFS(DATOS!$K$2:$K$20000,DATOS!$A$2:$A$20000,Y623,DATOS!$G$2:$G$20000,CONFIG_METADATA!$B$4,DATOS!$I$2:$I$20000,"Música de Cámara"),"")))</f>
        <v/>
      </c>
      <c r="AC623" t="str">
        <f>IF(Y623="","",IF(Y623="[FÓRMULA MANUAL]","",IFERROR(SUMPRODUCT((DATOS!$A$2:$A$20000=Y623)*(DATOS!$G$2:$G$20000=CONFIG_METADATA!$B$4)*(COUNTIF(CONFIG_ASIGNATURAS!$B$7:$B$27,DATOS!$I$2:$I$20000)&gt;0)*(DATOS!$K$2:$K$20000))/SUMPRODUCT((DATOS!$A$2:$A$20000=Y623)*(DATOS!$G$2:$G$20000=CONFIG_METADATA!$B$4)*(COUNTIF(CONFIG_ASIGNATURAS!$B$7:$B$27,DATOS!$I$2:$I$20000)&gt;0)*1),"")))</f>
        <v/>
      </c>
      <c r="AF623" t="str">
        <f>IF(AE623="","",IF(AE623="[FÓRMULA MANUAL]","",IFERROR(AVERAGEIFS(DATOS!$K$2:$K$20000,DATOS!$A$2:$A$20000,AE623,DATOS!$G$2:$G$20000,CONFIG_METADATA!$B$4,DATOS!$I$2:$I$20000,"Análisis"),"")))</f>
        <v/>
      </c>
      <c r="AG623" t="str">
        <f>IF(AE623="","",IF(AE623="[FÓRMULA MANUAL]","",IFERROR(AVERAGEIFS(DATOS!$K$2:$K$20000,DATOS!$A$2:$A$20000,AE623,DATOS!$G$2:$G$20000,CONFIG_METADATA!$B$4,DATOS!$I$2:$I$20000,"Orquesta/Banda/Conjunto"),"")))</f>
        <v/>
      </c>
      <c r="AH623" t="str">
        <f>IF(AE623="","",IF(AE623="[FÓRMULA MANUAL]","",IFERROR(AVERAGEIFS(DATOS!$K$2:$K$20000,DATOS!$A$2:$A$20000,AE623,DATOS!$G$2:$G$20000,CONFIG_METADATA!$B$4,DATOS!$I$2:$I$20000,"Música de Cámara"),"")))</f>
        <v/>
      </c>
      <c r="AI623" t="str">
        <f>IF(AE623="","",IF(AE623="[FÓRMULA MANUAL]","",IFERROR(SUMPRODUCT((DATOS!$A$2:$A$20000=AE623)*(DATOS!$G$2:$G$20000=CONFIG_METADATA!$B$4)*(COUNTIF(CONFIG_ASIGNATURAS!$B$7:$B$27,DATOS!$I$2:$I$20000)&gt;0)*(DATOS!$K$2:$K$20000))/SUMPRODUCT((DATOS!$A$2:$A$20000=AE623)*(DATOS!$G$2:$G$20000=CONFIG_METADATA!$B$4)*(COUNTIF(CONFIG_ASIGNATURAS!$B$7:$B$27,DATOS!$I$2:$I$20000)&gt;0)*1),"")))</f>
        <v/>
      </c>
    </row>
    <row r="624" spans="2:35" x14ac:dyDescent="0.2">
      <c r="B624" t="str">
        <f>IF(A624="","",IF(A624="[FÓRMULA MANUAL]","",IFERROR(AVERAGEIFS(DATOS!$K$2:$K$20000,DATOS!$A$2:$A$20000,A624,DATOS!$G$2:$G$20000,CONFIG_METADATA!$B$4,DATOS!$I$2:$I$20000,"Lenguaje Musical"),"")))</f>
        <v/>
      </c>
      <c r="C624" t="str">
        <f>IF(A624="","",IF(A624="[FÓRMULA MANUAL]","",IFERROR(AVERAGEIFS(DATOS!$K$2:$K$20000,DATOS!$A$2:$A$20000,A624,DATOS!$G$2:$G$20000,CONFIG_METADATA!$B$4,DATOS!$I$2:$I$20000,"Orquesta/Banda/Conjunto"),"")))</f>
        <v/>
      </c>
      <c r="D624" t="str">
        <f>IF(A624="","",IF(A624="[FÓRMULA MANUAL]","",IFERROR(AVERAGEIFS(DATOS!$K$2:$K$20000,DATOS!$A$2:$A$20000,A624,DATOS!$G$2:$G$20000,CONFIG_METADATA!$B$4,DATOS!$I$2:$I$20000,"Conjunto"),"")))</f>
        <v/>
      </c>
      <c r="E624" t="str">
        <f>IF(A624="","",IF(A624="[FÓRMULA MANUAL]","",IFERROR(SUMPRODUCT((DATOS!$A$2:$A$20000=A624)*(DATOS!$G$2:$G$20000=CONFIG_METADATA!$B$4)*(COUNTIF(CONFIG_ASIGNATURAS!$B$7:$B$27,DATOS!$I$2:$I$20000)&gt;0)*(DATOS!$K$2:$K$20000))/SUMPRODUCT((DATOS!$A$2:$A$20000=A624)*(DATOS!$G$2:$G$20000=CONFIG_METADATA!$B$4)*(COUNTIF(CONFIG_ASIGNATURAS!$B$7:$B$27,DATOS!$I$2:$I$20000)&gt;0)*1),"")))</f>
        <v/>
      </c>
      <c r="H624" t="str">
        <f>IF(G624="","",IF(G624="[FÓRMULA MANUAL]","",IFERROR(AVERAGEIFS(DATOS!$K$2:$K$20000,DATOS!$A$2:$A$20000,G624,DATOS!$G$2:$G$20000,CONFIG_METADATA!$B$4,DATOS!$I$2:$I$20000,"Lenguaje Musical"),"")))</f>
        <v/>
      </c>
      <c r="I624" t="str">
        <f>IF(G624="","",IF(G624="[FÓRMULA MANUAL]","",IFERROR(AVERAGEIFS(DATOS!$K$2:$K$20000,DATOS!$A$2:$A$20000,G624,DATOS!$G$2:$G$20000,CONFIG_METADATA!$B$4,DATOS!$I$2:$I$20000,"Orquesta/Banda/Conjunto"),"")))</f>
        <v/>
      </c>
      <c r="J624" t="str">
        <f>IF(G624="","",IF(G624="[FÓRMULA MANUAL]","",IFERROR(AVERAGEIFS(DATOS!$K$2:$K$20000,DATOS!$A$2:$A$20000,G624,DATOS!$G$2:$G$20000,CONFIG_METADATA!$B$4,DATOS!$I$2:$I$20000,"Conjunto"),"")))</f>
        <v/>
      </c>
      <c r="K624" t="str">
        <f>IF(G624="","",IF(G624="[FÓRMULA MANUAL]","",IFERROR(SUMPRODUCT((DATOS!$A$2:$A$20000=G624)*(DATOS!$G$2:$G$20000=CONFIG_METADATA!$B$4)*(COUNTIF(CONFIG_ASIGNATURAS!$B$7:$B$27,DATOS!$I$2:$I$20000)&gt;0)*(DATOS!$K$2:$K$20000))/SUMPRODUCT((DATOS!$A$2:$A$20000=G624)*(DATOS!$G$2:$G$20000=CONFIG_METADATA!$B$4)*(COUNTIF(CONFIG_ASIGNATURAS!$B$7:$B$27,DATOS!$I$2:$I$20000)&gt;0)*1),"")))</f>
        <v/>
      </c>
      <c r="N624" t="str">
        <f>IF(M624="","",IF(M624="[FÓRMULA MANUAL]","",IFERROR(AVERAGEIFS(DATOS!$K$2:$K$20000,DATOS!$A$2:$A$20000,M624,DATOS!$G$2:$G$20000,CONFIG_METADATA!$B$4,DATOS!$I$2:$I$20000,"Armonía"),"")))</f>
        <v/>
      </c>
      <c r="O624" t="str">
        <f>IF(M624="","",IF(M624="[FÓRMULA MANUAL]","",IFERROR(AVERAGEIFS(DATOS!$K$2:$K$20000,DATOS!$A$2:$A$20000,M624,DATOS!$G$2:$G$20000,CONFIG_METADATA!$B$4,DATOS!$I$2:$I$20000,"Orquesta/Banda/Conjunto"),"")))</f>
        <v/>
      </c>
      <c r="P624" t="str">
        <f>IF(M624="","",IF(M624="[FÓRMULA MANUAL]","",IFERROR(AVERAGEIFS(DATOS!$K$2:$K$20000,DATOS!$A$2:$A$20000,M624,DATOS!$G$2:$G$20000,CONFIG_METADATA!$B$4,DATOS!$I$2:$I$20000,"Música de Cámara"),"")))</f>
        <v/>
      </c>
      <c r="Q624" t="str">
        <f>IF(M624="","",IF(M624="[FÓRMULA MANUAL]","",IFERROR(SUMPRODUCT((DATOS!$A$2:$A$20000=M624)*(DATOS!$G$2:$G$20000=CONFIG_METADATA!$B$4)*(COUNTIF(CONFIG_ASIGNATURAS!$B$7:$B$27,DATOS!$I$2:$I$20000)&gt;0)*(DATOS!$K$2:$K$20000))/SUMPRODUCT((DATOS!$A$2:$A$20000=M624)*(DATOS!$G$2:$G$20000=CONFIG_METADATA!$B$4)*(COUNTIF(CONFIG_ASIGNATURAS!$B$7:$B$27,DATOS!$I$2:$I$20000)&gt;0)*1),"")))</f>
        <v/>
      </c>
      <c r="T624" t="str">
        <f>IF(S624="","",IF(S624="[FÓRMULA MANUAL]","",IFERROR(AVERAGEIFS(DATOS!$K$2:$K$20000,DATOS!$A$2:$A$20000,S624,DATOS!$G$2:$G$20000,CONFIG_METADATA!$B$4,DATOS!$I$2:$I$20000,"Armonía"),"")))</f>
        <v/>
      </c>
      <c r="U624" t="str">
        <f>IF(S624="","",IF(S624="[FÓRMULA MANUAL]","",IFERROR(AVERAGEIFS(DATOS!$K$2:$K$20000,DATOS!$A$2:$A$20000,S624,DATOS!$G$2:$G$20000,CONFIG_METADATA!$B$4,DATOS!$I$2:$I$20000,"Orquesta/Banda/Conjunto"),"")))</f>
        <v/>
      </c>
      <c r="V624" t="str">
        <f>IF(S624="","",IF(S624="[FÓRMULA MANUAL]","",IFERROR(AVERAGEIFS(DATOS!$K$2:$K$20000,DATOS!$A$2:$A$20000,S624,DATOS!$G$2:$G$20000,CONFIG_METADATA!$B$4,DATOS!$I$2:$I$20000,"Música de Cámara"),"")))</f>
        <v/>
      </c>
      <c r="W624" t="str">
        <f>IF(S624="","",IF(S624="[FÓRMULA MANUAL]","",IFERROR(SUMPRODUCT((DATOS!$A$2:$A$20000=S624)*(DATOS!$G$2:$G$20000=CONFIG_METADATA!$B$4)*(COUNTIF(CONFIG_ASIGNATURAS!$B$7:$B$27,DATOS!$I$2:$I$20000)&gt;0)*(DATOS!$K$2:$K$20000))/SUMPRODUCT((DATOS!$A$2:$A$20000=S624)*(DATOS!$G$2:$G$20000=CONFIG_METADATA!$B$4)*(COUNTIF(CONFIG_ASIGNATURAS!$B$7:$B$27,DATOS!$I$2:$I$20000)&gt;0)*1),"")))</f>
        <v/>
      </c>
      <c r="Z624" t="str">
        <f>IF(Y624="","",IF(Y624="[FÓRMULA MANUAL]","",IFERROR(AVERAGEIFS(DATOS!$K$2:$K$20000,DATOS!$A$2:$A$20000,Y624,DATOS!$G$2:$G$20000,CONFIG_METADATA!$B$4,DATOS!$I$2:$I$20000,"Análisis"),"")))</f>
        <v/>
      </c>
      <c r="AA624" t="str">
        <f>IF(Y624="","",IF(Y624="[FÓRMULA MANUAL]","",IFERROR(AVERAGEIFS(DATOS!$K$2:$K$20000,DATOS!$A$2:$A$20000,Y624,DATOS!$G$2:$G$20000,CONFIG_METADATA!$B$4,DATOS!$I$2:$I$20000,"Orquesta/Banda/Conjunto"),"")))</f>
        <v/>
      </c>
      <c r="AB624" t="str">
        <f>IF(Y624="","",IF(Y624="[FÓRMULA MANUAL]","",IFERROR(AVERAGEIFS(DATOS!$K$2:$K$20000,DATOS!$A$2:$A$20000,Y624,DATOS!$G$2:$G$20000,CONFIG_METADATA!$B$4,DATOS!$I$2:$I$20000,"Música de Cámara"),"")))</f>
        <v/>
      </c>
      <c r="AC624" t="str">
        <f>IF(Y624="","",IF(Y624="[FÓRMULA MANUAL]","",IFERROR(SUMPRODUCT((DATOS!$A$2:$A$20000=Y624)*(DATOS!$G$2:$G$20000=CONFIG_METADATA!$B$4)*(COUNTIF(CONFIG_ASIGNATURAS!$B$7:$B$27,DATOS!$I$2:$I$20000)&gt;0)*(DATOS!$K$2:$K$20000))/SUMPRODUCT((DATOS!$A$2:$A$20000=Y624)*(DATOS!$G$2:$G$20000=CONFIG_METADATA!$B$4)*(COUNTIF(CONFIG_ASIGNATURAS!$B$7:$B$27,DATOS!$I$2:$I$20000)&gt;0)*1),"")))</f>
        <v/>
      </c>
      <c r="AF624" t="str">
        <f>IF(AE624="","",IF(AE624="[FÓRMULA MANUAL]","",IFERROR(AVERAGEIFS(DATOS!$K$2:$K$20000,DATOS!$A$2:$A$20000,AE624,DATOS!$G$2:$G$20000,CONFIG_METADATA!$B$4,DATOS!$I$2:$I$20000,"Análisis"),"")))</f>
        <v/>
      </c>
      <c r="AG624" t="str">
        <f>IF(AE624="","",IF(AE624="[FÓRMULA MANUAL]","",IFERROR(AVERAGEIFS(DATOS!$K$2:$K$20000,DATOS!$A$2:$A$20000,AE624,DATOS!$G$2:$G$20000,CONFIG_METADATA!$B$4,DATOS!$I$2:$I$20000,"Orquesta/Banda/Conjunto"),"")))</f>
        <v/>
      </c>
      <c r="AH624" t="str">
        <f>IF(AE624="","",IF(AE624="[FÓRMULA MANUAL]","",IFERROR(AVERAGEIFS(DATOS!$K$2:$K$20000,DATOS!$A$2:$A$20000,AE624,DATOS!$G$2:$G$20000,CONFIG_METADATA!$B$4,DATOS!$I$2:$I$20000,"Música de Cámara"),"")))</f>
        <v/>
      </c>
      <c r="AI624" t="str">
        <f>IF(AE624="","",IF(AE624="[FÓRMULA MANUAL]","",IFERROR(SUMPRODUCT((DATOS!$A$2:$A$20000=AE624)*(DATOS!$G$2:$G$20000=CONFIG_METADATA!$B$4)*(COUNTIF(CONFIG_ASIGNATURAS!$B$7:$B$27,DATOS!$I$2:$I$20000)&gt;0)*(DATOS!$K$2:$K$20000))/SUMPRODUCT((DATOS!$A$2:$A$20000=AE624)*(DATOS!$G$2:$G$20000=CONFIG_METADATA!$B$4)*(COUNTIF(CONFIG_ASIGNATURAS!$B$7:$B$27,DATOS!$I$2:$I$20000)&gt;0)*1),"")))</f>
        <v/>
      </c>
    </row>
    <row r="625" spans="2:35" x14ac:dyDescent="0.2">
      <c r="B625" t="str">
        <f>IF(A625="","",IF(A625="[FÓRMULA MANUAL]","",IFERROR(AVERAGEIFS(DATOS!$K$2:$K$20000,DATOS!$A$2:$A$20000,A625,DATOS!$G$2:$G$20000,CONFIG_METADATA!$B$4,DATOS!$I$2:$I$20000,"Lenguaje Musical"),"")))</f>
        <v/>
      </c>
      <c r="C625" t="str">
        <f>IF(A625="","",IF(A625="[FÓRMULA MANUAL]","",IFERROR(AVERAGEIFS(DATOS!$K$2:$K$20000,DATOS!$A$2:$A$20000,A625,DATOS!$G$2:$G$20000,CONFIG_METADATA!$B$4,DATOS!$I$2:$I$20000,"Orquesta/Banda/Conjunto"),"")))</f>
        <v/>
      </c>
      <c r="D625" t="str">
        <f>IF(A625="","",IF(A625="[FÓRMULA MANUAL]","",IFERROR(AVERAGEIFS(DATOS!$K$2:$K$20000,DATOS!$A$2:$A$20000,A625,DATOS!$G$2:$G$20000,CONFIG_METADATA!$B$4,DATOS!$I$2:$I$20000,"Conjunto"),"")))</f>
        <v/>
      </c>
      <c r="E625" t="str">
        <f>IF(A625="","",IF(A625="[FÓRMULA MANUAL]","",IFERROR(SUMPRODUCT((DATOS!$A$2:$A$20000=A625)*(DATOS!$G$2:$G$20000=CONFIG_METADATA!$B$4)*(COUNTIF(CONFIG_ASIGNATURAS!$B$7:$B$27,DATOS!$I$2:$I$20000)&gt;0)*(DATOS!$K$2:$K$20000))/SUMPRODUCT((DATOS!$A$2:$A$20000=A625)*(DATOS!$G$2:$G$20000=CONFIG_METADATA!$B$4)*(COUNTIF(CONFIG_ASIGNATURAS!$B$7:$B$27,DATOS!$I$2:$I$20000)&gt;0)*1),"")))</f>
        <v/>
      </c>
      <c r="H625" t="str">
        <f>IF(G625="","",IF(G625="[FÓRMULA MANUAL]","",IFERROR(AVERAGEIFS(DATOS!$K$2:$K$20000,DATOS!$A$2:$A$20000,G625,DATOS!$G$2:$G$20000,CONFIG_METADATA!$B$4,DATOS!$I$2:$I$20000,"Lenguaje Musical"),"")))</f>
        <v/>
      </c>
      <c r="I625" t="str">
        <f>IF(G625="","",IF(G625="[FÓRMULA MANUAL]","",IFERROR(AVERAGEIFS(DATOS!$K$2:$K$20000,DATOS!$A$2:$A$20000,G625,DATOS!$G$2:$G$20000,CONFIG_METADATA!$B$4,DATOS!$I$2:$I$20000,"Orquesta/Banda/Conjunto"),"")))</f>
        <v/>
      </c>
      <c r="J625" t="str">
        <f>IF(G625="","",IF(G625="[FÓRMULA MANUAL]","",IFERROR(AVERAGEIFS(DATOS!$K$2:$K$20000,DATOS!$A$2:$A$20000,G625,DATOS!$G$2:$G$20000,CONFIG_METADATA!$B$4,DATOS!$I$2:$I$20000,"Conjunto"),"")))</f>
        <v/>
      </c>
      <c r="K625" t="str">
        <f>IF(G625="","",IF(G625="[FÓRMULA MANUAL]","",IFERROR(SUMPRODUCT((DATOS!$A$2:$A$20000=G625)*(DATOS!$G$2:$G$20000=CONFIG_METADATA!$B$4)*(COUNTIF(CONFIG_ASIGNATURAS!$B$7:$B$27,DATOS!$I$2:$I$20000)&gt;0)*(DATOS!$K$2:$K$20000))/SUMPRODUCT((DATOS!$A$2:$A$20000=G625)*(DATOS!$G$2:$G$20000=CONFIG_METADATA!$B$4)*(COUNTIF(CONFIG_ASIGNATURAS!$B$7:$B$27,DATOS!$I$2:$I$20000)&gt;0)*1),"")))</f>
        <v/>
      </c>
      <c r="N625" t="str">
        <f>IF(M625="","",IF(M625="[FÓRMULA MANUAL]","",IFERROR(AVERAGEIFS(DATOS!$K$2:$K$20000,DATOS!$A$2:$A$20000,M625,DATOS!$G$2:$G$20000,CONFIG_METADATA!$B$4,DATOS!$I$2:$I$20000,"Armonía"),"")))</f>
        <v/>
      </c>
      <c r="O625" t="str">
        <f>IF(M625="","",IF(M625="[FÓRMULA MANUAL]","",IFERROR(AVERAGEIFS(DATOS!$K$2:$K$20000,DATOS!$A$2:$A$20000,M625,DATOS!$G$2:$G$20000,CONFIG_METADATA!$B$4,DATOS!$I$2:$I$20000,"Orquesta/Banda/Conjunto"),"")))</f>
        <v/>
      </c>
      <c r="P625" t="str">
        <f>IF(M625="","",IF(M625="[FÓRMULA MANUAL]","",IFERROR(AVERAGEIFS(DATOS!$K$2:$K$20000,DATOS!$A$2:$A$20000,M625,DATOS!$G$2:$G$20000,CONFIG_METADATA!$B$4,DATOS!$I$2:$I$20000,"Música de Cámara"),"")))</f>
        <v/>
      </c>
      <c r="Q625" t="str">
        <f>IF(M625="","",IF(M625="[FÓRMULA MANUAL]","",IFERROR(SUMPRODUCT((DATOS!$A$2:$A$20000=M625)*(DATOS!$G$2:$G$20000=CONFIG_METADATA!$B$4)*(COUNTIF(CONFIG_ASIGNATURAS!$B$7:$B$27,DATOS!$I$2:$I$20000)&gt;0)*(DATOS!$K$2:$K$20000))/SUMPRODUCT((DATOS!$A$2:$A$20000=M625)*(DATOS!$G$2:$G$20000=CONFIG_METADATA!$B$4)*(COUNTIF(CONFIG_ASIGNATURAS!$B$7:$B$27,DATOS!$I$2:$I$20000)&gt;0)*1),"")))</f>
        <v/>
      </c>
      <c r="T625" t="str">
        <f>IF(S625="","",IF(S625="[FÓRMULA MANUAL]","",IFERROR(AVERAGEIFS(DATOS!$K$2:$K$20000,DATOS!$A$2:$A$20000,S625,DATOS!$G$2:$G$20000,CONFIG_METADATA!$B$4,DATOS!$I$2:$I$20000,"Armonía"),"")))</f>
        <v/>
      </c>
      <c r="U625" t="str">
        <f>IF(S625="","",IF(S625="[FÓRMULA MANUAL]","",IFERROR(AVERAGEIFS(DATOS!$K$2:$K$20000,DATOS!$A$2:$A$20000,S625,DATOS!$G$2:$G$20000,CONFIG_METADATA!$B$4,DATOS!$I$2:$I$20000,"Orquesta/Banda/Conjunto"),"")))</f>
        <v/>
      </c>
      <c r="V625" t="str">
        <f>IF(S625="","",IF(S625="[FÓRMULA MANUAL]","",IFERROR(AVERAGEIFS(DATOS!$K$2:$K$20000,DATOS!$A$2:$A$20000,S625,DATOS!$G$2:$G$20000,CONFIG_METADATA!$B$4,DATOS!$I$2:$I$20000,"Música de Cámara"),"")))</f>
        <v/>
      </c>
      <c r="W625" t="str">
        <f>IF(S625="","",IF(S625="[FÓRMULA MANUAL]","",IFERROR(SUMPRODUCT((DATOS!$A$2:$A$20000=S625)*(DATOS!$G$2:$G$20000=CONFIG_METADATA!$B$4)*(COUNTIF(CONFIG_ASIGNATURAS!$B$7:$B$27,DATOS!$I$2:$I$20000)&gt;0)*(DATOS!$K$2:$K$20000))/SUMPRODUCT((DATOS!$A$2:$A$20000=S625)*(DATOS!$G$2:$G$20000=CONFIG_METADATA!$B$4)*(COUNTIF(CONFIG_ASIGNATURAS!$B$7:$B$27,DATOS!$I$2:$I$20000)&gt;0)*1),"")))</f>
        <v/>
      </c>
      <c r="Z625" t="str">
        <f>IF(Y625="","",IF(Y625="[FÓRMULA MANUAL]","",IFERROR(AVERAGEIFS(DATOS!$K$2:$K$20000,DATOS!$A$2:$A$20000,Y625,DATOS!$G$2:$G$20000,CONFIG_METADATA!$B$4,DATOS!$I$2:$I$20000,"Análisis"),"")))</f>
        <v/>
      </c>
      <c r="AA625" t="str">
        <f>IF(Y625="","",IF(Y625="[FÓRMULA MANUAL]","",IFERROR(AVERAGEIFS(DATOS!$K$2:$K$20000,DATOS!$A$2:$A$20000,Y625,DATOS!$G$2:$G$20000,CONFIG_METADATA!$B$4,DATOS!$I$2:$I$20000,"Orquesta/Banda/Conjunto"),"")))</f>
        <v/>
      </c>
      <c r="AB625" t="str">
        <f>IF(Y625="","",IF(Y625="[FÓRMULA MANUAL]","",IFERROR(AVERAGEIFS(DATOS!$K$2:$K$20000,DATOS!$A$2:$A$20000,Y625,DATOS!$G$2:$G$20000,CONFIG_METADATA!$B$4,DATOS!$I$2:$I$20000,"Música de Cámara"),"")))</f>
        <v/>
      </c>
      <c r="AC625" t="str">
        <f>IF(Y625="","",IF(Y625="[FÓRMULA MANUAL]","",IFERROR(SUMPRODUCT((DATOS!$A$2:$A$20000=Y625)*(DATOS!$G$2:$G$20000=CONFIG_METADATA!$B$4)*(COUNTIF(CONFIG_ASIGNATURAS!$B$7:$B$27,DATOS!$I$2:$I$20000)&gt;0)*(DATOS!$K$2:$K$20000))/SUMPRODUCT((DATOS!$A$2:$A$20000=Y625)*(DATOS!$G$2:$G$20000=CONFIG_METADATA!$B$4)*(COUNTIF(CONFIG_ASIGNATURAS!$B$7:$B$27,DATOS!$I$2:$I$20000)&gt;0)*1),"")))</f>
        <v/>
      </c>
      <c r="AF625" t="str">
        <f>IF(AE625="","",IF(AE625="[FÓRMULA MANUAL]","",IFERROR(AVERAGEIFS(DATOS!$K$2:$K$20000,DATOS!$A$2:$A$20000,AE625,DATOS!$G$2:$G$20000,CONFIG_METADATA!$B$4,DATOS!$I$2:$I$20000,"Análisis"),"")))</f>
        <v/>
      </c>
      <c r="AG625" t="str">
        <f>IF(AE625="","",IF(AE625="[FÓRMULA MANUAL]","",IFERROR(AVERAGEIFS(DATOS!$K$2:$K$20000,DATOS!$A$2:$A$20000,AE625,DATOS!$G$2:$G$20000,CONFIG_METADATA!$B$4,DATOS!$I$2:$I$20000,"Orquesta/Banda/Conjunto"),"")))</f>
        <v/>
      </c>
      <c r="AH625" t="str">
        <f>IF(AE625="","",IF(AE625="[FÓRMULA MANUAL]","",IFERROR(AVERAGEIFS(DATOS!$K$2:$K$20000,DATOS!$A$2:$A$20000,AE625,DATOS!$G$2:$G$20000,CONFIG_METADATA!$B$4,DATOS!$I$2:$I$20000,"Música de Cámara"),"")))</f>
        <v/>
      </c>
      <c r="AI625" t="str">
        <f>IF(AE625="","",IF(AE625="[FÓRMULA MANUAL]","",IFERROR(SUMPRODUCT((DATOS!$A$2:$A$20000=AE625)*(DATOS!$G$2:$G$20000=CONFIG_METADATA!$B$4)*(COUNTIF(CONFIG_ASIGNATURAS!$B$7:$B$27,DATOS!$I$2:$I$20000)&gt;0)*(DATOS!$K$2:$K$20000))/SUMPRODUCT((DATOS!$A$2:$A$20000=AE625)*(DATOS!$G$2:$G$20000=CONFIG_METADATA!$B$4)*(COUNTIF(CONFIG_ASIGNATURAS!$B$7:$B$27,DATOS!$I$2:$I$20000)&gt;0)*1),"")))</f>
        <v/>
      </c>
    </row>
    <row r="626" spans="2:35" x14ac:dyDescent="0.2">
      <c r="B626" t="str">
        <f>IF(A626="","",IF(A626="[FÓRMULA MANUAL]","",IFERROR(AVERAGEIFS(DATOS!$K$2:$K$20000,DATOS!$A$2:$A$20000,A626,DATOS!$G$2:$G$20000,CONFIG_METADATA!$B$4,DATOS!$I$2:$I$20000,"Lenguaje Musical"),"")))</f>
        <v/>
      </c>
      <c r="C626" t="str">
        <f>IF(A626="","",IF(A626="[FÓRMULA MANUAL]","",IFERROR(AVERAGEIFS(DATOS!$K$2:$K$20000,DATOS!$A$2:$A$20000,A626,DATOS!$G$2:$G$20000,CONFIG_METADATA!$B$4,DATOS!$I$2:$I$20000,"Orquesta/Banda/Conjunto"),"")))</f>
        <v/>
      </c>
      <c r="D626" t="str">
        <f>IF(A626="","",IF(A626="[FÓRMULA MANUAL]","",IFERROR(AVERAGEIFS(DATOS!$K$2:$K$20000,DATOS!$A$2:$A$20000,A626,DATOS!$G$2:$G$20000,CONFIG_METADATA!$B$4,DATOS!$I$2:$I$20000,"Conjunto"),"")))</f>
        <v/>
      </c>
      <c r="E626" t="str">
        <f>IF(A626="","",IF(A626="[FÓRMULA MANUAL]","",IFERROR(SUMPRODUCT((DATOS!$A$2:$A$20000=A626)*(DATOS!$G$2:$G$20000=CONFIG_METADATA!$B$4)*(COUNTIF(CONFIG_ASIGNATURAS!$B$7:$B$27,DATOS!$I$2:$I$20000)&gt;0)*(DATOS!$K$2:$K$20000))/SUMPRODUCT((DATOS!$A$2:$A$20000=A626)*(DATOS!$G$2:$G$20000=CONFIG_METADATA!$B$4)*(COUNTIF(CONFIG_ASIGNATURAS!$B$7:$B$27,DATOS!$I$2:$I$20000)&gt;0)*1),"")))</f>
        <v/>
      </c>
      <c r="H626" t="str">
        <f>IF(G626="","",IF(G626="[FÓRMULA MANUAL]","",IFERROR(AVERAGEIFS(DATOS!$K$2:$K$20000,DATOS!$A$2:$A$20000,G626,DATOS!$G$2:$G$20000,CONFIG_METADATA!$B$4,DATOS!$I$2:$I$20000,"Lenguaje Musical"),"")))</f>
        <v/>
      </c>
      <c r="I626" t="str">
        <f>IF(G626="","",IF(G626="[FÓRMULA MANUAL]","",IFERROR(AVERAGEIFS(DATOS!$K$2:$K$20000,DATOS!$A$2:$A$20000,G626,DATOS!$G$2:$G$20000,CONFIG_METADATA!$B$4,DATOS!$I$2:$I$20000,"Orquesta/Banda/Conjunto"),"")))</f>
        <v/>
      </c>
      <c r="J626" t="str">
        <f>IF(G626="","",IF(G626="[FÓRMULA MANUAL]","",IFERROR(AVERAGEIFS(DATOS!$K$2:$K$20000,DATOS!$A$2:$A$20000,G626,DATOS!$G$2:$G$20000,CONFIG_METADATA!$B$4,DATOS!$I$2:$I$20000,"Conjunto"),"")))</f>
        <v/>
      </c>
      <c r="K626" t="str">
        <f>IF(G626="","",IF(G626="[FÓRMULA MANUAL]","",IFERROR(SUMPRODUCT((DATOS!$A$2:$A$20000=G626)*(DATOS!$G$2:$G$20000=CONFIG_METADATA!$B$4)*(COUNTIF(CONFIG_ASIGNATURAS!$B$7:$B$27,DATOS!$I$2:$I$20000)&gt;0)*(DATOS!$K$2:$K$20000))/SUMPRODUCT((DATOS!$A$2:$A$20000=G626)*(DATOS!$G$2:$G$20000=CONFIG_METADATA!$B$4)*(COUNTIF(CONFIG_ASIGNATURAS!$B$7:$B$27,DATOS!$I$2:$I$20000)&gt;0)*1),"")))</f>
        <v/>
      </c>
      <c r="N626" t="str">
        <f>IF(M626="","",IF(M626="[FÓRMULA MANUAL]","",IFERROR(AVERAGEIFS(DATOS!$K$2:$K$20000,DATOS!$A$2:$A$20000,M626,DATOS!$G$2:$G$20000,CONFIG_METADATA!$B$4,DATOS!$I$2:$I$20000,"Armonía"),"")))</f>
        <v/>
      </c>
      <c r="O626" t="str">
        <f>IF(M626="","",IF(M626="[FÓRMULA MANUAL]","",IFERROR(AVERAGEIFS(DATOS!$K$2:$K$20000,DATOS!$A$2:$A$20000,M626,DATOS!$G$2:$G$20000,CONFIG_METADATA!$B$4,DATOS!$I$2:$I$20000,"Orquesta/Banda/Conjunto"),"")))</f>
        <v/>
      </c>
      <c r="P626" t="str">
        <f>IF(M626="","",IF(M626="[FÓRMULA MANUAL]","",IFERROR(AVERAGEIFS(DATOS!$K$2:$K$20000,DATOS!$A$2:$A$20000,M626,DATOS!$G$2:$G$20000,CONFIG_METADATA!$B$4,DATOS!$I$2:$I$20000,"Música de Cámara"),"")))</f>
        <v/>
      </c>
      <c r="Q626" t="str">
        <f>IF(M626="","",IF(M626="[FÓRMULA MANUAL]","",IFERROR(SUMPRODUCT((DATOS!$A$2:$A$20000=M626)*(DATOS!$G$2:$G$20000=CONFIG_METADATA!$B$4)*(COUNTIF(CONFIG_ASIGNATURAS!$B$7:$B$27,DATOS!$I$2:$I$20000)&gt;0)*(DATOS!$K$2:$K$20000))/SUMPRODUCT((DATOS!$A$2:$A$20000=M626)*(DATOS!$G$2:$G$20000=CONFIG_METADATA!$B$4)*(COUNTIF(CONFIG_ASIGNATURAS!$B$7:$B$27,DATOS!$I$2:$I$20000)&gt;0)*1),"")))</f>
        <v/>
      </c>
      <c r="T626" t="str">
        <f>IF(S626="","",IF(S626="[FÓRMULA MANUAL]","",IFERROR(AVERAGEIFS(DATOS!$K$2:$K$20000,DATOS!$A$2:$A$20000,S626,DATOS!$G$2:$G$20000,CONFIG_METADATA!$B$4,DATOS!$I$2:$I$20000,"Armonía"),"")))</f>
        <v/>
      </c>
      <c r="U626" t="str">
        <f>IF(S626="","",IF(S626="[FÓRMULA MANUAL]","",IFERROR(AVERAGEIFS(DATOS!$K$2:$K$20000,DATOS!$A$2:$A$20000,S626,DATOS!$G$2:$G$20000,CONFIG_METADATA!$B$4,DATOS!$I$2:$I$20000,"Orquesta/Banda/Conjunto"),"")))</f>
        <v/>
      </c>
      <c r="V626" t="str">
        <f>IF(S626="","",IF(S626="[FÓRMULA MANUAL]","",IFERROR(AVERAGEIFS(DATOS!$K$2:$K$20000,DATOS!$A$2:$A$20000,S626,DATOS!$G$2:$G$20000,CONFIG_METADATA!$B$4,DATOS!$I$2:$I$20000,"Música de Cámara"),"")))</f>
        <v/>
      </c>
      <c r="W626" t="str">
        <f>IF(S626="","",IF(S626="[FÓRMULA MANUAL]","",IFERROR(SUMPRODUCT((DATOS!$A$2:$A$20000=S626)*(DATOS!$G$2:$G$20000=CONFIG_METADATA!$B$4)*(COUNTIF(CONFIG_ASIGNATURAS!$B$7:$B$27,DATOS!$I$2:$I$20000)&gt;0)*(DATOS!$K$2:$K$20000))/SUMPRODUCT((DATOS!$A$2:$A$20000=S626)*(DATOS!$G$2:$G$20000=CONFIG_METADATA!$B$4)*(COUNTIF(CONFIG_ASIGNATURAS!$B$7:$B$27,DATOS!$I$2:$I$20000)&gt;0)*1),"")))</f>
        <v/>
      </c>
      <c r="Z626" t="str">
        <f>IF(Y626="","",IF(Y626="[FÓRMULA MANUAL]","",IFERROR(AVERAGEIFS(DATOS!$K$2:$K$20000,DATOS!$A$2:$A$20000,Y626,DATOS!$G$2:$G$20000,CONFIG_METADATA!$B$4,DATOS!$I$2:$I$20000,"Análisis"),"")))</f>
        <v/>
      </c>
      <c r="AA626" t="str">
        <f>IF(Y626="","",IF(Y626="[FÓRMULA MANUAL]","",IFERROR(AVERAGEIFS(DATOS!$K$2:$K$20000,DATOS!$A$2:$A$20000,Y626,DATOS!$G$2:$G$20000,CONFIG_METADATA!$B$4,DATOS!$I$2:$I$20000,"Orquesta/Banda/Conjunto"),"")))</f>
        <v/>
      </c>
      <c r="AB626" t="str">
        <f>IF(Y626="","",IF(Y626="[FÓRMULA MANUAL]","",IFERROR(AVERAGEIFS(DATOS!$K$2:$K$20000,DATOS!$A$2:$A$20000,Y626,DATOS!$G$2:$G$20000,CONFIG_METADATA!$B$4,DATOS!$I$2:$I$20000,"Música de Cámara"),"")))</f>
        <v/>
      </c>
      <c r="AC626" t="str">
        <f>IF(Y626="","",IF(Y626="[FÓRMULA MANUAL]","",IFERROR(SUMPRODUCT((DATOS!$A$2:$A$20000=Y626)*(DATOS!$G$2:$G$20000=CONFIG_METADATA!$B$4)*(COUNTIF(CONFIG_ASIGNATURAS!$B$7:$B$27,DATOS!$I$2:$I$20000)&gt;0)*(DATOS!$K$2:$K$20000))/SUMPRODUCT((DATOS!$A$2:$A$20000=Y626)*(DATOS!$G$2:$G$20000=CONFIG_METADATA!$B$4)*(COUNTIF(CONFIG_ASIGNATURAS!$B$7:$B$27,DATOS!$I$2:$I$20000)&gt;0)*1),"")))</f>
        <v/>
      </c>
      <c r="AF626" t="str">
        <f>IF(AE626="","",IF(AE626="[FÓRMULA MANUAL]","",IFERROR(AVERAGEIFS(DATOS!$K$2:$K$20000,DATOS!$A$2:$A$20000,AE626,DATOS!$G$2:$G$20000,CONFIG_METADATA!$B$4,DATOS!$I$2:$I$20000,"Análisis"),"")))</f>
        <v/>
      </c>
      <c r="AG626" t="str">
        <f>IF(AE626="","",IF(AE626="[FÓRMULA MANUAL]","",IFERROR(AVERAGEIFS(DATOS!$K$2:$K$20000,DATOS!$A$2:$A$20000,AE626,DATOS!$G$2:$G$20000,CONFIG_METADATA!$B$4,DATOS!$I$2:$I$20000,"Orquesta/Banda/Conjunto"),"")))</f>
        <v/>
      </c>
      <c r="AH626" t="str">
        <f>IF(AE626="","",IF(AE626="[FÓRMULA MANUAL]","",IFERROR(AVERAGEIFS(DATOS!$K$2:$K$20000,DATOS!$A$2:$A$20000,AE626,DATOS!$G$2:$G$20000,CONFIG_METADATA!$B$4,DATOS!$I$2:$I$20000,"Música de Cámara"),"")))</f>
        <v/>
      </c>
      <c r="AI626" t="str">
        <f>IF(AE626="","",IF(AE626="[FÓRMULA MANUAL]","",IFERROR(SUMPRODUCT((DATOS!$A$2:$A$20000=AE626)*(DATOS!$G$2:$G$20000=CONFIG_METADATA!$B$4)*(COUNTIF(CONFIG_ASIGNATURAS!$B$7:$B$27,DATOS!$I$2:$I$20000)&gt;0)*(DATOS!$K$2:$K$20000))/SUMPRODUCT((DATOS!$A$2:$A$20000=AE626)*(DATOS!$G$2:$G$20000=CONFIG_METADATA!$B$4)*(COUNTIF(CONFIG_ASIGNATURAS!$B$7:$B$27,DATOS!$I$2:$I$20000)&gt;0)*1),"")))</f>
        <v/>
      </c>
    </row>
    <row r="627" spans="2:35" x14ac:dyDescent="0.2">
      <c r="B627" t="str">
        <f>IF(A627="","",IF(A627="[FÓRMULA MANUAL]","",IFERROR(AVERAGEIFS(DATOS!$K$2:$K$20000,DATOS!$A$2:$A$20000,A627,DATOS!$G$2:$G$20000,CONFIG_METADATA!$B$4,DATOS!$I$2:$I$20000,"Lenguaje Musical"),"")))</f>
        <v/>
      </c>
      <c r="C627" t="str">
        <f>IF(A627="","",IF(A627="[FÓRMULA MANUAL]","",IFERROR(AVERAGEIFS(DATOS!$K$2:$K$20000,DATOS!$A$2:$A$20000,A627,DATOS!$G$2:$G$20000,CONFIG_METADATA!$B$4,DATOS!$I$2:$I$20000,"Orquesta/Banda/Conjunto"),"")))</f>
        <v/>
      </c>
      <c r="D627" t="str">
        <f>IF(A627="","",IF(A627="[FÓRMULA MANUAL]","",IFERROR(AVERAGEIFS(DATOS!$K$2:$K$20000,DATOS!$A$2:$A$20000,A627,DATOS!$G$2:$G$20000,CONFIG_METADATA!$B$4,DATOS!$I$2:$I$20000,"Conjunto"),"")))</f>
        <v/>
      </c>
      <c r="E627" t="str">
        <f>IF(A627="","",IF(A627="[FÓRMULA MANUAL]","",IFERROR(SUMPRODUCT((DATOS!$A$2:$A$20000=A627)*(DATOS!$G$2:$G$20000=CONFIG_METADATA!$B$4)*(COUNTIF(CONFIG_ASIGNATURAS!$B$7:$B$27,DATOS!$I$2:$I$20000)&gt;0)*(DATOS!$K$2:$K$20000))/SUMPRODUCT((DATOS!$A$2:$A$20000=A627)*(DATOS!$G$2:$G$20000=CONFIG_METADATA!$B$4)*(COUNTIF(CONFIG_ASIGNATURAS!$B$7:$B$27,DATOS!$I$2:$I$20000)&gt;0)*1),"")))</f>
        <v/>
      </c>
      <c r="H627" t="str">
        <f>IF(G627="","",IF(G627="[FÓRMULA MANUAL]","",IFERROR(AVERAGEIFS(DATOS!$K$2:$K$20000,DATOS!$A$2:$A$20000,G627,DATOS!$G$2:$G$20000,CONFIG_METADATA!$B$4,DATOS!$I$2:$I$20000,"Lenguaje Musical"),"")))</f>
        <v/>
      </c>
      <c r="I627" t="str">
        <f>IF(G627="","",IF(G627="[FÓRMULA MANUAL]","",IFERROR(AVERAGEIFS(DATOS!$K$2:$K$20000,DATOS!$A$2:$A$20000,G627,DATOS!$G$2:$G$20000,CONFIG_METADATA!$B$4,DATOS!$I$2:$I$20000,"Orquesta/Banda/Conjunto"),"")))</f>
        <v/>
      </c>
      <c r="J627" t="str">
        <f>IF(G627="","",IF(G627="[FÓRMULA MANUAL]","",IFERROR(AVERAGEIFS(DATOS!$K$2:$K$20000,DATOS!$A$2:$A$20000,G627,DATOS!$G$2:$G$20000,CONFIG_METADATA!$B$4,DATOS!$I$2:$I$20000,"Conjunto"),"")))</f>
        <v/>
      </c>
      <c r="K627" t="str">
        <f>IF(G627="","",IF(G627="[FÓRMULA MANUAL]","",IFERROR(SUMPRODUCT((DATOS!$A$2:$A$20000=G627)*(DATOS!$G$2:$G$20000=CONFIG_METADATA!$B$4)*(COUNTIF(CONFIG_ASIGNATURAS!$B$7:$B$27,DATOS!$I$2:$I$20000)&gt;0)*(DATOS!$K$2:$K$20000))/SUMPRODUCT((DATOS!$A$2:$A$20000=G627)*(DATOS!$G$2:$G$20000=CONFIG_METADATA!$B$4)*(COUNTIF(CONFIG_ASIGNATURAS!$B$7:$B$27,DATOS!$I$2:$I$20000)&gt;0)*1),"")))</f>
        <v/>
      </c>
      <c r="N627" t="str">
        <f>IF(M627="","",IF(M627="[FÓRMULA MANUAL]","",IFERROR(AVERAGEIFS(DATOS!$K$2:$K$20000,DATOS!$A$2:$A$20000,M627,DATOS!$G$2:$G$20000,CONFIG_METADATA!$B$4,DATOS!$I$2:$I$20000,"Armonía"),"")))</f>
        <v/>
      </c>
      <c r="O627" t="str">
        <f>IF(M627="","",IF(M627="[FÓRMULA MANUAL]","",IFERROR(AVERAGEIFS(DATOS!$K$2:$K$20000,DATOS!$A$2:$A$20000,M627,DATOS!$G$2:$G$20000,CONFIG_METADATA!$B$4,DATOS!$I$2:$I$20000,"Orquesta/Banda/Conjunto"),"")))</f>
        <v/>
      </c>
      <c r="P627" t="str">
        <f>IF(M627="","",IF(M627="[FÓRMULA MANUAL]","",IFERROR(AVERAGEIFS(DATOS!$K$2:$K$20000,DATOS!$A$2:$A$20000,M627,DATOS!$G$2:$G$20000,CONFIG_METADATA!$B$4,DATOS!$I$2:$I$20000,"Música de Cámara"),"")))</f>
        <v/>
      </c>
      <c r="Q627" t="str">
        <f>IF(M627="","",IF(M627="[FÓRMULA MANUAL]","",IFERROR(SUMPRODUCT((DATOS!$A$2:$A$20000=M627)*(DATOS!$G$2:$G$20000=CONFIG_METADATA!$B$4)*(COUNTIF(CONFIG_ASIGNATURAS!$B$7:$B$27,DATOS!$I$2:$I$20000)&gt;0)*(DATOS!$K$2:$K$20000))/SUMPRODUCT((DATOS!$A$2:$A$20000=M627)*(DATOS!$G$2:$G$20000=CONFIG_METADATA!$B$4)*(COUNTIF(CONFIG_ASIGNATURAS!$B$7:$B$27,DATOS!$I$2:$I$20000)&gt;0)*1),"")))</f>
        <v/>
      </c>
      <c r="T627" t="str">
        <f>IF(S627="","",IF(S627="[FÓRMULA MANUAL]","",IFERROR(AVERAGEIFS(DATOS!$K$2:$K$20000,DATOS!$A$2:$A$20000,S627,DATOS!$G$2:$G$20000,CONFIG_METADATA!$B$4,DATOS!$I$2:$I$20000,"Armonía"),"")))</f>
        <v/>
      </c>
      <c r="U627" t="str">
        <f>IF(S627="","",IF(S627="[FÓRMULA MANUAL]","",IFERROR(AVERAGEIFS(DATOS!$K$2:$K$20000,DATOS!$A$2:$A$20000,S627,DATOS!$G$2:$G$20000,CONFIG_METADATA!$B$4,DATOS!$I$2:$I$20000,"Orquesta/Banda/Conjunto"),"")))</f>
        <v/>
      </c>
      <c r="V627" t="str">
        <f>IF(S627="","",IF(S627="[FÓRMULA MANUAL]","",IFERROR(AVERAGEIFS(DATOS!$K$2:$K$20000,DATOS!$A$2:$A$20000,S627,DATOS!$G$2:$G$20000,CONFIG_METADATA!$B$4,DATOS!$I$2:$I$20000,"Música de Cámara"),"")))</f>
        <v/>
      </c>
      <c r="W627" t="str">
        <f>IF(S627="","",IF(S627="[FÓRMULA MANUAL]","",IFERROR(SUMPRODUCT((DATOS!$A$2:$A$20000=S627)*(DATOS!$G$2:$G$20000=CONFIG_METADATA!$B$4)*(COUNTIF(CONFIG_ASIGNATURAS!$B$7:$B$27,DATOS!$I$2:$I$20000)&gt;0)*(DATOS!$K$2:$K$20000))/SUMPRODUCT((DATOS!$A$2:$A$20000=S627)*(DATOS!$G$2:$G$20000=CONFIG_METADATA!$B$4)*(COUNTIF(CONFIG_ASIGNATURAS!$B$7:$B$27,DATOS!$I$2:$I$20000)&gt;0)*1),"")))</f>
        <v/>
      </c>
      <c r="Z627" t="str">
        <f>IF(Y627="","",IF(Y627="[FÓRMULA MANUAL]","",IFERROR(AVERAGEIFS(DATOS!$K$2:$K$20000,DATOS!$A$2:$A$20000,Y627,DATOS!$G$2:$G$20000,CONFIG_METADATA!$B$4,DATOS!$I$2:$I$20000,"Análisis"),"")))</f>
        <v/>
      </c>
      <c r="AA627" t="str">
        <f>IF(Y627="","",IF(Y627="[FÓRMULA MANUAL]","",IFERROR(AVERAGEIFS(DATOS!$K$2:$K$20000,DATOS!$A$2:$A$20000,Y627,DATOS!$G$2:$G$20000,CONFIG_METADATA!$B$4,DATOS!$I$2:$I$20000,"Orquesta/Banda/Conjunto"),"")))</f>
        <v/>
      </c>
      <c r="AB627" t="str">
        <f>IF(Y627="","",IF(Y627="[FÓRMULA MANUAL]","",IFERROR(AVERAGEIFS(DATOS!$K$2:$K$20000,DATOS!$A$2:$A$20000,Y627,DATOS!$G$2:$G$20000,CONFIG_METADATA!$B$4,DATOS!$I$2:$I$20000,"Música de Cámara"),"")))</f>
        <v/>
      </c>
      <c r="AC627" t="str">
        <f>IF(Y627="","",IF(Y627="[FÓRMULA MANUAL]","",IFERROR(SUMPRODUCT((DATOS!$A$2:$A$20000=Y627)*(DATOS!$G$2:$G$20000=CONFIG_METADATA!$B$4)*(COUNTIF(CONFIG_ASIGNATURAS!$B$7:$B$27,DATOS!$I$2:$I$20000)&gt;0)*(DATOS!$K$2:$K$20000))/SUMPRODUCT((DATOS!$A$2:$A$20000=Y627)*(DATOS!$G$2:$G$20000=CONFIG_METADATA!$B$4)*(COUNTIF(CONFIG_ASIGNATURAS!$B$7:$B$27,DATOS!$I$2:$I$20000)&gt;0)*1),"")))</f>
        <v/>
      </c>
      <c r="AF627" t="str">
        <f>IF(AE627="","",IF(AE627="[FÓRMULA MANUAL]","",IFERROR(AVERAGEIFS(DATOS!$K$2:$K$20000,DATOS!$A$2:$A$20000,AE627,DATOS!$G$2:$G$20000,CONFIG_METADATA!$B$4,DATOS!$I$2:$I$20000,"Análisis"),"")))</f>
        <v/>
      </c>
      <c r="AG627" t="str">
        <f>IF(AE627="","",IF(AE627="[FÓRMULA MANUAL]","",IFERROR(AVERAGEIFS(DATOS!$K$2:$K$20000,DATOS!$A$2:$A$20000,AE627,DATOS!$G$2:$G$20000,CONFIG_METADATA!$B$4,DATOS!$I$2:$I$20000,"Orquesta/Banda/Conjunto"),"")))</f>
        <v/>
      </c>
      <c r="AH627" t="str">
        <f>IF(AE627="","",IF(AE627="[FÓRMULA MANUAL]","",IFERROR(AVERAGEIFS(DATOS!$K$2:$K$20000,DATOS!$A$2:$A$20000,AE627,DATOS!$G$2:$G$20000,CONFIG_METADATA!$B$4,DATOS!$I$2:$I$20000,"Música de Cámara"),"")))</f>
        <v/>
      </c>
      <c r="AI627" t="str">
        <f>IF(AE627="","",IF(AE627="[FÓRMULA MANUAL]","",IFERROR(SUMPRODUCT((DATOS!$A$2:$A$20000=AE627)*(DATOS!$G$2:$G$20000=CONFIG_METADATA!$B$4)*(COUNTIF(CONFIG_ASIGNATURAS!$B$7:$B$27,DATOS!$I$2:$I$20000)&gt;0)*(DATOS!$K$2:$K$20000))/SUMPRODUCT((DATOS!$A$2:$A$20000=AE627)*(DATOS!$G$2:$G$20000=CONFIG_METADATA!$B$4)*(COUNTIF(CONFIG_ASIGNATURAS!$B$7:$B$27,DATOS!$I$2:$I$20000)&gt;0)*1),"")))</f>
        <v/>
      </c>
    </row>
    <row r="628" spans="2:35" x14ac:dyDescent="0.2">
      <c r="B628" t="str">
        <f>IF(A628="","",IF(A628="[FÓRMULA MANUAL]","",IFERROR(AVERAGEIFS(DATOS!$K$2:$K$20000,DATOS!$A$2:$A$20000,A628,DATOS!$G$2:$G$20000,CONFIG_METADATA!$B$4,DATOS!$I$2:$I$20000,"Lenguaje Musical"),"")))</f>
        <v/>
      </c>
      <c r="C628" t="str">
        <f>IF(A628="","",IF(A628="[FÓRMULA MANUAL]","",IFERROR(AVERAGEIFS(DATOS!$K$2:$K$20000,DATOS!$A$2:$A$20000,A628,DATOS!$G$2:$G$20000,CONFIG_METADATA!$B$4,DATOS!$I$2:$I$20000,"Orquesta/Banda/Conjunto"),"")))</f>
        <v/>
      </c>
      <c r="D628" t="str">
        <f>IF(A628="","",IF(A628="[FÓRMULA MANUAL]","",IFERROR(AVERAGEIFS(DATOS!$K$2:$K$20000,DATOS!$A$2:$A$20000,A628,DATOS!$G$2:$G$20000,CONFIG_METADATA!$B$4,DATOS!$I$2:$I$20000,"Conjunto"),"")))</f>
        <v/>
      </c>
      <c r="E628" t="str">
        <f>IF(A628="","",IF(A628="[FÓRMULA MANUAL]","",IFERROR(SUMPRODUCT((DATOS!$A$2:$A$20000=A628)*(DATOS!$G$2:$G$20000=CONFIG_METADATA!$B$4)*(COUNTIF(CONFIG_ASIGNATURAS!$B$7:$B$27,DATOS!$I$2:$I$20000)&gt;0)*(DATOS!$K$2:$K$20000))/SUMPRODUCT((DATOS!$A$2:$A$20000=A628)*(DATOS!$G$2:$G$20000=CONFIG_METADATA!$B$4)*(COUNTIF(CONFIG_ASIGNATURAS!$B$7:$B$27,DATOS!$I$2:$I$20000)&gt;0)*1),"")))</f>
        <v/>
      </c>
      <c r="H628" t="str">
        <f>IF(G628="","",IF(G628="[FÓRMULA MANUAL]","",IFERROR(AVERAGEIFS(DATOS!$K$2:$K$20000,DATOS!$A$2:$A$20000,G628,DATOS!$G$2:$G$20000,CONFIG_METADATA!$B$4,DATOS!$I$2:$I$20000,"Lenguaje Musical"),"")))</f>
        <v/>
      </c>
      <c r="I628" t="str">
        <f>IF(G628="","",IF(G628="[FÓRMULA MANUAL]","",IFERROR(AVERAGEIFS(DATOS!$K$2:$K$20000,DATOS!$A$2:$A$20000,G628,DATOS!$G$2:$G$20000,CONFIG_METADATA!$B$4,DATOS!$I$2:$I$20000,"Orquesta/Banda/Conjunto"),"")))</f>
        <v/>
      </c>
      <c r="J628" t="str">
        <f>IF(G628="","",IF(G628="[FÓRMULA MANUAL]","",IFERROR(AVERAGEIFS(DATOS!$K$2:$K$20000,DATOS!$A$2:$A$20000,G628,DATOS!$G$2:$G$20000,CONFIG_METADATA!$B$4,DATOS!$I$2:$I$20000,"Conjunto"),"")))</f>
        <v/>
      </c>
      <c r="K628" t="str">
        <f>IF(G628="","",IF(G628="[FÓRMULA MANUAL]","",IFERROR(SUMPRODUCT((DATOS!$A$2:$A$20000=G628)*(DATOS!$G$2:$G$20000=CONFIG_METADATA!$B$4)*(COUNTIF(CONFIG_ASIGNATURAS!$B$7:$B$27,DATOS!$I$2:$I$20000)&gt;0)*(DATOS!$K$2:$K$20000))/SUMPRODUCT((DATOS!$A$2:$A$20000=G628)*(DATOS!$G$2:$G$20000=CONFIG_METADATA!$B$4)*(COUNTIF(CONFIG_ASIGNATURAS!$B$7:$B$27,DATOS!$I$2:$I$20000)&gt;0)*1),"")))</f>
        <v/>
      </c>
      <c r="N628" t="str">
        <f>IF(M628="","",IF(M628="[FÓRMULA MANUAL]","",IFERROR(AVERAGEIFS(DATOS!$K$2:$K$20000,DATOS!$A$2:$A$20000,M628,DATOS!$G$2:$G$20000,CONFIG_METADATA!$B$4,DATOS!$I$2:$I$20000,"Armonía"),"")))</f>
        <v/>
      </c>
      <c r="O628" t="str">
        <f>IF(M628="","",IF(M628="[FÓRMULA MANUAL]","",IFERROR(AVERAGEIFS(DATOS!$K$2:$K$20000,DATOS!$A$2:$A$20000,M628,DATOS!$G$2:$G$20000,CONFIG_METADATA!$B$4,DATOS!$I$2:$I$20000,"Orquesta/Banda/Conjunto"),"")))</f>
        <v/>
      </c>
      <c r="P628" t="str">
        <f>IF(M628="","",IF(M628="[FÓRMULA MANUAL]","",IFERROR(AVERAGEIFS(DATOS!$K$2:$K$20000,DATOS!$A$2:$A$20000,M628,DATOS!$G$2:$G$20000,CONFIG_METADATA!$B$4,DATOS!$I$2:$I$20000,"Música de Cámara"),"")))</f>
        <v/>
      </c>
      <c r="Q628" t="str">
        <f>IF(M628="","",IF(M628="[FÓRMULA MANUAL]","",IFERROR(SUMPRODUCT((DATOS!$A$2:$A$20000=M628)*(DATOS!$G$2:$G$20000=CONFIG_METADATA!$B$4)*(COUNTIF(CONFIG_ASIGNATURAS!$B$7:$B$27,DATOS!$I$2:$I$20000)&gt;0)*(DATOS!$K$2:$K$20000))/SUMPRODUCT((DATOS!$A$2:$A$20000=M628)*(DATOS!$G$2:$G$20000=CONFIG_METADATA!$B$4)*(COUNTIF(CONFIG_ASIGNATURAS!$B$7:$B$27,DATOS!$I$2:$I$20000)&gt;0)*1),"")))</f>
        <v/>
      </c>
      <c r="T628" t="str">
        <f>IF(S628="","",IF(S628="[FÓRMULA MANUAL]","",IFERROR(AVERAGEIFS(DATOS!$K$2:$K$20000,DATOS!$A$2:$A$20000,S628,DATOS!$G$2:$G$20000,CONFIG_METADATA!$B$4,DATOS!$I$2:$I$20000,"Armonía"),"")))</f>
        <v/>
      </c>
      <c r="U628" t="str">
        <f>IF(S628="","",IF(S628="[FÓRMULA MANUAL]","",IFERROR(AVERAGEIFS(DATOS!$K$2:$K$20000,DATOS!$A$2:$A$20000,S628,DATOS!$G$2:$G$20000,CONFIG_METADATA!$B$4,DATOS!$I$2:$I$20000,"Orquesta/Banda/Conjunto"),"")))</f>
        <v/>
      </c>
      <c r="V628" t="str">
        <f>IF(S628="","",IF(S628="[FÓRMULA MANUAL]","",IFERROR(AVERAGEIFS(DATOS!$K$2:$K$20000,DATOS!$A$2:$A$20000,S628,DATOS!$G$2:$G$20000,CONFIG_METADATA!$B$4,DATOS!$I$2:$I$20000,"Música de Cámara"),"")))</f>
        <v/>
      </c>
      <c r="W628" t="str">
        <f>IF(S628="","",IF(S628="[FÓRMULA MANUAL]","",IFERROR(SUMPRODUCT((DATOS!$A$2:$A$20000=S628)*(DATOS!$G$2:$G$20000=CONFIG_METADATA!$B$4)*(COUNTIF(CONFIG_ASIGNATURAS!$B$7:$B$27,DATOS!$I$2:$I$20000)&gt;0)*(DATOS!$K$2:$K$20000))/SUMPRODUCT((DATOS!$A$2:$A$20000=S628)*(DATOS!$G$2:$G$20000=CONFIG_METADATA!$B$4)*(COUNTIF(CONFIG_ASIGNATURAS!$B$7:$B$27,DATOS!$I$2:$I$20000)&gt;0)*1),"")))</f>
        <v/>
      </c>
      <c r="Z628" t="str">
        <f>IF(Y628="","",IF(Y628="[FÓRMULA MANUAL]","",IFERROR(AVERAGEIFS(DATOS!$K$2:$K$20000,DATOS!$A$2:$A$20000,Y628,DATOS!$G$2:$G$20000,CONFIG_METADATA!$B$4,DATOS!$I$2:$I$20000,"Análisis"),"")))</f>
        <v/>
      </c>
      <c r="AA628" t="str">
        <f>IF(Y628="","",IF(Y628="[FÓRMULA MANUAL]","",IFERROR(AVERAGEIFS(DATOS!$K$2:$K$20000,DATOS!$A$2:$A$20000,Y628,DATOS!$G$2:$G$20000,CONFIG_METADATA!$B$4,DATOS!$I$2:$I$20000,"Orquesta/Banda/Conjunto"),"")))</f>
        <v/>
      </c>
      <c r="AB628" t="str">
        <f>IF(Y628="","",IF(Y628="[FÓRMULA MANUAL]","",IFERROR(AVERAGEIFS(DATOS!$K$2:$K$20000,DATOS!$A$2:$A$20000,Y628,DATOS!$G$2:$G$20000,CONFIG_METADATA!$B$4,DATOS!$I$2:$I$20000,"Música de Cámara"),"")))</f>
        <v/>
      </c>
      <c r="AC628" t="str">
        <f>IF(Y628="","",IF(Y628="[FÓRMULA MANUAL]","",IFERROR(SUMPRODUCT((DATOS!$A$2:$A$20000=Y628)*(DATOS!$G$2:$G$20000=CONFIG_METADATA!$B$4)*(COUNTIF(CONFIG_ASIGNATURAS!$B$7:$B$27,DATOS!$I$2:$I$20000)&gt;0)*(DATOS!$K$2:$K$20000))/SUMPRODUCT((DATOS!$A$2:$A$20000=Y628)*(DATOS!$G$2:$G$20000=CONFIG_METADATA!$B$4)*(COUNTIF(CONFIG_ASIGNATURAS!$B$7:$B$27,DATOS!$I$2:$I$20000)&gt;0)*1),"")))</f>
        <v/>
      </c>
      <c r="AF628" t="str">
        <f>IF(AE628="","",IF(AE628="[FÓRMULA MANUAL]","",IFERROR(AVERAGEIFS(DATOS!$K$2:$K$20000,DATOS!$A$2:$A$20000,AE628,DATOS!$G$2:$G$20000,CONFIG_METADATA!$B$4,DATOS!$I$2:$I$20000,"Análisis"),"")))</f>
        <v/>
      </c>
      <c r="AG628" t="str">
        <f>IF(AE628="","",IF(AE628="[FÓRMULA MANUAL]","",IFERROR(AVERAGEIFS(DATOS!$K$2:$K$20000,DATOS!$A$2:$A$20000,AE628,DATOS!$G$2:$G$20000,CONFIG_METADATA!$B$4,DATOS!$I$2:$I$20000,"Orquesta/Banda/Conjunto"),"")))</f>
        <v/>
      </c>
      <c r="AH628" t="str">
        <f>IF(AE628="","",IF(AE628="[FÓRMULA MANUAL]","",IFERROR(AVERAGEIFS(DATOS!$K$2:$K$20000,DATOS!$A$2:$A$20000,AE628,DATOS!$G$2:$G$20000,CONFIG_METADATA!$B$4,DATOS!$I$2:$I$20000,"Música de Cámara"),"")))</f>
        <v/>
      </c>
      <c r="AI628" t="str">
        <f>IF(AE628="","",IF(AE628="[FÓRMULA MANUAL]","",IFERROR(SUMPRODUCT((DATOS!$A$2:$A$20000=AE628)*(DATOS!$G$2:$G$20000=CONFIG_METADATA!$B$4)*(COUNTIF(CONFIG_ASIGNATURAS!$B$7:$B$27,DATOS!$I$2:$I$20000)&gt;0)*(DATOS!$K$2:$K$20000))/SUMPRODUCT((DATOS!$A$2:$A$20000=AE628)*(DATOS!$G$2:$G$20000=CONFIG_METADATA!$B$4)*(COUNTIF(CONFIG_ASIGNATURAS!$B$7:$B$27,DATOS!$I$2:$I$20000)&gt;0)*1),"")))</f>
        <v/>
      </c>
    </row>
    <row r="629" spans="2:35" x14ac:dyDescent="0.2">
      <c r="B629" t="str">
        <f>IF(A629="","",IF(A629="[FÓRMULA MANUAL]","",IFERROR(AVERAGEIFS(DATOS!$K$2:$K$20000,DATOS!$A$2:$A$20000,A629,DATOS!$G$2:$G$20000,CONFIG_METADATA!$B$4,DATOS!$I$2:$I$20000,"Lenguaje Musical"),"")))</f>
        <v/>
      </c>
      <c r="C629" t="str">
        <f>IF(A629="","",IF(A629="[FÓRMULA MANUAL]","",IFERROR(AVERAGEIFS(DATOS!$K$2:$K$20000,DATOS!$A$2:$A$20000,A629,DATOS!$G$2:$G$20000,CONFIG_METADATA!$B$4,DATOS!$I$2:$I$20000,"Orquesta/Banda/Conjunto"),"")))</f>
        <v/>
      </c>
      <c r="D629" t="str">
        <f>IF(A629="","",IF(A629="[FÓRMULA MANUAL]","",IFERROR(AVERAGEIFS(DATOS!$K$2:$K$20000,DATOS!$A$2:$A$20000,A629,DATOS!$G$2:$G$20000,CONFIG_METADATA!$B$4,DATOS!$I$2:$I$20000,"Conjunto"),"")))</f>
        <v/>
      </c>
      <c r="E629" t="str">
        <f>IF(A629="","",IF(A629="[FÓRMULA MANUAL]","",IFERROR(SUMPRODUCT((DATOS!$A$2:$A$20000=A629)*(DATOS!$G$2:$G$20000=CONFIG_METADATA!$B$4)*(COUNTIF(CONFIG_ASIGNATURAS!$B$7:$B$27,DATOS!$I$2:$I$20000)&gt;0)*(DATOS!$K$2:$K$20000))/SUMPRODUCT((DATOS!$A$2:$A$20000=A629)*(DATOS!$G$2:$G$20000=CONFIG_METADATA!$B$4)*(COUNTIF(CONFIG_ASIGNATURAS!$B$7:$B$27,DATOS!$I$2:$I$20000)&gt;0)*1),"")))</f>
        <v/>
      </c>
      <c r="H629" t="str">
        <f>IF(G629="","",IF(G629="[FÓRMULA MANUAL]","",IFERROR(AVERAGEIFS(DATOS!$K$2:$K$20000,DATOS!$A$2:$A$20000,G629,DATOS!$G$2:$G$20000,CONFIG_METADATA!$B$4,DATOS!$I$2:$I$20000,"Lenguaje Musical"),"")))</f>
        <v/>
      </c>
      <c r="I629" t="str">
        <f>IF(G629="","",IF(G629="[FÓRMULA MANUAL]","",IFERROR(AVERAGEIFS(DATOS!$K$2:$K$20000,DATOS!$A$2:$A$20000,G629,DATOS!$G$2:$G$20000,CONFIG_METADATA!$B$4,DATOS!$I$2:$I$20000,"Orquesta/Banda/Conjunto"),"")))</f>
        <v/>
      </c>
      <c r="J629" t="str">
        <f>IF(G629="","",IF(G629="[FÓRMULA MANUAL]","",IFERROR(AVERAGEIFS(DATOS!$K$2:$K$20000,DATOS!$A$2:$A$20000,G629,DATOS!$G$2:$G$20000,CONFIG_METADATA!$B$4,DATOS!$I$2:$I$20000,"Conjunto"),"")))</f>
        <v/>
      </c>
      <c r="K629" t="str">
        <f>IF(G629="","",IF(G629="[FÓRMULA MANUAL]","",IFERROR(SUMPRODUCT((DATOS!$A$2:$A$20000=G629)*(DATOS!$G$2:$G$20000=CONFIG_METADATA!$B$4)*(COUNTIF(CONFIG_ASIGNATURAS!$B$7:$B$27,DATOS!$I$2:$I$20000)&gt;0)*(DATOS!$K$2:$K$20000))/SUMPRODUCT((DATOS!$A$2:$A$20000=G629)*(DATOS!$G$2:$G$20000=CONFIG_METADATA!$B$4)*(COUNTIF(CONFIG_ASIGNATURAS!$B$7:$B$27,DATOS!$I$2:$I$20000)&gt;0)*1),"")))</f>
        <v/>
      </c>
      <c r="N629" t="str">
        <f>IF(M629="","",IF(M629="[FÓRMULA MANUAL]","",IFERROR(AVERAGEIFS(DATOS!$K$2:$K$20000,DATOS!$A$2:$A$20000,M629,DATOS!$G$2:$G$20000,CONFIG_METADATA!$B$4,DATOS!$I$2:$I$20000,"Armonía"),"")))</f>
        <v/>
      </c>
      <c r="O629" t="str">
        <f>IF(M629="","",IF(M629="[FÓRMULA MANUAL]","",IFERROR(AVERAGEIFS(DATOS!$K$2:$K$20000,DATOS!$A$2:$A$20000,M629,DATOS!$G$2:$G$20000,CONFIG_METADATA!$B$4,DATOS!$I$2:$I$20000,"Orquesta/Banda/Conjunto"),"")))</f>
        <v/>
      </c>
      <c r="P629" t="str">
        <f>IF(M629="","",IF(M629="[FÓRMULA MANUAL]","",IFERROR(AVERAGEIFS(DATOS!$K$2:$K$20000,DATOS!$A$2:$A$20000,M629,DATOS!$G$2:$G$20000,CONFIG_METADATA!$B$4,DATOS!$I$2:$I$20000,"Música de Cámara"),"")))</f>
        <v/>
      </c>
      <c r="Q629" t="str">
        <f>IF(M629="","",IF(M629="[FÓRMULA MANUAL]","",IFERROR(SUMPRODUCT((DATOS!$A$2:$A$20000=M629)*(DATOS!$G$2:$G$20000=CONFIG_METADATA!$B$4)*(COUNTIF(CONFIG_ASIGNATURAS!$B$7:$B$27,DATOS!$I$2:$I$20000)&gt;0)*(DATOS!$K$2:$K$20000))/SUMPRODUCT((DATOS!$A$2:$A$20000=M629)*(DATOS!$G$2:$G$20000=CONFIG_METADATA!$B$4)*(COUNTIF(CONFIG_ASIGNATURAS!$B$7:$B$27,DATOS!$I$2:$I$20000)&gt;0)*1),"")))</f>
        <v/>
      </c>
      <c r="T629" t="str">
        <f>IF(S629="","",IF(S629="[FÓRMULA MANUAL]","",IFERROR(AVERAGEIFS(DATOS!$K$2:$K$20000,DATOS!$A$2:$A$20000,S629,DATOS!$G$2:$G$20000,CONFIG_METADATA!$B$4,DATOS!$I$2:$I$20000,"Armonía"),"")))</f>
        <v/>
      </c>
      <c r="U629" t="str">
        <f>IF(S629="","",IF(S629="[FÓRMULA MANUAL]","",IFERROR(AVERAGEIFS(DATOS!$K$2:$K$20000,DATOS!$A$2:$A$20000,S629,DATOS!$G$2:$G$20000,CONFIG_METADATA!$B$4,DATOS!$I$2:$I$20000,"Orquesta/Banda/Conjunto"),"")))</f>
        <v/>
      </c>
      <c r="V629" t="str">
        <f>IF(S629="","",IF(S629="[FÓRMULA MANUAL]","",IFERROR(AVERAGEIFS(DATOS!$K$2:$K$20000,DATOS!$A$2:$A$20000,S629,DATOS!$G$2:$G$20000,CONFIG_METADATA!$B$4,DATOS!$I$2:$I$20000,"Música de Cámara"),"")))</f>
        <v/>
      </c>
      <c r="W629" t="str">
        <f>IF(S629="","",IF(S629="[FÓRMULA MANUAL]","",IFERROR(SUMPRODUCT((DATOS!$A$2:$A$20000=S629)*(DATOS!$G$2:$G$20000=CONFIG_METADATA!$B$4)*(COUNTIF(CONFIG_ASIGNATURAS!$B$7:$B$27,DATOS!$I$2:$I$20000)&gt;0)*(DATOS!$K$2:$K$20000))/SUMPRODUCT((DATOS!$A$2:$A$20000=S629)*(DATOS!$G$2:$G$20000=CONFIG_METADATA!$B$4)*(COUNTIF(CONFIG_ASIGNATURAS!$B$7:$B$27,DATOS!$I$2:$I$20000)&gt;0)*1),"")))</f>
        <v/>
      </c>
      <c r="Z629" t="str">
        <f>IF(Y629="","",IF(Y629="[FÓRMULA MANUAL]","",IFERROR(AVERAGEIFS(DATOS!$K$2:$K$20000,DATOS!$A$2:$A$20000,Y629,DATOS!$G$2:$G$20000,CONFIG_METADATA!$B$4,DATOS!$I$2:$I$20000,"Análisis"),"")))</f>
        <v/>
      </c>
      <c r="AA629" t="str">
        <f>IF(Y629="","",IF(Y629="[FÓRMULA MANUAL]","",IFERROR(AVERAGEIFS(DATOS!$K$2:$K$20000,DATOS!$A$2:$A$20000,Y629,DATOS!$G$2:$G$20000,CONFIG_METADATA!$B$4,DATOS!$I$2:$I$20000,"Orquesta/Banda/Conjunto"),"")))</f>
        <v/>
      </c>
      <c r="AB629" t="str">
        <f>IF(Y629="","",IF(Y629="[FÓRMULA MANUAL]","",IFERROR(AVERAGEIFS(DATOS!$K$2:$K$20000,DATOS!$A$2:$A$20000,Y629,DATOS!$G$2:$G$20000,CONFIG_METADATA!$B$4,DATOS!$I$2:$I$20000,"Música de Cámara"),"")))</f>
        <v/>
      </c>
      <c r="AC629" t="str">
        <f>IF(Y629="","",IF(Y629="[FÓRMULA MANUAL]","",IFERROR(SUMPRODUCT((DATOS!$A$2:$A$20000=Y629)*(DATOS!$G$2:$G$20000=CONFIG_METADATA!$B$4)*(COUNTIF(CONFIG_ASIGNATURAS!$B$7:$B$27,DATOS!$I$2:$I$20000)&gt;0)*(DATOS!$K$2:$K$20000))/SUMPRODUCT((DATOS!$A$2:$A$20000=Y629)*(DATOS!$G$2:$G$20000=CONFIG_METADATA!$B$4)*(COUNTIF(CONFIG_ASIGNATURAS!$B$7:$B$27,DATOS!$I$2:$I$20000)&gt;0)*1),"")))</f>
        <v/>
      </c>
      <c r="AF629" t="str">
        <f>IF(AE629="","",IF(AE629="[FÓRMULA MANUAL]","",IFERROR(AVERAGEIFS(DATOS!$K$2:$K$20000,DATOS!$A$2:$A$20000,AE629,DATOS!$G$2:$G$20000,CONFIG_METADATA!$B$4,DATOS!$I$2:$I$20000,"Análisis"),"")))</f>
        <v/>
      </c>
      <c r="AG629" t="str">
        <f>IF(AE629="","",IF(AE629="[FÓRMULA MANUAL]","",IFERROR(AVERAGEIFS(DATOS!$K$2:$K$20000,DATOS!$A$2:$A$20000,AE629,DATOS!$G$2:$G$20000,CONFIG_METADATA!$B$4,DATOS!$I$2:$I$20000,"Orquesta/Banda/Conjunto"),"")))</f>
        <v/>
      </c>
      <c r="AH629" t="str">
        <f>IF(AE629="","",IF(AE629="[FÓRMULA MANUAL]","",IFERROR(AVERAGEIFS(DATOS!$K$2:$K$20000,DATOS!$A$2:$A$20000,AE629,DATOS!$G$2:$G$20000,CONFIG_METADATA!$B$4,DATOS!$I$2:$I$20000,"Música de Cámara"),"")))</f>
        <v/>
      </c>
      <c r="AI629" t="str">
        <f>IF(AE629="","",IF(AE629="[FÓRMULA MANUAL]","",IFERROR(SUMPRODUCT((DATOS!$A$2:$A$20000=AE629)*(DATOS!$G$2:$G$20000=CONFIG_METADATA!$B$4)*(COUNTIF(CONFIG_ASIGNATURAS!$B$7:$B$27,DATOS!$I$2:$I$20000)&gt;0)*(DATOS!$K$2:$K$20000))/SUMPRODUCT((DATOS!$A$2:$A$20000=AE629)*(DATOS!$G$2:$G$20000=CONFIG_METADATA!$B$4)*(COUNTIF(CONFIG_ASIGNATURAS!$B$7:$B$27,DATOS!$I$2:$I$20000)&gt;0)*1),"")))</f>
        <v/>
      </c>
    </row>
    <row r="630" spans="2:35" x14ac:dyDescent="0.2">
      <c r="B630" t="str">
        <f>IF(A630="","",IF(A630="[FÓRMULA MANUAL]","",IFERROR(AVERAGEIFS(DATOS!$K$2:$K$20000,DATOS!$A$2:$A$20000,A630,DATOS!$G$2:$G$20000,CONFIG_METADATA!$B$4,DATOS!$I$2:$I$20000,"Lenguaje Musical"),"")))</f>
        <v/>
      </c>
      <c r="C630" t="str">
        <f>IF(A630="","",IF(A630="[FÓRMULA MANUAL]","",IFERROR(AVERAGEIFS(DATOS!$K$2:$K$20000,DATOS!$A$2:$A$20000,A630,DATOS!$G$2:$G$20000,CONFIG_METADATA!$B$4,DATOS!$I$2:$I$20000,"Orquesta/Banda/Conjunto"),"")))</f>
        <v/>
      </c>
      <c r="D630" t="str">
        <f>IF(A630="","",IF(A630="[FÓRMULA MANUAL]","",IFERROR(AVERAGEIFS(DATOS!$K$2:$K$20000,DATOS!$A$2:$A$20000,A630,DATOS!$G$2:$G$20000,CONFIG_METADATA!$B$4,DATOS!$I$2:$I$20000,"Conjunto"),"")))</f>
        <v/>
      </c>
      <c r="E630" t="str">
        <f>IF(A630="","",IF(A630="[FÓRMULA MANUAL]","",IFERROR(SUMPRODUCT((DATOS!$A$2:$A$20000=A630)*(DATOS!$G$2:$G$20000=CONFIG_METADATA!$B$4)*(COUNTIF(CONFIG_ASIGNATURAS!$B$7:$B$27,DATOS!$I$2:$I$20000)&gt;0)*(DATOS!$K$2:$K$20000))/SUMPRODUCT((DATOS!$A$2:$A$20000=A630)*(DATOS!$G$2:$G$20000=CONFIG_METADATA!$B$4)*(COUNTIF(CONFIG_ASIGNATURAS!$B$7:$B$27,DATOS!$I$2:$I$20000)&gt;0)*1),"")))</f>
        <v/>
      </c>
      <c r="H630" t="str">
        <f>IF(G630="","",IF(G630="[FÓRMULA MANUAL]","",IFERROR(AVERAGEIFS(DATOS!$K$2:$K$20000,DATOS!$A$2:$A$20000,G630,DATOS!$G$2:$G$20000,CONFIG_METADATA!$B$4,DATOS!$I$2:$I$20000,"Lenguaje Musical"),"")))</f>
        <v/>
      </c>
      <c r="I630" t="str">
        <f>IF(G630="","",IF(G630="[FÓRMULA MANUAL]","",IFERROR(AVERAGEIFS(DATOS!$K$2:$K$20000,DATOS!$A$2:$A$20000,G630,DATOS!$G$2:$G$20000,CONFIG_METADATA!$B$4,DATOS!$I$2:$I$20000,"Orquesta/Banda/Conjunto"),"")))</f>
        <v/>
      </c>
      <c r="J630" t="str">
        <f>IF(G630="","",IF(G630="[FÓRMULA MANUAL]","",IFERROR(AVERAGEIFS(DATOS!$K$2:$K$20000,DATOS!$A$2:$A$20000,G630,DATOS!$G$2:$G$20000,CONFIG_METADATA!$B$4,DATOS!$I$2:$I$20000,"Conjunto"),"")))</f>
        <v/>
      </c>
      <c r="K630" t="str">
        <f>IF(G630="","",IF(G630="[FÓRMULA MANUAL]","",IFERROR(SUMPRODUCT((DATOS!$A$2:$A$20000=G630)*(DATOS!$G$2:$G$20000=CONFIG_METADATA!$B$4)*(COUNTIF(CONFIG_ASIGNATURAS!$B$7:$B$27,DATOS!$I$2:$I$20000)&gt;0)*(DATOS!$K$2:$K$20000))/SUMPRODUCT((DATOS!$A$2:$A$20000=G630)*(DATOS!$G$2:$G$20000=CONFIG_METADATA!$B$4)*(COUNTIF(CONFIG_ASIGNATURAS!$B$7:$B$27,DATOS!$I$2:$I$20000)&gt;0)*1),"")))</f>
        <v/>
      </c>
      <c r="N630" t="str">
        <f>IF(M630="","",IF(M630="[FÓRMULA MANUAL]","",IFERROR(AVERAGEIFS(DATOS!$K$2:$K$20000,DATOS!$A$2:$A$20000,M630,DATOS!$G$2:$G$20000,CONFIG_METADATA!$B$4,DATOS!$I$2:$I$20000,"Armonía"),"")))</f>
        <v/>
      </c>
      <c r="O630" t="str">
        <f>IF(M630="","",IF(M630="[FÓRMULA MANUAL]","",IFERROR(AVERAGEIFS(DATOS!$K$2:$K$20000,DATOS!$A$2:$A$20000,M630,DATOS!$G$2:$G$20000,CONFIG_METADATA!$B$4,DATOS!$I$2:$I$20000,"Orquesta/Banda/Conjunto"),"")))</f>
        <v/>
      </c>
      <c r="P630" t="str">
        <f>IF(M630="","",IF(M630="[FÓRMULA MANUAL]","",IFERROR(AVERAGEIFS(DATOS!$K$2:$K$20000,DATOS!$A$2:$A$20000,M630,DATOS!$G$2:$G$20000,CONFIG_METADATA!$B$4,DATOS!$I$2:$I$20000,"Música de Cámara"),"")))</f>
        <v/>
      </c>
      <c r="Q630" t="str">
        <f>IF(M630="","",IF(M630="[FÓRMULA MANUAL]","",IFERROR(SUMPRODUCT((DATOS!$A$2:$A$20000=M630)*(DATOS!$G$2:$G$20000=CONFIG_METADATA!$B$4)*(COUNTIF(CONFIG_ASIGNATURAS!$B$7:$B$27,DATOS!$I$2:$I$20000)&gt;0)*(DATOS!$K$2:$K$20000))/SUMPRODUCT((DATOS!$A$2:$A$20000=M630)*(DATOS!$G$2:$G$20000=CONFIG_METADATA!$B$4)*(COUNTIF(CONFIG_ASIGNATURAS!$B$7:$B$27,DATOS!$I$2:$I$20000)&gt;0)*1),"")))</f>
        <v/>
      </c>
      <c r="T630" t="str">
        <f>IF(S630="","",IF(S630="[FÓRMULA MANUAL]","",IFERROR(AVERAGEIFS(DATOS!$K$2:$K$20000,DATOS!$A$2:$A$20000,S630,DATOS!$G$2:$G$20000,CONFIG_METADATA!$B$4,DATOS!$I$2:$I$20000,"Armonía"),"")))</f>
        <v/>
      </c>
      <c r="U630" t="str">
        <f>IF(S630="","",IF(S630="[FÓRMULA MANUAL]","",IFERROR(AVERAGEIFS(DATOS!$K$2:$K$20000,DATOS!$A$2:$A$20000,S630,DATOS!$G$2:$G$20000,CONFIG_METADATA!$B$4,DATOS!$I$2:$I$20000,"Orquesta/Banda/Conjunto"),"")))</f>
        <v/>
      </c>
      <c r="V630" t="str">
        <f>IF(S630="","",IF(S630="[FÓRMULA MANUAL]","",IFERROR(AVERAGEIFS(DATOS!$K$2:$K$20000,DATOS!$A$2:$A$20000,S630,DATOS!$G$2:$G$20000,CONFIG_METADATA!$B$4,DATOS!$I$2:$I$20000,"Música de Cámara"),"")))</f>
        <v/>
      </c>
      <c r="W630" t="str">
        <f>IF(S630="","",IF(S630="[FÓRMULA MANUAL]","",IFERROR(SUMPRODUCT((DATOS!$A$2:$A$20000=S630)*(DATOS!$G$2:$G$20000=CONFIG_METADATA!$B$4)*(COUNTIF(CONFIG_ASIGNATURAS!$B$7:$B$27,DATOS!$I$2:$I$20000)&gt;0)*(DATOS!$K$2:$K$20000))/SUMPRODUCT((DATOS!$A$2:$A$20000=S630)*(DATOS!$G$2:$G$20000=CONFIG_METADATA!$B$4)*(COUNTIF(CONFIG_ASIGNATURAS!$B$7:$B$27,DATOS!$I$2:$I$20000)&gt;0)*1),"")))</f>
        <v/>
      </c>
      <c r="Z630" t="str">
        <f>IF(Y630="","",IF(Y630="[FÓRMULA MANUAL]","",IFERROR(AVERAGEIFS(DATOS!$K$2:$K$20000,DATOS!$A$2:$A$20000,Y630,DATOS!$G$2:$G$20000,CONFIG_METADATA!$B$4,DATOS!$I$2:$I$20000,"Análisis"),"")))</f>
        <v/>
      </c>
      <c r="AA630" t="str">
        <f>IF(Y630="","",IF(Y630="[FÓRMULA MANUAL]","",IFERROR(AVERAGEIFS(DATOS!$K$2:$K$20000,DATOS!$A$2:$A$20000,Y630,DATOS!$G$2:$G$20000,CONFIG_METADATA!$B$4,DATOS!$I$2:$I$20000,"Orquesta/Banda/Conjunto"),"")))</f>
        <v/>
      </c>
      <c r="AB630" t="str">
        <f>IF(Y630="","",IF(Y630="[FÓRMULA MANUAL]","",IFERROR(AVERAGEIFS(DATOS!$K$2:$K$20000,DATOS!$A$2:$A$20000,Y630,DATOS!$G$2:$G$20000,CONFIG_METADATA!$B$4,DATOS!$I$2:$I$20000,"Música de Cámara"),"")))</f>
        <v/>
      </c>
      <c r="AC630" t="str">
        <f>IF(Y630="","",IF(Y630="[FÓRMULA MANUAL]","",IFERROR(SUMPRODUCT((DATOS!$A$2:$A$20000=Y630)*(DATOS!$G$2:$G$20000=CONFIG_METADATA!$B$4)*(COUNTIF(CONFIG_ASIGNATURAS!$B$7:$B$27,DATOS!$I$2:$I$20000)&gt;0)*(DATOS!$K$2:$K$20000))/SUMPRODUCT((DATOS!$A$2:$A$20000=Y630)*(DATOS!$G$2:$G$20000=CONFIG_METADATA!$B$4)*(COUNTIF(CONFIG_ASIGNATURAS!$B$7:$B$27,DATOS!$I$2:$I$20000)&gt;0)*1),"")))</f>
        <v/>
      </c>
      <c r="AF630" t="str">
        <f>IF(AE630="","",IF(AE630="[FÓRMULA MANUAL]","",IFERROR(AVERAGEIFS(DATOS!$K$2:$K$20000,DATOS!$A$2:$A$20000,AE630,DATOS!$G$2:$G$20000,CONFIG_METADATA!$B$4,DATOS!$I$2:$I$20000,"Análisis"),"")))</f>
        <v/>
      </c>
      <c r="AG630" t="str">
        <f>IF(AE630="","",IF(AE630="[FÓRMULA MANUAL]","",IFERROR(AVERAGEIFS(DATOS!$K$2:$K$20000,DATOS!$A$2:$A$20000,AE630,DATOS!$G$2:$G$20000,CONFIG_METADATA!$B$4,DATOS!$I$2:$I$20000,"Orquesta/Banda/Conjunto"),"")))</f>
        <v/>
      </c>
      <c r="AH630" t="str">
        <f>IF(AE630="","",IF(AE630="[FÓRMULA MANUAL]","",IFERROR(AVERAGEIFS(DATOS!$K$2:$K$20000,DATOS!$A$2:$A$20000,AE630,DATOS!$G$2:$G$20000,CONFIG_METADATA!$B$4,DATOS!$I$2:$I$20000,"Música de Cámara"),"")))</f>
        <v/>
      </c>
      <c r="AI630" t="str">
        <f>IF(AE630="","",IF(AE630="[FÓRMULA MANUAL]","",IFERROR(SUMPRODUCT((DATOS!$A$2:$A$20000=AE630)*(DATOS!$G$2:$G$20000=CONFIG_METADATA!$B$4)*(COUNTIF(CONFIG_ASIGNATURAS!$B$7:$B$27,DATOS!$I$2:$I$20000)&gt;0)*(DATOS!$K$2:$K$20000))/SUMPRODUCT((DATOS!$A$2:$A$20000=AE630)*(DATOS!$G$2:$G$20000=CONFIG_METADATA!$B$4)*(COUNTIF(CONFIG_ASIGNATURAS!$B$7:$B$27,DATOS!$I$2:$I$20000)&gt;0)*1),"")))</f>
        <v/>
      </c>
    </row>
    <row r="631" spans="2:35" x14ac:dyDescent="0.2">
      <c r="B631" t="str">
        <f>IF(A631="","",IF(A631="[FÓRMULA MANUAL]","",IFERROR(AVERAGEIFS(DATOS!$K$2:$K$20000,DATOS!$A$2:$A$20000,A631,DATOS!$G$2:$G$20000,CONFIG_METADATA!$B$4,DATOS!$I$2:$I$20000,"Lenguaje Musical"),"")))</f>
        <v/>
      </c>
      <c r="C631" t="str">
        <f>IF(A631="","",IF(A631="[FÓRMULA MANUAL]","",IFERROR(AVERAGEIFS(DATOS!$K$2:$K$20000,DATOS!$A$2:$A$20000,A631,DATOS!$G$2:$G$20000,CONFIG_METADATA!$B$4,DATOS!$I$2:$I$20000,"Orquesta/Banda/Conjunto"),"")))</f>
        <v/>
      </c>
      <c r="D631" t="str">
        <f>IF(A631="","",IF(A631="[FÓRMULA MANUAL]","",IFERROR(AVERAGEIFS(DATOS!$K$2:$K$20000,DATOS!$A$2:$A$20000,A631,DATOS!$G$2:$G$20000,CONFIG_METADATA!$B$4,DATOS!$I$2:$I$20000,"Conjunto"),"")))</f>
        <v/>
      </c>
      <c r="E631" t="str">
        <f>IF(A631="","",IF(A631="[FÓRMULA MANUAL]","",IFERROR(SUMPRODUCT((DATOS!$A$2:$A$20000=A631)*(DATOS!$G$2:$G$20000=CONFIG_METADATA!$B$4)*(COUNTIF(CONFIG_ASIGNATURAS!$B$7:$B$27,DATOS!$I$2:$I$20000)&gt;0)*(DATOS!$K$2:$K$20000))/SUMPRODUCT((DATOS!$A$2:$A$20000=A631)*(DATOS!$G$2:$G$20000=CONFIG_METADATA!$B$4)*(COUNTIF(CONFIG_ASIGNATURAS!$B$7:$B$27,DATOS!$I$2:$I$20000)&gt;0)*1),"")))</f>
        <v/>
      </c>
      <c r="H631" t="str">
        <f>IF(G631="","",IF(G631="[FÓRMULA MANUAL]","",IFERROR(AVERAGEIFS(DATOS!$K$2:$K$20000,DATOS!$A$2:$A$20000,G631,DATOS!$G$2:$G$20000,CONFIG_METADATA!$B$4,DATOS!$I$2:$I$20000,"Lenguaje Musical"),"")))</f>
        <v/>
      </c>
      <c r="I631" t="str">
        <f>IF(G631="","",IF(G631="[FÓRMULA MANUAL]","",IFERROR(AVERAGEIFS(DATOS!$K$2:$K$20000,DATOS!$A$2:$A$20000,G631,DATOS!$G$2:$G$20000,CONFIG_METADATA!$B$4,DATOS!$I$2:$I$20000,"Orquesta/Banda/Conjunto"),"")))</f>
        <v/>
      </c>
      <c r="J631" t="str">
        <f>IF(G631="","",IF(G631="[FÓRMULA MANUAL]","",IFERROR(AVERAGEIFS(DATOS!$K$2:$K$20000,DATOS!$A$2:$A$20000,G631,DATOS!$G$2:$G$20000,CONFIG_METADATA!$B$4,DATOS!$I$2:$I$20000,"Conjunto"),"")))</f>
        <v/>
      </c>
      <c r="K631" t="str">
        <f>IF(G631="","",IF(G631="[FÓRMULA MANUAL]","",IFERROR(SUMPRODUCT((DATOS!$A$2:$A$20000=G631)*(DATOS!$G$2:$G$20000=CONFIG_METADATA!$B$4)*(COUNTIF(CONFIG_ASIGNATURAS!$B$7:$B$27,DATOS!$I$2:$I$20000)&gt;0)*(DATOS!$K$2:$K$20000))/SUMPRODUCT((DATOS!$A$2:$A$20000=G631)*(DATOS!$G$2:$G$20000=CONFIG_METADATA!$B$4)*(COUNTIF(CONFIG_ASIGNATURAS!$B$7:$B$27,DATOS!$I$2:$I$20000)&gt;0)*1),"")))</f>
        <v/>
      </c>
      <c r="N631" t="str">
        <f>IF(M631="","",IF(M631="[FÓRMULA MANUAL]","",IFERROR(AVERAGEIFS(DATOS!$K$2:$K$20000,DATOS!$A$2:$A$20000,M631,DATOS!$G$2:$G$20000,CONFIG_METADATA!$B$4,DATOS!$I$2:$I$20000,"Armonía"),"")))</f>
        <v/>
      </c>
      <c r="O631" t="str">
        <f>IF(M631="","",IF(M631="[FÓRMULA MANUAL]","",IFERROR(AVERAGEIFS(DATOS!$K$2:$K$20000,DATOS!$A$2:$A$20000,M631,DATOS!$G$2:$G$20000,CONFIG_METADATA!$B$4,DATOS!$I$2:$I$20000,"Orquesta/Banda/Conjunto"),"")))</f>
        <v/>
      </c>
      <c r="P631" t="str">
        <f>IF(M631="","",IF(M631="[FÓRMULA MANUAL]","",IFERROR(AVERAGEIFS(DATOS!$K$2:$K$20000,DATOS!$A$2:$A$20000,M631,DATOS!$G$2:$G$20000,CONFIG_METADATA!$B$4,DATOS!$I$2:$I$20000,"Música de Cámara"),"")))</f>
        <v/>
      </c>
      <c r="Q631" t="str">
        <f>IF(M631="","",IF(M631="[FÓRMULA MANUAL]","",IFERROR(SUMPRODUCT((DATOS!$A$2:$A$20000=M631)*(DATOS!$G$2:$G$20000=CONFIG_METADATA!$B$4)*(COUNTIF(CONFIG_ASIGNATURAS!$B$7:$B$27,DATOS!$I$2:$I$20000)&gt;0)*(DATOS!$K$2:$K$20000))/SUMPRODUCT((DATOS!$A$2:$A$20000=M631)*(DATOS!$G$2:$G$20000=CONFIG_METADATA!$B$4)*(COUNTIF(CONFIG_ASIGNATURAS!$B$7:$B$27,DATOS!$I$2:$I$20000)&gt;0)*1),"")))</f>
        <v/>
      </c>
      <c r="T631" t="str">
        <f>IF(S631="","",IF(S631="[FÓRMULA MANUAL]","",IFERROR(AVERAGEIFS(DATOS!$K$2:$K$20000,DATOS!$A$2:$A$20000,S631,DATOS!$G$2:$G$20000,CONFIG_METADATA!$B$4,DATOS!$I$2:$I$20000,"Armonía"),"")))</f>
        <v/>
      </c>
      <c r="U631" t="str">
        <f>IF(S631="","",IF(S631="[FÓRMULA MANUAL]","",IFERROR(AVERAGEIFS(DATOS!$K$2:$K$20000,DATOS!$A$2:$A$20000,S631,DATOS!$G$2:$G$20000,CONFIG_METADATA!$B$4,DATOS!$I$2:$I$20000,"Orquesta/Banda/Conjunto"),"")))</f>
        <v/>
      </c>
      <c r="V631" t="str">
        <f>IF(S631="","",IF(S631="[FÓRMULA MANUAL]","",IFERROR(AVERAGEIFS(DATOS!$K$2:$K$20000,DATOS!$A$2:$A$20000,S631,DATOS!$G$2:$G$20000,CONFIG_METADATA!$B$4,DATOS!$I$2:$I$20000,"Música de Cámara"),"")))</f>
        <v/>
      </c>
      <c r="W631" t="str">
        <f>IF(S631="","",IF(S631="[FÓRMULA MANUAL]","",IFERROR(SUMPRODUCT((DATOS!$A$2:$A$20000=S631)*(DATOS!$G$2:$G$20000=CONFIG_METADATA!$B$4)*(COUNTIF(CONFIG_ASIGNATURAS!$B$7:$B$27,DATOS!$I$2:$I$20000)&gt;0)*(DATOS!$K$2:$K$20000))/SUMPRODUCT((DATOS!$A$2:$A$20000=S631)*(DATOS!$G$2:$G$20000=CONFIG_METADATA!$B$4)*(COUNTIF(CONFIG_ASIGNATURAS!$B$7:$B$27,DATOS!$I$2:$I$20000)&gt;0)*1),"")))</f>
        <v/>
      </c>
      <c r="Z631" t="str">
        <f>IF(Y631="","",IF(Y631="[FÓRMULA MANUAL]","",IFERROR(AVERAGEIFS(DATOS!$K$2:$K$20000,DATOS!$A$2:$A$20000,Y631,DATOS!$G$2:$G$20000,CONFIG_METADATA!$B$4,DATOS!$I$2:$I$20000,"Análisis"),"")))</f>
        <v/>
      </c>
      <c r="AA631" t="str">
        <f>IF(Y631="","",IF(Y631="[FÓRMULA MANUAL]","",IFERROR(AVERAGEIFS(DATOS!$K$2:$K$20000,DATOS!$A$2:$A$20000,Y631,DATOS!$G$2:$G$20000,CONFIG_METADATA!$B$4,DATOS!$I$2:$I$20000,"Orquesta/Banda/Conjunto"),"")))</f>
        <v/>
      </c>
      <c r="AB631" t="str">
        <f>IF(Y631="","",IF(Y631="[FÓRMULA MANUAL]","",IFERROR(AVERAGEIFS(DATOS!$K$2:$K$20000,DATOS!$A$2:$A$20000,Y631,DATOS!$G$2:$G$20000,CONFIG_METADATA!$B$4,DATOS!$I$2:$I$20000,"Música de Cámara"),"")))</f>
        <v/>
      </c>
      <c r="AC631" t="str">
        <f>IF(Y631="","",IF(Y631="[FÓRMULA MANUAL]","",IFERROR(SUMPRODUCT((DATOS!$A$2:$A$20000=Y631)*(DATOS!$G$2:$G$20000=CONFIG_METADATA!$B$4)*(COUNTIF(CONFIG_ASIGNATURAS!$B$7:$B$27,DATOS!$I$2:$I$20000)&gt;0)*(DATOS!$K$2:$K$20000))/SUMPRODUCT((DATOS!$A$2:$A$20000=Y631)*(DATOS!$G$2:$G$20000=CONFIG_METADATA!$B$4)*(COUNTIF(CONFIG_ASIGNATURAS!$B$7:$B$27,DATOS!$I$2:$I$20000)&gt;0)*1),"")))</f>
        <v/>
      </c>
      <c r="AF631" t="str">
        <f>IF(AE631="","",IF(AE631="[FÓRMULA MANUAL]","",IFERROR(AVERAGEIFS(DATOS!$K$2:$K$20000,DATOS!$A$2:$A$20000,AE631,DATOS!$G$2:$G$20000,CONFIG_METADATA!$B$4,DATOS!$I$2:$I$20000,"Análisis"),"")))</f>
        <v/>
      </c>
      <c r="AG631" t="str">
        <f>IF(AE631="","",IF(AE631="[FÓRMULA MANUAL]","",IFERROR(AVERAGEIFS(DATOS!$K$2:$K$20000,DATOS!$A$2:$A$20000,AE631,DATOS!$G$2:$G$20000,CONFIG_METADATA!$B$4,DATOS!$I$2:$I$20000,"Orquesta/Banda/Conjunto"),"")))</f>
        <v/>
      </c>
      <c r="AH631" t="str">
        <f>IF(AE631="","",IF(AE631="[FÓRMULA MANUAL]","",IFERROR(AVERAGEIFS(DATOS!$K$2:$K$20000,DATOS!$A$2:$A$20000,AE631,DATOS!$G$2:$G$20000,CONFIG_METADATA!$B$4,DATOS!$I$2:$I$20000,"Música de Cámara"),"")))</f>
        <v/>
      </c>
      <c r="AI631" t="str">
        <f>IF(AE631="","",IF(AE631="[FÓRMULA MANUAL]","",IFERROR(SUMPRODUCT((DATOS!$A$2:$A$20000=AE631)*(DATOS!$G$2:$G$20000=CONFIG_METADATA!$B$4)*(COUNTIF(CONFIG_ASIGNATURAS!$B$7:$B$27,DATOS!$I$2:$I$20000)&gt;0)*(DATOS!$K$2:$K$20000))/SUMPRODUCT((DATOS!$A$2:$A$20000=AE631)*(DATOS!$G$2:$G$20000=CONFIG_METADATA!$B$4)*(COUNTIF(CONFIG_ASIGNATURAS!$B$7:$B$27,DATOS!$I$2:$I$20000)&gt;0)*1),"")))</f>
        <v/>
      </c>
    </row>
    <row r="632" spans="2:35" x14ac:dyDescent="0.2">
      <c r="B632" t="str">
        <f>IF(A632="","",IF(A632="[FÓRMULA MANUAL]","",IFERROR(AVERAGEIFS(DATOS!$K$2:$K$20000,DATOS!$A$2:$A$20000,A632,DATOS!$G$2:$G$20000,CONFIG_METADATA!$B$4,DATOS!$I$2:$I$20000,"Lenguaje Musical"),"")))</f>
        <v/>
      </c>
      <c r="C632" t="str">
        <f>IF(A632="","",IF(A632="[FÓRMULA MANUAL]","",IFERROR(AVERAGEIFS(DATOS!$K$2:$K$20000,DATOS!$A$2:$A$20000,A632,DATOS!$G$2:$G$20000,CONFIG_METADATA!$B$4,DATOS!$I$2:$I$20000,"Orquesta/Banda/Conjunto"),"")))</f>
        <v/>
      </c>
      <c r="D632" t="str">
        <f>IF(A632="","",IF(A632="[FÓRMULA MANUAL]","",IFERROR(AVERAGEIFS(DATOS!$K$2:$K$20000,DATOS!$A$2:$A$20000,A632,DATOS!$G$2:$G$20000,CONFIG_METADATA!$B$4,DATOS!$I$2:$I$20000,"Conjunto"),"")))</f>
        <v/>
      </c>
      <c r="E632" t="str">
        <f>IF(A632="","",IF(A632="[FÓRMULA MANUAL]","",IFERROR(SUMPRODUCT((DATOS!$A$2:$A$20000=A632)*(DATOS!$G$2:$G$20000=CONFIG_METADATA!$B$4)*(COUNTIF(CONFIG_ASIGNATURAS!$B$7:$B$27,DATOS!$I$2:$I$20000)&gt;0)*(DATOS!$K$2:$K$20000))/SUMPRODUCT((DATOS!$A$2:$A$20000=A632)*(DATOS!$G$2:$G$20000=CONFIG_METADATA!$B$4)*(COUNTIF(CONFIG_ASIGNATURAS!$B$7:$B$27,DATOS!$I$2:$I$20000)&gt;0)*1),"")))</f>
        <v/>
      </c>
      <c r="H632" t="str">
        <f>IF(G632="","",IF(G632="[FÓRMULA MANUAL]","",IFERROR(AVERAGEIFS(DATOS!$K$2:$K$20000,DATOS!$A$2:$A$20000,G632,DATOS!$G$2:$G$20000,CONFIG_METADATA!$B$4,DATOS!$I$2:$I$20000,"Lenguaje Musical"),"")))</f>
        <v/>
      </c>
      <c r="I632" t="str">
        <f>IF(G632="","",IF(G632="[FÓRMULA MANUAL]","",IFERROR(AVERAGEIFS(DATOS!$K$2:$K$20000,DATOS!$A$2:$A$20000,G632,DATOS!$G$2:$G$20000,CONFIG_METADATA!$B$4,DATOS!$I$2:$I$20000,"Orquesta/Banda/Conjunto"),"")))</f>
        <v/>
      </c>
      <c r="J632" t="str">
        <f>IF(G632="","",IF(G632="[FÓRMULA MANUAL]","",IFERROR(AVERAGEIFS(DATOS!$K$2:$K$20000,DATOS!$A$2:$A$20000,G632,DATOS!$G$2:$G$20000,CONFIG_METADATA!$B$4,DATOS!$I$2:$I$20000,"Conjunto"),"")))</f>
        <v/>
      </c>
      <c r="K632" t="str">
        <f>IF(G632="","",IF(G632="[FÓRMULA MANUAL]","",IFERROR(SUMPRODUCT((DATOS!$A$2:$A$20000=G632)*(DATOS!$G$2:$G$20000=CONFIG_METADATA!$B$4)*(COUNTIF(CONFIG_ASIGNATURAS!$B$7:$B$27,DATOS!$I$2:$I$20000)&gt;0)*(DATOS!$K$2:$K$20000))/SUMPRODUCT((DATOS!$A$2:$A$20000=G632)*(DATOS!$G$2:$G$20000=CONFIG_METADATA!$B$4)*(COUNTIF(CONFIG_ASIGNATURAS!$B$7:$B$27,DATOS!$I$2:$I$20000)&gt;0)*1),"")))</f>
        <v/>
      </c>
      <c r="N632" t="str">
        <f>IF(M632="","",IF(M632="[FÓRMULA MANUAL]","",IFERROR(AVERAGEIFS(DATOS!$K$2:$K$20000,DATOS!$A$2:$A$20000,M632,DATOS!$G$2:$G$20000,CONFIG_METADATA!$B$4,DATOS!$I$2:$I$20000,"Armonía"),"")))</f>
        <v/>
      </c>
      <c r="O632" t="str">
        <f>IF(M632="","",IF(M632="[FÓRMULA MANUAL]","",IFERROR(AVERAGEIFS(DATOS!$K$2:$K$20000,DATOS!$A$2:$A$20000,M632,DATOS!$G$2:$G$20000,CONFIG_METADATA!$B$4,DATOS!$I$2:$I$20000,"Orquesta/Banda/Conjunto"),"")))</f>
        <v/>
      </c>
      <c r="P632" t="str">
        <f>IF(M632="","",IF(M632="[FÓRMULA MANUAL]","",IFERROR(AVERAGEIFS(DATOS!$K$2:$K$20000,DATOS!$A$2:$A$20000,M632,DATOS!$G$2:$G$20000,CONFIG_METADATA!$B$4,DATOS!$I$2:$I$20000,"Música de Cámara"),"")))</f>
        <v/>
      </c>
      <c r="Q632" t="str">
        <f>IF(M632="","",IF(M632="[FÓRMULA MANUAL]","",IFERROR(SUMPRODUCT((DATOS!$A$2:$A$20000=M632)*(DATOS!$G$2:$G$20000=CONFIG_METADATA!$B$4)*(COUNTIF(CONFIG_ASIGNATURAS!$B$7:$B$27,DATOS!$I$2:$I$20000)&gt;0)*(DATOS!$K$2:$K$20000))/SUMPRODUCT((DATOS!$A$2:$A$20000=M632)*(DATOS!$G$2:$G$20000=CONFIG_METADATA!$B$4)*(COUNTIF(CONFIG_ASIGNATURAS!$B$7:$B$27,DATOS!$I$2:$I$20000)&gt;0)*1),"")))</f>
        <v/>
      </c>
      <c r="T632" t="str">
        <f>IF(S632="","",IF(S632="[FÓRMULA MANUAL]","",IFERROR(AVERAGEIFS(DATOS!$K$2:$K$20000,DATOS!$A$2:$A$20000,S632,DATOS!$G$2:$G$20000,CONFIG_METADATA!$B$4,DATOS!$I$2:$I$20000,"Armonía"),"")))</f>
        <v/>
      </c>
      <c r="U632" t="str">
        <f>IF(S632="","",IF(S632="[FÓRMULA MANUAL]","",IFERROR(AVERAGEIFS(DATOS!$K$2:$K$20000,DATOS!$A$2:$A$20000,S632,DATOS!$G$2:$G$20000,CONFIG_METADATA!$B$4,DATOS!$I$2:$I$20000,"Orquesta/Banda/Conjunto"),"")))</f>
        <v/>
      </c>
      <c r="V632" t="str">
        <f>IF(S632="","",IF(S632="[FÓRMULA MANUAL]","",IFERROR(AVERAGEIFS(DATOS!$K$2:$K$20000,DATOS!$A$2:$A$20000,S632,DATOS!$G$2:$G$20000,CONFIG_METADATA!$B$4,DATOS!$I$2:$I$20000,"Música de Cámara"),"")))</f>
        <v/>
      </c>
      <c r="W632" t="str">
        <f>IF(S632="","",IF(S632="[FÓRMULA MANUAL]","",IFERROR(SUMPRODUCT((DATOS!$A$2:$A$20000=S632)*(DATOS!$G$2:$G$20000=CONFIG_METADATA!$B$4)*(COUNTIF(CONFIG_ASIGNATURAS!$B$7:$B$27,DATOS!$I$2:$I$20000)&gt;0)*(DATOS!$K$2:$K$20000))/SUMPRODUCT((DATOS!$A$2:$A$20000=S632)*(DATOS!$G$2:$G$20000=CONFIG_METADATA!$B$4)*(COUNTIF(CONFIG_ASIGNATURAS!$B$7:$B$27,DATOS!$I$2:$I$20000)&gt;0)*1),"")))</f>
        <v/>
      </c>
      <c r="Z632" t="str">
        <f>IF(Y632="","",IF(Y632="[FÓRMULA MANUAL]","",IFERROR(AVERAGEIFS(DATOS!$K$2:$K$20000,DATOS!$A$2:$A$20000,Y632,DATOS!$G$2:$G$20000,CONFIG_METADATA!$B$4,DATOS!$I$2:$I$20000,"Análisis"),"")))</f>
        <v/>
      </c>
      <c r="AA632" t="str">
        <f>IF(Y632="","",IF(Y632="[FÓRMULA MANUAL]","",IFERROR(AVERAGEIFS(DATOS!$K$2:$K$20000,DATOS!$A$2:$A$20000,Y632,DATOS!$G$2:$G$20000,CONFIG_METADATA!$B$4,DATOS!$I$2:$I$20000,"Orquesta/Banda/Conjunto"),"")))</f>
        <v/>
      </c>
      <c r="AB632" t="str">
        <f>IF(Y632="","",IF(Y632="[FÓRMULA MANUAL]","",IFERROR(AVERAGEIFS(DATOS!$K$2:$K$20000,DATOS!$A$2:$A$20000,Y632,DATOS!$G$2:$G$20000,CONFIG_METADATA!$B$4,DATOS!$I$2:$I$20000,"Música de Cámara"),"")))</f>
        <v/>
      </c>
      <c r="AC632" t="str">
        <f>IF(Y632="","",IF(Y632="[FÓRMULA MANUAL]","",IFERROR(SUMPRODUCT((DATOS!$A$2:$A$20000=Y632)*(DATOS!$G$2:$G$20000=CONFIG_METADATA!$B$4)*(COUNTIF(CONFIG_ASIGNATURAS!$B$7:$B$27,DATOS!$I$2:$I$20000)&gt;0)*(DATOS!$K$2:$K$20000))/SUMPRODUCT((DATOS!$A$2:$A$20000=Y632)*(DATOS!$G$2:$G$20000=CONFIG_METADATA!$B$4)*(COUNTIF(CONFIG_ASIGNATURAS!$B$7:$B$27,DATOS!$I$2:$I$20000)&gt;0)*1),"")))</f>
        <v/>
      </c>
      <c r="AF632" t="str">
        <f>IF(AE632="","",IF(AE632="[FÓRMULA MANUAL]","",IFERROR(AVERAGEIFS(DATOS!$K$2:$K$20000,DATOS!$A$2:$A$20000,AE632,DATOS!$G$2:$G$20000,CONFIG_METADATA!$B$4,DATOS!$I$2:$I$20000,"Análisis"),"")))</f>
        <v/>
      </c>
      <c r="AG632" t="str">
        <f>IF(AE632="","",IF(AE632="[FÓRMULA MANUAL]","",IFERROR(AVERAGEIFS(DATOS!$K$2:$K$20000,DATOS!$A$2:$A$20000,AE632,DATOS!$G$2:$G$20000,CONFIG_METADATA!$B$4,DATOS!$I$2:$I$20000,"Orquesta/Banda/Conjunto"),"")))</f>
        <v/>
      </c>
      <c r="AH632" t="str">
        <f>IF(AE632="","",IF(AE632="[FÓRMULA MANUAL]","",IFERROR(AVERAGEIFS(DATOS!$K$2:$K$20000,DATOS!$A$2:$A$20000,AE632,DATOS!$G$2:$G$20000,CONFIG_METADATA!$B$4,DATOS!$I$2:$I$20000,"Música de Cámara"),"")))</f>
        <v/>
      </c>
      <c r="AI632" t="str">
        <f>IF(AE632="","",IF(AE632="[FÓRMULA MANUAL]","",IFERROR(SUMPRODUCT((DATOS!$A$2:$A$20000=AE632)*(DATOS!$G$2:$G$20000=CONFIG_METADATA!$B$4)*(COUNTIF(CONFIG_ASIGNATURAS!$B$7:$B$27,DATOS!$I$2:$I$20000)&gt;0)*(DATOS!$K$2:$K$20000))/SUMPRODUCT((DATOS!$A$2:$A$20000=AE632)*(DATOS!$G$2:$G$20000=CONFIG_METADATA!$B$4)*(COUNTIF(CONFIG_ASIGNATURAS!$B$7:$B$27,DATOS!$I$2:$I$20000)&gt;0)*1),"")))</f>
        <v/>
      </c>
    </row>
    <row r="633" spans="2:35" x14ac:dyDescent="0.2">
      <c r="B633" t="str">
        <f>IF(A633="","",IF(A633="[FÓRMULA MANUAL]","",IFERROR(AVERAGEIFS(DATOS!$K$2:$K$20000,DATOS!$A$2:$A$20000,A633,DATOS!$G$2:$G$20000,CONFIG_METADATA!$B$4,DATOS!$I$2:$I$20000,"Lenguaje Musical"),"")))</f>
        <v/>
      </c>
      <c r="C633" t="str">
        <f>IF(A633="","",IF(A633="[FÓRMULA MANUAL]","",IFERROR(AVERAGEIFS(DATOS!$K$2:$K$20000,DATOS!$A$2:$A$20000,A633,DATOS!$G$2:$G$20000,CONFIG_METADATA!$B$4,DATOS!$I$2:$I$20000,"Orquesta/Banda/Conjunto"),"")))</f>
        <v/>
      </c>
      <c r="D633" t="str">
        <f>IF(A633="","",IF(A633="[FÓRMULA MANUAL]","",IFERROR(AVERAGEIFS(DATOS!$K$2:$K$20000,DATOS!$A$2:$A$20000,A633,DATOS!$G$2:$G$20000,CONFIG_METADATA!$B$4,DATOS!$I$2:$I$20000,"Conjunto"),"")))</f>
        <v/>
      </c>
      <c r="E633" t="str">
        <f>IF(A633="","",IF(A633="[FÓRMULA MANUAL]","",IFERROR(SUMPRODUCT((DATOS!$A$2:$A$20000=A633)*(DATOS!$G$2:$G$20000=CONFIG_METADATA!$B$4)*(COUNTIF(CONFIG_ASIGNATURAS!$B$7:$B$27,DATOS!$I$2:$I$20000)&gt;0)*(DATOS!$K$2:$K$20000))/SUMPRODUCT((DATOS!$A$2:$A$20000=A633)*(DATOS!$G$2:$G$20000=CONFIG_METADATA!$B$4)*(COUNTIF(CONFIG_ASIGNATURAS!$B$7:$B$27,DATOS!$I$2:$I$20000)&gt;0)*1),"")))</f>
        <v/>
      </c>
      <c r="H633" t="str">
        <f>IF(G633="","",IF(G633="[FÓRMULA MANUAL]","",IFERROR(AVERAGEIFS(DATOS!$K$2:$K$20000,DATOS!$A$2:$A$20000,G633,DATOS!$G$2:$G$20000,CONFIG_METADATA!$B$4,DATOS!$I$2:$I$20000,"Lenguaje Musical"),"")))</f>
        <v/>
      </c>
      <c r="I633" t="str">
        <f>IF(G633="","",IF(G633="[FÓRMULA MANUAL]","",IFERROR(AVERAGEIFS(DATOS!$K$2:$K$20000,DATOS!$A$2:$A$20000,G633,DATOS!$G$2:$G$20000,CONFIG_METADATA!$B$4,DATOS!$I$2:$I$20000,"Orquesta/Banda/Conjunto"),"")))</f>
        <v/>
      </c>
      <c r="J633" t="str">
        <f>IF(G633="","",IF(G633="[FÓRMULA MANUAL]","",IFERROR(AVERAGEIFS(DATOS!$K$2:$K$20000,DATOS!$A$2:$A$20000,G633,DATOS!$G$2:$G$20000,CONFIG_METADATA!$B$4,DATOS!$I$2:$I$20000,"Conjunto"),"")))</f>
        <v/>
      </c>
      <c r="K633" t="str">
        <f>IF(G633="","",IF(G633="[FÓRMULA MANUAL]","",IFERROR(SUMPRODUCT((DATOS!$A$2:$A$20000=G633)*(DATOS!$G$2:$G$20000=CONFIG_METADATA!$B$4)*(COUNTIF(CONFIG_ASIGNATURAS!$B$7:$B$27,DATOS!$I$2:$I$20000)&gt;0)*(DATOS!$K$2:$K$20000))/SUMPRODUCT((DATOS!$A$2:$A$20000=G633)*(DATOS!$G$2:$G$20000=CONFIG_METADATA!$B$4)*(COUNTIF(CONFIG_ASIGNATURAS!$B$7:$B$27,DATOS!$I$2:$I$20000)&gt;0)*1),"")))</f>
        <v/>
      </c>
      <c r="N633" t="str">
        <f>IF(M633="","",IF(M633="[FÓRMULA MANUAL]","",IFERROR(AVERAGEIFS(DATOS!$K$2:$K$20000,DATOS!$A$2:$A$20000,M633,DATOS!$G$2:$G$20000,CONFIG_METADATA!$B$4,DATOS!$I$2:$I$20000,"Armonía"),"")))</f>
        <v/>
      </c>
      <c r="O633" t="str">
        <f>IF(M633="","",IF(M633="[FÓRMULA MANUAL]","",IFERROR(AVERAGEIFS(DATOS!$K$2:$K$20000,DATOS!$A$2:$A$20000,M633,DATOS!$G$2:$G$20000,CONFIG_METADATA!$B$4,DATOS!$I$2:$I$20000,"Orquesta/Banda/Conjunto"),"")))</f>
        <v/>
      </c>
      <c r="P633" t="str">
        <f>IF(M633="","",IF(M633="[FÓRMULA MANUAL]","",IFERROR(AVERAGEIFS(DATOS!$K$2:$K$20000,DATOS!$A$2:$A$20000,M633,DATOS!$G$2:$G$20000,CONFIG_METADATA!$B$4,DATOS!$I$2:$I$20000,"Música de Cámara"),"")))</f>
        <v/>
      </c>
      <c r="Q633" t="str">
        <f>IF(M633="","",IF(M633="[FÓRMULA MANUAL]","",IFERROR(SUMPRODUCT((DATOS!$A$2:$A$20000=M633)*(DATOS!$G$2:$G$20000=CONFIG_METADATA!$B$4)*(COUNTIF(CONFIG_ASIGNATURAS!$B$7:$B$27,DATOS!$I$2:$I$20000)&gt;0)*(DATOS!$K$2:$K$20000))/SUMPRODUCT((DATOS!$A$2:$A$20000=M633)*(DATOS!$G$2:$G$20000=CONFIG_METADATA!$B$4)*(COUNTIF(CONFIG_ASIGNATURAS!$B$7:$B$27,DATOS!$I$2:$I$20000)&gt;0)*1),"")))</f>
        <v/>
      </c>
      <c r="T633" t="str">
        <f>IF(S633="","",IF(S633="[FÓRMULA MANUAL]","",IFERROR(AVERAGEIFS(DATOS!$K$2:$K$20000,DATOS!$A$2:$A$20000,S633,DATOS!$G$2:$G$20000,CONFIG_METADATA!$B$4,DATOS!$I$2:$I$20000,"Armonía"),"")))</f>
        <v/>
      </c>
      <c r="U633" t="str">
        <f>IF(S633="","",IF(S633="[FÓRMULA MANUAL]","",IFERROR(AVERAGEIFS(DATOS!$K$2:$K$20000,DATOS!$A$2:$A$20000,S633,DATOS!$G$2:$G$20000,CONFIG_METADATA!$B$4,DATOS!$I$2:$I$20000,"Orquesta/Banda/Conjunto"),"")))</f>
        <v/>
      </c>
      <c r="V633" t="str">
        <f>IF(S633="","",IF(S633="[FÓRMULA MANUAL]","",IFERROR(AVERAGEIFS(DATOS!$K$2:$K$20000,DATOS!$A$2:$A$20000,S633,DATOS!$G$2:$G$20000,CONFIG_METADATA!$B$4,DATOS!$I$2:$I$20000,"Música de Cámara"),"")))</f>
        <v/>
      </c>
      <c r="W633" t="str">
        <f>IF(S633="","",IF(S633="[FÓRMULA MANUAL]","",IFERROR(SUMPRODUCT((DATOS!$A$2:$A$20000=S633)*(DATOS!$G$2:$G$20000=CONFIG_METADATA!$B$4)*(COUNTIF(CONFIG_ASIGNATURAS!$B$7:$B$27,DATOS!$I$2:$I$20000)&gt;0)*(DATOS!$K$2:$K$20000))/SUMPRODUCT((DATOS!$A$2:$A$20000=S633)*(DATOS!$G$2:$G$20000=CONFIG_METADATA!$B$4)*(COUNTIF(CONFIG_ASIGNATURAS!$B$7:$B$27,DATOS!$I$2:$I$20000)&gt;0)*1),"")))</f>
        <v/>
      </c>
      <c r="Z633" t="str">
        <f>IF(Y633="","",IF(Y633="[FÓRMULA MANUAL]","",IFERROR(AVERAGEIFS(DATOS!$K$2:$K$20000,DATOS!$A$2:$A$20000,Y633,DATOS!$G$2:$G$20000,CONFIG_METADATA!$B$4,DATOS!$I$2:$I$20000,"Análisis"),"")))</f>
        <v/>
      </c>
      <c r="AA633" t="str">
        <f>IF(Y633="","",IF(Y633="[FÓRMULA MANUAL]","",IFERROR(AVERAGEIFS(DATOS!$K$2:$K$20000,DATOS!$A$2:$A$20000,Y633,DATOS!$G$2:$G$20000,CONFIG_METADATA!$B$4,DATOS!$I$2:$I$20000,"Orquesta/Banda/Conjunto"),"")))</f>
        <v/>
      </c>
      <c r="AB633" t="str">
        <f>IF(Y633="","",IF(Y633="[FÓRMULA MANUAL]","",IFERROR(AVERAGEIFS(DATOS!$K$2:$K$20000,DATOS!$A$2:$A$20000,Y633,DATOS!$G$2:$G$20000,CONFIG_METADATA!$B$4,DATOS!$I$2:$I$20000,"Música de Cámara"),"")))</f>
        <v/>
      </c>
      <c r="AC633" t="str">
        <f>IF(Y633="","",IF(Y633="[FÓRMULA MANUAL]","",IFERROR(SUMPRODUCT((DATOS!$A$2:$A$20000=Y633)*(DATOS!$G$2:$G$20000=CONFIG_METADATA!$B$4)*(COUNTIF(CONFIG_ASIGNATURAS!$B$7:$B$27,DATOS!$I$2:$I$20000)&gt;0)*(DATOS!$K$2:$K$20000))/SUMPRODUCT((DATOS!$A$2:$A$20000=Y633)*(DATOS!$G$2:$G$20000=CONFIG_METADATA!$B$4)*(COUNTIF(CONFIG_ASIGNATURAS!$B$7:$B$27,DATOS!$I$2:$I$20000)&gt;0)*1),"")))</f>
        <v/>
      </c>
      <c r="AF633" t="str">
        <f>IF(AE633="","",IF(AE633="[FÓRMULA MANUAL]","",IFERROR(AVERAGEIFS(DATOS!$K$2:$K$20000,DATOS!$A$2:$A$20000,AE633,DATOS!$G$2:$G$20000,CONFIG_METADATA!$B$4,DATOS!$I$2:$I$20000,"Análisis"),"")))</f>
        <v/>
      </c>
      <c r="AG633" t="str">
        <f>IF(AE633="","",IF(AE633="[FÓRMULA MANUAL]","",IFERROR(AVERAGEIFS(DATOS!$K$2:$K$20000,DATOS!$A$2:$A$20000,AE633,DATOS!$G$2:$G$20000,CONFIG_METADATA!$B$4,DATOS!$I$2:$I$20000,"Orquesta/Banda/Conjunto"),"")))</f>
        <v/>
      </c>
      <c r="AH633" t="str">
        <f>IF(AE633="","",IF(AE633="[FÓRMULA MANUAL]","",IFERROR(AVERAGEIFS(DATOS!$K$2:$K$20000,DATOS!$A$2:$A$20000,AE633,DATOS!$G$2:$G$20000,CONFIG_METADATA!$B$4,DATOS!$I$2:$I$20000,"Música de Cámara"),"")))</f>
        <v/>
      </c>
      <c r="AI633" t="str">
        <f>IF(AE633="","",IF(AE633="[FÓRMULA MANUAL]","",IFERROR(SUMPRODUCT((DATOS!$A$2:$A$20000=AE633)*(DATOS!$G$2:$G$20000=CONFIG_METADATA!$B$4)*(COUNTIF(CONFIG_ASIGNATURAS!$B$7:$B$27,DATOS!$I$2:$I$20000)&gt;0)*(DATOS!$K$2:$K$20000))/SUMPRODUCT((DATOS!$A$2:$A$20000=AE633)*(DATOS!$G$2:$G$20000=CONFIG_METADATA!$B$4)*(COUNTIF(CONFIG_ASIGNATURAS!$B$7:$B$27,DATOS!$I$2:$I$20000)&gt;0)*1),"")))</f>
        <v/>
      </c>
    </row>
    <row r="634" spans="2:35" x14ac:dyDescent="0.2">
      <c r="B634" t="str">
        <f>IF(A634="","",IF(A634="[FÓRMULA MANUAL]","",IFERROR(AVERAGEIFS(DATOS!$K$2:$K$20000,DATOS!$A$2:$A$20000,A634,DATOS!$G$2:$G$20000,CONFIG_METADATA!$B$4,DATOS!$I$2:$I$20000,"Lenguaje Musical"),"")))</f>
        <v/>
      </c>
      <c r="C634" t="str">
        <f>IF(A634="","",IF(A634="[FÓRMULA MANUAL]","",IFERROR(AVERAGEIFS(DATOS!$K$2:$K$20000,DATOS!$A$2:$A$20000,A634,DATOS!$G$2:$G$20000,CONFIG_METADATA!$B$4,DATOS!$I$2:$I$20000,"Orquesta/Banda/Conjunto"),"")))</f>
        <v/>
      </c>
      <c r="D634" t="str">
        <f>IF(A634="","",IF(A634="[FÓRMULA MANUAL]","",IFERROR(AVERAGEIFS(DATOS!$K$2:$K$20000,DATOS!$A$2:$A$20000,A634,DATOS!$G$2:$G$20000,CONFIG_METADATA!$B$4,DATOS!$I$2:$I$20000,"Conjunto"),"")))</f>
        <v/>
      </c>
      <c r="E634" t="str">
        <f>IF(A634="","",IF(A634="[FÓRMULA MANUAL]","",IFERROR(SUMPRODUCT((DATOS!$A$2:$A$20000=A634)*(DATOS!$G$2:$G$20000=CONFIG_METADATA!$B$4)*(COUNTIF(CONFIG_ASIGNATURAS!$B$7:$B$27,DATOS!$I$2:$I$20000)&gt;0)*(DATOS!$K$2:$K$20000))/SUMPRODUCT((DATOS!$A$2:$A$20000=A634)*(DATOS!$G$2:$G$20000=CONFIG_METADATA!$B$4)*(COUNTIF(CONFIG_ASIGNATURAS!$B$7:$B$27,DATOS!$I$2:$I$20000)&gt;0)*1),"")))</f>
        <v/>
      </c>
      <c r="H634" t="str">
        <f>IF(G634="","",IF(G634="[FÓRMULA MANUAL]","",IFERROR(AVERAGEIFS(DATOS!$K$2:$K$20000,DATOS!$A$2:$A$20000,G634,DATOS!$G$2:$G$20000,CONFIG_METADATA!$B$4,DATOS!$I$2:$I$20000,"Lenguaje Musical"),"")))</f>
        <v/>
      </c>
      <c r="I634" t="str">
        <f>IF(G634="","",IF(G634="[FÓRMULA MANUAL]","",IFERROR(AVERAGEIFS(DATOS!$K$2:$K$20000,DATOS!$A$2:$A$20000,G634,DATOS!$G$2:$G$20000,CONFIG_METADATA!$B$4,DATOS!$I$2:$I$20000,"Orquesta/Banda/Conjunto"),"")))</f>
        <v/>
      </c>
      <c r="J634" t="str">
        <f>IF(G634="","",IF(G634="[FÓRMULA MANUAL]","",IFERROR(AVERAGEIFS(DATOS!$K$2:$K$20000,DATOS!$A$2:$A$20000,G634,DATOS!$G$2:$G$20000,CONFIG_METADATA!$B$4,DATOS!$I$2:$I$20000,"Conjunto"),"")))</f>
        <v/>
      </c>
      <c r="K634" t="str">
        <f>IF(G634="","",IF(G634="[FÓRMULA MANUAL]","",IFERROR(SUMPRODUCT((DATOS!$A$2:$A$20000=G634)*(DATOS!$G$2:$G$20000=CONFIG_METADATA!$B$4)*(COUNTIF(CONFIG_ASIGNATURAS!$B$7:$B$27,DATOS!$I$2:$I$20000)&gt;0)*(DATOS!$K$2:$K$20000))/SUMPRODUCT((DATOS!$A$2:$A$20000=G634)*(DATOS!$G$2:$G$20000=CONFIG_METADATA!$B$4)*(COUNTIF(CONFIG_ASIGNATURAS!$B$7:$B$27,DATOS!$I$2:$I$20000)&gt;0)*1),"")))</f>
        <v/>
      </c>
      <c r="N634" t="str">
        <f>IF(M634="","",IF(M634="[FÓRMULA MANUAL]","",IFERROR(AVERAGEIFS(DATOS!$K$2:$K$20000,DATOS!$A$2:$A$20000,M634,DATOS!$G$2:$G$20000,CONFIG_METADATA!$B$4,DATOS!$I$2:$I$20000,"Armonía"),"")))</f>
        <v/>
      </c>
      <c r="O634" t="str">
        <f>IF(M634="","",IF(M634="[FÓRMULA MANUAL]","",IFERROR(AVERAGEIFS(DATOS!$K$2:$K$20000,DATOS!$A$2:$A$20000,M634,DATOS!$G$2:$G$20000,CONFIG_METADATA!$B$4,DATOS!$I$2:$I$20000,"Orquesta/Banda/Conjunto"),"")))</f>
        <v/>
      </c>
      <c r="P634" t="str">
        <f>IF(M634="","",IF(M634="[FÓRMULA MANUAL]","",IFERROR(AVERAGEIFS(DATOS!$K$2:$K$20000,DATOS!$A$2:$A$20000,M634,DATOS!$G$2:$G$20000,CONFIG_METADATA!$B$4,DATOS!$I$2:$I$20000,"Música de Cámara"),"")))</f>
        <v/>
      </c>
      <c r="Q634" t="str">
        <f>IF(M634="","",IF(M634="[FÓRMULA MANUAL]","",IFERROR(SUMPRODUCT((DATOS!$A$2:$A$20000=M634)*(DATOS!$G$2:$G$20000=CONFIG_METADATA!$B$4)*(COUNTIF(CONFIG_ASIGNATURAS!$B$7:$B$27,DATOS!$I$2:$I$20000)&gt;0)*(DATOS!$K$2:$K$20000))/SUMPRODUCT((DATOS!$A$2:$A$20000=M634)*(DATOS!$G$2:$G$20000=CONFIG_METADATA!$B$4)*(COUNTIF(CONFIG_ASIGNATURAS!$B$7:$B$27,DATOS!$I$2:$I$20000)&gt;0)*1),"")))</f>
        <v/>
      </c>
      <c r="T634" t="str">
        <f>IF(S634="","",IF(S634="[FÓRMULA MANUAL]","",IFERROR(AVERAGEIFS(DATOS!$K$2:$K$20000,DATOS!$A$2:$A$20000,S634,DATOS!$G$2:$G$20000,CONFIG_METADATA!$B$4,DATOS!$I$2:$I$20000,"Armonía"),"")))</f>
        <v/>
      </c>
      <c r="U634" t="str">
        <f>IF(S634="","",IF(S634="[FÓRMULA MANUAL]","",IFERROR(AVERAGEIFS(DATOS!$K$2:$K$20000,DATOS!$A$2:$A$20000,S634,DATOS!$G$2:$G$20000,CONFIG_METADATA!$B$4,DATOS!$I$2:$I$20000,"Orquesta/Banda/Conjunto"),"")))</f>
        <v/>
      </c>
      <c r="V634" t="str">
        <f>IF(S634="","",IF(S634="[FÓRMULA MANUAL]","",IFERROR(AVERAGEIFS(DATOS!$K$2:$K$20000,DATOS!$A$2:$A$20000,S634,DATOS!$G$2:$G$20000,CONFIG_METADATA!$B$4,DATOS!$I$2:$I$20000,"Música de Cámara"),"")))</f>
        <v/>
      </c>
      <c r="W634" t="str">
        <f>IF(S634="","",IF(S634="[FÓRMULA MANUAL]","",IFERROR(SUMPRODUCT((DATOS!$A$2:$A$20000=S634)*(DATOS!$G$2:$G$20000=CONFIG_METADATA!$B$4)*(COUNTIF(CONFIG_ASIGNATURAS!$B$7:$B$27,DATOS!$I$2:$I$20000)&gt;0)*(DATOS!$K$2:$K$20000))/SUMPRODUCT((DATOS!$A$2:$A$20000=S634)*(DATOS!$G$2:$G$20000=CONFIG_METADATA!$B$4)*(COUNTIF(CONFIG_ASIGNATURAS!$B$7:$B$27,DATOS!$I$2:$I$20000)&gt;0)*1),"")))</f>
        <v/>
      </c>
      <c r="Z634" t="str">
        <f>IF(Y634="","",IF(Y634="[FÓRMULA MANUAL]","",IFERROR(AVERAGEIFS(DATOS!$K$2:$K$20000,DATOS!$A$2:$A$20000,Y634,DATOS!$G$2:$G$20000,CONFIG_METADATA!$B$4,DATOS!$I$2:$I$20000,"Análisis"),"")))</f>
        <v/>
      </c>
      <c r="AA634" t="str">
        <f>IF(Y634="","",IF(Y634="[FÓRMULA MANUAL]","",IFERROR(AVERAGEIFS(DATOS!$K$2:$K$20000,DATOS!$A$2:$A$20000,Y634,DATOS!$G$2:$G$20000,CONFIG_METADATA!$B$4,DATOS!$I$2:$I$20000,"Orquesta/Banda/Conjunto"),"")))</f>
        <v/>
      </c>
      <c r="AB634" t="str">
        <f>IF(Y634="","",IF(Y634="[FÓRMULA MANUAL]","",IFERROR(AVERAGEIFS(DATOS!$K$2:$K$20000,DATOS!$A$2:$A$20000,Y634,DATOS!$G$2:$G$20000,CONFIG_METADATA!$B$4,DATOS!$I$2:$I$20000,"Música de Cámara"),"")))</f>
        <v/>
      </c>
      <c r="AC634" t="str">
        <f>IF(Y634="","",IF(Y634="[FÓRMULA MANUAL]","",IFERROR(SUMPRODUCT((DATOS!$A$2:$A$20000=Y634)*(DATOS!$G$2:$G$20000=CONFIG_METADATA!$B$4)*(COUNTIF(CONFIG_ASIGNATURAS!$B$7:$B$27,DATOS!$I$2:$I$20000)&gt;0)*(DATOS!$K$2:$K$20000))/SUMPRODUCT((DATOS!$A$2:$A$20000=Y634)*(DATOS!$G$2:$G$20000=CONFIG_METADATA!$B$4)*(COUNTIF(CONFIG_ASIGNATURAS!$B$7:$B$27,DATOS!$I$2:$I$20000)&gt;0)*1),"")))</f>
        <v/>
      </c>
      <c r="AF634" t="str">
        <f>IF(AE634="","",IF(AE634="[FÓRMULA MANUAL]","",IFERROR(AVERAGEIFS(DATOS!$K$2:$K$20000,DATOS!$A$2:$A$20000,AE634,DATOS!$G$2:$G$20000,CONFIG_METADATA!$B$4,DATOS!$I$2:$I$20000,"Análisis"),"")))</f>
        <v/>
      </c>
      <c r="AG634" t="str">
        <f>IF(AE634="","",IF(AE634="[FÓRMULA MANUAL]","",IFERROR(AVERAGEIFS(DATOS!$K$2:$K$20000,DATOS!$A$2:$A$20000,AE634,DATOS!$G$2:$G$20000,CONFIG_METADATA!$B$4,DATOS!$I$2:$I$20000,"Orquesta/Banda/Conjunto"),"")))</f>
        <v/>
      </c>
      <c r="AH634" t="str">
        <f>IF(AE634="","",IF(AE634="[FÓRMULA MANUAL]","",IFERROR(AVERAGEIFS(DATOS!$K$2:$K$20000,DATOS!$A$2:$A$20000,AE634,DATOS!$G$2:$G$20000,CONFIG_METADATA!$B$4,DATOS!$I$2:$I$20000,"Música de Cámara"),"")))</f>
        <v/>
      </c>
      <c r="AI634" t="str">
        <f>IF(AE634="","",IF(AE634="[FÓRMULA MANUAL]","",IFERROR(SUMPRODUCT((DATOS!$A$2:$A$20000=AE634)*(DATOS!$G$2:$G$20000=CONFIG_METADATA!$B$4)*(COUNTIF(CONFIG_ASIGNATURAS!$B$7:$B$27,DATOS!$I$2:$I$20000)&gt;0)*(DATOS!$K$2:$K$20000))/SUMPRODUCT((DATOS!$A$2:$A$20000=AE634)*(DATOS!$G$2:$G$20000=CONFIG_METADATA!$B$4)*(COUNTIF(CONFIG_ASIGNATURAS!$B$7:$B$27,DATOS!$I$2:$I$20000)&gt;0)*1),"")))</f>
        <v/>
      </c>
    </row>
    <row r="635" spans="2:35" x14ac:dyDescent="0.2">
      <c r="B635" t="str">
        <f>IF(A635="","",IF(A635="[FÓRMULA MANUAL]","",IFERROR(AVERAGEIFS(DATOS!$K$2:$K$20000,DATOS!$A$2:$A$20000,A635,DATOS!$G$2:$G$20000,CONFIG_METADATA!$B$4,DATOS!$I$2:$I$20000,"Lenguaje Musical"),"")))</f>
        <v/>
      </c>
      <c r="C635" t="str">
        <f>IF(A635="","",IF(A635="[FÓRMULA MANUAL]","",IFERROR(AVERAGEIFS(DATOS!$K$2:$K$20000,DATOS!$A$2:$A$20000,A635,DATOS!$G$2:$G$20000,CONFIG_METADATA!$B$4,DATOS!$I$2:$I$20000,"Orquesta/Banda/Conjunto"),"")))</f>
        <v/>
      </c>
      <c r="D635" t="str">
        <f>IF(A635="","",IF(A635="[FÓRMULA MANUAL]","",IFERROR(AVERAGEIFS(DATOS!$K$2:$K$20000,DATOS!$A$2:$A$20000,A635,DATOS!$G$2:$G$20000,CONFIG_METADATA!$B$4,DATOS!$I$2:$I$20000,"Conjunto"),"")))</f>
        <v/>
      </c>
      <c r="E635" t="str">
        <f>IF(A635="","",IF(A635="[FÓRMULA MANUAL]","",IFERROR(SUMPRODUCT((DATOS!$A$2:$A$20000=A635)*(DATOS!$G$2:$G$20000=CONFIG_METADATA!$B$4)*(COUNTIF(CONFIG_ASIGNATURAS!$B$7:$B$27,DATOS!$I$2:$I$20000)&gt;0)*(DATOS!$K$2:$K$20000))/SUMPRODUCT((DATOS!$A$2:$A$20000=A635)*(DATOS!$G$2:$G$20000=CONFIG_METADATA!$B$4)*(COUNTIF(CONFIG_ASIGNATURAS!$B$7:$B$27,DATOS!$I$2:$I$20000)&gt;0)*1),"")))</f>
        <v/>
      </c>
      <c r="H635" t="str">
        <f>IF(G635="","",IF(G635="[FÓRMULA MANUAL]","",IFERROR(AVERAGEIFS(DATOS!$K$2:$K$20000,DATOS!$A$2:$A$20000,G635,DATOS!$G$2:$G$20000,CONFIG_METADATA!$B$4,DATOS!$I$2:$I$20000,"Lenguaje Musical"),"")))</f>
        <v/>
      </c>
      <c r="I635" t="str">
        <f>IF(G635="","",IF(G635="[FÓRMULA MANUAL]","",IFERROR(AVERAGEIFS(DATOS!$K$2:$K$20000,DATOS!$A$2:$A$20000,G635,DATOS!$G$2:$G$20000,CONFIG_METADATA!$B$4,DATOS!$I$2:$I$20000,"Orquesta/Banda/Conjunto"),"")))</f>
        <v/>
      </c>
      <c r="J635" t="str">
        <f>IF(G635="","",IF(G635="[FÓRMULA MANUAL]","",IFERROR(AVERAGEIFS(DATOS!$K$2:$K$20000,DATOS!$A$2:$A$20000,G635,DATOS!$G$2:$G$20000,CONFIG_METADATA!$B$4,DATOS!$I$2:$I$20000,"Conjunto"),"")))</f>
        <v/>
      </c>
      <c r="K635" t="str">
        <f>IF(G635="","",IF(G635="[FÓRMULA MANUAL]","",IFERROR(SUMPRODUCT((DATOS!$A$2:$A$20000=G635)*(DATOS!$G$2:$G$20000=CONFIG_METADATA!$B$4)*(COUNTIF(CONFIG_ASIGNATURAS!$B$7:$B$27,DATOS!$I$2:$I$20000)&gt;0)*(DATOS!$K$2:$K$20000))/SUMPRODUCT((DATOS!$A$2:$A$20000=G635)*(DATOS!$G$2:$G$20000=CONFIG_METADATA!$B$4)*(COUNTIF(CONFIG_ASIGNATURAS!$B$7:$B$27,DATOS!$I$2:$I$20000)&gt;0)*1),"")))</f>
        <v/>
      </c>
      <c r="N635" t="str">
        <f>IF(M635="","",IF(M635="[FÓRMULA MANUAL]","",IFERROR(AVERAGEIFS(DATOS!$K$2:$K$20000,DATOS!$A$2:$A$20000,M635,DATOS!$G$2:$G$20000,CONFIG_METADATA!$B$4,DATOS!$I$2:$I$20000,"Armonía"),"")))</f>
        <v/>
      </c>
      <c r="O635" t="str">
        <f>IF(M635="","",IF(M635="[FÓRMULA MANUAL]","",IFERROR(AVERAGEIFS(DATOS!$K$2:$K$20000,DATOS!$A$2:$A$20000,M635,DATOS!$G$2:$G$20000,CONFIG_METADATA!$B$4,DATOS!$I$2:$I$20000,"Orquesta/Banda/Conjunto"),"")))</f>
        <v/>
      </c>
      <c r="P635" t="str">
        <f>IF(M635="","",IF(M635="[FÓRMULA MANUAL]","",IFERROR(AVERAGEIFS(DATOS!$K$2:$K$20000,DATOS!$A$2:$A$20000,M635,DATOS!$G$2:$G$20000,CONFIG_METADATA!$B$4,DATOS!$I$2:$I$20000,"Música de Cámara"),"")))</f>
        <v/>
      </c>
      <c r="Q635" t="str">
        <f>IF(M635="","",IF(M635="[FÓRMULA MANUAL]","",IFERROR(SUMPRODUCT((DATOS!$A$2:$A$20000=M635)*(DATOS!$G$2:$G$20000=CONFIG_METADATA!$B$4)*(COUNTIF(CONFIG_ASIGNATURAS!$B$7:$B$27,DATOS!$I$2:$I$20000)&gt;0)*(DATOS!$K$2:$K$20000))/SUMPRODUCT((DATOS!$A$2:$A$20000=M635)*(DATOS!$G$2:$G$20000=CONFIG_METADATA!$B$4)*(COUNTIF(CONFIG_ASIGNATURAS!$B$7:$B$27,DATOS!$I$2:$I$20000)&gt;0)*1),"")))</f>
        <v/>
      </c>
      <c r="T635" t="str">
        <f>IF(S635="","",IF(S635="[FÓRMULA MANUAL]","",IFERROR(AVERAGEIFS(DATOS!$K$2:$K$20000,DATOS!$A$2:$A$20000,S635,DATOS!$G$2:$G$20000,CONFIG_METADATA!$B$4,DATOS!$I$2:$I$20000,"Armonía"),"")))</f>
        <v/>
      </c>
      <c r="U635" t="str">
        <f>IF(S635="","",IF(S635="[FÓRMULA MANUAL]","",IFERROR(AVERAGEIFS(DATOS!$K$2:$K$20000,DATOS!$A$2:$A$20000,S635,DATOS!$G$2:$G$20000,CONFIG_METADATA!$B$4,DATOS!$I$2:$I$20000,"Orquesta/Banda/Conjunto"),"")))</f>
        <v/>
      </c>
      <c r="V635" t="str">
        <f>IF(S635="","",IF(S635="[FÓRMULA MANUAL]","",IFERROR(AVERAGEIFS(DATOS!$K$2:$K$20000,DATOS!$A$2:$A$20000,S635,DATOS!$G$2:$G$20000,CONFIG_METADATA!$B$4,DATOS!$I$2:$I$20000,"Música de Cámara"),"")))</f>
        <v/>
      </c>
      <c r="W635" t="str">
        <f>IF(S635="","",IF(S635="[FÓRMULA MANUAL]","",IFERROR(SUMPRODUCT((DATOS!$A$2:$A$20000=S635)*(DATOS!$G$2:$G$20000=CONFIG_METADATA!$B$4)*(COUNTIF(CONFIG_ASIGNATURAS!$B$7:$B$27,DATOS!$I$2:$I$20000)&gt;0)*(DATOS!$K$2:$K$20000))/SUMPRODUCT((DATOS!$A$2:$A$20000=S635)*(DATOS!$G$2:$G$20000=CONFIG_METADATA!$B$4)*(COUNTIF(CONFIG_ASIGNATURAS!$B$7:$B$27,DATOS!$I$2:$I$20000)&gt;0)*1),"")))</f>
        <v/>
      </c>
      <c r="Z635" t="str">
        <f>IF(Y635="","",IF(Y635="[FÓRMULA MANUAL]","",IFERROR(AVERAGEIFS(DATOS!$K$2:$K$20000,DATOS!$A$2:$A$20000,Y635,DATOS!$G$2:$G$20000,CONFIG_METADATA!$B$4,DATOS!$I$2:$I$20000,"Análisis"),"")))</f>
        <v/>
      </c>
      <c r="AA635" t="str">
        <f>IF(Y635="","",IF(Y635="[FÓRMULA MANUAL]","",IFERROR(AVERAGEIFS(DATOS!$K$2:$K$20000,DATOS!$A$2:$A$20000,Y635,DATOS!$G$2:$G$20000,CONFIG_METADATA!$B$4,DATOS!$I$2:$I$20000,"Orquesta/Banda/Conjunto"),"")))</f>
        <v/>
      </c>
      <c r="AB635" t="str">
        <f>IF(Y635="","",IF(Y635="[FÓRMULA MANUAL]","",IFERROR(AVERAGEIFS(DATOS!$K$2:$K$20000,DATOS!$A$2:$A$20000,Y635,DATOS!$G$2:$G$20000,CONFIG_METADATA!$B$4,DATOS!$I$2:$I$20000,"Música de Cámara"),"")))</f>
        <v/>
      </c>
      <c r="AC635" t="str">
        <f>IF(Y635="","",IF(Y635="[FÓRMULA MANUAL]","",IFERROR(SUMPRODUCT((DATOS!$A$2:$A$20000=Y635)*(DATOS!$G$2:$G$20000=CONFIG_METADATA!$B$4)*(COUNTIF(CONFIG_ASIGNATURAS!$B$7:$B$27,DATOS!$I$2:$I$20000)&gt;0)*(DATOS!$K$2:$K$20000))/SUMPRODUCT((DATOS!$A$2:$A$20000=Y635)*(DATOS!$G$2:$G$20000=CONFIG_METADATA!$B$4)*(COUNTIF(CONFIG_ASIGNATURAS!$B$7:$B$27,DATOS!$I$2:$I$20000)&gt;0)*1),"")))</f>
        <v/>
      </c>
      <c r="AF635" t="str">
        <f>IF(AE635="","",IF(AE635="[FÓRMULA MANUAL]","",IFERROR(AVERAGEIFS(DATOS!$K$2:$K$20000,DATOS!$A$2:$A$20000,AE635,DATOS!$G$2:$G$20000,CONFIG_METADATA!$B$4,DATOS!$I$2:$I$20000,"Análisis"),"")))</f>
        <v/>
      </c>
      <c r="AG635" t="str">
        <f>IF(AE635="","",IF(AE635="[FÓRMULA MANUAL]","",IFERROR(AVERAGEIFS(DATOS!$K$2:$K$20000,DATOS!$A$2:$A$20000,AE635,DATOS!$G$2:$G$20000,CONFIG_METADATA!$B$4,DATOS!$I$2:$I$20000,"Orquesta/Banda/Conjunto"),"")))</f>
        <v/>
      </c>
      <c r="AH635" t="str">
        <f>IF(AE635="","",IF(AE635="[FÓRMULA MANUAL]","",IFERROR(AVERAGEIFS(DATOS!$K$2:$K$20000,DATOS!$A$2:$A$20000,AE635,DATOS!$G$2:$G$20000,CONFIG_METADATA!$B$4,DATOS!$I$2:$I$20000,"Música de Cámara"),"")))</f>
        <v/>
      </c>
      <c r="AI635" t="str">
        <f>IF(AE635="","",IF(AE635="[FÓRMULA MANUAL]","",IFERROR(SUMPRODUCT((DATOS!$A$2:$A$20000=AE635)*(DATOS!$G$2:$G$20000=CONFIG_METADATA!$B$4)*(COUNTIF(CONFIG_ASIGNATURAS!$B$7:$B$27,DATOS!$I$2:$I$20000)&gt;0)*(DATOS!$K$2:$K$20000))/SUMPRODUCT((DATOS!$A$2:$A$20000=AE635)*(DATOS!$G$2:$G$20000=CONFIG_METADATA!$B$4)*(COUNTIF(CONFIG_ASIGNATURAS!$B$7:$B$27,DATOS!$I$2:$I$20000)&gt;0)*1),"")))</f>
        <v/>
      </c>
    </row>
    <row r="636" spans="2:35" x14ac:dyDescent="0.2">
      <c r="B636" t="str">
        <f>IF(A636="","",IF(A636="[FÓRMULA MANUAL]","",IFERROR(AVERAGEIFS(DATOS!$K$2:$K$20000,DATOS!$A$2:$A$20000,A636,DATOS!$G$2:$G$20000,CONFIG_METADATA!$B$4,DATOS!$I$2:$I$20000,"Lenguaje Musical"),"")))</f>
        <v/>
      </c>
      <c r="C636" t="str">
        <f>IF(A636="","",IF(A636="[FÓRMULA MANUAL]","",IFERROR(AVERAGEIFS(DATOS!$K$2:$K$20000,DATOS!$A$2:$A$20000,A636,DATOS!$G$2:$G$20000,CONFIG_METADATA!$B$4,DATOS!$I$2:$I$20000,"Orquesta/Banda/Conjunto"),"")))</f>
        <v/>
      </c>
      <c r="D636" t="str">
        <f>IF(A636="","",IF(A636="[FÓRMULA MANUAL]","",IFERROR(AVERAGEIFS(DATOS!$K$2:$K$20000,DATOS!$A$2:$A$20000,A636,DATOS!$G$2:$G$20000,CONFIG_METADATA!$B$4,DATOS!$I$2:$I$20000,"Conjunto"),"")))</f>
        <v/>
      </c>
      <c r="E636" t="str">
        <f>IF(A636="","",IF(A636="[FÓRMULA MANUAL]","",IFERROR(SUMPRODUCT((DATOS!$A$2:$A$20000=A636)*(DATOS!$G$2:$G$20000=CONFIG_METADATA!$B$4)*(COUNTIF(CONFIG_ASIGNATURAS!$B$7:$B$27,DATOS!$I$2:$I$20000)&gt;0)*(DATOS!$K$2:$K$20000))/SUMPRODUCT((DATOS!$A$2:$A$20000=A636)*(DATOS!$G$2:$G$20000=CONFIG_METADATA!$B$4)*(COUNTIF(CONFIG_ASIGNATURAS!$B$7:$B$27,DATOS!$I$2:$I$20000)&gt;0)*1),"")))</f>
        <v/>
      </c>
      <c r="H636" t="str">
        <f>IF(G636="","",IF(G636="[FÓRMULA MANUAL]","",IFERROR(AVERAGEIFS(DATOS!$K$2:$K$20000,DATOS!$A$2:$A$20000,G636,DATOS!$G$2:$G$20000,CONFIG_METADATA!$B$4,DATOS!$I$2:$I$20000,"Lenguaje Musical"),"")))</f>
        <v/>
      </c>
      <c r="I636" t="str">
        <f>IF(G636="","",IF(G636="[FÓRMULA MANUAL]","",IFERROR(AVERAGEIFS(DATOS!$K$2:$K$20000,DATOS!$A$2:$A$20000,G636,DATOS!$G$2:$G$20000,CONFIG_METADATA!$B$4,DATOS!$I$2:$I$20000,"Orquesta/Banda/Conjunto"),"")))</f>
        <v/>
      </c>
      <c r="J636" t="str">
        <f>IF(G636="","",IF(G636="[FÓRMULA MANUAL]","",IFERROR(AVERAGEIFS(DATOS!$K$2:$K$20000,DATOS!$A$2:$A$20000,G636,DATOS!$G$2:$G$20000,CONFIG_METADATA!$B$4,DATOS!$I$2:$I$20000,"Conjunto"),"")))</f>
        <v/>
      </c>
      <c r="K636" t="str">
        <f>IF(G636="","",IF(G636="[FÓRMULA MANUAL]","",IFERROR(SUMPRODUCT((DATOS!$A$2:$A$20000=G636)*(DATOS!$G$2:$G$20000=CONFIG_METADATA!$B$4)*(COUNTIF(CONFIG_ASIGNATURAS!$B$7:$B$27,DATOS!$I$2:$I$20000)&gt;0)*(DATOS!$K$2:$K$20000))/SUMPRODUCT((DATOS!$A$2:$A$20000=G636)*(DATOS!$G$2:$G$20000=CONFIG_METADATA!$B$4)*(COUNTIF(CONFIG_ASIGNATURAS!$B$7:$B$27,DATOS!$I$2:$I$20000)&gt;0)*1),"")))</f>
        <v/>
      </c>
      <c r="N636" t="str">
        <f>IF(M636="","",IF(M636="[FÓRMULA MANUAL]","",IFERROR(AVERAGEIFS(DATOS!$K$2:$K$20000,DATOS!$A$2:$A$20000,M636,DATOS!$G$2:$G$20000,CONFIG_METADATA!$B$4,DATOS!$I$2:$I$20000,"Armonía"),"")))</f>
        <v/>
      </c>
      <c r="O636" t="str">
        <f>IF(M636="","",IF(M636="[FÓRMULA MANUAL]","",IFERROR(AVERAGEIFS(DATOS!$K$2:$K$20000,DATOS!$A$2:$A$20000,M636,DATOS!$G$2:$G$20000,CONFIG_METADATA!$B$4,DATOS!$I$2:$I$20000,"Orquesta/Banda/Conjunto"),"")))</f>
        <v/>
      </c>
      <c r="P636" t="str">
        <f>IF(M636="","",IF(M636="[FÓRMULA MANUAL]","",IFERROR(AVERAGEIFS(DATOS!$K$2:$K$20000,DATOS!$A$2:$A$20000,M636,DATOS!$G$2:$G$20000,CONFIG_METADATA!$B$4,DATOS!$I$2:$I$20000,"Música de Cámara"),"")))</f>
        <v/>
      </c>
      <c r="Q636" t="str">
        <f>IF(M636="","",IF(M636="[FÓRMULA MANUAL]","",IFERROR(SUMPRODUCT((DATOS!$A$2:$A$20000=M636)*(DATOS!$G$2:$G$20000=CONFIG_METADATA!$B$4)*(COUNTIF(CONFIG_ASIGNATURAS!$B$7:$B$27,DATOS!$I$2:$I$20000)&gt;0)*(DATOS!$K$2:$K$20000))/SUMPRODUCT((DATOS!$A$2:$A$20000=M636)*(DATOS!$G$2:$G$20000=CONFIG_METADATA!$B$4)*(COUNTIF(CONFIG_ASIGNATURAS!$B$7:$B$27,DATOS!$I$2:$I$20000)&gt;0)*1),"")))</f>
        <v/>
      </c>
      <c r="T636" t="str">
        <f>IF(S636="","",IF(S636="[FÓRMULA MANUAL]","",IFERROR(AVERAGEIFS(DATOS!$K$2:$K$20000,DATOS!$A$2:$A$20000,S636,DATOS!$G$2:$G$20000,CONFIG_METADATA!$B$4,DATOS!$I$2:$I$20000,"Armonía"),"")))</f>
        <v/>
      </c>
      <c r="U636" t="str">
        <f>IF(S636="","",IF(S636="[FÓRMULA MANUAL]","",IFERROR(AVERAGEIFS(DATOS!$K$2:$K$20000,DATOS!$A$2:$A$20000,S636,DATOS!$G$2:$G$20000,CONFIG_METADATA!$B$4,DATOS!$I$2:$I$20000,"Orquesta/Banda/Conjunto"),"")))</f>
        <v/>
      </c>
      <c r="V636" t="str">
        <f>IF(S636="","",IF(S636="[FÓRMULA MANUAL]","",IFERROR(AVERAGEIFS(DATOS!$K$2:$K$20000,DATOS!$A$2:$A$20000,S636,DATOS!$G$2:$G$20000,CONFIG_METADATA!$B$4,DATOS!$I$2:$I$20000,"Música de Cámara"),"")))</f>
        <v/>
      </c>
      <c r="W636" t="str">
        <f>IF(S636="","",IF(S636="[FÓRMULA MANUAL]","",IFERROR(SUMPRODUCT((DATOS!$A$2:$A$20000=S636)*(DATOS!$G$2:$G$20000=CONFIG_METADATA!$B$4)*(COUNTIF(CONFIG_ASIGNATURAS!$B$7:$B$27,DATOS!$I$2:$I$20000)&gt;0)*(DATOS!$K$2:$K$20000))/SUMPRODUCT((DATOS!$A$2:$A$20000=S636)*(DATOS!$G$2:$G$20000=CONFIG_METADATA!$B$4)*(COUNTIF(CONFIG_ASIGNATURAS!$B$7:$B$27,DATOS!$I$2:$I$20000)&gt;0)*1),"")))</f>
        <v/>
      </c>
      <c r="Z636" t="str">
        <f>IF(Y636="","",IF(Y636="[FÓRMULA MANUAL]","",IFERROR(AVERAGEIFS(DATOS!$K$2:$K$20000,DATOS!$A$2:$A$20000,Y636,DATOS!$G$2:$G$20000,CONFIG_METADATA!$B$4,DATOS!$I$2:$I$20000,"Análisis"),"")))</f>
        <v/>
      </c>
      <c r="AA636" t="str">
        <f>IF(Y636="","",IF(Y636="[FÓRMULA MANUAL]","",IFERROR(AVERAGEIFS(DATOS!$K$2:$K$20000,DATOS!$A$2:$A$20000,Y636,DATOS!$G$2:$G$20000,CONFIG_METADATA!$B$4,DATOS!$I$2:$I$20000,"Orquesta/Banda/Conjunto"),"")))</f>
        <v/>
      </c>
      <c r="AB636" t="str">
        <f>IF(Y636="","",IF(Y636="[FÓRMULA MANUAL]","",IFERROR(AVERAGEIFS(DATOS!$K$2:$K$20000,DATOS!$A$2:$A$20000,Y636,DATOS!$G$2:$G$20000,CONFIG_METADATA!$B$4,DATOS!$I$2:$I$20000,"Música de Cámara"),"")))</f>
        <v/>
      </c>
      <c r="AC636" t="str">
        <f>IF(Y636="","",IF(Y636="[FÓRMULA MANUAL]","",IFERROR(SUMPRODUCT((DATOS!$A$2:$A$20000=Y636)*(DATOS!$G$2:$G$20000=CONFIG_METADATA!$B$4)*(COUNTIF(CONFIG_ASIGNATURAS!$B$7:$B$27,DATOS!$I$2:$I$20000)&gt;0)*(DATOS!$K$2:$K$20000))/SUMPRODUCT((DATOS!$A$2:$A$20000=Y636)*(DATOS!$G$2:$G$20000=CONFIG_METADATA!$B$4)*(COUNTIF(CONFIG_ASIGNATURAS!$B$7:$B$27,DATOS!$I$2:$I$20000)&gt;0)*1),"")))</f>
        <v/>
      </c>
      <c r="AF636" t="str">
        <f>IF(AE636="","",IF(AE636="[FÓRMULA MANUAL]","",IFERROR(AVERAGEIFS(DATOS!$K$2:$K$20000,DATOS!$A$2:$A$20000,AE636,DATOS!$G$2:$G$20000,CONFIG_METADATA!$B$4,DATOS!$I$2:$I$20000,"Análisis"),"")))</f>
        <v/>
      </c>
      <c r="AG636" t="str">
        <f>IF(AE636="","",IF(AE636="[FÓRMULA MANUAL]","",IFERROR(AVERAGEIFS(DATOS!$K$2:$K$20000,DATOS!$A$2:$A$20000,AE636,DATOS!$G$2:$G$20000,CONFIG_METADATA!$B$4,DATOS!$I$2:$I$20000,"Orquesta/Banda/Conjunto"),"")))</f>
        <v/>
      </c>
      <c r="AH636" t="str">
        <f>IF(AE636="","",IF(AE636="[FÓRMULA MANUAL]","",IFERROR(AVERAGEIFS(DATOS!$K$2:$K$20000,DATOS!$A$2:$A$20000,AE636,DATOS!$G$2:$G$20000,CONFIG_METADATA!$B$4,DATOS!$I$2:$I$20000,"Música de Cámara"),"")))</f>
        <v/>
      </c>
      <c r="AI636" t="str">
        <f>IF(AE636="","",IF(AE636="[FÓRMULA MANUAL]","",IFERROR(SUMPRODUCT((DATOS!$A$2:$A$20000=AE636)*(DATOS!$G$2:$G$20000=CONFIG_METADATA!$B$4)*(COUNTIF(CONFIG_ASIGNATURAS!$B$7:$B$27,DATOS!$I$2:$I$20000)&gt;0)*(DATOS!$K$2:$K$20000))/SUMPRODUCT((DATOS!$A$2:$A$20000=AE636)*(DATOS!$G$2:$G$20000=CONFIG_METADATA!$B$4)*(COUNTIF(CONFIG_ASIGNATURAS!$B$7:$B$27,DATOS!$I$2:$I$20000)&gt;0)*1),"")))</f>
        <v/>
      </c>
    </row>
    <row r="637" spans="2:35" x14ac:dyDescent="0.2">
      <c r="B637" t="str">
        <f>IF(A637="","",IF(A637="[FÓRMULA MANUAL]","",IFERROR(AVERAGEIFS(DATOS!$K$2:$K$20000,DATOS!$A$2:$A$20000,A637,DATOS!$G$2:$G$20000,CONFIG_METADATA!$B$4,DATOS!$I$2:$I$20000,"Lenguaje Musical"),"")))</f>
        <v/>
      </c>
      <c r="C637" t="str">
        <f>IF(A637="","",IF(A637="[FÓRMULA MANUAL]","",IFERROR(AVERAGEIFS(DATOS!$K$2:$K$20000,DATOS!$A$2:$A$20000,A637,DATOS!$G$2:$G$20000,CONFIG_METADATA!$B$4,DATOS!$I$2:$I$20000,"Orquesta/Banda/Conjunto"),"")))</f>
        <v/>
      </c>
      <c r="D637" t="str">
        <f>IF(A637="","",IF(A637="[FÓRMULA MANUAL]","",IFERROR(AVERAGEIFS(DATOS!$K$2:$K$20000,DATOS!$A$2:$A$20000,A637,DATOS!$G$2:$G$20000,CONFIG_METADATA!$B$4,DATOS!$I$2:$I$20000,"Conjunto"),"")))</f>
        <v/>
      </c>
      <c r="E637" t="str">
        <f>IF(A637="","",IF(A637="[FÓRMULA MANUAL]","",IFERROR(SUMPRODUCT((DATOS!$A$2:$A$20000=A637)*(DATOS!$G$2:$G$20000=CONFIG_METADATA!$B$4)*(COUNTIF(CONFIG_ASIGNATURAS!$B$7:$B$27,DATOS!$I$2:$I$20000)&gt;0)*(DATOS!$K$2:$K$20000))/SUMPRODUCT((DATOS!$A$2:$A$20000=A637)*(DATOS!$G$2:$G$20000=CONFIG_METADATA!$B$4)*(COUNTIF(CONFIG_ASIGNATURAS!$B$7:$B$27,DATOS!$I$2:$I$20000)&gt;0)*1),"")))</f>
        <v/>
      </c>
      <c r="H637" t="str">
        <f>IF(G637="","",IF(G637="[FÓRMULA MANUAL]","",IFERROR(AVERAGEIFS(DATOS!$K$2:$K$20000,DATOS!$A$2:$A$20000,G637,DATOS!$G$2:$G$20000,CONFIG_METADATA!$B$4,DATOS!$I$2:$I$20000,"Lenguaje Musical"),"")))</f>
        <v/>
      </c>
      <c r="I637" t="str">
        <f>IF(G637="","",IF(G637="[FÓRMULA MANUAL]","",IFERROR(AVERAGEIFS(DATOS!$K$2:$K$20000,DATOS!$A$2:$A$20000,G637,DATOS!$G$2:$G$20000,CONFIG_METADATA!$B$4,DATOS!$I$2:$I$20000,"Orquesta/Banda/Conjunto"),"")))</f>
        <v/>
      </c>
      <c r="J637" t="str">
        <f>IF(G637="","",IF(G637="[FÓRMULA MANUAL]","",IFERROR(AVERAGEIFS(DATOS!$K$2:$K$20000,DATOS!$A$2:$A$20000,G637,DATOS!$G$2:$G$20000,CONFIG_METADATA!$B$4,DATOS!$I$2:$I$20000,"Conjunto"),"")))</f>
        <v/>
      </c>
      <c r="K637" t="str">
        <f>IF(G637="","",IF(G637="[FÓRMULA MANUAL]","",IFERROR(SUMPRODUCT((DATOS!$A$2:$A$20000=G637)*(DATOS!$G$2:$G$20000=CONFIG_METADATA!$B$4)*(COUNTIF(CONFIG_ASIGNATURAS!$B$7:$B$27,DATOS!$I$2:$I$20000)&gt;0)*(DATOS!$K$2:$K$20000))/SUMPRODUCT((DATOS!$A$2:$A$20000=G637)*(DATOS!$G$2:$G$20000=CONFIG_METADATA!$B$4)*(COUNTIF(CONFIG_ASIGNATURAS!$B$7:$B$27,DATOS!$I$2:$I$20000)&gt;0)*1),"")))</f>
        <v/>
      </c>
      <c r="N637" t="str">
        <f>IF(M637="","",IF(M637="[FÓRMULA MANUAL]","",IFERROR(AVERAGEIFS(DATOS!$K$2:$K$20000,DATOS!$A$2:$A$20000,M637,DATOS!$G$2:$G$20000,CONFIG_METADATA!$B$4,DATOS!$I$2:$I$20000,"Armonía"),"")))</f>
        <v/>
      </c>
      <c r="O637" t="str">
        <f>IF(M637="","",IF(M637="[FÓRMULA MANUAL]","",IFERROR(AVERAGEIFS(DATOS!$K$2:$K$20000,DATOS!$A$2:$A$20000,M637,DATOS!$G$2:$G$20000,CONFIG_METADATA!$B$4,DATOS!$I$2:$I$20000,"Orquesta/Banda/Conjunto"),"")))</f>
        <v/>
      </c>
      <c r="P637" t="str">
        <f>IF(M637="","",IF(M637="[FÓRMULA MANUAL]","",IFERROR(AVERAGEIFS(DATOS!$K$2:$K$20000,DATOS!$A$2:$A$20000,M637,DATOS!$G$2:$G$20000,CONFIG_METADATA!$B$4,DATOS!$I$2:$I$20000,"Música de Cámara"),"")))</f>
        <v/>
      </c>
      <c r="Q637" t="str">
        <f>IF(M637="","",IF(M637="[FÓRMULA MANUAL]","",IFERROR(SUMPRODUCT((DATOS!$A$2:$A$20000=M637)*(DATOS!$G$2:$G$20000=CONFIG_METADATA!$B$4)*(COUNTIF(CONFIG_ASIGNATURAS!$B$7:$B$27,DATOS!$I$2:$I$20000)&gt;0)*(DATOS!$K$2:$K$20000))/SUMPRODUCT((DATOS!$A$2:$A$20000=M637)*(DATOS!$G$2:$G$20000=CONFIG_METADATA!$B$4)*(COUNTIF(CONFIG_ASIGNATURAS!$B$7:$B$27,DATOS!$I$2:$I$20000)&gt;0)*1),"")))</f>
        <v/>
      </c>
      <c r="T637" t="str">
        <f>IF(S637="","",IF(S637="[FÓRMULA MANUAL]","",IFERROR(AVERAGEIFS(DATOS!$K$2:$K$20000,DATOS!$A$2:$A$20000,S637,DATOS!$G$2:$G$20000,CONFIG_METADATA!$B$4,DATOS!$I$2:$I$20000,"Armonía"),"")))</f>
        <v/>
      </c>
      <c r="U637" t="str">
        <f>IF(S637="","",IF(S637="[FÓRMULA MANUAL]","",IFERROR(AVERAGEIFS(DATOS!$K$2:$K$20000,DATOS!$A$2:$A$20000,S637,DATOS!$G$2:$G$20000,CONFIG_METADATA!$B$4,DATOS!$I$2:$I$20000,"Orquesta/Banda/Conjunto"),"")))</f>
        <v/>
      </c>
      <c r="V637" t="str">
        <f>IF(S637="","",IF(S637="[FÓRMULA MANUAL]","",IFERROR(AVERAGEIFS(DATOS!$K$2:$K$20000,DATOS!$A$2:$A$20000,S637,DATOS!$G$2:$G$20000,CONFIG_METADATA!$B$4,DATOS!$I$2:$I$20000,"Música de Cámara"),"")))</f>
        <v/>
      </c>
      <c r="W637" t="str">
        <f>IF(S637="","",IF(S637="[FÓRMULA MANUAL]","",IFERROR(SUMPRODUCT((DATOS!$A$2:$A$20000=S637)*(DATOS!$G$2:$G$20000=CONFIG_METADATA!$B$4)*(COUNTIF(CONFIG_ASIGNATURAS!$B$7:$B$27,DATOS!$I$2:$I$20000)&gt;0)*(DATOS!$K$2:$K$20000))/SUMPRODUCT((DATOS!$A$2:$A$20000=S637)*(DATOS!$G$2:$G$20000=CONFIG_METADATA!$B$4)*(COUNTIF(CONFIG_ASIGNATURAS!$B$7:$B$27,DATOS!$I$2:$I$20000)&gt;0)*1),"")))</f>
        <v/>
      </c>
      <c r="Z637" t="str">
        <f>IF(Y637="","",IF(Y637="[FÓRMULA MANUAL]","",IFERROR(AVERAGEIFS(DATOS!$K$2:$K$20000,DATOS!$A$2:$A$20000,Y637,DATOS!$G$2:$G$20000,CONFIG_METADATA!$B$4,DATOS!$I$2:$I$20000,"Análisis"),"")))</f>
        <v/>
      </c>
      <c r="AA637" t="str">
        <f>IF(Y637="","",IF(Y637="[FÓRMULA MANUAL]","",IFERROR(AVERAGEIFS(DATOS!$K$2:$K$20000,DATOS!$A$2:$A$20000,Y637,DATOS!$G$2:$G$20000,CONFIG_METADATA!$B$4,DATOS!$I$2:$I$20000,"Orquesta/Banda/Conjunto"),"")))</f>
        <v/>
      </c>
      <c r="AB637" t="str">
        <f>IF(Y637="","",IF(Y637="[FÓRMULA MANUAL]","",IFERROR(AVERAGEIFS(DATOS!$K$2:$K$20000,DATOS!$A$2:$A$20000,Y637,DATOS!$G$2:$G$20000,CONFIG_METADATA!$B$4,DATOS!$I$2:$I$20000,"Música de Cámara"),"")))</f>
        <v/>
      </c>
      <c r="AC637" t="str">
        <f>IF(Y637="","",IF(Y637="[FÓRMULA MANUAL]","",IFERROR(SUMPRODUCT((DATOS!$A$2:$A$20000=Y637)*(DATOS!$G$2:$G$20000=CONFIG_METADATA!$B$4)*(COUNTIF(CONFIG_ASIGNATURAS!$B$7:$B$27,DATOS!$I$2:$I$20000)&gt;0)*(DATOS!$K$2:$K$20000))/SUMPRODUCT((DATOS!$A$2:$A$20000=Y637)*(DATOS!$G$2:$G$20000=CONFIG_METADATA!$B$4)*(COUNTIF(CONFIG_ASIGNATURAS!$B$7:$B$27,DATOS!$I$2:$I$20000)&gt;0)*1),"")))</f>
        <v/>
      </c>
      <c r="AF637" t="str">
        <f>IF(AE637="","",IF(AE637="[FÓRMULA MANUAL]","",IFERROR(AVERAGEIFS(DATOS!$K$2:$K$20000,DATOS!$A$2:$A$20000,AE637,DATOS!$G$2:$G$20000,CONFIG_METADATA!$B$4,DATOS!$I$2:$I$20000,"Análisis"),"")))</f>
        <v/>
      </c>
      <c r="AG637" t="str">
        <f>IF(AE637="","",IF(AE637="[FÓRMULA MANUAL]","",IFERROR(AVERAGEIFS(DATOS!$K$2:$K$20000,DATOS!$A$2:$A$20000,AE637,DATOS!$G$2:$G$20000,CONFIG_METADATA!$B$4,DATOS!$I$2:$I$20000,"Orquesta/Banda/Conjunto"),"")))</f>
        <v/>
      </c>
      <c r="AH637" t="str">
        <f>IF(AE637="","",IF(AE637="[FÓRMULA MANUAL]","",IFERROR(AVERAGEIFS(DATOS!$K$2:$K$20000,DATOS!$A$2:$A$20000,AE637,DATOS!$G$2:$G$20000,CONFIG_METADATA!$B$4,DATOS!$I$2:$I$20000,"Música de Cámara"),"")))</f>
        <v/>
      </c>
      <c r="AI637" t="str">
        <f>IF(AE637="","",IF(AE637="[FÓRMULA MANUAL]","",IFERROR(SUMPRODUCT((DATOS!$A$2:$A$20000=AE637)*(DATOS!$G$2:$G$20000=CONFIG_METADATA!$B$4)*(COUNTIF(CONFIG_ASIGNATURAS!$B$7:$B$27,DATOS!$I$2:$I$20000)&gt;0)*(DATOS!$K$2:$K$20000))/SUMPRODUCT((DATOS!$A$2:$A$20000=AE637)*(DATOS!$G$2:$G$20000=CONFIG_METADATA!$B$4)*(COUNTIF(CONFIG_ASIGNATURAS!$B$7:$B$27,DATOS!$I$2:$I$20000)&gt;0)*1),"")))</f>
        <v/>
      </c>
    </row>
    <row r="638" spans="2:35" x14ac:dyDescent="0.2">
      <c r="B638" t="str">
        <f>IF(A638="","",IF(A638="[FÓRMULA MANUAL]","",IFERROR(AVERAGEIFS(DATOS!$K$2:$K$20000,DATOS!$A$2:$A$20000,A638,DATOS!$G$2:$G$20000,CONFIG_METADATA!$B$4,DATOS!$I$2:$I$20000,"Lenguaje Musical"),"")))</f>
        <v/>
      </c>
      <c r="C638" t="str">
        <f>IF(A638="","",IF(A638="[FÓRMULA MANUAL]","",IFERROR(AVERAGEIFS(DATOS!$K$2:$K$20000,DATOS!$A$2:$A$20000,A638,DATOS!$G$2:$G$20000,CONFIG_METADATA!$B$4,DATOS!$I$2:$I$20000,"Orquesta/Banda/Conjunto"),"")))</f>
        <v/>
      </c>
      <c r="D638" t="str">
        <f>IF(A638="","",IF(A638="[FÓRMULA MANUAL]","",IFERROR(AVERAGEIFS(DATOS!$K$2:$K$20000,DATOS!$A$2:$A$20000,A638,DATOS!$G$2:$G$20000,CONFIG_METADATA!$B$4,DATOS!$I$2:$I$20000,"Conjunto"),"")))</f>
        <v/>
      </c>
      <c r="E638" t="str">
        <f>IF(A638="","",IF(A638="[FÓRMULA MANUAL]","",IFERROR(SUMPRODUCT((DATOS!$A$2:$A$20000=A638)*(DATOS!$G$2:$G$20000=CONFIG_METADATA!$B$4)*(COUNTIF(CONFIG_ASIGNATURAS!$B$7:$B$27,DATOS!$I$2:$I$20000)&gt;0)*(DATOS!$K$2:$K$20000))/SUMPRODUCT((DATOS!$A$2:$A$20000=A638)*(DATOS!$G$2:$G$20000=CONFIG_METADATA!$B$4)*(COUNTIF(CONFIG_ASIGNATURAS!$B$7:$B$27,DATOS!$I$2:$I$20000)&gt;0)*1),"")))</f>
        <v/>
      </c>
      <c r="H638" t="str">
        <f>IF(G638="","",IF(G638="[FÓRMULA MANUAL]","",IFERROR(AVERAGEIFS(DATOS!$K$2:$K$20000,DATOS!$A$2:$A$20000,G638,DATOS!$G$2:$G$20000,CONFIG_METADATA!$B$4,DATOS!$I$2:$I$20000,"Lenguaje Musical"),"")))</f>
        <v/>
      </c>
      <c r="I638" t="str">
        <f>IF(G638="","",IF(G638="[FÓRMULA MANUAL]","",IFERROR(AVERAGEIFS(DATOS!$K$2:$K$20000,DATOS!$A$2:$A$20000,G638,DATOS!$G$2:$G$20000,CONFIG_METADATA!$B$4,DATOS!$I$2:$I$20000,"Orquesta/Banda/Conjunto"),"")))</f>
        <v/>
      </c>
      <c r="J638" t="str">
        <f>IF(G638="","",IF(G638="[FÓRMULA MANUAL]","",IFERROR(AVERAGEIFS(DATOS!$K$2:$K$20000,DATOS!$A$2:$A$20000,G638,DATOS!$G$2:$G$20000,CONFIG_METADATA!$B$4,DATOS!$I$2:$I$20000,"Conjunto"),"")))</f>
        <v/>
      </c>
      <c r="K638" t="str">
        <f>IF(G638="","",IF(G638="[FÓRMULA MANUAL]","",IFERROR(SUMPRODUCT((DATOS!$A$2:$A$20000=G638)*(DATOS!$G$2:$G$20000=CONFIG_METADATA!$B$4)*(COUNTIF(CONFIG_ASIGNATURAS!$B$7:$B$27,DATOS!$I$2:$I$20000)&gt;0)*(DATOS!$K$2:$K$20000))/SUMPRODUCT((DATOS!$A$2:$A$20000=G638)*(DATOS!$G$2:$G$20000=CONFIG_METADATA!$B$4)*(COUNTIF(CONFIG_ASIGNATURAS!$B$7:$B$27,DATOS!$I$2:$I$20000)&gt;0)*1),"")))</f>
        <v/>
      </c>
      <c r="N638" t="str">
        <f>IF(M638="","",IF(M638="[FÓRMULA MANUAL]","",IFERROR(AVERAGEIFS(DATOS!$K$2:$K$20000,DATOS!$A$2:$A$20000,M638,DATOS!$G$2:$G$20000,CONFIG_METADATA!$B$4,DATOS!$I$2:$I$20000,"Armonía"),"")))</f>
        <v/>
      </c>
      <c r="O638" t="str">
        <f>IF(M638="","",IF(M638="[FÓRMULA MANUAL]","",IFERROR(AVERAGEIFS(DATOS!$K$2:$K$20000,DATOS!$A$2:$A$20000,M638,DATOS!$G$2:$G$20000,CONFIG_METADATA!$B$4,DATOS!$I$2:$I$20000,"Orquesta/Banda/Conjunto"),"")))</f>
        <v/>
      </c>
      <c r="P638" t="str">
        <f>IF(M638="","",IF(M638="[FÓRMULA MANUAL]","",IFERROR(AVERAGEIFS(DATOS!$K$2:$K$20000,DATOS!$A$2:$A$20000,M638,DATOS!$G$2:$G$20000,CONFIG_METADATA!$B$4,DATOS!$I$2:$I$20000,"Música de Cámara"),"")))</f>
        <v/>
      </c>
      <c r="Q638" t="str">
        <f>IF(M638="","",IF(M638="[FÓRMULA MANUAL]","",IFERROR(SUMPRODUCT((DATOS!$A$2:$A$20000=M638)*(DATOS!$G$2:$G$20000=CONFIG_METADATA!$B$4)*(COUNTIF(CONFIG_ASIGNATURAS!$B$7:$B$27,DATOS!$I$2:$I$20000)&gt;0)*(DATOS!$K$2:$K$20000))/SUMPRODUCT((DATOS!$A$2:$A$20000=M638)*(DATOS!$G$2:$G$20000=CONFIG_METADATA!$B$4)*(COUNTIF(CONFIG_ASIGNATURAS!$B$7:$B$27,DATOS!$I$2:$I$20000)&gt;0)*1),"")))</f>
        <v/>
      </c>
      <c r="T638" t="str">
        <f>IF(S638="","",IF(S638="[FÓRMULA MANUAL]","",IFERROR(AVERAGEIFS(DATOS!$K$2:$K$20000,DATOS!$A$2:$A$20000,S638,DATOS!$G$2:$G$20000,CONFIG_METADATA!$B$4,DATOS!$I$2:$I$20000,"Armonía"),"")))</f>
        <v/>
      </c>
      <c r="U638" t="str">
        <f>IF(S638="","",IF(S638="[FÓRMULA MANUAL]","",IFERROR(AVERAGEIFS(DATOS!$K$2:$K$20000,DATOS!$A$2:$A$20000,S638,DATOS!$G$2:$G$20000,CONFIG_METADATA!$B$4,DATOS!$I$2:$I$20000,"Orquesta/Banda/Conjunto"),"")))</f>
        <v/>
      </c>
      <c r="V638" t="str">
        <f>IF(S638="","",IF(S638="[FÓRMULA MANUAL]","",IFERROR(AVERAGEIFS(DATOS!$K$2:$K$20000,DATOS!$A$2:$A$20000,S638,DATOS!$G$2:$G$20000,CONFIG_METADATA!$B$4,DATOS!$I$2:$I$20000,"Música de Cámara"),"")))</f>
        <v/>
      </c>
      <c r="W638" t="str">
        <f>IF(S638="","",IF(S638="[FÓRMULA MANUAL]","",IFERROR(SUMPRODUCT((DATOS!$A$2:$A$20000=S638)*(DATOS!$G$2:$G$20000=CONFIG_METADATA!$B$4)*(COUNTIF(CONFIG_ASIGNATURAS!$B$7:$B$27,DATOS!$I$2:$I$20000)&gt;0)*(DATOS!$K$2:$K$20000))/SUMPRODUCT((DATOS!$A$2:$A$20000=S638)*(DATOS!$G$2:$G$20000=CONFIG_METADATA!$B$4)*(COUNTIF(CONFIG_ASIGNATURAS!$B$7:$B$27,DATOS!$I$2:$I$20000)&gt;0)*1),"")))</f>
        <v/>
      </c>
      <c r="Z638" t="str">
        <f>IF(Y638="","",IF(Y638="[FÓRMULA MANUAL]","",IFERROR(AVERAGEIFS(DATOS!$K$2:$K$20000,DATOS!$A$2:$A$20000,Y638,DATOS!$G$2:$G$20000,CONFIG_METADATA!$B$4,DATOS!$I$2:$I$20000,"Análisis"),"")))</f>
        <v/>
      </c>
      <c r="AA638" t="str">
        <f>IF(Y638="","",IF(Y638="[FÓRMULA MANUAL]","",IFERROR(AVERAGEIFS(DATOS!$K$2:$K$20000,DATOS!$A$2:$A$20000,Y638,DATOS!$G$2:$G$20000,CONFIG_METADATA!$B$4,DATOS!$I$2:$I$20000,"Orquesta/Banda/Conjunto"),"")))</f>
        <v/>
      </c>
      <c r="AB638" t="str">
        <f>IF(Y638="","",IF(Y638="[FÓRMULA MANUAL]","",IFERROR(AVERAGEIFS(DATOS!$K$2:$K$20000,DATOS!$A$2:$A$20000,Y638,DATOS!$G$2:$G$20000,CONFIG_METADATA!$B$4,DATOS!$I$2:$I$20000,"Música de Cámara"),"")))</f>
        <v/>
      </c>
      <c r="AC638" t="str">
        <f>IF(Y638="","",IF(Y638="[FÓRMULA MANUAL]","",IFERROR(SUMPRODUCT((DATOS!$A$2:$A$20000=Y638)*(DATOS!$G$2:$G$20000=CONFIG_METADATA!$B$4)*(COUNTIF(CONFIG_ASIGNATURAS!$B$7:$B$27,DATOS!$I$2:$I$20000)&gt;0)*(DATOS!$K$2:$K$20000))/SUMPRODUCT((DATOS!$A$2:$A$20000=Y638)*(DATOS!$G$2:$G$20000=CONFIG_METADATA!$B$4)*(COUNTIF(CONFIG_ASIGNATURAS!$B$7:$B$27,DATOS!$I$2:$I$20000)&gt;0)*1),"")))</f>
        <v/>
      </c>
      <c r="AF638" t="str">
        <f>IF(AE638="","",IF(AE638="[FÓRMULA MANUAL]","",IFERROR(AVERAGEIFS(DATOS!$K$2:$K$20000,DATOS!$A$2:$A$20000,AE638,DATOS!$G$2:$G$20000,CONFIG_METADATA!$B$4,DATOS!$I$2:$I$20000,"Análisis"),"")))</f>
        <v/>
      </c>
      <c r="AG638" t="str">
        <f>IF(AE638="","",IF(AE638="[FÓRMULA MANUAL]","",IFERROR(AVERAGEIFS(DATOS!$K$2:$K$20000,DATOS!$A$2:$A$20000,AE638,DATOS!$G$2:$G$20000,CONFIG_METADATA!$B$4,DATOS!$I$2:$I$20000,"Orquesta/Banda/Conjunto"),"")))</f>
        <v/>
      </c>
      <c r="AH638" t="str">
        <f>IF(AE638="","",IF(AE638="[FÓRMULA MANUAL]","",IFERROR(AVERAGEIFS(DATOS!$K$2:$K$20000,DATOS!$A$2:$A$20000,AE638,DATOS!$G$2:$G$20000,CONFIG_METADATA!$B$4,DATOS!$I$2:$I$20000,"Música de Cámara"),"")))</f>
        <v/>
      </c>
      <c r="AI638" t="str">
        <f>IF(AE638="","",IF(AE638="[FÓRMULA MANUAL]","",IFERROR(SUMPRODUCT((DATOS!$A$2:$A$20000=AE638)*(DATOS!$G$2:$G$20000=CONFIG_METADATA!$B$4)*(COUNTIF(CONFIG_ASIGNATURAS!$B$7:$B$27,DATOS!$I$2:$I$20000)&gt;0)*(DATOS!$K$2:$K$20000))/SUMPRODUCT((DATOS!$A$2:$A$20000=AE638)*(DATOS!$G$2:$G$20000=CONFIG_METADATA!$B$4)*(COUNTIF(CONFIG_ASIGNATURAS!$B$7:$B$27,DATOS!$I$2:$I$20000)&gt;0)*1),"")))</f>
        <v/>
      </c>
    </row>
    <row r="639" spans="2:35" x14ac:dyDescent="0.2">
      <c r="B639" t="str">
        <f>IF(A639="","",IF(A639="[FÓRMULA MANUAL]","",IFERROR(AVERAGEIFS(DATOS!$K$2:$K$20000,DATOS!$A$2:$A$20000,A639,DATOS!$G$2:$G$20000,CONFIG_METADATA!$B$4,DATOS!$I$2:$I$20000,"Lenguaje Musical"),"")))</f>
        <v/>
      </c>
      <c r="C639" t="str">
        <f>IF(A639="","",IF(A639="[FÓRMULA MANUAL]","",IFERROR(AVERAGEIFS(DATOS!$K$2:$K$20000,DATOS!$A$2:$A$20000,A639,DATOS!$G$2:$G$20000,CONFIG_METADATA!$B$4,DATOS!$I$2:$I$20000,"Orquesta/Banda/Conjunto"),"")))</f>
        <v/>
      </c>
      <c r="D639" t="str">
        <f>IF(A639="","",IF(A639="[FÓRMULA MANUAL]","",IFERROR(AVERAGEIFS(DATOS!$K$2:$K$20000,DATOS!$A$2:$A$20000,A639,DATOS!$G$2:$G$20000,CONFIG_METADATA!$B$4,DATOS!$I$2:$I$20000,"Conjunto"),"")))</f>
        <v/>
      </c>
      <c r="E639" t="str">
        <f>IF(A639="","",IF(A639="[FÓRMULA MANUAL]","",IFERROR(SUMPRODUCT((DATOS!$A$2:$A$20000=A639)*(DATOS!$G$2:$G$20000=CONFIG_METADATA!$B$4)*(COUNTIF(CONFIG_ASIGNATURAS!$B$7:$B$27,DATOS!$I$2:$I$20000)&gt;0)*(DATOS!$K$2:$K$20000))/SUMPRODUCT((DATOS!$A$2:$A$20000=A639)*(DATOS!$G$2:$G$20000=CONFIG_METADATA!$B$4)*(COUNTIF(CONFIG_ASIGNATURAS!$B$7:$B$27,DATOS!$I$2:$I$20000)&gt;0)*1),"")))</f>
        <v/>
      </c>
      <c r="H639" t="str">
        <f>IF(G639="","",IF(G639="[FÓRMULA MANUAL]","",IFERROR(AVERAGEIFS(DATOS!$K$2:$K$20000,DATOS!$A$2:$A$20000,G639,DATOS!$G$2:$G$20000,CONFIG_METADATA!$B$4,DATOS!$I$2:$I$20000,"Lenguaje Musical"),"")))</f>
        <v/>
      </c>
      <c r="I639" t="str">
        <f>IF(G639="","",IF(G639="[FÓRMULA MANUAL]","",IFERROR(AVERAGEIFS(DATOS!$K$2:$K$20000,DATOS!$A$2:$A$20000,G639,DATOS!$G$2:$G$20000,CONFIG_METADATA!$B$4,DATOS!$I$2:$I$20000,"Orquesta/Banda/Conjunto"),"")))</f>
        <v/>
      </c>
      <c r="J639" t="str">
        <f>IF(G639="","",IF(G639="[FÓRMULA MANUAL]","",IFERROR(AVERAGEIFS(DATOS!$K$2:$K$20000,DATOS!$A$2:$A$20000,G639,DATOS!$G$2:$G$20000,CONFIG_METADATA!$B$4,DATOS!$I$2:$I$20000,"Conjunto"),"")))</f>
        <v/>
      </c>
      <c r="K639" t="str">
        <f>IF(G639="","",IF(G639="[FÓRMULA MANUAL]","",IFERROR(SUMPRODUCT((DATOS!$A$2:$A$20000=G639)*(DATOS!$G$2:$G$20000=CONFIG_METADATA!$B$4)*(COUNTIF(CONFIG_ASIGNATURAS!$B$7:$B$27,DATOS!$I$2:$I$20000)&gt;0)*(DATOS!$K$2:$K$20000))/SUMPRODUCT((DATOS!$A$2:$A$20000=G639)*(DATOS!$G$2:$G$20000=CONFIG_METADATA!$B$4)*(COUNTIF(CONFIG_ASIGNATURAS!$B$7:$B$27,DATOS!$I$2:$I$20000)&gt;0)*1),"")))</f>
        <v/>
      </c>
      <c r="N639" t="str">
        <f>IF(M639="","",IF(M639="[FÓRMULA MANUAL]","",IFERROR(AVERAGEIFS(DATOS!$K$2:$K$20000,DATOS!$A$2:$A$20000,M639,DATOS!$G$2:$G$20000,CONFIG_METADATA!$B$4,DATOS!$I$2:$I$20000,"Armonía"),"")))</f>
        <v/>
      </c>
      <c r="O639" t="str">
        <f>IF(M639="","",IF(M639="[FÓRMULA MANUAL]","",IFERROR(AVERAGEIFS(DATOS!$K$2:$K$20000,DATOS!$A$2:$A$20000,M639,DATOS!$G$2:$G$20000,CONFIG_METADATA!$B$4,DATOS!$I$2:$I$20000,"Orquesta/Banda/Conjunto"),"")))</f>
        <v/>
      </c>
      <c r="P639" t="str">
        <f>IF(M639="","",IF(M639="[FÓRMULA MANUAL]","",IFERROR(AVERAGEIFS(DATOS!$K$2:$K$20000,DATOS!$A$2:$A$20000,M639,DATOS!$G$2:$G$20000,CONFIG_METADATA!$B$4,DATOS!$I$2:$I$20000,"Música de Cámara"),"")))</f>
        <v/>
      </c>
      <c r="Q639" t="str">
        <f>IF(M639="","",IF(M639="[FÓRMULA MANUAL]","",IFERROR(SUMPRODUCT((DATOS!$A$2:$A$20000=M639)*(DATOS!$G$2:$G$20000=CONFIG_METADATA!$B$4)*(COUNTIF(CONFIG_ASIGNATURAS!$B$7:$B$27,DATOS!$I$2:$I$20000)&gt;0)*(DATOS!$K$2:$K$20000))/SUMPRODUCT((DATOS!$A$2:$A$20000=M639)*(DATOS!$G$2:$G$20000=CONFIG_METADATA!$B$4)*(COUNTIF(CONFIG_ASIGNATURAS!$B$7:$B$27,DATOS!$I$2:$I$20000)&gt;0)*1),"")))</f>
        <v/>
      </c>
      <c r="T639" t="str">
        <f>IF(S639="","",IF(S639="[FÓRMULA MANUAL]","",IFERROR(AVERAGEIFS(DATOS!$K$2:$K$20000,DATOS!$A$2:$A$20000,S639,DATOS!$G$2:$G$20000,CONFIG_METADATA!$B$4,DATOS!$I$2:$I$20000,"Armonía"),"")))</f>
        <v/>
      </c>
      <c r="U639" t="str">
        <f>IF(S639="","",IF(S639="[FÓRMULA MANUAL]","",IFERROR(AVERAGEIFS(DATOS!$K$2:$K$20000,DATOS!$A$2:$A$20000,S639,DATOS!$G$2:$G$20000,CONFIG_METADATA!$B$4,DATOS!$I$2:$I$20000,"Orquesta/Banda/Conjunto"),"")))</f>
        <v/>
      </c>
      <c r="V639" t="str">
        <f>IF(S639="","",IF(S639="[FÓRMULA MANUAL]","",IFERROR(AVERAGEIFS(DATOS!$K$2:$K$20000,DATOS!$A$2:$A$20000,S639,DATOS!$G$2:$G$20000,CONFIG_METADATA!$B$4,DATOS!$I$2:$I$20000,"Música de Cámara"),"")))</f>
        <v/>
      </c>
      <c r="W639" t="str">
        <f>IF(S639="","",IF(S639="[FÓRMULA MANUAL]","",IFERROR(SUMPRODUCT((DATOS!$A$2:$A$20000=S639)*(DATOS!$G$2:$G$20000=CONFIG_METADATA!$B$4)*(COUNTIF(CONFIG_ASIGNATURAS!$B$7:$B$27,DATOS!$I$2:$I$20000)&gt;0)*(DATOS!$K$2:$K$20000))/SUMPRODUCT((DATOS!$A$2:$A$20000=S639)*(DATOS!$G$2:$G$20000=CONFIG_METADATA!$B$4)*(COUNTIF(CONFIG_ASIGNATURAS!$B$7:$B$27,DATOS!$I$2:$I$20000)&gt;0)*1),"")))</f>
        <v/>
      </c>
      <c r="Z639" t="str">
        <f>IF(Y639="","",IF(Y639="[FÓRMULA MANUAL]","",IFERROR(AVERAGEIFS(DATOS!$K$2:$K$20000,DATOS!$A$2:$A$20000,Y639,DATOS!$G$2:$G$20000,CONFIG_METADATA!$B$4,DATOS!$I$2:$I$20000,"Análisis"),"")))</f>
        <v/>
      </c>
      <c r="AA639" t="str">
        <f>IF(Y639="","",IF(Y639="[FÓRMULA MANUAL]","",IFERROR(AVERAGEIFS(DATOS!$K$2:$K$20000,DATOS!$A$2:$A$20000,Y639,DATOS!$G$2:$G$20000,CONFIG_METADATA!$B$4,DATOS!$I$2:$I$20000,"Orquesta/Banda/Conjunto"),"")))</f>
        <v/>
      </c>
      <c r="AB639" t="str">
        <f>IF(Y639="","",IF(Y639="[FÓRMULA MANUAL]","",IFERROR(AVERAGEIFS(DATOS!$K$2:$K$20000,DATOS!$A$2:$A$20000,Y639,DATOS!$G$2:$G$20000,CONFIG_METADATA!$B$4,DATOS!$I$2:$I$20000,"Música de Cámara"),"")))</f>
        <v/>
      </c>
      <c r="AC639" t="str">
        <f>IF(Y639="","",IF(Y639="[FÓRMULA MANUAL]","",IFERROR(SUMPRODUCT((DATOS!$A$2:$A$20000=Y639)*(DATOS!$G$2:$G$20000=CONFIG_METADATA!$B$4)*(COUNTIF(CONFIG_ASIGNATURAS!$B$7:$B$27,DATOS!$I$2:$I$20000)&gt;0)*(DATOS!$K$2:$K$20000))/SUMPRODUCT((DATOS!$A$2:$A$20000=Y639)*(DATOS!$G$2:$G$20000=CONFIG_METADATA!$B$4)*(COUNTIF(CONFIG_ASIGNATURAS!$B$7:$B$27,DATOS!$I$2:$I$20000)&gt;0)*1),"")))</f>
        <v/>
      </c>
      <c r="AF639" t="str">
        <f>IF(AE639="","",IF(AE639="[FÓRMULA MANUAL]","",IFERROR(AVERAGEIFS(DATOS!$K$2:$K$20000,DATOS!$A$2:$A$20000,AE639,DATOS!$G$2:$G$20000,CONFIG_METADATA!$B$4,DATOS!$I$2:$I$20000,"Análisis"),"")))</f>
        <v/>
      </c>
      <c r="AG639" t="str">
        <f>IF(AE639="","",IF(AE639="[FÓRMULA MANUAL]","",IFERROR(AVERAGEIFS(DATOS!$K$2:$K$20000,DATOS!$A$2:$A$20000,AE639,DATOS!$G$2:$G$20000,CONFIG_METADATA!$B$4,DATOS!$I$2:$I$20000,"Orquesta/Banda/Conjunto"),"")))</f>
        <v/>
      </c>
      <c r="AH639" t="str">
        <f>IF(AE639="","",IF(AE639="[FÓRMULA MANUAL]","",IFERROR(AVERAGEIFS(DATOS!$K$2:$K$20000,DATOS!$A$2:$A$20000,AE639,DATOS!$G$2:$G$20000,CONFIG_METADATA!$B$4,DATOS!$I$2:$I$20000,"Música de Cámara"),"")))</f>
        <v/>
      </c>
      <c r="AI639" t="str">
        <f>IF(AE639="","",IF(AE639="[FÓRMULA MANUAL]","",IFERROR(SUMPRODUCT((DATOS!$A$2:$A$20000=AE639)*(DATOS!$G$2:$G$20000=CONFIG_METADATA!$B$4)*(COUNTIF(CONFIG_ASIGNATURAS!$B$7:$B$27,DATOS!$I$2:$I$20000)&gt;0)*(DATOS!$K$2:$K$20000))/SUMPRODUCT((DATOS!$A$2:$A$20000=AE639)*(DATOS!$G$2:$G$20000=CONFIG_METADATA!$B$4)*(COUNTIF(CONFIG_ASIGNATURAS!$B$7:$B$27,DATOS!$I$2:$I$20000)&gt;0)*1),"")))</f>
        <v/>
      </c>
    </row>
    <row r="640" spans="2:35" x14ac:dyDescent="0.2">
      <c r="B640" t="str">
        <f>IF(A640="","",IF(A640="[FÓRMULA MANUAL]","",IFERROR(AVERAGEIFS(DATOS!$K$2:$K$20000,DATOS!$A$2:$A$20000,A640,DATOS!$G$2:$G$20000,CONFIG_METADATA!$B$4,DATOS!$I$2:$I$20000,"Lenguaje Musical"),"")))</f>
        <v/>
      </c>
      <c r="C640" t="str">
        <f>IF(A640="","",IF(A640="[FÓRMULA MANUAL]","",IFERROR(AVERAGEIFS(DATOS!$K$2:$K$20000,DATOS!$A$2:$A$20000,A640,DATOS!$G$2:$G$20000,CONFIG_METADATA!$B$4,DATOS!$I$2:$I$20000,"Orquesta/Banda/Conjunto"),"")))</f>
        <v/>
      </c>
      <c r="D640" t="str">
        <f>IF(A640="","",IF(A640="[FÓRMULA MANUAL]","",IFERROR(AVERAGEIFS(DATOS!$K$2:$K$20000,DATOS!$A$2:$A$20000,A640,DATOS!$G$2:$G$20000,CONFIG_METADATA!$B$4,DATOS!$I$2:$I$20000,"Conjunto"),"")))</f>
        <v/>
      </c>
      <c r="E640" t="str">
        <f>IF(A640="","",IF(A640="[FÓRMULA MANUAL]","",IFERROR(SUMPRODUCT((DATOS!$A$2:$A$20000=A640)*(DATOS!$G$2:$G$20000=CONFIG_METADATA!$B$4)*(COUNTIF(CONFIG_ASIGNATURAS!$B$7:$B$27,DATOS!$I$2:$I$20000)&gt;0)*(DATOS!$K$2:$K$20000))/SUMPRODUCT((DATOS!$A$2:$A$20000=A640)*(DATOS!$G$2:$G$20000=CONFIG_METADATA!$B$4)*(COUNTIF(CONFIG_ASIGNATURAS!$B$7:$B$27,DATOS!$I$2:$I$20000)&gt;0)*1),"")))</f>
        <v/>
      </c>
      <c r="H640" t="str">
        <f>IF(G640="","",IF(G640="[FÓRMULA MANUAL]","",IFERROR(AVERAGEIFS(DATOS!$K$2:$K$20000,DATOS!$A$2:$A$20000,G640,DATOS!$G$2:$G$20000,CONFIG_METADATA!$B$4,DATOS!$I$2:$I$20000,"Lenguaje Musical"),"")))</f>
        <v/>
      </c>
      <c r="I640" t="str">
        <f>IF(G640="","",IF(G640="[FÓRMULA MANUAL]","",IFERROR(AVERAGEIFS(DATOS!$K$2:$K$20000,DATOS!$A$2:$A$20000,G640,DATOS!$G$2:$G$20000,CONFIG_METADATA!$B$4,DATOS!$I$2:$I$20000,"Orquesta/Banda/Conjunto"),"")))</f>
        <v/>
      </c>
      <c r="J640" t="str">
        <f>IF(G640="","",IF(G640="[FÓRMULA MANUAL]","",IFERROR(AVERAGEIFS(DATOS!$K$2:$K$20000,DATOS!$A$2:$A$20000,G640,DATOS!$G$2:$G$20000,CONFIG_METADATA!$B$4,DATOS!$I$2:$I$20000,"Conjunto"),"")))</f>
        <v/>
      </c>
      <c r="K640" t="str">
        <f>IF(G640="","",IF(G640="[FÓRMULA MANUAL]","",IFERROR(SUMPRODUCT((DATOS!$A$2:$A$20000=G640)*(DATOS!$G$2:$G$20000=CONFIG_METADATA!$B$4)*(COUNTIF(CONFIG_ASIGNATURAS!$B$7:$B$27,DATOS!$I$2:$I$20000)&gt;0)*(DATOS!$K$2:$K$20000))/SUMPRODUCT((DATOS!$A$2:$A$20000=G640)*(DATOS!$G$2:$G$20000=CONFIG_METADATA!$B$4)*(COUNTIF(CONFIG_ASIGNATURAS!$B$7:$B$27,DATOS!$I$2:$I$20000)&gt;0)*1),"")))</f>
        <v/>
      </c>
      <c r="N640" t="str">
        <f>IF(M640="","",IF(M640="[FÓRMULA MANUAL]","",IFERROR(AVERAGEIFS(DATOS!$K$2:$K$20000,DATOS!$A$2:$A$20000,M640,DATOS!$G$2:$G$20000,CONFIG_METADATA!$B$4,DATOS!$I$2:$I$20000,"Armonía"),"")))</f>
        <v/>
      </c>
      <c r="O640" t="str">
        <f>IF(M640="","",IF(M640="[FÓRMULA MANUAL]","",IFERROR(AVERAGEIFS(DATOS!$K$2:$K$20000,DATOS!$A$2:$A$20000,M640,DATOS!$G$2:$G$20000,CONFIG_METADATA!$B$4,DATOS!$I$2:$I$20000,"Orquesta/Banda/Conjunto"),"")))</f>
        <v/>
      </c>
      <c r="P640" t="str">
        <f>IF(M640="","",IF(M640="[FÓRMULA MANUAL]","",IFERROR(AVERAGEIFS(DATOS!$K$2:$K$20000,DATOS!$A$2:$A$20000,M640,DATOS!$G$2:$G$20000,CONFIG_METADATA!$B$4,DATOS!$I$2:$I$20000,"Música de Cámara"),"")))</f>
        <v/>
      </c>
      <c r="Q640" t="str">
        <f>IF(M640="","",IF(M640="[FÓRMULA MANUAL]","",IFERROR(SUMPRODUCT((DATOS!$A$2:$A$20000=M640)*(DATOS!$G$2:$G$20000=CONFIG_METADATA!$B$4)*(COUNTIF(CONFIG_ASIGNATURAS!$B$7:$B$27,DATOS!$I$2:$I$20000)&gt;0)*(DATOS!$K$2:$K$20000))/SUMPRODUCT((DATOS!$A$2:$A$20000=M640)*(DATOS!$G$2:$G$20000=CONFIG_METADATA!$B$4)*(COUNTIF(CONFIG_ASIGNATURAS!$B$7:$B$27,DATOS!$I$2:$I$20000)&gt;0)*1),"")))</f>
        <v/>
      </c>
      <c r="T640" t="str">
        <f>IF(S640="","",IF(S640="[FÓRMULA MANUAL]","",IFERROR(AVERAGEIFS(DATOS!$K$2:$K$20000,DATOS!$A$2:$A$20000,S640,DATOS!$G$2:$G$20000,CONFIG_METADATA!$B$4,DATOS!$I$2:$I$20000,"Armonía"),"")))</f>
        <v/>
      </c>
      <c r="U640" t="str">
        <f>IF(S640="","",IF(S640="[FÓRMULA MANUAL]","",IFERROR(AVERAGEIFS(DATOS!$K$2:$K$20000,DATOS!$A$2:$A$20000,S640,DATOS!$G$2:$G$20000,CONFIG_METADATA!$B$4,DATOS!$I$2:$I$20000,"Orquesta/Banda/Conjunto"),"")))</f>
        <v/>
      </c>
      <c r="V640" t="str">
        <f>IF(S640="","",IF(S640="[FÓRMULA MANUAL]","",IFERROR(AVERAGEIFS(DATOS!$K$2:$K$20000,DATOS!$A$2:$A$20000,S640,DATOS!$G$2:$G$20000,CONFIG_METADATA!$B$4,DATOS!$I$2:$I$20000,"Música de Cámara"),"")))</f>
        <v/>
      </c>
      <c r="W640" t="str">
        <f>IF(S640="","",IF(S640="[FÓRMULA MANUAL]","",IFERROR(SUMPRODUCT((DATOS!$A$2:$A$20000=S640)*(DATOS!$G$2:$G$20000=CONFIG_METADATA!$B$4)*(COUNTIF(CONFIG_ASIGNATURAS!$B$7:$B$27,DATOS!$I$2:$I$20000)&gt;0)*(DATOS!$K$2:$K$20000))/SUMPRODUCT((DATOS!$A$2:$A$20000=S640)*(DATOS!$G$2:$G$20000=CONFIG_METADATA!$B$4)*(COUNTIF(CONFIG_ASIGNATURAS!$B$7:$B$27,DATOS!$I$2:$I$20000)&gt;0)*1),"")))</f>
        <v/>
      </c>
      <c r="Z640" t="str">
        <f>IF(Y640="","",IF(Y640="[FÓRMULA MANUAL]","",IFERROR(AVERAGEIFS(DATOS!$K$2:$K$20000,DATOS!$A$2:$A$20000,Y640,DATOS!$G$2:$G$20000,CONFIG_METADATA!$B$4,DATOS!$I$2:$I$20000,"Análisis"),"")))</f>
        <v/>
      </c>
      <c r="AA640" t="str">
        <f>IF(Y640="","",IF(Y640="[FÓRMULA MANUAL]","",IFERROR(AVERAGEIFS(DATOS!$K$2:$K$20000,DATOS!$A$2:$A$20000,Y640,DATOS!$G$2:$G$20000,CONFIG_METADATA!$B$4,DATOS!$I$2:$I$20000,"Orquesta/Banda/Conjunto"),"")))</f>
        <v/>
      </c>
      <c r="AB640" t="str">
        <f>IF(Y640="","",IF(Y640="[FÓRMULA MANUAL]","",IFERROR(AVERAGEIFS(DATOS!$K$2:$K$20000,DATOS!$A$2:$A$20000,Y640,DATOS!$G$2:$G$20000,CONFIG_METADATA!$B$4,DATOS!$I$2:$I$20000,"Música de Cámara"),"")))</f>
        <v/>
      </c>
      <c r="AC640" t="str">
        <f>IF(Y640="","",IF(Y640="[FÓRMULA MANUAL]","",IFERROR(SUMPRODUCT((DATOS!$A$2:$A$20000=Y640)*(DATOS!$G$2:$G$20000=CONFIG_METADATA!$B$4)*(COUNTIF(CONFIG_ASIGNATURAS!$B$7:$B$27,DATOS!$I$2:$I$20000)&gt;0)*(DATOS!$K$2:$K$20000))/SUMPRODUCT((DATOS!$A$2:$A$20000=Y640)*(DATOS!$G$2:$G$20000=CONFIG_METADATA!$B$4)*(COUNTIF(CONFIG_ASIGNATURAS!$B$7:$B$27,DATOS!$I$2:$I$20000)&gt;0)*1),"")))</f>
        <v/>
      </c>
      <c r="AF640" t="str">
        <f>IF(AE640="","",IF(AE640="[FÓRMULA MANUAL]","",IFERROR(AVERAGEIFS(DATOS!$K$2:$K$20000,DATOS!$A$2:$A$20000,AE640,DATOS!$G$2:$G$20000,CONFIG_METADATA!$B$4,DATOS!$I$2:$I$20000,"Análisis"),"")))</f>
        <v/>
      </c>
      <c r="AG640" t="str">
        <f>IF(AE640="","",IF(AE640="[FÓRMULA MANUAL]","",IFERROR(AVERAGEIFS(DATOS!$K$2:$K$20000,DATOS!$A$2:$A$20000,AE640,DATOS!$G$2:$G$20000,CONFIG_METADATA!$B$4,DATOS!$I$2:$I$20000,"Orquesta/Banda/Conjunto"),"")))</f>
        <v/>
      </c>
      <c r="AH640" t="str">
        <f>IF(AE640="","",IF(AE640="[FÓRMULA MANUAL]","",IFERROR(AVERAGEIFS(DATOS!$K$2:$K$20000,DATOS!$A$2:$A$20000,AE640,DATOS!$G$2:$G$20000,CONFIG_METADATA!$B$4,DATOS!$I$2:$I$20000,"Música de Cámara"),"")))</f>
        <v/>
      </c>
      <c r="AI640" t="str">
        <f>IF(AE640="","",IF(AE640="[FÓRMULA MANUAL]","",IFERROR(SUMPRODUCT((DATOS!$A$2:$A$20000=AE640)*(DATOS!$G$2:$G$20000=CONFIG_METADATA!$B$4)*(COUNTIF(CONFIG_ASIGNATURAS!$B$7:$B$27,DATOS!$I$2:$I$20000)&gt;0)*(DATOS!$K$2:$K$20000))/SUMPRODUCT((DATOS!$A$2:$A$20000=AE640)*(DATOS!$G$2:$G$20000=CONFIG_METADATA!$B$4)*(COUNTIF(CONFIG_ASIGNATURAS!$B$7:$B$27,DATOS!$I$2:$I$20000)&gt;0)*1),"")))</f>
        <v/>
      </c>
    </row>
    <row r="641" spans="2:35" x14ac:dyDescent="0.2">
      <c r="B641" t="str">
        <f>IF(A641="","",IF(A641="[FÓRMULA MANUAL]","",IFERROR(AVERAGEIFS(DATOS!$K$2:$K$20000,DATOS!$A$2:$A$20000,A641,DATOS!$G$2:$G$20000,CONFIG_METADATA!$B$4,DATOS!$I$2:$I$20000,"Lenguaje Musical"),"")))</f>
        <v/>
      </c>
      <c r="C641" t="str">
        <f>IF(A641="","",IF(A641="[FÓRMULA MANUAL]","",IFERROR(AVERAGEIFS(DATOS!$K$2:$K$20000,DATOS!$A$2:$A$20000,A641,DATOS!$G$2:$G$20000,CONFIG_METADATA!$B$4,DATOS!$I$2:$I$20000,"Orquesta/Banda/Conjunto"),"")))</f>
        <v/>
      </c>
      <c r="D641" t="str">
        <f>IF(A641="","",IF(A641="[FÓRMULA MANUAL]","",IFERROR(AVERAGEIFS(DATOS!$K$2:$K$20000,DATOS!$A$2:$A$20000,A641,DATOS!$G$2:$G$20000,CONFIG_METADATA!$B$4,DATOS!$I$2:$I$20000,"Conjunto"),"")))</f>
        <v/>
      </c>
      <c r="E641" t="str">
        <f>IF(A641="","",IF(A641="[FÓRMULA MANUAL]","",IFERROR(SUMPRODUCT((DATOS!$A$2:$A$20000=A641)*(DATOS!$G$2:$G$20000=CONFIG_METADATA!$B$4)*(COUNTIF(CONFIG_ASIGNATURAS!$B$7:$B$27,DATOS!$I$2:$I$20000)&gt;0)*(DATOS!$K$2:$K$20000))/SUMPRODUCT((DATOS!$A$2:$A$20000=A641)*(DATOS!$G$2:$G$20000=CONFIG_METADATA!$B$4)*(COUNTIF(CONFIG_ASIGNATURAS!$B$7:$B$27,DATOS!$I$2:$I$20000)&gt;0)*1),"")))</f>
        <v/>
      </c>
      <c r="H641" t="str">
        <f>IF(G641="","",IF(G641="[FÓRMULA MANUAL]","",IFERROR(AVERAGEIFS(DATOS!$K$2:$K$20000,DATOS!$A$2:$A$20000,G641,DATOS!$G$2:$G$20000,CONFIG_METADATA!$B$4,DATOS!$I$2:$I$20000,"Lenguaje Musical"),"")))</f>
        <v/>
      </c>
      <c r="I641" t="str">
        <f>IF(G641="","",IF(G641="[FÓRMULA MANUAL]","",IFERROR(AVERAGEIFS(DATOS!$K$2:$K$20000,DATOS!$A$2:$A$20000,G641,DATOS!$G$2:$G$20000,CONFIG_METADATA!$B$4,DATOS!$I$2:$I$20000,"Orquesta/Banda/Conjunto"),"")))</f>
        <v/>
      </c>
      <c r="J641" t="str">
        <f>IF(G641="","",IF(G641="[FÓRMULA MANUAL]","",IFERROR(AVERAGEIFS(DATOS!$K$2:$K$20000,DATOS!$A$2:$A$20000,G641,DATOS!$G$2:$G$20000,CONFIG_METADATA!$B$4,DATOS!$I$2:$I$20000,"Conjunto"),"")))</f>
        <v/>
      </c>
      <c r="K641" t="str">
        <f>IF(G641="","",IF(G641="[FÓRMULA MANUAL]","",IFERROR(SUMPRODUCT((DATOS!$A$2:$A$20000=G641)*(DATOS!$G$2:$G$20000=CONFIG_METADATA!$B$4)*(COUNTIF(CONFIG_ASIGNATURAS!$B$7:$B$27,DATOS!$I$2:$I$20000)&gt;0)*(DATOS!$K$2:$K$20000))/SUMPRODUCT((DATOS!$A$2:$A$20000=G641)*(DATOS!$G$2:$G$20000=CONFIG_METADATA!$B$4)*(COUNTIF(CONFIG_ASIGNATURAS!$B$7:$B$27,DATOS!$I$2:$I$20000)&gt;0)*1),"")))</f>
        <v/>
      </c>
      <c r="N641" t="str">
        <f>IF(M641="","",IF(M641="[FÓRMULA MANUAL]","",IFERROR(AVERAGEIFS(DATOS!$K$2:$K$20000,DATOS!$A$2:$A$20000,M641,DATOS!$G$2:$G$20000,CONFIG_METADATA!$B$4,DATOS!$I$2:$I$20000,"Armonía"),"")))</f>
        <v/>
      </c>
      <c r="O641" t="str">
        <f>IF(M641="","",IF(M641="[FÓRMULA MANUAL]","",IFERROR(AVERAGEIFS(DATOS!$K$2:$K$20000,DATOS!$A$2:$A$20000,M641,DATOS!$G$2:$G$20000,CONFIG_METADATA!$B$4,DATOS!$I$2:$I$20000,"Orquesta/Banda/Conjunto"),"")))</f>
        <v/>
      </c>
      <c r="P641" t="str">
        <f>IF(M641="","",IF(M641="[FÓRMULA MANUAL]","",IFERROR(AVERAGEIFS(DATOS!$K$2:$K$20000,DATOS!$A$2:$A$20000,M641,DATOS!$G$2:$G$20000,CONFIG_METADATA!$B$4,DATOS!$I$2:$I$20000,"Música de Cámara"),"")))</f>
        <v/>
      </c>
      <c r="Q641" t="str">
        <f>IF(M641="","",IF(M641="[FÓRMULA MANUAL]","",IFERROR(SUMPRODUCT((DATOS!$A$2:$A$20000=M641)*(DATOS!$G$2:$G$20000=CONFIG_METADATA!$B$4)*(COUNTIF(CONFIG_ASIGNATURAS!$B$7:$B$27,DATOS!$I$2:$I$20000)&gt;0)*(DATOS!$K$2:$K$20000))/SUMPRODUCT((DATOS!$A$2:$A$20000=M641)*(DATOS!$G$2:$G$20000=CONFIG_METADATA!$B$4)*(COUNTIF(CONFIG_ASIGNATURAS!$B$7:$B$27,DATOS!$I$2:$I$20000)&gt;0)*1),"")))</f>
        <v/>
      </c>
      <c r="T641" t="str">
        <f>IF(S641="","",IF(S641="[FÓRMULA MANUAL]","",IFERROR(AVERAGEIFS(DATOS!$K$2:$K$20000,DATOS!$A$2:$A$20000,S641,DATOS!$G$2:$G$20000,CONFIG_METADATA!$B$4,DATOS!$I$2:$I$20000,"Armonía"),"")))</f>
        <v/>
      </c>
      <c r="U641" t="str">
        <f>IF(S641="","",IF(S641="[FÓRMULA MANUAL]","",IFERROR(AVERAGEIFS(DATOS!$K$2:$K$20000,DATOS!$A$2:$A$20000,S641,DATOS!$G$2:$G$20000,CONFIG_METADATA!$B$4,DATOS!$I$2:$I$20000,"Orquesta/Banda/Conjunto"),"")))</f>
        <v/>
      </c>
      <c r="V641" t="str">
        <f>IF(S641="","",IF(S641="[FÓRMULA MANUAL]","",IFERROR(AVERAGEIFS(DATOS!$K$2:$K$20000,DATOS!$A$2:$A$20000,S641,DATOS!$G$2:$G$20000,CONFIG_METADATA!$B$4,DATOS!$I$2:$I$20000,"Música de Cámara"),"")))</f>
        <v/>
      </c>
      <c r="W641" t="str">
        <f>IF(S641="","",IF(S641="[FÓRMULA MANUAL]","",IFERROR(SUMPRODUCT((DATOS!$A$2:$A$20000=S641)*(DATOS!$G$2:$G$20000=CONFIG_METADATA!$B$4)*(COUNTIF(CONFIG_ASIGNATURAS!$B$7:$B$27,DATOS!$I$2:$I$20000)&gt;0)*(DATOS!$K$2:$K$20000))/SUMPRODUCT((DATOS!$A$2:$A$20000=S641)*(DATOS!$G$2:$G$20000=CONFIG_METADATA!$B$4)*(COUNTIF(CONFIG_ASIGNATURAS!$B$7:$B$27,DATOS!$I$2:$I$20000)&gt;0)*1),"")))</f>
        <v/>
      </c>
      <c r="Z641" t="str">
        <f>IF(Y641="","",IF(Y641="[FÓRMULA MANUAL]","",IFERROR(AVERAGEIFS(DATOS!$K$2:$K$20000,DATOS!$A$2:$A$20000,Y641,DATOS!$G$2:$G$20000,CONFIG_METADATA!$B$4,DATOS!$I$2:$I$20000,"Análisis"),"")))</f>
        <v/>
      </c>
      <c r="AA641" t="str">
        <f>IF(Y641="","",IF(Y641="[FÓRMULA MANUAL]","",IFERROR(AVERAGEIFS(DATOS!$K$2:$K$20000,DATOS!$A$2:$A$20000,Y641,DATOS!$G$2:$G$20000,CONFIG_METADATA!$B$4,DATOS!$I$2:$I$20000,"Orquesta/Banda/Conjunto"),"")))</f>
        <v/>
      </c>
      <c r="AB641" t="str">
        <f>IF(Y641="","",IF(Y641="[FÓRMULA MANUAL]","",IFERROR(AVERAGEIFS(DATOS!$K$2:$K$20000,DATOS!$A$2:$A$20000,Y641,DATOS!$G$2:$G$20000,CONFIG_METADATA!$B$4,DATOS!$I$2:$I$20000,"Música de Cámara"),"")))</f>
        <v/>
      </c>
      <c r="AC641" t="str">
        <f>IF(Y641="","",IF(Y641="[FÓRMULA MANUAL]","",IFERROR(SUMPRODUCT((DATOS!$A$2:$A$20000=Y641)*(DATOS!$G$2:$G$20000=CONFIG_METADATA!$B$4)*(COUNTIF(CONFIG_ASIGNATURAS!$B$7:$B$27,DATOS!$I$2:$I$20000)&gt;0)*(DATOS!$K$2:$K$20000))/SUMPRODUCT((DATOS!$A$2:$A$20000=Y641)*(DATOS!$G$2:$G$20000=CONFIG_METADATA!$B$4)*(COUNTIF(CONFIG_ASIGNATURAS!$B$7:$B$27,DATOS!$I$2:$I$20000)&gt;0)*1),"")))</f>
        <v/>
      </c>
      <c r="AF641" t="str">
        <f>IF(AE641="","",IF(AE641="[FÓRMULA MANUAL]","",IFERROR(AVERAGEIFS(DATOS!$K$2:$K$20000,DATOS!$A$2:$A$20000,AE641,DATOS!$G$2:$G$20000,CONFIG_METADATA!$B$4,DATOS!$I$2:$I$20000,"Análisis"),"")))</f>
        <v/>
      </c>
      <c r="AG641" t="str">
        <f>IF(AE641="","",IF(AE641="[FÓRMULA MANUAL]","",IFERROR(AVERAGEIFS(DATOS!$K$2:$K$20000,DATOS!$A$2:$A$20000,AE641,DATOS!$G$2:$G$20000,CONFIG_METADATA!$B$4,DATOS!$I$2:$I$20000,"Orquesta/Banda/Conjunto"),"")))</f>
        <v/>
      </c>
      <c r="AH641" t="str">
        <f>IF(AE641="","",IF(AE641="[FÓRMULA MANUAL]","",IFERROR(AVERAGEIFS(DATOS!$K$2:$K$20000,DATOS!$A$2:$A$20000,AE641,DATOS!$G$2:$G$20000,CONFIG_METADATA!$B$4,DATOS!$I$2:$I$20000,"Música de Cámara"),"")))</f>
        <v/>
      </c>
      <c r="AI641" t="str">
        <f>IF(AE641="","",IF(AE641="[FÓRMULA MANUAL]","",IFERROR(SUMPRODUCT((DATOS!$A$2:$A$20000=AE641)*(DATOS!$G$2:$G$20000=CONFIG_METADATA!$B$4)*(COUNTIF(CONFIG_ASIGNATURAS!$B$7:$B$27,DATOS!$I$2:$I$20000)&gt;0)*(DATOS!$K$2:$K$20000))/SUMPRODUCT((DATOS!$A$2:$A$20000=AE641)*(DATOS!$G$2:$G$20000=CONFIG_METADATA!$B$4)*(COUNTIF(CONFIG_ASIGNATURAS!$B$7:$B$27,DATOS!$I$2:$I$20000)&gt;0)*1),"")))</f>
        <v/>
      </c>
    </row>
    <row r="642" spans="2:35" x14ac:dyDescent="0.2">
      <c r="B642" t="str">
        <f>IF(A642="","",IF(A642="[FÓRMULA MANUAL]","",IFERROR(AVERAGEIFS(DATOS!$K$2:$K$20000,DATOS!$A$2:$A$20000,A642,DATOS!$G$2:$G$20000,CONFIG_METADATA!$B$4,DATOS!$I$2:$I$20000,"Lenguaje Musical"),"")))</f>
        <v/>
      </c>
      <c r="C642" t="str">
        <f>IF(A642="","",IF(A642="[FÓRMULA MANUAL]","",IFERROR(AVERAGEIFS(DATOS!$K$2:$K$20000,DATOS!$A$2:$A$20000,A642,DATOS!$G$2:$G$20000,CONFIG_METADATA!$B$4,DATOS!$I$2:$I$20000,"Orquesta/Banda/Conjunto"),"")))</f>
        <v/>
      </c>
      <c r="D642" t="str">
        <f>IF(A642="","",IF(A642="[FÓRMULA MANUAL]","",IFERROR(AVERAGEIFS(DATOS!$K$2:$K$20000,DATOS!$A$2:$A$20000,A642,DATOS!$G$2:$G$20000,CONFIG_METADATA!$B$4,DATOS!$I$2:$I$20000,"Conjunto"),"")))</f>
        <v/>
      </c>
      <c r="E642" t="str">
        <f>IF(A642="","",IF(A642="[FÓRMULA MANUAL]","",IFERROR(SUMPRODUCT((DATOS!$A$2:$A$20000=A642)*(DATOS!$G$2:$G$20000=CONFIG_METADATA!$B$4)*(COUNTIF(CONFIG_ASIGNATURAS!$B$7:$B$27,DATOS!$I$2:$I$20000)&gt;0)*(DATOS!$K$2:$K$20000))/SUMPRODUCT((DATOS!$A$2:$A$20000=A642)*(DATOS!$G$2:$G$20000=CONFIG_METADATA!$B$4)*(COUNTIF(CONFIG_ASIGNATURAS!$B$7:$B$27,DATOS!$I$2:$I$20000)&gt;0)*1),"")))</f>
        <v/>
      </c>
      <c r="H642" t="str">
        <f>IF(G642="","",IF(G642="[FÓRMULA MANUAL]","",IFERROR(AVERAGEIFS(DATOS!$K$2:$K$20000,DATOS!$A$2:$A$20000,G642,DATOS!$G$2:$G$20000,CONFIG_METADATA!$B$4,DATOS!$I$2:$I$20000,"Lenguaje Musical"),"")))</f>
        <v/>
      </c>
      <c r="I642" t="str">
        <f>IF(G642="","",IF(G642="[FÓRMULA MANUAL]","",IFERROR(AVERAGEIFS(DATOS!$K$2:$K$20000,DATOS!$A$2:$A$20000,G642,DATOS!$G$2:$G$20000,CONFIG_METADATA!$B$4,DATOS!$I$2:$I$20000,"Orquesta/Banda/Conjunto"),"")))</f>
        <v/>
      </c>
      <c r="J642" t="str">
        <f>IF(G642="","",IF(G642="[FÓRMULA MANUAL]","",IFERROR(AVERAGEIFS(DATOS!$K$2:$K$20000,DATOS!$A$2:$A$20000,G642,DATOS!$G$2:$G$20000,CONFIG_METADATA!$B$4,DATOS!$I$2:$I$20000,"Conjunto"),"")))</f>
        <v/>
      </c>
      <c r="K642" t="str">
        <f>IF(G642="","",IF(G642="[FÓRMULA MANUAL]","",IFERROR(SUMPRODUCT((DATOS!$A$2:$A$20000=G642)*(DATOS!$G$2:$G$20000=CONFIG_METADATA!$B$4)*(COUNTIF(CONFIG_ASIGNATURAS!$B$7:$B$27,DATOS!$I$2:$I$20000)&gt;0)*(DATOS!$K$2:$K$20000))/SUMPRODUCT((DATOS!$A$2:$A$20000=G642)*(DATOS!$G$2:$G$20000=CONFIG_METADATA!$B$4)*(COUNTIF(CONFIG_ASIGNATURAS!$B$7:$B$27,DATOS!$I$2:$I$20000)&gt;0)*1),"")))</f>
        <v/>
      </c>
      <c r="N642" t="str">
        <f>IF(M642="","",IF(M642="[FÓRMULA MANUAL]","",IFERROR(AVERAGEIFS(DATOS!$K$2:$K$20000,DATOS!$A$2:$A$20000,M642,DATOS!$G$2:$G$20000,CONFIG_METADATA!$B$4,DATOS!$I$2:$I$20000,"Armonía"),"")))</f>
        <v/>
      </c>
      <c r="O642" t="str">
        <f>IF(M642="","",IF(M642="[FÓRMULA MANUAL]","",IFERROR(AVERAGEIFS(DATOS!$K$2:$K$20000,DATOS!$A$2:$A$20000,M642,DATOS!$G$2:$G$20000,CONFIG_METADATA!$B$4,DATOS!$I$2:$I$20000,"Orquesta/Banda/Conjunto"),"")))</f>
        <v/>
      </c>
      <c r="P642" t="str">
        <f>IF(M642="","",IF(M642="[FÓRMULA MANUAL]","",IFERROR(AVERAGEIFS(DATOS!$K$2:$K$20000,DATOS!$A$2:$A$20000,M642,DATOS!$G$2:$G$20000,CONFIG_METADATA!$B$4,DATOS!$I$2:$I$20000,"Música de Cámara"),"")))</f>
        <v/>
      </c>
      <c r="Q642" t="str">
        <f>IF(M642="","",IF(M642="[FÓRMULA MANUAL]","",IFERROR(SUMPRODUCT((DATOS!$A$2:$A$20000=M642)*(DATOS!$G$2:$G$20000=CONFIG_METADATA!$B$4)*(COUNTIF(CONFIG_ASIGNATURAS!$B$7:$B$27,DATOS!$I$2:$I$20000)&gt;0)*(DATOS!$K$2:$K$20000))/SUMPRODUCT((DATOS!$A$2:$A$20000=M642)*(DATOS!$G$2:$G$20000=CONFIG_METADATA!$B$4)*(COUNTIF(CONFIG_ASIGNATURAS!$B$7:$B$27,DATOS!$I$2:$I$20000)&gt;0)*1),"")))</f>
        <v/>
      </c>
      <c r="T642" t="str">
        <f>IF(S642="","",IF(S642="[FÓRMULA MANUAL]","",IFERROR(AVERAGEIFS(DATOS!$K$2:$K$20000,DATOS!$A$2:$A$20000,S642,DATOS!$G$2:$G$20000,CONFIG_METADATA!$B$4,DATOS!$I$2:$I$20000,"Armonía"),"")))</f>
        <v/>
      </c>
      <c r="U642" t="str">
        <f>IF(S642="","",IF(S642="[FÓRMULA MANUAL]","",IFERROR(AVERAGEIFS(DATOS!$K$2:$K$20000,DATOS!$A$2:$A$20000,S642,DATOS!$G$2:$G$20000,CONFIG_METADATA!$B$4,DATOS!$I$2:$I$20000,"Orquesta/Banda/Conjunto"),"")))</f>
        <v/>
      </c>
      <c r="V642" t="str">
        <f>IF(S642="","",IF(S642="[FÓRMULA MANUAL]","",IFERROR(AVERAGEIFS(DATOS!$K$2:$K$20000,DATOS!$A$2:$A$20000,S642,DATOS!$G$2:$G$20000,CONFIG_METADATA!$B$4,DATOS!$I$2:$I$20000,"Música de Cámara"),"")))</f>
        <v/>
      </c>
      <c r="W642" t="str">
        <f>IF(S642="","",IF(S642="[FÓRMULA MANUAL]","",IFERROR(SUMPRODUCT((DATOS!$A$2:$A$20000=S642)*(DATOS!$G$2:$G$20000=CONFIG_METADATA!$B$4)*(COUNTIF(CONFIG_ASIGNATURAS!$B$7:$B$27,DATOS!$I$2:$I$20000)&gt;0)*(DATOS!$K$2:$K$20000))/SUMPRODUCT((DATOS!$A$2:$A$20000=S642)*(DATOS!$G$2:$G$20000=CONFIG_METADATA!$B$4)*(COUNTIF(CONFIG_ASIGNATURAS!$B$7:$B$27,DATOS!$I$2:$I$20000)&gt;0)*1),"")))</f>
        <v/>
      </c>
      <c r="Z642" t="str">
        <f>IF(Y642="","",IF(Y642="[FÓRMULA MANUAL]","",IFERROR(AVERAGEIFS(DATOS!$K$2:$K$20000,DATOS!$A$2:$A$20000,Y642,DATOS!$G$2:$G$20000,CONFIG_METADATA!$B$4,DATOS!$I$2:$I$20000,"Análisis"),"")))</f>
        <v/>
      </c>
      <c r="AA642" t="str">
        <f>IF(Y642="","",IF(Y642="[FÓRMULA MANUAL]","",IFERROR(AVERAGEIFS(DATOS!$K$2:$K$20000,DATOS!$A$2:$A$20000,Y642,DATOS!$G$2:$G$20000,CONFIG_METADATA!$B$4,DATOS!$I$2:$I$20000,"Orquesta/Banda/Conjunto"),"")))</f>
        <v/>
      </c>
      <c r="AB642" t="str">
        <f>IF(Y642="","",IF(Y642="[FÓRMULA MANUAL]","",IFERROR(AVERAGEIFS(DATOS!$K$2:$K$20000,DATOS!$A$2:$A$20000,Y642,DATOS!$G$2:$G$20000,CONFIG_METADATA!$B$4,DATOS!$I$2:$I$20000,"Música de Cámara"),"")))</f>
        <v/>
      </c>
      <c r="AC642" t="str">
        <f>IF(Y642="","",IF(Y642="[FÓRMULA MANUAL]","",IFERROR(SUMPRODUCT((DATOS!$A$2:$A$20000=Y642)*(DATOS!$G$2:$G$20000=CONFIG_METADATA!$B$4)*(COUNTIF(CONFIG_ASIGNATURAS!$B$7:$B$27,DATOS!$I$2:$I$20000)&gt;0)*(DATOS!$K$2:$K$20000))/SUMPRODUCT((DATOS!$A$2:$A$20000=Y642)*(DATOS!$G$2:$G$20000=CONFIG_METADATA!$B$4)*(COUNTIF(CONFIG_ASIGNATURAS!$B$7:$B$27,DATOS!$I$2:$I$20000)&gt;0)*1),"")))</f>
        <v/>
      </c>
      <c r="AF642" t="str">
        <f>IF(AE642="","",IF(AE642="[FÓRMULA MANUAL]","",IFERROR(AVERAGEIFS(DATOS!$K$2:$K$20000,DATOS!$A$2:$A$20000,AE642,DATOS!$G$2:$G$20000,CONFIG_METADATA!$B$4,DATOS!$I$2:$I$20000,"Análisis"),"")))</f>
        <v/>
      </c>
      <c r="AG642" t="str">
        <f>IF(AE642="","",IF(AE642="[FÓRMULA MANUAL]","",IFERROR(AVERAGEIFS(DATOS!$K$2:$K$20000,DATOS!$A$2:$A$20000,AE642,DATOS!$G$2:$G$20000,CONFIG_METADATA!$B$4,DATOS!$I$2:$I$20000,"Orquesta/Banda/Conjunto"),"")))</f>
        <v/>
      </c>
      <c r="AH642" t="str">
        <f>IF(AE642="","",IF(AE642="[FÓRMULA MANUAL]","",IFERROR(AVERAGEIFS(DATOS!$K$2:$K$20000,DATOS!$A$2:$A$20000,AE642,DATOS!$G$2:$G$20000,CONFIG_METADATA!$B$4,DATOS!$I$2:$I$20000,"Música de Cámara"),"")))</f>
        <v/>
      </c>
      <c r="AI642" t="str">
        <f>IF(AE642="","",IF(AE642="[FÓRMULA MANUAL]","",IFERROR(SUMPRODUCT((DATOS!$A$2:$A$20000=AE642)*(DATOS!$G$2:$G$20000=CONFIG_METADATA!$B$4)*(COUNTIF(CONFIG_ASIGNATURAS!$B$7:$B$27,DATOS!$I$2:$I$20000)&gt;0)*(DATOS!$K$2:$K$20000))/SUMPRODUCT((DATOS!$A$2:$A$20000=AE642)*(DATOS!$G$2:$G$20000=CONFIG_METADATA!$B$4)*(COUNTIF(CONFIG_ASIGNATURAS!$B$7:$B$27,DATOS!$I$2:$I$20000)&gt;0)*1),"")))</f>
        <v/>
      </c>
    </row>
    <row r="643" spans="2:35" x14ac:dyDescent="0.2">
      <c r="B643" t="str">
        <f>IF(A643="","",IF(A643="[FÓRMULA MANUAL]","",IFERROR(AVERAGEIFS(DATOS!$K$2:$K$20000,DATOS!$A$2:$A$20000,A643,DATOS!$G$2:$G$20000,CONFIG_METADATA!$B$4,DATOS!$I$2:$I$20000,"Lenguaje Musical"),"")))</f>
        <v/>
      </c>
      <c r="C643" t="str">
        <f>IF(A643="","",IF(A643="[FÓRMULA MANUAL]","",IFERROR(AVERAGEIFS(DATOS!$K$2:$K$20000,DATOS!$A$2:$A$20000,A643,DATOS!$G$2:$G$20000,CONFIG_METADATA!$B$4,DATOS!$I$2:$I$20000,"Orquesta/Banda/Conjunto"),"")))</f>
        <v/>
      </c>
      <c r="D643" t="str">
        <f>IF(A643="","",IF(A643="[FÓRMULA MANUAL]","",IFERROR(AVERAGEIFS(DATOS!$K$2:$K$20000,DATOS!$A$2:$A$20000,A643,DATOS!$G$2:$G$20000,CONFIG_METADATA!$B$4,DATOS!$I$2:$I$20000,"Conjunto"),"")))</f>
        <v/>
      </c>
      <c r="E643" t="str">
        <f>IF(A643="","",IF(A643="[FÓRMULA MANUAL]","",IFERROR(SUMPRODUCT((DATOS!$A$2:$A$20000=A643)*(DATOS!$G$2:$G$20000=CONFIG_METADATA!$B$4)*(COUNTIF(CONFIG_ASIGNATURAS!$B$7:$B$27,DATOS!$I$2:$I$20000)&gt;0)*(DATOS!$K$2:$K$20000))/SUMPRODUCT((DATOS!$A$2:$A$20000=A643)*(DATOS!$G$2:$G$20000=CONFIG_METADATA!$B$4)*(COUNTIF(CONFIG_ASIGNATURAS!$B$7:$B$27,DATOS!$I$2:$I$20000)&gt;0)*1),"")))</f>
        <v/>
      </c>
      <c r="H643" t="str">
        <f>IF(G643="","",IF(G643="[FÓRMULA MANUAL]","",IFERROR(AVERAGEIFS(DATOS!$K$2:$K$20000,DATOS!$A$2:$A$20000,G643,DATOS!$G$2:$G$20000,CONFIG_METADATA!$B$4,DATOS!$I$2:$I$20000,"Lenguaje Musical"),"")))</f>
        <v/>
      </c>
      <c r="I643" t="str">
        <f>IF(G643="","",IF(G643="[FÓRMULA MANUAL]","",IFERROR(AVERAGEIFS(DATOS!$K$2:$K$20000,DATOS!$A$2:$A$20000,G643,DATOS!$G$2:$G$20000,CONFIG_METADATA!$B$4,DATOS!$I$2:$I$20000,"Orquesta/Banda/Conjunto"),"")))</f>
        <v/>
      </c>
      <c r="J643" t="str">
        <f>IF(G643="","",IF(G643="[FÓRMULA MANUAL]","",IFERROR(AVERAGEIFS(DATOS!$K$2:$K$20000,DATOS!$A$2:$A$20000,G643,DATOS!$G$2:$G$20000,CONFIG_METADATA!$B$4,DATOS!$I$2:$I$20000,"Conjunto"),"")))</f>
        <v/>
      </c>
      <c r="K643" t="str">
        <f>IF(G643="","",IF(G643="[FÓRMULA MANUAL]","",IFERROR(SUMPRODUCT((DATOS!$A$2:$A$20000=G643)*(DATOS!$G$2:$G$20000=CONFIG_METADATA!$B$4)*(COUNTIF(CONFIG_ASIGNATURAS!$B$7:$B$27,DATOS!$I$2:$I$20000)&gt;0)*(DATOS!$K$2:$K$20000))/SUMPRODUCT((DATOS!$A$2:$A$20000=G643)*(DATOS!$G$2:$G$20000=CONFIG_METADATA!$B$4)*(COUNTIF(CONFIG_ASIGNATURAS!$B$7:$B$27,DATOS!$I$2:$I$20000)&gt;0)*1),"")))</f>
        <v/>
      </c>
      <c r="N643" t="str">
        <f>IF(M643="","",IF(M643="[FÓRMULA MANUAL]","",IFERROR(AVERAGEIFS(DATOS!$K$2:$K$20000,DATOS!$A$2:$A$20000,M643,DATOS!$G$2:$G$20000,CONFIG_METADATA!$B$4,DATOS!$I$2:$I$20000,"Armonía"),"")))</f>
        <v/>
      </c>
      <c r="O643" t="str">
        <f>IF(M643="","",IF(M643="[FÓRMULA MANUAL]","",IFERROR(AVERAGEIFS(DATOS!$K$2:$K$20000,DATOS!$A$2:$A$20000,M643,DATOS!$G$2:$G$20000,CONFIG_METADATA!$B$4,DATOS!$I$2:$I$20000,"Orquesta/Banda/Conjunto"),"")))</f>
        <v/>
      </c>
      <c r="P643" t="str">
        <f>IF(M643="","",IF(M643="[FÓRMULA MANUAL]","",IFERROR(AVERAGEIFS(DATOS!$K$2:$K$20000,DATOS!$A$2:$A$20000,M643,DATOS!$G$2:$G$20000,CONFIG_METADATA!$B$4,DATOS!$I$2:$I$20000,"Música de Cámara"),"")))</f>
        <v/>
      </c>
      <c r="Q643" t="str">
        <f>IF(M643="","",IF(M643="[FÓRMULA MANUAL]","",IFERROR(SUMPRODUCT((DATOS!$A$2:$A$20000=M643)*(DATOS!$G$2:$G$20000=CONFIG_METADATA!$B$4)*(COUNTIF(CONFIG_ASIGNATURAS!$B$7:$B$27,DATOS!$I$2:$I$20000)&gt;0)*(DATOS!$K$2:$K$20000))/SUMPRODUCT((DATOS!$A$2:$A$20000=M643)*(DATOS!$G$2:$G$20000=CONFIG_METADATA!$B$4)*(COUNTIF(CONFIG_ASIGNATURAS!$B$7:$B$27,DATOS!$I$2:$I$20000)&gt;0)*1),"")))</f>
        <v/>
      </c>
      <c r="T643" t="str">
        <f>IF(S643="","",IF(S643="[FÓRMULA MANUAL]","",IFERROR(AVERAGEIFS(DATOS!$K$2:$K$20000,DATOS!$A$2:$A$20000,S643,DATOS!$G$2:$G$20000,CONFIG_METADATA!$B$4,DATOS!$I$2:$I$20000,"Armonía"),"")))</f>
        <v/>
      </c>
      <c r="U643" t="str">
        <f>IF(S643="","",IF(S643="[FÓRMULA MANUAL]","",IFERROR(AVERAGEIFS(DATOS!$K$2:$K$20000,DATOS!$A$2:$A$20000,S643,DATOS!$G$2:$G$20000,CONFIG_METADATA!$B$4,DATOS!$I$2:$I$20000,"Orquesta/Banda/Conjunto"),"")))</f>
        <v/>
      </c>
      <c r="V643" t="str">
        <f>IF(S643="","",IF(S643="[FÓRMULA MANUAL]","",IFERROR(AVERAGEIFS(DATOS!$K$2:$K$20000,DATOS!$A$2:$A$20000,S643,DATOS!$G$2:$G$20000,CONFIG_METADATA!$B$4,DATOS!$I$2:$I$20000,"Música de Cámara"),"")))</f>
        <v/>
      </c>
      <c r="W643" t="str">
        <f>IF(S643="","",IF(S643="[FÓRMULA MANUAL]","",IFERROR(SUMPRODUCT((DATOS!$A$2:$A$20000=S643)*(DATOS!$G$2:$G$20000=CONFIG_METADATA!$B$4)*(COUNTIF(CONFIG_ASIGNATURAS!$B$7:$B$27,DATOS!$I$2:$I$20000)&gt;0)*(DATOS!$K$2:$K$20000))/SUMPRODUCT((DATOS!$A$2:$A$20000=S643)*(DATOS!$G$2:$G$20000=CONFIG_METADATA!$B$4)*(COUNTIF(CONFIG_ASIGNATURAS!$B$7:$B$27,DATOS!$I$2:$I$20000)&gt;0)*1),"")))</f>
        <v/>
      </c>
      <c r="Z643" t="str">
        <f>IF(Y643="","",IF(Y643="[FÓRMULA MANUAL]","",IFERROR(AVERAGEIFS(DATOS!$K$2:$K$20000,DATOS!$A$2:$A$20000,Y643,DATOS!$G$2:$G$20000,CONFIG_METADATA!$B$4,DATOS!$I$2:$I$20000,"Análisis"),"")))</f>
        <v/>
      </c>
      <c r="AA643" t="str">
        <f>IF(Y643="","",IF(Y643="[FÓRMULA MANUAL]","",IFERROR(AVERAGEIFS(DATOS!$K$2:$K$20000,DATOS!$A$2:$A$20000,Y643,DATOS!$G$2:$G$20000,CONFIG_METADATA!$B$4,DATOS!$I$2:$I$20000,"Orquesta/Banda/Conjunto"),"")))</f>
        <v/>
      </c>
      <c r="AB643" t="str">
        <f>IF(Y643="","",IF(Y643="[FÓRMULA MANUAL]","",IFERROR(AVERAGEIFS(DATOS!$K$2:$K$20000,DATOS!$A$2:$A$20000,Y643,DATOS!$G$2:$G$20000,CONFIG_METADATA!$B$4,DATOS!$I$2:$I$20000,"Música de Cámara"),"")))</f>
        <v/>
      </c>
      <c r="AC643" t="str">
        <f>IF(Y643="","",IF(Y643="[FÓRMULA MANUAL]","",IFERROR(SUMPRODUCT((DATOS!$A$2:$A$20000=Y643)*(DATOS!$G$2:$G$20000=CONFIG_METADATA!$B$4)*(COUNTIF(CONFIG_ASIGNATURAS!$B$7:$B$27,DATOS!$I$2:$I$20000)&gt;0)*(DATOS!$K$2:$K$20000))/SUMPRODUCT((DATOS!$A$2:$A$20000=Y643)*(DATOS!$G$2:$G$20000=CONFIG_METADATA!$B$4)*(COUNTIF(CONFIG_ASIGNATURAS!$B$7:$B$27,DATOS!$I$2:$I$20000)&gt;0)*1),"")))</f>
        <v/>
      </c>
      <c r="AF643" t="str">
        <f>IF(AE643="","",IF(AE643="[FÓRMULA MANUAL]","",IFERROR(AVERAGEIFS(DATOS!$K$2:$K$20000,DATOS!$A$2:$A$20000,AE643,DATOS!$G$2:$G$20000,CONFIG_METADATA!$B$4,DATOS!$I$2:$I$20000,"Análisis"),"")))</f>
        <v/>
      </c>
      <c r="AG643" t="str">
        <f>IF(AE643="","",IF(AE643="[FÓRMULA MANUAL]","",IFERROR(AVERAGEIFS(DATOS!$K$2:$K$20000,DATOS!$A$2:$A$20000,AE643,DATOS!$G$2:$G$20000,CONFIG_METADATA!$B$4,DATOS!$I$2:$I$20000,"Orquesta/Banda/Conjunto"),"")))</f>
        <v/>
      </c>
      <c r="AH643" t="str">
        <f>IF(AE643="","",IF(AE643="[FÓRMULA MANUAL]","",IFERROR(AVERAGEIFS(DATOS!$K$2:$K$20000,DATOS!$A$2:$A$20000,AE643,DATOS!$G$2:$G$20000,CONFIG_METADATA!$B$4,DATOS!$I$2:$I$20000,"Música de Cámara"),"")))</f>
        <v/>
      </c>
      <c r="AI643" t="str">
        <f>IF(AE643="","",IF(AE643="[FÓRMULA MANUAL]","",IFERROR(SUMPRODUCT((DATOS!$A$2:$A$20000=AE643)*(DATOS!$G$2:$G$20000=CONFIG_METADATA!$B$4)*(COUNTIF(CONFIG_ASIGNATURAS!$B$7:$B$27,DATOS!$I$2:$I$20000)&gt;0)*(DATOS!$K$2:$K$20000))/SUMPRODUCT((DATOS!$A$2:$A$20000=AE643)*(DATOS!$G$2:$G$20000=CONFIG_METADATA!$B$4)*(COUNTIF(CONFIG_ASIGNATURAS!$B$7:$B$27,DATOS!$I$2:$I$20000)&gt;0)*1),"")))</f>
        <v/>
      </c>
    </row>
    <row r="644" spans="2:35" x14ac:dyDescent="0.2">
      <c r="B644" t="str">
        <f>IF(A644="","",IF(A644="[FÓRMULA MANUAL]","",IFERROR(AVERAGEIFS(DATOS!$K$2:$K$20000,DATOS!$A$2:$A$20000,A644,DATOS!$G$2:$G$20000,CONFIG_METADATA!$B$4,DATOS!$I$2:$I$20000,"Lenguaje Musical"),"")))</f>
        <v/>
      </c>
      <c r="C644" t="str">
        <f>IF(A644="","",IF(A644="[FÓRMULA MANUAL]","",IFERROR(AVERAGEIFS(DATOS!$K$2:$K$20000,DATOS!$A$2:$A$20000,A644,DATOS!$G$2:$G$20000,CONFIG_METADATA!$B$4,DATOS!$I$2:$I$20000,"Orquesta/Banda/Conjunto"),"")))</f>
        <v/>
      </c>
      <c r="D644" t="str">
        <f>IF(A644="","",IF(A644="[FÓRMULA MANUAL]","",IFERROR(AVERAGEIFS(DATOS!$K$2:$K$20000,DATOS!$A$2:$A$20000,A644,DATOS!$G$2:$G$20000,CONFIG_METADATA!$B$4,DATOS!$I$2:$I$20000,"Conjunto"),"")))</f>
        <v/>
      </c>
      <c r="E644" t="str">
        <f>IF(A644="","",IF(A644="[FÓRMULA MANUAL]","",IFERROR(SUMPRODUCT((DATOS!$A$2:$A$20000=A644)*(DATOS!$G$2:$G$20000=CONFIG_METADATA!$B$4)*(COUNTIF(CONFIG_ASIGNATURAS!$B$7:$B$27,DATOS!$I$2:$I$20000)&gt;0)*(DATOS!$K$2:$K$20000))/SUMPRODUCT((DATOS!$A$2:$A$20000=A644)*(DATOS!$G$2:$G$20000=CONFIG_METADATA!$B$4)*(COUNTIF(CONFIG_ASIGNATURAS!$B$7:$B$27,DATOS!$I$2:$I$20000)&gt;0)*1),"")))</f>
        <v/>
      </c>
      <c r="H644" t="str">
        <f>IF(G644="","",IF(G644="[FÓRMULA MANUAL]","",IFERROR(AVERAGEIFS(DATOS!$K$2:$K$20000,DATOS!$A$2:$A$20000,G644,DATOS!$G$2:$G$20000,CONFIG_METADATA!$B$4,DATOS!$I$2:$I$20000,"Lenguaje Musical"),"")))</f>
        <v/>
      </c>
      <c r="I644" t="str">
        <f>IF(G644="","",IF(G644="[FÓRMULA MANUAL]","",IFERROR(AVERAGEIFS(DATOS!$K$2:$K$20000,DATOS!$A$2:$A$20000,G644,DATOS!$G$2:$G$20000,CONFIG_METADATA!$B$4,DATOS!$I$2:$I$20000,"Orquesta/Banda/Conjunto"),"")))</f>
        <v/>
      </c>
      <c r="J644" t="str">
        <f>IF(G644="","",IF(G644="[FÓRMULA MANUAL]","",IFERROR(AVERAGEIFS(DATOS!$K$2:$K$20000,DATOS!$A$2:$A$20000,G644,DATOS!$G$2:$G$20000,CONFIG_METADATA!$B$4,DATOS!$I$2:$I$20000,"Conjunto"),"")))</f>
        <v/>
      </c>
      <c r="K644" t="str">
        <f>IF(G644="","",IF(G644="[FÓRMULA MANUAL]","",IFERROR(SUMPRODUCT((DATOS!$A$2:$A$20000=G644)*(DATOS!$G$2:$G$20000=CONFIG_METADATA!$B$4)*(COUNTIF(CONFIG_ASIGNATURAS!$B$7:$B$27,DATOS!$I$2:$I$20000)&gt;0)*(DATOS!$K$2:$K$20000))/SUMPRODUCT((DATOS!$A$2:$A$20000=G644)*(DATOS!$G$2:$G$20000=CONFIG_METADATA!$B$4)*(COUNTIF(CONFIG_ASIGNATURAS!$B$7:$B$27,DATOS!$I$2:$I$20000)&gt;0)*1),"")))</f>
        <v/>
      </c>
      <c r="N644" t="str">
        <f>IF(M644="","",IF(M644="[FÓRMULA MANUAL]","",IFERROR(AVERAGEIFS(DATOS!$K$2:$K$20000,DATOS!$A$2:$A$20000,M644,DATOS!$G$2:$G$20000,CONFIG_METADATA!$B$4,DATOS!$I$2:$I$20000,"Armonía"),"")))</f>
        <v/>
      </c>
      <c r="O644" t="str">
        <f>IF(M644="","",IF(M644="[FÓRMULA MANUAL]","",IFERROR(AVERAGEIFS(DATOS!$K$2:$K$20000,DATOS!$A$2:$A$20000,M644,DATOS!$G$2:$G$20000,CONFIG_METADATA!$B$4,DATOS!$I$2:$I$20000,"Orquesta/Banda/Conjunto"),"")))</f>
        <v/>
      </c>
      <c r="P644" t="str">
        <f>IF(M644="","",IF(M644="[FÓRMULA MANUAL]","",IFERROR(AVERAGEIFS(DATOS!$K$2:$K$20000,DATOS!$A$2:$A$20000,M644,DATOS!$G$2:$G$20000,CONFIG_METADATA!$B$4,DATOS!$I$2:$I$20000,"Música de Cámara"),"")))</f>
        <v/>
      </c>
      <c r="Q644" t="str">
        <f>IF(M644="","",IF(M644="[FÓRMULA MANUAL]","",IFERROR(SUMPRODUCT((DATOS!$A$2:$A$20000=M644)*(DATOS!$G$2:$G$20000=CONFIG_METADATA!$B$4)*(COUNTIF(CONFIG_ASIGNATURAS!$B$7:$B$27,DATOS!$I$2:$I$20000)&gt;0)*(DATOS!$K$2:$K$20000))/SUMPRODUCT((DATOS!$A$2:$A$20000=M644)*(DATOS!$G$2:$G$20000=CONFIG_METADATA!$B$4)*(COUNTIF(CONFIG_ASIGNATURAS!$B$7:$B$27,DATOS!$I$2:$I$20000)&gt;0)*1),"")))</f>
        <v/>
      </c>
      <c r="T644" t="str">
        <f>IF(S644="","",IF(S644="[FÓRMULA MANUAL]","",IFERROR(AVERAGEIFS(DATOS!$K$2:$K$20000,DATOS!$A$2:$A$20000,S644,DATOS!$G$2:$G$20000,CONFIG_METADATA!$B$4,DATOS!$I$2:$I$20000,"Armonía"),"")))</f>
        <v/>
      </c>
      <c r="U644" t="str">
        <f>IF(S644="","",IF(S644="[FÓRMULA MANUAL]","",IFERROR(AVERAGEIFS(DATOS!$K$2:$K$20000,DATOS!$A$2:$A$20000,S644,DATOS!$G$2:$G$20000,CONFIG_METADATA!$B$4,DATOS!$I$2:$I$20000,"Orquesta/Banda/Conjunto"),"")))</f>
        <v/>
      </c>
      <c r="V644" t="str">
        <f>IF(S644="","",IF(S644="[FÓRMULA MANUAL]","",IFERROR(AVERAGEIFS(DATOS!$K$2:$K$20000,DATOS!$A$2:$A$20000,S644,DATOS!$G$2:$G$20000,CONFIG_METADATA!$B$4,DATOS!$I$2:$I$20000,"Música de Cámara"),"")))</f>
        <v/>
      </c>
      <c r="W644" t="str">
        <f>IF(S644="","",IF(S644="[FÓRMULA MANUAL]","",IFERROR(SUMPRODUCT((DATOS!$A$2:$A$20000=S644)*(DATOS!$G$2:$G$20000=CONFIG_METADATA!$B$4)*(COUNTIF(CONFIG_ASIGNATURAS!$B$7:$B$27,DATOS!$I$2:$I$20000)&gt;0)*(DATOS!$K$2:$K$20000))/SUMPRODUCT((DATOS!$A$2:$A$20000=S644)*(DATOS!$G$2:$G$20000=CONFIG_METADATA!$B$4)*(COUNTIF(CONFIG_ASIGNATURAS!$B$7:$B$27,DATOS!$I$2:$I$20000)&gt;0)*1),"")))</f>
        <v/>
      </c>
      <c r="Z644" t="str">
        <f>IF(Y644="","",IF(Y644="[FÓRMULA MANUAL]","",IFERROR(AVERAGEIFS(DATOS!$K$2:$K$20000,DATOS!$A$2:$A$20000,Y644,DATOS!$G$2:$G$20000,CONFIG_METADATA!$B$4,DATOS!$I$2:$I$20000,"Análisis"),"")))</f>
        <v/>
      </c>
      <c r="AA644" t="str">
        <f>IF(Y644="","",IF(Y644="[FÓRMULA MANUAL]","",IFERROR(AVERAGEIFS(DATOS!$K$2:$K$20000,DATOS!$A$2:$A$20000,Y644,DATOS!$G$2:$G$20000,CONFIG_METADATA!$B$4,DATOS!$I$2:$I$20000,"Orquesta/Banda/Conjunto"),"")))</f>
        <v/>
      </c>
      <c r="AB644" t="str">
        <f>IF(Y644="","",IF(Y644="[FÓRMULA MANUAL]","",IFERROR(AVERAGEIFS(DATOS!$K$2:$K$20000,DATOS!$A$2:$A$20000,Y644,DATOS!$G$2:$G$20000,CONFIG_METADATA!$B$4,DATOS!$I$2:$I$20000,"Música de Cámara"),"")))</f>
        <v/>
      </c>
      <c r="AC644" t="str">
        <f>IF(Y644="","",IF(Y644="[FÓRMULA MANUAL]","",IFERROR(SUMPRODUCT((DATOS!$A$2:$A$20000=Y644)*(DATOS!$G$2:$G$20000=CONFIG_METADATA!$B$4)*(COUNTIF(CONFIG_ASIGNATURAS!$B$7:$B$27,DATOS!$I$2:$I$20000)&gt;0)*(DATOS!$K$2:$K$20000))/SUMPRODUCT((DATOS!$A$2:$A$20000=Y644)*(DATOS!$G$2:$G$20000=CONFIG_METADATA!$B$4)*(COUNTIF(CONFIG_ASIGNATURAS!$B$7:$B$27,DATOS!$I$2:$I$20000)&gt;0)*1),"")))</f>
        <v/>
      </c>
      <c r="AF644" t="str">
        <f>IF(AE644="","",IF(AE644="[FÓRMULA MANUAL]","",IFERROR(AVERAGEIFS(DATOS!$K$2:$K$20000,DATOS!$A$2:$A$20000,AE644,DATOS!$G$2:$G$20000,CONFIG_METADATA!$B$4,DATOS!$I$2:$I$20000,"Análisis"),"")))</f>
        <v/>
      </c>
      <c r="AG644" t="str">
        <f>IF(AE644="","",IF(AE644="[FÓRMULA MANUAL]","",IFERROR(AVERAGEIFS(DATOS!$K$2:$K$20000,DATOS!$A$2:$A$20000,AE644,DATOS!$G$2:$G$20000,CONFIG_METADATA!$B$4,DATOS!$I$2:$I$20000,"Orquesta/Banda/Conjunto"),"")))</f>
        <v/>
      </c>
      <c r="AH644" t="str">
        <f>IF(AE644="","",IF(AE644="[FÓRMULA MANUAL]","",IFERROR(AVERAGEIFS(DATOS!$K$2:$K$20000,DATOS!$A$2:$A$20000,AE644,DATOS!$G$2:$G$20000,CONFIG_METADATA!$B$4,DATOS!$I$2:$I$20000,"Música de Cámara"),"")))</f>
        <v/>
      </c>
      <c r="AI644" t="str">
        <f>IF(AE644="","",IF(AE644="[FÓRMULA MANUAL]","",IFERROR(SUMPRODUCT((DATOS!$A$2:$A$20000=AE644)*(DATOS!$G$2:$G$20000=CONFIG_METADATA!$B$4)*(COUNTIF(CONFIG_ASIGNATURAS!$B$7:$B$27,DATOS!$I$2:$I$20000)&gt;0)*(DATOS!$K$2:$K$20000))/SUMPRODUCT((DATOS!$A$2:$A$20000=AE644)*(DATOS!$G$2:$G$20000=CONFIG_METADATA!$B$4)*(COUNTIF(CONFIG_ASIGNATURAS!$B$7:$B$27,DATOS!$I$2:$I$20000)&gt;0)*1),"")))</f>
        <v/>
      </c>
    </row>
    <row r="645" spans="2:35" x14ac:dyDescent="0.2">
      <c r="B645" t="str">
        <f>IF(A645="","",IF(A645="[FÓRMULA MANUAL]","",IFERROR(AVERAGEIFS(DATOS!$K$2:$K$20000,DATOS!$A$2:$A$20000,A645,DATOS!$G$2:$G$20000,CONFIG_METADATA!$B$4,DATOS!$I$2:$I$20000,"Lenguaje Musical"),"")))</f>
        <v/>
      </c>
      <c r="C645" t="str">
        <f>IF(A645="","",IF(A645="[FÓRMULA MANUAL]","",IFERROR(AVERAGEIFS(DATOS!$K$2:$K$20000,DATOS!$A$2:$A$20000,A645,DATOS!$G$2:$G$20000,CONFIG_METADATA!$B$4,DATOS!$I$2:$I$20000,"Orquesta/Banda/Conjunto"),"")))</f>
        <v/>
      </c>
      <c r="D645" t="str">
        <f>IF(A645="","",IF(A645="[FÓRMULA MANUAL]","",IFERROR(AVERAGEIFS(DATOS!$K$2:$K$20000,DATOS!$A$2:$A$20000,A645,DATOS!$G$2:$G$20000,CONFIG_METADATA!$B$4,DATOS!$I$2:$I$20000,"Conjunto"),"")))</f>
        <v/>
      </c>
      <c r="E645" t="str">
        <f>IF(A645="","",IF(A645="[FÓRMULA MANUAL]","",IFERROR(SUMPRODUCT((DATOS!$A$2:$A$20000=A645)*(DATOS!$G$2:$G$20000=CONFIG_METADATA!$B$4)*(COUNTIF(CONFIG_ASIGNATURAS!$B$7:$B$27,DATOS!$I$2:$I$20000)&gt;0)*(DATOS!$K$2:$K$20000))/SUMPRODUCT((DATOS!$A$2:$A$20000=A645)*(DATOS!$G$2:$G$20000=CONFIG_METADATA!$B$4)*(COUNTIF(CONFIG_ASIGNATURAS!$B$7:$B$27,DATOS!$I$2:$I$20000)&gt;0)*1),"")))</f>
        <v/>
      </c>
      <c r="H645" t="str">
        <f>IF(G645="","",IF(G645="[FÓRMULA MANUAL]","",IFERROR(AVERAGEIFS(DATOS!$K$2:$K$20000,DATOS!$A$2:$A$20000,G645,DATOS!$G$2:$G$20000,CONFIG_METADATA!$B$4,DATOS!$I$2:$I$20000,"Lenguaje Musical"),"")))</f>
        <v/>
      </c>
      <c r="I645" t="str">
        <f>IF(G645="","",IF(G645="[FÓRMULA MANUAL]","",IFERROR(AVERAGEIFS(DATOS!$K$2:$K$20000,DATOS!$A$2:$A$20000,G645,DATOS!$G$2:$G$20000,CONFIG_METADATA!$B$4,DATOS!$I$2:$I$20000,"Orquesta/Banda/Conjunto"),"")))</f>
        <v/>
      </c>
      <c r="J645" t="str">
        <f>IF(G645="","",IF(G645="[FÓRMULA MANUAL]","",IFERROR(AVERAGEIFS(DATOS!$K$2:$K$20000,DATOS!$A$2:$A$20000,G645,DATOS!$G$2:$G$20000,CONFIG_METADATA!$B$4,DATOS!$I$2:$I$20000,"Conjunto"),"")))</f>
        <v/>
      </c>
      <c r="K645" t="str">
        <f>IF(G645="","",IF(G645="[FÓRMULA MANUAL]","",IFERROR(SUMPRODUCT((DATOS!$A$2:$A$20000=G645)*(DATOS!$G$2:$G$20000=CONFIG_METADATA!$B$4)*(COUNTIF(CONFIG_ASIGNATURAS!$B$7:$B$27,DATOS!$I$2:$I$20000)&gt;0)*(DATOS!$K$2:$K$20000))/SUMPRODUCT((DATOS!$A$2:$A$20000=G645)*(DATOS!$G$2:$G$20000=CONFIG_METADATA!$B$4)*(COUNTIF(CONFIG_ASIGNATURAS!$B$7:$B$27,DATOS!$I$2:$I$20000)&gt;0)*1),"")))</f>
        <v/>
      </c>
      <c r="N645" t="str">
        <f>IF(M645="","",IF(M645="[FÓRMULA MANUAL]","",IFERROR(AVERAGEIFS(DATOS!$K$2:$K$20000,DATOS!$A$2:$A$20000,M645,DATOS!$G$2:$G$20000,CONFIG_METADATA!$B$4,DATOS!$I$2:$I$20000,"Armonía"),"")))</f>
        <v/>
      </c>
      <c r="O645" t="str">
        <f>IF(M645="","",IF(M645="[FÓRMULA MANUAL]","",IFERROR(AVERAGEIFS(DATOS!$K$2:$K$20000,DATOS!$A$2:$A$20000,M645,DATOS!$G$2:$G$20000,CONFIG_METADATA!$B$4,DATOS!$I$2:$I$20000,"Orquesta/Banda/Conjunto"),"")))</f>
        <v/>
      </c>
      <c r="P645" t="str">
        <f>IF(M645="","",IF(M645="[FÓRMULA MANUAL]","",IFERROR(AVERAGEIFS(DATOS!$K$2:$K$20000,DATOS!$A$2:$A$20000,M645,DATOS!$G$2:$G$20000,CONFIG_METADATA!$B$4,DATOS!$I$2:$I$20000,"Música de Cámara"),"")))</f>
        <v/>
      </c>
      <c r="Q645" t="str">
        <f>IF(M645="","",IF(M645="[FÓRMULA MANUAL]","",IFERROR(SUMPRODUCT((DATOS!$A$2:$A$20000=M645)*(DATOS!$G$2:$G$20000=CONFIG_METADATA!$B$4)*(COUNTIF(CONFIG_ASIGNATURAS!$B$7:$B$27,DATOS!$I$2:$I$20000)&gt;0)*(DATOS!$K$2:$K$20000))/SUMPRODUCT((DATOS!$A$2:$A$20000=M645)*(DATOS!$G$2:$G$20000=CONFIG_METADATA!$B$4)*(COUNTIF(CONFIG_ASIGNATURAS!$B$7:$B$27,DATOS!$I$2:$I$20000)&gt;0)*1),"")))</f>
        <v/>
      </c>
      <c r="T645" t="str">
        <f>IF(S645="","",IF(S645="[FÓRMULA MANUAL]","",IFERROR(AVERAGEIFS(DATOS!$K$2:$K$20000,DATOS!$A$2:$A$20000,S645,DATOS!$G$2:$G$20000,CONFIG_METADATA!$B$4,DATOS!$I$2:$I$20000,"Armonía"),"")))</f>
        <v/>
      </c>
      <c r="U645" t="str">
        <f>IF(S645="","",IF(S645="[FÓRMULA MANUAL]","",IFERROR(AVERAGEIFS(DATOS!$K$2:$K$20000,DATOS!$A$2:$A$20000,S645,DATOS!$G$2:$G$20000,CONFIG_METADATA!$B$4,DATOS!$I$2:$I$20000,"Orquesta/Banda/Conjunto"),"")))</f>
        <v/>
      </c>
      <c r="V645" t="str">
        <f>IF(S645="","",IF(S645="[FÓRMULA MANUAL]","",IFERROR(AVERAGEIFS(DATOS!$K$2:$K$20000,DATOS!$A$2:$A$20000,S645,DATOS!$G$2:$G$20000,CONFIG_METADATA!$B$4,DATOS!$I$2:$I$20000,"Música de Cámara"),"")))</f>
        <v/>
      </c>
      <c r="W645" t="str">
        <f>IF(S645="","",IF(S645="[FÓRMULA MANUAL]","",IFERROR(SUMPRODUCT((DATOS!$A$2:$A$20000=S645)*(DATOS!$G$2:$G$20000=CONFIG_METADATA!$B$4)*(COUNTIF(CONFIG_ASIGNATURAS!$B$7:$B$27,DATOS!$I$2:$I$20000)&gt;0)*(DATOS!$K$2:$K$20000))/SUMPRODUCT((DATOS!$A$2:$A$20000=S645)*(DATOS!$G$2:$G$20000=CONFIG_METADATA!$B$4)*(COUNTIF(CONFIG_ASIGNATURAS!$B$7:$B$27,DATOS!$I$2:$I$20000)&gt;0)*1),"")))</f>
        <v/>
      </c>
      <c r="Z645" t="str">
        <f>IF(Y645="","",IF(Y645="[FÓRMULA MANUAL]","",IFERROR(AVERAGEIFS(DATOS!$K$2:$K$20000,DATOS!$A$2:$A$20000,Y645,DATOS!$G$2:$G$20000,CONFIG_METADATA!$B$4,DATOS!$I$2:$I$20000,"Análisis"),"")))</f>
        <v/>
      </c>
      <c r="AA645" t="str">
        <f>IF(Y645="","",IF(Y645="[FÓRMULA MANUAL]","",IFERROR(AVERAGEIFS(DATOS!$K$2:$K$20000,DATOS!$A$2:$A$20000,Y645,DATOS!$G$2:$G$20000,CONFIG_METADATA!$B$4,DATOS!$I$2:$I$20000,"Orquesta/Banda/Conjunto"),"")))</f>
        <v/>
      </c>
      <c r="AB645" t="str">
        <f>IF(Y645="","",IF(Y645="[FÓRMULA MANUAL]","",IFERROR(AVERAGEIFS(DATOS!$K$2:$K$20000,DATOS!$A$2:$A$20000,Y645,DATOS!$G$2:$G$20000,CONFIG_METADATA!$B$4,DATOS!$I$2:$I$20000,"Música de Cámara"),"")))</f>
        <v/>
      </c>
      <c r="AC645" t="str">
        <f>IF(Y645="","",IF(Y645="[FÓRMULA MANUAL]","",IFERROR(SUMPRODUCT((DATOS!$A$2:$A$20000=Y645)*(DATOS!$G$2:$G$20000=CONFIG_METADATA!$B$4)*(COUNTIF(CONFIG_ASIGNATURAS!$B$7:$B$27,DATOS!$I$2:$I$20000)&gt;0)*(DATOS!$K$2:$K$20000))/SUMPRODUCT((DATOS!$A$2:$A$20000=Y645)*(DATOS!$G$2:$G$20000=CONFIG_METADATA!$B$4)*(COUNTIF(CONFIG_ASIGNATURAS!$B$7:$B$27,DATOS!$I$2:$I$20000)&gt;0)*1),"")))</f>
        <v/>
      </c>
      <c r="AF645" t="str">
        <f>IF(AE645="","",IF(AE645="[FÓRMULA MANUAL]","",IFERROR(AVERAGEIFS(DATOS!$K$2:$K$20000,DATOS!$A$2:$A$20000,AE645,DATOS!$G$2:$G$20000,CONFIG_METADATA!$B$4,DATOS!$I$2:$I$20000,"Análisis"),"")))</f>
        <v/>
      </c>
      <c r="AG645" t="str">
        <f>IF(AE645="","",IF(AE645="[FÓRMULA MANUAL]","",IFERROR(AVERAGEIFS(DATOS!$K$2:$K$20000,DATOS!$A$2:$A$20000,AE645,DATOS!$G$2:$G$20000,CONFIG_METADATA!$B$4,DATOS!$I$2:$I$20000,"Orquesta/Banda/Conjunto"),"")))</f>
        <v/>
      </c>
      <c r="AH645" t="str">
        <f>IF(AE645="","",IF(AE645="[FÓRMULA MANUAL]","",IFERROR(AVERAGEIFS(DATOS!$K$2:$K$20000,DATOS!$A$2:$A$20000,AE645,DATOS!$G$2:$G$20000,CONFIG_METADATA!$B$4,DATOS!$I$2:$I$20000,"Música de Cámara"),"")))</f>
        <v/>
      </c>
      <c r="AI645" t="str">
        <f>IF(AE645="","",IF(AE645="[FÓRMULA MANUAL]","",IFERROR(SUMPRODUCT((DATOS!$A$2:$A$20000=AE645)*(DATOS!$G$2:$G$20000=CONFIG_METADATA!$B$4)*(COUNTIF(CONFIG_ASIGNATURAS!$B$7:$B$27,DATOS!$I$2:$I$20000)&gt;0)*(DATOS!$K$2:$K$20000))/SUMPRODUCT((DATOS!$A$2:$A$20000=AE645)*(DATOS!$G$2:$G$20000=CONFIG_METADATA!$B$4)*(COUNTIF(CONFIG_ASIGNATURAS!$B$7:$B$27,DATOS!$I$2:$I$20000)&gt;0)*1),"")))</f>
        <v/>
      </c>
    </row>
    <row r="646" spans="2:35" x14ac:dyDescent="0.2">
      <c r="B646" t="str">
        <f>IF(A646="","",IF(A646="[FÓRMULA MANUAL]","",IFERROR(AVERAGEIFS(DATOS!$K$2:$K$20000,DATOS!$A$2:$A$20000,A646,DATOS!$G$2:$G$20000,CONFIG_METADATA!$B$4,DATOS!$I$2:$I$20000,"Lenguaje Musical"),"")))</f>
        <v/>
      </c>
      <c r="C646" t="str">
        <f>IF(A646="","",IF(A646="[FÓRMULA MANUAL]","",IFERROR(AVERAGEIFS(DATOS!$K$2:$K$20000,DATOS!$A$2:$A$20000,A646,DATOS!$G$2:$G$20000,CONFIG_METADATA!$B$4,DATOS!$I$2:$I$20000,"Orquesta/Banda/Conjunto"),"")))</f>
        <v/>
      </c>
      <c r="D646" t="str">
        <f>IF(A646="","",IF(A646="[FÓRMULA MANUAL]","",IFERROR(AVERAGEIFS(DATOS!$K$2:$K$20000,DATOS!$A$2:$A$20000,A646,DATOS!$G$2:$G$20000,CONFIG_METADATA!$B$4,DATOS!$I$2:$I$20000,"Conjunto"),"")))</f>
        <v/>
      </c>
      <c r="E646" t="str">
        <f>IF(A646="","",IF(A646="[FÓRMULA MANUAL]","",IFERROR(SUMPRODUCT((DATOS!$A$2:$A$20000=A646)*(DATOS!$G$2:$G$20000=CONFIG_METADATA!$B$4)*(COUNTIF(CONFIG_ASIGNATURAS!$B$7:$B$27,DATOS!$I$2:$I$20000)&gt;0)*(DATOS!$K$2:$K$20000))/SUMPRODUCT((DATOS!$A$2:$A$20000=A646)*(DATOS!$G$2:$G$20000=CONFIG_METADATA!$B$4)*(COUNTIF(CONFIG_ASIGNATURAS!$B$7:$B$27,DATOS!$I$2:$I$20000)&gt;0)*1),"")))</f>
        <v/>
      </c>
      <c r="H646" t="str">
        <f>IF(G646="","",IF(G646="[FÓRMULA MANUAL]","",IFERROR(AVERAGEIFS(DATOS!$K$2:$K$20000,DATOS!$A$2:$A$20000,G646,DATOS!$G$2:$G$20000,CONFIG_METADATA!$B$4,DATOS!$I$2:$I$20000,"Lenguaje Musical"),"")))</f>
        <v/>
      </c>
      <c r="I646" t="str">
        <f>IF(G646="","",IF(G646="[FÓRMULA MANUAL]","",IFERROR(AVERAGEIFS(DATOS!$K$2:$K$20000,DATOS!$A$2:$A$20000,G646,DATOS!$G$2:$G$20000,CONFIG_METADATA!$B$4,DATOS!$I$2:$I$20000,"Orquesta/Banda/Conjunto"),"")))</f>
        <v/>
      </c>
      <c r="J646" t="str">
        <f>IF(G646="","",IF(G646="[FÓRMULA MANUAL]","",IFERROR(AVERAGEIFS(DATOS!$K$2:$K$20000,DATOS!$A$2:$A$20000,G646,DATOS!$G$2:$G$20000,CONFIG_METADATA!$B$4,DATOS!$I$2:$I$20000,"Conjunto"),"")))</f>
        <v/>
      </c>
      <c r="K646" t="str">
        <f>IF(G646="","",IF(G646="[FÓRMULA MANUAL]","",IFERROR(SUMPRODUCT((DATOS!$A$2:$A$20000=G646)*(DATOS!$G$2:$G$20000=CONFIG_METADATA!$B$4)*(COUNTIF(CONFIG_ASIGNATURAS!$B$7:$B$27,DATOS!$I$2:$I$20000)&gt;0)*(DATOS!$K$2:$K$20000))/SUMPRODUCT((DATOS!$A$2:$A$20000=G646)*(DATOS!$G$2:$G$20000=CONFIG_METADATA!$B$4)*(COUNTIF(CONFIG_ASIGNATURAS!$B$7:$B$27,DATOS!$I$2:$I$20000)&gt;0)*1),"")))</f>
        <v/>
      </c>
      <c r="N646" t="str">
        <f>IF(M646="","",IF(M646="[FÓRMULA MANUAL]","",IFERROR(AVERAGEIFS(DATOS!$K$2:$K$20000,DATOS!$A$2:$A$20000,M646,DATOS!$G$2:$G$20000,CONFIG_METADATA!$B$4,DATOS!$I$2:$I$20000,"Armonía"),"")))</f>
        <v/>
      </c>
      <c r="O646" t="str">
        <f>IF(M646="","",IF(M646="[FÓRMULA MANUAL]","",IFERROR(AVERAGEIFS(DATOS!$K$2:$K$20000,DATOS!$A$2:$A$20000,M646,DATOS!$G$2:$G$20000,CONFIG_METADATA!$B$4,DATOS!$I$2:$I$20000,"Orquesta/Banda/Conjunto"),"")))</f>
        <v/>
      </c>
      <c r="P646" t="str">
        <f>IF(M646="","",IF(M646="[FÓRMULA MANUAL]","",IFERROR(AVERAGEIFS(DATOS!$K$2:$K$20000,DATOS!$A$2:$A$20000,M646,DATOS!$G$2:$G$20000,CONFIG_METADATA!$B$4,DATOS!$I$2:$I$20000,"Música de Cámara"),"")))</f>
        <v/>
      </c>
      <c r="Q646" t="str">
        <f>IF(M646="","",IF(M646="[FÓRMULA MANUAL]","",IFERROR(SUMPRODUCT((DATOS!$A$2:$A$20000=M646)*(DATOS!$G$2:$G$20000=CONFIG_METADATA!$B$4)*(COUNTIF(CONFIG_ASIGNATURAS!$B$7:$B$27,DATOS!$I$2:$I$20000)&gt;0)*(DATOS!$K$2:$K$20000))/SUMPRODUCT((DATOS!$A$2:$A$20000=M646)*(DATOS!$G$2:$G$20000=CONFIG_METADATA!$B$4)*(COUNTIF(CONFIG_ASIGNATURAS!$B$7:$B$27,DATOS!$I$2:$I$20000)&gt;0)*1),"")))</f>
        <v/>
      </c>
      <c r="T646" t="str">
        <f>IF(S646="","",IF(S646="[FÓRMULA MANUAL]","",IFERROR(AVERAGEIFS(DATOS!$K$2:$K$20000,DATOS!$A$2:$A$20000,S646,DATOS!$G$2:$G$20000,CONFIG_METADATA!$B$4,DATOS!$I$2:$I$20000,"Armonía"),"")))</f>
        <v/>
      </c>
      <c r="U646" t="str">
        <f>IF(S646="","",IF(S646="[FÓRMULA MANUAL]","",IFERROR(AVERAGEIFS(DATOS!$K$2:$K$20000,DATOS!$A$2:$A$20000,S646,DATOS!$G$2:$G$20000,CONFIG_METADATA!$B$4,DATOS!$I$2:$I$20000,"Orquesta/Banda/Conjunto"),"")))</f>
        <v/>
      </c>
      <c r="V646" t="str">
        <f>IF(S646="","",IF(S646="[FÓRMULA MANUAL]","",IFERROR(AVERAGEIFS(DATOS!$K$2:$K$20000,DATOS!$A$2:$A$20000,S646,DATOS!$G$2:$G$20000,CONFIG_METADATA!$B$4,DATOS!$I$2:$I$20000,"Música de Cámara"),"")))</f>
        <v/>
      </c>
      <c r="W646" t="str">
        <f>IF(S646="","",IF(S646="[FÓRMULA MANUAL]","",IFERROR(SUMPRODUCT((DATOS!$A$2:$A$20000=S646)*(DATOS!$G$2:$G$20000=CONFIG_METADATA!$B$4)*(COUNTIF(CONFIG_ASIGNATURAS!$B$7:$B$27,DATOS!$I$2:$I$20000)&gt;0)*(DATOS!$K$2:$K$20000))/SUMPRODUCT((DATOS!$A$2:$A$20000=S646)*(DATOS!$G$2:$G$20000=CONFIG_METADATA!$B$4)*(COUNTIF(CONFIG_ASIGNATURAS!$B$7:$B$27,DATOS!$I$2:$I$20000)&gt;0)*1),"")))</f>
        <v/>
      </c>
      <c r="Z646" t="str">
        <f>IF(Y646="","",IF(Y646="[FÓRMULA MANUAL]","",IFERROR(AVERAGEIFS(DATOS!$K$2:$K$20000,DATOS!$A$2:$A$20000,Y646,DATOS!$G$2:$G$20000,CONFIG_METADATA!$B$4,DATOS!$I$2:$I$20000,"Análisis"),"")))</f>
        <v/>
      </c>
      <c r="AA646" t="str">
        <f>IF(Y646="","",IF(Y646="[FÓRMULA MANUAL]","",IFERROR(AVERAGEIFS(DATOS!$K$2:$K$20000,DATOS!$A$2:$A$20000,Y646,DATOS!$G$2:$G$20000,CONFIG_METADATA!$B$4,DATOS!$I$2:$I$20000,"Orquesta/Banda/Conjunto"),"")))</f>
        <v/>
      </c>
      <c r="AB646" t="str">
        <f>IF(Y646="","",IF(Y646="[FÓRMULA MANUAL]","",IFERROR(AVERAGEIFS(DATOS!$K$2:$K$20000,DATOS!$A$2:$A$20000,Y646,DATOS!$G$2:$G$20000,CONFIG_METADATA!$B$4,DATOS!$I$2:$I$20000,"Música de Cámara"),"")))</f>
        <v/>
      </c>
      <c r="AC646" t="str">
        <f>IF(Y646="","",IF(Y646="[FÓRMULA MANUAL]","",IFERROR(SUMPRODUCT((DATOS!$A$2:$A$20000=Y646)*(DATOS!$G$2:$G$20000=CONFIG_METADATA!$B$4)*(COUNTIF(CONFIG_ASIGNATURAS!$B$7:$B$27,DATOS!$I$2:$I$20000)&gt;0)*(DATOS!$K$2:$K$20000))/SUMPRODUCT((DATOS!$A$2:$A$20000=Y646)*(DATOS!$G$2:$G$20000=CONFIG_METADATA!$B$4)*(COUNTIF(CONFIG_ASIGNATURAS!$B$7:$B$27,DATOS!$I$2:$I$20000)&gt;0)*1),"")))</f>
        <v/>
      </c>
      <c r="AF646" t="str">
        <f>IF(AE646="","",IF(AE646="[FÓRMULA MANUAL]","",IFERROR(AVERAGEIFS(DATOS!$K$2:$K$20000,DATOS!$A$2:$A$20000,AE646,DATOS!$G$2:$G$20000,CONFIG_METADATA!$B$4,DATOS!$I$2:$I$20000,"Análisis"),"")))</f>
        <v/>
      </c>
      <c r="AG646" t="str">
        <f>IF(AE646="","",IF(AE646="[FÓRMULA MANUAL]","",IFERROR(AVERAGEIFS(DATOS!$K$2:$K$20000,DATOS!$A$2:$A$20000,AE646,DATOS!$G$2:$G$20000,CONFIG_METADATA!$B$4,DATOS!$I$2:$I$20000,"Orquesta/Banda/Conjunto"),"")))</f>
        <v/>
      </c>
      <c r="AH646" t="str">
        <f>IF(AE646="","",IF(AE646="[FÓRMULA MANUAL]","",IFERROR(AVERAGEIFS(DATOS!$K$2:$K$20000,DATOS!$A$2:$A$20000,AE646,DATOS!$G$2:$G$20000,CONFIG_METADATA!$B$4,DATOS!$I$2:$I$20000,"Música de Cámara"),"")))</f>
        <v/>
      </c>
      <c r="AI646" t="str">
        <f>IF(AE646="","",IF(AE646="[FÓRMULA MANUAL]","",IFERROR(SUMPRODUCT((DATOS!$A$2:$A$20000=AE646)*(DATOS!$G$2:$G$20000=CONFIG_METADATA!$B$4)*(COUNTIF(CONFIG_ASIGNATURAS!$B$7:$B$27,DATOS!$I$2:$I$20000)&gt;0)*(DATOS!$K$2:$K$20000))/SUMPRODUCT((DATOS!$A$2:$A$20000=AE646)*(DATOS!$G$2:$G$20000=CONFIG_METADATA!$B$4)*(COUNTIF(CONFIG_ASIGNATURAS!$B$7:$B$27,DATOS!$I$2:$I$20000)&gt;0)*1),"")))</f>
        <v/>
      </c>
    </row>
    <row r="647" spans="2:35" x14ac:dyDescent="0.2">
      <c r="B647" t="str">
        <f>IF(A647="","",IF(A647="[FÓRMULA MANUAL]","",IFERROR(AVERAGEIFS(DATOS!$K$2:$K$20000,DATOS!$A$2:$A$20000,A647,DATOS!$G$2:$G$20000,CONFIG_METADATA!$B$4,DATOS!$I$2:$I$20000,"Lenguaje Musical"),"")))</f>
        <v/>
      </c>
      <c r="C647" t="str">
        <f>IF(A647="","",IF(A647="[FÓRMULA MANUAL]","",IFERROR(AVERAGEIFS(DATOS!$K$2:$K$20000,DATOS!$A$2:$A$20000,A647,DATOS!$G$2:$G$20000,CONFIG_METADATA!$B$4,DATOS!$I$2:$I$20000,"Orquesta/Banda/Conjunto"),"")))</f>
        <v/>
      </c>
      <c r="D647" t="str">
        <f>IF(A647="","",IF(A647="[FÓRMULA MANUAL]","",IFERROR(AVERAGEIFS(DATOS!$K$2:$K$20000,DATOS!$A$2:$A$20000,A647,DATOS!$G$2:$G$20000,CONFIG_METADATA!$B$4,DATOS!$I$2:$I$20000,"Conjunto"),"")))</f>
        <v/>
      </c>
      <c r="E647" t="str">
        <f>IF(A647="","",IF(A647="[FÓRMULA MANUAL]","",IFERROR(SUMPRODUCT((DATOS!$A$2:$A$20000=A647)*(DATOS!$G$2:$G$20000=CONFIG_METADATA!$B$4)*(COUNTIF(CONFIG_ASIGNATURAS!$B$7:$B$27,DATOS!$I$2:$I$20000)&gt;0)*(DATOS!$K$2:$K$20000))/SUMPRODUCT((DATOS!$A$2:$A$20000=A647)*(DATOS!$G$2:$G$20000=CONFIG_METADATA!$B$4)*(COUNTIF(CONFIG_ASIGNATURAS!$B$7:$B$27,DATOS!$I$2:$I$20000)&gt;0)*1),"")))</f>
        <v/>
      </c>
      <c r="H647" t="str">
        <f>IF(G647="","",IF(G647="[FÓRMULA MANUAL]","",IFERROR(AVERAGEIFS(DATOS!$K$2:$K$20000,DATOS!$A$2:$A$20000,G647,DATOS!$G$2:$G$20000,CONFIG_METADATA!$B$4,DATOS!$I$2:$I$20000,"Lenguaje Musical"),"")))</f>
        <v/>
      </c>
      <c r="I647" t="str">
        <f>IF(G647="","",IF(G647="[FÓRMULA MANUAL]","",IFERROR(AVERAGEIFS(DATOS!$K$2:$K$20000,DATOS!$A$2:$A$20000,G647,DATOS!$G$2:$G$20000,CONFIG_METADATA!$B$4,DATOS!$I$2:$I$20000,"Orquesta/Banda/Conjunto"),"")))</f>
        <v/>
      </c>
      <c r="J647" t="str">
        <f>IF(G647="","",IF(G647="[FÓRMULA MANUAL]","",IFERROR(AVERAGEIFS(DATOS!$K$2:$K$20000,DATOS!$A$2:$A$20000,G647,DATOS!$G$2:$G$20000,CONFIG_METADATA!$B$4,DATOS!$I$2:$I$20000,"Conjunto"),"")))</f>
        <v/>
      </c>
      <c r="K647" t="str">
        <f>IF(G647="","",IF(G647="[FÓRMULA MANUAL]","",IFERROR(SUMPRODUCT((DATOS!$A$2:$A$20000=G647)*(DATOS!$G$2:$G$20000=CONFIG_METADATA!$B$4)*(COUNTIF(CONFIG_ASIGNATURAS!$B$7:$B$27,DATOS!$I$2:$I$20000)&gt;0)*(DATOS!$K$2:$K$20000))/SUMPRODUCT((DATOS!$A$2:$A$20000=G647)*(DATOS!$G$2:$G$20000=CONFIG_METADATA!$B$4)*(COUNTIF(CONFIG_ASIGNATURAS!$B$7:$B$27,DATOS!$I$2:$I$20000)&gt;0)*1),"")))</f>
        <v/>
      </c>
      <c r="N647" t="str">
        <f>IF(M647="","",IF(M647="[FÓRMULA MANUAL]","",IFERROR(AVERAGEIFS(DATOS!$K$2:$K$20000,DATOS!$A$2:$A$20000,M647,DATOS!$G$2:$G$20000,CONFIG_METADATA!$B$4,DATOS!$I$2:$I$20000,"Armonía"),"")))</f>
        <v/>
      </c>
      <c r="O647" t="str">
        <f>IF(M647="","",IF(M647="[FÓRMULA MANUAL]","",IFERROR(AVERAGEIFS(DATOS!$K$2:$K$20000,DATOS!$A$2:$A$20000,M647,DATOS!$G$2:$G$20000,CONFIG_METADATA!$B$4,DATOS!$I$2:$I$20000,"Orquesta/Banda/Conjunto"),"")))</f>
        <v/>
      </c>
      <c r="P647" t="str">
        <f>IF(M647="","",IF(M647="[FÓRMULA MANUAL]","",IFERROR(AVERAGEIFS(DATOS!$K$2:$K$20000,DATOS!$A$2:$A$20000,M647,DATOS!$G$2:$G$20000,CONFIG_METADATA!$B$4,DATOS!$I$2:$I$20000,"Música de Cámara"),"")))</f>
        <v/>
      </c>
      <c r="Q647" t="str">
        <f>IF(M647="","",IF(M647="[FÓRMULA MANUAL]","",IFERROR(SUMPRODUCT((DATOS!$A$2:$A$20000=M647)*(DATOS!$G$2:$G$20000=CONFIG_METADATA!$B$4)*(COUNTIF(CONFIG_ASIGNATURAS!$B$7:$B$27,DATOS!$I$2:$I$20000)&gt;0)*(DATOS!$K$2:$K$20000))/SUMPRODUCT((DATOS!$A$2:$A$20000=M647)*(DATOS!$G$2:$G$20000=CONFIG_METADATA!$B$4)*(COUNTIF(CONFIG_ASIGNATURAS!$B$7:$B$27,DATOS!$I$2:$I$20000)&gt;0)*1),"")))</f>
        <v/>
      </c>
      <c r="T647" t="str">
        <f>IF(S647="","",IF(S647="[FÓRMULA MANUAL]","",IFERROR(AVERAGEIFS(DATOS!$K$2:$K$20000,DATOS!$A$2:$A$20000,S647,DATOS!$G$2:$G$20000,CONFIG_METADATA!$B$4,DATOS!$I$2:$I$20000,"Armonía"),"")))</f>
        <v/>
      </c>
      <c r="U647" t="str">
        <f>IF(S647="","",IF(S647="[FÓRMULA MANUAL]","",IFERROR(AVERAGEIFS(DATOS!$K$2:$K$20000,DATOS!$A$2:$A$20000,S647,DATOS!$G$2:$G$20000,CONFIG_METADATA!$B$4,DATOS!$I$2:$I$20000,"Orquesta/Banda/Conjunto"),"")))</f>
        <v/>
      </c>
      <c r="V647" t="str">
        <f>IF(S647="","",IF(S647="[FÓRMULA MANUAL]","",IFERROR(AVERAGEIFS(DATOS!$K$2:$K$20000,DATOS!$A$2:$A$20000,S647,DATOS!$G$2:$G$20000,CONFIG_METADATA!$B$4,DATOS!$I$2:$I$20000,"Música de Cámara"),"")))</f>
        <v/>
      </c>
      <c r="W647" t="str">
        <f>IF(S647="","",IF(S647="[FÓRMULA MANUAL]","",IFERROR(SUMPRODUCT((DATOS!$A$2:$A$20000=S647)*(DATOS!$G$2:$G$20000=CONFIG_METADATA!$B$4)*(COUNTIF(CONFIG_ASIGNATURAS!$B$7:$B$27,DATOS!$I$2:$I$20000)&gt;0)*(DATOS!$K$2:$K$20000))/SUMPRODUCT((DATOS!$A$2:$A$20000=S647)*(DATOS!$G$2:$G$20000=CONFIG_METADATA!$B$4)*(COUNTIF(CONFIG_ASIGNATURAS!$B$7:$B$27,DATOS!$I$2:$I$20000)&gt;0)*1),"")))</f>
        <v/>
      </c>
      <c r="Z647" t="str">
        <f>IF(Y647="","",IF(Y647="[FÓRMULA MANUAL]","",IFERROR(AVERAGEIFS(DATOS!$K$2:$K$20000,DATOS!$A$2:$A$20000,Y647,DATOS!$G$2:$G$20000,CONFIG_METADATA!$B$4,DATOS!$I$2:$I$20000,"Análisis"),"")))</f>
        <v/>
      </c>
      <c r="AA647" t="str">
        <f>IF(Y647="","",IF(Y647="[FÓRMULA MANUAL]","",IFERROR(AVERAGEIFS(DATOS!$K$2:$K$20000,DATOS!$A$2:$A$20000,Y647,DATOS!$G$2:$G$20000,CONFIG_METADATA!$B$4,DATOS!$I$2:$I$20000,"Orquesta/Banda/Conjunto"),"")))</f>
        <v/>
      </c>
      <c r="AB647" t="str">
        <f>IF(Y647="","",IF(Y647="[FÓRMULA MANUAL]","",IFERROR(AVERAGEIFS(DATOS!$K$2:$K$20000,DATOS!$A$2:$A$20000,Y647,DATOS!$G$2:$G$20000,CONFIG_METADATA!$B$4,DATOS!$I$2:$I$20000,"Música de Cámara"),"")))</f>
        <v/>
      </c>
      <c r="AC647" t="str">
        <f>IF(Y647="","",IF(Y647="[FÓRMULA MANUAL]","",IFERROR(SUMPRODUCT((DATOS!$A$2:$A$20000=Y647)*(DATOS!$G$2:$G$20000=CONFIG_METADATA!$B$4)*(COUNTIF(CONFIG_ASIGNATURAS!$B$7:$B$27,DATOS!$I$2:$I$20000)&gt;0)*(DATOS!$K$2:$K$20000))/SUMPRODUCT((DATOS!$A$2:$A$20000=Y647)*(DATOS!$G$2:$G$20000=CONFIG_METADATA!$B$4)*(COUNTIF(CONFIG_ASIGNATURAS!$B$7:$B$27,DATOS!$I$2:$I$20000)&gt;0)*1),"")))</f>
        <v/>
      </c>
      <c r="AF647" t="str">
        <f>IF(AE647="","",IF(AE647="[FÓRMULA MANUAL]","",IFERROR(AVERAGEIFS(DATOS!$K$2:$K$20000,DATOS!$A$2:$A$20000,AE647,DATOS!$G$2:$G$20000,CONFIG_METADATA!$B$4,DATOS!$I$2:$I$20000,"Análisis"),"")))</f>
        <v/>
      </c>
      <c r="AG647" t="str">
        <f>IF(AE647="","",IF(AE647="[FÓRMULA MANUAL]","",IFERROR(AVERAGEIFS(DATOS!$K$2:$K$20000,DATOS!$A$2:$A$20000,AE647,DATOS!$G$2:$G$20000,CONFIG_METADATA!$B$4,DATOS!$I$2:$I$20000,"Orquesta/Banda/Conjunto"),"")))</f>
        <v/>
      </c>
      <c r="AH647" t="str">
        <f>IF(AE647="","",IF(AE647="[FÓRMULA MANUAL]","",IFERROR(AVERAGEIFS(DATOS!$K$2:$K$20000,DATOS!$A$2:$A$20000,AE647,DATOS!$G$2:$G$20000,CONFIG_METADATA!$B$4,DATOS!$I$2:$I$20000,"Música de Cámara"),"")))</f>
        <v/>
      </c>
      <c r="AI647" t="str">
        <f>IF(AE647="","",IF(AE647="[FÓRMULA MANUAL]","",IFERROR(SUMPRODUCT((DATOS!$A$2:$A$20000=AE647)*(DATOS!$G$2:$G$20000=CONFIG_METADATA!$B$4)*(COUNTIF(CONFIG_ASIGNATURAS!$B$7:$B$27,DATOS!$I$2:$I$20000)&gt;0)*(DATOS!$K$2:$K$20000))/SUMPRODUCT((DATOS!$A$2:$A$20000=AE647)*(DATOS!$G$2:$G$20000=CONFIG_METADATA!$B$4)*(COUNTIF(CONFIG_ASIGNATURAS!$B$7:$B$27,DATOS!$I$2:$I$20000)&gt;0)*1),"")))</f>
        <v/>
      </c>
    </row>
    <row r="648" spans="2:35" x14ac:dyDescent="0.2">
      <c r="B648" t="str">
        <f>IF(A648="","",IF(A648="[FÓRMULA MANUAL]","",IFERROR(AVERAGEIFS(DATOS!$K$2:$K$20000,DATOS!$A$2:$A$20000,A648,DATOS!$G$2:$G$20000,CONFIG_METADATA!$B$4,DATOS!$I$2:$I$20000,"Lenguaje Musical"),"")))</f>
        <v/>
      </c>
      <c r="C648" t="str">
        <f>IF(A648="","",IF(A648="[FÓRMULA MANUAL]","",IFERROR(AVERAGEIFS(DATOS!$K$2:$K$20000,DATOS!$A$2:$A$20000,A648,DATOS!$G$2:$G$20000,CONFIG_METADATA!$B$4,DATOS!$I$2:$I$20000,"Orquesta/Banda/Conjunto"),"")))</f>
        <v/>
      </c>
      <c r="D648" t="str">
        <f>IF(A648="","",IF(A648="[FÓRMULA MANUAL]","",IFERROR(AVERAGEIFS(DATOS!$K$2:$K$20000,DATOS!$A$2:$A$20000,A648,DATOS!$G$2:$G$20000,CONFIG_METADATA!$B$4,DATOS!$I$2:$I$20000,"Conjunto"),"")))</f>
        <v/>
      </c>
      <c r="E648" t="str">
        <f>IF(A648="","",IF(A648="[FÓRMULA MANUAL]","",IFERROR(SUMPRODUCT((DATOS!$A$2:$A$20000=A648)*(DATOS!$G$2:$G$20000=CONFIG_METADATA!$B$4)*(COUNTIF(CONFIG_ASIGNATURAS!$B$7:$B$27,DATOS!$I$2:$I$20000)&gt;0)*(DATOS!$K$2:$K$20000))/SUMPRODUCT((DATOS!$A$2:$A$20000=A648)*(DATOS!$G$2:$G$20000=CONFIG_METADATA!$B$4)*(COUNTIF(CONFIG_ASIGNATURAS!$B$7:$B$27,DATOS!$I$2:$I$20000)&gt;0)*1),"")))</f>
        <v/>
      </c>
      <c r="H648" t="str">
        <f>IF(G648="","",IF(G648="[FÓRMULA MANUAL]","",IFERROR(AVERAGEIFS(DATOS!$K$2:$K$20000,DATOS!$A$2:$A$20000,G648,DATOS!$G$2:$G$20000,CONFIG_METADATA!$B$4,DATOS!$I$2:$I$20000,"Lenguaje Musical"),"")))</f>
        <v/>
      </c>
      <c r="I648" t="str">
        <f>IF(G648="","",IF(G648="[FÓRMULA MANUAL]","",IFERROR(AVERAGEIFS(DATOS!$K$2:$K$20000,DATOS!$A$2:$A$20000,G648,DATOS!$G$2:$G$20000,CONFIG_METADATA!$B$4,DATOS!$I$2:$I$20000,"Orquesta/Banda/Conjunto"),"")))</f>
        <v/>
      </c>
      <c r="J648" t="str">
        <f>IF(G648="","",IF(G648="[FÓRMULA MANUAL]","",IFERROR(AVERAGEIFS(DATOS!$K$2:$K$20000,DATOS!$A$2:$A$20000,G648,DATOS!$G$2:$G$20000,CONFIG_METADATA!$B$4,DATOS!$I$2:$I$20000,"Conjunto"),"")))</f>
        <v/>
      </c>
      <c r="K648" t="str">
        <f>IF(G648="","",IF(G648="[FÓRMULA MANUAL]","",IFERROR(SUMPRODUCT((DATOS!$A$2:$A$20000=G648)*(DATOS!$G$2:$G$20000=CONFIG_METADATA!$B$4)*(COUNTIF(CONFIG_ASIGNATURAS!$B$7:$B$27,DATOS!$I$2:$I$20000)&gt;0)*(DATOS!$K$2:$K$20000))/SUMPRODUCT((DATOS!$A$2:$A$20000=G648)*(DATOS!$G$2:$G$20000=CONFIG_METADATA!$B$4)*(COUNTIF(CONFIG_ASIGNATURAS!$B$7:$B$27,DATOS!$I$2:$I$20000)&gt;0)*1),"")))</f>
        <v/>
      </c>
      <c r="N648" t="str">
        <f>IF(M648="","",IF(M648="[FÓRMULA MANUAL]","",IFERROR(AVERAGEIFS(DATOS!$K$2:$K$20000,DATOS!$A$2:$A$20000,M648,DATOS!$G$2:$G$20000,CONFIG_METADATA!$B$4,DATOS!$I$2:$I$20000,"Armonía"),"")))</f>
        <v/>
      </c>
      <c r="O648" t="str">
        <f>IF(M648="","",IF(M648="[FÓRMULA MANUAL]","",IFERROR(AVERAGEIFS(DATOS!$K$2:$K$20000,DATOS!$A$2:$A$20000,M648,DATOS!$G$2:$G$20000,CONFIG_METADATA!$B$4,DATOS!$I$2:$I$20000,"Orquesta/Banda/Conjunto"),"")))</f>
        <v/>
      </c>
      <c r="P648" t="str">
        <f>IF(M648="","",IF(M648="[FÓRMULA MANUAL]","",IFERROR(AVERAGEIFS(DATOS!$K$2:$K$20000,DATOS!$A$2:$A$20000,M648,DATOS!$G$2:$G$20000,CONFIG_METADATA!$B$4,DATOS!$I$2:$I$20000,"Música de Cámara"),"")))</f>
        <v/>
      </c>
      <c r="Q648" t="str">
        <f>IF(M648="","",IF(M648="[FÓRMULA MANUAL]","",IFERROR(SUMPRODUCT((DATOS!$A$2:$A$20000=M648)*(DATOS!$G$2:$G$20000=CONFIG_METADATA!$B$4)*(COUNTIF(CONFIG_ASIGNATURAS!$B$7:$B$27,DATOS!$I$2:$I$20000)&gt;0)*(DATOS!$K$2:$K$20000))/SUMPRODUCT((DATOS!$A$2:$A$20000=M648)*(DATOS!$G$2:$G$20000=CONFIG_METADATA!$B$4)*(COUNTIF(CONFIG_ASIGNATURAS!$B$7:$B$27,DATOS!$I$2:$I$20000)&gt;0)*1),"")))</f>
        <v/>
      </c>
      <c r="T648" t="str">
        <f>IF(S648="","",IF(S648="[FÓRMULA MANUAL]","",IFERROR(AVERAGEIFS(DATOS!$K$2:$K$20000,DATOS!$A$2:$A$20000,S648,DATOS!$G$2:$G$20000,CONFIG_METADATA!$B$4,DATOS!$I$2:$I$20000,"Armonía"),"")))</f>
        <v/>
      </c>
      <c r="U648" t="str">
        <f>IF(S648="","",IF(S648="[FÓRMULA MANUAL]","",IFERROR(AVERAGEIFS(DATOS!$K$2:$K$20000,DATOS!$A$2:$A$20000,S648,DATOS!$G$2:$G$20000,CONFIG_METADATA!$B$4,DATOS!$I$2:$I$20000,"Orquesta/Banda/Conjunto"),"")))</f>
        <v/>
      </c>
      <c r="V648" t="str">
        <f>IF(S648="","",IF(S648="[FÓRMULA MANUAL]","",IFERROR(AVERAGEIFS(DATOS!$K$2:$K$20000,DATOS!$A$2:$A$20000,S648,DATOS!$G$2:$G$20000,CONFIG_METADATA!$B$4,DATOS!$I$2:$I$20000,"Música de Cámara"),"")))</f>
        <v/>
      </c>
      <c r="W648" t="str">
        <f>IF(S648="","",IF(S648="[FÓRMULA MANUAL]","",IFERROR(SUMPRODUCT((DATOS!$A$2:$A$20000=S648)*(DATOS!$G$2:$G$20000=CONFIG_METADATA!$B$4)*(COUNTIF(CONFIG_ASIGNATURAS!$B$7:$B$27,DATOS!$I$2:$I$20000)&gt;0)*(DATOS!$K$2:$K$20000))/SUMPRODUCT((DATOS!$A$2:$A$20000=S648)*(DATOS!$G$2:$G$20000=CONFIG_METADATA!$B$4)*(COUNTIF(CONFIG_ASIGNATURAS!$B$7:$B$27,DATOS!$I$2:$I$20000)&gt;0)*1),"")))</f>
        <v/>
      </c>
      <c r="Z648" t="str">
        <f>IF(Y648="","",IF(Y648="[FÓRMULA MANUAL]","",IFERROR(AVERAGEIFS(DATOS!$K$2:$K$20000,DATOS!$A$2:$A$20000,Y648,DATOS!$G$2:$G$20000,CONFIG_METADATA!$B$4,DATOS!$I$2:$I$20000,"Análisis"),"")))</f>
        <v/>
      </c>
      <c r="AA648" t="str">
        <f>IF(Y648="","",IF(Y648="[FÓRMULA MANUAL]","",IFERROR(AVERAGEIFS(DATOS!$K$2:$K$20000,DATOS!$A$2:$A$20000,Y648,DATOS!$G$2:$G$20000,CONFIG_METADATA!$B$4,DATOS!$I$2:$I$20000,"Orquesta/Banda/Conjunto"),"")))</f>
        <v/>
      </c>
      <c r="AB648" t="str">
        <f>IF(Y648="","",IF(Y648="[FÓRMULA MANUAL]","",IFERROR(AVERAGEIFS(DATOS!$K$2:$K$20000,DATOS!$A$2:$A$20000,Y648,DATOS!$G$2:$G$20000,CONFIG_METADATA!$B$4,DATOS!$I$2:$I$20000,"Música de Cámara"),"")))</f>
        <v/>
      </c>
      <c r="AC648" t="str">
        <f>IF(Y648="","",IF(Y648="[FÓRMULA MANUAL]","",IFERROR(SUMPRODUCT((DATOS!$A$2:$A$20000=Y648)*(DATOS!$G$2:$G$20000=CONFIG_METADATA!$B$4)*(COUNTIF(CONFIG_ASIGNATURAS!$B$7:$B$27,DATOS!$I$2:$I$20000)&gt;0)*(DATOS!$K$2:$K$20000))/SUMPRODUCT((DATOS!$A$2:$A$20000=Y648)*(DATOS!$G$2:$G$20000=CONFIG_METADATA!$B$4)*(COUNTIF(CONFIG_ASIGNATURAS!$B$7:$B$27,DATOS!$I$2:$I$20000)&gt;0)*1),"")))</f>
        <v/>
      </c>
      <c r="AF648" t="str">
        <f>IF(AE648="","",IF(AE648="[FÓRMULA MANUAL]","",IFERROR(AVERAGEIFS(DATOS!$K$2:$K$20000,DATOS!$A$2:$A$20000,AE648,DATOS!$G$2:$G$20000,CONFIG_METADATA!$B$4,DATOS!$I$2:$I$20000,"Análisis"),"")))</f>
        <v/>
      </c>
      <c r="AG648" t="str">
        <f>IF(AE648="","",IF(AE648="[FÓRMULA MANUAL]","",IFERROR(AVERAGEIFS(DATOS!$K$2:$K$20000,DATOS!$A$2:$A$20000,AE648,DATOS!$G$2:$G$20000,CONFIG_METADATA!$B$4,DATOS!$I$2:$I$20000,"Orquesta/Banda/Conjunto"),"")))</f>
        <v/>
      </c>
      <c r="AH648" t="str">
        <f>IF(AE648="","",IF(AE648="[FÓRMULA MANUAL]","",IFERROR(AVERAGEIFS(DATOS!$K$2:$K$20000,DATOS!$A$2:$A$20000,AE648,DATOS!$G$2:$G$20000,CONFIG_METADATA!$B$4,DATOS!$I$2:$I$20000,"Música de Cámara"),"")))</f>
        <v/>
      </c>
      <c r="AI648" t="str">
        <f>IF(AE648="","",IF(AE648="[FÓRMULA MANUAL]","",IFERROR(SUMPRODUCT((DATOS!$A$2:$A$20000=AE648)*(DATOS!$G$2:$G$20000=CONFIG_METADATA!$B$4)*(COUNTIF(CONFIG_ASIGNATURAS!$B$7:$B$27,DATOS!$I$2:$I$20000)&gt;0)*(DATOS!$K$2:$K$20000))/SUMPRODUCT((DATOS!$A$2:$A$20000=AE648)*(DATOS!$G$2:$G$20000=CONFIG_METADATA!$B$4)*(COUNTIF(CONFIG_ASIGNATURAS!$B$7:$B$27,DATOS!$I$2:$I$20000)&gt;0)*1),"")))</f>
        <v/>
      </c>
    </row>
    <row r="649" spans="2:35" x14ac:dyDescent="0.2">
      <c r="B649" t="str">
        <f>IF(A649="","",IF(A649="[FÓRMULA MANUAL]","",IFERROR(AVERAGEIFS(DATOS!$K$2:$K$20000,DATOS!$A$2:$A$20000,A649,DATOS!$G$2:$G$20000,CONFIG_METADATA!$B$4,DATOS!$I$2:$I$20000,"Lenguaje Musical"),"")))</f>
        <v/>
      </c>
      <c r="C649" t="str">
        <f>IF(A649="","",IF(A649="[FÓRMULA MANUAL]","",IFERROR(AVERAGEIFS(DATOS!$K$2:$K$20000,DATOS!$A$2:$A$20000,A649,DATOS!$G$2:$G$20000,CONFIG_METADATA!$B$4,DATOS!$I$2:$I$20000,"Orquesta/Banda/Conjunto"),"")))</f>
        <v/>
      </c>
      <c r="D649" t="str">
        <f>IF(A649="","",IF(A649="[FÓRMULA MANUAL]","",IFERROR(AVERAGEIFS(DATOS!$K$2:$K$20000,DATOS!$A$2:$A$20000,A649,DATOS!$G$2:$G$20000,CONFIG_METADATA!$B$4,DATOS!$I$2:$I$20000,"Conjunto"),"")))</f>
        <v/>
      </c>
      <c r="E649" t="str">
        <f>IF(A649="","",IF(A649="[FÓRMULA MANUAL]","",IFERROR(SUMPRODUCT((DATOS!$A$2:$A$20000=A649)*(DATOS!$G$2:$G$20000=CONFIG_METADATA!$B$4)*(COUNTIF(CONFIG_ASIGNATURAS!$B$7:$B$27,DATOS!$I$2:$I$20000)&gt;0)*(DATOS!$K$2:$K$20000))/SUMPRODUCT((DATOS!$A$2:$A$20000=A649)*(DATOS!$G$2:$G$20000=CONFIG_METADATA!$B$4)*(COUNTIF(CONFIG_ASIGNATURAS!$B$7:$B$27,DATOS!$I$2:$I$20000)&gt;0)*1),"")))</f>
        <v/>
      </c>
      <c r="H649" t="str">
        <f>IF(G649="","",IF(G649="[FÓRMULA MANUAL]","",IFERROR(AVERAGEIFS(DATOS!$K$2:$K$20000,DATOS!$A$2:$A$20000,G649,DATOS!$G$2:$G$20000,CONFIG_METADATA!$B$4,DATOS!$I$2:$I$20000,"Lenguaje Musical"),"")))</f>
        <v/>
      </c>
      <c r="I649" t="str">
        <f>IF(G649="","",IF(G649="[FÓRMULA MANUAL]","",IFERROR(AVERAGEIFS(DATOS!$K$2:$K$20000,DATOS!$A$2:$A$20000,G649,DATOS!$G$2:$G$20000,CONFIG_METADATA!$B$4,DATOS!$I$2:$I$20000,"Orquesta/Banda/Conjunto"),"")))</f>
        <v/>
      </c>
      <c r="J649" t="str">
        <f>IF(G649="","",IF(G649="[FÓRMULA MANUAL]","",IFERROR(AVERAGEIFS(DATOS!$K$2:$K$20000,DATOS!$A$2:$A$20000,G649,DATOS!$G$2:$G$20000,CONFIG_METADATA!$B$4,DATOS!$I$2:$I$20000,"Conjunto"),"")))</f>
        <v/>
      </c>
      <c r="K649" t="str">
        <f>IF(G649="","",IF(G649="[FÓRMULA MANUAL]","",IFERROR(SUMPRODUCT((DATOS!$A$2:$A$20000=G649)*(DATOS!$G$2:$G$20000=CONFIG_METADATA!$B$4)*(COUNTIF(CONFIG_ASIGNATURAS!$B$7:$B$27,DATOS!$I$2:$I$20000)&gt;0)*(DATOS!$K$2:$K$20000))/SUMPRODUCT((DATOS!$A$2:$A$20000=G649)*(DATOS!$G$2:$G$20000=CONFIG_METADATA!$B$4)*(COUNTIF(CONFIG_ASIGNATURAS!$B$7:$B$27,DATOS!$I$2:$I$20000)&gt;0)*1),"")))</f>
        <v/>
      </c>
      <c r="N649" t="str">
        <f>IF(M649="","",IF(M649="[FÓRMULA MANUAL]","",IFERROR(AVERAGEIFS(DATOS!$K$2:$K$20000,DATOS!$A$2:$A$20000,M649,DATOS!$G$2:$G$20000,CONFIG_METADATA!$B$4,DATOS!$I$2:$I$20000,"Armonía"),"")))</f>
        <v/>
      </c>
      <c r="O649" t="str">
        <f>IF(M649="","",IF(M649="[FÓRMULA MANUAL]","",IFERROR(AVERAGEIFS(DATOS!$K$2:$K$20000,DATOS!$A$2:$A$20000,M649,DATOS!$G$2:$G$20000,CONFIG_METADATA!$B$4,DATOS!$I$2:$I$20000,"Orquesta/Banda/Conjunto"),"")))</f>
        <v/>
      </c>
      <c r="P649" t="str">
        <f>IF(M649="","",IF(M649="[FÓRMULA MANUAL]","",IFERROR(AVERAGEIFS(DATOS!$K$2:$K$20000,DATOS!$A$2:$A$20000,M649,DATOS!$G$2:$G$20000,CONFIG_METADATA!$B$4,DATOS!$I$2:$I$20000,"Música de Cámara"),"")))</f>
        <v/>
      </c>
      <c r="Q649" t="str">
        <f>IF(M649="","",IF(M649="[FÓRMULA MANUAL]","",IFERROR(SUMPRODUCT((DATOS!$A$2:$A$20000=M649)*(DATOS!$G$2:$G$20000=CONFIG_METADATA!$B$4)*(COUNTIF(CONFIG_ASIGNATURAS!$B$7:$B$27,DATOS!$I$2:$I$20000)&gt;0)*(DATOS!$K$2:$K$20000))/SUMPRODUCT((DATOS!$A$2:$A$20000=M649)*(DATOS!$G$2:$G$20000=CONFIG_METADATA!$B$4)*(COUNTIF(CONFIG_ASIGNATURAS!$B$7:$B$27,DATOS!$I$2:$I$20000)&gt;0)*1),"")))</f>
        <v/>
      </c>
      <c r="T649" t="str">
        <f>IF(S649="","",IF(S649="[FÓRMULA MANUAL]","",IFERROR(AVERAGEIFS(DATOS!$K$2:$K$20000,DATOS!$A$2:$A$20000,S649,DATOS!$G$2:$G$20000,CONFIG_METADATA!$B$4,DATOS!$I$2:$I$20000,"Armonía"),"")))</f>
        <v/>
      </c>
      <c r="U649" t="str">
        <f>IF(S649="","",IF(S649="[FÓRMULA MANUAL]","",IFERROR(AVERAGEIFS(DATOS!$K$2:$K$20000,DATOS!$A$2:$A$20000,S649,DATOS!$G$2:$G$20000,CONFIG_METADATA!$B$4,DATOS!$I$2:$I$20000,"Orquesta/Banda/Conjunto"),"")))</f>
        <v/>
      </c>
      <c r="V649" t="str">
        <f>IF(S649="","",IF(S649="[FÓRMULA MANUAL]","",IFERROR(AVERAGEIFS(DATOS!$K$2:$K$20000,DATOS!$A$2:$A$20000,S649,DATOS!$G$2:$G$20000,CONFIG_METADATA!$B$4,DATOS!$I$2:$I$20000,"Música de Cámara"),"")))</f>
        <v/>
      </c>
      <c r="W649" t="str">
        <f>IF(S649="","",IF(S649="[FÓRMULA MANUAL]","",IFERROR(SUMPRODUCT((DATOS!$A$2:$A$20000=S649)*(DATOS!$G$2:$G$20000=CONFIG_METADATA!$B$4)*(COUNTIF(CONFIG_ASIGNATURAS!$B$7:$B$27,DATOS!$I$2:$I$20000)&gt;0)*(DATOS!$K$2:$K$20000))/SUMPRODUCT((DATOS!$A$2:$A$20000=S649)*(DATOS!$G$2:$G$20000=CONFIG_METADATA!$B$4)*(COUNTIF(CONFIG_ASIGNATURAS!$B$7:$B$27,DATOS!$I$2:$I$20000)&gt;0)*1),"")))</f>
        <v/>
      </c>
      <c r="Z649" t="str">
        <f>IF(Y649="","",IF(Y649="[FÓRMULA MANUAL]","",IFERROR(AVERAGEIFS(DATOS!$K$2:$K$20000,DATOS!$A$2:$A$20000,Y649,DATOS!$G$2:$G$20000,CONFIG_METADATA!$B$4,DATOS!$I$2:$I$20000,"Análisis"),"")))</f>
        <v/>
      </c>
      <c r="AA649" t="str">
        <f>IF(Y649="","",IF(Y649="[FÓRMULA MANUAL]","",IFERROR(AVERAGEIFS(DATOS!$K$2:$K$20000,DATOS!$A$2:$A$20000,Y649,DATOS!$G$2:$G$20000,CONFIG_METADATA!$B$4,DATOS!$I$2:$I$20000,"Orquesta/Banda/Conjunto"),"")))</f>
        <v/>
      </c>
      <c r="AB649" t="str">
        <f>IF(Y649="","",IF(Y649="[FÓRMULA MANUAL]","",IFERROR(AVERAGEIFS(DATOS!$K$2:$K$20000,DATOS!$A$2:$A$20000,Y649,DATOS!$G$2:$G$20000,CONFIG_METADATA!$B$4,DATOS!$I$2:$I$20000,"Música de Cámara"),"")))</f>
        <v/>
      </c>
      <c r="AC649" t="str">
        <f>IF(Y649="","",IF(Y649="[FÓRMULA MANUAL]","",IFERROR(SUMPRODUCT((DATOS!$A$2:$A$20000=Y649)*(DATOS!$G$2:$G$20000=CONFIG_METADATA!$B$4)*(COUNTIF(CONFIG_ASIGNATURAS!$B$7:$B$27,DATOS!$I$2:$I$20000)&gt;0)*(DATOS!$K$2:$K$20000))/SUMPRODUCT((DATOS!$A$2:$A$20000=Y649)*(DATOS!$G$2:$G$20000=CONFIG_METADATA!$B$4)*(COUNTIF(CONFIG_ASIGNATURAS!$B$7:$B$27,DATOS!$I$2:$I$20000)&gt;0)*1),"")))</f>
        <v/>
      </c>
      <c r="AF649" t="str">
        <f>IF(AE649="","",IF(AE649="[FÓRMULA MANUAL]","",IFERROR(AVERAGEIFS(DATOS!$K$2:$K$20000,DATOS!$A$2:$A$20000,AE649,DATOS!$G$2:$G$20000,CONFIG_METADATA!$B$4,DATOS!$I$2:$I$20000,"Análisis"),"")))</f>
        <v/>
      </c>
      <c r="AG649" t="str">
        <f>IF(AE649="","",IF(AE649="[FÓRMULA MANUAL]","",IFERROR(AVERAGEIFS(DATOS!$K$2:$K$20000,DATOS!$A$2:$A$20000,AE649,DATOS!$G$2:$G$20000,CONFIG_METADATA!$B$4,DATOS!$I$2:$I$20000,"Orquesta/Banda/Conjunto"),"")))</f>
        <v/>
      </c>
      <c r="AH649" t="str">
        <f>IF(AE649="","",IF(AE649="[FÓRMULA MANUAL]","",IFERROR(AVERAGEIFS(DATOS!$K$2:$K$20000,DATOS!$A$2:$A$20000,AE649,DATOS!$G$2:$G$20000,CONFIG_METADATA!$B$4,DATOS!$I$2:$I$20000,"Música de Cámara"),"")))</f>
        <v/>
      </c>
      <c r="AI649" t="str">
        <f>IF(AE649="","",IF(AE649="[FÓRMULA MANUAL]","",IFERROR(SUMPRODUCT((DATOS!$A$2:$A$20000=AE649)*(DATOS!$G$2:$G$20000=CONFIG_METADATA!$B$4)*(COUNTIF(CONFIG_ASIGNATURAS!$B$7:$B$27,DATOS!$I$2:$I$20000)&gt;0)*(DATOS!$K$2:$K$20000))/SUMPRODUCT((DATOS!$A$2:$A$20000=AE649)*(DATOS!$G$2:$G$20000=CONFIG_METADATA!$B$4)*(COUNTIF(CONFIG_ASIGNATURAS!$B$7:$B$27,DATOS!$I$2:$I$20000)&gt;0)*1),"")))</f>
        <v/>
      </c>
    </row>
    <row r="650" spans="2:35" x14ac:dyDescent="0.2">
      <c r="B650" t="str">
        <f>IF(A650="","",IF(A650="[FÓRMULA MANUAL]","",IFERROR(AVERAGEIFS(DATOS!$K$2:$K$20000,DATOS!$A$2:$A$20000,A650,DATOS!$G$2:$G$20000,CONFIG_METADATA!$B$4,DATOS!$I$2:$I$20000,"Lenguaje Musical"),"")))</f>
        <v/>
      </c>
      <c r="C650" t="str">
        <f>IF(A650="","",IF(A650="[FÓRMULA MANUAL]","",IFERROR(AVERAGEIFS(DATOS!$K$2:$K$20000,DATOS!$A$2:$A$20000,A650,DATOS!$G$2:$G$20000,CONFIG_METADATA!$B$4,DATOS!$I$2:$I$20000,"Orquesta/Banda/Conjunto"),"")))</f>
        <v/>
      </c>
      <c r="D650" t="str">
        <f>IF(A650="","",IF(A650="[FÓRMULA MANUAL]","",IFERROR(AVERAGEIFS(DATOS!$K$2:$K$20000,DATOS!$A$2:$A$20000,A650,DATOS!$G$2:$G$20000,CONFIG_METADATA!$B$4,DATOS!$I$2:$I$20000,"Conjunto"),"")))</f>
        <v/>
      </c>
      <c r="E650" t="str">
        <f>IF(A650="","",IF(A650="[FÓRMULA MANUAL]","",IFERROR(SUMPRODUCT((DATOS!$A$2:$A$20000=A650)*(DATOS!$G$2:$G$20000=CONFIG_METADATA!$B$4)*(COUNTIF(CONFIG_ASIGNATURAS!$B$7:$B$27,DATOS!$I$2:$I$20000)&gt;0)*(DATOS!$K$2:$K$20000))/SUMPRODUCT((DATOS!$A$2:$A$20000=A650)*(DATOS!$G$2:$G$20000=CONFIG_METADATA!$B$4)*(COUNTIF(CONFIG_ASIGNATURAS!$B$7:$B$27,DATOS!$I$2:$I$20000)&gt;0)*1),"")))</f>
        <v/>
      </c>
      <c r="H650" t="str">
        <f>IF(G650="","",IF(G650="[FÓRMULA MANUAL]","",IFERROR(AVERAGEIFS(DATOS!$K$2:$K$20000,DATOS!$A$2:$A$20000,G650,DATOS!$G$2:$G$20000,CONFIG_METADATA!$B$4,DATOS!$I$2:$I$20000,"Lenguaje Musical"),"")))</f>
        <v/>
      </c>
      <c r="I650" t="str">
        <f>IF(G650="","",IF(G650="[FÓRMULA MANUAL]","",IFERROR(AVERAGEIFS(DATOS!$K$2:$K$20000,DATOS!$A$2:$A$20000,G650,DATOS!$G$2:$G$20000,CONFIG_METADATA!$B$4,DATOS!$I$2:$I$20000,"Orquesta/Banda/Conjunto"),"")))</f>
        <v/>
      </c>
      <c r="J650" t="str">
        <f>IF(G650="","",IF(G650="[FÓRMULA MANUAL]","",IFERROR(AVERAGEIFS(DATOS!$K$2:$K$20000,DATOS!$A$2:$A$20000,G650,DATOS!$G$2:$G$20000,CONFIG_METADATA!$B$4,DATOS!$I$2:$I$20000,"Conjunto"),"")))</f>
        <v/>
      </c>
      <c r="K650" t="str">
        <f>IF(G650="","",IF(G650="[FÓRMULA MANUAL]","",IFERROR(SUMPRODUCT((DATOS!$A$2:$A$20000=G650)*(DATOS!$G$2:$G$20000=CONFIG_METADATA!$B$4)*(COUNTIF(CONFIG_ASIGNATURAS!$B$7:$B$27,DATOS!$I$2:$I$20000)&gt;0)*(DATOS!$K$2:$K$20000))/SUMPRODUCT((DATOS!$A$2:$A$20000=G650)*(DATOS!$G$2:$G$20000=CONFIG_METADATA!$B$4)*(COUNTIF(CONFIG_ASIGNATURAS!$B$7:$B$27,DATOS!$I$2:$I$20000)&gt;0)*1),"")))</f>
        <v/>
      </c>
      <c r="N650" t="str">
        <f>IF(M650="","",IF(M650="[FÓRMULA MANUAL]","",IFERROR(AVERAGEIFS(DATOS!$K$2:$K$20000,DATOS!$A$2:$A$20000,M650,DATOS!$G$2:$G$20000,CONFIG_METADATA!$B$4,DATOS!$I$2:$I$20000,"Armonía"),"")))</f>
        <v/>
      </c>
      <c r="O650" t="str">
        <f>IF(M650="","",IF(M650="[FÓRMULA MANUAL]","",IFERROR(AVERAGEIFS(DATOS!$K$2:$K$20000,DATOS!$A$2:$A$20000,M650,DATOS!$G$2:$G$20000,CONFIG_METADATA!$B$4,DATOS!$I$2:$I$20000,"Orquesta/Banda/Conjunto"),"")))</f>
        <v/>
      </c>
      <c r="P650" t="str">
        <f>IF(M650="","",IF(M650="[FÓRMULA MANUAL]","",IFERROR(AVERAGEIFS(DATOS!$K$2:$K$20000,DATOS!$A$2:$A$20000,M650,DATOS!$G$2:$G$20000,CONFIG_METADATA!$B$4,DATOS!$I$2:$I$20000,"Música de Cámara"),"")))</f>
        <v/>
      </c>
      <c r="Q650" t="str">
        <f>IF(M650="","",IF(M650="[FÓRMULA MANUAL]","",IFERROR(SUMPRODUCT((DATOS!$A$2:$A$20000=M650)*(DATOS!$G$2:$G$20000=CONFIG_METADATA!$B$4)*(COUNTIF(CONFIG_ASIGNATURAS!$B$7:$B$27,DATOS!$I$2:$I$20000)&gt;0)*(DATOS!$K$2:$K$20000))/SUMPRODUCT((DATOS!$A$2:$A$20000=M650)*(DATOS!$G$2:$G$20000=CONFIG_METADATA!$B$4)*(COUNTIF(CONFIG_ASIGNATURAS!$B$7:$B$27,DATOS!$I$2:$I$20000)&gt;0)*1),"")))</f>
        <v/>
      </c>
      <c r="T650" t="str">
        <f>IF(S650="","",IF(S650="[FÓRMULA MANUAL]","",IFERROR(AVERAGEIFS(DATOS!$K$2:$K$20000,DATOS!$A$2:$A$20000,S650,DATOS!$G$2:$G$20000,CONFIG_METADATA!$B$4,DATOS!$I$2:$I$20000,"Armonía"),"")))</f>
        <v/>
      </c>
      <c r="U650" t="str">
        <f>IF(S650="","",IF(S650="[FÓRMULA MANUAL]","",IFERROR(AVERAGEIFS(DATOS!$K$2:$K$20000,DATOS!$A$2:$A$20000,S650,DATOS!$G$2:$G$20000,CONFIG_METADATA!$B$4,DATOS!$I$2:$I$20000,"Orquesta/Banda/Conjunto"),"")))</f>
        <v/>
      </c>
      <c r="V650" t="str">
        <f>IF(S650="","",IF(S650="[FÓRMULA MANUAL]","",IFERROR(AVERAGEIFS(DATOS!$K$2:$K$20000,DATOS!$A$2:$A$20000,S650,DATOS!$G$2:$G$20000,CONFIG_METADATA!$B$4,DATOS!$I$2:$I$20000,"Música de Cámara"),"")))</f>
        <v/>
      </c>
      <c r="W650" t="str">
        <f>IF(S650="","",IF(S650="[FÓRMULA MANUAL]","",IFERROR(SUMPRODUCT((DATOS!$A$2:$A$20000=S650)*(DATOS!$G$2:$G$20000=CONFIG_METADATA!$B$4)*(COUNTIF(CONFIG_ASIGNATURAS!$B$7:$B$27,DATOS!$I$2:$I$20000)&gt;0)*(DATOS!$K$2:$K$20000))/SUMPRODUCT((DATOS!$A$2:$A$20000=S650)*(DATOS!$G$2:$G$20000=CONFIG_METADATA!$B$4)*(COUNTIF(CONFIG_ASIGNATURAS!$B$7:$B$27,DATOS!$I$2:$I$20000)&gt;0)*1),"")))</f>
        <v/>
      </c>
      <c r="Z650" t="str">
        <f>IF(Y650="","",IF(Y650="[FÓRMULA MANUAL]","",IFERROR(AVERAGEIFS(DATOS!$K$2:$K$20000,DATOS!$A$2:$A$20000,Y650,DATOS!$G$2:$G$20000,CONFIG_METADATA!$B$4,DATOS!$I$2:$I$20000,"Análisis"),"")))</f>
        <v/>
      </c>
      <c r="AA650" t="str">
        <f>IF(Y650="","",IF(Y650="[FÓRMULA MANUAL]","",IFERROR(AVERAGEIFS(DATOS!$K$2:$K$20000,DATOS!$A$2:$A$20000,Y650,DATOS!$G$2:$G$20000,CONFIG_METADATA!$B$4,DATOS!$I$2:$I$20000,"Orquesta/Banda/Conjunto"),"")))</f>
        <v/>
      </c>
      <c r="AB650" t="str">
        <f>IF(Y650="","",IF(Y650="[FÓRMULA MANUAL]","",IFERROR(AVERAGEIFS(DATOS!$K$2:$K$20000,DATOS!$A$2:$A$20000,Y650,DATOS!$G$2:$G$20000,CONFIG_METADATA!$B$4,DATOS!$I$2:$I$20000,"Música de Cámara"),"")))</f>
        <v/>
      </c>
      <c r="AC650" t="str">
        <f>IF(Y650="","",IF(Y650="[FÓRMULA MANUAL]","",IFERROR(SUMPRODUCT((DATOS!$A$2:$A$20000=Y650)*(DATOS!$G$2:$G$20000=CONFIG_METADATA!$B$4)*(COUNTIF(CONFIG_ASIGNATURAS!$B$7:$B$27,DATOS!$I$2:$I$20000)&gt;0)*(DATOS!$K$2:$K$20000))/SUMPRODUCT((DATOS!$A$2:$A$20000=Y650)*(DATOS!$G$2:$G$20000=CONFIG_METADATA!$B$4)*(COUNTIF(CONFIG_ASIGNATURAS!$B$7:$B$27,DATOS!$I$2:$I$20000)&gt;0)*1),"")))</f>
        <v/>
      </c>
      <c r="AF650" t="str">
        <f>IF(AE650="","",IF(AE650="[FÓRMULA MANUAL]","",IFERROR(AVERAGEIFS(DATOS!$K$2:$K$20000,DATOS!$A$2:$A$20000,AE650,DATOS!$G$2:$G$20000,CONFIG_METADATA!$B$4,DATOS!$I$2:$I$20000,"Análisis"),"")))</f>
        <v/>
      </c>
      <c r="AG650" t="str">
        <f>IF(AE650="","",IF(AE650="[FÓRMULA MANUAL]","",IFERROR(AVERAGEIFS(DATOS!$K$2:$K$20000,DATOS!$A$2:$A$20000,AE650,DATOS!$G$2:$G$20000,CONFIG_METADATA!$B$4,DATOS!$I$2:$I$20000,"Orquesta/Banda/Conjunto"),"")))</f>
        <v/>
      </c>
      <c r="AH650" t="str">
        <f>IF(AE650="","",IF(AE650="[FÓRMULA MANUAL]","",IFERROR(AVERAGEIFS(DATOS!$K$2:$K$20000,DATOS!$A$2:$A$20000,AE650,DATOS!$G$2:$G$20000,CONFIG_METADATA!$B$4,DATOS!$I$2:$I$20000,"Música de Cámara"),"")))</f>
        <v/>
      </c>
      <c r="AI650" t="str">
        <f>IF(AE650="","",IF(AE650="[FÓRMULA MANUAL]","",IFERROR(SUMPRODUCT((DATOS!$A$2:$A$20000=AE650)*(DATOS!$G$2:$G$20000=CONFIG_METADATA!$B$4)*(COUNTIF(CONFIG_ASIGNATURAS!$B$7:$B$27,DATOS!$I$2:$I$20000)&gt;0)*(DATOS!$K$2:$K$20000))/SUMPRODUCT((DATOS!$A$2:$A$20000=AE650)*(DATOS!$G$2:$G$20000=CONFIG_METADATA!$B$4)*(COUNTIF(CONFIG_ASIGNATURAS!$B$7:$B$27,DATOS!$I$2:$I$20000)&gt;0)*1),"")))</f>
        <v/>
      </c>
    </row>
    <row r="651" spans="2:35" x14ac:dyDescent="0.2">
      <c r="B651" t="str">
        <f>IF(A651="","",IF(A651="[FÓRMULA MANUAL]","",IFERROR(AVERAGEIFS(DATOS!$K$2:$K$20000,DATOS!$A$2:$A$20000,A651,DATOS!$G$2:$G$20000,CONFIG_METADATA!$B$4,DATOS!$I$2:$I$20000,"Lenguaje Musical"),"")))</f>
        <v/>
      </c>
      <c r="C651" t="str">
        <f>IF(A651="","",IF(A651="[FÓRMULA MANUAL]","",IFERROR(AVERAGEIFS(DATOS!$K$2:$K$20000,DATOS!$A$2:$A$20000,A651,DATOS!$G$2:$G$20000,CONFIG_METADATA!$B$4,DATOS!$I$2:$I$20000,"Orquesta/Banda/Conjunto"),"")))</f>
        <v/>
      </c>
      <c r="D651" t="str">
        <f>IF(A651="","",IF(A651="[FÓRMULA MANUAL]","",IFERROR(AVERAGEIFS(DATOS!$K$2:$K$20000,DATOS!$A$2:$A$20000,A651,DATOS!$G$2:$G$20000,CONFIG_METADATA!$B$4,DATOS!$I$2:$I$20000,"Conjunto"),"")))</f>
        <v/>
      </c>
      <c r="E651" t="str">
        <f>IF(A651="","",IF(A651="[FÓRMULA MANUAL]","",IFERROR(SUMPRODUCT((DATOS!$A$2:$A$20000=A651)*(DATOS!$G$2:$G$20000=CONFIG_METADATA!$B$4)*(COUNTIF(CONFIG_ASIGNATURAS!$B$7:$B$27,DATOS!$I$2:$I$20000)&gt;0)*(DATOS!$K$2:$K$20000))/SUMPRODUCT((DATOS!$A$2:$A$20000=A651)*(DATOS!$G$2:$G$20000=CONFIG_METADATA!$B$4)*(COUNTIF(CONFIG_ASIGNATURAS!$B$7:$B$27,DATOS!$I$2:$I$20000)&gt;0)*1),"")))</f>
        <v/>
      </c>
      <c r="H651" t="str">
        <f>IF(G651="","",IF(G651="[FÓRMULA MANUAL]","",IFERROR(AVERAGEIFS(DATOS!$K$2:$K$20000,DATOS!$A$2:$A$20000,G651,DATOS!$G$2:$G$20000,CONFIG_METADATA!$B$4,DATOS!$I$2:$I$20000,"Lenguaje Musical"),"")))</f>
        <v/>
      </c>
      <c r="I651" t="str">
        <f>IF(G651="","",IF(G651="[FÓRMULA MANUAL]","",IFERROR(AVERAGEIFS(DATOS!$K$2:$K$20000,DATOS!$A$2:$A$20000,G651,DATOS!$G$2:$G$20000,CONFIG_METADATA!$B$4,DATOS!$I$2:$I$20000,"Orquesta/Banda/Conjunto"),"")))</f>
        <v/>
      </c>
      <c r="J651" t="str">
        <f>IF(G651="","",IF(G651="[FÓRMULA MANUAL]","",IFERROR(AVERAGEIFS(DATOS!$K$2:$K$20000,DATOS!$A$2:$A$20000,G651,DATOS!$G$2:$G$20000,CONFIG_METADATA!$B$4,DATOS!$I$2:$I$20000,"Conjunto"),"")))</f>
        <v/>
      </c>
      <c r="K651" t="str">
        <f>IF(G651="","",IF(G651="[FÓRMULA MANUAL]","",IFERROR(SUMPRODUCT((DATOS!$A$2:$A$20000=G651)*(DATOS!$G$2:$G$20000=CONFIG_METADATA!$B$4)*(COUNTIF(CONFIG_ASIGNATURAS!$B$7:$B$27,DATOS!$I$2:$I$20000)&gt;0)*(DATOS!$K$2:$K$20000))/SUMPRODUCT((DATOS!$A$2:$A$20000=G651)*(DATOS!$G$2:$G$20000=CONFIG_METADATA!$B$4)*(COUNTIF(CONFIG_ASIGNATURAS!$B$7:$B$27,DATOS!$I$2:$I$20000)&gt;0)*1),"")))</f>
        <v/>
      </c>
      <c r="N651" t="str">
        <f>IF(M651="","",IF(M651="[FÓRMULA MANUAL]","",IFERROR(AVERAGEIFS(DATOS!$K$2:$K$20000,DATOS!$A$2:$A$20000,M651,DATOS!$G$2:$G$20000,CONFIG_METADATA!$B$4,DATOS!$I$2:$I$20000,"Armonía"),"")))</f>
        <v/>
      </c>
      <c r="O651" t="str">
        <f>IF(M651="","",IF(M651="[FÓRMULA MANUAL]","",IFERROR(AVERAGEIFS(DATOS!$K$2:$K$20000,DATOS!$A$2:$A$20000,M651,DATOS!$G$2:$G$20000,CONFIG_METADATA!$B$4,DATOS!$I$2:$I$20000,"Orquesta/Banda/Conjunto"),"")))</f>
        <v/>
      </c>
      <c r="P651" t="str">
        <f>IF(M651="","",IF(M651="[FÓRMULA MANUAL]","",IFERROR(AVERAGEIFS(DATOS!$K$2:$K$20000,DATOS!$A$2:$A$20000,M651,DATOS!$G$2:$G$20000,CONFIG_METADATA!$B$4,DATOS!$I$2:$I$20000,"Música de Cámara"),"")))</f>
        <v/>
      </c>
      <c r="Q651" t="str">
        <f>IF(M651="","",IF(M651="[FÓRMULA MANUAL]","",IFERROR(SUMPRODUCT((DATOS!$A$2:$A$20000=M651)*(DATOS!$G$2:$G$20000=CONFIG_METADATA!$B$4)*(COUNTIF(CONFIG_ASIGNATURAS!$B$7:$B$27,DATOS!$I$2:$I$20000)&gt;0)*(DATOS!$K$2:$K$20000))/SUMPRODUCT((DATOS!$A$2:$A$20000=M651)*(DATOS!$G$2:$G$20000=CONFIG_METADATA!$B$4)*(COUNTIF(CONFIG_ASIGNATURAS!$B$7:$B$27,DATOS!$I$2:$I$20000)&gt;0)*1),"")))</f>
        <v/>
      </c>
      <c r="T651" t="str">
        <f>IF(S651="","",IF(S651="[FÓRMULA MANUAL]","",IFERROR(AVERAGEIFS(DATOS!$K$2:$K$20000,DATOS!$A$2:$A$20000,S651,DATOS!$G$2:$G$20000,CONFIG_METADATA!$B$4,DATOS!$I$2:$I$20000,"Armonía"),"")))</f>
        <v/>
      </c>
      <c r="U651" t="str">
        <f>IF(S651="","",IF(S651="[FÓRMULA MANUAL]","",IFERROR(AVERAGEIFS(DATOS!$K$2:$K$20000,DATOS!$A$2:$A$20000,S651,DATOS!$G$2:$G$20000,CONFIG_METADATA!$B$4,DATOS!$I$2:$I$20000,"Orquesta/Banda/Conjunto"),"")))</f>
        <v/>
      </c>
      <c r="V651" t="str">
        <f>IF(S651="","",IF(S651="[FÓRMULA MANUAL]","",IFERROR(AVERAGEIFS(DATOS!$K$2:$K$20000,DATOS!$A$2:$A$20000,S651,DATOS!$G$2:$G$20000,CONFIG_METADATA!$B$4,DATOS!$I$2:$I$20000,"Música de Cámara"),"")))</f>
        <v/>
      </c>
      <c r="W651" t="str">
        <f>IF(S651="","",IF(S651="[FÓRMULA MANUAL]","",IFERROR(SUMPRODUCT((DATOS!$A$2:$A$20000=S651)*(DATOS!$G$2:$G$20000=CONFIG_METADATA!$B$4)*(COUNTIF(CONFIG_ASIGNATURAS!$B$7:$B$27,DATOS!$I$2:$I$20000)&gt;0)*(DATOS!$K$2:$K$20000))/SUMPRODUCT((DATOS!$A$2:$A$20000=S651)*(DATOS!$G$2:$G$20000=CONFIG_METADATA!$B$4)*(COUNTIF(CONFIG_ASIGNATURAS!$B$7:$B$27,DATOS!$I$2:$I$20000)&gt;0)*1),"")))</f>
        <v/>
      </c>
      <c r="Z651" t="str">
        <f>IF(Y651="","",IF(Y651="[FÓRMULA MANUAL]","",IFERROR(AVERAGEIFS(DATOS!$K$2:$K$20000,DATOS!$A$2:$A$20000,Y651,DATOS!$G$2:$G$20000,CONFIG_METADATA!$B$4,DATOS!$I$2:$I$20000,"Análisis"),"")))</f>
        <v/>
      </c>
      <c r="AA651" t="str">
        <f>IF(Y651="","",IF(Y651="[FÓRMULA MANUAL]","",IFERROR(AVERAGEIFS(DATOS!$K$2:$K$20000,DATOS!$A$2:$A$20000,Y651,DATOS!$G$2:$G$20000,CONFIG_METADATA!$B$4,DATOS!$I$2:$I$20000,"Orquesta/Banda/Conjunto"),"")))</f>
        <v/>
      </c>
      <c r="AB651" t="str">
        <f>IF(Y651="","",IF(Y651="[FÓRMULA MANUAL]","",IFERROR(AVERAGEIFS(DATOS!$K$2:$K$20000,DATOS!$A$2:$A$20000,Y651,DATOS!$G$2:$G$20000,CONFIG_METADATA!$B$4,DATOS!$I$2:$I$20000,"Música de Cámara"),"")))</f>
        <v/>
      </c>
      <c r="AC651" t="str">
        <f>IF(Y651="","",IF(Y651="[FÓRMULA MANUAL]","",IFERROR(SUMPRODUCT((DATOS!$A$2:$A$20000=Y651)*(DATOS!$G$2:$G$20000=CONFIG_METADATA!$B$4)*(COUNTIF(CONFIG_ASIGNATURAS!$B$7:$B$27,DATOS!$I$2:$I$20000)&gt;0)*(DATOS!$K$2:$K$20000))/SUMPRODUCT((DATOS!$A$2:$A$20000=Y651)*(DATOS!$G$2:$G$20000=CONFIG_METADATA!$B$4)*(COUNTIF(CONFIG_ASIGNATURAS!$B$7:$B$27,DATOS!$I$2:$I$20000)&gt;0)*1),"")))</f>
        <v/>
      </c>
      <c r="AF651" t="str">
        <f>IF(AE651="","",IF(AE651="[FÓRMULA MANUAL]","",IFERROR(AVERAGEIFS(DATOS!$K$2:$K$20000,DATOS!$A$2:$A$20000,AE651,DATOS!$G$2:$G$20000,CONFIG_METADATA!$B$4,DATOS!$I$2:$I$20000,"Análisis"),"")))</f>
        <v/>
      </c>
      <c r="AG651" t="str">
        <f>IF(AE651="","",IF(AE651="[FÓRMULA MANUAL]","",IFERROR(AVERAGEIFS(DATOS!$K$2:$K$20000,DATOS!$A$2:$A$20000,AE651,DATOS!$G$2:$G$20000,CONFIG_METADATA!$B$4,DATOS!$I$2:$I$20000,"Orquesta/Banda/Conjunto"),"")))</f>
        <v/>
      </c>
      <c r="AH651" t="str">
        <f>IF(AE651="","",IF(AE651="[FÓRMULA MANUAL]","",IFERROR(AVERAGEIFS(DATOS!$K$2:$K$20000,DATOS!$A$2:$A$20000,AE651,DATOS!$G$2:$G$20000,CONFIG_METADATA!$B$4,DATOS!$I$2:$I$20000,"Música de Cámara"),"")))</f>
        <v/>
      </c>
      <c r="AI651" t="str">
        <f>IF(AE651="","",IF(AE651="[FÓRMULA MANUAL]","",IFERROR(SUMPRODUCT((DATOS!$A$2:$A$20000=AE651)*(DATOS!$G$2:$G$20000=CONFIG_METADATA!$B$4)*(COUNTIF(CONFIG_ASIGNATURAS!$B$7:$B$27,DATOS!$I$2:$I$20000)&gt;0)*(DATOS!$K$2:$K$20000))/SUMPRODUCT((DATOS!$A$2:$A$20000=AE651)*(DATOS!$G$2:$G$20000=CONFIG_METADATA!$B$4)*(COUNTIF(CONFIG_ASIGNATURAS!$B$7:$B$27,DATOS!$I$2:$I$20000)&gt;0)*1),"")))</f>
        <v/>
      </c>
    </row>
    <row r="652" spans="2:35" x14ac:dyDescent="0.2">
      <c r="B652" t="str">
        <f>IF(A652="","",IF(A652="[FÓRMULA MANUAL]","",IFERROR(AVERAGEIFS(DATOS!$K$2:$K$20000,DATOS!$A$2:$A$20000,A652,DATOS!$G$2:$G$20000,CONFIG_METADATA!$B$4,DATOS!$I$2:$I$20000,"Lenguaje Musical"),"")))</f>
        <v/>
      </c>
      <c r="C652" t="str">
        <f>IF(A652="","",IF(A652="[FÓRMULA MANUAL]","",IFERROR(AVERAGEIFS(DATOS!$K$2:$K$20000,DATOS!$A$2:$A$20000,A652,DATOS!$G$2:$G$20000,CONFIG_METADATA!$B$4,DATOS!$I$2:$I$20000,"Orquesta/Banda/Conjunto"),"")))</f>
        <v/>
      </c>
      <c r="D652" t="str">
        <f>IF(A652="","",IF(A652="[FÓRMULA MANUAL]","",IFERROR(AVERAGEIFS(DATOS!$K$2:$K$20000,DATOS!$A$2:$A$20000,A652,DATOS!$G$2:$G$20000,CONFIG_METADATA!$B$4,DATOS!$I$2:$I$20000,"Conjunto"),"")))</f>
        <v/>
      </c>
      <c r="E652" t="str">
        <f>IF(A652="","",IF(A652="[FÓRMULA MANUAL]","",IFERROR(SUMPRODUCT((DATOS!$A$2:$A$20000=A652)*(DATOS!$G$2:$G$20000=CONFIG_METADATA!$B$4)*(COUNTIF(CONFIG_ASIGNATURAS!$B$7:$B$27,DATOS!$I$2:$I$20000)&gt;0)*(DATOS!$K$2:$K$20000))/SUMPRODUCT((DATOS!$A$2:$A$20000=A652)*(DATOS!$G$2:$G$20000=CONFIG_METADATA!$B$4)*(COUNTIF(CONFIG_ASIGNATURAS!$B$7:$B$27,DATOS!$I$2:$I$20000)&gt;0)*1),"")))</f>
        <v/>
      </c>
      <c r="H652" t="str">
        <f>IF(G652="","",IF(G652="[FÓRMULA MANUAL]","",IFERROR(AVERAGEIFS(DATOS!$K$2:$K$20000,DATOS!$A$2:$A$20000,G652,DATOS!$G$2:$G$20000,CONFIG_METADATA!$B$4,DATOS!$I$2:$I$20000,"Lenguaje Musical"),"")))</f>
        <v/>
      </c>
      <c r="I652" t="str">
        <f>IF(G652="","",IF(G652="[FÓRMULA MANUAL]","",IFERROR(AVERAGEIFS(DATOS!$K$2:$K$20000,DATOS!$A$2:$A$20000,G652,DATOS!$G$2:$G$20000,CONFIG_METADATA!$B$4,DATOS!$I$2:$I$20000,"Orquesta/Banda/Conjunto"),"")))</f>
        <v/>
      </c>
      <c r="J652" t="str">
        <f>IF(G652="","",IF(G652="[FÓRMULA MANUAL]","",IFERROR(AVERAGEIFS(DATOS!$K$2:$K$20000,DATOS!$A$2:$A$20000,G652,DATOS!$G$2:$G$20000,CONFIG_METADATA!$B$4,DATOS!$I$2:$I$20000,"Conjunto"),"")))</f>
        <v/>
      </c>
      <c r="K652" t="str">
        <f>IF(G652="","",IF(G652="[FÓRMULA MANUAL]","",IFERROR(SUMPRODUCT((DATOS!$A$2:$A$20000=G652)*(DATOS!$G$2:$G$20000=CONFIG_METADATA!$B$4)*(COUNTIF(CONFIG_ASIGNATURAS!$B$7:$B$27,DATOS!$I$2:$I$20000)&gt;0)*(DATOS!$K$2:$K$20000))/SUMPRODUCT((DATOS!$A$2:$A$20000=G652)*(DATOS!$G$2:$G$20000=CONFIG_METADATA!$B$4)*(COUNTIF(CONFIG_ASIGNATURAS!$B$7:$B$27,DATOS!$I$2:$I$20000)&gt;0)*1),"")))</f>
        <v/>
      </c>
      <c r="N652" t="str">
        <f>IF(M652="","",IF(M652="[FÓRMULA MANUAL]","",IFERROR(AVERAGEIFS(DATOS!$K$2:$K$20000,DATOS!$A$2:$A$20000,M652,DATOS!$G$2:$G$20000,CONFIG_METADATA!$B$4,DATOS!$I$2:$I$20000,"Armonía"),"")))</f>
        <v/>
      </c>
      <c r="O652" t="str">
        <f>IF(M652="","",IF(M652="[FÓRMULA MANUAL]","",IFERROR(AVERAGEIFS(DATOS!$K$2:$K$20000,DATOS!$A$2:$A$20000,M652,DATOS!$G$2:$G$20000,CONFIG_METADATA!$B$4,DATOS!$I$2:$I$20000,"Orquesta/Banda/Conjunto"),"")))</f>
        <v/>
      </c>
      <c r="P652" t="str">
        <f>IF(M652="","",IF(M652="[FÓRMULA MANUAL]","",IFERROR(AVERAGEIFS(DATOS!$K$2:$K$20000,DATOS!$A$2:$A$20000,M652,DATOS!$G$2:$G$20000,CONFIG_METADATA!$B$4,DATOS!$I$2:$I$20000,"Música de Cámara"),"")))</f>
        <v/>
      </c>
      <c r="Q652" t="str">
        <f>IF(M652="","",IF(M652="[FÓRMULA MANUAL]","",IFERROR(SUMPRODUCT((DATOS!$A$2:$A$20000=M652)*(DATOS!$G$2:$G$20000=CONFIG_METADATA!$B$4)*(COUNTIF(CONFIG_ASIGNATURAS!$B$7:$B$27,DATOS!$I$2:$I$20000)&gt;0)*(DATOS!$K$2:$K$20000))/SUMPRODUCT((DATOS!$A$2:$A$20000=M652)*(DATOS!$G$2:$G$20000=CONFIG_METADATA!$B$4)*(COUNTIF(CONFIG_ASIGNATURAS!$B$7:$B$27,DATOS!$I$2:$I$20000)&gt;0)*1),"")))</f>
        <v/>
      </c>
      <c r="T652" t="str">
        <f>IF(S652="","",IF(S652="[FÓRMULA MANUAL]","",IFERROR(AVERAGEIFS(DATOS!$K$2:$K$20000,DATOS!$A$2:$A$20000,S652,DATOS!$G$2:$G$20000,CONFIG_METADATA!$B$4,DATOS!$I$2:$I$20000,"Armonía"),"")))</f>
        <v/>
      </c>
      <c r="U652" t="str">
        <f>IF(S652="","",IF(S652="[FÓRMULA MANUAL]","",IFERROR(AVERAGEIFS(DATOS!$K$2:$K$20000,DATOS!$A$2:$A$20000,S652,DATOS!$G$2:$G$20000,CONFIG_METADATA!$B$4,DATOS!$I$2:$I$20000,"Orquesta/Banda/Conjunto"),"")))</f>
        <v/>
      </c>
      <c r="V652" t="str">
        <f>IF(S652="","",IF(S652="[FÓRMULA MANUAL]","",IFERROR(AVERAGEIFS(DATOS!$K$2:$K$20000,DATOS!$A$2:$A$20000,S652,DATOS!$G$2:$G$20000,CONFIG_METADATA!$B$4,DATOS!$I$2:$I$20000,"Música de Cámara"),"")))</f>
        <v/>
      </c>
      <c r="W652" t="str">
        <f>IF(S652="","",IF(S652="[FÓRMULA MANUAL]","",IFERROR(SUMPRODUCT((DATOS!$A$2:$A$20000=S652)*(DATOS!$G$2:$G$20000=CONFIG_METADATA!$B$4)*(COUNTIF(CONFIG_ASIGNATURAS!$B$7:$B$27,DATOS!$I$2:$I$20000)&gt;0)*(DATOS!$K$2:$K$20000))/SUMPRODUCT((DATOS!$A$2:$A$20000=S652)*(DATOS!$G$2:$G$20000=CONFIG_METADATA!$B$4)*(COUNTIF(CONFIG_ASIGNATURAS!$B$7:$B$27,DATOS!$I$2:$I$20000)&gt;0)*1),"")))</f>
        <v/>
      </c>
      <c r="Z652" t="str">
        <f>IF(Y652="","",IF(Y652="[FÓRMULA MANUAL]","",IFERROR(AVERAGEIFS(DATOS!$K$2:$K$20000,DATOS!$A$2:$A$20000,Y652,DATOS!$G$2:$G$20000,CONFIG_METADATA!$B$4,DATOS!$I$2:$I$20000,"Análisis"),"")))</f>
        <v/>
      </c>
      <c r="AA652" t="str">
        <f>IF(Y652="","",IF(Y652="[FÓRMULA MANUAL]","",IFERROR(AVERAGEIFS(DATOS!$K$2:$K$20000,DATOS!$A$2:$A$20000,Y652,DATOS!$G$2:$G$20000,CONFIG_METADATA!$B$4,DATOS!$I$2:$I$20000,"Orquesta/Banda/Conjunto"),"")))</f>
        <v/>
      </c>
      <c r="AB652" t="str">
        <f>IF(Y652="","",IF(Y652="[FÓRMULA MANUAL]","",IFERROR(AVERAGEIFS(DATOS!$K$2:$K$20000,DATOS!$A$2:$A$20000,Y652,DATOS!$G$2:$G$20000,CONFIG_METADATA!$B$4,DATOS!$I$2:$I$20000,"Música de Cámara"),"")))</f>
        <v/>
      </c>
      <c r="AC652" t="str">
        <f>IF(Y652="","",IF(Y652="[FÓRMULA MANUAL]","",IFERROR(SUMPRODUCT((DATOS!$A$2:$A$20000=Y652)*(DATOS!$G$2:$G$20000=CONFIG_METADATA!$B$4)*(COUNTIF(CONFIG_ASIGNATURAS!$B$7:$B$27,DATOS!$I$2:$I$20000)&gt;0)*(DATOS!$K$2:$K$20000))/SUMPRODUCT((DATOS!$A$2:$A$20000=Y652)*(DATOS!$G$2:$G$20000=CONFIG_METADATA!$B$4)*(COUNTIF(CONFIG_ASIGNATURAS!$B$7:$B$27,DATOS!$I$2:$I$20000)&gt;0)*1),"")))</f>
        <v/>
      </c>
      <c r="AF652" t="str">
        <f>IF(AE652="","",IF(AE652="[FÓRMULA MANUAL]","",IFERROR(AVERAGEIFS(DATOS!$K$2:$K$20000,DATOS!$A$2:$A$20000,AE652,DATOS!$G$2:$G$20000,CONFIG_METADATA!$B$4,DATOS!$I$2:$I$20000,"Análisis"),"")))</f>
        <v/>
      </c>
      <c r="AG652" t="str">
        <f>IF(AE652="","",IF(AE652="[FÓRMULA MANUAL]","",IFERROR(AVERAGEIFS(DATOS!$K$2:$K$20000,DATOS!$A$2:$A$20000,AE652,DATOS!$G$2:$G$20000,CONFIG_METADATA!$B$4,DATOS!$I$2:$I$20000,"Orquesta/Banda/Conjunto"),"")))</f>
        <v/>
      </c>
      <c r="AH652" t="str">
        <f>IF(AE652="","",IF(AE652="[FÓRMULA MANUAL]","",IFERROR(AVERAGEIFS(DATOS!$K$2:$K$20000,DATOS!$A$2:$A$20000,AE652,DATOS!$G$2:$G$20000,CONFIG_METADATA!$B$4,DATOS!$I$2:$I$20000,"Música de Cámara"),"")))</f>
        <v/>
      </c>
      <c r="AI652" t="str">
        <f>IF(AE652="","",IF(AE652="[FÓRMULA MANUAL]","",IFERROR(SUMPRODUCT((DATOS!$A$2:$A$20000=AE652)*(DATOS!$G$2:$G$20000=CONFIG_METADATA!$B$4)*(COUNTIF(CONFIG_ASIGNATURAS!$B$7:$B$27,DATOS!$I$2:$I$20000)&gt;0)*(DATOS!$K$2:$K$20000))/SUMPRODUCT((DATOS!$A$2:$A$20000=AE652)*(DATOS!$G$2:$G$20000=CONFIG_METADATA!$B$4)*(COUNTIF(CONFIG_ASIGNATURAS!$B$7:$B$27,DATOS!$I$2:$I$20000)&gt;0)*1),"")))</f>
        <v/>
      </c>
    </row>
    <row r="653" spans="2:35" x14ac:dyDescent="0.2">
      <c r="B653" t="str">
        <f>IF(A653="","",IF(A653="[FÓRMULA MANUAL]","",IFERROR(AVERAGEIFS(DATOS!$K$2:$K$20000,DATOS!$A$2:$A$20000,A653,DATOS!$G$2:$G$20000,CONFIG_METADATA!$B$4,DATOS!$I$2:$I$20000,"Lenguaje Musical"),"")))</f>
        <v/>
      </c>
      <c r="C653" t="str">
        <f>IF(A653="","",IF(A653="[FÓRMULA MANUAL]","",IFERROR(AVERAGEIFS(DATOS!$K$2:$K$20000,DATOS!$A$2:$A$20000,A653,DATOS!$G$2:$G$20000,CONFIG_METADATA!$B$4,DATOS!$I$2:$I$20000,"Orquesta/Banda/Conjunto"),"")))</f>
        <v/>
      </c>
      <c r="D653" t="str">
        <f>IF(A653="","",IF(A653="[FÓRMULA MANUAL]","",IFERROR(AVERAGEIFS(DATOS!$K$2:$K$20000,DATOS!$A$2:$A$20000,A653,DATOS!$G$2:$G$20000,CONFIG_METADATA!$B$4,DATOS!$I$2:$I$20000,"Conjunto"),"")))</f>
        <v/>
      </c>
      <c r="E653" t="str">
        <f>IF(A653="","",IF(A653="[FÓRMULA MANUAL]","",IFERROR(SUMPRODUCT((DATOS!$A$2:$A$20000=A653)*(DATOS!$G$2:$G$20000=CONFIG_METADATA!$B$4)*(COUNTIF(CONFIG_ASIGNATURAS!$B$7:$B$27,DATOS!$I$2:$I$20000)&gt;0)*(DATOS!$K$2:$K$20000))/SUMPRODUCT((DATOS!$A$2:$A$20000=A653)*(DATOS!$G$2:$G$20000=CONFIG_METADATA!$B$4)*(COUNTIF(CONFIG_ASIGNATURAS!$B$7:$B$27,DATOS!$I$2:$I$20000)&gt;0)*1),"")))</f>
        <v/>
      </c>
      <c r="H653" t="str">
        <f>IF(G653="","",IF(G653="[FÓRMULA MANUAL]","",IFERROR(AVERAGEIFS(DATOS!$K$2:$K$20000,DATOS!$A$2:$A$20000,G653,DATOS!$G$2:$G$20000,CONFIG_METADATA!$B$4,DATOS!$I$2:$I$20000,"Lenguaje Musical"),"")))</f>
        <v/>
      </c>
      <c r="I653" t="str">
        <f>IF(G653="","",IF(G653="[FÓRMULA MANUAL]","",IFERROR(AVERAGEIFS(DATOS!$K$2:$K$20000,DATOS!$A$2:$A$20000,G653,DATOS!$G$2:$G$20000,CONFIG_METADATA!$B$4,DATOS!$I$2:$I$20000,"Orquesta/Banda/Conjunto"),"")))</f>
        <v/>
      </c>
      <c r="J653" t="str">
        <f>IF(G653="","",IF(G653="[FÓRMULA MANUAL]","",IFERROR(AVERAGEIFS(DATOS!$K$2:$K$20000,DATOS!$A$2:$A$20000,G653,DATOS!$G$2:$G$20000,CONFIG_METADATA!$B$4,DATOS!$I$2:$I$20000,"Conjunto"),"")))</f>
        <v/>
      </c>
      <c r="K653" t="str">
        <f>IF(G653="","",IF(G653="[FÓRMULA MANUAL]","",IFERROR(SUMPRODUCT((DATOS!$A$2:$A$20000=G653)*(DATOS!$G$2:$G$20000=CONFIG_METADATA!$B$4)*(COUNTIF(CONFIG_ASIGNATURAS!$B$7:$B$27,DATOS!$I$2:$I$20000)&gt;0)*(DATOS!$K$2:$K$20000))/SUMPRODUCT((DATOS!$A$2:$A$20000=G653)*(DATOS!$G$2:$G$20000=CONFIG_METADATA!$B$4)*(COUNTIF(CONFIG_ASIGNATURAS!$B$7:$B$27,DATOS!$I$2:$I$20000)&gt;0)*1),"")))</f>
        <v/>
      </c>
      <c r="N653" t="str">
        <f>IF(M653="","",IF(M653="[FÓRMULA MANUAL]","",IFERROR(AVERAGEIFS(DATOS!$K$2:$K$20000,DATOS!$A$2:$A$20000,M653,DATOS!$G$2:$G$20000,CONFIG_METADATA!$B$4,DATOS!$I$2:$I$20000,"Armonía"),"")))</f>
        <v/>
      </c>
      <c r="O653" t="str">
        <f>IF(M653="","",IF(M653="[FÓRMULA MANUAL]","",IFERROR(AVERAGEIFS(DATOS!$K$2:$K$20000,DATOS!$A$2:$A$20000,M653,DATOS!$G$2:$G$20000,CONFIG_METADATA!$B$4,DATOS!$I$2:$I$20000,"Orquesta/Banda/Conjunto"),"")))</f>
        <v/>
      </c>
      <c r="P653" t="str">
        <f>IF(M653="","",IF(M653="[FÓRMULA MANUAL]","",IFERROR(AVERAGEIFS(DATOS!$K$2:$K$20000,DATOS!$A$2:$A$20000,M653,DATOS!$G$2:$G$20000,CONFIG_METADATA!$B$4,DATOS!$I$2:$I$20000,"Música de Cámara"),"")))</f>
        <v/>
      </c>
      <c r="Q653" t="str">
        <f>IF(M653="","",IF(M653="[FÓRMULA MANUAL]","",IFERROR(SUMPRODUCT((DATOS!$A$2:$A$20000=M653)*(DATOS!$G$2:$G$20000=CONFIG_METADATA!$B$4)*(COUNTIF(CONFIG_ASIGNATURAS!$B$7:$B$27,DATOS!$I$2:$I$20000)&gt;0)*(DATOS!$K$2:$K$20000))/SUMPRODUCT((DATOS!$A$2:$A$20000=M653)*(DATOS!$G$2:$G$20000=CONFIG_METADATA!$B$4)*(COUNTIF(CONFIG_ASIGNATURAS!$B$7:$B$27,DATOS!$I$2:$I$20000)&gt;0)*1),"")))</f>
        <v/>
      </c>
      <c r="T653" t="str">
        <f>IF(S653="","",IF(S653="[FÓRMULA MANUAL]","",IFERROR(AVERAGEIFS(DATOS!$K$2:$K$20000,DATOS!$A$2:$A$20000,S653,DATOS!$G$2:$G$20000,CONFIG_METADATA!$B$4,DATOS!$I$2:$I$20000,"Armonía"),"")))</f>
        <v/>
      </c>
      <c r="U653" t="str">
        <f>IF(S653="","",IF(S653="[FÓRMULA MANUAL]","",IFERROR(AVERAGEIFS(DATOS!$K$2:$K$20000,DATOS!$A$2:$A$20000,S653,DATOS!$G$2:$G$20000,CONFIG_METADATA!$B$4,DATOS!$I$2:$I$20000,"Orquesta/Banda/Conjunto"),"")))</f>
        <v/>
      </c>
      <c r="V653" t="str">
        <f>IF(S653="","",IF(S653="[FÓRMULA MANUAL]","",IFERROR(AVERAGEIFS(DATOS!$K$2:$K$20000,DATOS!$A$2:$A$20000,S653,DATOS!$G$2:$G$20000,CONFIG_METADATA!$B$4,DATOS!$I$2:$I$20000,"Música de Cámara"),"")))</f>
        <v/>
      </c>
      <c r="W653" t="str">
        <f>IF(S653="","",IF(S653="[FÓRMULA MANUAL]","",IFERROR(SUMPRODUCT((DATOS!$A$2:$A$20000=S653)*(DATOS!$G$2:$G$20000=CONFIG_METADATA!$B$4)*(COUNTIF(CONFIG_ASIGNATURAS!$B$7:$B$27,DATOS!$I$2:$I$20000)&gt;0)*(DATOS!$K$2:$K$20000))/SUMPRODUCT((DATOS!$A$2:$A$20000=S653)*(DATOS!$G$2:$G$20000=CONFIG_METADATA!$B$4)*(COUNTIF(CONFIG_ASIGNATURAS!$B$7:$B$27,DATOS!$I$2:$I$20000)&gt;0)*1),"")))</f>
        <v/>
      </c>
      <c r="Z653" t="str">
        <f>IF(Y653="","",IF(Y653="[FÓRMULA MANUAL]","",IFERROR(AVERAGEIFS(DATOS!$K$2:$K$20000,DATOS!$A$2:$A$20000,Y653,DATOS!$G$2:$G$20000,CONFIG_METADATA!$B$4,DATOS!$I$2:$I$20000,"Análisis"),"")))</f>
        <v/>
      </c>
      <c r="AA653" t="str">
        <f>IF(Y653="","",IF(Y653="[FÓRMULA MANUAL]","",IFERROR(AVERAGEIFS(DATOS!$K$2:$K$20000,DATOS!$A$2:$A$20000,Y653,DATOS!$G$2:$G$20000,CONFIG_METADATA!$B$4,DATOS!$I$2:$I$20000,"Orquesta/Banda/Conjunto"),"")))</f>
        <v/>
      </c>
      <c r="AB653" t="str">
        <f>IF(Y653="","",IF(Y653="[FÓRMULA MANUAL]","",IFERROR(AVERAGEIFS(DATOS!$K$2:$K$20000,DATOS!$A$2:$A$20000,Y653,DATOS!$G$2:$G$20000,CONFIG_METADATA!$B$4,DATOS!$I$2:$I$20000,"Música de Cámara"),"")))</f>
        <v/>
      </c>
      <c r="AC653" t="str">
        <f>IF(Y653="","",IF(Y653="[FÓRMULA MANUAL]","",IFERROR(SUMPRODUCT((DATOS!$A$2:$A$20000=Y653)*(DATOS!$G$2:$G$20000=CONFIG_METADATA!$B$4)*(COUNTIF(CONFIG_ASIGNATURAS!$B$7:$B$27,DATOS!$I$2:$I$20000)&gt;0)*(DATOS!$K$2:$K$20000))/SUMPRODUCT((DATOS!$A$2:$A$20000=Y653)*(DATOS!$G$2:$G$20000=CONFIG_METADATA!$B$4)*(COUNTIF(CONFIG_ASIGNATURAS!$B$7:$B$27,DATOS!$I$2:$I$20000)&gt;0)*1),"")))</f>
        <v/>
      </c>
      <c r="AF653" t="str">
        <f>IF(AE653="","",IF(AE653="[FÓRMULA MANUAL]","",IFERROR(AVERAGEIFS(DATOS!$K$2:$K$20000,DATOS!$A$2:$A$20000,AE653,DATOS!$G$2:$G$20000,CONFIG_METADATA!$B$4,DATOS!$I$2:$I$20000,"Análisis"),"")))</f>
        <v/>
      </c>
      <c r="AG653" t="str">
        <f>IF(AE653="","",IF(AE653="[FÓRMULA MANUAL]","",IFERROR(AVERAGEIFS(DATOS!$K$2:$K$20000,DATOS!$A$2:$A$20000,AE653,DATOS!$G$2:$G$20000,CONFIG_METADATA!$B$4,DATOS!$I$2:$I$20000,"Orquesta/Banda/Conjunto"),"")))</f>
        <v/>
      </c>
      <c r="AH653" t="str">
        <f>IF(AE653="","",IF(AE653="[FÓRMULA MANUAL]","",IFERROR(AVERAGEIFS(DATOS!$K$2:$K$20000,DATOS!$A$2:$A$20000,AE653,DATOS!$G$2:$G$20000,CONFIG_METADATA!$B$4,DATOS!$I$2:$I$20000,"Música de Cámara"),"")))</f>
        <v/>
      </c>
      <c r="AI653" t="str">
        <f>IF(AE653="","",IF(AE653="[FÓRMULA MANUAL]","",IFERROR(SUMPRODUCT((DATOS!$A$2:$A$20000=AE653)*(DATOS!$G$2:$G$20000=CONFIG_METADATA!$B$4)*(COUNTIF(CONFIG_ASIGNATURAS!$B$7:$B$27,DATOS!$I$2:$I$20000)&gt;0)*(DATOS!$K$2:$K$20000))/SUMPRODUCT((DATOS!$A$2:$A$20000=AE653)*(DATOS!$G$2:$G$20000=CONFIG_METADATA!$B$4)*(COUNTIF(CONFIG_ASIGNATURAS!$B$7:$B$27,DATOS!$I$2:$I$20000)&gt;0)*1),"")))</f>
        <v/>
      </c>
    </row>
    <row r="654" spans="2:35" x14ac:dyDescent="0.2">
      <c r="B654" t="str">
        <f>IF(A654="","",IF(A654="[FÓRMULA MANUAL]","",IFERROR(AVERAGEIFS(DATOS!$K$2:$K$20000,DATOS!$A$2:$A$20000,A654,DATOS!$G$2:$G$20000,CONFIG_METADATA!$B$4,DATOS!$I$2:$I$20000,"Lenguaje Musical"),"")))</f>
        <v/>
      </c>
      <c r="C654" t="str">
        <f>IF(A654="","",IF(A654="[FÓRMULA MANUAL]","",IFERROR(AVERAGEIFS(DATOS!$K$2:$K$20000,DATOS!$A$2:$A$20000,A654,DATOS!$G$2:$G$20000,CONFIG_METADATA!$B$4,DATOS!$I$2:$I$20000,"Orquesta/Banda/Conjunto"),"")))</f>
        <v/>
      </c>
      <c r="D654" t="str">
        <f>IF(A654="","",IF(A654="[FÓRMULA MANUAL]","",IFERROR(AVERAGEIFS(DATOS!$K$2:$K$20000,DATOS!$A$2:$A$20000,A654,DATOS!$G$2:$G$20000,CONFIG_METADATA!$B$4,DATOS!$I$2:$I$20000,"Conjunto"),"")))</f>
        <v/>
      </c>
      <c r="E654" t="str">
        <f>IF(A654="","",IF(A654="[FÓRMULA MANUAL]","",IFERROR(SUMPRODUCT((DATOS!$A$2:$A$20000=A654)*(DATOS!$G$2:$G$20000=CONFIG_METADATA!$B$4)*(COUNTIF(CONFIG_ASIGNATURAS!$B$7:$B$27,DATOS!$I$2:$I$20000)&gt;0)*(DATOS!$K$2:$K$20000))/SUMPRODUCT((DATOS!$A$2:$A$20000=A654)*(DATOS!$G$2:$G$20000=CONFIG_METADATA!$B$4)*(COUNTIF(CONFIG_ASIGNATURAS!$B$7:$B$27,DATOS!$I$2:$I$20000)&gt;0)*1),"")))</f>
        <v/>
      </c>
      <c r="H654" t="str">
        <f>IF(G654="","",IF(G654="[FÓRMULA MANUAL]","",IFERROR(AVERAGEIFS(DATOS!$K$2:$K$20000,DATOS!$A$2:$A$20000,G654,DATOS!$G$2:$G$20000,CONFIG_METADATA!$B$4,DATOS!$I$2:$I$20000,"Lenguaje Musical"),"")))</f>
        <v/>
      </c>
      <c r="I654" t="str">
        <f>IF(G654="","",IF(G654="[FÓRMULA MANUAL]","",IFERROR(AVERAGEIFS(DATOS!$K$2:$K$20000,DATOS!$A$2:$A$20000,G654,DATOS!$G$2:$G$20000,CONFIG_METADATA!$B$4,DATOS!$I$2:$I$20000,"Orquesta/Banda/Conjunto"),"")))</f>
        <v/>
      </c>
      <c r="J654" t="str">
        <f>IF(G654="","",IF(G654="[FÓRMULA MANUAL]","",IFERROR(AVERAGEIFS(DATOS!$K$2:$K$20000,DATOS!$A$2:$A$20000,G654,DATOS!$G$2:$G$20000,CONFIG_METADATA!$B$4,DATOS!$I$2:$I$20000,"Conjunto"),"")))</f>
        <v/>
      </c>
      <c r="K654" t="str">
        <f>IF(G654="","",IF(G654="[FÓRMULA MANUAL]","",IFERROR(SUMPRODUCT((DATOS!$A$2:$A$20000=G654)*(DATOS!$G$2:$G$20000=CONFIG_METADATA!$B$4)*(COUNTIF(CONFIG_ASIGNATURAS!$B$7:$B$27,DATOS!$I$2:$I$20000)&gt;0)*(DATOS!$K$2:$K$20000))/SUMPRODUCT((DATOS!$A$2:$A$20000=G654)*(DATOS!$G$2:$G$20000=CONFIG_METADATA!$B$4)*(COUNTIF(CONFIG_ASIGNATURAS!$B$7:$B$27,DATOS!$I$2:$I$20000)&gt;0)*1),"")))</f>
        <v/>
      </c>
      <c r="N654" t="str">
        <f>IF(M654="","",IF(M654="[FÓRMULA MANUAL]","",IFERROR(AVERAGEIFS(DATOS!$K$2:$K$20000,DATOS!$A$2:$A$20000,M654,DATOS!$G$2:$G$20000,CONFIG_METADATA!$B$4,DATOS!$I$2:$I$20000,"Armonía"),"")))</f>
        <v/>
      </c>
      <c r="O654" t="str">
        <f>IF(M654="","",IF(M654="[FÓRMULA MANUAL]","",IFERROR(AVERAGEIFS(DATOS!$K$2:$K$20000,DATOS!$A$2:$A$20000,M654,DATOS!$G$2:$G$20000,CONFIG_METADATA!$B$4,DATOS!$I$2:$I$20000,"Orquesta/Banda/Conjunto"),"")))</f>
        <v/>
      </c>
      <c r="P654" t="str">
        <f>IF(M654="","",IF(M654="[FÓRMULA MANUAL]","",IFERROR(AVERAGEIFS(DATOS!$K$2:$K$20000,DATOS!$A$2:$A$20000,M654,DATOS!$G$2:$G$20000,CONFIG_METADATA!$B$4,DATOS!$I$2:$I$20000,"Música de Cámara"),"")))</f>
        <v/>
      </c>
      <c r="Q654" t="str">
        <f>IF(M654="","",IF(M654="[FÓRMULA MANUAL]","",IFERROR(SUMPRODUCT((DATOS!$A$2:$A$20000=M654)*(DATOS!$G$2:$G$20000=CONFIG_METADATA!$B$4)*(COUNTIF(CONFIG_ASIGNATURAS!$B$7:$B$27,DATOS!$I$2:$I$20000)&gt;0)*(DATOS!$K$2:$K$20000))/SUMPRODUCT((DATOS!$A$2:$A$20000=M654)*(DATOS!$G$2:$G$20000=CONFIG_METADATA!$B$4)*(COUNTIF(CONFIG_ASIGNATURAS!$B$7:$B$27,DATOS!$I$2:$I$20000)&gt;0)*1),"")))</f>
        <v/>
      </c>
      <c r="T654" t="str">
        <f>IF(S654="","",IF(S654="[FÓRMULA MANUAL]","",IFERROR(AVERAGEIFS(DATOS!$K$2:$K$20000,DATOS!$A$2:$A$20000,S654,DATOS!$G$2:$G$20000,CONFIG_METADATA!$B$4,DATOS!$I$2:$I$20000,"Armonía"),"")))</f>
        <v/>
      </c>
      <c r="U654" t="str">
        <f>IF(S654="","",IF(S654="[FÓRMULA MANUAL]","",IFERROR(AVERAGEIFS(DATOS!$K$2:$K$20000,DATOS!$A$2:$A$20000,S654,DATOS!$G$2:$G$20000,CONFIG_METADATA!$B$4,DATOS!$I$2:$I$20000,"Orquesta/Banda/Conjunto"),"")))</f>
        <v/>
      </c>
      <c r="V654" t="str">
        <f>IF(S654="","",IF(S654="[FÓRMULA MANUAL]","",IFERROR(AVERAGEIFS(DATOS!$K$2:$K$20000,DATOS!$A$2:$A$20000,S654,DATOS!$G$2:$G$20000,CONFIG_METADATA!$B$4,DATOS!$I$2:$I$20000,"Música de Cámara"),"")))</f>
        <v/>
      </c>
      <c r="W654" t="str">
        <f>IF(S654="","",IF(S654="[FÓRMULA MANUAL]","",IFERROR(SUMPRODUCT((DATOS!$A$2:$A$20000=S654)*(DATOS!$G$2:$G$20000=CONFIG_METADATA!$B$4)*(COUNTIF(CONFIG_ASIGNATURAS!$B$7:$B$27,DATOS!$I$2:$I$20000)&gt;0)*(DATOS!$K$2:$K$20000))/SUMPRODUCT((DATOS!$A$2:$A$20000=S654)*(DATOS!$G$2:$G$20000=CONFIG_METADATA!$B$4)*(COUNTIF(CONFIG_ASIGNATURAS!$B$7:$B$27,DATOS!$I$2:$I$20000)&gt;0)*1),"")))</f>
        <v/>
      </c>
      <c r="Z654" t="str">
        <f>IF(Y654="","",IF(Y654="[FÓRMULA MANUAL]","",IFERROR(AVERAGEIFS(DATOS!$K$2:$K$20000,DATOS!$A$2:$A$20000,Y654,DATOS!$G$2:$G$20000,CONFIG_METADATA!$B$4,DATOS!$I$2:$I$20000,"Análisis"),"")))</f>
        <v/>
      </c>
      <c r="AA654" t="str">
        <f>IF(Y654="","",IF(Y654="[FÓRMULA MANUAL]","",IFERROR(AVERAGEIFS(DATOS!$K$2:$K$20000,DATOS!$A$2:$A$20000,Y654,DATOS!$G$2:$G$20000,CONFIG_METADATA!$B$4,DATOS!$I$2:$I$20000,"Orquesta/Banda/Conjunto"),"")))</f>
        <v/>
      </c>
      <c r="AB654" t="str">
        <f>IF(Y654="","",IF(Y654="[FÓRMULA MANUAL]","",IFERROR(AVERAGEIFS(DATOS!$K$2:$K$20000,DATOS!$A$2:$A$20000,Y654,DATOS!$G$2:$G$20000,CONFIG_METADATA!$B$4,DATOS!$I$2:$I$20000,"Música de Cámara"),"")))</f>
        <v/>
      </c>
      <c r="AC654" t="str">
        <f>IF(Y654="","",IF(Y654="[FÓRMULA MANUAL]","",IFERROR(SUMPRODUCT((DATOS!$A$2:$A$20000=Y654)*(DATOS!$G$2:$G$20000=CONFIG_METADATA!$B$4)*(COUNTIF(CONFIG_ASIGNATURAS!$B$7:$B$27,DATOS!$I$2:$I$20000)&gt;0)*(DATOS!$K$2:$K$20000))/SUMPRODUCT((DATOS!$A$2:$A$20000=Y654)*(DATOS!$G$2:$G$20000=CONFIG_METADATA!$B$4)*(COUNTIF(CONFIG_ASIGNATURAS!$B$7:$B$27,DATOS!$I$2:$I$20000)&gt;0)*1),"")))</f>
        <v/>
      </c>
      <c r="AF654" t="str">
        <f>IF(AE654="","",IF(AE654="[FÓRMULA MANUAL]","",IFERROR(AVERAGEIFS(DATOS!$K$2:$K$20000,DATOS!$A$2:$A$20000,AE654,DATOS!$G$2:$G$20000,CONFIG_METADATA!$B$4,DATOS!$I$2:$I$20000,"Análisis"),"")))</f>
        <v/>
      </c>
      <c r="AG654" t="str">
        <f>IF(AE654="","",IF(AE654="[FÓRMULA MANUAL]","",IFERROR(AVERAGEIFS(DATOS!$K$2:$K$20000,DATOS!$A$2:$A$20000,AE654,DATOS!$G$2:$G$20000,CONFIG_METADATA!$B$4,DATOS!$I$2:$I$20000,"Orquesta/Banda/Conjunto"),"")))</f>
        <v/>
      </c>
      <c r="AH654" t="str">
        <f>IF(AE654="","",IF(AE654="[FÓRMULA MANUAL]","",IFERROR(AVERAGEIFS(DATOS!$K$2:$K$20000,DATOS!$A$2:$A$20000,AE654,DATOS!$G$2:$G$20000,CONFIG_METADATA!$B$4,DATOS!$I$2:$I$20000,"Música de Cámara"),"")))</f>
        <v/>
      </c>
      <c r="AI654" t="str">
        <f>IF(AE654="","",IF(AE654="[FÓRMULA MANUAL]","",IFERROR(SUMPRODUCT((DATOS!$A$2:$A$20000=AE654)*(DATOS!$G$2:$G$20000=CONFIG_METADATA!$B$4)*(COUNTIF(CONFIG_ASIGNATURAS!$B$7:$B$27,DATOS!$I$2:$I$20000)&gt;0)*(DATOS!$K$2:$K$20000))/SUMPRODUCT((DATOS!$A$2:$A$20000=AE654)*(DATOS!$G$2:$G$20000=CONFIG_METADATA!$B$4)*(COUNTIF(CONFIG_ASIGNATURAS!$B$7:$B$27,DATOS!$I$2:$I$20000)&gt;0)*1),"")))</f>
        <v/>
      </c>
    </row>
    <row r="655" spans="2:35" x14ac:dyDescent="0.2">
      <c r="B655" t="str">
        <f>IF(A655="","",IF(A655="[FÓRMULA MANUAL]","",IFERROR(AVERAGEIFS(DATOS!$K$2:$K$20000,DATOS!$A$2:$A$20000,A655,DATOS!$G$2:$G$20000,CONFIG_METADATA!$B$4,DATOS!$I$2:$I$20000,"Lenguaje Musical"),"")))</f>
        <v/>
      </c>
      <c r="C655" t="str">
        <f>IF(A655="","",IF(A655="[FÓRMULA MANUAL]","",IFERROR(AVERAGEIFS(DATOS!$K$2:$K$20000,DATOS!$A$2:$A$20000,A655,DATOS!$G$2:$G$20000,CONFIG_METADATA!$B$4,DATOS!$I$2:$I$20000,"Orquesta/Banda/Conjunto"),"")))</f>
        <v/>
      </c>
      <c r="D655" t="str">
        <f>IF(A655="","",IF(A655="[FÓRMULA MANUAL]","",IFERROR(AVERAGEIFS(DATOS!$K$2:$K$20000,DATOS!$A$2:$A$20000,A655,DATOS!$G$2:$G$20000,CONFIG_METADATA!$B$4,DATOS!$I$2:$I$20000,"Conjunto"),"")))</f>
        <v/>
      </c>
      <c r="E655" t="str">
        <f>IF(A655="","",IF(A655="[FÓRMULA MANUAL]","",IFERROR(SUMPRODUCT((DATOS!$A$2:$A$20000=A655)*(DATOS!$G$2:$G$20000=CONFIG_METADATA!$B$4)*(COUNTIF(CONFIG_ASIGNATURAS!$B$7:$B$27,DATOS!$I$2:$I$20000)&gt;0)*(DATOS!$K$2:$K$20000))/SUMPRODUCT((DATOS!$A$2:$A$20000=A655)*(DATOS!$G$2:$G$20000=CONFIG_METADATA!$B$4)*(COUNTIF(CONFIG_ASIGNATURAS!$B$7:$B$27,DATOS!$I$2:$I$20000)&gt;0)*1),"")))</f>
        <v/>
      </c>
      <c r="H655" t="str">
        <f>IF(G655="","",IF(G655="[FÓRMULA MANUAL]","",IFERROR(AVERAGEIFS(DATOS!$K$2:$K$20000,DATOS!$A$2:$A$20000,G655,DATOS!$G$2:$G$20000,CONFIG_METADATA!$B$4,DATOS!$I$2:$I$20000,"Lenguaje Musical"),"")))</f>
        <v/>
      </c>
      <c r="I655" t="str">
        <f>IF(G655="","",IF(G655="[FÓRMULA MANUAL]","",IFERROR(AVERAGEIFS(DATOS!$K$2:$K$20000,DATOS!$A$2:$A$20000,G655,DATOS!$G$2:$G$20000,CONFIG_METADATA!$B$4,DATOS!$I$2:$I$20000,"Orquesta/Banda/Conjunto"),"")))</f>
        <v/>
      </c>
      <c r="J655" t="str">
        <f>IF(G655="","",IF(G655="[FÓRMULA MANUAL]","",IFERROR(AVERAGEIFS(DATOS!$K$2:$K$20000,DATOS!$A$2:$A$20000,G655,DATOS!$G$2:$G$20000,CONFIG_METADATA!$B$4,DATOS!$I$2:$I$20000,"Conjunto"),"")))</f>
        <v/>
      </c>
      <c r="K655" t="str">
        <f>IF(G655="","",IF(G655="[FÓRMULA MANUAL]","",IFERROR(SUMPRODUCT((DATOS!$A$2:$A$20000=G655)*(DATOS!$G$2:$G$20000=CONFIG_METADATA!$B$4)*(COUNTIF(CONFIG_ASIGNATURAS!$B$7:$B$27,DATOS!$I$2:$I$20000)&gt;0)*(DATOS!$K$2:$K$20000))/SUMPRODUCT((DATOS!$A$2:$A$20000=G655)*(DATOS!$G$2:$G$20000=CONFIG_METADATA!$B$4)*(COUNTIF(CONFIG_ASIGNATURAS!$B$7:$B$27,DATOS!$I$2:$I$20000)&gt;0)*1),"")))</f>
        <v/>
      </c>
      <c r="N655" t="str">
        <f>IF(M655="","",IF(M655="[FÓRMULA MANUAL]","",IFERROR(AVERAGEIFS(DATOS!$K$2:$K$20000,DATOS!$A$2:$A$20000,M655,DATOS!$G$2:$G$20000,CONFIG_METADATA!$B$4,DATOS!$I$2:$I$20000,"Armonía"),"")))</f>
        <v/>
      </c>
      <c r="O655" t="str">
        <f>IF(M655="","",IF(M655="[FÓRMULA MANUAL]","",IFERROR(AVERAGEIFS(DATOS!$K$2:$K$20000,DATOS!$A$2:$A$20000,M655,DATOS!$G$2:$G$20000,CONFIG_METADATA!$B$4,DATOS!$I$2:$I$20000,"Orquesta/Banda/Conjunto"),"")))</f>
        <v/>
      </c>
      <c r="P655" t="str">
        <f>IF(M655="","",IF(M655="[FÓRMULA MANUAL]","",IFERROR(AVERAGEIFS(DATOS!$K$2:$K$20000,DATOS!$A$2:$A$20000,M655,DATOS!$G$2:$G$20000,CONFIG_METADATA!$B$4,DATOS!$I$2:$I$20000,"Música de Cámara"),"")))</f>
        <v/>
      </c>
      <c r="Q655" t="str">
        <f>IF(M655="","",IF(M655="[FÓRMULA MANUAL]","",IFERROR(SUMPRODUCT((DATOS!$A$2:$A$20000=M655)*(DATOS!$G$2:$G$20000=CONFIG_METADATA!$B$4)*(COUNTIF(CONFIG_ASIGNATURAS!$B$7:$B$27,DATOS!$I$2:$I$20000)&gt;0)*(DATOS!$K$2:$K$20000))/SUMPRODUCT((DATOS!$A$2:$A$20000=M655)*(DATOS!$G$2:$G$20000=CONFIG_METADATA!$B$4)*(COUNTIF(CONFIG_ASIGNATURAS!$B$7:$B$27,DATOS!$I$2:$I$20000)&gt;0)*1),"")))</f>
        <v/>
      </c>
      <c r="T655" t="str">
        <f>IF(S655="","",IF(S655="[FÓRMULA MANUAL]","",IFERROR(AVERAGEIFS(DATOS!$K$2:$K$20000,DATOS!$A$2:$A$20000,S655,DATOS!$G$2:$G$20000,CONFIG_METADATA!$B$4,DATOS!$I$2:$I$20000,"Armonía"),"")))</f>
        <v/>
      </c>
      <c r="U655" t="str">
        <f>IF(S655="","",IF(S655="[FÓRMULA MANUAL]","",IFERROR(AVERAGEIFS(DATOS!$K$2:$K$20000,DATOS!$A$2:$A$20000,S655,DATOS!$G$2:$G$20000,CONFIG_METADATA!$B$4,DATOS!$I$2:$I$20000,"Orquesta/Banda/Conjunto"),"")))</f>
        <v/>
      </c>
      <c r="V655" t="str">
        <f>IF(S655="","",IF(S655="[FÓRMULA MANUAL]","",IFERROR(AVERAGEIFS(DATOS!$K$2:$K$20000,DATOS!$A$2:$A$20000,S655,DATOS!$G$2:$G$20000,CONFIG_METADATA!$B$4,DATOS!$I$2:$I$20000,"Música de Cámara"),"")))</f>
        <v/>
      </c>
      <c r="W655" t="str">
        <f>IF(S655="","",IF(S655="[FÓRMULA MANUAL]","",IFERROR(SUMPRODUCT((DATOS!$A$2:$A$20000=S655)*(DATOS!$G$2:$G$20000=CONFIG_METADATA!$B$4)*(COUNTIF(CONFIG_ASIGNATURAS!$B$7:$B$27,DATOS!$I$2:$I$20000)&gt;0)*(DATOS!$K$2:$K$20000))/SUMPRODUCT((DATOS!$A$2:$A$20000=S655)*(DATOS!$G$2:$G$20000=CONFIG_METADATA!$B$4)*(COUNTIF(CONFIG_ASIGNATURAS!$B$7:$B$27,DATOS!$I$2:$I$20000)&gt;0)*1),"")))</f>
        <v/>
      </c>
      <c r="Z655" t="str">
        <f>IF(Y655="","",IF(Y655="[FÓRMULA MANUAL]","",IFERROR(AVERAGEIFS(DATOS!$K$2:$K$20000,DATOS!$A$2:$A$20000,Y655,DATOS!$G$2:$G$20000,CONFIG_METADATA!$B$4,DATOS!$I$2:$I$20000,"Análisis"),"")))</f>
        <v/>
      </c>
      <c r="AA655" t="str">
        <f>IF(Y655="","",IF(Y655="[FÓRMULA MANUAL]","",IFERROR(AVERAGEIFS(DATOS!$K$2:$K$20000,DATOS!$A$2:$A$20000,Y655,DATOS!$G$2:$G$20000,CONFIG_METADATA!$B$4,DATOS!$I$2:$I$20000,"Orquesta/Banda/Conjunto"),"")))</f>
        <v/>
      </c>
      <c r="AB655" t="str">
        <f>IF(Y655="","",IF(Y655="[FÓRMULA MANUAL]","",IFERROR(AVERAGEIFS(DATOS!$K$2:$K$20000,DATOS!$A$2:$A$20000,Y655,DATOS!$G$2:$G$20000,CONFIG_METADATA!$B$4,DATOS!$I$2:$I$20000,"Música de Cámara"),"")))</f>
        <v/>
      </c>
      <c r="AC655" t="str">
        <f>IF(Y655="","",IF(Y655="[FÓRMULA MANUAL]","",IFERROR(SUMPRODUCT((DATOS!$A$2:$A$20000=Y655)*(DATOS!$G$2:$G$20000=CONFIG_METADATA!$B$4)*(COUNTIF(CONFIG_ASIGNATURAS!$B$7:$B$27,DATOS!$I$2:$I$20000)&gt;0)*(DATOS!$K$2:$K$20000))/SUMPRODUCT((DATOS!$A$2:$A$20000=Y655)*(DATOS!$G$2:$G$20000=CONFIG_METADATA!$B$4)*(COUNTIF(CONFIG_ASIGNATURAS!$B$7:$B$27,DATOS!$I$2:$I$20000)&gt;0)*1),"")))</f>
        <v/>
      </c>
      <c r="AF655" t="str">
        <f>IF(AE655="","",IF(AE655="[FÓRMULA MANUAL]","",IFERROR(AVERAGEIFS(DATOS!$K$2:$K$20000,DATOS!$A$2:$A$20000,AE655,DATOS!$G$2:$G$20000,CONFIG_METADATA!$B$4,DATOS!$I$2:$I$20000,"Análisis"),"")))</f>
        <v/>
      </c>
      <c r="AG655" t="str">
        <f>IF(AE655="","",IF(AE655="[FÓRMULA MANUAL]","",IFERROR(AVERAGEIFS(DATOS!$K$2:$K$20000,DATOS!$A$2:$A$20000,AE655,DATOS!$G$2:$G$20000,CONFIG_METADATA!$B$4,DATOS!$I$2:$I$20000,"Orquesta/Banda/Conjunto"),"")))</f>
        <v/>
      </c>
      <c r="AH655" t="str">
        <f>IF(AE655="","",IF(AE655="[FÓRMULA MANUAL]","",IFERROR(AVERAGEIFS(DATOS!$K$2:$K$20000,DATOS!$A$2:$A$20000,AE655,DATOS!$G$2:$G$20000,CONFIG_METADATA!$B$4,DATOS!$I$2:$I$20000,"Música de Cámara"),"")))</f>
        <v/>
      </c>
      <c r="AI655" t="str">
        <f>IF(AE655="","",IF(AE655="[FÓRMULA MANUAL]","",IFERROR(SUMPRODUCT((DATOS!$A$2:$A$20000=AE655)*(DATOS!$G$2:$G$20000=CONFIG_METADATA!$B$4)*(COUNTIF(CONFIG_ASIGNATURAS!$B$7:$B$27,DATOS!$I$2:$I$20000)&gt;0)*(DATOS!$K$2:$K$20000))/SUMPRODUCT((DATOS!$A$2:$A$20000=AE655)*(DATOS!$G$2:$G$20000=CONFIG_METADATA!$B$4)*(COUNTIF(CONFIG_ASIGNATURAS!$B$7:$B$27,DATOS!$I$2:$I$20000)&gt;0)*1),"")))</f>
        <v/>
      </c>
    </row>
    <row r="656" spans="2:35" x14ac:dyDescent="0.2">
      <c r="B656" t="str">
        <f>IF(A656="","",IF(A656="[FÓRMULA MANUAL]","",IFERROR(AVERAGEIFS(DATOS!$K$2:$K$20000,DATOS!$A$2:$A$20000,A656,DATOS!$G$2:$G$20000,CONFIG_METADATA!$B$4,DATOS!$I$2:$I$20000,"Lenguaje Musical"),"")))</f>
        <v/>
      </c>
      <c r="C656" t="str">
        <f>IF(A656="","",IF(A656="[FÓRMULA MANUAL]","",IFERROR(AVERAGEIFS(DATOS!$K$2:$K$20000,DATOS!$A$2:$A$20000,A656,DATOS!$G$2:$G$20000,CONFIG_METADATA!$B$4,DATOS!$I$2:$I$20000,"Orquesta/Banda/Conjunto"),"")))</f>
        <v/>
      </c>
      <c r="D656" t="str">
        <f>IF(A656="","",IF(A656="[FÓRMULA MANUAL]","",IFERROR(AVERAGEIFS(DATOS!$K$2:$K$20000,DATOS!$A$2:$A$20000,A656,DATOS!$G$2:$G$20000,CONFIG_METADATA!$B$4,DATOS!$I$2:$I$20000,"Conjunto"),"")))</f>
        <v/>
      </c>
      <c r="E656" t="str">
        <f>IF(A656="","",IF(A656="[FÓRMULA MANUAL]","",IFERROR(SUMPRODUCT((DATOS!$A$2:$A$20000=A656)*(DATOS!$G$2:$G$20000=CONFIG_METADATA!$B$4)*(COUNTIF(CONFIG_ASIGNATURAS!$B$7:$B$27,DATOS!$I$2:$I$20000)&gt;0)*(DATOS!$K$2:$K$20000))/SUMPRODUCT((DATOS!$A$2:$A$20000=A656)*(DATOS!$G$2:$G$20000=CONFIG_METADATA!$B$4)*(COUNTIF(CONFIG_ASIGNATURAS!$B$7:$B$27,DATOS!$I$2:$I$20000)&gt;0)*1),"")))</f>
        <v/>
      </c>
      <c r="H656" t="str">
        <f>IF(G656="","",IF(G656="[FÓRMULA MANUAL]","",IFERROR(AVERAGEIFS(DATOS!$K$2:$K$20000,DATOS!$A$2:$A$20000,G656,DATOS!$G$2:$G$20000,CONFIG_METADATA!$B$4,DATOS!$I$2:$I$20000,"Lenguaje Musical"),"")))</f>
        <v/>
      </c>
      <c r="I656" t="str">
        <f>IF(G656="","",IF(G656="[FÓRMULA MANUAL]","",IFERROR(AVERAGEIFS(DATOS!$K$2:$K$20000,DATOS!$A$2:$A$20000,G656,DATOS!$G$2:$G$20000,CONFIG_METADATA!$B$4,DATOS!$I$2:$I$20000,"Orquesta/Banda/Conjunto"),"")))</f>
        <v/>
      </c>
      <c r="J656" t="str">
        <f>IF(G656="","",IF(G656="[FÓRMULA MANUAL]","",IFERROR(AVERAGEIFS(DATOS!$K$2:$K$20000,DATOS!$A$2:$A$20000,G656,DATOS!$G$2:$G$20000,CONFIG_METADATA!$B$4,DATOS!$I$2:$I$20000,"Conjunto"),"")))</f>
        <v/>
      </c>
      <c r="K656" t="str">
        <f>IF(G656="","",IF(G656="[FÓRMULA MANUAL]","",IFERROR(SUMPRODUCT((DATOS!$A$2:$A$20000=G656)*(DATOS!$G$2:$G$20000=CONFIG_METADATA!$B$4)*(COUNTIF(CONFIG_ASIGNATURAS!$B$7:$B$27,DATOS!$I$2:$I$20000)&gt;0)*(DATOS!$K$2:$K$20000))/SUMPRODUCT((DATOS!$A$2:$A$20000=G656)*(DATOS!$G$2:$G$20000=CONFIG_METADATA!$B$4)*(COUNTIF(CONFIG_ASIGNATURAS!$B$7:$B$27,DATOS!$I$2:$I$20000)&gt;0)*1),"")))</f>
        <v/>
      </c>
      <c r="N656" t="str">
        <f>IF(M656="","",IF(M656="[FÓRMULA MANUAL]","",IFERROR(AVERAGEIFS(DATOS!$K$2:$K$20000,DATOS!$A$2:$A$20000,M656,DATOS!$G$2:$G$20000,CONFIG_METADATA!$B$4,DATOS!$I$2:$I$20000,"Armonía"),"")))</f>
        <v/>
      </c>
      <c r="O656" t="str">
        <f>IF(M656="","",IF(M656="[FÓRMULA MANUAL]","",IFERROR(AVERAGEIFS(DATOS!$K$2:$K$20000,DATOS!$A$2:$A$20000,M656,DATOS!$G$2:$G$20000,CONFIG_METADATA!$B$4,DATOS!$I$2:$I$20000,"Orquesta/Banda/Conjunto"),"")))</f>
        <v/>
      </c>
      <c r="P656" t="str">
        <f>IF(M656="","",IF(M656="[FÓRMULA MANUAL]","",IFERROR(AVERAGEIFS(DATOS!$K$2:$K$20000,DATOS!$A$2:$A$20000,M656,DATOS!$G$2:$G$20000,CONFIG_METADATA!$B$4,DATOS!$I$2:$I$20000,"Música de Cámara"),"")))</f>
        <v/>
      </c>
      <c r="Q656" t="str">
        <f>IF(M656="","",IF(M656="[FÓRMULA MANUAL]","",IFERROR(SUMPRODUCT((DATOS!$A$2:$A$20000=M656)*(DATOS!$G$2:$G$20000=CONFIG_METADATA!$B$4)*(COUNTIF(CONFIG_ASIGNATURAS!$B$7:$B$27,DATOS!$I$2:$I$20000)&gt;0)*(DATOS!$K$2:$K$20000))/SUMPRODUCT((DATOS!$A$2:$A$20000=M656)*(DATOS!$G$2:$G$20000=CONFIG_METADATA!$B$4)*(COUNTIF(CONFIG_ASIGNATURAS!$B$7:$B$27,DATOS!$I$2:$I$20000)&gt;0)*1),"")))</f>
        <v/>
      </c>
      <c r="T656" t="str">
        <f>IF(S656="","",IF(S656="[FÓRMULA MANUAL]","",IFERROR(AVERAGEIFS(DATOS!$K$2:$K$20000,DATOS!$A$2:$A$20000,S656,DATOS!$G$2:$G$20000,CONFIG_METADATA!$B$4,DATOS!$I$2:$I$20000,"Armonía"),"")))</f>
        <v/>
      </c>
      <c r="U656" t="str">
        <f>IF(S656="","",IF(S656="[FÓRMULA MANUAL]","",IFERROR(AVERAGEIFS(DATOS!$K$2:$K$20000,DATOS!$A$2:$A$20000,S656,DATOS!$G$2:$G$20000,CONFIG_METADATA!$B$4,DATOS!$I$2:$I$20000,"Orquesta/Banda/Conjunto"),"")))</f>
        <v/>
      </c>
      <c r="V656" t="str">
        <f>IF(S656="","",IF(S656="[FÓRMULA MANUAL]","",IFERROR(AVERAGEIFS(DATOS!$K$2:$K$20000,DATOS!$A$2:$A$20000,S656,DATOS!$G$2:$G$20000,CONFIG_METADATA!$B$4,DATOS!$I$2:$I$20000,"Música de Cámara"),"")))</f>
        <v/>
      </c>
      <c r="W656" t="str">
        <f>IF(S656="","",IF(S656="[FÓRMULA MANUAL]","",IFERROR(SUMPRODUCT((DATOS!$A$2:$A$20000=S656)*(DATOS!$G$2:$G$20000=CONFIG_METADATA!$B$4)*(COUNTIF(CONFIG_ASIGNATURAS!$B$7:$B$27,DATOS!$I$2:$I$20000)&gt;0)*(DATOS!$K$2:$K$20000))/SUMPRODUCT((DATOS!$A$2:$A$20000=S656)*(DATOS!$G$2:$G$20000=CONFIG_METADATA!$B$4)*(COUNTIF(CONFIG_ASIGNATURAS!$B$7:$B$27,DATOS!$I$2:$I$20000)&gt;0)*1),"")))</f>
        <v/>
      </c>
      <c r="Z656" t="str">
        <f>IF(Y656="","",IF(Y656="[FÓRMULA MANUAL]","",IFERROR(AVERAGEIFS(DATOS!$K$2:$K$20000,DATOS!$A$2:$A$20000,Y656,DATOS!$G$2:$G$20000,CONFIG_METADATA!$B$4,DATOS!$I$2:$I$20000,"Análisis"),"")))</f>
        <v/>
      </c>
      <c r="AA656" t="str">
        <f>IF(Y656="","",IF(Y656="[FÓRMULA MANUAL]","",IFERROR(AVERAGEIFS(DATOS!$K$2:$K$20000,DATOS!$A$2:$A$20000,Y656,DATOS!$G$2:$G$20000,CONFIG_METADATA!$B$4,DATOS!$I$2:$I$20000,"Orquesta/Banda/Conjunto"),"")))</f>
        <v/>
      </c>
      <c r="AB656" t="str">
        <f>IF(Y656="","",IF(Y656="[FÓRMULA MANUAL]","",IFERROR(AVERAGEIFS(DATOS!$K$2:$K$20000,DATOS!$A$2:$A$20000,Y656,DATOS!$G$2:$G$20000,CONFIG_METADATA!$B$4,DATOS!$I$2:$I$20000,"Música de Cámara"),"")))</f>
        <v/>
      </c>
      <c r="AC656" t="str">
        <f>IF(Y656="","",IF(Y656="[FÓRMULA MANUAL]","",IFERROR(SUMPRODUCT((DATOS!$A$2:$A$20000=Y656)*(DATOS!$G$2:$G$20000=CONFIG_METADATA!$B$4)*(COUNTIF(CONFIG_ASIGNATURAS!$B$7:$B$27,DATOS!$I$2:$I$20000)&gt;0)*(DATOS!$K$2:$K$20000))/SUMPRODUCT((DATOS!$A$2:$A$20000=Y656)*(DATOS!$G$2:$G$20000=CONFIG_METADATA!$B$4)*(COUNTIF(CONFIG_ASIGNATURAS!$B$7:$B$27,DATOS!$I$2:$I$20000)&gt;0)*1),"")))</f>
        <v/>
      </c>
      <c r="AF656" t="str">
        <f>IF(AE656="","",IF(AE656="[FÓRMULA MANUAL]","",IFERROR(AVERAGEIFS(DATOS!$K$2:$K$20000,DATOS!$A$2:$A$20000,AE656,DATOS!$G$2:$G$20000,CONFIG_METADATA!$B$4,DATOS!$I$2:$I$20000,"Análisis"),"")))</f>
        <v/>
      </c>
      <c r="AG656" t="str">
        <f>IF(AE656="","",IF(AE656="[FÓRMULA MANUAL]","",IFERROR(AVERAGEIFS(DATOS!$K$2:$K$20000,DATOS!$A$2:$A$20000,AE656,DATOS!$G$2:$G$20000,CONFIG_METADATA!$B$4,DATOS!$I$2:$I$20000,"Orquesta/Banda/Conjunto"),"")))</f>
        <v/>
      </c>
      <c r="AH656" t="str">
        <f>IF(AE656="","",IF(AE656="[FÓRMULA MANUAL]","",IFERROR(AVERAGEIFS(DATOS!$K$2:$K$20000,DATOS!$A$2:$A$20000,AE656,DATOS!$G$2:$G$20000,CONFIG_METADATA!$B$4,DATOS!$I$2:$I$20000,"Música de Cámara"),"")))</f>
        <v/>
      </c>
      <c r="AI656" t="str">
        <f>IF(AE656="","",IF(AE656="[FÓRMULA MANUAL]","",IFERROR(SUMPRODUCT((DATOS!$A$2:$A$20000=AE656)*(DATOS!$G$2:$G$20000=CONFIG_METADATA!$B$4)*(COUNTIF(CONFIG_ASIGNATURAS!$B$7:$B$27,DATOS!$I$2:$I$20000)&gt;0)*(DATOS!$K$2:$K$20000))/SUMPRODUCT((DATOS!$A$2:$A$20000=AE656)*(DATOS!$G$2:$G$20000=CONFIG_METADATA!$B$4)*(COUNTIF(CONFIG_ASIGNATURAS!$B$7:$B$27,DATOS!$I$2:$I$20000)&gt;0)*1),"")))</f>
        <v/>
      </c>
    </row>
    <row r="657" spans="2:35" x14ac:dyDescent="0.2">
      <c r="B657" t="str">
        <f>IF(A657="","",IF(A657="[FÓRMULA MANUAL]","",IFERROR(AVERAGEIFS(DATOS!$K$2:$K$20000,DATOS!$A$2:$A$20000,A657,DATOS!$G$2:$G$20000,CONFIG_METADATA!$B$4,DATOS!$I$2:$I$20000,"Lenguaje Musical"),"")))</f>
        <v/>
      </c>
      <c r="C657" t="str">
        <f>IF(A657="","",IF(A657="[FÓRMULA MANUAL]","",IFERROR(AVERAGEIFS(DATOS!$K$2:$K$20000,DATOS!$A$2:$A$20000,A657,DATOS!$G$2:$G$20000,CONFIG_METADATA!$B$4,DATOS!$I$2:$I$20000,"Orquesta/Banda/Conjunto"),"")))</f>
        <v/>
      </c>
      <c r="D657" t="str">
        <f>IF(A657="","",IF(A657="[FÓRMULA MANUAL]","",IFERROR(AVERAGEIFS(DATOS!$K$2:$K$20000,DATOS!$A$2:$A$20000,A657,DATOS!$G$2:$G$20000,CONFIG_METADATA!$B$4,DATOS!$I$2:$I$20000,"Conjunto"),"")))</f>
        <v/>
      </c>
      <c r="E657" t="str">
        <f>IF(A657="","",IF(A657="[FÓRMULA MANUAL]","",IFERROR(SUMPRODUCT((DATOS!$A$2:$A$20000=A657)*(DATOS!$G$2:$G$20000=CONFIG_METADATA!$B$4)*(COUNTIF(CONFIG_ASIGNATURAS!$B$7:$B$27,DATOS!$I$2:$I$20000)&gt;0)*(DATOS!$K$2:$K$20000))/SUMPRODUCT((DATOS!$A$2:$A$20000=A657)*(DATOS!$G$2:$G$20000=CONFIG_METADATA!$B$4)*(COUNTIF(CONFIG_ASIGNATURAS!$B$7:$B$27,DATOS!$I$2:$I$20000)&gt;0)*1),"")))</f>
        <v/>
      </c>
      <c r="H657" t="str">
        <f>IF(G657="","",IF(G657="[FÓRMULA MANUAL]","",IFERROR(AVERAGEIFS(DATOS!$K$2:$K$20000,DATOS!$A$2:$A$20000,G657,DATOS!$G$2:$G$20000,CONFIG_METADATA!$B$4,DATOS!$I$2:$I$20000,"Lenguaje Musical"),"")))</f>
        <v/>
      </c>
      <c r="I657" t="str">
        <f>IF(G657="","",IF(G657="[FÓRMULA MANUAL]","",IFERROR(AVERAGEIFS(DATOS!$K$2:$K$20000,DATOS!$A$2:$A$20000,G657,DATOS!$G$2:$G$20000,CONFIG_METADATA!$B$4,DATOS!$I$2:$I$20000,"Orquesta/Banda/Conjunto"),"")))</f>
        <v/>
      </c>
      <c r="J657" t="str">
        <f>IF(G657="","",IF(G657="[FÓRMULA MANUAL]","",IFERROR(AVERAGEIFS(DATOS!$K$2:$K$20000,DATOS!$A$2:$A$20000,G657,DATOS!$G$2:$G$20000,CONFIG_METADATA!$B$4,DATOS!$I$2:$I$20000,"Conjunto"),"")))</f>
        <v/>
      </c>
      <c r="K657" t="str">
        <f>IF(G657="","",IF(G657="[FÓRMULA MANUAL]","",IFERROR(SUMPRODUCT((DATOS!$A$2:$A$20000=G657)*(DATOS!$G$2:$G$20000=CONFIG_METADATA!$B$4)*(COUNTIF(CONFIG_ASIGNATURAS!$B$7:$B$27,DATOS!$I$2:$I$20000)&gt;0)*(DATOS!$K$2:$K$20000))/SUMPRODUCT((DATOS!$A$2:$A$20000=G657)*(DATOS!$G$2:$G$20000=CONFIG_METADATA!$B$4)*(COUNTIF(CONFIG_ASIGNATURAS!$B$7:$B$27,DATOS!$I$2:$I$20000)&gt;0)*1),"")))</f>
        <v/>
      </c>
      <c r="N657" t="str">
        <f>IF(M657="","",IF(M657="[FÓRMULA MANUAL]","",IFERROR(AVERAGEIFS(DATOS!$K$2:$K$20000,DATOS!$A$2:$A$20000,M657,DATOS!$G$2:$G$20000,CONFIG_METADATA!$B$4,DATOS!$I$2:$I$20000,"Armonía"),"")))</f>
        <v/>
      </c>
      <c r="O657" t="str">
        <f>IF(M657="","",IF(M657="[FÓRMULA MANUAL]","",IFERROR(AVERAGEIFS(DATOS!$K$2:$K$20000,DATOS!$A$2:$A$20000,M657,DATOS!$G$2:$G$20000,CONFIG_METADATA!$B$4,DATOS!$I$2:$I$20000,"Orquesta/Banda/Conjunto"),"")))</f>
        <v/>
      </c>
      <c r="P657" t="str">
        <f>IF(M657="","",IF(M657="[FÓRMULA MANUAL]","",IFERROR(AVERAGEIFS(DATOS!$K$2:$K$20000,DATOS!$A$2:$A$20000,M657,DATOS!$G$2:$G$20000,CONFIG_METADATA!$B$4,DATOS!$I$2:$I$20000,"Música de Cámara"),"")))</f>
        <v/>
      </c>
      <c r="Q657" t="str">
        <f>IF(M657="","",IF(M657="[FÓRMULA MANUAL]","",IFERROR(SUMPRODUCT((DATOS!$A$2:$A$20000=M657)*(DATOS!$G$2:$G$20000=CONFIG_METADATA!$B$4)*(COUNTIF(CONFIG_ASIGNATURAS!$B$7:$B$27,DATOS!$I$2:$I$20000)&gt;0)*(DATOS!$K$2:$K$20000))/SUMPRODUCT((DATOS!$A$2:$A$20000=M657)*(DATOS!$G$2:$G$20000=CONFIG_METADATA!$B$4)*(COUNTIF(CONFIG_ASIGNATURAS!$B$7:$B$27,DATOS!$I$2:$I$20000)&gt;0)*1),"")))</f>
        <v/>
      </c>
      <c r="T657" t="str">
        <f>IF(S657="","",IF(S657="[FÓRMULA MANUAL]","",IFERROR(AVERAGEIFS(DATOS!$K$2:$K$20000,DATOS!$A$2:$A$20000,S657,DATOS!$G$2:$G$20000,CONFIG_METADATA!$B$4,DATOS!$I$2:$I$20000,"Armonía"),"")))</f>
        <v/>
      </c>
      <c r="U657" t="str">
        <f>IF(S657="","",IF(S657="[FÓRMULA MANUAL]","",IFERROR(AVERAGEIFS(DATOS!$K$2:$K$20000,DATOS!$A$2:$A$20000,S657,DATOS!$G$2:$G$20000,CONFIG_METADATA!$B$4,DATOS!$I$2:$I$20000,"Orquesta/Banda/Conjunto"),"")))</f>
        <v/>
      </c>
      <c r="V657" t="str">
        <f>IF(S657="","",IF(S657="[FÓRMULA MANUAL]","",IFERROR(AVERAGEIFS(DATOS!$K$2:$K$20000,DATOS!$A$2:$A$20000,S657,DATOS!$G$2:$G$20000,CONFIG_METADATA!$B$4,DATOS!$I$2:$I$20000,"Música de Cámara"),"")))</f>
        <v/>
      </c>
      <c r="W657" t="str">
        <f>IF(S657="","",IF(S657="[FÓRMULA MANUAL]","",IFERROR(SUMPRODUCT((DATOS!$A$2:$A$20000=S657)*(DATOS!$G$2:$G$20000=CONFIG_METADATA!$B$4)*(COUNTIF(CONFIG_ASIGNATURAS!$B$7:$B$27,DATOS!$I$2:$I$20000)&gt;0)*(DATOS!$K$2:$K$20000))/SUMPRODUCT((DATOS!$A$2:$A$20000=S657)*(DATOS!$G$2:$G$20000=CONFIG_METADATA!$B$4)*(COUNTIF(CONFIG_ASIGNATURAS!$B$7:$B$27,DATOS!$I$2:$I$20000)&gt;0)*1),"")))</f>
        <v/>
      </c>
      <c r="Z657" t="str">
        <f>IF(Y657="","",IF(Y657="[FÓRMULA MANUAL]","",IFERROR(AVERAGEIFS(DATOS!$K$2:$K$20000,DATOS!$A$2:$A$20000,Y657,DATOS!$G$2:$G$20000,CONFIG_METADATA!$B$4,DATOS!$I$2:$I$20000,"Análisis"),"")))</f>
        <v/>
      </c>
      <c r="AA657" t="str">
        <f>IF(Y657="","",IF(Y657="[FÓRMULA MANUAL]","",IFERROR(AVERAGEIFS(DATOS!$K$2:$K$20000,DATOS!$A$2:$A$20000,Y657,DATOS!$G$2:$G$20000,CONFIG_METADATA!$B$4,DATOS!$I$2:$I$20000,"Orquesta/Banda/Conjunto"),"")))</f>
        <v/>
      </c>
      <c r="AB657" t="str">
        <f>IF(Y657="","",IF(Y657="[FÓRMULA MANUAL]","",IFERROR(AVERAGEIFS(DATOS!$K$2:$K$20000,DATOS!$A$2:$A$20000,Y657,DATOS!$G$2:$G$20000,CONFIG_METADATA!$B$4,DATOS!$I$2:$I$20000,"Música de Cámara"),"")))</f>
        <v/>
      </c>
      <c r="AC657" t="str">
        <f>IF(Y657="","",IF(Y657="[FÓRMULA MANUAL]","",IFERROR(SUMPRODUCT((DATOS!$A$2:$A$20000=Y657)*(DATOS!$G$2:$G$20000=CONFIG_METADATA!$B$4)*(COUNTIF(CONFIG_ASIGNATURAS!$B$7:$B$27,DATOS!$I$2:$I$20000)&gt;0)*(DATOS!$K$2:$K$20000))/SUMPRODUCT((DATOS!$A$2:$A$20000=Y657)*(DATOS!$G$2:$G$20000=CONFIG_METADATA!$B$4)*(COUNTIF(CONFIG_ASIGNATURAS!$B$7:$B$27,DATOS!$I$2:$I$20000)&gt;0)*1),"")))</f>
        <v/>
      </c>
      <c r="AF657" t="str">
        <f>IF(AE657="","",IF(AE657="[FÓRMULA MANUAL]","",IFERROR(AVERAGEIFS(DATOS!$K$2:$K$20000,DATOS!$A$2:$A$20000,AE657,DATOS!$G$2:$G$20000,CONFIG_METADATA!$B$4,DATOS!$I$2:$I$20000,"Análisis"),"")))</f>
        <v/>
      </c>
      <c r="AG657" t="str">
        <f>IF(AE657="","",IF(AE657="[FÓRMULA MANUAL]","",IFERROR(AVERAGEIFS(DATOS!$K$2:$K$20000,DATOS!$A$2:$A$20000,AE657,DATOS!$G$2:$G$20000,CONFIG_METADATA!$B$4,DATOS!$I$2:$I$20000,"Orquesta/Banda/Conjunto"),"")))</f>
        <v/>
      </c>
      <c r="AH657" t="str">
        <f>IF(AE657="","",IF(AE657="[FÓRMULA MANUAL]","",IFERROR(AVERAGEIFS(DATOS!$K$2:$K$20000,DATOS!$A$2:$A$20000,AE657,DATOS!$G$2:$G$20000,CONFIG_METADATA!$B$4,DATOS!$I$2:$I$20000,"Música de Cámara"),"")))</f>
        <v/>
      </c>
      <c r="AI657" t="str">
        <f>IF(AE657="","",IF(AE657="[FÓRMULA MANUAL]","",IFERROR(SUMPRODUCT((DATOS!$A$2:$A$20000=AE657)*(DATOS!$G$2:$G$20000=CONFIG_METADATA!$B$4)*(COUNTIF(CONFIG_ASIGNATURAS!$B$7:$B$27,DATOS!$I$2:$I$20000)&gt;0)*(DATOS!$K$2:$K$20000))/SUMPRODUCT((DATOS!$A$2:$A$20000=AE657)*(DATOS!$G$2:$G$20000=CONFIG_METADATA!$B$4)*(COUNTIF(CONFIG_ASIGNATURAS!$B$7:$B$27,DATOS!$I$2:$I$20000)&gt;0)*1),"")))</f>
        <v/>
      </c>
    </row>
    <row r="658" spans="2:35" x14ac:dyDescent="0.2">
      <c r="B658" t="str">
        <f>IF(A658="","",IF(A658="[FÓRMULA MANUAL]","",IFERROR(AVERAGEIFS(DATOS!$K$2:$K$20000,DATOS!$A$2:$A$20000,A658,DATOS!$G$2:$G$20000,CONFIG_METADATA!$B$4,DATOS!$I$2:$I$20000,"Lenguaje Musical"),"")))</f>
        <v/>
      </c>
      <c r="C658" t="str">
        <f>IF(A658="","",IF(A658="[FÓRMULA MANUAL]","",IFERROR(AVERAGEIFS(DATOS!$K$2:$K$20000,DATOS!$A$2:$A$20000,A658,DATOS!$G$2:$G$20000,CONFIG_METADATA!$B$4,DATOS!$I$2:$I$20000,"Orquesta/Banda/Conjunto"),"")))</f>
        <v/>
      </c>
      <c r="D658" t="str">
        <f>IF(A658="","",IF(A658="[FÓRMULA MANUAL]","",IFERROR(AVERAGEIFS(DATOS!$K$2:$K$20000,DATOS!$A$2:$A$20000,A658,DATOS!$G$2:$G$20000,CONFIG_METADATA!$B$4,DATOS!$I$2:$I$20000,"Conjunto"),"")))</f>
        <v/>
      </c>
      <c r="E658" t="str">
        <f>IF(A658="","",IF(A658="[FÓRMULA MANUAL]","",IFERROR(SUMPRODUCT((DATOS!$A$2:$A$20000=A658)*(DATOS!$G$2:$G$20000=CONFIG_METADATA!$B$4)*(COUNTIF(CONFIG_ASIGNATURAS!$B$7:$B$27,DATOS!$I$2:$I$20000)&gt;0)*(DATOS!$K$2:$K$20000))/SUMPRODUCT((DATOS!$A$2:$A$20000=A658)*(DATOS!$G$2:$G$20000=CONFIG_METADATA!$B$4)*(COUNTIF(CONFIG_ASIGNATURAS!$B$7:$B$27,DATOS!$I$2:$I$20000)&gt;0)*1),"")))</f>
        <v/>
      </c>
      <c r="H658" t="str">
        <f>IF(G658="","",IF(G658="[FÓRMULA MANUAL]","",IFERROR(AVERAGEIFS(DATOS!$K$2:$K$20000,DATOS!$A$2:$A$20000,G658,DATOS!$G$2:$G$20000,CONFIG_METADATA!$B$4,DATOS!$I$2:$I$20000,"Lenguaje Musical"),"")))</f>
        <v/>
      </c>
      <c r="I658" t="str">
        <f>IF(G658="","",IF(G658="[FÓRMULA MANUAL]","",IFERROR(AVERAGEIFS(DATOS!$K$2:$K$20000,DATOS!$A$2:$A$20000,G658,DATOS!$G$2:$G$20000,CONFIG_METADATA!$B$4,DATOS!$I$2:$I$20000,"Orquesta/Banda/Conjunto"),"")))</f>
        <v/>
      </c>
      <c r="J658" t="str">
        <f>IF(G658="","",IF(G658="[FÓRMULA MANUAL]","",IFERROR(AVERAGEIFS(DATOS!$K$2:$K$20000,DATOS!$A$2:$A$20000,G658,DATOS!$G$2:$G$20000,CONFIG_METADATA!$B$4,DATOS!$I$2:$I$20000,"Conjunto"),"")))</f>
        <v/>
      </c>
      <c r="K658" t="str">
        <f>IF(G658="","",IF(G658="[FÓRMULA MANUAL]","",IFERROR(SUMPRODUCT((DATOS!$A$2:$A$20000=G658)*(DATOS!$G$2:$G$20000=CONFIG_METADATA!$B$4)*(COUNTIF(CONFIG_ASIGNATURAS!$B$7:$B$27,DATOS!$I$2:$I$20000)&gt;0)*(DATOS!$K$2:$K$20000))/SUMPRODUCT((DATOS!$A$2:$A$20000=G658)*(DATOS!$G$2:$G$20000=CONFIG_METADATA!$B$4)*(COUNTIF(CONFIG_ASIGNATURAS!$B$7:$B$27,DATOS!$I$2:$I$20000)&gt;0)*1),"")))</f>
        <v/>
      </c>
      <c r="N658" t="str">
        <f>IF(M658="","",IF(M658="[FÓRMULA MANUAL]","",IFERROR(AVERAGEIFS(DATOS!$K$2:$K$20000,DATOS!$A$2:$A$20000,M658,DATOS!$G$2:$G$20000,CONFIG_METADATA!$B$4,DATOS!$I$2:$I$20000,"Armonía"),"")))</f>
        <v/>
      </c>
      <c r="O658" t="str">
        <f>IF(M658="","",IF(M658="[FÓRMULA MANUAL]","",IFERROR(AVERAGEIFS(DATOS!$K$2:$K$20000,DATOS!$A$2:$A$20000,M658,DATOS!$G$2:$G$20000,CONFIG_METADATA!$B$4,DATOS!$I$2:$I$20000,"Orquesta/Banda/Conjunto"),"")))</f>
        <v/>
      </c>
      <c r="P658" t="str">
        <f>IF(M658="","",IF(M658="[FÓRMULA MANUAL]","",IFERROR(AVERAGEIFS(DATOS!$K$2:$K$20000,DATOS!$A$2:$A$20000,M658,DATOS!$G$2:$G$20000,CONFIG_METADATA!$B$4,DATOS!$I$2:$I$20000,"Música de Cámara"),"")))</f>
        <v/>
      </c>
      <c r="Q658" t="str">
        <f>IF(M658="","",IF(M658="[FÓRMULA MANUAL]","",IFERROR(SUMPRODUCT((DATOS!$A$2:$A$20000=M658)*(DATOS!$G$2:$G$20000=CONFIG_METADATA!$B$4)*(COUNTIF(CONFIG_ASIGNATURAS!$B$7:$B$27,DATOS!$I$2:$I$20000)&gt;0)*(DATOS!$K$2:$K$20000))/SUMPRODUCT((DATOS!$A$2:$A$20000=M658)*(DATOS!$G$2:$G$20000=CONFIG_METADATA!$B$4)*(COUNTIF(CONFIG_ASIGNATURAS!$B$7:$B$27,DATOS!$I$2:$I$20000)&gt;0)*1),"")))</f>
        <v/>
      </c>
      <c r="T658" t="str">
        <f>IF(S658="","",IF(S658="[FÓRMULA MANUAL]","",IFERROR(AVERAGEIFS(DATOS!$K$2:$K$20000,DATOS!$A$2:$A$20000,S658,DATOS!$G$2:$G$20000,CONFIG_METADATA!$B$4,DATOS!$I$2:$I$20000,"Armonía"),"")))</f>
        <v/>
      </c>
      <c r="U658" t="str">
        <f>IF(S658="","",IF(S658="[FÓRMULA MANUAL]","",IFERROR(AVERAGEIFS(DATOS!$K$2:$K$20000,DATOS!$A$2:$A$20000,S658,DATOS!$G$2:$G$20000,CONFIG_METADATA!$B$4,DATOS!$I$2:$I$20000,"Orquesta/Banda/Conjunto"),"")))</f>
        <v/>
      </c>
      <c r="V658" t="str">
        <f>IF(S658="","",IF(S658="[FÓRMULA MANUAL]","",IFERROR(AVERAGEIFS(DATOS!$K$2:$K$20000,DATOS!$A$2:$A$20000,S658,DATOS!$G$2:$G$20000,CONFIG_METADATA!$B$4,DATOS!$I$2:$I$20000,"Música de Cámara"),"")))</f>
        <v/>
      </c>
      <c r="W658" t="str">
        <f>IF(S658="","",IF(S658="[FÓRMULA MANUAL]","",IFERROR(SUMPRODUCT((DATOS!$A$2:$A$20000=S658)*(DATOS!$G$2:$G$20000=CONFIG_METADATA!$B$4)*(COUNTIF(CONFIG_ASIGNATURAS!$B$7:$B$27,DATOS!$I$2:$I$20000)&gt;0)*(DATOS!$K$2:$K$20000))/SUMPRODUCT((DATOS!$A$2:$A$20000=S658)*(DATOS!$G$2:$G$20000=CONFIG_METADATA!$B$4)*(COUNTIF(CONFIG_ASIGNATURAS!$B$7:$B$27,DATOS!$I$2:$I$20000)&gt;0)*1),"")))</f>
        <v/>
      </c>
      <c r="Z658" t="str">
        <f>IF(Y658="","",IF(Y658="[FÓRMULA MANUAL]","",IFERROR(AVERAGEIFS(DATOS!$K$2:$K$20000,DATOS!$A$2:$A$20000,Y658,DATOS!$G$2:$G$20000,CONFIG_METADATA!$B$4,DATOS!$I$2:$I$20000,"Análisis"),"")))</f>
        <v/>
      </c>
      <c r="AA658" t="str">
        <f>IF(Y658="","",IF(Y658="[FÓRMULA MANUAL]","",IFERROR(AVERAGEIFS(DATOS!$K$2:$K$20000,DATOS!$A$2:$A$20000,Y658,DATOS!$G$2:$G$20000,CONFIG_METADATA!$B$4,DATOS!$I$2:$I$20000,"Orquesta/Banda/Conjunto"),"")))</f>
        <v/>
      </c>
      <c r="AB658" t="str">
        <f>IF(Y658="","",IF(Y658="[FÓRMULA MANUAL]","",IFERROR(AVERAGEIFS(DATOS!$K$2:$K$20000,DATOS!$A$2:$A$20000,Y658,DATOS!$G$2:$G$20000,CONFIG_METADATA!$B$4,DATOS!$I$2:$I$20000,"Música de Cámara"),"")))</f>
        <v/>
      </c>
      <c r="AC658" t="str">
        <f>IF(Y658="","",IF(Y658="[FÓRMULA MANUAL]","",IFERROR(SUMPRODUCT((DATOS!$A$2:$A$20000=Y658)*(DATOS!$G$2:$G$20000=CONFIG_METADATA!$B$4)*(COUNTIF(CONFIG_ASIGNATURAS!$B$7:$B$27,DATOS!$I$2:$I$20000)&gt;0)*(DATOS!$K$2:$K$20000))/SUMPRODUCT((DATOS!$A$2:$A$20000=Y658)*(DATOS!$G$2:$G$20000=CONFIG_METADATA!$B$4)*(COUNTIF(CONFIG_ASIGNATURAS!$B$7:$B$27,DATOS!$I$2:$I$20000)&gt;0)*1),"")))</f>
        <v/>
      </c>
      <c r="AF658" t="str">
        <f>IF(AE658="","",IF(AE658="[FÓRMULA MANUAL]","",IFERROR(AVERAGEIFS(DATOS!$K$2:$K$20000,DATOS!$A$2:$A$20000,AE658,DATOS!$G$2:$G$20000,CONFIG_METADATA!$B$4,DATOS!$I$2:$I$20000,"Análisis"),"")))</f>
        <v/>
      </c>
      <c r="AG658" t="str">
        <f>IF(AE658="","",IF(AE658="[FÓRMULA MANUAL]","",IFERROR(AVERAGEIFS(DATOS!$K$2:$K$20000,DATOS!$A$2:$A$20000,AE658,DATOS!$G$2:$G$20000,CONFIG_METADATA!$B$4,DATOS!$I$2:$I$20000,"Orquesta/Banda/Conjunto"),"")))</f>
        <v/>
      </c>
      <c r="AH658" t="str">
        <f>IF(AE658="","",IF(AE658="[FÓRMULA MANUAL]","",IFERROR(AVERAGEIFS(DATOS!$K$2:$K$20000,DATOS!$A$2:$A$20000,AE658,DATOS!$G$2:$G$20000,CONFIG_METADATA!$B$4,DATOS!$I$2:$I$20000,"Música de Cámara"),"")))</f>
        <v/>
      </c>
      <c r="AI658" t="str">
        <f>IF(AE658="","",IF(AE658="[FÓRMULA MANUAL]","",IFERROR(SUMPRODUCT((DATOS!$A$2:$A$20000=AE658)*(DATOS!$G$2:$G$20000=CONFIG_METADATA!$B$4)*(COUNTIF(CONFIG_ASIGNATURAS!$B$7:$B$27,DATOS!$I$2:$I$20000)&gt;0)*(DATOS!$K$2:$K$20000))/SUMPRODUCT((DATOS!$A$2:$A$20000=AE658)*(DATOS!$G$2:$G$20000=CONFIG_METADATA!$B$4)*(COUNTIF(CONFIG_ASIGNATURAS!$B$7:$B$27,DATOS!$I$2:$I$20000)&gt;0)*1),"")))</f>
        <v/>
      </c>
    </row>
    <row r="659" spans="2:35" x14ac:dyDescent="0.2">
      <c r="B659" t="str">
        <f>IF(A659="","",IF(A659="[FÓRMULA MANUAL]","",IFERROR(AVERAGEIFS(DATOS!$K$2:$K$20000,DATOS!$A$2:$A$20000,A659,DATOS!$G$2:$G$20000,CONFIG_METADATA!$B$4,DATOS!$I$2:$I$20000,"Lenguaje Musical"),"")))</f>
        <v/>
      </c>
      <c r="C659" t="str">
        <f>IF(A659="","",IF(A659="[FÓRMULA MANUAL]","",IFERROR(AVERAGEIFS(DATOS!$K$2:$K$20000,DATOS!$A$2:$A$20000,A659,DATOS!$G$2:$G$20000,CONFIG_METADATA!$B$4,DATOS!$I$2:$I$20000,"Orquesta/Banda/Conjunto"),"")))</f>
        <v/>
      </c>
      <c r="D659" t="str">
        <f>IF(A659="","",IF(A659="[FÓRMULA MANUAL]","",IFERROR(AVERAGEIFS(DATOS!$K$2:$K$20000,DATOS!$A$2:$A$20000,A659,DATOS!$G$2:$G$20000,CONFIG_METADATA!$B$4,DATOS!$I$2:$I$20000,"Conjunto"),"")))</f>
        <v/>
      </c>
      <c r="E659" t="str">
        <f>IF(A659="","",IF(A659="[FÓRMULA MANUAL]","",IFERROR(SUMPRODUCT((DATOS!$A$2:$A$20000=A659)*(DATOS!$G$2:$G$20000=CONFIG_METADATA!$B$4)*(COUNTIF(CONFIG_ASIGNATURAS!$B$7:$B$27,DATOS!$I$2:$I$20000)&gt;0)*(DATOS!$K$2:$K$20000))/SUMPRODUCT((DATOS!$A$2:$A$20000=A659)*(DATOS!$G$2:$G$20000=CONFIG_METADATA!$B$4)*(COUNTIF(CONFIG_ASIGNATURAS!$B$7:$B$27,DATOS!$I$2:$I$20000)&gt;0)*1),"")))</f>
        <v/>
      </c>
      <c r="H659" t="str">
        <f>IF(G659="","",IF(G659="[FÓRMULA MANUAL]","",IFERROR(AVERAGEIFS(DATOS!$K$2:$K$20000,DATOS!$A$2:$A$20000,G659,DATOS!$G$2:$G$20000,CONFIG_METADATA!$B$4,DATOS!$I$2:$I$20000,"Lenguaje Musical"),"")))</f>
        <v/>
      </c>
      <c r="I659" t="str">
        <f>IF(G659="","",IF(G659="[FÓRMULA MANUAL]","",IFERROR(AVERAGEIFS(DATOS!$K$2:$K$20000,DATOS!$A$2:$A$20000,G659,DATOS!$G$2:$G$20000,CONFIG_METADATA!$B$4,DATOS!$I$2:$I$20000,"Orquesta/Banda/Conjunto"),"")))</f>
        <v/>
      </c>
      <c r="J659" t="str">
        <f>IF(G659="","",IF(G659="[FÓRMULA MANUAL]","",IFERROR(AVERAGEIFS(DATOS!$K$2:$K$20000,DATOS!$A$2:$A$20000,G659,DATOS!$G$2:$G$20000,CONFIG_METADATA!$B$4,DATOS!$I$2:$I$20000,"Conjunto"),"")))</f>
        <v/>
      </c>
      <c r="K659" t="str">
        <f>IF(G659="","",IF(G659="[FÓRMULA MANUAL]","",IFERROR(SUMPRODUCT((DATOS!$A$2:$A$20000=G659)*(DATOS!$G$2:$G$20000=CONFIG_METADATA!$B$4)*(COUNTIF(CONFIG_ASIGNATURAS!$B$7:$B$27,DATOS!$I$2:$I$20000)&gt;0)*(DATOS!$K$2:$K$20000))/SUMPRODUCT((DATOS!$A$2:$A$20000=G659)*(DATOS!$G$2:$G$20000=CONFIG_METADATA!$B$4)*(COUNTIF(CONFIG_ASIGNATURAS!$B$7:$B$27,DATOS!$I$2:$I$20000)&gt;0)*1),"")))</f>
        <v/>
      </c>
      <c r="N659" t="str">
        <f>IF(M659="","",IF(M659="[FÓRMULA MANUAL]","",IFERROR(AVERAGEIFS(DATOS!$K$2:$K$20000,DATOS!$A$2:$A$20000,M659,DATOS!$G$2:$G$20000,CONFIG_METADATA!$B$4,DATOS!$I$2:$I$20000,"Armonía"),"")))</f>
        <v/>
      </c>
      <c r="O659" t="str">
        <f>IF(M659="","",IF(M659="[FÓRMULA MANUAL]","",IFERROR(AVERAGEIFS(DATOS!$K$2:$K$20000,DATOS!$A$2:$A$20000,M659,DATOS!$G$2:$G$20000,CONFIG_METADATA!$B$4,DATOS!$I$2:$I$20000,"Orquesta/Banda/Conjunto"),"")))</f>
        <v/>
      </c>
      <c r="P659" t="str">
        <f>IF(M659="","",IF(M659="[FÓRMULA MANUAL]","",IFERROR(AVERAGEIFS(DATOS!$K$2:$K$20000,DATOS!$A$2:$A$20000,M659,DATOS!$G$2:$G$20000,CONFIG_METADATA!$B$4,DATOS!$I$2:$I$20000,"Música de Cámara"),"")))</f>
        <v/>
      </c>
      <c r="Q659" t="str">
        <f>IF(M659="","",IF(M659="[FÓRMULA MANUAL]","",IFERROR(SUMPRODUCT((DATOS!$A$2:$A$20000=M659)*(DATOS!$G$2:$G$20000=CONFIG_METADATA!$B$4)*(COUNTIF(CONFIG_ASIGNATURAS!$B$7:$B$27,DATOS!$I$2:$I$20000)&gt;0)*(DATOS!$K$2:$K$20000))/SUMPRODUCT((DATOS!$A$2:$A$20000=M659)*(DATOS!$G$2:$G$20000=CONFIG_METADATA!$B$4)*(COUNTIF(CONFIG_ASIGNATURAS!$B$7:$B$27,DATOS!$I$2:$I$20000)&gt;0)*1),"")))</f>
        <v/>
      </c>
      <c r="T659" t="str">
        <f>IF(S659="","",IF(S659="[FÓRMULA MANUAL]","",IFERROR(AVERAGEIFS(DATOS!$K$2:$K$20000,DATOS!$A$2:$A$20000,S659,DATOS!$G$2:$G$20000,CONFIG_METADATA!$B$4,DATOS!$I$2:$I$20000,"Armonía"),"")))</f>
        <v/>
      </c>
      <c r="U659" t="str">
        <f>IF(S659="","",IF(S659="[FÓRMULA MANUAL]","",IFERROR(AVERAGEIFS(DATOS!$K$2:$K$20000,DATOS!$A$2:$A$20000,S659,DATOS!$G$2:$G$20000,CONFIG_METADATA!$B$4,DATOS!$I$2:$I$20000,"Orquesta/Banda/Conjunto"),"")))</f>
        <v/>
      </c>
      <c r="V659" t="str">
        <f>IF(S659="","",IF(S659="[FÓRMULA MANUAL]","",IFERROR(AVERAGEIFS(DATOS!$K$2:$K$20000,DATOS!$A$2:$A$20000,S659,DATOS!$G$2:$G$20000,CONFIG_METADATA!$B$4,DATOS!$I$2:$I$20000,"Música de Cámara"),"")))</f>
        <v/>
      </c>
      <c r="W659" t="str">
        <f>IF(S659="","",IF(S659="[FÓRMULA MANUAL]","",IFERROR(SUMPRODUCT((DATOS!$A$2:$A$20000=S659)*(DATOS!$G$2:$G$20000=CONFIG_METADATA!$B$4)*(COUNTIF(CONFIG_ASIGNATURAS!$B$7:$B$27,DATOS!$I$2:$I$20000)&gt;0)*(DATOS!$K$2:$K$20000))/SUMPRODUCT((DATOS!$A$2:$A$20000=S659)*(DATOS!$G$2:$G$20000=CONFIG_METADATA!$B$4)*(COUNTIF(CONFIG_ASIGNATURAS!$B$7:$B$27,DATOS!$I$2:$I$20000)&gt;0)*1),"")))</f>
        <v/>
      </c>
      <c r="Z659" t="str">
        <f>IF(Y659="","",IF(Y659="[FÓRMULA MANUAL]","",IFERROR(AVERAGEIFS(DATOS!$K$2:$K$20000,DATOS!$A$2:$A$20000,Y659,DATOS!$G$2:$G$20000,CONFIG_METADATA!$B$4,DATOS!$I$2:$I$20000,"Análisis"),"")))</f>
        <v/>
      </c>
      <c r="AA659" t="str">
        <f>IF(Y659="","",IF(Y659="[FÓRMULA MANUAL]","",IFERROR(AVERAGEIFS(DATOS!$K$2:$K$20000,DATOS!$A$2:$A$20000,Y659,DATOS!$G$2:$G$20000,CONFIG_METADATA!$B$4,DATOS!$I$2:$I$20000,"Orquesta/Banda/Conjunto"),"")))</f>
        <v/>
      </c>
      <c r="AB659" t="str">
        <f>IF(Y659="","",IF(Y659="[FÓRMULA MANUAL]","",IFERROR(AVERAGEIFS(DATOS!$K$2:$K$20000,DATOS!$A$2:$A$20000,Y659,DATOS!$G$2:$G$20000,CONFIG_METADATA!$B$4,DATOS!$I$2:$I$20000,"Música de Cámara"),"")))</f>
        <v/>
      </c>
      <c r="AC659" t="str">
        <f>IF(Y659="","",IF(Y659="[FÓRMULA MANUAL]","",IFERROR(SUMPRODUCT((DATOS!$A$2:$A$20000=Y659)*(DATOS!$G$2:$G$20000=CONFIG_METADATA!$B$4)*(COUNTIF(CONFIG_ASIGNATURAS!$B$7:$B$27,DATOS!$I$2:$I$20000)&gt;0)*(DATOS!$K$2:$K$20000))/SUMPRODUCT((DATOS!$A$2:$A$20000=Y659)*(DATOS!$G$2:$G$20000=CONFIG_METADATA!$B$4)*(COUNTIF(CONFIG_ASIGNATURAS!$B$7:$B$27,DATOS!$I$2:$I$20000)&gt;0)*1),"")))</f>
        <v/>
      </c>
      <c r="AF659" t="str">
        <f>IF(AE659="","",IF(AE659="[FÓRMULA MANUAL]","",IFERROR(AVERAGEIFS(DATOS!$K$2:$K$20000,DATOS!$A$2:$A$20000,AE659,DATOS!$G$2:$G$20000,CONFIG_METADATA!$B$4,DATOS!$I$2:$I$20000,"Análisis"),"")))</f>
        <v/>
      </c>
      <c r="AG659" t="str">
        <f>IF(AE659="","",IF(AE659="[FÓRMULA MANUAL]","",IFERROR(AVERAGEIFS(DATOS!$K$2:$K$20000,DATOS!$A$2:$A$20000,AE659,DATOS!$G$2:$G$20000,CONFIG_METADATA!$B$4,DATOS!$I$2:$I$20000,"Orquesta/Banda/Conjunto"),"")))</f>
        <v/>
      </c>
      <c r="AH659" t="str">
        <f>IF(AE659="","",IF(AE659="[FÓRMULA MANUAL]","",IFERROR(AVERAGEIFS(DATOS!$K$2:$K$20000,DATOS!$A$2:$A$20000,AE659,DATOS!$G$2:$G$20000,CONFIG_METADATA!$B$4,DATOS!$I$2:$I$20000,"Música de Cámara"),"")))</f>
        <v/>
      </c>
      <c r="AI659" t="str">
        <f>IF(AE659="","",IF(AE659="[FÓRMULA MANUAL]","",IFERROR(SUMPRODUCT((DATOS!$A$2:$A$20000=AE659)*(DATOS!$G$2:$G$20000=CONFIG_METADATA!$B$4)*(COUNTIF(CONFIG_ASIGNATURAS!$B$7:$B$27,DATOS!$I$2:$I$20000)&gt;0)*(DATOS!$K$2:$K$20000))/SUMPRODUCT((DATOS!$A$2:$A$20000=AE659)*(DATOS!$G$2:$G$20000=CONFIG_METADATA!$B$4)*(COUNTIF(CONFIG_ASIGNATURAS!$B$7:$B$27,DATOS!$I$2:$I$20000)&gt;0)*1),"")))</f>
        <v/>
      </c>
    </row>
    <row r="660" spans="2:35" x14ac:dyDescent="0.2">
      <c r="B660" t="str">
        <f>IF(A660="","",IF(A660="[FÓRMULA MANUAL]","",IFERROR(AVERAGEIFS(DATOS!$K$2:$K$20000,DATOS!$A$2:$A$20000,A660,DATOS!$G$2:$G$20000,CONFIG_METADATA!$B$4,DATOS!$I$2:$I$20000,"Lenguaje Musical"),"")))</f>
        <v/>
      </c>
      <c r="C660" t="str">
        <f>IF(A660="","",IF(A660="[FÓRMULA MANUAL]","",IFERROR(AVERAGEIFS(DATOS!$K$2:$K$20000,DATOS!$A$2:$A$20000,A660,DATOS!$G$2:$G$20000,CONFIG_METADATA!$B$4,DATOS!$I$2:$I$20000,"Orquesta/Banda/Conjunto"),"")))</f>
        <v/>
      </c>
      <c r="D660" t="str">
        <f>IF(A660="","",IF(A660="[FÓRMULA MANUAL]","",IFERROR(AVERAGEIFS(DATOS!$K$2:$K$20000,DATOS!$A$2:$A$20000,A660,DATOS!$G$2:$G$20000,CONFIG_METADATA!$B$4,DATOS!$I$2:$I$20000,"Conjunto"),"")))</f>
        <v/>
      </c>
      <c r="E660" t="str">
        <f>IF(A660="","",IF(A660="[FÓRMULA MANUAL]","",IFERROR(SUMPRODUCT((DATOS!$A$2:$A$20000=A660)*(DATOS!$G$2:$G$20000=CONFIG_METADATA!$B$4)*(COUNTIF(CONFIG_ASIGNATURAS!$B$7:$B$27,DATOS!$I$2:$I$20000)&gt;0)*(DATOS!$K$2:$K$20000))/SUMPRODUCT((DATOS!$A$2:$A$20000=A660)*(DATOS!$G$2:$G$20000=CONFIG_METADATA!$B$4)*(COUNTIF(CONFIG_ASIGNATURAS!$B$7:$B$27,DATOS!$I$2:$I$20000)&gt;0)*1),"")))</f>
        <v/>
      </c>
      <c r="H660" t="str">
        <f>IF(G660="","",IF(G660="[FÓRMULA MANUAL]","",IFERROR(AVERAGEIFS(DATOS!$K$2:$K$20000,DATOS!$A$2:$A$20000,G660,DATOS!$G$2:$G$20000,CONFIG_METADATA!$B$4,DATOS!$I$2:$I$20000,"Lenguaje Musical"),"")))</f>
        <v/>
      </c>
      <c r="I660" t="str">
        <f>IF(G660="","",IF(G660="[FÓRMULA MANUAL]","",IFERROR(AVERAGEIFS(DATOS!$K$2:$K$20000,DATOS!$A$2:$A$20000,G660,DATOS!$G$2:$G$20000,CONFIG_METADATA!$B$4,DATOS!$I$2:$I$20000,"Orquesta/Banda/Conjunto"),"")))</f>
        <v/>
      </c>
      <c r="J660" t="str">
        <f>IF(G660="","",IF(G660="[FÓRMULA MANUAL]","",IFERROR(AVERAGEIFS(DATOS!$K$2:$K$20000,DATOS!$A$2:$A$20000,G660,DATOS!$G$2:$G$20000,CONFIG_METADATA!$B$4,DATOS!$I$2:$I$20000,"Conjunto"),"")))</f>
        <v/>
      </c>
      <c r="K660" t="str">
        <f>IF(G660="","",IF(G660="[FÓRMULA MANUAL]","",IFERROR(SUMPRODUCT((DATOS!$A$2:$A$20000=G660)*(DATOS!$G$2:$G$20000=CONFIG_METADATA!$B$4)*(COUNTIF(CONFIG_ASIGNATURAS!$B$7:$B$27,DATOS!$I$2:$I$20000)&gt;0)*(DATOS!$K$2:$K$20000))/SUMPRODUCT((DATOS!$A$2:$A$20000=G660)*(DATOS!$G$2:$G$20000=CONFIG_METADATA!$B$4)*(COUNTIF(CONFIG_ASIGNATURAS!$B$7:$B$27,DATOS!$I$2:$I$20000)&gt;0)*1),"")))</f>
        <v/>
      </c>
      <c r="N660" t="str">
        <f>IF(M660="","",IF(M660="[FÓRMULA MANUAL]","",IFERROR(AVERAGEIFS(DATOS!$K$2:$K$20000,DATOS!$A$2:$A$20000,M660,DATOS!$G$2:$G$20000,CONFIG_METADATA!$B$4,DATOS!$I$2:$I$20000,"Armonía"),"")))</f>
        <v/>
      </c>
      <c r="O660" t="str">
        <f>IF(M660="","",IF(M660="[FÓRMULA MANUAL]","",IFERROR(AVERAGEIFS(DATOS!$K$2:$K$20000,DATOS!$A$2:$A$20000,M660,DATOS!$G$2:$G$20000,CONFIG_METADATA!$B$4,DATOS!$I$2:$I$20000,"Orquesta/Banda/Conjunto"),"")))</f>
        <v/>
      </c>
      <c r="P660" t="str">
        <f>IF(M660="","",IF(M660="[FÓRMULA MANUAL]","",IFERROR(AVERAGEIFS(DATOS!$K$2:$K$20000,DATOS!$A$2:$A$20000,M660,DATOS!$G$2:$G$20000,CONFIG_METADATA!$B$4,DATOS!$I$2:$I$20000,"Música de Cámara"),"")))</f>
        <v/>
      </c>
      <c r="Q660" t="str">
        <f>IF(M660="","",IF(M660="[FÓRMULA MANUAL]","",IFERROR(SUMPRODUCT((DATOS!$A$2:$A$20000=M660)*(DATOS!$G$2:$G$20000=CONFIG_METADATA!$B$4)*(COUNTIF(CONFIG_ASIGNATURAS!$B$7:$B$27,DATOS!$I$2:$I$20000)&gt;0)*(DATOS!$K$2:$K$20000))/SUMPRODUCT((DATOS!$A$2:$A$20000=M660)*(DATOS!$G$2:$G$20000=CONFIG_METADATA!$B$4)*(COUNTIF(CONFIG_ASIGNATURAS!$B$7:$B$27,DATOS!$I$2:$I$20000)&gt;0)*1),"")))</f>
        <v/>
      </c>
      <c r="T660" t="str">
        <f>IF(S660="","",IF(S660="[FÓRMULA MANUAL]","",IFERROR(AVERAGEIFS(DATOS!$K$2:$K$20000,DATOS!$A$2:$A$20000,S660,DATOS!$G$2:$G$20000,CONFIG_METADATA!$B$4,DATOS!$I$2:$I$20000,"Armonía"),"")))</f>
        <v/>
      </c>
      <c r="U660" t="str">
        <f>IF(S660="","",IF(S660="[FÓRMULA MANUAL]","",IFERROR(AVERAGEIFS(DATOS!$K$2:$K$20000,DATOS!$A$2:$A$20000,S660,DATOS!$G$2:$G$20000,CONFIG_METADATA!$B$4,DATOS!$I$2:$I$20000,"Orquesta/Banda/Conjunto"),"")))</f>
        <v/>
      </c>
      <c r="V660" t="str">
        <f>IF(S660="","",IF(S660="[FÓRMULA MANUAL]","",IFERROR(AVERAGEIFS(DATOS!$K$2:$K$20000,DATOS!$A$2:$A$20000,S660,DATOS!$G$2:$G$20000,CONFIG_METADATA!$B$4,DATOS!$I$2:$I$20000,"Música de Cámara"),"")))</f>
        <v/>
      </c>
      <c r="W660" t="str">
        <f>IF(S660="","",IF(S660="[FÓRMULA MANUAL]","",IFERROR(SUMPRODUCT((DATOS!$A$2:$A$20000=S660)*(DATOS!$G$2:$G$20000=CONFIG_METADATA!$B$4)*(COUNTIF(CONFIG_ASIGNATURAS!$B$7:$B$27,DATOS!$I$2:$I$20000)&gt;0)*(DATOS!$K$2:$K$20000))/SUMPRODUCT((DATOS!$A$2:$A$20000=S660)*(DATOS!$G$2:$G$20000=CONFIG_METADATA!$B$4)*(COUNTIF(CONFIG_ASIGNATURAS!$B$7:$B$27,DATOS!$I$2:$I$20000)&gt;0)*1),"")))</f>
        <v/>
      </c>
      <c r="Z660" t="str">
        <f>IF(Y660="","",IF(Y660="[FÓRMULA MANUAL]","",IFERROR(AVERAGEIFS(DATOS!$K$2:$K$20000,DATOS!$A$2:$A$20000,Y660,DATOS!$G$2:$G$20000,CONFIG_METADATA!$B$4,DATOS!$I$2:$I$20000,"Análisis"),"")))</f>
        <v/>
      </c>
      <c r="AA660" t="str">
        <f>IF(Y660="","",IF(Y660="[FÓRMULA MANUAL]","",IFERROR(AVERAGEIFS(DATOS!$K$2:$K$20000,DATOS!$A$2:$A$20000,Y660,DATOS!$G$2:$G$20000,CONFIG_METADATA!$B$4,DATOS!$I$2:$I$20000,"Orquesta/Banda/Conjunto"),"")))</f>
        <v/>
      </c>
      <c r="AB660" t="str">
        <f>IF(Y660="","",IF(Y660="[FÓRMULA MANUAL]","",IFERROR(AVERAGEIFS(DATOS!$K$2:$K$20000,DATOS!$A$2:$A$20000,Y660,DATOS!$G$2:$G$20000,CONFIG_METADATA!$B$4,DATOS!$I$2:$I$20000,"Música de Cámara"),"")))</f>
        <v/>
      </c>
      <c r="AC660" t="str">
        <f>IF(Y660="","",IF(Y660="[FÓRMULA MANUAL]","",IFERROR(SUMPRODUCT((DATOS!$A$2:$A$20000=Y660)*(DATOS!$G$2:$G$20000=CONFIG_METADATA!$B$4)*(COUNTIF(CONFIG_ASIGNATURAS!$B$7:$B$27,DATOS!$I$2:$I$20000)&gt;0)*(DATOS!$K$2:$K$20000))/SUMPRODUCT((DATOS!$A$2:$A$20000=Y660)*(DATOS!$G$2:$G$20000=CONFIG_METADATA!$B$4)*(COUNTIF(CONFIG_ASIGNATURAS!$B$7:$B$27,DATOS!$I$2:$I$20000)&gt;0)*1),"")))</f>
        <v/>
      </c>
      <c r="AF660" t="str">
        <f>IF(AE660="","",IF(AE660="[FÓRMULA MANUAL]","",IFERROR(AVERAGEIFS(DATOS!$K$2:$K$20000,DATOS!$A$2:$A$20000,AE660,DATOS!$G$2:$G$20000,CONFIG_METADATA!$B$4,DATOS!$I$2:$I$20000,"Análisis"),"")))</f>
        <v/>
      </c>
      <c r="AG660" t="str">
        <f>IF(AE660="","",IF(AE660="[FÓRMULA MANUAL]","",IFERROR(AVERAGEIFS(DATOS!$K$2:$K$20000,DATOS!$A$2:$A$20000,AE660,DATOS!$G$2:$G$20000,CONFIG_METADATA!$B$4,DATOS!$I$2:$I$20000,"Orquesta/Banda/Conjunto"),"")))</f>
        <v/>
      </c>
      <c r="AH660" t="str">
        <f>IF(AE660="","",IF(AE660="[FÓRMULA MANUAL]","",IFERROR(AVERAGEIFS(DATOS!$K$2:$K$20000,DATOS!$A$2:$A$20000,AE660,DATOS!$G$2:$G$20000,CONFIG_METADATA!$B$4,DATOS!$I$2:$I$20000,"Música de Cámara"),"")))</f>
        <v/>
      </c>
      <c r="AI660" t="str">
        <f>IF(AE660="","",IF(AE660="[FÓRMULA MANUAL]","",IFERROR(SUMPRODUCT((DATOS!$A$2:$A$20000=AE660)*(DATOS!$G$2:$G$20000=CONFIG_METADATA!$B$4)*(COUNTIF(CONFIG_ASIGNATURAS!$B$7:$B$27,DATOS!$I$2:$I$20000)&gt;0)*(DATOS!$K$2:$K$20000))/SUMPRODUCT((DATOS!$A$2:$A$20000=AE660)*(DATOS!$G$2:$G$20000=CONFIG_METADATA!$B$4)*(COUNTIF(CONFIG_ASIGNATURAS!$B$7:$B$27,DATOS!$I$2:$I$20000)&gt;0)*1),"")))</f>
        <v/>
      </c>
    </row>
    <row r="661" spans="2:35" x14ac:dyDescent="0.2">
      <c r="B661" t="str">
        <f>IF(A661="","",IF(A661="[FÓRMULA MANUAL]","",IFERROR(AVERAGEIFS(DATOS!$K$2:$K$20000,DATOS!$A$2:$A$20000,A661,DATOS!$G$2:$G$20000,CONFIG_METADATA!$B$4,DATOS!$I$2:$I$20000,"Lenguaje Musical"),"")))</f>
        <v/>
      </c>
      <c r="C661" t="str">
        <f>IF(A661="","",IF(A661="[FÓRMULA MANUAL]","",IFERROR(AVERAGEIFS(DATOS!$K$2:$K$20000,DATOS!$A$2:$A$20000,A661,DATOS!$G$2:$G$20000,CONFIG_METADATA!$B$4,DATOS!$I$2:$I$20000,"Orquesta/Banda/Conjunto"),"")))</f>
        <v/>
      </c>
      <c r="D661" t="str">
        <f>IF(A661="","",IF(A661="[FÓRMULA MANUAL]","",IFERROR(AVERAGEIFS(DATOS!$K$2:$K$20000,DATOS!$A$2:$A$20000,A661,DATOS!$G$2:$G$20000,CONFIG_METADATA!$B$4,DATOS!$I$2:$I$20000,"Conjunto"),"")))</f>
        <v/>
      </c>
      <c r="E661" t="str">
        <f>IF(A661="","",IF(A661="[FÓRMULA MANUAL]","",IFERROR(SUMPRODUCT((DATOS!$A$2:$A$20000=A661)*(DATOS!$G$2:$G$20000=CONFIG_METADATA!$B$4)*(COUNTIF(CONFIG_ASIGNATURAS!$B$7:$B$27,DATOS!$I$2:$I$20000)&gt;0)*(DATOS!$K$2:$K$20000))/SUMPRODUCT((DATOS!$A$2:$A$20000=A661)*(DATOS!$G$2:$G$20000=CONFIG_METADATA!$B$4)*(COUNTIF(CONFIG_ASIGNATURAS!$B$7:$B$27,DATOS!$I$2:$I$20000)&gt;0)*1),"")))</f>
        <v/>
      </c>
      <c r="H661" t="str">
        <f>IF(G661="","",IF(G661="[FÓRMULA MANUAL]","",IFERROR(AVERAGEIFS(DATOS!$K$2:$K$20000,DATOS!$A$2:$A$20000,G661,DATOS!$G$2:$G$20000,CONFIG_METADATA!$B$4,DATOS!$I$2:$I$20000,"Lenguaje Musical"),"")))</f>
        <v/>
      </c>
      <c r="I661" t="str">
        <f>IF(G661="","",IF(G661="[FÓRMULA MANUAL]","",IFERROR(AVERAGEIFS(DATOS!$K$2:$K$20000,DATOS!$A$2:$A$20000,G661,DATOS!$G$2:$G$20000,CONFIG_METADATA!$B$4,DATOS!$I$2:$I$20000,"Orquesta/Banda/Conjunto"),"")))</f>
        <v/>
      </c>
      <c r="J661" t="str">
        <f>IF(G661="","",IF(G661="[FÓRMULA MANUAL]","",IFERROR(AVERAGEIFS(DATOS!$K$2:$K$20000,DATOS!$A$2:$A$20000,G661,DATOS!$G$2:$G$20000,CONFIG_METADATA!$B$4,DATOS!$I$2:$I$20000,"Conjunto"),"")))</f>
        <v/>
      </c>
      <c r="K661" t="str">
        <f>IF(G661="","",IF(G661="[FÓRMULA MANUAL]","",IFERROR(SUMPRODUCT((DATOS!$A$2:$A$20000=G661)*(DATOS!$G$2:$G$20000=CONFIG_METADATA!$B$4)*(COUNTIF(CONFIG_ASIGNATURAS!$B$7:$B$27,DATOS!$I$2:$I$20000)&gt;0)*(DATOS!$K$2:$K$20000))/SUMPRODUCT((DATOS!$A$2:$A$20000=G661)*(DATOS!$G$2:$G$20000=CONFIG_METADATA!$B$4)*(COUNTIF(CONFIG_ASIGNATURAS!$B$7:$B$27,DATOS!$I$2:$I$20000)&gt;0)*1),"")))</f>
        <v/>
      </c>
      <c r="N661" t="str">
        <f>IF(M661="","",IF(M661="[FÓRMULA MANUAL]","",IFERROR(AVERAGEIFS(DATOS!$K$2:$K$20000,DATOS!$A$2:$A$20000,M661,DATOS!$G$2:$G$20000,CONFIG_METADATA!$B$4,DATOS!$I$2:$I$20000,"Armonía"),"")))</f>
        <v/>
      </c>
      <c r="O661" t="str">
        <f>IF(M661="","",IF(M661="[FÓRMULA MANUAL]","",IFERROR(AVERAGEIFS(DATOS!$K$2:$K$20000,DATOS!$A$2:$A$20000,M661,DATOS!$G$2:$G$20000,CONFIG_METADATA!$B$4,DATOS!$I$2:$I$20000,"Orquesta/Banda/Conjunto"),"")))</f>
        <v/>
      </c>
      <c r="P661" t="str">
        <f>IF(M661="","",IF(M661="[FÓRMULA MANUAL]","",IFERROR(AVERAGEIFS(DATOS!$K$2:$K$20000,DATOS!$A$2:$A$20000,M661,DATOS!$G$2:$G$20000,CONFIG_METADATA!$B$4,DATOS!$I$2:$I$20000,"Música de Cámara"),"")))</f>
        <v/>
      </c>
      <c r="Q661" t="str">
        <f>IF(M661="","",IF(M661="[FÓRMULA MANUAL]","",IFERROR(SUMPRODUCT((DATOS!$A$2:$A$20000=M661)*(DATOS!$G$2:$G$20000=CONFIG_METADATA!$B$4)*(COUNTIF(CONFIG_ASIGNATURAS!$B$7:$B$27,DATOS!$I$2:$I$20000)&gt;0)*(DATOS!$K$2:$K$20000))/SUMPRODUCT((DATOS!$A$2:$A$20000=M661)*(DATOS!$G$2:$G$20000=CONFIG_METADATA!$B$4)*(COUNTIF(CONFIG_ASIGNATURAS!$B$7:$B$27,DATOS!$I$2:$I$20000)&gt;0)*1),"")))</f>
        <v/>
      </c>
      <c r="T661" t="str">
        <f>IF(S661="","",IF(S661="[FÓRMULA MANUAL]","",IFERROR(AVERAGEIFS(DATOS!$K$2:$K$20000,DATOS!$A$2:$A$20000,S661,DATOS!$G$2:$G$20000,CONFIG_METADATA!$B$4,DATOS!$I$2:$I$20000,"Armonía"),"")))</f>
        <v/>
      </c>
      <c r="U661" t="str">
        <f>IF(S661="","",IF(S661="[FÓRMULA MANUAL]","",IFERROR(AVERAGEIFS(DATOS!$K$2:$K$20000,DATOS!$A$2:$A$20000,S661,DATOS!$G$2:$G$20000,CONFIG_METADATA!$B$4,DATOS!$I$2:$I$20000,"Orquesta/Banda/Conjunto"),"")))</f>
        <v/>
      </c>
      <c r="V661" t="str">
        <f>IF(S661="","",IF(S661="[FÓRMULA MANUAL]","",IFERROR(AVERAGEIFS(DATOS!$K$2:$K$20000,DATOS!$A$2:$A$20000,S661,DATOS!$G$2:$G$20000,CONFIG_METADATA!$B$4,DATOS!$I$2:$I$20000,"Música de Cámara"),"")))</f>
        <v/>
      </c>
      <c r="W661" t="str">
        <f>IF(S661="","",IF(S661="[FÓRMULA MANUAL]","",IFERROR(SUMPRODUCT((DATOS!$A$2:$A$20000=S661)*(DATOS!$G$2:$G$20000=CONFIG_METADATA!$B$4)*(COUNTIF(CONFIG_ASIGNATURAS!$B$7:$B$27,DATOS!$I$2:$I$20000)&gt;0)*(DATOS!$K$2:$K$20000))/SUMPRODUCT((DATOS!$A$2:$A$20000=S661)*(DATOS!$G$2:$G$20000=CONFIG_METADATA!$B$4)*(COUNTIF(CONFIG_ASIGNATURAS!$B$7:$B$27,DATOS!$I$2:$I$20000)&gt;0)*1),"")))</f>
        <v/>
      </c>
      <c r="Z661" t="str">
        <f>IF(Y661="","",IF(Y661="[FÓRMULA MANUAL]","",IFERROR(AVERAGEIFS(DATOS!$K$2:$K$20000,DATOS!$A$2:$A$20000,Y661,DATOS!$G$2:$G$20000,CONFIG_METADATA!$B$4,DATOS!$I$2:$I$20000,"Análisis"),"")))</f>
        <v/>
      </c>
      <c r="AA661" t="str">
        <f>IF(Y661="","",IF(Y661="[FÓRMULA MANUAL]","",IFERROR(AVERAGEIFS(DATOS!$K$2:$K$20000,DATOS!$A$2:$A$20000,Y661,DATOS!$G$2:$G$20000,CONFIG_METADATA!$B$4,DATOS!$I$2:$I$20000,"Orquesta/Banda/Conjunto"),"")))</f>
        <v/>
      </c>
      <c r="AB661" t="str">
        <f>IF(Y661="","",IF(Y661="[FÓRMULA MANUAL]","",IFERROR(AVERAGEIFS(DATOS!$K$2:$K$20000,DATOS!$A$2:$A$20000,Y661,DATOS!$G$2:$G$20000,CONFIG_METADATA!$B$4,DATOS!$I$2:$I$20000,"Música de Cámara"),"")))</f>
        <v/>
      </c>
      <c r="AC661" t="str">
        <f>IF(Y661="","",IF(Y661="[FÓRMULA MANUAL]","",IFERROR(SUMPRODUCT((DATOS!$A$2:$A$20000=Y661)*(DATOS!$G$2:$G$20000=CONFIG_METADATA!$B$4)*(COUNTIF(CONFIG_ASIGNATURAS!$B$7:$B$27,DATOS!$I$2:$I$20000)&gt;0)*(DATOS!$K$2:$K$20000))/SUMPRODUCT((DATOS!$A$2:$A$20000=Y661)*(DATOS!$G$2:$G$20000=CONFIG_METADATA!$B$4)*(COUNTIF(CONFIG_ASIGNATURAS!$B$7:$B$27,DATOS!$I$2:$I$20000)&gt;0)*1),"")))</f>
        <v/>
      </c>
      <c r="AF661" t="str">
        <f>IF(AE661="","",IF(AE661="[FÓRMULA MANUAL]","",IFERROR(AVERAGEIFS(DATOS!$K$2:$K$20000,DATOS!$A$2:$A$20000,AE661,DATOS!$G$2:$G$20000,CONFIG_METADATA!$B$4,DATOS!$I$2:$I$20000,"Análisis"),"")))</f>
        <v/>
      </c>
      <c r="AG661" t="str">
        <f>IF(AE661="","",IF(AE661="[FÓRMULA MANUAL]","",IFERROR(AVERAGEIFS(DATOS!$K$2:$K$20000,DATOS!$A$2:$A$20000,AE661,DATOS!$G$2:$G$20000,CONFIG_METADATA!$B$4,DATOS!$I$2:$I$20000,"Orquesta/Banda/Conjunto"),"")))</f>
        <v/>
      </c>
      <c r="AH661" t="str">
        <f>IF(AE661="","",IF(AE661="[FÓRMULA MANUAL]","",IFERROR(AVERAGEIFS(DATOS!$K$2:$K$20000,DATOS!$A$2:$A$20000,AE661,DATOS!$G$2:$G$20000,CONFIG_METADATA!$B$4,DATOS!$I$2:$I$20000,"Música de Cámara"),"")))</f>
        <v/>
      </c>
      <c r="AI661" t="str">
        <f>IF(AE661="","",IF(AE661="[FÓRMULA MANUAL]","",IFERROR(SUMPRODUCT((DATOS!$A$2:$A$20000=AE661)*(DATOS!$G$2:$G$20000=CONFIG_METADATA!$B$4)*(COUNTIF(CONFIG_ASIGNATURAS!$B$7:$B$27,DATOS!$I$2:$I$20000)&gt;0)*(DATOS!$K$2:$K$20000))/SUMPRODUCT((DATOS!$A$2:$A$20000=AE661)*(DATOS!$G$2:$G$20000=CONFIG_METADATA!$B$4)*(COUNTIF(CONFIG_ASIGNATURAS!$B$7:$B$27,DATOS!$I$2:$I$20000)&gt;0)*1),"")))</f>
        <v/>
      </c>
    </row>
    <row r="662" spans="2:35" x14ac:dyDescent="0.2">
      <c r="B662" t="str">
        <f>IF(A662="","",IF(A662="[FÓRMULA MANUAL]","",IFERROR(AVERAGEIFS(DATOS!$K$2:$K$20000,DATOS!$A$2:$A$20000,A662,DATOS!$G$2:$G$20000,CONFIG_METADATA!$B$4,DATOS!$I$2:$I$20000,"Lenguaje Musical"),"")))</f>
        <v/>
      </c>
      <c r="C662" t="str">
        <f>IF(A662="","",IF(A662="[FÓRMULA MANUAL]","",IFERROR(AVERAGEIFS(DATOS!$K$2:$K$20000,DATOS!$A$2:$A$20000,A662,DATOS!$G$2:$G$20000,CONFIG_METADATA!$B$4,DATOS!$I$2:$I$20000,"Orquesta/Banda/Conjunto"),"")))</f>
        <v/>
      </c>
      <c r="D662" t="str">
        <f>IF(A662="","",IF(A662="[FÓRMULA MANUAL]","",IFERROR(AVERAGEIFS(DATOS!$K$2:$K$20000,DATOS!$A$2:$A$20000,A662,DATOS!$G$2:$G$20000,CONFIG_METADATA!$B$4,DATOS!$I$2:$I$20000,"Conjunto"),"")))</f>
        <v/>
      </c>
      <c r="E662" t="str">
        <f>IF(A662="","",IF(A662="[FÓRMULA MANUAL]","",IFERROR(SUMPRODUCT((DATOS!$A$2:$A$20000=A662)*(DATOS!$G$2:$G$20000=CONFIG_METADATA!$B$4)*(COUNTIF(CONFIG_ASIGNATURAS!$B$7:$B$27,DATOS!$I$2:$I$20000)&gt;0)*(DATOS!$K$2:$K$20000))/SUMPRODUCT((DATOS!$A$2:$A$20000=A662)*(DATOS!$G$2:$G$20000=CONFIG_METADATA!$B$4)*(COUNTIF(CONFIG_ASIGNATURAS!$B$7:$B$27,DATOS!$I$2:$I$20000)&gt;0)*1),"")))</f>
        <v/>
      </c>
      <c r="H662" t="str">
        <f>IF(G662="","",IF(G662="[FÓRMULA MANUAL]","",IFERROR(AVERAGEIFS(DATOS!$K$2:$K$20000,DATOS!$A$2:$A$20000,G662,DATOS!$G$2:$G$20000,CONFIG_METADATA!$B$4,DATOS!$I$2:$I$20000,"Lenguaje Musical"),"")))</f>
        <v/>
      </c>
      <c r="I662" t="str">
        <f>IF(G662="","",IF(G662="[FÓRMULA MANUAL]","",IFERROR(AVERAGEIFS(DATOS!$K$2:$K$20000,DATOS!$A$2:$A$20000,G662,DATOS!$G$2:$G$20000,CONFIG_METADATA!$B$4,DATOS!$I$2:$I$20000,"Orquesta/Banda/Conjunto"),"")))</f>
        <v/>
      </c>
      <c r="J662" t="str">
        <f>IF(G662="","",IF(G662="[FÓRMULA MANUAL]","",IFERROR(AVERAGEIFS(DATOS!$K$2:$K$20000,DATOS!$A$2:$A$20000,G662,DATOS!$G$2:$G$20000,CONFIG_METADATA!$B$4,DATOS!$I$2:$I$20000,"Conjunto"),"")))</f>
        <v/>
      </c>
      <c r="K662" t="str">
        <f>IF(G662="","",IF(G662="[FÓRMULA MANUAL]","",IFERROR(SUMPRODUCT((DATOS!$A$2:$A$20000=G662)*(DATOS!$G$2:$G$20000=CONFIG_METADATA!$B$4)*(COUNTIF(CONFIG_ASIGNATURAS!$B$7:$B$27,DATOS!$I$2:$I$20000)&gt;0)*(DATOS!$K$2:$K$20000))/SUMPRODUCT((DATOS!$A$2:$A$20000=G662)*(DATOS!$G$2:$G$20000=CONFIG_METADATA!$B$4)*(COUNTIF(CONFIG_ASIGNATURAS!$B$7:$B$27,DATOS!$I$2:$I$20000)&gt;0)*1),"")))</f>
        <v/>
      </c>
      <c r="N662" t="str">
        <f>IF(M662="","",IF(M662="[FÓRMULA MANUAL]","",IFERROR(AVERAGEIFS(DATOS!$K$2:$K$20000,DATOS!$A$2:$A$20000,M662,DATOS!$G$2:$G$20000,CONFIG_METADATA!$B$4,DATOS!$I$2:$I$20000,"Armonía"),"")))</f>
        <v/>
      </c>
      <c r="O662" t="str">
        <f>IF(M662="","",IF(M662="[FÓRMULA MANUAL]","",IFERROR(AVERAGEIFS(DATOS!$K$2:$K$20000,DATOS!$A$2:$A$20000,M662,DATOS!$G$2:$G$20000,CONFIG_METADATA!$B$4,DATOS!$I$2:$I$20000,"Orquesta/Banda/Conjunto"),"")))</f>
        <v/>
      </c>
      <c r="P662" t="str">
        <f>IF(M662="","",IF(M662="[FÓRMULA MANUAL]","",IFERROR(AVERAGEIFS(DATOS!$K$2:$K$20000,DATOS!$A$2:$A$20000,M662,DATOS!$G$2:$G$20000,CONFIG_METADATA!$B$4,DATOS!$I$2:$I$20000,"Música de Cámara"),"")))</f>
        <v/>
      </c>
      <c r="Q662" t="str">
        <f>IF(M662="","",IF(M662="[FÓRMULA MANUAL]","",IFERROR(SUMPRODUCT((DATOS!$A$2:$A$20000=M662)*(DATOS!$G$2:$G$20000=CONFIG_METADATA!$B$4)*(COUNTIF(CONFIG_ASIGNATURAS!$B$7:$B$27,DATOS!$I$2:$I$20000)&gt;0)*(DATOS!$K$2:$K$20000))/SUMPRODUCT((DATOS!$A$2:$A$20000=M662)*(DATOS!$G$2:$G$20000=CONFIG_METADATA!$B$4)*(COUNTIF(CONFIG_ASIGNATURAS!$B$7:$B$27,DATOS!$I$2:$I$20000)&gt;0)*1),"")))</f>
        <v/>
      </c>
      <c r="T662" t="str">
        <f>IF(S662="","",IF(S662="[FÓRMULA MANUAL]","",IFERROR(AVERAGEIFS(DATOS!$K$2:$K$20000,DATOS!$A$2:$A$20000,S662,DATOS!$G$2:$G$20000,CONFIG_METADATA!$B$4,DATOS!$I$2:$I$20000,"Armonía"),"")))</f>
        <v/>
      </c>
      <c r="U662" t="str">
        <f>IF(S662="","",IF(S662="[FÓRMULA MANUAL]","",IFERROR(AVERAGEIFS(DATOS!$K$2:$K$20000,DATOS!$A$2:$A$20000,S662,DATOS!$G$2:$G$20000,CONFIG_METADATA!$B$4,DATOS!$I$2:$I$20000,"Orquesta/Banda/Conjunto"),"")))</f>
        <v/>
      </c>
      <c r="V662" t="str">
        <f>IF(S662="","",IF(S662="[FÓRMULA MANUAL]","",IFERROR(AVERAGEIFS(DATOS!$K$2:$K$20000,DATOS!$A$2:$A$20000,S662,DATOS!$G$2:$G$20000,CONFIG_METADATA!$B$4,DATOS!$I$2:$I$20000,"Música de Cámara"),"")))</f>
        <v/>
      </c>
      <c r="W662" t="str">
        <f>IF(S662="","",IF(S662="[FÓRMULA MANUAL]","",IFERROR(SUMPRODUCT((DATOS!$A$2:$A$20000=S662)*(DATOS!$G$2:$G$20000=CONFIG_METADATA!$B$4)*(COUNTIF(CONFIG_ASIGNATURAS!$B$7:$B$27,DATOS!$I$2:$I$20000)&gt;0)*(DATOS!$K$2:$K$20000))/SUMPRODUCT((DATOS!$A$2:$A$20000=S662)*(DATOS!$G$2:$G$20000=CONFIG_METADATA!$B$4)*(COUNTIF(CONFIG_ASIGNATURAS!$B$7:$B$27,DATOS!$I$2:$I$20000)&gt;0)*1),"")))</f>
        <v/>
      </c>
      <c r="Z662" t="str">
        <f>IF(Y662="","",IF(Y662="[FÓRMULA MANUAL]","",IFERROR(AVERAGEIFS(DATOS!$K$2:$K$20000,DATOS!$A$2:$A$20000,Y662,DATOS!$G$2:$G$20000,CONFIG_METADATA!$B$4,DATOS!$I$2:$I$20000,"Análisis"),"")))</f>
        <v/>
      </c>
      <c r="AA662" t="str">
        <f>IF(Y662="","",IF(Y662="[FÓRMULA MANUAL]","",IFERROR(AVERAGEIFS(DATOS!$K$2:$K$20000,DATOS!$A$2:$A$20000,Y662,DATOS!$G$2:$G$20000,CONFIG_METADATA!$B$4,DATOS!$I$2:$I$20000,"Orquesta/Banda/Conjunto"),"")))</f>
        <v/>
      </c>
      <c r="AB662" t="str">
        <f>IF(Y662="","",IF(Y662="[FÓRMULA MANUAL]","",IFERROR(AVERAGEIFS(DATOS!$K$2:$K$20000,DATOS!$A$2:$A$20000,Y662,DATOS!$G$2:$G$20000,CONFIG_METADATA!$B$4,DATOS!$I$2:$I$20000,"Música de Cámara"),"")))</f>
        <v/>
      </c>
      <c r="AC662" t="str">
        <f>IF(Y662="","",IF(Y662="[FÓRMULA MANUAL]","",IFERROR(SUMPRODUCT((DATOS!$A$2:$A$20000=Y662)*(DATOS!$G$2:$G$20000=CONFIG_METADATA!$B$4)*(COUNTIF(CONFIG_ASIGNATURAS!$B$7:$B$27,DATOS!$I$2:$I$20000)&gt;0)*(DATOS!$K$2:$K$20000))/SUMPRODUCT((DATOS!$A$2:$A$20000=Y662)*(DATOS!$G$2:$G$20000=CONFIG_METADATA!$B$4)*(COUNTIF(CONFIG_ASIGNATURAS!$B$7:$B$27,DATOS!$I$2:$I$20000)&gt;0)*1),"")))</f>
        <v/>
      </c>
      <c r="AF662" t="str">
        <f>IF(AE662="","",IF(AE662="[FÓRMULA MANUAL]","",IFERROR(AVERAGEIFS(DATOS!$K$2:$K$20000,DATOS!$A$2:$A$20000,AE662,DATOS!$G$2:$G$20000,CONFIG_METADATA!$B$4,DATOS!$I$2:$I$20000,"Análisis"),"")))</f>
        <v/>
      </c>
      <c r="AG662" t="str">
        <f>IF(AE662="","",IF(AE662="[FÓRMULA MANUAL]","",IFERROR(AVERAGEIFS(DATOS!$K$2:$K$20000,DATOS!$A$2:$A$20000,AE662,DATOS!$G$2:$G$20000,CONFIG_METADATA!$B$4,DATOS!$I$2:$I$20000,"Orquesta/Banda/Conjunto"),"")))</f>
        <v/>
      </c>
      <c r="AH662" t="str">
        <f>IF(AE662="","",IF(AE662="[FÓRMULA MANUAL]","",IFERROR(AVERAGEIFS(DATOS!$K$2:$K$20000,DATOS!$A$2:$A$20000,AE662,DATOS!$G$2:$G$20000,CONFIG_METADATA!$B$4,DATOS!$I$2:$I$20000,"Música de Cámara"),"")))</f>
        <v/>
      </c>
      <c r="AI662" t="str">
        <f>IF(AE662="","",IF(AE662="[FÓRMULA MANUAL]","",IFERROR(SUMPRODUCT((DATOS!$A$2:$A$20000=AE662)*(DATOS!$G$2:$G$20000=CONFIG_METADATA!$B$4)*(COUNTIF(CONFIG_ASIGNATURAS!$B$7:$B$27,DATOS!$I$2:$I$20000)&gt;0)*(DATOS!$K$2:$K$20000))/SUMPRODUCT((DATOS!$A$2:$A$20000=AE662)*(DATOS!$G$2:$G$20000=CONFIG_METADATA!$B$4)*(COUNTIF(CONFIG_ASIGNATURAS!$B$7:$B$27,DATOS!$I$2:$I$20000)&gt;0)*1),"")))</f>
        <v/>
      </c>
    </row>
    <row r="663" spans="2:35" x14ac:dyDescent="0.2">
      <c r="B663" t="str">
        <f>IF(A663="","",IF(A663="[FÓRMULA MANUAL]","",IFERROR(AVERAGEIFS(DATOS!$K$2:$K$20000,DATOS!$A$2:$A$20000,A663,DATOS!$G$2:$G$20000,CONFIG_METADATA!$B$4,DATOS!$I$2:$I$20000,"Lenguaje Musical"),"")))</f>
        <v/>
      </c>
      <c r="C663" t="str">
        <f>IF(A663="","",IF(A663="[FÓRMULA MANUAL]","",IFERROR(AVERAGEIFS(DATOS!$K$2:$K$20000,DATOS!$A$2:$A$20000,A663,DATOS!$G$2:$G$20000,CONFIG_METADATA!$B$4,DATOS!$I$2:$I$20000,"Orquesta/Banda/Conjunto"),"")))</f>
        <v/>
      </c>
      <c r="D663" t="str">
        <f>IF(A663="","",IF(A663="[FÓRMULA MANUAL]","",IFERROR(AVERAGEIFS(DATOS!$K$2:$K$20000,DATOS!$A$2:$A$20000,A663,DATOS!$G$2:$G$20000,CONFIG_METADATA!$B$4,DATOS!$I$2:$I$20000,"Conjunto"),"")))</f>
        <v/>
      </c>
      <c r="E663" t="str">
        <f>IF(A663="","",IF(A663="[FÓRMULA MANUAL]","",IFERROR(SUMPRODUCT((DATOS!$A$2:$A$20000=A663)*(DATOS!$G$2:$G$20000=CONFIG_METADATA!$B$4)*(COUNTIF(CONFIG_ASIGNATURAS!$B$7:$B$27,DATOS!$I$2:$I$20000)&gt;0)*(DATOS!$K$2:$K$20000))/SUMPRODUCT((DATOS!$A$2:$A$20000=A663)*(DATOS!$G$2:$G$20000=CONFIG_METADATA!$B$4)*(COUNTIF(CONFIG_ASIGNATURAS!$B$7:$B$27,DATOS!$I$2:$I$20000)&gt;0)*1),"")))</f>
        <v/>
      </c>
      <c r="H663" t="str">
        <f>IF(G663="","",IF(G663="[FÓRMULA MANUAL]","",IFERROR(AVERAGEIFS(DATOS!$K$2:$K$20000,DATOS!$A$2:$A$20000,G663,DATOS!$G$2:$G$20000,CONFIG_METADATA!$B$4,DATOS!$I$2:$I$20000,"Lenguaje Musical"),"")))</f>
        <v/>
      </c>
      <c r="I663" t="str">
        <f>IF(G663="","",IF(G663="[FÓRMULA MANUAL]","",IFERROR(AVERAGEIFS(DATOS!$K$2:$K$20000,DATOS!$A$2:$A$20000,G663,DATOS!$G$2:$G$20000,CONFIG_METADATA!$B$4,DATOS!$I$2:$I$20000,"Orquesta/Banda/Conjunto"),"")))</f>
        <v/>
      </c>
      <c r="J663" t="str">
        <f>IF(G663="","",IF(G663="[FÓRMULA MANUAL]","",IFERROR(AVERAGEIFS(DATOS!$K$2:$K$20000,DATOS!$A$2:$A$20000,G663,DATOS!$G$2:$G$20000,CONFIG_METADATA!$B$4,DATOS!$I$2:$I$20000,"Conjunto"),"")))</f>
        <v/>
      </c>
      <c r="K663" t="str">
        <f>IF(G663="","",IF(G663="[FÓRMULA MANUAL]","",IFERROR(SUMPRODUCT((DATOS!$A$2:$A$20000=G663)*(DATOS!$G$2:$G$20000=CONFIG_METADATA!$B$4)*(COUNTIF(CONFIG_ASIGNATURAS!$B$7:$B$27,DATOS!$I$2:$I$20000)&gt;0)*(DATOS!$K$2:$K$20000))/SUMPRODUCT((DATOS!$A$2:$A$20000=G663)*(DATOS!$G$2:$G$20000=CONFIG_METADATA!$B$4)*(COUNTIF(CONFIG_ASIGNATURAS!$B$7:$B$27,DATOS!$I$2:$I$20000)&gt;0)*1),"")))</f>
        <v/>
      </c>
      <c r="N663" t="str">
        <f>IF(M663="","",IF(M663="[FÓRMULA MANUAL]","",IFERROR(AVERAGEIFS(DATOS!$K$2:$K$20000,DATOS!$A$2:$A$20000,M663,DATOS!$G$2:$G$20000,CONFIG_METADATA!$B$4,DATOS!$I$2:$I$20000,"Armonía"),"")))</f>
        <v/>
      </c>
      <c r="O663" t="str">
        <f>IF(M663="","",IF(M663="[FÓRMULA MANUAL]","",IFERROR(AVERAGEIFS(DATOS!$K$2:$K$20000,DATOS!$A$2:$A$20000,M663,DATOS!$G$2:$G$20000,CONFIG_METADATA!$B$4,DATOS!$I$2:$I$20000,"Orquesta/Banda/Conjunto"),"")))</f>
        <v/>
      </c>
      <c r="P663" t="str">
        <f>IF(M663="","",IF(M663="[FÓRMULA MANUAL]","",IFERROR(AVERAGEIFS(DATOS!$K$2:$K$20000,DATOS!$A$2:$A$20000,M663,DATOS!$G$2:$G$20000,CONFIG_METADATA!$B$4,DATOS!$I$2:$I$20000,"Música de Cámara"),"")))</f>
        <v/>
      </c>
      <c r="Q663" t="str">
        <f>IF(M663="","",IF(M663="[FÓRMULA MANUAL]","",IFERROR(SUMPRODUCT((DATOS!$A$2:$A$20000=M663)*(DATOS!$G$2:$G$20000=CONFIG_METADATA!$B$4)*(COUNTIF(CONFIG_ASIGNATURAS!$B$7:$B$27,DATOS!$I$2:$I$20000)&gt;0)*(DATOS!$K$2:$K$20000))/SUMPRODUCT((DATOS!$A$2:$A$20000=M663)*(DATOS!$G$2:$G$20000=CONFIG_METADATA!$B$4)*(COUNTIF(CONFIG_ASIGNATURAS!$B$7:$B$27,DATOS!$I$2:$I$20000)&gt;0)*1),"")))</f>
        <v/>
      </c>
      <c r="T663" t="str">
        <f>IF(S663="","",IF(S663="[FÓRMULA MANUAL]","",IFERROR(AVERAGEIFS(DATOS!$K$2:$K$20000,DATOS!$A$2:$A$20000,S663,DATOS!$G$2:$G$20000,CONFIG_METADATA!$B$4,DATOS!$I$2:$I$20000,"Armonía"),"")))</f>
        <v/>
      </c>
      <c r="U663" t="str">
        <f>IF(S663="","",IF(S663="[FÓRMULA MANUAL]","",IFERROR(AVERAGEIFS(DATOS!$K$2:$K$20000,DATOS!$A$2:$A$20000,S663,DATOS!$G$2:$G$20000,CONFIG_METADATA!$B$4,DATOS!$I$2:$I$20000,"Orquesta/Banda/Conjunto"),"")))</f>
        <v/>
      </c>
      <c r="V663" t="str">
        <f>IF(S663="","",IF(S663="[FÓRMULA MANUAL]","",IFERROR(AVERAGEIFS(DATOS!$K$2:$K$20000,DATOS!$A$2:$A$20000,S663,DATOS!$G$2:$G$20000,CONFIG_METADATA!$B$4,DATOS!$I$2:$I$20000,"Música de Cámara"),"")))</f>
        <v/>
      </c>
      <c r="W663" t="str">
        <f>IF(S663="","",IF(S663="[FÓRMULA MANUAL]","",IFERROR(SUMPRODUCT((DATOS!$A$2:$A$20000=S663)*(DATOS!$G$2:$G$20000=CONFIG_METADATA!$B$4)*(COUNTIF(CONFIG_ASIGNATURAS!$B$7:$B$27,DATOS!$I$2:$I$20000)&gt;0)*(DATOS!$K$2:$K$20000))/SUMPRODUCT((DATOS!$A$2:$A$20000=S663)*(DATOS!$G$2:$G$20000=CONFIG_METADATA!$B$4)*(COUNTIF(CONFIG_ASIGNATURAS!$B$7:$B$27,DATOS!$I$2:$I$20000)&gt;0)*1),"")))</f>
        <v/>
      </c>
      <c r="Z663" t="str">
        <f>IF(Y663="","",IF(Y663="[FÓRMULA MANUAL]","",IFERROR(AVERAGEIFS(DATOS!$K$2:$K$20000,DATOS!$A$2:$A$20000,Y663,DATOS!$G$2:$G$20000,CONFIG_METADATA!$B$4,DATOS!$I$2:$I$20000,"Análisis"),"")))</f>
        <v/>
      </c>
      <c r="AA663" t="str">
        <f>IF(Y663="","",IF(Y663="[FÓRMULA MANUAL]","",IFERROR(AVERAGEIFS(DATOS!$K$2:$K$20000,DATOS!$A$2:$A$20000,Y663,DATOS!$G$2:$G$20000,CONFIG_METADATA!$B$4,DATOS!$I$2:$I$20000,"Orquesta/Banda/Conjunto"),"")))</f>
        <v/>
      </c>
      <c r="AB663" t="str">
        <f>IF(Y663="","",IF(Y663="[FÓRMULA MANUAL]","",IFERROR(AVERAGEIFS(DATOS!$K$2:$K$20000,DATOS!$A$2:$A$20000,Y663,DATOS!$G$2:$G$20000,CONFIG_METADATA!$B$4,DATOS!$I$2:$I$20000,"Música de Cámara"),"")))</f>
        <v/>
      </c>
      <c r="AC663" t="str">
        <f>IF(Y663="","",IF(Y663="[FÓRMULA MANUAL]","",IFERROR(SUMPRODUCT((DATOS!$A$2:$A$20000=Y663)*(DATOS!$G$2:$G$20000=CONFIG_METADATA!$B$4)*(COUNTIF(CONFIG_ASIGNATURAS!$B$7:$B$27,DATOS!$I$2:$I$20000)&gt;0)*(DATOS!$K$2:$K$20000))/SUMPRODUCT((DATOS!$A$2:$A$20000=Y663)*(DATOS!$G$2:$G$20000=CONFIG_METADATA!$B$4)*(COUNTIF(CONFIG_ASIGNATURAS!$B$7:$B$27,DATOS!$I$2:$I$20000)&gt;0)*1),"")))</f>
        <v/>
      </c>
      <c r="AF663" t="str">
        <f>IF(AE663="","",IF(AE663="[FÓRMULA MANUAL]","",IFERROR(AVERAGEIFS(DATOS!$K$2:$K$20000,DATOS!$A$2:$A$20000,AE663,DATOS!$G$2:$G$20000,CONFIG_METADATA!$B$4,DATOS!$I$2:$I$20000,"Análisis"),"")))</f>
        <v/>
      </c>
      <c r="AG663" t="str">
        <f>IF(AE663="","",IF(AE663="[FÓRMULA MANUAL]","",IFERROR(AVERAGEIFS(DATOS!$K$2:$K$20000,DATOS!$A$2:$A$20000,AE663,DATOS!$G$2:$G$20000,CONFIG_METADATA!$B$4,DATOS!$I$2:$I$20000,"Orquesta/Banda/Conjunto"),"")))</f>
        <v/>
      </c>
      <c r="AH663" t="str">
        <f>IF(AE663="","",IF(AE663="[FÓRMULA MANUAL]","",IFERROR(AVERAGEIFS(DATOS!$K$2:$K$20000,DATOS!$A$2:$A$20000,AE663,DATOS!$G$2:$G$20000,CONFIG_METADATA!$B$4,DATOS!$I$2:$I$20000,"Música de Cámara"),"")))</f>
        <v/>
      </c>
      <c r="AI663" t="str">
        <f>IF(AE663="","",IF(AE663="[FÓRMULA MANUAL]","",IFERROR(SUMPRODUCT((DATOS!$A$2:$A$20000=AE663)*(DATOS!$G$2:$G$20000=CONFIG_METADATA!$B$4)*(COUNTIF(CONFIG_ASIGNATURAS!$B$7:$B$27,DATOS!$I$2:$I$20000)&gt;0)*(DATOS!$K$2:$K$20000))/SUMPRODUCT((DATOS!$A$2:$A$20000=AE663)*(DATOS!$G$2:$G$20000=CONFIG_METADATA!$B$4)*(COUNTIF(CONFIG_ASIGNATURAS!$B$7:$B$27,DATOS!$I$2:$I$20000)&gt;0)*1),"")))</f>
        <v/>
      </c>
    </row>
    <row r="664" spans="2:35" x14ac:dyDescent="0.2">
      <c r="B664" t="str">
        <f>IF(A664="","",IF(A664="[FÓRMULA MANUAL]","",IFERROR(AVERAGEIFS(DATOS!$K$2:$K$20000,DATOS!$A$2:$A$20000,A664,DATOS!$G$2:$G$20000,CONFIG_METADATA!$B$4,DATOS!$I$2:$I$20000,"Lenguaje Musical"),"")))</f>
        <v/>
      </c>
      <c r="C664" t="str">
        <f>IF(A664="","",IF(A664="[FÓRMULA MANUAL]","",IFERROR(AVERAGEIFS(DATOS!$K$2:$K$20000,DATOS!$A$2:$A$20000,A664,DATOS!$G$2:$G$20000,CONFIG_METADATA!$B$4,DATOS!$I$2:$I$20000,"Orquesta/Banda/Conjunto"),"")))</f>
        <v/>
      </c>
      <c r="D664" t="str">
        <f>IF(A664="","",IF(A664="[FÓRMULA MANUAL]","",IFERROR(AVERAGEIFS(DATOS!$K$2:$K$20000,DATOS!$A$2:$A$20000,A664,DATOS!$G$2:$G$20000,CONFIG_METADATA!$B$4,DATOS!$I$2:$I$20000,"Conjunto"),"")))</f>
        <v/>
      </c>
      <c r="E664" t="str">
        <f>IF(A664="","",IF(A664="[FÓRMULA MANUAL]","",IFERROR(SUMPRODUCT((DATOS!$A$2:$A$20000=A664)*(DATOS!$G$2:$G$20000=CONFIG_METADATA!$B$4)*(COUNTIF(CONFIG_ASIGNATURAS!$B$7:$B$27,DATOS!$I$2:$I$20000)&gt;0)*(DATOS!$K$2:$K$20000))/SUMPRODUCT((DATOS!$A$2:$A$20000=A664)*(DATOS!$G$2:$G$20000=CONFIG_METADATA!$B$4)*(COUNTIF(CONFIG_ASIGNATURAS!$B$7:$B$27,DATOS!$I$2:$I$20000)&gt;0)*1),"")))</f>
        <v/>
      </c>
      <c r="H664" t="str">
        <f>IF(G664="","",IF(G664="[FÓRMULA MANUAL]","",IFERROR(AVERAGEIFS(DATOS!$K$2:$K$20000,DATOS!$A$2:$A$20000,G664,DATOS!$G$2:$G$20000,CONFIG_METADATA!$B$4,DATOS!$I$2:$I$20000,"Lenguaje Musical"),"")))</f>
        <v/>
      </c>
      <c r="I664" t="str">
        <f>IF(G664="","",IF(G664="[FÓRMULA MANUAL]","",IFERROR(AVERAGEIFS(DATOS!$K$2:$K$20000,DATOS!$A$2:$A$20000,G664,DATOS!$G$2:$G$20000,CONFIG_METADATA!$B$4,DATOS!$I$2:$I$20000,"Orquesta/Banda/Conjunto"),"")))</f>
        <v/>
      </c>
      <c r="J664" t="str">
        <f>IF(G664="","",IF(G664="[FÓRMULA MANUAL]","",IFERROR(AVERAGEIFS(DATOS!$K$2:$K$20000,DATOS!$A$2:$A$20000,G664,DATOS!$G$2:$G$20000,CONFIG_METADATA!$B$4,DATOS!$I$2:$I$20000,"Conjunto"),"")))</f>
        <v/>
      </c>
      <c r="K664" t="str">
        <f>IF(G664="","",IF(G664="[FÓRMULA MANUAL]","",IFERROR(SUMPRODUCT((DATOS!$A$2:$A$20000=G664)*(DATOS!$G$2:$G$20000=CONFIG_METADATA!$B$4)*(COUNTIF(CONFIG_ASIGNATURAS!$B$7:$B$27,DATOS!$I$2:$I$20000)&gt;0)*(DATOS!$K$2:$K$20000))/SUMPRODUCT((DATOS!$A$2:$A$20000=G664)*(DATOS!$G$2:$G$20000=CONFIG_METADATA!$B$4)*(COUNTIF(CONFIG_ASIGNATURAS!$B$7:$B$27,DATOS!$I$2:$I$20000)&gt;0)*1),"")))</f>
        <v/>
      </c>
      <c r="N664" t="str">
        <f>IF(M664="","",IF(M664="[FÓRMULA MANUAL]","",IFERROR(AVERAGEIFS(DATOS!$K$2:$K$20000,DATOS!$A$2:$A$20000,M664,DATOS!$G$2:$G$20000,CONFIG_METADATA!$B$4,DATOS!$I$2:$I$20000,"Armonía"),"")))</f>
        <v/>
      </c>
      <c r="O664" t="str">
        <f>IF(M664="","",IF(M664="[FÓRMULA MANUAL]","",IFERROR(AVERAGEIFS(DATOS!$K$2:$K$20000,DATOS!$A$2:$A$20000,M664,DATOS!$G$2:$G$20000,CONFIG_METADATA!$B$4,DATOS!$I$2:$I$20000,"Orquesta/Banda/Conjunto"),"")))</f>
        <v/>
      </c>
      <c r="P664" t="str">
        <f>IF(M664="","",IF(M664="[FÓRMULA MANUAL]","",IFERROR(AVERAGEIFS(DATOS!$K$2:$K$20000,DATOS!$A$2:$A$20000,M664,DATOS!$G$2:$G$20000,CONFIG_METADATA!$B$4,DATOS!$I$2:$I$20000,"Música de Cámara"),"")))</f>
        <v/>
      </c>
      <c r="Q664" t="str">
        <f>IF(M664="","",IF(M664="[FÓRMULA MANUAL]","",IFERROR(SUMPRODUCT((DATOS!$A$2:$A$20000=M664)*(DATOS!$G$2:$G$20000=CONFIG_METADATA!$B$4)*(COUNTIF(CONFIG_ASIGNATURAS!$B$7:$B$27,DATOS!$I$2:$I$20000)&gt;0)*(DATOS!$K$2:$K$20000))/SUMPRODUCT((DATOS!$A$2:$A$20000=M664)*(DATOS!$G$2:$G$20000=CONFIG_METADATA!$B$4)*(COUNTIF(CONFIG_ASIGNATURAS!$B$7:$B$27,DATOS!$I$2:$I$20000)&gt;0)*1),"")))</f>
        <v/>
      </c>
      <c r="T664" t="str">
        <f>IF(S664="","",IF(S664="[FÓRMULA MANUAL]","",IFERROR(AVERAGEIFS(DATOS!$K$2:$K$20000,DATOS!$A$2:$A$20000,S664,DATOS!$G$2:$G$20000,CONFIG_METADATA!$B$4,DATOS!$I$2:$I$20000,"Armonía"),"")))</f>
        <v/>
      </c>
      <c r="U664" t="str">
        <f>IF(S664="","",IF(S664="[FÓRMULA MANUAL]","",IFERROR(AVERAGEIFS(DATOS!$K$2:$K$20000,DATOS!$A$2:$A$20000,S664,DATOS!$G$2:$G$20000,CONFIG_METADATA!$B$4,DATOS!$I$2:$I$20000,"Orquesta/Banda/Conjunto"),"")))</f>
        <v/>
      </c>
      <c r="V664" t="str">
        <f>IF(S664="","",IF(S664="[FÓRMULA MANUAL]","",IFERROR(AVERAGEIFS(DATOS!$K$2:$K$20000,DATOS!$A$2:$A$20000,S664,DATOS!$G$2:$G$20000,CONFIG_METADATA!$B$4,DATOS!$I$2:$I$20000,"Música de Cámara"),"")))</f>
        <v/>
      </c>
      <c r="W664" t="str">
        <f>IF(S664="","",IF(S664="[FÓRMULA MANUAL]","",IFERROR(SUMPRODUCT((DATOS!$A$2:$A$20000=S664)*(DATOS!$G$2:$G$20000=CONFIG_METADATA!$B$4)*(COUNTIF(CONFIG_ASIGNATURAS!$B$7:$B$27,DATOS!$I$2:$I$20000)&gt;0)*(DATOS!$K$2:$K$20000))/SUMPRODUCT((DATOS!$A$2:$A$20000=S664)*(DATOS!$G$2:$G$20000=CONFIG_METADATA!$B$4)*(COUNTIF(CONFIG_ASIGNATURAS!$B$7:$B$27,DATOS!$I$2:$I$20000)&gt;0)*1),"")))</f>
        <v/>
      </c>
      <c r="Z664" t="str">
        <f>IF(Y664="","",IF(Y664="[FÓRMULA MANUAL]","",IFERROR(AVERAGEIFS(DATOS!$K$2:$K$20000,DATOS!$A$2:$A$20000,Y664,DATOS!$G$2:$G$20000,CONFIG_METADATA!$B$4,DATOS!$I$2:$I$20000,"Análisis"),"")))</f>
        <v/>
      </c>
      <c r="AA664" t="str">
        <f>IF(Y664="","",IF(Y664="[FÓRMULA MANUAL]","",IFERROR(AVERAGEIFS(DATOS!$K$2:$K$20000,DATOS!$A$2:$A$20000,Y664,DATOS!$G$2:$G$20000,CONFIG_METADATA!$B$4,DATOS!$I$2:$I$20000,"Orquesta/Banda/Conjunto"),"")))</f>
        <v/>
      </c>
      <c r="AB664" t="str">
        <f>IF(Y664="","",IF(Y664="[FÓRMULA MANUAL]","",IFERROR(AVERAGEIFS(DATOS!$K$2:$K$20000,DATOS!$A$2:$A$20000,Y664,DATOS!$G$2:$G$20000,CONFIG_METADATA!$B$4,DATOS!$I$2:$I$20000,"Música de Cámara"),"")))</f>
        <v/>
      </c>
      <c r="AC664" t="str">
        <f>IF(Y664="","",IF(Y664="[FÓRMULA MANUAL]","",IFERROR(SUMPRODUCT((DATOS!$A$2:$A$20000=Y664)*(DATOS!$G$2:$G$20000=CONFIG_METADATA!$B$4)*(COUNTIF(CONFIG_ASIGNATURAS!$B$7:$B$27,DATOS!$I$2:$I$20000)&gt;0)*(DATOS!$K$2:$K$20000))/SUMPRODUCT((DATOS!$A$2:$A$20000=Y664)*(DATOS!$G$2:$G$20000=CONFIG_METADATA!$B$4)*(COUNTIF(CONFIG_ASIGNATURAS!$B$7:$B$27,DATOS!$I$2:$I$20000)&gt;0)*1),"")))</f>
        <v/>
      </c>
      <c r="AF664" t="str">
        <f>IF(AE664="","",IF(AE664="[FÓRMULA MANUAL]","",IFERROR(AVERAGEIFS(DATOS!$K$2:$K$20000,DATOS!$A$2:$A$20000,AE664,DATOS!$G$2:$G$20000,CONFIG_METADATA!$B$4,DATOS!$I$2:$I$20000,"Análisis"),"")))</f>
        <v/>
      </c>
      <c r="AG664" t="str">
        <f>IF(AE664="","",IF(AE664="[FÓRMULA MANUAL]","",IFERROR(AVERAGEIFS(DATOS!$K$2:$K$20000,DATOS!$A$2:$A$20000,AE664,DATOS!$G$2:$G$20000,CONFIG_METADATA!$B$4,DATOS!$I$2:$I$20000,"Orquesta/Banda/Conjunto"),"")))</f>
        <v/>
      </c>
      <c r="AH664" t="str">
        <f>IF(AE664="","",IF(AE664="[FÓRMULA MANUAL]","",IFERROR(AVERAGEIFS(DATOS!$K$2:$K$20000,DATOS!$A$2:$A$20000,AE664,DATOS!$G$2:$G$20000,CONFIG_METADATA!$B$4,DATOS!$I$2:$I$20000,"Música de Cámara"),"")))</f>
        <v/>
      </c>
      <c r="AI664" t="str">
        <f>IF(AE664="","",IF(AE664="[FÓRMULA MANUAL]","",IFERROR(SUMPRODUCT((DATOS!$A$2:$A$20000=AE664)*(DATOS!$G$2:$G$20000=CONFIG_METADATA!$B$4)*(COUNTIF(CONFIG_ASIGNATURAS!$B$7:$B$27,DATOS!$I$2:$I$20000)&gt;0)*(DATOS!$K$2:$K$20000))/SUMPRODUCT((DATOS!$A$2:$A$20000=AE664)*(DATOS!$G$2:$G$20000=CONFIG_METADATA!$B$4)*(COUNTIF(CONFIG_ASIGNATURAS!$B$7:$B$27,DATOS!$I$2:$I$20000)&gt;0)*1),"")))</f>
        <v/>
      </c>
    </row>
    <row r="665" spans="2:35" x14ac:dyDescent="0.2">
      <c r="B665" t="str">
        <f>IF(A665="","",IF(A665="[FÓRMULA MANUAL]","",IFERROR(AVERAGEIFS(DATOS!$K$2:$K$20000,DATOS!$A$2:$A$20000,A665,DATOS!$G$2:$G$20000,CONFIG_METADATA!$B$4,DATOS!$I$2:$I$20000,"Lenguaje Musical"),"")))</f>
        <v/>
      </c>
      <c r="C665" t="str">
        <f>IF(A665="","",IF(A665="[FÓRMULA MANUAL]","",IFERROR(AVERAGEIFS(DATOS!$K$2:$K$20000,DATOS!$A$2:$A$20000,A665,DATOS!$G$2:$G$20000,CONFIG_METADATA!$B$4,DATOS!$I$2:$I$20000,"Orquesta/Banda/Conjunto"),"")))</f>
        <v/>
      </c>
      <c r="D665" t="str">
        <f>IF(A665="","",IF(A665="[FÓRMULA MANUAL]","",IFERROR(AVERAGEIFS(DATOS!$K$2:$K$20000,DATOS!$A$2:$A$20000,A665,DATOS!$G$2:$G$20000,CONFIG_METADATA!$B$4,DATOS!$I$2:$I$20000,"Conjunto"),"")))</f>
        <v/>
      </c>
      <c r="E665" t="str">
        <f>IF(A665="","",IF(A665="[FÓRMULA MANUAL]","",IFERROR(SUMPRODUCT((DATOS!$A$2:$A$20000=A665)*(DATOS!$G$2:$G$20000=CONFIG_METADATA!$B$4)*(COUNTIF(CONFIG_ASIGNATURAS!$B$7:$B$27,DATOS!$I$2:$I$20000)&gt;0)*(DATOS!$K$2:$K$20000))/SUMPRODUCT((DATOS!$A$2:$A$20000=A665)*(DATOS!$G$2:$G$20000=CONFIG_METADATA!$B$4)*(COUNTIF(CONFIG_ASIGNATURAS!$B$7:$B$27,DATOS!$I$2:$I$20000)&gt;0)*1),"")))</f>
        <v/>
      </c>
      <c r="H665" t="str">
        <f>IF(G665="","",IF(G665="[FÓRMULA MANUAL]","",IFERROR(AVERAGEIFS(DATOS!$K$2:$K$20000,DATOS!$A$2:$A$20000,G665,DATOS!$G$2:$G$20000,CONFIG_METADATA!$B$4,DATOS!$I$2:$I$20000,"Lenguaje Musical"),"")))</f>
        <v/>
      </c>
      <c r="I665" t="str">
        <f>IF(G665="","",IF(G665="[FÓRMULA MANUAL]","",IFERROR(AVERAGEIFS(DATOS!$K$2:$K$20000,DATOS!$A$2:$A$20000,G665,DATOS!$G$2:$G$20000,CONFIG_METADATA!$B$4,DATOS!$I$2:$I$20000,"Orquesta/Banda/Conjunto"),"")))</f>
        <v/>
      </c>
      <c r="J665" t="str">
        <f>IF(G665="","",IF(G665="[FÓRMULA MANUAL]","",IFERROR(AVERAGEIFS(DATOS!$K$2:$K$20000,DATOS!$A$2:$A$20000,G665,DATOS!$G$2:$G$20000,CONFIG_METADATA!$B$4,DATOS!$I$2:$I$20000,"Conjunto"),"")))</f>
        <v/>
      </c>
      <c r="K665" t="str">
        <f>IF(G665="","",IF(G665="[FÓRMULA MANUAL]","",IFERROR(SUMPRODUCT((DATOS!$A$2:$A$20000=G665)*(DATOS!$G$2:$G$20000=CONFIG_METADATA!$B$4)*(COUNTIF(CONFIG_ASIGNATURAS!$B$7:$B$27,DATOS!$I$2:$I$20000)&gt;0)*(DATOS!$K$2:$K$20000))/SUMPRODUCT((DATOS!$A$2:$A$20000=G665)*(DATOS!$G$2:$G$20000=CONFIG_METADATA!$B$4)*(COUNTIF(CONFIG_ASIGNATURAS!$B$7:$B$27,DATOS!$I$2:$I$20000)&gt;0)*1),"")))</f>
        <v/>
      </c>
      <c r="N665" t="str">
        <f>IF(M665="","",IF(M665="[FÓRMULA MANUAL]","",IFERROR(AVERAGEIFS(DATOS!$K$2:$K$20000,DATOS!$A$2:$A$20000,M665,DATOS!$G$2:$G$20000,CONFIG_METADATA!$B$4,DATOS!$I$2:$I$20000,"Armonía"),"")))</f>
        <v/>
      </c>
      <c r="O665" t="str">
        <f>IF(M665="","",IF(M665="[FÓRMULA MANUAL]","",IFERROR(AVERAGEIFS(DATOS!$K$2:$K$20000,DATOS!$A$2:$A$20000,M665,DATOS!$G$2:$G$20000,CONFIG_METADATA!$B$4,DATOS!$I$2:$I$20000,"Orquesta/Banda/Conjunto"),"")))</f>
        <v/>
      </c>
      <c r="P665" t="str">
        <f>IF(M665="","",IF(M665="[FÓRMULA MANUAL]","",IFERROR(AVERAGEIFS(DATOS!$K$2:$K$20000,DATOS!$A$2:$A$20000,M665,DATOS!$G$2:$G$20000,CONFIG_METADATA!$B$4,DATOS!$I$2:$I$20000,"Música de Cámara"),"")))</f>
        <v/>
      </c>
      <c r="Q665" t="str">
        <f>IF(M665="","",IF(M665="[FÓRMULA MANUAL]","",IFERROR(SUMPRODUCT((DATOS!$A$2:$A$20000=M665)*(DATOS!$G$2:$G$20000=CONFIG_METADATA!$B$4)*(COUNTIF(CONFIG_ASIGNATURAS!$B$7:$B$27,DATOS!$I$2:$I$20000)&gt;0)*(DATOS!$K$2:$K$20000))/SUMPRODUCT((DATOS!$A$2:$A$20000=M665)*(DATOS!$G$2:$G$20000=CONFIG_METADATA!$B$4)*(COUNTIF(CONFIG_ASIGNATURAS!$B$7:$B$27,DATOS!$I$2:$I$20000)&gt;0)*1),"")))</f>
        <v/>
      </c>
      <c r="T665" t="str">
        <f>IF(S665="","",IF(S665="[FÓRMULA MANUAL]","",IFERROR(AVERAGEIFS(DATOS!$K$2:$K$20000,DATOS!$A$2:$A$20000,S665,DATOS!$G$2:$G$20000,CONFIG_METADATA!$B$4,DATOS!$I$2:$I$20000,"Armonía"),"")))</f>
        <v/>
      </c>
      <c r="U665" t="str">
        <f>IF(S665="","",IF(S665="[FÓRMULA MANUAL]","",IFERROR(AVERAGEIFS(DATOS!$K$2:$K$20000,DATOS!$A$2:$A$20000,S665,DATOS!$G$2:$G$20000,CONFIG_METADATA!$B$4,DATOS!$I$2:$I$20000,"Orquesta/Banda/Conjunto"),"")))</f>
        <v/>
      </c>
      <c r="V665" t="str">
        <f>IF(S665="","",IF(S665="[FÓRMULA MANUAL]","",IFERROR(AVERAGEIFS(DATOS!$K$2:$K$20000,DATOS!$A$2:$A$20000,S665,DATOS!$G$2:$G$20000,CONFIG_METADATA!$B$4,DATOS!$I$2:$I$20000,"Música de Cámara"),"")))</f>
        <v/>
      </c>
      <c r="W665" t="str">
        <f>IF(S665="","",IF(S665="[FÓRMULA MANUAL]","",IFERROR(SUMPRODUCT((DATOS!$A$2:$A$20000=S665)*(DATOS!$G$2:$G$20000=CONFIG_METADATA!$B$4)*(COUNTIF(CONFIG_ASIGNATURAS!$B$7:$B$27,DATOS!$I$2:$I$20000)&gt;0)*(DATOS!$K$2:$K$20000))/SUMPRODUCT((DATOS!$A$2:$A$20000=S665)*(DATOS!$G$2:$G$20000=CONFIG_METADATA!$B$4)*(COUNTIF(CONFIG_ASIGNATURAS!$B$7:$B$27,DATOS!$I$2:$I$20000)&gt;0)*1),"")))</f>
        <v/>
      </c>
      <c r="Z665" t="str">
        <f>IF(Y665="","",IF(Y665="[FÓRMULA MANUAL]","",IFERROR(AVERAGEIFS(DATOS!$K$2:$K$20000,DATOS!$A$2:$A$20000,Y665,DATOS!$G$2:$G$20000,CONFIG_METADATA!$B$4,DATOS!$I$2:$I$20000,"Análisis"),"")))</f>
        <v/>
      </c>
      <c r="AA665" t="str">
        <f>IF(Y665="","",IF(Y665="[FÓRMULA MANUAL]","",IFERROR(AVERAGEIFS(DATOS!$K$2:$K$20000,DATOS!$A$2:$A$20000,Y665,DATOS!$G$2:$G$20000,CONFIG_METADATA!$B$4,DATOS!$I$2:$I$20000,"Orquesta/Banda/Conjunto"),"")))</f>
        <v/>
      </c>
      <c r="AB665" t="str">
        <f>IF(Y665="","",IF(Y665="[FÓRMULA MANUAL]","",IFERROR(AVERAGEIFS(DATOS!$K$2:$K$20000,DATOS!$A$2:$A$20000,Y665,DATOS!$G$2:$G$20000,CONFIG_METADATA!$B$4,DATOS!$I$2:$I$20000,"Música de Cámara"),"")))</f>
        <v/>
      </c>
      <c r="AC665" t="str">
        <f>IF(Y665="","",IF(Y665="[FÓRMULA MANUAL]","",IFERROR(SUMPRODUCT((DATOS!$A$2:$A$20000=Y665)*(DATOS!$G$2:$G$20000=CONFIG_METADATA!$B$4)*(COUNTIF(CONFIG_ASIGNATURAS!$B$7:$B$27,DATOS!$I$2:$I$20000)&gt;0)*(DATOS!$K$2:$K$20000))/SUMPRODUCT((DATOS!$A$2:$A$20000=Y665)*(DATOS!$G$2:$G$20000=CONFIG_METADATA!$B$4)*(COUNTIF(CONFIG_ASIGNATURAS!$B$7:$B$27,DATOS!$I$2:$I$20000)&gt;0)*1),"")))</f>
        <v/>
      </c>
      <c r="AF665" t="str">
        <f>IF(AE665="","",IF(AE665="[FÓRMULA MANUAL]","",IFERROR(AVERAGEIFS(DATOS!$K$2:$K$20000,DATOS!$A$2:$A$20000,AE665,DATOS!$G$2:$G$20000,CONFIG_METADATA!$B$4,DATOS!$I$2:$I$20000,"Análisis"),"")))</f>
        <v/>
      </c>
      <c r="AG665" t="str">
        <f>IF(AE665="","",IF(AE665="[FÓRMULA MANUAL]","",IFERROR(AVERAGEIFS(DATOS!$K$2:$K$20000,DATOS!$A$2:$A$20000,AE665,DATOS!$G$2:$G$20000,CONFIG_METADATA!$B$4,DATOS!$I$2:$I$20000,"Orquesta/Banda/Conjunto"),"")))</f>
        <v/>
      </c>
      <c r="AH665" t="str">
        <f>IF(AE665="","",IF(AE665="[FÓRMULA MANUAL]","",IFERROR(AVERAGEIFS(DATOS!$K$2:$K$20000,DATOS!$A$2:$A$20000,AE665,DATOS!$G$2:$G$20000,CONFIG_METADATA!$B$4,DATOS!$I$2:$I$20000,"Música de Cámara"),"")))</f>
        <v/>
      </c>
      <c r="AI665" t="str">
        <f>IF(AE665="","",IF(AE665="[FÓRMULA MANUAL]","",IFERROR(SUMPRODUCT((DATOS!$A$2:$A$20000=AE665)*(DATOS!$G$2:$G$20000=CONFIG_METADATA!$B$4)*(COUNTIF(CONFIG_ASIGNATURAS!$B$7:$B$27,DATOS!$I$2:$I$20000)&gt;0)*(DATOS!$K$2:$K$20000))/SUMPRODUCT((DATOS!$A$2:$A$20000=AE665)*(DATOS!$G$2:$G$20000=CONFIG_METADATA!$B$4)*(COUNTIF(CONFIG_ASIGNATURAS!$B$7:$B$27,DATOS!$I$2:$I$20000)&gt;0)*1),"")))</f>
        <v/>
      </c>
    </row>
    <row r="666" spans="2:35" x14ac:dyDescent="0.2">
      <c r="B666" t="str">
        <f>IF(A666="","",IF(A666="[FÓRMULA MANUAL]","",IFERROR(AVERAGEIFS(DATOS!$K$2:$K$20000,DATOS!$A$2:$A$20000,A666,DATOS!$G$2:$G$20000,CONFIG_METADATA!$B$4,DATOS!$I$2:$I$20000,"Lenguaje Musical"),"")))</f>
        <v/>
      </c>
      <c r="C666" t="str">
        <f>IF(A666="","",IF(A666="[FÓRMULA MANUAL]","",IFERROR(AVERAGEIFS(DATOS!$K$2:$K$20000,DATOS!$A$2:$A$20000,A666,DATOS!$G$2:$G$20000,CONFIG_METADATA!$B$4,DATOS!$I$2:$I$20000,"Orquesta/Banda/Conjunto"),"")))</f>
        <v/>
      </c>
      <c r="D666" t="str">
        <f>IF(A666="","",IF(A666="[FÓRMULA MANUAL]","",IFERROR(AVERAGEIFS(DATOS!$K$2:$K$20000,DATOS!$A$2:$A$20000,A666,DATOS!$G$2:$G$20000,CONFIG_METADATA!$B$4,DATOS!$I$2:$I$20000,"Conjunto"),"")))</f>
        <v/>
      </c>
      <c r="E666" t="str">
        <f>IF(A666="","",IF(A666="[FÓRMULA MANUAL]","",IFERROR(SUMPRODUCT((DATOS!$A$2:$A$20000=A666)*(DATOS!$G$2:$G$20000=CONFIG_METADATA!$B$4)*(COUNTIF(CONFIG_ASIGNATURAS!$B$7:$B$27,DATOS!$I$2:$I$20000)&gt;0)*(DATOS!$K$2:$K$20000))/SUMPRODUCT((DATOS!$A$2:$A$20000=A666)*(DATOS!$G$2:$G$20000=CONFIG_METADATA!$B$4)*(COUNTIF(CONFIG_ASIGNATURAS!$B$7:$B$27,DATOS!$I$2:$I$20000)&gt;0)*1),"")))</f>
        <v/>
      </c>
      <c r="H666" t="str">
        <f>IF(G666="","",IF(G666="[FÓRMULA MANUAL]","",IFERROR(AVERAGEIFS(DATOS!$K$2:$K$20000,DATOS!$A$2:$A$20000,G666,DATOS!$G$2:$G$20000,CONFIG_METADATA!$B$4,DATOS!$I$2:$I$20000,"Lenguaje Musical"),"")))</f>
        <v/>
      </c>
      <c r="I666" t="str">
        <f>IF(G666="","",IF(G666="[FÓRMULA MANUAL]","",IFERROR(AVERAGEIFS(DATOS!$K$2:$K$20000,DATOS!$A$2:$A$20000,G666,DATOS!$G$2:$G$20000,CONFIG_METADATA!$B$4,DATOS!$I$2:$I$20000,"Orquesta/Banda/Conjunto"),"")))</f>
        <v/>
      </c>
      <c r="J666" t="str">
        <f>IF(G666="","",IF(G666="[FÓRMULA MANUAL]","",IFERROR(AVERAGEIFS(DATOS!$K$2:$K$20000,DATOS!$A$2:$A$20000,G666,DATOS!$G$2:$G$20000,CONFIG_METADATA!$B$4,DATOS!$I$2:$I$20000,"Conjunto"),"")))</f>
        <v/>
      </c>
      <c r="K666" t="str">
        <f>IF(G666="","",IF(G666="[FÓRMULA MANUAL]","",IFERROR(SUMPRODUCT((DATOS!$A$2:$A$20000=G666)*(DATOS!$G$2:$G$20000=CONFIG_METADATA!$B$4)*(COUNTIF(CONFIG_ASIGNATURAS!$B$7:$B$27,DATOS!$I$2:$I$20000)&gt;0)*(DATOS!$K$2:$K$20000))/SUMPRODUCT((DATOS!$A$2:$A$20000=G666)*(DATOS!$G$2:$G$20000=CONFIG_METADATA!$B$4)*(COUNTIF(CONFIG_ASIGNATURAS!$B$7:$B$27,DATOS!$I$2:$I$20000)&gt;0)*1),"")))</f>
        <v/>
      </c>
      <c r="N666" t="str">
        <f>IF(M666="","",IF(M666="[FÓRMULA MANUAL]","",IFERROR(AVERAGEIFS(DATOS!$K$2:$K$20000,DATOS!$A$2:$A$20000,M666,DATOS!$G$2:$G$20000,CONFIG_METADATA!$B$4,DATOS!$I$2:$I$20000,"Armonía"),"")))</f>
        <v/>
      </c>
      <c r="O666" t="str">
        <f>IF(M666="","",IF(M666="[FÓRMULA MANUAL]","",IFERROR(AVERAGEIFS(DATOS!$K$2:$K$20000,DATOS!$A$2:$A$20000,M666,DATOS!$G$2:$G$20000,CONFIG_METADATA!$B$4,DATOS!$I$2:$I$20000,"Orquesta/Banda/Conjunto"),"")))</f>
        <v/>
      </c>
      <c r="P666" t="str">
        <f>IF(M666="","",IF(M666="[FÓRMULA MANUAL]","",IFERROR(AVERAGEIFS(DATOS!$K$2:$K$20000,DATOS!$A$2:$A$20000,M666,DATOS!$G$2:$G$20000,CONFIG_METADATA!$B$4,DATOS!$I$2:$I$20000,"Música de Cámara"),"")))</f>
        <v/>
      </c>
      <c r="Q666" t="str">
        <f>IF(M666="","",IF(M666="[FÓRMULA MANUAL]","",IFERROR(SUMPRODUCT((DATOS!$A$2:$A$20000=M666)*(DATOS!$G$2:$G$20000=CONFIG_METADATA!$B$4)*(COUNTIF(CONFIG_ASIGNATURAS!$B$7:$B$27,DATOS!$I$2:$I$20000)&gt;0)*(DATOS!$K$2:$K$20000))/SUMPRODUCT((DATOS!$A$2:$A$20000=M666)*(DATOS!$G$2:$G$20000=CONFIG_METADATA!$B$4)*(COUNTIF(CONFIG_ASIGNATURAS!$B$7:$B$27,DATOS!$I$2:$I$20000)&gt;0)*1),"")))</f>
        <v/>
      </c>
      <c r="T666" t="str">
        <f>IF(S666="","",IF(S666="[FÓRMULA MANUAL]","",IFERROR(AVERAGEIFS(DATOS!$K$2:$K$20000,DATOS!$A$2:$A$20000,S666,DATOS!$G$2:$G$20000,CONFIG_METADATA!$B$4,DATOS!$I$2:$I$20000,"Armonía"),"")))</f>
        <v/>
      </c>
      <c r="U666" t="str">
        <f>IF(S666="","",IF(S666="[FÓRMULA MANUAL]","",IFERROR(AVERAGEIFS(DATOS!$K$2:$K$20000,DATOS!$A$2:$A$20000,S666,DATOS!$G$2:$G$20000,CONFIG_METADATA!$B$4,DATOS!$I$2:$I$20000,"Orquesta/Banda/Conjunto"),"")))</f>
        <v/>
      </c>
      <c r="V666" t="str">
        <f>IF(S666="","",IF(S666="[FÓRMULA MANUAL]","",IFERROR(AVERAGEIFS(DATOS!$K$2:$K$20000,DATOS!$A$2:$A$20000,S666,DATOS!$G$2:$G$20000,CONFIG_METADATA!$B$4,DATOS!$I$2:$I$20000,"Música de Cámara"),"")))</f>
        <v/>
      </c>
      <c r="W666" t="str">
        <f>IF(S666="","",IF(S666="[FÓRMULA MANUAL]","",IFERROR(SUMPRODUCT((DATOS!$A$2:$A$20000=S666)*(DATOS!$G$2:$G$20000=CONFIG_METADATA!$B$4)*(COUNTIF(CONFIG_ASIGNATURAS!$B$7:$B$27,DATOS!$I$2:$I$20000)&gt;0)*(DATOS!$K$2:$K$20000))/SUMPRODUCT((DATOS!$A$2:$A$20000=S666)*(DATOS!$G$2:$G$20000=CONFIG_METADATA!$B$4)*(COUNTIF(CONFIG_ASIGNATURAS!$B$7:$B$27,DATOS!$I$2:$I$20000)&gt;0)*1),"")))</f>
        <v/>
      </c>
      <c r="Z666" t="str">
        <f>IF(Y666="","",IF(Y666="[FÓRMULA MANUAL]","",IFERROR(AVERAGEIFS(DATOS!$K$2:$K$20000,DATOS!$A$2:$A$20000,Y666,DATOS!$G$2:$G$20000,CONFIG_METADATA!$B$4,DATOS!$I$2:$I$20000,"Análisis"),"")))</f>
        <v/>
      </c>
      <c r="AA666" t="str">
        <f>IF(Y666="","",IF(Y666="[FÓRMULA MANUAL]","",IFERROR(AVERAGEIFS(DATOS!$K$2:$K$20000,DATOS!$A$2:$A$20000,Y666,DATOS!$G$2:$G$20000,CONFIG_METADATA!$B$4,DATOS!$I$2:$I$20000,"Orquesta/Banda/Conjunto"),"")))</f>
        <v/>
      </c>
      <c r="AB666" t="str">
        <f>IF(Y666="","",IF(Y666="[FÓRMULA MANUAL]","",IFERROR(AVERAGEIFS(DATOS!$K$2:$K$20000,DATOS!$A$2:$A$20000,Y666,DATOS!$G$2:$G$20000,CONFIG_METADATA!$B$4,DATOS!$I$2:$I$20000,"Música de Cámara"),"")))</f>
        <v/>
      </c>
      <c r="AC666" t="str">
        <f>IF(Y666="","",IF(Y666="[FÓRMULA MANUAL]","",IFERROR(SUMPRODUCT((DATOS!$A$2:$A$20000=Y666)*(DATOS!$G$2:$G$20000=CONFIG_METADATA!$B$4)*(COUNTIF(CONFIG_ASIGNATURAS!$B$7:$B$27,DATOS!$I$2:$I$20000)&gt;0)*(DATOS!$K$2:$K$20000))/SUMPRODUCT((DATOS!$A$2:$A$20000=Y666)*(DATOS!$G$2:$G$20000=CONFIG_METADATA!$B$4)*(COUNTIF(CONFIG_ASIGNATURAS!$B$7:$B$27,DATOS!$I$2:$I$20000)&gt;0)*1),"")))</f>
        <v/>
      </c>
      <c r="AF666" t="str">
        <f>IF(AE666="","",IF(AE666="[FÓRMULA MANUAL]","",IFERROR(AVERAGEIFS(DATOS!$K$2:$K$20000,DATOS!$A$2:$A$20000,AE666,DATOS!$G$2:$G$20000,CONFIG_METADATA!$B$4,DATOS!$I$2:$I$20000,"Análisis"),"")))</f>
        <v/>
      </c>
      <c r="AG666" t="str">
        <f>IF(AE666="","",IF(AE666="[FÓRMULA MANUAL]","",IFERROR(AVERAGEIFS(DATOS!$K$2:$K$20000,DATOS!$A$2:$A$20000,AE666,DATOS!$G$2:$G$20000,CONFIG_METADATA!$B$4,DATOS!$I$2:$I$20000,"Orquesta/Banda/Conjunto"),"")))</f>
        <v/>
      </c>
      <c r="AH666" t="str">
        <f>IF(AE666="","",IF(AE666="[FÓRMULA MANUAL]","",IFERROR(AVERAGEIFS(DATOS!$K$2:$K$20000,DATOS!$A$2:$A$20000,AE666,DATOS!$G$2:$G$20000,CONFIG_METADATA!$B$4,DATOS!$I$2:$I$20000,"Música de Cámara"),"")))</f>
        <v/>
      </c>
      <c r="AI666" t="str">
        <f>IF(AE666="","",IF(AE666="[FÓRMULA MANUAL]","",IFERROR(SUMPRODUCT((DATOS!$A$2:$A$20000=AE666)*(DATOS!$G$2:$G$20000=CONFIG_METADATA!$B$4)*(COUNTIF(CONFIG_ASIGNATURAS!$B$7:$B$27,DATOS!$I$2:$I$20000)&gt;0)*(DATOS!$K$2:$K$20000))/SUMPRODUCT((DATOS!$A$2:$A$20000=AE666)*(DATOS!$G$2:$G$20000=CONFIG_METADATA!$B$4)*(COUNTIF(CONFIG_ASIGNATURAS!$B$7:$B$27,DATOS!$I$2:$I$20000)&gt;0)*1),"")))</f>
        <v/>
      </c>
    </row>
    <row r="667" spans="2:35" x14ac:dyDescent="0.2">
      <c r="B667" t="str">
        <f>IF(A667="","",IF(A667="[FÓRMULA MANUAL]","",IFERROR(AVERAGEIFS(DATOS!$K$2:$K$20000,DATOS!$A$2:$A$20000,A667,DATOS!$G$2:$G$20000,CONFIG_METADATA!$B$4,DATOS!$I$2:$I$20000,"Lenguaje Musical"),"")))</f>
        <v/>
      </c>
      <c r="C667" t="str">
        <f>IF(A667="","",IF(A667="[FÓRMULA MANUAL]","",IFERROR(AVERAGEIFS(DATOS!$K$2:$K$20000,DATOS!$A$2:$A$20000,A667,DATOS!$G$2:$G$20000,CONFIG_METADATA!$B$4,DATOS!$I$2:$I$20000,"Orquesta/Banda/Conjunto"),"")))</f>
        <v/>
      </c>
      <c r="D667" t="str">
        <f>IF(A667="","",IF(A667="[FÓRMULA MANUAL]","",IFERROR(AVERAGEIFS(DATOS!$K$2:$K$20000,DATOS!$A$2:$A$20000,A667,DATOS!$G$2:$G$20000,CONFIG_METADATA!$B$4,DATOS!$I$2:$I$20000,"Conjunto"),"")))</f>
        <v/>
      </c>
      <c r="E667" t="str">
        <f>IF(A667="","",IF(A667="[FÓRMULA MANUAL]","",IFERROR(SUMPRODUCT((DATOS!$A$2:$A$20000=A667)*(DATOS!$G$2:$G$20000=CONFIG_METADATA!$B$4)*(COUNTIF(CONFIG_ASIGNATURAS!$B$7:$B$27,DATOS!$I$2:$I$20000)&gt;0)*(DATOS!$K$2:$K$20000))/SUMPRODUCT((DATOS!$A$2:$A$20000=A667)*(DATOS!$G$2:$G$20000=CONFIG_METADATA!$B$4)*(COUNTIF(CONFIG_ASIGNATURAS!$B$7:$B$27,DATOS!$I$2:$I$20000)&gt;0)*1),"")))</f>
        <v/>
      </c>
      <c r="H667" t="str">
        <f>IF(G667="","",IF(G667="[FÓRMULA MANUAL]","",IFERROR(AVERAGEIFS(DATOS!$K$2:$K$20000,DATOS!$A$2:$A$20000,G667,DATOS!$G$2:$G$20000,CONFIG_METADATA!$B$4,DATOS!$I$2:$I$20000,"Lenguaje Musical"),"")))</f>
        <v/>
      </c>
      <c r="I667" t="str">
        <f>IF(G667="","",IF(G667="[FÓRMULA MANUAL]","",IFERROR(AVERAGEIFS(DATOS!$K$2:$K$20000,DATOS!$A$2:$A$20000,G667,DATOS!$G$2:$G$20000,CONFIG_METADATA!$B$4,DATOS!$I$2:$I$20000,"Orquesta/Banda/Conjunto"),"")))</f>
        <v/>
      </c>
      <c r="J667" t="str">
        <f>IF(G667="","",IF(G667="[FÓRMULA MANUAL]","",IFERROR(AVERAGEIFS(DATOS!$K$2:$K$20000,DATOS!$A$2:$A$20000,G667,DATOS!$G$2:$G$20000,CONFIG_METADATA!$B$4,DATOS!$I$2:$I$20000,"Conjunto"),"")))</f>
        <v/>
      </c>
      <c r="K667" t="str">
        <f>IF(G667="","",IF(G667="[FÓRMULA MANUAL]","",IFERROR(SUMPRODUCT((DATOS!$A$2:$A$20000=G667)*(DATOS!$G$2:$G$20000=CONFIG_METADATA!$B$4)*(COUNTIF(CONFIG_ASIGNATURAS!$B$7:$B$27,DATOS!$I$2:$I$20000)&gt;0)*(DATOS!$K$2:$K$20000))/SUMPRODUCT((DATOS!$A$2:$A$20000=G667)*(DATOS!$G$2:$G$20000=CONFIG_METADATA!$B$4)*(COUNTIF(CONFIG_ASIGNATURAS!$B$7:$B$27,DATOS!$I$2:$I$20000)&gt;0)*1),"")))</f>
        <v/>
      </c>
      <c r="N667" t="str">
        <f>IF(M667="","",IF(M667="[FÓRMULA MANUAL]","",IFERROR(AVERAGEIFS(DATOS!$K$2:$K$20000,DATOS!$A$2:$A$20000,M667,DATOS!$G$2:$G$20000,CONFIG_METADATA!$B$4,DATOS!$I$2:$I$20000,"Armonía"),"")))</f>
        <v/>
      </c>
      <c r="O667" t="str">
        <f>IF(M667="","",IF(M667="[FÓRMULA MANUAL]","",IFERROR(AVERAGEIFS(DATOS!$K$2:$K$20000,DATOS!$A$2:$A$20000,M667,DATOS!$G$2:$G$20000,CONFIG_METADATA!$B$4,DATOS!$I$2:$I$20000,"Orquesta/Banda/Conjunto"),"")))</f>
        <v/>
      </c>
      <c r="P667" t="str">
        <f>IF(M667="","",IF(M667="[FÓRMULA MANUAL]","",IFERROR(AVERAGEIFS(DATOS!$K$2:$K$20000,DATOS!$A$2:$A$20000,M667,DATOS!$G$2:$G$20000,CONFIG_METADATA!$B$4,DATOS!$I$2:$I$20000,"Música de Cámara"),"")))</f>
        <v/>
      </c>
      <c r="Q667" t="str">
        <f>IF(M667="","",IF(M667="[FÓRMULA MANUAL]","",IFERROR(SUMPRODUCT((DATOS!$A$2:$A$20000=M667)*(DATOS!$G$2:$G$20000=CONFIG_METADATA!$B$4)*(COUNTIF(CONFIG_ASIGNATURAS!$B$7:$B$27,DATOS!$I$2:$I$20000)&gt;0)*(DATOS!$K$2:$K$20000))/SUMPRODUCT((DATOS!$A$2:$A$20000=M667)*(DATOS!$G$2:$G$20000=CONFIG_METADATA!$B$4)*(COUNTIF(CONFIG_ASIGNATURAS!$B$7:$B$27,DATOS!$I$2:$I$20000)&gt;0)*1),"")))</f>
        <v/>
      </c>
      <c r="T667" t="str">
        <f>IF(S667="","",IF(S667="[FÓRMULA MANUAL]","",IFERROR(AVERAGEIFS(DATOS!$K$2:$K$20000,DATOS!$A$2:$A$20000,S667,DATOS!$G$2:$G$20000,CONFIG_METADATA!$B$4,DATOS!$I$2:$I$20000,"Armonía"),"")))</f>
        <v/>
      </c>
      <c r="U667" t="str">
        <f>IF(S667="","",IF(S667="[FÓRMULA MANUAL]","",IFERROR(AVERAGEIFS(DATOS!$K$2:$K$20000,DATOS!$A$2:$A$20000,S667,DATOS!$G$2:$G$20000,CONFIG_METADATA!$B$4,DATOS!$I$2:$I$20000,"Orquesta/Banda/Conjunto"),"")))</f>
        <v/>
      </c>
      <c r="V667" t="str">
        <f>IF(S667="","",IF(S667="[FÓRMULA MANUAL]","",IFERROR(AVERAGEIFS(DATOS!$K$2:$K$20000,DATOS!$A$2:$A$20000,S667,DATOS!$G$2:$G$20000,CONFIG_METADATA!$B$4,DATOS!$I$2:$I$20000,"Música de Cámara"),"")))</f>
        <v/>
      </c>
      <c r="W667" t="str">
        <f>IF(S667="","",IF(S667="[FÓRMULA MANUAL]","",IFERROR(SUMPRODUCT((DATOS!$A$2:$A$20000=S667)*(DATOS!$G$2:$G$20000=CONFIG_METADATA!$B$4)*(COUNTIF(CONFIG_ASIGNATURAS!$B$7:$B$27,DATOS!$I$2:$I$20000)&gt;0)*(DATOS!$K$2:$K$20000))/SUMPRODUCT((DATOS!$A$2:$A$20000=S667)*(DATOS!$G$2:$G$20000=CONFIG_METADATA!$B$4)*(COUNTIF(CONFIG_ASIGNATURAS!$B$7:$B$27,DATOS!$I$2:$I$20000)&gt;0)*1),"")))</f>
        <v/>
      </c>
      <c r="Z667" t="str">
        <f>IF(Y667="","",IF(Y667="[FÓRMULA MANUAL]","",IFERROR(AVERAGEIFS(DATOS!$K$2:$K$20000,DATOS!$A$2:$A$20000,Y667,DATOS!$G$2:$G$20000,CONFIG_METADATA!$B$4,DATOS!$I$2:$I$20000,"Análisis"),"")))</f>
        <v/>
      </c>
      <c r="AA667" t="str">
        <f>IF(Y667="","",IF(Y667="[FÓRMULA MANUAL]","",IFERROR(AVERAGEIFS(DATOS!$K$2:$K$20000,DATOS!$A$2:$A$20000,Y667,DATOS!$G$2:$G$20000,CONFIG_METADATA!$B$4,DATOS!$I$2:$I$20000,"Orquesta/Banda/Conjunto"),"")))</f>
        <v/>
      </c>
      <c r="AB667" t="str">
        <f>IF(Y667="","",IF(Y667="[FÓRMULA MANUAL]","",IFERROR(AVERAGEIFS(DATOS!$K$2:$K$20000,DATOS!$A$2:$A$20000,Y667,DATOS!$G$2:$G$20000,CONFIG_METADATA!$B$4,DATOS!$I$2:$I$20000,"Música de Cámara"),"")))</f>
        <v/>
      </c>
      <c r="AC667" t="str">
        <f>IF(Y667="","",IF(Y667="[FÓRMULA MANUAL]","",IFERROR(SUMPRODUCT((DATOS!$A$2:$A$20000=Y667)*(DATOS!$G$2:$G$20000=CONFIG_METADATA!$B$4)*(COUNTIF(CONFIG_ASIGNATURAS!$B$7:$B$27,DATOS!$I$2:$I$20000)&gt;0)*(DATOS!$K$2:$K$20000))/SUMPRODUCT((DATOS!$A$2:$A$20000=Y667)*(DATOS!$G$2:$G$20000=CONFIG_METADATA!$B$4)*(COUNTIF(CONFIG_ASIGNATURAS!$B$7:$B$27,DATOS!$I$2:$I$20000)&gt;0)*1),"")))</f>
        <v/>
      </c>
      <c r="AF667" t="str">
        <f>IF(AE667="","",IF(AE667="[FÓRMULA MANUAL]","",IFERROR(AVERAGEIFS(DATOS!$K$2:$K$20000,DATOS!$A$2:$A$20000,AE667,DATOS!$G$2:$G$20000,CONFIG_METADATA!$B$4,DATOS!$I$2:$I$20000,"Análisis"),"")))</f>
        <v/>
      </c>
      <c r="AG667" t="str">
        <f>IF(AE667="","",IF(AE667="[FÓRMULA MANUAL]","",IFERROR(AVERAGEIFS(DATOS!$K$2:$K$20000,DATOS!$A$2:$A$20000,AE667,DATOS!$G$2:$G$20000,CONFIG_METADATA!$B$4,DATOS!$I$2:$I$20000,"Orquesta/Banda/Conjunto"),"")))</f>
        <v/>
      </c>
      <c r="AH667" t="str">
        <f>IF(AE667="","",IF(AE667="[FÓRMULA MANUAL]","",IFERROR(AVERAGEIFS(DATOS!$K$2:$K$20000,DATOS!$A$2:$A$20000,AE667,DATOS!$G$2:$G$20000,CONFIG_METADATA!$B$4,DATOS!$I$2:$I$20000,"Música de Cámara"),"")))</f>
        <v/>
      </c>
      <c r="AI667" t="str">
        <f>IF(AE667="","",IF(AE667="[FÓRMULA MANUAL]","",IFERROR(SUMPRODUCT((DATOS!$A$2:$A$20000=AE667)*(DATOS!$G$2:$G$20000=CONFIG_METADATA!$B$4)*(COUNTIF(CONFIG_ASIGNATURAS!$B$7:$B$27,DATOS!$I$2:$I$20000)&gt;0)*(DATOS!$K$2:$K$20000))/SUMPRODUCT((DATOS!$A$2:$A$20000=AE667)*(DATOS!$G$2:$G$20000=CONFIG_METADATA!$B$4)*(COUNTIF(CONFIG_ASIGNATURAS!$B$7:$B$27,DATOS!$I$2:$I$20000)&gt;0)*1),"")))</f>
        <v/>
      </c>
    </row>
    <row r="668" spans="2:35" x14ac:dyDescent="0.2">
      <c r="B668" t="str">
        <f>IF(A668="","",IF(A668="[FÓRMULA MANUAL]","",IFERROR(AVERAGEIFS(DATOS!$K$2:$K$20000,DATOS!$A$2:$A$20000,A668,DATOS!$G$2:$G$20000,CONFIG_METADATA!$B$4,DATOS!$I$2:$I$20000,"Lenguaje Musical"),"")))</f>
        <v/>
      </c>
      <c r="C668" t="str">
        <f>IF(A668="","",IF(A668="[FÓRMULA MANUAL]","",IFERROR(AVERAGEIFS(DATOS!$K$2:$K$20000,DATOS!$A$2:$A$20000,A668,DATOS!$G$2:$G$20000,CONFIG_METADATA!$B$4,DATOS!$I$2:$I$20000,"Orquesta/Banda/Conjunto"),"")))</f>
        <v/>
      </c>
      <c r="D668" t="str">
        <f>IF(A668="","",IF(A668="[FÓRMULA MANUAL]","",IFERROR(AVERAGEIFS(DATOS!$K$2:$K$20000,DATOS!$A$2:$A$20000,A668,DATOS!$G$2:$G$20000,CONFIG_METADATA!$B$4,DATOS!$I$2:$I$20000,"Conjunto"),"")))</f>
        <v/>
      </c>
      <c r="E668" t="str">
        <f>IF(A668="","",IF(A668="[FÓRMULA MANUAL]","",IFERROR(SUMPRODUCT((DATOS!$A$2:$A$20000=A668)*(DATOS!$G$2:$G$20000=CONFIG_METADATA!$B$4)*(COUNTIF(CONFIG_ASIGNATURAS!$B$7:$B$27,DATOS!$I$2:$I$20000)&gt;0)*(DATOS!$K$2:$K$20000))/SUMPRODUCT((DATOS!$A$2:$A$20000=A668)*(DATOS!$G$2:$G$20000=CONFIG_METADATA!$B$4)*(COUNTIF(CONFIG_ASIGNATURAS!$B$7:$B$27,DATOS!$I$2:$I$20000)&gt;0)*1),"")))</f>
        <v/>
      </c>
      <c r="H668" t="str">
        <f>IF(G668="","",IF(G668="[FÓRMULA MANUAL]","",IFERROR(AVERAGEIFS(DATOS!$K$2:$K$20000,DATOS!$A$2:$A$20000,G668,DATOS!$G$2:$G$20000,CONFIG_METADATA!$B$4,DATOS!$I$2:$I$20000,"Lenguaje Musical"),"")))</f>
        <v/>
      </c>
      <c r="I668" t="str">
        <f>IF(G668="","",IF(G668="[FÓRMULA MANUAL]","",IFERROR(AVERAGEIFS(DATOS!$K$2:$K$20000,DATOS!$A$2:$A$20000,G668,DATOS!$G$2:$G$20000,CONFIG_METADATA!$B$4,DATOS!$I$2:$I$20000,"Orquesta/Banda/Conjunto"),"")))</f>
        <v/>
      </c>
      <c r="J668" t="str">
        <f>IF(G668="","",IF(G668="[FÓRMULA MANUAL]","",IFERROR(AVERAGEIFS(DATOS!$K$2:$K$20000,DATOS!$A$2:$A$20000,G668,DATOS!$G$2:$G$20000,CONFIG_METADATA!$B$4,DATOS!$I$2:$I$20000,"Conjunto"),"")))</f>
        <v/>
      </c>
      <c r="K668" t="str">
        <f>IF(G668="","",IF(G668="[FÓRMULA MANUAL]","",IFERROR(SUMPRODUCT((DATOS!$A$2:$A$20000=G668)*(DATOS!$G$2:$G$20000=CONFIG_METADATA!$B$4)*(COUNTIF(CONFIG_ASIGNATURAS!$B$7:$B$27,DATOS!$I$2:$I$20000)&gt;0)*(DATOS!$K$2:$K$20000))/SUMPRODUCT((DATOS!$A$2:$A$20000=G668)*(DATOS!$G$2:$G$20000=CONFIG_METADATA!$B$4)*(COUNTIF(CONFIG_ASIGNATURAS!$B$7:$B$27,DATOS!$I$2:$I$20000)&gt;0)*1),"")))</f>
        <v/>
      </c>
      <c r="N668" t="str">
        <f>IF(M668="","",IF(M668="[FÓRMULA MANUAL]","",IFERROR(AVERAGEIFS(DATOS!$K$2:$K$20000,DATOS!$A$2:$A$20000,M668,DATOS!$G$2:$G$20000,CONFIG_METADATA!$B$4,DATOS!$I$2:$I$20000,"Armonía"),"")))</f>
        <v/>
      </c>
      <c r="O668" t="str">
        <f>IF(M668="","",IF(M668="[FÓRMULA MANUAL]","",IFERROR(AVERAGEIFS(DATOS!$K$2:$K$20000,DATOS!$A$2:$A$20000,M668,DATOS!$G$2:$G$20000,CONFIG_METADATA!$B$4,DATOS!$I$2:$I$20000,"Orquesta/Banda/Conjunto"),"")))</f>
        <v/>
      </c>
      <c r="P668" t="str">
        <f>IF(M668="","",IF(M668="[FÓRMULA MANUAL]","",IFERROR(AVERAGEIFS(DATOS!$K$2:$K$20000,DATOS!$A$2:$A$20000,M668,DATOS!$G$2:$G$20000,CONFIG_METADATA!$B$4,DATOS!$I$2:$I$20000,"Música de Cámara"),"")))</f>
        <v/>
      </c>
      <c r="Q668" t="str">
        <f>IF(M668="","",IF(M668="[FÓRMULA MANUAL]","",IFERROR(SUMPRODUCT((DATOS!$A$2:$A$20000=M668)*(DATOS!$G$2:$G$20000=CONFIG_METADATA!$B$4)*(COUNTIF(CONFIG_ASIGNATURAS!$B$7:$B$27,DATOS!$I$2:$I$20000)&gt;0)*(DATOS!$K$2:$K$20000))/SUMPRODUCT((DATOS!$A$2:$A$20000=M668)*(DATOS!$G$2:$G$20000=CONFIG_METADATA!$B$4)*(COUNTIF(CONFIG_ASIGNATURAS!$B$7:$B$27,DATOS!$I$2:$I$20000)&gt;0)*1),"")))</f>
        <v/>
      </c>
      <c r="T668" t="str">
        <f>IF(S668="","",IF(S668="[FÓRMULA MANUAL]","",IFERROR(AVERAGEIFS(DATOS!$K$2:$K$20000,DATOS!$A$2:$A$20000,S668,DATOS!$G$2:$G$20000,CONFIG_METADATA!$B$4,DATOS!$I$2:$I$20000,"Armonía"),"")))</f>
        <v/>
      </c>
      <c r="U668" t="str">
        <f>IF(S668="","",IF(S668="[FÓRMULA MANUAL]","",IFERROR(AVERAGEIFS(DATOS!$K$2:$K$20000,DATOS!$A$2:$A$20000,S668,DATOS!$G$2:$G$20000,CONFIG_METADATA!$B$4,DATOS!$I$2:$I$20000,"Orquesta/Banda/Conjunto"),"")))</f>
        <v/>
      </c>
      <c r="V668" t="str">
        <f>IF(S668="","",IF(S668="[FÓRMULA MANUAL]","",IFERROR(AVERAGEIFS(DATOS!$K$2:$K$20000,DATOS!$A$2:$A$20000,S668,DATOS!$G$2:$G$20000,CONFIG_METADATA!$B$4,DATOS!$I$2:$I$20000,"Música de Cámara"),"")))</f>
        <v/>
      </c>
      <c r="W668" t="str">
        <f>IF(S668="","",IF(S668="[FÓRMULA MANUAL]","",IFERROR(SUMPRODUCT((DATOS!$A$2:$A$20000=S668)*(DATOS!$G$2:$G$20000=CONFIG_METADATA!$B$4)*(COUNTIF(CONFIG_ASIGNATURAS!$B$7:$B$27,DATOS!$I$2:$I$20000)&gt;0)*(DATOS!$K$2:$K$20000))/SUMPRODUCT((DATOS!$A$2:$A$20000=S668)*(DATOS!$G$2:$G$20000=CONFIG_METADATA!$B$4)*(COUNTIF(CONFIG_ASIGNATURAS!$B$7:$B$27,DATOS!$I$2:$I$20000)&gt;0)*1),"")))</f>
        <v/>
      </c>
      <c r="Z668" t="str">
        <f>IF(Y668="","",IF(Y668="[FÓRMULA MANUAL]","",IFERROR(AVERAGEIFS(DATOS!$K$2:$K$20000,DATOS!$A$2:$A$20000,Y668,DATOS!$G$2:$G$20000,CONFIG_METADATA!$B$4,DATOS!$I$2:$I$20000,"Análisis"),"")))</f>
        <v/>
      </c>
      <c r="AA668" t="str">
        <f>IF(Y668="","",IF(Y668="[FÓRMULA MANUAL]","",IFERROR(AVERAGEIFS(DATOS!$K$2:$K$20000,DATOS!$A$2:$A$20000,Y668,DATOS!$G$2:$G$20000,CONFIG_METADATA!$B$4,DATOS!$I$2:$I$20000,"Orquesta/Banda/Conjunto"),"")))</f>
        <v/>
      </c>
      <c r="AB668" t="str">
        <f>IF(Y668="","",IF(Y668="[FÓRMULA MANUAL]","",IFERROR(AVERAGEIFS(DATOS!$K$2:$K$20000,DATOS!$A$2:$A$20000,Y668,DATOS!$G$2:$G$20000,CONFIG_METADATA!$B$4,DATOS!$I$2:$I$20000,"Música de Cámara"),"")))</f>
        <v/>
      </c>
      <c r="AC668" t="str">
        <f>IF(Y668="","",IF(Y668="[FÓRMULA MANUAL]","",IFERROR(SUMPRODUCT((DATOS!$A$2:$A$20000=Y668)*(DATOS!$G$2:$G$20000=CONFIG_METADATA!$B$4)*(COUNTIF(CONFIG_ASIGNATURAS!$B$7:$B$27,DATOS!$I$2:$I$20000)&gt;0)*(DATOS!$K$2:$K$20000))/SUMPRODUCT((DATOS!$A$2:$A$20000=Y668)*(DATOS!$G$2:$G$20000=CONFIG_METADATA!$B$4)*(COUNTIF(CONFIG_ASIGNATURAS!$B$7:$B$27,DATOS!$I$2:$I$20000)&gt;0)*1),"")))</f>
        <v/>
      </c>
      <c r="AF668" t="str">
        <f>IF(AE668="","",IF(AE668="[FÓRMULA MANUAL]","",IFERROR(AVERAGEIFS(DATOS!$K$2:$K$20000,DATOS!$A$2:$A$20000,AE668,DATOS!$G$2:$G$20000,CONFIG_METADATA!$B$4,DATOS!$I$2:$I$20000,"Análisis"),"")))</f>
        <v/>
      </c>
      <c r="AG668" t="str">
        <f>IF(AE668="","",IF(AE668="[FÓRMULA MANUAL]","",IFERROR(AVERAGEIFS(DATOS!$K$2:$K$20000,DATOS!$A$2:$A$20000,AE668,DATOS!$G$2:$G$20000,CONFIG_METADATA!$B$4,DATOS!$I$2:$I$20000,"Orquesta/Banda/Conjunto"),"")))</f>
        <v/>
      </c>
      <c r="AH668" t="str">
        <f>IF(AE668="","",IF(AE668="[FÓRMULA MANUAL]","",IFERROR(AVERAGEIFS(DATOS!$K$2:$K$20000,DATOS!$A$2:$A$20000,AE668,DATOS!$G$2:$G$20000,CONFIG_METADATA!$B$4,DATOS!$I$2:$I$20000,"Música de Cámara"),"")))</f>
        <v/>
      </c>
      <c r="AI668" t="str">
        <f>IF(AE668="","",IF(AE668="[FÓRMULA MANUAL]","",IFERROR(SUMPRODUCT((DATOS!$A$2:$A$20000=AE668)*(DATOS!$G$2:$G$20000=CONFIG_METADATA!$B$4)*(COUNTIF(CONFIG_ASIGNATURAS!$B$7:$B$27,DATOS!$I$2:$I$20000)&gt;0)*(DATOS!$K$2:$K$20000))/SUMPRODUCT((DATOS!$A$2:$A$20000=AE668)*(DATOS!$G$2:$G$20000=CONFIG_METADATA!$B$4)*(COUNTIF(CONFIG_ASIGNATURAS!$B$7:$B$27,DATOS!$I$2:$I$20000)&gt;0)*1),"")))</f>
        <v/>
      </c>
    </row>
    <row r="669" spans="2:35" x14ac:dyDescent="0.2">
      <c r="B669" t="str">
        <f>IF(A669="","",IF(A669="[FÓRMULA MANUAL]","",IFERROR(AVERAGEIFS(DATOS!$K$2:$K$20000,DATOS!$A$2:$A$20000,A669,DATOS!$G$2:$G$20000,CONFIG_METADATA!$B$4,DATOS!$I$2:$I$20000,"Lenguaje Musical"),"")))</f>
        <v/>
      </c>
      <c r="C669" t="str">
        <f>IF(A669="","",IF(A669="[FÓRMULA MANUAL]","",IFERROR(AVERAGEIFS(DATOS!$K$2:$K$20000,DATOS!$A$2:$A$20000,A669,DATOS!$G$2:$G$20000,CONFIG_METADATA!$B$4,DATOS!$I$2:$I$20000,"Orquesta/Banda/Conjunto"),"")))</f>
        <v/>
      </c>
      <c r="D669" t="str">
        <f>IF(A669="","",IF(A669="[FÓRMULA MANUAL]","",IFERROR(AVERAGEIFS(DATOS!$K$2:$K$20000,DATOS!$A$2:$A$20000,A669,DATOS!$G$2:$G$20000,CONFIG_METADATA!$B$4,DATOS!$I$2:$I$20000,"Conjunto"),"")))</f>
        <v/>
      </c>
      <c r="E669" t="str">
        <f>IF(A669="","",IF(A669="[FÓRMULA MANUAL]","",IFERROR(SUMPRODUCT((DATOS!$A$2:$A$20000=A669)*(DATOS!$G$2:$G$20000=CONFIG_METADATA!$B$4)*(COUNTIF(CONFIG_ASIGNATURAS!$B$7:$B$27,DATOS!$I$2:$I$20000)&gt;0)*(DATOS!$K$2:$K$20000))/SUMPRODUCT((DATOS!$A$2:$A$20000=A669)*(DATOS!$G$2:$G$20000=CONFIG_METADATA!$B$4)*(COUNTIF(CONFIG_ASIGNATURAS!$B$7:$B$27,DATOS!$I$2:$I$20000)&gt;0)*1),"")))</f>
        <v/>
      </c>
      <c r="H669" t="str">
        <f>IF(G669="","",IF(G669="[FÓRMULA MANUAL]","",IFERROR(AVERAGEIFS(DATOS!$K$2:$K$20000,DATOS!$A$2:$A$20000,G669,DATOS!$G$2:$G$20000,CONFIG_METADATA!$B$4,DATOS!$I$2:$I$20000,"Lenguaje Musical"),"")))</f>
        <v/>
      </c>
      <c r="I669" t="str">
        <f>IF(G669="","",IF(G669="[FÓRMULA MANUAL]","",IFERROR(AVERAGEIFS(DATOS!$K$2:$K$20000,DATOS!$A$2:$A$20000,G669,DATOS!$G$2:$G$20000,CONFIG_METADATA!$B$4,DATOS!$I$2:$I$20000,"Orquesta/Banda/Conjunto"),"")))</f>
        <v/>
      </c>
      <c r="J669" t="str">
        <f>IF(G669="","",IF(G669="[FÓRMULA MANUAL]","",IFERROR(AVERAGEIFS(DATOS!$K$2:$K$20000,DATOS!$A$2:$A$20000,G669,DATOS!$G$2:$G$20000,CONFIG_METADATA!$B$4,DATOS!$I$2:$I$20000,"Conjunto"),"")))</f>
        <v/>
      </c>
      <c r="K669" t="str">
        <f>IF(G669="","",IF(G669="[FÓRMULA MANUAL]","",IFERROR(SUMPRODUCT((DATOS!$A$2:$A$20000=G669)*(DATOS!$G$2:$G$20000=CONFIG_METADATA!$B$4)*(COUNTIF(CONFIG_ASIGNATURAS!$B$7:$B$27,DATOS!$I$2:$I$20000)&gt;0)*(DATOS!$K$2:$K$20000))/SUMPRODUCT((DATOS!$A$2:$A$20000=G669)*(DATOS!$G$2:$G$20000=CONFIG_METADATA!$B$4)*(COUNTIF(CONFIG_ASIGNATURAS!$B$7:$B$27,DATOS!$I$2:$I$20000)&gt;0)*1),"")))</f>
        <v/>
      </c>
      <c r="N669" t="str">
        <f>IF(M669="","",IF(M669="[FÓRMULA MANUAL]","",IFERROR(AVERAGEIFS(DATOS!$K$2:$K$20000,DATOS!$A$2:$A$20000,M669,DATOS!$G$2:$G$20000,CONFIG_METADATA!$B$4,DATOS!$I$2:$I$20000,"Armonía"),"")))</f>
        <v/>
      </c>
      <c r="O669" t="str">
        <f>IF(M669="","",IF(M669="[FÓRMULA MANUAL]","",IFERROR(AVERAGEIFS(DATOS!$K$2:$K$20000,DATOS!$A$2:$A$20000,M669,DATOS!$G$2:$G$20000,CONFIG_METADATA!$B$4,DATOS!$I$2:$I$20000,"Orquesta/Banda/Conjunto"),"")))</f>
        <v/>
      </c>
      <c r="P669" t="str">
        <f>IF(M669="","",IF(M669="[FÓRMULA MANUAL]","",IFERROR(AVERAGEIFS(DATOS!$K$2:$K$20000,DATOS!$A$2:$A$20000,M669,DATOS!$G$2:$G$20000,CONFIG_METADATA!$B$4,DATOS!$I$2:$I$20000,"Música de Cámara"),"")))</f>
        <v/>
      </c>
      <c r="Q669" t="str">
        <f>IF(M669="","",IF(M669="[FÓRMULA MANUAL]","",IFERROR(SUMPRODUCT((DATOS!$A$2:$A$20000=M669)*(DATOS!$G$2:$G$20000=CONFIG_METADATA!$B$4)*(COUNTIF(CONFIG_ASIGNATURAS!$B$7:$B$27,DATOS!$I$2:$I$20000)&gt;0)*(DATOS!$K$2:$K$20000))/SUMPRODUCT((DATOS!$A$2:$A$20000=M669)*(DATOS!$G$2:$G$20000=CONFIG_METADATA!$B$4)*(COUNTIF(CONFIG_ASIGNATURAS!$B$7:$B$27,DATOS!$I$2:$I$20000)&gt;0)*1),"")))</f>
        <v/>
      </c>
      <c r="T669" t="str">
        <f>IF(S669="","",IF(S669="[FÓRMULA MANUAL]","",IFERROR(AVERAGEIFS(DATOS!$K$2:$K$20000,DATOS!$A$2:$A$20000,S669,DATOS!$G$2:$G$20000,CONFIG_METADATA!$B$4,DATOS!$I$2:$I$20000,"Armonía"),"")))</f>
        <v/>
      </c>
      <c r="U669" t="str">
        <f>IF(S669="","",IF(S669="[FÓRMULA MANUAL]","",IFERROR(AVERAGEIFS(DATOS!$K$2:$K$20000,DATOS!$A$2:$A$20000,S669,DATOS!$G$2:$G$20000,CONFIG_METADATA!$B$4,DATOS!$I$2:$I$20000,"Orquesta/Banda/Conjunto"),"")))</f>
        <v/>
      </c>
      <c r="V669" t="str">
        <f>IF(S669="","",IF(S669="[FÓRMULA MANUAL]","",IFERROR(AVERAGEIFS(DATOS!$K$2:$K$20000,DATOS!$A$2:$A$20000,S669,DATOS!$G$2:$G$20000,CONFIG_METADATA!$B$4,DATOS!$I$2:$I$20000,"Música de Cámara"),"")))</f>
        <v/>
      </c>
      <c r="W669" t="str">
        <f>IF(S669="","",IF(S669="[FÓRMULA MANUAL]","",IFERROR(SUMPRODUCT((DATOS!$A$2:$A$20000=S669)*(DATOS!$G$2:$G$20000=CONFIG_METADATA!$B$4)*(COUNTIF(CONFIG_ASIGNATURAS!$B$7:$B$27,DATOS!$I$2:$I$20000)&gt;0)*(DATOS!$K$2:$K$20000))/SUMPRODUCT((DATOS!$A$2:$A$20000=S669)*(DATOS!$G$2:$G$20000=CONFIG_METADATA!$B$4)*(COUNTIF(CONFIG_ASIGNATURAS!$B$7:$B$27,DATOS!$I$2:$I$20000)&gt;0)*1),"")))</f>
        <v/>
      </c>
      <c r="Z669" t="str">
        <f>IF(Y669="","",IF(Y669="[FÓRMULA MANUAL]","",IFERROR(AVERAGEIFS(DATOS!$K$2:$K$20000,DATOS!$A$2:$A$20000,Y669,DATOS!$G$2:$G$20000,CONFIG_METADATA!$B$4,DATOS!$I$2:$I$20000,"Análisis"),"")))</f>
        <v/>
      </c>
      <c r="AA669" t="str">
        <f>IF(Y669="","",IF(Y669="[FÓRMULA MANUAL]","",IFERROR(AVERAGEIFS(DATOS!$K$2:$K$20000,DATOS!$A$2:$A$20000,Y669,DATOS!$G$2:$G$20000,CONFIG_METADATA!$B$4,DATOS!$I$2:$I$20000,"Orquesta/Banda/Conjunto"),"")))</f>
        <v/>
      </c>
      <c r="AB669" t="str">
        <f>IF(Y669="","",IF(Y669="[FÓRMULA MANUAL]","",IFERROR(AVERAGEIFS(DATOS!$K$2:$K$20000,DATOS!$A$2:$A$20000,Y669,DATOS!$G$2:$G$20000,CONFIG_METADATA!$B$4,DATOS!$I$2:$I$20000,"Música de Cámara"),"")))</f>
        <v/>
      </c>
      <c r="AC669" t="str">
        <f>IF(Y669="","",IF(Y669="[FÓRMULA MANUAL]","",IFERROR(SUMPRODUCT((DATOS!$A$2:$A$20000=Y669)*(DATOS!$G$2:$G$20000=CONFIG_METADATA!$B$4)*(COUNTIF(CONFIG_ASIGNATURAS!$B$7:$B$27,DATOS!$I$2:$I$20000)&gt;0)*(DATOS!$K$2:$K$20000))/SUMPRODUCT((DATOS!$A$2:$A$20000=Y669)*(DATOS!$G$2:$G$20000=CONFIG_METADATA!$B$4)*(COUNTIF(CONFIG_ASIGNATURAS!$B$7:$B$27,DATOS!$I$2:$I$20000)&gt;0)*1),"")))</f>
        <v/>
      </c>
      <c r="AF669" t="str">
        <f>IF(AE669="","",IF(AE669="[FÓRMULA MANUAL]","",IFERROR(AVERAGEIFS(DATOS!$K$2:$K$20000,DATOS!$A$2:$A$20000,AE669,DATOS!$G$2:$G$20000,CONFIG_METADATA!$B$4,DATOS!$I$2:$I$20000,"Análisis"),"")))</f>
        <v/>
      </c>
      <c r="AG669" t="str">
        <f>IF(AE669="","",IF(AE669="[FÓRMULA MANUAL]","",IFERROR(AVERAGEIFS(DATOS!$K$2:$K$20000,DATOS!$A$2:$A$20000,AE669,DATOS!$G$2:$G$20000,CONFIG_METADATA!$B$4,DATOS!$I$2:$I$20000,"Orquesta/Banda/Conjunto"),"")))</f>
        <v/>
      </c>
      <c r="AH669" t="str">
        <f>IF(AE669="","",IF(AE669="[FÓRMULA MANUAL]","",IFERROR(AVERAGEIFS(DATOS!$K$2:$K$20000,DATOS!$A$2:$A$20000,AE669,DATOS!$G$2:$G$20000,CONFIG_METADATA!$B$4,DATOS!$I$2:$I$20000,"Música de Cámara"),"")))</f>
        <v/>
      </c>
      <c r="AI669" t="str">
        <f>IF(AE669="","",IF(AE669="[FÓRMULA MANUAL]","",IFERROR(SUMPRODUCT((DATOS!$A$2:$A$20000=AE669)*(DATOS!$G$2:$G$20000=CONFIG_METADATA!$B$4)*(COUNTIF(CONFIG_ASIGNATURAS!$B$7:$B$27,DATOS!$I$2:$I$20000)&gt;0)*(DATOS!$K$2:$K$20000))/SUMPRODUCT((DATOS!$A$2:$A$20000=AE669)*(DATOS!$G$2:$G$20000=CONFIG_METADATA!$B$4)*(COUNTIF(CONFIG_ASIGNATURAS!$B$7:$B$27,DATOS!$I$2:$I$20000)&gt;0)*1),"")))</f>
        <v/>
      </c>
    </row>
    <row r="670" spans="2:35" x14ac:dyDescent="0.2">
      <c r="B670" t="str">
        <f>IF(A670="","",IF(A670="[FÓRMULA MANUAL]","",IFERROR(AVERAGEIFS(DATOS!$K$2:$K$20000,DATOS!$A$2:$A$20000,A670,DATOS!$G$2:$G$20000,CONFIG_METADATA!$B$4,DATOS!$I$2:$I$20000,"Lenguaje Musical"),"")))</f>
        <v/>
      </c>
      <c r="C670" t="str">
        <f>IF(A670="","",IF(A670="[FÓRMULA MANUAL]","",IFERROR(AVERAGEIFS(DATOS!$K$2:$K$20000,DATOS!$A$2:$A$20000,A670,DATOS!$G$2:$G$20000,CONFIG_METADATA!$B$4,DATOS!$I$2:$I$20000,"Orquesta/Banda/Conjunto"),"")))</f>
        <v/>
      </c>
      <c r="D670" t="str">
        <f>IF(A670="","",IF(A670="[FÓRMULA MANUAL]","",IFERROR(AVERAGEIFS(DATOS!$K$2:$K$20000,DATOS!$A$2:$A$20000,A670,DATOS!$G$2:$G$20000,CONFIG_METADATA!$B$4,DATOS!$I$2:$I$20000,"Conjunto"),"")))</f>
        <v/>
      </c>
      <c r="E670" t="str">
        <f>IF(A670="","",IF(A670="[FÓRMULA MANUAL]","",IFERROR(SUMPRODUCT((DATOS!$A$2:$A$20000=A670)*(DATOS!$G$2:$G$20000=CONFIG_METADATA!$B$4)*(COUNTIF(CONFIG_ASIGNATURAS!$B$7:$B$27,DATOS!$I$2:$I$20000)&gt;0)*(DATOS!$K$2:$K$20000))/SUMPRODUCT((DATOS!$A$2:$A$20000=A670)*(DATOS!$G$2:$G$20000=CONFIG_METADATA!$B$4)*(COUNTIF(CONFIG_ASIGNATURAS!$B$7:$B$27,DATOS!$I$2:$I$20000)&gt;0)*1),"")))</f>
        <v/>
      </c>
      <c r="H670" t="str">
        <f>IF(G670="","",IF(G670="[FÓRMULA MANUAL]","",IFERROR(AVERAGEIFS(DATOS!$K$2:$K$20000,DATOS!$A$2:$A$20000,G670,DATOS!$G$2:$G$20000,CONFIG_METADATA!$B$4,DATOS!$I$2:$I$20000,"Lenguaje Musical"),"")))</f>
        <v/>
      </c>
      <c r="I670" t="str">
        <f>IF(G670="","",IF(G670="[FÓRMULA MANUAL]","",IFERROR(AVERAGEIFS(DATOS!$K$2:$K$20000,DATOS!$A$2:$A$20000,G670,DATOS!$G$2:$G$20000,CONFIG_METADATA!$B$4,DATOS!$I$2:$I$20000,"Orquesta/Banda/Conjunto"),"")))</f>
        <v/>
      </c>
      <c r="J670" t="str">
        <f>IF(G670="","",IF(G670="[FÓRMULA MANUAL]","",IFERROR(AVERAGEIFS(DATOS!$K$2:$K$20000,DATOS!$A$2:$A$20000,G670,DATOS!$G$2:$G$20000,CONFIG_METADATA!$B$4,DATOS!$I$2:$I$20000,"Conjunto"),"")))</f>
        <v/>
      </c>
      <c r="K670" t="str">
        <f>IF(G670="","",IF(G670="[FÓRMULA MANUAL]","",IFERROR(SUMPRODUCT((DATOS!$A$2:$A$20000=G670)*(DATOS!$G$2:$G$20000=CONFIG_METADATA!$B$4)*(COUNTIF(CONFIG_ASIGNATURAS!$B$7:$B$27,DATOS!$I$2:$I$20000)&gt;0)*(DATOS!$K$2:$K$20000))/SUMPRODUCT((DATOS!$A$2:$A$20000=G670)*(DATOS!$G$2:$G$20000=CONFIG_METADATA!$B$4)*(COUNTIF(CONFIG_ASIGNATURAS!$B$7:$B$27,DATOS!$I$2:$I$20000)&gt;0)*1),"")))</f>
        <v/>
      </c>
      <c r="N670" t="str">
        <f>IF(M670="","",IF(M670="[FÓRMULA MANUAL]","",IFERROR(AVERAGEIFS(DATOS!$K$2:$K$20000,DATOS!$A$2:$A$20000,M670,DATOS!$G$2:$G$20000,CONFIG_METADATA!$B$4,DATOS!$I$2:$I$20000,"Armonía"),"")))</f>
        <v/>
      </c>
      <c r="O670" t="str">
        <f>IF(M670="","",IF(M670="[FÓRMULA MANUAL]","",IFERROR(AVERAGEIFS(DATOS!$K$2:$K$20000,DATOS!$A$2:$A$20000,M670,DATOS!$G$2:$G$20000,CONFIG_METADATA!$B$4,DATOS!$I$2:$I$20000,"Orquesta/Banda/Conjunto"),"")))</f>
        <v/>
      </c>
      <c r="P670" t="str">
        <f>IF(M670="","",IF(M670="[FÓRMULA MANUAL]","",IFERROR(AVERAGEIFS(DATOS!$K$2:$K$20000,DATOS!$A$2:$A$20000,M670,DATOS!$G$2:$G$20000,CONFIG_METADATA!$B$4,DATOS!$I$2:$I$20000,"Música de Cámara"),"")))</f>
        <v/>
      </c>
      <c r="Q670" t="str">
        <f>IF(M670="","",IF(M670="[FÓRMULA MANUAL]","",IFERROR(SUMPRODUCT((DATOS!$A$2:$A$20000=M670)*(DATOS!$G$2:$G$20000=CONFIG_METADATA!$B$4)*(COUNTIF(CONFIG_ASIGNATURAS!$B$7:$B$27,DATOS!$I$2:$I$20000)&gt;0)*(DATOS!$K$2:$K$20000))/SUMPRODUCT((DATOS!$A$2:$A$20000=M670)*(DATOS!$G$2:$G$20000=CONFIG_METADATA!$B$4)*(COUNTIF(CONFIG_ASIGNATURAS!$B$7:$B$27,DATOS!$I$2:$I$20000)&gt;0)*1),"")))</f>
        <v/>
      </c>
      <c r="T670" t="str">
        <f>IF(S670="","",IF(S670="[FÓRMULA MANUAL]","",IFERROR(AVERAGEIFS(DATOS!$K$2:$K$20000,DATOS!$A$2:$A$20000,S670,DATOS!$G$2:$G$20000,CONFIG_METADATA!$B$4,DATOS!$I$2:$I$20000,"Armonía"),"")))</f>
        <v/>
      </c>
      <c r="U670" t="str">
        <f>IF(S670="","",IF(S670="[FÓRMULA MANUAL]","",IFERROR(AVERAGEIFS(DATOS!$K$2:$K$20000,DATOS!$A$2:$A$20000,S670,DATOS!$G$2:$G$20000,CONFIG_METADATA!$B$4,DATOS!$I$2:$I$20000,"Orquesta/Banda/Conjunto"),"")))</f>
        <v/>
      </c>
      <c r="V670" t="str">
        <f>IF(S670="","",IF(S670="[FÓRMULA MANUAL]","",IFERROR(AVERAGEIFS(DATOS!$K$2:$K$20000,DATOS!$A$2:$A$20000,S670,DATOS!$G$2:$G$20000,CONFIG_METADATA!$B$4,DATOS!$I$2:$I$20000,"Música de Cámara"),"")))</f>
        <v/>
      </c>
      <c r="W670" t="str">
        <f>IF(S670="","",IF(S670="[FÓRMULA MANUAL]","",IFERROR(SUMPRODUCT((DATOS!$A$2:$A$20000=S670)*(DATOS!$G$2:$G$20000=CONFIG_METADATA!$B$4)*(COUNTIF(CONFIG_ASIGNATURAS!$B$7:$B$27,DATOS!$I$2:$I$20000)&gt;0)*(DATOS!$K$2:$K$20000))/SUMPRODUCT((DATOS!$A$2:$A$20000=S670)*(DATOS!$G$2:$G$20000=CONFIG_METADATA!$B$4)*(COUNTIF(CONFIG_ASIGNATURAS!$B$7:$B$27,DATOS!$I$2:$I$20000)&gt;0)*1),"")))</f>
        <v/>
      </c>
      <c r="Z670" t="str">
        <f>IF(Y670="","",IF(Y670="[FÓRMULA MANUAL]","",IFERROR(AVERAGEIFS(DATOS!$K$2:$K$20000,DATOS!$A$2:$A$20000,Y670,DATOS!$G$2:$G$20000,CONFIG_METADATA!$B$4,DATOS!$I$2:$I$20000,"Análisis"),"")))</f>
        <v/>
      </c>
      <c r="AA670" t="str">
        <f>IF(Y670="","",IF(Y670="[FÓRMULA MANUAL]","",IFERROR(AVERAGEIFS(DATOS!$K$2:$K$20000,DATOS!$A$2:$A$20000,Y670,DATOS!$G$2:$G$20000,CONFIG_METADATA!$B$4,DATOS!$I$2:$I$20000,"Orquesta/Banda/Conjunto"),"")))</f>
        <v/>
      </c>
      <c r="AB670" t="str">
        <f>IF(Y670="","",IF(Y670="[FÓRMULA MANUAL]","",IFERROR(AVERAGEIFS(DATOS!$K$2:$K$20000,DATOS!$A$2:$A$20000,Y670,DATOS!$G$2:$G$20000,CONFIG_METADATA!$B$4,DATOS!$I$2:$I$20000,"Música de Cámara"),"")))</f>
        <v/>
      </c>
      <c r="AC670" t="str">
        <f>IF(Y670="","",IF(Y670="[FÓRMULA MANUAL]","",IFERROR(SUMPRODUCT((DATOS!$A$2:$A$20000=Y670)*(DATOS!$G$2:$G$20000=CONFIG_METADATA!$B$4)*(COUNTIF(CONFIG_ASIGNATURAS!$B$7:$B$27,DATOS!$I$2:$I$20000)&gt;0)*(DATOS!$K$2:$K$20000))/SUMPRODUCT((DATOS!$A$2:$A$20000=Y670)*(DATOS!$G$2:$G$20000=CONFIG_METADATA!$B$4)*(COUNTIF(CONFIG_ASIGNATURAS!$B$7:$B$27,DATOS!$I$2:$I$20000)&gt;0)*1),"")))</f>
        <v/>
      </c>
      <c r="AF670" t="str">
        <f>IF(AE670="","",IF(AE670="[FÓRMULA MANUAL]","",IFERROR(AVERAGEIFS(DATOS!$K$2:$K$20000,DATOS!$A$2:$A$20000,AE670,DATOS!$G$2:$G$20000,CONFIG_METADATA!$B$4,DATOS!$I$2:$I$20000,"Análisis"),"")))</f>
        <v/>
      </c>
      <c r="AG670" t="str">
        <f>IF(AE670="","",IF(AE670="[FÓRMULA MANUAL]","",IFERROR(AVERAGEIFS(DATOS!$K$2:$K$20000,DATOS!$A$2:$A$20000,AE670,DATOS!$G$2:$G$20000,CONFIG_METADATA!$B$4,DATOS!$I$2:$I$20000,"Orquesta/Banda/Conjunto"),"")))</f>
        <v/>
      </c>
      <c r="AH670" t="str">
        <f>IF(AE670="","",IF(AE670="[FÓRMULA MANUAL]","",IFERROR(AVERAGEIFS(DATOS!$K$2:$K$20000,DATOS!$A$2:$A$20000,AE670,DATOS!$G$2:$G$20000,CONFIG_METADATA!$B$4,DATOS!$I$2:$I$20000,"Música de Cámara"),"")))</f>
        <v/>
      </c>
      <c r="AI670" t="str">
        <f>IF(AE670="","",IF(AE670="[FÓRMULA MANUAL]","",IFERROR(SUMPRODUCT((DATOS!$A$2:$A$20000=AE670)*(DATOS!$G$2:$G$20000=CONFIG_METADATA!$B$4)*(COUNTIF(CONFIG_ASIGNATURAS!$B$7:$B$27,DATOS!$I$2:$I$20000)&gt;0)*(DATOS!$K$2:$K$20000))/SUMPRODUCT((DATOS!$A$2:$A$20000=AE670)*(DATOS!$G$2:$G$20000=CONFIG_METADATA!$B$4)*(COUNTIF(CONFIG_ASIGNATURAS!$B$7:$B$27,DATOS!$I$2:$I$20000)&gt;0)*1),"")))</f>
        <v/>
      </c>
    </row>
    <row r="671" spans="2:35" x14ac:dyDescent="0.2">
      <c r="B671" t="str">
        <f>IF(A671="","",IF(A671="[FÓRMULA MANUAL]","",IFERROR(AVERAGEIFS(DATOS!$K$2:$K$20000,DATOS!$A$2:$A$20000,A671,DATOS!$G$2:$G$20000,CONFIG_METADATA!$B$4,DATOS!$I$2:$I$20000,"Lenguaje Musical"),"")))</f>
        <v/>
      </c>
      <c r="C671" t="str">
        <f>IF(A671="","",IF(A671="[FÓRMULA MANUAL]","",IFERROR(AVERAGEIFS(DATOS!$K$2:$K$20000,DATOS!$A$2:$A$20000,A671,DATOS!$G$2:$G$20000,CONFIG_METADATA!$B$4,DATOS!$I$2:$I$20000,"Orquesta/Banda/Conjunto"),"")))</f>
        <v/>
      </c>
      <c r="D671" t="str">
        <f>IF(A671="","",IF(A671="[FÓRMULA MANUAL]","",IFERROR(AVERAGEIFS(DATOS!$K$2:$K$20000,DATOS!$A$2:$A$20000,A671,DATOS!$G$2:$G$20000,CONFIG_METADATA!$B$4,DATOS!$I$2:$I$20000,"Conjunto"),"")))</f>
        <v/>
      </c>
      <c r="E671" t="str">
        <f>IF(A671="","",IF(A671="[FÓRMULA MANUAL]","",IFERROR(SUMPRODUCT((DATOS!$A$2:$A$20000=A671)*(DATOS!$G$2:$G$20000=CONFIG_METADATA!$B$4)*(COUNTIF(CONFIG_ASIGNATURAS!$B$7:$B$27,DATOS!$I$2:$I$20000)&gt;0)*(DATOS!$K$2:$K$20000))/SUMPRODUCT((DATOS!$A$2:$A$20000=A671)*(DATOS!$G$2:$G$20000=CONFIG_METADATA!$B$4)*(COUNTIF(CONFIG_ASIGNATURAS!$B$7:$B$27,DATOS!$I$2:$I$20000)&gt;0)*1),"")))</f>
        <v/>
      </c>
      <c r="H671" t="str">
        <f>IF(G671="","",IF(G671="[FÓRMULA MANUAL]","",IFERROR(AVERAGEIFS(DATOS!$K$2:$K$20000,DATOS!$A$2:$A$20000,G671,DATOS!$G$2:$G$20000,CONFIG_METADATA!$B$4,DATOS!$I$2:$I$20000,"Lenguaje Musical"),"")))</f>
        <v/>
      </c>
      <c r="I671" t="str">
        <f>IF(G671="","",IF(G671="[FÓRMULA MANUAL]","",IFERROR(AVERAGEIFS(DATOS!$K$2:$K$20000,DATOS!$A$2:$A$20000,G671,DATOS!$G$2:$G$20000,CONFIG_METADATA!$B$4,DATOS!$I$2:$I$20000,"Orquesta/Banda/Conjunto"),"")))</f>
        <v/>
      </c>
      <c r="J671" t="str">
        <f>IF(G671="","",IF(G671="[FÓRMULA MANUAL]","",IFERROR(AVERAGEIFS(DATOS!$K$2:$K$20000,DATOS!$A$2:$A$20000,G671,DATOS!$G$2:$G$20000,CONFIG_METADATA!$B$4,DATOS!$I$2:$I$20000,"Conjunto"),"")))</f>
        <v/>
      </c>
      <c r="K671" t="str">
        <f>IF(G671="","",IF(G671="[FÓRMULA MANUAL]","",IFERROR(SUMPRODUCT((DATOS!$A$2:$A$20000=G671)*(DATOS!$G$2:$G$20000=CONFIG_METADATA!$B$4)*(COUNTIF(CONFIG_ASIGNATURAS!$B$7:$B$27,DATOS!$I$2:$I$20000)&gt;0)*(DATOS!$K$2:$K$20000))/SUMPRODUCT((DATOS!$A$2:$A$20000=G671)*(DATOS!$G$2:$G$20000=CONFIG_METADATA!$B$4)*(COUNTIF(CONFIG_ASIGNATURAS!$B$7:$B$27,DATOS!$I$2:$I$20000)&gt;0)*1),"")))</f>
        <v/>
      </c>
      <c r="N671" t="str">
        <f>IF(M671="","",IF(M671="[FÓRMULA MANUAL]","",IFERROR(AVERAGEIFS(DATOS!$K$2:$K$20000,DATOS!$A$2:$A$20000,M671,DATOS!$G$2:$G$20000,CONFIG_METADATA!$B$4,DATOS!$I$2:$I$20000,"Armonía"),"")))</f>
        <v/>
      </c>
      <c r="O671" t="str">
        <f>IF(M671="","",IF(M671="[FÓRMULA MANUAL]","",IFERROR(AVERAGEIFS(DATOS!$K$2:$K$20000,DATOS!$A$2:$A$20000,M671,DATOS!$G$2:$G$20000,CONFIG_METADATA!$B$4,DATOS!$I$2:$I$20000,"Orquesta/Banda/Conjunto"),"")))</f>
        <v/>
      </c>
      <c r="P671" t="str">
        <f>IF(M671="","",IF(M671="[FÓRMULA MANUAL]","",IFERROR(AVERAGEIFS(DATOS!$K$2:$K$20000,DATOS!$A$2:$A$20000,M671,DATOS!$G$2:$G$20000,CONFIG_METADATA!$B$4,DATOS!$I$2:$I$20000,"Música de Cámara"),"")))</f>
        <v/>
      </c>
      <c r="Q671" t="str">
        <f>IF(M671="","",IF(M671="[FÓRMULA MANUAL]","",IFERROR(SUMPRODUCT((DATOS!$A$2:$A$20000=M671)*(DATOS!$G$2:$G$20000=CONFIG_METADATA!$B$4)*(COUNTIF(CONFIG_ASIGNATURAS!$B$7:$B$27,DATOS!$I$2:$I$20000)&gt;0)*(DATOS!$K$2:$K$20000))/SUMPRODUCT((DATOS!$A$2:$A$20000=M671)*(DATOS!$G$2:$G$20000=CONFIG_METADATA!$B$4)*(COUNTIF(CONFIG_ASIGNATURAS!$B$7:$B$27,DATOS!$I$2:$I$20000)&gt;0)*1),"")))</f>
        <v/>
      </c>
      <c r="T671" t="str">
        <f>IF(S671="","",IF(S671="[FÓRMULA MANUAL]","",IFERROR(AVERAGEIFS(DATOS!$K$2:$K$20000,DATOS!$A$2:$A$20000,S671,DATOS!$G$2:$G$20000,CONFIG_METADATA!$B$4,DATOS!$I$2:$I$20000,"Armonía"),"")))</f>
        <v/>
      </c>
      <c r="U671" t="str">
        <f>IF(S671="","",IF(S671="[FÓRMULA MANUAL]","",IFERROR(AVERAGEIFS(DATOS!$K$2:$K$20000,DATOS!$A$2:$A$20000,S671,DATOS!$G$2:$G$20000,CONFIG_METADATA!$B$4,DATOS!$I$2:$I$20000,"Orquesta/Banda/Conjunto"),"")))</f>
        <v/>
      </c>
      <c r="V671" t="str">
        <f>IF(S671="","",IF(S671="[FÓRMULA MANUAL]","",IFERROR(AVERAGEIFS(DATOS!$K$2:$K$20000,DATOS!$A$2:$A$20000,S671,DATOS!$G$2:$G$20000,CONFIG_METADATA!$B$4,DATOS!$I$2:$I$20000,"Música de Cámara"),"")))</f>
        <v/>
      </c>
      <c r="W671" t="str">
        <f>IF(S671="","",IF(S671="[FÓRMULA MANUAL]","",IFERROR(SUMPRODUCT((DATOS!$A$2:$A$20000=S671)*(DATOS!$G$2:$G$20000=CONFIG_METADATA!$B$4)*(COUNTIF(CONFIG_ASIGNATURAS!$B$7:$B$27,DATOS!$I$2:$I$20000)&gt;0)*(DATOS!$K$2:$K$20000))/SUMPRODUCT((DATOS!$A$2:$A$20000=S671)*(DATOS!$G$2:$G$20000=CONFIG_METADATA!$B$4)*(COUNTIF(CONFIG_ASIGNATURAS!$B$7:$B$27,DATOS!$I$2:$I$20000)&gt;0)*1),"")))</f>
        <v/>
      </c>
      <c r="Z671" t="str">
        <f>IF(Y671="","",IF(Y671="[FÓRMULA MANUAL]","",IFERROR(AVERAGEIFS(DATOS!$K$2:$K$20000,DATOS!$A$2:$A$20000,Y671,DATOS!$G$2:$G$20000,CONFIG_METADATA!$B$4,DATOS!$I$2:$I$20000,"Análisis"),"")))</f>
        <v/>
      </c>
      <c r="AA671" t="str">
        <f>IF(Y671="","",IF(Y671="[FÓRMULA MANUAL]","",IFERROR(AVERAGEIFS(DATOS!$K$2:$K$20000,DATOS!$A$2:$A$20000,Y671,DATOS!$G$2:$G$20000,CONFIG_METADATA!$B$4,DATOS!$I$2:$I$20000,"Orquesta/Banda/Conjunto"),"")))</f>
        <v/>
      </c>
      <c r="AB671" t="str">
        <f>IF(Y671="","",IF(Y671="[FÓRMULA MANUAL]","",IFERROR(AVERAGEIFS(DATOS!$K$2:$K$20000,DATOS!$A$2:$A$20000,Y671,DATOS!$G$2:$G$20000,CONFIG_METADATA!$B$4,DATOS!$I$2:$I$20000,"Música de Cámara"),"")))</f>
        <v/>
      </c>
      <c r="AC671" t="str">
        <f>IF(Y671="","",IF(Y671="[FÓRMULA MANUAL]","",IFERROR(SUMPRODUCT((DATOS!$A$2:$A$20000=Y671)*(DATOS!$G$2:$G$20000=CONFIG_METADATA!$B$4)*(COUNTIF(CONFIG_ASIGNATURAS!$B$7:$B$27,DATOS!$I$2:$I$20000)&gt;0)*(DATOS!$K$2:$K$20000))/SUMPRODUCT((DATOS!$A$2:$A$20000=Y671)*(DATOS!$G$2:$G$20000=CONFIG_METADATA!$B$4)*(COUNTIF(CONFIG_ASIGNATURAS!$B$7:$B$27,DATOS!$I$2:$I$20000)&gt;0)*1),"")))</f>
        <v/>
      </c>
      <c r="AF671" t="str">
        <f>IF(AE671="","",IF(AE671="[FÓRMULA MANUAL]","",IFERROR(AVERAGEIFS(DATOS!$K$2:$K$20000,DATOS!$A$2:$A$20000,AE671,DATOS!$G$2:$G$20000,CONFIG_METADATA!$B$4,DATOS!$I$2:$I$20000,"Análisis"),"")))</f>
        <v/>
      </c>
      <c r="AG671" t="str">
        <f>IF(AE671="","",IF(AE671="[FÓRMULA MANUAL]","",IFERROR(AVERAGEIFS(DATOS!$K$2:$K$20000,DATOS!$A$2:$A$20000,AE671,DATOS!$G$2:$G$20000,CONFIG_METADATA!$B$4,DATOS!$I$2:$I$20000,"Orquesta/Banda/Conjunto"),"")))</f>
        <v/>
      </c>
      <c r="AH671" t="str">
        <f>IF(AE671="","",IF(AE671="[FÓRMULA MANUAL]","",IFERROR(AVERAGEIFS(DATOS!$K$2:$K$20000,DATOS!$A$2:$A$20000,AE671,DATOS!$G$2:$G$20000,CONFIG_METADATA!$B$4,DATOS!$I$2:$I$20000,"Música de Cámara"),"")))</f>
        <v/>
      </c>
      <c r="AI671" t="str">
        <f>IF(AE671="","",IF(AE671="[FÓRMULA MANUAL]","",IFERROR(SUMPRODUCT((DATOS!$A$2:$A$20000=AE671)*(DATOS!$G$2:$G$20000=CONFIG_METADATA!$B$4)*(COUNTIF(CONFIG_ASIGNATURAS!$B$7:$B$27,DATOS!$I$2:$I$20000)&gt;0)*(DATOS!$K$2:$K$20000))/SUMPRODUCT((DATOS!$A$2:$A$20000=AE671)*(DATOS!$G$2:$G$20000=CONFIG_METADATA!$B$4)*(COUNTIF(CONFIG_ASIGNATURAS!$B$7:$B$27,DATOS!$I$2:$I$20000)&gt;0)*1),"")))</f>
        <v/>
      </c>
    </row>
    <row r="672" spans="2:35" x14ac:dyDescent="0.2">
      <c r="B672" t="str">
        <f>IF(A672="","",IF(A672="[FÓRMULA MANUAL]","",IFERROR(AVERAGEIFS(DATOS!$K$2:$K$20000,DATOS!$A$2:$A$20000,A672,DATOS!$G$2:$G$20000,CONFIG_METADATA!$B$4,DATOS!$I$2:$I$20000,"Lenguaje Musical"),"")))</f>
        <v/>
      </c>
      <c r="C672" t="str">
        <f>IF(A672="","",IF(A672="[FÓRMULA MANUAL]","",IFERROR(AVERAGEIFS(DATOS!$K$2:$K$20000,DATOS!$A$2:$A$20000,A672,DATOS!$G$2:$G$20000,CONFIG_METADATA!$B$4,DATOS!$I$2:$I$20000,"Orquesta/Banda/Conjunto"),"")))</f>
        <v/>
      </c>
      <c r="D672" t="str">
        <f>IF(A672="","",IF(A672="[FÓRMULA MANUAL]","",IFERROR(AVERAGEIFS(DATOS!$K$2:$K$20000,DATOS!$A$2:$A$20000,A672,DATOS!$G$2:$G$20000,CONFIG_METADATA!$B$4,DATOS!$I$2:$I$20000,"Conjunto"),"")))</f>
        <v/>
      </c>
      <c r="E672" t="str">
        <f>IF(A672="","",IF(A672="[FÓRMULA MANUAL]","",IFERROR(SUMPRODUCT((DATOS!$A$2:$A$20000=A672)*(DATOS!$G$2:$G$20000=CONFIG_METADATA!$B$4)*(COUNTIF(CONFIG_ASIGNATURAS!$B$7:$B$27,DATOS!$I$2:$I$20000)&gt;0)*(DATOS!$K$2:$K$20000))/SUMPRODUCT((DATOS!$A$2:$A$20000=A672)*(DATOS!$G$2:$G$20000=CONFIG_METADATA!$B$4)*(COUNTIF(CONFIG_ASIGNATURAS!$B$7:$B$27,DATOS!$I$2:$I$20000)&gt;0)*1),"")))</f>
        <v/>
      </c>
      <c r="H672" t="str">
        <f>IF(G672="","",IF(G672="[FÓRMULA MANUAL]","",IFERROR(AVERAGEIFS(DATOS!$K$2:$K$20000,DATOS!$A$2:$A$20000,G672,DATOS!$G$2:$G$20000,CONFIG_METADATA!$B$4,DATOS!$I$2:$I$20000,"Lenguaje Musical"),"")))</f>
        <v/>
      </c>
      <c r="I672" t="str">
        <f>IF(G672="","",IF(G672="[FÓRMULA MANUAL]","",IFERROR(AVERAGEIFS(DATOS!$K$2:$K$20000,DATOS!$A$2:$A$20000,G672,DATOS!$G$2:$G$20000,CONFIG_METADATA!$B$4,DATOS!$I$2:$I$20000,"Orquesta/Banda/Conjunto"),"")))</f>
        <v/>
      </c>
      <c r="J672" t="str">
        <f>IF(G672="","",IF(G672="[FÓRMULA MANUAL]","",IFERROR(AVERAGEIFS(DATOS!$K$2:$K$20000,DATOS!$A$2:$A$20000,G672,DATOS!$G$2:$G$20000,CONFIG_METADATA!$B$4,DATOS!$I$2:$I$20000,"Conjunto"),"")))</f>
        <v/>
      </c>
      <c r="K672" t="str">
        <f>IF(G672="","",IF(G672="[FÓRMULA MANUAL]","",IFERROR(SUMPRODUCT((DATOS!$A$2:$A$20000=G672)*(DATOS!$G$2:$G$20000=CONFIG_METADATA!$B$4)*(COUNTIF(CONFIG_ASIGNATURAS!$B$7:$B$27,DATOS!$I$2:$I$20000)&gt;0)*(DATOS!$K$2:$K$20000))/SUMPRODUCT((DATOS!$A$2:$A$20000=G672)*(DATOS!$G$2:$G$20000=CONFIG_METADATA!$B$4)*(COUNTIF(CONFIG_ASIGNATURAS!$B$7:$B$27,DATOS!$I$2:$I$20000)&gt;0)*1),"")))</f>
        <v/>
      </c>
      <c r="N672" t="str">
        <f>IF(M672="","",IF(M672="[FÓRMULA MANUAL]","",IFERROR(AVERAGEIFS(DATOS!$K$2:$K$20000,DATOS!$A$2:$A$20000,M672,DATOS!$G$2:$G$20000,CONFIG_METADATA!$B$4,DATOS!$I$2:$I$20000,"Armonía"),"")))</f>
        <v/>
      </c>
      <c r="O672" t="str">
        <f>IF(M672="","",IF(M672="[FÓRMULA MANUAL]","",IFERROR(AVERAGEIFS(DATOS!$K$2:$K$20000,DATOS!$A$2:$A$20000,M672,DATOS!$G$2:$G$20000,CONFIG_METADATA!$B$4,DATOS!$I$2:$I$20000,"Orquesta/Banda/Conjunto"),"")))</f>
        <v/>
      </c>
      <c r="P672" t="str">
        <f>IF(M672="","",IF(M672="[FÓRMULA MANUAL]","",IFERROR(AVERAGEIFS(DATOS!$K$2:$K$20000,DATOS!$A$2:$A$20000,M672,DATOS!$G$2:$G$20000,CONFIG_METADATA!$B$4,DATOS!$I$2:$I$20000,"Música de Cámara"),"")))</f>
        <v/>
      </c>
      <c r="Q672" t="str">
        <f>IF(M672="","",IF(M672="[FÓRMULA MANUAL]","",IFERROR(SUMPRODUCT((DATOS!$A$2:$A$20000=M672)*(DATOS!$G$2:$G$20000=CONFIG_METADATA!$B$4)*(COUNTIF(CONFIG_ASIGNATURAS!$B$7:$B$27,DATOS!$I$2:$I$20000)&gt;0)*(DATOS!$K$2:$K$20000))/SUMPRODUCT((DATOS!$A$2:$A$20000=M672)*(DATOS!$G$2:$G$20000=CONFIG_METADATA!$B$4)*(COUNTIF(CONFIG_ASIGNATURAS!$B$7:$B$27,DATOS!$I$2:$I$20000)&gt;0)*1),"")))</f>
        <v/>
      </c>
      <c r="T672" t="str">
        <f>IF(S672="","",IF(S672="[FÓRMULA MANUAL]","",IFERROR(AVERAGEIFS(DATOS!$K$2:$K$20000,DATOS!$A$2:$A$20000,S672,DATOS!$G$2:$G$20000,CONFIG_METADATA!$B$4,DATOS!$I$2:$I$20000,"Armonía"),"")))</f>
        <v/>
      </c>
      <c r="U672" t="str">
        <f>IF(S672="","",IF(S672="[FÓRMULA MANUAL]","",IFERROR(AVERAGEIFS(DATOS!$K$2:$K$20000,DATOS!$A$2:$A$20000,S672,DATOS!$G$2:$G$20000,CONFIG_METADATA!$B$4,DATOS!$I$2:$I$20000,"Orquesta/Banda/Conjunto"),"")))</f>
        <v/>
      </c>
      <c r="V672" t="str">
        <f>IF(S672="","",IF(S672="[FÓRMULA MANUAL]","",IFERROR(AVERAGEIFS(DATOS!$K$2:$K$20000,DATOS!$A$2:$A$20000,S672,DATOS!$G$2:$G$20000,CONFIG_METADATA!$B$4,DATOS!$I$2:$I$20000,"Música de Cámara"),"")))</f>
        <v/>
      </c>
      <c r="W672" t="str">
        <f>IF(S672="","",IF(S672="[FÓRMULA MANUAL]","",IFERROR(SUMPRODUCT((DATOS!$A$2:$A$20000=S672)*(DATOS!$G$2:$G$20000=CONFIG_METADATA!$B$4)*(COUNTIF(CONFIG_ASIGNATURAS!$B$7:$B$27,DATOS!$I$2:$I$20000)&gt;0)*(DATOS!$K$2:$K$20000))/SUMPRODUCT((DATOS!$A$2:$A$20000=S672)*(DATOS!$G$2:$G$20000=CONFIG_METADATA!$B$4)*(COUNTIF(CONFIG_ASIGNATURAS!$B$7:$B$27,DATOS!$I$2:$I$20000)&gt;0)*1),"")))</f>
        <v/>
      </c>
      <c r="Z672" t="str">
        <f>IF(Y672="","",IF(Y672="[FÓRMULA MANUAL]","",IFERROR(AVERAGEIFS(DATOS!$K$2:$K$20000,DATOS!$A$2:$A$20000,Y672,DATOS!$G$2:$G$20000,CONFIG_METADATA!$B$4,DATOS!$I$2:$I$20000,"Análisis"),"")))</f>
        <v/>
      </c>
      <c r="AA672" t="str">
        <f>IF(Y672="","",IF(Y672="[FÓRMULA MANUAL]","",IFERROR(AVERAGEIFS(DATOS!$K$2:$K$20000,DATOS!$A$2:$A$20000,Y672,DATOS!$G$2:$G$20000,CONFIG_METADATA!$B$4,DATOS!$I$2:$I$20000,"Orquesta/Banda/Conjunto"),"")))</f>
        <v/>
      </c>
      <c r="AB672" t="str">
        <f>IF(Y672="","",IF(Y672="[FÓRMULA MANUAL]","",IFERROR(AVERAGEIFS(DATOS!$K$2:$K$20000,DATOS!$A$2:$A$20000,Y672,DATOS!$G$2:$G$20000,CONFIG_METADATA!$B$4,DATOS!$I$2:$I$20000,"Música de Cámara"),"")))</f>
        <v/>
      </c>
      <c r="AC672" t="str">
        <f>IF(Y672="","",IF(Y672="[FÓRMULA MANUAL]","",IFERROR(SUMPRODUCT((DATOS!$A$2:$A$20000=Y672)*(DATOS!$G$2:$G$20000=CONFIG_METADATA!$B$4)*(COUNTIF(CONFIG_ASIGNATURAS!$B$7:$B$27,DATOS!$I$2:$I$20000)&gt;0)*(DATOS!$K$2:$K$20000))/SUMPRODUCT((DATOS!$A$2:$A$20000=Y672)*(DATOS!$G$2:$G$20000=CONFIG_METADATA!$B$4)*(COUNTIF(CONFIG_ASIGNATURAS!$B$7:$B$27,DATOS!$I$2:$I$20000)&gt;0)*1),"")))</f>
        <v/>
      </c>
      <c r="AF672" t="str">
        <f>IF(AE672="","",IF(AE672="[FÓRMULA MANUAL]","",IFERROR(AVERAGEIFS(DATOS!$K$2:$K$20000,DATOS!$A$2:$A$20000,AE672,DATOS!$G$2:$G$20000,CONFIG_METADATA!$B$4,DATOS!$I$2:$I$20000,"Análisis"),"")))</f>
        <v/>
      </c>
      <c r="AG672" t="str">
        <f>IF(AE672="","",IF(AE672="[FÓRMULA MANUAL]","",IFERROR(AVERAGEIFS(DATOS!$K$2:$K$20000,DATOS!$A$2:$A$20000,AE672,DATOS!$G$2:$G$20000,CONFIG_METADATA!$B$4,DATOS!$I$2:$I$20000,"Orquesta/Banda/Conjunto"),"")))</f>
        <v/>
      </c>
      <c r="AH672" t="str">
        <f>IF(AE672="","",IF(AE672="[FÓRMULA MANUAL]","",IFERROR(AVERAGEIFS(DATOS!$K$2:$K$20000,DATOS!$A$2:$A$20000,AE672,DATOS!$G$2:$G$20000,CONFIG_METADATA!$B$4,DATOS!$I$2:$I$20000,"Música de Cámara"),"")))</f>
        <v/>
      </c>
      <c r="AI672" t="str">
        <f>IF(AE672="","",IF(AE672="[FÓRMULA MANUAL]","",IFERROR(SUMPRODUCT((DATOS!$A$2:$A$20000=AE672)*(DATOS!$G$2:$G$20000=CONFIG_METADATA!$B$4)*(COUNTIF(CONFIG_ASIGNATURAS!$B$7:$B$27,DATOS!$I$2:$I$20000)&gt;0)*(DATOS!$K$2:$K$20000))/SUMPRODUCT((DATOS!$A$2:$A$20000=AE672)*(DATOS!$G$2:$G$20000=CONFIG_METADATA!$B$4)*(COUNTIF(CONFIG_ASIGNATURAS!$B$7:$B$27,DATOS!$I$2:$I$20000)&gt;0)*1),"")))</f>
        <v/>
      </c>
    </row>
    <row r="673" spans="2:35" x14ac:dyDescent="0.2">
      <c r="B673" t="str">
        <f>IF(A673="","",IF(A673="[FÓRMULA MANUAL]","",IFERROR(AVERAGEIFS(DATOS!$K$2:$K$20000,DATOS!$A$2:$A$20000,A673,DATOS!$G$2:$G$20000,CONFIG_METADATA!$B$4,DATOS!$I$2:$I$20000,"Lenguaje Musical"),"")))</f>
        <v/>
      </c>
      <c r="C673" t="str">
        <f>IF(A673="","",IF(A673="[FÓRMULA MANUAL]","",IFERROR(AVERAGEIFS(DATOS!$K$2:$K$20000,DATOS!$A$2:$A$20000,A673,DATOS!$G$2:$G$20000,CONFIG_METADATA!$B$4,DATOS!$I$2:$I$20000,"Orquesta/Banda/Conjunto"),"")))</f>
        <v/>
      </c>
      <c r="D673" t="str">
        <f>IF(A673="","",IF(A673="[FÓRMULA MANUAL]","",IFERROR(AVERAGEIFS(DATOS!$K$2:$K$20000,DATOS!$A$2:$A$20000,A673,DATOS!$G$2:$G$20000,CONFIG_METADATA!$B$4,DATOS!$I$2:$I$20000,"Conjunto"),"")))</f>
        <v/>
      </c>
      <c r="E673" t="str">
        <f>IF(A673="","",IF(A673="[FÓRMULA MANUAL]","",IFERROR(SUMPRODUCT((DATOS!$A$2:$A$20000=A673)*(DATOS!$G$2:$G$20000=CONFIG_METADATA!$B$4)*(COUNTIF(CONFIG_ASIGNATURAS!$B$7:$B$27,DATOS!$I$2:$I$20000)&gt;0)*(DATOS!$K$2:$K$20000))/SUMPRODUCT((DATOS!$A$2:$A$20000=A673)*(DATOS!$G$2:$G$20000=CONFIG_METADATA!$B$4)*(COUNTIF(CONFIG_ASIGNATURAS!$B$7:$B$27,DATOS!$I$2:$I$20000)&gt;0)*1),"")))</f>
        <v/>
      </c>
      <c r="H673" t="str">
        <f>IF(G673="","",IF(G673="[FÓRMULA MANUAL]","",IFERROR(AVERAGEIFS(DATOS!$K$2:$K$20000,DATOS!$A$2:$A$20000,G673,DATOS!$G$2:$G$20000,CONFIG_METADATA!$B$4,DATOS!$I$2:$I$20000,"Lenguaje Musical"),"")))</f>
        <v/>
      </c>
      <c r="I673" t="str">
        <f>IF(G673="","",IF(G673="[FÓRMULA MANUAL]","",IFERROR(AVERAGEIFS(DATOS!$K$2:$K$20000,DATOS!$A$2:$A$20000,G673,DATOS!$G$2:$G$20000,CONFIG_METADATA!$B$4,DATOS!$I$2:$I$20000,"Orquesta/Banda/Conjunto"),"")))</f>
        <v/>
      </c>
      <c r="J673" t="str">
        <f>IF(G673="","",IF(G673="[FÓRMULA MANUAL]","",IFERROR(AVERAGEIFS(DATOS!$K$2:$K$20000,DATOS!$A$2:$A$20000,G673,DATOS!$G$2:$G$20000,CONFIG_METADATA!$B$4,DATOS!$I$2:$I$20000,"Conjunto"),"")))</f>
        <v/>
      </c>
      <c r="K673" t="str">
        <f>IF(G673="","",IF(G673="[FÓRMULA MANUAL]","",IFERROR(SUMPRODUCT((DATOS!$A$2:$A$20000=G673)*(DATOS!$G$2:$G$20000=CONFIG_METADATA!$B$4)*(COUNTIF(CONFIG_ASIGNATURAS!$B$7:$B$27,DATOS!$I$2:$I$20000)&gt;0)*(DATOS!$K$2:$K$20000))/SUMPRODUCT((DATOS!$A$2:$A$20000=G673)*(DATOS!$G$2:$G$20000=CONFIG_METADATA!$B$4)*(COUNTIF(CONFIG_ASIGNATURAS!$B$7:$B$27,DATOS!$I$2:$I$20000)&gt;0)*1),"")))</f>
        <v/>
      </c>
      <c r="N673" t="str">
        <f>IF(M673="","",IF(M673="[FÓRMULA MANUAL]","",IFERROR(AVERAGEIFS(DATOS!$K$2:$K$20000,DATOS!$A$2:$A$20000,M673,DATOS!$G$2:$G$20000,CONFIG_METADATA!$B$4,DATOS!$I$2:$I$20000,"Armonía"),"")))</f>
        <v/>
      </c>
      <c r="O673" t="str">
        <f>IF(M673="","",IF(M673="[FÓRMULA MANUAL]","",IFERROR(AVERAGEIFS(DATOS!$K$2:$K$20000,DATOS!$A$2:$A$20000,M673,DATOS!$G$2:$G$20000,CONFIG_METADATA!$B$4,DATOS!$I$2:$I$20000,"Orquesta/Banda/Conjunto"),"")))</f>
        <v/>
      </c>
      <c r="P673" t="str">
        <f>IF(M673="","",IF(M673="[FÓRMULA MANUAL]","",IFERROR(AVERAGEIFS(DATOS!$K$2:$K$20000,DATOS!$A$2:$A$20000,M673,DATOS!$G$2:$G$20000,CONFIG_METADATA!$B$4,DATOS!$I$2:$I$20000,"Música de Cámara"),"")))</f>
        <v/>
      </c>
      <c r="Q673" t="str">
        <f>IF(M673="","",IF(M673="[FÓRMULA MANUAL]","",IFERROR(SUMPRODUCT((DATOS!$A$2:$A$20000=M673)*(DATOS!$G$2:$G$20000=CONFIG_METADATA!$B$4)*(COUNTIF(CONFIG_ASIGNATURAS!$B$7:$B$27,DATOS!$I$2:$I$20000)&gt;0)*(DATOS!$K$2:$K$20000))/SUMPRODUCT((DATOS!$A$2:$A$20000=M673)*(DATOS!$G$2:$G$20000=CONFIG_METADATA!$B$4)*(COUNTIF(CONFIG_ASIGNATURAS!$B$7:$B$27,DATOS!$I$2:$I$20000)&gt;0)*1),"")))</f>
        <v/>
      </c>
      <c r="T673" t="str">
        <f>IF(S673="","",IF(S673="[FÓRMULA MANUAL]","",IFERROR(AVERAGEIFS(DATOS!$K$2:$K$20000,DATOS!$A$2:$A$20000,S673,DATOS!$G$2:$G$20000,CONFIG_METADATA!$B$4,DATOS!$I$2:$I$20000,"Armonía"),"")))</f>
        <v/>
      </c>
      <c r="U673" t="str">
        <f>IF(S673="","",IF(S673="[FÓRMULA MANUAL]","",IFERROR(AVERAGEIFS(DATOS!$K$2:$K$20000,DATOS!$A$2:$A$20000,S673,DATOS!$G$2:$G$20000,CONFIG_METADATA!$B$4,DATOS!$I$2:$I$20000,"Orquesta/Banda/Conjunto"),"")))</f>
        <v/>
      </c>
      <c r="V673" t="str">
        <f>IF(S673="","",IF(S673="[FÓRMULA MANUAL]","",IFERROR(AVERAGEIFS(DATOS!$K$2:$K$20000,DATOS!$A$2:$A$20000,S673,DATOS!$G$2:$G$20000,CONFIG_METADATA!$B$4,DATOS!$I$2:$I$20000,"Música de Cámara"),"")))</f>
        <v/>
      </c>
      <c r="W673" t="str">
        <f>IF(S673="","",IF(S673="[FÓRMULA MANUAL]","",IFERROR(SUMPRODUCT((DATOS!$A$2:$A$20000=S673)*(DATOS!$G$2:$G$20000=CONFIG_METADATA!$B$4)*(COUNTIF(CONFIG_ASIGNATURAS!$B$7:$B$27,DATOS!$I$2:$I$20000)&gt;0)*(DATOS!$K$2:$K$20000))/SUMPRODUCT((DATOS!$A$2:$A$20000=S673)*(DATOS!$G$2:$G$20000=CONFIG_METADATA!$B$4)*(COUNTIF(CONFIG_ASIGNATURAS!$B$7:$B$27,DATOS!$I$2:$I$20000)&gt;0)*1),"")))</f>
        <v/>
      </c>
      <c r="Z673" t="str">
        <f>IF(Y673="","",IF(Y673="[FÓRMULA MANUAL]","",IFERROR(AVERAGEIFS(DATOS!$K$2:$K$20000,DATOS!$A$2:$A$20000,Y673,DATOS!$G$2:$G$20000,CONFIG_METADATA!$B$4,DATOS!$I$2:$I$20000,"Análisis"),"")))</f>
        <v/>
      </c>
      <c r="AA673" t="str">
        <f>IF(Y673="","",IF(Y673="[FÓRMULA MANUAL]","",IFERROR(AVERAGEIFS(DATOS!$K$2:$K$20000,DATOS!$A$2:$A$20000,Y673,DATOS!$G$2:$G$20000,CONFIG_METADATA!$B$4,DATOS!$I$2:$I$20000,"Orquesta/Banda/Conjunto"),"")))</f>
        <v/>
      </c>
      <c r="AB673" t="str">
        <f>IF(Y673="","",IF(Y673="[FÓRMULA MANUAL]","",IFERROR(AVERAGEIFS(DATOS!$K$2:$K$20000,DATOS!$A$2:$A$20000,Y673,DATOS!$G$2:$G$20000,CONFIG_METADATA!$B$4,DATOS!$I$2:$I$20000,"Música de Cámara"),"")))</f>
        <v/>
      </c>
      <c r="AC673" t="str">
        <f>IF(Y673="","",IF(Y673="[FÓRMULA MANUAL]","",IFERROR(SUMPRODUCT((DATOS!$A$2:$A$20000=Y673)*(DATOS!$G$2:$G$20000=CONFIG_METADATA!$B$4)*(COUNTIF(CONFIG_ASIGNATURAS!$B$7:$B$27,DATOS!$I$2:$I$20000)&gt;0)*(DATOS!$K$2:$K$20000))/SUMPRODUCT((DATOS!$A$2:$A$20000=Y673)*(DATOS!$G$2:$G$20000=CONFIG_METADATA!$B$4)*(COUNTIF(CONFIG_ASIGNATURAS!$B$7:$B$27,DATOS!$I$2:$I$20000)&gt;0)*1),"")))</f>
        <v/>
      </c>
      <c r="AF673" t="str">
        <f>IF(AE673="","",IF(AE673="[FÓRMULA MANUAL]","",IFERROR(AVERAGEIFS(DATOS!$K$2:$K$20000,DATOS!$A$2:$A$20000,AE673,DATOS!$G$2:$G$20000,CONFIG_METADATA!$B$4,DATOS!$I$2:$I$20000,"Análisis"),"")))</f>
        <v/>
      </c>
      <c r="AG673" t="str">
        <f>IF(AE673="","",IF(AE673="[FÓRMULA MANUAL]","",IFERROR(AVERAGEIFS(DATOS!$K$2:$K$20000,DATOS!$A$2:$A$20000,AE673,DATOS!$G$2:$G$20000,CONFIG_METADATA!$B$4,DATOS!$I$2:$I$20000,"Orquesta/Banda/Conjunto"),"")))</f>
        <v/>
      </c>
      <c r="AH673" t="str">
        <f>IF(AE673="","",IF(AE673="[FÓRMULA MANUAL]","",IFERROR(AVERAGEIFS(DATOS!$K$2:$K$20000,DATOS!$A$2:$A$20000,AE673,DATOS!$G$2:$G$20000,CONFIG_METADATA!$B$4,DATOS!$I$2:$I$20000,"Música de Cámara"),"")))</f>
        <v/>
      </c>
      <c r="AI673" t="str">
        <f>IF(AE673="","",IF(AE673="[FÓRMULA MANUAL]","",IFERROR(SUMPRODUCT((DATOS!$A$2:$A$20000=AE673)*(DATOS!$G$2:$G$20000=CONFIG_METADATA!$B$4)*(COUNTIF(CONFIG_ASIGNATURAS!$B$7:$B$27,DATOS!$I$2:$I$20000)&gt;0)*(DATOS!$K$2:$K$20000))/SUMPRODUCT((DATOS!$A$2:$A$20000=AE673)*(DATOS!$G$2:$G$20000=CONFIG_METADATA!$B$4)*(COUNTIF(CONFIG_ASIGNATURAS!$B$7:$B$27,DATOS!$I$2:$I$20000)&gt;0)*1),"")))</f>
        <v/>
      </c>
    </row>
    <row r="674" spans="2:35" x14ac:dyDescent="0.2">
      <c r="B674" t="str">
        <f>IF(A674="","",IF(A674="[FÓRMULA MANUAL]","",IFERROR(AVERAGEIFS(DATOS!$K$2:$K$20000,DATOS!$A$2:$A$20000,A674,DATOS!$G$2:$G$20000,CONFIG_METADATA!$B$4,DATOS!$I$2:$I$20000,"Lenguaje Musical"),"")))</f>
        <v/>
      </c>
      <c r="C674" t="str">
        <f>IF(A674="","",IF(A674="[FÓRMULA MANUAL]","",IFERROR(AVERAGEIFS(DATOS!$K$2:$K$20000,DATOS!$A$2:$A$20000,A674,DATOS!$G$2:$G$20000,CONFIG_METADATA!$B$4,DATOS!$I$2:$I$20000,"Orquesta/Banda/Conjunto"),"")))</f>
        <v/>
      </c>
      <c r="D674" t="str">
        <f>IF(A674="","",IF(A674="[FÓRMULA MANUAL]","",IFERROR(AVERAGEIFS(DATOS!$K$2:$K$20000,DATOS!$A$2:$A$20000,A674,DATOS!$G$2:$G$20000,CONFIG_METADATA!$B$4,DATOS!$I$2:$I$20000,"Conjunto"),"")))</f>
        <v/>
      </c>
      <c r="E674" t="str">
        <f>IF(A674="","",IF(A674="[FÓRMULA MANUAL]","",IFERROR(SUMPRODUCT((DATOS!$A$2:$A$20000=A674)*(DATOS!$G$2:$G$20000=CONFIG_METADATA!$B$4)*(COUNTIF(CONFIG_ASIGNATURAS!$B$7:$B$27,DATOS!$I$2:$I$20000)&gt;0)*(DATOS!$K$2:$K$20000))/SUMPRODUCT((DATOS!$A$2:$A$20000=A674)*(DATOS!$G$2:$G$20000=CONFIG_METADATA!$B$4)*(COUNTIF(CONFIG_ASIGNATURAS!$B$7:$B$27,DATOS!$I$2:$I$20000)&gt;0)*1),"")))</f>
        <v/>
      </c>
      <c r="H674" t="str">
        <f>IF(G674="","",IF(G674="[FÓRMULA MANUAL]","",IFERROR(AVERAGEIFS(DATOS!$K$2:$K$20000,DATOS!$A$2:$A$20000,G674,DATOS!$G$2:$G$20000,CONFIG_METADATA!$B$4,DATOS!$I$2:$I$20000,"Lenguaje Musical"),"")))</f>
        <v/>
      </c>
      <c r="I674" t="str">
        <f>IF(G674="","",IF(G674="[FÓRMULA MANUAL]","",IFERROR(AVERAGEIFS(DATOS!$K$2:$K$20000,DATOS!$A$2:$A$20000,G674,DATOS!$G$2:$G$20000,CONFIG_METADATA!$B$4,DATOS!$I$2:$I$20000,"Orquesta/Banda/Conjunto"),"")))</f>
        <v/>
      </c>
      <c r="J674" t="str">
        <f>IF(G674="","",IF(G674="[FÓRMULA MANUAL]","",IFERROR(AVERAGEIFS(DATOS!$K$2:$K$20000,DATOS!$A$2:$A$20000,G674,DATOS!$G$2:$G$20000,CONFIG_METADATA!$B$4,DATOS!$I$2:$I$20000,"Conjunto"),"")))</f>
        <v/>
      </c>
      <c r="K674" t="str">
        <f>IF(G674="","",IF(G674="[FÓRMULA MANUAL]","",IFERROR(SUMPRODUCT((DATOS!$A$2:$A$20000=G674)*(DATOS!$G$2:$G$20000=CONFIG_METADATA!$B$4)*(COUNTIF(CONFIG_ASIGNATURAS!$B$7:$B$27,DATOS!$I$2:$I$20000)&gt;0)*(DATOS!$K$2:$K$20000))/SUMPRODUCT((DATOS!$A$2:$A$20000=G674)*(DATOS!$G$2:$G$20000=CONFIG_METADATA!$B$4)*(COUNTIF(CONFIG_ASIGNATURAS!$B$7:$B$27,DATOS!$I$2:$I$20000)&gt;0)*1),"")))</f>
        <v/>
      </c>
      <c r="N674" t="str">
        <f>IF(M674="","",IF(M674="[FÓRMULA MANUAL]","",IFERROR(AVERAGEIFS(DATOS!$K$2:$K$20000,DATOS!$A$2:$A$20000,M674,DATOS!$G$2:$G$20000,CONFIG_METADATA!$B$4,DATOS!$I$2:$I$20000,"Armonía"),"")))</f>
        <v/>
      </c>
      <c r="O674" t="str">
        <f>IF(M674="","",IF(M674="[FÓRMULA MANUAL]","",IFERROR(AVERAGEIFS(DATOS!$K$2:$K$20000,DATOS!$A$2:$A$20000,M674,DATOS!$G$2:$G$20000,CONFIG_METADATA!$B$4,DATOS!$I$2:$I$20000,"Orquesta/Banda/Conjunto"),"")))</f>
        <v/>
      </c>
      <c r="P674" t="str">
        <f>IF(M674="","",IF(M674="[FÓRMULA MANUAL]","",IFERROR(AVERAGEIFS(DATOS!$K$2:$K$20000,DATOS!$A$2:$A$20000,M674,DATOS!$G$2:$G$20000,CONFIG_METADATA!$B$4,DATOS!$I$2:$I$20000,"Música de Cámara"),"")))</f>
        <v/>
      </c>
      <c r="Q674" t="str">
        <f>IF(M674="","",IF(M674="[FÓRMULA MANUAL]","",IFERROR(SUMPRODUCT((DATOS!$A$2:$A$20000=M674)*(DATOS!$G$2:$G$20000=CONFIG_METADATA!$B$4)*(COUNTIF(CONFIG_ASIGNATURAS!$B$7:$B$27,DATOS!$I$2:$I$20000)&gt;0)*(DATOS!$K$2:$K$20000))/SUMPRODUCT((DATOS!$A$2:$A$20000=M674)*(DATOS!$G$2:$G$20000=CONFIG_METADATA!$B$4)*(COUNTIF(CONFIG_ASIGNATURAS!$B$7:$B$27,DATOS!$I$2:$I$20000)&gt;0)*1),"")))</f>
        <v/>
      </c>
      <c r="T674" t="str">
        <f>IF(S674="","",IF(S674="[FÓRMULA MANUAL]","",IFERROR(AVERAGEIFS(DATOS!$K$2:$K$20000,DATOS!$A$2:$A$20000,S674,DATOS!$G$2:$G$20000,CONFIG_METADATA!$B$4,DATOS!$I$2:$I$20000,"Armonía"),"")))</f>
        <v/>
      </c>
      <c r="U674" t="str">
        <f>IF(S674="","",IF(S674="[FÓRMULA MANUAL]","",IFERROR(AVERAGEIFS(DATOS!$K$2:$K$20000,DATOS!$A$2:$A$20000,S674,DATOS!$G$2:$G$20000,CONFIG_METADATA!$B$4,DATOS!$I$2:$I$20000,"Orquesta/Banda/Conjunto"),"")))</f>
        <v/>
      </c>
      <c r="V674" t="str">
        <f>IF(S674="","",IF(S674="[FÓRMULA MANUAL]","",IFERROR(AVERAGEIFS(DATOS!$K$2:$K$20000,DATOS!$A$2:$A$20000,S674,DATOS!$G$2:$G$20000,CONFIG_METADATA!$B$4,DATOS!$I$2:$I$20000,"Música de Cámara"),"")))</f>
        <v/>
      </c>
      <c r="W674" t="str">
        <f>IF(S674="","",IF(S674="[FÓRMULA MANUAL]","",IFERROR(SUMPRODUCT((DATOS!$A$2:$A$20000=S674)*(DATOS!$G$2:$G$20000=CONFIG_METADATA!$B$4)*(COUNTIF(CONFIG_ASIGNATURAS!$B$7:$B$27,DATOS!$I$2:$I$20000)&gt;0)*(DATOS!$K$2:$K$20000))/SUMPRODUCT((DATOS!$A$2:$A$20000=S674)*(DATOS!$G$2:$G$20000=CONFIG_METADATA!$B$4)*(COUNTIF(CONFIG_ASIGNATURAS!$B$7:$B$27,DATOS!$I$2:$I$20000)&gt;0)*1),"")))</f>
        <v/>
      </c>
      <c r="Z674" t="str">
        <f>IF(Y674="","",IF(Y674="[FÓRMULA MANUAL]","",IFERROR(AVERAGEIFS(DATOS!$K$2:$K$20000,DATOS!$A$2:$A$20000,Y674,DATOS!$G$2:$G$20000,CONFIG_METADATA!$B$4,DATOS!$I$2:$I$20000,"Análisis"),"")))</f>
        <v/>
      </c>
      <c r="AA674" t="str">
        <f>IF(Y674="","",IF(Y674="[FÓRMULA MANUAL]","",IFERROR(AVERAGEIFS(DATOS!$K$2:$K$20000,DATOS!$A$2:$A$20000,Y674,DATOS!$G$2:$G$20000,CONFIG_METADATA!$B$4,DATOS!$I$2:$I$20000,"Orquesta/Banda/Conjunto"),"")))</f>
        <v/>
      </c>
      <c r="AB674" t="str">
        <f>IF(Y674="","",IF(Y674="[FÓRMULA MANUAL]","",IFERROR(AVERAGEIFS(DATOS!$K$2:$K$20000,DATOS!$A$2:$A$20000,Y674,DATOS!$G$2:$G$20000,CONFIG_METADATA!$B$4,DATOS!$I$2:$I$20000,"Música de Cámara"),"")))</f>
        <v/>
      </c>
      <c r="AC674" t="str">
        <f>IF(Y674="","",IF(Y674="[FÓRMULA MANUAL]","",IFERROR(SUMPRODUCT((DATOS!$A$2:$A$20000=Y674)*(DATOS!$G$2:$G$20000=CONFIG_METADATA!$B$4)*(COUNTIF(CONFIG_ASIGNATURAS!$B$7:$B$27,DATOS!$I$2:$I$20000)&gt;0)*(DATOS!$K$2:$K$20000))/SUMPRODUCT((DATOS!$A$2:$A$20000=Y674)*(DATOS!$G$2:$G$20000=CONFIG_METADATA!$B$4)*(COUNTIF(CONFIG_ASIGNATURAS!$B$7:$B$27,DATOS!$I$2:$I$20000)&gt;0)*1),"")))</f>
        <v/>
      </c>
      <c r="AF674" t="str">
        <f>IF(AE674="","",IF(AE674="[FÓRMULA MANUAL]","",IFERROR(AVERAGEIFS(DATOS!$K$2:$K$20000,DATOS!$A$2:$A$20000,AE674,DATOS!$G$2:$G$20000,CONFIG_METADATA!$B$4,DATOS!$I$2:$I$20000,"Análisis"),"")))</f>
        <v/>
      </c>
      <c r="AG674" t="str">
        <f>IF(AE674="","",IF(AE674="[FÓRMULA MANUAL]","",IFERROR(AVERAGEIFS(DATOS!$K$2:$K$20000,DATOS!$A$2:$A$20000,AE674,DATOS!$G$2:$G$20000,CONFIG_METADATA!$B$4,DATOS!$I$2:$I$20000,"Orquesta/Banda/Conjunto"),"")))</f>
        <v/>
      </c>
      <c r="AH674" t="str">
        <f>IF(AE674="","",IF(AE674="[FÓRMULA MANUAL]","",IFERROR(AVERAGEIFS(DATOS!$K$2:$K$20000,DATOS!$A$2:$A$20000,AE674,DATOS!$G$2:$G$20000,CONFIG_METADATA!$B$4,DATOS!$I$2:$I$20000,"Música de Cámara"),"")))</f>
        <v/>
      </c>
      <c r="AI674" t="str">
        <f>IF(AE674="","",IF(AE674="[FÓRMULA MANUAL]","",IFERROR(SUMPRODUCT((DATOS!$A$2:$A$20000=AE674)*(DATOS!$G$2:$G$20000=CONFIG_METADATA!$B$4)*(COUNTIF(CONFIG_ASIGNATURAS!$B$7:$B$27,DATOS!$I$2:$I$20000)&gt;0)*(DATOS!$K$2:$K$20000))/SUMPRODUCT((DATOS!$A$2:$A$20000=AE674)*(DATOS!$G$2:$G$20000=CONFIG_METADATA!$B$4)*(COUNTIF(CONFIG_ASIGNATURAS!$B$7:$B$27,DATOS!$I$2:$I$20000)&gt;0)*1),"")))</f>
        <v/>
      </c>
    </row>
    <row r="675" spans="2:35" x14ac:dyDescent="0.2">
      <c r="B675" t="str">
        <f>IF(A675="","",IF(A675="[FÓRMULA MANUAL]","",IFERROR(AVERAGEIFS(DATOS!$K$2:$K$20000,DATOS!$A$2:$A$20000,A675,DATOS!$G$2:$G$20000,CONFIG_METADATA!$B$4,DATOS!$I$2:$I$20000,"Lenguaje Musical"),"")))</f>
        <v/>
      </c>
      <c r="C675" t="str">
        <f>IF(A675="","",IF(A675="[FÓRMULA MANUAL]","",IFERROR(AVERAGEIFS(DATOS!$K$2:$K$20000,DATOS!$A$2:$A$20000,A675,DATOS!$G$2:$G$20000,CONFIG_METADATA!$B$4,DATOS!$I$2:$I$20000,"Orquesta/Banda/Conjunto"),"")))</f>
        <v/>
      </c>
      <c r="D675" t="str">
        <f>IF(A675="","",IF(A675="[FÓRMULA MANUAL]","",IFERROR(AVERAGEIFS(DATOS!$K$2:$K$20000,DATOS!$A$2:$A$20000,A675,DATOS!$G$2:$G$20000,CONFIG_METADATA!$B$4,DATOS!$I$2:$I$20000,"Conjunto"),"")))</f>
        <v/>
      </c>
      <c r="E675" t="str">
        <f>IF(A675="","",IF(A675="[FÓRMULA MANUAL]","",IFERROR(SUMPRODUCT((DATOS!$A$2:$A$20000=A675)*(DATOS!$G$2:$G$20000=CONFIG_METADATA!$B$4)*(COUNTIF(CONFIG_ASIGNATURAS!$B$7:$B$27,DATOS!$I$2:$I$20000)&gt;0)*(DATOS!$K$2:$K$20000))/SUMPRODUCT((DATOS!$A$2:$A$20000=A675)*(DATOS!$G$2:$G$20000=CONFIG_METADATA!$B$4)*(COUNTIF(CONFIG_ASIGNATURAS!$B$7:$B$27,DATOS!$I$2:$I$20000)&gt;0)*1),"")))</f>
        <v/>
      </c>
      <c r="H675" t="str">
        <f>IF(G675="","",IF(G675="[FÓRMULA MANUAL]","",IFERROR(AVERAGEIFS(DATOS!$K$2:$K$20000,DATOS!$A$2:$A$20000,G675,DATOS!$G$2:$G$20000,CONFIG_METADATA!$B$4,DATOS!$I$2:$I$20000,"Lenguaje Musical"),"")))</f>
        <v/>
      </c>
      <c r="I675" t="str">
        <f>IF(G675="","",IF(G675="[FÓRMULA MANUAL]","",IFERROR(AVERAGEIFS(DATOS!$K$2:$K$20000,DATOS!$A$2:$A$20000,G675,DATOS!$G$2:$G$20000,CONFIG_METADATA!$B$4,DATOS!$I$2:$I$20000,"Orquesta/Banda/Conjunto"),"")))</f>
        <v/>
      </c>
      <c r="J675" t="str">
        <f>IF(G675="","",IF(G675="[FÓRMULA MANUAL]","",IFERROR(AVERAGEIFS(DATOS!$K$2:$K$20000,DATOS!$A$2:$A$20000,G675,DATOS!$G$2:$G$20000,CONFIG_METADATA!$B$4,DATOS!$I$2:$I$20000,"Conjunto"),"")))</f>
        <v/>
      </c>
      <c r="K675" t="str">
        <f>IF(G675="","",IF(G675="[FÓRMULA MANUAL]","",IFERROR(SUMPRODUCT((DATOS!$A$2:$A$20000=G675)*(DATOS!$G$2:$G$20000=CONFIG_METADATA!$B$4)*(COUNTIF(CONFIG_ASIGNATURAS!$B$7:$B$27,DATOS!$I$2:$I$20000)&gt;0)*(DATOS!$K$2:$K$20000))/SUMPRODUCT((DATOS!$A$2:$A$20000=G675)*(DATOS!$G$2:$G$20000=CONFIG_METADATA!$B$4)*(COUNTIF(CONFIG_ASIGNATURAS!$B$7:$B$27,DATOS!$I$2:$I$20000)&gt;0)*1),"")))</f>
        <v/>
      </c>
      <c r="N675" t="str">
        <f>IF(M675="","",IF(M675="[FÓRMULA MANUAL]","",IFERROR(AVERAGEIFS(DATOS!$K$2:$K$20000,DATOS!$A$2:$A$20000,M675,DATOS!$G$2:$G$20000,CONFIG_METADATA!$B$4,DATOS!$I$2:$I$20000,"Armonía"),"")))</f>
        <v/>
      </c>
      <c r="O675" t="str">
        <f>IF(M675="","",IF(M675="[FÓRMULA MANUAL]","",IFERROR(AVERAGEIFS(DATOS!$K$2:$K$20000,DATOS!$A$2:$A$20000,M675,DATOS!$G$2:$G$20000,CONFIG_METADATA!$B$4,DATOS!$I$2:$I$20000,"Orquesta/Banda/Conjunto"),"")))</f>
        <v/>
      </c>
      <c r="P675" t="str">
        <f>IF(M675="","",IF(M675="[FÓRMULA MANUAL]","",IFERROR(AVERAGEIFS(DATOS!$K$2:$K$20000,DATOS!$A$2:$A$20000,M675,DATOS!$G$2:$G$20000,CONFIG_METADATA!$B$4,DATOS!$I$2:$I$20000,"Música de Cámara"),"")))</f>
        <v/>
      </c>
      <c r="Q675" t="str">
        <f>IF(M675="","",IF(M675="[FÓRMULA MANUAL]","",IFERROR(SUMPRODUCT((DATOS!$A$2:$A$20000=M675)*(DATOS!$G$2:$G$20000=CONFIG_METADATA!$B$4)*(COUNTIF(CONFIG_ASIGNATURAS!$B$7:$B$27,DATOS!$I$2:$I$20000)&gt;0)*(DATOS!$K$2:$K$20000))/SUMPRODUCT((DATOS!$A$2:$A$20000=M675)*(DATOS!$G$2:$G$20000=CONFIG_METADATA!$B$4)*(COUNTIF(CONFIG_ASIGNATURAS!$B$7:$B$27,DATOS!$I$2:$I$20000)&gt;0)*1),"")))</f>
        <v/>
      </c>
      <c r="T675" t="str">
        <f>IF(S675="","",IF(S675="[FÓRMULA MANUAL]","",IFERROR(AVERAGEIFS(DATOS!$K$2:$K$20000,DATOS!$A$2:$A$20000,S675,DATOS!$G$2:$G$20000,CONFIG_METADATA!$B$4,DATOS!$I$2:$I$20000,"Armonía"),"")))</f>
        <v/>
      </c>
      <c r="U675" t="str">
        <f>IF(S675="","",IF(S675="[FÓRMULA MANUAL]","",IFERROR(AVERAGEIFS(DATOS!$K$2:$K$20000,DATOS!$A$2:$A$20000,S675,DATOS!$G$2:$G$20000,CONFIG_METADATA!$B$4,DATOS!$I$2:$I$20000,"Orquesta/Banda/Conjunto"),"")))</f>
        <v/>
      </c>
      <c r="V675" t="str">
        <f>IF(S675="","",IF(S675="[FÓRMULA MANUAL]","",IFERROR(AVERAGEIFS(DATOS!$K$2:$K$20000,DATOS!$A$2:$A$20000,S675,DATOS!$G$2:$G$20000,CONFIG_METADATA!$B$4,DATOS!$I$2:$I$20000,"Música de Cámara"),"")))</f>
        <v/>
      </c>
      <c r="W675" t="str">
        <f>IF(S675="","",IF(S675="[FÓRMULA MANUAL]","",IFERROR(SUMPRODUCT((DATOS!$A$2:$A$20000=S675)*(DATOS!$G$2:$G$20000=CONFIG_METADATA!$B$4)*(COUNTIF(CONFIG_ASIGNATURAS!$B$7:$B$27,DATOS!$I$2:$I$20000)&gt;0)*(DATOS!$K$2:$K$20000))/SUMPRODUCT((DATOS!$A$2:$A$20000=S675)*(DATOS!$G$2:$G$20000=CONFIG_METADATA!$B$4)*(COUNTIF(CONFIG_ASIGNATURAS!$B$7:$B$27,DATOS!$I$2:$I$20000)&gt;0)*1),"")))</f>
        <v/>
      </c>
      <c r="Z675" t="str">
        <f>IF(Y675="","",IF(Y675="[FÓRMULA MANUAL]","",IFERROR(AVERAGEIFS(DATOS!$K$2:$K$20000,DATOS!$A$2:$A$20000,Y675,DATOS!$G$2:$G$20000,CONFIG_METADATA!$B$4,DATOS!$I$2:$I$20000,"Análisis"),"")))</f>
        <v/>
      </c>
      <c r="AA675" t="str">
        <f>IF(Y675="","",IF(Y675="[FÓRMULA MANUAL]","",IFERROR(AVERAGEIFS(DATOS!$K$2:$K$20000,DATOS!$A$2:$A$20000,Y675,DATOS!$G$2:$G$20000,CONFIG_METADATA!$B$4,DATOS!$I$2:$I$20000,"Orquesta/Banda/Conjunto"),"")))</f>
        <v/>
      </c>
      <c r="AB675" t="str">
        <f>IF(Y675="","",IF(Y675="[FÓRMULA MANUAL]","",IFERROR(AVERAGEIFS(DATOS!$K$2:$K$20000,DATOS!$A$2:$A$20000,Y675,DATOS!$G$2:$G$20000,CONFIG_METADATA!$B$4,DATOS!$I$2:$I$20000,"Música de Cámara"),"")))</f>
        <v/>
      </c>
      <c r="AC675" t="str">
        <f>IF(Y675="","",IF(Y675="[FÓRMULA MANUAL]","",IFERROR(SUMPRODUCT((DATOS!$A$2:$A$20000=Y675)*(DATOS!$G$2:$G$20000=CONFIG_METADATA!$B$4)*(COUNTIF(CONFIG_ASIGNATURAS!$B$7:$B$27,DATOS!$I$2:$I$20000)&gt;0)*(DATOS!$K$2:$K$20000))/SUMPRODUCT((DATOS!$A$2:$A$20000=Y675)*(DATOS!$G$2:$G$20000=CONFIG_METADATA!$B$4)*(COUNTIF(CONFIG_ASIGNATURAS!$B$7:$B$27,DATOS!$I$2:$I$20000)&gt;0)*1),"")))</f>
        <v/>
      </c>
      <c r="AF675" t="str">
        <f>IF(AE675="","",IF(AE675="[FÓRMULA MANUAL]","",IFERROR(AVERAGEIFS(DATOS!$K$2:$K$20000,DATOS!$A$2:$A$20000,AE675,DATOS!$G$2:$G$20000,CONFIG_METADATA!$B$4,DATOS!$I$2:$I$20000,"Análisis"),"")))</f>
        <v/>
      </c>
      <c r="AG675" t="str">
        <f>IF(AE675="","",IF(AE675="[FÓRMULA MANUAL]","",IFERROR(AVERAGEIFS(DATOS!$K$2:$K$20000,DATOS!$A$2:$A$20000,AE675,DATOS!$G$2:$G$20000,CONFIG_METADATA!$B$4,DATOS!$I$2:$I$20000,"Orquesta/Banda/Conjunto"),"")))</f>
        <v/>
      </c>
      <c r="AH675" t="str">
        <f>IF(AE675="","",IF(AE675="[FÓRMULA MANUAL]","",IFERROR(AVERAGEIFS(DATOS!$K$2:$K$20000,DATOS!$A$2:$A$20000,AE675,DATOS!$G$2:$G$20000,CONFIG_METADATA!$B$4,DATOS!$I$2:$I$20000,"Música de Cámara"),"")))</f>
        <v/>
      </c>
      <c r="AI675" t="str">
        <f>IF(AE675="","",IF(AE675="[FÓRMULA MANUAL]","",IFERROR(SUMPRODUCT((DATOS!$A$2:$A$20000=AE675)*(DATOS!$G$2:$G$20000=CONFIG_METADATA!$B$4)*(COUNTIF(CONFIG_ASIGNATURAS!$B$7:$B$27,DATOS!$I$2:$I$20000)&gt;0)*(DATOS!$K$2:$K$20000))/SUMPRODUCT((DATOS!$A$2:$A$20000=AE675)*(DATOS!$G$2:$G$20000=CONFIG_METADATA!$B$4)*(COUNTIF(CONFIG_ASIGNATURAS!$B$7:$B$27,DATOS!$I$2:$I$20000)&gt;0)*1),"")))</f>
        <v/>
      </c>
    </row>
    <row r="676" spans="2:35" x14ac:dyDescent="0.2">
      <c r="B676" t="str">
        <f>IF(A676="","",IF(A676="[FÓRMULA MANUAL]","",IFERROR(AVERAGEIFS(DATOS!$K$2:$K$20000,DATOS!$A$2:$A$20000,A676,DATOS!$G$2:$G$20000,CONFIG_METADATA!$B$4,DATOS!$I$2:$I$20000,"Lenguaje Musical"),"")))</f>
        <v/>
      </c>
      <c r="C676" t="str">
        <f>IF(A676="","",IF(A676="[FÓRMULA MANUAL]","",IFERROR(AVERAGEIFS(DATOS!$K$2:$K$20000,DATOS!$A$2:$A$20000,A676,DATOS!$G$2:$G$20000,CONFIG_METADATA!$B$4,DATOS!$I$2:$I$20000,"Orquesta/Banda/Conjunto"),"")))</f>
        <v/>
      </c>
      <c r="D676" t="str">
        <f>IF(A676="","",IF(A676="[FÓRMULA MANUAL]","",IFERROR(AVERAGEIFS(DATOS!$K$2:$K$20000,DATOS!$A$2:$A$20000,A676,DATOS!$G$2:$G$20000,CONFIG_METADATA!$B$4,DATOS!$I$2:$I$20000,"Conjunto"),"")))</f>
        <v/>
      </c>
      <c r="E676" t="str">
        <f>IF(A676="","",IF(A676="[FÓRMULA MANUAL]","",IFERROR(SUMPRODUCT((DATOS!$A$2:$A$20000=A676)*(DATOS!$G$2:$G$20000=CONFIG_METADATA!$B$4)*(COUNTIF(CONFIG_ASIGNATURAS!$B$7:$B$27,DATOS!$I$2:$I$20000)&gt;0)*(DATOS!$K$2:$K$20000))/SUMPRODUCT((DATOS!$A$2:$A$20000=A676)*(DATOS!$G$2:$G$20000=CONFIG_METADATA!$B$4)*(COUNTIF(CONFIG_ASIGNATURAS!$B$7:$B$27,DATOS!$I$2:$I$20000)&gt;0)*1),"")))</f>
        <v/>
      </c>
      <c r="H676" t="str">
        <f>IF(G676="","",IF(G676="[FÓRMULA MANUAL]","",IFERROR(AVERAGEIFS(DATOS!$K$2:$K$20000,DATOS!$A$2:$A$20000,G676,DATOS!$G$2:$G$20000,CONFIG_METADATA!$B$4,DATOS!$I$2:$I$20000,"Lenguaje Musical"),"")))</f>
        <v/>
      </c>
      <c r="I676" t="str">
        <f>IF(G676="","",IF(G676="[FÓRMULA MANUAL]","",IFERROR(AVERAGEIFS(DATOS!$K$2:$K$20000,DATOS!$A$2:$A$20000,G676,DATOS!$G$2:$G$20000,CONFIG_METADATA!$B$4,DATOS!$I$2:$I$20000,"Orquesta/Banda/Conjunto"),"")))</f>
        <v/>
      </c>
      <c r="J676" t="str">
        <f>IF(G676="","",IF(G676="[FÓRMULA MANUAL]","",IFERROR(AVERAGEIFS(DATOS!$K$2:$K$20000,DATOS!$A$2:$A$20000,G676,DATOS!$G$2:$G$20000,CONFIG_METADATA!$B$4,DATOS!$I$2:$I$20000,"Conjunto"),"")))</f>
        <v/>
      </c>
      <c r="K676" t="str">
        <f>IF(G676="","",IF(G676="[FÓRMULA MANUAL]","",IFERROR(SUMPRODUCT((DATOS!$A$2:$A$20000=G676)*(DATOS!$G$2:$G$20000=CONFIG_METADATA!$B$4)*(COUNTIF(CONFIG_ASIGNATURAS!$B$7:$B$27,DATOS!$I$2:$I$20000)&gt;0)*(DATOS!$K$2:$K$20000))/SUMPRODUCT((DATOS!$A$2:$A$20000=G676)*(DATOS!$G$2:$G$20000=CONFIG_METADATA!$B$4)*(COUNTIF(CONFIG_ASIGNATURAS!$B$7:$B$27,DATOS!$I$2:$I$20000)&gt;0)*1),"")))</f>
        <v/>
      </c>
      <c r="N676" t="str">
        <f>IF(M676="","",IF(M676="[FÓRMULA MANUAL]","",IFERROR(AVERAGEIFS(DATOS!$K$2:$K$20000,DATOS!$A$2:$A$20000,M676,DATOS!$G$2:$G$20000,CONFIG_METADATA!$B$4,DATOS!$I$2:$I$20000,"Armonía"),"")))</f>
        <v/>
      </c>
      <c r="O676" t="str">
        <f>IF(M676="","",IF(M676="[FÓRMULA MANUAL]","",IFERROR(AVERAGEIFS(DATOS!$K$2:$K$20000,DATOS!$A$2:$A$20000,M676,DATOS!$G$2:$G$20000,CONFIG_METADATA!$B$4,DATOS!$I$2:$I$20000,"Orquesta/Banda/Conjunto"),"")))</f>
        <v/>
      </c>
      <c r="P676" t="str">
        <f>IF(M676="","",IF(M676="[FÓRMULA MANUAL]","",IFERROR(AVERAGEIFS(DATOS!$K$2:$K$20000,DATOS!$A$2:$A$20000,M676,DATOS!$G$2:$G$20000,CONFIG_METADATA!$B$4,DATOS!$I$2:$I$20000,"Música de Cámara"),"")))</f>
        <v/>
      </c>
      <c r="Q676" t="str">
        <f>IF(M676="","",IF(M676="[FÓRMULA MANUAL]","",IFERROR(SUMPRODUCT((DATOS!$A$2:$A$20000=M676)*(DATOS!$G$2:$G$20000=CONFIG_METADATA!$B$4)*(COUNTIF(CONFIG_ASIGNATURAS!$B$7:$B$27,DATOS!$I$2:$I$20000)&gt;0)*(DATOS!$K$2:$K$20000))/SUMPRODUCT((DATOS!$A$2:$A$20000=M676)*(DATOS!$G$2:$G$20000=CONFIG_METADATA!$B$4)*(COUNTIF(CONFIG_ASIGNATURAS!$B$7:$B$27,DATOS!$I$2:$I$20000)&gt;0)*1),"")))</f>
        <v/>
      </c>
      <c r="T676" t="str">
        <f>IF(S676="","",IF(S676="[FÓRMULA MANUAL]","",IFERROR(AVERAGEIFS(DATOS!$K$2:$K$20000,DATOS!$A$2:$A$20000,S676,DATOS!$G$2:$G$20000,CONFIG_METADATA!$B$4,DATOS!$I$2:$I$20000,"Armonía"),"")))</f>
        <v/>
      </c>
      <c r="U676" t="str">
        <f>IF(S676="","",IF(S676="[FÓRMULA MANUAL]","",IFERROR(AVERAGEIFS(DATOS!$K$2:$K$20000,DATOS!$A$2:$A$20000,S676,DATOS!$G$2:$G$20000,CONFIG_METADATA!$B$4,DATOS!$I$2:$I$20000,"Orquesta/Banda/Conjunto"),"")))</f>
        <v/>
      </c>
      <c r="V676" t="str">
        <f>IF(S676="","",IF(S676="[FÓRMULA MANUAL]","",IFERROR(AVERAGEIFS(DATOS!$K$2:$K$20000,DATOS!$A$2:$A$20000,S676,DATOS!$G$2:$G$20000,CONFIG_METADATA!$B$4,DATOS!$I$2:$I$20000,"Música de Cámara"),"")))</f>
        <v/>
      </c>
      <c r="W676" t="str">
        <f>IF(S676="","",IF(S676="[FÓRMULA MANUAL]","",IFERROR(SUMPRODUCT((DATOS!$A$2:$A$20000=S676)*(DATOS!$G$2:$G$20000=CONFIG_METADATA!$B$4)*(COUNTIF(CONFIG_ASIGNATURAS!$B$7:$B$27,DATOS!$I$2:$I$20000)&gt;0)*(DATOS!$K$2:$K$20000))/SUMPRODUCT((DATOS!$A$2:$A$20000=S676)*(DATOS!$G$2:$G$20000=CONFIG_METADATA!$B$4)*(COUNTIF(CONFIG_ASIGNATURAS!$B$7:$B$27,DATOS!$I$2:$I$20000)&gt;0)*1),"")))</f>
        <v/>
      </c>
      <c r="Z676" t="str">
        <f>IF(Y676="","",IF(Y676="[FÓRMULA MANUAL]","",IFERROR(AVERAGEIFS(DATOS!$K$2:$K$20000,DATOS!$A$2:$A$20000,Y676,DATOS!$G$2:$G$20000,CONFIG_METADATA!$B$4,DATOS!$I$2:$I$20000,"Análisis"),"")))</f>
        <v/>
      </c>
      <c r="AA676" t="str">
        <f>IF(Y676="","",IF(Y676="[FÓRMULA MANUAL]","",IFERROR(AVERAGEIFS(DATOS!$K$2:$K$20000,DATOS!$A$2:$A$20000,Y676,DATOS!$G$2:$G$20000,CONFIG_METADATA!$B$4,DATOS!$I$2:$I$20000,"Orquesta/Banda/Conjunto"),"")))</f>
        <v/>
      </c>
      <c r="AB676" t="str">
        <f>IF(Y676="","",IF(Y676="[FÓRMULA MANUAL]","",IFERROR(AVERAGEIFS(DATOS!$K$2:$K$20000,DATOS!$A$2:$A$20000,Y676,DATOS!$G$2:$G$20000,CONFIG_METADATA!$B$4,DATOS!$I$2:$I$20000,"Música de Cámara"),"")))</f>
        <v/>
      </c>
      <c r="AC676" t="str">
        <f>IF(Y676="","",IF(Y676="[FÓRMULA MANUAL]","",IFERROR(SUMPRODUCT((DATOS!$A$2:$A$20000=Y676)*(DATOS!$G$2:$G$20000=CONFIG_METADATA!$B$4)*(COUNTIF(CONFIG_ASIGNATURAS!$B$7:$B$27,DATOS!$I$2:$I$20000)&gt;0)*(DATOS!$K$2:$K$20000))/SUMPRODUCT((DATOS!$A$2:$A$20000=Y676)*(DATOS!$G$2:$G$20000=CONFIG_METADATA!$B$4)*(COUNTIF(CONFIG_ASIGNATURAS!$B$7:$B$27,DATOS!$I$2:$I$20000)&gt;0)*1),"")))</f>
        <v/>
      </c>
      <c r="AF676" t="str">
        <f>IF(AE676="","",IF(AE676="[FÓRMULA MANUAL]","",IFERROR(AVERAGEIFS(DATOS!$K$2:$K$20000,DATOS!$A$2:$A$20000,AE676,DATOS!$G$2:$G$20000,CONFIG_METADATA!$B$4,DATOS!$I$2:$I$20000,"Análisis"),"")))</f>
        <v/>
      </c>
      <c r="AG676" t="str">
        <f>IF(AE676="","",IF(AE676="[FÓRMULA MANUAL]","",IFERROR(AVERAGEIFS(DATOS!$K$2:$K$20000,DATOS!$A$2:$A$20000,AE676,DATOS!$G$2:$G$20000,CONFIG_METADATA!$B$4,DATOS!$I$2:$I$20000,"Orquesta/Banda/Conjunto"),"")))</f>
        <v/>
      </c>
      <c r="AH676" t="str">
        <f>IF(AE676="","",IF(AE676="[FÓRMULA MANUAL]","",IFERROR(AVERAGEIFS(DATOS!$K$2:$K$20000,DATOS!$A$2:$A$20000,AE676,DATOS!$G$2:$G$20000,CONFIG_METADATA!$B$4,DATOS!$I$2:$I$20000,"Música de Cámara"),"")))</f>
        <v/>
      </c>
      <c r="AI676" t="str">
        <f>IF(AE676="","",IF(AE676="[FÓRMULA MANUAL]","",IFERROR(SUMPRODUCT((DATOS!$A$2:$A$20000=AE676)*(DATOS!$G$2:$G$20000=CONFIG_METADATA!$B$4)*(COUNTIF(CONFIG_ASIGNATURAS!$B$7:$B$27,DATOS!$I$2:$I$20000)&gt;0)*(DATOS!$K$2:$K$20000))/SUMPRODUCT((DATOS!$A$2:$A$20000=AE676)*(DATOS!$G$2:$G$20000=CONFIG_METADATA!$B$4)*(COUNTIF(CONFIG_ASIGNATURAS!$B$7:$B$27,DATOS!$I$2:$I$20000)&gt;0)*1),"")))</f>
        <v/>
      </c>
    </row>
    <row r="677" spans="2:35" x14ac:dyDescent="0.2">
      <c r="B677" t="str">
        <f>IF(A677="","",IF(A677="[FÓRMULA MANUAL]","",IFERROR(AVERAGEIFS(DATOS!$K$2:$K$20000,DATOS!$A$2:$A$20000,A677,DATOS!$G$2:$G$20000,CONFIG_METADATA!$B$4,DATOS!$I$2:$I$20000,"Lenguaje Musical"),"")))</f>
        <v/>
      </c>
      <c r="C677" t="str">
        <f>IF(A677="","",IF(A677="[FÓRMULA MANUAL]","",IFERROR(AVERAGEIFS(DATOS!$K$2:$K$20000,DATOS!$A$2:$A$20000,A677,DATOS!$G$2:$G$20000,CONFIG_METADATA!$B$4,DATOS!$I$2:$I$20000,"Orquesta/Banda/Conjunto"),"")))</f>
        <v/>
      </c>
      <c r="D677" t="str">
        <f>IF(A677="","",IF(A677="[FÓRMULA MANUAL]","",IFERROR(AVERAGEIFS(DATOS!$K$2:$K$20000,DATOS!$A$2:$A$20000,A677,DATOS!$G$2:$G$20000,CONFIG_METADATA!$B$4,DATOS!$I$2:$I$20000,"Conjunto"),"")))</f>
        <v/>
      </c>
      <c r="E677" t="str">
        <f>IF(A677="","",IF(A677="[FÓRMULA MANUAL]","",IFERROR(SUMPRODUCT((DATOS!$A$2:$A$20000=A677)*(DATOS!$G$2:$G$20000=CONFIG_METADATA!$B$4)*(COUNTIF(CONFIG_ASIGNATURAS!$B$7:$B$27,DATOS!$I$2:$I$20000)&gt;0)*(DATOS!$K$2:$K$20000))/SUMPRODUCT((DATOS!$A$2:$A$20000=A677)*(DATOS!$G$2:$G$20000=CONFIG_METADATA!$B$4)*(COUNTIF(CONFIG_ASIGNATURAS!$B$7:$B$27,DATOS!$I$2:$I$20000)&gt;0)*1),"")))</f>
        <v/>
      </c>
      <c r="H677" t="str">
        <f>IF(G677="","",IF(G677="[FÓRMULA MANUAL]","",IFERROR(AVERAGEIFS(DATOS!$K$2:$K$20000,DATOS!$A$2:$A$20000,G677,DATOS!$G$2:$G$20000,CONFIG_METADATA!$B$4,DATOS!$I$2:$I$20000,"Lenguaje Musical"),"")))</f>
        <v/>
      </c>
      <c r="I677" t="str">
        <f>IF(G677="","",IF(G677="[FÓRMULA MANUAL]","",IFERROR(AVERAGEIFS(DATOS!$K$2:$K$20000,DATOS!$A$2:$A$20000,G677,DATOS!$G$2:$G$20000,CONFIG_METADATA!$B$4,DATOS!$I$2:$I$20000,"Orquesta/Banda/Conjunto"),"")))</f>
        <v/>
      </c>
      <c r="J677" t="str">
        <f>IF(G677="","",IF(G677="[FÓRMULA MANUAL]","",IFERROR(AVERAGEIFS(DATOS!$K$2:$K$20000,DATOS!$A$2:$A$20000,G677,DATOS!$G$2:$G$20000,CONFIG_METADATA!$B$4,DATOS!$I$2:$I$20000,"Conjunto"),"")))</f>
        <v/>
      </c>
      <c r="K677" t="str">
        <f>IF(G677="","",IF(G677="[FÓRMULA MANUAL]","",IFERROR(SUMPRODUCT((DATOS!$A$2:$A$20000=G677)*(DATOS!$G$2:$G$20000=CONFIG_METADATA!$B$4)*(COUNTIF(CONFIG_ASIGNATURAS!$B$7:$B$27,DATOS!$I$2:$I$20000)&gt;0)*(DATOS!$K$2:$K$20000))/SUMPRODUCT((DATOS!$A$2:$A$20000=G677)*(DATOS!$G$2:$G$20000=CONFIG_METADATA!$B$4)*(COUNTIF(CONFIG_ASIGNATURAS!$B$7:$B$27,DATOS!$I$2:$I$20000)&gt;0)*1),"")))</f>
        <v/>
      </c>
      <c r="N677" t="str">
        <f>IF(M677="","",IF(M677="[FÓRMULA MANUAL]","",IFERROR(AVERAGEIFS(DATOS!$K$2:$K$20000,DATOS!$A$2:$A$20000,M677,DATOS!$G$2:$G$20000,CONFIG_METADATA!$B$4,DATOS!$I$2:$I$20000,"Armonía"),"")))</f>
        <v/>
      </c>
      <c r="O677" t="str">
        <f>IF(M677="","",IF(M677="[FÓRMULA MANUAL]","",IFERROR(AVERAGEIFS(DATOS!$K$2:$K$20000,DATOS!$A$2:$A$20000,M677,DATOS!$G$2:$G$20000,CONFIG_METADATA!$B$4,DATOS!$I$2:$I$20000,"Orquesta/Banda/Conjunto"),"")))</f>
        <v/>
      </c>
      <c r="P677" t="str">
        <f>IF(M677="","",IF(M677="[FÓRMULA MANUAL]","",IFERROR(AVERAGEIFS(DATOS!$K$2:$K$20000,DATOS!$A$2:$A$20000,M677,DATOS!$G$2:$G$20000,CONFIG_METADATA!$B$4,DATOS!$I$2:$I$20000,"Música de Cámara"),"")))</f>
        <v/>
      </c>
      <c r="Q677" t="str">
        <f>IF(M677="","",IF(M677="[FÓRMULA MANUAL]","",IFERROR(SUMPRODUCT((DATOS!$A$2:$A$20000=M677)*(DATOS!$G$2:$G$20000=CONFIG_METADATA!$B$4)*(COUNTIF(CONFIG_ASIGNATURAS!$B$7:$B$27,DATOS!$I$2:$I$20000)&gt;0)*(DATOS!$K$2:$K$20000))/SUMPRODUCT((DATOS!$A$2:$A$20000=M677)*(DATOS!$G$2:$G$20000=CONFIG_METADATA!$B$4)*(COUNTIF(CONFIG_ASIGNATURAS!$B$7:$B$27,DATOS!$I$2:$I$20000)&gt;0)*1),"")))</f>
        <v/>
      </c>
      <c r="T677" t="str">
        <f>IF(S677="","",IF(S677="[FÓRMULA MANUAL]","",IFERROR(AVERAGEIFS(DATOS!$K$2:$K$20000,DATOS!$A$2:$A$20000,S677,DATOS!$G$2:$G$20000,CONFIG_METADATA!$B$4,DATOS!$I$2:$I$20000,"Armonía"),"")))</f>
        <v/>
      </c>
      <c r="U677" t="str">
        <f>IF(S677="","",IF(S677="[FÓRMULA MANUAL]","",IFERROR(AVERAGEIFS(DATOS!$K$2:$K$20000,DATOS!$A$2:$A$20000,S677,DATOS!$G$2:$G$20000,CONFIG_METADATA!$B$4,DATOS!$I$2:$I$20000,"Orquesta/Banda/Conjunto"),"")))</f>
        <v/>
      </c>
      <c r="V677" t="str">
        <f>IF(S677="","",IF(S677="[FÓRMULA MANUAL]","",IFERROR(AVERAGEIFS(DATOS!$K$2:$K$20000,DATOS!$A$2:$A$20000,S677,DATOS!$G$2:$G$20000,CONFIG_METADATA!$B$4,DATOS!$I$2:$I$20000,"Música de Cámara"),"")))</f>
        <v/>
      </c>
      <c r="W677" t="str">
        <f>IF(S677="","",IF(S677="[FÓRMULA MANUAL]","",IFERROR(SUMPRODUCT((DATOS!$A$2:$A$20000=S677)*(DATOS!$G$2:$G$20000=CONFIG_METADATA!$B$4)*(COUNTIF(CONFIG_ASIGNATURAS!$B$7:$B$27,DATOS!$I$2:$I$20000)&gt;0)*(DATOS!$K$2:$K$20000))/SUMPRODUCT((DATOS!$A$2:$A$20000=S677)*(DATOS!$G$2:$G$20000=CONFIG_METADATA!$B$4)*(COUNTIF(CONFIG_ASIGNATURAS!$B$7:$B$27,DATOS!$I$2:$I$20000)&gt;0)*1),"")))</f>
        <v/>
      </c>
      <c r="Z677" t="str">
        <f>IF(Y677="","",IF(Y677="[FÓRMULA MANUAL]","",IFERROR(AVERAGEIFS(DATOS!$K$2:$K$20000,DATOS!$A$2:$A$20000,Y677,DATOS!$G$2:$G$20000,CONFIG_METADATA!$B$4,DATOS!$I$2:$I$20000,"Análisis"),"")))</f>
        <v/>
      </c>
      <c r="AA677" t="str">
        <f>IF(Y677="","",IF(Y677="[FÓRMULA MANUAL]","",IFERROR(AVERAGEIFS(DATOS!$K$2:$K$20000,DATOS!$A$2:$A$20000,Y677,DATOS!$G$2:$G$20000,CONFIG_METADATA!$B$4,DATOS!$I$2:$I$20000,"Orquesta/Banda/Conjunto"),"")))</f>
        <v/>
      </c>
      <c r="AB677" t="str">
        <f>IF(Y677="","",IF(Y677="[FÓRMULA MANUAL]","",IFERROR(AVERAGEIFS(DATOS!$K$2:$K$20000,DATOS!$A$2:$A$20000,Y677,DATOS!$G$2:$G$20000,CONFIG_METADATA!$B$4,DATOS!$I$2:$I$20000,"Música de Cámara"),"")))</f>
        <v/>
      </c>
      <c r="AC677" t="str">
        <f>IF(Y677="","",IF(Y677="[FÓRMULA MANUAL]","",IFERROR(SUMPRODUCT((DATOS!$A$2:$A$20000=Y677)*(DATOS!$G$2:$G$20000=CONFIG_METADATA!$B$4)*(COUNTIF(CONFIG_ASIGNATURAS!$B$7:$B$27,DATOS!$I$2:$I$20000)&gt;0)*(DATOS!$K$2:$K$20000))/SUMPRODUCT((DATOS!$A$2:$A$20000=Y677)*(DATOS!$G$2:$G$20000=CONFIG_METADATA!$B$4)*(COUNTIF(CONFIG_ASIGNATURAS!$B$7:$B$27,DATOS!$I$2:$I$20000)&gt;0)*1),"")))</f>
        <v/>
      </c>
      <c r="AF677" t="str">
        <f>IF(AE677="","",IF(AE677="[FÓRMULA MANUAL]","",IFERROR(AVERAGEIFS(DATOS!$K$2:$K$20000,DATOS!$A$2:$A$20000,AE677,DATOS!$G$2:$G$20000,CONFIG_METADATA!$B$4,DATOS!$I$2:$I$20000,"Análisis"),"")))</f>
        <v/>
      </c>
      <c r="AG677" t="str">
        <f>IF(AE677="","",IF(AE677="[FÓRMULA MANUAL]","",IFERROR(AVERAGEIFS(DATOS!$K$2:$K$20000,DATOS!$A$2:$A$20000,AE677,DATOS!$G$2:$G$20000,CONFIG_METADATA!$B$4,DATOS!$I$2:$I$20000,"Orquesta/Banda/Conjunto"),"")))</f>
        <v/>
      </c>
      <c r="AH677" t="str">
        <f>IF(AE677="","",IF(AE677="[FÓRMULA MANUAL]","",IFERROR(AVERAGEIFS(DATOS!$K$2:$K$20000,DATOS!$A$2:$A$20000,AE677,DATOS!$G$2:$G$20000,CONFIG_METADATA!$B$4,DATOS!$I$2:$I$20000,"Música de Cámara"),"")))</f>
        <v/>
      </c>
      <c r="AI677" t="str">
        <f>IF(AE677="","",IF(AE677="[FÓRMULA MANUAL]","",IFERROR(SUMPRODUCT((DATOS!$A$2:$A$20000=AE677)*(DATOS!$G$2:$G$20000=CONFIG_METADATA!$B$4)*(COUNTIF(CONFIG_ASIGNATURAS!$B$7:$B$27,DATOS!$I$2:$I$20000)&gt;0)*(DATOS!$K$2:$K$20000))/SUMPRODUCT((DATOS!$A$2:$A$20000=AE677)*(DATOS!$G$2:$G$20000=CONFIG_METADATA!$B$4)*(COUNTIF(CONFIG_ASIGNATURAS!$B$7:$B$27,DATOS!$I$2:$I$20000)&gt;0)*1),"")))</f>
        <v/>
      </c>
    </row>
    <row r="678" spans="2:35" x14ac:dyDescent="0.2">
      <c r="B678" t="str">
        <f>IF(A678="","",IF(A678="[FÓRMULA MANUAL]","",IFERROR(AVERAGEIFS(DATOS!$K$2:$K$20000,DATOS!$A$2:$A$20000,A678,DATOS!$G$2:$G$20000,CONFIG_METADATA!$B$4,DATOS!$I$2:$I$20000,"Lenguaje Musical"),"")))</f>
        <v/>
      </c>
      <c r="C678" t="str">
        <f>IF(A678="","",IF(A678="[FÓRMULA MANUAL]","",IFERROR(AVERAGEIFS(DATOS!$K$2:$K$20000,DATOS!$A$2:$A$20000,A678,DATOS!$G$2:$G$20000,CONFIG_METADATA!$B$4,DATOS!$I$2:$I$20000,"Orquesta/Banda/Conjunto"),"")))</f>
        <v/>
      </c>
      <c r="D678" t="str">
        <f>IF(A678="","",IF(A678="[FÓRMULA MANUAL]","",IFERROR(AVERAGEIFS(DATOS!$K$2:$K$20000,DATOS!$A$2:$A$20000,A678,DATOS!$G$2:$G$20000,CONFIG_METADATA!$B$4,DATOS!$I$2:$I$20000,"Conjunto"),"")))</f>
        <v/>
      </c>
      <c r="E678" t="str">
        <f>IF(A678="","",IF(A678="[FÓRMULA MANUAL]","",IFERROR(SUMPRODUCT((DATOS!$A$2:$A$20000=A678)*(DATOS!$G$2:$G$20000=CONFIG_METADATA!$B$4)*(COUNTIF(CONFIG_ASIGNATURAS!$B$7:$B$27,DATOS!$I$2:$I$20000)&gt;0)*(DATOS!$K$2:$K$20000))/SUMPRODUCT((DATOS!$A$2:$A$20000=A678)*(DATOS!$G$2:$G$20000=CONFIG_METADATA!$B$4)*(COUNTIF(CONFIG_ASIGNATURAS!$B$7:$B$27,DATOS!$I$2:$I$20000)&gt;0)*1),"")))</f>
        <v/>
      </c>
      <c r="H678" t="str">
        <f>IF(G678="","",IF(G678="[FÓRMULA MANUAL]","",IFERROR(AVERAGEIFS(DATOS!$K$2:$K$20000,DATOS!$A$2:$A$20000,G678,DATOS!$G$2:$G$20000,CONFIG_METADATA!$B$4,DATOS!$I$2:$I$20000,"Lenguaje Musical"),"")))</f>
        <v/>
      </c>
      <c r="I678" t="str">
        <f>IF(G678="","",IF(G678="[FÓRMULA MANUAL]","",IFERROR(AVERAGEIFS(DATOS!$K$2:$K$20000,DATOS!$A$2:$A$20000,G678,DATOS!$G$2:$G$20000,CONFIG_METADATA!$B$4,DATOS!$I$2:$I$20000,"Orquesta/Banda/Conjunto"),"")))</f>
        <v/>
      </c>
      <c r="J678" t="str">
        <f>IF(G678="","",IF(G678="[FÓRMULA MANUAL]","",IFERROR(AVERAGEIFS(DATOS!$K$2:$K$20000,DATOS!$A$2:$A$20000,G678,DATOS!$G$2:$G$20000,CONFIG_METADATA!$B$4,DATOS!$I$2:$I$20000,"Conjunto"),"")))</f>
        <v/>
      </c>
      <c r="K678" t="str">
        <f>IF(G678="","",IF(G678="[FÓRMULA MANUAL]","",IFERROR(SUMPRODUCT((DATOS!$A$2:$A$20000=G678)*(DATOS!$G$2:$G$20000=CONFIG_METADATA!$B$4)*(COUNTIF(CONFIG_ASIGNATURAS!$B$7:$B$27,DATOS!$I$2:$I$20000)&gt;0)*(DATOS!$K$2:$K$20000))/SUMPRODUCT((DATOS!$A$2:$A$20000=G678)*(DATOS!$G$2:$G$20000=CONFIG_METADATA!$B$4)*(COUNTIF(CONFIG_ASIGNATURAS!$B$7:$B$27,DATOS!$I$2:$I$20000)&gt;0)*1),"")))</f>
        <v/>
      </c>
      <c r="N678" t="str">
        <f>IF(M678="","",IF(M678="[FÓRMULA MANUAL]","",IFERROR(AVERAGEIFS(DATOS!$K$2:$K$20000,DATOS!$A$2:$A$20000,M678,DATOS!$G$2:$G$20000,CONFIG_METADATA!$B$4,DATOS!$I$2:$I$20000,"Armonía"),"")))</f>
        <v/>
      </c>
      <c r="O678" t="str">
        <f>IF(M678="","",IF(M678="[FÓRMULA MANUAL]","",IFERROR(AVERAGEIFS(DATOS!$K$2:$K$20000,DATOS!$A$2:$A$20000,M678,DATOS!$G$2:$G$20000,CONFIG_METADATA!$B$4,DATOS!$I$2:$I$20000,"Orquesta/Banda/Conjunto"),"")))</f>
        <v/>
      </c>
      <c r="P678" t="str">
        <f>IF(M678="","",IF(M678="[FÓRMULA MANUAL]","",IFERROR(AVERAGEIFS(DATOS!$K$2:$K$20000,DATOS!$A$2:$A$20000,M678,DATOS!$G$2:$G$20000,CONFIG_METADATA!$B$4,DATOS!$I$2:$I$20000,"Música de Cámara"),"")))</f>
        <v/>
      </c>
      <c r="Q678" t="str">
        <f>IF(M678="","",IF(M678="[FÓRMULA MANUAL]","",IFERROR(SUMPRODUCT((DATOS!$A$2:$A$20000=M678)*(DATOS!$G$2:$G$20000=CONFIG_METADATA!$B$4)*(COUNTIF(CONFIG_ASIGNATURAS!$B$7:$B$27,DATOS!$I$2:$I$20000)&gt;0)*(DATOS!$K$2:$K$20000))/SUMPRODUCT((DATOS!$A$2:$A$20000=M678)*(DATOS!$G$2:$G$20000=CONFIG_METADATA!$B$4)*(COUNTIF(CONFIG_ASIGNATURAS!$B$7:$B$27,DATOS!$I$2:$I$20000)&gt;0)*1),"")))</f>
        <v/>
      </c>
      <c r="T678" t="str">
        <f>IF(S678="","",IF(S678="[FÓRMULA MANUAL]","",IFERROR(AVERAGEIFS(DATOS!$K$2:$K$20000,DATOS!$A$2:$A$20000,S678,DATOS!$G$2:$G$20000,CONFIG_METADATA!$B$4,DATOS!$I$2:$I$20000,"Armonía"),"")))</f>
        <v/>
      </c>
      <c r="U678" t="str">
        <f>IF(S678="","",IF(S678="[FÓRMULA MANUAL]","",IFERROR(AVERAGEIFS(DATOS!$K$2:$K$20000,DATOS!$A$2:$A$20000,S678,DATOS!$G$2:$G$20000,CONFIG_METADATA!$B$4,DATOS!$I$2:$I$20000,"Orquesta/Banda/Conjunto"),"")))</f>
        <v/>
      </c>
      <c r="V678" t="str">
        <f>IF(S678="","",IF(S678="[FÓRMULA MANUAL]","",IFERROR(AVERAGEIFS(DATOS!$K$2:$K$20000,DATOS!$A$2:$A$20000,S678,DATOS!$G$2:$G$20000,CONFIG_METADATA!$B$4,DATOS!$I$2:$I$20000,"Música de Cámara"),"")))</f>
        <v/>
      </c>
      <c r="W678" t="str">
        <f>IF(S678="","",IF(S678="[FÓRMULA MANUAL]","",IFERROR(SUMPRODUCT((DATOS!$A$2:$A$20000=S678)*(DATOS!$G$2:$G$20000=CONFIG_METADATA!$B$4)*(COUNTIF(CONFIG_ASIGNATURAS!$B$7:$B$27,DATOS!$I$2:$I$20000)&gt;0)*(DATOS!$K$2:$K$20000))/SUMPRODUCT((DATOS!$A$2:$A$20000=S678)*(DATOS!$G$2:$G$20000=CONFIG_METADATA!$B$4)*(COUNTIF(CONFIG_ASIGNATURAS!$B$7:$B$27,DATOS!$I$2:$I$20000)&gt;0)*1),"")))</f>
        <v/>
      </c>
      <c r="Z678" t="str">
        <f>IF(Y678="","",IF(Y678="[FÓRMULA MANUAL]","",IFERROR(AVERAGEIFS(DATOS!$K$2:$K$20000,DATOS!$A$2:$A$20000,Y678,DATOS!$G$2:$G$20000,CONFIG_METADATA!$B$4,DATOS!$I$2:$I$20000,"Análisis"),"")))</f>
        <v/>
      </c>
      <c r="AA678" t="str">
        <f>IF(Y678="","",IF(Y678="[FÓRMULA MANUAL]","",IFERROR(AVERAGEIFS(DATOS!$K$2:$K$20000,DATOS!$A$2:$A$20000,Y678,DATOS!$G$2:$G$20000,CONFIG_METADATA!$B$4,DATOS!$I$2:$I$20000,"Orquesta/Banda/Conjunto"),"")))</f>
        <v/>
      </c>
      <c r="AB678" t="str">
        <f>IF(Y678="","",IF(Y678="[FÓRMULA MANUAL]","",IFERROR(AVERAGEIFS(DATOS!$K$2:$K$20000,DATOS!$A$2:$A$20000,Y678,DATOS!$G$2:$G$20000,CONFIG_METADATA!$B$4,DATOS!$I$2:$I$20000,"Música de Cámara"),"")))</f>
        <v/>
      </c>
      <c r="AC678" t="str">
        <f>IF(Y678="","",IF(Y678="[FÓRMULA MANUAL]","",IFERROR(SUMPRODUCT((DATOS!$A$2:$A$20000=Y678)*(DATOS!$G$2:$G$20000=CONFIG_METADATA!$B$4)*(COUNTIF(CONFIG_ASIGNATURAS!$B$7:$B$27,DATOS!$I$2:$I$20000)&gt;0)*(DATOS!$K$2:$K$20000))/SUMPRODUCT((DATOS!$A$2:$A$20000=Y678)*(DATOS!$G$2:$G$20000=CONFIG_METADATA!$B$4)*(COUNTIF(CONFIG_ASIGNATURAS!$B$7:$B$27,DATOS!$I$2:$I$20000)&gt;0)*1),"")))</f>
        <v/>
      </c>
      <c r="AF678" t="str">
        <f>IF(AE678="","",IF(AE678="[FÓRMULA MANUAL]","",IFERROR(AVERAGEIFS(DATOS!$K$2:$K$20000,DATOS!$A$2:$A$20000,AE678,DATOS!$G$2:$G$20000,CONFIG_METADATA!$B$4,DATOS!$I$2:$I$20000,"Análisis"),"")))</f>
        <v/>
      </c>
      <c r="AG678" t="str">
        <f>IF(AE678="","",IF(AE678="[FÓRMULA MANUAL]","",IFERROR(AVERAGEIFS(DATOS!$K$2:$K$20000,DATOS!$A$2:$A$20000,AE678,DATOS!$G$2:$G$20000,CONFIG_METADATA!$B$4,DATOS!$I$2:$I$20000,"Orquesta/Banda/Conjunto"),"")))</f>
        <v/>
      </c>
      <c r="AH678" t="str">
        <f>IF(AE678="","",IF(AE678="[FÓRMULA MANUAL]","",IFERROR(AVERAGEIFS(DATOS!$K$2:$K$20000,DATOS!$A$2:$A$20000,AE678,DATOS!$G$2:$G$20000,CONFIG_METADATA!$B$4,DATOS!$I$2:$I$20000,"Música de Cámara"),"")))</f>
        <v/>
      </c>
      <c r="AI678" t="str">
        <f>IF(AE678="","",IF(AE678="[FÓRMULA MANUAL]","",IFERROR(SUMPRODUCT((DATOS!$A$2:$A$20000=AE678)*(DATOS!$G$2:$G$20000=CONFIG_METADATA!$B$4)*(COUNTIF(CONFIG_ASIGNATURAS!$B$7:$B$27,DATOS!$I$2:$I$20000)&gt;0)*(DATOS!$K$2:$K$20000))/SUMPRODUCT((DATOS!$A$2:$A$20000=AE678)*(DATOS!$G$2:$G$20000=CONFIG_METADATA!$B$4)*(COUNTIF(CONFIG_ASIGNATURAS!$B$7:$B$27,DATOS!$I$2:$I$20000)&gt;0)*1),"")))</f>
        <v/>
      </c>
    </row>
    <row r="679" spans="2:35" x14ac:dyDescent="0.2">
      <c r="B679" t="str">
        <f>IF(A679="","",IF(A679="[FÓRMULA MANUAL]","",IFERROR(AVERAGEIFS(DATOS!$K$2:$K$20000,DATOS!$A$2:$A$20000,A679,DATOS!$G$2:$G$20000,CONFIG_METADATA!$B$4,DATOS!$I$2:$I$20000,"Lenguaje Musical"),"")))</f>
        <v/>
      </c>
      <c r="C679" t="str">
        <f>IF(A679="","",IF(A679="[FÓRMULA MANUAL]","",IFERROR(AVERAGEIFS(DATOS!$K$2:$K$20000,DATOS!$A$2:$A$20000,A679,DATOS!$G$2:$G$20000,CONFIG_METADATA!$B$4,DATOS!$I$2:$I$20000,"Orquesta/Banda/Conjunto"),"")))</f>
        <v/>
      </c>
      <c r="D679" t="str">
        <f>IF(A679="","",IF(A679="[FÓRMULA MANUAL]","",IFERROR(AVERAGEIFS(DATOS!$K$2:$K$20000,DATOS!$A$2:$A$20000,A679,DATOS!$G$2:$G$20000,CONFIG_METADATA!$B$4,DATOS!$I$2:$I$20000,"Conjunto"),"")))</f>
        <v/>
      </c>
      <c r="E679" t="str">
        <f>IF(A679="","",IF(A679="[FÓRMULA MANUAL]","",IFERROR(SUMPRODUCT((DATOS!$A$2:$A$20000=A679)*(DATOS!$G$2:$G$20000=CONFIG_METADATA!$B$4)*(COUNTIF(CONFIG_ASIGNATURAS!$B$7:$B$27,DATOS!$I$2:$I$20000)&gt;0)*(DATOS!$K$2:$K$20000))/SUMPRODUCT((DATOS!$A$2:$A$20000=A679)*(DATOS!$G$2:$G$20000=CONFIG_METADATA!$B$4)*(COUNTIF(CONFIG_ASIGNATURAS!$B$7:$B$27,DATOS!$I$2:$I$20000)&gt;0)*1),"")))</f>
        <v/>
      </c>
      <c r="H679" t="str">
        <f>IF(G679="","",IF(G679="[FÓRMULA MANUAL]","",IFERROR(AVERAGEIFS(DATOS!$K$2:$K$20000,DATOS!$A$2:$A$20000,G679,DATOS!$G$2:$G$20000,CONFIG_METADATA!$B$4,DATOS!$I$2:$I$20000,"Lenguaje Musical"),"")))</f>
        <v/>
      </c>
      <c r="I679" t="str">
        <f>IF(G679="","",IF(G679="[FÓRMULA MANUAL]","",IFERROR(AVERAGEIFS(DATOS!$K$2:$K$20000,DATOS!$A$2:$A$20000,G679,DATOS!$G$2:$G$20000,CONFIG_METADATA!$B$4,DATOS!$I$2:$I$20000,"Orquesta/Banda/Conjunto"),"")))</f>
        <v/>
      </c>
      <c r="J679" t="str">
        <f>IF(G679="","",IF(G679="[FÓRMULA MANUAL]","",IFERROR(AVERAGEIFS(DATOS!$K$2:$K$20000,DATOS!$A$2:$A$20000,G679,DATOS!$G$2:$G$20000,CONFIG_METADATA!$B$4,DATOS!$I$2:$I$20000,"Conjunto"),"")))</f>
        <v/>
      </c>
      <c r="K679" t="str">
        <f>IF(G679="","",IF(G679="[FÓRMULA MANUAL]","",IFERROR(SUMPRODUCT((DATOS!$A$2:$A$20000=G679)*(DATOS!$G$2:$G$20000=CONFIG_METADATA!$B$4)*(COUNTIF(CONFIG_ASIGNATURAS!$B$7:$B$27,DATOS!$I$2:$I$20000)&gt;0)*(DATOS!$K$2:$K$20000))/SUMPRODUCT((DATOS!$A$2:$A$20000=G679)*(DATOS!$G$2:$G$20000=CONFIG_METADATA!$B$4)*(COUNTIF(CONFIG_ASIGNATURAS!$B$7:$B$27,DATOS!$I$2:$I$20000)&gt;0)*1),"")))</f>
        <v/>
      </c>
      <c r="N679" t="str">
        <f>IF(M679="","",IF(M679="[FÓRMULA MANUAL]","",IFERROR(AVERAGEIFS(DATOS!$K$2:$K$20000,DATOS!$A$2:$A$20000,M679,DATOS!$G$2:$G$20000,CONFIG_METADATA!$B$4,DATOS!$I$2:$I$20000,"Armonía"),"")))</f>
        <v/>
      </c>
      <c r="O679" t="str">
        <f>IF(M679="","",IF(M679="[FÓRMULA MANUAL]","",IFERROR(AVERAGEIFS(DATOS!$K$2:$K$20000,DATOS!$A$2:$A$20000,M679,DATOS!$G$2:$G$20000,CONFIG_METADATA!$B$4,DATOS!$I$2:$I$20000,"Orquesta/Banda/Conjunto"),"")))</f>
        <v/>
      </c>
      <c r="P679" t="str">
        <f>IF(M679="","",IF(M679="[FÓRMULA MANUAL]","",IFERROR(AVERAGEIFS(DATOS!$K$2:$K$20000,DATOS!$A$2:$A$20000,M679,DATOS!$G$2:$G$20000,CONFIG_METADATA!$B$4,DATOS!$I$2:$I$20000,"Música de Cámara"),"")))</f>
        <v/>
      </c>
      <c r="Q679" t="str">
        <f>IF(M679="","",IF(M679="[FÓRMULA MANUAL]","",IFERROR(SUMPRODUCT((DATOS!$A$2:$A$20000=M679)*(DATOS!$G$2:$G$20000=CONFIG_METADATA!$B$4)*(COUNTIF(CONFIG_ASIGNATURAS!$B$7:$B$27,DATOS!$I$2:$I$20000)&gt;0)*(DATOS!$K$2:$K$20000))/SUMPRODUCT((DATOS!$A$2:$A$20000=M679)*(DATOS!$G$2:$G$20000=CONFIG_METADATA!$B$4)*(COUNTIF(CONFIG_ASIGNATURAS!$B$7:$B$27,DATOS!$I$2:$I$20000)&gt;0)*1),"")))</f>
        <v/>
      </c>
      <c r="T679" t="str">
        <f>IF(S679="","",IF(S679="[FÓRMULA MANUAL]","",IFERROR(AVERAGEIFS(DATOS!$K$2:$K$20000,DATOS!$A$2:$A$20000,S679,DATOS!$G$2:$G$20000,CONFIG_METADATA!$B$4,DATOS!$I$2:$I$20000,"Armonía"),"")))</f>
        <v/>
      </c>
      <c r="U679" t="str">
        <f>IF(S679="","",IF(S679="[FÓRMULA MANUAL]","",IFERROR(AVERAGEIFS(DATOS!$K$2:$K$20000,DATOS!$A$2:$A$20000,S679,DATOS!$G$2:$G$20000,CONFIG_METADATA!$B$4,DATOS!$I$2:$I$20000,"Orquesta/Banda/Conjunto"),"")))</f>
        <v/>
      </c>
      <c r="V679" t="str">
        <f>IF(S679="","",IF(S679="[FÓRMULA MANUAL]","",IFERROR(AVERAGEIFS(DATOS!$K$2:$K$20000,DATOS!$A$2:$A$20000,S679,DATOS!$G$2:$G$20000,CONFIG_METADATA!$B$4,DATOS!$I$2:$I$20000,"Música de Cámara"),"")))</f>
        <v/>
      </c>
      <c r="W679" t="str">
        <f>IF(S679="","",IF(S679="[FÓRMULA MANUAL]","",IFERROR(SUMPRODUCT((DATOS!$A$2:$A$20000=S679)*(DATOS!$G$2:$G$20000=CONFIG_METADATA!$B$4)*(COUNTIF(CONFIG_ASIGNATURAS!$B$7:$B$27,DATOS!$I$2:$I$20000)&gt;0)*(DATOS!$K$2:$K$20000))/SUMPRODUCT((DATOS!$A$2:$A$20000=S679)*(DATOS!$G$2:$G$20000=CONFIG_METADATA!$B$4)*(COUNTIF(CONFIG_ASIGNATURAS!$B$7:$B$27,DATOS!$I$2:$I$20000)&gt;0)*1),"")))</f>
        <v/>
      </c>
      <c r="Z679" t="str">
        <f>IF(Y679="","",IF(Y679="[FÓRMULA MANUAL]","",IFERROR(AVERAGEIFS(DATOS!$K$2:$K$20000,DATOS!$A$2:$A$20000,Y679,DATOS!$G$2:$G$20000,CONFIG_METADATA!$B$4,DATOS!$I$2:$I$20000,"Análisis"),"")))</f>
        <v/>
      </c>
      <c r="AA679" t="str">
        <f>IF(Y679="","",IF(Y679="[FÓRMULA MANUAL]","",IFERROR(AVERAGEIFS(DATOS!$K$2:$K$20000,DATOS!$A$2:$A$20000,Y679,DATOS!$G$2:$G$20000,CONFIG_METADATA!$B$4,DATOS!$I$2:$I$20000,"Orquesta/Banda/Conjunto"),"")))</f>
        <v/>
      </c>
      <c r="AB679" t="str">
        <f>IF(Y679="","",IF(Y679="[FÓRMULA MANUAL]","",IFERROR(AVERAGEIFS(DATOS!$K$2:$K$20000,DATOS!$A$2:$A$20000,Y679,DATOS!$G$2:$G$20000,CONFIG_METADATA!$B$4,DATOS!$I$2:$I$20000,"Música de Cámara"),"")))</f>
        <v/>
      </c>
      <c r="AC679" t="str">
        <f>IF(Y679="","",IF(Y679="[FÓRMULA MANUAL]","",IFERROR(SUMPRODUCT((DATOS!$A$2:$A$20000=Y679)*(DATOS!$G$2:$G$20000=CONFIG_METADATA!$B$4)*(COUNTIF(CONFIG_ASIGNATURAS!$B$7:$B$27,DATOS!$I$2:$I$20000)&gt;0)*(DATOS!$K$2:$K$20000))/SUMPRODUCT((DATOS!$A$2:$A$20000=Y679)*(DATOS!$G$2:$G$20000=CONFIG_METADATA!$B$4)*(COUNTIF(CONFIG_ASIGNATURAS!$B$7:$B$27,DATOS!$I$2:$I$20000)&gt;0)*1),"")))</f>
        <v/>
      </c>
      <c r="AF679" t="str">
        <f>IF(AE679="","",IF(AE679="[FÓRMULA MANUAL]","",IFERROR(AVERAGEIFS(DATOS!$K$2:$K$20000,DATOS!$A$2:$A$20000,AE679,DATOS!$G$2:$G$20000,CONFIG_METADATA!$B$4,DATOS!$I$2:$I$20000,"Análisis"),"")))</f>
        <v/>
      </c>
      <c r="AG679" t="str">
        <f>IF(AE679="","",IF(AE679="[FÓRMULA MANUAL]","",IFERROR(AVERAGEIFS(DATOS!$K$2:$K$20000,DATOS!$A$2:$A$20000,AE679,DATOS!$G$2:$G$20000,CONFIG_METADATA!$B$4,DATOS!$I$2:$I$20000,"Orquesta/Banda/Conjunto"),"")))</f>
        <v/>
      </c>
      <c r="AH679" t="str">
        <f>IF(AE679="","",IF(AE679="[FÓRMULA MANUAL]","",IFERROR(AVERAGEIFS(DATOS!$K$2:$K$20000,DATOS!$A$2:$A$20000,AE679,DATOS!$G$2:$G$20000,CONFIG_METADATA!$B$4,DATOS!$I$2:$I$20000,"Música de Cámara"),"")))</f>
        <v/>
      </c>
      <c r="AI679" t="str">
        <f>IF(AE679="","",IF(AE679="[FÓRMULA MANUAL]","",IFERROR(SUMPRODUCT((DATOS!$A$2:$A$20000=AE679)*(DATOS!$G$2:$G$20000=CONFIG_METADATA!$B$4)*(COUNTIF(CONFIG_ASIGNATURAS!$B$7:$B$27,DATOS!$I$2:$I$20000)&gt;0)*(DATOS!$K$2:$K$20000))/SUMPRODUCT((DATOS!$A$2:$A$20000=AE679)*(DATOS!$G$2:$G$20000=CONFIG_METADATA!$B$4)*(COUNTIF(CONFIG_ASIGNATURAS!$B$7:$B$27,DATOS!$I$2:$I$20000)&gt;0)*1),"")))</f>
        <v/>
      </c>
    </row>
    <row r="680" spans="2:35" x14ac:dyDescent="0.2">
      <c r="B680" t="str">
        <f>IF(A680="","",IF(A680="[FÓRMULA MANUAL]","",IFERROR(AVERAGEIFS(DATOS!$K$2:$K$20000,DATOS!$A$2:$A$20000,A680,DATOS!$G$2:$G$20000,CONFIG_METADATA!$B$4,DATOS!$I$2:$I$20000,"Lenguaje Musical"),"")))</f>
        <v/>
      </c>
      <c r="C680" t="str">
        <f>IF(A680="","",IF(A680="[FÓRMULA MANUAL]","",IFERROR(AVERAGEIFS(DATOS!$K$2:$K$20000,DATOS!$A$2:$A$20000,A680,DATOS!$G$2:$G$20000,CONFIG_METADATA!$B$4,DATOS!$I$2:$I$20000,"Orquesta/Banda/Conjunto"),"")))</f>
        <v/>
      </c>
      <c r="D680" t="str">
        <f>IF(A680="","",IF(A680="[FÓRMULA MANUAL]","",IFERROR(AVERAGEIFS(DATOS!$K$2:$K$20000,DATOS!$A$2:$A$20000,A680,DATOS!$G$2:$G$20000,CONFIG_METADATA!$B$4,DATOS!$I$2:$I$20000,"Conjunto"),"")))</f>
        <v/>
      </c>
      <c r="E680" t="str">
        <f>IF(A680="","",IF(A680="[FÓRMULA MANUAL]","",IFERROR(SUMPRODUCT((DATOS!$A$2:$A$20000=A680)*(DATOS!$G$2:$G$20000=CONFIG_METADATA!$B$4)*(COUNTIF(CONFIG_ASIGNATURAS!$B$7:$B$27,DATOS!$I$2:$I$20000)&gt;0)*(DATOS!$K$2:$K$20000))/SUMPRODUCT((DATOS!$A$2:$A$20000=A680)*(DATOS!$G$2:$G$20000=CONFIG_METADATA!$B$4)*(COUNTIF(CONFIG_ASIGNATURAS!$B$7:$B$27,DATOS!$I$2:$I$20000)&gt;0)*1),"")))</f>
        <v/>
      </c>
      <c r="H680" t="str">
        <f>IF(G680="","",IF(G680="[FÓRMULA MANUAL]","",IFERROR(AVERAGEIFS(DATOS!$K$2:$K$20000,DATOS!$A$2:$A$20000,G680,DATOS!$G$2:$G$20000,CONFIG_METADATA!$B$4,DATOS!$I$2:$I$20000,"Lenguaje Musical"),"")))</f>
        <v/>
      </c>
      <c r="I680" t="str">
        <f>IF(G680="","",IF(G680="[FÓRMULA MANUAL]","",IFERROR(AVERAGEIFS(DATOS!$K$2:$K$20000,DATOS!$A$2:$A$20000,G680,DATOS!$G$2:$G$20000,CONFIG_METADATA!$B$4,DATOS!$I$2:$I$20000,"Orquesta/Banda/Conjunto"),"")))</f>
        <v/>
      </c>
      <c r="J680" t="str">
        <f>IF(G680="","",IF(G680="[FÓRMULA MANUAL]","",IFERROR(AVERAGEIFS(DATOS!$K$2:$K$20000,DATOS!$A$2:$A$20000,G680,DATOS!$G$2:$G$20000,CONFIG_METADATA!$B$4,DATOS!$I$2:$I$20000,"Conjunto"),"")))</f>
        <v/>
      </c>
      <c r="K680" t="str">
        <f>IF(G680="","",IF(G680="[FÓRMULA MANUAL]","",IFERROR(SUMPRODUCT((DATOS!$A$2:$A$20000=G680)*(DATOS!$G$2:$G$20000=CONFIG_METADATA!$B$4)*(COUNTIF(CONFIG_ASIGNATURAS!$B$7:$B$27,DATOS!$I$2:$I$20000)&gt;0)*(DATOS!$K$2:$K$20000))/SUMPRODUCT((DATOS!$A$2:$A$20000=G680)*(DATOS!$G$2:$G$20000=CONFIG_METADATA!$B$4)*(COUNTIF(CONFIG_ASIGNATURAS!$B$7:$B$27,DATOS!$I$2:$I$20000)&gt;0)*1),"")))</f>
        <v/>
      </c>
      <c r="N680" t="str">
        <f>IF(M680="","",IF(M680="[FÓRMULA MANUAL]","",IFERROR(AVERAGEIFS(DATOS!$K$2:$K$20000,DATOS!$A$2:$A$20000,M680,DATOS!$G$2:$G$20000,CONFIG_METADATA!$B$4,DATOS!$I$2:$I$20000,"Armonía"),"")))</f>
        <v/>
      </c>
      <c r="O680" t="str">
        <f>IF(M680="","",IF(M680="[FÓRMULA MANUAL]","",IFERROR(AVERAGEIFS(DATOS!$K$2:$K$20000,DATOS!$A$2:$A$20000,M680,DATOS!$G$2:$G$20000,CONFIG_METADATA!$B$4,DATOS!$I$2:$I$20000,"Orquesta/Banda/Conjunto"),"")))</f>
        <v/>
      </c>
      <c r="P680" t="str">
        <f>IF(M680="","",IF(M680="[FÓRMULA MANUAL]","",IFERROR(AVERAGEIFS(DATOS!$K$2:$K$20000,DATOS!$A$2:$A$20000,M680,DATOS!$G$2:$G$20000,CONFIG_METADATA!$B$4,DATOS!$I$2:$I$20000,"Música de Cámara"),"")))</f>
        <v/>
      </c>
      <c r="Q680" t="str">
        <f>IF(M680="","",IF(M680="[FÓRMULA MANUAL]","",IFERROR(SUMPRODUCT((DATOS!$A$2:$A$20000=M680)*(DATOS!$G$2:$G$20000=CONFIG_METADATA!$B$4)*(COUNTIF(CONFIG_ASIGNATURAS!$B$7:$B$27,DATOS!$I$2:$I$20000)&gt;0)*(DATOS!$K$2:$K$20000))/SUMPRODUCT((DATOS!$A$2:$A$20000=M680)*(DATOS!$G$2:$G$20000=CONFIG_METADATA!$B$4)*(COUNTIF(CONFIG_ASIGNATURAS!$B$7:$B$27,DATOS!$I$2:$I$20000)&gt;0)*1),"")))</f>
        <v/>
      </c>
      <c r="T680" t="str">
        <f>IF(S680="","",IF(S680="[FÓRMULA MANUAL]","",IFERROR(AVERAGEIFS(DATOS!$K$2:$K$20000,DATOS!$A$2:$A$20000,S680,DATOS!$G$2:$G$20000,CONFIG_METADATA!$B$4,DATOS!$I$2:$I$20000,"Armonía"),"")))</f>
        <v/>
      </c>
      <c r="U680" t="str">
        <f>IF(S680="","",IF(S680="[FÓRMULA MANUAL]","",IFERROR(AVERAGEIFS(DATOS!$K$2:$K$20000,DATOS!$A$2:$A$20000,S680,DATOS!$G$2:$G$20000,CONFIG_METADATA!$B$4,DATOS!$I$2:$I$20000,"Orquesta/Banda/Conjunto"),"")))</f>
        <v/>
      </c>
      <c r="V680" t="str">
        <f>IF(S680="","",IF(S680="[FÓRMULA MANUAL]","",IFERROR(AVERAGEIFS(DATOS!$K$2:$K$20000,DATOS!$A$2:$A$20000,S680,DATOS!$G$2:$G$20000,CONFIG_METADATA!$B$4,DATOS!$I$2:$I$20000,"Música de Cámara"),"")))</f>
        <v/>
      </c>
      <c r="W680" t="str">
        <f>IF(S680="","",IF(S680="[FÓRMULA MANUAL]","",IFERROR(SUMPRODUCT((DATOS!$A$2:$A$20000=S680)*(DATOS!$G$2:$G$20000=CONFIG_METADATA!$B$4)*(COUNTIF(CONFIG_ASIGNATURAS!$B$7:$B$27,DATOS!$I$2:$I$20000)&gt;0)*(DATOS!$K$2:$K$20000))/SUMPRODUCT((DATOS!$A$2:$A$20000=S680)*(DATOS!$G$2:$G$20000=CONFIG_METADATA!$B$4)*(COUNTIF(CONFIG_ASIGNATURAS!$B$7:$B$27,DATOS!$I$2:$I$20000)&gt;0)*1),"")))</f>
        <v/>
      </c>
      <c r="Z680" t="str">
        <f>IF(Y680="","",IF(Y680="[FÓRMULA MANUAL]","",IFERROR(AVERAGEIFS(DATOS!$K$2:$K$20000,DATOS!$A$2:$A$20000,Y680,DATOS!$G$2:$G$20000,CONFIG_METADATA!$B$4,DATOS!$I$2:$I$20000,"Análisis"),"")))</f>
        <v/>
      </c>
      <c r="AA680" t="str">
        <f>IF(Y680="","",IF(Y680="[FÓRMULA MANUAL]","",IFERROR(AVERAGEIFS(DATOS!$K$2:$K$20000,DATOS!$A$2:$A$20000,Y680,DATOS!$G$2:$G$20000,CONFIG_METADATA!$B$4,DATOS!$I$2:$I$20000,"Orquesta/Banda/Conjunto"),"")))</f>
        <v/>
      </c>
      <c r="AB680" t="str">
        <f>IF(Y680="","",IF(Y680="[FÓRMULA MANUAL]","",IFERROR(AVERAGEIFS(DATOS!$K$2:$K$20000,DATOS!$A$2:$A$20000,Y680,DATOS!$G$2:$G$20000,CONFIG_METADATA!$B$4,DATOS!$I$2:$I$20000,"Música de Cámara"),"")))</f>
        <v/>
      </c>
      <c r="AC680" t="str">
        <f>IF(Y680="","",IF(Y680="[FÓRMULA MANUAL]","",IFERROR(SUMPRODUCT((DATOS!$A$2:$A$20000=Y680)*(DATOS!$G$2:$G$20000=CONFIG_METADATA!$B$4)*(COUNTIF(CONFIG_ASIGNATURAS!$B$7:$B$27,DATOS!$I$2:$I$20000)&gt;0)*(DATOS!$K$2:$K$20000))/SUMPRODUCT((DATOS!$A$2:$A$20000=Y680)*(DATOS!$G$2:$G$20000=CONFIG_METADATA!$B$4)*(COUNTIF(CONFIG_ASIGNATURAS!$B$7:$B$27,DATOS!$I$2:$I$20000)&gt;0)*1),"")))</f>
        <v/>
      </c>
      <c r="AF680" t="str">
        <f>IF(AE680="","",IF(AE680="[FÓRMULA MANUAL]","",IFERROR(AVERAGEIFS(DATOS!$K$2:$K$20000,DATOS!$A$2:$A$20000,AE680,DATOS!$G$2:$G$20000,CONFIG_METADATA!$B$4,DATOS!$I$2:$I$20000,"Análisis"),"")))</f>
        <v/>
      </c>
      <c r="AG680" t="str">
        <f>IF(AE680="","",IF(AE680="[FÓRMULA MANUAL]","",IFERROR(AVERAGEIFS(DATOS!$K$2:$K$20000,DATOS!$A$2:$A$20000,AE680,DATOS!$G$2:$G$20000,CONFIG_METADATA!$B$4,DATOS!$I$2:$I$20000,"Orquesta/Banda/Conjunto"),"")))</f>
        <v/>
      </c>
      <c r="AH680" t="str">
        <f>IF(AE680="","",IF(AE680="[FÓRMULA MANUAL]","",IFERROR(AVERAGEIFS(DATOS!$K$2:$K$20000,DATOS!$A$2:$A$20000,AE680,DATOS!$G$2:$G$20000,CONFIG_METADATA!$B$4,DATOS!$I$2:$I$20000,"Música de Cámara"),"")))</f>
        <v/>
      </c>
      <c r="AI680" t="str">
        <f>IF(AE680="","",IF(AE680="[FÓRMULA MANUAL]","",IFERROR(SUMPRODUCT((DATOS!$A$2:$A$20000=AE680)*(DATOS!$G$2:$G$20000=CONFIG_METADATA!$B$4)*(COUNTIF(CONFIG_ASIGNATURAS!$B$7:$B$27,DATOS!$I$2:$I$20000)&gt;0)*(DATOS!$K$2:$K$20000))/SUMPRODUCT((DATOS!$A$2:$A$20000=AE680)*(DATOS!$G$2:$G$20000=CONFIG_METADATA!$B$4)*(COUNTIF(CONFIG_ASIGNATURAS!$B$7:$B$27,DATOS!$I$2:$I$20000)&gt;0)*1),"")))</f>
        <v/>
      </c>
    </row>
    <row r="681" spans="2:35" x14ac:dyDescent="0.2">
      <c r="B681" t="str">
        <f>IF(A681="","",IF(A681="[FÓRMULA MANUAL]","",IFERROR(AVERAGEIFS(DATOS!$K$2:$K$20000,DATOS!$A$2:$A$20000,A681,DATOS!$G$2:$G$20000,CONFIG_METADATA!$B$4,DATOS!$I$2:$I$20000,"Lenguaje Musical"),"")))</f>
        <v/>
      </c>
      <c r="C681" t="str">
        <f>IF(A681="","",IF(A681="[FÓRMULA MANUAL]","",IFERROR(AVERAGEIFS(DATOS!$K$2:$K$20000,DATOS!$A$2:$A$20000,A681,DATOS!$G$2:$G$20000,CONFIG_METADATA!$B$4,DATOS!$I$2:$I$20000,"Orquesta/Banda/Conjunto"),"")))</f>
        <v/>
      </c>
      <c r="D681" t="str">
        <f>IF(A681="","",IF(A681="[FÓRMULA MANUAL]","",IFERROR(AVERAGEIFS(DATOS!$K$2:$K$20000,DATOS!$A$2:$A$20000,A681,DATOS!$G$2:$G$20000,CONFIG_METADATA!$B$4,DATOS!$I$2:$I$20000,"Conjunto"),"")))</f>
        <v/>
      </c>
      <c r="E681" t="str">
        <f>IF(A681="","",IF(A681="[FÓRMULA MANUAL]","",IFERROR(SUMPRODUCT((DATOS!$A$2:$A$20000=A681)*(DATOS!$G$2:$G$20000=CONFIG_METADATA!$B$4)*(COUNTIF(CONFIG_ASIGNATURAS!$B$7:$B$27,DATOS!$I$2:$I$20000)&gt;0)*(DATOS!$K$2:$K$20000))/SUMPRODUCT((DATOS!$A$2:$A$20000=A681)*(DATOS!$G$2:$G$20000=CONFIG_METADATA!$B$4)*(COUNTIF(CONFIG_ASIGNATURAS!$B$7:$B$27,DATOS!$I$2:$I$20000)&gt;0)*1),"")))</f>
        <v/>
      </c>
      <c r="H681" t="str">
        <f>IF(G681="","",IF(G681="[FÓRMULA MANUAL]","",IFERROR(AVERAGEIFS(DATOS!$K$2:$K$20000,DATOS!$A$2:$A$20000,G681,DATOS!$G$2:$G$20000,CONFIG_METADATA!$B$4,DATOS!$I$2:$I$20000,"Lenguaje Musical"),"")))</f>
        <v/>
      </c>
      <c r="I681" t="str">
        <f>IF(G681="","",IF(G681="[FÓRMULA MANUAL]","",IFERROR(AVERAGEIFS(DATOS!$K$2:$K$20000,DATOS!$A$2:$A$20000,G681,DATOS!$G$2:$G$20000,CONFIG_METADATA!$B$4,DATOS!$I$2:$I$20000,"Orquesta/Banda/Conjunto"),"")))</f>
        <v/>
      </c>
      <c r="J681" t="str">
        <f>IF(G681="","",IF(G681="[FÓRMULA MANUAL]","",IFERROR(AVERAGEIFS(DATOS!$K$2:$K$20000,DATOS!$A$2:$A$20000,G681,DATOS!$G$2:$G$20000,CONFIG_METADATA!$B$4,DATOS!$I$2:$I$20000,"Conjunto"),"")))</f>
        <v/>
      </c>
      <c r="K681" t="str">
        <f>IF(G681="","",IF(G681="[FÓRMULA MANUAL]","",IFERROR(SUMPRODUCT((DATOS!$A$2:$A$20000=G681)*(DATOS!$G$2:$G$20000=CONFIG_METADATA!$B$4)*(COUNTIF(CONFIG_ASIGNATURAS!$B$7:$B$27,DATOS!$I$2:$I$20000)&gt;0)*(DATOS!$K$2:$K$20000))/SUMPRODUCT((DATOS!$A$2:$A$20000=G681)*(DATOS!$G$2:$G$20000=CONFIG_METADATA!$B$4)*(COUNTIF(CONFIG_ASIGNATURAS!$B$7:$B$27,DATOS!$I$2:$I$20000)&gt;0)*1),"")))</f>
        <v/>
      </c>
      <c r="N681" t="str">
        <f>IF(M681="","",IF(M681="[FÓRMULA MANUAL]","",IFERROR(AVERAGEIFS(DATOS!$K$2:$K$20000,DATOS!$A$2:$A$20000,M681,DATOS!$G$2:$G$20000,CONFIG_METADATA!$B$4,DATOS!$I$2:$I$20000,"Armonía"),"")))</f>
        <v/>
      </c>
      <c r="O681" t="str">
        <f>IF(M681="","",IF(M681="[FÓRMULA MANUAL]","",IFERROR(AVERAGEIFS(DATOS!$K$2:$K$20000,DATOS!$A$2:$A$20000,M681,DATOS!$G$2:$G$20000,CONFIG_METADATA!$B$4,DATOS!$I$2:$I$20000,"Orquesta/Banda/Conjunto"),"")))</f>
        <v/>
      </c>
      <c r="P681" t="str">
        <f>IF(M681="","",IF(M681="[FÓRMULA MANUAL]","",IFERROR(AVERAGEIFS(DATOS!$K$2:$K$20000,DATOS!$A$2:$A$20000,M681,DATOS!$G$2:$G$20000,CONFIG_METADATA!$B$4,DATOS!$I$2:$I$20000,"Música de Cámara"),"")))</f>
        <v/>
      </c>
      <c r="Q681" t="str">
        <f>IF(M681="","",IF(M681="[FÓRMULA MANUAL]","",IFERROR(SUMPRODUCT((DATOS!$A$2:$A$20000=M681)*(DATOS!$G$2:$G$20000=CONFIG_METADATA!$B$4)*(COUNTIF(CONFIG_ASIGNATURAS!$B$7:$B$27,DATOS!$I$2:$I$20000)&gt;0)*(DATOS!$K$2:$K$20000))/SUMPRODUCT((DATOS!$A$2:$A$20000=M681)*(DATOS!$G$2:$G$20000=CONFIG_METADATA!$B$4)*(COUNTIF(CONFIG_ASIGNATURAS!$B$7:$B$27,DATOS!$I$2:$I$20000)&gt;0)*1),"")))</f>
        <v/>
      </c>
      <c r="T681" t="str">
        <f>IF(S681="","",IF(S681="[FÓRMULA MANUAL]","",IFERROR(AVERAGEIFS(DATOS!$K$2:$K$20000,DATOS!$A$2:$A$20000,S681,DATOS!$G$2:$G$20000,CONFIG_METADATA!$B$4,DATOS!$I$2:$I$20000,"Armonía"),"")))</f>
        <v/>
      </c>
      <c r="U681" t="str">
        <f>IF(S681="","",IF(S681="[FÓRMULA MANUAL]","",IFERROR(AVERAGEIFS(DATOS!$K$2:$K$20000,DATOS!$A$2:$A$20000,S681,DATOS!$G$2:$G$20000,CONFIG_METADATA!$B$4,DATOS!$I$2:$I$20000,"Orquesta/Banda/Conjunto"),"")))</f>
        <v/>
      </c>
      <c r="V681" t="str">
        <f>IF(S681="","",IF(S681="[FÓRMULA MANUAL]","",IFERROR(AVERAGEIFS(DATOS!$K$2:$K$20000,DATOS!$A$2:$A$20000,S681,DATOS!$G$2:$G$20000,CONFIG_METADATA!$B$4,DATOS!$I$2:$I$20000,"Música de Cámara"),"")))</f>
        <v/>
      </c>
      <c r="W681" t="str">
        <f>IF(S681="","",IF(S681="[FÓRMULA MANUAL]","",IFERROR(SUMPRODUCT((DATOS!$A$2:$A$20000=S681)*(DATOS!$G$2:$G$20000=CONFIG_METADATA!$B$4)*(COUNTIF(CONFIG_ASIGNATURAS!$B$7:$B$27,DATOS!$I$2:$I$20000)&gt;0)*(DATOS!$K$2:$K$20000))/SUMPRODUCT((DATOS!$A$2:$A$20000=S681)*(DATOS!$G$2:$G$20000=CONFIG_METADATA!$B$4)*(COUNTIF(CONFIG_ASIGNATURAS!$B$7:$B$27,DATOS!$I$2:$I$20000)&gt;0)*1),"")))</f>
        <v/>
      </c>
      <c r="Z681" t="str">
        <f>IF(Y681="","",IF(Y681="[FÓRMULA MANUAL]","",IFERROR(AVERAGEIFS(DATOS!$K$2:$K$20000,DATOS!$A$2:$A$20000,Y681,DATOS!$G$2:$G$20000,CONFIG_METADATA!$B$4,DATOS!$I$2:$I$20000,"Análisis"),"")))</f>
        <v/>
      </c>
      <c r="AA681" t="str">
        <f>IF(Y681="","",IF(Y681="[FÓRMULA MANUAL]","",IFERROR(AVERAGEIFS(DATOS!$K$2:$K$20000,DATOS!$A$2:$A$20000,Y681,DATOS!$G$2:$G$20000,CONFIG_METADATA!$B$4,DATOS!$I$2:$I$20000,"Orquesta/Banda/Conjunto"),"")))</f>
        <v/>
      </c>
      <c r="AB681" t="str">
        <f>IF(Y681="","",IF(Y681="[FÓRMULA MANUAL]","",IFERROR(AVERAGEIFS(DATOS!$K$2:$K$20000,DATOS!$A$2:$A$20000,Y681,DATOS!$G$2:$G$20000,CONFIG_METADATA!$B$4,DATOS!$I$2:$I$20000,"Música de Cámara"),"")))</f>
        <v/>
      </c>
      <c r="AC681" t="str">
        <f>IF(Y681="","",IF(Y681="[FÓRMULA MANUAL]","",IFERROR(SUMPRODUCT((DATOS!$A$2:$A$20000=Y681)*(DATOS!$G$2:$G$20000=CONFIG_METADATA!$B$4)*(COUNTIF(CONFIG_ASIGNATURAS!$B$7:$B$27,DATOS!$I$2:$I$20000)&gt;0)*(DATOS!$K$2:$K$20000))/SUMPRODUCT((DATOS!$A$2:$A$20000=Y681)*(DATOS!$G$2:$G$20000=CONFIG_METADATA!$B$4)*(COUNTIF(CONFIG_ASIGNATURAS!$B$7:$B$27,DATOS!$I$2:$I$20000)&gt;0)*1),"")))</f>
        <v/>
      </c>
      <c r="AF681" t="str">
        <f>IF(AE681="","",IF(AE681="[FÓRMULA MANUAL]","",IFERROR(AVERAGEIFS(DATOS!$K$2:$K$20000,DATOS!$A$2:$A$20000,AE681,DATOS!$G$2:$G$20000,CONFIG_METADATA!$B$4,DATOS!$I$2:$I$20000,"Análisis"),"")))</f>
        <v/>
      </c>
      <c r="AG681" t="str">
        <f>IF(AE681="","",IF(AE681="[FÓRMULA MANUAL]","",IFERROR(AVERAGEIFS(DATOS!$K$2:$K$20000,DATOS!$A$2:$A$20000,AE681,DATOS!$G$2:$G$20000,CONFIG_METADATA!$B$4,DATOS!$I$2:$I$20000,"Orquesta/Banda/Conjunto"),"")))</f>
        <v/>
      </c>
      <c r="AH681" t="str">
        <f>IF(AE681="","",IF(AE681="[FÓRMULA MANUAL]","",IFERROR(AVERAGEIFS(DATOS!$K$2:$K$20000,DATOS!$A$2:$A$20000,AE681,DATOS!$G$2:$G$20000,CONFIG_METADATA!$B$4,DATOS!$I$2:$I$20000,"Música de Cámara"),"")))</f>
        <v/>
      </c>
      <c r="AI681" t="str">
        <f>IF(AE681="","",IF(AE681="[FÓRMULA MANUAL]","",IFERROR(SUMPRODUCT((DATOS!$A$2:$A$20000=AE681)*(DATOS!$G$2:$G$20000=CONFIG_METADATA!$B$4)*(COUNTIF(CONFIG_ASIGNATURAS!$B$7:$B$27,DATOS!$I$2:$I$20000)&gt;0)*(DATOS!$K$2:$K$20000))/SUMPRODUCT((DATOS!$A$2:$A$20000=AE681)*(DATOS!$G$2:$G$20000=CONFIG_METADATA!$B$4)*(COUNTIF(CONFIG_ASIGNATURAS!$B$7:$B$27,DATOS!$I$2:$I$20000)&gt;0)*1),"")))</f>
        <v/>
      </c>
    </row>
    <row r="682" spans="2:35" x14ac:dyDescent="0.2">
      <c r="B682" t="str">
        <f>IF(A682="","",IF(A682="[FÓRMULA MANUAL]","",IFERROR(AVERAGEIFS(DATOS!$K$2:$K$20000,DATOS!$A$2:$A$20000,A682,DATOS!$G$2:$G$20000,CONFIG_METADATA!$B$4,DATOS!$I$2:$I$20000,"Lenguaje Musical"),"")))</f>
        <v/>
      </c>
      <c r="C682" t="str">
        <f>IF(A682="","",IF(A682="[FÓRMULA MANUAL]","",IFERROR(AVERAGEIFS(DATOS!$K$2:$K$20000,DATOS!$A$2:$A$20000,A682,DATOS!$G$2:$G$20000,CONFIG_METADATA!$B$4,DATOS!$I$2:$I$20000,"Orquesta/Banda/Conjunto"),"")))</f>
        <v/>
      </c>
      <c r="D682" t="str">
        <f>IF(A682="","",IF(A682="[FÓRMULA MANUAL]","",IFERROR(AVERAGEIFS(DATOS!$K$2:$K$20000,DATOS!$A$2:$A$20000,A682,DATOS!$G$2:$G$20000,CONFIG_METADATA!$B$4,DATOS!$I$2:$I$20000,"Conjunto"),"")))</f>
        <v/>
      </c>
      <c r="E682" t="str">
        <f>IF(A682="","",IF(A682="[FÓRMULA MANUAL]","",IFERROR(SUMPRODUCT((DATOS!$A$2:$A$20000=A682)*(DATOS!$G$2:$G$20000=CONFIG_METADATA!$B$4)*(COUNTIF(CONFIG_ASIGNATURAS!$B$7:$B$27,DATOS!$I$2:$I$20000)&gt;0)*(DATOS!$K$2:$K$20000))/SUMPRODUCT((DATOS!$A$2:$A$20000=A682)*(DATOS!$G$2:$G$20000=CONFIG_METADATA!$B$4)*(COUNTIF(CONFIG_ASIGNATURAS!$B$7:$B$27,DATOS!$I$2:$I$20000)&gt;0)*1),"")))</f>
        <v/>
      </c>
      <c r="H682" t="str">
        <f>IF(G682="","",IF(G682="[FÓRMULA MANUAL]","",IFERROR(AVERAGEIFS(DATOS!$K$2:$K$20000,DATOS!$A$2:$A$20000,G682,DATOS!$G$2:$G$20000,CONFIG_METADATA!$B$4,DATOS!$I$2:$I$20000,"Lenguaje Musical"),"")))</f>
        <v/>
      </c>
      <c r="I682" t="str">
        <f>IF(G682="","",IF(G682="[FÓRMULA MANUAL]","",IFERROR(AVERAGEIFS(DATOS!$K$2:$K$20000,DATOS!$A$2:$A$20000,G682,DATOS!$G$2:$G$20000,CONFIG_METADATA!$B$4,DATOS!$I$2:$I$20000,"Orquesta/Banda/Conjunto"),"")))</f>
        <v/>
      </c>
      <c r="J682" t="str">
        <f>IF(G682="","",IF(G682="[FÓRMULA MANUAL]","",IFERROR(AVERAGEIFS(DATOS!$K$2:$K$20000,DATOS!$A$2:$A$20000,G682,DATOS!$G$2:$G$20000,CONFIG_METADATA!$B$4,DATOS!$I$2:$I$20000,"Conjunto"),"")))</f>
        <v/>
      </c>
      <c r="K682" t="str">
        <f>IF(G682="","",IF(G682="[FÓRMULA MANUAL]","",IFERROR(SUMPRODUCT((DATOS!$A$2:$A$20000=G682)*(DATOS!$G$2:$G$20000=CONFIG_METADATA!$B$4)*(COUNTIF(CONFIG_ASIGNATURAS!$B$7:$B$27,DATOS!$I$2:$I$20000)&gt;0)*(DATOS!$K$2:$K$20000))/SUMPRODUCT((DATOS!$A$2:$A$20000=G682)*(DATOS!$G$2:$G$20000=CONFIG_METADATA!$B$4)*(COUNTIF(CONFIG_ASIGNATURAS!$B$7:$B$27,DATOS!$I$2:$I$20000)&gt;0)*1),"")))</f>
        <v/>
      </c>
      <c r="N682" t="str">
        <f>IF(M682="","",IF(M682="[FÓRMULA MANUAL]","",IFERROR(AVERAGEIFS(DATOS!$K$2:$K$20000,DATOS!$A$2:$A$20000,M682,DATOS!$G$2:$G$20000,CONFIG_METADATA!$B$4,DATOS!$I$2:$I$20000,"Armonía"),"")))</f>
        <v/>
      </c>
      <c r="O682" t="str">
        <f>IF(M682="","",IF(M682="[FÓRMULA MANUAL]","",IFERROR(AVERAGEIFS(DATOS!$K$2:$K$20000,DATOS!$A$2:$A$20000,M682,DATOS!$G$2:$G$20000,CONFIG_METADATA!$B$4,DATOS!$I$2:$I$20000,"Orquesta/Banda/Conjunto"),"")))</f>
        <v/>
      </c>
      <c r="P682" t="str">
        <f>IF(M682="","",IF(M682="[FÓRMULA MANUAL]","",IFERROR(AVERAGEIFS(DATOS!$K$2:$K$20000,DATOS!$A$2:$A$20000,M682,DATOS!$G$2:$G$20000,CONFIG_METADATA!$B$4,DATOS!$I$2:$I$20000,"Música de Cámara"),"")))</f>
        <v/>
      </c>
      <c r="Q682" t="str">
        <f>IF(M682="","",IF(M682="[FÓRMULA MANUAL]","",IFERROR(SUMPRODUCT((DATOS!$A$2:$A$20000=M682)*(DATOS!$G$2:$G$20000=CONFIG_METADATA!$B$4)*(COUNTIF(CONFIG_ASIGNATURAS!$B$7:$B$27,DATOS!$I$2:$I$20000)&gt;0)*(DATOS!$K$2:$K$20000))/SUMPRODUCT((DATOS!$A$2:$A$20000=M682)*(DATOS!$G$2:$G$20000=CONFIG_METADATA!$B$4)*(COUNTIF(CONFIG_ASIGNATURAS!$B$7:$B$27,DATOS!$I$2:$I$20000)&gt;0)*1),"")))</f>
        <v/>
      </c>
      <c r="T682" t="str">
        <f>IF(S682="","",IF(S682="[FÓRMULA MANUAL]","",IFERROR(AVERAGEIFS(DATOS!$K$2:$K$20000,DATOS!$A$2:$A$20000,S682,DATOS!$G$2:$G$20000,CONFIG_METADATA!$B$4,DATOS!$I$2:$I$20000,"Armonía"),"")))</f>
        <v/>
      </c>
      <c r="U682" t="str">
        <f>IF(S682="","",IF(S682="[FÓRMULA MANUAL]","",IFERROR(AVERAGEIFS(DATOS!$K$2:$K$20000,DATOS!$A$2:$A$20000,S682,DATOS!$G$2:$G$20000,CONFIG_METADATA!$B$4,DATOS!$I$2:$I$20000,"Orquesta/Banda/Conjunto"),"")))</f>
        <v/>
      </c>
      <c r="V682" t="str">
        <f>IF(S682="","",IF(S682="[FÓRMULA MANUAL]","",IFERROR(AVERAGEIFS(DATOS!$K$2:$K$20000,DATOS!$A$2:$A$20000,S682,DATOS!$G$2:$G$20000,CONFIG_METADATA!$B$4,DATOS!$I$2:$I$20000,"Música de Cámara"),"")))</f>
        <v/>
      </c>
      <c r="W682" t="str">
        <f>IF(S682="","",IF(S682="[FÓRMULA MANUAL]","",IFERROR(SUMPRODUCT((DATOS!$A$2:$A$20000=S682)*(DATOS!$G$2:$G$20000=CONFIG_METADATA!$B$4)*(COUNTIF(CONFIG_ASIGNATURAS!$B$7:$B$27,DATOS!$I$2:$I$20000)&gt;0)*(DATOS!$K$2:$K$20000))/SUMPRODUCT((DATOS!$A$2:$A$20000=S682)*(DATOS!$G$2:$G$20000=CONFIG_METADATA!$B$4)*(COUNTIF(CONFIG_ASIGNATURAS!$B$7:$B$27,DATOS!$I$2:$I$20000)&gt;0)*1),"")))</f>
        <v/>
      </c>
      <c r="Z682" t="str">
        <f>IF(Y682="","",IF(Y682="[FÓRMULA MANUAL]","",IFERROR(AVERAGEIFS(DATOS!$K$2:$K$20000,DATOS!$A$2:$A$20000,Y682,DATOS!$G$2:$G$20000,CONFIG_METADATA!$B$4,DATOS!$I$2:$I$20000,"Análisis"),"")))</f>
        <v/>
      </c>
      <c r="AA682" t="str">
        <f>IF(Y682="","",IF(Y682="[FÓRMULA MANUAL]","",IFERROR(AVERAGEIFS(DATOS!$K$2:$K$20000,DATOS!$A$2:$A$20000,Y682,DATOS!$G$2:$G$20000,CONFIG_METADATA!$B$4,DATOS!$I$2:$I$20000,"Orquesta/Banda/Conjunto"),"")))</f>
        <v/>
      </c>
      <c r="AB682" t="str">
        <f>IF(Y682="","",IF(Y682="[FÓRMULA MANUAL]","",IFERROR(AVERAGEIFS(DATOS!$K$2:$K$20000,DATOS!$A$2:$A$20000,Y682,DATOS!$G$2:$G$20000,CONFIG_METADATA!$B$4,DATOS!$I$2:$I$20000,"Música de Cámara"),"")))</f>
        <v/>
      </c>
      <c r="AC682" t="str">
        <f>IF(Y682="","",IF(Y682="[FÓRMULA MANUAL]","",IFERROR(SUMPRODUCT((DATOS!$A$2:$A$20000=Y682)*(DATOS!$G$2:$G$20000=CONFIG_METADATA!$B$4)*(COUNTIF(CONFIG_ASIGNATURAS!$B$7:$B$27,DATOS!$I$2:$I$20000)&gt;0)*(DATOS!$K$2:$K$20000))/SUMPRODUCT((DATOS!$A$2:$A$20000=Y682)*(DATOS!$G$2:$G$20000=CONFIG_METADATA!$B$4)*(COUNTIF(CONFIG_ASIGNATURAS!$B$7:$B$27,DATOS!$I$2:$I$20000)&gt;0)*1),"")))</f>
        <v/>
      </c>
      <c r="AF682" t="str">
        <f>IF(AE682="","",IF(AE682="[FÓRMULA MANUAL]","",IFERROR(AVERAGEIFS(DATOS!$K$2:$K$20000,DATOS!$A$2:$A$20000,AE682,DATOS!$G$2:$G$20000,CONFIG_METADATA!$B$4,DATOS!$I$2:$I$20000,"Análisis"),"")))</f>
        <v/>
      </c>
      <c r="AG682" t="str">
        <f>IF(AE682="","",IF(AE682="[FÓRMULA MANUAL]","",IFERROR(AVERAGEIFS(DATOS!$K$2:$K$20000,DATOS!$A$2:$A$20000,AE682,DATOS!$G$2:$G$20000,CONFIG_METADATA!$B$4,DATOS!$I$2:$I$20000,"Orquesta/Banda/Conjunto"),"")))</f>
        <v/>
      </c>
      <c r="AH682" t="str">
        <f>IF(AE682="","",IF(AE682="[FÓRMULA MANUAL]","",IFERROR(AVERAGEIFS(DATOS!$K$2:$K$20000,DATOS!$A$2:$A$20000,AE682,DATOS!$G$2:$G$20000,CONFIG_METADATA!$B$4,DATOS!$I$2:$I$20000,"Música de Cámara"),"")))</f>
        <v/>
      </c>
      <c r="AI682" t="str">
        <f>IF(AE682="","",IF(AE682="[FÓRMULA MANUAL]","",IFERROR(SUMPRODUCT((DATOS!$A$2:$A$20000=AE682)*(DATOS!$G$2:$G$20000=CONFIG_METADATA!$B$4)*(COUNTIF(CONFIG_ASIGNATURAS!$B$7:$B$27,DATOS!$I$2:$I$20000)&gt;0)*(DATOS!$K$2:$K$20000))/SUMPRODUCT((DATOS!$A$2:$A$20000=AE682)*(DATOS!$G$2:$G$20000=CONFIG_METADATA!$B$4)*(COUNTIF(CONFIG_ASIGNATURAS!$B$7:$B$27,DATOS!$I$2:$I$20000)&gt;0)*1),"")))</f>
        <v/>
      </c>
    </row>
    <row r="683" spans="2:35" x14ac:dyDescent="0.2">
      <c r="B683" t="str">
        <f>IF(A683="","",IF(A683="[FÓRMULA MANUAL]","",IFERROR(AVERAGEIFS(DATOS!$K$2:$K$20000,DATOS!$A$2:$A$20000,A683,DATOS!$G$2:$G$20000,CONFIG_METADATA!$B$4,DATOS!$I$2:$I$20000,"Lenguaje Musical"),"")))</f>
        <v/>
      </c>
      <c r="C683" t="str">
        <f>IF(A683="","",IF(A683="[FÓRMULA MANUAL]","",IFERROR(AVERAGEIFS(DATOS!$K$2:$K$20000,DATOS!$A$2:$A$20000,A683,DATOS!$G$2:$G$20000,CONFIG_METADATA!$B$4,DATOS!$I$2:$I$20000,"Orquesta/Banda/Conjunto"),"")))</f>
        <v/>
      </c>
      <c r="D683" t="str">
        <f>IF(A683="","",IF(A683="[FÓRMULA MANUAL]","",IFERROR(AVERAGEIFS(DATOS!$K$2:$K$20000,DATOS!$A$2:$A$20000,A683,DATOS!$G$2:$G$20000,CONFIG_METADATA!$B$4,DATOS!$I$2:$I$20000,"Conjunto"),"")))</f>
        <v/>
      </c>
      <c r="E683" t="str">
        <f>IF(A683="","",IF(A683="[FÓRMULA MANUAL]","",IFERROR(SUMPRODUCT((DATOS!$A$2:$A$20000=A683)*(DATOS!$G$2:$G$20000=CONFIG_METADATA!$B$4)*(COUNTIF(CONFIG_ASIGNATURAS!$B$7:$B$27,DATOS!$I$2:$I$20000)&gt;0)*(DATOS!$K$2:$K$20000))/SUMPRODUCT((DATOS!$A$2:$A$20000=A683)*(DATOS!$G$2:$G$20000=CONFIG_METADATA!$B$4)*(COUNTIF(CONFIG_ASIGNATURAS!$B$7:$B$27,DATOS!$I$2:$I$20000)&gt;0)*1),"")))</f>
        <v/>
      </c>
      <c r="H683" t="str">
        <f>IF(G683="","",IF(G683="[FÓRMULA MANUAL]","",IFERROR(AVERAGEIFS(DATOS!$K$2:$K$20000,DATOS!$A$2:$A$20000,G683,DATOS!$G$2:$G$20000,CONFIG_METADATA!$B$4,DATOS!$I$2:$I$20000,"Lenguaje Musical"),"")))</f>
        <v/>
      </c>
      <c r="I683" t="str">
        <f>IF(G683="","",IF(G683="[FÓRMULA MANUAL]","",IFERROR(AVERAGEIFS(DATOS!$K$2:$K$20000,DATOS!$A$2:$A$20000,G683,DATOS!$G$2:$G$20000,CONFIG_METADATA!$B$4,DATOS!$I$2:$I$20000,"Orquesta/Banda/Conjunto"),"")))</f>
        <v/>
      </c>
      <c r="J683" t="str">
        <f>IF(G683="","",IF(G683="[FÓRMULA MANUAL]","",IFERROR(AVERAGEIFS(DATOS!$K$2:$K$20000,DATOS!$A$2:$A$20000,G683,DATOS!$G$2:$G$20000,CONFIG_METADATA!$B$4,DATOS!$I$2:$I$20000,"Conjunto"),"")))</f>
        <v/>
      </c>
      <c r="K683" t="str">
        <f>IF(G683="","",IF(G683="[FÓRMULA MANUAL]","",IFERROR(SUMPRODUCT((DATOS!$A$2:$A$20000=G683)*(DATOS!$G$2:$G$20000=CONFIG_METADATA!$B$4)*(COUNTIF(CONFIG_ASIGNATURAS!$B$7:$B$27,DATOS!$I$2:$I$20000)&gt;0)*(DATOS!$K$2:$K$20000))/SUMPRODUCT((DATOS!$A$2:$A$20000=G683)*(DATOS!$G$2:$G$20000=CONFIG_METADATA!$B$4)*(COUNTIF(CONFIG_ASIGNATURAS!$B$7:$B$27,DATOS!$I$2:$I$20000)&gt;0)*1),"")))</f>
        <v/>
      </c>
      <c r="N683" t="str">
        <f>IF(M683="","",IF(M683="[FÓRMULA MANUAL]","",IFERROR(AVERAGEIFS(DATOS!$K$2:$K$20000,DATOS!$A$2:$A$20000,M683,DATOS!$G$2:$G$20000,CONFIG_METADATA!$B$4,DATOS!$I$2:$I$20000,"Armonía"),"")))</f>
        <v/>
      </c>
      <c r="O683" t="str">
        <f>IF(M683="","",IF(M683="[FÓRMULA MANUAL]","",IFERROR(AVERAGEIFS(DATOS!$K$2:$K$20000,DATOS!$A$2:$A$20000,M683,DATOS!$G$2:$G$20000,CONFIG_METADATA!$B$4,DATOS!$I$2:$I$20000,"Orquesta/Banda/Conjunto"),"")))</f>
        <v/>
      </c>
      <c r="P683" t="str">
        <f>IF(M683="","",IF(M683="[FÓRMULA MANUAL]","",IFERROR(AVERAGEIFS(DATOS!$K$2:$K$20000,DATOS!$A$2:$A$20000,M683,DATOS!$G$2:$G$20000,CONFIG_METADATA!$B$4,DATOS!$I$2:$I$20000,"Música de Cámara"),"")))</f>
        <v/>
      </c>
      <c r="Q683" t="str">
        <f>IF(M683="","",IF(M683="[FÓRMULA MANUAL]","",IFERROR(SUMPRODUCT((DATOS!$A$2:$A$20000=M683)*(DATOS!$G$2:$G$20000=CONFIG_METADATA!$B$4)*(COUNTIF(CONFIG_ASIGNATURAS!$B$7:$B$27,DATOS!$I$2:$I$20000)&gt;0)*(DATOS!$K$2:$K$20000))/SUMPRODUCT((DATOS!$A$2:$A$20000=M683)*(DATOS!$G$2:$G$20000=CONFIG_METADATA!$B$4)*(COUNTIF(CONFIG_ASIGNATURAS!$B$7:$B$27,DATOS!$I$2:$I$20000)&gt;0)*1),"")))</f>
        <v/>
      </c>
      <c r="T683" t="str">
        <f>IF(S683="","",IF(S683="[FÓRMULA MANUAL]","",IFERROR(AVERAGEIFS(DATOS!$K$2:$K$20000,DATOS!$A$2:$A$20000,S683,DATOS!$G$2:$G$20000,CONFIG_METADATA!$B$4,DATOS!$I$2:$I$20000,"Armonía"),"")))</f>
        <v/>
      </c>
      <c r="U683" t="str">
        <f>IF(S683="","",IF(S683="[FÓRMULA MANUAL]","",IFERROR(AVERAGEIFS(DATOS!$K$2:$K$20000,DATOS!$A$2:$A$20000,S683,DATOS!$G$2:$G$20000,CONFIG_METADATA!$B$4,DATOS!$I$2:$I$20000,"Orquesta/Banda/Conjunto"),"")))</f>
        <v/>
      </c>
      <c r="V683" t="str">
        <f>IF(S683="","",IF(S683="[FÓRMULA MANUAL]","",IFERROR(AVERAGEIFS(DATOS!$K$2:$K$20000,DATOS!$A$2:$A$20000,S683,DATOS!$G$2:$G$20000,CONFIG_METADATA!$B$4,DATOS!$I$2:$I$20000,"Música de Cámara"),"")))</f>
        <v/>
      </c>
      <c r="W683" t="str">
        <f>IF(S683="","",IF(S683="[FÓRMULA MANUAL]","",IFERROR(SUMPRODUCT((DATOS!$A$2:$A$20000=S683)*(DATOS!$G$2:$G$20000=CONFIG_METADATA!$B$4)*(COUNTIF(CONFIG_ASIGNATURAS!$B$7:$B$27,DATOS!$I$2:$I$20000)&gt;0)*(DATOS!$K$2:$K$20000))/SUMPRODUCT((DATOS!$A$2:$A$20000=S683)*(DATOS!$G$2:$G$20000=CONFIG_METADATA!$B$4)*(COUNTIF(CONFIG_ASIGNATURAS!$B$7:$B$27,DATOS!$I$2:$I$20000)&gt;0)*1),"")))</f>
        <v/>
      </c>
      <c r="Z683" t="str">
        <f>IF(Y683="","",IF(Y683="[FÓRMULA MANUAL]","",IFERROR(AVERAGEIFS(DATOS!$K$2:$K$20000,DATOS!$A$2:$A$20000,Y683,DATOS!$G$2:$G$20000,CONFIG_METADATA!$B$4,DATOS!$I$2:$I$20000,"Análisis"),"")))</f>
        <v/>
      </c>
      <c r="AA683" t="str">
        <f>IF(Y683="","",IF(Y683="[FÓRMULA MANUAL]","",IFERROR(AVERAGEIFS(DATOS!$K$2:$K$20000,DATOS!$A$2:$A$20000,Y683,DATOS!$G$2:$G$20000,CONFIG_METADATA!$B$4,DATOS!$I$2:$I$20000,"Orquesta/Banda/Conjunto"),"")))</f>
        <v/>
      </c>
      <c r="AB683" t="str">
        <f>IF(Y683="","",IF(Y683="[FÓRMULA MANUAL]","",IFERROR(AVERAGEIFS(DATOS!$K$2:$K$20000,DATOS!$A$2:$A$20000,Y683,DATOS!$G$2:$G$20000,CONFIG_METADATA!$B$4,DATOS!$I$2:$I$20000,"Música de Cámara"),"")))</f>
        <v/>
      </c>
      <c r="AC683" t="str">
        <f>IF(Y683="","",IF(Y683="[FÓRMULA MANUAL]","",IFERROR(SUMPRODUCT((DATOS!$A$2:$A$20000=Y683)*(DATOS!$G$2:$G$20000=CONFIG_METADATA!$B$4)*(COUNTIF(CONFIG_ASIGNATURAS!$B$7:$B$27,DATOS!$I$2:$I$20000)&gt;0)*(DATOS!$K$2:$K$20000))/SUMPRODUCT((DATOS!$A$2:$A$20000=Y683)*(DATOS!$G$2:$G$20000=CONFIG_METADATA!$B$4)*(COUNTIF(CONFIG_ASIGNATURAS!$B$7:$B$27,DATOS!$I$2:$I$20000)&gt;0)*1),"")))</f>
        <v/>
      </c>
      <c r="AF683" t="str">
        <f>IF(AE683="","",IF(AE683="[FÓRMULA MANUAL]","",IFERROR(AVERAGEIFS(DATOS!$K$2:$K$20000,DATOS!$A$2:$A$20000,AE683,DATOS!$G$2:$G$20000,CONFIG_METADATA!$B$4,DATOS!$I$2:$I$20000,"Análisis"),"")))</f>
        <v/>
      </c>
      <c r="AG683" t="str">
        <f>IF(AE683="","",IF(AE683="[FÓRMULA MANUAL]","",IFERROR(AVERAGEIFS(DATOS!$K$2:$K$20000,DATOS!$A$2:$A$20000,AE683,DATOS!$G$2:$G$20000,CONFIG_METADATA!$B$4,DATOS!$I$2:$I$20000,"Orquesta/Banda/Conjunto"),"")))</f>
        <v/>
      </c>
      <c r="AH683" t="str">
        <f>IF(AE683="","",IF(AE683="[FÓRMULA MANUAL]","",IFERROR(AVERAGEIFS(DATOS!$K$2:$K$20000,DATOS!$A$2:$A$20000,AE683,DATOS!$G$2:$G$20000,CONFIG_METADATA!$B$4,DATOS!$I$2:$I$20000,"Música de Cámara"),"")))</f>
        <v/>
      </c>
      <c r="AI683" t="str">
        <f>IF(AE683="","",IF(AE683="[FÓRMULA MANUAL]","",IFERROR(SUMPRODUCT((DATOS!$A$2:$A$20000=AE683)*(DATOS!$G$2:$G$20000=CONFIG_METADATA!$B$4)*(COUNTIF(CONFIG_ASIGNATURAS!$B$7:$B$27,DATOS!$I$2:$I$20000)&gt;0)*(DATOS!$K$2:$K$20000))/SUMPRODUCT((DATOS!$A$2:$A$20000=AE683)*(DATOS!$G$2:$G$20000=CONFIG_METADATA!$B$4)*(COUNTIF(CONFIG_ASIGNATURAS!$B$7:$B$27,DATOS!$I$2:$I$20000)&gt;0)*1),"")))</f>
        <v/>
      </c>
    </row>
    <row r="684" spans="2:35" x14ac:dyDescent="0.2">
      <c r="B684" t="str">
        <f>IF(A684="","",IF(A684="[FÓRMULA MANUAL]","",IFERROR(AVERAGEIFS(DATOS!$K$2:$K$20000,DATOS!$A$2:$A$20000,A684,DATOS!$G$2:$G$20000,CONFIG_METADATA!$B$4,DATOS!$I$2:$I$20000,"Lenguaje Musical"),"")))</f>
        <v/>
      </c>
      <c r="C684" t="str">
        <f>IF(A684="","",IF(A684="[FÓRMULA MANUAL]","",IFERROR(AVERAGEIFS(DATOS!$K$2:$K$20000,DATOS!$A$2:$A$20000,A684,DATOS!$G$2:$G$20000,CONFIG_METADATA!$B$4,DATOS!$I$2:$I$20000,"Orquesta/Banda/Conjunto"),"")))</f>
        <v/>
      </c>
      <c r="D684" t="str">
        <f>IF(A684="","",IF(A684="[FÓRMULA MANUAL]","",IFERROR(AVERAGEIFS(DATOS!$K$2:$K$20000,DATOS!$A$2:$A$20000,A684,DATOS!$G$2:$G$20000,CONFIG_METADATA!$B$4,DATOS!$I$2:$I$20000,"Conjunto"),"")))</f>
        <v/>
      </c>
      <c r="E684" t="str">
        <f>IF(A684="","",IF(A684="[FÓRMULA MANUAL]","",IFERROR(SUMPRODUCT((DATOS!$A$2:$A$20000=A684)*(DATOS!$G$2:$G$20000=CONFIG_METADATA!$B$4)*(COUNTIF(CONFIG_ASIGNATURAS!$B$7:$B$27,DATOS!$I$2:$I$20000)&gt;0)*(DATOS!$K$2:$K$20000))/SUMPRODUCT((DATOS!$A$2:$A$20000=A684)*(DATOS!$G$2:$G$20000=CONFIG_METADATA!$B$4)*(COUNTIF(CONFIG_ASIGNATURAS!$B$7:$B$27,DATOS!$I$2:$I$20000)&gt;0)*1),"")))</f>
        <v/>
      </c>
      <c r="H684" t="str">
        <f>IF(G684="","",IF(G684="[FÓRMULA MANUAL]","",IFERROR(AVERAGEIFS(DATOS!$K$2:$K$20000,DATOS!$A$2:$A$20000,G684,DATOS!$G$2:$G$20000,CONFIG_METADATA!$B$4,DATOS!$I$2:$I$20000,"Lenguaje Musical"),"")))</f>
        <v/>
      </c>
      <c r="I684" t="str">
        <f>IF(G684="","",IF(G684="[FÓRMULA MANUAL]","",IFERROR(AVERAGEIFS(DATOS!$K$2:$K$20000,DATOS!$A$2:$A$20000,G684,DATOS!$G$2:$G$20000,CONFIG_METADATA!$B$4,DATOS!$I$2:$I$20000,"Orquesta/Banda/Conjunto"),"")))</f>
        <v/>
      </c>
      <c r="J684" t="str">
        <f>IF(G684="","",IF(G684="[FÓRMULA MANUAL]","",IFERROR(AVERAGEIFS(DATOS!$K$2:$K$20000,DATOS!$A$2:$A$20000,G684,DATOS!$G$2:$G$20000,CONFIG_METADATA!$B$4,DATOS!$I$2:$I$20000,"Conjunto"),"")))</f>
        <v/>
      </c>
      <c r="K684" t="str">
        <f>IF(G684="","",IF(G684="[FÓRMULA MANUAL]","",IFERROR(SUMPRODUCT((DATOS!$A$2:$A$20000=G684)*(DATOS!$G$2:$G$20000=CONFIG_METADATA!$B$4)*(COUNTIF(CONFIG_ASIGNATURAS!$B$7:$B$27,DATOS!$I$2:$I$20000)&gt;0)*(DATOS!$K$2:$K$20000))/SUMPRODUCT((DATOS!$A$2:$A$20000=G684)*(DATOS!$G$2:$G$20000=CONFIG_METADATA!$B$4)*(COUNTIF(CONFIG_ASIGNATURAS!$B$7:$B$27,DATOS!$I$2:$I$20000)&gt;0)*1),"")))</f>
        <v/>
      </c>
      <c r="N684" t="str">
        <f>IF(M684="","",IF(M684="[FÓRMULA MANUAL]","",IFERROR(AVERAGEIFS(DATOS!$K$2:$K$20000,DATOS!$A$2:$A$20000,M684,DATOS!$G$2:$G$20000,CONFIG_METADATA!$B$4,DATOS!$I$2:$I$20000,"Armonía"),"")))</f>
        <v/>
      </c>
      <c r="O684" t="str">
        <f>IF(M684="","",IF(M684="[FÓRMULA MANUAL]","",IFERROR(AVERAGEIFS(DATOS!$K$2:$K$20000,DATOS!$A$2:$A$20000,M684,DATOS!$G$2:$G$20000,CONFIG_METADATA!$B$4,DATOS!$I$2:$I$20000,"Orquesta/Banda/Conjunto"),"")))</f>
        <v/>
      </c>
      <c r="P684" t="str">
        <f>IF(M684="","",IF(M684="[FÓRMULA MANUAL]","",IFERROR(AVERAGEIFS(DATOS!$K$2:$K$20000,DATOS!$A$2:$A$20000,M684,DATOS!$G$2:$G$20000,CONFIG_METADATA!$B$4,DATOS!$I$2:$I$20000,"Música de Cámara"),"")))</f>
        <v/>
      </c>
      <c r="Q684" t="str">
        <f>IF(M684="","",IF(M684="[FÓRMULA MANUAL]","",IFERROR(SUMPRODUCT((DATOS!$A$2:$A$20000=M684)*(DATOS!$G$2:$G$20000=CONFIG_METADATA!$B$4)*(COUNTIF(CONFIG_ASIGNATURAS!$B$7:$B$27,DATOS!$I$2:$I$20000)&gt;0)*(DATOS!$K$2:$K$20000))/SUMPRODUCT((DATOS!$A$2:$A$20000=M684)*(DATOS!$G$2:$G$20000=CONFIG_METADATA!$B$4)*(COUNTIF(CONFIG_ASIGNATURAS!$B$7:$B$27,DATOS!$I$2:$I$20000)&gt;0)*1),"")))</f>
        <v/>
      </c>
      <c r="T684" t="str">
        <f>IF(S684="","",IF(S684="[FÓRMULA MANUAL]","",IFERROR(AVERAGEIFS(DATOS!$K$2:$K$20000,DATOS!$A$2:$A$20000,S684,DATOS!$G$2:$G$20000,CONFIG_METADATA!$B$4,DATOS!$I$2:$I$20000,"Armonía"),"")))</f>
        <v/>
      </c>
      <c r="U684" t="str">
        <f>IF(S684="","",IF(S684="[FÓRMULA MANUAL]","",IFERROR(AVERAGEIFS(DATOS!$K$2:$K$20000,DATOS!$A$2:$A$20000,S684,DATOS!$G$2:$G$20000,CONFIG_METADATA!$B$4,DATOS!$I$2:$I$20000,"Orquesta/Banda/Conjunto"),"")))</f>
        <v/>
      </c>
      <c r="V684" t="str">
        <f>IF(S684="","",IF(S684="[FÓRMULA MANUAL]","",IFERROR(AVERAGEIFS(DATOS!$K$2:$K$20000,DATOS!$A$2:$A$20000,S684,DATOS!$G$2:$G$20000,CONFIG_METADATA!$B$4,DATOS!$I$2:$I$20000,"Música de Cámara"),"")))</f>
        <v/>
      </c>
      <c r="W684" t="str">
        <f>IF(S684="","",IF(S684="[FÓRMULA MANUAL]","",IFERROR(SUMPRODUCT((DATOS!$A$2:$A$20000=S684)*(DATOS!$G$2:$G$20000=CONFIG_METADATA!$B$4)*(COUNTIF(CONFIG_ASIGNATURAS!$B$7:$B$27,DATOS!$I$2:$I$20000)&gt;0)*(DATOS!$K$2:$K$20000))/SUMPRODUCT((DATOS!$A$2:$A$20000=S684)*(DATOS!$G$2:$G$20000=CONFIG_METADATA!$B$4)*(COUNTIF(CONFIG_ASIGNATURAS!$B$7:$B$27,DATOS!$I$2:$I$20000)&gt;0)*1),"")))</f>
        <v/>
      </c>
      <c r="Z684" t="str">
        <f>IF(Y684="","",IF(Y684="[FÓRMULA MANUAL]","",IFERROR(AVERAGEIFS(DATOS!$K$2:$K$20000,DATOS!$A$2:$A$20000,Y684,DATOS!$G$2:$G$20000,CONFIG_METADATA!$B$4,DATOS!$I$2:$I$20000,"Análisis"),"")))</f>
        <v/>
      </c>
      <c r="AA684" t="str">
        <f>IF(Y684="","",IF(Y684="[FÓRMULA MANUAL]","",IFERROR(AVERAGEIFS(DATOS!$K$2:$K$20000,DATOS!$A$2:$A$20000,Y684,DATOS!$G$2:$G$20000,CONFIG_METADATA!$B$4,DATOS!$I$2:$I$20000,"Orquesta/Banda/Conjunto"),"")))</f>
        <v/>
      </c>
      <c r="AB684" t="str">
        <f>IF(Y684="","",IF(Y684="[FÓRMULA MANUAL]","",IFERROR(AVERAGEIFS(DATOS!$K$2:$K$20000,DATOS!$A$2:$A$20000,Y684,DATOS!$G$2:$G$20000,CONFIG_METADATA!$B$4,DATOS!$I$2:$I$20000,"Música de Cámara"),"")))</f>
        <v/>
      </c>
      <c r="AC684" t="str">
        <f>IF(Y684="","",IF(Y684="[FÓRMULA MANUAL]","",IFERROR(SUMPRODUCT((DATOS!$A$2:$A$20000=Y684)*(DATOS!$G$2:$G$20000=CONFIG_METADATA!$B$4)*(COUNTIF(CONFIG_ASIGNATURAS!$B$7:$B$27,DATOS!$I$2:$I$20000)&gt;0)*(DATOS!$K$2:$K$20000))/SUMPRODUCT((DATOS!$A$2:$A$20000=Y684)*(DATOS!$G$2:$G$20000=CONFIG_METADATA!$B$4)*(COUNTIF(CONFIG_ASIGNATURAS!$B$7:$B$27,DATOS!$I$2:$I$20000)&gt;0)*1),"")))</f>
        <v/>
      </c>
      <c r="AF684" t="str">
        <f>IF(AE684="","",IF(AE684="[FÓRMULA MANUAL]","",IFERROR(AVERAGEIFS(DATOS!$K$2:$K$20000,DATOS!$A$2:$A$20000,AE684,DATOS!$G$2:$G$20000,CONFIG_METADATA!$B$4,DATOS!$I$2:$I$20000,"Análisis"),"")))</f>
        <v/>
      </c>
      <c r="AG684" t="str">
        <f>IF(AE684="","",IF(AE684="[FÓRMULA MANUAL]","",IFERROR(AVERAGEIFS(DATOS!$K$2:$K$20000,DATOS!$A$2:$A$20000,AE684,DATOS!$G$2:$G$20000,CONFIG_METADATA!$B$4,DATOS!$I$2:$I$20000,"Orquesta/Banda/Conjunto"),"")))</f>
        <v/>
      </c>
      <c r="AH684" t="str">
        <f>IF(AE684="","",IF(AE684="[FÓRMULA MANUAL]","",IFERROR(AVERAGEIFS(DATOS!$K$2:$K$20000,DATOS!$A$2:$A$20000,AE684,DATOS!$G$2:$G$20000,CONFIG_METADATA!$B$4,DATOS!$I$2:$I$20000,"Música de Cámara"),"")))</f>
        <v/>
      </c>
      <c r="AI684" t="str">
        <f>IF(AE684="","",IF(AE684="[FÓRMULA MANUAL]","",IFERROR(SUMPRODUCT((DATOS!$A$2:$A$20000=AE684)*(DATOS!$G$2:$G$20000=CONFIG_METADATA!$B$4)*(COUNTIF(CONFIG_ASIGNATURAS!$B$7:$B$27,DATOS!$I$2:$I$20000)&gt;0)*(DATOS!$K$2:$K$20000))/SUMPRODUCT((DATOS!$A$2:$A$20000=AE684)*(DATOS!$G$2:$G$20000=CONFIG_METADATA!$B$4)*(COUNTIF(CONFIG_ASIGNATURAS!$B$7:$B$27,DATOS!$I$2:$I$20000)&gt;0)*1),"")))</f>
        <v/>
      </c>
    </row>
    <row r="685" spans="2:35" x14ac:dyDescent="0.2">
      <c r="B685" t="str">
        <f>IF(A685="","",IF(A685="[FÓRMULA MANUAL]","",IFERROR(AVERAGEIFS(DATOS!$K$2:$K$20000,DATOS!$A$2:$A$20000,A685,DATOS!$G$2:$G$20000,CONFIG_METADATA!$B$4,DATOS!$I$2:$I$20000,"Lenguaje Musical"),"")))</f>
        <v/>
      </c>
      <c r="C685" t="str">
        <f>IF(A685="","",IF(A685="[FÓRMULA MANUAL]","",IFERROR(AVERAGEIFS(DATOS!$K$2:$K$20000,DATOS!$A$2:$A$20000,A685,DATOS!$G$2:$G$20000,CONFIG_METADATA!$B$4,DATOS!$I$2:$I$20000,"Orquesta/Banda/Conjunto"),"")))</f>
        <v/>
      </c>
      <c r="D685" t="str">
        <f>IF(A685="","",IF(A685="[FÓRMULA MANUAL]","",IFERROR(AVERAGEIFS(DATOS!$K$2:$K$20000,DATOS!$A$2:$A$20000,A685,DATOS!$G$2:$G$20000,CONFIG_METADATA!$B$4,DATOS!$I$2:$I$20000,"Conjunto"),"")))</f>
        <v/>
      </c>
      <c r="E685" t="str">
        <f>IF(A685="","",IF(A685="[FÓRMULA MANUAL]","",IFERROR(SUMPRODUCT((DATOS!$A$2:$A$20000=A685)*(DATOS!$G$2:$G$20000=CONFIG_METADATA!$B$4)*(COUNTIF(CONFIG_ASIGNATURAS!$B$7:$B$27,DATOS!$I$2:$I$20000)&gt;0)*(DATOS!$K$2:$K$20000))/SUMPRODUCT((DATOS!$A$2:$A$20000=A685)*(DATOS!$G$2:$G$20000=CONFIG_METADATA!$B$4)*(COUNTIF(CONFIG_ASIGNATURAS!$B$7:$B$27,DATOS!$I$2:$I$20000)&gt;0)*1),"")))</f>
        <v/>
      </c>
      <c r="H685" t="str">
        <f>IF(G685="","",IF(G685="[FÓRMULA MANUAL]","",IFERROR(AVERAGEIFS(DATOS!$K$2:$K$20000,DATOS!$A$2:$A$20000,G685,DATOS!$G$2:$G$20000,CONFIG_METADATA!$B$4,DATOS!$I$2:$I$20000,"Lenguaje Musical"),"")))</f>
        <v/>
      </c>
      <c r="I685" t="str">
        <f>IF(G685="","",IF(G685="[FÓRMULA MANUAL]","",IFERROR(AVERAGEIFS(DATOS!$K$2:$K$20000,DATOS!$A$2:$A$20000,G685,DATOS!$G$2:$G$20000,CONFIG_METADATA!$B$4,DATOS!$I$2:$I$20000,"Orquesta/Banda/Conjunto"),"")))</f>
        <v/>
      </c>
      <c r="J685" t="str">
        <f>IF(G685="","",IF(G685="[FÓRMULA MANUAL]","",IFERROR(AVERAGEIFS(DATOS!$K$2:$K$20000,DATOS!$A$2:$A$20000,G685,DATOS!$G$2:$G$20000,CONFIG_METADATA!$B$4,DATOS!$I$2:$I$20000,"Conjunto"),"")))</f>
        <v/>
      </c>
      <c r="K685" t="str">
        <f>IF(G685="","",IF(G685="[FÓRMULA MANUAL]","",IFERROR(SUMPRODUCT((DATOS!$A$2:$A$20000=G685)*(DATOS!$G$2:$G$20000=CONFIG_METADATA!$B$4)*(COUNTIF(CONFIG_ASIGNATURAS!$B$7:$B$27,DATOS!$I$2:$I$20000)&gt;0)*(DATOS!$K$2:$K$20000))/SUMPRODUCT((DATOS!$A$2:$A$20000=G685)*(DATOS!$G$2:$G$20000=CONFIG_METADATA!$B$4)*(COUNTIF(CONFIG_ASIGNATURAS!$B$7:$B$27,DATOS!$I$2:$I$20000)&gt;0)*1),"")))</f>
        <v/>
      </c>
      <c r="N685" t="str">
        <f>IF(M685="","",IF(M685="[FÓRMULA MANUAL]","",IFERROR(AVERAGEIFS(DATOS!$K$2:$K$20000,DATOS!$A$2:$A$20000,M685,DATOS!$G$2:$G$20000,CONFIG_METADATA!$B$4,DATOS!$I$2:$I$20000,"Armonía"),"")))</f>
        <v/>
      </c>
      <c r="O685" t="str">
        <f>IF(M685="","",IF(M685="[FÓRMULA MANUAL]","",IFERROR(AVERAGEIFS(DATOS!$K$2:$K$20000,DATOS!$A$2:$A$20000,M685,DATOS!$G$2:$G$20000,CONFIG_METADATA!$B$4,DATOS!$I$2:$I$20000,"Orquesta/Banda/Conjunto"),"")))</f>
        <v/>
      </c>
      <c r="P685" t="str">
        <f>IF(M685="","",IF(M685="[FÓRMULA MANUAL]","",IFERROR(AVERAGEIFS(DATOS!$K$2:$K$20000,DATOS!$A$2:$A$20000,M685,DATOS!$G$2:$G$20000,CONFIG_METADATA!$B$4,DATOS!$I$2:$I$20000,"Música de Cámara"),"")))</f>
        <v/>
      </c>
      <c r="Q685" t="str">
        <f>IF(M685="","",IF(M685="[FÓRMULA MANUAL]","",IFERROR(SUMPRODUCT((DATOS!$A$2:$A$20000=M685)*(DATOS!$G$2:$G$20000=CONFIG_METADATA!$B$4)*(COUNTIF(CONFIG_ASIGNATURAS!$B$7:$B$27,DATOS!$I$2:$I$20000)&gt;0)*(DATOS!$K$2:$K$20000))/SUMPRODUCT((DATOS!$A$2:$A$20000=M685)*(DATOS!$G$2:$G$20000=CONFIG_METADATA!$B$4)*(COUNTIF(CONFIG_ASIGNATURAS!$B$7:$B$27,DATOS!$I$2:$I$20000)&gt;0)*1),"")))</f>
        <v/>
      </c>
      <c r="T685" t="str">
        <f>IF(S685="","",IF(S685="[FÓRMULA MANUAL]","",IFERROR(AVERAGEIFS(DATOS!$K$2:$K$20000,DATOS!$A$2:$A$20000,S685,DATOS!$G$2:$G$20000,CONFIG_METADATA!$B$4,DATOS!$I$2:$I$20000,"Armonía"),"")))</f>
        <v/>
      </c>
      <c r="U685" t="str">
        <f>IF(S685="","",IF(S685="[FÓRMULA MANUAL]","",IFERROR(AVERAGEIFS(DATOS!$K$2:$K$20000,DATOS!$A$2:$A$20000,S685,DATOS!$G$2:$G$20000,CONFIG_METADATA!$B$4,DATOS!$I$2:$I$20000,"Orquesta/Banda/Conjunto"),"")))</f>
        <v/>
      </c>
      <c r="V685" t="str">
        <f>IF(S685="","",IF(S685="[FÓRMULA MANUAL]","",IFERROR(AVERAGEIFS(DATOS!$K$2:$K$20000,DATOS!$A$2:$A$20000,S685,DATOS!$G$2:$G$20000,CONFIG_METADATA!$B$4,DATOS!$I$2:$I$20000,"Música de Cámara"),"")))</f>
        <v/>
      </c>
      <c r="W685" t="str">
        <f>IF(S685="","",IF(S685="[FÓRMULA MANUAL]","",IFERROR(SUMPRODUCT((DATOS!$A$2:$A$20000=S685)*(DATOS!$G$2:$G$20000=CONFIG_METADATA!$B$4)*(COUNTIF(CONFIG_ASIGNATURAS!$B$7:$B$27,DATOS!$I$2:$I$20000)&gt;0)*(DATOS!$K$2:$K$20000))/SUMPRODUCT((DATOS!$A$2:$A$20000=S685)*(DATOS!$G$2:$G$20000=CONFIG_METADATA!$B$4)*(COUNTIF(CONFIG_ASIGNATURAS!$B$7:$B$27,DATOS!$I$2:$I$20000)&gt;0)*1),"")))</f>
        <v/>
      </c>
      <c r="Z685" t="str">
        <f>IF(Y685="","",IF(Y685="[FÓRMULA MANUAL]","",IFERROR(AVERAGEIFS(DATOS!$K$2:$K$20000,DATOS!$A$2:$A$20000,Y685,DATOS!$G$2:$G$20000,CONFIG_METADATA!$B$4,DATOS!$I$2:$I$20000,"Análisis"),"")))</f>
        <v/>
      </c>
      <c r="AA685" t="str">
        <f>IF(Y685="","",IF(Y685="[FÓRMULA MANUAL]","",IFERROR(AVERAGEIFS(DATOS!$K$2:$K$20000,DATOS!$A$2:$A$20000,Y685,DATOS!$G$2:$G$20000,CONFIG_METADATA!$B$4,DATOS!$I$2:$I$20000,"Orquesta/Banda/Conjunto"),"")))</f>
        <v/>
      </c>
      <c r="AB685" t="str">
        <f>IF(Y685="","",IF(Y685="[FÓRMULA MANUAL]","",IFERROR(AVERAGEIFS(DATOS!$K$2:$K$20000,DATOS!$A$2:$A$20000,Y685,DATOS!$G$2:$G$20000,CONFIG_METADATA!$B$4,DATOS!$I$2:$I$20000,"Música de Cámara"),"")))</f>
        <v/>
      </c>
      <c r="AC685" t="str">
        <f>IF(Y685="","",IF(Y685="[FÓRMULA MANUAL]","",IFERROR(SUMPRODUCT((DATOS!$A$2:$A$20000=Y685)*(DATOS!$G$2:$G$20000=CONFIG_METADATA!$B$4)*(COUNTIF(CONFIG_ASIGNATURAS!$B$7:$B$27,DATOS!$I$2:$I$20000)&gt;0)*(DATOS!$K$2:$K$20000))/SUMPRODUCT((DATOS!$A$2:$A$20000=Y685)*(DATOS!$G$2:$G$20000=CONFIG_METADATA!$B$4)*(COUNTIF(CONFIG_ASIGNATURAS!$B$7:$B$27,DATOS!$I$2:$I$20000)&gt;0)*1),"")))</f>
        <v/>
      </c>
      <c r="AF685" t="str">
        <f>IF(AE685="","",IF(AE685="[FÓRMULA MANUAL]","",IFERROR(AVERAGEIFS(DATOS!$K$2:$K$20000,DATOS!$A$2:$A$20000,AE685,DATOS!$G$2:$G$20000,CONFIG_METADATA!$B$4,DATOS!$I$2:$I$20000,"Análisis"),"")))</f>
        <v/>
      </c>
      <c r="AG685" t="str">
        <f>IF(AE685="","",IF(AE685="[FÓRMULA MANUAL]","",IFERROR(AVERAGEIFS(DATOS!$K$2:$K$20000,DATOS!$A$2:$A$20000,AE685,DATOS!$G$2:$G$20000,CONFIG_METADATA!$B$4,DATOS!$I$2:$I$20000,"Orquesta/Banda/Conjunto"),"")))</f>
        <v/>
      </c>
      <c r="AH685" t="str">
        <f>IF(AE685="","",IF(AE685="[FÓRMULA MANUAL]","",IFERROR(AVERAGEIFS(DATOS!$K$2:$K$20000,DATOS!$A$2:$A$20000,AE685,DATOS!$G$2:$G$20000,CONFIG_METADATA!$B$4,DATOS!$I$2:$I$20000,"Música de Cámara"),"")))</f>
        <v/>
      </c>
      <c r="AI685" t="str">
        <f>IF(AE685="","",IF(AE685="[FÓRMULA MANUAL]","",IFERROR(SUMPRODUCT((DATOS!$A$2:$A$20000=AE685)*(DATOS!$G$2:$G$20000=CONFIG_METADATA!$B$4)*(COUNTIF(CONFIG_ASIGNATURAS!$B$7:$B$27,DATOS!$I$2:$I$20000)&gt;0)*(DATOS!$K$2:$K$20000))/SUMPRODUCT((DATOS!$A$2:$A$20000=AE685)*(DATOS!$G$2:$G$20000=CONFIG_METADATA!$B$4)*(COUNTIF(CONFIG_ASIGNATURAS!$B$7:$B$27,DATOS!$I$2:$I$20000)&gt;0)*1),"")))</f>
        <v/>
      </c>
    </row>
    <row r="686" spans="2:35" x14ac:dyDescent="0.2">
      <c r="B686" t="str">
        <f>IF(A686="","",IF(A686="[FÓRMULA MANUAL]","",IFERROR(AVERAGEIFS(DATOS!$K$2:$K$20000,DATOS!$A$2:$A$20000,A686,DATOS!$G$2:$G$20000,CONFIG_METADATA!$B$4,DATOS!$I$2:$I$20000,"Lenguaje Musical"),"")))</f>
        <v/>
      </c>
      <c r="C686" t="str">
        <f>IF(A686="","",IF(A686="[FÓRMULA MANUAL]","",IFERROR(AVERAGEIFS(DATOS!$K$2:$K$20000,DATOS!$A$2:$A$20000,A686,DATOS!$G$2:$G$20000,CONFIG_METADATA!$B$4,DATOS!$I$2:$I$20000,"Orquesta/Banda/Conjunto"),"")))</f>
        <v/>
      </c>
      <c r="D686" t="str">
        <f>IF(A686="","",IF(A686="[FÓRMULA MANUAL]","",IFERROR(AVERAGEIFS(DATOS!$K$2:$K$20000,DATOS!$A$2:$A$20000,A686,DATOS!$G$2:$G$20000,CONFIG_METADATA!$B$4,DATOS!$I$2:$I$20000,"Conjunto"),"")))</f>
        <v/>
      </c>
      <c r="E686" t="str">
        <f>IF(A686="","",IF(A686="[FÓRMULA MANUAL]","",IFERROR(SUMPRODUCT((DATOS!$A$2:$A$20000=A686)*(DATOS!$G$2:$G$20000=CONFIG_METADATA!$B$4)*(COUNTIF(CONFIG_ASIGNATURAS!$B$7:$B$27,DATOS!$I$2:$I$20000)&gt;0)*(DATOS!$K$2:$K$20000))/SUMPRODUCT((DATOS!$A$2:$A$20000=A686)*(DATOS!$G$2:$G$20000=CONFIG_METADATA!$B$4)*(COUNTIF(CONFIG_ASIGNATURAS!$B$7:$B$27,DATOS!$I$2:$I$20000)&gt;0)*1),"")))</f>
        <v/>
      </c>
      <c r="H686" t="str">
        <f>IF(G686="","",IF(G686="[FÓRMULA MANUAL]","",IFERROR(AVERAGEIFS(DATOS!$K$2:$K$20000,DATOS!$A$2:$A$20000,G686,DATOS!$G$2:$G$20000,CONFIG_METADATA!$B$4,DATOS!$I$2:$I$20000,"Lenguaje Musical"),"")))</f>
        <v/>
      </c>
      <c r="I686" t="str">
        <f>IF(G686="","",IF(G686="[FÓRMULA MANUAL]","",IFERROR(AVERAGEIFS(DATOS!$K$2:$K$20000,DATOS!$A$2:$A$20000,G686,DATOS!$G$2:$G$20000,CONFIG_METADATA!$B$4,DATOS!$I$2:$I$20000,"Orquesta/Banda/Conjunto"),"")))</f>
        <v/>
      </c>
      <c r="J686" t="str">
        <f>IF(G686="","",IF(G686="[FÓRMULA MANUAL]","",IFERROR(AVERAGEIFS(DATOS!$K$2:$K$20000,DATOS!$A$2:$A$20000,G686,DATOS!$G$2:$G$20000,CONFIG_METADATA!$B$4,DATOS!$I$2:$I$20000,"Conjunto"),"")))</f>
        <v/>
      </c>
      <c r="K686" t="str">
        <f>IF(G686="","",IF(G686="[FÓRMULA MANUAL]","",IFERROR(SUMPRODUCT((DATOS!$A$2:$A$20000=G686)*(DATOS!$G$2:$G$20000=CONFIG_METADATA!$B$4)*(COUNTIF(CONFIG_ASIGNATURAS!$B$7:$B$27,DATOS!$I$2:$I$20000)&gt;0)*(DATOS!$K$2:$K$20000))/SUMPRODUCT((DATOS!$A$2:$A$20000=G686)*(DATOS!$G$2:$G$20000=CONFIG_METADATA!$B$4)*(COUNTIF(CONFIG_ASIGNATURAS!$B$7:$B$27,DATOS!$I$2:$I$20000)&gt;0)*1),"")))</f>
        <v/>
      </c>
      <c r="N686" t="str">
        <f>IF(M686="","",IF(M686="[FÓRMULA MANUAL]","",IFERROR(AVERAGEIFS(DATOS!$K$2:$K$20000,DATOS!$A$2:$A$20000,M686,DATOS!$G$2:$G$20000,CONFIG_METADATA!$B$4,DATOS!$I$2:$I$20000,"Armonía"),"")))</f>
        <v/>
      </c>
      <c r="O686" t="str">
        <f>IF(M686="","",IF(M686="[FÓRMULA MANUAL]","",IFERROR(AVERAGEIFS(DATOS!$K$2:$K$20000,DATOS!$A$2:$A$20000,M686,DATOS!$G$2:$G$20000,CONFIG_METADATA!$B$4,DATOS!$I$2:$I$20000,"Orquesta/Banda/Conjunto"),"")))</f>
        <v/>
      </c>
      <c r="P686" t="str">
        <f>IF(M686="","",IF(M686="[FÓRMULA MANUAL]","",IFERROR(AVERAGEIFS(DATOS!$K$2:$K$20000,DATOS!$A$2:$A$20000,M686,DATOS!$G$2:$G$20000,CONFIG_METADATA!$B$4,DATOS!$I$2:$I$20000,"Música de Cámara"),"")))</f>
        <v/>
      </c>
      <c r="Q686" t="str">
        <f>IF(M686="","",IF(M686="[FÓRMULA MANUAL]","",IFERROR(SUMPRODUCT((DATOS!$A$2:$A$20000=M686)*(DATOS!$G$2:$G$20000=CONFIG_METADATA!$B$4)*(COUNTIF(CONFIG_ASIGNATURAS!$B$7:$B$27,DATOS!$I$2:$I$20000)&gt;0)*(DATOS!$K$2:$K$20000))/SUMPRODUCT((DATOS!$A$2:$A$20000=M686)*(DATOS!$G$2:$G$20000=CONFIG_METADATA!$B$4)*(COUNTIF(CONFIG_ASIGNATURAS!$B$7:$B$27,DATOS!$I$2:$I$20000)&gt;0)*1),"")))</f>
        <v/>
      </c>
      <c r="T686" t="str">
        <f>IF(S686="","",IF(S686="[FÓRMULA MANUAL]","",IFERROR(AVERAGEIFS(DATOS!$K$2:$K$20000,DATOS!$A$2:$A$20000,S686,DATOS!$G$2:$G$20000,CONFIG_METADATA!$B$4,DATOS!$I$2:$I$20000,"Armonía"),"")))</f>
        <v/>
      </c>
      <c r="U686" t="str">
        <f>IF(S686="","",IF(S686="[FÓRMULA MANUAL]","",IFERROR(AVERAGEIFS(DATOS!$K$2:$K$20000,DATOS!$A$2:$A$20000,S686,DATOS!$G$2:$G$20000,CONFIG_METADATA!$B$4,DATOS!$I$2:$I$20000,"Orquesta/Banda/Conjunto"),"")))</f>
        <v/>
      </c>
      <c r="V686" t="str">
        <f>IF(S686="","",IF(S686="[FÓRMULA MANUAL]","",IFERROR(AVERAGEIFS(DATOS!$K$2:$K$20000,DATOS!$A$2:$A$20000,S686,DATOS!$G$2:$G$20000,CONFIG_METADATA!$B$4,DATOS!$I$2:$I$20000,"Música de Cámara"),"")))</f>
        <v/>
      </c>
      <c r="W686" t="str">
        <f>IF(S686="","",IF(S686="[FÓRMULA MANUAL]","",IFERROR(SUMPRODUCT((DATOS!$A$2:$A$20000=S686)*(DATOS!$G$2:$G$20000=CONFIG_METADATA!$B$4)*(COUNTIF(CONFIG_ASIGNATURAS!$B$7:$B$27,DATOS!$I$2:$I$20000)&gt;0)*(DATOS!$K$2:$K$20000))/SUMPRODUCT((DATOS!$A$2:$A$20000=S686)*(DATOS!$G$2:$G$20000=CONFIG_METADATA!$B$4)*(COUNTIF(CONFIG_ASIGNATURAS!$B$7:$B$27,DATOS!$I$2:$I$20000)&gt;0)*1),"")))</f>
        <v/>
      </c>
      <c r="Z686" t="str">
        <f>IF(Y686="","",IF(Y686="[FÓRMULA MANUAL]","",IFERROR(AVERAGEIFS(DATOS!$K$2:$K$20000,DATOS!$A$2:$A$20000,Y686,DATOS!$G$2:$G$20000,CONFIG_METADATA!$B$4,DATOS!$I$2:$I$20000,"Análisis"),"")))</f>
        <v/>
      </c>
      <c r="AA686" t="str">
        <f>IF(Y686="","",IF(Y686="[FÓRMULA MANUAL]","",IFERROR(AVERAGEIFS(DATOS!$K$2:$K$20000,DATOS!$A$2:$A$20000,Y686,DATOS!$G$2:$G$20000,CONFIG_METADATA!$B$4,DATOS!$I$2:$I$20000,"Orquesta/Banda/Conjunto"),"")))</f>
        <v/>
      </c>
      <c r="AB686" t="str">
        <f>IF(Y686="","",IF(Y686="[FÓRMULA MANUAL]","",IFERROR(AVERAGEIFS(DATOS!$K$2:$K$20000,DATOS!$A$2:$A$20000,Y686,DATOS!$G$2:$G$20000,CONFIG_METADATA!$B$4,DATOS!$I$2:$I$20000,"Música de Cámara"),"")))</f>
        <v/>
      </c>
      <c r="AC686" t="str">
        <f>IF(Y686="","",IF(Y686="[FÓRMULA MANUAL]","",IFERROR(SUMPRODUCT((DATOS!$A$2:$A$20000=Y686)*(DATOS!$G$2:$G$20000=CONFIG_METADATA!$B$4)*(COUNTIF(CONFIG_ASIGNATURAS!$B$7:$B$27,DATOS!$I$2:$I$20000)&gt;0)*(DATOS!$K$2:$K$20000))/SUMPRODUCT((DATOS!$A$2:$A$20000=Y686)*(DATOS!$G$2:$G$20000=CONFIG_METADATA!$B$4)*(COUNTIF(CONFIG_ASIGNATURAS!$B$7:$B$27,DATOS!$I$2:$I$20000)&gt;0)*1),"")))</f>
        <v/>
      </c>
      <c r="AF686" t="str">
        <f>IF(AE686="","",IF(AE686="[FÓRMULA MANUAL]","",IFERROR(AVERAGEIFS(DATOS!$K$2:$K$20000,DATOS!$A$2:$A$20000,AE686,DATOS!$G$2:$G$20000,CONFIG_METADATA!$B$4,DATOS!$I$2:$I$20000,"Análisis"),"")))</f>
        <v/>
      </c>
      <c r="AG686" t="str">
        <f>IF(AE686="","",IF(AE686="[FÓRMULA MANUAL]","",IFERROR(AVERAGEIFS(DATOS!$K$2:$K$20000,DATOS!$A$2:$A$20000,AE686,DATOS!$G$2:$G$20000,CONFIG_METADATA!$B$4,DATOS!$I$2:$I$20000,"Orquesta/Banda/Conjunto"),"")))</f>
        <v/>
      </c>
      <c r="AH686" t="str">
        <f>IF(AE686="","",IF(AE686="[FÓRMULA MANUAL]","",IFERROR(AVERAGEIFS(DATOS!$K$2:$K$20000,DATOS!$A$2:$A$20000,AE686,DATOS!$G$2:$G$20000,CONFIG_METADATA!$B$4,DATOS!$I$2:$I$20000,"Música de Cámara"),"")))</f>
        <v/>
      </c>
      <c r="AI686" t="str">
        <f>IF(AE686="","",IF(AE686="[FÓRMULA MANUAL]","",IFERROR(SUMPRODUCT((DATOS!$A$2:$A$20000=AE686)*(DATOS!$G$2:$G$20000=CONFIG_METADATA!$B$4)*(COUNTIF(CONFIG_ASIGNATURAS!$B$7:$B$27,DATOS!$I$2:$I$20000)&gt;0)*(DATOS!$K$2:$K$20000))/SUMPRODUCT((DATOS!$A$2:$A$20000=AE686)*(DATOS!$G$2:$G$20000=CONFIG_METADATA!$B$4)*(COUNTIF(CONFIG_ASIGNATURAS!$B$7:$B$27,DATOS!$I$2:$I$20000)&gt;0)*1),"")))</f>
        <v/>
      </c>
    </row>
    <row r="687" spans="2:35" x14ac:dyDescent="0.2">
      <c r="B687" t="str">
        <f>IF(A687="","",IF(A687="[FÓRMULA MANUAL]","",IFERROR(AVERAGEIFS(DATOS!$K$2:$K$20000,DATOS!$A$2:$A$20000,A687,DATOS!$G$2:$G$20000,CONFIG_METADATA!$B$4,DATOS!$I$2:$I$20000,"Lenguaje Musical"),"")))</f>
        <v/>
      </c>
      <c r="C687" t="str">
        <f>IF(A687="","",IF(A687="[FÓRMULA MANUAL]","",IFERROR(AVERAGEIFS(DATOS!$K$2:$K$20000,DATOS!$A$2:$A$20000,A687,DATOS!$G$2:$G$20000,CONFIG_METADATA!$B$4,DATOS!$I$2:$I$20000,"Orquesta/Banda/Conjunto"),"")))</f>
        <v/>
      </c>
      <c r="D687" t="str">
        <f>IF(A687="","",IF(A687="[FÓRMULA MANUAL]","",IFERROR(AVERAGEIFS(DATOS!$K$2:$K$20000,DATOS!$A$2:$A$20000,A687,DATOS!$G$2:$G$20000,CONFIG_METADATA!$B$4,DATOS!$I$2:$I$20000,"Conjunto"),"")))</f>
        <v/>
      </c>
      <c r="E687" t="str">
        <f>IF(A687="","",IF(A687="[FÓRMULA MANUAL]","",IFERROR(SUMPRODUCT((DATOS!$A$2:$A$20000=A687)*(DATOS!$G$2:$G$20000=CONFIG_METADATA!$B$4)*(COUNTIF(CONFIG_ASIGNATURAS!$B$7:$B$27,DATOS!$I$2:$I$20000)&gt;0)*(DATOS!$K$2:$K$20000))/SUMPRODUCT((DATOS!$A$2:$A$20000=A687)*(DATOS!$G$2:$G$20000=CONFIG_METADATA!$B$4)*(COUNTIF(CONFIG_ASIGNATURAS!$B$7:$B$27,DATOS!$I$2:$I$20000)&gt;0)*1),"")))</f>
        <v/>
      </c>
      <c r="H687" t="str">
        <f>IF(G687="","",IF(G687="[FÓRMULA MANUAL]","",IFERROR(AVERAGEIFS(DATOS!$K$2:$K$20000,DATOS!$A$2:$A$20000,G687,DATOS!$G$2:$G$20000,CONFIG_METADATA!$B$4,DATOS!$I$2:$I$20000,"Lenguaje Musical"),"")))</f>
        <v/>
      </c>
      <c r="I687" t="str">
        <f>IF(G687="","",IF(G687="[FÓRMULA MANUAL]","",IFERROR(AVERAGEIFS(DATOS!$K$2:$K$20000,DATOS!$A$2:$A$20000,G687,DATOS!$G$2:$G$20000,CONFIG_METADATA!$B$4,DATOS!$I$2:$I$20000,"Orquesta/Banda/Conjunto"),"")))</f>
        <v/>
      </c>
      <c r="J687" t="str">
        <f>IF(G687="","",IF(G687="[FÓRMULA MANUAL]","",IFERROR(AVERAGEIFS(DATOS!$K$2:$K$20000,DATOS!$A$2:$A$20000,G687,DATOS!$G$2:$G$20000,CONFIG_METADATA!$B$4,DATOS!$I$2:$I$20000,"Conjunto"),"")))</f>
        <v/>
      </c>
      <c r="K687" t="str">
        <f>IF(G687="","",IF(G687="[FÓRMULA MANUAL]","",IFERROR(SUMPRODUCT((DATOS!$A$2:$A$20000=G687)*(DATOS!$G$2:$G$20000=CONFIG_METADATA!$B$4)*(COUNTIF(CONFIG_ASIGNATURAS!$B$7:$B$27,DATOS!$I$2:$I$20000)&gt;0)*(DATOS!$K$2:$K$20000))/SUMPRODUCT((DATOS!$A$2:$A$20000=G687)*(DATOS!$G$2:$G$20000=CONFIG_METADATA!$B$4)*(COUNTIF(CONFIG_ASIGNATURAS!$B$7:$B$27,DATOS!$I$2:$I$20000)&gt;0)*1),"")))</f>
        <v/>
      </c>
      <c r="N687" t="str">
        <f>IF(M687="","",IF(M687="[FÓRMULA MANUAL]","",IFERROR(AVERAGEIFS(DATOS!$K$2:$K$20000,DATOS!$A$2:$A$20000,M687,DATOS!$G$2:$G$20000,CONFIG_METADATA!$B$4,DATOS!$I$2:$I$20000,"Armonía"),"")))</f>
        <v/>
      </c>
      <c r="O687" t="str">
        <f>IF(M687="","",IF(M687="[FÓRMULA MANUAL]","",IFERROR(AVERAGEIFS(DATOS!$K$2:$K$20000,DATOS!$A$2:$A$20000,M687,DATOS!$G$2:$G$20000,CONFIG_METADATA!$B$4,DATOS!$I$2:$I$20000,"Orquesta/Banda/Conjunto"),"")))</f>
        <v/>
      </c>
      <c r="P687" t="str">
        <f>IF(M687="","",IF(M687="[FÓRMULA MANUAL]","",IFERROR(AVERAGEIFS(DATOS!$K$2:$K$20000,DATOS!$A$2:$A$20000,M687,DATOS!$G$2:$G$20000,CONFIG_METADATA!$B$4,DATOS!$I$2:$I$20000,"Música de Cámara"),"")))</f>
        <v/>
      </c>
      <c r="Q687" t="str">
        <f>IF(M687="","",IF(M687="[FÓRMULA MANUAL]","",IFERROR(SUMPRODUCT((DATOS!$A$2:$A$20000=M687)*(DATOS!$G$2:$G$20000=CONFIG_METADATA!$B$4)*(COUNTIF(CONFIG_ASIGNATURAS!$B$7:$B$27,DATOS!$I$2:$I$20000)&gt;0)*(DATOS!$K$2:$K$20000))/SUMPRODUCT((DATOS!$A$2:$A$20000=M687)*(DATOS!$G$2:$G$20000=CONFIG_METADATA!$B$4)*(COUNTIF(CONFIG_ASIGNATURAS!$B$7:$B$27,DATOS!$I$2:$I$20000)&gt;0)*1),"")))</f>
        <v/>
      </c>
      <c r="T687" t="str">
        <f>IF(S687="","",IF(S687="[FÓRMULA MANUAL]","",IFERROR(AVERAGEIFS(DATOS!$K$2:$K$20000,DATOS!$A$2:$A$20000,S687,DATOS!$G$2:$G$20000,CONFIG_METADATA!$B$4,DATOS!$I$2:$I$20000,"Armonía"),"")))</f>
        <v/>
      </c>
      <c r="U687" t="str">
        <f>IF(S687="","",IF(S687="[FÓRMULA MANUAL]","",IFERROR(AVERAGEIFS(DATOS!$K$2:$K$20000,DATOS!$A$2:$A$20000,S687,DATOS!$G$2:$G$20000,CONFIG_METADATA!$B$4,DATOS!$I$2:$I$20000,"Orquesta/Banda/Conjunto"),"")))</f>
        <v/>
      </c>
      <c r="V687" t="str">
        <f>IF(S687="","",IF(S687="[FÓRMULA MANUAL]","",IFERROR(AVERAGEIFS(DATOS!$K$2:$K$20000,DATOS!$A$2:$A$20000,S687,DATOS!$G$2:$G$20000,CONFIG_METADATA!$B$4,DATOS!$I$2:$I$20000,"Música de Cámara"),"")))</f>
        <v/>
      </c>
      <c r="W687" t="str">
        <f>IF(S687="","",IF(S687="[FÓRMULA MANUAL]","",IFERROR(SUMPRODUCT((DATOS!$A$2:$A$20000=S687)*(DATOS!$G$2:$G$20000=CONFIG_METADATA!$B$4)*(COUNTIF(CONFIG_ASIGNATURAS!$B$7:$B$27,DATOS!$I$2:$I$20000)&gt;0)*(DATOS!$K$2:$K$20000))/SUMPRODUCT((DATOS!$A$2:$A$20000=S687)*(DATOS!$G$2:$G$20000=CONFIG_METADATA!$B$4)*(COUNTIF(CONFIG_ASIGNATURAS!$B$7:$B$27,DATOS!$I$2:$I$20000)&gt;0)*1),"")))</f>
        <v/>
      </c>
      <c r="Z687" t="str">
        <f>IF(Y687="","",IF(Y687="[FÓRMULA MANUAL]","",IFERROR(AVERAGEIFS(DATOS!$K$2:$K$20000,DATOS!$A$2:$A$20000,Y687,DATOS!$G$2:$G$20000,CONFIG_METADATA!$B$4,DATOS!$I$2:$I$20000,"Análisis"),"")))</f>
        <v/>
      </c>
      <c r="AA687" t="str">
        <f>IF(Y687="","",IF(Y687="[FÓRMULA MANUAL]","",IFERROR(AVERAGEIFS(DATOS!$K$2:$K$20000,DATOS!$A$2:$A$20000,Y687,DATOS!$G$2:$G$20000,CONFIG_METADATA!$B$4,DATOS!$I$2:$I$20000,"Orquesta/Banda/Conjunto"),"")))</f>
        <v/>
      </c>
      <c r="AB687" t="str">
        <f>IF(Y687="","",IF(Y687="[FÓRMULA MANUAL]","",IFERROR(AVERAGEIFS(DATOS!$K$2:$K$20000,DATOS!$A$2:$A$20000,Y687,DATOS!$G$2:$G$20000,CONFIG_METADATA!$B$4,DATOS!$I$2:$I$20000,"Música de Cámara"),"")))</f>
        <v/>
      </c>
      <c r="AC687" t="str">
        <f>IF(Y687="","",IF(Y687="[FÓRMULA MANUAL]","",IFERROR(SUMPRODUCT((DATOS!$A$2:$A$20000=Y687)*(DATOS!$G$2:$G$20000=CONFIG_METADATA!$B$4)*(COUNTIF(CONFIG_ASIGNATURAS!$B$7:$B$27,DATOS!$I$2:$I$20000)&gt;0)*(DATOS!$K$2:$K$20000))/SUMPRODUCT((DATOS!$A$2:$A$20000=Y687)*(DATOS!$G$2:$G$20000=CONFIG_METADATA!$B$4)*(COUNTIF(CONFIG_ASIGNATURAS!$B$7:$B$27,DATOS!$I$2:$I$20000)&gt;0)*1),"")))</f>
        <v/>
      </c>
      <c r="AF687" t="str">
        <f>IF(AE687="","",IF(AE687="[FÓRMULA MANUAL]","",IFERROR(AVERAGEIFS(DATOS!$K$2:$K$20000,DATOS!$A$2:$A$20000,AE687,DATOS!$G$2:$G$20000,CONFIG_METADATA!$B$4,DATOS!$I$2:$I$20000,"Análisis"),"")))</f>
        <v/>
      </c>
      <c r="AG687" t="str">
        <f>IF(AE687="","",IF(AE687="[FÓRMULA MANUAL]","",IFERROR(AVERAGEIFS(DATOS!$K$2:$K$20000,DATOS!$A$2:$A$20000,AE687,DATOS!$G$2:$G$20000,CONFIG_METADATA!$B$4,DATOS!$I$2:$I$20000,"Orquesta/Banda/Conjunto"),"")))</f>
        <v/>
      </c>
      <c r="AH687" t="str">
        <f>IF(AE687="","",IF(AE687="[FÓRMULA MANUAL]","",IFERROR(AVERAGEIFS(DATOS!$K$2:$K$20000,DATOS!$A$2:$A$20000,AE687,DATOS!$G$2:$G$20000,CONFIG_METADATA!$B$4,DATOS!$I$2:$I$20000,"Música de Cámara"),"")))</f>
        <v/>
      </c>
      <c r="AI687" t="str">
        <f>IF(AE687="","",IF(AE687="[FÓRMULA MANUAL]","",IFERROR(SUMPRODUCT((DATOS!$A$2:$A$20000=AE687)*(DATOS!$G$2:$G$20000=CONFIG_METADATA!$B$4)*(COUNTIF(CONFIG_ASIGNATURAS!$B$7:$B$27,DATOS!$I$2:$I$20000)&gt;0)*(DATOS!$K$2:$K$20000))/SUMPRODUCT((DATOS!$A$2:$A$20000=AE687)*(DATOS!$G$2:$G$20000=CONFIG_METADATA!$B$4)*(COUNTIF(CONFIG_ASIGNATURAS!$B$7:$B$27,DATOS!$I$2:$I$20000)&gt;0)*1),"")))</f>
        <v/>
      </c>
    </row>
    <row r="688" spans="2:35" x14ac:dyDescent="0.2">
      <c r="B688" t="str">
        <f>IF(A688="","",IF(A688="[FÓRMULA MANUAL]","",IFERROR(AVERAGEIFS(DATOS!$K$2:$K$20000,DATOS!$A$2:$A$20000,A688,DATOS!$G$2:$G$20000,CONFIG_METADATA!$B$4,DATOS!$I$2:$I$20000,"Lenguaje Musical"),"")))</f>
        <v/>
      </c>
      <c r="C688" t="str">
        <f>IF(A688="","",IF(A688="[FÓRMULA MANUAL]","",IFERROR(AVERAGEIFS(DATOS!$K$2:$K$20000,DATOS!$A$2:$A$20000,A688,DATOS!$G$2:$G$20000,CONFIG_METADATA!$B$4,DATOS!$I$2:$I$20000,"Orquesta/Banda/Conjunto"),"")))</f>
        <v/>
      </c>
      <c r="D688" t="str">
        <f>IF(A688="","",IF(A688="[FÓRMULA MANUAL]","",IFERROR(AVERAGEIFS(DATOS!$K$2:$K$20000,DATOS!$A$2:$A$20000,A688,DATOS!$G$2:$G$20000,CONFIG_METADATA!$B$4,DATOS!$I$2:$I$20000,"Conjunto"),"")))</f>
        <v/>
      </c>
      <c r="E688" t="str">
        <f>IF(A688="","",IF(A688="[FÓRMULA MANUAL]","",IFERROR(SUMPRODUCT((DATOS!$A$2:$A$20000=A688)*(DATOS!$G$2:$G$20000=CONFIG_METADATA!$B$4)*(COUNTIF(CONFIG_ASIGNATURAS!$B$7:$B$27,DATOS!$I$2:$I$20000)&gt;0)*(DATOS!$K$2:$K$20000))/SUMPRODUCT((DATOS!$A$2:$A$20000=A688)*(DATOS!$G$2:$G$20000=CONFIG_METADATA!$B$4)*(COUNTIF(CONFIG_ASIGNATURAS!$B$7:$B$27,DATOS!$I$2:$I$20000)&gt;0)*1),"")))</f>
        <v/>
      </c>
      <c r="H688" t="str">
        <f>IF(G688="","",IF(G688="[FÓRMULA MANUAL]","",IFERROR(AVERAGEIFS(DATOS!$K$2:$K$20000,DATOS!$A$2:$A$20000,G688,DATOS!$G$2:$G$20000,CONFIG_METADATA!$B$4,DATOS!$I$2:$I$20000,"Lenguaje Musical"),"")))</f>
        <v/>
      </c>
      <c r="I688" t="str">
        <f>IF(G688="","",IF(G688="[FÓRMULA MANUAL]","",IFERROR(AVERAGEIFS(DATOS!$K$2:$K$20000,DATOS!$A$2:$A$20000,G688,DATOS!$G$2:$G$20000,CONFIG_METADATA!$B$4,DATOS!$I$2:$I$20000,"Orquesta/Banda/Conjunto"),"")))</f>
        <v/>
      </c>
      <c r="J688" t="str">
        <f>IF(G688="","",IF(G688="[FÓRMULA MANUAL]","",IFERROR(AVERAGEIFS(DATOS!$K$2:$K$20000,DATOS!$A$2:$A$20000,G688,DATOS!$G$2:$G$20000,CONFIG_METADATA!$B$4,DATOS!$I$2:$I$20000,"Conjunto"),"")))</f>
        <v/>
      </c>
      <c r="K688" t="str">
        <f>IF(G688="","",IF(G688="[FÓRMULA MANUAL]","",IFERROR(SUMPRODUCT((DATOS!$A$2:$A$20000=G688)*(DATOS!$G$2:$G$20000=CONFIG_METADATA!$B$4)*(COUNTIF(CONFIG_ASIGNATURAS!$B$7:$B$27,DATOS!$I$2:$I$20000)&gt;0)*(DATOS!$K$2:$K$20000))/SUMPRODUCT((DATOS!$A$2:$A$20000=G688)*(DATOS!$G$2:$G$20000=CONFIG_METADATA!$B$4)*(COUNTIF(CONFIG_ASIGNATURAS!$B$7:$B$27,DATOS!$I$2:$I$20000)&gt;0)*1),"")))</f>
        <v/>
      </c>
      <c r="N688" t="str">
        <f>IF(M688="","",IF(M688="[FÓRMULA MANUAL]","",IFERROR(AVERAGEIFS(DATOS!$K$2:$K$20000,DATOS!$A$2:$A$20000,M688,DATOS!$G$2:$G$20000,CONFIG_METADATA!$B$4,DATOS!$I$2:$I$20000,"Armonía"),"")))</f>
        <v/>
      </c>
      <c r="O688" t="str">
        <f>IF(M688="","",IF(M688="[FÓRMULA MANUAL]","",IFERROR(AVERAGEIFS(DATOS!$K$2:$K$20000,DATOS!$A$2:$A$20000,M688,DATOS!$G$2:$G$20000,CONFIG_METADATA!$B$4,DATOS!$I$2:$I$20000,"Orquesta/Banda/Conjunto"),"")))</f>
        <v/>
      </c>
      <c r="P688" t="str">
        <f>IF(M688="","",IF(M688="[FÓRMULA MANUAL]","",IFERROR(AVERAGEIFS(DATOS!$K$2:$K$20000,DATOS!$A$2:$A$20000,M688,DATOS!$G$2:$G$20000,CONFIG_METADATA!$B$4,DATOS!$I$2:$I$20000,"Música de Cámara"),"")))</f>
        <v/>
      </c>
      <c r="Q688" t="str">
        <f>IF(M688="","",IF(M688="[FÓRMULA MANUAL]","",IFERROR(SUMPRODUCT((DATOS!$A$2:$A$20000=M688)*(DATOS!$G$2:$G$20000=CONFIG_METADATA!$B$4)*(COUNTIF(CONFIG_ASIGNATURAS!$B$7:$B$27,DATOS!$I$2:$I$20000)&gt;0)*(DATOS!$K$2:$K$20000))/SUMPRODUCT((DATOS!$A$2:$A$20000=M688)*(DATOS!$G$2:$G$20000=CONFIG_METADATA!$B$4)*(COUNTIF(CONFIG_ASIGNATURAS!$B$7:$B$27,DATOS!$I$2:$I$20000)&gt;0)*1),"")))</f>
        <v/>
      </c>
      <c r="T688" t="str">
        <f>IF(S688="","",IF(S688="[FÓRMULA MANUAL]","",IFERROR(AVERAGEIFS(DATOS!$K$2:$K$20000,DATOS!$A$2:$A$20000,S688,DATOS!$G$2:$G$20000,CONFIG_METADATA!$B$4,DATOS!$I$2:$I$20000,"Armonía"),"")))</f>
        <v/>
      </c>
      <c r="U688" t="str">
        <f>IF(S688="","",IF(S688="[FÓRMULA MANUAL]","",IFERROR(AVERAGEIFS(DATOS!$K$2:$K$20000,DATOS!$A$2:$A$20000,S688,DATOS!$G$2:$G$20000,CONFIG_METADATA!$B$4,DATOS!$I$2:$I$20000,"Orquesta/Banda/Conjunto"),"")))</f>
        <v/>
      </c>
      <c r="V688" t="str">
        <f>IF(S688="","",IF(S688="[FÓRMULA MANUAL]","",IFERROR(AVERAGEIFS(DATOS!$K$2:$K$20000,DATOS!$A$2:$A$20000,S688,DATOS!$G$2:$G$20000,CONFIG_METADATA!$B$4,DATOS!$I$2:$I$20000,"Música de Cámara"),"")))</f>
        <v/>
      </c>
      <c r="W688" t="str">
        <f>IF(S688="","",IF(S688="[FÓRMULA MANUAL]","",IFERROR(SUMPRODUCT((DATOS!$A$2:$A$20000=S688)*(DATOS!$G$2:$G$20000=CONFIG_METADATA!$B$4)*(COUNTIF(CONFIG_ASIGNATURAS!$B$7:$B$27,DATOS!$I$2:$I$20000)&gt;0)*(DATOS!$K$2:$K$20000))/SUMPRODUCT((DATOS!$A$2:$A$20000=S688)*(DATOS!$G$2:$G$20000=CONFIG_METADATA!$B$4)*(COUNTIF(CONFIG_ASIGNATURAS!$B$7:$B$27,DATOS!$I$2:$I$20000)&gt;0)*1),"")))</f>
        <v/>
      </c>
      <c r="Z688" t="str">
        <f>IF(Y688="","",IF(Y688="[FÓRMULA MANUAL]","",IFERROR(AVERAGEIFS(DATOS!$K$2:$K$20000,DATOS!$A$2:$A$20000,Y688,DATOS!$G$2:$G$20000,CONFIG_METADATA!$B$4,DATOS!$I$2:$I$20000,"Análisis"),"")))</f>
        <v/>
      </c>
      <c r="AA688" t="str">
        <f>IF(Y688="","",IF(Y688="[FÓRMULA MANUAL]","",IFERROR(AVERAGEIFS(DATOS!$K$2:$K$20000,DATOS!$A$2:$A$20000,Y688,DATOS!$G$2:$G$20000,CONFIG_METADATA!$B$4,DATOS!$I$2:$I$20000,"Orquesta/Banda/Conjunto"),"")))</f>
        <v/>
      </c>
      <c r="AB688" t="str">
        <f>IF(Y688="","",IF(Y688="[FÓRMULA MANUAL]","",IFERROR(AVERAGEIFS(DATOS!$K$2:$K$20000,DATOS!$A$2:$A$20000,Y688,DATOS!$G$2:$G$20000,CONFIG_METADATA!$B$4,DATOS!$I$2:$I$20000,"Música de Cámara"),"")))</f>
        <v/>
      </c>
      <c r="AC688" t="str">
        <f>IF(Y688="","",IF(Y688="[FÓRMULA MANUAL]","",IFERROR(SUMPRODUCT((DATOS!$A$2:$A$20000=Y688)*(DATOS!$G$2:$G$20000=CONFIG_METADATA!$B$4)*(COUNTIF(CONFIG_ASIGNATURAS!$B$7:$B$27,DATOS!$I$2:$I$20000)&gt;0)*(DATOS!$K$2:$K$20000))/SUMPRODUCT((DATOS!$A$2:$A$20000=Y688)*(DATOS!$G$2:$G$20000=CONFIG_METADATA!$B$4)*(COUNTIF(CONFIG_ASIGNATURAS!$B$7:$B$27,DATOS!$I$2:$I$20000)&gt;0)*1),"")))</f>
        <v/>
      </c>
      <c r="AF688" t="str">
        <f>IF(AE688="","",IF(AE688="[FÓRMULA MANUAL]","",IFERROR(AVERAGEIFS(DATOS!$K$2:$K$20000,DATOS!$A$2:$A$20000,AE688,DATOS!$G$2:$G$20000,CONFIG_METADATA!$B$4,DATOS!$I$2:$I$20000,"Análisis"),"")))</f>
        <v/>
      </c>
      <c r="AG688" t="str">
        <f>IF(AE688="","",IF(AE688="[FÓRMULA MANUAL]","",IFERROR(AVERAGEIFS(DATOS!$K$2:$K$20000,DATOS!$A$2:$A$20000,AE688,DATOS!$G$2:$G$20000,CONFIG_METADATA!$B$4,DATOS!$I$2:$I$20000,"Orquesta/Banda/Conjunto"),"")))</f>
        <v/>
      </c>
      <c r="AH688" t="str">
        <f>IF(AE688="","",IF(AE688="[FÓRMULA MANUAL]","",IFERROR(AVERAGEIFS(DATOS!$K$2:$K$20000,DATOS!$A$2:$A$20000,AE688,DATOS!$G$2:$G$20000,CONFIG_METADATA!$B$4,DATOS!$I$2:$I$20000,"Música de Cámara"),"")))</f>
        <v/>
      </c>
      <c r="AI688" t="str">
        <f>IF(AE688="","",IF(AE688="[FÓRMULA MANUAL]","",IFERROR(SUMPRODUCT((DATOS!$A$2:$A$20000=AE688)*(DATOS!$G$2:$G$20000=CONFIG_METADATA!$B$4)*(COUNTIF(CONFIG_ASIGNATURAS!$B$7:$B$27,DATOS!$I$2:$I$20000)&gt;0)*(DATOS!$K$2:$K$20000))/SUMPRODUCT((DATOS!$A$2:$A$20000=AE688)*(DATOS!$G$2:$G$20000=CONFIG_METADATA!$B$4)*(COUNTIF(CONFIG_ASIGNATURAS!$B$7:$B$27,DATOS!$I$2:$I$20000)&gt;0)*1),"")))</f>
        <v/>
      </c>
    </row>
    <row r="689" spans="2:35" x14ac:dyDescent="0.2">
      <c r="B689" t="str">
        <f>IF(A689="","",IF(A689="[FÓRMULA MANUAL]","",IFERROR(AVERAGEIFS(DATOS!$K$2:$K$20000,DATOS!$A$2:$A$20000,A689,DATOS!$G$2:$G$20000,CONFIG_METADATA!$B$4,DATOS!$I$2:$I$20000,"Lenguaje Musical"),"")))</f>
        <v/>
      </c>
      <c r="C689" t="str">
        <f>IF(A689="","",IF(A689="[FÓRMULA MANUAL]","",IFERROR(AVERAGEIFS(DATOS!$K$2:$K$20000,DATOS!$A$2:$A$20000,A689,DATOS!$G$2:$G$20000,CONFIG_METADATA!$B$4,DATOS!$I$2:$I$20000,"Orquesta/Banda/Conjunto"),"")))</f>
        <v/>
      </c>
      <c r="D689" t="str">
        <f>IF(A689="","",IF(A689="[FÓRMULA MANUAL]","",IFERROR(AVERAGEIFS(DATOS!$K$2:$K$20000,DATOS!$A$2:$A$20000,A689,DATOS!$G$2:$G$20000,CONFIG_METADATA!$B$4,DATOS!$I$2:$I$20000,"Conjunto"),"")))</f>
        <v/>
      </c>
      <c r="E689" t="str">
        <f>IF(A689="","",IF(A689="[FÓRMULA MANUAL]","",IFERROR(SUMPRODUCT((DATOS!$A$2:$A$20000=A689)*(DATOS!$G$2:$G$20000=CONFIG_METADATA!$B$4)*(COUNTIF(CONFIG_ASIGNATURAS!$B$7:$B$27,DATOS!$I$2:$I$20000)&gt;0)*(DATOS!$K$2:$K$20000))/SUMPRODUCT((DATOS!$A$2:$A$20000=A689)*(DATOS!$G$2:$G$20000=CONFIG_METADATA!$B$4)*(COUNTIF(CONFIG_ASIGNATURAS!$B$7:$B$27,DATOS!$I$2:$I$20000)&gt;0)*1),"")))</f>
        <v/>
      </c>
      <c r="H689" t="str">
        <f>IF(G689="","",IF(G689="[FÓRMULA MANUAL]","",IFERROR(AVERAGEIFS(DATOS!$K$2:$K$20000,DATOS!$A$2:$A$20000,G689,DATOS!$G$2:$G$20000,CONFIG_METADATA!$B$4,DATOS!$I$2:$I$20000,"Lenguaje Musical"),"")))</f>
        <v/>
      </c>
      <c r="I689" t="str">
        <f>IF(G689="","",IF(G689="[FÓRMULA MANUAL]","",IFERROR(AVERAGEIFS(DATOS!$K$2:$K$20000,DATOS!$A$2:$A$20000,G689,DATOS!$G$2:$G$20000,CONFIG_METADATA!$B$4,DATOS!$I$2:$I$20000,"Orquesta/Banda/Conjunto"),"")))</f>
        <v/>
      </c>
      <c r="J689" t="str">
        <f>IF(G689="","",IF(G689="[FÓRMULA MANUAL]","",IFERROR(AVERAGEIFS(DATOS!$K$2:$K$20000,DATOS!$A$2:$A$20000,G689,DATOS!$G$2:$G$20000,CONFIG_METADATA!$B$4,DATOS!$I$2:$I$20000,"Conjunto"),"")))</f>
        <v/>
      </c>
      <c r="K689" t="str">
        <f>IF(G689="","",IF(G689="[FÓRMULA MANUAL]","",IFERROR(SUMPRODUCT((DATOS!$A$2:$A$20000=G689)*(DATOS!$G$2:$G$20000=CONFIG_METADATA!$B$4)*(COUNTIF(CONFIG_ASIGNATURAS!$B$7:$B$27,DATOS!$I$2:$I$20000)&gt;0)*(DATOS!$K$2:$K$20000))/SUMPRODUCT((DATOS!$A$2:$A$20000=G689)*(DATOS!$G$2:$G$20000=CONFIG_METADATA!$B$4)*(COUNTIF(CONFIG_ASIGNATURAS!$B$7:$B$27,DATOS!$I$2:$I$20000)&gt;0)*1),"")))</f>
        <v/>
      </c>
      <c r="N689" t="str">
        <f>IF(M689="","",IF(M689="[FÓRMULA MANUAL]","",IFERROR(AVERAGEIFS(DATOS!$K$2:$K$20000,DATOS!$A$2:$A$20000,M689,DATOS!$G$2:$G$20000,CONFIG_METADATA!$B$4,DATOS!$I$2:$I$20000,"Armonía"),"")))</f>
        <v/>
      </c>
      <c r="O689" t="str">
        <f>IF(M689="","",IF(M689="[FÓRMULA MANUAL]","",IFERROR(AVERAGEIFS(DATOS!$K$2:$K$20000,DATOS!$A$2:$A$20000,M689,DATOS!$G$2:$G$20000,CONFIG_METADATA!$B$4,DATOS!$I$2:$I$20000,"Orquesta/Banda/Conjunto"),"")))</f>
        <v/>
      </c>
      <c r="P689" t="str">
        <f>IF(M689="","",IF(M689="[FÓRMULA MANUAL]","",IFERROR(AVERAGEIFS(DATOS!$K$2:$K$20000,DATOS!$A$2:$A$20000,M689,DATOS!$G$2:$G$20000,CONFIG_METADATA!$B$4,DATOS!$I$2:$I$20000,"Música de Cámara"),"")))</f>
        <v/>
      </c>
      <c r="Q689" t="str">
        <f>IF(M689="","",IF(M689="[FÓRMULA MANUAL]","",IFERROR(SUMPRODUCT((DATOS!$A$2:$A$20000=M689)*(DATOS!$G$2:$G$20000=CONFIG_METADATA!$B$4)*(COUNTIF(CONFIG_ASIGNATURAS!$B$7:$B$27,DATOS!$I$2:$I$20000)&gt;0)*(DATOS!$K$2:$K$20000))/SUMPRODUCT((DATOS!$A$2:$A$20000=M689)*(DATOS!$G$2:$G$20000=CONFIG_METADATA!$B$4)*(COUNTIF(CONFIG_ASIGNATURAS!$B$7:$B$27,DATOS!$I$2:$I$20000)&gt;0)*1),"")))</f>
        <v/>
      </c>
      <c r="T689" t="str">
        <f>IF(S689="","",IF(S689="[FÓRMULA MANUAL]","",IFERROR(AVERAGEIFS(DATOS!$K$2:$K$20000,DATOS!$A$2:$A$20000,S689,DATOS!$G$2:$G$20000,CONFIG_METADATA!$B$4,DATOS!$I$2:$I$20000,"Armonía"),"")))</f>
        <v/>
      </c>
      <c r="U689" t="str">
        <f>IF(S689="","",IF(S689="[FÓRMULA MANUAL]","",IFERROR(AVERAGEIFS(DATOS!$K$2:$K$20000,DATOS!$A$2:$A$20000,S689,DATOS!$G$2:$G$20000,CONFIG_METADATA!$B$4,DATOS!$I$2:$I$20000,"Orquesta/Banda/Conjunto"),"")))</f>
        <v/>
      </c>
      <c r="V689" t="str">
        <f>IF(S689="","",IF(S689="[FÓRMULA MANUAL]","",IFERROR(AVERAGEIFS(DATOS!$K$2:$K$20000,DATOS!$A$2:$A$20000,S689,DATOS!$G$2:$G$20000,CONFIG_METADATA!$B$4,DATOS!$I$2:$I$20000,"Música de Cámara"),"")))</f>
        <v/>
      </c>
      <c r="W689" t="str">
        <f>IF(S689="","",IF(S689="[FÓRMULA MANUAL]","",IFERROR(SUMPRODUCT((DATOS!$A$2:$A$20000=S689)*(DATOS!$G$2:$G$20000=CONFIG_METADATA!$B$4)*(COUNTIF(CONFIG_ASIGNATURAS!$B$7:$B$27,DATOS!$I$2:$I$20000)&gt;0)*(DATOS!$K$2:$K$20000))/SUMPRODUCT((DATOS!$A$2:$A$20000=S689)*(DATOS!$G$2:$G$20000=CONFIG_METADATA!$B$4)*(COUNTIF(CONFIG_ASIGNATURAS!$B$7:$B$27,DATOS!$I$2:$I$20000)&gt;0)*1),"")))</f>
        <v/>
      </c>
      <c r="Z689" t="str">
        <f>IF(Y689="","",IF(Y689="[FÓRMULA MANUAL]","",IFERROR(AVERAGEIFS(DATOS!$K$2:$K$20000,DATOS!$A$2:$A$20000,Y689,DATOS!$G$2:$G$20000,CONFIG_METADATA!$B$4,DATOS!$I$2:$I$20000,"Análisis"),"")))</f>
        <v/>
      </c>
      <c r="AA689" t="str">
        <f>IF(Y689="","",IF(Y689="[FÓRMULA MANUAL]","",IFERROR(AVERAGEIFS(DATOS!$K$2:$K$20000,DATOS!$A$2:$A$20000,Y689,DATOS!$G$2:$G$20000,CONFIG_METADATA!$B$4,DATOS!$I$2:$I$20000,"Orquesta/Banda/Conjunto"),"")))</f>
        <v/>
      </c>
      <c r="AB689" t="str">
        <f>IF(Y689="","",IF(Y689="[FÓRMULA MANUAL]","",IFERROR(AVERAGEIFS(DATOS!$K$2:$K$20000,DATOS!$A$2:$A$20000,Y689,DATOS!$G$2:$G$20000,CONFIG_METADATA!$B$4,DATOS!$I$2:$I$20000,"Música de Cámara"),"")))</f>
        <v/>
      </c>
      <c r="AC689" t="str">
        <f>IF(Y689="","",IF(Y689="[FÓRMULA MANUAL]","",IFERROR(SUMPRODUCT((DATOS!$A$2:$A$20000=Y689)*(DATOS!$G$2:$G$20000=CONFIG_METADATA!$B$4)*(COUNTIF(CONFIG_ASIGNATURAS!$B$7:$B$27,DATOS!$I$2:$I$20000)&gt;0)*(DATOS!$K$2:$K$20000))/SUMPRODUCT((DATOS!$A$2:$A$20000=Y689)*(DATOS!$G$2:$G$20000=CONFIG_METADATA!$B$4)*(COUNTIF(CONFIG_ASIGNATURAS!$B$7:$B$27,DATOS!$I$2:$I$20000)&gt;0)*1),"")))</f>
        <v/>
      </c>
      <c r="AF689" t="str">
        <f>IF(AE689="","",IF(AE689="[FÓRMULA MANUAL]","",IFERROR(AVERAGEIFS(DATOS!$K$2:$K$20000,DATOS!$A$2:$A$20000,AE689,DATOS!$G$2:$G$20000,CONFIG_METADATA!$B$4,DATOS!$I$2:$I$20000,"Análisis"),"")))</f>
        <v/>
      </c>
      <c r="AG689" t="str">
        <f>IF(AE689="","",IF(AE689="[FÓRMULA MANUAL]","",IFERROR(AVERAGEIFS(DATOS!$K$2:$K$20000,DATOS!$A$2:$A$20000,AE689,DATOS!$G$2:$G$20000,CONFIG_METADATA!$B$4,DATOS!$I$2:$I$20000,"Orquesta/Banda/Conjunto"),"")))</f>
        <v/>
      </c>
      <c r="AH689" t="str">
        <f>IF(AE689="","",IF(AE689="[FÓRMULA MANUAL]","",IFERROR(AVERAGEIFS(DATOS!$K$2:$K$20000,DATOS!$A$2:$A$20000,AE689,DATOS!$G$2:$G$20000,CONFIG_METADATA!$B$4,DATOS!$I$2:$I$20000,"Música de Cámara"),"")))</f>
        <v/>
      </c>
      <c r="AI689" t="str">
        <f>IF(AE689="","",IF(AE689="[FÓRMULA MANUAL]","",IFERROR(SUMPRODUCT((DATOS!$A$2:$A$20000=AE689)*(DATOS!$G$2:$G$20000=CONFIG_METADATA!$B$4)*(COUNTIF(CONFIG_ASIGNATURAS!$B$7:$B$27,DATOS!$I$2:$I$20000)&gt;0)*(DATOS!$K$2:$K$20000))/SUMPRODUCT((DATOS!$A$2:$A$20000=AE689)*(DATOS!$G$2:$G$20000=CONFIG_METADATA!$B$4)*(COUNTIF(CONFIG_ASIGNATURAS!$B$7:$B$27,DATOS!$I$2:$I$20000)&gt;0)*1),"")))</f>
        <v/>
      </c>
    </row>
    <row r="690" spans="2:35" x14ac:dyDescent="0.2">
      <c r="B690" t="str">
        <f>IF(A690="","",IF(A690="[FÓRMULA MANUAL]","",IFERROR(AVERAGEIFS(DATOS!$K$2:$K$20000,DATOS!$A$2:$A$20000,A690,DATOS!$G$2:$G$20000,CONFIG_METADATA!$B$4,DATOS!$I$2:$I$20000,"Lenguaje Musical"),"")))</f>
        <v/>
      </c>
      <c r="C690" t="str">
        <f>IF(A690="","",IF(A690="[FÓRMULA MANUAL]","",IFERROR(AVERAGEIFS(DATOS!$K$2:$K$20000,DATOS!$A$2:$A$20000,A690,DATOS!$G$2:$G$20000,CONFIG_METADATA!$B$4,DATOS!$I$2:$I$20000,"Orquesta/Banda/Conjunto"),"")))</f>
        <v/>
      </c>
      <c r="D690" t="str">
        <f>IF(A690="","",IF(A690="[FÓRMULA MANUAL]","",IFERROR(AVERAGEIFS(DATOS!$K$2:$K$20000,DATOS!$A$2:$A$20000,A690,DATOS!$G$2:$G$20000,CONFIG_METADATA!$B$4,DATOS!$I$2:$I$20000,"Conjunto"),"")))</f>
        <v/>
      </c>
      <c r="E690" t="str">
        <f>IF(A690="","",IF(A690="[FÓRMULA MANUAL]","",IFERROR(SUMPRODUCT((DATOS!$A$2:$A$20000=A690)*(DATOS!$G$2:$G$20000=CONFIG_METADATA!$B$4)*(COUNTIF(CONFIG_ASIGNATURAS!$B$7:$B$27,DATOS!$I$2:$I$20000)&gt;0)*(DATOS!$K$2:$K$20000))/SUMPRODUCT((DATOS!$A$2:$A$20000=A690)*(DATOS!$G$2:$G$20000=CONFIG_METADATA!$B$4)*(COUNTIF(CONFIG_ASIGNATURAS!$B$7:$B$27,DATOS!$I$2:$I$20000)&gt;0)*1),"")))</f>
        <v/>
      </c>
      <c r="H690" t="str">
        <f>IF(G690="","",IF(G690="[FÓRMULA MANUAL]","",IFERROR(AVERAGEIFS(DATOS!$K$2:$K$20000,DATOS!$A$2:$A$20000,G690,DATOS!$G$2:$G$20000,CONFIG_METADATA!$B$4,DATOS!$I$2:$I$20000,"Lenguaje Musical"),"")))</f>
        <v/>
      </c>
      <c r="I690" t="str">
        <f>IF(G690="","",IF(G690="[FÓRMULA MANUAL]","",IFERROR(AVERAGEIFS(DATOS!$K$2:$K$20000,DATOS!$A$2:$A$20000,G690,DATOS!$G$2:$G$20000,CONFIG_METADATA!$B$4,DATOS!$I$2:$I$20000,"Orquesta/Banda/Conjunto"),"")))</f>
        <v/>
      </c>
      <c r="J690" t="str">
        <f>IF(G690="","",IF(G690="[FÓRMULA MANUAL]","",IFERROR(AVERAGEIFS(DATOS!$K$2:$K$20000,DATOS!$A$2:$A$20000,G690,DATOS!$G$2:$G$20000,CONFIG_METADATA!$B$4,DATOS!$I$2:$I$20000,"Conjunto"),"")))</f>
        <v/>
      </c>
      <c r="K690" t="str">
        <f>IF(G690="","",IF(G690="[FÓRMULA MANUAL]","",IFERROR(SUMPRODUCT((DATOS!$A$2:$A$20000=G690)*(DATOS!$G$2:$G$20000=CONFIG_METADATA!$B$4)*(COUNTIF(CONFIG_ASIGNATURAS!$B$7:$B$27,DATOS!$I$2:$I$20000)&gt;0)*(DATOS!$K$2:$K$20000))/SUMPRODUCT((DATOS!$A$2:$A$20000=G690)*(DATOS!$G$2:$G$20000=CONFIG_METADATA!$B$4)*(COUNTIF(CONFIG_ASIGNATURAS!$B$7:$B$27,DATOS!$I$2:$I$20000)&gt;0)*1),"")))</f>
        <v/>
      </c>
      <c r="N690" t="str">
        <f>IF(M690="","",IF(M690="[FÓRMULA MANUAL]","",IFERROR(AVERAGEIFS(DATOS!$K$2:$K$20000,DATOS!$A$2:$A$20000,M690,DATOS!$G$2:$G$20000,CONFIG_METADATA!$B$4,DATOS!$I$2:$I$20000,"Armonía"),"")))</f>
        <v/>
      </c>
      <c r="O690" t="str">
        <f>IF(M690="","",IF(M690="[FÓRMULA MANUAL]","",IFERROR(AVERAGEIFS(DATOS!$K$2:$K$20000,DATOS!$A$2:$A$20000,M690,DATOS!$G$2:$G$20000,CONFIG_METADATA!$B$4,DATOS!$I$2:$I$20000,"Orquesta/Banda/Conjunto"),"")))</f>
        <v/>
      </c>
      <c r="P690" t="str">
        <f>IF(M690="","",IF(M690="[FÓRMULA MANUAL]","",IFERROR(AVERAGEIFS(DATOS!$K$2:$K$20000,DATOS!$A$2:$A$20000,M690,DATOS!$G$2:$G$20000,CONFIG_METADATA!$B$4,DATOS!$I$2:$I$20000,"Música de Cámara"),"")))</f>
        <v/>
      </c>
      <c r="Q690" t="str">
        <f>IF(M690="","",IF(M690="[FÓRMULA MANUAL]","",IFERROR(SUMPRODUCT((DATOS!$A$2:$A$20000=M690)*(DATOS!$G$2:$G$20000=CONFIG_METADATA!$B$4)*(COUNTIF(CONFIG_ASIGNATURAS!$B$7:$B$27,DATOS!$I$2:$I$20000)&gt;0)*(DATOS!$K$2:$K$20000))/SUMPRODUCT((DATOS!$A$2:$A$20000=M690)*(DATOS!$G$2:$G$20000=CONFIG_METADATA!$B$4)*(COUNTIF(CONFIG_ASIGNATURAS!$B$7:$B$27,DATOS!$I$2:$I$20000)&gt;0)*1),"")))</f>
        <v/>
      </c>
      <c r="T690" t="str">
        <f>IF(S690="","",IF(S690="[FÓRMULA MANUAL]","",IFERROR(AVERAGEIFS(DATOS!$K$2:$K$20000,DATOS!$A$2:$A$20000,S690,DATOS!$G$2:$G$20000,CONFIG_METADATA!$B$4,DATOS!$I$2:$I$20000,"Armonía"),"")))</f>
        <v/>
      </c>
      <c r="U690" t="str">
        <f>IF(S690="","",IF(S690="[FÓRMULA MANUAL]","",IFERROR(AVERAGEIFS(DATOS!$K$2:$K$20000,DATOS!$A$2:$A$20000,S690,DATOS!$G$2:$G$20000,CONFIG_METADATA!$B$4,DATOS!$I$2:$I$20000,"Orquesta/Banda/Conjunto"),"")))</f>
        <v/>
      </c>
      <c r="V690" t="str">
        <f>IF(S690="","",IF(S690="[FÓRMULA MANUAL]","",IFERROR(AVERAGEIFS(DATOS!$K$2:$K$20000,DATOS!$A$2:$A$20000,S690,DATOS!$G$2:$G$20000,CONFIG_METADATA!$B$4,DATOS!$I$2:$I$20000,"Música de Cámara"),"")))</f>
        <v/>
      </c>
      <c r="W690" t="str">
        <f>IF(S690="","",IF(S690="[FÓRMULA MANUAL]","",IFERROR(SUMPRODUCT((DATOS!$A$2:$A$20000=S690)*(DATOS!$G$2:$G$20000=CONFIG_METADATA!$B$4)*(COUNTIF(CONFIG_ASIGNATURAS!$B$7:$B$27,DATOS!$I$2:$I$20000)&gt;0)*(DATOS!$K$2:$K$20000))/SUMPRODUCT((DATOS!$A$2:$A$20000=S690)*(DATOS!$G$2:$G$20000=CONFIG_METADATA!$B$4)*(COUNTIF(CONFIG_ASIGNATURAS!$B$7:$B$27,DATOS!$I$2:$I$20000)&gt;0)*1),"")))</f>
        <v/>
      </c>
      <c r="Z690" t="str">
        <f>IF(Y690="","",IF(Y690="[FÓRMULA MANUAL]","",IFERROR(AVERAGEIFS(DATOS!$K$2:$K$20000,DATOS!$A$2:$A$20000,Y690,DATOS!$G$2:$G$20000,CONFIG_METADATA!$B$4,DATOS!$I$2:$I$20000,"Análisis"),"")))</f>
        <v/>
      </c>
      <c r="AA690" t="str">
        <f>IF(Y690="","",IF(Y690="[FÓRMULA MANUAL]","",IFERROR(AVERAGEIFS(DATOS!$K$2:$K$20000,DATOS!$A$2:$A$20000,Y690,DATOS!$G$2:$G$20000,CONFIG_METADATA!$B$4,DATOS!$I$2:$I$20000,"Orquesta/Banda/Conjunto"),"")))</f>
        <v/>
      </c>
      <c r="AB690" t="str">
        <f>IF(Y690="","",IF(Y690="[FÓRMULA MANUAL]","",IFERROR(AVERAGEIFS(DATOS!$K$2:$K$20000,DATOS!$A$2:$A$20000,Y690,DATOS!$G$2:$G$20000,CONFIG_METADATA!$B$4,DATOS!$I$2:$I$20000,"Música de Cámara"),"")))</f>
        <v/>
      </c>
      <c r="AC690" t="str">
        <f>IF(Y690="","",IF(Y690="[FÓRMULA MANUAL]","",IFERROR(SUMPRODUCT((DATOS!$A$2:$A$20000=Y690)*(DATOS!$G$2:$G$20000=CONFIG_METADATA!$B$4)*(COUNTIF(CONFIG_ASIGNATURAS!$B$7:$B$27,DATOS!$I$2:$I$20000)&gt;0)*(DATOS!$K$2:$K$20000))/SUMPRODUCT((DATOS!$A$2:$A$20000=Y690)*(DATOS!$G$2:$G$20000=CONFIG_METADATA!$B$4)*(COUNTIF(CONFIG_ASIGNATURAS!$B$7:$B$27,DATOS!$I$2:$I$20000)&gt;0)*1),"")))</f>
        <v/>
      </c>
      <c r="AF690" t="str">
        <f>IF(AE690="","",IF(AE690="[FÓRMULA MANUAL]","",IFERROR(AVERAGEIFS(DATOS!$K$2:$K$20000,DATOS!$A$2:$A$20000,AE690,DATOS!$G$2:$G$20000,CONFIG_METADATA!$B$4,DATOS!$I$2:$I$20000,"Análisis"),"")))</f>
        <v/>
      </c>
      <c r="AG690" t="str">
        <f>IF(AE690="","",IF(AE690="[FÓRMULA MANUAL]","",IFERROR(AVERAGEIFS(DATOS!$K$2:$K$20000,DATOS!$A$2:$A$20000,AE690,DATOS!$G$2:$G$20000,CONFIG_METADATA!$B$4,DATOS!$I$2:$I$20000,"Orquesta/Banda/Conjunto"),"")))</f>
        <v/>
      </c>
      <c r="AH690" t="str">
        <f>IF(AE690="","",IF(AE690="[FÓRMULA MANUAL]","",IFERROR(AVERAGEIFS(DATOS!$K$2:$K$20000,DATOS!$A$2:$A$20000,AE690,DATOS!$G$2:$G$20000,CONFIG_METADATA!$B$4,DATOS!$I$2:$I$20000,"Música de Cámara"),"")))</f>
        <v/>
      </c>
      <c r="AI690" t="str">
        <f>IF(AE690="","",IF(AE690="[FÓRMULA MANUAL]","",IFERROR(SUMPRODUCT((DATOS!$A$2:$A$20000=AE690)*(DATOS!$G$2:$G$20000=CONFIG_METADATA!$B$4)*(COUNTIF(CONFIG_ASIGNATURAS!$B$7:$B$27,DATOS!$I$2:$I$20000)&gt;0)*(DATOS!$K$2:$K$20000))/SUMPRODUCT((DATOS!$A$2:$A$20000=AE690)*(DATOS!$G$2:$G$20000=CONFIG_METADATA!$B$4)*(COUNTIF(CONFIG_ASIGNATURAS!$B$7:$B$27,DATOS!$I$2:$I$20000)&gt;0)*1),"")))</f>
        <v/>
      </c>
    </row>
    <row r="691" spans="2:35" x14ac:dyDescent="0.2">
      <c r="B691" t="str">
        <f>IF(A691="","",IF(A691="[FÓRMULA MANUAL]","",IFERROR(AVERAGEIFS(DATOS!$K$2:$K$20000,DATOS!$A$2:$A$20000,A691,DATOS!$G$2:$G$20000,CONFIG_METADATA!$B$4,DATOS!$I$2:$I$20000,"Lenguaje Musical"),"")))</f>
        <v/>
      </c>
      <c r="C691" t="str">
        <f>IF(A691="","",IF(A691="[FÓRMULA MANUAL]","",IFERROR(AVERAGEIFS(DATOS!$K$2:$K$20000,DATOS!$A$2:$A$20000,A691,DATOS!$G$2:$G$20000,CONFIG_METADATA!$B$4,DATOS!$I$2:$I$20000,"Orquesta/Banda/Conjunto"),"")))</f>
        <v/>
      </c>
      <c r="D691" t="str">
        <f>IF(A691="","",IF(A691="[FÓRMULA MANUAL]","",IFERROR(AVERAGEIFS(DATOS!$K$2:$K$20000,DATOS!$A$2:$A$20000,A691,DATOS!$G$2:$G$20000,CONFIG_METADATA!$B$4,DATOS!$I$2:$I$20000,"Conjunto"),"")))</f>
        <v/>
      </c>
      <c r="E691" t="str">
        <f>IF(A691="","",IF(A691="[FÓRMULA MANUAL]","",IFERROR(SUMPRODUCT((DATOS!$A$2:$A$20000=A691)*(DATOS!$G$2:$G$20000=CONFIG_METADATA!$B$4)*(COUNTIF(CONFIG_ASIGNATURAS!$B$7:$B$27,DATOS!$I$2:$I$20000)&gt;0)*(DATOS!$K$2:$K$20000))/SUMPRODUCT((DATOS!$A$2:$A$20000=A691)*(DATOS!$G$2:$G$20000=CONFIG_METADATA!$B$4)*(COUNTIF(CONFIG_ASIGNATURAS!$B$7:$B$27,DATOS!$I$2:$I$20000)&gt;0)*1),"")))</f>
        <v/>
      </c>
      <c r="H691" t="str">
        <f>IF(G691="","",IF(G691="[FÓRMULA MANUAL]","",IFERROR(AVERAGEIFS(DATOS!$K$2:$K$20000,DATOS!$A$2:$A$20000,G691,DATOS!$G$2:$G$20000,CONFIG_METADATA!$B$4,DATOS!$I$2:$I$20000,"Lenguaje Musical"),"")))</f>
        <v/>
      </c>
      <c r="I691" t="str">
        <f>IF(G691="","",IF(G691="[FÓRMULA MANUAL]","",IFERROR(AVERAGEIFS(DATOS!$K$2:$K$20000,DATOS!$A$2:$A$20000,G691,DATOS!$G$2:$G$20000,CONFIG_METADATA!$B$4,DATOS!$I$2:$I$20000,"Orquesta/Banda/Conjunto"),"")))</f>
        <v/>
      </c>
      <c r="J691" t="str">
        <f>IF(G691="","",IF(G691="[FÓRMULA MANUAL]","",IFERROR(AVERAGEIFS(DATOS!$K$2:$K$20000,DATOS!$A$2:$A$20000,G691,DATOS!$G$2:$G$20000,CONFIG_METADATA!$B$4,DATOS!$I$2:$I$20000,"Conjunto"),"")))</f>
        <v/>
      </c>
      <c r="K691" t="str">
        <f>IF(G691="","",IF(G691="[FÓRMULA MANUAL]","",IFERROR(SUMPRODUCT((DATOS!$A$2:$A$20000=G691)*(DATOS!$G$2:$G$20000=CONFIG_METADATA!$B$4)*(COUNTIF(CONFIG_ASIGNATURAS!$B$7:$B$27,DATOS!$I$2:$I$20000)&gt;0)*(DATOS!$K$2:$K$20000))/SUMPRODUCT((DATOS!$A$2:$A$20000=G691)*(DATOS!$G$2:$G$20000=CONFIG_METADATA!$B$4)*(COUNTIF(CONFIG_ASIGNATURAS!$B$7:$B$27,DATOS!$I$2:$I$20000)&gt;0)*1),"")))</f>
        <v/>
      </c>
      <c r="N691" t="str">
        <f>IF(M691="","",IF(M691="[FÓRMULA MANUAL]","",IFERROR(AVERAGEIFS(DATOS!$K$2:$K$20000,DATOS!$A$2:$A$20000,M691,DATOS!$G$2:$G$20000,CONFIG_METADATA!$B$4,DATOS!$I$2:$I$20000,"Armonía"),"")))</f>
        <v/>
      </c>
      <c r="O691" t="str">
        <f>IF(M691="","",IF(M691="[FÓRMULA MANUAL]","",IFERROR(AVERAGEIFS(DATOS!$K$2:$K$20000,DATOS!$A$2:$A$20000,M691,DATOS!$G$2:$G$20000,CONFIG_METADATA!$B$4,DATOS!$I$2:$I$20000,"Orquesta/Banda/Conjunto"),"")))</f>
        <v/>
      </c>
      <c r="P691" t="str">
        <f>IF(M691="","",IF(M691="[FÓRMULA MANUAL]","",IFERROR(AVERAGEIFS(DATOS!$K$2:$K$20000,DATOS!$A$2:$A$20000,M691,DATOS!$G$2:$G$20000,CONFIG_METADATA!$B$4,DATOS!$I$2:$I$20000,"Música de Cámara"),"")))</f>
        <v/>
      </c>
      <c r="Q691" t="str">
        <f>IF(M691="","",IF(M691="[FÓRMULA MANUAL]","",IFERROR(SUMPRODUCT((DATOS!$A$2:$A$20000=M691)*(DATOS!$G$2:$G$20000=CONFIG_METADATA!$B$4)*(COUNTIF(CONFIG_ASIGNATURAS!$B$7:$B$27,DATOS!$I$2:$I$20000)&gt;0)*(DATOS!$K$2:$K$20000))/SUMPRODUCT((DATOS!$A$2:$A$20000=M691)*(DATOS!$G$2:$G$20000=CONFIG_METADATA!$B$4)*(COUNTIF(CONFIG_ASIGNATURAS!$B$7:$B$27,DATOS!$I$2:$I$20000)&gt;0)*1),"")))</f>
        <v/>
      </c>
      <c r="T691" t="str">
        <f>IF(S691="","",IF(S691="[FÓRMULA MANUAL]","",IFERROR(AVERAGEIFS(DATOS!$K$2:$K$20000,DATOS!$A$2:$A$20000,S691,DATOS!$G$2:$G$20000,CONFIG_METADATA!$B$4,DATOS!$I$2:$I$20000,"Armonía"),"")))</f>
        <v/>
      </c>
      <c r="U691" t="str">
        <f>IF(S691="","",IF(S691="[FÓRMULA MANUAL]","",IFERROR(AVERAGEIFS(DATOS!$K$2:$K$20000,DATOS!$A$2:$A$20000,S691,DATOS!$G$2:$G$20000,CONFIG_METADATA!$B$4,DATOS!$I$2:$I$20000,"Orquesta/Banda/Conjunto"),"")))</f>
        <v/>
      </c>
      <c r="V691" t="str">
        <f>IF(S691="","",IF(S691="[FÓRMULA MANUAL]","",IFERROR(AVERAGEIFS(DATOS!$K$2:$K$20000,DATOS!$A$2:$A$20000,S691,DATOS!$G$2:$G$20000,CONFIG_METADATA!$B$4,DATOS!$I$2:$I$20000,"Música de Cámara"),"")))</f>
        <v/>
      </c>
      <c r="W691" t="str">
        <f>IF(S691="","",IF(S691="[FÓRMULA MANUAL]","",IFERROR(SUMPRODUCT((DATOS!$A$2:$A$20000=S691)*(DATOS!$G$2:$G$20000=CONFIG_METADATA!$B$4)*(COUNTIF(CONFIG_ASIGNATURAS!$B$7:$B$27,DATOS!$I$2:$I$20000)&gt;0)*(DATOS!$K$2:$K$20000))/SUMPRODUCT((DATOS!$A$2:$A$20000=S691)*(DATOS!$G$2:$G$20000=CONFIG_METADATA!$B$4)*(COUNTIF(CONFIG_ASIGNATURAS!$B$7:$B$27,DATOS!$I$2:$I$20000)&gt;0)*1),"")))</f>
        <v/>
      </c>
      <c r="Z691" t="str">
        <f>IF(Y691="","",IF(Y691="[FÓRMULA MANUAL]","",IFERROR(AVERAGEIFS(DATOS!$K$2:$K$20000,DATOS!$A$2:$A$20000,Y691,DATOS!$G$2:$G$20000,CONFIG_METADATA!$B$4,DATOS!$I$2:$I$20000,"Análisis"),"")))</f>
        <v/>
      </c>
      <c r="AA691" t="str">
        <f>IF(Y691="","",IF(Y691="[FÓRMULA MANUAL]","",IFERROR(AVERAGEIFS(DATOS!$K$2:$K$20000,DATOS!$A$2:$A$20000,Y691,DATOS!$G$2:$G$20000,CONFIG_METADATA!$B$4,DATOS!$I$2:$I$20000,"Orquesta/Banda/Conjunto"),"")))</f>
        <v/>
      </c>
      <c r="AB691" t="str">
        <f>IF(Y691="","",IF(Y691="[FÓRMULA MANUAL]","",IFERROR(AVERAGEIFS(DATOS!$K$2:$K$20000,DATOS!$A$2:$A$20000,Y691,DATOS!$G$2:$G$20000,CONFIG_METADATA!$B$4,DATOS!$I$2:$I$20000,"Música de Cámara"),"")))</f>
        <v/>
      </c>
      <c r="AC691" t="str">
        <f>IF(Y691="","",IF(Y691="[FÓRMULA MANUAL]","",IFERROR(SUMPRODUCT((DATOS!$A$2:$A$20000=Y691)*(DATOS!$G$2:$G$20000=CONFIG_METADATA!$B$4)*(COUNTIF(CONFIG_ASIGNATURAS!$B$7:$B$27,DATOS!$I$2:$I$20000)&gt;0)*(DATOS!$K$2:$K$20000))/SUMPRODUCT((DATOS!$A$2:$A$20000=Y691)*(DATOS!$G$2:$G$20000=CONFIG_METADATA!$B$4)*(COUNTIF(CONFIG_ASIGNATURAS!$B$7:$B$27,DATOS!$I$2:$I$20000)&gt;0)*1),"")))</f>
        <v/>
      </c>
      <c r="AF691" t="str">
        <f>IF(AE691="","",IF(AE691="[FÓRMULA MANUAL]","",IFERROR(AVERAGEIFS(DATOS!$K$2:$K$20000,DATOS!$A$2:$A$20000,AE691,DATOS!$G$2:$G$20000,CONFIG_METADATA!$B$4,DATOS!$I$2:$I$20000,"Análisis"),"")))</f>
        <v/>
      </c>
      <c r="AG691" t="str">
        <f>IF(AE691="","",IF(AE691="[FÓRMULA MANUAL]","",IFERROR(AVERAGEIFS(DATOS!$K$2:$K$20000,DATOS!$A$2:$A$20000,AE691,DATOS!$G$2:$G$20000,CONFIG_METADATA!$B$4,DATOS!$I$2:$I$20000,"Orquesta/Banda/Conjunto"),"")))</f>
        <v/>
      </c>
      <c r="AH691" t="str">
        <f>IF(AE691="","",IF(AE691="[FÓRMULA MANUAL]","",IFERROR(AVERAGEIFS(DATOS!$K$2:$K$20000,DATOS!$A$2:$A$20000,AE691,DATOS!$G$2:$G$20000,CONFIG_METADATA!$B$4,DATOS!$I$2:$I$20000,"Música de Cámara"),"")))</f>
        <v/>
      </c>
      <c r="AI691" t="str">
        <f>IF(AE691="","",IF(AE691="[FÓRMULA MANUAL]","",IFERROR(SUMPRODUCT((DATOS!$A$2:$A$20000=AE691)*(DATOS!$G$2:$G$20000=CONFIG_METADATA!$B$4)*(COUNTIF(CONFIG_ASIGNATURAS!$B$7:$B$27,DATOS!$I$2:$I$20000)&gt;0)*(DATOS!$K$2:$K$20000))/SUMPRODUCT((DATOS!$A$2:$A$20000=AE691)*(DATOS!$G$2:$G$20000=CONFIG_METADATA!$B$4)*(COUNTIF(CONFIG_ASIGNATURAS!$B$7:$B$27,DATOS!$I$2:$I$20000)&gt;0)*1),"")))</f>
        <v/>
      </c>
    </row>
    <row r="692" spans="2:35" x14ac:dyDescent="0.2">
      <c r="B692" t="str">
        <f>IF(A692="","",IF(A692="[FÓRMULA MANUAL]","",IFERROR(AVERAGEIFS(DATOS!$K$2:$K$20000,DATOS!$A$2:$A$20000,A692,DATOS!$G$2:$G$20000,CONFIG_METADATA!$B$4,DATOS!$I$2:$I$20000,"Lenguaje Musical"),"")))</f>
        <v/>
      </c>
      <c r="C692" t="str">
        <f>IF(A692="","",IF(A692="[FÓRMULA MANUAL]","",IFERROR(AVERAGEIFS(DATOS!$K$2:$K$20000,DATOS!$A$2:$A$20000,A692,DATOS!$G$2:$G$20000,CONFIG_METADATA!$B$4,DATOS!$I$2:$I$20000,"Orquesta/Banda/Conjunto"),"")))</f>
        <v/>
      </c>
      <c r="D692" t="str">
        <f>IF(A692="","",IF(A692="[FÓRMULA MANUAL]","",IFERROR(AVERAGEIFS(DATOS!$K$2:$K$20000,DATOS!$A$2:$A$20000,A692,DATOS!$G$2:$G$20000,CONFIG_METADATA!$B$4,DATOS!$I$2:$I$20000,"Conjunto"),"")))</f>
        <v/>
      </c>
      <c r="E692" t="str">
        <f>IF(A692="","",IF(A692="[FÓRMULA MANUAL]","",IFERROR(SUMPRODUCT((DATOS!$A$2:$A$20000=A692)*(DATOS!$G$2:$G$20000=CONFIG_METADATA!$B$4)*(COUNTIF(CONFIG_ASIGNATURAS!$B$7:$B$27,DATOS!$I$2:$I$20000)&gt;0)*(DATOS!$K$2:$K$20000))/SUMPRODUCT((DATOS!$A$2:$A$20000=A692)*(DATOS!$G$2:$G$20000=CONFIG_METADATA!$B$4)*(COUNTIF(CONFIG_ASIGNATURAS!$B$7:$B$27,DATOS!$I$2:$I$20000)&gt;0)*1),"")))</f>
        <v/>
      </c>
      <c r="H692" t="str">
        <f>IF(G692="","",IF(G692="[FÓRMULA MANUAL]","",IFERROR(AVERAGEIFS(DATOS!$K$2:$K$20000,DATOS!$A$2:$A$20000,G692,DATOS!$G$2:$G$20000,CONFIG_METADATA!$B$4,DATOS!$I$2:$I$20000,"Lenguaje Musical"),"")))</f>
        <v/>
      </c>
      <c r="I692" t="str">
        <f>IF(G692="","",IF(G692="[FÓRMULA MANUAL]","",IFERROR(AVERAGEIFS(DATOS!$K$2:$K$20000,DATOS!$A$2:$A$20000,G692,DATOS!$G$2:$G$20000,CONFIG_METADATA!$B$4,DATOS!$I$2:$I$20000,"Orquesta/Banda/Conjunto"),"")))</f>
        <v/>
      </c>
      <c r="J692" t="str">
        <f>IF(G692="","",IF(G692="[FÓRMULA MANUAL]","",IFERROR(AVERAGEIFS(DATOS!$K$2:$K$20000,DATOS!$A$2:$A$20000,G692,DATOS!$G$2:$G$20000,CONFIG_METADATA!$B$4,DATOS!$I$2:$I$20000,"Conjunto"),"")))</f>
        <v/>
      </c>
      <c r="K692" t="str">
        <f>IF(G692="","",IF(G692="[FÓRMULA MANUAL]","",IFERROR(SUMPRODUCT((DATOS!$A$2:$A$20000=G692)*(DATOS!$G$2:$G$20000=CONFIG_METADATA!$B$4)*(COUNTIF(CONFIG_ASIGNATURAS!$B$7:$B$27,DATOS!$I$2:$I$20000)&gt;0)*(DATOS!$K$2:$K$20000))/SUMPRODUCT((DATOS!$A$2:$A$20000=G692)*(DATOS!$G$2:$G$20000=CONFIG_METADATA!$B$4)*(COUNTIF(CONFIG_ASIGNATURAS!$B$7:$B$27,DATOS!$I$2:$I$20000)&gt;0)*1),"")))</f>
        <v/>
      </c>
      <c r="N692" t="str">
        <f>IF(M692="","",IF(M692="[FÓRMULA MANUAL]","",IFERROR(AVERAGEIFS(DATOS!$K$2:$K$20000,DATOS!$A$2:$A$20000,M692,DATOS!$G$2:$G$20000,CONFIG_METADATA!$B$4,DATOS!$I$2:$I$20000,"Armonía"),"")))</f>
        <v/>
      </c>
      <c r="O692" t="str">
        <f>IF(M692="","",IF(M692="[FÓRMULA MANUAL]","",IFERROR(AVERAGEIFS(DATOS!$K$2:$K$20000,DATOS!$A$2:$A$20000,M692,DATOS!$G$2:$G$20000,CONFIG_METADATA!$B$4,DATOS!$I$2:$I$20000,"Orquesta/Banda/Conjunto"),"")))</f>
        <v/>
      </c>
      <c r="P692" t="str">
        <f>IF(M692="","",IF(M692="[FÓRMULA MANUAL]","",IFERROR(AVERAGEIFS(DATOS!$K$2:$K$20000,DATOS!$A$2:$A$20000,M692,DATOS!$G$2:$G$20000,CONFIG_METADATA!$B$4,DATOS!$I$2:$I$20000,"Música de Cámara"),"")))</f>
        <v/>
      </c>
      <c r="Q692" t="str">
        <f>IF(M692="","",IF(M692="[FÓRMULA MANUAL]","",IFERROR(SUMPRODUCT((DATOS!$A$2:$A$20000=M692)*(DATOS!$G$2:$G$20000=CONFIG_METADATA!$B$4)*(COUNTIF(CONFIG_ASIGNATURAS!$B$7:$B$27,DATOS!$I$2:$I$20000)&gt;0)*(DATOS!$K$2:$K$20000))/SUMPRODUCT((DATOS!$A$2:$A$20000=M692)*(DATOS!$G$2:$G$20000=CONFIG_METADATA!$B$4)*(COUNTIF(CONFIG_ASIGNATURAS!$B$7:$B$27,DATOS!$I$2:$I$20000)&gt;0)*1),"")))</f>
        <v/>
      </c>
      <c r="T692" t="str">
        <f>IF(S692="","",IF(S692="[FÓRMULA MANUAL]","",IFERROR(AVERAGEIFS(DATOS!$K$2:$K$20000,DATOS!$A$2:$A$20000,S692,DATOS!$G$2:$G$20000,CONFIG_METADATA!$B$4,DATOS!$I$2:$I$20000,"Armonía"),"")))</f>
        <v/>
      </c>
      <c r="U692" t="str">
        <f>IF(S692="","",IF(S692="[FÓRMULA MANUAL]","",IFERROR(AVERAGEIFS(DATOS!$K$2:$K$20000,DATOS!$A$2:$A$20000,S692,DATOS!$G$2:$G$20000,CONFIG_METADATA!$B$4,DATOS!$I$2:$I$20000,"Orquesta/Banda/Conjunto"),"")))</f>
        <v/>
      </c>
      <c r="V692" t="str">
        <f>IF(S692="","",IF(S692="[FÓRMULA MANUAL]","",IFERROR(AVERAGEIFS(DATOS!$K$2:$K$20000,DATOS!$A$2:$A$20000,S692,DATOS!$G$2:$G$20000,CONFIG_METADATA!$B$4,DATOS!$I$2:$I$20000,"Música de Cámara"),"")))</f>
        <v/>
      </c>
      <c r="W692" t="str">
        <f>IF(S692="","",IF(S692="[FÓRMULA MANUAL]","",IFERROR(SUMPRODUCT((DATOS!$A$2:$A$20000=S692)*(DATOS!$G$2:$G$20000=CONFIG_METADATA!$B$4)*(COUNTIF(CONFIG_ASIGNATURAS!$B$7:$B$27,DATOS!$I$2:$I$20000)&gt;0)*(DATOS!$K$2:$K$20000))/SUMPRODUCT((DATOS!$A$2:$A$20000=S692)*(DATOS!$G$2:$G$20000=CONFIG_METADATA!$B$4)*(COUNTIF(CONFIG_ASIGNATURAS!$B$7:$B$27,DATOS!$I$2:$I$20000)&gt;0)*1),"")))</f>
        <v/>
      </c>
      <c r="Z692" t="str">
        <f>IF(Y692="","",IF(Y692="[FÓRMULA MANUAL]","",IFERROR(AVERAGEIFS(DATOS!$K$2:$K$20000,DATOS!$A$2:$A$20000,Y692,DATOS!$G$2:$G$20000,CONFIG_METADATA!$B$4,DATOS!$I$2:$I$20000,"Análisis"),"")))</f>
        <v/>
      </c>
      <c r="AA692" t="str">
        <f>IF(Y692="","",IF(Y692="[FÓRMULA MANUAL]","",IFERROR(AVERAGEIFS(DATOS!$K$2:$K$20000,DATOS!$A$2:$A$20000,Y692,DATOS!$G$2:$G$20000,CONFIG_METADATA!$B$4,DATOS!$I$2:$I$20000,"Orquesta/Banda/Conjunto"),"")))</f>
        <v/>
      </c>
      <c r="AB692" t="str">
        <f>IF(Y692="","",IF(Y692="[FÓRMULA MANUAL]","",IFERROR(AVERAGEIFS(DATOS!$K$2:$K$20000,DATOS!$A$2:$A$20000,Y692,DATOS!$G$2:$G$20000,CONFIG_METADATA!$B$4,DATOS!$I$2:$I$20000,"Música de Cámara"),"")))</f>
        <v/>
      </c>
      <c r="AC692" t="str">
        <f>IF(Y692="","",IF(Y692="[FÓRMULA MANUAL]","",IFERROR(SUMPRODUCT((DATOS!$A$2:$A$20000=Y692)*(DATOS!$G$2:$G$20000=CONFIG_METADATA!$B$4)*(COUNTIF(CONFIG_ASIGNATURAS!$B$7:$B$27,DATOS!$I$2:$I$20000)&gt;0)*(DATOS!$K$2:$K$20000))/SUMPRODUCT((DATOS!$A$2:$A$20000=Y692)*(DATOS!$G$2:$G$20000=CONFIG_METADATA!$B$4)*(COUNTIF(CONFIG_ASIGNATURAS!$B$7:$B$27,DATOS!$I$2:$I$20000)&gt;0)*1),"")))</f>
        <v/>
      </c>
      <c r="AF692" t="str">
        <f>IF(AE692="","",IF(AE692="[FÓRMULA MANUAL]","",IFERROR(AVERAGEIFS(DATOS!$K$2:$K$20000,DATOS!$A$2:$A$20000,AE692,DATOS!$G$2:$G$20000,CONFIG_METADATA!$B$4,DATOS!$I$2:$I$20000,"Análisis"),"")))</f>
        <v/>
      </c>
      <c r="AG692" t="str">
        <f>IF(AE692="","",IF(AE692="[FÓRMULA MANUAL]","",IFERROR(AVERAGEIFS(DATOS!$K$2:$K$20000,DATOS!$A$2:$A$20000,AE692,DATOS!$G$2:$G$20000,CONFIG_METADATA!$B$4,DATOS!$I$2:$I$20000,"Orquesta/Banda/Conjunto"),"")))</f>
        <v/>
      </c>
      <c r="AH692" t="str">
        <f>IF(AE692="","",IF(AE692="[FÓRMULA MANUAL]","",IFERROR(AVERAGEIFS(DATOS!$K$2:$K$20000,DATOS!$A$2:$A$20000,AE692,DATOS!$G$2:$G$20000,CONFIG_METADATA!$B$4,DATOS!$I$2:$I$20000,"Música de Cámara"),"")))</f>
        <v/>
      </c>
      <c r="AI692" t="str">
        <f>IF(AE692="","",IF(AE692="[FÓRMULA MANUAL]","",IFERROR(SUMPRODUCT((DATOS!$A$2:$A$20000=AE692)*(DATOS!$G$2:$G$20000=CONFIG_METADATA!$B$4)*(COUNTIF(CONFIG_ASIGNATURAS!$B$7:$B$27,DATOS!$I$2:$I$20000)&gt;0)*(DATOS!$K$2:$K$20000))/SUMPRODUCT((DATOS!$A$2:$A$20000=AE692)*(DATOS!$G$2:$G$20000=CONFIG_METADATA!$B$4)*(COUNTIF(CONFIG_ASIGNATURAS!$B$7:$B$27,DATOS!$I$2:$I$20000)&gt;0)*1),"")))</f>
        <v/>
      </c>
    </row>
    <row r="693" spans="2:35" x14ac:dyDescent="0.2">
      <c r="B693" t="str">
        <f>IF(A693="","",IF(A693="[FÓRMULA MANUAL]","",IFERROR(AVERAGEIFS(DATOS!$K$2:$K$20000,DATOS!$A$2:$A$20000,A693,DATOS!$G$2:$G$20000,CONFIG_METADATA!$B$4,DATOS!$I$2:$I$20000,"Lenguaje Musical"),"")))</f>
        <v/>
      </c>
      <c r="C693" t="str">
        <f>IF(A693="","",IF(A693="[FÓRMULA MANUAL]","",IFERROR(AVERAGEIFS(DATOS!$K$2:$K$20000,DATOS!$A$2:$A$20000,A693,DATOS!$G$2:$G$20000,CONFIG_METADATA!$B$4,DATOS!$I$2:$I$20000,"Orquesta/Banda/Conjunto"),"")))</f>
        <v/>
      </c>
      <c r="D693" t="str">
        <f>IF(A693="","",IF(A693="[FÓRMULA MANUAL]","",IFERROR(AVERAGEIFS(DATOS!$K$2:$K$20000,DATOS!$A$2:$A$20000,A693,DATOS!$G$2:$G$20000,CONFIG_METADATA!$B$4,DATOS!$I$2:$I$20000,"Conjunto"),"")))</f>
        <v/>
      </c>
      <c r="E693" t="str">
        <f>IF(A693="","",IF(A693="[FÓRMULA MANUAL]","",IFERROR(SUMPRODUCT((DATOS!$A$2:$A$20000=A693)*(DATOS!$G$2:$G$20000=CONFIG_METADATA!$B$4)*(COUNTIF(CONFIG_ASIGNATURAS!$B$7:$B$27,DATOS!$I$2:$I$20000)&gt;0)*(DATOS!$K$2:$K$20000))/SUMPRODUCT((DATOS!$A$2:$A$20000=A693)*(DATOS!$G$2:$G$20000=CONFIG_METADATA!$B$4)*(COUNTIF(CONFIG_ASIGNATURAS!$B$7:$B$27,DATOS!$I$2:$I$20000)&gt;0)*1),"")))</f>
        <v/>
      </c>
      <c r="H693" t="str">
        <f>IF(G693="","",IF(G693="[FÓRMULA MANUAL]","",IFERROR(AVERAGEIFS(DATOS!$K$2:$K$20000,DATOS!$A$2:$A$20000,G693,DATOS!$G$2:$G$20000,CONFIG_METADATA!$B$4,DATOS!$I$2:$I$20000,"Lenguaje Musical"),"")))</f>
        <v/>
      </c>
      <c r="I693" t="str">
        <f>IF(G693="","",IF(G693="[FÓRMULA MANUAL]","",IFERROR(AVERAGEIFS(DATOS!$K$2:$K$20000,DATOS!$A$2:$A$20000,G693,DATOS!$G$2:$G$20000,CONFIG_METADATA!$B$4,DATOS!$I$2:$I$20000,"Orquesta/Banda/Conjunto"),"")))</f>
        <v/>
      </c>
      <c r="J693" t="str">
        <f>IF(G693="","",IF(G693="[FÓRMULA MANUAL]","",IFERROR(AVERAGEIFS(DATOS!$K$2:$K$20000,DATOS!$A$2:$A$20000,G693,DATOS!$G$2:$G$20000,CONFIG_METADATA!$B$4,DATOS!$I$2:$I$20000,"Conjunto"),"")))</f>
        <v/>
      </c>
      <c r="K693" t="str">
        <f>IF(G693="","",IF(G693="[FÓRMULA MANUAL]","",IFERROR(SUMPRODUCT((DATOS!$A$2:$A$20000=G693)*(DATOS!$G$2:$G$20000=CONFIG_METADATA!$B$4)*(COUNTIF(CONFIG_ASIGNATURAS!$B$7:$B$27,DATOS!$I$2:$I$20000)&gt;0)*(DATOS!$K$2:$K$20000))/SUMPRODUCT((DATOS!$A$2:$A$20000=G693)*(DATOS!$G$2:$G$20000=CONFIG_METADATA!$B$4)*(COUNTIF(CONFIG_ASIGNATURAS!$B$7:$B$27,DATOS!$I$2:$I$20000)&gt;0)*1),"")))</f>
        <v/>
      </c>
      <c r="N693" t="str">
        <f>IF(M693="","",IF(M693="[FÓRMULA MANUAL]","",IFERROR(AVERAGEIFS(DATOS!$K$2:$K$20000,DATOS!$A$2:$A$20000,M693,DATOS!$G$2:$G$20000,CONFIG_METADATA!$B$4,DATOS!$I$2:$I$20000,"Armonía"),"")))</f>
        <v/>
      </c>
      <c r="O693" t="str">
        <f>IF(M693="","",IF(M693="[FÓRMULA MANUAL]","",IFERROR(AVERAGEIFS(DATOS!$K$2:$K$20000,DATOS!$A$2:$A$20000,M693,DATOS!$G$2:$G$20000,CONFIG_METADATA!$B$4,DATOS!$I$2:$I$20000,"Orquesta/Banda/Conjunto"),"")))</f>
        <v/>
      </c>
      <c r="P693" t="str">
        <f>IF(M693="","",IF(M693="[FÓRMULA MANUAL]","",IFERROR(AVERAGEIFS(DATOS!$K$2:$K$20000,DATOS!$A$2:$A$20000,M693,DATOS!$G$2:$G$20000,CONFIG_METADATA!$B$4,DATOS!$I$2:$I$20000,"Música de Cámara"),"")))</f>
        <v/>
      </c>
      <c r="Q693" t="str">
        <f>IF(M693="","",IF(M693="[FÓRMULA MANUAL]","",IFERROR(SUMPRODUCT((DATOS!$A$2:$A$20000=M693)*(DATOS!$G$2:$G$20000=CONFIG_METADATA!$B$4)*(COUNTIF(CONFIG_ASIGNATURAS!$B$7:$B$27,DATOS!$I$2:$I$20000)&gt;0)*(DATOS!$K$2:$K$20000))/SUMPRODUCT((DATOS!$A$2:$A$20000=M693)*(DATOS!$G$2:$G$20000=CONFIG_METADATA!$B$4)*(COUNTIF(CONFIG_ASIGNATURAS!$B$7:$B$27,DATOS!$I$2:$I$20000)&gt;0)*1),"")))</f>
        <v/>
      </c>
      <c r="T693" t="str">
        <f>IF(S693="","",IF(S693="[FÓRMULA MANUAL]","",IFERROR(AVERAGEIFS(DATOS!$K$2:$K$20000,DATOS!$A$2:$A$20000,S693,DATOS!$G$2:$G$20000,CONFIG_METADATA!$B$4,DATOS!$I$2:$I$20000,"Armonía"),"")))</f>
        <v/>
      </c>
      <c r="U693" t="str">
        <f>IF(S693="","",IF(S693="[FÓRMULA MANUAL]","",IFERROR(AVERAGEIFS(DATOS!$K$2:$K$20000,DATOS!$A$2:$A$20000,S693,DATOS!$G$2:$G$20000,CONFIG_METADATA!$B$4,DATOS!$I$2:$I$20000,"Orquesta/Banda/Conjunto"),"")))</f>
        <v/>
      </c>
      <c r="V693" t="str">
        <f>IF(S693="","",IF(S693="[FÓRMULA MANUAL]","",IFERROR(AVERAGEIFS(DATOS!$K$2:$K$20000,DATOS!$A$2:$A$20000,S693,DATOS!$G$2:$G$20000,CONFIG_METADATA!$B$4,DATOS!$I$2:$I$20000,"Música de Cámara"),"")))</f>
        <v/>
      </c>
      <c r="W693" t="str">
        <f>IF(S693="","",IF(S693="[FÓRMULA MANUAL]","",IFERROR(SUMPRODUCT((DATOS!$A$2:$A$20000=S693)*(DATOS!$G$2:$G$20000=CONFIG_METADATA!$B$4)*(COUNTIF(CONFIG_ASIGNATURAS!$B$7:$B$27,DATOS!$I$2:$I$20000)&gt;0)*(DATOS!$K$2:$K$20000))/SUMPRODUCT((DATOS!$A$2:$A$20000=S693)*(DATOS!$G$2:$G$20000=CONFIG_METADATA!$B$4)*(COUNTIF(CONFIG_ASIGNATURAS!$B$7:$B$27,DATOS!$I$2:$I$20000)&gt;0)*1),"")))</f>
        <v/>
      </c>
      <c r="Z693" t="str">
        <f>IF(Y693="","",IF(Y693="[FÓRMULA MANUAL]","",IFERROR(AVERAGEIFS(DATOS!$K$2:$K$20000,DATOS!$A$2:$A$20000,Y693,DATOS!$G$2:$G$20000,CONFIG_METADATA!$B$4,DATOS!$I$2:$I$20000,"Análisis"),"")))</f>
        <v/>
      </c>
      <c r="AA693" t="str">
        <f>IF(Y693="","",IF(Y693="[FÓRMULA MANUAL]","",IFERROR(AVERAGEIFS(DATOS!$K$2:$K$20000,DATOS!$A$2:$A$20000,Y693,DATOS!$G$2:$G$20000,CONFIG_METADATA!$B$4,DATOS!$I$2:$I$20000,"Orquesta/Banda/Conjunto"),"")))</f>
        <v/>
      </c>
      <c r="AB693" t="str">
        <f>IF(Y693="","",IF(Y693="[FÓRMULA MANUAL]","",IFERROR(AVERAGEIFS(DATOS!$K$2:$K$20000,DATOS!$A$2:$A$20000,Y693,DATOS!$G$2:$G$20000,CONFIG_METADATA!$B$4,DATOS!$I$2:$I$20000,"Música de Cámara"),"")))</f>
        <v/>
      </c>
      <c r="AC693" t="str">
        <f>IF(Y693="","",IF(Y693="[FÓRMULA MANUAL]","",IFERROR(SUMPRODUCT((DATOS!$A$2:$A$20000=Y693)*(DATOS!$G$2:$G$20000=CONFIG_METADATA!$B$4)*(COUNTIF(CONFIG_ASIGNATURAS!$B$7:$B$27,DATOS!$I$2:$I$20000)&gt;0)*(DATOS!$K$2:$K$20000))/SUMPRODUCT((DATOS!$A$2:$A$20000=Y693)*(DATOS!$G$2:$G$20000=CONFIG_METADATA!$B$4)*(COUNTIF(CONFIG_ASIGNATURAS!$B$7:$B$27,DATOS!$I$2:$I$20000)&gt;0)*1),"")))</f>
        <v/>
      </c>
      <c r="AF693" t="str">
        <f>IF(AE693="","",IF(AE693="[FÓRMULA MANUAL]","",IFERROR(AVERAGEIFS(DATOS!$K$2:$K$20000,DATOS!$A$2:$A$20000,AE693,DATOS!$G$2:$G$20000,CONFIG_METADATA!$B$4,DATOS!$I$2:$I$20000,"Análisis"),"")))</f>
        <v/>
      </c>
      <c r="AG693" t="str">
        <f>IF(AE693="","",IF(AE693="[FÓRMULA MANUAL]","",IFERROR(AVERAGEIFS(DATOS!$K$2:$K$20000,DATOS!$A$2:$A$20000,AE693,DATOS!$G$2:$G$20000,CONFIG_METADATA!$B$4,DATOS!$I$2:$I$20000,"Orquesta/Banda/Conjunto"),"")))</f>
        <v/>
      </c>
      <c r="AH693" t="str">
        <f>IF(AE693="","",IF(AE693="[FÓRMULA MANUAL]","",IFERROR(AVERAGEIFS(DATOS!$K$2:$K$20000,DATOS!$A$2:$A$20000,AE693,DATOS!$G$2:$G$20000,CONFIG_METADATA!$B$4,DATOS!$I$2:$I$20000,"Música de Cámara"),"")))</f>
        <v/>
      </c>
      <c r="AI693" t="str">
        <f>IF(AE693="","",IF(AE693="[FÓRMULA MANUAL]","",IFERROR(SUMPRODUCT((DATOS!$A$2:$A$20000=AE693)*(DATOS!$G$2:$G$20000=CONFIG_METADATA!$B$4)*(COUNTIF(CONFIG_ASIGNATURAS!$B$7:$B$27,DATOS!$I$2:$I$20000)&gt;0)*(DATOS!$K$2:$K$20000))/SUMPRODUCT((DATOS!$A$2:$A$20000=AE693)*(DATOS!$G$2:$G$20000=CONFIG_METADATA!$B$4)*(COUNTIF(CONFIG_ASIGNATURAS!$B$7:$B$27,DATOS!$I$2:$I$20000)&gt;0)*1),"")))</f>
        <v/>
      </c>
    </row>
    <row r="694" spans="2:35" x14ac:dyDescent="0.2">
      <c r="B694" t="str">
        <f>IF(A694="","",IF(A694="[FÓRMULA MANUAL]","",IFERROR(AVERAGEIFS(DATOS!$K$2:$K$20000,DATOS!$A$2:$A$20000,A694,DATOS!$G$2:$G$20000,CONFIG_METADATA!$B$4,DATOS!$I$2:$I$20000,"Lenguaje Musical"),"")))</f>
        <v/>
      </c>
      <c r="C694" t="str">
        <f>IF(A694="","",IF(A694="[FÓRMULA MANUAL]","",IFERROR(AVERAGEIFS(DATOS!$K$2:$K$20000,DATOS!$A$2:$A$20000,A694,DATOS!$G$2:$G$20000,CONFIG_METADATA!$B$4,DATOS!$I$2:$I$20000,"Orquesta/Banda/Conjunto"),"")))</f>
        <v/>
      </c>
      <c r="D694" t="str">
        <f>IF(A694="","",IF(A694="[FÓRMULA MANUAL]","",IFERROR(AVERAGEIFS(DATOS!$K$2:$K$20000,DATOS!$A$2:$A$20000,A694,DATOS!$G$2:$G$20000,CONFIG_METADATA!$B$4,DATOS!$I$2:$I$20000,"Conjunto"),"")))</f>
        <v/>
      </c>
      <c r="E694" t="str">
        <f>IF(A694="","",IF(A694="[FÓRMULA MANUAL]","",IFERROR(SUMPRODUCT((DATOS!$A$2:$A$20000=A694)*(DATOS!$G$2:$G$20000=CONFIG_METADATA!$B$4)*(COUNTIF(CONFIG_ASIGNATURAS!$B$7:$B$27,DATOS!$I$2:$I$20000)&gt;0)*(DATOS!$K$2:$K$20000))/SUMPRODUCT((DATOS!$A$2:$A$20000=A694)*(DATOS!$G$2:$G$20000=CONFIG_METADATA!$B$4)*(COUNTIF(CONFIG_ASIGNATURAS!$B$7:$B$27,DATOS!$I$2:$I$20000)&gt;0)*1),"")))</f>
        <v/>
      </c>
      <c r="H694" t="str">
        <f>IF(G694="","",IF(G694="[FÓRMULA MANUAL]","",IFERROR(AVERAGEIFS(DATOS!$K$2:$K$20000,DATOS!$A$2:$A$20000,G694,DATOS!$G$2:$G$20000,CONFIG_METADATA!$B$4,DATOS!$I$2:$I$20000,"Lenguaje Musical"),"")))</f>
        <v/>
      </c>
      <c r="I694" t="str">
        <f>IF(G694="","",IF(G694="[FÓRMULA MANUAL]","",IFERROR(AVERAGEIFS(DATOS!$K$2:$K$20000,DATOS!$A$2:$A$20000,G694,DATOS!$G$2:$G$20000,CONFIG_METADATA!$B$4,DATOS!$I$2:$I$20000,"Orquesta/Banda/Conjunto"),"")))</f>
        <v/>
      </c>
      <c r="J694" t="str">
        <f>IF(G694="","",IF(G694="[FÓRMULA MANUAL]","",IFERROR(AVERAGEIFS(DATOS!$K$2:$K$20000,DATOS!$A$2:$A$20000,G694,DATOS!$G$2:$G$20000,CONFIG_METADATA!$B$4,DATOS!$I$2:$I$20000,"Conjunto"),"")))</f>
        <v/>
      </c>
      <c r="K694" t="str">
        <f>IF(G694="","",IF(G694="[FÓRMULA MANUAL]","",IFERROR(SUMPRODUCT((DATOS!$A$2:$A$20000=G694)*(DATOS!$G$2:$G$20000=CONFIG_METADATA!$B$4)*(COUNTIF(CONFIG_ASIGNATURAS!$B$7:$B$27,DATOS!$I$2:$I$20000)&gt;0)*(DATOS!$K$2:$K$20000))/SUMPRODUCT((DATOS!$A$2:$A$20000=G694)*(DATOS!$G$2:$G$20000=CONFIG_METADATA!$B$4)*(COUNTIF(CONFIG_ASIGNATURAS!$B$7:$B$27,DATOS!$I$2:$I$20000)&gt;0)*1),"")))</f>
        <v/>
      </c>
      <c r="N694" t="str">
        <f>IF(M694="","",IF(M694="[FÓRMULA MANUAL]","",IFERROR(AVERAGEIFS(DATOS!$K$2:$K$20000,DATOS!$A$2:$A$20000,M694,DATOS!$G$2:$G$20000,CONFIG_METADATA!$B$4,DATOS!$I$2:$I$20000,"Armonía"),"")))</f>
        <v/>
      </c>
      <c r="O694" t="str">
        <f>IF(M694="","",IF(M694="[FÓRMULA MANUAL]","",IFERROR(AVERAGEIFS(DATOS!$K$2:$K$20000,DATOS!$A$2:$A$20000,M694,DATOS!$G$2:$G$20000,CONFIG_METADATA!$B$4,DATOS!$I$2:$I$20000,"Orquesta/Banda/Conjunto"),"")))</f>
        <v/>
      </c>
      <c r="P694" t="str">
        <f>IF(M694="","",IF(M694="[FÓRMULA MANUAL]","",IFERROR(AVERAGEIFS(DATOS!$K$2:$K$20000,DATOS!$A$2:$A$20000,M694,DATOS!$G$2:$G$20000,CONFIG_METADATA!$B$4,DATOS!$I$2:$I$20000,"Música de Cámara"),"")))</f>
        <v/>
      </c>
      <c r="Q694" t="str">
        <f>IF(M694="","",IF(M694="[FÓRMULA MANUAL]","",IFERROR(SUMPRODUCT((DATOS!$A$2:$A$20000=M694)*(DATOS!$G$2:$G$20000=CONFIG_METADATA!$B$4)*(COUNTIF(CONFIG_ASIGNATURAS!$B$7:$B$27,DATOS!$I$2:$I$20000)&gt;0)*(DATOS!$K$2:$K$20000))/SUMPRODUCT((DATOS!$A$2:$A$20000=M694)*(DATOS!$G$2:$G$20000=CONFIG_METADATA!$B$4)*(COUNTIF(CONFIG_ASIGNATURAS!$B$7:$B$27,DATOS!$I$2:$I$20000)&gt;0)*1),"")))</f>
        <v/>
      </c>
      <c r="T694" t="str">
        <f>IF(S694="","",IF(S694="[FÓRMULA MANUAL]","",IFERROR(AVERAGEIFS(DATOS!$K$2:$K$20000,DATOS!$A$2:$A$20000,S694,DATOS!$G$2:$G$20000,CONFIG_METADATA!$B$4,DATOS!$I$2:$I$20000,"Armonía"),"")))</f>
        <v/>
      </c>
      <c r="U694" t="str">
        <f>IF(S694="","",IF(S694="[FÓRMULA MANUAL]","",IFERROR(AVERAGEIFS(DATOS!$K$2:$K$20000,DATOS!$A$2:$A$20000,S694,DATOS!$G$2:$G$20000,CONFIG_METADATA!$B$4,DATOS!$I$2:$I$20000,"Orquesta/Banda/Conjunto"),"")))</f>
        <v/>
      </c>
      <c r="V694" t="str">
        <f>IF(S694="","",IF(S694="[FÓRMULA MANUAL]","",IFERROR(AVERAGEIFS(DATOS!$K$2:$K$20000,DATOS!$A$2:$A$20000,S694,DATOS!$G$2:$G$20000,CONFIG_METADATA!$B$4,DATOS!$I$2:$I$20000,"Música de Cámara"),"")))</f>
        <v/>
      </c>
      <c r="W694" t="str">
        <f>IF(S694="","",IF(S694="[FÓRMULA MANUAL]","",IFERROR(SUMPRODUCT((DATOS!$A$2:$A$20000=S694)*(DATOS!$G$2:$G$20000=CONFIG_METADATA!$B$4)*(COUNTIF(CONFIG_ASIGNATURAS!$B$7:$B$27,DATOS!$I$2:$I$20000)&gt;0)*(DATOS!$K$2:$K$20000))/SUMPRODUCT((DATOS!$A$2:$A$20000=S694)*(DATOS!$G$2:$G$20000=CONFIG_METADATA!$B$4)*(COUNTIF(CONFIG_ASIGNATURAS!$B$7:$B$27,DATOS!$I$2:$I$20000)&gt;0)*1),"")))</f>
        <v/>
      </c>
      <c r="Z694" t="str">
        <f>IF(Y694="","",IF(Y694="[FÓRMULA MANUAL]","",IFERROR(AVERAGEIFS(DATOS!$K$2:$K$20000,DATOS!$A$2:$A$20000,Y694,DATOS!$G$2:$G$20000,CONFIG_METADATA!$B$4,DATOS!$I$2:$I$20000,"Análisis"),"")))</f>
        <v/>
      </c>
      <c r="AA694" t="str">
        <f>IF(Y694="","",IF(Y694="[FÓRMULA MANUAL]","",IFERROR(AVERAGEIFS(DATOS!$K$2:$K$20000,DATOS!$A$2:$A$20000,Y694,DATOS!$G$2:$G$20000,CONFIG_METADATA!$B$4,DATOS!$I$2:$I$20000,"Orquesta/Banda/Conjunto"),"")))</f>
        <v/>
      </c>
      <c r="AB694" t="str">
        <f>IF(Y694="","",IF(Y694="[FÓRMULA MANUAL]","",IFERROR(AVERAGEIFS(DATOS!$K$2:$K$20000,DATOS!$A$2:$A$20000,Y694,DATOS!$G$2:$G$20000,CONFIG_METADATA!$B$4,DATOS!$I$2:$I$20000,"Música de Cámara"),"")))</f>
        <v/>
      </c>
      <c r="AC694" t="str">
        <f>IF(Y694="","",IF(Y694="[FÓRMULA MANUAL]","",IFERROR(SUMPRODUCT((DATOS!$A$2:$A$20000=Y694)*(DATOS!$G$2:$G$20000=CONFIG_METADATA!$B$4)*(COUNTIF(CONFIG_ASIGNATURAS!$B$7:$B$27,DATOS!$I$2:$I$20000)&gt;0)*(DATOS!$K$2:$K$20000))/SUMPRODUCT((DATOS!$A$2:$A$20000=Y694)*(DATOS!$G$2:$G$20000=CONFIG_METADATA!$B$4)*(COUNTIF(CONFIG_ASIGNATURAS!$B$7:$B$27,DATOS!$I$2:$I$20000)&gt;0)*1),"")))</f>
        <v/>
      </c>
      <c r="AF694" t="str">
        <f>IF(AE694="","",IF(AE694="[FÓRMULA MANUAL]","",IFERROR(AVERAGEIFS(DATOS!$K$2:$K$20000,DATOS!$A$2:$A$20000,AE694,DATOS!$G$2:$G$20000,CONFIG_METADATA!$B$4,DATOS!$I$2:$I$20000,"Análisis"),"")))</f>
        <v/>
      </c>
      <c r="AG694" t="str">
        <f>IF(AE694="","",IF(AE694="[FÓRMULA MANUAL]","",IFERROR(AVERAGEIFS(DATOS!$K$2:$K$20000,DATOS!$A$2:$A$20000,AE694,DATOS!$G$2:$G$20000,CONFIG_METADATA!$B$4,DATOS!$I$2:$I$20000,"Orquesta/Banda/Conjunto"),"")))</f>
        <v/>
      </c>
      <c r="AH694" t="str">
        <f>IF(AE694="","",IF(AE694="[FÓRMULA MANUAL]","",IFERROR(AVERAGEIFS(DATOS!$K$2:$K$20000,DATOS!$A$2:$A$20000,AE694,DATOS!$G$2:$G$20000,CONFIG_METADATA!$B$4,DATOS!$I$2:$I$20000,"Música de Cámara"),"")))</f>
        <v/>
      </c>
      <c r="AI694" t="str">
        <f>IF(AE694="","",IF(AE694="[FÓRMULA MANUAL]","",IFERROR(SUMPRODUCT((DATOS!$A$2:$A$20000=AE694)*(DATOS!$G$2:$G$20000=CONFIG_METADATA!$B$4)*(COUNTIF(CONFIG_ASIGNATURAS!$B$7:$B$27,DATOS!$I$2:$I$20000)&gt;0)*(DATOS!$K$2:$K$20000))/SUMPRODUCT((DATOS!$A$2:$A$20000=AE694)*(DATOS!$G$2:$G$20000=CONFIG_METADATA!$B$4)*(COUNTIF(CONFIG_ASIGNATURAS!$B$7:$B$27,DATOS!$I$2:$I$20000)&gt;0)*1),"")))</f>
        <v/>
      </c>
    </row>
    <row r="695" spans="2:35" x14ac:dyDescent="0.2">
      <c r="B695" t="str">
        <f>IF(A695="","",IF(A695="[FÓRMULA MANUAL]","",IFERROR(AVERAGEIFS(DATOS!$K$2:$K$20000,DATOS!$A$2:$A$20000,A695,DATOS!$G$2:$G$20000,CONFIG_METADATA!$B$4,DATOS!$I$2:$I$20000,"Lenguaje Musical"),"")))</f>
        <v/>
      </c>
      <c r="C695" t="str">
        <f>IF(A695="","",IF(A695="[FÓRMULA MANUAL]","",IFERROR(AVERAGEIFS(DATOS!$K$2:$K$20000,DATOS!$A$2:$A$20000,A695,DATOS!$G$2:$G$20000,CONFIG_METADATA!$B$4,DATOS!$I$2:$I$20000,"Orquesta/Banda/Conjunto"),"")))</f>
        <v/>
      </c>
      <c r="D695" t="str">
        <f>IF(A695="","",IF(A695="[FÓRMULA MANUAL]","",IFERROR(AVERAGEIFS(DATOS!$K$2:$K$20000,DATOS!$A$2:$A$20000,A695,DATOS!$G$2:$G$20000,CONFIG_METADATA!$B$4,DATOS!$I$2:$I$20000,"Conjunto"),"")))</f>
        <v/>
      </c>
      <c r="E695" t="str">
        <f>IF(A695="","",IF(A695="[FÓRMULA MANUAL]","",IFERROR(SUMPRODUCT((DATOS!$A$2:$A$20000=A695)*(DATOS!$G$2:$G$20000=CONFIG_METADATA!$B$4)*(COUNTIF(CONFIG_ASIGNATURAS!$B$7:$B$27,DATOS!$I$2:$I$20000)&gt;0)*(DATOS!$K$2:$K$20000))/SUMPRODUCT((DATOS!$A$2:$A$20000=A695)*(DATOS!$G$2:$G$20000=CONFIG_METADATA!$B$4)*(COUNTIF(CONFIG_ASIGNATURAS!$B$7:$B$27,DATOS!$I$2:$I$20000)&gt;0)*1),"")))</f>
        <v/>
      </c>
      <c r="H695" t="str">
        <f>IF(G695="","",IF(G695="[FÓRMULA MANUAL]","",IFERROR(AVERAGEIFS(DATOS!$K$2:$K$20000,DATOS!$A$2:$A$20000,G695,DATOS!$G$2:$G$20000,CONFIG_METADATA!$B$4,DATOS!$I$2:$I$20000,"Lenguaje Musical"),"")))</f>
        <v/>
      </c>
      <c r="I695" t="str">
        <f>IF(G695="","",IF(G695="[FÓRMULA MANUAL]","",IFERROR(AVERAGEIFS(DATOS!$K$2:$K$20000,DATOS!$A$2:$A$20000,G695,DATOS!$G$2:$G$20000,CONFIG_METADATA!$B$4,DATOS!$I$2:$I$20000,"Orquesta/Banda/Conjunto"),"")))</f>
        <v/>
      </c>
      <c r="J695" t="str">
        <f>IF(G695="","",IF(G695="[FÓRMULA MANUAL]","",IFERROR(AVERAGEIFS(DATOS!$K$2:$K$20000,DATOS!$A$2:$A$20000,G695,DATOS!$G$2:$G$20000,CONFIG_METADATA!$B$4,DATOS!$I$2:$I$20000,"Conjunto"),"")))</f>
        <v/>
      </c>
      <c r="K695" t="str">
        <f>IF(G695="","",IF(G695="[FÓRMULA MANUAL]","",IFERROR(SUMPRODUCT((DATOS!$A$2:$A$20000=G695)*(DATOS!$G$2:$G$20000=CONFIG_METADATA!$B$4)*(COUNTIF(CONFIG_ASIGNATURAS!$B$7:$B$27,DATOS!$I$2:$I$20000)&gt;0)*(DATOS!$K$2:$K$20000))/SUMPRODUCT((DATOS!$A$2:$A$20000=G695)*(DATOS!$G$2:$G$20000=CONFIG_METADATA!$B$4)*(COUNTIF(CONFIG_ASIGNATURAS!$B$7:$B$27,DATOS!$I$2:$I$20000)&gt;0)*1),"")))</f>
        <v/>
      </c>
      <c r="N695" t="str">
        <f>IF(M695="","",IF(M695="[FÓRMULA MANUAL]","",IFERROR(AVERAGEIFS(DATOS!$K$2:$K$20000,DATOS!$A$2:$A$20000,M695,DATOS!$G$2:$G$20000,CONFIG_METADATA!$B$4,DATOS!$I$2:$I$20000,"Armonía"),"")))</f>
        <v/>
      </c>
      <c r="O695" t="str">
        <f>IF(M695="","",IF(M695="[FÓRMULA MANUAL]","",IFERROR(AVERAGEIFS(DATOS!$K$2:$K$20000,DATOS!$A$2:$A$20000,M695,DATOS!$G$2:$G$20000,CONFIG_METADATA!$B$4,DATOS!$I$2:$I$20000,"Orquesta/Banda/Conjunto"),"")))</f>
        <v/>
      </c>
      <c r="P695" t="str">
        <f>IF(M695="","",IF(M695="[FÓRMULA MANUAL]","",IFERROR(AVERAGEIFS(DATOS!$K$2:$K$20000,DATOS!$A$2:$A$20000,M695,DATOS!$G$2:$G$20000,CONFIG_METADATA!$B$4,DATOS!$I$2:$I$20000,"Música de Cámara"),"")))</f>
        <v/>
      </c>
      <c r="Q695" t="str">
        <f>IF(M695="","",IF(M695="[FÓRMULA MANUAL]","",IFERROR(SUMPRODUCT((DATOS!$A$2:$A$20000=M695)*(DATOS!$G$2:$G$20000=CONFIG_METADATA!$B$4)*(COUNTIF(CONFIG_ASIGNATURAS!$B$7:$B$27,DATOS!$I$2:$I$20000)&gt;0)*(DATOS!$K$2:$K$20000))/SUMPRODUCT((DATOS!$A$2:$A$20000=M695)*(DATOS!$G$2:$G$20000=CONFIG_METADATA!$B$4)*(COUNTIF(CONFIG_ASIGNATURAS!$B$7:$B$27,DATOS!$I$2:$I$20000)&gt;0)*1),"")))</f>
        <v/>
      </c>
      <c r="T695" t="str">
        <f>IF(S695="","",IF(S695="[FÓRMULA MANUAL]","",IFERROR(AVERAGEIFS(DATOS!$K$2:$K$20000,DATOS!$A$2:$A$20000,S695,DATOS!$G$2:$G$20000,CONFIG_METADATA!$B$4,DATOS!$I$2:$I$20000,"Armonía"),"")))</f>
        <v/>
      </c>
      <c r="U695" t="str">
        <f>IF(S695="","",IF(S695="[FÓRMULA MANUAL]","",IFERROR(AVERAGEIFS(DATOS!$K$2:$K$20000,DATOS!$A$2:$A$20000,S695,DATOS!$G$2:$G$20000,CONFIG_METADATA!$B$4,DATOS!$I$2:$I$20000,"Orquesta/Banda/Conjunto"),"")))</f>
        <v/>
      </c>
      <c r="V695" t="str">
        <f>IF(S695="","",IF(S695="[FÓRMULA MANUAL]","",IFERROR(AVERAGEIFS(DATOS!$K$2:$K$20000,DATOS!$A$2:$A$20000,S695,DATOS!$G$2:$G$20000,CONFIG_METADATA!$B$4,DATOS!$I$2:$I$20000,"Música de Cámara"),"")))</f>
        <v/>
      </c>
      <c r="W695" t="str">
        <f>IF(S695="","",IF(S695="[FÓRMULA MANUAL]","",IFERROR(SUMPRODUCT((DATOS!$A$2:$A$20000=S695)*(DATOS!$G$2:$G$20000=CONFIG_METADATA!$B$4)*(COUNTIF(CONFIG_ASIGNATURAS!$B$7:$B$27,DATOS!$I$2:$I$20000)&gt;0)*(DATOS!$K$2:$K$20000))/SUMPRODUCT((DATOS!$A$2:$A$20000=S695)*(DATOS!$G$2:$G$20000=CONFIG_METADATA!$B$4)*(COUNTIF(CONFIG_ASIGNATURAS!$B$7:$B$27,DATOS!$I$2:$I$20000)&gt;0)*1),"")))</f>
        <v/>
      </c>
      <c r="Z695" t="str">
        <f>IF(Y695="","",IF(Y695="[FÓRMULA MANUAL]","",IFERROR(AVERAGEIFS(DATOS!$K$2:$K$20000,DATOS!$A$2:$A$20000,Y695,DATOS!$G$2:$G$20000,CONFIG_METADATA!$B$4,DATOS!$I$2:$I$20000,"Análisis"),"")))</f>
        <v/>
      </c>
      <c r="AA695" t="str">
        <f>IF(Y695="","",IF(Y695="[FÓRMULA MANUAL]","",IFERROR(AVERAGEIFS(DATOS!$K$2:$K$20000,DATOS!$A$2:$A$20000,Y695,DATOS!$G$2:$G$20000,CONFIG_METADATA!$B$4,DATOS!$I$2:$I$20000,"Orquesta/Banda/Conjunto"),"")))</f>
        <v/>
      </c>
      <c r="AB695" t="str">
        <f>IF(Y695="","",IF(Y695="[FÓRMULA MANUAL]","",IFERROR(AVERAGEIFS(DATOS!$K$2:$K$20000,DATOS!$A$2:$A$20000,Y695,DATOS!$G$2:$G$20000,CONFIG_METADATA!$B$4,DATOS!$I$2:$I$20000,"Música de Cámara"),"")))</f>
        <v/>
      </c>
      <c r="AC695" t="str">
        <f>IF(Y695="","",IF(Y695="[FÓRMULA MANUAL]","",IFERROR(SUMPRODUCT((DATOS!$A$2:$A$20000=Y695)*(DATOS!$G$2:$G$20000=CONFIG_METADATA!$B$4)*(COUNTIF(CONFIG_ASIGNATURAS!$B$7:$B$27,DATOS!$I$2:$I$20000)&gt;0)*(DATOS!$K$2:$K$20000))/SUMPRODUCT((DATOS!$A$2:$A$20000=Y695)*(DATOS!$G$2:$G$20000=CONFIG_METADATA!$B$4)*(COUNTIF(CONFIG_ASIGNATURAS!$B$7:$B$27,DATOS!$I$2:$I$20000)&gt;0)*1),"")))</f>
        <v/>
      </c>
      <c r="AF695" t="str">
        <f>IF(AE695="","",IF(AE695="[FÓRMULA MANUAL]","",IFERROR(AVERAGEIFS(DATOS!$K$2:$K$20000,DATOS!$A$2:$A$20000,AE695,DATOS!$G$2:$G$20000,CONFIG_METADATA!$B$4,DATOS!$I$2:$I$20000,"Análisis"),"")))</f>
        <v/>
      </c>
      <c r="AG695" t="str">
        <f>IF(AE695="","",IF(AE695="[FÓRMULA MANUAL]","",IFERROR(AVERAGEIFS(DATOS!$K$2:$K$20000,DATOS!$A$2:$A$20000,AE695,DATOS!$G$2:$G$20000,CONFIG_METADATA!$B$4,DATOS!$I$2:$I$20000,"Orquesta/Banda/Conjunto"),"")))</f>
        <v/>
      </c>
      <c r="AH695" t="str">
        <f>IF(AE695="","",IF(AE695="[FÓRMULA MANUAL]","",IFERROR(AVERAGEIFS(DATOS!$K$2:$K$20000,DATOS!$A$2:$A$20000,AE695,DATOS!$G$2:$G$20000,CONFIG_METADATA!$B$4,DATOS!$I$2:$I$20000,"Música de Cámara"),"")))</f>
        <v/>
      </c>
      <c r="AI695" t="str">
        <f>IF(AE695="","",IF(AE695="[FÓRMULA MANUAL]","",IFERROR(SUMPRODUCT((DATOS!$A$2:$A$20000=AE695)*(DATOS!$G$2:$G$20000=CONFIG_METADATA!$B$4)*(COUNTIF(CONFIG_ASIGNATURAS!$B$7:$B$27,DATOS!$I$2:$I$20000)&gt;0)*(DATOS!$K$2:$K$20000))/SUMPRODUCT((DATOS!$A$2:$A$20000=AE695)*(DATOS!$G$2:$G$20000=CONFIG_METADATA!$B$4)*(COUNTIF(CONFIG_ASIGNATURAS!$B$7:$B$27,DATOS!$I$2:$I$20000)&gt;0)*1),"")))</f>
        <v/>
      </c>
    </row>
    <row r="696" spans="2:35" x14ac:dyDescent="0.2">
      <c r="B696" t="str">
        <f>IF(A696="","",IF(A696="[FÓRMULA MANUAL]","",IFERROR(AVERAGEIFS(DATOS!$K$2:$K$20000,DATOS!$A$2:$A$20000,A696,DATOS!$G$2:$G$20000,CONFIG_METADATA!$B$4,DATOS!$I$2:$I$20000,"Lenguaje Musical"),"")))</f>
        <v/>
      </c>
      <c r="C696" t="str">
        <f>IF(A696="","",IF(A696="[FÓRMULA MANUAL]","",IFERROR(AVERAGEIFS(DATOS!$K$2:$K$20000,DATOS!$A$2:$A$20000,A696,DATOS!$G$2:$G$20000,CONFIG_METADATA!$B$4,DATOS!$I$2:$I$20000,"Orquesta/Banda/Conjunto"),"")))</f>
        <v/>
      </c>
      <c r="D696" t="str">
        <f>IF(A696="","",IF(A696="[FÓRMULA MANUAL]","",IFERROR(AVERAGEIFS(DATOS!$K$2:$K$20000,DATOS!$A$2:$A$20000,A696,DATOS!$G$2:$G$20000,CONFIG_METADATA!$B$4,DATOS!$I$2:$I$20000,"Conjunto"),"")))</f>
        <v/>
      </c>
      <c r="E696" t="str">
        <f>IF(A696="","",IF(A696="[FÓRMULA MANUAL]","",IFERROR(SUMPRODUCT((DATOS!$A$2:$A$20000=A696)*(DATOS!$G$2:$G$20000=CONFIG_METADATA!$B$4)*(COUNTIF(CONFIG_ASIGNATURAS!$B$7:$B$27,DATOS!$I$2:$I$20000)&gt;0)*(DATOS!$K$2:$K$20000))/SUMPRODUCT((DATOS!$A$2:$A$20000=A696)*(DATOS!$G$2:$G$20000=CONFIG_METADATA!$B$4)*(COUNTIF(CONFIG_ASIGNATURAS!$B$7:$B$27,DATOS!$I$2:$I$20000)&gt;0)*1),"")))</f>
        <v/>
      </c>
      <c r="H696" t="str">
        <f>IF(G696="","",IF(G696="[FÓRMULA MANUAL]","",IFERROR(AVERAGEIFS(DATOS!$K$2:$K$20000,DATOS!$A$2:$A$20000,G696,DATOS!$G$2:$G$20000,CONFIG_METADATA!$B$4,DATOS!$I$2:$I$20000,"Lenguaje Musical"),"")))</f>
        <v/>
      </c>
      <c r="I696" t="str">
        <f>IF(G696="","",IF(G696="[FÓRMULA MANUAL]","",IFERROR(AVERAGEIFS(DATOS!$K$2:$K$20000,DATOS!$A$2:$A$20000,G696,DATOS!$G$2:$G$20000,CONFIG_METADATA!$B$4,DATOS!$I$2:$I$20000,"Orquesta/Banda/Conjunto"),"")))</f>
        <v/>
      </c>
      <c r="J696" t="str">
        <f>IF(G696="","",IF(G696="[FÓRMULA MANUAL]","",IFERROR(AVERAGEIFS(DATOS!$K$2:$K$20000,DATOS!$A$2:$A$20000,G696,DATOS!$G$2:$G$20000,CONFIG_METADATA!$B$4,DATOS!$I$2:$I$20000,"Conjunto"),"")))</f>
        <v/>
      </c>
      <c r="K696" t="str">
        <f>IF(G696="","",IF(G696="[FÓRMULA MANUAL]","",IFERROR(SUMPRODUCT((DATOS!$A$2:$A$20000=G696)*(DATOS!$G$2:$G$20000=CONFIG_METADATA!$B$4)*(COUNTIF(CONFIG_ASIGNATURAS!$B$7:$B$27,DATOS!$I$2:$I$20000)&gt;0)*(DATOS!$K$2:$K$20000))/SUMPRODUCT((DATOS!$A$2:$A$20000=G696)*(DATOS!$G$2:$G$20000=CONFIG_METADATA!$B$4)*(COUNTIF(CONFIG_ASIGNATURAS!$B$7:$B$27,DATOS!$I$2:$I$20000)&gt;0)*1),"")))</f>
        <v/>
      </c>
      <c r="N696" t="str">
        <f>IF(M696="","",IF(M696="[FÓRMULA MANUAL]","",IFERROR(AVERAGEIFS(DATOS!$K$2:$K$20000,DATOS!$A$2:$A$20000,M696,DATOS!$G$2:$G$20000,CONFIG_METADATA!$B$4,DATOS!$I$2:$I$20000,"Armonía"),"")))</f>
        <v/>
      </c>
      <c r="O696" t="str">
        <f>IF(M696="","",IF(M696="[FÓRMULA MANUAL]","",IFERROR(AVERAGEIFS(DATOS!$K$2:$K$20000,DATOS!$A$2:$A$20000,M696,DATOS!$G$2:$G$20000,CONFIG_METADATA!$B$4,DATOS!$I$2:$I$20000,"Orquesta/Banda/Conjunto"),"")))</f>
        <v/>
      </c>
      <c r="P696" t="str">
        <f>IF(M696="","",IF(M696="[FÓRMULA MANUAL]","",IFERROR(AVERAGEIFS(DATOS!$K$2:$K$20000,DATOS!$A$2:$A$20000,M696,DATOS!$G$2:$G$20000,CONFIG_METADATA!$B$4,DATOS!$I$2:$I$20000,"Música de Cámara"),"")))</f>
        <v/>
      </c>
      <c r="Q696" t="str">
        <f>IF(M696="","",IF(M696="[FÓRMULA MANUAL]","",IFERROR(SUMPRODUCT((DATOS!$A$2:$A$20000=M696)*(DATOS!$G$2:$G$20000=CONFIG_METADATA!$B$4)*(COUNTIF(CONFIG_ASIGNATURAS!$B$7:$B$27,DATOS!$I$2:$I$20000)&gt;0)*(DATOS!$K$2:$K$20000))/SUMPRODUCT((DATOS!$A$2:$A$20000=M696)*(DATOS!$G$2:$G$20000=CONFIG_METADATA!$B$4)*(COUNTIF(CONFIG_ASIGNATURAS!$B$7:$B$27,DATOS!$I$2:$I$20000)&gt;0)*1),"")))</f>
        <v/>
      </c>
      <c r="T696" t="str">
        <f>IF(S696="","",IF(S696="[FÓRMULA MANUAL]","",IFERROR(AVERAGEIFS(DATOS!$K$2:$K$20000,DATOS!$A$2:$A$20000,S696,DATOS!$G$2:$G$20000,CONFIG_METADATA!$B$4,DATOS!$I$2:$I$20000,"Armonía"),"")))</f>
        <v/>
      </c>
      <c r="U696" t="str">
        <f>IF(S696="","",IF(S696="[FÓRMULA MANUAL]","",IFERROR(AVERAGEIFS(DATOS!$K$2:$K$20000,DATOS!$A$2:$A$20000,S696,DATOS!$G$2:$G$20000,CONFIG_METADATA!$B$4,DATOS!$I$2:$I$20000,"Orquesta/Banda/Conjunto"),"")))</f>
        <v/>
      </c>
      <c r="V696" t="str">
        <f>IF(S696="","",IF(S696="[FÓRMULA MANUAL]","",IFERROR(AVERAGEIFS(DATOS!$K$2:$K$20000,DATOS!$A$2:$A$20000,S696,DATOS!$G$2:$G$20000,CONFIG_METADATA!$B$4,DATOS!$I$2:$I$20000,"Música de Cámara"),"")))</f>
        <v/>
      </c>
      <c r="W696" t="str">
        <f>IF(S696="","",IF(S696="[FÓRMULA MANUAL]","",IFERROR(SUMPRODUCT((DATOS!$A$2:$A$20000=S696)*(DATOS!$G$2:$G$20000=CONFIG_METADATA!$B$4)*(COUNTIF(CONFIG_ASIGNATURAS!$B$7:$B$27,DATOS!$I$2:$I$20000)&gt;0)*(DATOS!$K$2:$K$20000))/SUMPRODUCT((DATOS!$A$2:$A$20000=S696)*(DATOS!$G$2:$G$20000=CONFIG_METADATA!$B$4)*(COUNTIF(CONFIG_ASIGNATURAS!$B$7:$B$27,DATOS!$I$2:$I$20000)&gt;0)*1),"")))</f>
        <v/>
      </c>
      <c r="Z696" t="str">
        <f>IF(Y696="","",IF(Y696="[FÓRMULA MANUAL]","",IFERROR(AVERAGEIFS(DATOS!$K$2:$K$20000,DATOS!$A$2:$A$20000,Y696,DATOS!$G$2:$G$20000,CONFIG_METADATA!$B$4,DATOS!$I$2:$I$20000,"Análisis"),"")))</f>
        <v/>
      </c>
      <c r="AA696" t="str">
        <f>IF(Y696="","",IF(Y696="[FÓRMULA MANUAL]","",IFERROR(AVERAGEIFS(DATOS!$K$2:$K$20000,DATOS!$A$2:$A$20000,Y696,DATOS!$G$2:$G$20000,CONFIG_METADATA!$B$4,DATOS!$I$2:$I$20000,"Orquesta/Banda/Conjunto"),"")))</f>
        <v/>
      </c>
      <c r="AB696" t="str">
        <f>IF(Y696="","",IF(Y696="[FÓRMULA MANUAL]","",IFERROR(AVERAGEIFS(DATOS!$K$2:$K$20000,DATOS!$A$2:$A$20000,Y696,DATOS!$G$2:$G$20000,CONFIG_METADATA!$B$4,DATOS!$I$2:$I$20000,"Música de Cámara"),"")))</f>
        <v/>
      </c>
      <c r="AC696" t="str">
        <f>IF(Y696="","",IF(Y696="[FÓRMULA MANUAL]","",IFERROR(SUMPRODUCT((DATOS!$A$2:$A$20000=Y696)*(DATOS!$G$2:$G$20000=CONFIG_METADATA!$B$4)*(COUNTIF(CONFIG_ASIGNATURAS!$B$7:$B$27,DATOS!$I$2:$I$20000)&gt;0)*(DATOS!$K$2:$K$20000))/SUMPRODUCT((DATOS!$A$2:$A$20000=Y696)*(DATOS!$G$2:$G$20000=CONFIG_METADATA!$B$4)*(COUNTIF(CONFIG_ASIGNATURAS!$B$7:$B$27,DATOS!$I$2:$I$20000)&gt;0)*1),"")))</f>
        <v/>
      </c>
      <c r="AF696" t="str">
        <f>IF(AE696="","",IF(AE696="[FÓRMULA MANUAL]","",IFERROR(AVERAGEIFS(DATOS!$K$2:$K$20000,DATOS!$A$2:$A$20000,AE696,DATOS!$G$2:$G$20000,CONFIG_METADATA!$B$4,DATOS!$I$2:$I$20000,"Análisis"),"")))</f>
        <v/>
      </c>
      <c r="AG696" t="str">
        <f>IF(AE696="","",IF(AE696="[FÓRMULA MANUAL]","",IFERROR(AVERAGEIFS(DATOS!$K$2:$K$20000,DATOS!$A$2:$A$20000,AE696,DATOS!$G$2:$G$20000,CONFIG_METADATA!$B$4,DATOS!$I$2:$I$20000,"Orquesta/Banda/Conjunto"),"")))</f>
        <v/>
      </c>
      <c r="AH696" t="str">
        <f>IF(AE696="","",IF(AE696="[FÓRMULA MANUAL]","",IFERROR(AVERAGEIFS(DATOS!$K$2:$K$20000,DATOS!$A$2:$A$20000,AE696,DATOS!$G$2:$G$20000,CONFIG_METADATA!$B$4,DATOS!$I$2:$I$20000,"Música de Cámara"),"")))</f>
        <v/>
      </c>
      <c r="AI696" t="str">
        <f>IF(AE696="","",IF(AE696="[FÓRMULA MANUAL]","",IFERROR(SUMPRODUCT((DATOS!$A$2:$A$20000=AE696)*(DATOS!$G$2:$G$20000=CONFIG_METADATA!$B$4)*(COUNTIF(CONFIG_ASIGNATURAS!$B$7:$B$27,DATOS!$I$2:$I$20000)&gt;0)*(DATOS!$K$2:$K$20000))/SUMPRODUCT((DATOS!$A$2:$A$20000=AE696)*(DATOS!$G$2:$G$20000=CONFIG_METADATA!$B$4)*(COUNTIF(CONFIG_ASIGNATURAS!$B$7:$B$27,DATOS!$I$2:$I$20000)&gt;0)*1),"")))</f>
        <v/>
      </c>
    </row>
    <row r="697" spans="2:35" x14ac:dyDescent="0.2">
      <c r="B697" t="str">
        <f>IF(A697="","",IF(A697="[FÓRMULA MANUAL]","",IFERROR(AVERAGEIFS(DATOS!$K$2:$K$20000,DATOS!$A$2:$A$20000,A697,DATOS!$G$2:$G$20000,CONFIG_METADATA!$B$4,DATOS!$I$2:$I$20000,"Lenguaje Musical"),"")))</f>
        <v/>
      </c>
      <c r="C697" t="str">
        <f>IF(A697="","",IF(A697="[FÓRMULA MANUAL]","",IFERROR(AVERAGEIFS(DATOS!$K$2:$K$20000,DATOS!$A$2:$A$20000,A697,DATOS!$G$2:$G$20000,CONFIG_METADATA!$B$4,DATOS!$I$2:$I$20000,"Orquesta/Banda/Conjunto"),"")))</f>
        <v/>
      </c>
      <c r="D697" t="str">
        <f>IF(A697="","",IF(A697="[FÓRMULA MANUAL]","",IFERROR(AVERAGEIFS(DATOS!$K$2:$K$20000,DATOS!$A$2:$A$20000,A697,DATOS!$G$2:$G$20000,CONFIG_METADATA!$B$4,DATOS!$I$2:$I$20000,"Conjunto"),"")))</f>
        <v/>
      </c>
      <c r="E697" t="str">
        <f>IF(A697="","",IF(A697="[FÓRMULA MANUAL]","",IFERROR(SUMPRODUCT((DATOS!$A$2:$A$20000=A697)*(DATOS!$G$2:$G$20000=CONFIG_METADATA!$B$4)*(COUNTIF(CONFIG_ASIGNATURAS!$B$7:$B$27,DATOS!$I$2:$I$20000)&gt;0)*(DATOS!$K$2:$K$20000))/SUMPRODUCT((DATOS!$A$2:$A$20000=A697)*(DATOS!$G$2:$G$20000=CONFIG_METADATA!$B$4)*(COUNTIF(CONFIG_ASIGNATURAS!$B$7:$B$27,DATOS!$I$2:$I$20000)&gt;0)*1),"")))</f>
        <v/>
      </c>
      <c r="H697" t="str">
        <f>IF(G697="","",IF(G697="[FÓRMULA MANUAL]","",IFERROR(AVERAGEIFS(DATOS!$K$2:$K$20000,DATOS!$A$2:$A$20000,G697,DATOS!$G$2:$G$20000,CONFIG_METADATA!$B$4,DATOS!$I$2:$I$20000,"Lenguaje Musical"),"")))</f>
        <v/>
      </c>
      <c r="I697" t="str">
        <f>IF(G697="","",IF(G697="[FÓRMULA MANUAL]","",IFERROR(AVERAGEIFS(DATOS!$K$2:$K$20000,DATOS!$A$2:$A$20000,G697,DATOS!$G$2:$G$20000,CONFIG_METADATA!$B$4,DATOS!$I$2:$I$20000,"Orquesta/Banda/Conjunto"),"")))</f>
        <v/>
      </c>
      <c r="J697" t="str">
        <f>IF(G697="","",IF(G697="[FÓRMULA MANUAL]","",IFERROR(AVERAGEIFS(DATOS!$K$2:$K$20000,DATOS!$A$2:$A$20000,G697,DATOS!$G$2:$G$20000,CONFIG_METADATA!$B$4,DATOS!$I$2:$I$20000,"Conjunto"),"")))</f>
        <v/>
      </c>
      <c r="K697" t="str">
        <f>IF(G697="","",IF(G697="[FÓRMULA MANUAL]","",IFERROR(SUMPRODUCT((DATOS!$A$2:$A$20000=G697)*(DATOS!$G$2:$G$20000=CONFIG_METADATA!$B$4)*(COUNTIF(CONFIG_ASIGNATURAS!$B$7:$B$27,DATOS!$I$2:$I$20000)&gt;0)*(DATOS!$K$2:$K$20000))/SUMPRODUCT((DATOS!$A$2:$A$20000=G697)*(DATOS!$G$2:$G$20000=CONFIG_METADATA!$B$4)*(COUNTIF(CONFIG_ASIGNATURAS!$B$7:$B$27,DATOS!$I$2:$I$20000)&gt;0)*1),"")))</f>
        <v/>
      </c>
      <c r="N697" t="str">
        <f>IF(M697="","",IF(M697="[FÓRMULA MANUAL]","",IFERROR(AVERAGEIFS(DATOS!$K$2:$K$20000,DATOS!$A$2:$A$20000,M697,DATOS!$G$2:$G$20000,CONFIG_METADATA!$B$4,DATOS!$I$2:$I$20000,"Armonía"),"")))</f>
        <v/>
      </c>
      <c r="O697" t="str">
        <f>IF(M697="","",IF(M697="[FÓRMULA MANUAL]","",IFERROR(AVERAGEIFS(DATOS!$K$2:$K$20000,DATOS!$A$2:$A$20000,M697,DATOS!$G$2:$G$20000,CONFIG_METADATA!$B$4,DATOS!$I$2:$I$20000,"Orquesta/Banda/Conjunto"),"")))</f>
        <v/>
      </c>
      <c r="P697" t="str">
        <f>IF(M697="","",IF(M697="[FÓRMULA MANUAL]","",IFERROR(AVERAGEIFS(DATOS!$K$2:$K$20000,DATOS!$A$2:$A$20000,M697,DATOS!$G$2:$G$20000,CONFIG_METADATA!$B$4,DATOS!$I$2:$I$20000,"Música de Cámara"),"")))</f>
        <v/>
      </c>
      <c r="Q697" t="str">
        <f>IF(M697="","",IF(M697="[FÓRMULA MANUAL]","",IFERROR(SUMPRODUCT((DATOS!$A$2:$A$20000=M697)*(DATOS!$G$2:$G$20000=CONFIG_METADATA!$B$4)*(COUNTIF(CONFIG_ASIGNATURAS!$B$7:$B$27,DATOS!$I$2:$I$20000)&gt;0)*(DATOS!$K$2:$K$20000))/SUMPRODUCT((DATOS!$A$2:$A$20000=M697)*(DATOS!$G$2:$G$20000=CONFIG_METADATA!$B$4)*(COUNTIF(CONFIG_ASIGNATURAS!$B$7:$B$27,DATOS!$I$2:$I$20000)&gt;0)*1),"")))</f>
        <v/>
      </c>
      <c r="T697" t="str">
        <f>IF(S697="","",IF(S697="[FÓRMULA MANUAL]","",IFERROR(AVERAGEIFS(DATOS!$K$2:$K$20000,DATOS!$A$2:$A$20000,S697,DATOS!$G$2:$G$20000,CONFIG_METADATA!$B$4,DATOS!$I$2:$I$20000,"Armonía"),"")))</f>
        <v/>
      </c>
      <c r="U697" t="str">
        <f>IF(S697="","",IF(S697="[FÓRMULA MANUAL]","",IFERROR(AVERAGEIFS(DATOS!$K$2:$K$20000,DATOS!$A$2:$A$20000,S697,DATOS!$G$2:$G$20000,CONFIG_METADATA!$B$4,DATOS!$I$2:$I$20000,"Orquesta/Banda/Conjunto"),"")))</f>
        <v/>
      </c>
      <c r="V697" t="str">
        <f>IF(S697="","",IF(S697="[FÓRMULA MANUAL]","",IFERROR(AVERAGEIFS(DATOS!$K$2:$K$20000,DATOS!$A$2:$A$20000,S697,DATOS!$G$2:$G$20000,CONFIG_METADATA!$B$4,DATOS!$I$2:$I$20000,"Música de Cámara"),"")))</f>
        <v/>
      </c>
      <c r="W697" t="str">
        <f>IF(S697="","",IF(S697="[FÓRMULA MANUAL]","",IFERROR(SUMPRODUCT((DATOS!$A$2:$A$20000=S697)*(DATOS!$G$2:$G$20000=CONFIG_METADATA!$B$4)*(COUNTIF(CONFIG_ASIGNATURAS!$B$7:$B$27,DATOS!$I$2:$I$20000)&gt;0)*(DATOS!$K$2:$K$20000))/SUMPRODUCT((DATOS!$A$2:$A$20000=S697)*(DATOS!$G$2:$G$20000=CONFIG_METADATA!$B$4)*(COUNTIF(CONFIG_ASIGNATURAS!$B$7:$B$27,DATOS!$I$2:$I$20000)&gt;0)*1),"")))</f>
        <v/>
      </c>
      <c r="Z697" t="str">
        <f>IF(Y697="","",IF(Y697="[FÓRMULA MANUAL]","",IFERROR(AVERAGEIFS(DATOS!$K$2:$K$20000,DATOS!$A$2:$A$20000,Y697,DATOS!$G$2:$G$20000,CONFIG_METADATA!$B$4,DATOS!$I$2:$I$20000,"Análisis"),"")))</f>
        <v/>
      </c>
      <c r="AA697" t="str">
        <f>IF(Y697="","",IF(Y697="[FÓRMULA MANUAL]","",IFERROR(AVERAGEIFS(DATOS!$K$2:$K$20000,DATOS!$A$2:$A$20000,Y697,DATOS!$G$2:$G$20000,CONFIG_METADATA!$B$4,DATOS!$I$2:$I$20000,"Orquesta/Banda/Conjunto"),"")))</f>
        <v/>
      </c>
      <c r="AB697" t="str">
        <f>IF(Y697="","",IF(Y697="[FÓRMULA MANUAL]","",IFERROR(AVERAGEIFS(DATOS!$K$2:$K$20000,DATOS!$A$2:$A$20000,Y697,DATOS!$G$2:$G$20000,CONFIG_METADATA!$B$4,DATOS!$I$2:$I$20000,"Música de Cámara"),"")))</f>
        <v/>
      </c>
      <c r="AC697" t="str">
        <f>IF(Y697="","",IF(Y697="[FÓRMULA MANUAL]","",IFERROR(SUMPRODUCT((DATOS!$A$2:$A$20000=Y697)*(DATOS!$G$2:$G$20000=CONFIG_METADATA!$B$4)*(COUNTIF(CONFIG_ASIGNATURAS!$B$7:$B$27,DATOS!$I$2:$I$20000)&gt;0)*(DATOS!$K$2:$K$20000))/SUMPRODUCT((DATOS!$A$2:$A$20000=Y697)*(DATOS!$G$2:$G$20000=CONFIG_METADATA!$B$4)*(COUNTIF(CONFIG_ASIGNATURAS!$B$7:$B$27,DATOS!$I$2:$I$20000)&gt;0)*1),"")))</f>
        <v/>
      </c>
      <c r="AF697" t="str">
        <f>IF(AE697="","",IF(AE697="[FÓRMULA MANUAL]","",IFERROR(AVERAGEIFS(DATOS!$K$2:$K$20000,DATOS!$A$2:$A$20000,AE697,DATOS!$G$2:$G$20000,CONFIG_METADATA!$B$4,DATOS!$I$2:$I$20000,"Análisis"),"")))</f>
        <v/>
      </c>
      <c r="AG697" t="str">
        <f>IF(AE697="","",IF(AE697="[FÓRMULA MANUAL]","",IFERROR(AVERAGEIFS(DATOS!$K$2:$K$20000,DATOS!$A$2:$A$20000,AE697,DATOS!$G$2:$G$20000,CONFIG_METADATA!$B$4,DATOS!$I$2:$I$20000,"Orquesta/Banda/Conjunto"),"")))</f>
        <v/>
      </c>
      <c r="AH697" t="str">
        <f>IF(AE697="","",IF(AE697="[FÓRMULA MANUAL]","",IFERROR(AVERAGEIFS(DATOS!$K$2:$K$20000,DATOS!$A$2:$A$20000,AE697,DATOS!$G$2:$G$20000,CONFIG_METADATA!$B$4,DATOS!$I$2:$I$20000,"Música de Cámara"),"")))</f>
        <v/>
      </c>
      <c r="AI697" t="str">
        <f>IF(AE697="","",IF(AE697="[FÓRMULA MANUAL]","",IFERROR(SUMPRODUCT((DATOS!$A$2:$A$20000=AE697)*(DATOS!$G$2:$G$20000=CONFIG_METADATA!$B$4)*(COUNTIF(CONFIG_ASIGNATURAS!$B$7:$B$27,DATOS!$I$2:$I$20000)&gt;0)*(DATOS!$K$2:$K$20000))/SUMPRODUCT((DATOS!$A$2:$A$20000=AE697)*(DATOS!$G$2:$G$20000=CONFIG_METADATA!$B$4)*(COUNTIF(CONFIG_ASIGNATURAS!$B$7:$B$27,DATOS!$I$2:$I$20000)&gt;0)*1),"")))</f>
        <v/>
      </c>
    </row>
    <row r="698" spans="2:35" x14ac:dyDescent="0.2">
      <c r="B698" t="str">
        <f>IF(A698="","",IF(A698="[FÓRMULA MANUAL]","",IFERROR(AVERAGEIFS(DATOS!$K$2:$K$20000,DATOS!$A$2:$A$20000,A698,DATOS!$G$2:$G$20000,CONFIG_METADATA!$B$4,DATOS!$I$2:$I$20000,"Lenguaje Musical"),"")))</f>
        <v/>
      </c>
      <c r="C698" t="str">
        <f>IF(A698="","",IF(A698="[FÓRMULA MANUAL]","",IFERROR(AVERAGEIFS(DATOS!$K$2:$K$20000,DATOS!$A$2:$A$20000,A698,DATOS!$G$2:$G$20000,CONFIG_METADATA!$B$4,DATOS!$I$2:$I$20000,"Orquesta/Banda/Conjunto"),"")))</f>
        <v/>
      </c>
      <c r="D698" t="str">
        <f>IF(A698="","",IF(A698="[FÓRMULA MANUAL]","",IFERROR(AVERAGEIFS(DATOS!$K$2:$K$20000,DATOS!$A$2:$A$20000,A698,DATOS!$G$2:$G$20000,CONFIG_METADATA!$B$4,DATOS!$I$2:$I$20000,"Conjunto"),"")))</f>
        <v/>
      </c>
      <c r="E698" t="str">
        <f>IF(A698="","",IF(A698="[FÓRMULA MANUAL]","",IFERROR(SUMPRODUCT((DATOS!$A$2:$A$20000=A698)*(DATOS!$G$2:$G$20000=CONFIG_METADATA!$B$4)*(COUNTIF(CONFIG_ASIGNATURAS!$B$7:$B$27,DATOS!$I$2:$I$20000)&gt;0)*(DATOS!$K$2:$K$20000))/SUMPRODUCT((DATOS!$A$2:$A$20000=A698)*(DATOS!$G$2:$G$20000=CONFIG_METADATA!$B$4)*(COUNTIF(CONFIG_ASIGNATURAS!$B$7:$B$27,DATOS!$I$2:$I$20000)&gt;0)*1),"")))</f>
        <v/>
      </c>
      <c r="H698" t="str">
        <f>IF(G698="","",IF(G698="[FÓRMULA MANUAL]","",IFERROR(AVERAGEIFS(DATOS!$K$2:$K$20000,DATOS!$A$2:$A$20000,G698,DATOS!$G$2:$G$20000,CONFIG_METADATA!$B$4,DATOS!$I$2:$I$20000,"Lenguaje Musical"),"")))</f>
        <v/>
      </c>
      <c r="I698" t="str">
        <f>IF(G698="","",IF(G698="[FÓRMULA MANUAL]","",IFERROR(AVERAGEIFS(DATOS!$K$2:$K$20000,DATOS!$A$2:$A$20000,G698,DATOS!$G$2:$G$20000,CONFIG_METADATA!$B$4,DATOS!$I$2:$I$20000,"Orquesta/Banda/Conjunto"),"")))</f>
        <v/>
      </c>
      <c r="J698" t="str">
        <f>IF(G698="","",IF(G698="[FÓRMULA MANUAL]","",IFERROR(AVERAGEIFS(DATOS!$K$2:$K$20000,DATOS!$A$2:$A$20000,G698,DATOS!$G$2:$G$20000,CONFIG_METADATA!$B$4,DATOS!$I$2:$I$20000,"Conjunto"),"")))</f>
        <v/>
      </c>
      <c r="K698" t="str">
        <f>IF(G698="","",IF(G698="[FÓRMULA MANUAL]","",IFERROR(SUMPRODUCT((DATOS!$A$2:$A$20000=G698)*(DATOS!$G$2:$G$20000=CONFIG_METADATA!$B$4)*(COUNTIF(CONFIG_ASIGNATURAS!$B$7:$B$27,DATOS!$I$2:$I$20000)&gt;0)*(DATOS!$K$2:$K$20000))/SUMPRODUCT((DATOS!$A$2:$A$20000=G698)*(DATOS!$G$2:$G$20000=CONFIG_METADATA!$B$4)*(COUNTIF(CONFIG_ASIGNATURAS!$B$7:$B$27,DATOS!$I$2:$I$20000)&gt;0)*1),"")))</f>
        <v/>
      </c>
      <c r="N698" t="str">
        <f>IF(M698="","",IF(M698="[FÓRMULA MANUAL]","",IFERROR(AVERAGEIFS(DATOS!$K$2:$K$20000,DATOS!$A$2:$A$20000,M698,DATOS!$G$2:$G$20000,CONFIG_METADATA!$B$4,DATOS!$I$2:$I$20000,"Armonía"),"")))</f>
        <v/>
      </c>
      <c r="O698" t="str">
        <f>IF(M698="","",IF(M698="[FÓRMULA MANUAL]","",IFERROR(AVERAGEIFS(DATOS!$K$2:$K$20000,DATOS!$A$2:$A$20000,M698,DATOS!$G$2:$G$20000,CONFIG_METADATA!$B$4,DATOS!$I$2:$I$20000,"Orquesta/Banda/Conjunto"),"")))</f>
        <v/>
      </c>
      <c r="P698" t="str">
        <f>IF(M698="","",IF(M698="[FÓRMULA MANUAL]","",IFERROR(AVERAGEIFS(DATOS!$K$2:$K$20000,DATOS!$A$2:$A$20000,M698,DATOS!$G$2:$G$20000,CONFIG_METADATA!$B$4,DATOS!$I$2:$I$20000,"Música de Cámara"),"")))</f>
        <v/>
      </c>
      <c r="Q698" t="str">
        <f>IF(M698="","",IF(M698="[FÓRMULA MANUAL]","",IFERROR(SUMPRODUCT((DATOS!$A$2:$A$20000=M698)*(DATOS!$G$2:$G$20000=CONFIG_METADATA!$B$4)*(COUNTIF(CONFIG_ASIGNATURAS!$B$7:$B$27,DATOS!$I$2:$I$20000)&gt;0)*(DATOS!$K$2:$K$20000))/SUMPRODUCT((DATOS!$A$2:$A$20000=M698)*(DATOS!$G$2:$G$20000=CONFIG_METADATA!$B$4)*(COUNTIF(CONFIG_ASIGNATURAS!$B$7:$B$27,DATOS!$I$2:$I$20000)&gt;0)*1),"")))</f>
        <v/>
      </c>
      <c r="T698" t="str">
        <f>IF(S698="","",IF(S698="[FÓRMULA MANUAL]","",IFERROR(AVERAGEIFS(DATOS!$K$2:$K$20000,DATOS!$A$2:$A$20000,S698,DATOS!$G$2:$G$20000,CONFIG_METADATA!$B$4,DATOS!$I$2:$I$20000,"Armonía"),"")))</f>
        <v/>
      </c>
      <c r="U698" t="str">
        <f>IF(S698="","",IF(S698="[FÓRMULA MANUAL]","",IFERROR(AVERAGEIFS(DATOS!$K$2:$K$20000,DATOS!$A$2:$A$20000,S698,DATOS!$G$2:$G$20000,CONFIG_METADATA!$B$4,DATOS!$I$2:$I$20000,"Orquesta/Banda/Conjunto"),"")))</f>
        <v/>
      </c>
      <c r="V698" t="str">
        <f>IF(S698="","",IF(S698="[FÓRMULA MANUAL]","",IFERROR(AVERAGEIFS(DATOS!$K$2:$K$20000,DATOS!$A$2:$A$20000,S698,DATOS!$G$2:$G$20000,CONFIG_METADATA!$B$4,DATOS!$I$2:$I$20000,"Música de Cámara"),"")))</f>
        <v/>
      </c>
      <c r="W698" t="str">
        <f>IF(S698="","",IF(S698="[FÓRMULA MANUAL]","",IFERROR(SUMPRODUCT((DATOS!$A$2:$A$20000=S698)*(DATOS!$G$2:$G$20000=CONFIG_METADATA!$B$4)*(COUNTIF(CONFIG_ASIGNATURAS!$B$7:$B$27,DATOS!$I$2:$I$20000)&gt;0)*(DATOS!$K$2:$K$20000))/SUMPRODUCT((DATOS!$A$2:$A$20000=S698)*(DATOS!$G$2:$G$20000=CONFIG_METADATA!$B$4)*(COUNTIF(CONFIG_ASIGNATURAS!$B$7:$B$27,DATOS!$I$2:$I$20000)&gt;0)*1),"")))</f>
        <v/>
      </c>
      <c r="Z698" t="str">
        <f>IF(Y698="","",IF(Y698="[FÓRMULA MANUAL]","",IFERROR(AVERAGEIFS(DATOS!$K$2:$K$20000,DATOS!$A$2:$A$20000,Y698,DATOS!$G$2:$G$20000,CONFIG_METADATA!$B$4,DATOS!$I$2:$I$20000,"Análisis"),"")))</f>
        <v/>
      </c>
      <c r="AA698" t="str">
        <f>IF(Y698="","",IF(Y698="[FÓRMULA MANUAL]","",IFERROR(AVERAGEIFS(DATOS!$K$2:$K$20000,DATOS!$A$2:$A$20000,Y698,DATOS!$G$2:$G$20000,CONFIG_METADATA!$B$4,DATOS!$I$2:$I$20000,"Orquesta/Banda/Conjunto"),"")))</f>
        <v/>
      </c>
      <c r="AB698" t="str">
        <f>IF(Y698="","",IF(Y698="[FÓRMULA MANUAL]","",IFERROR(AVERAGEIFS(DATOS!$K$2:$K$20000,DATOS!$A$2:$A$20000,Y698,DATOS!$G$2:$G$20000,CONFIG_METADATA!$B$4,DATOS!$I$2:$I$20000,"Música de Cámara"),"")))</f>
        <v/>
      </c>
      <c r="AC698" t="str">
        <f>IF(Y698="","",IF(Y698="[FÓRMULA MANUAL]","",IFERROR(SUMPRODUCT((DATOS!$A$2:$A$20000=Y698)*(DATOS!$G$2:$G$20000=CONFIG_METADATA!$B$4)*(COUNTIF(CONFIG_ASIGNATURAS!$B$7:$B$27,DATOS!$I$2:$I$20000)&gt;0)*(DATOS!$K$2:$K$20000))/SUMPRODUCT((DATOS!$A$2:$A$20000=Y698)*(DATOS!$G$2:$G$20000=CONFIG_METADATA!$B$4)*(COUNTIF(CONFIG_ASIGNATURAS!$B$7:$B$27,DATOS!$I$2:$I$20000)&gt;0)*1),"")))</f>
        <v/>
      </c>
      <c r="AF698" t="str">
        <f>IF(AE698="","",IF(AE698="[FÓRMULA MANUAL]","",IFERROR(AVERAGEIFS(DATOS!$K$2:$K$20000,DATOS!$A$2:$A$20000,AE698,DATOS!$G$2:$G$20000,CONFIG_METADATA!$B$4,DATOS!$I$2:$I$20000,"Análisis"),"")))</f>
        <v/>
      </c>
      <c r="AG698" t="str">
        <f>IF(AE698="","",IF(AE698="[FÓRMULA MANUAL]","",IFERROR(AVERAGEIFS(DATOS!$K$2:$K$20000,DATOS!$A$2:$A$20000,AE698,DATOS!$G$2:$G$20000,CONFIG_METADATA!$B$4,DATOS!$I$2:$I$20000,"Orquesta/Banda/Conjunto"),"")))</f>
        <v/>
      </c>
      <c r="AH698" t="str">
        <f>IF(AE698="","",IF(AE698="[FÓRMULA MANUAL]","",IFERROR(AVERAGEIFS(DATOS!$K$2:$K$20000,DATOS!$A$2:$A$20000,AE698,DATOS!$G$2:$G$20000,CONFIG_METADATA!$B$4,DATOS!$I$2:$I$20000,"Música de Cámara"),"")))</f>
        <v/>
      </c>
      <c r="AI698" t="str">
        <f>IF(AE698="","",IF(AE698="[FÓRMULA MANUAL]","",IFERROR(SUMPRODUCT((DATOS!$A$2:$A$20000=AE698)*(DATOS!$G$2:$G$20000=CONFIG_METADATA!$B$4)*(COUNTIF(CONFIG_ASIGNATURAS!$B$7:$B$27,DATOS!$I$2:$I$20000)&gt;0)*(DATOS!$K$2:$K$20000))/SUMPRODUCT((DATOS!$A$2:$A$20000=AE698)*(DATOS!$G$2:$G$20000=CONFIG_METADATA!$B$4)*(COUNTIF(CONFIG_ASIGNATURAS!$B$7:$B$27,DATOS!$I$2:$I$20000)&gt;0)*1),"")))</f>
        <v/>
      </c>
    </row>
    <row r="699" spans="2:35" x14ac:dyDescent="0.2">
      <c r="B699" t="str">
        <f>IF(A699="","",IF(A699="[FÓRMULA MANUAL]","",IFERROR(AVERAGEIFS(DATOS!$K$2:$K$20000,DATOS!$A$2:$A$20000,A699,DATOS!$G$2:$G$20000,CONFIG_METADATA!$B$4,DATOS!$I$2:$I$20000,"Lenguaje Musical"),"")))</f>
        <v/>
      </c>
      <c r="C699" t="str">
        <f>IF(A699="","",IF(A699="[FÓRMULA MANUAL]","",IFERROR(AVERAGEIFS(DATOS!$K$2:$K$20000,DATOS!$A$2:$A$20000,A699,DATOS!$G$2:$G$20000,CONFIG_METADATA!$B$4,DATOS!$I$2:$I$20000,"Orquesta/Banda/Conjunto"),"")))</f>
        <v/>
      </c>
      <c r="D699" t="str">
        <f>IF(A699="","",IF(A699="[FÓRMULA MANUAL]","",IFERROR(AVERAGEIFS(DATOS!$K$2:$K$20000,DATOS!$A$2:$A$20000,A699,DATOS!$G$2:$G$20000,CONFIG_METADATA!$B$4,DATOS!$I$2:$I$20000,"Conjunto"),"")))</f>
        <v/>
      </c>
      <c r="E699" t="str">
        <f>IF(A699="","",IF(A699="[FÓRMULA MANUAL]","",IFERROR(SUMPRODUCT((DATOS!$A$2:$A$20000=A699)*(DATOS!$G$2:$G$20000=CONFIG_METADATA!$B$4)*(COUNTIF(CONFIG_ASIGNATURAS!$B$7:$B$27,DATOS!$I$2:$I$20000)&gt;0)*(DATOS!$K$2:$K$20000))/SUMPRODUCT((DATOS!$A$2:$A$20000=A699)*(DATOS!$G$2:$G$20000=CONFIG_METADATA!$B$4)*(COUNTIF(CONFIG_ASIGNATURAS!$B$7:$B$27,DATOS!$I$2:$I$20000)&gt;0)*1),"")))</f>
        <v/>
      </c>
      <c r="H699" t="str">
        <f>IF(G699="","",IF(G699="[FÓRMULA MANUAL]","",IFERROR(AVERAGEIFS(DATOS!$K$2:$K$20000,DATOS!$A$2:$A$20000,G699,DATOS!$G$2:$G$20000,CONFIG_METADATA!$B$4,DATOS!$I$2:$I$20000,"Lenguaje Musical"),"")))</f>
        <v/>
      </c>
      <c r="I699" t="str">
        <f>IF(G699="","",IF(G699="[FÓRMULA MANUAL]","",IFERROR(AVERAGEIFS(DATOS!$K$2:$K$20000,DATOS!$A$2:$A$20000,G699,DATOS!$G$2:$G$20000,CONFIG_METADATA!$B$4,DATOS!$I$2:$I$20000,"Orquesta/Banda/Conjunto"),"")))</f>
        <v/>
      </c>
      <c r="J699" t="str">
        <f>IF(G699="","",IF(G699="[FÓRMULA MANUAL]","",IFERROR(AVERAGEIFS(DATOS!$K$2:$K$20000,DATOS!$A$2:$A$20000,G699,DATOS!$G$2:$G$20000,CONFIG_METADATA!$B$4,DATOS!$I$2:$I$20000,"Conjunto"),"")))</f>
        <v/>
      </c>
      <c r="K699" t="str">
        <f>IF(G699="","",IF(G699="[FÓRMULA MANUAL]","",IFERROR(SUMPRODUCT((DATOS!$A$2:$A$20000=G699)*(DATOS!$G$2:$G$20000=CONFIG_METADATA!$B$4)*(COUNTIF(CONFIG_ASIGNATURAS!$B$7:$B$27,DATOS!$I$2:$I$20000)&gt;0)*(DATOS!$K$2:$K$20000))/SUMPRODUCT((DATOS!$A$2:$A$20000=G699)*(DATOS!$G$2:$G$20000=CONFIG_METADATA!$B$4)*(COUNTIF(CONFIG_ASIGNATURAS!$B$7:$B$27,DATOS!$I$2:$I$20000)&gt;0)*1),"")))</f>
        <v/>
      </c>
      <c r="N699" t="str">
        <f>IF(M699="","",IF(M699="[FÓRMULA MANUAL]","",IFERROR(AVERAGEIFS(DATOS!$K$2:$K$20000,DATOS!$A$2:$A$20000,M699,DATOS!$G$2:$G$20000,CONFIG_METADATA!$B$4,DATOS!$I$2:$I$20000,"Armonía"),"")))</f>
        <v/>
      </c>
      <c r="O699" t="str">
        <f>IF(M699="","",IF(M699="[FÓRMULA MANUAL]","",IFERROR(AVERAGEIFS(DATOS!$K$2:$K$20000,DATOS!$A$2:$A$20000,M699,DATOS!$G$2:$G$20000,CONFIG_METADATA!$B$4,DATOS!$I$2:$I$20000,"Orquesta/Banda/Conjunto"),"")))</f>
        <v/>
      </c>
      <c r="P699" t="str">
        <f>IF(M699="","",IF(M699="[FÓRMULA MANUAL]","",IFERROR(AVERAGEIFS(DATOS!$K$2:$K$20000,DATOS!$A$2:$A$20000,M699,DATOS!$G$2:$G$20000,CONFIG_METADATA!$B$4,DATOS!$I$2:$I$20000,"Música de Cámara"),"")))</f>
        <v/>
      </c>
      <c r="Q699" t="str">
        <f>IF(M699="","",IF(M699="[FÓRMULA MANUAL]","",IFERROR(SUMPRODUCT((DATOS!$A$2:$A$20000=M699)*(DATOS!$G$2:$G$20000=CONFIG_METADATA!$B$4)*(COUNTIF(CONFIG_ASIGNATURAS!$B$7:$B$27,DATOS!$I$2:$I$20000)&gt;0)*(DATOS!$K$2:$K$20000))/SUMPRODUCT((DATOS!$A$2:$A$20000=M699)*(DATOS!$G$2:$G$20000=CONFIG_METADATA!$B$4)*(COUNTIF(CONFIG_ASIGNATURAS!$B$7:$B$27,DATOS!$I$2:$I$20000)&gt;0)*1),"")))</f>
        <v/>
      </c>
      <c r="T699" t="str">
        <f>IF(S699="","",IF(S699="[FÓRMULA MANUAL]","",IFERROR(AVERAGEIFS(DATOS!$K$2:$K$20000,DATOS!$A$2:$A$20000,S699,DATOS!$G$2:$G$20000,CONFIG_METADATA!$B$4,DATOS!$I$2:$I$20000,"Armonía"),"")))</f>
        <v/>
      </c>
      <c r="U699" t="str">
        <f>IF(S699="","",IF(S699="[FÓRMULA MANUAL]","",IFERROR(AVERAGEIFS(DATOS!$K$2:$K$20000,DATOS!$A$2:$A$20000,S699,DATOS!$G$2:$G$20000,CONFIG_METADATA!$B$4,DATOS!$I$2:$I$20000,"Orquesta/Banda/Conjunto"),"")))</f>
        <v/>
      </c>
      <c r="V699" t="str">
        <f>IF(S699="","",IF(S699="[FÓRMULA MANUAL]","",IFERROR(AVERAGEIFS(DATOS!$K$2:$K$20000,DATOS!$A$2:$A$20000,S699,DATOS!$G$2:$G$20000,CONFIG_METADATA!$B$4,DATOS!$I$2:$I$20000,"Música de Cámara"),"")))</f>
        <v/>
      </c>
      <c r="W699" t="str">
        <f>IF(S699="","",IF(S699="[FÓRMULA MANUAL]","",IFERROR(SUMPRODUCT((DATOS!$A$2:$A$20000=S699)*(DATOS!$G$2:$G$20000=CONFIG_METADATA!$B$4)*(COUNTIF(CONFIG_ASIGNATURAS!$B$7:$B$27,DATOS!$I$2:$I$20000)&gt;0)*(DATOS!$K$2:$K$20000))/SUMPRODUCT((DATOS!$A$2:$A$20000=S699)*(DATOS!$G$2:$G$20000=CONFIG_METADATA!$B$4)*(COUNTIF(CONFIG_ASIGNATURAS!$B$7:$B$27,DATOS!$I$2:$I$20000)&gt;0)*1),"")))</f>
        <v/>
      </c>
      <c r="Z699" t="str">
        <f>IF(Y699="","",IF(Y699="[FÓRMULA MANUAL]","",IFERROR(AVERAGEIFS(DATOS!$K$2:$K$20000,DATOS!$A$2:$A$20000,Y699,DATOS!$G$2:$G$20000,CONFIG_METADATA!$B$4,DATOS!$I$2:$I$20000,"Análisis"),"")))</f>
        <v/>
      </c>
      <c r="AA699" t="str">
        <f>IF(Y699="","",IF(Y699="[FÓRMULA MANUAL]","",IFERROR(AVERAGEIFS(DATOS!$K$2:$K$20000,DATOS!$A$2:$A$20000,Y699,DATOS!$G$2:$G$20000,CONFIG_METADATA!$B$4,DATOS!$I$2:$I$20000,"Orquesta/Banda/Conjunto"),"")))</f>
        <v/>
      </c>
      <c r="AB699" t="str">
        <f>IF(Y699="","",IF(Y699="[FÓRMULA MANUAL]","",IFERROR(AVERAGEIFS(DATOS!$K$2:$K$20000,DATOS!$A$2:$A$20000,Y699,DATOS!$G$2:$G$20000,CONFIG_METADATA!$B$4,DATOS!$I$2:$I$20000,"Música de Cámara"),"")))</f>
        <v/>
      </c>
      <c r="AC699" t="str">
        <f>IF(Y699="","",IF(Y699="[FÓRMULA MANUAL]","",IFERROR(SUMPRODUCT((DATOS!$A$2:$A$20000=Y699)*(DATOS!$G$2:$G$20000=CONFIG_METADATA!$B$4)*(COUNTIF(CONFIG_ASIGNATURAS!$B$7:$B$27,DATOS!$I$2:$I$20000)&gt;0)*(DATOS!$K$2:$K$20000))/SUMPRODUCT((DATOS!$A$2:$A$20000=Y699)*(DATOS!$G$2:$G$20000=CONFIG_METADATA!$B$4)*(COUNTIF(CONFIG_ASIGNATURAS!$B$7:$B$27,DATOS!$I$2:$I$20000)&gt;0)*1),"")))</f>
        <v/>
      </c>
      <c r="AF699" t="str">
        <f>IF(AE699="","",IF(AE699="[FÓRMULA MANUAL]","",IFERROR(AVERAGEIFS(DATOS!$K$2:$K$20000,DATOS!$A$2:$A$20000,AE699,DATOS!$G$2:$G$20000,CONFIG_METADATA!$B$4,DATOS!$I$2:$I$20000,"Análisis"),"")))</f>
        <v/>
      </c>
      <c r="AG699" t="str">
        <f>IF(AE699="","",IF(AE699="[FÓRMULA MANUAL]","",IFERROR(AVERAGEIFS(DATOS!$K$2:$K$20000,DATOS!$A$2:$A$20000,AE699,DATOS!$G$2:$G$20000,CONFIG_METADATA!$B$4,DATOS!$I$2:$I$20000,"Orquesta/Banda/Conjunto"),"")))</f>
        <v/>
      </c>
      <c r="AH699" t="str">
        <f>IF(AE699="","",IF(AE699="[FÓRMULA MANUAL]","",IFERROR(AVERAGEIFS(DATOS!$K$2:$K$20000,DATOS!$A$2:$A$20000,AE699,DATOS!$G$2:$G$20000,CONFIG_METADATA!$B$4,DATOS!$I$2:$I$20000,"Música de Cámara"),"")))</f>
        <v/>
      </c>
      <c r="AI699" t="str">
        <f>IF(AE699="","",IF(AE699="[FÓRMULA MANUAL]","",IFERROR(SUMPRODUCT((DATOS!$A$2:$A$20000=AE699)*(DATOS!$G$2:$G$20000=CONFIG_METADATA!$B$4)*(COUNTIF(CONFIG_ASIGNATURAS!$B$7:$B$27,DATOS!$I$2:$I$20000)&gt;0)*(DATOS!$K$2:$K$20000))/SUMPRODUCT((DATOS!$A$2:$A$20000=AE699)*(DATOS!$G$2:$G$20000=CONFIG_METADATA!$B$4)*(COUNTIF(CONFIG_ASIGNATURAS!$B$7:$B$27,DATOS!$I$2:$I$20000)&gt;0)*1),"")))</f>
        <v/>
      </c>
    </row>
    <row r="700" spans="2:35" x14ac:dyDescent="0.2">
      <c r="B700" t="str">
        <f>IF(A700="","",IF(A700="[FÓRMULA MANUAL]","",IFERROR(AVERAGEIFS(DATOS!$K$2:$K$20000,DATOS!$A$2:$A$20000,A700,DATOS!$G$2:$G$20000,CONFIG_METADATA!$B$4,DATOS!$I$2:$I$20000,"Lenguaje Musical"),"")))</f>
        <v/>
      </c>
      <c r="C700" t="str">
        <f>IF(A700="","",IF(A700="[FÓRMULA MANUAL]","",IFERROR(AVERAGEIFS(DATOS!$K$2:$K$20000,DATOS!$A$2:$A$20000,A700,DATOS!$G$2:$G$20000,CONFIG_METADATA!$B$4,DATOS!$I$2:$I$20000,"Orquesta/Banda/Conjunto"),"")))</f>
        <v/>
      </c>
      <c r="D700" t="str">
        <f>IF(A700="","",IF(A700="[FÓRMULA MANUAL]","",IFERROR(AVERAGEIFS(DATOS!$K$2:$K$20000,DATOS!$A$2:$A$20000,A700,DATOS!$G$2:$G$20000,CONFIG_METADATA!$B$4,DATOS!$I$2:$I$20000,"Conjunto"),"")))</f>
        <v/>
      </c>
      <c r="E700" t="str">
        <f>IF(A700="","",IF(A700="[FÓRMULA MANUAL]","",IFERROR(SUMPRODUCT((DATOS!$A$2:$A$20000=A700)*(DATOS!$G$2:$G$20000=CONFIG_METADATA!$B$4)*(COUNTIF(CONFIG_ASIGNATURAS!$B$7:$B$27,DATOS!$I$2:$I$20000)&gt;0)*(DATOS!$K$2:$K$20000))/SUMPRODUCT((DATOS!$A$2:$A$20000=A700)*(DATOS!$G$2:$G$20000=CONFIG_METADATA!$B$4)*(COUNTIF(CONFIG_ASIGNATURAS!$B$7:$B$27,DATOS!$I$2:$I$20000)&gt;0)*1),"")))</f>
        <v/>
      </c>
      <c r="H700" t="str">
        <f>IF(G700="","",IF(G700="[FÓRMULA MANUAL]","",IFERROR(AVERAGEIFS(DATOS!$K$2:$K$20000,DATOS!$A$2:$A$20000,G700,DATOS!$G$2:$G$20000,CONFIG_METADATA!$B$4,DATOS!$I$2:$I$20000,"Lenguaje Musical"),"")))</f>
        <v/>
      </c>
      <c r="I700" t="str">
        <f>IF(G700="","",IF(G700="[FÓRMULA MANUAL]","",IFERROR(AVERAGEIFS(DATOS!$K$2:$K$20000,DATOS!$A$2:$A$20000,G700,DATOS!$G$2:$G$20000,CONFIG_METADATA!$B$4,DATOS!$I$2:$I$20000,"Orquesta/Banda/Conjunto"),"")))</f>
        <v/>
      </c>
      <c r="J700" t="str">
        <f>IF(G700="","",IF(G700="[FÓRMULA MANUAL]","",IFERROR(AVERAGEIFS(DATOS!$K$2:$K$20000,DATOS!$A$2:$A$20000,G700,DATOS!$G$2:$G$20000,CONFIG_METADATA!$B$4,DATOS!$I$2:$I$20000,"Conjunto"),"")))</f>
        <v/>
      </c>
      <c r="K700" t="str">
        <f>IF(G700="","",IF(G700="[FÓRMULA MANUAL]","",IFERROR(SUMPRODUCT((DATOS!$A$2:$A$20000=G700)*(DATOS!$G$2:$G$20000=CONFIG_METADATA!$B$4)*(COUNTIF(CONFIG_ASIGNATURAS!$B$7:$B$27,DATOS!$I$2:$I$20000)&gt;0)*(DATOS!$K$2:$K$20000))/SUMPRODUCT((DATOS!$A$2:$A$20000=G700)*(DATOS!$G$2:$G$20000=CONFIG_METADATA!$B$4)*(COUNTIF(CONFIG_ASIGNATURAS!$B$7:$B$27,DATOS!$I$2:$I$20000)&gt;0)*1),"")))</f>
        <v/>
      </c>
      <c r="N700" t="str">
        <f>IF(M700="","",IF(M700="[FÓRMULA MANUAL]","",IFERROR(AVERAGEIFS(DATOS!$K$2:$K$20000,DATOS!$A$2:$A$20000,M700,DATOS!$G$2:$G$20000,CONFIG_METADATA!$B$4,DATOS!$I$2:$I$20000,"Armonía"),"")))</f>
        <v/>
      </c>
      <c r="O700" t="str">
        <f>IF(M700="","",IF(M700="[FÓRMULA MANUAL]","",IFERROR(AVERAGEIFS(DATOS!$K$2:$K$20000,DATOS!$A$2:$A$20000,M700,DATOS!$G$2:$G$20000,CONFIG_METADATA!$B$4,DATOS!$I$2:$I$20000,"Orquesta/Banda/Conjunto"),"")))</f>
        <v/>
      </c>
      <c r="P700" t="str">
        <f>IF(M700="","",IF(M700="[FÓRMULA MANUAL]","",IFERROR(AVERAGEIFS(DATOS!$K$2:$K$20000,DATOS!$A$2:$A$20000,M700,DATOS!$G$2:$G$20000,CONFIG_METADATA!$B$4,DATOS!$I$2:$I$20000,"Música de Cámara"),"")))</f>
        <v/>
      </c>
      <c r="Q700" t="str">
        <f>IF(M700="","",IF(M700="[FÓRMULA MANUAL]","",IFERROR(SUMPRODUCT((DATOS!$A$2:$A$20000=M700)*(DATOS!$G$2:$G$20000=CONFIG_METADATA!$B$4)*(COUNTIF(CONFIG_ASIGNATURAS!$B$7:$B$27,DATOS!$I$2:$I$20000)&gt;0)*(DATOS!$K$2:$K$20000))/SUMPRODUCT((DATOS!$A$2:$A$20000=M700)*(DATOS!$G$2:$G$20000=CONFIG_METADATA!$B$4)*(COUNTIF(CONFIG_ASIGNATURAS!$B$7:$B$27,DATOS!$I$2:$I$20000)&gt;0)*1),"")))</f>
        <v/>
      </c>
      <c r="T700" t="str">
        <f>IF(S700="","",IF(S700="[FÓRMULA MANUAL]","",IFERROR(AVERAGEIFS(DATOS!$K$2:$K$20000,DATOS!$A$2:$A$20000,S700,DATOS!$G$2:$G$20000,CONFIG_METADATA!$B$4,DATOS!$I$2:$I$20000,"Armonía"),"")))</f>
        <v/>
      </c>
      <c r="U700" t="str">
        <f>IF(S700="","",IF(S700="[FÓRMULA MANUAL]","",IFERROR(AVERAGEIFS(DATOS!$K$2:$K$20000,DATOS!$A$2:$A$20000,S700,DATOS!$G$2:$G$20000,CONFIG_METADATA!$B$4,DATOS!$I$2:$I$20000,"Orquesta/Banda/Conjunto"),"")))</f>
        <v/>
      </c>
      <c r="V700" t="str">
        <f>IF(S700="","",IF(S700="[FÓRMULA MANUAL]","",IFERROR(AVERAGEIFS(DATOS!$K$2:$K$20000,DATOS!$A$2:$A$20000,S700,DATOS!$G$2:$G$20000,CONFIG_METADATA!$B$4,DATOS!$I$2:$I$20000,"Música de Cámara"),"")))</f>
        <v/>
      </c>
      <c r="W700" t="str">
        <f>IF(S700="","",IF(S700="[FÓRMULA MANUAL]","",IFERROR(SUMPRODUCT((DATOS!$A$2:$A$20000=S700)*(DATOS!$G$2:$G$20000=CONFIG_METADATA!$B$4)*(COUNTIF(CONFIG_ASIGNATURAS!$B$7:$B$27,DATOS!$I$2:$I$20000)&gt;0)*(DATOS!$K$2:$K$20000))/SUMPRODUCT((DATOS!$A$2:$A$20000=S700)*(DATOS!$G$2:$G$20000=CONFIG_METADATA!$B$4)*(COUNTIF(CONFIG_ASIGNATURAS!$B$7:$B$27,DATOS!$I$2:$I$20000)&gt;0)*1),"")))</f>
        <v/>
      </c>
      <c r="Z700" t="str">
        <f>IF(Y700="","",IF(Y700="[FÓRMULA MANUAL]","",IFERROR(AVERAGEIFS(DATOS!$K$2:$K$20000,DATOS!$A$2:$A$20000,Y700,DATOS!$G$2:$G$20000,CONFIG_METADATA!$B$4,DATOS!$I$2:$I$20000,"Análisis"),"")))</f>
        <v/>
      </c>
      <c r="AA700" t="str">
        <f>IF(Y700="","",IF(Y700="[FÓRMULA MANUAL]","",IFERROR(AVERAGEIFS(DATOS!$K$2:$K$20000,DATOS!$A$2:$A$20000,Y700,DATOS!$G$2:$G$20000,CONFIG_METADATA!$B$4,DATOS!$I$2:$I$20000,"Orquesta/Banda/Conjunto"),"")))</f>
        <v/>
      </c>
      <c r="AB700" t="str">
        <f>IF(Y700="","",IF(Y700="[FÓRMULA MANUAL]","",IFERROR(AVERAGEIFS(DATOS!$K$2:$K$20000,DATOS!$A$2:$A$20000,Y700,DATOS!$G$2:$G$20000,CONFIG_METADATA!$B$4,DATOS!$I$2:$I$20000,"Música de Cámara"),"")))</f>
        <v/>
      </c>
      <c r="AC700" t="str">
        <f>IF(Y700="","",IF(Y700="[FÓRMULA MANUAL]","",IFERROR(SUMPRODUCT((DATOS!$A$2:$A$20000=Y700)*(DATOS!$G$2:$G$20000=CONFIG_METADATA!$B$4)*(COUNTIF(CONFIG_ASIGNATURAS!$B$7:$B$27,DATOS!$I$2:$I$20000)&gt;0)*(DATOS!$K$2:$K$20000))/SUMPRODUCT((DATOS!$A$2:$A$20000=Y700)*(DATOS!$G$2:$G$20000=CONFIG_METADATA!$B$4)*(COUNTIF(CONFIG_ASIGNATURAS!$B$7:$B$27,DATOS!$I$2:$I$20000)&gt;0)*1),"")))</f>
        <v/>
      </c>
      <c r="AF700" t="str">
        <f>IF(AE700="","",IF(AE700="[FÓRMULA MANUAL]","",IFERROR(AVERAGEIFS(DATOS!$K$2:$K$20000,DATOS!$A$2:$A$20000,AE700,DATOS!$G$2:$G$20000,CONFIG_METADATA!$B$4,DATOS!$I$2:$I$20000,"Análisis"),"")))</f>
        <v/>
      </c>
      <c r="AG700" t="str">
        <f>IF(AE700="","",IF(AE700="[FÓRMULA MANUAL]","",IFERROR(AVERAGEIFS(DATOS!$K$2:$K$20000,DATOS!$A$2:$A$20000,AE700,DATOS!$G$2:$G$20000,CONFIG_METADATA!$B$4,DATOS!$I$2:$I$20000,"Orquesta/Banda/Conjunto"),"")))</f>
        <v/>
      </c>
      <c r="AH700" t="str">
        <f>IF(AE700="","",IF(AE700="[FÓRMULA MANUAL]","",IFERROR(AVERAGEIFS(DATOS!$K$2:$K$20000,DATOS!$A$2:$A$20000,AE700,DATOS!$G$2:$G$20000,CONFIG_METADATA!$B$4,DATOS!$I$2:$I$20000,"Música de Cámara"),"")))</f>
        <v/>
      </c>
      <c r="AI700" t="str">
        <f>IF(AE700="","",IF(AE700="[FÓRMULA MANUAL]","",IFERROR(SUMPRODUCT((DATOS!$A$2:$A$20000=AE700)*(DATOS!$G$2:$G$20000=CONFIG_METADATA!$B$4)*(COUNTIF(CONFIG_ASIGNATURAS!$B$7:$B$27,DATOS!$I$2:$I$20000)&gt;0)*(DATOS!$K$2:$K$20000))/SUMPRODUCT((DATOS!$A$2:$A$20000=AE700)*(DATOS!$G$2:$G$20000=CONFIG_METADATA!$B$4)*(COUNTIF(CONFIG_ASIGNATURAS!$B$7:$B$27,DATOS!$I$2:$I$20000)&gt;0)*1),"")))</f>
        <v/>
      </c>
    </row>
    <row r="701" spans="2:35" x14ac:dyDescent="0.2">
      <c r="B701" t="str">
        <f>IF(A701="","",IF(A701="[FÓRMULA MANUAL]","",IFERROR(AVERAGEIFS(DATOS!$K$2:$K$20000,DATOS!$A$2:$A$20000,A701,DATOS!$G$2:$G$20000,CONFIG_METADATA!$B$4,DATOS!$I$2:$I$20000,"Lenguaje Musical"),"")))</f>
        <v/>
      </c>
      <c r="C701" t="str">
        <f>IF(A701="","",IF(A701="[FÓRMULA MANUAL]","",IFERROR(AVERAGEIFS(DATOS!$K$2:$K$20000,DATOS!$A$2:$A$20000,A701,DATOS!$G$2:$G$20000,CONFIG_METADATA!$B$4,DATOS!$I$2:$I$20000,"Orquesta/Banda/Conjunto"),"")))</f>
        <v/>
      </c>
      <c r="D701" t="str">
        <f>IF(A701="","",IF(A701="[FÓRMULA MANUAL]","",IFERROR(AVERAGEIFS(DATOS!$K$2:$K$20000,DATOS!$A$2:$A$20000,A701,DATOS!$G$2:$G$20000,CONFIG_METADATA!$B$4,DATOS!$I$2:$I$20000,"Conjunto"),"")))</f>
        <v/>
      </c>
      <c r="E701" t="str">
        <f>IF(A701="","",IF(A701="[FÓRMULA MANUAL]","",IFERROR(SUMPRODUCT((DATOS!$A$2:$A$20000=A701)*(DATOS!$G$2:$G$20000=CONFIG_METADATA!$B$4)*(COUNTIF(CONFIG_ASIGNATURAS!$B$7:$B$27,DATOS!$I$2:$I$20000)&gt;0)*(DATOS!$K$2:$K$20000))/SUMPRODUCT((DATOS!$A$2:$A$20000=A701)*(DATOS!$G$2:$G$20000=CONFIG_METADATA!$B$4)*(COUNTIF(CONFIG_ASIGNATURAS!$B$7:$B$27,DATOS!$I$2:$I$20000)&gt;0)*1),"")))</f>
        <v/>
      </c>
      <c r="H701" t="str">
        <f>IF(G701="","",IF(G701="[FÓRMULA MANUAL]","",IFERROR(AVERAGEIFS(DATOS!$K$2:$K$20000,DATOS!$A$2:$A$20000,G701,DATOS!$G$2:$G$20000,CONFIG_METADATA!$B$4,DATOS!$I$2:$I$20000,"Lenguaje Musical"),"")))</f>
        <v/>
      </c>
      <c r="I701" t="str">
        <f>IF(G701="","",IF(G701="[FÓRMULA MANUAL]","",IFERROR(AVERAGEIFS(DATOS!$K$2:$K$20000,DATOS!$A$2:$A$20000,G701,DATOS!$G$2:$G$20000,CONFIG_METADATA!$B$4,DATOS!$I$2:$I$20000,"Orquesta/Banda/Conjunto"),"")))</f>
        <v/>
      </c>
      <c r="J701" t="str">
        <f>IF(G701="","",IF(G701="[FÓRMULA MANUAL]","",IFERROR(AVERAGEIFS(DATOS!$K$2:$K$20000,DATOS!$A$2:$A$20000,G701,DATOS!$G$2:$G$20000,CONFIG_METADATA!$B$4,DATOS!$I$2:$I$20000,"Conjunto"),"")))</f>
        <v/>
      </c>
      <c r="K701" t="str">
        <f>IF(G701="","",IF(G701="[FÓRMULA MANUAL]","",IFERROR(SUMPRODUCT((DATOS!$A$2:$A$20000=G701)*(DATOS!$G$2:$G$20000=CONFIG_METADATA!$B$4)*(COUNTIF(CONFIG_ASIGNATURAS!$B$7:$B$27,DATOS!$I$2:$I$20000)&gt;0)*(DATOS!$K$2:$K$20000))/SUMPRODUCT((DATOS!$A$2:$A$20000=G701)*(DATOS!$G$2:$G$20000=CONFIG_METADATA!$B$4)*(COUNTIF(CONFIG_ASIGNATURAS!$B$7:$B$27,DATOS!$I$2:$I$20000)&gt;0)*1),"")))</f>
        <v/>
      </c>
      <c r="N701" t="str">
        <f>IF(M701="","",IF(M701="[FÓRMULA MANUAL]","",IFERROR(AVERAGEIFS(DATOS!$K$2:$K$20000,DATOS!$A$2:$A$20000,M701,DATOS!$G$2:$G$20000,CONFIG_METADATA!$B$4,DATOS!$I$2:$I$20000,"Armonía"),"")))</f>
        <v/>
      </c>
      <c r="O701" t="str">
        <f>IF(M701="","",IF(M701="[FÓRMULA MANUAL]","",IFERROR(AVERAGEIFS(DATOS!$K$2:$K$20000,DATOS!$A$2:$A$20000,M701,DATOS!$G$2:$G$20000,CONFIG_METADATA!$B$4,DATOS!$I$2:$I$20000,"Orquesta/Banda/Conjunto"),"")))</f>
        <v/>
      </c>
      <c r="P701" t="str">
        <f>IF(M701="","",IF(M701="[FÓRMULA MANUAL]","",IFERROR(AVERAGEIFS(DATOS!$K$2:$K$20000,DATOS!$A$2:$A$20000,M701,DATOS!$G$2:$G$20000,CONFIG_METADATA!$B$4,DATOS!$I$2:$I$20000,"Música de Cámara"),"")))</f>
        <v/>
      </c>
      <c r="Q701" t="str">
        <f>IF(M701="","",IF(M701="[FÓRMULA MANUAL]","",IFERROR(SUMPRODUCT((DATOS!$A$2:$A$20000=M701)*(DATOS!$G$2:$G$20000=CONFIG_METADATA!$B$4)*(COUNTIF(CONFIG_ASIGNATURAS!$B$7:$B$27,DATOS!$I$2:$I$20000)&gt;0)*(DATOS!$K$2:$K$20000))/SUMPRODUCT((DATOS!$A$2:$A$20000=M701)*(DATOS!$G$2:$G$20000=CONFIG_METADATA!$B$4)*(COUNTIF(CONFIG_ASIGNATURAS!$B$7:$B$27,DATOS!$I$2:$I$20000)&gt;0)*1),"")))</f>
        <v/>
      </c>
      <c r="T701" t="str">
        <f>IF(S701="","",IF(S701="[FÓRMULA MANUAL]","",IFERROR(AVERAGEIFS(DATOS!$K$2:$K$20000,DATOS!$A$2:$A$20000,S701,DATOS!$G$2:$G$20000,CONFIG_METADATA!$B$4,DATOS!$I$2:$I$20000,"Armonía"),"")))</f>
        <v/>
      </c>
      <c r="U701" t="str">
        <f>IF(S701="","",IF(S701="[FÓRMULA MANUAL]","",IFERROR(AVERAGEIFS(DATOS!$K$2:$K$20000,DATOS!$A$2:$A$20000,S701,DATOS!$G$2:$G$20000,CONFIG_METADATA!$B$4,DATOS!$I$2:$I$20000,"Orquesta/Banda/Conjunto"),"")))</f>
        <v/>
      </c>
      <c r="V701" t="str">
        <f>IF(S701="","",IF(S701="[FÓRMULA MANUAL]","",IFERROR(AVERAGEIFS(DATOS!$K$2:$K$20000,DATOS!$A$2:$A$20000,S701,DATOS!$G$2:$G$20000,CONFIG_METADATA!$B$4,DATOS!$I$2:$I$20000,"Música de Cámara"),"")))</f>
        <v/>
      </c>
      <c r="W701" t="str">
        <f>IF(S701="","",IF(S701="[FÓRMULA MANUAL]","",IFERROR(SUMPRODUCT((DATOS!$A$2:$A$20000=S701)*(DATOS!$G$2:$G$20000=CONFIG_METADATA!$B$4)*(COUNTIF(CONFIG_ASIGNATURAS!$B$7:$B$27,DATOS!$I$2:$I$20000)&gt;0)*(DATOS!$K$2:$K$20000))/SUMPRODUCT((DATOS!$A$2:$A$20000=S701)*(DATOS!$G$2:$G$20000=CONFIG_METADATA!$B$4)*(COUNTIF(CONFIG_ASIGNATURAS!$B$7:$B$27,DATOS!$I$2:$I$20000)&gt;0)*1),"")))</f>
        <v/>
      </c>
      <c r="Z701" t="str">
        <f>IF(Y701="","",IF(Y701="[FÓRMULA MANUAL]","",IFERROR(AVERAGEIFS(DATOS!$K$2:$K$20000,DATOS!$A$2:$A$20000,Y701,DATOS!$G$2:$G$20000,CONFIG_METADATA!$B$4,DATOS!$I$2:$I$20000,"Análisis"),"")))</f>
        <v/>
      </c>
      <c r="AA701" t="str">
        <f>IF(Y701="","",IF(Y701="[FÓRMULA MANUAL]","",IFERROR(AVERAGEIFS(DATOS!$K$2:$K$20000,DATOS!$A$2:$A$20000,Y701,DATOS!$G$2:$G$20000,CONFIG_METADATA!$B$4,DATOS!$I$2:$I$20000,"Orquesta/Banda/Conjunto"),"")))</f>
        <v/>
      </c>
      <c r="AB701" t="str">
        <f>IF(Y701="","",IF(Y701="[FÓRMULA MANUAL]","",IFERROR(AVERAGEIFS(DATOS!$K$2:$K$20000,DATOS!$A$2:$A$20000,Y701,DATOS!$G$2:$G$20000,CONFIG_METADATA!$B$4,DATOS!$I$2:$I$20000,"Música de Cámara"),"")))</f>
        <v/>
      </c>
      <c r="AC701" t="str">
        <f>IF(Y701="","",IF(Y701="[FÓRMULA MANUAL]","",IFERROR(SUMPRODUCT((DATOS!$A$2:$A$20000=Y701)*(DATOS!$G$2:$G$20000=CONFIG_METADATA!$B$4)*(COUNTIF(CONFIG_ASIGNATURAS!$B$7:$B$27,DATOS!$I$2:$I$20000)&gt;0)*(DATOS!$K$2:$K$20000))/SUMPRODUCT((DATOS!$A$2:$A$20000=Y701)*(DATOS!$G$2:$G$20000=CONFIG_METADATA!$B$4)*(COUNTIF(CONFIG_ASIGNATURAS!$B$7:$B$27,DATOS!$I$2:$I$20000)&gt;0)*1),"")))</f>
        <v/>
      </c>
      <c r="AF701" t="str">
        <f>IF(AE701="","",IF(AE701="[FÓRMULA MANUAL]","",IFERROR(AVERAGEIFS(DATOS!$K$2:$K$20000,DATOS!$A$2:$A$20000,AE701,DATOS!$G$2:$G$20000,CONFIG_METADATA!$B$4,DATOS!$I$2:$I$20000,"Análisis"),"")))</f>
        <v/>
      </c>
      <c r="AG701" t="str">
        <f>IF(AE701="","",IF(AE701="[FÓRMULA MANUAL]","",IFERROR(AVERAGEIFS(DATOS!$K$2:$K$20000,DATOS!$A$2:$A$20000,AE701,DATOS!$G$2:$G$20000,CONFIG_METADATA!$B$4,DATOS!$I$2:$I$20000,"Orquesta/Banda/Conjunto"),"")))</f>
        <v/>
      </c>
      <c r="AH701" t="str">
        <f>IF(AE701="","",IF(AE701="[FÓRMULA MANUAL]","",IFERROR(AVERAGEIFS(DATOS!$K$2:$K$20000,DATOS!$A$2:$A$20000,AE701,DATOS!$G$2:$G$20000,CONFIG_METADATA!$B$4,DATOS!$I$2:$I$20000,"Música de Cámara"),"")))</f>
        <v/>
      </c>
      <c r="AI701" t="str">
        <f>IF(AE701="","",IF(AE701="[FÓRMULA MANUAL]","",IFERROR(SUMPRODUCT((DATOS!$A$2:$A$20000=AE701)*(DATOS!$G$2:$G$20000=CONFIG_METADATA!$B$4)*(COUNTIF(CONFIG_ASIGNATURAS!$B$7:$B$27,DATOS!$I$2:$I$20000)&gt;0)*(DATOS!$K$2:$K$20000))/SUMPRODUCT((DATOS!$A$2:$A$20000=AE701)*(DATOS!$G$2:$G$20000=CONFIG_METADATA!$B$4)*(COUNTIF(CONFIG_ASIGNATURAS!$B$7:$B$27,DATOS!$I$2:$I$20000)&gt;0)*1),"")))</f>
        <v/>
      </c>
    </row>
    <row r="702" spans="2:35" x14ac:dyDescent="0.2">
      <c r="B702" t="str">
        <f>IF(A702="","",IF(A702="[FÓRMULA MANUAL]","",IFERROR(AVERAGEIFS(DATOS!$K$2:$K$20000,DATOS!$A$2:$A$20000,A702,DATOS!$G$2:$G$20000,CONFIG_METADATA!$B$4,DATOS!$I$2:$I$20000,"Lenguaje Musical"),"")))</f>
        <v/>
      </c>
      <c r="C702" t="str">
        <f>IF(A702="","",IF(A702="[FÓRMULA MANUAL]","",IFERROR(AVERAGEIFS(DATOS!$K$2:$K$20000,DATOS!$A$2:$A$20000,A702,DATOS!$G$2:$G$20000,CONFIG_METADATA!$B$4,DATOS!$I$2:$I$20000,"Orquesta/Banda/Conjunto"),"")))</f>
        <v/>
      </c>
      <c r="D702" t="str">
        <f>IF(A702="","",IF(A702="[FÓRMULA MANUAL]","",IFERROR(AVERAGEIFS(DATOS!$K$2:$K$20000,DATOS!$A$2:$A$20000,A702,DATOS!$G$2:$G$20000,CONFIG_METADATA!$B$4,DATOS!$I$2:$I$20000,"Conjunto"),"")))</f>
        <v/>
      </c>
      <c r="E702" t="str">
        <f>IF(A702="","",IF(A702="[FÓRMULA MANUAL]","",IFERROR(SUMPRODUCT((DATOS!$A$2:$A$20000=A702)*(DATOS!$G$2:$G$20000=CONFIG_METADATA!$B$4)*(COUNTIF(CONFIG_ASIGNATURAS!$B$7:$B$27,DATOS!$I$2:$I$20000)&gt;0)*(DATOS!$K$2:$K$20000))/SUMPRODUCT((DATOS!$A$2:$A$20000=A702)*(DATOS!$G$2:$G$20000=CONFIG_METADATA!$B$4)*(COUNTIF(CONFIG_ASIGNATURAS!$B$7:$B$27,DATOS!$I$2:$I$20000)&gt;0)*1),"")))</f>
        <v/>
      </c>
      <c r="H702" t="str">
        <f>IF(G702="","",IF(G702="[FÓRMULA MANUAL]","",IFERROR(AVERAGEIFS(DATOS!$K$2:$K$20000,DATOS!$A$2:$A$20000,G702,DATOS!$G$2:$G$20000,CONFIG_METADATA!$B$4,DATOS!$I$2:$I$20000,"Lenguaje Musical"),"")))</f>
        <v/>
      </c>
      <c r="I702" t="str">
        <f>IF(G702="","",IF(G702="[FÓRMULA MANUAL]","",IFERROR(AVERAGEIFS(DATOS!$K$2:$K$20000,DATOS!$A$2:$A$20000,G702,DATOS!$G$2:$G$20000,CONFIG_METADATA!$B$4,DATOS!$I$2:$I$20000,"Orquesta/Banda/Conjunto"),"")))</f>
        <v/>
      </c>
      <c r="J702" t="str">
        <f>IF(G702="","",IF(G702="[FÓRMULA MANUAL]","",IFERROR(AVERAGEIFS(DATOS!$K$2:$K$20000,DATOS!$A$2:$A$20000,G702,DATOS!$G$2:$G$20000,CONFIG_METADATA!$B$4,DATOS!$I$2:$I$20000,"Conjunto"),"")))</f>
        <v/>
      </c>
      <c r="K702" t="str">
        <f>IF(G702="","",IF(G702="[FÓRMULA MANUAL]","",IFERROR(SUMPRODUCT((DATOS!$A$2:$A$20000=G702)*(DATOS!$G$2:$G$20000=CONFIG_METADATA!$B$4)*(COUNTIF(CONFIG_ASIGNATURAS!$B$7:$B$27,DATOS!$I$2:$I$20000)&gt;0)*(DATOS!$K$2:$K$20000))/SUMPRODUCT((DATOS!$A$2:$A$20000=G702)*(DATOS!$G$2:$G$20000=CONFIG_METADATA!$B$4)*(COUNTIF(CONFIG_ASIGNATURAS!$B$7:$B$27,DATOS!$I$2:$I$20000)&gt;0)*1),"")))</f>
        <v/>
      </c>
      <c r="N702" t="str">
        <f>IF(M702="","",IF(M702="[FÓRMULA MANUAL]","",IFERROR(AVERAGEIFS(DATOS!$K$2:$K$20000,DATOS!$A$2:$A$20000,M702,DATOS!$G$2:$G$20000,CONFIG_METADATA!$B$4,DATOS!$I$2:$I$20000,"Armonía"),"")))</f>
        <v/>
      </c>
      <c r="O702" t="str">
        <f>IF(M702="","",IF(M702="[FÓRMULA MANUAL]","",IFERROR(AVERAGEIFS(DATOS!$K$2:$K$20000,DATOS!$A$2:$A$20000,M702,DATOS!$G$2:$G$20000,CONFIG_METADATA!$B$4,DATOS!$I$2:$I$20000,"Orquesta/Banda/Conjunto"),"")))</f>
        <v/>
      </c>
      <c r="P702" t="str">
        <f>IF(M702="","",IF(M702="[FÓRMULA MANUAL]","",IFERROR(AVERAGEIFS(DATOS!$K$2:$K$20000,DATOS!$A$2:$A$20000,M702,DATOS!$G$2:$G$20000,CONFIG_METADATA!$B$4,DATOS!$I$2:$I$20000,"Música de Cámara"),"")))</f>
        <v/>
      </c>
      <c r="Q702" t="str">
        <f>IF(M702="","",IF(M702="[FÓRMULA MANUAL]","",IFERROR(SUMPRODUCT((DATOS!$A$2:$A$20000=M702)*(DATOS!$G$2:$G$20000=CONFIG_METADATA!$B$4)*(COUNTIF(CONFIG_ASIGNATURAS!$B$7:$B$27,DATOS!$I$2:$I$20000)&gt;0)*(DATOS!$K$2:$K$20000))/SUMPRODUCT((DATOS!$A$2:$A$20000=M702)*(DATOS!$G$2:$G$20000=CONFIG_METADATA!$B$4)*(COUNTIF(CONFIG_ASIGNATURAS!$B$7:$B$27,DATOS!$I$2:$I$20000)&gt;0)*1),"")))</f>
        <v/>
      </c>
      <c r="T702" t="str">
        <f>IF(S702="","",IF(S702="[FÓRMULA MANUAL]","",IFERROR(AVERAGEIFS(DATOS!$K$2:$K$20000,DATOS!$A$2:$A$20000,S702,DATOS!$G$2:$G$20000,CONFIG_METADATA!$B$4,DATOS!$I$2:$I$20000,"Armonía"),"")))</f>
        <v/>
      </c>
      <c r="U702" t="str">
        <f>IF(S702="","",IF(S702="[FÓRMULA MANUAL]","",IFERROR(AVERAGEIFS(DATOS!$K$2:$K$20000,DATOS!$A$2:$A$20000,S702,DATOS!$G$2:$G$20000,CONFIG_METADATA!$B$4,DATOS!$I$2:$I$20000,"Orquesta/Banda/Conjunto"),"")))</f>
        <v/>
      </c>
      <c r="V702" t="str">
        <f>IF(S702="","",IF(S702="[FÓRMULA MANUAL]","",IFERROR(AVERAGEIFS(DATOS!$K$2:$K$20000,DATOS!$A$2:$A$20000,S702,DATOS!$G$2:$G$20000,CONFIG_METADATA!$B$4,DATOS!$I$2:$I$20000,"Música de Cámara"),"")))</f>
        <v/>
      </c>
      <c r="W702" t="str">
        <f>IF(S702="","",IF(S702="[FÓRMULA MANUAL]","",IFERROR(SUMPRODUCT((DATOS!$A$2:$A$20000=S702)*(DATOS!$G$2:$G$20000=CONFIG_METADATA!$B$4)*(COUNTIF(CONFIG_ASIGNATURAS!$B$7:$B$27,DATOS!$I$2:$I$20000)&gt;0)*(DATOS!$K$2:$K$20000))/SUMPRODUCT((DATOS!$A$2:$A$20000=S702)*(DATOS!$G$2:$G$20000=CONFIG_METADATA!$B$4)*(COUNTIF(CONFIG_ASIGNATURAS!$B$7:$B$27,DATOS!$I$2:$I$20000)&gt;0)*1),"")))</f>
        <v/>
      </c>
      <c r="Z702" t="str">
        <f>IF(Y702="","",IF(Y702="[FÓRMULA MANUAL]","",IFERROR(AVERAGEIFS(DATOS!$K$2:$K$20000,DATOS!$A$2:$A$20000,Y702,DATOS!$G$2:$G$20000,CONFIG_METADATA!$B$4,DATOS!$I$2:$I$20000,"Análisis"),"")))</f>
        <v/>
      </c>
      <c r="AA702" t="str">
        <f>IF(Y702="","",IF(Y702="[FÓRMULA MANUAL]","",IFERROR(AVERAGEIFS(DATOS!$K$2:$K$20000,DATOS!$A$2:$A$20000,Y702,DATOS!$G$2:$G$20000,CONFIG_METADATA!$B$4,DATOS!$I$2:$I$20000,"Orquesta/Banda/Conjunto"),"")))</f>
        <v/>
      </c>
      <c r="AB702" t="str">
        <f>IF(Y702="","",IF(Y702="[FÓRMULA MANUAL]","",IFERROR(AVERAGEIFS(DATOS!$K$2:$K$20000,DATOS!$A$2:$A$20000,Y702,DATOS!$G$2:$G$20000,CONFIG_METADATA!$B$4,DATOS!$I$2:$I$20000,"Música de Cámara"),"")))</f>
        <v/>
      </c>
      <c r="AC702" t="str">
        <f>IF(Y702="","",IF(Y702="[FÓRMULA MANUAL]","",IFERROR(SUMPRODUCT((DATOS!$A$2:$A$20000=Y702)*(DATOS!$G$2:$G$20000=CONFIG_METADATA!$B$4)*(COUNTIF(CONFIG_ASIGNATURAS!$B$7:$B$27,DATOS!$I$2:$I$20000)&gt;0)*(DATOS!$K$2:$K$20000))/SUMPRODUCT((DATOS!$A$2:$A$20000=Y702)*(DATOS!$G$2:$G$20000=CONFIG_METADATA!$B$4)*(COUNTIF(CONFIG_ASIGNATURAS!$B$7:$B$27,DATOS!$I$2:$I$20000)&gt;0)*1),"")))</f>
        <v/>
      </c>
      <c r="AF702" t="str">
        <f>IF(AE702="","",IF(AE702="[FÓRMULA MANUAL]","",IFERROR(AVERAGEIFS(DATOS!$K$2:$K$20000,DATOS!$A$2:$A$20000,AE702,DATOS!$G$2:$G$20000,CONFIG_METADATA!$B$4,DATOS!$I$2:$I$20000,"Análisis"),"")))</f>
        <v/>
      </c>
      <c r="AG702" t="str">
        <f>IF(AE702="","",IF(AE702="[FÓRMULA MANUAL]","",IFERROR(AVERAGEIFS(DATOS!$K$2:$K$20000,DATOS!$A$2:$A$20000,AE702,DATOS!$G$2:$G$20000,CONFIG_METADATA!$B$4,DATOS!$I$2:$I$20000,"Orquesta/Banda/Conjunto"),"")))</f>
        <v/>
      </c>
      <c r="AH702" t="str">
        <f>IF(AE702="","",IF(AE702="[FÓRMULA MANUAL]","",IFERROR(AVERAGEIFS(DATOS!$K$2:$K$20000,DATOS!$A$2:$A$20000,AE702,DATOS!$G$2:$G$20000,CONFIG_METADATA!$B$4,DATOS!$I$2:$I$20000,"Música de Cámara"),"")))</f>
        <v/>
      </c>
      <c r="AI702" t="str">
        <f>IF(AE702="","",IF(AE702="[FÓRMULA MANUAL]","",IFERROR(SUMPRODUCT((DATOS!$A$2:$A$20000=AE702)*(DATOS!$G$2:$G$20000=CONFIG_METADATA!$B$4)*(COUNTIF(CONFIG_ASIGNATURAS!$B$7:$B$27,DATOS!$I$2:$I$20000)&gt;0)*(DATOS!$K$2:$K$20000))/SUMPRODUCT((DATOS!$A$2:$A$20000=AE702)*(DATOS!$G$2:$G$20000=CONFIG_METADATA!$B$4)*(COUNTIF(CONFIG_ASIGNATURAS!$B$7:$B$27,DATOS!$I$2:$I$20000)&gt;0)*1),"")))</f>
        <v/>
      </c>
    </row>
    <row r="703" spans="2:35" x14ac:dyDescent="0.2">
      <c r="B703" t="str">
        <f>IF(A703="","",IF(A703="[FÓRMULA MANUAL]","",IFERROR(AVERAGEIFS(DATOS!$K$2:$K$20000,DATOS!$A$2:$A$20000,A703,DATOS!$G$2:$G$20000,CONFIG_METADATA!$B$4,DATOS!$I$2:$I$20000,"Lenguaje Musical"),"")))</f>
        <v/>
      </c>
      <c r="C703" t="str">
        <f>IF(A703="","",IF(A703="[FÓRMULA MANUAL]","",IFERROR(AVERAGEIFS(DATOS!$K$2:$K$20000,DATOS!$A$2:$A$20000,A703,DATOS!$G$2:$G$20000,CONFIG_METADATA!$B$4,DATOS!$I$2:$I$20000,"Orquesta/Banda/Conjunto"),"")))</f>
        <v/>
      </c>
      <c r="D703" t="str">
        <f>IF(A703="","",IF(A703="[FÓRMULA MANUAL]","",IFERROR(AVERAGEIFS(DATOS!$K$2:$K$20000,DATOS!$A$2:$A$20000,A703,DATOS!$G$2:$G$20000,CONFIG_METADATA!$B$4,DATOS!$I$2:$I$20000,"Conjunto"),"")))</f>
        <v/>
      </c>
      <c r="E703" t="str">
        <f>IF(A703="","",IF(A703="[FÓRMULA MANUAL]","",IFERROR(SUMPRODUCT((DATOS!$A$2:$A$20000=A703)*(DATOS!$G$2:$G$20000=CONFIG_METADATA!$B$4)*(COUNTIF(CONFIG_ASIGNATURAS!$B$7:$B$27,DATOS!$I$2:$I$20000)&gt;0)*(DATOS!$K$2:$K$20000))/SUMPRODUCT((DATOS!$A$2:$A$20000=A703)*(DATOS!$G$2:$G$20000=CONFIG_METADATA!$B$4)*(COUNTIF(CONFIG_ASIGNATURAS!$B$7:$B$27,DATOS!$I$2:$I$20000)&gt;0)*1),"")))</f>
        <v/>
      </c>
      <c r="H703" t="str">
        <f>IF(G703="","",IF(G703="[FÓRMULA MANUAL]","",IFERROR(AVERAGEIFS(DATOS!$K$2:$K$20000,DATOS!$A$2:$A$20000,G703,DATOS!$G$2:$G$20000,CONFIG_METADATA!$B$4,DATOS!$I$2:$I$20000,"Lenguaje Musical"),"")))</f>
        <v/>
      </c>
      <c r="I703" t="str">
        <f>IF(G703="","",IF(G703="[FÓRMULA MANUAL]","",IFERROR(AVERAGEIFS(DATOS!$K$2:$K$20000,DATOS!$A$2:$A$20000,G703,DATOS!$G$2:$G$20000,CONFIG_METADATA!$B$4,DATOS!$I$2:$I$20000,"Orquesta/Banda/Conjunto"),"")))</f>
        <v/>
      </c>
      <c r="J703" t="str">
        <f>IF(G703="","",IF(G703="[FÓRMULA MANUAL]","",IFERROR(AVERAGEIFS(DATOS!$K$2:$K$20000,DATOS!$A$2:$A$20000,G703,DATOS!$G$2:$G$20000,CONFIG_METADATA!$B$4,DATOS!$I$2:$I$20000,"Conjunto"),"")))</f>
        <v/>
      </c>
      <c r="K703" t="str">
        <f>IF(G703="","",IF(G703="[FÓRMULA MANUAL]","",IFERROR(SUMPRODUCT((DATOS!$A$2:$A$20000=G703)*(DATOS!$G$2:$G$20000=CONFIG_METADATA!$B$4)*(COUNTIF(CONFIG_ASIGNATURAS!$B$7:$B$27,DATOS!$I$2:$I$20000)&gt;0)*(DATOS!$K$2:$K$20000))/SUMPRODUCT((DATOS!$A$2:$A$20000=G703)*(DATOS!$G$2:$G$20000=CONFIG_METADATA!$B$4)*(COUNTIF(CONFIG_ASIGNATURAS!$B$7:$B$27,DATOS!$I$2:$I$20000)&gt;0)*1),"")))</f>
        <v/>
      </c>
      <c r="N703" t="str">
        <f>IF(M703="","",IF(M703="[FÓRMULA MANUAL]","",IFERROR(AVERAGEIFS(DATOS!$K$2:$K$20000,DATOS!$A$2:$A$20000,M703,DATOS!$G$2:$G$20000,CONFIG_METADATA!$B$4,DATOS!$I$2:$I$20000,"Armonía"),"")))</f>
        <v/>
      </c>
      <c r="O703" t="str">
        <f>IF(M703="","",IF(M703="[FÓRMULA MANUAL]","",IFERROR(AVERAGEIFS(DATOS!$K$2:$K$20000,DATOS!$A$2:$A$20000,M703,DATOS!$G$2:$G$20000,CONFIG_METADATA!$B$4,DATOS!$I$2:$I$20000,"Orquesta/Banda/Conjunto"),"")))</f>
        <v/>
      </c>
      <c r="P703" t="str">
        <f>IF(M703="","",IF(M703="[FÓRMULA MANUAL]","",IFERROR(AVERAGEIFS(DATOS!$K$2:$K$20000,DATOS!$A$2:$A$20000,M703,DATOS!$G$2:$G$20000,CONFIG_METADATA!$B$4,DATOS!$I$2:$I$20000,"Música de Cámara"),"")))</f>
        <v/>
      </c>
      <c r="Q703" t="str">
        <f>IF(M703="","",IF(M703="[FÓRMULA MANUAL]","",IFERROR(SUMPRODUCT((DATOS!$A$2:$A$20000=M703)*(DATOS!$G$2:$G$20000=CONFIG_METADATA!$B$4)*(COUNTIF(CONFIG_ASIGNATURAS!$B$7:$B$27,DATOS!$I$2:$I$20000)&gt;0)*(DATOS!$K$2:$K$20000))/SUMPRODUCT((DATOS!$A$2:$A$20000=M703)*(DATOS!$G$2:$G$20000=CONFIG_METADATA!$B$4)*(COUNTIF(CONFIG_ASIGNATURAS!$B$7:$B$27,DATOS!$I$2:$I$20000)&gt;0)*1),"")))</f>
        <v/>
      </c>
      <c r="T703" t="str">
        <f>IF(S703="","",IF(S703="[FÓRMULA MANUAL]","",IFERROR(AVERAGEIFS(DATOS!$K$2:$K$20000,DATOS!$A$2:$A$20000,S703,DATOS!$G$2:$G$20000,CONFIG_METADATA!$B$4,DATOS!$I$2:$I$20000,"Armonía"),"")))</f>
        <v/>
      </c>
      <c r="U703" t="str">
        <f>IF(S703="","",IF(S703="[FÓRMULA MANUAL]","",IFERROR(AVERAGEIFS(DATOS!$K$2:$K$20000,DATOS!$A$2:$A$20000,S703,DATOS!$G$2:$G$20000,CONFIG_METADATA!$B$4,DATOS!$I$2:$I$20000,"Orquesta/Banda/Conjunto"),"")))</f>
        <v/>
      </c>
      <c r="V703" t="str">
        <f>IF(S703="","",IF(S703="[FÓRMULA MANUAL]","",IFERROR(AVERAGEIFS(DATOS!$K$2:$K$20000,DATOS!$A$2:$A$20000,S703,DATOS!$G$2:$G$20000,CONFIG_METADATA!$B$4,DATOS!$I$2:$I$20000,"Música de Cámara"),"")))</f>
        <v/>
      </c>
      <c r="W703" t="str">
        <f>IF(S703="","",IF(S703="[FÓRMULA MANUAL]","",IFERROR(SUMPRODUCT((DATOS!$A$2:$A$20000=S703)*(DATOS!$G$2:$G$20000=CONFIG_METADATA!$B$4)*(COUNTIF(CONFIG_ASIGNATURAS!$B$7:$B$27,DATOS!$I$2:$I$20000)&gt;0)*(DATOS!$K$2:$K$20000))/SUMPRODUCT((DATOS!$A$2:$A$20000=S703)*(DATOS!$G$2:$G$20000=CONFIG_METADATA!$B$4)*(COUNTIF(CONFIG_ASIGNATURAS!$B$7:$B$27,DATOS!$I$2:$I$20000)&gt;0)*1),"")))</f>
        <v/>
      </c>
      <c r="Z703" t="str">
        <f>IF(Y703="","",IF(Y703="[FÓRMULA MANUAL]","",IFERROR(AVERAGEIFS(DATOS!$K$2:$K$20000,DATOS!$A$2:$A$20000,Y703,DATOS!$G$2:$G$20000,CONFIG_METADATA!$B$4,DATOS!$I$2:$I$20000,"Análisis"),"")))</f>
        <v/>
      </c>
      <c r="AA703" t="str">
        <f>IF(Y703="","",IF(Y703="[FÓRMULA MANUAL]","",IFERROR(AVERAGEIFS(DATOS!$K$2:$K$20000,DATOS!$A$2:$A$20000,Y703,DATOS!$G$2:$G$20000,CONFIG_METADATA!$B$4,DATOS!$I$2:$I$20000,"Orquesta/Banda/Conjunto"),"")))</f>
        <v/>
      </c>
      <c r="AB703" t="str">
        <f>IF(Y703="","",IF(Y703="[FÓRMULA MANUAL]","",IFERROR(AVERAGEIFS(DATOS!$K$2:$K$20000,DATOS!$A$2:$A$20000,Y703,DATOS!$G$2:$G$20000,CONFIG_METADATA!$B$4,DATOS!$I$2:$I$20000,"Música de Cámara"),"")))</f>
        <v/>
      </c>
      <c r="AC703" t="str">
        <f>IF(Y703="","",IF(Y703="[FÓRMULA MANUAL]","",IFERROR(SUMPRODUCT((DATOS!$A$2:$A$20000=Y703)*(DATOS!$G$2:$G$20000=CONFIG_METADATA!$B$4)*(COUNTIF(CONFIG_ASIGNATURAS!$B$7:$B$27,DATOS!$I$2:$I$20000)&gt;0)*(DATOS!$K$2:$K$20000))/SUMPRODUCT((DATOS!$A$2:$A$20000=Y703)*(DATOS!$G$2:$G$20000=CONFIG_METADATA!$B$4)*(COUNTIF(CONFIG_ASIGNATURAS!$B$7:$B$27,DATOS!$I$2:$I$20000)&gt;0)*1),"")))</f>
        <v/>
      </c>
      <c r="AF703" t="str">
        <f>IF(AE703="","",IF(AE703="[FÓRMULA MANUAL]","",IFERROR(AVERAGEIFS(DATOS!$K$2:$K$20000,DATOS!$A$2:$A$20000,AE703,DATOS!$G$2:$G$20000,CONFIG_METADATA!$B$4,DATOS!$I$2:$I$20000,"Análisis"),"")))</f>
        <v/>
      </c>
      <c r="AG703" t="str">
        <f>IF(AE703="","",IF(AE703="[FÓRMULA MANUAL]","",IFERROR(AVERAGEIFS(DATOS!$K$2:$K$20000,DATOS!$A$2:$A$20000,AE703,DATOS!$G$2:$G$20000,CONFIG_METADATA!$B$4,DATOS!$I$2:$I$20000,"Orquesta/Banda/Conjunto"),"")))</f>
        <v/>
      </c>
      <c r="AH703" t="str">
        <f>IF(AE703="","",IF(AE703="[FÓRMULA MANUAL]","",IFERROR(AVERAGEIFS(DATOS!$K$2:$K$20000,DATOS!$A$2:$A$20000,AE703,DATOS!$G$2:$G$20000,CONFIG_METADATA!$B$4,DATOS!$I$2:$I$20000,"Música de Cámara"),"")))</f>
        <v/>
      </c>
      <c r="AI703" t="str">
        <f>IF(AE703="","",IF(AE703="[FÓRMULA MANUAL]","",IFERROR(SUMPRODUCT((DATOS!$A$2:$A$20000=AE703)*(DATOS!$G$2:$G$20000=CONFIG_METADATA!$B$4)*(COUNTIF(CONFIG_ASIGNATURAS!$B$7:$B$27,DATOS!$I$2:$I$20000)&gt;0)*(DATOS!$K$2:$K$20000))/SUMPRODUCT((DATOS!$A$2:$A$20000=AE703)*(DATOS!$G$2:$G$20000=CONFIG_METADATA!$B$4)*(COUNTIF(CONFIG_ASIGNATURAS!$B$7:$B$27,DATOS!$I$2:$I$20000)&gt;0)*1),"")))</f>
        <v/>
      </c>
    </row>
    <row r="704" spans="2:35" x14ac:dyDescent="0.2">
      <c r="B704" t="str">
        <f>IF(A704="","",IF(A704="[FÓRMULA MANUAL]","",IFERROR(AVERAGEIFS(DATOS!$K$2:$K$20000,DATOS!$A$2:$A$20000,A704,DATOS!$G$2:$G$20000,CONFIG_METADATA!$B$4,DATOS!$I$2:$I$20000,"Lenguaje Musical"),"")))</f>
        <v/>
      </c>
      <c r="C704" t="str">
        <f>IF(A704="","",IF(A704="[FÓRMULA MANUAL]","",IFERROR(AVERAGEIFS(DATOS!$K$2:$K$20000,DATOS!$A$2:$A$20000,A704,DATOS!$G$2:$G$20000,CONFIG_METADATA!$B$4,DATOS!$I$2:$I$20000,"Orquesta/Banda/Conjunto"),"")))</f>
        <v/>
      </c>
      <c r="D704" t="str">
        <f>IF(A704="","",IF(A704="[FÓRMULA MANUAL]","",IFERROR(AVERAGEIFS(DATOS!$K$2:$K$20000,DATOS!$A$2:$A$20000,A704,DATOS!$G$2:$G$20000,CONFIG_METADATA!$B$4,DATOS!$I$2:$I$20000,"Conjunto"),"")))</f>
        <v/>
      </c>
      <c r="E704" t="str">
        <f>IF(A704="","",IF(A704="[FÓRMULA MANUAL]","",IFERROR(SUMPRODUCT((DATOS!$A$2:$A$20000=A704)*(DATOS!$G$2:$G$20000=CONFIG_METADATA!$B$4)*(COUNTIF(CONFIG_ASIGNATURAS!$B$7:$B$27,DATOS!$I$2:$I$20000)&gt;0)*(DATOS!$K$2:$K$20000))/SUMPRODUCT((DATOS!$A$2:$A$20000=A704)*(DATOS!$G$2:$G$20000=CONFIG_METADATA!$B$4)*(COUNTIF(CONFIG_ASIGNATURAS!$B$7:$B$27,DATOS!$I$2:$I$20000)&gt;0)*1),"")))</f>
        <v/>
      </c>
      <c r="H704" t="str">
        <f>IF(G704="","",IF(G704="[FÓRMULA MANUAL]","",IFERROR(AVERAGEIFS(DATOS!$K$2:$K$20000,DATOS!$A$2:$A$20000,G704,DATOS!$G$2:$G$20000,CONFIG_METADATA!$B$4,DATOS!$I$2:$I$20000,"Lenguaje Musical"),"")))</f>
        <v/>
      </c>
      <c r="I704" t="str">
        <f>IF(G704="","",IF(G704="[FÓRMULA MANUAL]","",IFERROR(AVERAGEIFS(DATOS!$K$2:$K$20000,DATOS!$A$2:$A$20000,G704,DATOS!$G$2:$G$20000,CONFIG_METADATA!$B$4,DATOS!$I$2:$I$20000,"Orquesta/Banda/Conjunto"),"")))</f>
        <v/>
      </c>
      <c r="J704" t="str">
        <f>IF(G704="","",IF(G704="[FÓRMULA MANUAL]","",IFERROR(AVERAGEIFS(DATOS!$K$2:$K$20000,DATOS!$A$2:$A$20000,G704,DATOS!$G$2:$G$20000,CONFIG_METADATA!$B$4,DATOS!$I$2:$I$20000,"Conjunto"),"")))</f>
        <v/>
      </c>
      <c r="K704" t="str">
        <f>IF(G704="","",IF(G704="[FÓRMULA MANUAL]","",IFERROR(SUMPRODUCT((DATOS!$A$2:$A$20000=G704)*(DATOS!$G$2:$G$20000=CONFIG_METADATA!$B$4)*(COUNTIF(CONFIG_ASIGNATURAS!$B$7:$B$27,DATOS!$I$2:$I$20000)&gt;0)*(DATOS!$K$2:$K$20000))/SUMPRODUCT((DATOS!$A$2:$A$20000=G704)*(DATOS!$G$2:$G$20000=CONFIG_METADATA!$B$4)*(COUNTIF(CONFIG_ASIGNATURAS!$B$7:$B$27,DATOS!$I$2:$I$20000)&gt;0)*1),"")))</f>
        <v/>
      </c>
      <c r="N704" t="str">
        <f>IF(M704="","",IF(M704="[FÓRMULA MANUAL]","",IFERROR(AVERAGEIFS(DATOS!$K$2:$K$20000,DATOS!$A$2:$A$20000,M704,DATOS!$G$2:$G$20000,CONFIG_METADATA!$B$4,DATOS!$I$2:$I$20000,"Armonía"),"")))</f>
        <v/>
      </c>
      <c r="O704" t="str">
        <f>IF(M704="","",IF(M704="[FÓRMULA MANUAL]","",IFERROR(AVERAGEIFS(DATOS!$K$2:$K$20000,DATOS!$A$2:$A$20000,M704,DATOS!$G$2:$G$20000,CONFIG_METADATA!$B$4,DATOS!$I$2:$I$20000,"Orquesta/Banda/Conjunto"),"")))</f>
        <v/>
      </c>
      <c r="P704" t="str">
        <f>IF(M704="","",IF(M704="[FÓRMULA MANUAL]","",IFERROR(AVERAGEIFS(DATOS!$K$2:$K$20000,DATOS!$A$2:$A$20000,M704,DATOS!$G$2:$G$20000,CONFIG_METADATA!$B$4,DATOS!$I$2:$I$20000,"Música de Cámara"),"")))</f>
        <v/>
      </c>
      <c r="Q704" t="str">
        <f>IF(M704="","",IF(M704="[FÓRMULA MANUAL]","",IFERROR(SUMPRODUCT((DATOS!$A$2:$A$20000=M704)*(DATOS!$G$2:$G$20000=CONFIG_METADATA!$B$4)*(COUNTIF(CONFIG_ASIGNATURAS!$B$7:$B$27,DATOS!$I$2:$I$20000)&gt;0)*(DATOS!$K$2:$K$20000))/SUMPRODUCT((DATOS!$A$2:$A$20000=M704)*(DATOS!$G$2:$G$20000=CONFIG_METADATA!$B$4)*(COUNTIF(CONFIG_ASIGNATURAS!$B$7:$B$27,DATOS!$I$2:$I$20000)&gt;0)*1),"")))</f>
        <v/>
      </c>
      <c r="T704" t="str">
        <f>IF(S704="","",IF(S704="[FÓRMULA MANUAL]","",IFERROR(AVERAGEIFS(DATOS!$K$2:$K$20000,DATOS!$A$2:$A$20000,S704,DATOS!$G$2:$G$20000,CONFIG_METADATA!$B$4,DATOS!$I$2:$I$20000,"Armonía"),"")))</f>
        <v/>
      </c>
      <c r="U704" t="str">
        <f>IF(S704="","",IF(S704="[FÓRMULA MANUAL]","",IFERROR(AVERAGEIFS(DATOS!$K$2:$K$20000,DATOS!$A$2:$A$20000,S704,DATOS!$G$2:$G$20000,CONFIG_METADATA!$B$4,DATOS!$I$2:$I$20000,"Orquesta/Banda/Conjunto"),"")))</f>
        <v/>
      </c>
      <c r="V704" t="str">
        <f>IF(S704="","",IF(S704="[FÓRMULA MANUAL]","",IFERROR(AVERAGEIFS(DATOS!$K$2:$K$20000,DATOS!$A$2:$A$20000,S704,DATOS!$G$2:$G$20000,CONFIG_METADATA!$B$4,DATOS!$I$2:$I$20000,"Música de Cámara"),"")))</f>
        <v/>
      </c>
      <c r="W704" t="str">
        <f>IF(S704="","",IF(S704="[FÓRMULA MANUAL]","",IFERROR(SUMPRODUCT((DATOS!$A$2:$A$20000=S704)*(DATOS!$G$2:$G$20000=CONFIG_METADATA!$B$4)*(COUNTIF(CONFIG_ASIGNATURAS!$B$7:$B$27,DATOS!$I$2:$I$20000)&gt;0)*(DATOS!$K$2:$K$20000))/SUMPRODUCT((DATOS!$A$2:$A$20000=S704)*(DATOS!$G$2:$G$20000=CONFIG_METADATA!$B$4)*(COUNTIF(CONFIG_ASIGNATURAS!$B$7:$B$27,DATOS!$I$2:$I$20000)&gt;0)*1),"")))</f>
        <v/>
      </c>
      <c r="Z704" t="str">
        <f>IF(Y704="","",IF(Y704="[FÓRMULA MANUAL]","",IFERROR(AVERAGEIFS(DATOS!$K$2:$K$20000,DATOS!$A$2:$A$20000,Y704,DATOS!$G$2:$G$20000,CONFIG_METADATA!$B$4,DATOS!$I$2:$I$20000,"Análisis"),"")))</f>
        <v/>
      </c>
      <c r="AA704" t="str">
        <f>IF(Y704="","",IF(Y704="[FÓRMULA MANUAL]","",IFERROR(AVERAGEIFS(DATOS!$K$2:$K$20000,DATOS!$A$2:$A$20000,Y704,DATOS!$G$2:$G$20000,CONFIG_METADATA!$B$4,DATOS!$I$2:$I$20000,"Orquesta/Banda/Conjunto"),"")))</f>
        <v/>
      </c>
      <c r="AB704" t="str">
        <f>IF(Y704="","",IF(Y704="[FÓRMULA MANUAL]","",IFERROR(AVERAGEIFS(DATOS!$K$2:$K$20000,DATOS!$A$2:$A$20000,Y704,DATOS!$G$2:$G$20000,CONFIG_METADATA!$B$4,DATOS!$I$2:$I$20000,"Música de Cámara"),"")))</f>
        <v/>
      </c>
      <c r="AC704" t="str">
        <f>IF(Y704="","",IF(Y704="[FÓRMULA MANUAL]","",IFERROR(SUMPRODUCT((DATOS!$A$2:$A$20000=Y704)*(DATOS!$G$2:$G$20000=CONFIG_METADATA!$B$4)*(COUNTIF(CONFIG_ASIGNATURAS!$B$7:$B$27,DATOS!$I$2:$I$20000)&gt;0)*(DATOS!$K$2:$K$20000))/SUMPRODUCT((DATOS!$A$2:$A$20000=Y704)*(DATOS!$G$2:$G$20000=CONFIG_METADATA!$B$4)*(COUNTIF(CONFIG_ASIGNATURAS!$B$7:$B$27,DATOS!$I$2:$I$20000)&gt;0)*1),"")))</f>
        <v/>
      </c>
      <c r="AF704" t="str">
        <f>IF(AE704="","",IF(AE704="[FÓRMULA MANUAL]","",IFERROR(AVERAGEIFS(DATOS!$K$2:$K$20000,DATOS!$A$2:$A$20000,AE704,DATOS!$G$2:$G$20000,CONFIG_METADATA!$B$4,DATOS!$I$2:$I$20000,"Análisis"),"")))</f>
        <v/>
      </c>
      <c r="AG704" t="str">
        <f>IF(AE704="","",IF(AE704="[FÓRMULA MANUAL]","",IFERROR(AVERAGEIFS(DATOS!$K$2:$K$20000,DATOS!$A$2:$A$20000,AE704,DATOS!$G$2:$G$20000,CONFIG_METADATA!$B$4,DATOS!$I$2:$I$20000,"Orquesta/Banda/Conjunto"),"")))</f>
        <v/>
      </c>
      <c r="AH704" t="str">
        <f>IF(AE704="","",IF(AE704="[FÓRMULA MANUAL]","",IFERROR(AVERAGEIFS(DATOS!$K$2:$K$20000,DATOS!$A$2:$A$20000,AE704,DATOS!$G$2:$G$20000,CONFIG_METADATA!$B$4,DATOS!$I$2:$I$20000,"Música de Cámara"),"")))</f>
        <v/>
      </c>
      <c r="AI704" t="str">
        <f>IF(AE704="","",IF(AE704="[FÓRMULA MANUAL]","",IFERROR(SUMPRODUCT((DATOS!$A$2:$A$20000=AE704)*(DATOS!$G$2:$G$20000=CONFIG_METADATA!$B$4)*(COUNTIF(CONFIG_ASIGNATURAS!$B$7:$B$27,DATOS!$I$2:$I$20000)&gt;0)*(DATOS!$K$2:$K$20000))/SUMPRODUCT((DATOS!$A$2:$A$20000=AE704)*(DATOS!$G$2:$G$20000=CONFIG_METADATA!$B$4)*(COUNTIF(CONFIG_ASIGNATURAS!$B$7:$B$27,DATOS!$I$2:$I$20000)&gt;0)*1),"")))</f>
        <v/>
      </c>
    </row>
    <row r="705" spans="2:35" x14ac:dyDescent="0.2">
      <c r="B705" t="str">
        <f>IF(A705="","",IF(A705="[FÓRMULA MANUAL]","",IFERROR(AVERAGEIFS(DATOS!$K$2:$K$20000,DATOS!$A$2:$A$20000,A705,DATOS!$G$2:$G$20000,CONFIG_METADATA!$B$4,DATOS!$I$2:$I$20000,"Lenguaje Musical"),"")))</f>
        <v/>
      </c>
      <c r="C705" t="str">
        <f>IF(A705="","",IF(A705="[FÓRMULA MANUAL]","",IFERROR(AVERAGEIFS(DATOS!$K$2:$K$20000,DATOS!$A$2:$A$20000,A705,DATOS!$G$2:$G$20000,CONFIG_METADATA!$B$4,DATOS!$I$2:$I$20000,"Orquesta/Banda/Conjunto"),"")))</f>
        <v/>
      </c>
      <c r="D705" t="str">
        <f>IF(A705="","",IF(A705="[FÓRMULA MANUAL]","",IFERROR(AVERAGEIFS(DATOS!$K$2:$K$20000,DATOS!$A$2:$A$20000,A705,DATOS!$G$2:$G$20000,CONFIG_METADATA!$B$4,DATOS!$I$2:$I$20000,"Conjunto"),"")))</f>
        <v/>
      </c>
      <c r="E705" t="str">
        <f>IF(A705="","",IF(A705="[FÓRMULA MANUAL]","",IFERROR(SUMPRODUCT((DATOS!$A$2:$A$20000=A705)*(DATOS!$G$2:$G$20000=CONFIG_METADATA!$B$4)*(COUNTIF(CONFIG_ASIGNATURAS!$B$7:$B$27,DATOS!$I$2:$I$20000)&gt;0)*(DATOS!$K$2:$K$20000))/SUMPRODUCT((DATOS!$A$2:$A$20000=A705)*(DATOS!$G$2:$G$20000=CONFIG_METADATA!$B$4)*(COUNTIF(CONFIG_ASIGNATURAS!$B$7:$B$27,DATOS!$I$2:$I$20000)&gt;0)*1),"")))</f>
        <v/>
      </c>
      <c r="H705" t="str">
        <f>IF(G705="","",IF(G705="[FÓRMULA MANUAL]","",IFERROR(AVERAGEIFS(DATOS!$K$2:$K$20000,DATOS!$A$2:$A$20000,G705,DATOS!$G$2:$G$20000,CONFIG_METADATA!$B$4,DATOS!$I$2:$I$20000,"Lenguaje Musical"),"")))</f>
        <v/>
      </c>
      <c r="I705" t="str">
        <f>IF(G705="","",IF(G705="[FÓRMULA MANUAL]","",IFERROR(AVERAGEIFS(DATOS!$K$2:$K$20000,DATOS!$A$2:$A$20000,G705,DATOS!$G$2:$G$20000,CONFIG_METADATA!$B$4,DATOS!$I$2:$I$20000,"Orquesta/Banda/Conjunto"),"")))</f>
        <v/>
      </c>
      <c r="J705" t="str">
        <f>IF(G705="","",IF(G705="[FÓRMULA MANUAL]","",IFERROR(AVERAGEIFS(DATOS!$K$2:$K$20000,DATOS!$A$2:$A$20000,G705,DATOS!$G$2:$G$20000,CONFIG_METADATA!$B$4,DATOS!$I$2:$I$20000,"Conjunto"),"")))</f>
        <v/>
      </c>
      <c r="K705" t="str">
        <f>IF(G705="","",IF(G705="[FÓRMULA MANUAL]","",IFERROR(SUMPRODUCT((DATOS!$A$2:$A$20000=G705)*(DATOS!$G$2:$G$20000=CONFIG_METADATA!$B$4)*(COUNTIF(CONFIG_ASIGNATURAS!$B$7:$B$27,DATOS!$I$2:$I$20000)&gt;0)*(DATOS!$K$2:$K$20000))/SUMPRODUCT((DATOS!$A$2:$A$20000=G705)*(DATOS!$G$2:$G$20000=CONFIG_METADATA!$B$4)*(COUNTIF(CONFIG_ASIGNATURAS!$B$7:$B$27,DATOS!$I$2:$I$20000)&gt;0)*1),"")))</f>
        <v/>
      </c>
      <c r="N705" t="str">
        <f>IF(M705="","",IF(M705="[FÓRMULA MANUAL]","",IFERROR(AVERAGEIFS(DATOS!$K$2:$K$20000,DATOS!$A$2:$A$20000,M705,DATOS!$G$2:$G$20000,CONFIG_METADATA!$B$4,DATOS!$I$2:$I$20000,"Armonía"),"")))</f>
        <v/>
      </c>
      <c r="O705" t="str">
        <f>IF(M705="","",IF(M705="[FÓRMULA MANUAL]","",IFERROR(AVERAGEIFS(DATOS!$K$2:$K$20000,DATOS!$A$2:$A$20000,M705,DATOS!$G$2:$G$20000,CONFIG_METADATA!$B$4,DATOS!$I$2:$I$20000,"Orquesta/Banda/Conjunto"),"")))</f>
        <v/>
      </c>
      <c r="P705" t="str">
        <f>IF(M705="","",IF(M705="[FÓRMULA MANUAL]","",IFERROR(AVERAGEIFS(DATOS!$K$2:$K$20000,DATOS!$A$2:$A$20000,M705,DATOS!$G$2:$G$20000,CONFIG_METADATA!$B$4,DATOS!$I$2:$I$20000,"Música de Cámara"),"")))</f>
        <v/>
      </c>
      <c r="Q705" t="str">
        <f>IF(M705="","",IF(M705="[FÓRMULA MANUAL]","",IFERROR(SUMPRODUCT((DATOS!$A$2:$A$20000=M705)*(DATOS!$G$2:$G$20000=CONFIG_METADATA!$B$4)*(COUNTIF(CONFIG_ASIGNATURAS!$B$7:$B$27,DATOS!$I$2:$I$20000)&gt;0)*(DATOS!$K$2:$K$20000))/SUMPRODUCT((DATOS!$A$2:$A$20000=M705)*(DATOS!$G$2:$G$20000=CONFIG_METADATA!$B$4)*(COUNTIF(CONFIG_ASIGNATURAS!$B$7:$B$27,DATOS!$I$2:$I$20000)&gt;0)*1),"")))</f>
        <v/>
      </c>
      <c r="T705" t="str">
        <f>IF(S705="","",IF(S705="[FÓRMULA MANUAL]","",IFERROR(AVERAGEIFS(DATOS!$K$2:$K$20000,DATOS!$A$2:$A$20000,S705,DATOS!$G$2:$G$20000,CONFIG_METADATA!$B$4,DATOS!$I$2:$I$20000,"Armonía"),"")))</f>
        <v/>
      </c>
      <c r="U705" t="str">
        <f>IF(S705="","",IF(S705="[FÓRMULA MANUAL]","",IFERROR(AVERAGEIFS(DATOS!$K$2:$K$20000,DATOS!$A$2:$A$20000,S705,DATOS!$G$2:$G$20000,CONFIG_METADATA!$B$4,DATOS!$I$2:$I$20000,"Orquesta/Banda/Conjunto"),"")))</f>
        <v/>
      </c>
      <c r="V705" t="str">
        <f>IF(S705="","",IF(S705="[FÓRMULA MANUAL]","",IFERROR(AVERAGEIFS(DATOS!$K$2:$K$20000,DATOS!$A$2:$A$20000,S705,DATOS!$G$2:$G$20000,CONFIG_METADATA!$B$4,DATOS!$I$2:$I$20000,"Música de Cámara"),"")))</f>
        <v/>
      </c>
      <c r="W705" t="str">
        <f>IF(S705="","",IF(S705="[FÓRMULA MANUAL]","",IFERROR(SUMPRODUCT((DATOS!$A$2:$A$20000=S705)*(DATOS!$G$2:$G$20000=CONFIG_METADATA!$B$4)*(COUNTIF(CONFIG_ASIGNATURAS!$B$7:$B$27,DATOS!$I$2:$I$20000)&gt;0)*(DATOS!$K$2:$K$20000))/SUMPRODUCT((DATOS!$A$2:$A$20000=S705)*(DATOS!$G$2:$G$20000=CONFIG_METADATA!$B$4)*(COUNTIF(CONFIG_ASIGNATURAS!$B$7:$B$27,DATOS!$I$2:$I$20000)&gt;0)*1),"")))</f>
        <v/>
      </c>
      <c r="Z705" t="str">
        <f>IF(Y705="","",IF(Y705="[FÓRMULA MANUAL]","",IFERROR(AVERAGEIFS(DATOS!$K$2:$K$20000,DATOS!$A$2:$A$20000,Y705,DATOS!$G$2:$G$20000,CONFIG_METADATA!$B$4,DATOS!$I$2:$I$20000,"Análisis"),"")))</f>
        <v/>
      </c>
      <c r="AA705" t="str">
        <f>IF(Y705="","",IF(Y705="[FÓRMULA MANUAL]","",IFERROR(AVERAGEIFS(DATOS!$K$2:$K$20000,DATOS!$A$2:$A$20000,Y705,DATOS!$G$2:$G$20000,CONFIG_METADATA!$B$4,DATOS!$I$2:$I$20000,"Orquesta/Banda/Conjunto"),"")))</f>
        <v/>
      </c>
      <c r="AB705" t="str">
        <f>IF(Y705="","",IF(Y705="[FÓRMULA MANUAL]","",IFERROR(AVERAGEIFS(DATOS!$K$2:$K$20000,DATOS!$A$2:$A$20000,Y705,DATOS!$G$2:$G$20000,CONFIG_METADATA!$B$4,DATOS!$I$2:$I$20000,"Música de Cámara"),"")))</f>
        <v/>
      </c>
      <c r="AC705" t="str">
        <f>IF(Y705="","",IF(Y705="[FÓRMULA MANUAL]","",IFERROR(SUMPRODUCT((DATOS!$A$2:$A$20000=Y705)*(DATOS!$G$2:$G$20000=CONFIG_METADATA!$B$4)*(COUNTIF(CONFIG_ASIGNATURAS!$B$7:$B$27,DATOS!$I$2:$I$20000)&gt;0)*(DATOS!$K$2:$K$20000))/SUMPRODUCT((DATOS!$A$2:$A$20000=Y705)*(DATOS!$G$2:$G$20000=CONFIG_METADATA!$B$4)*(COUNTIF(CONFIG_ASIGNATURAS!$B$7:$B$27,DATOS!$I$2:$I$20000)&gt;0)*1),"")))</f>
        <v/>
      </c>
      <c r="AF705" t="str">
        <f>IF(AE705="","",IF(AE705="[FÓRMULA MANUAL]","",IFERROR(AVERAGEIFS(DATOS!$K$2:$K$20000,DATOS!$A$2:$A$20000,AE705,DATOS!$G$2:$G$20000,CONFIG_METADATA!$B$4,DATOS!$I$2:$I$20000,"Análisis"),"")))</f>
        <v/>
      </c>
      <c r="AG705" t="str">
        <f>IF(AE705="","",IF(AE705="[FÓRMULA MANUAL]","",IFERROR(AVERAGEIFS(DATOS!$K$2:$K$20000,DATOS!$A$2:$A$20000,AE705,DATOS!$G$2:$G$20000,CONFIG_METADATA!$B$4,DATOS!$I$2:$I$20000,"Orquesta/Banda/Conjunto"),"")))</f>
        <v/>
      </c>
      <c r="AH705" t="str">
        <f>IF(AE705="","",IF(AE705="[FÓRMULA MANUAL]","",IFERROR(AVERAGEIFS(DATOS!$K$2:$K$20000,DATOS!$A$2:$A$20000,AE705,DATOS!$G$2:$G$20000,CONFIG_METADATA!$B$4,DATOS!$I$2:$I$20000,"Música de Cámara"),"")))</f>
        <v/>
      </c>
      <c r="AI705" t="str">
        <f>IF(AE705="","",IF(AE705="[FÓRMULA MANUAL]","",IFERROR(SUMPRODUCT((DATOS!$A$2:$A$20000=AE705)*(DATOS!$G$2:$G$20000=CONFIG_METADATA!$B$4)*(COUNTIF(CONFIG_ASIGNATURAS!$B$7:$B$27,DATOS!$I$2:$I$20000)&gt;0)*(DATOS!$K$2:$K$20000))/SUMPRODUCT((DATOS!$A$2:$A$20000=AE705)*(DATOS!$G$2:$G$20000=CONFIG_METADATA!$B$4)*(COUNTIF(CONFIG_ASIGNATURAS!$B$7:$B$27,DATOS!$I$2:$I$20000)&gt;0)*1),"")))</f>
        <v/>
      </c>
    </row>
    <row r="706" spans="2:35" x14ac:dyDescent="0.2">
      <c r="B706" t="str">
        <f>IF(A706="","",IF(A706="[FÓRMULA MANUAL]","",IFERROR(AVERAGEIFS(DATOS!$K$2:$K$20000,DATOS!$A$2:$A$20000,A706,DATOS!$G$2:$G$20000,CONFIG_METADATA!$B$4,DATOS!$I$2:$I$20000,"Lenguaje Musical"),"")))</f>
        <v/>
      </c>
      <c r="C706" t="str">
        <f>IF(A706="","",IF(A706="[FÓRMULA MANUAL]","",IFERROR(AVERAGEIFS(DATOS!$K$2:$K$20000,DATOS!$A$2:$A$20000,A706,DATOS!$G$2:$G$20000,CONFIG_METADATA!$B$4,DATOS!$I$2:$I$20000,"Orquesta/Banda/Conjunto"),"")))</f>
        <v/>
      </c>
      <c r="D706" t="str">
        <f>IF(A706="","",IF(A706="[FÓRMULA MANUAL]","",IFERROR(AVERAGEIFS(DATOS!$K$2:$K$20000,DATOS!$A$2:$A$20000,A706,DATOS!$G$2:$G$20000,CONFIG_METADATA!$B$4,DATOS!$I$2:$I$20000,"Conjunto"),"")))</f>
        <v/>
      </c>
      <c r="E706" t="str">
        <f>IF(A706="","",IF(A706="[FÓRMULA MANUAL]","",IFERROR(SUMPRODUCT((DATOS!$A$2:$A$20000=A706)*(DATOS!$G$2:$G$20000=CONFIG_METADATA!$B$4)*(COUNTIF(CONFIG_ASIGNATURAS!$B$7:$B$27,DATOS!$I$2:$I$20000)&gt;0)*(DATOS!$K$2:$K$20000))/SUMPRODUCT((DATOS!$A$2:$A$20000=A706)*(DATOS!$G$2:$G$20000=CONFIG_METADATA!$B$4)*(COUNTIF(CONFIG_ASIGNATURAS!$B$7:$B$27,DATOS!$I$2:$I$20000)&gt;0)*1),"")))</f>
        <v/>
      </c>
      <c r="H706" t="str">
        <f>IF(G706="","",IF(G706="[FÓRMULA MANUAL]","",IFERROR(AVERAGEIFS(DATOS!$K$2:$K$20000,DATOS!$A$2:$A$20000,G706,DATOS!$G$2:$G$20000,CONFIG_METADATA!$B$4,DATOS!$I$2:$I$20000,"Lenguaje Musical"),"")))</f>
        <v/>
      </c>
      <c r="I706" t="str">
        <f>IF(G706="","",IF(G706="[FÓRMULA MANUAL]","",IFERROR(AVERAGEIFS(DATOS!$K$2:$K$20000,DATOS!$A$2:$A$20000,G706,DATOS!$G$2:$G$20000,CONFIG_METADATA!$B$4,DATOS!$I$2:$I$20000,"Orquesta/Banda/Conjunto"),"")))</f>
        <v/>
      </c>
      <c r="J706" t="str">
        <f>IF(G706="","",IF(G706="[FÓRMULA MANUAL]","",IFERROR(AVERAGEIFS(DATOS!$K$2:$K$20000,DATOS!$A$2:$A$20000,G706,DATOS!$G$2:$G$20000,CONFIG_METADATA!$B$4,DATOS!$I$2:$I$20000,"Conjunto"),"")))</f>
        <v/>
      </c>
      <c r="K706" t="str">
        <f>IF(G706="","",IF(G706="[FÓRMULA MANUAL]","",IFERROR(SUMPRODUCT((DATOS!$A$2:$A$20000=G706)*(DATOS!$G$2:$G$20000=CONFIG_METADATA!$B$4)*(COUNTIF(CONFIG_ASIGNATURAS!$B$7:$B$27,DATOS!$I$2:$I$20000)&gt;0)*(DATOS!$K$2:$K$20000))/SUMPRODUCT((DATOS!$A$2:$A$20000=G706)*(DATOS!$G$2:$G$20000=CONFIG_METADATA!$B$4)*(COUNTIF(CONFIG_ASIGNATURAS!$B$7:$B$27,DATOS!$I$2:$I$20000)&gt;0)*1),"")))</f>
        <v/>
      </c>
      <c r="N706" t="str">
        <f>IF(M706="","",IF(M706="[FÓRMULA MANUAL]","",IFERROR(AVERAGEIFS(DATOS!$K$2:$K$20000,DATOS!$A$2:$A$20000,M706,DATOS!$G$2:$G$20000,CONFIG_METADATA!$B$4,DATOS!$I$2:$I$20000,"Armonía"),"")))</f>
        <v/>
      </c>
      <c r="O706" t="str">
        <f>IF(M706="","",IF(M706="[FÓRMULA MANUAL]","",IFERROR(AVERAGEIFS(DATOS!$K$2:$K$20000,DATOS!$A$2:$A$20000,M706,DATOS!$G$2:$G$20000,CONFIG_METADATA!$B$4,DATOS!$I$2:$I$20000,"Orquesta/Banda/Conjunto"),"")))</f>
        <v/>
      </c>
      <c r="P706" t="str">
        <f>IF(M706="","",IF(M706="[FÓRMULA MANUAL]","",IFERROR(AVERAGEIFS(DATOS!$K$2:$K$20000,DATOS!$A$2:$A$20000,M706,DATOS!$G$2:$G$20000,CONFIG_METADATA!$B$4,DATOS!$I$2:$I$20000,"Música de Cámara"),"")))</f>
        <v/>
      </c>
      <c r="Q706" t="str">
        <f>IF(M706="","",IF(M706="[FÓRMULA MANUAL]","",IFERROR(SUMPRODUCT((DATOS!$A$2:$A$20000=M706)*(DATOS!$G$2:$G$20000=CONFIG_METADATA!$B$4)*(COUNTIF(CONFIG_ASIGNATURAS!$B$7:$B$27,DATOS!$I$2:$I$20000)&gt;0)*(DATOS!$K$2:$K$20000))/SUMPRODUCT((DATOS!$A$2:$A$20000=M706)*(DATOS!$G$2:$G$20000=CONFIG_METADATA!$B$4)*(COUNTIF(CONFIG_ASIGNATURAS!$B$7:$B$27,DATOS!$I$2:$I$20000)&gt;0)*1),"")))</f>
        <v/>
      </c>
      <c r="T706" t="str">
        <f>IF(S706="","",IF(S706="[FÓRMULA MANUAL]","",IFERROR(AVERAGEIFS(DATOS!$K$2:$K$20000,DATOS!$A$2:$A$20000,S706,DATOS!$G$2:$G$20000,CONFIG_METADATA!$B$4,DATOS!$I$2:$I$20000,"Armonía"),"")))</f>
        <v/>
      </c>
      <c r="U706" t="str">
        <f>IF(S706="","",IF(S706="[FÓRMULA MANUAL]","",IFERROR(AVERAGEIFS(DATOS!$K$2:$K$20000,DATOS!$A$2:$A$20000,S706,DATOS!$G$2:$G$20000,CONFIG_METADATA!$B$4,DATOS!$I$2:$I$20000,"Orquesta/Banda/Conjunto"),"")))</f>
        <v/>
      </c>
      <c r="V706" t="str">
        <f>IF(S706="","",IF(S706="[FÓRMULA MANUAL]","",IFERROR(AVERAGEIFS(DATOS!$K$2:$K$20000,DATOS!$A$2:$A$20000,S706,DATOS!$G$2:$G$20000,CONFIG_METADATA!$B$4,DATOS!$I$2:$I$20000,"Música de Cámara"),"")))</f>
        <v/>
      </c>
      <c r="W706" t="str">
        <f>IF(S706="","",IF(S706="[FÓRMULA MANUAL]","",IFERROR(SUMPRODUCT((DATOS!$A$2:$A$20000=S706)*(DATOS!$G$2:$G$20000=CONFIG_METADATA!$B$4)*(COUNTIF(CONFIG_ASIGNATURAS!$B$7:$B$27,DATOS!$I$2:$I$20000)&gt;0)*(DATOS!$K$2:$K$20000))/SUMPRODUCT((DATOS!$A$2:$A$20000=S706)*(DATOS!$G$2:$G$20000=CONFIG_METADATA!$B$4)*(COUNTIF(CONFIG_ASIGNATURAS!$B$7:$B$27,DATOS!$I$2:$I$20000)&gt;0)*1),"")))</f>
        <v/>
      </c>
      <c r="Z706" t="str">
        <f>IF(Y706="","",IF(Y706="[FÓRMULA MANUAL]","",IFERROR(AVERAGEIFS(DATOS!$K$2:$K$20000,DATOS!$A$2:$A$20000,Y706,DATOS!$G$2:$G$20000,CONFIG_METADATA!$B$4,DATOS!$I$2:$I$20000,"Análisis"),"")))</f>
        <v/>
      </c>
      <c r="AA706" t="str">
        <f>IF(Y706="","",IF(Y706="[FÓRMULA MANUAL]","",IFERROR(AVERAGEIFS(DATOS!$K$2:$K$20000,DATOS!$A$2:$A$20000,Y706,DATOS!$G$2:$G$20000,CONFIG_METADATA!$B$4,DATOS!$I$2:$I$20000,"Orquesta/Banda/Conjunto"),"")))</f>
        <v/>
      </c>
      <c r="AB706" t="str">
        <f>IF(Y706="","",IF(Y706="[FÓRMULA MANUAL]","",IFERROR(AVERAGEIFS(DATOS!$K$2:$K$20000,DATOS!$A$2:$A$20000,Y706,DATOS!$G$2:$G$20000,CONFIG_METADATA!$B$4,DATOS!$I$2:$I$20000,"Música de Cámara"),"")))</f>
        <v/>
      </c>
      <c r="AC706" t="str">
        <f>IF(Y706="","",IF(Y706="[FÓRMULA MANUAL]","",IFERROR(SUMPRODUCT((DATOS!$A$2:$A$20000=Y706)*(DATOS!$G$2:$G$20000=CONFIG_METADATA!$B$4)*(COUNTIF(CONFIG_ASIGNATURAS!$B$7:$B$27,DATOS!$I$2:$I$20000)&gt;0)*(DATOS!$K$2:$K$20000))/SUMPRODUCT((DATOS!$A$2:$A$20000=Y706)*(DATOS!$G$2:$G$20000=CONFIG_METADATA!$B$4)*(COUNTIF(CONFIG_ASIGNATURAS!$B$7:$B$27,DATOS!$I$2:$I$20000)&gt;0)*1),"")))</f>
        <v/>
      </c>
      <c r="AF706" t="str">
        <f>IF(AE706="","",IF(AE706="[FÓRMULA MANUAL]","",IFERROR(AVERAGEIFS(DATOS!$K$2:$K$20000,DATOS!$A$2:$A$20000,AE706,DATOS!$G$2:$G$20000,CONFIG_METADATA!$B$4,DATOS!$I$2:$I$20000,"Análisis"),"")))</f>
        <v/>
      </c>
      <c r="AG706" t="str">
        <f>IF(AE706="","",IF(AE706="[FÓRMULA MANUAL]","",IFERROR(AVERAGEIFS(DATOS!$K$2:$K$20000,DATOS!$A$2:$A$20000,AE706,DATOS!$G$2:$G$20000,CONFIG_METADATA!$B$4,DATOS!$I$2:$I$20000,"Orquesta/Banda/Conjunto"),"")))</f>
        <v/>
      </c>
      <c r="AH706" t="str">
        <f>IF(AE706="","",IF(AE706="[FÓRMULA MANUAL]","",IFERROR(AVERAGEIFS(DATOS!$K$2:$K$20000,DATOS!$A$2:$A$20000,AE706,DATOS!$G$2:$G$20000,CONFIG_METADATA!$B$4,DATOS!$I$2:$I$20000,"Música de Cámara"),"")))</f>
        <v/>
      </c>
      <c r="AI706" t="str">
        <f>IF(AE706="","",IF(AE706="[FÓRMULA MANUAL]","",IFERROR(SUMPRODUCT((DATOS!$A$2:$A$20000=AE706)*(DATOS!$G$2:$G$20000=CONFIG_METADATA!$B$4)*(COUNTIF(CONFIG_ASIGNATURAS!$B$7:$B$27,DATOS!$I$2:$I$20000)&gt;0)*(DATOS!$K$2:$K$20000))/SUMPRODUCT((DATOS!$A$2:$A$20000=AE706)*(DATOS!$G$2:$G$20000=CONFIG_METADATA!$B$4)*(COUNTIF(CONFIG_ASIGNATURAS!$B$7:$B$27,DATOS!$I$2:$I$20000)&gt;0)*1),"")))</f>
        <v/>
      </c>
    </row>
    <row r="707" spans="2:35" x14ac:dyDescent="0.2">
      <c r="B707" t="str">
        <f>IF(A707="","",IF(A707="[FÓRMULA MANUAL]","",IFERROR(AVERAGEIFS(DATOS!$K$2:$K$20000,DATOS!$A$2:$A$20000,A707,DATOS!$G$2:$G$20000,CONFIG_METADATA!$B$4,DATOS!$I$2:$I$20000,"Lenguaje Musical"),"")))</f>
        <v/>
      </c>
      <c r="C707" t="str">
        <f>IF(A707="","",IF(A707="[FÓRMULA MANUAL]","",IFERROR(AVERAGEIFS(DATOS!$K$2:$K$20000,DATOS!$A$2:$A$20000,A707,DATOS!$G$2:$G$20000,CONFIG_METADATA!$B$4,DATOS!$I$2:$I$20000,"Orquesta/Banda/Conjunto"),"")))</f>
        <v/>
      </c>
      <c r="D707" t="str">
        <f>IF(A707="","",IF(A707="[FÓRMULA MANUAL]","",IFERROR(AVERAGEIFS(DATOS!$K$2:$K$20000,DATOS!$A$2:$A$20000,A707,DATOS!$G$2:$G$20000,CONFIG_METADATA!$B$4,DATOS!$I$2:$I$20000,"Conjunto"),"")))</f>
        <v/>
      </c>
      <c r="E707" t="str">
        <f>IF(A707="","",IF(A707="[FÓRMULA MANUAL]","",IFERROR(SUMPRODUCT((DATOS!$A$2:$A$20000=A707)*(DATOS!$G$2:$G$20000=CONFIG_METADATA!$B$4)*(COUNTIF(CONFIG_ASIGNATURAS!$B$7:$B$27,DATOS!$I$2:$I$20000)&gt;0)*(DATOS!$K$2:$K$20000))/SUMPRODUCT((DATOS!$A$2:$A$20000=A707)*(DATOS!$G$2:$G$20000=CONFIG_METADATA!$B$4)*(COUNTIF(CONFIG_ASIGNATURAS!$B$7:$B$27,DATOS!$I$2:$I$20000)&gt;0)*1),"")))</f>
        <v/>
      </c>
      <c r="H707" t="str">
        <f>IF(G707="","",IF(G707="[FÓRMULA MANUAL]","",IFERROR(AVERAGEIFS(DATOS!$K$2:$K$20000,DATOS!$A$2:$A$20000,G707,DATOS!$G$2:$G$20000,CONFIG_METADATA!$B$4,DATOS!$I$2:$I$20000,"Lenguaje Musical"),"")))</f>
        <v/>
      </c>
      <c r="I707" t="str">
        <f>IF(G707="","",IF(G707="[FÓRMULA MANUAL]","",IFERROR(AVERAGEIFS(DATOS!$K$2:$K$20000,DATOS!$A$2:$A$20000,G707,DATOS!$G$2:$G$20000,CONFIG_METADATA!$B$4,DATOS!$I$2:$I$20000,"Orquesta/Banda/Conjunto"),"")))</f>
        <v/>
      </c>
      <c r="J707" t="str">
        <f>IF(G707="","",IF(G707="[FÓRMULA MANUAL]","",IFERROR(AVERAGEIFS(DATOS!$K$2:$K$20000,DATOS!$A$2:$A$20000,G707,DATOS!$G$2:$G$20000,CONFIG_METADATA!$B$4,DATOS!$I$2:$I$20000,"Conjunto"),"")))</f>
        <v/>
      </c>
      <c r="K707" t="str">
        <f>IF(G707="","",IF(G707="[FÓRMULA MANUAL]","",IFERROR(SUMPRODUCT((DATOS!$A$2:$A$20000=G707)*(DATOS!$G$2:$G$20000=CONFIG_METADATA!$B$4)*(COUNTIF(CONFIG_ASIGNATURAS!$B$7:$B$27,DATOS!$I$2:$I$20000)&gt;0)*(DATOS!$K$2:$K$20000))/SUMPRODUCT((DATOS!$A$2:$A$20000=G707)*(DATOS!$G$2:$G$20000=CONFIG_METADATA!$B$4)*(COUNTIF(CONFIG_ASIGNATURAS!$B$7:$B$27,DATOS!$I$2:$I$20000)&gt;0)*1),"")))</f>
        <v/>
      </c>
      <c r="N707" t="str">
        <f>IF(M707="","",IF(M707="[FÓRMULA MANUAL]","",IFERROR(AVERAGEIFS(DATOS!$K$2:$K$20000,DATOS!$A$2:$A$20000,M707,DATOS!$G$2:$G$20000,CONFIG_METADATA!$B$4,DATOS!$I$2:$I$20000,"Armonía"),"")))</f>
        <v/>
      </c>
      <c r="O707" t="str">
        <f>IF(M707="","",IF(M707="[FÓRMULA MANUAL]","",IFERROR(AVERAGEIFS(DATOS!$K$2:$K$20000,DATOS!$A$2:$A$20000,M707,DATOS!$G$2:$G$20000,CONFIG_METADATA!$B$4,DATOS!$I$2:$I$20000,"Orquesta/Banda/Conjunto"),"")))</f>
        <v/>
      </c>
      <c r="P707" t="str">
        <f>IF(M707="","",IF(M707="[FÓRMULA MANUAL]","",IFERROR(AVERAGEIFS(DATOS!$K$2:$K$20000,DATOS!$A$2:$A$20000,M707,DATOS!$G$2:$G$20000,CONFIG_METADATA!$B$4,DATOS!$I$2:$I$20000,"Música de Cámara"),"")))</f>
        <v/>
      </c>
      <c r="Q707" t="str">
        <f>IF(M707="","",IF(M707="[FÓRMULA MANUAL]","",IFERROR(SUMPRODUCT((DATOS!$A$2:$A$20000=M707)*(DATOS!$G$2:$G$20000=CONFIG_METADATA!$B$4)*(COUNTIF(CONFIG_ASIGNATURAS!$B$7:$B$27,DATOS!$I$2:$I$20000)&gt;0)*(DATOS!$K$2:$K$20000))/SUMPRODUCT((DATOS!$A$2:$A$20000=M707)*(DATOS!$G$2:$G$20000=CONFIG_METADATA!$B$4)*(COUNTIF(CONFIG_ASIGNATURAS!$B$7:$B$27,DATOS!$I$2:$I$20000)&gt;0)*1),"")))</f>
        <v/>
      </c>
      <c r="T707" t="str">
        <f>IF(S707="","",IF(S707="[FÓRMULA MANUAL]","",IFERROR(AVERAGEIFS(DATOS!$K$2:$K$20000,DATOS!$A$2:$A$20000,S707,DATOS!$G$2:$G$20000,CONFIG_METADATA!$B$4,DATOS!$I$2:$I$20000,"Armonía"),"")))</f>
        <v/>
      </c>
      <c r="U707" t="str">
        <f>IF(S707="","",IF(S707="[FÓRMULA MANUAL]","",IFERROR(AVERAGEIFS(DATOS!$K$2:$K$20000,DATOS!$A$2:$A$20000,S707,DATOS!$G$2:$G$20000,CONFIG_METADATA!$B$4,DATOS!$I$2:$I$20000,"Orquesta/Banda/Conjunto"),"")))</f>
        <v/>
      </c>
      <c r="V707" t="str">
        <f>IF(S707="","",IF(S707="[FÓRMULA MANUAL]","",IFERROR(AVERAGEIFS(DATOS!$K$2:$K$20000,DATOS!$A$2:$A$20000,S707,DATOS!$G$2:$G$20000,CONFIG_METADATA!$B$4,DATOS!$I$2:$I$20000,"Música de Cámara"),"")))</f>
        <v/>
      </c>
      <c r="W707" t="str">
        <f>IF(S707="","",IF(S707="[FÓRMULA MANUAL]","",IFERROR(SUMPRODUCT((DATOS!$A$2:$A$20000=S707)*(DATOS!$G$2:$G$20000=CONFIG_METADATA!$B$4)*(COUNTIF(CONFIG_ASIGNATURAS!$B$7:$B$27,DATOS!$I$2:$I$20000)&gt;0)*(DATOS!$K$2:$K$20000))/SUMPRODUCT((DATOS!$A$2:$A$20000=S707)*(DATOS!$G$2:$G$20000=CONFIG_METADATA!$B$4)*(COUNTIF(CONFIG_ASIGNATURAS!$B$7:$B$27,DATOS!$I$2:$I$20000)&gt;0)*1),"")))</f>
        <v/>
      </c>
      <c r="Z707" t="str">
        <f>IF(Y707="","",IF(Y707="[FÓRMULA MANUAL]","",IFERROR(AVERAGEIFS(DATOS!$K$2:$K$20000,DATOS!$A$2:$A$20000,Y707,DATOS!$G$2:$G$20000,CONFIG_METADATA!$B$4,DATOS!$I$2:$I$20000,"Análisis"),"")))</f>
        <v/>
      </c>
      <c r="AA707" t="str">
        <f>IF(Y707="","",IF(Y707="[FÓRMULA MANUAL]","",IFERROR(AVERAGEIFS(DATOS!$K$2:$K$20000,DATOS!$A$2:$A$20000,Y707,DATOS!$G$2:$G$20000,CONFIG_METADATA!$B$4,DATOS!$I$2:$I$20000,"Orquesta/Banda/Conjunto"),"")))</f>
        <v/>
      </c>
      <c r="AB707" t="str">
        <f>IF(Y707="","",IF(Y707="[FÓRMULA MANUAL]","",IFERROR(AVERAGEIFS(DATOS!$K$2:$K$20000,DATOS!$A$2:$A$20000,Y707,DATOS!$G$2:$G$20000,CONFIG_METADATA!$B$4,DATOS!$I$2:$I$20000,"Música de Cámara"),"")))</f>
        <v/>
      </c>
      <c r="AC707" t="str">
        <f>IF(Y707="","",IF(Y707="[FÓRMULA MANUAL]","",IFERROR(SUMPRODUCT((DATOS!$A$2:$A$20000=Y707)*(DATOS!$G$2:$G$20000=CONFIG_METADATA!$B$4)*(COUNTIF(CONFIG_ASIGNATURAS!$B$7:$B$27,DATOS!$I$2:$I$20000)&gt;0)*(DATOS!$K$2:$K$20000))/SUMPRODUCT((DATOS!$A$2:$A$20000=Y707)*(DATOS!$G$2:$G$20000=CONFIG_METADATA!$B$4)*(COUNTIF(CONFIG_ASIGNATURAS!$B$7:$B$27,DATOS!$I$2:$I$20000)&gt;0)*1),"")))</f>
        <v/>
      </c>
      <c r="AF707" t="str">
        <f>IF(AE707="","",IF(AE707="[FÓRMULA MANUAL]","",IFERROR(AVERAGEIFS(DATOS!$K$2:$K$20000,DATOS!$A$2:$A$20000,AE707,DATOS!$G$2:$G$20000,CONFIG_METADATA!$B$4,DATOS!$I$2:$I$20000,"Análisis"),"")))</f>
        <v/>
      </c>
      <c r="AG707" t="str">
        <f>IF(AE707="","",IF(AE707="[FÓRMULA MANUAL]","",IFERROR(AVERAGEIFS(DATOS!$K$2:$K$20000,DATOS!$A$2:$A$20000,AE707,DATOS!$G$2:$G$20000,CONFIG_METADATA!$B$4,DATOS!$I$2:$I$20000,"Orquesta/Banda/Conjunto"),"")))</f>
        <v/>
      </c>
      <c r="AH707" t="str">
        <f>IF(AE707="","",IF(AE707="[FÓRMULA MANUAL]","",IFERROR(AVERAGEIFS(DATOS!$K$2:$K$20000,DATOS!$A$2:$A$20000,AE707,DATOS!$G$2:$G$20000,CONFIG_METADATA!$B$4,DATOS!$I$2:$I$20000,"Música de Cámara"),"")))</f>
        <v/>
      </c>
      <c r="AI707" t="str">
        <f>IF(AE707="","",IF(AE707="[FÓRMULA MANUAL]","",IFERROR(SUMPRODUCT((DATOS!$A$2:$A$20000=AE707)*(DATOS!$G$2:$G$20000=CONFIG_METADATA!$B$4)*(COUNTIF(CONFIG_ASIGNATURAS!$B$7:$B$27,DATOS!$I$2:$I$20000)&gt;0)*(DATOS!$K$2:$K$20000))/SUMPRODUCT((DATOS!$A$2:$A$20000=AE707)*(DATOS!$G$2:$G$20000=CONFIG_METADATA!$B$4)*(COUNTIF(CONFIG_ASIGNATURAS!$B$7:$B$27,DATOS!$I$2:$I$20000)&gt;0)*1),"")))</f>
        <v/>
      </c>
    </row>
    <row r="708" spans="2:35" x14ac:dyDescent="0.2">
      <c r="B708" t="str">
        <f>IF(A708="","",IF(A708="[FÓRMULA MANUAL]","",IFERROR(AVERAGEIFS(DATOS!$K$2:$K$20000,DATOS!$A$2:$A$20000,A708,DATOS!$G$2:$G$20000,CONFIG_METADATA!$B$4,DATOS!$I$2:$I$20000,"Lenguaje Musical"),"")))</f>
        <v/>
      </c>
      <c r="C708" t="str">
        <f>IF(A708="","",IF(A708="[FÓRMULA MANUAL]","",IFERROR(AVERAGEIFS(DATOS!$K$2:$K$20000,DATOS!$A$2:$A$20000,A708,DATOS!$G$2:$G$20000,CONFIG_METADATA!$B$4,DATOS!$I$2:$I$20000,"Orquesta/Banda/Conjunto"),"")))</f>
        <v/>
      </c>
      <c r="D708" t="str">
        <f>IF(A708="","",IF(A708="[FÓRMULA MANUAL]","",IFERROR(AVERAGEIFS(DATOS!$K$2:$K$20000,DATOS!$A$2:$A$20000,A708,DATOS!$G$2:$G$20000,CONFIG_METADATA!$B$4,DATOS!$I$2:$I$20000,"Conjunto"),"")))</f>
        <v/>
      </c>
      <c r="E708" t="str">
        <f>IF(A708="","",IF(A708="[FÓRMULA MANUAL]","",IFERROR(SUMPRODUCT((DATOS!$A$2:$A$20000=A708)*(DATOS!$G$2:$G$20000=CONFIG_METADATA!$B$4)*(COUNTIF(CONFIG_ASIGNATURAS!$B$7:$B$27,DATOS!$I$2:$I$20000)&gt;0)*(DATOS!$K$2:$K$20000))/SUMPRODUCT((DATOS!$A$2:$A$20000=A708)*(DATOS!$G$2:$G$20000=CONFIG_METADATA!$B$4)*(COUNTIF(CONFIG_ASIGNATURAS!$B$7:$B$27,DATOS!$I$2:$I$20000)&gt;0)*1),"")))</f>
        <v/>
      </c>
      <c r="H708" t="str">
        <f>IF(G708="","",IF(G708="[FÓRMULA MANUAL]","",IFERROR(AVERAGEIFS(DATOS!$K$2:$K$20000,DATOS!$A$2:$A$20000,G708,DATOS!$G$2:$G$20000,CONFIG_METADATA!$B$4,DATOS!$I$2:$I$20000,"Lenguaje Musical"),"")))</f>
        <v/>
      </c>
      <c r="I708" t="str">
        <f>IF(G708="","",IF(G708="[FÓRMULA MANUAL]","",IFERROR(AVERAGEIFS(DATOS!$K$2:$K$20000,DATOS!$A$2:$A$20000,G708,DATOS!$G$2:$G$20000,CONFIG_METADATA!$B$4,DATOS!$I$2:$I$20000,"Orquesta/Banda/Conjunto"),"")))</f>
        <v/>
      </c>
      <c r="J708" t="str">
        <f>IF(G708="","",IF(G708="[FÓRMULA MANUAL]","",IFERROR(AVERAGEIFS(DATOS!$K$2:$K$20000,DATOS!$A$2:$A$20000,G708,DATOS!$G$2:$G$20000,CONFIG_METADATA!$B$4,DATOS!$I$2:$I$20000,"Conjunto"),"")))</f>
        <v/>
      </c>
      <c r="K708" t="str">
        <f>IF(G708="","",IF(G708="[FÓRMULA MANUAL]","",IFERROR(SUMPRODUCT((DATOS!$A$2:$A$20000=G708)*(DATOS!$G$2:$G$20000=CONFIG_METADATA!$B$4)*(COUNTIF(CONFIG_ASIGNATURAS!$B$7:$B$27,DATOS!$I$2:$I$20000)&gt;0)*(DATOS!$K$2:$K$20000))/SUMPRODUCT((DATOS!$A$2:$A$20000=G708)*(DATOS!$G$2:$G$20000=CONFIG_METADATA!$B$4)*(COUNTIF(CONFIG_ASIGNATURAS!$B$7:$B$27,DATOS!$I$2:$I$20000)&gt;0)*1),"")))</f>
        <v/>
      </c>
      <c r="N708" t="str">
        <f>IF(M708="","",IF(M708="[FÓRMULA MANUAL]","",IFERROR(AVERAGEIFS(DATOS!$K$2:$K$20000,DATOS!$A$2:$A$20000,M708,DATOS!$G$2:$G$20000,CONFIG_METADATA!$B$4,DATOS!$I$2:$I$20000,"Armonía"),"")))</f>
        <v/>
      </c>
      <c r="O708" t="str">
        <f>IF(M708="","",IF(M708="[FÓRMULA MANUAL]","",IFERROR(AVERAGEIFS(DATOS!$K$2:$K$20000,DATOS!$A$2:$A$20000,M708,DATOS!$G$2:$G$20000,CONFIG_METADATA!$B$4,DATOS!$I$2:$I$20000,"Orquesta/Banda/Conjunto"),"")))</f>
        <v/>
      </c>
      <c r="P708" t="str">
        <f>IF(M708="","",IF(M708="[FÓRMULA MANUAL]","",IFERROR(AVERAGEIFS(DATOS!$K$2:$K$20000,DATOS!$A$2:$A$20000,M708,DATOS!$G$2:$G$20000,CONFIG_METADATA!$B$4,DATOS!$I$2:$I$20000,"Música de Cámara"),"")))</f>
        <v/>
      </c>
      <c r="Q708" t="str">
        <f>IF(M708="","",IF(M708="[FÓRMULA MANUAL]","",IFERROR(SUMPRODUCT((DATOS!$A$2:$A$20000=M708)*(DATOS!$G$2:$G$20000=CONFIG_METADATA!$B$4)*(COUNTIF(CONFIG_ASIGNATURAS!$B$7:$B$27,DATOS!$I$2:$I$20000)&gt;0)*(DATOS!$K$2:$K$20000))/SUMPRODUCT((DATOS!$A$2:$A$20000=M708)*(DATOS!$G$2:$G$20000=CONFIG_METADATA!$B$4)*(COUNTIF(CONFIG_ASIGNATURAS!$B$7:$B$27,DATOS!$I$2:$I$20000)&gt;0)*1),"")))</f>
        <v/>
      </c>
      <c r="T708" t="str">
        <f>IF(S708="","",IF(S708="[FÓRMULA MANUAL]","",IFERROR(AVERAGEIFS(DATOS!$K$2:$K$20000,DATOS!$A$2:$A$20000,S708,DATOS!$G$2:$G$20000,CONFIG_METADATA!$B$4,DATOS!$I$2:$I$20000,"Armonía"),"")))</f>
        <v/>
      </c>
      <c r="U708" t="str">
        <f>IF(S708="","",IF(S708="[FÓRMULA MANUAL]","",IFERROR(AVERAGEIFS(DATOS!$K$2:$K$20000,DATOS!$A$2:$A$20000,S708,DATOS!$G$2:$G$20000,CONFIG_METADATA!$B$4,DATOS!$I$2:$I$20000,"Orquesta/Banda/Conjunto"),"")))</f>
        <v/>
      </c>
      <c r="V708" t="str">
        <f>IF(S708="","",IF(S708="[FÓRMULA MANUAL]","",IFERROR(AVERAGEIFS(DATOS!$K$2:$K$20000,DATOS!$A$2:$A$20000,S708,DATOS!$G$2:$G$20000,CONFIG_METADATA!$B$4,DATOS!$I$2:$I$20000,"Música de Cámara"),"")))</f>
        <v/>
      </c>
      <c r="W708" t="str">
        <f>IF(S708="","",IF(S708="[FÓRMULA MANUAL]","",IFERROR(SUMPRODUCT((DATOS!$A$2:$A$20000=S708)*(DATOS!$G$2:$G$20000=CONFIG_METADATA!$B$4)*(COUNTIF(CONFIG_ASIGNATURAS!$B$7:$B$27,DATOS!$I$2:$I$20000)&gt;0)*(DATOS!$K$2:$K$20000))/SUMPRODUCT((DATOS!$A$2:$A$20000=S708)*(DATOS!$G$2:$G$20000=CONFIG_METADATA!$B$4)*(COUNTIF(CONFIG_ASIGNATURAS!$B$7:$B$27,DATOS!$I$2:$I$20000)&gt;0)*1),"")))</f>
        <v/>
      </c>
      <c r="Z708" t="str">
        <f>IF(Y708="","",IF(Y708="[FÓRMULA MANUAL]","",IFERROR(AVERAGEIFS(DATOS!$K$2:$K$20000,DATOS!$A$2:$A$20000,Y708,DATOS!$G$2:$G$20000,CONFIG_METADATA!$B$4,DATOS!$I$2:$I$20000,"Análisis"),"")))</f>
        <v/>
      </c>
      <c r="AA708" t="str">
        <f>IF(Y708="","",IF(Y708="[FÓRMULA MANUAL]","",IFERROR(AVERAGEIFS(DATOS!$K$2:$K$20000,DATOS!$A$2:$A$20000,Y708,DATOS!$G$2:$G$20000,CONFIG_METADATA!$B$4,DATOS!$I$2:$I$20000,"Orquesta/Banda/Conjunto"),"")))</f>
        <v/>
      </c>
      <c r="AB708" t="str">
        <f>IF(Y708="","",IF(Y708="[FÓRMULA MANUAL]","",IFERROR(AVERAGEIFS(DATOS!$K$2:$K$20000,DATOS!$A$2:$A$20000,Y708,DATOS!$G$2:$G$20000,CONFIG_METADATA!$B$4,DATOS!$I$2:$I$20000,"Música de Cámara"),"")))</f>
        <v/>
      </c>
      <c r="AC708" t="str">
        <f>IF(Y708="","",IF(Y708="[FÓRMULA MANUAL]","",IFERROR(SUMPRODUCT((DATOS!$A$2:$A$20000=Y708)*(DATOS!$G$2:$G$20000=CONFIG_METADATA!$B$4)*(COUNTIF(CONFIG_ASIGNATURAS!$B$7:$B$27,DATOS!$I$2:$I$20000)&gt;0)*(DATOS!$K$2:$K$20000))/SUMPRODUCT((DATOS!$A$2:$A$20000=Y708)*(DATOS!$G$2:$G$20000=CONFIG_METADATA!$B$4)*(COUNTIF(CONFIG_ASIGNATURAS!$B$7:$B$27,DATOS!$I$2:$I$20000)&gt;0)*1),"")))</f>
        <v/>
      </c>
      <c r="AF708" t="str">
        <f>IF(AE708="","",IF(AE708="[FÓRMULA MANUAL]","",IFERROR(AVERAGEIFS(DATOS!$K$2:$K$20000,DATOS!$A$2:$A$20000,AE708,DATOS!$G$2:$G$20000,CONFIG_METADATA!$B$4,DATOS!$I$2:$I$20000,"Análisis"),"")))</f>
        <v/>
      </c>
      <c r="AG708" t="str">
        <f>IF(AE708="","",IF(AE708="[FÓRMULA MANUAL]","",IFERROR(AVERAGEIFS(DATOS!$K$2:$K$20000,DATOS!$A$2:$A$20000,AE708,DATOS!$G$2:$G$20000,CONFIG_METADATA!$B$4,DATOS!$I$2:$I$20000,"Orquesta/Banda/Conjunto"),"")))</f>
        <v/>
      </c>
      <c r="AH708" t="str">
        <f>IF(AE708="","",IF(AE708="[FÓRMULA MANUAL]","",IFERROR(AVERAGEIFS(DATOS!$K$2:$K$20000,DATOS!$A$2:$A$20000,AE708,DATOS!$G$2:$G$20000,CONFIG_METADATA!$B$4,DATOS!$I$2:$I$20000,"Música de Cámara"),"")))</f>
        <v/>
      </c>
      <c r="AI708" t="str">
        <f>IF(AE708="","",IF(AE708="[FÓRMULA MANUAL]","",IFERROR(SUMPRODUCT((DATOS!$A$2:$A$20000=AE708)*(DATOS!$G$2:$G$20000=CONFIG_METADATA!$B$4)*(COUNTIF(CONFIG_ASIGNATURAS!$B$7:$B$27,DATOS!$I$2:$I$20000)&gt;0)*(DATOS!$K$2:$K$20000))/SUMPRODUCT((DATOS!$A$2:$A$20000=AE708)*(DATOS!$G$2:$G$20000=CONFIG_METADATA!$B$4)*(COUNTIF(CONFIG_ASIGNATURAS!$B$7:$B$27,DATOS!$I$2:$I$20000)&gt;0)*1),"")))</f>
        <v/>
      </c>
    </row>
    <row r="709" spans="2:35" x14ac:dyDescent="0.2">
      <c r="B709" t="str">
        <f>IF(A709="","",IF(A709="[FÓRMULA MANUAL]","",IFERROR(AVERAGEIFS(DATOS!$K$2:$K$20000,DATOS!$A$2:$A$20000,A709,DATOS!$G$2:$G$20000,CONFIG_METADATA!$B$4,DATOS!$I$2:$I$20000,"Lenguaje Musical"),"")))</f>
        <v/>
      </c>
      <c r="C709" t="str">
        <f>IF(A709="","",IF(A709="[FÓRMULA MANUAL]","",IFERROR(AVERAGEIFS(DATOS!$K$2:$K$20000,DATOS!$A$2:$A$20000,A709,DATOS!$G$2:$G$20000,CONFIG_METADATA!$B$4,DATOS!$I$2:$I$20000,"Orquesta/Banda/Conjunto"),"")))</f>
        <v/>
      </c>
      <c r="D709" t="str">
        <f>IF(A709="","",IF(A709="[FÓRMULA MANUAL]","",IFERROR(AVERAGEIFS(DATOS!$K$2:$K$20000,DATOS!$A$2:$A$20000,A709,DATOS!$G$2:$G$20000,CONFIG_METADATA!$B$4,DATOS!$I$2:$I$20000,"Conjunto"),"")))</f>
        <v/>
      </c>
      <c r="E709" t="str">
        <f>IF(A709="","",IF(A709="[FÓRMULA MANUAL]","",IFERROR(SUMPRODUCT((DATOS!$A$2:$A$20000=A709)*(DATOS!$G$2:$G$20000=CONFIG_METADATA!$B$4)*(COUNTIF(CONFIG_ASIGNATURAS!$B$7:$B$27,DATOS!$I$2:$I$20000)&gt;0)*(DATOS!$K$2:$K$20000))/SUMPRODUCT((DATOS!$A$2:$A$20000=A709)*(DATOS!$G$2:$G$20000=CONFIG_METADATA!$B$4)*(COUNTIF(CONFIG_ASIGNATURAS!$B$7:$B$27,DATOS!$I$2:$I$20000)&gt;0)*1),"")))</f>
        <v/>
      </c>
      <c r="H709" t="str">
        <f>IF(G709="","",IF(G709="[FÓRMULA MANUAL]","",IFERROR(AVERAGEIFS(DATOS!$K$2:$K$20000,DATOS!$A$2:$A$20000,G709,DATOS!$G$2:$G$20000,CONFIG_METADATA!$B$4,DATOS!$I$2:$I$20000,"Lenguaje Musical"),"")))</f>
        <v/>
      </c>
      <c r="I709" t="str">
        <f>IF(G709="","",IF(G709="[FÓRMULA MANUAL]","",IFERROR(AVERAGEIFS(DATOS!$K$2:$K$20000,DATOS!$A$2:$A$20000,G709,DATOS!$G$2:$G$20000,CONFIG_METADATA!$B$4,DATOS!$I$2:$I$20000,"Orquesta/Banda/Conjunto"),"")))</f>
        <v/>
      </c>
      <c r="J709" t="str">
        <f>IF(G709="","",IF(G709="[FÓRMULA MANUAL]","",IFERROR(AVERAGEIFS(DATOS!$K$2:$K$20000,DATOS!$A$2:$A$20000,G709,DATOS!$G$2:$G$20000,CONFIG_METADATA!$B$4,DATOS!$I$2:$I$20000,"Conjunto"),"")))</f>
        <v/>
      </c>
      <c r="K709" t="str">
        <f>IF(G709="","",IF(G709="[FÓRMULA MANUAL]","",IFERROR(SUMPRODUCT((DATOS!$A$2:$A$20000=G709)*(DATOS!$G$2:$G$20000=CONFIG_METADATA!$B$4)*(COUNTIF(CONFIG_ASIGNATURAS!$B$7:$B$27,DATOS!$I$2:$I$20000)&gt;0)*(DATOS!$K$2:$K$20000))/SUMPRODUCT((DATOS!$A$2:$A$20000=G709)*(DATOS!$G$2:$G$20000=CONFIG_METADATA!$B$4)*(COUNTIF(CONFIG_ASIGNATURAS!$B$7:$B$27,DATOS!$I$2:$I$20000)&gt;0)*1),"")))</f>
        <v/>
      </c>
      <c r="N709" t="str">
        <f>IF(M709="","",IF(M709="[FÓRMULA MANUAL]","",IFERROR(AVERAGEIFS(DATOS!$K$2:$K$20000,DATOS!$A$2:$A$20000,M709,DATOS!$G$2:$G$20000,CONFIG_METADATA!$B$4,DATOS!$I$2:$I$20000,"Armonía"),"")))</f>
        <v/>
      </c>
      <c r="O709" t="str">
        <f>IF(M709="","",IF(M709="[FÓRMULA MANUAL]","",IFERROR(AVERAGEIFS(DATOS!$K$2:$K$20000,DATOS!$A$2:$A$20000,M709,DATOS!$G$2:$G$20000,CONFIG_METADATA!$B$4,DATOS!$I$2:$I$20000,"Orquesta/Banda/Conjunto"),"")))</f>
        <v/>
      </c>
      <c r="P709" t="str">
        <f>IF(M709="","",IF(M709="[FÓRMULA MANUAL]","",IFERROR(AVERAGEIFS(DATOS!$K$2:$K$20000,DATOS!$A$2:$A$20000,M709,DATOS!$G$2:$G$20000,CONFIG_METADATA!$B$4,DATOS!$I$2:$I$20000,"Música de Cámara"),"")))</f>
        <v/>
      </c>
      <c r="Q709" t="str">
        <f>IF(M709="","",IF(M709="[FÓRMULA MANUAL]","",IFERROR(SUMPRODUCT((DATOS!$A$2:$A$20000=M709)*(DATOS!$G$2:$G$20000=CONFIG_METADATA!$B$4)*(COUNTIF(CONFIG_ASIGNATURAS!$B$7:$B$27,DATOS!$I$2:$I$20000)&gt;0)*(DATOS!$K$2:$K$20000))/SUMPRODUCT((DATOS!$A$2:$A$20000=M709)*(DATOS!$G$2:$G$20000=CONFIG_METADATA!$B$4)*(COUNTIF(CONFIG_ASIGNATURAS!$B$7:$B$27,DATOS!$I$2:$I$20000)&gt;0)*1),"")))</f>
        <v/>
      </c>
      <c r="T709" t="str">
        <f>IF(S709="","",IF(S709="[FÓRMULA MANUAL]","",IFERROR(AVERAGEIFS(DATOS!$K$2:$K$20000,DATOS!$A$2:$A$20000,S709,DATOS!$G$2:$G$20000,CONFIG_METADATA!$B$4,DATOS!$I$2:$I$20000,"Armonía"),"")))</f>
        <v/>
      </c>
      <c r="U709" t="str">
        <f>IF(S709="","",IF(S709="[FÓRMULA MANUAL]","",IFERROR(AVERAGEIFS(DATOS!$K$2:$K$20000,DATOS!$A$2:$A$20000,S709,DATOS!$G$2:$G$20000,CONFIG_METADATA!$B$4,DATOS!$I$2:$I$20000,"Orquesta/Banda/Conjunto"),"")))</f>
        <v/>
      </c>
      <c r="V709" t="str">
        <f>IF(S709="","",IF(S709="[FÓRMULA MANUAL]","",IFERROR(AVERAGEIFS(DATOS!$K$2:$K$20000,DATOS!$A$2:$A$20000,S709,DATOS!$G$2:$G$20000,CONFIG_METADATA!$B$4,DATOS!$I$2:$I$20000,"Música de Cámara"),"")))</f>
        <v/>
      </c>
      <c r="W709" t="str">
        <f>IF(S709="","",IF(S709="[FÓRMULA MANUAL]","",IFERROR(SUMPRODUCT((DATOS!$A$2:$A$20000=S709)*(DATOS!$G$2:$G$20000=CONFIG_METADATA!$B$4)*(COUNTIF(CONFIG_ASIGNATURAS!$B$7:$B$27,DATOS!$I$2:$I$20000)&gt;0)*(DATOS!$K$2:$K$20000))/SUMPRODUCT((DATOS!$A$2:$A$20000=S709)*(DATOS!$G$2:$G$20000=CONFIG_METADATA!$B$4)*(COUNTIF(CONFIG_ASIGNATURAS!$B$7:$B$27,DATOS!$I$2:$I$20000)&gt;0)*1),"")))</f>
        <v/>
      </c>
      <c r="Z709" t="str">
        <f>IF(Y709="","",IF(Y709="[FÓRMULA MANUAL]","",IFERROR(AVERAGEIFS(DATOS!$K$2:$K$20000,DATOS!$A$2:$A$20000,Y709,DATOS!$G$2:$G$20000,CONFIG_METADATA!$B$4,DATOS!$I$2:$I$20000,"Análisis"),"")))</f>
        <v/>
      </c>
      <c r="AA709" t="str">
        <f>IF(Y709="","",IF(Y709="[FÓRMULA MANUAL]","",IFERROR(AVERAGEIFS(DATOS!$K$2:$K$20000,DATOS!$A$2:$A$20000,Y709,DATOS!$G$2:$G$20000,CONFIG_METADATA!$B$4,DATOS!$I$2:$I$20000,"Orquesta/Banda/Conjunto"),"")))</f>
        <v/>
      </c>
      <c r="AB709" t="str">
        <f>IF(Y709="","",IF(Y709="[FÓRMULA MANUAL]","",IFERROR(AVERAGEIFS(DATOS!$K$2:$K$20000,DATOS!$A$2:$A$20000,Y709,DATOS!$G$2:$G$20000,CONFIG_METADATA!$B$4,DATOS!$I$2:$I$20000,"Música de Cámara"),"")))</f>
        <v/>
      </c>
      <c r="AC709" t="str">
        <f>IF(Y709="","",IF(Y709="[FÓRMULA MANUAL]","",IFERROR(SUMPRODUCT((DATOS!$A$2:$A$20000=Y709)*(DATOS!$G$2:$G$20000=CONFIG_METADATA!$B$4)*(COUNTIF(CONFIG_ASIGNATURAS!$B$7:$B$27,DATOS!$I$2:$I$20000)&gt;0)*(DATOS!$K$2:$K$20000))/SUMPRODUCT((DATOS!$A$2:$A$20000=Y709)*(DATOS!$G$2:$G$20000=CONFIG_METADATA!$B$4)*(COUNTIF(CONFIG_ASIGNATURAS!$B$7:$B$27,DATOS!$I$2:$I$20000)&gt;0)*1),"")))</f>
        <v/>
      </c>
      <c r="AF709" t="str">
        <f>IF(AE709="","",IF(AE709="[FÓRMULA MANUAL]","",IFERROR(AVERAGEIFS(DATOS!$K$2:$K$20000,DATOS!$A$2:$A$20000,AE709,DATOS!$G$2:$G$20000,CONFIG_METADATA!$B$4,DATOS!$I$2:$I$20000,"Análisis"),"")))</f>
        <v/>
      </c>
      <c r="AG709" t="str">
        <f>IF(AE709="","",IF(AE709="[FÓRMULA MANUAL]","",IFERROR(AVERAGEIFS(DATOS!$K$2:$K$20000,DATOS!$A$2:$A$20000,AE709,DATOS!$G$2:$G$20000,CONFIG_METADATA!$B$4,DATOS!$I$2:$I$20000,"Orquesta/Banda/Conjunto"),"")))</f>
        <v/>
      </c>
      <c r="AH709" t="str">
        <f>IF(AE709="","",IF(AE709="[FÓRMULA MANUAL]","",IFERROR(AVERAGEIFS(DATOS!$K$2:$K$20000,DATOS!$A$2:$A$20000,AE709,DATOS!$G$2:$G$20000,CONFIG_METADATA!$B$4,DATOS!$I$2:$I$20000,"Música de Cámara"),"")))</f>
        <v/>
      </c>
      <c r="AI709" t="str">
        <f>IF(AE709="","",IF(AE709="[FÓRMULA MANUAL]","",IFERROR(SUMPRODUCT((DATOS!$A$2:$A$20000=AE709)*(DATOS!$G$2:$G$20000=CONFIG_METADATA!$B$4)*(COUNTIF(CONFIG_ASIGNATURAS!$B$7:$B$27,DATOS!$I$2:$I$20000)&gt;0)*(DATOS!$K$2:$K$20000))/SUMPRODUCT((DATOS!$A$2:$A$20000=AE709)*(DATOS!$G$2:$G$20000=CONFIG_METADATA!$B$4)*(COUNTIF(CONFIG_ASIGNATURAS!$B$7:$B$27,DATOS!$I$2:$I$20000)&gt;0)*1),"")))</f>
        <v/>
      </c>
    </row>
    <row r="710" spans="2:35" x14ac:dyDescent="0.2">
      <c r="B710" t="str">
        <f>IF(A710="","",IF(A710="[FÓRMULA MANUAL]","",IFERROR(AVERAGEIFS(DATOS!$K$2:$K$20000,DATOS!$A$2:$A$20000,A710,DATOS!$G$2:$G$20000,CONFIG_METADATA!$B$4,DATOS!$I$2:$I$20000,"Lenguaje Musical"),"")))</f>
        <v/>
      </c>
      <c r="C710" t="str">
        <f>IF(A710="","",IF(A710="[FÓRMULA MANUAL]","",IFERROR(AVERAGEIFS(DATOS!$K$2:$K$20000,DATOS!$A$2:$A$20000,A710,DATOS!$G$2:$G$20000,CONFIG_METADATA!$B$4,DATOS!$I$2:$I$20000,"Orquesta/Banda/Conjunto"),"")))</f>
        <v/>
      </c>
      <c r="D710" t="str">
        <f>IF(A710="","",IF(A710="[FÓRMULA MANUAL]","",IFERROR(AVERAGEIFS(DATOS!$K$2:$K$20000,DATOS!$A$2:$A$20000,A710,DATOS!$G$2:$G$20000,CONFIG_METADATA!$B$4,DATOS!$I$2:$I$20000,"Conjunto"),"")))</f>
        <v/>
      </c>
      <c r="E710" t="str">
        <f>IF(A710="","",IF(A710="[FÓRMULA MANUAL]","",IFERROR(SUMPRODUCT((DATOS!$A$2:$A$20000=A710)*(DATOS!$G$2:$G$20000=CONFIG_METADATA!$B$4)*(COUNTIF(CONFIG_ASIGNATURAS!$B$7:$B$27,DATOS!$I$2:$I$20000)&gt;0)*(DATOS!$K$2:$K$20000))/SUMPRODUCT((DATOS!$A$2:$A$20000=A710)*(DATOS!$G$2:$G$20000=CONFIG_METADATA!$B$4)*(COUNTIF(CONFIG_ASIGNATURAS!$B$7:$B$27,DATOS!$I$2:$I$20000)&gt;0)*1),"")))</f>
        <v/>
      </c>
      <c r="H710" t="str">
        <f>IF(G710="","",IF(G710="[FÓRMULA MANUAL]","",IFERROR(AVERAGEIFS(DATOS!$K$2:$K$20000,DATOS!$A$2:$A$20000,G710,DATOS!$G$2:$G$20000,CONFIG_METADATA!$B$4,DATOS!$I$2:$I$20000,"Lenguaje Musical"),"")))</f>
        <v/>
      </c>
      <c r="I710" t="str">
        <f>IF(G710="","",IF(G710="[FÓRMULA MANUAL]","",IFERROR(AVERAGEIFS(DATOS!$K$2:$K$20000,DATOS!$A$2:$A$20000,G710,DATOS!$G$2:$G$20000,CONFIG_METADATA!$B$4,DATOS!$I$2:$I$20000,"Orquesta/Banda/Conjunto"),"")))</f>
        <v/>
      </c>
      <c r="J710" t="str">
        <f>IF(G710="","",IF(G710="[FÓRMULA MANUAL]","",IFERROR(AVERAGEIFS(DATOS!$K$2:$K$20000,DATOS!$A$2:$A$20000,G710,DATOS!$G$2:$G$20000,CONFIG_METADATA!$B$4,DATOS!$I$2:$I$20000,"Conjunto"),"")))</f>
        <v/>
      </c>
      <c r="K710" t="str">
        <f>IF(G710="","",IF(G710="[FÓRMULA MANUAL]","",IFERROR(SUMPRODUCT((DATOS!$A$2:$A$20000=G710)*(DATOS!$G$2:$G$20000=CONFIG_METADATA!$B$4)*(COUNTIF(CONFIG_ASIGNATURAS!$B$7:$B$27,DATOS!$I$2:$I$20000)&gt;0)*(DATOS!$K$2:$K$20000))/SUMPRODUCT((DATOS!$A$2:$A$20000=G710)*(DATOS!$G$2:$G$20000=CONFIG_METADATA!$B$4)*(COUNTIF(CONFIG_ASIGNATURAS!$B$7:$B$27,DATOS!$I$2:$I$20000)&gt;0)*1),"")))</f>
        <v/>
      </c>
      <c r="N710" t="str">
        <f>IF(M710="","",IF(M710="[FÓRMULA MANUAL]","",IFERROR(AVERAGEIFS(DATOS!$K$2:$K$20000,DATOS!$A$2:$A$20000,M710,DATOS!$G$2:$G$20000,CONFIG_METADATA!$B$4,DATOS!$I$2:$I$20000,"Armonía"),"")))</f>
        <v/>
      </c>
      <c r="O710" t="str">
        <f>IF(M710="","",IF(M710="[FÓRMULA MANUAL]","",IFERROR(AVERAGEIFS(DATOS!$K$2:$K$20000,DATOS!$A$2:$A$20000,M710,DATOS!$G$2:$G$20000,CONFIG_METADATA!$B$4,DATOS!$I$2:$I$20000,"Orquesta/Banda/Conjunto"),"")))</f>
        <v/>
      </c>
      <c r="P710" t="str">
        <f>IF(M710="","",IF(M710="[FÓRMULA MANUAL]","",IFERROR(AVERAGEIFS(DATOS!$K$2:$K$20000,DATOS!$A$2:$A$20000,M710,DATOS!$G$2:$G$20000,CONFIG_METADATA!$B$4,DATOS!$I$2:$I$20000,"Música de Cámara"),"")))</f>
        <v/>
      </c>
      <c r="Q710" t="str">
        <f>IF(M710="","",IF(M710="[FÓRMULA MANUAL]","",IFERROR(SUMPRODUCT((DATOS!$A$2:$A$20000=M710)*(DATOS!$G$2:$G$20000=CONFIG_METADATA!$B$4)*(COUNTIF(CONFIG_ASIGNATURAS!$B$7:$B$27,DATOS!$I$2:$I$20000)&gt;0)*(DATOS!$K$2:$K$20000))/SUMPRODUCT((DATOS!$A$2:$A$20000=M710)*(DATOS!$G$2:$G$20000=CONFIG_METADATA!$B$4)*(COUNTIF(CONFIG_ASIGNATURAS!$B$7:$B$27,DATOS!$I$2:$I$20000)&gt;0)*1),"")))</f>
        <v/>
      </c>
      <c r="T710" t="str">
        <f>IF(S710="","",IF(S710="[FÓRMULA MANUAL]","",IFERROR(AVERAGEIFS(DATOS!$K$2:$K$20000,DATOS!$A$2:$A$20000,S710,DATOS!$G$2:$G$20000,CONFIG_METADATA!$B$4,DATOS!$I$2:$I$20000,"Armonía"),"")))</f>
        <v/>
      </c>
      <c r="U710" t="str">
        <f>IF(S710="","",IF(S710="[FÓRMULA MANUAL]","",IFERROR(AVERAGEIFS(DATOS!$K$2:$K$20000,DATOS!$A$2:$A$20000,S710,DATOS!$G$2:$G$20000,CONFIG_METADATA!$B$4,DATOS!$I$2:$I$20000,"Orquesta/Banda/Conjunto"),"")))</f>
        <v/>
      </c>
      <c r="V710" t="str">
        <f>IF(S710="","",IF(S710="[FÓRMULA MANUAL]","",IFERROR(AVERAGEIFS(DATOS!$K$2:$K$20000,DATOS!$A$2:$A$20000,S710,DATOS!$G$2:$G$20000,CONFIG_METADATA!$B$4,DATOS!$I$2:$I$20000,"Música de Cámara"),"")))</f>
        <v/>
      </c>
      <c r="W710" t="str">
        <f>IF(S710="","",IF(S710="[FÓRMULA MANUAL]","",IFERROR(SUMPRODUCT((DATOS!$A$2:$A$20000=S710)*(DATOS!$G$2:$G$20000=CONFIG_METADATA!$B$4)*(COUNTIF(CONFIG_ASIGNATURAS!$B$7:$B$27,DATOS!$I$2:$I$20000)&gt;0)*(DATOS!$K$2:$K$20000))/SUMPRODUCT((DATOS!$A$2:$A$20000=S710)*(DATOS!$G$2:$G$20000=CONFIG_METADATA!$B$4)*(COUNTIF(CONFIG_ASIGNATURAS!$B$7:$B$27,DATOS!$I$2:$I$20000)&gt;0)*1),"")))</f>
        <v/>
      </c>
      <c r="Z710" t="str">
        <f>IF(Y710="","",IF(Y710="[FÓRMULA MANUAL]","",IFERROR(AVERAGEIFS(DATOS!$K$2:$K$20000,DATOS!$A$2:$A$20000,Y710,DATOS!$G$2:$G$20000,CONFIG_METADATA!$B$4,DATOS!$I$2:$I$20000,"Análisis"),"")))</f>
        <v/>
      </c>
      <c r="AA710" t="str">
        <f>IF(Y710="","",IF(Y710="[FÓRMULA MANUAL]","",IFERROR(AVERAGEIFS(DATOS!$K$2:$K$20000,DATOS!$A$2:$A$20000,Y710,DATOS!$G$2:$G$20000,CONFIG_METADATA!$B$4,DATOS!$I$2:$I$20000,"Orquesta/Banda/Conjunto"),"")))</f>
        <v/>
      </c>
      <c r="AB710" t="str">
        <f>IF(Y710="","",IF(Y710="[FÓRMULA MANUAL]","",IFERROR(AVERAGEIFS(DATOS!$K$2:$K$20000,DATOS!$A$2:$A$20000,Y710,DATOS!$G$2:$G$20000,CONFIG_METADATA!$B$4,DATOS!$I$2:$I$20000,"Música de Cámara"),"")))</f>
        <v/>
      </c>
      <c r="AC710" t="str">
        <f>IF(Y710="","",IF(Y710="[FÓRMULA MANUAL]","",IFERROR(SUMPRODUCT((DATOS!$A$2:$A$20000=Y710)*(DATOS!$G$2:$G$20000=CONFIG_METADATA!$B$4)*(COUNTIF(CONFIG_ASIGNATURAS!$B$7:$B$27,DATOS!$I$2:$I$20000)&gt;0)*(DATOS!$K$2:$K$20000))/SUMPRODUCT((DATOS!$A$2:$A$20000=Y710)*(DATOS!$G$2:$G$20000=CONFIG_METADATA!$B$4)*(COUNTIF(CONFIG_ASIGNATURAS!$B$7:$B$27,DATOS!$I$2:$I$20000)&gt;0)*1),"")))</f>
        <v/>
      </c>
      <c r="AF710" t="str">
        <f>IF(AE710="","",IF(AE710="[FÓRMULA MANUAL]","",IFERROR(AVERAGEIFS(DATOS!$K$2:$K$20000,DATOS!$A$2:$A$20000,AE710,DATOS!$G$2:$G$20000,CONFIG_METADATA!$B$4,DATOS!$I$2:$I$20000,"Análisis"),"")))</f>
        <v/>
      </c>
      <c r="AG710" t="str">
        <f>IF(AE710="","",IF(AE710="[FÓRMULA MANUAL]","",IFERROR(AVERAGEIFS(DATOS!$K$2:$K$20000,DATOS!$A$2:$A$20000,AE710,DATOS!$G$2:$G$20000,CONFIG_METADATA!$B$4,DATOS!$I$2:$I$20000,"Orquesta/Banda/Conjunto"),"")))</f>
        <v/>
      </c>
      <c r="AH710" t="str">
        <f>IF(AE710="","",IF(AE710="[FÓRMULA MANUAL]","",IFERROR(AVERAGEIFS(DATOS!$K$2:$K$20000,DATOS!$A$2:$A$20000,AE710,DATOS!$G$2:$G$20000,CONFIG_METADATA!$B$4,DATOS!$I$2:$I$20000,"Música de Cámara"),"")))</f>
        <v/>
      </c>
      <c r="AI710" t="str">
        <f>IF(AE710="","",IF(AE710="[FÓRMULA MANUAL]","",IFERROR(SUMPRODUCT((DATOS!$A$2:$A$20000=AE710)*(DATOS!$G$2:$G$20000=CONFIG_METADATA!$B$4)*(COUNTIF(CONFIG_ASIGNATURAS!$B$7:$B$27,DATOS!$I$2:$I$20000)&gt;0)*(DATOS!$K$2:$K$20000))/SUMPRODUCT((DATOS!$A$2:$A$20000=AE710)*(DATOS!$G$2:$G$20000=CONFIG_METADATA!$B$4)*(COUNTIF(CONFIG_ASIGNATURAS!$B$7:$B$27,DATOS!$I$2:$I$20000)&gt;0)*1),"")))</f>
        <v/>
      </c>
    </row>
    <row r="711" spans="2:35" x14ac:dyDescent="0.2">
      <c r="B711" t="str">
        <f>IF(A711="","",IF(A711="[FÓRMULA MANUAL]","",IFERROR(AVERAGEIFS(DATOS!$K$2:$K$20000,DATOS!$A$2:$A$20000,A711,DATOS!$G$2:$G$20000,CONFIG_METADATA!$B$4,DATOS!$I$2:$I$20000,"Lenguaje Musical"),"")))</f>
        <v/>
      </c>
      <c r="C711" t="str">
        <f>IF(A711="","",IF(A711="[FÓRMULA MANUAL]","",IFERROR(AVERAGEIFS(DATOS!$K$2:$K$20000,DATOS!$A$2:$A$20000,A711,DATOS!$G$2:$G$20000,CONFIG_METADATA!$B$4,DATOS!$I$2:$I$20000,"Orquesta/Banda/Conjunto"),"")))</f>
        <v/>
      </c>
      <c r="D711" t="str">
        <f>IF(A711="","",IF(A711="[FÓRMULA MANUAL]","",IFERROR(AVERAGEIFS(DATOS!$K$2:$K$20000,DATOS!$A$2:$A$20000,A711,DATOS!$G$2:$G$20000,CONFIG_METADATA!$B$4,DATOS!$I$2:$I$20000,"Conjunto"),"")))</f>
        <v/>
      </c>
      <c r="E711" t="str">
        <f>IF(A711="","",IF(A711="[FÓRMULA MANUAL]","",IFERROR(SUMPRODUCT((DATOS!$A$2:$A$20000=A711)*(DATOS!$G$2:$G$20000=CONFIG_METADATA!$B$4)*(COUNTIF(CONFIG_ASIGNATURAS!$B$7:$B$27,DATOS!$I$2:$I$20000)&gt;0)*(DATOS!$K$2:$K$20000))/SUMPRODUCT((DATOS!$A$2:$A$20000=A711)*(DATOS!$G$2:$G$20000=CONFIG_METADATA!$B$4)*(COUNTIF(CONFIG_ASIGNATURAS!$B$7:$B$27,DATOS!$I$2:$I$20000)&gt;0)*1),"")))</f>
        <v/>
      </c>
      <c r="H711" t="str">
        <f>IF(G711="","",IF(G711="[FÓRMULA MANUAL]","",IFERROR(AVERAGEIFS(DATOS!$K$2:$K$20000,DATOS!$A$2:$A$20000,G711,DATOS!$G$2:$G$20000,CONFIG_METADATA!$B$4,DATOS!$I$2:$I$20000,"Lenguaje Musical"),"")))</f>
        <v/>
      </c>
      <c r="I711" t="str">
        <f>IF(G711="","",IF(G711="[FÓRMULA MANUAL]","",IFERROR(AVERAGEIFS(DATOS!$K$2:$K$20000,DATOS!$A$2:$A$20000,G711,DATOS!$G$2:$G$20000,CONFIG_METADATA!$B$4,DATOS!$I$2:$I$20000,"Orquesta/Banda/Conjunto"),"")))</f>
        <v/>
      </c>
      <c r="J711" t="str">
        <f>IF(G711="","",IF(G711="[FÓRMULA MANUAL]","",IFERROR(AVERAGEIFS(DATOS!$K$2:$K$20000,DATOS!$A$2:$A$20000,G711,DATOS!$G$2:$G$20000,CONFIG_METADATA!$B$4,DATOS!$I$2:$I$20000,"Conjunto"),"")))</f>
        <v/>
      </c>
      <c r="K711" t="str">
        <f>IF(G711="","",IF(G711="[FÓRMULA MANUAL]","",IFERROR(SUMPRODUCT((DATOS!$A$2:$A$20000=G711)*(DATOS!$G$2:$G$20000=CONFIG_METADATA!$B$4)*(COUNTIF(CONFIG_ASIGNATURAS!$B$7:$B$27,DATOS!$I$2:$I$20000)&gt;0)*(DATOS!$K$2:$K$20000))/SUMPRODUCT((DATOS!$A$2:$A$20000=G711)*(DATOS!$G$2:$G$20000=CONFIG_METADATA!$B$4)*(COUNTIF(CONFIG_ASIGNATURAS!$B$7:$B$27,DATOS!$I$2:$I$20000)&gt;0)*1),"")))</f>
        <v/>
      </c>
      <c r="N711" t="str">
        <f>IF(M711="","",IF(M711="[FÓRMULA MANUAL]","",IFERROR(AVERAGEIFS(DATOS!$K$2:$K$20000,DATOS!$A$2:$A$20000,M711,DATOS!$G$2:$G$20000,CONFIG_METADATA!$B$4,DATOS!$I$2:$I$20000,"Armonía"),"")))</f>
        <v/>
      </c>
      <c r="O711" t="str">
        <f>IF(M711="","",IF(M711="[FÓRMULA MANUAL]","",IFERROR(AVERAGEIFS(DATOS!$K$2:$K$20000,DATOS!$A$2:$A$20000,M711,DATOS!$G$2:$G$20000,CONFIG_METADATA!$B$4,DATOS!$I$2:$I$20000,"Orquesta/Banda/Conjunto"),"")))</f>
        <v/>
      </c>
      <c r="P711" t="str">
        <f>IF(M711="","",IF(M711="[FÓRMULA MANUAL]","",IFERROR(AVERAGEIFS(DATOS!$K$2:$K$20000,DATOS!$A$2:$A$20000,M711,DATOS!$G$2:$G$20000,CONFIG_METADATA!$B$4,DATOS!$I$2:$I$20000,"Música de Cámara"),"")))</f>
        <v/>
      </c>
      <c r="Q711" t="str">
        <f>IF(M711="","",IF(M711="[FÓRMULA MANUAL]","",IFERROR(SUMPRODUCT((DATOS!$A$2:$A$20000=M711)*(DATOS!$G$2:$G$20000=CONFIG_METADATA!$B$4)*(COUNTIF(CONFIG_ASIGNATURAS!$B$7:$B$27,DATOS!$I$2:$I$20000)&gt;0)*(DATOS!$K$2:$K$20000))/SUMPRODUCT((DATOS!$A$2:$A$20000=M711)*(DATOS!$G$2:$G$20000=CONFIG_METADATA!$B$4)*(COUNTIF(CONFIG_ASIGNATURAS!$B$7:$B$27,DATOS!$I$2:$I$20000)&gt;0)*1),"")))</f>
        <v/>
      </c>
      <c r="T711" t="str">
        <f>IF(S711="","",IF(S711="[FÓRMULA MANUAL]","",IFERROR(AVERAGEIFS(DATOS!$K$2:$K$20000,DATOS!$A$2:$A$20000,S711,DATOS!$G$2:$G$20000,CONFIG_METADATA!$B$4,DATOS!$I$2:$I$20000,"Armonía"),"")))</f>
        <v/>
      </c>
      <c r="U711" t="str">
        <f>IF(S711="","",IF(S711="[FÓRMULA MANUAL]","",IFERROR(AVERAGEIFS(DATOS!$K$2:$K$20000,DATOS!$A$2:$A$20000,S711,DATOS!$G$2:$G$20000,CONFIG_METADATA!$B$4,DATOS!$I$2:$I$20000,"Orquesta/Banda/Conjunto"),"")))</f>
        <v/>
      </c>
      <c r="V711" t="str">
        <f>IF(S711="","",IF(S711="[FÓRMULA MANUAL]","",IFERROR(AVERAGEIFS(DATOS!$K$2:$K$20000,DATOS!$A$2:$A$20000,S711,DATOS!$G$2:$G$20000,CONFIG_METADATA!$B$4,DATOS!$I$2:$I$20000,"Música de Cámara"),"")))</f>
        <v/>
      </c>
      <c r="W711" t="str">
        <f>IF(S711="","",IF(S711="[FÓRMULA MANUAL]","",IFERROR(SUMPRODUCT((DATOS!$A$2:$A$20000=S711)*(DATOS!$G$2:$G$20000=CONFIG_METADATA!$B$4)*(COUNTIF(CONFIG_ASIGNATURAS!$B$7:$B$27,DATOS!$I$2:$I$20000)&gt;0)*(DATOS!$K$2:$K$20000))/SUMPRODUCT((DATOS!$A$2:$A$20000=S711)*(DATOS!$G$2:$G$20000=CONFIG_METADATA!$B$4)*(COUNTIF(CONFIG_ASIGNATURAS!$B$7:$B$27,DATOS!$I$2:$I$20000)&gt;0)*1),"")))</f>
        <v/>
      </c>
      <c r="Z711" t="str">
        <f>IF(Y711="","",IF(Y711="[FÓRMULA MANUAL]","",IFERROR(AVERAGEIFS(DATOS!$K$2:$K$20000,DATOS!$A$2:$A$20000,Y711,DATOS!$G$2:$G$20000,CONFIG_METADATA!$B$4,DATOS!$I$2:$I$20000,"Análisis"),"")))</f>
        <v/>
      </c>
      <c r="AA711" t="str">
        <f>IF(Y711="","",IF(Y711="[FÓRMULA MANUAL]","",IFERROR(AVERAGEIFS(DATOS!$K$2:$K$20000,DATOS!$A$2:$A$20000,Y711,DATOS!$G$2:$G$20000,CONFIG_METADATA!$B$4,DATOS!$I$2:$I$20000,"Orquesta/Banda/Conjunto"),"")))</f>
        <v/>
      </c>
      <c r="AB711" t="str">
        <f>IF(Y711="","",IF(Y711="[FÓRMULA MANUAL]","",IFERROR(AVERAGEIFS(DATOS!$K$2:$K$20000,DATOS!$A$2:$A$20000,Y711,DATOS!$G$2:$G$20000,CONFIG_METADATA!$B$4,DATOS!$I$2:$I$20000,"Música de Cámara"),"")))</f>
        <v/>
      </c>
      <c r="AC711" t="str">
        <f>IF(Y711="","",IF(Y711="[FÓRMULA MANUAL]","",IFERROR(SUMPRODUCT((DATOS!$A$2:$A$20000=Y711)*(DATOS!$G$2:$G$20000=CONFIG_METADATA!$B$4)*(COUNTIF(CONFIG_ASIGNATURAS!$B$7:$B$27,DATOS!$I$2:$I$20000)&gt;0)*(DATOS!$K$2:$K$20000))/SUMPRODUCT((DATOS!$A$2:$A$20000=Y711)*(DATOS!$G$2:$G$20000=CONFIG_METADATA!$B$4)*(COUNTIF(CONFIG_ASIGNATURAS!$B$7:$B$27,DATOS!$I$2:$I$20000)&gt;0)*1),"")))</f>
        <v/>
      </c>
      <c r="AF711" t="str">
        <f>IF(AE711="","",IF(AE711="[FÓRMULA MANUAL]","",IFERROR(AVERAGEIFS(DATOS!$K$2:$K$20000,DATOS!$A$2:$A$20000,AE711,DATOS!$G$2:$G$20000,CONFIG_METADATA!$B$4,DATOS!$I$2:$I$20000,"Análisis"),"")))</f>
        <v/>
      </c>
      <c r="AG711" t="str">
        <f>IF(AE711="","",IF(AE711="[FÓRMULA MANUAL]","",IFERROR(AVERAGEIFS(DATOS!$K$2:$K$20000,DATOS!$A$2:$A$20000,AE711,DATOS!$G$2:$G$20000,CONFIG_METADATA!$B$4,DATOS!$I$2:$I$20000,"Orquesta/Banda/Conjunto"),"")))</f>
        <v/>
      </c>
      <c r="AH711" t="str">
        <f>IF(AE711="","",IF(AE711="[FÓRMULA MANUAL]","",IFERROR(AVERAGEIFS(DATOS!$K$2:$K$20000,DATOS!$A$2:$A$20000,AE711,DATOS!$G$2:$G$20000,CONFIG_METADATA!$B$4,DATOS!$I$2:$I$20000,"Música de Cámara"),"")))</f>
        <v/>
      </c>
      <c r="AI711" t="str">
        <f>IF(AE711="","",IF(AE711="[FÓRMULA MANUAL]","",IFERROR(SUMPRODUCT((DATOS!$A$2:$A$20000=AE711)*(DATOS!$G$2:$G$20000=CONFIG_METADATA!$B$4)*(COUNTIF(CONFIG_ASIGNATURAS!$B$7:$B$27,DATOS!$I$2:$I$20000)&gt;0)*(DATOS!$K$2:$K$20000))/SUMPRODUCT((DATOS!$A$2:$A$20000=AE711)*(DATOS!$G$2:$G$20000=CONFIG_METADATA!$B$4)*(COUNTIF(CONFIG_ASIGNATURAS!$B$7:$B$27,DATOS!$I$2:$I$20000)&gt;0)*1),"")))</f>
        <v/>
      </c>
    </row>
    <row r="712" spans="2:35" x14ac:dyDescent="0.2">
      <c r="B712" t="str">
        <f>IF(A712="","",IF(A712="[FÓRMULA MANUAL]","",IFERROR(AVERAGEIFS(DATOS!$K$2:$K$20000,DATOS!$A$2:$A$20000,A712,DATOS!$G$2:$G$20000,CONFIG_METADATA!$B$4,DATOS!$I$2:$I$20000,"Lenguaje Musical"),"")))</f>
        <v/>
      </c>
      <c r="C712" t="str">
        <f>IF(A712="","",IF(A712="[FÓRMULA MANUAL]","",IFERROR(AVERAGEIFS(DATOS!$K$2:$K$20000,DATOS!$A$2:$A$20000,A712,DATOS!$G$2:$G$20000,CONFIG_METADATA!$B$4,DATOS!$I$2:$I$20000,"Orquesta/Banda/Conjunto"),"")))</f>
        <v/>
      </c>
      <c r="D712" t="str">
        <f>IF(A712="","",IF(A712="[FÓRMULA MANUAL]","",IFERROR(AVERAGEIFS(DATOS!$K$2:$K$20000,DATOS!$A$2:$A$20000,A712,DATOS!$G$2:$G$20000,CONFIG_METADATA!$B$4,DATOS!$I$2:$I$20000,"Conjunto"),"")))</f>
        <v/>
      </c>
      <c r="E712" t="str">
        <f>IF(A712="","",IF(A712="[FÓRMULA MANUAL]","",IFERROR(SUMPRODUCT((DATOS!$A$2:$A$20000=A712)*(DATOS!$G$2:$G$20000=CONFIG_METADATA!$B$4)*(COUNTIF(CONFIG_ASIGNATURAS!$B$7:$B$27,DATOS!$I$2:$I$20000)&gt;0)*(DATOS!$K$2:$K$20000))/SUMPRODUCT((DATOS!$A$2:$A$20000=A712)*(DATOS!$G$2:$G$20000=CONFIG_METADATA!$B$4)*(COUNTIF(CONFIG_ASIGNATURAS!$B$7:$B$27,DATOS!$I$2:$I$20000)&gt;0)*1),"")))</f>
        <v/>
      </c>
      <c r="H712" t="str">
        <f>IF(G712="","",IF(G712="[FÓRMULA MANUAL]","",IFERROR(AVERAGEIFS(DATOS!$K$2:$K$20000,DATOS!$A$2:$A$20000,G712,DATOS!$G$2:$G$20000,CONFIG_METADATA!$B$4,DATOS!$I$2:$I$20000,"Lenguaje Musical"),"")))</f>
        <v/>
      </c>
      <c r="I712" t="str">
        <f>IF(G712="","",IF(G712="[FÓRMULA MANUAL]","",IFERROR(AVERAGEIFS(DATOS!$K$2:$K$20000,DATOS!$A$2:$A$20000,G712,DATOS!$G$2:$G$20000,CONFIG_METADATA!$B$4,DATOS!$I$2:$I$20000,"Orquesta/Banda/Conjunto"),"")))</f>
        <v/>
      </c>
      <c r="J712" t="str">
        <f>IF(G712="","",IF(G712="[FÓRMULA MANUAL]","",IFERROR(AVERAGEIFS(DATOS!$K$2:$K$20000,DATOS!$A$2:$A$20000,G712,DATOS!$G$2:$G$20000,CONFIG_METADATA!$B$4,DATOS!$I$2:$I$20000,"Conjunto"),"")))</f>
        <v/>
      </c>
      <c r="K712" t="str">
        <f>IF(G712="","",IF(G712="[FÓRMULA MANUAL]","",IFERROR(SUMPRODUCT((DATOS!$A$2:$A$20000=G712)*(DATOS!$G$2:$G$20000=CONFIG_METADATA!$B$4)*(COUNTIF(CONFIG_ASIGNATURAS!$B$7:$B$27,DATOS!$I$2:$I$20000)&gt;0)*(DATOS!$K$2:$K$20000))/SUMPRODUCT((DATOS!$A$2:$A$20000=G712)*(DATOS!$G$2:$G$20000=CONFIG_METADATA!$B$4)*(COUNTIF(CONFIG_ASIGNATURAS!$B$7:$B$27,DATOS!$I$2:$I$20000)&gt;0)*1),"")))</f>
        <v/>
      </c>
      <c r="N712" t="str">
        <f>IF(M712="","",IF(M712="[FÓRMULA MANUAL]","",IFERROR(AVERAGEIFS(DATOS!$K$2:$K$20000,DATOS!$A$2:$A$20000,M712,DATOS!$G$2:$G$20000,CONFIG_METADATA!$B$4,DATOS!$I$2:$I$20000,"Armonía"),"")))</f>
        <v/>
      </c>
      <c r="O712" t="str">
        <f>IF(M712="","",IF(M712="[FÓRMULA MANUAL]","",IFERROR(AVERAGEIFS(DATOS!$K$2:$K$20000,DATOS!$A$2:$A$20000,M712,DATOS!$G$2:$G$20000,CONFIG_METADATA!$B$4,DATOS!$I$2:$I$20000,"Orquesta/Banda/Conjunto"),"")))</f>
        <v/>
      </c>
      <c r="P712" t="str">
        <f>IF(M712="","",IF(M712="[FÓRMULA MANUAL]","",IFERROR(AVERAGEIFS(DATOS!$K$2:$K$20000,DATOS!$A$2:$A$20000,M712,DATOS!$G$2:$G$20000,CONFIG_METADATA!$B$4,DATOS!$I$2:$I$20000,"Música de Cámara"),"")))</f>
        <v/>
      </c>
      <c r="Q712" t="str">
        <f>IF(M712="","",IF(M712="[FÓRMULA MANUAL]","",IFERROR(SUMPRODUCT((DATOS!$A$2:$A$20000=M712)*(DATOS!$G$2:$G$20000=CONFIG_METADATA!$B$4)*(COUNTIF(CONFIG_ASIGNATURAS!$B$7:$B$27,DATOS!$I$2:$I$20000)&gt;0)*(DATOS!$K$2:$K$20000))/SUMPRODUCT((DATOS!$A$2:$A$20000=M712)*(DATOS!$G$2:$G$20000=CONFIG_METADATA!$B$4)*(COUNTIF(CONFIG_ASIGNATURAS!$B$7:$B$27,DATOS!$I$2:$I$20000)&gt;0)*1),"")))</f>
        <v/>
      </c>
      <c r="T712" t="str">
        <f>IF(S712="","",IF(S712="[FÓRMULA MANUAL]","",IFERROR(AVERAGEIFS(DATOS!$K$2:$K$20000,DATOS!$A$2:$A$20000,S712,DATOS!$G$2:$G$20000,CONFIG_METADATA!$B$4,DATOS!$I$2:$I$20000,"Armonía"),"")))</f>
        <v/>
      </c>
      <c r="U712" t="str">
        <f>IF(S712="","",IF(S712="[FÓRMULA MANUAL]","",IFERROR(AVERAGEIFS(DATOS!$K$2:$K$20000,DATOS!$A$2:$A$20000,S712,DATOS!$G$2:$G$20000,CONFIG_METADATA!$B$4,DATOS!$I$2:$I$20000,"Orquesta/Banda/Conjunto"),"")))</f>
        <v/>
      </c>
      <c r="V712" t="str">
        <f>IF(S712="","",IF(S712="[FÓRMULA MANUAL]","",IFERROR(AVERAGEIFS(DATOS!$K$2:$K$20000,DATOS!$A$2:$A$20000,S712,DATOS!$G$2:$G$20000,CONFIG_METADATA!$B$4,DATOS!$I$2:$I$20000,"Música de Cámara"),"")))</f>
        <v/>
      </c>
      <c r="W712" t="str">
        <f>IF(S712="","",IF(S712="[FÓRMULA MANUAL]","",IFERROR(SUMPRODUCT((DATOS!$A$2:$A$20000=S712)*(DATOS!$G$2:$G$20000=CONFIG_METADATA!$B$4)*(COUNTIF(CONFIG_ASIGNATURAS!$B$7:$B$27,DATOS!$I$2:$I$20000)&gt;0)*(DATOS!$K$2:$K$20000))/SUMPRODUCT((DATOS!$A$2:$A$20000=S712)*(DATOS!$G$2:$G$20000=CONFIG_METADATA!$B$4)*(COUNTIF(CONFIG_ASIGNATURAS!$B$7:$B$27,DATOS!$I$2:$I$20000)&gt;0)*1),"")))</f>
        <v/>
      </c>
      <c r="Z712" t="str">
        <f>IF(Y712="","",IF(Y712="[FÓRMULA MANUAL]","",IFERROR(AVERAGEIFS(DATOS!$K$2:$K$20000,DATOS!$A$2:$A$20000,Y712,DATOS!$G$2:$G$20000,CONFIG_METADATA!$B$4,DATOS!$I$2:$I$20000,"Análisis"),"")))</f>
        <v/>
      </c>
      <c r="AA712" t="str">
        <f>IF(Y712="","",IF(Y712="[FÓRMULA MANUAL]","",IFERROR(AVERAGEIFS(DATOS!$K$2:$K$20000,DATOS!$A$2:$A$20000,Y712,DATOS!$G$2:$G$20000,CONFIG_METADATA!$B$4,DATOS!$I$2:$I$20000,"Orquesta/Banda/Conjunto"),"")))</f>
        <v/>
      </c>
      <c r="AB712" t="str">
        <f>IF(Y712="","",IF(Y712="[FÓRMULA MANUAL]","",IFERROR(AVERAGEIFS(DATOS!$K$2:$K$20000,DATOS!$A$2:$A$20000,Y712,DATOS!$G$2:$G$20000,CONFIG_METADATA!$B$4,DATOS!$I$2:$I$20000,"Música de Cámara"),"")))</f>
        <v/>
      </c>
      <c r="AC712" t="str">
        <f>IF(Y712="","",IF(Y712="[FÓRMULA MANUAL]","",IFERROR(SUMPRODUCT((DATOS!$A$2:$A$20000=Y712)*(DATOS!$G$2:$G$20000=CONFIG_METADATA!$B$4)*(COUNTIF(CONFIG_ASIGNATURAS!$B$7:$B$27,DATOS!$I$2:$I$20000)&gt;0)*(DATOS!$K$2:$K$20000))/SUMPRODUCT((DATOS!$A$2:$A$20000=Y712)*(DATOS!$G$2:$G$20000=CONFIG_METADATA!$B$4)*(COUNTIF(CONFIG_ASIGNATURAS!$B$7:$B$27,DATOS!$I$2:$I$20000)&gt;0)*1),"")))</f>
        <v/>
      </c>
      <c r="AF712" t="str">
        <f>IF(AE712="","",IF(AE712="[FÓRMULA MANUAL]","",IFERROR(AVERAGEIFS(DATOS!$K$2:$K$20000,DATOS!$A$2:$A$20000,AE712,DATOS!$G$2:$G$20000,CONFIG_METADATA!$B$4,DATOS!$I$2:$I$20000,"Análisis"),"")))</f>
        <v/>
      </c>
      <c r="AG712" t="str">
        <f>IF(AE712="","",IF(AE712="[FÓRMULA MANUAL]","",IFERROR(AVERAGEIFS(DATOS!$K$2:$K$20000,DATOS!$A$2:$A$20000,AE712,DATOS!$G$2:$G$20000,CONFIG_METADATA!$B$4,DATOS!$I$2:$I$20000,"Orquesta/Banda/Conjunto"),"")))</f>
        <v/>
      </c>
      <c r="AH712" t="str">
        <f>IF(AE712="","",IF(AE712="[FÓRMULA MANUAL]","",IFERROR(AVERAGEIFS(DATOS!$K$2:$K$20000,DATOS!$A$2:$A$20000,AE712,DATOS!$G$2:$G$20000,CONFIG_METADATA!$B$4,DATOS!$I$2:$I$20000,"Música de Cámara"),"")))</f>
        <v/>
      </c>
      <c r="AI712" t="str">
        <f>IF(AE712="","",IF(AE712="[FÓRMULA MANUAL]","",IFERROR(SUMPRODUCT((DATOS!$A$2:$A$20000=AE712)*(DATOS!$G$2:$G$20000=CONFIG_METADATA!$B$4)*(COUNTIF(CONFIG_ASIGNATURAS!$B$7:$B$27,DATOS!$I$2:$I$20000)&gt;0)*(DATOS!$K$2:$K$20000))/SUMPRODUCT((DATOS!$A$2:$A$20000=AE712)*(DATOS!$G$2:$G$20000=CONFIG_METADATA!$B$4)*(COUNTIF(CONFIG_ASIGNATURAS!$B$7:$B$27,DATOS!$I$2:$I$20000)&gt;0)*1),"")))</f>
        <v/>
      </c>
    </row>
    <row r="713" spans="2:35" x14ac:dyDescent="0.2">
      <c r="B713" t="str">
        <f>IF(A713="","",IF(A713="[FÓRMULA MANUAL]","",IFERROR(AVERAGEIFS(DATOS!$K$2:$K$20000,DATOS!$A$2:$A$20000,A713,DATOS!$G$2:$G$20000,CONFIG_METADATA!$B$4,DATOS!$I$2:$I$20000,"Lenguaje Musical"),"")))</f>
        <v/>
      </c>
      <c r="C713" t="str">
        <f>IF(A713="","",IF(A713="[FÓRMULA MANUAL]","",IFERROR(AVERAGEIFS(DATOS!$K$2:$K$20000,DATOS!$A$2:$A$20000,A713,DATOS!$G$2:$G$20000,CONFIG_METADATA!$B$4,DATOS!$I$2:$I$20000,"Orquesta/Banda/Conjunto"),"")))</f>
        <v/>
      </c>
      <c r="D713" t="str">
        <f>IF(A713="","",IF(A713="[FÓRMULA MANUAL]","",IFERROR(AVERAGEIFS(DATOS!$K$2:$K$20000,DATOS!$A$2:$A$20000,A713,DATOS!$G$2:$G$20000,CONFIG_METADATA!$B$4,DATOS!$I$2:$I$20000,"Conjunto"),"")))</f>
        <v/>
      </c>
      <c r="E713" t="str">
        <f>IF(A713="","",IF(A713="[FÓRMULA MANUAL]","",IFERROR(SUMPRODUCT((DATOS!$A$2:$A$20000=A713)*(DATOS!$G$2:$G$20000=CONFIG_METADATA!$B$4)*(COUNTIF(CONFIG_ASIGNATURAS!$B$7:$B$27,DATOS!$I$2:$I$20000)&gt;0)*(DATOS!$K$2:$K$20000))/SUMPRODUCT((DATOS!$A$2:$A$20000=A713)*(DATOS!$G$2:$G$20000=CONFIG_METADATA!$B$4)*(COUNTIF(CONFIG_ASIGNATURAS!$B$7:$B$27,DATOS!$I$2:$I$20000)&gt;0)*1),"")))</f>
        <v/>
      </c>
      <c r="H713" t="str">
        <f>IF(G713="","",IF(G713="[FÓRMULA MANUAL]","",IFERROR(AVERAGEIFS(DATOS!$K$2:$K$20000,DATOS!$A$2:$A$20000,G713,DATOS!$G$2:$G$20000,CONFIG_METADATA!$B$4,DATOS!$I$2:$I$20000,"Lenguaje Musical"),"")))</f>
        <v/>
      </c>
      <c r="I713" t="str">
        <f>IF(G713="","",IF(G713="[FÓRMULA MANUAL]","",IFERROR(AVERAGEIFS(DATOS!$K$2:$K$20000,DATOS!$A$2:$A$20000,G713,DATOS!$G$2:$G$20000,CONFIG_METADATA!$B$4,DATOS!$I$2:$I$20000,"Orquesta/Banda/Conjunto"),"")))</f>
        <v/>
      </c>
      <c r="J713" t="str">
        <f>IF(G713="","",IF(G713="[FÓRMULA MANUAL]","",IFERROR(AVERAGEIFS(DATOS!$K$2:$K$20000,DATOS!$A$2:$A$20000,G713,DATOS!$G$2:$G$20000,CONFIG_METADATA!$B$4,DATOS!$I$2:$I$20000,"Conjunto"),"")))</f>
        <v/>
      </c>
      <c r="K713" t="str">
        <f>IF(G713="","",IF(G713="[FÓRMULA MANUAL]","",IFERROR(SUMPRODUCT((DATOS!$A$2:$A$20000=G713)*(DATOS!$G$2:$G$20000=CONFIG_METADATA!$B$4)*(COUNTIF(CONFIG_ASIGNATURAS!$B$7:$B$27,DATOS!$I$2:$I$20000)&gt;0)*(DATOS!$K$2:$K$20000))/SUMPRODUCT((DATOS!$A$2:$A$20000=G713)*(DATOS!$G$2:$G$20000=CONFIG_METADATA!$B$4)*(COUNTIF(CONFIG_ASIGNATURAS!$B$7:$B$27,DATOS!$I$2:$I$20000)&gt;0)*1),"")))</f>
        <v/>
      </c>
      <c r="N713" t="str">
        <f>IF(M713="","",IF(M713="[FÓRMULA MANUAL]","",IFERROR(AVERAGEIFS(DATOS!$K$2:$K$20000,DATOS!$A$2:$A$20000,M713,DATOS!$G$2:$G$20000,CONFIG_METADATA!$B$4,DATOS!$I$2:$I$20000,"Armonía"),"")))</f>
        <v/>
      </c>
      <c r="O713" t="str">
        <f>IF(M713="","",IF(M713="[FÓRMULA MANUAL]","",IFERROR(AVERAGEIFS(DATOS!$K$2:$K$20000,DATOS!$A$2:$A$20000,M713,DATOS!$G$2:$G$20000,CONFIG_METADATA!$B$4,DATOS!$I$2:$I$20000,"Orquesta/Banda/Conjunto"),"")))</f>
        <v/>
      </c>
      <c r="P713" t="str">
        <f>IF(M713="","",IF(M713="[FÓRMULA MANUAL]","",IFERROR(AVERAGEIFS(DATOS!$K$2:$K$20000,DATOS!$A$2:$A$20000,M713,DATOS!$G$2:$G$20000,CONFIG_METADATA!$B$4,DATOS!$I$2:$I$20000,"Música de Cámara"),"")))</f>
        <v/>
      </c>
      <c r="Q713" t="str">
        <f>IF(M713="","",IF(M713="[FÓRMULA MANUAL]","",IFERROR(SUMPRODUCT((DATOS!$A$2:$A$20000=M713)*(DATOS!$G$2:$G$20000=CONFIG_METADATA!$B$4)*(COUNTIF(CONFIG_ASIGNATURAS!$B$7:$B$27,DATOS!$I$2:$I$20000)&gt;0)*(DATOS!$K$2:$K$20000))/SUMPRODUCT((DATOS!$A$2:$A$20000=M713)*(DATOS!$G$2:$G$20000=CONFIG_METADATA!$B$4)*(COUNTIF(CONFIG_ASIGNATURAS!$B$7:$B$27,DATOS!$I$2:$I$20000)&gt;0)*1),"")))</f>
        <v/>
      </c>
      <c r="T713" t="str">
        <f>IF(S713="","",IF(S713="[FÓRMULA MANUAL]","",IFERROR(AVERAGEIFS(DATOS!$K$2:$K$20000,DATOS!$A$2:$A$20000,S713,DATOS!$G$2:$G$20000,CONFIG_METADATA!$B$4,DATOS!$I$2:$I$20000,"Armonía"),"")))</f>
        <v/>
      </c>
      <c r="U713" t="str">
        <f>IF(S713="","",IF(S713="[FÓRMULA MANUAL]","",IFERROR(AVERAGEIFS(DATOS!$K$2:$K$20000,DATOS!$A$2:$A$20000,S713,DATOS!$G$2:$G$20000,CONFIG_METADATA!$B$4,DATOS!$I$2:$I$20000,"Orquesta/Banda/Conjunto"),"")))</f>
        <v/>
      </c>
      <c r="V713" t="str">
        <f>IF(S713="","",IF(S713="[FÓRMULA MANUAL]","",IFERROR(AVERAGEIFS(DATOS!$K$2:$K$20000,DATOS!$A$2:$A$20000,S713,DATOS!$G$2:$G$20000,CONFIG_METADATA!$B$4,DATOS!$I$2:$I$20000,"Música de Cámara"),"")))</f>
        <v/>
      </c>
      <c r="W713" t="str">
        <f>IF(S713="","",IF(S713="[FÓRMULA MANUAL]","",IFERROR(SUMPRODUCT((DATOS!$A$2:$A$20000=S713)*(DATOS!$G$2:$G$20000=CONFIG_METADATA!$B$4)*(COUNTIF(CONFIG_ASIGNATURAS!$B$7:$B$27,DATOS!$I$2:$I$20000)&gt;0)*(DATOS!$K$2:$K$20000))/SUMPRODUCT((DATOS!$A$2:$A$20000=S713)*(DATOS!$G$2:$G$20000=CONFIG_METADATA!$B$4)*(COUNTIF(CONFIG_ASIGNATURAS!$B$7:$B$27,DATOS!$I$2:$I$20000)&gt;0)*1),"")))</f>
        <v/>
      </c>
      <c r="Z713" t="str">
        <f>IF(Y713="","",IF(Y713="[FÓRMULA MANUAL]","",IFERROR(AVERAGEIFS(DATOS!$K$2:$K$20000,DATOS!$A$2:$A$20000,Y713,DATOS!$G$2:$G$20000,CONFIG_METADATA!$B$4,DATOS!$I$2:$I$20000,"Análisis"),"")))</f>
        <v/>
      </c>
      <c r="AA713" t="str">
        <f>IF(Y713="","",IF(Y713="[FÓRMULA MANUAL]","",IFERROR(AVERAGEIFS(DATOS!$K$2:$K$20000,DATOS!$A$2:$A$20000,Y713,DATOS!$G$2:$G$20000,CONFIG_METADATA!$B$4,DATOS!$I$2:$I$20000,"Orquesta/Banda/Conjunto"),"")))</f>
        <v/>
      </c>
      <c r="AB713" t="str">
        <f>IF(Y713="","",IF(Y713="[FÓRMULA MANUAL]","",IFERROR(AVERAGEIFS(DATOS!$K$2:$K$20000,DATOS!$A$2:$A$20000,Y713,DATOS!$G$2:$G$20000,CONFIG_METADATA!$B$4,DATOS!$I$2:$I$20000,"Música de Cámara"),"")))</f>
        <v/>
      </c>
      <c r="AC713" t="str">
        <f>IF(Y713="","",IF(Y713="[FÓRMULA MANUAL]","",IFERROR(SUMPRODUCT((DATOS!$A$2:$A$20000=Y713)*(DATOS!$G$2:$G$20000=CONFIG_METADATA!$B$4)*(COUNTIF(CONFIG_ASIGNATURAS!$B$7:$B$27,DATOS!$I$2:$I$20000)&gt;0)*(DATOS!$K$2:$K$20000))/SUMPRODUCT((DATOS!$A$2:$A$20000=Y713)*(DATOS!$G$2:$G$20000=CONFIG_METADATA!$B$4)*(COUNTIF(CONFIG_ASIGNATURAS!$B$7:$B$27,DATOS!$I$2:$I$20000)&gt;0)*1),"")))</f>
        <v/>
      </c>
      <c r="AF713" t="str">
        <f>IF(AE713="","",IF(AE713="[FÓRMULA MANUAL]","",IFERROR(AVERAGEIFS(DATOS!$K$2:$K$20000,DATOS!$A$2:$A$20000,AE713,DATOS!$G$2:$G$20000,CONFIG_METADATA!$B$4,DATOS!$I$2:$I$20000,"Análisis"),"")))</f>
        <v/>
      </c>
      <c r="AG713" t="str">
        <f>IF(AE713="","",IF(AE713="[FÓRMULA MANUAL]","",IFERROR(AVERAGEIFS(DATOS!$K$2:$K$20000,DATOS!$A$2:$A$20000,AE713,DATOS!$G$2:$G$20000,CONFIG_METADATA!$B$4,DATOS!$I$2:$I$20000,"Orquesta/Banda/Conjunto"),"")))</f>
        <v/>
      </c>
      <c r="AH713" t="str">
        <f>IF(AE713="","",IF(AE713="[FÓRMULA MANUAL]","",IFERROR(AVERAGEIFS(DATOS!$K$2:$K$20000,DATOS!$A$2:$A$20000,AE713,DATOS!$G$2:$G$20000,CONFIG_METADATA!$B$4,DATOS!$I$2:$I$20000,"Música de Cámara"),"")))</f>
        <v/>
      </c>
      <c r="AI713" t="str">
        <f>IF(AE713="","",IF(AE713="[FÓRMULA MANUAL]","",IFERROR(SUMPRODUCT((DATOS!$A$2:$A$20000=AE713)*(DATOS!$G$2:$G$20000=CONFIG_METADATA!$B$4)*(COUNTIF(CONFIG_ASIGNATURAS!$B$7:$B$27,DATOS!$I$2:$I$20000)&gt;0)*(DATOS!$K$2:$K$20000))/SUMPRODUCT((DATOS!$A$2:$A$20000=AE713)*(DATOS!$G$2:$G$20000=CONFIG_METADATA!$B$4)*(COUNTIF(CONFIG_ASIGNATURAS!$B$7:$B$27,DATOS!$I$2:$I$20000)&gt;0)*1),"")))</f>
        <v/>
      </c>
    </row>
    <row r="714" spans="2:35" x14ac:dyDescent="0.2">
      <c r="B714" t="str">
        <f>IF(A714="","",IF(A714="[FÓRMULA MANUAL]","",IFERROR(AVERAGEIFS(DATOS!$K$2:$K$20000,DATOS!$A$2:$A$20000,A714,DATOS!$G$2:$G$20000,CONFIG_METADATA!$B$4,DATOS!$I$2:$I$20000,"Lenguaje Musical"),"")))</f>
        <v/>
      </c>
      <c r="C714" t="str">
        <f>IF(A714="","",IF(A714="[FÓRMULA MANUAL]","",IFERROR(AVERAGEIFS(DATOS!$K$2:$K$20000,DATOS!$A$2:$A$20000,A714,DATOS!$G$2:$G$20000,CONFIG_METADATA!$B$4,DATOS!$I$2:$I$20000,"Orquesta/Banda/Conjunto"),"")))</f>
        <v/>
      </c>
      <c r="D714" t="str">
        <f>IF(A714="","",IF(A714="[FÓRMULA MANUAL]","",IFERROR(AVERAGEIFS(DATOS!$K$2:$K$20000,DATOS!$A$2:$A$20000,A714,DATOS!$G$2:$G$20000,CONFIG_METADATA!$B$4,DATOS!$I$2:$I$20000,"Conjunto"),"")))</f>
        <v/>
      </c>
      <c r="E714" t="str">
        <f>IF(A714="","",IF(A714="[FÓRMULA MANUAL]","",IFERROR(SUMPRODUCT((DATOS!$A$2:$A$20000=A714)*(DATOS!$G$2:$G$20000=CONFIG_METADATA!$B$4)*(COUNTIF(CONFIG_ASIGNATURAS!$B$7:$B$27,DATOS!$I$2:$I$20000)&gt;0)*(DATOS!$K$2:$K$20000))/SUMPRODUCT((DATOS!$A$2:$A$20000=A714)*(DATOS!$G$2:$G$20000=CONFIG_METADATA!$B$4)*(COUNTIF(CONFIG_ASIGNATURAS!$B$7:$B$27,DATOS!$I$2:$I$20000)&gt;0)*1),"")))</f>
        <v/>
      </c>
      <c r="H714" t="str">
        <f>IF(G714="","",IF(G714="[FÓRMULA MANUAL]","",IFERROR(AVERAGEIFS(DATOS!$K$2:$K$20000,DATOS!$A$2:$A$20000,G714,DATOS!$G$2:$G$20000,CONFIG_METADATA!$B$4,DATOS!$I$2:$I$20000,"Lenguaje Musical"),"")))</f>
        <v/>
      </c>
      <c r="I714" t="str">
        <f>IF(G714="","",IF(G714="[FÓRMULA MANUAL]","",IFERROR(AVERAGEIFS(DATOS!$K$2:$K$20000,DATOS!$A$2:$A$20000,G714,DATOS!$G$2:$G$20000,CONFIG_METADATA!$B$4,DATOS!$I$2:$I$20000,"Orquesta/Banda/Conjunto"),"")))</f>
        <v/>
      </c>
      <c r="J714" t="str">
        <f>IF(G714="","",IF(G714="[FÓRMULA MANUAL]","",IFERROR(AVERAGEIFS(DATOS!$K$2:$K$20000,DATOS!$A$2:$A$20000,G714,DATOS!$G$2:$G$20000,CONFIG_METADATA!$B$4,DATOS!$I$2:$I$20000,"Conjunto"),"")))</f>
        <v/>
      </c>
      <c r="K714" t="str">
        <f>IF(G714="","",IF(G714="[FÓRMULA MANUAL]","",IFERROR(SUMPRODUCT((DATOS!$A$2:$A$20000=G714)*(DATOS!$G$2:$G$20000=CONFIG_METADATA!$B$4)*(COUNTIF(CONFIG_ASIGNATURAS!$B$7:$B$27,DATOS!$I$2:$I$20000)&gt;0)*(DATOS!$K$2:$K$20000))/SUMPRODUCT((DATOS!$A$2:$A$20000=G714)*(DATOS!$G$2:$G$20000=CONFIG_METADATA!$B$4)*(COUNTIF(CONFIG_ASIGNATURAS!$B$7:$B$27,DATOS!$I$2:$I$20000)&gt;0)*1),"")))</f>
        <v/>
      </c>
      <c r="N714" t="str">
        <f>IF(M714="","",IF(M714="[FÓRMULA MANUAL]","",IFERROR(AVERAGEIFS(DATOS!$K$2:$K$20000,DATOS!$A$2:$A$20000,M714,DATOS!$G$2:$G$20000,CONFIG_METADATA!$B$4,DATOS!$I$2:$I$20000,"Armonía"),"")))</f>
        <v/>
      </c>
      <c r="O714" t="str">
        <f>IF(M714="","",IF(M714="[FÓRMULA MANUAL]","",IFERROR(AVERAGEIFS(DATOS!$K$2:$K$20000,DATOS!$A$2:$A$20000,M714,DATOS!$G$2:$G$20000,CONFIG_METADATA!$B$4,DATOS!$I$2:$I$20000,"Orquesta/Banda/Conjunto"),"")))</f>
        <v/>
      </c>
      <c r="P714" t="str">
        <f>IF(M714="","",IF(M714="[FÓRMULA MANUAL]","",IFERROR(AVERAGEIFS(DATOS!$K$2:$K$20000,DATOS!$A$2:$A$20000,M714,DATOS!$G$2:$G$20000,CONFIG_METADATA!$B$4,DATOS!$I$2:$I$20000,"Música de Cámara"),"")))</f>
        <v/>
      </c>
      <c r="Q714" t="str">
        <f>IF(M714="","",IF(M714="[FÓRMULA MANUAL]","",IFERROR(SUMPRODUCT((DATOS!$A$2:$A$20000=M714)*(DATOS!$G$2:$G$20000=CONFIG_METADATA!$B$4)*(COUNTIF(CONFIG_ASIGNATURAS!$B$7:$B$27,DATOS!$I$2:$I$20000)&gt;0)*(DATOS!$K$2:$K$20000))/SUMPRODUCT((DATOS!$A$2:$A$20000=M714)*(DATOS!$G$2:$G$20000=CONFIG_METADATA!$B$4)*(COUNTIF(CONFIG_ASIGNATURAS!$B$7:$B$27,DATOS!$I$2:$I$20000)&gt;0)*1),"")))</f>
        <v/>
      </c>
      <c r="T714" t="str">
        <f>IF(S714="","",IF(S714="[FÓRMULA MANUAL]","",IFERROR(AVERAGEIFS(DATOS!$K$2:$K$20000,DATOS!$A$2:$A$20000,S714,DATOS!$G$2:$G$20000,CONFIG_METADATA!$B$4,DATOS!$I$2:$I$20000,"Armonía"),"")))</f>
        <v/>
      </c>
      <c r="U714" t="str">
        <f>IF(S714="","",IF(S714="[FÓRMULA MANUAL]","",IFERROR(AVERAGEIFS(DATOS!$K$2:$K$20000,DATOS!$A$2:$A$20000,S714,DATOS!$G$2:$G$20000,CONFIG_METADATA!$B$4,DATOS!$I$2:$I$20000,"Orquesta/Banda/Conjunto"),"")))</f>
        <v/>
      </c>
      <c r="V714" t="str">
        <f>IF(S714="","",IF(S714="[FÓRMULA MANUAL]","",IFERROR(AVERAGEIFS(DATOS!$K$2:$K$20000,DATOS!$A$2:$A$20000,S714,DATOS!$G$2:$G$20000,CONFIG_METADATA!$B$4,DATOS!$I$2:$I$20000,"Música de Cámara"),"")))</f>
        <v/>
      </c>
      <c r="W714" t="str">
        <f>IF(S714="","",IF(S714="[FÓRMULA MANUAL]","",IFERROR(SUMPRODUCT((DATOS!$A$2:$A$20000=S714)*(DATOS!$G$2:$G$20000=CONFIG_METADATA!$B$4)*(COUNTIF(CONFIG_ASIGNATURAS!$B$7:$B$27,DATOS!$I$2:$I$20000)&gt;0)*(DATOS!$K$2:$K$20000))/SUMPRODUCT((DATOS!$A$2:$A$20000=S714)*(DATOS!$G$2:$G$20000=CONFIG_METADATA!$B$4)*(COUNTIF(CONFIG_ASIGNATURAS!$B$7:$B$27,DATOS!$I$2:$I$20000)&gt;0)*1),"")))</f>
        <v/>
      </c>
      <c r="Z714" t="str">
        <f>IF(Y714="","",IF(Y714="[FÓRMULA MANUAL]","",IFERROR(AVERAGEIFS(DATOS!$K$2:$K$20000,DATOS!$A$2:$A$20000,Y714,DATOS!$G$2:$G$20000,CONFIG_METADATA!$B$4,DATOS!$I$2:$I$20000,"Análisis"),"")))</f>
        <v/>
      </c>
      <c r="AA714" t="str">
        <f>IF(Y714="","",IF(Y714="[FÓRMULA MANUAL]","",IFERROR(AVERAGEIFS(DATOS!$K$2:$K$20000,DATOS!$A$2:$A$20000,Y714,DATOS!$G$2:$G$20000,CONFIG_METADATA!$B$4,DATOS!$I$2:$I$20000,"Orquesta/Banda/Conjunto"),"")))</f>
        <v/>
      </c>
      <c r="AB714" t="str">
        <f>IF(Y714="","",IF(Y714="[FÓRMULA MANUAL]","",IFERROR(AVERAGEIFS(DATOS!$K$2:$K$20000,DATOS!$A$2:$A$20000,Y714,DATOS!$G$2:$G$20000,CONFIG_METADATA!$B$4,DATOS!$I$2:$I$20000,"Música de Cámara"),"")))</f>
        <v/>
      </c>
      <c r="AC714" t="str">
        <f>IF(Y714="","",IF(Y714="[FÓRMULA MANUAL]","",IFERROR(SUMPRODUCT((DATOS!$A$2:$A$20000=Y714)*(DATOS!$G$2:$G$20000=CONFIG_METADATA!$B$4)*(COUNTIF(CONFIG_ASIGNATURAS!$B$7:$B$27,DATOS!$I$2:$I$20000)&gt;0)*(DATOS!$K$2:$K$20000))/SUMPRODUCT((DATOS!$A$2:$A$20000=Y714)*(DATOS!$G$2:$G$20000=CONFIG_METADATA!$B$4)*(COUNTIF(CONFIG_ASIGNATURAS!$B$7:$B$27,DATOS!$I$2:$I$20000)&gt;0)*1),"")))</f>
        <v/>
      </c>
      <c r="AF714" t="str">
        <f>IF(AE714="","",IF(AE714="[FÓRMULA MANUAL]","",IFERROR(AVERAGEIFS(DATOS!$K$2:$K$20000,DATOS!$A$2:$A$20000,AE714,DATOS!$G$2:$G$20000,CONFIG_METADATA!$B$4,DATOS!$I$2:$I$20000,"Análisis"),"")))</f>
        <v/>
      </c>
      <c r="AG714" t="str">
        <f>IF(AE714="","",IF(AE714="[FÓRMULA MANUAL]","",IFERROR(AVERAGEIFS(DATOS!$K$2:$K$20000,DATOS!$A$2:$A$20000,AE714,DATOS!$G$2:$G$20000,CONFIG_METADATA!$B$4,DATOS!$I$2:$I$20000,"Orquesta/Banda/Conjunto"),"")))</f>
        <v/>
      </c>
      <c r="AH714" t="str">
        <f>IF(AE714="","",IF(AE714="[FÓRMULA MANUAL]","",IFERROR(AVERAGEIFS(DATOS!$K$2:$K$20000,DATOS!$A$2:$A$20000,AE714,DATOS!$G$2:$G$20000,CONFIG_METADATA!$B$4,DATOS!$I$2:$I$20000,"Música de Cámara"),"")))</f>
        <v/>
      </c>
      <c r="AI714" t="str">
        <f>IF(AE714="","",IF(AE714="[FÓRMULA MANUAL]","",IFERROR(SUMPRODUCT((DATOS!$A$2:$A$20000=AE714)*(DATOS!$G$2:$G$20000=CONFIG_METADATA!$B$4)*(COUNTIF(CONFIG_ASIGNATURAS!$B$7:$B$27,DATOS!$I$2:$I$20000)&gt;0)*(DATOS!$K$2:$K$20000))/SUMPRODUCT((DATOS!$A$2:$A$20000=AE714)*(DATOS!$G$2:$G$20000=CONFIG_METADATA!$B$4)*(COUNTIF(CONFIG_ASIGNATURAS!$B$7:$B$27,DATOS!$I$2:$I$20000)&gt;0)*1),"")))</f>
        <v/>
      </c>
    </row>
    <row r="715" spans="2:35" x14ac:dyDescent="0.2">
      <c r="B715" t="str">
        <f>IF(A715="","",IF(A715="[FÓRMULA MANUAL]","",IFERROR(AVERAGEIFS(DATOS!$K$2:$K$20000,DATOS!$A$2:$A$20000,A715,DATOS!$G$2:$G$20000,CONFIG_METADATA!$B$4,DATOS!$I$2:$I$20000,"Lenguaje Musical"),"")))</f>
        <v/>
      </c>
      <c r="C715" t="str">
        <f>IF(A715="","",IF(A715="[FÓRMULA MANUAL]","",IFERROR(AVERAGEIFS(DATOS!$K$2:$K$20000,DATOS!$A$2:$A$20000,A715,DATOS!$G$2:$G$20000,CONFIG_METADATA!$B$4,DATOS!$I$2:$I$20000,"Orquesta/Banda/Conjunto"),"")))</f>
        <v/>
      </c>
      <c r="D715" t="str">
        <f>IF(A715="","",IF(A715="[FÓRMULA MANUAL]","",IFERROR(AVERAGEIFS(DATOS!$K$2:$K$20000,DATOS!$A$2:$A$20000,A715,DATOS!$G$2:$G$20000,CONFIG_METADATA!$B$4,DATOS!$I$2:$I$20000,"Conjunto"),"")))</f>
        <v/>
      </c>
      <c r="E715" t="str">
        <f>IF(A715="","",IF(A715="[FÓRMULA MANUAL]","",IFERROR(SUMPRODUCT((DATOS!$A$2:$A$20000=A715)*(DATOS!$G$2:$G$20000=CONFIG_METADATA!$B$4)*(COUNTIF(CONFIG_ASIGNATURAS!$B$7:$B$27,DATOS!$I$2:$I$20000)&gt;0)*(DATOS!$K$2:$K$20000))/SUMPRODUCT((DATOS!$A$2:$A$20000=A715)*(DATOS!$G$2:$G$20000=CONFIG_METADATA!$B$4)*(COUNTIF(CONFIG_ASIGNATURAS!$B$7:$B$27,DATOS!$I$2:$I$20000)&gt;0)*1),"")))</f>
        <v/>
      </c>
      <c r="H715" t="str">
        <f>IF(G715="","",IF(G715="[FÓRMULA MANUAL]","",IFERROR(AVERAGEIFS(DATOS!$K$2:$K$20000,DATOS!$A$2:$A$20000,G715,DATOS!$G$2:$G$20000,CONFIG_METADATA!$B$4,DATOS!$I$2:$I$20000,"Lenguaje Musical"),"")))</f>
        <v/>
      </c>
      <c r="I715" t="str">
        <f>IF(G715="","",IF(G715="[FÓRMULA MANUAL]","",IFERROR(AVERAGEIFS(DATOS!$K$2:$K$20000,DATOS!$A$2:$A$20000,G715,DATOS!$G$2:$G$20000,CONFIG_METADATA!$B$4,DATOS!$I$2:$I$20000,"Orquesta/Banda/Conjunto"),"")))</f>
        <v/>
      </c>
      <c r="J715" t="str">
        <f>IF(G715="","",IF(G715="[FÓRMULA MANUAL]","",IFERROR(AVERAGEIFS(DATOS!$K$2:$K$20000,DATOS!$A$2:$A$20000,G715,DATOS!$G$2:$G$20000,CONFIG_METADATA!$B$4,DATOS!$I$2:$I$20000,"Conjunto"),"")))</f>
        <v/>
      </c>
      <c r="K715" t="str">
        <f>IF(G715="","",IF(G715="[FÓRMULA MANUAL]","",IFERROR(SUMPRODUCT((DATOS!$A$2:$A$20000=G715)*(DATOS!$G$2:$G$20000=CONFIG_METADATA!$B$4)*(COUNTIF(CONFIG_ASIGNATURAS!$B$7:$B$27,DATOS!$I$2:$I$20000)&gt;0)*(DATOS!$K$2:$K$20000))/SUMPRODUCT((DATOS!$A$2:$A$20000=G715)*(DATOS!$G$2:$G$20000=CONFIG_METADATA!$B$4)*(COUNTIF(CONFIG_ASIGNATURAS!$B$7:$B$27,DATOS!$I$2:$I$20000)&gt;0)*1),"")))</f>
        <v/>
      </c>
      <c r="N715" t="str">
        <f>IF(M715="","",IF(M715="[FÓRMULA MANUAL]","",IFERROR(AVERAGEIFS(DATOS!$K$2:$K$20000,DATOS!$A$2:$A$20000,M715,DATOS!$G$2:$G$20000,CONFIG_METADATA!$B$4,DATOS!$I$2:$I$20000,"Armonía"),"")))</f>
        <v/>
      </c>
      <c r="O715" t="str">
        <f>IF(M715="","",IF(M715="[FÓRMULA MANUAL]","",IFERROR(AVERAGEIFS(DATOS!$K$2:$K$20000,DATOS!$A$2:$A$20000,M715,DATOS!$G$2:$G$20000,CONFIG_METADATA!$B$4,DATOS!$I$2:$I$20000,"Orquesta/Banda/Conjunto"),"")))</f>
        <v/>
      </c>
      <c r="P715" t="str">
        <f>IF(M715="","",IF(M715="[FÓRMULA MANUAL]","",IFERROR(AVERAGEIFS(DATOS!$K$2:$K$20000,DATOS!$A$2:$A$20000,M715,DATOS!$G$2:$G$20000,CONFIG_METADATA!$B$4,DATOS!$I$2:$I$20000,"Música de Cámara"),"")))</f>
        <v/>
      </c>
      <c r="Q715" t="str">
        <f>IF(M715="","",IF(M715="[FÓRMULA MANUAL]","",IFERROR(SUMPRODUCT((DATOS!$A$2:$A$20000=M715)*(DATOS!$G$2:$G$20000=CONFIG_METADATA!$B$4)*(COUNTIF(CONFIG_ASIGNATURAS!$B$7:$B$27,DATOS!$I$2:$I$20000)&gt;0)*(DATOS!$K$2:$K$20000))/SUMPRODUCT((DATOS!$A$2:$A$20000=M715)*(DATOS!$G$2:$G$20000=CONFIG_METADATA!$B$4)*(COUNTIF(CONFIG_ASIGNATURAS!$B$7:$B$27,DATOS!$I$2:$I$20000)&gt;0)*1),"")))</f>
        <v/>
      </c>
      <c r="T715" t="str">
        <f>IF(S715="","",IF(S715="[FÓRMULA MANUAL]","",IFERROR(AVERAGEIFS(DATOS!$K$2:$K$20000,DATOS!$A$2:$A$20000,S715,DATOS!$G$2:$G$20000,CONFIG_METADATA!$B$4,DATOS!$I$2:$I$20000,"Armonía"),"")))</f>
        <v/>
      </c>
      <c r="U715" t="str">
        <f>IF(S715="","",IF(S715="[FÓRMULA MANUAL]","",IFERROR(AVERAGEIFS(DATOS!$K$2:$K$20000,DATOS!$A$2:$A$20000,S715,DATOS!$G$2:$G$20000,CONFIG_METADATA!$B$4,DATOS!$I$2:$I$20000,"Orquesta/Banda/Conjunto"),"")))</f>
        <v/>
      </c>
      <c r="V715" t="str">
        <f>IF(S715="","",IF(S715="[FÓRMULA MANUAL]","",IFERROR(AVERAGEIFS(DATOS!$K$2:$K$20000,DATOS!$A$2:$A$20000,S715,DATOS!$G$2:$G$20000,CONFIG_METADATA!$B$4,DATOS!$I$2:$I$20000,"Música de Cámara"),"")))</f>
        <v/>
      </c>
      <c r="W715" t="str">
        <f>IF(S715="","",IF(S715="[FÓRMULA MANUAL]","",IFERROR(SUMPRODUCT((DATOS!$A$2:$A$20000=S715)*(DATOS!$G$2:$G$20000=CONFIG_METADATA!$B$4)*(COUNTIF(CONFIG_ASIGNATURAS!$B$7:$B$27,DATOS!$I$2:$I$20000)&gt;0)*(DATOS!$K$2:$K$20000))/SUMPRODUCT((DATOS!$A$2:$A$20000=S715)*(DATOS!$G$2:$G$20000=CONFIG_METADATA!$B$4)*(COUNTIF(CONFIG_ASIGNATURAS!$B$7:$B$27,DATOS!$I$2:$I$20000)&gt;0)*1),"")))</f>
        <v/>
      </c>
      <c r="Z715" t="str">
        <f>IF(Y715="","",IF(Y715="[FÓRMULA MANUAL]","",IFERROR(AVERAGEIFS(DATOS!$K$2:$K$20000,DATOS!$A$2:$A$20000,Y715,DATOS!$G$2:$G$20000,CONFIG_METADATA!$B$4,DATOS!$I$2:$I$20000,"Análisis"),"")))</f>
        <v/>
      </c>
      <c r="AA715" t="str">
        <f>IF(Y715="","",IF(Y715="[FÓRMULA MANUAL]","",IFERROR(AVERAGEIFS(DATOS!$K$2:$K$20000,DATOS!$A$2:$A$20000,Y715,DATOS!$G$2:$G$20000,CONFIG_METADATA!$B$4,DATOS!$I$2:$I$20000,"Orquesta/Banda/Conjunto"),"")))</f>
        <v/>
      </c>
      <c r="AB715" t="str">
        <f>IF(Y715="","",IF(Y715="[FÓRMULA MANUAL]","",IFERROR(AVERAGEIFS(DATOS!$K$2:$K$20000,DATOS!$A$2:$A$20000,Y715,DATOS!$G$2:$G$20000,CONFIG_METADATA!$B$4,DATOS!$I$2:$I$20000,"Música de Cámara"),"")))</f>
        <v/>
      </c>
      <c r="AC715" t="str">
        <f>IF(Y715="","",IF(Y715="[FÓRMULA MANUAL]","",IFERROR(SUMPRODUCT((DATOS!$A$2:$A$20000=Y715)*(DATOS!$G$2:$G$20000=CONFIG_METADATA!$B$4)*(COUNTIF(CONFIG_ASIGNATURAS!$B$7:$B$27,DATOS!$I$2:$I$20000)&gt;0)*(DATOS!$K$2:$K$20000))/SUMPRODUCT((DATOS!$A$2:$A$20000=Y715)*(DATOS!$G$2:$G$20000=CONFIG_METADATA!$B$4)*(COUNTIF(CONFIG_ASIGNATURAS!$B$7:$B$27,DATOS!$I$2:$I$20000)&gt;0)*1),"")))</f>
        <v/>
      </c>
      <c r="AF715" t="str">
        <f>IF(AE715="","",IF(AE715="[FÓRMULA MANUAL]","",IFERROR(AVERAGEIFS(DATOS!$K$2:$K$20000,DATOS!$A$2:$A$20000,AE715,DATOS!$G$2:$G$20000,CONFIG_METADATA!$B$4,DATOS!$I$2:$I$20000,"Análisis"),"")))</f>
        <v/>
      </c>
      <c r="AG715" t="str">
        <f>IF(AE715="","",IF(AE715="[FÓRMULA MANUAL]","",IFERROR(AVERAGEIFS(DATOS!$K$2:$K$20000,DATOS!$A$2:$A$20000,AE715,DATOS!$G$2:$G$20000,CONFIG_METADATA!$B$4,DATOS!$I$2:$I$20000,"Orquesta/Banda/Conjunto"),"")))</f>
        <v/>
      </c>
      <c r="AH715" t="str">
        <f>IF(AE715="","",IF(AE715="[FÓRMULA MANUAL]","",IFERROR(AVERAGEIFS(DATOS!$K$2:$K$20000,DATOS!$A$2:$A$20000,AE715,DATOS!$G$2:$G$20000,CONFIG_METADATA!$B$4,DATOS!$I$2:$I$20000,"Música de Cámara"),"")))</f>
        <v/>
      </c>
      <c r="AI715" t="str">
        <f>IF(AE715="","",IF(AE715="[FÓRMULA MANUAL]","",IFERROR(SUMPRODUCT((DATOS!$A$2:$A$20000=AE715)*(DATOS!$G$2:$G$20000=CONFIG_METADATA!$B$4)*(COUNTIF(CONFIG_ASIGNATURAS!$B$7:$B$27,DATOS!$I$2:$I$20000)&gt;0)*(DATOS!$K$2:$K$20000))/SUMPRODUCT((DATOS!$A$2:$A$20000=AE715)*(DATOS!$G$2:$G$20000=CONFIG_METADATA!$B$4)*(COUNTIF(CONFIG_ASIGNATURAS!$B$7:$B$27,DATOS!$I$2:$I$20000)&gt;0)*1),"")))</f>
        <v/>
      </c>
    </row>
    <row r="716" spans="2:35" x14ac:dyDescent="0.2">
      <c r="B716" t="str">
        <f>IF(A716="","",IF(A716="[FÓRMULA MANUAL]","",IFERROR(AVERAGEIFS(DATOS!$K$2:$K$20000,DATOS!$A$2:$A$20000,A716,DATOS!$G$2:$G$20000,CONFIG_METADATA!$B$4,DATOS!$I$2:$I$20000,"Lenguaje Musical"),"")))</f>
        <v/>
      </c>
      <c r="C716" t="str">
        <f>IF(A716="","",IF(A716="[FÓRMULA MANUAL]","",IFERROR(AVERAGEIFS(DATOS!$K$2:$K$20000,DATOS!$A$2:$A$20000,A716,DATOS!$G$2:$G$20000,CONFIG_METADATA!$B$4,DATOS!$I$2:$I$20000,"Orquesta/Banda/Conjunto"),"")))</f>
        <v/>
      </c>
      <c r="D716" t="str">
        <f>IF(A716="","",IF(A716="[FÓRMULA MANUAL]","",IFERROR(AVERAGEIFS(DATOS!$K$2:$K$20000,DATOS!$A$2:$A$20000,A716,DATOS!$G$2:$G$20000,CONFIG_METADATA!$B$4,DATOS!$I$2:$I$20000,"Conjunto"),"")))</f>
        <v/>
      </c>
      <c r="E716" t="str">
        <f>IF(A716="","",IF(A716="[FÓRMULA MANUAL]","",IFERROR(SUMPRODUCT((DATOS!$A$2:$A$20000=A716)*(DATOS!$G$2:$G$20000=CONFIG_METADATA!$B$4)*(COUNTIF(CONFIG_ASIGNATURAS!$B$7:$B$27,DATOS!$I$2:$I$20000)&gt;0)*(DATOS!$K$2:$K$20000))/SUMPRODUCT((DATOS!$A$2:$A$20000=A716)*(DATOS!$G$2:$G$20000=CONFIG_METADATA!$B$4)*(COUNTIF(CONFIG_ASIGNATURAS!$B$7:$B$27,DATOS!$I$2:$I$20000)&gt;0)*1),"")))</f>
        <v/>
      </c>
      <c r="H716" t="str">
        <f>IF(G716="","",IF(G716="[FÓRMULA MANUAL]","",IFERROR(AVERAGEIFS(DATOS!$K$2:$K$20000,DATOS!$A$2:$A$20000,G716,DATOS!$G$2:$G$20000,CONFIG_METADATA!$B$4,DATOS!$I$2:$I$20000,"Lenguaje Musical"),"")))</f>
        <v/>
      </c>
      <c r="I716" t="str">
        <f>IF(G716="","",IF(G716="[FÓRMULA MANUAL]","",IFERROR(AVERAGEIFS(DATOS!$K$2:$K$20000,DATOS!$A$2:$A$20000,G716,DATOS!$G$2:$G$20000,CONFIG_METADATA!$B$4,DATOS!$I$2:$I$20000,"Orquesta/Banda/Conjunto"),"")))</f>
        <v/>
      </c>
      <c r="J716" t="str">
        <f>IF(G716="","",IF(G716="[FÓRMULA MANUAL]","",IFERROR(AVERAGEIFS(DATOS!$K$2:$K$20000,DATOS!$A$2:$A$20000,G716,DATOS!$G$2:$G$20000,CONFIG_METADATA!$B$4,DATOS!$I$2:$I$20000,"Conjunto"),"")))</f>
        <v/>
      </c>
      <c r="K716" t="str">
        <f>IF(G716="","",IF(G716="[FÓRMULA MANUAL]","",IFERROR(SUMPRODUCT((DATOS!$A$2:$A$20000=G716)*(DATOS!$G$2:$G$20000=CONFIG_METADATA!$B$4)*(COUNTIF(CONFIG_ASIGNATURAS!$B$7:$B$27,DATOS!$I$2:$I$20000)&gt;0)*(DATOS!$K$2:$K$20000))/SUMPRODUCT((DATOS!$A$2:$A$20000=G716)*(DATOS!$G$2:$G$20000=CONFIG_METADATA!$B$4)*(COUNTIF(CONFIG_ASIGNATURAS!$B$7:$B$27,DATOS!$I$2:$I$20000)&gt;0)*1),"")))</f>
        <v/>
      </c>
      <c r="N716" t="str">
        <f>IF(M716="","",IF(M716="[FÓRMULA MANUAL]","",IFERROR(AVERAGEIFS(DATOS!$K$2:$K$20000,DATOS!$A$2:$A$20000,M716,DATOS!$G$2:$G$20000,CONFIG_METADATA!$B$4,DATOS!$I$2:$I$20000,"Armonía"),"")))</f>
        <v/>
      </c>
      <c r="O716" t="str">
        <f>IF(M716="","",IF(M716="[FÓRMULA MANUAL]","",IFERROR(AVERAGEIFS(DATOS!$K$2:$K$20000,DATOS!$A$2:$A$20000,M716,DATOS!$G$2:$G$20000,CONFIG_METADATA!$B$4,DATOS!$I$2:$I$20000,"Orquesta/Banda/Conjunto"),"")))</f>
        <v/>
      </c>
      <c r="P716" t="str">
        <f>IF(M716="","",IF(M716="[FÓRMULA MANUAL]","",IFERROR(AVERAGEIFS(DATOS!$K$2:$K$20000,DATOS!$A$2:$A$20000,M716,DATOS!$G$2:$G$20000,CONFIG_METADATA!$B$4,DATOS!$I$2:$I$20000,"Música de Cámara"),"")))</f>
        <v/>
      </c>
      <c r="Q716" t="str">
        <f>IF(M716="","",IF(M716="[FÓRMULA MANUAL]","",IFERROR(SUMPRODUCT((DATOS!$A$2:$A$20000=M716)*(DATOS!$G$2:$G$20000=CONFIG_METADATA!$B$4)*(COUNTIF(CONFIG_ASIGNATURAS!$B$7:$B$27,DATOS!$I$2:$I$20000)&gt;0)*(DATOS!$K$2:$K$20000))/SUMPRODUCT((DATOS!$A$2:$A$20000=M716)*(DATOS!$G$2:$G$20000=CONFIG_METADATA!$B$4)*(COUNTIF(CONFIG_ASIGNATURAS!$B$7:$B$27,DATOS!$I$2:$I$20000)&gt;0)*1),"")))</f>
        <v/>
      </c>
      <c r="T716" t="str">
        <f>IF(S716="","",IF(S716="[FÓRMULA MANUAL]","",IFERROR(AVERAGEIFS(DATOS!$K$2:$K$20000,DATOS!$A$2:$A$20000,S716,DATOS!$G$2:$G$20000,CONFIG_METADATA!$B$4,DATOS!$I$2:$I$20000,"Armonía"),"")))</f>
        <v/>
      </c>
      <c r="U716" t="str">
        <f>IF(S716="","",IF(S716="[FÓRMULA MANUAL]","",IFERROR(AVERAGEIFS(DATOS!$K$2:$K$20000,DATOS!$A$2:$A$20000,S716,DATOS!$G$2:$G$20000,CONFIG_METADATA!$B$4,DATOS!$I$2:$I$20000,"Orquesta/Banda/Conjunto"),"")))</f>
        <v/>
      </c>
      <c r="V716" t="str">
        <f>IF(S716="","",IF(S716="[FÓRMULA MANUAL]","",IFERROR(AVERAGEIFS(DATOS!$K$2:$K$20000,DATOS!$A$2:$A$20000,S716,DATOS!$G$2:$G$20000,CONFIG_METADATA!$B$4,DATOS!$I$2:$I$20000,"Música de Cámara"),"")))</f>
        <v/>
      </c>
      <c r="W716" t="str">
        <f>IF(S716="","",IF(S716="[FÓRMULA MANUAL]","",IFERROR(SUMPRODUCT((DATOS!$A$2:$A$20000=S716)*(DATOS!$G$2:$G$20000=CONFIG_METADATA!$B$4)*(COUNTIF(CONFIG_ASIGNATURAS!$B$7:$B$27,DATOS!$I$2:$I$20000)&gt;0)*(DATOS!$K$2:$K$20000))/SUMPRODUCT((DATOS!$A$2:$A$20000=S716)*(DATOS!$G$2:$G$20000=CONFIG_METADATA!$B$4)*(COUNTIF(CONFIG_ASIGNATURAS!$B$7:$B$27,DATOS!$I$2:$I$20000)&gt;0)*1),"")))</f>
        <v/>
      </c>
      <c r="Z716" t="str">
        <f>IF(Y716="","",IF(Y716="[FÓRMULA MANUAL]","",IFERROR(AVERAGEIFS(DATOS!$K$2:$K$20000,DATOS!$A$2:$A$20000,Y716,DATOS!$G$2:$G$20000,CONFIG_METADATA!$B$4,DATOS!$I$2:$I$20000,"Análisis"),"")))</f>
        <v/>
      </c>
      <c r="AA716" t="str">
        <f>IF(Y716="","",IF(Y716="[FÓRMULA MANUAL]","",IFERROR(AVERAGEIFS(DATOS!$K$2:$K$20000,DATOS!$A$2:$A$20000,Y716,DATOS!$G$2:$G$20000,CONFIG_METADATA!$B$4,DATOS!$I$2:$I$20000,"Orquesta/Banda/Conjunto"),"")))</f>
        <v/>
      </c>
      <c r="AB716" t="str">
        <f>IF(Y716="","",IF(Y716="[FÓRMULA MANUAL]","",IFERROR(AVERAGEIFS(DATOS!$K$2:$K$20000,DATOS!$A$2:$A$20000,Y716,DATOS!$G$2:$G$20000,CONFIG_METADATA!$B$4,DATOS!$I$2:$I$20000,"Música de Cámara"),"")))</f>
        <v/>
      </c>
      <c r="AC716" t="str">
        <f>IF(Y716="","",IF(Y716="[FÓRMULA MANUAL]","",IFERROR(SUMPRODUCT((DATOS!$A$2:$A$20000=Y716)*(DATOS!$G$2:$G$20000=CONFIG_METADATA!$B$4)*(COUNTIF(CONFIG_ASIGNATURAS!$B$7:$B$27,DATOS!$I$2:$I$20000)&gt;0)*(DATOS!$K$2:$K$20000))/SUMPRODUCT((DATOS!$A$2:$A$20000=Y716)*(DATOS!$G$2:$G$20000=CONFIG_METADATA!$B$4)*(COUNTIF(CONFIG_ASIGNATURAS!$B$7:$B$27,DATOS!$I$2:$I$20000)&gt;0)*1),"")))</f>
        <v/>
      </c>
      <c r="AF716" t="str">
        <f>IF(AE716="","",IF(AE716="[FÓRMULA MANUAL]","",IFERROR(AVERAGEIFS(DATOS!$K$2:$K$20000,DATOS!$A$2:$A$20000,AE716,DATOS!$G$2:$G$20000,CONFIG_METADATA!$B$4,DATOS!$I$2:$I$20000,"Análisis"),"")))</f>
        <v/>
      </c>
      <c r="AG716" t="str">
        <f>IF(AE716="","",IF(AE716="[FÓRMULA MANUAL]","",IFERROR(AVERAGEIFS(DATOS!$K$2:$K$20000,DATOS!$A$2:$A$20000,AE716,DATOS!$G$2:$G$20000,CONFIG_METADATA!$B$4,DATOS!$I$2:$I$20000,"Orquesta/Banda/Conjunto"),"")))</f>
        <v/>
      </c>
      <c r="AH716" t="str">
        <f>IF(AE716="","",IF(AE716="[FÓRMULA MANUAL]","",IFERROR(AVERAGEIFS(DATOS!$K$2:$K$20000,DATOS!$A$2:$A$20000,AE716,DATOS!$G$2:$G$20000,CONFIG_METADATA!$B$4,DATOS!$I$2:$I$20000,"Música de Cámara"),"")))</f>
        <v/>
      </c>
      <c r="AI716" t="str">
        <f>IF(AE716="","",IF(AE716="[FÓRMULA MANUAL]","",IFERROR(SUMPRODUCT((DATOS!$A$2:$A$20000=AE716)*(DATOS!$G$2:$G$20000=CONFIG_METADATA!$B$4)*(COUNTIF(CONFIG_ASIGNATURAS!$B$7:$B$27,DATOS!$I$2:$I$20000)&gt;0)*(DATOS!$K$2:$K$20000))/SUMPRODUCT((DATOS!$A$2:$A$20000=AE716)*(DATOS!$G$2:$G$20000=CONFIG_METADATA!$B$4)*(COUNTIF(CONFIG_ASIGNATURAS!$B$7:$B$27,DATOS!$I$2:$I$20000)&gt;0)*1),"")))</f>
        <v/>
      </c>
    </row>
    <row r="717" spans="2:35" x14ac:dyDescent="0.2">
      <c r="B717" t="str">
        <f>IF(A717="","",IF(A717="[FÓRMULA MANUAL]","",IFERROR(AVERAGEIFS(DATOS!$K$2:$K$20000,DATOS!$A$2:$A$20000,A717,DATOS!$G$2:$G$20000,CONFIG_METADATA!$B$4,DATOS!$I$2:$I$20000,"Lenguaje Musical"),"")))</f>
        <v/>
      </c>
      <c r="C717" t="str">
        <f>IF(A717="","",IF(A717="[FÓRMULA MANUAL]","",IFERROR(AVERAGEIFS(DATOS!$K$2:$K$20000,DATOS!$A$2:$A$20000,A717,DATOS!$G$2:$G$20000,CONFIG_METADATA!$B$4,DATOS!$I$2:$I$20000,"Orquesta/Banda/Conjunto"),"")))</f>
        <v/>
      </c>
      <c r="D717" t="str">
        <f>IF(A717="","",IF(A717="[FÓRMULA MANUAL]","",IFERROR(AVERAGEIFS(DATOS!$K$2:$K$20000,DATOS!$A$2:$A$20000,A717,DATOS!$G$2:$G$20000,CONFIG_METADATA!$B$4,DATOS!$I$2:$I$20000,"Conjunto"),"")))</f>
        <v/>
      </c>
      <c r="E717" t="str">
        <f>IF(A717="","",IF(A717="[FÓRMULA MANUAL]","",IFERROR(SUMPRODUCT((DATOS!$A$2:$A$20000=A717)*(DATOS!$G$2:$G$20000=CONFIG_METADATA!$B$4)*(COUNTIF(CONFIG_ASIGNATURAS!$B$7:$B$27,DATOS!$I$2:$I$20000)&gt;0)*(DATOS!$K$2:$K$20000))/SUMPRODUCT((DATOS!$A$2:$A$20000=A717)*(DATOS!$G$2:$G$20000=CONFIG_METADATA!$B$4)*(COUNTIF(CONFIG_ASIGNATURAS!$B$7:$B$27,DATOS!$I$2:$I$20000)&gt;0)*1),"")))</f>
        <v/>
      </c>
      <c r="H717" t="str">
        <f>IF(G717="","",IF(G717="[FÓRMULA MANUAL]","",IFERROR(AVERAGEIFS(DATOS!$K$2:$K$20000,DATOS!$A$2:$A$20000,G717,DATOS!$G$2:$G$20000,CONFIG_METADATA!$B$4,DATOS!$I$2:$I$20000,"Lenguaje Musical"),"")))</f>
        <v/>
      </c>
      <c r="I717" t="str">
        <f>IF(G717="","",IF(G717="[FÓRMULA MANUAL]","",IFERROR(AVERAGEIFS(DATOS!$K$2:$K$20000,DATOS!$A$2:$A$20000,G717,DATOS!$G$2:$G$20000,CONFIG_METADATA!$B$4,DATOS!$I$2:$I$20000,"Orquesta/Banda/Conjunto"),"")))</f>
        <v/>
      </c>
      <c r="J717" t="str">
        <f>IF(G717="","",IF(G717="[FÓRMULA MANUAL]","",IFERROR(AVERAGEIFS(DATOS!$K$2:$K$20000,DATOS!$A$2:$A$20000,G717,DATOS!$G$2:$G$20000,CONFIG_METADATA!$B$4,DATOS!$I$2:$I$20000,"Conjunto"),"")))</f>
        <v/>
      </c>
      <c r="K717" t="str">
        <f>IF(G717="","",IF(G717="[FÓRMULA MANUAL]","",IFERROR(SUMPRODUCT((DATOS!$A$2:$A$20000=G717)*(DATOS!$G$2:$G$20000=CONFIG_METADATA!$B$4)*(COUNTIF(CONFIG_ASIGNATURAS!$B$7:$B$27,DATOS!$I$2:$I$20000)&gt;0)*(DATOS!$K$2:$K$20000))/SUMPRODUCT((DATOS!$A$2:$A$20000=G717)*(DATOS!$G$2:$G$20000=CONFIG_METADATA!$B$4)*(COUNTIF(CONFIG_ASIGNATURAS!$B$7:$B$27,DATOS!$I$2:$I$20000)&gt;0)*1),"")))</f>
        <v/>
      </c>
      <c r="N717" t="str">
        <f>IF(M717="","",IF(M717="[FÓRMULA MANUAL]","",IFERROR(AVERAGEIFS(DATOS!$K$2:$K$20000,DATOS!$A$2:$A$20000,M717,DATOS!$G$2:$G$20000,CONFIG_METADATA!$B$4,DATOS!$I$2:$I$20000,"Armonía"),"")))</f>
        <v/>
      </c>
      <c r="O717" t="str">
        <f>IF(M717="","",IF(M717="[FÓRMULA MANUAL]","",IFERROR(AVERAGEIFS(DATOS!$K$2:$K$20000,DATOS!$A$2:$A$20000,M717,DATOS!$G$2:$G$20000,CONFIG_METADATA!$B$4,DATOS!$I$2:$I$20000,"Orquesta/Banda/Conjunto"),"")))</f>
        <v/>
      </c>
      <c r="P717" t="str">
        <f>IF(M717="","",IF(M717="[FÓRMULA MANUAL]","",IFERROR(AVERAGEIFS(DATOS!$K$2:$K$20000,DATOS!$A$2:$A$20000,M717,DATOS!$G$2:$G$20000,CONFIG_METADATA!$B$4,DATOS!$I$2:$I$20000,"Música de Cámara"),"")))</f>
        <v/>
      </c>
      <c r="Q717" t="str">
        <f>IF(M717="","",IF(M717="[FÓRMULA MANUAL]","",IFERROR(SUMPRODUCT((DATOS!$A$2:$A$20000=M717)*(DATOS!$G$2:$G$20000=CONFIG_METADATA!$B$4)*(COUNTIF(CONFIG_ASIGNATURAS!$B$7:$B$27,DATOS!$I$2:$I$20000)&gt;0)*(DATOS!$K$2:$K$20000))/SUMPRODUCT((DATOS!$A$2:$A$20000=M717)*(DATOS!$G$2:$G$20000=CONFIG_METADATA!$B$4)*(COUNTIF(CONFIG_ASIGNATURAS!$B$7:$B$27,DATOS!$I$2:$I$20000)&gt;0)*1),"")))</f>
        <v/>
      </c>
      <c r="T717" t="str">
        <f>IF(S717="","",IF(S717="[FÓRMULA MANUAL]","",IFERROR(AVERAGEIFS(DATOS!$K$2:$K$20000,DATOS!$A$2:$A$20000,S717,DATOS!$G$2:$G$20000,CONFIG_METADATA!$B$4,DATOS!$I$2:$I$20000,"Armonía"),"")))</f>
        <v/>
      </c>
      <c r="U717" t="str">
        <f>IF(S717="","",IF(S717="[FÓRMULA MANUAL]","",IFERROR(AVERAGEIFS(DATOS!$K$2:$K$20000,DATOS!$A$2:$A$20000,S717,DATOS!$G$2:$G$20000,CONFIG_METADATA!$B$4,DATOS!$I$2:$I$20000,"Orquesta/Banda/Conjunto"),"")))</f>
        <v/>
      </c>
      <c r="V717" t="str">
        <f>IF(S717="","",IF(S717="[FÓRMULA MANUAL]","",IFERROR(AVERAGEIFS(DATOS!$K$2:$K$20000,DATOS!$A$2:$A$20000,S717,DATOS!$G$2:$G$20000,CONFIG_METADATA!$B$4,DATOS!$I$2:$I$20000,"Música de Cámara"),"")))</f>
        <v/>
      </c>
      <c r="W717" t="str">
        <f>IF(S717="","",IF(S717="[FÓRMULA MANUAL]","",IFERROR(SUMPRODUCT((DATOS!$A$2:$A$20000=S717)*(DATOS!$G$2:$G$20000=CONFIG_METADATA!$B$4)*(COUNTIF(CONFIG_ASIGNATURAS!$B$7:$B$27,DATOS!$I$2:$I$20000)&gt;0)*(DATOS!$K$2:$K$20000))/SUMPRODUCT((DATOS!$A$2:$A$20000=S717)*(DATOS!$G$2:$G$20000=CONFIG_METADATA!$B$4)*(COUNTIF(CONFIG_ASIGNATURAS!$B$7:$B$27,DATOS!$I$2:$I$20000)&gt;0)*1),"")))</f>
        <v/>
      </c>
      <c r="Z717" t="str">
        <f>IF(Y717="","",IF(Y717="[FÓRMULA MANUAL]","",IFERROR(AVERAGEIFS(DATOS!$K$2:$K$20000,DATOS!$A$2:$A$20000,Y717,DATOS!$G$2:$G$20000,CONFIG_METADATA!$B$4,DATOS!$I$2:$I$20000,"Análisis"),"")))</f>
        <v/>
      </c>
      <c r="AA717" t="str">
        <f>IF(Y717="","",IF(Y717="[FÓRMULA MANUAL]","",IFERROR(AVERAGEIFS(DATOS!$K$2:$K$20000,DATOS!$A$2:$A$20000,Y717,DATOS!$G$2:$G$20000,CONFIG_METADATA!$B$4,DATOS!$I$2:$I$20000,"Orquesta/Banda/Conjunto"),"")))</f>
        <v/>
      </c>
      <c r="AB717" t="str">
        <f>IF(Y717="","",IF(Y717="[FÓRMULA MANUAL]","",IFERROR(AVERAGEIFS(DATOS!$K$2:$K$20000,DATOS!$A$2:$A$20000,Y717,DATOS!$G$2:$G$20000,CONFIG_METADATA!$B$4,DATOS!$I$2:$I$20000,"Música de Cámara"),"")))</f>
        <v/>
      </c>
      <c r="AC717" t="str">
        <f>IF(Y717="","",IF(Y717="[FÓRMULA MANUAL]","",IFERROR(SUMPRODUCT((DATOS!$A$2:$A$20000=Y717)*(DATOS!$G$2:$G$20000=CONFIG_METADATA!$B$4)*(COUNTIF(CONFIG_ASIGNATURAS!$B$7:$B$27,DATOS!$I$2:$I$20000)&gt;0)*(DATOS!$K$2:$K$20000))/SUMPRODUCT((DATOS!$A$2:$A$20000=Y717)*(DATOS!$G$2:$G$20000=CONFIG_METADATA!$B$4)*(COUNTIF(CONFIG_ASIGNATURAS!$B$7:$B$27,DATOS!$I$2:$I$20000)&gt;0)*1),"")))</f>
        <v/>
      </c>
      <c r="AF717" t="str">
        <f>IF(AE717="","",IF(AE717="[FÓRMULA MANUAL]","",IFERROR(AVERAGEIFS(DATOS!$K$2:$K$20000,DATOS!$A$2:$A$20000,AE717,DATOS!$G$2:$G$20000,CONFIG_METADATA!$B$4,DATOS!$I$2:$I$20000,"Análisis"),"")))</f>
        <v/>
      </c>
      <c r="AG717" t="str">
        <f>IF(AE717="","",IF(AE717="[FÓRMULA MANUAL]","",IFERROR(AVERAGEIFS(DATOS!$K$2:$K$20000,DATOS!$A$2:$A$20000,AE717,DATOS!$G$2:$G$20000,CONFIG_METADATA!$B$4,DATOS!$I$2:$I$20000,"Orquesta/Banda/Conjunto"),"")))</f>
        <v/>
      </c>
      <c r="AH717" t="str">
        <f>IF(AE717="","",IF(AE717="[FÓRMULA MANUAL]","",IFERROR(AVERAGEIFS(DATOS!$K$2:$K$20000,DATOS!$A$2:$A$20000,AE717,DATOS!$G$2:$G$20000,CONFIG_METADATA!$B$4,DATOS!$I$2:$I$20000,"Música de Cámara"),"")))</f>
        <v/>
      </c>
      <c r="AI717" t="str">
        <f>IF(AE717="","",IF(AE717="[FÓRMULA MANUAL]","",IFERROR(SUMPRODUCT((DATOS!$A$2:$A$20000=AE717)*(DATOS!$G$2:$G$20000=CONFIG_METADATA!$B$4)*(COUNTIF(CONFIG_ASIGNATURAS!$B$7:$B$27,DATOS!$I$2:$I$20000)&gt;0)*(DATOS!$K$2:$K$20000))/SUMPRODUCT((DATOS!$A$2:$A$20000=AE717)*(DATOS!$G$2:$G$20000=CONFIG_METADATA!$B$4)*(COUNTIF(CONFIG_ASIGNATURAS!$B$7:$B$27,DATOS!$I$2:$I$20000)&gt;0)*1),"")))</f>
        <v/>
      </c>
    </row>
    <row r="718" spans="2:35" x14ac:dyDescent="0.2">
      <c r="B718" t="str">
        <f>IF(A718="","",IF(A718="[FÓRMULA MANUAL]","",IFERROR(AVERAGEIFS(DATOS!$K$2:$K$20000,DATOS!$A$2:$A$20000,A718,DATOS!$G$2:$G$20000,CONFIG_METADATA!$B$4,DATOS!$I$2:$I$20000,"Lenguaje Musical"),"")))</f>
        <v/>
      </c>
      <c r="C718" t="str">
        <f>IF(A718="","",IF(A718="[FÓRMULA MANUAL]","",IFERROR(AVERAGEIFS(DATOS!$K$2:$K$20000,DATOS!$A$2:$A$20000,A718,DATOS!$G$2:$G$20000,CONFIG_METADATA!$B$4,DATOS!$I$2:$I$20000,"Orquesta/Banda/Conjunto"),"")))</f>
        <v/>
      </c>
      <c r="D718" t="str">
        <f>IF(A718="","",IF(A718="[FÓRMULA MANUAL]","",IFERROR(AVERAGEIFS(DATOS!$K$2:$K$20000,DATOS!$A$2:$A$20000,A718,DATOS!$G$2:$G$20000,CONFIG_METADATA!$B$4,DATOS!$I$2:$I$20000,"Conjunto"),"")))</f>
        <v/>
      </c>
      <c r="E718" t="str">
        <f>IF(A718="","",IF(A718="[FÓRMULA MANUAL]","",IFERROR(SUMPRODUCT((DATOS!$A$2:$A$20000=A718)*(DATOS!$G$2:$G$20000=CONFIG_METADATA!$B$4)*(COUNTIF(CONFIG_ASIGNATURAS!$B$7:$B$27,DATOS!$I$2:$I$20000)&gt;0)*(DATOS!$K$2:$K$20000))/SUMPRODUCT((DATOS!$A$2:$A$20000=A718)*(DATOS!$G$2:$G$20000=CONFIG_METADATA!$B$4)*(COUNTIF(CONFIG_ASIGNATURAS!$B$7:$B$27,DATOS!$I$2:$I$20000)&gt;0)*1),"")))</f>
        <v/>
      </c>
      <c r="H718" t="str">
        <f>IF(G718="","",IF(G718="[FÓRMULA MANUAL]","",IFERROR(AVERAGEIFS(DATOS!$K$2:$K$20000,DATOS!$A$2:$A$20000,G718,DATOS!$G$2:$G$20000,CONFIG_METADATA!$B$4,DATOS!$I$2:$I$20000,"Lenguaje Musical"),"")))</f>
        <v/>
      </c>
      <c r="I718" t="str">
        <f>IF(G718="","",IF(G718="[FÓRMULA MANUAL]","",IFERROR(AVERAGEIFS(DATOS!$K$2:$K$20000,DATOS!$A$2:$A$20000,G718,DATOS!$G$2:$G$20000,CONFIG_METADATA!$B$4,DATOS!$I$2:$I$20000,"Orquesta/Banda/Conjunto"),"")))</f>
        <v/>
      </c>
      <c r="J718" t="str">
        <f>IF(G718="","",IF(G718="[FÓRMULA MANUAL]","",IFERROR(AVERAGEIFS(DATOS!$K$2:$K$20000,DATOS!$A$2:$A$20000,G718,DATOS!$G$2:$G$20000,CONFIG_METADATA!$B$4,DATOS!$I$2:$I$20000,"Conjunto"),"")))</f>
        <v/>
      </c>
      <c r="K718" t="str">
        <f>IF(G718="","",IF(G718="[FÓRMULA MANUAL]","",IFERROR(SUMPRODUCT((DATOS!$A$2:$A$20000=G718)*(DATOS!$G$2:$G$20000=CONFIG_METADATA!$B$4)*(COUNTIF(CONFIG_ASIGNATURAS!$B$7:$B$27,DATOS!$I$2:$I$20000)&gt;0)*(DATOS!$K$2:$K$20000))/SUMPRODUCT((DATOS!$A$2:$A$20000=G718)*(DATOS!$G$2:$G$20000=CONFIG_METADATA!$B$4)*(COUNTIF(CONFIG_ASIGNATURAS!$B$7:$B$27,DATOS!$I$2:$I$20000)&gt;0)*1),"")))</f>
        <v/>
      </c>
      <c r="N718" t="str">
        <f>IF(M718="","",IF(M718="[FÓRMULA MANUAL]","",IFERROR(AVERAGEIFS(DATOS!$K$2:$K$20000,DATOS!$A$2:$A$20000,M718,DATOS!$G$2:$G$20000,CONFIG_METADATA!$B$4,DATOS!$I$2:$I$20000,"Armonía"),"")))</f>
        <v/>
      </c>
      <c r="O718" t="str">
        <f>IF(M718="","",IF(M718="[FÓRMULA MANUAL]","",IFERROR(AVERAGEIFS(DATOS!$K$2:$K$20000,DATOS!$A$2:$A$20000,M718,DATOS!$G$2:$G$20000,CONFIG_METADATA!$B$4,DATOS!$I$2:$I$20000,"Orquesta/Banda/Conjunto"),"")))</f>
        <v/>
      </c>
      <c r="P718" t="str">
        <f>IF(M718="","",IF(M718="[FÓRMULA MANUAL]","",IFERROR(AVERAGEIFS(DATOS!$K$2:$K$20000,DATOS!$A$2:$A$20000,M718,DATOS!$G$2:$G$20000,CONFIG_METADATA!$B$4,DATOS!$I$2:$I$20000,"Música de Cámara"),"")))</f>
        <v/>
      </c>
      <c r="Q718" t="str">
        <f>IF(M718="","",IF(M718="[FÓRMULA MANUAL]","",IFERROR(SUMPRODUCT((DATOS!$A$2:$A$20000=M718)*(DATOS!$G$2:$G$20000=CONFIG_METADATA!$B$4)*(COUNTIF(CONFIG_ASIGNATURAS!$B$7:$B$27,DATOS!$I$2:$I$20000)&gt;0)*(DATOS!$K$2:$K$20000))/SUMPRODUCT((DATOS!$A$2:$A$20000=M718)*(DATOS!$G$2:$G$20000=CONFIG_METADATA!$B$4)*(COUNTIF(CONFIG_ASIGNATURAS!$B$7:$B$27,DATOS!$I$2:$I$20000)&gt;0)*1),"")))</f>
        <v/>
      </c>
      <c r="T718" t="str">
        <f>IF(S718="","",IF(S718="[FÓRMULA MANUAL]","",IFERROR(AVERAGEIFS(DATOS!$K$2:$K$20000,DATOS!$A$2:$A$20000,S718,DATOS!$G$2:$G$20000,CONFIG_METADATA!$B$4,DATOS!$I$2:$I$20000,"Armonía"),"")))</f>
        <v/>
      </c>
      <c r="U718" t="str">
        <f>IF(S718="","",IF(S718="[FÓRMULA MANUAL]","",IFERROR(AVERAGEIFS(DATOS!$K$2:$K$20000,DATOS!$A$2:$A$20000,S718,DATOS!$G$2:$G$20000,CONFIG_METADATA!$B$4,DATOS!$I$2:$I$20000,"Orquesta/Banda/Conjunto"),"")))</f>
        <v/>
      </c>
      <c r="V718" t="str">
        <f>IF(S718="","",IF(S718="[FÓRMULA MANUAL]","",IFERROR(AVERAGEIFS(DATOS!$K$2:$K$20000,DATOS!$A$2:$A$20000,S718,DATOS!$G$2:$G$20000,CONFIG_METADATA!$B$4,DATOS!$I$2:$I$20000,"Música de Cámara"),"")))</f>
        <v/>
      </c>
      <c r="W718" t="str">
        <f>IF(S718="","",IF(S718="[FÓRMULA MANUAL]","",IFERROR(SUMPRODUCT((DATOS!$A$2:$A$20000=S718)*(DATOS!$G$2:$G$20000=CONFIG_METADATA!$B$4)*(COUNTIF(CONFIG_ASIGNATURAS!$B$7:$B$27,DATOS!$I$2:$I$20000)&gt;0)*(DATOS!$K$2:$K$20000))/SUMPRODUCT((DATOS!$A$2:$A$20000=S718)*(DATOS!$G$2:$G$20000=CONFIG_METADATA!$B$4)*(COUNTIF(CONFIG_ASIGNATURAS!$B$7:$B$27,DATOS!$I$2:$I$20000)&gt;0)*1),"")))</f>
        <v/>
      </c>
      <c r="Z718" t="str">
        <f>IF(Y718="","",IF(Y718="[FÓRMULA MANUAL]","",IFERROR(AVERAGEIFS(DATOS!$K$2:$K$20000,DATOS!$A$2:$A$20000,Y718,DATOS!$G$2:$G$20000,CONFIG_METADATA!$B$4,DATOS!$I$2:$I$20000,"Análisis"),"")))</f>
        <v/>
      </c>
      <c r="AA718" t="str">
        <f>IF(Y718="","",IF(Y718="[FÓRMULA MANUAL]","",IFERROR(AVERAGEIFS(DATOS!$K$2:$K$20000,DATOS!$A$2:$A$20000,Y718,DATOS!$G$2:$G$20000,CONFIG_METADATA!$B$4,DATOS!$I$2:$I$20000,"Orquesta/Banda/Conjunto"),"")))</f>
        <v/>
      </c>
      <c r="AB718" t="str">
        <f>IF(Y718="","",IF(Y718="[FÓRMULA MANUAL]","",IFERROR(AVERAGEIFS(DATOS!$K$2:$K$20000,DATOS!$A$2:$A$20000,Y718,DATOS!$G$2:$G$20000,CONFIG_METADATA!$B$4,DATOS!$I$2:$I$20000,"Música de Cámara"),"")))</f>
        <v/>
      </c>
      <c r="AC718" t="str">
        <f>IF(Y718="","",IF(Y718="[FÓRMULA MANUAL]","",IFERROR(SUMPRODUCT((DATOS!$A$2:$A$20000=Y718)*(DATOS!$G$2:$G$20000=CONFIG_METADATA!$B$4)*(COUNTIF(CONFIG_ASIGNATURAS!$B$7:$B$27,DATOS!$I$2:$I$20000)&gt;0)*(DATOS!$K$2:$K$20000))/SUMPRODUCT((DATOS!$A$2:$A$20000=Y718)*(DATOS!$G$2:$G$20000=CONFIG_METADATA!$B$4)*(COUNTIF(CONFIG_ASIGNATURAS!$B$7:$B$27,DATOS!$I$2:$I$20000)&gt;0)*1),"")))</f>
        <v/>
      </c>
      <c r="AF718" t="str">
        <f>IF(AE718="","",IF(AE718="[FÓRMULA MANUAL]","",IFERROR(AVERAGEIFS(DATOS!$K$2:$K$20000,DATOS!$A$2:$A$20000,AE718,DATOS!$G$2:$G$20000,CONFIG_METADATA!$B$4,DATOS!$I$2:$I$20000,"Análisis"),"")))</f>
        <v/>
      </c>
      <c r="AG718" t="str">
        <f>IF(AE718="","",IF(AE718="[FÓRMULA MANUAL]","",IFERROR(AVERAGEIFS(DATOS!$K$2:$K$20000,DATOS!$A$2:$A$20000,AE718,DATOS!$G$2:$G$20000,CONFIG_METADATA!$B$4,DATOS!$I$2:$I$20000,"Orquesta/Banda/Conjunto"),"")))</f>
        <v/>
      </c>
      <c r="AH718" t="str">
        <f>IF(AE718="","",IF(AE718="[FÓRMULA MANUAL]","",IFERROR(AVERAGEIFS(DATOS!$K$2:$K$20000,DATOS!$A$2:$A$20000,AE718,DATOS!$G$2:$G$20000,CONFIG_METADATA!$B$4,DATOS!$I$2:$I$20000,"Música de Cámara"),"")))</f>
        <v/>
      </c>
      <c r="AI718" t="str">
        <f>IF(AE718="","",IF(AE718="[FÓRMULA MANUAL]","",IFERROR(SUMPRODUCT((DATOS!$A$2:$A$20000=AE718)*(DATOS!$G$2:$G$20000=CONFIG_METADATA!$B$4)*(COUNTIF(CONFIG_ASIGNATURAS!$B$7:$B$27,DATOS!$I$2:$I$20000)&gt;0)*(DATOS!$K$2:$K$20000))/SUMPRODUCT((DATOS!$A$2:$A$20000=AE718)*(DATOS!$G$2:$G$20000=CONFIG_METADATA!$B$4)*(COUNTIF(CONFIG_ASIGNATURAS!$B$7:$B$27,DATOS!$I$2:$I$20000)&gt;0)*1),"")))</f>
        <v/>
      </c>
    </row>
    <row r="719" spans="2:35" x14ac:dyDescent="0.2">
      <c r="B719" t="str">
        <f>IF(A719="","",IF(A719="[FÓRMULA MANUAL]","",IFERROR(AVERAGEIFS(DATOS!$K$2:$K$20000,DATOS!$A$2:$A$20000,A719,DATOS!$G$2:$G$20000,CONFIG_METADATA!$B$4,DATOS!$I$2:$I$20000,"Lenguaje Musical"),"")))</f>
        <v/>
      </c>
      <c r="C719" t="str">
        <f>IF(A719="","",IF(A719="[FÓRMULA MANUAL]","",IFERROR(AVERAGEIFS(DATOS!$K$2:$K$20000,DATOS!$A$2:$A$20000,A719,DATOS!$G$2:$G$20000,CONFIG_METADATA!$B$4,DATOS!$I$2:$I$20000,"Orquesta/Banda/Conjunto"),"")))</f>
        <v/>
      </c>
      <c r="D719" t="str">
        <f>IF(A719="","",IF(A719="[FÓRMULA MANUAL]","",IFERROR(AVERAGEIFS(DATOS!$K$2:$K$20000,DATOS!$A$2:$A$20000,A719,DATOS!$G$2:$G$20000,CONFIG_METADATA!$B$4,DATOS!$I$2:$I$20000,"Conjunto"),"")))</f>
        <v/>
      </c>
      <c r="E719" t="str">
        <f>IF(A719="","",IF(A719="[FÓRMULA MANUAL]","",IFERROR(SUMPRODUCT((DATOS!$A$2:$A$20000=A719)*(DATOS!$G$2:$G$20000=CONFIG_METADATA!$B$4)*(COUNTIF(CONFIG_ASIGNATURAS!$B$7:$B$27,DATOS!$I$2:$I$20000)&gt;0)*(DATOS!$K$2:$K$20000))/SUMPRODUCT((DATOS!$A$2:$A$20000=A719)*(DATOS!$G$2:$G$20000=CONFIG_METADATA!$B$4)*(COUNTIF(CONFIG_ASIGNATURAS!$B$7:$B$27,DATOS!$I$2:$I$20000)&gt;0)*1),"")))</f>
        <v/>
      </c>
      <c r="H719" t="str">
        <f>IF(G719="","",IF(G719="[FÓRMULA MANUAL]","",IFERROR(AVERAGEIFS(DATOS!$K$2:$K$20000,DATOS!$A$2:$A$20000,G719,DATOS!$G$2:$G$20000,CONFIG_METADATA!$B$4,DATOS!$I$2:$I$20000,"Lenguaje Musical"),"")))</f>
        <v/>
      </c>
      <c r="I719" t="str">
        <f>IF(G719="","",IF(G719="[FÓRMULA MANUAL]","",IFERROR(AVERAGEIFS(DATOS!$K$2:$K$20000,DATOS!$A$2:$A$20000,G719,DATOS!$G$2:$G$20000,CONFIG_METADATA!$B$4,DATOS!$I$2:$I$20000,"Orquesta/Banda/Conjunto"),"")))</f>
        <v/>
      </c>
      <c r="J719" t="str">
        <f>IF(G719="","",IF(G719="[FÓRMULA MANUAL]","",IFERROR(AVERAGEIFS(DATOS!$K$2:$K$20000,DATOS!$A$2:$A$20000,G719,DATOS!$G$2:$G$20000,CONFIG_METADATA!$B$4,DATOS!$I$2:$I$20000,"Conjunto"),"")))</f>
        <v/>
      </c>
      <c r="K719" t="str">
        <f>IF(G719="","",IF(G719="[FÓRMULA MANUAL]","",IFERROR(SUMPRODUCT((DATOS!$A$2:$A$20000=G719)*(DATOS!$G$2:$G$20000=CONFIG_METADATA!$B$4)*(COUNTIF(CONFIG_ASIGNATURAS!$B$7:$B$27,DATOS!$I$2:$I$20000)&gt;0)*(DATOS!$K$2:$K$20000))/SUMPRODUCT((DATOS!$A$2:$A$20000=G719)*(DATOS!$G$2:$G$20000=CONFIG_METADATA!$B$4)*(COUNTIF(CONFIG_ASIGNATURAS!$B$7:$B$27,DATOS!$I$2:$I$20000)&gt;0)*1),"")))</f>
        <v/>
      </c>
      <c r="N719" t="str">
        <f>IF(M719="","",IF(M719="[FÓRMULA MANUAL]","",IFERROR(AVERAGEIFS(DATOS!$K$2:$K$20000,DATOS!$A$2:$A$20000,M719,DATOS!$G$2:$G$20000,CONFIG_METADATA!$B$4,DATOS!$I$2:$I$20000,"Armonía"),"")))</f>
        <v/>
      </c>
      <c r="O719" t="str">
        <f>IF(M719="","",IF(M719="[FÓRMULA MANUAL]","",IFERROR(AVERAGEIFS(DATOS!$K$2:$K$20000,DATOS!$A$2:$A$20000,M719,DATOS!$G$2:$G$20000,CONFIG_METADATA!$B$4,DATOS!$I$2:$I$20000,"Orquesta/Banda/Conjunto"),"")))</f>
        <v/>
      </c>
      <c r="P719" t="str">
        <f>IF(M719="","",IF(M719="[FÓRMULA MANUAL]","",IFERROR(AVERAGEIFS(DATOS!$K$2:$K$20000,DATOS!$A$2:$A$20000,M719,DATOS!$G$2:$G$20000,CONFIG_METADATA!$B$4,DATOS!$I$2:$I$20000,"Música de Cámara"),"")))</f>
        <v/>
      </c>
      <c r="Q719" t="str">
        <f>IF(M719="","",IF(M719="[FÓRMULA MANUAL]","",IFERROR(SUMPRODUCT((DATOS!$A$2:$A$20000=M719)*(DATOS!$G$2:$G$20000=CONFIG_METADATA!$B$4)*(COUNTIF(CONFIG_ASIGNATURAS!$B$7:$B$27,DATOS!$I$2:$I$20000)&gt;0)*(DATOS!$K$2:$K$20000))/SUMPRODUCT((DATOS!$A$2:$A$20000=M719)*(DATOS!$G$2:$G$20000=CONFIG_METADATA!$B$4)*(COUNTIF(CONFIG_ASIGNATURAS!$B$7:$B$27,DATOS!$I$2:$I$20000)&gt;0)*1),"")))</f>
        <v/>
      </c>
      <c r="T719" t="str">
        <f>IF(S719="","",IF(S719="[FÓRMULA MANUAL]","",IFERROR(AVERAGEIFS(DATOS!$K$2:$K$20000,DATOS!$A$2:$A$20000,S719,DATOS!$G$2:$G$20000,CONFIG_METADATA!$B$4,DATOS!$I$2:$I$20000,"Armonía"),"")))</f>
        <v/>
      </c>
      <c r="U719" t="str">
        <f>IF(S719="","",IF(S719="[FÓRMULA MANUAL]","",IFERROR(AVERAGEIFS(DATOS!$K$2:$K$20000,DATOS!$A$2:$A$20000,S719,DATOS!$G$2:$G$20000,CONFIG_METADATA!$B$4,DATOS!$I$2:$I$20000,"Orquesta/Banda/Conjunto"),"")))</f>
        <v/>
      </c>
      <c r="V719" t="str">
        <f>IF(S719="","",IF(S719="[FÓRMULA MANUAL]","",IFERROR(AVERAGEIFS(DATOS!$K$2:$K$20000,DATOS!$A$2:$A$20000,S719,DATOS!$G$2:$G$20000,CONFIG_METADATA!$B$4,DATOS!$I$2:$I$20000,"Música de Cámara"),"")))</f>
        <v/>
      </c>
      <c r="W719" t="str">
        <f>IF(S719="","",IF(S719="[FÓRMULA MANUAL]","",IFERROR(SUMPRODUCT((DATOS!$A$2:$A$20000=S719)*(DATOS!$G$2:$G$20000=CONFIG_METADATA!$B$4)*(COUNTIF(CONFIG_ASIGNATURAS!$B$7:$B$27,DATOS!$I$2:$I$20000)&gt;0)*(DATOS!$K$2:$K$20000))/SUMPRODUCT((DATOS!$A$2:$A$20000=S719)*(DATOS!$G$2:$G$20000=CONFIG_METADATA!$B$4)*(COUNTIF(CONFIG_ASIGNATURAS!$B$7:$B$27,DATOS!$I$2:$I$20000)&gt;0)*1),"")))</f>
        <v/>
      </c>
      <c r="Z719" t="str">
        <f>IF(Y719="","",IF(Y719="[FÓRMULA MANUAL]","",IFERROR(AVERAGEIFS(DATOS!$K$2:$K$20000,DATOS!$A$2:$A$20000,Y719,DATOS!$G$2:$G$20000,CONFIG_METADATA!$B$4,DATOS!$I$2:$I$20000,"Análisis"),"")))</f>
        <v/>
      </c>
      <c r="AA719" t="str">
        <f>IF(Y719="","",IF(Y719="[FÓRMULA MANUAL]","",IFERROR(AVERAGEIFS(DATOS!$K$2:$K$20000,DATOS!$A$2:$A$20000,Y719,DATOS!$G$2:$G$20000,CONFIG_METADATA!$B$4,DATOS!$I$2:$I$20000,"Orquesta/Banda/Conjunto"),"")))</f>
        <v/>
      </c>
      <c r="AB719" t="str">
        <f>IF(Y719="","",IF(Y719="[FÓRMULA MANUAL]","",IFERROR(AVERAGEIFS(DATOS!$K$2:$K$20000,DATOS!$A$2:$A$20000,Y719,DATOS!$G$2:$G$20000,CONFIG_METADATA!$B$4,DATOS!$I$2:$I$20000,"Música de Cámara"),"")))</f>
        <v/>
      </c>
      <c r="AC719" t="str">
        <f>IF(Y719="","",IF(Y719="[FÓRMULA MANUAL]","",IFERROR(SUMPRODUCT((DATOS!$A$2:$A$20000=Y719)*(DATOS!$G$2:$G$20000=CONFIG_METADATA!$B$4)*(COUNTIF(CONFIG_ASIGNATURAS!$B$7:$B$27,DATOS!$I$2:$I$20000)&gt;0)*(DATOS!$K$2:$K$20000))/SUMPRODUCT((DATOS!$A$2:$A$20000=Y719)*(DATOS!$G$2:$G$20000=CONFIG_METADATA!$B$4)*(COUNTIF(CONFIG_ASIGNATURAS!$B$7:$B$27,DATOS!$I$2:$I$20000)&gt;0)*1),"")))</f>
        <v/>
      </c>
      <c r="AF719" t="str">
        <f>IF(AE719="","",IF(AE719="[FÓRMULA MANUAL]","",IFERROR(AVERAGEIFS(DATOS!$K$2:$K$20000,DATOS!$A$2:$A$20000,AE719,DATOS!$G$2:$G$20000,CONFIG_METADATA!$B$4,DATOS!$I$2:$I$20000,"Análisis"),"")))</f>
        <v/>
      </c>
      <c r="AG719" t="str">
        <f>IF(AE719="","",IF(AE719="[FÓRMULA MANUAL]","",IFERROR(AVERAGEIFS(DATOS!$K$2:$K$20000,DATOS!$A$2:$A$20000,AE719,DATOS!$G$2:$G$20000,CONFIG_METADATA!$B$4,DATOS!$I$2:$I$20000,"Orquesta/Banda/Conjunto"),"")))</f>
        <v/>
      </c>
      <c r="AH719" t="str">
        <f>IF(AE719="","",IF(AE719="[FÓRMULA MANUAL]","",IFERROR(AVERAGEIFS(DATOS!$K$2:$K$20000,DATOS!$A$2:$A$20000,AE719,DATOS!$G$2:$G$20000,CONFIG_METADATA!$B$4,DATOS!$I$2:$I$20000,"Música de Cámara"),"")))</f>
        <v/>
      </c>
      <c r="AI719" t="str">
        <f>IF(AE719="","",IF(AE719="[FÓRMULA MANUAL]","",IFERROR(SUMPRODUCT((DATOS!$A$2:$A$20000=AE719)*(DATOS!$G$2:$G$20000=CONFIG_METADATA!$B$4)*(COUNTIF(CONFIG_ASIGNATURAS!$B$7:$B$27,DATOS!$I$2:$I$20000)&gt;0)*(DATOS!$K$2:$K$20000))/SUMPRODUCT((DATOS!$A$2:$A$20000=AE719)*(DATOS!$G$2:$G$20000=CONFIG_METADATA!$B$4)*(COUNTIF(CONFIG_ASIGNATURAS!$B$7:$B$27,DATOS!$I$2:$I$20000)&gt;0)*1),"")))</f>
        <v/>
      </c>
    </row>
    <row r="720" spans="2:35" x14ac:dyDescent="0.2">
      <c r="B720" t="str">
        <f>IF(A720="","",IF(A720="[FÓRMULA MANUAL]","",IFERROR(AVERAGEIFS(DATOS!$K$2:$K$20000,DATOS!$A$2:$A$20000,A720,DATOS!$G$2:$G$20000,CONFIG_METADATA!$B$4,DATOS!$I$2:$I$20000,"Lenguaje Musical"),"")))</f>
        <v/>
      </c>
      <c r="C720" t="str">
        <f>IF(A720="","",IF(A720="[FÓRMULA MANUAL]","",IFERROR(AVERAGEIFS(DATOS!$K$2:$K$20000,DATOS!$A$2:$A$20000,A720,DATOS!$G$2:$G$20000,CONFIG_METADATA!$B$4,DATOS!$I$2:$I$20000,"Orquesta/Banda/Conjunto"),"")))</f>
        <v/>
      </c>
      <c r="D720" t="str">
        <f>IF(A720="","",IF(A720="[FÓRMULA MANUAL]","",IFERROR(AVERAGEIFS(DATOS!$K$2:$K$20000,DATOS!$A$2:$A$20000,A720,DATOS!$G$2:$G$20000,CONFIG_METADATA!$B$4,DATOS!$I$2:$I$20000,"Conjunto"),"")))</f>
        <v/>
      </c>
      <c r="E720" t="str">
        <f>IF(A720="","",IF(A720="[FÓRMULA MANUAL]","",IFERROR(SUMPRODUCT((DATOS!$A$2:$A$20000=A720)*(DATOS!$G$2:$G$20000=CONFIG_METADATA!$B$4)*(COUNTIF(CONFIG_ASIGNATURAS!$B$7:$B$27,DATOS!$I$2:$I$20000)&gt;0)*(DATOS!$K$2:$K$20000))/SUMPRODUCT((DATOS!$A$2:$A$20000=A720)*(DATOS!$G$2:$G$20000=CONFIG_METADATA!$B$4)*(COUNTIF(CONFIG_ASIGNATURAS!$B$7:$B$27,DATOS!$I$2:$I$20000)&gt;0)*1),"")))</f>
        <v/>
      </c>
      <c r="H720" t="str">
        <f>IF(G720="","",IF(G720="[FÓRMULA MANUAL]","",IFERROR(AVERAGEIFS(DATOS!$K$2:$K$20000,DATOS!$A$2:$A$20000,G720,DATOS!$G$2:$G$20000,CONFIG_METADATA!$B$4,DATOS!$I$2:$I$20000,"Lenguaje Musical"),"")))</f>
        <v/>
      </c>
      <c r="I720" t="str">
        <f>IF(G720="","",IF(G720="[FÓRMULA MANUAL]","",IFERROR(AVERAGEIFS(DATOS!$K$2:$K$20000,DATOS!$A$2:$A$20000,G720,DATOS!$G$2:$G$20000,CONFIG_METADATA!$B$4,DATOS!$I$2:$I$20000,"Orquesta/Banda/Conjunto"),"")))</f>
        <v/>
      </c>
      <c r="J720" t="str">
        <f>IF(G720="","",IF(G720="[FÓRMULA MANUAL]","",IFERROR(AVERAGEIFS(DATOS!$K$2:$K$20000,DATOS!$A$2:$A$20000,G720,DATOS!$G$2:$G$20000,CONFIG_METADATA!$B$4,DATOS!$I$2:$I$20000,"Conjunto"),"")))</f>
        <v/>
      </c>
      <c r="K720" t="str">
        <f>IF(G720="","",IF(G720="[FÓRMULA MANUAL]","",IFERROR(SUMPRODUCT((DATOS!$A$2:$A$20000=G720)*(DATOS!$G$2:$G$20000=CONFIG_METADATA!$B$4)*(COUNTIF(CONFIG_ASIGNATURAS!$B$7:$B$27,DATOS!$I$2:$I$20000)&gt;0)*(DATOS!$K$2:$K$20000))/SUMPRODUCT((DATOS!$A$2:$A$20000=G720)*(DATOS!$G$2:$G$20000=CONFIG_METADATA!$B$4)*(COUNTIF(CONFIG_ASIGNATURAS!$B$7:$B$27,DATOS!$I$2:$I$20000)&gt;0)*1),"")))</f>
        <v/>
      </c>
      <c r="N720" t="str">
        <f>IF(M720="","",IF(M720="[FÓRMULA MANUAL]","",IFERROR(AVERAGEIFS(DATOS!$K$2:$K$20000,DATOS!$A$2:$A$20000,M720,DATOS!$G$2:$G$20000,CONFIG_METADATA!$B$4,DATOS!$I$2:$I$20000,"Armonía"),"")))</f>
        <v/>
      </c>
      <c r="O720" t="str">
        <f>IF(M720="","",IF(M720="[FÓRMULA MANUAL]","",IFERROR(AVERAGEIFS(DATOS!$K$2:$K$20000,DATOS!$A$2:$A$20000,M720,DATOS!$G$2:$G$20000,CONFIG_METADATA!$B$4,DATOS!$I$2:$I$20000,"Orquesta/Banda/Conjunto"),"")))</f>
        <v/>
      </c>
      <c r="P720" t="str">
        <f>IF(M720="","",IF(M720="[FÓRMULA MANUAL]","",IFERROR(AVERAGEIFS(DATOS!$K$2:$K$20000,DATOS!$A$2:$A$20000,M720,DATOS!$G$2:$G$20000,CONFIG_METADATA!$B$4,DATOS!$I$2:$I$20000,"Música de Cámara"),"")))</f>
        <v/>
      </c>
      <c r="Q720" t="str">
        <f>IF(M720="","",IF(M720="[FÓRMULA MANUAL]","",IFERROR(SUMPRODUCT((DATOS!$A$2:$A$20000=M720)*(DATOS!$G$2:$G$20000=CONFIG_METADATA!$B$4)*(COUNTIF(CONFIG_ASIGNATURAS!$B$7:$B$27,DATOS!$I$2:$I$20000)&gt;0)*(DATOS!$K$2:$K$20000))/SUMPRODUCT((DATOS!$A$2:$A$20000=M720)*(DATOS!$G$2:$G$20000=CONFIG_METADATA!$B$4)*(COUNTIF(CONFIG_ASIGNATURAS!$B$7:$B$27,DATOS!$I$2:$I$20000)&gt;0)*1),"")))</f>
        <v/>
      </c>
      <c r="T720" t="str">
        <f>IF(S720="","",IF(S720="[FÓRMULA MANUAL]","",IFERROR(AVERAGEIFS(DATOS!$K$2:$K$20000,DATOS!$A$2:$A$20000,S720,DATOS!$G$2:$G$20000,CONFIG_METADATA!$B$4,DATOS!$I$2:$I$20000,"Armonía"),"")))</f>
        <v/>
      </c>
      <c r="U720" t="str">
        <f>IF(S720="","",IF(S720="[FÓRMULA MANUAL]","",IFERROR(AVERAGEIFS(DATOS!$K$2:$K$20000,DATOS!$A$2:$A$20000,S720,DATOS!$G$2:$G$20000,CONFIG_METADATA!$B$4,DATOS!$I$2:$I$20000,"Orquesta/Banda/Conjunto"),"")))</f>
        <v/>
      </c>
      <c r="V720" t="str">
        <f>IF(S720="","",IF(S720="[FÓRMULA MANUAL]","",IFERROR(AVERAGEIFS(DATOS!$K$2:$K$20000,DATOS!$A$2:$A$20000,S720,DATOS!$G$2:$G$20000,CONFIG_METADATA!$B$4,DATOS!$I$2:$I$20000,"Música de Cámara"),"")))</f>
        <v/>
      </c>
      <c r="W720" t="str">
        <f>IF(S720="","",IF(S720="[FÓRMULA MANUAL]","",IFERROR(SUMPRODUCT((DATOS!$A$2:$A$20000=S720)*(DATOS!$G$2:$G$20000=CONFIG_METADATA!$B$4)*(COUNTIF(CONFIG_ASIGNATURAS!$B$7:$B$27,DATOS!$I$2:$I$20000)&gt;0)*(DATOS!$K$2:$K$20000))/SUMPRODUCT((DATOS!$A$2:$A$20000=S720)*(DATOS!$G$2:$G$20000=CONFIG_METADATA!$B$4)*(COUNTIF(CONFIG_ASIGNATURAS!$B$7:$B$27,DATOS!$I$2:$I$20000)&gt;0)*1),"")))</f>
        <v/>
      </c>
      <c r="Z720" t="str">
        <f>IF(Y720="","",IF(Y720="[FÓRMULA MANUAL]","",IFERROR(AVERAGEIFS(DATOS!$K$2:$K$20000,DATOS!$A$2:$A$20000,Y720,DATOS!$G$2:$G$20000,CONFIG_METADATA!$B$4,DATOS!$I$2:$I$20000,"Análisis"),"")))</f>
        <v/>
      </c>
      <c r="AA720" t="str">
        <f>IF(Y720="","",IF(Y720="[FÓRMULA MANUAL]","",IFERROR(AVERAGEIFS(DATOS!$K$2:$K$20000,DATOS!$A$2:$A$20000,Y720,DATOS!$G$2:$G$20000,CONFIG_METADATA!$B$4,DATOS!$I$2:$I$20000,"Orquesta/Banda/Conjunto"),"")))</f>
        <v/>
      </c>
      <c r="AB720" t="str">
        <f>IF(Y720="","",IF(Y720="[FÓRMULA MANUAL]","",IFERROR(AVERAGEIFS(DATOS!$K$2:$K$20000,DATOS!$A$2:$A$20000,Y720,DATOS!$G$2:$G$20000,CONFIG_METADATA!$B$4,DATOS!$I$2:$I$20000,"Música de Cámara"),"")))</f>
        <v/>
      </c>
      <c r="AC720" t="str">
        <f>IF(Y720="","",IF(Y720="[FÓRMULA MANUAL]","",IFERROR(SUMPRODUCT((DATOS!$A$2:$A$20000=Y720)*(DATOS!$G$2:$G$20000=CONFIG_METADATA!$B$4)*(COUNTIF(CONFIG_ASIGNATURAS!$B$7:$B$27,DATOS!$I$2:$I$20000)&gt;0)*(DATOS!$K$2:$K$20000))/SUMPRODUCT((DATOS!$A$2:$A$20000=Y720)*(DATOS!$G$2:$G$20000=CONFIG_METADATA!$B$4)*(COUNTIF(CONFIG_ASIGNATURAS!$B$7:$B$27,DATOS!$I$2:$I$20000)&gt;0)*1),"")))</f>
        <v/>
      </c>
      <c r="AF720" t="str">
        <f>IF(AE720="","",IF(AE720="[FÓRMULA MANUAL]","",IFERROR(AVERAGEIFS(DATOS!$K$2:$K$20000,DATOS!$A$2:$A$20000,AE720,DATOS!$G$2:$G$20000,CONFIG_METADATA!$B$4,DATOS!$I$2:$I$20000,"Análisis"),"")))</f>
        <v/>
      </c>
      <c r="AG720" t="str">
        <f>IF(AE720="","",IF(AE720="[FÓRMULA MANUAL]","",IFERROR(AVERAGEIFS(DATOS!$K$2:$K$20000,DATOS!$A$2:$A$20000,AE720,DATOS!$G$2:$G$20000,CONFIG_METADATA!$B$4,DATOS!$I$2:$I$20000,"Orquesta/Banda/Conjunto"),"")))</f>
        <v/>
      </c>
      <c r="AH720" t="str">
        <f>IF(AE720="","",IF(AE720="[FÓRMULA MANUAL]","",IFERROR(AVERAGEIFS(DATOS!$K$2:$K$20000,DATOS!$A$2:$A$20000,AE720,DATOS!$G$2:$G$20000,CONFIG_METADATA!$B$4,DATOS!$I$2:$I$20000,"Música de Cámara"),"")))</f>
        <v/>
      </c>
      <c r="AI720" t="str">
        <f>IF(AE720="","",IF(AE720="[FÓRMULA MANUAL]","",IFERROR(SUMPRODUCT((DATOS!$A$2:$A$20000=AE720)*(DATOS!$G$2:$G$20000=CONFIG_METADATA!$B$4)*(COUNTIF(CONFIG_ASIGNATURAS!$B$7:$B$27,DATOS!$I$2:$I$20000)&gt;0)*(DATOS!$K$2:$K$20000))/SUMPRODUCT((DATOS!$A$2:$A$20000=AE720)*(DATOS!$G$2:$G$20000=CONFIG_METADATA!$B$4)*(COUNTIF(CONFIG_ASIGNATURAS!$B$7:$B$27,DATOS!$I$2:$I$20000)&gt;0)*1),"")))</f>
        <v/>
      </c>
    </row>
    <row r="721" spans="2:35" x14ac:dyDescent="0.2">
      <c r="B721" t="str">
        <f>IF(A721="","",IF(A721="[FÓRMULA MANUAL]","",IFERROR(AVERAGEIFS(DATOS!$K$2:$K$20000,DATOS!$A$2:$A$20000,A721,DATOS!$G$2:$G$20000,CONFIG_METADATA!$B$4,DATOS!$I$2:$I$20000,"Lenguaje Musical"),"")))</f>
        <v/>
      </c>
      <c r="C721" t="str">
        <f>IF(A721="","",IF(A721="[FÓRMULA MANUAL]","",IFERROR(AVERAGEIFS(DATOS!$K$2:$K$20000,DATOS!$A$2:$A$20000,A721,DATOS!$G$2:$G$20000,CONFIG_METADATA!$B$4,DATOS!$I$2:$I$20000,"Orquesta/Banda/Conjunto"),"")))</f>
        <v/>
      </c>
      <c r="D721" t="str">
        <f>IF(A721="","",IF(A721="[FÓRMULA MANUAL]","",IFERROR(AVERAGEIFS(DATOS!$K$2:$K$20000,DATOS!$A$2:$A$20000,A721,DATOS!$G$2:$G$20000,CONFIG_METADATA!$B$4,DATOS!$I$2:$I$20000,"Conjunto"),"")))</f>
        <v/>
      </c>
      <c r="E721" t="str">
        <f>IF(A721="","",IF(A721="[FÓRMULA MANUAL]","",IFERROR(SUMPRODUCT((DATOS!$A$2:$A$20000=A721)*(DATOS!$G$2:$G$20000=CONFIG_METADATA!$B$4)*(COUNTIF(CONFIG_ASIGNATURAS!$B$7:$B$27,DATOS!$I$2:$I$20000)&gt;0)*(DATOS!$K$2:$K$20000))/SUMPRODUCT((DATOS!$A$2:$A$20000=A721)*(DATOS!$G$2:$G$20000=CONFIG_METADATA!$B$4)*(COUNTIF(CONFIG_ASIGNATURAS!$B$7:$B$27,DATOS!$I$2:$I$20000)&gt;0)*1),"")))</f>
        <v/>
      </c>
      <c r="H721" t="str">
        <f>IF(G721="","",IF(G721="[FÓRMULA MANUAL]","",IFERROR(AVERAGEIFS(DATOS!$K$2:$K$20000,DATOS!$A$2:$A$20000,G721,DATOS!$G$2:$G$20000,CONFIG_METADATA!$B$4,DATOS!$I$2:$I$20000,"Lenguaje Musical"),"")))</f>
        <v/>
      </c>
      <c r="I721" t="str">
        <f>IF(G721="","",IF(G721="[FÓRMULA MANUAL]","",IFERROR(AVERAGEIFS(DATOS!$K$2:$K$20000,DATOS!$A$2:$A$20000,G721,DATOS!$G$2:$G$20000,CONFIG_METADATA!$B$4,DATOS!$I$2:$I$20000,"Orquesta/Banda/Conjunto"),"")))</f>
        <v/>
      </c>
      <c r="J721" t="str">
        <f>IF(G721="","",IF(G721="[FÓRMULA MANUAL]","",IFERROR(AVERAGEIFS(DATOS!$K$2:$K$20000,DATOS!$A$2:$A$20000,G721,DATOS!$G$2:$G$20000,CONFIG_METADATA!$B$4,DATOS!$I$2:$I$20000,"Conjunto"),"")))</f>
        <v/>
      </c>
      <c r="K721" t="str">
        <f>IF(G721="","",IF(G721="[FÓRMULA MANUAL]","",IFERROR(SUMPRODUCT((DATOS!$A$2:$A$20000=G721)*(DATOS!$G$2:$G$20000=CONFIG_METADATA!$B$4)*(COUNTIF(CONFIG_ASIGNATURAS!$B$7:$B$27,DATOS!$I$2:$I$20000)&gt;0)*(DATOS!$K$2:$K$20000))/SUMPRODUCT((DATOS!$A$2:$A$20000=G721)*(DATOS!$G$2:$G$20000=CONFIG_METADATA!$B$4)*(COUNTIF(CONFIG_ASIGNATURAS!$B$7:$B$27,DATOS!$I$2:$I$20000)&gt;0)*1),"")))</f>
        <v/>
      </c>
      <c r="N721" t="str">
        <f>IF(M721="","",IF(M721="[FÓRMULA MANUAL]","",IFERROR(AVERAGEIFS(DATOS!$K$2:$K$20000,DATOS!$A$2:$A$20000,M721,DATOS!$G$2:$G$20000,CONFIG_METADATA!$B$4,DATOS!$I$2:$I$20000,"Armonía"),"")))</f>
        <v/>
      </c>
      <c r="O721" t="str">
        <f>IF(M721="","",IF(M721="[FÓRMULA MANUAL]","",IFERROR(AVERAGEIFS(DATOS!$K$2:$K$20000,DATOS!$A$2:$A$20000,M721,DATOS!$G$2:$G$20000,CONFIG_METADATA!$B$4,DATOS!$I$2:$I$20000,"Orquesta/Banda/Conjunto"),"")))</f>
        <v/>
      </c>
      <c r="P721" t="str">
        <f>IF(M721="","",IF(M721="[FÓRMULA MANUAL]","",IFERROR(AVERAGEIFS(DATOS!$K$2:$K$20000,DATOS!$A$2:$A$20000,M721,DATOS!$G$2:$G$20000,CONFIG_METADATA!$B$4,DATOS!$I$2:$I$20000,"Música de Cámara"),"")))</f>
        <v/>
      </c>
      <c r="Q721" t="str">
        <f>IF(M721="","",IF(M721="[FÓRMULA MANUAL]","",IFERROR(SUMPRODUCT((DATOS!$A$2:$A$20000=M721)*(DATOS!$G$2:$G$20000=CONFIG_METADATA!$B$4)*(COUNTIF(CONFIG_ASIGNATURAS!$B$7:$B$27,DATOS!$I$2:$I$20000)&gt;0)*(DATOS!$K$2:$K$20000))/SUMPRODUCT((DATOS!$A$2:$A$20000=M721)*(DATOS!$G$2:$G$20000=CONFIG_METADATA!$B$4)*(COUNTIF(CONFIG_ASIGNATURAS!$B$7:$B$27,DATOS!$I$2:$I$20000)&gt;0)*1),"")))</f>
        <v/>
      </c>
      <c r="T721" t="str">
        <f>IF(S721="","",IF(S721="[FÓRMULA MANUAL]","",IFERROR(AVERAGEIFS(DATOS!$K$2:$K$20000,DATOS!$A$2:$A$20000,S721,DATOS!$G$2:$G$20000,CONFIG_METADATA!$B$4,DATOS!$I$2:$I$20000,"Armonía"),"")))</f>
        <v/>
      </c>
      <c r="U721" t="str">
        <f>IF(S721="","",IF(S721="[FÓRMULA MANUAL]","",IFERROR(AVERAGEIFS(DATOS!$K$2:$K$20000,DATOS!$A$2:$A$20000,S721,DATOS!$G$2:$G$20000,CONFIG_METADATA!$B$4,DATOS!$I$2:$I$20000,"Orquesta/Banda/Conjunto"),"")))</f>
        <v/>
      </c>
      <c r="V721" t="str">
        <f>IF(S721="","",IF(S721="[FÓRMULA MANUAL]","",IFERROR(AVERAGEIFS(DATOS!$K$2:$K$20000,DATOS!$A$2:$A$20000,S721,DATOS!$G$2:$G$20000,CONFIG_METADATA!$B$4,DATOS!$I$2:$I$20000,"Música de Cámara"),"")))</f>
        <v/>
      </c>
      <c r="W721" t="str">
        <f>IF(S721="","",IF(S721="[FÓRMULA MANUAL]","",IFERROR(SUMPRODUCT((DATOS!$A$2:$A$20000=S721)*(DATOS!$G$2:$G$20000=CONFIG_METADATA!$B$4)*(COUNTIF(CONFIG_ASIGNATURAS!$B$7:$B$27,DATOS!$I$2:$I$20000)&gt;0)*(DATOS!$K$2:$K$20000))/SUMPRODUCT((DATOS!$A$2:$A$20000=S721)*(DATOS!$G$2:$G$20000=CONFIG_METADATA!$B$4)*(COUNTIF(CONFIG_ASIGNATURAS!$B$7:$B$27,DATOS!$I$2:$I$20000)&gt;0)*1),"")))</f>
        <v/>
      </c>
      <c r="Z721" t="str">
        <f>IF(Y721="","",IF(Y721="[FÓRMULA MANUAL]","",IFERROR(AVERAGEIFS(DATOS!$K$2:$K$20000,DATOS!$A$2:$A$20000,Y721,DATOS!$G$2:$G$20000,CONFIG_METADATA!$B$4,DATOS!$I$2:$I$20000,"Análisis"),"")))</f>
        <v/>
      </c>
      <c r="AA721" t="str">
        <f>IF(Y721="","",IF(Y721="[FÓRMULA MANUAL]","",IFERROR(AVERAGEIFS(DATOS!$K$2:$K$20000,DATOS!$A$2:$A$20000,Y721,DATOS!$G$2:$G$20000,CONFIG_METADATA!$B$4,DATOS!$I$2:$I$20000,"Orquesta/Banda/Conjunto"),"")))</f>
        <v/>
      </c>
      <c r="AB721" t="str">
        <f>IF(Y721="","",IF(Y721="[FÓRMULA MANUAL]","",IFERROR(AVERAGEIFS(DATOS!$K$2:$K$20000,DATOS!$A$2:$A$20000,Y721,DATOS!$G$2:$G$20000,CONFIG_METADATA!$B$4,DATOS!$I$2:$I$20000,"Música de Cámara"),"")))</f>
        <v/>
      </c>
      <c r="AC721" t="str">
        <f>IF(Y721="","",IF(Y721="[FÓRMULA MANUAL]","",IFERROR(SUMPRODUCT((DATOS!$A$2:$A$20000=Y721)*(DATOS!$G$2:$G$20000=CONFIG_METADATA!$B$4)*(COUNTIF(CONFIG_ASIGNATURAS!$B$7:$B$27,DATOS!$I$2:$I$20000)&gt;0)*(DATOS!$K$2:$K$20000))/SUMPRODUCT((DATOS!$A$2:$A$20000=Y721)*(DATOS!$G$2:$G$20000=CONFIG_METADATA!$B$4)*(COUNTIF(CONFIG_ASIGNATURAS!$B$7:$B$27,DATOS!$I$2:$I$20000)&gt;0)*1),"")))</f>
        <v/>
      </c>
      <c r="AF721" t="str">
        <f>IF(AE721="","",IF(AE721="[FÓRMULA MANUAL]","",IFERROR(AVERAGEIFS(DATOS!$K$2:$K$20000,DATOS!$A$2:$A$20000,AE721,DATOS!$G$2:$G$20000,CONFIG_METADATA!$B$4,DATOS!$I$2:$I$20000,"Análisis"),"")))</f>
        <v/>
      </c>
      <c r="AG721" t="str">
        <f>IF(AE721="","",IF(AE721="[FÓRMULA MANUAL]","",IFERROR(AVERAGEIFS(DATOS!$K$2:$K$20000,DATOS!$A$2:$A$20000,AE721,DATOS!$G$2:$G$20000,CONFIG_METADATA!$B$4,DATOS!$I$2:$I$20000,"Orquesta/Banda/Conjunto"),"")))</f>
        <v/>
      </c>
      <c r="AH721" t="str">
        <f>IF(AE721="","",IF(AE721="[FÓRMULA MANUAL]","",IFERROR(AVERAGEIFS(DATOS!$K$2:$K$20000,DATOS!$A$2:$A$20000,AE721,DATOS!$G$2:$G$20000,CONFIG_METADATA!$B$4,DATOS!$I$2:$I$20000,"Música de Cámara"),"")))</f>
        <v/>
      </c>
      <c r="AI721" t="str">
        <f>IF(AE721="","",IF(AE721="[FÓRMULA MANUAL]","",IFERROR(SUMPRODUCT((DATOS!$A$2:$A$20000=AE721)*(DATOS!$G$2:$G$20000=CONFIG_METADATA!$B$4)*(COUNTIF(CONFIG_ASIGNATURAS!$B$7:$B$27,DATOS!$I$2:$I$20000)&gt;0)*(DATOS!$K$2:$K$20000))/SUMPRODUCT((DATOS!$A$2:$A$20000=AE721)*(DATOS!$G$2:$G$20000=CONFIG_METADATA!$B$4)*(COUNTIF(CONFIG_ASIGNATURAS!$B$7:$B$27,DATOS!$I$2:$I$20000)&gt;0)*1),"")))</f>
        <v/>
      </c>
    </row>
    <row r="722" spans="2:35" x14ac:dyDescent="0.2">
      <c r="B722" t="str">
        <f>IF(A722="","",IF(A722="[FÓRMULA MANUAL]","",IFERROR(AVERAGEIFS(DATOS!$K$2:$K$20000,DATOS!$A$2:$A$20000,A722,DATOS!$G$2:$G$20000,CONFIG_METADATA!$B$4,DATOS!$I$2:$I$20000,"Lenguaje Musical"),"")))</f>
        <v/>
      </c>
      <c r="C722" t="str">
        <f>IF(A722="","",IF(A722="[FÓRMULA MANUAL]","",IFERROR(AVERAGEIFS(DATOS!$K$2:$K$20000,DATOS!$A$2:$A$20000,A722,DATOS!$G$2:$G$20000,CONFIG_METADATA!$B$4,DATOS!$I$2:$I$20000,"Orquesta/Banda/Conjunto"),"")))</f>
        <v/>
      </c>
      <c r="D722" t="str">
        <f>IF(A722="","",IF(A722="[FÓRMULA MANUAL]","",IFERROR(AVERAGEIFS(DATOS!$K$2:$K$20000,DATOS!$A$2:$A$20000,A722,DATOS!$G$2:$G$20000,CONFIG_METADATA!$B$4,DATOS!$I$2:$I$20000,"Conjunto"),"")))</f>
        <v/>
      </c>
      <c r="E722" t="str">
        <f>IF(A722="","",IF(A722="[FÓRMULA MANUAL]","",IFERROR(SUMPRODUCT((DATOS!$A$2:$A$20000=A722)*(DATOS!$G$2:$G$20000=CONFIG_METADATA!$B$4)*(COUNTIF(CONFIG_ASIGNATURAS!$B$7:$B$27,DATOS!$I$2:$I$20000)&gt;0)*(DATOS!$K$2:$K$20000))/SUMPRODUCT((DATOS!$A$2:$A$20000=A722)*(DATOS!$G$2:$G$20000=CONFIG_METADATA!$B$4)*(COUNTIF(CONFIG_ASIGNATURAS!$B$7:$B$27,DATOS!$I$2:$I$20000)&gt;0)*1),"")))</f>
        <v/>
      </c>
      <c r="H722" t="str">
        <f>IF(G722="","",IF(G722="[FÓRMULA MANUAL]","",IFERROR(AVERAGEIFS(DATOS!$K$2:$K$20000,DATOS!$A$2:$A$20000,G722,DATOS!$G$2:$G$20000,CONFIG_METADATA!$B$4,DATOS!$I$2:$I$20000,"Lenguaje Musical"),"")))</f>
        <v/>
      </c>
      <c r="I722" t="str">
        <f>IF(G722="","",IF(G722="[FÓRMULA MANUAL]","",IFERROR(AVERAGEIFS(DATOS!$K$2:$K$20000,DATOS!$A$2:$A$20000,G722,DATOS!$G$2:$G$20000,CONFIG_METADATA!$B$4,DATOS!$I$2:$I$20000,"Orquesta/Banda/Conjunto"),"")))</f>
        <v/>
      </c>
      <c r="J722" t="str">
        <f>IF(G722="","",IF(G722="[FÓRMULA MANUAL]","",IFERROR(AVERAGEIFS(DATOS!$K$2:$K$20000,DATOS!$A$2:$A$20000,G722,DATOS!$G$2:$G$20000,CONFIG_METADATA!$B$4,DATOS!$I$2:$I$20000,"Conjunto"),"")))</f>
        <v/>
      </c>
      <c r="K722" t="str">
        <f>IF(G722="","",IF(G722="[FÓRMULA MANUAL]","",IFERROR(SUMPRODUCT((DATOS!$A$2:$A$20000=G722)*(DATOS!$G$2:$G$20000=CONFIG_METADATA!$B$4)*(COUNTIF(CONFIG_ASIGNATURAS!$B$7:$B$27,DATOS!$I$2:$I$20000)&gt;0)*(DATOS!$K$2:$K$20000))/SUMPRODUCT((DATOS!$A$2:$A$20000=G722)*(DATOS!$G$2:$G$20000=CONFIG_METADATA!$B$4)*(COUNTIF(CONFIG_ASIGNATURAS!$B$7:$B$27,DATOS!$I$2:$I$20000)&gt;0)*1),"")))</f>
        <v/>
      </c>
      <c r="N722" t="str">
        <f>IF(M722="","",IF(M722="[FÓRMULA MANUAL]","",IFERROR(AVERAGEIFS(DATOS!$K$2:$K$20000,DATOS!$A$2:$A$20000,M722,DATOS!$G$2:$G$20000,CONFIG_METADATA!$B$4,DATOS!$I$2:$I$20000,"Armonía"),"")))</f>
        <v/>
      </c>
      <c r="O722" t="str">
        <f>IF(M722="","",IF(M722="[FÓRMULA MANUAL]","",IFERROR(AVERAGEIFS(DATOS!$K$2:$K$20000,DATOS!$A$2:$A$20000,M722,DATOS!$G$2:$G$20000,CONFIG_METADATA!$B$4,DATOS!$I$2:$I$20000,"Orquesta/Banda/Conjunto"),"")))</f>
        <v/>
      </c>
      <c r="P722" t="str">
        <f>IF(M722="","",IF(M722="[FÓRMULA MANUAL]","",IFERROR(AVERAGEIFS(DATOS!$K$2:$K$20000,DATOS!$A$2:$A$20000,M722,DATOS!$G$2:$G$20000,CONFIG_METADATA!$B$4,DATOS!$I$2:$I$20000,"Música de Cámara"),"")))</f>
        <v/>
      </c>
      <c r="Q722" t="str">
        <f>IF(M722="","",IF(M722="[FÓRMULA MANUAL]","",IFERROR(SUMPRODUCT((DATOS!$A$2:$A$20000=M722)*(DATOS!$G$2:$G$20000=CONFIG_METADATA!$B$4)*(COUNTIF(CONFIG_ASIGNATURAS!$B$7:$B$27,DATOS!$I$2:$I$20000)&gt;0)*(DATOS!$K$2:$K$20000))/SUMPRODUCT((DATOS!$A$2:$A$20000=M722)*(DATOS!$G$2:$G$20000=CONFIG_METADATA!$B$4)*(COUNTIF(CONFIG_ASIGNATURAS!$B$7:$B$27,DATOS!$I$2:$I$20000)&gt;0)*1),"")))</f>
        <v/>
      </c>
      <c r="T722" t="str">
        <f>IF(S722="","",IF(S722="[FÓRMULA MANUAL]","",IFERROR(AVERAGEIFS(DATOS!$K$2:$K$20000,DATOS!$A$2:$A$20000,S722,DATOS!$G$2:$G$20000,CONFIG_METADATA!$B$4,DATOS!$I$2:$I$20000,"Armonía"),"")))</f>
        <v/>
      </c>
      <c r="U722" t="str">
        <f>IF(S722="","",IF(S722="[FÓRMULA MANUAL]","",IFERROR(AVERAGEIFS(DATOS!$K$2:$K$20000,DATOS!$A$2:$A$20000,S722,DATOS!$G$2:$G$20000,CONFIG_METADATA!$B$4,DATOS!$I$2:$I$20000,"Orquesta/Banda/Conjunto"),"")))</f>
        <v/>
      </c>
      <c r="V722" t="str">
        <f>IF(S722="","",IF(S722="[FÓRMULA MANUAL]","",IFERROR(AVERAGEIFS(DATOS!$K$2:$K$20000,DATOS!$A$2:$A$20000,S722,DATOS!$G$2:$G$20000,CONFIG_METADATA!$B$4,DATOS!$I$2:$I$20000,"Música de Cámara"),"")))</f>
        <v/>
      </c>
      <c r="W722" t="str">
        <f>IF(S722="","",IF(S722="[FÓRMULA MANUAL]","",IFERROR(SUMPRODUCT((DATOS!$A$2:$A$20000=S722)*(DATOS!$G$2:$G$20000=CONFIG_METADATA!$B$4)*(COUNTIF(CONFIG_ASIGNATURAS!$B$7:$B$27,DATOS!$I$2:$I$20000)&gt;0)*(DATOS!$K$2:$K$20000))/SUMPRODUCT((DATOS!$A$2:$A$20000=S722)*(DATOS!$G$2:$G$20000=CONFIG_METADATA!$B$4)*(COUNTIF(CONFIG_ASIGNATURAS!$B$7:$B$27,DATOS!$I$2:$I$20000)&gt;0)*1),"")))</f>
        <v/>
      </c>
      <c r="Z722" t="str">
        <f>IF(Y722="","",IF(Y722="[FÓRMULA MANUAL]","",IFERROR(AVERAGEIFS(DATOS!$K$2:$K$20000,DATOS!$A$2:$A$20000,Y722,DATOS!$G$2:$G$20000,CONFIG_METADATA!$B$4,DATOS!$I$2:$I$20000,"Análisis"),"")))</f>
        <v/>
      </c>
      <c r="AA722" t="str">
        <f>IF(Y722="","",IF(Y722="[FÓRMULA MANUAL]","",IFERROR(AVERAGEIFS(DATOS!$K$2:$K$20000,DATOS!$A$2:$A$20000,Y722,DATOS!$G$2:$G$20000,CONFIG_METADATA!$B$4,DATOS!$I$2:$I$20000,"Orquesta/Banda/Conjunto"),"")))</f>
        <v/>
      </c>
      <c r="AB722" t="str">
        <f>IF(Y722="","",IF(Y722="[FÓRMULA MANUAL]","",IFERROR(AVERAGEIFS(DATOS!$K$2:$K$20000,DATOS!$A$2:$A$20000,Y722,DATOS!$G$2:$G$20000,CONFIG_METADATA!$B$4,DATOS!$I$2:$I$20000,"Música de Cámara"),"")))</f>
        <v/>
      </c>
      <c r="AC722" t="str">
        <f>IF(Y722="","",IF(Y722="[FÓRMULA MANUAL]","",IFERROR(SUMPRODUCT((DATOS!$A$2:$A$20000=Y722)*(DATOS!$G$2:$G$20000=CONFIG_METADATA!$B$4)*(COUNTIF(CONFIG_ASIGNATURAS!$B$7:$B$27,DATOS!$I$2:$I$20000)&gt;0)*(DATOS!$K$2:$K$20000))/SUMPRODUCT((DATOS!$A$2:$A$20000=Y722)*(DATOS!$G$2:$G$20000=CONFIG_METADATA!$B$4)*(COUNTIF(CONFIG_ASIGNATURAS!$B$7:$B$27,DATOS!$I$2:$I$20000)&gt;0)*1),"")))</f>
        <v/>
      </c>
      <c r="AF722" t="str">
        <f>IF(AE722="","",IF(AE722="[FÓRMULA MANUAL]","",IFERROR(AVERAGEIFS(DATOS!$K$2:$K$20000,DATOS!$A$2:$A$20000,AE722,DATOS!$G$2:$G$20000,CONFIG_METADATA!$B$4,DATOS!$I$2:$I$20000,"Análisis"),"")))</f>
        <v/>
      </c>
      <c r="AG722" t="str">
        <f>IF(AE722="","",IF(AE722="[FÓRMULA MANUAL]","",IFERROR(AVERAGEIFS(DATOS!$K$2:$K$20000,DATOS!$A$2:$A$20000,AE722,DATOS!$G$2:$G$20000,CONFIG_METADATA!$B$4,DATOS!$I$2:$I$20000,"Orquesta/Banda/Conjunto"),"")))</f>
        <v/>
      </c>
      <c r="AH722" t="str">
        <f>IF(AE722="","",IF(AE722="[FÓRMULA MANUAL]","",IFERROR(AVERAGEIFS(DATOS!$K$2:$K$20000,DATOS!$A$2:$A$20000,AE722,DATOS!$G$2:$G$20000,CONFIG_METADATA!$B$4,DATOS!$I$2:$I$20000,"Música de Cámara"),"")))</f>
        <v/>
      </c>
      <c r="AI722" t="str">
        <f>IF(AE722="","",IF(AE722="[FÓRMULA MANUAL]","",IFERROR(SUMPRODUCT((DATOS!$A$2:$A$20000=AE722)*(DATOS!$G$2:$G$20000=CONFIG_METADATA!$B$4)*(COUNTIF(CONFIG_ASIGNATURAS!$B$7:$B$27,DATOS!$I$2:$I$20000)&gt;0)*(DATOS!$K$2:$K$20000))/SUMPRODUCT((DATOS!$A$2:$A$20000=AE722)*(DATOS!$G$2:$G$20000=CONFIG_METADATA!$B$4)*(COUNTIF(CONFIG_ASIGNATURAS!$B$7:$B$27,DATOS!$I$2:$I$20000)&gt;0)*1),"")))</f>
        <v/>
      </c>
    </row>
    <row r="723" spans="2:35" x14ac:dyDescent="0.2">
      <c r="B723" t="str">
        <f>IF(A723="","",IF(A723="[FÓRMULA MANUAL]","",IFERROR(AVERAGEIFS(DATOS!$K$2:$K$20000,DATOS!$A$2:$A$20000,A723,DATOS!$G$2:$G$20000,CONFIG_METADATA!$B$4,DATOS!$I$2:$I$20000,"Lenguaje Musical"),"")))</f>
        <v/>
      </c>
      <c r="C723" t="str">
        <f>IF(A723="","",IF(A723="[FÓRMULA MANUAL]","",IFERROR(AVERAGEIFS(DATOS!$K$2:$K$20000,DATOS!$A$2:$A$20000,A723,DATOS!$G$2:$G$20000,CONFIG_METADATA!$B$4,DATOS!$I$2:$I$20000,"Orquesta/Banda/Conjunto"),"")))</f>
        <v/>
      </c>
      <c r="D723" t="str">
        <f>IF(A723="","",IF(A723="[FÓRMULA MANUAL]","",IFERROR(AVERAGEIFS(DATOS!$K$2:$K$20000,DATOS!$A$2:$A$20000,A723,DATOS!$G$2:$G$20000,CONFIG_METADATA!$B$4,DATOS!$I$2:$I$20000,"Conjunto"),"")))</f>
        <v/>
      </c>
      <c r="E723" t="str">
        <f>IF(A723="","",IF(A723="[FÓRMULA MANUAL]","",IFERROR(SUMPRODUCT((DATOS!$A$2:$A$20000=A723)*(DATOS!$G$2:$G$20000=CONFIG_METADATA!$B$4)*(COUNTIF(CONFIG_ASIGNATURAS!$B$7:$B$27,DATOS!$I$2:$I$20000)&gt;0)*(DATOS!$K$2:$K$20000))/SUMPRODUCT((DATOS!$A$2:$A$20000=A723)*(DATOS!$G$2:$G$20000=CONFIG_METADATA!$B$4)*(COUNTIF(CONFIG_ASIGNATURAS!$B$7:$B$27,DATOS!$I$2:$I$20000)&gt;0)*1),"")))</f>
        <v/>
      </c>
      <c r="H723" t="str">
        <f>IF(G723="","",IF(G723="[FÓRMULA MANUAL]","",IFERROR(AVERAGEIFS(DATOS!$K$2:$K$20000,DATOS!$A$2:$A$20000,G723,DATOS!$G$2:$G$20000,CONFIG_METADATA!$B$4,DATOS!$I$2:$I$20000,"Lenguaje Musical"),"")))</f>
        <v/>
      </c>
      <c r="I723" t="str">
        <f>IF(G723="","",IF(G723="[FÓRMULA MANUAL]","",IFERROR(AVERAGEIFS(DATOS!$K$2:$K$20000,DATOS!$A$2:$A$20000,G723,DATOS!$G$2:$G$20000,CONFIG_METADATA!$B$4,DATOS!$I$2:$I$20000,"Orquesta/Banda/Conjunto"),"")))</f>
        <v/>
      </c>
      <c r="J723" t="str">
        <f>IF(G723="","",IF(G723="[FÓRMULA MANUAL]","",IFERROR(AVERAGEIFS(DATOS!$K$2:$K$20000,DATOS!$A$2:$A$20000,G723,DATOS!$G$2:$G$20000,CONFIG_METADATA!$B$4,DATOS!$I$2:$I$20000,"Conjunto"),"")))</f>
        <v/>
      </c>
      <c r="K723" t="str">
        <f>IF(G723="","",IF(G723="[FÓRMULA MANUAL]","",IFERROR(SUMPRODUCT((DATOS!$A$2:$A$20000=G723)*(DATOS!$G$2:$G$20000=CONFIG_METADATA!$B$4)*(COUNTIF(CONFIG_ASIGNATURAS!$B$7:$B$27,DATOS!$I$2:$I$20000)&gt;0)*(DATOS!$K$2:$K$20000))/SUMPRODUCT((DATOS!$A$2:$A$20000=G723)*(DATOS!$G$2:$G$20000=CONFIG_METADATA!$B$4)*(COUNTIF(CONFIG_ASIGNATURAS!$B$7:$B$27,DATOS!$I$2:$I$20000)&gt;0)*1),"")))</f>
        <v/>
      </c>
      <c r="N723" t="str">
        <f>IF(M723="","",IF(M723="[FÓRMULA MANUAL]","",IFERROR(AVERAGEIFS(DATOS!$K$2:$K$20000,DATOS!$A$2:$A$20000,M723,DATOS!$G$2:$G$20000,CONFIG_METADATA!$B$4,DATOS!$I$2:$I$20000,"Armonía"),"")))</f>
        <v/>
      </c>
      <c r="O723" t="str">
        <f>IF(M723="","",IF(M723="[FÓRMULA MANUAL]","",IFERROR(AVERAGEIFS(DATOS!$K$2:$K$20000,DATOS!$A$2:$A$20000,M723,DATOS!$G$2:$G$20000,CONFIG_METADATA!$B$4,DATOS!$I$2:$I$20000,"Orquesta/Banda/Conjunto"),"")))</f>
        <v/>
      </c>
      <c r="P723" t="str">
        <f>IF(M723="","",IF(M723="[FÓRMULA MANUAL]","",IFERROR(AVERAGEIFS(DATOS!$K$2:$K$20000,DATOS!$A$2:$A$20000,M723,DATOS!$G$2:$G$20000,CONFIG_METADATA!$B$4,DATOS!$I$2:$I$20000,"Música de Cámara"),"")))</f>
        <v/>
      </c>
      <c r="Q723" t="str">
        <f>IF(M723="","",IF(M723="[FÓRMULA MANUAL]","",IFERROR(SUMPRODUCT((DATOS!$A$2:$A$20000=M723)*(DATOS!$G$2:$G$20000=CONFIG_METADATA!$B$4)*(COUNTIF(CONFIG_ASIGNATURAS!$B$7:$B$27,DATOS!$I$2:$I$20000)&gt;0)*(DATOS!$K$2:$K$20000))/SUMPRODUCT((DATOS!$A$2:$A$20000=M723)*(DATOS!$G$2:$G$20000=CONFIG_METADATA!$B$4)*(COUNTIF(CONFIG_ASIGNATURAS!$B$7:$B$27,DATOS!$I$2:$I$20000)&gt;0)*1),"")))</f>
        <v/>
      </c>
      <c r="T723" t="str">
        <f>IF(S723="","",IF(S723="[FÓRMULA MANUAL]","",IFERROR(AVERAGEIFS(DATOS!$K$2:$K$20000,DATOS!$A$2:$A$20000,S723,DATOS!$G$2:$G$20000,CONFIG_METADATA!$B$4,DATOS!$I$2:$I$20000,"Armonía"),"")))</f>
        <v/>
      </c>
      <c r="U723" t="str">
        <f>IF(S723="","",IF(S723="[FÓRMULA MANUAL]","",IFERROR(AVERAGEIFS(DATOS!$K$2:$K$20000,DATOS!$A$2:$A$20000,S723,DATOS!$G$2:$G$20000,CONFIG_METADATA!$B$4,DATOS!$I$2:$I$20000,"Orquesta/Banda/Conjunto"),"")))</f>
        <v/>
      </c>
      <c r="V723" t="str">
        <f>IF(S723="","",IF(S723="[FÓRMULA MANUAL]","",IFERROR(AVERAGEIFS(DATOS!$K$2:$K$20000,DATOS!$A$2:$A$20000,S723,DATOS!$G$2:$G$20000,CONFIG_METADATA!$B$4,DATOS!$I$2:$I$20000,"Música de Cámara"),"")))</f>
        <v/>
      </c>
      <c r="W723" t="str">
        <f>IF(S723="","",IF(S723="[FÓRMULA MANUAL]","",IFERROR(SUMPRODUCT((DATOS!$A$2:$A$20000=S723)*(DATOS!$G$2:$G$20000=CONFIG_METADATA!$B$4)*(COUNTIF(CONFIG_ASIGNATURAS!$B$7:$B$27,DATOS!$I$2:$I$20000)&gt;0)*(DATOS!$K$2:$K$20000))/SUMPRODUCT((DATOS!$A$2:$A$20000=S723)*(DATOS!$G$2:$G$20000=CONFIG_METADATA!$B$4)*(COUNTIF(CONFIG_ASIGNATURAS!$B$7:$B$27,DATOS!$I$2:$I$20000)&gt;0)*1),"")))</f>
        <v/>
      </c>
      <c r="Z723" t="str">
        <f>IF(Y723="","",IF(Y723="[FÓRMULA MANUAL]","",IFERROR(AVERAGEIFS(DATOS!$K$2:$K$20000,DATOS!$A$2:$A$20000,Y723,DATOS!$G$2:$G$20000,CONFIG_METADATA!$B$4,DATOS!$I$2:$I$20000,"Análisis"),"")))</f>
        <v/>
      </c>
      <c r="AA723" t="str">
        <f>IF(Y723="","",IF(Y723="[FÓRMULA MANUAL]","",IFERROR(AVERAGEIFS(DATOS!$K$2:$K$20000,DATOS!$A$2:$A$20000,Y723,DATOS!$G$2:$G$20000,CONFIG_METADATA!$B$4,DATOS!$I$2:$I$20000,"Orquesta/Banda/Conjunto"),"")))</f>
        <v/>
      </c>
      <c r="AB723" t="str">
        <f>IF(Y723="","",IF(Y723="[FÓRMULA MANUAL]","",IFERROR(AVERAGEIFS(DATOS!$K$2:$K$20000,DATOS!$A$2:$A$20000,Y723,DATOS!$G$2:$G$20000,CONFIG_METADATA!$B$4,DATOS!$I$2:$I$20000,"Música de Cámara"),"")))</f>
        <v/>
      </c>
      <c r="AC723" t="str">
        <f>IF(Y723="","",IF(Y723="[FÓRMULA MANUAL]","",IFERROR(SUMPRODUCT((DATOS!$A$2:$A$20000=Y723)*(DATOS!$G$2:$G$20000=CONFIG_METADATA!$B$4)*(COUNTIF(CONFIG_ASIGNATURAS!$B$7:$B$27,DATOS!$I$2:$I$20000)&gt;0)*(DATOS!$K$2:$K$20000))/SUMPRODUCT((DATOS!$A$2:$A$20000=Y723)*(DATOS!$G$2:$G$20000=CONFIG_METADATA!$B$4)*(COUNTIF(CONFIG_ASIGNATURAS!$B$7:$B$27,DATOS!$I$2:$I$20000)&gt;0)*1),"")))</f>
        <v/>
      </c>
      <c r="AF723" t="str">
        <f>IF(AE723="","",IF(AE723="[FÓRMULA MANUAL]","",IFERROR(AVERAGEIFS(DATOS!$K$2:$K$20000,DATOS!$A$2:$A$20000,AE723,DATOS!$G$2:$G$20000,CONFIG_METADATA!$B$4,DATOS!$I$2:$I$20000,"Análisis"),"")))</f>
        <v/>
      </c>
      <c r="AG723" t="str">
        <f>IF(AE723="","",IF(AE723="[FÓRMULA MANUAL]","",IFERROR(AVERAGEIFS(DATOS!$K$2:$K$20000,DATOS!$A$2:$A$20000,AE723,DATOS!$G$2:$G$20000,CONFIG_METADATA!$B$4,DATOS!$I$2:$I$20000,"Orquesta/Banda/Conjunto"),"")))</f>
        <v/>
      </c>
      <c r="AH723" t="str">
        <f>IF(AE723="","",IF(AE723="[FÓRMULA MANUAL]","",IFERROR(AVERAGEIFS(DATOS!$K$2:$K$20000,DATOS!$A$2:$A$20000,AE723,DATOS!$G$2:$G$20000,CONFIG_METADATA!$B$4,DATOS!$I$2:$I$20000,"Música de Cámara"),"")))</f>
        <v/>
      </c>
      <c r="AI723" t="str">
        <f>IF(AE723="","",IF(AE723="[FÓRMULA MANUAL]","",IFERROR(SUMPRODUCT((DATOS!$A$2:$A$20000=AE723)*(DATOS!$G$2:$G$20000=CONFIG_METADATA!$B$4)*(COUNTIF(CONFIG_ASIGNATURAS!$B$7:$B$27,DATOS!$I$2:$I$20000)&gt;0)*(DATOS!$K$2:$K$20000))/SUMPRODUCT((DATOS!$A$2:$A$20000=AE723)*(DATOS!$G$2:$G$20000=CONFIG_METADATA!$B$4)*(COUNTIF(CONFIG_ASIGNATURAS!$B$7:$B$27,DATOS!$I$2:$I$20000)&gt;0)*1),"")))</f>
        <v/>
      </c>
    </row>
    <row r="724" spans="2:35" x14ac:dyDescent="0.2">
      <c r="B724" t="str">
        <f>IF(A724="","",IF(A724="[FÓRMULA MANUAL]","",IFERROR(AVERAGEIFS(DATOS!$K$2:$K$20000,DATOS!$A$2:$A$20000,A724,DATOS!$G$2:$G$20000,CONFIG_METADATA!$B$4,DATOS!$I$2:$I$20000,"Lenguaje Musical"),"")))</f>
        <v/>
      </c>
      <c r="C724" t="str">
        <f>IF(A724="","",IF(A724="[FÓRMULA MANUAL]","",IFERROR(AVERAGEIFS(DATOS!$K$2:$K$20000,DATOS!$A$2:$A$20000,A724,DATOS!$G$2:$G$20000,CONFIG_METADATA!$B$4,DATOS!$I$2:$I$20000,"Orquesta/Banda/Conjunto"),"")))</f>
        <v/>
      </c>
      <c r="D724" t="str">
        <f>IF(A724="","",IF(A724="[FÓRMULA MANUAL]","",IFERROR(AVERAGEIFS(DATOS!$K$2:$K$20000,DATOS!$A$2:$A$20000,A724,DATOS!$G$2:$G$20000,CONFIG_METADATA!$B$4,DATOS!$I$2:$I$20000,"Conjunto"),"")))</f>
        <v/>
      </c>
      <c r="E724" t="str">
        <f>IF(A724="","",IF(A724="[FÓRMULA MANUAL]","",IFERROR(SUMPRODUCT((DATOS!$A$2:$A$20000=A724)*(DATOS!$G$2:$G$20000=CONFIG_METADATA!$B$4)*(COUNTIF(CONFIG_ASIGNATURAS!$B$7:$B$27,DATOS!$I$2:$I$20000)&gt;0)*(DATOS!$K$2:$K$20000))/SUMPRODUCT((DATOS!$A$2:$A$20000=A724)*(DATOS!$G$2:$G$20000=CONFIG_METADATA!$B$4)*(COUNTIF(CONFIG_ASIGNATURAS!$B$7:$B$27,DATOS!$I$2:$I$20000)&gt;0)*1),"")))</f>
        <v/>
      </c>
      <c r="H724" t="str">
        <f>IF(G724="","",IF(G724="[FÓRMULA MANUAL]","",IFERROR(AVERAGEIFS(DATOS!$K$2:$K$20000,DATOS!$A$2:$A$20000,G724,DATOS!$G$2:$G$20000,CONFIG_METADATA!$B$4,DATOS!$I$2:$I$20000,"Lenguaje Musical"),"")))</f>
        <v/>
      </c>
      <c r="I724" t="str">
        <f>IF(G724="","",IF(G724="[FÓRMULA MANUAL]","",IFERROR(AVERAGEIFS(DATOS!$K$2:$K$20000,DATOS!$A$2:$A$20000,G724,DATOS!$G$2:$G$20000,CONFIG_METADATA!$B$4,DATOS!$I$2:$I$20000,"Orquesta/Banda/Conjunto"),"")))</f>
        <v/>
      </c>
      <c r="J724" t="str">
        <f>IF(G724="","",IF(G724="[FÓRMULA MANUAL]","",IFERROR(AVERAGEIFS(DATOS!$K$2:$K$20000,DATOS!$A$2:$A$20000,G724,DATOS!$G$2:$G$20000,CONFIG_METADATA!$B$4,DATOS!$I$2:$I$20000,"Conjunto"),"")))</f>
        <v/>
      </c>
      <c r="K724" t="str">
        <f>IF(G724="","",IF(G724="[FÓRMULA MANUAL]","",IFERROR(SUMPRODUCT((DATOS!$A$2:$A$20000=G724)*(DATOS!$G$2:$G$20000=CONFIG_METADATA!$B$4)*(COUNTIF(CONFIG_ASIGNATURAS!$B$7:$B$27,DATOS!$I$2:$I$20000)&gt;0)*(DATOS!$K$2:$K$20000))/SUMPRODUCT((DATOS!$A$2:$A$20000=G724)*(DATOS!$G$2:$G$20000=CONFIG_METADATA!$B$4)*(COUNTIF(CONFIG_ASIGNATURAS!$B$7:$B$27,DATOS!$I$2:$I$20000)&gt;0)*1),"")))</f>
        <v/>
      </c>
      <c r="N724" t="str">
        <f>IF(M724="","",IF(M724="[FÓRMULA MANUAL]","",IFERROR(AVERAGEIFS(DATOS!$K$2:$K$20000,DATOS!$A$2:$A$20000,M724,DATOS!$G$2:$G$20000,CONFIG_METADATA!$B$4,DATOS!$I$2:$I$20000,"Armonía"),"")))</f>
        <v/>
      </c>
      <c r="O724" t="str">
        <f>IF(M724="","",IF(M724="[FÓRMULA MANUAL]","",IFERROR(AVERAGEIFS(DATOS!$K$2:$K$20000,DATOS!$A$2:$A$20000,M724,DATOS!$G$2:$G$20000,CONFIG_METADATA!$B$4,DATOS!$I$2:$I$20000,"Orquesta/Banda/Conjunto"),"")))</f>
        <v/>
      </c>
      <c r="P724" t="str">
        <f>IF(M724="","",IF(M724="[FÓRMULA MANUAL]","",IFERROR(AVERAGEIFS(DATOS!$K$2:$K$20000,DATOS!$A$2:$A$20000,M724,DATOS!$G$2:$G$20000,CONFIG_METADATA!$B$4,DATOS!$I$2:$I$20000,"Música de Cámara"),"")))</f>
        <v/>
      </c>
      <c r="Q724" t="str">
        <f>IF(M724="","",IF(M724="[FÓRMULA MANUAL]","",IFERROR(SUMPRODUCT((DATOS!$A$2:$A$20000=M724)*(DATOS!$G$2:$G$20000=CONFIG_METADATA!$B$4)*(COUNTIF(CONFIG_ASIGNATURAS!$B$7:$B$27,DATOS!$I$2:$I$20000)&gt;0)*(DATOS!$K$2:$K$20000))/SUMPRODUCT((DATOS!$A$2:$A$20000=M724)*(DATOS!$G$2:$G$20000=CONFIG_METADATA!$B$4)*(COUNTIF(CONFIG_ASIGNATURAS!$B$7:$B$27,DATOS!$I$2:$I$20000)&gt;0)*1),"")))</f>
        <v/>
      </c>
      <c r="T724" t="str">
        <f>IF(S724="","",IF(S724="[FÓRMULA MANUAL]","",IFERROR(AVERAGEIFS(DATOS!$K$2:$K$20000,DATOS!$A$2:$A$20000,S724,DATOS!$G$2:$G$20000,CONFIG_METADATA!$B$4,DATOS!$I$2:$I$20000,"Armonía"),"")))</f>
        <v/>
      </c>
      <c r="U724" t="str">
        <f>IF(S724="","",IF(S724="[FÓRMULA MANUAL]","",IFERROR(AVERAGEIFS(DATOS!$K$2:$K$20000,DATOS!$A$2:$A$20000,S724,DATOS!$G$2:$G$20000,CONFIG_METADATA!$B$4,DATOS!$I$2:$I$20000,"Orquesta/Banda/Conjunto"),"")))</f>
        <v/>
      </c>
      <c r="V724" t="str">
        <f>IF(S724="","",IF(S724="[FÓRMULA MANUAL]","",IFERROR(AVERAGEIFS(DATOS!$K$2:$K$20000,DATOS!$A$2:$A$20000,S724,DATOS!$G$2:$G$20000,CONFIG_METADATA!$B$4,DATOS!$I$2:$I$20000,"Música de Cámara"),"")))</f>
        <v/>
      </c>
      <c r="W724" t="str">
        <f>IF(S724="","",IF(S724="[FÓRMULA MANUAL]","",IFERROR(SUMPRODUCT((DATOS!$A$2:$A$20000=S724)*(DATOS!$G$2:$G$20000=CONFIG_METADATA!$B$4)*(COUNTIF(CONFIG_ASIGNATURAS!$B$7:$B$27,DATOS!$I$2:$I$20000)&gt;0)*(DATOS!$K$2:$K$20000))/SUMPRODUCT((DATOS!$A$2:$A$20000=S724)*(DATOS!$G$2:$G$20000=CONFIG_METADATA!$B$4)*(COUNTIF(CONFIG_ASIGNATURAS!$B$7:$B$27,DATOS!$I$2:$I$20000)&gt;0)*1),"")))</f>
        <v/>
      </c>
      <c r="Z724" t="str">
        <f>IF(Y724="","",IF(Y724="[FÓRMULA MANUAL]","",IFERROR(AVERAGEIFS(DATOS!$K$2:$K$20000,DATOS!$A$2:$A$20000,Y724,DATOS!$G$2:$G$20000,CONFIG_METADATA!$B$4,DATOS!$I$2:$I$20000,"Análisis"),"")))</f>
        <v/>
      </c>
      <c r="AA724" t="str">
        <f>IF(Y724="","",IF(Y724="[FÓRMULA MANUAL]","",IFERROR(AVERAGEIFS(DATOS!$K$2:$K$20000,DATOS!$A$2:$A$20000,Y724,DATOS!$G$2:$G$20000,CONFIG_METADATA!$B$4,DATOS!$I$2:$I$20000,"Orquesta/Banda/Conjunto"),"")))</f>
        <v/>
      </c>
      <c r="AB724" t="str">
        <f>IF(Y724="","",IF(Y724="[FÓRMULA MANUAL]","",IFERROR(AVERAGEIFS(DATOS!$K$2:$K$20000,DATOS!$A$2:$A$20000,Y724,DATOS!$G$2:$G$20000,CONFIG_METADATA!$B$4,DATOS!$I$2:$I$20000,"Música de Cámara"),"")))</f>
        <v/>
      </c>
      <c r="AC724" t="str">
        <f>IF(Y724="","",IF(Y724="[FÓRMULA MANUAL]","",IFERROR(SUMPRODUCT((DATOS!$A$2:$A$20000=Y724)*(DATOS!$G$2:$G$20000=CONFIG_METADATA!$B$4)*(COUNTIF(CONFIG_ASIGNATURAS!$B$7:$B$27,DATOS!$I$2:$I$20000)&gt;0)*(DATOS!$K$2:$K$20000))/SUMPRODUCT((DATOS!$A$2:$A$20000=Y724)*(DATOS!$G$2:$G$20000=CONFIG_METADATA!$B$4)*(COUNTIF(CONFIG_ASIGNATURAS!$B$7:$B$27,DATOS!$I$2:$I$20000)&gt;0)*1),"")))</f>
        <v/>
      </c>
      <c r="AF724" t="str">
        <f>IF(AE724="","",IF(AE724="[FÓRMULA MANUAL]","",IFERROR(AVERAGEIFS(DATOS!$K$2:$K$20000,DATOS!$A$2:$A$20000,AE724,DATOS!$G$2:$G$20000,CONFIG_METADATA!$B$4,DATOS!$I$2:$I$20000,"Análisis"),"")))</f>
        <v/>
      </c>
      <c r="AG724" t="str">
        <f>IF(AE724="","",IF(AE724="[FÓRMULA MANUAL]","",IFERROR(AVERAGEIFS(DATOS!$K$2:$K$20000,DATOS!$A$2:$A$20000,AE724,DATOS!$G$2:$G$20000,CONFIG_METADATA!$B$4,DATOS!$I$2:$I$20000,"Orquesta/Banda/Conjunto"),"")))</f>
        <v/>
      </c>
      <c r="AH724" t="str">
        <f>IF(AE724="","",IF(AE724="[FÓRMULA MANUAL]","",IFERROR(AVERAGEIFS(DATOS!$K$2:$K$20000,DATOS!$A$2:$A$20000,AE724,DATOS!$G$2:$G$20000,CONFIG_METADATA!$B$4,DATOS!$I$2:$I$20000,"Música de Cámara"),"")))</f>
        <v/>
      </c>
      <c r="AI724" t="str">
        <f>IF(AE724="","",IF(AE724="[FÓRMULA MANUAL]","",IFERROR(SUMPRODUCT((DATOS!$A$2:$A$20000=AE724)*(DATOS!$G$2:$G$20000=CONFIG_METADATA!$B$4)*(COUNTIF(CONFIG_ASIGNATURAS!$B$7:$B$27,DATOS!$I$2:$I$20000)&gt;0)*(DATOS!$K$2:$K$20000))/SUMPRODUCT((DATOS!$A$2:$A$20000=AE724)*(DATOS!$G$2:$G$20000=CONFIG_METADATA!$B$4)*(COUNTIF(CONFIG_ASIGNATURAS!$B$7:$B$27,DATOS!$I$2:$I$20000)&gt;0)*1),"")))</f>
        <v/>
      </c>
    </row>
    <row r="725" spans="2:35" x14ac:dyDescent="0.2">
      <c r="B725" t="str">
        <f>IF(A725="","",IF(A725="[FÓRMULA MANUAL]","",IFERROR(AVERAGEIFS(DATOS!$K$2:$K$20000,DATOS!$A$2:$A$20000,A725,DATOS!$G$2:$G$20000,CONFIG_METADATA!$B$4,DATOS!$I$2:$I$20000,"Lenguaje Musical"),"")))</f>
        <v/>
      </c>
      <c r="C725" t="str">
        <f>IF(A725="","",IF(A725="[FÓRMULA MANUAL]","",IFERROR(AVERAGEIFS(DATOS!$K$2:$K$20000,DATOS!$A$2:$A$20000,A725,DATOS!$G$2:$G$20000,CONFIG_METADATA!$B$4,DATOS!$I$2:$I$20000,"Orquesta/Banda/Conjunto"),"")))</f>
        <v/>
      </c>
      <c r="D725" t="str">
        <f>IF(A725="","",IF(A725="[FÓRMULA MANUAL]","",IFERROR(AVERAGEIFS(DATOS!$K$2:$K$20000,DATOS!$A$2:$A$20000,A725,DATOS!$G$2:$G$20000,CONFIG_METADATA!$B$4,DATOS!$I$2:$I$20000,"Conjunto"),"")))</f>
        <v/>
      </c>
      <c r="E725" t="str">
        <f>IF(A725="","",IF(A725="[FÓRMULA MANUAL]","",IFERROR(SUMPRODUCT((DATOS!$A$2:$A$20000=A725)*(DATOS!$G$2:$G$20000=CONFIG_METADATA!$B$4)*(COUNTIF(CONFIG_ASIGNATURAS!$B$7:$B$27,DATOS!$I$2:$I$20000)&gt;0)*(DATOS!$K$2:$K$20000))/SUMPRODUCT((DATOS!$A$2:$A$20000=A725)*(DATOS!$G$2:$G$20000=CONFIG_METADATA!$B$4)*(COUNTIF(CONFIG_ASIGNATURAS!$B$7:$B$27,DATOS!$I$2:$I$20000)&gt;0)*1),"")))</f>
        <v/>
      </c>
      <c r="H725" t="str">
        <f>IF(G725="","",IF(G725="[FÓRMULA MANUAL]","",IFERROR(AVERAGEIFS(DATOS!$K$2:$K$20000,DATOS!$A$2:$A$20000,G725,DATOS!$G$2:$G$20000,CONFIG_METADATA!$B$4,DATOS!$I$2:$I$20000,"Lenguaje Musical"),"")))</f>
        <v/>
      </c>
      <c r="I725" t="str">
        <f>IF(G725="","",IF(G725="[FÓRMULA MANUAL]","",IFERROR(AVERAGEIFS(DATOS!$K$2:$K$20000,DATOS!$A$2:$A$20000,G725,DATOS!$G$2:$G$20000,CONFIG_METADATA!$B$4,DATOS!$I$2:$I$20000,"Orquesta/Banda/Conjunto"),"")))</f>
        <v/>
      </c>
      <c r="J725" t="str">
        <f>IF(G725="","",IF(G725="[FÓRMULA MANUAL]","",IFERROR(AVERAGEIFS(DATOS!$K$2:$K$20000,DATOS!$A$2:$A$20000,G725,DATOS!$G$2:$G$20000,CONFIG_METADATA!$B$4,DATOS!$I$2:$I$20000,"Conjunto"),"")))</f>
        <v/>
      </c>
      <c r="K725" t="str">
        <f>IF(G725="","",IF(G725="[FÓRMULA MANUAL]","",IFERROR(SUMPRODUCT((DATOS!$A$2:$A$20000=G725)*(DATOS!$G$2:$G$20000=CONFIG_METADATA!$B$4)*(COUNTIF(CONFIG_ASIGNATURAS!$B$7:$B$27,DATOS!$I$2:$I$20000)&gt;0)*(DATOS!$K$2:$K$20000))/SUMPRODUCT((DATOS!$A$2:$A$20000=G725)*(DATOS!$G$2:$G$20000=CONFIG_METADATA!$B$4)*(COUNTIF(CONFIG_ASIGNATURAS!$B$7:$B$27,DATOS!$I$2:$I$20000)&gt;0)*1),"")))</f>
        <v/>
      </c>
      <c r="N725" t="str">
        <f>IF(M725="","",IF(M725="[FÓRMULA MANUAL]","",IFERROR(AVERAGEIFS(DATOS!$K$2:$K$20000,DATOS!$A$2:$A$20000,M725,DATOS!$G$2:$G$20000,CONFIG_METADATA!$B$4,DATOS!$I$2:$I$20000,"Armonía"),"")))</f>
        <v/>
      </c>
      <c r="O725" t="str">
        <f>IF(M725="","",IF(M725="[FÓRMULA MANUAL]","",IFERROR(AVERAGEIFS(DATOS!$K$2:$K$20000,DATOS!$A$2:$A$20000,M725,DATOS!$G$2:$G$20000,CONFIG_METADATA!$B$4,DATOS!$I$2:$I$20000,"Orquesta/Banda/Conjunto"),"")))</f>
        <v/>
      </c>
      <c r="P725" t="str">
        <f>IF(M725="","",IF(M725="[FÓRMULA MANUAL]","",IFERROR(AVERAGEIFS(DATOS!$K$2:$K$20000,DATOS!$A$2:$A$20000,M725,DATOS!$G$2:$G$20000,CONFIG_METADATA!$B$4,DATOS!$I$2:$I$20000,"Música de Cámara"),"")))</f>
        <v/>
      </c>
      <c r="Q725" t="str">
        <f>IF(M725="","",IF(M725="[FÓRMULA MANUAL]","",IFERROR(SUMPRODUCT((DATOS!$A$2:$A$20000=M725)*(DATOS!$G$2:$G$20000=CONFIG_METADATA!$B$4)*(COUNTIF(CONFIG_ASIGNATURAS!$B$7:$B$27,DATOS!$I$2:$I$20000)&gt;0)*(DATOS!$K$2:$K$20000))/SUMPRODUCT((DATOS!$A$2:$A$20000=M725)*(DATOS!$G$2:$G$20000=CONFIG_METADATA!$B$4)*(COUNTIF(CONFIG_ASIGNATURAS!$B$7:$B$27,DATOS!$I$2:$I$20000)&gt;0)*1),"")))</f>
        <v/>
      </c>
      <c r="T725" t="str">
        <f>IF(S725="","",IF(S725="[FÓRMULA MANUAL]","",IFERROR(AVERAGEIFS(DATOS!$K$2:$K$20000,DATOS!$A$2:$A$20000,S725,DATOS!$G$2:$G$20000,CONFIG_METADATA!$B$4,DATOS!$I$2:$I$20000,"Armonía"),"")))</f>
        <v/>
      </c>
      <c r="U725" t="str">
        <f>IF(S725="","",IF(S725="[FÓRMULA MANUAL]","",IFERROR(AVERAGEIFS(DATOS!$K$2:$K$20000,DATOS!$A$2:$A$20000,S725,DATOS!$G$2:$G$20000,CONFIG_METADATA!$B$4,DATOS!$I$2:$I$20000,"Orquesta/Banda/Conjunto"),"")))</f>
        <v/>
      </c>
      <c r="V725" t="str">
        <f>IF(S725="","",IF(S725="[FÓRMULA MANUAL]","",IFERROR(AVERAGEIFS(DATOS!$K$2:$K$20000,DATOS!$A$2:$A$20000,S725,DATOS!$G$2:$G$20000,CONFIG_METADATA!$B$4,DATOS!$I$2:$I$20000,"Música de Cámara"),"")))</f>
        <v/>
      </c>
      <c r="W725" t="str">
        <f>IF(S725="","",IF(S725="[FÓRMULA MANUAL]","",IFERROR(SUMPRODUCT((DATOS!$A$2:$A$20000=S725)*(DATOS!$G$2:$G$20000=CONFIG_METADATA!$B$4)*(COUNTIF(CONFIG_ASIGNATURAS!$B$7:$B$27,DATOS!$I$2:$I$20000)&gt;0)*(DATOS!$K$2:$K$20000))/SUMPRODUCT((DATOS!$A$2:$A$20000=S725)*(DATOS!$G$2:$G$20000=CONFIG_METADATA!$B$4)*(COUNTIF(CONFIG_ASIGNATURAS!$B$7:$B$27,DATOS!$I$2:$I$20000)&gt;0)*1),"")))</f>
        <v/>
      </c>
      <c r="Z725" t="str">
        <f>IF(Y725="","",IF(Y725="[FÓRMULA MANUAL]","",IFERROR(AVERAGEIFS(DATOS!$K$2:$K$20000,DATOS!$A$2:$A$20000,Y725,DATOS!$G$2:$G$20000,CONFIG_METADATA!$B$4,DATOS!$I$2:$I$20000,"Análisis"),"")))</f>
        <v/>
      </c>
      <c r="AA725" t="str">
        <f>IF(Y725="","",IF(Y725="[FÓRMULA MANUAL]","",IFERROR(AVERAGEIFS(DATOS!$K$2:$K$20000,DATOS!$A$2:$A$20000,Y725,DATOS!$G$2:$G$20000,CONFIG_METADATA!$B$4,DATOS!$I$2:$I$20000,"Orquesta/Banda/Conjunto"),"")))</f>
        <v/>
      </c>
      <c r="AB725" t="str">
        <f>IF(Y725="","",IF(Y725="[FÓRMULA MANUAL]","",IFERROR(AVERAGEIFS(DATOS!$K$2:$K$20000,DATOS!$A$2:$A$20000,Y725,DATOS!$G$2:$G$20000,CONFIG_METADATA!$B$4,DATOS!$I$2:$I$20000,"Música de Cámara"),"")))</f>
        <v/>
      </c>
      <c r="AC725" t="str">
        <f>IF(Y725="","",IF(Y725="[FÓRMULA MANUAL]","",IFERROR(SUMPRODUCT((DATOS!$A$2:$A$20000=Y725)*(DATOS!$G$2:$G$20000=CONFIG_METADATA!$B$4)*(COUNTIF(CONFIG_ASIGNATURAS!$B$7:$B$27,DATOS!$I$2:$I$20000)&gt;0)*(DATOS!$K$2:$K$20000))/SUMPRODUCT((DATOS!$A$2:$A$20000=Y725)*(DATOS!$G$2:$G$20000=CONFIG_METADATA!$B$4)*(COUNTIF(CONFIG_ASIGNATURAS!$B$7:$B$27,DATOS!$I$2:$I$20000)&gt;0)*1),"")))</f>
        <v/>
      </c>
      <c r="AF725" t="str">
        <f>IF(AE725="","",IF(AE725="[FÓRMULA MANUAL]","",IFERROR(AVERAGEIFS(DATOS!$K$2:$K$20000,DATOS!$A$2:$A$20000,AE725,DATOS!$G$2:$G$20000,CONFIG_METADATA!$B$4,DATOS!$I$2:$I$20000,"Análisis"),"")))</f>
        <v/>
      </c>
      <c r="AG725" t="str">
        <f>IF(AE725="","",IF(AE725="[FÓRMULA MANUAL]","",IFERROR(AVERAGEIFS(DATOS!$K$2:$K$20000,DATOS!$A$2:$A$20000,AE725,DATOS!$G$2:$G$20000,CONFIG_METADATA!$B$4,DATOS!$I$2:$I$20000,"Orquesta/Banda/Conjunto"),"")))</f>
        <v/>
      </c>
      <c r="AH725" t="str">
        <f>IF(AE725="","",IF(AE725="[FÓRMULA MANUAL]","",IFERROR(AVERAGEIFS(DATOS!$K$2:$K$20000,DATOS!$A$2:$A$20000,AE725,DATOS!$G$2:$G$20000,CONFIG_METADATA!$B$4,DATOS!$I$2:$I$20000,"Música de Cámara"),"")))</f>
        <v/>
      </c>
      <c r="AI725" t="str">
        <f>IF(AE725="","",IF(AE725="[FÓRMULA MANUAL]","",IFERROR(SUMPRODUCT((DATOS!$A$2:$A$20000=AE725)*(DATOS!$G$2:$G$20000=CONFIG_METADATA!$B$4)*(COUNTIF(CONFIG_ASIGNATURAS!$B$7:$B$27,DATOS!$I$2:$I$20000)&gt;0)*(DATOS!$K$2:$K$20000))/SUMPRODUCT((DATOS!$A$2:$A$20000=AE725)*(DATOS!$G$2:$G$20000=CONFIG_METADATA!$B$4)*(COUNTIF(CONFIG_ASIGNATURAS!$B$7:$B$27,DATOS!$I$2:$I$20000)&gt;0)*1),"")))</f>
        <v/>
      </c>
    </row>
    <row r="726" spans="2:35" x14ac:dyDescent="0.2">
      <c r="B726" t="str">
        <f>IF(A726="","",IF(A726="[FÓRMULA MANUAL]","",IFERROR(AVERAGEIFS(DATOS!$K$2:$K$20000,DATOS!$A$2:$A$20000,A726,DATOS!$G$2:$G$20000,CONFIG_METADATA!$B$4,DATOS!$I$2:$I$20000,"Lenguaje Musical"),"")))</f>
        <v/>
      </c>
      <c r="C726" t="str">
        <f>IF(A726="","",IF(A726="[FÓRMULA MANUAL]","",IFERROR(AVERAGEIFS(DATOS!$K$2:$K$20000,DATOS!$A$2:$A$20000,A726,DATOS!$G$2:$G$20000,CONFIG_METADATA!$B$4,DATOS!$I$2:$I$20000,"Orquesta/Banda/Conjunto"),"")))</f>
        <v/>
      </c>
      <c r="D726" t="str">
        <f>IF(A726="","",IF(A726="[FÓRMULA MANUAL]","",IFERROR(AVERAGEIFS(DATOS!$K$2:$K$20000,DATOS!$A$2:$A$20000,A726,DATOS!$G$2:$G$20000,CONFIG_METADATA!$B$4,DATOS!$I$2:$I$20000,"Conjunto"),"")))</f>
        <v/>
      </c>
      <c r="E726" t="str">
        <f>IF(A726="","",IF(A726="[FÓRMULA MANUAL]","",IFERROR(SUMPRODUCT((DATOS!$A$2:$A$20000=A726)*(DATOS!$G$2:$G$20000=CONFIG_METADATA!$B$4)*(COUNTIF(CONFIG_ASIGNATURAS!$B$7:$B$27,DATOS!$I$2:$I$20000)&gt;0)*(DATOS!$K$2:$K$20000))/SUMPRODUCT((DATOS!$A$2:$A$20000=A726)*(DATOS!$G$2:$G$20000=CONFIG_METADATA!$B$4)*(COUNTIF(CONFIG_ASIGNATURAS!$B$7:$B$27,DATOS!$I$2:$I$20000)&gt;0)*1),"")))</f>
        <v/>
      </c>
      <c r="H726" t="str">
        <f>IF(G726="","",IF(G726="[FÓRMULA MANUAL]","",IFERROR(AVERAGEIFS(DATOS!$K$2:$K$20000,DATOS!$A$2:$A$20000,G726,DATOS!$G$2:$G$20000,CONFIG_METADATA!$B$4,DATOS!$I$2:$I$20000,"Lenguaje Musical"),"")))</f>
        <v/>
      </c>
      <c r="I726" t="str">
        <f>IF(G726="","",IF(G726="[FÓRMULA MANUAL]","",IFERROR(AVERAGEIFS(DATOS!$K$2:$K$20000,DATOS!$A$2:$A$20000,G726,DATOS!$G$2:$G$20000,CONFIG_METADATA!$B$4,DATOS!$I$2:$I$20000,"Orquesta/Banda/Conjunto"),"")))</f>
        <v/>
      </c>
      <c r="J726" t="str">
        <f>IF(G726="","",IF(G726="[FÓRMULA MANUAL]","",IFERROR(AVERAGEIFS(DATOS!$K$2:$K$20000,DATOS!$A$2:$A$20000,G726,DATOS!$G$2:$G$20000,CONFIG_METADATA!$B$4,DATOS!$I$2:$I$20000,"Conjunto"),"")))</f>
        <v/>
      </c>
      <c r="K726" t="str">
        <f>IF(G726="","",IF(G726="[FÓRMULA MANUAL]","",IFERROR(SUMPRODUCT((DATOS!$A$2:$A$20000=G726)*(DATOS!$G$2:$G$20000=CONFIG_METADATA!$B$4)*(COUNTIF(CONFIG_ASIGNATURAS!$B$7:$B$27,DATOS!$I$2:$I$20000)&gt;0)*(DATOS!$K$2:$K$20000))/SUMPRODUCT((DATOS!$A$2:$A$20000=G726)*(DATOS!$G$2:$G$20000=CONFIG_METADATA!$B$4)*(COUNTIF(CONFIG_ASIGNATURAS!$B$7:$B$27,DATOS!$I$2:$I$20000)&gt;0)*1),"")))</f>
        <v/>
      </c>
      <c r="N726" t="str">
        <f>IF(M726="","",IF(M726="[FÓRMULA MANUAL]","",IFERROR(AVERAGEIFS(DATOS!$K$2:$K$20000,DATOS!$A$2:$A$20000,M726,DATOS!$G$2:$G$20000,CONFIG_METADATA!$B$4,DATOS!$I$2:$I$20000,"Armonía"),"")))</f>
        <v/>
      </c>
      <c r="O726" t="str">
        <f>IF(M726="","",IF(M726="[FÓRMULA MANUAL]","",IFERROR(AVERAGEIFS(DATOS!$K$2:$K$20000,DATOS!$A$2:$A$20000,M726,DATOS!$G$2:$G$20000,CONFIG_METADATA!$B$4,DATOS!$I$2:$I$20000,"Orquesta/Banda/Conjunto"),"")))</f>
        <v/>
      </c>
      <c r="P726" t="str">
        <f>IF(M726="","",IF(M726="[FÓRMULA MANUAL]","",IFERROR(AVERAGEIFS(DATOS!$K$2:$K$20000,DATOS!$A$2:$A$20000,M726,DATOS!$G$2:$G$20000,CONFIG_METADATA!$B$4,DATOS!$I$2:$I$20000,"Música de Cámara"),"")))</f>
        <v/>
      </c>
      <c r="Q726" t="str">
        <f>IF(M726="","",IF(M726="[FÓRMULA MANUAL]","",IFERROR(SUMPRODUCT((DATOS!$A$2:$A$20000=M726)*(DATOS!$G$2:$G$20000=CONFIG_METADATA!$B$4)*(COUNTIF(CONFIG_ASIGNATURAS!$B$7:$B$27,DATOS!$I$2:$I$20000)&gt;0)*(DATOS!$K$2:$K$20000))/SUMPRODUCT((DATOS!$A$2:$A$20000=M726)*(DATOS!$G$2:$G$20000=CONFIG_METADATA!$B$4)*(COUNTIF(CONFIG_ASIGNATURAS!$B$7:$B$27,DATOS!$I$2:$I$20000)&gt;0)*1),"")))</f>
        <v/>
      </c>
      <c r="T726" t="str">
        <f>IF(S726="","",IF(S726="[FÓRMULA MANUAL]","",IFERROR(AVERAGEIFS(DATOS!$K$2:$K$20000,DATOS!$A$2:$A$20000,S726,DATOS!$G$2:$G$20000,CONFIG_METADATA!$B$4,DATOS!$I$2:$I$20000,"Armonía"),"")))</f>
        <v/>
      </c>
      <c r="U726" t="str">
        <f>IF(S726="","",IF(S726="[FÓRMULA MANUAL]","",IFERROR(AVERAGEIFS(DATOS!$K$2:$K$20000,DATOS!$A$2:$A$20000,S726,DATOS!$G$2:$G$20000,CONFIG_METADATA!$B$4,DATOS!$I$2:$I$20000,"Orquesta/Banda/Conjunto"),"")))</f>
        <v/>
      </c>
      <c r="V726" t="str">
        <f>IF(S726="","",IF(S726="[FÓRMULA MANUAL]","",IFERROR(AVERAGEIFS(DATOS!$K$2:$K$20000,DATOS!$A$2:$A$20000,S726,DATOS!$G$2:$G$20000,CONFIG_METADATA!$B$4,DATOS!$I$2:$I$20000,"Música de Cámara"),"")))</f>
        <v/>
      </c>
      <c r="W726" t="str">
        <f>IF(S726="","",IF(S726="[FÓRMULA MANUAL]","",IFERROR(SUMPRODUCT((DATOS!$A$2:$A$20000=S726)*(DATOS!$G$2:$G$20000=CONFIG_METADATA!$B$4)*(COUNTIF(CONFIG_ASIGNATURAS!$B$7:$B$27,DATOS!$I$2:$I$20000)&gt;0)*(DATOS!$K$2:$K$20000))/SUMPRODUCT((DATOS!$A$2:$A$20000=S726)*(DATOS!$G$2:$G$20000=CONFIG_METADATA!$B$4)*(COUNTIF(CONFIG_ASIGNATURAS!$B$7:$B$27,DATOS!$I$2:$I$20000)&gt;0)*1),"")))</f>
        <v/>
      </c>
      <c r="Z726" t="str">
        <f>IF(Y726="","",IF(Y726="[FÓRMULA MANUAL]","",IFERROR(AVERAGEIFS(DATOS!$K$2:$K$20000,DATOS!$A$2:$A$20000,Y726,DATOS!$G$2:$G$20000,CONFIG_METADATA!$B$4,DATOS!$I$2:$I$20000,"Análisis"),"")))</f>
        <v/>
      </c>
      <c r="AA726" t="str">
        <f>IF(Y726="","",IF(Y726="[FÓRMULA MANUAL]","",IFERROR(AVERAGEIFS(DATOS!$K$2:$K$20000,DATOS!$A$2:$A$20000,Y726,DATOS!$G$2:$G$20000,CONFIG_METADATA!$B$4,DATOS!$I$2:$I$20000,"Orquesta/Banda/Conjunto"),"")))</f>
        <v/>
      </c>
      <c r="AB726" t="str">
        <f>IF(Y726="","",IF(Y726="[FÓRMULA MANUAL]","",IFERROR(AVERAGEIFS(DATOS!$K$2:$K$20000,DATOS!$A$2:$A$20000,Y726,DATOS!$G$2:$G$20000,CONFIG_METADATA!$B$4,DATOS!$I$2:$I$20000,"Música de Cámara"),"")))</f>
        <v/>
      </c>
      <c r="AC726" t="str">
        <f>IF(Y726="","",IF(Y726="[FÓRMULA MANUAL]","",IFERROR(SUMPRODUCT((DATOS!$A$2:$A$20000=Y726)*(DATOS!$G$2:$G$20000=CONFIG_METADATA!$B$4)*(COUNTIF(CONFIG_ASIGNATURAS!$B$7:$B$27,DATOS!$I$2:$I$20000)&gt;0)*(DATOS!$K$2:$K$20000))/SUMPRODUCT((DATOS!$A$2:$A$20000=Y726)*(DATOS!$G$2:$G$20000=CONFIG_METADATA!$B$4)*(COUNTIF(CONFIG_ASIGNATURAS!$B$7:$B$27,DATOS!$I$2:$I$20000)&gt;0)*1),"")))</f>
        <v/>
      </c>
      <c r="AF726" t="str">
        <f>IF(AE726="","",IF(AE726="[FÓRMULA MANUAL]","",IFERROR(AVERAGEIFS(DATOS!$K$2:$K$20000,DATOS!$A$2:$A$20000,AE726,DATOS!$G$2:$G$20000,CONFIG_METADATA!$B$4,DATOS!$I$2:$I$20000,"Análisis"),"")))</f>
        <v/>
      </c>
      <c r="AG726" t="str">
        <f>IF(AE726="","",IF(AE726="[FÓRMULA MANUAL]","",IFERROR(AVERAGEIFS(DATOS!$K$2:$K$20000,DATOS!$A$2:$A$20000,AE726,DATOS!$G$2:$G$20000,CONFIG_METADATA!$B$4,DATOS!$I$2:$I$20000,"Orquesta/Banda/Conjunto"),"")))</f>
        <v/>
      </c>
      <c r="AH726" t="str">
        <f>IF(AE726="","",IF(AE726="[FÓRMULA MANUAL]","",IFERROR(AVERAGEIFS(DATOS!$K$2:$K$20000,DATOS!$A$2:$A$20000,AE726,DATOS!$G$2:$G$20000,CONFIG_METADATA!$B$4,DATOS!$I$2:$I$20000,"Música de Cámara"),"")))</f>
        <v/>
      </c>
      <c r="AI726" t="str">
        <f>IF(AE726="","",IF(AE726="[FÓRMULA MANUAL]","",IFERROR(SUMPRODUCT((DATOS!$A$2:$A$20000=AE726)*(DATOS!$G$2:$G$20000=CONFIG_METADATA!$B$4)*(COUNTIF(CONFIG_ASIGNATURAS!$B$7:$B$27,DATOS!$I$2:$I$20000)&gt;0)*(DATOS!$K$2:$K$20000))/SUMPRODUCT((DATOS!$A$2:$A$20000=AE726)*(DATOS!$G$2:$G$20000=CONFIG_METADATA!$B$4)*(COUNTIF(CONFIG_ASIGNATURAS!$B$7:$B$27,DATOS!$I$2:$I$20000)&gt;0)*1),"")))</f>
        <v/>
      </c>
    </row>
    <row r="727" spans="2:35" x14ac:dyDescent="0.2">
      <c r="B727" t="str">
        <f>IF(A727="","",IF(A727="[FÓRMULA MANUAL]","",IFERROR(AVERAGEIFS(DATOS!$K$2:$K$20000,DATOS!$A$2:$A$20000,A727,DATOS!$G$2:$G$20000,CONFIG_METADATA!$B$4,DATOS!$I$2:$I$20000,"Lenguaje Musical"),"")))</f>
        <v/>
      </c>
      <c r="C727" t="str">
        <f>IF(A727="","",IF(A727="[FÓRMULA MANUAL]","",IFERROR(AVERAGEIFS(DATOS!$K$2:$K$20000,DATOS!$A$2:$A$20000,A727,DATOS!$G$2:$G$20000,CONFIG_METADATA!$B$4,DATOS!$I$2:$I$20000,"Orquesta/Banda/Conjunto"),"")))</f>
        <v/>
      </c>
      <c r="D727" t="str">
        <f>IF(A727="","",IF(A727="[FÓRMULA MANUAL]","",IFERROR(AVERAGEIFS(DATOS!$K$2:$K$20000,DATOS!$A$2:$A$20000,A727,DATOS!$G$2:$G$20000,CONFIG_METADATA!$B$4,DATOS!$I$2:$I$20000,"Conjunto"),"")))</f>
        <v/>
      </c>
      <c r="E727" t="str">
        <f>IF(A727="","",IF(A727="[FÓRMULA MANUAL]","",IFERROR(SUMPRODUCT((DATOS!$A$2:$A$20000=A727)*(DATOS!$G$2:$G$20000=CONFIG_METADATA!$B$4)*(COUNTIF(CONFIG_ASIGNATURAS!$B$7:$B$27,DATOS!$I$2:$I$20000)&gt;0)*(DATOS!$K$2:$K$20000))/SUMPRODUCT((DATOS!$A$2:$A$20000=A727)*(DATOS!$G$2:$G$20000=CONFIG_METADATA!$B$4)*(COUNTIF(CONFIG_ASIGNATURAS!$B$7:$B$27,DATOS!$I$2:$I$20000)&gt;0)*1),"")))</f>
        <v/>
      </c>
      <c r="H727" t="str">
        <f>IF(G727="","",IF(G727="[FÓRMULA MANUAL]","",IFERROR(AVERAGEIFS(DATOS!$K$2:$K$20000,DATOS!$A$2:$A$20000,G727,DATOS!$G$2:$G$20000,CONFIG_METADATA!$B$4,DATOS!$I$2:$I$20000,"Lenguaje Musical"),"")))</f>
        <v/>
      </c>
      <c r="I727" t="str">
        <f>IF(G727="","",IF(G727="[FÓRMULA MANUAL]","",IFERROR(AVERAGEIFS(DATOS!$K$2:$K$20000,DATOS!$A$2:$A$20000,G727,DATOS!$G$2:$G$20000,CONFIG_METADATA!$B$4,DATOS!$I$2:$I$20000,"Orquesta/Banda/Conjunto"),"")))</f>
        <v/>
      </c>
      <c r="J727" t="str">
        <f>IF(G727="","",IF(G727="[FÓRMULA MANUAL]","",IFERROR(AVERAGEIFS(DATOS!$K$2:$K$20000,DATOS!$A$2:$A$20000,G727,DATOS!$G$2:$G$20000,CONFIG_METADATA!$B$4,DATOS!$I$2:$I$20000,"Conjunto"),"")))</f>
        <v/>
      </c>
      <c r="K727" t="str">
        <f>IF(G727="","",IF(G727="[FÓRMULA MANUAL]","",IFERROR(SUMPRODUCT((DATOS!$A$2:$A$20000=G727)*(DATOS!$G$2:$G$20000=CONFIG_METADATA!$B$4)*(COUNTIF(CONFIG_ASIGNATURAS!$B$7:$B$27,DATOS!$I$2:$I$20000)&gt;0)*(DATOS!$K$2:$K$20000))/SUMPRODUCT((DATOS!$A$2:$A$20000=G727)*(DATOS!$G$2:$G$20000=CONFIG_METADATA!$B$4)*(COUNTIF(CONFIG_ASIGNATURAS!$B$7:$B$27,DATOS!$I$2:$I$20000)&gt;0)*1),"")))</f>
        <v/>
      </c>
      <c r="N727" t="str">
        <f>IF(M727="","",IF(M727="[FÓRMULA MANUAL]","",IFERROR(AVERAGEIFS(DATOS!$K$2:$K$20000,DATOS!$A$2:$A$20000,M727,DATOS!$G$2:$G$20000,CONFIG_METADATA!$B$4,DATOS!$I$2:$I$20000,"Armonía"),"")))</f>
        <v/>
      </c>
      <c r="O727" t="str">
        <f>IF(M727="","",IF(M727="[FÓRMULA MANUAL]","",IFERROR(AVERAGEIFS(DATOS!$K$2:$K$20000,DATOS!$A$2:$A$20000,M727,DATOS!$G$2:$G$20000,CONFIG_METADATA!$B$4,DATOS!$I$2:$I$20000,"Orquesta/Banda/Conjunto"),"")))</f>
        <v/>
      </c>
      <c r="P727" t="str">
        <f>IF(M727="","",IF(M727="[FÓRMULA MANUAL]","",IFERROR(AVERAGEIFS(DATOS!$K$2:$K$20000,DATOS!$A$2:$A$20000,M727,DATOS!$G$2:$G$20000,CONFIG_METADATA!$B$4,DATOS!$I$2:$I$20000,"Música de Cámara"),"")))</f>
        <v/>
      </c>
      <c r="Q727" t="str">
        <f>IF(M727="","",IF(M727="[FÓRMULA MANUAL]","",IFERROR(SUMPRODUCT((DATOS!$A$2:$A$20000=M727)*(DATOS!$G$2:$G$20000=CONFIG_METADATA!$B$4)*(COUNTIF(CONFIG_ASIGNATURAS!$B$7:$B$27,DATOS!$I$2:$I$20000)&gt;0)*(DATOS!$K$2:$K$20000))/SUMPRODUCT((DATOS!$A$2:$A$20000=M727)*(DATOS!$G$2:$G$20000=CONFIG_METADATA!$B$4)*(COUNTIF(CONFIG_ASIGNATURAS!$B$7:$B$27,DATOS!$I$2:$I$20000)&gt;0)*1),"")))</f>
        <v/>
      </c>
      <c r="T727" t="str">
        <f>IF(S727="","",IF(S727="[FÓRMULA MANUAL]","",IFERROR(AVERAGEIFS(DATOS!$K$2:$K$20000,DATOS!$A$2:$A$20000,S727,DATOS!$G$2:$G$20000,CONFIG_METADATA!$B$4,DATOS!$I$2:$I$20000,"Armonía"),"")))</f>
        <v/>
      </c>
      <c r="U727" t="str">
        <f>IF(S727="","",IF(S727="[FÓRMULA MANUAL]","",IFERROR(AVERAGEIFS(DATOS!$K$2:$K$20000,DATOS!$A$2:$A$20000,S727,DATOS!$G$2:$G$20000,CONFIG_METADATA!$B$4,DATOS!$I$2:$I$20000,"Orquesta/Banda/Conjunto"),"")))</f>
        <v/>
      </c>
      <c r="V727" t="str">
        <f>IF(S727="","",IF(S727="[FÓRMULA MANUAL]","",IFERROR(AVERAGEIFS(DATOS!$K$2:$K$20000,DATOS!$A$2:$A$20000,S727,DATOS!$G$2:$G$20000,CONFIG_METADATA!$B$4,DATOS!$I$2:$I$20000,"Música de Cámara"),"")))</f>
        <v/>
      </c>
      <c r="W727" t="str">
        <f>IF(S727="","",IF(S727="[FÓRMULA MANUAL]","",IFERROR(SUMPRODUCT((DATOS!$A$2:$A$20000=S727)*(DATOS!$G$2:$G$20000=CONFIG_METADATA!$B$4)*(COUNTIF(CONFIG_ASIGNATURAS!$B$7:$B$27,DATOS!$I$2:$I$20000)&gt;0)*(DATOS!$K$2:$K$20000))/SUMPRODUCT((DATOS!$A$2:$A$20000=S727)*(DATOS!$G$2:$G$20000=CONFIG_METADATA!$B$4)*(COUNTIF(CONFIG_ASIGNATURAS!$B$7:$B$27,DATOS!$I$2:$I$20000)&gt;0)*1),"")))</f>
        <v/>
      </c>
      <c r="Z727" t="str">
        <f>IF(Y727="","",IF(Y727="[FÓRMULA MANUAL]","",IFERROR(AVERAGEIFS(DATOS!$K$2:$K$20000,DATOS!$A$2:$A$20000,Y727,DATOS!$G$2:$G$20000,CONFIG_METADATA!$B$4,DATOS!$I$2:$I$20000,"Análisis"),"")))</f>
        <v/>
      </c>
      <c r="AA727" t="str">
        <f>IF(Y727="","",IF(Y727="[FÓRMULA MANUAL]","",IFERROR(AVERAGEIFS(DATOS!$K$2:$K$20000,DATOS!$A$2:$A$20000,Y727,DATOS!$G$2:$G$20000,CONFIG_METADATA!$B$4,DATOS!$I$2:$I$20000,"Orquesta/Banda/Conjunto"),"")))</f>
        <v/>
      </c>
      <c r="AB727" t="str">
        <f>IF(Y727="","",IF(Y727="[FÓRMULA MANUAL]","",IFERROR(AVERAGEIFS(DATOS!$K$2:$K$20000,DATOS!$A$2:$A$20000,Y727,DATOS!$G$2:$G$20000,CONFIG_METADATA!$B$4,DATOS!$I$2:$I$20000,"Música de Cámara"),"")))</f>
        <v/>
      </c>
      <c r="AC727" t="str">
        <f>IF(Y727="","",IF(Y727="[FÓRMULA MANUAL]","",IFERROR(SUMPRODUCT((DATOS!$A$2:$A$20000=Y727)*(DATOS!$G$2:$G$20000=CONFIG_METADATA!$B$4)*(COUNTIF(CONFIG_ASIGNATURAS!$B$7:$B$27,DATOS!$I$2:$I$20000)&gt;0)*(DATOS!$K$2:$K$20000))/SUMPRODUCT((DATOS!$A$2:$A$20000=Y727)*(DATOS!$G$2:$G$20000=CONFIG_METADATA!$B$4)*(COUNTIF(CONFIG_ASIGNATURAS!$B$7:$B$27,DATOS!$I$2:$I$20000)&gt;0)*1),"")))</f>
        <v/>
      </c>
      <c r="AF727" t="str">
        <f>IF(AE727="","",IF(AE727="[FÓRMULA MANUAL]","",IFERROR(AVERAGEIFS(DATOS!$K$2:$K$20000,DATOS!$A$2:$A$20000,AE727,DATOS!$G$2:$G$20000,CONFIG_METADATA!$B$4,DATOS!$I$2:$I$20000,"Análisis"),"")))</f>
        <v/>
      </c>
      <c r="AG727" t="str">
        <f>IF(AE727="","",IF(AE727="[FÓRMULA MANUAL]","",IFERROR(AVERAGEIFS(DATOS!$K$2:$K$20000,DATOS!$A$2:$A$20000,AE727,DATOS!$G$2:$G$20000,CONFIG_METADATA!$B$4,DATOS!$I$2:$I$20000,"Orquesta/Banda/Conjunto"),"")))</f>
        <v/>
      </c>
      <c r="AH727" t="str">
        <f>IF(AE727="","",IF(AE727="[FÓRMULA MANUAL]","",IFERROR(AVERAGEIFS(DATOS!$K$2:$K$20000,DATOS!$A$2:$A$20000,AE727,DATOS!$G$2:$G$20000,CONFIG_METADATA!$B$4,DATOS!$I$2:$I$20000,"Música de Cámara"),"")))</f>
        <v/>
      </c>
      <c r="AI727" t="str">
        <f>IF(AE727="","",IF(AE727="[FÓRMULA MANUAL]","",IFERROR(SUMPRODUCT((DATOS!$A$2:$A$20000=AE727)*(DATOS!$G$2:$G$20000=CONFIG_METADATA!$B$4)*(COUNTIF(CONFIG_ASIGNATURAS!$B$7:$B$27,DATOS!$I$2:$I$20000)&gt;0)*(DATOS!$K$2:$K$20000))/SUMPRODUCT((DATOS!$A$2:$A$20000=AE727)*(DATOS!$G$2:$G$20000=CONFIG_METADATA!$B$4)*(COUNTIF(CONFIG_ASIGNATURAS!$B$7:$B$27,DATOS!$I$2:$I$20000)&gt;0)*1),"")))</f>
        <v/>
      </c>
    </row>
    <row r="728" spans="2:35" x14ac:dyDescent="0.2">
      <c r="B728" t="str">
        <f>IF(A728="","",IF(A728="[FÓRMULA MANUAL]","",IFERROR(AVERAGEIFS(DATOS!$K$2:$K$20000,DATOS!$A$2:$A$20000,A728,DATOS!$G$2:$G$20000,CONFIG_METADATA!$B$4,DATOS!$I$2:$I$20000,"Lenguaje Musical"),"")))</f>
        <v/>
      </c>
      <c r="C728" t="str">
        <f>IF(A728="","",IF(A728="[FÓRMULA MANUAL]","",IFERROR(AVERAGEIFS(DATOS!$K$2:$K$20000,DATOS!$A$2:$A$20000,A728,DATOS!$G$2:$G$20000,CONFIG_METADATA!$B$4,DATOS!$I$2:$I$20000,"Orquesta/Banda/Conjunto"),"")))</f>
        <v/>
      </c>
      <c r="D728" t="str">
        <f>IF(A728="","",IF(A728="[FÓRMULA MANUAL]","",IFERROR(AVERAGEIFS(DATOS!$K$2:$K$20000,DATOS!$A$2:$A$20000,A728,DATOS!$G$2:$G$20000,CONFIG_METADATA!$B$4,DATOS!$I$2:$I$20000,"Conjunto"),"")))</f>
        <v/>
      </c>
      <c r="E728" t="str">
        <f>IF(A728="","",IF(A728="[FÓRMULA MANUAL]","",IFERROR(SUMPRODUCT((DATOS!$A$2:$A$20000=A728)*(DATOS!$G$2:$G$20000=CONFIG_METADATA!$B$4)*(COUNTIF(CONFIG_ASIGNATURAS!$B$7:$B$27,DATOS!$I$2:$I$20000)&gt;0)*(DATOS!$K$2:$K$20000))/SUMPRODUCT((DATOS!$A$2:$A$20000=A728)*(DATOS!$G$2:$G$20000=CONFIG_METADATA!$B$4)*(COUNTIF(CONFIG_ASIGNATURAS!$B$7:$B$27,DATOS!$I$2:$I$20000)&gt;0)*1),"")))</f>
        <v/>
      </c>
      <c r="H728" t="str">
        <f>IF(G728="","",IF(G728="[FÓRMULA MANUAL]","",IFERROR(AVERAGEIFS(DATOS!$K$2:$K$20000,DATOS!$A$2:$A$20000,G728,DATOS!$G$2:$G$20000,CONFIG_METADATA!$B$4,DATOS!$I$2:$I$20000,"Lenguaje Musical"),"")))</f>
        <v/>
      </c>
      <c r="I728" t="str">
        <f>IF(G728="","",IF(G728="[FÓRMULA MANUAL]","",IFERROR(AVERAGEIFS(DATOS!$K$2:$K$20000,DATOS!$A$2:$A$20000,G728,DATOS!$G$2:$G$20000,CONFIG_METADATA!$B$4,DATOS!$I$2:$I$20000,"Orquesta/Banda/Conjunto"),"")))</f>
        <v/>
      </c>
      <c r="J728" t="str">
        <f>IF(G728="","",IF(G728="[FÓRMULA MANUAL]","",IFERROR(AVERAGEIFS(DATOS!$K$2:$K$20000,DATOS!$A$2:$A$20000,G728,DATOS!$G$2:$G$20000,CONFIG_METADATA!$B$4,DATOS!$I$2:$I$20000,"Conjunto"),"")))</f>
        <v/>
      </c>
      <c r="K728" t="str">
        <f>IF(G728="","",IF(G728="[FÓRMULA MANUAL]","",IFERROR(SUMPRODUCT((DATOS!$A$2:$A$20000=G728)*(DATOS!$G$2:$G$20000=CONFIG_METADATA!$B$4)*(COUNTIF(CONFIG_ASIGNATURAS!$B$7:$B$27,DATOS!$I$2:$I$20000)&gt;0)*(DATOS!$K$2:$K$20000))/SUMPRODUCT((DATOS!$A$2:$A$20000=G728)*(DATOS!$G$2:$G$20000=CONFIG_METADATA!$B$4)*(COUNTIF(CONFIG_ASIGNATURAS!$B$7:$B$27,DATOS!$I$2:$I$20000)&gt;0)*1),"")))</f>
        <v/>
      </c>
      <c r="N728" t="str">
        <f>IF(M728="","",IF(M728="[FÓRMULA MANUAL]","",IFERROR(AVERAGEIFS(DATOS!$K$2:$K$20000,DATOS!$A$2:$A$20000,M728,DATOS!$G$2:$G$20000,CONFIG_METADATA!$B$4,DATOS!$I$2:$I$20000,"Armonía"),"")))</f>
        <v/>
      </c>
      <c r="O728" t="str">
        <f>IF(M728="","",IF(M728="[FÓRMULA MANUAL]","",IFERROR(AVERAGEIFS(DATOS!$K$2:$K$20000,DATOS!$A$2:$A$20000,M728,DATOS!$G$2:$G$20000,CONFIG_METADATA!$B$4,DATOS!$I$2:$I$20000,"Orquesta/Banda/Conjunto"),"")))</f>
        <v/>
      </c>
      <c r="P728" t="str">
        <f>IF(M728="","",IF(M728="[FÓRMULA MANUAL]","",IFERROR(AVERAGEIFS(DATOS!$K$2:$K$20000,DATOS!$A$2:$A$20000,M728,DATOS!$G$2:$G$20000,CONFIG_METADATA!$B$4,DATOS!$I$2:$I$20000,"Música de Cámara"),"")))</f>
        <v/>
      </c>
      <c r="Q728" t="str">
        <f>IF(M728="","",IF(M728="[FÓRMULA MANUAL]","",IFERROR(SUMPRODUCT((DATOS!$A$2:$A$20000=M728)*(DATOS!$G$2:$G$20000=CONFIG_METADATA!$B$4)*(COUNTIF(CONFIG_ASIGNATURAS!$B$7:$B$27,DATOS!$I$2:$I$20000)&gt;0)*(DATOS!$K$2:$K$20000))/SUMPRODUCT((DATOS!$A$2:$A$20000=M728)*(DATOS!$G$2:$G$20000=CONFIG_METADATA!$B$4)*(COUNTIF(CONFIG_ASIGNATURAS!$B$7:$B$27,DATOS!$I$2:$I$20000)&gt;0)*1),"")))</f>
        <v/>
      </c>
      <c r="T728" t="str">
        <f>IF(S728="","",IF(S728="[FÓRMULA MANUAL]","",IFERROR(AVERAGEIFS(DATOS!$K$2:$K$20000,DATOS!$A$2:$A$20000,S728,DATOS!$G$2:$G$20000,CONFIG_METADATA!$B$4,DATOS!$I$2:$I$20000,"Armonía"),"")))</f>
        <v/>
      </c>
      <c r="U728" t="str">
        <f>IF(S728="","",IF(S728="[FÓRMULA MANUAL]","",IFERROR(AVERAGEIFS(DATOS!$K$2:$K$20000,DATOS!$A$2:$A$20000,S728,DATOS!$G$2:$G$20000,CONFIG_METADATA!$B$4,DATOS!$I$2:$I$20000,"Orquesta/Banda/Conjunto"),"")))</f>
        <v/>
      </c>
      <c r="V728" t="str">
        <f>IF(S728="","",IF(S728="[FÓRMULA MANUAL]","",IFERROR(AVERAGEIFS(DATOS!$K$2:$K$20000,DATOS!$A$2:$A$20000,S728,DATOS!$G$2:$G$20000,CONFIG_METADATA!$B$4,DATOS!$I$2:$I$20000,"Música de Cámara"),"")))</f>
        <v/>
      </c>
      <c r="W728" t="str">
        <f>IF(S728="","",IF(S728="[FÓRMULA MANUAL]","",IFERROR(SUMPRODUCT((DATOS!$A$2:$A$20000=S728)*(DATOS!$G$2:$G$20000=CONFIG_METADATA!$B$4)*(COUNTIF(CONFIG_ASIGNATURAS!$B$7:$B$27,DATOS!$I$2:$I$20000)&gt;0)*(DATOS!$K$2:$K$20000))/SUMPRODUCT((DATOS!$A$2:$A$20000=S728)*(DATOS!$G$2:$G$20000=CONFIG_METADATA!$B$4)*(COUNTIF(CONFIG_ASIGNATURAS!$B$7:$B$27,DATOS!$I$2:$I$20000)&gt;0)*1),"")))</f>
        <v/>
      </c>
      <c r="Z728" t="str">
        <f>IF(Y728="","",IF(Y728="[FÓRMULA MANUAL]","",IFERROR(AVERAGEIFS(DATOS!$K$2:$K$20000,DATOS!$A$2:$A$20000,Y728,DATOS!$G$2:$G$20000,CONFIG_METADATA!$B$4,DATOS!$I$2:$I$20000,"Análisis"),"")))</f>
        <v/>
      </c>
      <c r="AA728" t="str">
        <f>IF(Y728="","",IF(Y728="[FÓRMULA MANUAL]","",IFERROR(AVERAGEIFS(DATOS!$K$2:$K$20000,DATOS!$A$2:$A$20000,Y728,DATOS!$G$2:$G$20000,CONFIG_METADATA!$B$4,DATOS!$I$2:$I$20000,"Orquesta/Banda/Conjunto"),"")))</f>
        <v/>
      </c>
      <c r="AB728" t="str">
        <f>IF(Y728="","",IF(Y728="[FÓRMULA MANUAL]","",IFERROR(AVERAGEIFS(DATOS!$K$2:$K$20000,DATOS!$A$2:$A$20000,Y728,DATOS!$G$2:$G$20000,CONFIG_METADATA!$B$4,DATOS!$I$2:$I$20000,"Música de Cámara"),"")))</f>
        <v/>
      </c>
      <c r="AC728" t="str">
        <f>IF(Y728="","",IF(Y728="[FÓRMULA MANUAL]","",IFERROR(SUMPRODUCT((DATOS!$A$2:$A$20000=Y728)*(DATOS!$G$2:$G$20000=CONFIG_METADATA!$B$4)*(COUNTIF(CONFIG_ASIGNATURAS!$B$7:$B$27,DATOS!$I$2:$I$20000)&gt;0)*(DATOS!$K$2:$K$20000))/SUMPRODUCT((DATOS!$A$2:$A$20000=Y728)*(DATOS!$G$2:$G$20000=CONFIG_METADATA!$B$4)*(COUNTIF(CONFIG_ASIGNATURAS!$B$7:$B$27,DATOS!$I$2:$I$20000)&gt;0)*1),"")))</f>
        <v/>
      </c>
      <c r="AF728" t="str">
        <f>IF(AE728="","",IF(AE728="[FÓRMULA MANUAL]","",IFERROR(AVERAGEIFS(DATOS!$K$2:$K$20000,DATOS!$A$2:$A$20000,AE728,DATOS!$G$2:$G$20000,CONFIG_METADATA!$B$4,DATOS!$I$2:$I$20000,"Análisis"),"")))</f>
        <v/>
      </c>
      <c r="AG728" t="str">
        <f>IF(AE728="","",IF(AE728="[FÓRMULA MANUAL]","",IFERROR(AVERAGEIFS(DATOS!$K$2:$K$20000,DATOS!$A$2:$A$20000,AE728,DATOS!$G$2:$G$20000,CONFIG_METADATA!$B$4,DATOS!$I$2:$I$20000,"Orquesta/Banda/Conjunto"),"")))</f>
        <v/>
      </c>
      <c r="AH728" t="str">
        <f>IF(AE728="","",IF(AE728="[FÓRMULA MANUAL]","",IFERROR(AVERAGEIFS(DATOS!$K$2:$K$20000,DATOS!$A$2:$A$20000,AE728,DATOS!$G$2:$G$20000,CONFIG_METADATA!$B$4,DATOS!$I$2:$I$20000,"Música de Cámara"),"")))</f>
        <v/>
      </c>
      <c r="AI728" t="str">
        <f>IF(AE728="","",IF(AE728="[FÓRMULA MANUAL]","",IFERROR(SUMPRODUCT((DATOS!$A$2:$A$20000=AE728)*(DATOS!$G$2:$G$20000=CONFIG_METADATA!$B$4)*(COUNTIF(CONFIG_ASIGNATURAS!$B$7:$B$27,DATOS!$I$2:$I$20000)&gt;0)*(DATOS!$K$2:$K$20000))/SUMPRODUCT((DATOS!$A$2:$A$20000=AE728)*(DATOS!$G$2:$G$20000=CONFIG_METADATA!$B$4)*(COUNTIF(CONFIG_ASIGNATURAS!$B$7:$B$27,DATOS!$I$2:$I$20000)&gt;0)*1),"")))</f>
        <v/>
      </c>
    </row>
    <row r="729" spans="2:35" x14ac:dyDescent="0.2">
      <c r="B729" t="str">
        <f>IF(A729="","",IF(A729="[FÓRMULA MANUAL]","",IFERROR(AVERAGEIFS(DATOS!$K$2:$K$20000,DATOS!$A$2:$A$20000,A729,DATOS!$G$2:$G$20000,CONFIG_METADATA!$B$4,DATOS!$I$2:$I$20000,"Lenguaje Musical"),"")))</f>
        <v/>
      </c>
      <c r="C729" t="str">
        <f>IF(A729="","",IF(A729="[FÓRMULA MANUAL]","",IFERROR(AVERAGEIFS(DATOS!$K$2:$K$20000,DATOS!$A$2:$A$20000,A729,DATOS!$G$2:$G$20000,CONFIG_METADATA!$B$4,DATOS!$I$2:$I$20000,"Orquesta/Banda/Conjunto"),"")))</f>
        <v/>
      </c>
      <c r="D729" t="str">
        <f>IF(A729="","",IF(A729="[FÓRMULA MANUAL]","",IFERROR(AVERAGEIFS(DATOS!$K$2:$K$20000,DATOS!$A$2:$A$20000,A729,DATOS!$G$2:$G$20000,CONFIG_METADATA!$B$4,DATOS!$I$2:$I$20000,"Conjunto"),"")))</f>
        <v/>
      </c>
      <c r="E729" t="str">
        <f>IF(A729="","",IF(A729="[FÓRMULA MANUAL]","",IFERROR(SUMPRODUCT((DATOS!$A$2:$A$20000=A729)*(DATOS!$G$2:$G$20000=CONFIG_METADATA!$B$4)*(COUNTIF(CONFIG_ASIGNATURAS!$B$7:$B$27,DATOS!$I$2:$I$20000)&gt;0)*(DATOS!$K$2:$K$20000))/SUMPRODUCT((DATOS!$A$2:$A$20000=A729)*(DATOS!$G$2:$G$20000=CONFIG_METADATA!$B$4)*(COUNTIF(CONFIG_ASIGNATURAS!$B$7:$B$27,DATOS!$I$2:$I$20000)&gt;0)*1),"")))</f>
        <v/>
      </c>
      <c r="H729" t="str">
        <f>IF(G729="","",IF(G729="[FÓRMULA MANUAL]","",IFERROR(AVERAGEIFS(DATOS!$K$2:$K$20000,DATOS!$A$2:$A$20000,G729,DATOS!$G$2:$G$20000,CONFIG_METADATA!$B$4,DATOS!$I$2:$I$20000,"Lenguaje Musical"),"")))</f>
        <v/>
      </c>
      <c r="I729" t="str">
        <f>IF(G729="","",IF(G729="[FÓRMULA MANUAL]","",IFERROR(AVERAGEIFS(DATOS!$K$2:$K$20000,DATOS!$A$2:$A$20000,G729,DATOS!$G$2:$G$20000,CONFIG_METADATA!$B$4,DATOS!$I$2:$I$20000,"Orquesta/Banda/Conjunto"),"")))</f>
        <v/>
      </c>
      <c r="J729" t="str">
        <f>IF(G729="","",IF(G729="[FÓRMULA MANUAL]","",IFERROR(AVERAGEIFS(DATOS!$K$2:$K$20000,DATOS!$A$2:$A$20000,G729,DATOS!$G$2:$G$20000,CONFIG_METADATA!$B$4,DATOS!$I$2:$I$20000,"Conjunto"),"")))</f>
        <v/>
      </c>
      <c r="K729" t="str">
        <f>IF(G729="","",IF(G729="[FÓRMULA MANUAL]","",IFERROR(SUMPRODUCT((DATOS!$A$2:$A$20000=G729)*(DATOS!$G$2:$G$20000=CONFIG_METADATA!$B$4)*(COUNTIF(CONFIG_ASIGNATURAS!$B$7:$B$27,DATOS!$I$2:$I$20000)&gt;0)*(DATOS!$K$2:$K$20000))/SUMPRODUCT((DATOS!$A$2:$A$20000=G729)*(DATOS!$G$2:$G$20000=CONFIG_METADATA!$B$4)*(COUNTIF(CONFIG_ASIGNATURAS!$B$7:$B$27,DATOS!$I$2:$I$20000)&gt;0)*1),"")))</f>
        <v/>
      </c>
      <c r="N729" t="str">
        <f>IF(M729="","",IF(M729="[FÓRMULA MANUAL]","",IFERROR(AVERAGEIFS(DATOS!$K$2:$K$20000,DATOS!$A$2:$A$20000,M729,DATOS!$G$2:$G$20000,CONFIG_METADATA!$B$4,DATOS!$I$2:$I$20000,"Armonía"),"")))</f>
        <v/>
      </c>
      <c r="O729" t="str">
        <f>IF(M729="","",IF(M729="[FÓRMULA MANUAL]","",IFERROR(AVERAGEIFS(DATOS!$K$2:$K$20000,DATOS!$A$2:$A$20000,M729,DATOS!$G$2:$G$20000,CONFIG_METADATA!$B$4,DATOS!$I$2:$I$20000,"Orquesta/Banda/Conjunto"),"")))</f>
        <v/>
      </c>
      <c r="P729" t="str">
        <f>IF(M729="","",IF(M729="[FÓRMULA MANUAL]","",IFERROR(AVERAGEIFS(DATOS!$K$2:$K$20000,DATOS!$A$2:$A$20000,M729,DATOS!$G$2:$G$20000,CONFIG_METADATA!$B$4,DATOS!$I$2:$I$20000,"Música de Cámara"),"")))</f>
        <v/>
      </c>
      <c r="Q729" t="str">
        <f>IF(M729="","",IF(M729="[FÓRMULA MANUAL]","",IFERROR(SUMPRODUCT((DATOS!$A$2:$A$20000=M729)*(DATOS!$G$2:$G$20000=CONFIG_METADATA!$B$4)*(COUNTIF(CONFIG_ASIGNATURAS!$B$7:$B$27,DATOS!$I$2:$I$20000)&gt;0)*(DATOS!$K$2:$K$20000))/SUMPRODUCT((DATOS!$A$2:$A$20000=M729)*(DATOS!$G$2:$G$20000=CONFIG_METADATA!$B$4)*(COUNTIF(CONFIG_ASIGNATURAS!$B$7:$B$27,DATOS!$I$2:$I$20000)&gt;0)*1),"")))</f>
        <v/>
      </c>
      <c r="T729" t="str">
        <f>IF(S729="","",IF(S729="[FÓRMULA MANUAL]","",IFERROR(AVERAGEIFS(DATOS!$K$2:$K$20000,DATOS!$A$2:$A$20000,S729,DATOS!$G$2:$G$20000,CONFIG_METADATA!$B$4,DATOS!$I$2:$I$20000,"Armonía"),"")))</f>
        <v/>
      </c>
      <c r="U729" t="str">
        <f>IF(S729="","",IF(S729="[FÓRMULA MANUAL]","",IFERROR(AVERAGEIFS(DATOS!$K$2:$K$20000,DATOS!$A$2:$A$20000,S729,DATOS!$G$2:$G$20000,CONFIG_METADATA!$B$4,DATOS!$I$2:$I$20000,"Orquesta/Banda/Conjunto"),"")))</f>
        <v/>
      </c>
      <c r="V729" t="str">
        <f>IF(S729="","",IF(S729="[FÓRMULA MANUAL]","",IFERROR(AVERAGEIFS(DATOS!$K$2:$K$20000,DATOS!$A$2:$A$20000,S729,DATOS!$G$2:$G$20000,CONFIG_METADATA!$B$4,DATOS!$I$2:$I$20000,"Música de Cámara"),"")))</f>
        <v/>
      </c>
      <c r="W729" t="str">
        <f>IF(S729="","",IF(S729="[FÓRMULA MANUAL]","",IFERROR(SUMPRODUCT((DATOS!$A$2:$A$20000=S729)*(DATOS!$G$2:$G$20000=CONFIG_METADATA!$B$4)*(COUNTIF(CONFIG_ASIGNATURAS!$B$7:$B$27,DATOS!$I$2:$I$20000)&gt;0)*(DATOS!$K$2:$K$20000))/SUMPRODUCT((DATOS!$A$2:$A$20000=S729)*(DATOS!$G$2:$G$20000=CONFIG_METADATA!$B$4)*(COUNTIF(CONFIG_ASIGNATURAS!$B$7:$B$27,DATOS!$I$2:$I$20000)&gt;0)*1),"")))</f>
        <v/>
      </c>
      <c r="Z729" t="str">
        <f>IF(Y729="","",IF(Y729="[FÓRMULA MANUAL]","",IFERROR(AVERAGEIFS(DATOS!$K$2:$K$20000,DATOS!$A$2:$A$20000,Y729,DATOS!$G$2:$G$20000,CONFIG_METADATA!$B$4,DATOS!$I$2:$I$20000,"Análisis"),"")))</f>
        <v/>
      </c>
      <c r="AA729" t="str">
        <f>IF(Y729="","",IF(Y729="[FÓRMULA MANUAL]","",IFERROR(AVERAGEIFS(DATOS!$K$2:$K$20000,DATOS!$A$2:$A$20000,Y729,DATOS!$G$2:$G$20000,CONFIG_METADATA!$B$4,DATOS!$I$2:$I$20000,"Orquesta/Banda/Conjunto"),"")))</f>
        <v/>
      </c>
      <c r="AB729" t="str">
        <f>IF(Y729="","",IF(Y729="[FÓRMULA MANUAL]","",IFERROR(AVERAGEIFS(DATOS!$K$2:$K$20000,DATOS!$A$2:$A$20000,Y729,DATOS!$G$2:$G$20000,CONFIG_METADATA!$B$4,DATOS!$I$2:$I$20000,"Música de Cámara"),"")))</f>
        <v/>
      </c>
      <c r="AC729" t="str">
        <f>IF(Y729="","",IF(Y729="[FÓRMULA MANUAL]","",IFERROR(SUMPRODUCT((DATOS!$A$2:$A$20000=Y729)*(DATOS!$G$2:$G$20000=CONFIG_METADATA!$B$4)*(COUNTIF(CONFIG_ASIGNATURAS!$B$7:$B$27,DATOS!$I$2:$I$20000)&gt;0)*(DATOS!$K$2:$K$20000))/SUMPRODUCT((DATOS!$A$2:$A$20000=Y729)*(DATOS!$G$2:$G$20000=CONFIG_METADATA!$B$4)*(COUNTIF(CONFIG_ASIGNATURAS!$B$7:$B$27,DATOS!$I$2:$I$20000)&gt;0)*1),"")))</f>
        <v/>
      </c>
      <c r="AF729" t="str">
        <f>IF(AE729="","",IF(AE729="[FÓRMULA MANUAL]","",IFERROR(AVERAGEIFS(DATOS!$K$2:$K$20000,DATOS!$A$2:$A$20000,AE729,DATOS!$G$2:$G$20000,CONFIG_METADATA!$B$4,DATOS!$I$2:$I$20000,"Análisis"),"")))</f>
        <v/>
      </c>
      <c r="AG729" t="str">
        <f>IF(AE729="","",IF(AE729="[FÓRMULA MANUAL]","",IFERROR(AVERAGEIFS(DATOS!$K$2:$K$20000,DATOS!$A$2:$A$20000,AE729,DATOS!$G$2:$G$20000,CONFIG_METADATA!$B$4,DATOS!$I$2:$I$20000,"Orquesta/Banda/Conjunto"),"")))</f>
        <v/>
      </c>
      <c r="AH729" t="str">
        <f>IF(AE729="","",IF(AE729="[FÓRMULA MANUAL]","",IFERROR(AVERAGEIFS(DATOS!$K$2:$K$20000,DATOS!$A$2:$A$20000,AE729,DATOS!$G$2:$G$20000,CONFIG_METADATA!$B$4,DATOS!$I$2:$I$20000,"Música de Cámara"),"")))</f>
        <v/>
      </c>
      <c r="AI729" t="str">
        <f>IF(AE729="","",IF(AE729="[FÓRMULA MANUAL]","",IFERROR(SUMPRODUCT((DATOS!$A$2:$A$20000=AE729)*(DATOS!$G$2:$G$20000=CONFIG_METADATA!$B$4)*(COUNTIF(CONFIG_ASIGNATURAS!$B$7:$B$27,DATOS!$I$2:$I$20000)&gt;0)*(DATOS!$K$2:$K$20000))/SUMPRODUCT((DATOS!$A$2:$A$20000=AE729)*(DATOS!$G$2:$G$20000=CONFIG_METADATA!$B$4)*(COUNTIF(CONFIG_ASIGNATURAS!$B$7:$B$27,DATOS!$I$2:$I$20000)&gt;0)*1),"")))</f>
        <v/>
      </c>
    </row>
    <row r="730" spans="2:35" x14ac:dyDescent="0.2">
      <c r="B730" t="str">
        <f>IF(A730="","",IF(A730="[FÓRMULA MANUAL]","",IFERROR(AVERAGEIFS(DATOS!$K$2:$K$20000,DATOS!$A$2:$A$20000,A730,DATOS!$G$2:$G$20000,CONFIG_METADATA!$B$4,DATOS!$I$2:$I$20000,"Lenguaje Musical"),"")))</f>
        <v/>
      </c>
      <c r="C730" t="str">
        <f>IF(A730="","",IF(A730="[FÓRMULA MANUAL]","",IFERROR(AVERAGEIFS(DATOS!$K$2:$K$20000,DATOS!$A$2:$A$20000,A730,DATOS!$G$2:$G$20000,CONFIG_METADATA!$B$4,DATOS!$I$2:$I$20000,"Orquesta/Banda/Conjunto"),"")))</f>
        <v/>
      </c>
      <c r="D730" t="str">
        <f>IF(A730="","",IF(A730="[FÓRMULA MANUAL]","",IFERROR(AVERAGEIFS(DATOS!$K$2:$K$20000,DATOS!$A$2:$A$20000,A730,DATOS!$G$2:$G$20000,CONFIG_METADATA!$B$4,DATOS!$I$2:$I$20000,"Conjunto"),"")))</f>
        <v/>
      </c>
      <c r="E730" t="str">
        <f>IF(A730="","",IF(A730="[FÓRMULA MANUAL]","",IFERROR(SUMPRODUCT((DATOS!$A$2:$A$20000=A730)*(DATOS!$G$2:$G$20000=CONFIG_METADATA!$B$4)*(COUNTIF(CONFIG_ASIGNATURAS!$B$7:$B$27,DATOS!$I$2:$I$20000)&gt;0)*(DATOS!$K$2:$K$20000))/SUMPRODUCT((DATOS!$A$2:$A$20000=A730)*(DATOS!$G$2:$G$20000=CONFIG_METADATA!$B$4)*(COUNTIF(CONFIG_ASIGNATURAS!$B$7:$B$27,DATOS!$I$2:$I$20000)&gt;0)*1),"")))</f>
        <v/>
      </c>
      <c r="H730" t="str">
        <f>IF(G730="","",IF(G730="[FÓRMULA MANUAL]","",IFERROR(AVERAGEIFS(DATOS!$K$2:$K$20000,DATOS!$A$2:$A$20000,G730,DATOS!$G$2:$G$20000,CONFIG_METADATA!$B$4,DATOS!$I$2:$I$20000,"Lenguaje Musical"),"")))</f>
        <v/>
      </c>
      <c r="I730" t="str">
        <f>IF(G730="","",IF(G730="[FÓRMULA MANUAL]","",IFERROR(AVERAGEIFS(DATOS!$K$2:$K$20000,DATOS!$A$2:$A$20000,G730,DATOS!$G$2:$G$20000,CONFIG_METADATA!$B$4,DATOS!$I$2:$I$20000,"Orquesta/Banda/Conjunto"),"")))</f>
        <v/>
      </c>
      <c r="J730" t="str">
        <f>IF(G730="","",IF(G730="[FÓRMULA MANUAL]","",IFERROR(AVERAGEIFS(DATOS!$K$2:$K$20000,DATOS!$A$2:$A$20000,G730,DATOS!$G$2:$G$20000,CONFIG_METADATA!$B$4,DATOS!$I$2:$I$20000,"Conjunto"),"")))</f>
        <v/>
      </c>
      <c r="K730" t="str">
        <f>IF(G730="","",IF(G730="[FÓRMULA MANUAL]","",IFERROR(SUMPRODUCT((DATOS!$A$2:$A$20000=G730)*(DATOS!$G$2:$G$20000=CONFIG_METADATA!$B$4)*(COUNTIF(CONFIG_ASIGNATURAS!$B$7:$B$27,DATOS!$I$2:$I$20000)&gt;0)*(DATOS!$K$2:$K$20000))/SUMPRODUCT((DATOS!$A$2:$A$20000=G730)*(DATOS!$G$2:$G$20000=CONFIG_METADATA!$B$4)*(COUNTIF(CONFIG_ASIGNATURAS!$B$7:$B$27,DATOS!$I$2:$I$20000)&gt;0)*1),"")))</f>
        <v/>
      </c>
      <c r="N730" t="str">
        <f>IF(M730="","",IF(M730="[FÓRMULA MANUAL]","",IFERROR(AVERAGEIFS(DATOS!$K$2:$K$20000,DATOS!$A$2:$A$20000,M730,DATOS!$G$2:$G$20000,CONFIG_METADATA!$B$4,DATOS!$I$2:$I$20000,"Armonía"),"")))</f>
        <v/>
      </c>
      <c r="O730" t="str">
        <f>IF(M730="","",IF(M730="[FÓRMULA MANUAL]","",IFERROR(AVERAGEIFS(DATOS!$K$2:$K$20000,DATOS!$A$2:$A$20000,M730,DATOS!$G$2:$G$20000,CONFIG_METADATA!$B$4,DATOS!$I$2:$I$20000,"Orquesta/Banda/Conjunto"),"")))</f>
        <v/>
      </c>
      <c r="P730" t="str">
        <f>IF(M730="","",IF(M730="[FÓRMULA MANUAL]","",IFERROR(AVERAGEIFS(DATOS!$K$2:$K$20000,DATOS!$A$2:$A$20000,M730,DATOS!$G$2:$G$20000,CONFIG_METADATA!$B$4,DATOS!$I$2:$I$20000,"Música de Cámara"),"")))</f>
        <v/>
      </c>
      <c r="Q730" t="str">
        <f>IF(M730="","",IF(M730="[FÓRMULA MANUAL]","",IFERROR(SUMPRODUCT((DATOS!$A$2:$A$20000=M730)*(DATOS!$G$2:$G$20000=CONFIG_METADATA!$B$4)*(COUNTIF(CONFIG_ASIGNATURAS!$B$7:$B$27,DATOS!$I$2:$I$20000)&gt;0)*(DATOS!$K$2:$K$20000))/SUMPRODUCT((DATOS!$A$2:$A$20000=M730)*(DATOS!$G$2:$G$20000=CONFIG_METADATA!$B$4)*(COUNTIF(CONFIG_ASIGNATURAS!$B$7:$B$27,DATOS!$I$2:$I$20000)&gt;0)*1),"")))</f>
        <v/>
      </c>
      <c r="T730" t="str">
        <f>IF(S730="","",IF(S730="[FÓRMULA MANUAL]","",IFERROR(AVERAGEIFS(DATOS!$K$2:$K$20000,DATOS!$A$2:$A$20000,S730,DATOS!$G$2:$G$20000,CONFIG_METADATA!$B$4,DATOS!$I$2:$I$20000,"Armonía"),"")))</f>
        <v/>
      </c>
      <c r="U730" t="str">
        <f>IF(S730="","",IF(S730="[FÓRMULA MANUAL]","",IFERROR(AVERAGEIFS(DATOS!$K$2:$K$20000,DATOS!$A$2:$A$20000,S730,DATOS!$G$2:$G$20000,CONFIG_METADATA!$B$4,DATOS!$I$2:$I$20000,"Orquesta/Banda/Conjunto"),"")))</f>
        <v/>
      </c>
      <c r="V730" t="str">
        <f>IF(S730="","",IF(S730="[FÓRMULA MANUAL]","",IFERROR(AVERAGEIFS(DATOS!$K$2:$K$20000,DATOS!$A$2:$A$20000,S730,DATOS!$G$2:$G$20000,CONFIG_METADATA!$B$4,DATOS!$I$2:$I$20000,"Música de Cámara"),"")))</f>
        <v/>
      </c>
      <c r="W730" t="str">
        <f>IF(S730="","",IF(S730="[FÓRMULA MANUAL]","",IFERROR(SUMPRODUCT((DATOS!$A$2:$A$20000=S730)*(DATOS!$G$2:$G$20000=CONFIG_METADATA!$B$4)*(COUNTIF(CONFIG_ASIGNATURAS!$B$7:$B$27,DATOS!$I$2:$I$20000)&gt;0)*(DATOS!$K$2:$K$20000))/SUMPRODUCT((DATOS!$A$2:$A$20000=S730)*(DATOS!$G$2:$G$20000=CONFIG_METADATA!$B$4)*(COUNTIF(CONFIG_ASIGNATURAS!$B$7:$B$27,DATOS!$I$2:$I$20000)&gt;0)*1),"")))</f>
        <v/>
      </c>
      <c r="Z730" t="str">
        <f>IF(Y730="","",IF(Y730="[FÓRMULA MANUAL]","",IFERROR(AVERAGEIFS(DATOS!$K$2:$K$20000,DATOS!$A$2:$A$20000,Y730,DATOS!$G$2:$G$20000,CONFIG_METADATA!$B$4,DATOS!$I$2:$I$20000,"Análisis"),"")))</f>
        <v/>
      </c>
      <c r="AA730" t="str">
        <f>IF(Y730="","",IF(Y730="[FÓRMULA MANUAL]","",IFERROR(AVERAGEIFS(DATOS!$K$2:$K$20000,DATOS!$A$2:$A$20000,Y730,DATOS!$G$2:$G$20000,CONFIG_METADATA!$B$4,DATOS!$I$2:$I$20000,"Orquesta/Banda/Conjunto"),"")))</f>
        <v/>
      </c>
      <c r="AB730" t="str">
        <f>IF(Y730="","",IF(Y730="[FÓRMULA MANUAL]","",IFERROR(AVERAGEIFS(DATOS!$K$2:$K$20000,DATOS!$A$2:$A$20000,Y730,DATOS!$G$2:$G$20000,CONFIG_METADATA!$B$4,DATOS!$I$2:$I$20000,"Música de Cámara"),"")))</f>
        <v/>
      </c>
      <c r="AC730" t="str">
        <f>IF(Y730="","",IF(Y730="[FÓRMULA MANUAL]","",IFERROR(SUMPRODUCT((DATOS!$A$2:$A$20000=Y730)*(DATOS!$G$2:$G$20000=CONFIG_METADATA!$B$4)*(COUNTIF(CONFIG_ASIGNATURAS!$B$7:$B$27,DATOS!$I$2:$I$20000)&gt;0)*(DATOS!$K$2:$K$20000))/SUMPRODUCT((DATOS!$A$2:$A$20000=Y730)*(DATOS!$G$2:$G$20000=CONFIG_METADATA!$B$4)*(COUNTIF(CONFIG_ASIGNATURAS!$B$7:$B$27,DATOS!$I$2:$I$20000)&gt;0)*1),"")))</f>
        <v/>
      </c>
      <c r="AF730" t="str">
        <f>IF(AE730="","",IF(AE730="[FÓRMULA MANUAL]","",IFERROR(AVERAGEIFS(DATOS!$K$2:$K$20000,DATOS!$A$2:$A$20000,AE730,DATOS!$G$2:$G$20000,CONFIG_METADATA!$B$4,DATOS!$I$2:$I$20000,"Análisis"),"")))</f>
        <v/>
      </c>
      <c r="AG730" t="str">
        <f>IF(AE730="","",IF(AE730="[FÓRMULA MANUAL]","",IFERROR(AVERAGEIFS(DATOS!$K$2:$K$20000,DATOS!$A$2:$A$20000,AE730,DATOS!$G$2:$G$20000,CONFIG_METADATA!$B$4,DATOS!$I$2:$I$20000,"Orquesta/Banda/Conjunto"),"")))</f>
        <v/>
      </c>
      <c r="AH730" t="str">
        <f>IF(AE730="","",IF(AE730="[FÓRMULA MANUAL]","",IFERROR(AVERAGEIFS(DATOS!$K$2:$K$20000,DATOS!$A$2:$A$20000,AE730,DATOS!$G$2:$G$20000,CONFIG_METADATA!$B$4,DATOS!$I$2:$I$20000,"Música de Cámara"),"")))</f>
        <v/>
      </c>
      <c r="AI730" t="str">
        <f>IF(AE730="","",IF(AE730="[FÓRMULA MANUAL]","",IFERROR(SUMPRODUCT((DATOS!$A$2:$A$20000=AE730)*(DATOS!$G$2:$G$20000=CONFIG_METADATA!$B$4)*(COUNTIF(CONFIG_ASIGNATURAS!$B$7:$B$27,DATOS!$I$2:$I$20000)&gt;0)*(DATOS!$K$2:$K$20000))/SUMPRODUCT((DATOS!$A$2:$A$20000=AE730)*(DATOS!$G$2:$G$20000=CONFIG_METADATA!$B$4)*(COUNTIF(CONFIG_ASIGNATURAS!$B$7:$B$27,DATOS!$I$2:$I$20000)&gt;0)*1),"")))</f>
        <v/>
      </c>
    </row>
    <row r="731" spans="2:35" x14ac:dyDescent="0.2">
      <c r="B731" t="str">
        <f>IF(A731="","",IF(A731="[FÓRMULA MANUAL]","",IFERROR(AVERAGEIFS(DATOS!$K$2:$K$20000,DATOS!$A$2:$A$20000,A731,DATOS!$G$2:$G$20000,CONFIG_METADATA!$B$4,DATOS!$I$2:$I$20000,"Lenguaje Musical"),"")))</f>
        <v/>
      </c>
      <c r="C731" t="str">
        <f>IF(A731="","",IF(A731="[FÓRMULA MANUAL]","",IFERROR(AVERAGEIFS(DATOS!$K$2:$K$20000,DATOS!$A$2:$A$20000,A731,DATOS!$G$2:$G$20000,CONFIG_METADATA!$B$4,DATOS!$I$2:$I$20000,"Orquesta/Banda/Conjunto"),"")))</f>
        <v/>
      </c>
      <c r="D731" t="str">
        <f>IF(A731="","",IF(A731="[FÓRMULA MANUAL]","",IFERROR(AVERAGEIFS(DATOS!$K$2:$K$20000,DATOS!$A$2:$A$20000,A731,DATOS!$G$2:$G$20000,CONFIG_METADATA!$B$4,DATOS!$I$2:$I$20000,"Conjunto"),"")))</f>
        <v/>
      </c>
      <c r="E731" t="str">
        <f>IF(A731="","",IF(A731="[FÓRMULA MANUAL]","",IFERROR(SUMPRODUCT((DATOS!$A$2:$A$20000=A731)*(DATOS!$G$2:$G$20000=CONFIG_METADATA!$B$4)*(COUNTIF(CONFIG_ASIGNATURAS!$B$7:$B$27,DATOS!$I$2:$I$20000)&gt;0)*(DATOS!$K$2:$K$20000))/SUMPRODUCT((DATOS!$A$2:$A$20000=A731)*(DATOS!$G$2:$G$20000=CONFIG_METADATA!$B$4)*(COUNTIF(CONFIG_ASIGNATURAS!$B$7:$B$27,DATOS!$I$2:$I$20000)&gt;0)*1),"")))</f>
        <v/>
      </c>
      <c r="H731" t="str">
        <f>IF(G731="","",IF(G731="[FÓRMULA MANUAL]","",IFERROR(AVERAGEIFS(DATOS!$K$2:$K$20000,DATOS!$A$2:$A$20000,G731,DATOS!$G$2:$G$20000,CONFIG_METADATA!$B$4,DATOS!$I$2:$I$20000,"Lenguaje Musical"),"")))</f>
        <v/>
      </c>
      <c r="I731" t="str">
        <f>IF(G731="","",IF(G731="[FÓRMULA MANUAL]","",IFERROR(AVERAGEIFS(DATOS!$K$2:$K$20000,DATOS!$A$2:$A$20000,G731,DATOS!$G$2:$G$20000,CONFIG_METADATA!$B$4,DATOS!$I$2:$I$20000,"Orquesta/Banda/Conjunto"),"")))</f>
        <v/>
      </c>
      <c r="J731" t="str">
        <f>IF(G731="","",IF(G731="[FÓRMULA MANUAL]","",IFERROR(AVERAGEIFS(DATOS!$K$2:$K$20000,DATOS!$A$2:$A$20000,G731,DATOS!$G$2:$G$20000,CONFIG_METADATA!$B$4,DATOS!$I$2:$I$20000,"Conjunto"),"")))</f>
        <v/>
      </c>
      <c r="K731" t="str">
        <f>IF(G731="","",IF(G731="[FÓRMULA MANUAL]","",IFERROR(SUMPRODUCT((DATOS!$A$2:$A$20000=G731)*(DATOS!$G$2:$G$20000=CONFIG_METADATA!$B$4)*(COUNTIF(CONFIG_ASIGNATURAS!$B$7:$B$27,DATOS!$I$2:$I$20000)&gt;0)*(DATOS!$K$2:$K$20000))/SUMPRODUCT((DATOS!$A$2:$A$20000=G731)*(DATOS!$G$2:$G$20000=CONFIG_METADATA!$B$4)*(COUNTIF(CONFIG_ASIGNATURAS!$B$7:$B$27,DATOS!$I$2:$I$20000)&gt;0)*1),"")))</f>
        <v/>
      </c>
      <c r="N731" t="str">
        <f>IF(M731="","",IF(M731="[FÓRMULA MANUAL]","",IFERROR(AVERAGEIFS(DATOS!$K$2:$K$20000,DATOS!$A$2:$A$20000,M731,DATOS!$G$2:$G$20000,CONFIG_METADATA!$B$4,DATOS!$I$2:$I$20000,"Armonía"),"")))</f>
        <v/>
      </c>
      <c r="O731" t="str">
        <f>IF(M731="","",IF(M731="[FÓRMULA MANUAL]","",IFERROR(AVERAGEIFS(DATOS!$K$2:$K$20000,DATOS!$A$2:$A$20000,M731,DATOS!$G$2:$G$20000,CONFIG_METADATA!$B$4,DATOS!$I$2:$I$20000,"Orquesta/Banda/Conjunto"),"")))</f>
        <v/>
      </c>
      <c r="P731" t="str">
        <f>IF(M731="","",IF(M731="[FÓRMULA MANUAL]","",IFERROR(AVERAGEIFS(DATOS!$K$2:$K$20000,DATOS!$A$2:$A$20000,M731,DATOS!$G$2:$G$20000,CONFIG_METADATA!$B$4,DATOS!$I$2:$I$20000,"Música de Cámara"),"")))</f>
        <v/>
      </c>
      <c r="Q731" t="str">
        <f>IF(M731="","",IF(M731="[FÓRMULA MANUAL]","",IFERROR(SUMPRODUCT((DATOS!$A$2:$A$20000=M731)*(DATOS!$G$2:$G$20000=CONFIG_METADATA!$B$4)*(COUNTIF(CONFIG_ASIGNATURAS!$B$7:$B$27,DATOS!$I$2:$I$20000)&gt;0)*(DATOS!$K$2:$K$20000))/SUMPRODUCT((DATOS!$A$2:$A$20000=M731)*(DATOS!$G$2:$G$20000=CONFIG_METADATA!$B$4)*(COUNTIF(CONFIG_ASIGNATURAS!$B$7:$B$27,DATOS!$I$2:$I$20000)&gt;0)*1),"")))</f>
        <v/>
      </c>
      <c r="T731" t="str">
        <f>IF(S731="","",IF(S731="[FÓRMULA MANUAL]","",IFERROR(AVERAGEIFS(DATOS!$K$2:$K$20000,DATOS!$A$2:$A$20000,S731,DATOS!$G$2:$G$20000,CONFIG_METADATA!$B$4,DATOS!$I$2:$I$20000,"Armonía"),"")))</f>
        <v/>
      </c>
      <c r="U731" t="str">
        <f>IF(S731="","",IF(S731="[FÓRMULA MANUAL]","",IFERROR(AVERAGEIFS(DATOS!$K$2:$K$20000,DATOS!$A$2:$A$20000,S731,DATOS!$G$2:$G$20000,CONFIG_METADATA!$B$4,DATOS!$I$2:$I$20000,"Orquesta/Banda/Conjunto"),"")))</f>
        <v/>
      </c>
      <c r="V731" t="str">
        <f>IF(S731="","",IF(S731="[FÓRMULA MANUAL]","",IFERROR(AVERAGEIFS(DATOS!$K$2:$K$20000,DATOS!$A$2:$A$20000,S731,DATOS!$G$2:$G$20000,CONFIG_METADATA!$B$4,DATOS!$I$2:$I$20000,"Música de Cámara"),"")))</f>
        <v/>
      </c>
      <c r="W731" t="str">
        <f>IF(S731="","",IF(S731="[FÓRMULA MANUAL]","",IFERROR(SUMPRODUCT((DATOS!$A$2:$A$20000=S731)*(DATOS!$G$2:$G$20000=CONFIG_METADATA!$B$4)*(COUNTIF(CONFIG_ASIGNATURAS!$B$7:$B$27,DATOS!$I$2:$I$20000)&gt;0)*(DATOS!$K$2:$K$20000))/SUMPRODUCT((DATOS!$A$2:$A$20000=S731)*(DATOS!$G$2:$G$20000=CONFIG_METADATA!$B$4)*(COUNTIF(CONFIG_ASIGNATURAS!$B$7:$B$27,DATOS!$I$2:$I$20000)&gt;0)*1),"")))</f>
        <v/>
      </c>
      <c r="Z731" t="str">
        <f>IF(Y731="","",IF(Y731="[FÓRMULA MANUAL]","",IFERROR(AVERAGEIFS(DATOS!$K$2:$K$20000,DATOS!$A$2:$A$20000,Y731,DATOS!$G$2:$G$20000,CONFIG_METADATA!$B$4,DATOS!$I$2:$I$20000,"Análisis"),"")))</f>
        <v/>
      </c>
      <c r="AA731" t="str">
        <f>IF(Y731="","",IF(Y731="[FÓRMULA MANUAL]","",IFERROR(AVERAGEIFS(DATOS!$K$2:$K$20000,DATOS!$A$2:$A$20000,Y731,DATOS!$G$2:$G$20000,CONFIG_METADATA!$B$4,DATOS!$I$2:$I$20000,"Orquesta/Banda/Conjunto"),"")))</f>
        <v/>
      </c>
      <c r="AB731" t="str">
        <f>IF(Y731="","",IF(Y731="[FÓRMULA MANUAL]","",IFERROR(AVERAGEIFS(DATOS!$K$2:$K$20000,DATOS!$A$2:$A$20000,Y731,DATOS!$G$2:$G$20000,CONFIG_METADATA!$B$4,DATOS!$I$2:$I$20000,"Música de Cámara"),"")))</f>
        <v/>
      </c>
      <c r="AC731" t="str">
        <f>IF(Y731="","",IF(Y731="[FÓRMULA MANUAL]","",IFERROR(SUMPRODUCT((DATOS!$A$2:$A$20000=Y731)*(DATOS!$G$2:$G$20000=CONFIG_METADATA!$B$4)*(COUNTIF(CONFIG_ASIGNATURAS!$B$7:$B$27,DATOS!$I$2:$I$20000)&gt;0)*(DATOS!$K$2:$K$20000))/SUMPRODUCT((DATOS!$A$2:$A$20000=Y731)*(DATOS!$G$2:$G$20000=CONFIG_METADATA!$B$4)*(COUNTIF(CONFIG_ASIGNATURAS!$B$7:$B$27,DATOS!$I$2:$I$20000)&gt;0)*1),"")))</f>
        <v/>
      </c>
      <c r="AF731" t="str">
        <f>IF(AE731="","",IF(AE731="[FÓRMULA MANUAL]","",IFERROR(AVERAGEIFS(DATOS!$K$2:$K$20000,DATOS!$A$2:$A$20000,AE731,DATOS!$G$2:$G$20000,CONFIG_METADATA!$B$4,DATOS!$I$2:$I$20000,"Análisis"),"")))</f>
        <v/>
      </c>
      <c r="AG731" t="str">
        <f>IF(AE731="","",IF(AE731="[FÓRMULA MANUAL]","",IFERROR(AVERAGEIFS(DATOS!$K$2:$K$20000,DATOS!$A$2:$A$20000,AE731,DATOS!$G$2:$G$20000,CONFIG_METADATA!$B$4,DATOS!$I$2:$I$20000,"Orquesta/Banda/Conjunto"),"")))</f>
        <v/>
      </c>
      <c r="AH731" t="str">
        <f>IF(AE731="","",IF(AE731="[FÓRMULA MANUAL]","",IFERROR(AVERAGEIFS(DATOS!$K$2:$K$20000,DATOS!$A$2:$A$20000,AE731,DATOS!$G$2:$G$20000,CONFIG_METADATA!$B$4,DATOS!$I$2:$I$20000,"Música de Cámara"),"")))</f>
        <v/>
      </c>
      <c r="AI731" t="str">
        <f>IF(AE731="","",IF(AE731="[FÓRMULA MANUAL]","",IFERROR(SUMPRODUCT((DATOS!$A$2:$A$20000=AE731)*(DATOS!$G$2:$G$20000=CONFIG_METADATA!$B$4)*(COUNTIF(CONFIG_ASIGNATURAS!$B$7:$B$27,DATOS!$I$2:$I$20000)&gt;0)*(DATOS!$K$2:$K$20000))/SUMPRODUCT((DATOS!$A$2:$A$20000=AE731)*(DATOS!$G$2:$G$20000=CONFIG_METADATA!$B$4)*(COUNTIF(CONFIG_ASIGNATURAS!$B$7:$B$27,DATOS!$I$2:$I$20000)&gt;0)*1),"")))</f>
        <v/>
      </c>
    </row>
    <row r="732" spans="2:35" x14ac:dyDescent="0.2">
      <c r="B732" t="str">
        <f>IF(A732="","",IF(A732="[FÓRMULA MANUAL]","",IFERROR(AVERAGEIFS(DATOS!$K$2:$K$20000,DATOS!$A$2:$A$20000,A732,DATOS!$G$2:$G$20000,CONFIG_METADATA!$B$4,DATOS!$I$2:$I$20000,"Lenguaje Musical"),"")))</f>
        <v/>
      </c>
      <c r="C732" t="str">
        <f>IF(A732="","",IF(A732="[FÓRMULA MANUAL]","",IFERROR(AVERAGEIFS(DATOS!$K$2:$K$20000,DATOS!$A$2:$A$20000,A732,DATOS!$G$2:$G$20000,CONFIG_METADATA!$B$4,DATOS!$I$2:$I$20000,"Orquesta/Banda/Conjunto"),"")))</f>
        <v/>
      </c>
      <c r="D732" t="str">
        <f>IF(A732="","",IF(A732="[FÓRMULA MANUAL]","",IFERROR(AVERAGEIFS(DATOS!$K$2:$K$20000,DATOS!$A$2:$A$20000,A732,DATOS!$G$2:$G$20000,CONFIG_METADATA!$B$4,DATOS!$I$2:$I$20000,"Conjunto"),"")))</f>
        <v/>
      </c>
      <c r="E732" t="str">
        <f>IF(A732="","",IF(A732="[FÓRMULA MANUAL]","",IFERROR(SUMPRODUCT((DATOS!$A$2:$A$20000=A732)*(DATOS!$G$2:$G$20000=CONFIG_METADATA!$B$4)*(COUNTIF(CONFIG_ASIGNATURAS!$B$7:$B$27,DATOS!$I$2:$I$20000)&gt;0)*(DATOS!$K$2:$K$20000))/SUMPRODUCT((DATOS!$A$2:$A$20000=A732)*(DATOS!$G$2:$G$20000=CONFIG_METADATA!$B$4)*(COUNTIF(CONFIG_ASIGNATURAS!$B$7:$B$27,DATOS!$I$2:$I$20000)&gt;0)*1),"")))</f>
        <v/>
      </c>
      <c r="H732" t="str">
        <f>IF(G732="","",IF(G732="[FÓRMULA MANUAL]","",IFERROR(AVERAGEIFS(DATOS!$K$2:$K$20000,DATOS!$A$2:$A$20000,G732,DATOS!$G$2:$G$20000,CONFIG_METADATA!$B$4,DATOS!$I$2:$I$20000,"Lenguaje Musical"),"")))</f>
        <v/>
      </c>
      <c r="I732" t="str">
        <f>IF(G732="","",IF(G732="[FÓRMULA MANUAL]","",IFERROR(AVERAGEIFS(DATOS!$K$2:$K$20000,DATOS!$A$2:$A$20000,G732,DATOS!$G$2:$G$20000,CONFIG_METADATA!$B$4,DATOS!$I$2:$I$20000,"Orquesta/Banda/Conjunto"),"")))</f>
        <v/>
      </c>
      <c r="J732" t="str">
        <f>IF(G732="","",IF(G732="[FÓRMULA MANUAL]","",IFERROR(AVERAGEIFS(DATOS!$K$2:$K$20000,DATOS!$A$2:$A$20000,G732,DATOS!$G$2:$G$20000,CONFIG_METADATA!$B$4,DATOS!$I$2:$I$20000,"Conjunto"),"")))</f>
        <v/>
      </c>
      <c r="K732" t="str">
        <f>IF(G732="","",IF(G732="[FÓRMULA MANUAL]","",IFERROR(SUMPRODUCT((DATOS!$A$2:$A$20000=G732)*(DATOS!$G$2:$G$20000=CONFIG_METADATA!$B$4)*(COUNTIF(CONFIG_ASIGNATURAS!$B$7:$B$27,DATOS!$I$2:$I$20000)&gt;0)*(DATOS!$K$2:$K$20000))/SUMPRODUCT((DATOS!$A$2:$A$20000=G732)*(DATOS!$G$2:$G$20000=CONFIG_METADATA!$B$4)*(COUNTIF(CONFIG_ASIGNATURAS!$B$7:$B$27,DATOS!$I$2:$I$20000)&gt;0)*1),"")))</f>
        <v/>
      </c>
      <c r="N732" t="str">
        <f>IF(M732="","",IF(M732="[FÓRMULA MANUAL]","",IFERROR(AVERAGEIFS(DATOS!$K$2:$K$20000,DATOS!$A$2:$A$20000,M732,DATOS!$G$2:$G$20000,CONFIG_METADATA!$B$4,DATOS!$I$2:$I$20000,"Armonía"),"")))</f>
        <v/>
      </c>
      <c r="O732" t="str">
        <f>IF(M732="","",IF(M732="[FÓRMULA MANUAL]","",IFERROR(AVERAGEIFS(DATOS!$K$2:$K$20000,DATOS!$A$2:$A$20000,M732,DATOS!$G$2:$G$20000,CONFIG_METADATA!$B$4,DATOS!$I$2:$I$20000,"Orquesta/Banda/Conjunto"),"")))</f>
        <v/>
      </c>
      <c r="P732" t="str">
        <f>IF(M732="","",IF(M732="[FÓRMULA MANUAL]","",IFERROR(AVERAGEIFS(DATOS!$K$2:$K$20000,DATOS!$A$2:$A$20000,M732,DATOS!$G$2:$G$20000,CONFIG_METADATA!$B$4,DATOS!$I$2:$I$20000,"Música de Cámara"),"")))</f>
        <v/>
      </c>
      <c r="Q732" t="str">
        <f>IF(M732="","",IF(M732="[FÓRMULA MANUAL]","",IFERROR(SUMPRODUCT((DATOS!$A$2:$A$20000=M732)*(DATOS!$G$2:$G$20000=CONFIG_METADATA!$B$4)*(COUNTIF(CONFIG_ASIGNATURAS!$B$7:$B$27,DATOS!$I$2:$I$20000)&gt;0)*(DATOS!$K$2:$K$20000))/SUMPRODUCT((DATOS!$A$2:$A$20000=M732)*(DATOS!$G$2:$G$20000=CONFIG_METADATA!$B$4)*(COUNTIF(CONFIG_ASIGNATURAS!$B$7:$B$27,DATOS!$I$2:$I$20000)&gt;0)*1),"")))</f>
        <v/>
      </c>
      <c r="T732" t="str">
        <f>IF(S732="","",IF(S732="[FÓRMULA MANUAL]","",IFERROR(AVERAGEIFS(DATOS!$K$2:$K$20000,DATOS!$A$2:$A$20000,S732,DATOS!$G$2:$G$20000,CONFIG_METADATA!$B$4,DATOS!$I$2:$I$20000,"Armonía"),"")))</f>
        <v/>
      </c>
      <c r="U732" t="str">
        <f>IF(S732="","",IF(S732="[FÓRMULA MANUAL]","",IFERROR(AVERAGEIFS(DATOS!$K$2:$K$20000,DATOS!$A$2:$A$20000,S732,DATOS!$G$2:$G$20000,CONFIG_METADATA!$B$4,DATOS!$I$2:$I$20000,"Orquesta/Banda/Conjunto"),"")))</f>
        <v/>
      </c>
      <c r="V732" t="str">
        <f>IF(S732="","",IF(S732="[FÓRMULA MANUAL]","",IFERROR(AVERAGEIFS(DATOS!$K$2:$K$20000,DATOS!$A$2:$A$20000,S732,DATOS!$G$2:$G$20000,CONFIG_METADATA!$B$4,DATOS!$I$2:$I$20000,"Música de Cámara"),"")))</f>
        <v/>
      </c>
      <c r="W732" t="str">
        <f>IF(S732="","",IF(S732="[FÓRMULA MANUAL]","",IFERROR(SUMPRODUCT((DATOS!$A$2:$A$20000=S732)*(DATOS!$G$2:$G$20000=CONFIG_METADATA!$B$4)*(COUNTIF(CONFIG_ASIGNATURAS!$B$7:$B$27,DATOS!$I$2:$I$20000)&gt;0)*(DATOS!$K$2:$K$20000))/SUMPRODUCT((DATOS!$A$2:$A$20000=S732)*(DATOS!$G$2:$G$20000=CONFIG_METADATA!$B$4)*(COUNTIF(CONFIG_ASIGNATURAS!$B$7:$B$27,DATOS!$I$2:$I$20000)&gt;0)*1),"")))</f>
        <v/>
      </c>
      <c r="Z732" t="str">
        <f>IF(Y732="","",IF(Y732="[FÓRMULA MANUAL]","",IFERROR(AVERAGEIFS(DATOS!$K$2:$K$20000,DATOS!$A$2:$A$20000,Y732,DATOS!$G$2:$G$20000,CONFIG_METADATA!$B$4,DATOS!$I$2:$I$20000,"Análisis"),"")))</f>
        <v/>
      </c>
      <c r="AA732" t="str">
        <f>IF(Y732="","",IF(Y732="[FÓRMULA MANUAL]","",IFERROR(AVERAGEIFS(DATOS!$K$2:$K$20000,DATOS!$A$2:$A$20000,Y732,DATOS!$G$2:$G$20000,CONFIG_METADATA!$B$4,DATOS!$I$2:$I$20000,"Orquesta/Banda/Conjunto"),"")))</f>
        <v/>
      </c>
      <c r="AB732" t="str">
        <f>IF(Y732="","",IF(Y732="[FÓRMULA MANUAL]","",IFERROR(AVERAGEIFS(DATOS!$K$2:$K$20000,DATOS!$A$2:$A$20000,Y732,DATOS!$G$2:$G$20000,CONFIG_METADATA!$B$4,DATOS!$I$2:$I$20000,"Música de Cámara"),"")))</f>
        <v/>
      </c>
      <c r="AC732" t="str">
        <f>IF(Y732="","",IF(Y732="[FÓRMULA MANUAL]","",IFERROR(SUMPRODUCT((DATOS!$A$2:$A$20000=Y732)*(DATOS!$G$2:$G$20000=CONFIG_METADATA!$B$4)*(COUNTIF(CONFIG_ASIGNATURAS!$B$7:$B$27,DATOS!$I$2:$I$20000)&gt;0)*(DATOS!$K$2:$K$20000))/SUMPRODUCT((DATOS!$A$2:$A$20000=Y732)*(DATOS!$G$2:$G$20000=CONFIG_METADATA!$B$4)*(COUNTIF(CONFIG_ASIGNATURAS!$B$7:$B$27,DATOS!$I$2:$I$20000)&gt;0)*1),"")))</f>
        <v/>
      </c>
      <c r="AF732" t="str">
        <f>IF(AE732="","",IF(AE732="[FÓRMULA MANUAL]","",IFERROR(AVERAGEIFS(DATOS!$K$2:$K$20000,DATOS!$A$2:$A$20000,AE732,DATOS!$G$2:$G$20000,CONFIG_METADATA!$B$4,DATOS!$I$2:$I$20000,"Análisis"),"")))</f>
        <v/>
      </c>
      <c r="AG732" t="str">
        <f>IF(AE732="","",IF(AE732="[FÓRMULA MANUAL]","",IFERROR(AVERAGEIFS(DATOS!$K$2:$K$20000,DATOS!$A$2:$A$20000,AE732,DATOS!$G$2:$G$20000,CONFIG_METADATA!$B$4,DATOS!$I$2:$I$20000,"Orquesta/Banda/Conjunto"),"")))</f>
        <v/>
      </c>
      <c r="AH732" t="str">
        <f>IF(AE732="","",IF(AE732="[FÓRMULA MANUAL]","",IFERROR(AVERAGEIFS(DATOS!$K$2:$K$20000,DATOS!$A$2:$A$20000,AE732,DATOS!$G$2:$G$20000,CONFIG_METADATA!$B$4,DATOS!$I$2:$I$20000,"Música de Cámara"),"")))</f>
        <v/>
      </c>
      <c r="AI732" t="str">
        <f>IF(AE732="","",IF(AE732="[FÓRMULA MANUAL]","",IFERROR(SUMPRODUCT((DATOS!$A$2:$A$20000=AE732)*(DATOS!$G$2:$G$20000=CONFIG_METADATA!$B$4)*(COUNTIF(CONFIG_ASIGNATURAS!$B$7:$B$27,DATOS!$I$2:$I$20000)&gt;0)*(DATOS!$K$2:$K$20000))/SUMPRODUCT((DATOS!$A$2:$A$20000=AE732)*(DATOS!$G$2:$G$20000=CONFIG_METADATA!$B$4)*(COUNTIF(CONFIG_ASIGNATURAS!$B$7:$B$27,DATOS!$I$2:$I$20000)&gt;0)*1),"")))</f>
        <v/>
      </c>
    </row>
    <row r="733" spans="2:35" x14ac:dyDescent="0.2">
      <c r="B733" t="str">
        <f>IF(A733="","",IF(A733="[FÓRMULA MANUAL]","",IFERROR(AVERAGEIFS(DATOS!$K$2:$K$20000,DATOS!$A$2:$A$20000,A733,DATOS!$G$2:$G$20000,CONFIG_METADATA!$B$4,DATOS!$I$2:$I$20000,"Lenguaje Musical"),"")))</f>
        <v/>
      </c>
      <c r="C733" t="str">
        <f>IF(A733="","",IF(A733="[FÓRMULA MANUAL]","",IFERROR(AVERAGEIFS(DATOS!$K$2:$K$20000,DATOS!$A$2:$A$20000,A733,DATOS!$G$2:$G$20000,CONFIG_METADATA!$B$4,DATOS!$I$2:$I$20000,"Orquesta/Banda/Conjunto"),"")))</f>
        <v/>
      </c>
      <c r="D733" t="str">
        <f>IF(A733="","",IF(A733="[FÓRMULA MANUAL]","",IFERROR(AVERAGEIFS(DATOS!$K$2:$K$20000,DATOS!$A$2:$A$20000,A733,DATOS!$G$2:$G$20000,CONFIG_METADATA!$B$4,DATOS!$I$2:$I$20000,"Conjunto"),"")))</f>
        <v/>
      </c>
      <c r="E733" t="str">
        <f>IF(A733="","",IF(A733="[FÓRMULA MANUAL]","",IFERROR(SUMPRODUCT((DATOS!$A$2:$A$20000=A733)*(DATOS!$G$2:$G$20000=CONFIG_METADATA!$B$4)*(COUNTIF(CONFIG_ASIGNATURAS!$B$7:$B$27,DATOS!$I$2:$I$20000)&gt;0)*(DATOS!$K$2:$K$20000))/SUMPRODUCT((DATOS!$A$2:$A$20000=A733)*(DATOS!$G$2:$G$20000=CONFIG_METADATA!$B$4)*(COUNTIF(CONFIG_ASIGNATURAS!$B$7:$B$27,DATOS!$I$2:$I$20000)&gt;0)*1),"")))</f>
        <v/>
      </c>
      <c r="H733" t="str">
        <f>IF(G733="","",IF(G733="[FÓRMULA MANUAL]","",IFERROR(AVERAGEIFS(DATOS!$K$2:$K$20000,DATOS!$A$2:$A$20000,G733,DATOS!$G$2:$G$20000,CONFIG_METADATA!$B$4,DATOS!$I$2:$I$20000,"Lenguaje Musical"),"")))</f>
        <v/>
      </c>
      <c r="I733" t="str">
        <f>IF(G733="","",IF(G733="[FÓRMULA MANUAL]","",IFERROR(AVERAGEIFS(DATOS!$K$2:$K$20000,DATOS!$A$2:$A$20000,G733,DATOS!$G$2:$G$20000,CONFIG_METADATA!$B$4,DATOS!$I$2:$I$20000,"Orquesta/Banda/Conjunto"),"")))</f>
        <v/>
      </c>
      <c r="J733" t="str">
        <f>IF(G733="","",IF(G733="[FÓRMULA MANUAL]","",IFERROR(AVERAGEIFS(DATOS!$K$2:$K$20000,DATOS!$A$2:$A$20000,G733,DATOS!$G$2:$G$20000,CONFIG_METADATA!$B$4,DATOS!$I$2:$I$20000,"Conjunto"),"")))</f>
        <v/>
      </c>
      <c r="K733" t="str">
        <f>IF(G733="","",IF(G733="[FÓRMULA MANUAL]","",IFERROR(SUMPRODUCT((DATOS!$A$2:$A$20000=G733)*(DATOS!$G$2:$G$20000=CONFIG_METADATA!$B$4)*(COUNTIF(CONFIG_ASIGNATURAS!$B$7:$B$27,DATOS!$I$2:$I$20000)&gt;0)*(DATOS!$K$2:$K$20000))/SUMPRODUCT((DATOS!$A$2:$A$20000=G733)*(DATOS!$G$2:$G$20000=CONFIG_METADATA!$B$4)*(COUNTIF(CONFIG_ASIGNATURAS!$B$7:$B$27,DATOS!$I$2:$I$20000)&gt;0)*1),"")))</f>
        <v/>
      </c>
      <c r="N733" t="str">
        <f>IF(M733="","",IF(M733="[FÓRMULA MANUAL]","",IFERROR(AVERAGEIFS(DATOS!$K$2:$K$20000,DATOS!$A$2:$A$20000,M733,DATOS!$G$2:$G$20000,CONFIG_METADATA!$B$4,DATOS!$I$2:$I$20000,"Armonía"),"")))</f>
        <v/>
      </c>
      <c r="O733" t="str">
        <f>IF(M733="","",IF(M733="[FÓRMULA MANUAL]","",IFERROR(AVERAGEIFS(DATOS!$K$2:$K$20000,DATOS!$A$2:$A$20000,M733,DATOS!$G$2:$G$20000,CONFIG_METADATA!$B$4,DATOS!$I$2:$I$20000,"Orquesta/Banda/Conjunto"),"")))</f>
        <v/>
      </c>
      <c r="P733" t="str">
        <f>IF(M733="","",IF(M733="[FÓRMULA MANUAL]","",IFERROR(AVERAGEIFS(DATOS!$K$2:$K$20000,DATOS!$A$2:$A$20000,M733,DATOS!$G$2:$G$20000,CONFIG_METADATA!$B$4,DATOS!$I$2:$I$20000,"Música de Cámara"),"")))</f>
        <v/>
      </c>
      <c r="Q733" t="str">
        <f>IF(M733="","",IF(M733="[FÓRMULA MANUAL]","",IFERROR(SUMPRODUCT((DATOS!$A$2:$A$20000=M733)*(DATOS!$G$2:$G$20000=CONFIG_METADATA!$B$4)*(COUNTIF(CONFIG_ASIGNATURAS!$B$7:$B$27,DATOS!$I$2:$I$20000)&gt;0)*(DATOS!$K$2:$K$20000))/SUMPRODUCT((DATOS!$A$2:$A$20000=M733)*(DATOS!$G$2:$G$20000=CONFIG_METADATA!$B$4)*(COUNTIF(CONFIG_ASIGNATURAS!$B$7:$B$27,DATOS!$I$2:$I$20000)&gt;0)*1),"")))</f>
        <v/>
      </c>
      <c r="T733" t="str">
        <f>IF(S733="","",IF(S733="[FÓRMULA MANUAL]","",IFERROR(AVERAGEIFS(DATOS!$K$2:$K$20000,DATOS!$A$2:$A$20000,S733,DATOS!$G$2:$G$20000,CONFIG_METADATA!$B$4,DATOS!$I$2:$I$20000,"Armonía"),"")))</f>
        <v/>
      </c>
      <c r="U733" t="str">
        <f>IF(S733="","",IF(S733="[FÓRMULA MANUAL]","",IFERROR(AVERAGEIFS(DATOS!$K$2:$K$20000,DATOS!$A$2:$A$20000,S733,DATOS!$G$2:$G$20000,CONFIG_METADATA!$B$4,DATOS!$I$2:$I$20000,"Orquesta/Banda/Conjunto"),"")))</f>
        <v/>
      </c>
      <c r="V733" t="str">
        <f>IF(S733="","",IF(S733="[FÓRMULA MANUAL]","",IFERROR(AVERAGEIFS(DATOS!$K$2:$K$20000,DATOS!$A$2:$A$20000,S733,DATOS!$G$2:$G$20000,CONFIG_METADATA!$B$4,DATOS!$I$2:$I$20000,"Música de Cámara"),"")))</f>
        <v/>
      </c>
      <c r="W733" t="str">
        <f>IF(S733="","",IF(S733="[FÓRMULA MANUAL]","",IFERROR(SUMPRODUCT((DATOS!$A$2:$A$20000=S733)*(DATOS!$G$2:$G$20000=CONFIG_METADATA!$B$4)*(COUNTIF(CONFIG_ASIGNATURAS!$B$7:$B$27,DATOS!$I$2:$I$20000)&gt;0)*(DATOS!$K$2:$K$20000))/SUMPRODUCT((DATOS!$A$2:$A$20000=S733)*(DATOS!$G$2:$G$20000=CONFIG_METADATA!$B$4)*(COUNTIF(CONFIG_ASIGNATURAS!$B$7:$B$27,DATOS!$I$2:$I$20000)&gt;0)*1),"")))</f>
        <v/>
      </c>
      <c r="Z733" t="str">
        <f>IF(Y733="","",IF(Y733="[FÓRMULA MANUAL]","",IFERROR(AVERAGEIFS(DATOS!$K$2:$K$20000,DATOS!$A$2:$A$20000,Y733,DATOS!$G$2:$G$20000,CONFIG_METADATA!$B$4,DATOS!$I$2:$I$20000,"Análisis"),"")))</f>
        <v/>
      </c>
      <c r="AA733" t="str">
        <f>IF(Y733="","",IF(Y733="[FÓRMULA MANUAL]","",IFERROR(AVERAGEIFS(DATOS!$K$2:$K$20000,DATOS!$A$2:$A$20000,Y733,DATOS!$G$2:$G$20000,CONFIG_METADATA!$B$4,DATOS!$I$2:$I$20000,"Orquesta/Banda/Conjunto"),"")))</f>
        <v/>
      </c>
      <c r="AB733" t="str">
        <f>IF(Y733="","",IF(Y733="[FÓRMULA MANUAL]","",IFERROR(AVERAGEIFS(DATOS!$K$2:$K$20000,DATOS!$A$2:$A$20000,Y733,DATOS!$G$2:$G$20000,CONFIG_METADATA!$B$4,DATOS!$I$2:$I$20000,"Música de Cámara"),"")))</f>
        <v/>
      </c>
      <c r="AC733" t="str">
        <f>IF(Y733="","",IF(Y733="[FÓRMULA MANUAL]","",IFERROR(SUMPRODUCT((DATOS!$A$2:$A$20000=Y733)*(DATOS!$G$2:$G$20000=CONFIG_METADATA!$B$4)*(COUNTIF(CONFIG_ASIGNATURAS!$B$7:$B$27,DATOS!$I$2:$I$20000)&gt;0)*(DATOS!$K$2:$K$20000))/SUMPRODUCT((DATOS!$A$2:$A$20000=Y733)*(DATOS!$G$2:$G$20000=CONFIG_METADATA!$B$4)*(COUNTIF(CONFIG_ASIGNATURAS!$B$7:$B$27,DATOS!$I$2:$I$20000)&gt;0)*1),"")))</f>
        <v/>
      </c>
      <c r="AF733" t="str">
        <f>IF(AE733="","",IF(AE733="[FÓRMULA MANUAL]","",IFERROR(AVERAGEIFS(DATOS!$K$2:$K$20000,DATOS!$A$2:$A$20000,AE733,DATOS!$G$2:$G$20000,CONFIG_METADATA!$B$4,DATOS!$I$2:$I$20000,"Análisis"),"")))</f>
        <v/>
      </c>
      <c r="AG733" t="str">
        <f>IF(AE733="","",IF(AE733="[FÓRMULA MANUAL]","",IFERROR(AVERAGEIFS(DATOS!$K$2:$K$20000,DATOS!$A$2:$A$20000,AE733,DATOS!$G$2:$G$20000,CONFIG_METADATA!$B$4,DATOS!$I$2:$I$20000,"Orquesta/Banda/Conjunto"),"")))</f>
        <v/>
      </c>
      <c r="AH733" t="str">
        <f>IF(AE733="","",IF(AE733="[FÓRMULA MANUAL]","",IFERROR(AVERAGEIFS(DATOS!$K$2:$K$20000,DATOS!$A$2:$A$20000,AE733,DATOS!$G$2:$G$20000,CONFIG_METADATA!$B$4,DATOS!$I$2:$I$20000,"Música de Cámara"),"")))</f>
        <v/>
      </c>
      <c r="AI733" t="str">
        <f>IF(AE733="","",IF(AE733="[FÓRMULA MANUAL]","",IFERROR(SUMPRODUCT((DATOS!$A$2:$A$20000=AE733)*(DATOS!$G$2:$G$20000=CONFIG_METADATA!$B$4)*(COUNTIF(CONFIG_ASIGNATURAS!$B$7:$B$27,DATOS!$I$2:$I$20000)&gt;0)*(DATOS!$K$2:$K$20000))/SUMPRODUCT((DATOS!$A$2:$A$20000=AE733)*(DATOS!$G$2:$G$20000=CONFIG_METADATA!$B$4)*(COUNTIF(CONFIG_ASIGNATURAS!$B$7:$B$27,DATOS!$I$2:$I$20000)&gt;0)*1),"")))</f>
        <v/>
      </c>
    </row>
    <row r="734" spans="2:35" x14ac:dyDescent="0.2">
      <c r="B734" t="str">
        <f>IF(A734="","",IF(A734="[FÓRMULA MANUAL]","",IFERROR(AVERAGEIFS(DATOS!$K$2:$K$20000,DATOS!$A$2:$A$20000,A734,DATOS!$G$2:$G$20000,CONFIG_METADATA!$B$4,DATOS!$I$2:$I$20000,"Lenguaje Musical"),"")))</f>
        <v/>
      </c>
      <c r="C734" t="str">
        <f>IF(A734="","",IF(A734="[FÓRMULA MANUAL]","",IFERROR(AVERAGEIFS(DATOS!$K$2:$K$20000,DATOS!$A$2:$A$20000,A734,DATOS!$G$2:$G$20000,CONFIG_METADATA!$B$4,DATOS!$I$2:$I$20000,"Orquesta/Banda/Conjunto"),"")))</f>
        <v/>
      </c>
      <c r="D734" t="str">
        <f>IF(A734="","",IF(A734="[FÓRMULA MANUAL]","",IFERROR(AVERAGEIFS(DATOS!$K$2:$K$20000,DATOS!$A$2:$A$20000,A734,DATOS!$G$2:$G$20000,CONFIG_METADATA!$B$4,DATOS!$I$2:$I$20000,"Conjunto"),"")))</f>
        <v/>
      </c>
      <c r="E734" t="str">
        <f>IF(A734="","",IF(A734="[FÓRMULA MANUAL]","",IFERROR(SUMPRODUCT((DATOS!$A$2:$A$20000=A734)*(DATOS!$G$2:$G$20000=CONFIG_METADATA!$B$4)*(COUNTIF(CONFIG_ASIGNATURAS!$B$7:$B$27,DATOS!$I$2:$I$20000)&gt;0)*(DATOS!$K$2:$K$20000))/SUMPRODUCT((DATOS!$A$2:$A$20000=A734)*(DATOS!$G$2:$G$20000=CONFIG_METADATA!$B$4)*(COUNTIF(CONFIG_ASIGNATURAS!$B$7:$B$27,DATOS!$I$2:$I$20000)&gt;0)*1),"")))</f>
        <v/>
      </c>
      <c r="H734" t="str">
        <f>IF(G734="","",IF(G734="[FÓRMULA MANUAL]","",IFERROR(AVERAGEIFS(DATOS!$K$2:$K$20000,DATOS!$A$2:$A$20000,G734,DATOS!$G$2:$G$20000,CONFIG_METADATA!$B$4,DATOS!$I$2:$I$20000,"Lenguaje Musical"),"")))</f>
        <v/>
      </c>
      <c r="I734" t="str">
        <f>IF(G734="","",IF(G734="[FÓRMULA MANUAL]","",IFERROR(AVERAGEIFS(DATOS!$K$2:$K$20000,DATOS!$A$2:$A$20000,G734,DATOS!$G$2:$G$20000,CONFIG_METADATA!$B$4,DATOS!$I$2:$I$20000,"Orquesta/Banda/Conjunto"),"")))</f>
        <v/>
      </c>
      <c r="J734" t="str">
        <f>IF(G734="","",IF(G734="[FÓRMULA MANUAL]","",IFERROR(AVERAGEIFS(DATOS!$K$2:$K$20000,DATOS!$A$2:$A$20000,G734,DATOS!$G$2:$G$20000,CONFIG_METADATA!$B$4,DATOS!$I$2:$I$20000,"Conjunto"),"")))</f>
        <v/>
      </c>
      <c r="K734" t="str">
        <f>IF(G734="","",IF(G734="[FÓRMULA MANUAL]","",IFERROR(SUMPRODUCT((DATOS!$A$2:$A$20000=G734)*(DATOS!$G$2:$G$20000=CONFIG_METADATA!$B$4)*(COUNTIF(CONFIG_ASIGNATURAS!$B$7:$B$27,DATOS!$I$2:$I$20000)&gt;0)*(DATOS!$K$2:$K$20000))/SUMPRODUCT((DATOS!$A$2:$A$20000=G734)*(DATOS!$G$2:$G$20000=CONFIG_METADATA!$B$4)*(COUNTIF(CONFIG_ASIGNATURAS!$B$7:$B$27,DATOS!$I$2:$I$20000)&gt;0)*1),"")))</f>
        <v/>
      </c>
      <c r="N734" t="str">
        <f>IF(M734="","",IF(M734="[FÓRMULA MANUAL]","",IFERROR(AVERAGEIFS(DATOS!$K$2:$K$20000,DATOS!$A$2:$A$20000,M734,DATOS!$G$2:$G$20000,CONFIG_METADATA!$B$4,DATOS!$I$2:$I$20000,"Armonía"),"")))</f>
        <v/>
      </c>
      <c r="O734" t="str">
        <f>IF(M734="","",IF(M734="[FÓRMULA MANUAL]","",IFERROR(AVERAGEIFS(DATOS!$K$2:$K$20000,DATOS!$A$2:$A$20000,M734,DATOS!$G$2:$G$20000,CONFIG_METADATA!$B$4,DATOS!$I$2:$I$20000,"Orquesta/Banda/Conjunto"),"")))</f>
        <v/>
      </c>
      <c r="P734" t="str">
        <f>IF(M734="","",IF(M734="[FÓRMULA MANUAL]","",IFERROR(AVERAGEIFS(DATOS!$K$2:$K$20000,DATOS!$A$2:$A$20000,M734,DATOS!$G$2:$G$20000,CONFIG_METADATA!$B$4,DATOS!$I$2:$I$20000,"Música de Cámara"),"")))</f>
        <v/>
      </c>
      <c r="Q734" t="str">
        <f>IF(M734="","",IF(M734="[FÓRMULA MANUAL]","",IFERROR(SUMPRODUCT((DATOS!$A$2:$A$20000=M734)*(DATOS!$G$2:$G$20000=CONFIG_METADATA!$B$4)*(COUNTIF(CONFIG_ASIGNATURAS!$B$7:$B$27,DATOS!$I$2:$I$20000)&gt;0)*(DATOS!$K$2:$K$20000))/SUMPRODUCT((DATOS!$A$2:$A$20000=M734)*(DATOS!$G$2:$G$20000=CONFIG_METADATA!$B$4)*(COUNTIF(CONFIG_ASIGNATURAS!$B$7:$B$27,DATOS!$I$2:$I$20000)&gt;0)*1),"")))</f>
        <v/>
      </c>
      <c r="T734" t="str">
        <f>IF(S734="","",IF(S734="[FÓRMULA MANUAL]","",IFERROR(AVERAGEIFS(DATOS!$K$2:$K$20000,DATOS!$A$2:$A$20000,S734,DATOS!$G$2:$G$20000,CONFIG_METADATA!$B$4,DATOS!$I$2:$I$20000,"Armonía"),"")))</f>
        <v/>
      </c>
      <c r="U734" t="str">
        <f>IF(S734="","",IF(S734="[FÓRMULA MANUAL]","",IFERROR(AVERAGEIFS(DATOS!$K$2:$K$20000,DATOS!$A$2:$A$20000,S734,DATOS!$G$2:$G$20000,CONFIG_METADATA!$B$4,DATOS!$I$2:$I$20000,"Orquesta/Banda/Conjunto"),"")))</f>
        <v/>
      </c>
      <c r="V734" t="str">
        <f>IF(S734="","",IF(S734="[FÓRMULA MANUAL]","",IFERROR(AVERAGEIFS(DATOS!$K$2:$K$20000,DATOS!$A$2:$A$20000,S734,DATOS!$G$2:$G$20000,CONFIG_METADATA!$B$4,DATOS!$I$2:$I$20000,"Música de Cámara"),"")))</f>
        <v/>
      </c>
      <c r="W734" t="str">
        <f>IF(S734="","",IF(S734="[FÓRMULA MANUAL]","",IFERROR(SUMPRODUCT((DATOS!$A$2:$A$20000=S734)*(DATOS!$G$2:$G$20000=CONFIG_METADATA!$B$4)*(COUNTIF(CONFIG_ASIGNATURAS!$B$7:$B$27,DATOS!$I$2:$I$20000)&gt;0)*(DATOS!$K$2:$K$20000))/SUMPRODUCT((DATOS!$A$2:$A$20000=S734)*(DATOS!$G$2:$G$20000=CONFIG_METADATA!$B$4)*(COUNTIF(CONFIG_ASIGNATURAS!$B$7:$B$27,DATOS!$I$2:$I$20000)&gt;0)*1),"")))</f>
        <v/>
      </c>
      <c r="Z734" t="str">
        <f>IF(Y734="","",IF(Y734="[FÓRMULA MANUAL]","",IFERROR(AVERAGEIFS(DATOS!$K$2:$K$20000,DATOS!$A$2:$A$20000,Y734,DATOS!$G$2:$G$20000,CONFIG_METADATA!$B$4,DATOS!$I$2:$I$20000,"Análisis"),"")))</f>
        <v/>
      </c>
      <c r="AA734" t="str">
        <f>IF(Y734="","",IF(Y734="[FÓRMULA MANUAL]","",IFERROR(AVERAGEIFS(DATOS!$K$2:$K$20000,DATOS!$A$2:$A$20000,Y734,DATOS!$G$2:$G$20000,CONFIG_METADATA!$B$4,DATOS!$I$2:$I$20000,"Orquesta/Banda/Conjunto"),"")))</f>
        <v/>
      </c>
      <c r="AB734" t="str">
        <f>IF(Y734="","",IF(Y734="[FÓRMULA MANUAL]","",IFERROR(AVERAGEIFS(DATOS!$K$2:$K$20000,DATOS!$A$2:$A$20000,Y734,DATOS!$G$2:$G$20000,CONFIG_METADATA!$B$4,DATOS!$I$2:$I$20000,"Música de Cámara"),"")))</f>
        <v/>
      </c>
      <c r="AC734" t="str">
        <f>IF(Y734="","",IF(Y734="[FÓRMULA MANUAL]","",IFERROR(SUMPRODUCT((DATOS!$A$2:$A$20000=Y734)*(DATOS!$G$2:$G$20000=CONFIG_METADATA!$B$4)*(COUNTIF(CONFIG_ASIGNATURAS!$B$7:$B$27,DATOS!$I$2:$I$20000)&gt;0)*(DATOS!$K$2:$K$20000))/SUMPRODUCT((DATOS!$A$2:$A$20000=Y734)*(DATOS!$G$2:$G$20000=CONFIG_METADATA!$B$4)*(COUNTIF(CONFIG_ASIGNATURAS!$B$7:$B$27,DATOS!$I$2:$I$20000)&gt;0)*1),"")))</f>
        <v/>
      </c>
      <c r="AF734" t="str">
        <f>IF(AE734="","",IF(AE734="[FÓRMULA MANUAL]","",IFERROR(AVERAGEIFS(DATOS!$K$2:$K$20000,DATOS!$A$2:$A$20000,AE734,DATOS!$G$2:$G$20000,CONFIG_METADATA!$B$4,DATOS!$I$2:$I$20000,"Análisis"),"")))</f>
        <v/>
      </c>
      <c r="AG734" t="str">
        <f>IF(AE734="","",IF(AE734="[FÓRMULA MANUAL]","",IFERROR(AVERAGEIFS(DATOS!$K$2:$K$20000,DATOS!$A$2:$A$20000,AE734,DATOS!$G$2:$G$20000,CONFIG_METADATA!$B$4,DATOS!$I$2:$I$20000,"Orquesta/Banda/Conjunto"),"")))</f>
        <v/>
      </c>
      <c r="AH734" t="str">
        <f>IF(AE734="","",IF(AE734="[FÓRMULA MANUAL]","",IFERROR(AVERAGEIFS(DATOS!$K$2:$K$20000,DATOS!$A$2:$A$20000,AE734,DATOS!$G$2:$G$20000,CONFIG_METADATA!$B$4,DATOS!$I$2:$I$20000,"Música de Cámara"),"")))</f>
        <v/>
      </c>
      <c r="AI734" t="str">
        <f>IF(AE734="","",IF(AE734="[FÓRMULA MANUAL]","",IFERROR(SUMPRODUCT((DATOS!$A$2:$A$20000=AE734)*(DATOS!$G$2:$G$20000=CONFIG_METADATA!$B$4)*(COUNTIF(CONFIG_ASIGNATURAS!$B$7:$B$27,DATOS!$I$2:$I$20000)&gt;0)*(DATOS!$K$2:$K$20000))/SUMPRODUCT((DATOS!$A$2:$A$20000=AE734)*(DATOS!$G$2:$G$20000=CONFIG_METADATA!$B$4)*(COUNTIF(CONFIG_ASIGNATURAS!$B$7:$B$27,DATOS!$I$2:$I$20000)&gt;0)*1),"")))</f>
        <v/>
      </c>
    </row>
    <row r="735" spans="2:35" x14ac:dyDescent="0.2">
      <c r="B735" t="str">
        <f>IF(A735="","",IF(A735="[FÓRMULA MANUAL]","",IFERROR(AVERAGEIFS(DATOS!$K$2:$K$20000,DATOS!$A$2:$A$20000,A735,DATOS!$G$2:$G$20000,CONFIG_METADATA!$B$4,DATOS!$I$2:$I$20000,"Lenguaje Musical"),"")))</f>
        <v/>
      </c>
      <c r="C735" t="str">
        <f>IF(A735="","",IF(A735="[FÓRMULA MANUAL]","",IFERROR(AVERAGEIFS(DATOS!$K$2:$K$20000,DATOS!$A$2:$A$20000,A735,DATOS!$G$2:$G$20000,CONFIG_METADATA!$B$4,DATOS!$I$2:$I$20000,"Orquesta/Banda/Conjunto"),"")))</f>
        <v/>
      </c>
      <c r="D735" t="str">
        <f>IF(A735="","",IF(A735="[FÓRMULA MANUAL]","",IFERROR(AVERAGEIFS(DATOS!$K$2:$K$20000,DATOS!$A$2:$A$20000,A735,DATOS!$G$2:$G$20000,CONFIG_METADATA!$B$4,DATOS!$I$2:$I$20000,"Conjunto"),"")))</f>
        <v/>
      </c>
      <c r="E735" t="str">
        <f>IF(A735="","",IF(A735="[FÓRMULA MANUAL]","",IFERROR(SUMPRODUCT((DATOS!$A$2:$A$20000=A735)*(DATOS!$G$2:$G$20000=CONFIG_METADATA!$B$4)*(COUNTIF(CONFIG_ASIGNATURAS!$B$7:$B$27,DATOS!$I$2:$I$20000)&gt;0)*(DATOS!$K$2:$K$20000))/SUMPRODUCT((DATOS!$A$2:$A$20000=A735)*(DATOS!$G$2:$G$20000=CONFIG_METADATA!$B$4)*(COUNTIF(CONFIG_ASIGNATURAS!$B$7:$B$27,DATOS!$I$2:$I$20000)&gt;0)*1),"")))</f>
        <v/>
      </c>
      <c r="H735" t="str">
        <f>IF(G735="","",IF(G735="[FÓRMULA MANUAL]","",IFERROR(AVERAGEIFS(DATOS!$K$2:$K$20000,DATOS!$A$2:$A$20000,G735,DATOS!$G$2:$G$20000,CONFIG_METADATA!$B$4,DATOS!$I$2:$I$20000,"Lenguaje Musical"),"")))</f>
        <v/>
      </c>
      <c r="I735" t="str">
        <f>IF(G735="","",IF(G735="[FÓRMULA MANUAL]","",IFERROR(AVERAGEIFS(DATOS!$K$2:$K$20000,DATOS!$A$2:$A$20000,G735,DATOS!$G$2:$G$20000,CONFIG_METADATA!$B$4,DATOS!$I$2:$I$20000,"Orquesta/Banda/Conjunto"),"")))</f>
        <v/>
      </c>
      <c r="J735" t="str">
        <f>IF(G735="","",IF(G735="[FÓRMULA MANUAL]","",IFERROR(AVERAGEIFS(DATOS!$K$2:$K$20000,DATOS!$A$2:$A$20000,G735,DATOS!$G$2:$G$20000,CONFIG_METADATA!$B$4,DATOS!$I$2:$I$20000,"Conjunto"),"")))</f>
        <v/>
      </c>
      <c r="K735" t="str">
        <f>IF(G735="","",IF(G735="[FÓRMULA MANUAL]","",IFERROR(SUMPRODUCT((DATOS!$A$2:$A$20000=G735)*(DATOS!$G$2:$G$20000=CONFIG_METADATA!$B$4)*(COUNTIF(CONFIG_ASIGNATURAS!$B$7:$B$27,DATOS!$I$2:$I$20000)&gt;0)*(DATOS!$K$2:$K$20000))/SUMPRODUCT((DATOS!$A$2:$A$20000=G735)*(DATOS!$G$2:$G$20000=CONFIG_METADATA!$B$4)*(COUNTIF(CONFIG_ASIGNATURAS!$B$7:$B$27,DATOS!$I$2:$I$20000)&gt;0)*1),"")))</f>
        <v/>
      </c>
      <c r="N735" t="str">
        <f>IF(M735="","",IF(M735="[FÓRMULA MANUAL]","",IFERROR(AVERAGEIFS(DATOS!$K$2:$K$20000,DATOS!$A$2:$A$20000,M735,DATOS!$G$2:$G$20000,CONFIG_METADATA!$B$4,DATOS!$I$2:$I$20000,"Armonía"),"")))</f>
        <v/>
      </c>
      <c r="O735" t="str">
        <f>IF(M735="","",IF(M735="[FÓRMULA MANUAL]","",IFERROR(AVERAGEIFS(DATOS!$K$2:$K$20000,DATOS!$A$2:$A$20000,M735,DATOS!$G$2:$G$20000,CONFIG_METADATA!$B$4,DATOS!$I$2:$I$20000,"Orquesta/Banda/Conjunto"),"")))</f>
        <v/>
      </c>
      <c r="P735" t="str">
        <f>IF(M735="","",IF(M735="[FÓRMULA MANUAL]","",IFERROR(AVERAGEIFS(DATOS!$K$2:$K$20000,DATOS!$A$2:$A$20000,M735,DATOS!$G$2:$G$20000,CONFIG_METADATA!$B$4,DATOS!$I$2:$I$20000,"Música de Cámara"),"")))</f>
        <v/>
      </c>
      <c r="Q735" t="str">
        <f>IF(M735="","",IF(M735="[FÓRMULA MANUAL]","",IFERROR(SUMPRODUCT((DATOS!$A$2:$A$20000=M735)*(DATOS!$G$2:$G$20000=CONFIG_METADATA!$B$4)*(COUNTIF(CONFIG_ASIGNATURAS!$B$7:$B$27,DATOS!$I$2:$I$20000)&gt;0)*(DATOS!$K$2:$K$20000))/SUMPRODUCT((DATOS!$A$2:$A$20000=M735)*(DATOS!$G$2:$G$20000=CONFIG_METADATA!$B$4)*(COUNTIF(CONFIG_ASIGNATURAS!$B$7:$B$27,DATOS!$I$2:$I$20000)&gt;0)*1),"")))</f>
        <v/>
      </c>
      <c r="T735" t="str">
        <f>IF(S735="","",IF(S735="[FÓRMULA MANUAL]","",IFERROR(AVERAGEIFS(DATOS!$K$2:$K$20000,DATOS!$A$2:$A$20000,S735,DATOS!$G$2:$G$20000,CONFIG_METADATA!$B$4,DATOS!$I$2:$I$20000,"Armonía"),"")))</f>
        <v/>
      </c>
      <c r="U735" t="str">
        <f>IF(S735="","",IF(S735="[FÓRMULA MANUAL]","",IFERROR(AVERAGEIFS(DATOS!$K$2:$K$20000,DATOS!$A$2:$A$20000,S735,DATOS!$G$2:$G$20000,CONFIG_METADATA!$B$4,DATOS!$I$2:$I$20000,"Orquesta/Banda/Conjunto"),"")))</f>
        <v/>
      </c>
      <c r="V735" t="str">
        <f>IF(S735="","",IF(S735="[FÓRMULA MANUAL]","",IFERROR(AVERAGEIFS(DATOS!$K$2:$K$20000,DATOS!$A$2:$A$20000,S735,DATOS!$G$2:$G$20000,CONFIG_METADATA!$B$4,DATOS!$I$2:$I$20000,"Música de Cámara"),"")))</f>
        <v/>
      </c>
      <c r="W735" t="str">
        <f>IF(S735="","",IF(S735="[FÓRMULA MANUAL]","",IFERROR(SUMPRODUCT((DATOS!$A$2:$A$20000=S735)*(DATOS!$G$2:$G$20000=CONFIG_METADATA!$B$4)*(COUNTIF(CONFIG_ASIGNATURAS!$B$7:$B$27,DATOS!$I$2:$I$20000)&gt;0)*(DATOS!$K$2:$K$20000))/SUMPRODUCT((DATOS!$A$2:$A$20000=S735)*(DATOS!$G$2:$G$20000=CONFIG_METADATA!$B$4)*(COUNTIF(CONFIG_ASIGNATURAS!$B$7:$B$27,DATOS!$I$2:$I$20000)&gt;0)*1),"")))</f>
        <v/>
      </c>
      <c r="Z735" t="str">
        <f>IF(Y735="","",IF(Y735="[FÓRMULA MANUAL]","",IFERROR(AVERAGEIFS(DATOS!$K$2:$K$20000,DATOS!$A$2:$A$20000,Y735,DATOS!$G$2:$G$20000,CONFIG_METADATA!$B$4,DATOS!$I$2:$I$20000,"Análisis"),"")))</f>
        <v/>
      </c>
      <c r="AA735" t="str">
        <f>IF(Y735="","",IF(Y735="[FÓRMULA MANUAL]","",IFERROR(AVERAGEIFS(DATOS!$K$2:$K$20000,DATOS!$A$2:$A$20000,Y735,DATOS!$G$2:$G$20000,CONFIG_METADATA!$B$4,DATOS!$I$2:$I$20000,"Orquesta/Banda/Conjunto"),"")))</f>
        <v/>
      </c>
      <c r="AB735" t="str">
        <f>IF(Y735="","",IF(Y735="[FÓRMULA MANUAL]","",IFERROR(AVERAGEIFS(DATOS!$K$2:$K$20000,DATOS!$A$2:$A$20000,Y735,DATOS!$G$2:$G$20000,CONFIG_METADATA!$B$4,DATOS!$I$2:$I$20000,"Música de Cámara"),"")))</f>
        <v/>
      </c>
      <c r="AC735" t="str">
        <f>IF(Y735="","",IF(Y735="[FÓRMULA MANUAL]","",IFERROR(SUMPRODUCT((DATOS!$A$2:$A$20000=Y735)*(DATOS!$G$2:$G$20000=CONFIG_METADATA!$B$4)*(COUNTIF(CONFIG_ASIGNATURAS!$B$7:$B$27,DATOS!$I$2:$I$20000)&gt;0)*(DATOS!$K$2:$K$20000))/SUMPRODUCT((DATOS!$A$2:$A$20000=Y735)*(DATOS!$G$2:$G$20000=CONFIG_METADATA!$B$4)*(COUNTIF(CONFIG_ASIGNATURAS!$B$7:$B$27,DATOS!$I$2:$I$20000)&gt;0)*1),"")))</f>
        <v/>
      </c>
      <c r="AF735" t="str">
        <f>IF(AE735="","",IF(AE735="[FÓRMULA MANUAL]","",IFERROR(AVERAGEIFS(DATOS!$K$2:$K$20000,DATOS!$A$2:$A$20000,AE735,DATOS!$G$2:$G$20000,CONFIG_METADATA!$B$4,DATOS!$I$2:$I$20000,"Análisis"),"")))</f>
        <v/>
      </c>
      <c r="AG735" t="str">
        <f>IF(AE735="","",IF(AE735="[FÓRMULA MANUAL]","",IFERROR(AVERAGEIFS(DATOS!$K$2:$K$20000,DATOS!$A$2:$A$20000,AE735,DATOS!$G$2:$G$20000,CONFIG_METADATA!$B$4,DATOS!$I$2:$I$20000,"Orquesta/Banda/Conjunto"),"")))</f>
        <v/>
      </c>
      <c r="AH735" t="str">
        <f>IF(AE735="","",IF(AE735="[FÓRMULA MANUAL]","",IFERROR(AVERAGEIFS(DATOS!$K$2:$K$20000,DATOS!$A$2:$A$20000,AE735,DATOS!$G$2:$G$20000,CONFIG_METADATA!$B$4,DATOS!$I$2:$I$20000,"Música de Cámara"),"")))</f>
        <v/>
      </c>
      <c r="AI735" t="str">
        <f>IF(AE735="","",IF(AE735="[FÓRMULA MANUAL]","",IFERROR(SUMPRODUCT((DATOS!$A$2:$A$20000=AE735)*(DATOS!$G$2:$G$20000=CONFIG_METADATA!$B$4)*(COUNTIF(CONFIG_ASIGNATURAS!$B$7:$B$27,DATOS!$I$2:$I$20000)&gt;0)*(DATOS!$K$2:$K$20000))/SUMPRODUCT((DATOS!$A$2:$A$20000=AE735)*(DATOS!$G$2:$G$20000=CONFIG_METADATA!$B$4)*(COUNTIF(CONFIG_ASIGNATURAS!$B$7:$B$27,DATOS!$I$2:$I$20000)&gt;0)*1),"")))</f>
        <v/>
      </c>
    </row>
    <row r="736" spans="2:35" x14ac:dyDescent="0.2">
      <c r="B736" t="str">
        <f>IF(A736="","",IF(A736="[FÓRMULA MANUAL]","",IFERROR(AVERAGEIFS(DATOS!$K$2:$K$20000,DATOS!$A$2:$A$20000,A736,DATOS!$G$2:$G$20000,CONFIG_METADATA!$B$4,DATOS!$I$2:$I$20000,"Lenguaje Musical"),"")))</f>
        <v/>
      </c>
      <c r="C736" t="str">
        <f>IF(A736="","",IF(A736="[FÓRMULA MANUAL]","",IFERROR(AVERAGEIFS(DATOS!$K$2:$K$20000,DATOS!$A$2:$A$20000,A736,DATOS!$G$2:$G$20000,CONFIG_METADATA!$B$4,DATOS!$I$2:$I$20000,"Orquesta/Banda/Conjunto"),"")))</f>
        <v/>
      </c>
      <c r="D736" t="str">
        <f>IF(A736="","",IF(A736="[FÓRMULA MANUAL]","",IFERROR(AVERAGEIFS(DATOS!$K$2:$K$20000,DATOS!$A$2:$A$20000,A736,DATOS!$G$2:$G$20000,CONFIG_METADATA!$B$4,DATOS!$I$2:$I$20000,"Conjunto"),"")))</f>
        <v/>
      </c>
      <c r="E736" t="str">
        <f>IF(A736="","",IF(A736="[FÓRMULA MANUAL]","",IFERROR(SUMPRODUCT((DATOS!$A$2:$A$20000=A736)*(DATOS!$G$2:$G$20000=CONFIG_METADATA!$B$4)*(COUNTIF(CONFIG_ASIGNATURAS!$B$7:$B$27,DATOS!$I$2:$I$20000)&gt;0)*(DATOS!$K$2:$K$20000))/SUMPRODUCT((DATOS!$A$2:$A$20000=A736)*(DATOS!$G$2:$G$20000=CONFIG_METADATA!$B$4)*(COUNTIF(CONFIG_ASIGNATURAS!$B$7:$B$27,DATOS!$I$2:$I$20000)&gt;0)*1),"")))</f>
        <v/>
      </c>
      <c r="H736" t="str">
        <f>IF(G736="","",IF(G736="[FÓRMULA MANUAL]","",IFERROR(AVERAGEIFS(DATOS!$K$2:$K$20000,DATOS!$A$2:$A$20000,G736,DATOS!$G$2:$G$20000,CONFIG_METADATA!$B$4,DATOS!$I$2:$I$20000,"Lenguaje Musical"),"")))</f>
        <v/>
      </c>
      <c r="I736" t="str">
        <f>IF(G736="","",IF(G736="[FÓRMULA MANUAL]","",IFERROR(AVERAGEIFS(DATOS!$K$2:$K$20000,DATOS!$A$2:$A$20000,G736,DATOS!$G$2:$G$20000,CONFIG_METADATA!$B$4,DATOS!$I$2:$I$20000,"Orquesta/Banda/Conjunto"),"")))</f>
        <v/>
      </c>
      <c r="J736" t="str">
        <f>IF(G736="","",IF(G736="[FÓRMULA MANUAL]","",IFERROR(AVERAGEIFS(DATOS!$K$2:$K$20000,DATOS!$A$2:$A$20000,G736,DATOS!$G$2:$G$20000,CONFIG_METADATA!$B$4,DATOS!$I$2:$I$20000,"Conjunto"),"")))</f>
        <v/>
      </c>
      <c r="K736" t="str">
        <f>IF(G736="","",IF(G736="[FÓRMULA MANUAL]","",IFERROR(SUMPRODUCT((DATOS!$A$2:$A$20000=G736)*(DATOS!$G$2:$G$20000=CONFIG_METADATA!$B$4)*(COUNTIF(CONFIG_ASIGNATURAS!$B$7:$B$27,DATOS!$I$2:$I$20000)&gt;0)*(DATOS!$K$2:$K$20000))/SUMPRODUCT((DATOS!$A$2:$A$20000=G736)*(DATOS!$G$2:$G$20000=CONFIG_METADATA!$B$4)*(COUNTIF(CONFIG_ASIGNATURAS!$B$7:$B$27,DATOS!$I$2:$I$20000)&gt;0)*1),"")))</f>
        <v/>
      </c>
      <c r="N736" t="str">
        <f>IF(M736="","",IF(M736="[FÓRMULA MANUAL]","",IFERROR(AVERAGEIFS(DATOS!$K$2:$K$20000,DATOS!$A$2:$A$20000,M736,DATOS!$G$2:$G$20000,CONFIG_METADATA!$B$4,DATOS!$I$2:$I$20000,"Armonía"),"")))</f>
        <v/>
      </c>
      <c r="O736" t="str">
        <f>IF(M736="","",IF(M736="[FÓRMULA MANUAL]","",IFERROR(AVERAGEIFS(DATOS!$K$2:$K$20000,DATOS!$A$2:$A$20000,M736,DATOS!$G$2:$G$20000,CONFIG_METADATA!$B$4,DATOS!$I$2:$I$20000,"Orquesta/Banda/Conjunto"),"")))</f>
        <v/>
      </c>
      <c r="P736" t="str">
        <f>IF(M736="","",IF(M736="[FÓRMULA MANUAL]","",IFERROR(AVERAGEIFS(DATOS!$K$2:$K$20000,DATOS!$A$2:$A$20000,M736,DATOS!$G$2:$G$20000,CONFIG_METADATA!$B$4,DATOS!$I$2:$I$20000,"Música de Cámara"),"")))</f>
        <v/>
      </c>
      <c r="Q736" t="str">
        <f>IF(M736="","",IF(M736="[FÓRMULA MANUAL]","",IFERROR(SUMPRODUCT((DATOS!$A$2:$A$20000=M736)*(DATOS!$G$2:$G$20000=CONFIG_METADATA!$B$4)*(COUNTIF(CONFIG_ASIGNATURAS!$B$7:$B$27,DATOS!$I$2:$I$20000)&gt;0)*(DATOS!$K$2:$K$20000))/SUMPRODUCT((DATOS!$A$2:$A$20000=M736)*(DATOS!$G$2:$G$20000=CONFIG_METADATA!$B$4)*(COUNTIF(CONFIG_ASIGNATURAS!$B$7:$B$27,DATOS!$I$2:$I$20000)&gt;0)*1),"")))</f>
        <v/>
      </c>
      <c r="T736" t="str">
        <f>IF(S736="","",IF(S736="[FÓRMULA MANUAL]","",IFERROR(AVERAGEIFS(DATOS!$K$2:$K$20000,DATOS!$A$2:$A$20000,S736,DATOS!$G$2:$G$20000,CONFIG_METADATA!$B$4,DATOS!$I$2:$I$20000,"Armonía"),"")))</f>
        <v/>
      </c>
      <c r="U736" t="str">
        <f>IF(S736="","",IF(S736="[FÓRMULA MANUAL]","",IFERROR(AVERAGEIFS(DATOS!$K$2:$K$20000,DATOS!$A$2:$A$20000,S736,DATOS!$G$2:$G$20000,CONFIG_METADATA!$B$4,DATOS!$I$2:$I$20000,"Orquesta/Banda/Conjunto"),"")))</f>
        <v/>
      </c>
      <c r="V736" t="str">
        <f>IF(S736="","",IF(S736="[FÓRMULA MANUAL]","",IFERROR(AVERAGEIFS(DATOS!$K$2:$K$20000,DATOS!$A$2:$A$20000,S736,DATOS!$G$2:$G$20000,CONFIG_METADATA!$B$4,DATOS!$I$2:$I$20000,"Música de Cámara"),"")))</f>
        <v/>
      </c>
      <c r="W736" t="str">
        <f>IF(S736="","",IF(S736="[FÓRMULA MANUAL]","",IFERROR(SUMPRODUCT((DATOS!$A$2:$A$20000=S736)*(DATOS!$G$2:$G$20000=CONFIG_METADATA!$B$4)*(COUNTIF(CONFIG_ASIGNATURAS!$B$7:$B$27,DATOS!$I$2:$I$20000)&gt;0)*(DATOS!$K$2:$K$20000))/SUMPRODUCT((DATOS!$A$2:$A$20000=S736)*(DATOS!$G$2:$G$20000=CONFIG_METADATA!$B$4)*(COUNTIF(CONFIG_ASIGNATURAS!$B$7:$B$27,DATOS!$I$2:$I$20000)&gt;0)*1),"")))</f>
        <v/>
      </c>
      <c r="Z736" t="str">
        <f>IF(Y736="","",IF(Y736="[FÓRMULA MANUAL]","",IFERROR(AVERAGEIFS(DATOS!$K$2:$K$20000,DATOS!$A$2:$A$20000,Y736,DATOS!$G$2:$G$20000,CONFIG_METADATA!$B$4,DATOS!$I$2:$I$20000,"Análisis"),"")))</f>
        <v/>
      </c>
      <c r="AA736" t="str">
        <f>IF(Y736="","",IF(Y736="[FÓRMULA MANUAL]","",IFERROR(AVERAGEIFS(DATOS!$K$2:$K$20000,DATOS!$A$2:$A$20000,Y736,DATOS!$G$2:$G$20000,CONFIG_METADATA!$B$4,DATOS!$I$2:$I$20000,"Orquesta/Banda/Conjunto"),"")))</f>
        <v/>
      </c>
      <c r="AB736" t="str">
        <f>IF(Y736="","",IF(Y736="[FÓRMULA MANUAL]","",IFERROR(AVERAGEIFS(DATOS!$K$2:$K$20000,DATOS!$A$2:$A$20000,Y736,DATOS!$G$2:$G$20000,CONFIG_METADATA!$B$4,DATOS!$I$2:$I$20000,"Música de Cámara"),"")))</f>
        <v/>
      </c>
      <c r="AC736" t="str">
        <f>IF(Y736="","",IF(Y736="[FÓRMULA MANUAL]","",IFERROR(SUMPRODUCT((DATOS!$A$2:$A$20000=Y736)*(DATOS!$G$2:$G$20000=CONFIG_METADATA!$B$4)*(COUNTIF(CONFIG_ASIGNATURAS!$B$7:$B$27,DATOS!$I$2:$I$20000)&gt;0)*(DATOS!$K$2:$K$20000))/SUMPRODUCT((DATOS!$A$2:$A$20000=Y736)*(DATOS!$G$2:$G$20000=CONFIG_METADATA!$B$4)*(COUNTIF(CONFIG_ASIGNATURAS!$B$7:$B$27,DATOS!$I$2:$I$20000)&gt;0)*1),"")))</f>
        <v/>
      </c>
      <c r="AF736" t="str">
        <f>IF(AE736="","",IF(AE736="[FÓRMULA MANUAL]","",IFERROR(AVERAGEIFS(DATOS!$K$2:$K$20000,DATOS!$A$2:$A$20000,AE736,DATOS!$G$2:$G$20000,CONFIG_METADATA!$B$4,DATOS!$I$2:$I$20000,"Análisis"),"")))</f>
        <v/>
      </c>
      <c r="AG736" t="str">
        <f>IF(AE736="","",IF(AE736="[FÓRMULA MANUAL]","",IFERROR(AVERAGEIFS(DATOS!$K$2:$K$20000,DATOS!$A$2:$A$20000,AE736,DATOS!$G$2:$G$20000,CONFIG_METADATA!$B$4,DATOS!$I$2:$I$20000,"Orquesta/Banda/Conjunto"),"")))</f>
        <v/>
      </c>
      <c r="AH736" t="str">
        <f>IF(AE736="","",IF(AE736="[FÓRMULA MANUAL]","",IFERROR(AVERAGEIFS(DATOS!$K$2:$K$20000,DATOS!$A$2:$A$20000,AE736,DATOS!$G$2:$G$20000,CONFIG_METADATA!$B$4,DATOS!$I$2:$I$20000,"Música de Cámara"),"")))</f>
        <v/>
      </c>
      <c r="AI736" t="str">
        <f>IF(AE736="","",IF(AE736="[FÓRMULA MANUAL]","",IFERROR(SUMPRODUCT((DATOS!$A$2:$A$20000=AE736)*(DATOS!$G$2:$G$20000=CONFIG_METADATA!$B$4)*(COUNTIF(CONFIG_ASIGNATURAS!$B$7:$B$27,DATOS!$I$2:$I$20000)&gt;0)*(DATOS!$K$2:$K$20000))/SUMPRODUCT((DATOS!$A$2:$A$20000=AE736)*(DATOS!$G$2:$G$20000=CONFIG_METADATA!$B$4)*(COUNTIF(CONFIG_ASIGNATURAS!$B$7:$B$27,DATOS!$I$2:$I$20000)&gt;0)*1),"")))</f>
        <v/>
      </c>
    </row>
    <row r="737" spans="2:35" x14ac:dyDescent="0.2">
      <c r="B737" t="str">
        <f>IF(A737="","",IF(A737="[FÓRMULA MANUAL]","",IFERROR(AVERAGEIFS(DATOS!$K$2:$K$20000,DATOS!$A$2:$A$20000,A737,DATOS!$G$2:$G$20000,CONFIG_METADATA!$B$4,DATOS!$I$2:$I$20000,"Lenguaje Musical"),"")))</f>
        <v/>
      </c>
      <c r="C737" t="str">
        <f>IF(A737="","",IF(A737="[FÓRMULA MANUAL]","",IFERROR(AVERAGEIFS(DATOS!$K$2:$K$20000,DATOS!$A$2:$A$20000,A737,DATOS!$G$2:$G$20000,CONFIG_METADATA!$B$4,DATOS!$I$2:$I$20000,"Orquesta/Banda/Conjunto"),"")))</f>
        <v/>
      </c>
      <c r="D737" t="str">
        <f>IF(A737="","",IF(A737="[FÓRMULA MANUAL]","",IFERROR(AVERAGEIFS(DATOS!$K$2:$K$20000,DATOS!$A$2:$A$20000,A737,DATOS!$G$2:$G$20000,CONFIG_METADATA!$B$4,DATOS!$I$2:$I$20000,"Conjunto"),"")))</f>
        <v/>
      </c>
      <c r="E737" t="str">
        <f>IF(A737="","",IF(A737="[FÓRMULA MANUAL]","",IFERROR(SUMPRODUCT((DATOS!$A$2:$A$20000=A737)*(DATOS!$G$2:$G$20000=CONFIG_METADATA!$B$4)*(COUNTIF(CONFIG_ASIGNATURAS!$B$7:$B$27,DATOS!$I$2:$I$20000)&gt;0)*(DATOS!$K$2:$K$20000))/SUMPRODUCT((DATOS!$A$2:$A$20000=A737)*(DATOS!$G$2:$G$20000=CONFIG_METADATA!$B$4)*(COUNTIF(CONFIG_ASIGNATURAS!$B$7:$B$27,DATOS!$I$2:$I$20000)&gt;0)*1),"")))</f>
        <v/>
      </c>
      <c r="H737" t="str">
        <f>IF(G737="","",IF(G737="[FÓRMULA MANUAL]","",IFERROR(AVERAGEIFS(DATOS!$K$2:$K$20000,DATOS!$A$2:$A$20000,G737,DATOS!$G$2:$G$20000,CONFIG_METADATA!$B$4,DATOS!$I$2:$I$20000,"Lenguaje Musical"),"")))</f>
        <v/>
      </c>
      <c r="I737" t="str">
        <f>IF(G737="","",IF(G737="[FÓRMULA MANUAL]","",IFERROR(AVERAGEIFS(DATOS!$K$2:$K$20000,DATOS!$A$2:$A$20000,G737,DATOS!$G$2:$G$20000,CONFIG_METADATA!$B$4,DATOS!$I$2:$I$20000,"Orquesta/Banda/Conjunto"),"")))</f>
        <v/>
      </c>
      <c r="J737" t="str">
        <f>IF(G737="","",IF(G737="[FÓRMULA MANUAL]","",IFERROR(AVERAGEIFS(DATOS!$K$2:$K$20000,DATOS!$A$2:$A$20000,G737,DATOS!$G$2:$G$20000,CONFIG_METADATA!$B$4,DATOS!$I$2:$I$20000,"Conjunto"),"")))</f>
        <v/>
      </c>
      <c r="K737" t="str">
        <f>IF(G737="","",IF(G737="[FÓRMULA MANUAL]","",IFERROR(SUMPRODUCT((DATOS!$A$2:$A$20000=G737)*(DATOS!$G$2:$G$20000=CONFIG_METADATA!$B$4)*(COUNTIF(CONFIG_ASIGNATURAS!$B$7:$B$27,DATOS!$I$2:$I$20000)&gt;0)*(DATOS!$K$2:$K$20000))/SUMPRODUCT((DATOS!$A$2:$A$20000=G737)*(DATOS!$G$2:$G$20000=CONFIG_METADATA!$B$4)*(COUNTIF(CONFIG_ASIGNATURAS!$B$7:$B$27,DATOS!$I$2:$I$20000)&gt;0)*1),"")))</f>
        <v/>
      </c>
      <c r="N737" t="str">
        <f>IF(M737="","",IF(M737="[FÓRMULA MANUAL]","",IFERROR(AVERAGEIFS(DATOS!$K$2:$K$20000,DATOS!$A$2:$A$20000,M737,DATOS!$G$2:$G$20000,CONFIG_METADATA!$B$4,DATOS!$I$2:$I$20000,"Armonía"),"")))</f>
        <v/>
      </c>
      <c r="O737" t="str">
        <f>IF(M737="","",IF(M737="[FÓRMULA MANUAL]","",IFERROR(AVERAGEIFS(DATOS!$K$2:$K$20000,DATOS!$A$2:$A$20000,M737,DATOS!$G$2:$G$20000,CONFIG_METADATA!$B$4,DATOS!$I$2:$I$20000,"Orquesta/Banda/Conjunto"),"")))</f>
        <v/>
      </c>
      <c r="P737" t="str">
        <f>IF(M737="","",IF(M737="[FÓRMULA MANUAL]","",IFERROR(AVERAGEIFS(DATOS!$K$2:$K$20000,DATOS!$A$2:$A$20000,M737,DATOS!$G$2:$G$20000,CONFIG_METADATA!$B$4,DATOS!$I$2:$I$20000,"Música de Cámara"),"")))</f>
        <v/>
      </c>
      <c r="Q737" t="str">
        <f>IF(M737="","",IF(M737="[FÓRMULA MANUAL]","",IFERROR(SUMPRODUCT((DATOS!$A$2:$A$20000=M737)*(DATOS!$G$2:$G$20000=CONFIG_METADATA!$B$4)*(COUNTIF(CONFIG_ASIGNATURAS!$B$7:$B$27,DATOS!$I$2:$I$20000)&gt;0)*(DATOS!$K$2:$K$20000))/SUMPRODUCT((DATOS!$A$2:$A$20000=M737)*(DATOS!$G$2:$G$20000=CONFIG_METADATA!$B$4)*(COUNTIF(CONFIG_ASIGNATURAS!$B$7:$B$27,DATOS!$I$2:$I$20000)&gt;0)*1),"")))</f>
        <v/>
      </c>
      <c r="T737" t="str">
        <f>IF(S737="","",IF(S737="[FÓRMULA MANUAL]","",IFERROR(AVERAGEIFS(DATOS!$K$2:$K$20000,DATOS!$A$2:$A$20000,S737,DATOS!$G$2:$G$20000,CONFIG_METADATA!$B$4,DATOS!$I$2:$I$20000,"Armonía"),"")))</f>
        <v/>
      </c>
      <c r="U737" t="str">
        <f>IF(S737="","",IF(S737="[FÓRMULA MANUAL]","",IFERROR(AVERAGEIFS(DATOS!$K$2:$K$20000,DATOS!$A$2:$A$20000,S737,DATOS!$G$2:$G$20000,CONFIG_METADATA!$B$4,DATOS!$I$2:$I$20000,"Orquesta/Banda/Conjunto"),"")))</f>
        <v/>
      </c>
      <c r="V737" t="str">
        <f>IF(S737="","",IF(S737="[FÓRMULA MANUAL]","",IFERROR(AVERAGEIFS(DATOS!$K$2:$K$20000,DATOS!$A$2:$A$20000,S737,DATOS!$G$2:$G$20000,CONFIG_METADATA!$B$4,DATOS!$I$2:$I$20000,"Música de Cámara"),"")))</f>
        <v/>
      </c>
      <c r="W737" t="str">
        <f>IF(S737="","",IF(S737="[FÓRMULA MANUAL]","",IFERROR(SUMPRODUCT((DATOS!$A$2:$A$20000=S737)*(DATOS!$G$2:$G$20000=CONFIG_METADATA!$B$4)*(COUNTIF(CONFIG_ASIGNATURAS!$B$7:$B$27,DATOS!$I$2:$I$20000)&gt;0)*(DATOS!$K$2:$K$20000))/SUMPRODUCT((DATOS!$A$2:$A$20000=S737)*(DATOS!$G$2:$G$20000=CONFIG_METADATA!$B$4)*(COUNTIF(CONFIG_ASIGNATURAS!$B$7:$B$27,DATOS!$I$2:$I$20000)&gt;0)*1),"")))</f>
        <v/>
      </c>
      <c r="Z737" t="str">
        <f>IF(Y737="","",IF(Y737="[FÓRMULA MANUAL]","",IFERROR(AVERAGEIFS(DATOS!$K$2:$K$20000,DATOS!$A$2:$A$20000,Y737,DATOS!$G$2:$G$20000,CONFIG_METADATA!$B$4,DATOS!$I$2:$I$20000,"Análisis"),"")))</f>
        <v/>
      </c>
      <c r="AA737" t="str">
        <f>IF(Y737="","",IF(Y737="[FÓRMULA MANUAL]","",IFERROR(AVERAGEIFS(DATOS!$K$2:$K$20000,DATOS!$A$2:$A$20000,Y737,DATOS!$G$2:$G$20000,CONFIG_METADATA!$B$4,DATOS!$I$2:$I$20000,"Orquesta/Banda/Conjunto"),"")))</f>
        <v/>
      </c>
      <c r="AB737" t="str">
        <f>IF(Y737="","",IF(Y737="[FÓRMULA MANUAL]","",IFERROR(AVERAGEIFS(DATOS!$K$2:$K$20000,DATOS!$A$2:$A$20000,Y737,DATOS!$G$2:$G$20000,CONFIG_METADATA!$B$4,DATOS!$I$2:$I$20000,"Música de Cámara"),"")))</f>
        <v/>
      </c>
      <c r="AC737" t="str">
        <f>IF(Y737="","",IF(Y737="[FÓRMULA MANUAL]","",IFERROR(SUMPRODUCT((DATOS!$A$2:$A$20000=Y737)*(DATOS!$G$2:$G$20000=CONFIG_METADATA!$B$4)*(COUNTIF(CONFIG_ASIGNATURAS!$B$7:$B$27,DATOS!$I$2:$I$20000)&gt;0)*(DATOS!$K$2:$K$20000))/SUMPRODUCT((DATOS!$A$2:$A$20000=Y737)*(DATOS!$G$2:$G$20000=CONFIG_METADATA!$B$4)*(COUNTIF(CONFIG_ASIGNATURAS!$B$7:$B$27,DATOS!$I$2:$I$20000)&gt;0)*1),"")))</f>
        <v/>
      </c>
      <c r="AF737" t="str">
        <f>IF(AE737="","",IF(AE737="[FÓRMULA MANUAL]","",IFERROR(AVERAGEIFS(DATOS!$K$2:$K$20000,DATOS!$A$2:$A$20000,AE737,DATOS!$G$2:$G$20000,CONFIG_METADATA!$B$4,DATOS!$I$2:$I$20000,"Análisis"),"")))</f>
        <v/>
      </c>
      <c r="AG737" t="str">
        <f>IF(AE737="","",IF(AE737="[FÓRMULA MANUAL]","",IFERROR(AVERAGEIFS(DATOS!$K$2:$K$20000,DATOS!$A$2:$A$20000,AE737,DATOS!$G$2:$G$20000,CONFIG_METADATA!$B$4,DATOS!$I$2:$I$20000,"Orquesta/Banda/Conjunto"),"")))</f>
        <v/>
      </c>
      <c r="AH737" t="str">
        <f>IF(AE737="","",IF(AE737="[FÓRMULA MANUAL]","",IFERROR(AVERAGEIFS(DATOS!$K$2:$K$20000,DATOS!$A$2:$A$20000,AE737,DATOS!$G$2:$G$20000,CONFIG_METADATA!$B$4,DATOS!$I$2:$I$20000,"Música de Cámara"),"")))</f>
        <v/>
      </c>
      <c r="AI737" t="str">
        <f>IF(AE737="","",IF(AE737="[FÓRMULA MANUAL]","",IFERROR(SUMPRODUCT((DATOS!$A$2:$A$20000=AE737)*(DATOS!$G$2:$G$20000=CONFIG_METADATA!$B$4)*(COUNTIF(CONFIG_ASIGNATURAS!$B$7:$B$27,DATOS!$I$2:$I$20000)&gt;0)*(DATOS!$K$2:$K$20000))/SUMPRODUCT((DATOS!$A$2:$A$20000=AE737)*(DATOS!$G$2:$G$20000=CONFIG_METADATA!$B$4)*(COUNTIF(CONFIG_ASIGNATURAS!$B$7:$B$27,DATOS!$I$2:$I$20000)&gt;0)*1),"")))</f>
        <v/>
      </c>
    </row>
    <row r="738" spans="2:35" x14ac:dyDescent="0.2">
      <c r="B738" t="str">
        <f>IF(A738="","",IF(A738="[FÓRMULA MANUAL]","",IFERROR(AVERAGEIFS(DATOS!$K$2:$K$20000,DATOS!$A$2:$A$20000,A738,DATOS!$G$2:$G$20000,CONFIG_METADATA!$B$4,DATOS!$I$2:$I$20000,"Lenguaje Musical"),"")))</f>
        <v/>
      </c>
      <c r="C738" t="str">
        <f>IF(A738="","",IF(A738="[FÓRMULA MANUAL]","",IFERROR(AVERAGEIFS(DATOS!$K$2:$K$20000,DATOS!$A$2:$A$20000,A738,DATOS!$G$2:$G$20000,CONFIG_METADATA!$B$4,DATOS!$I$2:$I$20000,"Orquesta/Banda/Conjunto"),"")))</f>
        <v/>
      </c>
      <c r="D738" t="str">
        <f>IF(A738="","",IF(A738="[FÓRMULA MANUAL]","",IFERROR(AVERAGEIFS(DATOS!$K$2:$K$20000,DATOS!$A$2:$A$20000,A738,DATOS!$G$2:$G$20000,CONFIG_METADATA!$B$4,DATOS!$I$2:$I$20000,"Conjunto"),"")))</f>
        <v/>
      </c>
      <c r="E738" t="str">
        <f>IF(A738="","",IF(A738="[FÓRMULA MANUAL]","",IFERROR(SUMPRODUCT((DATOS!$A$2:$A$20000=A738)*(DATOS!$G$2:$G$20000=CONFIG_METADATA!$B$4)*(COUNTIF(CONFIG_ASIGNATURAS!$B$7:$B$27,DATOS!$I$2:$I$20000)&gt;0)*(DATOS!$K$2:$K$20000))/SUMPRODUCT((DATOS!$A$2:$A$20000=A738)*(DATOS!$G$2:$G$20000=CONFIG_METADATA!$B$4)*(COUNTIF(CONFIG_ASIGNATURAS!$B$7:$B$27,DATOS!$I$2:$I$20000)&gt;0)*1),"")))</f>
        <v/>
      </c>
      <c r="H738" t="str">
        <f>IF(G738="","",IF(G738="[FÓRMULA MANUAL]","",IFERROR(AVERAGEIFS(DATOS!$K$2:$K$20000,DATOS!$A$2:$A$20000,G738,DATOS!$G$2:$G$20000,CONFIG_METADATA!$B$4,DATOS!$I$2:$I$20000,"Lenguaje Musical"),"")))</f>
        <v/>
      </c>
      <c r="I738" t="str">
        <f>IF(G738="","",IF(G738="[FÓRMULA MANUAL]","",IFERROR(AVERAGEIFS(DATOS!$K$2:$K$20000,DATOS!$A$2:$A$20000,G738,DATOS!$G$2:$G$20000,CONFIG_METADATA!$B$4,DATOS!$I$2:$I$20000,"Orquesta/Banda/Conjunto"),"")))</f>
        <v/>
      </c>
      <c r="J738" t="str">
        <f>IF(G738="","",IF(G738="[FÓRMULA MANUAL]","",IFERROR(AVERAGEIFS(DATOS!$K$2:$K$20000,DATOS!$A$2:$A$20000,G738,DATOS!$G$2:$G$20000,CONFIG_METADATA!$B$4,DATOS!$I$2:$I$20000,"Conjunto"),"")))</f>
        <v/>
      </c>
      <c r="K738" t="str">
        <f>IF(G738="","",IF(G738="[FÓRMULA MANUAL]","",IFERROR(SUMPRODUCT((DATOS!$A$2:$A$20000=G738)*(DATOS!$G$2:$G$20000=CONFIG_METADATA!$B$4)*(COUNTIF(CONFIG_ASIGNATURAS!$B$7:$B$27,DATOS!$I$2:$I$20000)&gt;0)*(DATOS!$K$2:$K$20000))/SUMPRODUCT((DATOS!$A$2:$A$20000=G738)*(DATOS!$G$2:$G$20000=CONFIG_METADATA!$B$4)*(COUNTIF(CONFIG_ASIGNATURAS!$B$7:$B$27,DATOS!$I$2:$I$20000)&gt;0)*1),"")))</f>
        <v/>
      </c>
      <c r="N738" t="str">
        <f>IF(M738="","",IF(M738="[FÓRMULA MANUAL]","",IFERROR(AVERAGEIFS(DATOS!$K$2:$K$20000,DATOS!$A$2:$A$20000,M738,DATOS!$G$2:$G$20000,CONFIG_METADATA!$B$4,DATOS!$I$2:$I$20000,"Armonía"),"")))</f>
        <v/>
      </c>
      <c r="O738" t="str">
        <f>IF(M738="","",IF(M738="[FÓRMULA MANUAL]","",IFERROR(AVERAGEIFS(DATOS!$K$2:$K$20000,DATOS!$A$2:$A$20000,M738,DATOS!$G$2:$G$20000,CONFIG_METADATA!$B$4,DATOS!$I$2:$I$20000,"Orquesta/Banda/Conjunto"),"")))</f>
        <v/>
      </c>
      <c r="P738" t="str">
        <f>IF(M738="","",IF(M738="[FÓRMULA MANUAL]","",IFERROR(AVERAGEIFS(DATOS!$K$2:$K$20000,DATOS!$A$2:$A$20000,M738,DATOS!$G$2:$G$20000,CONFIG_METADATA!$B$4,DATOS!$I$2:$I$20000,"Música de Cámara"),"")))</f>
        <v/>
      </c>
      <c r="Q738" t="str">
        <f>IF(M738="","",IF(M738="[FÓRMULA MANUAL]","",IFERROR(SUMPRODUCT((DATOS!$A$2:$A$20000=M738)*(DATOS!$G$2:$G$20000=CONFIG_METADATA!$B$4)*(COUNTIF(CONFIG_ASIGNATURAS!$B$7:$B$27,DATOS!$I$2:$I$20000)&gt;0)*(DATOS!$K$2:$K$20000))/SUMPRODUCT((DATOS!$A$2:$A$20000=M738)*(DATOS!$G$2:$G$20000=CONFIG_METADATA!$B$4)*(COUNTIF(CONFIG_ASIGNATURAS!$B$7:$B$27,DATOS!$I$2:$I$20000)&gt;0)*1),"")))</f>
        <v/>
      </c>
      <c r="T738" t="str">
        <f>IF(S738="","",IF(S738="[FÓRMULA MANUAL]","",IFERROR(AVERAGEIFS(DATOS!$K$2:$K$20000,DATOS!$A$2:$A$20000,S738,DATOS!$G$2:$G$20000,CONFIG_METADATA!$B$4,DATOS!$I$2:$I$20000,"Armonía"),"")))</f>
        <v/>
      </c>
      <c r="U738" t="str">
        <f>IF(S738="","",IF(S738="[FÓRMULA MANUAL]","",IFERROR(AVERAGEIFS(DATOS!$K$2:$K$20000,DATOS!$A$2:$A$20000,S738,DATOS!$G$2:$G$20000,CONFIG_METADATA!$B$4,DATOS!$I$2:$I$20000,"Orquesta/Banda/Conjunto"),"")))</f>
        <v/>
      </c>
      <c r="V738" t="str">
        <f>IF(S738="","",IF(S738="[FÓRMULA MANUAL]","",IFERROR(AVERAGEIFS(DATOS!$K$2:$K$20000,DATOS!$A$2:$A$20000,S738,DATOS!$G$2:$G$20000,CONFIG_METADATA!$B$4,DATOS!$I$2:$I$20000,"Música de Cámara"),"")))</f>
        <v/>
      </c>
      <c r="W738" t="str">
        <f>IF(S738="","",IF(S738="[FÓRMULA MANUAL]","",IFERROR(SUMPRODUCT((DATOS!$A$2:$A$20000=S738)*(DATOS!$G$2:$G$20000=CONFIG_METADATA!$B$4)*(COUNTIF(CONFIG_ASIGNATURAS!$B$7:$B$27,DATOS!$I$2:$I$20000)&gt;0)*(DATOS!$K$2:$K$20000))/SUMPRODUCT((DATOS!$A$2:$A$20000=S738)*(DATOS!$G$2:$G$20000=CONFIG_METADATA!$B$4)*(COUNTIF(CONFIG_ASIGNATURAS!$B$7:$B$27,DATOS!$I$2:$I$20000)&gt;0)*1),"")))</f>
        <v/>
      </c>
      <c r="Z738" t="str">
        <f>IF(Y738="","",IF(Y738="[FÓRMULA MANUAL]","",IFERROR(AVERAGEIFS(DATOS!$K$2:$K$20000,DATOS!$A$2:$A$20000,Y738,DATOS!$G$2:$G$20000,CONFIG_METADATA!$B$4,DATOS!$I$2:$I$20000,"Análisis"),"")))</f>
        <v/>
      </c>
      <c r="AA738" t="str">
        <f>IF(Y738="","",IF(Y738="[FÓRMULA MANUAL]","",IFERROR(AVERAGEIFS(DATOS!$K$2:$K$20000,DATOS!$A$2:$A$20000,Y738,DATOS!$G$2:$G$20000,CONFIG_METADATA!$B$4,DATOS!$I$2:$I$20000,"Orquesta/Banda/Conjunto"),"")))</f>
        <v/>
      </c>
      <c r="AB738" t="str">
        <f>IF(Y738="","",IF(Y738="[FÓRMULA MANUAL]","",IFERROR(AVERAGEIFS(DATOS!$K$2:$K$20000,DATOS!$A$2:$A$20000,Y738,DATOS!$G$2:$G$20000,CONFIG_METADATA!$B$4,DATOS!$I$2:$I$20000,"Música de Cámara"),"")))</f>
        <v/>
      </c>
      <c r="AC738" t="str">
        <f>IF(Y738="","",IF(Y738="[FÓRMULA MANUAL]","",IFERROR(SUMPRODUCT((DATOS!$A$2:$A$20000=Y738)*(DATOS!$G$2:$G$20000=CONFIG_METADATA!$B$4)*(COUNTIF(CONFIG_ASIGNATURAS!$B$7:$B$27,DATOS!$I$2:$I$20000)&gt;0)*(DATOS!$K$2:$K$20000))/SUMPRODUCT((DATOS!$A$2:$A$20000=Y738)*(DATOS!$G$2:$G$20000=CONFIG_METADATA!$B$4)*(COUNTIF(CONFIG_ASIGNATURAS!$B$7:$B$27,DATOS!$I$2:$I$20000)&gt;0)*1),"")))</f>
        <v/>
      </c>
      <c r="AF738" t="str">
        <f>IF(AE738="","",IF(AE738="[FÓRMULA MANUAL]","",IFERROR(AVERAGEIFS(DATOS!$K$2:$K$20000,DATOS!$A$2:$A$20000,AE738,DATOS!$G$2:$G$20000,CONFIG_METADATA!$B$4,DATOS!$I$2:$I$20000,"Análisis"),"")))</f>
        <v/>
      </c>
      <c r="AG738" t="str">
        <f>IF(AE738="","",IF(AE738="[FÓRMULA MANUAL]","",IFERROR(AVERAGEIFS(DATOS!$K$2:$K$20000,DATOS!$A$2:$A$20000,AE738,DATOS!$G$2:$G$20000,CONFIG_METADATA!$B$4,DATOS!$I$2:$I$20000,"Orquesta/Banda/Conjunto"),"")))</f>
        <v/>
      </c>
      <c r="AH738" t="str">
        <f>IF(AE738="","",IF(AE738="[FÓRMULA MANUAL]","",IFERROR(AVERAGEIFS(DATOS!$K$2:$K$20000,DATOS!$A$2:$A$20000,AE738,DATOS!$G$2:$G$20000,CONFIG_METADATA!$B$4,DATOS!$I$2:$I$20000,"Música de Cámara"),"")))</f>
        <v/>
      </c>
      <c r="AI738" t="str">
        <f>IF(AE738="","",IF(AE738="[FÓRMULA MANUAL]","",IFERROR(SUMPRODUCT((DATOS!$A$2:$A$20000=AE738)*(DATOS!$G$2:$G$20000=CONFIG_METADATA!$B$4)*(COUNTIF(CONFIG_ASIGNATURAS!$B$7:$B$27,DATOS!$I$2:$I$20000)&gt;0)*(DATOS!$K$2:$K$20000))/SUMPRODUCT((DATOS!$A$2:$A$20000=AE738)*(DATOS!$G$2:$G$20000=CONFIG_METADATA!$B$4)*(COUNTIF(CONFIG_ASIGNATURAS!$B$7:$B$27,DATOS!$I$2:$I$20000)&gt;0)*1),"")))</f>
        <v/>
      </c>
    </row>
    <row r="739" spans="2:35" x14ac:dyDescent="0.2">
      <c r="B739" t="str">
        <f>IF(A739="","",IF(A739="[FÓRMULA MANUAL]","",IFERROR(AVERAGEIFS(DATOS!$K$2:$K$20000,DATOS!$A$2:$A$20000,A739,DATOS!$G$2:$G$20000,CONFIG_METADATA!$B$4,DATOS!$I$2:$I$20000,"Lenguaje Musical"),"")))</f>
        <v/>
      </c>
      <c r="C739" t="str">
        <f>IF(A739="","",IF(A739="[FÓRMULA MANUAL]","",IFERROR(AVERAGEIFS(DATOS!$K$2:$K$20000,DATOS!$A$2:$A$20000,A739,DATOS!$G$2:$G$20000,CONFIG_METADATA!$B$4,DATOS!$I$2:$I$20000,"Orquesta/Banda/Conjunto"),"")))</f>
        <v/>
      </c>
      <c r="D739" t="str">
        <f>IF(A739="","",IF(A739="[FÓRMULA MANUAL]","",IFERROR(AVERAGEIFS(DATOS!$K$2:$K$20000,DATOS!$A$2:$A$20000,A739,DATOS!$G$2:$G$20000,CONFIG_METADATA!$B$4,DATOS!$I$2:$I$20000,"Conjunto"),"")))</f>
        <v/>
      </c>
      <c r="E739" t="str">
        <f>IF(A739="","",IF(A739="[FÓRMULA MANUAL]","",IFERROR(SUMPRODUCT((DATOS!$A$2:$A$20000=A739)*(DATOS!$G$2:$G$20000=CONFIG_METADATA!$B$4)*(COUNTIF(CONFIG_ASIGNATURAS!$B$7:$B$27,DATOS!$I$2:$I$20000)&gt;0)*(DATOS!$K$2:$K$20000))/SUMPRODUCT((DATOS!$A$2:$A$20000=A739)*(DATOS!$G$2:$G$20000=CONFIG_METADATA!$B$4)*(COUNTIF(CONFIG_ASIGNATURAS!$B$7:$B$27,DATOS!$I$2:$I$20000)&gt;0)*1),"")))</f>
        <v/>
      </c>
      <c r="H739" t="str">
        <f>IF(G739="","",IF(G739="[FÓRMULA MANUAL]","",IFERROR(AVERAGEIFS(DATOS!$K$2:$K$20000,DATOS!$A$2:$A$20000,G739,DATOS!$G$2:$G$20000,CONFIG_METADATA!$B$4,DATOS!$I$2:$I$20000,"Lenguaje Musical"),"")))</f>
        <v/>
      </c>
      <c r="I739" t="str">
        <f>IF(G739="","",IF(G739="[FÓRMULA MANUAL]","",IFERROR(AVERAGEIFS(DATOS!$K$2:$K$20000,DATOS!$A$2:$A$20000,G739,DATOS!$G$2:$G$20000,CONFIG_METADATA!$B$4,DATOS!$I$2:$I$20000,"Orquesta/Banda/Conjunto"),"")))</f>
        <v/>
      </c>
      <c r="J739" t="str">
        <f>IF(G739="","",IF(G739="[FÓRMULA MANUAL]","",IFERROR(AVERAGEIFS(DATOS!$K$2:$K$20000,DATOS!$A$2:$A$20000,G739,DATOS!$G$2:$G$20000,CONFIG_METADATA!$B$4,DATOS!$I$2:$I$20000,"Conjunto"),"")))</f>
        <v/>
      </c>
      <c r="K739" t="str">
        <f>IF(G739="","",IF(G739="[FÓRMULA MANUAL]","",IFERROR(SUMPRODUCT((DATOS!$A$2:$A$20000=G739)*(DATOS!$G$2:$G$20000=CONFIG_METADATA!$B$4)*(COUNTIF(CONFIG_ASIGNATURAS!$B$7:$B$27,DATOS!$I$2:$I$20000)&gt;0)*(DATOS!$K$2:$K$20000))/SUMPRODUCT((DATOS!$A$2:$A$20000=G739)*(DATOS!$G$2:$G$20000=CONFIG_METADATA!$B$4)*(COUNTIF(CONFIG_ASIGNATURAS!$B$7:$B$27,DATOS!$I$2:$I$20000)&gt;0)*1),"")))</f>
        <v/>
      </c>
      <c r="N739" t="str">
        <f>IF(M739="","",IF(M739="[FÓRMULA MANUAL]","",IFERROR(AVERAGEIFS(DATOS!$K$2:$K$20000,DATOS!$A$2:$A$20000,M739,DATOS!$G$2:$G$20000,CONFIG_METADATA!$B$4,DATOS!$I$2:$I$20000,"Armonía"),"")))</f>
        <v/>
      </c>
      <c r="O739" t="str">
        <f>IF(M739="","",IF(M739="[FÓRMULA MANUAL]","",IFERROR(AVERAGEIFS(DATOS!$K$2:$K$20000,DATOS!$A$2:$A$20000,M739,DATOS!$G$2:$G$20000,CONFIG_METADATA!$B$4,DATOS!$I$2:$I$20000,"Orquesta/Banda/Conjunto"),"")))</f>
        <v/>
      </c>
      <c r="P739" t="str">
        <f>IF(M739="","",IF(M739="[FÓRMULA MANUAL]","",IFERROR(AVERAGEIFS(DATOS!$K$2:$K$20000,DATOS!$A$2:$A$20000,M739,DATOS!$G$2:$G$20000,CONFIG_METADATA!$B$4,DATOS!$I$2:$I$20000,"Música de Cámara"),"")))</f>
        <v/>
      </c>
      <c r="Q739" t="str">
        <f>IF(M739="","",IF(M739="[FÓRMULA MANUAL]","",IFERROR(SUMPRODUCT((DATOS!$A$2:$A$20000=M739)*(DATOS!$G$2:$G$20000=CONFIG_METADATA!$B$4)*(COUNTIF(CONFIG_ASIGNATURAS!$B$7:$B$27,DATOS!$I$2:$I$20000)&gt;0)*(DATOS!$K$2:$K$20000))/SUMPRODUCT((DATOS!$A$2:$A$20000=M739)*(DATOS!$G$2:$G$20000=CONFIG_METADATA!$B$4)*(COUNTIF(CONFIG_ASIGNATURAS!$B$7:$B$27,DATOS!$I$2:$I$20000)&gt;0)*1),"")))</f>
        <v/>
      </c>
      <c r="T739" t="str">
        <f>IF(S739="","",IF(S739="[FÓRMULA MANUAL]","",IFERROR(AVERAGEIFS(DATOS!$K$2:$K$20000,DATOS!$A$2:$A$20000,S739,DATOS!$G$2:$G$20000,CONFIG_METADATA!$B$4,DATOS!$I$2:$I$20000,"Armonía"),"")))</f>
        <v/>
      </c>
      <c r="U739" t="str">
        <f>IF(S739="","",IF(S739="[FÓRMULA MANUAL]","",IFERROR(AVERAGEIFS(DATOS!$K$2:$K$20000,DATOS!$A$2:$A$20000,S739,DATOS!$G$2:$G$20000,CONFIG_METADATA!$B$4,DATOS!$I$2:$I$20000,"Orquesta/Banda/Conjunto"),"")))</f>
        <v/>
      </c>
      <c r="V739" t="str">
        <f>IF(S739="","",IF(S739="[FÓRMULA MANUAL]","",IFERROR(AVERAGEIFS(DATOS!$K$2:$K$20000,DATOS!$A$2:$A$20000,S739,DATOS!$G$2:$G$20000,CONFIG_METADATA!$B$4,DATOS!$I$2:$I$20000,"Música de Cámara"),"")))</f>
        <v/>
      </c>
      <c r="W739" t="str">
        <f>IF(S739="","",IF(S739="[FÓRMULA MANUAL]","",IFERROR(SUMPRODUCT((DATOS!$A$2:$A$20000=S739)*(DATOS!$G$2:$G$20000=CONFIG_METADATA!$B$4)*(COUNTIF(CONFIG_ASIGNATURAS!$B$7:$B$27,DATOS!$I$2:$I$20000)&gt;0)*(DATOS!$K$2:$K$20000))/SUMPRODUCT((DATOS!$A$2:$A$20000=S739)*(DATOS!$G$2:$G$20000=CONFIG_METADATA!$B$4)*(COUNTIF(CONFIG_ASIGNATURAS!$B$7:$B$27,DATOS!$I$2:$I$20000)&gt;0)*1),"")))</f>
        <v/>
      </c>
      <c r="Z739" t="str">
        <f>IF(Y739="","",IF(Y739="[FÓRMULA MANUAL]","",IFERROR(AVERAGEIFS(DATOS!$K$2:$K$20000,DATOS!$A$2:$A$20000,Y739,DATOS!$G$2:$G$20000,CONFIG_METADATA!$B$4,DATOS!$I$2:$I$20000,"Análisis"),"")))</f>
        <v/>
      </c>
      <c r="AA739" t="str">
        <f>IF(Y739="","",IF(Y739="[FÓRMULA MANUAL]","",IFERROR(AVERAGEIFS(DATOS!$K$2:$K$20000,DATOS!$A$2:$A$20000,Y739,DATOS!$G$2:$G$20000,CONFIG_METADATA!$B$4,DATOS!$I$2:$I$20000,"Orquesta/Banda/Conjunto"),"")))</f>
        <v/>
      </c>
      <c r="AB739" t="str">
        <f>IF(Y739="","",IF(Y739="[FÓRMULA MANUAL]","",IFERROR(AVERAGEIFS(DATOS!$K$2:$K$20000,DATOS!$A$2:$A$20000,Y739,DATOS!$G$2:$G$20000,CONFIG_METADATA!$B$4,DATOS!$I$2:$I$20000,"Música de Cámara"),"")))</f>
        <v/>
      </c>
      <c r="AC739" t="str">
        <f>IF(Y739="","",IF(Y739="[FÓRMULA MANUAL]","",IFERROR(SUMPRODUCT((DATOS!$A$2:$A$20000=Y739)*(DATOS!$G$2:$G$20000=CONFIG_METADATA!$B$4)*(COUNTIF(CONFIG_ASIGNATURAS!$B$7:$B$27,DATOS!$I$2:$I$20000)&gt;0)*(DATOS!$K$2:$K$20000))/SUMPRODUCT((DATOS!$A$2:$A$20000=Y739)*(DATOS!$G$2:$G$20000=CONFIG_METADATA!$B$4)*(COUNTIF(CONFIG_ASIGNATURAS!$B$7:$B$27,DATOS!$I$2:$I$20000)&gt;0)*1),"")))</f>
        <v/>
      </c>
      <c r="AF739" t="str">
        <f>IF(AE739="","",IF(AE739="[FÓRMULA MANUAL]","",IFERROR(AVERAGEIFS(DATOS!$K$2:$K$20000,DATOS!$A$2:$A$20000,AE739,DATOS!$G$2:$G$20000,CONFIG_METADATA!$B$4,DATOS!$I$2:$I$20000,"Análisis"),"")))</f>
        <v/>
      </c>
      <c r="AG739" t="str">
        <f>IF(AE739="","",IF(AE739="[FÓRMULA MANUAL]","",IFERROR(AVERAGEIFS(DATOS!$K$2:$K$20000,DATOS!$A$2:$A$20000,AE739,DATOS!$G$2:$G$20000,CONFIG_METADATA!$B$4,DATOS!$I$2:$I$20000,"Orquesta/Banda/Conjunto"),"")))</f>
        <v/>
      </c>
      <c r="AH739" t="str">
        <f>IF(AE739="","",IF(AE739="[FÓRMULA MANUAL]","",IFERROR(AVERAGEIFS(DATOS!$K$2:$K$20000,DATOS!$A$2:$A$20000,AE739,DATOS!$G$2:$G$20000,CONFIG_METADATA!$B$4,DATOS!$I$2:$I$20000,"Música de Cámara"),"")))</f>
        <v/>
      </c>
      <c r="AI739" t="str">
        <f>IF(AE739="","",IF(AE739="[FÓRMULA MANUAL]","",IFERROR(SUMPRODUCT((DATOS!$A$2:$A$20000=AE739)*(DATOS!$G$2:$G$20000=CONFIG_METADATA!$B$4)*(COUNTIF(CONFIG_ASIGNATURAS!$B$7:$B$27,DATOS!$I$2:$I$20000)&gt;0)*(DATOS!$K$2:$K$20000))/SUMPRODUCT((DATOS!$A$2:$A$20000=AE739)*(DATOS!$G$2:$G$20000=CONFIG_METADATA!$B$4)*(COUNTIF(CONFIG_ASIGNATURAS!$B$7:$B$27,DATOS!$I$2:$I$20000)&gt;0)*1),"")))</f>
        <v/>
      </c>
    </row>
    <row r="740" spans="2:35" x14ac:dyDescent="0.2">
      <c r="B740" t="str">
        <f>IF(A740="","",IF(A740="[FÓRMULA MANUAL]","",IFERROR(AVERAGEIFS(DATOS!$K$2:$K$20000,DATOS!$A$2:$A$20000,A740,DATOS!$G$2:$G$20000,CONFIG_METADATA!$B$4,DATOS!$I$2:$I$20000,"Lenguaje Musical"),"")))</f>
        <v/>
      </c>
      <c r="C740" t="str">
        <f>IF(A740="","",IF(A740="[FÓRMULA MANUAL]","",IFERROR(AVERAGEIFS(DATOS!$K$2:$K$20000,DATOS!$A$2:$A$20000,A740,DATOS!$G$2:$G$20000,CONFIG_METADATA!$B$4,DATOS!$I$2:$I$20000,"Orquesta/Banda/Conjunto"),"")))</f>
        <v/>
      </c>
      <c r="D740" t="str">
        <f>IF(A740="","",IF(A740="[FÓRMULA MANUAL]","",IFERROR(AVERAGEIFS(DATOS!$K$2:$K$20000,DATOS!$A$2:$A$20000,A740,DATOS!$G$2:$G$20000,CONFIG_METADATA!$B$4,DATOS!$I$2:$I$20000,"Conjunto"),"")))</f>
        <v/>
      </c>
      <c r="E740" t="str">
        <f>IF(A740="","",IF(A740="[FÓRMULA MANUAL]","",IFERROR(SUMPRODUCT((DATOS!$A$2:$A$20000=A740)*(DATOS!$G$2:$G$20000=CONFIG_METADATA!$B$4)*(COUNTIF(CONFIG_ASIGNATURAS!$B$7:$B$27,DATOS!$I$2:$I$20000)&gt;0)*(DATOS!$K$2:$K$20000))/SUMPRODUCT((DATOS!$A$2:$A$20000=A740)*(DATOS!$G$2:$G$20000=CONFIG_METADATA!$B$4)*(COUNTIF(CONFIG_ASIGNATURAS!$B$7:$B$27,DATOS!$I$2:$I$20000)&gt;0)*1),"")))</f>
        <v/>
      </c>
      <c r="H740" t="str">
        <f>IF(G740="","",IF(G740="[FÓRMULA MANUAL]","",IFERROR(AVERAGEIFS(DATOS!$K$2:$K$20000,DATOS!$A$2:$A$20000,G740,DATOS!$G$2:$G$20000,CONFIG_METADATA!$B$4,DATOS!$I$2:$I$20000,"Lenguaje Musical"),"")))</f>
        <v/>
      </c>
      <c r="I740" t="str">
        <f>IF(G740="","",IF(G740="[FÓRMULA MANUAL]","",IFERROR(AVERAGEIFS(DATOS!$K$2:$K$20000,DATOS!$A$2:$A$20000,G740,DATOS!$G$2:$G$20000,CONFIG_METADATA!$B$4,DATOS!$I$2:$I$20000,"Orquesta/Banda/Conjunto"),"")))</f>
        <v/>
      </c>
      <c r="J740" t="str">
        <f>IF(G740="","",IF(G740="[FÓRMULA MANUAL]","",IFERROR(AVERAGEIFS(DATOS!$K$2:$K$20000,DATOS!$A$2:$A$20000,G740,DATOS!$G$2:$G$20000,CONFIG_METADATA!$B$4,DATOS!$I$2:$I$20000,"Conjunto"),"")))</f>
        <v/>
      </c>
      <c r="K740" t="str">
        <f>IF(G740="","",IF(G740="[FÓRMULA MANUAL]","",IFERROR(SUMPRODUCT((DATOS!$A$2:$A$20000=G740)*(DATOS!$G$2:$G$20000=CONFIG_METADATA!$B$4)*(COUNTIF(CONFIG_ASIGNATURAS!$B$7:$B$27,DATOS!$I$2:$I$20000)&gt;0)*(DATOS!$K$2:$K$20000))/SUMPRODUCT((DATOS!$A$2:$A$20000=G740)*(DATOS!$G$2:$G$20000=CONFIG_METADATA!$B$4)*(COUNTIF(CONFIG_ASIGNATURAS!$B$7:$B$27,DATOS!$I$2:$I$20000)&gt;0)*1),"")))</f>
        <v/>
      </c>
      <c r="N740" t="str">
        <f>IF(M740="","",IF(M740="[FÓRMULA MANUAL]","",IFERROR(AVERAGEIFS(DATOS!$K$2:$K$20000,DATOS!$A$2:$A$20000,M740,DATOS!$G$2:$G$20000,CONFIG_METADATA!$B$4,DATOS!$I$2:$I$20000,"Armonía"),"")))</f>
        <v/>
      </c>
      <c r="O740" t="str">
        <f>IF(M740="","",IF(M740="[FÓRMULA MANUAL]","",IFERROR(AVERAGEIFS(DATOS!$K$2:$K$20000,DATOS!$A$2:$A$20000,M740,DATOS!$G$2:$G$20000,CONFIG_METADATA!$B$4,DATOS!$I$2:$I$20000,"Orquesta/Banda/Conjunto"),"")))</f>
        <v/>
      </c>
      <c r="P740" t="str">
        <f>IF(M740="","",IF(M740="[FÓRMULA MANUAL]","",IFERROR(AVERAGEIFS(DATOS!$K$2:$K$20000,DATOS!$A$2:$A$20000,M740,DATOS!$G$2:$G$20000,CONFIG_METADATA!$B$4,DATOS!$I$2:$I$20000,"Música de Cámara"),"")))</f>
        <v/>
      </c>
      <c r="Q740" t="str">
        <f>IF(M740="","",IF(M740="[FÓRMULA MANUAL]","",IFERROR(SUMPRODUCT((DATOS!$A$2:$A$20000=M740)*(DATOS!$G$2:$G$20000=CONFIG_METADATA!$B$4)*(COUNTIF(CONFIG_ASIGNATURAS!$B$7:$B$27,DATOS!$I$2:$I$20000)&gt;0)*(DATOS!$K$2:$K$20000))/SUMPRODUCT((DATOS!$A$2:$A$20000=M740)*(DATOS!$G$2:$G$20000=CONFIG_METADATA!$B$4)*(COUNTIF(CONFIG_ASIGNATURAS!$B$7:$B$27,DATOS!$I$2:$I$20000)&gt;0)*1),"")))</f>
        <v/>
      </c>
      <c r="T740" t="str">
        <f>IF(S740="","",IF(S740="[FÓRMULA MANUAL]","",IFERROR(AVERAGEIFS(DATOS!$K$2:$K$20000,DATOS!$A$2:$A$20000,S740,DATOS!$G$2:$G$20000,CONFIG_METADATA!$B$4,DATOS!$I$2:$I$20000,"Armonía"),"")))</f>
        <v/>
      </c>
      <c r="U740" t="str">
        <f>IF(S740="","",IF(S740="[FÓRMULA MANUAL]","",IFERROR(AVERAGEIFS(DATOS!$K$2:$K$20000,DATOS!$A$2:$A$20000,S740,DATOS!$G$2:$G$20000,CONFIG_METADATA!$B$4,DATOS!$I$2:$I$20000,"Orquesta/Banda/Conjunto"),"")))</f>
        <v/>
      </c>
      <c r="V740" t="str">
        <f>IF(S740="","",IF(S740="[FÓRMULA MANUAL]","",IFERROR(AVERAGEIFS(DATOS!$K$2:$K$20000,DATOS!$A$2:$A$20000,S740,DATOS!$G$2:$G$20000,CONFIG_METADATA!$B$4,DATOS!$I$2:$I$20000,"Música de Cámara"),"")))</f>
        <v/>
      </c>
      <c r="W740" t="str">
        <f>IF(S740="","",IF(S740="[FÓRMULA MANUAL]","",IFERROR(SUMPRODUCT((DATOS!$A$2:$A$20000=S740)*(DATOS!$G$2:$G$20000=CONFIG_METADATA!$B$4)*(COUNTIF(CONFIG_ASIGNATURAS!$B$7:$B$27,DATOS!$I$2:$I$20000)&gt;0)*(DATOS!$K$2:$K$20000))/SUMPRODUCT((DATOS!$A$2:$A$20000=S740)*(DATOS!$G$2:$G$20000=CONFIG_METADATA!$B$4)*(COUNTIF(CONFIG_ASIGNATURAS!$B$7:$B$27,DATOS!$I$2:$I$20000)&gt;0)*1),"")))</f>
        <v/>
      </c>
      <c r="Z740" t="str">
        <f>IF(Y740="","",IF(Y740="[FÓRMULA MANUAL]","",IFERROR(AVERAGEIFS(DATOS!$K$2:$K$20000,DATOS!$A$2:$A$20000,Y740,DATOS!$G$2:$G$20000,CONFIG_METADATA!$B$4,DATOS!$I$2:$I$20000,"Análisis"),"")))</f>
        <v/>
      </c>
      <c r="AA740" t="str">
        <f>IF(Y740="","",IF(Y740="[FÓRMULA MANUAL]","",IFERROR(AVERAGEIFS(DATOS!$K$2:$K$20000,DATOS!$A$2:$A$20000,Y740,DATOS!$G$2:$G$20000,CONFIG_METADATA!$B$4,DATOS!$I$2:$I$20000,"Orquesta/Banda/Conjunto"),"")))</f>
        <v/>
      </c>
      <c r="AB740" t="str">
        <f>IF(Y740="","",IF(Y740="[FÓRMULA MANUAL]","",IFERROR(AVERAGEIFS(DATOS!$K$2:$K$20000,DATOS!$A$2:$A$20000,Y740,DATOS!$G$2:$G$20000,CONFIG_METADATA!$B$4,DATOS!$I$2:$I$20000,"Música de Cámara"),"")))</f>
        <v/>
      </c>
      <c r="AC740" t="str">
        <f>IF(Y740="","",IF(Y740="[FÓRMULA MANUAL]","",IFERROR(SUMPRODUCT((DATOS!$A$2:$A$20000=Y740)*(DATOS!$G$2:$G$20000=CONFIG_METADATA!$B$4)*(COUNTIF(CONFIG_ASIGNATURAS!$B$7:$B$27,DATOS!$I$2:$I$20000)&gt;0)*(DATOS!$K$2:$K$20000))/SUMPRODUCT((DATOS!$A$2:$A$20000=Y740)*(DATOS!$G$2:$G$20000=CONFIG_METADATA!$B$4)*(COUNTIF(CONFIG_ASIGNATURAS!$B$7:$B$27,DATOS!$I$2:$I$20000)&gt;0)*1),"")))</f>
        <v/>
      </c>
      <c r="AF740" t="str">
        <f>IF(AE740="","",IF(AE740="[FÓRMULA MANUAL]","",IFERROR(AVERAGEIFS(DATOS!$K$2:$K$20000,DATOS!$A$2:$A$20000,AE740,DATOS!$G$2:$G$20000,CONFIG_METADATA!$B$4,DATOS!$I$2:$I$20000,"Análisis"),"")))</f>
        <v/>
      </c>
      <c r="AG740" t="str">
        <f>IF(AE740="","",IF(AE740="[FÓRMULA MANUAL]","",IFERROR(AVERAGEIFS(DATOS!$K$2:$K$20000,DATOS!$A$2:$A$20000,AE740,DATOS!$G$2:$G$20000,CONFIG_METADATA!$B$4,DATOS!$I$2:$I$20000,"Orquesta/Banda/Conjunto"),"")))</f>
        <v/>
      </c>
      <c r="AH740" t="str">
        <f>IF(AE740="","",IF(AE740="[FÓRMULA MANUAL]","",IFERROR(AVERAGEIFS(DATOS!$K$2:$K$20000,DATOS!$A$2:$A$20000,AE740,DATOS!$G$2:$G$20000,CONFIG_METADATA!$B$4,DATOS!$I$2:$I$20000,"Música de Cámara"),"")))</f>
        <v/>
      </c>
      <c r="AI740" t="str">
        <f>IF(AE740="","",IF(AE740="[FÓRMULA MANUAL]","",IFERROR(SUMPRODUCT((DATOS!$A$2:$A$20000=AE740)*(DATOS!$G$2:$G$20000=CONFIG_METADATA!$B$4)*(COUNTIF(CONFIG_ASIGNATURAS!$B$7:$B$27,DATOS!$I$2:$I$20000)&gt;0)*(DATOS!$K$2:$K$20000))/SUMPRODUCT((DATOS!$A$2:$A$20000=AE740)*(DATOS!$G$2:$G$20000=CONFIG_METADATA!$B$4)*(COUNTIF(CONFIG_ASIGNATURAS!$B$7:$B$27,DATOS!$I$2:$I$20000)&gt;0)*1),"")))</f>
        <v/>
      </c>
    </row>
    <row r="741" spans="2:35" x14ac:dyDescent="0.2">
      <c r="B741" t="str">
        <f>IF(A741="","",IF(A741="[FÓRMULA MANUAL]","",IFERROR(AVERAGEIFS(DATOS!$K$2:$K$20000,DATOS!$A$2:$A$20000,A741,DATOS!$G$2:$G$20000,CONFIG_METADATA!$B$4,DATOS!$I$2:$I$20000,"Lenguaje Musical"),"")))</f>
        <v/>
      </c>
      <c r="C741" t="str">
        <f>IF(A741="","",IF(A741="[FÓRMULA MANUAL]","",IFERROR(AVERAGEIFS(DATOS!$K$2:$K$20000,DATOS!$A$2:$A$20000,A741,DATOS!$G$2:$G$20000,CONFIG_METADATA!$B$4,DATOS!$I$2:$I$20000,"Orquesta/Banda/Conjunto"),"")))</f>
        <v/>
      </c>
      <c r="D741" t="str">
        <f>IF(A741="","",IF(A741="[FÓRMULA MANUAL]","",IFERROR(AVERAGEIFS(DATOS!$K$2:$K$20000,DATOS!$A$2:$A$20000,A741,DATOS!$G$2:$G$20000,CONFIG_METADATA!$B$4,DATOS!$I$2:$I$20000,"Conjunto"),"")))</f>
        <v/>
      </c>
      <c r="E741" t="str">
        <f>IF(A741="","",IF(A741="[FÓRMULA MANUAL]","",IFERROR(SUMPRODUCT((DATOS!$A$2:$A$20000=A741)*(DATOS!$G$2:$G$20000=CONFIG_METADATA!$B$4)*(COUNTIF(CONFIG_ASIGNATURAS!$B$7:$B$27,DATOS!$I$2:$I$20000)&gt;0)*(DATOS!$K$2:$K$20000))/SUMPRODUCT((DATOS!$A$2:$A$20000=A741)*(DATOS!$G$2:$G$20000=CONFIG_METADATA!$B$4)*(COUNTIF(CONFIG_ASIGNATURAS!$B$7:$B$27,DATOS!$I$2:$I$20000)&gt;0)*1),"")))</f>
        <v/>
      </c>
      <c r="H741" t="str">
        <f>IF(G741="","",IF(G741="[FÓRMULA MANUAL]","",IFERROR(AVERAGEIFS(DATOS!$K$2:$K$20000,DATOS!$A$2:$A$20000,G741,DATOS!$G$2:$G$20000,CONFIG_METADATA!$B$4,DATOS!$I$2:$I$20000,"Lenguaje Musical"),"")))</f>
        <v/>
      </c>
      <c r="I741" t="str">
        <f>IF(G741="","",IF(G741="[FÓRMULA MANUAL]","",IFERROR(AVERAGEIFS(DATOS!$K$2:$K$20000,DATOS!$A$2:$A$20000,G741,DATOS!$G$2:$G$20000,CONFIG_METADATA!$B$4,DATOS!$I$2:$I$20000,"Orquesta/Banda/Conjunto"),"")))</f>
        <v/>
      </c>
      <c r="J741" t="str">
        <f>IF(G741="","",IF(G741="[FÓRMULA MANUAL]","",IFERROR(AVERAGEIFS(DATOS!$K$2:$K$20000,DATOS!$A$2:$A$20000,G741,DATOS!$G$2:$G$20000,CONFIG_METADATA!$B$4,DATOS!$I$2:$I$20000,"Conjunto"),"")))</f>
        <v/>
      </c>
      <c r="K741" t="str">
        <f>IF(G741="","",IF(G741="[FÓRMULA MANUAL]","",IFERROR(SUMPRODUCT((DATOS!$A$2:$A$20000=G741)*(DATOS!$G$2:$G$20000=CONFIG_METADATA!$B$4)*(COUNTIF(CONFIG_ASIGNATURAS!$B$7:$B$27,DATOS!$I$2:$I$20000)&gt;0)*(DATOS!$K$2:$K$20000))/SUMPRODUCT((DATOS!$A$2:$A$20000=G741)*(DATOS!$G$2:$G$20000=CONFIG_METADATA!$B$4)*(COUNTIF(CONFIG_ASIGNATURAS!$B$7:$B$27,DATOS!$I$2:$I$20000)&gt;0)*1),"")))</f>
        <v/>
      </c>
      <c r="N741" t="str">
        <f>IF(M741="","",IF(M741="[FÓRMULA MANUAL]","",IFERROR(AVERAGEIFS(DATOS!$K$2:$K$20000,DATOS!$A$2:$A$20000,M741,DATOS!$G$2:$G$20000,CONFIG_METADATA!$B$4,DATOS!$I$2:$I$20000,"Armonía"),"")))</f>
        <v/>
      </c>
      <c r="O741" t="str">
        <f>IF(M741="","",IF(M741="[FÓRMULA MANUAL]","",IFERROR(AVERAGEIFS(DATOS!$K$2:$K$20000,DATOS!$A$2:$A$20000,M741,DATOS!$G$2:$G$20000,CONFIG_METADATA!$B$4,DATOS!$I$2:$I$20000,"Orquesta/Banda/Conjunto"),"")))</f>
        <v/>
      </c>
      <c r="P741" t="str">
        <f>IF(M741="","",IF(M741="[FÓRMULA MANUAL]","",IFERROR(AVERAGEIFS(DATOS!$K$2:$K$20000,DATOS!$A$2:$A$20000,M741,DATOS!$G$2:$G$20000,CONFIG_METADATA!$B$4,DATOS!$I$2:$I$20000,"Música de Cámara"),"")))</f>
        <v/>
      </c>
      <c r="Q741" t="str">
        <f>IF(M741="","",IF(M741="[FÓRMULA MANUAL]","",IFERROR(SUMPRODUCT((DATOS!$A$2:$A$20000=M741)*(DATOS!$G$2:$G$20000=CONFIG_METADATA!$B$4)*(COUNTIF(CONFIG_ASIGNATURAS!$B$7:$B$27,DATOS!$I$2:$I$20000)&gt;0)*(DATOS!$K$2:$K$20000))/SUMPRODUCT((DATOS!$A$2:$A$20000=M741)*(DATOS!$G$2:$G$20000=CONFIG_METADATA!$B$4)*(COUNTIF(CONFIG_ASIGNATURAS!$B$7:$B$27,DATOS!$I$2:$I$20000)&gt;0)*1),"")))</f>
        <v/>
      </c>
      <c r="T741" t="str">
        <f>IF(S741="","",IF(S741="[FÓRMULA MANUAL]","",IFERROR(AVERAGEIFS(DATOS!$K$2:$K$20000,DATOS!$A$2:$A$20000,S741,DATOS!$G$2:$G$20000,CONFIG_METADATA!$B$4,DATOS!$I$2:$I$20000,"Armonía"),"")))</f>
        <v/>
      </c>
      <c r="U741" t="str">
        <f>IF(S741="","",IF(S741="[FÓRMULA MANUAL]","",IFERROR(AVERAGEIFS(DATOS!$K$2:$K$20000,DATOS!$A$2:$A$20000,S741,DATOS!$G$2:$G$20000,CONFIG_METADATA!$B$4,DATOS!$I$2:$I$20000,"Orquesta/Banda/Conjunto"),"")))</f>
        <v/>
      </c>
      <c r="V741" t="str">
        <f>IF(S741="","",IF(S741="[FÓRMULA MANUAL]","",IFERROR(AVERAGEIFS(DATOS!$K$2:$K$20000,DATOS!$A$2:$A$20000,S741,DATOS!$G$2:$G$20000,CONFIG_METADATA!$B$4,DATOS!$I$2:$I$20000,"Música de Cámara"),"")))</f>
        <v/>
      </c>
      <c r="W741" t="str">
        <f>IF(S741="","",IF(S741="[FÓRMULA MANUAL]","",IFERROR(SUMPRODUCT((DATOS!$A$2:$A$20000=S741)*(DATOS!$G$2:$G$20000=CONFIG_METADATA!$B$4)*(COUNTIF(CONFIG_ASIGNATURAS!$B$7:$B$27,DATOS!$I$2:$I$20000)&gt;0)*(DATOS!$K$2:$K$20000))/SUMPRODUCT((DATOS!$A$2:$A$20000=S741)*(DATOS!$G$2:$G$20000=CONFIG_METADATA!$B$4)*(COUNTIF(CONFIG_ASIGNATURAS!$B$7:$B$27,DATOS!$I$2:$I$20000)&gt;0)*1),"")))</f>
        <v/>
      </c>
      <c r="Z741" t="str">
        <f>IF(Y741="","",IF(Y741="[FÓRMULA MANUAL]","",IFERROR(AVERAGEIFS(DATOS!$K$2:$K$20000,DATOS!$A$2:$A$20000,Y741,DATOS!$G$2:$G$20000,CONFIG_METADATA!$B$4,DATOS!$I$2:$I$20000,"Análisis"),"")))</f>
        <v/>
      </c>
      <c r="AA741" t="str">
        <f>IF(Y741="","",IF(Y741="[FÓRMULA MANUAL]","",IFERROR(AVERAGEIFS(DATOS!$K$2:$K$20000,DATOS!$A$2:$A$20000,Y741,DATOS!$G$2:$G$20000,CONFIG_METADATA!$B$4,DATOS!$I$2:$I$20000,"Orquesta/Banda/Conjunto"),"")))</f>
        <v/>
      </c>
      <c r="AB741" t="str">
        <f>IF(Y741="","",IF(Y741="[FÓRMULA MANUAL]","",IFERROR(AVERAGEIFS(DATOS!$K$2:$K$20000,DATOS!$A$2:$A$20000,Y741,DATOS!$G$2:$G$20000,CONFIG_METADATA!$B$4,DATOS!$I$2:$I$20000,"Música de Cámara"),"")))</f>
        <v/>
      </c>
      <c r="AC741" t="str">
        <f>IF(Y741="","",IF(Y741="[FÓRMULA MANUAL]","",IFERROR(SUMPRODUCT((DATOS!$A$2:$A$20000=Y741)*(DATOS!$G$2:$G$20000=CONFIG_METADATA!$B$4)*(COUNTIF(CONFIG_ASIGNATURAS!$B$7:$B$27,DATOS!$I$2:$I$20000)&gt;0)*(DATOS!$K$2:$K$20000))/SUMPRODUCT((DATOS!$A$2:$A$20000=Y741)*(DATOS!$G$2:$G$20000=CONFIG_METADATA!$B$4)*(COUNTIF(CONFIG_ASIGNATURAS!$B$7:$B$27,DATOS!$I$2:$I$20000)&gt;0)*1),"")))</f>
        <v/>
      </c>
      <c r="AF741" t="str">
        <f>IF(AE741="","",IF(AE741="[FÓRMULA MANUAL]","",IFERROR(AVERAGEIFS(DATOS!$K$2:$K$20000,DATOS!$A$2:$A$20000,AE741,DATOS!$G$2:$G$20000,CONFIG_METADATA!$B$4,DATOS!$I$2:$I$20000,"Análisis"),"")))</f>
        <v/>
      </c>
      <c r="AG741" t="str">
        <f>IF(AE741="","",IF(AE741="[FÓRMULA MANUAL]","",IFERROR(AVERAGEIFS(DATOS!$K$2:$K$20000,DATOS!$A$2:$A$20000,AE741,DATOS!$G$2:$G$20000,CONFIG_METADATA!$B$4,DATOS!$I$2:$I$20000,"Orquesta/Banda/Conjunto"),"")))</f>
        <v/>
      </c>
      <c r="AH741" t="str">
        <f>IF(AE741="","",IF(AE741="[FÓRMULA MANUAL]","",IFERROR(AVERAGEIFS(DATOS!$K$2:$K$20000,DATOS!$A$2:$A$20000,AE741,DATOS!$G$2:$G$20000,CONFIG_METADATA!$B$4,DATOS!$I$2:$I$20000,"Música de Cámara"),"")))</f>
        <v/>
      </c>
      <c r="AI741" t="str">
        <f>IF(AE741="","",IF(AE741="[FÓRMULA MANUAL]","",IFERROR(SUMPRODUCT((DATOS!$A$2:$A$20000=AE741)*(DATOS!$G$2:$G$20000=CONFIG_METADATA!$B$4)*(COUNTIF(CONFIG_ASIGNATURAS!$B$7:$B$27,DATOS!$I$2:$I$20000)&gt;0)*(DATOS!$K$2:$K$20000))/SUMPRODUCT((DATOS!$A$2:$A$20000=AE741)*(DATOS!$G$2:$G$20000=CONFIG_METADATA!$B$4)*(COUNTIF(CONFIG_ASIGNATURAS!$B$7:$B$27,DATOS!$I$2:$I$20000)&gt;0)*1),"")))</f>
        <v/>
      </c>
    </row>
    <row r="742" spans="2:35" x14ac:dyDescent="0.2">
      <c r="B742" t="str">
        <f>IF(A742="","",IF(A742="[FÓRMULA MANUAL]","",IFERROR(AVERAGEIFS(DATOS!$K$2:$K$20000,DATOS!$A$2:$A$20000,A742,DATOS!$G$2:$G$20000,CONFIG_METADATA!$B$4,DATOS!$I$2:$I$20000,"Lenguaje Musical"),"")))</f>
        <v/>
      </c>
      <c r="C742" t="str">
        <f>IF(A742="","",IF(A742="[FÓRMULA MANUAL]","",IFERROR(AVERAGEIFS(DATOS!$K$2:$K$20000,DATOS!$A$2:$A$20000,A742,DATOS!$G$2:$G$20000,CONFIG_METADATA!$B$4,DATOS!$I$2:$I$20000,"Orquesta/Banda/Conjunto"),"")))</f>
        <v/>
      </c>
      <c r="D742" t="str">
        <f>IF(A742="","",IF(A742="[FÓRMULA MANUAL]","",IFERROR(AVERAGEIFS(DATOS!$K$2:$K$20000,DATOS!$A$2:$A$20000,A742,DATOS!$G$2:$G$20000,CONFIG_METADATA!$B$4,DATOS!$I$2:$I$20000,"Conjunto"),"")))</f>
        <v/>
      </c>
      <c r="E742" t="str">
        <f>IF(A742="","",IF(A742="[FÓRMULA MANUAL]","",IFERROR(SUMPRODUCT((DATOS!$A$2:$A$20000=A742)*(DATOS!$G$2:$G$20000=CONFIG_METADATA!$B$4)*(COUNTIF(CONFIG_ASIGNATURAS!$B$7:$B$27,DATOS!$I$2:$I$20000)&gt;0)*(DATOS!$K$2:$K$20000))/SUMPRODUCT((DATOS!$A$2:$A$20000=A742)*(DATOS!$G$2:$G$20000=CONFIG_METADATA!$B$4)*(COUNTIF(CONFIG_ASIGNATURAS!$B$7:$B$27,DATOS!$I$2:$I$20000)&gt;0)*1),"")))</f>
        <v/>
      </c>
      <c r="H742" t="str">
        <f>IF(G742="","",IF(G742="[FÓRMULA MANUAL]","",IFERROR(AVERAGEIFS(DATOS!$K$2:$K$20000,DATOS!$A$2:$A$20000,G742,DATOS!$G$2:$G$20000,CONFIG_METADATA!$B$4,DATOS!$I$2:$I$20000,"Lenguaje Musical"),"")))</f>
        <v/>
      </c>
      <c r="I742" t="str">
        <f>IF(G742="","",IF(G742="[FÓRMULA MANUAL]","",IFERROR(AVERAGEIFS(DATOS!$K$2:$K$20000,DATOS!$A$2:$A$20000,G742,DATOS!$G$2:$G$20000,CONFIG_METADATA!$B$4,DATOS!$I$2:$I$20000,"Orquesta/Banda/Conjunto"),"")))</f>
        <v/>
      </c>
      <c r="J742" t="str">
        <f>IF(G742="","",IF(G742="[FÓRMULA MANUAL]","",IFERROR(AVERAGEIFS(DATOS!$K$2:$K$20000,DATOS!$A$2:$A$20000,G742,DATOS!$G$2:$G$20000,CONFIG_METADATA!$B$4,DATOS!$I$2:$I$20000,"Conjunto"),"")))</f>
        <v/>
      </c>
      <c r="K742" t="str">
        <f>IF(G742="","",IF(G742="[FÓRMULA MANUAL]","",IFERROR(SUMPRODUCT((DATOS!$A$2:$A$20000=G742)*(DATOS!$G$2:$G$20000=CONFIG_METADATA!$B$4)*(COUNTIF(CONFIG_ASIGNATURAS!$B$7:$B$27,DATOS!$I$2:$I$20000)&gt;0)*(DATOS!$K$2:$K$20000))/SUMPRODUCT((DATOS!$A$2:$A$20000=G742)*(DATOS!$G$2:$G$20000=CONFIG_METADATA!$B$4)*(COUNTIF(CONFIG_ASIGNATURAS!$B$7:$B$27,DATOS!$I$2:$I$20000)&gt;0)*1),"")))</f>
        <v/>
      </c>
      <c r="N742" t="str">
        <f>IF(M742="","",IF(M742="[FÓRMULA MANUAL]","",IFERROR(AVERAGEIFS(DATOS!$K$2:$K$20000,DATOS!$A$2:$A$20000,M742,DATOS!$G$2:$G$20000,CONFIG_METADATA!$B$4,DATOS!$I$2:$I$20000,"Armonía"),"")))</f>
        <v/>
      </c>
      <c r="O742" t="str">
        <f>IF(M742="","",IF(M742="[FÓRMULA MANUAL]","",IFERROR(AVERAGEIFS(DATOS!$K$2:$K$20000,DATOS!$A$2:$A$20000,M742,DATOS!$G$2:$G$20000,CONFIG_METADATA!$B$4,DATOS!$I$2:$I$20000,"Orquesta/Banda/Conjunto"),"")))</f>
        <v/>
      </c>
      <c r="P742" t="str">
        <f>IF(M742="","",IF(M742="[FÓRMULA MANUAL]","",IFERROR(AVERAGEIFS(DATOS!$K$2:$K$20000,DATOS!$A$2:$A$20000,M742,DATOS!$G$2:$G$20000,CONFIG_METADATA!$B$4,DATOS!$I$2:$I$20000,"Música de Cámara"),"")))</f>
        <v/>
      </c>
      <c r="Q742" t="str">
        <f>IF(M742="","",IF(M742="[FÓRMULA MANUAL]","",IFERROR(SUMPRODUCT((DATOS!$A$2:$A$20000=M742)*(DATOS!$G$2:$G$20000=CONFIG_METADATA!$B$4)*(COUNTIF(CONFIG_ASIGNATURAS!$B$7:$B$27,DATOS!$I$2:$I$20000)&gt;0)*(DATOS!$K$2:$K$20000))/SUMPRODUCT((DATOS!$A$2:$A$20000=M742)*(DATOS!$G$2:$G$20000=CONFIG_METADATA!$B$4)*(COUNTIF(CONFIG_ASIGNATURAS!$B$7:$B$27,DATOS!$I$2:$I$20000)&gt;0)*1),"")))</f>
        <v/>
      </c>
      <c r="T742" t="str">
        <f>IF(S742="","",IF(S742="[FÓRMULA MANUAL]","",IFERROR(AVERAGEIFS(DATOS!$K$2:$K$20000,DATOS!$A$2:$A$20000,S742,DATOS!$G$2:$G$20000,CONFIG_METADATA!$B$4,DATOS!$I$2:$I$20000,"Armonía"),"")))</f>
        <v/>
      </c>
      <c r="U742" t="str">
        <f>IF(S742="","",IF(S742="[FÓRMULA MANUAL]","",IFERROR(AVERAGEIFS(DATOS!$K$2:$K$20000,DATOS!$A$2:$A$20000,S742,DATOS!$G$2:$G$20000,CONFIG_METADATA!$B$4,DATOS!$I$2:$I$20000,"Orquesta/Banda/Conjunto"),"")))</f>
        <v/>
      </c>
      <c r="V742" t="str">
        <f>IF(S742="","",IF(S742="[FÓRMULA MANUAL]","",IFERROR(AVERAGEIFS(DATOS!$K$2:$K$20000,DATOS!$A$2:$A$20000,S742,DATOS!$G$2:$G$20000,CONFIG_METADATA!$B$4,DATOS!$I$2:$I$20000,"Música de Cámara"),"")))</f>
        <v/>
      </c>
      <c r="W742" t="str">
        <f>IF(S742="","",IF(S742="[FÓRMULA MANUAL]","",IFERROR(SUMPRODUCT((DATOS!$A$2:$A$20000=S742)*(DATOS!$G$2:$G$20000=CONFIG_METADATA!$B$4)*(COUNTIF(CONFIG_ASIGNATURAS!$B$7:$B$27,DATOS!$I$2:$I$20000)&gt;0)*(DATOS!$K$2:$K$20000))/SUMPRODUCT((DATOS!$A$2:$A$20000=S742)*(DATOS!$G$2:$G$20000=CONFIG_METADATA!$B$4)*(COUNTIF(CONFIG_ASIGNATURAS!$B$7:$B$27,DATOS!$I$2:$I$20000)&gt;0)*1),"")))</f>
        <v/>
      </c>
      <c r="Z742" t="str">
        <f>IF(Y742="","",IF(Y742="[FÓRMULA MANUAL]","",IFERROR(AVERAGEIFS(DATOS!$K$2:$K$20000,DATOS!$A$2:$A$20000,Y742,DATOS!$G$2:$G$20000,CONFIG_METADATA!$B$4,DATOS!$I$2:$I$20000,"Análisis"),"")))</f>
        <v/>
      </c>
      <c r="AA742" t="str">
        <f>IF(Y742="","",IF(Y742="[FÓRMULA MANUAL]","",IFERROR(AVERAGEIFS(DATOS!$K$2:$K$20000,DATOS!$A$2:$A$20000,Y742,DATOS!$G$2:$G$20000,CONFIG_METADATA!$B$4,DATOS!$I$2:$I$20000,"Orquesta/Banda/Conjunto"),"")))</f>
        <v/>
      </c>
      <c r="AB742" t="str">
        <f>IF(Y742="","",IF(Y742="[FÓRMULA MANUAL]","",IFERROR(AVERAGEIFS(DATOS!$K$2:$K$20000,DATOS!$A$2:$A$20000,Y742,DATOS!$G$2:$G$20000,CONFIG_METADATA!$B$4,DATOS!$I$2:$I$20000,"Música de Cámara"),"")))</f>
        <v/>
      </c>
      <c r="AC742" t="str">
        <f>IF(Y742="","",IF(Y742="[FÓRMULA MANUAL]","",IFERROR(SUMPRODUCT((DATOS!$A$2:$A$20000=Y742)*(DATOS!$G$2:$G$20000=CONFIG_METADATA!$B$4)*(COUNTIF(CONFIG_ASIGNATURAS!$B$7:$B$27,DATOS!$I$2:$I$20000)&gt;0)*(DATOS!$K$2:$K$20000))/SUMPRODUCT((DATOS!$A$2:$A$20000=Y742)*(DATOS!$G$2:$G$20000=CONFIG_METADATA!$B$4)*(COUNTIF(CONFIG_ASIGNATURAS!$B$7:$B$27,DATOS!$I$2:$I$20000)&gt;0)*1),"")))</f>
        <v/>
      </c>
      <c r="AF742" t="str">
        <f>IF(AE742="","",IF(AE742="[FÓRMULA MANUAL]","",IFERROR(AVERAGEIFS(DATOS!$K$2:$K$20000,DATOS!$A$2:$A$20000,AE742,DATOS!$G$2:$G$20000,CONFIG_METADATA!$B$4,DATOS!$I$2:$I$20000,"Análisis"),"")))</f>
        <v/>
      </c>
      <c r="AG742" t="str">
        <f>IF(AE742="","",IF(AE742="[FÓRMULA MANUAL]","",IFERROR(AVERAGEIFS(DATOS!$K$2:$K$20000,DATOS!$A$2:$A$20000,AE742,DATOS!$G$2:$G$20000,CONFIG_METADATA!$B$4,DATOS!$I$2:$I$20000,"Orquesta/Banda/Conjunto"),"")))</f>
        <v/>
      </c>
      <c r="AH742" t="str">
        <f>IF(AE742="","",IF(AE742="[FÓRMULA MANUAL]","",IFERROR(AVERAGEIFS(DATOS!$K$2:$K$20000,DATOS!$A$2:$A$20000,AE742,DATOS!$G$2:$G$20000,CONFIG_METADATA!$B$4,DATOS!$I$2:$I$20000,"Música de Cámara"),"")))</f>
        <v/>
      </c>
      <c r="AI742" t="str">
        <f>IF(AE742="","",IF(AE742="[FÓRMULA MANUAL]","",IFERROR(SUMPRODUCT((DATOS!$A$2:$A$20000=AE742)*(DATOS!$G$2:$G$20000=CONFIG_METADATA!$B$4)*(COUNTIF(CONFIG_ASIGNATURAS!$B$7:$B$27,DATOS!$I$2:$I$20000)&gt;0)*(DATOS!$K$2:$K$20000))/SUMPRODUCT((DATOS!$A$2:$A$20000=AE742)*(DATOS!$G$2:$G$20000=CONFIG_METADATA!$B$4)*(COUNTIF(CONFIG_ASIGNATURAS!$B$7:$B$27,DATOS!$I$2:$I$20000)&gt;0)*1),"")))</f>
        <v/>
      </c>
    </row>
    <row r="743" spans="2:35" x14ac:dyDescent="0.2">
      <c r="B743" t="str">
        <f>IF(A743="","",IF(A743="[FÓRMULA MANUAL]","",IFERROR(AVERAGEIFS(DATOS!$K$2:$K$20000,DATOS!$A$2:$A$20000,A743,DATOS!$G$2:$G$20000,CONFIG_METADATA!$B$4,DATOS!$I$2:$I$20000,"Lenguaje Musical"),"")))</f>
        <v/>
      </c>
      <c r="C743" t="str">
        <f>IF(A743="","",IF(A743="[FÓRMULA MANUAL]","",IFERROR(AVERAGEIFS(DATOS!$K$2:$K$20000,DATOS!$A$2:$A$20000,A743,DATOS!$G$2:$G$20000,CONFIG_METADATA!$B$4,DATOS!$I$2:$I$20000,"Orquesta/Banda/Conjunto"),"")))</f>
        <v/>
      </c>
      <c r="D743" t="str">
        <f>IF(A743="","",IF(A743="[FÓRMULA MANUAL]","",IFERROR(AVERAGEIFS(DATOS!$K$2:$K$20000,DATOS!$A$2:$A$20000,A743,DATOS!$G$2:$G$20000,CONFIG_METADATA!$B$4,DATOS!$I$2:$I$20000,"Conjunto"),"")))</f>
        <v/>
      </c>
      <c r="E743" t="str">
        <f>IF(A743="","",IF(A743="[FÓRMULA MANUAL]","",IFERROR(SUMPRODUCT((DATOS!$A$2:$A$20000=A743)*(DATOS!$G$2:$G$20000=CONFIG_METADATA!$B$4)*(COUNTIF(CONFIG_ASIGNATURAS!$B$7:$B$27,DATOS!$I$2:$I$20000)&gt;0)*(DATOS!$K$2:$K$20000))/SUMPRODUCT((DATOS!$A$2:$A$20000=A743)*(DATOS!$G$2:$G$20000=CONFIG_METADATA!$B$4)*(COUNTIF(CONFIG_ASIGNATURAS!$B$7:$B$27,DATOS!$I$2:$I$20000)&gt;0)*1),"")))</f>
        <v/>
      </c>
      <c r="H743" t="str">
        <f>IF(G743="","",IF(G743="[FÓRMULA MANUAL]","",IFERROR(AVERAGEIFS(DATOS!$K$2:$K$20000,DATOS!$A$2:$A$20000,G743,DATOS!$G$2:$G$20000,CONFIG_METADATA!$B$4,DATOS!$I$2:$I$20000,"Lenguaje Musical"),"")))</f>
        <v/>
      </c>
      <c r="I743" t="str">
        <f>IF(G743="","",IF(G743="[FÓRMULA MANUAL]","",IFERROR(AVERAGEIFS(DATOS!$K$2:$K$20000,DATOS!$A$2:$A$20000,G743,DATOS!$G$2:$G$20000,CONFIG_METADATA!$B$4,DATOS!$I$2:$I$20000,"Orquesta/Banda/Conjunto"),"")))</f>
        <v/>
      </c>
      <c r="J743" t="str">
        <f>IF(G743="","",IF(G743="[FÓRMULA MANUAL]","",IFERROR(AVERAGEIFS(DATOS!$K$2:$K$20000,DATOS!$A$2:$A$20000,G743,DATOS!$G$2:$G$20000,CONFIG_METADATA!$B$4,DATOS!$I$2:$I$20000,"Conjunto"),"")))</f>
        <v/>
      </c>
      <c r="K743" t="str">
        <f>IF(G743="","",IF(G743="[FÓRMULA MANUAL]","",IFERROR(SUMPRODUCT((DATOS!$A$2:$A$20000=G743)*(DATOS!$G$2:$G$20000=CONFIG_METADATA!$B$4)*(COUNTIF(CONFIG_ASIGNATURAS!$B$7:$B$27,DATOS!$I$2:$I$20000)&gt;0)*(DATOS!$K$2:$K$20000))/SUMPRODUCT((DATOS!$A$2:$A$20000=G743)*(DATOS!$G$2:$G$20000=CONFIG_METADATA!$B$4)*(COUNTIF(CONFIG_ASIGNATURAS!$B$7:$B$27,DATOS!$I$2:$I$20000)&gt;0)*1),"")))</f>
        <v/>
      </c>
      <c r="N743" t="str">
        <f>IF(M743="","",IF(M743="[FÓRMULA MANUAL]","",IFERROR(AVERAGEIFS(DATOS!$K$2:$K$20000,DATOS!$A$2:$A$20000,M743,DATOS!$G$2:$G$20000,CONFIG_METADATA!$B$4,DATOS!$I$2:$I$20000,"Armonía"),"")))</f>
        <v/>
      </c>
      <c r="O743" t="str">
        <f>IF(M743="","",IF(M743="[FÓRMULA MANUAL]","",IFERROR(AVERAGEIFS(DATOS!$K$2:$K$20000,DATOS!$A$2:$A$20000,M743,DATOS!$G$2:$G$20000,CONFIG_METADATA!$B$4,DATOS!$I$2:$I$20000,"Orquesta/Banda/Conjunto"),"")))</f>
        <v/>
      </c>
      <c r="P743" t="str">
        <f>IF(M743="","",IF(M743="[FÓRMULA MANUAL]","",IFERROR(AVERAGEIFS(DATOS!$K$2:$K$20000,DATOS!$A$2:$A$20000,M743,DATOS!$G$2:$G$20000,CONFIG_METADATA!$B$4,DATOS!$I$2:$I$20000,"Música de Cámara"),"")))</f>
        <v/>
      </c>
      <c r="Q743" t="str">
        <f>IF(M743="","",IF(M743="[FÓRMULA MANUAL]","",IFERROR(SUMPRODUCT((DATOS!$A$2:$A$20000=M743)*(DATOS!$G$2:$G$20000=CONFIG_METADATA!$B$4)*(COUNTIF(CONFIG_ASIGNATURAS!$B$7:$B$27,DATOS!$I$2:$I$20000)&gt;0)*(DATOS!$K$2:$K$20000))/SUMPRODUCT((DATOS!$A$2:$A$20000=M743)*(DATOS!$G$2:$G$20000=CONFIG_METADATA!$B$4)*(COUNTIF(CONFIG_ASIGNATURAS!$B$7:$B$27,DATOS!$I$2:$I$20000)&gt;0)*1),"")))</f>
        <v/>
      </c>
      <c r="T743" t="str">
        <f>IF(S743="","",IF(S743="[FÓRMULA MANUAL]","",IFERROR(AVERAGEIFS(DATOS!$K$2:$K$20000,DATOS!$A$2:$A$20000,S743,DATOS!$G$2:$G$20000,CONFIG_METADATA!$B$4,DATOS!$I$2:$I$20000,"Armonía"),"")))</f>
        <v/>
      </c>
      <c r="U743" t="str">
        <f>IF(S743="","",IF(S743="[FÓRMULA MANUAL]","",IFERROR(AVERAGEIFS(DATOS!$K$2:$K$20000,DATOS!$A$2:$A$20000,S743,DATOS!$G$2:$G$20000,CONFIG_METADATA!$B$4,DATOS!$I$2:$I$20000,"Orquesta/Banda/Conjunto"),"")))</f>
        <v/>
      </c>
      <c r="V743" t="str">
        <f>IF(S743="","",IF(S743="[FÓRMULA MANUAL]","",IFERROR(AVERAGEIFS(DATOS!$K$2:$K$20000,DATOS!$A$2:$A$20000,S743,DATOS!$G$2:$G$20000,CONFIG_METADATA!$B$4,DATOS!$I$2:$I$20000,"Música de Cámara"),"")))</f>
        <v/>
      </c>
      <c r="W743" t="str">
        <f>IF(S743="","",IF(S743="[FÓRMULA MANUAL]","",IFERROR(SUMPRODUCT((DATOS!$A$2:$A$20000=S743)*(DATOS!$G$2:$G$20000=CONFIG_METADATA!$B$4)*(COUNTIF(CONFIG_ASIGNATURAS!$B$7:$B$27,DATOS!$I$2:$I$20000)&gt;0)*(DATOS!$K$2:$K$20000))/SUMPRODUCT((DATOS!$A$2:$A$20000=S743)*(DATOS!$G$2:$G$20000=CONFIG_METADATA!$B$4)*(COUNTIF(CONFIG_ASIGNATURAS!$B$7:$B$27,DATOS!$I$2:$I$20000)&gt;0)*1),"")))</f>
        <v/>
      </c>
      <c r="Z743" t="str">
        <f>IF(Y743="","",IF(Y743="[FÓRMULA MANUAL]","",IFERROR(AVERAGEIFS(DATOS!$K$2:$K$20000,DATOS!$A$2:$A$20000,Y743,DATOS!$G$2:$G$20000,CONFIG_METADATA!$B$4,DATOS!$I$2:$I$20000,"Análisis"),"")))</f>
        <v/>
      </c>
      <c r="AA743" t="str">
        <f>IF(Y743="","",IF(Y743="[FÓRMULA MANUAL]","",IFERROR(AVERAGEIFS(DATOS!$K$2:$K$20000,DATOS!$A$2:$A$20000,Y743,DATOS!$G$2:$G$20000,CONFIG_METADATA!$B$4,DATOS!$I$2:$I$20000,"Orquesta/Banda/Conjunto"),"")))</f>
        <v/>
      </c>
      <c r="AB743" t="str">
        <f>IF(Y743="","",IF(Y743="[FÓRMULA MANUAL]","",IFERROR(AVERAGEIFS(DATOS!$K$2:$K$20000,DATOS!$A$2:$A$20000,Y743,DATOS!$G$2:$G$20000,CONFIG_METADATA!$B$4,DATOS!$I$2:$I$20000,"Música de Cámara"),"")))</f>
        <v/>
      </c>
      <c r="AC743" t="str">
        <f>IF(Y743="","",IF(Y743="[FÓRMULA MANUAL]","",IFERROR(SUMPRODUCT((DATOS!$A$2:$A$20000=Y743)*(DATOS!$G$2:$G$20000=CONFIG_METADATA!$B$4)*(COUNTIF(CONFIG_ASIGNATURAS!$B$7:$B$27,DATOS!$I$2:$I$20000)&gt;0)*(DATOS!$K$2:$K$20000))/SUMPRODUCT((DATOS!$A$2:$A$20000=Y743)*(DATOS!$G$2:$G$20000=CONFIG_METADATA!$B$4)*(COUNTIF(CONFIG_ASIGNATURAS!$B$7:$B$27,DATOS!$I$2:$I$20000)&gt;0)*1),"")))</f>
        <v/>
      </c>
      <c r="AF743" t="str">
        <f>IF(AE743="","",IF(AE743="[FÓRMULA MANUAL]","",IFERROR(AVERAGEIFS(DATOS!$K$2:$K$20000,DATOS!$A$2:$A$20000,AE743,DATOS!$G$2:$G$20000,CONFIG_METADATA!$B$4,DATOS!$I$2:$I$20000,"Análisis"),"")))</f>
        <v/>
      </c>
      <c r="AG743" t="str">
        <f>IF(AE743="","",IF(AE743="[FÓRMULA MANUAL]","",IFERROR(AVERAGEIFS(DATOS!$K$2:$K$20000,DATOS!$A$2:$A$20000,AE743,DATOS!$G$2:$G$20000,CONFIG_METADATA!$B$4,DATOS!$I$2:$I$20000,"Orquesta/Banda/Conjunto"),"")))</f>
        <v/>
      </c>
      <c r="AH743" t="str">
        <f>IF(AE743="","",IF(AE743="[FÓRMULA MANUAL]","",IFERROR(AVERAGEIFS(DATOS!$K$2:$K$20000,DATOS!$A$2:$A$20000,AE743,DATOS!$G$2:$G$20000,CONFIG_METADATA!$B$4,DATOS!$I$2:$I$20000,"Música de Cámara"),"")))</f>
        <v/>
      </c>
      <c r="AI743" t="str">
        <f>IF(AE743="","",IF(AE743="[FÓRMULA MANUAL]","",IFERROR(SUMPRODUCT((DATOS!$A$2:$A$20000=AE743)*(DATOS!$G$2:$G$20000=CONFIG_METADATA!$B$4)*(COUNTIF(CONFIG_ASIGNATURAS!$B$7:$B$27,DATOS!$I$2:$I$20000)&gt;0)*(DATOS!$K$2:$K$20000))/SUMPRODUCT((DATOS!$A$2:$A$20000=AE743)*(DATOS!$G$2:$G$20000=CONFIG_METADATA!$B$4)*(COUNTIF(CONFIG_ASIGNATURAS!$B$7:$B$27,DATOS!$I$2:$I$20000)&gt;0)*1),"")))</f>
        <v/>
      </c>
    </row>
    <row r="744" spans="2:35" x14ac:dyDescent="0.2">
      <c r="B744" t="str">
        <f>IF(A744="","",IF(A744="[FÓRMULA MANUAL]","",IFERROR(AVERAGEIFS(DATOS!$K$2:$K$20000,DATOS!$A$2:$A$20000,A744,DATOS!$G$2:$G$20000,CONFIG_METADATA!$B$4,DATOS!$I$2:$I$20000,"Lenguaje Musical"),"")))</f>
        <v/>
      </c>
      <c r="C744" t="str">
        <f>IF(A744="","",IF(A744="[FÓRMULA MANUAL]","",IFERROR(AVERAGEIFS(DATOS!$K$2:$K$20000,DATOS!$A$2:$A$20000,A744,DATOS!$G$2:$G$20000,CONFIG_METADATA!$B$4,DATOS!$I$2:$I$20000,"Orquesta/Banda/Conjunto"),"")))</f>
        <v/>
      </c>
      <c r="D744" t="str">
        <f>IF(A744="","",IF(A744="[FÓRMULA MANUAL]","",IFERROR(AVERAGEIFS(DATOS!$K$2:$K$20000,DATOS!$A$2:$A$20000,A744,DATOS!$G$2:$G$20000,CONFIG_METADATA!$B$4,DATOS!$I$2:$I$20000,"Conjunto"),"")))</f>
        <v/>
      </c>
      <c r="E744" t="str">
        <f>IF(A744="","",IF(A744="[FÓRMULA MANUAL]","",IFERROR(SUMPRODUCT((DATOS!$A$2:$A$20000=A744)*(DATOS!$G$2:$G$20000=CONFIG_METADATA!$B$4)*(COUNTIF(CONFIG_ASIGNATURAS!$B$7:$B$27,DATOS!$I$2:$I$20000)&gt;0)*(DATOS!$K$2:$K$20000))/SUMPRODUCT((DATOS!$A$2:$A$20000=A744)*(DATOS!$G$2:$G$20000=CONFIG_METADATA!$B$4)*(COUNTIF(CONFIG_ASIGNATURAS!$B$7:$B$27,DATOS!$I$2:$I$20000)&gt;0)*1),"")))</f>
        <v/>
      </c>
      <c r="H744" t="str">
        <f>IF(G744="","",IF(G744="[FÓRMULA MANUAL]","",IFERROR(AVERAGEIFS(DATOS!$K$2:$K$20000,DATOS!$A$2:$A$20000,G744,DATOS!$G$2:$G$20000,CONFIG_METADATA!$B$4,DATOS!$I$2:$I$20000,"Lenguaje Musical"),"")))</f>
        <v/>
      </c>
      <c r="I744" t="str">
        <f>IF(G744="","",IF(G744="[FÓRMULA MANUAL]","",IFERROR(AVERAGEIFS(DATOS!$K$2:$K$20000,DATOS!$A$2:$A$20000,G744,DATOS!$G$2:$G$20000,CONFIG_METADATA!$B$4,DATOS!$I$2:$I$20000,"Orquesta/Banda/Conjunto"),"")))</f>
        <v/>
      </c>
      <c r="J744" t="str">
        <f>IF(G744="","",IF(G744="[FÓRMULA MANUAL]","",IFERROR(AVERAGEIFS(DATOS!$K$2:$K$20000,DATOS!$A$2:$A$20000,G744,DATOS!$G$2:$G$20000,CONFIG_METADATA!$B$4,DATOS!$I$2:$I$20000,"Conjunto"),"")))</f>
        <v/>
      </c>
      <c r="K744" t="str">
        <f>IF(G744="","",IF(G744="[FÓRMULA MANUAL]","",IFERROR(SUMPRODUCT((DATOS!$A$2:$A$20000=G744)*(DATOS!$G$2:$G$20000=CONFIG_METADATA!$B$4)*(COUNTIF(CONFIG_ASIGNATURAS!$B$7:$B$27,DATOS!$I$2:$I$20000)&gt;0)*(DATOS!$K$2:$K$20000))/SUMPRODUCT((DATOS!$A$2:$A$20000=G744)*(DATOS!$G$2:$G$20000=CONFIG_METADATA!$B$4)*(COUNTIF(CONFIG_ASIGNATURAS!$B$7:$B$27,DATOS!$I$2:$I$20000)&gt;0)*1),"")))</f>
        <v/>
      </c>
      <c r="N744" t="str">
        <f>IF(M744="","",IF(M744="[FÓRMULA MANUAL]","",IFERROR(AVERAGEIFS(DATOS!$K$2:$K$20000,DATOS!$A$2:$A$20000,M744,DATOS!$G$2:$G$20000,CONFIG_METADATA!$B$4,DATOS!$I$2:$I$20000,"Armonía"),"")))</f>
        <v/>
      </c>
      <c r="O744" t="str">
        <f>IF(M744="","",IF(M744="[FÓRMULA MANUAL]","",IFERROR(AVERAGEIFS(DATOS!$K$2:$K$20000,DATOS!$A$2:$A$20000,M744,DATOS!$G$2:$G$20000,CONFIG_METADATA!$B$4,DATOS!$I$2:$I$20000,"Orquesta/Banda/Conjunto"),"")))</f>
        <v/>
      </c>
      <c r="P744" t="str">
        <f>IF(M744="","",IF(M744="[FÓRMULA MANUAL]","",IFERROR(AVERAGEIFS(DATOS!$K$2:$K$20000,DATOS!$A$2:$A$20000,M744,DATOS!$G$2:$G$20000,CONFIG_METADATA!$B$4,DATOS!$I$2:$I$20000,"Música de Cámara"),"")))</f>
        <v/>
      </c>
      <c r="Q744" t="str">
        <f>IF(M744="","",IF(M744="[FÓRMULA MANUAL]","",IFERROR(SUMPRODUCT((DATOS!$A$2:$A$20000=M744)*(DATOS!$G$2:$G$20000=CONFIG_METADATA!$B$4)*(COUNTIF(CONFIG_ASIGNATURAS!$B$7:$B$27,DATOS!$I$2:$I$20000)&gt;0)*(DATOS!$K$2:$K$20000))/SUMPRODUCT((DATOS!$A$2:$A$20000=M744)*(DATOS!$G$2:$G$20000=CONFIG_METADATA!$B$4)*(COUNTIF(CONFIG_ASIGNATURAS!$B$7:$B$27,DATOS!$I$2:$I$20000)&gt;0)*1),"")))</f>
        <v/>
      </c>
      <c r="T744" t="str">
        <f>IF(S744="","",IF(S744="[FÓRMULA MANUAL]","",IFERROR(AVERAGEIFS(DATOS!$K$2:$K$20000,DATOS!$A$2:$A$20000,S744,DATOS!$G$2:$G$20000,CONFIG_METADATA!$B$4,DATOS!$I$2:$I$20000,"Armonía"),"")))</f>
        <v/>
      </c>
      <c r="U744" t="str">
        <f>IF(S744="","",IF(S744="[FÓRMULA MANUAL]","",IFERROR(AVERAGEIFS(DATOS!$K$2:$K$20000,DATOS!$A$2:$A$20000,S744,DATOS!$G$2:$G$20000,CONFIG_METADATA!$B$4,DATOS!$I$2:$I$20000,"Orquesta/Banda/Conjunto"),"")))</f>
        <v/>
      </c>
      <c r="V744" t="str">
        <f>IF(S744="","",IF(S744="[FÓRMULA MANUAL]","",IFERROR(AVERAGEIFS(DATOS!$K$2:$K$20000,DATOS!$A$2:$A$20000,S744,DATOS!$G$2:$G$20000,CONFIG_METADATA!$B$4,DATOS!$I$2:$I$20000,"Música de Cámara"),"")))</f>
        <v/>
      </c>
      <c r="W744" t="str">
        <f>IF(S744="","",IF(S744="[FÓRMULA MANUAL]","",IFERROR(SUMPRODUCT((DATOS!$A$2:$A$20000=S744)*(DATOS!$G$2:$G$20000=CONFIG_METADATA!$B$4)*(COUNTIF(CONFIG_ASIGNATURAS!$B$7:$B$27,DATOS!$I$2:$I$20000)&gt;0)*(DATOS!$K$2:$K$20000))/SUMPRODUCT((DATOS!$A$2:$A$20000=S744)*(DATOS!$G$2:$G$20000=CONFIG_METADATA!$B$4)*(COUNTIF(CONFIG_ASIGNATURAS!$B$7:$B$27,DATOS!$I$2:$I$20000)&gt;0)*1),"")))</f>
        <v/>
      </c>
      <c r="Z744" t="str">
        <f>IF(Y744="","",IF(Y744="[FÓRMULA MANUAL]","",IFERROR(AVERAGEIFS(DATOS!$K$2:$K$20000,DATOS!$A$2:$A$20000,Y744,DATOS!$G$2:$G$20000,CONFIG_METADATA!$B$4,DATOS!$I$2:$I$20000,"Análisis"),"")))</f>
        <v/>
      </c>
      <c r="AA744" t="str">
        <f>IF(Y744="","",IF(Y744="[FÓRMULA MANUAL]","",IFERROR(AVERAGEIFS(DATOS!$K$2:$K$20000,DATOS!$A$2:$A$20000,Y744,DATOS!$G$2:$G$20000,CONFIG_METADATA!$B$4,DATOS!$I$2:$I$20000,"Orquesta/Banda/Conjunto"),"")))</f>
        <v/>
      </c>
      <c r="AB744" t="str">
        <f>IF(Y744="","",IF(Y744="[FÓRMULA MANUAL]","",IFERROR(AVERAGEIFS(DATOS!$K$2:$K$20000,DATOS!$A$2:$A$20000,Y744,DATOS!$G$2:$G$20000,CONFIG_METADATA!$B$4,DATOS!$I$2:$I$20000,"Música de Cámara"),"")))</f>
        <v/>
      </c>
      <c r="AC744" t="str">
        <f>IF(Y744="","",IF(Y744="[FÓRMULA MANUAL]","",IFERROR(SUMPRODUCT((DATOS!$A$2:$A$20000=Y744)*(DATOS!$G$2:$G$20000=CONFIG_METADATA!$B$4)*(COUNTIF(CONFIG_ASIGNATURAS!$B$7:$B$27,DATOS!$I$2:$I$20000)&gt;0)*(DATOS!$K$2:$K$20000))/SUMPRODUCT((DATOS!$A$2:$A$20000=Y744)*(DATOS!$G$2:$G$20000=CONFIG_METADATA!$B$4)*(COUNTIF(CONFIG_ASIGNATURAS!$B$7:$B$27,DATOS!$I$2:$I$20000)&gt;0)*1),"")))</f>
        <v/>
      </c>
      <c r="AF744" t="str">
        <f>IF(AE744="","",IF(AE744="[FÓRMULA MANUAL]","",IFERROR(AVERAGEIFS(DATOS!$K$2:$K$20000,DATOS!$A$2:$A$20000,AE744,DATOS!$G$2:$G$20000,CONFIG_METADATA!$B$4,DATOS!$I$2:$I$20000,"Análisis"),"")))</f>
        <v/>
      </c>
      <c r="AG744" t="str">
        <f>IF(AE744="","",IF(AE744="[FÓRMULA MANUAL]","",IFERROR(AVERAGEIFS(DATOS!$K$2:$K$20000,DATOS!$A$2:$A$20000,AE744,DATOS!$G$2:$G$20000,CONFIG_METADATA!$B$4,DATOS!$I$2:$I$20000,"Orquesta/Banda/Conjunto"),"")))</f>
        <v/>
      </c>
      <c r="AH744" t="str">
        <f>IF(AE744="","",IF(AE744="[FÓRMULA MANUAL]","",IFERROR(AVERAGEIFS(DATOS!$K$2:$K$20000,DATOS!$A$2:$A$20000,AE744,DATOS!$G$2:$G$20000,CONFIG_METADATA!$B$4,DATOS!$I$2:$I$20000,"Música de Cámara"),"")))</f>
        <v/>
      </c>
      <c r="AI744" t="str">
        <f>IF(AE744="","",IF(AE744="[FÓRMULA MANUAL]","",IFERROR(SUMPRODUCT((DATOS!$A$2:$A$20000=AE744)*(DATOS!$G$2:$G$20000=CONFIG_METADATA!$B$4)*(COUNTIF(CONFIG_ASIGNATURAS!$B$7:$B$27,DATOS!$I$2:$I$20000)&gt;0)*(DATOS!$K$2:$K$20000))/SUMPRODUCT((DATOS!$A$2:$A$20000=AE744)*(DATOS!$G$2:$G$20000=CONFIG_METADATA!$B$4)*(COUNTIF(CONFIG_ASIGNATURAS!$B$7:$B$27,DATOS!$I$2:$I$20000)&gt;0)*1),"")))</f>
        <v/>
      </c>
    </row>
    <row r="745" spans="2:35" x14ac:dyDescent="0.2">
      <c r="B745" t="str">
        <f>IF(A745="","",IF(A745="[FÓRMULA MANUAL]","",IFERROR(AVERAGEIFS(DATOS!$K$2:$K$20000,DATOS!$A$2:$A$20000,A745,DATOS!$G$2:$G$20000,CONFIG_METADATA!$B$4,DATOS!$I$2:$I$20000,"Lenguaje Musical"),"")))</f>
        <v/>
      </c>
      <c r="C745" t="str">
        <f>IF(A745="","",IF(A745="[FÓRMULA MANUAL]","",IFERROR(AVERAGEIFS(DATOS!$K$2:$K$20000,DATOS!$A$2:$A$20000,A745,DATOS!$G$2:$G$20000,CONFIG_METADATA!$B$4,DATOS!$I$2:$I$20000,"Orquesta/Banda/Conjunto"),"")))</f>
        <v/>
      </c>
      <c r="D745" t="str">
        <f>IF(A745="","",IF(A745="[FÓRMULA MANUAL]","",IFERROR(AVERAGEIFS(DATOS!$K$2:$K$20000,DATOS!$A$2:$A$20000,A745,DATOS!$G$2:$G$20000,CONFIG_METADATA!$B$4,DATOS!$I$2:$I$20000,"Conjunto"),"")))</f>
        <v/>
      </c>
      <c r="E745" t="str">
        <f>IF(A745="","",IF(A745="[FÓRMULA MANUAL]","",IFERROR(SUMPRODUCT((DATOS!$A$2:$A$20000=A745)*(DATOS!$G$2:$G$20000=CONFIG_METADATA!$B$4)*(COUNTIF(CONFIG_ASIGNATURAS!$B$7:$B$27,DATOS!$I$2:$I$20000)&gt;0)*(DATOS!$K$2:$K$20000))/SUMPRODUCT((DATOS!$A$2:$A$20000=A745)*(DATOS!$G$2:$G$20000=CONFIG_METADATA!$B$4)*(COUNTIF(CONFIG_ASIGNATURAS!$B$7:$B$27,DATOS!$I$2:$I$20000)&gt;0)*1),"")))</f>
        <v/>
      </c>
      <c r="H745" t="str">
        <f>IF(G745="","",IF(G745="[FÓRMULA MANUAL]","",IFERROR(AVERAGEIFS(DATOS!$K$2:$K$20000,DATOS!$A$2:$A$20000,G745,DATOS!$G$2:$G$20000,CONFIG_METADATA!$B$4,DATOS!$I$2:$I$20000,"Lenguaje Musical"),"")))</f>
        <v/>
      </c>
      <c r="I745" t="str">
        <f>IF(G745="","",IF(G745="[FÓRMULA MANUAL]","",IFERROR(AVERAGEIFS(DATOS!$K$2:$K$20000,DATOS!$A$2:$A$20000,G745,DATOS!$G$2:$G$20000,CONFIG_METADATA!$B$4,DATOS!$I$2:$I$20000,"Orquesta/Banda/Conjunto"),"")))</f>
        <v/>
      </c>
      <c r="J745" t="str">
        <f>IF(G745="","",IF(G745="[FÓRMULA MANUAL]","",IFERROR(AVERAGEIFS(DATOS!$K$2:$K$20000,DATOS!$A$2:$A$20000,G745,DATOS!$G$2:$G$20000,CONFIG_METADATA!$B$4,DATOS!$I$2:$I$20000,"Conjunto"),"")))</f>
        <v/>
      </c>
      <c r="K745" t="str">
        <f>IF(G745="","",IF(G745="[FÓRMULA MANUAL]","",IFERROR(SUMPRODUCT((DATOS!$A$2:$A$20000=G745)*(DATOS!$G$2:$G$20000=CONFIG_METADATA!$B$4)*(COUNTIF(CONFIG_ASIGNATURAS!$B$7:$B$27,DATOS!$I$2:$I$20000)&gt;0)*(DATOS!$K$2:$K$20000))/SUMPRODUCT((DATOS!$A$2:$A$20000=G745)*(DATOS!$G$2:$G$20000=CONFIG_METADATA!$B$4)*(COUNTIF(CONFIG_ASIGNATURAS!$B$7:$B$27,DATOS!$I$2:$I$20000)&gt;0)*1),"")))</f>
        <v/>
      </c>
      <c r="N745" t="str">
        <f>IF(M745="","",IF(M745="[FÓRMULA MANUAL]","",IFERROR(AVERAGEIFS(DATOS!$K$2:$K$20000,DATOS!$A$2:$A$20000,M745,DATOS!$G$2:$G$20000,CONFIG_METADATA!$B$4,DATOS!$I$2:$I$20000,"Armonía"),"")))</f>
        <v/>
      </c>
      <c r="O745" t="str">
        <f>IF(M745="","",IF(M745="[FÓRMULA MANUAL]","",IFERROR(AVERAGEIFS(DATOS!$K$2:$K$20000,DATOS!$A$2:$A$20000,M745,DATOS!$G$2:$G$20000,CONFIG_METADATA!$B$4,DATOS!$I$2:$I$20000,"Orquesta/Banda/Conjunto"),"")))</f>
        <v/>
      </c>
      <c r="P745" t="str">
        <f>IF(M745="","",IF(M745="[FÓRMULA MANUAL]","",IFERROR(AVERAGEIFS(DATOS!$K$2:$K$20000,DATOS!$A$2:$A$20000,M745,DATOS!$G$2:$G$20000,CONFIG_METADATA!$B$4,DATOS!$I$2:$I$20000,"Música de Cámara"),"")))</f>
        <v/>
      </c>
      <c r="Q745" t="str">
        <f>IF(M745="","",IF(M745="[FÓRMULA MANUAL]","",IFERROR(SUMPRODUCT((DATOS!$A$2:$A$20000=M745)*(DATOS!$G$2:$G$20000=CONFIG_METADATA!$B$4)*(COUNTIF(CONFIG_ASIGNATURAS!$B$7:$B$27,DATOS!$I$2:$I$20000)&gt;0)*(DATOS!$K$2:$K$20000))/SUMPRODUCT((DATOS!$A$2:$A$20000=M745)*(DATOS!$G$2:$G$20000=CONFIG_METADATA!$B$4)*(COUNTIF(CONFIG_ASIGNATURAS!$B$7:$B$27,DATOS!$I$2:$I$20000)&gt;0)*1),"")))</f>
        <v/>
      </c>
      <c r="T745" t="str">
        <f>IF(S745="","",IF(S745="[FÓRMULA MANUAL]","",IFERROR(AVERAGEIFS(DATOS!$K$2:$K$20000,DATOS!$A$2:$A$20000,S745,DATOS!$G$2:$G$20000,CONFIG_METADATA!$B$4,DATOS!$I$2:$I$20000,"Armonía"),"")))</f>
        <v/>
      </c>
      <c r="U745" t="str">
        <f>IF(S745="","",IF(S745="[FÓRMULA MANUAL]","",IFERROR(AVERAGEIFS(DATOS!$K$2:$K$20000,DATOS!$A$2:$A$20000,S745,DATOS!$G$2:$G$20000,CONFIG_METADATA!$B$4,DATOS!$I$2:$I$20000,"Orquesta/Banda/Conjunto"),"")))</f>
        <v/>
      </c>
      <c r="V745" t="str">
        <f>IF(S745="","",IF(S745="[FÓRMULA MANUAL]","",IFERROR(AVERAGEIFS(DATOS!$K$2:$K$20000,DATOS!$A$2:$A$20000,S745,DATOS!$G$2:$G$20000,CONFIG_METADATA!$B$4,DATOS!$I$2:$I$20000,"Música de Cámara"),"")))</f>
        <v/>
      </c>
      <c r="W745" t="str">
        <f>IF(S745="","",IF(S745="[FÓRMULA MANUAL]","",IFERROR(SUMPRODUCT((DATOS!$A$2:$A$20000=S745)*(DATOS!$G$2:$G$20000=CONFIG_METADATA!$B$4)*(COUNTIF(CONFIG_ASIGNATURAS!$B$7:$B$27,DATOS!$I$2:$I$20000)&gt;0)*(DATOS!$K$2:$K$20000))/SUMPRODUCT((DATOS!$A$2:$A$20000=S745)*(DATOS!$G$2:$G$20000=CONFIG_METADATA!$B$4)*(COUNTIF(CONFIG_ASIGNATURAS!$B$7:$B$27,DATOS!$I$2:$I$20000)&gt;0)*1),"")))</f>
        <v/>
      </c>
      <c r="Z745" t="str">
        <f>IF(Y745="","",IF(Y745="[FÓRMULA MANUAL]","",IFERROR(AVERAGEIFS(DATOS!$K$2:$K$20000,DATOS!$A$2:$A$20000,Y745,DATOS!$G$2:$G$20000,CONFIG_METADATA!$B$4,DATOS!$I$2:$I$20000,"Análisis"),"")))</f>
        <v/>
      </c>
      <c r="AA745" t="str">
        <f>IF(Y745="","",IF(Y745="[FÓRMULA MANUAL]","",IFERROR(AVERAGEIFS(DATOS!$K$2:$K$20000,DATOS!$A$2:$A$20000,Y745,DATOS!$G$2:$G$20000,CONFIG_METADATA!$B$4,DATOS!$I$2:$I$20000,"Orquesta/Banda/Conjunto"),"")))</f>
        <v/>
      </c>
      <c r="AB745" t="str">
        <f>IF(Y745="","",IF(Y745="[FÓRMULA MANUAL]","",IFERROR(AVERAGEIFS(DATOS!$K$2:$K$20000,DATOS!$A$2:$A$20000,Y745,DATOS!$G$2:$G$20000,CONFIG_METADATA!$B$4,DATOS!$I$2:$I$20000,"Música de Cámara"),"")))</f>
        <v/>
      </c>
      <c r="AC745" t="str">
        <f>IF(Y745="","",IF(Y745="[FÓRMULA MANUAL]","",IFERROR(SUMPRODUCT((DATOS!$A$2:$A$20000=Y745)*(DATOS!$G$2:$G$20000=CONFIG_METADATA!$B$4)*(COUNTIF(CONFIG_ASIGNATURAS!$B$7:$B$27,DATOS!$I$2:$I$20000)&gt;0)*(DATOS!$K$2:$K$20000))/SUMPRODUCT((DATOS!$A$2:$A$20000=Y745)*(DATOS!$G$2:$G$20000=CONFIG_METADATA!$B$4)*(COUNTIF(CONFIG_ASIGNATURAS!$B$7:$B$27,DATOS!$I$2:$I$20000)&gt;0)*1),"")))</f>
        <v/>
      </c>
      <c r="AF745" t="str">
        <f>IF(AE745="","",IF(AE745="[FÓRMULA MANUAL]","",IFERROR(AVERAGEIFS(DATOS!$K$2:$K$20000,DATOS!$A$2:$A$20000,AE745,DATOS!$G$2:$G$20000,CONFIG_METADATA!$B$4,DATOS!$I$2:$I$20000,"Análisis"),"")))</f>
        <v/>
      </c>
      <c r="AG745" t="str">
        <f>IF(AE745="","",IF(AE745="[FÓRMULA MANUAL]","",IFERROR(AVERAGEIFS(DATOS!$K$2:$K$20000,DATOS!$A$2:$A$20000,AE745,DATOS!$G$2:$G$20000,CONFIG_METADATA!$B$4,DATOS!$I$2:$I$20000,"Orquesta/Banda/Conjunto"),"")))</f>
        <v/>
      </c>
      <c r="AH745" t="str">
        <f>IF(AE745="","",IF(AE745="[FÓRMULA MANUAL]","",IFERROR(AVERAGEIFS(DATOS!$K$2:$K$20000,DATOS!$A$2:$A$20000,AE745,DATOS!$G$2:$G$20000,CONFIG_METADATA!$B$4,DATOS!$I$2:$I$20000,"Música de Cámara"),"")))</f>
        <v/>
      </c>
      <c r="AI745" t="str">
        <f>IF(AE745="","",IF(AE745="[FÓRMULA MANUAL]","",IFERROR(SUMPRODUCT((DATOS!$A$2:$A$20000=AE745)*(DATOS!$G$2:$G$20000=CONFIG_METADATA!$B$4)*(COUNTIF(CONFIG_ASIGNATURAS!$B$7:$B$27,DATOS!$I$2:$I$20000)&gt;0)*(DATOS!$K$2:$K$20000))/SUMPRODUCT((DATOS!$A$2:$A$20000=AE745)*(DATOS!$G$2:$G$20000=CONFIG_METADATA!$B$4)*(COUNTIF(CONFIG_ASIGNATURAS!$B$7:$B$27,DATOS!$I$2:$I$20000)&gt;0)*1),"")))</f>
        <v/>
      </c>
    </row>
    <row r="746" spans="2:35" x14ac:dyDescent="0.2">
      <c r="B746" t="str">
        <f>IF(A746="","",IF(A746="[FÓRMULA MANUAL]","",IFERROR(AVERAGEIFS(DATOS!$K$2:$K$20000,DATOS!$A$2:$A$20000,A746,DATOS!$G$2:$G$20000,CONFIG_METADATA!$B$4,DATOS!$I$2:$I$20000,"Lenguaje Musical"),"")))</f>
        <v/>
      </c>
      <c r="C746" t="str">
        <f>IF(A746="","",IF(A746="[FÓRMULA MANUAL]","",IFERROR(AVERAGEIFS(DATOS!$K$2:$K$20000,DATOS!$A$2:$A$20000,A746,DATOS!$G$2:$G$20000,CONFIG_METADATA!$B$4,DATOS!$I$2:$I$20000,"Orquesta/Banda/Conjunto"),"")))</f>
        <v/>
      </c>
      <c r="D746" t="str">
        <f>IF(A746="","",IF(A746="[FÓRMULA MANUAL]","",IFERROR(AVERAGEIFS(DATOS!$K$2:$K$20000,DATOS!$A$2:$A$20000,A746,DATOS!$G$2:$G$20000,CONFIG_METADATA!$B$4,DATOS!$I$2:$I$20000,"Conjunto"),"")))</f>
        <v/>
      </c>
      <c r="E746" t="str">
        <f>IF(A746="","",IF(A746="[FÓRMULA MANUAL]","",IFERROR(SUMPRODUCT((DATOS!$A$2:$A$20000=A746)*(DATOS!$G$2:$G$20000=CONFIG_METADATA!$B$4)*(COUNTIF(CONFIG_ASIGNATURAS!$B$7:$B$27,DATOS!$I$2:$I$20000)&gt;0)*(DATOS!$K$2:$K$20000))/SUMPRODUCT((DATOS!$A$2:$A$20000=A746)*(DATOS!$G$2:$G$20000=CONFIG_METADATA!$B$4)*(COUNTIF(CONFIG_ASIGNATURAS!$B$7:$B$27,DATOS!$I$2:$I$20000)&gt;0)*1),"")))</f>
        <v/>
      </c>
      <c r="H746" t="str">
        <f>IF(G746="","",IF(G746="[FÓRMULA MANUAL]","",IFERROR(AVERAGEIFS(DATOS!$K$2:$K$20000,DATOS!$A$2:$A$20000,G746,DATOS!$G$2:$G$20000,CONFIG_METADATA!$B$4,DATOS!$I$2:$I$20000,"Lenguaje Musical"),"")))</f>
        <v/>
      </c>
      <c r="I746" t="str">
        <f>IF(G746="","",IF(G746="[FÓRMULA MANUAL]","",IFERROR(AVERAGEIFS(DATOS!$K$2:$K$20000,DATOS!$A$2:$A$20000,G746,DATOS!$G$2:$G$20000,CONFIG_METADATA!$B$4,DATOS!$I$2:$I$20000,"Orquesta/Banda/Conjunto"),"")))</f>
        <v/>
      </c>
      <c r="J746" t="str">
        <f>IF(G746="","",IF(G746="[FÓRMULA MANUAL]","",IFERROR(AVERAGEIFS(DATOS!$K$2:$K$20000,DATOS!$A$2:$A$20000,G746,DATOS!$G$2:$G$20000,CONFIG_METADATA!$B$4,DATOS!$I$2:$I$20000,"Conjunto"),"")))</f>
        <v/>
      </c>
      <c r="K746" t="str">
        <f>IF(G746="","",IF(G746="[FÓRMULA MANUAL]","",IFERROR(SUMPRODUCT((DATOS!$A$2:$A$20000=G746)*(DATOS!$G$2:$G$20000=CONFIG_METADATA!$B$4)*(COUNTIF(CONFIG_ASIGNATURAS!$B$7:$B$27,DATOS!$I$2:$I$20000)&gt;0)*(DATOS!$K$2:$K$20000))/SUMPRODUCT((DATOS!$A$2:$A$20000=G746)*(DATOS!$G$2:$G$20000=CONFIG_METADATA!$B$4)*(COUNTIF(CONFIG_ASIGNATURAS!$B$7:$B$27,DATOS!$I$2:$I$20000)&gt;0)*1),"")))</f>
        <v/>
      </c>
      <c r="N746" t="str">
        <f>IF(M746="","",IF(M746="[FÓRMULA MANUAL]","",IFERROR(AVERAGEIFS(DATOS!$K$2:$K$20000,DATOS!$A$2:$A$20000,M746,DATOS!$G$2:$G$20000,CONFIG_METADATA!$B$4,DATOS!$I$2:$I$20000,"Armonía"),"")))</f>
        <v/>
      </c>
      <c r="O746" t="str">
        <f>IF(M746="","",IF(M746="[FÓRMULA MANUAL]","",IFERROR(AVERAGEIFS(DATOS!$K$2:$K$20000,DATOS!$A$2:$A$20000,M746,DATOS!$G$2:$G$20000,CONFIG_METADATA!$B$4,DATOS!$I$2:$I$20000,"Orquesta/Banda/Conjunto"),"")))</f>
        <v/>
      </c>
      <c r="P746" t="str">
        <f>IF(M746="","",IF(M746="[FÓRMULA MANUAL]","",IFERROR(AVERAGEIFS(DATOS!$K$2:$K$20000,DATOS!$A$2:$A$20000,M746,DATOS!$G$2:$G$20000,CONFIG_METADATA!$B$4,DATOS!$I$2:$I$20000,"Música de Cámara"),"")))</f>
        <v/>
      </c>
      <c r="Q746" t="str">
        <f>IF(M746="","",IF(M746="[FÓRMULA MANUAL]","",IFERROR(SUMPRODUCT((DATOS!$A$2:$A$20000=M746)*(DATOS!$G$2:$G$20000=CONFIG_METADATA!$B$4)*(COUNTIF(CONFIG_ASIGNATURAS!$B$7:$B$27,DATOS!$I$2:$I$20000)&gt;0)*(DATOS!$K$2:$K$20000))/SUMPRODUCT((DATOS!$A$2:$A$20000=M746)*(DATOS!$G$2:$G$20000=CONFIG_METADATA!$B$4)*(COUNTIF(CONFIG_ASIGNATURAS!$B$7:$B$27,DATOS!$I$2:$I$20000)&gt;0)*1),"")))</f>
        <v/>
      </c>
      <c r="T746" t="str">
        <f>IF(S746="","",IF(S746="[FÓRMULA MANUAL]","",IFERROR(AVERAGEIFS(DATOS!$K$2:$K$20000,DATOS!$A$2:$A$20000,S746,DATOS!$G$2:$G$20000,CONFIG_METADATA!$B$4,DATOS!$I$2:$I$20000,"Armonía"),"")))</f>
        <v/>
      </c>
      <c r="U746" t="str">
        <f>IF(S746="","",IF(S746="[FÓRMULA MANUAL]","",IFERROR(AVERAGEIFS(DATOS!$K$2:$K$20000,DATOS!$A$2:$A$20000,S746,DATOS!$G$2:$G$20000,CONFIG_METADATA!$B$4,DATOS!$I$2:$I$20000,"Orquesta/Banda/Conjunto"),"")))</f>
        <v/>
      </c>
      <c r="V746" t="str">
        <f>IF(S746="","",IF(S746="[FÓRMULA MANUAL]","",IFERROR(AVERAGEIFS(DATOS!$K$2:$K$20000,DATOS!$A$2:$A$20000,S746,DATOS!$G$2:$G$20000,CONFIG_METADATA!$B$4,DATOS!$I$2:$I$20000,"Música de Cámara"),"")))</f>
        <v/>
      </c>
      <c r="W746" t="str">
        <f>IF(S746="","",IF(S746="[FÓRMULA MANUAL]","",IFERROR(SUMPRODUCT((DATOS!$A$2:$A$20000=S746)*(DATOS!$G$2:$G$20000=CONFIG_METADATA!$B$4)*(COUNTIF(CONFIG_ASIGNATURAS!$B$7:$B$27,DATOS!$I$2:$I$20000)&gt;0)*(DATOS!$K$2:$K$20000))/SUMPRODUCT((DATOS!$A$2:$A$20000=S746)*(DATOS!$G$2:$G$20000=CONFIG_METADATA!$B$4)*(COUNTIF(CONFIG_ASIGNATURAS!$B$7:$B$27,DATOS!$I$2:$I$20000)&gt;0)*1),"")))</f>
        <v/>
      </c>
      <c r="Z746" t="str">
        <f>IF(Y746="","",IF(Y746="[FÓRMULA MANUAL]","",IFERROR(AVERAGEIFS(DATOS!$K$2:$K$20000,DATOS!$A$2:$A$20000,Y746,DATOS!$G$2:$G$20000,CONFIG_METADATA!$B$4,DATOS!$I$2:$I$20000,"Análisis"),"")))</f>
        <v/>
      </c>
      <c r="AA746" t="str">
        <f>IF(Y746="","",IF(Y746="[FÓRMULA MANUAL]","",IFERROR(AVERAGEIFS(DATOS!$K$2:$K$20000,DATOS!$A$2:$A$20000,Y746,DATOS!$G$2:$G$20000,CONFIG_METADATA!$B$4,DATOS!$I$2:$I$20000,"Orquesta/Banda/Conjunto"),"")))</f>
        <v/>
      </c>
      <c r="AB746" t="str">
        <f>IF(Y746="","",IF(Y746="[FÓRMULA MANUAL]","",IFERROR(AVERAGEIFS(DATOS!$K$2:$K$20000,DATOS!$A$2:$A$20000,Y746,DATOS!$G$2:$G$20000,CONFIG_METADATA!$B$4,DATOS!$I$2:$I$20000,"Música de Cámara"),"")))</f>
        <v/>
      </c>
      <c r="AC746" t="str">
        <f>IF(Y746="","",IF(Y746="[FÓRMULA MANUAL]","",IFERROR(SUMPRODUCT((DATOS!$A$2:$A$20000=Y746)*(DATOS!$G$2:$G$20000=CONFIG_METADATA!$B$4)*(COUNTIF(CONFIG_ASIGNATURAS!$B$7:$B$27,DATOS!$I$2:$I$20000)&gt;0)*(DATOS!$K$2:$K$20000))/SUMPRODUCT((DATOS!$A$2:$A$20000=Y746)*(DATOS!$G$2:$G$20000=CONFIG_METADATA!$B$4)*(COUNTIF(CONFIG_ASIGNATURAS!$B$7:$B$27,DATOS!$I$2:$I$20000)&gt;0)*1),"")))</f>
        <v/>
      </c>
      <c r="AF746" t="str">
        <f>IF(AE746="","",IF(AE746="[FÓRMULA MANUAL]","",IFERROR(AVERAGEIFS(DATOS!$K$2:$K$20000,DATOS!$A$2:$A$20000,AE746,DATOS!$G$2:$G$20000,CONFIG_METADATA!$B$4,DATOS!$I$2:$I$20000,"Análisis"),"")))</f>
        <v/>
      </c>
      <c r="AG746" t="str">
        <f>IF(AE746="","",IF(AE746="[FÓRMULA MANUAL]","",IFERROR(AVERAGEIFS(DATOS!$K$2:$K$20000,DATOS!$A$2:$A$20000,AE746,DATOS!$G$2:$G$20000,CONFIG_METADATA!$B$4,DATOS!$I$2:$I$20000,"Orquesta/Banda/Conjunto"),"")))</f>
        <v/>
      </c>
      <c r="AH746" t="str">
        <f>IF(AE746="","",IF(AE746="[FÓRMULA MANUAL]","",IFERROR(AVERAGEIFS(DATOS!$K$2:$K$20000,DATOS!$A$2:$A$20000,AE746,DATOS!$G$2:$G$20000,CONFIG_METADATA!$B$4,DATOS!$I$2:$I$20000,"Música de Cámara"),"")))</f>
        <v/>
      </c>
      <c r="AI746" t="str">
        <f>IF(AE746="","",IF(AE746="[FÓRMULA MANUAL]","",IFERROR(SUMPRODUCT((DATOS!$A$2:$A$20000=AE746)*(DATOS!$G$2:$G$20000=CONFIG_METADATA!$B$4)*(COUNTIF(CONFIG_ASIGNATURAS!$B$7:$B$27,DATOS!$I$2:$I$20000)&gt;0)*(DATOS!$K$2:$K$20000))/SUMPRODUCT((DATOS!$A$2:$A$20000=AE746)*(DATOS!$G$2:$G$20000=CONFIG_METADATA!$B$4)*(COUNTIF(CONFIG_ASIGNATURAS!$B$7:$B$27,DATOS!$I$2:$I$20000)&gt;0)*1),"")))</f>
        <v/>
      </c>
    </row>
    <row r="747" spans="2:35" x14ac:dyDescent="0.2">
      <c r="B747" t="str">
        <f>IF(A747="","",IF(A747="[FÓRMULA MANUAL]","",IFERROR(AVERAGEIFS(DATOS!$K$2:$K$20000,DATOS!$A$2:$A$20000,A747,DATOS!$G$2:$G$20000,CONFIG_METADATA!$B$4,DATOS!$I$2:$I$20000,"Lenguaje Musical"),"")))</f>
        <v/>
      </c>
      <c r="C747" t="str">
        <f>IF(A747="","",IF(A747="[FÓRMULA MANUAL]","",IFERROR(AVERAGEIFS(DATOS!$K$2:$K$20000,DATOS!$A$2:$A$20000,A747,DATOS!$G$2:$G$20000,CONFIG_METADATA!$B$4,DATOS!$I$2:$I$20000,"Orquesta/Banda/Conjunto"),"")))</f>
        <v/>
      </c>
      <c r="D747" t="str">
        <f>IF(A747="","",IF(A747="[FÓRMULA MANUAL]","",IFERROR(AVERAGEIFS(DATOS!$K$2:$K$20000,DATOS!$A$2:$A$20000,A747,DATOS!$G$2:$G$20000,CONFIG_METADATA!$B$4,DATOS!$I$2:$I$20000,"Conjunto"),"")))</f>
        <v/>
      </c>
      <c r="E747" t="str">
        <f>IF(A747="","",IF(A747="[FÓRMULA MANUAL]","",IFERROR(SUMPRODUCT((DATOS!$A$2:$A$20000=A747)*(DATOS!$G$2:$G$20000=CONFIG_METADATA!$B$4)*(COUNTIF(CONFIG_ASIGNATURAS!$B$7:$B$27,DATOS!$I$2:$I$20000)&gt;0)*(DATOS!$K$2:$K$20000))/SUMPRODUCT((DATOS!$A$2:$A$20000=A747)*(DATOS!$G$2:$G$20000=CONFIG_METADATA!$B$4)*(COUNTIF(CONFIG_ASIGNATURAS!$B$7:$B$27,DATOS!$I$2:$I$20000)&gt;0)*1),"")))</f>
        <v/>
      </c>
      <c r="H747" t="str">
        <f>IF(G747="","",IF(G747="[FÓRMULA MANUAL]","",IFERROR(AVERAGEIFS(DATOS!$K$2:$K$20000,DATOS!$A$2:$A$20000,G747,DATOS!$G$2:$G$20000,CONFIG_METADATA!$B$4,DATOS!$I$2:$I$20000,"Lenguaje Musical"),"")))</f>
        <v/>
      </c>
      <c r="I747" t="str">
        <f>IF(G747="","",IF(G747="[FÓRMULA MANUAL]","",IFERROR(AVERAGEIFS(DATOS!$K$2:$K$20000,DATOS!$A$2:$A$20000,G747,DATOS!$G$2:$G$20000,CONFIG_METADATA!$B$4,DATOS!$I$2:$I$20000,"Orquesta/Banda/Conjunto"),"")))</f>
        <v/>
      </c>
      <c r="J747" t="str">
        <f>IF(G747="","",IF(G747="[FÓRMULA MANUAL]","",IFERROR(AVERAGEIFS(DATOS!$K$2:$K$20000,DATOS!$A$2:$A$20000,G747,DATOS!$G$2:$G$20000,CONFIG_METADATA!$B$4,DATOS!$I$2:$I$20000,"Conjunto"),"")))</f>
        <v/>
      </c>
      <c r="K747" t="str">
        <f>IF(G747="","",IF(G747="[FÓRMULA MANUAL]","",IFERROR(SUMPRODUCT((DATOS!$A$2:$A$20000=G747)*(DATOS!$G$2:$G$20000=CONFIG_METADATA!$B$4)*(COUNTIF(CONFIG_ASIGNATURAS!$B$7:$B$27,DATOS!$I$2:$I$20000)&gt;0)*(DATOS!$K$2:$K$20000))/SUMPRODUCT((DATOS!$A$2:$A$20000=G747)*(DATOS!$G$2:$G$20000=CONFIG_METADATA!$B$4)*(COUNTIF(CONFIG_ASIGNATURAS!$B$7:$B$27,DATOS!$I$2:$I$20000)&gt;0)*1),"")))</f>
        <v/>
      </c>
      <c r="N747" t="str">
        <f>IF(M747="","",IF(M747="[FÓRMULA MANUAL]","",IFERROR(AVERAGEIFS(DATOS!$K$2:$K$20000,DATOS!$A$2:$A$20000,M747,DATOS!$G$2:$G$20000,CONFIG_METADATA!$B$4,DATOS!$I$2:$I$20000,"Armonía"),"")))</f>
        <v/>
      </c>
      <c r="O747" t="str">
        <f>IF(M747="","",IF(M747="[FÓRMULA MANUAL]","",IFERROR(AVERAGEIFS(DATOS!$K$2:$K$20000,DATOS!$A$2:$A$20000,M747,DATOS!$G$2:$G$20000,CONFIG_METADATA!$B$4,DATOS!$I$2:$I$20000,"Orquesta/Banda/Conjunto"),"")))</f>
        <v/>
      </c>
      <c r="P747" t="str">
        <f>IF(M747="","",IF(M747="[FÓRMULA MANUAL]","",IFERROR(AVERAGEIFS(DATOS!$K$2:$K$20000,DATOS!$A$2:$A$20000,M747,DATOS!$G$2:$G$20000,CONFIG_METADATA!$B$4,DATOS!$I$2:$I$20000,"Música de Cámara"),"")))</f>
        <v/>
      </c>
      <c r="Q747" t="str">
        <f>IF(M747="","",IF(M747="[FÓRMULA MANUAL]","",IFERROR(SUMPRODUCT((DATOS!$A$2:$A$20000=M747)*(DATOS!$G$2:$G$20000=CONFIG_METADATA!$B$4)*(COUNTIF(CONFIG_ASIGNATURAS!$B$7:$B$27,DATOS!$I$2:$I$20000)&gt;0)*(DATOS!$K$2:$K$20000))/SUMPRODUCT((DATOS!$A$2:$A$20000=M747)*(DATOS!$G$2:$G$20000=CONFIG_METADATA!$B$4)*(COUNTIF(CONFIG_ASIGNATURAS!$B$7:$B$27,DATOS!$I$2:$I$20000)&gt;0)*1),"")))</f>
        <v/>
      </c>
      <c r="T747" t="str">
        <f>IF(S747="","",IF(S747="[FÓRMULA MANUAL]","",IFERROR(AVERAGEIFS(DATOS!$K$2:$K$20000,DATOS!$A$2:$A$20000,S747,DATOS!$G$2:$G$20000,CONFIG_METADATA!$B$4,DATOS!$I$2:$I$20000,"Armonía"),"")))</f>
        <v/>
      </c>
      <c r="U747" t="str">
        <f>IF(S747="","",IF(S747="[FÓRMULA MANUAL]","",IFERROR(AVERAGEIFS(DATOS!$K$2:$K$20000,DATOS!$A$2:$A$20000,S747,DATOS!$G$2:$G$20000,CONFIG_METADATA!$B$4,DATOS!$I$2:$I$20000,"Orquesta/Banda/Conjunto"),"")))</f>
        <v/>
      </c>
      <c r="V747" t="str">
        <f>IF(S747="","",IF(S747="[FÓRMULA MANUAL]","",IFERROR(AVERAGEIFS(DATOS!$K$2:$K$20000,DATOS!$A$2:$A$20000,S747,DATOS!$G$2:$G$20000,CONFIG_METADATA!$B$4,DATOS!$I$2:$I$20000,"Música de Cámara"),"")))</f>
        <v/>
      </c>
      <c r="W747" t="str">
        <f>IF(S747="","",IF(S747="[FÓRMULA MANUAL]","",IFERROR(SUMPRODUCT((DATOS!$A$2:$A$20000=S747)*(DATOS!$G$2:$G$20000=CONFIG_METADATA!$B$4)*(COUNTIF(CONFIG_ASIGNATURAS!$B$7:$B$27,DATOS!$I$2:$I$20000)&gt;0)*(DATOS!$K$2:$K$20000))/SUMPRODUCT((DATOS!$A$2:$A$20000=S747)*(DATOS!$G$2:$G$20000=CONFIG_METADATA!$B$4)*(COUNTIF(CONFIG_ASIGNATURAS!$B$7:$B$27,DATOS!$I$2:$I$20000)&gt;0)*1),"")))</f>
        <v/>
      </c>
      <c r="Z747" t="str">
        <f>IF(Y747="","",IF(Y747="[FÓRMULA MANUAL]","",IFERROR(AVERAGEIFS(DATOS!$K$2:$K$20000,DATOS!$A$2:$A$20000,Y747,DATOS!$G$2:$G$20000,CONFIG_METADATA!$B$4,DATOS!$I$2:$I$20000,"Análisis"),"")))</f>
        <v/>
      </c>
      <c r="AA747" t="str">
        <f>IF(Y747="","",IF(Y747="[FÓRMULA MANUAL]","",IFERROR(AVERAGEIFS(DATOS!$K$2:$K$20000,DATOS!$A$2:$A$20000,Y747,DATOS!$G$2:$G$20000,CONFIG_METADATA!$B$4,DATOS!$I$2:$I$20000,"Orquesta/Banda/Conjunto"),"")))</f>
        <v/>
      </c>
      <c r="AB747" t="str">
        <f>IF(Y747="","",IF(Y747="[FÓRMULA MANUAL]","",IFERROR(AVERAGEIFS(DATOS!$K$2:$K$20000,DATOS!$A$2:$A$20000,Y747,DATOS!$G$2:$G$20000,CONFIG_METADATA!$B$4,DATOS!$I$2:$I$20000,"Música de Cámara"),"")))</f>
        <v/>
      </c>
      <c r="AC747" t="str">
        <f>IF(Y747="","",IF(Y747="[FÓRMULA MANUAL]","",IFERROR(SUMPRODUCT((DATOS!$A$2:$A$20000=Y747)*(DATOS!$G$2:$G$20000=CONFIG_METADATA!$B$4)*(COUNTIF(CONFIG_ASIGNATURAS!$B$7:$B$27,DATOS!$I$2:$I$20000)&gt;0)*(DATOS!$K$2:$K$20000))/SUMPRODUCT((DATOS!$A$2:$A$20000=Y747)*(DATOS!$G$2:$G$20000=CONFIG_METADATA!$B$4)*(COUNTIF(CONFIG_ASIGNATURAS!$B$7:$B$27,DATOS!$I$2:$I$20000)&gt;0)*1),"")))</f>
        <v/>
      </c>
      <c r="AF747" t="str">
        <f>IF(AE747="","",IF(AE747="[FÓRMULA MANUAL]","",IFERROR(AVERAGEIFS(DATOS!$K$2:$K$20000,DATOS!$A$2:$A$20000,AE747,DATOS!$G$2:$G$20000,CONFIG_METADATA!$B$4,DATOS!$I$2:$I$20000,"Análisis"),"")))</f>
        <v/>
      </c>
      <c r="AG747" t="str">
        <f>IF(AE747="","",IF(AE747="[FÓRMULA MANUAL]","",IFERROR(AVERAGEIFS(DATOS!$K$2:$K$20000,DATOS!$A$2:$A$20000,AE747,DATOS!$G$2:$G$20000,CONFIG_METADATA!$B$4,DATOS!$I$2:$I$20000,"Orquesta/Banda/Conjunto"),"")))</f>
        <v/>
      </c>
      <c r="AH747" t="str">
        <f>IF(AE747="","",IF(AE747="[FÓRMULA MANUAL]","",IFERROR(AVERAGEIFS(DATOS!$K$2:$K$20000,DATOS!$A$2:$A$20000,AE747,DATOS!$G$2:$G$20000,CONFIG_METADATA!$B$4,DATOS!$I$2:$I$20000,"Música de Cámara"),"")))</f>
        <v/>
      </c>
      <c r="AI747" t="str">
        <f>IF(AE747="","",IF(AE747="[FÓRMULA MANUAL]","",IFERROR(SUMPRODUCT((DATOS!$A$2:$A$20000=AE747)*(DATOS!$G$2:$G$20000=CONFIG_METADATA!$B$4)*(COUNTIF(CONFIG_ASIGNATURAS!$B$7:$B$27,DATOS!$I$2:$I$20000)&gt;0)*(DATOS!$K$2:$K$20000))/SUMPRODUCT((DATOS!$A$2:$A$20000=AE747)*(DATOS!$G$2:$G$20000=CONFIG_METADATA!$B$4)*(COUNTIF(CONFIG_ASIGNATURAS!$B$7:$B$27,DATOS!$I$2:$I$20000)&gt;0)*1),"")))</f>
        <v/>
      </c>
    </row>
    <row r="748" spans="2:35" x14ac:dyDescent="0.2">
      <c r="B748" t="str">
        <f>IF(A748="","",IF(A748="[FÓRMULA MANUAL]","",IFERROR(AVERAGEIFS(DATOS!$K$2:$K$20000,DATOS!$A$2:$A$20000,A748,DATOS!$G$2:$G$20000,CONFIG_METADATA!$B$4,DATOS!$I$2:$I$20000,"Lenguaje Musical"),"")))</f>
        <v/>
      </c>
      <c r="C748" t="str">
        <f>IF(A748="","",IF(A748="[FÓRMULA MANUAL]","",IFERROR(AVERAGEIFS(DATOS!$K$2:$K$20000,DATOS!$A$2:$A$20000,A748,DATOS!$G$2:$G$20000,CONFIG_METADATA!$B$4,DATOS!$I$2:$I$20000,"Orquesta/Banda/Conjunto"),"")))</f>
        <v/>
      </c>
      <c r="D748" t="str">
        <f>IF(A748="","",IF(A748="[FÓRMULA MANUAL]","",IFERROR(AVERAGEIFS(DATOS!$K$2:$K$20000,DATOS!$A$2:$A$20000,A748,DATOS!$G$2:$G$20000,CONFIG_METADATA!$B$4,DATOS!$I$2:$I$20000,"Conjunto"),"")))</f>
        <v/>
      </c>
      <c r="E748" t="str">
        <f>IF(A748="","",IF(A748="[FÓRMULA MANUAL]","",IFERROR(SUMPRODUCT((DATOS!$A$2:$A$20000=A748)*(DATOS!$G$2:$G$20000=CONFIG_METADATA!$B$4)*(COUNTIF(CONFIG_ASIGNATURAS!$B$7:$B$27,DATOS!$I$2:$I$20000)&gt;0)*(DATOS!$K$2:$K$20000))/SUMPRODUCT((DATOS!$A$2:$A$20000=A748)*(DATOS!$G$2:$G$20000=CONFIG_METADATA!$B$4)*(COUNTIF(CONFIG_ASIGNATURAS!$B$7:$B$27,DATOS!$I$2:$I$20000)&gt;0)*1),"")))</f>
        <v/>
      </c>
      <c r="H748" t="str">
        <f>IF(G748="","",IF(G748="[FÓRMULA MANUAL]","",IFERROR(AVERAGEIFS(DATOS!$K$2:$K$20000,DATOS!$A$2:$A$20000,G748,DATOS!$G$2:$G$20000,CONFIG_METADATA!$B$4,DATOS!$I$2:$I$20000,"Lenguaje Musical"),"")))</f>
        <v/>
      </c>
      <c r="I748" t="str">
        <f>IF(G748="","",IF(G748="[FÓRMULA MANUAL]","",IFERROR(AVERAGEIFS(DATOS!$K$2:$K$20000,DATOS!$A$2:$A$20000,G748,DATOS!$G$2:$G$20000,CONFIG_METADATA!$B$4,DATOS!$I$2:$I$20000,"Orquesta/Banda/Conjunto"),"")))</f>
        <v/>
      </c>
      <c r="J748" t="str">
        <f>IF(G748="","",IF(G748="[FÓRMULA MANUAL]","",IFERROR(AVERAGEIFS(DATOS!$K$2:$K$20000,DATOS!$A$2:$A$20000,G748,DATOS!$G$2:$G$20000,CONFIG_METADATA!$B$4,DATOS!$I$2:$I$20000,"Conjunto"),"")))</f>
        <v/>
      </c>
      <c r="K748" t="str">
        <f>IF(G748="","",IF(G748="[FÓRMULA MANUAL]","",IFERROR(SUMPRODUCT((DATOS!$A$2:$A$20000=G748)*(DATOS!$G$2:$G$20000=CONFIG_METADATA!$B$4)*(COUNTIF(CONFIG_ASIGNATURAS!$B$7:$B$27,DATOS!$I$2:$I$20000)&gt;0)*(DATOS!$K$2:$K$20000))/SUMPRODUCT((DATOS!$A$2:$A$20000=G748)*(DATOS!$G$2:$G$20000=CONFIG_METADATA!$B$4)*(COUNTIF(CONFIG_ASIGNATURAS!$B$7:$B$27,DATOS!$I$2:$I$20000)&gt;0)*1),"")))</f>
        <v/>
      </c>
      <c r="N748" t="str">
        <f>IF(M748="","",IF(M748="[FÓRMULA MANUAL]","",IFERROR(AVERAGEIFS(DATOS!$K$2:$K$20000,DATOS!$A$2:$A$20000,M748,DATOS!$G$2:$G$20000,CONFIG_METADATA!$B$4,DATOS!$I$2:$I$20000,"Armonía"),"")))</f>
        <v/>
      </c>
      <c r="O748" t="str">
        <f>IF(M748="","",IF(M748="[FÓRMULA MANUAL]","",IFERROR(AVERAGEIFS(DATOS!$K$2:$K$20000,DATOS!$A$2:$A$20000,M748,DATOS!$G$2:$G$20000,CONFIG_METADATA!$B$4,DATOS!$I$2:$I$20000,"Orquesta/Banda/Conjunto"),"")))</f>
        <v/>
      </c>
      <c r="P748" t="str">
        <f>IF(M748="","",IF(M748="[FÓRMULA MANUAL]","",IFERROR(AVERAGEIFS(DATOS!$K$2:$K$20000,DATOS!$A$2:$A$20000,M748,DATOS!$G$2:$G$20000,CONFIG_METADATA!$B$4,DATOS!$I$2:$I$20000,"Música de Cámara"),"")))</f>
        <v/>
      </c>
      <c r="Q748" t="str">
        <f>IF(M748="","",IF(M748="[FÓRMULA MANUAL]","",IFERROR(SUMPRODUCT((DATOS!$A$2:$A$20000=M748)*(DATOS!$G$2:$G$20000=CONFIG_METADATA!$B$4)*(COUNTIF(CONFIG_ASIGNATURAS!$B$7:$B$27,DATOS!$I$2:$I$20000)&gt;0)*(DATOS!$K$2:$K$20000))/SUMPRODUCT((DATOS!$A$2:$A$20000=M748)*(DATOS!$G$2:$G$20000=CONFIG_METADATA!$B$4)*(COUNTIF(CONFIG_ASIGNATURAS!$B$7:$B$27,DATOS!$I$2:$I$20000)&gt;0)*1),"")))</f>
        <v/>
      </c>
      <c r="T748" t="str">
        <f>IF(S748="","",IF(S748="[FÓRMULA MANUAL]","",IFERROR(AVERAGEIFS(DATOS!$K$2:$K$20000,DATOS!$A$2:$A$20000,S748,DATOS!$G$2:$G$20000,CONFIG_METADATA!$B$4,DATOS!$I$2:$I$20000,"Armonía"),"")))</f>
        <v/>
      </c>
      <c r="U748" t="str">
        <f>IF(S748="","",IF(S748="[FÓRMULA MANUAL]","",IFERROR(AVERAGEIFS(DATOS!$K$2:$K$20000,DATOS!$A$2:$A$20000,S748,DATOS!$G$2:$G$20000,CONFIG_METADATA!$B$4,DATOS!$I$2:$I$20000,"Orquesta/Banda/Conjunto"),"")))</f>
        <v/>
      </c>
      <c r="V748" t="str">
        <f>IF(S748="","",IF(S748="[FÓRMULA MANUAL]","",IFERROR(AVERAGEIFS(DATOS!$K$2:$K$20000,DATOS!$A$2:$A$20000,S748,DATOS!$G$2:$G$20000,CONFIG_METADATA!$B$4,DATOS!$I$2:$I$20000,"Música de Cámara"),"")))</f>
        <v/>
      </c>
      <c r="W748" t="str">
        <f>IF(S748="","",IF(S748="[FÓRMULA MANUAL]","",IFERROR(SUMPRODUCT((DATOS!$A$2:$A$20000=S748)*(DATOS!$G$2:$G$20000=CONFIG_METADATA!$B$4)*(COUNTIF(CONFIG_ASIGNATURAS!$B$7:$B$27,DATOS!$I$2:$I$20000)&gt;0)*(DATOS!$K$2:$K$20000))/SUMPRODUCT((DATOS!$A$2:$A$20000=S748)*(DATOS!$G$2:$G$20000=CONFIG_METADATA!$B$4)*(COUNTIF(CONFIG_ASIGNATURAS!$B$7:$B$27,DATOS!$I$2:$I$20000)&gt;0)*1),"")))</f>
        <v/>
      </c>
      <c r="Z748" t="str">
        <f>IF(Y748="","",IF(Y748="[FÓRMULA MANUAL]","",IFERROR(AVERAGEIFS(DATOS!$K$2:$K$20000,DATOS!$A$2:$A$20000,Y748,DATOS!$G$2:$G$20000,CONFIG_METADATA!$B$4,DATOS!$I$2:$I$20000,"Análisis"),"")))</f>
        <v/>
      </c>
      <c r="AA748" t="str">
        <f>IF(Y748="","",IF(Y748="[FÓRMULA MANUAL]","",IFERROR(AVERAGEIFS(DATOS!$K$2:$K$20000,DATOS!$A$2:$A$20000,Y748,DATOS!$G$2:$G$20000,CONFIG_METADATA!$B$4,DATOS!$I$2:$I$20000,"Orquesta/Banda/Conjunto"),"")))</f>
        <v/>
      </c>
      <c r="AB748" t="str">
        <f>IF(Y748="","",IF(Y748="[FÓRMULA MANUAL]","",IFERROR(AVERAGEIFS(DATOS!$K$2:$K$20000,DATOS!$A$2:$A$20000,Y748,DATOS!$G$2:$G$20000,CONFIG_METADATA!$B$4,DATOS!$I$2:$I$20000,"Música de Cámara"),"")))</f>
        <v/>
      </c>
      <c r="AC748" t="str">
        <f>IF(Y748="","",IF(Y748="[FÓRMULA MANUAL]","",IFERROR(SUMPRODUCT((DATOS!$A$2:$A$20000=Y748)*(DATOS!$G$2:$G$20000=CONFIG_METADATA!$B$4)*(COUNTIF(CONFIG_ASIGNATURAS!$B$7:$B$27,DATOS!$I$2:$I$20000)&gt;0)*(DATOS!$K$2:$K$20000))/SUMPRODUCT((DATOS!$A$2:$A$20000=Y748)*(DATOS!$G$2:$G$20000=CONFIG_METADATA!$B$4)*(COUNTIF(CONFIG_ASIGNATURAS!$B$7:$B$27,DATOS!$I$2:$I$20000)&gt;0)*1),"")))</f>
        <v/>
      </c>
      <c r="AF748" t="str">
        <f>IF(AE748="","",IF(AE748="[FÓRMULA MANUAL]","",IFERROR(AVERAGEIFS(DATOS!$K$2:$K$20000,DATOS!$A$2:$A$20000,AE748,DATOS!$G$2:$G$20000,CONFIG_METADATA!$B$4,DATOS!$I$2:$I$20000,"Análisis"),"")))</f>
        <v/>
      </c>
      <c r="AG748" t="str">
        <f>IF(AE748="","",IF(AE748="[FÓRMULA MANUAL]","",IFERROR(AVERAGEIFS(DATOS!$K$2:$K$20000,DATOS!$A$2:$A$20000,AE748,DATOS!$G$2:$G$20000,CONFIG_METADATA!$B$4,DATOS!$I$2:$I$20000,"Orquesta/Banda/Conjunto"),"")))</f>
        <v/>
      </c>
      <c r="AH748" t="str">
        <f>IF(AE748="","",IF(AE748="[FÓRMULA MANUAL]","",IFERROR(AVERAGEIFS(DATOS!$K$2:$K$20000,DATOS!$A$2:$A$20000,AE748,DATOS!$G$2:$G$20000,CONFIG_METADATA!$B$4,DATOS!$I$2:$I$20000,"Música de Cámara"),"")))</f>
        <v/>
      </c>
      <c r="AI748" t="str">
        <f>IF(AE748="","",IF(AE748="[FÓRMULA MANUAL]","",IFERROR(SUMPRODUCT((DATOS!$A$2:$A$20000=AE748)*(DATOS!$G$2:$G$20000=CONFIG_METADATA!$B$4)*(COUNTIF(CONFIG_ASIGNATURAS!$B$7:$B$27,DATOS!$I$2:$I$20000)&gt;0)*(DATOS!$K$2:$K$20000))/SUMPRODUCT((DATOS!$A$2:$A$20000=AE748)*(DATOS!$G$2:$G$20000=CONFIG_METADATA!$B$4)*(COUNTIF(CONFIG_ASIGNATURAS!$B$7:$B$27,DATOS!$I$2:$I$20000)&gt;0)*1),"")))</f>
        <v/>
      </c>
    </row>
    <row r="749" spans="2:35" x14ac:dyDescent="0.2">
      <c r="B749" t="str">
        <f>IF(A749="","",IF(A749="[FÓRMULA MANUAL]","",IFERROR(AVERAGEIFS(DATOS!$K$2:$K$20000,DATOS!$A$2:$A$20000,A749,DATOS!$G$2:$G$20000,CONFIG_METADATA!$B$4,DATOS!$I$2:$I$20000,"Lenguaje Musical"),"")))</f>
        <v/>
      </c>
      <c r="C749" t="str">
        <f>IF(A749="","",IF(A749="[FÓRMULA MANUAL]","",IFERROR(AVERAGEIFS(DATOS!$K$2:$K$20000,DATOS!$A$2:$A$20000,A749,DATOS!$G$2:$G$20000,CONFIG_METADATA!$B$4,DATOS!$I$2:$I$20000,"Orquesta/Banda/Conjunto"),"")))</f>
        <v/>
      </c>
      <c r="D749" t="str">
        <f>IF(A749="","",IF(A749="[FÓRMULA MANUAL]","",IFERROR(AVERAGEIFS(DATOS!$K$2:$K$20000,DATOS!$A$2:$A$20000,A749,DATOS!$G$2:$G$20000,CONFIG_METADATA!$B$4,DATOS!$I$2:$I$20000,"Conjunto"),"")))</f>
        <v/>
      </c>
      <c r="E749" t="str">
        <f>IF(A749="","",IF(A749="[FÓRMULA MANUAL]","",IFERROR(SUMPRODUCT((DATOS!$A$2:$A$20000=A749)*(DATOS!$G$2:$G$20000=CONFIG_METADATA!$B$4)*(COUNTIF(CONFIG_ASIGNATURAS!$B$7:$B$27,DATOS!$I$2:$I$20000)&gt;0)*(DATOS!$K$2:$K$20000))/SUMPRODUCT((DATOS!$A$2:$A$20000=A749)*(DATOS!$G$2:$G$20000=CONFIG_METADATA!$B$4)*(COUNTIF(CONFIG_ASIGNATURAS!$B$7:$B$27,DATOS!$I$2:$I$20000)&gt;0)*1),"")))</f>
        <v/>
      </c>
      <c r="H749" t="str">
        <f>IF(G749="","",IF(G749="[FÓRMULA MANUAL]","",IFERROR(AVERAGEIFS(DATOS!$K$2:$K$20000,DATOS!$A$2:$A$20000,G749,DATOS!$G$2:$G$20000,CONFIG_METADATA!$B$4,DATOS!$I$2:$I$20000,"Lenguaje Musical"),"")))</f>
        <v/>
      </c>
      <c r="I749" t="str">
        <f>IF(G749="","",IF(G749="[FÓRMULA MANUAL]","",IFERROR(AVERAGEIFS(DATOS!$K$2:$K$20000,DATOS!$A$2:$A$20000,G749,DATOS!$G$2:$G$20000,CONFIG_METADATA!$B$4,DATOS!$I$2:$I$20000,"Orquesta/Banda/Conjunto"),"")))</f>
        <v/>
      </c>
      <c r="J749" t="str">
        <f>IF(G749="","",IF(G749="[FÓRMULA MANUAL]","",IFERROR(AVERAGEIFS(DATOS!$K$2:$K$20000,DATOS!$A$2:$A$20000,G749,DATOS!$G$2:$G$20000,CONFIG_METADATA!$B$4,DATOS!$I$2:$I$20000,"Conjunto"),"")))</f>
        <v/>
      </c>
      <c r="K749" t="str">
        <f>IF(G749="","",IF(G749="[FÓRMULA MANUAL]","",IFERROR(SUMPRODUCT((DATOS!$A$2:$A$20000=G749)*(DATOS!$G$2:$G$20000=CONFIG_METADATA!$B$4)*(COUNTIF(CONFIG_ASIGNATURAS!$B$7:$B$27,DATOS!$I$2:$I$20000)&gt;0)*(DATOS!$K$2:$K$20000))/SUMPRODUCT((DATOS!$A$2:$A$20000=G749)*(DATOS!$G$2:$G$20000=CONFIG_METADATA!$B$4)*(COUNTIF(CONFIG_ASIGNATURAS!$B$7:$B$27,DATOS!$I$2:$I$20000)&gt;0)*1),"")))</f>
        <v/>
      </c>
      <c r="N749" t="str">
        <f>IF(M749="","",IF(M749="[FÓRMULA MANUAL]","",IFERROR(AVERAGEIFS(DATOS!$K$2:$K$20000,DATOS!$A$2:$A$20000,M749,DATOS!$G$2:$G$20000,CONFIG_METADATA!$B$4,DATOS!$I$2:$I$20000,"Armonía"),"")))</f>
        <v/>
      </c>
      <c r="O749" t="str">
        <f>IF(M749="","",IF(M749="[FÓRMULA MANUAL]","",IFERROR(AVERAGEIFS(DATOS!$K$2:$K$20000,DATOS!$A$2:$A$20000,M749,DATOS!$G$2:$G$20000,CONFIG_METADATA!$B$4,DATOS!$I$2:$I$20000,"Orquesta/Banda/Conjunto"),"")))</f>
        <v/>
      </c>
      <c r="P749" t="str">
        <f>IF(M749="","",IF(M749="[FÓRMULA MANUAL]","",IFERROR(AVERAGEIFS(DATOS!$K$2:$K$20000,DATOS!$A$2:$A$20000,M749,DATOS!$G$2:$G$20000,CONFIG_METADATA!$B$4,DATOS!$I$2:$I$20000,"Música de Cámara"),"")))</f>
        <v/>
      </c>
      <c r="Q749" t="str">
        <f>IF(M749="","",IF(M749="[FÓRMULA MANUAL]","",IFERROR(SUMPRODUCT((DATOS!$A$2:$A$20000=M749)*(DATOS!$G$2:$G$20000=CONFIG_METADATA!$B$4)*(COUNTIF(CONFIG_ASIGNATURAS!$B$7:$B$27,DATOS!$I$2:$I$20000)&gt;0)*(DATOS!$K$2:$K$20000))/SUMPRODUCT((DATOS!$A$2:$A$20000=M749)*(DATOS!$G$2:$G$20000=CONFIG_METADATA!$B$4)*(COUNTIF(CONFIG_ASIGNATURAS!$B$7:$B$27,DATOS!$I$2:$I$20000)&gt;0)*1),"")))</f>
        <v/>
      </c>
      <c r="T749" t="str">
        <f>IF(S749="","",IF(S749="[FÓRMULA MANUAL]","",IFERROR(AVERAGEIFS(DATOS!$K$2:$K$20000,DATOS!$A$2:$A$20000,S749,DATOS!$G$2:$G$20000,CONFIG_METADATA!$B$4,DATOS!$I$2:$I$20000,"Armonía"),"")))</f>
        <v/>
      </c>
      <c r="U749" t="str">
        <f>IF(S749="","",IF(S749="[FÓRMULA MANUAL]","",IFERROR(AVERAGEIFS(DATOS!$K$2:$K$20000,DATOS!$A$2:$A$20000,S749,DATOS!$G$2:$G$20000,CONFIG_METADATA!$B$4,DATOS!$I$2:$I$20000,"Orquesta/Banda/Conjunto"),"")))</f>
        <v/>
      </c>
      <c r="V749" t="str">
        <f>IF(S749="","",IF(S749="[FÓRMULA MANUAL]","",IFERROR(AVERAGEIFS(DATOS!$K$2:$K$20000,DATOS!$A$2:$A$20000,S749,DATOS!$G$2:$G$20000,CONFIG_METADATA!$B$4,DATOS!$I$2:$I$20000,"Música de Cámara"),"")))</f>
        <v/>
      </c>
      <c r="W749" t="str">
        <f>IF(S749="","",IF(S749="[FÓRMULA MANUAL]","",IFERROR(SUMPRODUCT((DATOS!$A$2:$A$20000=S749)*(DATOS!$G$2:$G$20000=CONFIG_METADATA!$B$4)*(COUNTIF(CONFIG_ASIGNATURAS!$B$7:$B$27,DATOS!$I$2:$I$20000)&gt;0)*(DATOS!$K$2:$K$20000))/SUMPRODUCT((DATOS!$A$2:$A$20000=S749)*(DATOS!$G$2:$G$20000=CONFIG_METADATA!$B$4)*(COUNTIF(CONFIG_ASIGNATURAS!$B$7:$B$27,DATOS!$I$2:$I$20000)&gt;0)*1),"")))</f>
        <v/>
      </c>
      <c r="Z749" t="str">
        <f>IF(Y749="","",IF(Y749="[FÓRMULA MANUAL]","",IFERROR(AVERAGEIFS(DATOS!$K$2:$K$20000,DATOS!$A$2:$A$20000,Y749,DATOS!$G$2:$G$20000,CONFIG_METADATA!$B$4,DATOS!$I$2:$I$20000,"Análisis"),"")))</f>
        <v/>
      </c>
      <c r="AA749" t="str">
        <f>IF(Y749="","",IF(Y749="[FÓRMULA MANUAL]","",IFERROR(AVERAGEIFS(DATOS!$K$2:$K$20000,DATOS!$A$2:$A$20000,Y749,DATOS!$G$2:$G$20000,CONFIG_METADATA!$B$4,DATOS!$I$2:$I$20000,"Orquesta/Banda/Conjunto"),"")))</f>
        <v/>
      </c>
      <c r="AB749" t="str">
        <f>IF(Y749="","",IF(Y749="[FÓRMULA MANUAL]","",IFERROR(AVERAGEIFS(DATOS!$K$2:$K$20000,DATOS!$A$2:$A$20000,Y749,DATOS!$G$2:$G$20000,CONFIG_METADATA!$B$4,DATOS!$I$2:$I$20000,"Música de Cámara"),"")))</f>
        <v/>
      </c>
      <c r="AC749" t="str">
        <f>IF(Y749="","",IF(Y749="[FÓRMULA MANUAL]","",IFERROR(SUMPRODUCT((DATOS!$A$2:$A$20000=Y749)*(DATOS!$G$2:$G$20000=CONFIG_METADATA!$B$4)*(COUNTIF(CONFIG_ASIGNATURAS!$B$7:$B$27,DATOS!$I$2:$I$20000)&gt;0)*(DATOS!$K$2:$K$20000))/SUMPRODUCT((DATOS!$A$2:$A$20000=Y749)*(DATOS!$G$2:$G$20000=CONFIG_METADATA!$B$4)*(COUNTIF(CONFIG_ASIGNATURAS!$B$7:$B$27,DATOS!$I$2:$I$20000)&gt;0)*1),"")))</f>
        <v/>
      </c>
      <c r="AF749" t="str">
        <f>IF(AE749="","",IF(AE749="[FÓRMULA MANUAL]","",IFERROR(AVERAGEIFS(DATOS!$K$2:$K$20000,DATOS!$A$2:$A$20000,AE749,DATOS!$G$2:$G$20000,CONFIG_METADATA!$B$4,DATOS!$I$2:$I$20000,"Análisis"),"")))</f>
        <v/>
      </c>
      <c r="AG749" t="str">
        <f>IF(AE749="","",IF(AE749="[FÓRMULA MANUAL]","",IFERROR(AVERAGEIFS(DATOS!$K$2:$K$20000,DATOS!$A$2:$A$20000,AE749,DATOS!$G$2:$G$20000,CONFIG_METADATA!$B$4,DATOS!$I$2:$I$20000,"Orquesta/Banda/Conjunto"),"")))</f>
        <v/>
      </c>
      <c r="AH749" t="str">
        <f>IF(AE749="","",IF(AE749="[FÓRMULA MANUAL]","",IFERROR(AVERAGEIFS(DATOS!$K$2:$K$20000,DATOS!$A$2:$A$20000,AE749,DATOS!$G$2:$G$20000,CONFIG_METADATA!$B$4,DATOS!$I$2:$I$20000,"Música de Cámara"),"")))</f>
        <v/>
      </c>
      <c r="AI749" t="str">
        <f>IF(AE749="","",IF(AE749="[FÓRMULA MANUAL]","",IFERROR(SUMPRODUCT((DATOS!$A$2:$A$20000=AE749)*(DATOS!$G$2:$G$20000=CONFIG_METADATA!$B$4)*(COUNTIF(CONFIG_ASIGNATURAS!$B$7:$B$27,DATOS!$I$2:$I$20000)&gt;0)*(DATOS!$K$2:$K$20000))/SUMPRODUCT((DATOS!$A$2:$A$20000=AE749)*(DATOS!$G$2:$G$20000=CONFIG_METADATA!$B$4)*(COUNTIF(CONFIG_ASIGNATURAS!$B$7:$B$27,DATOS!$I$2:$I$20000)&gt;0)*1),"")))</f>
        <v/>
      </c>
    </row>
    <row r="750" spans="2:35" x14ac:dyDescent="0.2">
      <c r="B750" t="str">
        <f>IF(A750="","",IF(A750="[FÓRMULA MANUAL]","",IFERROR(AVERAGEIFS(DATOS!$K$2:$K$20000,DATOS!$A$2:$A$20000,A750,DATOS!$G$2:$G$20000,CONFIG_METADATA!$B$4,DATOS!$I$2:$I$20000,"Lenguaje Musical"),"")))</f>
        <v/>
      </c>
      <c r="C750" t="str">
        <f>IF(A750="","",IF(A750="[FÓRMULA MANUAL]","",IFERROR(AVERAGEIFS(DATOS!$K$2:$K$20000,DATOS!$A$2:$A$20000,A750,DATOS!$G$2:$G$20000,CONFIG_METADATA!$B$4,DATOS!$I$2:$I$20000,"Orquesta/Banda/Conjunto"),"")))</f>
        <v/>
      </c>
      <c r="D750" t="str">
        <f>IF(A750="","",IF(A750="[FÓRMULA MANUAL]","",IFERROR(AVERAGEIFS(DATOS!$K$2:$K$20000,DATOS!$A$2:$A$20000,A750,DATOS!$G$2:$G$20000,CONFIG_METADATA!$B$4,DATOS!$I$2:$I$20000,"Conjunto"),"")))</f>
        <v/>
      </c>
      <c r="E750" t="str">
        <f>IF(A750="","",IF(A750="[FÓRMULA MANUAL]","",IFERROR(SUMPRODUCT((DATOS!$A$2:$A$20000=A750)*(DATOS!$G$2:$G$20000=CONFIG_METADATA!$B$4)*(COUNTIF(CONFIG_ASIGNATURAS!$B$7:$B$27,DATOS!$I$2:$I$20000)&gt;0)*(DATOS!$K$2:$K$20000))/SUMPRODUCT((DATOS!$A$2:$A$20000=A750)*(DATOS!$G$2:$G$20000=CONFIG_METADATA!$B$4)*(COUNTIF(CONFIG_ASIGNATURAS!$B$7:$B$27,DATOS!$I$2:$I$20000)&gt;0)*1),"")))</f>
        <v/>
      </c>
      <c r="H750" t="str">
        <f>IF(G750="","",IF(G750="[FÓRMULA MANUAL]","",IFERROR(AVERAGEIFS(DATOS!$K$2:$K$20000,DATOS!$A$2:$A$20000,G750,DATOS!$G$2:$G$20000,CONFIG_METADATA!$B$4,DATOS!$I$2:$I$20000,"Lenguaje Musical"),"")))</f>
        <v/>
      </c>
      <c r="I750" t="str">
        <f>IF(G750="","",IF(G750="[FÓRMULA MANUAL]","",IFERROR(AVERAGEIFS(DATOS!$K$2:$K$20000,DATOS!$A$2:$A$20000,G750,DATOS!$G$2:$G$20000,CONFIG_METADATA!$B$4,DATOS!$I$2:$I$20000,"Orquesta/Banda/Conjunto"),"")))</f>
        <v/>
      </c>
      <c r="J750" t="str">
        <f>IF(G750="","",IF(G750="[FÓRMULA MANUAL]","",IFERROR(AVERAGEIFS(DATOS!$K$2:$K$20000,DATOS!$A$2:$A$20000,G750,DATOS!$G$2:$G$20000,CONFIG_METADATA!$B$4,DATOS!$I$2:$I$20000,"Conjunto"),"")))</f>
        <v/>
      </c>
      <c r="K750" t="str">
        <f>IF(G750="","",IF(G750="[FÓRMULA MANUAL]","",IFERROR(SUMPRODUCT((DATOS!$A$2:$A$20000=G750)*(DATOS!$G$2:$G$20000=CONFIG_METADATA!$B$4)*(COUNTIF(CONFIG_ASIGNATURAS!$B$7:$B$27,DATOS!$I$2:$I$20000)&gt;0)*(DATOS!$K$2:$K$20000))/SUMPRODUCT((DATOS!$A$2:$A$20000=G750)*(DATOS!$G$2:$G$20000=CONFIG_METADATA!$B$4)*(COUNTIF(CONFIG_ASIGNATURAS!$B$7:$B$27,DATOS!$I$2:$I$20000)&gt;0)*1),"")))</f>
        <v/>
      </c>
      <c r="N750" t="str">
        <f>IF(M750="","",IF(M750="[FÓRMULA MANUAL]","",IFERROR(AVERAGEIFS(DATOS!$K$2:$K$20000,DATOS!$A$2:$A$20000,M750,DATOS!$G$2:$G$20000,CONFIG_METADATA!$B$4,DATOS!$I$2:$I$20000,"Armonía"),"")))</f>
        <v/>
      </c>
      <c r="O750" t="str">
        <f>IF(M750="","",IF(M750="[FÓRMULA MANUAL]","",IFERROR(AVERAGEIFS(DATOS!$K$2:$K$20000,DATOS!$A$2:$A$20000,M750,DATOS!$G$2:$G$20000,CONFIG_METADATA!$B$4,DATOS!$I$2:$I$20000,"Orquesta/Banda/Conjunto"),"")))</f>
        <v/>
      </c>
      <c r="P750" t="str">
        <f>IF(M750="","",IF(M750="[FÓRMULA MANUAL]","",IFERROR(AVERAGEIFS(DATOS!$K$2:$K$20000,DATOS!$A$2:$A$20000,M750,DATOS!$G$2:$G$20000,CONFIG_METADATA!$B$4,DATOS!$I$2:$I$20000,"Música de Cámara"),"")))</f>
        <v/>
      </c>
      <c r="Q750" t="str">
        <f>IF(M750="","",IF(M750="[FÓRMULA MANUAL]","",IFERROR(SUMPRODUCT((DATOS!$A$2:$A$20000=M750)*(DATOS!$G$2:$G$20000=CONFIG_METADATA!$B$4)*(COUNTIF(CONFIG_ASIGNATURAS!$B$7:$B$27,DATOS!$I$2:$I$20000)&gt;0)*(DATOS!$K$2:$K$20000))/SUMPRODUCT((DATOS!$A$2:$A$20000=M750)*(DATOS!$G$2:$G$20000=CONFIG_METADATA!$B$4)*(COUNTIF(CONFIG_ASIGNATURAS!$B$7:$B$27,DATOS!$I$2:$I$20000)&gt;0)*1),"")))</f>
        <v/>
      </c>
      <c r="T750" t="str">
        <f>IF(S750="","",IF(S750="[FÓRMULA MANUAL]","",IFERROR(AVERAGEIFS(DATOS!$K$2:$K$20000,DATOS!$A$2:$A$20000,S750,DATOS!$G$2:$G$20000,CONFIG_METADATA!$B$4,DATOS!$I$2:$I$20000,"Armonía"),"")))</f>
        <v/>
      </c>
      <c r="U750" t="str">
        <f>IF(S750="","",IF(S750="[FÓRMULA MANUAL]","",IFERROR(AVERAGEIFS(DATOS!$K$2:$K$20000,DATOS!$A$2:$A$20000,S750,DATOS!$G$2:$G$20000,CONFIG_METADATA!$B$4,DATOS!$I$2:$I$20000,"Orquesta/Banda/Conjunto"),"")))</f>
        <v/>
      </c>
      <c r="V750" t="str">
        <f>IF(S750="","",IF(S750="[FÓRMULA MANUAL]","",IFERROR(AVERAGEIFS(DATOS!$K$2:$K$20000,DATOS!$A$2:$A$20000,S750,DATOS!$G$2:$G$20000,CONFIG_METADATA!$B$4,DATOS!$I$2:$I$20000,"Música de Cámara"),"")))</f>
        <v/>
      </c>
      <c r="W750" t="str">
        <f>IF(S750="","",IF(S750="[FÓRMULA MANUAL]","",IFERROR(SUMPRODUCT((DATOS!$A$2:$A$20000=S750)*(DATOS!$G$2:$G$20000=CONFIG_METADATA!$B$4)*(COUNTIF(CONFIG_ASIGNATURAS!$B$7:$B$27,DATOS!$I$2:$I$20000)&gt;0)*(DATOS!$K$2:$K$20000))/SUMPRODUCT((DATOS!$A$2:$A$20000=S750)*(DATOS!$G$2:$G$20000=CONFIG_METADATA!$B$4)*(COUNTIF(CONFIG_ASIGNATURAS!$B$7:$B$27,DATOS!$I$2:$I$20000)&gt;0)*1),"")))</f>
        <v/>
      </c>
      <c r="Z750" t="str">
        <f>IF(Y750="","",IF(Y750="[FÓRMULA MANUAL]","",IFERROR(AVERAGEIFS(DATOS!$K$2:$K$20000,DATOS!$A$2:$A$20000,Y750,DATOS!$G$2:$G$20000,CONFIG_METADATA!$B$4,DATOS!$I$2:$I$20000,"Análisis"),"")))</f>
        <v/>
      </c>
      <c r="AA750" t="str">
        <f>IF(Y750="","",IF(Y750="[FÓRMULA MANUAL]","",IFERROR(AVERAGEIFS(DATOS!$K$2:$K$20000,DATOS!$A$2:$A$20000,Y750,DATOS!$G$2:$G$20000,CONFIG_METADATA!$B$4,DATOS!$I$2:$I$20000,"Orquesta/Banda/Conjunto"),"")))</f>
        <v/>
      </c>
      <c r="AB750" t="str">
        <f>IF(Y750="","",IF(Y750="[FÓRMULA MANUAL]","",IFERROR(AVERAGEIFS(DATOS!$K$2:$K$20000,DATOS!$A$2:$A$20000,Y750,DATOS!$G$2:$G$20000,CONFIG_METADATA!$B$4,DATOS!$I$2:$I$20000,"Música de Cámara"),"")))</f>
        <v/>
      </c>
      <c r="AC750" t="str">
        <f>IF(Y750="","",IF(Y750="[FÓRMULA MANUAL]","",IFERROR(SUMPRODUCT((DATOS!$A$2:$A$20000=Y750)*(DATOS!$G$2:$G$20000=CONFIG_METADATA!$B$4)*(COUNTIF(CONFIG_ASIGNATURAS!$B$7:$B$27,DATOS!$I$2:$I$20000)&gt;0)*(DATOS!$K$2:$K$20000))/SUMPRODUCT((DATOS!$A$2:$A$20000=Y750)*(DATOS!$G$2:$G$20000=CONFIG_METADATA!$B$4)*(COUNTIF(CONFIG_ASIGNATURAS!$B$7:$B$27,DATOS!$I$2:$I$20000)&gt;0)*1),"")))</f>
        <v/>
      </c>
      <c r="AF750" t="str">
        <f>IF(AE750="","",IF(AE750="[FÓRMULA MANUAL]","",IFERROR(AVERAGEIFS(DATOS!$K$2:$K$20000,DATOS!$A$2:$A$20000,AE750,DATOS!$G$2:$G$20000,CONFIG_METADATA!$B$4,DATOS!$I$2:$I$20000,"Análisis"),"")))</f>
        <v/>
      </c>
      <c r="AG750" t="str">
        <f>IF(AE750="","",IF(AE750="[FÓRMULA MANUAL]","",IFERROR(AVERAGEIFS(DATOS!$K$2:$K$20000,DATOS!$A$2:$A$20000,AE750,DATOS!$G$2:$G$20000,CONFIG_METADATA!$B$4,DATOS!$I$2:$I$20000,"Orquesta/Banda/Conjunto"),"")))</f>
        <v/>
      </c>
      <c r="AH750" t="str">
        <f>IF(AE750="","",IF(AE750="[FÓRMULA MANUAL]","",IFERROR(AVERAGEIFS(DATOS!$K$2:$K$20000,DATOS!$A$2:$A$20000,AE750,DATOS!$G$2:$G$20000,CONFIG_METADATA!$B$4,DATOS!$I$2:$I$20000,"Música de Cámara"),"")))</f>
        <v/>
      </c>
      <c r="AI750" t="str">
        <f>IF(AE750="","",IF(AE750="[FÓRMULA MANUAL]","",IFERROR(SUMPRODUCT((DATOS!$A$2:$A$20000=AE750)*(DATOS!$G$2:$G$20000=CONFIG_METADATA!$B$4)*(COUNTIF(CONFIG_ASIGNATURAS!$B$7:$B$27,DATOS!$I$2:$I$20000)&gt;0)*(DATOS!$K$2:$K$20000))/SUMPRODUCT((DATOS!$A$2:$A$20000=AE750)*(DATOS!$G$2:$G$20000=CONFIG_METADATA!$B$4)*(COUNTIF(CONFIG_ASIGNATURAS!$B$7:$B$27,DATOS!$I$2:$I$20000)&gt;0)*1),"")))</f>
        <v/>
      </c>
    </row>
    <row r="751" spans="2:35" x14ac:dyDescent="0.2">
      <c r="B751" t="str">
        <f>IF(A751="","",IF(A751="[FÓRMULA MANUAL]","",IFERROR(AVERAGEIFS(DATOS!$K$2:$K$20000,DATOS!$A$2:$A$20000,A751,DATOS!$G$2:$G$20000,CONFIG_METADATA!$B$4,DATOS!$I$2:$I$20000,"Lenguaje Musical"),"")))</f>
        <v/>
      </c>
      <c r="C751" t="str">
        <f>IF(A751="","",IF(A751="[FÓRMULA MANUAL]","",IFERROR(AVERAGEIFS(DATOS!$K$2:$K$20000,DATOS!$A$2:$A$20000,A751,DATOS!$G$2:$G$20000,CONFIG_METADATA!$B$4,DATOS!$I$2:$I$20000,"Orquesta/Banda/Conjunto"),"")))</f>
        <v/>
      </c>
      <c r="D751" t="str">
        <f>IF(A751="","",IF(A751="[FÓRMULA MANUAL]","",IFERROR(AVERAGEIFS(DATOS!$K$2:$K$20000,DATOS!$A$2:$A$20000,A751,DATOS!$G$2:$G$20000,CONFIG_METADATA!$B$4,DATOS!$I$2:$I$20000,"Conjunto"),"")))</f>
        <v/>
      </c>
      <c r="E751" t="str">
        <f>IF(A751="","",IF(A751="[FÓRMULA MANUAL]","",IFERROR(SUMPRODUCT((DATOS!$A$2:$A$20000=A751)*(DATOS!$G$2:$G$20000=CONFIG_METADATA!$B$4)*(COUNTIF(CONFIG_ASIGNATURAS!$B$7:$B$27,DATOS!$I$2:$I$20000)&gt;0)*(DATOS!$K$2:$K$20000))/SUMPRODUCT((DATOS!$A$2:$A$20000=A751)*(DATOS!$G$2:$G$20000=CONFIG_METADATA!$B$4)*(COUNTIF(CONFIG_ASIGNATURAS!$B$7:$B$27,DATOS!$I$2:$I$20000)&gt;0)*1),"")))</f>
        <v/>
      </c>
      <c r="H751" t="str">
        <f>IF(G751="","",IF(G751="[FÓRMULA MANUAL]","",IFERROR(AVERAGEIFS(DATOS!$K$2:$K$20000,DATOS!$A$2:$A$20000,G751,DATOS!$G$2:$G$20000,CONFIG_METADATA!$B$4,DATOS!$I$2:$I$20000,"Lenguaje Musical"),"")))</f>
        <v/>
      </c>
      <c r="I751" t="str">
        <f>IF(G751="","",IF(G751="[FÓRMULA MANUAL]","",IFERROR(AVERAGEIFS(DATOS!$K$2:$K$20000,DATOS!$A$2:$A$20000,G751,DATOS!$G$2:$G$20000,CONFIG_METADATA!$B$4,DATOS!$I$2:$I$20000,"Orquesta/Banda/Conjunto"),"")))</f>
        <v/>
      </c>
      <c r="J751" t="str">
        <f>IF(G751="","",IF(G751="[FÓRMULA MANUAL]","",IFERROR(AVERAGEIFS(DATOS!$K$2:$K$20000,DATOS!$A$2:$A$20000,G751,DATOS!$G$2:$G$20000,CONFIG_METADATA!$B$4,DATOS!$I$2:$I$20000,"Conjunto"),"")))</f>
        <v/>
      </c>
      <c r="K751" t="str">
        <f>IF(G751="","",IF(G751="[FÓRMULA MANUAL]","",IFERROR(SUMPRODUCT((DATOS!$A$2:$A$20000=G751)*(DATOS!$G$2:$G$20000=CONFIG_METADATA!$B$4)*(COUNTIF(CONFIG_ASIGNATURAS!$B$7:$B$27,DATOS!$I$2:$I$20000)&gt;0)*(DATOS!$K$2:$K$20000))/SUMPRODUCT((DATOS!$A$2:$A$20000=G751)*(DATOS!$G$2:$G$20000=CONFIG_METADATA!$B$4)*(COUNTIF(CONFIG_ASIGNATURAS!$B$7:$B$27,DATOS!$I$2:$I$20000)&gt;0)*1),"")))</f>
        <v/>
      </c>
      <c r="N751" t="str">
        <f>IF(M751="","",IF(M751="[FÓRMULA MANUAL]","",IFERROR(AVERAGEIFS(DATOS!$K$2:$K$20000,DATOS!$A$2:$A$20000,M751,DATOS!$G$2:$G$20000,CONFIG_METADATA!$B$4,DATOS!$I$2:$I$20000,"Armonía"),"")))</f>
        <v/>
      </c>
      <c r="O751" t="str">
        <f>IF(M751="","",IF(M751="[FÓRMULA MANUAL]","",IFERROR(AVERAGEIFS(DATOS!$K$2:$K$20000,DATOS!$A$2:$A$20000,M751,DATOS!$G$2:$G$20000,CONFIG_METADATA!$B$4,DATOS!$I$2:$I$20000,"Orquesta/Banda/Conjunto"),"")))</f>
        <v/>
      </c>
      <c r="P751" t="str">
        <f>IF(M751="","",IF(M751="[FÓRMULA MANUAL]","",IFERROR(AVERAGEIFS(DATOS!$K$2:$K$20000,DATOS!$A$2:$A$20000,M751,DATOS!$G$2:$G$20000,CONFIG_METADATA!$B$4,DATOS!$I$2:$I$20000,"Música de Cámara"),"")))</f>
        <v/>
      </c>
      <c r="Q751" t="str">
        <f>IF(M751="","",IF(M751="[FÓRMULA MANUAL]","",IFERROR(SUMPRODUCT((DATOS!$A$2:$A$20000=M751)*(DATOS!$G$2:$G$20000=CONFIG_METADATA!$B$4)*(COUNTIF(CONFIG_ASIGNATURAS!$B$7:$B$27,DATOS!$I$2:$I$20000)&gt;0)*(DATOS!$K$2:$K$20000))/SUMPRODUCT((DATOS!$A$2:$A$20000=M751)*(DATOS!$G$2:$G$20000=CONFIG_METADATA!$B$4)*(COUNTIF(CONFIG_ASIGNATURAS!$B$7:$B$27,DATOS!$I$2:$I$20000)&gt;0)*1),"")))</f>
        <v/>
      </c>
      <c r="T751" t="str">
        <f>IF(S751="","",IF(S751="[FÓRMULA MANUAL]","",IFERROR(AVERAGEIFS(DATOS!$K$2:$K$20000,DATOS!$A$2:$A$20000,S751,DATOS!$G$2:$G$20000,CONFIG_METADATA!$B$4,DATOS!$I$2:$I$20000,"Armonía"),"")))</f>
        <v/>
      </c>
      <c r="U751" t="str">
        <f>IF(S751="","",IF(S751="[FÓRMULA MANUAL]","",IFERROR(AVERAGEIFS(DATOS!$K$2:$K$20000,DATOS!$A$2:$A$20000,S751,DATOS!$G$2:$G$20000,CONFIG_METADATA!$B$4,DATOS!$I$2:$I$20000,"Orquesta/Banda/Conjunto"),"")))</f>
        <v/>
      </c>
      <c r="V751" t="str">
        <f>IF(S751="","",IF(S751="[FÓRMULA MANUAL]","",IFERROR(AVERAGEIFS(DATOS!$K$2:$K$20000,DATOS!$A$2:$A$20000,S751,DATOS!$G$2:$G$20000,CONFIG_METADATA!$B$4,DATOS!$I$2:$I$20000,"Música de Cámara"),"")))</f>
        <v/>
      </c>
      <c r="W751" t="str">
        <f>IF(S751="","",IF(S751="[FÓRMULA MANUAL]","",IFERROR(SUMPRODUCT((DATOS!$A$2:$A$20000=S751)*(DATOS!$G$2:$G$20000=CONFIG_METADATA!$B$4)*(COUNTIF(CONFIG_ASIGNATURAS!$B$7:$B$27,DATOS!$I$2:$I$20000)&gt;0)*(DATOS!$K$2:$K$20000))/SUMPRODUCT((DATOS!$A$2:$A$20000=S751)*(DATOS!$G$2:$G$20000=CONFIG_METADATA!$B$4)*(COUNTIF(CONFIG_ASIGNATURAS!$B$7:$B$27,DATOS!$I$2:$I$20000)&gt;0)*1),"")))</f>
        <v/>
      </c>
      <c r="Z751" t="str">
        <f>IF(Y751="","",IF(Y751="[FÓRMULA MANUAL]","",IFERROR(AVERAGEIFS(DATOS!$K$2:$K$20000,DATOS!$A$2:$A$20000,Y751,DATOS!$G$2:$G$20000,CONFIG_METADATA!$B$4,DATOS!$I$2:$I$20000,"Análisis"),"")))</f>
        <v/>
      </c>
      <c r="AA751" t="str">
        <f>IF(Y751="","",IF(Y751="[FÓRMULA MANUAL]","",IFERROR(AVERAGEIFS(DATOS!$K$2:$K$20000,DATOS!$A$2:$A$20000,Y751,DATOS!$G$2:$G$20000,CONFIG_METADATA!$B$4,DATOS!$I$2:$I$20000,"Orquesta/Banda/Conjunto"),"")))</f>
        <v/>
      </c>
      <c r="AB751" t="str">
        <f>IF(Y751="","",IF(Y751="[FÓRMULA MANUAL]","",IFERROR(AVERAGEIFS(DATOS!$K$2:$K$20000,DATOS!$A$2:$A$20000,Y751,DATOS!$G$2:$G$20000,CONFIG_METADATA!$B$4,DATOS!$I$2:$I$20000,"Música de Cámara"),"")))</f>
        <v/>
      </c>
      <c r="AC751" t="str">
        <f>IF(Y751="","",IF(Y751="[FÓRMULA MANUAL]","",IFERROR(SUMPRODUCT((DATOS!$A$2:$A$20000=Y751)*(DATOS!$G$2:$G$20000=CONFIG_METADATA!$B$4)*(COUNTIF(CONFIG_ASIGNATURAS!$B$7:$B$27,DATOS!$I$2:$I$20000)&gt;0)*(DATOS!$K$2:$K$20000))/SUMPRODUCT((DATOS!$A$2:$A$20000=Y751)*(DATOS!$G$2:$G$20000=CONFIG_METADATA!$B$4)*(COUNTIF(CONFIG_ASIGNATURAS!$B$7:$B$27,DATOS!$I$2:$I$20000)&gt;0)*1),"")))</f>
        <v/>
      </c>
      <c r="AF751" t="str">
        <f>IF(AE751="","",IF(AE751="[FÓRMULA MANUAL]","",IFERROR(AVERAGEIFS(DATOS!$K$2:$K$20000,DATOS!$A$2:$A$20000,AE751,DATOS!$G$2:$G$20000,CONFIG_METADATA!$B$4,DATOS!$I$2:$I$20000,"Análisis"),"")))</f>
        <v/>
      </c>
      <c r="AG751" t="str">
        <f>IF(AE751="","",IF(AE751="[FÓRMULA MANUAL]","",IFERROR(AVERAGEIFS(DATOS!$K$2:$K$20000,DATOS!$A$2:$A$20000,AE751,DATOS!$G$2:$G$20000,CONFIG_METADATA!$B$4,DATOS!$I$2:$I$20000,"Orquesta/Banda/Conjunto"),"")))</f>
        <v/>
      </c>
      <c r="AH751" t="str">
        <f>IF(AE751="","",IF(AE751="[FÓRMULA MANUAL]","",IFERROR(AVERAGEIFS(DATOS!$K$2:$K$20000,DATOS!$A$2:$A$20000,AE751,DATOS!$G$2:$G$20000,CONFIG_METADATA!$B$4,DATOS!$I$2:$I$20000,"Música de Cámara"),"")))</f>
        <v/>
      </c>
      <c r="AI751" t="str">
        <f>IF(AE751="","",IF(AE751="[FÓRMULA MANUAL]","",IFERROR(SUMPRODUCT((DATOS!$A$2:$A$20000=AE751)*(DATOS!$G$2:$G$20000=CONFIG_METADATA!$B$4)*(COUNTIF(CONFIG_ASIGNATURAS!$B$7:$B$27,DATOS!$I$2:$I$20000)&gt;0)*(DATOS!$K$2:$K$20000))/SUMPRODUCT((DATOS!$A$2:$A$20000=AE751)*(DATOS!$G$2:$G$20000=CONFIG_METADATA!$B$4)*(COUNTIF(CONFIG_ASIGNATURAS!$B$7:$B$27,DATOS!$I$2:$I$20000)&gt;0)*1),"")))</f>
        <v/>
      </c>
    </row>
    <row r="752" spans="2:35" x14ac:dyDescent="0.2">
      <c r="B752" t="str">
        <f>IF(A752="","",IF(A752="[FÓRMULA MANUAL]","",IFERROR(AVERAGEIFS(DATOS!$K$2:$K$20000,DATOS!$A$2:$A$20000,A752,DATOS!$G$2:$G$20000,CONFIG_METADATA!$B$4,DATOS!$I$2:$I$20000,"Lenguaje Musical"),"")))</f>
        <v/>
      </c>
      <c r="C752" t="str">
        <f>IF(A752="","",IF(A752="[FÓRMULA MANUAL]","",IFERROR(AVERAGEIFS(DATOS!$K$2:$K$20000,DATOS!$A$2:$A$20000,A752,DATOS!$G$2:$G$20000,CONFIG_METADATA!$B$4,DATOS!$I$2:$I$20000,"Orquesta/Banda/Conjunto"),"")))</f>
        <v/>
      </c>
      <c r="D752" t="str">
        <f>IF(A752="","",IF(A752="[FÓRMULA MANUAL]","",IFERROR(AVERAGEIFS(DATOS!$K$2:$K$20000,DATOS!$A$2:$A$20000,A752,DATOS!$G$2:$G$20000,CONFIG_METADATA!$B$4,DATOS!$I$2:$I$20000,"Conjunto"),"")))</f>
        <v/>
      </c>
      <c r="E752" t="str">
        <f>IF(A752="","",IF(A752="[FÓRMULA MANUAL]","",IFERROR(SUMPRODUCT((DATOS!$A$2:$A$20000=A752)*(DATOS!$G$2:$G$20000=CONFIG_METADATA!$B$4)*(COUNTIF(CONFIG_ASIGNATURAS!$B$7:$B$27,DATOS!$I$2:$I$20000)&gt;0)*(DATOS!$K$2:$K$20000))/SUMPRODUCT((DATOS!$A$2:$A$20000=A752)*(DATOS!$G$2:$G$20000=CONFIG_METADATA!$B$4)*(COUNTIF(CONFIG_ASIGNATURAS!$B$7:$B$27,DATOS!$I$2:$I$20000)&gt;0)*1),"")))</f>
        <v/>
      </c>
      <c r="H752" t="str">
        <f>IF(G752="","",IF(G752="[FÓRMULA MANUAL]","",IFERROR(AVERAGEIFS(DATOS!$K$2:$K$20000,DATOS!$A$2:$A$20000,G752,DATOS!$G$2:$G$20000,CONFIG_METADATA!$B$4,DATOS!$I$2:$I$20000,"Lenguaje Musical"),"")))</f>
        <v/>
      </c>
      <c r="I752" t="str">
        <f>IF(G752="","",IF(G752="[FÓRMULA MANUAL]","",IFERROR(AVERAGEIFS(DATOS!$K$2:$K$20000,DATOS!$A$2:$A$20000,G752,DATOS!$G$2:$G$20000,CONFIG_METADATA!$B$4,DATOS!$I$2:$I$20000,"Orquesta/Banda/Conjunto"),"")))</f>
        <v/>
      </c>
      <c r="J752" t="str">
        <f>IF(G752="","",IF(G752="[FÓRMULA MANUAL]","",IFERROR(AVERAGEIFS(DATOS!$K$2:$K$20000,DATOS!$A$2:$A$20000,G752,DATOS!$G$2:$G$20000,CONFIG_METADATA!$B$4,DATOS!$I$2:$I$20000,"Conjunto"),"")))</f>
        <v/>
      </c>
      <c r="K752" t="str">
        <f>IF(G752="","",IF(G752="[FÓRMULA MANUAL]","",IFERROR(SUMPRODUCT((DATOS!$A$2:$A$20000=G752)*(DATOS!$G$2:$G$20000=CONFIG_METADATA!$B$4)*(COUNTIF(CONFIG_ASIGNATURAS!$B$7:$B$27,DATOS!$I$2:$I$20000)&gt;0)*(DATOS!$K$2:$K$20000))/SUMPRODUCT((DATOS!$A$2:$A$20000=G752)*(DATOS!$G$2:$G$20000=CONFIG_METADATA!$B$4)*(COUNTIF(CONFIG_ASIGNATURAS!$B$7:$B$27,DATOS!$I$2:$I$20000)&gt;0)*1),"")))</f>
        <v/>
      </c>
      <c r="N752" t="str">
        <f>IF(M752="","",IF(M752="[FÓRMULA MANUAL]","",IFERROR(AVERAGEIFS(DATOS!$K$2:$K$20000,DATOS!$A$2:$A$20000,M752,DATOS!$G$2:$G$20000,CONFIG_METADATA!$B$4,DATOS!$I$2:$I$20000,"Armonía"),"")))</f>
        <v/>
      </c>
      <c r="O752" t="str">
        <f>IF(M752="","",IF(M752="[FÓRMULA MANUAL]","",IFERROR(AVERAGEIFS(DATOS!$K$2:$K$20000,DATOS!$A$2:$A$20000,M752,DATOS!$G$2:$G$20000,CONFIG_METADATA!$B$4,DATOS!$I$2:$I$20000,"Orquesta/Banda/Conjunto"),"")))</f>
        <v/>
      </c>
      <c r="P752" t="str">
        <f>IF(M752="","",IF(M752="[FÓRMULA MANUAL]","",IFERROR(AVERAGEIFS(DATOS!$K$2:$K$20000,DATOS!$A$2:$A$20000,M752,DATOS!$G$2:$G$20000,CONFIG_METADATA!$B$4,DATOS!$I$2:$I$20000,"Música de Cámara"),"")))</f>
        <v/>
      </c>
      <c r="Q752" t="str">
        <f>IF(M752="","",IF(M752="[FÓRMULA MANUAL]","",IFERROR(SUMPRODUCT((DATOS!$A$2:$A$20000=M752)*(DATOS!$G$2:$G$20000=CONFIG_METADATA!$B$4)*(COUNTIF(CONFIG_ASIGNATURAS!$B$7:$B$27,DATOS!$I$2:$I$20000)&gt;0)*(DATOS!$K$2:$K$20000))/SUMPRODUCT((DATOS!$A$2:$A$20000=M752)*(DATOS!$G$2:$G$20000=CONFIG_METADATA!$B$4)*(COUNTIF(CONFIG_ASIGNATURAS!$B$7:$B$27,DATOS!$I$2:$I$20000)&gt;0)*1),"")))</f>
        <v/>
      </c>
      <c r="T752" t="str">
        <f>IF(S752="","",IF(S752="[FÓRMULA MANUAL]","",IFERROR(AVERAGEIFS(DATOS!$K$2:$K$20000,DATOS!$A$2:$A$20000,S752,DATOS!$G$2:$G$20000,CONFIG_METADATA!$B$4,DATOS!$I$2:$I$20000,"Armonía"),"")))</f>
        <v/>
      </c>
      <c r="U752" t="str">
        <f>IF(S752="","",IF(S752="[FÓRMULA MANUAL]","",IFERROR(AVERAGEIFS(DATOS!$K$2:$K$20000,DATOS!$A$2:$A$20000,S752,DATOS!$G$2:$G$20000,CONFIG_METADATA!$B$4,DATOS!$I$2:$I$20000,"Orquesta/Banda/Conjunto"),"")))</f>
        <v/>
      </c>
      <c r="V752" t="str">
        <f>IF(S752="","",IF(S752="[FÓRMULA MANUAL]","",IFERROR(AVERAGEIFS(DATOS!$K$2:$K$20000,DATOS!$A$2:$A$20000,S752,DATOS!$G$2:$G$20000,CONFIG_METADATA!$B$4,DATOS!$I$2:$I$20000,"Música de Cámara"),"")))</f>
        <v/>
      </c>
      <c r="W752" t="str">
        <f>IF(S752="","",IF(S752="[FÓRMULA MANUAL]","",IFERROR(SUMPRODUCT((DATOS!$A$2:$A$20000=S752)*(DATOS!$G$2:$G$20000=CONFIG_METADATA!$B$4)*(COUNTIF(CONFIG_ASIGNATURAS!$B$7:$B$27,DATOS!$I$2:$I$20000)&gt;0)*(DATOS!$K$2:$K$20000))/SUMPRODUCT((DATOS!$A$2:$A$20000=S752)*(DATOS!$G$2:$G$20000=CONFIG_METADATA!$B$4)*(COUNTIF(CONFIG_ASIGNATURAS!$B$7:$B$27,DATOS!$I$2:$I$20000)&gt;0)*1),"")))</f>
        <v/>
      </c>
      <c r="Z752" t="str">
        <f>IF(Y752="","",IF(Y752="[FÓRMULA MANUAL]","",IFERROR(AVERAGEIFS(DATOS!$K$2:$K$20000,DATOS!$A$2:$A$20000,Y752,DATOS!$G$2:$G$20000,CONFIG_METADATA!$B$4,DATOS!$I$2:$I$20000,"Análisis"),"")))</f>
        <v/>
      </c>
      <c r="AA752" t="str">
        <f>IF(Y752="","",IF(Y752="[FÓRMULA MANUAL]","",IFERROR(AVERAGEIFS(DATOS!$K$2:$K$20000,DATOS!$A$2:$A$20000,Y752,DATOS!$G$2:$G$20000,CONFIG_METADATA!$B$4,DATOS!$I$2:$I$20000,"Orquesta/Banda/Conjunto"),"")))</f>
        <v/>
      </c>
      <c r="AB752" t="str">
        <f>IF(Y752="","",IF(Y752="[FÓRMULA MANUAL]","",IFERROR(AVERAGEIFS(DATOS!$K$2:$K$20000,DATOS!$A$2:$A$20000,Y752,DATOS!$G$2:$G$20000,CONFIG_METADATA!$B$4,DATOS!$I$2:$I$20000,"Música de Cámara"),"")))</f>
        <v/>
      </c>
      <c r="AC752" t="str">
        <f>IF(Y752="","",IF(Y752="[FÓRMULA MANUAL]","",IFERROR(SUMPRODUCT((DATOS!$A$2:$A$20000=Y752)*(DATOS!$G$2:$G$20000=CONFIG_METADATA!$B$4)*(COUNTIF(CONFIG_ASIGNATURAS!$B$7:$B$27,DATOS!$I$2:$I$20000)&gt;0)*(DATOS!$K$2:$K$20000))/SUMPRODUCT((DATOS!$A$2:$A$20000=Y752)*(DATOS!$G$2:$G$20000=CONFIG_METADATA!$B$4)*(COUNTIF(CONFIG_ASIGNATURAS!$B$7:$B$27,DATOS!$I$2:$I$20000)&gt;0)*1),"")))</f>
        <v/>
      </c>
      <c r="AF752" t="str">
        <f>IF(AE752="","",IF(AE752="[FÓRMULA MANUAL]","",IFERROR(AVERAGEIFS(DATOS!$K$2:$K$20000,DATOS!$A$2:$A$20000,AE752,DATOS!$G$2:$G$20000,CONFIG_METADATA!$B$4,DATOS!$I$2:$I$20000,"Análisis"),"")))</f>
        <v/>
      </c>
      <c r="AG752" t="str">
        <f>IF(AE752="","",IF(AE752="[FÓRMULA MANUAL]","",IFERROR(AVERAGEIFS(DATOS!$K$2:$K$20000,DATOS!$A$2:$A$20000,AE752,DATOS!$G$2:$G$20000,CONFIG_METADATA!$B$4,DATOS!$I$2:$I$20000,"Orquesta/Banda/Conjunto"),"")))</f>
        <v/>
      </c>
      <c r="AH752" t="str">
        <f>IF(AE752="","",IF(AE752="[FÓRMULA MANUAL]","",IFERROR(AVERAGEIFS(DATOS!$K$2:$K$20000,DATOS!$A$2:$A$20000,AE752,DATOS!$G$2:$G$20000,CONFIG_METADATA!$B$4,DATOS!$I$2:$I$20000,"Música de Cámara"),"")))</f>
        <v/>
      </c>
      <c r="AI752" t="str">
        <f>IF(AE752="","",IF(AE752="[FÓRMULA MANUAL]","",IFERROR(SUMPRODUCT((DATOS!$A$2:$A$20000=AE752)*(DATOS!$G$2:$G$20000=CONFIG_METADATA!$B$4)*(COUNTIF(CONFIG_ASIGNATURAS!$B$7:$B$27,DATOS!$I$2:$I$20000)&gt;0)*(DATOS!$K$2:$K$20000))/SUMPRODUCT((DATOS!$A$2:$A$20000=AE752)*(DATOS!$G$2:$G$20000=CONFIG_METADATA!$B$4)*(COUNTIF(CONFIG_ASIGNATURAS!$B$7:$B$27,DATOS!$I$2:$I$20000)&gt;0)*1),"")))</f>
        <v/>
      </c>
    </row>
    <row r="753" spans="2:35" x14ac:dyDescent="0.2">
      <c r="B753" t="str">
        <f>IF(A753="","",IF(A753="[FÓRMULA MANUAL]","",IFERROR(AVERAGEIFS(DATOS!$K$2:$K$20000,DATOS!$A$2:$A$20000,A753,DATOS!$G$2:$G$20000,CONFIG_METADATA!$B$4,DATOS!$I$2:$I$20000,"Lenguaje Musical"),"")))</f>
        <v/>
      </c>
      <c r="C753" t="str">
        <f>IF(A753="","",IF(A753="[FÓRMULA MANUAL]","",IFERROR(AVERAGEIFS(DATOS!$K$2:$K$20000,DATOS!$A$2:$A$20000,A753,DATOS!$G$2:$G$20000,CONFIG_METADATA!$B$4,DATOS!$I$2:$I$20000,"Orquesta/Banda/Conjunto"),"")))</f>
        <v/>
      </c>
      <c r="D753" t="str">
        <f>IF(A753="","",IF(A753="[FÓRMULA MANUAL]","",IFERROR(AVERAGEIFS(DATOS!$K$2:$K$20000,DATOS!$A$2:$A$20000,A753,DATOS!$G$2:$G$20000,CONFIG_METADATA!$B$4,DATOS!$I$2:$I$20000,"Conjunto"),"")))</f>
        <v/>
      </c>
      <c r="E753" t="str">
        <f>IF(A753="","",IF(A753="[FÓRMULA MANUAL]","",IFERROR(SUMPRODUCT((DATOS!$A$2:$A$20000=A753)*(DATOS!$G$2:$G$20000=CONFIG_METADATA!$B$4)*(COUNTIF(CONFIG_ASIGNATURAS!$B$7:$B$27,DATOS!$I$2:$I$20000)&gt;0)*(DATOS!$K$2:$K$20000))/SUMPRODUCT((DATOS!$A$2:$A$20000=A753)*(DATOS!$G$2:$G$20000=CONFIG_METADATA!$B$4)*(COUNTIF(CONFIG_ASIGNATURAS!$B$7:$B$27,DATOS!$I$2:$I$20000)&gt;0)*1),"")))</f>
        <v/>
      </c>
      <c r="H753" t="str">
        <f>IF(G753="","",IF(G753="[FÓRMULA MANUAL]","",IFERROR(AVERAGEIFS(DATOS!$K$2:$K$20000,DATOS!$A$2:$A$20000,G753,DATOS!$G$2:$G$20000,CONFIG_METADATA!$B$4,DATOS!$I$2:$I$20000,"Lenguaje Musical"),"")))</f>
        <v/>
      </c>
      <c r="I753" t="str">
        <f>IF(G753="","",IF(G753="[FÓRMULA MANUAL]","",IFERROR(AVERAGEIFS(DATOS!$K$2:$K$20000,DATOS!$A$2:$A$20000,G753,DATOS!$G$2:$G$20000,CONFIG_METADATA!$B$4,DATOS!$I$2:$I$20000,"Orquesta/Banda/Conjunto"),"")))</f>
        <v/>
      </c>
      <c r="J753" t="str">
        <f>IF(G753="","",IF(G753="[FÓRMULA MANUAL]","",IFERROR(AVERAGEIFS(DATOS!$K$2:$K$20000,DATOS!$A$2:$A$20000,G753,DATOS!$G$2:$G$20000,CONFIG_METADATA!$B$4,DATOS!$I$2:$I$20000,"Conjunto"),"")))</f>
        <v/>
      </c>
      <c r="K753" t="str">
        <f>IF(G753="","",IF(G753="[FÓRMULA MANUAL]","",IFERROR(SUMPRODUCT((DATOS!$A$2:$A$20000=G753)*(DATOS!$G$2:$G$20000=CONFIG_METADATA!$B$4)*(COUNTIF(CONFIG_ASIGNATURAS!$B$7:$B$27,DATOS!$I$2:$I$20000)&gt;0)*(DATOS!$K$2:$K$20000))/SUMPRODUCT((DATOS!$A$2:$A$20000=G753)*(DATOS!$G$2:$G$20000=CONFIG_METADATA!$B$4)*(COUNTIF(CONFIG_ASIGNATURAS!$B$7:$B$27,DATOS!$I$2:$I$20000)&gt;0)*1),"")))</f>
        <v/>
      </c>
      <c r="N753" t="str">
        <f>IF(M753="","",IF(M753="[FÓRMULA MANUAL]","",IFERROR(AVERAGEIFS(DATOS!$K$2:$K$20000,DATOS!$A$2:$A$20000,M753,DATOS!$G$2:$G$20000,CONFIG_METADATA!$B$4,DATOS!$I$2:$I$20000,"Armonía"),"")))</f>
        <v/>
      </c>
      <c r="O753" t="str">
        <f>IF(M753="","",IF(M753="[FÓRMULA MANUAL]","",IFERROR(AVERAGEIFS(DATOS!$K$2:$K$20000,DATOS!$A$2:$A$20000,M753,DATOS!$G$2:$G$20000,CONFIG_METADATA!$B$4,DATOS!$I$2:$I$20000,"Orquesta/Banda/Conjunto"),"")))</f>
        <v/>
      </c>
      <c r="P753" t="str">
        <f>IF(M753="","",IF(M753="[FÓRMULA MANUAL]","",IFERROR(AVERAGEIFS(DATOS!$K$2:$K$20000,DATOS!$A$2:$A$20000,M753,DATOS!$G$2:$G$20000,CONFIG_METADATA!$B$4,DATOS!$I$2:$I$20000,"Música de Cámara"),"")))</f>
        <v/>
      </c>
      <c r="Q753" t="str">
        <f>IF(M753="","",IF(M753="[FÓRMULA MANUAL]","",IFERROR(SUMPRODUCT((DATOS!$A$2:$A$20000=M753)*(DATOS!$G$2:$G$20000=CONFIG_METADATA!$B$4)*(COUNTIF(CONFIG_ASIGNATURAS!$B$7:$B$27,DATOS!$I$2:$I$20000)&gt;0)*(DATOS!$K$2:$K$20000))/SUMPRODUCT((DATOS!$A$2:$A$20000=M753)*(DATOS!$G$2:$G$20000=CONFIG_METADATA!$B$4)*(COUNTIF(CONFIG_ASIGNATURAS!$B$7:$B$27,DATOS!$I$2:$I$20000)&gt;0)*1),"")))</f>
        <v/>
      </c>
      <c r="T753" t="str">
        <f>IF(S753="","",IF(S753="[FÓRMULA MANUAL]","",IFERROR(AVERAGEIFS(DATOS!$K$2:$K$20000,DATOS!$A$2:$A$20000,S753,DATOS!$G$2:$G$20000,CONFIG_METADATA!$B$4,DATOS!$I$2:$I$20000,"Armonía"),"")))</f>
        <v/>
      </c>
      <c r="U753" t="str">
        <f>IF(S753="","",IF(S753="[FÓRMULA MANUAL]","",IFERROR(AVERAGEIFS(DATOS!$K$2:$K$20000,DATOS!$A$2:$A$20000,S753,DATOS!$G$2:$G$20000,CONFIG_METADATA!$B$4,DATOS!$I$2:$I$20000,"Orquesta/Banda/Conjunto"),"")))</f>
        <v/>
      </c>
      <c r="V753" t="str">
        <f>IF(S753="","",IF(S753="[FÓRMULA MANUAL]","",IFERROR(AVERAGEIFS(DATOS!$K$2:$K$20000,DATOS!$A$2:$A$20000,S753,DATOS!$G$2:$G$20000,CONFIG_METADATA!$B$4,DATOS!$I$2:$I$20000,"Música de Cámara"),"")))</f>
        <v/>
      </c>
      <c r="W753" t="str">
        <f>IF(S753="","",IF(S753="[FÓRMULA MANUAL]","",IFERROR(SUMPRODUCT((DATOS!$A$2:$A$20000=S753)*(DATOS!$G$2:$G$20000=CONFIG_METADATA!$B$4)*(COUNTIF(CONFIG_ASIGNATURAS!$B$7:$B$27,DATOS!$I$2:$I$20000)&gt;0)*(DATOS!$K$2:$K$20000))/SUMPRODUCT((DATOS!$A$2:$A$20000=S753)*(DATOS!$G$2:$G$20000=CONFIG_METADATA!$B$4)*(COUNTIF(CONFIG_ASIGNATURAS!$B$7:$B$27,DATOS!$I$2:$I$20000)&gt;0)*1),"")))</f>
        <v/>
      </c>
      <c r="Z753" t="str">
        <f>IF(Y753="","",IF(Y753="[FÓRMULA MANUAL]","",IFERROR(AVERAGEIFS(DATOS!$K$2:$K$20000,DATOS!$A$2:$A$20000,Y753,DATOS!$G$2:$G$20000,CONFIG_METADATA!$B$4,DATOS!$I$2:$I$20000,"Análisis"),"")))</f>
        <v/>
      </c>
      <c r="AA753" t="str">
        <f>IF(Y753="","",IF(Y753="[FÓRMULA MANUAL]","",IFERROR(AVERAGEIFS(DATOS!$K$2:$K$20000,DATOS!$A$2:$A$20000,Y753,DATOS!$G$2:$G$20000,CONFIG_METADATA!$B$4,DATOS!$I$2:$I$20000,"Orquesta/Banda/Conjunto"),"")))</f>
        <v/>
      </c>
      <c r="AB753" t="str">
        <f>IF(Y753="","",IF(Y753="[FÓRMULA MANUAL]","",IFERROR(AVERAGEIFS(DATOS!$K$2:$K$20000,DATOS!$A$2:$A$20000,Y753,DATOS!$G$2:$G$20000,CONFIG_METADATA!$B$4,DATOS!$I$2:$I$20000,"Música de Cámara"),"")))</f>
        <v/>
      </c>
      <c r="AC753" t="str">
        <f>IF(Y753="","",IF(Y753="[FÓRMULA MANUAL]","",IFERROR(SUMPRODUCT((DATOS!$A$2:$A$20000=Y753)*(DATOS!$G$2:$G$20000=CONFIG_METADATA!$B$4)*(COUNTIF(CONFIG_ASIGNATURAS!$B$7:$B$27,DATOS!$I$2:$I$20000)&gt;0)*(DATOS!$K$2:$K$20000))/SUMPRODUCT((DATOS!$A$2:$A$20000=Y753)*(DATOS!$G$2:$G$20000=CONFIG_METADATA!$B$4)*(COUNTIF(CONFIG_ASIGNATURAS!$B$7:$B$27,DATOS!$I$2:$I$20000)&gt;0)*1),"")))</f>
        <v/>
      </c>
      <c r="AF753" t="str">
        <f>IF(AE753="","",IF(AE753="[FÓRMULA MANUAL]","",IFERROR(AVERAGEIFS(DATOS!$K$2:$K$20000,DATOS!$A$2:$A$20000,AE753,DATOS!$G$2:$G$20000,CONFIG_METADATA!$B$4,DATOS!$I$2:$I$20000,"Análisis"),"")))</f>
        <v/>
      </c>
      <c r="AG753" t="str">
        <f>IF(AE753="","",IF(AE753="[FÓRMULA MANUAL]","",IFERROR(AVERAGEIFS(DATOS!$K$2:$K$20000,DATOS!$A$2:$A$20000,AE753,DATOS!$G$2:$G$20000,CONFIG_METADATA!$B$4,DATOS!$I$2:$I$20000,"Orquesta/Banda/Conjunto"),"")))</f>
        <v/>
      </c>
      <c r="AH753" t="str">
        <f>IF(AE753="","",IF(AE753="[FÓRMULA MANUAL]","",IFERROR(AVERAGEIFS(DATOS!$K$2:$K$20000,DATOS!$A$2:$A$20000,AE753,DATOS!$G$2:$G$20000,CONFIG_METADATA!$B$4,DATOS!$I$2:$I$20000,"Música de Cámara"),"")))</f>
        <v/>
      </c>
      <c r="AI753" t="str">
        <f>IF(AE753="","",IF(AE753="[FÓRMULA MANUAL]","",IFERROR(SUMPRODUCT((DATOS!$A$2:$A$20000=AE753)*(DATOS!$G$2:$G$20000=CONFIG_METADATA!$B$4)*(COUNTIF(CONFIG_ASIGNATURAS!$B$7:$B$27,DATOS!$I$2:$I$20000)&gt;0)*(DATOS!$K$2:$K$20000))/SUMPRODUCT((DATOS!$A$2:$A$20000=AE753)*(DATOS!$G$2:$G$20000=CONFIG_METADATA!$B$4)*(COUNTIF(CONFIG_ASIGNATURAS!$B$7:$B$27,DATOS!$I$2:$I$20000)&gt;0)*1),"")))</f>
        <v/>
      </c>
    </row>
    <row r="754" spans="2:35" x14ac:dyDescent="0.2">
      <c r="B754" t="str">
        <f>IF(A754="","",IF(A754="[FÓRMULA MANUAL]","",IFERROR(AVERAGEIFS(DATOS!$K$2:$K$20000,DATOS!$A$2:$A$20000,A754,DATOS!$G$2:$G$20000,CONFIG_METADATA!$B$4,DATOS!$I$2:$I$20000,"Lenguaje Musical"),"")))</f>
        <v/>
      </c>
      <c r="C754" t="str">
        <f>IF(A754="","",IF(A754="[FÓRMULA MANUAL]","",IFERROR(AVERAGEIFS(DATOS!$K$2:$K$20000,DATOS!$A$2:$A$20000,A754,DATOS!$G$2:$G$20000,CONFIG_METADATA!$B$4,DATOS!$I$2:$I$20000,"Orquesta/Banda/Conjunto"),"")))</f>
        <v/>
      </c>
      <c r="D754" t="str">
        <f>IF(A754="","",IF(A754="[FÓRMULA MANUAL]","",IFERROR(AVERAGEIFS(DATOS!$K$2:$K$20000,DATOS!$A$2:$A$20000,A754,DATOS!$G$2:$G$20000,CONFIG_METADATA!$B$4,DATOS!$I$2:$I$20000,"Conjunto"),"")))</f>
        <v/>
      </c>
      <c r="E754" t="str">
        <f>IF(A754="","",IF(A754="[FÓRMULA MANUAL]","",IFERROR(SUMPRODUCT((DATOS!$A$2:$A$20000=A754)*(DATOS!$G$2:$G$20000=CONFIG_METADATA!$B$4)*(COUNTIF(CONFIG_ASIGNATURAS!$B$7:$B$27,DATOS!$I$2:$I$20000)&gt;0)*(DATOS!$K$2:$K$20000))/SUMPRODUCT((DATOS!$A$2:$A$20000=A754)*(DATOS!$G$2:$G$20000=CONFIG_METADATA!$B$4)*(COUNTIF(CONFIG_ASIGNATURAS!$B$7:$B$27,DATOS!$I$2:$I$20000)&gt;0)*1),"")))</f>
        <v/>
      </c>
      <c r="H754" t="str">
        <f>IF(G754="","",IF(G754="[FÓRMULA MANUAL]","",IFERROR(AVERAGEIFS(DATOS!$K$2:$K$20000,DATOS!$A$2:$A$20000,G754,DATOS!$G$2:$G$20000,CONFIG_METADATA!$B$4,DATOS!$I$2:$I$20000,"Lenguaje Musical"),"")))</f>
        <v/>
      </c>
      <c r="I754" t="str">
        <f>IF(G754="","",IF(G754="[FÓRMULA MANUAL]","",IFERROR(AVERAGEIFS(DATOS!$K$2:$K$20000,DATOS!$A$2:$A$20000,G754,DATOS!$G$2:$G$20000,CONFIG_METADATA!$B$4,DATOS!$I$2:$I$20000,"Orquesta/Banda/Conjunto"),"")))</f>
        <v/>
      </c>
      <c r="J754" t="str">
        <f>IF(G754="","",IF(G754="[FÓRMULA MANUAL]","",IFERROR(AVERAGEIFS(DATOS!$K$2:$K$20000,DATOS!$A$2:$A$20000,G754,DATOS!$G$2:$G$20000,CONFIG_METADATA!$B$4,DATOS!$I$2:$I$20000,"Conjunto"),"")))</f>
        <v/>
      </c>
      <c r="K754" t="str">
        <f>IF(G754="","",IF(G754="[FÓRMULA MANUAL]","",IFERROR(SUMPRODUCT((DATOS!$A$2:$A$20000=G754)*(DATOS!$G$2:$G$20000=CONFIG_METADATA!$B$4)*(COUNTIF(CONFIG_ASIGNATURAS!$B$7:$B$27,DATOS!$I$2:$I$20000)&gt;0)*(DATOS!$K$2:$K$20000))/SUMPRODUCT((DATOS!$A$2:$A$20000=G754)*(DATOS!$G$2:$G$20000=CONFIG_METADATA!$B$4)*(COUNTIF(CONFIG_ASIGNATURAS!$B$7:$B$27,DATOS!$I$2:$I$20000)&gt;0)*1),"")))</f>
        <v/>
      </c>
      <c r="N754" t="str">
        <f>IF(M754="","",IF(M754="[FÓRMULA MANUAL]","",IFERROR(AVERAGEIFS(DATOS!$K$2:$K$20000,DATOS!$A$2:$A$20000,M754,DATOS!$G$2:$G$20000,CONFIG_METADATA!$B$4,DATOS!$I$2:$I$20000,"Armonía"),"")))</f>
        <v/>
      </c>
      <c r="O754" t="str">
        <f>IF(M754="","",IF(M754="[FÓRMULA MANUAL]","",IFERROR(AVERAGEIFS(DATOS!$K$2:$K$20000,DATOS!$A$2:$A$20000,M754,DATOS!$G$2:$G$20000,CONFIG_METADATA!$B$4,DATOS!$I$2:$I$20000,"Orquesta/Banda/Conjunto"),"")))</f>
        <v/>
      </c>
      <c r="P754" t="str">
        <f>IF(M754="","",IF(M754="[FÓRMULA MANUAL]","",IFERROR(AVERAGEIFS(DATOS!$K$2:$K$20000,DATOS!$A$2:$A$20000,M754,DATOS!$G$2:$G$20000,CONFIG_METADATA!$B$4,DATOS!$I$2:$I$20000,"Música de Cámara"),"")))</f>
        <v/>
      </c>
      <c r="Q754" t="str">
        <f>IF(M754="","",IF(M754="[FÓRMULA MANUAL]","",IFERROR(SUMPRODUCT((DATOS!$A$2:$A$20000=M754)*(DATOS!$G$2:$G$20000=CONFIG_METADATA!$B$4)*(COUNTIF(CONFIG_ASIGNATURAS!$B$7:$B$27,DATOS!$I$2:$I$20000)&gt;0)*(DATOS!$K$2:$K$20000))/SUMPRODUCT((DATOS!$A$2:$A$20000=M754)*(DATOS!$G$2:$G$20000=CONFIG_METADATA!$B$4)*(COUNTIF(CONFIG_ASIGNATURAS!$B$7:$B$27,DATOS!$I$2:$I$20000)&gt;0)*1),"")))</f>
        <v/>
      </c>
      <c r="T754" t="str">
        <f>IF(S754="","",IF(S754="[FÓRMULA MANUAL]","",IFERROR(AVERAGEIFS(DATOS!$K$2:$K$20000,DATOS!$A$2:$A$20000,S754,DATOS!$G$2:$G$20000,CONFIG_METADATA!$B$4,DATOS!$I$2:$I$20000,"Armonía"),"")))</f>
        <v/>
      </c>
      <c r="U754" t="str">
        <f>IF(S754="","",IF(S754="[FÓRMULA MANUAL]","",IFERROR(AVERAGEIFS(DATOS!$K$2:$K$20000,DATOS!$A$2:$A$20000,S754,DATOS!$G$2:$G$20000,CONFIG_METADATA!$B$4,DATOS!$I$2:$I$20000,"Orquesta/Banda/Conjunto"),"")))</f>
        <v/>
      </c>
      <c r="V754" t="str">
        <f>IF(S754="","",IF(S754="[FÓRMULA MANUAL]","",IFERROR(AVERAGEIFS(DATOS!$K$2:$K$20000,DATOS!$A$2:$A$20000,S754,DATOS!$G$2:$G$20000,CONFIG_METADATA!$B$4,DATOS!$I$2:$I$20000,"Música de Cámara"),"")))</f>
        <v/>
      </c>
      <c r="W754" t="str">
        <f>IF(S754="","",IF(S754="[FÓRMULA MANUAL]","",IFERROR(SUMPRODUCT((DATOS!$A$2:$A$20000=S754)*(DATOS!$G$2:$G$20000=CONFIG_METADATA!$B$4)*(COUNTIF(CONFIG_ASIGNATURAS!$B$7:$B$27,DATOS!$I$2:$I$20000)&gt;0)*(DATOS!$K$2:$K$20000))/SUMPRODUCT((DATOS!$A$2:$A$20000=S754)*(DATOS!$G$2:$G$20000=CONFIG_METADATA!$B$4)*(COUNTIF(CONFIG_ASIGNATURAS!$B$7:$B$27,DATOS!$I$2:$I$20000)&gt;0)*1),"")))</f>
        <v/>
      </c>
      <c r="Z754" t="str">
        <f>IF(Y754="","",IF(Y754="[FÓRMULA MANUAL]","",IFERROR(AVERAGEIFS(DATOS!$K$2:$K$20000,DATOS!$A$2:$A$20000,Y754,DATOS!$G$2:$G$20000,CONFIG_METADATA!$B$4,DATOS!$I$2:$I$20000,"Análisis"),"")))</f>
        <v/>
      </c>
      <c r="AA754" t="str">
        <f>IF(Y754="","",IF(Y754="[FÓRMULA MANUAL]","",IFERROR(AVERAGEIFS(DATOS!$K$2:$K$20000,DATOS!$A$2:$A$20000,Y754,DATOS!$G$2:$G$20000,CONFIG_METADATA!$B$4,DATOS!$I$2:$I$20000,"Orquesta/Banda/Conjunto"),"")))</f>
        <v/>
      </c>
      <c r="AB754" t="str">
        <f>IF(Y754="","",IF(Y754="[FÓRMULA MANUAL]","",IFERROR(AVERAGEIFS(DATOS!$K$2:$K$20000,DATOS!$A$2:$A$20000,Y754,DATOS!$G$2:$G$20000,CONFIG_METADATA!$B$4,DATOS!$I$2:$I$20000,"Música de Cámara"),"")))</f>
        <v/>
      </c>
      <c r="AC754" t="str">
        <f>IF(Y754="","",IF(Y754="[FÓRMULA MANUAL]","",IFERROR(SUMPRODUCT((DATOS!$A$2:$A$20000=Y754)*(DATOS!$G$2:$G$20000=CONFIG_METADATA!$B$4)*(COUNTIF(CONFIG_ASIGNATURAS!$B$7:$B$27,DATOS!$I$2:$I$20000)&gt;0)*(DATOS!$K$2:$K$20000))/SUMPRODUCT((DATOS!$A$2:$A$20000=Y754)*(DATOS!$G$2:$G$20000=CONFIG_METADATA!$B$4)*(COUNTIF(CONFIG_ASIGNATURAS!$B$7:$B$27,DATOS!$I$2:$I$20000)&gt;0)*1),"")))</f>
        <v/>
      </c>
      <c r="AF754" t="str">
        <f>IF(AE754="","",IF(AE754="[FÓRMULA MANUAL]","",IFERROR(AVERAGEIFS(DATOS!$K$2:$K$20000,DATOS!$A$2:$A$20000,AE754,DATOS!$G$2:$G$20000,CONFIG_METADATA!$B$4,DATOS!$I$2:$I$20000,"Análisis"),"")))</f>
        <v/>
      </c>
      <c r="AG754" t="str">
        <f>IF(AE754="","",IF(AE754="[FÓRMULA MANUAL]","",IFERROR(AVERAGEIFS(DATOS!$K$2:$K$20000,DATOS!$A$2:$A$20000,AE754,DATOS!$G$2:$G$20000,CONFIG_METADATA!$B$4,DATOS!$I$2:$I$20000,"Orquesta/Banda/Conjunto"),"")))</f>
        <v/>
      </c>
      <c r="AH754" t="str">
        <f>IF(AE754="","",IF(AE754="[FÓRMULA MANUAL]","",IFERROR(AVERAGEIFS(DATOS!$K$2:$K$20000,DATOS!$A$2:$A$20000,AE754,DATOS!$G$2:$G$20000,CONFIG_METADATA!$B$4,DATOS!$I$2:$I$20000,"Música de Cámara"),"")))</f>
        <v/>
      </c>
      <c r="AI754" t="str">
        <f>IF(AE754="","",IF(AE754="[FÓRMULA MANUAL]","",IFERROR(SUMPRODUCT((DATOS!$A$2:$A$20000=AE754)*(DATOS!$G$2:$G$20000=CONFIG_METADATA!$B$4)*(COUNTIF(CONFIG_ASIGNATURAS!$B$7:$B$27,DATOS!$I$2:$I$20000)&gt;0)*(DATOS!$K$2:$K$20000))/SUMPRODUCT((DATOS!$A$2:$A$20000=AE754)*(DATOS!$G$2:$G$20000=CONFIG_METADATA!$B$4)*(COUNTIF(CONFIG_ASIGNATURAS!$B$7:$B$27,DATOS!$I$2:$I$20000)&gt;0)*1),"")))</f>
        <v/>
      </c>
    </row>
    <row r="755" spans="2:35" x14ac:dyDescent="0.2">
      <c r="B755" t="str">
        <f>IF(A755="","",IF(A755="[FÓRMULA MANUAL]","",IFERROR(AVERAGEIFS(DATOS!$K$2:$K$20000,DATOS!$A$2:$A$20000,A755,DATOS!$G$2:$G$20000,CONFIG_METADATA!$B$4,DATOS!$I$2:$I$20000,"Lenguaje Musical"),"")))</f>
        <v/>
      </c>
      <c r="C755" t="str">
        <f>IF(A755="","",IF(A755="[FÓRMULA MANUAL]","",IFERROR(AVERAGEIFS(DATOS!$K$2:$K$20000,DATOS!$A$2:$A$20000,A755,DATOS!$G$2:$G$20000,CONFIG_METADATA!$B$4,DATOS!$I$2:$I$20000,"Orquesta/Banda/Conjunto"),"")))</f>
        <v/>
      </c>
      <c r="D755" t="str">
        <f>IF(A755="","",IF(A755="[FÓRMULA MANUAL]","",IFERROR(AVERAGEIFS(DATOS!$K$2:$K$20000,DATOS!$A$2:$A$20000,A755,DATOS!$G$2:$G$20000,CONFIG_METADATA!$B$4,DATOS!$I$2:$I$20000,"Conjunto"),"")))</f>
        <v/>
      </c>
      <c r="E755" t="str">
        <f>IF(A755="","",IF(A755="[FÓRMULA MANUAL]","",IFERROR(SUMPRODUCT((DATOS!$A$2:$A$20000=A755)*(DATOS!$G$2:$G$20000=CONFIG_METADATA!$B$4)*(COUNTIF(CONFIG_ASIGNATURAS!$B$7:$B$27,DATOS!$I$2:$I$20000)&gt;0)*(DATOS!$K$2:$K$20000))/SUMPRODUCT((DATOS!$A$2:$A$20000=A755)*(DATOS!$G$2:$G$20000=CONFIG_METADATA!$B$4)*(COUNTIF(CONFIG_ASIGNATURAS!$B$7:$B$27,DATOS!$I$2:$I$20000)&gt;0)*1),"")))</f>
        <v/>
      </c>
      <c r="H755" t="str">
        <f>IF(G755="","",IF(G755="[FÓRMULA MANUAL]","",IFERROR(AVERAGEIFS(DATOS!$K$2:$K$20000,DATOS!$A$2:$A$20000,G755,DATOS!$G$2:$G$20000,CONFIG_METADATA!$B$4,DATOS!$I$2:$I$20000,"Lenguaje Musical"),"")))</f>
        <v/>
      </c>
      <c r="I755" t="str">
        <f>IF(G755="","",IF(G755="[FÓRMULA MANUAL]","",IFERROR(AVERAGEIFS(DATOS!$K$2:$K$20000,DATOS!$A$2:$A$20000,G755,DATOS!$G$2:$G$20000,CONFIG_METADATA!$B$4,DATOS!$I$2:$I$20000,"Orquesta/Banda/Conjunto"),"")))</f>
        <v/>
      </c>
      <c r="J755" t="str">
        <f>IF(G755="","",IF(G755="[FÓRMULA MANUAL]","",IFERROR(AVERAGEIFS(DATOS!$K$2:$K$20000,DATOS!$A$2:$A$20000,G755,DATOS!$G$2:$G$20000,CONFIG_METADATA!$B$4,DATOS!$I$2:$I$20000,"Conjunto"),"")))</f>
        <v/>
      </c>
      <c r="K755" t="str">
        <f>IF(G755="","",IF(G755="[FÓRMULA MANUAL]","",IFERROR(SUMPRODUCT((DATOS!$A$2:$A$20000=G755)*(DATOS!$G$2:$G$20000=CONFIG_METADATA!$B$4)*(COUNTIF(CONFIG_ASIGNATURAS!$B$7:$B$27,DATOS!$I$2:$I$20000)&gt;0)*(DATOS!$K$2:$K$20000))/SUMPRODUCT((DATOS!$A$2:$A$20000=G755)*(DATOS!$G$2:$G$20000=CONFIG_METADATA!$B$4)*(COUNTIF(CONFIG_ASIGNATURAS!$B$7:$B$27,DATOS!$I$2:$I$20000)&gt;0)*1),"")))</f>
        <v/>
      </c>
      <c r="N755" t="str">
        <f>IF(M755="","",IF(M755="[FÓRMULA MANUAL]","",IFERROR(AVERAGEIFS(DATOS!$K$2:$K$20000,DATOS!$A$2:$A$20000,M755,DATOS!$G$2:$G$20000,CONFIG_METADATA!$B$4,DATOS!$I$2:$I$20000,"Armonía"),"")))</f>
        <v/>
      </c>
      <c r="O755" t="str">
        <f>IF(M755="","",IF(M755="[FÓRMULA MANUAL]","",IFERROR(AVERAGEIFS(DATOS!$K$2:$K$20000,DATOS!$A$2:$A$20000,M755,DATOS!$G$2:$G$20000,CONFIG_METADATA!$B$4,DATOS!$I$2:$I$20000,"Orquesta/Banda/Conjunto"),"")))</f>
        <v/>
      </c>
      <c r="P755" t="str">
        <f>IF(M755="","",IF(M755="[FÓRMULA MANUAL]","",IFERROR(AVERAGEIFS(DATOS!$K$2:$K$20000,DATOS!$A$2:$A$20000,M755,DATOS!$G$2:$G$20000,CONFIG_METADATA!$B$4,DATOS!$I$2:$I$20000,"Música de Cámara"),"")))</f>
        <v/>
      </c>
      <c r="Q755" t="str">
        <f>IF(M755="","",IF(M755="[FÓRMULA MANUAL]","",IFERROR(SUMPRODUCT((DATOS!$A$2:$A$20000=M755)*(DATOS!$G$2:$G$20000=CONFIG_METADATA!$B$4)*(COUNTIF(CONFIG_ASIGNATURAS!$B$7:$B$27,DATOS!$I$2:$I$20000)&gt;0)*(DATOS!$K$2:$K$20000))/SUMPRODUCT((DATOS!$A$2:$A$20000=M755)*(DATOS!$G$2:$G$20000=CONFIG_METADATA!$B$4)*(COUNTIF(CONFIG_ASIGNATURAS!$B$7:$B$27,DATOS!$I$2:$I$20000)&gt;0)*1),"")))</f>
        <v/>
      </c>
      <c r="T755" t="str">
        <f>IF(S755="","",IF(S755="[FÓRMULA MANUAL]","",IFERROR(AVERAGEIFS(DATOS!$K$2:$K$20000,DATOS!$A$2:$A$20000,S755,DATOS!$G$2:$G$20000,CONFIG_METADATA!$B$4,DATOS!$I$2:$I$20000,"Armonía"),"")))</f>
        <v/>
      </c>
      <c r="U755" t="str">
        <f>IF(S755="","",IF(S755="[FÓRMULA MANUAL]","",IFERROR(AVERAGEIFS(DATOS!$K$2:$K$20000,DATOS!$A$2:$A$20000,S755,DATOS!$G$2:$G$20000,CONFIG_METADATA!$B$4,DATOS!$I$2:$I$20000,"Orquesta/Banda/Conjunto"),"")))</f>
        <v/>
      </c>
      <c r="V755" t="str">
        <f>IF(S755="","",IF(S755="[FÓRMULA MANUAL]","",IFERROR(AVERAGEIFS(DATOS!$K$2:$K$20000,DATOS!$A$2:$A$20000,S755,DATOS!$G$2:$G$20000,CONFIG_METADATA!$B$4,DATOS!$I$2:$I$20000,"Música de Cámara"),"")))</f>
        <v/>
      </c>
      <c r="W755" t="str">
        <f>IF(S755="","",IF(S755="[FÓRMULA MANUAL]","",IFERROR(SUMPRODUCT((DATOS!$A$2:$A$20000=S755)*(DATOS!$G$2:$G$20000=CONFIG_METADATA!$B$4)*(COUNTIF(CONFIG_ASIGNATURAS!$B$7:$B$27,DATOS!$I$2:$I$20000)&gt;0)*(DATOS!$K$2:$K$20000))/SUMPRODUCT((DATOS!$A$2:$A$20000=S755)*(DATOS!$G$2:$G$20000=CONFIG_METADATA!$B$4)*(COUNTIF(CONFIG_ASIGNATURAS!$B$7:$B$27,DATOS!$I$2:$I$20000)&gt;0)*1),"")))</f>
        <v/>
      </c>
      <c r="Z755" t="str">
        <f>IF(Y755="","",IF(Y755="[FÓRMULA MANUAL]","",IFERROR(AVERAGEIFS(DATOS!$K$2:$K$20000,DATOS!$A$2:$A$20000,Y755,DATOS!$G$2:$G$20000,CONFIG_METADATA!$B$4,DATOS!$I$2:$I$20000,"Análisis"),"")))</f>
        <v/>
      </c>
      <c r="AA755" t="str">
        <f>IF(Y755="","",IF(Y755="[FÓRMULA MANUAL]","",IFERROR(AVERAGEIFS(DATOS!$K$2:$K$20000,DATOS!$A$2:$A$20000,Y755,DATOS!$G$2:$G$20000,CONFIG_METADATA!$B$4,DATOS!$I$2:$I$20000,"Orquesta/Banda/Conjunto"),"")))</f>
        <v/>
      </c>
      <c r="AB755" t="str">
        <f>IF(Y755="","",IF(Y755="[FÓRMULA MANUAL]","",IFERROR(AVERAGEIFS(DATOS!$K$2:$K$20000,DATOS!$A$2:$A$20000,Y755,DATOS!$G$2:$G$20000,CONFIG_METADATA!$B$4,DATOS!$I$2:$I$20000,"Música de Cámara"),"")))</f>
        <v/>
      </c>
      <c r="AC755" t="str">
        <f>IF(Y755="","",IF(Y755="[FÓRMULA MANUAL]","",IFERROR(SUMPRODUCT((DATOS!$A$2:$A$20000=Y755)*(DATOS!$G$2:$G$20000=CONFIG_METADATA!$B$4)*(COUNTIF(CONFIG_ASIGNATURAS!$B$7:$B$27,DATOS!$I$2:$I$20000)&gt;0)*(DATOS!$K$2:$K$20000))/SUMPRODUCT((DATOS!$A$2:$A$20000=Y755)*(DATOS!$G$2:$G$20000=CONFIG_METADATA!$B$4)*(COUNTIF(CONFIG_ASIGNATURAS!$B$7:$B$27,DATOS!$I$2:$I$20000)&gt;0)*1),"")))</f>
        <v/>
      </c>
      <c r="AF755" t="str">
        <f>IF(AE755="","",IF(AE755="[FÓRMULA MANUAL]","",IFERROR(AVERAGEIFS(DATOS!$K$2:$K$20000,DATOS!$A$2:$A$20000,AE755,DATOS!$G$2:$G$20000,CONFIG_METADATA!$B$4,DATOS!$I$2:$I$20000,"Análisis"),"")))</f>
        <v/>
      </c>
      <c r="AG755" t="str">
        <f>IF(AE755="","",IF(AE755="[FÓRMULA MANUAL]","",IFERROR(AVERAGEIFS(DATOS!$K$2:$K$20000,DATOS!$A$2:$A$20000,AE755,DATOS!$G$2:$G$20000,CONFIG_METADATA!$B$4,DATOS!$I$2:$I$20000,"Orquesta/Banda/Conjunto"),"")))</f>
        <v/>
      </c>
      <c r="AH755" t="str">
        <f>IF(AE755="","",IF(AE755="[FÓRMULA MANUAL]","",IFERROR(AVERAGEIFS(DATOS!$K$2:$K$20000,DATOS!$A$2:$A$20000,AE755,DATOS!$G$2:$G$20000,CONFIG_METADATA!$B$4,DATOS!$I$2:$I$20000,"Música de Cámara"),"")))</f>
        <v/>
      </c>
      <c r="AI755" t="str">
        <f>IF(AE755="","",IF(AE755="[FÓRMULA MANUAL]","",IFERROR(SUMPRODUCT((DATOS!$A$2:$A$20000=AE755)*(DATOS!$G$2:$G$20000=CONFIG_METADATA!$B$4)*(COUNTIF(CONFIG_ASIGNATURAS!$B$7:$B$27,DATOS!$I$2:$I$20000)&gt;0)*(DATOS!$K$2:$K$20000))/SUMPRODUCT((DATOS!$A$2:$A$20000=AE755)*(DATOS!$G$2:$G$20000=CONFIG_METADATA!$B$4)*(COUNTIF(CONFIG_ASIGNATURAS!$B$7:$B$27,DATOS!$I$2:$I$20000)&gt;0)*1),"")))</f>
        <v/>
      </c>
    </row>
    <row r="756" spans="2:35" x14ac:dyDescent="0.2">
      <c r="B756" t="str">
        <f>IF(A756="","",IF(A756="[FÓRMULA MANUAL]","",IFERROR(AVERAGEIFS(DATOS!$K$2:$K$20000,DATOS!$A$2:$A$20000,A756,DATOS!$G$2:$G$20000,CONFIG_METADATA!$B$4,DATOS!$I$2:$I$20000,"Lenguaje Musical"),"")))</f>
        <v/>
      </c>
      <c r="C756" t="str">
        <f>IF(A756="","",IF(A756="[FÓRMULA MANUAL]","",IFERROR(AVERAGEIFS(DATOS!$K$2:$K$20000,DATOS!$A$2:$A$20000,A756,DATOS!$G$2:$G$20000,CONFIG_METADATA!$B$4,DATOS!$I$2:$I$20000,"Orquesta/Banda/Conjunto"),"")))</f>
        <v/>
      </c>
      <c r="D756" t="str">
        <f>IF(A756="","",IF(A756="[FÓRMULA MANUAL]","",IFERROR(AVERAGEIFS(DATOS!$K$2:$K$20000,DATOS!$A$2:$A$20000,A756,DATOS!$G$2:$G$20000,CONFIG_METADATA!$B$4,DATOS!$I$2:$I$20000,"Conjunto"),"")))</f>
        <v/>
      </c>
      <c r="E756" t="str">
        <f>IF(A756="","",IF(A756="[FÓRMULA MANUAL]","",IFERROR(SUMPRODUCT((DATOS!$A$2:$A$20000=A756)*(DATOS!$G$2:$G$20000=CONFIG_METADATA!$B$4)*(COUNTIF(CONFIG_ASIGNATURAS!$B$7:$B$27,DATOS!$I$2:$I$20000)&gt;0)*(DATOS!$K$2:$K$20000))/SUMPRODUCT((DATOS!$A$2:$A$20000=A756)*(DATOS!$G$2:$G$20000=CONFIG_METADATA!$B$4)*(COUNTIF(CONFIG_ASIGNATURAS!$B$7:$B$27,DATOS!$I$2:$I$20000)&gt;0)*1),"")))</f>
        <v/>
      </c>
      <c r="H756" t="str">
        <f>IF(G756="","",IF(G756="[FÓRMULA MANUAL]","",IFERROR(AVERAGEIFS(DATOS!$K$2:$K$20000,DATOS!$A$2:$A$20000,G756,DATOS!$G$2:$G$20000,CONFIG_METADATA!$B$4,DATOS!$I$2:$I$20000,"Lenguaje Musical"),"")))</f>
        <v/>
      </c>
      <c r="I756" t="str">
        <f>IF(G756="","",IF(G756="[FÓRMULA MANUAL]","",IFERROR(AVERAGEIFS(DATOS!$K$2:$K$20000,DATOS!$A$2:$A$20000,G756,DATOS!$G$2:$G$20000,CONFIG_METADATA!$B$4,DATOS!$I$2:$I$20000,"Orquesta/Banda/Conjunto"),"")))</f>
        <v/>
      </c>
      <c r="J756" t="str">
        <f>IF(G756="","",IF(G756="[FÓRMULA MANUAL]","",IFERROR(AVERAGEIFS(DATOS!$K$2:$K$20000,DATOS!$A$2:$A$20000,G756,DATOS!$G$2:$G$20000,CONFIG_METADATA!$B$4,DATOS!$I$2:$I$20000,"Conjunto"),"")))</f>
        <v/>
      </c>
      <c r="K756" t="str">
        <f>IF(G756="","",IF(G756="[FÓRMULA MANUAL]","",IFERROR(SUMPRODUCT((DATOS!$A$2:$A$20000=G756)*(DATOS!$G$2:$G$20000=CONFIG_METADATA!$B$4)*(COUNTIF(CONFIG_ASIGNATURAS!$B$7:$B$27,DATOS!$I$2:$I$20000)&gt;0)*(DATOS!$K$2:$K$20000))/SUMPRODUCT((DATOS!$A$2:$A$20000=G756)*(DATOS!$G$2:$G$20000=CONFIG_METADATA!$B$4)*(COUNTIF(CONFIG_ASIGNATURAS!$B$7:$B$27,DATOS!$I$2:$I$20000)&gt;0)*1),"")))</f>
        <v/>
      </c>
      <c r="N756" t="str">
        <f>IF(M756="","",IF(M756="[FÓRMULA MANUAL]","",IFERROR(AVERAGEIFS(DATOS!$K$2:$K$20000,DATOS!$A$2:$A$20000,M756,DATOS!$G$2:$G$20000,CONFIG_METADATA!$B$4,DATOS!$I$2:$I$20000,"Armonía"),"")))</f>
        <v/>
      </c>
      <c r="O756" t="str">
        <f>IF(M756="","",IF(M756="[FÓRMULA MANUAL]","",IFERROR(AVERAGEIFS(DATOS!$K$2:$K$20000,DATOS!$A$2:$A$20000,M756,DATOS!$G$2:$G$20000,CONFIG_METADATA!$B$4,DATOS!$I$2:$I$20000,"Orquesta/Banda/Conjunto"),"")))</f>
        <v/>
      </c>
      <c r="P756" t="str">
        <f>IF(M756="","",IF(M756="[FÓRMULA MANUAL]","",IFERROR(AVERAGEIFS(DATOS!$K$2:$K$20000,DATOS!$A$2:$A$20000,M756,DATOS!$G$2:$G$20000,CONFIG_METADATA!$B$4,DATOS!$I$2:$I$20000,"Música de Cámara"),"")))</f>
        <v/>
      </c>
      <c r="Q756" t="str">
        <f>IF(M756="","",IF(M756="[FÓRMULA MANUAL]","",IFERROR(SUMPRODUCT((DATOS!$A$2:$A$20000=M756)*(DATOS!$G$2:$G$20000=CONFIG_METADATA!$B$4)*(COUNTIF(CONFIG_ASIGNATURAS!$B$7:$B$27,DATOS!$I$2:$I$20000)&gt;0)*(DATOS!$K$2:$K$20000))/SUMPRODUCT((DATOS!$A$2:$A$20000=M756)*(DATOS!$G$2:$G$20000=CONFIG_METADATA!$B$4)*(COUNTIF(CONFIG_ASIGNATURAS!$B$7:$B$27,DATOS!$I$2:$I$20000)&gt;0)*1),"")))</f>
        <v/>
      </c>
      <c r="T756" t="str">
        <f>IF(S756="","",IF(S756="[FÓRMULA MANUAL]","",IFERROR(AVERAGEIFS(DATOS!$K$2:$K$20000,DATOS!$A$2:$A$20000,S756,DATOS!$G$2:$G$20000,CONFIG_METADATA!$B$4,DATOS!$I$2:$I$20000,"Armonía"),"")))</f>
        <v/>
      </c>
      <c r="U756" t="str">
        <f>IF(S756="","",IF(S756="[FÓRMULA MANUAL]","",IFERROR(AVERAGEIFS(DATOS!$K$2:$K$20000,DATOS!$A$2:$A$20000,S756,DATOS!$G$2:$G$20000,CONFIG_METADATA!$B$4,DATOS!$I$2:$I$20000,"Orquesta/Banda/Conjunto"),"")))</f>
        <v/>
      </c>
      <c r="V756" t="str">
        <f>IF(S756="","",IF(S756="[FÓRMULA MANUAL]","",IFERROR(AVERAGEIFS(DATOS!$K$2:$K$20000,DATOS!$A$2:$A$20000,S756,DATOS!$G$2:$G$20000,CONFIG_METADATA!$B$4,DATOS!$I$2:$I$20000,"Música de Cámara"),"")))</f>
        <v/>
      </c>
      <c r="W756" t="str">
        <f>IF(S756="","",IF(S756="[FÓRMULA MANUAL]","",IFERROR(SUMPRODUCT((DATOS!$A$2:$A$20000=S756)*(DATOS!$G$2:$G$20000=CONFIG_METADATA!$B$4)*(COUNTIF(CONFIG_ASIGNATURAS!$B$7:$B$27,DATOS!$I$2:$I$20000)&gt;0)*(DATOS!$K$2:$K$20000))/SUMPRODUCT((DATOS!$A$2:$A$20000=S756)*(DATOS!$G$2:$G$20000=CONFIG_METADATA!$B$4)*(COUNTIF(CONFIG_ASIGNATURAS!$B$7:$B$27,DATOS!$I$2:$I$20000)&gt;0)*1),"")))</f>
        <v/>
      </c>
      <c r="Z756" t="str">
        <f>IF(Y756="","",IF(Y756="[FÓRMULA MANUAL]","",IFERROR(AVERAGEIFS(DATOS!$K$2:$K$20000,DATOS!$A$2:$A$20000,Y756,DATOS!$G$2:$G$20000,CONFIG_METADATA!$B$4,DATOS!$I$2:$I$20000,"Análisis"),"")))</f>
        <v/>
      </c>
      <c r="AA756" t="str">
        <f>IF(Y756="","",IF(Y756="[FÓRMULA MANUAL]","",IFERROR(AVERAGEIFS(DATOS!$K$2:$K$20000,DATOS!$A$2:$A$20000,Y756,DATOS!$G$2:$G$20000,CONFIG_METADATA!$B$4,DATOS!$I$2:$I$20000,"Orquesta/Banda/Conjunto"),"")))</f>
        <v/>
      </c>
      <c r="AB756" t="str">
        <f>IF(Y756="","",IF(Y756="[FÓRMULA MANUAL]","",IFERROR(AVERAGEIFS(DATOS!$K$2:$K$20000,DATOS!$A$2:$A$20000,Y756,DATOS!$G$2:$G$20000,CONFIG_METADATA!$B$4,DATOS!$I$2:$I$20000,"Música de Cámara"),"")))</f>
        <v/>
      </c>
      <c r="AC756" t="str">
        <f>IF(Y756="","",IF(Y756="[FÓRMULA MANUAL]","",IFERROR(SUMPRODUCT((DATOS!$A$2:$A$20000=Y756)*(DATOS!$G$2:$G$20000=CONFIG_METADATA!$B$4)*(COUNTIF(CONFIG_ASIGNATURAS!$B$7:$B$27,DATOS!$I$2:$I$20000)&gt;0)*(DATOS!$K$2:$K$20000))/SUMPRODUCT((DATOS!$A$2:$A$20000=Y756)*(DATOS!$G$2:$G$20000=CONFIG_METADATA!$B$4)*(COUNTIF(CONFIG_ASIGNATURAS!$B$7:$B$27,DATOS!$I$2:$I$20000)&gt;0)*1),"")))</f>
        <v/>
      </c>
      <c r="AF756" t="str">
        <f>IF(AE756="","",IF(AE756="[FÓRMULA MANUAL]","",IFERROR(AVERAGEIFS(DATOS!$K$2:$K$20000,DATOS!$A$2:$A$20000,AE756,DATOS!$G$2:$G$20000,CONFIG_METADATA!$B$4,DATOS!$I$2:$I$20000,"Análisis"),"")))</f>
        <v/>
      </c>
      <c r="AG756" t="str">
        <f>IF(AE756="","",IF(AE756="[FÓRMULA MANUAL]","",IFERROR(AVERAGEIFS(DATOS!$K$2:$K$20000,DATOS!$A$2:$A$20000,AE756,DATOS!$G$2:$G$20000,CONFIG_METADATA!$B$4,DATOS!$I$2:$I$20000,"Orquesta/Banda/Conjunto"),"")))</f>
        <v/>
      </c>
      <c r="AH756" t="str">
        <f>IF(AE756="","",IF(AE756="[FÓRMULA MANUAL]","",IFERROR(AVERAGEIFS(DATOS!$K$2:$K$20000,DATOS!$A$2:$A$20000,AE756,DATOS!$G$2:$G$20000,CONFIG_METADATA!$B$4,DATOS!$I$2:$I$20000,"Música de Cámara"),"")))</f>
        <v/>
      </c>
      <c r="AI756" t="str">
        <f>IF(AE756="","",IF(AE756="[FÓRMULA MANUAL]","",IFERROR(SUMPRODUCT((DATOS!$A$2:$A$20000=AE756)*(DATOS!$G$2:$G$20000=CONFIG_METADATA!$B$4)*(COUNTIF(CONFIG_ASIGNATURAS!$B$7:$B$27,DATOS!$I$2:$I$20000)&gt;0)*(DATOS!$K$2:$K$20000))/SUMPRODUCT((DATOS!$A$2:$A$20000=AE756)*(DATOS!$G$2:$G$20000=CONFIG_METADATA!$B$4)*(COUNTIF(CONFIG_ASIGNATURAS!$B$7:$B$27,DATOS!$I$2:$I$20000)&gt;0)*1),"")))</f>
        <v/>
      </c>
    </row>
    <row r="757" spans="2:35" x14ac:dyDescent="0.2">
      <c r="B757" t="str">
        <f>IF(A757="","",IF(A757="[FÓRMULA MANUAL]","",IFERROR(AVERAGEIFS(DATOS!$K$2:$K$20000,DATOS!$A$2:$A$20000,A757,DATOS!$G$2:$G$20000,CONFIG_METADATA!$B$4,DATOS!$I$2:$I$20000,"Lenguaje Musical"),"")))</f>
        <v/>
      </c>
      <c r="C757" t="str">
        <f>IF(A757="","",IF(A757="[FÓRMULA MANUAL]","",IFERROR(AVERAGEIFS(DATOS!$K$2:$K$20000,DATOS!$A$2:$A$20000,A757,DATOS!$G$2:$G$20000,CONFIG_METADATA!$B$4,DATOS!$I$2:$I$20000,"Orquesta/Banda/Conjunto"),"")))</f>
        <v/>
      </c>
      <c r="D757" t="str">
        <f>IF(A757="","",IF(A757="[FÓRMULA MANUAL]","",IFERROR(AVERAGEIFS(DATOS!$K$2:$K$20000,DATOS!$A$2:$A$20000,A757,DATOS!$G$2:$G$20000,CONFIG_METADATA!$B$4,DATOS!$I$2:$I$20000,"Conjunto"),"")))</f>
        <v/>
      </c>
      <c r="E757" t="str">
        <f>IF(A757="","",IF(A757="[FÓRMULA MANUAL]","",IFERROR(SUMPRODUCT((DATOS!$A$2:$A$20000=A757)*(DATOS!$G$2:$G$20000=CONFIG_METADATA!$B$4)*(COUNTIF(CONFIG_ASIGNATURAS!$B$7:$B$27,DATOS!$I$2:$I$20000)&gt;0)*(DATOS!$K$2:$K$20000))/SUMPRODUCT((DATOS!$A$2:$A$20000=A757)*(DATOS!$G$2:$G$20000=CONFIG_METADATA!$B$4)*(COUNTIF(CONFIG_ASIGNATURAS!$B$7:$B$27,DATOS!$I$2:$I$20000)&gt;0)*1),"")))</f>
        <v/>
      </c>
      <c r="H757" t="str">
        <f>IF(G757="","",IF(G757="[FÓRMULA MANUAL]","",IFERROR(AVERAGEIFS(DATOS!$K$2:$K$20000,DATOS!$A$2:$A$20000,G757,DATOS!$G$2:$G$20000,CONFIG_METADATA!$B$4,DATOS!$I$2:$I$20000,"Lenguaje Musical"),"")))</f>
        <v/>
      </c>
      <c r="I757" t="str">
        <f>IF(G757="","",IF(G757="[FÓRMULA MANUAL]","",IFERROR(AVERAGEIFS(DATOS!$K$2:$K$20000,DATOS!$A$2:$A$20000,G757,DATOS!$G$2:$G$20000,CONFIG_METADATA!$B$4,DATOS!$I$2:$I$20000,"Orquesta/Banda/Conjunto"),"")))</f>
        <v/>
      </c>
      <c r="J757" t="str">
        <f>IF(G757="","",IF(G757="[FÓRMULA MANUAL]","",IFERROR(AVERAGEIFS(DATOS!$K$2:$K$20000,DATOS!$A$2:$A$20000,G757,DATOS!$G$2:$G$20000,CONFIG_METADATA!$B$4,DATOS!$I$2:$I$20000,"Conjunto"),"")))</f>
        <v/>
      </c>
      <c r="K757" t="str">
        <f>IF(G757="","",IF(G757="[FÓRMULA MANUAL]","",IFERROR(SUMPRODUCT((DATOS!$A$2:$A$20000=G757)*(DATOS!$G$2:$G$20000=CONFIG_METADATA!$B$4)*(COUNTIF(CONFIG_ASIGNATURAS!$B$7:$B$27,DATOS!$I$2:$I$20000)&gt;0)*(DATOS!$K$2:$K$20000))/SUMPRODUCT((DATOS!$A$2:$A$20000=G757)*(DATOS!$G$2:$G$20000=CONFIG_METADATA!$B$4)*(COUNTIF(CONFIG_ASIGNATURAS!$B$7:$B$27,DATOS!$I$2:$I$20000)&gt;0)*1),"")))</f>
        <v/>
      </c>
      <c r="N757" t="str">
        <f>IF(M757="","",IF(M757="[FÓRMULA MANUAL]","",IFERROR(AVERAGEIFS(DATOS!$K$2:$K$20000,DATOS!$A$2:$A$20000,M757,DATOS!$G$2:$G$20000,CONFIG_METADATA!$B$4,DATOS!$I$2:$I$20000,"Armonía"),"")))</f>
        <v/>
      </c>
      <c r="O757" t="str">
        <f>IF(M757="","",IF(M757="[FÓRMULA MANUAL]","",IFERROR(AVERAGEIFS(DATOS!$K$2:$K$20000,DATOS!$A$2:$A$20000,M757,DATOS!$G$2:$G$20000,CONFIG_METADATA!$B$4,DATOS!$I$2:$I$20000,"Orquesta/Banda/Conjunto"),"")))</f>
        <v/>
      </c>
      <c r="P757" t="str">
        <f>IF(M757="","",IF(M757="[FÓRMULA MANUAL]","",IFERROR(AVERAGEIFS(DATOS!$K$2:$K$20000,DATOS!$A$2:$A$20000,M757,DATOS!$G$2:$G$20000,CONFIG_METADATA!$B$4,DATOS!$I$2:$I$20000,"Música de Cámara"),"")))</f>
        <v/>
      </c>
      <c r="Q757" t="str">
        <f>IF(M757="","",IF(M757="[FÓRMULA MANUAL]","",IFERROR(SUMPRODUCT((DATOS!$A$2:$A$20000=M757)*(DATOS!$G$2:$G$20000=CONFIG_METADATA!$B$4)*(COUNTIF(CONFIG_ASIGNATURAS!$B$7:$B$27,DATOS!$I$2:$I$20000)&gt;0)*(DATOS!$K$2:$K$20000))/SUMPRODUCT((DATOS!$A$2:$A$20000=M757)*(DATOS!$G$2:$G$20000=CONFIG_METADATA!$B$4)*(COUNTIF(CONFIG_ASIGNATURAS!$B$7:$B$27,DATOS!$I$2:$I$20000)&gt;0)*1),"")))</f>
        <v/>
      </c>
      <c r="T757" t="str">
        <f>IF(S757="","",IF(S757="[FÓRMULA MANUAL]","",IFERROR(AVERAGEIFS(DATOS!$K$2:$K$20000,DATOS!$A$2:$A$20000,S757,DATOS!$G$2:$G$20000,CONFIG_METADATA!$B$4,DATOS!$I$2:$I$20000,"Armonía"),"")))</f>
        <v/>
      </c>
      <c r="U757" t="str">
        <f>IF(S757="","",IF(S757="[FÓRMULA MANUAL]","",IFERROR(AVERAGEIFS(DATOS!$K$2:$K$20000,DATOS!$A$2:$A$20000,S757,DATOS!$G$2:$G$20000,CONFIG_METADATA!$B$4,DATOS!$I$2:$I$20000,"Orquesta/Banda/Conjunto"),"")))</f>
        <v/>
      </c>
      <c r="V757" t="str">
        <f>IF(S757="","",IF(S757="[FÓRMULA MANUAL]","",IFERROR(AVERAGEIFS(DATOS!$K$2:$K$20000,DATOS!$A$2:$A$20000,S757,DATOS!$G$2:$G$20000,CONFIG_METADATA!$B$4,DATOS!$I$2:$I$20000,"Música de Cámara"),"")))</f>
        <v/>
      </c>
      <c r="W757" t="str">
        <f>IF(S757="","",IF(S757="[FÓRMULA MANUAL]","",IFERROR(SUMPRODUCT((DATOS!$A$2:$A$20000=S757)*(DATOS!$G$2:$G$20000=CONFIG_METADATA!$B$4)*(COUNTIF(CONFIG_ASIGNATURAS!$B$7:$B$27,DATOS!$I$2:$I$20000)&gt;0)*(DATOS!$K$2:$K$20000))/SUMPRODUCT((DATOS!$A$2:$A$20000=S757)*(DATOS!$G$2:$G$20000=CONFIG_METADATA!$B$4)*(COUNTIF(CONFIG_ASIGNATURAS!$B$7:$B$27,DATOS!$I$2:$I$20000)&gt;0)*1),"")))</f>
        <v/>
      </c>
      <c r="Z757" t="str">
        <f>IF(Y757="","",IF(Y757="[FÓRMULA MANUAL]","",IFERROR(AVERAGEIFS(DATOS!$K$2:$K$20000,DATOS!$A$2:$A$20000,Y757,DATOS!$G$2:$G$20000,CONFIG_METADATA!$B$4,DATOS!$I$2:$I$20000,"Análisis"),"")))</f>
        <v/>
      </c>
      <c r="AA757" t="str">
        <f>IF(Y757="","",IF(Y757="[FÓRMULA MANUAL]","",IFERROR(AVERAGEIFS(DATOS!$K$2:$K$20000,DATOS!$A$2:$A$20000,Y757,DATOS!$G$2:$G$20000,CONFIG_METADATA!$B$4,DATOS!$I$2:$I$20000,"Orquesta/Banda/Conjunto"),"")))</f>
        <v/>
      </c>
      <c r="AB757" t="str">
        <f>IF(Y757="","",IF(Y757="[FÓRMULA MANUAL]","",IFERROR(AVERAGEIFS(DATOS!$K$2:$K$20000,DATOS!$A$2:$A$20000,Y757,DATOS!$G$2:$G$20000,CONFIG_METADATA!$B$4,DATOS!$I$2:$I$20000,"Música de Cámara"),"")))</f>
        <v/>
      </c>
      <c r="AC757" t="str">
        <f>IF(Y757="","",IF(Y757="[FÓRMULA MANUAL]","",IFERROR(SUMPRODUCT((DATOS!$A$2:$A$20000=Y757)*(DATOS!$G$2:$G$20000=CONFIG_METADATA!$B$4)*(COUNTIF(CONFIG_ASIGNATURAS!$B$7:$B$27,DATOS!$I$2:$I$20000)&gt;0)*(DATOS!$K$2:$K$20000))/SUMPRODUCT((DATOS!$A$2:$A$20000=Y757)*(DATOS!$G$2:$G$20000=CONFIG_METADATA!$B$4)*(COUNTIF(CONFIG_ASIGNATURAS!$B$7:$B$27,DATOS!$I$2:$I$20000)&gt;0)*1),"")))</f>
        <v/>
      </c>
      <c r="AF757" t="str">
        <f>IF(AE757="","",IF(AE757="[FÓRMULA MANUAL]","",IFERROR(AVERAGEIFS(DATOS!$K$2:$K$20000,DATOS!$A$2:$A$20000,AE757,DATOS!$G$2:$G$20000,CONFIG_METADATA!$B$4,DATOS!$I$2:$I$20000,"Análisis"),"")))</f>
        <v/>
      </c>
      <c r="AG757" t="str">
        <f>IF(AE757="","",IF(AE757="[FÓRMULA MANUAL]","",IFERROR(AVERAGEIFS(DATOS!$K$2:$K$20000,DATOS!$A$2:$A$20000,AE757,DATOS!$G$2:$G$20000,CONFIG_METADATA!$B$4,DATOS!$I$2:$I$20000,"Orquesta/Banda/Conjunto"),"")))</f>
        <v/>
      </c>
      <c r="AH757" t="str">
        <f>IF(AE757="","",IF(AE757="[FÓRMULA MANUAL]","",IFERROR(AVERAGEIFS(DATOS!$K$2:$K$20000,DATOS!$A$2:$A$20000,AE757,DATOS!$G$2:$G$20000,CONFIG_METADATA!$B$4,DATOS!$I$2:$I$20000,"Música de Cámara"),"")))</f>
        <v/>
      </c>
      <c r="AI757" t="str">
        <f>IF(AE757="","",IF(AE757="[FÓRMULA MANUAL]","",IFERROR(SUMPRODUCT((DATOS!$A$2:$A$20000=AE757)*(DATOS!$G$2:$G$20000=CONFIG_METADATA!$B$4)*(COUNTIF(CONFIG_ASIGNATURAS!$B$7:$B$27,DATOS!$I$2:$I$20000)&gt;0)*(DATOS!$K$2:$K$20000))/SUMPRODUCT((DATOS!$A$2:$A$20000=AE757)*(DATOS!$G$2:$G$20000=CONFIG_METADATA!$B$4)*(COUNTIF(CONFIG_ASIGNATURAS!$B$7:$B$27,DATOS!$I$2:$I$20000)&gt;0)*1),"")))</f>
        <v/>
      </c>
    </row>
    <row r="758" spans="2:35" x14ac:dyDescent="0.2">
      <c r="B758" t="str">
        <f>IF(A758="","",IF(A758="[FÓRMULA MANUAL]","",IFERROR(AVERAGEIFS(DATOS!$K$2:$K$20000,DATOS!$A$2:$A$20000,A758,DATOS!$G$2:$G$20000,CONFIG_METADATA!$B$4,DATOS!$I$2:$I$20000,"Lenguaje Musical"),"")))</f>
        <v/>
      </c>
      <c r="C758" t="str">
        <f>IF(A758="","",IF(A758="[FÓRMULA MANUAL]","",IFERROR(AVERAGEIFS(DATOS!$K$2:$K$20000,DATOS!$A$2:$A$20000,A758,DATOS!$G$2:$G$20000,CONFIG_METADATA!$B$4,DATOS!$I$2:$I$20000,"Orquesta/Banda/Conjunto"),"")))</f>
        <v/>
      </c>
      <c r="D758" t="str">
        <f>IF(A758="","",IF(A758="[FÓRMULA MANUAL]","",IFERROR(AVERAGEIFS(DATOS!$K$2:$K$20000,DATOS!$A$2:$A$20000,A758,DATOS!$G$2:$G$20000,CONFIG_METADATA!$B$4,DATOS!$I$2:$I$20000,"Conjunto"),"")))</f>
        <v/>
      </c>
      <c r="E758" t="str">
        <f>IF(A758="","",IF(A758="[FÓRMULA MANUAL]","",IFERROR(SUMPRODUCT((DATOS!$A$2:$A$20000=A758)*(DATOS!$G$2:$G$20000=CONFIG_METADATA!$B$4)*(COUNTIF(CONFIG_ASIGNATURAS!$B$7:$B$27,DATOS!$I$2:$I$20000)&gt;0)*(DATOS!$K$2:$K$20000))/SUMPRODUCT((DATOS!$A$2:$A$20000=A758)*(DATOS!$G$2:$G$20000=CONFIG_METADATA!$B$4)*(COUNTIF(CONFIG_ASIGNATURAS!$B$7:$B$27,DATOS!$I$2:$I$20000)&gt;0)*1),"")))</f>
        <v/>
      </c>
      <c r="H758" t="str">
        <f>IF(G758="","",IF(G758="[FÓRMULA MANUAL]","",IFERROR(AVERAGEIFS(DATOS!$K$2:$K$20000,DATOS!$A$2:$A$20000,G758,DATOS!$G$2:$G$20000,CONFIG_METADATA!$B$4,DATOS!$I$2:$I$20000,"Lenguaje Musical"),"")))</f>
        <v/>
      </c>
      <c r="I758" t="str">
        <f>IF(G758="","",IF(G758="[FÓRMULA MANUAL]","",IFERROR(AVERAGEIFS(DATOS!$K$2:$K$20000,DATOS!$A$2:$A$20000,G758,DATOS!$G$2:$G$20000,CONFIG_METADATA!$B$4,DATOS!$I$2:$I$20000,"Orquesta/Banda/Conjunto"),"")))</f>
        <v/>
      </c>
      <c r="J758" t="str">
        <f>IF(G758="","",IF(G758="[FÓRMULA MANUAL]","",IFERROR(AVERAGEIFS(DATOS!$K$2:$K$20000,DATOS!$A$2:$A$20000,G758,DATOS!$G$2:$G$20000,CONFIG_METADATA!$B$4,DATOS!$I$2:$I$20000,"Conjunto"),"")))</f>
        <v/>
      </c>
      <c r="K758" t="str">
        <f>IF(G758="","",IF(G758="[FÓRMULA MANUAL]","",IFERROR(SUMPRODUCT((DATOS!$A$2:$A$20000=G758)*(DATOS!$G$2:$G$20000=CONFIG_METADATA!$B$4)*(COUNTIF(CONFIG_ASIGNATURAS!$B$7:$B$27,DATOS!$I$2:$I$20000)&gt;0)*(DATOS!$K$2:$K$20000))/SUMPRODUCT((DATOS!$A$2:$A$20000=G758)*(DATOS!$G$2:$G$20000=CONFIG_METADATA!$B$4)*(COUNTIF(CONFIG_ASIGNATURAS!$B$7:$B$27,DATOS!$I$2:$I$20000)&gt;0)*1),"")))</f>
        <v/>
      </c>
      <c r="N758" t="str">
        <f>IF(M758="","",IF(M758="[FÓRMULA MANUAL]","",IFERROR(AVERAGEIFS(DATOS!$K$2:$K$20000,DATOS!$A$2:$A$20000,M758,DATOS!$G$2:$G$20000,CONFIG_METADATA!$B$4,DATOS!$I$2:$I$20000,"Armonía"),"")))</f>
        <v/>
      </c>
      <c r="O758" t="str">
        <f>IF(M758="","",IF(M758="[FÓRMULA MANUAL]","",IFERROR(AVERAGEIFS(DATOS!$K$2:$K$20000,DATOS!$A$2:$A$20000,M758,DATOS!$G$2:$G$20000,CONFIG_METADATA!$B$4,DATOS!$I$2:$I$20000,"Orquesta/Banda/Conjunto"),"")))</f>
        <v/>
      </c>
      <c r="P758" t="str">
        <f>IF(M758="","",IF(M758="[FÓRMULA MANUAL]","",IFERROR(AVERAGEIFS(DATOS!$K$2:$K$20000,DATOS!$A$2:$A$20000,M758,DATOS!$G$2:$G$20000,CONFIG_METADATA!$B$4,DATOS!$I$2:$I$20000,"Música de Cámara"),"")))</f>
        <v/>
      </c>
      <c r="Q758" t="str">
        <f>IF(M758="","",IF(M758="[FÓRMULA MANUAL]","",IFERROR(SUMPRODUCT((DATOS!$A$2:$A$20000=M758)*(DATOS!$G$2:$G$20000=CONFIG_METADATA!$B$4)*(COUNTIF(CONFIG_ASIGNATURAS!$B$7:$B$27,DATOS!$I$2:$I$20000)&gt;0)*(DATOS!$K$2:$K$20000))/SUMPRODUCT((DATOS!$A$2:$A$20000=M758)*(DATOS!$G$2:$G$20000=CONFIG_METADATA!$B$4)*(COUNTIF(CONFIG_ASIGNATURAS!$B$7:$B$27,DATOS!$I$2:$I$20000)&gt;0)*1),"")))</f>
        <v/>
      </c>
      <c r="T758" t="str">
        <f>IF(S758="","",IF(S758="[FÓRMULA MANUAL]","",IFERROR(AVERAGEIFS(DATOS!$K$2:$K$20000,DATOS!$A$2:$A$20000,S758,DATOS!$G$2:$G$20000,CONFIG_METADATA!$B$4,DATOS!$I$2:$I$20000,"Armonía"),"")))</f>
        <v/>
      </c>
      <c r="U758" t="str">
        <f>IF(S758="","",IF(S758="[FÓRMULA MANUAL]","",IFERROR(AVERAGEIFS(DATOS!$K$2:$K$20000,DATOS!$A$2:$A$20000,S758,DATOS!$G$2:$G$20000,CONFIG_METADATA!$B$4,DATOS!$I$2:$I$20000,"Orquesta/Banda/Conjunto"),"")))</f>
        <v/>
      </c>
      <c r="V758" t="str">
        <f>IF(S758="","",IF(S758="[FÓRMULA MANUAL]","",IFERROR(AVERAGEIFS(DATOS!$K$2:$K$20000,DATOS!$A$2:$A$20000,S758,DATOS!$G$2:$G$20000,CONFIG_METADATA!$B$4,DATOS!$I$2:$I$20000,"Música de Cámara"),"")))</f>
        <v/>
      </c>
      <c r="W758" t="str">
        <f>IF(S758="","",IF(S758="[FÓRMULA MANUAL]","",IFERROR(SUMPRODUCT((DATOS!$A$2:$A$20000=S758)*(DATOS!$G$2:$G$20000=CONFIG_METADATA!$B$4)*(COUNTIF(CONFIG_ASIGNATURAS!$B$7:$B$27,DATOS!$I$2:$I$20000)&gt;0)*(DATOS!$K$2:$K$20000))/SUMPRODUCT((DATOS!$A$2:$A$20000=S758)*(DATOS!$G$2:$G$20000=CONFIG_METADATA!$B$4)*(COUNTIF(CONFIG_ASIGNATURAS!$B$7:$B$27,DATOS!$I$2:$I$20000)&gt;0)*1),"")))</f>
        <v/>
      </c>
      <c r="Z758" t="str">
        <f>IF(Y758="","",IF(Y758="[FÓRMULA MANUAL]","",IFERROR(AVERAGEIFS(DATOS!$K$2:$K$20000,DATOS!$A$2:$A$20000,Y758,DATOS!$G$2:$G$20000,CONFIG_METADATA!$B$4,DATOS!$I$2:$I$20000,"Análisis"),"")))</f>
        <v/>
      </c>
      <c r="AA758" t="str">
        <f>IF(Y758="","",IF(Y758="[FÓRMULA MANUAL]","",IFERROR(AVERAGEIFS(DATOS!$K$2:$K$20000,DATOS!$A$2:$A$20000,Y758,DATOS!$G$2:$G$20000,CONFIG_METADATA!$B$4,DATOS!$I$2:$I$20000,"Orquesta/Banda/Conjunto"),"")))</f>
        <v/>
      </c>
      <c r="AB758" t="str">
        <f>IF(Y758="","",IF(Y758="[FÓRMULA MANUAL]","",IFERROR(AVERAGEIFS(DATOS!$K$2:$K$20000,DATOS!$A$2:$A$20000,Y758,DATOS!$G$2:$G$20000,CONFIG_METADATA!$B$4,DATOS!$I$2:$I$20000,"Música de Cámara"),"")))</f>
        <v/>
      </c>
      <c r="AC758" t="str">
        <f>IF(Y758="","",IF(Y758="[FÓRMULA MANUAL]","",IFERROR(SUMPRODUCT((DATOS!$A$2:$A$20000=Y758)*(DATOS!$G$2:$G$20000=CONFIG_METADATA!$B$4)*(COUNTIF(CONFIG_ASIGNATURAS!$B$7:$B$27,DATOS!$I$2:$I$20000)&gt;0)*(DATOS!$K$2:$K$20000))/SUMPRODUCT((DATOS!$A$2:$A$20000=Y758)*(DATOS!$G$2:$G$20000=CONFIG_METADATA!$B$4)*(COUNTIF(CONFIG_ASIGNATURAS!$B$7:$B$27,DATOS!$I$2:$I$20000)&gt;0)*1),"")))</f>
        <v/>
      </c>
      <c r="AF758" t="str">
        <f>IF(AE758="","",IF(AE758="[FÓRMULA MANUAL]","",IFERROR(AVERAGEIFS(DATOS!$K$2:$K$20000,DATOS!$A$2:$A$20000,AE758,DATOS!$G$2:$G$20000,CONFIG_METADATA!$B$4,DATOS!$I$2:$I$20000,"Análisis"),"")))</f>
        <v/>
      </c>
      <c r="AG758" t="str">
        <f>IF(AE758="","",IF(AE758="[FÓRMULA MANUAL]","",IFERROR(AVERAGEIFS(DATOS!$K$2:$K$20000,DATOS!$A$2:$A$20000,AE758,DATOS!$G$2:$G$20000,CONFIG_METADATA!$B$4,DATOS!$I$2:$I$20000,"Orquesta/Banda/Conjunto"),"")))</f>
        <v/>
      </c>
      <c r="AH758" t="str">
        <f>IF(AE758="","",IF(AE758="[FÓRMULA MANUAL]","",IFERROR(AVERAGEIFS(DATOS!$K$2:$K$20000,DATOS!$A$2:$A$20000,AE758,DATOS!$G$2:$G$20000,CONFIG_METADATA!$B$4,DATOS!$I$2:$I$20000,"Música de Cámara"),"")))</f>
        <v/>
      </c>
      <c r="AI758" t="str">
        <f>IF(AE758="","",IF(AE758="[FÓRMULA MANUAL]","",IFERROR(SUMPRODUCT((DATOS!$A$2:$A$20000=AE758)*(DATOS!$G$2:$G$20000=CONFIG_METADATA!$B$4)*(COUNTIF(CONFIG_ASIGNATURAS!$B$7:$B$27,DATOS!$I$2:$I$20000)&gt;0)*(DATOS!$K$2:$K$20000))/SUMPRODUCT((DATOS!$A$2:$A$20000=AE758)*(DATOS!$G$2:$G$20000=CONFIG_METADATA!$B$4)*(COUNTIF(CONFIG_ASIGNATURAS!$B$7:$B$27,DATOS!$I$2:$I$20000)&gt;0)*1),"")))</f>
        <v/>
      </c>
    </row>
    <row r="759" spans="2:35" x14ac:dyDescent="0.2">
      <c r="B759" t="str">
        <f>IF(A759="","",IF(A759="[FÓRMULA MANUAL]","",IFERROR(AVERAGEIFS(DATOS!$K$2:$K$20000,DATOS!$A$2:$A$20000,A759,DATOS!$G$2:$G$20000,CONFIG_METADATA!$B$4,DATOS!$I$2:$I$20000,"Lenguaje Musical"),"")))</f>
        <v/>
      </c>
      <c r="C759" t="str">
        <f>IF(A759="","",IF(A759="[FÓRMULA MANUAL]","",IFERROR(AVERAGEIFS(DATOS!$K$2:$K$20000,DATOS!$A$2:$A$20000,A759,DATOS!$G$2:$G$20000,CONFIG_METADATA!$B$4,DATOS!$I$2:$I$20000,"Orquesta/Banda/Conjunto"),"")))</f>
        <v/>
      </c>
      <c r="D759" t="str">
        <f>IF(A759="","",IF(A759="[FÓRMULA MANUAL]","",IFERROR(AVERAGEIFS(DATOS!$K$2:$K$20000,DATOS!$A$2:$A$20000,A759,DATOS!$G$2:$G$20000,CONFIG_METADATA!$B$4,DATOS!$I$2:$I$20000,"Conjunto"),"")))</f>
        <v/>
      </c>
      <c r="E759" t="str">
        <f>IF(A759="","",IF(A759="[FÓRMULA MANUAL]","",IFERROR(SUMPRODUCT((DATOS!$A$2:$A$20000=A759)*(DATOS!$G$2:$G$20000=CONFIG_METADATA!$B$4)*(COUNTIF(CONFIG_ASIGNATURAS!$B$7:$B$27,DATOS!$I$2:$I$20000)&gt;0)*(DATOS!$K$2:$K$20000))/SUMPRODUCT((DATOS!$A$2:$A$20000=A759)*(DATOS!$G$2:$G$20000=CONFIG_METADATA!$B$4)*(COUNTIF(CONFIG_ASIGNATURAS!$B$7:$B$27,DATOS!$I$2:$I$20000)&gt;0)*1),"")))</f>
        <v/>
      </c>
      <c r="H759" t="str">
        <f>IF(G759="","",IF(G759="[FÓRMULA MANUAL]","",IFERROR(AVERAGEIFS(DATOS!$K$2:$K$20000,DATOS!$A$2:$A$20000,G759,DATOS!$G$2:$G$20000,CONFIG_METADATA!$B$4,DATOS!$I$2:$I$20000,"Lenguaje Musical"),"")))</f>
        <v/>
      </c>
      <c r="I759" t="str">
        <f>IF(G759="","",IF(G759="[FÓRMULA MANUAL]","",IFERROR(AVERAGEIFS(DATOS!$K$2:$K$20000,DATOS!$A$2:$A$20000,G759,DATOS!$G$2:$G$20000,CONFIG_METADATA!$B$4,DATOS!$I$2:$I$20000,"Orquesta/Banda/Conjunto"),"")))</f>
        <v/>
      </c>
      <c r="J759" t="str">
        <f>IF(G759="","",IF(G759="[FÓRMULA MANUAL]","",IFERROR(AVERAGEIFS(DATOS!$K$2:$K$20000,DATOS!$A$2:$A$20000,G759,DATOS!$G$2:$G$20000,CONFIG_METADATA!$B$4,DATOS!$I$2:$I$20000,"Conjunto"),"")))</f>
        <v/>
      </c>
      <c r="K759" t="str">
        <f>IF(G759="","",IF(G759="[FÓRMULA MANUAL]","",IFERROR(SUMPRODUCT((DATOS!$A$2:$A$20000=G759)*(DATOS!$G$2:$G$20000=CONFIG_METADATA!$B$4)*(COUNTIF(CONFIG_ASIGNATURAS!$B$7:$B$27,DATOS!$I$2:$I$20000)&gt;0)*(DATOS!$K$2:$K$20000))/SUMPRODUCT((DATOS!$A$2:$A$20000=G759)*(DATOS!$G$2:$G$20000=CONFIG_METADATA!$B$4)*(COUNTIF(CONFIG_ASIGNATURAS!$B$7:$B$27,DATOS!$I$2:$I$20000)&gt;0)*1),"")))</f>
        <v/>
      </c>
      <c r="N759" t="str">
        <f>IF(M759="","",IF(M759="[FÓRMULA MANUAL]","",IFERROR(AVERAGEIFS(DATOS!$K$2:$K$20000,DATOS!$A$2:$A$20000,M759,DATOS!$G$2:$G$20000,CONFIG_METADATA!$B$4,DATOS!$I$2:$I$20000,"Armonía"),"")))</f>
        <v/>
      </c>
      <c r="O759" t="str">
        <f>IF(M759="","",IF(M759="[FÓRMULA MANUAL]","",IFERROR(AVERAGEIFS(DATOS!$K$2:$K$20000,DATOS!$A$2:$A$20000,M759,DATOS!$G$2:$G$20000,CONFIG_METADATA!$B$4,DATOS!$I$2:$I$20000,"Orquesta/Banda/Conjunto"),"")))</f>
        <v/>
      </c>
      <c r="P759" t="str">
        <f>IF(M759="","",IF(M759="[FÓRMULA MANUAL]","",IFERROR(AVERAGEIFS(DATOS!$K$2:$K$20000,DATOS!$A$2:$A$20000,M759,DATOS!$G$2:$G$20000,CONFIG_METADATA!$B$4,DATOS!$I$2:$I$20000,"Música de Cámara"),"")))</f>
        <v/>
      </c>
      <c r="Q759" t="str">
        <f>IF(M759="","",IF(M759="[FÓRMULA MANUAL]","",IFERROR(SUMPRODUCT((DATOS!$A$2:$A$20000=M759)*(DATOS!$G$2:$G$20000=CONFIG_METADATA!$B$4)*(COUNTIF(CONFIG_ASIGNATURAS!$B$7:$B$27,DATOS!$I$2:$I$20000)&gt;0)*(DATOS!$K$2:$K$20000))/SUMPRODUCT((DATOS!$A$2:$A$20000=M759)*(DATOS!$G$2:$G$20000=CONFIG_METADATA!$B$4)*(COUNTIF(CONFIG_ASIGNATURAS!$B$7:$B$27,DATOS!$I$2:$I$20000)&gt;0)*1),"")))</f>
        <v/>
      </c>
      <c r="T759" t="str">
        <f>IF(S759="","",IF(S759="[FÓRMULA MANUAL]","",IFERROR(AVERAGEIFS(DATOS!$K$2:$K$20000,DATOS!$A$2:$A$20000,S759,DATOS!$G$2:$G$20000,CONFIG_METADATA!$B$4,DATOS!$I$2:$I$20000,"Armonía"),"")))</f>
        <v/>
      </c>
      <c r="U759" t="str">
        <f>IF(S759="","",IF(S759="[FÓRMULA MANUAL]","",IFERROR(AVERAGEIFS(DATOS!$K$2:$K$20000,DATOS!$A$2:$A$20000,S759,DATOS!$G$2:$G$20000,CONFIG_METADATA!$B$4,DATOS!$I$2:$I$20000,"Orquesta/Banda/Conjunto"),"")))</f>
        <v/>
      </c>
      <c r="V759" t="str">
        <f>IF(S759="","",IF(S759="[FÓRMULA MANUAL]","",IFERROR(AVERAGEIFS(DATOS!$K$2:$K$20000,DATOS!$A$2:$A$20000,S759,DATOS!$G$2:$G$20000,CONFIG_METADATA!$B$4,DATOS!$I$2:$I$20000,"Música de Cámara"),"")))</f>
        <v/>
      </c>
      <c r="W759" t="str">
        <f>IF(S759="","",IF(S759="[FÓRMULA MANUAL]","",IFERROR(SUMPRODUCT((DATOS!$A$2:$A$20000=S759)*(DATOS!$G$2:$G$20000=CONFIG_METADATA!$B$4)*(COUNTIF(CONFIG_ASIGNATURAS!$B$7:$B$27,DATOS!$I$2:$I$20000)&gt;0)*(DATOS!$K$2:$K$20000))/SUMPRODUCT((DATOS!$A$2:$A$20000=S759)*(DATOS!$G$2:$G$20000=CONFIG_METADATA!$B$4)*(COUNTIF(CONFIG_ASIGNATURAS!$B$7:$B$27,DATOS!$I$2:$I$20000)&gt;0)*1),"")))</f>
        <v/>
      </c>
      <c r="Z759" t="str">
        <f>IF(Y759="","",IF(Y759="[FÓRMULA MANUAL]","",IFERROR(AVERAGEIFS(DATOS!$K$2:$K$20000,DATOS!$A$2:$A$20000,Y759,DATOS!$G$2:$G$20000,CONFIG_METADATA!$B$4,DATOS!$I$2:$I$20000,"Análisis"),"")))</f>
        <v/>
      </c>
      <c r="AA759" t="str">
        <f>IF(Y759="","",IF(Y759="[FÓRMULA MANUAL]","",IFERROR(AVERAGEIFS(DATOS!$K$2:$K$20000,DATOS!$A$2:$A$20000,Y759,DATOS!$G$2:$G$20000,CONFIG_METADATA!$B$4,DATOS!$I$2:$I$20000,"Orquesta/Banda/Conjunto"),"")))</f>
        <v/>
      </c>
      <c r="AB759" t="str">
        <f>IF(Y759="","",IF(Y759="[FÓRMULA MANUAL]","",IFERROR(AVERAGEIFS(DATOS!$K$2:$K$20000,DATOS!$A$2:$A$20000,Y759,DATOS!$G$2:$G$20000,CONFIG_METADATA!$B$4,DATOS!$I$2:$I$20000,"Música de Cámara"),"")))</f>
        <v/>
      </c>
      <c r="AC759" t="str">
        <f>IF(Y759="","",IF(Y759="[FÓRMULA MANUAL]","",IFERROR(SUMPRODUCT((DATOS!$A$2:$A$20000=Y759)*(DATOS!$G$2:$G$20000=CONFIG_METADATA!$B$4)*(COUNTIF(CONFIG_ASIGNATURAS!$B$7:$B$27,DATOS!$I$2:$I$20000)&gt;0)*(DATOS!$K$2:$K$20000))/SUMPRODUCT((DATOS!$A$2:$A$20000=Y759)*(DATOS!$G$2:$G$20000=CONFIG_METADATA!$B$4)*(COUNTIF(CONFIG_ASIGNATURAS!$B$7:$B$27,DATOS!$I$2:$I$20000)&gt;0)*1),"")))</f>
        <v/>
      </c>
      <c r="AF759" t="str">
        <f>IF(AE759="","",IF(AE759="[FÓRMULA MANUAL]","",IFERROR(AVERAGEIFS(DATOS!$K$2:$K$20000,DATOS!$A$2:$A$20000,AE759,DATOS!$G$2:$G$20000,CONFIG_METADATA!$B$4,DATOS!$I$2:$I$20000,"Análisis"),"")))</f>
        <v/>
      </c>
      <c r="AG759" t="str">
        <f>IF(AE759="","",IF(AE759="[FÓRMULA MANUAL]","",IFERROR(AVERAGEIFS(DATOS!$K$2:$K$20000,DATOS!$A$2:$A$20000,AE759,DATOS!$G$2:$G$20000,CONFIG_METADATA!$B$4,DATOS!$I$2:$I$20000,"Orquesta/Banda/Conjunto"),"")))</f>
        <v/>
      </c>
      <c r="AH759" t="str">
        <f>IF(AE759="","",IF(AE759="[FÓRMULA MANUAL]","",IFERROR(AVERAGEIFS(DATOS!$K$2:$K$20000,DATOS!$A$2:$A$20000,AE759,DATOS!$G$2:$G$20000,CONFIG_METADATA!$B$4,DATOS!$I$2:$I$20000,"Música de Cámara"),"")))</f>
        <v/>
      </c>
      <c r="AI759" t="str">
        <f>IF(AE759="","",IF(AE759="[FÓRMULA MANUAL]","",IFERROR(SUMPRODUCT((DATOS!$A$2:$A$20000=AE759)*(DATOS!$G$2:$G$20000=CONFIG_METADATA!$B$4)*(COUNTIF(CONFIG_ASIGNATURAS!$B$7:$B$27,DATOS!$I$2:$I$20000)&gt;0)*(DATOS!$K$2:$K$20000))/SUMPRODUCT((DATOS!$A$2:$A$20000=AE759)*(DATOS!$G$2:$G$20000=CONFIG_METADATA!$B$4)*(COUNTIF(CONFIG_ASIGNATURAS!$B$7:$B$27,DATOS!$I$2:$I$20000)&gt;0)*1),"")))</f>
        <v/>
      </c>
    </row>
    <row r="760" spans="2:35" x14ac:dyDescent="0.2">
      <c r="B760" t="str">
        <f>IF(A760="","",IF(A760="[FÓRMULA MANUAL]","",IFERROR(AVERAGEIFS(DATOS!$K$2:$K$20000,DATOS!$A$2:$A$20000,A760,DATOS!$G$2:$G$20000,CONFIG_METADATA!$B$4,DATOS!$I$2:$I$20000,"Lenguaje Musical"),"")))</f>
        <v/>
      </c>
      <c r="C760" t="str">
        <f>IF(A760="","",IF(A760="[FÓRMULA MANUAL]","",IFERROR(AVERAGEIFS(DATOS!$K$2:$K$20000,DATOS!$A$2:$A$20000,A760,DATOS!$G$2:$G$20000,CONFIG_METADATA!$B$4,DATOS!$I$2:$I$20000,"Orquesta/Banda/Conjunto"),"")))</f>
        <v/>
      </c>
      <c r="D760" t="str">
        <f>IF(A760="","",IF(A760="[FÓRMULA MANUAL]","",IFERROR(AVERAGEIFS(DATOS!$K$2:$K$20000,DATOS!$A$2:$A$20000,A760,DATOS!$G$2:$G$20000,CONFIG_METADATA!$B$4,DATOS!$I$2:$I$20000,"Conjunto"),"")))</f>
        <v/>
      </c>
      <c r="E760" t="str">
        <f>IF(A760="","",IF(A760="[FÓRMULA MANUAL]","",IFERROR(SUMPRODUCT((DATOS!$A$2:$A$20000=A760)*(DATOS!$G$2:$G$20000=CONFIG_METADATA!$B$4)*(COUNTIF(CONFIG_ASIGNATURAS!$B$7:$B$27,DATOS!$I$2:$I$20000)&gt;0)*(DATOS!$K$2:$K$20000))/SUMPRODUCT((DATOS!$A$2:$A$20000=A760)*(DATOS!$G$2:$G$20000=CONFIG_METADATA!$B$4)*(COUNTIF(CONFIG_ASIGNATURAS!$B$7:$B$27,DATOS!$I$2:$I$20000)&gt;0)*1),"")))</f>
        <v/>
      </c>
      <c r="H760" t="str">
        <f>IF(G760="","",IF(G760="[FÓRMULA MANUAL]","",IFERROR(AVERAGEIFS(DATOS!$K$2:$K$20000,DATOS!$A$2:$A$20000,G760,DATOS!$G$2:$G$20000,CONFIG_METADATA!$B$4,DATOS!$I$2:$I$20000,"Lenguaje Musical"),"")))</f>
        <v/>
      </c>
      <c r="I760" t="str">
        <f>IF(G760="","",IF(G760="[FÓRMULA MANUAL]","",IFERROR(AVERAGEIFS(DATOS!$K$2:$K$20000,DATOS!$A$2:$A$20000,G760,DATOS!$G$2:$G$20000,CONFIG_METADATA!$B$4,DATOS!$I$2:$I$20000,"Orquesta/Banda/Conjunto"),"")))</f>
        <v/>
      </c>
      <c r="J760" t="str">
        <f>IF(G760="","",IF(G760="[FÓRMULA MANUAL]","",IFERROR(AVERAGEIFS(DATOS!$K$2:$K$20000,DATOS!$A$2:$A$20000,G760,DATOS!$G$2:$G$20000,CONFIG_METADATA!$B$4,DATOS!$I$2:$I$20000,"Conjunto"),"")))</f>
        <v/>
      </c>
      <c r="K760" t="str">
        <f>IF(G760="","",IF(G760="[FÓRMULA MANUAL]","",IFERROR(SUMPRODUCT((DATOS!$A$2:$A$20000=G760)*(DATOS!$G$2:$G$20000=CONFIG_METADATA!$B$4)*(COUNTIF(CONFIG_ASIGNATURAS!$B$7:$B$27,DATOS!$I$2:$I$20000)&gt;0)*(DATOS!$K$2:$K$20000))/SUMPRODUCT((DATOS!$A$2:$A$20000=G760)*(DATOS!$G$2:$G$20000=CONFIG_METADATA!$B$4)*(COUNTIF(CONFIG_ASIGNATURAS!$B$7:$B$27,DATOS!$I$2:$I$20000)&gt;0)*1),"")))</f>
        <v/>
      </c>
      <c r="N760" t="str">
        <f>IF(M760="","",IF(M760="[FÓRMULA MANUAL]","",IFERROR(AVERAGEIFS(DATOS!$K$2:$K$20000,DATOS!$A$2:$A$20000,M760,DATOS!$G$2:$G$20000,CONFIG_METADATA!$B$4,DATOS!$I$2:$I$20000,"Armonía"),"")))</f>
        <v/>
      </c>
      <c r="O760" t="str">
        <f>IF(M760="","",IF(M760="[FÓRMULA MANUAL]","",IFERROR(AVERAGEIFS(DATOS!$K$2:$K$20000,DATOS!$A$2:$A$20000,M760,DATOS!$G$2:$G$20000,CONFIG_METADATA!$B$4,DATOS!$I$2:$I$20000,"Orquesta/Banda/Conjunto"),"")))</f>
        <v/>
      </c>
      <c r="P760" t="str">
        <f>IF(M760="","",IF(M760="[FÓRMULA MANUAL]","",IFERROR(AVERAGEIFS(DATOS!$K$2:$K$20000,DATOS!$A$2:$A$20000,M760,DATOS!$G$2:$G$20000,CONFIG_METADATA!$B$4,DATOS!$I$2:$I$20000,"Música de Cámara"),"")))</f>
        <v/>
      </c>
      <c r="Q760" t="str">
        <f>IF(M760="","",IF(M760="[FÓRMULA MANUAL]","",IFERROR(SUMPRODUCT((DATOS!$A$2:$A$20000=M760)*(DATOS!$G$2:$G$20000=CONFIG_METADATA!$B$4)*(COUNTIF(CONFIG_ASIGNATURAS!$B$7:$B$27,DATOS!$I$2:$I$20000)&gt;0)*(DATOS!$K$2:$K$20000))/SUMPRODUCT((DATOS!$A$2:$A$20000=M760)*(DATOS!$G$2:$G$20000=CONFIG_METADATA!$B$4)*(COUNTIF(CONFIG_ASIGNATURAS!$B$7:$B$27,DATOS!$I$2:$I$20000)&gt;0)*1),"")))</f>
        <v/>
      </c>
      <c r="T760" t="str">
        <f>IF(S760="","",IF(S760="[FÓRMULA MANUAL]","",IFERROR(AVERAGEIFS(DATOS!$K$2:$K$20000,DATOS!$A$2:$A$20000,S760,DATOS!$G$2:$G$20000,CONFIG_METADATA!$B$4,DATOS!$I$2:$I$20000,"Armonía"),"")))</f>
        <v/>
      </c>
      <c r="U760" t="str">
        <f>IF(S760="","",IF(S760="[FÓRMULA MANUAL]","",IFERROR(AVERAGEIFS(DATOS!$K$2:$K$20000,DATOS!$A$2:$A$20000,S760,DATOS!$G$2:$G$20000,CONFIG_METADATA!$B$4,DATOS!$I$2:$I$20000,"Orquesta/Banda/Conjunto"),"")))</f>
        <v/>
      </c>
      <c r="V760" t="str">
        <f>IF(S760="","",IF(S760="[FÓRMULA MANUAL]","",IFERROR(AVERAGEIFS(DATOS!$K$2:$K$20000,DATOS!$A$2:$A$20000,S760,DATOS!$G$2:$G$20000,CONFIG_METADATA!$B$4,DATOS!$I$2:$I$20000,"Música de Cámara"),"")))</f>
        <v/>
      </c>
      <c r="W760" t="str">
        <f>IF(S760="","",IF(S760="[FÓRMULA MANUAL]","",IFERROR(SUMPRODUCT((DATOS!$A$2:$A$20000=S760)*(DATOS!$G$2:$G$20000=CONFIG_METADATA!$B$4)*(COUNTIF(CONFIG_ASIGNATURAS!$B$7:$B$27,DATOS!$I$2:$I$20000)&gt;0)*(DATOS!$K$2:$K$20000))/SUMPRODUCT((DATOS!$A$2:$A$20000=S760)*(DATOS!$G$2:$G$20000=CONFIG_METADATA!$B$4)*(COUNTIF(CONFIG_ASIGNATURAS!$B$7:$B$27,DATOS!$I$2:$I$20000)&gt;0)*1),"")))</f>
        <v/>
      </c>
      <c r="Z760" t="str">
        <f>IF(Y760="","",IF(Y760="[FÓRMULA MANUAL]","",IFERROR(AVERAGEIFS(DATOS!$K$2:$K$20000,DATOS!$A$2:$A$20000,Y760,DATOS!$G$2:$G$20000,CONFIG_METADATA!$B$4,DATOS!$I$2:$I$20000,"Análisis"),"")))</f>
        <v/>
      </c>
      <c r="AA760" t="str">
        <f>IF(Y760="","",IF(Y760="[FÓRMULA MANUAL]","",IFERROR(AVERAGEIFS(DATOS!$K$2:$K$20000,DATOS!$A$2:$A$20000,Y760,DATOS!$G$2:$G$20000,CONFIG_METADATA!$B$4,DATOS!$I$2:$I$20000,"Orquesta/Banda/Conjunto"),"")))</f>
        <v/>
      </c>
      <c r="AB760" t="str">
        <f>IF(Y760="","",IF(Y760="[FÓRMULA MANUAL]","",IFERROR(AVERAGEIFS(DATOS!$K$2:$K$20000,DATOS!$A$2:$A$20000,Y760,DATOS!$G$2:$G$20000,CONFIG_METADATA!$B$4,DATOS!$I$2:$I$20000,"Música de Cámara"),"")))</f>
        <v/>
      </c>
      <c r="AC760" t="str">
        <f>IF(Y760="","",IF(Y760="[FÓRMULA MANUAL]","",IFERROR(SUMPRODUCT((DATOS!$A$2:$A$20000=Y760)*(DATOS!$G$2:$G$20000=CONFIG_METADATA!$B$4)*(COUNTIF(CONFIG_ASIGNATURAS!$B$7:$B$27,DATOS!$I$2:$I$20000)&gt;0)*(DATOS!$K$2:$K$20000))/SUMPRODUCT((DATOS!$A$2:$A$20000=Y760)*(DATOS!$G$2:$G$20000=CONFIG_METADATA!$B$4)*(COUNTIF(CONFIG_ASIGNATURAS!$B$7:$B$27,DATOS!$I$2:$I$20000)&gt;0)*1),"")))</f>
        <v/>
      </c>
      <c r="AF760" t="str">
        <f>IF(AE760="","",IF(AE760="[FÓRMULA MANUAL]","",IFERROR(AVERAGEIFS(DATOS!$K$2:$K$20000,DATOS!$A$2:$A$20000,AE760,DATOS!$G$2:$G$20000,CONFIG_METADATA!$B$4,DATOS!$I$2:$I$20000,"Análisis"),"")))</f>
        <v/>
      </c>
      <c r="AG760" t="str">
        <f>IF(AE760="","",IF(AE760="[FÓRMULA MANUAL]","",IFERROR(AVERAGEIFS(DATOS!$K$2:$K$20000,DATOS!$A$2:$A$20000,AE760,DATOS!$G$2:$G$20000,CONFIG_METADATA!$B$4,DATOS!$I$2:$I$20000,"Orquesta/Banda/Conjunto"),"")))</f>
        <v/>
      </c>
      <c r="AH760" t="str">
        <f>IF(AE760="","",IF(AE760="[FÓRMULA MANUAL]","",IFERROR(AVERAGEIFS(DATOS!$K$2:$K$20000,DATOS!$A$2:$A$20000,AE760,DATOS!$G$2:$G$20000,CONFIG_METADATA!$B$4,DATOS!$I$2:$I$20000,"Música de Cámara"),"")))</f>
        <v/>
      </c>
      <c r="AI760" t="str">
        <f>IF(AE760="","",IF(AE760="[FÓRMULA MANUAL]","",IFERROR(SUMPRODUCT((DATOS!$A$2:$A$20000=AE760)*(DATOS!$G$2:$G$20000=CONFIG_METADATA!$B$4)*(COUNTIF(CONFIG_ASIGNATURAS!$B$7:$B$27,DATOS!$I$2:$I$20000)&gt;0)*(DATOS!$K$2:$K$20000))/SUMPRODUCT((DATOS!$A$2:$A$20000=AE760)*(DATOS!$G$2:$G$20000=CONFIG_METADATA!$B$4)*(COUNTIF(CONFIG_ASIGNATURAS!$B$7:$B$27,DATOS!$I$2:$I$20000)&gt;0)*1),"")))</f>
        <v/>
      </c>
    </row>
    <row r="761" spans="2:35" x14ac:dyDescent="0.2">
      <c r="B761" t="str">
        <f>IF(A761="","",IF(A761="[FÓRMULA MANUAL]","",IFERROR(AVERAGEIFS(DATOS!$K$2:$K$20000,DATOS!$A$2:$A$20000,A761,DATOS!$G$2:$G$20000,CONFIG_METADATA!$B$4,DATOS!$I$2:$I$20000,"Lenguaje Musical"),"")))</f>
        <v/>
      </c>
      <c r="C761" t="str">
        <f>IF(A761="","",IF(A761="[FÓRMULA MANUAL]","",IFERROR(AVERAGEIFS(DATOS!$K$2:$K$20000,DATOS!$A$2:$A$20000,A761,DATOS!$G$2:$G$20000,CONFIG_METADATA!$B$4,DATOS!$I$2:$I$20000,"Orquesta/Banda/Conjunto"),"")))</f>
        <v/>
      </c>
      <c r="D761" t="str">
        <f>IF(A761="","",IF(A761="[FÓRMULA MANUAL]","",IFERROR(AVERAGEIFS(DATOS!$K$2:$K$20000,DATOS!$A$2:$A$20000,A761,DATOS!$G$2:$G$20000,CONFIG_METADATA!$B$4,DATOS!$I$2:$I$20000,"Conjunto"),"")))</f>
        <v/>
      </c>
      <c r="E761" t="str">
        <f>IF(A761="","",IF(A761="[FÓRMULA MANUAL]","",IFERROR(SUMPRODUCT((DATOS!$A$2:$A$20000=A761)*(DATOS!$G$2:$G$20000=CONFIG_METADATA!$B$4)*(COUNTIF(CONFIG_ASIGNATURAS!$B$7:$B$27,DATOS!$I$2:$I$20000)&gt;0)*(DATOS!$K$2:$K$20000))/SUMPRODUCT((DATOS!$A$2:$A$20000=A761)*(DATOS!$G$2:$G$20000=CONFIG_METADATA!$B$4)*(COUNTIF(CONFIG_ASIGNATURAS!$B$7:$B$27,DATOS!$I$2:$I$20000)&gt;0)*1),"")))</f>
        <v/>
      </c>
      <c r="H761" t="str">
        <f>IF(G761="","",IF(G761="[FÓRMULA MANUAL]","",IFERROR(AVERAGEIFS(DATOS!$K$2:$K$20000,DATOS!$A$2:$A$20000,G761,DATOS!$G$2:$G$20000,CONFIG_METADATA!$B$4,DATOS!$I$2:$I$20000,"Lenguaje Musical"),"")))</f>
        <v/>
      </c>
      <c r="I761" t="str">
        <f>IF(G761="","",IF(G761="[FÓRMULA MANUAL]","",IFERROR(AVERAGEIFS(DATOS!$K$2:$K$20000,DATOS!$A$2:$A$20000,G761,DATOS!$G$2:$G$20000,CONFIG_METADATA!$B$4,DATOS!$I$2:$I$20000,"Orquesta/Banda/Conjunto"),"")))</f>
        <v/>
      </c>
      <c r="J761" t="str">
        <f>IF(G761="","",IF(G761="[FÓRMULA MANUAL]","",IFERROR(AVERAGEIFS(DATOS!$K$2:$K$20000,DATOS!$A$2:$A$20000,G761,DATOS!$G$2:$G$20000,CONFIG_METADATA!$B$4,DATOS!$I$2:$I$20000,"Conjunto"),"")))</f>
        <v/>
      </c>
      <c r="K761" t="str">
        <f>IF(G761="","",IF(G761="[FÓRMULA MANUAL]","",IFERROR(SUMPRODUCT((DATOS!$A$2:$A$20000=G761)*(DATOS!$G$2:$G$20000=CONFIG_METADATA!$B$4)*(COUNTIF(CONFIG_ASIGNATURAS!$B$7:$B$27,DATOS!$I$2:$I$20000)&gt;0)*(DATOS!$K$2:$K$20000))/SUMPRODUCT((DATOS!$A$2:$A$20000=G761)*(DATOS!$G$2:$G$20000=CONFIG_METADATA!$B$4)*(COUNTIF(CONFIG_ASIGNATURAS!$B$7:$B$27,DATOS!$I$2:$I$20000)&gt;0)*1),"")))</f>
        <v/>
      </c>
      <c r="N761" t="str">
        <f>IF(M761="","",IF(M761="[FÓRMULA MANUAL]","",IFERROR(AVERAGEIFS(DATOS!$K$2:$K$20000,DATOS!$A$2:$A$20000,M761,DATOS!$G$2:$G$20000,CONFIG_METADATA!$B$4,DATOS!$I$2:$I$20000,"Armonía"),"")))</f>
        <v/>
      </c>
      <c r="O761" t="str">
        <f>IF(M761="","",IF(M761="[FÓRMULA MANUAL]","",IFERROR(AVERAGEIFS(DATOS!$K$2:$K$20000,DATOS!$A$2:$A$20000,M761,DATOS!$G$2:$G$20000,CONFIG_METADATA!$B$4,DATOS!$I$2:$I$20000,"Orquesta/Banda/Conjunto"),"")))</f>
        <v/>
      </c>
      <c r="P761" t="str">
        <f>IF(M761="","",IF(M761="[FÓRMULA MANUAL]","",IFERROR(AVERAGEIFS(DATOS!$K$2:$K$20000,DATOS!$A$2:$A$20000,M761,DATOS!$G$2:$G$20000,CONFIG_METADATA!$B$4,DATOS!$I$2:$I$20000,"Música de Cámara"),"")))</f>
        <v/>
      </c>
      <c r="Q761" t="str">
        <f>IF(M761="","",IF(M761="[FÓRMULA MANUAL]","",IFERROR(SUMPRODUCT((DATOS!$A$2:$A$20000=M761)*(DATOS!$G$2:$G$20000=CONFIG_METADATA!$B$4)*(COUNTIF(CONFIG_ASIGNATURAS!$B$7:$B$27,DATOS!$I$2:$I$20000)&gt;0)*(DATOS!$K$2:$K$20000))/SUMPRODUCT((DATOS!$A$2:$A$20000=M761)*(DATOS!$G$2:$G$20000=CONFIG_METADATA!$B$4)*(COUNTIF(CONFIG_ASIGNATURAS!$B$7:$B$27,DATOS!$I$2:$I$20000)&gt;0)*1),"")))</f>
        <v/>
      </c>
      <c r="T761" t="str">
        <f>IF(S761="","",IF(S761="[FÓRMULA MANUAL]","",IFERROR(AVERAGEIFS(DATOS!$K$2:$K$20000,DATOS!$A$2:$A$20000,S761,DATOS!$G$2:$G$20000,CONFIG_METADATA!$B$4,DATOS!$I$2:$I$20000,"Armonía"),"")))</f>
        <v/>
      </c>
      <c r="U761" t="str">
        <f>IF(S761="","",IF(S761="[FÓRMULA MANUAL]","",IFERROR(AVERAGEIFS(DATOS!$K$2:$K$20000,DATOS!$A$2:$A$20000,S761,DATOS!$G$2:$G$20000,CONFIG_METADATA!$B$4,DATOS!$I$2:$I$20000,"Orquesta/Banda/Conjunto"),"")))</f>
        <v/>
      </c>
      <c r="V761" t="str">
        <f>IF(S761="","",IF(S761="[FÓRMULA MANUAL]","",IFERROR(AVERAGEIFS(DATOS!$K$2:$K$20000,DATOS!$A$2:$A$20000,S761,DATOS!$G$2:$G$20000,CONFIG_METADATA!$B$4,DATOS!$I$2:$I$20000,"Música de Cámara"),"")))</f>
        <v/>
      </c>
      <c r="W761" t="str">
        <f>IF(S761="","",IF(S761="[FÓRMULA MANUAL]","",IFERROR(SUMPRODUCT((DATOS!$A$2:$A$20000=S761)*(DATOS!$G$2:$G$20000=CONFIG_METADATA!$B$4)*(COUNTIF(CONFIG_ASIGNATURAS!$B$7:$B$27,DATOS!$I$2:$I$20000)&gt;0)*(DATOS!$K$2:$K$20000))/SUMPRODUCT((DATOS!$A$2:$A$20000=S761)*(DATOS!$G$2:$G$20000=CONFIG_METADATA!$B$4)*(COUNTIF(CONFIG_ASIGNATURAS!$B$7:$B$27,DATOS!$I$2:$I$20000)&gt;0)*1),"")))</f>
        <v/>
      </c>
      <c r="Z761" t="str">
        <f>IF(Y761="","",IF(Y761="[FÓRMULA MANUAL]","",IFERROR(AVERAGEIFS(DATOS!$K$2:$K$20000,DATOS!$A$2:$A$20000,Y761,DATOS!$G$2:$G$20000,CONFIG_METADATA!$B$4,DATOS!$I$2:$I$20000,"Análisis"),"")))</f>
        <v/>
      </c>
      <c r="AA761" t="str">
        <f>IF(Y761="","",IF(Y761="[FÓRMULA MANUAL]","",IFERROR(AVERAGEIFS(DATOS!$K$2:$K$20000,DATOS!$A$2:$A$20000,Y761,DATOS!$G$2:$G$20000,CONFIG_METADATA!$B$4,DATOS!$I$2:$I$20000,"Orquesta/Banda/Conjunto"),"")))</f>
        <v/>
      </c>
      <c r="AB761" t="str">
        <f>IF(Y761="","",IF(Y761="[FÓRMULA MANUAL]","",IFERROR(AVERAGEIFS(DATOS!$K$2:$K$20000,DATOS!$A$2:$A$20000,Y761,DATOS!$G$2:$G$20000,CONFIG_METADATA!$B$4,DATOS!$I$2:$I$20000,"Música de Cámara"),"")))</f>
        <v/>
      </c>
      <c r="AC761" t="str">
        <f>IF(Y761="","",IF(Y761="[FÓRMULA MANUAL]","",IFERROR(SUMPRODUCT((DATOS!$A$2:$A$20000=Y761)*(DATOS!$G$2:$G$20000=CONFIG_METADATA!$B$4)*(COUNTIF(CONFIG_ASIGNATURAS!$B$7:$B$27,DATOS!$I$2:$I$20000)&gt;0)*(DATOS!$K$2:$K$20000))/SUMPRODUCT((DATOS!$A$2:$A$20000=Y761)*(DATOS!$G$2:$G$20000=CONFIG_METADATA!$B$4)*(COUNTIF(CONFIG_ASIGNATURAS!$B$7:$B$27,DATOS!$I$2:$I$20000)&gt;0)*1),"")))</f>
        <v/>
      </c>
      <c r="AF761" t="str">
        <f>IF(AE761="","",IF(AE761="[FÓRMULA MANUAL]","",IFERROR(AVERAGEIFS(DATOS!$K$2:$K$20000,DATOS!$A$2:$A$20000,AE761,DATOS!$G$2:$G$20000,CONFIG_METADATA!$B$4,DATOS!$I$2:$I$20000,"Análisis"),"")))</f>
        <v/>
      </c>
      <c r="AG761" t="str">
        <f>IF(AE761="","",IF(AE761="[FÓRMULA MANUAL]","",IFERROR(AVERAGEIFS(DATOS!$K$2:$K$20000,DATOS!$A$2:$A$20000,AE761,DATOS!$G$2:$G$20000,CONFIG_METADATA!$B$4,DATOS!$I$2:$I$20000,"Orquesta/Banda/Conjunto"),"")))</f>
        <v/>
      </c>
      <c r="AH761" t="str">
        <f>IF(AE761="","",IF(AE761="[FÓRMULA MANUAL]","",IFERROR(AVERAGEIFS(DATOS!$K$2:$K$20000,DATOS!$A$2:$A$20000,AE761,DATOS!$G$2:$G$20000,CONFIG_METADATA!$B$4,DATOS!$I$2:$I$20000,"Música de Cámara"),"")))</f>
        <v/>
      </c>
      <c r="AI761" t="str">
        <f>IF(AE761="","",IF(AE761="[FÓRMULA MANUAL]","",IFERROR(SUMPRODUCT((DATOS!$A$2:$A$20000=AE761)*(DATOS!$G$2:$G$20000=CONFIG_METADATA!$B$4)*(COUNTIF(CONFIG_ASIGNATURAS!$B$7:$B$27,DATOS!$I$2:$I$20000)&gt;0)*(DATOS!$K$2:$K$20000))/SUMPRODUCT((DATOS!$A$2:$A$20000=AE761)*(DATOS!$G$2:$G$20000=CONFIG_METADATA!$B$4)*(COUNTIF(CONFIG_ASIGNATURAS!$B$7:$B$27,DATOS!$I$2:$I$20000)&gt;0)*1),"")))</f>
        <v/>
      </c>
    </row>
    <row r="762" spans="2:35" x14ac:dyDescent="0.2">
      <c r="B762" t="str">
        <f>IF(A762="","",IF(A762="[FÓRMULA MANUAL]","",IFERROR(AVERAGEIFS(DATOS!$K$2:$K$20000,DATOS!$A$2:$A$20000,A762,DATOS!$G$2:$G$20000,CONFIG_METADATA!$B$4,DATOS!$I$2:$I$20000,"Lenguaje Musical"),"")))</f>
        <v/>
      </c>
      <c r="C762" t="str">
        <f>IF(A762="","",IF(A762="[FÓRMULA MANUAL]","",IFERROR(AVERAGEIFS(DATOS!$K$2:$K$20000,DATOS!$A$2:$A$20000,A762,DATOS!$G$2:$G$20000,CONFIG_METADATA!$B$4,DATOS!$I$2:$I$20000,"Orquesta/Banda/Conjunto"),"")))</f>
        <v/>
      </c>
      <c r="D762" t="str">
        <f>IF(A762="","",IF(A762="[FÓRMULA MANUAL]","",IFERROR(AVERAGEIFS(DATOS!$K$2:$K$20000,DATOS!$A$2:$A$20000,A762,DATOS!$G$2:$G$20000,CONFIG_METADATA!$B$4,DATOS!$I$2:$I$20000,"Conjunto"),"")))</f>
        <v/>
      </c>
      <c r="E762" t="str">
        <f>IF(A762="","",IF(A762="[FÓRMULA MANUAL]","",IFERROR(SUMPRODUCT((DATOS!$A$2:$A$20000=A762)*(DATOS!$G$2:$G$20000=CONFIG_METADATA!$B$4)*(COUNTIF(CONFIG_ASIGNATURAS!$B$7:$B$27,DATOS!$I$2:$I$20000)&gt;0)*(DATOS!$K$2:$K$20000))/SUMPRODUCT((DATOS!$A$2:$A$20000=A762)*(DATOS!$G$2:$G$20000=CONFIG_METADATA!$B$4)*(COUNTIF(CONFIG_ASIGNATURAS!$B$7:$B$27,DATOS!$I$2:$I$20000)&gt;0)*1),"")))</f>
        <v/>
      </c>
      <c r="H762" t="str">
        <f>IF(G762="","",IF(G762="[FÓRMULA MANUAL]","",IFERROR(AVERAGEIFS(DATOS!$K$2:$K$20000,DATOS!$A$2:$A$20000,G762,DATOS!$G$2:$G$20000,CONFIG_METADATA!$B$4,DATOS!$I$2:$I$20000,"Lenguaje Musical"),"")))</f>
        <v/>
      </c>
      <c r="I762" t="str">
        <f>IF(G762="","",IF(G762="[FÓRMULA MANUAL]","",IFERROR(AVERAGEIFS(DATOS!$K$2:$K$20000,DATOS!$A$2:$A$20000,G762,DATOS!$G$2:$G$20000,CONFIG_METADATA!$B$4,DATOS!$I$2:$I$20000,"Orquesta/Banda/Conjunto"),"")))</f>
        <v/>
      </c>
      <c r="J762" t="str">
        <f>IF(G762="","",IF(G762="[FÓRMULA MANUAL]","",IFERROR(AVERAGEIFS(DATOS!$K$2:$K$20000,DATOS!$A$2:$A$20000,G762,DATOS!$G$2:$G$20000,CONFIG_METADATA!$B$4,DATOS!$I$2:$I$20000,"Conjunto"),"")))</f>
        <v/>
      </c>
      <c r="K762" t="str">
        <f>IF(G762="","",IF(G762="[FÓRMULA MANUAL]","",IFERROR(SUMPRODUCT((DATOS!$A$2:$A$20000=G762)*(DATOS!$G$2:$G$20000=CONFIG_METADATA!$B$4)*(COUNTIF(CONFIG_ASIGNATURAS!$B$7:$B$27,DATOS!$I$2:$I$20000)&gt;0)*(DATOS!$K$2:$K$20000))/SUMPRODUCT((DATOS!$A$2:$A$20000=G762)*(DATOS!$G$2:$G$20000=CONFIG_METADATA!$B$4)*(COUNTIF(CONFIG_ASIGNATURAS!$B$7:$B$27,DATOS!$I$2:$I$20000)&gt;0)*1),"")))</f>
        <v/>
      </c>
      <c r="N762" t="str">
        <f>IF(M762="","",IF(M762="[FÓRMULA MANUAL]","",IFERROR(AVERAGEIFS(DATOS!$K$2:$K$20000,DATOS!$A$2:$A$20000,M762,DATOS!$G$2:$G$20000,CONFIG_METADATA!$B$4,DATOS!$I$2:$I$20000,"Armonía"),"")))</f>
        <v/>
      </c>
      <c r="O762" t="str">
        <f>IF(M762="","",IF(M762="[FÓRMULA MANUAL]","",IFERROR(AVERAGEIFS(DATOS!$K$2:$K$20000,DATOS!$A$2:$A$20000,M762,DATOS!$G$2:$G$20000,CONFIG_METADATA!$B$4,DATOS!$I$2:$I$20000,"Orquesta/Banda/Conjunto"),"")))</f>
        <v/>
      </c>
      <c r="P762" t="str">
        <f>IF(M762="","",IF(M762="[FÓRMULA MANUAL]","",IFERROR(AVERAGEIFS(DATOS!$K$2:$K$20000,DATOS!$A$2:$A$20000,M762,DATOS!$G$2:$G$20000,CONFIG_METADATA!$B$4,DATOS!$I$2:$I$20000,"Música de Cámara"),"")))</f>
        <v/>
      </c>
      <c r="Q762" t="str">
        <f>IF(M762="","",IF(M762="[FÓRMULA MANUAL]","",IFERROR(SUMPRODUCT((DATOS!$A$2:$A$20000=M762)*(DATOS!$G$2:$G$20000=CONFIG_METADATA!$B$4)*(COUNTIF(CONFIG_ASIGNATURAS!$B$7:$B$27,DATOS!$I$2:$I$20000)&gt;0)*(DATOS!$K$2:$K$20000))/SUMPRODUCT((DATOS!$A$2:$A$20000=M762)*(DATOS!$G$2:$G$20000=CONFIG_METADATA!$B$4)*(COUNTIF(CONFIG_ASIGNATURAS!$B$7:$B$27,DATOS!$I$2:$I$20000)&gt;0)*1),"")))</f>
        <v/>
      </c>
      <c r="T762" t="str">
        <f>IF(S762="","",IF(S762="[FÓRMULA MANUAL]","",IFERROR(AVERAGEIFS(DATOS!$K$2:$K$20000,DATOS!$A$2:$A$20000,S762,DATOS!$G$2:$G$20000,CONFIG_METADATA!$B$4,DATOS!$I$2:$I$20000,"Armonía"),"")))</f>
        <v/>
      </c>
      <c r="U762" t="str">
        <f>IF(S762="","",IF(S762="[FÓRMULA MANUAL]","",IFERROR(AVERAGEIFS(DATOS!$K$2:$K$20000,DATOS!$A$2:$A$20000,S762,DATOS!$G$2:$G$20000,CONFIG_METADATA!$B$4,DATOS!$I$2:$I$20000,"Orquesta/Banda/Conjunto"),"")))</f>
        <v/>
      </c>
      <c r="V762" t="str">
        <f>IF(S762="","",IF(S762="[FÓRMULA MANUAL]","",IFERROR(AVERAGEIFS(DATOS!$K$2:$K$20000,DATOS!$A$2:$A$20000,S762,DATOS!$G$2:$G$20000,CONFIG_METADATA!$B$4,DATOS!$I$2:$I$20000,"Música de Cámara"),"")))</f>
        <v/>
      </c>
      <c r="W762" t="str">
        <f>IF(S762="","",IF(S762="[FÓRMULA MANUAL]","",IFERROR(SUMPRODUCT((DATOS!$A$2:$A$20000=S762)*(DATOS!$G$2:$G$20000=CONFIG_METADATA!$B$4)*(COUNTIF(CONFIG_ASIGNATURAS!$B$7:$B$27,DATOS!$I$2:$I$20000)&gt;0)*(DATOS!$K$2:$K$20000))/SUMPRODUCT((DATOS!$A$2:$A$20000=S762)*(DATOS!$G$2:$G$20000=CONFIG_METADATA!$B$4)*(COUNTIF(CONFIG_ASIGNATURAS!$B$7:$B$27,DATOS!$I$2:$I$20000)&gt;0)*1),"")))</f>
        <v/>
      </c>
      <c r="Z762" t="str">
        <f>IF(Y762="","",IF(Y762="[FÓRMULA MANUAL]","",IFERROR(AVERAGEIFS(DATOS!$K$2:$K$20000,DATOS!$A$2:$A$20000,Y762,DATOS!$G$2:$G$20000,CONFIG_METADATA!$B$4,DATOS!$I$2:$I$20000,"Análisis"),"")))</f>
        <v/>
      </c>
      <c r="AA762" t="str">
        <f>IF(Y762="","",IF(Y762="[FÓRMULA MANUAL]","",IFERROR(AVERAGEIFS(DATOS!$K$2:$K$20000,DATOS!$A$2:$A$20000,Y762,DATOS!$G$2:$G$20000,CONFIG_METADATA!$B$4,DATOS!$I$2:$I$20000,"Orquesta/Banda/Conjunto"),"")))</f>
        <v/>
      </c>
      <c r="AB762" t="str">
        <f>IF(Y762="","",IF(Y762="[FÓRMULA MANUAL]","",IFERROR(AVERAGEIFS(DATOS!$K$2:$K$20000,DATOS!$A$2:$A$20000,Y762,DATOS!$G$2:$G$20000,CONFIG_METADATA!$B$4,DATOS!$I$2:$I$20000,"Música de Cámara"),"")))</f>
        <v/>
      </c>
      <c r="AC762" t="str">
        <f>IF(Y762="","",IF(Y762="[FÓRMULA MANUAL]","",IFERROR(SUMPRODUCT((DATOS!$A$2:$A$20000=Y762)*(DATOS!$G$2:$G$20000=CONFIG_METADATA!$B$4)*(COUNTIF(CONFIG_ASIGNATURAS!$B$7:$B$27,DATOS!$I$2:$I$20000)&gt;0)*(DATOS!$K$2:$K$20000))/SUMPRODUCT((DATOS!$A$2:$A$20000=Y762)*(DATOS!$G$2:$G$20000=CONFIG_METADATA!$B$4)*(COUNTIF(CONFIG_ASIGNATURAS!$B$7:$B$27,DATOS!$I$2:$I$20000)&gt;0)*1),"")))</f>
        <v/>
      </c>
      <c r="AF762" t="str">
        <f>IF(AE762="","",IF(AE762="[FÓRMULA MANUAL]","",IFERROR(AVERAGEIFS(DATOS!$K$2:$K$20000,DATOS!$A$2:$A$20000,AE762,DATOS!$G$2:$G$20000,CONFIG_METADATA!$B$4,DATOS!$I$2:$I$20000,"Análisis"),"")))</f>
        <v/>
      </c>
      <c r="AG762" t="str">
        <f>IF(AE762="","",IF(AE762="[FÓRMULA MANUAL]","",IFERROR(AVERAGEIFS(DATOS!$K$2:$K$20000,DATOS!$A$2:$A$20000,AE762,DATOS!$G$2:$G$20000,CONFIG_METADATA!$B$4,DATOS!$I$2:$I$20000,"Orquesta/Banda/Conjunto"),"")))</f>
        <v/>
      </c>
      <c r="AH762" t="str">
        <f>IF(AE762="","",IF(AE762="[FÓRMULA MANUAL]","",IFERROR(AVERAGEIFS(DATOS!$K$2:$K$20000,DATOS!$A$2:$A$20000,AE762,DATOS!$G$2:$G$20000,CONFIG_METADATA!$B$4,DATOS!$I$2:$I$20000,"Música de Cámara"),"")))</f>
        <v/>
      </c>
      <c r="AI762" t="str">
        <f>IF(AE762="","",IF(AE762="[FÓRMULA MANUAL]","",IFERROR(SUMPRODUCT((DATOS!$A$2:$A$20000=AE762)*(DATOS!$G$2:$G$20000=CONFIG_METADATA!$B$4)*(COUNTIF(CONFIG_ASIGNATURAS!$B$7:$B$27,DATOS!$I$2:$I$20000)&gt;0)*(DATOS!$K$2:$K$20000))/SUMPRODUCT((DATOS!$A$2:$A$20000=AE762)*(DATOS!$G$2:$G$20000=CONFIG_METADATA!$B$4)*(COUNTIF(CONFIG_ASIGNATURAS!$B$7:$B$27,DATOS!$I$2:$I$20000)&gt;0)*1),"")))</f>
        <v/>
      </c>
    </row>
    <row r="763" spans="2:35" x14ac:dyDescent="0.2">
      <c r="B763" t="str">
        <f>IF(A763="","",IF(A763="[FÓRMULA MANUAL]","",IFERROR(AVERAGEIFS(DATOS!$K$2:$K$20000,DATOS!$A$2:$A$20000,A763,DATOS!$G$2:$G$20000,CONFIG_METADATA!$B$4,DATOS!$I$2:$I$20000,"Lenguaje Musical"),"")))</f>
        <v/>
      </c>
      <c r="C763" t="str">
        <f>IF(A763="","",IF(A763="[FÓRMULA MANUAL]","",IFERROR(AVERAGEIFS(DATOS!$K$2:$K$20000,DATOS!$A$2:$A$20000,A763,DATOS!$G$2:$G$20000,CONFIG_METADATA!$B$4,DATOS!$I$2:$I$20000,"Orquesta/Banda/Conjunto"),"")))</f>
        <v/>
      </c>
      <c r="D763" t="str">
        <f>IF(A763="","",IF(A763="[FÓRMULA MANUAL]","",IFERROR(AVERAGEIFS(DATOS!$K$2:$K$20000,DATOS!$A$2:$A$20000,A763,DATOS!$G$2:$G$20000,CONFIG_METADATA!$B$4,DATOS!$I$2:$I$20000,"Conjunto"),"")))</f>
        <v/>
      </c>
      <c r="E763" t="str">
        <f>IF(A763="","",IF(A763="[FÓRMULA MANUAL]","",IFERROR(SUMPRODUCT((DATOS!$A$2:$A$20000=A763)*(DATOS!$G$2:$G$20000=CONFIG_METADATA!$B$4)*(COUNTIF(CONFIG_ASIGNATURAS!$B$7:$B$27,DATOS!$I$2:$I$20000)&gt;0)*(DATOS!$K$2:$K$20000))/SUMPRODUCT((DATOS!$A$2:$A$20000=A763)*(DATOS!$G$2:$G$20000=CONFIG_METADATA!$B$4)*(COUNTIF(CONFIG_ASIGNATURAS!$B$7:$B$27,DATOS!$I$2:$I$20000)&gt;0)*1),"")))</f>
        <v/>
      </c>
      <c r="H763" t="str">
        <f>IF(G763="","",IF(G763="[FÓRMULA MANUAL]","",IFERROR(AVERAGEIFS(DATOS!$K$2:$K$20000,DATOS!$A$2:$A$20000,G763,DATOS!$G$2:$G$20000,CONFIG_METADATA!$B$4,DATOS!$I$2:$I$20000,"Lenguaje Musical"),"")))</f>
        <v/>
      </c>
      <c r="I763" t="str">
        <f>IF(G763="","",IF(G763="[FÓRMULA MANUAL]","",IFERROR(AVERAGEIFS(DATOS!$K$2:$K$20000,DATOS!$A$2:$A$20000,G763,DATOS!$G$2:$G$20000,CONFIG_METADATA!$B$4,DATOS!$I$2:$I$20000,"Orquesta/Banda/Conjunto"),"")))</f>
        <v/>
      </c>
      <c r="J763" t="str">
        <f>IF(G763="","",IF(G763="[FÓRMULA MANUAL]","",IFERROR(AVERAGEIFS(DATOS!$K$2:$K$20000,DATOS!$A$2:$A$20000,G763,DATOS!$G$2:$G$20000,CONFIG_METADATA!$B$4,DATOS!$I$2:$I$20000,"Conjunto"),"")))</f>
        <v/>
      </c>
      <c r="K763" t="str">
        <f>IF(G763="","",IF(G763="[FÓRMULA MANUAL]","",IFERROR(SUMPRODUCT((DATOS!$A$2:$A$20000=G763)*(DATOS!$G$2:$G$20000=CONFIG_METADATA!$B$4)*(COUNTIF(CONFIG_ASIGNATURAS!$B$7:$B$27,DATOS!$I$2:$I$20000)&gt;0)*(DATOS!$K$2:$K$20000))/SUMPRODUCT((DATOS!$A$2:$A$20000=G763)*(DATOS!$G$2:$G$20000=CONFIG_METADATA!$B$4)*(COUNTIF(CONFIG_ASIGNATURAS!$B$7:$B$27,DATOS!$I$2:$I$20000)&gt;0)*1),"")))</f>
        <v/>
      </c>
      <c r="N763" t="str">
        <f>IF(M763="","",IF(M763="[FÓRMULA MANUAL]","",IFERROR(AVERAGEIFS(DATOS!$K$2:$K$20000,DATOS!$A$2:$A$20000,M763,DATOS!$G$2:$G$20000,CONFIG_METADATA!$B$4,DATOS!$I$2:$I$20000,"Armonía"),"")))</f>
        <v/>
      </c>
      <c r="O763" t="str">
        <f>IF(M763="","",IF(M763="[FÓRMULA MANUAL]","",IFERROR(AVERAGEIFS(DATOS!$K$2:$K$20000,DATOS!$A$2:$A$20000,M763,DATOS!$G$2:$G$20000,CONFIG_METADATA!$B$4,DATOS!$I$2:$I$20000,"Orquesta/Banda/Conjunto"),"")))</f>
        <v/>
      </c>
      <c r="P763" t="str">
        <f>IF(M763="","",IF(M763="[FÓRMULA MANUAL]","",IFERROR(AVERAGEIFS(DATOS!$K$2:$K$20000,DATOS!$A$2:$A$20000,M763,DATOS!$G$2:$G$20000,CONFIG_METADATA!$B$4,DATOS!$I$2:$I$20000,"Música de Cámara"),"")))</f>
        <v/>
      </c>
      <c r="Q763" t="str">
        <f>IF(M763="","",IF(M763="[FÓRMULA MANUAL]","",IFERROR(SUMPRODUCT((DATOS!$A$2:$A$20000=M763)*(DATOS!$G$2:$G$20000=CONFIG_METADATA!$B$4)*(COUNTIF(CONFIG_ASIGNATURAS!$B$7:$B$27,DATOS!$I$2:$I$20000)&gt;0)*(DATOS!$K$2:$K$20000))/SUMPRODUCT((DATOS!$A$2:$A$20000=M763)*(DATOS!$G$2:$G$20000=CONFIG_METADATA!$B$4)*(COUNTIF(CONFIG_ASIGNATURAS!$B$7:$B$27,DATOS!$I$2:$I$20000)&gt;0)*1),"")))</f>
        <v/>
      </c>
      <c r="T763" t="str">
        <f>IF(S763="","",IF(S763="[FÓRMULA MANUAL]","",IFERROR(AVERAGEIFS(DATOS!$K$2:$K$20000,DATOS!$A$2:$A$20000,S763,DATOS!$G$2:$G$20000,CONFIG_METADATA!$B$4,DATOS!$I$2:$I$20000,"Armonía"),"")))</f>
        <v/>
      </c>
      <c r="U763" t="str">
        <f>IF(S763="","",IF(S763="[FÓRMULA MANUAL]","",IFERROR(AVERAGEIFS(DATOS!$K$2:$K$20000,DATOS!$A$2:$A$20000,S763,DATOS!$G$2:$G$20000,CONFIG_METADATA!$B$4,DATOS!$I$2:$I$20000,"Orquesta/Banda/Conjunto"),"")))</f>
        <v/>
      </c>
      <c r="V763" t="str">
        <f>IF(S763="","",IF(S763="[FÓRMULA MANUAL]","",IFERROR(AVERAGEIFS(DATOS!$K$2:$K$20000,DATOS!$A$2:$A$20000,S763,DATOS!$G$2:$G$20000,CONFIG_METADATA!$B$4,DATOS!$I$2:$I$20000,"Música de Cámara"),"")))</f>
        <v/>
      </c>
      <c r="W763" t="str">
        <f>IF(S763="","",IF(S763="[FÓRMULA MANUAL]","",IFERROR(SUMPRODUCT((DATOS!$A$2:$A$20000=S763)*(DATOS!$G$2:$G$20000=CONFIG_METADATA!$B$4)*(COUNTIF(CONFIG_ASIGNATURAS!$B$7:$B$27,DATOS!$I$2:$I$20000)&gt;0)*(DATOS!$K$2:$K$20000))/SUMPRODUCT((DATOS!$A$2:$A$20000=S763)*(DATOS!$G$2:$G$20000=CONFIG_METADATA!$B$4)*(COUNTIF(CONFIG_ASIGNATURAS!$B$7:$B$27,DATOS!$I$2:$I$20000)&gt;0)*1),"")))</f>
        <v/>
      </c>
      <c r="Z763" t="str">
        <f>IF(Y763="","",IF(Y763="[FÓRMULA MANUAL]","",IFERROR(AVERAGEIFS(DATOS!$K$2:$K$20000,DATOS!$A$2:$A$20000,Y763,DATOS!$G$2:$G$20000,CONFIG_METADATA!$B$4,DATOS!$I$2:$I$20000,"Análisis"),"")))</f>
        <v/>
      </c>
      <c r="AA763" t="str">
        <f>IF(Y763="","",IF(Y763="[FÓRMULA MANUAL]","",IFERROR(AVERAGEIFS(DATOS!$K$2:$K$20000,DATOS!$A$2:$A$20000,Y763,DATOS!$G$2:$G$20000,CONFIG_METADATA!$B$4,DATOS!$I$2:$I$20000,"Orquesta/Banda/Conjunto"),"")))</f>
        <v/>
      </c>
      <c r="AB763" t="str">
        <f>IF(Y763="","",IF(Y763="[FÓRMULA MANUAL]","",IFERROR(AVERAGEIFS(DATOS!$K$2:$K$20000,DATOS!$A$2:$A$20000,Y763,DATOS!$G$2:$G$20000,CONFIG_METADATA!$B$4,DATOS!$I$2:$I$20000,"Música de Cámara"),"")))</f>
        <v/>
      </c>
      <c r="AC763" t="str">
        <f>IF(Y763="","",IF(Y763="[FÓRMULA MANUAL]","",IFERROR(SUMPRODUCT((DATOS!$A$2:$A$20000=Y763)*(DATOS!$G$2:$G$20000=CONFIG_METADATA!$B$4)*(COUNTIF(CONFIG_ASIGNATURAS!$B$7:$B$27,DATOS!$I$2:$I$20000)&gt;0)*(DATOS!$K$2:$K$20000))/SUMPRODUCT((DATOS!$A$2:$A$20000=Y763)*(DATOS!$G$2:$G$20000=CONFIG_METADATA!$B$4)*(COUNTIF(CONFIG_ASIGNATURAS!$B$7:$B$27,DATOS!$I$2:$I$20000)&gt;0)*1),"")))</f>
        <v/>
      </c>
      <c r="AF763" t="str">
        <f>IF(AE763="","",IF(AE763="[FÓRMULA MANUAL]","",IFERROR(AVERAGEIFS(DATOS!$K$2:$K$20000,DATOS!$A$2:$A$20000,AE763,DATOS!$G$2:$G$20000,CONFIG_METADATA!$B$4,DATOS!$I$2:$I$20000,"Análisis"),"")))</f>
        <v/>
      </c>
      <c r="AG763" t="str">
        <f>IF(AE763="","",IF(AE763="[FÓRMULA MANUAL]","",IFERROR(AVERAGEIFS(DATOS!$K$2:$K$20000,DATOS!$A$2:$A$20000,AE763,DATOS!$G$2:$G$20000,CONFIG_METADATA!$B$4,DATOS!$I$2:$I$20000,"Orquesta/Banda/Conjunto"),"")))</f>
        <v/>
      </c>
      <c r="AH763" t="str">
        <f>IF(AE763="","",IF(AE763="[FÓRMULA MANUAL]","",IFERROR(AVERAGEIFS(DATOS!$K$2:$K$20000,DATOS!$A$2:$A$20000,AE763,DATOS!$G$2:$G$20000,CONFIG_METADATA!$B$4,DATOS!$I$2:$I$20000,"Música de Cámara"),"")))</f>
        <v/>
      </c>
      <c r="AI763" t="str">
        <f>IF(AE763="","",IF(AE763="[FÓRMULA MANUAL]","",IFERROR(SUMPRODUCT((DATOS!$A$2:$A$20000=AE763)*(DATOS!$G$2:$G$20000=CONFIG_METADATA!$B$4)*(COUNTIF(CONFIG_ASIGNATURAS!$B$7:$B$27,DATOS!$I$2:$I$20000)&gt;0)*(DATOS!$K$2:$K$20000))/SUMPRODUCT((DATOS!$A$2:$A$20000=AE763)*(DATOS!$G$2:$G$20000=CONFIG_METADATA!$B$4)*(COUNTIF(CONFIG_ASIGNATURAS!$B$7:$B$27,DATOS!$I$2:$I$20000)&gt;0)*1),"")))</f>
        <v/>
      </c>
    </row>
    <row r="764" spans="2:35" x14ac:dyDescent="0.2">
      <c r="B764" t="str">
        <f>IF(A764="","",IF(A764="[FÓRMULA MANUAL]","",IFERROR(AVERAGEIFS(DATOS!$K$2:$K$20000,DATOS!$A$2:$A$20000,A764,DATOS!$G$2:$G$20000,CONFIG_METADATA!$B$4,DATOS!$I$2:$I$20000,"Lenguaje Musical"),"")))</f>
        <v/>
      </c>
      <c r="C764" t="str">
        <f>IF(A764="","",IF(A764="[FÓRMULA MANUAL]","",IFERROR(AVERAGEIFS(DATOS!$K$2:$K$20000,DATOS!$A$2:$A$20000,A764,DATOS!$G$2:$G$20000,CONFIG_METADATA!$B$4,DATOS!$I$2:$I$20000,"Orquesta/Banda/Conjunto"),"")))</f>
        <v/>
      </c>
      <c r="D764" t="str">
        <f>IF(A764="","",IF(A764="[FÓRMULA MANUAL]","",IFERROR(AVERAGEIFS(DATOS!$K$2:$K$20000,DATOS!$A$2:$A$20000,A764,DATOS!$G$2:$G$20000,CONFIG_METADATA!$B$4,DATOS!$I$2:$I$20000,"Conjunto"),"")))</f>
        <v/>
      </c>
      <c r="E764" t="str">
        <f>IF(A764="","",IF(A764="[FÓRMULA MANUAL]","",IFERROR(SUMPRODUCT((DATOS!$A$2:$A$20000=A764)*(DATOS!$G$2:$G$20000=CONFIG_METADATA!$B$4)*(COUNTIF(CONFIG_ASIGNATURAS!$B$7:$B$27,DATOS!$I$2:$I$20000)&gt;0)*(DATOS!$K$2:$K$20000))/SUMPRODUCT((DATOS!$A$2:$A$20000=A764)*(DATOS!$G$2:$G$20000=CONFIG_METADATA!$B$4)*(COUNTIF(CONFIG_ASIGNATURAS!$B$7:$B$27,DATOS!$I$2:$I$20000)&gt;0)*1),"")))</f>
        <v/>
      </c>
      <c r="H764" t="str">
        <f>IF(G764="","",IF(G764="[FÓRMULA MANUAL]","",IFERROR(AVERAGEIFS(DATOS!$K$2:$K$20000,DATOS!$A$2:$A$20000,G764,DATOS!$G$2:$G$20000,CONFIG_METADATA!$B$4,DATOS!$I$2:$I$20000,"Lenguaje Musical"),"")))</f>
        <v/>
      </c>
      <c r="I764" t="str">
        <f>IF(G764="","",IF(G764="[FÓRMULA MANUAL]","",IFERROR(AVERAGEIFS(DATOS!$K$2:$K$20000,DATOS!$A$2:$A$20000,G764,DATOS!$G$2:$G$20000,CONFIG_METADATA!$B$4,DATOS!$I$2:$I$20000,"Orquesta/Banda/Conjunto"),"")))</f>
        <v/>
      </c>
      <c r="J764" t="str">
        <f>IF(G764="","",IF(G764="[FÓRMULA MANUAL]","",IFERROR(AVERAGEIFS(DATOS!$K$2:$K$20000,DATOS!$A$2:$A$20000,G764,DATOS!$G$2:$G$20000,CONFIG_METADATA!$B$4,DATOS!$I$2:$I$20000,"Conjunto"),"")))</f>
        <v/>
      </c>
      <c r="K764" t="str">
        <f>IF(G764="","",IF(G764="[FÓRMULA MANUAL]","",IFERROR(SUMPRODUCT((DATOS!$A$2:$A$20000=G764)*(DATOS!$G$2:$G$20000=CONFIG_METADATA!$B$4)*(COUNTIF(CONFIG_ASIGNATURAS!$B$7:$B$27,DATOS!$I$2:$I$20000)&gt;0)*(DATOS!$K$2:$K$20000))/SUMPRODUCT((DATOS!$A$2:$A$20000=G764)*(DATOS!$G$2:$G$20000=CONFIG_METADATA!$B$4)*(COUNTIF(CONFIG_ASIGNATURAS!$B$7:$B$27,DATOS!$I$2:$I$20000)&gt;0)*1),"")))</f>
        <v/>
      </c>
      <c r="N764" t="str">
        <f>IF(M764="","",IF(M764="[FÓRMULA MANUAL]","",IFERROR(AVERAGEIFS(DATOS!$K$2:$K$20000,DATOS!$A$2:$A$20000,M764,DATOS!$G$2:$G$20000,CONFIG_METADATA!$B$4,DATOS!$I$2:$I$20000,"Armonía"),"")))</f>
        <v/>
      </c>
      <c r="O764" t="str">
        <f>IF(M764="","",IF(M764="[FÓRMULA MANUAL]","",IFERROR(AVERAGEIFS(DATOS!$K$2:$K$20000,DATOS!$A$2:$A$20000,M764,DATOS!$G$2:$G$20000,CONFIG_METADATA!$B$4,DATOS!$I$2:$I$20000,"Orquesta/Banda/Conjunto"),"")))</f>
        <v/>
      </c>
      <c r="P764" t="str">
        <f>IF(M764="","",IF(M764="[FÓRMULA MANUAL]","",IFERROR(AVERAGEIFS(DATOS!$K$2:$K$20000,DATOS!$A$2:$A$20000,M764,DATOS!$G$2:$G$20000,CONFIG_METADATA!$B$4,DATOS!$I$2:$I$20000,"Música de Cámara"),"")))</f>
        <v/>
      </c>
      <c r="Q764" t="str">
        <f>IF(M764="","",IF(M764="[FÓRMULA MANUAL]","",IFERROR(SUMPRODUCT((DATOS!$A$2:$A$20000=M764)*(DATOS!$G$2:$G$20000=CONFIG_METADATA!$B$4)*(COUNTIF(CONFIG_ASIGNATURAS!$B$7:$B$27,DATOS!$I$2:$I$20000)&gt;0)*(DATOS!$K$2:$K$20000))/SUMPRODUCT((DATOS!$A$2:$A$20000=M764)*(DATOS!$G$2:$G$20000=CONFIG_METADATA!$B$4)*(COUNTIF(CONFIG_ASIGNATURAS!$B$7:$B$27,DATOS!$I$2:$I$20000)&gt;0)*1),"")))</f>
        <v/>
      </c>
      <c r="T764" t="str">
        <f>IF(S764="","",IF(S764="[FÓRMULA MANUAL]","",IFERROR(AVERAGEIFS(DATOS!$K$2:$K$20000,DATOS!$A$2:$A$20000,S764,DATOS!$G$2:$G$20000,CONFIG_METADATA!$B$4,DATOS!$I$2:$I$20000,"Armonía"),"")))</f>
        <v/>
      </c>
      <c r="U764" t="str">
        <f>IF(S764="","",IF(S764="[FÓRMULA MANUAL]","",IFERROR(AVERAGEIFS(DATOS!$K$2:$K$20000,DATOS!$A$2:$A$20000,S764,DATOS!$G$2:$G$20000,CONFIG_METADATA!$B$4,DATOS!$I$2:$I$20000,"Orquesta/Banda/Conjunto"),"")))</f>
        <v/>
      </c>
      <c r="V764" t="str">
        <f>IF(S764="","",IF(S764="[FÓRMULA MANUAL]","",IFERROR(AVERAGEIFS(DATOS!$K$2:$K$20000,DATOS!$A$2:$A$20000,S764,DATOS!$G$2:$G$20000,CONFIG_METADATA!$B$4,DATOS!$I$2:$I$20000,"Música de Cámara"),"")))</f>
        <v/>
      </c>
      <c r="W764" t="str">
        <f>IF(S764="","",IF(S764="[FÓRMULA MANUAL]","",IFERROR(SUMPRODUCT((DATOS!$A$2:$A$20000=S764)*(DATOS!$G$2:$G$20000=CONFIG_METADATA!$B$4)*(COUNTIF(CONFIG_ASIGNATURAS!$B$7:$B$27,DATOS!$I$2:$I$20000)&gt;0)*(DATOS!$K$2:$K$20000))/SUMPRODUCT((DATOS!$A$2:$A$20000=S764)*(DATOS!$G$2:$G$20000=CONFIG_METADATA!$B$4)*(COUNTIF(CONFIG_ASIGNATURAS!$B$7:$B$27,DATOS!$I$2:$I$20000)&gt;0)*1),"")))</f>
        <v/>
      </c>
      <c r="Z764" t="str">
        <f>IF(Y764="","",IF(Y764="[FÓRMULA MANUAL]","",IFERROR(AVERAGEIFS(DATOS!$K$2:$K$20000,DATOS!$A$2:$A$20000,Y764,DATOS!$G$2:$G$20000,CONFIG_METADATA!$B$4,DATOS!$I$2:$I$20000,"Análisis"),"")))</f>
        <v/>
      </c>
      <c r="AA764" t="str">
        <f>IF(Y764="","",IF(Y764="[FÓRMULA MANUAL]","",IFERROR(AVERAGEIFS(DATOS!$K$2:$K$20000,DATOS!$A$2:$A$20000,Y764,DATOS!$G$2:$G$20000,CONFIG_METADATA!$B$4,DATOS!$I$2:$I$20000,"Orquesta/Banda/Conjunto"),"")))</f>
        <v/>
      </c>
      <c r="AB764" t="str">
        <f>IF(Y764="","",IF(Y764="[FÓRMULA MANUAL]","",IFERROR(AVERAGEIFS(DATOS!$K$2:$K$20000,DATOS!$A$2:$A$20000,Y764,DATOS!$G$2:$G$20000,CONFIG_METADATA!$B$4,DATOS!$I$2:$I$20000,"Música de Cámara"),"")))</f>
        <v/>
      </c>
      <c r="AC764" t="str">
        <f>IF(Y764="","",IF(Y764="[FÓRMULA MANUAL]","",IFERROR(SUMPRODUCT((DATOS!$A$2:$A$20000=Y764)*(DATOS!$G$2:$G$20000=CONFIG_METADATA!$B$4)*(COUNTIF(CONFIG_ASIGNATURAS!$B$7:$B$27,DATOS!$I$2:$I$20000)&gt;0)*(DATOS!$K$2:$K$20000))/SUMPRODUCT((DATOS!$A$2:$A$20000=Y764)*(DATOS!$G$2:$G$20000=CONFIG_METADATA!$B$4)*(COUNTIF(CONFIG_ASIGNATURAS!$B$7:$B$27,DATOS!$I$2:$I$20000)&gt;0)*1),"")))</f>
        <v/>
      </c>
      <c r="AF764" t="str">
        <f>IF(AE764="","",IF(AE764="[FÓRMULA MANUAL]","",IFERROR(AVERAGEIFS(DATOS!$K$2:$K$20000,DATOS!$A$2:$A$20000,AE764,DATOS!$G$2:$G$20000,CONFIG_METADATA!$B$4,DATOS!$I$2:$I$20000,"Análisis"),"")))</f>
        <v/>
      </c>
      <c r="AG764" t="str">
        <f>IF(AE764="","",IF(AE764="[FÓRMULA MANUAL]","",IFERROR(AVERAGEIFS(DATOS!$K$2:$K$20000,DATOS!$A$2:$A$20000,AE764,DATOS!$G$2:$G$20000,CONFIG_METADATA!$B$4,DATOS!$I$2:$I$20000,"Orquesta/Banda/Conjunto"),"")))</f>
        <v/>
      </c>
      <c r="AH764" t="str">
        <f>IF(AE764="","",IF(AE764="[FÓRMULA MANUAL]","",IFERROR(AVERAGEIFS(DATOS!$K$2:$K$20000,DATOS!$A$2:$A$20000,AE764,DATOS!$G$2:$G$20000,CONFIG_METADATA!$B$4,DATOS!$I$2:$I$20000,"Música de Cámara"),"")))</f>
        <v/>
      </c>
      <c r="AI764" t="str">
        <f>IF(AE764="","",IF(AE764="[FÓRMULA MANUAL]","",IFERROR(SUMPRODUCT((DATOS!$A$2:$A$20000=AE764)*(DATOS!$G$2:$G$20000=CONFIG_METADATA!$B$4)*(COUNTIF(CONFIG_ASIGNATURAS!$B$7:$B$27,DATOS!$I$2:$I$20000)&gt;0)*(DATOS!$K$2:$K$20000))/SUMPRODUCT((DATOS!$A$2:$A$20000=AE764)*(DATOS!$G$2:$G$20000=CONFIG_METADATA!$B$4)*(COUNTIF(CONFIG_ASIGNATURAS!$B$7:$B$27,DATOS!$I$2:$I$20000)&gt;0)*1),"")))</f>
        <v/>
      </c>
    </row>
    <row r="765" spans="2:35" x14ac:dyDescent="0.2">
      <c r="B765" t="str">
        <f>IF(A765="","",IF(A765="[FÓRMULA MANUAL]","",IFERROR(AVERAGEIFS(DATOS!$K$2:$K$20000,DATOS!$A$2:$A$20000,A765,DATOS!$G$2:$G$20000,CONFIG_METADATA!$B$4,DATOS!$I$2:$I$20000,"Lenguaje Musical"),"")))</f>
        <v/>
      </c>
      <c r="C765" t="str">
        <f>IF(A765="","",IF(A765="[FÓRMULA MANUAL]","",IFERROR(AVERAGEIFS(DATOS!$K$2:$K$20000,DATOS!$A$2:$A$20000,A765,DATOS!$G$2:$G$20000,CONFIG_METADATA!$B$4,DATOS!$I$2:$I$20000,"Orquesta/Banda/Conjunto"),"")))</f>
        <v/>
      </c>
      <c r="D765" t="str">
        <f>IF(A765="","",IF(A765="[FÓRMULA MANUAL]","",IFERROR(AVERAGEIFS(DATOS!$K$2:$K$20000,DATOS!$A$2:$A$20000,A765,DATOS!$G$2:$G$20000,CONFIG_METADATA!$B$4,DATOS!$I$2:$I$20000,"Conjunto"),"")))</f>
        <v/>
      </c>
      <c r="E765" t="str">
        <f>IF(A765="","",IF(A765="[FÓRMULA MANUAL]","",IFERROR(SUMPRODUCT((DATOS!$A$2:$A$20000=A765)*(DATOS!$G$2:$G$20000=CONFIG_METADATA!$B$4)*(COUNTIF(CONFIG_ASIGNATURAS!$B$7:$B$27,DATOS!$I$2:$I$20000)&gt;0)*(DATOS!$K$2:$K$20000))/SUMPRODUCT((DATOS!$A$2:$A$20000=A765)*(DATOS!$G$2:$G$20000=CONFIG_METADATA!$B$4)*(COUNTIF(CONFIG_ASIGNATURAS!$B$7:$B$27,DATOS!$I$2:$I$20000)&gt;0)*1),"")))</f>
        <v/>
      </c>
      <c r="H765" t="str">
        <f>IF(G765="","",IF(G765="[FÓRMULA MANUAL]","",IFERROR(AVERAGEIFS(DATOS!$K$2:$K$20000,DATOS!$A$2:$A$20000,G765,DATOS!$G$2:$G$20000,CONFIG_METADATA!$B$4,DATOS!$I$2:$I$20000,"Lenguaje Musical"),"")))</f>
        <v/>
      </c>
      <c r="I765" t="str">
        <f>IF(G765="","",IF(G765="[FÓRMULA MANUAL]","",IFERROR(AVERAGEIFS(DATOS!$K$2:$K$20000,DATOS!$A$2:$A$20000,G765,DATOS!$G$2:$G$20000,CONFIG_METADATA!$B$4,DATOS!$I$2:$I$20000,"Orquesta/Banda/Conjunto"),"")))</f>
        <v/>
      </c>
      <c r="J765" t="str">
        <f>IF(G765="","",IF(G765="[FÓRMULA MANUAL]","",IFERROR(AVERAGEIFS(DATOS!$K$2:$K$20000,DATOS!$A$2:$A$20000,G765,DATOS!$G$2:$G$20000,CONFIG_METADATA!$B$4,DATOS!$I$2:$I$20000,"Conjunto"),"")))</f>
        <v/>
      </c>
      <c r="K765" t="str">
        <f>IF(G765="","",IF(G765="[FÓRMULA MANUAL]","",IFERROR(SUMPRODUCT((DATOS!$A$2:$A$20000=G765)*(DATOS!$G$2:$G$20000=CONFIG_METADATA!$B$4)*(COUNTIF(CONFIG_ASIGNATURAS!$B$7:$B$27,DATOS!$I$2:$I$20000)&gt;0)*(DATOS!$K$2:$K$20000))/SUMPRODUCT((DATOS!$A$2:$A$20000=G765)*(DATOS!$G$2:$G$20000=CONFIG_METADATA!$B$4)*(COUNTIF(CONFIG_ASIGNATURAS!$B$7:$B$27,DATOS!$I$2:$I$20000)&gt;0)*1),"")))</f>
        <v/>
      </c>
      <c r="N765" t="str">
        <f>IF(M765="","",IF(M765="[FÓRMULA MANUAL]","",IFERROR(AVERAGEIFS(DATOS!$K$2:$K$20000,DATOS!$A$2:$A$20000,M765,DATOS!$G$2:$G$20000,CONFIG_METADATA!$B$4,DATOS!$I$2:$I$20000,"Armonía"),"")))</f>
        <v/>
      </c>
      <c r="O765" t="str">
        <f>IF(M765="","",IF(M765="[FÓRMULA MANUAL]","",IFERROR(AVERAGEIFS(DATOS!$K$2:$K$20000,DATOS!$A$2:$A$20000,M765,DATOS!$G$2:$G$20000,CONFIG_METADATA!$B$4,DATOS!$I$2:$I$20000,"Orquesta/Banda/Conjunto"),"")))</f>
        <v/>
      </c>
      <c r="P765" t="str">
        <f>IF(M765="","",IF(M765="[FÓRMULA MANUAL]","",IFERROR(AVERAGEIFS(DATOS!$K$2:$K$20000,DATOS!$A$2:$A$20000,M765,DATOS!$G$2:$G$20000,CONFIG_METADATA!$B$4,DATOS!$I$2:$I$20000,"Música de Cámara"),"")))</f>
        <v/>
      </c>
      <c r="Q765" t="str">
        <f>IF(M765="","",IF(M765="[FÓRMULA MANUAL]","",IFERROR(SUMPRODUCT((DATOS!$A$2:$A$20000=M765)*(DATOS!$G$2:$G$20000=CONFIG_METADATA!$B$4)*(COUNTIF(CONFIG_ASIGNATURAS!$B$7:$B$27,DATOS!$I$2:$I$20000)&gt;0)*(DATOS!$K$2:$K$20000))/SUMPRODUCT((DATOS!$A$2:$A$20000=M765)*(DATOS!$G$2:$G$20000=CONFIG_METADATA!$B$4)*(COUNTIF(CONFIG_ASIGNATURAS!$B$7:$B$27,DATOS!$I$2:$I$20000)&gt;0)*1),"")))</f>
        <v/>
      </c>
      <c r="T765" t="str">
        <f>IF(S765="","",IF(S765="[FÓRMULA MANUAL]","",IFERROR(AVERAGEIFS(DATOS!$K$2:$K$20000,DATOS!$A$2:$A$20000,S765,DATOS!$G$2:$G$20000,CONFIG_METADATA!$B$4,DATOS!$I$2:$I$20000,"Armonía"),"")))</f>
        <v/>
      </c>
      <c r="U765" t="str">
        <f>IF(S765="","",IF(S765="[FÓRMULA MANUAL]","",IFERROR(AVERAGEIFS(DATOS!$K$2:$K$20000,DATOS!$A$2:$A$20000,S765,DATOS!$G$2:$G$20000,CONFIG_METADATA!$B$4,DATOS!$I$2:$I$20000,"Orquesta/Banda/Conjunto"),"")))</f>
        <v/>
      </c>
      <c r="V765" t="str">
        <f>IF(S765="","",IF(S765="[FÓRMULA MANUAL]","",IFERROR(AVERAGEIFS(DATOS!$K$2:$K$20000,DATOS!$A$2:$A$20000,S765,DATOS!$G$2:$G$20000,CONFIG_METADATA!$B$4,DATOS!$I$2:$I$20000,"Música de Cámara"),"")))</f>
        <v/>
      </c>
      <c r="W765" t="str">
        <f>IF(S765="","",IF(S765="[FÓRMULA MANUAL]","",IFERROR(SUMPRODUCT((DATOS!$A$2:$A$20000=S765)*(DATOS!$G$2:$G$20000=CONFIG_METADATA!$B$4)*(COUNTIF(CONFIG_ASIGNATURAS!$B$7:$B$27,DATOS!$I$2:$I$20000)&gt;0)*(DATOS!$K$2:$K$20000))/SUMPRODUCT((DATOS!$A$2:$A$20000=S765)*(DATOS!$G$2:$G$20000=CONFIG_METADATA!$B$4)*(COUNTIF(CONFIG_ASIGNATURAS!$B$7:$B$27,DATOS!$I$2:$I$20000)&gt;0)*1),"")))</f>
        <v/>
      </c>
      <c r="Z765" t="str">
        <f>IF(Y765="","",IF(Y765="[FÓRMULA MANUAL]","",IFERROR(AVERAGEIFS(DATOS!$K$2:$K$20000,DATOS!$A$2:$A$20000,Y765,DATOS!$G$2:$G$20000,CONFIG_METADATA!$B$4,DATOS!$I$2:$I$20000,"Análisis"),"")))</f>
        <v/>
      </c>
      <c r="AA765" t="str">
        <f>IF(Y765="","",IF(Y765="[FÓRMULA MANUAL]","",IFERROR(AVERAGEIFS(DATOS!$K$2:$K$20000,DATOS!$A$2:$A$20000,Y765,DATOS!$G$2:$G$20000,CONFIG_METADATA!$B$4,DATOS!$I$2:$I$20000,"Orquesta/Banda/Conjunto"),"")))</f>
        <v/>
      </c>
      <c r="AB765" t="str">
        <f>IF(Y765="","",IF(Y765="[FÓRMULA MANUAL]","",IFERROR(AVERAGEIFS(DATOS!$K$2:$K$20000,DATOS!$A$2:$A$20000,Y765,DATOS!$G$2:$G$20000,CONFIG_METADATA!$B$4,DATOS!$I$2:$I$20000,"Música de Cámara"),"")))</f>
        <v/>
      </c>
      <c r="AC765" t="str">
        <f>IF(Y765="","",IF(Y765="[FÓRMULA MANUAL]","",IFERROR(SUMPRODUCT((DATOS!$A$2:$A$20000=Y765)*(DATOS!$G$2:$G$20000=CONFIG_METADATA!$B$4)*(COUNTIF(CONFIG_ASIGNATURAS!$B$7:$B$27,DATOS!$I$2:$I$20000)&gt;0)*(DATOS!$K$2:$K$20000))/SUMPRODUCT((DATOS!$A$2:$A$20000=Y765)*(DATOS!$G$2:$G$20000=CONFIG_METADATA!$B$4)*(COUNTIF(CONFIG_ASIGNATURAS!$B$7:$B$27,DATOS!$I$2:$I$20000)&gt;0)*1),"")))</f>
        <v/>
      </c>
      <c r="AF765" t="str">
        <f>IF(AE765="","",IF(AE765="[FÓRMULA MANUAL]","",IFERROR(AVERAGEIFS(DATOS!$K$2:$K$20000,DATOS!$A$2:$A$20000,AE765,DATOS!$G$2:$G$20000,CONFIG_METADATA!$B$4,DATOS!$I$2:$I$20000,"Análisis"),"")))</f>
        <v/>
      </c>
      <c r="AG765" t="str">
        <f>IF(AE765="","",IF(AE765="[FÓRMULA MANUAL]","",IFERROR(AVERAGEIFS(DATOS!$K$2:$K$20000,DATOS!$A$2:$A$20000,AE765,DATOS!$G$2:$G$20000,CONFIG_METADATA!$B$4,DATOS!$I$2:$I$20000,"Orquesta/Banda/Conjunto"),"")))</f>
        <v/>
      </c>
      <c r="AH765" t="str">
        <f>IF(AE765="","",IF(AE765="[FÓRMULA MANUAL]","",IFERROR(AVERAGEIFS(DATOS!$K$2:$K$20000,DATOS!$A$2:$A$20000,AE765,DATOS!$G$2:$G$20000,CONFIG_METADATA!$B$4,DATOS!$I$2:$I$20000,"Música de Cámara"),"")))</f>
        <v/>
      </c>
      <c r="AI765" t="str">
        <f>IF(AE765="","",IF(AE765="[FÓRMULA MANUAL]","",IFERROR(SUMPRODUCT((DATOS!$A$2:$A$20000=AE765)*(DATOS!$G$2:$G$20000=CONFIG_METADATA!$B$4)*(COUNTIF(CONFIG_ASIGNATURAS!$B$7:$B$27,DATOS!$I$2:$I$20000)&gt;0)*(DATOS!$K$2:$K$20000))/SUMPRODUCT((DATOS!$A$2:$A$20000=AE765)*(DATOS!$G$2:$G$20000=CONFIG_METADATA!$B$4)*(COUNTIF(CONFIG_ASIGNATURAS!$B$7:$B$27,DATOS!$I$2:$I$20000)&gt;0)*1),"")))</f>
        <v/>
      </c>
    </row>
    <row r="766" spans="2:35" x14ac:dyDescent="0.2">
      <c r="B766" t="str">
        <f>IF(A766="","",IF(A766="[FÓRMULA MANUAL]","",IFERROR(AVERAGEIFS(DATOS!$K$2:$K$20000,DATOS!$A$2:$A$20000,A766,DATOS!$G$2:$G$20000,CONFIG_METADATA!$B$4,DATOS!$I$2:$I$20000,"Lenguaje Musical"),"")))</f>
        <v/>
      </c>
      <c r="C766" t="str">
        <f>IF(A766="","",IF(A766="[FÓRMULA MANUAL]","",IFERROR(AVERAGEIFS(DATOS!$K$2:$K$20000,DATOS!$A$2:$A$20000,A766,DATOS!$G$2:$G$20000,CONFIG_METADATA!$B$4,DATOS!$I$2:$I$20000,"Orquesta/Banda/Conjunto"),"")))</f>
        <v/>
      </c>
      <c r="D766" t="str">
        <f>IF(A766="","",IF(A766="[FÓRMULA MANUAL]","",IFERROR(AVERAGEIFS(DATOS!$K$2:$K$20000,DATOS!$A$2:$A$20000,A766,DATOS!$G$2:$G$20000,CONFIG_METADATA!$B$4,DATOS!$I$2:$I$20000,"Conjunto"),"")))</f>
        <v/>
      </c>
      <c r="E766" t="str">
        <f>IF(A766="","",IF(A766="[FÓRMULA MANUAL]","",IFERROR(SUMPRODUCT((DATOS!$A$2:$A$20000=A766)*(DATOS!$G$2:$G$20000=CONFIG_METADATA!$B$4)*(COUNTIF(CONFIG_ASIGNATURAS!$B$7:$B$27,DATOS!$I$2:$I$20000)&gt;0)*(DATOS!$K$2:$K$20000))/SUMPRODUCT((DATOS!$A$2:$A$20000=A766)*(DATOS!$G$2:$G$20000=CONFIG_METADATA!$B$4)*(COUNTIF(CONFIG_ASIGNATURAS!$B$7:$B$27,DATOS!$I$2:$I$20000)&gt;0)*1),"")))</f>
        <v/>
      </c>
      <c r="H766" t="str">
        <f>IF(G766="","",IF(G766="[FÓRMULA MANUAL]","",IFERROR(AVERAGEIFS(DATOS!$K$2:$K$20000,DATOS!$A$2:$A$20000,G766,DATOS!$G$2:$G$20000,CONFIG_METADATA!$B$4,DATOS!$I$2:$I$20000,"Lenguaje Musical"),"")))</f>
        <v/>
      </c>
      <c r="I766" t="str">
        <f>IF(G766="","",IF(G766="[FÓRMULA MANUAL]","",IFERROR(AVERAGEIFS(DATOS!$K$2:$K$20000,DATOS!$A$2:$A$20000,G766,DATOS!$G$2:$G$20000,CONFIG_METADATA!$B$4,DATOS!$I$2:$I$20000,"Orquesta/Banda/Conjunto"),"")))</f>
        <v/>
      </c>
      <c r="J766" t="str">
        <f>IF(G766="","",IF(G766="[FÓRMULA MANUAL]","",IFERROR(AVERAGEIFS(DATOS!$K$2:$K$20000,DATOS!$A$2:$A$20000,G766,DATOS!$G$2:$G$20000,CONFIG_METADATA!$B$4,DATOS!$I$2:$I$20000,"Conjunto"),"")))</f>
        <v/>
      </c>
      <c r="K766" t="str">
        <f>IF(G766="","",IF(G766="[FÓRMULA MANUAL]","",IFERROR(SUMPRODUCT((DATOS!$A$2:$A$20000=G766)*(DATOS!$G$2:$G$20000=CONFIG_METADATA!$B$4)*(COUNTIF(CONFIG_ASIGNATURAS!$B$7:$B$27,DATOS!$I$2:$I$20000)&gt;0)*(DATOS!$K$2:$K$20000))/SUMPRODUCT((DATOS!$A$2:$A$20000=G766)*(DATOS!$G$2:$G$20000=CONFIG_METADATA!$B$4)*(COUNTIF(CONFIG_ASIGNATURAS!$B$7:$B$27,DATOS!$I$2:$I$20000)&gt;0)*1),"")))</f>
        <v/>
      </c>
      <c r="N766" t="str">
        <f>IF(M766="","",IF(M766="[FÓRMULA MANUAL]","",IFERROR(AVERAGEIFS(DATOS!$K$2:$K$20000,DATOS!$A$2:$A$20000,M766,DATOS!$G$2:$G$20000,CONFIG_METADATA!$B$4,DATOS!$I$2:$I$20000,"Armonía"),"")))</f>
        <v/>
      </c>
      <c r="O766" t="str">
        <f>IF(M766="","",IF(M766="[FÓRMULA MANUAL]","",IFERROR(AVERAGEIFS(DATOS!$K$2:$K$20000,DATOS!$A$2:$A$20000,M766,DATOS!$G$2:$G$20000,CONFIG_METADATA!$B$4,DATOS!$I$2:$I$20000,"Orquesta/Banda/Conjunto"),"")))</f>
        <v/>
      </c>
      <c r="P766" t="str">
        <f>IF(M766="","",IF(M766="[FÓRMULA MANUAL]","",IFERROR(AVERAGEIFS(DATOS!$K$2:$K$20000,DATOS!$A$2:$A$20000,M766,DATOS!$G$2:$G$20000,CONFIG_METADATA!$B$4,DATOS!$I$2:$I$20000,"Música de Cámara"),"")))</f>
        <v/>
      </c>
      <c r="Q766" t="str">
        <f>IF(M766="","",IF(M766="[FÓRMULA MANUAL]","",IFERROR(SUMPRODUCT((DATOS!$A$2:$A$20000=M766)*(DATOS!$G$2:$G$20000=CONFIG_METADATA!$B$4)*(COUNTIF(CONFIG_ASIGNATURAS!$B$7:$B$27,DATOS!$I$2:$I$20000)&gt;0)*(DATOS!$K$2:$K$20000))/SUMPRODUCT((DATOS!$A$2:$A$20000=M766)*(DATOS!$G$2:$G$20000=CONFIG_METADATA!$B$4)*(COUNTIF(CONFIG_ASIGNATURAS!$B$7:$B$27,DATOS!$I$2:$I$20000)&gt;0)*1),"")))</f>
        <v/>
      </c>
      <c r="T766" t="str">
        <f>IF(S766="","",IF(S766="[FÓRMULA MANUAL]","",IFERROR(AVERAGEIFS(DATOS!$K$2:$K$20000,DATOS!$A$2:$A$20000,S766,DATOS!$G$2:$G$20000,CONFIG_METADATA!$B$4,DATOS!$I$2:$I$20000,"Armonía"),"")))</f>
        <v/>
      </c>
      <c r="U766" t="str">
        <f>IF(S766="","",IF(S766="[FÓRMULA MANUAL]","",IFERROR(AVERAGEIFS(DATOS!$K$2:$K$20000,DATOS!$A$2:$A$20000,S766,DATOS!$G$2:$G$20000,CONFIG_METADATA!$B$4,DATOS!$I$2:$I$20000,"Orquesta/Banda/Conjunto"),"")))</f>
        <v/>
      </c>
      <c r="V766" t="str">
        <f>IF(S766="","",IF(S766="[FÓRMULA MANUAL]","",IFERROR(AVERAGEIFS(DATOS!$K$2:$K$20000,DATOS!$A$2:$A$20000,S766,DATOS!$G$2:$G$20000,CONFIG_METADATA!$B$4,DATOS!$I$2:$I$20000,"Música de Cámara"),"")))</f>
        <v/>
      </c>
      <c r="W766" t="str">
        <f>IF(S766="","",IF(S766="[FÓRMULA MANUAL]","",IFERROR(SUMPRODUCT((DATOS!$A$2:$A$20000=S766)*(DATOS!$G$2:$G$20000=CONFIG_METADATA!$B$4)*(COUNTIF(CONFIG_ASIGNATURAS!$B$7:$B$27,DATOS!$I$2:$I$20000)&gt;0)*(DATOS!$K$2:$K$20000))/SUMPRODUCT((DATOS!$A$2:$A$20000=S766)*(DATOS!$G$2:$G$20000=CONFIG_METADATA!$B$4)*(COUNTIF(CONFIG_ASIGNATURAS!$B$7:$B$27,DATOS!$I$2:$I$20000)&gt;0)*1),"")))</f>
        <v/>
      </c>
      <c r="Z766" t="str">
        <f>IF(Y766="","",IF(Y766="[FÓRMULA MANUAL]","",IFERROR(AVERAGEIFS(DATOS!$K$2:$K$20000,DATOS!$A$2:$A$20000,Y766,DATOS!$G$2:$G$20000,CONFIG_METADATA!$B$4,DATOS!$I$2:$I$20000,"Análisis"),"")))</f>
        <v/>
      </c>
      <c r="AA766" t="str">
        <f>IF(Y766="","",IF(Y766="[FÓRMULA MANUAL]","",IFERROR(AVERAGEIFS(DATOS!$K$2:$K$20000,DATOS!$A$2:$A$20000,Y766,DATOS!$G$2:$G$20000,CONFIG_METADATA!$B$4,DATOS!$I$2:$I$20000,"Orquesta/Banda/Conjunto"),"")))</f>
        <v/>
      </c>
      <c r="AB766" t="str">
        <f>IF(Y766="","",IF(Y766="[FÓRMULA MANUAL]","",IFERROR(AVERAGEIFS(DATOS!$K$2:$K$20000,DATOS!$A$2:$A$20000,Y766,DATOS!$G$2:$G$20000,CONFIG_METADATA!$B$4,DATOS!$I$2:$I$20000,"Música de Cámara"),"")))</f>
        <v/>
      </c>
      <c r="AC766" t="str">
        <f>IF(Y766="","",IF(Y766="[FÓRMULA MANUAL]","",IFERROR(SUMPRODUCT((DATOS!$A$2:$A$20000=Y766)*(DATOS!$G$2:$G$20000=CONFIG_METADATA!$B$4)*(COUNTIF(CONFIG_ASIGNATURAS!$B$7:$B$27,DATOS!$I$2:$I$20000)&gt;0)*(DATOS!$K$2:$K$20000))/SUMPRODUCT((DATOS!$A$2:$A$20000=Y766)*(DATOS!$G$2:$G$20000=CONFIG_METADATA!$B$4)*(COUNTIF(CONFIG_ASIGNATURAS!$B$7:$B$27,DATOS!$I$2:$I$20000)&gt;0)*1),"")))</f>
        <v/>
      </c>
      <c r="AF766" t="str">
        <f>IF(AE766="","",IF(AE766="[FÓRMULA MANUAL]","",IFERROR(AVERAGEIFS(DATOS!$K$2:$K$20000,DATOS!$A$2:$A$20000,AE766,DATOS!$G$2:$G$20000,CONFIG_METADATA!$B$4,DATOS!$I$2:$I$20000,"Análisis"),"")))</f>
        <v/>
      </c>
      <c r="AG766" t="str">
        <f>IF(AE766="","",IF(AE766="[FÓRMULA MANUAL]","",IFERROR(AVERAGEIFS(DATOS!$K$2:$K$20000,DATOS!$A$2:$A$20000,AE766,DATOS!$G$2:$G$20000,CONFIG_METADATA!$B$4,DATOS!$I$2:$I$20000,"Orquesta/Banda/Conjunto"),"")))</f>
        <v/>
      </c>
      <c r="AH766" t="str">
        <f>IF(AE766="","",IF(AE766="[FÓRMULA MANUAL]","",IFERROR(AVERAGEIFS(DATOS!$K$2:$K$20000,DATOS!$A$2:$A$20000,AE766,DATOS!$G$2:$G$20000,CONFIG_METADATA!$B$4,DATOS!$I$2:$I$20000,"Música de Cámara"),"")))</f>
        <v/>
      </c>
      <c r="AI766" t="str">
        <f>IF(AE766="","",IF(AE766="[FÓRMULA MANUAL]","",IFERROR(SUMPRODUCT((DATOS!$A$2:$A$20000=AE766)*(DATOS!$G$2:$G$20000=CONFIG_METADATA!$B$4)*(COUNTIF(CONFIG_ASIGNATURAS!$B$7:$B$27,DATOS!$I$2:$I$20000)&gt;0)*(DATOS!$K$2:$K$20000))/SUMPRODUCT((DATOS!$A$2:$A$20000=AE766)*(DATOS!$G$2:$G$20000=CONFIG_METADATA!$B$4)*(COUNTIF(CONFIG_ASIGNATURAS!$B$7:$B$27,DATOS!$I$2:$I$20000)&gt;0)*1),"")))</f>
        <v/>
      </c>
    </row>
    <row r="767" spans="2:35" x14ac:dyDescent="0.2">
      <c r="B767" t="str">
        <f>IF(A767="","",IF(A767="[FÓRMULA MANUAL]","",IFERROR(AVERAGEIFS(DATOS!$K$2:$K$20000,DATOS!$A$2:$A$20000,A767,DATOS!$G$2:$G$20000,CONFIG_METADATA!$B$4,DATOS!$I$2:$I$20000,"Lenguaje Musical"),"")))</f>
        <v/>
      </c>
      <c r="C767" t="str">
        <f>IF(A767="","",IF(A767="[FÓRMULA MANUAL]","",IFERROR(AVERAGEIFS(DATOS!$K$2:$K$20000,DATOS!$A$2:$A$20000,A767,DATOS!$G$2:$G$20000,CONFIG_METADATA!$B$4,DATOS!$I$2:$I$20000,"Orquesta/Banda/Conjunto"),"")))</f>
        <v/>
      </c>
      <c r="D767" t="str">
        <f>IF(A767="","",IF(A767="[FÓRMULA MANUAL]","",IFERROR(AVERAGEIFS(DATOS!$K$2:$K$20000,DATOS!$A$2:$A$20000,A767,DATOS!$G$2:$G$20000,CONFIG_METADATA!$B$4,DATOS!$I$2:$I$20000,"Conjunto"),"")))</f>
        <v/>
      </c>
      <c r="E767" t="str">
        <f>IF(A767="","",IF(A767="[FÓRMULA MANUAL]","",IFERROR(SUMPRODUCT((DATOS!$A$2:$A$20000=A767)*(DATOS!$G$2:$G$20000=CONFIG_METADATA!$B$4)*(COUNTIF(CONFIG_ASIGNATURAS!$B$7:$B$27,DATOS!$I$2:$I$20000)&gt;0)*(DATOS!$K$2:$K$20000))/SUMPRODUCT((DATOS!$A$2:$A$20000=A767)*(DATOS!$G$2:$G$20000=CONFIG_METADATA!$B$4)*(COUNTIF(CONFIG_ASIGNATURAS!$B$7:$B$27,DATOS!$I$2:$I$20000)&gt;0)*1),"")))</f>
        <v/>
      </c>
      <c r="H767" t="str">
        <f>IF(G767="","",IF(G767="[FÓRMULA MANUAL]","",IFERROR(AVERAGEIFS(DATOS!$K$2:$K$20000,DATOS!$A$2:$A$20000,G767,DATOS!$G$2:$G$20000,CONFIG_METADATA!$B$4,DATOS!$I$2:$I$20000,"Lenguaje Musical"),"")))</f>
        <v/>
      </c>
      <c r="I767" t="str">
        <f>IF(G767="","",IF(G767="[FÓRMULA MANUAL]","",IFERROR(AVERAGEIFS(DATOS!$K$2:$K$20000,DATOS!$A$2:$A$20000,G767,DATOS!$G$2:$G$20000,CONFIG_METADATA!$B$4,DATOS!$I$2:$I$20000,"Orquesta/Banda/Conjunto"),"")))</f>
        <v/>
      </c>
      <c r="J767" t="str">
        <f>IF(G767="","",IF(G767="[FÓRMULA MANUAL]","",IFERROR(AVERAGEIFS(DATOS!$K$2:$K$20000,DATOS!$A$2:$A$20000,G767,DATOS!$G$2:$G$20000,CONFIG_METADATA!$B$4,DATOS!$I$2:$I$20000,"Conjunto"),"")))</f>
        <v/>
      </c>
      <c r="K767" t="str">
        <f>IF(G767="","",IF(G767="[FÓRMULA MANUAL]","",IFERROR(SUMPRODUCT((DATOS!$A$2:$A$20000=G767)*(DATOS!$G$2:$G$20000=CONFIG_METADATA!$B$4)*(COUNTIF(CONFIG_ASIGNATURAS!$B$7:$B$27,DATOS!$I$2:$I$20000)&gt;0)*(DATOS!$K$2:$K$20000))/SUMPRODUCT((DATOS!$A$2:$A$20000=G767)*(DATOS!$G$2:$G$20000=CONFIG_METADATA!$B$4)*(COUNTIF(CONFIG_ASIGNATURAS!$B$7:$B$27,DATOS!$I$2:$I$20000)&gt;0)*1),"")))</f>
        <v/>
      </c>
      <c r="N767" t="str">
        <f>IF(M767="","",IF(M767="[FÓRMULA MANUAL]","",IFERROR(AVERAGEIFS(DATOS!$K$2:$K$20000,DATOS!$A$2:$A$20000,M767,DATOS!$G$2:$G$20000,CONFIG_METADATA!$B$4,DATOS!$I$2:$I$20000,"Armonía"),"")))</f>
        <v/>
      </c>
      <c r="O767" t="str">
        <f>IF(M767="","",IF(M767="[FÓRMULA MANUAL]","",IFERROR(AVERAGEIFS(DATOS!$K$2:$K$20000,DATOS!$A$2:$A$20000,M767,DATOS!$G$2:$G$20000,CONFIG_METADATA!$B$4,DATOS!$I$2:$I$20000,"Orquesta/Banda/Conjunto"),"")))</f>
        <v/>
      </c>
      <c r="P767" t="str">
        <f>IF(M767="","",IF(M767="[FÓRMULA MANUAL]","",IFERROR(AVERAGEIFS(DATOS!$K$2:$K$20000,DATOS!$A$2:$A$20000,M767,DATOS!$G$2:$G$20000,CONFIG_METADATA!$B$4,DATOS!$I$2:$I$20000,"Música de Cámara"),"")))</f>
        <v/>
      </c>
      <c r="Q767" t="str">
        <f>IF(M767="","",IF(M767="[FÓRMULA MANUAL]","",IFERROR(SUMPRODUCT((DATOS!$A$2:$A$20000=M767)*(DATOS!$G$2:$G$20000=CONFIG_METADATA!$B$4)*(COUNTIF(CONFIG_ASIGNATURAS!$B$7:$B$27,DATOS!$I$2:$I$20000)&gt;0)*(DATOS!$K$2:$K$20000))/SUMPRODUCT((DATOS!$A$2:$A$20000=M767)*(DATOS!$G$2:$G$20000=CONFIG_METADATA!$B$4)*(COUNTIF(CONFIG_ASIGNATURAS!$B$7:$B$27,DATOS!$I$2:$I$20000)&gt;0)*1),"")))</f>
        <v/>
      </c>
      <c r="T767" t="str">
        <f>IF(S767="","",IF(S767="[FÓRMULA MANUAL]","",IFERROR(AVERAGEIFS(DATOS!$K$2:$K$20000,DATOS!$A$2:$A$20000,S767,DATOS!$G$2:$G$20000,CONFIG_METADATA!$B$4,DATOS!$I$2:$I$20000,"Armonía"),"")))</f>
        <v/>
      </c>
      <c r="U767" t="str">
        <f>IF(S767="","",IF(S767="[FÓRMULA MANUAL]","",IFERROR(AVERAGEIFS(DATOS!$K$2:$K$20000,DATOS!$A$2:$A$20000,S767,DATOS!$G$2:$G$20000,CONFIG_METADATA!$B$4,DATOS!$I$2:$I$20000,"Orquesta/Banda/Conjunto"),"")))</f>
        <v/>
      </c>
      <c r="V767" t="str">
        <f>IF(S767="","",IF(S767="[FÓRMULA MANUAL]","",IFERROR(AVERAGEIFS(DATOS!$K$2:$K$20000,DATOS!$A$2:$A$20000,S767,DATOS!$G$2:$G$20000,CONFIG_METADATA!$B$4,DATOS!$I$2:$I$20000,"Música de Cámara"),"")))</f>
        <v/>
      </c>
      <c r="W767" t="str">
        <f>IF(S767="","",IF(S767="[FÓRMULA MANUAL]","",IFERROR(SUMPRODUCT((DATOS!$A$2:$A$20000=S767)*(DATOS!$G$2:$G$20000=CONFIG_METADATA!$B$4)*(COUNTIF(CONFIG_ASIGNATURAS!$B$7:$B$27,DATOS!$I$2:$I$20000)&gt;0)*(DATOS!$K$2:$K$20000))/SUMPRODUCT((DATOS!$A$2:$A$20000=S767)*(DATOS!$G$2:$G$20000=CONFIG_METADATA!$B$4)*(COUNTIF(CONFIG_ASIGNATURAS!$B$7:$B$27,DATOS!$I$2:$I$20000)&gt;0)*1),"")))</f>
        <v/>
      </c>
      <c r="Z767" t="str">
        <f>IF(Y767="","",IF(Y767="[FÓRMULA MANUAL]","",IFERROR(AVERAGEIFS(DATOS!$K$2:$K$20000,DATOS!$A$2:$A$20000,Y767,DATOS!$G$2:$G$20000,CONFIG_METADATA!$B$4,DATOS!$I$2:$I$20000,"Análisis"),"")))</f>
        <v/>
      </c>
      <c r="AA767" t="str">
        <f>IF(Y767="","",IF(Y767="[FÓRMULA MANUAL]","",IFERROR(AVERAGEIFS(DATOS!$K$2:$K$20000,DATOS!$A$2:$A$20000,Y767,DATOS!$G$2:$G$20000,CONFIG_METADATA!$B$4,DATOS!$I$2:$I$20000,"Orquesta/Banda/Conjunto"),"")))</f>
        <v/>
      </c>
      <c r="AB767" t="str">
        <f>IF(Y767="","",IF(Y767="[FÓRMULA MANUAL]","",IFERROR(AVERAGEIFS(DATOS!$K$2:$K$20000,DATOS!$A$2:$A$20000,Y767,DATOS!$G$2:$G$20000,CONFIG_METADATA!$B$4,DATOS!$I$2:$I$20000,"Música de Cámara"),"")))</f>
        <v/>
      </c>
      <c r="AC767" t="str">
        <f>IF(Y767="","",IF(Y767="[FÓRMULA MANUAL]","",IFERROR(SUMPRODUCT((DATOS!$A$2:$A$20000=Y767)*(DATOS!$G$2:$G$20000=CONFIG_METADATA!$B$4)*(COUNTIF(CONFIG_ASIGNATURAS!$B$7:$B$27,DATOS!$I$2:$I$20000)&gt;0)*(DATOS!$K$2:$K$20000))/SUMPRODUCT((DATOS!$A$2:$A$20000=Y767)*(DATOS!$G$2:$G$20000=CONFIG_METADATA!$B$4)*(COUNTIF(CONFIG_ASIGNATURAS!$B$7:$B$27,DATOS!$I$2:$I$20000)&gt;0)*1),"")))</f>
        <v/>
      </c>
      <c r="AF767" t="str">
        <f>IF(AE767="","",IF(AE767="[FÓRMULA MANUAL]","",IFERROR(AVERAGEIFS(DATOS!$K$2:$K$20000,DATOS!$A$2:$A$20000,AE767,DATOS!$G$2:$G$20000,CONFIG_METADATA!$B$4,DATOS!$I$2:$I$20000,"Análisis"),"")))</f>
        <v/>
      </c>
      <c r="AG767" t="str">
        <f>IF(AE767="","",IF(AE767="[FÓRMULA MANUAL]","",IFERROR(AVERAGEIFS(DATOS!$K$2:$K$20000,DATOS!$A$2:$A$20000,AE767,DATOS!$G$2:$G$20000,CONFIG_METADATA!$B$4,DATOS!$I$2:$I$20000,"Orquesta/Banda/Conjunto"),"")))</f>
        <v/>
      </c>
      <c r="AH767" t="str">
        <f>IF(AE767="","",IF(AE767="[FÓRMULA MANUAL]","",IFERROR(AVERAGEIFS(DATOS!$K$2:$K$20000,DATOS!$A$2:$A$20000,AE767,DATOS!$G$2:$G$20000,CONFIG_METADATA!$B$4,DATOS!$I$2:$I$20000,"Música de Cámara"),"")))</f>
        <v/>
      </c>
      <c r="AI767" t="str">
        <f>IF(AE767="","",IF(AE767="[FÓRMULA MANUAL]","",IFERROR(SUMPRODUCT((DATOS!$A$2:$A$20000=AE767)*(DATOS!$G$2:$G$20000=CONFIG_METADATA!$B$4)*(COUNTIF(CONFIG_ASIGNATURAS!$B$7:$B$27,DATOS!$I$2:$I$20000)&gt;0)*(DATOS!$K$2:$K$20000))/SUMPRODUCT((DATOS!$A$2:$A$20000=AE767)*(DATOS!$G$2:$G$20000=CONFIG_METADATA!$B$4)*(COUNTIF(CONFIG_ASIGNATURAS!$B$7:$B$27,DATOS!$I$2:$I$20000)&gt;0)*1),"")))</f>
        <v/>
      </c>
    </row>
    <row r="768" spans="2:35" x14ac:dyDescent="0.2">
      <c r="B768" t="str">
        <f>IF(A768="","",IF(A768="[FÓRMULA MANUAL]","",IFERROR(AVERAGEIFS(DATOS!$K$2:$K$20000,DATOS!$A$2:$A$20000,A768,DATOS!$G$2:$G$20000,CONFIG_METADATA!$B$4,DATOS!$I$2:$I$20000,"Lenguaje Musical"),"")))</f>
        <v/>
      </c>
      <c r="C768" t="str">
        <f>IF(A768="","",IF(A768="[FÓRMULA MANUAL]","",IFERROR(AVERAGEIFS(DATOS!$K$2:$K$20000,DATOS!$A$2:$A$20000,A768,DATOS!$G$2:$G$20000,CONFIG_METADATA!$B$4,DATOS!$I$2:$I$20000,"Orquesta/Banda/Conjunto"),"")))</f>
        <v/>
      </c>
      <c r="D768" t="str">
        <f>IF(A768="","",IF(A768="[FÓRMULA MANUAL]","",IFERROR(AVERAGEIFS(DATOS!$K$2:$K$20000,DATOS!$A$2:$A$20000,A768,DATOS!$G$2:$G$20000,CONFIG_METADATA!$B$4,DATOS!$I$2:$I$20000,"Conjunto"),"")))</f>
        <v/>
      </c>
      <c r="E768" t="str">
        <f>IF(A768="","",IF(A768="[FÓRMULA MANUAL]","",IFERROR(SUMPRODUCT((DATOS!$A$2:$A$20000=A768)*(DATOS!$G$2:$G$20000=CONFIG_METADATA!$B$4)*(COUNTIF(CONFIG_ASIGNATURAS!$B$7:$B$27,DATOS!$I$2:$I$20000)&gt;0)*(DATOS!$K$2:$K$20000))/SUMPRODUCT((DATOS!$A$2:$A$20000=A768)*(DATOS!$G$2:$G$20000=CONFIG_METADATA!$B$4)*(COUNTIF(CONFIG_ASIGNATURAS!$B$7:$B$27,DATOS!$I$2:$I$20000)&gt;0)*1),"")))</f>
        <v/>
      </c>
      <c r="H768" t="str">
        <f>IF(G768="","",IF(G768="[FÓRMULA MANUAL]","",IFERROR(AVERAGEIFS(DATOS!$K$2:$K$20000,DATOS!$A$2:$A$20000,G768,DATOS!$G$2:$G$20000,CONFIG_METADATA!$B$4,DATOS!$I$2:$I$20000,"Lenguaje Musical"),"")))</f>
        <v/>
      </c>
      <c r="I768" t="str">
        <f>IF(G768="","",IF(G768="[FÓRMULA MANUAL]","",IFERROR(AVERAGEIFS(DATOS!$K$2:$K$20000,DATOS!$A$2:$A$20000,G768,DATOS!$G$2:$G$20000,CONFIG_METADATA!$B$4,DATOS!$I$2:$I$20000,"Orquesta/Banda/Conjunto"),"")))</f>
        <v/>
      </c>
      <c r="J768" t="str">
        <f>IF(G768="","",IF(G768="[FÓRMULA MANUAL]","",IFERROR(AVERAGEIFS(DATOS!$K$2:$K$20000,DATOS!$A$2:$A$20000,G768,DATOS!$G$2:$G$20000,CONFIG_METADATA!$B$4,DATOS!$I$2:$I$20000,"Conjunto"),"")))</f>
        <v/>
      </c>
      <c r="K768" t="str">
        <f>IF(G768="","",IF(G768="[FÓRMULA MANUAL]","",IFERROR(SUMPRODUCT((DATOS!$A$2:$A$20000=G768)*(DATOS!$G$2:$G$20000=CONFIG_METADATA!$B$4)*(COUNTIF(CONFIG_ASIGNATURAS!$B$7:$B$27,DATOS!$I$2:$I$20000)&gt;0)*(DATOS!$K$2:$K$20000))/SUMPRODUCT((DATOS!$A$2:$A$20000=G768)*(DATOS!$G$2:$G$20000=CONFIG_METADATA!$B$4)*(COUNTIF(CONFIG_ASIGNATURAS!$B$7:$B$27,DATOS!$I$2:$I$20000)&gt;0)*1),"")))</f>
        <v/>
      </c>
      <c r="N768" t="str">
        <f>IF(M768="","",IF(M768="[FÓRMULA MANUAL]","",IFERROR(AVERAGEIFS(DATOS!$K$2:$K$20000,DATOS!$A$2:$A$20000,M768,DATOS!$G$2:$G$20000,CONFIG_METADATA!$B$4,DATOS!$I$2:$I$20000,"Armonía"),"")))</f>
        <v/>
      </c>
      <c r="O768" t="str">
        <f>IF(M768="","",IF(M768="[FÓRMULA MANUAL]","",IFERROR(AVERAGEIFS(DATOS!$K$2:$K$20000,DATOS!$A$2:$A$20000,M768,DATOS!$G$2:$G$20000,CONFIG_METADATA!$B$4,DATOS!$I$2:$I$20000,"Orquesta/Banda/Conjunto"),"")))</f>
        <v/>
      </c>
      <c r="P768" t="str">
        <f>IF(M768="","",IF(M768="[FÓRMULA MANUAL]","",IFERROR(AVERAGEIFS(DATOS!$K$2:$K$20000,DATOS!$A$2:$A$20000,M768,DATOS!$G$2:$G$20000,CONFIG_METADATA!$B$4,DATOS!$I$2:$I$20000,"Música de Cámara"),"")))</f>
        <v/>
      </c>
      <c r="Q768" t="str">
        <f>IF(M768="","",IF(M768="[FÓRMULA MANUAL]","",IFERROR(SUMPRODUCT((DATOS!$A$2:$A$20000=M768)*(DATOS!$G$2:$G$20000=CONFIG_METADATA!$B$4)*(COUNTIF(CONFIG_ASIGNATURAS!$B$7:$B$27,DATOS!$I$2:$I$20000)&gt;0)*(DATOS!$K$2:$K$20000))/SUMPRODUCT((DATOS!$A$2:$A$20000=M768)*(DATOS!$G$2:$G$20000=CONFIG_METADATA!$B$4)*(COUNTIF(CONFIG_ASIGNATURAS!$B$7:$B$27,DATOS!$I$2:$I$20000)&gt;0)*1),"")))</f>
        <v/>
      </c>
      <c r="T768" t="str">
        <f>IF(S768="","",IF(S768="[FÓRMULA MANUAL]","",IFERROR(AVERAGEIFS(DATOS!$K$2:$K$20000,DATOS!$A$2:$A$20000,S768,DATOS!$G$2:$G$20000,CONFIG_METADATA!$B$4,DATOS!$I$2:$I$20000,"Armonía"),"")))</f>
        <v/>
      </c>
      <c r="U768" t="str">
        <f>IF(S768="","",IF(S768="[FÓRMULA MANUAL]","",IFERROR(AVERAGEIFS(DATOS!$K$2:$K$20000,DATOS!$A$2:$A$20000,S768,DATOS!$G$2:$G$20000,CONFIG_METADATA!$B$4,DATOS!$I$2:$I$20000,"Orquesta/Banda/Conjunto"),"")))</f>
        <v/>
      </c>
      <c r="V768" t="str">
        <f>IF(S768="","",IF(S768="[FÓRMULA MANUAL]","",IFERROR(AVERAGEIFS(DATOS!$K$2:$K$20000,DATOS!$A$2:$A$20000,S768,DATOS!$G$2:$G$20000,CONFIG_METADATA!$B$4,DATOS!$I$2:$I$20000,"Música de Cámara"),"")))</f>
        <v/>
      </c>
      <c r="W768" t="str">
        <f>IF(S768="","",IF(S768="[FÓRMULA MANUAL]","",IFERROR(SUMPRODUCT((DATOS!$A$2:$A$20000=S768)*(DATOS!$G$2:$G$20000=CONFIG_METADATA!$B$4)*(COUNTIF(CONFIG_ASIGNATURAS!$B$7:$B$27,DATOS!$I$2:$I$20000)&gt;0)*(DATOS!$K$2:$K$20000))/SUMPRODUCT((DATOS!$A$2:$A$20000=S768)*(DATOS!$G$2:$G$20000=CONFIG_METADATA!$B$4)*(COUNTIF(CONFIG_ASIGNATURAS!$B$7:$B$27,DATOS!$I$2:$I$20000)&gt;0)*1),"")))</f>
        <v/>
      </c>
      <c r="Z768" t="str">
        <f>IF(Y768="","",IF(Y768="[FÓRMULA MANUAL]","",IFERROR(AVERAGEIFS(DATOS!$K$2:$K$20000,DATOS!$A$2:$A$20000,Y768,DATOS!$G$2:$G$20000,CONFIG_METADATA!$B$4,DATOS!$I$2:$I$20000,"Análisis"),"")))</f>
        <v/>
      </c>
      <c r="AA768" t="str">
        <f>IF(Y768="","",IF(Y768="[FÓRMULA MANUAL]","",IFERROR(AVERAGEIFS(DATOS!$K$2:$K$20000,DATOS!$A$2:$A$20000,Y768,DATOS!$G$2:$G$20000,CONFIG_METADATA!$B$4,DATOS!$I$2:$I$20000,"Orquesta/Banda/Conjunto"),"")))</f>
        <v/>
      </c>
      <c r="AB768" t="str">
        <f>IF(Y768="","",IF(Y768="[FÓRMULA MANUAL]","",IFERROR(AVERAGEIFS(DATOS!$K$2:$K$20000,DATOS!$A$2:$A$20000,Y768,DATOS!$G$2:$G$20000,CONFIG_METADATA!$B$4,DATOS!$I$2:$I$20000,"Música de Cámara"),"")))</f>
        <v/>
      </c>
      <c r="AC768" t="str">
        <f>IF(Y768="","",IF(Y768="[FÓRMULA MANUAL]","",IFERROR(SUMPRODUCT((DATOS!$A$2:$A$20000=Y768)*(DATOS!$G$2:$G$20000=CONFIG_METADATA!$B$4)*(COUNTIF(CONFIG_ASIGNATURAS!$B$7:$B$27,DATOS!$I$2:$I$20000)&gt;0)*(DATOS!$K$2:$K$20000))/SUMPRODUCT((DATOS!$A$2:$A$20000=Y768)*(DATOS!$G$2:$G$20000=CONFIG_METADATA!$B$4)*(COUNTIF(CONFIG_ASIGNATURAS!$B$7:$B$27,DATOS!$I$2:$I$20000)&gt;0)*1),"")))</f>
        <v/>
      </c>
      <c r="AF768" t="str">
        <f>IF(AE768="","",IF(AE768="[FÓRMULA MANUAL]","",IFERROR(AVERAGEIFS(DATOS!$K$2:$K$20000,DATOS!$A$2:$A$20000,AE768,DATOS!$G$2:$G$20000,CONFIG_METADATA!$B$4,DATOS!$I$2:$I$20000,"Análisis"),"")))</f>
        <v/>
      </c>
      <c r="AG768" t="str">
        <f>IF(AE768="","",IF(AE768="[FÓRMULA MANUAL]","",IFERROR(AVERAGEIFS(DATOS!$K$2:$K$20000,DATOS!$A$2:$A$20000,AE768,DATOS!$G$2:$G$20000,CONFIG_METADATA!$B$4,DATOS!$I$2:$I$20000,"Orquesta/Banda/Conjunto"),"")))</f>
        <v/>
      </c>
      <c r="AH768" t="str">
        <f>IF(AE768="","",IF(AE768="[FÓRMULA MANUAL]","",IFERROR(AVERAGEIFS(DATOS!$K$2:$K$20000,DATOS!$A$2:$A$20000,AE768,DATOS!$G$2:$G$20000,CONFIG_METADATA!$B$4,DATOS!$I$2:$I$20000,"Música de Cámara"),"")))</f>
        <v/>
      </c>
      <c r="AI768" t="str">
        <f>IF(AE768="","",IF(AE768="[FÓRMULA MANUAL]","",IFERROR(SUMPRODUCT((DATOS!$A$2:$A$20000=AE768)*(DATOS!$G$2:$G$20000=CONFIG_METADATA!$B$4)*(COUNTIF(CONFIG_ASIGNATURAS!$B$7:$B$27,DATOS!$I$2:$I$20000)&gt;0)*(DATOS!$K$2:$K$20000))/SUMPRODUCT((DATOS!$A$2:$A$20000=AE768)*(DATOS!$G$2:$G$20000=CONFIG_METADATA!$B$4)*(COUNTIF(CONFIG_ASIGNATURAS!$B$7:$B$27,DATOS!$I$2:$I$20000)&gt;0)*1),"")))</f>
        <v/>
      </c>
    </row>
    <row r="769" spans="2:35" x14ac:dyDescent="0.2">
      <c r="B769" t="str">
        <f>IF(A769="","",IF(A769="[FÓRMULA MANUAL]","",IFERROR(AVERAGEIFS(DATOS!$K$2:$K$20000,DATOS!$A$2:$A$20000,A769,DATOS!$G$2:$G$20000,CONFIG_METADATA!$B$4,DATOS!$I$2:$I$20000,"Lenguaje Musical"),"")))</f>
        <v/>
      </c>
      <c r="C769" t="str">
        <f>IF(A769="","",IF(A769="[FÓRMULA MANUAL]","",IFERROR(AVERAGEIFS(DATOS!$K$2:$K$20000,DATOS!$A$2:$A$20000,A769,DATOS!$G$2:$G$20000,CONFIG_METADATA!$B$4,DATOS!$I$2:$I$20000,"Orquesta/Banda/Conjunto"),"")))</f>
        <v/>
      </c>
      <c r="D769" t="str">
        <f>IF(A769="","",IF(A769="[FÓRMULA MANUAL]","",IFERROR(AVERAGEIFS(DATOS!$K$2:$K$20000,DATOS!$A$2:$A$20000,A769,DATOS!$G$2:$G$20000,CONFIG_METADATA!$B$4,DATOS!$I$2:$I$20000,"Conjunto"),"")))</f>
        <v/>
      </c>
      <c r="E769" t="str">
        <f>IF(A769="","",IF(A769="[FÓRMULA MANUAL]","",IFERROR(SUMPRODUCT((DATOS!$A$2:$A$20000=A769)*(DATOS!$G$2:$G$20000=CONFIG_METADATA!$B$4)*(COUNTIF(CONFIG_ASIGNATURAS!$B$7:$B$27,DATOS!$I$2:$I$20000)&gt;0)*(DATOS!$K$2:$K$20000))/SUMPRODUCT((DATOS!$A$2:$A$20000=A769)*(DATOS!$G$2:$G$20000=CONFIG_METADATA!$B$4)*(COUNTIF(CONFIG_ASIGNATURAS!$B$7:$B$27,DATOS!$I$2:$I$20000)&gt;0)*1),"")))</f>
        <v/>
      </c>
      <c r="H769" t="str">
        <f>IF(G769="","",IF(G769="[FÓRMULA MANUAL]","",IFERROR(AVERAGEIFS(DATOS!$K$2:$K$20000,DATOS!$A$2:$A$20000,G769,DATOS!$G$2:$G$20000,CONFIG_METADATA!$B$4,DATOS!$I$2:$I$20000,"Lenguaje Musical"),"")))</f>
        <v/>
      </c>
      <c r="I769" t="str">
        <f>IF(G769="","",IF(G769="[FÓRMULA MANUAL]","",IFERROR(AVERAGEIFS(DATOS!$K$2:$K$20000,DATOS!$A$2:$A$20000,G769,DATOS!$G$2:$G$20000,CONFIG_METADATA!$B$4,DATOS!$I$2:$I$20000,"Orquesta/Banda/Conjunto"),"")))</f>
        <v/>
      </c>
      <c r="J769" t="str">
        <f>IF(G769="","",IF(G769="[FÓRMULA MANUAL]","",IFERROR(AVERAGEIFS(DATOS!$K$2:$K$20000,DATOS!$A$2:$A$20000,G769,DATOS!$G$2:$G$20000,CONFIG_METADATA!$B$4,DATOS!$I$2:$I$20000,"Conjunto"),"")))</f>
        <v/>
      </c>
      <c r="K769" t="str">
        <f>IF(G769="","",IF(G769="[FÓRMULA MANUAL]","",IFERROR(SUMPRODUCT((DATOS!$A$2:$A$20000=G769)*(DATOS!$G$2:$G$20000=CONFIG_METADATA!$B$4)*(COUNTIF(CONFIG_ASIGNATURAS!$B$7:$B$27,DATOS!$I$2:$I$20000)&gt;0)*(DATOS!$K$2:$K$20000))/SUMPRODUCT((DATOS!$A$2:$A$20000=G769)*(DATOS!$G$2:$G$20000=CONFIG_METADATA!$B$4)*(COUNTIF(CONFIG_ASIGNATURAS!$B$7:$B$27,DATOS!$I$2:$I$20000)&gt;0)*1),"")))</f>
        <v/>
      </c>
      <c r="N769" t="str">
        <f>IF(M769="","",IF(M769="[FÓRMULA MANUAL]","",IFERROR(AVERAGEIFS(DATOS!$K$2:$K$20000,DATOS!$A$2:$A$20000,M769,DATOS!$G$2:$G$20000,CONFIG_METADATA!$B$4,DATOS!$I$2:$I$20000,"Armonía"),"")))</f>
        <v/>
      </c>
      <c r="O769" t="str">
        <f>IF(M769="","",IF(M769="[FÓRMULA MANUAL]","",IFERROR(AVERAGEIFS(DATOS!$K$2:$K$20000,DATOS!$A$2:$A$20000,M769,DATOS!$G$2:$G$20000,CONFIG_METADATA!$B$4,DATOS!$I$2:$I$20000,"Orquesta/Banda/Conjunto"),"")))</f>
        <v/>
      </c>
      <c r="P769" t="str">
        <f>IF(M769="","",IF(M769="[FÓRMULA MANUAL]","",IFERROR(AVERAGEIFS(DATOS!$K$2:$K$20000,DATOS!$A$2:$A$20000,M769,DATOS!$G$2:$G$20000,CONFIG_METADATA!$B$4,DATOS!$I$2:$I$20000,"Música de Cámara"),"")))</f>
        <v/>
      </c>
      <c r="Q769" t="str">
        <f>IF(M769="","",IF(M769="[FÓRMULA MANUAL]","",IFERROR(SUMPRODUCT((DATOS!$A$2:$A$20000=M769)*(DATOS!$G$2:$G$20000=CONFIG_METADATA!$B$4)*(COUNTIF(CONFIG_ASIGNATURAS!$B$7:$B$27,DATOS!$I$2:$I$20000)&gt;0)*(DATOS!$K$2:$K$20000))/SUMPRODUCT((DATOS!$A$2:$A$20000=M769)*(DATOS!$G$2:$G$20000=CONFIG_METADATA!$B$4)*(COUNTIF(CONFIG_ASIGNATURAS!$B$7:$B$27,DATOS!$I$2:$I$20000)&gt;0)*1),"")))</f>
        <v/>
      </c>
      <c r="T769" t="str">
        <f>IF(S769="","",IF(S769="[FÓRMULA MANUAL]","",IFERROR(AVERAGEIFS(DATOS!$K$2:$K$20000,DATOS!$A$2:$A$20000,S769,DATOS!$G$2:$G$20000,CONFIG_METADATA!$B$4,DATOS!$I$2:$I$20000,"Armonía"),"")))</f>
        <v/>
      </c>
      <c r="U769" t="str">
        <f>IF(S769="","",IF(S769="[FÓRMULA MANUAL]","",IFERROR(AVERAGEIFS(DATOS!$K$2:$K$20000,DATOS!$A$2:$A$20000,S769,DATOS!$G$2:$G$20000,CONFIG_METADATA!$B$4,DATOS!$I$2:$I$20000,"Orquesta/Banda/Conjunto"),"")))</f>
        <v/>
      </c>
      <c r="V769" t="str">
        <f>IF(S769="","",IF(S769="[FÓRMULA MANUAL]","",IFERROR(AVERAGEIFS(DATOS!$K$2:$K$20000,DATOS!$A$2:$A$20000,S769,DATOS!$G$2:$G$20000,CONFIG_METADATA!$B$4,DATOS!$I$2:$I$20000,"Música de Cámara"),"")))</f>
        <v/>
      </c>
      <c r="W769" t="str">
        <f>IF(S769="","",IF(S769="[FÓRMULA MANUAL]","",IFERROR(SUMPRODUCT((DATOS!$A$2:$A$20000=S769)*(DATOS!$G$2:$G$20000=CONFIG_METADATA!$B$4)*(COUNTIF(CONFIG_ASIGNATURAS!$B$7:$B$27,DATOS!$I$2:$I$20000)&gt;0)*(DATOS!$K$2:$K$20000))/SUMPRODUCT((DATOS!$A$2:$A$20000=S769)*(DATOS!$G$2:$G$20000=CONFIG_METADATA!$B$4)*(COUNTIF(CONFIG_ASIGNATURAS!$B$7:$B$27,DATOS!$I$2:$I$20000)&gt;0)*1),"")))</f>
        <v/>
      </c>
      <c r="Z769" t="str">
        <f>IF(Y769="","",IF(Y769="[FÓRMULA MANUAL]","",IFERROR(AVERAGEIFS(DATOS!$K$2:$K$20000,DATOS!$A$2:$A$20000,Y769,DATOS!$G$2:$G$20000,CONFIG_METADATA!$B$4,DATOS!$I$2:$I$20000,"Análisis"),"")))</f>
        <v/>
      </c>
      <c r="AA769" t="str">
        <f>IF(Y769="","",IF(Y769="[FÓRMULA MANUAL]","",IFERROR(AVERAGEIFS(DATOS!$K$2:$K$20000,DATOS!$A$2:$A$20000,Y769,DATOS!$G$2:$G$20000,CONFIG_METADATA!$B$4,DATOS!$I$2:$I$20000,"Orquesta/Banda/Conjunto"),"")))</f>
        <v/>
      </c>
      <c r="AB769" t="str">
        <f>IF(Y769="","",IF(Y769="[FÓRMULA MANUAL]","",IFERROR(AVERAGEIFS(DATOS!$K$2:$K$20000,DATOS!$A$2:$A$20000,Y769,DATOS!$G$2:$G$20000,CONFIG_METADATA!$B$4,DATOS!$I$2:$I$20000,"Música de Cámara"),"")))</f>
        <v/>
      </c>
      <c r="AC769" t="str">
        <f>IF(Y769="","",IF(Y769="[FÓRMULA MANUAL]","",IFERROR(SUMPRODUCT((DATOS!$A$2:$A$20000=Y769)*(DATOS!$G$2:$G$20000=CONFIG_METADATA!$B$4)*(COUNTIF(CONFIG_ASIGNATURAS!$B$7:$B$27,DATOS!$I$2:$I$20000)&gt;0)*(DATOS!$K$2:$K$20000))/SUMPRODUCT((DATOS!$A$2:$A$20000=Y769)*(DATOS!$G$2:$G$20000=CONFIG_METADATA!$B$4)*(COUNTIF(CONFIG_ASIGNATURAS!$B$7:$B$27,DATOS!$I$2:$I$20000)&gt;0)*1),"")))</f>
        <v/>
      </c>
      <c r="AF769" t="str">
        <f>IF(AE769="","",IF(AE769="[FÓRMULA MANUAL]","",IFERROR(AVERAGEIFS(DATOS!$K$2:$K$20000,DATOS!$A$2:$A$20000,AE769,DATOS!$G$2:$G$20000,CONFIG_METADATA!$B$4,DATOS!$I$2:$I$20000,"Análisis"),"")))</f>
        <v/>
      </c>
      <c r="AG769" t="str">
        <f>IF(AE769="","",IF(AE769="[FÓRMULA MANUAL]","",IFERROR(AVERAGEIFS(DATOS!$K$2:$K$20000,DATOS!$A$2:$A$20000,AE769,DATOS!$G$2:$G$20000,CONFIG_METADATA!$B$4,DATOS!$I$2:$I$20000,"Orquesta/Banda/Conjunto"),"")))</f>
        <v/>
      </c>
      <c r="AH769" t="str">
        <f>IF(AE769="","",IF(AE769="[FÓRMULA MANUAL]","",IFERROR(AVERAGEIFS(DATOS!$K$2:$K$20000,DATOS!$A$2:$A$20000,AE769,DATOS!$G$2:$G$20000,CONFIG_METADATA!$B$4,DATOS!$I$2:$I$20000,"Música de Cámara"),"")))</f>
        <v/>
      </c>
      <c r="AI769" t="str">
        <f>IF(AE769="","",IF(AE769="[FÓRMULA MANUAL]","",IFERROR(SUMPRODUCT((DATOS!$A$2:$A$20000=AE769)*(DATOS!$G$2:$G$20000=CONFIG_METADATA!$B$4)*(COUNTIF(CONFIG_ASIGNATURAS!$B$7:$B$27,DATOS!$I$2:$I$20000)&gt;0)*(DATOS!$K$2:$K$20000))/SUMPRODUCT((DATOS!$A$2:$A$20000=AE769)*(DATOS!$G$2:$G$20000=CONFIG_METADATA!$B$4)*(COUNTIF(CONFIG_ASIGNATURAS!$B$7:$B$27,DATOS!$I$2:$I$20000)&gt;0)*1),"")))</f>
        <v/>
      </c>
    </row>
    <row r="770" spans="2:35" x14ac:dyDescent="0.2">
      <c r="B770" t="str">
        <f>IF(A770="","",IF(A770="[FÓRMULA MANUAL]","",IFERROR(AVERAGEIFS(DATOS!$K$2:$K$20000,DATOS!$A$2:$A$20000,A770,DATOS!$G$2:$G$20000,CONFIG_METADATA!$B$4,DATOS!$I$2:$I$20000,"Lenguaje Musical"),"")))</f>
        <v/>
      </c>
      <c r="C770" t="str">
        <f>IF(A770="","",IF(A770="[FÓRMULA MANUAL]","",IFERROR(AVERAGEIFS(DATOS!$K$2:$K$20000,DATOS!$A$2:$A$20000,A770,DATOS!$G$2:$G$20000,CONFIG_METADATA!$B$4,DATOS!$I$2:$I$20000,"Orquesta/Banda/Conjunto"),"")))</f>
        <v/>
      </c>
      <c r="D770" t="str">
        <f>IF(A770="","",IF(A770="[FÓRMULA MANUAL]","",IFERROR(AVERAGEIFS(DATOS!$K$2:$K$20000,DATOS!$A$2:$A$20000,A770,DATOS!$G$2:$G$20000,CONFIG_METADATA!$B$4,DATOS!$I$2:$I$20000,"Conjunto"),"")))</f>
        <v/>
      </c>
      <c r="E770" t="str">
        <f>IF(A770="","",IF(A770="[FÓRMULA MANUAL]","",IFERROR(SUMPRODUCT((DATOS!$A$2:$A$20000=A770)*(DATOS!$G$2:$G$20000=CONFIG_METADATA!$B$4)*(COUNTIF(CONFIG_ASIGNATURAS!$B$7:$B$27,DATOS!$I$2:$I$20000)&gt;0)*(DATOS!$K$2:$K$20000))/SUMPRODUCT((DATOS!$A$2:$A$20000=A770)*(DATOS!$G$2:$G$20000=CONFIG_METADATA!$B$4)*(COUNTIF(CONFIG_ASIGNATURAS!$B$7:$B$27,DATOS!$I$2:$I$20000)&gt;0)*1),"")))</f>
        <v/>
      </c>
      <c r="H770" t="str">
        <f>IF(G770="","",IF(G770="[FÓRMULA MANUAL]","",IFERROR(AVERAGEIFS(DATOS!$K$2:$K$20000,DATOS!$A$2:$A$20000,G770,DATOS!$G$2:$G$20000,CONFIG_METADATA!$B$4,DATOS!$I$2:$I$20000,"Lenguaje Musical"),"")))</f>
        <v/>
      </c>
      <c r="I770" t="str">
        <f>IF(G770="","",IF(G770="[FÓRMULA MANUAL]","",IFERROR(AVERAGEIFS(DATOS!$K$2:$K$20000,DATOS!$A$2:$A$20000,G770,DATOS!$G$2:$G$20000,CONFIG_METADATA!$B$4,DATOS!$I$2:$I$20000,"Orquesta/Banda/Conjunto"),"")))</f>
        <v/>
      </c>
      <c r="J770" t="str">
        <f>IF(G770="","",IF(G770="[FÓRMULA MANUAL]","",IFERROR(AVERAGEIFS(DATOS!$K$2:$K$20000,DATOS!$A$2:$A$20000,G770,DATOS!$G$2:$G$20000,CONFIG_METADATA!$B$4,DATOS!$I$2:$I$20000,"Conjunto"),"")))</f>
        <v/>
      </c>
      <c r="K770" t="str">
        <f>IF(G770="","",IF(G770="[FÓRMULA MANUAL]","",IFERROR(SUMPRODUCT((DATOS!$A$2:$A$20000=G770)*(DATOS!$G$2:$G$20000=CONFIG_METADATA!$B$4)*(COUNTIF(CONFIG_ASIGNATURAS!$B$7:$B$27,DATOS!$I$2:$I$20000)&gt;0)*(DATOS!$K$2:$K$20000))/SUMPRODUCT((DATOS!$A$2:$A$20000=G770)*(DATOS!$G$2:$G$20000=CONFIG_METADATA!$B$4)*(COUNTIF(CONFIG_ASIGNATURAS!$B$7:$B$27,DATOS!$I$2:$I$20000)&gt;0)*1),"")))</f>
        <v/>
      </c>
      <c r="N770" t="str">
        <f>IF(M770="","",IF(M770="[FÓRMULA MANUAL]","",IFERROR(AVERAGEIFS(DATOS!$K$2:$K$20000,DATOS!$A$2:$A$20000,M770,DATOS!$G$2:$G$20000,CONFIG_METADATA!$B$4,DATOS!$I$2:$I$20000,"Armonía"),"")))</f>
        <v/>
      </c>
      <c r="O770" t="str">
        <f>IF(M770="","",IF(M770="[FÓRMULA MANUAL]","",IFERROR(AVERAGEIFS(DATOS!$K$2:$K$20000,DATOS!$A$2:$A$20000,M770,DATOS!$G$2:$G$20000,CONFIG_METADATA!$B$4,DATOS!$I$2:$I$20000,"Orquesta/Banda/Conjunto"),"")))</f>
        <v/>
      </c>
      <c r="P770" t="str">
        <f>IF(M770="","",IF(M770="[FÓRMULA MANUAL]","",IFERROR(AVERAGEIFS(DATOS!$K$2:$K$20000,DATOS!$A$2:$A$20000,M770,DATOS!$G$2:$G$20000,CONFIG_METADATA!$B$4,DATOS!$I$2:$I$20000,"Música de Cámara"),"")))</f>
        <v/>
      </c>
      <c r="Q770" t="str">
        <f>IF(M770="","",IF(M770="[FÓRMULA MANUAL]","",IFERROR(SUMPRODUCT((DATOS!$A$2:$A$20000=M770)*(DATOS!$G$2:$G$20000=CONFIG_METADATA!$B$4)*(COUNTIF(CONFIG_ASIGNATURAS!$B$7:$B$27,DATOS!$I$2:$I$20000)&gt;0)*(DATOS!$K$2:$K$20000))/SUMPRODUCT((DATOS!$A$2:$A$20000=M770)*(DATOS!$G$2:$G$20000=CONFIG_METADATA!$B$4)*(COUNTIF(CONFIG_ASIGNATURAS!$B$7:$B$27,DATOS!$I$2:$I$20000)&gt;0)*1),"")))</f>
        <v/>
      </c>
      <c r="T770" t="str">
        <f>IF(S770="","",IF(S770="[FÓRMULA MANUAL]","",IFERROR(AVERAGEIFS(DATOS!$K$2:$K$20000,DATOS!$A$2:$A$20000,S770,DATOS!$G$2:$G$20000,CONFIG_METADATA!$B$4,DATOS!$I$2:$I$20000,"Armonía"),"")))</f>
        <v/>
      </c>
      <c r="U770" t="str">
        <f>IF(S770="","",IF(S770="[FÓRMULA MANUAL]","",IFERROR(AVERAGEIFS(DATOS!$K$2:$K$20000,DATOS!$A$2:$A$20000,S770,DATOS!$G$2:$G$20000,CONFIG_METADATA!$B$4,DATOS!$I$2:$I$20000,"Orquesta/Banda/Conjunto"),"")))</f>
        <v/>
      </c>
      <c r="V770" t="str">
        <f>IF(S770="","",IF(S770="[FÓRMULA MANUAL]","",IFERROR(AVERAGEIFS(DATOS!$K$2:$K$20000,DATOS!$A$2:$A$20000,S770,DATOS!$G$2:$G$20000,CONFIG_METADATA!$B$4,DATOS!$I$2:$I$20000,"Música de Cámara"),"")))</f>
        <v/>
      </c>
      <c r="W770" t="str">
        <f>IF(S770="","",IF(S770="[FÓRMULA MANUAL]","",IFERROR(SUMPRODUCT((DATOS!$A$2:$A$20000=S770)*(DATOS!$G$2:$G$20000=CONFIG_METADATA!$B$4)*(COUNTIF(CONFIG_ASIGNATURAS!$B$7:$B$27,DATOS!$I$2:$I$20000)&gt;0)*(DATOS!$K$2:$K$20000))/SUMPRODUCT((DATOS!$A$2:$A$20000=S770)*(DATOS!$G$2:$G$20000=CONFIG_METADATA!$B$4)*(COUNTIF(CONFIG_ASIGNATURAS!$B$7:$B$27,DATOS!$I$2:$I$20000)&gt;0)*1),"")))</f>
        <v/>
      </c>
      <c r="Z770" t="str">
        <f>IF(Y770="","",IF(Y770="[FÓRMULA MANUAL]","",IFERROR(AVERAGEIFS(DATOS!$K$2:$K$20000,DATOS!$A$2:$A$20000,Y770,DATOS!$G$2:$G$20000,CONFIG_METADATA!$B$4,DATOS!$I$2:$I$20000,"Análisis"),"")))</f>
        <v/>
      </c>
      <c r="AA770" t="str">
        <f>IF(Y770="","",IF(Y770="[FÓRMULA MANUAL]","",IFERROR(AVERAGEIFS(DATOS!$K$2:$K$20000,DATOS!$A$2:$A$20000,Y770,DATOS!$G$2:$G$20000,CONFIG_METADATA!$B$4,DATOS!$I$2:$I$20000,"Orquesta/Banda/Conjunto"),"")))</f>
        <v/>
      </c>
      <c r="AB770" t="str">
        <f>IF(Y770="","",IF(Y770="[FÓRMULA MANUAL]","",IFERROR(AVERAGEIFS(DATOS!$K$2:$K$20000,DATOS!$A$2:$A$20000,Y770,DATOS!$G$2:$G$20000,CONFIG_METADATA!$B$4,DATOS!$I$2:$I$20000,"Música de Cámara"),"")))</f>
        <v/>
      </c>
      <c r="AC770" t="str">
        <f>IF(Y770="","",IF(Y770="[FÓRMULA MANUAL]","",IFERROR(SUMPRODUCT((DATOS!$A$2:$A$20000=Y770)*(DATOS!$G$2:$G$20000=CONFIG_METADATA!$B$4)*(COUNTIF(CONFIG_ASIGNATURAS!$B$7:$B$27,DATOS!$I$2:$I$20000)&gt;0)*(DATOS!$K$2:$K$20000))/SUMPRODUCT((DATOS!$A$2:$A$20000=Y770)*(DATOS!$G$2:$G$20000=CONFIG_METADATA!$B$4)*(COUNTIF(CONFIG_ASIGNATURAS!$B$7:$B$27,DATOS!$I$2:$I$20000)&gt;0)*1),"")))</f>
        <v/>
      </c>
      <c r="AF770" t="str">
        <f>IF(AE770="","",IF(AE770="[FÓRMULA MANUAL]","",IFERROR(AVERAGEIFS(DATOS!$K$2:$K$20000,DATOS!$A$2:$A$20000,AE770,DATOS!$G$2:$G$20000,CONFIG_METADATA!$B$4,DATOS!$I$2:$I$20000,"Análisis"),"")))</f>
        <v/>
      </c>
      <c r="AG770" t="str">
        <f>IF(AE770="","",IF(AE770="[FÓRMULA MANUAL]","",IFERROR(AVERAGEIFS(DATOS!$K$2:$K$20000,DATOS!$A$2:$A$20000,AE770,DATOS!$G$2:$G$20000,CONFIG_METADATA!$B$4,DATOS!$I$2:$I$20000,"Orquesta/Banda/Conjunto"),"")))</f>
        <v/>
      </c>
      <c r="AH770" t="str">
        <f>IF(AE770="","",IF(AE770="[FÓRMULA MANUAL]","",IFERROR(AVERAGEIFS(DATOS!$K$2:$K$20000,DATOS!$A$2:$A$20000,AE770,DATOS!$G$2:$G$20000,CONFIG_METADATA!$B$4,DATOS!$I$2:$I$20000,"Música de Cámara"),"")))</f>
        <v/>
      </c>
      <c r="AI770" t="str">
        <f>IF(AE770="","",IF(AE770="[FÓRMULA MANUAL]","",IFERROR(SUMPRODUCT((DATOS!$A$2:$A$20000=AE770)*(DATOS!$G$2:$G$20000=CONFIG_METADATA!$B$4)*(COUNTIF(CONFIG_ASIGNATURAS!$B$7:$B$27,DATOS!$I$2:$I$20000)&gt;0)*(DATOS!$K$2:$K$20000))/SUMPRODUCT((DATOS!$A$2:$A$20000=AE770)*(DATOS!$G$2:$G$20000=CONFIG_METADATA!$B$4)*(COUNTIF(CONFIG_ASIGNATURAS!$B$7:$B$27,DATOS!$I$2:$I$20000)&gt;0)*1),"")))</f>
        <v/>
      </c>
    </row>
    <row r="771" spans="2:35" x14ac:dyDescent="0.2">
      <c r="B771" t="str">
        <f>IF(A771="","",IF(A771="[FÓRMULA MANUAL]","",IFERROR(AVERAGEIFS(DATOS!$K$2:$K$20000,DATOS!$A$2:$A$20000,A771,DATOS!$G$2:$G$20000,CONFIG_METADATA!$B$4,DATOS!$I$2:$I$20000,"Lenguaje Musical"),"")))</f>
        <v/>
      </c>
      <c r="C771" t="str">
        <f>IF(A771="","",IF(A771="[FÓRMULA MANUAL]","",IFERROR(AVERAGEIFS(DATOS!$K$2:$K$20000,DATOS!$A$2:$A$20000,A771,DATOS!$G$2:$G$20000,CONFIG_METADATA!$B$4,DATOS!$I$2:$I$20000,"Orquesta/Banda/Conjunto"),"")))</f>
        <v/>
      </c>
      <c r="D771" t="str">
        <f>IF(A771="","",IF(A771="[FÓRMULA MANUAL]","",IFERROR(AVERAGEIFS(DATOS!$K$2:$K$20000,DATOS!$A$2:$A$20000,A771,DATOS!$G$2:$G$20000,CONFIG_METADATA!$B$4,DATOS!$I$2:$I$20000,"Conjunto"),"")))</f>
        <v/>
      </c>
      <c r="E771" t="str">
        <f>IF(A771="","",IF(A771="[FÓRMULA MANUAL]","",IFERROR(SUMPRODUCT((DATOS!$A$2:$A$20000=A771)*(DATOS!$G$2:$G$20000=CONFIG_METADATA!$B$4)*(COUNTIF(CONFIG_ASIGNATURAS!$B$7:$B$27,DATOS!$I$2:$I$20000)&gt;0)*(DATOS!$K$2:$K$20000))/SUMPRODUCT((DATOS!$A$2:$A$20000=A771)*(DATOS!$G$2:$G$20000=CONFIG_METADATA!$B$4)*(COUNTIF(CONFIG_ASIGNATURAS!$B$7:$B$27,DATOS!$I$2:$I$20000)&gt;0)*1),"")))</f>
        <v/>
      </c>
      <c r="H771" t="str">
        <f>IF(G771="","",IF(G771="[FÓRMULA MANUAL]","",IFERROR(AVERAGEIFS(DATOS!$K$2:$K$20000,DATOS!$A$2:$A$20000,G771,DATOS!$G$2:$G$20000,CONFIG_METADATA!$B$4,DATOS!$I$2:$I$20000,"Lenguaje Musical"),"")))</f>
        <v/>
      </c>
      <c r="I771" t="str">
        <f>IF(G771="","",IF(G771="[FÓRMULA MANUAL]","",IFERROR(AVERAGEIFS(DATOS!$K$2:$K$20000,DATOS!$A$2:$A$20000,G771,DATOS!$G$2:$G$20000,CONFIG_METADATA!$B$4,DATOS!$I$2:$I$20000,"Orquesta/Banda/Conjunto"),"")))</f>
        <v/>
      </c>
      <c r="J771" t="str">
        <f>IF(G771="","",IF(G771="[FÓRMULA MANUAL]","",IFERROR(AVERAGEIFS(DATOS!$K$2:$K$20000,DATOS!$A$2:$A$20000,G771,DATOS!$G$2:$G$20000,CONFIG_METADATA!$B$4,DATOS!$I$2:$I$20000,"Conjunto"),"")))</f>
        <v/>
      </c>
      <c r="K771" t="str">
        <f>IF(G771="","",IF(G771="[FÓRMULA MANUAL]","",IFERROR(SUMPRODUCT((DATOS!$A$2:$A$20000=G771)*(DATOS!$G$2:$G$20000=CONFIG_METADATA!$B$4)*(COUNTIF(CONFIG_ASIGNATURAS!$B$7:$B$27,DATOS!$I$2:$I$20000)&gt;0)*(DATOS!$K$2:$K$20000))/SUMPRODUCT((DATOS!$A$2:$A$20000=G771)*(DATOS!$G$2:$G$20000=CONFIG_METADATA!$B$4)*(COUNTIF(CONFIG_ASIGNATURAS!$B$7:$B$27,DATOS!$I$2:$I$20000)&gt;0)*1),"")))</f>
        <v/>
      </c>
      <c r="N771" t="str">
        <f>IF(M771="","",IF(M771="[FÓRMULA MANUAL]","",IFERROR(AVERAGEIFS(DATOS!$K$2:$K$20000,DATOS!$A$2:$A$20000,M771,DATOS!$G$2:$G$20000,CONFIG_METADATA!$B$4,DATOS!$I$2:$I$20000,"Armonía"),"")))</f>
        <v/>
      </c>
      <c r="O771" t="str">
        <f>IF(M771="","",IF(M771="[FÓRMULA MANUAL]","",IFERROR(AVERAGEIFS(DATOS!$K$2:$K$20000,DATOS!$A$2:$A$20000,M771,DATOS!$G$2:$G$20000,CONFIG_METADATA!$B$4,DATOS!$I$2:$I$20000,"Orquesta/Banda/Conjunto"),"")))</f>
        <v/>
      </c>
      <c r="P771" t="str">
        <f>IF(M771="","",IF(M771="[FÓRMULA MANUAL]","",IFERROR(AVERAGEIFS(DATOS!$K$2:$K$20000,DATOS!$A$2:$A$20000,M771,DATOS!$G$2:$G$20000,CONFIG_METADATA!$B$4,DATOS!$I$2:$I$20000,"Música de Cámara"),"")))</f>
        <v/>
      </c>
      <c r="Q771" t="str">
        <f>IF(M771="","",IF(M771="[FÓRMULA MANUAL]","",IFERROR(SUMPRODUCT((DATOS!$A$2:$A$20000=M771)*(DATOS!$G$2:$G$20000=CONFIG_METADATA!$B$4)*(COUNTIF(CONFIG_ASIGNATURAS!$B$7:$B$27,DATOS!$I$2:$I$20000)&gt;0)*(DATOS!$K$2:$K$20000))/SUMPRODUCT((DATOS!$A$2:$A$20000=M771)*(DATOS!$G$2:$G$20000=CONFIG_METADATA!$B$4)*(COUNTIF(CONFIG_ASIGNATURAS!$B$7:$B$27,DATOS!$I$2:$I$20000)&gt;0)*1),"")))</f>
        <v/>
      </c>
      <c r="T771" t="str">
        <f>IF(S771="","",IF(S771="[FÓRMULA MANUAL]","",IFERROR(AVERAGEIFS(DATOS!$K$2:$K$20000,DATOS!$A$2:$A$20000,S771,DATOS!$G$2:$G$20000,CONFIG_METADATA!$B$4,DATOS!$I$2:$I$20000,"Armonía"),"")))</f>
        <v/>
      </c>
      <c r="U771" t="str">
        <f>IF(S771="","",IF(S771="[FÓRMULA MANUAL]","",IFERROR(AVERAGEIFS(DATOS!$K$2:$K$20000,DATOS!$A$2:$A$20000,S771,DATOS!$G$2:$G$20000,CONFIG_METADATA!$B$4,DATOS!$I$2:$I$20000,"Orquesta/Banda/Conjunto"),"")))</f>
        <v/>
      </c>
      <c r="V771" t="str">
        <f>IF(S771="","",IF(S771="[FÓRMULA MANUAL]","",IFERROR(AVERAGEIFS(DATOS!$K$2:$K$20000,DATOS!$A$2:$A$20000,S771,DATOS!$G$2:$G$20000,CONFIG_METADATA!$B$4,DATOS!$I$2:$I$20000,"Música de Cámara"),"")))</f>
        <v/>
      </c>
      <c r="W771" t="str">
        <f>IF(S771="","",IF(S771="[FÓRMULA MANUAL]","",IFERROR(SUMPRODUCT((DATOS!$A$2:$A$20000=S771)*(DATOS!$G$2:$G$20000=CONFIG_METADATA!$B$4)*(COUNTIF(CONFIG_ASIGNATURAS!$B$7:$B$27,DATOS!$I$2:$I$20000)&gt;0)*(DATOS!$K$2:$K$20000))/SUMPRODUCT((DATOS!$A$2:$A$20000=S771)*(DATOS!$G$2:$G$20000=CONFIG_METADATA!$B$4)*(COUNTIF(CONFIG_ASIGNATURAS!$B$7:$B$27,DATOS!$I$2:$I$20000)&gt;0)*1),"")))</f>
        <v/>
      </c>
      <c r="Z771" t="str">
        <f>IF(Y771="","",IF(Y771="[FÓRMULA MANUAL]","",IFERROR(AVERAGEIFS(DATOS!$K$2:$K$20000,DATOS!$A$2:$A$20000,Y771,DATOS!$G$2:$G$20000,CONFIG_METADATA!$B$4,DATOS!$I$2:$I$20000,"Análisis"),"")))</f>
        <v/>
      </c>
      <c r="AA771" t="str">
        <f>IF(Y771="","",IF(Y771="[FÓRMULA MANUAL]","",IFERROR(AVERAGEIFS(DATOS!$K$2:$K$20000,DATOS!$A$2:$A$20000,Y771,DATOS!$G$2:$G$20000,CONFIG_METADATA!$B$4,DATOS!$I$2:$I$20000,"Orquesta/Banda/Conjunto"),"")))</f>
        <v/>
      </c>
      <c r="AB771" t="str">
        <f>IF(Y771="","",IF(Y771="[FÓRMULA MANUAL]","",IFERROR(AVERAGEIFS(DATOS!$K$2:$K$20000,DATOS!$A$2:$A$20000,Y771,DATOS!$G$2:$G$20000,CONFIG_METADATA!$B$4,DATOS!$I$2:$I$20000,"Música de Cámara"),"")))</f>
        <v/>
      </c>
      <c r="AC771" t="str">
        <f>IF(Y771="","",IF(Y771="[FÓRMULA MANUAL]","",IFERROR(SUMPRODUCT((DATOS!$A$2:$A$20000=Y771)*(DATOS!$G$2:$G$20000=CONFIG_METADATA!$B$4)*(COUNTIF(CONFIG_ASIGNATURAS!$B$7:$B$27,DATOS!$I$2:$I$20000)&gt;0)*(DATOS!$K$2:$K$20000))/SUMPRODUCT((DATOS!$A$2:$A$20000=Y771)*(DATOS!$G$2:$G$20000=CONFIG_METADATA!$B$4)*(COUNTIF(CONFIG_ASIGNATURAS!$B$7:$B$27,DATOS!$I$2:$I$20000)&gt;0)*1),"")))</f>
        <v/>
      </c>
      <c r="AF771" t="str">
        <f>IF(AE771="","",IF(AE771="[FÓRMULA MANUAL]","",IFERROR(AVERAGEIFS(DATOS!$K$2:$K$20000,DATOS!$A$2:$A$20000,AE771,DATOS!$G$2:$G$20000,CONFIG_METADATA!$B$4,DATOS!$I$2:$I$20000,"Análisis"),"")))</f>
        <v/>
      </c>
      <c r="AG771" t="str">
        <f>IF(AE771="","",IF(AE771="[FÓRMULA MANUAL]","",IFERROR(AVERAGEIFS(DATOS!$K$2:$K$20000,DATOS!$A$2:$A$20000,AE771,DATOS!$G$2:$G$20000,CONFIG_METADATA!$B$4,DATOS!$I$2:$I$20000,"Orquesta/Banda/Conjunto"),"")))</f>
        <v/>
      </c>
      <c r="AH771" t="str">
        <f>IF(AE771="","",IF(AE771="[FÓRMULA MANUAL]","",IFERROR(AVERAGEIFS(DATOS!$K$2:$K$20000,DATOS!$A$2:$A$20000,AE771,DATOS!$G$2:$G$20000,CONFIG_METADATA!$B$4,DATOS!$I$2:$I$20000,"Música de Cámara"),"")))</f>
        <v/>
      </c>
      <c r="AI771" t="str">
        <f>IF(AE771="","",IF(AE771="[FÓRMULA MANUAL]","",IFERROR(SUMPRODUCT((DATOS!$A$2:$A$20000=AE771)*(DATOS!$G$2:$G$20000=CONFIG_METADATA!$B$4)*(COUNTIF(CONFIG_ASIGNATURAS!$B$7:$B$27,DATOS!$I$2:$I$20000)&gt;0)*(DATOS!$K$2:$K$20000))/SUMPRODUCT((DATOS!$A$2:$A$20000=AE771)*(DATOS!$G$2:$G$20000=CONFIG_METADATA!$B$4)*(COUNTIF(CONFIG_ASIGNATURAS!$B$7:$B$27,DATOS!$I$2:$I$20000)&gt;0)*1),"")))</f>
        <v/>
      </c>
    </row>
    <row r="772" spans="2:35" x14ac:dyDescent="0.2">
      <c r="B772" t="str">
        <f>IF(A772="","",IF(A772="[FÓRMULA MANUAL]","",IFERROR(AVERAGEIFS(DATOS!$K$2:$K$20000,DATOS!$A$2:$A$20000,A772,DATOS!$G$2:$G$20000,CONFIG_METADATA!$B$4,DATOS!$I$2:$I$20000,"Lenguaje Musical"),"")))</f>
        <v/>
      </c>
      <c r="C772" t="str">
        <f>IF(A772="","",IF(A772="[FÓRMULA MANUAL]","",IFERROR(AVERAGEIFS(DATOS!$K$2:$K$20000,DATOS!$A$2:$A$20000,A772,DATOS!$G$2:$G$20000,CONFIG_METADATA!$B$4,DATOS!$I$2:$I$20000,"Orquesta/Banda/Conjunto"),"")))</f>
        <v/>
      </c>
      <c r="D772" t="str">
        <f>IF(A772="","",IF(A772="[FÓRMULA MANUAL]","",IFERROR(AVERAGEIFS(DATOS!$K$2:$K$20000,DATOS!$A$2:$A$20000,A772,DATOS!$G$2:$G$20000,CONFIG_METADATA!$B$4,DATOS!$I$2:$I$20000,"Conjunto"),"")))</f>
        <v/>
      </c>
      <c r="E772" t="str">
        <f>IF(A772="","",IF(A772="[FÓRMULA MANUAL]","",IFERROR(SUMPRODUCT((DATOS!$A$2:$A$20000=A772)*(DATOS!$G$2:$G$20000=CONFIG_METADATA!$B$4)*(COUNTIF(CONFIG_ASIGNATURAS!$B$7:$B$27,DATOS!$I$2:$I$20000)&gt;0)*(DATOS!$K$2:$K$20000))/SUMPRODUCT((DATOS!$A$2:$A$20000=A772)*(DATOS!$G$2:$G$20000=CONFIG_METADATA!$B$4)*(COUNTIF(CONFIG_ASIGNATURAS!$B$7:$B$27,DATOS!$I$2:$I$20000)&gt;0)*1),"")))</f>
        <v/>
      </c>
      <c r="H772" t="str">
        <f>IF(G772="","",IF(G772="[FÓRMULA MANUAL]","",IFERROR(AVERAGEIFS(DATOS!$K$2:$K$20000,DATOS!$A$2:$A$20000,G772,DATOS!$G$2:$G$20000,CONFIG_METADATA!$B$4,DATOS!$I$2:$I$20000,"Lenguaje Musical"),"")))</f>
        <v/>
      </c>
      <c r="I772" t="str">
        <f>IF(G772="","",IF(G772="[FÓRMULA MANUAL]","",IFERROR(AVERAGEIFS(DATOS!$K$2:$K$20000,DATOS!$A$2:$A$20000,G772,DATOS!$G$2:$G$20000,CONFIG_METADATA!$B$4,DATOS!$I$2:$I$20000,"Orquesta/Banda/Conjunto"),"")))</f>
        <v/>
      </c>
      <c r="J772" t="str">
        <f>IF(G772="","",IF(G772="[FÓRMULA MANUAL]","",IFERROR(AVERAGEIFS(DATOS!$K$2:$K$20000,DATOS!$A$2:$A$20000,G772,DATOS!$G$2:$G$20000,CONFIG_METADATA!$B$4,DATOS!$I$2:$I$20000,"Conjunto"),"")))</f>
        <v/>
      </c>
      <c r="K772" t="str">
        <f>IF(G772="","",IF(G772="[FÓRMULA MANUAL]","",IFERROR(SUMPRODUCT((DATOS!$A$2:$A$20000=G772)*(DATOS!$G$2:$G$20000=CONFIG_METADATA!$B$4)*(COUNTIF(CONFIG_ASIGNATURAS!$B$7:$B$27,DATOS!$I$2:$I$20000)&gt;0)*(DATOS!$K$2:$K$20000))/SUMPRODUCT((DATOS!$A$2:$A$20000=G772)*(DATOS!$G$2:$G$20000=CONFIG_METADATA!$B$4)*(COUNTIF(CONFIG_ASIGNATURAS!$B$7:$B$27,DATOS!$I$2:$I$20000)&gt;0)*1),"")))</f>
        <v/>
      </c>
      <c r="N772" t="str">
        <f>IF(M772="","",IF(M772="[FÓRMULA MANUAL]","",IFERROR(AVERAGEIFS(DATOS!$K$2:$K$20000,DATOS!$A$2:$A$20000,M772,DATOS!$G$2:$G$20000,CONFIG_METADATA!$B$4,DATOS!$I$2:$I$20000,"Armonía"),"")))</f>
        <v/>
      </c>
      <c r="O772" t="str">
        <f>IF(M772="","",IF(M772="[FÓRMULA MANUAL]","",IFERROR(AVERAGEIFS(DATOS!$K$2:$K$20000,DATOS!$A$2:$A$20000,M772,DATOS!$G$2:$G$20000,CONFIG_METADATA!$B$4,DATOS!$I$2:$I$20000,"Orquesta/Banda/Conjunto"),"")))</f>
        <v/>
      </c>
      <c r="P772" t="str">
        <f>IF(M772="","",IF(M772="[FÓRMULA MANUAL]","",IFERROR(AVERAGEIFS(DATOS!$K$2:$K$20000,DATOS!$A$2:$A$20000,M772,DATOS!$G$2:$G$20000,CONFIG_METADATA!$B$4,DATOS!$I$2:$I$20000,"Música de Cámara"),"")))</f>
        <v/>
      </c>
      <c r="Q772" t="str">
        <f>IF(M772="","",IF(M772="[FÓRMULA MANUAL]","",IFERROR(SUMPRODUCT((DATOS!$A$2:$A$20000=M772)*(DATOS!$G$2:$G$20000=CONFIG_METADATA!$B$4)*(COUNTIF(CONFIG_ASIGNATURAS!$B$7:$B$27,DATOS!$I$2:$I$20000)&gt;0)*(DATOS!$K$2:$K$20000))/SUMPRODUCT((DATOS!$A$2:$A$20000=M772)*(DATOS!$G$2:$G$20000=CONFIG_METADATA!$B$4)*(COUNTIF(CONFIG_ASIGNATURAS!$B$7:$B$27,DATOS!$I$2:$I$20000)&gt;0)*1),"")))</f>
        <v/>
      </c>
      <c r="T772" t="str">
        <f>IF(S772="","",IF(S772="[FÓRMULA MANUAL]","",IFERROR(AVERAGEIFS(DATOS!$K$2:$K$20000,DATOS!$A$2:$A$20000,S772,DATOS!$G$2:$G$20000,CONFIG_METADATA!$B$4,DATOS!$I$2:$I$20000,"Armonía"),"")))</f>
        <v/>
      </c>
      <c r="U772" t="str">
        <f>IF(S772="","",IF(S772="[FÓRMULA MANUAL]","",IFERROR(AVERAGEIFS(DATOS!$K$2:$K$20000,DATOS!$A$2:$A$20000,S772,DATOS!$G$2:$G$20000,CONFIG_METADATA!$B$4,DATOS!$I$2:$I$20000,"Orquesta/Banda/Conjunto"),"")))</f>
        <v/>
      </c>
      <c r="V772" t="str">
        <f>IF(S772="","",IF(S772="[FÓRMULA MANUAL]","",IFERROR(AVERAGEIFS(DATOS!$K$2:$K$20000,DATOS!$A$2:$A$20000,S772,DATOS!$G$2:$G$20000,CONFIG_METADATA!$B$4,DATOS!$I$2:$I$20000,"Música de Cámara"),"")))</f>
        <v/>
      </c>
      <c r="W772" t="str">
        <f>IF(S772="","",IF(S772="[FÓRMULA MANUAL]","",IFERROR(SUMPRODUCT((DATOS!$A$2:$A$20000=S772)*(DATOS!$G$2:$G$20000=CONFIG_METADATA!$B$4)*(COUNTIF(CONFIG_ASIGNATURAS!$B$7:$B$27,DATOS!$I$2:$I$20000)&gt;0)*(DATOS!$K$2:$K$20000))/SUMPRODUCT((DATOS!$A$2:$A$20000=S772)*(DATOS!$G$2:$G$20000=CONFIG_METADATA!$B$4)*(COUNTIF(CONFIG_ASIGNATURAS!$B$7:$B$27,DATOS!$I$2:$I$20000)&gt;0)*1),"")))</f>
        <v/>
      </c>
      <c r="Z772" t="str">
        <f>IF(Y772="","",IF(Y772="[FÓRMULA MANUAL]","",IFERROR(AVERAGEIFS(DATOS!$K$2:$K$20000,DATOS!$A$2:$A$20000,Y772,DATOS!$G$2:$G$20000,CONFIG_METADATA!$B$4,DATOS!$I$2:$I$20000,"Análisis"),"")))</f>
        <v/>
      </c>
      <c r="AA772" t="str">
        <f>IF(Y772="","",IF(Y772="[FÓRMULA MANUAL]","",IFERROR(AVERAGEIFS(DATOS!$K$2:$K$20000,DATOS!$A$2:$A$20000,Y772,DATOS!$G$2:$G$20000,CONFIG_METADATA!$B$4,DATOS!$I$2:$I$20000,"Orquesta/Banda/Conjunto"),"")))</f>
        <v/>
      </c>
      <c r="AB772" t="str">
        <f>IF(Y772="","",IF(Y772="[FÓRMULA MANUAL]","",IFERROR(AVERAGEIFS(DATOS!$K$2:$K$20000,DATOS!$A$2:$A$20000,Y772,DATOS!$G$2:$G$20000,CONFIG_METADATA!$B$4,DATOS!$I$2:$I$20000,"Música de Cámara"),"")))</f>
        <v/>
      </c>
      <c r="AC772" t="str">
        <f>IF(Y772="","",IF(Y772="[FÓRMULA MANUAL]","",IFERROR(SUMPRODUCT((DATOS!$A$2:$A$20000=Y772)*(DATOS!$G$2:$G$20000=CONFIG_METADATA!$B$4)*(COUNTIF(CONFIG_ASIGNATURAS!$B$7:$B$27,DATOS!$I$2:$I$20000)&gt;0)*(DATOS!$K$2:$K$20000))/SUMPRODUCT((DATOS!$A$2:$A$20000=Y772)*(DATOS!$G$2:$G$20000=CONFIG_METADATA!$B$4)*(COUNTIF(CONFIG_ASIGNATURAS!$B$7:$B$27,DATOS!$I$2:$I$20000)&gt;0)*1),"")))</f>
        <v/>
      </c>
      <c r="AF772" t="str">
        <f>IF(AE772="","",IF(AE772="[FÓRMULA MANUAL]","",IFERROR(AVERAGEIFS(DATOS!$K$2:$K$20000,DATOS!$A$2:$A$20000,AE772,DATOS!$G$2:$G$20000,CONFIG_METADATA!$B$4,DATOS!$I$2:$I$20000,"Análisis"),"")))</f>
        <v/>
      </c>
      <c r="AG772" t="str">
        <f>IF(AE772="","",IF(AE772="[FÓRMULA MANUAL]","",IFERROR(AVERAGEIFS(DATOS!$K$2:$K$20000,DATOS!$A$2:$A$20000,AE772,DATOS!$G$2:$G$20000,CONFIG_METADATA!$B$4,DATOS!$I$2:$I$20000,"Orquesta/Banda/Conjunto"),"")))</f>
        <v/>
      </c>
      <c r="AH772" t="str">
        <f>IF(AE772="","",IF(AE772="[FÓRMULA MANUAL]","",IFERROR(AVERAGEIFS(DATOS!$K$2:$K$20000,DATOS!$A$2:$A$20000,AE772,DATOS!$G$2:$G$20000,CONFIG_METADATA!$B$4,DATOS!$I$2:$I$20000,"Música de Cámara"),"")))</f>
        <v/>
      </c>
      <c r="AI772" t="str">
        <f>IF(AE772="","",IF(AE772="[FÓRMULA MANUAL]","",IFERROR(SUMPRODUCT((DATOS!$A$2:$A$20000=AE772)*(DATOS!$G$2:$G$20000=CONFIG_METADATA!$B$4)*(COUNTIF(CONFIG_ASIGNATURAS!$B$7:$B$27,DATOS!$I$2:$I$20000)&gt;0)*(DATOS!$K$2:$K$20000))/SUMPRODUCT((DATOS!$A$2:$A$20000=AE772)*(DATOS!$G$2:$G$20000=CONFIG_METADATA!$B$4)*(COUNTIF(CONFIG_ASIGNATURAS!$B$7:$B$27,DATOS!$I$2:$I$20000)&gt;0)*1),"")))</f>
        <v/>
      </c>
    </row>
    <row r="773" spans="2:35" x14ac:dyDescent="0.2">
      <c r="B773" t="str">
        <f>IF(A773="","",IF(A773="[FÓRMULA MANUAL]","",IFERROR(AVERAGEIFS(DATOS!$K$2:$K$20000,DATOS!$A$2:$A$20000,A773,DATOS!$G$2:$G$20000,CONFIG_METADATA!$B$4,DATOS!$I$2:$I$20000,"Lenguaje Musical"),"")))</f>
        <v/>
      </c>
      <c r="C773" t="str">
        <f>IF(A773="","",IF(A773="[FÓRMULA MANUAL]","",IFERROR(AVERAGEIFS(DATOS!$K$2:$K$20000,DATOS!$A$2:$A$20000,A773,DATOS!$G$2:$G$20000,CONFIG_METADATA!$B$4,DATOS!$I$2:$I$20000,"Orquesta/Banda/Conjunto"),"")))</f>
        <v/>
      </c>
      <c r="D773" t="str">
        <f>IF(A773="","",IF(A773="[FÓRMULA MANUAL]","",IFERROR(AVERAGEIFS(DATOS!$K$2:$K$20000,DATOS!$A$2:$A$20000,A773,DATOS!$G$2:$G$20000,CONFIG_METADATA!$B$4,DATOS!$I$2:$I$20000,"Conjunto"),"")))</f>
        <v/>
      </c>
      <c r="E773" t="str">
        <f>IF(A773="","",IF(A773="[FÓRMULA MANUAL]","",IFERROR(SUMPRODUCT((DATOS!$A$2:$A$20000=A773)*(DATOS!$G$2:$G$20000=CONFIG_METADATA!$B$4)*(COUNTIF(CONFIG_ASIGNATURAS!$B$7:$B$27,DATOS!$I$2:$I$20000)&gt;0)*(DATOS!$K$2:$K$20000))/SUMPRODUCT((DATOS!$A$2:$A$20000=A773)*(DATOS!$G$2:$G$20000=CONFIG_METADATA!$B$4)*(COUNTIF(CONFIG_ASIGNATURAS!$B$7:$B$27,DATOS!$I$2:$I$20000)&gt;0)*1),"")))</f>
        <v/>
      </c>
      <c r="H773" t="str">
        <f>IF(G773="","",IF(G773="[FÓRMULA MANUAL]","",IFERROR(AVERAGEIFS(DATOS!$K$2:$K$20000,DATOS!$A$2:$A$20000,G773,DATOS!$G$2:$G$20000,CONFIG_METADATA!$B$4,DATOS!$I$2:$I$20000,"Lenguaje Musical"),"")))</f>
        <v/>
      </c>
      <c r="I773" t="str">
        <f>IF(G773="","",IF(G773="[FÓRMULA MANUAL]","",IFERROR(AVERAGEIFS(DATOS!$K$2:$K$20000,DATOS!$A$2:$A$20000,G773,DATOS!$G$2:$G$20000,CONFIG_METADATA!$B$4,DATOS!$I$2:$I$20000,"Orquesta/Banda/Conjunto"),"")))</f>
        <v/>
      </c>
      <c r="J773" t="str">
        <f>IF(G773="","",IF(G773="[FÓRMULA MANUAL]","",IFERROR(AVERAGEIFS(DATOS!$K$2:$K$20000,DATOS!$A$2:$A$20000,G773,DATOS!$G$2:$G$20000,CONFIG_METADATA!$B$4,DATOS!$I$2:$I$20000,"Conjunto"),"")))</f>
        <v/>
      </c>
      <c r="K773" t="str">
        <f>IF(G773="","",IF(G773="[FÓRMULA MANUAL]","",IFERROR(SUMPRODUCT((DATOS!$A$2:$A$20000=G773)*(DATOS!$G$2:$G$20000=CONFIG_METADATA!$B$4)*(COUNTIF(CONFIG_ASIGNATURAS!$B$7:$B$27,DATOS!$I$2:$I$20000)&gt;0)*(DATOS!$K$2:$K$20000))/SUMPRODUCT((DATOS!$A$2:$A$20000=G773)*(DATOS!$G$2:$G$20000=CONFIG_METADATA!$B$4)*(COUNTIF(CONFIG_ASIGNATURAS!$B$7:$B$27,DATOS!$I$2:$I$20000)&gt;0)*1),"")))</f>
        <v/>
      </c>
      <c r="N773" t="str">
        <f>IF(M773="","",IF(M773="[FÓRMULA MANUAL]","",IFERROR(AVERAGEIFS(DATOS!$K$2:$K$20000,DATOS!$A$2:$A$20000,M773,DATOS!$G$2:$G$20000,CONFIG_METADATA!$B$4,DATOS!$I$2:$I$20000,"Armonía"),"")))</f>
        <v/>
      </c>
      <c r="O773" t="str">
        <f>IF(M773="","",IF(M773="[FÓRMULA MANUAL]","",IFERROR(AVERAGEIFS(DATOS!$K$2:$K$20000,DATOS!$A$2:$A$20000,M773,DATOS!$G$2:$G$20000,CONFIG_METADATA!$B$4,DATOS!$I$2:$I$20000,"Orquesta/Banda/Conjunto"),"")))</f>
        <v/>
      </c>
      <c r="P773" t="str">
        <f>IF(M773="","",IF(M773="[FÓRMULA MANUAL]","",IFERROR(AVERAGEIFS(DATOS!$K$2:$K$20000,DATOS!$A$2:$A$20000,M773,DATOS!$G$2:$G$20000,CONFIG_METADATA!$B$4,DATOS!$I$2:$I$20000,"Música de Cámara"),"")))</f>
        <v/>
      </c>
      <c r="Q773" t="str">
        <f>IF(M773="","",IF(M773="[FÓRMULA MANUAL]","",IFERROR(SUMPRODUCT((DATOS!$A$2:$A$20000=M773)*(DATOS!$G$2:$G$20000=CONFIG_METADATA!$B$4)*(COUNTIF(CONFIG_ASIGNATURAS!$B$7:$B$27,DATOS!$I$2:$I$20000)&gt;0)*(DATOS!$K$2:$K$20000))/SUMPRODUCT((DATOS!$A$2:$A$20000=M773)*(DATOS!$G$2:$G$20000=CONFIG_METADATA!$B$4)*(COUNTIF(CONFIG_ASIGNATURAS!$B$7:$B$27,DATOS!$I$2:$I$20000)&gt;0)*1),"")))</f>
        <v/>
      </c>
      <c r="T773" t="str">
        <f>IF(S773="","",IF(S773="[FÓRMULA MANUAL]","",IFERROR(AVERAGEIFS(DATOS!$K$2:$K$20000,DATOS!$A$2:$A$20000,S773,DATOS!$G$2:$G$20000,CONFIG_METADATA!$B$4,DATOS!$I$2:$I$20000,"Armonía"),"")))</f>
        <v/>
      </c>
      <c r="U773" t="str">
        <f>IF(S773="","",IF(S773="[FÓRMULA MANUAL]","",IFERROR(AVERAGEIFS(DATOS!$K$2:$K$20000,DATOS!$A$2:$A$20000,S773,DATOS!$G$2:$G$20000,CONFIG_METADATA!$B$4,DATOS!$I$2:$I$20000,"Orquesta/Banda/Conjunto"),"")))</f>
        <v/>
      </c>
      <c r="V773" t="str">
        <f>IF(S773="","",IF(S773="[FÓRMULA MANUAL]","",IFERROR(AVERAGEIFS(DATOS!$K$2:$K$20000,DATOS!$A$2:$A$20000,S773,DATOS!$G$2:$G$20000,CONFIG_METADATA!$B$4,DATOS!$I$2:$I$20000,"Música de Cámara"),"")))</f>
        <v/>
      </c>
      <c r="W773" t="str">
        <f>IF(S773="","",IF(S773="[FÓRMULA MANUAL]","",IFERROR(SUMPRODUCT((DATOS!$A$2:$A$20000=S773)*(DATOS!$G$2:$G$20000=CONFIG_METADATA!$B$4)*(COUNTIF(CONFIG_ASIGNATURAS!$B$7:$B$27,DATOS!$I$2:$I$20000)&gt;0)*(DATOS!$K$2:$K$20000))/SUMPRODUCT((DATOS!$A$2:$A$20000=S773)*(DATOS!$G$2:$G$20000=CONFIG_METADATA!$B$4)*(COUNTIF(CONFIG_ASIGNATURAS!$B$7:$B$27,DATOS!$I$2:$I$20000)&gt;0)*1),"")))</f>
        <v/>
      </c>
      <c r="Z773" t="str">
        <f>IF(Y773="","",IF(Y773="[FÓRMULA MANUAL]","",IFERROR(AVERAGEIFS(DATOS!$K$2:$K$20000,DATOS!$A$2:$A$20000,Y773,DATOS!$G$2:$G$20000,CONFIG_METADATA!$B$4,DATOS!$I$2:$I$20000,"Análisis"),"")))</f>
        <v/>
      </c>
      <c r="AA773" t="str">
        <f>IF(Y773="","",IF(Y773="[FÓRMULA MANUAL]","",IFERROR(AVERAGEIFS(DATOS!$K$2:$K$20000,DATOS!$A$2:$A$20000,Y773,DATOS!$G$2:$G$20000,CONFIG_METADATA!$B$4,DATOS!$I$2:$I$20000,"Orquesta/Banda/Conjunto"),"")))</f>
        <v/>
      </c>
      <c r="AB773" t="str">
        <f>IF(Y773="","",IF(Y773="[FÓRMULA MANUAL]","",IFERROR(AVERAGEIFS(DATOS!$K$2:$K$20000,DATOS!$A$2:$A$20000,Y773,DATOS!$G$2:$G$20000,CONFIG_METADATA!$B$4,DATOS!$I$2:$I$20000,"Música de Cámara"),"")))</f>
        <v/>
      </c>
      <c r="AC773" t="str">
        <f>IF(Y773="","",IF(Y773="[FÓRMULA MANUAL]","",IFERROR(SUMPRODUCT((DATOS!$A$2:$A$20000=Y773)*(DATOS!$G$2:$G$20000=CONFIG_METADATA!$B$4)*(COUNTIF(CONFIG_ASIGNATURAS!$B$7:$B$27,DATOS!$I$2:$I$20000)&gt;0)*(DATOS!$K$2:$K$20000))/SUMPRODUCT((DATOS!$A$2:$A$20000=Y773)*(DATOS!$G$2:$G$20000=CONFIG_METADATA!$B$4)*(COUNTIF(CONFIG_ASIGNATURAS!$B$7:$B$27,DATOS!$I$2:$I$20000)&gt;0)*1),"")))</f>
        <v/>
      </c>
      <c r="AF773" t="str">
        <f>IF(AE773="","",IF(AE773="[FÓRMULA MANUAL]","",IFERROR(AVERAGEIFS(DATOS!$K$2:$K$20000,DATOS!$A$2:$A$20000,AE773,DATOS!$G$2:$G$20000,CONFIG_METADATA!$B$4,DATOS!$I$2:$I$20000,"Análisis"),"")))</f>
        <v/>
      </c>
      <c r="AG773" t="str">
        <f>IF(AE773="","",IF(AE773="[FÓRMULA MANUAL]","",IFERROR(AVERAGEIFS(DATOS!$K$2:$K$20000,DATOS!$A$2:$A$20000,AE773,DATOS!$G$2:$G$20000,CONFIG_METADATA!$B$4,DATOS!$I$2:$I$20000,"Orquesta/Banda/Conjunto"),"")))</f>
        <v/>
      </c>
      <c r="AH773" t="str">
        <f>IF(AE773="","",IF(AE773="[FÓRMULA MANUAL]","",IFERROR(AVERAGEIFS(DATOS!$K$2:$K$20000,DATOS!$A$2:$A$20000,AE773,DATOS!$G$2:$G$20000,CONFIG_METADATA!$B$4,DATOS!$I$2:$I$20000,"Música de Cámara"),"")))</f>
        <v/>
      </c>
      <c r="AI773" t="str">
        <f>IF(AE773="","",IF(AE773="[FÓRMULA MANUAL]","",IFERROR(SUMPRODUCT((DATOS!$A$2:$A$20000=AE773)*(DATOS!$G$2:$G$20000=CONFIG_METADATA!$B$4)*(COUNTIF(CONFIG_ASIGNATURAS!$B$7:$B$27,DATOS!$I$2:$I$20000)&gt;0)*(DATOS!$K$2:$K$20000))/SUMPRODUCT((DATOS!$A$2:$A$20000=AE773)*(DATOS!$G$2:$G$20000=CONFIG_METADATA!$B$4)*(COUNTIF(CONFIG_ASIGNATURAS!$B$7:$B$27,DATOS!$I$2:$I$20000)&gt;0)*1),"")))</f>
        <v/>
      </c>
    </row>
    <row r="774" spans="2:35" x14ac:dyDescent="0.2">
      <c r="B774" t="str">
        <f>IF(A774="","",IF(A774="[FÓRMULA MANUAL]","",IFERROR(AVERAGEIFS(DATOS!$K$2:$K$20000,DATOS!$A$2:$A$20000,A774,DATOS!$G$2:$G$20000,CONFIG_METADATA!$B$4,DATOS!$I$2:$I$20000,"Lenguaje Musical"),"")))</f>
        <v/>
      </c>
      <c r="C774" t="str">
        <f>IF(A774="","",IF(A774="[FÓRMULA MANUAL]","",IFERROR(AVERAGEIFS(DATOS!$K$2:$K$20000,DATOS!$A$2:$A$20000,A774,DATOS!$G$2:$G$20000,CONFIG_METADATA!$B$4,DATOS!$I$2:$I$20000,"Orquesta/Banda/Conjunto"),"")))</f>
        <v/>
      </c>
      <c r="D774" t="str">
        <f>IF(A774="","",IF(A774="[FÓRMULA MANUAL]","",IFERROR(AVERAGEIFS(DATOS!$K$2:$K$20000,DATOS!$A$2:$A$20000,A774,DATOS!$G$2:$G$20000,CONFIG_METADATA!$B$4,DATOS!$I$2:$I$20000,"Conjunto"),"")))</f>
        <v/>
      </c>
      <c r="E774" t="str">
        <f>IF(A774="","",IF(A774="[FÓRMULA MANUAL]","",IFERROR(SUMPRODUCT((DATOS!$A$2:$A$20000=A774)*(DATOS!$G$2:$G$20000=CONFIG_METADATA!$B$4)*(COUNTIF(CONFIG_ASIGNATURAS!$B$7:$B$27,DATOS!$I$2:$I$20000)&gt;0)*(DATOS!$K$2:$K$20000))/SUMPRODUCT((DATOS!$A$2:$A$20000=A774)*(DATOS!$G$2:$G$20000=CONFIG_METADATA!$B$4)*(COUNTIF(CONFIG_ASIGNATURAS!$B$7:$B$27,DATOS!$I$2:$I$20000)&gt;0)*1),"")))</f>
        <v/>
      </c>
      <c r="H774" t="str">
        <f>IF(G774="","",IF(G774="[FÓRMULA MANUAL]","",IFERROR(AVERAGEIFS(DATOS!$K$2:$K$20000,DATOS!$A$2:$A$20000,G774,DATOS!$G$2:$G$20000,CONFIG_METADATA!$B$4,DATOS!$I$2:$I$20000,"Lenguaje Musical"),"")))</f>
        <v/>
      </c>
      <c r="I774" t="str">
        <f>IF(G774="","",IF(G774="[FÓRMULA MANUAL]","",IFERROR(AVERAGEIFS(DATOS!$K$2:$K$20000,DATOS!$A$2:$A$20000,G774,DATOS!$G$2:$G$20000,CONFIG_METADATA!$B$4,DATOS!$I$2:$I$20000,"Orquesta/Banda/Conjunto"),"")))</f>
        <v/>
      </c>
      <c r="J774" t="str">
        <f>IF(G774="","",IF(G774="[FÓRMULA MANUAL]","",IFERROR(AVERAGEIFS(DATOS!$K$2:$K$20000,DATOS!$A$2:$A$20000,G774,DATOS!$G$2:$G$20000,CONFIG_METADATA!$B$4,DATOS!$I$2:$I$20000,"Conjunto"),"")))</f>
        <v/>
      </c>
      <c r="K774" t="str">
        <f>IF(G774="","",IF(G774="[FÓRMULA MANUAL]","",IFERROR(SUMPRODUCT((DATOS!$A$2:$A$20000=G774)*(DATOS!$G$2:$G$20000=CONFIG_METADATA!$B$4)*(COUNTIF(CONFIG_ASIGNATURAS!$B$7:$B$27,DATOS!$I$2:$I$20000)&gt;0)*(DATOS!$K$2:$K$20000))/SUMPRODUCT((DATOS!$A$2:$A$20000=G774)*(DATOS!$G$2:$G$20000=CONFIG_METADATA!$B$4)*(COUNTIF(CONFIG_ASIGNATURAS!$B$7:$B$27,DATOS!$I$2:$I$20000)&gt;0)*1),"")))</f>
        <v/>
      </c>
      <c r="N774" t="str">
        <f>IF(M774="","",IF(M774="[FÓRMULA MANUAL]","",IFERROR(AVERAGEIFS(DATOS!$K$2:$K$20000,DATOS!$A$2:$A$20000,M774,DATOS!$G$2:$G$20000,CONFIG_METADATA!$B$4,DATOS!$I$2:$I$20000,"Armonía"),"")))</f>
        <v/>
      </c>
      <c r="O774" t="str">
        <f>IF(M774="","",IF(M774="[FÓRMULA MANUAL]","",IFERROR(AVERAGEIFS(DATOS!$K$2:$K$20000,DATOS!$A$2:$A$20000,M774,DATOS!$G$2:$G$20000,CONFIG_METADATA!$B$4,DATOS!$I$2:$I$20000,"Orquesta/Banda/Conjunto"),"")))</f>
        <v/>
      </c>
      <c r="P774" t="str">
        <f>IF(M774="","",IF(M774="[FÓRMULA MANUAL]","",IFERROR(AVERAGEIFS(DATOS!$K$2:$K$20000,DATOS!$A$2:$A$20000,M774,DATOS!$G$2:$G$20000,CONFIG_METADATA!$B$4,DATOS!$I$2:$I$20000,"Música de Cámara"),"")))</f>
        <v/>
      </c>
      <c r="Q774" t="str">
        <f>IF(M774="","",IF(M774="[FÓRMULA MANUAL]","",IFERROR(SUMPRODUCT((DATOS!$A$2:$A$20000=M774)*(DATOS!$G$2:$G$20000=CONFIG_METADATA!$B$4)*(COUNTIF(CONFIG_ASIGNATURAS!$B$7:$B$27,DATOS!$I$2:$I$20000)&gt;0)*(DATOS!$K$2:$K$20000))/SUMPRODUCT((DATOS!$A$2:$A$20000=M774)*(DATOS!$G$2:$G$20000=CONFIG_METADATA!$B$4)*(COUNTIF(CONFIG_ASIGNATURAS!$B$7:$B$27,DATOS!$I$2:$I$20000)&gt;0)*1),"")))</f>
        <v/>
      </c>
      <c r="T774" t="str">
        <f>IF(S774="","",IF(S774="[FÓRMULA MANUAL]","",IFERROR(AVERAGEIFS(DATOS!$K$2:$K$20000,DATOS!$A$2:$A$20000,S774,DATOS!$G$2:$G$20000,CONFIG_METADATA!$B$4,DATOS!$I$2:$I$20000,"Armonía"),"")))</f>
        <v/>
      </c>
      <c r="U774" t="str">
        <f>IF(S774="","",IF(S774="[FÓRMULA MANUAL]","",IFERROR(AVERAGEIFS(DATOS!$K$2:$K$20000,DATOS!$A$2:$A$20000,S774,DATOS!$G$2:$G$20000,CONFIG_METADATA!$B$4,DATOS!$I$2:$I$20000,"Orquesta/Banda/Conjunto"),"")))</f>
        <v/>
      </c>
      <c r="V774" t="str">
        <f>IF(S774="","",IF(S774="[FÓRMULA MANUAL]","",IFERROR(AVERAGEIFS(DATOS!$K$2:$K$20000,DATOS!$A$2:$A$20000,S774,DATOS!$G$2:$G$20000,CONFIG_METADATA!$B$4,DATOS!$I$2:$I$20000,"Música de Cámara"),"")))</f>
        <v/>
      </c>
      <c r="W774" t="str">
        <f>IF(S774="","",IF(S774="[FÓRMULA MANUAL]","",IFERROR(SUMPRODUCT((DATOS!$A$2:$A$20000=S774)*(DATOS!$G$2:$G$20000=CONFIG_METADATA!$B$4)*(COUNTIF(CONFIG_ASIGNATURAS!$B$7:$B$27,DATOS!$I$2:$I$20000)&gt;0)*(DATOS!$K$2:$K$20000))/SUMPRODUCT((DATOS!$A$2:$A$20000=S774)*(DATOS!$G$2:$G$20000=CONFIG_METADATA!$B$4)*(COUNTIF(CONFIG_ASIGNATURAS!$B$7:$B$27,DATOS!$I$2:$I$20000)&gt;0)*1),"")))</f>
        <v/>
      </c>
      <c r="Z774" t="str">
        <f>IF(Y774="","",IF(Y774="[FÓRMULA MANUAL]","",IFERROR(AVERAGEIFS(DATOS!$K$2:$K$20000,DATOS!$A$2:$A$20000,Y774,DATOS!$G$2:$G$20000,CONFIG_METADATA!$B$4,DATOS!$I$2:$I$20000,"Análisis"),"")))</f>
        <v/>
      </c>
      <c r="AA774" t="str">
        <f>IF(Y774="","",IF(Y774="[FÓRMULA MANUAL]","",IFERROR(AVERAGEIFS(DATOS!$K$2:$K$20000,DATOS!$A$2:$A$20000,Y774,DATOS!$G$2:$G$20000,CONFIG_METADATA!$B$4,DATOS!$I$2:$I$20000,"Orquesta/Banda/Conjunto"),"")))</f>
        <v/>
      </c>
      <c r="AB774" t="str">
        <f>IF(Y774="","",IF(Y774="[FÓRMULA MANUAL]","",IFERROR(AVERAGEIFS(DATOS!$K$2:$K$20000,DATOS!$A$2:$A$20000,Y774,DATOS!$G$2:$G$20000,CONFIG_METADATA!$B$4,DATOS!$I$2:$I$20000,"Música de Cámara"),"")))</f>
        <v/>
      </c>
      <c r="AC774" t="str">
        <f>IF(Y774="","",IF(Y774="[FÓRMULA MANUAL]","",IFERROR(SUMPRODUCT((DATOS!$A$2:$A$20000=Y774)*(DATOS!$G$2:$G$20000=CONFIG_METADATA!$B$4)*(COUNTIF(CONFIG_ASIGNATURAS!$B$7:$B$27,DATOS!$I$2:$I$20000)&gt;0)*(DATOS!$K$2:$K$20000))/SUMPRODUCT((DATOS!$A$2:$A$20000=Y774)*(DATOS!$G$2:$G$20000=CONFIG_METADATA!$B$4)*(COUNTIF(CONFIG_ASIGNATURAS!$B$7:$B$27,DATOS!$I$2:$I$20000)&gt;0)*1),"")))</f>
        <v/>
      </c>
      <c r="AF774" t="str">
        <f>IF(AE774="","",IF(AE774="[FÓRMULA MANUAL]","",IFERROR(AVERAGEIFS(DATOS!$K$2:$K$20000,DATOS!$A$2:$A$20000,AE774,DATOS!$G$2:$G$20000,CONFIG_METADATA!$B$4,DATOS!$I$2:$I$20000,"Análisis"),"")))</f>
        <v/>
      </c>
      <c r="AG774" t="str">
        <f>IF(AE774="","",IF(AE774="[FÓRMULA MANUAL]","",IFERROR(AVERAGEIFS(DATOS!$K$2:$K$20000,DATOS!$A$2:$A$20000,AE774,DATOS!$G$2:$G$20000,CONFIG_METADATA!$B$4,DATOS!$I$2:$I$20000,"Orquesta/Banda/Conjunto"),"")))</f>
        <v/>
      </c>
      <c r="AH774" t="str">
        <f>IF(AE774="","",IF(AE774="[FÓRMULA MANUAL]","",IFERROR(AVERAGEIFS(DATOS!$K$2:$K$20000,DATOS!$A$2:$A$20000,AE774,DATOS!$G$2:$G$20000,CONFIG_METADATA!$B$4,DATOS!$I$2:$I$20000,"Música de Cámara"),"")))</f>
        <v/>
      </c>
      <c r="AI774" t="str">
        <f>IF(AE774="","",IF(AE774="[FÓRMULA MANUAL]","",IFERROR(SUMPRODUCT((DATOS!$A$2:$A$20000=AE774)*(DATOS!$G$2:$G$20000=CONFIG_METADATA!$B$4)*(COUNTIF(CONFIG_ASIGNATURAS!$B$7:$B$27,DATOS!$I$2:$I$20000)&gt;0)*(DATOS!$K$2:$K$20000))/SUMPRODUCT((DATOS!$A$2:$A$20000=AE774)*(DATOS!$G$2:$G$20000=CONFIG_METADATA!$B$4)*(COUNTIF(CONFIG_ASIGNATURAS!$B$7:$B$27,DATOS!$I$2:$I$20000)&gt;0)*1),"")))</f>
        <v/>
      </c>
    </row>
    <row r="775" spans="2:35" x14ac:dyDescent="0.2">
      <c r="B775" t="str">
        <f>IF(A775="","",IF(A775="[FÓRMULA MANUAL]","",IFERROR(AVERAGEIFS(DATOS!$K$2:$K$20000,DATOS!$A$2:$A$20000,A775,DATOS!$G$2:$G$20000,CONFIG_METADATA!$B$4,DATOS!$I$2:$I$20000,"Lenguaje Musical"),"")))</f>
        <v/>
      </c>
      <c r="C775" t="str">
        <f>IF(A775="","",IF(A775="[FÓRMULA MANUAL]","",IFERROR(AVERAGEIFS(DATOS!$K$2:$K$20000,DATOS!$A$2:$A$20000,A775,DATOS!$G$2:$G$20000,CONFIG_METADATA!$B$4,DATOS!$I$2:$I$20000,"Orquesta/Banda/Conjunto"),"")))</f>
        <v/>
      </c>
      <c r="D775" t="str">
        <f>IF(A775="","",IF(A775="[FÓRMULA MANUAL]","",IFERROR(AVERAGEIFS(DATOS!$K$2:$K$20000,DATOS!$A$2:$A$20000,A775,DATOS!$G$2:$G$20000,CONFIG_METADATA!$B$4,DATOS!$I$2:$I$20000,"Conjunto"),"")))</f>
        <v/>
      </c>
      <c r="E775" t="str">
        <f>IF(A775="","",IF(A775="[FÓRMULA MANUAL]","",IFERROR(SUMPRODUCT((DATOS!$A$2:$A$20000=A775)*(DATOS!$G$2:$G$20000=CONFIG_METADATA!$B$4)*(COUNTIF(CONFIG_ASIGNATURAS!$B$7:$B$27,DATOS!$I$2:$I$20000)&gt;0)*(DATOS!$K$2:$K$20000))/SUMPRODUCT((DATOS!$A$2:$A$20000=A775)*(DATOS!$G$2:$G$20000=CONFIG_METADATA!$B$4)*(COUNTIF(CONFIG_ASIGNATURAS!$B$7:$B$27,DATOS!$I$2:$I$20000)&gt;0)*1),"")))</f>
        <v/>
      </c>
      <c r="H775" t="str">
        <f>IF(G775="","",IF(G775="[FÓRMULA MANUAL]","",IFERROR(AVERAGEIFS(DATOS!$K$2:$K$20000,DATOS!$A$2:$A$20000,G775,DATOS!$G$2:$G$20000,CONFIG_METADATA!$B$4,DATOS!$I$2:$I$20000,"Lenguaje Musical"),"")))</f>
        <v/>
      </c>
      <c r="I775" t="str">
        <f>IF(G775="","",IF(G775="[FÓRMULA MANUAL]","",IFERROR(AVERAGEIFS(DATOS!$K$2:$K$20000,DATOS!$A$2:$A$20000,G775,DATOS!$G$2:$G$20000,CONFIG_METADATA!$B$4,DATOS!$I$2:$I$20000,"Orquesta/Banda/Conjunto"),"")))</f>
        <v/>
      </c>
      <c r="J775" t="str">
        <f>IF(G775="","",IF(G775="[FÓRMULA MANUAL]","",IFERROR(AVERAGEIFS(DATOS!$K$2:$K$20000,DATOS!$A$2:$A$20000,G775,DATOS!$G$2:$G$20000,CONFIG_METADATA!$B$4,DATOS!$I$2:$I$20000,"Conjunto"),"")))</f>
        <v/>
      </c>
      <c r="K775" t="str">
        <f>IF(G775="","",IF(G775="[FÓRMULA MANUAL]","",IFERROR(SUMPRODUCT((DATOS!$A$2:$A$20000=G775)*(DATOS!$G$2:$G$20000=CONFIG_METADATA!$B$4)*(COUNTIF(CONFIG_ASIGNATURAS!$B$7:$B$27,DATOS!$I$2:$I$20000)&gt;0)*(DATOS!$K$2:$K$20000))/SUMPRODUCT((DATOS!$A$2:$A$20000=G775)*(DATOS!$G$2:$G$20000=CONFIG_METADATA!$B$4)*(COUNTIF(CONFIG_ASIGNATURAS!$B$7:$B$27,DATOS!$I$2:$I$20000)&gt;0)*1),"")))</f>
        <v/>
      </c>
      <c r="N775" t="str">
        <f>IF(M775="","",IF(M775="[FÓRMULA MANUAL]","",IFERROR(AVERAGEIFS(DATOS!$K$2:$K$20000,DATOS!$A$2:$A$20000,M775,DATOS!$G$2:$G$20000,CONFIG_METADATA!$B$4,DATOS!$I$2:$I$20000,"Armonía"),"")))</f>
        <v/>
      </c>
      <c r="O775" t="str">
        <f>IF(M775="","",IF(M775="[FÓRMULA MANUAL]","",IFERROR(AVERAGEIFS(DATOS!$K$2:$K$20000,DATOS!$A$2:$A$20000,M775,DATOS!$G$2:$G$20000,CONFIG_METADATA!$B$4,DATOS!$I$2:$I$20000,"Orquesta/Banda/Conjunto"),"")))</f>
        <v/>
      </c>
      <c r="P775" t="str">
        <f>IF(M775="","",IF(M775="[FÓRMULA MANUAL]","",IFERROR(AVERAGEIFS(DATOS!$K$2:$K$20000,DATOS!$A$2:$A$20000,M775,DATOS!$G$2:$G$20000,CONFIG_METADATA!$B$4,DATOS!$I$2:$I$20000,"Música de Cámara"),"")))</f>
        <v/>
      </c>
      <c r="Q775" t="str">
        <f>IF(M775="","",IF(M775="[FÓRMULA MANUAL]","",IFERROR(SUMPRODUCT((DATOS!$A$2:$A$20000=M775)*(DATOS!$G$2:$G$20000=CONFIG_METADATA!$B$4)*(COUNTIF(CONFIG_ASIGNATURAS!$B$7:$B$27,DATOS!$I$2:$I$20000)&gt;0)*(DATOS!$K$2:$K$20000))/SUMPRODUCT((DATOS!$A$2:$A$20000=M775)*(DATOS!$G$2:$G$20000=CONFIG_METADATA!$B$4)*(COUNTIF(CONFIG_ASIGNATURAS!$B$7:$B$27,DATOS!$I$2:$I$20000)&gt;0)*1),"")))</f>
        <v/>
      </c>
      <c r="T775" t="str">
        <f>IF(S775="","",IF(S775="[FÓRMULA MANUAL]","",IFERROR(AVERAGEIFS(DATOS!$K$2:$K$20000,DATOS!$A$2:$A$20000,S775,DATOS!$G$2:$G$20000,CONFIG_METADATA!$B$4,DATOS!$I$2:$I$20000,"Armonía"),"")))</f>
        <v/>
      </c>
      <c r="U775" t="str">
        <f>IF(S775="","",IF(S775="[FÓRMULA MANUAL]","",IFERROR(AVERAGEIFS(DATOS!$K$2:$K$20000,DATOS!$A$2:$A$20000,S775,DATOS!$G$2:$G$20000,CONFIG_METADATA!$B$4,DATOS!$I$2:$I$20000,"Orquesta/Banda/Conjunto"),"")))</f>
        <v/>
      </c>
      <c r="V775" t="str">
        <f>IF(S775="","",IF(S775="[FÓRMULA MANUAL]","",IFERROR(AVERAGEIFS(DATOS!$K$2:$K$20000,DATOS!$A$2:$A$20000,S775,DATOS!$G$2:$G$20000,CONFIG_METADATA!$B$4,DATOS!$I$2:$I$20000,"Música de Cámara"),"")))</f>
        <v/>
      </c>
      <c r="W775" t="str">
        <f>IF(S775="","",IF(S775="[FÓRMULA MANUAL]","",IFERROR(SUMPRODUCT((DATOS!$A$2:$A$20000=S775)*(DATOS!$G$2:$G$20000=CONFIG_METADATA!$B$4)*(COUNTIF(CONFIG_ASIGNATURAS!$B$7:$B$27,DATOS!$I$2:$I$20000)&gt;0)*(DATOS!$K$2:$K$20000))/SUMPRODUCT((DATOS!$A$2:$A$20000=S775)*(DATOS!$G$2:$G$20000=CONFIG_METADATA!$B$4)*(COUNTIF(CONFIG_ASIGNATURAS!$B$7:$B$27,DATOS!$I$2:$I$20000)&gt;0)*1),"")))</f>
        <v/>
      </c>
      <c r="Z775" t="str">
        <f>IF(Y775="","",IF(Y775="[FÓRMULA MANUAL]","",IFERROR(AVERAGEIFS(DATOS!$K$2:$K$20000,DATOS!$A$2:$A$20000,Y775,DATOS!$G$2:$G$20000,CONFIG_METADATA!$B$4,DATOS!$I$2:$I$20000,"Análisis"),"")))</f>
        <v/>
      </c>
      <c r="AA775" t="str">
        <f>IF(Y775="","",IF(Y775="[FÓRMULA MANUAL]","",IFERROR(AVERAGEIFS(DATOS!$K$2:$K$20000,DATOS!$A$2:$A$20000,Y775,DATOS!$G$2:$G$20000,CONFIG_METADATA!$B$4,DATOS!$I$2:$I$20000,"Orquesta/Banda/Conjunto"),"")))</f>
        <v/>
      </c>
      <c r="AB775" t="str">
        <f>IF(Y775="","",IF(Y775="[FÓRMULA MANUAL]","",IFERROR(AVERAGEIFS(DATOS!$K$2:$K$20000,DATOS!$A$2:$A$20000,Y775,DATOS!$G$2:$G$20000,CONFIG_METADATA!$B$4,DATOS!$I$2:$I$20000,"Música de Cámara"),"")))</f>
        <v/>
      </c>
      <c r="AC775" t="str">
        <f>IF(Y775="","",IF(Y775="[FÓRMULA MANUAL]","",IFERROR(SUMPRODUCT((DATOS!$A$2:$A$20000=Y775)*(DATOS!$G$2:$G$20000=CONFIG_METADATA!$B$4)*(COUNTIF(CONFIG_ASIGNATURAS!$B$7:$B$27,DATOS!$I$2:$I$20000)&gt;0)*(DATOS!$K$2:$K$20000))/SUMPRODUCT((DATOS!$A$2:$A$20000=Y775)*(DATOS!$G$2:$G$20000=CONFIG_METADATA!$B$4)*(COUNTIF(CONFIG_ASIGNATURAS!$B$7:$B$27,DATOS!$I$2:$I$20000)&gt;0)*1),"")))</f>
        <v/>
      </c>
      <c r="AF775" t="str">
        <f>IF(AE775="","",IF(AE775="[FÓRMULA MANUAL]","",IFERROR(AVERAGEIFS(DATOS!$K$2:$K$20000,DATOS!$A$2:$A$20000,AE775,DATOS!$G$2:$G$20000,CONFIG_METADATA!$B$4,DATOS!$I$2:$I$20000,"Análisis"),"")))</f>
        <v/>
      </c>
      <c r="AG775" t="str">
        <f>IF(AE775="","",IF(AE775="[FÓRMULA MANUAL]","",IFERROR(AVERAGEIFS(DATOS!$K$2:$K$20000,DATOS!$A$2:$A$20000,AE775,DATOS!$G$2:$G$20000,CONFIG_METADATA!$B$4,DATOS!$I$2:$I$20000,"Orquesta/Banda/Conjunto"),"")))</f>
        <v/>
      </c>
      <c r="AH775" t="str">
        <f>IF(AE775="","",IF(AE775="[FÓRMULA MANUAL]","",IFERROR(AVERAGEIFS(DATOS!$K$2:$K$20000,DATOS!$A$2:$A$20000,AE775,DATOS!$G$2:$G$20000,CONFIG_METADATA!$B$4,DATOS!$I$2:$I$20000,"Música de Cámara"),"")))</f>
        <v/>
      </c>
      <c r="AI775" t="str">
        <f>IF(AE775="","",IF(AE775="[FÓRMULA MANUAL]","",IFERROR(SUMPRODUCT((DATOS!$A$2:$A$20000=AE775)*(DATOS!$G$2:$G$20000=CONFIG_METADATA!$B$4)*(COUNTIF(CONFIG_ASIGNATURAS!$B$7:$B$27,DATOS!$I$2:$I$20000)&gt;0)*(DATOS!$K$2:$K$20000))/SUMPRODUCT((DATOS!$A$2:$A$20000=AE775)*(DATOS!$G$2:$G$20000=CONFIG_METADATA!$B$4)*(COUNTIF(CONFIG_ASIGNATURAS!$B$7:$B$27,DATOS!$I$2:$I$20000)&gt;0)*1),"")))</f>
        <v/>
      </c>
    </row>
    <row r="776" spans="2:35" x14ac:dyDescent="0.2">
      <c r="B776" t="str">
        <f>IF(A776="","",IF(A776="[FÓRMULA MANUAL]","",IFERROR(AVERAGEIFS(DATOS!$K$2:$K$20000,DATOS!$A$2:$A$20000,A776,DATOS!$G$2:$G$20000,CONFIG_METADATA!$B$4,DATOS!$I$2:$I$20000,"Lenguaje Musical"),"")))</f>
        <v/>
      </c>
      <c r="C776" t="str">
        <f>IF(A776="","",IF(A776="[FÓRMULA MANUAL]","",IFERROR(AVERAGEIFS(DATOS!$K$2:$K$20000,DATOS!$A$2:$A$20000,A776,DATOS!$G$2:$G$20000,CONFIG_METADATA!$B$4,DATOS!$I$2:$I$20000,"Orquesta/Banda/Conjunto"),"")))</f>
        <v/>
      </c>
      <c r="D776" t="str">
        <f>IF(A776="","",IF(A776="[FÓRMULA MANUAL]","",IFERROR(AVERAGEIFS(DATOS!$K$2:$K$20000,DATOS!$A$2:$A$20000,A776,DATOS!$G$2:$G$20000,CONFIG_METADATA!$B$4,DATOS!$I$2:$I$20000,"Conjunto"),"")))</f>
        <v/>
      </c>
      <c r="E776" t="str">
        <f>IF(A776="","",IF(A776="[FÓRMULA MANUAL]","",IFERROR(SUMPRODUCT((DATOS!$A$2:$A$20000=A776)*(DATOS!$G$2:$G$20000=CONFIG_METADATA!$B$4)*(COUNTIF(CONFIG_ASIGNATURAS!$B$7:$B$27,DATOS!$I$2:$I$20000)&gt;0)*(DATOS!$K$2:$K$20000))/SUMPRODUCT((DATOS!$A$2:$A$20000=A776)*(DATOS!$G$2:$G$20000=CONFIG_METADATA!$B$4)*(COUNTIF(CONFIG_ASIGNATURAS!$B$7:$B$27,DATOS!$I$2:$I$20000)&gt;0)*1),"")))</f>
        <v/>
      </c>
      <c r="H776" t="str">
        <f>IF(G776="","",IF(G776="[FÓRMULA MANUAL]","",IFERROR(AVERAGEIFS(DATOS!$K$2:$K$20000,DATOS!$A$2:$A$20000,G776,DATOS!$G$2:$G$20000,CONFIG_METADATA!$B$4,DATOS!$I$2:$I$20000,"Lenguaje Musical"),"")))</f>
        <v/>
      </c>
      <c r="I776" t="str">
        <f>IF(G776="","",IF(G776="[FÓRMULA MANUAL]","",IFERROR(AVERAGEIFS(DATOS!$K$2:$K$20000,DATOS!$A$2:$A$20000,G776,DATOS!$G$2:$G$20000,CONFIG_METADATA!$B$4,DATOS!$I$2:$I$20000,"Orquesta/Banda/Conjunto"),"")))</f>
        <v/>
      </c>
      <c r="J776" t="str">
        <f>IF(G776="","",IF(G776="[FÓRMULA MANUAL]","",IFERROR(AVERAGEIFS(DATOS!$K$2:$K$20000,DATOS!$A$2:$A$20000,G776,DATOS!$G$2:$G$20000,CONFIG_METADATA!$B$4,DATOS!$I$2:$I$20000,"Conjunto"),"")))</f>
        <v/>
      </c>
      <c r="K776" t="str">
        <f>IF(G776="","",IF(G776="[FÓRMULA MANUAL]","",IFERROR(SUMPRODUCT((DATOS!$A$2:$A$20000=G776)*(DATOS!$G$2:$G$20000=CONFIG_METADATA!$B$4)*(COUNTIF(CONFIG_ASIGNATURAS!$B$7:$B$27,DATOS!$I$2:$I$20000)&gt;0)*(DATOS!$K$2:$K$20000))/SUMPRODUCT((DATOS!$A$2:$A$20000=G776)*(DATOS!$G$2:$G$20000=CONFIG_METADATA!$B$4)*(COUNTIF(CONFIG_ASIGNATURAS!$B$7:$B$27,DATOS!$I$2:$I$20000)&gt;0)*1),"")))</f>
        <v/>
      </c>
      <c r="N776" t="str">
        <f>IF(M776="","",IF(M776="[FÓRMULA MANUAL]","",IFERROR(AVERAGEIFS(DATOS!$K$2:$K$20000,DATOS!$A$2:$A$20000,M776,DATOS!$G$2:$G$20000,CONFIG_METADATA!$B$4,DATOS!$I$2:$I$20000,"Armonía"),"")))</f>
        <v/>
      </c>
      <c r="O776" t="str">
        <f>IF(M776="","",IF(M776="[FÓRMULA MANUAL]","",IFERROR(AVERAGEIFS(DATOS!$K$2:$K$20000,DATOS!$A$2:$A$20000,M776,DATOS!$G$2:$G$20000,CONFIG_METADATA!$B$4,DATOS!$I$2:$I$20000,"Orquesta/Banda/Conjunto"),"")))</f>
        <v/>
      </c>
      <c r="P776" t="str">
        <f>IF(M776="","",IF(M776="[FÓRMULA MANUAL]","",IFERROR(AVERAGEIFS(DATOS!$K$2:$K$20000,DATOS!$A$2:$A$20000,M776,DATOS!$G$2:$G$20000,CONFIG_METADATA!$B$4,DATOS!$I$2:$I$20000,"Música de Cámara"),"")))</f>
        <v/>
      </c>
      <c r="Q776" t="str">
        <f>IF(M776="","",IF(M776="[FÓRMULA MANUAL]","",IFERROR(SUMPRODUCT((DATOS!$A$2:$A$20000=M776)*(DATOS!$G$2:$G$20000=CONFIG_METADATA!$B$4)*(COUNTIF(CONFIG_ASIGNATURAS!$B$7:$B$27,DATOS!$I$2:$I$20000)&gt;0)*(DATOS!$K$2:$K$20000))/SUMPRODUCT((DATOS!$A$2:$A$20000=M776)*(DATOS!$G$2:$G$20000=CONFIG_METADATA!$B$4)*(COUNTIF(CONFIG_ASIGNATURAS!$B$7:$B$27,DATOS!$I$2:$I$20000)&gt;0)*1),"")))</f>
        <v/>
      </c>
      <c r="T776" t="str">
        <f>IF(S776="","",IF(S776="[FÓRMULA MANUAL]","",IFERROR(AVERAGEIFS(DATOS!$K$2:$K$20000,DATOS!$A$2:$A$20000,S776,DATOS!$G$2:$G$20000,CONFIG_METADATA!$B$4,DATOS!$I$2:$I$20000,"Armonía"),"")))</f>
        <v/>
      </c>
      <c r="U776" t="str">
        <f>IF(S776="","",IF(S776="[FÓRMULA MANUAL]","",IFERROR(AVERAGEIFS(DATOS!$K$2:$K$20000,DATOS!$A$2:$A$20000,S776,DATOS!$G$2:$G$20000,CONFIG_METADATA!$B$4,DATOS!$I$2:$I$20000,"Orquesta/Banda/Conjunto"),"")))</f>
        <v/>
      </c>
      <c r="V776" t="str">
        <f>IF(S776="","",IF(S776="[FÓRMULA MANUAL]","",IFERROR(AVERAGEIFS(DATOS!$K$2:$K$20000,DATOS!$A$2:$A$20000,S776,DATOS!$G$2:$G$20000,CONFIG_METADATA!$B$4,DATOS!$I$2:$I$20000,"Música de Cámara"),"")))</f>
        <v/>
      </c>
      <c r="W776" t="str">
        <f>IF(S776="","",IF(S776="[FÓRMULA MANUAL]","",IFERROR(SUMPRODUCT((DATOS!$A$2:$A$20000=S776)*(DATOS!$G$2:$G$20000=CONFIG_METADATA!$B$4)*(COUNTIF(CONFIG_ASIGNATURAS!$B$7:$B$27,DATOS!$I$2:$I$20000)&gt;0)*(DATOS!$K$2:$K$20000))/SUMPRODUCT((DATOS!$A$2:$A$20000=S776)*(DATOS!$G$2:$G$20000=CONFIG_METADATA!$B$4)*(COUNTIF(CONFIG_ASIGNATURAS!$B$7:$B$27,DATOS!$I$2:$I$20000)&gt;0)*1),"")))</f>
        <v/>
      </c>
      <c r="Z776" t="str">
        <f>IF(Y776="","",IF(Y776="[FÓRMULA MANUAL]","",IFERROR(AVERAGEIFS(DATOS!$K$2:$K$20000,DATOS!$A$2:$A$20000,Y776,DATOS!$G$2:$G$20000,CONFIG_METADATA!$B$4,DATOS!$I$2:$I$20000,"Análisis"),"")))</f>
        <v/>
      </c>
      <c r="AA776" t="str">
        <f>IF(Y776="","",IF(Y776="[FÓRMULA MANUAL]","",IFERROR(AVERAGEIFS(DATOS!$K$2:$K$20000,DATOS!$A$2:$A$20000,Y776,DATOS!$G$2:$G$20000,CONFIG_METADATA!$B$4,DATOS!$I$2:$I$20000,"Orquesta/Banda/Conjunto"),"")))</f>
        <v/>
      </c>
      <c r="AB776" t="str">
        <f>IF(Y776="","",IF(Y776="[FÓRMULA MANUAL]","",IFERROR(AVERAGEIFS(DATOS!$K$2:$K$20000,DATOS!$A$2:$A$20000,Y776,DATOS!$G$2:$G$20000,CONFIG_METADATA!$B$4,DATOS!$I$2:$I$20000,"Música de Cámara"),"")))</f>
        <v/>
      </c>
      <c r="AC776" t="str">
        <f>IF(Y776="","",IF(Y776="[FÓRMULA MANUAL]","",IFERROR(SUMPRODUCT((DATOS!$A$2:$A$20000=Y776)*(DATOS!$G$2:$G$20000=CONFIG_METADATA!$B$4)*(COUNTIF(CONFIG_ASIGNATURAS!$B$7:$B$27,DATOS!$I$2:$I$20000)&gt;0)*(DATOS!$K$2:$K$20000))/SUMPRODUCT((DATOS!$A$2:$A$20000=Y776)*(DATOS!$G$2:$G$20000=CONFIG_METADATA!$B$4)*(COUNTIF(CONFIG_ASIGNATURAS!$B$7:$B$27,DATOS!$I$2:$I$20000)&gt;0)*1),"")))</f>
        <v/>
      </c>
      <c r="AF776" t="str">
        <f>IF(AE776="","",IF(AE776="[FÓRMULA MANUAL]","",IFERROR(AVERAGEIFS(DATOS!$K$2:$K$20000,DATOS!$A$2:$A$20000,AE776,DATOS!$G$2:$G$20000,CONFIG_METADATA!$B$4,DATOS!$I$2:$I$20000,"Análisis"),"")))</f>
        <v/>
      </c>
      <c r="AG776" t="str">
        <f>IF(AE776="","",IF(AE776="[FÓRMULA MANUAL]","",IFERROR(AVERAGEIFS(DATOS!$K$2:$K$20000,DATOS!$A$2:$A$20000,AE776,DATOS!$G$2:$G$20000,CONFIG_METADATA!$B$4,DATOS!$I$2:$I$20000,"Orquesta/Banda/Conjunto"),"")))</f>
        <v/>
      </c>
      <c r="AH776" t="str">
        <f>IF(AE776="","",IF(AE776="[FÓRMULA MANUAL]","",IFERROR(AVERAGEIFS(DATOS!$K$2:$K$20000,DATOS!$A$2:$A$20000,AE776,DATOS!$G$2:$G$20000,CONFIG_METADATA!$B$4,DATOS!$I$2:$I$20000,"Música de Cámara"),"")))</f>
        <v/>
      </c>
      <c r="AI776" t="str">
        <f>IF(AE776="","",IF(AE776="[FÓRMULA MANUAL]","",IFERROR(SUMPRODUCT((DATOS!$A$2:$A$20000=AE776)*(DATOS!$G$2:$G$20000=CONFIG_METADATA!$B$4)*(COUNTIF(CONFIG_ASIGNATURAS!$B$7:$B$27,DATOS!$I$2:$I$20000)&gt;0)*(DATOS!$K$2:$K$20000))/SUMPRODUCT((DATOS!$A$2:$A$20000=AE776)*(DATOS!$G$2:$G$20000=CONFIG_METADATA!$B$4)*(COUNTIF(CONFIG_ASIGNATURAS!$B$7:$B$27,DATOS!$I$2:$I$20000)&gt;0)*1),"")))</f>
        <v/>
      </c>
    </row>
    <row r="777" spans="2:35" x14ac:dyDescent="0.2">
      <c r="B777" t="str">
        <f>IF(A777="","",IF(A777="[FÓRMULA MANUAL]","",IFERROR(AVERAGEIFS(DATOS!$K$2:$K$20000,DATOS!$A$2:$A$20000,A777,DATOS!$G$2:$G$20000,CONFIG_METADATA!$B$4,DATOS!$I$2:$I$20000,"Lenguaje Musical"),"")))</f>
        <v/>
      </c>
      <c r="C777" t="str">
        <f>IF(A777="","",IF(A777="[FÓRMULA MANUAL]","",IFERROR(AVERAGEIFS(DATOS!$K$2:$K$20000,DATOS!$A$2:$A$20000,A777,DATOS!$G$2:$G$20000,CONFIG_METADATA!$B$4,DATOS!$I$2:$I$20000,"Orquesta/Banda/Conjunto"),"")))</f>
        <v/>
      </c>
      <c r="D777" t="str">
        <f>IF(A777="","",IF(A777="[FÓRMULA MANUAL]","",IFERROR(AVERAGEIFS(DATOS!$K$2:$K$20000,DATOS!$A$2:$A$20000,A777,DATOS!$G$2:$G$20000,CONFIG_METADATA!$B$4,DATOS!$I$2:$I$20000,"Conjunto"),"")))</f>
        <v/>
      </c>
      <c r="E777" t="str">
        <f>IF(A777="","",IF(A777="[FÓRMULA MANUAL]","",IFERROR(SUMPRODUCT((DATOS!$A$2:$A$20000=A777)*(DATOS!$G$2:$G$20000=CONFIG_METADATA!$B$4)*(COUNTIF(CONFIG_ASIGNATURAS!$B$7:$B$27,DATOS!$I$2:$I$20000)&gt;0)*(DATOS!$K$2:$K$20000))/SUMPRODUCT((DATOS!$A$2:$A$20000=A777)*(DATOS!$G$2:$G$20000=CONFIG_METADATA!$B$4)*(COUNTIF(CONFIG_ASIGNATURAS!$B$7:$B$27,DATOS!$I$2:$I$20000)&gt;0)*1),"")))</f>
        <v/>
      </c>
      <c r="H777" t="str">
        <f>IF(G777="","",IF(G777="[FÓRMULA MANUAL]","",IFERROR(AVERAGEIFS(DATOS!$K$2:$K$20000,DATOS!$A$2:$A$20000,G777,DATOS!$G$2:$G$20000,CONFIG_METADATA!$B$4,DATOS!$I$2:$I$20000,"Lenguaje Musical"),"")))</f>
        <v/>
      </c>
      <c r="I777" t="str">
        <f>IF(G777="","",IF(G777="[FÓRMULA MANUAL]","",IFERROR(AVERAGEIFS(DATOS!$K$2:$K$20000,DATOS!$A$2:$A$20000,G777,DATOS!$G$2:$G$20000,CONFIG_METADATA!$B$4,DATOS!$I$2:$I$20000,"Orquesta/Banda/Conjunto"),"")))</f>
        <v/>
      </c>
      <c r="J777" t="str">
        <f>IF(G777="","",IF(G777="[FÓRMULA MANUAL]","",IFERROR(AVERAGEIFS(DATOS!$K$2:$K$20000,DATOS!$A$2:$A$20000,G777,DATOS!$G$2:$G$20000,CONFIG_METADATA!$B$4,DATOS!$I$2:$I$20000,"Conjunto"),"")))</f>
        <v/>
      </c>
      <c r="K777" t="str">
        <f>IF(G777="","",IF(G777="[FÓRMULA MANUAL]","",IFERROR(SUMPRODUCT((DATOS!$A$2:$A$20000=G777)*(DATOS!$G$2:$G$20000=CONFIG_METADATA!$B$4)*(COUNTIF(CONFIG_ASIGNATURAS!$B$7:$B$27,DATOS!$I$2:$I$20000)&gt;0)*(DATOS!$K$2:$K$20000))/SUMPRODUCT((DATOS!$A$2:$A$20000=G777)*(DATOS!$G$2:$G$20000=CONFIG_METADATA!$B$4)*(COUNTIF(CONFIG_ASIGNATURAS!$B$7:$B$27,DATOS!$I$2:$I$20000)&gt;0)*1),"")))</f>
        <v/>
      </c>
      <c r="N777" t="str">
        <f>IF(M777="","",IF(M777="[FÓRMULA MANUAL]","",IFERROR(AVERAGEIFS(DATOS!$K$2:$K$20000,DATOS!$A$2:$A$20000,M777,DATOS!$G$2:$G$20000,CONFIG_METADATA!$B$4,DATOS!$I$2:$I$20000,"Armonía"),"")))</f>
        <v/>
      </c>
      <c r="O777" t="str">
        <f>IF(M777="","",IF(M777="[FÓRMULA MANUAL]","",IFERROR(AVERAGEIFS(DATOS!$K$2:$K$20000,DATOS!$A$2:$A$20000,M777,DATOS!$G$2:$G$20000,CONFIG_METADATA!$B$4,DATOS!$I$2:$I$20000,"Orquesta/Banda/Conjunto"),"")))</f>
        <v/>
      </c>
      <c r="P777" t="str">
        <f>IF(M777="","",IF(M777="[FÓRMULA MANUAL]","",IFERROR(AVERAGEIFS(DATOS!$K$2:$K$20000,DATOS!$A$2:$A$20000,M777,DATOS!$G$2:$G$20000,CONFIG_METADATA!$B$4,DATOS!$I$2:$I$20000,"Música de Cámara"),"")))</f>
        <v/>
      </c>
      <c r="Q777" t="str">
        <f>IF(M777="","",IF(M777="[FÓRMULA MANUAL]","",IFERROR(SUMPRODUCT((DATOS!$A$2:$A$20000=M777)*(DATOS!$G$2:$G$20000=CONFIG_METADATA!$B$4)*(COUNTIF(CONFIG_ASIGNATURAS!$B$7:$B$27,DATOS!$I$2:$I$20000)&gt;0)*(DATOS!$K$2:$K$20000))/SUMPRODUCT((DATOS!$A$2:$A$20000=M777)*(DATOS!$G$2:$G$20000=CONFIG_METADATA!$B$4)*(COUNTIF(CONFIG_ASIGNATURAS!$B$7:$B$27,DATOS!$I$2:$I$20000)&gt;0)*1),"")))</f>
        <v/>
      </c>
      <c r="T777" t="str">
        <f>IF(S777="","",IF(S777="[FÓRMULA MANUAL]","",IFERROR(AVERAGEIFS(DATOS!$K$2:$K$20000,DATOS!$A$2:$A$20000,S777,DATOS!$G$2:$G$20000,CONFIG_METADATA!$B$4,DATOS!$I$2:$I$20000,"Armonía"),"")))</f>
        <v/>
      </c>
      <c r="U777" t="str">
        <f>IF(S777="","",IF(S777="[FÓRMULA MANUAL]","",IFERROR(AVERAGEIFS(DATOS!$K$2:$K$20000,DATOS!$A$2:$A$20000,S777,DATOS!$G$2:$G$20000,CONFIG_METADATA!$B$4,DATOS!$I$2:$I$20000,"Orquesta/Banda/Conjunto"),"")))</f>
        <v/>
      </c>
      <c r="V777" t="str">
        <f>IF(S777="","",IF(S777="[FÓRMULA MANUAL]","",IFERROR(AVERAGEIFS(DATOS!$K$2:$K$20000,DATOS!$A$2:$A$20000,S777,DATOS!$G$2:$G$20000,CONFIG_METADATA!$B$4,DATOS!$I$2:$I$20000,"Música de Cámara"),"")))</f>
        <v/>
      </c>
      <c r="W777" t="str">
        <f>IF(S777="","",IF(S777="[FÓRMULA MANUAL]","",IFERROR(SUMPRODUCT((DATOS!$A$2:$A$20000=S777)*(DATOS!$G$2:$G$20000=CONFIG_METADATA!$B$4)*(COUNTIF(CONFIG_ASIGNATURAS!$B$7:$B$27,DATOS!$I$2:$I$20000)&gt;0)*(DATOS!$K$2:$K$20000))/SUMPRODUCT((DATOS!$A$2:$A$20000=S777)*(DATOS!$G$2:$G$20000=CONFIG_METADATA!$B$4)*(COUNTIF(CONFIG_ASIGNATURAS!$B$7:$B$27,DATOS!$I$2:$I$20000)&gt;0)*1),"")))</f>
        <v/>
      </c>
      <c r="Z777" t="str">
        <f>IF(Y777="","",IF(Y777="[FÓRMULA MANUAL]","",IFERROR(AVERAGEIFS(DATOS!$K$2:$K$20000,DATOS!$A$2:$A$20000,Y777,DATOS!$G$2:$G$20000,CONFIG_METADATA!$B$4,DATOS!$I$2:$I$20000,"Análisis"),"")))</f>
        <v/>
      </c>
      <c r="AA777" t="str">
        <f>IF(Y777="","",IF(Y777="[FÓRMULA MANUAL]","",IFERROR(AVERAGEIFS(DATOS!$K$2:$K$20000,DATOS!$A$2:$A$20000,Y777,DATOS!$G$2:$G$20000,CONFIG_METADATA!$B$4,DATOS!$I$2:$I$20000,"Orquesta/Banda/Conjunto"),"")))</f>
        <v/>
      </c>
      <c r="AB777" t="str">
        <f>IF(Y777="","",IF(Y777="[FÓRMULA MANUAL]","",IFERROR(AVERAGEIFS(DATOS!$K$2:$K$20000,DATOS!$A$2:$A$20000,Y777,DATOS!$G$2:$G$20000,CONFIG_METADATA!$B$4,DATOS!$I$2:$I$20000,"Música de Cámara"),"")))</f>
        <v/>
      </c>
      <c r="AC777" t="str">
        <f>IF(Y777="","",IF(Y777="[FÓRMULA MANUAL]","",IFERROR(SUMPRODUCT((DATOS!$A$2:$A$20000=Y777)*(DATOS!$G$2:$G$20000=CONFIG_METADATA!$B$4)*(COUNTIF(CONFIG_ASIGNATURAS!$B$7:$B$27,DATOS!$I$2:$I$20000)&gt;0)*(DATOS!$K$2:$K$20000))/SUMPRODUCT((DATOS!$A$2:$A$20000=Y777)*(DATOS!$G$2:$G$20000=CONFIG_METADATA!$B$4)*(COUNTIF(CONFIG_ASIGNATURAS!$B$7:$B$27,DATOS!$I$2:$I$20000)&gt;0)*1),"")))</f>
        <v/>
      </c>
      <c r="AF777" t="str">
        <f>IF(AE777="","",IF(AE777="[FÓRMULA MANUAL]","",IFERROR(AVERAGEIFS(DATOS!$K$2:$K$20000,DATOS!$A$2:$A$20000,AE777,DATOS!$G$2:$G$20000,CONFIG_METADATA!$B$4,DATOS!$I$2:$I$20000,"Análisis"),"")))</f>
        <v/>
      </c>
      <c r="AG777" t="str">
        <f>IF(AE777="","",IF(AE777="[FÓRMULA MANUAL]","",IFERROR(AVERAGEIFS(DATOS!$K$2:$K$20000,DATOS!$A$2:$A$20000,AE777,DATOS!$G$2:$G$20000,CONFIG_METADATA!$B$4,DATOS!$I$2:$I$20000,"Orquesta/Banda/Conjunto"),"")))</f>
        <v/>
      </c>
      <c r="AH777" t="str">
        <f>IF(AE777="","",IF(AE777="[FÓRMULA MANUAL]","",IFERROR(AVERAGEIFS(DATOS!$K$2:$K$20000,DATOS!$A$2:$A$20000,AE777,DATOS!$G$2:$G$20000,CONFIG_METADATA!$B$4,DATOS!$I$2:$I$20000,"Música de Cámara"),"")))</f>
        <v/>
      </c>
      <c r="AI777" t="str">
        <f>IF(AE777="","",IF(AE777="[FÓRMULA MANUAL]","",IFERROR(SUMPRODUCT((DATOS!$A$2:$A$20000=AE777)*(DATOS!$G$2:$G$20000=CONFIG_METADATA!$B$4)*(COUNTIF(CONFIG_ASIGNATURAS!$B$7:$B$27,DATOS!$I$2:$I$20000)&gt;0)*(DATOS!$K$2:$K$20000))/SUMPRODUCT((DATOS!$A$2:$A$20000=AE777)*(DATOS!$G$2:$G$20000=CONFIG_METADATA!$B$4)*(COUNTIF(CONFIG_ASIGNATURAS!$B$7:$B$27,DATOS!$I$2:$I$20000)&gt;0)*1),"")))</f>
        <v/>
      </c>
    </row>
    <row r="778" spans="2:35" x14ac:dyDescent="0.2">
      <c r="B778" t="str">
        <f>IF(A778="","",IF(A778="[FÓRMULA MANUAL]","",IFERROR(AVERAGEIFS(DATOS!$K$2:$K$20000,DATOS!$A$2:$A$20000,A778,DATOS!$G$2:$G$20000,CONFIG_METADATA!$B$4,DATOS!$I$2:$I$20000,"Lenguaje Musical"),"")))</f>
        <v/>
      </c>
      <c r="C778" t="str">
        <f>IF(A778="","",IF(A778="[FÓRMULA MANUAL]","",IFERROR(AVERAGEIFS(DATOS!$K$2:$K$20000,DATOS!$A$2:$A$20000,A778,DATOS!$G$2:$G$20000,CONFIG_METADATA!$B$4,DATOS!$I$2:$I$20000,"Orquesta/Banda/Conjunto"),"")))</f>
        <v/>
      </c>
      <c r="D778" t="str">
        <f>IF(A778="","",IF(A778="[FÓRMULA MANUAL]","",IFERROR(AVERAGEIFS(DATOS!$K$2:$K$20000,DATOS!$A$2:$A$20000,A778,DATOS!$G$2:$G$20000,CONFIG_METADATA!$B$4,DATOS!$I$2:$I$20000,"Conjunto"),"")))</f>
        <v/>
      </c>
      <c r="E778" t="str">
        <f>IF(A778="","",IF(A778="[FÓRMULA MANUAL]","",IFERROR(SUMPRODUCT((DATOS!$A$2:$A$20000=A778)*(DATOS!$G$2:$G$20000=CONFIG_METADATA!$B$4)*(COUNTIF(CONFIG_ASIGNATURAS!$B$7:$B$27,DATOS!$I$2:$I$20000)&gt;0)*(DATOS!$K$2:$K$20000))/SUMPRODUCT((DATOS!$A$2:$A$20000=A778)*(DATOS!$G$2:$G$20000=CONFIG_METADATA!$B$4)*(COUNTIF(CONFIG_ASIGNATURAS!$B$7:$B$27,DATOS!$I$2:$I$20000)&gt;0)*1),"")))</f>
        <v/>
      </c>
      <c r="H778" t="str">
        <f>IF(G778="","",IF(G778="[FÓRMULA MANUAL]","",IFERROR(AVERAGEIFS(DATOS!$K$2:$K$20000,DATOS!$A$2:$A$20000,G778,DATOS!$G$2:$G$20000,CONFIG_METADATA!$B$4,DATOS!$I$2:$I$20000,"Lenguaje Musical"),"")))</f>
        <v/>
      </c>
      <c r="I778" t="str">
        <f>IF(G778="","",IF(G778="[FÓRMULA MANUAL]","",IFERROR(AVERAGEIFS(DATOS!$K$2:$K$20000,DATOS!$A$2:$A$20000,G778,DATOS!$G$2:$G$20000,CONFIG_METADATA!$B$4,DATOS!$I$2:$I$20000,"Orquesta/Banda/Conjunto"),"")))</f>
        <v/>
      </c>
      <c r="J778" t="str">
        <f>IF(G778="","",IF(G778="[FÓRMULA MANUAL]","",IFERROR(AVERAGEIFS(DATOS!$K$2:$K$20000,DATOS!$A$2:$A$20000,G778,DATOS!$G$2:$G$20000,CONFIG_METADATA!$B$4,DATOS!$I$2:$I$20000,"Conjunto"),"")))</f>
        <v/>
      </c>
      <c r="K778" t="str">
        <f>IF(G778="","",IF(G778="[FÓRMULA MANUAL]","",IFERROR(SUMPRODUCT((DATOS!$A$2:$A$20000=G778)*(DATOS!$G$2:$G$20000=CONFIG_METADATA!$B$4)*(COUNTIF(CONFIG_ASIGNATURAS!$B$7:$B$27,DATOS!$I$2:$I$20000)&gt;0)*(DATOS!$K$2:$K$20000))/SUMPRODUCT((DATOS!$A$2:$A$20000=G778)*(DATOS!$G$2:$G$20000=CONFIG_METADATA!$B$4)*(COUNTIF(CONFIG_ASIGNATURAS!$B$7:$B$27,DATOS!$I$2:$I$20000)&gt;0)*1),"")))</f>
        <v/>
      </c>
      <c r="N778" t="str">
        <f>IF(M778="","",IF(M778="[FÓRMULA MANUAL]","",IFERROR(AVERAGEIFS(DATOS!$K$2:$K$20000,DATOS!$A$2:$A$20000,M778,DATOS!$G$2:$G$20000,CONFIG_METADATA!$B$4,DATOS!$I$2:$I$20000,"Armonía"),"")))</f>
        <v/>
      </c>
      <c r="O778" t="str">
        <f>IF(M778="","",IF(M778="[FÓRMULA MANUAL]","",IFERROR(AVERAGEIFS(DATOS!$K$2:$K$20000,DATOS!$A$2:$A$20000,M778,DATOS!$G$2:$G$20000,CONFIG_METADATA!$B$4,DATOS!$I$2:$I$20000,"Orquesta/Banda/Conjunto"),"")))</f>
        <v/>
      </c>
      <c r="P778" t="str">
        <f>IF(M778="","",IF(M778="[FÓRMULA MANUAL]","",IFERROR(AVERAGEIFS(DATOS!$K$2:$K$20000,DATOS!$A$2:$A$20000,M778,DATOS!$G$2:$G$20000,CONFIG_METADATA!$B$4,DATOS!$I$2:$I$20000,"Música de Cámara"),"")))</f>
        <v/>
      </c>
      <c r="Q778" t="str">
        <f>IF(M778="","",IF(M778="[FÓRMULA MANUAL]","",IFERROR(SUMPRODUCT((DATOS!$A$2:$A$20000=M778)*(DATOS!$G$2:$G$20000=CONFIG_METADATA!$B$4)*(COUNTIF(CONFIG_ASIGNATURAS!$B$7:$B$27,DATOS!$I$2:$I$20000)&gt;0)*(DATOS!$K$2:$K$20000))/SUMPRODUCT((DATOS!$A$2:$A$20000=M778)*(DATOS!$G$2:$G$20000=CONFIG_METADATA!$B$4)*(COUNTIF(CONFIG_ASIGNATURAS!$B$7:$B$27,DATOS!$I$2:$I$20000)&gt;0)*1),"")))</f>
        <v/>
      </c>
      <c r="T778" t="str">
        <f>IF(S778="","",IF(S778="[FÓRMULA MANUAL]","",IFERROR(AVERAGEIFS(DATOS!$K$2:$K$20000,DATOS!$A$2:$A$20000,S778,DATOS!$G$2:$G$20000,CONFIG_METADATA!$B$4,DATOS!$I$2:$I$20000,"Armonía"),"")))</f>
        <v/>
      </c>
      <c r="U778" t="str">
        <f>IF(S778="","",IF(S778="[FÓRMULA MANUAL]","",IFERROR(AVERAGEIFS(DATOS!$K$2:$K$20000,DATOS!$A$2:$A$20000,S778,DATOS!$G$2:$G$20000,CONFIG_METADATA!$B$4,DATOS!$I$2:$I$20000,"Orquesta/Banda/Conjunto"),"")))</f>
        <v/>
      </c>
      <c r="V778" t="str">
        <f>IF(S778="","",IF(S778="[FÓRMULA MANUAL]","",IFERROR(AVERAGEIFS(DATOS!$K$2:$K$20000,DATOS!$A$2:$A$20000,S778,DATOS!$G$2:$G$20000,CONFIG_METADATA!$B$4,DATOS!$I$2:$I$20000,"Música de Cámara"),"")))</f>
        <v/>
      </c>
      <c r="W778" t="str">
        <f>IF(S778="","",IF(S778="[FÓRMULA MANUAL]","",IFERROR(SUMPRODUCT((DATOS!$A$2:$A$20000=S778)*(DATOS!$G$2:$G$20000=CONFIG_METADATA!$B$4)*(COUNTIF(CONFIG_ASIGNATURAS!$B$7:$B$27,DATOS!$I$2:$I$20000)&gt;0)*(DATOS!$K$2:$K$20000))/SUMPRODUCT((DATOS!$A$2:$A$20000=S778)*(DATOS!$G$2:$G$20000=CONFIG_METADATA!$B$4)*(COUNTIF(CONFIG_ASIGNATURAS!$B$7:$B$27,DATOS!$I$2:$I$20000)&gt;0)*1),"")))</f>
        <v/>
      </c>
      <c r="Z778" t="str">
        <f>IF(Y778="","",IF(Y778="[FÓRMULA MANUAL]","",IFERROR(AVERAGEIFS(DATOS!$K$2:$K$20000,DATOS!$A$2:$A$20000,Y778,DATOS!$G$2:$G$20000,CONFIG_METADATA!$B$4,DATOS!$I$2:$I$20000,"Análisis"),"")))</f>
        <v/>
      </c>
      <c r="AA778" t="str">
        <f>IF(Y778="","",IF(Y778="[FÓRMULA MANUAL]","",IFERROR(AVERAGEIFS(DATOS!$K$2:$K$20000,DATOS!$A$2:$A$20000,Y778,DATOS!$G$2:$G$20000,CONFIG_METADATA!$B$4,DATOS!$I$2:$I$20000,"Orquesta/Banda/Conjunto"),"")))</f>
        <v/>
      </c>
      <c r="AB778" t="str">
        <f>IF(Y778="","",IF(Y778="[FÓRMULA MANUAL]","",IFERROR(AVERAGEIFS(DATOS!$K$2:$K$20000,DATOS!$A$2:$A$20000,Y778,DATOS!$G$2:$G$20000,CONFIG_METADATA!$B$4,DATOS!$I$2:$I$20000,"Música de Cámara"),"")))</f>
        <v/>
      </c>
      <c r="AC778" t="str">
        <f>IF(Y778="","",IF(Y778="[FÓRMULA MANUAL]","",IFERROR(SUMPRODUCT((DATOS!$A$2:$A$20000=Y778)*(DATOS!$G$2:$G$20000=CONFIG_METADATA!$B$4)*(COUNTIF(CONFIG_ASIGNATURAS!$B$7:$B$27,DATOS!$I$2:$I$20000)&gt;0)*(DATOS!$K$2:$K$20000))/SUMPRODUCT((DATOS!$A$2:$A$20000=Y778)*(DATOS!$G$2:$G$20000=CONFIG_METADATA!$B$4)*(COUNTIF(CONFIG_ASIGNATURAS!$B$7:$B$27,DATOS!$I$2:$I$20000)&gt;0)*1),"")))</f>
        <v/>
      </c>
      <c r="AF778" t="str">
        <f>IF(AE778="","",IF(AE778="[FÓRMULA MANUAL]","",IFERROR(AVERAGEIFS(DATOS!$K$2:$K$20000,DATOS!$A$2:$A$20000,AE778,DATOS!$G$2:$G$20000,CONFIG_METADATA!$B$4,DATOS!$I$2:$I$20000,"Análisis"),"")))</f>
        <v/>
      </c>
      <c r="AG778" t="str">
        <f>IF(AE778="","",IF(AE778="[FÓRMULA MANUAL]","",IFERROR(AVERAGEIFS(DATOS!$K$2:$K$20000,DATOS!$A$2:$A$20000,AE778,DATOS!$G$2:$G$20000,CONFIG_METADATA!$B$4,DATOS!$I$2:$I$20000,"Orquesta/Banda/Conjunto"),"")))</f>
        <v/>
      </c>
      <c r="AH778" t="str">
        <f>IF(AE778="","",IF(AE778="[FÓRMULA MANUAL]","",IFERROR(AVERAGEIFS(DATOS!$K$2:$K$20000,DATOS!$A$2:$A$20000,AE778,DATOS!$G$2:$G$20000,CONFIG_METADATA!$B$4,DATOS!$I$2:$I$20000,"Música de Cámara"),"")))</f>
        <v/>
      </c>
      <c r="AI778" t="str">
        <f>IF(AE778="","",IF(AE778="[FÓRMULA MANUAL]","",IFERROR(SUMPRODUCT((DATOS!$A$2:$A$20000=AE778)*(DATOS!$G$2:$G$20000=CONFIG_METADATA!$B$4)*(COUNTIF(CONFIG_ASIGNATURAS!$B$7:$B$27,DATOS!$I$2:$I$20000)&gt;0)*(DATOS!$K$2:$K$20000))/SUMPRODUCT((DATOS!$A$2:$A$20000=AE778)*(DATOS!$G$2:$G$20000=CONFIG_METADATA!$B$4)*(COUNTIF(CONFIG_ASIGNATURAS!$B$7:$B$27,DATOS!$I$2:$I$20000)&gt;0)*1),"")))</f>
        <v/>
      </c>
    </row>
    <row r="779" spans="2:35" x14ac:dyDescent="0.2">
      <c r="B779" t="str">
        <f>IF(A779="","",IF(A779="[FÓRMULA MANUAL]","",IFERROR(AVERAGEIFS(DATOS!$K$2:$K$20000,DATOS!$A$2:$A$20000,A779,DATOS!$G$2:$G$20000,CONFIG_METADATA!$B$4,DATOS!$I$2:$I$20000,"Lenguaje Musical"),"")))</f>
        <v/>
      </c>
      <c r="C779" t="str">
        <f>IF(A779="","",IF(A779="[FÓRMULA MANUAL]","",IFERROR(AVERAGEIFS(DATOS!$K$2:$K$20000,DATOS!$A$2:$A$20000,A779,DATOS!$G$2:$G$20000,CONFIG_METADATA!$B$4,DATOS!$I$2:$I$20000,"Orquesta/Banda/Conjunto"),"")))</f>
        <v/>
      </c>
      <c r="D779" t="str">
        <f>IF(A779="","",IF(A779="[FÓRMULA MANUAL]","",IFERROR(AVERAGEIFS(DATOS!$K$2:$K$20000,DATOS!$A$2:$A$20000,A779,DATOS!$G$2:$G$20000,CONFIG_METADATA!$B$4,DATOS!$I$2:$I$20000,"Conjunto"),"")))</f>
        <v/>
      </c>
      <c r="E779" t="str">
        <f>IF(A779="","",IF(A779="[FÓRMULA MANUAL]","",IFERROR(SUMPRODUCT((DATOS!$A$2:$A$20000=A779)*(DATOS!$G$2:$G$20000=CONFIG_METADATA!$B$4)*(COUNTIF(CONFIG_ASIGNATURAS!$B$7:$B$27,DATOS!$I$2:$I$20000)&gt;0)*(DATOS!$K$2:$K$20000))/SUMPRODUCT((DATOS!$A$2:$A$20000=A779)*(DATOS!$G$2:$G$20000=CONFIG_METADATA!$B$4)*(COUNTIF(CONFIG_ASIGNATURAS!$B$7:$B$27,DATOS!$I$2:$I$20000)&gt;0)*1),"")))</f>
        <v/>
      </c>
      <c r="H779" t="str">
        <f>IF(G779="","",IF(G779="[FÓRMULA MANUAL]","",IFERROR(AVERAGEIFS(DATOS!$K$2:$K$20000,DATOS!$A$2:$A$20000,G779,DATOS!$G$2:$G$20000,CONFIG_METADATA!$B$4,DATOS!$I$2:$I$20000,"Lenguaje Musical"),"")))</f>
        <v/>
      </c>
      <c r="I779" t="str">
        <f>IF(G779="","",IF(G779="[FÓRMULA MANUAL]","",IFERROR(AVERAGEIFS(DATOS!$K$2:$K$20000,DATOS!$A$2:$A$20000,G779,DATOS!$G$2:$G$20000,CONFIG_METADATA!$B$4,DATOS!$I$2:$I$20000,"Orquesta/Banda/Conjunto"),"")))</f>
        <v/>
      </c>
      <c r="J779" t="str">
        <f>IF(G779="","",IF(G779="[FÓRMULA MANUAL]","",IFERROR(AVERAGEIFS(DATOS!$K$2:$K$20000,DATOS!$A$2:$A$20000,G779,DATOS!$G$2:$G$20000,CONFIG_METADATA!$B$4,DATOS!$I$2:$I$20000,"Conjunto"),"")))</f>
        <v/>
      </c>
      <c r="K779" t="str">
        <f>IF(G779="","",IF(G779="[FÓRMULA MANUAL]","",IFERROR(SUMPRODUCT((DATOS!$A$2:$A$20000=G779)*(DATOS!$G$2:$G$20000=CONFIG_METADATA!$B$4)*(COUNTIF(CONFIG_ASIGNATURAS!$B$7:$B$27,DATOS!$I$2:$I$20000)&gt;0)*(DATOS!$K$2:$K$20000))/SUMPRODUCT((DATOS!$A$2:$A$20000=G779)*(DATOS!$G$2:$G$20000=CONFIG_METADATA!$B$4)*(COUNTIF(CONFIG_ASIGNATURAS!$B$7:$B$27,DATOS!$I$2:$I$20000)&gt;0)*1),"")))</f>
        <v/>
      </c>
      <c r="N779" t="str">
        <f>IF(M779="","",IF(M779="[FÓRMULA MANUAL]","",IFERROR(AVERAGEIFS(DATOS!$K$2:$K$20000,DATOS!$A$2:$A$20000,M779,DATOS!$G$2:$G$20000,CONFIG_METADATA!$B$4,DATOS!$I$2:$I$20000,"Armonía"),"")))</f>
        <v/>
      </c>
      <c r="O779" t="str">
        <f>IF(M779="","",IF(M779="[FÓRMULA MANUAL]","",IFERROR(AVERAGEIFS(DATOS!$K$2:$K$20000,DATOS!$A$2:$A$20000,M779,DATOS!$G$2:$G$20000,CONFIG_METADATA!$B$4,DATOS!$I$2:$I$20000,"Orquesta/Banda/Conjunto"),"")))</f>
        <v/>
      </c>
      <c r="P779" t="str">
        <f>IF(M779="","",IF(M779="[FÓRMULA MANUAL]","",IFERROR(AVERAGEIFS(DATOS!$K$2:$K$20000,DATOS!$A$2:$A$20000,M779,DATOS!$G$2:$G$20000,CONFIG_METADATA!$B$4,DATOS!$I$2:$I$20000,"Música de Cámara"),"")))</f>
        <v/>
      </c>
      <c r="Q779" t="str">
        <f>IF(M779="","",IF(M779="[FÓRMULA MANUAL]","",IFERROR(SUMPRODUCT((DATOS!$A$2:$A$20000=M779)*(DATOS!$G$2:$G$20000=CONFIG_METADATA!$B$4)*(COUNTIF(CONFIG_ASIGNATURAS!$B$7:$B$27,DATOS!$I$2:$I$20000)&gt;0)*(DATOS!$K$2:$K$20000))/SUMPRODUCT((DATOS!$A$2:$A$20000=M779)*(DATOS!$G$2:$G$20000=CONFIG_METADATA!$B$4)*(COUNTIF(CONFIG_ASIGNATURAS!$B$7:$B$27,DATOS!$I$2:$I$20000)&gt;0)*1),"")))</f>
        <v/>
      </c>
      <c r="T779" t="str">
        <f>IF(S779="","",IF(S779="[FÓRMULA MANUAL]","",IFERROR(AVERAGEIFS(DATOS!$K$2:$K$20000,DATOS!$A$2:$A$20000,S779,DATOS!$G$2:$G$20000,CONFIG_METADATA!$B$4,DATOS!$I$2:$I$20000,"Armonía"),"")))</f>
        <v/>
      </c>
      <c r="U779" t="str">
        <f>IF(S779="","",IF(S779="[FÓRMULA MANUAL]","",IFERROR(AVERAGEIFS(DATOS!$K$2:$K$20000,DATOS!$A$2:$A$20000,S779,DATOS!$G$2:$G$20000,CONFIG_METADATA!$B$4,DATOS!$I$2:$I$20000,"Orquesta/Banda/Conjunto"),"")))</f>
        <v/>
      </c>
      <c r="V779" t="str">
        <f>IF(S779="","",IF(S779="[FÓRMULA MANUAL]","",IFERROR(AVERAGEIFS(DATOS!$K$2:$K$20000,DATOS!$A$2:$A$20000,S779,DATOS!$G$2:$G$20000,CONFIG_METADATA!$B$4,DATOS!$I$2:$I$20000,"Música de Cámara"),"")))</f>
        <v/>
      </c>
      <c r="W779" t="str">
        <f>IF(S779="","",IF(S779="[FÓRMULA MANUAL]","",IFERROR(SUMPRODUCT((DATOS!$A$2:$A$20000=S779)*(DATOS!$G$2:$G$20000=CONFIG_METADATA!$B$4)*(COUNTIF(CONFIG_ASIGNATURAS!$B$7:$B$27,DATOS!$I$2:$I$20000)&gt;0)*(DATOS!$K$2:$K$20000))/SUMPRODUCT((DATOS!$A$2:$A$20000=S779)*(DATOS!$G$2:$G$20000=CONFIG_METADATA!$B$4)*(COUNTIF(CONFIG_ASIGNATURAS!$B$7:$B$27,DATOS!$I$2:$I$20000)&gt;0)*1),"")))</f>
        <v/>
      </c>
      <c r="Z779" t="str">
        <f>IF(Y779="","",IF(Y779="[FÓRMULA MANUAL]","",IFERROR(AVERAGEIFS(DATOS!$K$2:$K$20000,DATOS!$A$2:$A$20000,Y779,DATOS!$G$2:$G$20000,CONFIG_METADATA!$B$4,DATOS!$I$2:$I$20000,"Análisis"),"")))</f>
        <v/>
      </c>
      <c r="AA779" t="str">
        <f>IF(Y779="","",IF(Y779="[FÓRMULA MANUAL]","",IFERROR(AVERAGEIFS(DATOS!$K$2:$K$20000,DATOS!$A$2:$A$20000,Y779,DATOS!$G$2:$G$20000,CONFIG_METADATA!$B$4,DATOS!$I$2:$I$20000,"Orquesta/Banda/Conjunto"),"")))</f>
        <v/>
      </c>
      <c r="AB779" t="str">
        <f>IF(Y779="","",IF(Y779="[FÓRMULA MANUAL]","",IFERROR(AVERAGEIFS(DATOS!$K$2:$K$20000,DATOS!$A$2:$A$20000,Y779,DATOS!$G$2:$G$20000,CONFIG_METADATA!$B$4,DATOS!$I$2:$I$20000,"Música de Cámara"),"")))</f>
        <v/>
      </c>
      <c r="AC779" t="str">
        <f>IF(Y779="","",IF(Y779="[FÓRMULA MANUAL]","",IFERROR(SUMPRODUCT((DATOS!$A$2:$A$20000=Y779)*(DATOS!$G$2:$G$20000=CONFIG_METADATA!$B$4)*(COUNTIF(CONFIG_ASIGNATURAS!$B$7:$B$27,DATOS!$I$2:$I$20000)&gt;0)*(DATOS!$K$2:$K$20000))/SUMPRODUCT((DATOS!$A$2:$A$20000=Y779)*(DATOS!$G$2:$G$20000=CONFIG_METADATA!$B$4)*(COUNTIF(CONFIG_ASIGNATURAS!$B$7:$B$27,DATOS!$I$2:$I$20000)&gt;0)*1),"")))</f>
        <v/>
      </c>
      <c r="AF779" t="str">
        <f>IF(AE779="","",IF(AE779="[FÓRMULA MANUAL]","",IFERROR(AVERAGEIFS(DATOS!$K$2:$K$20000,DATOS!$A$2:$A$20000,AE779,DATOS!$G$2:$G$20000,CONFIG_METADATA!$B$4,DATOS!$I$2:$I$20000,"Análisis"),"")))</f>
        <v/>
      </c>
      <c r="AG779" t="str">
        <f>IF(AE779="","",IF(AE779="[FÓRMULA MANUAL]","",IFERROR(AVERAGEIFS(DATOS!$K$2:$K$20000,DATOS!$A$2:$A$20000,AE779,DATOS!$G$2:$G$20000,CONFIG_METADATA!$B$4,DATOS!$I$2:$I$20000,"Orquesta/Banda/Conjunto"),"")))</f>
        <v/>
      </c>
      <c r="AH779" t="str">
        <f>IF(AE779="","",IF(AE779="[FÓRMULA MANUAL]","",IFERROR(AVERAGEIFS(DATOS!$K$2:$K$20000,DATOS!$A$2:$A$20000,AE779,DATOS!$G$2:$G$20000,CONFIG_METADATA!$B$4,DATOS!$I$2:$I$20000,"Música de Cámara"),"")))</f>
        <v/>
      </c>
      <c r="AI779" t="str">
        <f>IF(AE779="","",IF(AE779="[FÓRMULA MANUAL]","",IFERROR(SUMPRODUCT((DATOS!$A$2:$A$20000=AE779)*(DATOS!$G$2:$G$20000=CONFIG_METADATA!$B$4)*(COUNTIF(CONFIG_ASIGNATURAS!$B$7:$B$27,DATOS!$I$2:$I$20000)&gt;0)*(DATOS!$K$2:$K$20000))/SUMPRODUCT((DATOS!$A$2:$A$20000=AE779)*(DATOS!$G$2:$G$20000=CONFIG_METADATA!$B$4)*(COUNTIF(CONFIG_ASIGNATURAS!$B$7:$B$27,DATOS!$I$2:$I$20000)&gt;0)*1),"")))</f>
        <v/>
      </c>
    </row>
    <row r="780" spans="2:35" x14ac:dyDescent="0.2">
      <c r="B780" t="str">
        <f>IF(A780="","",IF(A780="[FÓRMULA MANUAL]","",IFERROR(AVERAGEIFS(DATOS!$K$2:$K$20000,DATOS!$A$2:$A$20000,A780,DATOS!$G$2:$G$20000,CONFIG_METADATA!$B$4,DATOS!$I$2:$I$20000,"Lenguaje Musical"),"")))</f>
        <v/>
      </c>
      <c r="C780" t="str">
        <f>IF(A780="","",IF(A780="[FÓRMULA MANUAL]","",IFERROR(AVERAGEIFS(DATOS!$K$2:$K$20000,DATOS!$A$2:$A$20000,A780,DATOS!$G$2:$G$20000,CONFIG_METADATA!$B$4,DATOS!$I$2:$I$20000,"Orquesta/Banda/Conjunto"),"")))</f>
        <v/>
      </c>
      <c r="D780" t="str">
        <f>IF(A780="","",IF(A780="[FÓRMULA MANUAL]","",IFERROR(AVERAGEIFS(DATOS!$K$2:$K$20000,DATOS!$A$2:$A$20000,A780,DATOS!$G$2:$G$20000,CONFIG_METADATA!$B$4,DATOS!$I$2:$I$20000,"Conjunto"),"")))</f>
        <v/>
      </c>
      <c r="E780" t="str">
        <f>IF(A780="","",IF(A780="[FÓRMULA MANUAL]","",IFERROR(SUMPRODUCT((DATOS!$A$2:$A$20000=A780)*(DATOS!$G$2:$G$20000=CONFIG_METADATA!$B$4)*(COUNTIF(CONFIG_ASIGNATURAS!$B$7:$B$27,DATOS!$I$2:$I$20000)&gt;0)*(DATOS!$K$2:$K$20000))/SUMPRODUCT((DATOS!$A$2:$A$20000=A780)*(DATOS!$G$2:$G$20000=CONFIG_METADATA!$B$4)*(COUNTIF(CONFIG_ASIGNATURAS!$B$7:$B$27,DATOS!$I$2:$I$20000)&gt;0)*1),"")))</f>
        <v/>
      </c>
      <c r="H780" t="str">
        <f>IF(G780="","",IF(G780="[FÓRMULA MANUAL]","",IFERROR(AVERAGEIFS(DATOS!$K$2:$K$20000,DATOS!$A$2:$A$20000,G780,DATOS!$G$2:$G$20000,CONFIG_METADATA!$B$4,DATOS!$I$2:$I$20000,"Lenguaje Musical"),"")))</f>
        <v/>
      </c>
      <c r="I780" t="str">
        <f>IF(G780="","",IF(G780="[FÓRMULA MANUAL]","",IFERROR(AVERAGEIFS(DATOS!$K$2:$K$20000,DATOS!$A$2:$A$20000,G780,DATOS!$G$2:$G$20000,CONFIG_METADATA!$B$4,DATOS!$I$2:$I$20000,"Orquesta/Banda/Conjunto"),"")))</f>
        <v/>
      </c>
      <c r="J780" t="str">
        <f>IF(G780="","",IF(G780="[FÓRMULA MANUAL]","",IFERROR(AVERAGEIFS(DATOS!$K$2:$K$20000,DATOS!$A$2:$A$20000,G780,DATOS!$G$2:$G$20000,CONFIG_METADATA!$B$4,DATOS!$I$2:$I$20000,"Conjunto"),"")))</f>
        <v/>
      </c>
      <c r="K780" t="str">
        <f>IF(G780="","",IF(G780="[FÓRMULA MANUAL]","",IFERROR(SUMPRODUCT((DATOS!$A$2:$A$20000=G780)*(DATOS!$G$2:$G$20000=CONFIG_METADATA!$B$4)*(COUNTIF(CONFIG_ASIGNATURAS!$B$7:$B$27,DATOS!$I$2:$I$20000)&gt;0)*(DATOS!$K$2:$K$20000))/SUMPRODUCT((DATOS!$A$2:$A$20000=G780)*(DATOS!$G$2:$G$20000=CONFIG_METADATA!$B$4)*(COUNTIF(CONFIG_ASIGNATURAS!$B$7:$B$27,DATOS!$I$2:$I$20000)&gt;0)*1),"")))</f>
        <v/>
      </c>
      <c r="N780" t="str">
        <f>IF(M780="","",IF(M780="[FÓRMULA MANUAL]","",IFERROR(AVERAGEIFS(DATOS!$K$2:$K$20000,DATOS!$A$2:$A$20000,M780,DATOS!$G$2:$G$20000,CONFIG_METADATA!$B$4,DATOS!$I$2:$I$20000,"Armonía"),"")))</f>
        <v/>
      </c>
      <c r="O780" t="str">
        <f>IF(M780="","",IF(M780="[FÓRMULA MANUAL]","",IFERROR(AVERAGEIFS(DATOS!$K$2:$K$20000,DATOS!$A$2:$A$20000,M780,DATOS!$G$2:$G$20000,CONFIG_METADATA!$B$4,DATOS!$I$2:$I$20000,"Orquesta/Banda/Conjunto"),"")))</f>
        <v/>
      </c>
      <c r="P780" t="str">
        <f>IF(M780="","",IF(M780="[FÓRMULA MANUAL]","",IFERROR(AVERAGEIFS(DATOS!$K$2:$K$20000,DATOS!$A$2:$A$20000,M780,DATOS!$G$2:$G$20000,CONFIG_METADATA!$B$4,DATOS!$I$2:$I$20000,"Música de Cámara"),"")))</f>
        <v/>
      </c>
      <c r="Q780" t="str">
        <f>IF(M780="","",IF(M780="[FÓRMULA MANUAL]","",IFERROR(SUMPRODUCT((DATOS!$A$2:$A$20000=M780)*(DATOS!$G$2:$G$20000=CONFIG_METADATA!$B$4)*(COUNTIF(CONFIG_ASIGNATURAS!$B$7:$B$27,DATOS!$I$2:$I$20000)&gt;0)*(DATOS!$K$2:$K$20000))/SUMPRODUCT((DATOS!$A$2:$A$20000=M780)*(DATOS!$G$2:$G$20000=CONFIG_METADATA!$B$4)*(COUNTIF(CONFIG_ASIGNATURAS!$B$7:$B$27,DATOS!$I$2:$I$20000)&gt;0)*1),"")))</f>
        <v/>
      </c>
      <c r="T780" t="str">
        <f>IF(S780="","",IF(S780="[FÓRMULA MANUAL]","",IFERROR(AVERAGEIFS(DATOS!$K$2:$K$20000,DATOS!$A$2:$A$20000,S780,DATOS!$G$2:$G$20000,CONFIG_METADATA!$B$4,DATOS!$I$2:$I$20000,"Armonía"),"")))</f>
        <v/>
      </c>
      <c r="U780" t="str">
        <f>IF(S780="","",IF(S780="[FÓRMULA MANUAL]","",IFERROR(AVERAGEIFS(DATOS!$K$2:$K$20000,DATOS!$A$2:$A$20000,S780,DATOS!$G$2:$G$20000,CONFIG_METADATA!$B$4,DATOS!$I$2:$I$20000,"Orquesta/Banda/Conjunto"),"")))</f>
        <v/>
      </c>
      <c r="V780" t="str">
        <f>IF(S780="","",IF(S780="[FÓRMULA MANUAL]","",IFERROR(AVERAGEIFS(DATOS!$K$2:$K$20000,DATOS!$A$2:$A$20000,S780,DATOS!$G$2:$G$20000,CONFIG_METADATA!$B$4,DATOS!$I$2:$I$20000,"Música de Cámara"),"")))</f>
        <v/>
      </c>
      <c r="W780" t="str">
        <f>IF(S780="","",IF(S780="[FÓRMULA MANUAL]","",IFERROR(SUMPRODUCT((DATOS!$A$2:$A$20000=S780)*(DATOS!$G$2:$G$20000=CONFIG_METADATA!$B$4)*(COUNTIF(CONFIG_ASIGNATURAS!$B$7:$B$27,DATOS!$I$2:$I$20000)&gt;0)*(DATOS!$K$2:$K$20000))/SUMPRODUCT((DATOS!$A$2:$A$20000=S780)*(DATOS!$G$2:$G$20000=CONFIG_METADATA!$B$4)*(COUNTIF(CONFIG_ASIGNATURAS!$B$7:$B$27,DATOS!$I$2:$I$20000)&gt;0)*1),"")))</f>
        <v/>
      </c>
      <c r="Z780" t="str">
        <f>IF(Y780="","",IF(Y780="[FÓRMULA MANUAL]","",IFERROR(AVERAGEIFS(DATOS!$K$2:$K$20000,DATOS!$A$2:$A$20000,Y780,DATOS!$G$2:$G$20000,CONFIG_METADATA!$B$4,DATOS!$I$2:$I$20000,"Análisis"),"")))</f>
        <v/>
      </c>
      <c r="AA780" t="str">
        <f>IF(Y780="","",IF(Y780="[FÓRMULA MANUAL]","",IFERROR(AVERAGEIFS(DATOS!$K$2:$K$20000,DATOS!$A$2:$A$20000,Y780,DATOS!$G$2:$G$20000,CONFIG_METADATA!$B$4,DATOS!$I$2:$I$20000,"Orquesta/Banda/Conjunto"),"")))</f>
        <v/>
      </c>
      <c r="AB780" t="str">
        <f>IF(Y780="","",IF(Y780="[FÓRMULA MANUAL]","",IFERROR(AVERAGEIFS(DATOS!$K$2:$K$20000,DATOS!$A$2:$A$20000,Y780,DATOS!$G$2:$G$20000,CONFIG_METADATA!$B$4,DATOS!$I$2:$I$20000,"Música de Cámara"),"")))</f>
        <v/>
      </c>
      <c r="AC780" t="str">
        <f>IF(Y780="","",IF(Y780="[FÓRMULA MANUAL]","",IFERROR(SUMPRODUCT((DATOS!$A$2:$A$20000=Y780)*(DATOS!$G$2:$G$20000=CONFIG_METADATA!$B$4)*(COUNTIF(CONFIG_ASIGNATURAS!$B$7:$B$27,DATOS!$I$2:$I$20000)&gt;0)*(DATOS!$K$2:$K$20000))/SUMPRODUCT((DATOS!$A$2:$A$20000=Y780)*(DATOS!$G$2:$G$20000=CONFIG_METADATA!$B$4)*(COUNTIF(CONFIG_ASIGNATURAS!$B$7:$B$27,DATOS!$I$2:$I$20000)&gt;0)*1),"")))</f>
        <v/>
      </c>
      <c r="AF780" t="str">
        <f>IF(AE780="","",IF(AE780="[FÓRMULA MANUAL]","",IFERROR(AVERAGEIFS(DATOS!$K$2:$K$20000,DATOS!$A$2:$A$20000,AE780,DATOS!$G$2:$G$20000,CONFIG_METADATA!$B$4,DATOS!$I$2:$I$20000,"Análisis"),"")))</f>
        <v/>
      </c>
      <c r="AG780" t="str">
        <f>IF(AE780="","",IF(AE780="[FÓRMULA MANUAL]","",IFERROR(AVERAGEIFS(DATOS!$K$2:$K$20000,DATOS!$A$2:$A$20000,AE780,DATOS!$G$2:$G$20000,CONFIG_METADATA!$B$4,DATOS!$I$2:$I$20000,"Orquesta/Banda/Conjunto"),"")))</f>
        <v/>
      </c>
      <c r="AH780" t="str">
        <f>IF(AE780="","",IF(AE780="[FÓRMULA MANUAL]","",IFERROR(AVERAGEIFS(DATOS!$K$2:$K$20000,DATOS!$A$2:$A$20000,AE780,DATOS!$G$2:$G$20000,CONFIG_METADATA!$B$4,DATOS!$I$2:$I$20000,"Música de Cámara"),"")))</f>
        <v/>
      </c>
      <c r="AI780" t="str">
        <f>IF(AE780="","",IF(AE780="[FÓRMULA MANUAL]","",IFERROR(SUMPRODUCT((DATOS!$A$2:$A$20000=AE780)*(DATOS!$G$2:$G$20000=CONFIG_METADATA!$B$4)*(COUNTIF(CONFIG_ASIGNATURAS!$B$7:$B$27,DATOS!$I$2:$I$20000)&gt;0)*(DATOS!$K$2:$K$20000))/SUMPRODUCT((DATOS!$A$2:$A$20000=AE780)*(DATOS!$G$2:$G$20000=CONFIG_METADATA!$B$4)*(COUNTIF(CONFIG_ASIGNATURAS!$B$7:$B$27,DATOS!$I$2:$I$20000)&gt;0)*1),"")))</f>
        <v/>
      </c>
    </row>
    <row r="781" spans="2:35" x14ac:dyDescent="0.2">
      <c r="B781" t="str">
        <f>IF(A781="","",IF(A781="[FÓRMULA MANUAL]","",IFERROR(AVERAGEIFS(DATOS!$K$2:$K$20000,DATOS!$A$2:$A$20000,A781,DATOS!$G$2:$G$20000,CONFIG_METADATA!$B$4,DATOS!$I$2:$I$20000,"Lenguaje Musical"),"")))</f>
        <v/>
      </c>
      <c r="C781" t="str">
        <f>IF(A781="","",IF(A781="[FÓRMULA MANUAL]","",IFERROR(AVERAGEIFS(DATOS!$K$2:$K$20000,DATOS!$A$2:$A$20000,A781,DATOS!$G$2:$G$20000,CONFIG_METADATA!$B$4,DATOS!$I$2:$I$20000,"Orquesta/Banda/Conjunto"),"")))</f>
        <v/>
      </c>
      <c r="D781" t="str">
        <f>IF(A781="","",IF(A781="[FÓRMULA MANUAL]","",IFERROR(AVERAGEIFS(DATOS!$K$2:$K$20000,DATOS!$A$2:$A$20000,A781,DATOS!$G$2:$G$20000,CONFIG_METADATA!$B$4,DATOS!$I$2:$I$20000,"Conjunto"),"")))</f>
        <v/>
      </c>
      <c r="E781" t="str">
        <f>IF(A781="","",IF(A781="[FÓRMULA MANUAL]","",IFERROR(SUMPRODUCT((DATOS!$A$2:$A$20000=A781)*(DATOS!$G$2:$G$20000=CONFIG_METADATA!$B$4)*(COUNTIF(CONFIG_ASIGNATURAS!$B$7:$B$27,DATOS!$I$2:$I$20000)&gt;0)*(DATOS!$K$2:$K$20000))/SUMPRODUCT((DATOS!$A$2:$A$20000=A781)*(DATOS!$G$2:$G$20000=CONFIG_METADATA!$B$4)*(COUNTIF(CONFIG_ASIGNATURAS!$B$7:$B$27,DATOS!$I$2:$I$20000)&gt;0)*1),"")))</f>
        <v/>
      </c>
      <c r="H781" t="str">
        <f>IF(G781="","",IF(G781="[FÓRMULA MANUAL]","",IFERROR(AVERAGEIFS(DATOS!$K$2:$K$20000,DATOS!$A$2:$A$20000,G781,DATOS!$G$2:$G$20000,CONFIG_METADATA!$B$4,DATOS!$I$2:$I$20000,"Lenguaje Musical"),"")))</f>
        <v/>
      </c>
      <c r="I781" t="str">
        <f>IF(G781="","",IF(G781="[FÓRMULA MANUAL]","",IFERROR(AVERAGEIFS(DATOS!$K$2:$K$20000,DATOS!$A$2:$A$20000,G781,DATOS!$G$2:$G$20000,CONFIG_METADATA!$B$4,DATOS!$I$2:$I$20000,"Orquesta/Banda/Conjunto"),"")))</f>
        <v/>
      </c>
      <c r="J781" t="str">
        <f>IF(G781="","",IF(G781="[FÓRMULA MANUAL]","",IFERROR(AVERAGEIFS(DATOS!$K$2:$K$20000,DATOS!$A$2:$A$20000,G781,DATOS!$G$2:$G$20000,CONFIG_METADATA!$B$4,DATOS!$I$2:$I$20000,"Conjunto"),"")))</f>
        <v/>
      </c>
      <c r="K781" t="str">
        <f>IF(G781="","",IF(G781="[FÓRMULA MANUAL]","",IFERROR(SUMPRODUCT((DATOS!$A$2:$A$20000=G781)*(DATOS!$G$2:$G$20000=CONFIG_METADATA!$B$4)*(COUNTIF(CONFIG_ASIGNATURAS!$B$7:$B$27,DATOS!$I$2:$I$20000)&gt;0)*(DATOS!$K$2:$K$20000))/SUMPRODUCT((DATOS!$A$2:$A$20000=G781)*(DATOS!$G$2:$G$20000=CONFIG_METADATA!$B$4)*(COUNTIF(CONFIG_ASIGNATURAS!$B$7:$B$27,DATOS!$I$2:$I$20000)&gt;0)*1),"")))</f>
        <v/>
      </c>
      <c r="N781" t="str">
        <f>IF(M781="","",IF(M781="[FÓRMULA MANUAL]","",IFERROR(AVERAGEIFS(DATOS!$K$2:$K$20000,DATOS!$A$2:$A$20000,M781,DATOS!$G$2:$G$20000,CONFIG_METADATA!$B$4,DATOS!$I$2:$I$20000,"Armonía"),"")))</f>
        <v/>
      </c>
      <c r="O781" t="str">
        <f>IF(M781="","",IF(M781="[FÓRMULA MANUAL]","",IFERROR(AVERAGEIFS(DATOS!$K$2:$K$20000,DATOS!$A$2:$A$20000,M781,DATOS!$G$2:$G$20000,CONFIG_METADATA!$B$4,DATOS!$I$2:$I$20000,"Orquesta/Banda/Conjunto"),"")))</f>
        <v/>
      </c>
      <c r="P781" t="str">
        <f>IF(M781="","",IF(M781="[FÓRMULA MANUAL]","",IFERROR(AVERAGEIFS(DATOS!$K$2:$K$20000,DATOS!$A$2:$A$20000,M781,DATOS!$G$2:$G$20000,CONFIG_METADATA!$B$4,DATOS!$I$2:$I$20000,"Música de Cámara"),"")))</f>
        <v/>
      </c>
      <c r="Q781" t="str">
        <f>IF(M781="","",IF(M781="[FÓRMULA MANUAL]","",IFERROR(SUMPRODUCT((DATOS!$A$2:$A$20000=M781)*(DATOS!$G$2:$G$20000=CONFIG_METADATA!$B$4)*(COUNTIF(CONFIG_ASIGNATURAS!$B$7:$B$27,DATOS!$I$2:$I$20000)&gt;0)*(DATOS!$K$2:$K$20000))/SUMPRODUCT((DATOS!$A$2:$A$20000=M781)*(DATOS!$G$2:$G$20000=CONFIG_METADATA!$B$4)*(COUNTIF(CONFIG_ASIGNATURAS!$B$7:$B$27,DATOS!$I$2:$I$20000)&gt;0)*1),"")))</f>
        <v/>
      </c>
      <c r="T781" t="str">
        <f>IF(S781="","",IF(S781="[FÓRMULA MANUAL]","",IFERROR(AVERAGEIFS(DATOS!$K$2:$K$20000,DATOS!$A$2:$A$20000,S781,DATOS!$G$2:$G$20000,CONFIG_METADATA!$B$4,DATOS!$I$2:$I$20000,"Armonía"),"")))</f>
        <v/>
      </c>
      <c r="U781" t="str">
        <f>IF(S781="","",IF(S781="[FÓRMULA MANUAL]","",IFERROR(AVERAGEIFS(DATOS!$K$2:$K$20000,DATOS!$A$2:$A$20000,S781,DATOS!$G$2:$G$20000,CONFIG_METADATA!$B$4,DATOS!$I$2:$I$20000,"Orquesta/Banda/Conjunto"),"")))</f>
        <v/>
      </c>
      <c r="V781" t="str">
        <f>IF(S781="","",IF(S781="[FÓRMULA MANUAL]","",IFERROR(AVERAGEIFS(DATOS!$K$2:$K$20000,DATOS!$A$2:$A$20000,S781,DATOS!$G$2:$G$20000,CONFIG_METADATA!$B$4,DATOS!$I$2:$I$20000,"Música de Cámara"),"")))</f>
        <v/>
      </c>
      <c r="W781" t="str">
        <f>IF(S781="","",IF(S781="[FÓRMULA MANUAL]","",IFERROR(SUMPRODUCT((DATOS!$A$2:$A$20000=S781)*(DATOS!$G$2:$G$20000=CONFIG_METADATA!$B$4)*(COUNTIF(CONFIG_ASIGNATURAS!$B$7:$B$27,DATOS!$I$2:$I$20000)&gt;0)*(DATOS!$K$2:$K$20000))/SUMPRODUCT((DATOS!$A$2:$A$20000=S781)*(DATOS!$G$2:$G$20000=CONFIG_METADATA!$B$4)*(COUNTIF(CONFIG_ASIGNATURAS!$B$7:$B$27,DATOS!$I$2:$I$20000)&gt;0)*1),"")))</f>
        <v/>
      </c>
      <c r="Z781" t="str">
        <f>IF(Y781="","",IF(Y781="[FÓRMULA MANUAL]","",IFERROR(AVERAGEIFS(DATOS!$K$2:$K$20000,DATOS!$A$2:$A$20000,Y781,DATOS!$G$2:$G$20000,CONFIG_METADATA!$B$4,DATOS!$I$2:$I$20000,"Análisis"),"")))</f>
        <v/>
      </c>
      <c r="AA781" t="str">
        <f>IF(Y781="","",IF(Y781="[FÓRMULA MANUAL]","",IFERROR(AVERAGEIFS(DATOS!$K$2:$K$20000,DATOS!$A$2:$A$20000,Y781,DATOS!$G$2:$G$20000,CONFIG_METADATA!$B$4,DATOS!$I$2:$I$20000,"Orquesta/Banda/Conjunto"),"")))</f>
        <v/>
      </c>
      <c r="AB781" t="str">
        <f>IF(Y781="","",IF(Y781="[FÓRMULA MANUAL]","",IFERROR(AVERAGEIFS(DATOS!$K$2:$K$20000,DATOS!$A$2:$A$20000,Y781,DATOS!$G$2:$G$20000,CONFIG_METADATA!$B$4,DATOS!$I$2:$I$20000,"Música de Cámara"),"")))</f>
        <v/>
      </c>
      <c r="AC781" t="str">
        <f>IF(Y781="","",IF(Y781="[FÓRMULA MANUAL]","",IFERROR(SUMPRODUCT((DATOS!$A$2:$A$20000=Y781)*(DATOS!$G$2:$G$20000=CONFIG_METADATA!$B$4)*(COUNTIF(CONFIG_ASIGNATURAS!$B$7:$B$27,DATOS!$I$2:$I$20000)&gt;0)*(DATOS!$K$2:$K$20000))/SUMPRODUCT((DATOS!$A$2:$A$20000=Y781)*(DATOS!$G$2:$G$20000=CONFIG_METADATA!$B$4)*(COUNTIF(CONFIG_ASIGNATURAS!$B$7:$B$27,DATOS!$I$2:$I$20000)&gt;0)*1),"")))</f>
        <v/>
      </c>
      <c r="AF781" t="str">
        <f>IF(AE781="","",IF(AE781="[FÓRMULA MANUAL]","",IFERROR(AVERAGEIFS(DATOS!$K$2:$K$20000,DATOS!$A$2:$A$20000,AE781,DATOS!$G$2:$G$20000,CONFIG_METADATA!$B$4,DATOS!$I$2:$I$20000,"Análisis"),"")))</f>
        <v/>
      </c>
      <c r="AG781" t="str">
        <f>IF(AE781="","",IF(AE781="[FÓRMULA MANUAL]","",IFERROR(AVERAGEIFS(DATOS!$K$2:$K$20000,DATOS!$A$2:$A$20000,AE781,DATOS!$G$2:$G$20000,CONFIG_METADATA!$B$4,DATOS!$I$2:$I$20000,"Orquesta/Banda/Conjunto"),"")))</f>
        <v/>
      </c>
      <c r="AH781" t="str">
        <f>IF(AE781="","",IF(AE781="[FÓRMULA MANUAL]","",IFERROR(AVERAGEIFS(DATOS!$K$2:$K$20000,DATOS!$A$2:$A$20000,AE781,DATOS!$G$2:$G$20000,CONFIG_METADATA!$B$4,DATOS!$I$2:$I$20000,"Música de Cámara"),"")))</f>
        <v/>
      </c>
      <c r="AI781" t="str">
        <f>IF(AE781="","",IF(AE781="[FÓRMULA MANUAL]","",IFERROR(SUMPRODUCT((DATOS!$A$2:$A$20000=AE781)*(DATOS!$G$2:$G$20000=CONFIG_METADATA!$B$4)*(COUNTIF(CONFIG_ASIGNATURAS!$B$7:$B$27,DATOS!$I$2:$I$20000)&gt;0)*(DATOS!$K$2:$K$20000))/SUMPRODUCT((DATOS!$A$2:$A$20000=AE781)*(DATOS!$G$2:$G$20000=CONFIG_METADATA!$B$4)*(COUNTIF(CONFIG_ASIGNATURAS!$B$7:$B$27,DATOS!$I$2:$I$20000)&gt;0)*1),"")))</f>
        <v/>
      </c>
    </row>
    <row r="782" spans="2:35" x14ac:dyDescent="0.2">
      <c r="B782" t="str">
        <f>IF(A782="","",IF(A782="[FÓRMULA MANUAL]","",IFERROR(AVERAGEIFS(DATOS!$K$2:$K$20000,DATOS!$A$2:$A$20000,A782,DATOS!$G$2:$G$20000,CONFIG_METADATA!$B$4,DATOS!$I$2:$I$20000,"Lenguaje Musical"),"")))</f>
        <v/>
      </c>
      <c r="C782" t="str">
        <f>IF(A782="","",IF(A782="[FÓRMULA MANUAL]","",IFERROR(AVERAGEIFS(DATOS!$K$2:$K$20000,DATOS!$A$2:$A$20000,A782,DATOS!$G$2:$G$20000,CONFIG_METADATA!$B$4,DATOS!$I$2:$I$20000,"Orquesta/Banda/Conjunto"),"")))</f>
        <v/>
      </c>
      <c r="D782" t="str">
        <f>IF(A782="","",IF(A782="[FÓRMULA MANUAL]","",IFERROR(AVERAGEIFS(DATOS!$K$2:$K$20000,DATOS!$A$2:$A$20000,A782,DATOS!$G$2:$G$20000,CONFIG_METADATA!$B$4,DATOS!$I$2:$I$20000,"Conjunto"),"")))</f>
        <v/>
      </c>
      <c r="E782" t="str">
        <f>IF(A782="","",IF(A782="[FÓRMULA MANUAL]","",IFERROR(SUMPRODUCT((DATOS!$A$2:$A$20000=A782)*(DATOS!$G$2:$G$20000=CONFIG_METADATA!$B$4)*(COUNTIF(CONFIG_ASIGNATURAS!$B$7:$B$27,DATOS!$I$2:$I$20000)&gt;0)*(DATOS!$K$2:$K$20000))/SUMPRODUCT((DATOS!$A$2:$A$20000=A782)*(DATOS!$G$2:$G$20000=CONFIG_METADATA!$B$4)*(COUNTIF(CONFIG_ASIGNATURAS!$B$7:$B$27,DATOS!$I$2:$I$20000)&gt;0)*1),"")))</f>
        <v/>
      </c>
      <c r="H782" t="str">
        <f>IF(G782="","",IF(G782="[FÓRMULA MANUAL]","",IFERROR(AVERAGEIFS(DATOS!$K$2:$K$20000,DATOS!$A$2:$A$20000,G782,DATOS!$G$2:$G$20000,CONFIG_METADATA!$B$4,DATOS!$I$2:$I$20000,"Lenguaje Musical"),"")))</f>
        <v/>
      </c>
      <c r="I782" t="str">
        <f>IF(G782="","",IF(G782="[FÓRMULA MANUAL]","",IFERROR(AVERAGEIFS(DATOS!$K$2:$K$20000,DATOS!$A$2:$A$20000,G782,DATOS!$G$2:$G$20000,CONFIG_METADATA!$B$4,DATOS!$I$2:$I$20000,"Orquesta/Banda/Conjunto"),"")))</f>
        <v/>
      </c>
      <c r="J782" t="str">
        <f>IF(G782="","",IF(G782="[FÓRMULA MANUAL]","",IFERROR(AVERAGEIFS(DATOS!$K$2:$K$20000,DATOS!$A$2:$A$20000,G782,DATOS!$G$2:$G$20000,CONFIG_METADATA!$B$4,DATOS!$I$2:$I$20000,"Conjunto"),"")))</f>
        <v/>
      </c>
      <c r="K782" t="str">
        <f>IF(G782="","",IF(G782="[FÓRMULA MANUAL]","",IFERROR(SUMPRODUCT((DATOS!$A$2:$A$20000=G782)*(DATOS!$G$2:$G$20000=CONFIG_METADATA!$B$4)*(COUNTIF(CONFIG_ASIGNATURAS!$B$7:$B$27,DATOS!$I$2:$I$20000)&gt;0)*(DATOS!$K$2:$K$20000))/SUMPRODUCT((DATOS!$A$2:$A$20000=G782)*(DATOS!$G$2:$G$20000=CONFIG_METADATA!$B$4)*(COUNTIF(CONFIG_ASIGNATURAS!$B$7:$B$27,DATOS!$I$2:$I$20000)&gt;0)*1),"")))</f>
        <v/>
      </c>
      <c r="N782" t="str">
        <f>IF(M782="","",IF(M782="[FÓRMULA MANUAL]","",IFERROR(AVERAGEIFS(DATOS!$K$2:$K$20000,DATOS!$A$2:$A$20000,M782,DATOS!$G$2:$G$20000,CONFIG_METADATA!$B$4,DATOS!$I$2:$I$20000,"Armonía"),"")))</f>
        <v/>
      </c>
      <c r="O782" t="str">
        <f>IF(M782="","",IF(M782="[FÓRMULA MANUAL]","",IFERROR(AVERAGEIFS(DATOS!$K$2:$K$20000,DATOS!$A$2:$A$20000,M782,DATOS!$G$2:$G$20000,CONFIG_METADATA!$B$4,DATOS!$I$2:$I$20000,"Orquesta/Banda/Conjunto"),"")))</f>
        <v/>
      </c>
      <c r="P782" t="str">
        <f>IF(M782="","",IF(M782="[FÓRMULA MANUAL]","",IFERROR(AVERAGEIFS(DATOS!$K$2:$K$20000,DATOS!$A$2:$A$20000,M782,DATOS!$G$2:$G$20000,CONFIG_METADATA!$B$4,DATOS!$I$2:$I$20000,"Música de Cámara"),"")))</f>
        <v/>
      </c>
      <c r="Q782" t="str">
        <f>IF(M782="","",IF(M782="[FÓRMULA MANUAL]","",IFERROR(SUMPRODUCT((DATOS!$A$2:$A$20000=M782)*(DATOS!$G$2:$G$20000=CONFIG_METADATA!$B$4)*(COUNTIF(CONFIG_ASIGNATURAS!$B$7:$B$27,DATOS!$I$2:$I$20000)&gt;0)*(DATOS!$K$2:$K$20000))/SUMPRODUCT((DATOS!$A$2:$A$20000=M782)*(DATOS!$G$2:$G$20000=CONFIG_METADATA!$B$4)*(COUNTIF(CONFIG_ASIGNATURAS!$B$7:$B$27,DATOS!$I$2:$I$20000)&gt;0)*1),"")))</f>
        <v/>
      </c>
      <c r="T782" t="str">
        <f>IF(S782="","",IF(S782="[FÓRMULA MANUAL]","",IFERROR(AVERAGEIFS(DATOS!$K$2:$K$20000,DATOS!$A$2:$A$20000,S782,DATOS!$G$2:$G$20000,CONFIG_METADATA!$B$4,DATOS!$I$2:$I$20000,"Armonía"),"")))</f>
        <v/>
      </c>
      <c r="U782" t="str">
        <f>IF(S782="","",IF(S782="[FÓRMULA MANUAL]","",IFERROR(AVERAGEIFS(DATOS!$K$2:$K$20000,DATOS!$A$2:$A$20000,S782,DATOS!$G$2:$G$20000,CONFIG_METADATA!$B$4,DATOS!$I$2:$I$20000,"Orquesta/Banda/Conjunto"),"")))</f>
        <v/>
      </c>
      <c r="V782" t="str">
        <f>IF(S782="","",IF(S782="[FÓRMULA MANUAL]","",IFERROR(AVERAGEIFS(DATOS!$K$2:$K$20000,DATOS!$A$2:$A$20000,S782,DATOS!$G$2:$G$20000,CONFIG_METADATA!$B$4,DATOS!$I$2:$I$20000,"Música de Cámara"),"")))</f>
        <v/>
      </c>
      <c r="W782" t="str">
        <f>IF(S782="","",IF(S782="[FÓRMULA MANUAL]","",IFERROR(SUMPRODUCT((DATOS!$A$2:$A$20000=S782)*(DATOS!$G$2:$G$20000=CONFIG_METADATA!$B$4)*(COUNTIF(CONFIG_ASIGNATURAS!$B$7:$B$27,DATOS!$I$2:$I$20000)&gt;0)*(DATOS!$K$2:$K$20000))/SUMPRODUCT((DATOS!$A$2:$A$20000=S782)*(DATOS!$G$2:$G$20000=CONFIG_METADATA!$B$4)*(COUNTIF(CONFIG_ASIGNATURAS!$B$7:$B$27,DATOS!$I$2:$I$20000)&gt;0)*1),"")))</f>
        <v/>
      </c>
      <c r="Z782" t="str">
        <f>IF(Y782="","",IF(Y782="[FÓRMULA MANUAL]","",IFERROR(AVERAGEIFS(DATOS!$K$2:$K$20000,DATOS!$A$2:$A$20000,Y782,DATOS!$G$2:$G$20000,CONFIG_METADATA!$B$4,DATOS!$I$2:$I$20000,"Análisis"),"")))</f>
        <v/>
      </c>
      <c r="AA782" t="str">
        <f>IF(Y782="","",IF(Y782="[FÓRMULA MANUAL]","",IFERROR(AVERAGEIFS(DATOS!$K$2:$K$20000,DATOS!$A$2:$A$20000,Y782,DATOS!$G$2:$G$20000,CONFIG_METADATA!$B$4,DATOS!$I$2:$I$20000,"Orquesta/Banda/Conjunto"),"")))</f>
        <v/>
      </c>
      <c r="AB782" t="str">
        <f>IF(Y782="","",IF(Y782="[FÓRMULA MANUAL]","",IFERROR(AVERAGEIFS(DATOS!$K$2:$K$20000,DATOS!$A$2:$A$20000,Y782,DATOS!$G$2:$G$20000,CONFIG_METADATA!$B$4,DATOS!$I$2:$I$20000,"Música de Cámara"),"")))</f>
        <v/>
      </c>
      <c r="AC782" t="str">
        <f>IF(Y782="","",IF(Y782="[FÓRMULA MANUAL]","",IFERROR(SUMPRODUCT((DATOS!$A$2:$A$20000=Y782)*(DATOS!$G$2:$G$20000=CONFIG_METADATA!$B$4)*(COUNTIF(CONFIG_ASIGNATURAS!$B$7:$B$27,DATOS!$I$2:$I$20000)&gt;0)*(DATOS!$K$2:$K$20000))/SUMPRODUCT((DATOS!$A$2:$A$20000=Y782)*(DATOS!$G$2:$G$20000=CONFIG_METADATA!$B$4)*(COUNTIF(CONFIG_ASIGNATURAS!$B$7:$B$27,DATOS!$I$2:$I$20000)&gt;0)*1),"")))</f>
        <v/>
      </c>
      <c r="AF782" t="str">
        <f>IF(AE782="","",IF(AE782="[FÓRMULA MANUAL]","",IFERROR(AVERAGEIFS(DATOS!$K$2:$K$20000,DATOS!$A$2:$A$20000,AE782,DATOS!$G$2:$G$20000,CONFIG_METADATA!$B$4,DATOS!$I$2:$I$20000,"Análisis"),"")))</f>
        <v/>
      </c>
      <c r="AG782" t="str">
        <f>IF(AE782="","",IF(AE782="[FÓRMULA MANUAL]","",IFERROR(AVERAGEIFS(DATOS!$K$2:$K$20000,DATOS!$A$2:$A$20000,AE782,DATOS!$G$2:$G$20000,CONFIG_METADATA!$B$4,DATOS!$I$2:$I$20000,"Orquesta/Banda/Conjunto"),"")))</f>
        <v/>
      </c>
      <c r="AH782" t="str">
        <f>IF(AE782="","",IF(AE782="[FÓRMULA MANUAL]","",IFERROR(AVERAGEIFS(DATOS!$K$2:$K$20000,DATOS!$A$2:$A$20000,AE782,DATOS!$G$2:$G$20000,CONFIG_METADATA!$B$4,DATOS!$I$2:$I$20000,"Música de Cámara"),"")))</f>
        <v/>
      </c>
      <c r="AI782" t="str">
        <f>IF(AE782="","",IF(AE782="[FÓRMULA MANUAL]","",IFERROR(SUMPRODUCT((DATOS!$A$2:$A$20000=AE782)*(DATOS!$G$2:$G$20000=CONFIG_METADATA!$B$4)*(COUNTIF(CONFIG_ASIGNATURAS!$B$7:$B$27,DATOS!$I$2:$I$20000)&gt;0)*(DATOS!$K$2:$K$20000))/SUMPRODUCT((DATOS!$A$2:$A$20000=AE782)*(DATOS!$G$2:$G$20000=CONFIG_METADATA!$B$4)*(COUNTIF(CONFIG_ASIGNATURAS!$B$7:$B$27,DATOS!$I$2:$I$20000)&gt;0)*1),"")))</f>
        <v/>
      </c>
    </row>
    <row r="783" spans="2:35" x14ac:dyDescent="0.2">
      <c r="B783" t="str">
        <f>IF(A783="","",IF(A783="[FÓRMULA MANUAL]","",IFERROR(AVERAGEIFS(DATOS!$K$2:$K$20000,DATOS!$A$2:$A$20000,A783,DATOS!$G$2:$G$20000,CONFIG_METADATA!$B$4,DATOS!$I$2:$I$20000,"Lenguaje Musical"),"")))</f>
        <v/>
      </c>
      <c r="C783" t="str">
        <f>IF(A783="","",IF(A783="[FÓRMULA MANUAL]","",IFERROR(AVERAGEIFS(DATOS!$K$2:$K$20000,DATOS!$A$2:$A$20000,A783,DATOS!$G$2:$G$20000,CONFIG_METADATA!$B$4,DATOS!$I$2:$I$20000,"Orquesta/Banda/Conjunto"),"")))</f>
        <v/>
      </c>
      <c r="D783" t="str">
        <f>IF(A783="","",IF(A783="[FÓRMULA MANUAL]","",IFERROR(AVERAGEIFS(DATOS!$K$2:$K$20000,DATOS!$A$2:$A$20000,A783,DATOS!$G$2:$G$20000,CONFIG_METADATA!$B$4,DATOS!$I$2:$I$20000,"Conjunto"),"")))</f>
        <v/>
      </c>
      <c r="E783" t="str">
        <f>IF(A783="","",IF(A783="[FÓRMULA MANUAL]","",IFERROR(SUMPRODUCT((DATOS!$A$2:$A$20000=A783)*(DATOS!$G$2:$G$20000=CONFIG_METADATA!$B$4)*(COUNTIF(CONFIG_ASIGNATURAS!$B$7:$B$27,DATOS!$I$2:$I$20000)&gt;0)*(DATOS!$K$2:$K$20000))/SUMPRODUCT((DATOS!$A$2:$A$20000=A783)*(DATOS!$G$2:$G$20000=CONFIG_METADATA!$B$4)*(COUNTIF(CONFIG_ASIGNATURAS!$B$7:$B$27,DATOS!$I$2:$I$20000)&gt;0)*1),"")))</f>
        <v/>
      </c>
      <c r="H783" t="str">
        <f>IF(G783="","",IF(G783="[FÓRMULA MANUAL]","",IFERROR(AVERAGEIFS(DATOS!$K$2:$K$20000,DATOS!$A$2:$A$20000,G783,DATOS!$G$2:$G$20000,CONFIG_METADATA!$B$4,DATOS!$I$2:$I$20000,"Lenguaje Musical"),"")))</f>
        <v/>
      </c>
      <c r="I783" t="str">
        <f>IF(G783="","",IF(G783="[FÓRMULA MANUAL]","",IFERROR(AVERAGEIFS(DATOS!$K$2:$K$20000,DATOS!$A$2:$A$20000,G783,DATOS!$G$2:$G$20000,CONFIG_METADATA!$B$4,DATOS!$I$2:$I$20000,"Orquesta/Banda/Conjunto"),"")))</f>
        <v/>
      </c>
      <c r="J783" t="str">
        <f>IF(G783="","",IF(G783="[FÓRMULA MANUAL]","",IFERROR(AVERAGEIFS(DATOS!$K$2:$K$20000,DATOS!$A$2:$A$20000,G783,DATOS!$G$2:$G$20000,CONFIG_METADATA!$B$4,DATOS!$I$2:$I$20000,"Conjunto"),"")))</f>
        <v/>
      </c>
      <c r="K783" t="str">
        <f>IF(G783="","",IF(G783="[FÓRMULA MANUAL]","",IFERROR(SUMPRODUCT((DATOS!$A$2:$A$20000=G783)*(DATOS!$G$2:$G$20000=CONFIG_METADATA!$B$4)*(COUNTIF(CONFIG_ASIGNATURAS!$B$7:$B$27,DATOS!$I$2:$I$20000)&gt;0)*(DATOS!$K$2:$K$20000))/SUMPRODUCT((DATOS!$A$2:$A$20000=G783)*(DATOS!$G$2:$G$20000=CONFIG_METADATA!$B$4)*(COUNTIF(CONFIG_ASIGNATURAS!$B$7:$B$27,DATOS!$I$2:$I$20000)&gt;0)*1),"")))</f>
        <v/>
      </c>
      <c r="N783" t="str">
        <f>IF(M783="","",IF(M783="[FÓRMULA MANUAL]","",IFERROR(AVERAGEIFS(DATOS!$K$2:$K$20000,DATOS!$A$2:$A$20000,M783,DATOS!$G$2:$G$20000,CONFIG_METADATA!$B$4,DATOS!$I$2:$I$20000,"Armonía"),"")))</f>
        <v/>
      </c>
      <c r="O783" t="str">
        <f>IF(M783="","",IF(M783="[FÓRMULA MANUAL]","",IFERROR(AVERAGEIFS(DATOS!$K$2:$K$20000,DATOS!$A$2:$A$20000,M783,DATOS!$G$2:$G$20000,CONFIG_METADATA!$B$4,DATOS!$I$2:$I$20000,"Orquesta/Banda/Conjunto"),"")))</f>
        <v/>
      </c>
      <c r="P783" t="str">
        <f>IF(M783="","",IF(M783="[FÓRMULA MANUAL]","",IFERROR(AVERAGEIFS(DATOS!$K$2:$K$20000,DATOS!$A$2:$A$20000,M783,DATOS!$G$2:$G$20000,CONFIG_METADATA!$B$4,DATOS!$I$2:$I$20000,"Música de Cámara"),"")))</f>
        <v/>
      </c>
      <c r="Q783" t="str">
        <f>IF(M783="","",IF(M783="[FÓRMULA MANUAL]","",IFERROR(SUMPRODUCT((DATOS!$A$2:$A$20000=M783)*(DATOS!$G$2:$G$20000=CONFIG_METADATA!$B$4)*(COUNTIF(CONFIG_ASIGNATURAS!$B$7:$B$27,DATOS!$I$2:$I$20000)&gt;0)*(DATOS!$K$2:$K$20000))/SUMPRODUCT((DATOS!$A$2:$A$20000=M783)*(DATOS!$G$2:$G$20000=CONFIG_METADATA!$B$4)*(COUNTIF(CONFIG_ASIGNATURAS!$B$7:$B$27,DATOS!$I$2:$I$20000)&gt;0)*1),"")))</f>
        <v/>
      </c>
      <c r="T783" t="str">
        <f>IF(S783="","",IF(S783="[FÓRMULA MANUAL]","",IFERROR(AVERAGEIFS(DATOS!$K$2:$K$20000,DATOS!$A$2:$A$20000,S783,DATOS!$G$2:$G$20000,CONFIG_METADATA!$B$4,DATOS!$I$2:$I$20000,"Armonía"),"")))</f>
        <v/>
      </c>
      <c r="U783" t="str">
        <f>IF(S783="","",IF(S783="[FÓRMULA MANUAL]","",IFERROR(AVERAGEIFS(DATOS!$K$2:$K$20000,DATOS!$A$2:$A$20000,S783,DATOS!$G$2:$G$20000,CONFIG_METADATA!$B$4,DATOS!$I$2:$I$20000,"Orquesta/Banda/Conjunto"),"")))</f>
        <v/>
      </c>
      <c r="V783" t="str">
        <f>IF(S783="","",IF(S783="[FÓRMULA MANUAL]","",IFERROR(AVERAGEIFS(DATOS!$K$2:$K$20000,DATOS!$A$2:$A$20000,S783,DATOS!$G$2:$G$20000,CONFIG_METADATA!$B$4,DATOS!$I$2:$I$20000,"Música de Cámara"),"")))</f>
        <v/>
      </c>
      <c r="W783" t="str">
        <f>IF(S783="","",IF(S783="[FÓRMULA MANUAL]","",IFERROR(SUMPRODUCT((DATOS!$A$2:$A$20000=S783)*(DATOS!$G$2:$G$20000=CONFIG_METADATA!$B$4)*(COUNTIF(CONFIG_ASIGNATURAS!$B$7:$B$27,DATOS!$I$2:$I$20000)&gt;0)*(DATOS!$K$2:$K$20000))/SUMPRODUCT((DATOS!$A$2:$A$20000=S783)*(DATOS!$G$2:$G$20000=CONFIG_METADATA!$B$4)*(COUNTIF(CONFIG_ASIGNATURAS!$B$7:$B$27,DATOS!$I$2:$I$20000)&gt;0)*1),"")))</f>
        <v/>
      </c>
      <c r="Z783" t="str">
        <f>IF(Y783="","",IF(Y783="[FÓRMULA MANUAL]","",IFERROR(AVERAGEIFS(DATOS!$K$2:$K$20000,DATOS!$A$2:$A$20000,Y783,DATOS!$G$2:$G$20000,CONFIG_METADATA!$B$4,DATOS!$I$2:$I$20000,"Análisis"),"")))</f>
        <v/>
      </c>
      <c r="AA783" t="str">
        <f>IF(Y783="","",IF(Y783="[FÓRMULA MANUAL]","",IFERROR(AVERAGEIFS(DATOS!$K$2:$K$20000,DATOS!$A$2:$A$20000,Y783,DATOS!$G$2:$G$20000,CONFIG_METADATA!$B$4,DATOS!$I$2:$I$20000,"Orquesta/Banda/Conjunto"),"")))</f>
        <v/>
      </c>
      <c r="AB783" t="str">
        <f>IF(Y783="","",IF(Y783="[FÓRMULA MANUAL]","",IFERROR(AVERAGEIFS(DATOS!$K$2:$K$20000,DATOS!$A$2:$A$20000,Y783,DATOS!$G$2:$G$20000,CONFIG_METADATA!$B$4,DATOS!$I$2:$I$20000,"Música de Cámara"),"")))</f>
        <v/>
      </c>
      <c r="AC783" t="str">
        <f>IF(Y783="","",IF(Y783="[FÓRMULA MANUAL]","",IFERROR(SUMPRODUCT((DATOS!$A$2:$A$20000=Y783)*(DATOS!$G$2:$G$20000=CONFIG_METADATA!$B$4)*(COUNTIF(CONFIG_ASIGNATURAS!$B$7:$B$27,DATOS!$I$2:$I$20000)&gt;0)*(DATOS!$K$2:$K$20000))/SUMPRODUCT((DATOS!$A$2:$A$20000=Y783)*(DATOS!$G$2:$G$20000=CONFIG_METADATA!$B$4)*(COUNTIF(CONFIG_ASIGNATURAS!$B$7:$B$27,DATOS!$I$2:$I$20000)&gt;0)*1),"")))</f>
        <v/>
      </c>
      <c r="AF783" t="str">
        <f>IF(AE783="","",IF(AE783="[FÓRMULA MANUAL]","",IFERROR(AVERAGEIFS(DATOS!$K$2:$K$20000,DATOS!$A$2:$A$20000,AE783,DATOS!$G$2:$G$20000,CONFIG_METADATA!$B$4,DATOS!$I$2:$I$20000,"Análisis"),"")))</f>
        <v/>
      </c>
      <c r="AG783" t="str">
        <f>IF(AE783="","",IF(AE783="[FÓRMULA MANUAL]","",IFERROR(AVERAGEIFS(DATOS!$K$2:$K$20000,DATOS!$A$2:$A$20000,AE783,DATOS!$G$2:$G$20000,CONFIG_METADATA!$B$4,DATOS!$I$2:$I$20000,"Orquesta/Banda/Conjunto"),"")))</f>
        <v/>
      </c>
      <c r="AH783" t="str">
        <f>IF(AE783="","",IF(AE783="[FÓRMULA MANUAL]","",IFERROR(AVERAGEIFS(DATOS!$K$2:$K$20000,DATOS!$A$2:$A$20000,AE783,DATOS!$G$2:$G$20000,CONFIG_METADATA!$B$4,DATOS!$I$2:$I$20000,"Música de Cámara"),"")))</f>
        <v/>
      </c>
      <c r="AI783" t="str">
        <f>IF(AE783="","",IF(AE783="[FÓRMULA MANUAL]","",IFERROR(SUMPRODUCT((DATOS!$A$2:$A$20000=AE783)*(DATOS!$G$2:$G$20000=CONFIG_METADATA!$B$4)*(COUNTIF(CONFIG_ASIGNATURAS!$B$7:$B$27,DATOS!$I$2:$I$20000)&gt;0)*(DATOS!$K$2:$K$20000))/SUMPRODUCT((DATOS!$A$2:$A$20000=AE783)*(DATOS!$G$2:$G$20000=CONFIG_METADATA!$B$4)*(COUNTIF(CONFIG_ASIGNATURAS!$B$7:$B$27,DATOS!$I$2:$I$20000)&gt;0)*1),"")))</f>
        <v/>
      </c>
    </row>
    <row r="784" spans="2:35" x14ac:dyDescent="0.2">
      <c r="B784" t="str">
        <f>IF(A784="","",IF(A784="[FÓRMULA MANUAL]","",IFERROR(AVERAGEIFS(DATOS!$K$2:$K$20000,DATOS!$A$2:$A$20000,A784,DATOS!$G$2:$G$20000,CONFIG_METADATA!$B$4,DATOS!$I$2:$I$20000,"Lenguaje Musical"),"")))</f>
        <v/>
      </c>
      <c r="C784" t="str">
        <f>IF(A784="","",IF(A784="[FÓRMULA MANUAL]","",IFERROR(AVERAGEIFS(DATOS!$K$2:$K$20000,DATOS!$A$2:$A$20000,A784,DATOS!$G$2:$G$20000,CONFIG_METADATA!$B$4,DATOS!$I$2:$I$20000,"Orquesta/Banda/Conjunto"),"")))</f>
        <v/>
      </c>
      <c r="D784" t="str">
        <f>IF(A784="","",IF(A784="[FÓRMULA MANUAL]","",IFERROR(AVERAGEIFS(DATOS!$K$2:$K$20000,DATOS!$A$2:$A$20000,A784,DATOS!$G$2:$G$20000,CONFIG_METADATA!$B$4,DATOS!$I$2:$I$20000,"Conjunto"),"")))</f>
        <v/>
      </c>
      <c r="E784" t="str">
        <f>IF(A784="","",IF(A784="[FÓRMULA MANUAL]","",IFERROR(SUMPRODUCT((DATOS!$A$2:$A$20000=A784)*(DATOS!$G$2:$G$20000=CONFIG_METADATA!$B$4)*(COUNTIF(CONFIG_ASIGNATURAS!$B$7:$B$27,DATOS!$I$2:$I$20000)&gt;0)*(DATOS!$K$2:$K$20000))/SUMPRODUCT((DATOS!$A$2:$A$20000=A784)*(DATOS!$G$2:$G$20000=CONFIG_METADATA!$B$4)*(COUNTIF(CONFIG_ASIGNATURAS!$B$7:$B$27,DATOS!$I$2:$I$20000)&gt;0)*1),"")))</f>
        <v/>
      </c>
      <c r="H784" t="str">
        <f>IF(G784="","",IF(G784="[FÓRMULA MANUAL]","",IFERROR(AVERAGEIFS(DATOS!$K$2:$K$20000,DATOS!$A$2:$A$20000,G784,DATOS!$G$2:$G$20000,CONFIG_METADATA!$B$4,DATOS!$I$2:$I$20000,"Lenguaje Musical"),"")))</f>
        <v/>
      </c>
      <c r="I784" t="str">
        <f>IF(G784="","",IF(G784="[FÓRMULA MANUAL]","",IFERROR(AVERAGEIFS(DATOS!$K$2:$K$20000,DATOS!$A$2:$A$20000,G784,DATOS!$G$2:$G$20000,CONFIG_METADATA!$B$4,DATOS!$I$2:$I$20000,"Orquesta/Banda/Conjunto"),"")))</f>
        <v/>
      </c>
      <c r="J784" t="str">
        <f>IF(G784="","",IF(G784="[FÓRMULA MANUAL]","",IFERROR(AVERAGEIFS(DATOS!$K$2:$K$20000,DATOS!$A$2:$A$20000,G784,DATOS!$G$2:$G$20000,CONFIG_METADATA!$B$4,DATOS!$I$2:$I$20000,"Conjunto"),"")))</f>
        <v/>
      </c>
      <c r="K784" t="str">
        <f>IF(G784="","",IF(G784="[FÓRMULA MANUAL]","",IFERROR(SUMPRODUCT((DATOS!$A$2:$A$20000=G784)*(DATOS!$G$2:$G$20000=CONFIG_METADATA!$B$4)*(COUNTIF(CONFIG_ASIGNATURAS!$B$7:$B$27,DATOS!$I$2:$I$20000)&gt;0)*(DATOS!$K$2:$K$20000))/SUMPRODUCT((DATOS!$A$2:$A$20000=G784)*(DATOS!$G$2:$G$20000=CONFIG_METADATA!$B$4)*(COUNTIF(CONFIG_ASIGNATURAS!$B$7:$B$27,DATOS!$I$2:$I$20000)&gt;0)*1),"")))</f>
        <v/>
      </c>
      <c r="N784" t="str">
        <f>IF(M784="","",IF(M784="[FÓRMULA MANUAL]","",IFERROR(AVERAGEIFS(DATOS!$K$2:$K$20000,DATOS!$A$2:$A$20000,M784,DATOS!$G$2:$G$20000,CONFIG_METADATA!$B$4,DATOS!$I$2:$I$20000,"Armonía"),"")))</f>
        <v/>
      </c>
      <c r="O784" t="str">
        <f>IF(M784="","",IF(M784="[FÓRMULA MANUAL]","",IFERROR(AVERAGEIFS(DATOS!$K$2:$K$20000,DATOS!$A$2:$A$20000,M784,DATOS!$G$2:$G$20000,CONFIG_METADATA!$B$4,DATOS!$I$2:$I$20000,"Orquesta/Banda/Conjunto"),"")))</f>
        <v/>
      </c>
      <c r="P784" t="str">
        <f>IF(M784="","",IF(M784="[FÓRMULA MANUAL]","",IFERROR(AVERAGEIFS(DATOS!$K$2:$K$20000,DATOS!$A$2:$A$20000,M784,DATOS!$G$2:$G$20000,CONFIG_METADATA!$B$4,DATOS!$I$2:$I$20000,"Música de Cámara"),"")))</f>
        <v/>
      </c>
      <c r="Q784" t="str">
        <f>IF(M784="","",IF(M784="[FÓRMULA MANUAL]","",IFERROR(SUMPRODUCT((DATOS!$A$2:$A$20000=M784)*(DATOS!$G$2:$G$20000=CONFIG_METADATA!$B$4)*(COUNTIF(CONFIG_ASIGNATURAS!$B$7:$B$27,DATOS!$I$2:$I$20000)&gt;0)*(DATOS!$K$2:$K$20000))/SUMPRODUCT((DATOS!$A$2:$A$20000=M784)*(DATOS!$G$2:$G$20000=CONFIG_METADATA!$B$4)*(COUNTIF(CONFIG_ASIGNATURAS!$B$7:$B$27,DATOS!$I$2:$I$20000)&gt;0)*1),"")))</f>
        <v/>
      </c>
      <c r="T784" t="str">
        <f>IF(S784="","",IF(S784="[FÓRMULA MANUAL]","",IFERROR(AVERAGEIFS(DATOS!$K$2:$K$20000,DATOS!$A$2:$A$20000,S784,DATOS!$G$2:$G$20000,CONFIG_METADATA!$B$4,DATOS!$I$2:$I$20000,"Armonía"),"")))</f>
        <v/>
      </c>
      <c r="U784" t="str">
        <f>IF(S784="","",IF(S784="[FÓRMULA MANUAL]","",IFERROR(AVERAGEIFS(DATOS!$K$2:$K$20000,DATOS!$A$2:$A$20000,S784,DATOS!$G$2:$G$20000,CONFIG_METADATA!$B$4,DATOS!$I$2:$I$20000,"Orquesta/Banda/Conjunto"),"")))</f>
        <v/>
      </c>
      <c r="V784" t="str">
        <f>IF(S784="","",IF(S784="[FÓRMULA MANUAL]","",IFERROR(AVERAGEIFS(DATOS!$K$2:$K$20000,DATOS!$A$2:$A$20000,S784,DATOS!$G$2:$G$20000,CONFIG_METADATA!$B$4,DATOS!$I$2:$I$20000,"Música de Cámara"),"")))</f>
        <v/>
      </c>
      <c r="W784" t="str">
        <f>IF(S784="","",IF(S784="[FÓRMULA MANUAL]","",IFERROR(SUMPRODUCT((DATOS!$A$2:$A$20000=S784)*(DATOS!$G$2:$G$20000=CONFIG_METADATA!$B$4)*(COUNTIF(CONFIG_ASIGNATURAS!$B$7:$B$27,DATOS!$I$2:$I$20000)&gt;0)*(DATOS!$K$2:$K$20000))/SUMPRODUCT((DATOS!$A$2:$A$20000=S784)*(DATOS!$G$2:$G$20000=CONFIG_METADATA!$B$4)*(COUNTIF(CONFIG_ASIGNATURAS!$B$7:$B$27,DATOS!$I$2:$I$20000)&gt;0)*1),"")))</f>
        <v/>
      </c>
      <c r="Z784" t="str">
        <f>IF(Y784="","",IF(Y784="[FÓRMULA MANUAL]","",IFERROR(AVERAGEIFS(DATOS!$K$2:$K$20000,DATOS!$A$2:$A$20000,Y784,DATOS!$G$2:$G$20000,CONFIG_METADATA!$B$4,DATOS!$I$2:$I$20000,"Análisis"),"")))</f>
        <v/>
      </c>
      <c r="AA784" t="str">
        <f>IF(Y784="","",IF(Y784="[FÓRMULA MANUAL]","",IFERROR(AVERAGEIFS(DATOS!$K$2:$K$20000,DATOS!$A$2:$A$20000,Y784,DATOS!$G$2:$G$20000,CONFIG_METADATA!$B$4,DATOS!$I$2:$I$20000,"Orquesta/Banda/Conjunto"),"")))</f>
        <v/>
      </c>
      <c r="AB784" t="str">
        <f>IF(Y784="","",IF(Y784="[FÓRMULA MANUAL]","",IFERROR(AVERAGEIFS(DATOS!$K$2:$K$20000,DATOS!$A$2:$A$20000,Y784,DATOS!$G$2:$G$20000,CONFIG_METADATA!$B$4,DATOS!$I$2:$I$20000,"Música de Cámara"),"")))</f>
        <v/>
      </c>
      <c r="AC784" t="str">
        <f>IF(Y784="","",IF(Y784="[FÓRMULA MANUAL]","",IFERROR(SUMPRODUCT((DATOS!$A$2:$A$20000=Y784)*(DATOS!$G$2:$G$20000=CONFIG_METADATA!$B$4)*(COUNTIF(CONFIG_ASIGNATURAS!$B$7:$B$27,DATOS!$I$2:$I$20000)&gt;0)*(DATOS!$K$2:$K$20000))/SUMPRODUCT((DATOS!$A$2:$A$20000=Y784)*(DATOS!$G$2:$G$20000=CONFIG_METADATA!$B$4)*(COUNTIF(CONFIG_ASIGNATURAS!$B$7:$B$27,DATOS!$I$2:$I$20000)&gt;0)*1),"")))</f>
        <v/>
      </c>
      <c r="AF784" t="str">
        <f>IF(AE784="","",IF(AE784="[FÓRMULA MANUAL]","",IFERROR(AVERAGEIFS(DATOS!$K$2:$K$20000,DATOS!$A$2:$A$20000,AE784,DATOS!$G$2:$G$20000,CONFIG_METADATA!$B$4,DATOS!$I$2:$I$20000,"Análisis"),"")))</f>
        <v/>
      </c>
      <c r="AG784" t="str">
        <f>IF(AE784="","",IF(AE784="[FÓRMULA MANUAL]","",IFERROR(AVERAGEIFS(DATOS!$K$2:$K$20000,DATOS!$A$2:$A$20000,AE784,DATOS!$G$2:$G$20000,CONFIG_METADATA!$B$4,DATOS!$I$2:$I$20000,"Orquesta/Banda/Conjunto"),"")))</f>
        <v/>
      </c>
      <c r="AH784" t="str">
        <f>IF(AE784="","",IF(AE784="[FÓRMULA MANUAL]","",IFERROR(AVERAGEIFS(DATOS!$K$2:$K$20000,DATOS!$A$2:$A$20000,AE784,DATOS!$G$2:$G$20000,CONFIG_METADATA!$B$4,DATOS!$I$2:$I$20000,"Música de Cámara"),"")))</f>
        <v/>
      </c>
      <c r="AI784" t="str">
        <f>IF(AE784="","",IF(AE784="[FÓRMULA MANUAL]","",IFERROR(SUMPRODUCT((DATOS!$A$2:$A$20000=AE784)*(DATOS!$G$2:$G$20000=CONFIG_METADATA!$B$4)*(COUNTIF(CONFIG_ASIGNATURAS!$B$7:$B$27,DATOS!$I$2:$I$20000)&gt;0)*(DATOS!$K$2:$K$20000))/SUMPRODUCT((DATOS!$A$2:$A$20000=AE784)*(DATOS!$G$2:$G$20000=CONFIG_METADATA!$B$4)*(COUNTIF(CONFIG_ASIGNATURAS!$B$7:$B$27,DATOS!$I$2:$I$20000)&gt;0)*1),"")))</f>
        <v/>
      </c>
    </row>
    <row r="785" spans="2:35" x14ac:dyDescent="0.2">
      <c r="B785" t="str">
        <f>IF(A785="","",IF(A785="[FÓRMULA MANUAL]","",IFERROR(AVERAGEIFS(DATOS!$K$2:$K$20000,DATOS!$A$2:$A$20000,A785,DATOS!$G$2:$G$20000,CONFIG_METADATA!$B$4,DATOS!$I$2:$I$20000,"Lenguaje Musical"),"")))</f>
        <v/>
      </c>
      <c r="C785" t="str">
        <f>IF(A785="","",IF(A785="[FÓRMULA MANUAL]","",IFERROR(AVERAGEIFS(DATOS!$K$2:$K$20000,DATOS!$A$2:$A$20000,A785,DATOS!$G$2:$G$20000,CONFIG_METADATA!$B$4,DATOS!$I$2:$I$20000,"Orquesta/Banda/Conjunto"),"")))</f>
        <v/>
      </c>
      <c r="D785" t="str">
        <f>IF(A785="","",IF(A785="[FÓRMULA MANUAL]","",IFERROR(AVERAGEIFS(DATOS!$K$2:$K$20000,DATOS!$A$2:$A$20000,A785,DATOS!$G$2:$G$20000,CONFIG_METADATA!$B$4,DATOS!$I$2:$I$20000,"Conjunto"),"")))</f>
        <v/>
      </c>
      <c r="E785" t="str">
        <f>IF(A785="","",IF(A785="[FÓRMULA MANUAL]","",IFERROR(SUMPRODUCT((DATOS!$A$2:$A$20000=A785)*(DATOS!$G$2:$G$20000=CONFIG_METADATA!$B$4)*(COUNTIF(CONFIG_ASIGNATURAS!$B$7:$B$27,DATOS!$I$2:$I$20000)&gt;0)*(DATOS!$K$2:$K$20000))/SUMPRODUCT((DATOS!$A$2:$A$20000=A785)*(DATOS!$G$2:$G$20000=CONFIG_METADATA!$B$4)*(COUNTIF(CONFIG_ASIGNATURAS!$B$7:$B$27,DATOS!$I$2:$I$20000)&gt;0)*1),"")))</f>
        <v/>
      </c>
      <c r="H785" t="str">
        <f>IF(G785="","",IF(G785="[FÓRMULA MANUAL]","",IFERROR(AVERAGEIFS(DATOS!$K$2:$K$20000,DATOS!$A$2:$A$20000,G785,DATOS!$G$2:$G$20000,CONFIG_METADATA!$B$4,DATOS!$I$2:$I$20000,"Lenguaje Musical"),"")))</f>
        <v/>
      </c>
      <c r="I785" t="str">
        <f>IF(G785="","",IF(G785="[FÓRMULA MANUAL]","",IFERROR(AVERAGEIFS(DATOS!$K$2:$K$20000,DATOS!$A$2:$A$20000,G785,DATOS!$G$2:$G$20000,CONFIG_METADATA!$B$4,DATOS!$I$2:$I$20000,"Orquesta/Banda/Conjunto"),"")))</f>
        <v/>
      </c>
      <c r="J785" t="str">
        <f>IF(G785="","",IF(G785="[FÓRMULA MANUAL]","",IFERROR(AVERAGEIFS(DATOS!$K$2:$K$20000,DATOS!$A$2:$A$20000,G785,DATOS!$G$2:$G$20000,CONFIG_METADATA!$B$4,DATOS!$I$2:$I$20000,"Conjunto"),"")))</f>
        <v/>
      </c>
      <c r="K785" t="str">
        <f>IF(G785="","",IF(G785="[FÓRMULA MANUAL]","",IFERROR(SUMPRODUCT((DATOS!$A$2:$A$20000=G785)*(DATOS!$G$2:$G$20000=CONFIG_METADATA!$B$4)*(COUNTIF(CONFIG_ASIGNATURAS!$B$7:$B$27,DATOS!$I$2:$I$20000)&gt;0)*(DATOS!$K$2:$K$20000))/SUMPRODUCT((DATOS!$A$2:$A$20000=G785)*(DATOS!$G$2:$G$20000=CONFIG_METADATA!$B$4)*(COUNTIF(CONFIG_ASIGNATURAS!$B$7:$B$27,DATOS!$I$2:$I$20000)&gt;0)*1),"")))</f>
        <v/>
      </c>
      <c r="N785" t="str">
        <f>IF(M785="","",IF(M785="[FÓRMULA MANUAL]","",IFERROR(AVERAGEIFS(DATOS!$K$2:$K$20000,DATOS!$A$2:$A$20000,M785,DATOS!$G$2:$G$20000,CONFIG_METADATA!$B$4,DATOS!$I$2:$I$20000,"Armonía"),"")))</f>
        <v/>
      </c>
      <c r="O785" t="str">
        <f>IF(M785="","",IF(M785="[FÓRMULA MANUAL]","",IFERROR(AVERAGEIFS(DATOS!$K$2:$K$20000,DATOS!$A$2:$A$20000,M785,DATOS!$G$2:$G$20000,CONFIG_METADATA!$B$4,DATOS!$I$2:$I$20000,"Orquesta/Banda/Conjunto"),"")))</f>
        <v/>
      </c>
      <c r="P785" t="str">
        <f>IF(M785="","",IF(M785="[FÓRMULA MANUAL]","",IFERROR(AVERAGEIFS(DATOS!$K$2:$K$20000,DATOS!$A$2:$A$20000,M785,DATOS!$G$2:$G$20000,CONFIG_METADATA!$B$4,DATOS!$I$2:$I$20000,"Música de Cámara"),"")))</f>
        <v/>
      </c>
      <c r="Q785" t="str">
        <f>IF(M785="","",IF(M785="[FÓRMULA MANUAL]","",IFERROR(SUMPRODUCT((DATOS!$A$2:$A$20000=M785)*(DATOS!$G$2:$G$20000=CONFIG_METADATA!$B$4)*(COUNTIF(CONFIG_ASIGNATURAS!$B$7:$B$27,DATOS!$I$2:$I$20000)&gt;0)*(DATOS!$K$2:$K$20000))/SUMPRODUCT((DATOS!$A$2:$A$20000=M785)*(DATOS!$G$2:$G$20000=CONFIG_METADATA!$B$4)*(COUNTIF(CONFIG_ASIGNATURAS!$B$7:$B$27,DATOS!$I$2:$I$20000)&gt;0)*1),"")))</f>
        <v/>
      </c>
      <c r="T785" t="str">
        <f>IF(S785="","",IF(S785="[FÓRMULA MANUAL]","",IFERROR(AVERAGEIFS(DATOS!$K$2:$K$20000,DATOS!$A$2:$A$20000,S785,DATOS!$G$2:$G$20000,CONFIG_METADATA!$B$4,DATOS!$I$2:$I$20000,"Armonía"),"")))</f>
        <v/>
      </c>
      <c r="U785" t="str">
        <f>IF(S785="","",IF(S785="[FÓRMULA MANUAL]","",IFERROR(AVERAGEIFS(DATOS!$K$2:$K$20000,DATOS!$A$2:$A$20000,S785,DATOS!$G$2:$G$20000,CONFIG_METADATA!$B$4,DATOS!$I$2:$I$20000,"Orquesta/Banda/Conjunto"),"")))</f>
        <v/>
      </c>
      <c r="V785" t="str">
        <f>IF(S785="","",IF(S785="[FÓRMULA MANUAL]","",IFERROR(AVERAGEIFS(DATOS!$K$2:$K$20000,DATOS!$A$2:$A$20000,S785,DATOS!$G$2:$G$20000,CONFIG_METADATA!$B$4,DATOS!$I$2:$I$20000,"Música de Cámara"),"")))</f>
        <v/>
      </c>
      <c r="W785" t="str">
        <f>IF(S785="","",IF(S785="[FÓRMULA MANUAL]","",IFERROR(SUMPRODUCT((DATOS!$A$2:$A$20000=S785)*(DATOS!$G$2:$G$20000=CONFIG_METADATA!$B$4)*(COUNTIF(CONFIG_ASIGNATURAS!$B$7:$B$27,DATOS!$I$2:$I$20000)&gt;0)*(DATOS!$K$2:$K$20000))/SUMPRODUCT((DATOS!$A$2:$A$20000=S785)*(DATOS!$G$2:$G$20000=CONFIG_METADATA!$B$4)*(COUNTIF(CONFIG_ASIGNATURAS!$B$7:$B$27,DATOS!$I$2:$I$20000)&gt;0)*1),"")))</f>
        <v/>
      </c>
      <c r="Z785" t="str">
        <f>IF(Y785="","",IF(Y785="[FÓRMULA MANUAL]","",IFERROR(AVERAGEIFS(DATOS!$K$2:$K$20000,DATOS!$A$2:$A$20000,Y785,DATOS!$G$2:$G$20000,CONFIG_METADATA!$B$4,DATOS!$I$2:$I$20000,"Análisis"),"")))</f>
        <v/>
      </c>
      <c r="AA785" t="str">
        <f>IF(Y785="","",IF(Y785="[FÓRMULA MANUAL]","",IFERROR(AVERAGEIFS(DATOS!$K$2:$K$20000,DATOS!$A$2:$A$20000,Y785,DATOS!$G$2:$G$20000,CONFIG_METADATA!$B$4,DATOS!$I$2:$I$20000,"Orquesta/Banda/Conjunto"),"")))</f>
        <v/>
      </c>
      <c r="AB785" t="str">
        <f>IF(Y785="","",IF(Y785="[FÓRMULA MANUAL]","",IFERROR(AVERAGEIFS(DATOS!$K$2:$K$20000,DATOS!$A$2:$A$20000,Y785,DATOS!$G$2:$G$20000,CONFIG_METADATA!$B$4,DATOS!$I$2:$I$20000,"Música de Cámara"),"")))</f>
        <v/>
      </c>
      <c r="AC785" t="str">
        <f>IF(Y785="","",IF(Y785="[FÓRMULA MANUAL]","",IFERROR(SUMPRODUCT((DATOS!$A$2:$A$20000=Y785)*(DATOS!$G$2:$G$20000=CONFIG_METADATA!$B$4)*(COUNTIF(CONFIG_ASIGNATURAS!$B$7:$B$27,DATOS!$I$2:$I$20000)&gt;0)*(DATOS!$K$2:$K$20000))/SUMPRODUCT((DATOS!$A$2:$A$20000=Y785)*(DATOS!$G$2:$G$20000=CONFIG_METADATA!$B$4)*(COUNTIF(CONFIG_ASIGNATURAS!$B$7:$B$27,DATOS!$I$2:$I$20000)&gt;0)*1),"")))</f>
        <v/>
      </c>
      <c r="AF785" t="str">
        <f>IF(AE785="","",IF(AE785="[FÓRMULA MANUAL]","",IFERROR(AVERAGEIFS(DATOS!$K$2:$K$20000,DATOS!$A$2:$A$20000,AE785,DATOS!$G$2:$G$20000,CONFIG_METADATA!$B$4,DATOS!$I$2:$I$20000,"Análisis"),"")))</f>
        <v/>
      </c>
      <c r="AG785" t="str">
        <f>IF(AE785="","",IF(AE785="[FÓRMULA MANUAL]","",IFERROR(AVERAGEIFS(DATOS!$K$2:$K$20000,DATOS!$A$2:$A$20000,AE785,DATOS!$G$2:$G$20000,CONFIG_METADATA!$B$4,DATOS!$I$2:$I$20000,"Orquesta/Banda/Conjunto"),"")))</f>
        <v/>
      </c>
      <c r="AH785" t="str">
        <f>IF(AE785="","",IF(AE785="[FÓRMULA MANUAL]","",IFERROR(AVERAGEIFS(DATOS!$K$2:$K$20000,DATOS!$A$2:$A$20000,AE785,DATOS!$G$2:$G$20000,CONFIG_METADATA!$B$4,DATOS!$I$2:$I$20000,"Música de Cámara"),"")))</f>
        <v/>
      </c>
      <c r="AI785" t="str">
        <f>IF(AE785="","",IF(AE785="[FÓRMULA MANUAL]","",IFERROR(SUMPRODUCT((DATOS!$A$2:$A$20000=AE785)*(DATOS!$G$2:$G$20000=CONFIG_METADATA!$B$4)*(COUNTIF(CONFIG_ASIGNATURAS!$B$7:$B$27,DATOS!$I$2:$I$20000)&gt;0)*(DATOS!$K$2:$K$20000))/SUMPRODUCT((DATOS!$A$2:$A$20000=AE785)*(DATOS!$G$2:$G$20000=CONFIG_METADATA!$B$4)*(COUNTIF(CONFIG_ASIGNATURAS!$B$7:$B$27,DATOS!$I$2:$I$20000)&gt;0)*1),"")))</f>
        <v/>
      </c>
    </row>
    <row r="786" spans="2:35" x14ac:dyDescent="0.2">
      <c r="B786" t="str">
        <f>IF(A786="","",IF(A786="[FÓRMULA MANUAL]","",IFERROR(AVERAGEIFS(DATOS!$K$2:$K$20000,DATOS!$A$2:$A$20000,A786,DATOS!$G$2:$G$20000,CONFIG_METADATA!$B$4,DATOS!$I$2:$I$20000,"Lenguaje Musical"),"")))</f>
        <v/>
      </c>
      <c r="C786" t="str">
        <f>IF(A786="","",IF(A786="[FÓRMULA MANUAL]","",IFERROR(AVERAGEIFS(DATOS!$K$2:$K$20000,DATOS!$A$2:$A$20000,A786,DATOS!$G$2:$G$20000,CONFIG_METADATA!$B$4,DATOS!$I$2:$I$20000,"Orquesta/Banda/Conjunto"),"")))</f>
        <v/>
      </c>
      <c r="D786" t="str">
        <f>IF(A786="","",IF(A786="[FÓRMULA MANUAL]","",IFERROR(AVERAGEIFS(DATOS!$K$2:$K$20000,DATOS!$A$2:$A$20000,A786,DATOS!$G$2:$G$20000,CONFIG_METADATA!$B$4,DATOS!$I$2:$I$20000,"Conjunto"),"")))</f>
        <v/>
      </c>
      <c r="E786" t="str">
        <f>IF(A786="","",IF(A786="[FÓRMULA MANUAL]","",IFERROR(SUMPRODUCT((DATOS!$A$2:$A$20000=A786)*(DATOS!$G$2:$G$20000=CONFIG_METADATA!$B$4)*(COUNTIF(CONFIG_ASIGNATURAS!$B$7:$B$27,DATOS!$I$2:$I$20000)&gt;0)*(DATOS!$K$2:$K$20000))/SUMPRODUCT((DATOS!$A$2:$A$20000=A786)*(DATOS!$G$2:$G$20000=CONFIG_METADATA!$B$4)*(COUNTIF(CONFIG_ASIGNATURAS!$B$7:$B$27,DATOS!$I$2:$I$20000)&gt;0)*1),"")))</f>
        <v/>
      </c>
      <c r="H786" t="str">
        <f>IF(G786="","",IF(G786="[FÓRMULA MANUAL]","",IFERROR(AVERAGEIFS(DATOS!$K$2:$K$20000,DATOS!$A$2:$A$20000,G786,DATOS!$G$2:$G$20000,CONFIG_METADATA!$B$4,DATOS!$I$2:$I$20000,"Lenguaje Musical"),"")))</f>
        <v/>
      </c>
      <c r="I786" t="str">
        <f>IF(G786="","",IF(G786="[FÓRMULA MANUAL]","",IFERROR(AVERAGEIFS(DATOS!$K$2:$K$20000,DATOS!$A$2:$A$20000,G786,DATOS!$G$2:$G$20000,CONFIG_METADATA!$B$4,DATOS!$I$2:$I$20000,"Orquesta/Banda/Conjunto"),"")))</f>
        <v/>
      </c>
      <c r="J786" t="str">
        <f>IF(G786="","",IF(G786="[FÓRMULA MANUAL]","",IFERROR(AVERAGEIFS(DATOS!$K$2:$K$20000,DATOS!$A$2:$A$20000,G786,DATOS!$G$2:$G$20000,CONFIG_METADATA!$B$4,DATOS!$I$2:$I$20000,"Conjunto"),"")))</f>
        <v/>
      </c>
      <c r="K786" t="str">
        <f>IF(G786="","",IF(G786="[FÓRMULA MANUAL]","",IFERROR(SUMPRODUCT((DATOS!$A$2:$A$20000=G786)*(DATOS!$G$2:$G$20000=CONFIG_METADATA!$B$4)*(COUNTIF(CONFIG_ASIGNATURAS!$B$7:$B$27,DATOS!$I$2:$I$20000)&gt;0)*(DATOS!$K$2:$K$20000))/SUMPRODUCT((DATOS!$A$2:$A$20000=G786)*(DATOS!$G$2:$G$20000=CONFIG_METADATA!$B$4)*(COUNTIF(CONFIG_ASIGNATURAS!$B$7:$B$27,DATOS!$I$2:$I$20000)&gt;0)*1),"")))</f>
        <v/>
      </c>
      <c r="N786" t="str">
        <f>IF(M786="","",IF(M786="[FÓRMULA MANUAL]","",IFERROR(AVERAGEIFS(DATOS!$K$2:$K$20000,DATOS!$A$2:$A$20000,M786,DATOS!$G$2:$G$20000,CONFIG_METADATA!$B$4,DATOS!$I$2:$I$20000,"Armonía"),"")))</f>
        <v/>
      </c>
      <c r="O786" t="str">
        <f>IF(M786="","",IF(M786="[FÓRMULA MANUAL]","",IFERROR(AVERAGEIFS(DATOS!$K$2:$K$20000,DATOS!$A$2:$A$20000,M786,DATOS!$G$2:$G$20000,CONFIG_METADATA!$B$4,DATOS!$I$2:$I$20000,"Orquesta/Banda/Conjunto"),"")))</f>
        <v/>
      </c>
      <c r="P786" t="str">
        <f>IF(M786="","",IF(M786="[FÓRMULA MANUAL]","",IFERROR(AVERAGEIFS(DATOS!$K$2:$K$20000,DATOS!$A$2:$A$20000,M786,DATOS!$G$2:$G$20000,CONFIG_METADATA!$B$4,DATOS!$I$2:$I$20000,"Música de Cámara"),"")))</f>
        <v/>
      </c>
      <c r="Q786" t="str">
        <f>IF(M786="","",IF(M786="[FÓRMULA MANUAL]","",IFERROR(SUMPRODUCT((DATOS!$A$2:$A$20000=M786)*(DATOS!$G$2:$G$20000=CONFIG_METADATA!$B$4)*(COUNTIF(CONFIG_ASIGNATURAS!$B$7:$B$27,DATOS!$I$2:$I$20000)&gt;0)*(DATOS!$K$2:$K$20000))/SUMPRODUCT((DATOS!$A$2:$A$20000=M786)*(DATOS!$G$2:$G$20000=CONFIG_METADATA!$B$4)*(COUNTIF(CONFIG_ASIGNATURAS!$B$7:$B$27,DATOS!$I$2:$I$20000)&gt;0)*1),"")))</f>
        <v/>
      </c>
      <c r="T786" t="str">
        <f>IF(S786="","",IF(S786="[FÓRMULA MANUAL]","",IFERROR(AVERAGEIFS(DATOS!$K$2:$K$20000,DATOS!$A$2:$A$20000,S786,DATOS!$G$2:$G$20000,CONFIG_METADATA!$B$4,DATOS!$I$2:$I$20000,"Armonía"),"")))</f>
        <v/>
      </c>
      <c r="U786" t="str">
        <f>IF(S786="","",IF(S786="[FÓRMULA MANUAL]","",IFERROR(AVERAGEIFS(DATOS!$K$2:$K$20000,DATOS!$A$2:$A$20000,S786,DATOS!$G$2:$G$20000,CONFIG_METADATA!$B$4,DATOS!$I$2:$I$20000,"Orquesta/Banda/Conjunto"),"")))</f>
        <v/>
      </c>
      <c r="V786" t="str">
        <f>IF(S786="","",IF(S786="[FÓRMULA MANUAL]","",IFERROR(AVERAGEIFS(DATOS!$K$2:$K$20000,DATOS!$A$2:$A$20000,S786,DATOS!$G$2:$G$20000,CONFIG_METADATA!$B$4,DATOS!$I$2:$I$20000,"Música de Cámara"),"")))</f>
        <v/>
      </c>
      <c r="W786" t="str">
        <f>IF(S786="","",IF(S786="[FÓRMULA MANUAL]","",IFERROR(SUMPRODUCT((DATOS!$A$2:$A$20000=S786)*(DATOS!$G$2:$G$20000=CONFIG_METADATA!$B$4)*(COUNTIF(CONFIG_ASIGNATURAS!$B$7:$B$27,DATOS!$I$2:$I$20000)&gt;0)*(DATOS!$K$2:$K$20000))/SUMPRODUCT((DATOS!$A$2:$A$20000=S786)*(DATOS!$G$2:$G$20000=CONFIG_METADATA!$B$4)*(COUNTIF(CONFIG_ASIGNATURAS!$B$7:$B$27,DATOS!$I$2:$I$20000)&gt;0)*1),"")))</f>
        <v/>
      </c>
      <c r="Z786" t="str">
        <f>IF(Y786="","",IF(Y786="[FÓRMULA MANUAL]","",IFERROR(AVERAGEIFS(DATOS!$K$2:$K$20000,DATOS!$A$2:$A$20000,Y786,DATOS!$G$2:$G$20000,CONFIG_METADATA!$B$4,DATOS!$I$2:$I$20000,"Análisis"),"")))</f>
        <v/>
      </c>
      <c r="AA786" t="str">
        <f>IF(Y786="","",IF(Y786="[FÓRMULA MANUAL]","",IFERROR(AVERAGEIFS(DATOS!$K$2:$K$20000,DATOS!$A$2:$A$20000,Y786,DATOS!$G$2:$G$20000,CONFIG_METADATA!$B$4,DATOS!$I$2:$I$20000,"Orquesta/Banda/Conjunto"),"")))</f>
        <v/>
      </c>
      <c r="AB786" t="str">
        <f>IF(Y786="","",IF(Y786="[FÓRMULA MANUAL]","",IFERROR(AVERAGEIFS(DATOS!$K$2:$K$20000,DATOS!$A$2:$A$20000,Y786,DATOS!$G$2:$G$20000,CONFIG_METADATA!$B$4,DATOS!$I$2:$I$20000,"Música de Cámara"),"")))</f>
        <v/>
      </c>
      <c r="AC786" t="str">
        <f>IF(Y786="","",IF(Y786="[FÓRMULA MANUAL]","",IFERROR(SUMPRODUCT((DATOS!$A$2:$A$20000=Y786)*(DATOS!$G$2:$G$20000=CONFIG_METADATA!$B$4)*(COUNTIF(CONFIG_ASIGNATURAS!$B$7:$B$27,DATOS!$I$2:$I$20000)&gt;0)*(DATOS!$K$2:$K$20000))/SUMPRODUCT((DATOS!$A$2:$A$20000=Y786)*(DATOS!$G$2:$G$20000=CONFIG_METADATA!$B$4)*(COUNTIF(CONFIG_ASIGNATURAS!$B$7:$B$27,DATOS!$I$2:$I$20000)&gt;0)*1),"")))</f>
        <v/>
      </c>
      <c r="AF786" t="str">
        <f>IF(AE786="","",IF(AE786="[FÓRMULA MANUAL]","",IFERROR(AVERAGEIFS(DATOS!$K$2:$K$20000,DATOS!$A$2:$A$20000,AE786,DATOS!$G$2:$G$20000,CONFIG_METADATA!$B$4,DATOS!$I$2:$I$20000,"Análisis"),"")))</f>
        <v/>
      </c>
      <c r="AG786" t="str">
        <f>IF(AE786="","",IF(AE786="[FÓRMULA MANUAL]","",IFERROR(AVERAGEIFS(DATOS!$K$2:$K$20000,DATOS!$A$2:$A$20000,AE786,DATOS!$G$2:$G$20000,CONFIG_METADATA!$B$4,DATOS!$I$2:$I$20000,"Orquesta/Banda/Conjunto"),"")))</f>
        <v/>
      </c>
      <c r="AH786" t="str">
        <f>IF(AE786="","",IF(AE786="[FÓRMULA MANUAL]","",IFERROR(AVERAGEIFS(DATOS!$K$2:$K$20000,DATOS!$A$2:$A$20000,AE786,DATOS!$G$2:$G$20000,CONFIG_METADATA!$B$4,DATOS!$I$2:$I$20000,"Música de Cámara"),"")))</f>
        <v/>
      </c>
      <c r="AI786" t="str">
        <f>IF(AE786="","",IF(AE786="[FÓRMULA MANUAL]","",IFERROR(SUMPRODUCT((DATOS!$A$2:$A$20000=AE786)*(DATOS!$G$2:$G$20000=CONFIG_METADATA!$B$4)*(COUNTIF(CONFIG_ASIGNATURAS!$B$7:$B$27,DATOS!$I$2:$I$20000)&gt;0)*(DATOS!$K$2:$K$20000))/SUMPRODUCT((DATOS!$A$2:$A$20000=AE786)*(DATOS!$G$2:$G$20000=CONFIG_METADATA!$B$4)*(COUNTIF(CONFIG_ASIGNATURAS!$B$7:$B$27,DATOS!$I$2:$I$20000)&gt;0)*1),"")))</f>
        <v/>
      </c>
    </row>
    <row r="787" spans="2:35" x14ac:dyDescent="0.2">
      <c r="B787" t="str">
        <f>IF(A787="","",IF(A787="[FÓRMULA MANUAL]","",IFERROR(AVERAGEIFS(DATOS!$K$2:$K$20000,DATOS!$A$2:$A$20000,A787,DATOS!$G$2:$G$20000,CONFIG_METADATA!$B$4,DATOS!$I$2:$I$20000,"Lenguaje Musical"),"")))</f>
        <v/>
      </c>
      <c r="C787" t="str">
        <f>IF(A787="","",IF(A787="[FÓRMULA MANUAL]","",IFERROR(AVERAGEIFS(DATOS!$K$2:$K$20000,DATOS!$A$2:$A$20000,A787,DATOS!$G$2:$G$20000,CONFIG_METADATA!$B$4,DATOS!$I$2:$I$20000,"Orquesta/Banda/Conjunto"),"")))</f>
        <v/>
      </c>
      <c r="D787" t="str">
        <f>IF(A787="","",IF(A787="[FÓRMULA MANUAL]","",IFERROR(AVERAGEIFS(DATOS!$K$2:$K$20000,DATOS!$A$2:$A$20000,A787,DATOS!$G$2:$G$20000,CONFIG_METADATA!$B$4,DATOS!$I$2:$I$20000,"Conjunto"),"")))</f>
        <v/>
      </c>
      <c r="E787" t="str">
        <f>IF(A787="","",IF(A787="[FÓRMULA MANUAL]","",IFERROR(SUMPRODUCT((DATOS!$A$2:$A$20000=A787)*(DATOS!$G$2:$G$20000=CONFIG_METADATA!$B$4)*(COUNTIF(CONFIG_ASIGNATURAS!$B$7:$B$27,DATOS!$I$2:$I$20000)&gt;0)*(DATOS!$K$2:$K$20000))/SUMPRODUCT((DATOS!$A$2:$A$20000=A787)*(DATOS!$G$2:$G$20000=CONFIG_METADATA!$B$4)*(COUNTIF(CONFIG_ASIGNATURAS!$B$7:$B$27,DATOS!$I$2:$I$20000)&gt;0)*1),"")))</f>
        <v/>
      </c>
      <c r="H787" t="str">
        <f>IF(G787="","",IF(G787="[FÓRMULA MANUAL]","",IFERROR(AVERAGEIFS(DATOS!$K$2:$K$20000,DATOS!$A$2:$A$20000,G787,DATOS!$G$2:$G$20000,CONFIG_METADATA!$B$4,DATOS!$I$2:$I$20000,"Lenguaje Musical"),"")))</f>
        <v/>
      </c>
      <c r="I787" t="str">
        <f>IF(G787="","",IF(G787="[FÓRMULA MANUAL]","",IFERROR(AVERAGEIFS(DATOS!$K$2:$K$20000,DATOS!$A$2:$A$20000,G787,DATOS!$G$2:$G$20000,CONFIG_METADATA!$B$4,DATOS!$I$2:$I$20000,"Orquesta/Banda/Conjunto"),"")))</f>
        <v/>
      </c>
      <c r="J787" t="str">
        <f>IF(G787="","",IF(G787="[FÓRMULA MANUAL]","",IFERROR(AVERAGEIFS(DATOS!$K$2:$K$20000,DATOS!$A$2:$A$20000,G787,DATOS!$G$2:$G$20000,CONFIG_METADATA!$B$4,DATOS!$I$2:$I$20000,"Conjunto"),"")))</f>
        <v/>
      </c>
      <c r="K787" t="str">
        <f>IF(G787="","",IF(G787="[FÓRMULA MANUAL]","",IFERROR(SUMPRODUCT((DATOS!$A$2:$A$20000=G787)*(DATOS!$G$2:$G$20000=CONFIG_METADATA!$B$4)*(COUNTIF(CONFIG_ASIGNATURAS!$B$7:$B$27,DATOS!$I$2:$I$20000)&gt;0)*(DATOS!$K$2:$K$20000))/SUMPRODUCT((DATOS!$A$2:$A$20000=G787)*(DATOS!$G$2:$G$20000=CONFIG_METADATA!$B$4)*(COUNTIF(CONFIG_ASIGNATURAS!$B$7:$B$27,DATOS!$I$2:$I$20000)&gt;0)*1),"")))</f>
        <v/>
      </c>
      <c r="N787" t="str">
        <f>IF(M787="","",IF(M787="[FÓRMULA MANUAL]","",IFERROR(AVERAGEIFS(DATOS!$K$2:$K$20000,DATOS!$A$2:$A$20000,M787,DATOS!$G$2:$G$20000,CONFIG_METADATA!$B$4,DATOS!$I$2:$I$20000,"Armonía"),"")))</f>
        <v/>
      </c>
      <c r="O787" t="str">
        <f>IF(M787="","",IF(M787="[FÓRMULA MANUAL]","",IFERROR(AVERAGEIFS(DATOS!$K$2:$K$20000,DATOS!$A$2:$A$20000,M787,DATOS!$G$2:$G$20000,CONFIG_METADATA!$B$4,DATOS!$I$2:$I$20000,"Orquesta/Banda/Conjunto"),"")))</f>
        <v/>
      </c>
      <c r="P787" t="str">
        <f>IF(M787="","",IF(M787="[FÓRMULA MANUAL]","",IFERROR(AVERAGEIFS(DATOS!$K$2:$K$20000,DATOS!$A$2:$A$20000,M787,DATOS!$G$2:$G$20000,CONFIG_METADATA!$B$4,DATOS!$I$2:$I$20000,"Música de Cámara"),"")))</f>
        <v/>
      </c>
      <c r="Q787" t="str">
        <f>IF(M787="","",IF(M787="[FÓRMULA MANUAL]","",IFERROR(SUMPRODUCT((DATOS!$A$2:$A$20000=M787)*(DATOS!$G$2:$G$20000=CONFIG_METADATA!$B$4)*(COUNTIF(CONFIG_ASIGNATURAS!$B$7:$B$27,DATOS!$I$2:$I$20000)&gt;0)*(DATOS!$K$2:$K$20000))/SUMPRODUCT((DATOS!$A$2:$A$20000=M787)*(DATOS!$G$2:$G$20000=CONFIG_METADATA!$B$4)*(COUNTIF(CONFIG_ASIGNATURAS!$B$7:$B$27,DATOS!$I$2:$I$20000)&gt;0)*1),"")))</f>
        <v/>
      </c>
      <c r="T787" t="str">
        <f>IF(S787="","",IF(S787="[FÓRMULA MANUAL]","",IFERROR(AVERAGEIFS(DATOS!$K$2:$K$20000,DATOS!$A$2:$A$20000,S787,DATOS!$G$2:$G$20000,CONFIG_METADATA!$B$4,DATOS!$I$2:$I$20000,"Armonía"),"")))</f>
        <v/>
      </c>
      <c r="U787" t="str">
        <f>IF(S787="","",IF(S787="[FÓRMULA MANUAL]","",IFERROR(AVERAGEIFS(DATOS!$K$2:$K$20000,DATOS!$A$2:$A$20000,S787,DATOS!$G$2:$G$20000,CONFIG_METADATA!$B$4,DATOS!$I$2:$I$20000,"Orquesta/Banda/Conjunto"),"")))</f>
        <v/>
      </c>
      <c r="V787" t="str">
        <f>IF(S787="","",IF(S787="[FÓRMULA MANUAL]","",IFERROR(AVERAGEIFS(DATOS!$K$2:$K$20000,DATOS!$A$2:$A$20000,S787,DATOS!$G$2:$G$20000,CONFIG_METADATA!$B$4,DATOS!$I$2:$I$20000,"Música de Cámara"),"")))</f>
        <v/>
      </c>
      <c r="W787" t="str">
        <f>IF(S787="","",IF(S787="[FÓRMULA MANUAL]","",IFERROR(SUMPRODUCT((DATOS!$A$2:$A$20000=S787)*(DATOS!$G$2:$G$20000=CONFIG_METADATA!$B$4)*(COUNTIF(CONFIG_ASIGNATURAS!$B$7:$B$27,DATOS!$I$2:$I$20000)&gt;0)*(DATOS!$K$2:$K$20000))/SUMPRODUCT((DATOS!$A$2:$A$20000=S787)*(DATOS!$G$2:$G$20000=CONFIG_METADATA!$B$4)*(COUNTIF(CONFIG_ASIGNATURAS!$B$7:$B$27,DATOS!$I$2:$I$20000)&gt;0)*1),"")))</f>
        <v/>
      </c>
      <c r="Z787" t="str">
        <f>IF(Y787="","",IF(Y787="[FÓRMULA MANUAL]","",IFERROR(AVERAGEIFS(DATOS!$K$2:$K$20000,DATOS!$A$2:$A$20000,Y787,DATOS!$G$2:$G$20000,CONFIG_METADATA!$B$4,DATOS!$I$2:$I$20000,"Análisis"),"")))</f>
        <v/>
      </c>
      <c r="AA787" t="str">
        <f>IF(Y787="","",IF(Y787="[FÓRMULA MANUAL]","",IFERROR(AVERAGEIFS(DATOS!$K$2:$K$20000,DATOS!$A$2:$A$20000,Y787,DATOS!$G$2:$G$20000,CONFIG_METADATA!$B$4,DATOS!$I$2:$I$20000,"Orquesta/Banda/Conjunto"),"")))</f>
        <v/>
      </c>
      <c r="AB787" t="str">
        <f>IF(Y787="","",IF(Y787="[FÓRMULA MANUAL]","",IFERROR(AVERAGEIFS(DATOS!$K$2:$K$20000,DATOS!$A$2:$A$20000,Y787,DATOS!$G$2:$G$20000,CONFIG_METADATA!$B$4,DATOS!$I$2:$I$20000,"Música de Cámara"),"")))</f>
        <v/>
      </c>
      <c r="AC787" t="str">
        <f>IF(Y787="","",IF(Y787="[FÓRMULA MANUAL]","",IFERROR(SUMPRODUCT((DATOS!$A$2:$A$20000=Y787)*(DATOS!$G$2:$G$20000=CONFIG_METADATA!$B$4)*(COUNTIF(CONFIG_ASIGNATURAS!$B$7:$B$27,DATOS!$I$2:$I$20000)&gt;0)*(DATOS!$K$2:$K$20000))/SUMPRODUCT((DATOS!$A$2:$A$20000=Y787)*(DATOS!$G$2:$G$20000=CONFIG_METADATA!$B$4)*(COUNTIF(CONFIG_ASIGNATURAS!$B$7:$B$27,DATOS!$I$2:$I$20000)&gt;0)*1),"")))</f>
        <v/>
      </c>
      <c r="AF787" t="str">
        <f>IF(AE787="","",IF(AE787="[FÓRMULA MANUAL]","",IFERROR(AVERAGEIFS(DATOS!$K$2:$K$20000,DATOS!$A$2:$A$20000,AE787,DATOS!$G$2:$G$20000,CONFIG_METADATA!$B$4,DATOS!$I$2:$I$20000,"Análisis"),"")))</f>
        <v/>
      </c>
      <c r="AG787" t="str">
        <f>IF(AE787="","",IF(AE787="[FÓRMULA MANUAL]","",IFERROR(AVERAGEIFS(DATOS!$K$2:$K$20000,DATOS!$A$2:$A$20000,AE787,DATOS!$G$2:$G$20000,CONFIG_METADATA!$B$4,DATOS!$I$2:$I$20000,"Orquesta/Banda/Conjunto"),"")))</f>
        <v/>
      </c>
      <c r="AH787" t="str">
        <f>IF(AE787="","",IF(AE787="[FÓRMULA MANUAL]","",IFERROR(AVERAGEIFS(DATOS!$K$2:$K$20000,DATOS!$A$2:$A$20000,AE787,DATOS!$G$2:$G$20000,CONFIG_METADATA!$B$4,DATOS!$I$2:$I$20000,"Música de Cámara"),"")))</f>
        <v/>
      </c>
      <c r="AI787" t="str">
        <f>IF(AE787="","",IF(AE787="[FÓRMULA MANUAL]","",IFERROR(SUMPRODUCT((DATOS!$A$2:$A$20000=AE787)*(DATOS!$G$2:$G$20000=CONFIG_METADATA!$B$4)*(COUNTIF(CONFIG_ASIGNATURAS!$B$7:$B$27,DATOS!$I$2:$I$20000)&gt;0)*(DATOS!$K$2:$K$20000))/SUMPRODUCT((DATOS!$A$2:$A$20000=AE787)*(DATOS!$G$2:$G$20000=CONFIG_METADATA!$B$4)*(COUNTIF(CONFIG_ASIGNATURAS!$B$7:$B$27,DATOS!$I$2:$I$20000)&gt;0)*1),"")))</f>
        <v/>
      </c>
    </row>
    <row r="788" spans="2:35" x14ac:dyDescent="0.2">
      <c r="B788" t="str">
        <f>IF(A788="","",IF(A788="[FÓRMULA MANUAL]","",IFERROR(AVERAGEIFS(DATOS!$K$2:$K$20000,DATOS!$A$2:$A$20000,A788,DATOS!$G$2:$G$20000,CONFIG_METADATA!$B$4,DATOS!$I$2:$I$20000,"Lenguaje Musical"),"")))</f>
        <v/>
      </c>
      <c r="C788" t="str">
        <f>IF(A788="","",IF(A788="[FÓRMULA MANUAL]","",IFERROR(AVERAGEIFS(DATOS!$K$2:$K$20000,DATOS!$A$2:$A$20000,A788,DATOS!$G$2:$G$20000,CONFIG_METADATA!$B$4,DATOS!$I$2:$I$20000,"Orquesta/Banda/Conjunto"),"")))</f>
        <v/>
      </c>
      <c r="D788" t="str">
        <f>IF(A788="","",IF(A788="[FÓRMULA MANUAL]","",IFERROR(AVERAGEIFS(DATOS!$K$2:$K$20000,DATOS!$A$2:$A$20000,A788,DATOS!$G$2:$G$20000,CONFIG_METADATA!$B$4,DATOS!$I$2:$I$20000,"Conjunto"),"")))</f>
        <v/>
      </c>
      <c r="E788" t="str">
        <f>IF(A788="","",IF(A788="[FÓRMULA MANUAL]","",IFERROR(SUMPRODUCT((DATOS!$A$2:$A$20000=A788)*(DATOS!$G$2:$G$20000=CONFIG_METADATA!$B$4)*(COUNTIF(CONFIG_ASIGNATURAS!$B$7:$B$27,DATOS!$I$2:$I$20000)&gt;0)*(DATOS!$K$2:$K$20000))/SUMPRODUCT((DATOS!$A$2:$A$20000=A788)*(DATOS!$G$2:$G$20000=CONFIG_METADATA!$B$4)*(COUNTIF(CONFIG_ASIGNATURAS!$B$7:$B$27,DATOS!$I$2:$I$20000)&gt;0)*1),"")))</f>
        <v/>
      </c>
      <c r="H788" t="str">
        <f>IF(G788="","",IF(G788="[FÓRMULA MANUAL]","",IFERROR(AVERAGEIFS(DATOS!$K$2:$K$20000,DATOS!$A$2:$A$20000,G788,DATOS!$G$2:$G$20000,CONFIG_METADATA!$B$4,DATOS!$I$2:$I$20000,"Lenguaje Musical"),"")))</f>
        <v/>
      </c>
      <c r="I788" t="str">
        <f>IF(G788="","",IF(G788="[FÓRMULA MANUAL]","",IFERROR(AVERAGEIFS(DATOS!$K$2:$K$20000,DATOS!$A$2:$A$20000,G788,DATOS!$G$2:$G$20000,CONFIG_METADATA!$B$4,DATOS!$I$2:$I$20000,"Orquesta/Banda/Conjunto"),"")))</f>
        <v/>
      </c>
      <c r="J788" t="str">
        <f>IF(G788="","",IF(G788="[FÓRMULA MANUAL]","",IFERROR(AVERAGEIFS(DATOS!$K$2:$K$20000,DATOS!$A$2:$A$20000,G788,DATOS!$G$2:$G$20000,CONFIG_METADATA!$B$4,DATOS!$I$2:$I$20000,"Conjunto"),"")))</f>
        <v/>
      </c>
      <c r="K788" t="str">
        <f>IF(G788="","",IF(G788="[FÓRMULA MANUAL]","",IFERROR(SUMPRODUCT((DATOS!$A$2:$A$20000=G788)*(DATOS!$G$2:$G$20000=CONFIG_METADATA!$B$4)*(COUNTIF(CONFIG_ASIGNATURAS!$B$7:$B$27,DATOS!$I$2:$I$20000)&gt;0)*(DATOS!$K$2:$K$20000))/SUMPRODUCT((DATOS!$A$2:$A$20000=G788)*(DATOS!$G$2:$G$20000=CONFIG_METADATA!$B$4)*(COUNTIF(CONFIG_ASIGNATURAS!$B$7:$B$27,DATOS!$I$2:$I$20000)&gt;0)*1),"")))</f>
        <v/>
      </c>
      <c r="N788" t="str">
        <f>IF(M788="","",IF(M788="[FÓRMULA MANUAL]","",IFERROR(AVERAGEIFS(DATOS!$K$2:$K$20000,DATOS!$A$2:$A$20000,M788,DATOS!$G$2:$G$20000,CONFIG_METADATA!$B$4,DATOS!$I$2:$I$20000,"Armonía"),"")))</f>
        <v/>
      </c>
      <c r="O788" t="str">
        <f>IF(M788="","",IF(M788="[FÓRMULA MANUAL]","",IFERROR(AVERAGEIFS(DATOS!$K$2:$K$20000,DATOS!$A$2:$A$20000,M788,DATOS!$G$2:$G$20000,CONFIG_METADATA!$B$4,DATOS!$I$2:$I$20000,"Orquesta/Banda/Conjunto"),"")))</f>
        <v/>
      </c>
      <c r="P788" t="str">
        <f>IF(M788="","",IF(M788="[FÓRMULA MANUAL]","",IFERROR(AVERAGEIFS(DATOS!$K$2:$K$20000,DATOS!$A$2:$A$20000,M788,DATOS!$G$2:$G$20000,CONFIG_METADATA!$B$4,DATOS!$I$2:$I$20000,"Música de Cámara"),"")))</f>
        <v/>
      </c>
      <c r="Q788" t="str">
        <f>IF(M788="","",IF(M788="[FÓRMULA MANUAL]","",IFERROR(SUMPRODUCT((DATOS!$A$2:$A$20000=M788)*(DATOS!$G$2:$G$20000=CONFIG_METADATA!$B$4)*(COUNTIF(CONFIG_ASIGNATURAS!$B$7:$B$27,DATOS!$I$2:$I$20000)&gt;0)*(DATOS!$K$2:$K$20000))/SUMPRODUCT((DATOS!$A$2:$A$20000=M788)*(DATOS!$G$2:$G$20000=CONFIG_METADATA!$B$4)*(COUNTIF(CONFIG_ASIGNATURAS!$B$7:$B$27,DATOS!$I$2:$I$20000)&gt;0)*1),"")))</f>
        <v/>
      </c>
      <c r="T788" t="str">
        <f>IF(S788="","",IF(S788="[FÓRMULA MANUAL]","",IFERROR(AVERAGEIFS(DATOS!$K$2:$K$20000,DATOS!$A$2:$A$20000,S788,DATOS!$G$2:$G$20000,CONFIG_METADATA!$B$4,DATOS!$I$2:$I$20000,"Armonía"),"")))</f>
        <v/>
      </c>
      <c r="U788" t="str">
        <f>IF(S788="","",IF(S788="[FÓRMULA MANUAL]","",IFERROR(AVERAGEIFS(DATOS!$K$2:$K$20000,DATOS!$A$2:$A$20000,S788,DATOS!$G$2:$G$20000,CONFIG_METADATA!$B$4,DATOS!$I$2:$I$20000,"Orquesta/Banda/Conjunto"),"")))</f>
        <v/>
      </c>
      <c r="V788" t="str">
        <f>IF(S788="","",IF(S788="[FÓRMULA MANUAL]","",IFERROR(AVERAGEIFS(DATOS!$K$2:$K$20000,DATOS!$A$2:$A$20000,S788,DATOS!$G$2:$G$20000,CONFIG_METADATA!$B$4,DATOS!$I$2:$I$20000,"Música de Cámara"),"")))</f>
        <v/>
      </c>
      <c r="W788" t="str">
        <f>IF(S788="","",IF(S788="[FÓRMULA MANUAL]","",IFERROR(SUMPRODUCT((DATOS!$A$2:$A$20000=S788)*(DATOS!$G$2:$G$20000=CONFIG_METADATA!$B$4)*(COUNTIF(CONFIG_ASIGNATURAS!$B$7:$B$27,DATOS!$I$2:$I$20000)&gt;0)*(DATOS!$K$2:$K$20000))/SUMPRODUCT((DATOS!$A$2:$A$20000=S788)*(DATOS!$G$2:$G$20000=CONFIG_METADATA!$B$4)*(COUNTIF(CONFIG_ASIGNATURAS!$B$7:$B$27,DATOS!$I$2:$I$20000)&gt;0)*1),"")))</f>
        <v/>
      </c>
      <c r="Z788" t="str">
        <f>IF(Y788="","",IF(Y788="[FÓRMULA MANUAL]","",IFERROR(AVERAGEIFS(DATOS!$K$2:$K$20000,DATOS!$A$2:$A$20000,Y788,DATOS!$G$2:$G$20000,CONFIG_METADATA!$B$4,DATOS!$I$2:$I$20000,"Análisis"),"")))</f>
        <v/>
      </c>
      <c r="AA788" t="str">
        <f>IF(Y788="","",IF(Y788="[FÓRMULA MANUAL]","",IFERROR(AVERAGEIFS(DATOS!$K$2:$K$20000,DATOS!$A$2:$A$20000,Y788,DATOS!$G$2:$G$20000,CONFIG_METADATA!$B$4,DATOS!$I$2:$I$20000,"Orquesta/Banda/Conjunto"),"")))</f>
        <v/>
      </c>
      <c r="AB788" t="str">
        <f>IF(Y788="","",IF(Y788="[FÓRMULA MANUAL]","",IFERROR(AVERAGEIFS(DATOS!$K$2:$K$20000,DATOS!$A$2:$A$20000,Y788,DATOS!$G$2:$G$20000,CONFIG_METADATA!$B$4,DATOS!$I$2:$I$20000,"Música de Cámara"),"")))</f>
        <v/>
      </c>
      <c r="AC788" t="str">
        <f>IF(Y788="","",IF(Y788="[FÓRMULA MANUAL]","",IFERROR(SUMPRODUCT((DATOS!$A$2:$A$20000=Y788)*(DATOS!$G$2:$G$20000=CONFIG_METADATA!$B$4)*(COUNTIF(CONFIG_ASIGNATURAS!$B$7:$B$27,DATOS!$I$2:$I$20000)&gt;0)*(DATOS!$K$2:$K$20000))/SUMPRODUCT((DATOS!$A$2:$A$20000=Y788)*(DATOS!$G$2:$G$20000=CONFIG_METADATA!$B$4)*(COUNTIF(CONFIG_ASIGNATURAS!$B$7:$B$27,DATOS!$I$2:$I$20000)&gt;0)*1),"")))</f>
        <v/>
      </c>
      <c r="AF788" t="str">
        <f>IF(AE788="","",IF(AE788="[FÓRMULA MANUAL]","",IFERROR(AVERAGEIFS(DATOS!$K$2:$K$20000,DATOS!$A$2:$A$20000,AE788,DATOS!$G$2:$G$20000,CONFIG_METADATA!$B$4,DATOS!$I$2:$I$20000,"Análisis"),"")))</f>
        <v/>
      </c>
      <c r="AG788" t="str">
        <f>IF(AE788="","",IF(AE788="[FÓRMULA MANUAL]","",IFERROR(AVERAGEIFS(DATOS!$K$2:$K$20000,DATOS!$A$2:$A$20000,AE788,DATOS!$G$2:$G$20000,CONFIG_METADATA!$B$4,DATOS!$I$2:$I$20000,"Orquesta/Banda/Conjunto"),"")))</f>
        <v/>
      </c>
      <c r="AH788" t="str">
        <f>IF(AE788="","",IF(AE788="[FÓRMULA MANUAL]","",IFERROR(AVERAGEIFS(DATOS!$K$2:$K$20000,DATOS!$A$2:$A$20000,AE788,DATOS!$G$2:$G$20000,CONFIG_METADATA!$B$4,DATOS!$I$2:$I$20000,"Música de Cámara"),"")))</f>
        <v/>
      </c>
      <c r="AI788" t="str">
        <f>IF(AE788="","",IF(AE788="[FÓRMULA MANUAL]","",IFERROR(SUMPRODUCT((DATOS!$A$2:$A$20000=AE788)*(DATOS!$G$2:$G$20000=CONFIG_METADATA!$B$4)*(COUNTIF(CONFIG_ASIGNATURAS!$B$7:$B$27,DATOS!$I$2:$I$20000)&gt;0)*(DATOS!$K$2:$K$20000))/SUMPRODUCT((DATOS!$A$2:$A$20000=AE788)*(DATOS!$G$2:$G$20000=CONFIG_METADATA!$B$4)*(COUNTIF(CONFIG_ASIGNATURAS!$B$7:$B$27,DATOS!$I$2:$I$20000)&gt;0)*1),"")))</f>
        <v/>
      </c>
    </row>
    <row r="789" spans="2:35" x14ac:dyDescent="0.2">
      <c r="B789" t="str">
        <f>IF(A789="","",IF(A789="[FÓRMULA MANUAL]","",IFERROR(AVERAGEIFS(DATOS!$K$2:$K$20000,DATOS!$A$2:$A$20000,A789,DATOS!$G$2:$G$20000,CONFIG_METADATA!$B$4,DATOS!$I$2:$I$20000,"Lenguaje Musical"),"")))</f>
        <v/>
      </c>
      <c r="C789" t="str">
        <f>IF(A789="","",IF(A789="[FÓRMULA MANUAL]","",IFERROR(AVERAGEIFS(DATOS!$K$2:$K$20000,DATOS!$A$2:$A$20000,A789,DATOS!$G$2:$G$20000,CONFIG_METADATA!$B$4,DATOS!$I$2:$I$20000,"Orquesta/Banda/Conjunto"),"")))</f>
        <v/>
      </c>
      <c r="D789" t="str">
        <f>IF(A789="","",IF(A789="[FÓRMULA MANUAL]","",IFERROR(AVERAGEIFS(DATOS!$K$2:$K$20000,DATOS!$A$2:$A$20000,A789,DATOS!$G$2:$G$20000,CONFIG_METADATA!$B$4,DATOS!$I$2:$I$20000,"Conjunto"),"")))</f>
        <v/>
      </c>
      <c r="E789" t="str">
        <f>IF(A789="","",IF(A789="[FÓRMULA MANUAL]","",IFERROR(SUMPRODUCT((DATOS!$A$2:$A$20000=A789)*(DATOS!$G$2:$G$20000=CONFIG_METADATA!$B$4)*(COUNTIF(CONFIG_ASIGNATURAS!$B$7:$B$27,DATOS!$I$2:$I$20000)&gt;0)*(DATOS!$K$2:$K$20000))/SUMPRODUCT((DATOS!$A$2:$A$20000=A789)*(DATOS!$G$2:$G$20000=CONFIG_METADATA!$B$4)*(COUNTIF(CONFIG_ASIGNATURAS!$B$7:$B$27,DATOS!$I$2:$I$20000)&gt;0)*1),"")))</f>
        <v/>
      </c>
      <c r="H789" t="str">
        <f>IF(G789="","",IF(G789="[FÓRMULA MANUAL]","",IFERROR(AVERAGEIFS(DATOS!$K$2:$K$20000,DATOS!$A$2:$A$20000,G789,DATOS!$G$2:$G$20000,CONFIG_METADATA!$B$4,DATOS!$I$2:$I$20000,"Lenguaje Musical"),"")))</f>
        <v/>
      </c>
      <c r="I789" t="str">
        <f>IF(G789="","",IF(G789="[FÓRMULA MANUAL]","",IFERROR(AVERAGEIFS(DATOS!$K$2:$K$20000,DATOS!$A$2:$A$20000,G789,DATOS!$G$2:$G$20000,CONFIG_METADATA!$B$4,DATOS!$I$2:$I$20000,"Orquesta/Banda/Conjunto"),"")))</f>
        <v/>
      </c>
      <c r="J789" t="str">
        <f>IF(G789="","",IF(G789="[FÓRMULA MANUAL]","",IFERROR(AVERAGEIFS(DATOS!$K$2:$K$20000,DATOS!$A$2:$A$20000,G789,DATOS!$G$2:$G$20000,CONFIG_METADATA!$B$4,DATOS!$I$2:$I$20000,"Conjunto"),"")))</f>
        <v/>
      </c>
      <c r="K789" t="str">
        <f>IF(G789="","",IF(G789="[FÓRMULA MANUAL]","",IFERROR(SUMPRODUCT((DATOS!$A$2:$A$20000=G789)*(DATOS!$G$2:$G$20000=CONFIG_METADATA!$B$4)*(COUNTIF(CONFIG_ASIGNATURAS!$B$7:$B$27,DATOS!$I$2:$I$20000)&gt;0)*(DATOS!$K$2:$K$20000))/SUMPRODUCT((DATOS!$A$2:$A$20000=G789)*(DATOS!$G$2:$G$20000=CONFIG_METADATA!$B$4)*(COUNTIF(CONFIG_ASIGNATURAS!$B$7:$B$27,DATOS!$I$2:$I$20000)&gt;0)*1),"")))</f>
        <v/>
      </c>
      <c r="N789" t="str">
        <f>IF(M789="","",IF(M789="[FÓRMULA MANUAL]","",IFERROR(AVERAGEIFS(DATOS!$K$2:$K$20000,DATOS!$A$2:$A$20000,M789,DATOS!$G$2:$G$20000,CONFIG_METADATA!$B$4,DATOS!$I$2:$I$20000,"Armonía"),"")))</f>
        <v/>
      </c>
      <c r="O789" t="str">
        <f>IF(M789="","",IF(M789="[FÓRMULA MANUAL]","",IFERROR(AVERAGEIFS(DATOS!$K$2:$K$20000,DATOS!$A$2:$A$20000,M789,DATOS!$G$2:$G$20000,CONFIG_METADATA!$B$4,DATOS!$I$2:$I$20000,"Orquesta/Banda/Conjunto"),"")))</f>
        <v/>
      </c>
      <c r="P789" t="str">
        <f>IF(M789="","",IF(M789="[FÓRMULA MANUAL]","",IFERROR(AVERAGEIFS(DATOS!$K$2:$K$20000,DATOS!$A$2:$A$20000,M789,DATOS!$G$2:$G$20000,CONFIG_METADATA!$B$4,DATOS!$I$2:$I$20000,"Música de Cámara"),"")))</f>
        <v/>
      </c>
      <c r="Q789" t="str">
        <f>IF(M789="","",IF(M789="[FÓRMULA MANUAL]","",IFERROR(SUMPRODUCT((DATOS!$A$2:$A$20000=M789)*(DATOS!$G$2:$G$20000=CONFIG_METADATA!$B$4)*(COUNTIF(CONFIG_ASIGNATURAS!$B$7:$B$27,DATOS!$I$2:$I$20000)&gt;0)*(DATOS!$K$2:$K$20000))/SUMPRODUCT((DATOS!$A$2:$A$20000=M789)*(DATOS!$G$2:$G$20000=CONFIG_METADATA!$B$4)*(COUNTIF(CONFIG_ASIGNATURAS!$B$7:$B$27,DATOS!$I$2:$I$20000)&gt;0)*1),"")))</f>
        <v/>
      </c>
      <c r="T789" t="str">
        <f>IF(S789="","",IF(S789="[FÓRMULA MANUAL]","",IFERROR(AVERAGEIFS(DATOS!$K$2:$K$20000,DATOS!$A$2:$A$20000,S789,DATOS!$G$2:$G$20000,CONFIG_METADATA!$B$4,DATOS!$I$2:$I$20000,"Armonía"),"")))</f>
        <v/>
      </c>
      <c r="U789" t="str">
        <f>IF(S789="","",IF(S789="[FÓRMULA MANUAL]","",IFERROR(AVERAGEIFS(DATOS!$K$2:$K$20000,DATOS!$A$2:$A$20000,S789,DATOS!$G$2:$G$20000,CONFIG_METADATA!$B$4,DATOS!$I$2:$I$20000,"Orquesta/Banda/Conjunto"),"")))</f>
        <v/>
      </c>
      <c r="V789" t="str">
        <f>IF(S789="","",IF(S789="[FÓRMULA MANUAL]","",IFERROR(AVERAGEIFS(DATOS!$K$2:$K$20000,DATOS!$A$2:$A$20000,S789,DATOS!$G$2:$G$20000,CONFIG_METADATA!$B$4,DATOS!$I$2:$I$20000,"Música de Cámara"),"")))</f>
        <v/>
      </c>
      <c r="W789" t="str">
        <f>IF(S789="","",IF(S789="[FÓRMULA MANUAL]","",IFERROR(SUMPRODUCT((DATOS!$A$2:$A$20000=S789)*(DATOS!$G$2:$G$20000=CONFIG_METADATA!$B$4)*(COUNTIF(CONFIG_ASIGNATURAS!$B$7:$B$27,DATOS!$I$2:$I$20000)&gt;0)*(DATOS!$K$2:$K$20000))/SUMPRODUCT((DATOS!$A$2:$A$20000=S789)*(DATOS!$G$2:$G$20000=CONFIG_METADATA!$B$4)*(COUNTIF(CONFIG_ASIGNATURAS!$B$7:$B$27,DATOS!$I$2:$I$20000)&gt;0)*1),"")))</f>
        <v/>
      </c>
      <c r="Z789" t="str">
        <f>IF(Y789="","",IF(Y789="[FÓRMULA MANUAL]","",IFERROR(AVERAGEIFS(DATOS!$K$2:$K$20000,DATOS!$A$2:$A$20000,Y789,DATOS!$G$2:$G$20000,CONFIG_METADATA!$B$4,DATOS!$I$2:$I$20000,"Análisis"),"")))</f>
        <v/>
      </c>
      <c r="AA789" t="str">
        <f>IF(Y789="","",IF(Y789="[FÓRMULA MANUAL]","",IFERROR(AVERAGEIFS(DATOS!$K$2:$K$20000,DATOS!$A$2:$A$20000,Y789,DATOS!$G$2:$G$20000,CONFIG_METADATA!$B$4,DATOS!$I$2:$I$20000,"Orquesta/Banda/Conjunto"),"")))</f>
        <v/>
      </c>
      <c r="AB789" t="str">
        <f>IF(Y789="","",IF(Y789="[FÓRMULA MANUAL]","",IFERROR(AVERAGEIFS(DATOS!$K$2:$K$20000,DATOS!$A$2:$A$20000,Y789,DATOS!$G$2:$G$20000,CONFIG_METADATA!$B$4,DATOS!$I$2:$I$20000,"Música de Cámara"),"")))</f>
        <v/>
      </c>
      <c r="AC789" t="str">
        <f>IF(Y789="","",IF(Y789="[FÓRMULA MANUAL]","",IFERROR(SUMPRODUCT((DATOS!$A$2:$A$20000=Y789)*(DATOS!$G$2:$G$20000=CONFIG_METADATA!$B$4)*(COUNTIF(CONFIG_ASIGNATURAS!$B$7:$B$27,DATOS!$I$2:$I$20000)&gt;0)*(DATOS!$K$2:$K$20000))/SUMPRODUCT((DATOS!$A$2:$A$20000=Y789)*(DATOS!$G$2:$G$20000=CONFIG_METADATA!$B$4)*(COUNTIF(CONFIG_ASIGNATURAS!$B$7:$B$27,DATOS!$I$2:$I$20000)&gt;0)*1),"")))</f>
        <v/>
      </c>
      <c r="AF789" t="str">
        <f>IF(AE789="","",IF(AE789="[FÓRMULA MANUAL]","",IFERROR(AVERAGEIFS(DATOS!$K$2:$K$20000,DATOS!$A$2:$A$20000,AE789,DATOS!$G$2:$G$20000,CONFIG_METADATA!$B$4,DATOS!$I$2:$I$20000,"Análisis"),"")))</f>
        <v/>
      </c>
      <c r="AG789" t="str">
        <f>IF(AE789="","",IF(AE789="[FÓRMULA MANUAL]","",IFERROR(AVERAGEIFS(DATOS!$K$2:$K$20000,DATOS!$A$2:$A$20000,AE789,DATOS!$G$2:$G$20000,CONFIG_METADATA!$B$4,DATOS!$I$2:$I$20000,"Orquesta/Banda/Conjunto"),"")))</f>
        <v/>
      </c>
      <c r="AH789" t="str">
        <f>IF(AE789="","",IF(AE789="[FÓRMULA MANUAL]","",IFERROR(AVERAGEIFS(DATOS!$K$2:$K$20000,DATOS!$A$2:$A$20000,AE789,DATOS!$G$2:$G$20000,CONFIG_METADATA!$B$4,DATOS!$I$2:$I$20000,"Música de Cámara"),"")))</f>
        <v/>
      </c>
      <c r="AI789" t="str">
        <f>IF(AE789="","",IF(AE789="[FÓRMULA MANUAL]","",IFERROR(SUMPRODUCT((DATOS!$A$2:$A$20000=AE789)*(DATOS!$G$2:$G$20000=CONFIG_METADATA!$B$4)*(COUNTIF(CONFIG_ASIGNATURAS!$B$7:$B$27,DATOS!$I$2:$I$20000)&gt;0)*(DATOS!$K$2:$K$20000))/SUMPRODUCT((DATOS!$A$2:$A$20000=AE789)*(DATOS!$G$2:$G$20000=CONFIG_METADATA!$B$4)*(COUNTIF(CONFIG_ASIGNATURAS!$B$7:$B$27,DATOS!$I$2:$I$20000)&gt;0)*1),"")))</f>
        <v/>
      </c>
    </row>
    <row r="790" spans="2:35" x14ac:dyDescent="0.2">
      <c r="B790" t="str">
        <f>IF(A790="","",IF(A790="[FÓRMULA MANUAL]","",IFERROR(AVERAGEIFS(DATOS!$K$2:$K$20000,DATOS!$A$2:$A$20000,A790,DATOS!$G$2:$G$20000,CONFIG_METADATA!$B$4,DATOS!$I$2:$I$20000,"Lenguaje Musical"),"")))</f>
        <v/>
      </c>
      <c r="C790" t="str">
        <f>IF(A790="","",IF(A790="[FÓRMULA MANUAL]","",IFERROR(AVERAGEIFS(DATOS!$K$2:$K$20000,DATOS!$A$2:$A$20000,A790,DATOS!$G$2:$G$20000,CONFIG_METADATA!$B$4,DATOS!$I$2:$I$20000,"Orquesta/Banda/Conjunto"),"")))</f>
        <v/>
      </c>
      <c r="D790" t="str">
        <f>IF(A790="","",IF(A790="[FÓRMULA MANUAL]","",IFERROR(AVERAGEIFS(DATOS!$K$2:$K$20000,DATOS!$A$2:$A$20000,A790,DATOS!$G$2:$G$20000,CONFIG_METADATA!$B$4,DATOS!$I$2:$I$20000,"Conjunto"),"")))</f>
        <v/>
      </c>
      <c r="E790" t="str">
        <f>IF(A790="","",IF(A790="[FÓRMULA MANUAL]","",IFERROR(SUMPRODUCT((DATOS!$A$2:$A$20000=A790)*(DATOS!$G$2:$G$20000=CONFIG_METADATA!$B$4)*(COUNTIF(CONFIG_ASIGNATURAS!$B$7:$B$27,DATOS!$I$2:$I$20000)&gt;0)*(DATOS!$K$2:$K$20000))/SUMPRODUCT((DATOS!$A$2:$A$20000=A790)*(DATOS!$G$2:$G$20000=CONFIG_METADATA!$B$4)*(COUNTIF(CONFIG_ASIGNATURAS!$B$7:$B$27,DATOS!$I$2:$I$20000)&gt;0)*1),"")))</f>
        <v/>
      </c>
      <c r="H790" t="str">
        <f>IF(G790="","",IF(G790="[FÓRMULA MANUAL]","",IFERROR(AVERAGEIFS(DATOS!$K$2:$K$20000,DATOS!$A$2:$A$20000,G790,DATOS!$G$2:$G$20000,CONFIG_METADATA!$B$4,DATOS!$I$2:$I$20000,"Lenguaje Musical"),"")))</f>
        <v/>
      </c>
      <c r="I790" t="str">
        <f>IF(G790="","",IF(G790="[FÓRMULA MANUAL]","",IFERROR(AVERAGEIFS(DATOS!$K$2:$K$20000,DATOS!$A$2:$A$20000,G790,DATOS!$G$2:$G$20000,CONFIG_METADATA!$B$4,DATOS!$I$2:$I$20000,"Orquesta/Banda/Conjunto"),"")))</f>
        <v/>
      </c>
      <c r="J790" t="str">
        <f>IF(G790="","",IF(G790="[FÓRMULA MANUAL]","",IFERROR(AVERAGEIFS(DATOS!$K$2:$K$20000,DATOS!$A$2:$A$20000,G790,DATOS!$G$2:$G$20000,CONFIG_METADATA!$B$4,DATOS!$I$2:$I$20000,"Conjunto"),"")))</f>
        <v/>
      </c>
      <c r="K790" t="str">
        <f>IF(G790="","",IF(G790="[FÓRMULA MANUAL]","",IFERROR(SUMPRODUCT((DATOS!$A$2:$A$20000=G790)*(DATOS!$G$2:$G$20000=CONFIG_METADATA!$B$4)*(COUNTIF(CONFIG_ASIGNATURAS!$B$7:$B$27,DATOS!$I$2:$I$20000)&gt;0)*(DATOS!$K$2:$K$20000))/SUMPRODUCT((DATOS!$A$2:$A$20000=G790)*(DATOS!$G$2:$G$20000=CONFIG_METADATA!$B$4)*(COUNTIF(CONFIG_ASIGNATURAS!$B$7:$B$27,DATOS!$I$2:$I$20000)&gt;0)*1),"")))</f>
        <v/>
      </c>
      <c r="N790" t="str">
        <f>IF(M790="","",IF(M790="[FÓRMULA MANUAL]","",IFERROR(AVERAGEIFS(DATOS!$K$2:$K$20000,DATOS!$A$2:$A$20000,M790,DATOS!$G$2:$G$20000,CONFIG_METADATA!$B$4,DATOS!$I$2:$I$20000,"Armonía"),"")))</f>
        <v/>
      </c>
      <c r="O790" t="str">
        <f>IF(M790="","",IF(M790="[FÓRMULA MANUAL]","",IFERROR(AVERAGEIFS(DATOS!$K$2:$K$20000,DATOS!$A$2:$A$20000,M790,DATOS!$G$2:$G$20000,CONFIG_METADATA!$B$4,DATOS!$I$2:$I$20000,"Orquesta/Banda/Conjunto"),"")))</f>
        <v/>
      </c>
      <c r="P790" t="str">
        <f>IF(M790="","",IF(M790="[FÓRMULA MANUAL]","",IFERROR(AVERAGEIFS(DATOS!$K$2:$K$20000,DATOS!$A$2:$A$20000,M790,DATOS!$G$2:$G$20000,CONFIG_METADATA!$B$4,DATOS!$I$2:$I$20000,"Música de Cámara"),"")))</f>
        <v/>
      </c>
      <c r="Q790" t="str">
        <f>IF(M790="","",IF(M790="[FÓRMULA MANUAL]","",IFERROR(SUMPRODUCT((DATOS!$A$2:$A$20000=M790)*(DATOS!$G$2:$G$20000=CONFIG_METADATA!$B$4)*(COUNTIF(CONFIG_ASIGNATURAS!$B$7:$B$27,DATOS!$I$2:$I$20000)&gt;0)*(DATOS!$K$2:$K$20000))/SUMPRODUCT((DATOS!$A$2:$A$20000=M790)*(DATOS!$G$2:$G$20000=CONFIG_METADATA!$B$4)*(COUNTIF(CONFIG_ASIGNATURAS!$B$7:$B$27,DATOS!$I$2:$I$20000)&gt;0)*1),"")))</f>
        <v/>
      </c>
      <c r="T790" t="str">
        <f>IF(S790="","",IF(S790="[FÓRMULA MANUAL]","",IFERROR(AVERAGEIFS(DATOS!$K$2:$K$20000,DATOS!$A$2:$A$20000,S790,DATOS!$G$2:$G$20000,CONFIG_METADATA!$B$4,DATOS!$I$2:$I$20000,"Armonía"),"")))</f>
        <v/>
      </c>
      <c r="U790" t="str">
        <f>IF(S790="","",IF(S790="[FÓRMULA MANUAL]","",IFERROR(AVERAGEIFS(DATOS!$K$2:$K$20000,DATOS!$A$2:$A$20000,S790,DATOS!$G$2:$G$20000,CONFIG_METADATA!$B$4,DATOS!$I$2:$I$20000,"Orquesta/Banda/Conjunto"),"")))</f>
        <v/>
      </c>
      <c r="V790" t="str">
        <f>IF(S790="","",IF(S790="[FÓRMULA MANUAL]","",IFERROR(AVERAGEIFS(DATOS!$K$2:$K$20000,DATOS!$A$2:$A$20000,S790,DATOS!$G$2:$G$20000,CONFIG_METADATA!$B$4,DATOS!$I$2:$I$20000,"Música de Cámara"),"")))</f>
        <v/>
      </c>
      <c r="W790" t="str">
        <f>IF(S790="","",IF(S790="[FÓRMULA MANUAL]","",IFERROR(SUMPRODUCT((DATOS!$A$2:$A$20000=S790)*(DATOS!$G$2:$G$20000=CONFIG_METADATA!$B$4)*(COUNTIF(CONFIG_ASIGNATURAS!$B$7:$B$27,DATOS!$I$2:$I$20000)&gt;0)*(DATOS!$K$2:$K$20000))/SUMPRODUCT((DATOS!$A$2:$A$20000=S790)*(DATOS!$G$2:$G$20000=CONFIG_METADATA!$B$4)*(COUNTIF(CONFIG_ASIGNATURAS!$B$7:$B$27,DATOS!$I$2:$I$20000)&gt;0)*1),"")))</f>
        <v/>
      </c>
      <c r="Z790" t="str">
        <f>IF(Y790="","",IF(Y790="[FÓRMULA MANUAL]","",IFERROR(AVERAGEIFS(DATOS!$K$2:$K$20000,DATOS!$A$2:$A$20000,Y790,DATOS!$G$2:$G$20000,CONFIG_METADATA!$B$4,DATOS!$I$2:$I$20000,"Análisis"),"")))</f>
        <v/>
      </c>
      <c r="AA790" t="str">
        <f>IF(Y790="","",IF(Y790="[FÓRMULA MANUAL]","",IFERROR(AVERAGEIFS(DATOS!$K$2:$K$20000,DATOS!$A$2:$A$20000,Y790,DATOS!$G$2:$G$20000,CONFIG_METADATA!$B$4,DATOS!$I$2:$I$20000,"Orquesta/Banda/Conjunto"),"")))</f>
        <v/>
      </c>
      <c r="AB790" t="str">
        <f>IF(Y790="","",IF(Y790="[FÓRMULA MANUAL]","",IFERROR(AVERAGEIFS(DATOS!$K$2:$K$20000,DATOS!$A$2:$A$20000,Y790,DATOS!$G$2:$G$20000,CONFIG_METADATA!$B$4,DATOS!$I$2:$I$20000,"Música de Cámara"),"")))</f>
        <v/>
      </c>
      <c r="AC790" t="str">
        <f>IF(Y790="","",IF(Y790="[FÓRMULA MANUAL]","",IFERROR(SUMPRODUCT((DATOS!$A$2:$A$20000=Y790)*(DATOS!$G$2:$G$20000=CONFIG_METADATA!$B$4)*(COUNTIF(CONFIG_ASIGNATURAS!$B$7:$B$27,DATOS!$I$2:$I$20000)&gt;0)*(DATOS!$K$2:$K$20000))/SUMPRODUCT((DATOS!$A$2:$A$20000=Y790)*(DATOS!$G$2:$G$20000=CONFIG_METADATA!$B$4)*(COUNTIF(CONFIG_ASIGNATURAS!$B$7:$B$27,DATOS!$I$2:$I$20000)&gt;0)*1),"")))</f>
        <v/>
      </c>
      <c r="AF790" t="str">
        <f>IF(AE790="","",IF(AE790="[FÓRMULA MANUAL]","",IFERROR(AVERAGEIFS(DATOS!$K$2:$K$20000,DATOS!$A$2:$A$20000,AE790,DATOS!$G$2:$G$20000,CONFIG_METADATA!$B$4,DATOS!$I$2:$I$20000,"Análisis"),"")))</f>
        <v/>
      </c>
      <c r="AG790" t="str">
        <f>IF(AE790="","",IF(AE790="[FÓRMULA MANUAL]","",IFERROR(AVERAGEIFS(DATOS!$K$2:$K$20000,DATOS!$A$2:$A$20000,AE790,DATOS!$G$2:$G$20000,CONFIG_METADATA!$B$4,DATOS!$I$2:$I$20000,"Orquesta/Banda/Conjunto"),"")))</f>
        <v/>
      </c>
      <c r="AH790" t="str">
        <f>IF(AE790="","",IF(AE790="[FÓRMULA MANUAL]","",IFERROR(AVERAGEIFS(DATOS!$K$2:$K$20000,DATOS!$A$2:$A$20000,AE790,DATOS!$G$2:$G$20000,CONFIG_METADATA!$B$4,DATOS!$I$2:$I$20000,"Música de Cámara"),"")))</f>
        <v/>
      </c>
      <c r="AI790" t="str">
        <f>IF(AE790="","",IF(AE790="[FÓRMULA MANUAL]","",IFERROR(SUMPRODUCT((DATOS!$A$2:$A$20000=AE790)*(DATOS!$G$2:$G$20000=CONFIG_METADATA!$B$4)*(COUNTIF(CONFIG_ASIGNATURAS!$B$7:$B$27,DATOS!$I$2:$I$20000)&gt;0)*(DATOS!$K$2:$K$20000))/SUMPRODUCT((DATOS!$A$2:$A$20000=AE790)*(DATOS!$G$2:$G$20000=CONFIG_METADATA!$B$4)*(COUNTIF(CONFIG_ASIGNATURAS!$B$7:$B$27,DATOS!$I$2:$I$20000)&gt;0)*1),"")))</f>
        <v/>
      </c>
    </row>
    <row r="791" spans="2:35" x14ac:dyDescent="0.2">
      <c r="B791" t="str">
        <f>IF(A791="","",IF(A791="[FÓRMULA MANUAL]","",IFERROR(AVERAGEIFS(DATOS!$K$2:$K$20000,DATOS!$A$2:$A$20000,A791,DATOS!$G$2:$G$20000,CONFIG_METADATA!$B$4,DATOS!$I$2:$I$20000,"Lenguaje Musical"),"")))</f>
        <v/>
      </c>
      <c r="C791" t="str">
        <f>IF(A791="","",IF(A791="[FÓRMULA MANUAL]","",IFERROR(AVERAGEIFS(DATOS!$K$2:$K$20000,DATOS!$A$2:$A$20000,A791,DATOS!$G$2:$G$20000,CONFIG_METADATA!$B$4,DATOS!$I$2:$I$20000,"Orquesta/Banda/Conjunto"),"")))</f>
        <v/>
      </c>
      <c r="D791" t="str">
        <f>IF(A791="","",IF(A791="[FÓRMULA MANUAL]","",IFERROR(AVERAGEIFS(DATOS!$K$2:$K$20000,DATOS!$A$2:$A$20000,A791,DATOS!$G$2:$G$20000,CONFIG_METADATA!$B$4,DATOS!$I$2:$I$20000,"Conjunto"),"")))</f>
        <v/>
      </c>
      <c r="E791" t="str">
        <f>IF(A791="","",IF(A791="[FÓRMULA MANUAL]","",IFERROR(SUMPRODUCT((DATOS!$A$2:$A$20000=A791)*(DATOS!$G$2:$G$20000=CONFIG_METADATA!$B$4)*(COUNTIF(CONFIG_ASIGNATURAS!$B$7:$B$27,DATOS!$I$2:$I$20000)&gt;0)*(DATOS!$K$2:$K$20000))/SUMPRODUCT((DATOS!$A$2:$A$20000=A791)*(DATOS!$G$2:$G$20000=CONFIG_METADATA!$B$4)*(COUNTIF(CONFIG_ASIGNATURAS!$B$7:$B$27,DATOS!$I$2:$I$20000)&gt;0)*1),"")))</f>
        <v/>
      </c>
      <c r="H791" t="str">
        <f>IF(G791="","",IF(G791="[FÓRMULA MANUAL]","",IFERROR(AVERAGEIFS(DATOS!$K$2:$K$20000,DATOS!$A$2:$A$20000,G791,DATOS!$G$2:$G$20000,CONFIG_METADATA!$B$4,DATOS!$I$2:$I$20000,"Lenguaje Musical"),"")))</f>
        <v/>
      </c>
      <c r="I791" t="str">
        <f>IF(G791="","",IF(G791="[FÓRMULA MANUAL]","",IFERROR(AVERAGEIFS(DATOS!$K$2:$K$20000,DATOS!$A$2:$A$20000,G791,DATOS!$G$2:$G$20000,CONFIG_METADATA!$B$4,DATOS!$I$2:$I$20000,"Orquesta/Banda/Conjunto"),"")))</f>
        <v/>
      </c>
      <c r="J791" t="str">
        <f>IF(G791="","",IF(G791="[FÓRMULA MANUAL]","",IFERROR(AVERAGEIFS(DATOS!$K$2:$K$20000,DATOS!$A$2:$A$20000,G791,DATOS!$G$2:$G$20000,CONFIG_METADATA!$B$4,DATOS!$I$2:$I$20000,"Conjunto"),"")))</f>
        <v/>
      </c>
      <c r="K791" t="str">
        <f>IF(G791="","",IF(G791="[FÓRMULA MANUAL]","",IFERROR(SUMPRODUCT((DATOS!$A$2:$A$20000=G791)*(DATOS!$G$2:$G$20000=CONFIG_METADATA!$B$4)*(COUNTIF(CONFIG_ASIGNATURAS!$B$7:$B$27,DATOS!$I$2:$I$20000)&gt;0)*(DATOS!$K$2:$K$20000))/SUMPRODUCT((DATOS!$A$2:$A$20000=G791)*(DATOS!$G$2:$G$20000=CONFIG_METADATA!$B$4)*(COUNTIF(CONFIG_ASIGNATURAS!$B$7:$B$27,DATOS!$I$2:$I$20000)&gt;0)*1),"")))</f>
        <v/>
      </c>
      <c r="N791" t="str">
        <f>IF(M791="","",IF(M791="[FÓRMULA MANUAL]","",IFERROR(AVERAGEIFS(DATOS!$K$2:$K$20000,DATOS!$A$2:$A$20000,M791,DATOS!$G$2:$G$20000,CONFIG_METADATA!$B$4,DATOS!$I$2:$I$20000,"Armonía"),"")))</f>
        <v/>
      </c>
      <c r="O791" t="str">
        <f>IF(M791="","",IF(M791="[FÓRMULA MANUAL]","",IFERROR(AVERAGEIFS(DATOS!$K$2:$K$20000,DATOS!$A$2:$A$20000,M791,DATOS!$G$2:$G$20000,CONFIG_METADATA!$B$4,DATOS!$I$2:$I$20000,"Orquesta/Banda/Conjunto"),"")))</f>
        <v/>
      </c>
      <c r="P791" t="str">
        <f>IF(M791="","",IF(M791="[FÓRMULA MANUAL]","",IFERROR(AVERAGEIFS(DATOS!$K$2:$K$20000,DATOS!$A$2:$A$20000,M791,DATOS!$G$2:$G$20000,CONFIG_METADATA!$B$4,DATOS!$I$2:$I$20000,"Música de Cámara"),"")))</f>
        <v/>
      </c>
      <c r="Q791" t="str">
        <f>IF(M791="","",IF(M791="[FÓRMULA MANUAL]","",IFERROR(SUMPRODUCT((DATOS!$A$2:$A$20000=M791)*(DATOS!$G$2:$G$20000=CONFIG_METADATA!$B$4)*(COUNTIF(CONFIG_ASIGNATURAS!$B$7:$B$27,DATOS!$I$2:$I$20000)&gt;0)*(DATOS!$K$2:$K$20000))/SUMPRODUCT((DATOS!$A$2:$A$20000=M791)*(DATOS!$G$2:$G$20000=CONFIG_METADATA!$B$4)*(COUNTIF(CONFIG_ASIGNATURAS!$B$7:$B$27,DATOS!$I$2:$I$20000)&gt;0)*1),"")))</f>
        <v/>
      </c>
      <c r="T791" t="str">
        <f>IF(S791="","",IF(S791="[FÓRMULA MANUAL]","",IFERROR(AVERAGEIFS(DATOS!$K$2:$K$20000,DATOS!$A$2:$A$20000,S791,DATOS!$G$2:$G$20000,CONFIG_METADATA!$B$4,DATOS!$I$2:$I$20000,"Armonía"),"")))</f>
        <v/>
      </c>
      <c r="U791" t="str">
        <f>IF(S791="","",IF(S791="[FÓRMULA MANUAL]","",IFERROR(AVERAGEIFS(DATOS!$K$2:$K$20000,DATOS!$A$2:$A$20000,S791,DATOS!$G$2:$G$20000,CONFIG_METADATA!$B$4,DATOS!$I$2:$I$20000,"Orquesta/Banda/Conjunto"),"")))</f>
        <v/>
      </c>
      <c r="V791" t="str">
        <f>IF(S791="","",IF(S791="[FÓRMULA MANUAL]","",IFERROR(AVERAGEIFS(DATOS!$K$2:$K$20000,DATOS!$A$2:$A$20000,S791,DATOS!$G$2:$G$20000,CONFIG_METADATA!$B$4,DATOS!$I$2:$I$20000,"Música de Cámara"),"")))</f>
        <v/>
      </c>
      <c r="W791" t="str">
        <f>IF(S791="","",IF(S791="[FÓRMULA MANUAL]","",IFERROR(SUMPRODUCT((DATOS!$A$2:$A$20000=S791)*(DATOS!$G$2:$G$20000=CONFIG_METADATA!$B$4)*(COUNTIF(CONFIG_ASIGNATURAS!$B$7:$B$27,DATOS!$I$2:$I$20000)&gt;0)*(DATOS!$K$2:$K$20000))/SUMPRODUCT((DATOS!$A$2:$A$20000=S791)*(DATOS!$G$2:$G$20000=CONFIG_METADATA!$B$4)*(COUNTIF(CONFIG_ASIGNATURAS!$B$7:$B$27,DATOS!$I$2:$I$20000)&gt;0)*1),"")))</f>
        <v/>
      </c>
      <c r="Z791" t="str">
        <f>IF(Y791="","",IF(Y791="[FÓRMULA MANUAL]","",IFERROR(AVERAGEIFS(DATOS!$K$2:$K$20000,DATOS!$A$2:$A$20000,Y791,DATOS!$G$2:$G$20000,CONFIG_METADATA!$B$4,DATOS!$I$2:$I$20000,"Análisis"),"")))</f>
        <v/>
      </c>
      <c r="AA791" t="str">
        <f>IF(Y791="","",IF(Y791="[FÓRMULA MANUAL]","",IFERROR(AVERAGEIFS(DATOS!$K$2:$K$20000,DATOS!$A$2:$A$20000,Y791,DATOS!$G$2:$G$20000,CONFIG_METADATA!$B$4,DATOS!$I$2:$I$20000,"Orquesta/Banda/Conjunto"),"")))</f>
        <v/>
      </c>
      <c r="AB791" t="str">
        <f>IF(Y791="","",IF(Y791="[FÓRMULA MANUAL]","",IFERROR(AVERAGEIFS(DATOS!$K$2:$K$20000,DATOS!$A$2:$A$20000,Y791,DATOS!$G$2:$G$20000,CONFIG_METADATA!$B$4,DATOS!$I$2:$I$20000,"Música de Cámara"),"")))</f>
        <v/>
      </c>
      <c r="AC791" t="str">
        <f>IF(Y791="","",IF(Y791="[FÓRMULA MANUAL]","",IFERROR(SUMPRODUCT((DATOS!$A$2:$A$20000=Y791)*(DATOS!$G$2:$G$20000=CONFIG_METADATA!$B$4)*(COUNTIF(CONFIG_ASIGNATURAS!$B$7:$B$27,DATOS!$I$2:$I$20000)&gt;0)*(DATOS!$K$2:$K$20000))/SUMPRODUCT((DATOS!$A$2:$A$20000=Y791)*(DATOS!$G$2:$G$20000=CONFIG_METADATA!$B$4)*(COUNTIF(CONFIG_ASIGNATURAS!$B$7:$B$27,DATOS!$I$2:$I$20000)&gt;0)*1),"")))</f>
        <v/>
      </c>
      <c r="AF791" t="str">
        <f>IF(AE791="","",IF(AE791="[FÓRMULA MANUAL]","",IFERROR(AVERAGEIFS(DATOS!$K$2:$K$20000,DATOS!$A$2:$A$20000,AE791,DATOS!$G$2:$G$20000,CONFIG_METADATA!$B$4,DATOS!$I$2:$I$20000,"Análisis"),"")))</f>
        <v/>
      </c>
      <c r="AG791" t="str">
        <f>IF(AE791="","",IF(AE791="[FÓRMULA MANUAL]","",IFERROR(AVERAGEIFS(DATOS!$K$2:$K$20000,DATOS!$A$2:$A$20000,AE791,DATOS!$G$2:$G$20000,CONFIG_METADATA!$B$4,DATOS!$I$2:$I$20000,"Orquesta/Banda/Conjunto"),"")))</f>
        <v/>
      </c>
      <c r="AH791" t="str">
        <f>IF(AE791="","",IF(AE791="[FÓRMULA MANUAL]","",IFERROR(AVERAGEIFS(DATOS!$K$2:$K$20000,DATOS!$A$2:$A$20000,AE791,DATOS!$G$2:$G$20000,CONFIG_METADATA!$B$4,DATOS!$I$2:$I$20000,"Música de Cámara"),"")))</f>
        <v/>
      </c>
      <c r="AI791" t="str">
        <f>IF(AE791="","",IF(AE791="[FÓRMULA MANUAL]","",IFERROR(SUMPRODUCT((DATOS!$A$2:$A$20000=AE791)*(DATOS!$G$2:$G$20000=CONFIG_METADATA!$B$4)*(COUNTIF(CONFIG_ASIGNATURAS!$B$7:$B$27,DATOS!$I$2:$I$20000)&gt;0)*(DATOS!$K$2:$K$20000))/SUMPRODUCT((DATOS!$A$2:$A$20000=AE791)*(DATOS!$G$2:$G$20000=CONFIG_METADATA!$B$4)*(COUNTIF(CONFIG_ASIGNATURAS!$B$7:$B$27,DATOS!$I$2:$I$20000)&gt;0)*1),"")))</f>
        <v/>
      </c>
    </row>
    <row r="792" spans="2:35" x14ac:dyDescent="0.2">
      <c r="B792" t="str">
        <f>IF(A792="","",IF(A792="[FÓRMULA MANUAL]","",IFERROR(AVERAGEIFS(DATOS!$K$2:$K$20000,DATOS!$A$2:$A$20000,A792,DATOS!$G$2:$G$20000,CONFIG_METADATA!$B$4,DATOS!$I$2:$I$20000,"Lenguaje Musical"),"")))</f>
        <v/>
      </c>
      <c r="C792" t="str">
        <f>IF(A792="","",IF(A792="[FÓRMULA MANUAL]","",IFERROR(AVERAGEIFS(DATOS!$K$2:$K$20000,DATOS!$A$2:$A$20000,A792,DATOS!$G$2:$G$20000,CONFIG_METADATA!$B$4,DATOS!$I$2:$I$20000,"Orquesta/Banda/Conjunto"),"")))</f>
        <v/>
      </c>
      <c r="D792" t="str">
        <f>IF(A792="","",IF(A792="[FÓRMULA MANUAL]","",IFERROR(AVERAGEIFS(DATOS!$K$2:$K$20000,DATOS!$A$2:$A$20000,A792,DATOS!$G$2:$G$20000,CONFIG_METADATA!$B$4,DATOS!$I$2:$I$20000,"Conjunto"),"")))</f>
        <v/>
      </c>
      <c r="E792" t="str">
        <f>IF(A792="","",IF(A792="[FÓRMULA MANUAL]","",IFERROR(SUMPRODUCT((DATOS!$A$2:$A$20000=A792)*(DATOS!$G$2:$G$20000=CONFIG_METADATA!$B$4)*(COUNTIF(CONFIG_ASIGNATURAS!$B$7:$B$27,DATOS!$I$2:$I$20000)&gt;0)*(DATOS!$K$2:$K$20000))/SUMPRODUCT((DATOS!$A$2:$A$20000=A792)*(DATOS!$G$2:$G$20000=CONFIG_METADATA!$B$4)*(COUNTIF(CONFIG_ASIGNATURAS!$B$7:$B$27,DATOS!$I$2:$I$20000)&gt;0)*1),"")))</f>
        <v/>
      </c>
      <c r="H792" t="str">
        <f>IF(G792="","",IF(G792="[FÓRMULA MANUAL]","",IFERROR(AVERAGEIFS(DATOS!$K$2:$K$20000,DATOS!$A$2:$A$20000,G792,DATOS!$G$2:$G$20000,CONFIG_METADATA!$B$4,DATOS!$I$2:$I$20000,"Lenguaje Musical"),"")))</f>
        <v/>
      </c>
      <c r="I792" t="str">
        <f>IF(G792="","",IF(G792="[FÓRMULA MANUAL]","",IFERROR(AVERAGEIFS(DATOS!$K$2:$K$20000,DATOS!$A$2:$A$20000,G792,DATOS!$G$2:$G$20000,CONFIG_METADATA!$B$4,DATOS!$I$2:$I$20000,"Orquesta/Banda/Conjunto"),"")))</f>
        <v/>
      </c>
      <c r="J792" t="str">
        <f>IF(G792="","",IF(G792="[FÓRMULA MANUAL]","",IFERROR(AVERAGEIFS(DATOS!$K$2:$K$20000,DATOS!$A$2:$A$20000,G792,DATOS!$G$2:$G$20000,CONFIG_METADATA!$B$4,DATOS!$I$2:$I$20000,"Conjunto"),"")))</f>
        <v/>
      </c>
      <c r="K792" t="str">
        <f>IF(G792="","",IF(G792="[FÓRMULA MANUAL]","",IFERROR(SUMPRODUCT((DATOS!$A$2:$A$20000=G792)*(DATOS!$G$2:$G$20000=CONFIG_METADATA!$B$4)*(COUNTIF(CONFIG_ASIGNATURAS!$B$7:$B$27,DATOS!$I$2:$I$20000)&gt;0)*(DATOS!$K$2:$K$20000))/SUMPRODUCT((DATOS!$A$2:$A$20000=G792)*(DATOS!$G$2:$G$20000=CONFIG_METADATA!$B$4)*(COUNTIF(CONFIG_ASIGNATURAS!$B$7:$B$27,DATOS!$I$2:$I$20000)&gt;0)*1),"")))</f>
        <v/>
      </c>
      <c r="N792" t="str">
        <f>IF(M792="","",IF(M792="[FÓRMULA MANUAL]","",IFERROR(AVERAGEIFS(DATOS!$K$2:$K$20000,DATOS!$A$2:$A$20000,M792,DATOS!$G$2:$G$20000,CONFIG_METADATA!$B$4,DATOS!$I$2:$I$20000,"Armonía"),"")))</f>
        <v/>
      </c>
      <c r="O792" t="str">
        <f>IF(M792="","",IF(M792="[FÓRMULA MANUAL]","",IFERROR(AVERAGEIFS(DATOS!$K$2:$K$20000,DATOS!$A$2:$A$20000,M792,DATOS!$G$2:$G$20000,CONFIG_METADATA!$B$4,DATOS!$I$2:$I$20000,"Orquesta/Banda/Conjunto"),"")))</f>
        <v/>
      </c>
      <c r="P792" t="str">
        <f>IF(M792="","",IF(M792="[FÓRMULA MANUAL]","",IFERROR(AVERAGEIFS(DATOS!$K$2:$K$20000,DATOS!$A$2:$A$20000,M792,DATOS!$G$2:$G$20000,CONFIG_METADATA!$B$4,DATOS!$I$2:$I$20000,"Música de Cámara"),"")))</f>
        <v/>
      </c>
      <c r="Q792" t="str">
        <f>IF(M792="","",IF(M792="[FÓRMULA MANUAL]","",IFERROR(SUMPRODUCT((DATOS!$A$2:$A$20000=M792)*(DATOS!$G$2:$G$20000=CONFIG_METADATA!$B$4)*(COUNTIF(CONFIG_ASIGNATURAS!$B$7:$B$27,DATOS!$I$2:$I$20000)&gt;0)*(DATOS!$K$2:$K$20000))/SUMPRODUCT((DATOS!$A$2:$A$20000=M792)*(DATOS!$G$2:$G$20000=CONFIG_METADATA!$B$4)*(COUNTIF(CONFIG_ASIGNATURAS!$B$7:$B$27,DATOS!$I$2:$I$20000)&gt;0)*1),"")))</f>
        <v/>
      </c>
      <c r="T792" t="str">
        <f>IF(S792="","",IF(S792="[FÓRMULA MANUAL]","",IFERROR(AVERAGEIFS(DATOS!$K$2:$K$20000,DATOS!$A$2:$A$20000,S792,DATOS!$G$2:$G$20000,CONFIG_METADATA!$B$4,DATOS!$I$2:$I$20000,"Armonía"),"")))</f>
        <v/>
      </c>
      <c r="U792" t="str">
        <f>IF(S792="","",IF(S792="[FÓRMULA MANUAL]","",IFERROR(AVERAGEIFS(DATOS!$K$2:$K$20000,DATOS!$A$2:$A$20000,S792,DATOS!$G$2:$G$20000,CONFIG_METADATA!$B$4,DATOS!$I$2:$I$20000,"Orquesta/Banda/Conjunto"),"")))</f>
        <v/>
      </c>
      <c r="V792" t="str">
        <f>IF(S792="","",IF(S792="[FÓRMULA MANUAL]","",IFERROR(AVERAGEIFS(DATOS!$K$2:$K$20000,DATOS!$A$2:$A$20000,S792,DATOS!$G$2:$G$20000,CONFIG_METADATA!$B$4,DATOS!$I$2:$I$20000,"Música de Cámara"),"")))</f>
        <v/>
      </c>
      <c r="W792" t="str">
        <f>IF(S792="","",IF(S792="[FÓRMULA MANUAL]","",IFERROR(SUMPRODUCT((DATOS!$A$2:$A$20000=S792)*(DATOS!$G$2:$G$20000=CONFIG_METADATA!$B$4)*(COUNTIF(CONFIG_ASIGNATURAS!$B$7:$B$27,DATOS!$I$2:$I$20000)&gt;0)*(DATOS!$K$2:$K$20000))/SUMPRODUCT((DATOS!$A$2:$A$20000=S792)*(DATOS!$G$2:$G$20000=CONFIG_METADATA!$B$4)*(COUNTIF(CONFIG_ASIGNATURAS!$B$7:$B$27,DATOS!$I$2:$I$20000)&gt;0)*1),"")))</f>
        <v/>
      </c>
      <c r="Z792" t="str">
        <f>IF(Y792="","",IF(Y792="[FÓRMULA MANUAL]","",IFERROR(AVERAGEIFS(DATOS!$K$2:$K$20000,DATOS!$A$2:$A$20000,Y792,DATOS!$G$2:$G$20000,CONFIG_METADATA!$B$4,DATOS!$I$2:$I$20000,"Análisis"),"")))</f>
        <v/>
      </c>
      <c r="AA792" t="str">
        <f>IF(Y792="","",IF(Y792="[FÓRMULA MANUAL]","",IFERROR(AVERAGEIFS(DATOS!$K$2:$K$20000,DATOS!$A$2:$A$20000,Y792,DATOS!$G$2:$G$20000,CONFIG_METADATA!$B$4,DATOS!$I$2:$I$20000,"Orquesta/Banda/Conjunto"),"")))</f>
        <v/>
      </c>
      <c r="AB792" t="str">
        <f>IF(Y792="","",IF(Y792="[FÓRMULA MANUAL]","",IFERROR(AVERAGEIFS(DATOS!$K$2:$K$20000,DATOS!$A$2:$A$20000,Y792,DATOS!$G$2:$G$20000,CONFIG_METADATA!$B$4,DATOS!$I$2:$I$20000,"Música de Cámara"),"")))</f>
        <v/>
      </c>
      <c r="AC792" t="str">
        <f>IF(Y792="","",IF(Y792="[FÓRMULA MANUAL]","",IFERROR(SUMPRODUCT((DATOS!$A$2:$A$20000=Y792)*(DATOS!$G$2:$G$20000=CONFIG_METADATA!$B$4)*(COUNTIF(CONFIG_ASIGNATURAS!$B$7:$B$27,DATOS!$I$2:$I$20000)&gt;0)*(DATOS!$K$2:$K$20000))/SUMPRODUCT((DATOS!$A$2:$A$20000=Y792)*(DATOS!$G$2:$G$20000=CONFIG_METADATA!$B$4)*(COUNTIF(CONFIG_ASIGNATURAS!$B$7:$B$27,DATOS!$I$2:$I$20000)&gt;0)*1),"")))</f>
        <v/>
      </c>
      <c r="AF792" t="str">
        <f>IF(AE792="","",IF(AE792="[FÓRMULA MANUAL]","",IFERROR(AVERAGEIFS(DATOS!$K$2:$K$20000,DATOS!$A$2:$A$20000,AE792,DATOS!$G$2:$G$20000,CONFIG_METADATA!$B$4,DATOS!$I$2:$I$20000,"Análisis"),"")))</f>
        <v/>
      </c>
      <c r="AG792" t="str">
        <f>IF(AE792="","",IF(AE792="[FÓRMULA MANUAL]","",IFERROR(AVERAGEIFS(DATOS!$K$2:$K$20000,DATOS!$A$2:$A$20000,AE792,DATOS!$G$2:$G$20000,CONFIG_METADATA!$B$4,DATOS!$I$2:$I$20000,"Orquesta/Banda/Conjunto"),"")))</f>
        <v/>
      </c>
      <c r="AH792" t="str">
        <f>IF(AE792="","",IF(AE792="[FÓRMULA MANUAL]","",IFERROR(AVERAGEIFS(DATOS!$K$2:$K$20000,DATOS!$A$2:$A$20000,AE792,DATOS!$G$2:$G$20000,CONFIG_METADATA!$B$4,DATOS!$I$2:$I$20000,"Música de Cámara"),"")))</f>
        <v/>
      </c>
      <c r="AI792" t="str">
        <f>IF(AE792="","",IF(AE792="[FÓRMULA MANUAL]","",IFERROR(SUMPRODUCT((DATOS!$A$2:$A$20000=AE792)*(DATOS!$G$2:$G$20000=CONFIG_METADATA!$B$4)*(COUNTIF(CONFIG_ASIGNATURAS!$B$7:$B$27,DATOS!$I$2:$I$20000)&gt;0)*(DATOS!$K$2:$K$20000))/SUMPRODUCT((DATOS!$A$2:$A$20000=AE792)*(DATOS!$G$2:$G$20000=CONFIG_METADATA!$B$4)*(COUNTIF(CONFIG_ASIGNATURAS!$B$7:$B$27,DATOS!$I$2:$I$20000)&gt;0)*1),"")))</f>
        <v/>
      </c>
    </row>
    <row r="793" spans="2:35" x14ac:dyDescent="0.2">
      <c r="B793" t="str">
        <f>IF(A793="","",IF(A793="[FÓRMULA MANUAL]","",IFERROR(AVERAGEIFS(DATOS!$K$2:$K$20000,DATOS!$A$2:$A$20000,A793,DATOS!$G$2:$G$20000,CONFIG_METADATA!$B$4,DATOS!$I$2:$I$20000,"Lenguaje Musical"),"")))</f>
        <v/>
      </c>
      <c r="C793" t="str">
        <f>IF(A793="","",IF(A793="[FÓRMULA MANUAL]","",IFERROR(AVERAGEIFS(DATOS!$K$2:$K$20000,DATOS!$A$2:$A$20000,A793,DATOS!$G$2:$G$20000,CONFIG_METADATA!$B$4,DATOS!$I$2:$I$20000,"Orquesta/Banda/Conjunto"),"")))</f>
        <v/>
      </c>
      <c r="D793" t="str">
        <f>IF(A793="","",IF(A793="[FÓRMULA MANUAL]","",IFERROR(AVERAGEIFS(DATOS!$K$2:$K$20000,DATOS!$A$2:$A$20000,A793,DATOS!$G$2:$G$20000,CONFIG_METADATA!$B$4,DATOS!$I$2:$I$20000,"Conjunto"),"")))</f>
        <v/>
      </c>
      <c r="E793" t="str">
        <f>IF(A793="","",IF(A793="[FÓRMULA MANUAL]","",IFERROR(SUMPRODUCT((DATOS!$A$2:$A$20000=A793)*(DATOS!$G$2:$G$20000=CONFIG_METADATA!$B$4)*(COUNTIF(CONFIG_ASIGNATURAS!$B$7:$B$27,DATOS!$I$2:$I$20000)&gt;0)*(DATOS!$K$2:$K$20000))/SUMPRODUCT((DATOS!$A$2:$A$20000=A793)*(DATOS!$G$2:$G$20000=CONFIG_METADATA!$B$4)*(COUNTIF(CONFIG_ASIGNATURAS!$B$7:$B$27,DATOS!$I$2:$I$20000)&gt;0)*1),"")))</f>
        <v/>
      </c>
      <c r="H793" t="str">
        <f>IF(G793="","",IF(G793="[FÓRMULA MANUAL]","",IFERROR(AVERAGEIFS(DATOS!$K$2:$K$20000,DATOS!$A$2:$A$20000,G793,DATOS!$G$2:$G$20000,CONFIG_METADATA!$B$4,DATOS!$I$2:$I$20000,"Lenguaje Musical"),"")))</f>
        <v/>
      </c>
      <c r="I793" t="str">
        <f>IF(G793="","",IF(G793="[FÓRMULA MANUAL]","",IFERROR(AVERAGEIFS(DATOS!$K$2:$K$20000,DATOS!$A$2:$A$20000,G793,DATOS!$G$2:$G$20000,CONFIG_METADATA!$B$4,DATOS!$I$2:$I$20000,"Orquesta/Banda/Conjunto"),"")))</f>
        <v/>
      </c>
      <c r="J793" t="str">
        <f>IF(G793="","",IF(G793="[FÓRMULA MANUAL]","",IFERROR(AVERAGEIFS(DATOS!$K$2:$K$20000,DATOS!$A$2:$A$20000,G793,DATOS!$G$2:$G$20000,CONFIG_METADATA!$B$4,DATOS!$I$2:$I$20000,"Conjunto"),"")))</f>
        <v/>
      </c>
      <c r="K793" t="str">
        <f>IF(G793="","",IF(G793="[FÓRMULA MANUAL]","",IFERROR(SUMPRODUCT((DATOS!$A$2:$A$20000=G793)*(DATOS!$G$2:$G$20000=CONFIG_METADATA!$B$4)*(COUNTIF(CONFIG_ASIGNATURAS!$B$7:$B$27,DATOS!$I$2:$I$20000)&gt;0)*(DATOS!$K$2:$K$20000))/SUMPRODUCT((DATOS!$A$2:$A$20000=G793)*(DATOS!$G$2:$G$20000=CONFIG_METADATA!$B$4)*(COUNTIF(CONFIG_ASIGNATURAS!$B$7:$B$27,DATOS!$I$2:$I$20000)&gt;0)*1),"")))</f>
        <v/>
      </c>
      <c r="N793" t="str">
        <f>IF(M793="","",IF(M793="[FÓRMULA MANUAL]","",IFERROR(AVERAGEIFS(DATOS!$K$2:$K$20000,DATOS!$A$2:$A$20000,M793,DATOS!$G$2:$G$20000,CONFIG_METADATA!$B$4,DATOS!$I$2:$I$20000,"Armonía"),"")))</f>
        <v/>
      </c>
      <c r="O793" t="str">
        <f>IF(M793="","",IF(M793="[FÓRMULA MANUAL]","",IFERROR(AVERAGEIFS(DATOS!$K$2:$K$20000,DATOS!$A$2:$A$20000,M793,DATOS!$G$2:$G$20000,CONFIG_METADATA!$B$4,DATOS!$I$2:$I$20000,"Orquesta/Banda/Conjunto"),"")))</f>
        <v/>
      </c>
      <c r="P793" t="str">
        <f>IF(M793="","",IF(M793="[FÓRMULA MANUAL]","",IFERROR(AVERAGEIFS(DATOS!$K$2:$K$20000,DATOS!$A$2:$A$20000,M793,DATOS!$G$2:$G$20000,CONFIG_METADATA!$B$4,DATOS!$I$2:$I$20000,"Música de Cámara"),"")))</f>
        <v/>
      </c>
      <c r="Q793" t="str">
        <f>IF(M793="","",IF(M793="[FÓRMULA MANUAL]","",IFERROR(SUMPRODUCT((DATOS!$A$2:$A$20000=M793)*(DATOS!$G$2:$G$20000=CONFIG_METADATA!$B$4)*(COUNTIF(CONFIG_ASIGNATURAS!$B$7:$B$27,DATOS!$I$2:$I$20000)&gt;0)*(DATOS!$K$2:$K$20000))/SUMPRODUCT((DATOS!$A$2:$A$20000=M793)*(DATOS!$G$2:$G$20000=CONFIG_METADATA!$B$4)*(COUNTIF(CONFIG_ASIGNATURAS!$B$7:$B$27,DATOS!$I$2:$I$20000)&gt;0)*1),"")))</f>
        <v/>
      </c>
      <c r="T793" t="str">
        <f>IF(S793="","",IF(S793="[FÓRMULA MANUAL]","",IFERROR(AVERAGEIFS(DATOS!$K$2:$K$20000,DATOS!$A$2:$A$20000,S793,DATOS!$G$2:$G$20000,CONFIG_METADATA!$B$4,DATOS!$I$2:$I$20000,"Armonía"),"")))</f>
        <v/>
      </c>
      <c r="U793" t="str">
        <f>IF(S793="","",IF(S793="[FÓRMULA MANUAL]","",IFERROR(AVERAGEIFS(DATOS!$K$2:$K$20000,DATOS!$A$2:$A$20000,S793,DATOS!$G$2:$G$20000,CONFIG_METADATA!$B$4,DATOS!$I$2:$I$20000,"Orquesta/Banda/Conjunto"),"")))</f>
        <v/>
      </c>
      <c r="V793" t="str">
        <f>IF(S793="","",IF(S793="[FÓRMULA MANUAL]","",IFERROR(AVERAGEIFS(DATOS!$K$2:$K$20000,DATOS!$A$2:$A$20000,S793,DATOS!$G$2:$G$20000,CONFIG_METADATA!$B$4,DATOS!$I$2:$I$20000,"Música de Cámara"),"")))</f>
        <v/>
      </c>
      <c r="W793" t="str">
        <f>IF(S793="","",IF(S793="[FÓRMULA MANUAL]","",IFERROR(SUMPRODUCT((DATOS!$A$2:$A$20000=S793)*(DATOS!$G$2:$G$20000=CONFIG_METADATA!$B$4)*(COUNTIF(CONFIG_ASIGNATURAS!$B$7:$B$27,DATOS!$I$2:$I$20000)&gt;0)*(DATOS!$K$2:$K$20000))/SUMPRODUCT((DATOS!$A$2:$A$20000=S793)*(DATOS!$G$2:$G$20000=CONFIG_METADATA!$B$4)*(COUNTIF(CONFIG_ASIGNATURAS!$B$7:$B$27,DATOS!$I$2:$I$20000)&gt;0)*1),"")))</f>
        <v/>
      </c>
      <c r="Z793" t="str">
        <f>IF(Y793="","",IF(Y793="[FÓRMULA MANUAL]","",IFERROR(AVERAGEIFS(DATOS!$K$2:$K$20000,DATOS!$A$2:$A$20000,Y793,DATOS!$G$2:$G$20000,CONFIG_METADATA!$B$4,DATOS!$I$2:$I$20000,"Análisis"),"")))</f>
        <v/>
      </c>
      <c r="AA793" t="str">
        <f>IF(Y793="","",IF(Y793="[FÓRMULA MANUAL]","",IFERROR(AVERAGEIFS(DATOS!$K$2:$K$20000,DATOS!$A$2:$A$20000,Y793,DATOS!$G$2:$G$20000,CONFIG_METADATA!$B$4,DATOS!$I$2:$I$20000,"Orquesta/Banda/Conjunto"),"")))</f>
        <v/>
      </c>
      <c r="AB793" t="str">
        <f>IF(Y793="","",IF(Y793="[FÓRMULA MANUAL]","",IFERROR(AVERAGEIFS(DATOS!$K$2:$K$20000,DATOS!$A$2:$A$20000,Y793,DATOS!$G$2:$G$20000,CONFIG_METADATA!$B$4,DATOS!$I$2:$I$20000,"Música de Cámara"),"")))</f>
        <v/>
      </c>
      <c r="AC793" t="str">
        <f>IF(Y793="","",IF(Y793="[FÓRMULA MANUAL]","",IFERROR(SUMPRODUCT((DATOS!$A$2:$A$20000=Y793)*(DATOS!$G$2:$G$20000=CONFIG_METADATA!$B$4)*(COUNTIF(CONFIG_ASIGNATURAS!$B$7:$B$27,DATOS!$I$2:$I$20000)&gt;0)*(DATOS!$K$2:$K$20000))/SUMPRODUCT((DATOS!$A$2:$A$20000=Y793)*(DATOS!$G$2:$G$20000=CONFIG_METADATA!$B$4)*(COUNTIF(CONFIG_ASIGNATURAS!$B$7:$B$27,DATOS!$I$2:$I$20000)&gt;0)*1),"")))</f>
        <v/>
      </c>
      <c r="AF793" t="str">
        <f>IF(AE793="","",IF(AE793="[FÓRMULA MANUAL]","",IFERROR(AVERAGEIFS(DATOS!$K$2:$K$20000,DATOS!$A$2:$A$20000,AE793,DATOS!$G$2:$G$20000,CONFIG_METADATA!$B$4,DATOS!$I$2:$I$20000,"Análisis"),"")))</f>
        <v/>
      </c>
      <c r="AG793" t="str">
        <f>IF(AE793="","",IF(AE793="[FÓRMULA MANUAL]","",IFERROR(AVERAGEIFS(DATOS!$K$2:$K$20000,DATOS!$A$2:$A$20000,AE793,DATOS!$G$2:$G$20000,CONFIG_METADATA!$B$4,DATOS!$I$2:$I$20000,"Orquesta/Banda/Conjunto"),"")))</f>
        <v/>
      </c>
      <c r="AH793" t="str">
        <f>IF(AE793="","",IF(AE793="[FÓRMULA MANUAL]","",IFERROR(AVERAGEIFS(DATOS!$K$2:$K$20000,DATOS!$A$2:$A$20000,AE793,DATOS!$G$2:$G$20000,CONFIG_METADATA!$B$4,DATOS!$I$2:$I$20000,"Música de Cámara"),"")))</f>
        <v/>
      </c>
      <c r="AI793" t="str">
        <f>IF(AE793="","",IF(AE793="[FÓRMULA MANUAL]","",IFERROR(SUMPRODUCT((DATOS!$A$2:$A$20000=AE793)*(DATOS!$G$2:$G$20000=CONFIG_METADATA!$B$4)*(COUNTIF(CONFIG_ASIGNATURAS!$B$7:$B$27,DATOS!$I$2:$I$20000)&gt;0)*(DATOS!$K$2:$K$20000))/SUMPRODUCT((DATOS!$A$2:$A$20000=AE793)*(DATOS!$G$2:$G$20000=CONFIG_METADATA!$B$4)*(COUNTIF(CONFIG_ASIGNATURAS!$B$7:$B$27,DATOS!$I$2:$I$20000)&gt;0)*1),"")))</f>
        <v/>
      </c>
    </row>
    <row r="794" spans="2:35" x14ac:dyDescent="0.2">
      <c r="B794" t="str">
        <f>IF(A794="","",IF(A794="[FÓRMULA MANUAL]","",IFERROR(AVERAGEIFS(DATOS!$K$2:$K$20000,DATOS!$A$2:$A$20000,A794,DATOS!$G$2:$G$20000,CONFIG_METADATA!$B$4,DATOS!$I$2:$I$20000,"Lenguaje Musical"),"")))</f>
        <v/>
      </c>
      <c r="C794" t="str">
        <f>IF(A794="","",IF(A794="[FÓRMULA MANUAL]","",IFERROR(AVERAGEIFS(DATOS!$K$2:$K$20000,DATOS!$A$2:$A$20000,A794,DATOS!$G$2:$G$20000,CONFIG_METADATA!$B$4,DATOS!$I$2:$I$20000,"Orquesta/Banda/Conjunto"),"")))</f>
        <v/>
      </c>
      <c r="D794" t="str">
        <f>IF(A794="","",IF(A794="[FÓRMULA MANUAL]","",IFERROR(AVERAGEIFS(DATOS!$K$2:$K$20000,DATOS!$A$2:$A$20000,A794,DATOS!$G$2:$G$20000,CONFIG_METADATA!$B$4,DATOS!$I$2:$I$20000,"Conjunto"),"")))</f>
        <v/>
      </c>
      <c r="E794" t="str">
        <f>IF(A794="","",IF(A794="[FÓRMULA MANUAL]","",IFERROR(SUMPRODUCT((DATOS!$A$2:$A$20000=A794)*(DATOS!$G$2:$G$20000=CONFIG_METADATA!$B$4)*(COUNTIF(CONFIG_ASIGNATURAS!$B$7:$B$27,DATOS!$I$2:$I$20000)&gt;0)*(DATOS!$K$2:$K$20000))/SUMPRODUCT((DATOS!$A$2:$A$20000=A794)*(DATOS!$G$2:$G$20000=CONFIG_METADATA!$B$4)*(COUNTIF(CONFIG_ASIGNATURAS!$B$7:$B$27,DATOS!$I$2:$I$20000)&gt;0)*1),"")))</f>
        <v/>
      </c>
      <c r="H794" t="str">
        <f>IF(G794="","",IF(G794="[FÓRMULA MANUAL]","",IFERROR(AVERAGEIFS(DATOS!$K$2:$K$20000,DATOS!$A$2:$A$20000,G794,DATOS!$G$2:$G$20000,CONFIG_METADATA!$B$4,DATOS!$I$2:$I$20000,"Lenguaje Musical"),"")))</f>
        <v/>
      </c>
      <c r="I794" t="str">
        <f>IF(G794="","",IF(G794="[FÓRMULA MANUAL]","",IFERROR(AVERAGEIFS(DATOS!$K$2:$K$20000,DATOS!$A$2:$A$20000,G794,DATOS!$G$2:$G$20000,CONFIG_METADATA!$B$4,DATOS!$I$2:$I$20000,"Orquesta/Banda/Conjunto"),"")))</f>
        <v/>
      </c>
      <c r="J794" t="str">
        <f>IF(G794="","",IF(G794="[FÓRMULA MANUAL]","",IFERROR(AVERAGEIFS(DATOS!$K$2:$K$20000,DATOS!$A$2:$A$20000,G794,DATOS!$G$2:$G$20000,CONFIG_METADATA!$B$4,DATOS!$I$2:$I$20000,"Conjunto"),"")))</f>
        <v/>
      </c>
      <c r="K794" t="str">
        <f>IF(G794="","",IF(G794="[FÓRMULA MANUAL]","",IFERROR(SUMPRODUCT((DATOS!$A$2:$A$20000=G794)*(DATOS!$G$2:$G$20000=CONFIG_METADATA!$B$4)*(COUNTIF(CONFIG_ASIGNATURAS!$B$7:$B$27,DATOS!$I$2:$I$20000)&gt;0)*(DATOS!$K$2:$K$20000))/SUMPRODUCT((DATOS!$A$2:$A$20000=G794)*(DATOS!$G$2:$G$20000=CONFIG_METADATA!$B$4)*(COUNTIF(CONFIG_ASIGNATURAS!$B$7:$B$27,DATOS!$I$2:$I$20000)&gt;0)*1),"")))</f>
        <v/>
      </c>
      <c r="N794" t="str">
        <f>IF(M794="","",IF(M794="[FÓRMULA MANUAL]","",IFERROR(AVERAGEIFS(DATOS!$K$2:$K$20000,DATOS!$A$2:$A$20000,M794,DATOS!$G$2:$G$20000,CONFIG_METADATA!$B$4,DATOS!$I$2:$I$20000,"Armonía"),"")))</f>
        <v/>
      </c>
      <c r="O794" t="str">
        <f>IF(M794="","",IF(M794="[FÓRMULA MANUAL]","",IFERROR(AVERAGEIFS(DATOS!$K$2:$K$20000,DATOS!$A$2:$A$20000,M794,DATOS!$G$2:$G$20000,CONFIG_METADATA!$B$4,DATOS!$I$2:$I$20000,"Orquesta/Banda/Conjunto"),"")))</f>
        <v/>
      </c>
      <c r="P794" t="str">
        <f>IF(M794="","",IF(M794="[FÓRMULA MANUAL]","",IFERROR(AVERAGEIFS(DATOS!$K$2:$K$20000,DATOS!$A$2:$A$20000,M794,DATOS!$G$2:$G$20000,CONFIG_METADATA!$B$4,DATOS!$I$2:$I$20000,"Música de Cámara"),"")))</f>
        <v/>
      </c>
      <c r="Q794" t="str">
        <f>IF(M794="","",IF(M794="[FÓRMULA MANUAL]","",IFERROR(SUMPRODUCT((DATOS!$A$2:$A$20000=M794)*(DATOS!$G$2:$G$20000=CONFIG_METADATA!$B$4)*(COUNTIF(CONFIG_ASIGNATURAS!$B$7:$B$27,DATOS!$I$2:$I$20000)&gt;0)*(DATOS!$K$2:$K$20000))/SUMPRODUCT((DATOS!$A$2:$A$20000=M794)*(DATOS!$G$2:$G$20000=CONFIG_METADATA!$B$4)*(COUNTIF(CONFIG_ASIGNATURAS!$B$7:$B$27,DATOS!$I$2:$I$20000)&gt;0)*1),"")))</f>
        <v/>
      </c>
      <c r="T794" t="str">
        <f>IF(S794="","",IF(S794="[FÓRMULA MANUAL]","",IFERROR(AVERAGEIFS(DATOS!$K$2:$K$20000,DATOS!$A$2:$A$20000,S794,DATOS!$G$2:$G$20000,CONFIG_METADATA!$B$4,DATOS!$I$2:$I$20000,"Armonía"),"")))</f>
        <v/>
      </c>
      <c r="U794" t="str">
        <f>IF(S794="","",IF(S794="[FÓRMULA MANUAL]","",IFERROR(AVERAGEIFS(DATOS!$K$2:$K$20000,DATOS!$A$2:$A$20000,S794,DATOS!$G$2:$G$20000,CONFIG_METADATA!$B$4,DATOS!$I$2:$I$20000,"Orquesta/Banda/Conjunto"),"")))</f>
        <v/>
      </c>
      <c r="V794" t="str">
        <f>IF(S794="","",IF(S794="[FÓRMULA MANUAL]","",IFERROR(AVERAGEIFS(DATOS!$K$2:$K$20000,DATOS!$A$2:$A$20000,S794,DATOS!$G$2:$G$20000,CONFIG_METADATA!$B$4,DATOS!$I$2:$I$20000,"Música de Cámara"),"")))</f>
        <v/>
      </c>
      <c r="W794" t="str">
        <f>IF(S794="","",IF(S794="[FÓRMULA MANUAL]","",IFERROR(SUMPRODUCT((DATOS!$A$2:$A$20000=S794)*(DATOS!$G$2:$G$20000=CONFIG_METADATA!$B$4)*(COUNTIF(CONFIG_ASIGNATURAS!$B$7:$B$27,DATOS!$I$2:$I$20000)&gt;0)*(DATOS!$K$2:$K$20000))/SUMPRODUCT((DATOS!$A$2:$A$20000=S794)*(DATOS!$G$2:$G$20000=CONFIG_METADATA!$B$4)*(COUNTIF(CONFIG_ASIGNATURAS!$B$7:$B$27,DATOS!$I$2:$I$20000)&gt;0)*1),"")))</f>
        <v/>
      </c>
      <c r="Z794" t="str">
        <f>IF(Y794="","",IF(Y794="[FÓRMULA MANUAL]","",IFERROR(AVERAGEIFS(DATOS!$K$2:$K$20000,DATOS!$A$2:$A$20000,Y794,DATOS!$G$2:$G$20000,CONFIG_METADATA!$B$4,DATOS!$I$2:$I$20000,"Análisis"),"")))</f>
        <v/>
      </c>
      <c r="AA794" t="str">
        <f>IF(Y794="","",IF(Y794="[FÓRMULA MANUAL]","",IFERROR(AVERAGEIFS(DATOS!$K$2:$K$20000,DATOS!$A$2:$A$20000,Y794,DATOS!$G$2:$G$20000,CONFIG_METADATA!$B$4,DATOS!$I$2:$I$20000,"Orquesta/Banda/Conjunto"),"")))</f>
        <v/>
      </c>
      <c r="AB794" t="str">
        <f>IF(Y794="","",IF(Y794="[FÓRMULA MANUAL]","",IFERROR(AVERAGEIFS(DATOS!$K$2:$K$20000,DATOS!$A$2:$A$20000,Y794,DATOS!$G$2:$G$20000,CONFIG_METADATA!$B$4,DATOS!$I$2:$I$20000,"Música de Cámara"),"")))</f>
        <v/>
      </c>
      <c r="AC794" t="str">
        <f>IF(Y794="","",IF(Y794="[FÓRMULA MANUAL]","",IFERROR(SUMPRODUCT((DATOS!$A$2:$A$20000=Y794)*(DATOS!$G$2:$G$20000=CONFIG_METADATA!$B$4)*(COUNTIF(CONFIG_ASIGNATURAS!$B$7:$B$27,DATOS!$I$2:$I$20000)&gt;0)*(DATOS!$K$2:$K$20000))/SUMPRODUCT((DATOS!$A$2:$A$20000=Y794)*(DATOS!$G$2:$G$20000=CONFIG_METADATA!$B$4)*(COUNTIF(CONFIG_ASIGNATURAS!$B$7:$B$27,DATOS!$I$2:$I$20000)&gt;0)*1),"")))</f>
        <v/>
      </c>
      <c r="AF794" t="str">
        <f>IF(AE794="","",IF(AE794="[FÓRMULA MANUAL]","",IFERROR(AVERAGEIFS(DATOS!$K$2:$K$20000,DATOS!$A$2:$A$20000,AE794,DATOS!$G$2:$G$20000,CONFIG_METADATA!$B$4,DATOS!$I$2:$I$20000,"Análisis"),"")))</f>
        <v/>
      </c>
      <c r="AG794" t="str">
        <f>IF(AE794="","",IF(AE794="[FÓRMULA MANUAL]","",IFERROR(AVERAGEIFS(DATOS!$K$2:$K$20000,DATOS!$A$2:$A$20000,AE794,DATOS!$G$2:$G$20000,CONFIG_METADATA!$B$4,DATOS!$I$2:$I$20000,"Orquesta/Banda/Conjunto"),"")))</f>
        <v/>
      </c>
      <c r="AH794" t="str">
        <f>IF(AE794="","",IF(AE794="[FÓRMULA MANUAL]","",IFERROR(AVERAGEIFS(DATOS!$K$2:$K$20000,DATOS!$A$2:$A$20000,AE794,DATOS!$G$2:$G$20000,CONFIG_METADATA!$B$4,DATOS!$I$2:$I$20000,"Música de Cámara"),"")))</f>
        <v/>
      </c>
      <c r="AI794" t="str">
        <f>IF(AE794="","",IF(AE794="[FÓRMULA MANUAL]","",IFERROR(SUMPRODUCT((DATOS!$A$2:$A$20000=AE794)*(DATOS!$G$2:$G$20000=CONFIG_METADATA!$B$4)*(COUNTIF(CONFIG_ASIGNATURAS!$B$7:$B$27,DATOS!$I$2:$I$20000)&gt;0)*(DATOS!$K$2:$K$20000))/SUMPRODUCT((DATOS!$A$2:$A$20000=AE794)*(DATOS!$G$2:$G$20000=CONFIG_METADATA!$B$4)*(COUNTIF(CONFIG_ASIGNATURAS!$B$7:$B$27,DATOS!$I$2:$I$20000)&gt;0)*1),"")))</f>
        <v/>
      </c>
    </row>
    <row r="795" spans="2:35" x14ac:dyDescent="0.2">
      <c r="B795" t="str">
        <f>IF(A795="","",IF(A795="[FÓRMULA MANUAL]","",IFERROR(AVERAGEIFS(DATOS!$K$2:$K$20000,DATOS!$A$2:$A$20000,A795,DATOS!$G$2:$G$20000,CONFIG_METADATA!$B$4,DATOS!$I$2:$I$20000,"Lenguaje Musical"),"")))</f>
        <v/>
      </c>
      <c r="C795" t="str">
        <f>IF(A795="","",IF(A795="[FÓRMULA MANUAL]","",IFERROR(AVERAGEIFS(DATOS!$K$2:$K$20000,DATOS!$A$2:$A$20000,A795,DATOS!$G$2:$G$20000,CONFIG_METADATA!$B$4,DATOS!$I$2:$I$20000,"Orquesta/Banda/Conjunto"),"")))</f>
        <v/>
      </c>
      <c r="D795" t="str">
        <f>IF(A795="","",IF(A795="[FÓRMULA MANUAL]","",IFERROR(AVERAGEIFS(DATOS!$K$2:$K$20000,DATOS!$A$2:$A$20000,A795,DATOS!$G$2:$G$20000,CONFIG_METADATA!$B$4,DATOS!$I$2:$I$20000,"Conjunto"),"")))</f>
        <v/>
      </c>
      <c r="E795" t="str">
        <f>IF(A795="","",IF(A795="[FÓRMULA MANUAL]","",IFERROR(SUMPRODUCT((DATOS!$A$2:$A$20000=A795)*(DATOS!$G$2:$G$20000=CONFIG_METADATA!$B$4)*(COUNTIF(CONFIG_ASIGNATURAS!$B$7:$B$27,DATOS!$I$2:$I$20000)&gt;0)*(DATOS!$K$2:$K$20000))/SUMPRODUCT((DATOS!$A$2:$A$20000=A795)*(DATOS!$G$2:$G$20000=CONFIG_METADATA!$B$4)*(COUNTIF(CONFIG_ASIGNATURAS!$B$7:$B$27,DATOS!$I$2:$I$20000)&gt;0)*1),"")))</f>
        <v/>
      </c>
      <c r="H795" t="str">
        <f>IF(G795="","",IF(G795="[FÓRMULA MANUAL]","",IFERROR(AVERAGEIFS(DATOS!$K$2:$K$20000,DATOS!$A$2:$A$20000,G795,DATOS!$G$2:$G$20000,CONFIG_METADATA!$B$4,DATOS!$I$2:$I$20000,"Lenguaje Musical"),"")))</f>
        <v/>
      </c>
      <c r="I795" t="str">
        <f>IF(G795="","",IF(G795="[FÓRMULA MANUAL]","",IFERROR(AVERAGEIFS(DATOS!$K$2:$K$20000,DATOS!$A$2:$A$20000,G795,DATOS!$G$2:$G$20000,CONFIG_METADATA!$B$4,DATOS!$I$2:$I$20000,"Orquesta/Banda/Conjunto"),"")))</f>
        <v/>
      </c>
      <c r="J795" t="str">
        <f>IF(G795="","",IF(G795="[FÓRMULA MANUAL]","",IFERROR(AVERAGEIFS(DATOS!$K$2:$K$20000,DATOS!$A$2:$A$20000,G795,DATOS!$G$2:$G$20000,CONFIG_METADATA!$B$4,DATOS!$I$2:$I$20000,"Conjunto"),"")))</f>
        <v/>
      </c>
      <c r="K795" t="str">
        <f>IF(G795="","",IF(G795="[FÓRMULA MANUAL]","",IFERROR(SUMPRODUCT((DATOS!$A$2:$A$20000=G795)*(DATOS!$G$2:$G$20000=CONFIG_METADATA!$B$4)*(COUNTIF(CONFIG_ASIGNATURAS!$B$7:$B$27,DATOS!$I$2:$I$20000)&gt;0)*(DATOS!$K$2:$K$20000))/SUMPRODUCT((DATOS!$A$2:$A$20000=G795)*(DATOS!$G$2:$G$20000=CONFIG_METADATA!$B$4)*(COUNTIF(CONFIG_ASIGNATURAS!$B$7:$B$27,DATOS!$I$2:$I$20000)&gt;0)*1),"")))</f>
        <v/>
      </c>
      <c r="N795" t="str">
        <f>IF(M795="","",IF(M795="[FÓRMULA MANUAL]","",IFERROR(AVERAGEIFS(DATOS!$K$2:$K$20000,DATOS!$A$2:$A$20000,M795,DATOS!$G$2:$G$20000,CONFIG_METADATA!$B$4,DATOS!$I$2:$I$20000,"Armonía"),"")))</f>
        <v/>
      </c>
      <c r="O795" t="str">
        <f>IF(M795="","",IF(M795="[FÓRMULA MANUAL]","",IFERROR(AVERAGEIFS(DATOS!$K$2:$K$20000,DATOS!$A$2:$A$20000,M795,DATOS!$G$2:$G$20000,CONFIG_METADATA!$B$4,DATOS!$I$2:$I$20000,"Orquesta/Banda/Conjunto"),"")))</f>
        <v/>
      </c>
      <c r="P795" t="str">
        <f>IF(M795="","",IF(M795="[FÓRMULA MANUAL]","",IFERROR(AVERAGEIFS(DATOS!$K$2:$K$20000,DATOS!$A$2:$A$20000,M795,DATOS!$G$2:$G$20000,CONFIG_METADATA!$B$4,DATOS!$I$2:$I$20000,"Música de Cámara"),"")))</f>
        <v/>
      </c>
      <c r="Q795" t="str">
        <f>IF(M795="","",IF(M795="[FÓRMULA MANUAL]","",IFERROR(SUMPRODUCT((DATOS!$A$2:$A$20000=M795)*(DATOS!$G$2:$G$20000=CONFIG_METADATA!$B$4)*(COUNTIF(CONFIG_ASIGNATURAS!$B$7:$B$27,DATOS!$I$2:$I$20000)&gt;0)*(DATOS!$K$2:$K$20000))/SUMPRODUCT((DATOS!$A$2:$A$20000=M795)*(DATOS!$G$2:$G$20000=CONFIG_METADATA!$B$4)*(COUNTIF(CONFIG_ASIGNATURAS!$B$7:$B$27,DATOS!$I$2:$I$20000)&gt;0)*1),"")))</f>
        <v/>
      </c>
      <c r="T795" t="str">
        <f>IF(S795="","",IF(S795="[FÓRMULA MANUAL]","",IFERROR(AVERAGEIFS(DATOS!$K$2:$K$20000,DATOS!$A$2:$A$20000,S795,DATOS!$G$2:$G$20000,CONFIG_METADATA!$B$4,DATOS!$I$2:$I$20000,"Armonía"),"")))</f>
        <v/>
      </c>
      <c r="U795" t="str">
        <f>IF(S795="","",IF(S795="[FÓRMULA MANUAL]","",IFERROR(AVERAGEIFS(DATOS!$K$2:$K$20000,DATOS!$A$2:$A$20000,S795,DATOS!$G$2:$G$20000,CONFIG_METADATA!$B$4,DATOS!$I$2:$I$20000,"Orquesta/Banda/Conjunto"),"")))</f>
        <v/>
      </c>
      <c r="V795" t="str">
        <f>IF(S795="","",IF(S795="[FÓRMULA MANUAL]","",IFERROR(AVERAGEIFS(DATOS!$K$2:$K$20000,DATOS!$A$2:$A$20000,S795,DATOS!$G$2:$G$20000,CONFIG_METADATA!$B$4,DATOS!$I$2:$I$20000,"Música de Cámara"),"")))</f>
        <v/>
      </c>
      <c r="W795" t="str">
        <f>IF(S795="","",IF(S795="[FÓRMULA MANUAL]","",IFERROR(SUMPRODUCT((DATOS!$A$2:$A$20000=S795)*(DATOS!$G$2:$G$20000=CONFIG_METADATA!$B$4)*(COUNTIF(CONFIG_ASIGNATURAS!$B$7:$B$27,DATOS!$I$2:$I$20000)&gt;0)*(DATOS!$K$2:$K$20000))/SUMPRODUCT((DATOS!$A$2:$A$20000=S795)*(DATOS!$G$2:$G$20000=CONFIG_METADATA!$B$4)*(COUNTIF(CONFIG_ASIGNATURAS!$B$7:$B$27,DATOS!$I$2:$I$20000)&gt;0)*1),"")))</f>
        <v/>
      </c>
      <c r="Z795" t="str">
        <f>IF(Y795="","",IF(Y795="[FÓRMULA MANUAL]","",IFERROR(AVERAGEIFS(DATOS!$K$2:$K$20000,DATOS!$A$2:$A$20000,Y795,DATOS!$G$2:$G$20000,CONFIG_METADATA!$B$4,DATOS!$I$2:$I$20000,"Análisis"),"")))</f>
        <v/>
      </c>
      <c r="AA795" t="str">
        <f>IF(Y795="","",IF(Y795="[FÓRMULA MANUAL]","",IFERROR(AVERAGEIFS(DATOS!$K$2:$K$20000,DATOS!$A$2:$A$20000,Y795,DATOS!$G$2:$G$20000,CONFIG_METADATA!$B$4,DATOS!$I$2:$I$20000,"Orquesta/Banda/Conjunto"),"")))</f>
        <v/>
      </c>
      <c r="AB795" t="str">
        <f>IF(Y795="","",IF(Y795="[FÓRMULA MANUAL]","",IFERROR(AVERAGEIFS(DATOS!$K$2:$K$20000,DATOS!$A$2:$A$20000,Y795,DATOS!$G$2:$G$20000,CONFIG_METADATA!$B$4,DATOS!$I$2:$I$20000,"Música de Cámara"),"")))</f>
        <v/>
      </c>
      <c r="AC795" t="str">
        <f>IF(Y795="","",IF(Y795="[FÓRMULA MANUAL]","",IFERROR(SUMPRODUCT((DATOS!$A$2:$A$20000=Y795)*(DATOS!$G$2:$G$20000=CONFIG_METADATA!$B$4)*(COUNTIF(CONFIG_ASIGNATURAS!$B$7:$B$27,DATOS!$I$2:$I$20000)&gt;0)*(DATOS!$K$2:$K$20000))/SUMPRODUCT((DATOS!$A$2:$A$20000=Y795)*(DATOS!$G$2:$G$20000=CONFIG_METADATA!$B$4)*(COUNTIF(CONFIG_ASIGNATURAS!$B$7:$B$27,DATOS!$I$2:$I$20000)&gt;0)*1),"")))</f>
        <v/>
      </c>
      <c r="AF795" t="str">
        <f>IF(AE795="","",IF(AE795="[FÓRMULA MANUAL]","",IFERROR(AVERAGEIFS(DATOS!$K$2:$K$20000,DATOS!$A$2:$A$20000,AE795,DATOS!$G$2:$G$20000,CONFIG_METADATA!$B$4,DATOS!$I$2:$I$20000,"Análisis"),"")))</f>
        <v/>
      </c>
      <c r="AG795" t="str">
        <f>IF(AE795="","",IF(AE795="[FÓRMULA MANUAL]","",IFERROR(AVERAGEIFS(DATOS!$K$2:$K$20000,DATOS!$A$2:$A$20000,AE795,DATOS!$G$2:$G$20000,CONFIG_METADATA!$B$4,DATOS!$I$2:$I$20000,"Orquesta/Banda/Conjunto"),"")))</f>
        <v/>
      </c>
      <c r="AH795" t="str">
        <f>IF(AE795="","",IF(AE795="[FÓRMULA MANUAL]","",IFERROR(AVERAGEIFS(DATOS!$K$2:$K$20000,DATOS!$A$2:$A$20000,AE795,DATOS!$G$2:$G$20000,CONFIG_METADATA!$B$4,DATOS!$I$2:$I$20000,"Música de Cámara"),"")))</f>
        <v/>
      </c>
      <c r="AI795" t="str">
        <f>IF(AE795="","",IF(AE795="[FÓRMULA MANUAL]","",IFERROR(SUMPRODUCT((DATOS!$A$2:$A$20000=AE795)*(DATOS!$G$2:$G$20000=CONFIG_METADATA!$B$4)*(COUNTIF(CONFIG_ASIGNATURAS!$B$7:$B$27,DATOS!$I$2:$I$20000)&gt;0)*(DATOS!$K$2:$K$20000))/SUMPRODUCT((DATOS!$A$2:$A$20000=AE795)*(DATOS!$G$2:$G$20000=CONFIG_METADATA!$B$4)*(COUNTIF(CONFIG_ASIGNATURAS!$B$7:$B$27,DATOS!$I$2:$I$20000)&gt;0)*1),"")))</f>
        <v/>
      </c>
    </row>
    <row r="796" spans="2:35" x14ac:dyDescent="0.2">
      <c r="B796" t="str">
        <f>IF(A796="","",IF(A796="[FÓRMULA MANUAL]","",IFERROR(AVERAGEIFS(DATOS!$K$2:$K$20000,DATOS!$A$2:$A$20000,A796,DATOS!$G$2:$G$20000,CONFIG_METADATA!$B$4,DATOS!$I$2:$I$20000,"Lenguaje Musical"),"")))</f>
        <v/>
      </c>
      <c r="C796" t="str">
        <f>IF(A796="","",IF(A796="[FÓRMULA MANUAL]","",IFERROR(AVERAGEIFS(DATOS!$K$2:$K$20000,DATOS!$A$2:$A$20000,A796,DATOS!$G$2:$G$20000,CONFIG_METADATA!$B$4,DATOS!$I$2:$I$20000,"Orquesta/Banda/Conjunto"),"")))</f>
        <v/>
      </c>
      <c r="D796" t="str">
        <f>IF(A796="","",IF(A796="[FÓRMULA MANUAL]","",IFERROR(AVERAGEIFS(DATOS!$K$2:$K$20000,DATOS!$A$2:$A$20000,A796,DATOS!$G$2:$G$20000,CONFIG_METADATA!$B$4,DATOS!$I$2:$I$20000,"Conjunto"),"")))</f>
        <v/>
      </c>
      <c r="E796" t="str">
        <f>IF(A796="","",IF(A796="[FÓRMULA MANUAL]","",IFERROR(SUMPRODUCT((DATOS!$A$2:$A$20000=A796)*(DATOS!$G$2:$G$20000=CONFIG_METADATA!$B$4)*(COUNTIF(CONFIG_ASIGNATURAS!$B$7:$B$27,DATOS!$I$2:$I$20000)&gt;0)*(DATOS!$K$2:$K$20000))/SUMPRODUCT((DATOS!$A$2:$A$20000=A796)*(DATOS!$G$2:$G$20000=CONFIG_METADATA!$B$4)*(COUNTIF(CONFIG_ASIGNATURAS!$B$7:$B$27,DATOS!$I$2:$I$20000)&gt;0)*1),"")))</f>
        <v/>
      </c>
      <c r="H796" t="str">
        <f>IF(G796="","",IF(G796="[FÓRMULA MANUAL]","",IFERROR(AVERAGEIFS(DATOS!$K$2:$K$20000,DATOS!$A$2:$A$20000,G796,DATOS!$G$2:$G$20000,CONFIG_METADATA!$B$4,DATOS!$I$2:$I$20000,"Lenguaje Musical"),"")))</f>
        <v/>
      </c>
      <c r="I796" t="str">
        <f>IF(G796="","",IF(G796="[FÓRMULA MANUAL]","",IFERROR(AVERAGEIFS(DATOS!$K$2:$K$20000,DATOS!$A$2:$A$20000,G796,DATOS!$G$2:$G$20000,CONFIG_METADATA!$B$4,DATOS!$I$2:$I$20000,"Orquesta/Banda/Conjunto"),"")))</f>
        <v/>
      </c>
      <c r="J796" t="str">
        <f>IF(G796="","",IF(G796="[FÓRMULA MANUAL]","",IFERROR(AVERAGEIFS(DATOS!$K$2:$K$20000,DATOS!$A$2:$A$20000,G796,DATOS!$G$2:$G$20000,CONFIG_METADATA!$B$4,DATOS!$I$2:$I$20000,"Conjunto"),"")))</f>
        <v/>
      </c>
      <c r="K796" t="str">
        <f>IF(G796="","",IF(G796="[FÓRMULA MANUAL]","",IFERROR(SUMPRODUCT((DATOS!$A$2:$A$20000=G796)*(DATOS!$G$2:$G$20000=CONFIG_METADATA!$B$4)*(COUNTIF(CONFIG_ASIGNATURAS!$B$7:$B$27,DATOS!$I$2:$I$20000)&gt;0)*(DATOS!$K$2:$K$20000))/SUMPRODUCT((DATOS!$A$2:$A$20000=G796)*(DATOS!$G$2:$G$20000=CONFIG_METADATA!$B$4)*(COUNTIF(CONFIG_ASIGNATURAS!$B$7:$B$27,DATOS!$I$2:$I$20000)&gt;0)*1),"")))</f>
        <v/>
      </c>
      <c r="N796" t="str">
        <f>IF(M796="","",IF(M796="[FÓRMULA MANUAL]","",IFERROR(AVERAGEIFS(DATOS!$K$2:$K$20000,DATOS!$A$2:$A$20000,M796,DATOS!$G$2:$G$20000,CONFIG_METADATA!$B$4,DATOS!$I$2:$I$20000,"Armonía"),"")))</f>
        <v/>
      </c>
      <c r="O796" t="str">
        <f>IF(M796="","",IF(M796="[FÓRMULA MANUAL]","",IFERROR(AVERAGEIFS(DATOS!$K$2:$K$20000,DATOS!$A$2:$A$20000,M796,DATOS!$G$2:$G$20000,CONFIG_METADATA!$B$4,DATOS!$I$2:$I$20000,"Orquesta/Banda/Conjunto"),"")))</f>
        <v/>
      </c>
      <c r="P796" t="str">
        <f>IF(M796="","",IF(M796="[FÓRMULA MANUAL]","",IFERROR(AVERAGEIFS(DATOS!$K$2:$K$20000,DATOS!$A$2:$A$20000,M796,DATOS!$G$2:$G$20000,CONFIG_METADATA!$B$4,DATOS!$I$2:$I$20000,"Música de Cámara"),"")))</f>
        <v/>
      </c>
      <c r="Q796" t="str">
        <f>IF(M796="","",IF(M796="[FÓRMULA MANUAL]","",IFERROR(SUMPRODUCT((DATOS!$A$2:$A$20000=M796)*(DATOS!$G$2:$G$20000=CONFIG_METADATA!$B$4)*(COUNTIF(CONFIG_ASIGNATURAS!$B$7:$B$27,DATOS!$I$2:$I$20000)&gt;0)*(DATOS!$K$2:$K$20000))/SUMPRODUCT((DATOS!$A$2:$A$20000=M796)*(DATOS!$G$2:$G$20000=CONFIG_METADATA!$B$4)*(COUNTIF(CONFIG_ASIGNATURAS!$B$7:$B$27,DATOS!$I$2:$I$20000)&gt;0)*1),"")))</f>
        <v/>
      </c>
      <c r="T796" t="str">
        <f>IF(S796="","",IF(S796="[FÓRMULA MANUAL]","",IFERROR(AVERAGEIFS(DATOS!$K$2:$K$20000,DATOS!$A$2:$A$20000,S796,DATOS!$G$2:$G$20000,CONFIG_METADATA!$B$4,DATOS!$I$2:$I$20000,"Armonía"),"")))</f>
        <v/>
      </c>
      <c r="U796" t="str">
        <f>IF(S796="","",IF(S796="[FÓRMULA MANUAL]","",IFERROR(AVERAGEIFS(DATOS!$K$2:$K$20000,DATOS!$A$2:$A$20000,S796,DATOS!$G$2:$G$20000,CONFIG_METADATA!$B$4,DATOS!$I$2:$I$20000,"Orquesta/Banda/Conjunto"),"")))</f>
        <v/>
      </c>
      <c r="V796" t="str">
        <f>IF(S796="","",IF(S796="[FÓRMULA MANUAL]","",IFERROR(AVERAGEIFS(DATOS!$K$2:$K$20000,DATOS!$A$2:$A$20000,S796,DATOS!$G$2:$G$20000,CONFIG_METADATA!$B$4,DATOS!$I$2:$I$20000,"Música de Cámara"),"")))</f>
        <v/>
      </c>
      <c r="W796" t="str">
        <f>IF(S796="","",IF(S796="[FÓRMULA MANUAL]","",IFERROR(SUMPRODUCT((DATOS!$A$2:$A$20000=S796)*(DATOS!$G$2:$G$20000=CONFIG_METADATA!$B$4)*(COUNTIF(CONFIG_ASIGNATURAS!$B$7:$B$27,DATOS!$I$2:$I$20000)&gt;0)*(DATOS!$K$2:$K$20000))/SUMPRODUCT((DATOS!$A$2:$A$20000=S796)*(DATOS!$G$2:$G$20000=CONFIG_METADATA!$B$4)*(COUNTIF(CONFIG_ASIGNATURAS!$B$7:$B$27,DATOS!$I$2:$I$20000)&gt;0)*1),"")))</f>
        <v/>
      </c>
      <c r="Z796" t="str">
        <f>IF(Y796="","",IF(Y796="[FÓRMULA MANUAL]","",IFERROR(AVERAGEIFS(DATOS!$K$2:$K$20000,DATOS!$A$2:$A$20000,Y796,DATOS!$G$2:$G$20000,CONFIG_METADATA!$B$4,DATOS!$I$2:$I$20000,"Análisis"),"")))</f>
        <v/>
      </c>
      <c r="AA796" t="str">
        <f>IF(Y796="","",IF(Y796="[FÓRMULA MANUAL]","",IFERROR(AVERAGEIFS(DATOS!$K$2:$K$20000,DATOS!$A$2:$A$20000,Y796,DATOS!$G$2:$G$20000,CONFIG_METADATA!$B$4,DATOS!$I$2:$I$20000,"Orquesta/Banda/Conjunto"),"")))</f>
        <v/>
      </c>
      <c r="AB796" t="str">
        <f>IF(Y796="","",IF(Y796="[FÓRMULA MANUAL]","",IFERROR(AVERAGEIFS(DATOS!$K$2:$K$20000,DATOS!$A$2:$A$20000,Y796,DATOS!$G$2:$G$20000,CONFIG_METADATA!$B$4,DATOS!$I$2:$I$20000,"Música de Cámara"),"")))</f>
        <v/>
      </c>
      <c r="AC796" t="str">
        <f>IF(Y796="","",IF(Y796="[FÓRMULA MANUAL]","",IFERROR(SUMPRODUCT((DATOS!$A$2:$A$20000=Y796)*(DATOS!$G$2:$G$20000=CONFIG_METADATA!$B$4)*(COUNTIF(CONFIG_ASIGNATURAS!$B$7:$B$27,DATOS!$I$2:$I$20000)&gt;0)*(DATOS!$K$2:$K$20000))/SUMPRODUCT((DATOS!$A$2:$A$20000=Y796)*(DATOS!$G$2:$G$20000=CONFIG_METADATA!$B$4)*(COUNTIF(CONFIG_ASIGNATURAS!$B$7:$B$27,DATOS!$I$2:$I$20000)&gt;0)*1),"")))</f>
        <v/>
      </c>
      <c r="AF796" t="str">
        <f>IF(AE796="","",IF(AE796="[FÓRMULA MANUAL]","",IFERROR(AVERAGEIFS(DATOS!$K$2:$K$20000,DATOS!$A$2:$A$20000,AE796,DATOS!$G$2:$G$20000,CONFIG_METADATA!$B$4,DATOS!$I$2:$I$20000,"Análisis"),"")))</f>
        <v/>
      </c>
      <c r="AG796" t="str">
        <f>IF(AE796="","",IF(AE796="[FÓRMULA MANUAL]","",IFERROR(AVERAGEIFS(DATOS!$K$2:$K$20000,DATOS!$A$2:$A$20000,AE796,DATOS!$G$2:$G$20000,CONFIG_METADATA!$B$4,DATOS!$I$2:$I$20000,"Orquesta/Banda/Conjunto"),"")))</f>
        <v/>
      </c>
      <c r="AH796" t="str">
        <f>IF(AE796="","",IF(AE796="[FÓRMULA MANUAL]","",IFERROR(AVERAGEIFS(DATOS!$K$2:$K$20000,DATOS!$A$2:$A$20000,AE796,DATOS!$G$2:$G$20000,CONFIG_METADATA!$B$4,DATOS!$I$2:$I$20000,"Música de Cámara"),"")))</f>
        <v/>
      </c>
      <c r="AI796" t="str">
        <f>IF(AE796="","",IF(AE796="[FÓRMULA MANUAL]","",IFERROR(SUMPRODUCT((DATOS!$A$2:$A$20000=AE796)*(DATOS!$G$2:$G$20000=CONFIG_METADATA!$B$4)*(COUNTIF(CONFIG_ASIGNATURAS!$B$7:$B$27,DATOS!$I$2:$I$20000)&gt;0)*(DATOS!$K$2:$K$20000))/SUMPRODUCT((DATOS!$A$2:$A$20000=AE796)*(DATOS!$G$2:$G$20000=CONFIG_METADATA!$B$4)*(COUNTIF(CONFIG_ASIGNATURAS!$B$7:$B$27,DATOS!$I$2:$I$20000)&gt;0)*1),"")))</f>
        <v/>
      </c>
    </row>
    <row r="797" spans="2:35" x14ac:dyDescent="0.2">
      <c r="B797" t="str">
        <f>IF(A797="","",IF(A797="[FÓRMULA MANUAL]","",IFERROR(AVERAGEIFS(DATOS!$K$2:$K$20000,DATOS!$A$2:$A$20000,A797,DATOS!$G$2:$G$20000,CONFIG_METADATA!$B$4,DATOS!$I$2:$I$20000,"Lenguaje Musical"),"")))</f>
        <v/>
      </c>
      <c r="C797" t="str">
        <f>IF(A797="","",IF(A797="[FÓRMULA MANUAL]","",IFERROR(AVERAGEIFS(DATOS!$K$2:$K$20000,DATOS!$A$2:$A$20000,A797,DATOS!$G$2:$G$20000,CONFIG_METADATA!$B$4,DATOS!$I$2:$I$20000,"Orquesta/Banda/Conjunto"),"")))</f>
        <v/>
      </c>
      <c r="D797" t="str">
        <f>IF(A797="","",IF(A797="[FÓRMULA MANUAL]","",IFERROR(AVERAGEIFS(DATOS!$K$2:$K$20000,DATOS!$A$2:$A$20000,A797,DATOS!$G$2:$G$20000,CONFIG_METADATA!$B$4,DATOS!$I$2:$I$20000,"Conjunto"),"")))</f>
        <v/>
      </c>
      <c r="E797" t="str">
        <f>IF(A797="","",IF(A797="[FÓRMULA MANUAL]","",IFERROR(SUMPRODUCT((DATOS!$A$2:$A$20000=A797)*(DATOS!$G$2:$G$20000=CONFIG_METADATA!$B$4)*(COUNTIF(CONFIG_ASIGNATURAS!$B$7:$B$27,DATOS!$I$2:$I$20000)&gt;0)*(DATOS!$K$2:$K$20000))/SUMPRODUCT((DATOS!$A$2:$A$20000=A797)*(DATOS!$G$2:$G$20000=CONFIG_METADATA!$B$4)*(COUNTIF(CONFIG_ASIGNATURAS!$B$7:$B$27,DATOS!$I$2:$I$20000)&gt;0)*1),"")))</f>
        <v/>
      </c>
      <c r="H797" t="str">
        <f>IF(G797="","",IF(G797="[FÓRMULA MANUAL]","",IFERROR(AVERAGEIFS(DATOS!$K$2:$K$20000,DATOS!$A$2:$A$20000,G797,DATOS!$G$2:$G$20000,CONFIG_METADATA!$B$4,DATOS!$I$2:$I$20000,"Lenguaje Musical"),"")))</f>
        <v/>
      </c>
      <c r="I797" t="str">
        <f>IF(G797="","",IF(G797="[FÓRMULA MANUAL]","",IFERROR(AVERAGEIFS(DATOS!$K$2:$K$20000,DATOS!$A$2:$A$20000,G797,DATOS!$G$2:$G$20000,CONFIG_METADATA!$B$4,DATOS!$I$2:$I$20000,"Orquesta/Banda/Conjunto"),"")))</f>
        <v/>
      </c>
      <c r="J797" t="str">
        <f>IF(G797="","",IF(G797="[FÓRMULA MANUAL]","",IFERROR(AVERAGEIFS(DATOS!$K$2:$K$20000,DATOS!$A$2:$A$20000,G797,DATOS!$G$2:$G$20000,CONFIG_METADATA!$B$4,DATOS!$I$2:$I$20000,"Conjunto"),"")))</f>
        <v/>
      </c>
      <c r="K797" t="str">
        <f>IF(G797="","",IF(G797="[FÓRMULA MANUAL]","",IFERROR(SUMPRODUCT((DATOS!$A$2:$A$20000=G797)*(DATOS!$G$2:$G$20000=CONFIG_METADATA!$B$4)*(COUNTIF(CONFIG_ASIGNATURAS!$B$7:$B$27,DATOS!$I$2:$I$20000)&gt;0)*(DATOS!$K$2:$K$20000))/SUMPRODUCT((DATOS!$A$2:$A$20000=G797)*(DATOS!$G$2:$G$20000=CONFIG_METADATA!$B$4)*(COUNTIF(CONFIG_ASIGNATURAS!$B$7:$B$27,DATOS!$I$2:$I$20000)&gt;0)*1),"")))</f>
        <v/>
      </c>
      <c r="N797" t="str">
        <f>IF(M797="","",IF(M797="[FÓRMULA MANUAL]","",IFERROR(AVERAGEIFS(DATOS!$K$2:$K$20000,DATOS!$A$2:$A$20000,M797,DATOS!$G$2:$G$20000,CONFIG_METADATA!$B$4,DATOS!$I$2:$I$20000,"Armonía"),"")))</f>
        <v/>
      </c>
      <c r="O797" t="str">
        <f>IF(M797="","",IF(M797="[FÓRMULA MANUAL]","",IFERROR(AVERAGEIFS(DATOS!$K$2:$K$20000,DATOS!$A$2:$A$20000,M797,DATOS!$G$2:$G$20000,CONFIG_METADATA!$B$4,DATOS!$I$2:$I$20000,"Orquesta/Banda/Conjunto"),"")))</f>
        <v/>
      </c>
      <c r="P797" t="str">
        <f>IF(M797="","",IF(M797="[FÓRMULA MANUAL]","",IFERROR(AVERAGEIFS(DATOS!$K$2:$K$20000,DATOS!$A$2:$A$20000,M797,DATOS!$G$2:$G$20000,CONFIG_METADATA!$B$4,DATOS!$I$2:$I$20000,"Música de Cámara"),"")))</f>
        <v/>
      </c>
      <c r="Q797" t="str">
        <f>IF(M797="","",IF(M797="[FÓRMULA MANUAL]","",IFERROR(SUMPRODUCT((DATOS!$A$2:$A$20000=M797)*(DATOS!$G$2:$G$20000=CONFIG_METADATA!$B$4)*(COUNTIF(CONFIG_ASIGNATURAS!$B$7:$B$27,DATOS!$I$2:$I$20000)&gt;0)*(DATOS!$K$2:$K$20000))/SUMPRODUCT((DATOS!$A$2:$A$20000=M797)*(DATOS!$G$2:$G$20000=CONFIG_METADATA!$B$4)*(COUNTIF(CONFIG_ASIGNATURAS!$B$7:$B$27,DATOS!$I$2:$I$20000)&gt;0)*1),"")))</f>
        <v/>
      </c>
      <c r="T797" t="str">
        <f>IF(S797="","",IF(S797="[FÓRMULA MANUAL]","",IFERROR(AVERAGEIFS(DATOS!$K$2:$K$20000,DATOS!$A$2:$A$20000,S797,DATOS!$G$2:$G$20000,CONFIG_METADATA!$B$4,DATOS!$I$2:$I$20000,"Armonía"),"")))</f>
        <v/>
      </c>
      <c r="U797" t="str">
        <f>IF(S797="","",IF(S797="[FÓRMULA MANUAL]","",IFERROR(AVERAGEIFS(DATOS!$K$2:$K$20000,DATOS!$A$2:$A$20000,S797,DATOS!$G$2:$G$20000,CONFIG_METADATA!$B$4,DATOS!$I$2:$I$20000,"Orquesta/Banda/Conjunto"),"")))</f>
        <v/>
      </c>
      <c r="V797" t="str">
        <f>IF(S797="","",IF(S797="[FÓRMULA MANUAL]","",IFERROR(AVERAGEIFS(DATOS!$K$2:$K$20000,DATOS!$A$2:$A$20000,S797,DATOS!$G$2:$G$20000,CONFIG_METADATA!$B$4,DATOS!$I$2:$I$20000,"Música de Cámara"),"")))</f>
        <v/>
      </c>
      <c r="W797" t="str">
        <f>IF(S797="","",IF(S797="[FÓRMULA MANUAL]","",IFERROR(SUMPRODUCT((DATOS!$A$2:$A$20000=S797)*(DATOS!$G$2:$G$20000=CONFIG_METADATA!$B$4)*(COUNTIF(CONFIG_ASIGNATURAS!$B$7:$B$27,DATOS!$I$2:$I$20000)&gt;0)*(DATOS!$K$2:$K$20000))/SUMPRODUCT((DATOS!$A$2:$A$20000=S797)*(DATOS!$G$2:$G$20000=CONFIG_METADATA!$B$4)*(COUNTIF(CONFIG_ASIGNATURAS!$B$7:$B$27,DATOS!$I$2:$I$20000)&gt;0)*1),"")))</f>
        <v/>
      </c>
      <c r="Z797" t="str">
        <f>IF(Y797="","",IF(Y797="[FÓRMULA MANUAL]","",IFERROR(AVERAGEIFS(DATOS!$K$2:$K$20000,DATOS!$A$2:$A$20000,Y797,DATOS!$G$2:$G$20000,CONFIG_METADATA!$B$4,DATOS!$I$2:$I$20000,"Análisis"),"")))</f>
        <v/>
      </c>
      <c r="AA797" t="str">
        <f>IF(Y797="","",IF(Y797="[FÓRMULA MANUAL]","",IFERROR(AVERAGEIFS(DATOS!$K$2:$K$20000,DATOS!$A$2:$A$20000,Y797,DATOS!$G$2:$G$20000,CONFIG_METADATA!$B$4,DATOS!$I$2:$I$20000,"Orquesta/Banda/Conjunto"),"")))</f>
        <v/>
      </c>
      <c r="AB797" t="str">
        <f>IF(Y797="","",IF(Y797="[FÓRMULA MANUAL]","",IFERROR(AVERAGEIFS(DATOS!$K$2:$K$20000,DATOS!$A$2:$A$20000,Y797,DATOS!$G$2:$G$20000,CONFIG_METADATA!$B$4,DATOS!$I$2:$I$20000,"Música de Cámara"),"")))</f>
        <v/>
      </c>
      <c r="AC797" t="str">
        <f>IF(Y797="","",IF(Y797="[FÓRMULA MANUAL]","",IFERROR(SUMPRODUCT((DATOS!$A$2:$A$20000=Y797)*(DATOS!$G$2:$G$20000=CONFIG_METADATA!$B$4)*(COUNTIF(CONFIG_ASIGNATURAS!$B$7:$B$27,DATOS!$I$2:$I$20000)&gt;0)*(DATOS!$K$2:$K$20000))/SUMPRODUCT((DATOS!$A$2:$A$20000=Y797)*(DATOS!$G$2:$G$20000=CONFIG_METADATA!$B$4)*(COUNTIF(CONFIG_ASIGNATURAS!$B$7:$B$27,DATOS!$I$2:$I$20000)&gt;0)*1),"")))</f>
        <v/>
      </c>
      <c r="AF797" t="str">
        <f>IF(AE797="","",IF(AE797="[FÓRMULA MANUAL]","",IFERROR(AVERAGEIFS(DATOS!$K$2:$K$20000,DATOS!$A$2:$A$20000,AE797,DATOS!$G$2:$G$20000,CONFIG_METADATA!$B$4,DATOS!$I$2:$I$20000,"Análisis"),"")))</f>
        <v/>
      </c>
      <c r="AG797" t="str">
        <f>IF(AE797="","",IF(AE797="[FÓRMULA MANUAL]","",IFERROR(AVERAGEIFS(DATOS!$K$2:$K$20000,DATOS!$A$2:$A$20000,AE797,DATOS!$G$2:$G$20000,CONFIG_METADATA!$B$4,DATOS!$I$2:$I$20000,"Orquesta/Banda/Conjunto"),"")))</f>
        <v/>
      </c>
      <c r="AH797" t="str">
        <f>IF(AE797="","",IF(AE797="[FÓRMULA MANUAL]","",IFERROR(AVERAGEIFS(DATOS!$K$2:$K$20000,DATOS!$A$2:$A$20000,AE797,DATOS!$G$2:$G$20000,CONFIG_METADATA!$B$4,DATOS!$I$2:$I$20000,"Música de Cámara"),"")))</f>
        <v/>
      </c>
      <c r="AI797" t="str">
        <f>IF(AE797="","",IF(AE797="[FÓRMULA MANUAL]","",IFERROR(SUMPRODUCT((DATOS!$A$2:$A$20000=AE797)*(DATOS!$G$2:$G$20000=CONFIG_METADATA!$B$4)*(COUNTIF(CONFIG_ASIGNATURAS!$B$7:$B$27,DATOS!$I$2:$I$20000)&gt;0)*(DATOS!$K$2:$K$20000))/SUMPRODUCT((DATOS!$A$2:$A$20000=AE797)*(DATOS!$G$2:$G$20000=CONFIG_METADATA!$B$4)*(COUNTIF(CONFIG_ASIGNATURAS!$B$7:$B$27,DATOS!$I$2:$I$20000)&gt;0)*1),"")))</f>
        <v/>
      </c>
    </row>
    <row r="798" spans="2:35" x14ac:dyDescent="0.2">
      <c r="B798" t="str">
        <f>IF(A798="","",IF(A798="[FÓRMULA MANUAL]","",IFERROR(AVERAGEIFS(DATOS!$K$2:$K$20000,DATOS!$A$2:$A$20000,A798,DATOS!$G$2:$G$20000,CONFIG_METADATA!$B$4,DATOS!$I$2:$I$20000,"Lenguaje Musical"),"")))</f>
        <v/>
      </c>
      <c r="C798" t="str">
        <f>IF(A798="","",IF(A798="[FÓRMULA MANUAL]","",IFERROR(AVERAGEIFS(DATOS!$K$2:$K$20000,DATOS!$A$2:$A$20000,A798,DATOS!$G$2:$G$20000,CONFIG_METADATA!$B$4,DATOS!$I$2:$I$20000,"Orquesta/Banda/Conjunto"),"")))</f>
        <v/>
      </c>
      <c r="D798" t="str">
        <f>IF(A798="","",IF(A798="[FÓRMULA MANUAL]","",IFERROR(AVERAGEIFS(DATOS!$K$2:$K$20000,DATOS!$A$2:$A$20000,A798,DATOS!$G$2:$G$20000,CONFIG_METADATA!$B$4,DATOS!$I$2:$I$20000,"Conjunto"),"")))</f>
        <v/>
      </c>
      <c r="E798" t="str">
        <f>IF(A798="","",IF(A798="[FÓRMULA MANUAL]","",IFERROR(SUMPRODUCT((DATOS!$A$2:$A$20000=A798)*(DATOS!$G$2:$G$20000=CONFIG_METADATA!$B$4)*(COUNTIF(CONFIG_ASIGNATURAS!$B$7:$B$27,DATOS!$I$2:$I$20000)&gt;0)*(DATOS!$K$2:$K$20000))/SUMPRODUCT((DATOS!$A$2:$A$20000=A798)*(DATOS!$G$2:$G$20000=CONFIG_METADATA!$B$4)*(COUNTIF(CONFIG_ASIGNATURAS!$B$7:$B$27,DATOS!$I$2:$I$20000)&gt;0)*1),"")))</f>
        <v/>
      </c>
      <c r="H798" t="str">
        <f>IF(G798="","",IF(G798="[FÓRMULA MANUAL]","",IFERROR(AVERAGEIFS(DATOS!$K$2:$K$20000,DATOS!$A$2:$A$20000,G798,DATOS!$G$2:$G$20000,CONFIG_METADATA!$B$4,DATOS!$I$2:$I$20000,"Lenguaje Musical"),"")))</f>
        <v/>
      </c>
      <c r="I798" t="str">
        <f>IF(G798="","",IF(G798="[FÓRMULA MANUAL]","",IFERROR(AVERAGEIFS(DATOS!$K$2:$K$20000,DATOS!$A$2:$A$20000,G798,DATOS!$G$2:$G$20000,CONFIG_METADATA!$B$4,DATOS!$I$2:$I$20000,"Orquesta/Banda/Conjunto"),"")))</f>
        <v/>
      </c>
      <c r="J798" t="str">
        <f>IF(G798="","",IF(G798="[FÓRMULA MANUAL]","",IFERROR(AVERAGEIFS(DATOS!$K$2:$K$20000,DATOS!$A$2:$A$20000,G798,DATOS!$G$2:$G$20000,CONFIG_METADATA!$B$4,DATOS!$I$2:$I$20000,"Conjunto"),"")))</f>
        <v/>
      </c>
      <c r="K798" t="str">
        <f>IF(G798="","",IF(G798="[FÓRMULA MANUAL]","",IFERROR(SUMPRODUCT((DATOS!$A$2:$A$20000=G798)*(DATOS!$G$2:$G$20000=CONFIG_METADATA!$B$4)*(COUNTIF(CONFIG_ASIGNATURAS!$B$7:$B$27,DATOS!$I$2:$I$20000)&gt;0)*(DATOS!$K$2:$K$20000))/SUMPRODUCT((DATOS!$A$2:$A$20000=G798)*(DATOS!$G$2:$G$20000=CONFIG_METADATA!$B$4)*(COUNTIF(CONFIG_ASIGNATURAS!$B$7:$B$27,DATOS!$I$2:$I$20000)&gt;0)*1),"")))</f>
        <v/>
      </c>
      <c r="N798" t="str">
        <f>IF(M798="","",IF(M798="[FÓRMULA MANUAL]","",IFERROR(AVERAGEIFS(DATOS!$K$2:$K$20000,DATOS!$A$2:$A$20000,M798,DATOS!$G$2:$G$20000,CONFIG_METADATA!$B$4,DATOS!$I$2:$I$20000,"Armonía"),"")))</f>
        <v/>
      </c>
      <c r="O798" t="str">
        <f>IF(M798="","",IF(M798="[FÓRMULA MANUAL]","",IFERROR(AVERAGEIFS(DATOS!$K$2:$K$20000,DATOS!$A$2:$A$20000,M798,DATOS!$G$2:$G$20000,CONFIG_METADATA!$B$4,DATOS!$I$2:$I$20000,"Orquesta/Banda/Conjunto"),"")))</f>
        <v/>
      </c>
      <c r="P798" t="str">
        <f>IF(M798="","",IF(M798="[FÓRMULA MANUAL]","",IFERROR(AVERAGEIFS(DATOS!$K$2:$K$20000,DATOS!$A$2:$A$20000,M798,DATOS!$G$2:$G$20000,CONFIG_METADATA!$B$4,DATOS!$I$2:$I$20000,"Música de Cámara"),"")))</f>
        <v/>
      </c>
      <c r="Q798" t="str">
        <f>IF(M798="","",IF(M798="[FÓRMULA MANUAL]","",IFERROR(SUMPRODUCT((DATOS!$A$2:$A$20000=M798)*(DATOS!$G$2:$G$20000=CONFIG_METADATA!$B$4)*(COUNTIF(CONFIG_ASIGNATURAS!$B$7:$B$27,DATOS!$I$2:$I$20000)&gt;0)*(DATOS!$K$2:$K$20000))/SUMPRODUCT((DATOS!$A$2:$A$20000=M798)*(DATOS!$G$2:$G$20000=CONFIG_METADATA!$B$4)*(COUNTIF(CONFIG_ASIGNATURAS!$B$7:$B$27,DATOS!$I$2:$I$20000)&gt;0)*1),"")))</f>
        <v/>
      </c>
      <c r="T798" t="str">
        <f>IF(S798="","",IF(S798="[FÓRMULA MANUAL]","",IFERROR(AVERAGEIFS(DATOS!$K$2:$K$20000,DATOS!$A$2:$A$20000,S798,DATOS!$G$2:$G$20000,CONFIG_METADATA!$B$4,DATOS!$I$2:$I$20000,"Armonía"),"")))</f>
        <v/>
      </c>
      <c r="U798" t="str">
        <f>IF(S798="","",IF(S798="[FÓRMULA MANUAL]","",IFERROR(AVERAGEIFS(DATOS!$K$2:$K$20000,DATOS!$A$2:$A$20000,S798,DATOS!$G$2:$G$20000,CONFIG_METADATA!$B$4,DATOS!$I$2:$I$20000,"Orquesta/Banda/Conjunto"),"")))</f>
        <v/>
      </c>
      <c r="V798" t="str">
        <f>IF(S798="","",IF(S798="[FÓRMULA MANUAL]","",IFERROR(AVERAGEIFS(DATOS!$K$2:$K$20000,DATOS!$A$2:$A$20000,S798,DATOS!$G$2:$G$20000,CONFIG_METADATA!$B$4,DATOS!$I$2:$I$20000,"Música de Cámara"),"")))</f>
        <v/>
      </c>
      <c r="W798" t="str">
        <f>IF(S798="","",IF(S798="[FÓRMULA MANUAL]","",IFERROR(SUMPRODUCT((DATOS!$A$2:$A$20000=S798)*(DATOS!$G$2:$G$20000=CONFIG_METADATA!$B$4)*(COUNTIF(CONFIG_ASIGNATURAS!$B$7:$B$27,DATOS!$I$2:$I$20000)&gt;0)*(DATOS!$K$2:$K$20000))/SUMPRODUCT((DATOS!$A$2:$A$20000=S798)*(DATOS!$G$2:$G$20000=CONFIG_METADATA!$B$4)*(COUNTIF(CONFIG_ASIGNATURAS!$B$7:$B$27,DATOS!$I$2:$I$20000)&gt;0)*1),"")))</f>
        <v/>
      </c>
      <c r="Z798" t="str">
        <f>IF(Y798="","",IF(Y798="[FÓRMULA MANUAL]","",IFERROR(AVERAGEIFS(DATOS!$K$2:$K$20000,DATOS!$A$2:$A$20000,Y798,DATOS!$G$2:$G$20000,CONFIG_METADATA!$B$4,DATOS!$I$2:$I$20000,"Análisis"),"")))</f>
        <v/>
      </c>
      <c r="AA798" t="str">
        <f>IF(Y798="","",IF(Y798="[FÓRMULA MANUAL]","",IFERROR(AVERAGEIFS(DATOS!$K$2:$K$20000,DATOS!$A$2:$A$20000,Y798,DATOS!$G$2:$G$20000,CONFIG_METADATA!$B$4,DATOS!$I$2:$I$20000,"Orquesta/Banda/Conjunto"),"")))</f>
        <v/>
      </c>
      <c r="AB798" t="str">
        <f>IF(Y798="","",IF(Y798="[FÓRMULA MANUAL]","",IFERROR(AVERAGEIFS(DATOS!$K$2:$K$20000,DATOS!$A$2:$A$20000,Y798,DATOS!$G$2:$G$20000,CONFIG_METADATA!$B$4,DATOS!$I$2:$I$20000,"Música de Cámara"),"")))</f>
        <v/>
      </c>
      <c r="AC798" t="str">
        <f>IF(Y798="","",IF(Y798="[FÓRMULA MANUAL]","",IFERROR(SUMPRODUCT((DATOS!$A$2:$A$20000=Y798)*(DATOS!$G$2:$G$20000=CONFIG_METADATA!$B$4)*(COUNTIF(CONFIG_ASIGNATURAS!$B$7:$B$27,DATOS!$I$2:$I$20000)&gt;0)*(DATOS!$K$2:$K$20000))/SUMPRODUCT((DATOS!$A$2:$A$20000=Y798)*(DATOS!$G$2:$G$20000=CONFIG_METADATA!$B$4)*(COUNTIF(CONFIG_ASIGNATURAS!$B$7:$B$27,DATOS!$I$2:$I$20000)&gt;0)*1),"")))</f>
        <v/>
      </c>
      <c r="AF798" t="str">
        <f>IF(AE798="","",IF(AE798="[FÓRMULA MANUAL]","",IFERROR(AVERAGEIFS(DATOS!$K$2:$K$20000,DATOS!$A$2:$A$20000,AE798,DATOS!$G$2:$G$20000,CONFIG_METADATA!$B$4,DATOS!$I$2:$I$20000,"Análisis"),"")))</f>
        <v/>
      </c>
      <c r="AG798" t="str">
        <f>IF(AE798="","",IF(AE798="[FÓRMULA MANUAL]","",IFERROR(AVERAGEIFS(DATOS!$K$2:$K$20000,DATOS!$A$2:$A$20000,AE798,DATOS!$G$2:$G$20000,CONFIG_METADATA!$B$4,DATOS!$I$2:$I$20000,"Orquesta/Banda/Conjunto"),"")))</f>
        <v/>
      </c>
      <c r="AH798" t="str">
        <f>IF(AE798="","",IF(AE798="[FÓRMULA MANUAL]","",IFERROR(AVERAGEIFS(DATOS!$K$2:$K$20000,DATOS!$A$2:$A$20000,AE798,DATOS!$G$2:$G$20000,CONFIG_METADATA!$B$4,DATOS!$I$2:$I$20000,"Música de Cámara"),"")))</f>
        <v/>
      </c>
      <c r="AI798" t="str">
        <f>IF(AE798="","",IF(AE798="[FÓRMULA MANUAL]","",IFERROR(SUMPRODUCT((DATOS!$A$2:$A$20000=AE798)*(DATOS!$G$2:$G$20000=CONFIG_METADATA!$B$4)*(COUNTIF(CONFIG_ASIGNATURAS!$B$7:$B$27,DATOS!$I$2:$I$20000)&gt;0)*(DATOS!$K$2:$K$20000))/SUMPRODUCT((DATOS!$A$2:$A$20000=AE798)*(DATOS!$G$2:$G$20000=CONFIG_METADATA!$B$4)*(COUNTIF(CONFIG_ASIGNATURAS!$B$7:$B$27,DATOS!$I$2:$I$20000)&gt;0)*1),"")))</f>
        <v/>
      </c>
    </row>
    <row r="799" spans="2:35" x14ac:dyDescent="0.2">
      <c r="B799" t="str">
        <f>IF(A799="","",IF(A799="[FÓRMULA MANUAL]","",IFERROR(AVERAGEIFS(DATOS!$K$2:$K$20000,DATOS!$A$2:$A$20000,A799,DATOS!$G$2:$G$20000,CONFIG_METADATA!$B$4,DATOS!$I$2:$I$20000,"Lenguaje Musical"),"")))</f>
        <v/>
      </c>
      <c r="C799" t="str">
        <f>IF(A799="","",IF(A799="[FÓRMULA MANUAL]","",IFERROR(AVERAGEIFS(DATOS!$K$2:$K$20000,DATOS!$A$2:$A$20000,A799,DATOS!$G$2:$G$20000,CONFIG_METADATA!$B$4,DATOS!$I$2:$I$20000,"Orquesta/Banda/Conjunto"),"")))</f>
        <v/>
      </c>
      <c r="D799" t="str">
        <f>IF(A799="","",IF(A799="[FÓRMULA MANUAL]","",IFERROR(AVERAGEIFS(DATOS!$K$2:$K$20000,DATOS!$A$2:$A$20000,A799,DATOS!$G$2:$G$20000,CONFIG_METADATA!$B$4,DATOS!$I$2:$I$20000,"Conjunto"),"")))</f>
        <v/>
      </c>
      <c r="E799" t="str">
        <f>IF(A799="","",IF(A799="[FÓRMULA MANUAL]","",IFERROR(SUMPRODUCT((DATOS!$A$2:$A$20000=A799)*(DATOS!$G$2:$G$20000=CONFIG_METADATA!$B$4)*(COUNTIF(CONFIG_ASIGNATURAS!$B$7:$B$27,DATOS!$I$2:$I$20000)&gt;0)*(DATOS!$K$2:$K$20000))/SUMPRODUCT((DATOS!$A$2:$A$20000=A799)*(DATOS!$G$2:$G$20000=CONFIG_METADATA!$B$4)*(COUNTIF(CONFIG_ASIGNATURAS!$B$7:$B$27,DATOS!$I$2:$I$20000)&gt;0)*1),"")))</f>
        <v/>
      </c>
      <c r="H799" t="str">
        <f>IF(G799="","",IF(G799="[FÓRMULA MANUAL]","",IFERROR(AVERAGEIFS(DATOS!$K$2:$K$20000,DATOS!$A$2:$A$20000,G799,DATOS!$G$2:$G$20000,CONFIG_METADATA!$B$4,DATOS!$I$2:$I$20000,"Lenguaje Musical"),"")))</f>
        <v/>
      </c>
      <c r="I799" t="str">
        <f>IF(G799="","",IF(G799="[FÓRMULA MANUAL]","",IFERROR(AVERAGEIFS(DATOS!$K$2:$K$20000,DATOS!$A$2:$A$20000,G799,DATOS!$G$2:$G$20000,CONFIG_METADATA!$B$4,DATOS!$I$2:$I$20000,"Orquesta/Banda/Conjunto"),"")))</f>
        <v/>
      </c>
      <c r="J799" t="str">
        <f>IF(G799="","",IF(G799="[FÓRMULA MANUAL]","",IFERROR(AVERAGEIFS(DATOS!$K$2:$K$20000,DATOS!$A$2:$A$20000,G799,DATOS!$G$2:$G$20000,CONFIG_METADATA!$B$4,DATOS!$I$2:$I$20000,"Conjunto"),"")))</f>
        <v/>
      </c>
      <c r="K799" t="str">
        <f>IF(G799="","",IF(G799="[FÓRMULA MANUAL]","",IFERROR(SUMPRODUCT((DATOS!$A$2:$A$20000=G799)*(DATOS!$G$2:$G$20000=CONFIG_METADATA!$B$4)*(COUNTIF(CONFIG_ASIGNATURAS!$B$7:$B$27,DATOS!$I$2:$I$20000)&gt;0)*(DATOS!$K$2:$K$20000))/SUMPRODUCT((DATOS!$A$2:$A$20000=G799)*(DATOS!$G$2:$G$20000=CONFIG_METADATA!$B$4)*(COUNTIF(CONFIG_ASIGNATURAS!$B$7:$B$27,DATOS!$I$2:$I$20000)&gt;0)*1),"")))</f>
        <v/>
      </c>
      <c r="N799" t="str">
        <f>IF(M799="","",IF(M799="[FÓRMULA MANUAL]","",IFERROR(AVERAGEIFS(DATOS!$K$2:$K$20000,DATOS!$A$2:$A$20000,M799,DATOS!$G$2:$G$20000,CONFIG_METADATA!$B$4,DATOS!$I$2:$I$20000,"Armonía"),"")))</f>
        <v/>
      </c>
      <c r="O799" t="str">
        <f>IF(M799="","",IF(M799="[FÓRMULA MANUAL]","",IFERROR(AVERAGEIFS(DATOS!$K$2:$K$20000,DATOS!$A$2:$A$20000,M799,DATOS!$G$2:$G$20000,CONFIG_METADATA!$B$4,DATOS!$I$2:$I$20000,"Orquesta/Banda/Conjunto"),"")))</f>
        <v/>
      </c>
      <c r="P799" t="str">
        <f>IF(M799="","",IF(M799="[FÓRMULA MANUAL]","",IFERROR(AVERAGEIFS(DATOS!$K$2:$K$20000,DATOS!$A$2:$A$20000,M799,DATOS!$G$2:$G$20000,CONFIG_METADATA!$B$4,DATOS!$I$2:$I$20000,"Música de Cámara"),"")))</f>
        <v/>
      </c>
      <c r="Q799" t="str">
        <f>IF(M799="","",IF(M799="[FÓRMULA MANUAL]","",IFERROR(SUMPRODUCT((DATOS!$A$2:$A$20000=M799)*(DATOS!$G$2:$G$20000=CONFIG_METADATA!$B$4)*(COUNTIF(CONFIG_ASIGNATURAS!$B$7:$B$27,DATOS!$I$2:$I$20000)&gt;0)*(DATOS!$K$2:$K$20000))/SUMPRODUCT((DATOS!$A$2:$A$20000=M799)*(DATOS!$G$2:$G$20000=CONFIG_METADATA!$B$4)*(COUNTIF(CONFIG_ASIGNATURAS!$B$7:$B$27,DATOS!$I$2:$I$20000)&gt;0)*1),"")))</f>
        <v/>
      </c>
      <c r="T799" t="str">
        <f>IF(S799="","",IF(S799="[FÓRMULA MANUAL]","",IFERROR(AVERAGEIFS(DATOS!$K$2:$K$20000,DATOS!$A$2:$A$20000,S799,DATOS!$G$2:$G$20000,CONFIG_METADATA!$B$4,DATOS!$I$2:$I$20000,"Armonía"),"")))</f>
        <v/>
      </c>
      <c r="U799" t="str">
        <f>IF(S799="","",IF(S799="[FÓRMULA MANUAL]","",IFERROR(AVERAGEIFS(DATOS!$K$2:$K$20000,DATOS!$A$2:$A$20000,S799,DATOS!$G$2:$G$20000,CONFIG_METADATA!$B$4,DATOS!$I$2:$I$20000,"Orquesta/Banda/Conjunto"),"")))</f>
        <v/>
      </c>
      <c r="V799" t="str">
        <f>IF(S799="","",IF(S799="[FÓRMULA MANUAL]","",IFERROR(AVERAGEIFS(DATOS!$K$2:$K$20000,DATOS!$A$2:$A$20000,S799,DATOS!$G$2:$G$20000,CONFIG_METADATA!$B$4,DATOS!$I$2:$I$20000,"Música de Cámara"),"")))</f>
        <v/>
      </c>
      <c r="W799" t="str">
        <f>IF(S799="","",IF(S799="[FÓRMULA MANUAL]","",IFERROR(SUMPRODUCT((DATOS!$A$2:$A$20000=S799)*(DATOS!$G$2:$G$20000=CONFIG_METADATA!$B$4)*(COUNTIF(CONFIG_ASIGNATURAS!$B$7:$B$27,DATOS!$I$2:$I$20000)&gt;0)*(DATOS!$K$2:$K$20000))/SUMPRODUCT((DATOS!$A$2:$A$20000=S799)*(DATOS!$G$2:$G$20000=CONFIG_METADATA!$B$4)*(COUNTIF(CONFIG_ASIGNATURAS!$B$7:$B$27,DATOS!$I$2:$I$20000)&gt;0)*1),"")))</f>
        <v/>
      </c>
      <c r="Z799" t="str">
        <f>IF(Y799="","",IF(Y799="[FÓRMULA MANUAL]","",IFERROR(AVERAGEIFS(DATOS!$K$2:$K$20000,DATOS!$A$2:$A$20000,Y799,DATOS!$G$2:$G$20000,CONFIG_METADATA!$B$4,DATOS!$I$2:$I$20000,"Análisis"),"")))</f>
        <v/>
      </c>
      <c r="AA799" t="str">
        <f>IF(Y799="","",IF(Y799="[FÓRMULA MANUAL]","",IFERROR(AVERAGEIFS(DATOS!$K$2:$K$20000,DATOS!$A$2:$A$20000,Y799,DATOS!$G$2:$G$20000,CONFIG_METADATA!$B$4,DATOS!$I$2:$I$20000,"Orquesta/Banda/Conjunto"),"")))</f>
        <v/>
      </c>
      <c r="AB799" t="str">
        <f>IF(Y799="","",IF(Y799="[FÓRMULA MANUAL]","",IFERROR(AVERAGEIFS(DATOS!$K$2:$K$20000,DATOS!$A$2:$A$20000,Y799,DATOS!$G$2:$G$20000,CONFIG_METADATA!$B$4,DATOS!$I$2:$I$20000,"Música de Cámara"),"")))</f>
        <v/>
      </c>
      <c r="AC799" t="str">
        <f>IF(Y799="","",IF(Y799="[FÓRMULA MANUAL]","",IFERROR(SUMPRODUCT((DATOS!$A$2:$A$20000=Y799)*(DATOS!$G$2:$G$20000=CONFIG_METADATA!$B$4)*(COUNTIF(CONFIG_ASIGNATURAS!$B$7:$B$27,DATOS!$I$2:$I$20000)&gt;0)*(DATOS!$K$2:$K$20000))/SUMPRODUCT((DATOS!$A$2:$A$20000=Y799)*(DATOS!$G$2:$G$20000=CONFIG_METADATA!$B$4)*(COUNTIF(CONFIG_ASIGNATURAS!$B$7:$B$27,DATOS!$I$2:$I$20000)&gt;0)*1),"")))</f>
        <v/>
      </c>
      <c r="AF799" t="str">
        <f>IF(AE799="","",IF(AE799="[FÓRMULA MANUAL]","",IFERROR(AVERAGEIFS(DATOS!$K$2:$K$20000,DATOS!$A$2:$A$20000,AE799,DATOS!$G$2:$G$20000,CONFIG_METADATA!$B$4,DATOS!$I$2:$I$20000,"Análisis"),"")))</f>
        <v/>
      </c>
      <c r="AG799" t="str">
        <f>IF(AE799="","",IF(AE799="[FÓRMULA MANUAL]","",IFERROR(AVERAGEIFS(DATOS!$K$2:$K$20000,DATOS!$A$2:$A$20000,AE799,DATOS!$G$2:$G$20000,CONFIG_METADATA!$B$4,DATOS!$I$2:$I$20000,"Orquesta/Banda/Conjunto"),"")))</f>
        <v/>
      </c>
      <c r="AH799" t="str">
        <f>IF(AE799="","",IF(AE799="[FÓRMULA MANUAL]","",IFERROR(AVERAGEIFS(DATOS!$K$2:$K$20000,DATOS!$A$2:$A$20000,AE799,DATOS!$G$2:$G$20000,CONFIG_METADATA!$B$4,DATOS!$I$2:$I$20000,"Música de Cámara"),"")))</f>
        <v/>
      </c>
      <c r="AI799" t="str">
        <f>IF(AE799="","",IF(AE799="[FÓRMULA MANUAL]","",IFERROR(SUMPRODUCT((DATOS!$A$2:$A$20000=AE799)*(DATOS!$G$2:$G$20000=CONFIG_METADATA!$B$4)*(COUNTIF(CONFIG_ASIGNATURAS!$B$7:$B$27,DATOS!$I$2:$I$20000)&gt;0)*(DATOS!$K$2:$K$20000))/SUMPRODUCT((DATOS!$A$2:$A$20000=AE799)*(DATOS!$G$2:$G$20000=CONFIG_METADATA!$B$4)*(COUNTIF(CONFIG_ASIGNATURAS!$B$7:$B$27,DATOS!$I$2:$I$20000)&gt;0)*1),"")))</f>
        <v/>
      </c>
    </row>
    <row r="800" spans="2:35" x14ac:dyDescent="0.2">
      <c r="B800" t="str">
        <f>IF(A800="","",IF(A800="[FÓRMULA MANUAL]","",IFERROR(AVERAGEIFS(DATOS!$K$2:$K$20000,DATOS!$A$2:$A$20000,A800,DATOS!$G$2:$G$20000,CONFIG_METADATA!$B$4,DATOS!$I$2:$I$20000,"Lenguaje Musical"),"")))</f>
        <v/>
      </c>
      <c r="C800" t="str">
        <f>IF(A800="","",IF(A800="[FÓRMULA MANUAL]","",IFERROR(AVERAGEIFS(DATOS!$K$2:$K$20000,DATOS!$A$2:$A$20000,A800,DATOS!$G$2:$G$20000,CONFIG_METADATA!$B$4,DATOS!$I$2:$I$20000,"Orquesta/Banda/Conjunto"),"")))</f>
        <v/>
      </c>
      <c r="D800" t="str">
        <f>IF(A800="","",IF(A800="[FÓRMULA MANUAL]","",IFERROR(AVERAGEIFS(DATOS!$K$2:$K$20000,DATOS!$A$2:$A$20000,A800,DATOS!$G$2:$G$20000,CONFIG_METADATA!$B$4,DATOS!$I$2:$I$20000,"Conjunto"),"")))</f>
        <v/>
      </c>
      <c r="E800" t="str">
        <f>IF(A800="","",IF(A800="[FÓRMULA MANUAL]","",IFERROR(SUMPRODUCT((DATOS!$A$2:$A$20000=A800)*(DATOS!$G$2:$G$20000=CONFIG_METADATA!$B$4)*(COUNTIF(CONFIG_ASIGNATURAS!$B$7:$B$27,DATOS!$I$2:$I$20000)&gt;0)*(DATOS!$K$2:$K$20000))/SUMPRODUCT((DATOS!$A$2:$A$20000=A800)*(DATOS!$G$2:$G$20000=CONFIG_METADATA!$B$4)*(COUNTIF(CONFIG_ASIGNATURAS!$B$7:$B$27,DATOS!$I$2:$I$20000)&gt;0)*1),"")))</f>
        <v/>
      </c>
      <c r="H800" t="str">
        <f>IF(G800="","",IF(G800="[FÓRMULA MANUAL]","",IFERROR(AVERAGEIFS(DATOS!$K$2:$K$20000,DATOS!$A$2:$A$20000,G800,DATOS!$G$2:$G$20000,CONFIG_METADATA!$B$4,DATOS!$I$2:$I$20000,"Lenguaje Musical"),"")))</f>
        <v/>
      </c>
      <c r="I800" t="str">
        <f>IF(G800="","",IF(G800="[FÓRMULA MANUAL]","",IFERROR(AVERAGEIFS(DATOS!$K$2:$K$20000,DATOS!$A$2:$A$20000,G800,DATOS!$G$2:$G$20000,CONFIG_METADATA!$B$4,DATOS!$I$2:$I$20000,"Orquesta/Banda/Conjunto"),"")))</f>
        <v/>
      </c>
      <c r="J800" t="str">
        <f>IF(G800="","",IF(G800="[FÓRMULA MANUAL]","",IFERROR(AVERAGEIFS(DATOS!$K$2:$K$20000,DATOS!$A$2:$A$20000,G800,DATOS!$G$2:$G$20000,CONFIG_METADATA!$B$4,DATOS!$I$2:$I$20000,"Conjunto"),"")))</f>
        <v/>
      </c>
      <c r="K800" t="str">
        <f>IF(G800="","",IF(G800="[FÓRMULA MANUAL]","",IFERROR(SUMPRODUCT((DATOS!$A$2:$A$20000=G800)*(DATOS!$G$2:$G$20000=CONFIG_METADATA!$B$4)*(COUNTIF(CONFIG_ASIGNATURAS!$B$7:$B$27,DATOS!$I$2:$I$20000)&gt;0)*(DATOS!$K$2:$K$20000))/SUMPRODUCT((DATOS!$A$2:$A$20000=G800)*(DATOS!$G$2:$G$20000=CONFIG_METADATA!$B$4)*(COUNTIF(CONFIG_ASIGNATURAS!$B$7:$B$27,DATOS!$I$2:$I$20000)&gt;0)*1),"")))</f>
        <v/>
      </c>
      <c r="N800" t="str">
        <f>IF(M800="","",IF(M800="[FÓRMULA MANUAL]","",IFERROR(AVERAGEIFS(DATOS!$K$2:$K$20000,DATOS!$A$2:$A$20000,M800,DATOS!$G$2:$G$20000,CONFIG_METADATA!$B$4,DATOS!$I$2:$I$20000,"Armonía"),"")))</f>
        <v/>
      </c>
      <c r="O800" t="str">
        <f>IF(M800="","",IF(M800="[FÓRMULA MANUAL]","",IFERROR(AVERAGEIFS(DATOS!$K$2:$K$20000,DATOS!$A$2:$A$20000,M800,DATOS!$G$2:$G$20000,CONFIG_METADATA!$B$4,DATOS!$I$2:$I$20000,"Orquesta/Banda/Conjunto"),"")))</f>
        <v/>
      </c>
      <c r="P800" t="str">
        <f>IF(M800="","",IF(M800="[FÓRMULA MANUAL]","",IFERROR(AVERAGEIFS(DATOS!$K$2:$K$20000,DATOS!$A$2:$A$20000,M800,DATOS!$G$2:$G$20000,CONFIG_METADATA!$B$4,DATOS!$I$2:$I$20000,"Música de Cámara"),"")))</f>
        <v/>
      </c>
      <c r="Q800" t="str">
        <f>IF(M800="","",IF(M800="[FÓRMULA MANUAL]","",IFERROR(SUMPRODUCT((DATOS!$A$2:$A$20000=M800)*(DATOS!$G$2:$G$20000=CONFIG_METADATA!$B$4)*(COUNTIF(CONFIG_ASIGNATURAS!$B$7:$B$27,DATOS!$I$2:$I$20000)&gt;0)*(DATOS!$K$2:$K$20000))/SUMPRODUCT((DATOS!$A$2:$A$20000=M800)*(DATOS!$G$2:$G$20000=CONFIG_METADATA!$B$4)*(COUNTIF(CONFIG_ASIGNATURAS!$B$7:$B$27,DATOS!$I$2:$I$20000)&gt;0)*1),"")))</f>
        <v/>
      </c>
      <c r="T800" t="str">
        <f>IF(S800="","",IF(S800="[FÓRMULA MANUAL]","",IFERROR(AVERAGEIFS(DATOS!$K$2:$K$20000,DATOS!$A$2:$A$20000,S800,DATOS!$G$2:$G$20000,CONFIG_METADATA!$B$4,DATOS!$I$2:$I$20000,"Armonía"),"")))</f>
        <v/>
      </c>
      <c r="U800" t="str">
        <f>IF(S800="","",IF(S800="[FÓRMULA MANUAL]","",IFERROR(AVERAGEIFS(DATOS!$K$2:$K$20000,DATOS!$A$2:$A$20000,S800,DATOS!$G$2:$G$20000,CONFIG_METADATA!$B$4,DATOS!$I$2:$I$20000,"Orquesta/Banda/Conjunto"),"")))</f>
        <v/>
      </c>
      <c r="V800" t="str">
        <f>IF(S800="","",IF(S800="[FÓRMULA MANUAL]","",IFERROR(AVERAGEIFS(DATOS!$K$2:$K$20000,DATOS!$A$2:$A$20000,S800,DATOS!$G$2:$G$20000,CONFIG_METADATA!$B$4,DATOS!$I$2:$I$20000,"Música de Cámara"),"")))</f>
        <v/>
      </c>
      <c r="W800" t="str">
        <f>IF(S800="","",IF(S800="[FÓRMULA MANUAL]","",IFERROR(SUMPRODUCT((DATOS!$A$2:$A$20000=S800)*(DATOS!$G$2:$G$20000=CONFIG_METADATA!$B$4)*(COUNTIF(CONFIG_ASIGNATURAS!$B$7:$B$27,DATOS!$I$2:$I$20000)&gt;0)*(DATOS!$K$2:$K$20000))/SUMPRODUCT((DATOS!$A$2:$A$20000=S800)*(DATOS!$G$2:$G$20000=CONFIG_METADATA!$B$4)*(COUNTIF(CONFIG_ASIGNATURAS!$B$7:$B$27,DATOS!$I$2:$I$20000)&gt;0)*1),"")))</f>
        <v/>
      </c>
      <c r="Z800" t="str">
        <f>IF(Y800="","",IF(Y800="[FÓRMULA MANUAL]","",IFERROR(AVERAGEIFS(DATOS!$K$2:$K$20000,DATOS!$A$2:$A$20000,Y800,DATOS!$G$2:$G$20000,CONFIG_METADATA!$B$4,DATOS!$I$2:$I$20000,"Análisis"),"")))</f>
        <v/>
      </c>
      <c r="AA800" t="str">
        <f>IF(Y800="","",IF(Y800="[FÓRMULA MANUAL]","",IFERROR(AVERAGEIFS(DATOS!$K$2:$K$20000,DATOS!$A$2:$A$20000,Y800,DATOS!$G$2:$G$20000,CONFIG_METADATA!$B$4,DATOS!$I$2:$I$20000,"Orquesta/Banda/Conjunto"),"")))</f>
        <v/>
      </c>
      <c r="AB800" t="str">
        <f>IF(Y800="","",IF(Y800="[FÓRMULA MANUAL]","",IFERROR(AVERAGEIFS(DATOS!$K$2:$K$20000,DATOS!$A$2:$A$20000,Y800,DATOS!$G$2:$G$20000,CONFIG_METADATA!$B$4,DATOS!$I$2:$I$20000,"Música de Cámara"),"")))</f>
        <v/>
      </c>
      <c r="AC800" t="str">
        <f>IF(Y800="","",IF(Y800="[FÓRMULA MANUAL]","",IFERROR(SUMPRODUCT((DATOS!$A$2:$A$20000=Y800)*(DATOS!$G$2:$G$20000=CONFIG_METADATA!$B$4)*(COUNTIF(CONFIG_ASIGNATURAS!$B$7:$B$27,DATOS!$I$2:$I$20000)&gt;0)*(DATOS!$K$2:$K$20000))/SUMPRODUCT((DATOS!$A$2:$A$20000=Y800)*(DATOS!$G$2:$G$20000=CONFIG_METADATA!$B$4)*(COUNTIF(CONFIG_ASIGNATURAS!$B$7:$B$27,DATOS!$I$2:$I$20000)&gt;0)*1),"")))</f>
        <v/>
      </c>
      <c r="AF800" t="str">
        <f>IF(AE800="","",IF(AE800="[FÓRMULA MANUAL]","",IFERROR(AVERAGEIFS(DATOS!$K$2:$K$20000,DATOS!$A$2:$A$20000,AE800,DATOS!$G$2:$G$20000,CONFIG_METADATA!$B$4,DATOS!$I$2:$I$20000,"Análisis"),"")))</f>
        <v/>
      </c>
      <c r="AG800" t="str">
        <f>IF(AE800="","",IF(AE800="[FÓRMULA MANUAL]","",IFERROR(AVERAGEIFS(DATOS!$K$2:$K$20000,DATOS!$A$2:$A$20000,AE800,DATOS!$G$2:$G$20000,CONFIG_METADATA!$B$4,DATOS!$I$2:$I$20000,"Orquesta/Banda/Conjunto"),"")))</f>
        <v/>
      </c>
      <c r="AH800" t="str">
        <f>IF(AE800="","",IF(AE800="[FÓRMULA MANUAL]","",IFERROR(AVERAGEIFS(DATOS!$K$2:$K$20000,DATOS!$A$2:$A$20000,AE800,DATOS!$G$2:$G$20000,CONFIG_METADATA!$B$4,DATOS!$I$2:$I$20000,"Música de Cámara"),"")))</f>
        <v/>
      </c>
      <c r="AI800" t="str">
        <f>IF(AE800="","",IF(AE800="[FÓRMULA MANUAL]","",IFERROR(SUMPRODUCT((DATOS!$A$2:$A$20000=AE800)*(DATOS!$G$2:$G$20000=CONFIG_METADATA!$B$4)*(COUNTIF(CONFIG_ASIGNATURAS!$B$7:$B$27,DATOS!$I$2:$I$20000)&gt;0)*(DATOS!$K$2:$K$20000))/SUMPRODUCT((DATOS!$A$2:$A$20000=AE800)*(DATOS!$G$2:$G$20000=CONFIG_METADATA!$B$4)*(COUNTIF(CONFIG_ASIGNATURAS!$B$7:$B$27,DATOS!$I$2:$I$20000)&gt;0)*1),"")))</f>
        <v/>
      </c>
    </row>
    <row r="801" spans="2:35" x14ac:dyDescent="0.2">
      <c r="B801" t="str">
        <f>IF(A801="","",IF(A801="[FÓRMULA MANUAL]","",IFERROR(AVERAGEIFS(DATOS!$K$2:$K$20000,DATOS!$A$2:$A$20000,A801,DATOS!$G$2:$G$20000,CONFIG_METADATA!$B$4,DATOS!$I$2:$I$20000,"Lenguaje Musical"),"")))</f>
        <v/>
      </c>
      <c r="C801" t="str">
        <f>IF(A801="","",IF(A801="[FÓRMULA MANUAL]","",IFERROR(AVERAGEIFS(DATOS!$K$2:$K$20000,DATOS!$A$2:$A$20000,A801,DATOS!$G$2:$G$20000,CONFIG_METADATA!$B$4,DATOS!$I$2:$I$20000,"Orquesta/Banda/Conjunto"),"")))</f>
        <v/>
      </c>
      <c r="D801" t="str">
        <f>IF(A801="","",IF(A801="[FÓRMULA MANUAL]","",IFERROR(AVERAGEIFS(DATOS!$K$2:$K$20000,DATOS!$A$2:$A$20000,A801,DATOS!$G$2:$G$20000,CONFIG_METADATA!$B$4,DATOS!$I$2:$I$20000,"Conjunto"),"")))</f>
        <v/>
      </c>
      <c r="E801" t="str">
        <f>IF(A801="","",IF(A801="[FÓRMULA MANUAL]","",IFERROR(SUMPRODUCT((DATOS!$A$2:$A$20000=A801)*(DATOS!$G$2:$G$20000=CONFIG_METADATA!$B$4)*(COUNTIF(CONFIG_ASIGNATURAS!$B$7:$B$27,DATOS!$I$2:$I$20000)&gt;0)*(DATOS!$K$2:$K$20000))/SUMPRODUCT((DATOS!$A$2:$A$20000=A801)*(DATOS!$G$2:$G$20000=CONFIG_METADATA!$B$4)*(COUNTIF(CONFIG_ASIGNATURAS!$B$7:$B$27,DATOS!$I$2:$I$20000)&gt;0)*1),"")))</f>
        <v/>
      </c>
      <c r="H801" t="str">
        <f>IF(G801="","",IF(G801="[FÓRMULA MANUAL]","",IFERROR(AVERAGEIFS(DATOS!$K$2:$K$20000,DATOS!$A$2:$A$20000,G801,DATOS!$G$2:$G$20000,CONFIG_METADATA!$B$4,DATOS!$I$2:$I$20000,"Lenguaje Musical"),"")))</f>
        <v/>
      </c>
      <c r="I801" t="str">
        <f>IF(G801="","",IF(G801="[FÓRMULA MANUAL]","",IFERROR(AVERAGEIFS(DATOS!$K$2:$K$20000,DATOS!$A$2:$A$20000,G801,DATOS!$G$2:$G$20000,CONFIG_METADATA!$B$4,DATOS!$I$2:$I$20000,"Orquesta/Banda/Conjunto"),"")))</f>
        <v/>
      </c>
      <c r="J801" t="str">
        <f>IF(G801="","",IF(G801="[FÓRMULA MANUAL]","",IFERROR(AVERAGEIFS(DATOS!$K$2:$K$20000,DATOS!$A$2:$A$20000,G801,DATOS!$G$2:$G$20000,CONFIG_METADATA!$B$4,DATOS!$I$2:$I$20000,"Conjunto"),"")))</f>
        <v/>
      </c>
      <c r="K801" t="str">
        <f>IF(G801="","",IF(G801="[FÓRMULA MANUAL]","",IFERROR(SUMPRODUCT((DATOS!$A$2:$A$20000=G801)*(DATOS!$G$2:$G$20000=CONFIG_METADATA!$B$4)*(COUNTIF(CONFIG_ASIGNATURAS!$B$7:$B$27,DATOS!$I$2:$I$20000)&gt;0)*(DATOS!$K$2:$K$20000))/SUMPRODUCT((DATOS!$A$2:$A$20000=G801)*(DATOS!$G$2:$G$20000=CONFIG_METADATA!$B$4)*(COUNTIF(CONFIG_ASIGNATURAS!$B$7:$B$27,DATOS!$I$2:$I$20000)&gt;0)*1),"")))</f>
        <v/>
      </c>
      <c r="N801" t="str">
        <f>IF(M801="","",IF(M801="[FÓRMULA MANUAL]","",IFERROR(AVERAGEIFS(DATOS!$K$2:$K$20000,DATOS!$A$2:$A$20000,M801,DATOS!$G$2:$G$20000,CONFIG_METADATA!$B$4,DATOS!$I$2:$I$20000,"Armonía"),"")))</f>
        <v/>
      </c>
      <c r="O801" t="str">
        <f>IF(M801="","",IF(M801="[FÓRMULA MANUAL]","",IFERROR(AVERAGEIFS(DATOS!$K$2:$K$20000,DATOS!$A$2:$A$20000,M801,DATOS!$G$2:$G$20000,CONFIG_METADATA!$B$4,DATOS!$I$2:$I$20000,"Orquesta/Banda/Conjunto"),"")))</f>
        <v/>
      </c>
      <c r="P801" t="str">
        <f>IF(M801="","",IF(M801="[FÓRMULA MANUAL]","",IFERROR(AVERAGEIFS(DATOS!$K$2:$K$20000,DATOS!$A$2:$A$20000,M801,DATOS!$G$2:$G$20000,CONFIG_METADATA!$B$4,DATOS!$I$2:$I$20000,"Música de Cámara"),"")))</f>
        <v/>
      </c>
      <c r="Q801" t="str">
        <f>IF(M801="","",IF(M801="[FÓRMULA MANUAL]","",IFERROR(SUMPRODUCT((DATOS!$A$2:$A$20000=M801)*(DATOS!$G$2:$G$20000=CONFIG_METADATA!$B$4)*(COUNTIF(CONFIG_ASIGNATURAS!$B$7:$B$27,DATOS!$I$2:$I$20000)&gt;0)*(DATOS!$K$2:$K$20000))/SUMPRODUCT((DATOS!$A$2:$A$20000=M801)*(DATOS!$G$2:$G$20000=CONFIG_METADATA!$B$4)*(COUNTIF(CONFIG_ASIGNATURAS!$B$7:$B$27,DATOS!$I$2:$I$20000)&gt;0)*1),"")))</f>
        <v/>
      </c>
      <c r="T801" t="str">
        <f>IF(S801="","",IF(S801="[FÓRMULA MANUAL]","",IFERROR(AVERAGEIFS(DATOS!$K$2:$K$20000,DATOS!$A$2:$A$20000,S801,DATOS!$G$2:$G$20000,CONFIG_METADATA!$B$4,DATOS!$I$2:$I$20000,"Armonía"),"")))</f>
        <v/>
      </c>
      <c r="U801" t="str">
        <f>IF(S801="","",IF(S801="[FÓRMULA MANUAL]","",IFERROR(AVERAGEIFS(DATOS!$K$2:$K$20000,DATOS!$A$2:$A$20000,S801,DATOS!$G$2:$G$20000,CONFIG_METADATA!$B$4,DATOS!$I$2:$I$20000,"Orquesta/Banda/Conjunto"),"")))</f>
        <v/>
      </c>
      <c r="V801" t="str">
        <f>IF(S801="","",IF(S801="[FÓRMULA MANUAL]","",IFERROR(AVERAGEIFS(DATOS!$K$2:$K$20000,DATOS!$A$2:$A$20000,S801,DATOS!$G$2:$G$20000,CONFIG_METADATA!$B$4,DATOS!$I$2:$I$20000,"Música de Cámara"),"")))</f>
        <v/>
      </c>
      <c r="W801" t="str">
        <f>IF(S801="","",IF(S801="[FÓRMULA MANUAL]","",IFERROR(SUMPRODUCT((DATOS!$A$2:$A$20000=S801)*(DATOS!$G$2:$G$20000=CONFIG_METADATA!$B$4)*(COUNTIF(CONFIG_ASIGNATURAS!$B$7:$B$27,DATOS!$I$2:$I$20000)&gt;0)*(DATOS!$K$2:$K$20000))/SUMPRODUCT((DATOS!$A$2:$A$20000=S801)*(DATOS!$G$2:$G$20000=CONFIG_METADATA!$B$4)*(COUNTIF(CONFIG_ASIGNATURAS!$B$7:$B$27,DATOS!$I$2:$I$20000)&gt;0)*1),"")))</f>
        <v/>
      </c>
      <c r="Z801" t="str">
        <f>IF(Y801="","",IF(Y801="[FÓRMULA MANUAL]","",IFERROR(AVERAGEIFS(DATOS!$K$2:$K$20000,DATOS!$A$2:$A$20000,Y801,DATOS!$G$2:$G$20000,CONFIG_METADATA!$B$4,DATOS!$I$2:$I$20000,"Análisis"),"")))</f>
        <v/>
      </c>
      <c r="AA801" t="str">
        <f>IF(Y801="","",IF(Y801="[FÓRMULA MANUAL]","",IFERROR(AVERAGEIFS(DATOS!$K$2:$K$20000,DATOS!$A$2:$A$20000,Y801,DATOS!$G$2:$G$20000,CONFIG_METADATA!$B$4,DATOS!$I$2:$I$20000,"Orquesta/Banda/Conjunto"),"")))</f>
        <v/>
      </c>
      <c r="AB801" t="str">
        <f>IF(Y801="","",IF(Y801="[FÓRMULA MANUAL]","",IFERROR(AVERAGEIFS(DATOS!$K$2:$K$20000,DATOS!$A$2:$A$20000,Y801,DATOS!$G$2:$G$20000,CONFIG_METADATA!$B$4,DATOS!$I$2:$I$20000,"Música de Cámara"),"")))</f>
        <v/>
      </c>
      <c r="AC801" t="str">
        <f>IF(Y801="","",IF(Y801="[FÓRMULA MANUAL]","",IFERROR(SUMPRODUCT((DATOS!$A$2:$A$20000=Y801)*(DATOS!$G$2:$G$20000=CONFIG_METADATA!$B$4)*(COUNTIF(CONFIG_ASIGNATURAS!$B$7:$B$27,DATOS!$I$2:$I$20000)&gt;0)*(DATOS!$K$2:$K$20000))/SUMPRODUCT((DATOS!$A$2:$A$20000=Y801)*(DATOS!$G$2:$G$20000=CONFIG_METADATA!$B$4)*(COUNTIF(CONFIG_ASIGNATURAS!$B$7:$B$27,DATOS!$I$2:$I$20000)&gt;0)*1),"")))</f>
        <v/>
      </c>
      <c r="AF801" t="str">
        <f>IF(AE801="","",IF(AE801="[FÓRMULA MANUAL]","",IFERROR(AVERAGEIFS(DATOS!$K$2:$K$20000,DATOS!$A$2:$A$20000,AE801,DATOS!$G$2:$G$20000,CONFIG_METADATA!$B$4,DATOS!$I$2:$I$20000,"Análisis"),"")))</f>
        <v/>
      </c>
      <c r="AG801" t="str">
        <f>IF(AE801="","",IF(AE801="[FÓRMULA MANUAL]","",IFERROR(AVERAGEIFS(DATOS!$K$2:$K$20000,DATOS!$A$2:$A$20000,AE801,DATOS!$G$2:$G$20000,CONFIG_METADATA!$B$4,DATOS!$I$2:$I$20000,"Orquesta/Banda/Conjunto"),"")))</f>
        <v/>
      </c>
      <c r="AH801" t="str">
        <f>IF(AE801="","",IF(AE801="[FÓRMULA MANUAL]","",IFERROR(AVERAGEIFS(DATOS!$K$2:$K$20000,DATOS!$A$2:$A$20000,AE801,DATOS!$G$2:$G$20000,CONFIG_METADATA!$B$4,DATOS!$I$2:$I$20000,"Música de Cámara"),"")))</f>
        <v/>
      </c>
      <c r="AI801" t="str">
        <f>IF(AE801="","",IF(AE801="[FÓRMULA MANUAL]","",IFERROR(SUMPRODUCT((DATOS!$A$2:$A$20000=AE801)*(DATOS!$G$2:$G$20000=CONFIG_METADATA!$B$4)*(COUNTIF(CONFIG_ASIGNATURAS!$B$7:$B$27,DATOS!$I$2:$I$20000)&gt;0)*(DATOS!$K$2:$K$20000))/SUMPRODUCT((DATOS!$A$2:$A$20000=AE801)*(DATOS!$G$2:$G$20000=CONFIG_METADATA!$B$4)*(COUNTIF(CONFIG_ASIGNATURAS!$B$7:$B$27,DATOS!$I$2:$I$20000)&gt;0)*1),"")))</f>
        <v/>
      </c>
    </row>
    <row r="802" spans="2:35" x14ac:dyDescent="0.2">
      <c r="B802" t="str">
        <f>IF(A802="","",IF(A802="[FÓRMULA MANUAL]","",IFERROR(AVERAGEIFS(DATOS!$K$2:$K$20000,DATOS!$A$2:$A$20000,A802,DATOS!$G$2:$G$20000,CONFIG_METADATA!$B$4,DATOS!$I$2:$I$20000,"Lenguaje Musical"),"")))</f>
        <v/>
      </c>
      <c r="C802" t="str">
        <f>IF(A802="","",IF(A802="[FÓRMULA MANUAL]","",IFERROR(AVERAGEIFS(DATOS!$K$2:$K$20000,DATOS!$A$2:$A$20000,A802,DATOS!$G$2:$G$20000,CONFIG_METADATA!$B$4,DATOS!$I$2:$I$20000,"Orquesta/Banda/Conjunto"),"")))</f>
        <v/>
      </c>
      <c r="D802" t="str">
        <f>IF(A802="","",IF(A802="[FÓRMULA MANUAL]","",IFERROR(AVERAGEIFS(DATOS!$K$2:$K$20000,DATOS!$A$2:$A$20000,A802,DATOS!$G$2:$G$20000,CONFIG_METADATA!$B$4,DATOS!$I$2:$I$20000,"Conjunto"),"")))</f>
        <v/>
      </c>
      <c r="E802" t="str">
        <f>IF(A802="","",IF(A802="[FÓRMULA MANUAL]","",IFERROR(SUMPRODUCT((DATOS!$A$2:$A$20000=A802)*(DATOS!$G$2:$G$20000=CONFIG_METADATA!$B$4)*(COUNTIF(CONFIG_ASIGNATURAS!$B$7:$B$27,DATOS!$I$2:$I$20000)&gt;0)*(DATOS!$K$2:$K$20000))/SUMPRODUCT((DATOS!$A$2:$A$20000=A802)*(DATOS!$G$2:$G$20000=CONFIG_METADATA!$B$4)*(COUNTIF(CONFIG_ASIGNATURAS!$B$7:$B$27,DATOS!$I$2:$I$20000)&gt;0)*1),"")))</f>
        <v/>
      </c>
      <c r="H802" t="str">
        <f>IF(G802="","",IF(G802="[FÓRMULA MANUAL]","",IFERROR(AVERAGEIFS(DATOS!$K$2:$K$20000,DATOS!$A$2:$A$20000,G802,DATOS!$G$2:$G$20000,CONFIG_METADATA!$B$4,DATOS!$I$2:$I$20000,"Lenguaje Musical"),"")))</f>
        <v/>
      </c>
      <c r="I802" t="str">
        <f>IF(G802="","",IF(G802="[FÓRMULA MANUAL]","",IFERROR(AVERAGEIFS(DATOS!$K$2:$K$20000,DATOS!$A$2:$A$20000,G802,DATOS!$G$2:$G$20000,CONFIG_METADATA!$B$4,DATOS!$I$2:$I$20000,"Orquesta/Banda/Conjunto"),"")))</f>
        <v/>
      </c>
      <c r="J802" t="str">
        <f>IF(G802="","",IF(G802="[FÓRMULA MANUAL]","",IFERROR(AVERAGEIFS(DATOS!$K$2:$K$20000,DATOS!$A$2:$A$20000,G802,DATOS!$G$2:$G$20000,CONFIG_METADATA!$B$4,DATOS!$I$2:$I$20000,"Conjunto"),"")))</f>
        <v/>
      </c>
      <c r="K802" t="str">
        <f>IF(G802="","",IF(G802="[FÓRMULA MANUAL]","",IFERROR(SUMPRODUCT((DATOS!$A$2:$A$20000=G802)*(DATOS!$G$2:$G$20000=CONFIG_METADATA!$B$4)*(COUNTIF(CONFIG_ASIGNATURAS!$B$7:$B$27,DATOS!$I$2:$I$20000)&gt;0)*(DATOS!$K$2:$K$20000))/SUMPRODUCT((DATOS!$A$2:$A$20000=G802)*(DATOS!$G$2:$G$20000=CONFIG_METADATA!$B$4)*(COUNTIF(CONFIG_ASIGNATURAS!$B$7:$B$27,DATOS!$I$2:$I$20000)&gt;0)*1),"")))</f>
        <v/>
      </c>
      <c r="N802" t="str">
        <f>IF(M802="","",IF(M802="[FÓRMULA MANUAL]","",IFERROR(AVERAGEIFS(DATOS!$K$2:$K$20000,DATOS!$A$2:$A$20000,M802,DATOS!$G$2:$G$20000,CONFIG_METADATA!$B$4,DATOS!$I$2:$I$20000,"Armonía"),"")))</f>
        <v/>
      </c>
      <c r="O802" t="str">
        <f>IF(M802="","",IF(M802="[FÓRMULA MANUAL]","",IFERROR(AVERAGEIFS(DATOS!$K$2:$K$20000,DATOS!$A$2:$A$20000,M802,DATOS!$G$2:$G$20000,CONFIG_METADATA!$B$4,DATOS!$I$2:$I$20000,"Orquesta/Banda/Conjunto"),"")))</f>
        <v/>
      </c>
      <c r="P802" t="str">
        <f>IF(M802="","",IF(M802="[FÓRMULA MANUAL]","",IFERROR(AVERAGEIFS(DATOS!$K$2:$K$20000,DATOS!$A$2:$A$20000,M802,DATOS!$G$2:$G$20000,CONFIG_METADATA!$B$4,DATOS!$I$2:$I$20000,"Música de Cámara"),"")))</f>
        <v/>
      </c>
      <c r="Q802" t="str">
        <f>IF(M802="","",IF(M802="[FÓRMULA MANUAL]","",IFERROR(SUMPRODUCT((DATOS!$A$2:$A$20000=M802)*(DATOS!$G$2:$G$20000=CONFIG_METADATA!$B$4)*(COUNTIF(CONFIG_ASIGNATURAS!$B$7:$B$27,DATOS!$I$2:$I$20000)&gt;0)*(DATOS!$K$2:$K$20000))/SUMPRODUCT((DATOS!$A$2:$A$20000=M802)*(DATOS!$G$2:$G$20000=CONFIG_METADATA!$B$4)*(COUNTIF(CONFIG_ASIGNATURAS!$B$7:$B$27,DATOS!$I$2:$I$20000)&gt;0)*1),"")))</f>
        <v/>
      </c>
      <c r="T802" t="str">
        <f>IF(S802="","",IF(S802="[FÓRMULA MANUAL]","",IFERROR(AVERAGEIFS(DATOS!$K$2:$K$20000,DATOS!$A$2:$A$20000,S802,DATOS!$G$2:$G$20000,CONFIG_METADATA!$B$4,DATOS!$I$2:$I$20000,"Armonía"),"")))</f>
        <v/>
      </c>
      <c r="U802" t="str">
        <f>IF(S802="","",IF(S802="[FÓRMULA MANUAL]","",IFERROR(AVERAGEIFS(DATOS!$K$2:$K$20000,DATOS!$A$2:$A$20000,S802,DATOS!$G$2:$G$20000,CONFIG_METADATA!$B$4,DATOS!$I$2:$I$20000,"Orquesta/Banda/Conjunto"),"")))</f>
        <v/>
      </c>
      <c r="V802" t="str">
        <f>IF(S802="","",IF(S802="[FÓRMULA MANUAL]","",IFERROR(AVERAGEIFS(DATOS!$K$2:$K$20000,DATOS!$A$2:$A$20000,S802,DATOS!$G$2:$G$20000,CONFIG_METADATA!$B$4,DATOS!$I$2:$I$20000,"Música de Cámara"),"")))</f>
        <v/>
      </c>
      <c r="W802" t="str">
        <f>IF(S802="","",IF(S802="[FÓRMULA MANUAL]","",IFERROR(SUMPRODUCT((DATOS!$A$2:$A$20000=S802)*(DATOS!$G$2:$G$20000=CONFIG_METADATA!$B$4)*(COUNTIF(CONFIG_ASIGNATURAS!$B$7:$B$27,DATOS!$I$2:$I$20000)&gt;0)*(DATOS!$K$2:$K$20000))/SUMPRODUCT((DATOS!$A$2:$A$20000=S802)*(DATOS!$G$2:$G$20000=CONFIG_METADATA!$B$4)*(COUNTIF(CONFIG_ASIGNATURAS!$B$7:$B$27,DATOS!$I$2:$I$20000)&gt;0)*1),"")))</f>
        <v/>
      </c>
      <c r="Z802" t="str">
        <f>IF(Y802="","",IF(Y802="[FÓRMULA MANUAL]","",IFERROR(AVERAGEIFS(DATOS!$K$2:$K$20000,DATOS!$A$2:$A$20000,Y802,DATOS!$G$2:$G$20000,CONFIG_METADATA!$B$4,DATOS!$I$2:$I$20000,"Análisis"),"")))</f>
        <v/>
      </c>
      <c r="AA802" t="str">
        <f>IF(Y802="","",IF(Y802="[FÓRMULA MANUAL]","",IFERROR(AVERAGEIFS(DATOS!$K$2:$K$20000,DATOS!$A$2:$A$20000,Y802,DATOS!$G$2:$G$20000,CONFIG_METADATA!$B$4,DATOS!$I$2:$I$20000,"Orquesta/Banda/Conjunto"),"")))</f>
        <v/>
      </c>
      <c r="AB802" t="str">
        <f>IF(Y802="","",IF(Y802="[FÓRMULA MANUAL]","",IFERROR(AVERAGEIFS(DATOS!$K$2:$K$20000,DATOS!$A$2:$A$20000,Y802,DATOS!$G$2:$G$20000,CONFIG_METADATA!$B$4,DATOS!$I$2:$I$20000,"Música de Cámara"),"")))</f>
        <v/>
      </c>
      <c r="AC802" t="str">
        <f>IF(Y802="","",IF(Y802="[FÓRMULA MANUAL]","",IFERROR(SUMPRODUCT((DATOS!$A$2:$A$20000=Y802)*(DATOS!$G$2:$G$20000=CONFIG_METADATA!$B$4)*(COUNTIF(CONFIG_ASIGNATURAS!$B$7:$B$27,DATOS!$I$2:$I$20000)&gt;0)*(DATOS!$K$2:$K$20000))/SUMPRODUCT((DATOS!$A$2:$A$20000=Y802)*(DATOS!$G$2:$G$20000=CONFIG_METADATA!$B$4)*(COUNTIF(CONFIG_ASIGNATURAS!$B$7:$B$27,DATOS!$I$2:$I$20000)&gt;0)*1),"")))</f>
        <v/>
      </c>
      <c r="AF802" t="str">
        <f>IF(AE802="","",IF(AE802="[FÓRMULA MANUAL]","",IFERROR(AVERAGEIFS(DATOS!$K$2:$K$20000,DATOS!$A$2:$A$20000,AE802,DATOS!$G$2:$G$20000,CONFIG_METADATA!$B$4,DATOS!$I$2:$I$20000,"Análisis"),"")))</f>
        <v/>
      </c>
      <c r="AG802" t="str">
        <f>IF(AE802="","",IF(AE802="[FÓRMULA MANUAL]","",IFERROR(AVERAGEIFS(DATOS!$K$2:$K$20000,DATOS!$A$2:$A$20000,AE802,DATOS!$G$2:$G$20000,CONFIG_METADATA!$B$4,DATOS!$I$2:$I$20000,"Orquesta/Banda/Conjunto"),"")))</f>
        <v/>
      </c>
      <c r="AH802" t="str">
        <f>IF(AE802="","",IF(AE802="[FÓRMULA MANUAL]","",IFERROR(AVERAGEIFS(DATOS!$K$2:$K$20000,DATOS!$A$2:$A$20000,AE802,DATOS!$G$2:$G$20000,CONFIG_METADATA!$B$4,DATOS!$I$2:$I$20000,"Música de Cámara"),"")))</f>
        <v/>
      </c>
      <c r="AI802" t="str">
        <f>IF(AE802="","",IF(AE802="[FÓRMULA MANUAL]","",IFERROR(SUMPRODUCT((DATOS!$A$2:$A$20000=AE802)*(DATOS!$G$2:$G$20000=CONFIG_METADATA!$B$4)*(COUNTIF(CONFIG_ASIGNATURAS!$B$7:$B$27,DATOS!$I$2:$I$20000)&gt;0)*(DATOS!$K$2:$K$20000))/SUMPRODUCT((DATOS!$A$2:$A$20000=AE802)*(DATOS!$G$2:$G$20000=CONFIG_METADATA!$B$4)*(COUNTIF(CONFIG_ASIGNATURAS!$B$7:$B$27,DATOS!$I$2:$I$20000)&gt;0)*1),"")))</f>
        <v/>
      </c>
    </row>
    <row r="803" spans="2:35" x14ac:dyDescent="0.2">
      <c r="B803" t="str">
        <f>IF(A803="","",IF(A803="[FÓRMULA MANUAL]","",IFERROR(AVERAGEIFS(DATOS!$K$2:$K$20000,DATOS!$A$2:$A$20000,A803,DATOS!$G$2:$G$20000,CONFIG_METADATA!$B$4,DATOS!$I$2:$I$20000,"Lenguaje Musical"),"")))</f>
        <v/>
      </c>
      <c r="C803" t="str">
        <f>IF(A803="","",IF(A803="[FÓRMULA MANUAL]","",IFERROR(AVERAGEIFS(DATOS!$K$2:$K$20000,DATOS!$A$2:$A$20000,A803,DATOS!$G$2:$G$20000,CONFIG_METADATA!$B$4,DATOS!$I$2:$I$20000,"Orquesta/Banda/Conjunto"),"")))</f>
        <v/>
      </c>
      <c r="D803" t="str">
        <f>IF(A803="","",IF(A803="[FÓRMULA MANUAL]","",IFERROR(AVERAGEIFS(DATOS!$K$2:$K$20000,DATOS!$A$2:$A$20000,A803,DATOS!$G$2:$G$20000,CONFIG_METADATA!$B$4,DATOS!$I$2:$I$20000,"Conjunto"),"")))</f>
        <v/>
      </c>
      <c r="E803" t="str">
        <f>IF(A803="","",IF(A803="[FÓRMULA MANUAL]","",IFERROR(SUMPRODUCT((DATOS!$A$2:$A$20000=A803)*(DATOS!$G$2:$G$20000=CONFIG_METADATA!$B$4)*(COUNTIF(CONFIG_ASIGNATURAS!$B$7:$B$27,DATOS!$I$2:$I$20000)&gt;0)*(DATOS!$K$2:$K$20000))/SUMPRODUCT((DATOS!$A$2:$A$20000=A803)*(DATOS!$G$2:$G$20000=CONFIG_METADATA!$B$4)*(COUNTIF(CONFIG_ASIGNATURAS!$B$7:$B$27,DATOS!$I$2:$I$20000)&gt;0)*1),"")))</f>
        <v/>
      </c>
      <c r="H803" t="str">
        <f>IF(G803="","",IF(G803="[FÓRMULA MANUAL]","",IFERROR(AVERAGEIFS(DATOS!$K$2:$K$20000,DATOS!$A$2:$A$20000,G803,DATOS!$G$2:$G$20000,CONFIG_METADATA!$B$4,DATOS!$I$2:$I$20000,"Lenguaje Musical"),"")))</f>
        <v/>
      </c>
      <c r="I803" t="str">
        <f>IF(G803="","",IF(G803="[FÓRMULA MANUAL]","",IFERROR(AVERAGEIFS(DATOS!$K$2:$K$20000,DATOS!$A$2:$A$20000,G803,DATOS!$G$2:$G$20000,CONFIG_METADATA!$B$4,DATOS!$I$2:$I$20000,"Orquesta/Banda/Conjunto"),"")))</f>
        <v/>
      </c>
      <c r="J803" t="str">
        <f>IF(G803="","",IF(G803="[FÓRMULA MANUAL]","",IFERROR(AVERAGEIFS(DATOS!$K$2:$K$20000,DATOS!$A$2:$A$20000,G803,DATOS!$G$2:$G$20000,CONFIG_METADATA!$B$4,DATOS!$I$2:$I$20000,"Conjunto"),"")))</f>
        <v/>
      </c>
      <c r="K803" t="str">
        <f>IF(G803="","",IF(G803="[FÓRMULA MANUAL]","",IFERROR(SUMPRODUCT((DATOS!$A$2:$A$20000=G803)*(DATOS!$G$2:$G$20000=CONFIG_METADATA!$B$4)*(COUNTIF(CONFIG_ASIGNATURAS!$B$7:$B$27,DATOS!$I$2:$I$20000)&gt;0)*(DATOS!$K$2:$K$20000))/SUMPRODUCT((DATOS!$A$2:$A$20000=G803)*(DATOS!$G$2:$G$20000=CONFIG_METADATA!$B$4)*(COUNTIF(CONFIG_ASIGNATURAS!$B$7:$B$27,DATOS!$I$2:$I$20000)&gt;0)*1),"")))</f>
        <v/>
      </c>
      <c r="N803" t="str">
        <f>IF(M803="","",IF(M803="[FÓRMULA MANUAL]","",IFERROR(AVERAGEIFS(DATOS!$K$2:$K$20000,DATOS!$A$2:$A$20000,M803,DATOS!$G$2:$G$20000,CONFIG_METADATA!$B$4,DATOS!$I$2:$I$20000,"Armonía"),"")))</f>
        <v/>
      </c>
      <c r="O803" t="str">
        <f>IF(M803="","",IF(M803="[FÓRMULA MANUAL]","",IFERROR(AVERAGEIFS(DATOS!$K$2:$K$20000,DATOS!$A$2:$A$20000,M803,DATOS!$G$2:$G$20000,CONFIG_METADATA!$B$4,DATOS!$I$2:$I$20000,"Orquesta/Banda/Conjunto"),"")))</f>
        <v/>
      </c>
      <c r="P803" t="str">
        <f>IF(M803="","",IF(M803="[FÓRMULA MANUAL]","",IFERROR(AVERAGEIFS(DATOS!$K$2:$K$20000,DATOS!$A$2:$A$20000,M803,DATOS!$G$2:$G$20000,CONFIG_METADATA!$B$4,DATOS!$I$2:$I$20000,"Música de Cámara"),"")))</f>
        <v/>
      </c>
      <c r="Q803" t="str">
        <f>IF(M803="","",IF(M803="[FÓRMULA MANUAL]","",IFERROR(SUMPRODUCT((DATOS!$A$2:$A$20000=M803)*(DATOS!$G$2:$G$20000=CONFIG_METADATA!$B$4)*(COUNTIF(CONFIG_ASIGNATURAS!$B$7:$B$27,DATOS!$I$2:$I$20000)&gt;0)*(DATOS!$K$2:$K$20000))/SUMPRODUCT((DATOS!$A$2:$A$20000=M803)*(DATOS!$G$2:$G$20000=CONFIG_METADATA!$B$4)*(COUNTIF(CONFIG_ASIGNATURAS!$B$7:$B$27,DATOS!$I$2:$I$20000)&gt;0)*1),"")))</f>
        <v/>
      </c>
      <c r="T803" t="str">
        <f>IF(S803="","",IF(S803="[FÓRMULA MANUAL]","",IFERROR(AVERAGEIFS(DATOS!$K$2:$K$20000,DATOS!$A$2:$A$20000,S803,DATOS!$G$2:$G$20000,CONFIG_METADATA!$B$4,DATOS!$I$2:$I$20000,"Armonía"),"")))</f>
        <v/>
      </c>
      <c r="U803" t="str">
        <f>IF(S803="","",IF(S803="[FÓRMULA MANUAL]","",IFERROR(AVERAGEIFS(DATOS!$K$2:$K$20000,DATOS!$A$2:$A$20000,S803,DATOS!$G$2:$G$20000,CONFIG_METADATA!$B$4,DATOS!$I$2:$I$20000,"Orquesta/Banda/Conjunto"),"")))</f>
        <v/>
      </c>
      <c r="V803" t="str">
        <f>IF(S803="","",IF(S803="[FÓRMULA MANUAL]","",IFERROR(AVERAGEIFS(DATOS!$K$2:$K$20000,DATOS!$A$2:$A$20000,S803,DATOS!$G$2:$G$20000,CONFIG_METADATA!$B$4,DATOS!$I$2:$I$20000,"Música de Cámara"),"")))</f>
        <v/>
      </c>
      <c r="W803" t="str">
        <f>IF(S803="","",IF(S803="[FÓRMULA MANUAL]","",IFERROR(SUMPRODUCT((DATOS!$A$2:$A$20000=S803)*(DATOS!$G$2:$G$20000=CONFIG_METADATA!$B$4)*(COUNTIF(CONFIG_ASIGNATURAS!$B$7:$B$27,DATOS!$I$2:$I$20000)&gt;0)*(DATOS!$K$2:$K$20000))/SUMPRODUCT((DATOS!$A$2:$A$20000=S803)*(DATOS!$G$2:$G$20000=CONFIG_METADATA!$B$4)*(COUNTIF(CONFIG_ASIGNATURAS!$B$7:$B$27,DATOS!$I$2:$I$20000)&gt;0)*1),"")))</f>
        <v/>
      </c>
      <c r="Z803" t="str">
        <f>IF(Y803="","",IF(Y803="[FÓRMULA MANUAL]","",IFERROR(AVERAGEIFS(DATOS!$K$2:$K$20000,DATOS!$A$2:$A$20000,Y803,DATOS!$G$2:$G$20000,CONFIG_METADATA!$B$4,DATOS!$I$2:$I$20000,"Análisis"),"")))</f>
        <v/>
      </c>
      <c r="AA803" t="str">
        <f>IF(Y803="","",IF(Y803="[FÓRMULA MANUAL]","",IFERROR(AVERAGEIFS(DATOS!$K$2:$K$20000,DATOS!$A$2:$A$20000,Y803,DATOS!$G$2:$G$20000,CONFIG_METADATA!$B$4,DATOS!$I$2:$I$20000,"Orquesta/Banda/Conjunto"),"")))</f>
        <v/>
      </c>
      <c r="AB803" t="str">
        <f>IF(Y803="","",IF(Y803="[FÓRMULA MANUAL]","",IFERROR(AVERAGEIFS(DATOS!$K$2:$K$20000,DATOS!$A$2:$A$20000,Y803,DATOS!$G$2:$G$20000,CONFIG_METADATA!$B$4,DATOS!$I$2:$I$20000,"Música de Cámara"),"")))</f>
        <v/>
      </c>
      <c r="AC803" t="str">
        <f>IF(Y803="","",IF(Y803="[FÓRMULA MANUAL]","",IFERROR(SUMPRODUCT((DATOS!$A$2:$A$20000=Y803)*(DATOS!$G$2:$G$20000=CONFIG_METADATA!$B$4)*(COUNTIF(CONFIG_ASIGNATURAS!$B$7:$B$27,DATOS!$I$2:$I$20000)&gt;0)*(DATOS!$K$2:$K$20000))/SUMPRODUCT((DATOS!$A$2:$A$20000=Y803)*(DATOS!$G$2:$G$20000=CONFIG_METADATA!$B$4)*(COUNTIF(CONFIG_ASIGNATURAS!$B$7:$B$27,DATOS!$I$2:$I$20000)&gt;0)*1),"")))</f>
        <v/>
      </c>
      <c r="AF803" t="str">
        <f>IF(AE803="","",IF(AE803="[FÓRMULA MANUAL]","",IFERROR(AVERAGEIFS(DATOS!$K$2:$K$20000,DATOS!$A$2:$A$20000,AE803,DATOS!$G$2:$G$20000,CONFIG_METADATA!$B$4,DATOS!$I$2:$I$20000,"Análisis"),"")))</f>
        <v/>
      </c>
      <c r="AG803" t="str">
        <f>IF(AE803="","",IF(AE803="[FÓRMULA MANUAL]","",IFERROR(AVERAGEIFS(DATOS!$K$2:$K$20000,DATOS!$A$2:$A$20000,AE803,DATOS!$G$2:$G$20000,CONFIG_METADATA!$B$4,DATOS!$I$2:$I$20000,"Orquesta/Banda/Conjunto"),"")))</f>
        <v/>
      </c>
      <c r="AH803" t="str">
        <f>IF(AE803="","",IF(AE803="[FÓRMULA MANUAL]","",IFERROR(AVERAGEIFS(DATOS!$K$2:$K$20000,DATOS!$A$2:$A$20000,AE803,DATOS!$G$2:$G$20000,CONFIG_METADATA!$B$4,DATOS!$I$2:$I$20000,"Música de Cámara"),"")))</f>
        <v/>
      </c>
      <c r="AI803" t="str">
        <f>IF(AE803="","",IF(AE803="[FÓRMULA MANUAL]","",IFERROR(SUMPRODUCT((DATOS!$A$2:$A$20000=AE803)*(DATOS!$G$2:$G$20000=CONFIG_METADATA!$B$4)*(COUNTIF(CONFIG_ASIGNATURAS!$B$7:$B$27,DATOS!$I$2:$I$20000)&gt;0)*(DATOS!$K$2:$K$20000))/SUMPRODUCT((DATOS!$A$2:$A$20000=AE803)*(DATOS!$G$2:$G$20000=CONFIG_METADATA!$B$4)*(COUNTIF(CONFIG_ASIGNATURAS!$B$7:$B$27,DATOS!$I$2:$I$20000)&gt;0)*1),"")))</f>
        <v/>
      </c>
    </row>
    <row r="804" spans="2:35" x14ac:dyDescent="0.2">
      <c r="B804" t="str">
        <f>IF(A804="","",IF(A804="[FÓRMULA MANUAL]","",IFERROR(AVERAGEIFS(DATOS!$K$2:$K$20000,DATOS!$A$2:$A$20000,A804,DATOS!$G$2:$G$20000,CONFIG_METADATA!$B$4,DATOS!$I$2:$I$20000,"Lenguaje Musical"),"")))</f>
        <v/>
      </c>
      <c r="C804" t="str">
        <f>IF(A804="","",IF(A804="[FÓRMULA MANUAL]","",IFERROR(AVERAGEIFS(DATOS!$K$2:$K$20000,DATOS!$A$2:$A$20000,A804,DATOS!$G$2:$G$20000,CONFIG_METADATA!$B$4,DATOS!$I$2:$I$20000,"Orquesta/Banda/Conjunto"),"")))</f>
        <v/>
      </c>
      <c r="D804" t="str">
        <f>IF(A804="","",IF(A804="[FÓRMULA MANUAL]","",IFERROR(AVERAGEIFS(DATOS!$K$2:$K$20000,DATOS!$A$2:$A$20000,A804,DATOS!$G$2:$G$20000,CONFIG_METADATA!$B$4,DATOS!$I$2:$I$20000,"Conjunto"),"")))</f>
        <v/>
      </c>
      <c r="E804" t="str">
        <f>IF(A804="","",IF(A804="[FÓRMULA MANUAL]","",IFERROR(SUMPRODUCT((DATOS!$A$2:$A$20000=A804)*(DATOS!$G$2:$G$20000=CONFIG_METADATA!$B$4)*(COUNTIF(CONFIG_ASIGNATURAS!$B$7:$B$27,DATOS!$I$2:$I$20000)&gt;0)*(DATOS!$K$2:$K$20000))/SUMPRODUCT((DATOS!$A$2:$A$20000=A804)*(DATOS!$G$2:$G$20000=CONFIG_METADATA!$B$4)*(COUNTIF(CONFIG_ASIGNATURAS!$B$7:$B$27,DATOS!$I$2:$I$20000)&gt;0)*1),"")))</f>
        <v/>
      </c>
      <c r="H804" t="str">
        <f>IF(G804="","",IF(G804="[FÓRMULA MANUAL]","",IFERROR(AVERAGEIFS(DATOS!$K$2:$K$20000,DATOS!$A$2:$A$20000,G804,DATOS!$G$2:$G$20000,CONFIG_METADATA!$B$4,DATOS!$I$2:$I$20000,"Lenguaje Musical"),"")))</f>
        <v/>
      </c>
      <c r="I804" t="str">
        <f>IF(G804="","",IF(G804="[FÓRMULA MANUAL]","",IFERROR(AVERAGEIFS(DATOS!$K$2:$K$20000,DATOS!$A$2:$A$20000,G804,DATOS!$G$2:$G$20000,CONFIG_METADATA!$B$4,DATOS!$I$2:$I$20000,"Orquesta/Banda/Conjunto"),"")))</f>
        <v/>
      </c>
      <c r="J804" t="str">
        <f>IF(G804="","",IF(G804="[FÓRMULA MANUAL]","",IFERROR(AVERAGEIFS(DATOS!$K$2:$K$20000,DATOS!$A$2:$A$20000,G804,DATOS!$G$2:$G$20000,CONFIG_METADATA!$B$4,DATOS!$I$2:$I$20000,"Conjunto"),"")))</f>
        <v/>
      </c>
      <c r="K804" t="str">
        <f>IF(G804="","",IF(G804="[FÓRMULA MANUAL]","",IFERROR(SUMPRODUCT((DATOS!$A$2:$A$20000=G804)*(DATOS!$G$2:$G$20000=CONFIG_METADATA!$B$4)*(COUNTIF(CONFIG_ASIGNATURAS!$B$7:$B$27,DATOS!$I$2:$I$20000)&gt;0)*(DATOS!$K$2:$K$20000))/SUMPRODUCT((DATOS!$A$2:$A$20000=G804)*(DATOS!$G$2:$G$20000=CONFIG_METADATA!$B$4)*(COUNTIF(CONFIG_ASIGNATURAS!$B$7:$B$27,DATOS!$I$2:$I$20000)&gt;0)*1),"")))</f>
        <v/>
      </c>
      <c r="N804" t="str">
        <f>IF(M804="","",IF(M804="[FÓRMULA MANUAL]","",IFERROR(AVERAGEIFS(DATOS!$K$2:$K$20000,DATOS!$A$2:$A$20000,M804,DATOS!$G$2:$G$20000,CONFIG_METADATA!$B$4,DATOS!$I$2:$I$20000,"Armonía"),"")))</f>
        <v/>
      </c>
      <c r="O804" t="str">
        <f>IF(M804="","",IF(M804="[FÓRMULA MANUAL]","",IFERROR(AVERAGEIFS(DATOS!$K$2:$K$20000,DATOS!$A$2:$A$20000,M804,DATOS!$G$2:$G$20000,CONFIG_METADATA!$B$4,DATOS!$I$2:$I$20000,"Orquesta/Banda/Conjunto"),"")))</f>
        <v/>
      </c>
      <c r="P804" t="str">
        <f>IF(M804="","",IF(M804="[FÓRMULA MANUAL]","",IFERROR(AVERAGEIFS(DATOS!$K$2:$K$20000,DATOS!$A$2:$A$20000,M804,DATOS!$G$2:$G$20000,CONFIG_METADATA!$B$4,DATOS!$I$2:$I$20000,"Música de Cámara"),"")))</f>
        <v/>
      </c>
      <c r="Q804" t="str">
        <f>IF(M804="","",IF(M804="[FÓRMULA MANUAL]","",IFERROR(SUMPRODUCT((DATOS!$A$2:$A$20000=M804)*(DATOS!$G$2:$G$20000=CONFIG_METADATA!$B$4)*(COUNTIF(CONFIG_ASIGNATURAS!$B$7:$B$27,DATOS!$I$2:$I$20000)&gt;0)*(DATOS!$K$2:$K$20000))/SUMPRODUCT((DATOS!$A$2:$A$20000=M804)*(DATOS!$G$2:$G$20000=CONFIG_METADATA!$B$4)*(COUNTIF(CONFIG_ASIGNATURAS!$B$7:$B$27,DATOS!$I$2:$I$20000)&gt;0)*1),"")))</f>
        <v/>
      </c>
      <c r="T804" t="str">
        <f>IF(S804="","",IF(S804="[FÓRMULA MANUAL]","",IFERROR(AVERAGEIFS(DATOS!$K$2:$K$20000,DATOS!$A$2:$A$20000,S804,DATOS!$G$2:$G$20000,CONFIG_METADATA!$B$4,DATOS!$I$2:$I$20000,"Armonía"),"")))</f>
        <v/>
      </c>
      <c r="U804" t="str">
        <f>IF(S804="","",IF(S804="[FÓRMULA MANUAL]","",IFERROR(AVERAGEIFS(DATOS!$K$2:$K$20000,DATOS!$A$2:$A$20000,S804,DATOS!$G$2:$G$20000,CONFIG_METADATA!$B$4,DATOS!$I$2:$I$20000,"Orquesta/Banda/Conjunto"),"")))</f>
        <v/>
      </c>
      <c r="V804" t="str">
        <f>IF(S804="","",IF(S804="[FÓRMULA MANUAL]","",IFERROR(AVERAGEIFS(DATOS!$K$2:$K$20000,DATOS!$A$2:$A$20000,S804,DATOS!$G$2:$G$20000,CONFIG_METADATA!$B$4,DATOS!$I$2:$I$20000,"Música de Cámara"),"")))</f>
        <v/>
      </c>
      <c r="W804" t="str">
        <f>IF(S804="","",IF(S804="[FÓRMULA MANUAL]","",IFERROR(SUMPRODUCT((DATOS!$A$2:$A$20000=S804)*(DATOS!$G$2:$G$20000=CONFIG_METADATA!$B$4)*(COUNTIF(CONFIG_ASIGNATURAS!$B$7:$B$27,DATOS!$I$2:$I$20000)&gt;0)*(DATOS!$K$2:$K$20000))/SUMPRODUCT((DATOS!$A$2:$A$20000=S804)*(DATOS!$G$2:$G$20000=CONFIG_METADATA!$B$4)*(COUNTIF(CONFIG_ASIGNATURAS!$B$7:$B$27,DATOS!$I$2:$I$20000)&gt;0)*1),"")))</f>
        <v/>
      </c>
      <c r="Z804" t="str">
        <f>IF(Y804="","",IF(Y804="[FÓRMULA MANUAL]","",IFERROR(AVERAGEIFS(DATOS!$K$2:$K$20000,DATOS!$A$2:$A$20000,Y804,DATOS!$G$2:$G$20000,CONFIG_METADATA!$B$4,DATOS!$I$2:$I$20000,"Análisis"),"")))</f>
        <v/>
      </c>
      <c r="AA804" t="str">
        <f>IF(Y804="","",IF(Y804="[FÓRMULA MANUAL]","",IFERROR(AVERAGEIFS(DATOS!$K$2:$K$20000,DATOS!$A$2:$A$20000,Y804,DATOS!$G$2:$G$20000,CONFIG_METADATA!$B$4,DATOS!$I$2:$I$20000,"Orquesta/Banda/Conjunto"),"")))</f>
        <v/>
      </c>
      <c r="AB804" t="str">
        <f>IF(Y804="","",IF(Y804="[FÓRMULA MANUAL]","",IFERROR(AVERAGEIFS(DATOS!$K$2:$K$20000,DATOS!$A$2:$A$20000,Y804,DATOS!$G$2:$G$20000,CONFIG_METADATA!$B$4,DATOS!$I$2:$I$20000,"Música de Cámara"),"")))</f>
        <v/>
      </c>
      <c r="AC804" t="str">
        <f>IF(Y804="","",IF(Y804="[FÓRMULA MANUAL]","",IFERROR(SUMPRODUCT((DATOS!$A$2:$A$20000=Y804)*(DATOS!$G$2:$G$20000=CONFIG_METADATA!$B$4)*(COUNTIF(CONFIG_ASIGNATURAS!$B$7:$B$27,DATOS!$I$2:$I$20000)&gt;0)*(DATOS!$K$2:$K$20000))/SUMPRODUCT((DATOS!$A$2:$A$20000=Y804)*(DATOS!$G$2:$G$20000=CONFIG_METADATA!$B$4)*(COUNTIF(CONFIG_ASIGNATURAS!$B$7:$B$27,DATOS!$I$2:$I$20000)&gt;0)*1),"")))</f>
        <v/>
      </c>
      <c r="AF804" t="str">
        <f>IF(AE804="","",IF(AE804="[FÓRMULA MANUAL]","",IFERROR(AVERAGEIFS(DATOS!$K$2:$K$20000,DATOS!$A$2:$A$20000,AE804,DATOS!$G$2:$G$20000,CONFIG_METADATA!$B$4,DATOS!$I$2:$I$20000,"Análisis"),"")))</f>
        <v/>
      </c>
      <c r="AG804" t="str">
        <f>IF(AE804="","",IF(AE804="[FÓRMULA MANUAL]","",IFERROR(AVERAGEIFS(DATOS!$K$2:$K$20000,DATOS!$A$2:$A$20000,AE804,DATOS!$G$2:$G$20000,CONFIG_METADATA!$B$4,DATOS!$I$2:$I$20000,"Orquesta/Banda/Conjunto"),"")))</f>
        <v/>
      </c>
      <c r="AH804" t="str">
        <f>IF(AE804="","",IF(AE804="[FÓRMULA MANUAL]","",IFERROR(AVERAGEIFS(DATOS!$K$2:$K$20000,DATOS!$A$2:$A$20000,AE804,DATOS!$G$2:$G$20000,CONFIG_METADATA!$B$4,DATOS!$I$2:$I$20000,"Música de Cámara"),"")))</f>
        <v/>
      </c>
      <c r="AI804" t="str">
        <f>IF(AE804="","",IF(AE804="[FÓRMULA MANUAL]","",IFERROR(SUMPRODUCT((DATOS!$A$2:$A$20000=AE804)*(DATOS!$G$2:$G$20000=CONFIG_METADATA!$B$4)*(COUNTIF(CONFIG_ASIGNATURAS!$B$7:$B$27,DATOS!$I$2:$I$20000)&gt;0)*(DATOS!$K$2:$K$20000))/SUMPRODUCT((DATOS!$A$2:$A$20000=AE804)*(DATOS!$G$2:$G$20000=CONFIG_METADATA!$B$4)*(COUNTIF(CONFIG_ASIGNATURAS!$B$7:$B$27,DATOS!$I$2:$I$20000)&gt;0)*1),"")))</f>
        <v/>
      </c>
    </row>
    <row r="805" spans="2:35" x14ac:dyDescent="0.2">
      <c r="B805" t="str">
        <f>IF(A805="","",IF(A805="[FÓRMULA MANUAL]","",IFERROR(AVERAGEIFS(DATOS!$K$2:$K$20000,DATOS!$A$2:$A$20000,A805,DATOS!$G$2:$G$20000,CONFIG_METADATA!$B$4,DATOS!$I$2:$I$20000,"Lenguaje Musical"),"")))</f>
        <v/>
      </c>
      <c r="C805" t="str">
        <f>IF(A805="","",IF(A805="[FÓRMULA MANUAL]","",IFERROR(AVERAGEIFS(DATOS!$K$2:$K$20000,DATOS!$A$2:$A$20000,A805,DATOS!$G$2:$G$20000,CONFIG_METADATA!$B$4,DATOS!$I$2:$I$20000,"Orquesta/Banda/Conjunto"),"")))</f>
        <v/>
      </c>
      <c r="D805" t="str">
        <f>IF(A805="","",IF(A805="[FÓRMULA MANUAL]","",IFERROR(AVERAGEIFS(DATOS!$K$2:$K$20000,DATOS!$A$2:$A$20000,A805,DATOS!$G$2:$G$20000,CONFIG_METADATA!$B$4,DATOS!$I$2:$I$20000,"Conjunto"),"")))</f>
        <v/>
      </c>
      <c r="E805" t="str">
        <f>IF(A805="","",IF(A805="[FÓRMULA MANUAL]","",IFERROR(SUMPRODUCT((DATOS!$A$2:$A$20000=A805)*(DATOS!$G$2:$G$20000=CONFIG_METADATA!$B$4)*(COUNTIF(CONFIG_ASIGNATURAS!$B$7:$B$27,DATOS!$I$2:$I$20000)&gt;0)*(DATOS!$K$2:$K$20000))/SUMPRODUCT((DATOS!$A$2:$A$20000=A805)*(DATOS!$G$2:$G$20000=CONFIG_METADATA!$B$4)*(COUNTIF(CONFIG_ASIGNATURAS!$B$7:$B$27,DATOS!$I$2:$I$20000)&gt;0)*1),"")))</f>
        <v/>
      </c>
      <c r="H805" t="str">
        <f>IF(G805="","",IF(G805="[FÓRMULA MANUAL]","",IFERROR(AVERAGEIFS(DATOS!$K$2:$K$20000,DATOS!$A$2:$A$20000,G805,DATOS!$G$2:$G$20000,CONFIG_METADATA!$B$4,DATOS!$I$2:$I$20000,"Lenguaje Musical"),"")))</f>
        <v/>
      </c>
      <c r="I805" t="str">
        <f>IF(G805="","",IF(G805="[FÓRMULA MANUAL]","",IFERROR(AVERAGEIFS(DATOS!$K$2:$K$20000,DATOS!$A$2:$A$20000,G805,DATOS!$G$2:$G$20000,CONFIG_METADATA!$B$4,DATOS!$I$2:$I$20000,"Orquesta/Banda/Conjunto"),"")))</f>
        <v/>
      </c>
      <c r="J805" t="str">
        <f>IF(G805="","",IF(G805="[FÓRMULA MANUAL]","",IFERROR(AVERAGEIFS(DATOS!$K$2:$K$20000,DATOS!$A$2:$A$20000,G805,DATOS!$G$2:$G$20000,CONFIG_METADATA!$B$4,DATOS!$I$2:$I$20000,"Conjunto"),"")))</f>
        <v/>
      </c>
      <c r="K805" t="str">
        <f>IF(G805="","",IF(G805="[FÓRMULA MANUAL]","",IFERROR(SUMPRODUCT((DATOS!$A$2:$A$20000=G805)*(DATOS!$G$2:$G$20000=CONFIG_METADATA!$B$4)*(COUNTIF(CONFIG_ASIGNATURAS!$B$7:$B$27,DATOS!$I$2:$I$20000)&gt;0)*(DATOS!$K$2:$K$20000))/SUMPRODUCT((DATOS!$A$2:$A$20000=G805)*(DATOS!$G$2:$G$20000=CONFIG_METADATA!$B$4)*(COUNTIF(CONFIG_ASIGNATURAS!$B$7:$B$27,DATOS!$I$2:$I$20000)&gt;0)*1),"")))</f>
        <v/>
      </c>
      <c r="N805" t="str">
        <f>IF(M805="","",IF(M805="[FÓRMULA MANUAL]","",IFERROR(AVERAGEIFS(DATOS!$K$2:$K$20000,DATOS!$A$2:$A$20000,M805,DATOS!$G$2:$G$20000,CONFIG_METADATA!$B$4,DATOS!$I$2:$I$20000,"Armonía"),"")))</f>
        <v/>
      </c>
      <c r="O805" t="str">
        <f>IF(M805="","",IF(M805="[FÓRMULA MANUAL]","",IFERROR(AVERAGEIFS(DATOS!$K$2:$K$20000,DATOS!$A$2:$A$20000,M805,DATOS!$G$2:$G$20000,CONFIG_METADATA!$B$4,DATOS!$I$2:$I$20000,"Orquesta/Banda/Conjunto"),"")))</f>
        <v/>
      </c>
      <c r="P805" t="str">
        <f>IF(M805="","",IF(M805="[FÓRMULA MANUAL]","",IFERROR(AVERAGEIFS(DATOS!$K$2:$K$20000,DATOS!$A$2:$A$20000,M805,DATOS!$G$2:$G$20000,CONFIG_METADATA!$B$4,DATOS!$I$2:$I$20000,"Música de Cámara"),"")))</f>
        <v/>
      </c>
      <c r="Q805" t="str">
        <f>IF(M805="","",IF(M805="[FÓRMULA MANUAL]","",IFERROR(SUMPRODUCT((DATOS!$A$2:$A$20000=M805)*(DATOS!$G$2:$G$20000=CONFIG_METADATA!$B$4)*(COUNTIF(CONFIG_ASIGNATURAS!$B$7:$B$27,DATOS!$I$2:$I$20000)&gt;0)*(DATOS!$K$2:$K$20000))/SUMPRODUCT((DATOS!$A$2:$A$20000=M805)*(DATOS!$G$2:$G$20000=CONFIG_METADATA!$B$4)*(COUNTIF(CONFIG_ASIGNATURAS!$B$7:$B$27,DATOS!$I$2:$I$20000)&gt;0)*1),"")))</f>
        <v/>
      </c>
      <c r="T805" t="str">
        <f>IF(S805="","",IF(S805="[FÓRMULA MANUAL]","",IFERROR(AVERAGEIFS(DATOS!$K$2:$K$20000,DATOS!$A$2:$A$20000,S805,DATOS!$G$2:$G$20000,CONFIG_METADATA!$B$4,DATOS!$I$2:$I$20000,"Armonía"),"")))</f>
        <v/>
      </c>
      <c r="U805" t="str">
        <f>IF(S805="","",IF(S805="[FÓRMULA MANUAL]","",IFERROR(AVERAGEIFS(DATOS!$K$2:$K$20000,DATOS!$A$2:$A$20000,S805,DATOS!$G$2:$G$20000,CONFIG_METADATA!$B$4,DATOS!$I$2:$I$20000,"Orquesta/Banda/Conjunto"),"")))</f>
        <v/>
      </c>
      <c r="V805" t="str">
        <f>IF(S805="","",IF(S805="[FÓRMULA MANUAL]","",IFERROR(AVERAGEIFS(DATOS!$K$2:$K$20000,DATOS!$A$2:$A$20000,S805,DATOS!$G$2:$G$20000,CONFIG_METADATA!$B$4,DATOS!$I$2:$I$20000,"Música de Cámara"),"")))</f>
        <v/>
      </c>
      <c r="W805" t="str">
        <f>IF(S805="","",IF(S805="[FÓRMULA MANUAL]","",IFERROR(SUMPRODUCT((DATOS!$A$2:$A$20000=S805)*(DATOS!$G$2:$G$20000=CONFIG_METADATA!$B$4)*(COUNTIF(CONFIG_ASIGNATURAS!$B$7:$B$27,DATOS!$I$2:$I$20000)&gt;0)*(DATOS!$K$2:$K$20000))/SUMPRODUCT((DATOS!$A$2:$A$20000=S805)*(DATOS!$G$2:$G$20000=CONFIG_METADATA!$B$4)*(COUNTIF(CONFIG_ASIGNATURAS!$B$7:$B$27,DATOS!$I$2:$I$20000)&gt;0)*1),"")))</f>
        <v/>
      </c>
      <c r="Z805" t="str">
        <f>IF(Y805="","",IF(Y805="[FÓRMULA MANUAL]","",IFERROR(AVERAGEIFS(DATOS!$K$2:$K$20000,DATOS!$A$2:$A$20000,Y805,DATOS!$G$2:$G$20000,CONFIG_METADATA!$B$4,DATOS!$I$2:$I$20000,"Análisis"),"")))</f>
        <v/>
      </c>
      <c r="AA805" t="str">
        <f>IF(Y805="","",IF(Y805="[FÓRMULA MANUAL]","",IFERROR(AVERAGEIFS(DATOS!$K$2:$K$20000,DATOS!$A$2:$A$20000,Y805,DATOS!$G$2:$G$20000,CONFIG_METADATA!$B$4,DATOS!$I$2:$I$20000,"Orquesta/Banda/Conjunto"),"")))</f>
        <v/>
      </c>
      <c r="AB805" t="str">
        <f>IF(Y805="","",IF(Y805="[FÓRMULA MANUAL]","",IFERROR(AVERAGEIFS(DATOS!$K$2:$K$20000,DATOS!$A$2:$A$20000,Y805,DATOS!$G$2:$G$20000,CONFIG_METADATA!$B$4,DATOS!$I$2:$I$20000,"Música de Cámara"),"")))</f>
        <v/>
      </c>
      <c r="AC805" t="str">
        <f>IF(Y805="","",IF(Y805="[FÓRMULA MANUAL]","",IFERROR(SUMPRODUCT((DATOS!$A$2:$A$20000=Y805)*(DATOS!$G$2:$G$20000=CONFIG_METADATA!$B$4)*(COUNTIF(CONFIG_ASIGNATURAS!$B$7:$B$27,DATOS!$I$2:$I$20000)&gt;0)*(DATOS!$K$2:$K$20000))/SUMPRODUCT((DATOS!$A$2:$A$20000=Y805)*(DATOS!$G$2:$G$20000=CONFIG_METADATA!$B$4)*(COUNTIF(CONFIG_ASIGNATURAS!$B$7:$B$27,DATOS!$I$2:$I$20000)&gt;0)*1),"")))</f>
        <v/>
      </c>
      <c r="AF805" t="str">
        <f>IF(AE805="","",IF(AE805="[FÓRMULA MANUAL]","",IFERROR(AVERAGEIFS(DATOS!$K$2:$K$20000,DATOS!$A$2:$A$20000,AE805,DATOS!$G$2:$G$20000,CONFIG_METADATA!$B$4,DATOS!$I$2:$I$20000,"Análisis"),"")))</f>
        <v/>
      </c>
      <c r="AG805" t="str">
        <f>IF(AE805="","",IF(AE805="[FÓRMULA MANUAL]","",IFERROR(AVERAGEIFS(DATOS!$K$2:$K$20000,DATOS!$A$2:$A$20000,AE805,DATOS!$G$2:$G$20000,CONFIG_METADATA!$B$4,DATOS!$I$2:$I$20000,"Orquesta/Banda/Conjunto"),"")))</f>
        <v/>
      </c>
      <c r="AH805" t="str">
        <f>IF(AE805="","",IF(AE805="[FÓRMULA MANUAL]","",IFERROR(AVERAGEIFS(DATOS!$K$2:$K$20000,DATOS!$A$2:$A$20000,AE805,DATOS!$G$2:$G$20000,CONFIG_METADATA!$B$4,DATOS!$I$2:$I$20000,"Música de Cámara"),"")))</f>
        <v/>
      </c>
      <c r="AI805" t="str">
        <f>IF(AE805="","",IF(AE805="[FÓRMULA MANUAL]","",IFERROR(SUMPRODUCT((DATOS!$A$2:$A$20000=AE805)*(DATOS!$G$2:$G$20000=CONFIG_METADATA!$B$4)*(COUNTIF(CONFIG_ASIGNATURAS!$B$7:$B$27,DATOS!$I$2:$I$20000)&gt;0)*(DATOS!$K$2:$K$20000))/SUMPRODUCT((DATOS!$A$2:$A$20000=AE805)*(DATOS!$G$2:$G$20000=CONFIG_METADATA!$B$4)*(COUNTIF(CONFIG_ASIGNATURAS!$B$7:$B$27,DATOS!$I$2:$I$20000)&gt;0)*1),"")))</f>
        <v/>
      </c>
    </row>
    <row r="806" spans="2:35" x14ac:dyDescent="0.2">
      <c r="B806" t="str">
        <f>IF(A806="","",IF(A806="[FÓRMULA MANUAL]","",IFERROR(AVERAGEIFS(DATOS!$K$2:$K$20000,DATOS!$A$2:$A$20000,A806,DATOS!$G$2:$G$20000,CONFIG_METADATA!$B$4,DATOS!$I$2:$I$20000,"Lenguaje Musical"),"")))</f>
        <v/>
      </c>
      <c r="C806" t="str">
        <f>IF(A806="","",IF(A806="[FÓRMULA MANUAL]","",IFERROR(AVERAGEIFS(DATOS!$K$2:$K$20000,DATOS!$A$2:$A$20000,A806,DATOS!$G$2:$G$20000,CONFIG_METADATA!$B$4,DATOS!$I$2:$I$20000,"Orquesta/Banda/Conjunto"),"")))</f>
        <v/>
      </c>
      <c r="D806" t="str">
        <f>IF(A806="","",IF(A806="[FÓRMULA MANUAL]","",IFERROR(AVERAGEIFS(DATOS!$K$2:$K$20000,DATOS!$A$2:$A$20000,A806,DATOS!$G$2:$G$20000,CONFIG_METADATA!$B$4,DATOS!$I$2:$I$20000,"Conjunto"),"")))</f>
        <v/>
      </c>
      <c r="E806" t="str">
        <f>IF(A806="","",IF(A806="[FÓRMULA MANUAL]","",IFERROR(SUMPRODUCT((DATOS!$A$2:$A$20000=A806)*(DATOS!$G$2:$G$20000=CONFIG_METADATA!$B$4)*(COUNTIF(CONFIG_ASIGNATURAS!$B$7:$B$27,DATOS!$I$2:$I$20000)&gt;0)*(DATOS!$K$2:$K$20000))/SUMPRODUCT((DATOS!$A$2:$A$20000=A806)*(DATOS!$G$2:$G$20000=CONFIG_METADATA!$B$4)*(COUNTIF(CONFIG_ASIGNATURAS!$B$7:$B$27,DATOS!$I$2:$I$20000)&gt;0)*1),"")))</f>
        <v/>
      </c>
      <c r="H806" t="str">
        <f>IF(G806="","",IF(G806="[FÓRMULA MANUAL]","",IFERROR(AVERAGEIFS(DATOS!$K$2:$K$20000,DATOS!$A$2:$A$20000,G806,DATOS!$G$2:$G$20000,CONFIG_METADATA!$B$4,DATOS!$I$2:$I$20000,"Lenguaje Musical"),"")))</f>
        <v/>
      </c>
      <c r="I806" t="str">
        <f>IF(G806="","",IF(G806="[FÓRMULA MANUAL]","",IFERROR(AVERAGEIFS(DATOS!$K$2:$K$20000,DATOS!$A$2:$A$20000,G806,DATOS!$G$2:$G$20000,CONFIG_METADATA!$B$4,DATOS!$I$2:$I$20000,"Orquesta/Banda/Conjunto"),"")))</f>
        <v/>
      </c>
      <c r="J806" t="str">
        <f>IF(G806="","",IF(G806="[FÓRMULA MANUAL]","",IFERROR(AVERAGEIFS(DATOS!$K$2:$K$20000,DATOS!$A$2:$A$20000,G806,DATOS!$G$2:$G$20000,CONFIG_METADATA!$B$4,DATOS!$I$2:$I$20000,"Conjunto"),"")))</f>
        <v/>
      </c>
      <c r="K806" t="str">
        <f>IF(G806="","",IF(G806="[FÓRMULA MANUAL]","",IFERROR(SUMPRODUCT((DATOS!$A$2:$A$20000=G806)*(DATOS!$G$2:$G$20000=CONFIG_METADATA!$B$4)*(COUNTIF(CONFIG_ASIGNATURAS!$B$7:$B$27,DATOS!$I$2:$I$20000)&gt;0)*(DATOS!$K$2:$K$20000))/SUMPRODUCT((DATOS!$A$2:$A$20000=G806)*(DATOS!$G$2:$G$20000=CONFIG_METADATA!$B$4)*(COUNTIF(CONFIG_ASIGNATURAS!$B$7:$B$27,DATOS!$I$2:$I$20000)&gt;0)*1),"")))</f>
        <v/>
      </c>
      <c r="N806" t="str">
        <f>IF(M806="","",IF(M806="[FÓRMULA MANUAL]","",IFERROR(AVERAGEIFS(DATOS!$K$2:$K$20000,DATOS!$A$2:$A$20000,M806,DATOS!$G$2:$G$20000,CONFIG_METADATA!$B$4,DATOS!$I$2:$I$20000,"Armonía"),"")))</f>
        <v/>
      </c>
      <c r="O806" t="str">
        <f>IF(M806="","",IF(M806="[FÓRMULA MANUAL]","",IFERROR(AVERAGEIFS(DATOS!$K$2:$K$20000,DATOS!$A$2:$A$20000,M806,DATOS!$G$2:$G$20000,CONFIG_METADATA!$B$4,DATOS!$I$2:$I$20000,"Orquesta/Banda/Conjunto"),"")))</f>
        <v/>
      </c>
      <c r="P806" t="str">
        <f>IF(M806="","",IF(M806="[FÓRMULA MANUAL]","",IFERROR(AVERAGEIFS(DATOS!$K$2:$K$20000,DATOS!$A$2:$A$20000,M806,DATOS!$G$2:$G$20000,CONFIG_METADATA!$B$4,DATOS!$I$2:$I$20000,"Música de Cámara"),"")))</f>
        <v/>
      </c>
      <c r="Q806" t="str">
        <f>IF(M806="","",IF(M806="[FÓRMULA MANUAL]","",IFERROR(SUMPRODUCT((DATOS!$A$2:$A$20000=M806)*(DATOS!$G$2:$G$20000=CONFIG_METADATA!$B$4)*(COUNTIF(CONFIG_ASIGNATURAS!$B$7:$B$27,DATOS!$I$2:$I$20000)&gt;0)*(DATOS!$K$2:$K$20000))/SUMPRODUCT((DATOS!$A$2:$A$20000=M806)*(DATOS!$G$2:$G$20000=CONFIG_METADATA!$B$4)*(COUNTIF(CONFIG_ASIGNATURAS!$B$7:$B$27,DATOS!$I$2:$I$20000)&gt;0)*1),"")))</f>
        <v/>
      </c>
      <c r="T806" t="str">
        <f>IF(S806="","",IF(S806="[FÓRMULA MANUAL]","",IFERROR(AVERAGEIFS(DATOS!$K$2:$K$20000,DATOS!$A$2:$A$20000,S806,DATOS!$G$2:$G$20000,CONFIG_METADATA!$B$4,DATOS!$I$2:$I$20000,"Armonía"),"")))</f>
        <v/>
      </c>
      <c r="U806" t="str">
        <f>IF(S806="","",IF(S806="[FÓRMULA MANUAL]","",IFERROR(AVERAGEIFS(DATOS!$K$2:$K$20000,DATOS!$A$2:$A$20000,S806,DATOS!$G$2:$G$20000,CONFIG_METADATA!$B$4,DATOS!$I$2:$I$20000,"Orquesta/Banda/Conjunto"),"")))</f>
        <v/>
      </c>
      <c r="V806" t="str">
        <f>IF(S806="","",IF(S806="[FÓRMULA MANUAL]","",IFERROR(AVERAGEIFS(DATOS!$K$2:$K$20000,DATOS!$A$2:$A$20000,S806,DATOS!$G$2:$G$20000,CONFIG_METADATA!$B$4,DATOS!$I$2:$I$20000,"Música de Cámara"),"")))</f>
        <v/>
      </c>
      <c r="W806" t="str">
        <f>IF(S806="","",IF(S806="[FÓRMULA MANUAL]","",IFERROR(SUMPRODUCT((DATOS!$A$2:$A$20000=S806)*(DATOS!$G$2:$G$20000=CONFIG_METADATA!$B$4)*(COUNTIF(CONFIG_ASIGNATURAS!$B$7:$B$27,DATOS!$I$2:$I$20000)&gt;0)*(DATOS!$K$2:$K$20000))/SUMPRODUCT((DATOS!$A$2:$A$20000=S806)*(DATOS!$G$2:$G$20000=CONFIG_METADATA!$B$4)*(COUNTIF(CONFIG_ASIGNATURAS!$B$7:$B$27,DATOS!$I$2:$I$20000)&gt;0)*1),"")))</f>
        <v/>
      </c>
      <c r="Z806" t="str">
        <f>IF(Y806="","",IF(Y806="[FÓRMULA MANUAL]","",IFERROR(AVERAGEIFS(DATOS!$K$2:$K$20000,DATOS!$A$2:$A$20000,Y806,DATOS!$G$2:$G$20000,CONFIG_METADATA!$B$4,DATOS!$I$2:$I$20000,"Análisis"),"")))</f>
        <v/>
      </c>
      <c r="AA806" t="str">
        <f>IF(Y806="","",IF(Y806="[FÓRMULA MANUAL]","",IFERROR(AVERAGEIFS(DATOS!$K$2:$K$20000,DATOS!$A$2:$A$20000,Y806,DATOS!$G$2:$G$20000,CONFIG_METADATA!$B$4,DATOS!$I$2:$I$20000,"Orquesta/Banda/Conjunto"),"")))</f>
        <v/>
      </c>
      <c r="AB806" t="str">
        <f>IF(Y806="","",IF(Y806="[FÓRMULA MANUAL]","",IFERROR(AVERAGEIFS(DATOS!$K$2:$K$20000,DATOS!$A$2:$A$20000,Y806,DATOS!$G$2:$G$20000,CONFIG_METADATA!$B$4,DATOS!$I$2:$I$20000,"Música de Cámara"),"")))</f>
        <v/>
      </c>
      <c r="AC806" t="str">
        <f>IF(Y806="","",IF(Y806="[FÓRMULA MANUAL]","",IFERROR(SUMPRODUCT((DATOS!$A$2:$A$20000=Y806)*(DATOS!$G$2:$G$20000=CONFIG_METADATA!$B$4)*(COUNTIF(CONFIG_ASIGNATURAS!$B$7:$B$27,DATOS!$I$2:$I$20000)&gt;0)*(DATOS!$K$2:$K$20000))/SUMPRODUCT((DATOS!$A$2:$A$20000=Y806)*(DATOS!$G$2:$G$20000=CONFIG_METADATA!$B$4)*(COUNTIF(CONFIG_ASIGNATURAS!$B$7:$B$27,DATOS!$I$2:$I$20000)&gt;0)*1),"")))</f>
        <v/>
      </c>
      <c r="AF806" t="str">
        <f>IF(AE806="","",IF(AE806="[FÓRMULA MANUAL]","",IFERROR(AVERAGEIFS(DATOS!$K$2:$K$20000,DATOS!$A$2:$A$20000,AE806,DATOS!$G$2:$G$20000,CONFIG_METADATA!$B$4,DATOS!$I$2:$I$20000,"Análisis"),"")))</f>
        <v/>
      </c>
      <c r="AG806" t="str">
        <f>IF(AE806="","",IF(AE806="[FÓRMULA MANUAL]","",IFERROR(AVERAGEIFS(DATOS!$K$2:$K$20000,DATOS!$A$2:$A$20000,AE806,DATOS!$G$2:$G$20000,CONFIG_METADATA!$B$4,DATOS!$I$2:$I$20000,"Orquesta/Banda/Conjunto"),"")))</f>
        <v/>
      </c>
      <c r="AH806" t="str">
        <f>IF(AE806="","",IF(AE806="[FÓRMULA MANUAL]","",IFERROR(AVERAGEIFS(DATOS!$K$2:$K$20000,DATOS!$A$2:$A$20000,AE806,DATOS!$G$2:$G$20000,CONFIG_METADATA!$B$4,DATOS!$I$2:$I$20000,"Música de Cámara"),"")))</f>
        <v/>
      </c>
      <c r="AI806" t="str">
        <f>IF(AE806="","",IF(AE806="[FÓRMULA MANUAL]","",IFERROR(SUMPRODUCT((DATOS!$A$2:$A$20000=AE806)*(DATOS!$G$2:$G$20000=CONFIG_METADATA!$B$4)*(COUNTIF(CONFIG_ASIGNATURAS!$B$7:$B$27,DATOS!$I$2:$I$20000)&gt;0)*(DATOS!$K$2:$K$20000))/SUMPRODUCT((DATOS!$A$2:$A$20000=AE806)*(DATOS!$G$2:$G$20000=CONFIG_METADATA!$B$4)*(COUNTIF(CONFIG_ASIGNATURAS!$B$7:$B$27,DATOS!$I$2:$I$20000)&gt;0)*1),"")))</f>
        <v/>
      </c>
    </row>
    <row r="807" spans="2:35" x14ac:dyDescent="0.2">
      <c r="B807" t="str">
        <f>IF(A807="","",IF(A807="[FÓRMULA MANUAL]","",IFERROR(AVERAGEIFS(DATOS!$K$2:$K$20000,DATOS!$A$2:$A$20000,A807,DATOS!$G$2:$G$20000,CONFIG_METADATA!$B$4,DATOS!$I$2:$I$20000,"Lenguaje Musical"),"")))</f>
        <v/>
      </c>
      <c r="C807" t="str">
        <f>IF(A807="","",IF(A807="[FÓRMULA MANUAL]","",IFERROR(AVERAGEIFS(DATOS!$K$2:$K$20000,DATOS!$A$2:$A$20000,A807,DATOS!$G$2:$G$20000,CONFIG_METADATA!$B$4,DATOS!$I$2:$I$20000,"Orquesta/Banda/Conjunto"),"")))</f>
        <v/>
      </c>
      <c r="D807" t="str">
        <f>IF(A807="","",IF(A807="[FÓRMULA MANUAL]","",IFERROR(AVERAGEIFS(DATOS!$K$2:$K$20000,DATOS!$A$2:$A$20000,A807,DATOS!$G$2:$G$20000,CONFIG_METADATA!$B$4,DATOS!$I$2:$I$20000,"Conjunto"),"")))</f>
        <v/>
      </c>
      <c r="E807" t="str">
        <f>IF(A807="","",IF(A807="[FÓRMULA MANUAL]","",IFERROR(SUMPRODUCT((DATOS!$A$2:$A$20000=A807)*(DATOS!$G$2:$G$20000=CONFIG_METADATA!$B$4)*(COUNTIF(CONFIG_ASIGNATURAS!$B$7:$B$27,DATOS!$I$2:$I$20000)&gt;0)*(DATOS!$K$2:$K$20000))/SUMPRODUCT((DATOS!$A$2:$A$20000=A807)*(DATOS!$G$2:$G$20000=CONFIG_METADATA!$B$4)*(COUNTIF(CONFIG_ASIGNATURAS!$B$7:$B$27,DATOS!$I$2:$I$20000)&gt;0)*1),"")))</f>
        <v/>
      </c>
      <c r="H807" t="str">
        <f>IF(G807="","",IF(G807="[FÓRMULA MANUAL]","",IFERROR(AVERAGEIFS(DATOS!$K$2:$K$20000,DATOS!$A$2:$A$20000,G807,DATOS!$G$2:$G$20000,CONFIG_METADATA!$B$4,DATOS!$I$2:$I$20000,"Lenguaje Musical"),"")))</f>
        <v/>
      </c>
      <c r="I807" t="str">
        <f>IF(G807="","",IF(G807="[FÓRMULA MANUAL]","",IFERROR(AVERAGEIFS(DATOS!$K$2:$K$20000,DATOS!$A$2:$A$20000,G807,DATOS!$G$2:$G$20000,CONFIG_METADATA!$B$4,DATOS!$I$2:$I$20000,"Orquesta/Banda/Conjunto"),"")))</f>
        <v/>
      </c>
      <c r="J807" t="str">
        <f>IF(G807="","",IF(G807="[FÓRMULA MANUAL]","",IFERROR(AVERAGEIFS(DATOS!$K$2:$K$20000,DATOS!$A$2:$A$20000,G807,DATOS!$G$2:$G$20000,CONFIG_METADATA!$B$4,DATOS!$I$2:$I$20000,"Conjunto"),"")))</f>
        <v/>
      </c>
      <c r="K807" t="str">
        <f>IF(G807="","",IF(G807="[FÓRMULA MANUAL]","",IFERROR(SUMPRODUCT((DATOS!$A$2:$A$20000=G807)*(DATOS!$G$2:$G$20000=CONFIG_METADATA!$B$4)*(COUNTIF(CONFIG_ASIGNATURAS!$B$7:$B$27,DATOS!$I$2:$I$20000)&gt;0)*(DATOS!$K$2:$K$20000))/SUMPRODUCT((DATOS!$A$2:$A$20000=G807)*(DATOS!$G$2:$G$20000=CONFIG_METADATA!$B$4)*(COUNTIF(CONFIG_ASIGNATURAS!$B$7:$B$27,DATOS!$I$2:$I$20000)&gt;0)*1),"")))</f>
        <v/>
      </c>
      <c r="N807" t="str">
        <f>IF(M807="","",IF(M807="[FÓRMULA MANUAL]","",IFERROR(AVERAGEIFS(DATOS!$K$2:$K$20000,DATOS!$A$2:$A$20000,M807,DATOS!$G$2:$G$20000,CONFIG_METADATA!$B$4,DATOS!$I$2:$I$20000,"Armonía"),"")))</f>
        <v/>
      </c>
      <c r="O807" t="str">
        <f>IF(M807="","",IF(M807="[FÓRMULA MANUAL]","",IFERROR(AVERAGEIFS(DATOS!$K$2:$K$20000,DATOS!$A$2:$A$20000,M807,DATOS!$G$2:$G$20000,CONFIG_METADATA!$B$4,DATOS!$I$2:$I$20000,"Orquesta/Banda/Conjunto"),"")))</f>
        <v/>
      </c>
      <c r="P807" t="str">
        <f>IF(M807="","",IF(M807="[FÓRMULA MANUAL]","",IFERROR(AVERAGEIFS(DATOS!$K$2:$K$20000,DATOS!$A$2:$A$20000,M807,DATOS!$G$2:$G$20000,CONFIG_METADATA!$B$4,DATOS!$I$2:$I$20000,"Música de Cámara"),"")))</f>
        <v/>
      </c>
      <c r="Q807" t="str">
        <f>IF(M807="","",IF(M807="[FÓRMULA MANUAL]","",IFERROR(SUMPRODUCT((DATOS!$A$2:$A$20000=M807)*(DATOS!$G$2:$G$20000=CONFIG_METADATA!$B$4)*(COUNTIF(CONFIG_ASIGNATURAS!$B$7:$B$27,DATOS!$I$2:$I$20000)&gt;0)*(DATOS!$K$2:$K$20000))/SUMPRODUCT((DATOS!$A$2:$A$20000=M807)*(DATOS!$G$2:$G$20000=CONFIG_METADATA!$B$4)*(COUNTIF(CONFIG_ASIGNATURAS!$B$7:$B$27,DATOS!$I$2:$I$20000)&gt;0)*1),"")))</f>
        <v/>
      </c>
      <c r="T807" t="str">
        <f>IF(S807="","",IF(S807="[FÓRMULA MANUAL]","",IFERROR(AVERAGEIFS(DATOS!$K$2:$K$20000,DATOS!$A$2:$A$20000,S807,DATOS!$G$2:$G$20000,CONFIG_METADATA!$B$4,DATOS!$I$2:$I$20000,"Armonía"),"")))</f>
        <v/>
      </c>
      <c r="U807" t="str">
        <f>IF(S807="","",IF(S807="[FÓRMULA MANUAL]","",IFERROR(AVERAGEIFS(DATOS!$K$2:$K$20000,DATOS!$A$2:$A$20000,S807,DATOS!$G$2:$G$20000,CONFIG_METADATA!$B$4,DATOS!$I$2:$I$20000,"Orquesta/Banda/Conjunto"),"")))</f>
        <v/>
      </c>
      <c r="V807" t="str">
        <f>IF(S807="","",IF(S807="[FÓRMULA MANUAL]","",IFERROR(AVERAGEIFS(DATOS!$K$2:$K$20000,DATOS!$A$2:$A$20000,S807,DATOS!$G$2:$G$20000,CONFIG_METADATA!$B$4,DATOS!$I$2:$I$20000,"Música de Cámara"),"")))</f>
        <v/>
      </c>
      <c r="W807" t="str">
        <f>IF(S807="","",IF(S807="[FÓRMULA MANUAL]","",IFERROR(SUMPRODUCT((DATOS!$A$2:$A$20000=S807)*(DATOS!$G$2:$G$20000=CONFIG_METADATA!$B$4)*(COUNTIF(CONFIG_ASIGNATURAS!$B$7:$B$27,DATOS!$I$2:$I$20000)&gt;0)*(DATOS!$K$2:$K$20000))/SUMPRODUCT((DATOS!$A$2:$A$20000=S807)*(DATOS!$G$2:$G$20000=CONFIG_METADATA!$B$4)*(COUNTIF(CONFIG_ASIGNATURAS!$B$7:$B$27,DATOS!$I$2:$I$20000)&gt;0)*1),"")))</f>
        <v/>
      </c>
      <c r="Z807" t="str">
        <f>IF(Y807="","",IF(Y807="[FÓRMULA MANUAL]","",IFERROR(AVERAGEIFS(DATOS!$K$2:$K$20000,DATOS!$A$2:$A$20000,Y807,DATOS!$G$2:$G$20000,CONFIG_METADATA!$B$4,DATOS!$I$2:$I$20000,"Análisis"),"")))</f>
        <v/>
      </c>
      <c r="AA807" t="str">
        <f>IF(Y807="","",IF(Y807="[FÓRMULA MANUAL]","",IFERROR(AVERAGEIFS(DATOS!$K$2:$K$20000,DATOS!$A$2:$A$20000,Y807,DATOS!$G$2:$G$20000,CONFIG_METADATA!$B$4,DATOS!$I$2:$I$20000,"Orquesta/Banda/Conjunto"),"")))</f>
        <v/>
      </c>
      <c r="AB807" t="str">
        <f>IF(Y807="","",IF(Y807="[FÓRMULA MANUAL]","",IFERROR(AVERAGEIFS(DATOS!$K$2:$K$20000,DATOS!$A$2:$A$20000,Y807,DATOS!$G$2:$G$20000,CONFIG_METADATA!$B$4,DATOS!$I$2:$I$20000,"Música de Cámara"),"")))</f>
        <v/>
      </c>
      <c r="AC807" t="str">
        <f>IF(Y807="","",IF(Y807="[FÓRMULA MANUAL]","",IFERROR(SUMPRODUCT((DATOS!$A$2:$A$20000=Y807)*(DATOS!$G$2:$G$20000=CONFIG_METADATA!$B$4)*(COUNTIF(CONFIG_ASIGNATURAS!$B$7:$B$27,DATOS!$I$2:$I$20000)&gt;0)*(DATOS!$K$2:$K$20000))/SUMPRODUCT((DATOS!$A$2:$A$20000=Y807)*(DATOS!$G$2:$G$20000=CONFIG_METADATA!$B$4)*(COUNTIF(CONFIG_ASIGNATURAS!$B$7:$B$27,DATOS!$I$2:$I$20000)&gt;0)*1),"")))</f>
        <v/>
      </c>
      <c r="AF807" t="str">
        <f>IF(AE807="","",IF(AE807="[FÓRMULA MANUAL]","",IFERROR(AVERAGEIFS(DATOS!$K$2:$K$20000,DATOS!$A$2:$A$20000,AE807,DATOS!$G$2:$G$20000,CONFIG_METADATA!$B$4,DATOS!$I$2:$I$20000,"Análisis"),"")))</f>
        <v/>
      </c>
      <c r="AG807" t="str">
        <f>IF(AE807="","",IF(AE807="[FÓRMULA MANUAL]","",IFERROR(AVERAGEIFS(DATOS!$K$2:$K$20000,DATOS!$A$2:$A$20000,AE807,DATOS!$G$2:$G$20000,CONFIG_METADATA!$B$4,DATOS!$I$2:$I$20000,"Orquesta/Banda/Conjunto"),"")))</f>
        <v/>
      </c>
      <c r="AH807" t="str">
        <f>IF(AE807="","",IF(AE807="[FÓRMULA MANUAL]","",IFERROR(AVERAGEIFS(DATOS!$K$2:$K$20000,DATOS!$A$2:$A$20000,AE807,DATOS!$G$2:$G$20000,CONFIG_METADATA!$B$4,DATOS!$I$2:$I$20000,"Música de Cámara"),"")))</f>
        <v/>
      </c>
      <c r="AI807" t="str">
        <f>IF(AE807="","",IF(AE807="[FÓRMULA MANUAL]","",IFERROR(SUMPRODUCT((DATOS!$A$2:$A$20000=AE807)*(DATOS!$G$2:$G$20000=CONFIG_METADATA!$B$4)*(COUNTIF(CONFIG_ASIGNATURAS!$B$7:$B$27,DATOS!$I$2:$I$20000)&gt;0)*(DATOS!$K$2:$K$20000))/SUMPRODUCT((DATOS!$A$2:$A$20000=AE807)*(DATOS!$G$2:$G$20000=CONFIG_METADATA!$B$4)*(COUNTIF(CONFIG_ASIGNATURAS!$B$7:$B$27,DATOS!$I$2:$I$20000)&gt;0)*1),"")))</f>
        <v/>
      </c>
    </row>
    <row r="808" spans="2:35" x14ac:dyDescent="0.2">
      <c r="B808" t="str">
        <f>IF(A808="","",IF(A808="[FÓRMULA MANUAL]","",IFERROR(AVERAGEIFS(DATOS!$K$2:$K$20000,DATOS!$A$2:$A$20000,A808,DATOS!$G$2:$G$20000,CONFIG_METADATA!$B$4,DATOS!$I$2:$I$20000,"Lenguaje Musical"),"")))</f>
        <v/>
      </c>
      <c r="C808" t="str">
        <f>IF(A808="","",IF(A808="[FÓRMULA MANUAL]","",IFERROR(AVERAGEIFS(DATOS!$K$2:$K$20000,DATOS!$A$2:$A$20000,A808,DATOS!$G$2:$G$20000,CONFIG_METADATA!$B$4,DATOS!$I$2:$I$20000,"Orquesta/Banda/Conjunto"),"")))</f>
        <v/>
      </c>
      <c r="D808" t="str">
        <f>IF(A808="","",IF(A808="[FÓRMULA MANUAL]","",IFERROR(AVERAGEIFS(DATOS!$K$2:$K$20000,DATOS!$A$2:$A$20000,A808,DATOS!$G$2:$G$20000,CONFIG_METADATA!$B$4,DATOS!$I$2:$I$20000,"Conjunto"),"")))</f>
        <v/>
      </c>
      <c r="E808" t="str">
        <f>IF(A808="","",IF(A808="[FÓRMULA MANUAL]","",IFERROR(SUMPRODUCT((DATOS!$A$2:$A$20000=A808)*(DATOS!$G$2:$G$20000=CONFIG_METADATA!$B$4)*(COUNTIF(CONFIG_ASIGNATURAS!$B$7:$B$27,DATOS!$I$2:$I$20000)&gt;0)*(DATOS!$K$2:$K$20000))/SUMPRODUCT((DATOS!$A$2:$A$20000=A808)*(DATOS!$G$2:$G$20000=CONFIG_METADATA!$B$4)*(COUNTIF(CONFIG_ASIGNATURAS!$B$7:$B$27,DATOS!$I$2:$I$20000)&gt;0)*1),"")))</f>
        <v/>
      </c>
      <c r="H808" t="str">
        <f>IF(G808="","",IF(G808="[FÓRMULA MANUAL]","",IFERROR(AVERAGEIFS(DATOS!$K$2:$K$20000,DATOS!$A$2:$A$20000,G808,DATOS!$G$2:$G$20000,CONFIG_METADATA!$B$4,DATOS!$I$2:$I$20000,"Lenguaje Musical"),"")))</f>
        <v/>
      </c>
      <c r="I808" t="str">
        <f>IF(G808="","",IF(G808="[FÓRMULA MANUAL]","",IFERROR(AVERAGEIFS(DATOS!$K$2:$K$20000,DATOS!$A$2:$A$20000,G808,DATOS!$G$2:$G$20000,CONFIG_METADATA!$B$4,DATOS!$I$2:$I$20000,"Orquesta/Banda/Conjunto"),"")))</f>
        <v/>
      </c>
      <c r="J808" t="str">
        <f>IF(G808="","",IF(G808="[FÓRMULA MANUAL]","",IFERROR(AVERAGEIFS(DATOS!$K$2:$K$20000,DATOS!$A$2:$A$20000,G808,DATOS!$G$2:$G$20000,CONFIG_METADATA!$B$4,DATOS!$I$2:$I$20000,"Conjunto"),"")))</f>
        <v/>
      </c>
      <c r="K808" t="str">
        <f>IF(G808="","",IF(G808="[FÓRMULA MANUAL]","",IFERROR(SUMPRODUCT((DATOS!$A$2:$A$20000=G808)*(DATOS!$G$2:$G$20000=CONFIG_METADATA!$B$4)*(COUNTIF(CONFIG_ASIGNATURAS!$B$7:$B$27,DATOS!$I$2:$I$20000)&gt;0)*(DATOS!$K$2:$K$20000))/SUMPRODUCT((DATOS!$A$2:$A$20000=G808)*(DATOS!$G$2:$G$20000=CONFIG_METADATA!$B$4)*(COUNTIF(CONFIG_ASIGNATURAS!$B$7:$B$27,DATOS!$I$2:$I$20000)&gt;0)*1),"")))</f>
        <v/>
      </c>
      <c r="N808" t="str">
        <f>IF(M808="","",IF(M808="[FÓRMULA MANUAL]","",IFERROR(AVERAGEIFS(DATOS!$K$2:$K$20000,DATOS!$A$2:$A$20000,M808,DATOS!$G$2:$G$20000,CONFIG_METADATA!$B$4,DATOS!$I$2:$I$20000,"Armonía"),"")))</f>
        <v/>
      </c>
      <c r="O808" t="str">
        <f>IF(M808="","",IF(M808="[FÓRMULA MANUAL]","",IFERROR(AVERAGEIFS(DATOS!$K$2:$K$20000,DATOS!$A$2:$A$20000,M808,DATOS!$G$2:$G$20000,CONFIG_METADATA!$B$4,DATOS!$I$2:$I$20000,"Orquesta/Banda/Conjunto"),"")))</f>
        <v/>
      </c>
      <c r="P808" t="str">
        <f>IF(M808="","",IF(M808="[FÓRMULA MANUAL]","",IFERROR(AVERAGEIFS(DATOS!$K$2:$K$20000,DATOS!$A$2:$A$20000,M808,DATOS!$G$2:$G$20000,CONFIG_METADATA!$B$4,DATOS!$I$2:$I$20000,"Música de Cámara"),"")))</f>
        <v/>
      </c>
      <c r="Q808" t="str">
        <f>IF(M808="","",IF(M808="[FÓRMULA MANUAL]","",IFERROR(SUMPRODUCT((DATOS!$A$2:$A$20000=M808)*(DATOS!$G$2:$G$20000=CONFIG_METADATA!$B$4)*(COUNTIF(CONFIG_ASIGNATURAS!$B$7:$B$27,DATOS!$I$2:$I$20000)&gt;0)*(DATOS!$K$2:$K$20000))/SUMPRODUCT((DATOS!$A$2:$A$20000=M808)*(DATOS!$G$2:$G$20000=CONFIG_METADATA!$B$4)*(COUNTIF(CONFIG_ASIGNATURAS!$B$7:$B$27,DATOS!$I$2:$I$20000)&gt;0)*1),"")))</f>
        <v/>
      </c>
      <c r="T808" t="str">
        <f>IF(S808="","",IF(S808="[FÓRMULA MANUAL]","",IFERROR(AVERAGEIFS(DATOS!$K$2:$K$20000,DATOS!$A$2:$A$20000,S808,DATOS!$G$2:$G$20000,CONFIG_METADATA!$B$4,DATOS!$I$2:$I$20000,"Armonía"),"")))</f>
        <v/>
      </c>
      <c r="U808" t="str">
        <f>IF(S808="","",IF(S808="[FÓRMULA MANUAL]","",IFERROR(AVERAGEIFS(DATOS!$K$2:$K$20000,DATOS!$A$2:$A$20000,S808,DATOS!$G$2:$G$20000,CONFIG_METADATA!$B$4,DATOS!$I$2:$I$20000,"Orquesta/Banda/Conjunto"),"")))</f>
        <v/>
      </c>
      <c r="V808" t="str">
        <f>IF(S808="","",IF(S808="[FÓRMULA MANUAL]","",IFERROR(AVERAGEIFS(DATOS!$K$2:$K$20000,DATOS!$A$2:$A$20000,S808,DATOS!$G$2:$G$20000,CONFIG_METADATA!$B$4,DATOS!$I$2:$I$20000,"Música de Cámara"),"")))</f>
        <v/>
      </c>
      <c r="W808" t="str">
        <f>IF(S808="","",IF(S808="[FÓRMULA MANUAL]","",IFERROR(SUMPRODUCT((DATOS!$A$2:$A$20000=S808)*(DATOS!$G$2:$G$20000=CONFIG_METADATA!$B$4)*(COUNTIF(CONFIG_ASIGNATURAS!$B$7:$B$27,DATOS!$I$2:$I$20000)&gt;0)*(DATOS!$K$2:$K$20000))/SUMPRODUCT((DATOS!$A$2:$A$20000=S808)*(DATOS!$G$2:$G$20000=CONFIG_METADATA!$B$4)*(COUNTIF(CONFIG_ASIGNATURAS!$B$7:$B$27,DATOS!$I$2:$I$20000)&gt;0)*1),"")))</f>
        <v/>
      </c>
      <c r="Z808" t="str">
        <f>IF(Y808="","",IF(Y808="[FÓRMULA MANUAL]","",IFERROR(AVERAGEIFS(DATOS!$K$2:$K$20000,DATOS!$A$2:$A$20000,Y808,DATOS!$G$2:$G$20000,CONFIG_METADATA!$B$4,DATOS!$I$2:$I$20000,"Análisis"),"")))</f>
        <v/>
      </c>
      <c r="AA808" t="str">
        <f>IF(Y808="","",IF(Y808="[FÓRMULA MANUAL]","",IFERROR(AVERAGEIFS(DATOS!$K$2:$K$20000,DATOS!$A$2:$A$20000,Y808,DATOS!$G$2:$G$20000,CONFIG_METADATA!$B$4,DATOS!$I$2:$I$20000,"Orquesta/Banda/Conjunto"),"")))</f>
        <v/>
      </c>
      <c r="AB808" t="str">
        <f>IF(Y808="","",IF(Y808="[FÓRMULA MANUAL]","",IFERROR(AVERAGEIFS(DATOS!$K$2:$K$20000,DATOS!$A$2:$A$20000,Y808,DATOS!$G$2:$G$20000,CONFIG_METADATA!$B$4,DATOS!$I$2:$I$20000,"Música de Cámara"),"")))</f>
        <v/>
      </c>
      <c r="AC808" t="str">
        <f>IF(Y808="","",IF(Y808="[FÓRMULA MANUAL]","",IFERROR(SUMPRODUCT((DATOS!$A$2:$A$20000=Y808)*(DATOS!$G$2:$G$20000=CONFIG_METADATA!$B$4)*(COUNTIF(CONFIG_ASIGNATURAS!$B$7:$B$27,DATOS!$I$2:$I$20000)&gt;0)*(DATOS!$K$2:$K$20000))/SUMPRODUCT((DATOS!$A$2:$A$20000=Y808)*(DATOS!$G$2:$G$20000=CONFIG_METADATA!$B$4)*(COUNTIF(CONFIG_ASIGNATURAS!$B$7:$B$27,DATOS!$I$2:$I$20000)&gt;0)*1),"")))</f>
        <v/>
      </c>
      <c r="AF808" t="str">
        <f>IF(AE808="","",IF(AE808="[FÓRMULA MANUAL]","",IFERROR(AVERAGEIFS(DATOS!$K$2:$K$20000,DATOS!$A$2:$A$20000,AE808,DATOS!$G$2:$G$20000,CONFIG_METADATA!$B$4,DATOS!$I$2:$I$20000,"Análisis"),"")))</f>
        <v/>
      </c>
      <c r="AG808" t="str">
        <f>IF(AE808="","",IF(AE808="[FÓRMULA MANUAL]","",IFERROR(AVERAGEIFS(DATOS!$K$2:$K$20000,DATOS!$A$2:$A$20000,AE808,DATOS!$G$2:$G$20000,CONFIG_METADATA!$B$4,DATOS!$I$2:$I$20000,"Orquesta/Banda/Conjunto"),"")))</f>
        <v/>
      </c>
      <c r="AH808" t="str">
        <f>IF(AE808="","",IF(AE808="[FÓRMULA MANUAL]","",IFERROR(AVERAGEIFS(DATOS!$K$2:$K$20000,DATOS!$A$2:$A$20000,AE808,DATOS!$G$2:$G$20000,CONFIG_METADATA!$B$4,DATOS!$I$2:$I$20000,"Música de Cámara"),"")))</f>
        <v/>
      </c>
      <c r="AI808" t="str">
        <f>IF(AE808="","",IF(AE808="[FÓRMULA MANUAL]","",IFERROR(SUMPRODUCT((DATOS!$A$2:$A$20000=AE808)*(DATOS!$G$2:$G$20000=CONFIG_METADATA!$B$4)*(COUNTIF(CONFIG_ASIGNATURAS!$B$7:$B$27,DATOS!$I$2:$I$20000)&gt;0)*(DATOS!$K$2:$K$20000))/SUMPRODUCT((DATOS!$A$2:$A$20000=AE808)*(DATOS!$G$2:$G$20000=CONFIG_METADATA!$B$4)*(COUNTIF(CONFIG_ASIGNATURAS!$B$7:$B$27,DATOS!$I$2:$I$20000)&gt;0)*1),"")))</f>
        <v/>
      </c>
    </row>
    <row r="809" spans="2:35" x14ac:dyDescent="0.2">
      <c r="B809" t="str">
        <f>IF(A809="","",IF(A809="[FÓRMULA MANUAL]","",IFERROR(AVERAGEIFS(DATOS!$K$2:$K$20000,DATOS!$A$2:$A$20000,A809,DATOS!$G$2:$G$20000,CONFIG_METADATA!$B$4,DATOS!$I$2:$I$20000,"Lenguaje Musical"),"")))</f>
        <v/>
      </c>
      <c r="C809" t="str">
        <f>IF(A809="","",IF(A809="[FÓRMULA MANUAL]","",IFERROR(AVERAGEIFS(DATOS!$K$2:$K$20000,DATOS!$A$2:$A$20000,A809,DATOS!$G$2:$G$20000,CONFIG_METADATA!$B$4,DATOS!$I$2:$I$20000,"Orquesta/Banda/Conjunto"),"")))</f>
        <v/>
      </c>
      <c r="D809" t="str">
        <f>IF(A809="","",IF(A809="[FÓRMULA MANUAL]","",IFERROR(AVERAGEIFS(DATOS!$K$2:$K$20000,DATOS!$A$2:$A$20000,A809,DATOS!$G$2:$G$20000,CONFIG_METADATA!$B$4,DATOS!$I$2:$I$20000,"Conjunto"),"")))</f>
        <v/>
      </c>
      <c r="E809" t="str">
        <f>IF(A809="","",IF(A809="[FÓRMULA MANUAL]","",IFERROR(SUMPRODUCT((DATOS!$A$2:$A$20000=A809)*(DATOS!$G$2:$G$20000=CONFIG_METADATA!$B$4)*(COUNTIF(CONFIG_ASIGNATURAS!$B$7:$B$27,DATOS!$I$2:$I$20000)&gt;0)*(DATOS!$K$2:$K$20000))/SUMPRODUCT((DATOS!$A$2:$A$20000=A809)*(DATOS!$G$2:$G$20000=CONFIG_METADATA!$B$4)*(COUNTIF(CONFIG_ASIGNATURAS!$B$7:$B$27,DATOS!$I$2:$I$20000)&gt;0)*1),"")))</f>
        <v/>
      </c>
      <c r="H809" t="str">
        <f>IF(G809="","",IF(G809="[FÓRMULA MANUAL]","",IFERROR(AVERAGEIFS(DATOS!$K$2:$K$20000,DATOS!$A$2:$A$20000,G809,DATOS!$G$2:$G$20000,CONFIG_METADATA!$B$4,DATOS!$I$2:$I$20000,"Lenguaje Musical"),"")))</f>
        <v/>
      </c>
      <c r="I809" t="str">
        <f>IF(G809="","",IF(G809="[FÓRMULA MANUAL]","",IFERROR(AVERAGEIFS(DATOS!$K$2:$K$20000,DATOS!$A$2:$A$20000,G809,DATOS!$G$2:$G$20000,CONFIG_METADATA!$B$4,DATOS!$I$2:$I$20000,"Orquesta/Banda/Conjunto"),"")))</f>
        <v/>
      </c>
      <c r="J809" t="str">
        <f>IF(G809="","",IF(G809="[FÓRMULA MANUAL]","",IFERROR(AVERAGEIFS(DATOS!$K$2:$K$20000,DATOS!$A$2:$A$20000,G809,DATOS!$G$2:$G$20000,CONFIG_METADATA!$B$4,DATOS!$I$2:$I$20000,"Conjunto"),"")))</f>
        <v/>
      </c>
      <c r="K809" t="str">
        <f>IF(G809="","",IF(G809="[FÓRMULA MANUAL]","",IFERROR(SUMPRODUCT((DATOS!$A$2:$A$20000=G809)*(DATOS!$G$2:$G$20000=CONFIG_METADATA!$B$4)*(COUNTIF(CONFIG_ASIGNATURAS!$B$7:$B$27,DATOS!$I$2:$I$20000)&gt;0)*(DATOS!$K$2:$K$20000))/SUMPRODUCT((DATOS!$A$2:$A$20000=G809)*(DATOS!$G$2:$G$20000=CONFIG_METADATA!$B$4)*(COUNTIF(CONFIG_ASIGNATURAS!$B$7:$B$27,DATOS!$I$2:$I$20000)&gt;0)*1),"")))</f>
        <v/>
      </c>
      <c r="N809" t="str">
        <f>IF(M809="","",IF(M809="[FÓRMULA MANUAL]","",IFERROR(AVERAGEIFS(DATOS!$K$2:$K$20000,DATOS!$A$2:$A$20000,M809,DATOS!$G$2:$G$20000,CONFIG_METADATA!$B$4,DATOS!$I$2:$I$20000,"Armonía"),"")))</f>
        <v/>
      </c>
      <c r="O809" t="str">
        <f>IF(M809="","",IF(M809="[FÓRMULA MANUAL]","",IFERROR(AVERAGEIFS(DATOS!$K$2:$K$20000,DATOS!$A$2:$A$20000,M809,DATOS!$G$2:$G$20000,CONFIG_METADATA!$B$4,DATOS!$I$2:$I$20000,"Orquesta/Banda/Conjunto"),"")))</f>
        <v/>
      </c>
      <c r="P809" t="str">
        <f>IF(M809="","",IF(M809="[FÓRMULA MANUAL]","",IFERROR(AVERAGEIFS(DATOS!$K$2:$K$20000,DATOS!$A$2:$A$20000,M809,DATOS!$G$2:$G$20000,CONFIG_METADATA!$B$4,DATOS!$I$2:$I$20000,"Música de Cámara"),"")))</f>
        <v/>
      </c>
      <c r="Q809" t="str">
        <f>IF(M809="","",IF(M809="[FÓRMULA MANUAL]","",IFERROR(SUMPRODUCT((DATOS!$A$2:$A$20000=M809)*(DATOS!$G$2:$G$20000=CONFIG_METADATA!$B$4)*(COUNTIF(CONFIG_ASIGNATURAS!$B$7:$B$27,DATOS!$I$2:$I$20000)&gt;0)*(DATOS!$K$2:$K$20000))/SUMPRODUCT((DATOS!$A$2:$A$20000=M809)*(DATOS!$G$2:$G$20000=CONFIG_METADATA!$B$4)*(COUNTIF(CONFIG_ASIGNATURAS!$B$7:$B$27,DATOS!$I$2:$I$20000)&gt;0)*1),"")))</f>
        <v/>
      </c>
      <c r="T809" t="str">
        <f>IF(S809="","",IF(S809="[FÓRMULA MANUAL]","",IFERROR(AVERAGEIFS(DATOS!$K$2:$K$20000,DATOS!$A$2:$A$20000,S809,DATOS!$G$2:$G$20000,CONFIG_METADATA!$B$4,DATOS!$I$2:$I$20000,"Armonía"),"")))</f>
        <v/>
      </c>
      <c r="U809" t="str">
        <f>IF(S809="","",IF(S809="[FÓRMULA MANUAL]","",IFERROR(AVERAGEIFS(DATOS!$K$2:$K$20000,DATOS!$A$2:$A$20000,S809,DATOS!$G$2:$G$20000,CONFIG_METADATA!$B$4,DATOS!$I$2:$I$20000,"Orquesta/Banda/Conjunto"),"")))</f>
        <v/>
      </c>
      <c r="V809" t="str">
        <f>IF(S809="","",IF(S809="[FÓRMULA MANUAL]","",IFERROR(AVERAGEIFS(DATOS!$K$2:$K$20000,DATOS!$A$2:$A$20000,S809,DATOS!$G$2:$G$20000,CONFIG_METADATA!$B$4,DATOS!$I$2:$I$20000,"Música de Cámara"),"")))</f>
        <v/>
      </c>
      <c r="W809" t="str">
        <f>IF(S809="","",IF(S809="[FÓRMULA MANUAL]","",IFERROR(SUMPRODUCT((DATOS!$A$2:$A$20000=S809)*(DATOS!$G$2:$G$20000=CONFIG_METADATA!$B$4)*(COUNTIF(CONFIG_ASIGNATURAS!$B$7:$B$27,DATOS!$I$2:$I$20000)&gt;0)*(DATOS!$K$2:$K$20000))/SUMPRODUCT((DATOS!$A$2:$A$20000=S809)*(DATOS!$G$2:$G$20000=CONFIG_METADATA!$B$4)*(COUNTIF(CONFIG_ASIGNATURAS!$B$7:$B$27,DATOS!$I$2:$I$20000)&gt;0)*1),"")))</f>
        <v/>
      </c>
      <c r="Z809" t="str">
        <f>IF(Y809="","",IF(Y809="[FÓRMULA MANUAL]","",IFERROR(AVERAGEIFS(DATOS!$K$2:$K$20000,DATOS!$A$2:$A$20000,Y809,DATOS!$G$2:$G$20000,CONFIG_METADATA!$B$4,DATOS!$I$2:$I$20000,"Análisis"),"")))</f>
        <v/>
      </c>
      <c r="AA809" t="str">
        <f>IF(Y809="","",IF(Y809="[FÓRMULA MANUAL]","",IFERROR(AVERAGEIFS(DATOS!$K$2:$K$20000,DATOS!$A$2:$A$20000,Y809,DATOS!$G$2:$G$20000,CONFIG_METADATA!$B$4,DATOS!$I$2:$I$20000,"Orquesta/Banda/Conjunto"),"")))</f>
        <v/>
      </c>
      <c r="AB809" t="str">
        <f>IF(Y809="","",IF(Y809="[FÓRMULA MANUAL]","",IFERROR(AVERAGEIFS(DATOS!$K$2:$K$20000,DATOS!$A$2:$A$20000,Y809,DATOS!$G$2:$G$20000,CONFIG_METADATA!$B$4,DATOS!$I$2:$I$20000,"Música de Cámara"),"")))</f>
        <v/>
      </c>
      <c r="AC809" t="str">
        <f>IF(Y809="","",IF(Y809="[FÓRMULA MANUAL]","",IFERROR(SUMPRODUCT((DATOS!$A$2:$A$20000=Y809)*(DATOS!$G$2:$G$20000=CONFIG_METADATA!$B$4)*(COUNTIF(CONFIG_ASIGNATURAS!$B$7:$B$27,DATOS!$I$2:$I$20000)&gt;0)*(DATOS!$K$2:$K$20000))/SUMPRODUCT((DATOS!$A$2:$A$20000=Y809)*(DATOS!$G$2:$G$20000=CONFIG_METADATA!$B$4)*(COUNTIF(CONFIG_ASIGNATURAS!$B$7:$B$27,DATOS!$I$2:$I$20000)&gt;0)*1),"")))</f>
        <v/>
      </c>
      <c r="AF809" t="str">
        <f>IF(AE809="","",IF(AE809="[FÓRMULA MANUAL]","",IFERROR(AVERAGEIFS(DATOS!$K$2:$K$20000,DATOS!$A$2:$A$20000,AE809,DATOS!$G$2:$G$20000,CONFIG_METADATA!$B$4,DATOS!$I$2:$I$20000,"Análisis"),"")))</f>
        <v/>
      </c>
      <c r="AG809" t="str">
        <f>IF(AE809="","",IF(AE809="[FÓRMULA MANUAL]","",IFERROR(AVERAGEIFS(DATOS!$K$2:$K$20000,DATOS!$A$2:$A$20000,AE809,DATOS!$G$2:$G$20000,CONFIG_METADATA!$B$4,DATOS!$I$2:$I$20000,"Orquesta/Banda/Conjunto"),"")))</f>
        <v/>
      </c>
      <c r="AH809" t="str">
        <f>IF(AE809="","",IF(AE809="[FÓRMULA MANUAL]","",IFERROR(AVERAGEIFS(DATOS!$K$2:$K$20000,DATOS!$A$2:$A$20000,AE809,DATOS!$G$2:$G$20000,CONFIG_METADATA!$B$4,DATOS!$I$2:$I$20000,"Música de Cámara"),"")))</f>
        <v/>
      </c>
      <c r="AI809" t="str">
        <f>IF(AE809="","",IF(AE809="[FÓRMULA MANUAL]","",IFERROR(SUMPRODUCT((DATOS!$A$2:$A$20000=AE809)*(DATOS!$G$2:$G$20000=CONFIG_METADATA!$B$4)*(COUNTIF(CONFIG_ASIGNATURAS!$B$7:$B$27,DATOS!$I$2:$I$20000)&gt;0)*(DATOS!$K$2:$K$20000))/SUMPRODUCT((DATOS!$A$2:$A$20000=AE809)*(DATOS!$G$2:$G$20000=CONFIG_METADATA!$B$4)*(COUNTIF(CONFIG_ASIGNATURAS!$B$7:$B$27,DATOS!$I$2:$I$20000)&gt;0)*1),"")))</f>
        <v/>
      </c>
    </row>
    <row r="810" spans="2:35" x14ac:dyDescent="0.2">
      <c r="B810" t="str">
        <f>IF(A810="","",IF(A810="[FÓRMULA MANUAL]","",IFERROR(AVERAGEIFS(DATOS!$K$2:$K$20000,DATOS!$A$2:$A$20000,A810,DATOS!$G$2:$G$20000,CONFIG_METADATA!$B$4,DATOS!$I$2:$I$20000,"Lenguaje Musical"),"")))</f>
        <v/>
      </c>
      <c r="C810" t="str">
        <f>IF(A810="","",IF(A810="[FÓRMULA MANUAL]","",IFERROR(AVERAGEIFS(DATOS!$K$2:$K$20000,DATOS!$A$2:$A$20000,A810,DATOS!$G$2:$G$20000,CONFIG_METADATA!$B$4,DATOS!$I$2:$I$20000,"Orquesta/Banda/Conjunto"),"")))</f>
        <v/>
      </c>
      <c r="D810" t="str">
        <f>IF(A810="","",IF(A810="[FÓRMULA MANUAL]","",IFERROR(AVERAGEIFS(DATOS!$K$2:$K$20000,DATOS!$A$2:$A$20000,A810,DATOS!$G$2:$G$20000,CONFIG_METADATA!$B$4,DATOS!$I$2:$I$20000,"Conjunto"),"")))</f>
        <v/>
      </c>
      <c r="E810" t="str">
        <f>IF(A810="","",IF(A810="[FÓRMULA MANUAL]","",IFERROR(SUMPRODUCT((DATOS!$A$2:$A$20000=A810)*(DATOS!$G$2:$G$20000=CONFIG_METADATA!$B$4)*(COUNTIF(CONFIG_ASIGNATURAS!$B$7:$B$27,DATOS!$I$2:$I$20000)&gt;0)*(DATOS!$K$2:$K$20000))/SUMPRODUCT((DATOS!$A$2:$A$20000=A810)*(DATOS!$G$2:$G$20000=CONFIG_METADATA!$B$4)*(COUNTIF(CONFIG_ASIGNATURAS!$B$7:$B$27,DATOS!$I$2:$I$20000)&gt;0)*1),"")))</f>
        <v/>
      </c>
      <c r="H810" t="str">
        <f>IF(G810="","",IF(G810="[FÓRMULA MANUAL]","",IFERROR(AVERAGEIFS(DATOS!$K$2:$K$20000,DATOS!$A$2:$A$20000,G810,DATOS!$G$2:$G$20000,CONFIG_METADATA!$B$4,DATOS!$I$2:$I$20000,"Lenguaje Musical"),"")))</f>
        <v/>
      </c>
      <c r="I810" t="str">
        <f>IF(G810="","",IF(G810="[FÓRMULA MANUAL]","",IFERROR(AVERAGEIFS(DATOS!$K$2:$K$20000,DATOS!$A$2:$A$20000,G810,DATOS!$G$2:$G$20000,CONFIG_METADATA!$B$4,DATOS!$I$2:$I$20000,"Orquesta/Banda/Conjunto"),"")))</f>
        <v/>
      </c>
      <c r="J810" t="str">
        <f>IF(G810="","",IF(G810="[FÓRMULA MANUAL]","",IFERROR(AVERAGEIFS(DATOS!$K$2:$K$20000,DATOS!$A$2:$A$20000,G810,DATOS!$G$2:$G$20000,CONFIG_METADATA!$B$4,DATOS!$I$2:$I$20000,"Conjunto"),"")))</f>
        <v/>
      </c>
      <c r="K810" t="str">
        <f>IF(G810="","",IF(G810="[FÓRMULA MANUAL]","",IFERROR(SUMPRODUCT((DATOS!$A$2:$A$20000=G810)*(DATOS!$G$2:$G$20000=CONFIG_METADATA!$B$4)*(COUNTIF(CONFIG_ASIGNATURAS!$B$7:$B$27,DATOS!$I$2:$I$20000)&gt;0)*(DATOS!$K$2:$K$20000))/SUMPRODUCT((DATOS!$A$2:$A$20000=G810)*(DATOS!$G$2:$G$20000=CONFIG_METADATA!$B$4)*(COUNTIF(CONFIG_ASIGNATURAS!$B$7:$B$27,DATOS!$I$2:$I$20000)&gt;0)*1),"")))</f>
        <v/>
      </c>
      <c r="N810" t="str">
        <f>IF(M810="","",IF(M810="[FÓRMULA MANUAL]","",IFERROR(AVERAGEIFS(DATOS!$K$2:$K$20000,DATOS!$A$2:$A$20000,M810,DATOS!$G$2:$G$20000,CONFIG_METADATA!$B$4,DATOS!$I$2:$I$20000,"Armonía"),"")))</f>
        <v/>
      </c>
      <c r="O810" t="str">
        <f>IF(M810="","",IF(M810="[FÓRMULA MANUAL]","",IFERROR(AVERAGEIFS(DATOS!$K$2:$K$20000,DATOS!$A$2:$A$20000,M810,DATOS!$G$2:$G$20000,CONFIG_METADATA!$B$4,DATOS!$I$2:$I$20000,"Orquesta/Banda/Conjunto"),"")))</f>
        <v/>
      </c>
      <c r="P810" t="str">
        <f>IF(M810="","",IF(M810="[FÓRMULA MANUAL]","",IFERROR(AVERAGEIFS(DATOS!$K$2:$K$20000,DATOS!$A$2:$A$20000,M810,DATOS!$G$2:$G$20000,CONFIG_METADATA!$B$4,DATOS!$I$2:$I$20000,"Música de Cámara"),"")))</f>
        <v/>
      </c>
      <c r="Q810" t="str">
        <f>IF(M810="","",IF(M810="[FÓRMULA MANUAL]","",IFERROR(SUMPRODUCT((DATOS!$A$2:$A$20000=M810)*(DATOS!$G$2:$G$20000=CONFIG_METADATA!$B$4)*(COUNTIF(CONFIG_ASIGNATURAS!$B$7:$B$27,DATOS!$I$2:$I$20000)&gt;0)*(DATOS!$K$2:$K$20000))/SUMPRODUCT((DATOS!$A$2:$A$20000=M810)*(DATOS!$G$2:$G$20000=CONFIG_METADATA!$B$4)*(COUNTIF(CONFIG_ASIGNATURAS!$B$7:$B$27,DATOS!$I$2:$I$20000)&gt;0)*1),"")))</f>
        <v/>
      </c>
      <c r="T810" t="str">
        <f>IF(S810="","",IF(S810="[FÓRMULA MANUAL]","",IFERROR(AVERAGEIFS(DATOS!$K$2:$K$20000,DATOS!$A$2:$A$20000,S810,DATOS!$G$2:$G$20000,CONFIG_METADATA!$B$4,DATOS!$I$2:$I$20000,"Armonía"),"")))</f>
        <v/>
      </c>
      <c r="U810" t="str">
        <f>IF(S810="","",IF(S810="[FÓRMULA MANUAL]","",IFERROR(AVERAGEIFS(DATOS!$K$2:$K$20000,DATOS!$A$2:$A$20000,S810,DATOS!$G$2:$G$20000,CONFIG_METADATA!$B$4,DATOS!$I$2:$I$20000,"Orquesta/Banda/Conjunto"),"")))</f>
        <v/>
      </c>
      <c r="V810" t="str">
        <f>IF(S810="","",IF(S810="[FÓRMULA MANUAL]","",IFERROR(AVERAGEIFS(DATOS!$K$2:$K$20000,DATOS!$A$2:$A$20000,S810,DATOS!$G$2:$G$20000,CONFIG_METADATA!$B$4,DATOS!$I$2:$I$20000,"Música de Cámara"),"")))</f>
        <v/>
      </c>
      <c r="W810" t="str">
        <f>IF(S810="","",IF(S810="[FÓRMULA MANUAL]","",IFERROR(SUMPRODUCT((DATOS!$A$2:$A$20000=S810)*(DATOS!$G$2:$G$20000=CONFIG_METADATA!$B$4)*(COUNTIF(CONFIG_ASIGNATURAS!$B$7:$B$27,DATOS!$I$2:$I$20000)&gt;0)*(DATOS!$K$2:$K$20000))/SUMPRODUCT((DATOS!$A$2:$A$20000=S810)*(DATOS!$G$2:$G$20000=CONFIG_METADATA!$B$4)*(COUNTIF(CONFIG_ASIGNATURAS!$B$7:$B$27,DATOS!$I$2:$I$20000)&gt;0)*1),"")))</f>
        <v/>
      </c>
      <c r="Z810" t="str">
        <f>IF(Y810="","",IF(Y810="[FÓRMULA MANUAL]","",IFERROR(AVERAGEIFS(DATOS!$K$2:$K$20000,DATOS!$A$2:$A$20000,Y810,DATOS!$G$2:$G$20000,CONFIG_METADATA!$B$4,DATOS!$I$2:$I$20000,"Análisis"),"")))</f>
        <v/>
      </c>
      <c r="AA810" t="str">
        <f>IF(Y810="","",IF(Y810="[FÓRMULA MANUAL]","",IFERROR(AVERAGEIFS(DATOS!$K$2:$K$20000,DATOS!$A$2:$A$20000,Y810,DATOS!$G$2:$G$20000,CONFIG_METADATA!$B$4,DATOS!$I$2:$I$20000,"Orquesta/Banda/Conjunto"),"")))</f>
        <v/>
      </c>
      <c r="AB810" t="str">
        <f>IF(Y810="","",IF(Y810="[FÓRMULA MANUAL]","",IFERROR(AVERAGEIFS(DATOS!$K$2:$K$20000,DATOS!$A$2:$A$20000,Y810,DATOS!$G$2:$G$20000,CONFIG_METADATA!$B$4,DATOS!$I$2:$I$20000,"Música de Cámara"),"")))</f>
        <v/>
      </c>
      <c r="AC810" t="str">
        <f>IF(Y810="","",IF(Y810="[FÓRMULA MANUAL]","",IFERROR(SUMPRODUCT((DATOS!$A$2:$A$20000=Y810)*(DATOS!$G$2:$G$20000=CONFIG_METADATA!$B$4)*(COUNTIF(CONFIG_ASIGNATURAS!$B$7:$B$27,DATOS!$I$2:$I$20000)&gt;0)*(DATOS!$K$2:$K$20000))/SUMPRODUCT((DATOS!$A$2:$A$20000=Y810)*(DATOS!$G$2:$G$20000=CONFIG_METADATA!$B$4)*(COUNTIF(CONFIG_ASIGNATURAS!$B$7:$B$27,DATOS!$I$2:$I$20000)&gt;0)*1),"")))</f>
        <v/>
      </c>
      <c r="AF810" t="str">
        <f>IF(AE810="","",IF(AE810="[FÓRMULA MANUAL]","",IFERROR(AVERAGEIFS(DATOS!$K$2:$K$20000,DATOS!$A$2:$A$20000,AE810,DATOS!$G$2:$G$20000,CONFIG_METADATA!$B$4,DATOS!$I$2:$I$20000,"Análisis"),"")))</f>
        <v/>
      </c>
      <c r="AG810" t="str">
        <f>IF(AE810="","",IF(AE810="[FÓRMULA MANUAL]","",IFERROR(AVERAGEIFS(DATOS!$K$2:$K$20000,DATOS!$A$2:$A$20000,AE810,DATOS!$G$2:$G$20000,CONFIG_METADATA!$B$4,DATOS!$I$2:$I$20000,"Orquesta/Banda/Conjunto"),"")))</f>
        <v/>
      </c>
      <c r="AH810" t="str">
        <f>IF(AE810="","",IF(AE810="[FÓRMULA MANUAL]","",IFERROR(AVERAGEIFS(DATOS!$K$2:$K$20000,DATOS!$A$2:$A$20000,AE810,DATOS!$G$2:$G$20000,CONFIG_METADATA!$B$4,DATOS!$I$2:$I$20000,"Música de Cámara"),"")))</f>
        <v/>
      </c>
      <c r="AI810" t="str">
        <f>IF(AE810="","",IF(AE810="[FÓRMULA MANUAL]","",IFERROR(SUMPRODUCT((DATOS!$A$2:$A$20000=AE810)*(DATOS!$G$2:$G$20000=CONFIG_METADATA!$B$4)*(COUNTIF(CONFIG_ASIGNATURAS!$B$7:$B$27,DATOS!$I$2:$I$20000)&gt;0)*(DATOS!$K$2:$K$20000))/SUMPRODUCT((DATOS!$A$2:$A$20000=AE810)*(DATOS!$G$2:$G$20000=CONFIG_METADATA!$B$4)*(COUNTIF(CONFIG_ASIGNATURAS!$B$7:$B$27,DATOS!$I$2:$I$20000)&gt;0)*1),"")))</f>
        <v/>
      </c>
    </row>
    <row r="811" spans="2:35" x14ac:dyDescent="0.2">
      <c r="B811" t="str">
        <f>IF(A811="","",IF(A811="[FÓRMULA MANUAL]","",IFERROR(AVERAGEIFS(DATOS!$K$2:$K$20000,DATOS!$A$2:$A$20000,A811,DATOS!$G$2:$G$20000,CONFIG_METADATA!$B$4,DATOS!$I$2:$I$20000,"Lenguaje Musical"),"")))</f>
        <v/>
      </c>
      <c r="C811" t="str">
        <f>IF(A811="","",IF(A811="[FÓRMULA MANUAL]","",IFERROR(AVERAGEIFS(DATOS!$K$2:$K$20000,DATOS!$A$2:$A$20000,A811,DATOS!$G$2:$G$20000,CONFIG_METADATA!$B$4,DATOS!$I$2:$I$20000,"Orquesta/Banda/Conjunto"),"")))</f>
        <v/>
      </c>
      <c r="D811" t="str">
        <f>IF(A811="","",IF(A811="[FÓRMULA MANUAL]","",IFERROR(AVERAGEIFS(DATOS!$K$2:$K$20000,DATOS!$A$2:$A$20000,A811,DATOS!$G$2:$G$20000,CONFIG_METADATA!$B$4,DATOS!$I$2:$I$20000,"Conjunto"),"")))</f>
        <v/>
      </c>
      <c r="E811" t="str">
        <f>IF(A811="","",IF(A811="[FÓRMULA MANUAL]","",IFERROR(SUMPRODUCT((DATOS!$A$2:$A$20000=A811)*(DATOS!$G$2:$G$20000=CONFIG_METADATA!$B$4)*(COUNTIF(CONFIG_ASIGNATURAS!$B$7:$B$27,DATOS!$I$2:$I$20000)&gt;0)*(DATOS!$K$2:$K$20000))/SUMPRODUCT((DATOS!$A$2:$A$20000=A811)*(DATOS!$G$2:$G$20000=CONFIG_METADATA!$B$4)*(COUNTIF(CONFIG_ASIGNATURAS!$B$7:$B$27,DATOS!$I$2:$I$20000)&gt;0)*1),"")))</f>
        <v/>
      </c>
      <c r="H811" t="str">
        <f>IF(G811="","",IF(G811="[FÓRMULA MANUAL]","",IFERROR(AVERAGEIFS(DATOS!$K$2:$K$20000,DATOS!$A$2:$A$20000,G811,DATOS!$G$2:$G$20000,CONFIG_METADATA!$B$4,DATOS!$I$2:$I$20000,"Lenguaje Musical"),"")))</f>
        <v/>
      </c>
      <c r="I811" t="str">
        <f>IF(G811="","",IF(G811="[FÓRMULA MANUAL]","",IFERROR(AVERAGEIFS(DATOS!$K$2:$K$20000,DATOS!$A$2:$A$20000,G811,DATOS!$G$2:$G$20000,CONFIG_METADATA!$B$4,DATOS!$I$2:$I$20000,"Orquesta/Banda/Conjunto"),"")))</f>
        <v/>
      </c>
      <c r="J811" t="str">
        <f>IF(G811="","",IF(G811="[FÓRMULA MANUAL]","",IFERROR(AVERAGEIFS(DATOS!$K$2:$K$20000,DATOS!$A$2:$A$20000,G811,DATOS!$G$2:$G$20000,CONFIG_METADATA!$B$4,DATOS!$I$2:$I$20000,"Conjunto"),"")))</f>
        <v/>
      </c>
      <c r="K811" t="str">
        <f>IF(G811="","",IF(G811="[FÓRMULA MANUAL]","",IFERROR(SUMPRODUCT((DATOS!$A$2:$A$20000=G811)*(DATOS!$G$2:$G$20000=CONFIG_METADATA!$B$4)*(COUNTIF(CONFIG_ASIGNATURAS!$B$7:$B$27,DATOS!$I$2:$I$20000)&gt;0)*(DATOS!$K$2:$K$20000))/SUMPRODUCT((DATOS!$A$2:$A$20000=G811)*(DATOS!$G$2:$G$20000=CONFIG_METADATA!$B$4)*(COUNTIF(CONFIG_ASIGNATURAS!$B$7:$B$27,DATOS!$I$2:$I$20000)&gt;0)*1),"")))</f>
        <v/>
      </c>
      <c r="N811" t="str">
        <f>IF(M811="","",IF(M811="[FÓRMULA MANUAL]","",IFERROR(AVERAGEIFS(DATOS!$K$2:$K$20000,DATOS!$A$2:$A$20000,M811,DATOS!$G$2:$G$20000,CONFIG_METADATA!$B$4,DATOS!$I$2:$I$20000,"Armonía"),"")))</f>
        <v/>
      </c>
      <c r="O811" t="str">
        <f>IF(M811="","",IF(M811="[FÓRMULA MANUAL]","",IFERROR(AVERAGEIFS(DATOS!$K$2:$K$20000,DATOS!$A$2:$A$20000,M811,DATOS!$G$2:$G$20000,CONFIG_METADATA!$B$4,DATOS!$I$2:$I$20000,"Orquesta/Banda/Conjunto"),"")))</f>
        <v/>
      </c>
      <c r="P811" t="str">
        <f>IF(M811="","",IF(M811="[FÓRMULA MANUAL]","",IFERROR(AVERAGEIFS(DATOS!$K$2:$K$20000,DATOS!$A$2:$A$20000,M811,DATOS!$G$2:$G$20000,CONFIG_METADATA!$B$4,DATOS!$I$2:$I$20000,"Música de Cámara"),"")))</f>
        <v/>
      </c>
      <c r="Q811" t="str">
        <f>IF(M811="","",IF(M811="[FÓRMULA MANUAL]","",IFERROR(SUMPRODUCT((DATOS!$A$2:$A$20000=M811)*(DATOS!$G$2:$G$20000=CONFIG_METADATA!$B$4)*(COUNTIF(CONFIG_ASIGNATURAS!$B$7:$B$27,DATOS!$I$2:$I$20000)&gt;0)*(DATOS!$K$2:$K$20000))/SUMPRODUCT((DATOS!$A$2:$A$20000=M811)*(DATOS!$G$2:$G$20000=CONFIG_METADATA!$B$4)*(COUNTIF(CONFIG_ASIGNATURAS!$B$7:$B$27,DATOS!$I$2:$I$20000)&gt;0)*1),"")))</f>
        <v/>
      </c>
      <c r="T811" t="str">
        <f>IF(S811="","",IF(S811="[FÓRMULA MANUAL]","",IFERROR(AVERAGEIFS(DATOS!$K$2:$K$20000,DATOS!$A$2:$A$20000,S811,DATOS!$G$2:$G$20000,CONFIG_METADATA!$B$4,DATOS!$I$2:$I$20000,"Armonía"),"")))</f>
        <v/>
      </c>
      <c r="U811" t="str">
        <f>IF(S811="","",IF(S811="[FÓRMULA MANUAL]","",IFERROR(AVERAGEIFS(DATOS!$K$2:$K$20000,DATOS!$A$2:$A$20000,S811,DATOS!$G$2:$G$20000,CONFIG_METADATA!$B$4,DATOS!$I$2:$I$20000,"Orquesta/Banda/Conjunto"),"")))</f>
        <v/>
      </c>
      <c r="V811" t="str">
        <f>IF(S811="","",IF(S811="[FÓRMULA MANUAL]","",IFERROR(AVERAGEIFS(DATOS!$K$2:$K$20000,DATOS!$A$2:$A$20000,S811,DATOS!$G$2:$G$20000,CONFIG_METADATA!$B$4,DATOS!$I$2:$I$20000,"Música de Cámara"),"")))</f>
        <v/>
      </c>
      <c r="W811" t="str">
        <f>IF(S811="","",IF(S811="[FÓRMULA MANUAL]","",IFERROR(SUMPRODUCT((DATOS!$A$2:$A$20000=S811)*(DATOS!$G$2:$G$20000=CONFIG_METADATA!$B$4)*(COUNTIF(CONFIG_ASIGNATURAS!$B$7:$B$27,DATOS!$I$2:$I$20000)&gt;0)*(DATOS!$K$2:$K$20000))/SUMPRODUCT((DATOS!$A$2:$A$20000=S811)*(DATOS!$G$2:$G$20000=CONFIG_METADATA!$B$4)*(COUNTIF(CONFIG_ASIGNATURAS!$B$7:$B$27,DATOS!$I$2:$I$20000)&gt;0)*1),"")))</f>
        <v/>
      </c>
      <c r="Z811" t="str">
        <f>IF(Y811="","",IF(Y811="[FÓRMULA MANUAL]","",IFERROR(AVERAGEIFS(DATOS!$K$2:$K$20000,DATOS!$A$2:$A$20000,Y811,DATOS!$G$2:$G$20000,CONFIG_METADATA!$B$4,DATOS!$I$2:$I$20000,"Análisis"),"")))</f>
        <v/>
      </c>
      <c r="AA811" t="str">
        <f>IF(Y811="","",IF(Y811="[FÓRMULA MANUAL]","",IFERROR(AVERAGEIFS(DATOS!$K$2:$K$20000,DATOS!$A$2:$A$20000,Y811,DATOS!$G$2:$G$20000,CONFIG_METADATA!$B$4,DATOS!$I$2:$I$20000,"Orquesta/Banda/Conjunto"),"")))</f>
        <v/>
      </c>
      <c r="AB811" t="str">
        <f>IF(Y811="","",IF(Y811="[FÓRMULA MANUAL]","",IFERROR(AVERAGEIFS(DATOS!$K$2:$K$20000,DATOS!$A$2:$A$20000,Y811,DATOS!$G$2:$G$20000,CONFIG_METADATA!$B$4,DATOS!$I$2:$I$20000,"Música de Cámara"),"")))</f>
        <v/>
      </c>
      <c r="AC811" t="str">
        <f>IF(Y811="","",IF(Y811="[FÓRMULA MANUAL]","",IFERROR(SUMPRODUCT((DATOS!$A$2:$A$20000=Y811)*(DATOS!$G$2:$G$20000=CONFIG_METADATA!$B$4)*(COUNTIF(CONFIG_ASIGNATURAS!$B$7:$B$27,DATOS!$I$2:$I$20000)&gt;0)*(DATOS!$K$2:$K$20000))/SUMPRODUCT((DATOS!$A$2:$A$20000=Y811)*(DATOS!$G$2:$G$20000=CONFIG_METADATA!$B$4)*(COUNTIF(CONFIG_ASIGNATURAS!$B$7:$B$27,DATOS!$I$2:$I$20000)&gt;0)*1),"")))</f>
        <v/>
      </c>
      <c r="AF811" t="str">
        <f>IF(AE811="","",IF(AE811="[FÓRMULA MANUAL]","",IFERROR(AVERAGEIFS(DATOS!$K$2:$K$20000,DATOS!$A$2:$A$20000,AE811,DATOS!$G$2:$G$20000,CONFIG_METADATA!$B$4,DATOS!$I$2:$I$20000,"Análisis"),"")))</f>
        <v/>
      </c>
      <c r="AG811" t="str">
        <f>IF(AE811="","",IF(AE811="[FÓRMULA MANUAL]","",IFERROR(AVERAGEIFS(DATOS!$K$2:$K$20000,DATOS!$A$2:$A$20000,AE811,DATOS!$G$2:$G$20000,CONFIG_METADATA!$B$4,DATOS!$I$2:$I$20000,"Orquesta/Banda/Conjunto"),"")))</f>
        <v/>
      </c>
      <c r="AH811" t="str">
        <f>IF(AE811="","",IF(AE811="[FÓRMULA MANUAL]","",IFERROR(AVERAGEIFS(DATOS!$K$2:$K$20000,DATOS!$A$2:$A$20000,AE811,DATOS!$G$2:$G$20000,CONFIG_METADATA!$B$4,DATOS!$I$2:$I$20000,"Música de Cámara"),"")))</f>
        <v/>
      </c>
      <c r="AI811" t="str">
        <f>IF(AE811="","",IF(AE811="[FÓRMULA MANUAL]","",IFERROR(SUMPRODUCT((DATOS!$A$2:$A$20000=AE811)*(DATOS!$G$2:$G$20000=CONFIG_METADATA!$B$4)*(COUNTIF(CONFIG_ASIGNATURAS!$B$7:$B$27,DATOS!$I$2:$I$20000)&gt;0)*(DATOS!$K$2:$K$20000))/SUMPRODUCT((DATOS!$A$2:$A$20000=AE811)*(DATOS!$G$2:$G$20000=CONFIG_METADATA!$B$4)*(COUNTIF(CONFIG_ASIGNATURAS!$B$7:$B$27,DATOS!$I$2:$I$20000)&gt;0)*1),"")))</f>
        <v/>
      </c>
    </row>
    <row r="812" spans="2:35" x14ac:dyDescent="0.2">
      <c r="B812" t="str">
        <f>IF(A812="","",IF(A812="[FÓRMULA MANUAL]","",IFERROR(AVERAGEIFS(DATOS!$K$2:$K$20000,DATOS!$A$2:$A$20000,A812,DATOS!$G$2:$G$20000,CONFIG_METADATA!$B$4,DATOS!$I$2:$I$20000,"Lenguaje Musical"),"")))</f>
        <v/>
      </c>
      <c r="C812" t="str">
        <f>IF(A812="","",IF(A812="[FÓRMULA MANUAL]","",IFERROR(AVERAGEIFS(DATOS!$K$2:$K$20000,DATOS!$A$2:$A$20000,A812,DATOS!$G$2:$G$20000,CONFIG_METADATA!$B$4,DATOS!$I$2:$I$20000,"Orquesta/Banda/Conjunto"),"")))</f>
        <v/>
      </c>
      <c r="D812" t="str">
        <f>IF(A812="","",IF(A812="[FÓRMULA MANUAL]","",IFERROR(AVERAGEIFS(DATOS!$K$2:$K$20000,DATOS!$A$2:$A$20000,A812,DATOS!$G$2:$G$20000,CONFIG_METADATA!$B$4,DATOS!$I$2:$I$20000,"Conjunto"),"")))</f>
        <v/>
      </c>
      <c r="E812" t="str">
        <f>IF(A812="","",IF(A812="[FÓRMULA MANUAL]","",IFERROR(SUMPRODUCT((DATOS!$A$2:$A$20000=A812)*(DATOS!$G$2:$G$20000=CONFIG_METADATA!$B$4)*(COUNTIF(CONFIG_ASIGNATURAS!$B$7:$B$27,DATOS!$I$2:$I$20000)&gt;0)*(DATOS!$K$2:$K$20000))/SUMPRODUCT((DATOS!$A$2:$A$20000=A812)*(DATOS!$G$2:$G$20000=CONFIG_METADATA!$B$4)*(COUNTIF(CONFIG_ASIGNATURAS!$B$7:$B$27,DATOS!$I$2:$I$20000)&gt;0)*1),"")))</f>
        <v/>
      </c>
      <c r="H812" t="str">
        <f>IF(G812="","",IF(G812="[FÓRMULA MANUAL]","",IFERROR(AVERAGEIFS(DATOS!$K$2:$K$20000,DATOS!$A$2:$A$20000,G812,DATOS!$G$2:$G$20000,CONFIG_METADATA!$B$4,DATOS!$I$2:$I$20000,"Lenguaje Musical"),"")))</f>
        <v/>
      </c>
      <c r="I812" t="str">
        <f>IF(G812="","",IF(G812="[FÓRMULA MANUAL]","",IFERROR(AVERAGEIFS(DATOS!$K$2:$K$20000,DATOS!$A$2:$A$20000,G812,DATOS!$G$2:$G$20000,CONFIG_METADATA!$B$4,DATOS!$I$2:$I$20000,"Orquesta/Banda/Conjunto"),"")))</f>
        <v/>
      </c>
      <c r="J812" t="str">
        <f>IF(G812="","",IF(G812="[FÓRMULA MANUAL]","",IFERROR(AVERAGEIFS(DATOS!$K$2:$K$20000,DATOS!$A$2:$A$20000,G812,DATOS!$G$2:$G$20000,CONFIG_METADATA!$B$4,DATOS!$I$2:$I$20000,"Conjunto"),"")))</f>
        <v/>
      </c>
      <c r="K812" t="str">
        <f>IF(G812="","",IF(G812="[FÓRMULA MANUAL]","",IFERROR(SUMPRODUCT((DATOS!$A$2:$A$20000=G812)*(DATOS!$G$2:$G$20000=CONFIG_METADATA!$B$4)*(COUNTIF(CONFIG_ASIGNATURAS!$B$7:$B$27,DATOS!$I$2:$I$20000)&gt;0)*(DATOS!$K$2:$K$20000))/SUMPRODUCT((DATOS!$A$2:$A$20000=G812)*(DATOS!$G$2:$G$20000=CONFIG_METADATA!$B$4)*(COUNTIF(CONFIG_ASIGNATURAS!$B$7:$B$27,DATOS!$I$2:$I$20000)&gt;0)*1),"")))</f>
        <v/>
      </c>
      <c r="N812" t="str">
        <f>IF(M812="","",IF(M812="[FÓRMULA MANUAL]","",IFERROR(AVERAGEIFS(DATOS!$K$2:$K$20000,DATOS!$A$2:$A$20000,M812,DATOS!$G$2:$G$20000,CONFIG_METADATA!$B$4,DATOS!$I$2:$I$20000,"Armonía"),"")))</f>
        <v/>
      </c>
      <c r="O812" t="str">
        <f>IF(M812="","",IF(M812="[FÓRMULA MANUAL]","",IFERROR(AVERAGEIFS(DATOS!$K$2:$K$20000,DATOS!$A$2:$A$20000,M812,DATOS!$G$2:$G$20000,CONFIG_METADATA!$B$4,DATOS!$I$2:$I$20000,"Orquesta/Banda/Conjunto"),"")))</f>
        <v/>
      </c>
      <c r="P812" t="str">
        <f>IF(M812="","",IF(M812="[FÓRMULA MANUAL]","",IFERROR(AVERAGEIFS(DATOS!$K$2:$K$20000,DATOS!$A$2:$A$20000,M812,DATOS!$G$2:$G$20000,CONFIG_METADATA!$B$4,DATOS!$I$2:$I$20000,"Música de Cámara"),"")))</f>
        <v/>
      </c>
      <c r="Q812" t="str">
        <f>IF(M812="","",IF(M812="[FÓRMULA MANUAL]","",IFERROR(SUMPRODUCT((DATOS!$A$2:$A$20000=M812)*(DATOS!$G$2:$G$20000=CONFIG_METADATA!$B$4)*(COUNTIF(CONFIG_ASIGNATURAS!$B$7:$B$27,DATOS!$I$2:$I$20000)&gt;0)*(DATOS!$K$2:$K$20000))/SUMPRODUCT((DATOS!$A$2:$A$20000=M812)*(DATOS!$G$2:$G$20000=CONFIG_METADATA!$B$4)*(COUNTIF(CONFIG_ASIGNATURAS!$B$7:$B$27,DATOS!$I$2:$I$20000)&gt;0)*1),"")))</f>
        <v/>
      </c>
      <c r="T812" t="str">
        <f>IF(S812="","",IF(S812="[FÓRMULA MANUAL]","",IFERROR(AVERAGEIFS(DATOS!$K$2:$K$20000,DATOS!$A$2:$A$20000,S812,DATOS!$G$2:$G$20000,CONFIG_METADATA!$B$4,DATOS!$I$2:$I$20000,"Armonía"),"")))</f>
        <v/>
      </c>
      <c r="U812" t="str">
        <f>IF(S812="","",IF(S812="[FÓRMULA MANUAL]","",IFERROR(AVERAGEIFS(DATOS!$K$2:$K$20000,DATOS!$A$2:$A$20000,S812,DATOS!$G$2:$G$20000,CONFIG_METADATA!$B$4,DATOS!$I$2:$I$20000,"Orquesta/Banda/Conjunto"),"")))</f>
        <v/>
      </c>
      <c r="V812" t="str">
        <f>IF(S812="","",IF(S812="[FÓRMULA MANUAL]","",IFERROR(AVERAGEIFS(DATOS!$K$2:$K$20000,DATOS!$A$2:$A$20000,S812,DATOS!$G$2:$G$20000,CONFIG_METADATA!$B$4,DATOS!$I$2:$I$20000,"Música de Cámara"),"")))</f>
        <v/>
      </c>
      <c r="W812" t="str">
        <f>IF(S812="","",IF(S812="[FÓRMULA MANUAL]","",IFERROR(SUMPRODUCT((DATOS!$A$2:$A$20000=S812)*(DATOS!$G$2:$G$20000=CONFIG_METADATA!$B$4)*(COUNTIF(CONFIG_ASIGNATURAS!$B$7:$B$27,DATOS!$I$2:$I$20000)&gt;0)*(DATOS!$K$2:$K$20000))/SUMPRODUCT((DATOS!$A$2:$A$20000=S812)*(DATOS!$G$2:$G$20000=CONFIG_METADATA!$B$4)*(COUNTIF(CONFIG_ASIGNATURAS!$B$7:$B$27,DATOS!$I$2:$I$20000)&gt;0)*1),"")))</f>
        <v/>
      </c>
      <c r="Z812" t="str">
        <f>IF(Y812="","",IF(Y812="[FÓRMULA MANUAL]","",IFERROR(AVERAGEIFS(DATOS!$K$2:$K$20000,DATOS!$A$2:$A$20000,Y812,DATOS!$G$2:$G$20000,CONFIG_METADATA!$B$4,DATOS!$I$2:$I$20000,"Análisis"),"")))</f>
        <v/>
      </c>
      <c r="AA812" t="str">
        <f>IF(Y812="","",IF(Y812="[FÓRMULA MANUAL]","",IFERROR(AVERAGEIFS(DATOS!$K$2:$K$20000,DATOS!$A$2:$A$20000,Y812,DATOS!$G$2:$G$20000,CONFIG_METADATA!$B$4,DATOS!$I$2:$I$20000,"Orquesta/Banda/Conjunto"),"")))</f>
        <v/>
      </c>
      <c r="AB812" t="str">
        <f>IF(Y812="","",IF(Y812="[FÓRMULA MANUAL]","",IFERROR(AVERAGEIFS(DATOS!$K$2:$K$20000,DATOS!$A$2:$A$20000,Y812,DATOS!$G$2:$G$20000,CONFIG_METADATA!$B$4,DATOS!$I$2:$I$20000,"Música de Cámara"),"")))</f>
        <v/>
      </c>
      <c r="AC812" t="str">
        <f>IF(Y812="","",IF(Y812="[FÓRMULA MANUAL]","",IFERROR(SUMPRODUCT((DATOS!$A$2:$A$20000=Y812)*(DATOS!$G$2:$G$20000=CONFIG_METADATA!$B$4)*(COUNTIF(CONFIG_ASIGNATURAS!$B$7:$B$27,DATOS!$I$2:$I$20000)&gt;0)*(DATOS!$K$2:$K$20000))/SUMPRODUCT((DATOS!$A$2:$A$20000=Y812)*(DATOS!$G$2:$G$20000=CONFIG_METADATA!$B$4)*(COUNTIF(CONFIG_ASIGNATURAS!$B$7:$B$27,DATOS!$I$2:$I$20000)&gt;0)*1),"")))</f>
        <v/>
      </c>
      <c r="AF812" t="str">
        <f>IF(AE812="","",IF(AE812="[FÓRMULA MANUAL]","",IFERROR(AVERAGEIFS(DATOS!$K$2:$K$20000,DATOS!$A$2:$A$20000,AE812,DATOS!$G$2:$G$20000,CONFIG_METADATA!$B$4,DATOS!$I$2:$I$20000,"Análisis"),"")))</f>
        <v/>
      </c>
      <c r="AG812" t="str">
        <f>IF(AE812="","",IF(AE812="[FÓRMULA MANUAL]","",IFERROR(AVERAGEIFS(DATOS!$K$2:$K$20000,DATOS!$A$2:$A$20000,AE812,DATOS!$G$2:$G$20000,CONFIG_METADATA!$B$4,DATOS!$I$2:$I$20000,"Orquesta/Banda/Conjunto"),"")))</f>
        <v/>
      </c>
      <c r="AH812" t="str">
        <f>IF(AE812="","",IF(AE812="[FÓRMULA MANUAL]","",IFERROR(AVERAGEIFS(DATOS!$K$2:$K$20000,DATOS!$A$2:$A$20000,AE812,DATOS!$G$2:$G$20000,CONFIG_METADATA!$B$4,DATOS!$I$2:$I$20000,"Música de Cámara"),"")))</f>
        <v/>
      </c>
      <c r="AI812" t="str">
        <f>IF(AE812="","",IF(AE812="[FÓRMULA MANUAL]","",IFERROR(SUMPRODUCT((DATOS!$A$2:$A$20000=AE812)*(DATOS!$G$2:$G$20000=CONFIG_METADATA!$B$4)*(COUNTIF(CONFIG_ASIGNATURAS!$B$7:$B$27,DATOS!$I$2:$I$20000)&gt;0)*(DATOS!$K$2:$K$20000))/SUMPRODUCT((DATOS!$A$2:$A$20000=AE812)*(DATOS!$G$2:$G$20000=CONFIG_METADATA!$B$4)*(COUNTIF(CONFIG_ASIGNATURAS!$B$7:$B$27,DATOS!$I$2:$I$20000)&gt;0)*1),"")))</f>
        <v/>
      </c>
    </row>
    <row r="813" spans="2:35" x14ac:dyDescent="0.2">
      <c r="B813" t="str">
        <f>IF(A813="","",IF(A813="[FÓRMULA MANUAL]","",IFERROR(AVERAGEIFS(DATOS!$K$2:$K$20000,DATOS!$A$2:$A$20000,A813,DATOS!$G$2:$G$20000,CONFIG_METADATA!$B$4,DATOS!$I$2:$I$20000,"Lenguaje Musical"),"")))</f>
        <v/>
      </c>
      <c r="C813" t="str">
        <f>IF(A813="","",IF(A813="[FÓRMULA MANUAL]","",IFERROR(AVERAGEIFS(DATOS!$K$2:$K$20000,DATOS!$A$2:$A$20000,A813,DATOS!$G$2:$G$20000,CONFIG_METADATA!$B$4,DATOS!$I$2:$I$20000,"Orquesta/Banda/Conjunto"),"")))</f>
        <v/>
      </c>
      <c r="D813" t="str">
        <f>IF(A813="","",IF(A813="[FÓRMULA MANUAL]","",IFERROR(AVERAGEIFS(DATOS!$K$2:$K$20000,DATOS!$A$2:$A$20000,A813,DATOS!$G$2:$G$20000,CONFIG_METADATA!$B$4,DATOS!$I$2:$I$20000,"Conjunto"),"")))</f>
        <v/>
      </c>
      <c r="E813" t="str">
        <f>IF(A813="","",IF(A813="[FÓRMULA MANUAL]","",IFERROR(SUMPRODUCT((DATOS!$A$2:$A$20000=A813)*(DATOS!$G$2:$G$20000=CONFIG_METADATA!$B$4)*(COUNTIF(CONFIG_ASIGNATURAS!$B$7:$B$27,DATOS!$I$2:$I$20000)&gt;0)*(DATOS!$K$2:$K$20000))/SUMPRODUCT((DATOS!$A$2:$A$20000=A813)*(DATOS!$G$2:$G$20000=CONFIG_METADATA!$B$4)*(COUNTIF(CONFIG_ASIGNATURAS!$B$7:$B$27,DATOS!$I$2:$I$20000)&gt;0)*1),"")))</f>
        <v/>
      </c>
      <c r="H813" t="str">
        <f>IF(G813="","",IF(G813="[FÓRMULA MANUAL]","",IFERROR(AVERAGEIFS(DATOS!$K$2:$K$20000,DATOS!$A$2:$A$20000,G813,DATOS!$G$2:$G$20000,CONFIG_METADATA!$B$4,DATOS!$I$2:$I$20000,"Lenguaje Musical"),"")))</f>
        <v/>
      </c>
      <c r="I813" t="str">
        <f>IF(G813="","",IF(G813="[FÓRMULA MANUAL]","",IFERROR(AVERAGEIFS(DATOS!$K$2:$K$20000,DATOS!$A$2:$A$20000,G813,DATOS!$G$2:$G$20000,CONFIG_METADATA!$B$4,DATOS!$I$2:$I$20000,"Orquesta/Banda/Conjunto"),"")))</f>
        <v/>
      </c>
      <c r="J813" t="str">
        <f>IF(G813="","",IF(G813="[FÓRMULA MANUAL]","",IFERROR(AVERAGEIFS(DATOS!$K$2:$K$20000,DATOS!$A$2:$A$20000,G813,DATOS!$G$2:$G$20000,CONFIG_METADATA!$B$4,DATOS!$I$2:$I$20000,"Conjunto"),"")))</f>
        <v/>
      </c>
      <c r="K813" t="str">
        <f>IF(G813="","",IF(G813="[FÓRMULA MANUAL]","",IFERROR(SUMPRODUCT((DATOS!$A$2:$A$20000=G813)*(DATOS!$G$2:$G$20000=CONFIG_METADATA!$B$4)*(COUNTIF(CONFIG_ASIGNATURAS!$B$7:$B$27,DATOS!$I$2:$I$20000)&gt;0)*(DATOS!$K$2:$K$20000))/SUMPRODUCT((DATOS!$A$2:$A$20000=G813)*(DATOS!$G$2:$G$20000=CONFIG_METADATA!$B$4)*(COUNTIF(CONFIG_ASIGNATURAS!$B$7:$B$27,DATOS!$I$2:$I$20000)&gt;0)*1),"")))</f>
        <v/>
      </c>
      <c r="N813" t="str">
        <f>IF(M813="","",IF(M813="[FÓRMULA MANUAL]","",IFERROR(AVERAGEIFS(DATOS!$K$2:$K$20000,DATOS!$A$2:$A$20000,M813,DATOS!$G$2:$G$20000,CONFIG_METADATA!$B$4,DATOS!$I$2:$I$20000,"Armonía"),"")))</f>
        <v/>
      </c>
      <c r="O813" t="str">
        <f>IF(M813="","",IF(M813="[FÓRMULA MANUAL]","",IFERROR(AVERAGEIFS(DATOS!$K$2:$K$20000,DATOS!$A$2:$A$20000,M813,DATOS!$G$2:$G$20000,CONFIG_METADATA!$B$4,DATOS!$I$2:$I$20000,"Orquesta/Banda/Conjunto"),"")))</f>
        <v/>
      </c>
      <c r="P813" t="str">
        <f>IF(M813="","",IF(M813="[FÓRMULA MANUAL]","",IFERROR(AVERAGEIFS(DATOS!$K$2:$K$20000,DATOS!$A$2:$A$20000,M813,DATOS!$G$2:$G$20000,CONFIG_METADATA!$B$4,DATOS!$I$2:$I$20000,"Música de Cámara"),"")))</f>
        <v/>
      </c>
      <c r="Q813" t="str">
        <f>IF(M813="","",IF(M813="[FÓRMULA MANUAL]","",IFERROR(SUMPRODUCT((DATOS!$A$2:$A$20000=M813)*(DATOS!$G$2:$G$20000=CONFIG_METADATA!$B$4)*(COUNTIF(CONFIG_ASIGNATURAS!$B$7:$B$27,DATOS!$I$2:$I$20000)&gt;0)*(DATOS!$K$2:$K$20000))/SUMPRODUCT((DATOS!$A$2:$A$20000=M813)*(DATOS!$G$2:$G$20000=CONFIG_METADATA!$B$4)*(COUNTIF(CONFIG_ASIGNATURAS!$B$7:$B$27,DATOS!$I$2:$I$20000)&gt;0)*1),"")))</f>
        <v/>
      </c>
      <c r="T813" t="str">
        <f>IF(S813="","",IF(S813="[FÓRMULA MANUAL]","",IFERROR(AVERAGEIFS(DATOS!$K$2:$K$20000,DATOS!$A$2:$A$20000,S813,DATOS!$G$2:$G$20000,CONFIG_METADATA!$B$4,DATOS!$I$2:$I$20000,"Armonía"),"")))</f>
        <v/>
      </c>
      <c r="U813" t="str">
        <f>IF(S813="","",IF(S813="[FÓRMULA MANUAL]","",IFERROR(AVERAGEIFS(DATOS!$K$2:$K$20000,DATOS!$A$2:$A$20000,S813,DATOS!$G$2:$G$20000,CONFIG_METADATA!$B$4,DATOS!$I$2:$I$20000,"Orquesta/Banda/Conjunto"),"")))</f>
        <v/>
      </c>
      <c r="V813" t="str">
        <f>IF(S813="","",IF(S813="[FÓRMULA MANUAL]","",IFERROR(AVERAGEIFS(DATOS!$K$2:$K$20000,DATOS!$A$2:$A$20000,S813,DATOS!$G$2:$G$20000,CONFIG_METADATA!$B$4,DATOS!$I$2:$I$20000,"Música de Cámara"),"")))</f>
        <v/>
      </c>
      <c r="W813" t="str">
        <f>IF(S813="","",IF(S813="[FÓRMULA MANUAL]","",IFERROR(SUMPRODUCT((DATOS!$A$2:$A$20000=S813)*(DATOS!$G$2:$G$20000=CONFIG_METADATA!$B$4)*(COUNTIF(CONFIG_ASIGNATURAS!$B$7:$B$27,DATOS!$I$2:$I$20000)&gt;0)*(DATOS!$K$2:$K$20000))/SUMPRODUCT((DATOS!$A$2:$A$20000=S813)*(DATOS!$G$2:$G$20000=CONFIG_METADATA!$B$4)*(COUNTIF(CONFIG_ASIGNATURAS!$B$7:$B$27,DATOS!$I$2:$I$20000)&gt;0)*1),"")))</f>
        <v/>
      </c>
      <c r="Z813" t="str">
        <f>IF(Y813="","",IF(Y813="[FÓRMULA MANUAL]","",IFERROR(AVERAGEIFS(DATOS!$K$2:$K$20000,DATOS!$A$2:$A$20000,Y813,DATOS!$G$2:$G$20000,CONFIG_METADATA!$B$4,DATOS!$I$2:$I$20000,"Análisis"),"")))</f>
        <v/>
      </c>
      <c r="AA813" t="str">
        <f>IF(Y813="","",IF(Y813="[FÓRMULA MANUAL]","",IFERROR(AVERAGEIFS(DATOS!$K$2:$K$20000,DATOS!$A$2:$A$20000,Y813,DATOS!$G$2:$G$20000,CONFIG_METADATA!$B$4,DATOS!$I$2:$I$20000,"Orquesta/Banda/Conjunto"),"")))</f>
        <v/>
      </c>
      <c r="AB813" t="str">
        <f>IF(Y813="","",IF(Y813="[FÓRMULA MANUAL]","",IFERROR(AVERAGEIFS(DATOS!$K$2:$K$20000,DATOS!$A$2:$A$20000,Y813,DATOS!$G$2:$G$20000,CONFIG_METADATA!$B$4,DATOS!$I$2:$I$20000,"Música de Cámara"),"")))</f>
        <v/>
      </c>
      <c r="AC813" t="str">
        <f>IF(Y813="","",IF(Y813="[FÓRMULA MANUAL]","",IFERROR(SUMPRODUCT((DATOS!$A$2:$A$20000=Y813)*(DATOS!$G$2:$G$20000=CONFIG_METADATA!$B$4)*(COUNTIF(CONFIG_ASIGNATURAS!$B$7:$B$27,DATOS!$I$2:$I$20000)&gt;0)*(DATOS!$K$2:$K$20000))/SUMPRODUCT((DATOS!$A$2:$A$20000=Y813)*(DATOS!$G$2:$G$20000=CONFIG_METADATA!$B$4)*(COUNTIF(CONFIG_ASIGNATURAS!$B$7:$B$27,DATOS!$I$2:$I$20000)&gt;0)*1),"")))</f>
        <v/>
      </c>
      <c r="AF813" t="str">
        <f>IF(AE813="","",IF(AE813="[FÓRMULA MANUAL]","",IFERROR(AVERAGEIFS(DATOS!$K$2:$K$20000,DATOS!$A$2:$A$20000,AE813,DATOS!$G$2:$G$20000,CONFIG_METADATA!$B$4,DATOS!$I$2:$I$20000,"Análisis"),"")))</f>
        <v/>
      </c>
      <c r="AG813" t="str">
        <f>IF(AE813="","",IF(AE813="[FÓRMULA MANUAL]","",IFERROR(AVERAGEIFS(DATOS!$K$2:$K$20000,DATOS!$A$2:$A$20000,AE813,DATOS!$G$2:$G$20000,CONFIG_METADATA!$B$4,DATOS!$I$2:$I$20000,"Orquesta/Banda/Conjunto"),"")))</f>
        <v/>
      </c>
      <c r="AH813" t="str">
        <f>IF(AE813="","",IF(AE813="[FÓRMULA MANUAL]","",IFERROR(AVERAGEIFS(DATOS!$K$2:$K$20000,DATOS!$A$2:$A$20000,AE813,DATOS!$G$2:$G$20000,CONFIG_METADATA!$B$4,DATOS!$I$2:$I$20000,"Música de Cámara"),"")))</f>
        <v/>
      </c>
      <c r="AI813" t="str">
        <f>IF(AE813="","",IF(AE813="[FÓRMULA MANUAL]","",IFERROR(SUMPRODUCT((DATOS!$A$2:$A$20000=AE813)*(DATOS!$G$2:$G$20000=CONFIG_METADATA!$B$4)*(COUNTIF(CONFIG_ASIGNATURAS!$B$7:$B$27,DATOS!$I$2:$I$20000)&gt;0)*(DATOS!$K$2:$K$20000))/SUMPRODUCT((DATOS!$A$2:$A$20000=AE813)*(DATOS!$G$2:$G$20000=CONFIG_METADATA!$B$4)*(COUNTIF(CONFIG_ASIGNATURAS!$B$7:$B$27,DATOS!$I$2:$I$20000)&gt;0)*1),"")))</f>
        <v/>
      </c>
    </row>
    <row r="814" spans="2:35" x14ac:dyDescent="0.2">
      <c r="B814" t="str">
        <f>IF(A814="","",IF(A814="[FÓRMULA MANUAL]","",IFERROR(AVERAGEIFS(DATOS!$K$2:$K$20000,DATOS!$A$2:$A$20000,A814,DATOS!$G$2:$G$20000,CONFIG_METADATA!$B$4,DATOS!$I$2:$I$20000,"Lenguaje Musical"),"")))</f>
        <v/>
      </c>
      <c r="C814" t="str">
        <f>IF(A814="","",IF(A814="[FÓRMULA MANUAL]","",IFERROR(AVERAGEIFS(DATOS!$K$2:$K$20000,DATOS!$A$2:$A$20000,A814,DATOS!$G$2:$G$20000,CONFIG_METADATA!$B$4,DATOS!$I$2:$I$20000,"Orquesta/Banda/Conjunto"),"")))</f>
        <v/>
      </c>
      <c r="D814" t="str">
        <f>IF(A814="","",IF(A814="[FÓRMULA MANUAL]","",IFERROR(AVERAGEIFS(DATOS!$K$2:$K$20000,DATOS!$A$2:$A$20000,A814,DATOS!$G$2:$G$20000,CONFIG_METADATA!$B$4,DATOS!$I$2:$I$20000,"Conjunto"),"")))</f>
        <v/>
      </c>
      <c r="E814" t="str">
        <f>IF(A814="","",IF(A814="[FÓRMULA MANUAL]","",IFERROR(SUMPRODUCT((DATOS!$A$2:$A$20000=A814)*(DATOS!$G$2:$G$20000=CONFIG_METADATA!$B$4)*(COUNTIF(CONFIG_ASIGNATURAS!$B$7:$B$27,DATOS!$I$2:$I$20000)&gt;0)*(DATOS!$K$2:$K$20000))/SUMPRODUCT((DATOS!$A$2:$A$20000=A814)*(DATOS!$G$2:$G$20000=CONFIG_METADATA!$B$4)*(COUNTIF(CONFIG_ASIGNATURAS!$B$7:$B$27,DATOS!$I$2:$I$20000)&gt;0)*1),"")))</f>
        <v/>
      </c>
      <c r="H814" t="str">
        <f>IF(G814="","",IF(G814="[FÓRMULA MANUAL]","",IFERROR(AVERAGEIFS(DATOS!$K$2:$K$20000,DATOS!$A$2:$A$20000,G814,DATOS!$G$2:$G$20000,CONFIG_METADATA!$B$4,DATOS!$I$2:$I$20000,"Lenguaje Musical"),"")))</f>
        <v/>
      </c>
      <c r="I814" t="str">
        <f>IF(G814="","",IF(G814="[FÓRMULA MANUAL]","",IFERROR(AVERAGEIFS(DATOS!$K$2:$K$20000,DATOS!$A$2:$A$20000,G814,DATOS!$G$2:$G$20000,CONFIG_METADATA!$B$4,DATOS!$I$2:$I$20000,"Orquesta/Banda/Conjunto"),"")))</f>
        <v/>
      </c>
      <c r="J814" t="str">
        <f>IF(G814="","",IF(G814="[FÓRMULA MANUAL]","",IFERROR(AVERAGEIFS(DATOS!$K$2:$K$20000,DATOS!$A$2:$A$20000,G814,DATOS!$G$2:$G$20000,CONFIG_METADATA!$B$4,DATOS!$I$2:$I$20000,"Conjunto"),"")))</f>
        <v/>
      </c>
      <c r="K814" t="str">
        <f>IF(G814="","",IF(G814="[FÓRMULA MANUAL]","",IFERROR(SUMPRODUCT((DATOS!$A$2:$A$20000=G814)*(DATOS!$G$2:$G$20000=CONFIG_METADATA!$B$4)*(COUNTIF(CONFIG_ASIGNATURAS!$B$7:$B$27,DATOS!$I$2:$I$20000)&gt;0)*(DATOS!$K$2:$K$20000))/SUMPRODUCT((DATOS!$A$2:$A$20000=G814)*(DATOS!$G$2:$G$20000=CONFIG_METADATA!$B$4)*(COUNTIF(CONFIG_ASIGNATURAS!$B$7:$B$27,DATOS!$I$2:$I$20000)&gt;0)*1),"")))</f>
        <v/>
      </c>
      <c r="N814" t="str">
        <f>IF(M814="","",IF(M814="[FÓRMULA MANUAL]","",IFERROR(AVERAGEIFS(DATOS!$K$2:$K$20000,DATOS!$A$2:$A$20000,M814,DATOS!$G$2:$G$20000,CONFIG_METADATA!$B$4,DATOS!$I$2:$I$20000,"Armonía"),"")))</f>
        <v/>
      </c>
      <c r="O814" t="str">
        <f>IF(M814="","",IF(M814="[FÓRMULA MANUAL]","",IFERROR(AVERAGEIFS(DATOS!$K$2:$K$20000,DATOS!$A$2:$A$20000,M814,DATOS!$G$2:$G$20000,CONFIG_METADATA!$B$4,DATOS!$I$2:$I$20000,"Orquesta/Banda/Conjunto"),"")))</f>
        <v/>
      </c>
      <c r="P814" t="str">
        <f>IF(M814="","",IF(M814="[FÓRMULA MANUAL]","",IFERROR(AVERAGEIFS(DATOS!$K$2:$K$20000,DATOS!$A$2:$A$20000,M814,DATOS!$G$2:$G$20000,CONFIG_METADATA!$B$4,DATOS!$I$2:$I$20000,"Música de Cámara"),"")))</f>
        <v/>
      </c>
      <c r="Q814" t="str">
        <f>IF(M814="","",IF(M814="[FÓRMULA MANUAL]","",IFERROR(SUMPRODUCT((DATOS!$A$2:$A$20000=M814)*(DATOS!$G$2:$G$20000=CONFIG_METADATA!$B$4)*(COUNTIF(CONFIG_ASIGNATURAS!$B$7:$B$27,DATOS!$I$2:$I$20000)&gt;0)*(DATOS!$K$2:$K$20000))/SUMPRODUCT((DATOS!$A$2:$A$20000=M814)*(DATOS!$G$2:$G$20000=CONFIG_METADATA!$B$4)*(COUNTIF(CONFIG_ASIGNATURAS!$B$7:$B$27,DATOS!$I$2:$I$20000)&gt;0)*1),"")))</f>
        <v/>
      </c>
      <c r="T814" t="str">
        <f>IF(S814="","",IF(S814="[FÓRMULA MANUAL]","",IFERROR(AVERAGEIFS(DATOS!$K$2:$K$20000,DATOS!$A$2:$A$20000,S814,DATOS!$G$2:$G$20000,CONFIG_METADATA!$B$4,DATOS!$I$2:$I$20000,"Armonía"),"")))</f>
        <v/>
      </c>
      <c r="U814" t="str">
        <f>IF(S814="","",IF(S814="[FÓRMULA MANUAL]","",IFERROR(AVERAGEIFS(DATOS!$K$2:$K$20000,DATOS!$A$2:$A$20000,S814,DATOS!$G$2:$G$20000,CONFIG_METADATA!$B$4,DATOS!$I$2:$I$20000,"Orquesta/Banda/Conjunto"),"")))</f>
        <v/>
      </c>
      <c r="V814" t="str">
        <f>IF(S814="","",IF(S814="[FÓRMULA MANUAL]","",IFERROR(AVERAGEIFS(DATOS!$K$2:$K$20000,DATOS!$A$2:$A$20000,S814,DATOS!$G$2:$G$20000,CONFIG_METADATA!$B$4,DATOS!$I$2:$I$20000,"Música de Cámara"),"")))</f>
        <v/>
      </c>
      <c r="W814" t="str">
        <f>IF(S814="","",IF(S814="[FÓRMULA MANUAL]","",IFERROR(SUMPRODUCT((DATOS!$A$2:$A$20000=S814)*(DATOS!$G$2:$G$20000=CONFIG_METADATA!$B$4)*(COUNTIF(CONFIG_ASIGNATURAS!$B$7:$B$27,DATOS!$I$2:$I$20000)&gt;0)*(DATOS!$K$2:$K$20000))/SUMPRODUCT((DATOS!$A$2:$A$20000=S814)*(DATOS!$G$2:$G$20000=CONFIG_METADATA!$B$4)*(COUNTIF(CONFIG_ASIGNATURAS!$B$7:$B$27,DATOS!$I$2:$I$20000)&gt;0)*1),"")))</f>
        <v/>
      </c>
      <c r="Z814" t="str">
        <f>IF(Y814="","",IF(Y814="[FÓRMULA MANUAL]","",IFERROR(AVERAGEIFS(DATOS!$K$2:$K$20000,DATOS!$A$2:$A$20000,Y814,DATOS!$G$2:$G$20000,CONFIG_METADATA!$B$4,DATOS!$I$2:$I$20000,"Análisis"),"")))</f>
        <v/>
      </c>
      <c r="AA814" t="str">
        <f>IF(Y814="","",IF(Y814="[FÓRMULA MANUAL]","",IFERROR(AVERAGEIFS(DATOS!$K$2:$K$20000,DATOS!$A$2:$A$20000,Y814,DATOS!$G$2:$G$20000,CONFIG_METADATA!$B$4,DATOS!$I$2:$I$20000,"Orquesta/Banda/Conjunto"),"")))</f>
        <v/>
      </c>
      <c r="AB814" t="str">
        <f>IF(Y814="","",IF(Y814="[FÓRMULA MANUAL]","",IFERROR(AVERAGEIFS(DATOS!$K$2:$K$20000,DATOS!$A$2:$A$20000,Y814,DATOS!$G$2:$G$20000,CONFIG_METADATA!$B$4,DATOS!$I$2:$I$20000,"Música de Cámara"),"")))</f>
        <v/>
      </c>
      <c r="AC814" t="str">
        <f>IF(Y814="","",IF(Y814="[FÓRMULA MANUAL]","",IFERROR(SUMPRODUCT((DATOS!$A$2:$A$20000=Y814)*(DATOS!$G$2:$G$20000=CONFIG_METADATA!$B$4)*(COUNTIF(CONFIG_ASIGNATURAS!$B$7:$B$27,DATOS!$I$2:$I$20000)&gt;0)*(DATOS!$K$2:$K$20000))/SUMPRODUCT((DATOS!$A$2:$A$20000=Y814)*(DATOS!$G$2:$G$20000=CONFIG_METADATA!$B$4)*(COUNTIF(CONFIG_ASIGNATURAS!$B$7:$B$27,DATOS!$I$2:$I$20000)&gt;0)*1),"")))</f>
        <v/>
      </c>
      <c r="AF814" t="str">
        <f>IF(AE814="","",IF(AE814="[FÓRMULA MANUAL]","",IFERROR(AVERAGEIFS(DATOS!$K$2:$K$20000,DATOS!$A$2:$A$20000,AE814,DATOS!$G$2:$G$20000,CONFIG_METADATA!$B$4,DATOS!$I$2:$I$20000,"Análisis"),"")))</f>
        <v/>
      </c>
      <c r="AG814" t="str">
        <f>IF(AE814="","",IF(AE814="[FÓRMULA MANUAL]","",IFERROR(AVERAGEIFS(DATOS!$K$2:$K$20000,DATOS!$A$2:$A$20000,AE814,DATOS!$G$2:$G$20000,CONFIG_METADATA!$B$4,DATOS!$I$2:$I$20000,"Orquesta/Banda/Conjunto"),"")))</f>
        <v/>
      </c>
      <c r="AH814" t="str">
        <f>IF(AE814="","",IF(AE814="[FÓRMULA MANUAL]","",IFERROR(AVERAGEIFS(DATOS!$K$2:$K$20000,DATOS!$A$2:$A$20000,AE814,DATOS!$G$2:$G$20000,CONFIG_METADATA!$B$4,DATOS!$I$2:$I$20000,"Música de Cámara"),"")))</f>
        <v/>
      </c>
      <c r="AI814" t="str">
        <f>IF(AE814="","",IF(AE814="[FÓRMULA MANUAL]","",IFERROR(SUMPRODUCT((DATOS!$A$2:$A$20000=AE814)*(DATOS!$G$2:$G$20000=CONFIG_METADATA!$B$4)*(COUNTIF(CONFIG_ASIGNATURAS!$B$7:$B$27,DATOS!$I$2:$I$20000)&gt;0)*(DATOS!$K$2:$K$20000))/SUMPRODUCT((DATOS!$A$2:$A$20000=AE814)*(DATOS!$G$2:$G$20000=CONFIG_METADATA!$B$4)*(COUNTIF(CONFIG_ASIGNATURAS!$B$7:$B$27,DATOS!$I$2:$I$20000)&gt;0)*1),"")))</f>
        <v/>
      </c>
    </row>
    <row r="815" spans="2:35" x14ac:dyDescent="0.2">
      <c r="B815" t="str">
        <f>IF(A815="","",IF(A815="[FÓRMULA MANUAL]","",IFERROR(AVERAGEIFS(DATOS!$K$2:$K$20000,DATOS!$A$2:$A$20000,A815,DATOS!$G$2:$G$20000,CONFIG_METADATA!$B$4,DATOS!$I$2:$I$20000,"Lenguaje Musical"),"")))</f>
        <v/>
      </c>
      <c r="C815" t="str">
        <f>IF(A815="","",IF(A815="[FÓRMULA MANUAL]","",IFERROR(AVERAGEIFS(DATOS!$K$2:$K$20000,DATOS!$A$2:$A$20000,A815,DATOS!$G$2:$G$20000,CONFIG_METADATA!$B$4,DATOS!$I$2:$I$20000,"Orquesta/Banda/Conjunto"),"")))</f>
        <v/>
      </c>
      <c r="D815" t="str">
        <f>IF(A815="","",IF(A815="[FÓRMULA MANUAL]","",IFERROR(AVERAGEIFS(DATOS!$K$2:$K$20000,DATOS!$A$2:$A$20000,A815,DATOS!$G$2:$G$20000,CONFIG_METADATA!$B$4,DATOS!$I$2:$I$20000,"Conjunto"),"")))</f>
        <v/>
      </c>
      <c r="E815" t="str">
        <f>IF(A815="","",IF(A815="[FÓRMULA MANUAL]","",IFERROR(SUMPRODUCT((DATOS!$A$2:$A$20000=A815)*(DATOS!$G$2:$G$20000=CONFIG_METADATA!$B$4)*(COUNTIF(CONFIG_ASIGNATURAS!$B$7:$B$27,DATOS!$I$2:$I$20000)&gt;0)*(DATOS!$K$2:$K$20000))/SUMPRODUCT((DATOS!$A$2:$A$20000=A815)*(DATOS!$G$2:$G$20000=CONFIG_METADATA!$B$4)*(COUNTIF(CONFIG_ASIGNATURAS!$B$7:$B$27,DATOS!$I$2:$I$20000)&gt;0)*1),"")))</f>
        <v/>
      </c>
      <c r="H815" t="str">
        <f>IF(G815="","",IF(G815="[FÓRMULA MANUAL]","",IFERROR(AVERAGEIFS(DATOS!$K$2:$K$20000,DATOS!$A$2:$A$20000,G815,DATOS!$G$2:$G$20000,CONFIG_METADATA!$B$4,DATOS!$I$2:$I$20000,"Lenguaje Musical"),"")))</f>
        <v/>
      </c>
      <c r="I815" t="str">
        <f>IF(G815="","",IF(G815="[FÓRMULA MANUAL]","",IFERROR(AVERAGEIFS(DATOS!$K$2:$K$20000,DATOS!$A$2:$A$20000,G815,DATOS!$G$2:$G$20000,CONFIG_METADATA!$B$4,DATOS!$I$2:$I$20000,"Orquesta/Banda/Conjunto"),"")))</f>
        <v/>
      </c>
      <c r="J815" t="str">
        <f>IF(G815="","",IF(G815="[FÓRMULA MANUAL]","",IFERROR(AVERAGEIFS(DATOS!$K$2:$K$20000,DATOS!$A$2:$A$20000,G815,DATOS!$G$2:$G$20000,CONFIG_METADATA!$B$4,DATOS!$I$2:$I$20000,"Conjunto"),"")))</f>
        <v/>
      </c>
      <c r="K815" t="str">
        <f>IF(G815="","",IF(G815="[FÓRMULA MANUAL]","",IFERROR(SUMPRODUCT((DATOS!$A$2:$A$20000=G815)*(DATOS!$G$2:$G$20000=CONFIG_METADATA!$B$4)*(COUNTIF(CONFIG_ASIGNATURAS!$B$7:$B$27,DATOS!$I$2:$I$20000)&gt;0)*(DATOS!$K$2:$K$20000))/SUMPRODUCT((DATOS!$A$2:$A$20000=G815)*(DATOS!$G$2:$G$20000=CONFIG_METADATA!$B$4)*(COUNTIF(CONFIG_ASIGNATURAS!$B$7:$B$27,DATOS!$I$2:$I$20000)&gt;0)*1),"")))</f>
        <v/>
      </c>
      <c r="N815" t="str">
        <f>IF(M815="","",IF(M815="[FÓRMULA MANUAL]","",IFERROR(AVERAGEIFS(DATOS!$K$2:$K$20000,DATOS!$A$2:$A$20000,M815,DATOS!$G$2:$G$20000,CONFIG_METADATA!$B$4,DATOS!$I$2:$I$20000,"Armonía"),"")))</f>
        <v/>
      </c>
      <c r="O815" t="str">
        <f>IF(M815="","",IF(M815="[FÓRMULA MANUAL]","",IFERROR(AVERAGEIFS(DATOS!$K$2:$K$20000,DATOS!$A$2:$A$20000,M815,DATOS!$G$2:$G$20000,CONFIG_METADATA!$B$4,DATOS!$I$2:$I$20000,"Orquesta/Banda/Conjunto"),"")))</f>
        <v/>
      </c>
      <c r="P815" t="str">
        <f>IF(M815="","",IF(M815="[FÓRMULA MANUAL]","",IFERROR(AVERAGEIFS(DATOS!$K$2:$K$20000,DATOS!$A$2:$A$20000,M815,DATOS!$G$2:$G$20000,CONFIG_METADATA!$B$4,DATOS!$I$2:$I$20000,"Música de Cámara"),"")))</f>
        <v/>
      </c>
      <c r="Q815" t="str">
        <f>IF(M815="","",IF(M815="[FÓRMULA MANUAL]","",IFERROR(SUMPRODUCT((DATOS!$A$2:$A$20000=M815)*(DATOS!$G$2:$G$20000=CONFIG_METADATA!$B$4)*(COUNTIF(CONFIG_ASIGNATURAS!$B$7:$B$27,DATOS!$I$2:$I$20000)&gt;0)*(DATOS!$K$2:$K$20000))/SUMPRODUCT((DATOS!$A$2:$A$20000=M815)*(DATOS!$G$2:$G$20000=CONFIG_METADATA!$B$4)*(COUNTIF(CONFIG_ASIGNATURAS!$B$7:$B$27,DATOS!$I$2:$I$20000)&gt;0)*1),"")))</f>
        <v/>
      </c>
      <c r="T815" t="str">
        <f>IF(S815="","",IF(S815="[FÓRMULA MANUAL]","",IFERROR(AVERAGEIFS(DATOS!$K$2:$K$20000,DATOS!$A$2:$A$20000,S815,DATOS!$G$2:$G$20000,CONFIG_METADATA!$B$4,DATOS!$I$2:$I$20000,"Armonía"),"")))</f>
        <v/>
      </c>
      <c r="U815" t="str">
        <f>IF(S815="","",IF(S815="[FÓRMULA MANUAL]","",IFERROR(AVERAGEIFS(DATOS!$K$2:$K$20000,DATOS!$A$2:$A$20000,S815,DATOS!$G$2:$G$20000,CONFIG_METADATA!$B$4,DATOS!$I$2:$I$20000,"Orquesta/Banda/Conjunto"),"")))</f>
        <v/>
      </c>
      <c r="V815" t="str">
        <f>IF(S815="","",IF(S815="[FÓRMULA MANUAL]","",IFERROR(AVERAGEIFS(DATOS!$K$2:$K$20000,DATOS!$A$2:$A$20000,S815,DATOS!$G$2:$G$20000,CONFIG_METADATA!$B$4,DATOS!$I$2:$I$20000,"Música de Cámara"),"")))</f>
        <v/>
      </c>
      <c r="W815" t="str">
        <f>IF(S815="","",IF(S815="[FÓRMULA MANUAL]","",IFERROR(SUMPRODUCT((DATOS!$A$2:$A$20000=S815)*(DATOS!$G$2:$G$20000=CONFIG_METADATA!$B$4)*(COUNTIF(CONFIG_ASIGNATURAS!$B$7:$B$27,DATOS!$I$2:$I$20000)&gt;0)*(DATOS!$K$2:$K$20000))/SUMPRODUCT((DATOS!$A$2:$A$20000=S815)*(DATOS!$G$2:$G$20000=CONFIG_METADATA!$B$4)*(COUNTIF(CONFIG_ASIGNATURAS!$B$7:$B$27,DATOS!$I$2:$I$20000)&gt;0)*1),"")))</f>
        <v/>
      </c>
      <c r="Z815" t="str">
        <f>IF(Y815="","",IF(Y815="[FÓRMULA MANUAL]","",IFERROR(AVERAGEIFS(DATOS!$K$2:$K$20000,DATOS!$A$2:$A$20000,Y815,DATOS!$G$2:$G$20000,CONFIG_METADATA!$B$4,DATOS!$I$2:$I$20000,"Análisis"),"")))</f>
        <v/>
      </c>
      <c r="AA815" t="str">
        <f>IF(Y815="","",IF(Y815="[FÓRMULA MANUAL]","",IFERROR(AVERAGEIFS(DATOS!$K$2:$K$20000,DATOS!$A$2:$A$20000,Y815,DATOS!$G$2:$G$20000,CONFIG_METADATA!$B$4,DATOS!$I$2:$I$20000,"Orquesta/Banda/Conjunto"),"")))</f>
        <v/>
      </c>
      <c r="AB815" t="str">
        <f>IF(Y815="","",IF(Y815="[FÓRMULA MANUAL]","",IFERROR(AVERAGEIFS(DATOS!$K$2:$K$20000,DATOS!$A$2:$A$20000,Y815,DATOS!$G$2:$G$20000,CONFIG_METADATA!$B$4,DATOS!$I$2:$I$20000,"Música de Cámara"),"")))</f>
        <v/>
      </c>
      <c r="AC815" t="str">
        <f>IF(Y815="","",IF(Y815="[FÓRMULA MANUAL]","",IFERROR(SUMPRODUCT((DATOS!$A$2:$A$20000=Y815)*(DATOS!$G$2:$G$20000=CONFIG_METADATA!$B$4)*(COUNTIF(CONFIG_ASIGNATURAS!$B$7:$B$27,DATOS!$I$2:$I$20000)&gt;0)*(DATOS!$K$2:$K$20000))/SUMPRODUCT((DATOS!$A$2:$A$20000=Y815)*(DATOS!$G$2:$G$20000=CONFIG_METADATA!$B$4)*(COUNTIF(CONFIG_ASIGNATURAS!$B$7:$B$27,DATOS!$I$2:$I$20000)&gt;0)*1),"")))</f>
        <v/>
      </c>
      <c r="AF815" t="str">
        <f>IF(AE815="","",IF(AE815="[FÓRMULA MANUAL]","",IFERROR(AVERAGEIFS(DATOS!$K$2:$K$20000,DATOS!$A$2:$A$20000,AE815,DATOS!$G$2:$G$20000,CONFIG_METADATA!$B$4,DATOS!$I$2:$I$20000,"Análisis"),"")))</f>
        <v/>
      </c>
      <c r="AG815" t="str">
        <f>IF(AE815="","",IF(AE815="[FÓRMULA MANUAL]","",IFERROR(AVERAGEIFS(DATOS!$K$2:$K$20000,DATOS!$A$2:$A$20000,AE815,DATOS!$G$2:$G$20000,CONFIG_METADATA!$B$4,DATOS!$I$2:$I$20000,"Orquesta/Banda/Conjunto"),"")))</f>
        <v/>
      </c>
      <c r="AH815" t="str">
        <f>IF(AE815="","",IF(AE815="[FÓRMULA MANUAL]","",IFERROR(AVERAGEIFS(DATOS!$K$2:$K$20000,DATOS!$A$2:$A$20000,AE815,DATOS!$G$2:$G$20000,CONFIG_METADATA!$B$4,DATOS!$I$2:$I$20000,"Música de Cámara"),"")))</f>
        <v/>
      </c>
      <c r="AI815" t="str">
        <f>IF(AE815="","",IF(AE815="[FÓRMULA MANUAL]","",IFERROR(SUMPRODUCT((DATOS!$A$2:$A$20000=AE815)*(DATOS!$G$2:$G$20000=CONFIG_METADATA!$B$4)*(COUNTIF(CONFIG_ASIGNATURAS!$B$7:$B$27,DATOS!$I$2:$I$20000)&gt;0)*(DATOS!$K$2:$K$20000))/SUMPRODUCT((DATOS!$A$2:$A$20000=AE815)*(DATOS!$G$2:$G$20000=CONFIG_METADATA!$B$4)*(COUNTIF(CONFIG_ASIGNATURAS!$B$7:$B$27,DATOS!$I$2:$I$20000)&gt;0)*1),"")))</f>
        <v/>
      </c>
    </row>
    <row r="816" spans="2:35" x14ac:dyDescent="0.2">
      <c r="B816" t="str">
        <f>IF(A816="","",IF(A816="[FÓRMULA MANUAL]","",IFERROR(AVERAGEIFS(DATOS!$K$2:$K$20000,DATOS!$A$2:$A$20000,A816,DATOS!$G$2:$G$20000,CONFIG_METADATA!$B$4,DATOS!$I$2:$I$20000,"Lenguaje Musical"),"")))</f>
        <v/>
      </c>
      <c r="C816" t="str">
        <f>IF(A816="","",IF(A816="[FÓRMULA MANUAL]","",IFERROR(AVERAGEIFS(DATOS!$K$2:$K$20000,DATOS!$A$2:$A$20000,A816,DATOS!$G$2:$G$20000,CONFIG_METADATA!$B$4,DATOS!$I$2:$I$20000,"Orquesta/Banda/Conjunto"),"")))</f>
        <v/>
      </c>
      <c r="D816" t="str">
        <f>IF(A816="","",IF(A816="[FÓRMULA MANUAL]","",IFERROR(AVERAGEIFS(DATOS!$K$2:$K$20000,DATOS!$A$2:$A$20000,A816,DATOS!$G$2:$G$20000,CONFIG_METADATA!$B$4,DATOS!$I$2:$I$20000,"Conjunto"),"")))</f>
        <v/>
      </c>
      <c r="E816" t="str">
        <f>IF(A816="","",IF(A816="[FÓRMULA MANUAL]","",IFERROR(SUMPRODUCT((DATOS!$A$2:$A$20000=A816)*(DATOS!$G$2:$G$20000=CONFIG_METADATA!$B$4)*(COUNTIF(CONFIG_ASIGNATURAS!$B$7:$B$27,DATOS!$I$2:$I$20000)&gt;0)*(DATOS!$K$2:$K$20000))/SUMPRODUCT((DATOS!$A$2:$A$20000=A816)*(DATOS!$G$2:$G$20000=CONFIG_METADATA!$B$4)*(COUNTIF(CONFIG_ASIGNATURAS!$B$7:$B$27,DATOS!$I$2:$I$20000)&gt;0)*1),"")))</f>
        <v/>
      </c>
      <c r="H816" t="str">
        <f>IF(G816="","",IF(G816="[FÓRMULA MANUAL]","",IFERROR(AVERAGEIFS(DATOS!$K$2:$K$20000,DATOS!$A$2:$A$20000,G816,DATOS!$G$2:$G$20000,CONFIG_METADATA!$B$4,DATOS!$I$2:$I$20000,"Lenguaje Musical"),"")))</f>
        <v/>
      </c>
      <c r="I816" t="str">
        <f>IF(G816="","",IF(G816="[FÓRMULA MANUAL]","",IFERROR(AVERAGEIFS(DATOS!$K$2:$K$20000,DATOS!$A$2:$A$20000,G816,DATOS!$G$2:$G$20000,CONFIG_METADATA!$B$4,DATOS!$I$2:$I$20000,"Orquesta/Banda/Conjunto"),"")))</f>
        <v/>
      </c>
      <c r="J816" t="str">
        <f>IF(G816="","",IF(G816="[FÓRMULA MANUAL]","",IFERROR(AVERAGEIFS(DATOS!$K$2:$K$20000,DATOS!$A$2:$A$20000,G816,DATOS!$G$2:$G$20000,CONFIG_METADATA!$B$4,DATOS!$I$2:$I$20000,"Conjunto"),"")))</f>
        <v/>
      </c>
      <c r="K816" t="str">
        <f>IF(G816="","",IF(G816="[FÓRMULA MANUAL]","",IFERROR(SUMPRODUCT((DATOS!$A$2:$A$20000=G816)*(DATOS!$G$2:$G$20000=CONFIG_METADATA!$B$4)*(COUNTIF(CONFIG_ASIGNATURAS!$B$7:$B$27,DATOS!$I$2:$I$20000)&gt;0)*(DATOS!$K$2:$K$20000))/SUMPRODUCT((DATOS!$A$2:$A$20000=G816)*(DATOS!$G$2:$G$20000=CONFIG_METADATA!$B$4)*(COUNTIF(CONFIG_ASIGNATURAS!$B$7:$B$27,DATOS!$I$2:$I$20000)&gt;0)*1),"")))</f>
        <v/>
      </c>
      <c r="N816" t="str">
        <f>IF(M816="","",IF(M816="[FÓRMULA MANUAL]","",IFERROR(AVERAGEIFS(DATOS!$K$2:$K$20000,DATOS!$A$2:$A$20000,M816,DATOS!$G$2:$G$20000,CONFIG_METADATA!$B$4,DATOS!$I$2:$I$20000,"Armonía"),"")))</f>
        <v/>
      </c>
      <c r="O816" t="str">
        <f>IF(M816="","",IF(M816="[FÓRMULA MANUAL]","",IFERROR(AVERAGEIFS(DATOS!$K$2:$K$20000,DATOS!$A$2:$A$20000,M816,DATOS!$G$2:$G$20000,CONFIG_METADATA!$B$4,DATOS!$I$2:$I$20000,"Orquesta/Banda/Conjunto"),"")))</f>
        <v/>
      </c>
      <c r="P816" t="str">
        <f>IF(M816="","",IF(M816="[FÓRMULA MANUAL]","",IFERROR(AVERAGEIFS(DATOS!$K$2:$K$20000,DATOS!$A$2:$A$20000,M816,DATOS!$G$2:$G$20000,CONFIG_METADATA!$B$4,DATOS!$I$2:$I$20000,"Música de Cámara"),"")))</f>
        <v/>
      </c>
      <c r="Q816" t="str">
        <f>IF(M816="","",IF(M816="[FÓRMULA MANUAL]","",IFERROR(SUMPRODUCT((DATOS!$A$2:$A$20000=M816)*(DATOS!$G$2:$G$20000=CONFIG_METADATA!$B$4)*(COUNTIF(CONFIG_ASIGNATURAS!$B$7:$B$27,DATOS!$I$2:$I$20000)&gt;0)*(DATOS!$K$2:$K$20000))/SUMPRODUCT((DATOS!$A$2:$A$20000=M816)*(DATOS!$G$2:$G$20000=CONFIG_METADATA!$B$4)*(COUNTIF(CONFIG_ASIGNATURAS!$B$7:$B$27,DATOS!$I$2:$I$20000)&gt;0)*1),"")))</f>
        <v/>
      </c>
      <c r="T816" t="str">
        <f>IF(S816="","",IF(S816="[FÓRMULA MANUAL]","",IFERROR(AVERAGEIFS(DATOS!$K$2:$K$20000,DATOS!$A$2:$A$20000,S816,DATOS!$G$2:$G$20000,CONFIG_METADATA!$B$4,DATOS!$I$2:$I$20000,"Armonía"),"")))</f>
        <v/>
      </c>
      <c r="U816" t="str">
        <f>IF(S816="","",IF(S816="[FÓRMULA MANUAL]","",IFERROR(AVERAGEIFS(DATOS!$K$2:$K$20000,DATOS!$A$2:$A$20000,S816,DATOS!$G$2:$G$20000,CONFIG_METADATA!$B$4,DATOS!$I$2:$I$20000,"Orquesta/Banda/Conjunto"),"")))</f>
        <v/>
      </c>
      <c r="V816" t="str">
        <f>IF(S816="","",IF(S816="[FÓRMULA MANUAL]","",IFERROR(AVERAGEIFS(DATOS!$K$2:$K$20000,DATOS!$A$2:$A$20000,S816,DATOS!$G$2:$G$20000,CONFIG_METADATA!$B$4,DATOS!$I$2:$I$20000,"Música de Cámara"),"")))</f>
        <v/>
      </c>
      <c r="W816" t="str">
        <f>IF(S816="","",IF(S816="[FÓRMULA MANUAL]","",IFERROR(SUMPRODUCT((DATOS!$A$2:$A$20000=S816)*(DATOS!$G$2:$G$20000=CONFIG_METADATA!$B$4)*(COUNTIF(CONFIG_ASIGNATURAS!$B$7:$B$27,DATOS!$I$2:$I$20000)&gt;0)*(DATOS!$K$2:$K$20000))/SUMPRODUCT((DATOS!$A$2:$A$20000=S816)*(DATOS!$G$2:$G$20000=CONFIG_METADATA!$B$4)*(COUNTIF(CONFIG_ASIGNATURAS!$B$7:$B$27,DATOS!$I$2:$I$20000)&gt;0)*1),"")))</f>
        <v/>
      </c>
      <c r="Z816" t="str">
        <f>IF(Y816="","",IF(Y816="[FÓRMULA MANUAL]","",IFERROR(AVERAGEIFS(DATOS!$K$2:$K$20000,DATOS!$A$2:$A$20000,Y816,DATOS!$G$2:$G$20000,CONFIG_METADATA!$B$4,DATOS!$I$2:$I$20000,"Análisis"),"")))</f>
        <v/>
      </c>
      <c r="AA816" t="str">
        <f>IF(Y816="","",IF(Y816="[FÓRMULA MANUAL]","",IFERROR(AVERAGEIFS(DATOS!$K$2:$K$20000,DATOS!$A$2:$A$20000,Y816,DATOS!$G$2:$G$20000,CONFIG_METADATA!$B$4,DATOS!$I$2:$I$20000,"Orquesta/Banda/Conjunto"),"")))</f>
        <v/>
      </c>
      <c r="AB816" t="str">
        <f>IF(Y816="","",IF(Y816="[FÓRMULA MANUAL]","",IFERROR(AVERAGEIFS(DATOS!$K$2:$K$20000,DATOS!$A$2:$A$20000,Y816,DATOS!$G$2:$G$20000,CONFIG_METADATA!$B$4,DATOS!$I$2:$I$20000,"Música de Cámara"),"")))</f>
        <v/>
      </c>
      <c r="AC816" t="str">
        <f>IF(Y816="","",IF(Y816="[FÓRMULA MANUAL]","",IFERROR(SUMPRODUCT((DATOS!$A$2:$A$20000=Y816)*(DATOS!$G$2:$G$20000=CONFIG_METADATA!$B$4)*(COUNTIF(CONFIG_ASIGNATURAS!$B$7:$B$27,DATOS!$I$2:$I$20000)&gt;0)*(DATOS!$K$2:$K$20000))/SUMPRODUCT((DATOS!$A$2:$A$20000=Y816)*(DATOS!$G$2:$G$20000=CONFIG_METADATA!$B$4)*(COUNTIF(CONFIG_ASIGNATURAS!$B$7:$B$27,DATOS!$I$2:$I$20000)&gt;0)*1),"")))</f>
        <v/>
      </c>
      <c r="AF816" t="str">
        <f>IF(AE816="","",IF(AE816="[FÓRMULA MANUAL]","",IFERROR(AVERAGEIFS(DATOS!$K$2:$K$20000,DATOS!$A$2:$A$20000,AE816,DATOS!$G$2:$G$20000,CONFIG_METADATA!$B$4,DATOS!$I$2:$I$20000,"Análisis"),"")))</f>
        <v/>
      </c>
      <c r="AG816" t="str">
        <f>IF(AE816="","",IF(AE816="[FÓRMULA MANUAL]","",IFERROR(AVERAGEIFS(DATOS!$K$2:$K$20000,DATOS!$A$2:$A$20000,AE816,DATOS!$G$2:$G$20000,CONFIG_METADATA!$B$4,DATOS!$I$2:$I$20000,"Orquesta/Banda/Conjunto"),"")))</f>
        <v/>
      </c>
      <c r="AH816" t="str">
        <f>IF(AE816="","",IF(AE816="[FÓRMULA MANUAL]","",IFERROR(AVERAGEIFS(DATOS!$K$2:$K$20000,DATOS!$A$2:$A$20000,AE816,DATOS!$G$2:$G$20000,CONFIG_METADATA!$B$4,DATOS!$I$2:$I$20000,"Música de Cámara"),"")))</f>
        <v/>
      </c>
      <c r="AI816" t="str">
        <f>IF(AE816="","",IF(AE816="[FÓRMULA MANUAL]","",IFERROR(SUMPRODUCT((DATOS!$A$2:$A$20000=AE816)*(DATOS!$G$2:$G$20000=CONFIG_METADATA!$B$4)*(COUNTIF(CONFIG_ASIGNATURAS!$B$7:$B$27,DATOS!$I$2:$I$20000)&gt;0)*(DATOS!$K$2:$K$20000))/SUMPRODUCT((DATOS!$A$2:$A$20000=AE816)*(DATOS!$G$2:$G$20000=CONFIG_METADATA!$B$4)*(COUNTIF(CONFIG_ASIGNATURAS!$B$7:$B$27,DATOS!$I$2:$I$20000)&gt;0)*1),"")))</f>
        <v/>
      </c>
    </row>
    <row r="817" spans="2:35" x14ac:dyDescent="0.2">
      <c r="B817" t="str">
        <f>IF(A817="","",IF(A817="[FÓRMULA MANUAL]","",IFERROR(AVERAGEIFS(DATOS!$K$2:$K$20000,DATOS!$A$2:$A$20000,A817,DATOS!$G$2:$G$20000,CONFIG_METADATA!$B$4,DATOS!$I$2:$I$20000,"Lenguaje Musical"),"")))</f>
        <v/>
      </c>
      <c r="C817" t="str">
        <f>IF(A817="","",IF(A817="[FÓRMULA MANUAL]","",IFERROR(AVERAGEIFS(DATOS!$K$2:$K$20000,DATOS!$A$2:$A$20000,A817,DATOS!$G$2:$G$20000,CONFIG_METADATA!$B$4,DATOS!$I$2:$I$20000,"Orquesta/Banda/Conjunto"),"")))</f>
        <v/>
      </c>
      <c r="D817" t="str">
        <f>IF(A817="","",IF(A817="[FÓRMULA MANUAL]","",IFERROR(AVERAGEIFS(DATOS!$K$2:$K$20000,DATOS!$A$2:$A$20000,A817,DATOS!$G$2:$G$20000,CONFIG_METADATA!$B$4,DATOS!$I$2:$I$20000,"Conjunto"),"")))</f>
        <v/>
      </c>
      <c r="E817" t="str">
        <f>IF(A817="","",IF(A817="[FÓRMULA MANUAL]","",IFERROR(SUMPRODUCT((DATOS!$A$2:$A$20000=A817)*(DATOS!$G$2:$G$20000=CONFIG_METADATA!$B$4)*(COUNTIF(CONFIG_ASIGNATURAS!$B$7:$B$27,DATOS!$I$2:$I$20000)&gt;0)*(DATOS!$K$2:$K$20000))/SUMPRODUCT((DATOS!$A$2:$A$20000=A817)*(DATOS!$G$2:$G$20000=CONFIG_METADATA!$B$4)*(COUNTIF(CONFIG_ASIGNATURAS!$B$7:$B$27,DATOS!$I$2:$I$20000)&gt;0)*1),"")))</f>
        <v/>
      </c>
      <c r="H817" t="str">
        <f>IF(G817="","",IF(G817="[FÓRMULA MANUAL]","",IFERROR(AVERAGEIFS(DATOS!$K$2:$K$20000,DATOS!$A$2:$A$20000,G817,DATOS!$G$2:$G$20000,CONFIG_METADATA!$B$4,DATOS!$I$2:$I$20000,"Lenguaje Musical"),"")))</f>
        <v/>
      </c>
      <c r="I817" t="str">
        <f>IF(G817="","",IF(G817="[FÓRMULA MANUAL]","",IFERROR(AVERAGEIFS(DATOS!$K$2:$K$20000,DATOS!$A$2:$A$20000,G817,DATOS!$G$2:$G$20000,CONFIG_METADATA!$B$4,DATOS!$I$2:$I$20000,"Orquesta/Banda/Conjunto"),"")))</f>
        <v/>
      </c>
      <c r="J817" t="str">
        <f>IF(G817="","",IF(G817="[FÓRMULA MANUAL]","",IFERROR(AVERAGEIFS(DATOS!$K$2:$K$20000,DATOS!$A$2:$A$20000,G817,DATOS!$G$2:$G$20000,CONFIG_METADATA!$B$4,DATOS!$I$2:$I$20000,"Conjunto"),"")))</f>
        <v/>
      </c>
      <c r="K817" t="str">
        <f>IF(G817="","",IF(G817="[FÓRMULA MANUAL]","",IFERROR(SUMPRODUCT((DATOS!$A$2:$A$20000=G817)*(DATOS!$G$2:$G$20000=CONFIG_METADATA!$B$4)*(COUNTIF(CONFIG_ASIGNATURAS!$B$7:$B$27,DATOS!$I$2:$I$20000)&gt;0)*(DATOS!$K$2:$K$20000))/SUMPRODUCT((DATOS!$A$2:$A$20000=G817)*(DATOS!$G$2:$G$20000=CONFIG_METADATA!$B$4)*(COUNTIF(CONFIG_ASIGNATURAS!$B$7:$B$27,DATOS!$I$2:$I$20000)&gt;0)*1),"")))</f>
        <v/>
      </c>
      <c r="N817" t="str">
        <f>IF(M817="","",IF(M817="[FÓRMULA MANUAL]","",IFERROR(AVERAGEIFS(DATOS!$K$2:$K$20000,DATOS!$A$2:$A$20000,M817,DATOS!$G$2:$G$20000,CONFIG_METADATA!$B$4,DATOS!$I$2:$I$20000,"Armonía"),"")))</f>
        <v/>
      </c>
      <c r="O817" t="str">
        <f>IF(M817="","",IF(M817="[FÓRMULA MANUAL]","",IFERROR(AVERAGEIFS(DATOS!$K$2:$K$20000,DATOS!$A$2:$A$20000,M817,DATOS!$G$2:$G$20000,CONFIG_METADATA!$B$4,DATOS!$I$2:$I$20000,"Orquesta/Banda/Conjunto"),"")))</f>
        <v/>
      </c>
      <c r="P817" t="str">
        <f>IF(M817="","",IF(M817="[FÓRMULA MANUAL]","",IFERROR(AVERAGEIFS(DATOS!$K$2:$K$20000,DATOS!$A$2:$A$20000,M817,DATOS!$G$2:$G$20000,CONFIG_METADATA!$B$4,DATOS!$I$2:$I$20000,"Música de Cámara"),"")))</f>
        <v/>
      </c>
      <c r="Q817" t="str">
        <f>IF(M817="","",IF(M817="[FÓRMULA MANUAL]","",IFERROR(SUMPRODUCT((DATOS!$A$2:$A$20000=M817)*(DATOS!$G$2:$G$20000=CONFIG_METADATA!$B$4)*(COUNTIF(CONFIG_ASIGNATURAS!$B$7:$B$27,DATOS!$I$2:$I$20000)&gt;0)*(DATOS!$K$2:$K$20000))/SUMPRODUCT((DATOS!$A$2:$A$20000=M817)*(DATOS!$G$2:$G$20000=CONFIG_METADATA!$B$4)*(COUNTIF(CONFIG_ASIGNATURAS!$B$7:$B$27,DATOS!$I$2:$I$20000)&gt;0)*1),"")))</f>
        <v/>
      </c>
      <c r="T817" t="str">
        <f>IF(S817="","",IF(S817="[FÓRMULA MANUAL]","",IFERROR(AVERAGEIFS(DATOS!$K$2:$K$20000,DATOS!$A$2:$A$20000,S817,DATOS!$G$2:$G$20000,CONFIG_METADATA!$B$4,DATOS!$I$2:$I$20000,"Armonía"),"")))</f>
        <v/>
      </c>
      <c r="U817" t="str">
        <f>IF(S817="","",IF(S817="[FÓRMULA MANUAL]","",IFERROR(AVERAGEIFS(DATOS!$K$2:$K$20000,DATOS!$A$2:$A$20000,S817,DATOS!$G$2:$G$20000,CONFIG_METADATA!$B$4,DATOS!$I$2:$I$20000,"Orquesta/Banda/Conjunto"),"")))</f>
        <v/>
      </c>
      <c r="V817" t="str">
        <f>IF(S817="","",IF(S817="[FÓRMULA MANUAL]","",IFERROR(AVERAGEIFS(DATOS!$K$2:$K$20000,DATOS!$A$2:$A$20000,S817,DATOS!$G$2:$G$20000,CONFIG_METADATA!$B$4,DATOS!$I$2:$I$20000,"Música de Cámara"),"")))</f>
        <v/>
      </c>
      <c r="W817" t="str">
        <f>IF(S817="","",IF(S817="[FÓRMULA MANUAL]","",IFERROR(SUMPRODUCT((DATOS!$A$2:$A$20000=S817)*(DATOS!$G$2:$G$20000=CONFIG_METADATA!$B$4)*(COUNTIF(CONFIG_ASIGNATURAS!$B$7:$B$27,DATOS!$I$2:$I$20000)&gt;0)*(DATOS!$K$2:$K$20000))/SUMPRODUCT((DATOS!$A$2:$A$20000=S817)*(DATOS!$G$2:$G$20000=CONFIG_METADATA!$B$4)*(COUNTIF(CONFIG_ASIGNATURAS!$B$7:$B$27,DATOS!$I$2:$I$20000)&gt;0)*1),"")))</f>
        <v/>
      </c>
      <c r="Z817" t="str">
        <f>IF(Y817="","",IF(Y817="[FÓRMULA MANUAL]","",IFERROR(AVERAGEIFS(DATOS!$K$2:$K$20000,DATOS!$A$2:$A$20000,Y817,DATOS!$G$2:$G$20000,CONFIG_METADATA!$B$4,DATOS!$I$2:$I$20000,"Análisis"),"")))</f>
        <v/>
      </c>
      <c r="AA817" t="str">
        <f>IF(Y817="","",IF(Y817="[FÓRMULA MANUAL]","",IFERROR(AVERAGEIFS(DATOS!$K$2:$K$20000,DATOS!$A$2:$A$20000,Y817,DATOS!$G$2:$G$20000,CONFIG_METADATA!$B$4,DATOS!$I$2:$I$20000,"Orquesta/Banda/Conjunto"),"")))</f>
        <v/>
      </c>
      <c r="AB817" t="str">
        <f>IF(Y817="","",IF(Y817="[FÓRMULA MANUAL]","",IFERROR(AVERAGEIFS(DATOS!$K$2:$K$20000,DATOS!$A$2:$A$20000,Y817,DATOS!$G$2:$G$20000,CONFIG_METADATA!$B$4,DATOS!$I$2:$I$20000,"Música de Cámara"),"")))</f>
        <v/>
      </c>
      <c r="AC817" t="str">
        <f>IF(Y817="","",IF(Y817="[FÓRMULA MANUAL]","",IFERROR(SUMPRODUCT((DATOS!$A$2:$A$20000=Y817)*(DATOS!$G$2:$G$20000=CONFIG_METADATA!$B$4)*(COUNTIF(CONFIG_ASIGNATURAS!$B$7:$B$27,DATOS!$I$2:$I$20000)&gt;0)*(DATOS!$K$2:$K$20000))/SUMPRODUCT((DATOS!$A$2:$A$20000=Y817)*(DATOS!$G$2:$G$20000=CONFIG_METADATA!$B$4)*(COUNTIF(CONFIG_ASIGNATURAS!$B$7:$B$27,DATOS!$I$2:$I$20000)&gt;0)*1),"")))</f>
        <v/>
      </c>
      <c r="AF817" t="str">
        <f>IF(AE817="","",IF(AE817="[FÓRMULA MANUAL]","",IFERROR(AVERAGEIFS(DATOS!$K$2:$K$20000,DATOS!$A$2:$A$20000,AE817,DATOS!$G$2:$G$20000,CONFIG_METADATA!$B$4,DATOS!$I$2:$I$20000,"Análisis"),"")))</f>
        <v/>
      </c>
      <c r="AG817" t="str">
        <f>IF(AE817="","",IF(AE817="[FÓRMULA MANUAL]","",IFERROR(AVERAGEIFS(DATOS!$K$2:$K$20000,DATOS!$A$2:$A$20000,AE817,DATOS!$G$2:$G$20000,CONFIG_METADATA!$B$4,DATOS!$I$2:$I$20000,"Orquesta/Banda/Conjunto"),"")))</f>
        <v/>
      </c>
      <c r="AH817" t="str">
        <f>IF(AE817="","",IF(AE817="[FÓRMULA MANUAL]","",IFERROR(AVERAGEIFS(DATOS!$K$2:$K$20000,DATOS!$A$2:$A$20000,AE817,DATOS!$G$2:$G$20000,CONFIG_METADATA!$B$4,DATOS!$I$2:$I$20000,"Música de Cámara"),"")))</f>
        <v/>
      </c>
      <c r="AI817" t="str">
        <f>IF(AE817="","",IF(AE817="[FÓRMULA MANUAL]","",IFERROR(SUMPRODUCT((DATOS!$A$2:$A$20000=AE817)*(DATOS!$G$2:$G$20000=CONFIG_METADATA!$B$4)*(COUNTIF(CONFIG_ASIGNATURAS!$B$7:$B$27,DATOS!$I$2:$I$20000)&gt;0)*(DATOS!$K$2:$K$20000))/SUMPRODUCT((DATOS!$A$2:$A$20000=AE817)*(DATOS!$G$2:$G$20000=CONFIG_METADATA!$B$4)*(COUNTIF(CONFIG_ASIGNATURAS!$B$7:$B$27,DATOS!$I$2:$I$20000)&gt;0)*1),"")))</f>
        <v/>
      </c>
    </row>
    <row r="818" spans="2:35" x14ac:dyDescent="0.2">
      <c r="B818" t="str">
        <f>IF(A818="","",IF(A818="[FÓRMULA MANUAL]","",IFERROR(AVERAGEIFS(DATOS!$K$2:$K$20000,DATOS!$A$2:$A$20000,A818,DATOS!$G$2:$G$20000,CONFIG_METADATA!$B$4,DATOS!$I$2:$I$20000,"Lenguaje Musical"),"")))</f>
        <v/>
      </c>
      <c r="C818" t="str">
        <f>IF(A818="","",IF(A818="[FÓRMULA MANUAL]","",IFERROR(AVERAGEIFS(DATOS!$K$2:$K$20000,DATOS!$A$2:$A$20000,A818,DATOS!$G$2:$G$20000,CONFIG_METADATA!$B$4,DATOS!$I$2:$I$20000,"Orquesta/Banda/Conjunto"),"")))</f>
        <v/>
      </c>
      <c r="D818" t="str">
        <f>IF(A818="","",IF(A818="[FÓRMULA MANUAL]","",IFERROR(AVERAGEIFS(DATOS!$K$2:$K$20000,DATOS!$A$2:$A$20000,A818,DATOS!$G$2:$G$20000,CONFIG_METADATA!$B$4,DATOS!$I$2:$I$20000,"Conjunto"),"")))</f>
        <v/>
      </c>
      <c r="E818" t="str">
        <f>IF(A818="","",IF(A818="[FÓRMULA MANUAL]","",IFERROR(SUMPRODUCT((DATOS!$A$2:$A$20000=A818)*(DATOS!$G$2:$G$20000=CONFIG_METADATA!$B$4)*(COUNTIF(CONFIG_ASIGNATURAS!$B$7:$B$27,DATOS!$I$2:$I$20000)&gt;0)*(DATOS!$K$2:$K$20000))/SUMPRODUCT((DATOS!$A$2:$A$20000=A818)*(DATOS!$G$2:$G$20000=CONFIG_METADATA!$B$4)*(COUNTIF(CONFIG_ASIGNATURAS!$B$7:$B$27,DATOS!$I$2:$I$20000)&gt;0)*1),"")))</f>
        <v/>
      </c>
      <c r="H818" t="str">
        <f>IF(G818="","",IF(G818="[FÓRMULA MANUAL]","",IFERROR(AVERAGEIFS(DATOS!$K$2:$K$20000,DATOS!$A$2:$A$20000,G818,DATOS!$G$2:$G$20000,CONFIG_METADATA!$B$4,DATOS!$I$2:$I$20000,"Lenguaje Musical"),"")))</f>
        <v/>
      </c>
      <c r="I818" t="str">
        <f>IF(G818="","",IF(G818="[FÓRMULA MANUAL]","",IFERROR(AVERAGEIFS(DATOS!$K$2:$K$20000,DATOS!$A$2:$A$20000,G818,DATOS!$G$2:$G$20000,CONFIG_METADATA!$B$4,DATOS!$I$2:$I$20000,"Orquesta/Banda/Conjunto"),"")))</f>
        <v/>
      </c>
      <c r="J818" t="str">
        <f>IF(G818="","",IF(G818="[FÓRMULA MANUAL]","",IFERROR(AVERAGEIFS(DATOS!$K$2:$K$20000,DATOS!$A$2:$A$20000,G818,DATOS!$G$2:$G$20000,CONFIG_METADATA!$B$4,DATOS!$I$2:$I$20000,"Conjunto"),"")))</f>
        <v/>
      </c>
      <c r="K818" t="str">
        <f>IF(G818="","",IF(G818="[FÓRMULA MANUAL]","",IFERROR(SUMPRODUCT((DATOS!$A$2:$A$20000=G818)*(DATOS!$G$2:$G$20000=CONFIG_METADATA!$B$4)*(COUNTIF(CONFIG_ASIGNATURAS!$B$7:$B$27,DATOS!$I$2:$I$20000)&gt;0)*(DATOS!$K$2:$K$20000))/SUMPRODUCT((DATOS!$A$2:$A$20000=G818)*(DATOS!$G$2:$G$20000=CONFIG_METADATA!$B$4)*(COUNTIF(CONFIG_ASIGNATURAS!$B$7:$B$27,DATOS!$I$2:$I$20000)&gt;0)*1),"")))</f>
        <v/>
      </c>
      <c r="N818" t="str">
        <f>IF(M818="","",IF(M818="[FÓRMULA MANUAL]","",IFERROR(AVERAGEIFS(DATOS!$K$2:$K$20000,DATOS!$A$2:$A$20000,M818,DATOS!$G$2:$G$20000,CONFIG_METADATA!$B$4,DATOS!$I$2:$I$20000,"Armonía"),"")))</f>
        <v/>
      </c>
      <c r="O818" t="str">
        <f>IF(M818="","",IF(M818="[FÓRMULA MANUAL]","",IFERROR(AVERAGEIFS(DATOS!$K$2:$K$20000,DATOS!$A$2:$A$20000,M818,DATOS!$G$2:$G$20000,CONFIG_METADATA!$B$4,DATOS!$I$2:$I$20000,"Orquesta/Banda/Conjunto"),"")))</f>
        <v/>
      </c>
      <c r="P818" t="str">
        <f>IF(M818="","",IF(M818="[FÓRMULA MANUAL]","",IFERROR(AVERAGEIFS(DATOS!$K$2:$K$20000,DATOS!$A$2:$A$20000,M818,DATOS!$G$2:$G$20000,CONFIG_METADATA!$B$4,DATOS!$I$2:$I$20000,"Música de Cámara"),"")))</f>
        <v/>
      </c>
      <c r="Q818" t="str">
        <f>IF(M818="","",IF(M818="[FÓRMULA MANUAL]","",IFERROR(SUMPRODUCT((DATOS!$A$2:$A$20000=M818)*(DATOS!$G$2:$G$20000=CONFIG_METADATA!$B$4)*(COUNTIF(CONFIG_ASIGNATURAS!$B$7:$B$27,DATOS!$I$2:$I$20000)&gt;0)*(DATOS!$K$2:$K$20000))/SUMPRODUCT((DATOS!$A$2:$A$20000=M818)*(DATOS!$G$2:$G$20000=CONFIG_METADATA!$B$4)*(COUNTIF(CONFIG_ASIGNATURAS!$B$7:$B$27,DATOS!$I$2:$I$20000)&gt;0)*1),"")))</f>
        <v/>
      </c>
      <c r="T818" t="str">
        <f>IF(S818="","",IF(S818="[FÓRMULA MANUAL]","",IFERROR(AVERAGEIFS(DATOS!$K$2:$K$20000,DATOS!$A$2:$A$20000,S818,DATOS!$G$2:$G$20000,CONFIG_METADATA!$B$4,DATOS!$I$2:$I$20000,"Armonía"),"")))</f>
        <v/>
      </c>
      <c r="U818" t="str">
        <f>IF(S818="","",IF(S818="[FÓRMULA MANUAL]","",IFERROR(AVERAGEIFS(DATOS!$K$2:$K$20000,DATOS!$A$2:$A$20000,S818,DATOS!$G$2:$G$20000,CONFIG_METADATA!$B$4,DATOS!$I$2:$I$20000,"Orquesta/Banda/Conjunto"),"")))</f>
        <v/>
      </c>
      <c r="V818" t="str">
        <f>IF(S818="","",IF(S818="[FÓRMULA MANUAL]","",IFERROR(AVERAGEIFS(DATOS!$K$2:$K$20000,DATOS!$A$2:$A$20000,S818,DATOS!$G$2:$G$20000,CONFIG_METADATA!$B$4,DATOS!$I$2:$I$20000,"Música de Cámara"),"")))</f>
        <v/>
      </c>
      <c r="W818" t="str">
        <f>IF(S818="","",IF(S818="[FÓRMULA MANUAL]","",IFERROR(SUMPRODUCT((DATOS!$A$2:$A$20000=S818)*(DATOS!$G$2:$G$20000=CONFIG_METADATA!$B$4)*(COUNTIF(CONFIG_ASIGNATURAS!$B$7:$B$27,DATOS!$I$2:$I$20000)&gt;0)*(DATOS!$K$2:$K$20000))/SUMPRODUCT((DATOS!$A$2:$A$20000=S818)*(DATOS!$G$2:$G$20000=CONFIG_METADATA!$B$4)*(COUNTIF(CONFIG_ASIGNATURAS!$B$7:$B$27,DATOS!$I$2:$I$20000)&gt;0)*1),"")))</f>
        <v/>
      </c>
      <c r="Z818" t="str">
        <f>IF(Y818="","",IF(Y818="[FÓRMULA MANUAL]","",IFERROR(AVERAGEIFS(DATOS!$K$2:$K$20000,DATOS!$A$2:$A$20000,Y818,DATOS!$G$2:$G$20000,CONFIG_METADATA!$B$4,DATOS!$I$2:$I$20000,"Análisis"),"")))</f>
        <v/>
      </c>
      <c r="AA818" t="str">
        <f>IF(Y818="","",IF(Y818="[FÓRMULA MANUAL]","",IFERROR(AVERAGEIFS(DATOS!$K$2:$K$20000,DATOS!$A$2:$A$20000,Y818,DATOS!$G$2:$G$20000,CONFIG_METADATA!$B$4,DATOS!$I$2:$I$20000,"Orquesta/Banda/Conjunto"),"")))</f>
        <v/>
      </c>
      <c r="AB818" t="str">
        <f>IF(Y818="","",IF(Y818="[FÓRMULA MANUAL]","",IFERROR(AVERAGEIFS(DATOS!$K$2:$K$20000,DATOS!$A$2:$A$20000,Y818,DATOS!$G$2:$G$20000,CONFIG_METADATA!$B$4,DATOS!$I$2:$I$20000,"Música de Cámara"),"")))</f>
        <v/>
      </c>
      <c r="AC818" t="str">
        <f>IF(Y818="","",IF(Y818="[FÓRMULA MANUAL]","",IFERROR(SUMPRODUCT((DATOS!$A$2:$A$20000=Y818)*(DATOS!$G$2:$G$20000=CONFIG_METADATA!$B$4)*(COUNTIF(CONFIG_ASIGNATURAS!$B$7:$B$27,DATOS!$I$2:$I$20000)&gt;0)*(DATOS!$K$2:$K$20000))/SUMPRODUCT((DATOS!$A$2:$A$20000=Y818)*(DATOS!$G$2:$G$20000=CONFIG_METADATA!$B$4)*(COUNTIF(CONFIG_ASIGNATURAS!$B$7:$B$27,DATOS!$I$2:$I$20000)&gt;0)*1),"")))</f>
        <v/>
      </c>
      <c r="AF818" t="str">
        <f>IF(AE818="","",IF(AE818="[FÓRMULA MANUAL]","",IFERROR(AVERAGEIFS(DATOS!$K$2:$K$20000,DATOS!$A$2:$A$20000,AE818,DATOS!$G$2:$G$20000,CONFIG_METADATA!$B$4,DATOS!$I$2:$I$20000,"Análisis"),"")))</f>
        <v/>
      </c>
      <c r="AG818" t="str">
        <f>IF(AE818="","",IF(AE818="[FÓRMULA MANUAL]","",IFERROR(AVERAGEIFS(DATOS!$K$2:$K$20000,DATOS!$A$2:$A$20000,AE818,DATOS!$G$2:$G$20000,CONFIG_METADATA!$B$4,DATOS!$I$2:$I$20000,"Orquesta/Banda/Conjunto"),"")))</f>
        <v/>
      </c>
      <c r="AH818" t="str">
        <f>IF(AE818="","",IF(AE818="[FÓRMULA MANUAL]","",IFERROR(AVERAGEIFS(DATOS!$K$2:$K$20000,DATOS!$A$2:$A$20000,AE818,DATOS!$G$2:$G$20000,CONFIG_METADATA!$B$4,DATOS!$I$2:$I$20000,"Música de Cámara"),"")))</f>
        <v/>
      </c>
      <c r="AI818" t="str">
        <f>IF(AE818="","",IF(AE818="[FÓRMULA MANUAL]","",IFERROR(SUMPRODUCT((DATOS!$A$2:$A$20000=AE818)*(DATOS!$G$2:$G$20000=CONFIG_METADATA!$B$4)*(COUNTIF(CONFIG_ASIGNATURAS!$B$7:$B$27,DATOS!$I$2:$I$20000)&gt;0)*(DATOS!$K$2:$K$20000))/SUMPRODUCT((DATOS!$A$2:$A$20000=AE818)*(DATOS!$G$2:$G$20000=CONFIG_METADATA!$B$4)*(COUNTIF(CONFIG_ASIGNATURAS!$B$7:$B$27,DATOS!$I$2:$I$20000)&gt;0)*1),"")))</f>
        <v/>
      </c>
    </row>
    <row r="819" spans="2:35" x14ac:dyDescent="0.2">
      <c r="B819" t="str">
        <f>IF(A819="","",IF(A819="[FÓRMULA MANUAL]","",IFERROR(AVERAGEIFS(DATOS!$K$2:$K$20000,DATOS!$A$2:$A$20000,A819,DATOS!$G$2:$G$20000,CONFIG_METADATA!$B$4,DATOS!$I$2:$I$20000,"Lenguaje Musical"),"")))</f>
        <v/>
      </c>
      <c r="C819" t="str">
        <f>IF(A819="","",IF(A819="[FÓRMULA MANUAL]","",IFERROR(AVERAGEIFS(DATOS!$K$2:$K$20000,DATOS!$A$2:$A$20000,A819,DATOS!$G$2:$G$20000,CONFIG_METADATA!$B$4,DATOS!$I$2:$I$20000,"Orquesta/Banda/Conjunto"),"")))</f>
        <v/>
      </c>
      <c r="D819" t="str">
        <f>IF(A819="","",IF(A819="[FÓRMULA MANUAL]","",IFERROR(AVERAGEIFS(DATOS!$K$2:$K$20000,DATOS!$A$2:$A$20000,A819,DATOS!$G$2:$G$20000,CONFIG_METADATA!$B$4,DATOS!$I$2:$I$20000,"Conjunto"),"")))</f>
        <v/>
      </c>
      <c r="E819" t="str">
        <f>IF(A819="","",IF(A819="[FÓRMULA MANUAL]","",IFERROR(SUMPRODUCT((DATOS!$A$2:$A$20000=A819)*(DATOS!$G$2:$G$20000=CONFIG_METADATA!$B$4)*(COUNTIF(CONFIG_ASIGNATURAS!$B$7:$B$27,DATOS!$I$2:$I$20000)&gt;0)*(DATOS!$K$2:$K$20000))/SUMPRODUCT((DATOS!$A$2:$A$20000=A819)*(DATOS!$G$2:$G$20000=CONFIG_METADATA!$B$4)*(COUNTIF(CONFIG_ASIGNATURAS!$B$7:$B$27,DATOS!$I$2:$I$20000)&gt;0)*1),"")))</f>
        <v/>
      </c>
      <c r="H819" t="str">
        <f>IF(G819="","",IF(G819="[FÓRMULA MANUAL]","",IFERROR(AVERAGEIFS(DATOS!$K$2:$K$20000,DATOS!$A$2:$A$20000,G819,DATOS!$G$2:$G$20000,CONFIG_METADATA!$B$4,DATOS!$I$2:$I$20000,"Lenguaje Musical"),"")))</f>
        <v/>
      </c>
      <c r="I819" t="str">
        <f>IF(G819="","",IF(G819="[FÓRMULA MANUAL]","",IFERROR(AVERAGEIFS(DATOS!$K$2:$K$20000,DATOS!$A$2:$A$20000,G819,DATOS!$G$2:$G$20000,CONFIG_METADATA!$B$4,DATOS!$I$2:$I$20000,"Orquesta/Banda/Conjunto"),"")))</f>
        <v/>
      </c>
      <c r="J819" t="str">
        <f>IF(G819="","",IF(G819="[FÓRMULA MANUAL]","",IFERROR(AVERAGEIFS(DATOS!$K$2:$K$20000,DATOS!$A$2:$A$20000,G819,DATOS!$G$2:$G$20000,CONFIG_METADATA!$B$4,DATOS!$I$2:$I$20000,"Conjunto"),"")))</f>
        <v/>
      </c>
      <c r="K819" t="str">
        <f>IF(G819="","",IF(G819="[FÓRMULA MANUAL]","",IFERROR(SUMPRODUCT((DATOS!$A$2:$A$20000=G819)*(DATOS!$G$2:$G$20000=CONFIG_METADATA!$B$4)*(COUNTIF(CONFIG_ASIGNATURAS!$B$7:$B$27,DATOS!$I$2:$I$20000)&gt;0)*(DATOS!$K$2:$K$20000))/SUMPRODUCT((DATOS!$A$2:$A$20000=G819)*(DATOS!$G$2:$G$20000=CONFIG_METADATA!$B$4)*(COUNTIF(CONFIG_ASIGNATURAS!$B$7:$B$27,DATOS!$I$2:$I$20000)&gt;0)*1),"")))</f>
        <v/>
      </c>
      <c r="N819" t="str">
        <f>IF(M819="","",IF(M819="[FÓRMULA MANUAL]","",IFERROR(AVERAGEIFS(DATOS!$K$2:$K$20000,DATOS!$A$2:$A$20000,M819,DATOS!$G$2:$G$20000,CONFIG_METADATA!$B$4,DATOS!$I$2:$I$20000,"Armonía"),"")))</f>
        <v/>
      </c>
      <c r="O819" t="str">
        <f>IF(M819="","",IF(M819="[FÓRMULA MANUAL]","",IFERROR(AVERAGEIFS(DATOS!$K$2:$K$20000,DATOS!$A$2:$A$20000,M819,DATOS!$G$2:$G$20000,CONFIG_METADATA!$B$4,DATOS!$I$2:$I$20000,"Orquesta/Banda/Conjunto"),"")))</f>
        <v/>
      </c>
      <c r="P819" t="str">
        <f>IF(M819="","",IF(M819="[FÓRMULA MANUAL]","",IFERROR(AVERAGEIFS(DATOS!$K$2:$K$20000,DATOS!$A$2:$A$20000,M819,DATOS!$G$2:$G$20000,CONFIG_METADATA!$B$4,DATOS!$I$2:$I$20000,"Música de Cámara"),"")))</f>
        <v/>
      </c>
      <c r="Q819" t="str">
        <f>IF(M819="","",IF(M819="[FÓRMULA MANUAL]","",IFERROR(SUMPRODUCT((DATOS!$A$2:$A$20000=M819)*(DATOS!$G$2:$G$20000=CONFIG_METADATA!$B$4)*(COUNTIF(CONFIG_ASIGNATURAS!$B$7:$B$27,DATOS!$I$2:$I$20000)&gt;0)*(DATOS!$K$2:$K$20000))/SUMPRODUCT((DATOS!$A$2:$A$20000=M819)*(DATOS!$G$2:$G$20000=CONFIG_METADATA!$B$4)*(COUNTIF(CONFIG_ASIGNATURAS!$B$7:$B$27,DATOS!$I$2:$I$20000)&gt;0)*1),"")))</f>
        <v/>
      </c>
      <c r="T819" t="str">
        <f>IF(S819="","",IF(S819="[FÓRMULA MANUAL]","",IFERROR(AVERAGEIFS(DATOS!$K$2:$K$20000,DATOS!$A$2:$A$20000,S819,DATOS!$G$2:$G$20000,CONFIG_METADATA!$B$4,DATOS!$I$2:$I$20000,"Armonía"),"")))</f>
        <v/>
      </c>
      <c r="U819" t="str">
        <f>IF(S819="","",IF(S819="[FÓRMULA MANUAL]","",IFERROR(AVERAGEIFS(DATOS!$K$2:$K$20000,DATOS!$A$2:$A$20000,S819,DATOS!$G$2:$G$20000,CONFIG_METADATA!$B$4,DATOS!$I$2:$I$20000,"Orquesta/Banda/Conjunto"),"")))</f>
        <v/>
      </c>
      <c r="V819" t="str">
        <f>IF(S819="","",IF(S819="[FÓRMULA MANUAL]","",IFERROR(AVERAGEIFS(DATOS!$K$2:$K$20000,DATOS!$A$2:$A$20000,S819,DATOS!$G$2:$G$20000,CONFIG_METADATA!$B$4,DATOS!$I$2:$I$20000,"Música de Cámara"),"")))</f>
        <v/>
      </c>
      <c r="W819" t="str">
        <f>IF(S819="","",IF(S819="[FÓRMULA MANUAL]","",IFERROR(SUMPRODUCT((DATOS!$A$2:$A$20000=S819)*(DATOS!$G$2:$G$20000=CONFIG_METADATA!$B$4)*(COUNTIF(CONFIG_ASIGNATURAS!$B$7:$B$27,DATOS!$I$2:$I$20000)&gt;0)*(DATOS!$K$2:$K$20000))/SUMPRODUCT((DATOS!$A$2:$A$20000=S819)*(DATOS!$G$2:$G$20000=CONFIG_METADATA!$B$4)*(COUNTIF(CONFIG_ASIGNATURAS!$B$7:$B$27,DATOS!$I$2:$I$20000)&gt;0)*1),"")))</f>
        <v/>
      </c>
      <c r="Z819" t="str">
        <f>IF(Y819="","",IF(Y819="[FÓRMULA MANUAL]","",IFERROR(AVERAGEIFS(DATOS!$K$2:$K$20000,DATOS!$A$2:$A$20000,Y819,DATOS!$G$2:$G$20000,CONFIG_METADATA!$B$4,DATOS!$I$2:$I$20000,"Análisis"),"")))</f>
        <v/>
      </c>
      <c r="AA819" t="str">
        <f>IF(Y819="","",IF(Y819="[FÓRMULA MANUAL]","",IFERROR(AVERAGEIFS(DATOS!$K$2:$K$20000,DATOS!$A$2:$A$20000,Y819,DATOS!$G$2:$G$20000,CONFIG_METADATA!$B$4,DATOS!$I$2:$I$20000,"Orquesta/Banda/Conjunto"),"")))</f>
        <v/>
      </c>
      <c r="AB819" t="str">
        <f>IF(Y819="","",IF(Y819="[FÓRMULA MANUAL]","",IFERROR(AVERAGEIFS(DATOS!$K$2:$K$20000,DATOS!$A$2:$A$20000,Y819,DATOS!$G$2:$G$20000,CONFIG_METADATA!$B$4,DATOS!$I$2:$I$20000,"Música de Cámara"),"")))</f>
        <v/>
      </c>
      <c r="AC819" t="str">
        <f>IF(Y819="","",IF(Y819="[FÓRMULA MANUAL]","",IFERROR(SUMPRODUCT((DATOS!$A$2:$A$20000=Y819)*(DATOS!$G$2:$G$20000=CONFIG_METADATA!$B$4)*(COUNTIF(CONFIG_ASIGNATURAS!$B$7:$B$27,DATOS!$I$2:$I$20000)&gt;0)*(DATOS!$K$2:$K$20000))/SUMPRODUCT((DATOS!$A$2:$A$20000=Y819)*(DATOS!$G$2:$G$20000=CONFIG_METADATA!$B$4)*(COUNTIF(CONFIG_ASIGNATURAS!$B$7:$B$27,DATOS!$I$2:$I$20000)&gt;0)*1),"")))</f>
        <v/>
      </c>
      <c r="AF819" t="str">
        <f>IF(AE819="","",IF(AE819="[FÓRMULA MANUAL]","",IFERROR(AVERAGEIFS(DATOS!$K$2:$K$20000,DATOS!$A$2:$A$20000,AE819,DATOS!$G$2:$G$20000,CONFIG_METADATA!$B$4,DATOS!$I$2:$I$20000,"Análisis"),"")))</f>
        <v/>
      </c>
      <c r="AG819" t="str">
        <f>IF(AE819="","",IF(AE819="[FÓRMULA MANUAL]","",IFERROR(AVERAGEIFS(DATOS!$K$2:$K$20000,DATOS!$A$2:$A$20000,AE819,DATOS!$G$2:$G$20000,CONFIG_METADATA!$B$4,DATOS!$I$2:$I$20000,"Orquesta/Banda/Conjunto"),"")))</f>
        <v/>
      </c>
      <c r="AH819" t="str">
        <f>IF(AE819="","",IF(AE819="[FÓRMULA MANUAL]","",IFERROR(AVERAGEIFS(DATOS!$K$2:$K$20000,DATOS!$A$2:$A$20000,AE819,DATOS!$G$2:$G$20000,CONFIG_METADATA!$B$4,DATOS!$I$2:$I$20000,"Música de Cámara"),"")))</f>
        <v/>
      </c>
      <c r="AI819" t="str">
        <f>IF(AE819="","",IF(AE819="[FÓRMULA MANUAL]","",IFERROR(SUMPRODUCT((DATOS!$A$2:$A$20000=AE819)*(DATOS!$G$2:$G$20000=CONFIG_METADATA!$B$4)*(COUNTIF(CONFIG_ASIGNATURAS!$B$7:$B$27,DATOS!$I$2:$I$20000)&gt;0)*(DATOS!$K$2:$K$20000))/SUMPRODUCT((DATOS!$A$2:$A$20000=AE819)*(DATOS!$G$2:$G$20000=CONFIG_METADATA!$B$4)*(COUNTIF(CONFIG_ASIGNATURAS!$B$7:$B$27,DATOS!$I$2:$I$20000)&gt;0)*1),"")))</f>
        <v/>
      </c>
    </row>
    <row r="820" spans="2:35" x14ac:dyDescent="0.2">
      <c r="B820" t="str">
        <f>IF(A820="","",IF(A820="[FÓRMULA MANUAL]","",IFERROR(AVERAGEIFS(DATOS!$K$2:$K$20000,DATOS!$A$2:$A$20000,A820,DATOS!$G$2:$G$20000,CONFIG_METADATA!$B$4,DATOS!$I$2:$I$20000,"Lenguaje Musical"),"")))</f>
        <v/>
      </c>
      <c r="C820" t="str">
        <f>IF(A820="","",IF(A820="[FÓRMULA MANUAL]","",IFERROR(AVERAGEIFS(DATOS!$K$2:$K$20000,DATOS!$A$2:$A$20000,A820,DATOS!$G$2:$G$20000,CONFIG_METADATA!$B$4,DATOS!$I$2:$I$20000,"Orquesta/Banda/Conjunto"),"")))</f>
        <v/>
      </c>
      <c r="D820" t="str">
        <f>IF(A820="","",IF(A820="[FÓRMULA MANUAL]","",IFERROR(AVERAGEIFS(DATOS!$K$2:$K$20000,DATOS!$A$2:$A$20000,A820,DATOS!$G$2:$G$20000,CONFIG_METADATA!$B$4,DATOS!$I$2:$I$20000,"Conjunto"),"")))</f>
        <v/>
      </c>
      <c r="E820" t="str">
        <f>IF(A820="","",IF(A820="[FÓRMULA MANUAL]","",IFERROR(SUMPRODUCT((DATOS!$A$2:$A$20000=A820)*(DATOS!$G$2:$G$20000=CONFIG_METADATA!$B$4)*(COUNTIF(CONFIG_ASIGNATURAS!$B$7:$B$27,DATOS!$I$2:$I$20000)&gt;0)*(DATOS!$K$2:$K$20000))/SUMPRODUCT((DATOS!$A$2:$A$20000=A820)*(DATOS!$G$2:$G$20000=CONFIG_METADATA!$B$4)*(COUNTIF(CONFIG_ASIGNATURAS!$B$7:$B$27,DATOS!$I$2:$I$20000)&gt;0)*1),"")))</f>
        <v/>
      </c>
      <c r="H820" t="str">
        <f>IF(G820="","",IF(G820="[FÓRMULA MANUAL]","",IFERROR(AVERAGEIFS(DATOS!$K$2:$K$20000,DATOS!$A$2:$A$20000,G820,DATOS!$G$2:$G$20000,CONFIG_METADATA!$B$4,DATOS!$I$2:$I$20000,"Lenguaje Musical"),"")))</f>
        <v/>
      </c>
      <c r="I820" t="str">
        <f>IF(G820="","",IF(G820="[FÓRMULA MANUAL]","",IFERROR(AVERAGEIFS(DATOS!$K$2:$K$20000,DATOS!$A$2:$A$20000,G820,DATOS!$G$2:$G$20000,CONFIG_METADATA!$B$4,DATOS!$I$2:$I$20000,"Orquesta/Banda/Conjunto"),"")))</f>
        <v/>
      </c>
      <c r="J820" t="str">
        <f>IF(G820="","",IF(G820="[FÓRMULA MANUAL]","",IFERROR(AVERAGEIFS(DATOS!$K$2:$K$20000,DATOS!$A$2:$A$20000,G820,DATOS!$G$2:$G$20000,CONFIG_METADATA!$B$4,DATOS!$I$2:$I$20000,"Conjunto"),"")))</f>
        <v/>
      </c>
      <c r="K820" t="str">
        <f>IF(G820="","",IF(G820="[FÓRMULA MANUAL]","",IFERROR(SUMPRODUCT((DATOS!$A$2:$A$20000=G820)*(DATOS!$G$2:$G$20000=CONFIG_METADATA!$B$4)*(COUNTIF(CONFIG_ASIGNATURAS!$B$7:$B$27,DATOS!$I$2:$I$20000)&gt;0)*(DATOS!$K$2:$K$20000))/SUMPRODUCT((DATOS!$A$2:$A$20000=G820)*(DATOS!$G$2:$G$20000=CONFIG_METADATA!$B$4)*(COUNTIF(CONFIG_ASIGNATURAS!$B$7:$B$27,DATOS!$I$2:$I$20000)&gt;0)*1),"")))</f>
        <v/>
      </c>
      <c r="N820" t="str">
        <f>IF(M820="","",IF(M820="[FÓRMULA MANUAL]","",IFERROR(AVERAGEIFS(DATOS!$K$2:$K$20000,DATOS!$A$2:$A$20000,M820,DATOS!$G$2:$G$20000,CONFIG_METADATA!$B$4,DATOS!$I$2:$I$20000,"Armonía"),"")))</f>
        <v/>
      </c>
      <c r="O820" t="str">
        <f>IF(M820="","",IF(M820="[FÓRMULA MANUAL]","",IFERROR(AVERAGEIFS(DATOS!$K$2:$K$20000,DATOS!$A$2:$A$20000,M820,DATOS!$G$2:$G$20000,CONFIG_METADATA!$B$4,DATOS!$I$2:$I$20000,"Orquesta/Banda/Conjunto"),"")))</f>
        <v/>
      </c>
      <c r="P820" t="str">
        <f>IF(M820="","",IF(M820="[FÓRMULA MANUAL]","",IFERROR(AVERAGEIFS(DATOS!$K$2:$K$20000,DATOS!$A$2:$A$20000,M820,DATOS!$G$2:$G$20000,CONFIG_METADATA!$B$4,DATOS!$I$2:$I$20000,"Música de Cámara"),"")))</f>
        <v/>
      </c>
      <c r="Q820" t="str">
        <f>IF(M820="","",IF(M820="[FÓRMULA MANUAL]","",IFERROR(SUMPRODUCT((DATOS!$A$2:$A$20000=M820)*(DATOS!$G$2:$G$20000=CONFIG_METADATA!$B$4)*(COUNTIF(CONFIG_ASIGNATURAS!$B$7:$B$27,DATOS!$I$2:$I$20000)&gt;0)*(DATOS!$K$2:$K$20000))/SUMPRODUCT((DATOS!$A$2:$A$20000=M820)*(DATOS!$G$2:$G$20000=CONFIG_METADATA!$B$4)*(COUNTIF(CONFIG_ASIGNATURAS!$B$7:$B$27,DATOS!$I$2:$I$20000)&gt;0)*1),"")))</f>
        <v/>
      </c>
      <c r="T820" t="str">
        <f>IF(S820="","",IF(S820="[FÓRMULA MANUAL]","",IFERROR(AVERAGEIFS(DATOS!$K$2:$K$20000,DATOS!$A$2:$A$20000,S820,DATOS!$G$2:$G$20000,CONFIG_METADATA!$B$4,DATOS!$I$2:$I$20000,"Armonía"),"")))</f>
        <v/>
      </c>
      <c r="U820" t="str">
        <f>IF(S820="","",IF(S820="[FÓRMULA MANUAL]","",IFERROR(AVERAGEIFS(DATOS!$K$2:$K$20000,DATOS!$A$2:$A$20000,S820,DATOS!$G$2:$G$20000,CONFIG_METADATA!$B$4,DATOS!$I$2:$I$20000,"Orquesta/Banda/Conjunto"),"")))</f>
        <v/>
      </c>
      <c r="V820" t="str">
        <f>IF(S820="","",IF(S820="[FÓRMULA MANUAL]","",IFERROR(AVERAGEIFS(DATOS!$K$2:$K$20000,DATOS!$A$2:$A$20000,S820,DATOS!$G$2:$G$20000,CONFIG_METADATA!$B$4,DATOS!$I$2:$I$20000,"Música de Cámara"),"")))</f>
        <v/>
      </c>
      <c r="W820" t="str">
        <f>IF(S820="","",IF(S820="[FÓRMULA MANUAL]","",IFERROR(SUMPRODUCT((DATOS!$A$2:$A$20000=S820)*(DATOS!$G$2:$G$20000=CONFIG_METADATA!$B$4)*(COUNTIF(CONFIG_ASIGNATURAS!$B$7:$B$27,DATOS!$I$2:$I$20000)&gt;0)*(DATOS!$K$2:$K$20000))/SUMPRODUCT((DATOS!$A$2:$A$20000=S820)*(DATOS!$G$2:$G$20000=CONFIG_METADATA!$B$4)*(COUNTIF(CONFIG_ASIGNATURAS!$B$7:$B$27,DATOS!$I$2:$I$20000)&gt;0)*1),"")))</f>
        <v/>
      </c>
      <c r="Z820" t="str">
        <f>IF(Y820="","",IF(Y820="[FÓRMULA MANUAL]","",IFERROR(AVERAGEIFS(DATOS!$K$2:$K$20000,DATOS!$A$2:$A$20000,Y820,DATOS!$G$2:$G$20000,CONFIG_METADATA!$B$4,DATOS!$I$2:$I$20000,"Análisis"),"")))</f>
        <v/>
      </c>
      <c r="AA820" t="str">
        <f>IF(Y820="","",IF(Y820="[FÓRMULA MANUAL]","",IFERROR(AVERAGEIFS(DATOS!$K$2:$K$20000,DATOS!$A$2:$A$20000,Y820,DATOS!$G$2:$G$20000,CONFIG_METADATA!$B$4,DATOS!$I$2:$I$20000,"Orquesta/Banda/Conjunto"),"")))</f>
        <v/>
      </c>
      <c r="AB820" t="str">
        <f>IF(Y820="","",IF(Y820="[FÓRMULA MANUAL]","",IFERROR(AVERAGEIFS(DATOS!$K$2:$K$20000,DATOS!$A$2:$A$20000,Y820,DATOS!$G$2:$G$20000,CONFIG_METADATA!$B$4,DATOS!$I$2:$I$20000,"Música de Cámara"),"")))</f>
        <v/>
      </c>
      <c r="AC820" t="str">
        <f>IF(Y820="","",IF(Y820="[FÓRMULA MANUAL]","",IFERROR(SUMPRODUCT((DATOS!$A$2:$A$20000=Y820)*(DATOS!$G$2:$G$20000=CONFIG_METADATA!$B$4)*(COUNTIF(CONFIG_ASIGNATURAS!$B$7:$B$27,DATOS!$I$2:$I$20000)&gt;0)*(DATOS!$K$2:$K$20000))/SUMPRODUCT((DATOS!$A$2:$A$20000=Y820)*(DATOS!$G$2:$G$20000=CONFIG_METADATA!$B$4)*(COUNTIF(CONFIG_ASIGNATURAS!$B$7:$B$27,DATOS!$I$2:$I$20000)&gt;0)*1),"")))</f>
        <v/>
      </c>
      <c r="AF820" t="str">
        <f>IF(AE820="","",IF(AE820="[FÓRMULA MANUAL]","",IFERROR(AVERAGEIFS(DATOS!$K$2:$K$20000,DATOS!$A$2:$A$20000,AE820,DATOS!$G$2:$G$20000,CONFIG_METADATA!$B$4,DATOS!$I$2:$I$20000,"Análisis"),"")))</f>
        <v/>
      </c>
      <c r="AG820" t="str">
        <f>IF(AE820="","",IF(AE820="[FÓRMULA MANUAL]","",IFERROR(AVERAGEIFS(DATOS!$K$2:$K$20000,DATOS!$A$2:$A$20000,AE820,DATOS!$G$2:$G$20000,CONFIG_METADATA!$B$4,DATOS!$I$2:$I$20000,"Orquesta/Banda/Conjunto"),"")))</f>
        <v/>
      </c>
      <c r="AH820" t="str">
        <f>IF(AE820="","",IF(AE820="[FÓRMULA MANUAL]","",IFERROR(AVERAGEIFS(DATOS!$K$2:$K$20000,DATOS!$A$2:$A$20000,AE820,DATOS!$G$2:$G$20000,CONFIG_METADATA!$B$4,DATOS!$I$2:$I$20000,"Música de Cámara"),"")))</f>
        <v/>
      </c>
      <c r="AI820" t="str">
        <f>IF(AE820="","",IF(AE820="[FÓRMULA MANUAL]","",IFERROR(SUMPRODUCT((DATOS!$A$2:$A$20000=AE820)*(DATOS!$G$2:$G$20000=CONFIG_METADATA!$B$4)*(COUNTIF(CONFIG_ASIGNATURAS!$B$7:$B$27,DATOS!$I$2:$I$20000)&gt;0)*(DATOS!$K$2:$K$20000))/SUMPRODUCT((DATOS!$A$2:$A$20000=AE820)*(DATOS!$G$2:$G$20000=CONFIG_METADATA!$B$4)*(COUNTIF(CONFIG_ASIGNATURAS!$B$7:$B$27,DATOS!$I$2:$I$20000)&gt;0)*1),"")))</f>
        <v/>
      </c>
    </row>
    <row r="821" spans="2:35" x14ac:dyDescent="0.2">
      <c r="B821" t="str">
        <f>IF(A821="","",IF(A821="[FÓRMULA MANUAL]","",IFERROR(AVERAGEIFS(DATOS!$K$2:$K$20000,DATOS!$A$2:$A$20000,A821,DATOS!$G$2:$G$20000,CONFIG_METADATA!$B$4,DATOS!$I$2:$I$20000,"Lenguaje Musical"),"")))</f>
        <v/>
      </c>
      <c r="C821" t="str">
        <f>IF(A821="","",IF(A821="[FÓRMULA MANUAL]","",IFERROR(AVERAGEIFS(DATOS!$K$2:$K$20000,DATOS!$A$2:$A$20000,A821,DATOS!$G$2:$G$20000,CONFIG_METADATA!$B$4,DATOS!$I$2:$I$20000,"Orquesta/Banda/Conjunto"),"")))</f>
        <v/>
      </c>
      <c r="D821" t="str">
        <f>IF(A821="","",IF(A821="[FÓRMULA MANUAL]","",IFERROR(AVERAGEIFS(DATOS!$K$2:$K$20000,DATOS!$A$2:$A$20000,A821,DATOS!$G$2:$G$20000,CONFIG_METADATA!$B$4,DATOS!$I$2:$I$20000,"Conjunto"),"")))</f>
        <v/>
      </c>
      <c r="E821" t="str">
        <f>IF(A821="","",IF(A821="[FÓRMULA MANUAL]","",IFERROR(SUMPRODUCT((DATOS!$A$2:$A$20000=A821)*(DATOS!$G$2:$G$20000=CONFIG_METADATA!$B$4)*(COUNTIF(CONFIG_ASIGNATURAS!$B$7:$B$27,DATOS!$I$2:$I$20000)&gt;0)*(DATOS!$K$2:$K$20000))/SUMPRODUCT((DATOS!$A$2:$A$20000=A821)*(DATOS!$G$2:$G$20000=CONFIG_METADATA!$B$4)*(COUNTIF(CONFIG_ASIGNATURAS!$B$7:$B$27,DATOS!$I$2:$I$20000)&gt;0)*1),"")))</f>
        <v/>
      </c>
      <c r="H821" t="str">
        <f>IF(G821="","",IF(G821="[FÓRMULA MANUAL]","",IFERROR(AVERAGEIFS(DATOS!$K$2:$K$20000,DATOS!$A$2:$A$20000,G821,DATOS!$G$2:$G$20000,CONFIG_METADATA!$B$4,DATOS!$I$2:$I$20000,"Lenguaje Musical"),"")))</f>
        <v/>
      </c>
      <c r="I821" t="str">
        <f>IF(G821="","",IF(G821="[FÓRMULA MANUAL]","",IFERROR(AVERAGEIFS(DATOS!$K$2:$K$20000,DATOS!$A$2:$A$20000,G821,DATOS!$G$2:$G$20000,CONFIG_METADATA!$B$4,DATOS!$I$2:$I$20000,"Orquesta/Banda/Conjunto"),"")))</f>
        <v/>
      </c>
      <c r="J821" t="str">
        <f>IF(G821="","",IF(G821="[FÓRMULA MANUAL]","",IFERROR(AVERAGEIFS(DATOS!$K$2:$K$20000,DATOS!$A$2:$A$20000,G821,DATOS!$G$2:$G$20000,CONFIG_METADATA!$B$4,DATOS!$I$2:$I$20000,"Conjunto"),"")))</f>
        <v/>
      </c>
      <c r="K821" t="str">
        <f>IF(G821="","",IF(G821="[FÓRMULA MANUAL]","",IFERROR(SUMPRODUCT((DATOS!$A$2:$A$20000=G821)*(DATOS!$G$2:$G$20000=CONFIG_METADATA!$B$4)*(COUNTIF(CONFIG_ASIGNATURAS!$B$7:$B$27,DATOS!$I$2:$I$20000)&gt;0)*(DATOS!$K$2:$K$20000))/SUMPRODUCT((DATOS!$A$2:$A$20000=G821)*(DATOS!$G$2:$G$20000=CONFIG_METADATA!$B$4)*(COUNTIF(CONFIG_ASIGNATURAS!$B$7:$B$27,DATOS!$I$2:$I$20000)&gt;0)*1),"")))</f>
        <v/>
      </c>
      <c r="N821" t="str">
        <f>IF(M821="","",IF(M821="[FÓRMULA MANUAL]","",IFERROR(AVERAGEIFS(DATOS!$K$2:$K$20000,DATOS!$A$2:$A$20000,M821,DATOS!$G$2:$G$20000,CONFIG_METADATA!$B$4,DATOS!$I$2:$I$20000,"Armonía"),"")))</f>
        <v/>
      </c>
      <c r="O821" t="str">
        <f>IF(M821="","",IF(M821="[FÓRMULA MANUAL]","",IFERROR(AVERAGEIFS(DATOS!$K$2:$K$20000,DATOS!$A$2:$A$20000,M821,DATOS!$G$2:$G$20000,CONFIG_METADATA!$B$4,DATOS!$I$2:$I$20000,"Orquesta/Banda/Conjunto"),"")))</f>
        <v/>
      </c>
      <c r="P821" t="str">
        <f>IF(M821="","",IF(M821="[FÓRMULA MANUAL]","",IFERROR(AVERAGEIFS(DATOS!$K$2:$K$20000,DATOS!$A$2:$A$20000,M821,DATOS!$G$2:$G$20000,CONFIG_METADATA!$B$4,DATOS!$I$2:$I$20000,"Música de Cámara"),"")))</f>
        <v/>
      </c>
      <c r="Q821" t="str">
        <f>IF(M821="","",IF(M821="[FÓRMULA MANUAL]","",IFERROR(SUMPRODUCT((DATOS!$A$2:$A$20000=M821)*(DATOS!$G$2:$G$20000=CONFIG_METADATA!$B$4)*(COUNTIF(CONFIG_ASIGNATURAS!$B$7:$B$27,DATOS!$I$2:$I$20000)&gt;0)*(DATOS!$K$2:$K$20000))/SUMPRODUCT((DATOS!$A$2:$A$20000=M821)*(DATOS!$G$2:$G$20000=CONFIG_METADATA!$B$4)*(COUNTIF(CONFIG_ASIGNATURAS!$B$7:$B$27,DATOS!$I$2:$I$20000)&gt;0)*1),"")))</f>
        <v/>
      </c>
      <c r="T821" t="str">
        <f>IF(S821="","",IF(S821="[FÓRMULA MANUAL]","",IFERROR(AVERAGEIFS(DATOS!$K$2:$K$20000,DATOS!$A$2:$A$20000,S821,DATOS!$G$2:$G$20000,CONFIG_METADATA!$B$4,DATOS!$I$2:$I$20000,"Armonía"),"")))</f>
        <v/>
      </c>
      <c r="U821" t="str">
        <f>IF(S821="","",IF(S821="[FÓRMULA MANUAL]","",IFERROR(AVERAGEIFS(DATOS!$K$2:$K$20000,DATOS!$A$2:$A$20000,S821,DATOS!$G$2:$G$20000,CONFIG_METADATA!$B$4,DATOS!$I$2:$I$20000,"Orquesta/Banda/Conjunto"),"")))</f>
        <v/>
      </c>
      <c r="V821" t="str">
        <f>IF(S821="","",IF(S821="[FÓRMULA MANUAL]","",IFERROR(AVERAGEIFS(DATOS!$K$2:$K$20000,DATOS!$A$2:$A$20000,S821,DATOS!$G$2:$G$20000,CONFIG_METADATA!$B$4,DATOS!$I$2:$I$20000,"Música de Cámara"),"")))</f>
        <v/>
      </c>
      <c r="W821" t="str">
        <f>IF(S821="","",IF(S821="[FÓRMULA MANUAL]","",IFERROR(SUMPRODUCT((DATOS!$A$2:$A$20000=S821)*(DATOS!$G$2:$G$20000=CONFIG_METADATA!$B$4)*(COUNTIF(CONFIG_ASIGNATURAS!$B$7:$B$27,DATOS!$I$2:$I$20000)&gt;0)*(DATOS!$K$2:$K$20000))/SUMPRODUCT((DATOS!$A$2:$A$20000=S821)*(DATOS!$G$2:$G$20000=CONFIG_METADATA!$B$4)*(COUNTIF(CONFIG_ASIGNATURAS!$B$7:$B$27,DATOS!$I$2:$I$20000)&gt;0)*1),"")))</f>
        <v/>
      </c>
      <c r="Z821" t="str">
        <f>IF(Y821="","",IF(Y821="[FÓRMULA MANUAL]","",IFERROR(AVERAGEIFS(DATOS!$K$2:$K$20000,DATOS!$A$2:$A$20000,Y821,DATOS!$G$2:$G$20000,CONFIG_METADATA!$B$4,DATOS!$I$2:$I$20000,"Análisis"),"")))</f>
        <v/>
      </c>
      <c r="AA821" t="str">
        <f>IF(Y821="","",IF(Y821="[FÓRMULA MANUAL]","",IFERROR(AVERAGEIFS(DATOS!$K$2:$K$20000,DATOS!$A$2:$A$20000,Y821,DATOS!$G$2:$G$20000,CONFIG_METADATA!$B$4,DATOS!$I$2:$I$20000,"Orquesta/Banda/Conjunto"),"")))</f>
        <v/>
      </c>
      <c r="AB821" t="str">
        <f>IF(Y821="","",IF(Y821="[FÓRMULA MANUAL]","",IFERROR(AVERAGEIFS(DATOS!$K$2:$K$20000,DATOS!$A$2:$A$20000,Y821,DATOS!$G$2:$G$20000,CONFIG_METADATA!$B$4,DATOS!$I$2:$I$20000,"Música de Cámara"),"")))</f>
        <v/>
      </c>
      <c r="AC821" t="str">
        <f>IF(Y821="","",IF(Y821="[FÓRMULA MANUAL]","",IFERROR(SUMPRODUCT((DATOS!$A$2:$A$20000=Y821)*(DATOS!$G$2:$G$20000=CONFIG_METADATA!$B$4)*(COUNTIF(CONFIG_ASIGNATURAS!$B$7:$B$27,DATOS!$I$2:$I$20000)&gt;0)*(DATOS!$K$2:$K$20000))/SUMPRODUCT((DATOS!$A$2:$A$20000=Y821)*(DATOS!$G$2:$G$20000=CONFIG_METADATA!$B$4)*(COUNTIF(CONFIG_ASIGNATURAS!$B$7:$B$27,DATOS!$I$2:$I$20000)&gt;0)*1),"")))</f>
        <v/>
      </c>
      <c r="AF821" t="str">
        <f>IF(AE821="","",IF(AE821="[FÓRMULA MANUAL]","",IFERROR(AVERAGEIFS(DATOS!$K$2:$K$20000,DATOS!$A$2:$A$20000,AE821,DATOS!$G$2:$G$20000,CONFIG_METADATA!$B$4,DATOS!$I$2:$I$20000,"Análisis"),"")))</f>
        <v/>
      </c>
      <c r="AG821" t="str">
        <f>IF(AE821="","",IF(AE821="[FÓRMULA MANUAL]","",IFERROR(AVERAGEIFS(DATOS!$K$2:$K$20000,DATOS!$A$2:$A$20000,AE821,DATOS!$G$2:$G$20000,CONFIG_METADATA!$B$4,DATOS!$I$2:$I$20000,"Orquesta/Banda/Conjunto"),"")))</f>
        <v/>
      </c>
      <c r="AH821" t="str">
        <f>IF(AE821="","",IF(AE821="[FÓRMULA MANUAL]","",IFERROR(AVERAGEIFS(DATOS!$K$2:$K$20000,DATOS!$A$2:$A$20000,AE821,DATOS!$G$2:$G$20000,CONFIG_METADATA!$B$4,DATOS!$I$2:$I$20000,"Música de Cámara"),"")))</f>
        <v/>
      </c>
      <c r="AI821" t="str">
        <f>IF(AE821="","",IF(AE821="[FÓRMULA MANUAL]","",IFERROR(SUMPRODUCT((DATOS!$A$2:$A$20000=AE821)*(DATOS!$G$2:$G$20000=CONFIG_METADATA!$B$4)*(COUNTIF(CONFIG_ASIGNATURAS!$B$7:$B$27,DATOS!$I$2:$I$20000)&gt;0)*(DATOS!$K$2:$K$20000))/SUMPRODUCT((DATOS!$A$2:$A$20000=AE821)*(DATOS!$G$2:$G$20000=CONFIG_METADATA!$B$4)*(COUNTIF(CONFIG_ASIGNATURAS!$B$7:$B$27,DATOS!$I$2:$I$20000)&gt;0)*1),"")))</f>
        <v/>
      </c>
    </row>
    <row r="822" spans="2:35" x14ac:dyDescent="0.2">
      <c r="B822" t="str">
        <f>IF(A822="","",IF(A822="[FÓRMULA MANUAL]","",IFERROR(AVERAGEIFS(DATOS!$K$2:$K$20000,DATOS!$A$2:$A$20000,A822,DATOS!$G$2:$G$20000,CONFIG_METADATA!$B$4,DATOS!$I$2:$I$20000,"Lenguaje Musical"),"")))</f>
        <v/>
      </c>
      <c r="C822" t="str">
        <f>IF(A822="","",IF(A822="[FÓRMULA MANUAL]","",IFERROR(AVERAGEIFS(DATOS!$K$2:$K$20000,DATOS!$A$2:$A$20000,A822,DATOS!$G$2:$G$20000,CONFIG_METADATA!$B$4,DATOS!$I$2:$I$20000,"Orquesta/Banda/Conjunto"),"")))</f>
        <v/>
      </c>
      <c r="D822" t="str">
        <f>IF(A822="","",IF(A822="[FÓRMULA MANUAL]","",IFERROR(AVERAGEIFS(DATOS!$K$2:$K$20000,DATOS!$A$2:$A$20000,A822,DATOS!$G$2:$G$20000,CONFIG_METADATA!$B$4,DATOS!$I$2:$I$20000,"Conjunto"),"")))</f>
        <v/>
      </c>
      <c r="E822" t="str">
        <f>IF(A822="","",IF(A822="[FÓRMULA MANUAL]","",IFERROR(SUMPRODUCT((DATOS!$A$2:$A$20000=A822)*(DATOS!$G$2:$G$20000=CONFIG_METADATA!$B$4)*(COUNTIF(CONFIG_ASIGNATURAS!$B$7:$B$27,DATOS!$I$2:$I$20000)&gt;0)*(DATOS!$K$2:$K$20000))/SUMPRODUCT((DATOS!$A$2:$A$20000=A822)*(DATOS!$G$2:$G$20000=CONFIG_METADATA!$B$4)*(COUNTIF(CONFIG_ASIGNATURAS!$B$7:$B$27,DATOS!$I$2:$I$20000)&gt;0)*1),"")))</f>
        <v/>
      </c>
      <c r="H822" t="str">
        <f>IF(G822="","",IF(G822="[FÓRMULA MANUAL]","",IFERROR(AVERAGEIFS(DATOS!$K$2:$K$20000,DATOS!$A$2:$A$20000,G822,DATOS!$G$2:$G$20000,CONFIG_METADATA!$B$4,DATOS!$I$2:$I$20000,"Lenguaje Musical"),"")))</f>
        <v/>
      </c>
      <c r="I822" t="str">
        <f>IF(G822="","",IF(G822="[FÓRMULA MANUAL]","",IFERROR(AVERAGEIFS(DATOS!$K$2:$K$20000,DATOS!$A$2:$A$20000,G822,DATOS!$G$2:$G$20000,CONFIG_METADATA!$B$4,DATOS!$I$2:$I$20000,"Orquesta/Banda/Conjunto"),"")))</f>
        <v/>
      </c>
      <c r="J822" t="str">
        <f>IF(G822="","",IF(G822="[FÓRMULA MANUAL]","",IFERROR(AVERAGEIFS(DATOS!$K$2:$K$20000,DATOS!$A$2:$A$20000,G822,DATOS!$G$2:$G$20000,CONFIG_METADATA!$B$4,DATOS!$I$2:$I$20000,"Conjunto"),"")))</f>
        <v/>
      </c>
      <c r="K822" t="str">
        <f>IF(G822="","",IF(G822="[FÓRMULA MANUAL]","",IFERROR(SUMPRODUCT((DATOS!$A$2:$A$20000=G822)*(DATOS!$G$2:$G$20000=CONFIG_METADATA!$B$4)*(COUNTIF(CONFIG_ASIGNATURAS!$B$7:$B$27,DATOS!$I$2:$I$20000)&gt;0)*(DATOS!$K$2:$K$20000))/SUMPRODUCT((DATOS!$A$2:$A$20000=G822)*(DATOS!$G$2:$G$20000=CONFIG_METADATA!$B$4)*(COUNTIF(CONFIG_ASIGNATURAS!$B$7:$B$27,DATOS!$I$2:$I$20000)&gt;0)*1),"")))</f>
        <v/>
      </c>
      <c r="N822" t="str">
        <f>IF(M822="","",IF(M822="[FÓRMULA MANUAL]","",IFERROR(AVERAGEIFS(DATOS!$K$2:$K$20000,DATOS!$A$2:$A$20000,M822,DATOS!$G$2:$G$20000,CONFIG_METADATA!$B$4,DATOS!$I$2:$I$20000,"Armonía"),"")))</f>
        <v/>
      </c>
      <c r="O822" t="str">
        <f>IF(M822="","",IF(M822="[FÓRMULA MANUAL]","",IFERROR(AVERAGEIFS(DATOS!$K$2:$K$20000,DATOS!$A$2:$A$20000,M822,DATOS!$G$2:$G$20000,CONFIG_METADATA!$B$4,DATOS!$I$2:$I$20000,"Orquesta/Banda/Conjunto"),"")))</f>
        <v/>
      </c>
      <c r="P822" t="str">
        <f>IF(M822="","",IF(M822="[FÓRMULA MANUAL]","",IFERROR(AVERAGEIFS(DATOS!$K$2:$K$20000,DATOS!$A$2:$A$20000,M822,DATOS!$G$2:$G$20000,CONFIG_METADATA!$B$4,DATOS!$I$2:$I$20000,"Música de Cámara"),"")))</f>
        <v/>
      </c>
      <c r="Q822" t="str">
        <f>IF(M822="","",IF(M822="[FÓRMULA MANUAL]","",IFERROR(SUMPRODUCT((DATOS!$A$2:$A$20000=M822)*(DATOS!$G$2:$G$20000=CONFIG_METADATA!$B$4)*(COUNTIF(CONFIG_ASIGNATURAS!$B$7:$B$27,DATOS!$I$2:$I$20000)&gt;0)*(DATOS!$K$2:$K$20000))/SUMPRODUCT((DATOS!$A$2:$A$20000=M822)*(DATOS!$G$2:$G$20000=CONFIG_METADATA!$B$4)*(COUNTIF(CONFIG_ASIGNATURAS!$B$7:$B$27,DATOS!$I$2:$I$20000)&gt;0)*1),"")))</f>
        <v/>
      </c>
      <c r="T822" t="str">
        <f>IF(S822="","",IF(S822="[FÓRMULA MANUAL]","",IFERROR(AVERAGEIFS(DATOS!$K$2:$K$20000,DATOS!$A$2:$A$20000,S822,DATOS!$G$2:$G$20000,CONFIG_METADATA!$B$4,DATOS!$I$2:$I$20000,"Armonía"),"")))</f>
        <v/>
      </c>
      <c r="U822" t="str">
        <f>IF(S822="","",IF(S822="[FÓRMULA MANUAL]","",IFERROR(AVERAGEIFS(DATOS!$K$2:$K$20000,DATOS!$A$2:$A$20000,S822,DATOS!$G$2:$G$20000,CONFIG_METADATA!$B$4,DATOS!$I$2:$I$20000,"Orquesta/Banda/Conjunto"),"")))</f>
        <v/>
      </c>
      <c r="V822" t="str">
        <f>IF(S822="","",IF(S822="[FÓRMULA MANUAL]","",IFERROR(AVERAGEIFS(DATOS!$K$2:$K$20000,DATOS!$A$2:$A$20000,S822,DATOS!$G$2:$G$20000,CONFIG_METADATA!$B$4,DATOS!$I$2:$I$20000,"Música de Cámara"),"")))</f>
        <v/>
      </c>
      <c r="W822" t="str">
        <f>IF(S822="","",IF(S822="[FÓRMULA MANUAL]","",IFERROR(SUMPRODUCT((DATOS!$A$2:$A$20000=S822)*(DATOS!$G$2:$G$20000=CONFIG_METADATA!$B$4)*(COUNTIF(CONFIG_ASIGNATURAS!$B$7:$B$27,DATOS!$I$2:$I$20000)&gt;0)*(DATOS!$K$2:$K$20000))/SUMPRODUCT((DATOS!$A$2:$A$20000=S822)*(DATOS!$G$2:$G$20000=CONFIG_METADATA!$B$4)*(COUNTIF(CONFIG_ASIGNATURAS!$B$7:$B$27,DATOS!$I$2:$I$20000)&gt;0)*1),"")))</f>
        <v/>
      </c>
      <c r="Z822" t="str">
        <f>IF(Y822="","",IF(Y822="[FÓRMULA MANUAL]","",IFERROR(AVERAGEIFS(DATOS!$K$2:$K$20000,DATOS!$A$2:$A$20000,Y822,DATOS!$G$2:$G$20000,CONFIG_METADATA!$B$4,DATOS!$I$2:$I$20000,"Análisis"),"")))</f>
        <v/>
      </c>
      <c r="AA822" t="str">
        <f>IF(Y822="","",IF(Y822="[FÓRMULA MANUAL]","",IFERROR(AVERAGEIFS(DATOS!$K$2:$K$20000,DATOS!$A$2:$A$20000,Y822,DATOS!$G$2:$G$20000,CONFIG_METADATA!$B$4,DATOS!$I$2:$I$20000,"Orquesta/Banda/Conjunto"),"")))</f>
        <v/>
      </c>
      <c r="AB822" t="str">
        <f>IF(Y822="","",IF(Y822="[FÓRMULA MANUAL]","",IFERROR(AVERAGEIFS(DATOS!$K$2:$K$20000,DATOS!$A$2:$A$20000,Y822,DATOS!$G$2:$G$20000,CONFIG_METADATA!$B$4,DATOS!$I$2:$I$20000,"Música de Cámara"),"")))</f>
        <v/>
      </c>
      <c r="AC822" t="str">
        <f>IF(Y822="","",IF(Y822="[FÓRMULA MANUAL]","",IFERROR(SUMPRODUCT((DATOS!$A$2:$A$20000=Y822)*(DATOS!$G$2:$G$20000=CONFIG_METADATA!$B$4)*(COUNTIF(CONFIG_ASIGNATURAS!$B$7:$B$27,DATOS!$I$2:$I$20000)&gt;0)*(DATOS!$K$2:$K$20000))/SUMPRODUCT((DATOS!$A$2:$A$20000=Y822)*(DATOS!$G$2:$G$20000=CONFIG_METADATA!$B$4)*(COUNTIF(CONFIG_ASIGNATURAS!$B$7:$B$27,DATOS!$I$2:$I$20000)&gt;0)*1),"")))</f>
        <v/>
      </c>
      <c r="AF822" t="str">
        <f>IF(AE822="","",IF(AE822="[FÓRMULA MANUAL]","",IFERROR(AVERAGEIFS(DATOS!$K$2:$K$20000,DATOS!$A$2:$A$20000,AE822,DATOS!$G$2:$G$20000,CONFIG_METADATA!$B$4,DATOS!$I$2:$I$20000,"Análisis"),"")))</f>
        <v/>
      </c>
      <c r="AG822" t="str">
        <f>IF(AE822="","",IF(AE822="[FÓRMULA MANUAL]","",IFERROR(AVERAGEIFS(DATOS!$K$2:$K$20000,DATOS!$A$2:$A$20000,AE822,DATOS!$G$2:$G$20000,CONFIG_METADATA!$B$4,DATOS!$I$2:$I$20000,"Orquesta/Banda/Conjunto"),"")))</f>
        <v/>
      </c>
      <c r="AH822" t="str">
        <f>IF(AE822="","",IF(AE822="[FÓRMULA MANUAL]","",IFERROR(AVERAGEIFS(DATOS!$K$2:$K$20000,DATOS!$A$2:$A$20000,AE822,DATOS!$G$2:$G$20000,CONFIG_METADATA!$B$4,DATOS!$I$2:$I$20000,"Música de Cámara"),"")))</f>
        <v/>
      </c>
      <c r="AI822" t="str">
        <f>IF(AE822="","",IF(AE822="[FÓRMULA MANUAL]","",IFERROR(SUMPRODUCT((DATOS!$A$2:$A$20000=AE822)*(DATOS!$G$2:$G$20000=CONFIG_METADATA!$B$4)*(COUNTIF(CONFIG_ASIGNATURAS!$B$7:$B$27,DATOS!$I$2:$I$20000)&gt;0)*(DATOS!$K$2:$K$20000))/SUMPRODUCT((DATOS!$A$2:$A$20000=AE822)*(DATOS!$G$2:$G$20000=CONFIG_METADATA!$B$4)*(COUNTIF(CONFIG_ASIGNATURAS!$B$7:$B$27,DATOS!$I$2:$I$20000)&gt;0)*1),"")))</f>
        <v/>
      </c>
    </row>
    <row r="823" spans="2:35" x14ac:dyDescent="0.2">
      <c r="B823" t="str">
        <f>IF(A823="","",IF(A823="[FÓRMULA MANUAL]","",IFERROR(AVERAGEIFS(DATOS!$K$2:$K$20000,DATOS!$A$2:$A$20000,A823,DATOS!$G$2:$G$20000,CONFIG_METADATA!$B$4,DATOS!$I$2:$I$20000,"Lenguaje Musical"),"")))</f>
        <v/>
      </c>
      <c r="C823" t="str">
        <f>IF(A823="","",IF(A823="[FÓRMULA MANUAL]","",IFERROR(AVERAGEIFS(DATOS!$K$2:$K$20000,DATOS!$A$2:$A$20000,A823,DATOS!$G$2:$G$20000,CONFIG_METADATA!$B$4,DATOS!$I$2:$I$20000,"Orquesta/Banda/Conjunto"),"")))</f>
        <v/>
      </c>
      <c r="D823" t="str">
        <f>IF(A823="","",IF(A823="[FÓRMULA MANUAL]","",IFERROR(AVERAGEIFS(DATOS!$K$2:$K$20000,DATOS!$A$2:$A$20000,A823,DATOS!$G$2:$G$20000,CONFIG_METADATA!$B$4,DATOS!$I$2:$I$20000,"Conjunto"),"")))</f>
        <v/>
      </c>
      <c r="E823" t="str">
        <f>IF(A823="","",IF(A823="[FÓRMULA MANUAL]","",IFERROR(SUMPRODUCT((DATOS!$A$2:$A$20000=A823)*(DATOS!$G$2:$G$20000=CONFIG_METADATA!$B$4)*(COUNTIF(CONFIG_ASIGNATURAS!$B$7:$B$27,DATOS!$I$2:$I$20000)&gt;0)*(DATOS!$K$2:$K$20000))/SUMPRODUCT((DATOS!$A$2:$A$20000=A823)*(DATOS!$G$2:$G$20000=CONFIG_METADATA!$B$4)*(COUNTIF(CONFIG_ASIGNATURAS!$B$7:$B$27,DATOS!$I$2:$I$20000)&gt;0)*1),"")))</f>
        <v/>
      </c>
      <c r="H823" t="str">
        <f>IF(G823="","",IF(G823="[FÓRMULA MANUAL]","",IFERROR(AVERAGEIFS(DATOS!$K$2:$K$20000,DATOS!$A$2:$A$20000,G823,DATOS!$G$2:$G$20000,CONFIG_METADATA!$B$4,DATOS!$I$2:$I$20000,"Lenguaje Musical"),"")))</f>
        <v/>
      </c>
      <c r="I823" t="str">
        <f>IF(G823="","",IF(G823="[FÓRMULA MANUAL]","",IFERROR(AVERAGEIFS(DATOS!$K$2:$K$20000,DATOS!$A$2:$A$20000,G823,DATOS!$G$2:$G$20000,CONFIG_METADATA!$B$4,DATOS!$I$2:$I$20000,"Orquesta/Banda/Conjunto"),"")))</f>
        <v/>
      </c>
      <c r="J823" t="str">
        <f>IF(G823="","",IF(G823="[FÓRMULA MANUAL]","",IFERROR(AVERAGEIFS(DATOS!$K$2:$K$20000,DATOS!$A$2:$A$20000,G823,DATOS!$G$2:$G$20000,CONFIG_METADATA!$B$4,DATOS!$I$2:$I$20000,"Conjunto"),"")))</f>
        <v/>
      </c>
      <c r="K823" t="str">
        <f>IF(G823="","",IF(G823="[FÓRMULA MANUAL]","",IFERROR(SUMPRODUCT((DATOS!$A$2:$A$20000=G823)*(DATOS!$G$2:$G$20000=CONFIG_METADATA!$B$4)*(COUNTIF(CONFIG_ASIGNATURAS!$B$7:$B$27,DATOS!$I$2:$I$20000)&gt;0)*(DATOS!$K$2:$K$20000))/SUMPRODUCT((DATOS!$A$2:$A$20000=G823)*(DATOS!$G$2:$G$20000=CONFIG_METADATA!$B$4)*(COUNTIF(CONFIG_ASIGNATURAS!$B$7:$B$27,DATOS!$I$2:$I$20000)&gt;0)*1),"")))</f>
        <v/>
      </c>
      <c r="N823" t="str">
        <f>IF(M823="","",IF(M823="[FÓRMULA MANUAL]","",IFERROR(AVERAGEIFS(DATOS!$K$2:$K$20000,DATOS!$A$2:$A$20000,M823,DATOS!$G$2:$G$20000,CONFIG_METADATA!$B$4,DATOS!$I$2:$I$20000,"Armonía"),"")))</f>
        <v/>
      </c>
      <c r="O823" t="str">
        <f>IF(M823="","",IF(M823="[FÓRMULA MANUAL]","",IFERROR(AVERAGEIFS(DATOS!$K$2:$K$20000,DATOS!$A$2:$A$20000,M823,DATOS!$G$2:$G$20000,CONFIG_METADATA!$B$4,DATOS!$I$2:$I$20000,"Orquesta/Banda/Conjunto"),"")))</f>
        <v/>
      </c>
      <c r="P823" t="str">
        <f>IF(M823="","",IF(M823="[FÓRMULA MANUAL]","",IFERROR(AVERAGEIFS(DATOS!$K$2:$K$20000,DATOS!$A$2:$A$20000,M823,DATOS!$G$2:$G$20000,CONFIG_METADATA!$B$4,DATOS!$I$2:$I$20000,"Música de Cámara"),"")))</f>
        <v/>
      </c>
      <c r="Q823" t="str">
        <f>IF(M823="","",IF(M823="[FÓRMULA MANUAL]","",IFERROR(SUMPRODUCT((DATOS!$A$2:$A$20000=M823)*(DATOS!$G$2:$G$20000=CONFIG_METADATA!$B$4)*(COUNTIF(CONFIG_ASIGNATURAS!$B$7:$B$27,DATOS!$I$2:$I$20000)&gt;0)*(DATOS!$K$2:$K$20000))/SUMPRODUCT((DATOS!$A$2:$A$20000=M823)*(DATOS!$G$2:$G$20000=CONFIG_METADATA!$B$4)*(COUNTIF(CONFIG_ASIGNATURAS!$B$7:$B$27,DATOS!$I$2:$I$20000)&gt;0)*1),"")))</f>
        <v/>
      </c>
      <c r="T823" t="str">
        <f>IF(S823="","",IF(S823="[FÓRMULA MANUAL]","",IFERROR(AVERAGEIFS(DATOS!$K$2:$K$20000,DATOS!$A$2:$A$20000,S823,DATOS!$G$2:$G$20000,CONFIG_METADATA!$B$4,DATOS!$I$2:$I$20000,"Armonía"),"")))</f>
        <v/>
      </c>
      <c r="U823" t="str">
        <f>IF(S823="","",IF(S823="[FÓRMULA MANUAL]","",IFERROR(AVERAGEIFS(DATOS!$K$2:$K$20000,DATOS!$A$2:$A$20000,S823,DATOS!$G$2:$G$20000,CONFIG_METADATA!$B$4,DATOS!$I$2:$I$20000,"Orquesta/Banda/Conjunto"),"")))</f>
        <v/>
      </c>
      <c r="V823" t="str">
        <f>IF(S823="","",IF(S823="[FÓRMULA MANUAL]","",IFERROR(AVERAGEIFS(DATOS!$K$2:$K$20000,DATOS!$A$2:$A$20000,S823,DATOS!$G$2:$G$20000,CONFIG_METADATA!$B$4,DATOS!$I$2:$I$20000,"Música de Cámara"),"")))</f>
        <v/>
      </c>
      <c r="W823" t="str">
        <f>IF(S823="","",IF(S823="[FÓRMULA MANUAL]","",IFERROR(SUMPRODUCT((DATOS!$A$2:$A$20000=S823)*(DATOS!$G$2:$G$20000=CONFIG_METADATA!$B$4)*(COUNTIF(CONFIG_ASIGNATURAS!$B$7:$B$27,DATOS!$I$2:$I$20000)&gt;0)*(DATOS!$K$2:$K$20000))/SUMPRODUCT((DATOS!$A$2:$A$20000=S823)*(DATOS!$G$2:$G$20000=CONFIG_METADATA!$B$4)*(COUNTIF(CONFIG_ASIGNATURAS!$B$7:$B$27,DATOS!$I$2:$I$20000)&gt;0)*1),"")))</f>
        <v/>
      </c>
      <c r="Z823" t="str">
        <f>IF(Y823="","",IF(Y823="[FÓRMULA MANUAL]","",IFERROR(AVERAGEIFS(DATOS!$K$2:$K$20000,DATOS!$A$2:$A$20000,Y823,DATOS!$G$2:$G$20000,CONFIG_METADATA!$B$4,DATOS!$I$2:$I$20000,"Análisis"),"")))</f>
        <v/>
      </c>
      <c r="AA823" t="str">
        <f>IF(Y823="","",IF(Y823="[FÓRMULA MANUAL]","",IFERROR(AVERAGEIFS(DATOS!$K$2:$K$20000,DATOS!$A$2:$A$20000,Y823,DATOS!$G$2:$G$20000,CONFIG_METADATA!$B$4,DATOS!$I$2:$I$20000,"Orquesta/Banda/Conjunto"),"")))</f>
        <v/>
      </c>
      <c r="AB823" t="str">
        <f>IF(Y823="","",IF(Y823="[FÓRMULA MANUAL]","",IFERROR(AVERAGEIFS(DATOS!$K$2:$K$20000,DATOS!$A$2:$A$20000,Y823,DATOS!$G$2:$G$20000,CONFIG_METADATA!$B$4,DATOS!$I$2:$I$20000,"Música de Cámara"),"")))</f>
        <v/>
      </c>
      <c r="AC823" t="str">
        <f>IF(Y823="","",IF(Y823="[FÓRMULA MANUAL]","",IFERROR(SUMPRODUCT((DATOS!$A$2:$A$20000=Y823)*(DATOS!$G$2:$G$20000=CONFIG_METADATA!$B$4)*(COUNTIF(CONFIG_ASIGNATURAS!$B$7:$B$27,DATOS!$I$2:$I$20000)&gt;0)*(DATOS!$K$2:$K$20000))/SUMPRODUCT((DATOS!$A$2:$A$20000=Y823)*(DATOS!$G$2:$G$20000=CONFIG_METADATA!$B$4)*(COUNTIF(CONFIG_ASIGNATURAS!$B$7:$B$27,DATOS!$I$2:$I$20000)&gt;0)*1),"")))</f>
        <v/>
      </c>
      <c r="AF823" t="str">
        <f>IF(AE823="","",IF(AE823="[FÓRMULA MANUAL]","",IFERROR(AVERAGEIFS(DATOS!$K$2:$K$20000,DATOS!$A$2:$A$20000,AE823,DATOS!$G$2:$G$20000,CONFIG_METADATA!$B$4,DATOS!$I$2:$I$20000,"Análisis"),"")))</f>
        <v/>
      </c>
      <c r="AG823" t="str">
        <f>IF(AE823="","",IF(AE823="[FÓRMULA MANUAL]","",IFERROR(AVERAGEIFS(DATOS!$K$2:$K$20000,DATOS!$A$2:$A$20000,AE823,DATOS!$G$2:$G$20000,CONFIG_METADATA!$B$4,DATOS!$I$2:$I$20000,"Orquesta/Banda/Conjunto"),"")))</f>
        <v/>
      </c>
      <c r="AH823" t="str">
        <f>IF(AE823="","",IF(AE823="[FÓRMULA MANUAL]","",IFERROR(AVERAGEIFS(DATOS!$K$2:$K$20000,DATOS!$A$2:$A$20000,AE823,DATOS!$G$2:$G$20000,CONFIG_METADATA!$B$4,DATOS!$I$2:$I$20000,"Música de Cámara"),"")))</f>
        <v/>
      </c>
      <c r="AI823" t="str">
        <f>IF(AE823="","",IF(AE823="[FÓRMULA MANUAL]","",IFERROR(SUMPRODUCT((DATOS!$A$2:$A$20000=AE823)*(DATOS!$G$2:$G$20000=CONFIG_METADATA!$B$4)*(COUNTIF(CONFIG_ASIGNATURAS!$B$7:$B$27,DATOS!$I$2:$I$20000)&gt;0)*(DATOS!$K$2:$K$20000))/SUMPRODUCT((DATOS!$A$2:$A$20000=AE823)*(DATOS!$G$2:$G$20000=CONFIG_METADATA!$B$4)*(COUNTIF(CONFIG_ASIGNATURAS!$B$7:$B$27,DATOS!$I$2:$I$20000)&gt;0)*1),"")))</f>
        <v/>
      </c>
    </row>
    <row r="824" spans="2:35" x14ac:dyDescent="0.2">
      <c r="B824" t="str">
        <f>IF(A824="","",IF(A824="[FÓRMULA MANUAL]","",IFERROR(AVERAGEIFS(DATOS!$K$2:$K$20000,DATOS!$A$2:$A$20000,A824,DATOS!$G$2:$G$20000,CONFIG_METADATA!$B$4,DATOS!$I$2:$I$20000,"Lenguaje Musical"),"")))</f>
        <v/>
      </c>
      <c r="C824" t="str">
        <f>IF(A824="","",IF(A824="[FÓRMULA MANUAL]","",IFERROR(AVERAGEIFS(DATOS!$K$2:$K$20000,DATOS!$A$2:$A$20000,A824,DATOS!$G$2:$G$20000,CONFIG_METADATA!$B$4,DATOS!$I$2:$I$20000,"Orquesta/Banda/Conjunto"),"")))</f>
        <v/>
      </c>
      <c r="D824" t="str">
        <f>IF(A824="","",IF(A824="[FÓRMULA MANUAL]","",IFERROR(AVERAGEIFS(DATOS!$K$2:$K$20000,DATOS!$A$2:$A$20000,A824,DATOS!$G$2:$G$20000,CONFIG_METADATA!$B$4,DATOS!$I$2:$I$20000,"Conjunto"),"")))</f>
        <v/>
      </c>
      <c r="E824" t="str">
        <f>IF(A824="","",IF(A824="[FÓRMULA MANUAL]","",IFERROR(SUMPRODUCT((DATOS!$A$2:$A$20000=A824)*(DATOS!$G$2:$G$20000=CONFIG_METADATA!$B$4)*(COUNTIF(CONFIG_ASIGNATURAS!$B$7:$B$27,DATOS!$I$2:$I$20000)&gt;0)*(DATOS!$K$2:$K$20000))/SUMPRODUCT((DATOS!$A$2:$A$20000=A824)*(DATOS!$G$2:$G$20000=CONFIG_METADATA!$B$4)*(COUNTIF(CONFIG_ASIGNATURAS!$B$7:$B$27,DATOS!$I$2:$I$20000)&gt;0)*1),"")))</f>
        <v/>
      </c>
      <c r="H824" t="str">
        <f>IF(G824="","",IF(G824="[FÓRMULA MANUAL]","",IFERROR(AVERAGEIFS(DATOS!$K$2:$K$20000,DATOS!$A$2:$A$20000,G824,DATOS!$G$2:$G$20000,CONFIG_METADATA!$B$4,DATOS!$I$2:$I$20000,"Lenguaje Musical"),"")))</f>
        <v/>
      </c>
      <c r="I824" t="str">
        <f>IF(G824="","",IF(G824="[FÓRMULA MANUAL]","",IFERROR(AVERAGEIFS(DATOS!$K$2:$K$20000,DATOS!$A$2:$A$20000,G824,DATOS!$G$2:$G$20000,CONFIG_METADATA!$B$4,DATOS!$I$2:$I$20000,"Orquesta/Banda/Conjunto"),"")))</f>
        <v/>
      </c>
      <c r="J824" t="str">
        <f>IF(G824="","",IF(G824="[FÓRMULA MANUAL]","",IFERROR(AVERAGEIFS(DATOS!$K$2:$K$20000,DATOS!$A$2:$A$20000,G824,DATOS!$G$2:$G$20000,CONFIG_METADATA!$B$4,DATOS!$I$2:$I$20000,"Conjunto"),"")))</f>
        <v/>
      </c>
      <c r="K824" t="str">
        <f>IF(G824="","",IF(G824="[FÓRMULA MANUAL]","",IFERROR(SUMPRODUCT((DATOS!$A$2:$A$20000=G824)*(DATOS!$G$2:$G$20000=CONFIG_METADATA!$B$4)*(COUNTIF(CONFIG_ASIGNATURAS!$B$7:$B$27,DATOS!$I$2:$I$20000)&gt;0)*(DATOS!$K$2:$K$20000))/SUMPRODUCT((DATOS!$A$2:$A$20000=G824)*(DATOS!$G$2:$G$20000=CONFIG_METADATA!$B$4)*(COUNTIF(CONFIG_ASIGNATURAS!$B$7:$B$27,DATOS!$I$2:$I$20000)&gt;0)*1),"")))</f>
        <v/>
      </c>
      <c r="N824" t="str">
        <f>IF(M824="","",IF(M824="[FÓRMULA MANUAL]","",IFERROR(AVERAGEIFS(DATOS!$K$2:$K$20000,DATOS!$A$2:$A$20000,M824,DATOS!$G$2:$G$20000,CONFIG_METADATA!$B$4,DATOS!$I$2:$I$20000,"Armonía"),"")))</f>
        <v/>
      </c>
      <c r="O824" t="str">
        <f>IF(M824="","",IF(M824="[FÓRMULA MANUAL]","",IFERROR(AVERAGEIFS(DATOS!$K$2:$K$20000,DATOS!$A$2:$A$20000,M824,DATOS!$G$2:$G$20000,CONFIG_METADATA!$B$4,DATOS!$I$2:$I$20000,"Orquesta/Banda/Conjunto"),"")))</f>
        <v/>
      </c>
      <c r="P824" t="str">
        <f>IF(M824="","",IF(M824="[FÓRMULA MANUAL]","",IFERROR(AVERAGEIFS(DATOS!$K$2:$K$20000,DATOS!$A$2:$A$20000,M824,DATOS!$G$2:$G$20000,CONFIG_METADATA!$B$4,DATOS!$I$2:$I$20000,"Música de Cámara"),"")))</f>
        <v/>
      </c>
      <c r="Q824" t="str">
        <f>IF(M824="","",IF(M824="[FÓRMULA MANUAL]","",IFERROR(SUMPRODUCT((DATOS!$A$2:$A$20000=M824)*(DATOS!$G$2:$G$20000=CONFIG_METADATA!$B$4)*(COUNTIF(CONFIG_ASIGNATURAS!$B$7:$B$27,DATOS!$I$2:$I$20000)&gt;0)*(DATOS!$K$2:$K$20000))/SUMPRODUCT((DATOS!$A$2:$A$20000=M824)*(DATOS!$G$2:$G$20000=CONFIG_METADATA!$B$4)*(COUNTIF(CONFIG_ASIGNATURAS!$B$7:$B$27,DATOS!$I$2:$I$20000)&gt;0)*1),"")))</f>
        <v/>
      </c>
      <c r="T824" t="str">
        <f>IF(S824="","",IF(S824="[FÓRMULA MANUAL]","",IFERROR(AVERAGEIFS(DATOS!$K$2:$K$20000,DATOS!$A$2:$A$20000,S824,DATOS!$G$2:$G$20000,CONFIG_METADATA!$B$4,DATOS!$I$2:$I$20000,"Armonía"),"")))</f>
        <v/>
      </c>
      <c r="U824" t="str">
        <f>IF(S824="","",IF(S824="[FÓRMULA MANUAL]","",IFERROR(AVERAGEIFS(DATOS!$K$2:$K$20000,DATOS!$A$2:$A$20000,S824,DATOS!$G$2:$G$20000,CONFIG_METADATA!$B$4,DATOS!$I$2:$I$20000,"Orquesta/Banda/Conjunto"),"")))</f>
        <v/>
      </c>
      <c r="V824" t="str">
        <f>IF(S824="","",IF(S824="[FÓRMULA MANUAL]","",IFERROR(AVERAGEIFS(DATOS!$K$2:$K$20000,DATOS!$A$2:$A$20000,S824,DATOS!$G$2:$G$20000,CONFIG_METADATA!$B$4,DATOS!$I$2:$I$20000,"Música de Cámara"),"")))</f>
        <v/>
      </c>
      <c r="W824" t="str">
        <f>IF(S824="","",IF(S824="[FÓRMULA MANUAL]","",IFERROR(SUMPRODUCT((DATOS!$A$2:$A$20000=S824)*(DATOS!$G$2:$G$20000=CONFIG_METADATA!$B$4)*(COUNTIF(CONFIG_ASIGNATURAS!$B$7:$B$27,DATOS!$I$2:$I$20000)&gt;0)*(DATOS!$K$2:$K$20000))/SUMPRODUCT((DATOS!$A$2:$A$20000=S824)*(DATOS!$G$2:$G$20000=CONFIG_METADATA!$B$4)*(COUNTIF(CONFIG_ASIGNATURAS!$B$7:$B$27,DATOS!$I$2:$I$20000)&gt;0)*1),"")))</f>
        <v/>
      </c>
      <c r="Z824" t="str">
        <f>IF(Y824="","",IF(Y824="[FÓRMULA MANUAL]","",IFERROR(AVERAGEIFS(DATOS!$K$2:$K$20000,DATOS!$A$2:$A$20000,Y824,DATOS!$G$2:$G$20000,CONFIG_METADATA!$B$4,DATOS!$I$2:$I$20000,"Análisis"),"")))</f>
        <v/>
      </c>
      <c r="AA824" t="str">
        <f>IF(Y824="","",IF(Y824="[FÓRMULA MANUAL]","",IFERROR(AVERAGEIFS(DATOS!$K$2:$K$20000,DATOS!$A$2:$A$20000,Y824,DATOS!$G$2:$G$20000,CONFIG_METADATA!$B$4,DATOS!$I$2:$I$20000,"Orquesta/Banda/Conjunto"),"")))</f>
        <v/>
      </c>
      <c r="AB824" t="str">
        <f>IF(Y824="","",IF(Y824="[FÓRMULA MANUAL]","",IFERROR(AVERAGEIFS(DATOS!$K$2:$K$20000,DATOS!$A$2:$A$20000,Y824,DATOS!$G$2:$G$20000,CONFIG_METADATA!$B$4,DATOS!$I$2:$I$20000,"Música de Cámara"),"")))</f>
        <v/>
      </c>
      <c r="AC824" t="str">
        <f>IF(Y824="","",IF(Y824="[FÓRMULA MANUAL]","",IFERROR(SUMPRODUCT((DATOS!$A$2:$A$20000=Y824)*(DATOS!$G$2:$G$20000=CONFIG_METADATA!$B$4)*(COUNTIF(CONFIG_ASIGNATURAS!$B$7:$B$27,DATOS!$I$2:$I$20000)&gt;0)*(DATOS!$K$2:$K$20000))/SUMPRODUCT((DATOS!$A$2:$A$20000=Y824)*(DATOS!$G$2:$G$20000=CONFIG_METADATA!$B$4)*(COUNTIF(CONFIG_ASIGNATURAS!$B$7:$B$27,DATOS!$I$2:$I$20000)&gt;0)*1),"")))</f>
        <v/>
      </c>
      <c r="AF824" t="str">
        <f>IF(AE824="","",IF(AE824="[FÓRMULA MANUAL]","",IFERROR(AVERAGEIFS(DATOS!$K$2:$K$20000,DATOS!$A$2:$A$20000,AE824,DATOS!$G$2:$G$20000,CONFIG_METADATA!$B$4,DATOS!$I$2:$I$20000,"Análisis"),"")))</f>
        <v/>
      </c>
      <c r="AG824" t="str">
        <f>IF(AE824="","",IF(AE824="[FÓRMULA MANUAL]","",IFERROR(AVERAGEIFS(DATOS!$K$2:$K$20000,DATOS!$A$2:$A$20000,AE824,DATOS!$G$2:$G$20000,CONFIG_METADATA!$B$4,DATOS!$I$2:$I$20000,"Orquesta/Banda/Conjunto"),"")))</f>
        <v/>
      </c>
      <c r="AH824" t="str">
        <f>IF(AE824="","",IF(AE824="[FÓRMULA MANUAL]","",IFERROR(AVERAGEIFS(DATOS!$K$2:$K$20000,DATOS!$A$2:$A$20000,AE824,DATOS!$G$2:$G$20000,CONFIG_METADATA!$B$4,DATOS!$I$2:$I$20000,"Música de Cámara"),"")))</f>
        <v/>
      </c>
      <c r="AI824" t="str">
        <f>IF(AE824="","",IF(AE824="[FÓRMULA MANUAL]","",IFERROR(SUMPRODUCT((DATOS!$A$2:$A$20000=AE824)*(DATOS!$G$2:$G$20000=CONFIG_METADATA!$B$4)*(COUNTIF(CONFIG_ASIGNATURAS!$B$7:$B$27,DATOS!$I$2:$I$20000)&gt;0)*(DATOS!$K$2:$K$20000))/SUMPRODUCT((DATOS!$A$2:$A$20000=AE824)*(DATOS!$G$2:$G$20000=CONFIG_METADATA!$B$4)*(COUNTIF(CONFIG_ASIGNATURAS!$B$7:$B$27,DATOS!$I$2:$I$20000)&gt;0)*1),"")))</f>
        <v/>
      </c>
    </row>
    <row r="825" spans="2:35" x14ac:dyDescent="0.2">
      <c r="B825" t="str">
        <f>IF(A825="","",IF(A825="[FÓRMULA MANUAL]","",IFERROR(AVERAGEIFS(DATOS!$K$2:$K$20000,DATOS!$A$2:$A$20000,A825,DATOS!$G$2:$G$20000,CONFIG_METADATA!$B$4,DATOS!$I$2:$I$20000,"Lenguaje Musical"),"")))</f>
        <v/>
      </c>
      <c r="C825" t="str">
        <f>IF(A825="","",IF(A825="[FÓRMULA MANUAL]","",IFERROR(AVERAGEIFS(DATOS!$K$2:$K$20000,DATOS!$A$2:$A$20000,A825,DATOS!$G$2:$G$20000,CONFIG_METADATA!$B$4,DATOS!$I$2:$I$20000,"Orquesta/Banda/Conjunto"),"")))</f>
        <v/>
      </c>
      <c r="D825" t="str">
        <f>IF(A825="","",IF(A825="[FÓRMULA MANUAL]","",IFERROR(AVERAGEIFS(DATOS!$K$2:$K$20000,DATOS!$A$2:$A$20000,A825,DATOS!$G$2:$G$20000,CONFIG_METADATA!$B$4,DATOS!$I$2:$I$20000,"Conjunto"),"")))</f>
        <v/>
      </c>
      <c r="E825" t="str">
        <f>IF(A825="","",IF(A825="[FÓRMULA MANUAL]","",IFERROR(SUMPRODUCT((DATOS!$A$2:$A$20000=A825)*(DATOS!$G$2:$G$20000=CONFIG_METADATA!$B$4)*(COUNTIF(CONFIG_ASIGNATURAS!$B$7:$B$27,DATOS!$I$2:$I$20000)&gt;0)*(DATOS!$K$2:$K$20000))/SUMPRODUCT((DATOS!$A$2:$A$20000=A825)*(DATOS!$G$2:$G$20000=CONFIG_METADATA!$B$4)*(COUNTIF(CONFIG_ASIGNATURAS!$B$7:$B$27,DATOS!$I$2:$I$20000)&gt;0)*1),"")))</f>
        <v/>
      </c>
      <c r="H825" t="str">
        <f>IF(G825="","",IF(G825="[FÓRMULA MANUAL]","",IFERROR(AVERAGEIFS(DATOS!$K$2:$K$20000,DATOS!$A$2:$A$20000,G825,DATOS!$G$2:$G$20000,CONFIG_METADATA!$B$4,DATOS!$I$2:$I$20000,"Lenguaje Musical"),"")))</f>
        <v/>
      </c>
      <c r="I825" t="str">
        <f>IF(G825="","",IF(G825="[FÓRMULA MANUAL]","",IFERROR(AVERAGEIFS(DATOS!$K$2:$K$20000,DATOS!$A$2:$A$20000,G825,DATOS!$G$2:$G$20000,CONFIG_METADATA!$B$4,DATOS!$I$2:$I$20000,"Orquesta/Banda/Conjunto"),"")))</f>
        <v/>
      </c>
      <c r="J825" t="str">
        <f>IF(G825="","",IF(G825="[FÓRMULA MANUAL]","",IFERROR(AVERAGEIFS(DATOS!$K$2:$K$20000,DATOS!$A$2:$A$20000,G825,DATOS!$G$2:$G$20000,CONFIG_METADATA!$B$4,DATOS!$I$2:$I$20000,"Conjunto"),"")))</f>
        <v/>
      </c>
      <c r="K825" t="str">
        <f>IF(G825="","",IF(G825="[FÓRMULA MANUAL]","",IFERROR(SUMPRODUCT((DATOS!$A$2:$A$20000=G825)*(DATOS!$G$2:$G$20000=CONFIG_METADATA!$B$4)*(COUNTIF(CONFIG_ASIGNATURAS!$B$7:$B$27,DATOS!$I$2:$I$20000)&gt;0)*(DATOS!$K$2:$K$20000))/SUMPRODUCT((DATOS!$A$2:$A$20000=G825)*(DATOS!$G$2:$G$20000=CONFIG_METADATA!$B$4)*(COUNTIF(CONFIG_ASIGNATURAS!$B$7:$B$27,DATOS!$I$2:$I$20000)&gt;0)*1),"")))</f>
        <v/>
      </c>
      <c r="N825" t="str">
        <f>IF(M825="","",IF(M825="[FÓRMULA MANUAL]","",IFERROR(AVERAGEIFS(DATOS!$K$2:$K$20000,DATOS!$A$2:$A$20000,M825,DATOS!$G$2:$G$20000,CONFIG_METADATA!$B$4,DATOS!$I$2:$I$20000,"Armonía"),"")))</f>
        <v/>
      </c>
      <c r="O825" t="str">
        <f>IF(M825="","",IF(M825="[FÓRMULA MANUAL]","",IFERROR(AVERAGEIFS(DATOS!$K$2:$K$20000,DATOS!$A$2:$A$20000,M825,DATOS!$G$2:$G$20000,CONFIG_METADATA!$B$4,DATOS!$I$2:$I$20000,"Orquesta/Banda/Conjunto"),"")))</f>
        <v/>
      </c>
      <c r="P825" t="str">
        <f>IF(M825="","",IF(M825="[FÓRMULA MANUAL]","",IFERROR(AVERAGEIFS(DATOS!$K$2:$K$20000,DATOS!$A$2:$A$20000,M825,DATOS!$G$2:$G$20000,CONFIG_METADATA!$B$4,DATOS!$I$2:$I$20000,"Música de Cámara"),"")))</f>
        <v/>
      </c>
      <c r="Q825" t="str">
        <f>IF(M825="","",IF(M825="[FÓRMULA MANUAL]","",IFERROR(SUMPRODUCT((DATOS!$A$2:$A$20000=M825)*(DATOS!$G$2:$G$20000=CONFIG_METADATA!$B$4)*(COUNTIF(CONFIG_ASIGNATURAS!$B$7:$B$27,DATOS!$I$2:$I$20000)&gt;0)*(DATOS!$K$2:$K$20000))/SUMPRODUCT((DATOS!$A$2:$A$20000=M825)*(DATOS!$G$2:$G$20000=CONFIG_METADATA!$B$4)*(COUNTIF(CONFIG_ASIGNATURAS!$B$7:$B$27,DATOS!$I$2:$I$20000)&gt;0)*1),"")))</f>
        <v/>
      </c>
      <c r="T825" t="str">
        <f>IF(S825="","",IF(S825="[FÓRMULA MANUAL]","",IFERROR(AVERAGEIFS(DATOS!$K$2:$K$20000,DATOS!$A$2:$A$20000,S825,DATOS!$G$2:$G$20000,CONFIG_METADATA!$B$4,DATOS!$I$2:$I$20000,"Armonía"),"")))</f>
        <v/>
      </c>
      <c r="U825" t="str">
        <f>IF(S825="","",IF(S825="[FÓRMULA MANUAL]","",IFERROR(AVERAGEIFS(DATOS!$K$2:$K$20000,DATOS!$A$2:$A$20000,S825,DATOS!$G$2:$G$20000,CONFIG_METADATA!$B$4,DATOS!$I$2:$I$20000,"Orquesta/Banda/Conjunto"),"")))</f>
        <v/>
      </c>
      <c r="V825" t="str">
        <f>IF(S825="","",IF(S825="[FÓRMULA MANUAL]","",IFERROR(AVERAGEIFS(DATOS!$K$2:$K$20000,DATOS!$A$2:$A$20000,S825,DATOS!$G$2:$G$20000,CONFIG_METADATA!$B$4,DATOS!$I$2:$I$20000,"Música de Cámara"),"")))</f>
        <v/>
      </c>
      <c r="W825" t="str">
        <f>IF(S825="","",IF(S825="[FÓRMULA MANUAL]","",IFERROR(SUMPRODUCT((DATOS!$A$2:$A$20000=S825)*(DATOS!$G$2:$G$20000=CONFIG_METADATA!$B$4)*(COUNTIF(CONFIG_ASIGNATURAS!$B$7:$B$27,DATOS!$I$2:$I$20000)&gt;0)*(DATOS!$K$2:$K$20000))/SUMPRODUCT((DATOS!$A$2:$A$20000=S825)*(DATOS!$G$2:$G$20000=CONFIG_METADATA!$B$4)*(COUNTIF(CONFIG_ASIGNATURAS!$B$7:$B$27,DATOS!$I$2:$I$20000)&gt;0)*1),"")))</f>
        <v/>
      </c>
      <c r="Z825" t="str">
        <f>IF(Y825="","",IF(Y825="[FÓRMULA MANUAL]","",IFERROR(AVERAGEIFS(DATOS!$K$2:$K$20000,DATOS!$A$2:$A$20000,Y825,DATOS!$G$2:$G$20000,CONFIG_METADATA!$B$4,DATOS!$I$2:$I$20000,"Análisis"),"")))</f>
        <v/>
      </c>
      <c r="AA825" t="str">
        <f>IF(Y825="","",IF(Y825="[FÓRMULA MANUAL]","",IFERROR(AVERAGEIFS(DATOS!$K$2:$K$20000,DATOS!$A$2:$A$20000,Y825,DATOS!$G$2:$G$20000,CONFIG_METADATA!$B$4,DATOS!$I$2:$I$20000,"Orquesta/Banda/Conjunto"),"")))</f>
        <v/>
      </c>
      <c r="AB825" t="str">
        <f>IF(Y825="","",IF(Y825="[FÓRMULA MANUAL]","",IFERROR(AVERAGEIFS(DATOS!$K$2:$K$20000,DATOS!$A$2:$A$20000,Y825,DATOS!$G$2:$G$20000,CONFIG_METADATA!$B$4,DATOS!$I$2:$I$20000,"Música de Cámara"),"")))</f>
        <v/>
      </c>
      <c r="AC825" t="str">
        <f>IF(Y825="","",IF(Y825="[FÓRMULA MANUAL]","",IFERROR(SUMPRODUCT((DATOS!$A$2:$A$20000=Y825)*(DATOS!$G$2:$G$20000=CONFIG_METADATA!$B$4)*(COUNTIF(CONFIG_ASIGNATURAS!$B$7:$B$27,DATOS!$I$2:$I$20000)&gt;0)*(DATOS!$K$2:$K$20000))/SUMPRODUCT((DATOS!$A$2:$A$20000=Y825)*(DATOS!$G$2:$G$20000=CONFIG_METADATA!$B$4)*(COUNTIF(CONFIG_ASIGNATURAS!$B$7:$B$27,DATOS!$I$2:$I$20000)&gt;0)*1),"")))</f>
        <v/>
      </c>
      <c r="AF825" t="str">
        <f>IF(AE825="","",IF(AE825="[FÓRMULA MANUAL]","",IFERROR(AVERAGEIFS(DATOS!$K$2:$K$20000,DATOS!$A$2:$A$20000,AE825,DATOS!$G$2:$G$20000,CONFIG_METADATA!$B$4,DATOS!$I$2:$I$20000,"Análisis"),"")))</f>
        <v/>
      </c>
      <c r="AG825" t="str">
        <f>IF(AE825="","",IF(AE825="[FÓRMULA MANUAL]","",IFERROR(AVERAGEIFS(DATOS!$K$2:$K$20000,DATOS!$A$2:$A$20000,AE825,DATOS!$G$2:$G$20000,CONFIG_METADATA!$B$4,DATOS!$I$2:$I$20000,"Orquesta/Banda/Conjunto"),"")))</f>
        <v/>
      </c>
      <c r="AH825" t="str">
        <f>IF(AE825="","",IF(AE825="[FÓRMULA MANUAL]","",IFERROR(AVERAGEIFS(DATOS!$K$2:$K$20000,DATOS!$A$2:$A$20000,AE825,DATOS!$G$2:$G$20000,CONFIG_METADATA!$B$4,DATOS!$I$2:$I$20000,"Música de Cámara"),"")))</f>
        <v/>
      </c>
      <c r="AI825" t="str">
        <f>IF(AE825="","",IF(AE825="[FÓRMULA MANUAL]","",IFERROR(SUMPRODUCT((DATOS!$A$2:$A$20000=AE825)*(DATOS!$G$2:$G$20000=CONFIG_METADATA!$B$4)*(COUNTIF(CONFIG_ASIGNATURAS!$B$7:$B$27,DATOS!$I$2:$I$20000)&gt;0)*(DATOS!$K$2:$K$20000))/SUMPRODUCT((DATOS!$A$2:$A$20000=AE825)*(DATOS!$G$2:$G$20000=CONFIG_METADATA!$B$4)*(COUNTIF(CONFIG_ASIGNATURAS!$B$7:$B$27,DATOS!$I$2:$I$20000)&gt;0)*1),"")))</f>
        <v/>
      </c>
    </row>
    <row r="826" spans="2:35" x14ac:dyDescent="0.2">
      <c r="B826" t="str">
        <f>IF(A826="","",IF(A826="[FÓRMULA MANUAL]","",IFERROR(AVERAGEIFS(DATOS!$K$2:$K$20000,DATOS!$A$2:$A$20000,A826,DATOS!$G$2:$G$20000,CONFIG_METADATA!$B$4,DATOS!$I$2:$I$20000,"Lenguaje Musical"),"")))</f>
        <v/>
      </c>
      <c r="C826" t="str">
        <f>IF(A826="","",IF(A826="[FÓRMULA MANUAL]","",IFERROR(AVERAGEIFS(DATOS!$K$2:$K$20000,DATOS!$A$2:$A$20000,A826,DATOS!$G$2:$G$20000,CONFIG_METADATA!$B$4,DATOS!$I$2:$I$20000,"Orquesta/Banda/Conjunto"),"")))</f>
        <v/>
      </c>
      <c r="D826" t="str">
        <f>IF(A826="","",IF(A826="[FÓRMULA MANUAL]","",IFERROR(AVERAGEIFS(DATOS!$K$2:$K$20000,DATOS!$A$2:$A$20000,A826,DATOS!$G$2:$G$20000,CONFIG_METADATA!$B$4,DATOS!$I$2:$I$20000,"Conjunto"),"")))</f>
        <v/>
      </c>
      <c r="E826" t="str">
        <f>IF(A826="","",IF(A826="[FÓRMULA MANUAL]","",IFERROR(SUMPRODUCT((DATOS!$A$2:$A$20000=A826)*(DATOS!$G$2:$G$20000=CONFIG_METADATA!$B$4)*(COUNTIF(CONFIG_ASIGNATURAS!$B$7:$B$27,DATOS!$I$2:$I$20000)&gt;0)*(DATOS!$K$2:$K$20000))/SUMPRODUCT((DATOS!$A$2:$A$20000=A826)*(DATOS!$G$2:$G$20000=CONFIG_METADATA!$B$4)*(COUNTIF(CONFIG_ASIGNATURAS!$B$7:$B$27,DATOS!$I$2:$I$20000)&gt;0)*1),"")))</f>
        <v/>
      </c>
      <c r="H826" t="str">
        <f>IF(G826="","",IF(G826="[FÓRMULA MANUAL]","",IFERROR(AVERAGEIFS(DATOS!$K$2:$K$20000,DATOS!$A$2:$A$20000,G826,DATOS!$G$2:$G$20000,CONFIG_METADATA!$B$4,DATOS!$I$2:$I$20000,"Lenguaje Musical"),"")))</f>
        <v/>
      </c>
      <c r="I826" t="str">
        <f>IF(G826="","",IF(G826="[FÓRMULA MANUAL]","",IFERROR(AVERAGEIFS(DATOS!$K$2:$K$20000,DATOS!$A$2:$A$20000,G826,DATOS!$G$2:$G$20000,CONFIG_METADATA!$B$4,DATOS!$I$2:$I$20000,"Orquesta/Banda/Conjunto"),"")))</f>
        <v/>
      </c>
      <c r="J826" t="str">
        <f>IF(G826="","",IF(G826="[FÓRMULA MANUAL]","",IFERROR(AVERAGEIFS(DATOS!$K$2:$K$20000,DATOS!$A$2:$A$20000,G826,DATOS!$G$2:$G$20000,CONFIG_METADATA!$B$4,DATOS!$I$2:$I$20000,"Conjunto"),"")))</f>
        <v/>
      </c>
      <c r="K826" t="str">
        <f>IF(G826="","",IF(G826="[FÓRMULA MANUAL]","",IFERROR(SUMPRODUCT((DATOS!$A$2:$A$20000=G826)*(DATOS!$G$2:$G$20000=CONFIG_METADATA!$B$4)*(COUNTIF(CONFIG_ASIGNATURAS!$B$7:$B$27,DATOS!$I$2:$I$20000)&gt;0)*(DATOS!$K$2:$K$20000))/SUMPRODUCT((DATOS!$A$2:$A$20000=G826)*(DATOS!$G$2:$G$20000=CONFIG_METADATA!$B$4)*(COUNTIF(CONFIG_ASIGNATURAS!$B$7:$B$27,DATOS!$I$2:$I$20000)&gt;0)*1),"")))</f>
        <v/>
      </c>
      <c r="N826" t="str">
        <f>IF(M826="","",IF(M826="[FÓRMULA MANUAL]","",IFERROR(AVERAGEIFS(DATOS!$K$2:$K$20000,DATOS!$A$2:$A$20000,M826,DATOS!$G$2:$G$20000,CONFIG_METADATA!$B$4,DATOS!$I$2:$I$20000,"Armonía"),"")))</f>
        <v/>
      </c>
      <c r="O826" t="str">
        <f>IF(M826="","",IF(M826="[FÓRMULA MANUAL]","",IFERROR(AVERAGEIFS(DATOS!$K$2:$K$20000,DATOS!$A$2:$A$20000,M826,DATOS!$G$2:$G$20000,CONFIG_METADATA!$B$4,DATOS!$I$2:$I$20000,"Orquesta/Banda/Conjunto"),"")))</f>
        <v/>
      </c>
      <c r="P826" t="str">
        <f>IF(M826="","",IF(M826="[FÓRMULA MANUAL]","",IFERROR(AVERAGEIFS(DATOS!$K$2:$K$20000,DATOS!$A$2:$A$20000,M826,DATOS!$G$2:$G$20000,CONFIG_METADATA!$B$4,DATOS!$I$2:$I$20000,"Música de Cámara"),"")))</f>
        <v/>
      </c>
      <c r="Q826" t="str">
        <f>IF(M826="","",IF(M826="[FÓRMULA MANUAL]","",IFERROR(SUMPRODUCT((DATOS!$A$2:$A$20000=M826)*(DATOS!$G$2:$G$20000=CONFIG_METADATA!$B$4)*(COUNTIF(CONFIG_ASIGNATURAS!$B$7:$B$27,DATOS!$I$2:$I$20000)&gt;0)*(DATOS!$K$2:$K$20000))/SUMPRODUCT((DATOS!$A$2:$A$20000=M826)*(DATOS!$G$2:$G$20000=CONFIG_METADATA!$B$4)*(COUNTIF(CONFIG_ASIGNATURAS!$B$7:$B$27,DATOS!$I$2:$I$20000)&gt;0)*1),"")))</f>
        <v/>
      </c>
      <c r="T826" t="str">
        <f>IF(S826="","",IF(S826="[FÓRMULA MANUAL]","",IFERROR(AVERAGEIFS(DATOS!$K$2:$K$20000,DATOS!$A$2:$A$20000,S826,DATOS!$G$2:$G$20000,CONFIG_METADATA!$B$4,DATOS!$I$2:$I$20000,"Armonía"),"")))</f>
        <v/>
      </c>
      <c r="U826" t="str">
        <f>IF(S826="","",IF(S826="[FÓRMULA MANUAL]","",IFERROR(AVERAGEIFS(DATOS!$K$2:$K$20000,DATOS!$A$2:$A$20000,S826,DATOS!$G$2:$G$20000,CONFIG_METADATA!$B$4,DATOS!$I$2:$I$20000,"Orquesta/Banda/Conjunto"),"")))</f>
        <v/>
      </c>
      <c r="V826" t="str">
        <f>IF(S826="","",IF(S826="[FÓRMULA MANUAL]","",IFERROR(AVERAGEIFS(DATOS!$K$2:$K$20000,DATOS!$A$2:$A$20000,S826,DATOS!$G$2:$G$20000,CONFIG_METADATA!$B$4,DATOS!$I$2:$I$20000,"Música de Cámara"),"")))</f>
        <v/>
      </c>
      <c r="W826" t="str">
        <f>IF(S826="","",IF(S826="[FÓRMULA MANUAL]","",IFERROR(SUMPRODUCT((DATOS!$A$2:$A$20000=S826)*(DATOS!$G$2:$G$20000=CONFIG_METADATA!$B$4)*(COUNTIF(CONFIG_ASIGNATURAS!$B$7:$B$27,DATOS!$I$2:$I$20000)&gt;0)*(DATOS!$K$2:$K$20000))/SUMPRODUCT((DATOS!$A$2:$A$20000=S826)*(DATOS!$G$2:$G$20000=CONFIG_METADATA!$B$4)*(COUNTIF(CONFIG_ASIGNATURAS!$B$7:$B$27,DATOS!$I$2:$I$20000)&gt;0)*1),"")))</f>
        <v/>
      </c>
      <c r="Z826" t="str">
        <f>IF(Y826="","",IF(Y826="[FÓRMULA MANUAL]","",IFERROR(AVERAGEIFS(DATOS!$K$2:$K$20000,DATOS!$A$2:$A$20000,Y826,DATOS!$G$2:$G$20000,CONFIG_METADATA!$B$4,DATOS!$I$2:$I$20000,"Análisis"),"")))</f>
        <v/>
      </c>
      <c r="AA826" t="str">
        <f>IF(Y826="","",IF(Y826="[FÓRMULA MANUAL]","",IFERROR(AVERAGEIFS(DATOS!$K$2:$K$20000,DATOS!$A$2:$A$20000,Y826,DATOS!$G$2:$G$20000,CONFIG_METADATA!$B$4,DATOS!$I$2:$I$20000,"Orquesta/Banda/Conjunto"),"")))</f>
        <v/>
      </c>
      <c r="AB826" t="str">
        <f>IF(Y826="","",IF(Y826="[FÓRMULA MANUAL]","",IFERROR(AVERAGEIFS(DATOS!$K$2:$K$20000,DATOS!$A$2:$A$20000,Y826,DATOS!$G$2:$G$20000,CONFIG_METADATA!$B$4,DATOS!$I$2:$I$20000,"Música de Cámara"),"")))</f>
        <v/>
      </c>
      <c r="AC826" t="str">
        <f>IF(Y826="","",IF(Y826="[FÓRMULA MANUAL]","",IFERROR(SUMPRODUCT((DATOS!$A$2:$A$20000=Y826)*(DATOS!$G$2:$G$20000=CONFIG_METADATA!$B$4)*(COUNTIF(CONFIG_ASIGNATURAS!$B$7:$B$27,DATOS!$I$2:$I$20000)&gt;0)*(DATOS!$K$2:$K$20000))/SUMPRODUCT((DATOS!$A$2:$A$20000=Y826)*(DATOS!$G$2:$G$20000=CONFIG_METADATA!$B$4)*(COUNTIF(CONFIG_ASIGNATURAS!$B$7:$B$27,DATOS!$I$2:$I$20000)&gt;0)*1),"")))</f>
        <v/>
      </c>
      <c r="AF826" t="str">
        <f>IF(AE826="","",IF(AE826="[FÓRMULA MANUAL]","",IFERROR(AVERAGEIFS(DATOS!$K$2:$K$20000,DATOS!$A$2:$A$20000,AE826,DATOS!$G$2:$G$20000,CONFIG_METADATA!$B$4,DATOS!$I$2:$I$20000,"Análisis"),"")))</f>
        <v/>
      </c>
      <c r="AG826" t="str">
        <f>IF(AE826="","",IF(AE826="[FÓRMULA MANUAL]","",IFERROR(AVERAGEIFS(DATOS!$K$2:$K$20000,DATOS!$A$2:$A$20000,AE826,DATOS!$G$2:$G$20000,CONFIG_METADATA!$B$4,DATOS!$I$2:$I$20000,"Orquesta/Banda/Conjunto"),"")))</f>
        <v/>
      </c>
      <c r="AH826" t="str">
        <f>IF(AE826="","",IF(AE826="[FÓRMULA MANUAL]","",IFERROR(AVERAGEIFS(DATOS!$K$2:$K$20000,DATOS!$A$2:$A$20000,AE826,DATOS!$G$2:$G$20000,CONFIG_METADATA!$B$4,DATOS!$I$2:$I$20000,"Música de Cámara"),"")))</f>
        <v/>
      </c>
      <c r="AI826" t="str">
        <f>IF(AE826="","",IF(AE826="[FÓRMULA MANUAL]","",IFERROR(SUMPRODUCT((DATOS!$A$2:$A$20000=AE826)*(DATOS!$G$2:$G$20000=CONFIG_METADATA!$B$4)*(COUNTIF(CONFIG_ASIGNATURAS!$B$7:$B$27,DATOS!$I$2:$I$20000)&gt;0)*(DATOS!$K$2:$K$20000))/SUMPRODUCT((DATOS!$A$2:$A$20000=AE826)*(DATOS!$G$2:$G$20000=CONFIG_METADATA!$B$4)*(COUNTIF(CONFIG_ASIGNATURAS!$B$7:$B$27,DATOS!$I$2:$I$20000)&gt;0)*1),"")))</f>
        <v/>
      </c>
    </row>
    <row r="827" spans="2:35" x14ac:dyDescent="0.2">
      <c r="B827" t="str">
        <f>IF(A827="","",IF(A827="[FÓRMULA MANUAL]","",IFERROR(AVERAGEIFS(DATOS!$K$2:$K$20000,DATOS!$A$2:$A$20000,A827,DATOS!$G$2:$G$20000,CONFIG_METADATA!$B$4,DATOS!$I$2:$I$20000,"Lenguaje Musical"),"")))</f>
        <v/>
      </c>
      <c r="C827" t="str">
        <f>IF(A827="","",IF(A827="[FÓRMULA MANUAL]","",IFERROR(AVERAGEIFS(DATOS!$K$2:$K$20000,DATOS!$A$2:$A$20000,A827,DATOS!$G$2:$G$20000,CONFIG_METADATA!$B$4,DATOS!$I$2:$I$20000,"Orquesta/Banda/Conjunto"),"")))</f>
        <v/>
      </c>
      <c r="D827" t="str">
        <f>IF(A827="","",IF(A827="[FÓRMULA MANUAL]","",IFERROR(AVERAGEIFS(DATOS!$K$2:$K$20000,DATOS!$A$2:$A$20000,A827,DATOS!$G$2:$G$20000,CONFIG_METADATA!$B$4,DATOS!$I$2:$I$20000,"Conjunto"),"")))</f>
        <v/>
      </c>
      <c r="E827" t="str">
        <f>IF(A827="","",IF(A827="[FÓRMULA MANUAL]","",IFERROR(SUMPRODUCT((DATOS!$A$2:$A$20000=A827)*(DATOS!$G$2:$G$20000=CONFIG_METADATA!$B$4)*(COUNTIF(CONFIG_ASIGNATURAS!$B$7:$B$27,DATOS!$I$2:$I$20000)&gt;0)*(DATOS!$K$2:$K$20000))/SUMPRODUCT((DATOS!$A$2:$A$20000=A827)*(DATOS!$G$2:$G$20000=CONFIG_METADATA!$B$4)*(COUNTIF(CONFIG_ASIGNATURAS!$B$7:$B$27,DATOS!$I$2:$I$20000)&gt;0)*1),"")))</f>
        <v/>
      </c>
      <c r="H827" t="str">
        <f>IF(G827="","",IF(G827="[FÓRMULA MANUAL]","",IFERROR(AVERAGEIFS(DATOS!$K$2:$K$20000,DATOS!$A$2:$A$20000,G827,DATOS!$G$2:$G$20000,CONFIG_METADATA!$B$4,DATOS!$I$2:$I$20000,"Lenguaje Musical"),"")))</f>
        <v/>
      </c>
      <c r="I827" t="str">
        <f>IF(G827="","",IF(G827="[FÓRMULA MANUAL]","",IFERROR(AVERAGEIFS(DATOS!$K$2:$K$20000,DATOS!$A$2:$A$20000,G827,DATOS!$G$2:$G$20000,CONFIG_METADATA!$B$4,DATOS!$I$2:$I$20000,"Orquesta/Banda/Conjunto"),"")))</f>
        <v/>
      </c>
      <c r="J827" t="str">
        <f>IF(G827="","",IF(G827="[FÓRMULA MANUAL]","",IFERROR(AVERAGEIFS(DATOS!$K$2:$K$20000,DATOS!$A$2:$A$20000,G827,DATOS!$G$2:$G$20000,CONFIG_METADATA!$B$4,DATOS!$I$2:$I$20000,"Conjunto"),"")))</f>
        <v/>
      </c>
      <c r="K827" t="str">
        <f>IF(G827="","",IF(G827="[FÓRMULA MANUAL]","",IFERROR(SUMPRODUCT((DATOS!$A$2:$A$20000=G827)*(DATOS!$G$2:$G$20000=CONFIG_METADATA!$B$4)*(COUNTIF(CONFIG_ASIGNATURAS!$B$7:$B$27,DATOS!$I$2:$I$20000)&gt;0)*(DATOS!$K$2:$K$20000))/SUMPRODUCT((DATOS!$A$2:$A$20000=G827)*(DATOS!$G$2:$G$20000=CONFIG_METADATA!$B$4)*(COUNTIF(CONFIG_ASIGNATURAS!$B$7:$B$27,DATOS!$I$2:$I$20000)&gt;0)*1),"")))</f>
        <v/>
      </c>
      <c r="N827" t="str">
        <f>IF(M827="","",IF(M827="[FÓRMULA MANUAL]","",IFERROR(AVERAGEIFS(DATOS!$K$2:$K$20000,DATOS!$A$2:$A$20000,M827,DATOS!$G$2:$G$20000,CONFIG_METADATA!$B$4,DATOS!$I$2:$I$20000,"Armonía"),"")))</f>
        <v/>
      </c>
      <c r="O827" t="str">
        <f>IF(M827="","",IF(M827="[FÓRMULA MANUAL]","",IFERROR(AVERAGEIFS(DATOS!$K$2:$K$20000,DATOS!$A$2:$A$20000,M827,DATOS!$G$2:$G$20000,CONFIG_METADATA!$B$4,DATOS!$I$2:$I$20000,"Orquesta/Banda/Conjunto"),"")))</f>
        <v/>
      </c>
      <c r="P827" t="str">
        <f>IF(M827="","",IF(M827="[FÓRMULA MANUAL]","",IFERROR(AVERAGEIFS(DATOS!$K$2:$K$20000,DATOS!$A$2:$A$20000,M827,DATOS!$G$2:$G$20000,CONFIG_METADATA!$B$4,DATOS!$I$2:$I$20000,"Música de Cámara"),"")))</f>
        <v/>
      </c>
      <c r="Q827" t="str">
        <f>IF(M827="","",IF(M827="[FÓRMULA MANUAL]","",IFERROR(SUMPRODUCT((DATOS!$A$2:$A$20000=M827)*(DATOS!$G$2:$G$20000=CONFIG_METADATA!$B$4)*(COUNTIF(CONFIG_ASIGNATURAS!$B$7:$B$27,DATOS!$I$2:$I$20000)&gt;0)*(DATOS!$K$2:$K$20000))/SUMPRODUCT((DATOS!$A$2:$A$20000=M827)*(DATOS!$G$2:$G$20000=CONFIG_METADATA!$B$4)*(COUNTIF(CONFIG_ASIGNATURAS!$B$7:$B$27,DATOS!$I$2:$I$20000)&gt;0)*1),"")))</f>
        <v/>
      </c>
      <c r="T827" t="str">
        <f>IF(S827="","",IF(S827="[FÓRMULA MANUAL]","",IFERROR(AVERAGEIFS(DATOS!$K$2:$K$20000,DATOS!$A$2:$A$20000,S827,DATOS!$G$2:$G$20000,CONFIG_METADATA!$B$4,DATOS!$I$2:$I$20000,"Armonía"),"")))</f>
        <v/>
      </c>
      <c r="U827" t="str">
        <f>IF(S827="","",IF(S827="[FÓRMULA MANUAL]","",IFERROR(AVERAGEIFS(DATOS!$K$2:$K$20000,DATOS!$A$2:$A$20000,S827,DATOS!$G$2:$G$20000,CONFIG_METADATA!$B$4,DATOS!$I$2:$I$20000,"Orquesta/Banda/Conjunto"),"")))</f>
        <v/>
      </c>
      <c r="V827" t="str">
        <f>IF(S827="","",IF(S827="[FÓRMULA MANUAL]","",IFERROR(AVERAGEIFS(DATOS!$K$2:$K$20000,DATOS!$A$2:$A$20000,S827,DATOS!$G$2:$G$20000,CONFIG_METADATA!$B$4,DATOS!$I$2:$I$20000,"Música de Cámara"),"")))</f>
        <v/>
      </c>
      <c r="W827" t="str">
        <f>IF(S827="","",IF(S827="[FÓRMULA MANUAL]","",IFERROR(SUMPRODUCT((DATOS!$A$2:$A$20000=S827)*(DATOS!$G$2:$G$20000=CONFIG_METADATA!$B$4)*(COUNTIF(CONFIG_ASIGNATURAS!$B$7:$B$27,DATOS!$I$2:$I$20000)&gt;0)*(DATOS!$K$2:$K$20000))/SUMPRODUCT((DATOS!$A$2:$A$20000=S827)*(DATOS!$G$2:$G$20000=CONFIG_METADATA!$B$4)*(COUNTIF(CONFIG_ASIGNATURAS!$B$7:$B$27,DATOS!$I$2:$I$20000)&gt;0)*1),"")))</f>
        <v/>
      </c>
      <c r="Z827" t="str">
        <f>IF(Y827="","",IF(Y827="[FÓRMULA MANUAL]","",IFERROR(AVERAGEIFS(DATOS!$K$2:$K$20000,DATOS!$A$2:$A$20000,Y827,DATOS!$G$2:$G$20000,CONFIG_METADATA!$B$4,DATOS!$I$2:$I$20000,"Análisis"),"")))</f>
        <v/>
      </c>
      <c r="AA827" t="str">
        <f>IF(Y827="","",IF(Y827="[FÓRMULA MANUAL]","",IFERROR(AVERAGEIFS(DATOS!$K$2:$K$20000,DATOS!$A$2:$A$20000,Y827,DATOS!$G$2:$G$20000,CONFIG_METADATA!$B$4,DATOS!$I$2:$I$20000,"Orquesta/Banda/Conjunto"),"")))</f>
        <v/>
      </c>
      <c r="AB827" t="str">
        <f>IF(Y827="","",IF(Y827="[FÓRMULA MANUAL]","",IFERROR(AVERAGEIFS(DATOS!$K$2:$K$20000,DATOS!$A$2:$A$20000,Y827,DATOS!$G$2:$G$20000,CONFIG_METADATA!$B$4,DATOS!$I$2:$I$20000,"Música de Cámara"),"")))</f>
        <v/>
      </c>
      <c r="AC827" t="str">
        <f>IF(Y827="","",IF(Y827="[FÓRMULA MANUAL]","",IFERROR(SUMPRODUCT((DATOS!$A$2:$A$20000=Y827)*(DATOS!$G$2:$G$20000=CONFIG_METADATA!$B$4)*(COUNTIF(CONFIG_ASIGNATURAS!$B$7:$B$27,DATOS!$I$2:$I$20000)&gt;0)*(DATOS!$K$2:$K$20000))/SUMPRODUCT((DATOS!$A$2:$A$20000=Y827)*(DATOS!$G$2:$G$20000=CONFIG_METADATA!$B$4)*(COUNTIF(CONFIG_ASIGNATURAS!$B$7:$B$27,DATOS!$I$2:$I$20000)&gt;0)*1),"")))</f>
        <v/>
      </c>
      <c r="AF827" t="str">
        <f>IF(AE827="","",IF(AE827="[FÓRMULA MANUAL]","",IFERROR(AVERAGEIFS(DATOS!$K$2:$K$20000,DATOS!$A$2:$A$20000,AE827,DATOS!$G$2:$G$20000,CONFIG_METADATA!$B$4,DATOS!$I$2:$I$20000,"Análisis"),"")))</f>
        <v/>
      </c>
      <c r="AG827" t="str">
        <f>IF(AE827="","",IF(AE827="[FÓRMULA MANUAL]","",IFERROR(AVERAGEIFS(DATOS!$K$2:$K$20000,DATOS!$A$2:$A$20000,AE827,DATOS!$G$2:$G$20000,CONFIG_METADATA!$B$4,DATOS!$I$2:$I$20000,"Orquesta/Banda/Conjunto"),"")))</f>
        <v/>
      </c>
      <c r="AH827" t="str">
        <f>IF(AE827="","",IF(AE827="[FÓRMULA MANUAL]","",IFERROR(AVERAGEIFS(DATOS!$K$2:$K$20000,DATOS!$A$2:$A$20000,AE827,DATOS!$G$2:$G$20000,CONFIG_METADATA!$B$4,DATOS!$I$2:$I$20000,"Música de Cámara"),"")))</f>
        <v/>
      </c>
      <c r="AI827" t="str">
        <f>IF(AE827="","",IF(AE827="[FÓRMULA MANUAL]","",IFERROR(SUMPRODUCT((DATOS!$A$2:$A$20000=AE827)*(DATOS!$G$2:$G$20000=CONFIG_METADATA!$B$4)*(COUNTIF(CONFIG_ASIGNATURAS!$B$7:$B$27,DATOS!$I$2:$I$20000)&gt;0)*(DATOS!$K$2:$K$20000))/SUMPRODUCT((DATOS!$A$2:$A$20000=AE827)*(DATOS!$G$2:$G$20000=CONFIG_METADATA!$B$4)*(COUNTIF(CONFIG_ASIGNATURAS!$B$7:$B$27,DATOS!$I$2:$I$20000)&gt;0)*1),"")))</f>
        <v/>
      </c>
    </row>
    <row r="828" spans="2:35" x14ac:dyDescent="0.2">
      <c r="B828" t="str">
        <f>IF(A828="","",IF(A828="[FÓRMULA MANUAL]","",IFERROR(AVERAGEIFS(DATOS!$K$2:$K$20000,DATOS!$A$2:$A$20000,A828,DATOS!$G$2:$G$20000,CONFIG_METADATA!$B$4,DATOS!$I$2:$I$20000,"Lenguaje Musical"),"")))</f>
        <v/>
      </c>
      <c r="C828" t="str">
        <f>IF(A828="","",IF(A828="[FÓRMULA MANUAL]","",IFERROR(AVERAGEIFS(DATOS!$K$2:$K$20000,DATOS!$A$2:$A$20000,A828,DATOS!$G$2:$G$20000,CONFIG_METADATA!$B$4,DATOS!$I$2:$I$20000,"Orquesta/Banda/Conjunto"),"")))</f>
        <v/>
      </c>
      <c r="D828" t="str">
        <f>IF(A828="","",IF(A828="[FÓRMULA MANUAL]","",IFERROR(AVERAGEIFS(DATOS!$K$2:$K$20000,DATOS!$A$2:$A$20000,A828,DATOS!$G$2:$G$20000,CONFIG_METADATA!$B$4,DATOS!$I$2:$I$20000,"Conjunto"),"")))</f>
        <v/>
      </c>
      <c r="E828" t="str">
        <f>IF(A828="","",IF(A828="[FÓRMULA MANUAL]","",IFERROR(SUMPRODUCT((DATOS!$A$2:$A$20000=A828)*(DATOS!$G$2:$G$20000=CONFIG_METADATA!$B$4)*(COUNTIF(CONFIG_ASIGNATURAS!$B$7:$B$27,DATOS!$I$2:$I$20000)&gt;0)*(DATOS!$K$2:$K$20000))/SUMPRODUCT((DATOS!$A$2:$A$20000=A828)*(DATOS!$G$2:$G$20000=CONFIG_METADATA!$B$4)*(COUNTIF(CONFIG_ASIGNATURAS!$B$7:$B$27,DATOS!$I$2:$I$20000)&gt;0)*1),"")))</f>
        <v/>
      </c>
      <c r="H828" t="str">
        <f>IF(G828="","",IF(G828="[FÓRMULA MANUAL]","",IFERROR(AVERAGEIFS(DATOS!$K$2:$K$20000,DATOS!$A$2:$A$20000,G828,DATOS!$G$2:$G$20000,CONFIG_METADATA!$B$4,DATOS!$I$2:$I$20000,"Lenguaje Musical"),"")))</f>
        <v/>
      </c>
      <c r="I828" t="str">
        <f>IF(G828="","",IF(G828="[FÓRMULA MANUAL]","",IFERROR(AVERAGEIFS(DATOS!$K$2:$K$20000,DATOS!$A$2:$A$20000,G828,DATOS!$G$2:$G$20000,CONFIG_METADATA!$B$4,DATOS!$I$2:$I$20000,"Orquesta/Banda/Conjunto"),"")))</f>
        <v/>
      </c>
      <c r="J828" t="str">
        <f>IF(G828="","",IF(G828="[FÓRMULA MANUAL]","",IFERROR(AVERAGEIFS(DATOS!$K$2:$K$20000,DATOS!$A$2:$A$20000,G828,DATOS!$G$2:$G$20000,CONFIG_METADATA!$B$4,DATOS!$I$2:$I$20000,"Conjunto"),"")))</f>
        <v/>
      </c>
      <c r="K828" t="str">
        <f>IF(G828="","",IF(G828="[FÓRMULA MANUAL]","",IFERROR(SUMPRODUCT((DATOS!$A$2:$A$20000=G828)*(DATOS!$G$2:$G$20000=CONFIG_METADATA!$B$4)*(COUNTIF(CONFIG_ASIGNATURAS!$B$7:$B$27,DATOS!$I$2:$I$20000)&gt;0)*(DATOS!$K$2:$K$20000))/SUMPRODUCT((DATOS!$A$2:$A$20000=G828)*(DATOS!$G$2:$G$20000=CONFIG_METADATA!$B$4)*(COUNTIF(CONFIG_ASIGNATURAS!$B$7:$B$27,DATOS!$I$2:$I$20000)&gt;0)*1),"")))</f>
        <v/>
      </c>
      <c r="N828" t="str">
        <f>IF(M828="","",IF(M828="[FÓRMULA MANUAL]","",IFERROR(AVERAGEIFS(DATOS!$K$2:$K$20000,DATOS!$A$2:$A$20000,M828,DATOS!$G$2:$G$20000,CONFIG_METADATA!$B$4,DATOS!$I$2:$I$20000,"Armonía"),"")))</f>
        <v/>
      </c>
      <c r="O828" t="str">
        <f>IF(M828="","",IF(M828="[FÓRMULA MANUAL]","",IFERROR(AVERAGEIFS(DATOS!$K$2:$K$20000,DATOS!$A$2:$A$20000,M828,DATOS!$G$2:$G$20000,CONFIG_METADATA!$B$4,DATOS!$I$2:$I$20000,"Orquesta/Banda/Conjunto"),"")))</f>
        <v/>
      </c>
      <c r="P828" t="str">
        <f>IF(M828="","",IF(M828="[FÓRMULA MANUAL]","",IFERROR(AVERAGEIFS(DATOS!$K$2:$K$20000,DATOS!$A$2:$A$20000,M828,DATOS!$G$2:$G$20000,CONFIG_METADATA!$B$4,DATOS!$I$2:$I$20000,"Música de Cámara"),"")))</f>
        <v/>
      </c>
      <c r="Q828" t="str">
        <f>IF(M828="","",IF(M828="[FÓRMULA MANUAL]","",IFERROR(SUMPRODUCT((DATOS!$A$2:$A$20000=M828)*(DATOS!$G$2:$G$20000=CONFIG_METADATA!$B$4)*(COUNTIF(CONFIG_ASIGNATURAS!$B$7:$B$27,DATOS!$I$2:$I$20000)&gt;0)*(DATOS!$K$2:$K$20000))/SUMPRODUCT((DATOS!$A$2:$A$20000=M828)*(DATOS!$G$2:$G$20000=CONFIG_METADATA!$B$4)*(COUNTIF(CONFIG_ASIGNATURAS!$B$7:$B$27,DATOS!$I$2:$I$20000)&gt;0)*1),"")))</f>
        <v/>
      </c>
      <c r="T828" t="str">
        <f>IF(S828="","",IF(S828="[FÓRMULA MANUAL]","",IFERROR(AVERAGEIFS(DATOS!$K$2:$K$20000,DATOS!$A$2:$A$20000,S828,DATOS!$G$2:$G$20000,CONFIG_METADATA!$B$4,DATOS!$I$2:$I$20000,"Armonía"),"")))</f>
        <v/>
      </c>
      <c r="U828" t="str">
        <f>IF(S828="","",IF(S828="[FÓRMULA MANUAL]","",IFERROR(AVERAGEIFS(DATOS!$K$2:$K$20000,DATOS!$A$2:$A$20000,S828,DATOS!$G$2:$G$20000,CONFIG_METADATA!$B$4,DATOS!$I$2:$I$20000,"Orquesta/Banda/Conjunto"),"")))</f>
        <v/>
      </c>
      <c r="V828" t="str">
        <f>IF(S828="","",IF(S828="[FÓRMULA MANUAL]","",IFERROR(AVERAGEIFS(DATOS!$K$2:$K$20000,DATOS!$A$2:$A$20000,S828,DATOS!$G$2:$G$20000,CONFIG_METADATA!$B$4,DATOS!$I$2:$I$20000,"Música de Cámara"),"")))</f>
        <v/>
      </c>
      <c r="W828" t="str">
        <f>IF(S828="","",IF(S828="[FÓRMULA MANUAL]","",IFERROR(SUMPRODUCT((DATOS!$A$2:$A$20000=S828)*(DATOS!$G$2:$G$20000=CONFIG_METADATA!$B$4)*(COUNTIF(CONFIG_ASIGNATURAS!$B$7:$B$27,DATOS!$I$2:$I$20000)&gt;0)*(DATOS!$K$2:$K$20000))/SUMPRODUCT((DATOS!$A$2:$A$20000=S828)*(DATOS!$G$2:$G$20000=CONFIG_METADATA!$B$4)*(COUNTIF(CONFIG_ASIGNATURAS!$B$7:$B$27,DATOS!$I$2:$I$20000)&gt;0)*1),"")))</f>
        <v/>
      </c>
      <c r="Z828" t="str">
        <f>IF(Y828="","",IF(Y828="[FÓRMULA MANUAL]","",IFERROR(AVERAGEIFS(DATOS!$K$2:$K$20000,DATOS!$A$2:$A$20000,Y828,DATOS!$G$2:$G$20000,CONFIG_METADATA!$B$4,DATOS!$I$2:$I$20000,"Análisis"),"")))</f>
        <v/>
      </c>
      <c r="AA828" t="str">
        <f>IF(Y828="","",IF(Y828="[FÓRMULA MANUAL]","",IFERROR(AVERAGEIFS(DATOS!$K$2:$K$20000,DATOS!$A$2:$A$20000,Y828,DATOS!$G$2:$G$20000,CONFIG_METADATA!$B$4,DATOS!$I$2:$I$20000,"Orquesta/Banda/Conjunto"),"")))</f>
        <v/>
      </c>
      <c r="AB828" t="str">
        <f>IF(Y828="","",IF(Y828="[FÓRMULA MANUAL]","",IFERROR(AVERAGEIFS(DATOS!$K$2:$K$20000,DATOS!$A$2:$A$20000,Y828,DATOS!$G$2:$G$20000,CONFIG_METADATA!$B$4,DATOS!$I$2:$I$20000,"Música de Cámara"),"")))</f>
        <v/>
      </c>
      <c r="AC828" t="str">
        <f>IF(Y828="","",IF(Y828="[FÓRMULA MANUAL]","",IFERROR(SUMPRODUCT((DATOS!$A$2:$A$20000=Y828)*(DATOS!$G$2:$G$20000=CONFIG_METADATA!$B$4)*(COUNTIF(CONFIG_ASIGNATURAS!$B$7:$B$27,DATOS!$I$2:$I$20000)&gt;0)*(DATOS!$K$2:$K$20000))/SUMPRODUCT((DATOS!$A$2:$A$20000=Y828)*(DATOS!$G$2:$G$20000=CONFIG_METADATA!$B$4)*(COUNTIF(CONFIG_ASIGNATURAS!$B$7:$B$27,DATOS!$I$2:$I$20000)&gt;0)*1),"")))</f>
        <v/>
      </c>
      <c r="AF828" t="str">
        <f>IF(AE828="","",IF(AE828="[FÓRMULA MANUAL]","",IFERROR(AVERAGEIFS(DATOS!$K$2:$K$20000,DATOS!$A$2:$A$20000,AE828,DATOS!$G$2:$G$20000,CONFIG_METADATA!$B$4,DATOS!$I$2:$I$20000,"Análisis"),"")))</f>
        <v/>
      </c>
      <c r="AG828" t="str">
        <f>IF(AE828="","",IF(AE828="[FÓRMULA MANUAL]","",IFERROR(AVERAGEIFS(DATOS!$K$2:$K$20000,DATOS!$A$2:$A$20000,AE828,DATOS!$G$2:$G$20000,CONFIG_METADATA!$B$4,DATOS!$I$2:$I$20000,"Orquesta/Banda/Conjunto"),"")))</f>
        <v/>
      </c>
      <c r="AH828" t="str">
        <f>IF(AE828="","",IF(AE828="[FÓRMULA MANUAL]","",IFERROR(AVERAGEIFS(DATOS!$K$2:$K$20000,DATOS!$A$2:$A$20000,AE828,DATOS!$G$2:$G$20000,CONFIG_METADATA!$B$4,DATOS!$I$2:$I$20000,"Música de Cámara"),"")))</f>
        <v/>
      </c>
      <c r="AI828" t="str">
        <f>IF(AE828="","",IF(AE828="[FÓRMULA MANUAL]","",IFERROR(SUMPRODUCT((DATOS!$A$2:$A$20000=AE828)*(DATOS!$G$2:$G$20000=CONFIG_METADATA!$B$4)*(COUNTIF(CONFIG_ASIGNATURAS!$B$7:$B$27,DATOS!$I$2:$I$20000)&gt;0)*(DATOS!$K$2:$K$20000))/SUMPRODUCT((DATOS!$A$2:$A$20000=AE828)*(DATOS!$G$2:$G$20000=CONFIG_METADATA!$B$4)*(COUNTIF(CONFIG_ASIGNATURAS!$B$7:$B$27,DATOS!$I$2:$I$20000)&gt;0)*1),"")))</f>
        <v/>
      </c>
    </row>
    <row r="829" spans="2:35" x14ac:dyDescent="0.2">
      <c r="B829" t="str">
        <f>IF(A829="","",IF(A829="[FÓRMULA MANUAL]","",IFERROR(AVERAGEIFS(DATOS!$K$2:$K$20000,DATOS!$A$2:$A$20000,A829,DATOS!$G$2:$G$20000,CONFIG_METADATA!$B$4,DATOS!$I$2:$I$20000,"Lenguaje Musical"),"")))</f>
        <v/>
      </c>
      <c r="C829" t="str">
        <f>IF(A829="","",IF(A829="[FÓRMULA MANUAL]","",IFERROR(AVERAGEIFS(DATOS!$K$2:$K$20000,DATOS!$A$2:$A$20000,A829,DATOS!$G$2:$G$20000,CONFIG_METADATA!$B$4,DATOS!$I$2:$I$20000,"Orquesta/Banda/Conjunto"),"")))</f>
        <v/>
      </c>
      <c r="D829" t="str">
        <f>IF(A829="","",IF(A829="[FÓRMULA MANUAL]","",IFERROR(AVERAGEIFS(DATOS!$K$2:$K$20000,DATOS!$A$2:$A$20000,A829,DATOS!$G$2:$G$20000,CONFIG_METADATA!$B$4,DATOS!$I$2:$I$20000,"Conjunto"),"")))</f>
        <v/>
      </c>
      <c r="E829" t="str">
        <f>IF(A829="","",IF(A829="[FÓRMULA MANUAL]","",IFERROR(SUMPRODUCT((DATOS!$A$2:$A$20000=A829)*(DATOS!$G$2:$G$20000=CONFIG_METADATA!$B$4)*(COUNTIF(CONFIG_ASIGNATURAS!$B$7:$B$27,DATOS!$I$2:$I$20000)&gt;0)*(DATOS!$K$2:$K$20000))/SUMPRODUCT((DATOS!$A$2:$A$20000=A829)*(DATOS!$G$2:$G$20000=CONFIG_METADATA!$B$4)*(COUNTIF(CONFIG_ASIGNATURAS!$B$7:$B$27,DATOS!$I$2:$I$20000)&gt;0)*1),"")))</f>
        <v/>
      </c>
      <c r="H829" t="str">
        <f>IF(G829="","",IF(G829="[FÓRMULA MANUAL]","",IFERROR(AVERAGEIFS(DATOS!$K$2:$K$20000,DATOS!$A$2:$A$20000,G829,DATOS!$G$2:$G$20000,CONFIG_METADATA!$B$4,DATOS!$I$2:$I$20000,"Lenguaje Musical"),"")))</f>
        <v/>
      </c>
      <c r="I829" t="str">
        <f>IF(G829="","",IF(G829="[FÓRMULA MANUAL]","",IFERROR(AVERAGEIFS(DATOS!$K$2:$K$20000,DATOS!$A$2:$A$20000,G829,DATOS!$G$2:$G$20000,CONFIG_METADATA!$B$4,DATOS!$I$2:$I$20000,"Orquesta/Banda/Conjunto"),"")))</f>
        <v/>
      </c>
      <c r="J829" t="str">
        <f>IF(G829="","",IF(G829="[FÓRMULA MANUAL]","",IFERROR(AVERAGEIFS(DATOS!$K$2:$K$20000,DATOS!$A$2:$A$20000,G829,DATOS!$G$2:$G$20000,CONFIG_METADATA!$B$4,DATOS!$I$2:$I$20000,"Conjunto"),"")))</f>
        <v/>
      </c>
      <c r="K829" t="str">
        <f>IF(G829="","",IF(G829="[FÓRMULA MANUAL]","",IFERROR(SUMPRODUCT((DATOS!$A$2:$A$20000=G829)*(DATOS!$G$2:$G$20000=CONFIG_METADATA!$B$4)*(COUNTIF(CONFIG_ASIGNATURAS!$B$7:$B$27,DATOS!$I$2:$I$20000)&gt;0)*(DATOS!$K$2:$K$20000))/SUMPRODUCT((DATOS!$A$2:$A$20000=G829)*(DATOS!$G$2:$G$20000=CONFIG_METADATA!$B$4)*(COUNTIF(CONFIG_ASIGNATURAS!$B$7:$B$27,DATOS!$I$2:$I$20000)&gt;0)*1),"")))</f>
        <v/>
      </c>
      <c r="N829" t="str">
        <f>IF(M829="","",IF(M829="[FÓRMULA MANUAL]","",IFERROR(AVERAGEIFS(DATOS!$K$2:$K$20000,DATOS!$A$2:$A$20000,M829,DATOS!$G$2:$G$20000,CONFIG_METADATA!$B$4,DATOS!$I$2:$I$20000,"Armonía"),"")))</f>
        <v/>
      </c>
      <c r="O829" t="str">
        <f>IF(M829="","",IF(M829="[FÓRMULA MANUAL]","",IFERROR(AVERAGEIFS(DATOS!$K$2:$K$20000,DATOS!$A$2:$A$20000,M829,DATOS!$G$2:$G$20000,CONFIG_METADATA!$B$4,DATOS!$I$2:$I$20000,"Orquesta/Banda/Conjunto"),"")))</f>
        <v/>
      </c>
      <c r="P829" t="str">
        <f>IF(M829="","",IF(M829="[FÓRMULA MANUAL]","",IFERROR(AVERAGEIFS(DATOS!$K$2:$K$20000,DATOS!$A$2:$A$20000,M829,DATOS!$G$2:$G$20000,CONFIG_METADATA!$B$4,DATOS!$I$2:$I$20000,"Música de Cámara"),"")))</f>
        <v/>
      </c>
      <c r="Q829" t="str">
        <f>IF(M829="","",IF(M829="[FÓRMULA MANUAL]","",IFERROR(SUMPRODUCT((DATOS!$A$2:$A$20000=M829)*(DATOS!$G$2:$G$20000=CONFIG_METADATA!$B$4)*(COUNTIF(CONFIG_ASIGNATURAS!$B$7:$B$27,DATOS!$I$2:$I$20000)&gt;0)*(DATOS!$K$2:$K$20000))/SUMPRODUCT((DATOS!$A$2:$A$20000=M829)*(DATOS!$G$2:$G$20000=CONFIG_METADATA!$B$4)*(COUNTIF(CONFIG_ASIGNATURAS!$B$7:$B$27,DATOS!$I$2:$I$20000)&gt;0)*1),"")))</f>
        <v/>
      </c>
      <c r="T829" t="str">
        <f>IF(S829="","",IF(S829="[FÓRMULA MANUAL]","",IFERROR(AVERAGEIFS(DATOS!$K$2:$K$20000,DATOS!$A$2:$A$20000,S829,DATOS!$G$2:$G$20000,CONFIG_METADATA!$B$4,DATOS!$I$2:$I$20000,"Armonía"),"")))</f>
        <v/>
      </c>
      <c r="U829" t="str">
        <f>IF(S829="","",IF(S829="[FÓRMULA MANUAL]","",IFERROR(AVERAGEIFS(DATOS!$K$2:$K$20000,DATOS!$A$2:$A$20000,S829,DATOS!$G$2:$G$20000,CONFIG_METADATA!$B$4,DATOS!$I$2:$I$20000,"Orquesta/Banda/Conjunto"),"")))</f>
        <v/>
      </c>
      <c r="V829" t="str">
        <f>IF(S829="","",IF(S829="[FÓRMULA MANUAL]","",IFERROR(AVERAGEIFS(DATOS!$K$2:$K$20000,DATOS!$A$2:$A$20000,S829,DATOS!$G$2:$G$20000,CONFIG_METADATA!$B$4,DATOS!$I$2:$I$20000,"Música de Cámara"),"")))</f>
        <v/>
      </c>
      <c r="W829" t="str">
        <f>IF(S829="","",IF(S829="[FÓRMULA MANUAL]","",IFERROR(SUMPRODUCT((DATOS!$A$2:$A$20000=S829)*(DATOS!$G$2:$G$20000=CONFIG_METADATA!$B$4)*(COUNTIF(CONFIG_ASIGNATURAS!$B$7:$B$27,DATOS!$I$2:$I$20000)&gt;0)*(DATOS!$K$2:$K$20000))/SUMPRODUCT((DATOS!$A$2:$A$20000=S829)*(DATOS!$G$2:$G$20000=CONFIG_METADATA!$B$4)*(COUNTIF(CONFIG_ASIGNATURAS!$B$7:$B$27,DATOS!$I$2:$I$20000)&gt;0)*1),"")))</f>
        <v/>
      </c>
      <c r="Z829" t="str">
        <f>IF(Y829="","",IF(Y829="[FÓRMULA MANUAL]","",IFERROR(AVERAGEIFS(DATOS!$K$2:$K$20000,DATOS!$A$2:$A$20000,Y829,DATOS!$G$2:$G$20000,CONFIG_METADATA!$B$4,DATOS!$I$2:$I$20000,"Análisis"),"")))</f>
        <v/>
      </c>
      <c r="AA829" t="str">
        <f>IF(Y829="","",IF(Y829="[FÓRMULA MANUAL]","",IFERROR(AVERAGEIFS(DATOS!$K$2:$K$20000,DATOS!$A$2:$A$20000,Y829,DATOS!$G$2:$G$20000,CONFIG_METADATA!$B$4,DATOS!$I$2:$I$20000,"Orquesta/Banda/Conjunto"),"")))</f>
        <v/>
      </c>
      <c r="AB829" t="str">
        <f>IF(Y829="","",IF(Y829="[FÓRMULA MANUAL]","",IFERROR(AVERAGEIFS(DATOS!$K$2:$K$20000,DATOS!$A$2:$A$20000,Y829,DATOS!$G$2:$G$20000,CONFIG_METADATA!$B$4,DATOS!$I$2:$I$20000,"Música de Cámara"),"")))</f>
        <v/>
      </c>
      <c r="AC829" t="str">
        <f>IF(Y829="","",IF(Y829="[FÓRMULA MANUAL]","",IFERROR(SUMPRODUCT((DATOS!$A$2:$A$20000=Y829)*(DATOS!$G$2:$G$20000=CONFIG_METADATA!$B$4)*(COUNTIF(CONFIG_ASIGNATURAS!$B$7:$B$27,DATOS!$I$2:$I$20000)&gt;0)*(DATOS!$K$2:$K$20000))/SUMPRODUCT((DATOS!$A$2:$A$20000=Y829)*(DATOS!$G$2:$G$20000=CONFIG_METADATA!$B$4)*(COUNTIF(CONFIG_ASIGNATURAS!$B$7:$B$27,DATOS!$I$2:$I$20000)&gt;0)*1),"")))</f>
        <v/>
      </c>
      <c r="AF829" t="str">
        <f>IF(AE829="","",IF(AE829="[FÓRMULA MANUAL]","",IFERROR(AVERAGEIFS(DATOS!$K$2:$K$20000,DATOS!$A$2:$A$20000,AE829,DATOS!$G$2:$G$20000,CONFIG_METADATA!$B$4,DATOS!$I$2:$I$20000,"Análisis"),"")))</f>
        <v/>
      </c>
      <c r="AG829" t="str">
        <f>IF(AE829="","",IF(AE829="[FÓRMULA MANUAL]","",IFERROR(AVERAGEIFS(DATOS!$K$2:$K$20000,DATOS!$A$2:$A$20000,AE829,DATOS!$G$2:$G$20000,CONFIG_METADATA!$B$4,DATOS!$I$2:$I$20000,"Orquesta/Banda/Conjunto"),"")))</f>
        <v/>
      </c>
      <c r="AH829" t="str">
        <f>IF(AE829="","",IF(AE829="[FÓRMULA MANUAL]","",IFERROR(AVERAGEIFS(DATOS!$K$2:$K$20000,DATOS!$A$2:$A$20000,AE829,DATOS!$G$2:$G$20000,CONFIG_METADATA!$B$4,DATOS!$I$2:$I$20000,"Música de Cámara"),"")))</f>
        <v/>
      </c>
      <c r="AI829" t="str">
        <f>IF(AE829="","",IF(AE829="[FÓRMULA MANUAL]","",IFERROR(SUMPRODUCT((DATOS!$A$2:$A$20000=AE829)*(DATOS!$G$2:$G$20000=CONFIG_METADATA!$B$4)*(COUNTIF(CONFIG_ASIGNATURAS!$B$7:$B$27,DATOS!$I$2:$I$20000)&gt;0)*(DATOS!$K$2:$K$20000))/SUMPRODUCT((DATOS!$A$2:$A$20000=AE829)*(DATOS!$G$2:$G$20000=CONFIG_METADATA!$B$4)*(COUNTIF(CONFIG_ASIGNATURAS!$B$7:$B$27,DATOS!$I$2:$I$20000)&gt;0)*1),"")))</f>
        <v/>
      </c>
    </row>
    <row r="830" spans="2:35" x14ac:dyDescent="0.2">
      <c r="B830" t="str">
        <f>IF(A830="","",IF(A830="[FÓRMULA MANUAL]","",IFERROR(AVERAGEIFS(DATOS!$K$2:$K$20000,DATOS!$A$2:$A$20000,A830,DATOS!$G$2:$G$20000,CONFIG_METADATA!$B$4,DATOS!$I$2:$I$20000,"Lenguaje Musical"),"")))</f>
        <v/>
      </c>
      <c r="C830" t="str">
        <f>IF(A830="","",IF(A830="[FÓRMULA MANUAL]","",IFERROR(AVERAGEIFS(DATOS!$K$2:$K$20000,DATOS!$A$2:$A$20000,A830,DATOS!$G$2:$G$20000,CONFIG_METADATA!$B$4,DATOS!$I$2:$I$20000,"Orquesta/Banda/Conjunto"),"")))</f>
        <v/>
      </c>
      <c r="D830" t="str">
        <f>IF(A830="","",IF(A830="[FÓRMULA MANUAL]","",IFERROR(AVERAGEIFS(DATOS!$K$2:$K$20000,DATOS!$A$2:$A$20000,A830,DATOS!$G$2:$G$20000,CONFIG_METADATA!$B$4,DATOS!$I$2:$I$20000,"Conjunto"),"")))</f>
        <v/>
      </c>
      <c r="E830" t="str">
        <f>IF(A830="","",IF(A830="[FÓRMULA MANUAL]","",IFERROR(SUMPRODUCT((DATOS!$A$2:$A$20000=A830)*(DATOS!$G$2:$G$20000=CONFIG_METADATA!$B$4)*(COUNTIF(CONFIG_ASIGNATURAS!$B$7:$B$27,DATOS!$I$2:$I$20000)&gt;0)*(DATOS!$K$2:$K$20000))/SUMPRODUCT((DATOS!$A$2:$A$20000=A830)*(DATOS!$G$2:$G$20000=CONFIG_METADATA!$B$4)*(COUNTIF(CONFIG_ASIGNATURAS!$B$7:$B$27,DATOS!$I$2:$I$20000)&gt;0)*1),"")))</f>
        <v/>
      </c>
      <c r="H830" t="str">
        <f>IF(G830="","",IF(G830="[FÓRMULA MANUAL]","",IFERROR(AVERAGEIFS(DATOS!$K$2:$K$20000,DATOS!$A$2:$A$20000,G830,DATOS!$G$2:$G$20000,CONFIG_METADATA!$B$4,DATOS!$I$2:$I$20000,"Lenguaje Musical"),"")))</f>
        <v/>
      </c>
      <c r="I830" t="str">
        <f>IF(G830="","",IF(G830="[FÓRMULA MANUAL]","",IFERROR(AVERAGEIFS(DATOS!$K$2:$K$20000,DATOS!$A$2:$A$20000,G830,DATOS!$G$2:$G$20000,CONFIG_METADATA!$B$4,DATOS!$I$2:$I$20000,"Orquesta/Banda/Conjunto"),"")))</f>
        <v/>
      </c>
      <c r="J830" t="str">
        <f>IF(G830="","",IF(G830="[FÓRMULA MANUAL]","",IFERROR(AVERAGEIFS(DATOS!$K$2:$K$20000,DATOS!$A$2:$A$20000,G830,DATOS!$G$2:$G$20000,CONFIG_METADATA!$B$4,DATOS!$I$2:$I$20000,"Conjunto"),"")))</f>
        <v/>
      </c>
      <c r="K830" t="str">
        <f>IF(G830="","",IF(G830="[FÓRMULA MANUAL]","",IFERROR(SUMPRODUCT((DATOS!$A$2:$A$20000=G830)*(DATOS!$G$2:$G$20000=CONFIG_METADATA!$B$4)*(COUNTIF(CONFIG_ASIGNATURAS!$B$7:$B$27,DATOS!$I$2:$I$20000)&gt;0)*(DATOS!$K$2:$K$20000))/SUMPRODUCT((DATOS!$A$2:$A$20000=G830)*(DATOS!$G$2:$G$20000=CONFIG_METADATA!$B$4)*(COUNTIF(CONFIG_ASIGNATURAS!$B$7:$B$27,DATOS!$I$2:$I$20000)&gt;0)*1),"")))</f>
        <v/>
      </c>
      <c r="N830" t="str">
        <f>IF(M830="","",IF(M830="[FÓRMULA MANUAL]","",IFERROR(AVERAGEIFS(DATOS!$K$2:$K$20000,DATOS!$A$2:$A$20000,M830,DATOS!$G$2:$G$20000,CONFIG_METADATA!$B$4,DATOS!$I$2:$I$20000,"Armonía"),"")))</f>
        <v/>
      </c>
      <c r="O830" t="str">
        <f>IF(M830="","",IF(M830="[FÓRMULA MANUAL]","",IFERROR(AVERAGEIFS(DATOS!$K$2:$K$20000,DATOS!$A$2:$A$20000,M830,DATOS!$G$2:$G$20000,CONFIG_METADATA!$B$4,DATOS!$I$2:$I$20000,"Orquesta/Banda/Conjunto"),"")))</f>
        <v/>
      </c>
      <c r="P830" t="str">
        <f>IF(M830="","",IF(M830="[FÓRMULA MANUAL]","",IFERROR(AVERAGEIFS(DATOS!$K$2:$K$20000,DATOS!$A$2:$A$20000,M830,DATOS!$G$2:$G$20000,CONFIG_METADATA!$B$4,DATOS!$I$2:$I$20000,"Música de Cámara"),"")))</f>
        <v/>
      </c>
      <c r="Q830" t="str">
        <f>IF(M830="","",IF(M830="[FÓRMULA MANUAL]","",IFERROR(SUMPRODUCT((DATOS!$A$2:$A$20000=M830)*(DATOS!$G$2:$G$20000=CONFIG_METADATA!$B$4)*(COUNTIF(CONFIG_ASIGNATURAS!$B$7:$B$27,DATOS!$I$2:$I$20000)&gt;0)*(DATOS!$K$2:$K$20000))/SUMPRODUCT((DATOS!$A$2:$A$20000=M830)*(DATOS!$G$2:$G$20000=CONFIG_METADATA!$B$4)*(COUNTIF(CONFIG_ASIGNATURAS!$B$7:$B$27,DATOS!$I$2:$I$20000)&gt;0)*1),"")))</f>
        <v/>
      </c>
      <c r="T830" t="str">
        <f>IF(S830="","",IF(S830="[FÓRMULA MANUAL]","",IFERROR(AVERAGEIFS(DATOS!$K$2:$K$20000,DATOS!$A$2:$A$20000,S830,DATOS!$G$2:$G$20000,CONFIG_METADATA!$B$4,DATOS!$I$2:$I$20000,"Armonía"),"")))</f>
        <v/>
      </c>
      <c r="U830" t="str">
        <f>IF(S830="","",IF(S830="[FÓRMULA MANUAL]","",IFERROR(AVERAGEIFS(DATOS!$K$2:$K$20000,DATOS!$A$2:$A$20000,S830,DATOS!$G$2:$G$20000,CONFIG_METADATA!$B$4,DATOS!$I$2:$I$20000,"Orquesta/Banda/Conjunto"),"")))</f>
        <v/>
      </c>
      <c r="V830" t="str">
        <f>IF(S830="","",IF(S830="[FÓRMULA MANUAL]","",IFERROR(AVERAGEIFS(DATOS!$K$2:$K$20000,DATOS!$A$2:$A$20000,S830,DATOS!$G$2:$G$20000,CONFIG_METADATA!$B$4,DATOS!$I$2:$I$20000,"Música de Cámara"),"")))</f>
        <v/>
      </c>
      <c r="W830" t="str">
        <f>IF(S830="","",IF(S830="[FÓRMULA MANUAL]","",IFERROR(SUMPRODUCT((DATOS!$A$2:$A$20000=S830)*(DATOS!$G$2:$G$20000=CONFIG_METADATA!$B$4)*(COUNTIF(CONFIG_ASIGNATURAS!$B$7:$B$27,DATOS!$I$2:$I$20000)&gt;0)*(DATOS!$K$2:$K$20000))/SUMPRODUCT((DATOS!$A$2:$A$20000=S830)*(DATOS!$G$2:$G$20000=CONFIG_METADATA!$B$4)*(COUNTIF(CONFIG_ASIGNATURAS!$B$7:$B$27,DATOS!$I$2:$I$20000)&gt;0)*1),"")))</f>
        <v/>
      </c>
      <c r="Z830" t="str">
        <f>IF(Y830="","",IF(Y830="[FÓRMULA MANUAL]","",IFERROR(AVERAGEIFS(DATOS!$K$2:$K$20000,DATOS!$A$2:$A$20000,Y830,DATOS!$G$2:$G$20000,CONFIG_METADATA!$B$4,DATOS!$I$2:$I$20000,"Análisis"),"")))</f>
        <v/>
      </c>
      <c r="AA830" t="str">
        <f>IF(Y830="","",IF(Y830="[FÓRMULA MANUAL]","",IFERROR(AVERAGEIFS(DATOS!$K$2:$K$20000,DATOS!$A$2:$A$20000,Y830,DATOS!$G$2:$G$20000,CONFIG_METADATA!$B$4,DATOS!$I$2:$I$20000,"Orquesta/Banda/Conjunto"),"")))</f>
        <v/>
      </c>
      <c r="AB830" t="str">
        <f>IF(Y830="","",IF(Y830="[FÓRMULA MANUAL]","",IFERROR(AVERAGEIFS(DATOS!$K$2:$K$20000,DATOS!$A$2:$A$20000,Y830,DATOS!$G$2:$G$20000,CONFIG_METADATA!$B$4,DATOS!$I$2:$I$20000,"Música de Cámara"),"")))</f>
        <v/>
      </c>
      <c r="AC830" t="str">
        <f>IF(Y830="","",IF(Y830="[FÓRMULA MANUAL]","",IFERROR(SUMPRODUCT((DATOS!$A$2:$A$20000=Y830)*(DATOS!$G$2:$G$20000=CONFIG_METADATA!$B$4)*(COUNTIF(CONFIG_ASIGNATURAS!$B$7:$B$27,DATOS!$I$2:$I$20000)&gt;0)*(DATOS!$K$2:$K$20000))/SUMPRODUCT((DATOS!$A$2:$A$20000=Y830)*(DATOS!$G$2:$G$20000=CONFIG_METADATA!$B$4)*(COUNTIF(CONFIG_ASIGNATURAS!$B$7:$B$27,DATOS!$I$2:$I$20000)&gt;0)*1),"")))</f>
        <v/>
      </c>
      <c r="AF830" t="str">
        <f>IF(AE830="","",IF(AE830="[FÓRMULA MANUAL]","",IFERROR(AVERAGEIFS(DATOS!$K$2:$K$20000,DATOS!$A$2:$A$20000,AE830,DATOS!$G$2:$G$20000,CONFIG_METADATA!$B$4,DATOS!$I$2:$I$20000,"Análisis"),"")))</f>
        <v/>
      </c>
      <c r="AG830" t="str">
        <f>IF(AE830="","",IF(AE830="[FÓRMULA MANUAL]","",IFERROR(AVERAGEIFS(DATOS!$K$2:$K$20000,DATOS!$A$2:$A$20000,AE830,DATOS!$G$2:$G$20000,CONFIG_METADATA!$B$4,DATOS!$I$2:$I$20000,"Orquesta/Banda/Conjunto"),"")))</f>
        <v/>
      </c>
      <c r="AH830" t="str">
        <f>IF(AE830="","",IF(AE830="[FÓRMULA MANUAL]","",IFERROR(AVERAGEIFS(DATOS!$K$2:$K$20000,DATOS!$A$2:$A$20000,AE830,DATOS!$G$2:$G$20000,CONFIG_METADATA!$B$4,DATOS!$I$2:$I$20000,"Música de Cámara"),"")))</f>
        <v/>
      </c>
      <c r="AI830" t="str">
        <f>IF(AE830="","",IF(AE830="[FÓRMULA MANUAL]","",IFERROR(SUMPRODUCT((DATOS!$A$2:$A$20000=AE830)*(DATOS!$G$2:$G$20000=CONFIG_METADATA!$B$4)*(COUNTIF(CONFIG_ASIGNATURAS!$B$7:$B$27,DATOS!$I$2:$I$20000)&gt;0)*(DATOS!$K$2:$K$20000))/SUMPRODUCT((DATOS!$A$2:$A$20000=AE830)*(DATOS!$G$2:$G$20000=CONFIG_METADATA!$B$4)*(COUNTIF(CONFIG_ASIGNATURAS!$B$7:$B$27,DATOS!$I$2:$I$20000)&gt;0)*1),"")))</f>
        <v/>
      </c>
    </row>
    <row r="831" spans="2:35" x14ac:dyDescent="0.2">
      <c r="B831" t="str">
        <f>IF(A831="","",IF(A831="[FÓRMULA MANUAL]","",IFERROR(AVERAGEIFS(DATOS!$K$2:$K$20000,DATOS!$A$2:$A$20000,A831,DATOS!$G$2:$G$20000,CONFIG_METADATA!$B$4,DATOS!$I$2:$I$20000,"Lenguaje Musical"),"")))</f>
        <v/>
      </c>
      <c r="C831" t="str">
        <f>IF(A831="","",IF(A831="[FÓRMULA MANUAL]","",IFERROR(AVERAGEIFS(DATOS!$K$2:$K$20000,DATOS!$A$2:$A$20000,A831,DATOS!$G$2:$G$20000,CONFIG_METADATA!$B$4,DATOS!$I$2:$I$20000,"Orquesta/Banda/Conjunto"),"")))</f>
        <v/>
      </c>
      <c r="D831" t="str">
        <f>IF(A831="","",IF(A831="[FÓRMULA MANUAL]","",IFERROR(AVERAGEIFS(DATOS!$K$2:$K$20000,DATOS!$A$2:$A$20000,A831,DATOS!$G$2:$G$20000,CONFIG_METADATA!$B$4,DATOS!$I$2:$I$20000,"Conjunto"),"")))</f>
        <v/>
      </c>
      <c r="E831" t="str">
        <f>IF(A831="","",IF(A831="[FÓRMULA MANUAL]","",IFERROR(SUMPRODUCT((DATOS!$A$2:$A$20000=A831)*(DATOS!$G$2:$G$20000=CONFIG_METADATA!$B$4)*(COUNTIF(CONFIG_ASIGNATURAS!$B$7:$B$27,DATOS!$I$2:$I$20000)&gt;0)*(DATOS!$K$2:$K$20000))/SUMPRODUCT((DATOS!$A$2:$A$20000=A831)*(DATOS!$G$2:$G$20000=CONFIG_METADATA!$B$4)*(COUNTIF(CONFIG_ASIGNATURAS!$B$7:$B$27,DATOS!$I$2:$I$20000)&gt;0)*1),"")))</f>
        <v/>
      </c>
      <c r="H831" t="str">
        <f>IF(G831="","",IF(G831="[FÓRMULA MANUAL]","",IFERROR(AVERAGEIFS(DATOS!$K$2:$K$20000,DATOS!$A$2:$A$20000,G831,DATOS!$G$2:$G$20000,CONFIG_METADATA!$B$4,DATOS!$I$2:$I$20000,"Lenguaje Musical"),"")))</f>
        <v/>
      </c>
      <c r="I831" t="str">
        <f>IF(G831="","",IF(G831="[FÓRMULA MANUAL]","",IFERROR(AVERAGEIFS(DATOS!$K$2:$K$20000,DATOS!$A$2:$A$20000,G831,DATOS!$G$2:$G$20000,CONFIG_METADATA!$B$4,DATOS!$I$2:$I$20000,"Orquesta/Banda/Conjunto"),"")))</f>
        <v/>
      </c>
      <c r="J831" t="str">
        <f>IF(G831="","",IF(G831="[FÓRMULA MANUAL]","",IFERROR(AVERAGEIFS(DATOS!$K$2:$K$20000,DATOS!$A$2:$A$20000,G831,DATOS!$G$2:$G$20000,CONFIG_METADATA!$B$4,DATOS!$I$2:$I$20000,"Conjunto"),"")))</f>
        <v/>
      </c>
      <c r="K831" t="str">
        <f>IF(G831="","",IF(G831="[FÓRMULA MANUAL]","",IFERROR(SUMPRODUCT((DATOS!$A$2:$A$20000=G831)*(DATOS!$G$2:$G$20000=CONFIG_METADATA!$B$4)*(COUNTIF(CONFIG_ASIGNATURAS!$B$7:$B$27,DATOS!$I$2:$I$20000)&gt;0)*(DATOS!$K$2:$K$20000))/SUMPRODUCT((DATOS!$A$2:$A$20000=G831)*(DATOS!$G$2:$G$20000=CONFIG_METADATA!$B$4)*(COUNTIF(CONFIG_ASIGNATURAS!$B$7:$B$27,DATOS!$I$2:$I$20000)&gt;0)*1),"")))</f>
        <v/>
      </c>
      <c r="N831" t="str">
        <f>IF(M831="","",IF(M831="[FÓRMULA MANUAL]","",IFERROR(AVERAGEIFS(DATOS!$K$2:$K$20000,DATOS!$A$2:$A$20000,M831,DATOS!$G$2:$G$20000,CONFIG_METADATA!$B$4,DATOS!$I$2:$I$20000,"Armonía"),"")))</f>
        <v/>
      </c>
      <c r="O831" t="str">
        <f>IF(M831="","",IF(M831="[FÓRMULA MANUAL]","",IFERROR(AVERAGEIFS(DATOS!$K$2:$K$20000,DATOS!$A$2:$A$20000,M831,DATOS!$G$2:$G$20000,CONFIG_METADATA!$B$4,DATOS!$I$2:$I$20000,"Orquesta/Banda/Conjunto"),"")))</f>
        <v/>
      </c>
      <c r="P831" t="str">
        <f>IF(M831="","",IF(M831="[FÓRMULA MANUAL]","",IFERROR(AVERAGEIFS(DATOS!$K$2:$K$20000,DATOS!$A$2:$A$20000,M831,DATOS!$G$2:$G$20000,CONFIG_METADATA!$B$4,DATOS!$I$2:$I$20000,"Música de Cámara"),"")))</f>
        <v/>
      </c>
      <c r="Q831" t="str">
        <f>IF(M831="","",IF(M831="[FÓRMULA MANUAL]","",IFERROR(SUMPRODUCT((DATOS!$A$2:$A$20000=M831)*(DATOS!$G$2:$G$20000=CONFIG_METADATA!$B$4)*(COUNTIF(CONFIG_ASIGNATURAS!$B$7:$B$27,DATOS!$I$2:$I$20000)&gt;0)*(DATOS!$K$2:$K$20000))/SUMPRODUCT((DATOS!$A$2:$A$20000=M831)*(DATOS!$G$2:$G$20000=CONFIG_METADATA!$B$4)*(COUNTIF(CONFIG_ASIGNATURAS!$B$7:$B$27,DATOS!$I$2:$I$20000)&gt;0)*1),"")))</f>
        <v/>
      </c>
      <c r="T831" t="str">
        <f>IF(S831="","",IF(S831="[FÓRMULA MANUAL]","",IFERROR(AVERAGEIFS(DATOS!$K$2:$K$20000,DATOS!$A$2:$A$20000,S831,DATOS!$G$2:$G$20000,CONFIG_METADATA!$B$4,DATOS!$I$2:$I$20000,"Armonía"),"")))</f>
        <v/>
      </c>
      <c r="U831" t="str">
        <f>IF(S831="","",IF(S831="[FÓRMULA MANUAL]","",IFERROR(AVERAGEIFS(DATOS!$K$2:$K$20000,DATOS!$A$2:$A$20000,S831,DATOS!$G$2:$G$20000,CONFIG_METADATA!$B$4,DATOS!$I$2:$I$20000,"Orquesta/Banda/Conjunto"),"")))</f>
        <v/>
      </c>
      <c r="V831" t="str">
        <f>IF(S831="","",IF(S831="[FÓRMULA MANUAL]","",IFERROR(AVERAGEIFS(DATOS!$K$2:$K$20000,DATOS!$A$2:$A$20000,S831,DATOS!$G$2:$G$20000,CONFIG_METADATA!$B$4,DATOS!$I$2:$I$20000,"Música de Cámara"),"")))</f>
        <v/>
      </c>
      <c r="W831" t="str">
        <f>IF(S831="","",IF(S831="[FÓRMULA MANUAL]","",IFERROR(SUMPRODUCT((DATOS!$A$2:$A$20000=S831)*(DATOS!$G$2:$G$20000=CONFIG_METADATA!$B$4)*(COUNTIF(CONFIG_ASIGNATURAS!$B$7:$B$27,DATOS!$I$2:$I$20000)&gt;0)*(DATOS!$K$2:$K$20000))/SUMPRODUCT((DATOS!$A$2:$A$20000=S831)*(DATOS!$G$2:$G$20000=CONFIG_METADATA!$B$4)*(COUNTIF(CONFIG_ASIGNATURAS!$B$7:$B$27,DATOS!$I$2:$I$20000)&gt;0)*1),"")))</f>
        <v/>
      </c>
      <c r="Z831" t="str">
        <f>IF(Y831="","",IF(Y831="[FÓRMULA MANUAL]","",IFERROR(AVERAGEIFS(DATOS!$K$2:$K$20000,DATOS!$A$2:$A$20000,Y831,DATOS!$G$2:$G$20000,CONFIG_METADATA!$B$4,DATOS!$I$2:$I$20000,"Análisis"),"")))</f>
        <v/>
      </c>
      <c r="AA831" t="str">
        <f>IF(Y831="","",IF(Y831="[FÓRMULA MANUAL]","",IFERROR(AVERAGEIFS(DATOS!$K$2:$K$20000,DATOS!$A$2:$A$20000,Y831,DATOS!$G$2:$G$20000,CONFIG_METADATA!$B$4,DATOS!$I$2:$I$20000,"Orquesta/Banda/Conjunto"),"")))</f>
        <v/>
      </c>
      <c r="AB831" t="str">
        <f>IF(Y831="","",IF(Y831="[FÓRMULA MANUAL]","",IFERROR(AVERAGEIFS(DATOS!$K$2:$K$20000,DATOS!$A$2:$A$20000,Y831,DATOS!$G$2:$G$20000,CONFIG_METADATA!$B$4,DATOS!$I$2:$I$20000,"Música de Cámara"),"")))</f>
        <v/>
      </c>
      <c r="AC831" t="str">
        <f>IF(Y831="","",IF(Y831="[FÓRMULA MANUAL]","",IFERROR(SUMPRODUCT((DATOS!$A$2:$A$20000=Y831)*(DATOS!$G$2:$G$20000=CONFIG_METADATA!$B$4)*(COUNTIF(CONFIG_ASIGNATURAS!$B$7:$B$27,DATOS!$I$2:$I$20000)&gt;0)*(DATOS!$K$2:$K$20000))/SUMPRODUCT((DATOS!$A$2:$A$20000=Y831)*(DATOS!$G$2:$G$20000=CONFIG_METADATA!$B$4)*(COUNTIF(CONFIG_ASIGNATURAS!$B$7:$B$27,DATOS!$I$2:$I$20000)&gt;0)*1),"")))</f>
        <v/>
      </c>
      <c r="AF831" t="str">
        <f>IF(AE831="","",IF(AE831="[FÓRMULA MANUAL]","",IFERROR(AVERAGEIFS(DATOS!$K$2:$K$20000,DATOS!$A$2:$A$20000,AE831,DATOS!$G$2:$G$20000,CONFIG_METADATA!$B$4,DATOS!$I$2:$I$20000,"Análisis"),"")))</f>
        <v/>
      </c>
      <c r="AG831" t="str">
        <f>IF(AE831="","",IF(AE831="[FÓRMULA MANUAL]","",IFERROR(AVERAGEIFS(DATOS!$K$2:$K$20000,DATOS!$A$2:$A$20000,AE831,DATOS!$G$2:$G$20000,CONFIG_METADATA!$B$4,DATOS!$I$2:$I$20000,"Orquesta/Banda/Conjunto"),"")))</f>
        <v/>
      </c>
      <c r="AH831" t="str">
        <f>IF(AE831="","",IF(AE831="[FÓRMULA MANUAL]","",IFERROR(AVERAGEIFS(DATOS!$K$2:$K$20000,DATOS!$A$2:$A$20000,AE831,DATOS!$G$2:$G$20000,CONFIG_METADATA!$B$4,DATOS!$I$2:$I$20000,"Música de Cámara"),"")))</f>
        <v/>
      </c>
      <c r="AI831" t="str">
        <f>IF(AE831="","",IF(AE831="[FÓRMULA MANUAL]","",IFERROR(SUMPRODUCT((DATOS!$A$2:$A$20000=AE831)*(DATOS!$G$2:$G$20000=CONFIG_METADATA!$B$4)*(COUNTIF(CONFIG_ASIGNATURAS!$B$7:$B$27,DATOS!$I$2:$I$20000)&gt;0)*(DATOS!$K$2:$K$20000))/SUMPRODUCT((DATOS!$A$2:$A$20000=AE831)*(DATOS!$G$2:$G$20000=CONFIG_METADATA!$B$4)*(COUNTIF(CONFIG_ASIGNATURAS!$B$7:$B$27,DATOS!$I$2:$I$20000)&gt;0)*1),"")))</f>
        <v/>
      </c>
    </row>
    <row r="832" spans="2:35" x14ac:dyDescent="0.2">
      <c r="B832" t="str">
        <f>IF(A832="","",IF(A832="[FÓRMULA MANUAL]","",IFERROR(AVERAGEIFS(DATOS!$K$2:$K$20000,DATOS!$A$2:$A$20000,A832,DATOS!$G$2:$G$20000,CONFIG_METADATA!$B$4,DATOS!$I$2:$I$20000,"Lenguaje Musical"),"")))</f>
        <v/>
      </c>
      <c r="C832" t="str">
        <f>IF(A832="","",IF(A832="[FÓRMULA MANUAL]","",IFERROR(AVERAGEIFS(DATOS!$K$2:$K$20000,DATOS!$A$2:$A$20000,A832,DATOS!$G$2:$G$20000,CONFIG_METADATA!$B$4,DATOS!$I$2:$I$20000,"Orquesta/Banda/Conjunto"),"")))</f>
        <v/>
      </c>
      <c r="D832" t="str">
        <f>IF(A832="","",IF(A832="[FÓRMULA MANUAL]","",IFERROR(AVERAGEIFS(DATOS!$K$2:$K$20000,DATOS!$A$2:$A$20000,A832,DATOS!$G$2:$G$20000,CONFIG_METADATA!$B$4,DATOS!$I$2:$I$20000,"Conjunto"),"")))</f>
        <v/>
      </c>
      <c r="E832" t="str">
        <f>IF(A832="","",IF(A832="[FÓRMULA MANUAL]","",IFERROR(SUMPRODUCT((DATOS!$A$2:$A$20000=A832)*(DATOS!$G$2:$G$20000=CONFIG_METADATA!$B$4)*(COUNTIF(CONFIG_ASIGNATURAS!$B$7:$B$27,DATOS!$I$2:$I$20000)&gt;0)*(DATOS!$K$2:$K$20000))/SUMPRODUCT((DATOS!$A$2:$A$20000=A832)*(DATOS!$G$2:$G$20000=CONFIG_METADATA!$B$4)*(COUNTIF(CONFIG_ASIGNATURAS!$B$7:$B$27,DATOS!$I$2:$I$20000)&gt;0)*1),"")))</f>
        <v/>
      </c>
      <c r="H832" t="str">
        <f>IF(G832="","",IF(G832="[FÓRMULA MANUAL]","",IFERROR(AVERAGEIFS(DATOS!$K$2:$K$20000,DATOS!$A$2:$A$20000,G832,DATOS!$G$2:$G$20000,CONFIG_METADATA!$B$4,DATOS!$I$2:$I$20000,"Lenguaje Musical"),"")))</f>
        <v/>
      </c>
      <c r="I832" t="str">
        <f>IF(G832="","",IF(G832="[FÓRMULA MANUAL]","",IFERROR(AVERAGEIFS(DATOS!$K$2:$K$20000,DATOS!$A$2:$A$20000,G832,DATOS!$G$2:$G$20000,CONFIG_METADATA!$B$4,DATOS!$I$2:$I$20000,"Orquesta/Banda/Conjunto"),"")))</f>
        <v/>
      </c>
      <c r="J832" t="str">
        <f>IF(G832="","",IF(G832="[FÓRMULA MANUAL]","",IFERROR(AVERAGEIFS(DATOS!$K$2:$K$20000,DATOS!$A$2:$A$20000,G832,DATOS!$G$2:$G$20000,CONFIG_METADATA!$B$4,DATOS!$I$2:$I$20000,"Conjunto"),"")))</f>
        <v/>
      </c>
      <c r="K832" t="str">
        <f>IF(G832="","",IF(G832="[FÓRMULA MANUAL]","",IFERROR(SUMPRODUCT((DATOS!$A$2:$A$20000=G832)*(DATOS!$G$2:$G$20000=CONFIG_METADATA!$B$4)*(COUNTIF(CONFIG_ASIGNATURAS!$B$7:$B$27,DATOS!$I$2:$I$20000)&gt;0)*(DATOS!$K$2:$K$20000))/SUMPRODUCT((DATOS!$A$2:$A$20000=G832)*(DATOS!$G$2:$G$20000=CONFIG_METADATA!$B$4)*(COUNTIF(CONFIG_ASIGNATURAS!$B$7:$B$27,DATOS!$I$2:$I$20000)&gt;0)*1),"")))</f>
        <v/>
      </c>
      <c r="N832" t="str">
        <f>IF(M832="","",IF(M832="[FÓRMULA MANUAL]","",IFERROR(AVERAGEIFS(DATOS!$K$2:$K$20000,DATOS!$A$2:$A$20000,M832,DATOS!$G$2:$G$20000,CONFIG_METADATA!$B$4,DATOS!$I$2:$I$20000,"Armonía"),"")))</f>
        <v/>
      </c>
      <c r="O832" t="str">
        <f>IF(M832="","",IF(M832="[FÓRMULA MANUAL]","",IFERROR(AVERAGEIFS(DATOS!$K$2:$K$20000,DATOS!$A$2:$A$20000,M832,DATOS!$G$2:$G$20000,CONFIG_METADATA!$B$4,DATOS!$I$2:$I$20000,"Orquesta/Banda/Conjunto"),"")))</f>
        <v/>
      </c>
      <c r="P832" t="str">
        <f>IF(M832="","",IF(M832="[FÓRMULA MANUAL]","",IFERROR(AVERAGEIFS(DATOS!$K$2:$K$20000,DATOS!$A$2:$A$20000,M832,DATOS!$G$2:$G$20000,CONFIG_METADATA!$B$4,DATOS!$I$2:$I$20000,"Música de Cámara"),"")))</f>
        <v/>
      </c>
      <c r="Q832" t="str">
        <f>IF(M832="","",IF(M832="[FÓRMULA MANUAL]","",IFERROR(SUMPRODUCT((DATOS!$A$2:$A$20000=M832)*(DATOS!$G$2:$G$20000=CONFIG_METADATA!$B$4)*(COUNTIF(CONFIG_ASIGNATURAS!$B$7:$B$27,DATOS!$I$2:$I$20000)&gt;0)*(DATOS!$K$2:$K$20000))/SUMPRODUCT((DATOS!$A$2:$A$20000=M832)*(DATOS!$G$2:$G$20000=CONFIG_METADATA!$B$4)*(COUNTIF(CONFIG_ASIGNATURAS!$B$7:$B$27,DATOS!$I$2:$I$20000)&gt;0)*1),"")))</f>
        <v/>
      </c>
      <c r="T832" t="str">
        <f>IF(S832="","",IF(S832="[FÓRMULA MANUAL]","",IFERROR(AVERAGEIFS(DATOS!$K$2:$K$20000,DATOS!$A$2:$A$20000,S832,DATOS!$G$2:$G$20000,CONFIG_METADATA!$B$4,DATOS!$I$2:$I$20000,"Armonía"),"")))</f>
        <v/>
      </c>
      <c r="U832" t="str">
        <f>IF(S832="","",IF(S832="[FÓRMULA MANUAL]","",IFERROR(AVERAGEIFS(DATOS!$K$2:$K$20000,DATOS!$A$2:$A$20000,S832,DATOS!$G$2:$G$20000,CONFIG_METADATA!$B$4,DATOS!$I$2:$I$20000,"Orquesta/Banda/Conjunto"),"")))</f>
        <v/>
      </c>
      <c r="V832" t="str">
        <f>IF(S832="","",IF(S832="[FÓRMULA MANUAL]","",IFERROR(AVERAGEIFS(DATOS!$K$2:$K$20000,DATOS!$A$2:$A$20000,S832,DATOS!$G$2:$G$20000,CONFIG_METADATA!$B$4,DATOS!$I$2:$I$20000,"Música de Cámara"),"")))</f>
        <v/>
      </c>
      <c r="W832" t="str">
        <f>IF(S832="","",IF(S832="[FÓRMULA MANUAL]","",IFERROR(SUMPRODUCT((DATOS!$A$2:$A$20000=S832)*(DATOS!$G$2:$G$20000=CONFIG_METADATA!$B$4)*(COUNTIF(CONFIG_ASIGNATURAS!$B$7:$B$27,DATOS!$I$2:$I$20000)&gt;0)*(DATOS!$K$2:$K$20000))/SUMPRODUCT((DATOS!$A$2:$A$20000=S832)*(DATOS!$G$2:$G$20000=CONFIG_METADATA!$B$4)*(COUNTIF(CONFIG_ASIGNATURAS!$B$7:$B$27,DATOS!$I$2:$I$20000)&gt;0)*1),"")))</f>
        <v/>
      </c>
      <c r="Z832" t="str">
        <f>IF(Y832="","",IF(Y832="[FÓRMULA MANUAL]","",IFERROR(AVERAGEIFS(DATOS!$K$2:$K$20000,DATOS!$A$2:$A$20000,Y832,DATOS!$G$2:$G$20000,CONFIG_METADATA!$B$4,DATOS!$I$2:$I$20000,"Análisis"),"")))</f>
        <v/>
      </c>
      <c r="AA832" t="str">
        <f>IF(Y832="","",IF(Y832="[FÓRMULA MANUAL]","",IFERROR(AVERAGEIFS(DATOS!$K$2:$K$20000,DATOS!$A$2:$A$20000,Y832,DATOS!$G$2:$G$20000,CONFIG_METADATA!$B$4,DATOS!$I$2:$I$20000,"Orquesta/Banda/Conjunto"),"")))</f>
        <v/>
      </c>
      <c r="AB832" t="str">
        <f>IF(Y832="","",IF(Y832="[FÓRMULA MANUAL]","",IFERROR(AVERAGEIFS(DATOS!$K$2:$K$20000,DATOS!$A$2:$A$20000,Y832,DATOS!$G$2:$G$20000,CONFIG_METADATA!$B$4,DATOS!$I$2:$I$20000,"Música de Cámara"),"")))</f>
        <v/>
      </c>
      <c r="AC832" t="str">
        <f>IF(Y832="","",IF(Y832="[FÓRMULA MANUAL]","",IFERROR(SUMPRODUCT((DATOS!$A$2:$A$20000=Y832)*(DATOS!$G$2:$G$20000=CONFIG_METADATA!$B$4)*(COUNTIF(CONFIG_ASIGNATURAS!$B$7:$B$27,DATOS!$I$2:$I$20000)&gt;0)*(DATOS!$K$2:$K$20000))/SUMPRODUCT((DATOS!$A$2:$A$20000=Y832)*(DATOS!$G$2:$G$20000=CONFIG_METADATA!$B$4)*(COUNTIF(CONFIG_ASIGNATURAS!$B$7:$B$27,DATOS!$I$2:$I$20000)&gt;0)*1),"")))</f>
        <v/>
      </c>
      <c r="AF832" t="str">
        <f>IF(AE832="","",IF(AE832="[FÓRMULA MANUAL]","",IFERROR(AVERAGEIFS(DATOS!$K$2:$K$20000,DATOS!$A$2:$A$20000,AE832,DATOS!$G$2:$G$20000,CONFIG_METADATA!$B$4,DATOS!$I$2:$I$20000,"Análisis"),"")))</f>
        <v/>
      </c>
      <c r="AG832" t="str">
        <f>IF(AE832="","",IF(AE832="[FÓRMULA MANUAL]","",IFERROR(AVERAGEIFS(DATOS!$K$2:$K$20000,DATOS!$A$2:$A$20000,AE832,DATOS!$G$2:$G$20000,CONFIG_METADATA!$B$4,DATOS!$I$2:$I$20000,"Orquesta/Banda/Conjunto"),"")))</f>
        <v/>
      </c>
      <c r="AH832" t="str">
        <f>IF(AE832="","",IF(AE832="[FÓRMULA MANUAL]","",IFERROR(AVERAGEIFS(DATOS!$K$2:$K$20000,DATOS!$A$2:$A$20000,AE832,DATOS!$G$2:$G$20000,CONFIG_METADATA!$B$4,DATOS!$I$2:$I$20000,"Música de Cámara"),"")))</f>
        <v/>
      </c>
      <c r="AI832" t="str">
        <f>IF(AE832="","",IF(AE832="[FÓRMULA MANUAL]","",IFERROR(SUMPRODUCT((DATOS!$A$2:$A$20000=AE832)*(DATOS!$G$2:$G$20000=CONFIG_METADATA!$B$4)*(COUNTIF(CONFIG_ASIGNATURAS!$B$7:$B$27,DATOS!$I$2:$I$20000)&gt;0)*(DATOS!$K$2:$K$20000))/SUMPRODUCT((DATOS!$A$2:$A$20000=AE832)*(DATOS!$G$2:$G$20000=CONFIG_METADATA!$B$4)*(COUNTIF(CONFIG_ASIGNATURAS!$B$7:$B$27,DATOS!$I$2:$I$20000)&gt;0)*1),"")))</f>
        <v/>
      </c>
    </row>
    <row r="833" spans="2:35" x14ac:dyDescent="0.2">
      <c r="B833" t="str">
        <f>IF(A833="","",IF(A833="[FÓRMULA MANUAL]","",IFERROR(AVERAGEIFS(DATOS!$K$2:$K$20000,DATOS!$A$2:$A$20000,A833,DATOS!$G$2:$G$20000,CONFIG_METADATA!$B$4,DATOS!$I$2:$I$20000,"Lenguaje Musical"),"")))</f>
        <v/>
      </c>
      <c r="C833" t="str">
        <f>IF(A833="","",IF(A833="[FÓRMULA MANUAL]","",IFERROR(AVERAGEIFS(DATOS!$K$2:$K$20000,DATOS!$A$2:$A$20000,A833,DATOS!$G$2:$G$20000,CONFIG_METADATA!$B$4,DATOS!$I$2:$I$20000,"Orquesta/Banda/Conjunto"),"")))</f>
        <v/>
      </c>
      <c r="D833" t="str">
        <f>IF(A833="","",IF(A833="[FÓRMULA MANUAL]","",IFERROR(AVERAGEIFS(DATOS!$K$2:$K$20000,DATOS!$A$2:$A$20000,A833,DATOS!$G$2:$G$20000,CONFIG_METADATA!$B$4,DATOS!$I$2:$I$20000,"Conjunto"),"")))</f>
        <v/>
      </c>
      <c r="E833" t="str">
        <f>IF(A833="","",IF(A833="[FÓRMULA MANUAL]","",IFERROR(SUMPRODUCT((DATOS!$A$2:$A$20000=A833)*(DATOS!$G$2:$G$20000=CONFIG_METADATA!$B$4)*(COUNTIF(CONFIG_ASIGNATURAS!$B$7:$B$27,DATOS!$I$2:$I$20000)&gt;0)*(DATOS!$K$2:$K$20000))/SUMPRODUCT((DATOS!$A$2:$A$20000=A833)*(DATOS!$G$2:$G$20000=CONFIG_METADATA!$B$4)*(COUNTIF(CONFIG_ASIGNATURAS!$B$7:$B$27,DATOS!$I$2:$I$20000)&gt;0)*1),"")))</f>
        <v/>
      </c>
      <c r="H833" t="str">
        <f>IF(G833="","",IF(G833="[FÓRMULA MANUAL]","",IFERROR(AVERAGEIFS(DATOS!$K$2:$K$20000,DATOS!$A$2:$A$20000,G833,DATOS!$G$2:$G$20000,CONFIG_METADATA!$B$4,DATOS!$I$2:$I$20000,"Lenguaje Musical"),"")))</f>
        <v/>
      </c>
      <c r="I833" t="str">
        <f>IF(G833="","",IF(G833="[FÓRMULA MANUAL]","",IFERROR(AVERAGEIFS(DATOS!$K$2:$K$20000,DATOS!$A$2:$A$20000,G833,DATOS!$G$2:$G$20000,CONFIG_METADATA!$B$4,DATOS!$I$2:$I$20000,"Orquesta/Banda/Conjunto"),"")))</f>
        <v/>
      </c>
      <c r="J833" t="str">
        <f>IF(G833="","",IF(G833="[FÓRMULA MANUAL]","",IFERROR(AVERAGEIFS(DATOS!$K$2:$K$20000,DATOS!$A$2:$A$20000,G833,DATOS!$G$2:$G$20000,CONFIG_METADATA!$B$4,DATOS!$I$2:$I$20000,"Conjunto"),"")))</f>
        <v/>
      </c>
      <c r="K833" t="str">
        <f>IF(G833="","",IF(G833="[FÓRMULA MANUAL]","",IFERROR(SUMPRODUCT((DATOS!$A$2:$A$20000=G833)*(DATOS!$G$2:$G$20000=CONFIG_METADATA!$B$4)*(COUNTIF(CONFIG_ASIGNATURAS!$B$7:$B$27,DATOS!$I$2:$I$20000)&gt;0)*(DATOS!$K$2:$K$20000))/SUMPRODUCT((DATOS!$A$2:$A$20000=G833)*(DATOS!$G$2:$G$20000=CONFIG_METADATA!$B$4)*(COUNTIF(CONFIG_ASIGNATURAS!$B$7:$B$27,DATOS!$I$2:$I$20000)&gt;0)*1),"")))</f>
        <v/>
      </c>
      <c r="N833" t="str">
        <f>IF(M833="","",IF(M833="[FÓRMULA MANUAL]","",IFERROR(AVERAGEIFS(DATOS!$K$2:$K$20000,DATOS!$A$2:$A$20000,M833,DATOS!$G$2:$G$20000,CONFIG_METADATA!$B$4,DATOS!$I$2:$I$20000,"Armonía"),"")))</f>
        <v/>
      </c>
      <c r="O833" t="str">
        <f>IF(M833="","",IF(M833="[FÓRMULA MANUAL]","",IFERROR(AVERAGEIFS(DATOS!$K$2:$K$20000,DATOS!$A$2:$A$20000,M833,DATOS!$G$2:$G$20000,CONFIG_METADATA!$B$4,DATOS!$I$2:$I$20000,"Orquesta/Banda/Conjunto"),"")))</f>
        <v/>
      </c>
      <c r="P833" t="str">
        <f>IF(M833="","",IF(M833="[FÓRMULA MANUAL]","",IFERROR(AVERAGEIFS(DATOS!$K$2:$K$20000,DATOS!$A$2:$A$20000,M833,DATOS!$G$2:$G$20000,CONFIG_METADATA!$B$4,DATOS!$I$2:$I$20000,"Música de Cámara"),"")))</f>
        <v/>
      </c>
      <c r="Q833" t="str">
        <f>IF(M833="","",IF(M833="[FÓRMULA MANUAL]","",IFERROR(SUMPRODUCT((DATOS!$A$2:$A$20000=M833)*(DATOS!$G$2:$G$20000=CONFIG_METADATA!$B$4)*(COUNTIF(CONFIG_ASIGNATURAS!$B$7:$B$27,DATOS!$I$2:$I$20000)&gt;0)*(DATOS!$K$2:$K$20000))/SUMPRODUCT((DATOS!$A$2:$A$20000=M833)*(DATOS!$G$2:$G$20000=CONFIG_METADATA!$B$4)*(COUNTIF(CONFIG_ASIGNATURAS!$B$7:$B$27,DATOS!$I$2:$I$20000)&gt;0)*1),"")))</f>
        <v/>
      </c>
      <c r="T833" t="str">
        <f>IF(S833="","",IF(S833="[FÓRMULA MANUAL]","",IFERROR(AVERAGEIFS(DATOS!$K$2:$K$20000,DATOS!$A$2:$A$20000,S833,DATOS!$G$2:$G$20000,CONFIG_METADATA!$B$4,DATOS!$I$2:$I$20000,"Armonía"),"")))</f>
        <v/>
      </c>
      <c r="U833" t="str">
        <f>IF(S833="","",IF(S833="[FÓRMULA MANUAL]","",IFERROR(AVERAGEIFS(DATOS!$K$2:$K$20000,DATOS!$A$2:$A$20000,S833,DATOS!$G$2:$G$20000,CONFIG_METADATA!$B$4,DATOS!$I$2:$I$20000,"Orquesta/Banda/Conjunto"),"")))</f>
        <v/>
      </c>
      <c r="V833" t="str">
        <f>IF(S833="","",IF(S833="[FÓRMULA MANUAL]","",IFERROR(AVERAGEIFS(DATOS!$K$2:$K$20000,DATOS!$A$2:$A$20000,S833,DATOS!$G$2:$G$20000,CONFIG_METADATA!$B$4,DATOS!$I$2:$I$20000,"Música de Cámara"),"")))</f>
        <v/>
      </c>
      <c r="W833" t="str">
        <f>IF(S833="","",IF(S833="[FÓRMULA MANUAL]","",IFERROR(SUMPRODUCT((DATOS!$A$2:$A$20000=S833)*(DATOS!$G$2:$G$20000=CONFIG_METADATA!$B$4)*(COUNTIF(CONFIG_ASIGNATURAS!$B$7:$B$27,DATOS!$I$2:$I$20000)&gt;0)*(DATOS!$K$2:$K$20000))/SUMPRODUCT((DATOS!$A$2:$A$20000=S833)*(DATOS!$G$2:$G$20000=CONFIG_METADATA!$B$4)*(COUNTIF(CONFIG_ASIGNATURAS!$B$7:$B$27,DATOS!$I$2:$I$20000)&gt;0)*1),"")))</f>
        <v/>
      </c>
      <c r="Z833" t="str">
        <f>IF(Y833="","",IF(Y833="[FÓRMULA MANUAL]","",IFERROR(AVERAGEIFS(DATOS!$K$2:$K$20000,DATOS!$A$2:$A$20000,Y833,DATOS!$G$2:$G$20000,CONFIG_METADATA!$B$4,DATOS!$I$2:$I$20000,"Análisis"),"")))</f>
        <v/>
      </c>
      <c r="AA833" t="str">
        <f>IF(Y833="","",IF(Y833="[FÓRMULA MANUAL]","",IFERROR(AVERAGEIFS(DATOS!$K$2:$K$20000,DATOS!$A$2:$A$20000,Y833,DATOS!$G$2:$G$20000,CONFIG_METADATA!$B$4,DATOS!$I$2:$I$20000,"Orquesta/Banda/Conjunto"),"")))</f>
        <v/>
      </c>
      <c r="AB833" t="str">
        <f>IF(Y833="","",IF(Y833="[FÓRMULA MANUAL]","",IFERROR(AVERAGEIFS(DATOS!$K$2:$K$20000,DATOS!$A$2:$A$20000,Y833,DATOS!$G$2:$G$20000,CONFIG_METADATA!$B$4,DATOS!$I$2:$I$20000,"Música de Cámara"),"")))</f>
        <v/>
      </c>
      <c r="AC833" t="str">
        <f>IF(Y833="","",IF(Y833="[FÓRMULA MANUAL]","",IFERROR(SUMPRODUCT((DATOS!$A$2:$A$20000=Y833)*(DATOS!$G$2:$G$20000=CONFIG_METADATA!$B$4)*(COUNTIF(CONFIG_ASIGNATURAS!$B$7:$B$27,DATOS!$I$2:$I$20000)&gt;0)*(DATOS!$K$2:$K$20000))/SUMPRODUCT((DATOS!$A$2:$A$20000=Y833)*(DATOS!$G$2:$G$20000=CONFIG_METADATA!$B$4)*(COUNTIF(CONFIG_ASIGNATURAS!$B$7:$B$27,DATOS!$I$2:$I$20000)&gt;0)*1),"")))</f>
        <v/>
      </c>
      <c r="AF833" t="str">
        <f>IF(AE833="","",IF(AE833="[FÓRMULA MANUAL]","",IFERROR(AVERAGEIFS(DATOS!$K$2:$K$20000,DATOS!$A$2:$A$20000,AE833,DATOS!$G$2:$G$20000,CONFIG_METADATA!$B$4,DATOS!$I$2:$I$20000,"Análisis"),"")))</f>
        <v/>
      </c>
      <c r="AG833" t="str">
        <f>IF(AE833="","",IF(AE833="[FÓRMULA MANUAL]","",IFERROR(AVERAGEIFS(DATOS!$K$2:$K$20000,DATOS!$A$2:$A$20000,AE833,DATOS!$G$2:$G$20000,CONFIG_METADATA!$B$4,DATOS!$I$2:$I$20000,"Orquesta/Banda/Conjunto"),"")))</f>
        <v/>
      </c>
      <c r="AH833" t="str">
        <f>IF(AE833="","",IF(AE833="[FÓRMULA MANUAL]","",IFERROR(AVERAGEIFS(DATOS!$K$2:$K$20000,DATOS!$A$2:$A$20000,AE833,DATOS!$G$2:$G$20000,CONFIG_METADATA!$B$4,DATOS!$I$2:$I$20000,"Música de Cámara"),"")))</f>
        <v/>
      </c>
      <c r="AI833" t="str">
        <f>IF(AE833="","",IF(AE833="[FÓRMULA MANUAL]","",IFERROR(SUMPRODUCT((DATOS!$A$2:$A$20000=AE833)*(DATOS!$G$2:$G$20000=CONFIG_METADATA!$B$4)*(COUNTIF(CONFIG_ASIGNATURAS!$B$7:$B$27,DATOS!$I$2:$I$20000)&gt;0)*(DATOS!$K$2:$K$20000))/SUMPRODUCT((DATOS!$A$2:$A$20000=AE833)*(DATOS!$G$2:$G$20000=CONFIG_METADATA!$B$4)*(COUNTIF(CONFIG_ASIGNATURAS!$B$7:$B$27,DATOS!$I$2:$I$20000)&gt;0)*1),"")))</f>
        <v/>
      </c>
    </row>
    <row r="834" spans="2:35" x14ac:dyDescent="0.2">
      <c r="B834" t="str">
        <f>IF(A834="","",IF(A834="[FÓRMULA MANUAL]","",IFERROR(AVERAGEIFS(DATOS!$K$2:$K$20000,DATOS!$A$2:$A$20000,A834,DATOS!$G$2:$G$20000,CONFIG_METADATA!$B$4,DATOS!$I$2:$I$20000,"Lenguaje Musical"),"")))</f>
        <v/>
      </c>
      <c r="C834" t="str">
        <f>IF(A834="","",IF(A834="[FÓRMULA MANUAL]","",IFERROR(AVERAGEIFS(DATOS!$K$2:$K$20000,DATOS!$A$2:$A$20000,A834,DATOS!$G$2:$G$20000,CONFIG_METADATA!$B$4,DATOS!$I$2:$I$20000,"Orquesta/Banda/Conjunto"),"")))</f>
        <v/>
      </c>
      <c r="D834" t="str">
        <f>IF(A834="","",IF(A834="[FÓRMULA MANUAL]","",IFERROR(AVERAGEIFS(DATOS!$K$2:$K$20000,DATOS!$A$2:$A$20000,A834,DATOS!$G$2:$G$20000,CONFIG_METADATA!$B$4,DATOS!$I$2:$I$20000,"Conjunto"),"")))</f>
        <v/>
      </c>
      <c r="E834" t="str">
        <f>IF(A834="","",IF(A834="[FÓRMULA MANUAL]","",IFERROR(SUMPRODUCT((DATOS!$A$2:$A$20000=A834)*(DATOS!$G$2:$G$20000=CONFIG_METADATA!$B$4)*(COUNTIF(CONFIG_ASIGNATURAS!$B$7:$B$27,DATOS!$I$2:$I$20000)&gt;0)*(DATOS!$K$2:$K$20000))/SUMPRODUCT((DATOS!$A$2:$A$20000=A834)*(DATOS!$G$2:$G$20000=CONFIG_METADATA!$B$4)*(COUNTIF(CONFIG_ASIGNATURAS!$B$7:$B$27,DATOS!$I$2:$I$20000)&gt;0)*1),"")))</f>
        <v/>
      </c>
      <c r="H834" t="str">
        <f>IF(G834="","",IF(G834="[FÓRMULA MANUAL]","",IFERROR(AVERAGEIFS(DATOS!$K$2:$K$20000,DATOS!$A$2:$A$20000,G834,DATOS!$G$2:$G$20000,CONFIG_METADATA!$B$4,DATOS!$I$2:$I$20000,"Lenguaje Musical"),"")))</f>
        <v/>
      </c>
      <c r="I834" t="str">
        <f>IF(G834="","",IF(G834="[FÓRMULA MANUAL]","",IFERROR(AVERAGEIFS(DATOS!$K$2:$K$20000,DATOS!$A$2:$A$20000,G834,DATOS!$G$2:$G$20000,CONFIG_METADATA!$B$4,DATOS!$I$2:$I$20000,"Orquesta/Banda/Conjunto"),"")))</f>
        <v/>
      </c>
      <c r="J834" t="str">
        <f>IF(G834="","",IF(G834="[FÓRMULA MANUAL]","",IFERROR(AVERAGEIFS(DATOS!$K$2:$K$20000,DATOS!$A$2:$A$20000,G834,DATOS!$G$2:$G$20000,CONFIG_METADATA!$B$4,DATOS!$I$2:$I$20000,"Conjunto"),"")))</f>
        <v/>
      </c>
      <c r="K834" t="str">
        <f>IF(G834="","",IF(G834="[FÓRMULA MANUAL]","",IFERROR(SUMPRODUCT((DATOS!$A$2:$A$20000=G834)*(DATOS!$G$2:$G$20000=CONFIG_METADATA!$B$4)*(COUNTIF(CONFIG_ASIGNATURAS!$B$7:$B$27,DATOS!$I$2:$I$20000)&gt;0)*(DATOS!$K$2:$K$20000))/SUMPRODUCT((DATOS!$A$2:$A$20000=G834)*(DATOS!$G$2:$G$20000=CONFIG_METADATA!$B$4)*(COUNTIF(CONFIG_ASIGNATURAS!$B$7:$B$27,DATOS!$I$2:$I$20000)&gt;0)*1),"")))</f>
        <v/>
      </c>
      <c r="N834" t="str">
        <f>IF(M834="","",IF(M834="[FÓRMULA MANUAL]","",IFERROR(AVERAGEIFS(DATOS!$K$2:$K$20000,DATOS!$A$2:$A$20000,M834,DATOS!$G$2:$G$20000,CONFIG_METADATA!$B$4,DATOS!$I$2:$I$20000,"Armonía"),"")))</f>
        <v/>
      </c>
      <c r="O834" t="str">
        <f>IF(M834="","",IF(M834="[FÓRMULA MANUAL]","",IFERROR(AVERAGEIFS(DATOS!$K$2:$K$20000,DATOS!$A$2:$A$20000,M834,DATOS!$G$2:$G$20000,CONFIG_METADATA!$B$4,DATOS!$I$2:$I$20000,"Orquesta/Banda/Conjunto"),"")))</f>
        <v/>
      </c>
      <c r="P834" t="str">
        <f>IF(M834="","",IF(M834="[FÓRMULA MANUAL]","",IFERROR(AVERAGEIFS(DATOS!$K$2:$K$20000,DATOS!$A$2:$A$20000,M834,DATOS!$G$2:$G$20000,CONFIG_METADATA!$B$4,DATOS!$I$2:$I$20000,"Música de Cámara"),"")))</f>
        <v/>
      </c>
      <c r="Q834" t="str">
        <f>IF(M834="","",IF(M834="[FÓRMULA MANUAL]","",IFERROR(SUMPRODUCT((DATOS!$A$2:$A$20000=M834)*(DATOS!$G$2:$G$20000=CONFIG_METADATA!$B$4)*(COUNTIF(CONFIG_ASIGNATURAS!$B$7:$B$27,DATOS!$I$2:$I$20000)&gt;0)*(DATOS!$K$2:$K$20000))/SUMPRODUCT((DATOS!$A$2:$A$20000=M834)*(DATOS!$G$2:$G$20000=CONFIG_METADATA!$B$4)*(COUNTIF(CONFIG_ASIGNATURAS!$B$7:$B$27,DATOS!$I$2:$I$20000)&gt;0)*1),"")))</f>
        <v/>
      </c>
      <c r="T834" t="str">
        <f>IF(S834="","",IF(S834="[FÓRMULA MANUAL]","",IFERROR(AVERAGEIFS(DATOS!$K$2:$K$20000,DATOS!$A$2:$A$20000,S834,DATOS!$G$2:$G$20000,CONFIG_METADATA!$B$4,DATOS!$I$2:$I$20000,"Armonía"),"")))</f>
        <v/>
      </c>
      <c r="U834" t="str">
        <f>IF(S834="","",IF(S834="[FÓRMULA MANUAL]","",IFERROR(AVERAGEIFS(DATOS!$K$2:$K$20000,DATOS!$A$2:$A$20000,S834,DATOS!$G$2:$G$20000,CONFIG_METADATA!$B$4,DATOS!$I$2:$I$20000,"Orquesta/Banda/Conjunto"),"")))</f>
        <v/>
      </c>
      <c r="V834" t="str">
        <f>IF(S834="","",IF(S834="[FÓRMULA MANUAL]","",IFERROR(AVERAGEIFS(DATOS!$K$2:$K$20000,DATOS!$A$2:$A$20000,S834,DATOS!$G$2:$G$20000,CONFIG_METADATA!$B$4,DATOS!$I$2:$I$20000,"Música de Cámara"),"")))</f>
        <v/>
      </c>
      <c r="W834" t="str">
        <f>IF(S834="","",IF(S834="[FÓRMULA MANUAL]","",IFERROR(SUMPRODUCT((DATOS!$A$2:$A$20000=S834)*(DATOS!$G$2:$G$20000=CONFIG_METADATA!$B$4)*(COUNTIF(CONFIG_ASIGNATURAS!$B$7:$B$27,DATOS!$I$2:$I$20000)&gt;0)*(DATOS!$K$2:$K$20000))/SUMPRODUCT((DATOS!$A$2:$A$20000=S834)*(DATOS!$G$2:$G$20000=CONFIG_METADATA!$B$4)*(COUNTIF(CONFIG_ASIGNATURAS!$B$7:$B$27,DATOS!$I$2:$I$20000)&gt;0)*1),"")))</f>
        <v/>
      </c>
      <c r="Z834" t="str">
        <f>IF(Y834="","",IF(Y834="[FÓRMULA MANUAL]","",IFERROR(AVERAGEIFS(DATOS!$K$2:$K$20000,DATOS!$A$2:$A$20000,Y834,DATOS!$G$2:$G$20000,CONFIG_METADATA!$B$4,DATOS!$I$2:$I$20000,"Análisis"),"")))</f>
        <v/>
      </c>
      <c r="AA834" t="str">
        <f>IF(Y834="","",IF(Y834="[FÓRMULA MANUAL]","",IFERROR(AVERAGEIFS(DATOS!$K$2:$K$20000,DATOS!$A$2:$A$20000,Y834,DATOS!$G$2:$G$20000,CONFIG_METADATA!$B$4,DATOS!$I$2:$I$20000,"Orquesta/Banda/Conjunto"),"")))</f>
        <v/>
      </c>
      <c r="AB834" t="str">
        <f>IF(Y834="","",IF(Y834="[FÓRMULA MANUAL]","",IFERROR(AVERAGEIFS(DATOS!$K$2:$K$20000,DATOS!$A$2:$A$20000,Y834,DATOS!$G$2:$G$20000,CONFIG_METADATA!$B$4,DATOS!$I$2:$I$20000,"Música de Cámara"),"")))</f>
        <v/>
      </c>
      <c r="AC834" t="str">
        <f>IF(Y834="","",IF(Y834="[FÓRMULA MANUAL]","",IFERROR(SUMPRODUCT((DATOS!$A$2:$A$20000=Y834)*(DATOS!$G$2:$G$20000=CONFIG_METADATA!$B$4)*(COUNTIF(CONFIG_ASIGNATURAS!$B$7:$B$27,DATOS!$I$2:$I$20000)&gt;0)*(DATOS!$K$2:$K$20000))/SUMPRODUCT((DATOS!$A$2:$A$20000=Y834)*(DATOS!$G$2:$G$20000=CONFIG_METADATA!$B$4)*(COUNTIF(CONFIG_ASIGNATURAS!$B$7:$B$27,DATOS!$I$2:$I$20000)&gt;0)*1),"")))</f>
        <v/>
      </c>
      <c r="AF834" t="str">
        <f>IF(AE834="","",IF(AE834="[FÓRMULA MANUAL]","",IFERROR(AVERAGEIFS(DATOS!$K$2:$K$20000,DATOS!$A$2:$A$20000,AE834,DATOS!$G$2:$G$20000,CONFIG_METADATA!$B$4,DATOS!$I$2:$I$20000,"Análisis"),"")))</f>
        <v/>
      </c>
      <c r="AG834" t="str">
        <f>IF(AE834="","",IF(AE834="[FÓRMULA MANUAL]","",IFERROR(AVERAGEIFS(DATOS!$K$2:$K$20000,DATOS!$A$2:$A$20000,AE834,DATOS!$G$2:$G$20000,CONFIG_METADATA!$B$4,DATOS!$I$2:$I$20000,"Orquesta/Banda/Conjunto"),"")))</f>
        <v/>
      </c>
      <c r="AH834" t="str">
        <f>IF(AE834="","",IF(AE834="[FÓRMULA MANUAL]","",IFERROR(AVERAGEIFS(DATOS!$K$2:$K$20000,DATOS!$A$2:$A$20000,AE834,DATOS!$G$2:$G$20000,CONFIG_METADATA!$B$4,DATOS!$I$2:$I$20000,"Música de Cámara"),"")))</f>
        <v/>
      </c>
      <c r="AI834" t="str">
        <f>IF(AE834="","",IF(AE834="[FÓRMULA MANUAL]","",IFERROR(SUMPRODUCT((DATOS!$A$2:$A$20000=AE834)*(DATOS!$G$2:$G$20000=CONFIG_METADATA!$B$4)*(COUNTIF(CONFIG_ASIGNATURAS!$B$7:$B$27,DATOS!$I$2:$I$20000)&gt;0)*(DATOS!$K$2:$K$20000))/SUMPRODUCT((DATOS!$A$2:$A$20000=AE834)*(DATOS!$G$2:$G$20000=CONFIG_METADATA!$B$4)*(COUNTIF(CONFIG_ASIGNATURAS!$B$7:$B$27,DATOS!$I$2:$I$20000)&gt;0)*1),"")))</f>
        <v/>
      </c>
    </row>
    <row r="835" spans="2:35" x14ac:dyDescent="0.2">
      <c r="B835" t="str">
        <f>IF(A835="","",IF(A835="[FÓRMULA MANUAL]","",IFERROR(AVERAGEIFS(DATOS!$K$2:$K$20000,DATOS!$A$2:$A$20000,A835,DATOS!$G$2:$G$20000,CONFIG_METADATA!$B$4,DATOS!$I$2:$I$20000,"Lenguaje Musical"),"")))</f>
        <v/>
      </c>
      <c r="C835" t="str">
        <f>IF(A835="","",IF(A835="[FÓRMULA MANUAL]","",IFERROR(AVERAGEIFS(DATOS!$K$2:$K$20000,DATOS!$A$2:$A$20000,A835,DATOS!$G$2:$G$20000,CONFIG_METADATA!$B$4,DATOS!$I$2:$I$20000,"Orquesta/Banda/Conjunto"),"")))</f>
        <v/>
      </c>
      <c r="D835" t="str">
        <f>IF(A835="","",IF(A835="[FÓRMULA MANUAL]","",IFERROR(AVERAGEIFS(DATOS!$K$2:$K$20000,DATOS!$A$2:$A$20000,A835,DATOS!$G$2:$G$20000,CONFIG_METADATA!$B$4,DATOS!$I$2:$I$20000,"Conjunto"),"")))</f>
        <v/>
      </c>
      <c r="E835" t="str">
        <f>IF(A835="","",IF(A835="[FÓRMULA MANUAL]","",IFERROR(SUMPRODUCT((DATOS!$A$2:$A$20000=A835)*(DATOS!$G$2:$G$20000=CONFIG_METADATA!$B$4)*(COUNTIF(CONFIG_ASIGNATURAS!$B$7:$B$27,DATOS!$I$2:$I$20000)&gt;0)*(DATOS!$K$2:$K$20000))/SUMPRODUCT((DATOS!$A$2:$A$20000=A835)*(DATOS!$G$2:$G$20000=CONFIG_METADATA!$B$4)*(COUNTIF(CONFIG_ASIGNATURAS!$B$7:$B$27,DATOS!$I$2:$I$20000)&gt;0)*1),"")))</f>
        <v/>
      </c>
      <c r="H835" t="str">
        <f>IF(G835="","",IF(G835="[FÓRMULA MANUAL]","",IFERROR(AVERAGEIFS(DATOS!$K$2:$K$20000,DATOS!$A$2:$A$20000,G835,DATOS!$G$2:$G$20000,CONFIG_METADATA!$B$4,DATOS!$I$2:$I$20000,"Lenguaje Musical"),"")))</f>
        <v/>
      </c>
      <c r="I835" t="str">
        <f>IF(G835="","",IF(G835="[FÓRMULA MANUAL]","",IFERROR(AVERAGEIFS(DATOS!$K$2:$K$20000,DATOS!$A$2:$A$20000,G835,DATOS!$G$2:$G$20000,CONFIG_METADATA!$B$4,DATOS!$I$2:$I$20000,"Orquesta/Banda/Conjunto"),"")))</f>
        <v/>
      </c>
      <c r="J835" t="str">
        <f>IF(G835="","",IF(G835="[FÓRMULA MANUAL]","",IFERROR(AVERAGEIFS(DATOS!$K$2:$K$20000,DATOS!$A$2:$A$20000,G835,DATOS!$G$2:$G$20000,CONFIG_METADATA!$B$4,DATOS!$I$2:$I$20000,"Conjunto"),"")))</f>
        <v/>
      </c>
      <c r="K835" t="str">
        <f>IF(G835="","",IF(G835="[FÓRMULA MANUAL]","",IFERROR(SUMPRODUCT((DATOS!$A$2:$A$20000=G835)*(DATOS!$G$2:$G$20000=CONFIG_METADATA!$B$4)*(COUNTIF(CONFIG_ASIGNATURAS!$B$7:$B$27,DATOS!$I$2:$I$20000)&gt;0)*(DATOS!$K$2:$K$20000))/SUMPRODUCT((DATOS!$A$2:$A$20000=G835)*(DATOS!$G$2:$G$20000=CONFIG_METADATA!$B$4)*(COUNTIF(CONFIG_ASIGNATURAS!$B$7:$B$27,DATOS!$I$2:$I$20000)&gt;0)*1),"")))</f>
        <v/>
      </c>
      <c r="N835" t="str">
        <f>IF(M835="","",IF(M835="[FÓRMULA MANUAL]","",IFERROR(AVERAGEIFS(DATOS!$K$2:$K$20000,DATOS!$A$2:$A$20000,M835,DATOS!$G$2:$G$20000,CONFIG_METADATA!$B$4,DATOS!$I$2:$I$20000,"Armonía"),"")))</f>
        <v/>
      </c>
      <c r="O835" t="str">
        <f>IF(M835="","",IF(M835="[FÓRMULA MANUAL]","",IFERROR(AVERAGEIFS(DATOS!$K$2:$K$20000,DATOS!$A$2:$A$20000,M835,DATOS!$G$2:$G$20000,CONFIG_METADATA!$B$4,DATOS!$I$2:$I$20000,"Orquesta/Banda/Conjunto"),"")))</f>
        <v/>
      </c>
      <c r="P835" t="str">
        <f>IF(M835="","",IF(M835="[FÓRMULA MANUAL]","",IFERROR(AVERAGEIFS(DATOS!$K$2:$K$20000,DATOS!$A$2:$A$20000,M835,DATOS!$G$2:$G$20000,CONFIG_METADATA!$B$4,DATOS!$I$2:$I$20000,"Música de Cámara"),"")))</f>
        <v/>
      </c>
      <c r="Q835" t="str">
        <f>IF(M835="","",IF(M835="[FÓRMULA MANUAL]","",IFERROR(SUMPRODUCT((DATOS!$A$2:$A$20000=M835)*(DATOS!$G$2:$G$20000=CONFIG_METADATA!$B$4)*(COUNTIF(CONFIG_ASIGNATURAS!$B$7:$B$27,DATOS!$I$2:$I$20000)&gt;0)*(DATOS!$K$2:$K$20000))/SUMPRODUCT((DATOS!$A$2:$A$20000=M835)*(DATOS!$G$2:$G$20000=CONFIG_METADATA!$B$4)*(COUNTIF(CONFIG_ASIGNATURAS!$B$7:$B$27,DATOS!$I$2:$I$20000)&gt;0)*1),"")))</f>
        <v/>
      </c>
      <c r="T835" t="str">
        <f>IF(S835="","",IF(S835="[FÓRMULA MANUAL]","",IFERROR(AVERAGEIFS(DATOS!$K$2:$K$20000,DATOS!$A$2:$A$20000,S835,DATOS!$G$2:$G$20000,CONFIG_METADATA!$B$4,DATOS!$I$2:$I$20000,"Armonía"),"")))</f>
        <v/>
      </c>
      <c r="U835" t="str">
        <f>IF(S835="","",IF(S835="[FÓRMULA MANUAL]","",IFERROR(AVERAGEIFS(DATOS!$K$2:$K$20000,DATOS!$A$2:$A$20000,S835,DATOS!$G$2:$G$20000,CONFIG_METADATA!$B$4,DATOS!$I$2:$I$20000,"Orquesta/Banda/Conjunto"),"")))</f>
        <v/>
      </c>
      <c r="V835" t="str">
        <f>IF(S835="","",IF(S835="[FÓRMULA MANUAL]","",IFERROR(AVERAGEIFS(DATOS!$K$2:$K$20000,DATOS!$A$2:$A$20000,S835,DATOS!$G$2:$G$20000,CONFIG_METADATA!$B$4,DATOS!$I$2:$I$20000,"Música de Cámara"),"")))</f>
        <v/>
      </c>
      <c r="W835" t="str">
        <f>IF(S835="","",IF(S835="[FÓRMULA MANUAL]","",IFERROR(SUMPRODUCT((DATOS!$A$2:$A$20000=S835)*(DATOS!$G$2:$G$20000=CONFIG_METADATA!$B$4)*(COUNTIF(CONFIG_ASIGNATURAS!$B$7:$B$27,DATOS!$I$2:$I$20000)&gt;0)*(DATOS!$K$2:$K$20000))/SUMPRODUCT((DATOS!$A$2:$A$20000=S835)*(DATOS!$G$2:$G$20000=CONFIG_METADATA!$B$4)*(COUNTIF(CONFIG_ASIGNATURAS!$B$7:$B$27,DATOS!$I$2:$I$20000)&gt;0)*1),"")))</f>
        <v/>
      </c>
      <c r="Z835" t="str">
        <f>IF(Y835="","",IF(Y835="[FÓRMULA MANUAL]","",IFERROR(AVERAGEIFS(DATOS!$K$2:$K$20000,DATOS!$A$2:$A$20000,Y835,DATOS!$G$2:$G$20000,CONFIG_METADATA!$B$4,DATOS!$I$2:$I$20000,"Análisis"),"")))</f>
        <v/>
      </c>
      <c r="AA835" t="str">
        <f>IF(Y835="","",IF(Y835="[FÓRMULA MANUAL]","",IFERROR(AVERAGEIFS(DATOS!$K$2:$K$20000,DATOS!$A$2:$A$20000,Y835,DATOS!$G$2:$G$20000,CONFIG_METADATA!$B$4,DATOS!$I$2:$I$20000,"Orquesta/Banda/Conjunto"),"")))</f>
        <v/>
      </c>
      <c r="AB835" t="str">
        <f>IF(Y835="","",IF(Y835="[FÓRMULA MANUAL]","",IFERROR(AVERAGEIFS(DATOS!$K$2:$K$20000,DATOS!$A$2:$A$20000,Y835,DATOS!$G$2:$G$20000,CONFIG_METADATA!$B$4,DATOS!$I$2:$I$20000,"Música de Cámara"),"")))</f>
        <v/>
      </c>
      <c r="AC835" t="str">
        <f>IF(Y835="","",IF(Y835="[FÓRMULA MANUAL]","",IFERROR(SUMPRODUCT((DATOS!$A$2:$A$20000=Y835)*(DATOS!$G$2:$G$20000=CONFIG_METADATA!$B$4)*(COUNTIF(CONFIG_ASIGNATURAS!$B$7:$B$27,DATOS!$I$2:$I$20000)&gt;0)*(DATOS!$K$2:$K$20000))/SUMPRODUCT((DATOS!$A$2:$A$20000=Y835)*(DATOS!$G$2:$G$20000=CONFIG_METADATA!$B$4)*(COUNTIF(CONFIG_ASIGNATURAS!$B$7:$B$27,DATOS!$I$2:$I$20000)&gt;0)*1),"")))</f>
        <v/>
      </c>
      <c r="AF835" t="str">
        <f>IF(AE835="","",IF(AE835="[FÓRMULA MANUAL]","",IFERROR(AVERAGEIFS(DATOS!$K$2:$K$20000,DATOS!$A$2:$A$20000,AE835,DATOS!$G$2:$G$20000,CONFIG_METADATA!$B$4,DATOS!$I$2:$I$20000,"Análisis"),"")))</f>
        <v/>
      </c>
      <c r="AG835" t="str">
        <f>IF(AE835="","",IF(AE835="[FÓRMULA MANUAL]","",IFERROR(AVERAGEIFS(DATOS!$K$2:$K$20000,DATOS!$A$2:$A$20000,AE835,DATOS!$G$2:$G$20000,CONFIG_METADATA!$B$4,DATOS!$I$2:$I$20000,"Orquesta/Banda/Conjunto"),"")))</f>
        <v/>
      </c>
      <c r="AH835" t="str">
        <f>IF(AE835="","",IF(AE835="[FÓRMULA MANUAL]","",IFERROR(AVERAGEIFS(DATOS!$K$2:$K$20000,DATOS!$A$2:$A$20000,AE835,DATOS!$G$2:$G$20000,CONFIG_METADATA!$B$4,DATOS!$I$2:$I$20000,"Música de Cámara"),"")))</f>
        <v/>
      </c>
      <c r="AI835" t="str">
        <f>IF(AE835="","",IF(AE835="[FÓRMULA MANUAL]","",IFERROR(SUMPRODUCT((DATOS!$A$2:$A$20000=AE835)*(DATOS!$G$2:$G$20000=CONFIG_METADATA!$B$4)*(COUNTIF(CONFIG_ASIGNATURAS!$B$7:$B$27,DATOS!$I$2:$I$20000)&gt;0)*(DATOS!$K$2:$K$20000))/SUMPRODUCT((DATOS!$A$2:$A$20000=AE835)*(DATOS!$G$2:$G$20000=CONFIG_METADATA!$B$4)*(COUNTIF(CONFIG_ASIGNATURAS!$B$7:$B$27,DATOS!$I$2:$I$20000)&gt;0)*1),"")))</f>
        <v/>
      </c>
    </row>
    <row r="836" spans="2:35" x14ac:dyDescent="0.2">
      <c r="B836" t="str">
        <f>IF(A836="","",IF(A836="[FÓRMULA MANUAL]","",IFERROR(AVERAGEIFS(DATOS!$K$2:$K$20000,DATOS!$A$2:$A$20000,A836,DATOS!$G$2:$G$20000,CONFIG_METADATA!$B$4,DATOS!$I$2:$I$20000,"Lenguaje Musical"),"")))</f>
        <v/>
      </c>
      <c r="C836" t="str">
        <f>IF(A836="","",IF(A836="[FÓRMULA MANUAL]","",IFERROR(AVERAGEIFS(DATOS!$K$2:$K$20000,DATOS!$A$2:$A$20000,A836,DATOS!$G$2:$G$20000,CONFIG_METADATA!$B$4,DATOS!$I$2:$I$20000,"Orquesta/Banda/Conjunto"),"")))</f>
        <v/>
      </c>
      <c r="D836" t="str">
        <f>IF(A836="","",IF(A836="[FÓRMULA MANUAL]","",IFERROR(AVERAGEIFS(DATOS!$K$2:$K$20000,DATOS!$A$2:$A$20000,A836,DATOS!$G$2:$G$20000,CONFIG_METADATA!$B$4,DATOS!$I$2:$I$20000,"Conjunto"),"")))</f>
        <v/>
      </c>
      <c r="E836" t="str">
        <f>IF(A836="","",IF(A836="[FÓRMULA MANUAL]","",IFERROR(SUMPRODUCT((DATOS!$A$2:$A$20000=A836)*(DATOS!$G$2:$G$20000=CONFIG_METADATA!$B$4)*(COUNTIF(CONFIG_ASIGNATURAS!$B$7:$B$27,DATOS!$I$2:$I$20000)&gt;0)*(DATOS!$K$2:$K$20000))/SUMPRODUCT((DATOS!$A$2:$A$20000=A836)*(DATOS!$G$2:$G$20000=CONFIG_METADATA!$B$4)*(COUNTIF(CONFIG_ASIGNATURAS!$B$7:$B$27,DATOS!$I$2:$I$20000)&gt;0)*1),"")))</f>
        <v/>
      </c>
      <c r="H836" t="str">
        <f>IF(G836="","",IF(G836="[FÓRMULA MANUAL]","",IFERROR(AVERAGEIFS(DATOS!$K$2:$K$20000,DATOS!$A$2:$A$20000,G836,DATOS!$G$2:$G$20000,CONFIG_METADATA!$B$4,DATOS!$I$2:$I$20000,"Lenguaje Musical"),"")))</f>
        <v/>
      </c>
      <c r="I836" t="str">
        <f>IF(G836="","",IF(G836="[FÓRMULA MANUAL]","",IFERROR(AVERAGEIFS(DATOS!$K$2:$K$20000,DATOS!$A$2:$A$20000,G836,DATOS!$G$2:$G$20000,CONFIG_METADATA!$B$4,DATOS!$I$2:$I$20000,"Orquesta/Banda/Conjunto"),"")))</f>
        <v/>
      </c>
      <c r="J836" t="str">
        <f>IF(G836="","",IF(G836="[FÓRMULA MANUAL]","",IFERROR(AVERAGEIFS(DATOS!$K$2:$K$20000,DATOS!$A$2:$A$20000,G836,DATOS!$G$2:$G$20000,CONFIG_METADATA!$B$4,DATOS!$I$2:$I$20000,"Conjunto"),"")))</f>
        <v/>
      </c>
      <c r="K836" t="str">
        <f>IF(G836="","",IF(G836="[FÓRMULA MANUAL]","",IFERROR(SUMPRODUCT((DATOS!$A$2:$A$20000=G836)*(DATOS!$G$2:$G$20000=CONFIG_METADATA!$B$4)*(COUNTIF(CONFIG_ASIGNATURAS!$B$7:$B$27,DATOS!$I$2:$I$20000)&gt;0)*(DATOS!$K$2:$K$20000))/SUMPRODUCT((DATOS!$A$2:$A$20000=G836)*(DATOS!$G$2:$G$20000=CONFIG_METADATA!$B$4)*(COUNTIF(CONFIG_ASIGNATURAS!$B$7:$B$27,DATOS!$I$2:$I$20000)&gt;0)*1),"")))</f>
        <v/>
      </c>
      <c r="N836" t="str">
        <f>IF(M836="","",IF(M836="[FÓRMULA MANUAL]","",IFERROR(AVERAGEIFS(DATOS!$K$2:$K$20000,DATOS!$A$2:$A$20000,M836,DATOS!$G$2:$G$20000,CONFIG_METADATA!$B$4,DATOS!$I$2:$I$20000,"Armonía"),"")))</f>
        <v/>
      </c>
      <c r="O836" t="str">
        <f>IF(M836="","",IF(M836="[FÓRMULA MANUAL]","",IFERROR(AVERAGEIFS(DATOS!$K$2:$K$20000,DATOS!$A$2:$A$20000,M836,DATOS!$G$2:$G$20000,CONFIG_METADATA!$B$4,DATOS!$I$2:$I$20000,"Orquesta/Banda/Conjunto"),"")))</f>
        <v/>
      </c>
      <c r="P836" t="str">
        <f>IF(M836="","",IF(M836="[FÓRMULA MANUAL]","",IFERROR(AVERAGEIFS(DATOS!$K$2:$K$20000,DATOS!$A$2:$A$20000,M836,DATOS!$G$2:$G$20000,CONFIG_METADATA!$B$4,DATOS!$I$2:$I$20000,"Música de Cámara"),"")))</f>
        <v/>
      </c>
      <c r="Q836" t="str">
        <f>IF(M836="","",IF(M836="[FÓRMULA MANUAL]","",IFERROR(SUMPRODUCT((DATOS!$A$2:$A$20000=M836)*(DATOS!$G$2:$G$20000=CONFIG_METADATA!$B$4)*(COUNTIF(CONFIG_ASIGNATURAS!$B$7:$B$27,DATOS!$I$2:$I$20000)&gt;0)*(DATOS!$K$2:$K$20000))/SUMPRODUCT((DATOS!$A$2:$A$20000=M836)*(DATOS!$G$2:$G$20000=CONFIG_METADATA!$B$4)*(COUNTIF(CONFIG_ASIGNATURAS!$B$7:$B$27,DATOS!$I$2:$I$20000)&gt;0)*1),"")))</f>
        <v/>
      </c>
      <c r="T836" t="str">
        <f>IF(S836="","",IF(S836="[FÓRMULA MANUAL]","",IFERROR(AVERAGEIFS(DATOS!$K$2:$K$20000,DATOS!$A$2:$A$20000,S836,DATOS!$G$2:$G$20000,CONFIG_METADATA!$B$4,DATOS!$I$2:$I$20000,"Armonía"),"")))</f>
        <v/>
      </c>
      <c r="U836" t="str">
        <f>IF(S836="","",IF(S836="[FÓRMULA MANUAL]","",IFERROR(AVERAGEIFS(DATOS!$K$2:$K$20000,DATOS!$A$2:$A$20000,S836,DATOS!$G$2:$G$20000,CONFIG_METADATA!$B$4,DATOS!$I$2:$I$20000,"Orquesta/Banda/Conjunto"),"")))</f>
        <v/>
      </c>
      <c r="V836" t="str">
        <f>IF(S836="","",IF(S836="[FÓRMULA MANUAL]","",IFERROR(AVERAGEIFS(DATOS!$K$2:$K$20000,DATOS!$A$2:$A$20000,S836,DATOS!$G$2:$G$20000,CONFIG_METADATA!$B$4,DATOS!$I$2:$I$20000,"Música de Cámara"),"")))</f>
        <v/>
      </c>
      <c r="W836" t="str">
        <f>IF(S836="","",IF(S836="[FÓRMULA MANUAL]","",IFERROR(SUMPRODUCT((DATOS!$A$2:$A$20000=S836)*(DATOS!$G$2:$G$20000=CONFIG_METADATA!$B$4)*(COUNTIF(CONFIG_ASIGNATURAS!$B$7:$B$27,DATOS!$I$2:$I$20000)&gt;0)*(DATOS!$K$2:$K$20000))/SUMPRODUCT((DATOS!$A$2:$A$20000=S836)*(DATOS!$G$2:$G$20000=CONFIG_METADATA!$B$4)*(COUNTIF(CONFIG_ASIGNATURAS!$B$7:$B$27,DATOS!$I$2:$I$20000)&gt;0)*1),"")))</f>
        <v/>
      </c>
      <c r="Z836" t="str">
        <f>IF(Y836="","",IF(Y836="[FÓRMULA MANUAL]","",IFERROR(AVERAGEIFS(DATOS!$K$2:$K$20000,DATOS!$A$2:$A$20000,Y836,DATOS!$G$2:$G$20000,CONFIG_METADATA!$B$4,DATOS!$I$2:$I$20000,"Análisis"),"")))</f>
        <v/>
      </c>
      <c r="AA836" t="str">
        <f>IF(Y836="","",IF(Y836="[FÓRMULA MANUAL]","",IFERROR(AVERAGEIFS(DATOS!$K$2:$K$20000,DATOS!$A$2:$A$20000,Y836,DATOS!$G$2:$G$20000,CONFIG_METADATA!$B$4,DATOS!$I$2:$I$20000,"Orquesta/Banda/Conjunto"),"")))</f>
        <v/>
      </c>
      <c r="AB836" t="str">
        <f>IF(Y836="","",IF(Y836="[FÓRMULA MANUAL]","",IFERROR(AVERAGEIFS(DATOS!$K$2:$K$20000,DATOS!$A$2:$A$20000,Y836,DATOS!$G$2:$G$20000,CONFIG_METADATA!$B$4,DATOS!$I$2:$I$20000,"Música de Cámara"),"")))</f>
        <v/>
      </c>
      <c r="AC836" t="str">
        <f>IF(Y836="","",IF(Y836="[FÓRMULA MANUAL]","",IFERROR(SUMPRODUCT((DATOS!$A$2:$A$20000=Y836)*(DATOS!$G$2:$G$20000=CONFIG_METADATA!$B$4)*(COUNTIF(CONFIG_ASIGNATURAS!$B$7:$B$27,DATOS!$I$2:$I$20000)&gt;0)*(DATOS!$K$2:$K$20000))/SUMPRODUCT((DATOS!$A$2:$A$20000=Y836)*(DATOS!$G$2:$G$20000=CONFIG_METADATA!$B$4)*(COUNTIF(CONFIG_ASIGNATURAS!$B$7:$B$27,DATOS!$I$2:$I$20000)&gt;0)*1),"")))</f>
        <v/>
      </c>
      <c r="AF836" t="str">
        <f>IF(AE836="","",IF(AE836="[FÓRMULA MANUAL]","",IFERROR(AVERAGEIFS(DATOS!$K$2:$K$20000,DATOS!$A$2:$A$20000,AE836,DATOS!$G$2:$G$20000,CONFIG_METADATA!$B$4,DATOS!$I$2:$I$20000,"Análisis"),"")))</f>
        <v/>
      </c>
      <c r="AG836" t="str">
        <f>IF(AE836="","",IF(AE836="[FÓRMULA MANUAL]","",IFERROR(AVERAGEIFS(DATOS!$K$2:$K$20000,DATOS!$A$2:$A$20000,AE836,DATOS!$G$2:$G$20000,CONFIG_METADATA!$B$4,DATOS!$I$2:$I$20000,"Orquesta/Banda/Conjunto"),"")))</f>
        <v/>
      </c>
      <c r="AH836" t="str">
        <f>IF(AE836="","",IF(AE836="[FÓRMULA MANUAL]","",IFERROR(AVERAGEIFS(DATOS!$K$2:$K$20000,DATOS!$A$2:$A$20000,AE836,DATOS!$G$2:$G$20000,CONFIG_METADATA!$B$4,DATOS!$I$2:$I$20000,"Música de Cámara"),"")))</f>
        <v/>
      </c>
      <c r="AI836" t="str">
        <f>IF(AE836="","",IF(AE836="[FÓRMULA MANUAL]","",IFERROR(SUMPRODUCT((DATOS!$A$2:$A$20000=AE836)*(DATOS!$G$2:$G$20000=CONFIG_METADATA!$B$4)*(COUNTIF(CONFIG_ASIGNATURAS!$B$7:$B$27,DATOS!$I$2:$I$20000)&gt;0)*(DATOS!$K$2:$K$20000))/SUMPRODUCT((DATOS!$A$2:$A$20000=AE836)*(DATOS!$G$2:$G$20000=CONFIG_METADATA!$B$4)*(COUNTIF(CONFIG_ASIGNATURAS!$B$7:$B$27,DATOS!$I$2:$I$20000)&gt;0)*1),"")))</f>
        <v/>
      </c>
    </row>
    <row r="837" spans="2:35" x14ac:dyDescent="0.2">
      <c r="B837" t="str">
        <f>IF(A837="","",IF(A837="[FÓRMULA MANUAL]","",IFERROR(AVERAGEIFS(DATOS!$K$2:$K$20000,DATOS!$A$2:$A$20000,A837,DATOS!$G$2:$G$20000,CONFIG_METADATA!$B$4,DATOS!$I$2:$I$20000,"Lenguaje Musical"),"")))</f>
        <v/>
      </c>
      <c r="C837" t="str">
        <f>IF(A837="","",IF(A837="[FÓRMULA MANUAL]","",IFERROR(AVERAGEIFS(DATOS!$K$2:$K$20000,DATOS!$A$2:$A$20000,A837,DATOS!$G$2:$G$20000,CONFIG_METADATA!$B$4,DATOS!$I$2:$I$20000,"Orquesta/Banda/Conjunto"),"")))</f>
        <v/>
      </c>
      <c r="D837" t="str">
        <f>IF(A837="","",IF(A837="[FÓRMULA MANUAL]","",IFERROR(AVERAGEIFS(DATOS!$K$2:$K$20000,DATOS!$A$2:$A$20000,A837,DATOS!$G$2:$G$20000,CONFIG_METADATA!$B$4,DATOS!$I$2:$I$20000,"Conjunto"),"")))</f>
        <v/>
      </c>
      <c r="E837" t="str">
        <f>IF(A837="","",IF(A837="[FÓRMULA MANUAL]","",IFERROR(SUMPRODUCT((DATOS!$A$2:$A$20000=A837)*(DATOS!$G$2:$G$20000=CONFIG_METADATA!$B$4)*(COUNTIF(CONFIG_ASIGNATURAS!$B$7:$B$27,DATOS!$I$2:$I$20000)&gt;0)*(DATOS!$K$2:$K$20000))/SUMPRODUCT((DATOS!$A$2:$A$20000=A837)*(DATOS!$G$2:$G$20000=CONFIG_METADATA!$B$4)*(COUNTIF(CONFIG_ASIGNATURAS!$B$7:$B$27,DATOS!$I$2:$I$20000)&gt;0)*1),"")))</f>
        <v/>
      </c>
      <c r="H837" t="str">
        <f>IF(G837="","",IF(G837="[FÓRMULA MANUAL]","",IFERROR(AVERAGEIFS(DATOS!$K$2:$K$20000,DATOS!$A$2:$A$20000,G837,DATOS!$G$2:$G$20000,CONFIG_METADATA!$B$4,DATOS!$I$2:$I$20000,"Lenguaje Musical"),"")))</f>
        <v/>
      </c>
      <c r="I837" t="str">
        <f>IF(G837="","",IF(G837="[FÓRMULA MANUAL]","",IFERROR(AVERAGEIFS(DATOS!$K$2:$K$20000,DATOS!$A$2:$A$20000,G837,DATOS!$G$2:$G$20000,CONFIG_METADATA!$B$4,DATOS!$I$2:$I$20000,"Orquesta/Banda/Conjunto"),"")))</f>
        <v/>
      </c>
      <c r="J837" t="str">
        <f>IF(G837="","",IF(G837="[FÓRMULA MANUAL]","",IFERROR(AVERAGEIFS(DATOS!$K$2:$K$20000,DATOS!$A$2:$A$20000,G837,DATOS!$G$2:$G$20000,CONFIG_METADATA!$B$4,DATOS!$I$2:$I$20000,"Conjunto"),"")))</f>
        <v/>
      </c>
      <c r="K837" t="str">
        <f>IF(G837="","",IF(G837="[FÓRMULA MANUAL]","",IFERROR(SUMPRODUCT((DATOS!$A$2:$A$20000=G837)*(DATOS!$G$2:$G$20000=CONFIG_METADATA!$B$4)*(COUNTIF(CONFIG_ASIGNATURAS!$B$7:$B$27,DATOS!$I$2:$I$20000)&gt;0)*(DATOS!$K$2:$K$20000))/SUMPRODUCT((DATOS!$A$2:$A$20000=G837)*(DATOS!$G$2:$G$20000=CONFIG_METADATA!$B$4)*(COUNTIF(CONFIG_ASIGNATURAS!$B$7:$B$27,DATOS!$I$2:$I$20000)&gt;0)*1),"")))</f>
        <v/>
      </c>
      <c r="N837" t="str">
        <f>IF(M837="","",IF(M837="[FÓRMULA MANUAL]","",IFERROR(AVERAGEIFS(DATOS!$K$2:$K$20000,DATOS!$A$2:$A$20000,M837,DATOS!$G$2:$G$20000,CONFIG_METADATA!$B$4,DATOS!$I$2:$I$20000,"Armonía"),"")))</f>
        <v/>
      </c>
      <c r="O837" t="str">
        <f>IF(M837="","",IF(M837="[FÓRMULA MANUAL]","",IFERROR(AVERAGEIFS(DATOS!$K$2:$K$20000,DATOS!$A$2:$A$20000,M837,DATOS!$G$2:$G$20000,CONFIG_METADATA!$B$4,DATOS!$I$2:$I$20000,"Orquesta/Banda/Conjunto"),"")))</f>
        <v/>
      </c>
      <c r="P837" t="str">
        <f>IF(M837="","",IF(M837="[FÓRMULA MANUAL]","",IFERROR(AVERAGEIFS(DATOS!$K$2:$K$20000,DATOS!$A$2:$A$20000,M837,DATOS!$G$2:$G$20000,CONFIG_METADATA!$B$4,DATOS!$I$2:$I$20000,"Música de Cámara"),"")))</f>
        <v/>
      </c>
      <c r="Q837" t="str">
        <f>IF(M837="","",IF(M837="[FÓRMULA MANUAL]","",IFERROR(SUMPRODUCT((DATOS!$A$2:$A$20000=M837)*(DATOS!$G$2:$G$20000=CONFIG_METADATA!$B$4)*(COUNTIF(CONFIG_ASIGNATURAS!$B$7:$B$27,DATOS!$I$2:$I$20000)&gt;0)*(DATOS!$K$2:$K$20000))/SUMPRODUCT((DATOS!$A$2:$A$20000=M837)*(DATOS!$G$2:$G$20000=CONFIG_METADATA!$B$4)*(COUNTIF(CONFIG_ASIGNATURAS!$B$7:$B$27,DATOS!$I$2:$I$20000)&gt;0)*1),"")))</f>
        <v/>
      </c>
      <c r="T837" t="str">
        <f>IF(S837="","",IF(S837="[FÓRMULA MANUAL]","",IFERROR(AVERAGEIFS(DATOS!$K$2:$K$20000,DATOS!$A$2:$A$20000,S837,DATOS!$G$2:$G$20000,CONFIG_METADATA!$B$4,DATOS!$I$2:$I$20000,"Armonía"),"")))</f>
        <v/>
      </c>
      <c r="U837" t="str">
        <f>IF(S837="","",IF(S837="[FÓRMULA MANUAL]","",IFERROR(AVERAGEIFS(DATOS!$K$2:$K$20000,DATOS!$A$2:$A$20000,S837,DATOS!$G$2:$G$20000,CONFIG_METADATA!$B$4,DATOS!$I$2:$I$20000,"Orquesta/Banda/Conjunto"),"")))</f>
        <v/>
      </c>
      <c r="V837" t="str">
        <f>IF(S837="","",IF(S837="[FÓRMULA MANUAL]","",IFERROR(AVERAGEIFS(DATOS!$K$2:$K$20000,DATOS!$A$2:$A$20000,S837,DATOS!$G$2:$G$20000,CONFIG_METADATA!$B$4,DATOS!$I$2:$I$20000,"Música de Cámara"),"")))</f>
        <v/>
      </c>
      <c r="W837" t="str">
        <f>IF(S837="","",IF(S837="[FÓRMULA MANUAL]","",IFERROR(SUMPRODUCT((DATOS!$A$2:$A$20000=S837)*(DATOS!$G$2:$G$20000=CONFIG_METADATA!$B$4)*(COUNTIF(CONFIG_ASIGNATURAS!$B$7:$B$27,DATOS!$I$2:$I$20000)&gt;0)*(DATOS!$K$2:$K$20000))/SUMPRODUCT((DATOS!$A$2:$A$20000=S837)*(DATOS!$G$2:$G$20000=CONFIG_METADATA!$B$4)*(COUNTIF(CONFIG_ASIGNATURAS!$B$7:$B$27,DATOS!$I$2:$I$20000)&gt;0)*1),"")))</f>
        <v/>
      </c>
      <c r="Z837" t="str">
        <f>IF(Y837="","",IF(Y837="[FÓRMULA MANUAL]","",IFERROR(AVERAGEIFS(DATOS!$K$2:$K$20000,DATOS!$A$2:$A$20000,Y837,DATOS!$G$2:$G$20000,CONFIG_METADATA!$B$4,DATOS!$I$2:$I$20000,"Análisis"),"")))</f>
        <v/>
      </c>
      <c r="AA837" t="str">
        <f>IF(Y837="","",IF(Y837="[FÓRMULA MANUAL]","",IFERROR(AVERAGEIFS(DATOS!$K$2:$K$20000,DATOS!$A$2:$A$20000,Y837,DATOS!$G$2:$G$20000,CONFIG_METADATA!$B$4,DATOS!$I$2:$I$20000,"Orquesta/Banda/Conjunto"),"")))</f>
        <v/>
      </c>
      <c r="AB837" t="str">
        <f>IF(Y837="","",IF(Y837="[FÓRMULA MANUAL]","",IFERROR(AVERAGEIFS(DATOS!$K$2:$K$20000,DATOS!$A$2:$A$20000,Y837,DATOS!$G$2:$G$20000,CONFIG_METADATA!$B$4,DATOS!$I$2:$I$20000,"Música de Cámara"),"")))</f>
        <v/>
      </c>
      <c r="AC837" t="str">
        <f>IF(Y837="","",IF(Y837="[FÓRMULA MANUAL]","",IFERROR(SUMPRODUCT((DATOS!$A$2:$A$20000=Y837)*(DATOS!$G$2:$G$20000=CONFIG_METADATA!$B$4)*(COUNTIF(CONFIG_ASIGNATURAS!$B$7:$B$27,DATOS!$I$2:$I$20000)&gt;0)*(DATOS!$K$2:$K$20000))/SUMPRODUCT((DATOS!$A$2:$A$20000=Y837)*(DATOS!$G$2:$G$20000=CONFIG_METADATA!$B$4)*(COUNTIF(CONFIG_ASIGNATURAS!$B$7:$B$27,DATOS!$I$2:$I$20000)&gt;0)*1),"")))</f>
        <v/>
      </c>
      <c r="AF837" t="str">
        <f>IF(AE837="","",IF(AE837="[FÓRMULA MANUAL]","",IFERROR(AVERAGEIFS(DATOS!$K$2:$K$20000,DATOS!$A$2:$A$20000,AE837,DATOS!$G$2:$G$20000,CONFIG_METADATA!$B$4,DATOS!$I$2:$I$20000,"Análisis"),"")))</f>
        <v/>
      </c>
      <c r="AG837" t="str">
        <f>IF(AE837="","",IF(AE837="[FÓRMULA MANUAL]","",IFERROR(AVERAGEIFS(DATOS!$K$2:$K$20000,DATOS!$A$2:$A$20000,AE837,DATOS!$G$2:$G$20000,CONFIG_METADATA!$B$4,DATOS!$I$2:$I$20000,"Orquesta/Banda/Conjunto"),"")))</f>
        <v/>
      </c>
      <c r="AH837" t="str">
        <f>IF(AE837="","",IF(AE837="[FÓRMULA MANUAL]","",IFERROR(AVERAGEIFS(DATOS!$K$2:$K$20000,DATOS!$A$2:$A$20000,AE837,DATOS!$G$2:$G$20000,CONFIG_METADATA!$B$4,DATOS!$I$2:$I$20000,"Música de Cámara"),"")))</f>
        <v/>
      </c>
      <c r="AI837" t="str">
        <f>IF(AE837="","",IF(AE837="[FÓRMULA MANUAL]","",IFERROR(SUMPRODUCT((DATOS!$A$2:$A$20000=AE837)*(DATOS!$G$2:$G$20000=CONFIG_METADATA!$B$4)*(COUNTIF(CONFIG_ASIGNATURAS!$B$7:$B$27,DATOS!$I$2:$I$20000)&gt;0)*(DATOS!$K$2:$K$20000))/SUMPRODUCT((DATOS!$A$2:$A$20000=AE837)*(DATOS!$G$2:$G$20000=CONFIG_METADATA!$B$4)*(COUNTIF(CONFIG_ASIGNATURAS!$B$7:$B$27,DATOS!$I$2:$I$20000)&gt;0)*1),"")))</f>
        <v/>
      </c>
    </row>
    <row r="838" spans="2:35" x14ac:dyDescent="0.2">
      <c r="B838" t="str">
        <f>IF(A838="","",IF(A838="[FÓRMULA MANUAL]","",IFERROR(AVERAGEIFS(DATOS!$K$2:$K$20000,DATOS!$A$2:$A$20000,A838,DATOS!$G$2:$G$20000,CONFIG_METADATA!$B$4,DATOS!$I$2:$I$20000,"Lenguaje Musical"),"")))</f>
        <v/>
      </c>
      <c r="C838" t="str">
        <f>IF(A838="","",IF(A838="[FÓRMULA MANUAL]","",IFERROR(AVERAGEIFS(DATOS!$K$2:$K$20000,DATOS!$A$2:$A$20000,A838,DATOS!$G$2:$G$20000,CONFIG_METADATA!$B$4,DATOS!$I$2:$I$20000,"Orquesta/Banda/Conjunto"),"")))</f>
        <v/>
      </c>
      <c r="D838" t="str">
        <f>IF(A838="","",IF(A838="[FÓRMULA MANUAL]","",IFERROR(AVERAGEIFS(DATOS!$K$2:$K$20000,DATOS!$A$2:$A$20000,A838,DATOS!$G$2:$G$20000,CONFIG_METADATA!$B$4,DATOS!$I$2:$I$20000,"Conjunto"),"")))</f>
        <v/>
      </c>
      <c r="E838" t="str">
        <f>IF(A838="","",IF(A838="[FÓRMULA MANUAL]","",IFERROR(SUMPRODUCT((DATOS!$A$2:$A$20000=A838)*(DATOS!$G$2:$G$20000=CONFIG_METADATA!$B$4)*(COUNTIF(CONFIG_ASIGNATURAS!$B$7:$B$27,DATOS!$I$2:$I$20000)&gt;0)*(DATOS!$K$2:$K$20000))/SUMPRODUCT((DATOS!$A$2:$A$20000=A838)*(DATOS!$G$2:$G$20000=CONFIG_METADATA!$B$4)*(COUNTIF(CONFIG_ASIGNATURAS!$B$7:$B$27,DATOS!$I$2:$I$20000)&gt;0)*1),"")))</f>
        <v/>
      </c>
      <c r="H838" t="str">
        <f>IF(G838="","",IF(G838="[FÓRMULA MANUAL]","",IFERROR(AVERAGEIFS(DATOS!$K$2:$K$20000,DATOS!$A$2:$A$20000,G838,DATOS!$G$2:$G$20000,CONFIG_METADATA!$B$4,DATOS!$I$2:$I$20000,"Lenguaje Musical"),"")))</f>
        <v/>
      </c>
      <c r="I838" t="str">
        <f>IF(G838="","",IF(G838="[FÓRMULA MANUAL]","",IFERROR(AVERAGEIFS(DATOS!$K$2:$K$20000,DATOS!$A$2:$A$20000,G838,DATOS!$G$2:$G$20000,CONFIG_METADATA!$B$4,DATOS!$I$2:$I$20000,"Orquesta/Banda/Conjunto"),"")))</f>
        <v/>
      </c>
      <c r="J838" t="str">
        <f>IF(G838="","",IF(G838="[FÓRMULA MANUAL]","",IFERROR(AVERAGEIFS(DATOS!$K$2:$K$20000,DATOS!$A$2:$A$20000,G838,DATOS!$G$2:$G$20000,CONFIG_METADATA!$B$4,DATOS!$I$2:$I$20000,"Conjunto"),"")))</f>
        <v/>
      </c>
      <c r="K838" t="str">
        <f>IF(G838="","",IF(G838="[FÓRMULA MANUAL]","",IFERROR(SUMPRODUCT((DATOS!$A$2:$A$20000=G838)*(DATOS!$G$2:$G$20000=CONFIG_METADATA!$B$4)*(COUNTIF(CONFIG_ASIGNATURAS!$B$7:$B$27,DATOS!$I$2:$I$20000)&gt;0)*(DATOS!$K$2:$K$20000))/SUMPRODUCT((DATOS!$A$2:$A$20000=G838)*(DATOS!$G$2:$G$20000=CONFIG_METADATA!$B$4)*(COUNTIF(CONFIG_ASIGNATURAS!$B$7:$B$27,DATOS!$I$2:$I$20000)&gt;0)*1),"")))</f>
        <v/>
      </c>
      <c r="N838" t="str">
        <f>IF(M838="","",IF(M838="[FÓRMULA MANUAL]","",IFERROR(AVERAGEIFS(DATOS!$K$2:$K$20000,DATOS!$A$2:$A$20000,M838,DATOS!$G$2:$G$20000,CONFIG_METADATA!$B$4,DATOS!$I$2:$I$20000,"Armonía"),"")))</f>
        <v/>
      </c>
      <c r="O838" t="str">
        <f>IF(M838="","",IF(M838="[FÓRMULA MANUAL]","",IFERROR(AVERAGEIFS(DATOS!$K$2:$K$20000,DATOS!$A$2:$A$20000,M838,DATOS!$G$2:$G$20000,CONFIG_METADATA!$B$4,DATOS!$I$2:$I$20000,"Orquesta/Banda/Conjunto"),"")))</f>
        <v/>
      </c>
      <c r="P838" t="str">
        <f>IF(M838="","",IF(M838="[FÓRMULA MANUAL]","",IFERROR(AVERAGEIFS(DATOS!$K$2:$K$20000,DATOS!$A$2:$A$20000,M838,DATOS!$G$2:$G$20000,CONFIG_METADATA!$B$4,DATOS!$I$2:$I$20000,"Música de Cámara"),"")))</f>
        <v/>
      </c>
      <c r="Q838" t="str">
        <f>IF(M838="","",IF(M838="[FÓRMULA MANUAL]","",IFERROR(SUMPRODUCT((DATOS!$A$2:$A$20000=M838)*(DATOS!$G$2:$G$20000=CONFIG_METADATA!$B$4)*(COUNTIF(CONFIG_ASIGNATURAS!$B$7:$B$27,DATOS!$I$2:$I$20000)&gt;0)*(DATOS!$K$2:$K$20000))/SUMPRODUCT((DATOS!$A$2:$A$20000=M838)*(DATOS!$G$2:$G$20000=CONFIG_METADATA!$B$4)*(COUNTIF(CONFIG_ASIGNATURAS!$B$7:$B$27,DATOS!$I$2:$I$20000)&gt;0)*1),"")))</f>
        <v/>
      </c>
      <c r="T838" t="str">
        <f>IF(S838="","",IF(S838="[FÓRMULA MANUAL]","",IFERROR(AVERAGEIFS(DATOS!$K$2:$K$20000,DATOS!$A$2:$A$20000,S838,DATOS!$G$2:$G$20000,CONFIG_METADATA!$B$4,DATOS!$I$2:$I$20000,"Armonía"),"")))</f>
        <v/>
      </c>
      <c r="U838" t="str">
        <f>IF(S838="","",IF(S838="[FÓRMULA MANUAL]","",IFERROR(AVERAGEIFS(DATOS!$K$2:$K$20000,DATOS!$A$2:$A$20000,S838,DATOS!$G$2:$G$20000,CONFIG_METADATA!$B$4,DATOS!$I$2:$I$20000,"Orquesta/Banda/Conjunto"),"")))</f>
        <v/>
      </c>
      <c r="V838" t="str">
        <f>IF(S838="","",IF(S838="[FÓRMULA MANUAL]","",IFERROR(AVERAGEIFS(DATOS!$K$2:$K$20000,DATOS!$A$2:$A$20000,S838,DATOS!$G$2:$G$20000,CONFIG_METADATA!$B$4,DATOS!$I$2:$I$20000,"Música de Cámara"),"")))</f>
        <v/>
      </c>
      <c r="W838" t="str">
        <f>IF(S838="","",IF(S838="[FÓRMULA MANUAL]","",IFERROR(SUMPRODUCT((DATOS!$A$2:$A$20000=S838)*(DATOS!$G$2:$G$20000=CONFIG_METADATA!$B$4)*(COUNTIF(CONFIG_ASIGNATURAS!$B$7:$B$27,DATOS!$I$2:$I$20000)&gt;0)*(DATOS!$K$2:$K$20000))/SUMPRODUCT((DATOS!$A$2:$A$20000=S838)*(DATOS!$G$2:$G$20000=CONFIG_METADATA!$B$4)*(COUNTIF(CONFIG_ASIGNATURAS!$B$7:$B$27,DATOS!$I$2:$I$20000)&gt;0)*1),"")))</f>
        <v/>
      </c>
      <c r="Z838" t="str">
        <f>IF(Y838="","",IF(Y838="[FÓRMULA MANUAL]","",IFERROR(AVERAGEIFS(DATOS!$K$2:$K$20000,DATOS!$A$2:$A$20000,Y838,DATOS!$G$2:$G$20000,CONFIG_METADATA!$B$4,DATOS!$I$2:$I$20000,"Análisis"),"")))</f>
        <v/>
      </c>
      <c r="AA838" t="str">
        <f>IF(Y838="","",IF(Y838="[FÓRMULA MANUAL]","",IFERROR(AVERAGEIFS(DATOS!$K$2:$K$20000,DATOS!$A$2:$A$20000,Y838,DATOS!$G$2:$G$20000,CONFIG_METADATA!$B$4,DATOS!$I$2:$I$20000,"Orquesta/Banda/Conjunto"),"")))</f>
        <v/>
      </c>
      <c r="AB838" t="str">
        <f>IF(Y838="","",IF(Y838="[FÓRMULA MANUAL]","",IFERROR(AVERAGEIFS(DATOS!$K$2:$K$20000,DATOS!$A$2:$A$20000,Y838,DATOS!$G$2:$G$20000,CONFIG_METADATA!$B$4,DATOS!$I$2:$I$20000,"Música de Cámara"),"")))</f>
        <v/>
      </c>
      <c r="AC838" t="str">
        <f>IF(Y838="","",IF(Y838="[FÓRMULA MANUAL]","",IFERROR(SUMPRODUCT((DATOS!$A$2:$A$20000=Y838)*(DATOS!$G$2:$G$20000=CONFIG_METADATA!$B$4)*(COUNTIF(CONFIG_ASIGNATURAS!$B$7:$B$27,DATOS!$I$2:$I$20000)&gt;0)*(DATOS!$K$2:$K$20000))/SUMPRODUCT((DATOS!$A$2:$A$20000=Y838)*(DATOS!$G$2:$G$20000=CONFIG_METADATA!$B$4)*(COUNTIF(CONFIG_ASIGNATURAS!$B$7:$B$27,DATOS!$I$2:$I$20000)&gt;0)*1),"")))</f>
        <v/>
      </c>
      <c r="AF838" t="str">
        <f>IF(AE838="","",IF(AE838="[FÓRMULA MANUAL]","",IFERROR(AVERAGEIFS(DATOS!$K$2:$K$20000,DATOS!$A$2:$A$20000,AE838,DATOS!$G$2:$G$20000,CONFIG_METADATA!$B$4,DATOS!$I$2:$I$20000,"Análisis"),"")))</f>
        <v/>
      </c>
      <c r="AG838" t="str">
        <f>IF(AE838="","",IF(AE838="[FÓRMULA MANUAL]","",IFERROR(AVERAGEIFS(DATOS!$K$2:$K$20000,DATOS!$A$2:$A$20000,AE838,DATOS!$G$2:$G$20000,CONFIG_METADATA!$B$4,DATOS!$I$2:$I$20000,"Orquesta/Banda/Conjunto"),"")))</f>
        <v/>
      </c>
      <c r="AH838" t="str">
        <f>IF(AE838="","",IF(AE838="[FÓRMULA MANUAL]","",IFERROR(AVERAGEIFS(DATOS!$K$2:$K$20000,DATOS!$A$2:$A$20000,AE838,DATOS!$G$2:$G$20000,CONFIG_METADATA!$B$4,DATOS!$I$2:$I$20000,"Música de Cámara"),"")))</f>
        <v/>
      </c>
      <c r="AI838" t="str">
        <f>IF(AE838="","",IF(AE838="[FÓRMULA MANUAL]","",IFERROR(SUMPRODUCT((DATOS!$A$2:$A$20000=AE838)*(DATOS!$G$2:$G$20000=CONFIG_METADATA!$B$4)*(COUNTIF(CONFIG_ASIGNATURAS!$B$7:$B$27,DATOS!$I$2:$I$20000)&gt;0)*(DATOS!$K$2:$K$20000))/SUMPRODUCT((DATOS!$A$2:$A$20000=AE838)*(DATOS!$G$2:$G$20000=CONFIG_METADATA!$B$4)*(COUNTIF(CONFIG_ASIGNATURAS!$B$7:$B$27,DATOS!$I$2:$I$20000)&gt;0)*1),"")))</f>
        <v/>
      </c>
    </row>
    <row r="839" spans="2:35" x14ac:dyDescent="0.2">
      <c r="B839" t="str">
        <f>IF(A839="","",IF(A839="[FÓRMULA MANUAL]","",IFERROR(AVERAGEIFS(DATOS!$K$2:$K$20000,DATOS!$A$2:$A$20000,A839,DATOS!$G$2:$G$20000,CONFIG_METADATA!$B$4,DATOS!$I$2:$I$20000,"Lenguaje Musical"),"")))</f>
        <v/>
      </c>
      <c r="C839" t="str">
        <f>IF(A839="","",IF(A839="[FÓRMULA MANUAL]","",IFERROR(AVERAGEIFS(DATOS!$K$2:$K$20000,DATOS!$A$2:$A$20000,A839,DATOS!$G$2:$G$20000,CONFIG_METADATA!$B$4,DATOS!$I$2:$I$20000,"Orquesta/Banda/Conjunto"),"")))</f>
        <v/>
      </c>
      <c r="D839" t="str">
        <f>IF(A839="","",IF(A839="[FÓRMULA MANUAL]","",IFERROR(AVERAGEIFS(DATOS!$K$2:$K$20000,DATOS!$A$2:$A$20000,A839,DATOS!$G$2:$G$20000,CONFIG_METADATA!$B$4,DATOS!$I$2:$I$20000,"Conjunto"),"")))</f>
        <v/>
      </c>
      <c r="E839" t="str">
        <f>IF(A839="","",IF(A839="[FÓRMULA MANUAL]","",IFERROR(SUMPRODUCT((DATOS!$A$2:$A$20000=A839)*(DATOS!$G$2:$G$20000=CONFIG_METADATA!$B$4)*(COUNTIF(CONFIG_ASIGNATURAS!$B$7:$B$27,DATOS!$I$2:$I$20000)&gt;0)*(DATOS!$K$2:$K$20000))/SUMPRODUCT((DATOS!$A$2:$A$20000=A839)*(DATOS!$G$2:$G$20000=CONFIG_METADATA!$B$4)*(COUNTIF(CONFIG_ASIGNATURAS!$B$7:$B$27,DATOS!$I$2:$I$20000)&gt;0)*1),"")))</f>
        <v/>
      </c>
      <c r="H839" t="str">
        <f>IF(G839="","",IF(G839="[FÓRMULA MANUAL]","",IFERROR(AVERAGEIFS(DATOS!$K$2:$K$20000,DATOS!$A$2:$A$20000,G839,DATOS!$G$2:$G$20000,CONFIG_METADATA!$B$4,DATOS!$I$2:$I$20000,"Lenguaje Musical"),"")))</f>
        <v/>
      </c>
      <c r="I839" t="str">
        <f>IF(G839="","",IF(G839="[FÓRMULA MANUAL]","",IFERROR(AVERAGEIFS(DATOS!$K$2:$K$20000,DATOS!$A$2:$A$20000,G839,DATOS!$G$2:$G$20000,CONFIG_METADATA!$B$4,DATOS!$I$2:$I$20000,"Orquesta/Banda/Conjunto"),"")))</f>
        <v/>
      </c>
      <c r="J839" t="str">
        <f>IF(G839="","",IF(G839="[FÓRMULA MANUAL]","",IFERROR(AVERAGEIFS(DATOS!$K$2:$K$20000,DATOS!$A$2:$A$20000,G839,DATOS!$G$2:$G$20000,CONFIG_METADATA!$B$4,DATOS!$I$2:$I$20000,"Conjunto"),"")))</f>
        <v/>
      </c>
      <c r="K839" t="str">
        <f>IF(G839="","",IF(G839="[FÓRMULA MANUAL]","",IFERROR(SUMPRODUCT((DATOS!$A$2:$A$20000=G839)*(DATOS!$G$2:$G$20000=CONFIG_METADATA!$B$4)*(COUNTIF(CONFIG_ASIGNATURAS!$B$7:$B$27,DATOS!$I$2:$I$20000)&gt;0)*(DATOS!$K$2:$K$20000))/SUMPRODUCT((DATOS!$A$2:$A$20000=G839)*(DATOS!$G$2:$G$20000=CONFIG_METADATA!$B$4)*(COUNTIF(CONFIG_ASIGNATURAS!$B$7:$B$27,DATOS!$I$2:$I$20000)&gt;0)*1),"")))</f>
        <v/>
      </c>
      <c r="N839" t="str">
        <f>IF(M839="","",IF(M839="[FÓRMULA MANUAL]","",IFERROR(AVERAGEIFS(DATOS!$K$2:$K$20000,DATOS!$A$2:$A$20000,M839,DATOS!$G$2:$G$20000,CONFIG_METADATA!$B$4,DATOS!$I$2:$I$20000,"Armonía"),"")))</f>
        <v/>
      </c>
      <c r="O839" t="str">
        <f>IF(M839="","",IF(M839="[FÓRMULA MANUAL]","",IFERROR(AVERAGEIFS(DATOS!$K$2:$K$20000,DATOS!$A$2:$A$20000,M839,DATOS!$G$2:$G$20000,CONFIG_METADATA!$B$4,DATOS!$I$2:$I$20000,"Orquesta/Banda/Conjunto"),"")))</f>
        <v/>
      </c>
      <c r="P839" t="str">
        <f>IF(M839="","",IF(M839="[FÓRMULA MANUAL]","",IFERROR(AVERAGEIFS(DATOS!$K$2:$K$20000,DATOS!$A$2:$A$20000,M839,DATOS!$G$2:$G$20000,CONFIG_METADATA!$B$4,DATOS!$I$2:$I$20000,"Música de Cámara"),"")))</f>
        <v/>
      </c>
      <c r="Q839" t="str">
        <f>IF(M839="","",IF(M839="[FÓRMULA MANUAL]","",IFERROR(SUMPRODUCT((DATOS!$A$2:$A$20000=M839)*(DATOS!$G$2:$G$20000=CONFIG_METADATA!$B$4)*(COUNTIF(CONFIG_ASIGNATURAS!$B$7:$B$27,DATOS!$I$2:$I$20000)&gt;0)*(DATOS!$K$2:$K$20000))/SUMPRODUCT((DATOS!$A$2:$A$20000=M839)*(DATOS!$G$2:$G$20000=CONFIG_METADATA!$B$4)*(COUNTIF(CONFIG_ASIGNATURAS!$B$7:$B$27,DATOS!$I$2:$I$20000)&gt;0)*1),"")))</f>
        <v/>
      </c>
      <c r="T839" t="str">
        <f>IF(S839="","",IF(S839="[FÓRMULA MANUAL]","",IFERROR(AVERAGEIFS(DATOS!$K$2:$K$20000,DATOS!$A$2:$A$20000,S839,DATOS!$G$2:$G$20000,CONFIG_METADATA!$B$4,DATOS!$I$2:$I$20000,"Armonía"),"")))</f>
        <v/>
      </c>
      <c r="U839" t="str">
        <f>IF(S839="","",IF(S839="[FÓRMULA MANUAL]","",IFERROR(AVERAGEIFS(DATOS!$K$2:$K$20000,DATOS!$A$2:$A$20000,S839,DATOS!$G$2:$G$20000,CONFIG_METADATA!$B$4,DATOS!$I$2:$I$20000,"Orquesta/Banda/Conjunto"),"")))</f>
        <v/>
      </c>
      <c r="V839" t="str">
        <f>IF(S839="","",IF(S839="[FÓRMULA MANUAL]","",IFERROR(AVERAGEIFS(DATOS!$K$2:$K$20000,DATOS!$A$2:$A$20000,S839,DATOS!$G$2:$G$20000,CONFIG_METADATA!$B$4,DATOS!$I$2:$I$20000,"Música de Cámara"),"")))</f>
        <v/>
      </c>
      <c r="W839" t="str">
        <f>IF(S839="","",IF(S839="[FÓRMULA MANUAL]","",IFERROR(SUMPRODUCT((DATOS!$A$2:$A$20000=S839)*(DATOS!$G$2:$G$20000=CONFIG_METADATA!$B$4)*(COUNTIF(CONFIG_ASIGNATURAS!$B$7:$B$27,DATOS!$I$2:$I$20000)&gt;0)*(DATOS!$K$2:$K$20000))/SUMPRODUCT((DATOS!$A$2:$A$20000=S839)*(DATOS!$G$2:$G$20000=CONFIG_METADATA!$B$4)*(COUNTIF(CONFIG_ASIGNATURAS!$B$7:$B$27,DATOS!$I$2:$I$20000)&gt;0)*1),"")))</f>
        <v/>
      </c>
      <c r="Z839" t="str">
        <f>IF(Y839="","",IF(Y839="[FÓRMULA MANUAL]","",IFERROR(AVERAGEIFS(DATOS!$K$2:$K$20000,DATOS!$A$2:$A$20000,Y839,DATOS!$G$2:$G$20000,CONFIG_METADATA!$B$4,DATOS!$I$2:$I$20000,"Análisis"),"")))</f>
        <v/>
      </c>
      <c r="AA839" t="str">
        <f>IF(Y839="","",IF(Y839="[FÓRMULA MANUAL]","",IFERROR(AVERAGEIFS(DATOS!$K$2:$K$20000,DATOS!$A$2:$A$20000,Y839,DATOS!$G$2:$G$20000,CONFIG_METADATA!$B$4,DATOS!$I$2:$I$20000,"Orquesta/Banda/Conjunto"),"")))</f>
        <v/>
      </c>
      <c r="AB839" t="str">
        <f>IF(Y839="","",IF(Y839="[FÓRMULA MANUAL]","",IFERROR(AVERAGEIFS(DATOS!$K$2:$K$20000,DATOS!$A$2:$A$20000,Y839,DATOS!$G$2:$G$20000,CONFIG_METADATA!$B$4,DATOS!$I$2:$I$20000,"Música de Cámara"),"")))</f>
        <v/>
      </c>
      <c r="AC839" t="str">
        <f>IF(Y839="","",IF(Y839="[FÓRMULA MANUAL]","",IFERROR(SUMPRODUCT((DATOS!$A$2:$A$20000=Y839)*(DATOS!$G$2:$G$20000=CONFIG_METADATA!$B$4)*(COUNTIF(CONFIG_ASIGNATURAS!$B$7:$B$27,DATOS!$I$2:$I$20000)&gt;0)*(DATOS!$K$2:$K$20000))/SUMPRODUCT((DATOS!$A$2:$A$20000=Y839)*(DATOS!$G$2:$G$20000=CONFIG_METADATA!$B$4)*(COUNTIF(CONFIG_ASIGNATURAS!$B$7:$B$27,DATOS!$I$2:$I$20000)&gt;0)*1),"")))</f>
        <v/>
      </c>
      <c r="AF839" t="str">
        <f>IF(AE839="","",IF(AE839="[FÓRMULA MANUAL]","",IFERROR(AVERAGEIFS(DATOS!$K$2:$K$20000,DATOS!$A$2:$A$20000,AE839,DATOS!$G$2:$G$20000,CONFIG_METADATA!$B$4,DATOS!$I$2:$I$20000,"Análisis"),"")))</f>
        <v/>
      </c>
      <c r="AG839" t="str">
        <f>IF(AE839="","",IF(AE839="[FÓRMULA MANUAL]","",IFERROR(AVERAGEIFS(DATOS!$K$2:$K$20000,DATOS!$A$2:$A$20000,AE839,DATOS!$G$2:$G$20000,CONFIG_METADATA!$B$4,DATOS!$I$2:$I$20000,"Orquesta/Banda/Conjunto"),"")))</f>
        <v/>
      </c>
      <c r="AH839" t="str">
        <f>IF(AE839="","",IF(AE839="[FÓRMULA MANUAL]","",IFERROR(AVERAGEIFS(DATOS!$K$2:$K$20000,DATOS!$A$2:$A$20000,AE839,DATOS!$G$2:$G$20000,CONFIG_METADATA!$B$4,DATOS!$I$2:$I$20000,"Música de Cámara"),"")))</f>
        <v/>
      </c>
      <c r="AI839" t="str">
        <f>IF(AE839="","",IF(AE839="[FÓRMULA MANUAL]","",IFERROR(SUMPRODUCT((DATOS!$A$2:$A$20000=AE839)*(DATOS!$G$2:$G$20000=CONFIG_METADATA!$B$4)*(COUNTIF(CONFIG_ASIGNATURAS!$B$7:$B$27,DATOS!$I$2:$I$20000)&gt;0)*(DATOS!$K$2:$K$20000))/SUMPRODUCT((DATOS!$A$2:$A$20000=AE839)*(DATOS!$G$2:$G$20000=CONFIG_METADATA!$B$4)*(COUNTIF(CONFIG_ASIGNATURAS!$B$7:$B$27,DATOS!$I$2:$I$20000)&gt;0)*1),"")))</f>
        <v/>
      </c>
    </row>
    <row r="840" spans="2:35" x14ac:dyDescent="0.2">
      <c r="B840" t="str">
        <f>IF(A840="","",IF(A840="[FÓRMULA MANUAL]","",IFERROR(AVERAGEIFS(DATOS!$K$2:$K$20000,DATOS!$A$2:$A$20000,A840,DATOS!$G$2:$G$20000,CONFIG_METADATA!$B$4,DATOS!$I$2:$I$20000,"Lenguaje Musical"),"")))</f>
        <v/>
      </c>
      <c r="C840" t="str">
        <f>IF(A840="","",IF(A840="[FÓRMULA MANUAL]","",IFERROR(AVERAGEIFS(DATOS!$K$2:$K$20000,DATOS!$A$2:$A$20000,A840,DATOS!$G$2:$G$20000,CONFIG_METADATA!$B$4,DATOS!$I$2:$I$20000,"Orquesta/Banda/Conjunto"),"")))</f>
        <v/>
      </c>
      <c r="D840" t="str">
        <f>IF(A840="","",IF(A840="[FÓRMULA MANUAL]","",IFERROR(AVERAGEIFS(DATOS!$K$2:$K$20000,DATOS!$A$2:$A$20000,A840,DATOS!$G$2:$G$20000,CONFIG_METADATA!$B$4,DATOS!$I$2:$I$20000,"Conjunto"),"")))</f>
        <v/>
      </c>
      <c r="E840" t="str">
        <f>IF(A840="","",IF(A840="[FÓRMULA MANUAL]","",IFERROR(SUMPRODUCT((DATOS!$A$2:$A$20000=A840)*(DATOS!$G$2:$G$20000=CONFIG_METADATA!$B$4)*(COUNTIF(CONFIG_ASIGNATURAS!$B$7:$B$27,DATOS!$I$2:$I$20000)&gt;0)*(DATOS!$K$2:$K$20000))/SUMPRODUCT((DATOS!$A$2:$A$20000=A840)*(DATOS!$G$2:$G$20000=CONFIG_METADATA!$B$4)*(COUNTIF(CONFIG_ASIGNATURAS!$B$7:$B$27,DATOS!$I$2:$I$20000)&gt;0)*1),"")))</f>
        <v/>
      </c>
      <c r="H840" t="str">
        <f>IF(G840="","",IF(G840="[FÓRMULA MANUAL]","",IFERROR(AVERAGEIFS(DATOS!$K$2:$K$20000,DATOS!$A$2:$A$20000,G840,DATOS!$G$2:$G$20000,CONFIG_METADATA!$B$4,DATOS!$I$2:$I$20000,"Lenguaje Musical"),"")))</f>
        <v/>
      </c>
      <c r="I840" t="str">
        <f>IF(G840="","",IF(G840="[FÓRMULA MANUAL]","",IFERROR(AVERAGEIFS(DATOS!$K$2:$K$20000,DATOS!$A$2:$A$20000,G840,DATOS!$G$2:$G$20000,CONFIG_METADATA!$B$4,DATOS!$I$2:$I$20000,"Orquesta/Banda/Conjunto"),"")))</f>
        <v/>
      </c>
      <c r="J840" t="str">
        <f>IF(G840="","",IF(G840="[FÓRMULA MANUAL]","",IFERROR(AVERAGEIFS(DATOS!$K$2:$K$20000,DATOS!$A$2:$A$20000,G840,DATOS!$G$2:$G$20000,CONFIG_METADATA!$B$4,DATOS!$I$2:$I$20000,"Conjunto"),"")))</f>
        <v/>
      </c>
      <c r="K840" t="str">
        <f>IF(G840="","",IF(G840="[FÓRMULA MANUAL]","",IFERROR(SUMPRODUCT((DATOS!$A$2:$A$20000=G840)*(DATOS!$G$2:$G$20000=CONFIG_METADATA!$B$4)*(COUNTIF(CONFIG_ASIGNATURAS!$B$7:$B$27,DATOS!$I$2:$I$20000)&gt;0)*(DATOS!$K$2:$K$20000))/SUMPRODUCT((DATOS!$A$2:$A$20000=G840)*(DATOS!$G$2:$G$20000=CONFIG_METADATA!$B$4)*(COUNTIF(CONFIG_ASIGNATURAS!$B$7:$B$27,DATOS!$I$2:$I$20000)&gt;0)*1),"")))</f>
        <v/>
      </c>
      <c r="N840" t="str">
        <f>IF(M840="","",IF(M840="[FÓRMULA MANUAL]","",IFERROR(AVERAGEIFS(DATOS!$K$2:$K$20000,DATOS!$A$2:$A$20000,M840,DATOS!$G$2:$G$20000,CONFIG_METADATA!$B$4,DATOS!$I$2:$I$20000,"Armonía"),"")))</f>
        <v/>
      </c>
      <c r="O840" t="str">
        <f>IF(M840="","",IF(M840="[FÓRMULA MANUAL]","",IFERROR(AVERAGEIFS(DATOS!$K$2:$K$20000,DATOS!$A$2:$A$20000,M840,DATOS!$G$2:$G$20000,CONFIG_METADATA!$B$4,DATOS!$I$2:$I$20000,"Orquesta/Banda/Conjunto"),"")))</f>
        <v/>
      </c>
      <c r="P840" t="str">
        <f>IF(M840="","",IF(M840="[FÓRMULA MANUAL]","",IFERROR(AVERAGEIFS(DATOS!$K$2:$K$20000,DATOS!$A$2:$A$20000,M840,DATOS!$G$2:$G$20000,CONFIG_METADATA!$B$4,DATOS!$I$2:$I$20000,"Música de Cámara"),"")))</f>
        <v/>
      </c>
      <c r="Q840" t="str">
        <f>IF(M840="","",IF(M840="[FÓRMULA MANUAL]","",IFERROR(SUMPRODUCT((DATOS!$A$2:$A$20000=M840)*(DATOS!$G$2:$G$20000=CONFIG_METADATA!$B$4)*(COUNTIF(CONFIG_ASIGNATURAS!$B$7:$B$27,DATOS!$I$2:$I$20000)&gt;0)*(DATOS!$K$2:$K$20000))/SUMPRODUCT((DATOS!$A$2:$A$20000=M840)*(DATOS!$G$2:$G$20000=CONFIG_METADATA!$B$4)*(COUNTIF(CONFIG_ASIGNATURAS!$B$7:$B$27,DATOS!$I$2:$I$20000)&gt;0)*1),"")))</f>
        <v/>
      </c>
      <c r="T840" t="str">
        <f>IF(S840="","",IF(S840="[FÓRMULA MANUAL]","",IFERROR(AVERAGEIFS(DATOS!$K$2:$K$20000,DATOS!$A$2:$A$20000,S840,DATOS!$G$2:$G$20000,CONFIG_METADATA!$B$4,DATOS!$I$2:$I$20000,"Armonía"),"")))</f>
        <v/>
      </c>
      <c r="U840" t="str">
        <f>IF(S840="","",IF(S840="[FÓRMULA MANUAL]","",IFERROR(AVERAGEIFS(DATOS!$K$2:$K$20000,DATOS!$A$2:$A$20000,S840,DATOS!$G$2:$G$20000,CONFIG_METADATA!$B$4,DATOS!$I$2:$I$20000,"Orquesta/Banda/Conjunto"),"")))</f>
        <v/>
      </c>
      <c r="V840" t="str">
        <f>IF(S840="","",IF(S840="[FÓRMULA MANUAL]","",IFERROR(AVERAGEIFS(DATOS!$K$2:$K$20000,DATOS!$A$2:$A$20000,S840,DATOS!$G$2:$G$20000,CONFIG_METADATA!$B$4,DATOS!$I$2:$I$20000,"Música de Cámara"),"")))</f>
        <v/>
      </c>
      <c r="W840" t="str">
        <f>IF(S840="","",IF(S840="[FÓRMULA MANUAL]","",IFERROR(SUMPRODUCT((DATOS!$A$2:$A$20000=S840)*(DATOS!$G$2:$G$20000=CONFIG_METADATA!$B$4)*(COUNTIF(CONFIG_ASIGNATURAS!$B$7:$B$27,DATOS!$I$2:$I$20000)&gt;0)*(DATOS!$K$2:$K$20000))/SUMPRODUCT((DATOS!$A$2:$A$20000=S840)*(DATOS!$G$2:$G$20000=CONFIG_METADATA!$B$4)*(COUNTIF(CONFIG_ASIGNATURAS!$B$7:$B$27,DATOS!$I$2:$I$20000)&gt;0)*1),"")))</f>
        <v/>
      </c>
      <c r="Z840" t="str">
        <f>IF(Y840="","",IF(Y840="[FÓRMULA MANUAL]","",IFERROR(AVERAGEIFS(DATOS!$K$2:$K$20000,DATOS!$A$2:$A$20000,Y840,DATOS!$G$2:$G$20000,CONFIG_METADATA!$B$4,DATOS!$I$2:$I$20000,"Análisis"),"")))</f>
        <v/>
      </c>
      <c r="AA840" t="str">
        <f>IF(Y840="","",IF(Y840="[FÓRMULA MANUAL]","",IFERROR(AVERAGEIFS(DATOS!$K$2:$K$20000,DATOS!$A$2:$A$20000,Y840,DATOS!$G$2:$G$20000,CONFIG_METADATA!$B$4,DATOS!$I$2:$I$20000,"Orquesta/Banda/Conjunto"),"")))</f>
        <v/>
      </c>
      <c r="AB840" t="str">
        <f>IF(Y840="","",IF(Y840="[FÓRMULA MANUAL]","",IFERROR(AVERAGEIFS(DATOS!$K$2:$K$20000,DATOS!$A$2:$A$20000,Y840,DATOS!$G$2:$G$20000,CONFIG_METADATA!$B$4,DATOS!$I$2:$I$20000,"Música de Cámara"),"")))</f>
        <v/>
      </c>
      <c r="AC840" t="str">
        <f>IF(Y840="","",IF(Y840="[FÓRMULA MANUAL]","",IFERROR(SUMPRODUCT((DATOS!$A$2:$A$20000=Y840)*(DATOS!$G$2:$G$20000=CONFIG_METADATA!$B$4)*(COUNTIF(CONFIG_ASIGNATURAS!$B$7:$B$27,DATOS!$I$2:$I$20000)&gt;0)*(DATOS!$K$2:$K$20000))/SUMPRODUCT((DATOS!$A$2:$A$20000=Y840)*(DATOS!$G$2:$G$20000=CONFIG_METADATA!$B$4)*(COUNTIF(CONFIG_ASIGNATURAS!$B$7:$B$27,DATOS!$I$2:$I$20000)&gt;0)*1),"")))</f>
        <v/>
      </c>
      <c r="AF840" t="str">
        <f>IF(AE840="","",IF(AE840="[FÓRMULA MANUAL]","",IFERROR(AVERAGEIFS(DATOS!$K$2:$K$20000,DATOS!$A$2:$A$20000,AE840,DATOS!$G$2:$G$20000,CONFIG_METADATA!$B$4,DATOS!$I$2:$I$20000,"Análisis"),"")))</f>
        <v/>
      </c>
      <c r="AG840" t="str">
        <f>IF(AE840="","",IF(AE840="[FÓRMULA MANUAL]","",IFERROR(AVERAGEIFS(DATOS!$K$2:$K$20000,DATOS!$A$2:$A$20000,AE840,DATOS!$G$2:$G$20000,CONFIG_METADATA!$B$4,DATOS!$I$2:$I$20000,"Orquesta/Banda/Conjunto"),"")))</f>
        <v/>
      </c>
      <c r="AH840" t="str">
        <f>IF(AE840="","",IF(AE840="[FÓRMULA MANUAL]","",IFERROR(AVERAGEIFS(DATOS!$K$2:$K$20000,DATOS!$A$2:$A$20000,AE840,DATOS!$G$2:$G$20000,CONFIG_METADATA!$B$4,DATOS!$I$2:$I$20000,"Música de Cámara"),"")))</f>
        <v/>
      </c>
      <c r="AI840" t="str">
        <f>IF(AE840="","",IF(AE840="[FÓRMULA MANUAL]","",IFERROR(SUMPRODUCT((DATOS!$A$2:$A$20000=AE840)*(DATOS!$G$2:$G$20000=CONFIG_METADATA!$B$4)*(COUNTIF(CONFIG_ASIGNATURAS!$B$7:$B$27,DATOS!$I$2:$I$20000)&gt;0)*(DATOS!$K$2:$K$20000))/SUMPRODUCT((DATOS!$A$2:$A$20000=AE840)*(DATOS!$G$2:$G$20000=CONFIG_METADATA!$B$4)*(COUNTIF(CONFIG_ASIGNATURAS!$B$7:$B$27,DATOS!$I$2:$I$20000)&gt;0)*1),"")))</f>
        <v/>
      </c>
    </row>
    <row r="841" spans="2:35" x14ac:dyDescent="0.2">
      <c r="B841" t="str">
        <f>IF(A841="","",IF(A841="[FÓRMULA MANUAL]","",IFERROR(AVERAGEIFS(DATOS!$K$2:$K$20000,DATOS!$A$2:$A$20000,A841,DATOS!$G$2:$G$20000,CONFIG_METADATA!$B$4,DATOS!$I$2:$I$20000,"Lenguaje Musical"),"")))</f>
        <v/>
      </c>
      <c r="C841" t="str">
        <f>IF(A841="","",IF(A841="[FÓRMULA MANUAL]","",IFERROR(AVERAGEIFS(DATOS!$K$2:$K$20000,DATOS!$A$2:$A$20000,A841,DATOS!$G$2:$G$20000,CONFIG_METADATA!$B$4,DATOS!$I$2:$I$20000,"Orquesta/Banda/Conjunto"),"")))</f>
        <v/>
      </c>
      <c r="D841" t="str">
        <f>IF(A841="","",IF(A841="[FÓRMULA MANUAL]","",IFERROR(AVERAGEIFS(DATOS!$K$2:$K$20000,DATOS!$A$2:$A$20000,A841,DATOS!$G$2:$G$20000,CONFIG_METADATA!$B$4,DATOS!$I$2:$I$20000,"Conjunto"),"")))</f>
        <v/>
      </c>
      <c r="E841" t="str">
        <f>IF(A841="","",IF(A841="[FÓRMULA MANUAL]","",IFERROR(SUMPRODUCT((DATOS!$A$2:$A$20000=A841)*(DATOS!$G$2:$G$20000=CONFIG_METADATA!$B$4)*(COUNTIF(CONFIG_ASIGNATURAS!$B$7:$B$27,DATOS!$I$2:$I$20000)&gt;0)*(DATOS!$K$2:$K$20000))/SUMPRODUCT((DATOS!$A$2:$A$20000=A841)*(DATOS!$G$2:$G$20000=CONFIG_METADATA!$B$4)*(COUNTIF(CONFIG_ASIGNATURAS!$B$7:$B$27,DATOS!$I$2:$I$20000)&gt;0)*1),"")))</f>
        <v/>
      </c>
      <c r="H841" t="str">
        <f>IF(G841="","",IF(G841="[FÓRMULA MANUAL]","",IFERROR(AVERAGEIFS(DATOS!$K$2:$K$20000,DATOS!$A$2:$A$20000,G841,DATOS!$G$2:$G$20000,CONFIG_METADATA!$B$4,DATOS!$I$2:$I$20000,"Lenguaje Musical"),"")))</f>
        <v/>
      </c>
      <c r="I841" t="str">
        <f>IF(G841="","",IF(G841="[FÓRMULA MANUAL]","",IFERROR(AVERAGEIFS(DATOS!$K$2:$K$20000,DATOS!$A$2:$A$20000,G841,DATOS!$G$2:$G$20000,CONFIG_METADATA!$B$4,DATOS!$I$2:$I$20000,"Orquesta/Banda/Conjunto"),"")))</f>
        <v/>
      </c>
      <c r="J841" t="str">
        <f>IF(G841="","",IF(G841="[FÓRMULA MANUAL]","",IFERROR(AVERAGEIFS(DATOS!$K$2:$K$20000,DATOS!$A$2:$A$20000,G841,DATOS!$G$2:$G$20000,CONFIG_METADATA!$B$4,DATOS!$I$2:$I$20000,"Conjunto"),"")))</f>
        <v/>
      </c>
      <c r="K841" t="str">
        <f>IF(G841="","",IF(G841="[FÓRMULA MANUAL]","",IFERROR(SUMPRODUCT((DATOS!$A$2:$A$20000=G841)*(DATOS!$G$2:$G$20000=CONFIG_METADATA!$B$4)*(COUNTIF(CONFIG_ASIGNATURAS!$B$7:$B$27,DATOS!$I$2:$I$20000)&gt;0)*(DATOS!$K$2:$K$20000))/SUMPRODUCT((DATOS!$A$2:$A$20000=G841)*(DATOS!$G$2:$G$20000=CONFIG_METADATA!$B$4)*(COUNTIF(CONFIG_ASIGNATURAS!$B$7:$B$27,DATOS!$I$2:$I$20000)&gt;0)*1),"")))</f>
        <v/>
      </c>
      <c r="N841" t="str">
        <f>IF(M841="","",IF(M841="[FÓRMULA MANUAL]","",IFERROR(AVERAGEIFS(DATOS!$K$2:$K$20000,DATOS!$A$2:$A$20000,M841,DATOS!$G$2:$G$20000,CONFIG_METADATA!$B$4,DATOS!$I$2:$I$20000,"Armonía"),"")))</f>
        <v/>
      </c>
      <c r="O841" t="str">
        <f>IF(M841="","",IF(M841="[FÓRMULA MANUAL]","",IFERROR(AVERAGEIFS(DATOS!$K$2:$K$20000,DATOS!$A$2:$A$20000,M841,DATOS!$G$2:$G$20000,CONFIG_METADATA!$B$4,DATOS!$I$2:$I$20000,"Orquesta/Banda/Conjunto"),"")))</f>
        <v/>
      </c>
      <c r="P841" t="str">
        <f>IF(M841="","",IF(M841="[FÓRMULA MANUAL]","",IFERROR(AVERAGEIFS(DATOS!$K$2:$K$20000,DATOS!$A$2:$A$20000,M841,DATOS!$G$2:$G$20000,CONFIG_METADATA!$B$4,DATOS!$I$2:$I$20000,"Música de Cámara"),"")))</f>
        <v/>
      </c>
      <c r="Q841" t="str">
        <f>IF(M841="","",IF(M841="[FÓRMULA MANUAL]","",IFERROR(SUMPRODUCT((DATOS!$A$2:$A$20000=M841)*(DATOS!$G$2:$G$20000=CONFIG_METADATA!$B$4)*(COUNTIF(CONFIG_ASIGNATURAS!$B$7:$B$27,DATOS!$I$2:$I$20000)&gt;0)*(DATOS!$K$2:$K$20000))/SUMPRODUCT((DATOS!$A$2:$A$20000=M841)*(DATOS!$G$2:$G$20000=CONFIG_METADATA!$B$4)*(COUNTIF(CONFIG_ASIGNATURAS!$B$7:$B$27,DATOS!$I$2:$I$20000)&gt;0)*1),"")))</f>
        <v/>
      </c>
      <c r="T841" t="str">
        <f>IF(S841="","",IF(S841="[FÓRMULA MANUAL]","",IFERROR(AVERAGEIFS(DATOS!$K$2:$K$20000,DATOS!$A$2:$A$20000,S841,DATOS!$G$2:$G$20000,CONFIG_METADATA!$B$4,DATOS!$I$2:$I$20000,"Armonía"),"")))</f>
        <v/>
      </c>
      <c r="U841" t="str">
        <f>IF(S841="","",IF(S841="[FÓRMULA MANUAL]","",IFERROR(AVERAGEIFS(DATOS!$K$2:$K$20000,DATOS!$A$2:$A$20000,S841,DATOS!$G$2:$G$20000,CONFIG_METADATA!$B$4,DATOS!$I$2:$I$20000,"Orquesta/Banda/Conjunto"),"")))</f>
        <v/>
      </c>
      <c r="V841" t="str">
        <f>IF(S841="","",IF(S841="[FÓRMULA MANUAL]","",IFERROR(AVERAGEIFS(DATOS!$K$2:$K$20000,DATOS!$A$2:$A$20000,S841,DATOS!$G$2:$G$20000,CONFIG_METADATA!$B$4,DATOS!$I$2:$I$20000,"Música de Cámara"),"")))</f>
        <v/>
      </c>
      <c r="W841" t="str">
        <f>IF(S841="","",IF(S841="[FÓRMULA MANUAL]","",IFERROR(SUMPRODUCT((DATOS!$A$2:$A$20000=S841)*(DATOS!$G$2:$G$20000=CONFIG_METADATA!$B$4)*(COUNTIF(CONFIG_ASIGNATURAS!$B$7:$B$27,DATOS!$I$2:$I$20000)&gt;0)*(DATOS!$K$2:$K$20000))/SUMPRODUCT((DATOS!$A$2:$A$20000=S841)*(DATOS!$G$2:$G$20000=CONFIG_METADATA!$B$4)*(COUNTIF(CONFIG_ASIGNATURAS!$B$7:$B$27,DATOS!$I$2:$I$20000)&gt;0)*1),"")))</f>
        <v/>
      </c>
      <c r="Z841" t="str">
        <f>IF(Y841="","",IF(Y841="[FÓRMULA MANUAL]","",IFERROR(AVERAGEIFS(DATOS!$K$2:$K$20000,DATOS!$A$2:$A$20000,Y841,DATOS!$G$2:$G$20000,CONFIG_METADATA!$B$4,DATOS!$I$2:$I$20000,"Análisis"),"")))</f>
        <v/>
      </c>
      <c r="AA841" t="str">
        <f>IF(Y841="","",IF(Y841="[FÓRMULA MANUAL]","",IFERROR(AVERAGEIFS(DATOS!$K$2:$K$20000,DATOS!$A$2:$A$20000,Y841,DATOS!$G$2:$G$20000,CONFIG_METADATA!$B$4,DATOS!$I$2:$I$20000,"Orquesta/Banda/Conjunto"),"")))</f>
        <v/>
      </c>
      <c r="AB841" t="str">
        <f>IF(Y841="","",IF(Y841="[FÓRMULA MANUAL]","",IFERROR(AVERAGEIFS(DATOS!$K$2:$K$20000,DATOS!$A$2:$A$20000,Y841,DATOS!$G$2:$G$20000,CONFIG_METADATA!$B$4,DATOS!$I$2:$I$20000,"Música de Cámara"),"")))</f>
        <v/>
      </c>
      <c r="AC841" t="str">
        <f>IF(Y841="","",IF(Y841="[FÓRMULA MANUAL]","",IFERROR(SUMPRODUCT((DATOS!$A$2:$A$20000=Y841)*(DATOS!$G$2:$G$20000=CONFIG_METADATA!$B$4)*(COUNTIF(CONFIG_ASIGNATURAS!$B$7:$B$27,DATOS!$I$2:$I$20000)&gt;0)*(DATOS!$K$2:$K$20000))/SUMPRODUCT((DATOS!$A$2:$A$20000=Y841)*(DATOS!$G$2:$G$20000=CONFIG_METADATA!$B$4)*(COUNTIF(CONFIG_ASIGNATURAS!$B$7:$B$27,DATOS!$I$2:$I$20000)&gt;0)*1),"")))</f>
        <v/>
      </c>
      <c r="AF841" t="str">
        <f>IF(AE841="","",IF(AE841="[FÓRMULA MANUAL]","",IFERROR(AVERAGEIFS(DATOS!$K$2:$K$20000,DATOS!$A$2:$A$20000,AE841,DATOS!$G$2:$G$20000,CONFIG_METADATA!$B$4,DATOS!$I$2:$I$20000,"Análisis"),"")))</f>
        <v/>
      </c>
      <c r="AG841" t="str">
        <f>IF(AE841="","",IF(AE841="[FÓRMULA MANUAL]","",IFERROR(AVERAGEIFS(DATOS!$K$2:$K$20000,DATOS!$A$2:$A$20000,AE841,DATOS!$G$2:$G$20000,CONFIG_METADATA!$B$4,DATOS!$I$2:$I$20000,"Orquesta/Banda/Conjunto"),"")))</f>
        <v/>
      </c>
      <c r="AH841" t="str">
        <f>IF(AE841="","",IF(AE841="[FÓRMULA MANUAL]","",IFERROR(AVERAGEIFS(DATOS!$K$2:$K$20000,DATOS!$A$2:$A$20000,AE841,DATOS!$G$2:$G$20000,CONFIG_METADATA!$B$4,DATOS!$I$2:$I$20000,"Música de Cámara"),"")))</f>
        <v/>
      </c>
      <c r="AI841" t="str">
        <f>IF(AE841="","",IF(AE841="[FÓRMULA MANUAL]","",IFERROR(SUMPRODUCT((DATOS!$A$2:$A$20000=AE841)*(DATOS!$G$2:$G$20000=CONFIG_METADATA!$B$4)*(COUNTIF(CONFIG_ASIGNATURAS!$B$7:$B$27,DATOS!$I$2:$I$20000)&gt;0)*(DATOS!$K$2:$K$20000))/SUMPRODUCT((DATOS!$A$2:$A$20000=AE841)*(DATOS!$G$2:$G$20000=CONFIG_METADATA!$B$4)*(COUNTIF(CONFIG_ASIGNATURAS!$B$7:$B$27,DATOS!$I$2:$I$20000)&gt;0)*1),"")))</f>
        <v/>
      </c>
    </row>
    <row r="842" spans="2:35" x14ac:dyDescent="0.2">
      <c r="B842" t="str">
        <f>IF(A842="","",IF(A842="[FÓRMULA MANUAL]","",IFERROR(AVERAGEIFS(DATOS!$K$2:$K$20000,DATOS!$A$2:$A$20000,A842,DATOS!$G$2:$G$20000,CONFIG_METADATA!$B$4,DATOS!$I$2:$I$20000,"Lenguaje Musical"),"")))</f>
        <v/>
      </c>
      <c r="C842" t="str">
        <f>IF(A842="","",IF(A842="[FÓRMULA MANUAL]","",IFERROR(AVERAGEIFS(DATOS!$K$2:$K$20000,DATOS!$A$2:$A$20000,A842,DATOS!$G$2:$G$20000,CONFIG_METADATA!$B$4,DATOS!$I$2:$I$20000,"Orquesta/Banda/Conjunto"),"")))</f>
        <v/>
      </c>
      <c r="D842" t="str">
        <f>IF(A842="","",IF(A842="[FÓRMULA MANUAL]","",IFERROR(AVERAGEIFS(DATOS!$K$2:$K$20000,DATOS!$A$2:$A$20000,A842,DATOS!$G$2:$G$20000,CONFIG_METADATA!$B$4,DATOS!$I$2:$I$20000,"Conjunto"),"")))</f>
        <v/>
      </c>
      <c r="E842" t="str">
        <f>IF(A842="","",IF(A842="[FÓRMULA MANUAL]","",IFERROR(SUMPRODUCT((DATOS!$A$2:$A$20000=A842)*(DATOS!$G$2:$G$20000=CONFIG_METADATA!$B$4)*(COUNTIF(CONFIG_ASIGNATURAS!$B$7:$B$27,DATOS!$I$2:$I$20000)&gt;0)*(DATOS!$K$2:$K$20000))/SUMPRODUCT((DATOS!$A$2:$A$20000=A842)*(DATOS!$G$2:$G$20000=CONFIG_METADATA!$B$4)*(COUNTIF(CONFIG_ASIGNATURAS!$B$7:$B$27,DATOS!$I$2:$I$20000)&gt;0)*1),"")))</f>
        <v/>
      </c>
      <c r="H842" t="str">
        <f>IF(G842="","",IF(G842="[FÓRMULA MANUAL]","",IFERROR(AVERAGEIFS(DATOS!$K$2:$K$20000,DATOS!$A$2:$A$20000,G842,DATOS!$G$2:$G$20000,CONFIG_METADATA!$B$4,DATOS!$I$2:$I$20000,"Lenguaje Musical"),"")))</f>
        <v/>
      </c>
      <c r="I842" t="str">
        <f>IF(G842="","",IF(G842="[FÓRMULA MANUAL]","",IFERROR(AVERAGEIFS(DATOS!$K$2:$K$20000,DATOS!$A$2:$A$20000,G842,DATOS!$G$2:$G$20000,CONFIG_METADATA!$B$4,DATOS!$I$2:$I$20000,"Orquesta/Banda/Conjunto"),"")))</f>
        <v/>
      </c>
      <c r="J842" t="str">
        <f>IF(G842="","",IF(G842="[FÓRMULA MANUAL]","",IFERROR(AVERAGEIFS(DATOS!$K$2:$K$20000,DATOS!$A$2:$A$20000,G842,DATOS!$G$2:$G$20000,CONFIG_METADATA!$B$4,DATOS!$I$2:$I$20000,"Conjunto"),"")))</f>
        <v/>
      </c>
      <c r="K842" t="str">
        <f>IF(G842="","",IF(G842="[FÓRMULA MANUAL]","",IFERROR(SUMPRODUCT((DATOS!$A$2:$A$20000=G842)*(DATOS!$G$2:$G$20000=CONFIG_METADATA!$B$4)*(COUNTIF(CONFIG_ASIGNATURAS!$B$7:$B$27,DATOS!$I$2:$I$20000)&gt;0)*(DATOS!$K$2:$K$20000))/SUMPRODUCT((DATOS!$A$2:$A$20000=G842)*(DATOS!$G$2:$G$20000=CONFIG_METADATA!$B$4)*(COUNTIF(CONFIG_ASIGNATURAS!$B$7:$B$27,DATOS!$I$2:$I$20000)&gt;0)*1),"")))</f>
        <v/>
      </c>
      <c r="N842" t="str">
        <f>IF(M842="","",IF(M842="[FÓRMULA MANUAL]","",IFERROR(AVERAGEIFS(DATOS!$K$2:$K$20000,DATOS!$A$2:$A$20000,M842,DATOS!$G$2:$G$20000,CONFIG_METADATA!$B$4,DATOS!$I$2:$I$20000,"Armonía"),"")))</f>
        <v/>
      </c>
      <c r="O842" t="str">
        <f>IF(M842="","",IF(M842="[FÓRMULA MANUAL]","",IFERROR(AVERAGEIFS(DATOS!$K$2:$K$20000,DATOS!$A$2:$A$20000,M842,DATOS!$G$2:$G$20000,CONFIG_METADATA!$B$4,DATOS!$I$2:$I$20000,"Orquesta/Banda/Conjunto"),"")))</f>
        <v/>
      </c>
      <c r="P842" t="str">
        <f>IF(M842="","",IF(M842="[FÓRMULA MANUAL]","",IFERROR(AVERAGEIFS(DATOS!$K$2:$K$20000,DATOS!$A$2:$A$20000,M842,DATOS!$G$2:$G$20000,CONFIG_METADATA!$B$4,DATOS!$I$2:$I$20000,"Música de Cámara"),"")))</f>
        <v/>
      </c>
      <c r="Q842" t="str">
        <f>IF(M842="","",IF(M842="[FÓRMULA MANUAL]","",IFERROR(SUMPRODUCT((DATOS!$A$2:$A$20000=M842)*(DATOS!$G$2:$G$20000=CONFIG_METADATA!$B$4)*(COUNTIF(CONFIG_ASIGNATURAS!$B$7:$B$27,DATOS!$I$2:$I$20000)&gt;0)*(DATOS!$K$2:$K$20000))/SUMPRODUCT((DATOS!$A$2:$A$20000=M842)*(DATOS!$G$2:$G$20000=CONFIG_METADATA!$B$4)*(COUNTIF(CONFIG_ASIGNATURAS!$B$7:$B$27,DATOS!$I$2:$I$20000)&gt;0)*1),"")))</f>
        <v/>
      </c>
      <c r="T842" t="str">
        <f>IF(S842="","",IF(S842="[FÓRMULA MANUAL]","",IFERROR(AVERAGEIFS(DATOS!$K$2:$K$20000,DATOS!$A$2:$A$20000,S842,DATOS!$G$2:$G$20000,CONFIG_METADATA!$B$4,DATOS!$I$2:$I$20000,"Armonía"),"")))</f>
        <v/>
      </c>
      <c r="U842" t="str">
        <f>IF(S842="","",IF(S842="[FÓRMULA MANUAL]","",IFERROR(AVERAGEIFS(DATOS!$K$2:$K$20000,DATOS!$A$2:$A$20000,S842,DATOS!$G$2:$G$20000,CONFIG_METADATA!$B$4,DATOS!$I$2:$I$20000,"Orquesta/Banda/Conjunto"),"")))</f>
        <v/>
      </c>
      <c r="V842" t="str">
        <f>IF(S842="","",IF(S842="[FÓRMULA MANUAL]","",IFERROR(AVERAGEIFS(DATOS!$K$2:$K$20000,DATOS!$A$2:$A$20000,S842,DATOS!$G$2:$G$20000,CONFIG_METADATA!$B$4,DATOS!$I$2:$I$20000,"Música de Cámara"),"")))</f>
        <v/>
      </c>
      <c r="W842" t="str">
        <f>IF(S842="","",IF(S842="[FÓRMULA MANUAL]","",IFERROR(SUMPRODUCT((DATOS!$A$2:$A$20000=S842)*(DATOS!$G$2:$G$20000=CONFIG_METADATA!$B$4)*(COUNTIF(CONFIG_ASIGNATURAS!$B$7:$B$27,DATOS!$I$2:$I$20000)&gt;0)*(DATOS!$K$2:$K$20000))/SUMPRODUCT((DATOS!$A$2:$A$20000=S842)*(DATOS!$G$2:$G$20000=CONFIG_METADATA!$B$4)*(COUNTIF(CONFIG_ASIGNATURAS!$B$7:$B$27,DATOS!$I$2:$I$20000)&gt;0)*1),"")))</f>
        <v/>
      </c>
      <c r="Z842" t="str">
        <f>IF(Y842="","",IF(Y842="[FÓRMULA MANUAL]","",IFERROR(AVERAGEIFS(DATOS!$K$2:$K$20000,DATOS!$A$2:$A$20000,Y842,DATOS!$G$2:$G$20000,CONFIG_METADATA!$B$4,DATOS!$I$2:$I$20000,"Análisis"),"")))</f>
        <v/>
      </c>
      <c r="AA842" t="str">
        <f>IF(Y842="","",IF(Y842="[FÓRMULA MANUAL]","",IFERROR(AVERAGEIFS(DATOS!$K$2:$K$20000,DATOS!$A$2:$A$20000,Y842,DATOS!$G$2:$G$20000,CONFIG_METADATA!$B$4,DATOS!$I$2:$I$20000,"Orquesta/Banda/Conjunto"),"")))</f>
        <v/>
      </c>
      <c r="AB842" t="str">
        <f>IF(Y842="","",IF(Y842="[FÓRMULA MANUAL]","",IFERROR(AVERAGEIFS(DATOS!$K$2:$K$20000,DATOS!$A$2:$A$20000,Y842,DATOS!$G$2:$G$20000,CONFIG_METADATA!$B$4,DATOS!$I$2:$I$20000,"Música de Cámara"),"")))</f>
        <v/>
      </c>
      <c r="AC842" t="str">
        <f>IF(Y842="","",IF(Y842="[FÓRMULA MANUAL]","",IFERROR(SUMPRODUCT((DATOS!$A$2:$A$20000=Y842)*(DATOS!$G$2:$G$20000=CONFIG_METADATA!$B$4)*(COUNTIF(CONFIG_ASIGNATURAS!$B$7:$B$27,DATOS!$I$2:$I$20000)&gt;0)*(DATOS!$K$2:$K$20000))/SUMPRODUCT((DATOS!$A$2:$A$20000=Y842)*(DATOS!$G$2:$G$20000=CONFIG_METADATA!$B$4)*(COUNTIF(CONFIG_ASIGNATURAS!$B$7:$B$27,DATOS!$I$2:$I$20000)&gt;0)*1),"")))</f>
        <v/>
      </c>
      <c r="AF842" t="str">
        <f>IF(AE842="","",IF(AE842="[FÓRMULA MANUAL]","",IFERROR(AVERAGEIFS(DATOS!$K$2:$K$20000,DATOS!$A$2:$A$20000,AE842,DATOS!$G$2:$G$20000,CONFIG_METADATA!$B$4,DATOS!$I$2:$I$20000,"Análisis"),"")))</f>
        <v/>
      </c>
      <c r="AG842" t="str">
        <f>IF(AE842="","",IF(AE842="[FÓRMULA MANUAL]","",IFERROR(AVERAGEIFS(DATOS!$K$2:$K$20000,DATOS!$A$2:$A$20000,AE842,DATOS!$G$2:$G$20000,CONFIG_METADATA!$B$4,DATOS!$I$2:$I$20000,"Orquesta/Banda/Conjunto"),"")))</f>
        <v/>
      </c>
      <c r="AH842" t="str">
        <f>IF(AE842="","",IF(AE842="[FÓRMULA MANUAL]","",IFERROR(AVERAGEIFS(DATOS!$K$2:$K$20000,DATOS!$A$2:$A$20000,AE842,DATOS!$G$2:$G$20000,CONFIG_METADATA!$B$4,DATOS!$I$2:$I$20000,"Música de Cámara"),"")))</f>
        <v/>
      </c>
      <c r="AI842" t="str">
        <f>IF(AE842="","",IF(AE842="[FÓRMULA MANUAL]","",IFERROR(SUMPRODUCT((DATOS!$A$2:$A$20000=AE842)*(DATOS!$G$2:$G$20000=CONFIG_METADATA!$B$4)*(COUNTIF(CONFIG_ASIGNATURAS!$B$7:$B$27,DATOS!$I$2:$I$20000)&gt;0)*(DATOS!$K$2:$K$20000))/SUMPRODUCT((DATOS!$A$2:$A$20000=AE842)*(DATOS!$G$2:$G$20000=CONFIG_METADATA!$B$4)*(COUNTIF(CONFIG_ASIGNATURAS!$B$7:$B$27,DATOS!$I$2:$I$20000)&gt;0)*1),"")))</f>
        <v/>
      </c>
    </row>
    <row r="843" spans="2:35" x14ac:dyDescent="0.2">
      <c r="B843" t="str">
        <f>IF(A843="","",IF(A843="[FÓRMULA MANUAL]","",IFERROR(AVERAGEIFS(DATOS!$K$2:$K$20000,DATOS!$A$2:$A$20000,A843,DATOS!$G$2:$G$20000,CONFIG_METADATA!$B$4,DATOS!$I$2:$I$20000,"Lenguaje Musical"),"")))</f>
        <v/>
      </c>
      <c r="C843" t="str">
        <f>IF(A843="","",IF(A843="[FÓRMULA MANUAL]","",IFERROR(AVERAGEIFS(DATOS!$K$2:$K$20000,DATOS!$A$2:$A$20000,A843,DATOS!$G$2:$G$20000,CONFIG_METADATA!$B$4,DATOS!$I$2:$I$20000,"Orquesta/Banda/Conjunto"),"")))</f>
        <v/>
      </c>
      <c r="D843" t="str">
        <f>IF(A843="","",IF(A843="[FÓRMULA MANUAL]","",IFERROR(AVERAGEIFS(DATOS!$K$2:$K$20000,DATOS!$A$2:$A$20000,A843,DATOS!$G$2:$G$20000,CONFIG_METADATA!$B$4,DATOS!$I$2:$I$20000,"Conjunto"),"")))</f>
        <v/>
      </c>
      <c r="E843" t="str">
        <f>IF(A843="","",IF(A843="[FÓRMULA MANUAL]","",IFERROR(SUMPRODUCT((DATOS!$A$2:$A$20000=A843)*(DATOS!$G$2:$G$20000=CONFIG_METADATA!$B$4)*(COUNTIF(CONFIG_ASIGNATURAS!$B$7:$B$27,DATOS!$I$2:$I$20000)&gt;0)*(DATOS!$K$2:$K$20000))/SUMPRODUCT((DATOS!$A$2:$A$20000=A843)*(DATOS!$G$2:$G$20000=CONFIG_METADATA!$B$4)*(COUNTIF(CONFIG_ASIGNATURAS!$B$7:$B$27,DATOS!$I$2:$I$20000)&gt;0)*1),"")))</f>
        <v/>
      </c>
      <c r="H843" t="str">
        <f>IF(G843="","",IF(G843="[FÓRMULA MANUAL]","",IFERROR(AVERAGEIFS(DATOS!$K$2:$K$20000,DATOS!$A$2:$A$20000,G843,DATOS!$G$2:$G$20000,CONFIG_METADATA!$B$4,DATOS!$I$2:$I$20000,"Lenguaje Musical"),"")))</f>
        <v/>
      </c>
      <c r="I843" t="str">
        <f>IF(G843="","",IF(G843="[FÓRMULA MANUAL]","",IFERROR(AVERAGEIFS(DATOS!$K$2:$K$20000,DATOS!$A$2:$A$20000,G843,DATOS!$G$2:$G$20000,CONFIG_METADATA!$B$4,DATOS!$I$2:$I$20000,"Orquesta/Banda/Conjunto"),"")))</f>
        <v/>
      </c>
      <c r="J843" t="str">
        <f>IF(G843="","",IF(G843="[FÓRMULA MANUAL]","",IFERROR(AVERAGEIFS(DATOS!$K$2:$K$20000,DATOS!$A$2:$A$20000,G843,DATOS!$G$2:$G$20000,CONFIG_METADATA!$B$4,DATOS!$I$2:$I$20000,"Conjunto"),"")))</f>
        <v/>
      </c>
      <c r="K843" t="str">
        <f>IF(G843="","",IF(G843="[FÓRMULA MANUAL]","",IFERROR(SUMPRODUCT((DATOS!$A$2:$A$20000=G843)*(DATOS!$G$2:$G$20000=CONFIG_METADATA!$B$4)*(COUNTIF(CONFIG_ASIGNATURAS!$B$7:$B$27,DATOS!$I$2:$I$20000)&gt;0)*(DATOS!$K$2:$K$20000))/SUMPRODUCT((DATOS!$A$2:$A$20000=G843)*(DATOS!$G$2:$G$20000=CONFIG_METADATA!$B$4)*(COUNTIF(CONFIG_ASIGNATURAS!$B$7:$B$27,DATOS!$I$2:$I$20000)&gt;0)*1),"")))</f>
        <v/>
      </c>
      <c r="N843" t="str">
        <f>IF(M843="","",IF(M843="[FÓRMULA MANUAL]","",IFERROR(AVERAGEIFS(DATOS!$K$2:$K$20000,DATOS!$A$2:$A$20000,M843,DATOS!$G$2:$G$20000,CONFIG_METADATA!$B$4,DATOS!$I$2:$I$20000,"Armonía"),"")))</f>
        <v/>
      </c>
      <c r="O843" t="str">
        <f>IF(M843="","",IF(M843="[FÓRMULA MANUAL]","",IFERROR(AVERAGEIFS(DATOS!$K$2:$K$20000,DATOS!$A$2:$A$20000,M843,DATOS!$G$2:$G$20000,CONFIG_METADATA!$B$4,DATOS!$I$2:$I$20000,"Orquesta/Banda/Conjunto"),"")))</f>
        <v/>
      </c>
      <c r="P843" t="str">
        <f>IF(M843="","",IF(M843="[FÓRMULA MANUAL]","",IFERROR(AVERAGEIFS(DATOS!$K$2:$K$20000,DATOS!$A$2:$A$20000,M843,DATOS!$G$2:$G$20000,CONFIG_METADATA!$B$4,DATOS!$I$2:$I$20000,"Música de Cámara"),"")))</f>
        <v/>
      </c>
      <c r="Q843" t="str">
        <f>IF(M843="","",IF(M843="[FÓRMULA MANUAL]","",IFERROR(SUMPRODUCT((DATOS!$A$2:$A$20000=M843)*(DATOS!$G$2:$G$20000=CONFIG_METADATA!$B$4)*(COUNTIF(CONFIG_ASIGNATURAS!$B$7:$B$27,DATOS!$I$2:$I$20000)&gt;0)*(DATOS!$K$2:$K$20000))/SUMPRODUCT((DATOS!$A$2:$A$20000=M843)*(DATOS!$G$2:$G$20000=CONFIG_METADATA!$B$4)*(COUNTIF(CONFIG_ASIGNATURAS!$B$7:$B$27,DATOS!$I$2:$I$20000)&gt;0)*1),"")))</f>
        <v/>
      </c>
      <c r="T843" t="str">
        <f>IF(S843="","",IF(S843="[FÓRMULA MANUAL]","",IFERROR(AVERAGEIFS(DATOS!$K$2:$K$20000,DATOS!$A$2:$A$20000,S843,DATOS!$G$2:$G$20000,CONFIG_METADATA!$B$4,DATOS!$I$2:$I$20000,"Armonía"),"")))</f>
        <v/>
      </c>
      <c r="U843" t="str">
        <f>IF(S843="","",IF(S843="[FÓRMULA MANUAL]","",IFERROR(AVERAGEIFS(DATOS!$K$2:$K$20000,DATOS!$A$2:$A$20000,S843,DATOS!$G$2:$G$20000,CONFIG_METADATA!$B$4,DATOS!$I$2:$I$20000,"Orquesta/Banda/Conjunto"),"")))</f>
        <v/>
      </c>
      <c r="V843" t="str">
        <f>IF(S843="","",IF(S843="[FÓRMULA MANUAL]","",IFERROR(AVERAGEIFS(DATOS!$K$2:$K$20000,DATOS!$A$2:$A$20000,S843,DATOS!$G$2:$G$20000,CONFIG_METADATA!$B$4,DATOS!$I$2:$I$20000,"Música de Cámara"),"")))</f>
        <v/>
      </c>
      <c r="W843" t="str">
        <f>IF(S843="","",IF(S843="[FÓRMULA MANUAL]","",IFERROR(SUMPRODUCT((DATOS!$A$2:$A$20000=S843)*(DATOS!$G$2:$G$20000=CONFIG_METADATA!$B$4)*(COUNTIF(CONFIG_ASIGNATURAS!$B$7:$B$27,DATOS!$I$2:$I$20000)&gt;0)*(DATOS!$K$2:$K$20000))/SUMPRODUCT((DATOS!$A$2:$A$20000=S843)*(DATOS!$G$2:$G$20000=CONFIG_METADATA!$B$4)*(COUNTIF(CONFIG_ASIGNATURAS!$B$7:$B$27,DATOS!$I$2:$I$20000)&gt;0)*1),"")))</f>
        <v/>
      </c>
      <c r="Z843" t="str">
        <f>IF(Y843="","",IF(Y843="[FÓRMULA MANUAL]","",IFERROR(AVERAGEIFS(DATOS!$K$2:$K$20000,DATOS!$A$2:$A$20000,Y843,DATOS!$G$2:$G$20000,CONFIG_METADATA!$B$4,DATOS!$I$2:$I$20000,"Análisis"),"")))</f>
        <v/>
      </c>
      <c r="AA843" t="str">
        <f>IF(Y843="","",IF(Y843="[FÓRMULA MANUAL]","",IFERROR(AVERAGEIFS(DATOS!$K$2:$K$20000,DATOS!$A$2:$A$20000,Y843,DATOS!$G$2:$G$20000,CONFIG_METADATA!$B$4,DATOS!$I$2:$I$20000,"Orquesta/Banda/Conjunto"),"")))</f>
        <v/>
      </c>
      <c r="AB843" t="str">
        <f>IF(Y843="","",IF(Y843="[FÓRMULA MANUAL]","",IFERROR(AVERAGEIFS(DATOS!$K$2:$K$20000,DATOS!$A$2:$A$20000,Y843,DATOS!$G$2:$G$20000,CONFIG_METADATA!$B$4,DATOS!$I$2:$I$20000,"Música de Cámara"),"")))</f>
        <v/>
      </c>
      <c r="AC843" t="str">
        <f>IF(Y843="","",IF(Y843="[FÓRMULA MANUAL]","",IFERROR(SUMPRODUCT((DATOS!$A$2:$A$20000=Y843)*(DATOS!$G$2:$G$20000=CONFIG_METADATA!$B$4)*(COUNTIF(CONFIG_ASIGNATURAS!$B$7:$B$27,DATOS!$I$2:$I$20000)&gt;0)*(DATOS!$K$2:$K$20000))/SUMPRODUCT((DATOS!$A$2:$A$20000=Y843)*(DATOS!$G$2:$G$20000=CONFIG_METADATA!$B$4)*(COUNTIF(CONFIG_ASIGNATURAS!$B$7:$B$27,DATOS!$I$2:$I$20000)&gt;0)*1),"")))</f>
        <v/>
      </c>
      <c r="AF843" t="str">
        <f>IF(AE843="","",IF(AE843="[FÓRMULA MANUAL]","",IFERROR(AVERAGEIFS(DATOS!$K$2:$K$20000,DATOS!$A$2:$A$20000,AE843,DATOS!$G$2:$G$20000,CONFIG_METADATA!$B$4,DATOS!$I$2:$I$20000,"Análisis"),"")))</f>
        <v/>
      </c>
      <c r="AG843" t="str">
        <f>IF(AE843="","",IF(AE843="[FÓRMULA MANUAL]","",IFERROR(AVERAGEIFS(DATOS!$K$2:$K$20000,DATOS!$A$2:$A$20000,AE843,DATOS!$G$2:$G$20000,CONFIG_METADATA!$B$4,DATOS!$I$2:$I$20000,"Orquesta/Banda/Conjunto"),"")))</f>
        <v/>
      </c>
      <c r="AH843" t="str">
        <f>IF(AE843="","",IF(AE843="[FÓRMULA MANUAL]","",IFERROR(AVERAGEIFS(DATOS!$K$2:$K$20000,DATOS!$A$2:$A$20000,AE843,DATOS!$G$2:$G$20000,CONFIG_METADATA!$B$4,DATOS!$I$2:$I$20000,"Música de Cámara"),"")))</f>
        <v/>
      </c>
      <c r="AI843" t="str">
        <f>IF(AE843="","",IF(AE843="[FÓRMULA MANUAL]","",IFERROR(SUMPRODUCT((DATOS!$A$2:$A$20000=AE843)*(DATOS!$G$2:$G$20000=CONFIG_METADATA!$B$4)*(COUNTIF(CONFIG_ASIGNATURAS!$B$7:$B$27,DATOS!$I$2:$I$20000)&gt;0)*(DATOS!$K$2:$K$20000))/SUMPRODUCT((DATOS!$A$2:$A$20000=AE843)*(DATOS!$G$2:$G$20000=CONFIG_METADATA!$B$4)*(COUNTIF(CONFIG_ASIGNATURAS!$B$7:$B$27,DATOS!$I$2:$I$20000)&gt;0)*1),"")))</f>
        <v/>
      </c>
    </row>
    <row r="844" spans="2:35" x14ac:dyDescent="0.2">
      <c r="B844" t="str">
        <f>IF(A844="","",IF(A844="[FÓRMULA MANUAL]","",IFERROR(AVERAGEIFS(DATOS!$K$2:$K$20000,DATOS!$A$2:$A$20000,A844,DATOS!$G$2:$G$20000,CONFIG_METADATA!$B$4,DATOS!$I$2:$I$20000,"Lenguaje Musical"),"")))</f>
        <v/>
      </c>
      <c r="C844" t="str">
        <f>IF(A844="","",IF(A844="[FÓRMULA MANUAL]","",IFERROR(AVERAGEIFS(DATOS!$K$2:$K$20000,DATOS!$A$2:$A$20000,A844,DATOS!$G$2:$G$20000,CONFIG_METADATA!$B$4,DATOS!$I$2:$I$20000,"Orquesta/Banda/Conjunto"),"")))</f>
        <v/>
      </c>
      <c r="D844" t="str">
        <f>IF(A844="","",IF(A844="[FÓRMULA MANUAL]","",IFERROR(AVERAGEIFS(DATOS!$K$2:$K$20000,DATOS!$A$2:$A$20000,A844,DATOS!$G$2:$G$20000,CONFIG_METADATA!$B$4,DATOS!$I$2:$I$20000,"Conjunto"),"")))</f>
        <v/>
      </c>
      <c r="E844" t="str">
        <f>IF(A844="","",IF(A844="[FÓRMULA MANUAL]","",IFERROR(SUMPRODUCT((DATOS!$A$2:$A$20000=A844)*(DATOS!$G$2:$G$20000=CONFIG_METADATA!$B$4)*(COUNTIF(CONFIG_ASIGNATURAS!$B$7:$B$27,DATOS!$I$2:$I$20000)&gt;0)*(DATOS!$K$2:$K$20000))/SUMPRODUCT((DATOS!$A$2:$A$20000=A844)*(DATOS!$G$2:$G$20000=CONFIG_METADATA!$B$4)*(COUNTIF(CONFIG_ASIGNATURAS!$B$7:$B$27,DATOS!$I$2:$I$20000)&gt;0)*1),"")))</f>
        <v/>
      </c>
      <c r="H844" t="str">
        <f>IF(G844="","",IF(G844="[FÓRMULA MANUAL]","",IFERROR(AVERAGEIFS(DATOS!$K$2:$K$20000,DATOS!$A$2:$A$20000,G844,DATOS!$G$2:$G$20000,CONFIG_METADATA!$B$4,DATOS!$I$2:$I$20000,"Lenguaje Musical"),"")))</f>
        <v/>
      </c>
      <c r="I844" t="str">
        <f>IF(G844="","",IF(G844="[FÓRMULA MANUAL]","",IFERROR(AVERAGEIFS(DATOS!$K$2:$K$20000,DATOS!$A$2:$A$20000,G844,DATOS!$G$2:$G$20000,CONFIG_METADATA!$B$4,DATOS!$I$2:$I$20000,"Orquesta/Banda/Conjunto"),"")))</f>
        <v/>
      </c>
      <c r="J844" t="str">
        <f>IF(G844="","",IF(G844="[FÓRMULA MANUAL]","",IFERROR(AVERAGEIFS(DATOS!$K$2:$K$20000,DATOS!$A$2:$A$20000,G844,DATOS!$G$2:$G$20000,CONFIG_METADATA!$B$4,DATOS!$I$2:$I$20000,"Conjunto"),"")))</f>
        <v/>
      </c>
      <c r="K844" t="str">
        <f>IF(G844="","",IF(G844="[FÓRMULA MANUAL]","",IFERROR(SUMPRODUCT((DATOS!$A$2:$A$20000=G844)*(DATOS!$G$2:$G$20000=CONFIG_METADATA!$B$4)*(COUNTIF(CONFIG_ASIGNATURAS!$B$7:$B$27,DATOS!$I$2:$I$20000)&gt;0)*(DATOS!$K$2:$K$20000))/SUMPRODUCT((DATOS!$A$2:$A$20000=G844)*(DATOS!$G$2:$G$20000=CONFIG_METADATA!$B$4)*(COUNTIF(CONFIG_ASIGNATURAS!$B$7:$B$27,DATOS!$I$2:$I$20000)&gt;0)*1),"")))</f>
        <v/>
      </c>
      <c r="N844" t="str">
        <f>IF(M844="","",IF(M844="[FÓRMULA MANUAL]","",IFERROR(AVERAGEIFS(DATOS!$K$2:$K$20000,DATOS!$A$2:$A$20000,M844,DATOS!$G$2:$G$20000,CONFIG_METADATA!$B$4,DATOS!$I$2:$I$20000,"Armonía"),"")))</f>
        <v/>
      </c>
      <c r="O844" t="str">
        <f>IF(M844="","",IF(M844="[FÓRMULA MANUAL]","",IFERROR(AVERAGEIFS(DATOS!$K$2:$K$20000,DATOS!$A$2:$A$20000,M844,DATOS!$G$2:$G$20000,CONFIG_METADATA!$B$4,DATOS!$I$2:$I$20000,"Orquesta/Banda/Conjunto"),"")))</f>
        <v/>
      </c>
      <c r="P844" t="str">
        <f>IF(M844="","",IF(M844="[FÓRMULA MANUAL]","",IFERROR(AVERAGEIFS(DATOS!$K$2:$K$20000,DATOS!$A$2:$A$20000,M844,DATOS!$G$2:$G$20000,CONFIG_METADATA!$B$4,DATOS!$I$2:$I$20000,"Música de Cámara"),"")))</f>
        <v/>
      </c>
      <c r="Q844" t="str">
        <f>IF(M844="","",IF(M844="[FÓRMULA MANUAL]","",IFERROR(SUMPRODUCT((DATOS!$A$2:$A$20000=M844)*(DATOS!$G$2:$G$20000=CONFIG_METADATA!$B$4)*(COUNTIF(CONFIG_ASIGNATURAS!$B$7:$B$27,DATOS!$I$2:$I$20000)&gt;0)*(DATOS!$K$2:$K$20000))/SUMPRODUCT((DATOS!$A$2:$A$20000=M844)*(DATOS!$G$2:$G$20000=CONFIG_METADATA!$B$4)*(COUNTIF(CONFIG_ASIGNATURAS!$B$7:$B$27,DATOS!$I$2:$I$20000)&gt;0)*1),"")))</f>
        <v/>
      </c>
      <c r="T844" t="str">
        <f>IF(S844="","",IF(S844="[FÓRMULA MANUAL]","",IFERROR(AVERAGEIFS(DATOS!$K$2:$K$20000,DATOS!$A$2:$A$20000,S844,DATOS!$G$2:$G$20000,CONFIG_METADATA!$B$4,DATOS!$I$2:$I$20000,"Armonía"),"")))</f>
        <v/>
      </c>
      <c r="U844" t="str">
        <f>IF(S844="","",IF(S844="[FÓRMULA MANUAL]","",IFERROR(AVERAGEIFS(DATOS!$K$2:$K$20000,DATOS!$A$2:$A$20000,S844,DATOS!$G$2:$G$20000,CONFIG_METADATA!$B$4,DATOS!$I$2:$I$20000,"Orquesta/Banda/Conjunto"),"")))</f>
        <v/>
      </c>
      <c r="V844" t="str">
        <f>IF(S844="","",IF(S844="[FÓRMULA MANUAL]","",IFERROR(AVERAGEIFS(DATOS!$K$2:$K$20000,DATOS!$A$2:$A$20000,S844,DATOS!$G$2:$G$20000,CONFIG_METADATA!$B$4,DATOS!$I$2:$I$20000,"Música de Cámara"),"")))</f>
        <v/>
      </c>
      <c r="W844" t="str">
        <f>IF(S844="","",IF(S844="[FÓRMULA MANUAL]","",IFERROR(SUMPRODUCT((DATOS!$A$2:$A$20000=S844)*(DATOS!$G$2:$G$20000=CONFIG_METADATA!$B$4)*(COUNTIF(CONFIG_ASIGNATURAS!$B$7:$B$27,DATOS!$I$2:$I$20000)&gt;0)*(DATOS!$K$2:$K$20000))/SUMPRODUCT((DATOS!$A$2:$A$20000=S844)*(DATOS!$G$2:$G$20000=CONFIG_METADATA!$B$4)*(COUNTIF(CONFIG_ASIGNATURAS!$B$7:$B$27,DATOS!$I$2:$I$20000)&gt;0)*1),"")))</f>
        <v/>
      </c>
      <c r="Z844" t="str">
        <f>IF(Y844="","",IF(Y844="[FÓRMULA MANUAL]","",IFERROR(AVERAGEIFS(DATOS!$K$2:$K$20000,DATOS!$A$2:$A$20000,Y844,DATOS!$G$2:$G$20000,CONFIG_METADATA!$B$4,DATOS!$I$2:$I$20000,"Análisis"),"")))</f>
        <v/>
      </c>
      <c r="AA844" t="str">
        <f>IF(Y844="","",IF(Y844="[FÓRMULA MANUAL]","",IFERROR(AVERAGEIFS(DATOS!$K$2:$K$20000,DATOS!$A$2:$A$20000,Y844,DATOS!$G$2:$G$20000,CONFIG_METADATA!$B$4,DATOS!$I$2:$I$20000,"Orquesta/Banda/Conjunto"),"")))</f>
        <v/>
      </c>
      <c r="AB844" t="str">
        <f>IF(Y844="","",IF(Y844="[FÓRMULA MANUAL]","",IFERROR(AVERAGEIFS(DATOS!$K$2:$K$20000,DATOS!$A$2:$A$20000,Y844,DATOS!$G$2:$G$20000,CONFIG_METADATA!$B$4,DATOS!$I$2:$I$20000,"Música de Cámara"),"")))</f>
        <v/>
      </c>
      <c r="AC844" t="str">
        <f>IF(Y844="","",IF(Y844="[FÓRMULA MANUAL]","",IFERROR(SUMPRODUCT((DATOS!$A$2:$A$20000=Y844)*(DATOS!$G$2:$G$20000=CONFIG_METADATA!$B$4)*(COUNTIF(CONFIG_ASIGNATURAS!$B$7:$B$27,DATOS!$I$2:$I$20000)&gt;0)*(DATOS!$K$2:$K$20000))/SUMPRODUCT((DATOS!$A$2:$A$20000=Y844)*(DATOS!$G$2:$G$20000=CONFIG_METADATA!$B$4)*(COUNTIF(CONFIG_ASIGNATURAS!$B$7:$B$27,DATOS!$I$2:$I$20000)&gt;0)*1),"")))</f>
        <v/>
      </c>
      <c r="AF844" t="str">
        <f>IF(AE844="","",IF(AE844="[FÓRMULA MANUAL]","",IFERROR(AVERAGEIFS(DATOS!$K$2:$K$20000,DATOS!$A$2:$A$20000,AE844,DATOS!$G$2:$G$20000,CONFIG_METADATA!$B$4,DATOS!$I$2:$I$20000,"Análisis"),"")))</f>
        <v/>
      </c>
      <c r="AG844" t="str">
        <f>IF(AE844="","",IF(AE844="[FÓRMULA MANUAL]","",IFERROR(AVERAGEIFS(DATOS!$K$2:$K$20000,DATOS!$A$2:$A$20000,AE844,DATOS!$G$2:$G$20000,CONFIG_METADATA!$B$4,DATOS!$I$2:$I$20000,"Orquesta/Banda/Conjunto"),"")))</f>
        <v/>
      </c>
      <c r="AH844" t="str">
        <f>IF(AE844="","",IF(AE844="[FÓRMULA MANUAL]","",IFERROR(AVERAGEIFS(DATOS!$K$2:$K$20000,DATOS!$A$2:$A$20000,AE844,DATOS!$G$2:$G$20000,CONFIG_METADATA!$B$4,DATOS!$I$2:$I$20000,"Música de Cámara"),"")))</f>
        <v/>
      </c>
      <c r="AI844" t="str">
        <f>IF(AE844="","",IF(AE844="[FÓRMULA MANUAL]","",IFERROR(SUMPRODUCT((DATOS!$A$2:$A$20000=AE844)*(DATOS!$G$2:$G$20000=CONFIG_METADATA!$B$4)*(COUNTIF(CONFIG_ASIGNATURAS!$B$7:$B$27,DATOS!$I$2:$I$20000)&gt;0)*(DATOS!$K$2:$K$20000))/SUMPRODUCT((DATOS!$A$2:$A$20000=AE844)*(DATOS!$G$2:$G$20000=CONFIG_METADATA!$B$4)*(COUNTIF(CONFIG_ASIGNATURAS!$B$7:$B$27,DATOS!$I$2:$I$20000)&gt;0)*1),"")))</f>
        <v/>
      </c>
    </row>
    <row r="845" spans="2:35" x14ac:dyDescent="0.2">
      <c r="B845" t="str">
        <f>IF(A845="","",IF(A845="[FÓRMULA MANUAL]","",IFERROR(AVERAGEIFS(DATOS!$K$2:$K$20000,DATOS!$A$2:$A$20000,A845,DATOS!$G$2:$G$20000,CONFIG_METADATA!$B$4,DATOS!$I$2:$I$20000,"Lenguaje Musical"),"")))</f>
        <v/>
      </c>
      <c r="C845" t="str">
        <f>IF(A845="","",IF(A845="[FÓRMULA MANUAL]","",IFERROR(AVERAGEIFS(DATOS!$K$2:$K$20000,DATOS!$A$2:$A$20000,A845,DATOS!$G$2:$G$20000,CONFIG_METADATA!$B$4,DATOS!$I$2:$I$20000,"Orquesta/Banda/Conjunto"),"")))</f>
        <v/>
      </c>
      <c r="D845" t="str">
        <f>IF(A845="","",IF(A845="[FÓRMULA MANUAL]","",IFERROR(AVERAGEIFS(DATOS!$K$2:$K$20000,DATOS!$A$2:$A$20000,A845,DATOS!$G$2:$G$20000,CONFIG_METADATA!$B$4,DATOS!$I$2:$I$20000,"Conjunto"),"")))</f>
        <v/>
      </c>
      <c r="E845" t="str">
        <f>IF(A845="","",IF(A845="[FÓRMULA MANUAL]","",IFERROR(SUMPRODUCT((DATOS!$A$2:$A$20000=A845)*(DATOS!$G$2:$G$20000=CONFIG_METADATA!$B$4)*(COUNTIF(CONFIG_ASIGNATURAS!$B$7:$B$27,DATOS!$I$2:$I$20000)&gt;0)*(DATOS!$K$2:$K$20000))/SUMPRODUCT((DATOS!$A$2:$A$20000=A845)*(DATOS!$G$2:$G$20000=CONFIG_METADATA!$B$4)*(COUNTIF(CONFIG_ASIGNATURAS!$B$7:$B$27,DATOS!$I$2:$I$20000)&gt;0)*1),"")))</f>
        <v/>
      </c>
      <c r="H845" t="str">
        <f>IF(G845="","",IF(G845="[FÓRMULA MANUAL]","",IFERROR(AVERAGEIFS(DATOS!$K$2:$K$20000,DATOS!$A$2:$A$20000,G845,DATOS!$G$2:$G$20000,CONFIG_METADATA!$B$4,DATOS!$I$2:$I$20000,"Lenguaje Musical"),"")))</f>
        <v/>
      </c>
      <c r="I845" t="str">
        <f>IF(G845="","",IF(G845="[FÓRMULA MANUAL]","",IFERROR(AVERAGEIFS(DATOS!$K$2:$K$20000,DATOS!$A$2:$A$20000,G845,DATOS!$G$2:$G$20000,CONFIG_METADATA!$B$4,DATOS!$I$2:$I$20000,"Orquesta/Banda/Conjunto"),"")))</f>
        <v/>
      </c>
      <c r="J845" t="str">
        <f>IF(G845="","",IF(G845="[FÓRMULA MANUAL]","",IFERROR(AVERAGEIFS(DATOS!$K$2:$K$20000,DATOS!$A$2:$A$20000,G845,DATOS!$G$2:$G$20000,CONFIG_METADATA!$B$4,DATOS!$I$2:$I$20000,"Conjunto"),"")))</f>
        <v/>
      </c>
      <c r="K845" t="str">
        <f>IF(G845="","",IF(G845="[FÓRMULA MANUAL]","",IFERROR(SUMPRODUCT((DATOS!$A$2:$A$20000=G845)*(DATOS!$G$2:$G$20000=CONFIG_METADATA!$B$4)*(COUNTIF(CONFIG_ASIGNATURAS!$B$7:$B$27,DATOS!$I$2:$I$20000)&gt;0)*(DATOS!$K$2:$K$20000))/SUMPRODUCT((DATOS!$A$2:$A$20000=G845)*(DATOS!$G$2:$G$20000=CONFIG_METADATA!$B$4)*(COUNTIF(CONFIG_ASIGNATURAS!$B$7:$B$27,DATOS!$I$2:$I$20000)&gt;0)*1),"")))</f>
        <v/>
      </c>
      <c r="N845" t="str">
        <f>IF(M845="","",IF(M845="[FÓRMULA MANUAL]","",IFERROR(AVERAGEIFS(DATOS!$K$2:$K$20000,DATOS!$A$2:$A$20000,M845,DATOS!$G$2:$G$20000,CONFIG_METADATA!$B$4,DATOS!$I$2:$I$20000,"Armonía"),"")))</f>
        <v/>
      </c>
      <c r="O845" t="str">
        <f>IF(M845="","",IF(M845="[FÓRMULA MANUAL]","",IFERROR(AVERAGEIFS(DATOS!$K$2:$K$20000,DATOS!$A$2:$A$20000,M845,DATOS!$G$2:$G$20000,CONFIG_METADATA!$B$4,DATOS!$I$2:$I$20000,"Orquesta/Banda/Conjunto"),"")))</f>
        <v/>
      </c>
      <c r="P845" t="str">
        <f>IF(M845="","",IF(M845="[FÓRMULA MANUAL]","",IFERROR(AVERAGEIFS(DATOS!$K$2:$K$20000,DATOS!$A$2:$A$20000,M845,DATOS!$G$2:$G$20000,CONFIG_METADATA!$B$4,DATOS!$I$2:$I$20000,"Música de Cámara"),"")))</f>
        <v/>
      </c>
      <c r="Q845" t="str">
        <f>IF(M845="","",IF(M845="[FÓRMULA MANUAL]","",IFERROR(SUMPRODUCT((DATOS!$A$2:$A$20000=M845)*(DATOS!$G$2:$G$20000=CONFIG_METADATA!$B$4)*(COUNTIF(CONFIG_ASIGNATURAS!$B$7:$B$27,DATOS!$I$2:$I$20000)&gt;0)*(DATOS!$K$2:$K$20000))/SUMPRODUCT((DATOS!$A$2:$A$20000=M845)*(DATOS!$G$2:$G$20000=CONFIG_METADATA!$B$4)*(COUNTIF(CONFIG_ASIGNATURAS!$B$7:$B$27,DATOS!$I$2:$I$20000)&gt;0)*1),"")))</f>
        <v/>
      </c>
      <c r="T845" t="str">
        <f>IF(S845="","",IF(S845="[FÓRMULA MANUAL]","",IFERROR(AVERAGEIFS(DATOS!$K$2:$K$20000,DATOS!$A$2:$A$20000,S845,DATOS!$G$2:$G$20000,CONFIG_METADATA!$B$4,DATOS!$I$2:$I$20000,"Armonía"),"")))</f>
        <v/>
      </c>
      <c r="U845" t="str">
        <f>IF(S845="","",IF(S845="[FÓRMULA MANUAL]","",IFERROR(AVERAGEIFS(DATOS!$K$2:$K$20000,DATOS!$A$2:$A$20000,S845,DATOS!$G$2:$G$20000,CONFIG_METADATA!$B$4,DATOS!$I$2:$I$20000,"Orquesta/Banda/Conjunto"),"")))</f>
        <v/>
      </c>
      <c r="V845" t="str">
        <f>IF(S845="","",IF(S845="[FÓRMULA MANUAL]","",IFERROR(AVERAGEIFS(DATOS!$K$2:$K$20000,DATOS!$A$2:$A$20000,S845,DATOS!$G$2:$G$20000,CONFIG_METADATA!$B$4,DATOS!$I$2:$I$20000,"Música de Cámara"),"")))</f>
        <v/>
      </c>
      <c r="W845" t="str">
        <f>IF(S845="","",IF(S845="[FÓRMULA MANUAL]","",IFERROR(SUMPRODUCT((DATOS!$A$2:$A$20000=S845)*(DATOS!$G$2:$G$20000=CONFIG_METADATA!$B$4)*(COUNTIF(CONFIG_ASIGNATURAS!$B$7:$B$27,DATOS!$I$2:$I$20000)&gt;0)*(DATOS!$K$2:$K$20000))/SUMPRODUCT((DATOS!$A$2:$A$20000=S845)*(DATOS!$G$2:$G$20000=CONFIG_METADATA!$B$4)*(COUNTIF(CONFIG_ASIGNATURAS!$B$7:$B$27,DATOS!$I$2:$I$20000)&gt;0)*1),"")))</f>
        <v/>
      </c>
      <c r="Z845" t="str">
        <f>IF(Y845="","",IF(Y845="[FÓRMULA MANUAL]","",IFERROR(AVERAGEIFS(DATOS!$K$2:$K$20000,DATOS!$A$2:$A$20000,Y845,DATOS!$G$2:$G$20000,CONFIG_METADATA!$B$4,DATOS!$I$2:$I$20000,"Análisis"),"")))</f>
        <v/>
      </c>
      <c r="AA845" t="str">
        <f>IF(Y845="","",IF(Y845="[FÓRMULA MANUAL]","",IFERROR(AVERAGEIFS(DATOS!$K$2:$K$20000,DATOS!$A$2:$A$20000,Y845,DATOS!$G$2:$G$20000,CONFIG_METADATA!$B$4,DATOS!$I$2:$I$20000,"Orquesta/Banda/Conjunto"),"")))</f>
        <v/>
      </c>
      <c r="AB845" t="str">
        <f>IF(Y845="","",IF(Y845="[FÓRMULA MANUAL]","",IFERROR(AVERAGEIFS(DATOS!$K$2:$K$20000,DATOS!$A$2:$A$20000,Y845,DATOS!$G$2:$G$20000,CONFIG_METADATA!$B$4,DATOS!$I$2:$I$20000,"Música de Cámara"),"")))</f>
        <v/>
      </c>
      <c r="AC845" t="str">
        <f>IF(Y845="","",IF(Y845="[FÓRMULA MANUAL]","",IFERROR(SUMPRODUCT((DATOS!$A$2:$A$20000=Y845)*(DATOS!$G$2:$G$20000=CONFIG_METADATA!$B$4)*(COUNTIF(CONFIG_ASIGNATURAS!$B$7:$B$27,DATOS!$I$2:$I$20000)&gt;0)*(DATOS!$K$2:$K$20000))/SUMPRODUCT((DATOS!$A$2:$A$20000=Y845)*(DATOS!$G$2:$G$20000=CONFIG_METADATA!$B$4)*(COUNTIF(CONFIG_ASIGNATURAS!$B$7:$B$27,DATOS!$I$2:$I$20000)&gt;0)*1),"")))</f>
        <v/>
      </c>
      <c r="AF845" t="str">
        <f>IF(AE845="","",IF(AE845="[FÓRMULA MANUAL]","",IFERROR(AVERAGEIFS(DATOS!$K$2:$K$20000,DATOS!$A$2:$A$20000,AE845,DATOS!$G$2:$G$20000,CONFIG_METADATA!$B$4,DATOS!$I$2:$I$20000,"Análisis"),"")))</f>
        <v/>
      </c>
      <c r="AG845" t="str">
        <f>IF(AE845="","",IF(AE845="[FÓRMULA MANUAL]","",IFERROR(AVERAGEIFS(DATOS!$K$2:$K$20000,DATOS!$A$2:$A$20000,AE845,DATOS!$G$2:$G$20000,CONFIG_METADATA!$B$4,DATOS!$I$2:$I$20000,"Orquesta/Banda/Conjunto"),"")))</f>
        <v/>
      </c>
      <c r="AH845" t="str">
        <f>IF(AE845="","",IF(AE845="[FÓRMULA MANUAL]","",IFERROR(AVERAGEIFS(DATOS!$K$2:$K$20000,DATOS!$A$2:$A$20000,AE845,DATOS!$G$2:$G$20000,CONFIG_METADATA!$B$4,DATOS!$I$2:$I$20000,"Música de Cámara"),"")))</f>
        <v/>
      </c>
      <c r="AI845" t="str">
        <f>IF(AE845="","",IF(AE845="[FÓRMULA MANUAL]","",IFERROR(SUMPRODUCT((DATOS!$A$2:$A$20000=AE845)*(DATOS!$G$2:$G$20000=CONFIG_METADATA!$B$4)*(COUNTIF(CONFIG_ASIGNATURAS!$B$7:$B$27,DATOS!$I$2:$I$20000)&gt;0)*(DATOS!$K$2:$K$20000))/SUMPRODUCT((DATOS!$A$2:$A$20000=AE845)*(DATOS!$G$2:$G$20000=CONFIG_METADATA!$B$4)*(COUNTIF(CONFIG_ASIGNATURAS!$B$7:$B$27,DATOS!$I$2:$I$20000)&gt;0)*1),"")))</f>
        <v/>
      </c>
    </row>
    <row r="846" spans="2:35" x14ac:dyDescent="0.2">
      <c r="B846" t="str">
        <f>IF(A846="","",IF(A846="[FÓRMULA MANUAL]","",IFERROR(AVERAGEIFS(DATOS!$K$2:$K$20000,DATOS!$A$2:$A$20000,A846,DATOS!$G$2:$G$20000,CONFIG_METADATA!$B$4,DATOS!$I$2:$I$20000,"Lenguaje Musical"),"")))</f>
        <v/>
      </c>
      <c r="C846" t="str">
        <f>IF(A846="","",IF(A846="[FÓRMULA MANUAL]","",IFERROR(AVERAGEIFS(DATOS!$K$2:$K$20000,DATOS!$A$2:$A$20000,A846,DATOS!$G$2:$G$20000,CONFIG_METADATA!$B$4,DATOS!$I$2:$I$20000,"Orquesta/Banda/Conjunto"),"")))</f>
        <v/>
      </c>
      <c r="D846" t="str">
        <f>IF(A846="","",IF(A846="[FÓRMULA MANUAL]","",IFERROR(AVERAGEIFS(DATOS!$K$2:$K$20000,DATOS!$A$2:$A$20000,A846,DATOS!$G$2:$G$20000,CONFIG_METADATA!$B$4,DATOS!$I$2:$I$20000,"Conjunto"),"")))</f>
        <v/>
      </c>
      <c r="E846" t="str">
        <f>IF(A846="","",IF(A846="[FÓRMULA MANUAL]","",IFERROR(SUMPRODUCT((DATOS!$A$2:$A$20000=A846)*(DATOS!$G$2:$G$20000=CONFIG_METADATA!$B$4)*(COUNTIF(CONFIG_ASIGNATURAS!$B$7:$B$27,DATOS!$I$2:$I$20000)&gt;0)*(DATOS!$K$2:$K$20000))/SUMPRODUCT((DATOS!$A$2:$A$20000=A846)*(DATOS!$G$2:$G$20000=CONFIG_METADATA!$B$4)*(COUNTIF(CONFIG_ASIGNATURAS!$B$7:$B$27,DATOS!$I$2:$I$20000)&gt;0)*1),"")))</f>
        <v/>
      </c>
      <c r="H846" t="str">
        <f>IF(G846="","",IF(G846="[FÓRMULA MANUAL]","",IFERROR(AVERAGEIFS(DATOS!$K$2:$K$20000,DATOS!$A$2:$A$20000,G846,DATOS!$G$2:$G$20000,CONFIG_METADATA!$B$4,DATOS!$I$2:$I$20000,"Lenguaje Musical"),"")))</f>
        <v/>
      </c>
      <c r="I846" t="str">
        <f>IF(G846="","",IF(G846="[FÓRMULA MANUAL]","",IFERROR(AVERAGEIFS(DATOS!$K$2:$K$20000,DATOS!$A$2:$A$20000,G846,DATOS!$G$2:$G$20000,CONFIG_METADATA!$B$4,DATOS!$I$2:$I$20000,"Orquesta/Banda/Conjunto"),"")))</f>
        <v/>
      </c>
      <c r="J846" t="str">
        <f>IF(G846="","",IF(G846="[FÓRMULA MANUAL]","",IFERROR(AVERAGEIFS(DATOS!$K$2:$K$20000,DATOS!$A$2:$A$20000,G846,DATOS!$G$2:$G$20000,CONFIG_METADATA!$B$4,DATOS!$I$2:$I$20000,"Conjunto"),"")))</f>
        <v/>
      </c>
      <c r="K846" t="str">
        <f>IF(G846="","",IF(G846="[FÓRMULA MANUAL]","",IFERROR(SUMPRODUCT((DATOS!$A$2:$A$20000=G846)*(DATOS!$G$2:$G$20000=CONFIG_METADATA!$B$4)*(COUNTIF(CONFIG_ASIGNATURAS!$B$7:$B$27,DATOS!$I$2:$I$20000)&gt;0)*(DATOS!$K$2:$K$20000))/SUMPRODUCT((DATOS!$A$2:$A$20000=G846)*(DATOS!$G$2:$G$20000=CONFIG_METADATA!$B$4)*(COUNTIF(CONFIG_ASIGNATURAS!$B$7:$B$27,DATOS!$I$2:$I$20000)&gt;0)*1),"")))</f>
        <v/>
      </c>
      <c r="N846" t="str">
        <f>IF(M846="","",IF(M846="[FÓRMULA MANUAL]","",IFERROR(AVERAGEIFS(DATOS!$K$2:$K$20000,DATOS!$A$2:$A$20000,M846,DATOS!$G$2:$G$20000,CONFIG_METADATA!$B$4,DATOS!$I$2:$I$20000,"Armonía"),"")))</f>
        <v/>
      </c>
      <c r="O846" t="str">
        <f>IF(M846="","",IF(M846="[FÓRMULA MANUAL]","",IFERROR(AVERAGEIFS(DATOS!$K$2:$K$20000,DATOS!$A$2:$A$20000,M846,DATOS!$G$2:$G$20000,CONFIG_METADATA!$B$4,DATOS!$I$2:$I$20000,"Orquesta/Banda/Conjunto"),"")))</f>
        <v/>
      </c>
      <c r="P846" t="str">
        <f>IF(M846="","",IF(M846="[FÓRMULA MANUAL]","",IFERROR(AVERAGEIFS(DATOS!$K$2:$K$20000,DATOS!$A$2:$A$20000,M846,DATOS!$G$2:$G$20000,CONFIG_METADATA!$B$4,DATOS!$I$2:$I$20000,"Música de Cámara"),"")))</f>
        <v/>
      </c>
      <c r="Q846" t="str">
        <f>IF(M846="","",IF(M846="[FÓRMULA MANUAL]","",IFERROR(SUMPRODUCT((DATOS!$A$2:$A$20000=M846)*(DATOS!$G$2:$G$20000=CONFIG_METADATA!$B$4)*(COUNTIF(CONFIG_ASIGNATURAS!$B$7:$B$27,DATOS!$I$2:$I$20000)&gt;0)*(DATOS!$K$2:$K$20000))/SUMPRODUCT((DATOS!$A$2:$A$20000=M846)*(DATOS!$G$2:$G$20000=CONFIG_METADATA!$B$4)*(COUNTIF(CONFIG_ASIGNATURAS!$B$7:$B$27,DATOS!$I$2:$I$20000)&gt;0)*1),"")))</f>
        <v/>
      </c>
      <c r="T846" t="str">
        <f>IF(S846="","",IF(S846="[FÓRMULA MANUAL]","",IFERROR(AVERAGEIFS(DATOS!$K$2:$K$20000,DATOS!$A$2:$A$20000,S846,DATOS!$G$2:$G$20000,CONFIG_METADATA!$B$4,DATOS!$I$2:$I$20000,"Armonía"),"")))</f>
        <v/>
      </c>
      <c r="U846" t="str">
        <f>IF(S846="","",IF(S846="[FÓRMULA MANUAL]","",IFERROR(AVERAGEIFS(DATOS!$K$2:$K$20000,DATOS!$A$2:$A$20000,S846,DATOS!$G$2:$G$20000,CONFIG_METADATA!$B$4,DATOS!$I$2:$I$20000,"Orquesta/Banda/Conjunto"),"")))</f>
        <v/>
      </c>
      <c r="V846" t="str">
        <f>IF(S846="","",IF(S846="[FÓRMULA MANUAL]","",IFERROR(AVERAGEIFS(DATOS!$K$2:$K$20000,DATOS!$A$2:$A$20000,S846,DATOS!$G$2:$G$20000,CONFIG_METADATA!$B$4,DATOS!$I$2:$I$20000,"Música de Cámara"),"")))</f>
        <v/>
      </c>
      <c r="W846" t="str">
        <f>IF(S846="","",IF(S846="[FÓRMULA MANUAL]","",IFERROR(SUMPRODUCT((DATOS!$A$2:$A$20000=S846)*(DATOS!$G$2:$G$20000=CONFIG_METADATA!$B$4)*(COUNTIF(CONFIG_ASIGNATURAS!$B$7:$B$27,DATOS!$I$2:$I$20000)&gt;0)*(DATOS!$K$2:$K$20000))/SUMPRODUCT((DATOS!$A$2:$A$20000=S846)*(DATOS!$G$2:$G$20000=CONFIG_METADATA!$B$4)*(COUNTIF(CONFIG_ASIGNATURAS!$B$7:$B$27,DATOS!$I$2:$I$20000)&gt;0)*1),"")))</f>
        <v/>
      </c>
      <c r="Z846" t="str">
        <f>IF(Y846="","",IF(Y846="[FÓRMULA MANUAL]","",IFERROR(AVERAGEIFS(DATOS!$K$2:$K$20000,DATOS!$A$2:$A$20000,Y846,DATOS!$G$2:$G$20000,CONFIG_METADATA!$B$4,DATOS!$I$2:$I$20000,"Análisis"),"")))</f>
        <v/>
      </c>
      <c r="AA846" t="str">
        <f>IF(Y846="","",IF(Y846="[FÓRMULA MANUAL]","",IFERROR(AVERAGEIFS(DATOS!$K$2:$K$20000,DATOS!$A$2:$A$20000,Y846,DATOS!$G$2:$G$20000,CONFIG_METADATA!$B$4,DATOS!$I$2:$I$20000,"Orquesta/Banda/Conjunto"),"")))</f>
        <v/>
      </c>
      <c r="AB846" t="str">
        <f>IF(Y846="","",IF(Y846="[FÓRMULA MANUAL]","",IFERROR(AVERAGEIFS(DATOS!$K$2:$K$20000,DATOS!$A$2:$A$20000,Y846,DATOS!$G$2:$G$20000,CONFIG_METADATA!$B$4,DATOS!$I$2:$I$20000,"Música de Cámara"),"")))</f>
        <v/>
      </c>
      <c r="AC846" t="str">
        <f>IF(Y846="","",IF(Y846="[FÓRMULA MANUAL]","",IFERROR(SUMPRODUCT((DATOS!$A$2:$A$20000=Y846)*(DATOS!$G$2:$G$20000=CONFIG_METADATA!$B$4)*(COUNTIF(CONFIG_ASIGNATURAS!$B$7:$B$27,DATOS!$I$2:$I$20000)&gt;0)*(DATOS!$K$2:$K$20000))/SUMPRODUCT((DATOS!$A$2:$A$20000=Y846)*(DATOS!$G$2:$G$20000=CONFIG_METADATA!$B$4)*(COUNTIF(CONFIG_ASIGNATURAS!$B$7:$B$27,DATOS!$I$2:$I$20000)&gt;0)*1),"")))</f>
        <v/>
      </c>
      <c r="AF846" t="str">
        <f>IF(AE846="","",IF(AE846="[FÓRMULA MANUAL]","",IFERROR(AVERAGEIFS(DATOS!$K$2:$K$20000,DATOS!$A$2:$A$20000,AE846,DATOS!$G$2:$G$20000,CONFIG_METADATA!$B$4,DATOS!$I$2:$I$20000,"Análisis"),"")))</f>
        <v/>
      </c>
      <c r="AG846" t="str">
        <f>IF(AE846="","",IF(AE846="[FÓRMULA MANUAL]","",IFERROR(AVERAGEIFS(DATOS!$K$2:$K$20000,DATOS!$A$2:$A$20000,AE846,DATOS!$G$2:$G$20000,CONFIG_METADATA!$B$4,DATOS!$I$2:$I$20000,"Orquesta/Banda/Conjunto"),"")))</f>
        <v/>
      </c>
      <c r="AH846" t="str">
        <f>IF(AE846="","",IF(AE846="[FÓRMULA MANUAL]","",IFERROR(AVERAGEIFS(DATOS!$K$2:$K$20000,DATOS!$A$2:$A$20000,AE846,DATOS!$G$2:$G$20000,CONFIG_METADATA!$B$4,DATOS!$I$2:$I$20000,"Música de Cámara"),"")))</f>
        <v/>
      </c>
      <c r="AI846" t="str">
        <f>IF(AE846="","",IF(AE846="[FÓRMULA MANUAL]","",IFERROR(SUMPRODUCT((DATOS!$A$2:$A$20000=AE846)*(DATOS!$G$2:$G$20000=CONFIG_METADATA!$B$4)*(COUNTIF(CONFIG_ASIGNATURAS!$B$7:$B$27,DATOS!$I$2:$I$20000)&gt;0)*(DATOS!$K$2:$K$20000))/SUMPRODUCT((DATOS!$A$2:$A$20000=AE846)*(DATOS!$G$2:$G$20000=CONFIG_METADATA!$B$4)*(COUNTIF(CONFIG_ASIGNATURAS!$B$7:$B$27,DATOS!$I$2:$I$20000)&gt;0)*1),"")))</f>
        <v/>
      </c>
    </row>
    <row r="847" spans="2:35" x14ac:dyDescent="0.2">
      <c r="B847" t="str">
        <f>IF(A847="","",IF(A847="[FÓRMULA MANUAL]","",IFERROR(AVERAGEIFS(DATOS!$K$2:$K$20000,DATOS!$A$2:$A$20000,A847,DATOS!$G$2:$G$20000,CONFIG_METADATA!$B$4,DATOS!$I$2:$I$20000,"Lenguaje Musical"),"")))</f>
        <v/>
      </c>
      <c r="C847" t="str">
        <f>IF(A847="","",IF(A847="[FÓRMULA MANUAL]","",IFERROR(AVERAGEIFS(DATOS!$K$2:$K$20000,DATOS!$A$2:$A$20000,A847,DATOS!$G$2:$G$20000,CONFIG_METADATA!$B$4,DATOS!$I$2:$I$20000,"Orquesta/Banda/Conjunto"),"")))</f>
        <v/>
      </c>
      <c r="D847" t="str">
        <f>IF(A847="","",IF(A847="[FÓRMULA MANUAL]","",IFERROR(AVERAGEIFS(DATOS!$K$2:$K$20000,DATOS!$A$2:$A$20000,A847,DATOS!$G$2:$G$20000,CONFIG_METADATA!$B$4,DATOS!$I$2:$I$20000,"Conjunto"),"")))</f>
        <v/>
      </c>
      <c r="E847" t="str">
        <f>IF(A847="","",IF(A847="[FÓRMULA MANUAL]","",IFERROR(SUMPRODUCT((DATOS!$A$2:$A$20000=A847)*(DATOS!$G$2:$G$20000=CONFIG_METADATA!$B$4)*(COUNTIF(CONFIG_ASIGNATURAS!$B$7:$B$27,DATOS!$I$2:$I$20000)&gt;0)*(DATOS!$K$2:$K$20000))/SUMPRODUCT((DATOS!$A$2:$A$20000=A847)*(DATOS!$G$2:$G$20000=CONFIG_METADATA!$B$4)*(COUNTIF(CONFIG_ASIGNATURAS!$B$7:$B$27,DATOS!$I$2:$I$20000)&gt;0)*1),"")))</f>
        <v/>
      </c>
      <c r="H847" t="str">
        <f>IF(G847="","",IF(G847="[FÓRMULA MANUAL]","",IFERROR(AVERAGEIFS(DATOS!$K$2:$K$20000,DATOS!$A$2:$A$20000,G847,DATOS!$G$2:$G$20000,CONFIG_METADATA!$B$4,DATOS!$I$2:$I$20000,"Lenguaje Musical"),"")))</f>
        <v/>
      </c>
      <c r="I847" t="str">
        <f>IF(G847="","",IF(G847="[FÓRMULA MANUAL]","",IFERROR(AVERAGEIFS(DATOS!$K$2:$K$20000,DATOS!$A$2:$A$20000,G847,DATOS!$G$2:$G$20000,CONFIG_METADATA!$B$4,DATOS!$I$2:$I$20000,"Orquesta/Banda/Conjunto"),"")))</f>
        <v/>
      </c>
      <c r="J847" t="str">
        <f>IF(G847="","",IF(G847="[FÓRMULA MANUAL]","",IFERROR(AVERAGEIFS(DATOS!$K$2:$K$20000,DATOS!$A$2:$A$20000,G847,DATOS!$G$2:$G$20000,CONFIG_METADATA!$B$4,DATOS!$I$2:$I$20000,"Conjunto"),"")))</f>
        <v/>
      </c>
      <c r="K847" t="str">
        <f>IF(G847="","",IF(G847="[FÓRMULA MANUAL]","",IFERROR(SUMPRODUCT((DATOS!$A$2:$A$20000=G847)*(DATOS!$G$2:$G$20000=CONFIG_METADATA!$B$4)*(COUNTIF(CONFIG_ASIGNATURAS!$B$7:$B$27,DATOS!$I$2:$I$20000)&gt;0)*(DATOS!$K$2:$K$20000))/SUMPRODUCT((DATOS!$A$2:$A$20000=G847)*(DATOS!$G$2:$G$20000=CONFIG_METADATA!$B$4)*(COUNTIF(CONFIG_ASIGNATURAS!$B$7:$B$27,DATOS!$I$2:$I$20000)&gt;0)*1),"")))</f>
        <v/>
      </c>
      <c r="N847" t="str">
        <f>IF(M847="","",IF(M847="[FÓRMULA MANUAL]","",IFERROR(AVERAGEIFS(DATOS!$K$2:$K$20000,DATOS!$A$2:$A$20000,M847,DATOS!$G$2:$G$20000,CONFIG_METADATA!$B$4,DATOS!$I$2:$I$20000,"Armonía"),"")))</f>
        <v/>
      </c>
      <c r="O847" t="str">
        <f>IF(M847="","",IF(M847="[FÓRMULA MANUAL]","",IFERROR(AVERAGEIFS(DATOS!$K$2:$K$20000,DATOS!$A$2:$A$20000,M847,DATOS!$G$2:$G$20000,CONFIG_METADATA!$B$4,DATOS!$I$2:$I$20000,"Orquesta/Banda/Conjunto"),"")))</f>
        <v/>
      </c>
      <c r="P847" t="str">
        <f>IF(M847="","",IF(M847="[FÓRMULA MANUAL]","",IFERROR(AVERAGEIFS(DATOS!$K$2:$K$20000,DATOS!$A$2:$A$20000,M847,DATOS!$G$2:$G$20000,CONFIG_METADATA!$B$4,DATOS!$I$2:$I$20000,"Música de Cámara"),"")))</f>
        <v/>
      </c>
      <c r="Q847" t="str">
        <f>IF(M847="","",IF(M847="[FÓRMULA MANUAL]","",IFERROR(SUMPRODUCT((DATOS!$A$2:$A$20000=M847)*(DATOS!$G$2:$G$20000=CONFIG_METADATA!$B$4)*(COUNTIF(CONFIG_ASIGNATURAS!$B$7:$B$27,DATOS!$I$2:$I$20000)&gt;0)*(DATOS!$K$2:$K$20000))/SUMPRODUCT((DATOS!$A$2:$A$20000=M847)*(DATOS!$G$2:$G$20000=CONFIG_METADATA!$B$4)*(COUNTIF(CONFIG_ASIGNATURAS!$B$7:$B$27,DATOS!$I$2:$I$20000)&gt;0)*1),"")))</f>
        <v/>
      </c>
      <c r="T847" t="str">
        <f>IF(S847="","",IF(S847="[FÓRMULA MANUAL]","",IFERROR(AVERAGEIFS(DATOS!$K$2:$K$20000,DATOS!$A$2:$A$20000,S847,DATOS!$G$2:$G$20000,CONFIG_METADATA!$B$4,DATOS!$I$2:$I$20000,"Armonía"),"")))</f>
        <v/>
      </c>
      <c r="U847" t="str">
        <f>IF(S847="","",IF(S847="[FÓRMULA MANUAL]","",IFERROR(AVERAGEIFS(DATOS!$K$2:$K$20000,DATOS!$A$2:$A$20000,S847,DATOS!$G$2:$G$20000,CONFIG_METADATA!$B$4,DATOS!$I$2:$I$20000,"Orquesta/Banda/Conjunto"),"")))</f>
        <v/>
      </c>
      <c r="V847" t="str">
        <f>IF(S847="","",IF(S847="[FÓRMULA MANUAL]","",IFERROR(AVERAGEIFS(DATOS!$K$2:$K$20000,DATOS!$A$2:$A$20000,S847,DATOS!$G$2:$G$20000,CONFIG_METADATA!$B$4,DATOS!$I$2:$I$20000,"Música de Cámara"),"")))</f>
        <v/>
      </c>
      <c r="W847" t="str">
        <f>IF(S847="","",IF(S847="[FÓRMULA MANUAL]","",IFERROR(SUMPRODUCT((DATOS!$A$2:$A$20000=S847)*(DATOS!$G$2:$G$20000=CONFIG_METADATA!$B$4)*(COUNTIF(CONFIG_ASIGNATURAS!$B$7:$B$27,DATOS!$I$2:$I$20000)&gt;0)*(DATOS!$K$2:$K$20000))/SUMPRODUCT((DATOS!$A$2:$A$20000=S847)*(DATOS!$G$2:$G$20000=CONFIG_METADATA!$B$4)*(COUNTIF(CONFIG_ASIGNATURAS!$B$7:$B$27,DATOS!$I$2:$I$20000)&gt;0)*1),"")))</f>
        <v/>
      </c>
      <c r="Z847" t="str">
        <f>IF(Y847="","",IF(Y847="[FÓRMULA MANUAL]","",IFERROR(AVERAGEIFS(DATOS!$K$2:$K$20000,DATOS!$A$2:$A$20000,Y847,DATOS!$G$2:$G$20000,CONFIG_METADATA!$B$4,DATOS!$I$2:$I$20000,"Análisis"),"")))</f>
        <v/>
      </c>
      <c r="AA847" t="str">
        <f>IF(Y847="","",IF(Y847="[FÓRMULA MANUAL]","",IFERROR(AVERAGEIFS(DATOS!$K$2:$K$20000,DATOS!$A$2:$A$20000,Y847,DATOS!$G$2:$G$20000,CONFIG_METADATA!$B$4,DATOS!$I$2:$I$20000,"Orquesta/Banda/Conjunto"),"")))</f>
        <v/>
      </c>
      <c r="AB847" t="str">
        <f>IF(Y847="","",IF(Y847="[FÓRMULA MANUAL]","",IFERROR(AVERAGEIFS(DATOS!$K$2:$K$20000,DATOS!$A$2:$A$20000,Y847,DATOS!$G$2:$G$20000,CONFIG_METADATA!$B$4,DATOS!$I$2:$I$20000,"Música de Cámara"),"")))</f>
        <v/>
      </c>
      <c r="AC847" t="str">
        <f>IF(Y847="","",IF(Y847="[FÓRMULA MANUAL]","",IFERROR(SUMPRODUCT((DATOS!$A$2:$A$20000=Y847)*(DATOS!$G$2:$G$20000=CONFIG_METADATA!$B$4)*(COUNTIF(CONFIG_ASIGNATURAS!$B$7:$B$27,DATOS!$I$2:$I$20000)&gt;0)*(DATOS!$K$2:$K$20000))/SUMPRODUCT((DATOS!$A$2:$A$20000=Y847)*(DATOS!$G$2:$G$20000=CONFIG_METADATA!$B$4)*(COUNTIF(CONFIG_ASIGNATURAS!$B$7:$B$27,DATOS!$I$2:$I$20000)&gt;0)*1),"")))</f>
        <v/>
      </c>
      <c r="AF847" t="str">
        <f>IF(AE847="","",IF(AE847="[FÓRMULA MANUAL]","",IFERROR(AVERAGEIFS(DATOS!$K$2:$K$20000,DATOS!$A$2:$A$20000,AE847,DATOS!$G$2:$G$20000,CONFIG_METADATA!$B$4,DATOS!$I$2:$I$20000,"Análisis"),"")))</f>
        <v/>
      </c>
      <c r="AG847" t="str">
        <f>IF(AE847="","",IF(AE847="[FÓRMULA MANUAL]","",IFERROR(AVERAGEIFS(DATOS!$K$2:$K$20000,DATOS!$A$2:$A$20000,AE847,DATOS!$G$2:$G$20000,CONFIG_METADATA!$B$4,DATOS!$I$2:$I$20000,"Orquesta/Banda/Conjunto"),"")))</f>
        <v/>
      </c>
      <c r="AH847" t="str">
        <f>IF(AE847="","",IF(AE847="[FÓRMULA MANUAL]","",IFERROR(AVERAGEIFS(DATOS!$K$2:$K$20000,DATOS!$A$2:$A$20000,AE847,DATOS!$G$2:$G$20000,CONFIG_METADATA!$B$4,DATOS!$I$2:$I$20000,"Música de Cámara"),"")))</f>
        <v/>
      </c>
      <c r="AI847" t="str">
        <f>IF(AE847="","",IF(AE847="[FÓRMULA MANUAL]","",IFERROR(SUMPRODUCT((DATOS!$A$2:$A$20000=AE847)*(DATOS!$G$2:$G$20000=CONFIG_METADATA!$B$4)*(COUNTIF(CONFIG_ASIGNATURAS!$B$7:$B$27,DATOS!$I$2:$I$20000)&gt;0)*(DATOS!$K$2:$K$20000))/SUMPRODUCT((DATOS!$A$2:$A$20000=AE847)*(DATOS!$G$2:$G$20000=CONFIG_METADATA!$B$4)*(COUNTIF(CONFIG_ASIGNATURAS!$B$7:$B$27,DATOS!$I$2:$I$20000)&gt;0)*1),"")))</f>
        <v/>
      </c>
    </row>
    <row r="848" spans="2:35" x14ac:dyDescent="0.2">
      <c r="B848" t="str">
        <f>IF(A848="","",IF(A848="[FÓRMULA MANUAL]","",IFERROR(AVERAGEIFS(DATOS!$K$2:$K$20000,DATOS!$A$2:$A$20000,A848,DATOS!$G$2:$G$20000,CONFIG_METADATA!$B$4,DATOS!$I$2:$I$20000,"Lenguaje Musical"),"")))</f>
        <v/>
      </c>
      <c r="C848" t="str">
        <f>IF(A848="","",IF(A848="[FÓRMULA MANUAL]","",IFERROR(AVERAGEIFS(DATOS!$K$2:$K$20000,DATOS!$A$2:$A$20000,A848,DATOS!$G$2:$G$20000,CONFIG_METADATA!$B$4,DATOS!$I$2:$I$20000,"Orquesta/Banda/Conjunto"),"")))</f>
        <v/>
      </c>
      <c r="D848" t="str">
        <f>IF(A848="","",IF(A848="[FÓRMULA MANUAL]","",IFERROR(AVERAGEIFS(DATOS!$K$2:$K$20000,DATOS!$A$2:$A$20000,A848,DATOS!$G$2:$G$20000,CONFIG_METADATA!$B$4,DATOS!$I$2:$I$20000,"Conjunto"),"")))</f>
        <v/>
      </c>
      <c r="E848" t="str">
        <f>IF(A848="","",IF(A848="[FÓRMULA MANUAL]","",IFERROR(SUMPRODUCT((DATOS!$A$2:$A$20000=A848)*(DATOS!$G$2:$G$20000=CONFIG_METADATA!$B$4)*(COUNTIF(CONFIG_ASIGNATURAS!$B$7:$B$27,DATOS!$I$2:$I$20000)&gt;0)*(DATOS!$K$2:$K$20000))/SUMPRODUCT((DATOS!$A$2:$A$20000=A848)*(DATOS!$G$2:$G$20000=CONFIG_METADATA!$B$4)*(COUNTIF(CONFIG_ASIGNATURAS!$B$7:$B$27,DATOS!$I$2:$I$20000)&gt;0)*1),"")))</f>
        <v/>
      </c>
      <c r="H848" t="str">
        <f>IF(G848="","",IF(G848="[FÓRMULA MANUAL]","",IFERROR(AVERAGEIFS(DATOS!$K$2:$K$20000,DATOS!$A$2:$A$20000,G848,DATOS!$G$2:$G$20000,CONFIG_METADATA!$B$4,DATOS!$I$2:$I$20000,"Lenguaje Musical"),"")))</f>
        <v/>
      </c>
      <c r="I848" t="str">
        <f>IF(G848="","",IF(G848="[FÓRMULA MANUAL]","",IFERROR(AVERAGEIFS(DATOS!$K$2:$K$20000,DATOS!$A$2:$A$20000,G848,DATOS!$G$2:$G$20000,CONFIG_METADATA!$B$4,DATOS!$I$2:$I$20000,"Orquesta/Banda/Conjunto"),"")))</f>
        <v/>
      </c>
      <c r="J848" t="str">
        <f>IF(G848="","",IF(G848="[FÓRMULA MANUAL]","",IFERROR(AVERAGEIFS(DATOS!$K$2:$K$20000,DATOS!$A$2:$A$20000,G848,DATOS!$G$2:$G$20000,CONFIG_METADATA!$B$4,DATOS!$I$2:$I$20000,"Conjunto"),"")))</f>
        <v/>
      </c>
      <c r="K848" t="str">
        <f>IF(G848="","",IF(G848="[FÓRMULA MANUAL]","",IFERROR(SUMPRODUCT((DATOS!$A$2:$A$20000=G848)*(DATOS!$G$2:$G$20000=CONFIG_METADATA!$B$4)*(COUNTIF(CONFIG_ASIGNATURAS!$B$7:$B$27,DATOS!$I$2:$I$20000)&gt;0)*(DATOS!$K$2:$K$20000))/SUMPRODUCT((DATOS!$A$2:$A$20000=G848)*(DATOS!$G$2:$G$20000=CONFIG_METADATA!$B$4)*(COUNTIF(CONFIG_ASIGNATURAS!$B$7:$B$27,DATOS!$I$2:$I$20000)&gt;0)*1),"")))</f>
        <v/>
      </c>
      <c r="N848" t="str">
        <f>IF(M848="","",IF(M848="[FÓRMULA MANUAL]","",IFERROR(AVERAGEIFS(DATOS!$K$2:$K$20000,DATOS!$A$2:$A$20000,M848,DATOS!$G$2:$G$20000,CONFIG_METADATA!$B$4,DATOS!$I$2:$I$20000,"Armonía"),"")))</f>
        <v/>
      </c>
      <c r="O848" t="str">
        <f>IF(M848="","",IF(M848="[FÓRMULA MANUAL]","",IFERROR(AVERAGEIFS(DATOS!$K$2:$K$20000,DATOS!$A$2:$A$20000,M848,DATOS!$G$2:$G$20000,CONFIG_METADATA!$B$4,DATOS!$I$2:$I$20000,"Orquesta/Banda/Conjunto"),"")))</f>
        <v/>
      </c>
      <c r="P848" t="str">
        <f>IF(M848="","",IF(M848="[FÓRMULA MANUAL]","",IFERROR(AVERAGEIFS(DATOS!$K$2:$K$20000,DATOS!$A$2:$A$20000,M848,DATOS!$G$2:$G$20000,CONFIG_METADATA!$B$4,DATOS!$I$2:$I$20000,"Música de Cámara"),"")))</f>
        <v/>
      </c>
      <c r="Q848" t="str">
        <f>IF(M848="","",IF(M848="[FÓRMULA MANUAL]","",IFERROR(SUMPRODUCT((DATOS!$A$2:$A$20000=M848)*(DATOS!$G$2:$G$20000=CONFIG_METADATA!$B$4)*(COUNTIF(CONFIG_ASIGNATURAS!$B$7:$B$27,DATOS!$I$2:$I$20000)&gt;0)*(DATOS!$K$2:$K$20000))/SUMPRODUCT((DATOS!$A$2:$A$20000=M848)*(DATOS!$G$2:$G$20000=CONFIG_METADATA!$B$4)*(COUNTIF(CONFIG_ASIGNATURAS!$B$7:$B$27,DATOS!$I$2:$I$20000)&gt;0)*1),"")))</f>
        <v/>
      </c>
      <c r="T848" t="str">
        <f>IF(S848="","",IF(S848="[FÓRMULA MANUAL]","",IFERROR(AVERAGEIFS(DATOS!$K$2:$K$20000,DATOS!$A$2:$A$20000,S848,DATOS!$G$2:$G$20000,CONFIG_METADATA!$B$4,DATOS!$I$2:$I$20000,"Armonía"),"")))</f>
        <v/>
      </c>
      <c r="U848" t="str">
        <f>IF(S848="","",IF(S848="[FÓRMULA MANUAL]","",IFERROR(AVERAGEIFS(DATOS!$K$2:$K$20000,DATOS!$A$2:$A$20000,S848,DATOS!$G$2:$G$20000,CONFIG_METADATA!$B$4,DATOS!$I$2:$I$20000,"Orquesta/Banda/Conjunto"),"")))</f>
        <v/>
      </c>
      <c r="V848" t="str">
        <f>IF(S848="","",IF(S848="[FÓRMULA MANUAL]","",IFERROR(AVERAGEIFS(DATOS!$K$2:$K$20000,DATOS!$A$2:$A$20000,S848,DATOS!$G$2:$G$20000,CONFIG_METADATA!$B$4,DATOS!$I$2:$I$20000,"Música de Cámara"),"")))</f>
        <v/>
      </c>
      <c r="W848" t="str">
        <f>IF(S848="","",IF(S848="[FÓRMULA MANUAL]","",IFERROR(SUMPRODUCT((DATOS!$A$2:$A$20000=S848)*(DATOS!$G$2:$G$20000=CONFIG_METADATA!$B$4)*(COUNTIF(CONFIG_ASIGNATURAS!$B$7:$B$27,DATOS!$I$2:$I$20000)&gt;0)*(DATOS!$K$2:$K$20000))/SUMPRODUCT((DATOS!$A$2:$A$20000=S848)*(DATOS!$G$2:$G$20000=CONFIG_METADATA!$B$4)*(COUNTIF(CONFIG_ASIGNATURAS!$B$7:$B$27,DATOS!$I$2:$I$20000)&gt;0)*1),"")))</f>
        <v/>
      </c>
      <c r="Z848" t="str">
        <f>IF(Y848="","",IF(Y848="[FÓRMULA MANUAL]","",IFERROR(AVERAGEIFS(DATOS!$K$2:$K$20000,DATOS!$A$2:$A$20000,Y848,DATOS!$G$2:$G$20000,CONFIG_METADATA!$B$4,DATOS!$I$2:$I$20000,"Análisis"),"")))</f>
        <v/>
      </c>
      <c r="AA848" t="str">
        <f>IF(Y848="","",IF(Y848="[FÓRMULA MANUAL]","",IFERROR(AVERAGEIFS(DATOS!$K$2:$K$20000,DATOS!$A$2:$A$20000,Y848,DATOS!$G$2:$G$20000,CONFIG_METADATA!$B$4,DATOS!$I$2:$I$20000,"Orquesta/Banda/Conjunto"),"")))</f>
        <v/>
      </c>
      <c r="AB848" t="str">
        <f>IF(Y848="","",IF(Y848="[FÓRMULA MANUAL]","",IFERROR(AVERAGEIFS(DATOS!$K$2:$K$20000,DATOS!$A$2:$A$20000,Y848,DATOS!$G$2:$G$20000,CONFIG_METADATA!$B$4,DATOS!$I$2:$I$20000,"Música de Cámara"),"")))</f>
        <v/>
      </c>
      <c r="AC848" t="str">
        <f>IF(Y848="","",IF(Y848="[FÓRMULA MANUAL]","",IFERROR(SUMPRODUCT((DATOS!$A$2:$A$20000=Y848)*(DATOS!$G$2:$G$20000=CONFIG_METADATA!$B$4)*(COUNTIF(CONFIG_ASIGNATURAS!$B$7:$B$27,DATOS!$I$2:$I$20000)&gt;0)*(DATOS!$K$2:$K$20000))/SUMPRODUCT((DATOS!$A$2:$A$20000=Y848)*(DATOS!$G$2:$G$20000=CONFIG_METADATA!$B$4)*(COUNTIF(CONFIG_ASIGNATURAS!$B$7:$B$27,DATOS!$I$2:$I$20000)&gt;0)*1),"")))</f>
        <v/>
      </c>
      <c r="AF848" t="str">
        <f>IF(AE848="","",IF(AE848="[FÓRMULA MANUAL]","",IFERROR(AVERAGEIFS(DATOS!$K$2:$K$20000,DATOS!$A$2:$A$20000,AE848,DATOS!$G$2:$G$20000,CONFIG_METADATA!$B$4,DATOS!$I$2:$I$20000,"Análisis"),"")))</f>
        <v/>
      </c>
      <c r="AG848" t="str">
        <f>IF(AE848="","",IF(AE848="[FÓRMULA MANUAL]","",IFERROR(AVERAGEIFS(DATOS!$K$2:$K$20000,DATOS!$A$2:$A$20000,AE848,DATOS!$G$2:$G$20000,CONFIG_METADATA!$B$4,DATOS!$I$2:$I$20000,"Orquesta/Banda/Conjunto"),"")))</f>
        <v/>
      </c>
      <c r="AH848" t="str">
        <f>IF(AE848="","",IF(AE848="[FÓRMULA MANUAL]","",IFERROR(AVERAGEIFS(DATOS!$K$2:$K$20000,DATOS!$A$2:$A$20000,AE848,DATOS!$G$2:$G$20000,CONFIG_METADATA!$B$4,DATOS!$I$2:$I$20000,"Música de Cámara"),"")))</f>
        <v/>
      </c>
      <c r="AI848" t="str">
        <f>IF(AE848="","",IF(AE848="[FÓRMULA MANUAL]","",IFERROR(SUMPRODUCT((DATOS!$A$2:$A$20000=AE848)*(DATOS!$G$2:$G$20000=CONFIG_METADATA!$B$4)*(COUNTIF(CONFIG_ASIGNATURAS!$B$7:$B$27,DATOS!$I$2:$I$20000)&gt;0)*(DATOS!$K$2:$K$20000))/SUMPRODUCT((DATOS!$A$2:$A$20000=AE848)*(DATOS!$G$2:$G$20000=CONFIG_METADATA!$B$4)*(COUNTIF(CONFIG_ASIGNATURAS!$B$7:$B$27,DATOS!$I$2:$I$20000)&gt;0)*1),"")))</f>
        <v/>
      </c>
    </row>
    <row r="849" spans="2:35" x14ac:dyDescent="0.2">
      <c r="B849" t="str">
        <f>IF(A849="","",IF(A849="[FÓRMULA MANUAL]","",IFERROR(AVERAGEIFS(DATOS!$K$2:$K$20000,DATOS!$A$2:$A$20000,A849,DATOS!$G$2:$G$20000,CONFIG_METADATA!$B$4,DATOS!$I$2:$I$20000,"Lenguaje Musical"),"")))</f>
        <v/>
      </c>
      <c r="C849" t="str">
        <f>IF(A849="","",IF(A849="[FÓRMULA MANUAL]","",IFERROR(AVERAGEIFS(DATOS!$K$2:$K$20000,DATOS!$A$2:$A$20000,A849,DATOS!$G$2:$G$20000,CONFIG_METADATA!$B$4,DATOS!$I$2:$I$20000,"Orquesta/Banda/Conjunto"),"")))</f>
        <v/>
      </c>
      <c r="D849" t="str">
        <f>IF(A849="","",IF(A849="[FÓRMULA MANUAL]","",IFERROR(AVERAGEIFS(DATOS!$K$2:$K$20000,DATOS!$A$2:$A$20000,A849,DATOS!$G$2:$G$20000,CONFIG_METADATA!$B$4,DATOS!$I$2:$I$20000,"Conjunto"),"")))</f>
        <v/>
      </c>
      <c r="E849" t="str">
        <f>IF(A849="","",IF(A849="[FÓRMULA MANUAL]","",IFERROR(SUMPRODUCT((DATOS!$A$2:$A$20000=A849)*(DATOS!$G$2:$G$20000=CONFIG_METADATA!$B$4)*(COUNTIF(CONFIG_ASIGNATURAS!$B$7:$B$27,DATOS!$I$2:$I$20000)&gt;0)*(DATOS!$K$2:$K$20000))/SUMPRODUCT((DATOS!$A$2:$A$20000=A849)*(DATOS!$G$2:$G$20000=CONFIG_METADATA!$B$4)*(COUNTIF(CONFIG_ASIGNATURAS!$B$7:$B$27,DATOS!$I$2:$I$20000)&gt;0)*1),"")))</f>
        <v/>
      </c>
      <c r="H849" t="str">
        <f>IF(G849="","",IF(G849="[FÓRMULA MANUAL]","",IFERROR(AVERAGEIFS(DATOS!$K$2:$K$20000,DATOS!$A$2:$A$20000,G849,DATOS!$G$2:$G$20000,CONFIG_METADATA!$B$4,DATOS!$I$2:$I$20000,"Lenguaje Musical"),"")))</f>
        <v/>
      </c>
      <c r="I849" t="str">
        <f>IF(G849="","",IF(G849="[FÓRMULA MANUAL]","",IFERROR(AVERAGEIFS(DATOS!$K$2:$K$20000,DATOS!$A$2:$A$20000,G849,DATOS!$G$2:$G$20000,CONFIG_METADATA!$B$4,DATOS!$I$2:$I$20000,"Orquesta/Banda/Conjunto"),"")))</f>
        <v/>
      </c>
      <c r="J849" t="str">
        <f>IF(G849="","",IF(G849="[FÓRMULA MANUAL]","",IFERROR(AVERAGEIFS(DATOS!$K$2:$K$20000,DATOS!$A$2:$A$20000,G849,DATOS!$G$2:$G$20000,CONFIG_METADATA!$B$4,DATOS!$I$2:$I$20000,"Conjunto"),"")))</f>
        <v/>
      </c>
      <c r="K849" t="str">
        <f>IF(G849="","",IF(G849="[FÓRMULA MANUAL]","",IFERROR(SUMPRODUCT((DATOS!$A$2:$A$20000=G849)*(DATOS!$G$2:$G$20000=CONFIG_METADATA!$B$4)*(COUNTIF(CONFIG_ASIGNATURAS!$B$7:$B$27,DATOS!$I$2:$I$20000)&gt;0)*(DATOS!$K$2:$K$20000))/SUMPRODUCT((DATOS!$A$2:$A$20000=G849)*(DATOS!$G$2:$G$20000=CONFIG_METADATA!$B$4)*(COUNTIF(CONFIG_ASIGNATURAS!$B$7:$B$27,DATOS!$I$2:$I$20000)&gt;0)*1),"")))</f>
        <v/>
      </c>
      <c r="N849" t="str">
        <f>IF(M849="","",IF(M849="[FÓRMULA MANUAL]","",IFERROR(AVERAGEIFS(DATOS!$K$2:$K$20000,DATOS!$A$2:$A$20000,M849,DATOS!$G$2:$G$20000,CONFIG_METADATA!$B$4,DATOS!$I$2:$I$20000,"Armonía"),"")))</f>
        <v/>
      </c>
      <c r="O849" t="str">
        <f>IF(M849="","",IF(M849="[FÓRMULA MANUAL]","",IFERROR(AVERAGEIFS(DATOS!$K$2:$K$20000,DATOS!$A$2:$A$20000,M849,DATOS!$G$2:$G$20000,CONFIG_METADATA!$B$4,DATOS!$I$2:$I$20000,"Orquesta/Banda/Conjunto"),"")))</f>
        <v/>
      </c>
      <c r="P849" t="str">
        <f>IF(M849="","",IF(M849="[FÓRMULA MANUAL]","",IFERROR(AVERAGEIFS(DATOS!$K$2:$K$20000,DATOS!$A$2:$A$20000,M849,DATOS!$G$2:$G$20000,CONFIG_METADATA!$B$4,DATOS!$I$2:$I$20000,"Música de Cámara"),"")))</f>
        <v/>
      </c>
      <c r="Q849" t="str">
        <f>IF(M849="","",IF(M849="[FÓRMULA MANUAL]","",IFERROR(SUMPRODUCT((DATOS!$A$2:$A$20000=M849)*(DATOS!$G$2:$G$20000=CONFIG_METADATA!$B$4)*(COUNTIF(CONFIG_ASIGNATURAS!$B$7:$B$27,DATOS!$I$2:$I$20000)&gt;0)*(DATOS!$K$2:$K$20000))/SUMPRODUCT((DATOS!$A$2:$A$20000=M849)*(DATOS!$G$2:$G$20000=CONFIG_METADATA!$B$4)*(COUNTIF(CONFIG_ASIGNATURAS!$B$7:$B$27,DATOS!$I$2:$I$20000)&gt;0)*1),"")))</f>
        <v/>
      </c>
      <c r="T849" t="str">
        <f>IF(S849="","",IF(S849="[FÓRMULA MANUAL]","",IFERROR(AVERAGEIFS(DATOS!$K$2:$K$20000,DATOS!$A$2:$A$20000,S849,DATOS!$G$2:$G$20000,CONFIG_METADATA!$B$4,DATOS!$I$2:$I$20000,"Armonía"),"")))</f>
        <v/>
      </c>
      <c r="U849" t="str">
        <f>IF(S849="","",IF(S849="[FÓRMULA MANUAL]","",IFERROR(AVERAGEIFS(DATOS!$K$2:$K$20000,DATOS!$A$2:$A$20000,S849,DATOS!$G$2:$G$20000,CONFIG_METADATA!$B$4,DATOS!$I$2:$I$20000,"Orquesta/Banda/Conjunto"),"")))</f>
        <v/>
      </c>
      <c r="V849" t="str">
        <f>IF(S849="","",IF(S849="[FÓRMULA MANUAL]","",IFERROR(AVERAGEIFS(DATOS!$K$2:$K$20000,DATOS!$A$2:$A$20000,S849,DATOS!$G$2:$G$20000,CONFIG_METADATA!$B$4,DATOS!$I$2:$I$20000,"Música de Cámara"),"")))</f>
        <v/>
      </c>
      <c r="W849" t="str">
        <f>IF(S849="","",IF(S849="[FÓRMULA MANUAL]","",IFERROR(SUMPRODUCT((DATOS!$A$2:$A$20000=S849)*(DATOS!$G$2:$G$20000=CONFIG_METADATA!$B$4)*(COUNTIF(CONFIG_ASIGNATURAS!$B$7:$B$27,DATOS!$I$2:$I$20000)&gt;0)*(DATOS!$K$2:$K$20000))/SUMPRODUCT((DATOS!$A$2:$A$20000=S849)*(DATOS!$G$2:$G$20000=CONFIG_METADATA!$B$4)*(COUNTIF(CONFIG_ASIGNATURAS!$B$7:$B$27,DATOS!$I$2:$I$20000)&gt;0)*1),"")))</f>
        <v/>
      </c>
      <c r="Z849" t="str">
        <f>IF(Y849="","",IF(Y849="[FÓRMULA MANUAL]","",IFERROR(AVERAGEIFS(DATOS!$K$2:$K$20000,DATOS!$A$2:$A$20000,Y849,DATOS!$G$2:$G$20000,CONFIG_METADATA!$B$4,DATOS!$I$2:$I$20000,"Análisis"),"")))</f>
        <v/>
      </c>
      <c r="AA849" t="str">
        <f>IF(Y849="","",IF(Y849="[FÓRMULA MANUAL]","",IFERROR(AVERAGEIFS(DATOS!$K$2:$K$20000,DATOS!$A$2:$A$20000,Y849,DATOS!$G$2:$G$20000,CONFIG_METADATA!$B$4,DATOS!$I$2:$I$20000,"Orquesta/Banda/Conjunto"),"")))</f>
        <v/>
      </c>
      <c r="AB849" t="str">
        <f>IF(Y849="","",IF(Y849="[FÓRMULA MANUAL]","",IFERROR(AVERAGEIFS(DATOS!$K$2:$K$20000,DATOS!$A$2:$A$20000,Y849,DATOS!$G$2:$G$20000,CONFIG_METADATA!$B$4,DATOS!$I$2:$I$20000,"Música de Cámara"),"")))</f>
        <v/>
      </c>
      <c r="AC849" t="str">
        <f>IF(Y849="","",IF(Y849="[FÓRMULA MANUAL]","",IFERROR(SUMPRODUCT((DATOS!$A$2:$A$20000=Y849)*(DATOS!$G$2:$G$20000=CONFIG_METADATA!$B$4)*(COUNTIF(CONFIG_ASIGNATURAS!$B$7:$B$27,DATOS!$I$2:$I$20000)&gt;0)*(DATOS!$K$2:$K$20000))/SUMPRODUCT((DATOS!$A$2:$A$20000=Y849)*(DATOS!$G$2:$G$20000=CONFIG_METADATA!$B$4)*(COUNTIF(CONFIG_ASIGNATURAS!$B$7:$B$27,DATOS!$I$2:$I$20000)&gt;0)*1),"")))</f>
        <v/>
      </c>
      <c r="AF849" t="str">
        <f>IF(AE849="","",IF(AE849="[FÓRMULA MANUAL]","",IFERROR(AVERAGEIFS(DATOS!$K$2:$K$20000,DATOS!$A$2:$A$20000,AE849,DATOS!$G$2:$G$20000,CONFIG_METADATA!$B$4,DATOS!$I$2:$I$20000,"Análisis"),"")))</f>
        <v/>
      </c>
      <c r="AG849" t="str">
        <f>IF(AE849="","",IF(AE849="[FÓRMULA MANUAL]","",IFERROR(AVERAGEIFS(DATOS!$K$2:$K$20000,DATOS!$A$2:$A$20000,AE849,DATOS!$G$2:$G$20000,CONFIG_METADATA!$B$4,DATOS!$I$2:$I$20000,"Orquesta/Banda/Conjunto"),"")))</f>
        <v/>
      </c>
      <c r="AH849" t="str">
        <f>IF(AE849="","",IF(AE849="[FÓRMULA MANUAL]","",IFERROR(AVERAGEIFS(DATOS!$K$2:$K$20000,DATOS!$A$2:$A$20000,AE849,DATOS!$G$2:$G$20000,CONFIG_METADATA!$B$4,DATOS!$I$2:$I$20000,"Música de Cámara"),"")))</f>
        <v/>
      </c>
      <c r="AI849" t="str">
        <f>IF(AE849="","",IF(AE849="[FÓRMULA MANUAL]","",IFERROR(SUMPRODUCT((DATOS!$A$2:$A$20000=AE849)*(DATOS!$G$2:$G$20000=CONFIG_METADATA!$B$4)*(COUNTIF(CONFIG_ASIGNATURAS!$B$7:$B$27,DATOS!$I$2:$I$20000)&gt;0)*(DATOS!$K$2:$K$20000))/SUMPRODUCT((DATOS!$A$2:$A$20000=AE849)*(DATOS!$G$2:$G$20000=CONFIG_METADATA!$B$4)*(COUNTIF(CONFIG_ASIGNATURAS!$B$7:$B$27,DATOS!$I$2:$I$20000)&gt;0)*1),"")))</f>
        <v/>
      </c>
    </row>
    <row r="850" spans="2:35" x14ac:dyDescent="0.2">
      <c r="B850" t="str">
        <f>IF(A850="","",IF(A850="[FÓRMULA MANUAL]","",IFERROR(AVERAGEIFS(DATOS!$K$2:$K$20000,DATOS!$A$2:$A$20000,A850,DATOS!$G$2:$G$20000,CONFIG_METADATA!$B$4,DATOS!$I$2:$I$20000,"Lenguaje Musical"),"")))</f>
        <v/>
      </c>
      <c r="C850" t="str">
        <f>IF(A850="","",IF(A850="[FÓRMULA MANUAL]","",IFERROR(AVERAGEIFS(DATOS!$K$2:$K$20000,DATOS!$A$2:$A$20000,A850,DATOS!$G$2:$G$20000,CONFIG_METADATA!$B$4,DATOS!$I$2:$I$20000,"Orquesta/Banda/Conjunto"),"")))</f>
        <v/>
      </c>
      <c r="D850" t="str">
        <f>IF(A850="","",IF(A850="[FÓRMULA MANUAL]","",IFERROR(AVERAGEIFS(DATOS!$K$2:$K$20000,DATOS!$A$2:$A$20000,A850,DATOS!$G$2:$G$20000,CONFIG_METADATA!$B$4,DATOS!$I$2:$I$20000,"Conjunto"),"")))</f>
        <v/>
      </c>
      <c r="E850" t="str">
        <f>IF(A850="","",IF(A850="[FÓRMULA MANUAL]","",IFERROR(SUMPRODUCT((DATOS!$A$2:$A$20000=A850)*(DATOS!$G$2:$G$20000=CONFIG_METADATA!$B$4)*(COUNTIF(CONFIG_ASIGNATURAS!$B$7:$B$27,DATOS!$I$2:$I$20000)&gt;0)*(DATOS!$K$2:$K$20000))/SUMPRODUCT((DATOS!$A$2:$A$20000=A850)*(DATOS!$G$2:$G$20000=CONFIG_METADATA!$B$4)*(COUNTIF(CONFIG_ASIGNATURAS!$B$7:$B$27,DATOS!$I$2:$I$20000)&gt;0)*1),"")))</f>
        <v/>
      </c>
      <c r="H850" t="str">
        <f>IF(G850="","",IF(G850="[FÓRMULA MANUAL]","",IFERROR(AVERAGEIFS(DATOS!$K$2:$K$20000,DATOS!$A$2:$A$20000,G850,DATOS!$G$2:$G$20000,CONFIG_METADATA!$B$4,DATOS!$I$2:$I$20000,"Lenguaje Musical"),"")))</f>
        <v/>
      </c>
      <c r="I850" t="str">
        <f>IF(G850="","",IF(G850="[FÓRMULA MANUAL]","",IFERROR(AVERAGEIFS(DATOS!$K$2:$K$20000,DATOS!$A$2:$A$20000,G850,DATOS!$G$2:$G$20000,CONFIG_METADATA!$B$4,DATOS!$I$2:$I$20000,"Orquesta/Banda/Conjunto"),"")))</f>
        <v/>
      </c>
      <c r="J850" t="str">
        <f>IF(G850="","",IF(G850="[FÓRMULA MANUAL]","",IFERROR(AVERAGEIFS(DATOS!$K$2:$K$20000,DATOS!$A$2:$A$20000,G850,DATOS!$G$2:$G$20000,CONFIG_METADATA!$B$4,DATOS!$I$2:$I$20000,"Conjunto"),"")))</f>
        <v/>
      </c>
      <c r="K850" t="str">
        <f>IF(G850="","",IF(G850="[FÓRMULA MANUAL]","",IFERROR(SUMPRODUCT((DATOS!$A$2:$A$20000=G850)*(DATOS!$G$2:$G$20000=CONFIG_METADATA!$B$4)*(COUNTIF(CONFIG_ASIGNATURAS!$B$7:$B$27,DATOS!$I$2:$I$20000)&gt;0)*(DATOS!$K$2:$K$20000))/SUMPRODUCT((DATOS!$A$2:$A$20000=G850)*(DATOS!$G$2:$G$20000=CONFIG_METADATA!$B$4)*(COUNTIF(CONFIG_ASIGNATURAS!$B$7:$B$27,DATOS!$I$2:$I$20000)&gt;0)*1),"")))</f>
        <v/>
      </c>
      <c r="N850" t="str">
        <f>IF(M850="","",IF(M850="[FÓRMULA MANUAL]","",IFERROR(AVERAGEIFS(DATOS!$K$2:$K$20000,DATOS!$A$2:$A$20000,M850,DATOS!$G$2:$G$20000,CONFIG_METADATA!$B$4,DATOS!$I$2:$I$20000,"Armonía"),"")))</f>
        <v/>
      </c>
      <c r="O850" t="str">
        <f>IF(M850="","",IF(M850="[FÓRMULA MANUAL]","",IFERROR(AVERAGEIFS(DATOS!$K$2:$K$20000,DATOS!$A$2:$A$20000,M850,DATOS!$G$2:$G$20000,CONFIG_METADATA!$B$4,DATOS!$I$2:$I$20000,"Orquesta/Banda/Conjunto"),"")))</f>
        <v/>
      </c>
      <c r="P850" t="str">
        <f>IF(M850="","",IF(M850="[FÓRMULA MANUAL]","",IFERROR(AVERAGEIFS(DATOS!$K$2:$K$20000,DATOS!$A$2:$A$20000,M850,DATOS!$G$2:$G$20000,CONFIG_METADATA!$B$4,DATOS!$I$2:$I$20000,"Música de Cámara"),"")))</f>
        <v/>
      </c>
      <c r="Q850" t="str">
        <f>IF(M850="","",IF(M850="[FÓRMULA MANUAL]","",IFERROR(SUMPRODUCT((DATOS!$A$2:$A$20000=M850)*(DATOS!$G$2:$G$20000=CONFIG_METADATA!$B$4)*(COUNTIF(CONFIG_ASIGNATURAS!$B$7:$B$27,DATOS!$I$2:$I$20000)&gt;0)*(DATOS!$K$2:$K$20000))/SUMPRODUCT((DATOS!$A$2:$A$20000=M850)*(DATOS!$G$2:$G$20000=CONFIG_METADATA!$B$4)*(COUNTIF(CONFIG_ASIGNATURAS!$B$7:$B$27,DATOS!$I$2:$I$20000)&gt;0)*1),"")))</f>
        <v/>
      </c>
      <c r="T850" t="str">
        <f>IF(S850="","",IF(S850="[FÓRMULA MANUAL]","",IFERROR(AVERAGEIFS(DATOS!$K$2:$K$20000,DATOS!$A$2:$A$20000,S850,DATOS!$G$2:$G$20000,CONFIG_METADATA!$B$4,DATOS!$I$2:$I$20000,"Armonía"),"")))</f>
        <v/>
      </c>
      <c r="U850" t="str">
        <f>IF(S850="","",IF(S850="[FÓRMULA MANUAL]","",IFERROR(AVERAGEIFS(DATOS!$K$2:$K$20000,DATOS!$A$2:$A$20000,S850,DATOS!$G$2:$G$20000,CONFIG_METADATA!$B$4,DATOS!$I$2:$I$20000,"Orquesta/Banda/Conjunto"),"")))</f>
        <v/>
      </c>
      <c r="V850" t="str">
        <f>IF(S850="","",IF(S850="[FÓRMULA MANUAL]","",IFERROR(AVERAGEIFS(DATOS!$K$2:$K$20000,DATOS!$A$2:$A$20000,S850,DATOS!$G$2:$G$20000,CONFIG_METADATA!$B$4,DATOS!$I$2:$I$20000,"Música de Cámara"),"")))</f>
        <v/>
      </c>
      <c r="W850" t="str">
        <f>IF(S850="","",IF(S850="[FÓRMULA MANUAL]","",IFERROR(SUMPRODUCT((DATOS!$A$2:$A$20000=S850)*(DATOS!$G$2:$G$20000=CONFIG_METADATA!$B$4)*(COUNTIF(CONFIG_ASIGNATURAS!$B$7:$B$27,DATOS!$I$2:$I$20000)&gt;0)*(DATOS!$K$2:$K$20000))/SUMPRODUCT((DATOS!$A$2:$A$20000=S850)*(DATOS!$G$2:$G$20000=CONFIG_METADATA!$B$4)*(COUNTIF(CONFIG_ASIGNATURAS!$B$7:$B$27,DATOS!$I$2:$I$20000)&gt;0)*1),"")))</f>
        <v/>
      </c>
      <c r="Z850" t="str">
        <f>IF(Y850="","",IF(Y850="[FÓRMULA MANUAL]","",IFERROR(AVERAGEIFS(DATOS!$K$2:$K$20000,DATOS!$A$2:$A$20000,Y850,DATOS!$G$2:$G$20000,CONFIG_METADATA!$B$4,DATOS!$I$2:$I$20000,"Análisis"),"")))</f>
        <v/>
      </c>
      <c r="AA850" t="str">
        <f>IF(Y850="","",IF(Y850="[FÓRMULA MANUAL]","",IFERROR(AVERAGEIFS(DATOS!$K$2:$K$20000,DATOS!$A$2:$A$20000,Y850,DATOS!$G$2:$G$20000,CONFIG_METADATA!$B$4,DATOS!$I$2:$I$20000,"Orquesta/Banda/Conjunto"),"")))</f>
        <v/>
      </c>
      <c r="AB850" t="str">
        <f>IF(Y850="","",IF(Y850="[FÓRMULA MANUAL]","",IFERROR(AVERAGEIFS(DATOS!$K$2:$K$20000,DATOS!$A$2:$A$20000,Y850,DATOS!$G$2:$G$20000,CONFIG_METADATA!$B$4,DATOS!$I$2:$I$20000,"Música de Cámara"),"")))</f>
        <v/>
      </c>
      <c r="AC850" t="str">
        <f>IF(Y850="","",IF(Y850="[FÓRMULA MANUAL]","",IFERROR(SUMPRODUCT((DATOS!$A$2:$A$20000=Y850)*(DATOS!$G$2:$G$20000=CONFIG_METADATA!$B$4)*(COUNTIF(CONFIG_ASIGNATURAS!$B$7:$B$27,DATOS!$I$2:$I$20000)&gt;0)*(DATOS!$K$2:$K$20000))/SUMPRODUCT((DATOS!$A$2:$A$20000=Y850)*(DATOS!$G$2:$G$20000=CONFIG_METADATA!$B$4)*(COUNTIF(CONFIG_ASIGNATURAS!$B$7:$B$27,DATOS!$I$2:$I$20000)&gt;0)*1),"")))</f>
        <v/>
      </c>
      <c r="AF850" t="str">
        <f>IF(AE850="","",IF(AE850="[FÓRMULA MANUAL]","",IFERROR(AVERAGEIFS(DATOS!$K$2:$K$20000,DATOS!$A$2:$A$20000,AE850,DATOS!$G$2:$G$20000,CONFIG_METADATA!$B$4,DATOS!$I$2:$I$20000,"Análisis"),"")))</f>
        <v/>
      </c>
      <c r="AG850" t="str">
        <f>IF(AE850="","",IF(AE850="[FÓRMULA MANUAL]","",IFERROR(AVERAGEIFS(DATOS!$K$2:$K$20000,DATOS!$A$2:$A$20000,AE850,DATOS!$G$2:$G$20000,CONFIG_METADATA!$B$4,DATOS!$I$2:$I$20000,"Orquesta/Banda/Conjunto"),"")))</f>
        <v/>
      </c>
      <c r="AH850" t="str">
        <f>IF(AE850="","",IF(AE850="[FÓRMULA MANUAL]","",IFERROR(AVERAGEIFS(DATOS!$K$2:$K$20000,DATOS!$A$2:$A$20000,AE850,DATOS!$G$2:$G$20000,CONFIG_METADATA!$B$4,DATOS!$I$2:$I$20000,"Música de Cámara"),"")))</f>
        <v/>
      </c>
      <c r="AI850" t="str">
        <f>IF(AE850="","",IF(AE850="[FÓRMULA MANUAL]","",IFERROR(SUMPRODUCT((DATOS!$A$2:$A$20000=AE850)*(DATOS!$G$2:$G$20000=CONFIG_METADATA!$B$4)*(COUNTIF(CONFIG_ASIGNATURAS!$B$7:$B$27,DATOS!$I$2:$I$20000)&gt;0)*(DATOS!$K$2:$K$20000))/SUMPRODUCT((DATOS!$A$2:$A$20000=AE850)*(DATOS!$G$2:$G$20000=CONFIG_METADATA!$B$4)*(COUNTIF(CONFIG_ASIGNATURAS!$B$7:$B$27,DATOS!$I$2:$I$20000)&gt;0)*1),"")))</f>
        <v/>
      </c>
    </row>
    <row r="851" spans="2:35" x14ac:dyDescent="0.2">
      <c r="B851" t="str">
        <f>IF(A851="","",IF(A851="[FÓRMULA MANUAL]","",IFERROR(AVERAGEIFS(DATOS!$K$2:$K$20000,DATOS!$A$2:$A$20000,A851,DATOS!$G$2:$G$20000,CONFIG_METADATA!$B$4,DATOS!$I$2:$I$20000,"Lenguaje Musical"),"")))</f>
        <v/>
      </c>
      <c r="C851" t="str">
        <f>IF(A851="","",IF(A851="[FÓRMULA MANUAL]","",IFERROR(AVERAGEIFS(DATOS!$K$2:$K$20000,DATOS!$A$2:$A$20000,A851,DATOS!$G$2:$G$20000,CONFIG_METADATA!$B$4,DATOS!$I$2:$I$20000,"Orquesta/Banda/Conjunto"),"")))</f>
        <v/>
      </c>
      <c r="D851" t="str">
        <f>IF(A851="","",IF(A851="[FÓRMULA MANUAL]","",IFERROR(AVERAGEIFS(DATOS!$K$2:$K$20000,DATOS!$A$2:$A$20000,A851,DATOS!$G$2:$G$20000,CONFIG_METADATA!$B$4,DATOS!$I$2:$I$20000,"Conjunto"),"")))</f>
        <v/>
      </c>
      <c r="E851" t="str">
        <f>IF(A851="","",IF(A851="[FÓRMULA MANUAL]","",IFERROR(SUMPRODUCT((DATOS!$A$2:$A$20000=A851)*(DATOS!$G$2:$G$20000=CONFIG_METADATA!$B$4)*(COUNTIF(CONFIG_ASIGNATURAS!$B$7:$B$27,DATOS!$I$2:$I$20000)&gt;0)*(DATOS!$K$2:$K$20000))/SUMPRODUCT((DATOS!$A$2:$A$20000=A851)*(DATOS!$G$2:$G$20000=CONFIG_METADATA!$B$4)*(COUNTIF(CONFIG_ASIGNATURAS!$B$7:$B$27,DATOS!$I$2:$I$20000)&gt;0)*1),"")))</f>
        <v/>
      </c>
      <c r="H851" t="str">
        <f>IF(G851="","",IF(G851="[FÓRMULA MANUAL]","",IFERROR(AVERAGEIFS(DATOS!$K$2:$K$20000,DATOS!$A$2:$A$20000,G851,DATOS!$G$2:$G$20000,CONFIG_METADATA!$B$4,DATOS!$I$2:$I$20000,"Lenguaje Musical"),"")))</f>
        <v/>
      </c>
      <c r="I851" t="str">
        <f>IF(G851="","",IF(G851="[FÓRMULA MANUAL]","",IFERROR(AVERAGEIFS(DATOS!$K$2:$K$20000,DATOS!$A$2:$A$20000,G851,DATOS!$G$2:$G$20000,CONFIG_METADATA!$B$4,DATOS!$I$2:$I$20000,"Orquesta/Banda/Conjunto"),"")))</f>
        <v/>
      </c>
      <c r="J851" t="str">
        <f>IF(G851="","",IF(G851="[FÓRMULA MANUAL]","",IFERROR(AVERAGEIFS(DATOS!$K$2:$K$20000,DATOS!$A$2:$A$20000,G851,DATOS!$G$2:$G$20000,CONFIG_METADATA!$B$4,DATOS!$I$2:$I$20000,"Conjunto"),"")))</f>
        <v/>
      </c>
      <c r="K851" t="str">
        <f>IF(G851="","",IF(G851="[FÓRMULA MANUAL]","",IFERROR(SUMPRODUCT((DATOS!$A$2:$A$20000=G851)*(DATOS!$G$2:$G$20000=CONFIG_METADATA!$B$4)*(COUNTIF(CONFIG_ASIGNATURAS!$B$7:$B$27,DATOS!$I$2:$I$20000)&gt;0)*(DATOS!$K$2:$K$20000))/SUMPRODUCT((DATOS!$A$2:$A$20000=G851)*(DATOS!$G$2:$G$20000=CONFIG_METADATA!$B$4)*(COUNTIF(CONFIG_ASIGNATURAS!$B$7:$B$27,DATOS!$I$2:$I$20000)&gt;0)*1),"")))</f>
        <v/>
      </c>
      <c r="N851" t="str">
        <f>IF(M851="","",IF(M851="[FÓRMULA MANUAL]","",IFERROR(AVERAGEIFS(DATOS!$K$2:$K$20000,DATOS!$A$2:$A$20000,M851,DATOS!$G$2:$G$20000,CONFIG_METADATA!$B$4,DATOS!$I$2:$I$20000,"Armonía"),"")))</f>
        <v/>
      </c>
      <c r="O851" t="str">
        <f>IF(M851="","",IF(M851="[FÓRMULA MANUAL]","",IFERROR(AVERAGEIFS(DATOS!$K$2:$K$20000,DATOS!$A$2:$A$20000,M851,DATOS!$G$2:$G$20000,CONFIG_METADATA!$B$4,DATOS!$I$2:$I$20000,"Orquesta/Banda/Conjunto"),"")))</f>
        <v/>
      </c>
      <c r="P851" t="str">
        <f>IF(M851="","",IF(M851="[FÓRMULA MANUAL]","",IFERROR(AVERAGEIFS(DATOS!$K$2:$K$20000,DATOS!$A$2:$A$20000,M851,DATOS!$G$2:$G$20000,CONFIG_METADATA!$B$4,DATOS!$I$2:$I$20000,"Música de Cámara"),"")))</f>
        <v/>
      </c>
      <c r="Q851" t="str">
        <f>IF(M851="","",IF(M851="[FÓRMULA MANUAL]","",IFERROR(SUMPRODUCT((DATOS!$A$2:$A$20000=M851)*(DATOS!$G$2:$G$20000=CONFIG_METADATA!$B$4)*(COUNTIF(CONFIG_ASIGNATURAS!$B$7:$B$27,DATOS!$I$2:$I$20000)&gt;0)*(DATOS!$K$2:$K$20000))/SUMPRODUCT((DATOS!$A$2:$A$20000=M851)*(DATOS!$G$2:$G$20000=CONFIG_METADATA!$B$4)*(COUNTIF(CONFIG_ASIGNATURAS!$B$7:$B$27,DATOS!$I$2:$I$20000)&gt;0)*1),"")))</f>
        <v/>
      </c>
      <c r="T851" t="str">
        <f>IF(S851="","",IF(S851="[FÓRMULA MANUAL]","",IFERROR(AVERAGEIFS(DATOS!$K$2:$K$20000,DATOS!$A$2:$A$20000,S851,DATOS!$G$2:$G$20000,CONFIG_METADATA!$B$4,DATOS!$I$2:$I$20000,"Armonía"),"")))</f>
        <v/>
      </c>
      <c r="U851" t="str">
        <f>IF(S851="","",IF(S851="[FÓRMULA MANUAL]","",IFERROR(AVERAGEIFS(DATOS!$K$2:$K$20000,DATOS!$A$2:$A$20000,S851,DATOS!$G$2:$G$20000,CONFIG_METADATA!$B$4,DATOS!$I$2:$I$20000,"Orquesta/Banda/Conjunto"),"")))</f>
        <v/>
      </c>
      <c r="V851" t="str">
        <f>IF(S851="","",IF(S851="[FÓRMULA MANUAL]","",IFERROR(AVERAGEIFS(DATOS!$K$2:$K$20000,DATOS!$A$2:$A$20000,S851,DATOS!$G$2:$G$20000,CONFIG_METADATA!$B$4,DATOS!$I$2:$I$20000,"Música de Cámara"),"")))</f>
        <v/>
      </c>
      <c r="W851" t="str">
        <f>IF(S851="","",IF(S851="[FÓRMULA MANUAL]","",IFERROR(SUMPRODUCT((DATOS!$A$2:$A$20000=S851)*(DATOS!$G$2:$G$20000=CONFIG_METADATA!$B$4)*(COUNTIF(CONFIG_ASIGNATURAS!$B$7:$B$27,DATOS!$I$2:$I$20000)&gt;0)*(DATOS!$K$2:$K$20000))/SUMPRODUCT((DATOS!$A$2:$A$20000=S851)*(DATOS!$G$2:$G$20000=CONFIG_METADATA!$B$4)*(COUNTIF(CONFIG_ASIGNATURAS!$B$7:$B$27,DATOS!$I$2:$I$20000)&gt;0)*1),"")))</f>
        <v/>
      </c>
      <c r="Z851" t="str">
        <f>IF(Y851="","",IF(Y851="[FÓRMULA MANUAL]","",IFERROR(AVERAGEIFS(DATOS!$K$2:$K$20000,DATOS!$A$2:$A$20000,Y851,DATOS!$G$2:$G$20000,CONFIG_METADATA!$B$4,DATOS!$I$2:$I$20000,"Análisis"),"")))</f>
        <v/>
      </c>
      <c r="AA851" t="str">
        <f>IF(Y851="","",IF(Y851="[FÓRMULA MANUAL]","",IFERROR(AVERAGEIFS(DATOS!$K$2:$K$20000,DATOS!$A$2:$A$20000,Y851,DATOS!$G$2:$G$20000,CONFIG_METADATA!$B$4,DATOS!$I$2:$I$20000,"Orquesta/Banda/Conjunto"),"")))</f>
        <v/>
      </c>
      <c r="AB851" t="str">
        <f>IF(Y851="","",IF(Y851="[FÓRMULA MANUAL]","",IFERROR(AVERAGEIFS(DATOS!$K$2:$K$20000,DATOS!$A$2:$A$20000,Y851,DATOS!$G$2:$G$20000,CONFIG_METADATA!$B$4,DATOS!$I$2:$I$20000,"Música de Cámara"),"")))</f>
        <v/>
      </c>
      <c r="AC851" t="str">
        <f>IF(Y851="","",IF(Y851="[FÓRMULA MANUAL]","",IFERROR(SUMPRODUCT((DATOS!$A$2:$A$20000=Y851)*(DATOS!$G$2:$G$20000=CONFIG_METADATA!$B$4)*(COUNTIF(CONFIG_ASIGNATURAS!$B$7:$B$27,DATOS!$I$2:$I$20000)&gt;0)*(DATOS!$K$2:$K$20000))/SUMPRODUCT((DATOS!$A$2:$A$20000=Y851)*(DATOS!$G$2:$G$20000=CONFIG_METADATA!$B$4)*(COUNTIF(CONFIG_ASIGNATURAS!$B$7:$B$27,DATOS!$I$2:$I$20000)&gt;0)*1),"")))</f>
        <v/>
      </c>
      <c r="AF851" t="str">
        <f>IF(AE851="","",IF(AE851="[FÓRMULA MANUAL]","",IFERROR(AVERAGEIFS(DATOS!$K$2:$K$20000,DATOS!$A$2:$A$20000,AE851,DATOS!$G$2:$G$20000,CONFIG_METADATA!$B$4,DATOS!$I$2:$I$20000,"Análisis"),"")))</f>
        <v/>
      </c>
      <c r="AG851" t="str">
        <f>IF(AE851="","",IF(AE851="[FÓRMULA MANUAL]","",IFERROR(AVERAGEIFS(DATOS!$K$2:$K$20000,DATOS!$A$2:$A$20000,AE851,DATOS!$G$2:$G$20000,CONFIG_METADATA!$B$4,DATOS!$I$2:$I$20000,"Orquesta/Banda/Conjunto"),"")))</f>
        <v/>
      </c>
      <c r="AH851" t="str">
        <f>IF(AE851="","",IF(AE851="[FÓRMULA MANUAL]","",IFERROR(AVERAGEIFS(DATOS!$K$2:$K$20000,DATOS!$A$2:$A$20000,AE851,DATOS!$G$2:$G$20000,CONFIG_METADATA!$B$4,DATOS!$I$2:$I$20000,"Música de Cámara"),"")))</f>
        <v/>
      </c>
      <c r="AI851" t="str">
        <f>IF(AE851="","",IF(AE851="[FÓRMULA MANUAL]","",IFERROR(SUMPRODUCT((DATOS!$A$2:$A$20000=AE851)*(DATOS!$G$2:$G$20000=CONFIG_METADATA!$B$4)*(COUNTIF(CONFIG_ASIGNATURAS!$B$7:$B$27,DATOS!$I$2:$I$20000)&gt;0)*(DATOS!$K$2:$K$20000))/SUMPRODUCT((DATOS!$A$2:$A$20000=AE851)*(DATOS!$G$2:$G$20000=CONFIG_METADATA!$B$4)*(COUNTIF(CONFIG_ASIGNATURAS!$B$7:$B$27,DATOS!$I$2:$I$20000)&gt;0)*1),"")))</f>
        <v/>
      </c>
    </row>
    <row r="852" spans="2:35" x14ac:dyDescent="0.2">
      <c r="B852" t="str">
        <f>IF(A852="","",IF(A852="[FÓRMULA MANUAL]","",IFERROR(AVERAGEIFS(DATOS!$K$2:$K$20000,DATOS!$A$2:$A$20000,A852,DATOS!$G$2:$G$20000,CONFIG_METADATA!$B$4,DATOS!$I$2:$I$20000,"Lenguaje Musical"),"")))</f>
        <v/>
      </c>
      <c r="C852" t="str">
        <f>IF(A852="","",IF(A852="[FÓRMULA MANUAL]","",IFERROR(AVERAGEIFS(DATOS!$K$2:$K$20000,DATOS!$A$2:$A$20000,A852,DATOS!$G$2:$G$20000,CONFIG_METADATA!$B$4,DATOS!$I$2:$I$20000,"Orquesta/Banda/Conjunto"),"")))</f>
        <v/>
      </c>
      <c r="D852" t="str">
        <f>IF(A852="","",IF(A852="[FÓRMULA MANUAL]","",IFERROR(AVERAGEIFS(DATOS!$K$2:$K$20000,DATOS!$A$2:$A$20000,A852,DATOS!$G$2:$G$20000,CONFIG_METADATA!$B$4,DATOS!$I$2:$I$20000,"Conjunto"),"")))</f>
        <v/>
      </c>
      <c r="E852" t="str">
        <f>IF(A852="","",IF(A852="[FÓRMULA MANUAL]","",IFERROR(SUMPRODUCT((DATOS!$A$2:$A$20000=A852)*(DATOS!$G$2:$G$20000=CONFIG_METADATA!$B$4)*(COUNTIF(CONFIG_ASIGNATURAS!$B$7:$B$27,DATOS!$I$2:$I$20000)&gt;0)*(DATOS!$K$2:$K$20000))/SUMPRODUCT((DATOS!$A$2:$A$20000=A852)*(DATOS!$G$2:$G$20000=CONFIG_METADATA!$B$4)*(COUNTIF(CONFIG_ASIGNATURAS!$B$7:$B$27,DATOS!$I$2:$I$20000)&gt;0)*1),"")))</f>
        <v/>
      </c>
      <c r="H852" t="str">
        <f>IF(G852="","",IF(G852="[FÓRMULA MANUAL]","",IFERROR(AVERAGEIFS(DATOS!$K$2:$K$20000,DATOS!$A$2:$A$20000,G852,DATOS!$G$2:$G$20000,CONFIG_METADATA!$B$4,DATOS!$I$2:$I$20000,"Lenguaje Musical"),"")))</f>
        <v/>
      </c>
      <c r="I852" t="str">
        <f>IF(G852="","",IF(G852="[FÓRMULA MANUAL]","",IFERROR(AVERAGEIFS(DATOS!$K$2:$K$20000,DATOS!$A$2:$A$20000,G852,DATOS!$G$2:$G$20000,CONFIG_METADATA!$B$4,DATOS!$I$2:$I$20000,"Orquesta/Banda/Conjunto"),"")))</f>
        <v/>
      </c>
      <c r="J852" t="str">
        <f>IF(G852="","",IF(G852="[FÓRMULA MANUAL]","",IFERROR(AVERAGEIFS(DATOS!$K$2:$K$20000,DATOS!$A$2:$A$20000,G852,DATOS!$G$2:$G$20000,CONFIG_METADATA!$B$4,DATOS!$I$2:$I$20000,"Conjunto"),"")))</f>
        <v/>
      </c>
      <c r="K852" t="str">
        <f>IF(G852="","",IF(G852="[FÓRMULA MANUAL]","",IFERROR(SUMPRODUCT((DATOS!$A$2:$A$20000=G852)*(DATOS!$G$2:$G$20000=CONFIG_METADATA!$B$4)*(COUNTIF(CONFIG_ASIGNATURAS!$B$7:$B$27,DATOS!$I$2:$I$20000)&gt;0)*(DATOS!$K$2:$K$20000))/SUMPRODUCT((DATOS!$A$2:$A$20000=G852)*(DATOS!$G$2:$G$20000=CONFIG_METADATA!$B$4)*(COUNTIF(CONFIG_ASIGNATURAS!$B$7:$B$27,DATOS!$I$2:$I$20000)&gt;0)*1),"")))</f>
        <v/>
      </c>
      <c r="N852" t="str">
        <f>IF(M852="","",IF(M852="[FÓRMULA MANUAL]","",IFERROR(AVERAGEIFS(DATOS!$K$2:$K$20000,DATOS!$A$2:$A$20000,M852,DATOS!$G$2:$G$20000,CONFIG_METADATA!$B$4,DATOS!$I$2:$I$20000,"Armonía"),"")))</f>
        <v/>
      </c>
      <c r="O852" t="str">
        <f>IF(M852="","",IF(M852="[FÓRMULA MANUAL]","",IFERROR(AVERAGEIFS(DATOS!$K$2:$K$20000,DATOS!$A$2:$A$20000,M852,DATOS!$G$2:$G$20000,CONFIG_METADATA!$B$4,DATOS!$I$2:$I$20000,"Orquesta/Banda/Conjunto"),"")))</f>
        <v/>
      </c>
      <c r="P852" t="str">
        <f>IF(M852="","",IF(M852="[FÓRMULA MANUAL]","",IFERROR(AVERAGEIFS(DATOS!$K$2:$K$20000,DATOS!$A$2:$A$20000,M852,DATOS!$G$2:$G$20000,CONFIG_METADATA!$B$4,DATOS!$I$2:$I$20000,"Música de Cámara"),"")))</f>
        <v/>
      </c>
      <c r="Q852" t="str">
        <f>IF(M852="","",IF(M852="[FÓRMULA MANUAL]","",IFERROR(SUMPRODUCT((DATOS!$A$2:$A$20000=M852)*(DATOS!$G$2:$G$20000=CONFIG_METADATA!$B$4)*(COUNTIF(CONFIG_ASIGNATURAS!$B$7:$B$27,DATOS!$I$2:$I$20000)&gt;0)*(DATOS!$K$2:$K$20000))/SUMPRODUCT((DATOS!$A$2:$A$20000=M852)*(DATOS!$G$2:$G$20000=CONFIG_METADATA!$B$4)*(COUNTIF(CONFIG_ASIGNATURAS!$B$7:$B$27,DATOS!$I$2:$I$20000)&gt;0)*1),"")))</f>
        <v/>
      </c>
      <c r="T852" t="str">
        <f>IF(S852="","",IF(S852="[FÓRMULA MANUAL]","",IFERROR(AVERAGEIFS(DATOS!$K$2:$K$20000,DATOS!$A$2:$A$20000,S852,DATOS!$G$2:$G$20000,CONFIG_METADATA!$B$4,DATOS!$I$2:$I$20000,"Armonía"),"")))</f>
        <v/>
      </c>
      <c r="U852" t="str">
        <f>IF(S852="","",IF(S852="[FÓRMULA MANUAL]","",IFERROR(AVERAGEIFS(DATOS!$K$2:$K$20000,DATOS!$A$2:$A$20000,S852,DATOS!$G$2:$G$20000,CONFIG_METADATA!$B$4,DATOS!$I$2:$I$20000,"Orquesta/Banda/Conjunto"),"")))</f>
        <v/>
      </c>
      <c r="V852" t="str">
        <f>IF(S852="","",IF(S852="[FÓRMULA MANUAL]","",IFERROR(AVERAGEIFS(DATOS!$K$2:$K$20000,DATOS!$A$2:$A$20000,S852,DATOS!$G$2:$G$20000,CONFIG_METADATA!$B$4,DATOS!$I$2:$I$20000,"Música de Cámara"),"")))</f>
        <v/>
      </c>
      <c r="W852" t="str">
        <f>IF(S852="","",IF(S852="[FÓRMULA MANUAL]","",IFERROR(SUMPRODUCT((DATOS!$A$2:$A$20000=S852)*(DATOS!$G$2:$G$20000=CONFIG_METADATA!$B$4)*(COUNTIF(CONFIG_ASIGNATURAS!$B$7:$B$27,DATOS!$I$2:$I$20000)&gt;0)*(DATOS!$K$2:$K$20000))/SUMPRODUCT((DATOS!$A$2:$A$20000=S852)*(DATOS!$G$2:$G$20000=CONFIG_METADATA!$B$4)*(COUNTIF(CONFIG_ASIGNATURAS!$B$7:$B$27,DATOS!$I$2:$I$20000)&gt;0)*1),"")))</f>
        <v/>
      </c>
      <c r="Z852" t="str">
        <f>IF(Y852="","",IF(Y852="[FÓRMULA MANUAL]","",IFERROR(AVERAGEIFS(DATOS!$K$2:$K$20000,DATOS!$A$2:$A$20000,Y852,DATOS!$G$2:$G$20000,CONFIG_METADATA!$B$4,DATOS!$I$2:$I$20000,"Análisis"),"")))</f>
        <v/>
      </c>
      <c r="AA852" t="str">
        <f>IF(Y852="","",IF(Y852="[FÓRMULA MANUAL]","",IFERROR(AVERAGEIFS(DATOS!$K$2:$K$20000,DATOS!$A$2:$A$20000,Y852,DATOS!$G$2:$G$20000,CONFIG_METADATA!$B$4,DATOS!$I$2:$I$20000,"Orquesta/Banda/Conjunto"),"")))</f>
        <v/>
      </c>
      <c r="AB852" t="str">
        <f>IF(Y852="","",IF(Y852="[FÓRMULA MANUAL]","",IFERROR(AVERAGEIFS(DATOS!$K$2:$K$20000,DATOS!$A$2:$A$20000,Y852,DATOS!$G$2:$G$20000,CONFIG_METADATA!$B$4,DATOS!$I$2:$I$20000,"Música de Cámara"),"")))</f>
        <v/>
      </c>
      <c r="AC852" t="str">
        <f>IF(Y852="","",IF(Y852="[FÓRMULA MANUAL]","",IFERROR(SUMPRODUCT((DATOS!$A$2:$A$20000=Y852)*(DATOS!$G$2:$G$20000=CONFIG_METADATA!$B$4)*(COUNTIF(CONFIG_ASIGNATURAS!$B$7:$B$27,DATOS!$I$2:$I$20000)&gt;0)*(DATOS!$K$2:$K$20000))/SUMPRODUCT((DATOS!$A$2:$A$20000=Y852)*(DATOS!$G$2:$G$20000=CONFIG_METADATA!$B$4)*(COUNTIF(CONFIG_ASIGNATURAS!$B$7:$B$27,DATOS!$I$2:$I$20000)&gt;0)*1),"")))</f>
        <v/>
      </c>
      <c r="AF852" t="str">
        <f>IF(AE852="","",IF(AE852="[FÓRMULA MANUAL]","",IFERROR(AVERAGEIFS(DATOS!$K$2:$K$20000,DATOS!$A$2:$A$20000,AE852,DATOS!$G$2:$G$20000,CONFIG_METADATA!$B$4,DATOS!$I$2:$I$20000,"Análisis"),"")))</f>
        <v/>
      </c>
      <c r="AG852" t="str">
        <f>IF(AE852="","",IF(AE852="[FÓRMULA MANUAL]","",IFERROR(AVERAGEIFS(DATOS!$K$2:$K$20000,DATOS!$A$2:$A$20000,AE852,DATOS!$G$2:$G$20000,CONFIG_METADATA!$B$4,DATOS!$I$2:$I$20000,"Orquesta/Banda/Conjunto"),"")))</f>
        <v/>
      </c>
      <c r="AH852" t="str">
        <f>IF(AE852="","",IF(AE852="[FÓRMULA MANUAL]","",IFERROR(AVERAGEIFS(DATOS!$K$2:$K$20000,DATOS!$A$2:$A$20000,AE852,DATOS!$G$2:$G$20000,CONFIG_METADATA!$B$4,DATOS!$I$2:$I$20000,"Música de Cámara"),"")))</f>
        <v/>
      </c>
      <c r="AI852" t="str">
        <f>IF(AE852="","",IF(AE852="[FÓRMULA MANUAL]","",IFERROR(SUMPRODUCT((DATOS!$A$2:$A$20000=AE852)*(DATOS!$G$2:$G$20000=CONFIG_METADATA!$B$4)*(COUNTIF(CONFIG_ASIGNATURAS!$B$7:$B$27,DATOS!$I$2:$I$20000)&gt;0)*(DATOS!$K$2:$K$20000))/SUMPRODUCT((DATOS!$A$2:$A$20000=AE852)*(DATOS!$G$2:$G$20000=CONFIG_METADATA!$B$4)*(COUNTIF(CONFIG_ASIGNATURAS!$B$7:$B$27,DATOS!$I$2:$I$20000)&gt;0)*1),"")))</f>
        <v/>
      </c>
    </row>
    <row r="853" spans="2:35" x14ac:dyDescent="0.2">
      <c r="B853" t="str">
        <f>IF(A853="","",IF(A853="[FÓRMULA MANUAL]","",IFERROR(AVERAGEIFS(DATOS!$K$2:$K$20000,DATOS!$A$2:$A$20000,A853,DATOS!$G$2:$G$20000,CONFIG_METADATA!$B$4,DATOS!$I$2:$I$20000,"Lenguaje Musical"),"")))</f>
        <v/>
      </c>
      <c r="C853" t="str">
        <f>IF(A853="","",IF(A853="[FÓRMULA MANUAL]","",IFERROR(AVERAGEIFS(DATOS!$K$2:$K$20000,DATOS!$A$2:$A$20000,A853,DATOS!$G$2:$G$20000,CONFIG_METADATA!$B$4,DATOS!$I$2:$I$20000,"Orquesta/Banda/Conjunto"),"")))</f>
        <v/>
      </c>
      <c r="D853" t="str">
        <f>IF(A853="","",IF(A853="[FÓRMULA MANUAL]","",IFERROR(AVERAGEIFS(DATOS!$K$2:$K$20000,DATOS!$A$2:$A$20000,A853,DATOS!$G$2:$G$20000,CONFIG_METADATA!$B$4,DATOS!$I$2:$I$20000,"Conjunto"),"")))</f>
        <v/>
      </c>
      <c r="E853" t="str">
        <f>IF(A853="","",IF(A853="[FÓRMULA MANUAL]","",IFERROR(SUMPRODUCT((DATOS!$A$2:$A$20000=A853)*(DATOS!$G$2:$G$20000=CONFIG_METADATA!$B$4)*(COUNTIF(CONFIG_ASIGNATURAS!$B$7:$B$27,DATOS!$I$2:$I$20000)&gt;0)*(DATOS!$K$2:$K$20000))/SUMPRODUCT((DATOS!$A$2:$A$20000=A853)*(DATOS!$G$2:$G$20000=CONFIG_METADATA!$B$4)*(COUNTIF(CONFIG_ASIGNATURAS!$B$7:$B$27,DATOS!$I$2:$I$20000)&gt;0)*1),"")))</f>
        <v/>
      </c>
      <c r="H853" t="str">
        <f>IF(G853="","",IF(G853="[FÓRMULA MANUAL]","",IFERROR(AVERAGEIFS(DATOS!$K$2:$K$20000,DATOS!$A$2:$A$20000,G853,DATOS!$G$2:$G$20000,CONFIG_METADATA!$B$4,DATOS!$I$2:$I$20000,"Lenguaje Musical"),"")))</f>
        <v/>
      </c>
      <c r="I853" t="str">
        <f>IF(G853="","",IF(G853="[FÓRMULA MANUAL]","",IFERROR(AVERAGEIFS(DATOS!$K$2:$K$20000,DATOS!$A$2:$A$20000,G853,DATOS!$G$2:$G$20000,CONFIG_METADATA!$B$4,DATOS!$I$2:$I$20000,"Orquesta/Banda/Conjunto"),"")))</f>
        <v/>
      </c>
      <c r="J853" t="str">
        <f>IF(G853="","",IF(G853="[FÓRMULA MANUAL]","",IFERROR(AVERAGEIFS(DATOS!$K$2:$K$20000,DATOS!$A$2:$A$20000,G853,DATOS!$G$2:$G$20000,CONFIG_METADATA!$B$4,DATOS!$I$2:$I$20000,"Conjunto"),"")))</f>
        <v/>
      </c>
      <c r="K853" t="str">
        <f>IF(G853="","",IF(G853="[FÓRMULA MANUAL]","",IFERROR(SUMPRODUCT((DATOS!$A$2:$A$20000=G853)*(DATOS!$G$2:$G$20000=CONFIG_METADATA!$B$4)*(COUNTIF(CONFIG_ASIGNATURAS!$B$7:$B$27,DATOS!$I$2:$I$20000)&gt;0)*(DATOS!$K$2:$K$20000))/SUMPRODUCT((DATOS!$A$2:$A$20000=G853)*(DATOS!$G$2:$G$20000=CONFIG_METADATA!$B$4)*(COUNTIF(CONFIG_ASIGNATURAS!$B$7:$B$27,DATOS!$I$2:$I$20000)&gt;0)*1),"")))</f>
        <v/>
      </c>
      <c r="N853" t="str">
        <f>IF(M853="","",IF(M853="[FÓRMULA MANUAL]","",IFERROR(AVERAGEIFS(DATOS!$K$2:$K$20000,DATOS!$A$2:$A$20000,M853,DATOS!$G$2:$G$20000,CONFIG_METADATA!$B$4,DATOS!$I$2:$I$20000,"Armonía"),"")))</f>
        <v/>
      </c>
      <c r="O853" t="str">
        <f>IF(M853="","",IF(M853="[FÓRMULA MANUAL]","",IFERROR(AVERAGEIFS(DATOS!$K$2:$K$20000,DATOS!$A$2:$A$20000,M853,DATOS!$G$2:$G$20000,CONFIG_METADATA!$B$4,DATOS!$I$2:$I$20000,"Orquesta/Banda/Conjunto"),"")))</f>
        <v/>
      </c>
      <c r="P853" t="str">
        <f>IF(M853="","",IF(M853="[FÓRMULA MANUAL]","",IFERROR(AVERAGEIFS(DATOS!$K$2:$K$20000,DATOS!$A$2:$A$20000,M853,DATOS!$G$2:$G$20000,CONFIG_METADATA!$B$4,DATOS!$I$2:$I$20000,"Música de Cámara"),"")))</f>
        <v/>
      </c>
      <c r="Q853" t="str">
        <f>IF(M853="","",IF(M853="[FÓRMULA MANUAL]","",IFERROR(SUMPRODUCT((DATOS!$A$2:$A$20000=M853)*(DATOS!$G$2:$G$20000=CONFIG_METADATA!$B$4)*(COUNTIF(CONFIG_ASIGNATURAS!$B$7:$B$27,DATOS!$I$2:$I$20000)&gt;0)*(DATOS!$K$2:$K$20000))/SUMPRODUCT((DATOS!$A$2:$A$20000=M853)*(DATOS!$G$2:$G$20000=CONFIG_METADATA!$B$4)*(COUNTIF(CONFIG_ASIGNATURAS!$B$7:$B$27,DATOS!$I$2:$I$20000)&gt;0)*1),"")))</f>
        <v/>
      </c>
      <c r="T853" t="str">
        <f>IF(S853="","",IF(S853="[FÓRMULA MANUAL]","",IFERROR(AVERAGEIFS(DATOS!$K$2:$K$20000,DATOS!$A$2:$A$20000,S853,DATOS!$G$2:$G$20000,CONFIG_METADATA!$B$4,DATOS!$I$2:$I$20000,"Armonía"),"")))</f>
        <v/>
      </c>
      <c r="U853" t="str">
        <f>IF(S853="","",IF(S853="[FÓRMULA MANUAL]","",IFERROR(AVERAGEIFS(DATOS!$K$2:$K$20000,DATOS!$A$2:$A$20000,S853,DATOS!$G$2:$G$20000,CONFIG_METADATA!$B$4,DATOS!$I$2:$I$20000,"Orquesta/Banda/Conjunto"),"")))</f>
        <v/>
      </c>
      <c r="V853" t="str">
        <f>IF(S853="","",IF(S853="[FÓRMULA MANUAL]","",IFERROR(AVERAGEIFS(DATOS!$K$2:$K$20000,DATOS!$A$2:$A$20000,S853,DATOS!$G$2:$G$20000,CONFIG_METADATA!$B$4,DATOS!$I$2:$I$20000,"Música de Cámara"),"")))</f>
        <v/>
      </c>
      <c r="W853" t="str">
        <f>IF(S853="","",IF(S853="[FÓRMULA MANUAL]","",IFERROR(SUMPRODUCT((DATOS!$A$2:$A$20000=S853)*(DATOS!$G$2:$G$20000=CONFIG_METADATA!$B$4)*(COUNTIF(CONFIG_ASIGNATURAS!$B$7:$B$27,DATOS!$I$2:$I$20000)&gt;0)*(DATOS!$K$2:$K$20000))/SUMPRODUCT((DATOS!$A$2:$A$20000=S853)*(DATOS!$G$2:$G$20000=CONFIG_METADATA!$B$4)*(COUNTIF(CONFIG_ASIGNATURAS!$B$7:$B$27,DATOS!$I$2:$I$20000)&gt;0)*1),"")))</f>
        <v/>
      </c>
      <c r="Z853" t="str">
        <f>IF(Y853="","",IF(Y853="[FÓRMULA MANUAL]","",IFERROR(AVERAGEIFS(DATOS!$K$2:$K$20000,DATOS!$A$2:$A$20000,Y853,DATOS!$G$2:$G$20000,CONFIG_METADATA!$B$4,DATOS!$I$2:$I$20000,"Análisis"),"")))</f>
        <v/>
      </c>
      <c r="AA853" t="str">
        <f>IF(Y853="","",IF(Y853="[FÓRMULA MANUAL]","",IFERROR(AVERAGEIFS(DATOS!$K$2:$K$20000,DATOS!$A$2:$A$20000,Y853,DATOS!$G$2:$G$20000,CONFIG_METADATA!$B$4,DATOS!$I$2:$I$20000,"Orquesta/Banda/Conjunto"),"")))</f>
        <v/>
      </c>
      <c r="AB853" t="str">
        <f>IF(Y853="","",IF(Y853="[FÓRMULA MANUAL]","",IFERROR(AVERAGEIFS(DATOS!$K$2:$K$20000,DATOS!$A$2:$A$20000,Y853,DATOS!$G$2:$G$20000,CONFIG_METADATA!$B$4,DATOS!$I$2:$I$20000,"Música de Cámara"),"")))</f>
        <v/>
      </c>
      <c r="AC853" t="str">
        <f>IF(Y853="","",IF(Y853="[FÓRMULA MANUAL]","",IFERROR(SUMPRODUCT((DATOS!$A$2:$A$20000=Y853)*(DATOS!$G$2:$G$20000=CONFIG_METADATA!$B$4)*(COUNTIF(CONFIG_ASIGNATURAS!$B$7:$B$27,DATOS!$I$2:$I$20000)&gt;0)*(DATOS!$K$2:$K$20000))/SUMPRODUCT((DATOS!$A$2:$A$20000=Y853)*(DATOS!$G$2:$G$20000=CONFIG_METADATA!$B$4)*(COUNTIF(CONFIG_ASIGNATURAS!$B$7:$B$27,DATOS!$I$2:$I$20000)&gt;0)*1),"")))</f>
        <v/>
      </c>
      <c r="AF853" t="str">
        <f>IF(AE853="","",IF(AE853="[FÓRMULA MANUAL]","",IFERROR(AVERAGEIFS(DATOS!$K$2:$K$20000,DATOS!$A$2:$A$20000,AE853,DATOS!$G$2:$G$20000,CONFIG_METADATA!$B$4,DATOS!$I$2:$I$20000,"Análisis"),"")))</f>
        <v/>
      </c>
      <c r="AG853" t="str">
        <f>IF(AE853="","",IF(AE853="[FÓRMULA MANUAL]","",IFERROR(AVERAGEIFS(DATOS!$K$2:$K$20000,DATOS!$A$2:$A$20000,AE853,DATOS!$G$2:$G$20000,CONFIG_METADATA!$B$4,DATOS!$I$2:$I$20000,"Orquesta/Banda/Conjunto"),"")))</f>
        <v/>
      </c>
      <c r="AH853" t="str">
        <f>IF(AE853="","",IF(AE853="[FÓRMULA MANUAL]","",IFERROR(AVERAGEIFS(DATOS!$K$2:$K$20000,DATOS!$A$2:$A$20000,AE853,DATOS!$G$2:$G$20000,CONFIG_METADATA!$B$4,DATOS!$I$2:$I$20000,"Música de Cámara"),"")))</f>
        <v/>
      </c>
      <c r="AI853" t="str">
        <f>IF(AE853="","",IF(AE853="[FÓRMULA MANUAL]","",IFERROR(SUMPRODUCT((DATOS!$A$2:$A$20000=AE853)*(DATOS!$G$2:$G$20000=CONFIG_METADATA!$B$4)*(COUNTIF(CONFIG_ASIGNATURAS!$B$7:$B$27,DATOS!$I$2:$I$20000)&gt;0)*(DATOS!$K$2:$K$20000))/SUMPRODUCT((DATOS!$A$2:$A$20000=AE853)*(DATOS!$G$2:$G$20000=CONFIG_METADATA!$B$4)*(COUNTIF(CONFIG_ASIGNATURAS!$B$7:$B$27,DATOS!$I$2:$I$20000)&gt;0)*1),"")))</f>
        <v/>
      </c>
    </row>
    <row r="854" spans="2:35" x14ac:dyDescent="0.2">
      <c r="B854" t="str">
        <f>IF(A854="","",IF(A854="[FÓRMULA MANUAL]","",IFERROR(AVERAGEIFS(DATOS!$K$2:$K$20000,DATOS!$A$2:$A$20000,A854,DATOS!$G$2:$G$20000,CONFIG_METADATA!$B$4,DATOS!$I$2:$I$20000,"Lenguaje Musical"),"")))</f>
        <v/>
      </c>
      <c r="C854" t="str">
        <f>IF(A854="","",IF(A854="[FÓRMULA MANUAL]","",IFERROR(AVERAGEIFS(DATOS!$K$2:$K$20000,DATOS!$A$2:$A$20000,A854,DATOS!$G$2:$G$20000,CONFIG_METADATA!$B$4,DATOS!$I$2:$I$20000,"Orquesta/Banda/Conjunto"),"")))</f>
        <v/>
      </c>
      <c r="D854" t="str">
        <f>IF(A854="","",IF(A854="[FÓRMULA MANUAL]","",IFERROR(AVERAGEIFS(DATOS!$K$2:$K$20000,DATOS!$A$2:$A$20000,A854,DATOS!$G$2:$G$20000,CONFIG_METADATA!$B$4,DATOS!$I$2:$I$20000,"Conjunto"),"")))</f>
        <v/>
      </c>
      <c r="E854" t="str">
        <f>IF(A854="","",IF(A854="[FÓRMULA MANUAL]","",IFERROR(SUMPRODUCT((DATOS!$A$2:$A$20000=A854)*(DATOS!$G$2:$G$20000=CONFIG_METADATA!$B$4)*(COUNTIF(CONFIG_ASIGNATURAS!$B$7:$B$27,DATOS!$I$2:$I$20000)&gt;0)*(DATOS!$K$2:$K$20000))/SUMPRODUCT((DATOS!$A$2:$A$20000=A854)*(DATOS!$G$2:$G$20000=CONFIG_METADATA!$B$4)*(COUNTIF(CONFIG_ASIGNATURAS!$B$7:$B$27,DATOS!$I$2:$I$20000)&gt;0)*1),"")))</f>
        <v/>
      </c>
      <c r="H854" t="str">
        <f>IF(G854="","",IF(G854="[FÓRMULA MANUAL]","",IFERROR(AVERAGEIFS(DATOS!$K$2:$K$20000,DATOS!$A$2:$A$20000,G854,DATOS!$G$2:$G$20000,CONFIG_METADATA!$B$4,DATOS!$I$2:$I$20000,"Lenguaje Musical"),"")))</f>
        <v/>
      </c>
      <c r="I854" t="str">
        <f>IF(G854="","",IF(G854="[FÓRMULA MANUAL]","",IFERROR(AVERAGEIFS(DATOS!$K$2:$K$20000,DATOS!$A$2:$A$20000,G854,DATOS!$G$2:$G$20000,CONFIG_METADATA!$B$4,DATOS!$I$2:$I$20000,"Orquesta/Banda/Conjunto"),"")))</f>
        <v/>
      </c>
      <c r="J854" t="str">
        <f>IF(G854="","",IF(G854="[FÓRMULA MANUAL]","",IFERROR(AVERAGEIFS(DATOS!$K$2:$K$20000,DATOS!$A$2:$A$20000,G854,DATOS!$G$2:$G$20000,CONFIG_METADATA!$B$4,DATOS!$I$2:$I$20000,"Conjunto"),"")))</f>
        <v/>
      </c>
      <c r="K854" t="str">
        <f>IF(G854="","",IF(G854="[FÓRMULA MANUAL]","",IFERROR(SUMPRODUCT((DATOS!$A$2:$A$20000=G854)*(DATOS!$G$2:$G$20000=CONFIG_METADATA!$B$4)*(COUNTIF(CONFIG_ASIGNATURAS!$B$7:$B$27,DATOS!$I$2:$I$20000)&gt;0)*(DATOS!$K$2:$K$20000))/SUMPRODUCT((DATOS!$A$2:$A$20000=G854)*(DATOS!$G$2:$G$20000=CONFIG_METADATA!$B$4)*(COUNTIF(CONFIG_ASIGNATURAS!$B$7:$B$27,DATOS!$I$2:$I$20000)&gt;0)*1),"")))</f>
        <v/>
      </c>
      <c r="N854" t="str">
        <f>IF(M854="","",IF(M854="[FÓRMULA MANUAL]","",IFERROR(AVERAGEIFS(DATOS!$K$2:$K$20000,DATOS!$A$2:$A$20000,M854,DATOS!$G$2:$G$20000,CONFIG_METADATA!$B$4,DATOS!$I$2:$I$20000,"Armonía"),"")))</f>
        <v/>
      </c>
      <c r="O854" t="str">
        <f>IF(M854="","",IF(M854="[FÓRMULA MANUAL]","",IFERROR(AVERAGEIFS(DATOS!$K$2:$K$20000,DATOS!$A$2:$A$20000,M854,DATOS!$G$2:$G$20000,CONFIG_METADATA!$B$4,DATOS!$I$2:$I$20000,"Orquesta/Banda/Conjunto"),"")))</f>
        <v/>
      </c>
      <c r="P854" t="str">
        <f>IF(M854="","",IF(M854="[FÓRMULA MANUAL]","",IFERROR(AVERAGEIFS(DATOS!$K$2:$K$20000,DATOS!$A$2:$A$20000,M854,DATOS!$G$2:$G$20000,CONFIG_METADATA!$B$4,DATOS!$I$2:$I$20000,"Música de Cámara"),"")))</f>
        <v/>
      </c>
      <c r="Q854" t="str">
        <f>IF(M854="","",IF(M854="[FÓRMULA MANUAL]","",IFERROR(SUMPRODUCT((DATOS!$A$2:$A$20000=M854)*(DATOS!$G$2:$G$20000=CONFIG_METADATA!$B$4)*(COUNTIF(CONFIG_ASIGNATURAS!$B$7:$B$27,DATOS!$I$2:$I$20000)&gt;0)*(DATOS!$K$2:$K$20000))/SUMPRODUCT((DATOS!$A$2:$A$20000=M854)*(DATOS!$G$2:$G$20000=CONFIG_METADATA!$B$4)*(COUNTIF(CONFIG_ASIGNATURAS!$B$7:$B$27,DATOS!$I$2:$I$20000)&gt;0)*1),"")))</f>
        <v/>
      </c>
      <c r="T854" t="str">
        <f>IF(S854="","",IF(S854="[FÓRMULA MANUAL]","",IFERROR(AVERAGEIFS(DATOS!$K$2:$K$20000,DATOS!$A$2:$A$20000,S854,DATOS!$G$2:$G$20000,CONFIG_METADATA!$B$4,DATOS!$I$2:$I$20000,"Armonía"),"")))</f>
        <v/>
      </c>
      <c r="U854" t="str">
        <f>IF(S854="","",IF(S854="[FÓRMULA MANUAL]","",IFERROR(AVERAGEIFS(DATOS!$K$2:$K$20000,DATOS!$A$2:$A$20000,S854,DATOS!$G$2:$G$20000,CONFIG_METADATA!$B$4,DATOS!$I$2:$I$20000,"Orquesta/Banda/Conjunto"),"")))</f>
        <v/>
      </c>
      <c r="V854" t="str">
        <f>IF(S854="","",IF(S854="[FÓRMULA MANUAL]","",IFERROR(AVERAGEIFS(DATOS!$K$2:$K$20000,DATOS!$A$2:$A$20000,S854,DATOS!$G$2:$G$20000,CONFIG_METADATA!$B$4,DATOS!$I$2:$I$20000,"Música de Cámara"),"")))</f>
        <v/>
      </c>
      <c r="W854" t="str">
        <f>IF(S854="","",IF(S854="[FÓRMULA MANUAL]","",IFERROR(SUMPRODUCT((DATOS!$A$2:$A$20000=S854)*(DATOS!$G$2:$G$20000=CONFIG_METADATA!$B$4)*(COUNTIF(CONFIG_ASIGNATURAS!$B$7:$B$27,DATOS!$I$2:$I$20000)&gt;0)*(DATOS!$K$2:$K$20000))/SUMPRODUCT((DATOS!$A$2:$A$20000=S854)*(DATOS!$G$2:$G$20000=CONFIG_METADATA!$B$4)*(COUNTIF(CONFIG_ASIGNATURAS!$B$7:$B$27,DATOS!$I$2:$I$20000)&gt;0)*1),"")))</f>
        <v/>
      </c>
      <c r="Z854" t="str">
        <f>IF(Y854="","",IF(Y854="[FÓRMULA MANUAL]","",IFERROR(AVERAGEIFS(DATOS!$K$2:$K$20000,DATOS!$A$2:$A$20000,Y854,DATOS!$G$2:$G$20000,CONFIG_METADATA!$B$4,DATOS!$I$2:$I$20000,"Análisis"),"")))</f>
        <v/>
      </c>
      <c r="AA854" t="str">
        <f>IF(Y854="","",IF(Y854="[FÓRMULA MANUAL]","",IFERROR(AVERAGEIFS(DATOS!$K$2:$K$20000,DATOS!$A$2:$A$20000,Y854,DATOS!$G$2:$G$20000,CONFIG_METADATA!$B$4,DATOS!$I$2:$I$20000,"Orquesta/Banda/Conjunto"),"")))</f>
        <v/>
      </c>
      <c r="AB854" t="str">
        <f>IF(Y854="","",IF(Y854="[FÓRMULA MANUAL]","",IFERROR(AVERAGEIFS(DATOS!$K$2:$K$20000,DATOS!$A$2:$A$20000,Y854,DATOS!$G$2:$G$20000,CONFIG_METADATA!$B$4,DATOS!$I$2:$I$20000,"Música de Cámara"),"")))</f>
        <v/>
      </c>
      <c r="AC854" t="str">
        <f>IF(Y854="","",IF(Y854="[FÓRMULA MANUAL]","",IFERROR(SUMPRODUCT((DATOS!$A$2:$A$20000=Y854)*(DATOS!$G$2:$G$20000=CONFIG_METADATA!$B$4)*(COUNTIF(CONFIG_ASIGNATURAS!$B$7:$B$27,DATOS!$I$2:$I$20000)&gt;0)*(DATOS!$K$2:$K$20000))/SUMPRODUCT((DATOS!$A$2:$A$20000=Y854)*(DATOS!$G$2:$G$20000=CONFIG_METADATA!$B$4)*(COUNTIF(CONFIG_ASIGNATURAS!$B$7:$B$27,DATOS!$I$2:$I$20000)&gt;0)*1),"")))</f>
        <v/>
      </c>
      <c r="AF854" t="str">
        <f>IF(AE854="","",IF(AE854="[FÓRMULA MANUAL]","",IFERROR(AVERAGEIFS(DATOS!$K$2:$K$20000,DATOS!$A$2:$A$20000,AE854,DATOS!$G$2:$G$20000,CONFIG_METADATA!$B$4,DATOS!$I$2:$I$20000,"Análisis"),"")))</f>
        <v/>
      </c>
      <c r="AG854" t="str">
        <f>IF(AE854="","",IF(AE854="[FÓRMULA MANUAL]","",IFERROR(AVERAGEIFS(DATOS!$K$2:$K$20000,DATOS!$A$2:$A$20000,AE854,DATOS!$G$2:$G$20000,CONFIG_METADATA!$B$4,DATOS!$I$2:$I$20000,"Orquesta/Banda/Conjunto"),"")))</f>
        <v/>
      </c>
      <c r="AH854" t="str">
        <f>IF(AE854="","",IF(AE854="[FÓRMULA MANUAL]","",IFERROR(AVERAGEIFS(DATOS!$K$2:$K$20000,DATOS!$A$2:$A$20000,AE854,DATOS!$G$2:$G$20000,CONFIG_METADATA!$B$4,DATOS!$I$2:$I$20000,"Música de Cámara"),"")))</f>
        <v/>
      </c>
      <c r="AI854" t="str">
        <f>IF(AE854="","",IF(AE854="[FÓRMULA MANUAL]","",IFERROR(SUMPRODUCT((DATOS!$A$2:$A$20000=AE854)*(DATOS!$G$2:$G$20000=CONFIG_METADATA!$B$4)*(COUNTIF(CONFIG_ASIGNATURAS!$B$7:$B$27,DATOS!$I$2:$I$20000)&gt;0)*(DATOS!$K$2:$K$20000))/SUMPRODUCT((DATOS!$A$2:$A$20000=AE854)*(DATOS!$G$2:$G$20000=CONFIG_METADATA!$B$4)*(COUNTIF(CONFIG_ASIGNATURAS!$B$7:$B$27,DATOS!$I$2:$I$20000)&gt;0)*1),"")))</f>
        <v/>
      </c>
    </row>
    <row r="855" spans="2:35" x14ac:dyDescent="0.2">
      <c r="B855" t="str">
        <f>IF(A855="","",IF(A855="[FÓRMULA MANUAL]","",IFERROR(AVERAGEIFS(DATOS!$K$2:$K$20000,DATOS!$A$2:$A$20000,A855,DATOS!$G$2:$G$20000,CONFIG_METADATA!$B$4,DATOS!$I$2:$I$20000,"Lenguaje Musical"),"")))</f>
        <v/>
      </c>
      <c r="C855" t="str">
        <f>IF(A855="","",IF(A855="[FÓRMULA MANUAL]","",IFERROR(AVERAGEIFS(DATOS!$K$2:$K$20000,DATOS!$A$2:$A$20000,A855,DATOS!$G$2:$G$20000,CONFIG_METADATA!$B$4,DATOS!$I$2:$I$20000,"Orquesta/Banda/Conjunto"),"")))</f>
        <v/>
      </c>
      <c r="D855" t="str">
        <f>IF(A855="","",IF(A855="[FÓRMULA MANUAL]","",IFERROR(AVERAGEIFS(DATOS!$K$2:$K$20000,DATOS!$A$2:$A$20000,A855,DATOS!$G$2:$G$20000,CONFIG_METADATA!$B$4,DATOS!$I$2:$I$20000,"Conjunto"),"")))</f>
        <v/>
      </c>
      <c r="E855" t="str">
        <f>IF(A855="","",IF(A855="[FÓRMULA MANUAL]","",IFERROR(SUMPRODUCT((DATOS!$A$2:$A$20000=A855)*(DATOS!$G$2:$G$20000=CONFIG_METADATA!$B$4)*(COUNTIF(CONFIG_ASIGNATURAS!$B$7:$B$27,DATOS!$I$2:$I$20000)&gt;0)*(DATOS!$K$2:$K$20000))/SUMPRODUCT((DATOS!$A$2:$A$20000=A855)*(DATOS!$G$2:$G$20000=CONFIG_METADATA!$B$4)*(COUNTIF(CONFIG_ASIGNATURAS!$B$7:$B$27,DATOS!$I$2:$I$20000)&gt;0)*1),"")))</f>
        <v/>
      </c>
      <c r="H855" t="str">
        <f>IF(G855="","",IF(G855="[FÓRMULA MANUAL]","",IFERROR(AVERAGEIFS(DATOS!$K$2:$K$20000,DATOS!$A$2:$A$20000,G855,DATOS!$G$2:$G$20000,CONFIG_METADATA!$B$4,DATOS!$I$2:$I$20000,"Lenguaje Musical"),"")))</f>
        <v/>
      </c>
      <c r="I855" t="str">
        <f>IF(G855="","",IF(G855="[FÓRMULA MANUAL]","",IFERROR(AVERAGEIFS(DATOS!$K$2:$K$20000,DATOS!$A$2:$A$20000,G855,DATOS!$G$2:$G$20000,CONFIG_METADATA!$B$4,DATOS!$I$2:$I$20000,"Orquesta/Banda/Conjunto"),"")))</f>
        <v/>
      </c>
      <c r="J855" t="str">
        <f>IF(G855="","",IF(G855="[FÓRMULA MANUAL]","",IFERROR(AVERAGEIFS(DATOS!$K$2:$K$20000,DATOS!$A$2:$A$20000,G855,DATOS!$G$2:$G$20000,CONFIG_METADATA!$B$4,DATOS!$I$2:$I$20000,"Conjunto"),"")))</f>
        <v/>
      </c>
      <c r="K855" t="str">
        <f>IF(G855="","",IF(G855="[FÓRMULA MANUAL]","",IFERROR(SUMPRODUCT((DATOS!$A$2:$A$20000=G855)*(DATOS!$G$2:$G$20000=CONFIG_METADATA!$B$4)*(COUNTIF(CONFIG_ASIGNATURAS!$B$7:$B$27,DATOS!$I$2:$I$20000)&gt;0)*(DATOS!$K$2:$K$20000))/SUMPRODUCT((DATOS!$A$2:$A$20000=G855)*(DATOS!$G$2:$G$20000=CONFIG_METADATA!$B$4)*(COUNTIF(CONFIG_ASIGNATURAS!$B$7:$B$27,DATOS!$I$2:$I$20000)&gt;0)*1),"")))</f>
        <v/>
      </c>
      <c r="N855" t="str">
        <f>IF(M855="","",IF(M855="[FÓRMULA MANUAL]","",IFERROR(AVERAGEIFS(DATOS!$K$2:$K$20000,DATOS!$A$2:$A$20000,M855,DATOS!$G$2:$G$20000,CONFIG_METADATA!$B$4,DATOS!$I$2:$I$20000,"Armonía"),"")))</f>
        <v/>
      </c>
      <c r="O855" t="str">
        <f>IF(M855="","",IF(M855="[FÓRMULA MANUAL]","",IFERROR(AVERAGEIFS(DATOS!$K$2:$K$20000,DATOS!$A$2:$A$20000,M855,DATOS!$G$2:$G$20000,CONFIG_METADATA!$B$4,DATOS!$I$2:$I$20000,"Orquesta/Banda/Conjunto"),"")))</f>
        <v/>
      </c>
      <c r="P855" t="str">
        <f>IF(M855="","",IF(M855="[FÓRMULA MANUAL]","",IFERROR(AVERAGEIFS(DATOS!$K$2:$K$20000,DATOS!$A$2:$A$20000,M855,DATOS!$G$2:$G$20000,CONFIG_METADATA!$B$4,DATOS!$I$2:$I$20000,"Música de Cámara"),"")))</f>
        <v/>
      </c>
      <c r="Q855" t="str">
        <f>IF(M855="","",IF(M855="[FÓRMULA MANUAL]","",IFERROR(SUMPRODUCT((DATOS!$A$2:$A$20000=M855)*(DATOS!$G$2:$G$20000=CONFIG_METADATA!$B$4)*(COUNTIF(CONFIG_ASIGNATURAS!$B$7:$B$27,DATOS!$I$2:$I$20000)&gt;0)*(DATOS!$K$2:$K$20000))/SUMPRODUCT((DATOS!$A$2:$A$20000=M855)*(DATOS!$G$2:$G$20000=CONFIG_METADATA!$B$4)*(COUNTIF(CONFIG_ASIGNATURAS!$B$7:$B$27,DATOS!$I$2:$I$20000)&gt;0)*1),"")))</f>
        <v/>
      </c>
      <c r="T855" t="str">
        <f>IF(S855="","",IF(S855="[FÓRMULA MANUAL]","",IFERROR(AVERAGEIFS(DATOS!$K$2:$K$20000,DATOS!$A$2:$A$20000,S855,DATOS!$G$2:$G$20000,CONFIG_METADATA!$B$4,DATOS!$I$2:$I$20000,"Armonía"),"")))</f>
        <v/>
      </c>
      <c r="U855" t="str">
        <f>IF(S855="","",IF(S855="[FÓRMULA MANUAL]","",IFERROR(AVERAGEIFS(DATOS!$K$2:$K$20000,DATOS!$A$2:$A$20000,S855,DATOS!$G$2:$G$20000,CONFIG_METADATA!$B$4,DATOS!$I$2:$I$20000,"Orquesta/Banda/Conjunto"),"")))</f>
        <v/>
      </c>
      <c r="V855" t="str">
        <f>IF(S855="","",IF(S855="[FÓRMULA MANUAL]","",IFERROR(AVERAGEIFS(DATOS!$K$2:$K$20000,DATOS!$A$2:$A$20000,S855,DATOS!$G$2:$G$20000,CONFIG_METADATA!$B$4,DATOS!$I$2:$I$20000,"Música de Cámara"),"")))</f>
        <v/>
      </c>
      <c r="W855" t="str">
        <f>IF(S855="","",IF(S855="[FÓRMULA MANUAL]","",IFERROR(SUMPRODUCT((DATOS!$A$2:$A$20000=S855)*(DATOS!$G$2:$G$20000=CONFIG_METADATA!$B$4)*(COUNTIF(CONFIG_ASIGNATURAS!$B$7:$B$27,DATOS!$I$2:$I$20000)&gt;0)*(DATOS!$K$2:$K$20000))/SUMPRODUCT((DATOS!$A$2:$A$20000=S855)*(DATOS!$G$2:$G$20000=CONFIG_METADATA!$B$4)*(COUNTIF(CONFIG_ASIGNATURAS!$B$7:$B$27,DATOS!$I$2:$I$20000)&gt;0)*1),"")))</f>
        <v/>
      </c>
      <c r="Z855" t="str">
        <f>IF(Y855="","",IF(Y855="[FÓRMULA MANUAL]","",IFERROR(AVERAGEIFS(DATOS!$K$2:$K$20000,DATOS!$A$2:$A$20000,Y855,DATOS!$G$2:$G$20000,CONFIG_METADATA!$B$4,DATOS!$I$2:$I$20000,"Análisis"),"")))</f>
        <v/>
      </c>
      <c r="AA855" t="str">
        <f>IF(Y855="","",IF(Y855="[FÓRMULA MANUAL]","",IFERROR(AVERAGEIFS(DATOS!$K$2:$K$20000,DATOS!$A$2:$A$20000,Y855,DATOS!$G$2:$G$20000,CONFIG_METADATA!$B$4,DATOS!$I$2:$I$20000,"Orquesta/Banda/Conjunto"),"")))</f>
        <v/>
      </c>
      <c r="AB855" t="str">
        <f>IF(Y855="","",IF(Y855="[FÓRMULA MANUAL]","",IFERROR(AVERAGEIFS(DATOS!$K$2:$K$20000,DATOS!$A$2:$A$20000,Y855,DATOS!$G$2:$G$20000,CONFIG_METADATA!$B$4,DATOS!$I$2:$I$20000,"Música de Cámara"),"")))</f>
        <v/>
      </c>
      <c r="AC855" t="str">
        <f>IF(Y855="","",IF(Y855="[FÓRMULA MANUAL]","",IFERROR(SUMPRODUCT((DATOS!$A$2:$A$20000=Y855)*(DATOS!$G$2:$G$20000=CONFIG_METADATA!$B$4)*(COUNTIF(CONFIG_ASIGNATURAS!$B$7:$B$27,DATOS!$I$2:$I$20000)&gt;0)*(DATOS!$K$2:$K$20000))/SUMPRODUCT((DATOS!$A$2:$A$20000=Y855)*(DATOS!$G$2:$G$20000=CONFIG_METADATA!$B$4)*(COUNTIF(CONFIG_ASIGNATURAS!$B$7:$B$27,DATOS!$I$2:$I$20000)&gt;0)*1),"")))</f>
        <v/>
      </c>
      <c r="AF855" t="str">
        <f>IF(AE855="","",IF(AE855="[FÓRMULA MANUAL]","",IFERROR(AVERAGEIFS(DATOS!$K$2:$K$20000,DATOS!$A$2:$A$20000,AE855,DATOS!$G$2:$G$20000,CONFIG_METADATA!$B$4,DATOS!$I$2:$I$20000,"Análisis"),"")))</f>
        <v/>
      </c>
      <c r="AG855" t="str">
        <f>IF(AE855="","",IF(AE855="[FÓRMULA MANUAL]","",IFERROR(AVERAGEIFS(DATOS!$K$2:$K$20000,DATOS!$A$2:$A$20000,AE855,DATOS!$G$2:$G$20000,CONFIG_METADATA!$B$4,DATOS!$I$2:$I$20000,"Orquesta/Banda/Conjunto"),"")))</f>
        <v/>
      </c>
      <c r="AH855" t="str">
        <f>IF(AE855="","",IF(AE855="[FÓRMULA MANUAL]","",IFERROR(AVERAGEIFS(DATOS!$K$2:$K$20000,DATOS!$A$2:$A$20000,AE855,DATOS!$G$2:$G$20000,CONFIG_METADATA!$B$4,DATOS!$I$2:$I$20000,"Música de Cámara"),"")))</f>
        <v/>
      </c>
      <c r="AI855" t="str">
        <f>IF(AE855="","",IF(AE855="[FÓRMULA MANUAL]","",IFERROR(SUMPRODUCT((DATOS!$A$2:$A$20000=AE855)*(DATOS!$G$2:$G$20000=CONFIG_METADATA!$B$4)*(COUNTIF(CONFIG_ASIGNATURAS!$B$7:$B$27,DATOS!$I$2:$I$20000)&gt;0)*(DATOS!$K$2:$K$20000))/SUMPRODUCT((DATOS!$A$2:$A$20000=AE855)*(DATOS!$G$2:$G$20000=CONFIG_METADATA!$B$4)*(COUNTIF(CONFIG_ASIGNATURAS!$B$7:$B$27,DATOS!$I$2:$I$20000)&gt;0)*1),"")))</f>
        <v/>
      </c>
    </row>
    <row r="856" spans="2:35" x14ac:dyDescent="0.2">
      <c r="B856" t="str">
        <f>IF(A856="","",IF(A856="[FÓRMULA MANUAL]","",IFERROR(AVERAGEIFS(DATOS!$K$2:$K$20000,DATOS!$A$2:$A$20000,A856,DATOS!$G$2:$G$20000,CONFIG_METADATA!$B$4,DATOS!$I$2:$I$20000,"Lenguaje Musical"),"")))</f>
        <v/>
      </c>
      <c r="C856" t="str">
        <f>IF(A856="","",IF(A856="[FÓRMULA MANUAL]","",IFERROR(AVERAGEIFS(DATOS!$K$2:$K$20000,DATOS!$A$2:$A$20000,A856,DATOS!$G$2:$G$20000,CONFIG_METADATA!$B$4,DATOS!$I$2:$I$20000,"Orquesta/Banda/Conjunto"),"")))</f>
        <v/>
      </c>
      <c r="D856" t="str">
        <f>IF(A856="","",IF(A856="[FÓRMULA MANUAL]","",IFERROR(AVERAGEIFS(DATOS!$K$2:$K$20000,DATOS!$A$2:$A$20000,A856,DATOS!$G$2:$G$20000,CONFIG_METADATA!$B$4,DATOS!$I$2:$I$20000,"Conjunto"),"")))</f>
        <v/>
      </c>
      <c r="E856" t="str">
        <f>IF(A856="","",IF(A856="[FÓRMULA MANUAL]","",IFERROR(SUMPRODUCT((DATOS!$A$2:$A$20000=A856)*(DATOS!$G$2:$G$20000=CONFIG_METADATA!$B$4)*(COUNTIF(CONFIG_ASIGNATURAS!$B$7:$B$27,DATOS!$I$2:$I$20000)&gt;0)*(DATOS!$K$2:$K$20000))/SUMPRODUCT((DATOS!$A$2:$A$20000=A856)*(DATOS!$G$2:$G$20000=CONFIG_METADATA!$B$4)*(COUNTIF(CONFIG_ASIGNATURAS!$B$7:$B$27,DATOS!$I$2:$I$20000)&gt;0)*1),"")))</f>
        <v/>
      </c>
      <c r="H856" t="str">
        <f>IF(G856="","",IF(G856="[FÓRMULA MANUAL]","",IFERROR(AVERAGEIFS(DATOS!$K$2:$K$20000,DATOS!$A$2:$A$20000,G856,DATOS!$G$2:$G$20000,CONFIG_METADATA!$B$4,DATOS!$I$2:$I$20000,"Lenguaje Musical"),"")))</f>
        <v/>
      </c>
      <c r="I856" t="str">
        <f>IF(G856="","",IF(G856="[FÓRMULA MANUAL]","",IFERROR(AVERAGEIFS(DATOS!$K$2:$K$20000,DATOS!$A$2:$A$20000,G856,DATOS!$G$2:$G$20000,CONFIG_METADATA!$B$4,DATOS!$I$2:$I$20000,"Orquesta/Banda/Conjunto"),"")))</f>
        <v/>
      </c>
      <c r="J856" t="str">
        <f>IF(G856="","",IF(G856="[FÓRMULA MANUAL]","",IFERROR(AVERAGEIFS(DATOS!$K$2:$K$20000,DATOS!$A$2:$A$20000,G856,DATOS!$G$2:$G$20000,CONFIG_METADATA!$B$4,DATOS!$I$2:$I$20000,"Conjunto"),"")))</f>
        <v/>
      </c>
      <c r="K856" t="str">
        <f>IF(G856="","",IF(G856="[FÓRMULA MANUAL]","",IFERROR(SUMPRODUCT((DATOS!$A$2:$A$20000=G856)*(DATOS!$G$2:$G$20000=CONFIG_METADATA!$B$4)*(COUNTIF(CONFIG_ASIGNATURAS!$B$7:$B$27,DATOS!$I$2:$I$20000)&gt;0)*(DATOS!$K$2:$K$20000))/SUMPRODUCT((DATOS!$A$2:$A$20000=G856)*(DATOS!$G$2:$G$20000=CONFIG_METADATA!$B$4)*(COUNTIF(CONFIG_ASIGNATURAS!$B$7:$B$27,DATOS!$I$2:$I$20000)&gt;0)*1),"")))</f>
        <v/>
      </c>
      <c r="N856" t="str">
        <f>IF(M856="","",IF(M856="[FÓRMULA MANUAL]","",IFERROR(AVERAGEIFS(DATOS!$K$2:$K$20000,DATOS!$A$2:$A$20000,M856,DATOS!$G$2:$G$20000,CONFIG_METADATA!$B$4,DATOS!$I$2:$I$20000,"Armonía"),"")))</f>
        <v/>
      </c>
      <c r="O856" t="str">
        <f>IF(M856="","",IF(M856="[FÓRMULA MANUAL]","",IFERROR(AVERAGEIFS(DATOS!$K$2:$K$20000,DATOS!$A$2:$A$20000,M856,DATOS!$G$2:$G$20000,CONFIG_METADATA!$B$4,DATOS!$I$2:$I$20000,"Orquesta/Banda/Conjunto"),"")))</f>
        <v/>
      </c>
      <c r="P856" t="str">
        <f>IF(M856="","",IF(M856="[FÓRMULA MANUAL]","",IFERROR(AVERAGEIFS(DATOS!$K$2:$K$20000,DATOS!$A$2:$A$20000,M856,DATOS!$G$2:$G$20000,CONFIG_METADATA!$B$4,DATOS!$I$2:$I$20000,"Música de Cámara"),"")))</f>
        <v/>
      </c>
      <c r="Q856" t="str">
        <f>IF(M856="","",IF(M856="[FÓRMULA MANUAL]","",IFERROR(SUMPRODUCT((DATOS!$A$2:$A$20000=M856)*(DATOS!$G$2:$G$20000=CONFIG_METADATA!$B$4)*(COUNTIF(CONFIG_ASIGNATURAS!$B$7:$B$27,DATOS!$I$2:$I$20000)&gt;0)*(DATOS!$K$2:$K$20000))/SUMPRODUCT((DATOS!$A$2:$A$20000=M856)*(DATOS!$G$2:$G$20000=CONFIG_METADATA!$B$4)*(COUNTIF(CONFIG_ASIGNATURAS!$B$7:$B$27,DATOS!$I$2:$I$20000)&gt;0)*1),"")))</f>
        <v/>
      </c>
      <c r="T856" t="str">
        <f>IF(S856="","",IF(S856="[FÓRMULA MANUAL]","",IFERROR(AVERAGEIFS(DATOS!$K$2:$K$20000,DATOS!$A$2:$A$20000,S856,DATOS!$G$2:$G$20000,CONFIG_METADATA!$B$4,DATOS!$I$2:$I$20000,"Armonía"),"")))</f>
        <v/>
      </c>
      <c r="U856" t="str">
        <f>IF(S856="","",IF(S856="[FÓRMULA MANUAL]","",IFERROR(AVERAGEIFS(DATOS!$K$2:$K$20000,DATOS!$A$2:$A$20000,S856,DATOS!$G$2:$G$20000,CONFIG_METADATA!$B$4,DATOS!$I$2:$I$20000,"Orquesta/Banda/Conjunto"),"")))</f>
        <v/>
      </c>
      <c r="V856" t="str">
        <f>IF(S856="","",IF(S856="[FÓRMULA MANUAL]","",IFERROR(AVERAGEIFS(DATOS!$K$2:$K$20000,DATOS!$A$2:$A$20000,S856,DATOS!$G$2:$G$20000,CONFIG_METADATA!$B$4,DATOS!$I$2:$I$20000,"Música de Cámara"),"")))</f>
        <v/>
      </c>
      <c r="W856" t="str">
        <f>IF(S856="","",IF(S856="[FÓRMULA MANUAL]","",IFERROR(SUMPRODUCT((DATOS!$A$2:$A$20000=S856)*(DATOS!$G$2:$G$20000=CONFIG_METADATA!$B$4)*(COUNTIF(CONFIG_ASIGNATURAS!$B$7:$B$27,DATOS!$I$2:$I$20000)&gt;0)*(DATOS!$K$2:$K$20000))/SUMPRODUCT((DATOS!$A$2:$A$20000=S856)*(DATOS!$G$2:$G$20000=CONFIG_METADATA!$B$4)*(COUNTIF(CONFIG_ASIGNATURAS!$B$7:$B$27,DATOS!$I$2:$I$20000)&gt;0)*1),"")))</f>
        <v/>
      </c>
      <c r="Z856" t="str">
        <f>IF(Y856="","",IF(Y856="[FÓRMULA MANUAL]","",IFERROR(AVERAGEIFS(DATOS!$K$2:$K$20000,DATOS!$A$2:$A$20000,Y856,DATOS!$G$2:$G$20000,CONFIG_METADATA!$B$4,DATOS!$I$2:$I$20000,"Análisis"),"")))</f>
        <v/>
      </c>
      <c r="AA856" t="str">
        <f>IF(Y856="","",IF(Y856="[FÓRMULA MANUAL]","",IFERROR(AVERAGEIFS(DATOS!$K$2:$K$20000,DATOS!$A$2:$A$20000,Y856,DATOS!$G$2:$G$20000,CONFIG_METADATA!$B$4,DATOS!$I$2:$I$20000,"Orquesta/Banda/Conjunto"),"")))</f>
        <v/>
      </c>
      <c r="AB856" t="str">
        <f>IF(Y856="","",IF(Y856="[FÓRMULA MANUAL]","",IFERROR(AVERAGEIFS(DATOS!$K$2:$K$20000,DATOS!$A$2:$A$20000,Y856,DATOS!$G$2:$G$20000,CONFIG_METADATA!$B$4,DATOS!$I$2:$I$20000,"Música de Cámara"),"")))</f>
        <v/>
      </c>
      <c r="AC856" t="str">
        <f>IF(Y856="","",IF(Y856="[FÓRMULA MANUAL]","",IFERROR(SUMPRODUCT((DATOS!$A$2:$A$20000=Y856)*(DATOS!$G$2:$G$20000=CONFIG_METADATA!$B$4)*(COUNTIF(CONFIG_ASIGNATURAS!$B$7:$B$27,DATOS!$I$2:$I$20000)&gt;0)*(DATOS!$K$2:$K$20000))/SUMPRODUCT((DATOS!$A$2:$A$20000=Y856)*(DATOS!$G$2:$G$20000=CONFIG_METADATA!$B$4)*(COUNTIF(CONFIG_ASIGNATURAS!$B$7:$B$27,DATOS!$I$2:$I$20000)&gt;0)*1),"")))</f>
        <v/>
      </c>
      <c r="AF856" t="str">
        <f>IF(AE856="","",IF(AE856="[FÓRMULA MANUAL]","",IFERROR(AVERAGEIFS(DATOS!$K$2:$K$20000,DATOS!$A$2:$A$20000,AE856,DATOS!$G$2:$G$20000,CONFIG_METADATA!$B$4,DATOS!$I$2:$I$20000,"Análisis"),"")))</f>
        <v/>
      </c>
      <c r="AG856" t="str">
        <f>IF(AE856="","",IF(AE856="[FÓRMULA MANUAL]","",IFERROR(AVERAGEIFS(DATOS!$K$2:$K$20000,DATOS!$A$2:$A$20000,AE856,DATOS!$G$2:$G$20000,CONFIG_METADATA!$B$4,DATOS!$I$2:$I$20000,"Orquesta/Banda/Conjunto"),"")))</f>
        <v/>
      </c>
      <c r="AH856" t="str">
        <f>IF(AE856="","",IF(AE856="[FÓRMULA MANUAL]","",IFERROR(AVERAGEIFS(DATOS!$K$2:$K$20000,DATOS!$A$2:$A$20000,AE856,DATOS!$G$2:$G$20000,CONFIG_METADATA!$B$4,DATOS!$I$2:$I$20000,"Música de Cámara"),"")))</f>
        <v/>
      </c>
      <c r="AI856" t="str">
        <f>IF(AE856="","",IF(AE856="[FÓRMULA MANUAL]","",IFERROR(SUMPRODUCT((DATOS!$A$2:$A$20000=AE856)*(DATOS!$G$2:$G$20000=CONFIG_METADATA!$B$4)*(COUNTIF(CONFIG_ASIGNATURAS!$B$7:$B$27,DATOS!$I$2:$I$20000)&gt;0)*(DATOS!$K$2:$K$20000))/SUMPRODUCT((DATOS!$A$2:$A$20000=AE856)*(DATOS!$G$2:$G$20000=CONFIG_METADATA!$B$4)*(COUNTIF(CONFIG_ASIGNATURAS!$B$7:$B$27,DATOS!$I$2:$I$20000)&gt;0)*1),"")))</f>
        <v/>
      </c>
    </row>
    <row r="857" spans="2:35" x14ac:dyDescent="0.2">
      <c r="B857" t="str">
        <f>IF(A857="","",IF(A857="[FÓRMULA MANUAL]","",IFERROR(AVERAGEIFS(DATOS!$K$2:$K$20000,DATOS!$A$2:$A$20000,A857,DATOS!$G$2:$G$20000,CONFIG_METADATA!$B$4,DATOS!$I$2:$I$20000,"Lenguaje Musical"),"")))</f>
        <v/>
      </c>
      <c r="C857" t="str">
        <f>IF(A857="","",IF(A857="[FÓRMULA MANUAL]","",IFERROR(AVERAGEIFS(DATOS!$K$2:$K$20000,DATOS!$A$2:$A$20000,A857,DATOS!$G$2:$G$20000,CONFIG_METADATA!$B$4,DATOS!$I$2:$I$20000,"Orquesta/Banda/Conjunto"),"")))</f>
        <v/>
      </c>
      <c r="D857" t="str">
        <f>IF(A857="","",IF(A857="[FÓRMULA MANUAL]","",IFERROR(AVERAGEIFS(DATOS!$K$2:$K$20000,DATOS!$A$2:$A$20000,A857,DATOS!$G$2:$G$20000,CONFIG_METADATA!$B$4,DATOS!$I$2:$I$20000,"Conjunto"),"")))</f>
        <v/>
      </c>
      <c r="E857" t="str">
        <f>IF(A857="","",IF(A857="[FÓRMULA MANUAL]","",IFERROR(SUMPRODUCT((DATOS!$A$2:$A$20000=A857)*(DATOS!$G$2:$G$20000=CONFIG_METADATA!$B$4)*(COUNTIF(CONFIG_ASIGNATURAS!$B$7:$B$27,DATOS!$I$2:$I$20000)&gt;0)*(DATOS!$K$2:$K$20000))/SUMPRODUCT((DATOS!$A$2:$A$20000=A857)*(DATOS!$G$2:$G$20000=CONFIG_METADATA!$B$4)*(COUNTIF(CONFIG_ASIGNATURAS!$B$7:$B$27,DATOS!$I$2:$I$20000)&gt;0)*1),"")))</f>
        <v/>
      </c>
      <c r="H857" t="str">
        <f>IF(G857="","",IF(G857="[FÓRMULA MANUAL]","",IFERROR(AVERAGEIFS(DATOS!$K$2:$K$20000,DATOS!$A$2:$A$20000,G857,DATOS!$G$2:$G$20000,CONFIG_METADATA!$B$4,DATOS!$I$2:$I$20000,"Lenguaje Musical"),"")))</f>
        <v/>
      </c>
      <c r="I857" t="str">
        <f>IF(G857="","",IF(G857="[FÓRMULA MANUAL]","",IFERROR(AVERAGEIFS(DATOS!$K$2:$K$20000,DATOS!$A$2:$A$20000,G857,DATOS!$G$2:$G$20000,CONFIG_METADATA!$B$4,DATOS!$I$2:$I$20000,"Orquesta/Banda/Conjunto"),"")))</f>
        <v/>
      </c>
      <c r="J857" t="str">
        <f>IF(G857="","",IF(G857="[FÓRMULA MANUAL]","",IFERROR(AVERAGEIFS(DATOS!$K$2:$K$20000,DATOS!$A$2:$A$20000,G857,DATOS!$G$2:$G$20000,CONFIG_METADATA!$B$4,DATOS!$I$2:$I$20000,"Conjunto"),"")))</f>
        <v/>
      </c>
      <c r="K857" t="str">
        <f>IF(G857="","",IF(G857="[FÓRMULA MANUAL]","",IFERROR(SUMPRODUCT((DATOS!$A$2:$A$20000=G857)*(DATOS!$G$2:$G$20000=CONFIG_METADATA!$B$4)*(COUNTIF(CONFIG_ASIGNATURAS!$B$7:$B$27,DATOS!$I$2:$I$20000)&gt;0)*(DATOS!$K$2:$K$20000))/SUMPRODUCT((DATOS!$A$2:$A$20000=G857)*(DATOS!$G$2:$G$20000=CONFIG_METADATA!$B$4)*(COUNTIF(CONFIG_ASIGNATURAS!$B$7:$B$27,DATOS!$I$2:$I$20000)&gt;0)*1),"")))</f>
        <v/>
      </c>
      <c r="N857" t="str">
        <f>IF(M857="","",IF(M857="[FÓRMULA MANUAL]","",IFERROR(AVERAGEIFS(DATOS!$K$2:$K$20000,DATOS!$A$2:$A$20000,M857,DATOS!$G$2:$G$20000,CONFIG_METADATA!$B$4,DATOS!$I$2:$I$20000,"Armonía"),"")))</f>
        <v/>
      </c>
      <c r="O857" t="str">
        <f>IF(M857="","",IF(M857="[FÓRMULA MANUAL]","",IFERROR(AVERAGEIFS(DATOS!$K$2:$K$20000,DATOS!$A$2:$A$20000,M857,DATOS!$G$2:$G$20000,CONFIG_METADATA!$B$4,DATOS!$I$2:$I$20000,"Orquesta/Banda/Conjunto"),"")))</f>
        <v/>
      </c>
      <c r="P857" t="str">
        <f>IF(M857="","",IF(M857="[FÓRMULA MANUAL]","",IFERROR(AVERAGEIFS(DATOS!$K$2:$K$20000,DATOS!$A$2:$A$20000,M857,DATOS!$G$2:$G$20000,CONFIG_METADATA!$B$4,DATOS!$I$2:$I$20000,"Música de Cámara"),"")))</f>
        <v/>
      </c>
      <c r="Q857" t="str">
        <f>IF(M857="","",IF(M857="[FÓRMULA MANUAL]","",IFERROR(SUMPRODUCT((DATOS!$A$2:$A$20000=M857)*(DATOS!$G$2:$G$20000=CONFIG_METADATA!$B$4)*(COUNTIF(CONFIG_ASIGNATURAS!$B$7:$B$27,DATOS!$I$2:$I$20000)&gt;0)*(DATOS!$K$2:$K$20000))/SUMPRODUCT((DATOS!$A$2:$A$20000=M857)*(DATOS!$G$2:$G$20000=CONFIG_METADATA!$B$4)*(COUNTIF(CONFIG_ASIGNATURAS!$B$7:$B$27,DATOS!$I$2:$I$20000)&gt;0)*1),"")))</f>
        <v/>
      </c>
      <c r="T857" t="str">
        <f>IF(S857="","",IF(S857="[FÓRMULA MANUAL]","",IFERROR(AVERAGEIFS(DATOS!$K$2:$K$20000,DATOS!$A$2:$A$20000,S857,DATOS!$G$2:$G$20000,CONFIG_METADATA!$B$4,DATOS!$I$2:$I$20000,"Armonía"),"")))</f>
        <v/>
      </c>
      <c r="U857" t="str">
        <f>IF(S857="","",IF(S857="[FÓRMULA MANUAL]","",IFERROR(AVERAGEIFS(DATOS!$K$2:$K$20000,DATOS!$A$2:$A$20000,S857,DATOS!$G$2:$G$20000,CONFIG_METADATA!$B$4,DATOS!$I$2:$I$20000,"Orquesta/Banda/Conjunto"),"")))</f>
        <v/>
      </c>
      <c r="V857" t="str">
        <f>IF(S857="","",IF(S857="[FÓRMULA MANUAL]","",IFERROR(AVERAGEIFS(DATOS!$K$2:$K$20000,DATOS!$A$2:$A$20000,S857,DATOS!$G$2:$G$20000,CONFIG_METADATA!$B$4,DATOS!$I$2:$I$20000,"Música de Cámara"),"")))</f>
        <v/>
      </c>
      <c r="W857" t="str">
        <f>IF(S857="","",IF(S857="[FÓRMULA MANUAL]","",IFERROR(SUMPRODUCT((DATOS!$A$2:$A$20000=S857)*(DATOS!$G$2:$G$20000=CONFIG_METADATA!$B$4)*(COUNTIF(CONFIG_ASIGNATURAS!$B$7:$B$27,DATOS!$I$2:$I$20000)&gt;0)*(DATOS!$K$2:$K$20000))/SUMPRODUCT((DATOS!$A$2:$A$20000=S857)*(DATOS!$G$2:$G$20000=CONFIG_METADATA!$B$4)*(COUNTIF(CONFIG_ASIGNATURAS!$B$7:$B$27,DATOS!$I$2:$I$20000)&gt;0)*1),"")))</f>
        <v/>
      </c>
      <c r="Z857" t="str">
        <f>IF(Y857="","",IF(Y857="[FÓRMULA MANUAL]","",IFERROR(AVERAGEIFS(DATOS!$K$2:$K$20000,DATOS!$A$2:$A$20000,Y857,DATOS!$G$2:$G$20000,CONFIG_METADATA!$B$4,DATOS!$I$2:$I$20000,"Análisis"),"")))</f>
        <v/>
      </c>
      <c r="AA857" t="str">
        <f>IF(Y857="","",IF(Y857="[FÓRMULA MANUAL]","",IFERROR(AVERAGEIFS(DATOS!$K$2:$K$20000,DATOS!$A$2:$A$20000,Y857,DATOS!$G$2:$G$20000,CONFIG_METADATA!$B$4,DATOS!$I$2:$I$20000,"Orquesta/Banda/Conjunto"),"")))</f>
        <v/>
      </c>
      <c r="AB857" t="str">
        <f>IF(Y857="","",IF(Y857="[FÓRMULA MANUAL]","",IFERROR(AVERAGEIFS(DATOS!$K$2:$K$20000,DATOS!$A$2:$A$20000,Y857,DATOS!$G$2:$G$20000,CONFIG_METADATA!$B$4,DATOS!$I$2:$I$20000,"Música de Cámara"),"")))</f>
        <v/>
      </c>
      <c r="AC857" t="str">
        <f>IF(Y857="","",IF(Y857="[FÓRMULA MANUAL]","",IFERROR(SUMPRODUCT((DATOS!$A$2:$A$20000=Y857)*(DATOS!$G$2:$G$20000=CONFIG_METADATA!$B$4)*(COUNTIF(CONFIG_ASIGNATURAS!$B$7:$B$27,DATOS!$I$2:$I$20000)&gt;0)*(DATOS!$K$2:$K$20000))/SUMPRODUCT((DATOS!$A$2:$A$20000=Y857)*(DATOS!$G$2:$G$20000=CONFIG_METADATA!$B$4)*(COUNTIF(CONFIG_ASIGNATURAS!$B$7:$B$27,DATOS!$I$2:$I$20000)&gt;0)*1),"")))</f>
        <v/>
      </c>
      <c r="AF857" t="str">
        <f>IF(AE857="","",IF(AE857="[FÓRMULA MANUAL]","",IFERROR(AVERAGEIFS(DATOS!$K$2:$K$20000,DATOS!$A$2:$A$20000,AE857,DATOS!$G$2:$G$20000,CONFIG_METADATA!$B$4,DATOS!$I$2:$I$20000,"Análisis"),"")))</f>
        <v/>
      </c>
      <c r="AG857" t="str">
        <f>IF(AE857="","",IF(AE857="[FÓRMULA MANUAL]","",IFERROR(AVERAGEIFS(DATOS!$K$2:$K$20000,DATOS!$A$2:$A$20000,AE857,DATOS!$G$2:$G$20000,CONFIG_METADATA!$B$4,DATOS!$I$2:$I$20000,"Orquesta/Banda/Conjunto"),"")))</f>
        <v/>
      </c>
      <c r="AH857" t="str">
        <f>IF(AE857="","",IF(AE857="[FÓRMULA MANUAL]","",IFERROR(AVERAGEIFS(DATOS!$K$2:$K$20000,DATOS!$A$2:$A$20000,AE857,DATOS!$G$2:$G$20000,CONFIG_METADATA!$B$4,DATOS!$I$2:$I$20000,"Música de Cámara"),"")))</f>
        <v/>
      </c>
      <c r="AI857" t="str">
        <f>IF(AE857="","",IF(AE857="[FÓRMULA MANUAL]","",IFERROR(SUMPRODUCT((DATOS!$A$2:$A$20000=AE857)*(DATOS!$G$2:$G$20000=CONFIG_METADATA!$B$4)*(COUNTIF(CONFIG_ASIGNATURAS!$B$7:$B$27,DATOS!$I$2:$I$20000)&gt;0)*(DATOS!$K$2:$K$20000))/SUMPRODUCT((DATOS!$A$2:$A$20000=AE857)*(DATOS!$G$2:$G$20000=CONFIG_METADATA!$B$4)*(COUNTIF(CONFIG_ASIGNATURAS!$B$7:$B$27,DATOS!$I$2:$I$20000)&gt;0)*1),"")))</f>
        <v/>
      </c>
    </row>
    <row r="858" spans="2:35" x14ac:dyDescent="0.2">
      <c r="B858" t="str">
        <f>IF(A858="","",IF(A858="[FÓRMULA MANUAL]","",IFERROR(AVERAGEIFS(DATOS!$K$2:$K$20000,DATOS!$A$2:$A$20000,A858,DATOS!$G$2:$G$20000,CONFIG_METADATA!$B$4,DATOS!$I$2:$I$20000,"Lenguaje Musical"),"")))</f>
        <v/>
      </c>
      <c r="C858" t="str">
        <f>IF(A858="","",IF(A858="[FÓRMULA MANUAL]","",IFERROR(AVERAGEIFS(DATOS!$K$2:$K$20000,DATOS!$A$2:$A$20000,A858,DATOS!$G$2:$G$20000,CONFIG_METADATA!$B$4,DATOS!$I$2:$I$20000,"Orquesta/Banda/Conjunto"),"")))</f>
        <v/>
      </c>
      <c r="D858" t="str">
        <f>IF(A858="","",IF(A858="[FÓRMULA MANUAL]","",IFERROR(AVERAGEIFS(DATOS!$K$2:$K$20000,DATOS!$A$2:$A$20000,A858,DATOS!$G$2:$G$20000,CONFIG_METADATA!$B$4,DATOS!$I$2:$I$20000,"Conjunto"),"")))</f>
        <v/>
      </c>
      <c r="E858" t="str">
        <f>IF(A858="","",IF(A858="[FÓRMULA MANUAL]","",IFERROR(SUMPRODUCT((DATOS!$A$2:$A$20000=A858)*(DATOS!$G$2:$G$20000=CONFIG_METADATA!$B$4)*(COUNTIF(CONFIG_ASIGNATURAS!$B$7:$B$27,DATOS!$I$2:$I$20000)&gt;0)*(DATOS!$K$2:$K$20000))/SUMPRODUCT((DATOS!$A$2:$A$20000=A858)*(DATOS!$G$2:$G$20000=CONFIG_METADATA!$B$4)*(COUNTIF(CONFIG_ASIGNATURAS!$B$7:$B$27,DATOS!$I$2:$I$20000)&gt;0)*1),"")))</f>
        <v/>
      </c>
      <c r="H858" t="str">
        <f>IF(G858="","",IF(G858="[FÓRMULA MANUAL]","",IFERROR(AVERAGEIFS(DATOS!$K$2:$K$20000,DATOS!$A$2:$A$20000,G858,DATOS!$G$2:$G$20000,CONFIG_METADATA!$B$4,DATOS!$I$2:$I$20000,"Lenguaje Musical"),"")))</f>
        <v/>
      </c>
      <c r="I858" t="str">
        <f>IF(G858="","",IF(G858="[FÓRMULA MANUAL]","",IFERROR(AVERAGEIFS(DATOS!$K$2:$K$20000,DATOS!$A$2:$A$20000,G858,DATOS!$G$2:$G$20000,CONFIG_METADATA!$B$4,DATOS!$I$2:$I$20000,"Orquesta/Banda/Conjunto"),"")))</f>
        <v/>
      </c>
      <c r="J858" t="str">
        <f>IF(G858="","",IF(G858="[FÓRMULA MANUAL]","",IFERROR(AVERAGEIFS(DATOS!$K$2:$K$20000,DATOS!$A$2:$A$20000,G858,DATOS!$G$2:$G$20000,CONFIG_METADATA!$B$4,DATOS!$I$2:$I$20000,"Conjunto"),"")))</f>
        <v/>
      </c>
      <c r="K858" t="str">
        <f>IF(G858="","",IF(G858="[FÓRMULA MANUAL]","",IFERROR(SUMPRODUCT((DATOS!$A$2:$A$20000=G858)*(DATOS!$G$2:$G$20000=CONFIG_METADATA!$B$4)*(COUNTIF(CONFIG_ASIGNATURAS!$B$7:$B$27,DATOS!$I$2:$I$20000)&gt;0)*(DATOS!$K$2:$K$20000))/SUMPRODUCT((DATOS!$A$2:$A$20000=G858)*(DATOS!$G$2:$G$20000=CONFIG_METADATA!$B$4)*(COUNTIF(CONFIG_ASIGNATURAS!$B$7:$B$27,DATOS!$I$2:$I$20000)&gt;0)*1),"")))</f>
        <v/>
      </c>
      <c r="N858" t="str">
        <f>IF(M858="","",IF(M858="[FÓRMULA MANUAL]","",IFERROR(AVERAGEIFS(DATOS!$K$2:$K$20000,DATOS!$A$2:$A$20000,M858,DATOS!$G$2:$G$20000,CONFIG_METADATA!$B$4,DATOS!$I$2:$I$20000,"Armonía"),"")))</f>
        <v/>
      </c>
      <c r="O858" t="str">
        <f>IF(M858="","",IF(M858="[FÓRMULA MANUAL]","",IFERROR(AVERAGEIFS(DATOS!$K$2:$K$20000,DATOS!$A$2:$A$20000,M858,DATOS!$G$2:$G$20000,CONFIG_METADATA!$B$4,DATOS!$I$2:$I$20000,"Orquesta/Banda/Conjunto"),"")))</f>
        <v/>
      </c>
      <c r="P858" t="str">
        <f>IF(M858="","",IF(M858="[FÓRMULA MANUAL]","",IFERROR(AVERAGEIFS(DATOS!$K$2:$K$20000,DATOS!$A$2:$A$20000,M858,DATOS!$G$2:$G$20000,CONFIG_METADATA!$B$4,DATOS!$I$2:$I$20000,"Música de Cámara"),"")))</f>
        <v/>
      </c>
      <c r="Q858" t="str">
        <f>IF(M858="","",IF(M858="[FÓRMULA MANUAL]","",IFERROR(SUMPRODUCT((DATOS!$A$2:$A$20000=M858)*(DATOS!$G$2:$G$20000=CONFIG_METADATA!$B$4)*(COUNTIF(CONFIG_ASIGNATURAS!$B$7:$B$27,DATOS!$I$2:$I$20000)&gt;0)*(DATOS!$K$2:$K$20000))/SUMPRODUCT((DATOS!$A$2:$A$20000=M858)*(DATOS!$G$2:$G$20000=CONFIG_METADATA!$B$4)*(COUNTIF(CONFIG_ASIGNATURAS!$B$7:$B$27,DATOS!$I$2:$I$20000)&gt;0)*1),"")))</f>
        <v/>
      </c>
      <c r="T858" t="str">
        <f>IF(S858="","",IF(S858="[FÓRMULA MANUAL]","",IFERROR(AVERAGEIFS(DATOS!$K$2:$K$20000,DATOS!$A$2:$A$20000,S858,DATOS!$G$2:$G$20000,CONFIG_METADATA!$B$4,DATOS!$I$2:$I$20000,"Armonía"),"")))</f>
        <v/>
      </c>
      <c r="U858" t="str">
        <f>IF(S858="","",IF(S858="[FÓRMULA MANUAL]","",IFERROR(AVERAGEIFS(DATOS!$K$2:$K$20000,DATOS!$A$2:$A$20000,S858,DATOS!$G$2:$G$20000,CONFIG_METADATA!$B$4,DATOS!$I$2:$I$20000,"Orquesta/Banda/Conjunto"),"")))</f>
        <v/>
      </c>
      <c r="V858" t="str">
        <f>IF(S858="","",IF(S858="[FÓRMULA MANUAL]","",IFERROR(AVERAGEIFS(DATOS!$K$2:$K$20000,DATOS!$A$2:$A$20000,S858,DATOS!$G$2:$G$20000,CONFIG_METADATA!$B$4,DATOS!$I$2:$I$20000,"Música de Cámara"),"")))</f>
        <v/>
      </c>
      <c r="W858" t="str">
        <f>IF(S858="","",IF(S858="[FÓRMULA MANUAL]","",IFERROR(SUMPRODUCT((DATOS!$A$2:$A$20000=S858)*(DATOS!$G$2:$G$20000=CONFIG_METADATA!$B$4)*(COUNTIF(CONFIG_ASIGNATURAS!$B$7:$B$27,DATOS!$I$2:$I$20000)&gt;0)*(DATOS!$K$2:$K$20000))/SUMPRODUCT((DATOS!$A$2:$A$20000=S858)*(DATOS!$G$2:$G$20000=CONFIG_METADATA!$B$4)*(COUNTIF(CONFIG_ASIGNATURAS!$B$7:$B$27,DATOS!$I$2:$I$20000)&gt;0)*1),"")))</f>
        <v/>
      </c>
      <c r="Z858" t="str">
        <f>IF(Y858="","",IF(Y858="[FÓRMULA MANUAL]","",IFERROR(AVERAGEIFS(DATOS!$K$2:$K$20000,DATOS!$A$2:$A$20000,Y858,DATOS!$G$2:$G$20000,CONFIG_METADATA!$B$4,DATOS!$I$2:$I$20000,"Análisis"),"")))</f>
        <v/>
      </c>
      <c r="AA858" t="str">
        <f>IF(Y858="","",IF(Y858="[FÓRMULA MANUAL]","",IFERROR(AVERAGEIFS(DATOS!$K$2:$K$20000,DATOS!$A$2:$A$20000,Y858,DATOS!$G$2:$G$20000,CONFIG_METADATA!$B$4,DATOS!$I$2:$I$20000,"Orquesta/Banda/Conjunto"),"")))</f>
        <v/>
      </c>
      <c r="AB858" t="str">
        <f>IF(Y858="","",IF(Y858="[FÓRMULA MANUAL]","",IFERROR(AVERAGEIFS(DATOS!$K$2:$K$20000,DATOS!$A$2:$A$20000,Y858,DATOS!$G$2:$G$20000,CONFIG_METADATA!$B$4,DATOS!$I$2:$I$20000,"Música de Cámara"),"")))</f>
        <v/>
      </c>
      <c r="AC858" t="str">
        <f>IF(Y858="","",IF(Y858="[FÓRMULA MANUAL]","",IFERROR(SUMPRODUCT((DATOS!$A$2:$A$20000=Y858)*(DATOS!$G$2:$G$20000=CONFIG_METADATA!$B$4)*(COUNTIF(CONFIG_ASIGNATURAS!$B$7:$B$27,DATOS!$I$2:$I$20000)&gt;0)*(DATOS!$K$2:$K$20000))/SUMPRODUCT((DATOS!$A$2:$A$20000=Y858)*(DATOS!$G$2:$G$20000=CONFIG_METADATA!$B$4)*(COUNTIF(CONFIG_ASIGNATURAS!$B$7:$B$27,DATOS!$I$2:$I$20000)&gt;0)*1),"")))</f>
        <v/>
      </c>
      <c r="AF858" t="str">
        <f>IF(AE858="","",IF(AE858="[FÓRMULA MANUAL]","",IFERROR(AVERAGEIFS(DATOS!$K$2:$K$20000,DATOS!$A$2:$A$20000,AE858,DATOS!$G$2:$G$20000,CONFIG_METADATA!$B$4,DATOS!$I$2:$I$20000,"Análisis"),"")))</f>
        <v/>
      </c>
      <c r="AG858" t="str">
        <f>IF(AE858="","",IF(AE858="[FÓRMULA MANUAL]","",IFERROR(AVERAGEIFS(DATOS!$K$2:$K$20000,DATOS!$A$2:$A$20000,AE858,DATOS!$G$2:$G$20000,CONFIG_METADATA!$B$4,DATOS!$I$2:$I$20000,"Orquesta/Banda/Conjunto"),"")))</f>
        <v/>
      </c>
      <c r="AH858" t="str">
        <f>IF(AE858="","",IF(AE858="[FÓRMULA MANUAL]","",IFERROR(AVERAGEIFS(DATOS!$K$2:$K$20000,DATOS!$A$2:$A$20000,AE858,DATOS!$G$2:$G$20000,CONFIG_METADATA!$B$4,DATOS!$I$2:$I$20000,"Música de Cámara"),"")))</f>
        <v/>
      </c>
      <c r="AI858" t="str">
        <f>IF(AE858="","",IF(AE858="[FÓRMULA MANUAL]","",IFERROR(SUMPRODUCT((DATOS!$A$2:$A$20000=AE858)*(DATOS!$G$2:$G$20000=CONFIG_METADATA!$B$4)*(COUNTIF(CONFIG_ASIGNATURAS!$B$7:$B$27,DATOS!$I$2:$I$20000)&gt;0)*(DATOS!$K$2:$K$20000))/SUMPRODUCT((DATOS!$A$2:$A$20000=AE858)*(DATOS!$G$2:$G$20000=CONFIG_METADATA!$B$4)*(COUNTIF(CONFIG_ASIGNATURAS!$B$7:$B$27,DATOS!$I$2:$I$20000)&gt;0)*1),"")))</f>
        <v/>
      </c>
    </row>
    <row r="859" spans="2:35" x14ac:dyDescent="0.2">
      <c r="B859" t="str">
        <f>IF(A859="","",IF(A859="[FÓRMULA MANUAL]","",IFERROR(AVERAGEIFS(DATOS!$K$2:$K$20000,DATOS!$A$2:$A$20000,A859,DATOS!$G$2:$G$20000,CONFIG_METADATA!$B$4,DATOS!$I$2:$I$20000,"Lenguaje Musical"),"")))</f>
        <v/>
      </c>
      <c r="C859" t="str">
        <f>IF(A859="","",IF(A859="[FÓRMULA MANUAL]","",IFERROR(AVERAGEIFS(DATOS!$K$2:$K$20000,DATOS!$A$2:$A$20000,A859,DATOS!$G$2:$G$20000,CONFIG_METADATA!$B$4,DATOS!$I$2:$I$20000,"Orquesta/Banda/Conjunto"),"")))</f>
        <v/>
      </c>
      <c r="D859" t="str">
        <f>IF(A859="","",IF(A859="[FÓRMULA MANUAL]","",IFERROR(AVERAGEIFS(DATOS!$K$2:$K$20000,DATOS!$A$2:$A$20000,A859,DATOS!$G$2:$G$20000,CONFIG_METADATA!$B$4,DATOS!$I$2:$I$20000,"Conjunto"),"")))</f>
        <v/>
      </c>
      <c r="E859" t="str">
        <f>IF(A859="","",IF(A859="[FÓRMULA MANUAL]","",IFERROR(SUMPRODUCT((DATOS!$A$2:$A$20000=A859)*(DATOS!$G$2:$G$20000=CONFIG_METADATA!$B$4)*(COUNTIF(CONFIG_ASIGNATURAS!$B$7:$B$27,DATOS!$I$2:$I$20000)&gt;0)*(DATOS!$K$2:$K$20000))/SUMPRODUCT((DATOS!$A$2:$A$20000=A859)*(DATOS!$G$2:$G$20000=CONFIG_METADATA!$B$4)*(COUNTIF(CONFIG_ASIGNATURAS!$B$7:$B$27,DATOS!$I$2:$I$20000)&gt;0)*1),"")))</f>
        <v/>
      </c>
      <c r="H859" t="str">
        <f>IF(G859="","",IF(G859="[FÓRMULA MANUAL]","",IFERROR(AVERAGEIFS(DATOS!$K$2:$K$20000,DATOS!$A$2:$A$20000,G859,DATOS!$G$2:$G$20000,CONFIG_METADATA!$B$4,DATOS!$I$2:$I$20000,"Lenguaje Musical"),"")))</f>
        <v/>
      </c>
      <c r="I859" t="str">
        <f>IF(G859="","",IF(G859="[FÓRMULA MANUAL]","",IFERROR(AVERAGEIFS(DATOS!$K$2:$K$20000,DATOS!$A$2:$A$20000,G859,DATOS!$G$2:$G$20000,CONFIG_METADATA!$B$4,DATOS!$I$2:$I$20000,"Orquesta/Banda/Conjunto"),"")))</f>
        <v/>
      </c>
      <c r="J859" t="str">
        <f>IF(G859="","",IF(G859="[FÓRMULA MANUAL]","",IFERROR(AVERAGEIFS(DATOS!$K$2:$K$20000,DATOS!$A$2:$A$20000,G859,DATOS!$G$2:$G$20000,CONFIG_METADATA!$B$4,DATOS!$I$2:$I$20000,"Conjunto"),"")))</f>
        <v/>
      </c>
      <c r="K859" t="str">
        <f>IF(G859="","",IF(G859="[FÓRMULA MANUAL]","",IFERROR(SUMPRODUCT((DATOS!$A$2:$A$20000=G859)*(DATOS!$G$2:$G$20000=CONFIG_METADATA!$B$4)*(COUNTIF(CONFIG_ASIGNATURAS!$B$7:$B$27,DATOS!$I$2:$I$20000)&gt;0)*(DATOS!$K$2:$K$20000))/SUMPRODUCT((DATOS!$A$2:$A$20000=G859)*(DATOS!$G$2:$G$20000=CONFIG_METADATA!$B$4)*(COUNTIF(CONFIG_ASIGNATURAS!$B$7:$B$27,DATOS!$I$2:$I$20000)&gt;0)*1),"")))</f>
        <v/>
      </c>
      <c r="N859" t="str">
        <f>IF(M859="","",IF(M859="[FÓRMULA MANUAL]","",IFERROR(AVERAGEIFS(DATOS!$K$2:$K$20000,DATOS!$A$2:$A$20000,M859,DATOS!$G$2:$G$20000,CONFIG_METADATA!$B$4,DATOS!$I$2:$I$20000,"Armonía"),"")))</f>
        <v/>
      </c>
      <c r="O859" t="str">
        <f>IF(M859="","",IF(M859="[FÓRMULA MANUAL]","",IFERROR(AVERAGEIFS(DATOS!$K$2:$K$20000,DATOS!$A$2:$A$20000,M859,DATOS!$G$2:$G$20000,CONFIG_METADATA!$B$4,DATOS!$I$2:$I$20000,"Orquesta/Banda/Conjunto"),"")))</f>
        <v/>
      </c>
      <c r="P859" t="str">
        <f>IF(M859="","",IF(M859="[FÓRMULA MANUAL]","",IFERROR(AVERAGEIFS(DATOS!$K$2:$K$20000,DATOS!$A$2:$A$20000,M859,DATOS!$G$2:$G$20000,CONFIG_METADATA!$B$4,DATOS!$I$2:$I$20000,"Música de Cámara"),"")))</f>
        <v/>
      </c>
      <c r="Q859" t="str">
        <f>IF(M859="","",IF(M859="[FÓRMULA MANUAL]","",IFERROR(SUMPRODUCT((DATOS!$A$2:$A$20000=M859)*(DATOS!$G$2:$G$20000=CONFIG_METADATA!$B$4)*(COUNTIF(CONFIG_ASIGNATURAS!$B$7:$B$27,DATOS!$I$2:$I$20000)&gt;0)*(DATOS!$K$2:$K$20000))/SUMPRODUCT((DATOS!$A$2:$A$20000=M859)*(DATOS!$G$2:$G$20000=CONFIG_METADATA!$B$4)*(COUNTIF(CONFIG_ASIGNATURAS!$B$7:$B$27,DATOS!$I$2:$I$20000)&gt;0)*1),"")))</f>
        <v/>
      </c>
      <c r="T859" t="str">
        <f>IF(S859="","",IF(S859="[FÓRMULA MANUAL]","",IFERROR(AVERAGEIFS(DATOS!$K$2:$K$20000,DATOS!$A$2:$A$20000,S859,DATOS!$G$2:$G$20000,CONFIG_METADATA!$B$4,DATOS!$I$2:$I$20000,"Armonía"),"")))</f>
        <v/>
      </c>
      <c r="U859" t="str">
        <f>IF(S859="","",IF(S859="[FÓRMULA MANUAL]","",IFERROR(AVERAGEIFS(DATOS!$K$2:$K$20000,DATOS!$A$2:$A$20000,S859,DATOS!$G$2:$G$20000,CONFIG_METADATA!$B$4,DATOS!$I$2:$I$20000,"Orquesta/Banda/Conjunto"),"")))</f>
        <v/>
      </c>
      <c r="V859" t="str">
        <f>IF(S859="","",IF(S859="[FÓRMULA MANUAL]","",IFERROR(AVERAGEIFS(DATOS!$K$2:$K$20000,DATOS!$A$2:$A$20000,S859,DATOS!$G$2:$G$20000,CONFIG_METADATA!$B$4,DATOS!$I$2:$I$20000,"Música de Cámara"),"")))</f>
        <v/>
      </c>
      <c r="W859" t="str">
        <f>IF(S859="","",IF(S859="[FÓRMULA MANUAL]","",IFERROR(SUMPRODUCT((DATOS!$A$2:$A$20000=S859)*(DATOS!$G$2:$G$20000=CONFIG_METADATA!$B$4)*(COUNTIF(CONFIG_ASIGNATURAS!$B$7:$B$27,DATOS!$I$2:$I$20000)&gt;0)*(DATOS!$K$2:$K$20000))/SUMPRODUCT((DATOS!$A$2:$A$20000=S859)*(DATOS!$G$2:$G$20000=CONFIG_METADATA!$B$4)*(COUNTIF(CONFIG_ASIGNATURAS!$B$7:$B$27,DATOS!$I$2:$I$20000)&gt;0)*1),"")))</f>
        <v/>
      </c>
      <c r="Z859" t="str">
        <f>IF(Y859="","",IF(Y859="[FÓRMULA MANUAL]","",IFERROR(AVERAGEIFS(DATOS!$K$2:$K$20000,DATOS!$A$2:$A$20000,Y859,DATOS!$G$2:$G$20000,CONFIG_METADATA!$B$4,DATOS!$I$2:$I$20000,"Análisis"),"")))</f>
        <v/>
      </c>
      <c r="AA859" t="str">
        <f>IF(Y859="","",IF(Y859="[FÓRMULA MANUAL]","",IFERROR(AVERAGEIFS(DATOS!$K$2:$K$20000,DATOS!$A$2:$A$20000,Y859,DATOS!$G$2:$G$20000,CONFIG_METADATA!$B$4,DATOS!$I$2:$I$20000,"Orquesta/Banda/Conjunto"),"")))</f>
        <v/>
      </c>
      <c r="AB859" t="str">
        <f>IF(Y859="","",IF(Y859="[FÓRMULA MANUAL]","",IFERROR(AVERAGEIFS(DATOS!$K$2:$K$20000,DATOS!$A$2:$A$20000,Y859,DATOS!$G$2:$G$20000,CONFIG_METADATA!$B$4,DATOS!$I$2:$I$20000,"Música de Cámara"),"")))</f>
        <v/>
      </c>
      <c r="AC859" t="str">
        <f>IF(Y859="","",IF(Y859="[FÓRMULA MANUAL]","",IFERROR(SUMPRODUCT((DATOS!$A$2:$A$20000=Y859)*(DATOS!$G$2:$G$20000=CONFIG_METADATA!$B$4)*(COUNTIF(CONFIG_ASIGNATURAS!$B$7:$B$27,DATOS!$I$2:$I$20000)&gt;0)*(DATOS!$K$2:$K$20000))/SUMPRODUCT((DATOS!$A$2:$A$20000=Y859)*(DATOS!$G$2:$G$20000=CONFIG_METADATA!$B$4)*(COUNTIF(CONFIG_ASIGNATURAS!$B$7:$B$27,DATOS!$I$2:$I$20000)&gt;0)*1),"")))</f>
        <v/>
      </c>
      <c r="AF859" t="str">
        <f>IF(AE859="","",IF(AE859="[FÓRMULA MANUAL]","",IFERROR(AVERAGEIFS(DATOS!$K$2:$K$20000,DATOS!$A$2:$A$20000,AE859,DATOS!$G$2:$G$20000,CONFIG_METADATA!$B$4,DATOS!$I$2:$I$20000,"Análisis"),"")))</f>
        <v/>
      </c>
      <c r="AG859" t="str">
        <f>IF(AE859="","",IF(AE859="[FÓRMULA MANUAL]","",IFERROR(AVERAGEIFS(DATOS!$K$2:$K$20000,DATOS!$A$2:$A$20000,AE859,DATOS!$G$2:$G$20000,CONFIG_METADATA!$B$4,DATOS!$I$2:$I$20000,"Orquesta/Banda/Conjunto"),"")))</f>
        <v/>
      </c>
      <c r="AH859" t="str">
        <f>IF(AE859="","",IF(AE859="[FÓRMULA MANUAL]","",IFERROR(AVERAGEIFS(DATOS!$K$2:$K$20000,DATOS!$A$2:$A$20000,AE859,DATOS!$G$2:$G$20000,CONFIG_METADATA!$B$4,DATOS!$I$2:$I$20000,"Música de Cámara"),"")))</f>
        <v/>
      </c>
      <c r="AI859" t="str">
        <f>IF(AE859="","",IF(AE859="[FÓRMULA MANUAL]","",IFERROR(SUMPRODUCT((DATOS!$A$2:$A$20000=AE859)*(DATOS!$G$2:$G$20000=CONFIG_METADATA!$B$4)*(COUNTIF(CONFIG_ASIGNATURAS!$B$7:$B$27,DATOS!$I$2:$I$20000)&gt;0)*(DATOS!$K$2:$K$20000))/SUMPRODUCT((DATOS!$A$2:$A$20000=AE859)*(DATOS!$G$2:$G$20000=CONFIG_METADATA!$B$4)*(COUNTIF(CONFIG_ASIGNATURAS!$B$7:$B$27,DATOS!$I$2:$I$20000)&gt;0)*1),"")))</f>
        <v/>
      </c>
    </row>
    <row r="860" spans="2:35" x14ac:dyDescent="0.2">
      <c r="B860" t="str">
        <f>IF(A860="","",IF(A860="[FÓRMULA MANUAL]","",IFERROR(AVERAGEIFS(DATOS!$K$2:$K$20000,DATOS!$A$2:$A$20000,A860,DATOS!$G$2:$G$20000,CONFIG_METADATA!$B$4,DATOS!$I$2:$I$20000,"Lenguaje Musical"),"")))</f>
        <v/>
      </c>
      <c r="C860" t="str">
        <f>IF(A860="","",IF(A860="[FÓRMULA MANUAL]","",IFERROR(AVERAGEIFS(DATOS!$K$2:$K$20000,DATOS!$A$2:$A$20000,A860,DATOS!$G$2:$G$20000,CONFIG_METADATA!$B$4,DATOS!$I$2:$I$20000,"Orquesta/Banda/Conjunto"),"")))</f>
        <v/>
      </c>
      <c r="D860" t="str">
        <f>IF(A860="","",IF(A860="[FÓRMULA MANUAL]","",IFERROR(AVERAGEIFS(DATOS!$K$2:$K$20000,DATOS!$A$2:$A$20000,A860,DATOS!$G$2:$G$20000,CONFIG_METADATA!$B$4,DATOS!$I$2:$I$20000,"Conjunto"),"")))</f>
        <v/>
      </c>
      <c r="E860" t="str">
        <f>IF(A860="","",IF(A860="[FÓRMULA MANUAL]","",IFERROR(SUMPRODUCT((DATOS!$A$2:$A$20000=A860)*(DATOS!$G$2:$G$20000=CONFIG_METADATA!$B$4)*(COUNTIF(CONFIG_ASIGNATURAS!$B$7:$B$27,DATOS!$I$2:$I$20000)&gt;0)*(DATOS!$K$2:$K$20000))/SUMPRODUCT((DATOS!$A$2:$A$20000=A860)*(DATOS!$G$2:$G$20000=CONFIG_METADATA!$B$4)*(COUNTIF(CONFIG_ASIGNATURAS!$B$7:$B$27,DATOS!$I$2:$I$20000)&gt;0)*1),"")))</f>
        <v/>
      </c>
      <c r="H860" t="str">
        <f>IF(G860="","",IF(G860="[FÓRMULA MANUAL]","",IFERROR(AVERAGEIFS(DATOS!$K$2:$K$20000,DATOS!$A$2:$A$20000,G860,DATOS!$G$2:$G$20000,CONFIG_METADATA!$B$4,DATOS!$I$2:$I$20000,"Lenguaje Musical"),"")))</f>
        <v/>
      </c>
      <c r="I860" t="str">
        <f>IF(G860="","",IF(G860="[FÓRMULA MANUAL]","",IFERROR(AVERAGEIFS(DATOS!$K$2:$K$20000,DATOS!$A$2:$A$20000,G860,DATOS!$G$2:$G$20000,CONFIG_METADATA!$B$4,DATOS!$I$2:$I$20000,"Orquesta/Banda/Conjunto"),"")))</f>
        <v/>
      </c>
      <c r="J860" t="str">
        <f>IF(G860="","",IF(G860="[FÓRMULA MANUAL]","",IFERROR(AVERAGEIFS(DATOS!$K$2:$K$20000,DATOS!$A$2:$A$20000,G860,DATOS!$G$2:$G$20000,CONFIG_METADATA!$B$4,DATOS!$I$2:$I$20000,"Conjunto"),"")))</f>
        <v/>
      </c>
      <c r="K860" t="str">
        <f>IF(G860="","",IF(G860="[FÓRMULA MANUAL]","",IFERROR(SUMPRODUCT((DATOS!$A$2:$A$20000=G860)*(DATOS!$G$2:$G$20000=CONFIG_METADATA!$B$4)*(COUNTIF(CONFIG_ASIGNATURAS!$B$7:$B$27,DATOS!$I$2:$I$20000)&gt;0)*(DATOS!$K$2:$K$20000))/SUMPRODUCT((DATOS!$A$2:$A$20000=G860)*(DATOS!$G$2:$G$20000=CONFIG_METADATA!$B$4)*(COUNTIF(CONFIG_ASIGNATURAS!$B$7:$B$27,DATOS!$I$2:$I$20000)&gt;0)*1),"")))</f>
        <v/>
      </c>
      <c r="N860" t="str">
        <f>IF(M860="","",IF(M860="[FÓRMULA MANUAL]","",IFERROR(AVERAGEIFS(DATOS!$K$2:$K$20000,DATOS!$A$2:$A$20000,M860,DATOS!$G$2:$G$20000,CONFIG_METADATA!$B$4,DATOS!$I$2:$I$20000,"Armonía"),"")))</f>
        <v/>
      </c>
      <c r="O860" t="str">
        <f>IF(M860="","",IF(M860="[FÓRMULA MANUAL]","",IFERROR(AVERAGEIFS(DATOS!$K$2:$K$20000,DATOS!$A$2:$A$20000,M860,DATOS!$G$2:$G$20000,CONFIG_METADATA!$B$4,DATOS!$I$2:$I$20000,"Orquesta/Banda/Conjunto"),"")))</f>
        <v/>
      </c>
      <c r="P860" t="str">
        <f>IF(M860="","",IF(M860="[FÓRMULA MANUAL]","",IFERROR(AVERAGEIFS(DATOS!$K$2:$K$20000,DATOS!$A$2:$A$20000,M860,DATOS!$G$2:$G$20000,CONFIG_METADATA!$B$4,DATOS!$I$2:$I$20000,"Música de Cámara"),"")))</f>
        <v/>
      </c>
      <c r="Q860" t="str">
        <f>IF(M860="","",IF(M860="[FÓRMULA MANUAL]","",IFERROR(SUMPRODUCT((DATOS!$A$2:$A$20000=M860)*(DATOS!$G$2:$G$20000=CONFIG_METADATA!$B$4)*(COUNTIF(CONFIG_ASIGNATURAS!$B$7:$B$27,DATOS!$I$2:$I$20000)&gt;0)*(DATOS!$K$2:$K$20000))/SUMPRODUCT((DATOS!$A$2:$A$20000=M860)*(DATOS!$G$2:$G$20000=CONFIG_METADATA!$B$4)*(COUNTIF(CONFIG_ASIGNATURAS!$B$7:$B$27,DATOS!$I$2:$I$20000)&gt;0)*1),"")))</f>
        <v/>
      </c>
      <c r="T860" t="str">
        <f>IF(S860="","",IF(S860="[FÓRMULA MANUAL]","",IFERROR(AVERAGEIFS(DATOS!$K$2:$K$20000,DATOS!$A$2:$A$20000,S860,DATOS!$G$2:$G$20000,CONFIG_METADATA!$B$4,DATOS!$I$2:$I$20000,"Armonía"),"")))</f>
        <v/>
      </c>
      <c r="U860" t="str">
        <f>IF(S860="","",IF(S860="[FÓRMULA MANUAL]","",IFERROR(AVERAGEIFS(DATOS!$K$2:$K$20000,DATOS!$A$2:$A$20000,S860,DATOS!$G$2:$G$20000,CONFIG_METADATA!$B$4,DATOS!$I$2:$I$20000,"Orquesta/Banda/Conjunto"),"")))</f>
        <v/>
      </c>
      <c r="V860" t="str">
        <f>IF(S860="","",IF(S860="[FÓRMULA MANUAL]","",IFERROR(AVERAGEIFS(DATOS!$K$2:$K$20000,DATOS!$A$2:$A$20000,S860,DATOS!$G$2:$G$20000,CONFIG_METADATA!$B$4,DATOS!$I$2:$I$20000,"Música de Cámara"),"")))</f>
        <v/>
      </c>
      <c r="W860" t="str">
        <f>IF(S860="","",IF(S860="[FÓRMULA MANUAL]","",IFERROR(SUMPRODUCT((DATOS!$A$2:$A$20000=S860)*(DATOS!$G$2:$G$20000=CONFIG_METADATA!$B$4)*(COUNTIF(CONFIG_ASIGNATURAS!$B$7:$B$27,DATOS!$I$2:$I$20000)&gt;0)*(DATOS!$K$2:$K$20000))/SUMPRODUCT((DATOS!$A$2:$A$20000=S860)*(DATOS!$G$2:$G$20000=CONFIG_METADATA!$B$4)*(COUNTIF(CONFIG_ASIGNATURAS!$B$7:$B$27,DATOS!$I$2:$I$20000)&gt;0)*1),"")))</f>
        <v/>
      </c>
      <c r="Z860" t="str">
        <f>IF(Y860="","",IF(Y860="[FÓRMULA MANUAL]","",IFERROR(AVERAGEIFS(DATOS!$K$2:$K$20000,DATOS!$A$2:$A$20000,Y860,DATOS!$G$2:$G$20000,CONFIG_METADATA!$B$4,DATOS!$I$2:$I$20000,"Análisis"),"")))</f>
        <v/>
      </c>
      <c r="AA860" t="str">
        <f>IF(Y860="","",IF(Y860="[FÓRMULA MANUAL]","",IFERROR(AVERAGEIFS(DATOS!$K$2:$K$20000,DATOS!$A$2:$A$20000,Y860,DATOS!$G$2:$G$20000,CONFIG_METADATA!$B$4,DATOS!$I$2:$I$20000,"Orquesta/Banda/Conjunto"),"")))</f>
        <v/>
      </c>
      <c r="AB860" t="str">
        <f>IF(Y860="","",IF(Y860="[FÓRMULA MANUAL]","",IFERROR(AVERAGEIFS(DATOS!$K$2:$K$20000,DATOS!$A$2:$A$20000,Y860,DATOS!$G$2:$G$20000,CONFIG_METADATA!$B$4,DATOS!$I$2:$I$20000,"Música de Cámara"),"")))</f>
        <v/>
      </c>
      <c r="AC860" t="str">
        <f>IF(Y860="","",IF(Y860="[FÓRMULA MANUAL]","",IFERROR(SUMPRODUCT((DATOS!$A$2:$A$20000=Y860)*(DATOS!$G$2:$G$20000=CONFIG_METADATA!$B$4)*(COUNTIF(CONFIG_ASIGNATURAS!$B$7:$B$27,DATOS!$I$2:$I$20000)&gt;0)*(DATOS!$K$2:$K$20000))/SUMPRODUCT((DATOS!$A$2:$A$20000=Y860)*(DATOS!$G$2:$G$20000=CONFIG_METADATA!$B$4)*(COUNTIF(CONFIG_ASIGNATURAS!$B$7:$B$27,DATOS!$I$2:$I$20000)&gt;0)*1),"")))</f>
        <v/>
      </c>
      <c r="AF860" t="str">
        <f>IF(AE860="","",IF(AE860="[FÓRMULA MANUAL]","",IFERROR(AVERAGEIFS(DATOS!$K$2:$K$20000,DATOS!$A$2:$A$20000,AE860,DATOS!$G$2:$G$20000,CONFIG_METADATA!$B$4,DATOS!$I$2:$I$20000,"Análisis"),"")))</f>
        <v/>
      </c>
      <c r="AG860" t="str">
        <f>IF(AE860="","",IF(AE860="[FÓRMULA MANUAL]","",IFERROR(AVERAGEIFS(DATOS!$K$2:$K$20000,DATOS!$A$2:$A$20000,AE860,DATOS!$G$2:$G$20000,CONFIG_METADATA!$B$4,DATOS!$I$2:$I$20000,"Orquesta/Banda/Conjunto"),"")))</f>
        <v/>
      </c>
      <c r="AH860" t="str">
        <f>IF(AE860="","",IF(AE860="[FÓRMULA MANUAL]","",IFERROR(AVERAGEIFS(DATOS!$K$2:$K$20000,DATOS!$A$2:$A$20000,AE860,DATOS!$G$2:$G$20000,CONFIG_METADATA!$B$4,DATOS!$I$2:$I$20000,"Música de Cámara"),"")))</f>
        <v/>
      </c>
      <c r="AI860" t="str">
        <f>IF(AE860="","",IF(AE860="[FÓRMULA MANUAL]","",IFERROR(SUMPRODUCT((DATOS!$A$2:$A$20000=AE860)*(DATOS!$G$2:$G$20000=CONFIG_METADATA!$B$4)*(COUNTIF(CONFIG_ASIGNATURAS!$B$7:$B$27,DATOS!$I$2:$I$20000)&gt;0)*(DATOS!$K$2:$K$20000))/SUMPRODUCT((DATOS!$A$2:$A$20000=AE860)*(DATOS!$G$2:$G$20000=CONFIG_METADATA!$B$4)*(COUNTIF(CONFIG_ASIGNATURAS!$B$7:$B$27,DATOS!$I$2:$I$20000)&gt;0)*1),"")))</f>
        <v/>
      </c>
    </row>
    <row r="861" spans="2:35" x14ac:dyDescent="0.2">
      <c r="B861" t="str">
        <f>IF(A861="","",IF(A861="[FÓRMULA MANUAL]","",IFERROR(AVERAGEIFS(DATOS!$K$2:$K$20000,DATOS!$A$2:$A$20000,A861,DATOS!$G$2:$G$20000,CONFIG_METADATA!$B$4,DATOS!$I$2:$I$20000,"Lenguaje Musical"),"")))</f>
        <v/>
      </c>
      <c r="C861" t="str">
        <f>IF(A861="","",IF(A861="[FÓRMULA MANUAL]","",IFERROR(AVERAGEIFS(DATOS!$K$2:$K$20000,DATOS!$A$2:$A$20000,A861,DATOS!$G$2:$G$20000,CONFIG_METADATA!$B$4,DATOS!$I$2:$I$20000,"Orquesta/Banda/Conjunto"),"")))</f>
        <v/>
      </c>
      <c r="D861" t="str">
        <f>IF(A861="","",IF(A861="[FÓRMULA MANUAL]","",IFERROR(AVERAGEIFS(DATOS!$K$2:$K$20000,DATOS!$A$2:$A$20000,A861,DATOS!$G$2:$G$20000,CONFIG_METADATA!$B$4,DATOS!$I$2:$I$20000,"Conjunto"),"")))</f>
        <v/>
      </c>
      <c r="E861" t="str">
        <f>IF(A861="","",IF(A861="[FÓRMULA MANUAL]","",IFERROR(SUMPRODUCT((DATOS!$A$2:$A$20000=A861)*(DATOS!$G$2:$G$20000=CONFIG_METADATA!$B$4)*(COUNTIF(CONFIG_ASIGNATURAS!$B$7:$B$27,DATOS!$I$2:$I$20000)&gt;0)*(DATOS!$K$2:$K$20000))/SUMPRODUCT((DATOS!$A$2:$A$20000=A861)*(DATOS!$G$2:$G$20000=CONFIG_METADATA!$B$4)*(COUNTIF(CONFIG_ASIGNATURAS!$B$7:$B$27,DATOS!$I$2:$I$20000)&gt;0)*1),"")))</f>
        <v/>
      </c>
      <c r="H861" t="str">
        <f>IF(G861="","",IF(G861="[FÓRMULA MANUAL]","",IFERROR(AVERAGEIFS(DATOS!$K$2:$K$20000,DATOS!$A$2:$A$20000,G861,DATOS!$G$2:$G$20000,CONFIG_METADATA!$B$4,DATOS!$I$2:$I$20000,"Lenguaje Musical"),"")))</f>
        <v/>
      </c>
      <c r="I861" t="str">
        <f>IF(G861="","",IF(G861="[FÓRMULA MANUAL]","",IFERROR(AVERAGEIFS(DATOS!$K$2:$K$20000,DATOS!$A$2:$A$20000,G861,DATOS!$G$2:$G$20000,CONFIG_METADATA!$B$4,DATOS!$I$2:$I$20000,"Orquesta/Banda/Conjunto"),"")))</f>
        <v/>
      </c>
      <c r="J861" t="str">
        <f>IF(G861="","",IF(G861="[FÓRMULA MANUAL]","",IFERROR(AVERAGEIFS(DATOS!$K$2:$K$20000,DATOS!$A$2:$A$20000,G861,DATOS!$G$2:$G$20000,CONFIG_METADATA!$B$4,DATOS!$I$2:$I$20000,"Conjunto"),"")))</f>
        <v/>
      </c>
      <c r="K861" t="str">
        <f>IF(G861="","",IF(G861="[FÓRMULA MANUAL]","",IFERROR(SUMPRODUCT((DATOS!$A$2:$A$20000=G861)*(DATOS!$G$2:$G$20000=CONFIG_METADATA!$B$4)*(COUNTIF(CONFIG_ASIGNATURAS!$B$7:$B$27,DATOS!$I$2:$I$20000)&gt;0)*(DATOS!$K$2:$K$20000))/SUMPRODUCT((DATOS!$A$2:$A$20000=G861)*(DATOS!$G$2:$G$20000=CONFIG_METADATA!$B$4)*(COUNTIF(CONFIG_ASIGNATURAS!$B$7:$B$27,DATOS!$I$2:$I$20000)&gt;0)*1),"")))</f>
        <v/>
      </c>
      <c r="N861" t="str">
        <f>IF(M861="","",IF(M861="[FÓRMULA MANUAL]","",IFERROR(AVERAGEIFS(DATOS!$K$2:$K$20000,DATOS!$A$2:$A$20000,M861,DATOS!$G$2:$G$20000,CONFIG_METADATA!$B$4,DATOS!$I$2:$I$20000,"Armonía"),"")))</f>
        <v/>
      </c>
      <c r="O861" t="str">
        <f>IF(M861="","",IF(M861="[FÓRMULA MANUAL]","",IFERROR(AVERAGEIFS(DATOS!$K$2:$K$20000,DATOS!$A$2:$A$20000,M861,DATOS!$G$2:$G$20000,CONFIG_METADATA!$B$4,DATOS!$I$2:$I$20000,"Orquesta/Banda/Conjunto"),"")))</f>
        <v/>
      </c>
      <c r="P861" t="str">
        <f>IF(M861="","",IF(M861="[FÓRMULA MANUAL]","",IFERROR(AVERAGEIFS(DATOS!$K$2:$K$20000,DATOS!$A$2:$A$20000,M861,DATOS!$G$2:$G$20000,CONFIG_METADATA!$B$4,DATOS!$I$2:$I$20000,"Música de Cámara"),"")))</f>
        <v/>
      </c>
      <c r="Q861" t="str">
        <f>IF(M861="","",IF(M861="[FÓRMULA MANUAL]","",IFERROR(SUMPRODUCT((DATOS!$A$2:$A$20000=M861)*(DATOS!$G$2:$G$20000=CONFIG_METADATA!$B$4)*(COUNTIF(CONFIG_ASIGNATURAS!$B$7:$B$27,DATOS!$I$2:$I$20000)&gt;0)*(DATOS!$K$2:$K$20000))/SUMPRODUCT((DATOS!$A$2:$A$20000=M861)*(DATOS!$G$2:$G$20000=CONFIG_METADATA!$B$4)*(COUNTIF(CONFIG_ASIGNATURAS!$B$7:$B$27,DATOS!$I$2:$I$20000)&gt;0)*1),"")))</f>
        <v/>
      </c>
      <c r="T861" t="str">
        <f>IF(S861="","",IF(S861="[FÓRMULA MANUAL]","",IFERROR(AVERAGEIFS(DATOS!$K$2:$K$20000,DATOS!$A$2:$A$20000,S861,DATOS!$G$2:$G$20000,CONFIG_METADATA!$B$4,DATOS!$I$2:$I$20000,"Armonía"),"")))</f>
        <v/>
      </c>
      <c r="U861" t="str">
        <f>IF(S861="","",IF(S861="[FÓRMULA MANUAL]","",IFERROR(AVERAGEIFS(DATOS!$K$2:$K$20000,DATOS!$A$2:$A$20000,S861,DATOS!$G$2:$G$20000,CONFIG_METADATA!$B$4,DATOS!$I$2:$I$20000,"Orquesta/Banda/Conjunto"),"")))</f>
        <v/>
      </c>
      <c r="V861" t="str">
        <f>IF(S861="","",IF(S861="[FÓRMULA MANUAL]","",IFERROR(AVERAGEIFS(DATOS!$K$2:$K$20000,DATOS!$A$2:$A$20000,S861,DATOS!$G$2:$G$20000,CONFIG_METADATA!$B$4,DATOS!$I$2:$I$20000,"Música de Cámara"),"")))</f>
        <v/>
      </c>
      <c r="W861" t="str">
        <f>IF(S861="","",IF(S861="[FÓRMULA MANUAL]","",IFERROR(SUMPRODUCT((DATOS!$A$2:$A$20000=S861)*(DATOS!$G$2:$G$20000=CONFIG_METADATA!$B$4)*(COUNTIF(CONFIG_ASIGNATURAS!$B$7:$B$27,DATOS!$I$2:$I$20000)&gt;0)*(DATOS!$K$2:$K$20000))/SUMPRODUCT((DATOS!$A$2:$A$20000=S861)*(DATOS!$G$2:$G$20000=CONFIG_METADATA!$B$4)*(COUNTIF(CONFIG_ASIGNATURAS!$B$7:$B$27,DATOS!$I$2:$I$20000)&gt;0)*1),"")))</f>
        <v/>
      </c>
      <c r="Z861" t="str">
        <f>IF(Y861="","",IF(Y861="[FÓRMULA MANUAL]","",IFERROR(AVERAGEIFS(DATOS!$K$2:$K$20000,DATOS!$A$2:$A$20000,Y861,DATOS!$G$2:$G$20000,CONFIG_METADATA!$B$4,DATOS!$I$2:$I$20000,"Análisis"),"")))</f>
        <v/>
      </c>
      <c r="AA861" t="str">
        <f>IF(Y861="","",IF(Y861="[FÓRMULA MANUAL]","",IFERROR(AVERAGEIFS(DATOS!$K$2:$K$20000,DATOS!$A$2:$A$20000,Y861,DATOS!$G$2:$G$20000,CONFIG_METADATA!$B$4,DATOS!$I$2:$I$20000,"Orquesta/Banda/Conjunto"),"")))</f>
        <v/>
      </c>
      <c r="AB861" t="str">
        <f>IF(Y861="","",IF(Y861="[FÓRMULA MANUAL]","",IFERROR(AVERAGEIFS(DATOS!$K$2:$K$20000,DATOS!$A$2:$A$20000,Y861,DATOS!$G$2:$G$20000,CONFIG_METADATA!$B$4,DATOS!$I$2:$I$20000,"Música de Cámara"),"")))</f>
        <v/>
      </c>
      <c r="AC861" t="str">
        <f>IF(Y861="","",IF(Y861="[FÓRMULA MANUAL]","",IFERROR(SUMPRODUCT((DATOS!$A$2:$A$20000=Y861)*(DATOS!$G$2:$G$20000=CONFIG_METADATA!$B$4)*(COUNTIF(CONFIG_ASIGNATURAS!$B$7:$B$27,DATOS!$I$2:$I$20000)&gt;0)*(DATOS!$K$2:$K$20000))/SUMPRODUCT((DATOS!$A$2:$A$20000=Y861)*(DATOS!$G$2:$G$20000=CONFIG_METADATA!$B$4)*(COUNTIF(CONFIG_ASIGNATURAS!$B$7:$B$27,DATOS!$I$2:$I$20000)&gt;0)*1),"")))</f>
        <v/>
      </c>
      <c r="AF861" t="str">
        <f>IF(AE861="","",IF(AE861="[FÓRMULA MANUAL]","",IFERROR(AVERAGEIFS(DATOS!$K$2:$K$20000,DATOS!$A$2:$A$20000,AE861,DATOS!$G$2:$G$20000,CONFIG_METADATA!$B$4,DATOS!$I$2:$I$20000,"Análisis"),"")))</f>
        <v/>
      </c>
      <c r="AG861" t="str">
        <f>IF(AE861="","",IF(AE861="[FÓRMULA MANUAL]","",IFERROR(AVERAGEIFS(DATOS!$K$2:$K$20000,DATOS!$A$2:$A$20000,AE861,DATOS!$G$2:$G$20000,CONFIG_METADATA!$B$4,DATOS!$I$2:$I$20000,"Orquesta/Banda/Conjunto"),"")))</f>
        <v/>
      </c>
      <c r="AH861" t="str">
        <f>IF(AE861="","",IF(AE861="[FÓRMULA MANUAL]","",IFERROR(AVERAGEIFS(DATOS!$K$2:$K$20000,DATOS!$A$2:$A$20000,AE861,DATOS!$G$2:$G$20000,CONFIG_METADATA!$B$4,DATOS!$I$2:$I$20000,"Música de Cámara"),"")))</f>
        <v/>
      </c>
      <c r="AI861" t="str">
        <f>IF(AE861="","",IF(AE861="[FÓRMULA MANUAL]","",IFERROR(SUMPRODUCT((DATOS!$A$2:$A$20000=AE861)*(DATOS!$G$2:$G$20000=CONFIG_METADATA!$B$4)*(COUNTIF(CONFIG_ASIGNATURAS!$B$7:$B$27,DATOS!$I$2:$I$20000)&gt;0)*(DATOS!$K$2:$K$20000))/SUMPRODUCT((DATOS!$A$2:$A$20000=AE861)*(DATOS!$G$2:$G$20000=CONFIG_METADATA!$B$4)*(COUNTIF(CONFIG_ASIGNATURAS!$B$7:$B$27,DATOS!$I$2:$I$20000)&gt;0)*1),"")))</f>
        <v/>
      </c>
    </row>
    <row r="862" spans="2:35" x14ac:dyDescent="0.2">
      <c r="B862" t="str">
        <f>IF(A862="","",IF(A862="[FÓRMULA MANUAL]","",IFERROR(AVERAGEIFS(DATOS!$K$2:$K$20000,DATOS!$A$2:$A$20000,A862,DATOS!$G$2:$G$20000,CONFIG_METADATA!$B$4,DATOS!$I$2:$I$20000,"Lenguaje Musical"),"")))</f>
        <v/>
      </c>
      <c r="C862" t="str">
        <f>IF(A862="","",IF(A862="[FÓRMULA MANUAL]","",IFERROR(AVERAGEIFS(DATOS!$K$2:$K$20000,DATOS!$A$2:$A$20000,A862,DATOS!$G$2:$G$20000,CONFIG_METADATA!$B$4,DATOS!$I$2:$I$20000,"Orquesta/Banda/Conjunto"),"")))</f>
        <v/>
      </c>
      <c r="D862" t="str">
        <f>IF(A862="","",IF(A862="[FÓRMULA MANUAL]","",IFERROR(AVERAGEIFS(DATOS!$K$2:$K$20000,DATOS!$A$2:$A$20000,A862,DATOS!$G$2:$G$20000,CONFIG_METADATA!$B$4,DATOS!$I$2:$I$20000,"Conjunto"),"")))</f>
        <v/>
      </c>
      <c r="E862" t="str">
        <f>IF(A862="","",IF(A862="[FÓRMULA MANUAL]","",IFERROR(SUMPRODUCT((DATOS!$A$2:$A$20000=A862)*(DATOS!$G$2:$G$20000=CONFIG_METADATA!$B$4)*(COUNTIF(CONFIG_ASIGNATURAS!$B$7:$B$27,DATOS!$I$2:$I$20000)&gt;0)*(DATOS!$K$2:$K$20000))/SUMPRODUCT((DATOS!$A$2:$A$20000=A862)*(DATOS!$G$2:$G$20000=CONFIG_METADATA!$B$4)*(COUNTIF(CONFIG_ASIGNATURAS!$B$7:$B$27,DATOS!$I$2:$I$20000)&gt;0)*1),"")))</f>
        <v/>
      </c>
      <c r="H862" t="str">
        <f>IF(G862="","",IF(G862="[FÓRMULA MANUAL]","",IFERROR(AVERAGEIFS(DATOS!$K$2:$K$20000,DATOS!$A$2:$A$20000,G862,DATOS!$G$2:$G$20000,CONFIG_METADATA!$B$4,DATOS!$I$2:$I$20000,"Lenguaje Musical"),"")))</f>
        <v/>
      </c>
      <c r="I862" t="str">
        <f>IF(G862="","",IF(G862="[FÓRMULA MANUAL]","",IFERROR(AVERAGEIFS(DATOS!$K$2:$K$20000,DATOS!$A$2:$A$20000,G862,DATOS!$G$2:$G$20000,CONFIG_METADATA!$B$4,DATOS!$I$2:$I$20000,"Orquesta/Banda/Conjunto"),"")))</f>
        <v/>
      </c>
      <c r="J862" t="str">
        <f>IF(G862="","",IF(G862="[FÓRMULA MANUAL]","",IFERROR(AVERAGEIFS(DATOS!$K$2:$K$20000,DATOS!$A$2:$A$20000,G862,DATOS!$G$2:$G$20000,CONFIG_METADATA!$B$4,DATOS!$I$2:$I$20000,"Conjunto"),"")))</f>
        <v/>
      </c>
      <c r="K862" t="str">
        <f>IF(G862="","",IF(G862="[FÓRMULA MANUAL]","",IFERROR(SUMPRODUCT((DATOS!$A$2:$A$20000=G862)*(DATOS!$G$2:$G$20000=CONFIG_METADATA!$B$4)*(COUNTIF(CONFIG_ASIGNATURAS!$B$7:$B$27,DATOS!$I$2:$I$20000)&gt;0)*(DATOS!$K$2:$K$20000))/SUMPRODUCT((DATOS!$A$2:$A$20000=G862)*(DATOS!$G$2:$G$20000=CONFIG_METADATA!$B$4)*(COUNTIF(CONFIG_ASIGNATURAS!$B$7:$B$27,DATOS!$I$2:$I$20000)&gt;0)*1),"")))</f>
        <v/>
      </c>
      <c r="N862" t="str">
        <f>IF(M862="","",IF(M862="[FÓRMULA MANUAL]","",IFERROR(AVERAGEIFS(DATOS!$K$2:$K$20000,DATOS!$A$2:$A$20000,M862,DATOS!$G$2:$G$20000,CONFIG_METADATA!$B$4,DATOS!$I$2:$I$20000,"Armonía"),"")))</f>
        <v/>
      </c>
      <c r="O862" t="str">
        <f>IF(M862="","",IF(M862="[FÓRMULA MANUAL]","",IFERROR(AVERAGEIFS(DATOS!$K$2:$K$20000,DATOS!$A$2:$A$20000,M862,DATOS!$G$2:$G$20000,CONFIG_METADATA!$B$4,DATOS!$I$2:$I$20000,"Orquesta/Banda/Conjunto"),"")))</f>
        <v/>
      </c>
      <c r="P862" t="str">
        <f>IF(M862="","",IF(M862="[FÓRMULA MANUAL]","",IFERROR(AVERAGEIFS(DATOS!$K$2:$K$20000,DATOS!$A$2:$A$20000,M862,DATOS!$G$2:$G$20000,CONFIG_METADATA!$B$4,DATOS!$I$2:$I$20000,"Música de Cámara"),"")))</f>
        <v/>
      </c>
      <c r="Q862" t="str">
        <f>IF(M862="","",IF(M862="[FÓRMULA MANUAL]","",IFERROR(SUMPRODUCT((DATOS!$A$2:$A$20000=M862)*(DATOS!$G$2:$G$20000=CONFIG_METADATA!$B$4)*(COUNTIF(CONFIG_ASIGNATURAS!$B$7:$B$27,DATOS!$I$2:$I$20000)&gt;0)*(DATOS!$K$2:$K$20000))/SUMPRODUCT((DATOS!$A$2:$A$20000=M862)*(DATOS!$G$2:$G$20000=CONFIG_METADATA!$B$4)*(COUNTIF(CONFIG_ASIGNATURAS!$B$7:$B$27,DATOS!$I$2:$I$20000)&gt;0)*1),"")))</f>
        <v/>
      </c>
      <c r="T862" t="str">
        <f>IF(S862="","",IF(S862="[FÓRMULA MANUAL]","",IFERROR(AVERAGEIFS(DATOS!$K$2:$K$20000,DATOS!$A$2:$A$20000,S862,DATOS!$G$2:$G$20000,CONFIG_METADATA!$B$4,DATOS!$I$2:$I$20000,"Armonía"),"")))</f>
        <v/>
      </c>
      <c r="U862" t="str">
        <f>IF(S862="","",IF(S862="[FÓRMULA MANUAL]","",IFERROR(AVERAGEIFS(DATOS!$K$2:$K$20000,DATOS!$A$2:$A$20000,S862,DATOS!$G$2:$G$20000,CONFIG_METADATA!$B$4,DATOS!$I$2:$I$20000,"Orquesta/Banda/Conjunto"),"")))</f>
        <v/>
      </c>
      <c r="V862" t="str">
        <f>IF(S862="","",IF(S862="[FÓRMULA MANUAL]","",IFERROR(AVERAGEIFS(DATOS!$K$2:$K$20000,DATOS!$A$2:$A$20000,S862,DATOS!$G$2:$G$20000,CONFIG_METADATA!$B$4,DATOS!$I$2:$I$20000,"Música de Cámara"),"")))</f>
        <v/>
      </c>
      <c r="W862" t="str">
        <f>IF(S862="","",IF(S862="[FÓRMULA MANUAL]","",IFERROR(SUMPRODUCT((DATOS!$A$2:$A$20000=S862)*(DATOS!$G$2:$G$20000=CONFIG_METADATA!$B$4)*(COUNTIF(CONFIG_ASIGNATURAS!$B$7:$B$27,DATOS!$I$2:$I$20000)&gt;0)*(DATOS!$K$2:$K$20000))/SUMPRODUCT((DATOS!$A$2:$A$20000=S862)*(DATOS!$G$2:$G$20000=CONFIG_METADATA!$B$4)*(COUNTIF(CONFIG_ASIGNATURAS!$B$7:$B$27,DATOS!$I$2:$I$20000)&gt;0)*1),"")))</f>
        <v/>
      </c>
      <c r="Z862" t="str">
        <f>IF(Y862="","",IF(Y862="[FÓRMULA MANUAL]","",IFERROR(AVERAGEIFS(DATOS!$K$2:$K$20000,DATOS!$A$2:$A$20000,Y862,DATOS!$G$2:$G$20000,CONFIG_METADATA!$B$4,DATOS!$I$2:$I$20000,"Análisis"),"")))</f>
        <v/>
      </c>
      <c r="AA862" t="str">
        <f>IF(Y862="","",IF(Y862="[FÓRMULA MANUAL]","",IFERROR(AVERAGEIFS(DATOS!$K$2:$K$20000,DATOS!$A$2:$A$20000,Y862,DATOS!$G$2:$G$20000,CONFIG_METADATA!$B$4,DATOS!$I$2:$I$20000,"Orquesta/Banda/Conjunto"),"")))</f>
        <v/>
      </c>
      <c r="AB862" t="str">
        <f>IF(Y862="","",IF(Y862="[FÓRMULA MANUAL]","",IFERROR(AVERAGEIFS(DATOS!$K$2:$K$20000,DATOS!$A$2:$A$20000,Y862,DATOS!$G$2:$G$20000,CONFIG_METADATA!$B$4,DATOS!$I$2:$I$20000,"Música de Cámara"),"")))</f>
        <v/>
      </c>
      <c r="AC862" t="str">
        <f>IF(Y862="","",IF(Y862="[FÓRMULA MANUAL]","",IFERROR(SUMPRODUCT((DATOS!$A$2:$A$20000=Y862)*(DATOS!$G$2:$G$20000=CONFIG_METADATA!$B$4)*(COUNTIF(CONFIG_ASIGNATURAS!$B$7:$B$27,DATOS!$I$2:$I$20000)&gt;0)*(DATOS!$K$2:$K$20000))/SUMPRODUCT((DATOS!$A$2:$A$20000=Y862)*(DATOS!$G$2:$G$20000=CONFIG_METADATA!$B$4)*(COUNTIF(CONFIG_ASIGNATURAS!$B$7:$B$27,DATOS!$I$2:$I$20000)&gt;0)*1),"")))</f>
        <v/>
      </c>
      <c r="AF862" t="str">
        <f>IF(AE862="","",IF(AE862="[FÓRMULA MANUAL]","",IFERROR(AVERAGEIFS(DATOS!$K$2:$K$20000,DATOS!$A$2:$A$20000,AE862,DATOS!$G$2:$G$20000,CONFIG_METADATA!$B$4,DATOS!$I$2:$I$20000,"Análisis"),"")))</f>
        <v/>
      </c>
      <c r="AG862" t="str">
        <f>IF(AE862="","",IF(AE862="[FÓRMULA MANUAL]","",IFERROR(AVERAGEIFS(DATOS!$K$2:$K$20000,DATOS!$A$2:$A$20000,AE862,DATOS!$G$2:$G$20000,CONFIG_METADATA!$B$4,DATOS!$I$2:$I$20000,"Orquesta/Banda/Conjunto"),"")))</f>
        <v/>
      </c>
      <c r="AH862" t="str">
        <f>IF(AE862="","",IF(AE862="[FÓRMULA MANUAL]","",IFERROR(AVERAGEIFS(DATOS!$K$2:$K$20000,DATOS!$A$2:$A$20000,AE862,DATOS!$G$2:$G$20000,CONFIG_METADATA!$B$4,DATOS!$I$2:$I$20000,"Música de Cámara"),"")))</f>
        <v/>
      </c>
      <c r="AI862" t="str">
        <f>IF(AE862="","",IF(AE862="[FÓRMULA MANUAL]","",IFERROR(SUMPRODUCT((DATOS!$A$2:$A$20000=AE862)*(DATOS!$G$2:$G$20000=CONFIG_METADATA!$B$4)*(COUNTIF(CONFIG_ASIGNATURAS!$B$7:$B$27,DATOS!$I$2:$I$20000)&gt;0)*(DATOS!$K$2:$K$20000))/SUMPRODUCT((DATOS!$A$2:$A$20000=AE862)*(DATOS!$G$2:$G$20000=CONFIG_METADATA!$B$4)*(COUNTIF(CONFIG_ASIGNATURAS!$B$7:$B$27,DATOS!$I$2:$I$20000)&gt;0)*1),"")))</f>
        <v/>
      </c>
    </row>
    <row r="863" spans="2:35" x14ac:dyDescent="0.2">
      <c r="B863" t="str">
        <f>IF(A863="","",IF(A863="[FÓRMULA MANUAL]","",IFERROR(AVERAGEIFS(DATOS!$K$2:$K$20000,DATOS!$A$2:$A$20000,A863,DATOS!$G$2:$G$20000,CONFIG_METADATA!$B$4,DATOS!$I$2:$I$20000,"Lenguaje Musical"),"")))</f>
        <v/>
      </c>
      <c r="C863" t="str">
        <f>IF(A863="","",IF(A863="[FÓRMULA MANUAL]","",IFERROR(AVERAGEIFS(DATOS!$K$2:$K$20000,DATOS!$A$2:$A$20000,A863,DATOS!$G$2:$G$20000,CONFIG_METADATA!$B$4,DATOS!$I$2:$I$20000,"Orquesta/Banda/Conjunto"),"")))</f>
        <v/>
      </c>
      <c r="D863" t="str">
        <f>IF(A863="","",IF(A863="[FÓRMULA MANUAL]","",IFERROR(AVERAGEIFS(DATOS!$K$2:$K$20000,DATOS!$A$2:$A$20000,A863,DATOS!$G$2:$G$20000,CONFIG_METADATA!$B$4,DATOS!$I$2:$I$20000,"Conjunto"),"")))</f>
        <v/>
      </c>
      <c r="E863" t="str">
        <f>IF(A863="","",IF(A863="[FÓRMULA MANUAL]","",IFERROR(SUMPRODUCT((DATOS!$A$2:$A$20000=A863)*(DATOS!$G$2:$G$20000=CONFIG_METADATA!$B$4)*(COUNTIF(CONFIG_ASIGNATURAS!$B$7:$B$27,DATOS!$I$2:$I$20000)&gt;0)*(DATOS!$K$2:$K$20000))/SUMPRODUCT((DATOS!$A$2:$A$20000=A863)*(DATOS!$G$2:$G$20000=CONFIG_METADATA!$B$4)*(COUNTIF(CONFIG_ASIGNATURAS!$B$7:$B$27,DATOS!$I$2:$I$20000)&gt;0)*1),"")))</f>
        <v/>
      </c>
      <c r="H863" t="str">
        <f>IF(G863="","",IF(G863="[FÓRMULA MANUAL]","",IFERROR(AVERAGEIFS(DATOS!$K$2:$K$20000,DATOS!$A$2:$A$20000,G863,DATOS!$G$2:$G$20000,CONFIG_METADATA!$B$4,DATOS!$I$2:$I$20000,"Lenguaje Musical"),"")))</f>
        <v/>
      </c>
      <c r="I863" t="str">
        <f>IF(G863="","",IF(G863="[FÓRMULA MANUAL]","",IFERROR(AVERAGEIFS(DATOS!$K$2:$K$20000,DATOS!$A$2:$A$20000,G863,DATOS!$G$2:$G$20000,CONFIG_METADATA!$B$4,DATOS!$I$2:$I$20000,"Orquesta/Banda/Conjunto"),"")))</f>
        <v/>
      </c>
      <c r="J863" t="str">
        <f>IF(G863="","",IF(G863="[FÓRMULA MANUAL]","",IFERROR(AVERAGEIFS(DATOS!$K$2:$K$20000,DATOS!$A$2:$A$20000,G863,DATOS!$G$2:$G$20000,CONFIG_METADATA!$B$4,DATOS!$I$2:$I$20000,"Conjunto"),"")))</f>
        <v/>
      </c>
      <c r="K863" t="str">
        <f>IF(G863="","",IF(G863="[FÓRMULA MANUAL]","",IFERROR(SUMPRODUCT((DATOS!$A$2:$A$20000=G863)*(DATOS!$G$2:$G$20000=CONFIG_METADATA!$B$4)*(COUNTIF(CONFIG_ASIGNATURAS!$B$7:$B$27,DATOS!$I$2:$I$20000)&gt;0)*(DATOS!$K$2:$K$20000))/SUMPRODUCT((DATOS!$A$2:$A$20000=G863)*(DATOS!$G$2:$G$20000=CONFIG_METADATA!$B$4)*(COUNTIF(CONFIG_ASIGNATURAS!$B$7:$B$27,DATOS!$I$2:$I$20000)&gt;0)*1),"")))</f>
        <v/>
      </c>
      <c r="N863" t="str">
        <f>IF(M863="","",IF(M863="[FÓRMULA MANUAL]","",IFERROR(AVERAGEIFS(DATOS!$K$2:$K$20000,DATOS!$A$2:$A$20000,M863,DATOS!$G$2:$G$20000,CONFIG_METADATA!$B$4,DATOS!$I$2:$I$20000,"Armonía"),"")))</f>
        <v/>
      </c>
      <c r="O863" t="str">
        <f>IF(M863="","",IF(M863="[FÓRMULA MANUAL]","",IFERROR(AVERAGEIFS(DATOS!$K$2:$K$20000,DATOS!$A$2:$A$20000,M863,DATOS!$G$2:$G$20000,CONFIG_METADATA!$B$4,DATOS!$I$2:$I$20000,"Orquesta/Banda/Conjunto"),"")))</f>
        <v/>
      </c>
      <c r="P863" t="str">
        <f>IF(M863="","",IF(M863="[FÓRMULA MANUAL]","",IFERROR(AVERAGEIFS(DATOS!$K$2:$K$20000,DATOS!$A$2:$A$20000,M863,DATOS!$G$2:$G$20000,CONFIG_METADATA!$B$4,DATOS!$I$2:$I$20000,"Música de Cámara"),"")))</f>
        <v/>
      </c>
      <c r="Q863" t="str">
        <f>IF(M863="","",IF(M863="[FÓRMULA MANUAL]","",IFERROR(SUMPRODUCT((DATOS!$A$2:$A$20000=M863)*(DATOS!$G$2:$G$20000=CONFIG_METADATA!$B$4)*(COUNTIF(CONFIG_ASIGNATURAS!$B$7:$B$27,DATOS!$I$2:$I$20000)&gt;0)*(DATOS!$K$2:$K$20000))/SUMPRODUCT((DATOS!$A$2:$A$20000=M863)*(DATOS!$G$2:$G$20000=CONFIG_METADATA!$B$4)*(COUNTIF(CONFIG_ASIGNATURAS!$B$7:$B$27,DATOS!$I$2:$I$20000)&gt;0)*1),"")))</f>
        <v/>
      </c>
      <c r="T863" t="str">
        <f>IF(S863="","",IF(S863="[FÓRMULA MANUAL]","",IFERROR(AVERAGEIFS(DATOS!$K$2:$K$20000,DATOS!$A$2:$A$20000,S863,DATOS!$G$2:$G$20000,CONFIG_METADATA!$B$4,DATOS!$I$2:$I$20000,"Armonía"),"")))</f>
        <v/>
      </c>
      <c r="U863" t="str">
        <f>IF(S863="","",IF(S863="[FÓRMULA MANUAL]","",IFERROR(AVERAGEIFS(DATOS!$K$2:$K$20000,DATOS!$A$2:$A$20000,S863,DATOS!$G$2:$G$20000,CONFIG_METADATA!$B$4,DATOS!$I$2:$I$20000,"Orquesta/Banda/Conjunto"),"")))</f>
        <v/>
      </c>
      <c r="V863" t="str">
        <f>IF(S863="","",IF(S863="[FÓRMULA MANUAL]","",IFERROR(AVERAGEIFS(DATOS!$K$2:$K$20000,DATOS!$A$2:$A$20000,S863,DATOS!$G$2:$G$20000,CONFIG_METADATA!$B$4,DATOS!$I$2:$I$20000,"Música de Cámara"),"")))</f>
        <v/>
      </c>
      <c r="W863" t="str">
        <f>IF(S863="","",IF(S863="[FÓRMULA MANUAL]","",IFERROR(SUMPRODUCT((DATOS!$A$2:$A$20000=S863)*(DATOS!$G$2:$G$20000=CONFIG_METADATA!$B$4)*(COUNTIF(CONFIG_ASIGNATURAS!$B$7:$B$27,DATOS!$I$2:$I$20000)&gt;0)*(DATOS!$K$2:$K$20000))/SUMPRODUCT((DATOS!$A$2:$A$20000=S863)*(DATOS!$G$2:$G$20000=CONFIG_METADATA!$B$4)*(COUNTIF(CONFIG_ASIGNATURAS!$B$7:$B$27,DATOS!$I$2:$I$20000)&gt;0)*1),"")))</f>
        <v/>
      </c>
      <c r="Z863" t="str">
        <f>IF(Y863="","",IF(Y863="[FÓRMULA MANUAL]","",IFERROR(AVERAGEIFS(DATOS!$K$2:$K$20000,DATOS!$A$2:$A$20000,Y863,DATOS!$G$2:$G$20000,CONFIG_METADATA!$B$4,DATOS!$I$2:$I$20000,"Análisis"),"")))</f>
        <v/>
      </c>
      <c r="AA863" t="str">
        <f>IF(Y863="","",IF(Y863="[FÓRMULA MANUAL]","",IFERROR(AVERAGEIFS(DATOS!$K$2:$K$20000,DATOS!$A$2:$A$20000,Y863,DATOS!$G$2:$G$20000,CONFIG_METADATA!$B$4,DATOS!$I$2:$I$20000,"Orquesta/Banda/Conjunto"),"")))</f>
        <v/>
      </c>
      <c r="AB863" t="str">
        <f>IF(Y863="","",IF(Y863="[FÓRMULA MANUAL]","",IFERROR(AVERAGEIFS(DATOS!$K$2:$K$20000,DATOS!$A$2:$A$20000,Y863,DATOS!$G$2:$G$20000,CONFIG_METADATA!$B$4,DATOS!$I$2:$I$20000,"Música de Cámara"),"")))</f>
        <v/>
      </c>
      <c r="AC863" t="str">
        <f>IF(Y863="","",IF(Y863="[FÓRMULA MANUAL]","",IFERROR(SUMPRODUCT((DATOS!$A$2:$A$20000=Y863)*(DATOS!$G$2:$G$20000=CONFIG_METADATA!$B$4)*(COUNTIF(CONFIG_ASIGNATURAS!$B$7:$B$27,DATOS!$I$2:$I$20000)&gt;0)*(DATOS!$K$2:$K$20000))/SUMPRODUCT((DATOS!$A$2:$A$20000=Y863)*(DATOS!$G$2:$G$20000=CONFIG_METADATA!$B$4)*(COUNTIF(CONFIG_ASIGNATURAS!$B$7:$B$27,DATOS!$I$2:$I$20000)&gt;0)*1),"")))</f>
        <v/>
      </c>
      <c r="AF863" t="str">
        <f>IF(AE863="","",IF(AE863="[FÓRMULA MANUAL]","",IFERROR(AVERAGEIFS(DATOS!$K$2:$K$20000,DATOS!$A$2:$A$20000,AE863,DATOS!$G$2:$G$20000,CONFIG_METADATA!$B$4,DATOS!$I$2:$I$20000,"Análisis"),"")))</f>
        <v/>
      </c>
      <c r="AG863" t="str">
        <f>IF(AE863="","",IF(AE863="[FÓRMULA MANUAL]","",IFERROR(AVERAGEIFS(DATOS!$K$2:$K$20000,DATOS!$A$2:$A$20000,AE863,DATOS!$G$2:$G$20000,CONFIG_METADATA!$B$4,DATOS!$I$2:$I$20000,"Orquesta/Banda/Conjunto"),"")))</f>
        <v/>
      </c>
      <c r="AH863" t="str">
        <f>IF(AE863="","",IF(AE863="[FÓRMULA MANUAL]","",IFERROR(AVERAGEIFS(DATOS!$K$2:$K$20000,DATOS!$A$2:$A$20000,AE863,DATOS!$G$2:$G$20000,CONFIG_METADATA!$B$4,DATOS!$I$2:$I$20000,"Música de Cámara"),"")))</f>
        <v/>
      </c>
      <c r="AI863" t="str">
        <f>IF(AE863="","",IF(AE863="[FÓRMULA MANUAL]","",IFERROR(SUMPRODUCT((DATOS!$A$2:$A$20000=AE863)*(DATOS!$G$2:$G$20000=CONFIG_METADATA!$B$4)*(COUNTIF(CONFIG_ASIGNATURAS!$B$7:$B$27,DATOS!$I$2:$I$20000)&gt;0)*(DATOS!$K$2:$K$20000))/SUMPRODUCT((DATOS!$A$2:$A$20000=AE863)*(DATOS!$G$2:$G$20000=CONFIG_METADATA!$B$4)*(COUNTIF(CONFIG_ASIGNATURAS!$B$7:$B$27,DATOS!$I$2:$I$20000)&gt;0)*1),"")))</f>
        <v/>
      </c>
    </row>
    <row r="864" spans="2:35" x14ac:dyDescent="0.2">
      <c r="B864" t="str">
        <f>IF(A864="","",IF(A864="[FÓRMULA MANUAL]","",IFERROR(AVERAGEIFS(DATOS!$K$2:$K$20000,DATOS!$A$2:$A$20000,A864,DATOS!$G$2:$G$20000,CONFIG_METADATA!$B$4,DATOS!$I$2:$I$20000,"Lenguaje Musical"),"")))</f>
        <v/>
      </c>
      <c r="C864" t="str">
        <f>IF(A864="","",IF(A864="[FÓRMULA MANUAL]","",IFERROR(AVERAGEIFS(DATOS!$K$2:$K$20000,DATOS!$A$2:$A$20000,A864,DATOS!$G$2:$G$20000,CONFIG_METADATA!$B$4,DATOS!$I$2:$I$20000,"Orquesta/Banda/Conjunto"),"")))</f>
        <v/>
      </c>
      <c r="D864" t="str">
        <f>IF(A864="","",IF(A864="[FÓRMULA MANUAL]","",IFERROR(AVERAGEIFS(DATOS!$K$2:$K$20000,DATOS!$A$2:$A$20000,A864,DATOS!$G$2:$G$20000,CONFIG_METADATA!$B$4,DATOS!$I$2:$I$20000,"Conjunto"),"")))</f>
        <v/>
      </c>
      <c r="E864" t="str">
        <f>IF(A864="","",IF(A864="[FÓRMULA MANUAL]","",IFERROR(SUMPRODUCT((DATOS!$A$2:$A$20000=A864)*(DATOS!$G$2:$G$20000=CONFIG_METADATA!$B$4)*(COUNTIF(CONFIG_ASIGNATURAS!$B$7:$B$27,DATOS!$I$2:$I$20000)&gt;0)*(DATOS!$K$2:$K$20000))/SUMPRODUCT((DATOS!$A$2:$A$20000=A864)*(DATOS!$G$2:$G$20000=CONFIG_METADATA!$B$4)*(COUNTIF(CONFIG_ASIGNATURAS!$B$7:$B$27,DATOS!$I$2:$I$20000)&gt;0)*1),"")))</f>
        <v/>
      </c>
      <c r="H864" t="str">
        <f>IF(G864="","",IF(G864="[FÓRMULA MANUAL]","",IFERROR(AVERAGEIFS(DATOS!$K$2:$K$20000,DATOS!$A$2:$A$20000,G864,DATOS!$G$2:$G$20000,CONFIG_METADATA!$B$4,DATOS!$I$2:$I$20000,"Lenguaje Musical"),"")))</f>
        <v/>
      </c>
      <c r="I864" t="str">
        <f>IF(G864="","",IF(G864="[FÓRMULA MANUAL]","",IFERROR(AVERAGEIFS(DATOS!$K$2:$K$20000,DATOS!$A$2:$A$20000,G864,DATOS!$G$2:$G$20000,CONFIG_METADATA!$B$4,DATOS!$I$2:$I$20000,"Orquesta/Banda/Conjunto"),"")))</f>
        <v/>
      </c>
      <c r="J864" t="str">
        <f>IF(G864="","",IF(G864="[FÓRMULA MANUAL]","",IFERROR(AVERAGEIFS(DATOS!$K$2:$K$20000,DATOS!$A$2:$A$20000,G864,DATOS!$G$2:$G$20000,CONFIG_METADATA!$B$4,DATOS!$I$2:$I$20000,"Conjunto"),"")))</f>
        <v/>
      </c>
      <c r="K864" t="str">
        <f>IF(G864="","",IF(G864="[FÓRMULA MANUAL]","",IFERROR(SUMPRODUCT((DATOS!$A$2:$A$20000=G864)*(DATOS!$G$2:$G$20000=CONFIG_METADATA!$B$4)*(COUNTIF(CONFIG_ASIGNATURAS!$B$7:$B$27,DATOS!$I$2:$I$20000)&gt;0)*(DATOS!$K$2:$K$20000))/SUMPRODUCT((DATOS!$A$2:$A$20000=G864)*(DATOS!$G$2:$G$20000=CONFIG_METADATA!$B$4)*(COUNTIF(CONFIG_ASIGNATURAS!$B$7:$B$27,DATOS!$I$2:$I$20000)&gt;0)*1),"")))</f>
        <v/>
      </c>
      <c r="N864" t="str">
        <f>IF(M864="","",IF(M864="[FÓRMULA MANUAL]","",IFERROR(AVERAGEIFS(DATOS!$K$2:$K$20000,DATOS!$A$2:$A$20000,M864,DATOS!$G$2:$G$20000,CONFIG_METADATA!$B$4,DATOS!$I$2:$I$20000,"Armonía"),"")))</f>
        <v/>
      </c>
      <c r="O864" t="str">
        <f>IF(M864="","",IF(M864="[FÓRMULA MANUAL]","",IFERROR(AVERAGEIFS(DATOS!$K$2:$K$20000,DATOS!$A$2:$A$20000,M864,DATOS!$G$2:$G$20000,CONFIG_METADATA!$B$4,DATOS!$I$2:$I$20000,"Orquesta/Banda/Conjunto"),"")))</f>
        <v/>
      </c>
      <c r="P864" t="str">
        <f>IF(M864="","",IF(M864="[FÓRMULA MANUAL]","",IFERROR(AVERAGEIFS(DATOS!$K$2:$K$20000,DATOS!$A$2:$A$20000,M864,DATOS!$G$2:$G$20000,CONFIG_METADATA!$B$4,DATOS!$I$2:$I$20000,"Música de Cámara"),"")))</f>
        <v/>
      </c>
      <c r="Q864" t="str">
        <f>IF(M864="","",IF(M864="[FÓRMULA MANUAL]","",IFERROR(SUMPRODUCT((DATOS!$A$2:$A$20000=M864)*(DATOS!$G$2:$G$20000=CONFIG_METADATA!$B$4)*(COUNTIF(CONFIG_ASIGNATURAS!$B$7:$B$27,DATOS!$I$2:$I$20000)&gt;0)*(DATOS!$K$2:$K$20000))/SUMPRODUCT((DATOS!$A$2:$A$20000=M864)*(DATOS!$G$2:$G$20000=CONFIG_METADATA!$B$4)*(COUNTIF(CONFIG_ASIGNATURAS!$B$7:$B$27,DATOS!$I$2:$I$20000)&gt;0)*1),"")))</f>
        <v/>
      </c>
      <c r="T864" t="str">
        <f>IF(S864="","",IF(S864="[FÓRMULA MANUAL]","",IFERROR(AVERAGEIFS(DATOS!$K$2:$K$20000,DATOS!$A$2:$A$20000,S864,DATOS!$G$2:$G$20000,CONFIG_METADATA!$B$4,DATOS!$I$2:$I$20000,"Armonía"),"")))</f>
        <v/>
      </c>
      <c r="U864" t="str">
        <f>IF(S864="","",IF(S864="[FÓRMULA MANUAL]","",IFERROR(AVERAGEIFS(DATOS!$K$2:$K$20000,DATOS!$A$2:$A$20000,S864,DATOS!$G$2:$G$20000,CONFIG_METADATA!$B$4,DATOS!$I$2:$I$20000,"Orquesta/Banda/Conjunto"),"")))</f>
        <v/>
      </c>
      <c r="V864" t="str">
        <f>IF(S864="","",IF(S864="[FÓRMULA MANUAL]","",IFERROR(AVERAGEIFS(DATOS!$K$2:$K$20000,DATOS!$A$2:$A$20000,S864,DATOS!$G$2:$G$20000,CONFIG_METADATA!$B$4,DATOS!$I$2:$I$20000,"Música de Cámara"),"")))</f>
        <v/>
      </c>
      <c r="W864" t="str">
        <f>IF(S864="","",IF(S864="[FÓRMULA MANUAL]","",IFERROR(SUMPRODUCT((DATOS!$A$2:$A$20000=S864)*(DATOS!$G$2:$G$20000=CONFIG_METADATA!$B$4)*(COUNTIF(CONFIG_ASIGNATURAS!$B$7:$B$27,DATOS!$I$2:$I$20000)&gt;0)*(DATOS!$K$2:$K$20000))/SUMPRODUCT((DATOS!$A$2:$A$20000=S864)*(DATOS!$G$2:$G$20000=CONFIG_METADATA!$B$4)*(COUNTIF(CONFIG_ASIGNATURAS!$B$7:$B$27,DATOS!$I$2:$I$20000)&gt;0)*1),"")))</f>
        <v/>
      </c>
      <c r="Z864" t="str">
        <f>IF(Y864="","",IF(Y864="[FÓRMULA MANUAL]","",IFERROR(AVERAGEIFS(DATOS!$K$2:$K$20000,DATOS!$A$2:$A$20000,Y864,DATOS!$G$2:$G$20000,CONFIG_METADATA!$B$4,DATOS!$I$2:$I$20000,"Análisis"),"")))</f>
        <v/>
      </c>
      <c r="AA864" t="str">
        <f>IF(Y864="","",IF(Y864="[FÓRMULA MANUAL]","",IFERROR(AVERAGEIFS(DATOS!$K$2:$K$20000,DATOS!$A$2:$A$20000,Y864,DATOS!$G$2:$G$20000,CONFIG_METADATA!$B$4,DATOS!$I$2:$I$20000,"Orquesta/Banda/Conjunto"),"")))</f>
        <v/>
      </c>
      <c r="AB864" t="str">
        <f>IF(Y864="","",IF(Y864="[FÓRMULA MANUAL]","",IFERROR(AVERAGEIFS(DATOS!$K$2:$K$20000,DATOS!$A$2:$A$20000,Y864,DATOS!$G$2:$G$20000,CONFIG_METADATA!$B$4,DATOS!$I$2:$I$20000,"Música de Cámara"),"")))</f>
        <v/>
      </c>
      <c r="AC864" t="str">
        <f>IF(Y864="","",IF(Y864="[FÓRMULA MANUAL]","",IFERROR(SUMPRODUCT((DATOS!$A$2:$A$20000=Y864)*(DATOS!$G$2:$G$20000=CONFIG_METADATA!$B$4)*(COUNTIF(CONFIG_ASIGNATURAS!$B$7:$B$27,DATOS!$I$2:$I$20000)&gt;0)*(DATOS!$K$2:$K$20000))/SUMPRODUCT((DATOS!$A$2:$A$20000=Y864)*(DATOS!$G$2:$G$20000=CONFIG_METADATA!$B$4)*(COUNTIF(CONFIG_ASIGNATURAS!$B$7:$B$27,DATOS!$I$2:$I$20000)&gt;0)*1),"")))</f>
        <v/>
      </c>
      <c r="AF864" t="str">
        <f>IF(AE864="","",IF(AE864="[FÓRMULA MANUAL]","",IFERROR(AVERAGEIFS(DATOS!$K$2:$K$20000,DATOS!$A$2:$A$20000,AE864,DATOS!$G$2:$G$20000,CONFIG_METADATA!$B$4,DATOS!$I$2:$I$20000,"Análisis"),"")))</f>
        <v/>
      </c>
      <c r="AG864" t="str">
        <f>IF(AE864="","",IF(AE864="[FÓRMULA MANUAL]","",IFERROR(AVERAGEIFS(DATOS!$K$2:$K$20000,DATOS!$A$2:$A$20000,AE864,DATOS!$G$2:$G$20000,CONFIG_METADATA!$B$4,DATOS!$I$2:$I$20000,"Orquesta/Banda/Conjunto"),"")))</f>
        <v/>
      </c>
      <c r="AH864" t="str">
        <f>IF(AE864="","",IF(AE864="[FÓRMULA MANUAL]","",IFERROR(AVERAGEIFS(DATOS!$K$2:$K$20000,DATOS!$A$2:$A$20000,AE864,DATOS!$G$2:$G$20000,CONFIG_METADATA!$B$4,DATOS!$I$2:$I$20000,"Música de Cámara"),"")))</f>
        <v/>
      </c>
      <c r="AI864" t="str">
        <f>IF(AE864="","",IF(AE864="[FÓRMULA MANUAL]","",IFERROR(SUMPRODUCT((DATOS!$A$2:$A$20000=AE864)*(DATOS!$G$2:$G$20000=CONFIG_METADATA!$B$4)*(COUNTIF(CONFIG_ASIGNATURAS!$B$7:$B$27,DATOS!$I$2:$I$20000)&gt;0)*(DATOS!$K$2:$K$20000))/SUMPRODUCT((DATOS!$A$2:$A$20000=AE864)*(DATOS!$G$2:$G$20000=CONFIG_METADATA!$B$4)*(COUNTIF(CONFIG_ASIGNATURAS!$B$7:$B$27,DATOS!$I$2:$I$20000)&gt;0)*1),"")))</f>
        <v/>
      </c>
    </row>
    <row r="865" spans="2:35" x14ac:dyDescent="0.2">
      <c r="B865" t="str">
        <f>IF(A865="","",IF(A865="[FÓRMULA MANUAL]","",IFERROR(AVERAGEIFS(DATOS!$K$2:$K$20000,DATOS!$A$2:$A$20000,A865,DATOS!$G$2:$G$20000,CONFIG_METADATA!$B$4,DATOS!$I$2:$I$20000,"Lenguaje Musical"),"")))</f>
        <v/>
      </c>
      <c r="C865" t="str">
        <f>IF(A865="","",IF(A865="[FÓRMULA MANUAL]","",IFERROR(AVERAGEIFS(DATOS!$K$2:$K$20000,DATOS!$A$2:$A$20000,A865,DATOS!$G$2:$G$20000,CONFIG_METADATA!$B$4,DATOS!$I$2:$I$20000,"Orquesta/Banda/Conjunto"),"")))</f>
        <v/>
      </c>
      <c r="D865" t="str">
        <f>IF(A865="","",IF(A865="[FÓRMULA MANUAL]","",IFERROR(AVERAGEIFS(DATOS!$K$2:$K$20000,DATOS!$A$2:$A$20000,A865,DATOS!$G$2:$G$20000,CONFIG_METADATA!$B$4,DATOS!$I$2:$I$20000,"Conjunto"),"")))</f>
        <v/>
      </c>
      <c r="E865" t="str">
        <f>IF(A865="","",IF(A865="[FÓRMULA MANUAL]","",IFERROR(SUMPRODUCT((DATOS!$A$2:$A$20000=A865)*(DATOS!$G$2:$G$20000=CONFIG_METADATA!$B$4)*(COUNTIF(CONFIG_ASIGNATURAS!$B$7:$B$27,DATOS!$I$2:$I$20000)&gt;0)*(DATOS!$K$2:$K$20000))/SUMPRODUCT((DATOS!$A$2:$A$20000=A865)*(DATOS!$G$2:$G$20000=CONFIG_METADATA!$B$4)*(COUNTIF(CONFIG_ASIGNATURAS!$B$7:$B$27,DATOS!$I$2:$I$20000)&gt;0)*1),"")))</f>
        <v/>
      </c>
      <c r="H865" t="str">
        <f>IF(G865="","",IF(G865="[FÓRMULA MANUAL]","",IFERROR(AVERAGEIFS(DATOS!$K$2:$K$20000,DATOS!$A$2:$A$20000,G865,DATOS!$G$2:$G$20000,CONFIG_METADATA!$B$4,DATOS!$I$2:$I$20000,"Lenguaje Musical"),"")))</f>
        <v/>
      </c>
      <c r="I865" t="str">
        <f>IF(G865="","",IF(G865="[FÓRMULA MANUAL]","",IFERROR(AVERAGEIFS(DATOS!$K$2:$K$20000,DATOS!$A$2:$A$20000,G865,DATOS!$G$2:$G$20000,CONFIG_METADATA!$B$4,DATOS!$I$2:$I$20000,"Orquesta/Banda/Conjunto"),"")))</f>
        <v/>
      </c>
      <c r="J865" t="str">
        <f>IF(G865="","",IF(G865="[FÓRMULA MANUAL]","",IFERROR(AVERAGEIFS(DATOS!$K$2:$K$20000,DATOS!$A$2:$A$20000,G865,DATOS!$G$2:$G$20000,CONFIG_METADATA!$B$4,DATOS!$I$2:$I$20000,"Conjunto"),"")))</f>
        <v/>
      </c>
      <c r="K865" t="str">
        <f>IF(G865="","",IF(G865="[FÓRMULA MANUAL]","",IFERROR(SUMPRODUCT((DATOS!$A$2:$A$20000=G865)*(DATOS!$G$2:$G$20000=CONFIG_METADATA!$B$4)*(COUNTIF(CONFIG_ASIGNATURAS!$B$7:$B$27,DATOS!$I$2:$I$20000)&gt;0)*(DATOS!$K$2:$K$20000))/SUMPRODUCT((DATOS!$A$2:$A$20000=G865)*(DATOS!$G$2:$G$20000=CONFIG_METADATA!$B$4)*(COUNTIF(CONFIG_ASIGNATURAS!$B$7:$B$27,DATOS!$I$2:$I$20000)&gt;0)*1),"")))</f>
        <v/>
      </c>
      <c r="N865" t="str">
        <f>IF(M865="","",IF(M865="[FÓRMULA MANUAL]","",IFERROR(AVERAGEIFS(DATOS!$K$2:$K$20000,DATOS!$A$2:$A$20000,M865,DATOS!$G$2:$G$20000,CONFIG_METADATA!$B$4,DATOS!$I$2:$I$20000,"Armonía"),"")))</f>
        <v/>
      </c>
      <c r="O865" t="str">
        <f>IF(M865="","",IF(M865="[FÓRMULA MANUAL]","",IFERROR(AVERAGEIFS(DATOS!$K$2:$K$20000,DATOS!$A$2:$A$20000,M865,DATOS!$G$2:$G$20000,CONFIG_METADATA!$B$4,DATOS!$I$2:$I$20000,"Orquesta/Banda/Conjunto"),"")))</f>
        <v/>
      </c>
      <c r="P865" t="str">
        <f>IF(M865="","",IF(M865="[FÓRMULA MANUAL]","",IFERROR(AVERAGEIFS(DATOS!$K$2:$K$20000,DATOS!$A$2:$A$20000,M865,DATOS!$G$2:$G$20000,CONFIG_METADATA!$B$4,DATOS!$I$2:$I$20000,"Música de Cámara"),"")))</f>
        <v/>
      </c>
      <c r="Q865" t="str">
        <f>IF(M865="","",IF(M865="[FÓRMULA MANUAL]","",IFERROR(SUMPRODUCT((DATOS!$A$2:$A$20000=M865)*(DATOS!$G$2:$G$20000=CONFIG_METADATA!$B$4)*(COUNTIF(CONFIG_ASIGNATURAS!$B$7:$B$27,DATOS!$I$2:$I$20000)&gt;0)*(DATOS!$K$2:$K$20000))/SUMPRODUCT((DATOS!$A$2:$A$20000=M865)*(DATOS!$G$2:$G$20000=CONFIG_METADATA!$B$4)*(COUNTIF(CONFIG_ASIGNATURAS!$B$7:$B$27,DATOS!$I$2:$I$20000)&gt;0)*1),"")))</f>
        <v/>
      </c>
      <c r="T865" t="str">
        <f>IF(S865="","",IF(S865="[FÓRMULA MANUAL]","",IFERROR(AVERAGEIFS(DATOS!$K$2:$K$20000,DATOS!$A$2:$A$20000,S865,DATOS!$G$2:$G$20000,CONFIG_METADATA!$B$4,DATOS!$I$2:$I$20000,"Armonía"),"")))</f>
        <v/>
      </c>
      <c r="U865" t="str">
        <f>IF(S865="","",IF(S865="[FÓRMULA MANUAL]","",IFERROR(AVERAGEIFS(DATOS!$K$2:$K$20000,DATOS!$A$2:$A$20000,S865,DATOS!$G$2:$G$20000,CONFIG_METADATA!$B$4,DATOS!$I$2:$I$20000,"Orquesta/Banda/Conjunto"),"")))</f>
        <v/>
      </c>
      <c r="V865" t="str">
        <f>IF(S865="","",IF(S865="[FÓRMULA MANUAL]","",IFERROR(AVERAGEIFS(DATOS!$K$2:$K$20000,DATOS!$A$2:$A$20000,S865,DATOS!$G$2:$G$20000,CONFIG_METADATA!$B$4,DATOS!$I$2:$I$20000,"Música de Cámara"),"")))</f>
        <v/>
      </c>
      <c r="W865" t="str">
        <f>IF(S865="","",IF(S865="[FÓRMULA MANUAL]","",IFERROR(SUMPRODUCT((DATOS!$A$2:$A$20000=S865)*(DATOS!$G$2:$G$20000=CONFIG_METADATA!$B$4)*(COUNTIF(CONFIG_ASIGNATURAS!$B$7:$B$27,DATOS!$I$2:$I$20000)&gt;0)*(DATOS!$K$2:$K$20000))/SUMPRODUCT((DATOS!$A$2:$A$20000=S865)*(DATOS!$G$2:$G$20000=CONFIG_METADATA!$B$4)*(COUNTIF(CONFIG_ASIGNATURAS!$B$7:$B$27,DATOS!$I$2:$I$20000)&gt;0)*1),"")))</f>
        <v/>
      </c>
      <c r="Z865" t="str">
        <f>IF(Y865="","",IF(Y865="[FÓRMULA MANUAL]","",IFERROR(AVERAGEIFS(DATOS!$K$2:$K$20000,DATOS!$A$2:$A$20000,Y865,DATOS!$G$2:$G$20000,CONFIG_METADATA!$B$4,DATOS!$I$2:$I$20000,"Análisis"),"")))</f>
        <v/>
      </c>
      <c r="AA865" t="str">
        <f>IF(Y865="","",IF(Y865="[FÓRMULA MANUAL]","",IFERROR(AVERAGEIFS(DATOS!$K$2:$K$20000,DATOS!$A$2:$A$20000,Y865,DATOS!$G$2:$G$20000,CONFIG_METADATA!$B$4,DATOS!$I$2:$I$20000,"Orquesta/Banda/Conjunto"),"")))</f>
        <v/>
      </c>
      <c r="AB865" t="str">
        <f>IF(Y865="","",IF(Y865="[FÓRMULA MANUAL]","",IFERROR(AVERAGEIFS(DATOS!$K$2:$K$20000,DATOS!$A$2:$A$20000,Y865,DATOS!$G$2:$G$20000,CONFIG_METADATA!$B$4,DATOS!$I$2:$I$20000,"Música de Cámara"),"")))</f>
        <v/>
      </c>
      <c r="AC865" t="str">
        <f>IF(Y865="","",IF(Y865="[FÓRMULA MANUAL]","",IFERROR(SUMPRODUCT((DATOS!$A$2:$A$20000=Y865)*(DATOS!$G$2:$G$20000=CONFIG_METADATA!$B$4)*(COUNTIF(CONFIG_ASIGNATURAS!$B$7:$B$27,DATOS!$I$2:$I$20000)&gt;0)*(DATOS!$K$2:$K$20000))/SUMPRODUCT((DATOS!$A$2:$A$20000=Y865)*(DATOS!$G$2:$G$20000=CONFIG_METADATA!$B$4)*(COUNTIF(CONFIG_ASIGNATURAS!$B$7:$B$27,DATOS!$I$2:$I$20000)&gt;0)*1),"")))</f>
        <v/>
      </c>
      <c r="AF865" t="str">
        <f>IF(AE865="","",IF(AE865="[FÓRMULA MANUAL]","",IFERROR(AVERAGEIFS(DATOS!$K$2:$K$20000,DATOS!$A$2:$A$20000,AE865,DATOS!$G$2:$G$20000,CONFIG_METADATA!$B$4,DATOS!$I$2:$I$20000,"Análisis"),"")))</f>
        <v/>
      </c>
      <c r="AG865" t="str">
        <f>IF(AE865="","",IF(AE865="[FÓRMULA MANUAL]","",IFERROR(AVERAGEIFS(DATOS!$K$2:$K$20000,DATOS!$A$2:$A$20000,AE865,DATOS!$G$2:$G$20000,CONFIG_METADATA!$B$4,DATOS!$I$2:$I$20000,"Orquesta/Banda/Conjunto"),"")))</f>
        <v/>
      </c>
      <c r="AH865" t="str">
        <f>IF(AE865="","",IF(AE865="[FÓRMULA MANUAL]","",IFERROR(AVERAGEIFS(DATOS!$K$2:$K$20000,DATOS!$A$2:$A$20000,AE865,DATOS!$G$2:$G$20000,CONFIG_METADATA!$B$4,DATOS!$I$2:$I$20000,"Música de Cámara"),"")))</f>
        <v/>
      </c>
      <c r="AI865" t="str">
        <f>IF(AE865="","",IF(AE865="[FÓRMULA MANUAL]","",IFERROR(SUMPRODUCT((DATOS!$A$2:$A$20000=AE865)*(DATOS!$G$2:$G$20000=CONFIG_METADATA!$B$4)*(COUNTIF(CONFIG_ASIGNATURAS!$B$7:$B$27,DATOS!$I$2:$I$20000)&gt;0)*(DATOS!$K$2:$K$20000))/SUMPRODUCT((DATOS!$A$2:$A$20000=AE865)*(DATOS!$G$2:$G$20000=CONFIG_METADATA!$B$4)*(COUNTIF(CONFIG_ASIGNATURAS!$B$7:$B$27,DATOS!$I$2:$I$20000)&gt;0)*1),"")))</f>
        <v/>
      </c>
    </row>
    <row r="866" spans="2:35" x14ac:dyDescent="0.2">
      <c r="B866" t="str">
        <f>IF(A866="","",IF(A866="[FÓRMULA MANUAL]","",IFERROR(AVERAGEIFS(DATOS!$K$2:$K$20000,DATOS!$A$2:$A$20000,A866,DATOS!$G$2:$G$20000,CONFIG_METADATA!$B$4,DATOS!$I$2:$I$20000,"Lenguaje Musical"),"")))</f>
        <v/>
      </c>
      <c r="C866" t="str">
        <f>IF(A866="","",IF(A866="[FÓRMULA MANUAL]","",IFERROR(AVERAGEIFS(DATOS!$K$2:$K$20000,DATOS!$A$2:$A$20000,A866,DATOS!$G$2:$G$20000,CONFIG_METADATA!$B$4,DATOS!$I$2:$I$20000,"Orquesta/Banda/Conjunto"),"")))</f>
        <v/>
      </c>
      <c r="D866" t="str">
        <f>IF(A866="","",IF(A866="[FÓRMULA MANUAL]","",IFERROR(AVERAGEIFS(DATOS!$K$2:$K$20000,DATOS!$A$2:$A$20000,A866,DATOS!$G$2:$G$20000,CONFIG_METADATA!$B$4,DATOS!$I$2:$I$20000,"Conjunto"),"")))</f>
        <v/>
      </c>
      <c r="E866" t="str">
        <f>IF(A866="","",IF(A866="[FÓRMULA MANUAL]","",IFERROR(SUMPRODUCT((DATOS!$A$2:$A$20000=A866)*(DATOS!$G$2:$G$20000=CONFIG_METADATA!$B$4)*(COUNTIF(CONFIG_ASIGNATURAS!$B$7:$B$27,DATOS!$I$2:$I$20000)&gt;0)*(DATOS!$K$2:$K$20000))/SUMPRODUCT((DATOS!$A$2:$A$20000=A866)*(DATOS!$G$2:$G$20000=CONFIG_METADATA!$B$4)*(COUNTIF(CONFIG_ASIGNATURAS!$B$7:$B$27,DATOS!$I$2:$I$20000)&gt;0)*1),"")))</f>
        <v/>
      </c>
      <c r="H866" t="str">
        <f>IF(G866="","",IF(G866="[FÓRMULA MANUAL]","",IFERROR(AVERAGEIFS(DATOS!$K$2:$K$20000,DATOS!$A$2:$A$20000,G866,DATOS!$G$2:$G$20000,CONFIG_METADATA!$B$4,DATOS!$I$2:$I$20000,"Lenguaje Musical"),"")))</f>
        <v/>
      </c>
      <c r="I866" t="str">
        <f>IF(G866="","",IF(G866="[FÓRMULA MANUAL]","",IFERROR(AVERAGEIFS(DATOS!$K$2:$K$20000,DATOS!$A$2:$A$20000,G866,DATOS!$G$2:$G$20000,CONFIG_METADATA!$B$4,DATOS!$I$2:$I$20000,"Orquesta/Banda/Conjunto"),"")))</f>
        <v/>
      </c>
      <c r="J866" t="str">
        <f>IF(G866="","",IF(G866="[FÓRMULA MANUAL]","",IFERROR(AVERAGEIFS(DATOS!$K$2:$K$20000,DATOS!$A$2:$A$20000,G866,DATOS!$G$2:$G$20000,CONFIG_METADATA!$B$4,DATOS!$I$2:$I$20000,"Conjunto"),"")))</f>
        <v/>
      </c>
      <c r="K866" t="str">
        <f>IF(G866="","",IF(G866="[FÓRMULA MANUAL]","",IFERROR(SUMPRODUCT((DATOS!$A$2:$A$20000=G866)*(DATOS!$G$2:$G$20000=CONFIG_METADATA!$B$4)*(COUNTIF(CONFIG_ASIGNATURAS!$B$7:$B$27,DATOS!$I$2:$I$20000)&gt;0)*(DATOS!$K$2:$K$20000))/SUMPRODUCT((DATOS!$A$2:$A$20000=G866)*(DATOS!$G$2:$G$20000=CONFIG_METADATA!$B$4)*(COUNTIF(CONFIG_ASIGNATURAS!$B$7:$B$27,DATOS!$I$2:$I$20000)&gt;0)*1),"")))</f>
        <v/>
      </c>
      <c r="N866" t="str">
        <f>IF(M866="","",IF(M866="[FÓRMULA MANUAL]","",IFERROR(AVERAGEIFS(DATOS!$K$2:$K$20000,DATOS!$A$2:$A$20000,M866,DATOS!$G$2:$G$20000,CONFIG_METADATA!$B$4,DATOS!$I$2:$I$20000,"Armonía"),"")))</f>
        <v/>
      </c>
      <c r="O866" t="str">
        <f>IF(M866="","",IF(M866="[FÓRMULA MANUAL]","",IFERROR(AVERAGEIFS(DATOS!$K$2:$K$20000,DATOS!$A$2:$A$20000,M866,DATOS!$G$2:$G$20000,CONFIG_METADATA!$B$4,DATOS!$I$2:$I$20000,"Orquesta/Banda/Conjunto"),"")))</f>
        <v/>
      </c>
      <c r="P866" t="str">
        <f>IF(M866="","",IF(M866="[FÓRMULA MANUAL]","",IFERROR(AVERAGEIFS(DATOS!$K$2:$K$20000,DATOS!$A$2:$A$20000,M866,DATOS!$G$2:$G$20000,CONFIG_METADATA!$B$4,DATOS!$I$2:$I$20000,"Música de Cámara"),"")))</f>
        <v/>
      </c>
      <c r="Q866" t="str">
        <f>IF(M866="","",IF(M866="[FÓRMULA MANUAL]","",IFERROR(SUMPRODUCT((DATOS!$A$2:$A$20000=M866)*(DATOS!$G$2:$G$20000=CONFIG_METADATA!$B$4)*(COUNTIF(CONFIG_ASIGNATURAS!$B$7:$B$27,DATOS!$I$2:$I$20000)&gt;0)*(DATOS!$K$2:$K$20000))/SUMPRODUCT((DATOS!$A$2:$A$20000=M866)*(DATOS!$G$2:$G$20000=CONFIG_METADATA!$B$4)*(COUNTIF(CONFIG_ASIGNATURAS!$B$7:$B$27,DATOS!$I$2:$I$20000)&gt;0)*1),"")))</f>
        <v/>
      </c>
      <c r="T866" t="str">
        <f>IF(S866="","",IF(S866="[FÓRMULA MANUAL]","",IFERROR(AVERAGEIFS(DATOS!$K$2:$K$20000,DATOS!$A$2:$A$20000,S866,DATOS!$G$2:$G$20000,CONFIG_METADATA!$B$4,DATOS!$I$2:$I$20000,"Armonía"),"")))</f>
        <v/>
      </c>
      <c r="U866" t="str">
        <f>IF(S866="","",IF(S866="[FÓRMULA MANUAL]","",IFERROR(AVERAGEIFS(DATOS!$K$2:$K$20000,DATOS!$A$2:$A$20000,S866,DATOS!$G$2:$G$20000,CONFIG_METADATA!$B$4,DATOS!$I$2:$I$20000,"Orquesta/Banda/Conjunto"),"")))</f>
        <v/>
      </c>
      <c r="V866" t="str">
        <f>IF(S866="","",IF(S866="[FÓRMULA MANUAL]","",IFERROR(AVERAGEIFS(DATOS!$K$2:$K$20000,DATOS!$A$2:$A$20000,S866,DATOS!$G$2:$G$20000,CONFIG_METADATA!$B$4,DATOS!$I$2:$I$20000,"Música de Cámara"),"")))</f>
        <v/>
      </c>
      <c r="W866" t="str">
        <f>IF(S866="","",IF(S866="[FÓRMULA MANUAL]","",IFERROR(SUMPRODUCT((DATOS!$A$2:$A$20000=S866)*(DATOS!$G$2:$G$20000=CONFIG_METADATA!$B$4)*(COUNTIF(CONFIG_ASIGNATURAS!$B$7:$B$27,DATOS!$I$2:$I$20000)&gt;0)*(DATOS!$K$2:$K$20000))/SUMPRODUCT((DATOS!$A$2:$A$20000=S866)*(DATOS!$G$2:$G$20000=CONFIG_METADATA!$B$4)*(COUNTIF(CONFIG_ASIGNATURAS!$B$7:$B$27,DATOS!$I$2:$I$20000)&gt;0)*1),"")))</f>
        <v/>
      </c>
      <c r="Z866" t="str">
        <f>IF(Y866="","",IF(Y866="[FÓRMULA MANUAL]","",IFERROR(AVERAGEIFS(DATOS!$K$2:$K$20000,DATOS!$A$2:$A$20000,Y866,DATOS!$G$2:$G$20000,CONFIG_METADATA!$B$4,DATOS!$I$2:$I$20000,"Análisis"),"")))</f>
        <v/>
      </c>
      <c r="AA866" t="str">
        <f>IF(Y866="","",IF(Y866="[FÓRMULA MANUAL]","",IFERROR(AVERAGEIFS(DATOS!$K$2:$K$20000,DATOS!$A$2:$A$20000,Y866,DATOS!$G$2:$G$20000,CONFIG_METADATA!$B$4,DATOS!$I$2:$I$20000,"Orquesta/Banda/Conjunto"),"")))</f>
        <v/>
      </c>
      <c r="AB866" t="str">
        <f>IF(Y866="","",IF(Y866="[FÓRMULA MANUAL]","",IFERROR(AVERAGEIFS(DATOS!$K$2:$K$20000,DATOS!$A$2:$A$20000,Y866,DATOS!$G$2:$G$20000,CONFIG_METADATA!$B$4,DATOS!$I$2:$I$20000,"Música de Cámara"),"")))</f>
        <v/>
      </c>
      <c r="AC866" t="str">
        <f>IF(Y866="","",IF(Y866="[FÓRMULA MANUAL]","",IFERROR(SUMPRODUCT((DATOS!$A$2:$A$20000=Y866)*(DATOS!$G$2:$G$20000=CONFIG_METADATA!$B$4)*(COUNTIF(CONFIG_ASIGNATURAS!$B$7:$B$27,DATOS!$I$2:$I$20000)&gt;0)*(DATOS!$K$2:$K$20000))/SUMPRODUCT((DATOS!$A$2:$A$20000=Y866)*(DATOS!$G$2:$G$20000=CONFIG_METADATA!$B$4)*(COUNTIF(CONFIG_ASIGNATURAS!$B$7:$B$27,DATOS!$I$2:$I$20000)&gt;0)*1),"")))</f>
        <v/>
      </c>
      <c r="AF866" t="str">
        <f>IF(AE866="","",IF(AE866="[FÓRMULA MANUAL]","",IFERROR(AVERAGEIFS(DATOS!$K$2:$K$20000,DATOS!$A$2:$A$20000,AE866,DATOS!$G$2:$G$20000,CONFIG_METADATA!$B$4,DATOS!$I$2:$I$20000,"Análisis"),"")))</f>
        <v/>
      </c>
      <c r="AG866" t="str">
        <f>IF(AE866="","",IF(AE866="[FÓRMULA MANUAL]","",IFERROR(AVERAGEIFS(DATOS!$K$2:$K$20000,DATOS!$A$2:$A$20000,AE866,DATOS!$G$2:$G$20000,CONFIG_METADATA!$B$4,DATOS!$I$2:$I$20000,"Orquesta/Banda/Conjunto"),"")))</f>
        <v/>
      </c>
      <c r="AH866" t="str">
        <f>IF(AE866="","",IF(AE866="[FÓRMULA MANUAL]","",IFERROR(AVERAGEIFS(DATOS!$K$2:$K$20000,DATOS!$A$2:$A$20000,AE866,DATOS!$G$2:$G$20000,CONFIG_METADATA!$B$4,DATOS!$I$2:$I$20000,"Música de Cámara"),"")))</f>
        <v/>
      </c>
      <c r="AI866" t="str">
        <f>IF(AE866="","",IF(AE866="[FÓRMULA MANUAL]","",IFERROR(SUMPRODUCT((DATOS!$A$2:$A$20000=AE866)*(DATOS!$G$2:$G$20000=CONFIG_METADATA!$B$4)*(COUNTIF(CONFIG_ASIGNATURAS!$B$7:$B$27,DATOS!$I$2:$I$20000)&gt;0)*(DATOS!$K$2:$K$20000))/SUMPRODUCT((DATOS!$A$2:$A$20000=AE866)*(DATOS!$G$2:$G$20000=CONFIG_METADATA!$B$4)*(COUNTIF(CONFIG_ASIGNATURAS!$B$7:$B$27,DATOS!$I$2:$I$20000)&gt;0)*1),"")))</f>
        <v/>
      </c>
    </row>
    <row r="867" spans="2:35" x14ac:dyDescent="0.2">
      <c r="B867" t="str">
        <f>IF(A867="","",IF(A867="[FÓRMULA MANUAL]","",IFERROR(AVERAGEIFS(DATOS!$K$2:$K$20000,DATOS!$A$2:$A$20000,A867,DATOS!$G$2:$G$20000,CONFIG_METADATA!$B$4,DATOS!$I$2:$I$20000,"Lenguaje Musical"),"")))</f>
        <v/>
      </c>
      <c r="C867" t="str">
        <f>IF(A867="","",IF(A867="[FÓRMULA MANUAL]","",IFERROR(AVERAGEIFS(DATOS!$K$2:$K$20000,DATOS!$A$2:$A$20000,A867,DATOS!$G$2:$G$20000,CONFIG_METADATA!$B$4,DATOS!$I$2:$I$20000,"Orquesta/Banda/Conjunto"),"")))</f>
        <v/>
      </c>
      <c r="D867" t="str">
        <f>IF(A867="","",IF(A867="[FÓRMULA MANUAL]","",IFERROR(AVERAGEIFS(DATOS!$K$2:$K$20000,DATOS!$A$2:$A$20000,A867,DATOS!$G$2:$G$20000,CONFIG_METADATA!$B$4,DATOS!$I$2:$I$20000,"Conjunto"),"")))</f>
        <v/>
      </c>
      <c r="E867" t="str">
        <f>IF(A867="","",IF(A867="[FÓRMULA MANUAL]","",IFERROR(SUMPRODUCT((DATOS!$A$2:$A$20000=A867)*(DATOS!$G$2:$G$20000=CONFIG_METADATA!$B$4)*(COUNTIF(CONFIG_ASIGNATURAS!$B$7:$B$27,DATOS!$I$2:$I$20000)&gt;0)*(DATOS!$K$2:$K$20000))/SUMPRODUCT((DATOS!$A$2:$A$20000=A867)*(DATOS!$G$2:$G$20000=CONFIG_METADATA!$B$4)*(COUNTIF(CONFIG_ASIGNATURAS!$B$7:$B$27,DATOS!$I$2:$I$20000)&gt;0)*1),"")))</f>
        <v/>
      </c>
      <c r="H867" t="str">
        <f>IF(G867="","",IF(G867="[FÓRMULA MANUAL]","",IFERROR(AVERAGEIFS(DATOS!$K$2:$K$20000,DATOS!$A$2:$A$20000,G867,DATOS!$G$2:$G$20000,CONFIG_METADATA!$B$4,DATOS!$I$2:$I$20000,"Lenguaje Musical"),"")))</f>
        <v/>
      </c>
      <c r="I867" t="str">
        <f>IF(G867="","",IF(G867="[FÓRMULA MANUAL]","",IFERROR(AVERAGEIFS(DATOS!$K$2:$K$20000,DATOS!$A$2:$A$20000,G867,DATOS!$G$2:$G$20000,CONFIG_METADATA!$B$4,DATOS!$I$2:$I$20000,"Orquesta/Banda/Conjunto"),"")))</f>
        <v/>
      </c>
      <c r="J867" t="str">
        <f>IF(G867="","",IF(G867="[FÓRMULA MANUAL]","",IFERROR(AVERAGEIFS(DATOS!$K$2:$K$20000,DATOS!$A$2:$A$20000,G867,DATOS!$G$2:$G$20000,CONFIG_METADATA!$B$4,DATOS!$I$2:$I$20000,"Conjunto"),"")))</f>
        <v/>
      </c>
      <c r="K867" t="str">
        <f>IF(G867="","",IF(G867="[FÓRMULA MANUAL]","",IFERROR(SUMPRODUCT((DATOS!$A$2:$A$20000=G867)*(DATOS!$G$2:$G$20000=CONFIG_METADATA!$B$4)*(COUNTIF(CONFIG_ASIGNATURAS!$B$7:$B$27,DATOS!$I$2:$I$20000)&gt;0)*(DATOS!$K$2:$K$20000))/SUMPRODUCT((DATOS!$A$2:$A$20000=G867)*(DATOS!$G$2:$G$20000=CONFIG_METADATA!$B$4)*(COUNTIF(CONFIG_ASIGNATURAS!$B$7:$B$27,DATOS!$I$2:$I$20000)&gt;0)*1),"")))</f>
        <v/>
      </c>
      <c r="N867" t="str">
        <f>IF(M867="","",IF(M867="[FÓRMULA MANUAL]","",IFERROR(AVERAGEIFS(DATOS!$K$2:$K$20000,DATOS!$A$2:$A$20000,M867,DATOS!$G$2:$G$20000,CONFIG_METADATA!$B$4,DATOS!$I$2:$I$20000,"Armonía"),"")))</f>
        <v/>
      </c>
      <c r="O867" t="str">
        <f>IF(M867="","",IF(M867="[FÓRMULA MANUAL]","",IFERROR(AVERAGEIFS(DATOS!$K$2:$K$20000,DATOS!$A$2:$A$20000,M867,DATOS!$G$2:$G$20000,CONFIG_METADATA!$B$4,DATOS!$I$2:$I$20000,"Orquesta/Banda/Conjunto"),"")))</f>
        <v/>
      </c>
      <c r="P867" t="str">
        <f>IF(M867="","",IF(M867="[FÓRMULA MANUAL]","",IFERROR(AVERAGEIFS(DATOS!$K$2:$K$20000,DATOS!$A$2:$A$20000,M867,DATOS!$G$2:$G$20000,CONFIG_METADATA!$B$4,DATOS!$I$2:$I$20000,"Música de Cámara"),"")))</f>
        <v/>
      </c>
      <c r="Q867" t="str">
        <f>IF(M867="","",IF(M867="[FÓRMULA MANUAL]","",IFERROR(SUMPRODUCT((DATOS!$A$2:$A$20000=M867)*(DATOS!$G$2:$G$20000=CONFIG_METADATA!$B$4)*(COUNTIF(CONFIG_ASIGNATURAS!$B$7:$B$27,DATOS!$I$2:$I$20000)&gt;0)*(DATOS!$K$2:$K$20000))/SUMPRODUCT((DATOS!$A$2:$A$20000=M867)*(DATOS!$G$2:$G$20000=CONFIG_METADATA!$B$4)*(COUNTIF(CONFIG_ASIGNATURAS!$B$7:$B$27,DATOS!$I$2:$I$20000)&gt;0)*1),"")))</f>
        <v/>
      </c>
      <c r="T867" t="str">
        <f>IF(S867="","",IF(S867="[FÓRMULA MANUAL]","",IFERROR(AVERAGEIFS(DATOS!$K$2:$K$20000,DATOS!$A$2:$A$20000,S867,DATOS!$G$2:$G$20000,CONFIG_METADATA!$B$4,DATOS!$I$2:$I$20000,"Armonía"),"")))</f>
        <v/>
      </c>
      <c r="U867" t="str">
        <f>IF(S867="","",IF(S867="[FÓRMULA MANUAL]","",IFERROR(AVERAGEIFS(DATOS!$K$2:$K$20000,DATOS!$A$2:$A$20000,S867,DATOS!$G$2:$G$20000,CONFIG_METADATA!$B$4,DATOS!$I$2:$I$20000,"Orquesta/Banda/Conjunto"),"")))</f>
        <v/>
      </c>
      <c r="V867" t="str">
        <f>IF(S867="","",IF(S867="[FÓRMULA MANUAL]","",IFERROR(AVERAGEIFS(DATOS!$K$2:$K$20000,DATOS!$A$2:$A$20000,S867,DATOS!$G$2:$G$20000,CONFIG_METADATA!$B$4,DATOS!$I$2:$I$20000,"Música de Cámara"),"")))</f>
        <v/>
      </c>
      <c r="W867" t="str">
        <f>IF(S867="","",IF(S867="[FÓRMULA MANUAL]","",IFERROR(SUMPRODUCT((DATOS!$A$2:$A$20000=S867)*(DATOS!$G$2:$G$20000=CONFIG_METADATA!$B$4)*(COUNTIF(CONFIG_ASIGNATURAS!$B$7:$B$27,DATOS!$I$2:$I$20000)&gt;0)*(DATOS!$K$2:$K$20000))/SUMPRODUCT((DATOS!$A$2:$A$20000=S867)*(DATOS!$G$2:$G$20000=CONFIG_METADATA!$B$4)*(COUNTIF(CONFIG_ASIGNATURAS!$B$7:$B$27,DATOS!$I$2:$I$20000)&gt;0)*1),"")))</f>
        <v/>
      </c>
      <c r="Z867" t="str">
        <f>IF(Y867="","",IF(Y867="[FÓRMULA MANUAL]","",IFERROR(AVERAGEIFS(DATOS!$K$2:$K$20000,DATOS!$A$2:$A$20000,Y867,DATOS!$G$2:$G$20000,CONFIG_METADATA!$B$4,DATOS!$I$2:$I$20000,"Análisis"),"")))</f>
        <v/>
      </c>
      <c r="AA867" t="str">
        <f>IF(Y867="","",IF(Y867="[FÓRMULA MANUAL]","",IFERROR(AVERAGEIFS(DATOS!$K$2:$K$20000,DATOS!$A$2:$A$20000,Y867,DATOS!$G$2:$G$20000,CONFIG_METADATA!$B$4,DATOS!$I$2:$I$20000,"Orquesta/Banda/Conjunto"),"")))</f>
        <v/>
      </c>
      <c r="AB867" t="str">
        <f>IF(Y867="","",IF(Y867="[FÓRMULA MANUAL]","",IFERROR(AVERAGEIFS(DATOS!$K$2:$K$20000,DATOS!$A$2:$A$20000,Y867,DATOS!$G$2:$G$20000,CONFIG_METADATA!$B$4,DATOS!$I$2:$I$20000,"Música de Cámara"),"")))</f>
        <v/>
      </c>
      <c r="AC867" t="str">
        <f>IF(Y867="","",IF(Y867="[FÓRMULA MANUAL]","",IFERROR(SUMPRODUCT((DATOS!$A$2:$A$20000=Y867)*(DATOS!$G$2:$G$20000=CONFIG_METADATA!$B$4)*(COUNTIF(CONFIG_ASIGNATURAS!$B$7:$B$27,DATOS!$I$2:$I$20000)&gt;0)*(DATOS!$K$2:$K$20000))/SUMPRODUCT((DATOS!$A$2:$A$20000=Y867)*(DATOS!$G$2:$G$20000=CONFIG_METADATA!$B$4)*(COUNTIF(CONFIG_ASIGNATURAS!$B$7:$B$27,DATOS!$I$2:$I$20000)&gt;0)*1),"")))</f>
        <v/>
      </c>
      <c r="AF867" t="str">
        <f>IF(AE867="","",IF(AE867="[FÓRMULA MANUAL]","",IFERROR(AVERAGEIFS(DATOS!$K$2:$K$20000,DATOS!$A$2:$A$20000,AE867,DATOS!$G$2:$G$20000,CONFIG_METADATA!$B$4,DATOS!$I$2:$I$20000,"Análisis"),"")))</f>
        <v/>
      </c>
      <c r="AG867" t="str">
        <f>IF(AE867="","",IF(AE867="[FÓRMULA MANUAL]","",IFERROR(AVERAGEIFS(DATOS!$K$2:$K$20000,DATOS!$A$2:$A$20000,AE867,DATOS!$G$2:$G$20000,CONFIG_METADATA!$B$4,DATOS!$I$2:$I$20000,"Orquesta/Banda/Conjunto"),"")))</f>
        <v/>
      </c>
      <c r="AH867" t="str">
        <f>IF(AE867="","",IF(AE867="[FÓRMULA MANUAL]","",IFERROR(AVERAGEIFS(DATOS!$K$2:$K$20000,DATOS!$A$2:$A$20000,AE867,DATOS!$G$2:$G$20000,CONFIG_METADATA!$B$4,DATOS!$I$2:$I$20000,"Música de Cámara"),"")))</f>
        <v/>
      </c>
      <c r="AI867" t="str">
        <f>IF(AE867="","",IF(AE867="[FÓRMULA MANUAL]","",IFERROR(SUMPRODUCT((DATOS!$A$2:$A$20000=AE867)*(DATOS!$G$2:$G$20000=CONFIG_METADATA!$B$4)*(COUNTIF(CONFIG_ASIGNATURAS!$B$7:$B$27,DATOS!$I$2:$I$20000)&gt;0)*(DATOS!$K$2:$K$20000))/SUMPRODUCT((DATOS!$A$2:$A$20000=AE867)*(DATOS!$G$2:$G$20000=CONFIG_METADATA!$B$4)*(COUNTIF(CONFIG_ASIGNATURAS!$B$7:$B$27,DATOS!$I$2:$I$20000)&gt;0)*1),"")))</f>
        <v/>
      </c>
    </row>
    <row r="868" spans="2:35" x14ac:dyDescent="0.2">
      <c r="B868" t="str">
        <f>IF(A868="","",IF(A868="[FÓRMULA MANUAL]","",IFERROR(AVERAGEIFS(DATOS!$K$2:$K$20000,DATOS!$A$2:$A$20000,A868,DATOS!$G$2:$G$20000,CONFIG_METADATA!$B$4,DATOS!$I$2:$I$20000,"Lenguaje Musical"),"")))</f>
        <v/>
      </c>
      <c r="C868" t="str">
        <f>IF(A868="","",IF(A868="[FÓRMULA MANUAL]","",IFERROR(AVERAGEIFS(DATOS!$K$2:$K$20000,DATOS!$A$2:$A$20000,A868,DATOS!$G$2:$G$20000,CONFIG_METADATA!$B$4,DATOS!$I$2:$I$20000,"Orquesta/Banda/Conjunto"),"")))</f>
        <v/>
      </c>
      <c r="D868" t="str">
        <f>IF(A868="","",IF(A868="[FÓRMULA MANUAL]","",IFERROR(AVERAGEIFS(DATOS!$K$2:$K$20000,DATOS!$A$2:$A$20000,A868,DATOS!$G$2:$G$20000,CONFIG_METADATA!$B$4,DATOS!$I$2:$I$20000,"Conjunto"),"")))</f>
        <v/>
      </c>
      <c r="E868" t="str">
        <f>IF(A868="","",IF(A868="[FÓRMULA MANUAL]","",IFERROR(SUMPRODUCT((DATOS!$A$2:$A$20000=A868)*(DATOS!$G$2:$G$20000=CONFIG_METADATA!$B$4)*(COUNTIF(CONFIG_ASIGNATURAS!$B$7:$B$27,DATOS!$I$2:$I$20000)&gt;0)*(DATOS!$K$2:$K$20000))/SUMPRODUCT((DATOS!$A$2:$A$20000=A868)*(DATOS!$G$2:$G$20000=CONFIG_METADATA!$B$4)*(COUNTIF(CONFIG_ASIGNATURAS!$B$7:$B$27,DATOS!$I$2:$I$20000)&gt;0)*1),"")))</f>
        <v/>
      </c>
      <c r="H868" t="str">
        <f>IF(G868="","",IF(G868="[FÓRMULA MANUAL]","",IFERROR(AVERAGEIFS(DATOS!$K$2:$K$20000,DATOS!$A$2:$A$20000,G868,DATOS!$G$2:$G$20000,CONFIG_METADATA!$B$4,DATOS!$I$2:$I$20000,"Lenguaje Musical"),"")))</f>
        <v/>
      </c>
      <c r="I868" t="str">
        <f>IF(G868="","",IF(G868="[FÓRMULA MANUAL]","",IFERROR(AVERAGEIFS(DATOS!$K$2:$K$20000,DATOS!$A$2:$A$20000,G868,DATOS!$G$2:$G$20000,CONFIG_METADATA!$B$4,DATOS!$I$2:$I$20000,"Orquesta/Banda/Conjunto"),"")))</f>
        <v/>
      </c>
      <c r="J868" t="str">
        <f>IF(G868="","",IF(G868="[FÓRMULA MANUAL]","",IFERROR(AVERAGEIFS(DATOS!$K$2:$K$20000,DATOS!$A$2:$A$20000,G868,DATOS!$G$2:$G$20000,CONFIG_METADATA!$B$4,DATOS!$I$2:$I$20000,"Conjunto"),"")))</f>
        <v/>
      </c>
      <c r="K868" t="str">
        <f>IF(G868="","",IF(G868="[FÓRMULA MANUAL]","",IFERROR(SUMPRODUCT((DATOS!$A$2:$A$20000=G868)*(DATOS!$G$2:$G$20000=CONFIG_METADATA!$B$4)*(COUNTIF(CONFIG_ASIGNATURAS!$B$7:$B$27,DATOS!$I$2:$I$20000)&gt;0)*(DATOS!$K$2:$K$20000))/SUMPRODUCT((DATOS!$A$2:$A$20000=G868)*(DATOS!$G$2:$G$20000=CONFIG_METADATA!$B$4)*(COUNTIF(CONFIG_ASIGNATURAS!$B$7:$B$27,DATOS!$I$2:$I$20000)&gt;0)*1),"")))</f>
        <v/>
      </c>
      <c r="N868" t="str">
        <f>IF(M868="","",IF(M868="[FÓRMULA MANUAL]","",IFERROR(AVERAGEIFS(DATOS!$K$2:$K$20000,DATOS!$A$2:$A$20000,M868,DATOS!$G$2:$G$20000,CONFIG_METADATA!$B$4,DATOS!$I$2:$I$20000,"Armonía"),"")))</f>
        <v/>
      </c>
      <c r="O868" t="str">
        <f>IF(M868="","",IF(M868="[FÓRMULA MANUAL]","",IFERROR(AVERAGEIFS(DATOS!$K$2:$K$20000,DATOS!$A$2:$A$20000,M868,DATOS!$G$2:$G$20000,CONFIG_METADATA!$B$4,DATOS!$I$2:$I$20000,"Orquesta/Banda/Conjunto"),"")))</f>
        <v/>
      </c>
      <c r="P868" t="str">
        <f>IF(M868="","",IF(M868="[FÓRMULA MANUAL]","",IFERROR(AVERAGEIFS(DATOS!$K$2:$K$20000,DATOS!$A$2:$A$20000,M868,DATOS!$G$2:$G$20000,CONFIG_METADATA!$B$4,DATOS!$I$2:$I$20000,"Música de Cámara"),"")))</f>
        <v/>
      </c>
      <c r="Q868" t="str">
        <f>IF(M868="","",IF(M868="[FÓRMULA MANUAL]","",IFERROR(SUMPRODUCT((DATOS!$A$2:$A$20000=M868)*(DATOS!$G$2:$G$20000=CONFIG_METADATA!$B$4)*(COUNTIF(CONFIG_ASIGNATURAS!$B$7:$B$27,DATOS!$I$2:$I$20000)&gt;0)*(DATOS!$K$2:$K$20000))/SUMPRODUCT((DATOS!$A$2:$A$20000=M868)*(DATOS!$G$2:$G$20000=CONFIG_METADATA!$B$4)*(COUNTIF(CONFIG_ASIGNATURAS!$B$7:$B$27,DATOS!$I$2:$I$20000)&gt;0)*1),"")))</f>
        <v/>
      </c>
      <c r="T868" t="str">
        <f>IF(S868="","",IF(S868="[FÓRMULA MANUAL]","",IFERROR(AVERAGEIFS(DATOS!$K$2:$K$20000,DATOS!$A$2:$A$20000,S868,DATOS!$G$2:$G$20000,CONFIG_METADATA!$B$4,DATOS!$I$2:$I$20000,"Armonía"),"")))</f>
        <v/>
      </c>
      <c r="U868" t="str">
        <f>IF(S868="","",IF(S868="[FÓRMULA MANUAL]","",IFERROR(AVERAGEIFS(DATOS!$K$2:$K$20000,DATOS!$A$2:$A$20000,S868,DATOS!$G$2:$G$20000,CONFIG_METADATA!$B$4,DATOS!$I$2:$I$20000,"Orquesta/Banda/Conjunto"),"")))</f>
        <v/>
      </c>
      <c r="V868" t="str">
        <f>IF(S868="","",IF(S868="[FÓRMULA MANUAL]","",IFERROR(AVERAGEIFS(DATOS!$K$2:$K$20000,DATOS!$A$2:$A$20000,S868,DATOS!$G$2:$G$20000,CONFIG_METADATA!$B$4,DATOS!$I$2:$I$20000,"Música de Cámara"),"")))</f>
        <v/>
      </c>
      <c r="W868" t="str">
        <f>IF(S868="","",IF(S868="[FÓRMULA MANUAL]","",IFERROR(SUMPRODUCT((DATOS!$A$2:$A$20000=S868)*(DATOS!$G$2:$G$20000=CONFIG_METADATA!$B$4)*(COUNTIF(CONFIG_ASIGNATURAS!$B$7:$B$27,DATOS!$I$2:$I$20000)&gt;0)*(DATOS!$K$2:$K$20000))/SUMPRODUCT((DATOS!$A$2:$A$20000=S868)*(DATOS!$G$2:$G$20000=CONFIG_METADATA!$B$4)*(COUNTIF(CONFIG_ASIGNATURAS!$B$7:$B$27,DATOS!$I$2:$I$20000)&gt;0)*1),"")))</f>
        <v/>
      </c>
      <c r="Z868" t="str">
        <f>IF(Y868="","",IF(Y868="[FÓRMULA MANUAL]","",IFERROR(AVERAGEIFS(DATOS!$K$2:$K$20000,DATOS!$A$2:$A$20000,Y868,DATOS!$G$2:$G$20000,CONFIG_METADATA!$B$4,DATOS!$I$2:$I$20000,"Análisis"),"")))</f>
        <v/>
      </c>
      <c r="AA868" t="str">
        <f>IF(Y868="","",IF(Y868="[FÓRMULA MANUAL]","",IFERROR(AVERAGEIFS(DATOS!$K$2:$K$20000,DATOS!$A$2:$A$20000,Y868,DATOS!$G$2:$G$20000,CONFIG_METADATA!$B$4,DATOS!$I$2:$I$20000,"Orquesta/Banda/Conjunto"),"")))</f>
        <v/>
      </c>
      <c r="AB868" t="str">
        <f>IF(Y868="","",IF(Y868="[FÓRMULA MANUAL]","",IFERROR(AVERAGEIFS(DATOS!$K$2:$K$20000,DATOS!$A$2:$A$20000,Y868,DATOS!$G$2:$G$20000,CONFIG_METADATA!$B$4,DATOS!$I$2:$I$20000,"Música de Cámara"),"")))</f>
        <v/>
      </c>
      <c r="AC868" t="str">
        <f>IF(Y868="","",IF(Y868="[FÓRMULA MANUAL]","",IFERROR(SUMPRODUCT((DATOS!$A$2:$A$20000=Y868)*(DATOS!$G$2:$G$20000=CONFIG_METADATA!$B$4)*(COUNTIF(CONFIG_ASIGNATURAS!$B$7:$B$27,DATOS!$I$2:$I$20000)&gt;0)*(DATOS!$K$2:$K$20000))/SUMPRODUCT((DATOS!$A$2:$A$20000=Y868)*(DATOS!$G$2:$G$20000=CONFIG_METADATA!$B$4)*(COUNTIF(CONFIG_ASIGNATURAS!$B$7:$B$27,DATOS!$I$2:$I$20000)&gt;0)*1),"")))</f>
        <v/>
      </c>
      <c r="AF868" t="str">
        <f>IF(AE868="","",IF(AE868="[FÓRMULA MANUAL]","",IFERROR(AVERAGEIFS(DATOS!$K$2:$K$20000,DATOS!$A$2:$A$20000,AE868,DATOS!$G$2:$G$20000,CONFIG_METADATA!$B$4,DATOS!$I$2:$I$20000,"Análisis"),"")))</f>
        <v/>
      </c>
      <c r="AG868" t="str">
        <f>IF(AE868="","",IF(AE868="[FÓRMULA MANUAL]","",IFERROR(AVERAGEIFS(DATOS!$K$2:$K$20000,DATOS!$A$2:$A$20000,AE868,DATOS!$G$2:$G$20000,CONFIG_METADATA!$B$4,DATOS!$I$2:$I$20000,"Orquesta/Banda/Conjunto"),"")))</f>
        <v/>
      </c>
      <c r="AH868" t="str">
        <f>IF(AE868="","",IF(AE868="[FÓRMULA MANUAL]","",IFERROR(AVERAGEIFS(DATOS!$K$2:$K$20000,DATOS!$A$2:$A$20000,AE868,DATOS!$G$2:$G$20000,CONFIG_METADATA!$B$4,DATOS!$I$2:$I$20000,"Música de Cámara"),"")))</f>
        <v/>
      </c>
      <c r="AI868" t="str">
        <f>IF(AE868="","",IF(AE868="[FÓRMULA MANUAL]","",IFERROR(SUMPRODUCT((DATOS!$A$2:$A$20000=AE868)*(DATOS!$G$2:$G$20000=CONFIG_METADATA!$B$4)*(COUNTIF(CONFIG_ASIGNATURAS!$B$7:$B$27,DATOS!$I$2:$I$20000)&gt;0)*(DATOS!$K$2:$K$20000))/SUMPRODUCT((DATOS!$A$2:$A$20000=AE868)*(DATOS!$G$2:$G$20000=CONFIG_METADATA!$B$4)*(COUNTIF(CONFIG_ASIGNATURAS!$B$7:$B$27,DATOS!$I$2:$I$20000)&gt;0)*1),"")))</f>
        <v/>
      </c>
    </row>
    <row r="869" spans="2:35" x14ac:dyDescent="0.2">
      <c r="B869" t="str">
        <f>IF(A869="","",IF(A869="[FÓRMULA MANUAL]","",IFERROR(AVERAGEIFS(DATOS!$K$2:$K$20000,DATOS!$A$2:$A$20000,A869,DATOS!$G$2:$G$20000,CONFIG_METADATA!$B$4,DATOS!$I$2:$I$20000,"Lenguaje Musical"),"")))</f>
        <v/>
      </c>
      <c r="C869" t="str">
        <f>IF(A869="","",IF(A869="[FÓRMULA MANUAL]","",IFERROR(AVERAGEIFS(DATOS!$K$2:$K$20000,DATOS!$A$2:$A$20000,A869,DATOS!$G$2:$G$20000,CONFIG_METADATA!$B$4,DATOS!$I$2:$I$20000,"Orquesta/Banda/Conjunto"),"")))</f>
        <v/>
      </c>
      <c r="D869" t="str">
        <f>IF(A869="","",IF(A869="[FÓRMULA MANUAL]","",IFERROR(AVERAGEIFS(DATOS!$K$2:$K$20000,DATOS!$A$2:$A$20000,A869,DATOS!$G$2:$G$20000,CONFIG_METADATA!$B$4,DATOS!$I$2:$I$20000,"Conjunto"),"")))</f>
        <v/>
      </c>
      <c r="E869" t="str">
        <f>IF(A869="","",IF(A869="[FÓRMULA MANUAL]","",IFERROR(SUMPRODUCT((DATOS!$A$2:$A$20000=A869)*(DATOS!$G$2:$G$20000=CONFIG_METADATA!$B$4)*(COUNTIF(CONFIG_ASIGNATURAS!$B$7:$B$27,DATOS!$I$2:$I$20000)&gt;0)*(DATOS!$K$2:$K$20000))/SUMPRODUCT((DATOS!$A$2:$A$20000=A869)*(DATOS!$G$2:$G$20000=CONFIG_METADATA!$B$4)*(COUNTIF(CONFIG_ASIGNATURAS!$B$7:$B$27,DATOS!$I$2:$I$20000)&gt;0)*1),"")))</f>
        <v/>
      </c>
      <c r="H869" t="str">
        <f>IF(G869="","",IF(G869="[FÓRMULA MANUAL]","",IFERROR(AVERAGEIFS(DATOS!$K$2:$K$20000,DATOS!$A$2:$A$20000,G869,DATOS!$G$2:$G$20000,CONFIG_METADATA!$B$4,DATOS!$I$2:$I$20000,"Lenguaje Musical"),"")))</f>
        <v/>
      </c>
      <c r="I869" t="str">
        <f>IF(G869="","",IF(G869="[FÓRMULA MANUAL]","",IFERROR(AVERAGEIFS(DATOS!$K$2:$K$20000,DATOS!$A$2:$A$20000,G869,DATOS!$G$2:$G$20000,CONFIG_METADATA!$B$4,DATOS!$I$2:$I$20000,"Orquesta/Banda/Conjunto"),"")))</f>
        <v/>
      </c>
      <c r="J869" t="str">
        <f>IF(G869="","",IF(G869="[FÓRMULA MANUAL]","",IFERROR(AVERAGEIFS(DATOS!$K$2:$K$20000,DATOS!$A$2:$A$20000,G869,DATOS!$G$2:$G$20000,CONFIG_METADATA!$B$4,DATOS!$I$2:$I$20000,"Conjunto"),"")))</f>
        <v/>
      </c>
      <c r="K869" t="str">
        <f>IF(G869="","",IF(G869="[FÓRMULA MANUAL]","",IFERROR(SUMPRODUCT((DATOS!$A$2:$A$20000=G869)*(DATOS!$G$2:$G$20000=CONFIG_METADATA!$B$4)*(COUNTIF(CONFIG_ASIGNATURAS!$B$7:$B$27,DATOS!$I$2:$I$20000)&gt;0)*(DATOS!$K$2:$K$20000))/SUMPRODUCT((DATOS!$A$2:$A$20000=G869)*(DATOS!$G$2:$G$20000=CONFIG_METADATA!$B$4)*(COUNTIF(CONFIG_ASIGNATURAS!$B$7:$B$27,DATOS!$I$2:$I$20000)&gt;0)*1),"")))</f>
        <v/>
      </c>
      <c r="N869" t="str">
        <f>IF(M869="","",IF(M869="[FÓRMULA MANUAL]","",IFERROR(AVERAGEIFS(DATOS!$K$2:$K$20000,DATOS!$A$2:$A$20000,M869,DATOS!$G$2:$G$20000,CONFIG_METADATA!$B$4,DATOS!$I$2:$I$20000,"Armonía"),"")))</f>
        <v/>
      </c>
      <c r="O869" t="str">
        <f>IF(M869="","",IF(M869="[FÓRMULA MANUAL]","",IFERROR(AVERAGEIFS(DATOS!$K$2:$K$20000,DATOS!$A$2:$A$20000,M869,DATOS!$G$2:$G$20000,CONFIG_METADATA!$B$4,DATOS!$I$2:$I$20000,"Orquesta/Banda/Conjunto"),"")))</f>
        <v/>
      </c>
      <c r="P869" t="str">
        <f>IF(M869="","",IF(M869="[FÓRMULA MANUAL]","",IFERROR(AVERAGEIFS(DATOS!$K$2:$K$20000,DATOS!$A$2:$A$20000,M869,DATOS!$G$2:$G$20000,CONFIG_METADATA!$B$4,DATOS!$I$2:$I$20000,"Música de Cámara"),"")))</f>
        <v/>
      </c>
      <c r="Q869" t="str">
        <f>IF(M869="","",IF(M869="[FÓRMULA MANUAL]","",IFERROR(SUMPRODUCT((DATOS!$A$2:$A$20000=M869)*(DATOS!$G$2:$G$20000=CONFIG_METADATA!$B$4)*(COUNTIF(CONFIG_ASIGNATURAS!$B$7:$B$27,DATOS!$I$2:$I$20000)&gt;0)*(DATOS!$K$2:$K$20000))/SUMPRODUCT((DATOS!$A$2:$A$20000=M869)*(DATOS!$G$2:$G$20000=CONFIG_METADATA!$B$4)*(COUNTIF(CONFIG_ASIGNATURAS!$B$7:$B$27,DATOS!$I$2:$I$20000)&gt;0)*1),"")))</f>
        <v/>
      </c>
      <c r="T869" t="str">
        <f>IF(S869="","",IF(S869="[FÓRMULA MANUAL]","",IFERROR(AVERAGEIFS(DATOS!$K$2:$K$20000,DATOS!$A$2:$A$20000,S869,DATOS!$G$2:$G$20000,CONFIG_METADATA!$B$4,DATOS!$I$2:$I$20000,"Armonía"),"")))</f>
        <v/>
      </c>
      <c r="U869" t="str">
        <f>IF(S869="","",IF(S869="[FÓRMULA MANUAL]","",IFERROR(AVERAGEIFS(DATOS!$K$2:$K$20000,DATOS!$A$2:$A$20000,S869,DATOS!$G$2:$G$20000,CONFIG_METADATA!$B$4,DATOS!$I$2:$I$20000,"Orquesta/Banda/Conjunto"),"")))</f>
        <v/>
      </c>
      <c r="V869" t="str">
        <f>IF(S869="","",IF(S869="[FÓRMULA MANUAL]","",IFERROR(AVERAGEIFS(DATOS!$K$2:$K$20000,DATOS!$A$2:$A$20000,S869,DATOS!$G$2:$G$20000,CONFIG_METADATA!$B$4,DATOS!$I$2:$I$20000,"Música de Cámara"),"")))</f>
        <v/>
      </c>
      <c r="W869" t="str">
        <f>IF(S869="","",IF(S869="[FÓRMULA MANUAL]","",IFERROR(SUMPRODUCT((DATOS!$A$2:$A$20000=S869)*(DATOS!$G$2:$G$20000=CONFIG_METADATA!$B$4)*(COUNTIF(CONFIG_ASIGNATURAS!$B$7:$B$27,DATOS!$I$2:$I$20000)&gt;0)*(DATOS!$K$2:$K$20000))/SUMPRODUCT((DATOS!$A$2:$A$20000=S869)*(DATOS!$G$2:$G$20000=CONFIG_METADATA!$B$4)*(COUNTIF(CONFIG_ASIGNATURAS!$B$7:$B$27,DATOS!$I$2:$I$20000)&gt;0)*1),"")))</f>
        <v/>
      </c>
      <c r="Z869" t="str">
        <f>IF(Y869="","",IF(Y869="[FÓRMULA MANUAL]","",IFERROR(AVERAGEIFS(DATOS!$K$2:$K$20000,DATOS!$A$2:$A$20000,Y869,DATOS!$G$2:$G$20000,CONFIG_METADATA!$B$4,DATOS!$I$2:$I$20000,"Análisis"),"")))</f>
        <v/>
      </c>
      <c r="AA869" t="str">
        <f>IF(Y869="","",IF(Y869="[FÓRMULA MANUAL]","",IFERROR(AVERAGEIFS(DATOS!$K$2:$K$20000,DATOS!$A$2:$A$20000,Y869,DATOS!$G$2:$G$20000,CONFIG_METADATA!$B$4,DATOS!$I$2:$I$20000,"Orquesta/Banda/Conjunto"),"")))</f>
        <v/>
      </c>
      <c r="AB869" t="str">
        <f>IF(Y869="","",IF(Y869="[FÓRMULA MANUAL]","",IFERROR(AVERAGEIFS(DATOS!$K$2:$K$20000,DATOS!$A$2:$A$20000,Y869,DATOS!$G$2:$G$20000,CONFIG_METADATA!$B$4,DATOS!$I$2:$I$20000,"Música de Cámara"),"")))</f>
        <v/>
      </c>
      <c r="AC869" t="str">
        <f>IF(Y869="","",IF(Y869="[FÓRMULA MANUAL]","",IFERROR(SUMPRODUCT((DATOS!$A$2:$A$20000=Y869)*(DATOS!$G$2:$G$20000=CONFIG_METADATA!$B$4)*(COUNTIF(CONFIG_ASIGNATURAS!$B$7:$B$27,DATOS!$I$2:$I$20000)&gt;0)*(DATOS!$K$2:$K$20000))/SUMPRODUCT((DATOS!$A$2:$A$20000=Y869)*(DATOS!$G$2:$G$20000=CONFIG_METADATA!$B$4)*(COUNTIF(CONFIG_ASIGNATURAS!$B$7:$B$27,DATOS!$I$2:$I$20000)&gt;0)*1),"")))</f>
        <v/>
      </c>
      <c r="AF869" t="str">
        <f>IF(AE869="","",IF(AE869="[FÓRMULA MANUAL]","",IFERROR(AVERAGEIFS(DATOS!$K$2:$K$20000,DATOS!$A$2:$A$20000,AE869,DATOS!$G$2:$G$20000,CONFIG_METADATA!$B$4,DATOS!$I$2:$I$20000,"Análisis"),"")))</f>
        <v/>
      </c>
      <c r="AG869" t="str">
        <f>IF(AE869="","",IF(AE869="[FÓRMULA MANUAL]","",IFERROR(AVERAGEIFS(DATOS!$K$2:$K$20000,DATOS!$A$2:$A$20000,AE869,DATOS!$G$2:$G$20000,CONFIG_METADATA!$B$4,DATOS!$I$2:$I$20000,"Orquesta/Banda/Conjunto"),"")))</f>
        <v/>
      </c>
      <c r="AH869" t="str">
        <f>IF(AE869="","",IF(AE869="[FÓRMULA MANUAL]","",IFERROR(AVERAGEIFS(DATOS!$K$2:$K$20000,DATOS!$A$2:$A$20000,AE869,DATOS!$G$2:$G$20000,CONFIG_METADATA!$B$4,DATOS!$I$2:$I$20000,"Música de Cámara"),"")))</f>
        <v/>
      </c>
      <c r="AI869" t="str">
        <f>IF(AE869="","",IF(AE869="[FÓRMULA MANUAL]","",IFERROR(SUMPRODUCT((DATOS!$A$2:$A$20000=AE869)*(DATOS!$G$2:$G$20000=CONFIG_METADATA!$B$4)*(COUNTIF(CONFIG_ASIGNATURAS!$B$7:$B$27,DATOS!$I$2:$I$20000)&gt;0)*(DATOS!$K$2:$K$20000))/SUMPRODUCT((DATOS!$A$2:$A$20000=AE869)*(DATOS!$G$2:$G$20000=CONFIG_METADATA!$B$4)*(COUNTIF(CONFIG_ASIGNATURAS!$B$7:$B$27,DATOS!$I$2:$I$20000)&gt;0)*1),"")))</f>
        <v/>
      </c>
    </row>
    <row r="870" spans="2:35" x14ac:dyDescent="0.2">
      <c r="B870" t="str">
        <f>IF(A870="","",IF(A870="[FÓRMULA MANUAL]","",IFERROR(AVERAGEIFS(DATOS!$K$2:$K$20000,DATOS!$A$2:$A$20000,A870,DATOS!$G$2:$G$20000,CONFIG_METADATA!$B$4,DATOS!$I$2:$I$20000,"Lenguaje Musical"),"")))</f>
        <v/>
      </c>
      <c r="C870" t="str">
        <f>IF(A870="","",IF(A870="[FÓRMULA MANUAL]","",IFERROR(AVERAGEIFS(DATOS!$K$2:$K$20000,DATOS!$A$2:$A$20000,A870,DATOS!$G$2:$G$20000,CONFIG_METADATA!$B$4,DATOS!$I$2:$I$20000,"Orquesta/Banda/Conjunto"),"")))</f>
        <v/>
      </c>
      <c r="D870" t="str">
        <f>IF(A870="","",IF(A870="[FÓRMULA MANUAL]","",IFERROR(AVERAGEIFS(DATOS!$K$2:$K$20000,DATOS!$A$2:$A$20000,A870,DATOS!$G$2:$G$20000,CONFIG_METADATA!$B$4,DATOS!$I$2:$I$20000,"Conjunto"),"")))</f>
        <v/>
      </c>
      <c r="E870" t="str">
        <f>IF(A870="","",IF(A870="[FÓRMULA MANUAL]","",IFERROR(SUMPRODUCT((DATOS!$A$2:$A$20000=A870)*(DATOS!$G$2:$G$20000=CONFIG_METADATA!$B$4)*(COUNTIF(CONFIG_ASIGNATURAS!$B$7:$B$27,DATOS!$I$2:$I$20000)&gt;0)*(DATOS!$K$2:$K$20000))/SUMPRODUCT((DATOS!$A$2:$A$20000=A870)*(DATOS!$G$2:$G$20000=CONFIG_METADATA!$B$4)*(COUNTIF(CONFIG_ASIGNATURAS!$B$7:$B$27,DATOS!$I$2:$I$20000)&gt;0)*1),"")))</f>
        <v/>
      </c>
      <c r="H870" t="str">
        <f>IF(G870="","",IF(G870="[FÓRMULA MANUAL]","",IFERROR(AVERAGEIFS(DATOS!$K$2:$K$20000,DATOS!$A$2:$A$20000,G870,DATOS!$G$2:$G$20000,CONFIG_METADATA!$B$4,DATOS!$I$2:$I$20000,"Lenguaje Musical"),"")))</f>
        <v/>
      </c>
      <c r="I870" t="str">
        <f>IF(G870="","",IF(G870="[FÓRMULA MANUAL]","",IFERROR(AVERAGEIFS(DATOS!$K$2:$K$20000,DATOS!$A$2:$A$20000,G870,DATOS!$G$2:$G$20000,CONFIG_METADATA!$B$4,DATOS!$I$2:$I$20000,"Orquesta/Banda/Conjunto"),"")))</f>
        <v/>
      </c>
      <c r="J870" t="str">
        <f>IF(G870="","",IF(G870="[FÓRMULA MANUAL]","",IFERROR(AVERAGEIFS(DATOS!$K$2:$K$20000,DATOS!$A$2:$A$20000,G870,DATOS!$G$2:$G$20000,CONFIG_METADATA!$B$4,DATOS!$I$2:$I$20000,"Conjunto"),"")))</f>
        <v/>
      </c>
      <c r="K870" t="str">
        <f>IF(G870="","",IF(G870="[FÓRMULA MANUAL]","",IFERROR(SUMPRODUCT((DATOS!$A$2:$A$20000=G870)*(DATOS!$G$2:$G$20000=CONFIG_METADATA!$B$4)*(COUNTIF(CONFIG_ASIGNATURAS!$B$7:$B$27,DATOS!$I$2:$I$20000)&gt;0)*(DATOS!$K$2:$K$20000))/SUMPRODUCT((DATOS!$A$2:$A$20000=G870)*(DATOS!$G$2:$G$20000=CONFIG_METADATA!$B$4)*(COUNTIF(CONFIG_ASIGNATURAS!$B$7:$B$27,DATOS!$I$2:$I$20000)&gt;0)*1),"")))</f>
        <v/>
      </c>
      <c r="N870" t="str">
        <f>IF(M870="","",IF(M870="[FÓRMULA MANUAL]","",IFERROR(AVERAGEIFS(DATOS!$K$2:$K$20000,DATOS!$A$2:$A$20000,M870,DATOS!$G$2:$G$20000,CONFIG_METADATA!$B$4,DATOS!$I$2:$I$20000,"Armonía"),"")))</f>
        <v/>
      </c>
      <c r="O870" t="str">
        <f>IF(M870="","",IF(M870="[FÓRMULA MANUAL]","",IFERROR(AVERAGEIFS(DATOS!$K$2:$K$20000,DATOS!$A$2:$A$20000,M870,DATOS!$G$2:$G$20000,CONFIG_METADATA!$B$4,DATOS!$I$2:$I$20000,"Orquesta/Banda/Conjunto"),"")))</f>
        <v/>
      </c>
      <c r="P870" t="str">
        <f>IF(M870="","",IF(M870="[FÓRMULA MANUAL]","",IFERROR(AVERAGEIFS(DATOS!$K$2:$K$20000,DATOS!$A$2:$A$20000,M870,DATOS!$G$2:$G$20000,CONFIG_METADATA!$B$4,DATOS!$I$2:$I$20000,"Música de Cámara"),"")))</f>
        <v/>
      </c>
      <c r="Q870" t="str">
        <f>IF(M870="","",IF(M870="[FÓRMULA MANUAL]","",IFERROR(SUMPRODUCT((DATOS!$A$2:$A$20000=M870)*(DATOS!$G$2:$G$20000=CONFIG_METADATA!$B$4)*(COUNTIF(CONFIG_ASIGNATURAS!$B$7:$B$27,DATOS!$I$2:$I$20000)&gt;0)*(DATOS!$K$2:$K$20000))/SUMPRODUCT((DATOS!$A$2:$A$20000=M870)*(DATOS!$G$2:$G$20000=CONFIG_METADATA!$B$4)*(COUNTIF(CONFIG_ASIGNATURAS!$B$7:$B$27,DATOS!$I$2:$I$20000)&gt;0)*1),"")))</f>
        <v/>
      </c>
      <c r="T870" t="str">
        <f>IF(S870="","",IF(S870="[FÓRMULA MANUAL]","",IFERROR(AVERAGEIFS(DATOS!$K$2:$K$20000,DATOS!$A$2:$A$20000,S870,DATOS!$G$2:$G$20000,CONFIG_METADATA!$B$4,DATOS!$I$2:$I$20000,"Armonía"),"")))</f>
        <v/>
      </c>
      <c r="U870" t="str">
        <f>IF(S870="","",IF(S870="[FÓRMULA MANUAL]","",IFERROR(AVERAGEIFS(DATOS!$K$2:$K$20000,DATOS!$A$2:$A$20000,S870,DATOS!$G$2:$G$20000,CONFIG_METADATA!$B$4,DATOS!$I$2:$I$20000,"Orquesta/Banda/Conjunto"),"")))</f>
        <v/>
      </c>
      <c r="V870" t="str">
        <f>IF(S870="","",IF(S870="[FÓRMULA MANUAL]","",IFERROR(AVERAGEIFS(DATOS!$K$2:$K$20000,DATOS!$A$2:$A$20000,S870,DATOS!$G$2:$G$20000,CONFIG_METADATA!$B$4,DATOS!$I$2:$I$20000,"Música de Cámara"),"")))</f>
        <v/>
      </c>
      <c r="W870" t="str">
        <f>IF(S870="","",IF(S870="[FÓRMULA MANUAL]","",IFERROR(SUMPRODUCT((DATOS!$A$2:$A$20000=S870)*(DATOS!$G$2:$G$20000=CONFIG_METADATA!$B$4)*(COUNTIF(CONFIG_ASIGNATURAS!$B$7:$B$27,DATOS!$I$2:$I$20000)&gt;0)*(DATOS!$K$2:$K$20000))/SUMPRODUCT((DATOS!$A$2:$A$20000=S870)*(DATOS!$G$2:$G$20000=CONFIG_METADATA!$B$4)*(COUNTIF(CONFIG_ASIGNATURAS!$B$7:$B$27,DATOS!$I$2:$I$20000)&gt;0)*1),"")))</f>
        <v/>
      </c>
      <c r="Z870" t="str">
        <f>IF(Y870="","",IF(Y870="[FÓRMULA MANUAL]","",IFERROR(AVERAGEIFS(DATOS!$K$2:$K$20000,DATOS!$A$2:$A$20000,Y870,DATOS!$G$2:$G$20000,CONFIG_METADATA!$B$4,DATOS!$I$2:$I$20000,"Análisis"),"")))</f>
        <v/>
      </c>
      <c r="AA870" t="str">
        <f>IF(Y870="","",IF(Y870="[FÓRMULA MANUAL]","",IFERROR(AVERAGEIFS(DATOS!$K$2:$K$20000,DATOS!$A$2:$A$20000,Y870,DATOS!$G$2:$G$20000,CONFIG_METADATA!$B$4,DATOS!$I$2:$I$20000,"Orquesta/Banda/Conjunto"),"")))</f>
        <v/>
      </c>
      <c r="AB870" t="str">
        <f>IF(Y870="","",IF(Y870="[FÓRMULA MANUAL]","",IFERROR(AVERAGEIFS(DATOS!$K$2:$K$20000,DATOS!$A$2:$A$20000,Y870,DATOS!$G$2:$G$20000,CONFIG_METADATA!$B$4,DATOS!$I$2:$I$20000,"Música de Cámara"),"")))</f>
        <v/>
      </c>
      <c r="AC870" t="str">
        <f>IF(Y870="","",IF(Y870="[FÓRMULA MANUAL]","",IFERROR(SUMPRODUCT((DATOS!$A$2:$A$20000=Y870)*(DATOS!$G$2:$G$20000=CONFIG_METADATA!$B$4)*(COUNTIF(CONFIG_ASIGNATURAS!$B$7:$B$27,DATOS!$I$2:$I$20000)&gt;0)*(DATOS!$K$2:$K$20000))/SUMPRODUCT((DATOS!$A$2:$A$20000=Y870)*(DATOS!$G$2:$G$20000=CONFIG_METADATA!$B$4)*(COUNTIF(CONFIG_ASIGNATURAS!$B$7:$B$27,DATOS!$I$2:$I$20000)&gt;0)*1),"")))</f>
        <v/>
      </c>
      <c r="AF870" t="str">
        <f>IF(AE870="","",IF(AE870="[FÓRMULA MANUAL]","",IFERROR(AVERAGEIFS(DATOS!$K$2:$K$20000,DATOS!$A$2:$A$20000,AE870,DATOS!$G$2:$G$20000,CONFIG_METADATA!$B$4,DATOS!$I$2:$I$20000,"Análisis"),"")))</f>
        <v/>
      </c>
      <c r="AG870" t="str">
        <f>IF(AE870="","",IF(AE870="[FÓRMULA MANUAL]","",IFERROR(AVERAGEIFS(DATOS!$K$2:$K$20000,DATOS!$A$2:$A$20000,AE870,DATOS!$G$2:$G$20000,CONFIG_METADATA!$B$4,DATOS!$I$2:$I$20000,"Orquesta/Banda/Conjunto"),"")))</f>
        <v/>
      </c>
      <c r="AH870" t="str">
        <f>IF(AE870="","",IF(AE870="[FÓRMULA MANUAL]","",IFERROR(AVERAGEIFS(DATOS!$K$2:$K$20000,DATOS!$A$2:$A$20000,AE870,DATOS!$G$2:$G$20000,CONFIG_METADATA!$B$4,DATOS!$I$2:$I$20000,"Música de Cámara"),"")))</f>
        <v/>
      </c>
      <c r="AI870" t="str">
        <f>IF(AE870="","",IF(AE870="[FÓRMULA MANUAL]","",IFERROR(SUMPRODUCT((DATOS!$A$2:$A$20000=AE870)*(DATOS!$G$2:$G$20000=CONFIG_METADATA!$B$4)*(COUNTIF(CONFIG_ASIGNATURAS!$B$7:$B$27,DATOS!$I$2:$I$20000)&gt;0)*(DATOS!$K$2:$K$20000))/SUMPRODUCT((DATOS!$A$2:$A$20000=AE870)*(DATOS!$G$2:$G$20000=CONFIG_METADATA!$B$4)*(COUNTIF(CONFIG_ASIGNATURAS!$B$7:$B$27,DATOS!$I$2:$I$20000)&gt;0)*1),"")))</f>
        <v/>
      </c>
    </row>
    <row r="871" spans="2:35" x14ac:dyDescent="0.2">
      <c r="B871" t="str">
        <f>IF(A871="","",IF(A871="[FÓRMULA MANUAL]","",IFERROR(AVERAGEIFS(DATOS!$K$2:$K$20000,DATOS!$A$2:$A$20000,A871,DATOS!$G$2:$G$20000,CONFIG_METADATA!$B$4,DATOS!$I$2:$I$20000,"Lenguaje Musical"),"")))</f>
        <v/>
      </c>
      <c r="C871" t="str">
        <f>IF(A871="","",IF(A871="[FÓRMULA MANUAL]","",IFERROR(AVERAGEIFS(DATOS!$K$2:$K$20000,DATOS!$A$2:$A$20000,A871,DATOS!$G$2:$G$20000,CONFIG_METADATA!$B$4,DATOS!$I$2:$I$20000,"Orquesta/Banda/Conjunto"),"")))</f>
        <v/>
      </c>
      <c r="D871" t="str">
        <f>IF(A871="","",IF(A871="[FÓRMULA MANUAL]","",IFERROR(AVERAGEIFS(DATOS!$K$2:$K$20000,DATOS!$A$2:$A$20000,A871,DATOS!$G$2:$G$20000,CONFIG_METADATA!$B$4,DATOS!$I$2:$I$20000,"Conjunto"),"")))</f>
        <v/>
      </c>
      <c r="E871" t="str">
        <f>IF(A871="","",IF(A871="[FÓRMULA MANUAL]","",IFERROR(SUMPRODUCT((DATOS!$A$2:$A$20000=A871)*(DATOS!$G$2:$G$20000=CONFIG_METADATA!$B$4)*(COUNTIF(CONFIG_ASIGNATURAS!$B$7:$B$27,DATOS!$I$2:$I$20000)&gt;0)*(DATOS!$K$2:$K$20000))/SUMPRODUCT((DATOS!$A$2:$A$20000=A871)*(DATOS!$G$2:$G$20000=CONFIG_METADATA!$B$4)*(COUNTIF(CONFIG_ASIGNATURAS!$B$7:$B$27,DATOS!$I$2:$I$20000)&gt;0)*1),"")))</f>
        <v/>
      </c>
      <c r="H871" t="str">
        <f>IF(G871="","",IF(G871="[FÓRMULA MANUAL]","",IFERROR(AVERAGEIFS(DATOS!$K$2:$K$20000,DATOS!$A$2:$A$20000,G871,DATOS!$G$2:$G$20000,CONFIG_METADATA!$B$4,DATOS!$I$2:$I$20000,"Lenguaje Musical"),"")))</f>
        <v/>
      </c>
      <c r="I871" t="str">
        <f>IF(G871="","",IF(G871="[FÓRMULA MANUAL]","",IFERROR(AVERAGEIFS(DATOS!$K$2:$K$20000,DATOS!$A$2:$A$20000,G871,DATOS!$G$2:$G$20000,CONFIG_METADATA!$B$4,DATOS!$I$2:$I$20000,"Orquesta/Banda/Conjunto"),"")))</f>
        <v/>
      </c>
      <c r="J871" t="str">
        <f>IF(G871="","",IF(G871="[FÓRMULA MANUAL]","",IFERROR(AVERAGEIFS(DATOS!$K$2:$K$20000,DATOS!$A$2:$A$20000,G871,DATOS!$G$2:$G$20000,CONFIG_METADATA!$B$4,DATOS!$I$2:$I$20000,"Conjunto"),"")))</f>
        <v/>
      </c>
      <c r="K871" t="str">
        <f>IF(G871="","",IF(G871="[FÓRMULA MANUAL]","",IFERROR(SUMPRODUCT((DATOS!$A$2:$A$20000=G871)*(DATOS!$G$2:$G$20000=CONFIG_METADATA!$B$4)*(COUNTIF(CONFIG_ASIGNATURAS!$B$7:$B$27,DATOS!$I$2:$I$20000)&gt;0)*(DATOS!$K$2:$K$20000))/SUMPRODUCT((DATOS!$A$2:$A$20000=G871)*(DATOS!$G$2:$G$20000=CONFIG_METADATA!$B$4)*(COUNTIF(CONFIG_ASIGNATURAS!$B$7:$B$27,DATOS!$I$2:$I$20000)&gt;0)*1),"")))</f>
        <v/>
      </c>
      <c r="N871" t="str">
        <f>IF(M871="","",IF(M871="[FÓRMULA MANUAL]","",IFERROR(AVERAGEIFS(DATOS!$K$2:$K$20000,DATOS!$A$2:$A$20000,M871,DATOS!$G$2:$G$20000,CONFIG_METADATA!$B$4,DATOS!$I$2:$I$20000,"Armonía"),"")))</f>
        <v/>
      </c>
      <c r="O871" t="str">
        <f>IF(M871="","",IF(M871="[FÓRMULA MANUAL]","",IFERROR(AVERAGEIFS(DATOS!$K$2:$K$20000,DATOS!$A$2:$A$20000,M871,DATOS!$G$2:$G$20000,CONFIG_METADATA!$B$4,DATOS!$I$2:$I$20000,"Orquesta/Banda/Conjunto"),"")))</f>
        <v/>
      </c>
      <c r="P871" t="str">
        <f>IF(M871="","",IF(M871="[FÓRMULA MANUAL]","",IFERROR(AVERAGEIFS(DATOS!$K$2:$K$20000,DATOS!$A$2:$A$20000,M871,DATOS!$G$2:$G$20000,CONFIG_METADATA!$B$4,DATOS!$I$2:$I$20000,"Música de Cámara"),"")))</f>
        <v/>
      </c>
      <c r="Q871" t="str">
        <f>IF(M871="","",IF(M871="[FÓRMULA MANUAL]","",IFERROR(SUMPRODUCT((DATOS!$A$2:$A$20000=M871)*(DATOS!$G$2:$G$20000=CONFIG_METADATA!$B$4)*(COUNTIF(CONFIG_ASIGNATURAS!$B$7:$B$27,DATOS!$I$2:$I$20000)&gt;0)*(DATOS!$K$2:$K$20000))/SUMPRODUCT((DATOS!$A$2:$A$20000=M871)*(DATOS!$G$2:$G$20000=CONFIG_METADATA!$B$4)*(COUNTIF(CONFIG_ASIGNATURAS!$B$7:$B$27,DATOS!$I$2:$I$20000)&gt;0)*1),"")))</f>
        <v/>
      </c>
      <c r="T871" t="str">
        <f>IF(S871="","",IF(S871="[FÓRMULA MANUAL]","",IFERROR(AVERAGEIFS(DATOS!$K$2:$K$20000,DATOS!$A$2:$A$20000,S871,DATOS!$G$2:$G$20000,CONFIG_METADATA!$B$4,DATOS!$I$2:$I$20000,"Armonía"),"")))</f>
        <v/>
      </c>
      <c r="U871" t="str">
        <f>IF(S871="","",IF(S871="[FÓRMULA MANUAL]","",IFERROR(AVERAGEIFS(DATOS!$K$2:$K$20000,DATOS!$A$2:$A$20000,S871,DATOS!$G$2:$G$20000,CONFIG_METADATA!$B$4,DATOS!$I$2:$I$20000,"Orquesta/Banda/Conjunto"),"")))</f>
        <v/>
      </c>
      <c r="V871" t="str">
        <f>IF(S871="","",IF(S871="[FÓRMULA MANUAL]","",IFERROR(AVERAGEIFS(DATOS!$K$2:$K$20000,DATOS!$A$2:$A$20000,S871,DATOS!$G$2:$G$20000,CONFIG_METADATA!$B$4,DATOS!$I$2:$I$20000,"Música de Cámara"),"")))</f>
        <v/>
      </c>
      <c r="W871" t="str">
        <f>IF(S871="","",IF(S871="[FÓRMULA MANUAL]","",IFERROR(SUMPRODUCT((DATOS!$A$2:$A$20000=S871)*(DATOS!$G$2:$G$20000=CONFIG_METADATA!$B$4)*(COUNTIF(CONFIG_ASIGNATURAS!$B$7:$B$27,DATOS!$I$2:$I$20000)&gt;0)*(DATOS!$K$2:$K$20000))/SUMPRODUCT((DATOS!$A$2:$A$20000=S871)*(DATOS!$G$2:$G$20000=CONFIG_METADATA!$B$4)*(COUNTIF(CONFIG_ASIGNATURAS!$B$7:$B$27,DATOS!$I$2:$I$20000)&gt;0)*1),"")))</f>
        <v/>
      </c>
      <c r="Z871" t="str">
        <f>IF(Y871="","",IF(Y871="[FÓRMULA MANUAL]","",IFERROR(AVERAGEIFS(DATOS!$K$2:$K$20000,DATOS!$A$2:$A$20000,Y871,DATOS!$G$2:$G$20000,CONFIG_METADATA!$B$4,DATOS!$I$2:$I$20000,"Análisis"),"")))</f>
        <v/>
      </c>
      <c r="AA871" t="str">
        <f>IF(Y871="","",IF(Y871="[FÓRMULA MANUAL]","",IFERROR(AVERAGEIFS(DATOS!$K$2:$K$20000,DATOS!$A$2:$A$20000,Y871,DATOS!$G$2:$G$20000,CONFIG_METADATA!$B$4,DATOS!$I$2:$I$20000,"Orquesta/Banda/Conjunto"),"")))</f>
        <v/>
      </c>
      <c r="AB871" t="str">
        <f>IF(Y871="","",IF(Y871="[FÓRMULA MANUAL]","",IFERROR(AVERAGEIFS(DATOS!$K$2:$K$20000,DATOS!$A$2:$A$20000,Y871,DATOS!$G$2:$G$20000,CONFIG_METADATA!$B$4,DATOS!$I$2:$I$20000,"Música de Cámara"),"")))</f>
        <v/>
      </c>
      <c r="AC871" t="str">
        <f>IF(Y871="","",IF(Y871="[FÓRMULA MANUAL]","",IFERROR(SUMPRODUCT((DATOS!$A$2:$A$20000=Y871)*(DATOS!$G$2:$G$20000=CONFIG_METADATA!$B$4)*(COUNTIF(CONFIG_ASIGNATURAS!$B$7:$B$27,DATOS!$I$2:$I$20000)&gt;0)*(DATOS!$K$2:$K$20000))/SUMPRODUCT((DATOS!$A$2:$A$20000=Y871)*(DATOS!$G$2:$G$20000=CONFIG_METADATA!$B$4)*(COUNTIF(CONFIG_ASIGNATURAS!$B$7:$B$27,DATOS!$I$2:$I$20000)&gt;0)*1),"")))</f>
        <v/>
      </c>
      <c r="AF871" t="str">
        <f>IF(AE871="","",IF(AE871="[FÓRMULA MANUAL]","",IFERROR(AVERAGEIFS(DATOS!$K$2:$K$20000,DATOS!$A$2:$A$20000,AE871,DATOS!$G$2:$G$20000,CONFIG_METADATA!$B$4,DATOS!$I$2:$I$20000,"Análisis"),"")))</f>
        <v/>
      </c>
      <c r="AG871" t="str">
        <f>IF(AE871="","",IF(AE871="[FÓRMULA MANUAL]","",IFERROR(AVERAGEIFS(DATOS!$K$2:$K$20000,DATOS!$A$2:$A$20000,AE871,DATOS!$G$2:$G$20000,CONFIG_METADATA!$B$4,DATOS!$I$2:$I$20000,"Orquesta/Banda/Conjunto"),"")))</f>
        <v/>
      </c>
      <c r="AH871" t="str">
        <f>IF(AE871="","",IF(AE871="[FÓRMULA MANUAL]","",IFERROR(AVERAGEIFS(DATOS!$K$2:$K$20000,DATOS!$A$2:$A$20000,AE871,DATOS!$G$2:$G$20000,CONFIG_METADATA!$B$4,DATOS!$I$2:$I$20000,"Música de Cámara"),"")))</f>
        <v/>
      </c>
      <c r="AI871" t="str">
        <f>IF(AE871="","",IF(AE871="[FÓRMULA MANUAL]","",IFERROR(SUMPRODUCT((DATOS!$A$2:$A$20000=AE871)*(DATOS!$G$2:$G$20000=CONFIG_METADATA!$B$4)*(COUNTIF(CONFIG_ASIGNATURAS!$B$7:$B$27,DATOS!$I$2:$I$20000)&gt;0)*(DATOS!$K$2:$K$20000))/SUMPRODUCT((DATOS!$A$2:$A$20000=AE871)*(DATOS!$G$2:$G$20000=CONFIG_METADATA!$B$4)*(COUNTIF(CONFIG_ASIGNATURAS!$B$7:$B$27,DATOS!$I$2:$I$20000)&gt;0)*1),"")))</f>
        <v/>
      </c>
    </row>
    <row r="872" spans="2:35" x14ac:dyDescent="0.2">
      <c r="B872" t="str">
        <f>IF(A872="","",IF(A872="[FÓRMULA MANUAL]","",IFERROR(AVERAGEIFS(DATOS!$K$2:$K$20000,DATOS!$A$2:$A$20000,A872,DATOS!$G$2:$G$20000,CONFIG_METADATA!$B$4,DATOS!$I$2:$I$20000,"Lenguaje Musical"),"")))</f>
        <v/>
      </c>
      <c r="C872" t="str">
        <f>IF(A872="","",IF(A872="[FÓRMULA MANUAL]","",IFERROR(AVERAGEIFS(DATOS!$K$2:$K$20000,DATOS!$A$2:$A$20000,A872,DATOS!$G$2:$G$20000,CONFIG_METADATA!$B$4,DATOS!$I$2:$I$20000,"Orquesta/Banda/Conjunto"),"")))</f>
        <v/>
      </c>
      <c r="D872" t="str">
        <f>IF(A872="","",IF(A872="[FÓRMULA MANUAL]","",IFERROR(AVERAGEIFS(DATOS!$K$2:$K$20000,DATOS!$A$2:$A$20000,A872,DATOS!$G$2:$G$20000,CONFIG_METADATA!$B$4,DATOS!$I$2:$I$20000,"Conjunto"),"")))</f>
        <v/>
      </c>
      <c r="E872" t="str">
        <f>IF(A872="","",IF(A872="[FÓRMULA MANUAL]","",IFERROR(SUMPRODUCT((DATOS!$A$2:$A$20000=A872)*(DATOS!$G$2:$G$20000=CONFIG_METADATA!$B$4)*(COUNTIF(CONFIG_ASIGNATURAS!$B$7:$B$27,DATOS!$I$2:$I$20000)&gt;0)*(DATOS!$K$2:$K$20000))/SUMPRODUCT((DATOS!$A$2:$A$20000=A872)*(DATOS!$G$2:$G$20000=CONFIG_METADATA!$B$4)*(COUNTIF(CONFIG_ASIGNATURAS!$B$7:$B$27,DATOS!$I$2:$I$20000)&gt;0)*1),"")))</f>
        <v/>
      </c>
      <c r="H872" t="str">
        <f>IF(G872="","",IF(G872="[FÓRMULA MANUAL]","",IFERROR(AVERAGEIFS(DATOS!$K$2:$K$20000,DATOS!$A$2:$A$20000,G872,DATOS!$G$2:$G$20000,CONFIG_METADATA!$B$4,DATOS!$I$2:$I$20000,"Lenguaje Musical"),"")))</f>
        <v/>
      </c>
      <c r="I872" t="str">
        <f>IF(G872="","",IF(G872="[FÓRMULA MANUAL]","",IFERROR(AVERAGEIFS(DATOS!$K$2:$K$20000,DATOS!$A$2:$A$20000,G872,DATOS!$G$2:$G$20000,CONFIG_METADATA!$B$4,DATOS!$I$2:$I$20000,"Orquesta/Banda/Conjunto"),"")))</f>
        <v/>
      </c>
      <c r="J872" t="str">
        <f>IF(G872="","",IF(G872="[FÓRMULA MANUAL]","",IFERROR(AVERAGEIFS(DATOS!$K$2:$K$20000,DATOS!$A$2:$A$20000,G872,DATOS!$G$2:$G$20000,CONFIG_METADATA!$B$4,DATOS!$I$2:$I$20000,"Conjunto"),"")))</f>
        <v/>
      </c>
      <c r="K872" t="str">
        <f>IF(G872="","",IF(G872="[FÓRMULA MANUAL]","",IFERROR(SUMPRODUCT((DATOS!$A$2:$A$20000=G872)*(DATOS!$G$2:$G$20000=CONFIG_METADATA!$B$4)*(COUNTIF(CONFIG_ASIGNATURAS!$B$7:$B$27,DATOS!$I$2:$I$20000)&gt;0)*(DATOS!$K$2:$K$20000))/SUMPRODUCT((DATOS!$A$2:$A$20000=G872)*(DATOS!$G$2:$G$20000=CONFIG_METADATA!$B$4)*(COUNTIF(CONFIG_ASIGNATURAS!$B$7:$B$27,DATOS!$I$2:$I$20000)&gt;0)*1),"")))</f>
        <v/>
      </c>
      <c r="N872" t="str">
        <f>IF(M872="","",IF(M872="[FÓRMULA MANUAL]","",IFERROR(AVERAGEIFS(DATOS!$K$2:$K$20000,DATOS!$A$2:$A$20000,M872,DATOS!$G$2:$G$20000,CONFIG_METADATA!$B$4,DATOS!$I$2:$I$20000,"Armonía"),"")))</f>
        <v/>
      </c>
      <c r="O872" t="str">
        <f>IF(M872="","",IF(M872="[FÓRMULA MANUAL]","",IFERROR(AVERAGEIFS(DATOS!$K$2:$K$20000,DATOS!$A$2:$A$20000,M872,DATOS!$G$2:$G$20000,CONFIG_METADATA!$B$4,DATOS!$I$2:$I$20000,"Orquesta/Banda/Conjunto"),"")))</f>
        <v/>
      </c>
      <c r="P872" t="str">
        <f>IF(M872="","",IF(M872="[FÓRMULA MANUAL]","",IFERROR(AVERAGEIFS(DATOS!$K$2:$K$20000,DATOS!$A$2:$A$20000,M872,DATOS!$G$2:$G$20000,CONFIG_METADATA!$B$4,DATOS!$I$2:$I$20000,"Música de Cámara"),"")))</f>
        <v/>
      </c>
      <c r="Q872" t="str">
        <f>IF(M872="","",IF(M872="[FÓRMULA MANUAL]","",IFERROR(SUMPRODUCT((DATOS!$A$2:$A$20000=M872)*(DATOS!$G$2:$G$20000=CONFIG_METADATA!$B$4)*(COUNTIF(CONFIG_ASIGNATURAS!$B$7:$B$27,DATOS!$I$2:$I$20000)&gt;0)*(DATOS!$K$2:$K$20000))/SUMPRODUCT((DATOS!$A$2:$A$20000=M872)*(DATOS!$G$2:$G$20000=CONFIG_METADATA!$B$4)*(COUNTIF(CONFIG_ASIGNATURAS!$B$7:$B$27,DATOS!$I$2:$I$20000)&gt;0)*1),"")))</f>
        <v/>
      </c>
      <c r="T872" t="str">
        <f>IF(S872="","",IF(S872="[FÓRMULA MANUAL]","",IFERROR(AVERAGEIFS(DATOS!$K$2:$K$20000,DATOS!$A$2:$A$20000,S872,DATOS!$G$2:$G$20000,CONFIG_METADATA!$B$4,DATOS!$I$2:$I$20000,"Armonía"),"")))</f>
        <v/>
      </c>
      <c r="U872" t="str">
        <f>IF(S872="","",IF(S872="[FÓRMULA MANUAL]","",IFERROR(AVERAGEIFS(DATOS!$K$2:$K$20000,DATOS!$A$2:$A$20000,S872,DATOS!$G$2:$G$20000,CONFIG_METADATA!$B$4,DATOS!$I$2:$I$20000,"Orquesta/Banda/Conjunto"),"")))</f>
        <v/>
      </c>
      <c r="V872" t="str">
        <f>IF(S872="","",IF(S872="[FÓRMULA MANUAL]","",IFERROR(AVERAGEIFS(DATOS!$K$2:$K$20000,DATOS!$A$2:$A$20000,S872,DATOS!$G$2:$G$20000,CONFIG_METADATA!$B$4,DATOS!$I$2:$I$20000,"Música de Cámara"),"")))</f>
        <v/>
      </c>
      <c r="W872" t="str">
        <f>IF(S872="","",IF(S872="[FÓRMULA MANUAL]","",IFERROR(SUMPRODUCT((DATOS!$A$2:$A$20000=S872)*(DATOS!$G$2:$G$20000=CONFIG_METADATA!$B$4)*(COUNTIF(CONFIG_ASIGNATURAS!$B$7:$B$27,DATOS!$I$2:$I$20000)&gt;0)*(DATOS!$K$2:$K$20000))/SUMPRODUCT((DATOS!$A$2:$A$20000=S872)*(DATOS!$G$2:$G$20000=CONFIG_METADATA!$B$4)*(COUNTIF(CONFIG_ASIGNATURAS!$B$7:$B$27,DATOS!$I$2:$I$20000)&gt;0)*1),"")))</f>
        <v/>
      </c>
      <c r="Z872" t="str">
        <f>IF(Y872="","",IF(Y872="[FÓRMULA MANUAL]","",IFERROR(AVERAGEIFS(DATOS!$K$2:$K$20000,DATOS!$A$2:$A$20000,Y872,DATOS!$G$2:$G$20000,CONFIG_METADATA!$B$4,DATOS!$I$2:$I$20000,"Análisis"),"")))</f>
        <v/>
      </c>
      <c r="AA872" t="str">
        <f>IF(Y872="","",IF(Y872="[FÓRMULA MANUAL]","",IFERROR(AVERAGEIFS(DATOS!$K$2:$K$20000,DATOS!$A$2:$A$20000,Y872,DATOS!$G$2:$G$20000,CONFIG_METADATA!$B$4,DATOS!$I$2:$I$20000,"Orquesta/Banda/Conjunto"),"")))</f>
        <v/>
      </c>
      <c r="AB872" t="str">
        <f>IF(Y872="","",IF(Y872="[FÓRMULA MANUAL]","",IFERROR(AVERAGEIFS(DATOS!$K$2:$K$20000,DATOS!$A$2:$A$20000,Y872,DATOS!$G$2:$G$20000,CONFIG_METADATA!$B$4,DATOS!$I$2:$I$20000,"Música de Cámara"),"")))</f>
        <v/>
      </c>
      <c r="AC872" t="str">
        <f>IF(Y872="","",IF(Y872="[FÓRMULA MANUAL]","",IFERROR(SUMPRODUCT((DATOS!$A$2:$A$20000=Y872)*(DATOS!$G$2:$G$20000=CONFIG_METADATA!$B$4)*(COUNTIF(CONFIG_ASIGNATURAS!$B$7:$B$27,DATOS!$I$2:$I$20000)&gt;0)*(DATOS!$K$2:$K$20000))/SUMPRODUCT((DATOS!$A$2:$A$20000=Y872)*(DATOS!$G$2:$G$20000=CONFIG_METADATA!$B$4)*(COUNTIF(CONFIG_ASIGNATURAS!$B$7:$B$27,DATOS!$I$2:$I$20000)&gt;0)*1),"")))</f>
        <v/>
      </c>
      <c r="AF872" t="str">
        <f>IF(AE872="","",IF(AE872="[FÓRMULA MANUAL]","",IFERROR(AVERAGEIFS(DATOS!$K$2:$K$20000,DATOS!$A$2:$A$20000,AE872,DATOS!$G$2:$G$20000,CONFIG_METADATA!$B$4,DATOS!$I$2:$I$20000,"Análisis"),"")))</f>
        <v/>
      </c>
      <c r="AG872" t="str">
        <f>IF(AE872="","",IF(AE872="[FÓRMULA MANUAL]","",IFERROR(AVERAGEIFS(DATOS!$K$2:$K$20000,DATOS!$A$2:$A$20000,AE872,DATOS!$G$2:$G$20000,CONFIG_METADATA!$B$4,DATOS!$I$2:$I$20000,"Orquesta/Banda/Conjunto"),"")))</f>
        <v/>
      </c>
      <c r="AH872" t="str">
        <f>IF(AE872="","",IF(AE872="[FÓRMULA MANUAL]","",IFERROR(AVERAGEIFS(DATOS!$K$2:$K$20000,DATOS!$A$2:$A$20000,AE872,DATOS!$G$2:$G$20000,CONFIG_METADATA!$B$4,DATOS!$I$2:$I$20000,"Música de Cámara"),"")))</f>
        <v/>
      </c>
      <c r="AI872" t="str">
        <f>IF(AE872="","",IF(AE872="[FÓRMULA MANUAL]","",IFERROR(SUMPRODUCT((DATOS!$A$2:$A$20000=AE872)*(DATOS!$G$2:$G$20000=CONFIG_METADATA!$B$4)*(COUNTIF(CONFIG_ASIGNATURAS!$B$7:$B$27,DATOS!$I$2:$I$20000)&gt;0)*(DATOS!$K$2:$K$20000))/SUMPRODUCT((DATOS!$A$2:$A$20000=AE872)*(DATOS!$G$2:$G$20000=CONFIG_METADATA!$B$4)*(COUNTIF(CONFIG_ASIGNATURAS!$B$7:$B$27,DATOS!$I$2:$I$20000)&gt;0)*1),"")))</f>
        <v/>
      </c>
    </row>
    <row r="873" spans="2:35" x14ac:dyDescent="0.2">
      <c r="B873" t="str">
        <f>IF(A873="","",IF(A873="[FÓRMULA MANUAL]","",IFERROR(AVERAGEIFS(DATOS!$K$2:$K$20000,DATOS!$A$2:$A$20000,A873,DATOS!$G$2:$G$20000,CONFIG_METADATA!$B$4,DATOS!$I$2:$I$20000,"Lenguaje Musical"),"")))</f>
        <v/>
      </c>
      <c r="C873" t="str">
        <f>IF(A873="","",IF(A873="[FÓRMULA MANUAL]","",IFERROR(AVERAGEIFS(DATOS!$K$2:$K$20000,DATOS!$A$2:$A$20000,A873,DATOS!$G$2:$G$20000,CONFIG_METADATA!$B$4,DATOS!$I$2:$I$20000,"Orquesta/Banda/Conjunto"),"")))</f>
        <v/>
      </c>
      <c r="D873" t="str">
        <f>IF(A873="","",IF(A873="[FÓRMULA MANUAL]","",IFERROR(AVERAGEIFS(DATOS!$K$2:$K$20000,DATOS!$A$2:$A$20000,A873,DATOS!$G$2:$G$20000,CONFIG_METADATA!$B$4,DATOS!$I$2:$I$20000,"Conjunto"),"")))</f>
        <v/>
      </c>
      <c r="E873" t="str">
        <f>IF(A873="","",IF(A873="[FÓRMULA MANUAL]","",IFERROR(SUMPRODUCT((DATOS!$A$2:$A$20000=A873)*(DATOS!$G$2:$G$20000=CONFIG_METADATA!$B$4)*(COUNTIF(CONFIG_ASIGNATURAS!$B$7:$B$27,DATOS!$I$2:$I$20000)&gt;0)*(DATOS!$K$2:$K$20000))/SUMPRODUCT((DATOS!$A$2:$A$20000=A873)*(DATOS!$G$2:$G$20000=CONFIG_METADATA!$B$4)*(COUNTIF(CONFIG_ASIGNATURAS!$B$7:$B$27,DATOS!$I$2:$I$20000)&gt;0)*1),"")))</f>
        <v/>
      </c>
      <c r="H873" t="str">
        <f>IF(G873="","",IF(G873="[FÓRMULA MANUAL]","",IFERROR(AVERAGEIFS(DATOS!$K$2:$K$20000,DATOS!$A$2:$A$20000,G873,DATOS!$G$2:$G$20000,CONFIG_METADATA!$B$4,DATOS!$I$2:$I$20000,"Lenguaje Musical"),"")))</f>
        <v/>
      </c>
      <c r="I873" t="str">
        <f>IF(G873="","",IF(G873="[FÓRMULA MANUAL]","",IFERROR(AVERAGEIFS(DATOS!$K$2:$K$20000,DATOS!$A$2:$A$20000,G873,DATOS!$G$2:$G$20000,CONFIG_METADATA!$B$4,DATOS!$I$2:$I$20000,"Orquesta/Banda/Conjunto"),"")))</f>
        <v/>
      </c>
      <c r="J873" t="str">
        <f>IF(G873="","",IF(G873="[FÓRMULA MANUAL]","",IFERROR(AVERAGEIFS(DATOS!$K$2:$K$20000,DATOS!$A$2:$A$20000,G873,DATOS!$G$2:$G$20000,CONFIG_METADATA!$B$4,DATOS!$I$2:$I$20000,"Conjunto"),"")))</f>
        <v/>
      </c>
      <c r="K873" t="str">
        <f>IF(G873="","",IF(G873="[FÓRMULA MANUAL]","",IFERROR(SUMPRODUCT((DATOS!$A$2:$A$20000=G873)*(DATOS!$G$2:$G$20000=CONFIG_METADATA!$B$4)*(COUNTIF(CONFIG_ASIGNATURAS!$B$7:$B$27,DATOS!$I$2:$I$20000)&gt;0)*(DATOS!$K$2:$K$20000))/SUMPRODUCT((DATOS!$A$2:$A$20000=G873)*(DATOS!$G$2:$G$20000=CONFIG_METADATA!$B$4)*(COUNTIF(CONFIG_ASIGNATURAS!$B$7:$B$27,DATOS!$I$2:$I$20000)&gt;0)*1),"")))</f>
        <v/>
      </c>
      <c r="N873" t="str">
        <f>IF(M873="","",IF(M873="[FÓRMULA MANUAL]","",IFERROR(AVERAGEIFS(DATOS!$K$2:$K$20000,DATOS!$A$2:$A$20000,M873,DATOS!$G$2:$G$20000,CONFIG_METADATA!$B$4,DATOS!$I$2:$I$20000,"Armonía"),"")))</f>
        <v/>
      </c>
      <c r="O873" t="str">
        <f>IF(M873="","",IF(M873="[FÓRMULA MANUAL]","",IFERROR(AVERAGEIFS(DATOS!$K$2:$K$20000,DATOS!$A$2:$A$20000,M873,DATOS!$G$2:$G$20000,CONFIG_METADATA!$B$4,DATOS!$I$2:$I$20000,"Orquesta/Banda/Conjunto"),"")))</f>
        <v/>
      </c>
      <c r="P873" t="str">
        <f>IF(M873="","",IF(M873="[FÓRMULA MANUAL]","",IFERROR(AVERAGEIFS(DATOS!$K$2:$K$20000,DATOS!$A$2:$A$20000,M873,DATOS!$G$2:$G$20000,CONFIG_METADATA!$B$4,DATOS!$I$2:$I$20000,"Música de Cámara"),"")))</f>
        <v/>
      </c>
      <c r="Q873" t="str">
        <f>IF(M873="","",IF(M873="[FÓRMULA MANUAL]","",IFERROR(SUMPRODUCT((DATOS!$A$2:$A$20000=M873)*(DATOS!$G$2:$G$20000=CONFIG_METADATA!$B$4)*(COUNTIF(CONFIG_ASIGNATURAS!$B$7:$B$27,DATOS!$I$2:$I$20000)&gt;0)*(DATOS!$K$2:$K$20000))/SUMPRODUCT((DATOS!$A$2:$A$20000=M873)*(DATOS!$G$2:$G$20000=CONFIG_METADATA!$B$4)*(COUNTIF(CONFIG_ASIGNATURAS!$B$7:$B$27,DATOS!$I$2:$I$20000)&gt;0)*1),"")))</f>
        <v/>
      </c>
      <c r="T873" t="str">
        <f>IF(S873="","",IF(S873="[FÓRMULA MANUAL]","",IFERROR(AVERAGEIFS(DATOS!$K$2:$K$20000,DATOS!$A$2:$A$20000,S873,DATOS!$G$2:$G$20000,CONFIG_METADATA!$B$4,DATOS!$I$2:$I$20000,"Armonía"),"")))</f>
        <v/>
      </c>
      <c r="U873" t="str">
        <f>IF(S873="","",IF(S873="[FÓRMULA MANUAL]","",IFERROR(AVERAGEIFS(DATOS!$K$2:$K$20000,DATOS!$A$2:$A$20000,S873,DATOS!$G$2:$G$20000,CONFIG_METADATA!$B$4,DATOS!$I$2:$I$20000,"Orquesta/Banda/Conjunto"),"")))</f>
        <v/>
      </c>
      <c r="V873" t="str">
        <f>IF(S873="","",IF(S873="[FÓRMULA MANUAL]","",IFERROR(AVERAGEIFS(DATOS!$K$2:$K$20000,DATOS!$A$2:$A$20000,S873,DATOS!$G$2:$G$20000,CONFIG_METADATA!$B$4,DATOS!$I$2:$I$20000,"Música de Cámara"),"")))</f>
        <v/>
      </c>
      <c r="W873" t="str">
        <f>IF(S873="","",IF(S873="[FÓRMULA MANUAL]","",IFERROR(SUMPRODUCT((DATOS!$A$2:$A$20000=S873)*(DATOS!$G$2:$G$20000=CONFIG_METADATA!$B$4)*(COUNTIF(CONFIG_ASIGNATURAS!$B$7:$B$27,DATOS!$I$2:$I$20000)&gt;0)*(DATOS!$K$2:$K$20000))/SUMPRODUCT((DATOS!$A$2:$A$20000=S873)*(DATOS!$G$2:$G$20000=CONFIG_METADATA!$B$4)*(COUNTIF(CONFIG_ASIGNATURAS!$B$7:$B$27,DATOS!$I$2:$I$20000)&gt;0)*1),"")))</f>
        <v/>
      </c>
      <c r="Z873" t="str">
        <f>IF(Y873="","",IF(Y873="[FÓRMULA MANUAL]","",IFERROR(AVERAGEIFS(DATOS!$K$2:$K$20000,DATOS!$A$2:$A$20000,Y873,DATOS!$G$2:$G$20000,CONFIG_METADATA!$B$4,DATOS!$I$2:$I$20000,"Análisis"),"")))</f>
        <v/>
      </c>
      <c r="AA873" t="str">
        <f>IF(Y873="","",IF(Y873="[FÓRMULA MANUAL]","",IFERROR(AVERAGEIFS(DATOS!$K$2:$K$20000,DATOS!$A$2:$A$20000,Y873,DATOS!$G$2:$G$20000,CONFIG_METADATA!$B$4,DATOS!$I$2:$I$20000,"Orquesta/Banda/Conjunto"),"")))</f>
        <v/>
      </c>
      <c r="AB873" t="str">
        <f>IF(Y873="","",IF(Y873="[FÓRMULA MANUAL]","",IFERROR(AVERAGEIFS(DATOS!$K$2:$K$20000,DATOS!$A$2:$A$20000,Y873,DATOS!$G$2:$G$20000,CONFIG_METADATA!$B$4,DATOS!$I$2:$I$20000,"Música de Cámara"),"")))</f>
        <v/>
      </c>
      <c r="AC873" t="str">
        <f>IF(Y873="","",IF(Y873="[FÓRMULA MANUAL]","",IFERROR(SUMPRODUCT((DATOS!$A$2:$A$20000=Y873)*(DATOS!$G$2:$G$20000=CONFIG_METADATA!$B$4)*(COUNTIF(CONFIG_ASIGNATURAS!$B$7:$B$27,DATOS!$I$2:$I$20000)&gt;0)*(DATOS!$K$2:$K$20000))/SUMPRODUCT((DATOS!$A$2:$A$20000=Y873)*(DATOS!$G$2:$G$20000=CONFIG_METADATA!$B$4)*(COUNTIF(CONFIG_ASIGNATURAS!$B$7:$B$27,DATOS!$I$2:$I$20000)&gt;0)*1),"")))</f>
        <v/>
      </c>
      <c r="AF873" t="str">
        <f>IF(AE873="","",IF(AE873="[FÓRMULA MANUAL]","",IFERROR(AVERAGEIFS(DATOS!$K$2:$K$20000,DATOS!$A$2:$A$20000,AE873,DATOS!$G$2:$G$20000,CONFIG_METADATA!$B$4,DATOS!$I$2:$I$20000,"Análisis"),"")))</f>
        <v/>
      </c>
      <c r="AG873" t="str">
        <f>IF(AE873="","",IF(AE873="[FÓRMULA MANUAL]","",IFERROR(AVERAGEIFS(DATOS!$K$2:$K$20000,DATOS!$A$2:$A$20000,AE873,DATOS!$G$2:$G$20000,CONFIG_METADATA!$B$4,DATOS!$I$2:$I$20000,"Orquesta/Banda/Conjunto"),"")))</f>
        <v/>
      </c>
      <c r="AH873" t="str">
        <f>IF(AE873="","",IF(AE873="[FÓRMULA MANUAL]","",IFERROR(AVERAGEIFS(DATOS!$K$2:$K$20000,DATOS!$A$2:$A$20000,AE873,DATOS!$G$2:$G$20000,CONFIG_METADATA!$B$4,DATOS!$I$2:$I$20000,"Música de Cámara"),"")))</f>
        <v/>
      </c>
      <c r="AI873" t="str">
        <f>IF(AE873="","",IF(AE873="[FÓRMULA MANUAL]","",IFERROR(SUMPRODUCT((DATOS!$A$2:$A$20000=AE873)*(DATOS!$G$2:$G$20000=CONFIG_METADATA!$B$4)*(COUNTIF(CONFIG_ASIGNATURAS!$B$7:$B$27,DATOS!$I$2:$I$20000)&gt;0)*(DATOS!$K$2:$K$20000))/SUMPRODUCT((DATOS!$A$2:$A$20000=AE873)*(DATOS!$G$2:$G$20000=CONFIG_METADATA!$B$4)*(COUNTIF(CONFIG_ASIGNATURAS!$B$7:$B$27,DATOS!$I$2:$I$20000)&gt;0)*1),"")))</f>
        <v/>
      </c>
    </row>
    <row r="874" spans="2:35" x14ac:dyDescent="0.2">
      <c r="B874" t="str">
        <f>IF(A874="","",IF(A874="[FÓRMULA MANUAL]","",IFERROR(AVERAGEIFS(DATOS!$K$2:$K$20000,DATOS!$A$2:$A$20000,A874,DATOS!$G$2:$G$20000,CONFIG_METADATA!$B$4,DATOS!$I$2:$I$20000,"Lenguaje Musical"),"")))</f>
        <v/>
      </c>
      <c r="C874" t="str">
        <f>IF(A874="","",IF(A874="[FÓRMULA MANUAL]","",IFERROR(AVERAGEIFS(DATOS!$K$2:$K$20000,DATOS!$A$2:$A$20000,A874,DATOS!$G$2:$G$20000,CONFIG_METADATA!$B$4,DATOS!$I$2:$I$20000,"Orquesta/Banda/Conjunto"),"")))</f>
        <v/>
      </c>
      <c r="D874" t="str">
        <f>IF(A874="","",IF(A874="[FÓRMULA MANUAL]","",IFERROR(AVERAGEIFS(DATOS!$K$2:$K$20000,DATOS!$A$2:$A$20000,A874,DATOS!$G$2:$G$20000,CONFIG_METADATA!$B$4,DATOS!$I$2:$I$20000,"Conjunto"),"")))</f>
        <v/>
      </c>
      <c r="E874" t="str">
        <f>IF(A874="","",IF(A874="[FÓRMULA MANUAL]","",IFERROR(SUMPRODUCT((DATOS!$A$2:$A$20000=A874)*(DATOS!$G$2:$G$20000=CONFIG_METADATA!$B$4)*(COUNTIF(CONFIG_ASIGNATURAS!$B$7:$B$27,DATOS!$I$2:$I$20000)&gt;0)*(DATOS!$K$2:$K$20000))/SUMPRODUCT((DATOS!$A$2:$A$20000=A874)*(DATOS!$G$2:$G$20000=CONFIG_METADATA!$B$4)*(COUNTIF(CONFIG_ASIGNATURAS!$B$7:$B$27,DATOS!$I$2:$I$20000)&gt;0)*1),"")))</f>
        <v/>
      </c>
      <c r="H874" t="str">
        <f>IF(G874="","",IF(G874="[FÓRMULA MANUAL]","",IFERROR(AVERAGEIFS(DATOS!$K$2:$K$20000,DATOS!$A$2:$A$20000,G874,DATOS!$G$2:$G$20000,CONFIG_METADATA!$B$4,DATOS!$I$2:$I$20000,"Lenguaje Musical"),"")))</f>
        <v/>
      </c>
      <c r="I874" t="str">
        <f>IF(G874="","",IF(G874="[FÓRMULA MANUAL]","",IFERROR(AVERAGEIFS(DATOS!$K$2:$K$20000,DATOS!$A$2:$A$20000,G874,DATOS!$G$2:$G$20000,CONFIG_METADATA!$B$4,DATOS!$I$2:$I$20000,"Orquesta/Banda/Conjunto"),"")))</f>
        <v/>
      </c>
      <c r="J874" t="str">
        <f>IF(G874="","",IF(G874="[FÓRMULA MANUAL]","",IFERROR(AVERAGEIFS(DATOS!$K$2:$K$20000,DATOS!$A$2:$A$20000,G874,DATOS!$G$2:$G$20000,CONFIG_METADATA!$B$4,DATOS!$I$2:$I$20000,"Conjunto"),"")))</f>
        <v/>
      </c>
      <c r="K874" t="str">
        <f>IF(G874="","",IF(G874="[FÓRMULA MANUAL]","",IFERROR(SUMPRODUCT((DATOS!$A$2:$A$20000=G874)*(DATOS!$G$2:$G$20000=CONFIG_METADATA!$B$4)*(COUNTIF(CONFIG_ASIGNATURAS!$B$7:$B$27,DATOS!$I$2:$I$20000)&gt;0)*(DATOS!$K$2:$K$20000))/SUMPRODUCT((DATOS!$A$2:$A$20000=G874)*(DATOS!$G$2:$G$20000=CONFIG_METADATA!$B$4)*(COUNTIF(CONFIG_ASIGNATURAS!$B$7:$B$27,DATOS!$I$2:$I$20000)&gt;0)*1),"")))</f>
        <v/>
      </c>
      <c r="N874" t="str">
        <f>IF(M874="","",IF(M874="[FÓRMULA MANUAL]","",IFERROR(AVERAGEIFS(DATOS!$K$2:$K$20000,DATOS!$A$2:$A$20000,M874,DATOS!$G$2:$G$20000,CONFIG_METADATA!$B$4,DATOS!$I$2:$I$20000,"Armonía"),"")))</f>
        <v/>
      </c>
      <c r="O874" t="str">
        <f>IF(M874="","",IF(M874="[FÓRMULA MANUAL]","",IFERROR(AVERAGEIFS(DATOS!$K$2:$K$20000,DATOS!$A$2:$A$20000,M874,DATOS!$G$2:$G$20000,CONFIG_METADATA!$B$4,DATOS!$I$2:$I$20000,"Orquesta/Banda/Conjunto"),"")))</f>
        <v/>
      </c>
      <c r="P874" t="str">
        <f>IF(M874="","",IF(M874="[FÓRMULA MANUAL]","",IFERROR(AVERAGEIFS(DATOS!$K$2:$K$20000,DATOS!$A$2:$A$20000,M874,DATOS!$G$2:$G$20000,CONFIG_METADATA!$B$4,DATOS!$I$2:$I$20000,"Música de Cámara"),"")))</f>
        <v/>
      </c>
      <c r="Q874" t="str">
        <f>IF(M874="","",IF(M874="[FÓRMULA MANUAL]","",IFERROR(SUMPRODUCT((DATOS!$A$2:$A$20000=M874)*(DATOS!$G$2:$G$20000=CONFIG_METADATA!$B$4)*(COUNTIF(CONFIG_ASIGNATURAS!$B$7:$B$27,DATOS!$I$2:$I$20000)&gt;0)*(DATOS!$K$2:$K$20000))/SUMPRODUCT((DATOS!$A$2:$A$20000=M874)*(DATOS!$G$2:$G$20000=CONFIG_METADATA!$B$4)*(COUNTIF(CONFIG_ASIGNATURAS!$B$7:$B$27,DATOS!$I$2:$I$20000)&gt;0)*1),"")))</f>
        <v/>
      </c>
      <c r="T874" t="str">
        <f>IF(S874="","",IF(S874="[FÓRMULA MANUAL]","",IFERROR(AVERAGEIFS(DATOS!$K$2:$K$20000,DATOS!$A$2:$A$20000,S874,DATOS!$G$2:$G$20000,CONFIG_METADATA!$B$4,DATOS!$I$2:$I$20000,"Armonía"),"")))</f>
        <v/>
      </c>
      <c r="U874" t="str">
        <f>IF(S874="","",IF(S874="[FÓRMULA MANUAL]","",IFERROR(AVERAGEIFS(DATOS!$K$2:$K$20000,DATOS!$A$2:$A$20000,S874,DATOS!$G$2:$G$20000,CONFIG_METADATA!$B$4,DATOS!$I$2:$I$20000,"Orquesta/Banda/Conjunto"),"")))</f>
        <v/>
      </c>
      <c r="V874" t="str">
        <f>IF(S874="","",IF(S874="[FÓRMULA MANUAL]","",IFERROR(AVERAGEIFS(DATOS!$K$2:$K$20000,DATOS!$A$2:$A$20000,S874,DATOS!$G$2:$G$20000,CONFIG_METADATA!$B$4,DATOS!$I$2:$I$20000,"Música de Cámara"),"")))</f>
        <v/>
      </c>
      <c r="W874" t="str">
        <f>IF(S874="","",IF(S874="[FÓRMULA MANUAL]","",IFERROR(SUMPRODUCT((DATOS!$A$2:$A$20000=S874)*(DATOS!$G$2:$G$20000=CONFIG_METADATA!$B$4)*(COUNTIF(CONFIG_ASIGNATURAS!$B$7:$B$27,DATOS!$I$2:$I$20000)&gt;0)*(DATOS!$K$2:$K$20000))/SUMPRODUCT((DATOS!$A$2:$A$20000=S874)*(DATOS!$G$2:$G$20000=CONFIG_METADATA!$B$4)*(COUNTIF(CONFIG_ASIGNATURAS!$B$7:$B$27,DATOS!$I$2:$I$20000)&gt;0)*1),"")))</f>
        <v/>
      </c>
      <c r="Z874" t="str">
        <f>IF(Y874="","",IF(Y874="[FÓRMULA MANUAL]","",IFERROR(AVERAGEIFS(DATOS!$K$2:$K$20000,DATOS!$A$2:$A$20000,Y874,DATOS!$G$2:$G$20000,CONFIG_METADATA!$B$4,DATOS!$I$2:$I$20000,"Análisis"),"")))</f>
        <v/>
      </c>
      <c r="AA874" t="str">
        <f>IF(Y874="","",IF(Y874="[FÓRMULA MANUAL]","",IFERROR(AVERAGEIFS(DATOS!$K$2:$K$20000,DATOS!$A$2:$A$20000,Y874,DATOS!$G$2:$G$20000,CONFIG_METADATA!$B$4,DATOS!$I$2:$I$20000,"Orquesta/Banda/Conjunto"),"")))</f>
        <v/>
      </c>
      <c r="AB874" t="str">
        <f>IF(Y874="","",IF(Y874="[FÓRMULA MANUAL]","",IFERROR(AVERAGEIFS(DATOS!$K$2:$K$20000,DATOS!$A$2:$A$20000,Y874,DATOS!$G$2:$G$20000,CONFIG_METADATA!$B$4,DATOS!$I$2:$I$20000,"Música de Cámara"),"")))</f>
        <v/>
      </c>
      <c r="AC874" t="str">
        <f>IF(Y874="","",IF(Y874="[FÓRMULA MANUAL]","",IFERROR(SUMPRODUCT((DATOS!$A$2:$A$20000=Y874)*(DATOS!$G$2:$G$20000=CONFIG_METADATA!$B$4)*(COUNTIF(CONFIG_ASIGNATURAS!$B$7:$B$27,DATOS!$I$2:$I$20000)&gt;0)*(DATOS!$K$2:$K$20000))/SUMPRODUCT((DATOS!$A$2:$A$20000=Y874)*(DATOS!$G$2:$G$20000=CONFIG_METADATA!$B$4)*(COUNTIF(CONFIG_ASIGNATURAS!$B$7:$B$27,DATOS!$I$2:$I$20000)&gt;0)*1),"")))</f>
        <v/>
      </c>
      <c r="AF874" t="str">
        <f>IF(AE874="","",IF(AE874="[FÓRMULA MANUAL]","",IFERROR(AVERAGEIFS(DATOS!$K$2:$K$20000,DATOS!$A$2:$A$20000,AE874,DATOS!$G$2:$G$20000,CONFIG_METADATA!$B$4,DATOS!$I$2:$I$20000,"Análisis"),"")))</f>
        <v/>
      </c>
      <c r="AG874" t="str">
        <f>IF(AE874="","",IF(AE874="[FÓRMULA MANUAL]","",IFERROR(AVERAGEIFS(DATOS!$K$2:$K$20000,DATOS!$A$2:$A$20000,AE874,DATOS!$G$2:$G$20000,CONFIG_METADATA!$B$4,DATOS!$I$2:$I$20000,"Orquesta/Banda/Conjunto"),"")))</f>
        <v/>
      </c>
      <c r="AH874" t="str">
        <f>IF(AE874="","",IF(AE874="[FÓRMULA MANUAL]","",IFERROR(AVERAGEIFS(DATOS!$K$2:$K$20000,DATOS!$A$2:$A$20000,AE874,DATOS!$G$2:$G$20000,CONFIG_METADATA!$B$4,DATOS!$I$2:$I$20000,"Música de Cámara"),"")))</f>
        <v/>
      </c>
      <c r="AI874" t="str">
        <f>IF(AE874="","",IF(AE874="[FÓRMULA MANUAL]","",IFERROR(SUMPRODUCT((DATOS!$A$2:$A$20000=AE874)*(DATOS!$G$2:$G$20000=CONFIG_METADATA!$B$4)*(COUNTIF(CONFIG_ASIGNATURAS!$B$7:$B$27,DATOS!$I$2:$I$20000)&gt;0)*(DATOS!$K$2:$K$20000))/SUMPRODUCT((DATOS!$A$2:$A$20000=AE874)*(DATOS!$G$2:$G$20000=CONFIG_METADATA!$B$4)*(COUNTIF(CONFIG_ASIGNATURAS!$B$7:$B$27,DATOS!$I$2:$I$20000)&gt;0)*1),"")))</f>
        <v/>
      </c>
    </row>
    <row r="875" spans="2:35" x14ac:dyDescent="0.2">
      <c r="B875" t="str">
        <f>IF(A875="","",IF(A875="[FÓRMULA MANUAL]","",IFERROR(AVERAGEIFS(DATOS!$K$2:$K$20000,DATOS!$A$2:$A$20000,A875,DATOS!$G$2:$G$20000,CONFIG_METADATA!$B$4,DATOS!$I$2:$I$20000,"Lenguaje Musical"),"")))</f>
        <v/>
      </c>
      <c r="C875" t="str">
        <f>IF(A875="","",IF(A875="[FÓRMULA MANUAL]","",IFERROR(AVERAGEIFS(DATOS!$K$2:$K$20000,DATOS!$A$2:$A$20000,A875,DATOS!$G$2:$G$20000,CONFIG_METADATA!$B$4,DATOS!$I$2:$I$20000,"Orquesta/Banda/Conjunto"),"")))</f>
        <v/>
      </c>
      <c r="D875" t="str">
        <f>IF(A875="","",IF(A875="[FÓRMULA MANUAL]","",IFERROR(AVERAGEIFS(DATOS!$K$2:$K$20000,DATOS!$A$2:$A$20000,A875,DATOS!$G$2:$G$20000,CONFIG_METADATA!$B$4,DATOS!$I$2:$I$20000,"Conjunto"),"")))</f>
        <v/>
      </c>
      <c r="E875" t="str">
        <f>IF(A875="","",IF(A875="[FÓRMULA MANUAL]","",IFERROR(SUMPRODUCT((DATOS!$A$2:$A$20000=A875)*(DATOS!$G$2:$G$20000=CONFIG_METADATA!$B$4)*(COUNTIF(CONFIG_ASIGNATURAS!$B$7:$B$27,DATOS!$I$2:$I$20000)&gt;0)*(DATOS!$K$2:$K$20000))/SUMPRODUCT((DATOS!$A$2:$A$20000=A875)*(DATOS!$G$2:$G$20000=CONFIG_METADATA!$B$4)*(COUNTIF(CONFIG_ASIGNATURAS!$B$7:$B$27,DATOS!$I$2:$I$20000)&gt;0)*1),"")))</f>
        <v/>
      </c>
      <c r="H875" t="str">
        <f>IF(G875="","",IF(G875="[FÓRMULA MANUAL]","",IFERROR(AVERAGEIFS(DATOS!$K$2:$K$20000,DATOS!$A$2:$A$20000,G875,DATOS!$G$2:$G$20000,CONFIG_METADATA!$B$4,DATOS!$I$2:$I$20000,"Lenguaje Musical"),"")))</f>
        <v/>
      </c>
      <c r="I875" t="str">
        <f>IF(G875="","",IF(G875="[FÓRMULA MANUAL]","",IFERROR(AVERAGEIFS(DATOS!$K$2:$K$20000,DATOS!$A$2:$A$20000,G875,DATOS!$G$2:$G$20000,CONFIG_METADATA!$B$4,DATOS!$I$2:$I$20000,"Orquesta/Banda/Conjunto"),"")))</f>
        <v/>
      </c>
      <c r="J875" t="str">
        <f>IF(G875="","",IF(G875="[FÓRMULA MANUAL]","",IFERROR(AVERAGEIFS(DATOS!$K$2:$K$20000,DATOS!$A$2:$A$20000,G875,DATOS!$G$2:$G$20000,CONFIG_METADATA!$B$4,DATOS!$I$2:$I$20000,"Conjunto"),"")))</f>
        <v/>
      </c>
      <c r="K875" t="str">
        <f>IF(G875="","",IF(G875="[FÓRMULA MANUAL]","",IFERROR(SUMPRODUCT((DATOS!$A$2:$A$20000=G875)*(DATOS!$G$2:$G$20000=CONFIG_METADATA!$B$4)*(COUNTIF(CONFIG_ASIGNATURAS!$B$7:$B$27,DATOS!$I$2:$I$20000)&gt;0)*(DATOS!$K$2:$K$20000))/SUMPRODUCT((DATOS!$A$2:$A$20000=G875)*(DATOS!$G$2:$G$20000=CONFIG_METADATA!$B$4)*(COUNTIF(CONFIG_ASIGNATURAS!$B$7:$B$27,DATOS!$I$2:$I$20000)&gt;0)*1),"")))</f>
        <v/>
      </c>
      <c r="N875" t="str">
        <f>IF(M875="","",IF(M875="[FÓRMULA MANUAL]","",IFERROR(AVERAGEIFS(DATOS!$K$2:$K$20000,DATOS!$A$2:$A$20000,M875,DATOS!$G$2:$G$20000,CONFIG_METADATA!$B$4,DATOS!$I$2:$I$20000,"Armonía"),"")))</f>
        <v/>
      </c>
      <c r="O875" t="str">
        <f>IF(M875="","",IF(M875="[FÓRMULA MANUAL]","",IFERROR(AVERAGEIFS(DATOS!$K$2:$K$20000,DATOS!$A$2:$A$20000,M875,DATOS!$G$2:$G$20000,CONFIG_METADATA!$B$4,DATOS!$I$2:$I$20000,"Orquesta/Banda/Conjunto"),"")))</f>
        <v/>
      </c>
      <c r="P875" t="str">
        <f>IF(M875="","",IF(M875="[FÓRMULA MANUAL]","",IFERROR(AVERAGEIFS(DATOS!$K$2:$K$20000,DATOS!$A$2:$A$20000,M875,DATOS!$G$2:$G$20000,CONFIG_METADATA!$B$4,DATOS!$I$2:$I$20000,"Música de Cámara"),"")))</f>
        <v/>
      </c>
      <c r="Q875" t="str">
        <f>IF(M875="","",IF(M875="[FÓRMULA MANUAL]","",IFERROR(SUMPRODUCT((DATOS!$A$2:$A$20000=M875)*(DATOS!$G$2:$G$20000=CONFIG_METADATA!$B$4)*(COUNTIF(CONFIG_ASIGNATURAS!$B$7:$B$27,DATOS!$I$2:$I$20000)&gt;0)*(DATOS!$K$2:$K$20000))/SUMPRODUCT((DATOS!$A$2:$A$20000=M875)*(DATOS!$G$2:$G$20000=CONFIG_METADATA!$B$4)*(COUNTIF(CONFIG_ASIGNATURAS!$B$7:$B$27,DATOS!$I$2:$I$20000)&gt;0)*1),"")))</f>
        <v/>
      </c>
      <c r="T875" t="str">
        <f>IF(S875="","",IF(S875="[FÓRMULA MANUAL]","",IFERROR(AVERAGEIFS(DATOS!$K$2:$K$20000,DATOS!$A$2:$A$20000,S875,DATOS!$G$2:$G$20000,CONFIG_METADATA!$B$4,DATOS!$I$2:$I$20000,"Armonía"),"")))</f>
        <v/>
      </c>
      <c r="U875" t="str">
        <f>IF(S875="","",IF(S875="[FÓRMULA MANUAL]","",IFERROR(AVERAGEIFS(DATOS!$K$2:$K$20000,DATOS!$A$2:$A$20000,S875,DATOS!$G$2:$G$20000,CONFIG_METADATA!$B$4,DATOS!$I$2:$I$20000,"Orquesta/Banda/Conjunto"),"")))</f>
        <v/>
      </c>
      <c r="V875" t="str">
        <f>IF(S875="","",IF(S875="[FÓRMULA MANUAL]","",IFERROR(AVERAGEIFS(DATOS!$K$2:$K$20000,DATOS!$A$2:$A$20000,S875,DATOS!$G$2:$G$20000,CONFIG_METADATA!$B$4,DATOS!$I$2:$I$20000,"Música de Cámara"),"")))</f>
        <v/>
      </c>
      <c r="W875" t="str">
        <f>IF(S875="","",IF(S875="[FÓRMULA MANUAL]","",IFERROR(SUMPRODUCT((DATOS!$A$2:$A$20000=S875)*(DATOS!$G$2:$G$20000=CONFIG_METADATA!$B$4)*(COUNTIF(CONFIG_ASIGNATURAS!$B$7:$B$27,DATOS!$I$2:$I$20000)&gt;0)*(DATOS!$K$2:$K$20000))/SUMPRODUCT((DATOS!$A$2:$A$20000=S875)*(DATOS!$G$2:$G$20000=CONFIG_METADATA!$B$4)*(COUNTIF(CONFIG_ASIGNATURAS!$B$7:$B$27,DATOS!$I$2:$I$20000)&gt;0)*1),"")))</f>
        <v/>
      </c>
      <c r="Z875" t="str">
        <f>IF(Y875="","",IF(Y875="[FÓRMULA MANUAL]","",IFERROR(AVERAGEIFS(DATOS!$K$2:$K$20000,DATOS!$A$2:$A$20000,Y875,DATOS!$G$2:$G$20000,CONFIG_METADATA!$B$4,DATOS!$I$2:$I$20000,"Análisis"),"")))</f>
        <v/>
      </c>
      <c r="AA875" t="str">
        <f>IF(Y875="","",IF(Y875="[FÓRMULA MANUAL]","",IFERROR(AVERAGEIFS(DATOS!$K$2:$K$20000,DATOS!$A$2:$A$20000,Y875,DATOS!$G$2:$G$20000,CONFIG_METADATA!$B$4,DATOS!$I$2:$I$20000,"Orquesta/Banda/Conjunto"),"")))</f>
        <v/>
      </c>
      <c r="AB875" t="str">
        <f>IF(Y875="","",IF(Y875="[FÓRMULA MANUAL]","",IFERROR(AVERAGEIFS(DATOS!$K$2:$K$20000,DATOS!$A$2:$A$20000,Y875,DATOS!$G$2:$G$20000,CONFIG_METADATA!$B$4,DATOS!$I$2:$I$20000,"Música de Cámara"),"")))</f>
        <v/>
      </c>
      <c r="AC875" t="str">
        <f>IF(Y875="","",IF(Y875="[FÓRMULA MANUAL]","",IFERROR(SUMPRODUCT((DATOS!$A$2:$A$20000=Y875)*(DATOS!$G$2:$G$20000=CONFIG_METADATA!$B$4)*(COUNTIF(CONFIG_ASIGNATURAS!$B$7:$B$27,DATOS!$I$2:$I$20000)&gt;0)*(DATOS!$K$2:$K$20000))/SUMPRODUCT((DATOS!$A$2:$A$20000=Y875)*(DATOS!$G$2:$G$20000=CONFIG_METADATA!$B$4)*(COUNTIF(CONFIG_ASIGNATURAS!$B$7:$B$27,DATOS!$I$2:$I$20000)&gt;0)*1),"")))</f>
        <v/>
      </c>
      <c r="AF875" t="str">
        <f>IF(AE875="","",IF(AE875="[FÓRMULA MANUAL]","",IFERROR(AVERAGEIFS(DATOS!$K$2:$K$20000,DATOS!$A$2:$A$20000,AE875,DATOS!$G$2:$G$20000,CONFIG_METADATA!$B$4,DATOS!$I$2:$I$20000,"Análisis"),"")))</f>
        <v/>
      </c>
      <c r="AG875" t="str">
        <f>IF(AE875="","",IF(AE875="[FÓRMULA MANUAL]","",IFERROR(AVERAGEIFS(DATOS!$K$2:$K$20000,DATOS!$A$2:$A$20000,AE875,DATOS!$G$2:$G$20000,CONFIG_METADATA!$B$4,DATOS!$I$2:$I$20000,"Orquesta/Banda/Conjunto"),"")))</f>
        <v/>
      </c>
      <c r="AH875" t="str">
        <f>IF(AE875="","",IF(AE875="[FÓRMULA MANUAL]","",IFERROR(AVERAGEIFS(DATOS!$K$2:$K$20000,DATOS!$A$2:$A$20000,AE875,DATOS!$G$2:$G$20000,CONFIG_METADATA!$B$4,DATOS!$I$2:$I$20000,"Música de Cámara"),"")))</f>
        <v/>
      </c>
      <c r="AI875" t="str">
        <f>IF(AE875="","",IF(AE875="[FÓRMULA MANUAL]","",IFERROR(SUMPRODUCT((DATOS!$A$2:$A$20000=AE875)*(DATOS!$G$2:$G$20000=CONFIG_METADATA!$B$4)*(COUNTIF(CONFIG_ASIGNATURAS!$B$7:$B$27,DATOS!$I$2:$I$20000)&gt;0)*(DATOS!$K$2:$K$20000))/SUMPRODUCT((DATOS!$A$2:$A$20000=AE875)*(DATOS!$G$2:$G$20000=CONFIG_METADATA!$B$4)*(COUNTIF(CONFIG_ASIGNATURAS!$B$7:$B$27,DATOS!$I$2:$I$20000)&gt;0)*1),"")))</f>
        <v/>
      </c>
    </row>
    <row r="876" spans="2:35" x14ac:dyDescent="0.2">
      <c r="B876" t="str">
        <f>IF(A876="","",IF(A876="[FÓRMULA MANUAL]","",IFERROR(AVERAGEIFS(DATOS!$K$2:$K$20000,DATOS!$A$2:$A$20000,A876,DATOS!$G$2:$G$20000,CONFIG_METADATA!$B$4,DATOS!$I$2:$I$20000,"Lenguaje Musical"),"")))</f>
        <v/>
      </c>
      <c r="C876" t="str">
        <f>IF(A876="","",IF(A876="[FÓRMULA MANUAL]","",IFERROR(AVERAGEIFS(DATOS!$K$2:$K$20000,DATOS!$A$2:$A$20000,A876,DATOS!$G$2:$G$20000,CONFIG_METADATA!$B$4,DATOS!$I$2:$I$20000,"Orquesta/Banda/Conjunto"),"")))</f>
        <v/>
      </c>
      <c r="D876" t="str">
        <f>IF(A876="","",IF(A876="[FÓRMULA MANUAL]","",IFERROR(AVERAGEIFS(DATOS!$K$2:$K$20000,DATOS!$A$2:$A$20000,A876,DATOS!$G$2:$G$20000,CONFIG_METADATA!$B$4,DATOS!$I$2:$I$20000,"Conjunto"),"")))</f>
        <v/>
      </c>
      <c r="E876" t="str">
        <f>IF(A876="","",IF(A876="[FÓRMULA MANUAL]","",IFERROR(SUMPRODUCT((DATOS!$A$2:$A$20000=A876)*(DATOS!$G$2:$G$20000=CONFIG_METADATA!$B$4)*(COUNTIF(CONFIG_ASIGNATURAS!$B$7:$B$27,DATOS!$I$2:$I$20000)&gt;0)*(DATOS!$K$2:$K$20000))/SUMPRODUCT((DATOS!$A$2:$A$20000=A876)*(DATOS!$G$2:$G$20000=CONFIG_METADATA!$B$4)*(COUNTIF(CONFIG_ASIGNATURAS!$B$7:$B$27,DATOS!$I$2:$I$20000)&gt;0)*1),"")))</f>
        <v/>
      </c>
      <c r="H876" t="str">
        <f>IF(G876="","",IF(G876="[FÓRMULA MANUAL]","",IFERROR(AVERAGEIFS(DATOS!$K$2:$K$20000,DATOS!$A$2:$A$20000,G876,DATOS!$G$2:$G$20000,CONFIG_METADATA!$B$4,DATOS!$I$2:$I$20000,"Lenguaje Musical"),"")))</f>
        <v/>
      </c>
      <c r="I876" t="str">
        <f>IF(G876="","",IF(G876="[FÓRMULA MANUAL]","",IFERROR(AVERAGEIFS(DATOS!$K$2:$K$20000,DATOS!$A$2:$A$20000,G876,DATOS!$G$2:$G$20000,CONFIG_METADATA!$B$4,DATOS!$I$2:$I$20000,"Orquesta/Banda/Conjunto"),"")))</f>
        <v/>
      </c>
      <c r="J876" t="str">
        <f>IF(G876="","",IF(G876="[FÓRMULA MANUAL]","",IFERROR(AVERAGEIFS(DATOS!$K$2:$K$20000,DATOS!$A$2:$A$20000,G876,DATOS!$G$2:$G$20000,CONFIG_METADATA!$B$4,DATOS!$I$2:$I$20000,"Conjunto"),"")))</f>
        <v/>
      </c>
      <c r="K876" t="str">
        <f>IF(G876="","",IF(G876="[FÓRMULA MANUAL]","",IFERROR(SUMPRODUCT((DATOS!$A$2:$A$20000=G876)*(DATOS!$G$2:$G$20000=CONFIG_METADATA!$B$4)*(COUNTIF(CONFIG_ASIGNATURAS!$B$7:$B$27,DATOS!$I$2:$I$20000)&gt;0)*(DATOS!$K$2:$K$20000))/SUMPRODUCT((DATOS!$A$2:$A$20000=G876)*(DATOS!$G$2:$G$20000=CONFIG_METADATA!$B$4)*(COUNTIF(CONFIG_ASIGNATURAS!$B$7:$B$27,DATOS!$I$2:$I$20000)&gt;0)*1),"")))</f>
        <v/>
      </c>
      <c r="N876" t="str">
        <f>IF(M876="","",IF(M876="[FÓRMULA MANUAL]","",IFERROR(AVERAGEIFS(DATOS!$K$2:$K$20000,DATOS!$A$2:$A$20000,M876,DATOS!$G$2:$G$20000,CONFIG_METADATA!$B$4,DATOS!$I$2:$I$20000,"Armonía"),"")))</f>
        <v/>
      </c>
      <c r="O876" t="str">
        <f>IF(M876="","",IF(M876="[FÓRMULA MANUAL]","",IFERROR(AVERAGEIFS(DATOS!$K$2:$K$20000,DATOS!$A$2:$A$20000,M876,DATOS!$G$2:$G$20000,CONFIG_METADATA!$B$4,DATOS!$I$2:$I$20000,"Orquesta/Banda/Conjunto"),"")))</f>
        <v/>
      </c>
      <c r="P876" t="str">
        <f>IF(M876="","",IF(M876="[FÓRMULA MANUAL]","",IFERROR(AVERAGEIFS(DATOS!$K$2:$K$20000,DATOS!$A$2:$A$20000,M876,DATOS!$G$2:$G$20000,CONFIG_METADATA!$B$4,DATOS!$I$2:$I$20000,"Música de Cámara"),"")))</f>
        <v/>
      </c>
      <c r="Q876" t="str">
        <f>IF(M876="","",IF(M876="[FÓRMULA MANUAL]","",IFERROR(SUMPRODUCT((DATOS!$A$2:$A$20000=M876)*(DATOS!$G$2:$G$20000=CONFIG_METADATA!$B$4)*(COUNTIF(CONFIG_ASIGNATURAS!$B$7:$B$27,DATOS!$I$2:$I$20000)&gt;0)*(DATOS!$K$2:$K$20000))/SUMPRODUCT((DATOS!$A$2:$A$20000=M876)*(DATOS!$G$2:$G$20000=CONFIG_METADATA!$B$4)*(COUNTIF(CONFIG_ASIGNATURAS!$B$7:$B$27,DATOS!$I$2:$I$20000)&gt;0)*1),"")))</f>
        <v/>
      </c>
      <c r="T876" t="str">
        <f>IF(S876="","",IF(S876="[FÓRMULA MANUAL]","",IFERROR(AVERAGEIFS(DATOS!$K$2:$K$20000,DATOS!$A$2:$A$20000,S876,DATOS!$G$2:$G$20000,CONFIG_METADATA!$B$4,DATOS!$I$2:$I$20000,"Armonía"),"")))</f>
        <v/>
      </c>
      <c r="U876" t="str">
        <f>IF(S876="","",IF(S876="[FÓRMULA MANUAL]","",IFERROR(AVERAGEIFS(DATOS!$K$2:$K$20000,DATOS!$A$2:$A$20000,S876,DATOS!$G$2:$G$20000,CONFIG_METADATA!$B$4,DATOS!$I$2:$I$20000,"Orquesta/Banda/Conjunto"),"")))</f>
        <v/>
      </c>
      <c r="V876" t="str">
        <f>IF(S876="","",IF(S876="[FÓRMULA MANUAL]","",IFERROR(AVERAGEIFS(DATOS!$K$2:$K$20000,DATOS!$A$2:$A$20000,S876,DATOS!$G$2:$G$20000,CONFIG_METADATA!$B$4,DATOS!$I$2:$I$20000,"Música de Cámara"),"")))</f>
        <v/>
      </c>
      <c r="W876" t="str">
        <f>IF(S876="","",IF(S876="[FÓRMULA MANUAL]","",IFERROR(SUMPRODUCT((DATOS!$A$2:$A$20000=S876)*(DATOS!$G$2:$G$20000=CONFIG_METADATA!$B$4)*(COUNTIF(CONFIG_ASIGNATURAS!$B$7:$B$27,DATOS!$I$2:$I$20000)&gt;0)*(DATOS!$K$2:$K$20000))/SUMPRODUCT((DATOS!$A$2:$A$20000=S876)*(DATOS!$G$2:$G$20000=CONFIG_METADATA!$B$4)*(COUNTIF(CONFIG_ASIGNATURAS!$B$7:$B$27,DATOS!$I$2:$I$20000)&gt;0)*1),"")))</f>
        <v/>
      </c>
      <c r="Z876" t="str">
        <f>IF(Y876="","",IF(Y876="[FÓRMULA MANUAL]","",IFERROR(AVERAGEIFS(DATOS!$K$2:$K$20000,DATOS!$A$2:$A$20000,Y876,DATOS!$G$2:$G$20000,CONFIG_METADATA!$B$4,DATOS!$I$2:$I$20000,"Análisis"),"")))</f>
        <v/>
      </c>
      <c r="AA876" t="str">
        <f>IF(Y876="","",IF(Y876="[FÓRMULA MANUAL]","",IFERROR(AVERAGEIFS(DATOS!$K$2:$K$20000,DATOS!$A$2:$A$20000,Y876,DATOS!$G$2:$G$20000,CONFIG_METADATA!$B$4,DATOS!$I$2:$I$20000,"Orquesta/Banda/Conjunto"),"")))</f>
        <v/>
      </c>
      <c r="AB876" t="str">
        <f>IF(Y876="","",IF(Y876="[FÓRMULA MANUAL]","",IFERROR(AVERAGEIFS(DATOS!$K$2:$K$20000,DATOS!$A$2:$A$20000,Y876,DATOS!$G$2:$G$20000,CONFIG_METADATA!$B$4,DATOS!$I$2:$I$20000,"Música de Cámara"),"")))</f>
        <v/>
      </c>
      <c r="AC876" t="str">
        <f>IF(Y876="","",IF(Y876="[FÓRMULA MANUAL]","",IFERROR(SUMPRODUCT((DATOS!$A$2:$A$20000=Y876)*(DATOS!$G$2:$G$20000=CONFIG_METADATA!$B$4)*(COUNTIF(CONFIG_ASIGNATURAS!$B$7:$B$27,DATOS!$I$2:$I$20000)&gt;0)*(DATOS!$K$2:$K$20000))/SUMPRODUCT((DATOS!$A$2:$A$20000=Y876)*(DATOS!$G$2:$G$20000=CONFIG_METADATA!$B$4)*(COUNTIF(CONFIG_ASIGNATURAS!$B$7:$B$27,DATOS!$I$2:$I$20000)&gt;0)*1),"")))</f>
        <v/>
      </c>
      <c r="AF876" t="str">
        <f>IF(AE876="","",IF(AE876="[FÓRMULA MANUAL]","",IFERROR(AVERAGEIFS(DATOS!$K$2:$K$20000,DATOS!$A$2:$A$20000,AE876,DATOS!$G$2:$G$20000,CONFIG_METADATA!$B$4,DATOS!$I$2:$I$20000,"Análisis"),"")))</f>
        <v/>
      </c>
      <c r="AG876" t="str">
        <f>IF(AE876="","",IF(AE876="[FÓRMULA MANUAL]","",IFERROR(AVERAGEIFS(DATOS!$K$2:$K$20000,DATOS!$A$2:$A$20000,AE876,DATOS!$G$2:$G$20000,CONFIG_METADATA!$B$4,DATOS!$I$2:$I$20000,"Orquesta/Banda/Conjunto"),"")))</f>
        <v/>
      </c>
      <c r="AH876" t="str">
        <f>IF(AE876="","",IF(AE876="[FÓRMULA MANUAL]","",IFERROR(AVERAGEIFS(DATOS!$K$2:$K$20000,DATOS!$A$2:$A$20000,AE876,DATOS!$G$2:$G$20000,CONFIG_METADATA!$B$4,DATOS!$I$2:$I$20000,"Música de Cámara"),"")))</f>
        <v/>
      </c>
      <c r="AI876" t="str">
        <f>IF(AE876="","",IF(AE876="[FÓRMULA MANUAL]","",IFERROR(SUMPRODUCT((DATOS!$A$2:$A$20000=AE876)*(DATOS!$G$2:$G$20000=CONFIG_METADATA!$B$4)*(COUNTIF(CONFIG_ASIGNATURAS!$B$7:$B$27,DATOS!$I$2:$I$20000)&gt;0)*(DATOS!$K$2:$K$20000))/SUMPRODUCT((DATOS!$A$2:$A$20000=AE876)*(DATOS!$G$2:$G$20000=CONFIG_METADATA!$B$4)*(COUNTIF(CONFIG_ASIGNATURAS!$B$7:$B$27,DATOS!$I$2:$I$20000)&gt;0)*1),"")))</f>
        <v/>
      </c>
    </row>
    <row r="877" spans="2:35" x14ac:dyDescent="0.2">
      <c r="B877" t="str">
        <f>IF(A877="","",IF(A877="[FÓRMULA MANUAL]","",IFERROR(AVERAGEIFS(DATOS!$K$2:$K$20000,DATOS!$A$2:$A$20000,A877,DATOS!$G$2:$G$20000,CONFIG_METADATA!$B$4,DATOS!$I$2:$I$20000,"Lenguaje Musical"),"")))</f>
        <v/>
      </c>
      <c r="C877" t="str">
        <f>IF(A877="","",IF(A877="[FÓRMULA MANUAL]","",IFERROR(AVERAGEIFS(DATOS!$K$2:$K$20000,DATOS!$A$2:$A$20000,A877,DATOS!$G$2:$G$20000,CONFIG_METADATA!$B$4,DATOS!$I$2:$I$20000,"Orquesta/Banda/Conjunto"),"")))</f>
        <v/>
      </c>
      <c r="D877" t="str">
        <f>IF(A877="","",IF(A877="[FÓRMULA MANUAL]","",IFERROR(AVERAGEIFS(DATOS!$K$2:$K$20000,DATOS!$A$2:$A$20000,A877,DATOS!$G$2:$G$20000,CONFIG_METADATA!$B$4,DATOS!$I$2:$I$20000,"Conjunto"),"")))</f>
        <v/>
      </c>
      <c r="E877" t="str">
        <f>IF(A877="","",IF(A877="[FÓRMULA MANUAL]","",IFERROR(SUMPRODUCT((DATOS!$A$2:$A$20000=A877)*(DATOS!$G$2:$G$20000=CONFIG_METADATA!$B$4)*(COUNTIF(CONFIG_ASIGNATURAS!$B$7:$B$27,DATOS!$I$2:$I$20000)&gt;0)*(DATOS!$K$2:$K$20000))/SUMPRODUCT((DATOS!$A$2:$A$20000=A877)*(DATOS!$G$2:$G$20000=CONFIG_METADATA!$B$4)*(COUNTIF(CONFIG_ASIGNATURAS!$B$7:$B$27,DATOS!$I$2:$I$20000)&gt;0)*1),"")))</f>
        <v/>
      </c>
      <c r="H877" t="str">
        <f>IF(G877="","",IF(G877="[FÓRMULA MANUAL]","",IFERROR(AVERAGEIFS(DATOS!$K$2:$K$20000,DATOS!$A$2:$A$20000,G877,DATOS!$G$2:$G$20000,CONFIG_METADATA!$B$4,DATOS!$I$2:$I$20000,"Lenguaje Musical"),"")))</f>
        <v/>
      </c>
      <c r="I877" t="str">
        <f>IF(G877="","",IF(G877="[FÓRMULA MANUAL]","",IFERROR(AVERAGEIFS(DATOS!$K$2:$K$20000,DATOS!$A$2:$A$20000,G877,DATOS!$G$2:$G$20000,CONFIG_METADATA!$B$4,DATOS!$I$2:$I$20000,"Orquesta/Banda/Conjunto"),"")))</f>
        <v/>
      </c>
      <c r="J877" t="str">
        <f>IF(G877="","",IF(G877="[FÓRMULA MANUAL]","",IFERROR(AVERAGEIFS(DATOS!$K$2:$K$20000,DATOS!$A$2:$A$20000,G877,DATOS!$G$2:$G$20000,CONFIG_METADATA!$B$4,DATOS!$I$2:$I$20000,"Conjunto"),"")))</f>
        <v/>
      </c>
      <c r="K877" t="str">
        <f>IF(G877="","",IF(G877="[FÓRMULA MANUAL]","",IFERROR(SUMPRODUCT((DATOS!$A$2:$A$20000=G877)*(DATOS!$G$2:$G$20000=CONFIG_METADATA!$B$4)*(COUNTIF(CONFIG_ASIGNATURAS!$B$7:$B$27,DATOS!$I$2:$I$20000)&gt;0)*(DATOS!$K$2:$K$20000))/SUMPRODUCT((DATOS!$A$2:$A$20000=G877)*(DATOS!$G$2:$G$20000=CONFIG_METADATA!$B$4)*(COUNTIF(CONFIG_ASIGNATURAS!$B$7:$B$27,DATOS!$I$2:$I$20000)&gt;0)*1),"")))</f>
        <v/>
      </c>
      <c r="N877" t="str">
        <f>IF(M877="","",IF(M877="[FÓRMULA MANUAL]","",IFERROR(AVERAGEIFS(DATOS!$K$2:$K$20000,DATOS!$A$2:$A$20000,M877,DATOS!$G$2:$G$20000,CONFIG_METADATA!$B$4,DATOS!$I$2:$I$20000,"Armonía"),"")))</f>
        <v/>
      </c>
      <c r="O877" t="str">
        <f>IF(M877="","",IF(M877="[FÓRMULA MANUAL]","",IFERROR(AVERAGEIFS(DATOS!$K$2:$K$20000,DATOS!$A$2:$A$20000,M877,DATOS!$G$2:$G$20000,CONFIG_METADATA!$B$4,DATOS!$I$2:$I$20000,"Orquesta/Banda/Conjunto"),"")))</f>
        <v/>
      </c>
      <c r="P877" t="str">
        <f>IF(M877="","",IF(M877="[FÓRMULA MANUAL]","",IFERROR(AVERAGEIFS(DATOS!$K$2:$K$20000,DATOS!$A$2:$A$20000,M877,DATOS!$G$2:$G$20000,CONFIG_METADATA!$B$4,DATOS!$I$2:$I$20000,"Música de Cámara"),"")))</f>
        <v/>
      </c>
      <c r="Q877" t="str">
        <f>IF(M877="","",IF(M877="[FÓRMULA MANUAL]","",IFERROR(SUMPRODUCT((DATOS!$A$2:$A$20000=M877)*(DATOS!$G$2:$G$20000=CONFIG_METADATA!$B$4)*(COUNTIF(CONFIG_ASIGNATURAS!$B$7:$B$27,DATOS!$I$2:$I$20000)&gt;0)*(DATOS!$K$2:$K$20000))/SUMPRODUCT((DATOS!$A$2:$A$20000=M877)*(DATOS!$G$2:$G$20000=CONFIG_METADATA!$B$4)*(COUNTIF(CONFIG_ASIGNATURAS!$B$7:$B$27,DATOS!$I$2:$I$20000)&gt;0)*1),"")))</f>
        <v/>
      </c>
      <c r="T877" t="str">
        <f>IF(S877="","",IF(S877="[FÓRMULA MANUAL]","",IFERROR(AVERAGEIFS(DATOS!$K$2:$K$20000,DATOS!$A$2:$A$20000,S877,DATOS!$G$2:$G$20000,CONFIG_METADATA!$B$4,DATOS!$I$2:$I$20000,"Armonía"),"")))</f>
        <v/>
      </c>
      <c r="U877" t="str">
        <f>IF(S877="","",IF(S877="[FÓRMULA MANUAL]","",IFERROR(AVERAGEIFS(DATOS!$K$2:$K$20000,DATOS!$A$2:$A$20000,S877,DATOS!$G$2:$G$20000,CONFIG_METADATA!$B$4,DATOS!$I$2:$I$20000,"Orquesta/Banda/Conjunto"),"")))</f>
        <v/>
      </c>
      <c r="V877" t="str">
        <f>IF(S877="","",IF(S877="[FÓRMULA MANUAL]","",IFERROR(AVERAGEIFS(DATOS!$K$2:$K$20000,DATOS!$A$2:$A$20000,S877,DATOS!$G$2:$G$20000,CONFIG_METADATA!$B$4,DATOS!$I$2:$I$20000,"Música de Cámara"),"")))</f>
        <v/>
      </c>
      <c r="W877" t="str">
        <f>IF(S877="","",IF(S877="[FÓRMULA MANUAL]","",IFERROR(SUMPRODUCT((DATOS!$A$2:$A$20000=S877)*(DATOS!$G$2:$G$20000=CONFIG_METADATA!$B$4)*(COUNTIF(CONFIG_ASIGNATURAS!$B$7:$B$27,DATOS!$I$2:$I$20000)&gt;0)*(DATOS!$K$2:$K$20000))/SUMPRODUCT((DATOS!$A$2:$A$20000=S877)*(DATOS!$G$2:$G$20000=CONFIG_METADATA!$B$4)*(COUNTIF(CONFIG_ASIGNATURAS!$B$7:$B$27,DATOS!$I$2:$I$20000)&gt;0)*1),"")))</f>
        <v/>
      </c>
      <c r="Z877" t="str">
        <f>IF(Y877="","",IF(Y877="[FÓRMULA MANUAL]","",IFERROR(AVERAGEIFS(DATOS!$K$2:$K$20000,DATOS!$A$2:$A$20000,Y877,DATOS!$G$2:$G$20000,CONFIG_METADATA!$B$4,DATOS!$I$2:$I$20000,"Análisis"),"")))</f>
        <v/>
      </c>
      <c r="AA877" t="str">
        <f>IF(Y877="","",IF(Y877="[FÓRMULA MANUAL]","",IFERROR(AVERAGEIFS(DATOS!$K$2:$K$20000,DATOS!$A$2:$A$20000,Y877,DATOS!$G$2:$G$20000,CONFIG_METADATA!$B$4,DATOS!$I$2:$I$20000,"Orquesta/Banda/Conjunto"),"")))</f>
        <v/>
      </c>
      <c r="AB877" t="str">
        <f>IF(Y877="","",IF(Y877="[FÓRMULA MANUAL]","",IFERROR(AVERAGEIFS(DATOS!$K$2:$K$20000,DATOS!$A$2:$A$20000,Y877,DATOS!$G$2:$G$20000,CONFIG_METADATA!$B$4,DATOS!$I$2:$I$20000,"Música de Cámara"),"")))</f>
        <v/>
      </c>
      <c r="AC877" t="str">
        <f>IF(Y877="","",IF(Y877="[FÓRMULA MANUAL]","",IFERROR(SUMPRODUCT((DATOS!$A$2:$A$20000=Y877)*(DATOS!$G$2:$G$20000=CONFIG_METADATA!$B$4)*(COUNTIF(CONFIG_ASIGNATURAS!$B$7:$B$27,DATOS!$I$2:$I$20000)&gt;0)*(DATOS!$K$2:$K$20000))/SUMPRODUCT((DATOS!$A$2:$A$20000=Y877)*(DATOS!$G$2:$G$20000=CONFIG_METADATA!$B$4)*(COUNTIF(CONFIG_ASIGNATURAS!$B$7:$B$27,DATOS!$I$2:$I$20000)&gt;0)*1),"")))</f>
        <v/>
      </c>
      <c r="AF877" t="str">
        <f>IF(AE877="","",IF(AE877="[FÓRMULA MANUAL]","",IFERROR(AVERAGEIFS(DATOS!$K$2:$K$20000,DATOS!$A$2:$A$20000,AE877,DATOS!$G$2:$G$20000,CONFIG_METADATA!$B$4,DATOS!$I$2:$I$20000,"Análisis"),"")))</f>
        <v/>
      </c>
      <c r="AG877" t="str">
        <f>IF(AE877="","",IF(AE877="[FÓRMULA MANUAL]","",IFERROR(AVERAGEIFS(DATOS!$K$2:$K$20000,DATOS!$A$2:$A$20000,AE877,DATOS!$G$2:$G$20000,CONFIG_METADATA!$B$4,DATOS!$I$2:$I$20000,"Orquesta/Banda/Conjunto"),"")))</f>
        <v/>
      </c>
      <c r="AH877" t="str">
        <f>IF(AE877="","",IF(AE877="[FÓRMULA MANUAL]","",IFERROR(AVERAGEIFS(DATOS!$K$2:$K$20000,DATOS!$A$2:$A$20000,AE877,DATOS!$G$2:$G$20000,CONFIG_METADATA!$B$4,DATOS!$I$2:$I$20000,"Música de Cámara"),"")))</f>
        <v/>
      </c>
      <c r="AI877" t="str">
        <f>IF(AE877="","",IF(AE877="[FÓRMULA MANUAL]","",IFERROR(SUMPRODUCT((DATOS!$A$2:$A$20000=AE877)*(DATOS!$G$2:$G$20000=CONFIG_METADATA!$B$4)*(COUNTIF(CONFIG_ASIGNATURAS!$B$7:$B$27,DATOS!$I$2:$I$20000)&gt;0)*(DATOS!$K$2:$K$20000))/SUMPRODUCT((DATOS!$A$2:$A$20000=AE877)*(DATOS!$G$2:$G$20000=CONFIG_METADATA!$B$4)*(COUNTIF(CONFIG_ASIGNATURAS!$B$7:$B$27,DATOS!$I$2:$I$20000)&gt;0)*1),"")))</f>
        <v/>
      </c>
    </row>
    <row r="878" spans="2:35" x14ac:dyDescent="0.2">
      <c r="B878" t="str">
        <f>IF(A878="","",IF(A878="[FÓRMULA MANUAL]","",IFERROR(AVERAGEIFS(DATOS!$K$2:$K$20000,DATOS!$A$2:$A$20000,A878,DATOS!$G$2:$G$20000,CONFIG_METADATA!$B$4,DATOS!$I$2:$I$20000,"Lenguaje Musical"),"")))</f>
        <v/>
      </c>
      <c r="C878" t="str">
        <f>IF(A878="","",IF(A878="[FÓRMULA MANUAL]","",IFERROR(AVERAGEIFS(DATOS!$K$2:$K$20000,DATOS!$A$2:$A$20000,A878,DATOS!$G$2:$G$20000,CONFIG_METADATA!$B$4,DATOS!$I$2:$I$20000,"Orquesta/Banda/Conjunto"),"")))</f>
        <v/>
      </c>
      <c r="D878" t="str">
        <f>IF(A878="","",IF(A878="[FÓRMULA MANUAL]","",IFERROR(AVERAGEIFS(DATOS!$K$2:$K$20000,DATOS!$A$2:$A$20000,A878,DATOS!$G$2:$G$20000,CONFIG_METADATA!$B$4,DATOS!$I$2:$I$20000,"Conjunto"),"")))</f>
        <v/>
      </c>
      <c r="E878" t="str">
        <f>IF(A878="","",IF(A878="[FÓRMULA MANUAL]","",IFERROR(SUMPRODUCT((DATOS!$A$2:$A$20000=A878)*(DATOS!$G$2:$G$20000=CONFIG_METADATA!$B$4)*(COUNTIF(CONFIG_ASIGNATURAS!$B$7:$B$27,DATOS!$I$2:$I$20000)&gt;0)*(DATOS!$K$2:$K$20000))/SUMPRODUCT((DATOS!$A$2:$A$20000=A878)*(DATOS!$G$2:$G$20000=CONFIG_METADATA!$B$4)*(COUNTIF(CONFIG_ASIGNATURAS!$B$7:$B$27,DATOS!$I$2:$I$20000)&gt;0)*1),"")))</f>
        <v/>
      </c>
      <c r="H878" t="str">
        <f>IF(G878="","",IF(G878="[FÓRMULA MANUAL]","",IFERROR(AVERAGEIFS(DATOS!$K$2:$K$20000,DATOS!$A$2:$A$20000,G878,DATOS!$G$2:$G$20000,CONFIG_METADATA!$B$4,DATOS!$I$2:$I$20000,"Lenguaje Musical"),"")))</f>
        <v/>
      </c>
      <c r="I878" t="str">
        <f>IF(G878="","",IF(G878="[FÓRMULA MANUAL]","",IFERROR(AVERAGEIFS(DATOS!$K$2:$K$20000,DATOS!$A$2:$A$20000,G878,DATOS!$G$2:$G$20000,CONFIG_METADATA!$B$4,DATOS!$I$2:$I$20000,"Orquesta/Banda/Conjunto"),"")))</f>
        <v/>
      </c>
      <c r="J878" t="str">
        <f>IF(G878="","",IF(G878="[FÓRMULA MANUAL]","",IFERROR(AVERAGEIFS(DATOS!$K$2:$K$20000,DATOS!$A$2:$A$20000,G878,DATOS!$G$2:$G$20000,CONFIG_METADATA!$B$4,DATOS!$I$2:$I$20000,"Conjunto"),"")))</f>
        <v/>
      </c>
      <c r="K878" t="str">
        <f>IF(G878="","",IF(G878="[FÓRMULA MANUAL]","",IFERROR(SUMPRODUCT((DATOS!$A$2:$A$20000=G878)*(DATOS!$G$2:$G$20000=CONFIG_METADATA!$B$4)*(COUNTIF(CONFIG_ASIGNATURAS!$B$7:$B$27,DATOS!$I$2:$I$20000)&gt;0)*(DATOS!$K$2:$K$20000))/SUMPRODUCT((DATOS!$A$2:$A$20000=G878)*(DATOS!$G$2:$G$20000=CONFIG_METADATA!$B$4)*(COUNTIF(CONFIG_ASIGNATURAS!$B$7:$B$27,DATOS!$I$2:$I$20000)&gt;0)*1),"")))</f>
        <v/>
      </c>
      <c r="N878" t="str">
        <f>IF(M878="","",IF(M878="[FÓRMULA MANUAL]","",IFERROR(AVERAGEIFS(DATOS!$K$2:$K$20000,DATOS!$A$2:$A$20000,M878,DATOS!$G$2:$G$20000,CONFIG_METADATA!$B$4,DATOS!$I$2:$I$20000,"Armonía"),"")))</f>
        <v/>
      </c>
      <c r="O878" t="str">
        <f>IF(M878="","",IF(M878="[FÓRMULA MANUAL]","",IFERROR(AVERAGEIFS(DATOS!$K$2:$K$20000,DATOS!$A$2:$A$20000,M878,DATOS!$G$2:$G$20000,CONFIG_METADATA!$B$4,DATOS!$I$2:$I$20000,"Orquesta/Banda/Conjunto"),"")))</f>
        <v/>
      </c>
      <c r="P878" t="str">
        <f>IF(M878="","",IF(M878="[FÓRMULA MANUAL]","",IFERROR(AVERAGEIFS(DATOS!$K$2:$K$20000,DATOS!$A$2:$A$20000,M878,DATOS!$G$2:$G$20000,CONFIG_METADATA!$B$4,DATOS!$I$2:$I$20000,"Música de Cámara"),"")))</f>
        <v/>
      </c>
      <c r="Q878" t="str">
        <f>IF(M878="","",IF(M878="[FÓRMULA MANUAL]","",IFERROR(SUMPRODUCT((DATOS!$A$2:$A$20000=M878)*(DATOS!$G$2:$G$20000=CONFIG_METADATA!$B$4)*(COUNTIF(CONFIG_ASIGNATURAS!$B$7:$B$27,DATOS!$I$2:$I$20000)&gt;0)*(DATOS!$K$2:$K$20000))/SUMPRODUCT((DATOS!$A$2:$A$20000=M878)*(DATOS!$G$2:$G$20000=CONFIG_METADATA!$B$4)*(COUNTIF(CONFIG_ASIGNATURAS!$B$7:$B$27,DATOS!$I$2:$I$20000)&gt;0)*1),"")))</f>
        <v/>
      </c>
      <c r="T878" t="str">
        <f>IF(S878="","",IF(S878="[FÓRMULA MANUAL]","",IFERROR(AVERAGEIFS(DATOS!$K$2:$K$20000,DATOS!$A$2:$A$20000,S878,DATOS!$G$2:$G$20000,CONFIG_METADATA!$B$4,DATOS!$I$2:$I$20000,"Armonía"),"")))</f>
        <v/>
      </c>
      <c r="U878" t="str">
        <f>IF(S878="","",IF(S878="[FÓRMULA MANUAL]","",IFERROR(AVERAGEIFS(DATOS!$K$2:$K$20000,DATOS!$A$2:$A$20000,S878,DATOS!$G$2:$G$20000,CONFIG_METADATA!$B$4,DATOS!$I$2:$I$20000,"Orquesta/Banda/Conjunto"),"")))</f>
        <v/>
      </c>
      <c r="V878" t="str">
        <f>IF(S878="","",IF(S878="[FÓRMULA MANUAL]","",IFERROR(AVERAGEIFS(DATOS!$K$2:$K$20000,DATOS!$A$2:$A$20000,S878,DATOS!$G$2:$G$20000,CONFIG_METADATA!$B$4,DATOS!$I$2:$I$20000,"Música de Cámara"),"")))</f>
        <v/>
      </c>
      <c r="W878" t="str">
        <f>IF(S878="","",IF(S878="[FÓRMULA MANUAL]","",IFERROR(SUMPRODUCT((DATOS!$A$2:$A$20000=S878)*(DATOS!$G$2:$G$20000=CONFIG_METADATA!$B$4)*(COUNTIF(CONFIG_ASIGNATURAS!$B$7:$B$27,DATOS!$I$2:$I$20000)&gt;0)*(DATOS!$K$2:$K$20000))/SUMPRODUCT((DATOS!$A$2:$A$20000=S878)*(DATOS!$G$2:$G$20000=CONFIG_METADATA!$B$4)*(COUNTIF(CONFIG_ASIGNATURAS!$B$7:$B$27,DATOS!$I$2:$I$20000)&gt;0)*1),"")))</f>
        <v/>
      </c>
      <c r="Z878" t="str">
        <f>IF(Y878="","",IF(Y878="[FÓRMULA MANUAL]","",IFERROR(AVERAGEIFS(DATOS!$K$2:$K$20000,DATOS!$A$2:$A$20000,Y878,DATOS!$G$2:$G$20000,CONFIG_METADATA!$B$4,DATOS!$I$2:$I$20000,"Análisis"),"")))</f>
        <v/>
      </c>
      <c r="AA878" t="str">
        <f>IF(Y878="","",IF(Y878="[FÓRMULA MANUAL]","",IFERROR(AVERAGEIFS(DATOS!$K$2:$K$20000,DATOS!$A$2:$A$20000,Y878,DATOS!$G$2:$G$20000,CONFIG_METADATA!$B$4,DATOS!$I$2:$I$20000,"Orquesta/Banda/Conjunto"),"")))</f>
        <v/>
      </c>
      <c r="AB878" t="str">
        <f>IF(Y878="","",IF(Y878="[FÓRMULA MANUAL]","",IFERROR(AVERAGEIFS(DATOS!$K$2:$K$20000,DATOS!$A$2:$A$20000,Y878,DATOS!$G$2:$G$20000,CONFIG_METADATA!$B$4,DATOS!$I$2:$I$20000,"Música de Cámara"),"")))</f>
        <v/>
      </c>
      <c r="AC878" t="str">
        <f>IF(Y878="","",IF(Y878="[FÓRMULA MANUAL]","",IFERROR(SUMPRODUCT((DATOS!$A$2:$A$20000=Y878)*(DATOS!$G$2:$G$20000=CONFIG_METADATA!$B$4)*(COUNTIF(CONFIG_ASIGNATURAS!$B$7:$B$27,DATOS!$I$2:$I$20000)&gt;0)*(DATOS!$K$2:$K$20000))/SUMPRODUCT((DATOS!$A$2:$A$20000=Y878)*(DATOS!$G$2:$G$20000=CONFIG_METADATA!$B$4)*(COUNTIF(CONFIG_ASIGNATURAS!$B$7:$B$27,DATOS!$I$2:$I$20000)&gt;0)*1),"")))</f>
        <v/>
      </c>
      <c r="AF878" t="str">
        <f>IF(AE878="","",IF(AE878="[FÓRMULA MANUAL]","",IFERROR(AVERAGEIFS(DATOS!$K$2:$K$20000,DATOS!$A$2:$A$20000,AE878,DATOS!$G$2:$G$20000,CONFIG_METADATA!$B$4,DATOS!$I$2:$I$20000,"Análisis"),"")))</f>
        <v/>
      </c>
      <c r="AG878" t="str">
        <f>IF(AE878="","",IF(AE878="[FÓRMULA MANUAL]","",IFERROR(AVERAGEIFS(DATOS!$K$2:$K$20000,DATOS!$A$2:$A$20000,AE878,DATOS!$G$2:$G$20000,CONFIG_METADATA!$B$4,DATOS!$I$2:$I$20000,"Orquesta/Banda/Conjunto"),"")))</f>
        <v/>
      </c>
      <c r="AH878" t="str">
        <f>IF(AE878="","",IF(AE878="[FÓRMULA MANUAL]","",IFERROR(AVERAGEIFS(DATOS!$K$2:$K$20000,DATOS!$A$2:$A$20000,AE878,DATOS!$G$2:$G$20000,CONFIG_METADATA!$B$4,DATOS!$I$2:$I$20000,"Música de Cámara"),"")))</f>
        <v/>
      </c>
      <c r="AI878" t="str">
        <f>IF(AE878="","",IF(AE878="[FÓRMULA MANUAL]","",IFERROR(SUMPRODUCT((DATOS!$A$2:$A$20000=AE878)*(DATOS!$G$2:$G$20000=CONFIG_METADATA!$B$4)*(COUNTIF(CONFIG_ASIGNATURAS!$B$7:$B$27,DATOS!$I$2:$I$20000)&gt;0)*(DATOS!$K$2:$K$20000))/SUMPRODUCT((DATOS!$A$2:$A$20000=AE878)*(DATOS!$G$2:$G$20000=CONFIG_METADATA!$B$4)*(COUNTIF(CONFIG_ASIGNATURAS!$B$7:$B$27,DATOS!$I$2:$I$20000)&gt;0)*1),"")))</f>
        <v/>
      </c>
    </row>
    <row r="879" spans="2:35" x14ac:dyDescent="0.2">
      <c r="B879" t="str">
        <f>IF(A879="","",IF(A879="[FÓRMULA MANUAL]","",IFERROR(AVERAGEIFS(DATOS!$K$2:$K$20000,DATOS!$A$2:$A$20000,A879,DATOS!$G$2:$G$20000,CONFIG_METADATA!$B$4,DATOS!$I$2:$I$20000,"Lenguaje Musical"),"")))</f>
        <v/>
      </c>
      <c r="C879" t="str">
        <f>IF(A879="","",IF(A879="[FÓRMULA MANUAL]","",IFERROR(AVERAGEIFS(DATOS!$K$2:$K$20000,DATOS!$A$2:$A$20000,A879,DATOS!$G$2:$G$20000,CONFIG_METADATA!$B$4,DATOS!$I$2:$I$20000,"Orquesta/Banda/Conjunto"),"")))</f>
        <v/>
      </c>
      <c r="D879" t="str">
        <f>IF(A879="","",IF(A879="[FÓRMULA MANUAL]","",IFERROR(AVERAGEIFS(DATOS!$K$2:$K$20000,DATOS!$A$2:$A$20000,A879,DATOS!$G$2:$G$20000,CONFIG_METADATA!$B$4,DATOS!$I$2:$I$20000,"Conjunto"),"")))</f>
        <v/>
      </c>
      <c r="E879" t="str">
        <f>IF(A879="","",IF(A879="[FÓRMULA MANUAL]","",IFERROR(SUMPRODUCT((DATOS!$A$2:$A$20000=A879)*(DATOS!$G$2:$G$20000=CONFIG_METADATA!$B$4)*(COUNTIF(CONFIG_ASIGNATURAS!$B$7:$B$27,DATOS!$I$2:$I$20000)&gt;0)*(DATOS!$K$2:$K$20000))/SUMPRODUCT((DATOS!$A$2:$A$20000=A879)*(DATOS!$G$2:$G$20000=CONFIG_METADATA!$B$4)*(COUNTIF(CONFIG_ASIGNATURAS!$B$7:$B$27,DATOS!$I$2:$I$20000)&gt;0)*1),"")))</f>
        <v/>
      </c>
      <c r="H879" t="str">
        <f>IF(G879="","",IF(G879="[FÓRMULA MANUAL]","",IFERROR(AVERAGEIFS(DATOS!$K$2:$K$20000,DATOS!$A$2:$A$20000,G879,DATOS!$G$2:$G$20000,CONFIG_METADATA!$B$4,DATOS!$I$2:$I$20000,"Lenguaje Musical"),"")))</f>
        <v/>
      </c>
      <c r="I879" t="str">
        <f>IF(G879="","",IF(G879="[FÓRMULA MANUAL]","",IFERROR(AVERAGEIFS(DATOS!$K$2:$K$20000,DATOS!$A$2:$A$20000,G879,DATOS!$G$2:$G$20000,CONFIG_METADATA!$B$4,DATOS!$I$2:$I$20000,"Orquesta/Banda/Conjunto"),"")))</f>
        <v/>
      </c>
      <c r="J879" t="str">
        <f>IF(G879="","",IF(G879="[FÓRMULA MANUAL]","",IFERROR(AVERAGEIFS(DATOS!$K$2:$K$20000,DATOS!$A$2:$A$20000,G879,DATOS!$G$2:$G$20000,CONFIG_METADATA!$B$4,DATOS!$I$2:$I$20000,"Conjunto"),"")))</f>
        <v/>
      </c>
      <c r="K879" t="str">
        <f>IF(G879="","",IF(G879="[FÓRMULA MANUAL]","",IFERROR(SUMPRODUCT((DATOS!$A$2:$A$20000=G879)*(DATOS!$G$2:$G$20000=CONFIG_METADATA!$B$4)*(COUNTIF(CONFIG_ASIGNATURAS!$B$7:$B$27,DATOS!$I$2:$I$20000)&gt;0)*(DATOS!$K$2:$K$20000))/SUMPRODUCT((DATOS!$A$2:$A$20000=G879)*(DATOS!$G$2:$G$20000=CONFIG_METADATA!$B$4)*(COUNTIF(CONFIG_ASIGNATURAS!$B$7:$B$27,DATOS!$I$2:$I$20000)&gt;0)*1),"")))</f>
        <v/>
      </c>
      <c r="N879" t="str">
        <f>IF(M879="","",IF(M879="[FÓRMULA MANUAL]","",IFERROR(AVERAGEIFS(DATOS!$K$2:$K$20000,DATOS!$A$2:$A$20000,M879,DATOS!$G$2:$G$20000,CONFIG_METADATA!$B$4,DATOS!$I$2:$I$20000,"Armonía"),"")))</f>
        <v/>
      </c>
      <c r="O879" t="str">
        <f>IF(M879="","",IF(M879="[FÓRMULA MANUAL]","",IFERROR(AVERAGEIFS(DATOS!$K$2:$K$20000,DATOS!$A$2:$A$20000,M879,DATOS!$G$2:$G$20000,CONFIG_METADATA!$B$4,DATOS!$I$2:$I$20000,"Orquesta/Banda/Conjunto"),"")))</f>
        <v/>
      </c>
      <c r="P879" t="str">
        <f>IF(M879="","",IF(M879="[FÓRMULA MANUAL]","",IFERROR(AVERAGEIFS(DATOS!$K$2:$K$20000,DATOS!$A$2:$A$20000,M879,DATOS!$G$2:$G$20000,CONFIG_METADATA!$B$4,DATOS!$I$2:$I$20000,"Música de Cámara"),"")))</f>
        <v/>
      </c>
      <c r="Q879" t="str">
        <f>IF(M879="","",IF(M879="[FÓRMULA MANUAL]","",IFERROR(SUMPRODUCT((DATOS!$A$2:$A$20000=M879)*(DATOS!$G$2:$G$20000=CONFIG_METADATA!$B$4)*(COUNTIF(CONFIG_ASIGNATURAS!$B$7:$B$27,DATOS!$I$2:$I$20000)&gt;0)*(DATOS!$K$2:$K$20000))/SUMPRODUCT((DATOS!$A$2:$A$20000=M879)*(DATOS!$G$2:$G$20000=CONFIG_METADATA!$B$4)*(COUNTIF(CONFIG_ASIGNATURAS!$B$7:$B$27,DATOS!$I$2:$I$20000)&gt;0)*1),"")))</f>
        <v/>
      </c>
      <c r="T879" t="str">
        <f>IF(S879="","",IF(S879="[FÓRMULA MANUAL]","",IFERROR(AVERAGEIFS(DATOS!$K$2:$K$20000,DATOS!$A$2:$A$20000,S879,DATOS!$G$2:$G$20000,CONFIG_METADATA!$B$4,DATOS!$I$2:$I$20000,"Armonía"),"")))</f>
        <v/>
      </c>
      <c r="U879" t="str">
        <f>IF(S879="","",IF(S879="[FÓRMULA MANUAL]","",IFERROR(AVERAGEIFS(DATOS!$K$2:$K$20000,DATOS!$A$2:$A$20000,S879,DATOS!$G$2:$G$20000,CONFIG_METADATA!$B$4,DATOS!$I$2:$I$20000,"Orquesta/Banda/Conjunto"),"")))</f>
        <v/>
      </c>
      <c r="V879" t="str">
        <f>IF(S879="","",IF(S879="[FÓRMULA MANUAL]","",IFERROR(AVERAGEIFS(DATOS!$K$2:$K$20000,DATOS!$A$2:$A$20000,S879,DATOS!$G$2:$G$20000,CONFIG_METADATA!$B$4,DATOS!$I$2:$I$20000,"Música de Cámara"),"")))</f>
        <v/>
      </c>
      <c r="W879" t="str">
        <f>IF(S879="","",IF(S879="[FÓRMULA MANUAL]","",IFERROR(SUMPRODUCT((DATOS!$A$2:$A$20000=S879)*(DATOS!$G$2:$G$20000=CONFIG_METADATA!$B$4)*(COUNTIF(CONFIG_ASIGNATURAS!$B$7:$B$27,DATOS!$I$2:$I$20000)&gt;0)*(DATOS!$K$2:$K$20000))/SUMPRODUCT((DATOS!$A$2:$A$20000=S879)*(DATOS!$G$2:$G$20000=CONFIG_METADATA!$B$4)*(COUNTIF(CONFIG_ASIGNATURAS!$B$7:$B$27,DATOS!$I$2:$I$20000)&gt;0)*1),"")))</f>
        <v/>
      </c>
      <c r="Z879" t="str">
        <f>IF(Y879="","",IF(Y879="[FÓRMULA MANUAL]","",IFERROR(AVERAGEIFS(DATOS!$K$2:$K$20000,DATOS!$A$2:$A$20000,Y879,DATOS!$G$2:$G$20000,CONFIG_METADATA!$B$4,DATOS!$I$2:$I$20000,"Análisis"),"")))</f>
        <v/>
      </c>
      <c r="AA879" t="str">
        <f>IF(Y879="","",IF(Y879="[FÓRMULA MANUAL]","",IFERROR(AVERAGEIFS(DATOS!$K$2:$K$20000,DATOS!$A$2:$A$20000,Y879,DATOS!$G$2:$G$20000,CONFIG_METADATA!$B$4,DATOS!$I$2:$I$20000,"Orquesta/Banda/Conjunto"),"")))</f>
        <v/>
      </c>
      <c r="AB879" t="str">
        <f>IF(Y879="","",IF(Y879="[FÓRMULA MANUAL]","",IFERROR(AVERAGEIFS(DATOS!$K$2:$K$20000,DATOS!$A$2:$A$20000,Y879,DATOS!$G$2:$G$20000,CONFIG_METADATA!$B$4,DATOS!$I$2:$I$20000,"Música de Cámara"),"")))</f>
        <v/>
      </c>
      <c r="AC879" t="str">
        <f>IF(Y879="","",IF(Y879="[FÓRMULA MANUAL]","",IFERROR(SUMPRODUCT((DATOS!$A$2:$A$20000=Y879)*(DATOS!$G$2:$G$20000=CONFIG_METADATA!$B$4)*(COUNTIF(CONFIG_ASIGNATURAS!$B$7:$B$27,DATOS!$I$2:$I$20000)&gt;0)*(DATOS!$K$2:$K$20000))/SUMPRODUCT((DATOS!$A$2:$A$20000=Y879)*(DATOS!$G$2:$G$20000=CONFIG_METADATA!$B$4)*(COUNTIF(CONFIG_ASIGNATURAS!$B$7:$B$27,DATOS!$I$2:$I$20000)&gt;0)*1),"")))</f>
        <v/>
      </c>
      <c r="AF879" t="str">
        <f>IF(AE879="","",IF(AE879="[FÓRMULA MANUAL]","",IFERROR(AVERAGEIFS(DATOS!$K$2:$K$20000,DATOS!$A$2:$A$20000,AE879,DATOS!$G$2:$G$20000,CONFIG_METADATA!$B$4,DATOS!$I$2:$I$20000,"Análisis"),"")))</f>
        <v/>
      </c>
      <c r="AG879" t="str">
        <f>IF(AE879="","",IF(AE879="[FÓRMULA MANUAL]","",IFERROR(AVERAGEIFS(DATOS!$K$2:$K$20000,DATOS!$A$2:$A$20000,AE879,DATOS!$G$2:$G$20000,CONFIG_METADATA!$B$4,DATOS!$I$2:$I$20000,"Orquesta/Banda/Conjunto"),"")))</f>
        <v/>
      </c>
      <c r="AH879" t="str">
        <f>IF(AE879="","",IF(AE879="[FÓRMULA MANUAL]","",IFERROR(AVERAGEIFS(DATOS!$K$2:$K$20000,DATOS!$A$2:$A$20000,AE879,DATOS!$G$2:$G$20000,CONFIG_METADATA!$B$4,DATOS!$I$2:$I$20000,"Música de Cámara"),"")))</f>
        <v/>
      </c>
      <c r="AI879" t="str">
        <f>IF(AE879="","",IF(AE879="[FÓRMULA MANUAL]","",IFERROR(SUMPRODUCT((DATOS!$A$2:$A$20000=AE879)*(DATOS!$G$2:$G$20000=CONFIG_METADATA!$B$4)*(COUNTIF(CONFIG_ASIGNATURAS!$B$7:$B$27,DATOS!$I$2:$I$20000)&gt;0)*(DATOS!$K$2:$K$20000))/SUMPRODUCT((DATOS!$A$2:$A$20000=AE879)*(DATOS!$G$2:$G$20000=CONFIG_METADATA!$B$4)*(COUNTIF(CONFIG_ASIGNATURAS!$B$7:$B$27,DATOS!$I$2:$I$20000)&gt;0)*1),"")))</f>
        <v/>
      </c>
    </row>
    <row r="880" spans="2:35" x14ac:dyDescent="0.2">
      <c r="B880" t="str">
        <f>IF(A880="","",IF(A880="[FÓRMULA MANUAL]","",IFERROR(AVERAGEIFS(DATOS!$K$2:$K$20000,DATOS!$A$2:$A$20000,A880,DATOS!$G$2:$G$20000,CONFIG_METADATA!$B$4,DATOS!$I$2:$I$20000,"Lenguaje Musical"),"")))</f>
        <v/>
      </c>
      <c r="C880" t="str">
        <f>IF(A880="","",IF(A880="[FÓRMULA MANUAL]","",IFERROR(AVERAGEIFS(DATOS!$K$2:$K$20000,DATOS!$A$2:$A$20000,A880,DATOS!$G$2:$G$20000,CONFIG_METADATA!$B$4,DATOS!$I$2:$I$20000,"Orquesta/Banda/Conjunto"),"")))</f>
        <v/>
      </c>
      <c r="D880" t="str">
        <f>IF(A880="","",IF(A880="[FÓRMULA MANUAL]","",IFERROR(AVERAGEIFS(DATOS!$K$2:$K$20000,DATOS!$A$2:$A$20000,A880,DATOS!$G$2:$G$20000,CONFIG_METADATA!$B$4,DATOS!$I$2:$I$20000,"Conjunto"),"")))</f>
        <v/>
      </c>
      <c r="E880" t="str">
        <f>IF(A880="","",IF(A880="[FÓRMULA MANUAL]","",IFERROR(SUMPRODUCT((DATOS!$A$2:$A$20000=A880)*(DATOS!$G$2:$G$20000=CONFIG_METADATA!$B$4)*(COUNTIF(CONFIG_ASIGNATURAS!$B$7:$B$27,DATOS!$I$2:$I$20000)&gt;0)*(DATOS!$K$2:$K$20000))/SUMPRODUCT((DATOS!$A$2:$A$20000=A880)*(DATOS!$G$2:$G$20000=CONFIG_METADATA!$B$4)*(COUNTIF(CONFIG_ASIGNATURAS!$B$7:$B$27,DATOS!$I$2:$I$20000)&gt;0)*1),"")))</f>
        <v/>
      </c>
      <c r="H880" t="str">
        <f>IF(G880="","",IF(G880="[FÓRMULA MANUAL]","",IFERROR(AVERAGEIFS(DATOS!$K$2:$K$20000,DATOS!$A$2:$A$20000,G880,DATOS!$G$2:$G$20000,CONFIG_METADATA!$B$4,DATOS!$I$2:$I$20000,"Lenguaje Musical"),"")))</f>
        <v/>
      </c>
      <c r="I880" t="str">
        <f>IF(G880="","",IF(G880="[FÓRMULA MANUAL]","",IFERROR(AVERAGEIFS(DATOS!$K$2:$K$20000,DATOS!$A$2:$A$20000,G880,DATOS!$G$2:$G$20000,CONFIG_METADATA!$B$4,DATOS!$I$2:$I$20000,"Orquesta/Banda/Conjunto"),"")))</f>
        <v/>
      </c>
      <c r="J880" t="str">
        <f>IF(G880="","",IF(G880="[FÓRMULA MANUAL]","",IFERROR(AVERAGEIFS(DATOS!$K$2:$K$20000,DATOS!$A$2:$A$20000,G880,DATOS!$G$2:$G$20000,CONFIG_METADATA!$B$4,DATOS!$I$2:$I$20000,"Conjunto"),"")))</f>
        <v/>
      </c>
      <c r="K880" t="str">
        <f>IF(G880="","",IF(G880="[FÓRMULA MANUAL]","",IFERROR(SUMPRODUCT((DATOS!$A$2:$A$20000=G880)*(DATOS!$G$2:$G$20000=CONFIG_METADATA!$B$4)*(COUNTIF(CONFIG_ASIGNATURAS!$B$7:$B$27,DATOS!$I$2:$I$20000)&gt;0)*(DATOS!$K$2:$K$20000))/SUMPRODUCT((DATOS!$A$2:$A$20000=G880)*(DATOS!$G$2:$G$20000=CONFIG_METADATA!$B$4)*(COUNTIF(CONFIG_ASIGNATURAS!$B$7:$B$27,DATOS!$I$2:$I$20000)&gt;0)*1),"")))</f>
        <v/>
      </c>
      <c r="N880" t="str">
        <f>IF(M880="","",IF(M880="[FÓRMULA MANUAL]","",IFERROR(AVERAGEIFS(DATOS!$K$2:$K$20000,DATOS!$A$2:$A$20000,M880,DATOS!$G$2:$G$20000,CONFIG_METADATA!$B$4,DATOS!$I$2:$I$20000,"Armonía"),"")))</f>
        <v/>
      </c>
      <c r="O880" t="str">
        <f>IF(M880="","",IF(M880="[FÓRMULA MANUAL]","",IFERROR(AVERAGEIFS(DATOS!$K$2:$K$20000,DATOS!$A$2:$A$20000,M880,DATOS!$G$2:$G$20000,CONFIG_METADATA!$B$4,DATOS!$I$2:$I$20000,"Orquesta/Banda/Conjunto"),"")))</f>
        <v/>
      </c>
      <c r="P880" t="str">
        <f>IF(M880="","",IF(M880="[FÓRMULA MANUAL]","",IFERROR(AVERAGEIFS(DATOS!$K$2:$K$20000,DATOS!$A$2:$A$20000,M880,DATOS!$G$2:$G$20000,CONFIG_METADATA!$B$4,DATOS!$I$2:$I$20000,"Música de Cámara"),"")))</f>
        <v/>
      </c>
      <c r="Q880" t="str">
        <f>IF(M880="","",IF(M880="[FÓRMULA MANUAL]","",IFERROR(SUMPRODUCT((DATOS!$A$2:$A$20000=M880)*(DATOS!$G$2:$G$20000=CONFIG_METADATA!$B$4)*(COUNTIF(CONFIG_ASIGNATURAS!$B$7:$B$27,DATOS!$I$2:$I$20000)&gt;0)*(DATOS!$K$2:$K$20000))/SUMPRODUCT((DATOS!$A$2:$A$20000=M880)*(DATOS!$G$2:$G$20000=CONFIG_METADATA!$B$4)*(COUNTIF(CONFIG_ASIGNATURAS!$B$7:$B$27,DATOS!$I$2:$I$20000)&gt;0)*1),"")))</f>
        <v/>
      </c>
      <c r="T880" t="str">
        <f>IF(S880="","",IF(S880="[FÓRMULA MANUAL]","",IFERROR(AVERAGEIFS(DATOS!$K$2:$K$20000,DATOS!$A$2:$A$20000,S880,DATOS!$G$2:$G$20000,CONFIG_METADATA!$B$4,DATOS!$I$2:$I$20000,"Armonía"),"")))</f>
        <v/>
      </c>
      <c r="U880" t="str">
        <f>IF(S880="","",IF(S880="[FÓRMULA MANUAL]","",IFERROR(AVERAGEIFS(DATOS!$K$2:$K$20000,DATOS!$A$2:$A$20000,S880,DATOS!$G$2:$G$20000,CONFIG_METADATA!$B$4,DATOS!$I$2:$I$20000,"Orquesta/Banda/Conjunto"),"")))</f>
        <v/>
      </c>
      <c r="V880" t="str">
        <f>IF(S880="","",IF(S880="[FÓRMULA MANUAL]","",IFERROR(AVERAGEIFS(DATOS!$K$2:$K$20000,DATOS!$A$2:$A$20000,S880,DATOS!$G$2:$G$20000,CONFIG_METADATA!$B$4,DATOS!$I$2:$I$20000,"Música de Cámara"),"")))</f>
        <v/>
      </c>
      <c r="W880" t="str">
        <f>IF(S880="","",IF(S880="[FÓRMULA MANUAL]","",IFERROR(SUMPRODUCT((DATOS!$A$2:$A$20000=S880)*(DATOS!$G$2:$G$20000=CONFIG_METADATA!$B$4)*(COUNTIF(CONFIG_ASIGNATURAS!$B$7:$B$27,DATOS!$I$2:$I$20000)&gt;0)*(DATOS!$K$2:$K$20000))/SUMPRODUCT((DATOS!$A$2:$A$20000=S880)*(DATOS!$G$2:$G$20000=CONFIG_METADATA!$B$4)*(COUNTIF(CONFIG_ASIGNATURAS!$B$7:$B$27,DATOS!$I$2:$I$20000)&gt;0)*1),"")))</f>
        <v/>
      </c>
      <c r="Z880" t="str">
        <f>IF(Y880="","",IF(Y880="[FÓRMULA MANUAL]","",IFERROR(AVERAGEIFS(DATOS!$K$2:$K$20000,DATOS!$A$2:$A$20000,Y880,DATOS!$G$2:$G$20000,CONFIG_METADATA!$B$4,DATOS!$I$2:$I$20000,"Análisis"),"")))</f>
        <v/>
      </c>
      <c r="AA880" t="str">
        <f>IF(Y880="","",IF(Y880="[FÓRMULA MANUAL]","",IFERROR(AVERAGEIFS(DATOS!$K$2:$K$20000,DATOS!$A$2:$A$20000,Y880,DATOS!$G$2:$G$20000,CONFIG_METADATA!$B$4,DATOS!$I$2:$I$20000,"Orquesta/Banda/Conjunto"),"")))</f>
        <v/>
      </c>
      <c r="AB880" t="str">
        <f>IF(Y880="","",IF(Y880="[FÓRMULA MANUAL]","",IFERROR(AVERAGEIFS(DATOS!$K$2:$K$20000,DATOS!$A$2:$A$20000,Y880,DATOS!$G$2:$G$20000,CONFIG_METADATA!$B$4,DATOS!$I$2:$I$20000,"Música de Cámara"),"")))</f>
        <v/>
      </c>
      <c r="AC880" t="str">
        <f>IF(Y880="","",IF(Y880="[FÓRMULA MANUAL]","",IFERROR(SUMPRODUCT((DATOS!$A$2:$A$20000=Y880)*(DATOS!$G$2:$G$20000=CONFIG_METADATA!$B$4)*(COUNTIF(CONFIG_ASIGNATURAS!$B$7:$B$27,DATOS!$I$2:$I$20000)&gt;0)*(DATOS!$K$2:$K$20000))/SUMPRODUCT((DATOS!$A$2:$A$20000=Y880)*(DATOS!$G$2:$G$20000=CONFIG_METADATA!$B$4)*(COUNTIF(CONFIG_ASIGNATURAS!$B$7:$B$27,DATOS!$I$2:$I$20000)&gt;0)*1),"")))</f>
        <v/>
      </c>
      <c r="AF880" t="str">
        <f>IF(AE880="","",IF(AE880="[FÓRMULA MANUAL]","",IFERROR(AVERAGEIFS(DATOS!$K$2:$K$20000,DATOS!$A$2:$A$20000,AE880,DATOS!$G$2:$G$20000,CONFIG_METADATA!$B$4,DATOS!$I$2:$I$20000,"Análisis"),"")))</f>
        <v/>
      </c>
      <c r="AG880" t="str">
        <f>IF(AE880="","",IF(AE880="[FÓRMULA MANUAL]","",IFERROR(AVERAGEIFS(DATOS!$K$2:$K$20000,DATOS!$A$2:$A$20000,AE880,DATOS!$G$2:$G$20000,CONFIG_METADATA!$B$4,DATOS!$I$2:$I$20000,"Orquesta/Banda/Conjunto"),"")))</f>
        <v/>
      </c>
      <c r="AH880" t="str">
        <f>IF(AE880="","",IF(AE880="[FÓRMULA MANUAL]","",IFERROR(AVERAGEIFS(DATOS!$K$2:$K$20000,DATOS!$A$2:$A$20000,AE880,DATOS!$G$2:$G$20000,CONFIG_METADATA!$B$4,DATOS!$I$2:$I$20000,"Música de Cámara"),"")))</f>
        <v/>
      </c>
      <c r="AI880" t="str">
        <f>IF(AE880="","",IF(AE880="[FÓRMULA MANUAL]","",IFERROR(SUMPRODUCT((DATOS!$A$2:$A$20000=AE880)*(DATOS!$G$2:$G$20000=CONFIG_METADATA!$B$4)*(COUNTIF(CONFIG_ASIGNATURAS!$B$7:$B$27,DATOS!$I$2:$I$20000)&gt;0)*(DATOS!$K$2:$K$20000))/SUMPRODUCT((DATOS!$A$2:$A$20000=AE880)*(DATOS!$G$2:$G$20000=CONFIG_METADATA!$B$4)*(COUNTIF(CONFIG_ASIGNATURAS!$B$7:$B$27,DATOS!$I$2:$I$20000)&gt;0)*1),"")))</f>
        <v/>
      </c>
    </row>
    <row r="881" spans="2:35" x14ac:dyDescent="0.2">
      <c r="B881" t="str">
        <f>IF(A881="","",IF(A881="[FÓRMULA MANUAL]","",IFERROR(AVERAGEIFS(DATOS!$K$2:$K$20000,DATOS!$A$2:$A$20000,A881,DATOS!$G$2:$G$20000,CONFIG_METADATA!$B$4,DATOS!$I$2:$I$20000,"Lenguaje Musical"),"")))</f>
        <v/>
      </c>
      <c r="C881" t="str">
        <f>IF(A881="","",IF(A881="[FÓRMULA MANUAL]","",IFERROR(AVERAGEIFS(DATOS!$K$2:$K$20000,DATOS!$A$2:$A$20000,A881,DATOS!$G$2:$G$20000,CONFIG_METADATA!$B$4,DATOS!$I$2:$I$20000,"Orquesta/Banda/Conjunto"),"")))</f>
        <v/>
      </c>
      <c r="D881" t="str">
        <f>IF(A881="","",IF(A881="[FÓRMULA MANUAL]","",IFERROR(AVERAGEIFS(DATOS!$K$2:$K$20000,DATOS!$A$2:$A$20000,A881,DATOS!$G$2:$G$20000,CONFIG_METADATA!$B$4,DATOS!$I$2:$I$20000,"Conjunto"),"")))</f>
        <v/>
      </c>
      <c r="E881" t="str">
        <f>IF(A881="","",IF(A881="[FÓRMULA MANUAL]","",IFERROR(SUMPRODUCT((DATOS!$A$2:$A$20000=A881)*(DATOS!$G$2:$G$20000=CONFIG_METADATA!$B$4)*(COUNTIF(CONFIG_ASIGNATURAS!$B$7:$B$27,DATOS!$I$2:$I$20000)&gt;0)*(DATOS!$K$2:$K$20000))/SUMPRODUCT((DATOS!$A$2:$A$20000=A881)*(DATOS!$G$2:$G$20000=CONFIG_METADATA!$B$4)*(COUNTIF(CONFIG_ASIGNATURAS!$B$7:$B$27,DATOS!$I$2:$I$20000)&gt;0)*1),"")))</f>
        <v/>
      </c>
      <c r="H881" t="str">
        <f>IF(G881="","",IF(G881="[FÓRMULA MANUAL]","",IFERROR(AVERAGEIFS(DATOS!$K$2:$K$20000,DATOS!$A$2:$A$20000,G881,DATOS!$G$2:$G$20000,CONFIG_METADATA!$B$4,DATOS!$I$2:$I$20000,"Lenguaje Musical"),"")))</f>
        <v/>
      </c>
      <c r="I881" t="str">
        <f>IF(G881="","",IF(G881="[FÓRMULA MANUAL]","",IFERROR(AVERAGEIFS(DATOS!$K$2:$K$20000,DATOS!$A$2:$A$20000,G881,DATOS!$G$2:$G$20000,CONFIG_METADATA!$B$4,DATOS!$I$2:$I$20000,"Orquesta/Banda/Conjunto"),"")))</f>
        <v/>
      </c>
      <c r="J881" t="str">
        <f>IF(G881="","",IF(G881="[FÓRMULA MANUAL]","",IFERROR(AVERAGEIFS(DATOS!$K$2:$K$20000,DATOS!$A$2:$A$20000,G881,DATOS!$G$2:$G$20000,CONFIG_METADATA!$B$4,DATOS!$I$2:$I$20000,"Conjunto"),"")))</f>
        <v/>
      </c>
      <c r="K881" t="str">
        <f>IF(G881="","",IF(G881="[FÓRMULA MANUAL]","",IFERROR(SUMPRODUCT((DATOS!$A$2:$A$20000=G881)*(DATOS!$G$2:$G$20000=CONFIG_METADATA!$B$4)*(COUNTIF(CONFIG_ASIGNATURAS!$B$7:$B$27,DATOS!$I$2:$I$20000)&gt;0)*(DATOS!$K$2:$K$20000))/SUMPRODUCT((DATOS!$A$2:$A$20000=G881)*(DATOS!$G$2:$G$20000=CONFIG_METADATA!$B$4)*(COUNTIF(CONFIG_ASIGNATURAS!$B$7:$B$27,DATOS!$I$2:$I$20000)&gt;0)*1),"")))</f>
        <v/>
      </c>
      <c r="N881" t="str">
        <f>IF(M881="","",IF(M881="[FÓRMULA MANUAL]","",IFERROR(AVERAGEIFS(DATOS!$K$2:$K$20000,DATOS!$A$2:$A$20000,M881,DATOS!$G$2:$G$20000,CONFIG_METADATA!$B$4,DATOS!$I$2:$I$20000,"Armonía"),"")))</f>
        <v/>
      </c>
      <c r="O881" t="str">
        <f>IF(M881="","",IF(M881="[FÓRMULA MANUAL]","",IFERROR(AVERAGEIFS(DATOS!$K$2:$K$20000,DATOS!$A$2:$A$20000,M881,DATOS!$G$2:$G$20000,CONFIG_METADATA!$B$4,DATOS!$I$2:$I$20000,"Orquesta/Banda/Conjunto"),"")))</f>
        <v/>
      </c>
      <c r="P881" t="str">
        <f>IF(M881="","",IF(M881="[FÓRMULA MANUAL]","",IFERROR(AVERAGEIFS(DATOS!$K$2:$K$20000,DATOS!$A$2:$A$20000,M881,DATOS!$G$2:$G$20000,CONFIG_METADATA!$B$4,DATOS!$I$2:$I$20000,"Música de Cámara"),"")))</f>
        <v/>
      </c>
      <c r="Q881" t="str">
        <f>IF(M881="","",IF(M881="[FÓRMULA MANUAL]","",IFERROR(SUMPRODUCT((DATOS!$A$2:$A$20000=M881)*(DATOS!$G$2:$G$20000=CONFIG_METADATA!$B$4)*(COUNTIF(CONFIG_ASIGNATURAS!$B$7:$B$27,DATOS!$I$2:$I$20000)&gt;0)*(DATOS!$K$2:$K$20000))/SUMPRODUCT((DATOS!$A$2:$A$20000=M881)*(DATOS!$G$2:$G$20000=CONFIG_METADATA!$B$4)*(COUNTIF(CONFIG_ASIGNATURAS!$B$7:$B$27,DATOS!$I$2:$I$20000)&gt;0)*1),"")))</f>
        <v/>
      </c>
      <c r="T881" t="str">
        <f>IF(S881="","",IF(S881="[FÓRMULA MANUAL]","",IFERROR(AVERAGEIFS(DATOS!$K$2:$K$20000,DATOS!$A$2:$A$20000,S881,DATOS!$G$2:$G$20000,CONFIG_METADATA!$B$4,DATOS!$I$2:$I$20000,"Armonía"),"")))</f>
        <v/>
      </c>
      <c r="U881" t="str">
        <f>IF(S881="","",IF(S881="[FÓRMULA MANUAL]","",IFERROR(AVERAGEIFS(DATOS!$K$2:$K$20000,DATOS!$A$2:$A$20000,S881,DATOS!$G$2:$G$20000,CONFIG_METADATA!$B$4,DATOS!$I$2:$I$20000,"Orquesta/Banda/Conjunto"),"")))</f>
        <v/>
      </c>
      <c r="V881" t="str">
        <f>IF(S881="","",IF(S881="[FÓRMULA MANUAL]","",IFERROR(AVERAGEIFS(DATOS!$K$2:$K$20000,DATOS!$A$2:$A$20000,S881,DATOS!$G$2:$G$20000,CONFIG_METADATA!$B$4,DATOS!$I$2:$I$20000,"Música de Cámara"),"")))</f>
        <v/>
      </c>
      <c r="W881" t="str">
        <f>IF(S881="","",IF(S881="[FÓRMULA MANUAL]","",IFERROR(SUMPRODUCT((DATOS!$A$2:$A$20000=S881)*(DATOS!$G$2:$G$20000=CONFIG_METADATA!$B$4)*(COUNTIF(CONFIG_ASIGNATURAS!$B$7:$B$27,DATOS!$I$2:$I$20000)&gt;0)*(DATOS!$K$2:$K$20000))/SUMPRODUCT((DATOS!$A$2:$A$20000=S881)*(DATOS!$G$2:$G$20000=CONFIG_METADATA!$B$4)*(COUNTIF(CONFIG_ASIGNATURAS!$B$7:$B$27,DATOS!$I$2:$I$20000)&gt;0)*1),"")))</f>
        <v/>
      </c>
      <c r="Z881" t="str">
        <f>IF(Y881="","",IF(Y881="[FÓRMULA MANUAL]","",IFERROR(AVERAGEIFS(DATOS!$K$2:$K$20000,DATOS!$A$2:$A$20000,Y881,DATOS!$G$2:$G$20000,CONFIG_METADATA!$B$4,DATOS!$I$2:$I$20000,"Análisis"),"")))</f>
        <v/>
      </c>
      <c r="AA881" t="str">
        <f>IF(Y881="","",IF(Y881="[FÓRMULA MANUAL]","",IFERROR(AVERAGEIFS(DATOS!$K$2:$K$20000,DATOS!$A$2:$A$20000,Y881,DATOS!$G$2:$G$20000,CONFIG_METADATA!$B$4,DATOS!$I$2:$I$20000,"Orquesta/Banda/Conjunto"),"")))</f>
        <v/>
      </c>
      <c r="AB881" t="str">
        <f>IF(Y881="","",IF(Y881="[FÓRMULA MANUAL]","",IFERROR(AVERAGEIFS(DATOS!$K$2:$K$20000,DATOS!$A$2:$A$20000,Y881,DATOS!$G$2:$G$20000,CONFIG_METADATA!$B$4,DATOS!$I$2:$I$20000,"Música de Cámara"),"")))</f>
        <v/>
      </c>
      <c r="AC881" t="str">
        <f>IF(Y881="","",IF(Y881="[FÓRMULA MANUAL]","",IFERROR(SUMPRODUCT((DATOS!$A$2:$A$20000=Y881)*(DATOS!$G$2:$G$20000=CONFIG_METADATA!$B$4)*(COUNTIF(CONFIG_ASIGNATURAS!$B$7:$B$27,DATOS!$I$2:$I$20000)&gt;0)*(DATOS!$K$2:$K$20000))/SUMPRODUCT((DATOS!$A$2:$A$20000=Y881)*(DATOS!$G$2:$G$20000=CONFIG_METADATA!$B$4)*(COUNTIF(CONFIG_ASIGNATURAS!$B$7:$B$27,DATOS!$I$2:$I$20000)&gt;0)*1),"")))</f>
        <v/>
      </c>
      <c r="AF881" t="str">
        <f>IF(AE881="","",IF(AE881="[FÓRMULA MANUAL]","",IFERROR(AVERAGEIFS(DATOS!$K$2:$K$20000,DATOS!$A$2:$A$20000,AE881,DATOS!$G$2:$G$20000,CONFIG_METADATA!$B$4,DATOS!$I$2:$I$20000,"Análisis"),"")))</f>
        <v/>
      </c>
      <c r="AG881" t="str">
        <f>IF(AE881="","",IF(AE881="[FÓRMULA MANUAL]","",IFERROR(AVERAGEIFS(DATOS!$K$2:$K$20000,DATOS!$A$2:$A$20000,AE881,DATOS!$G$2:$G$20000,CONFIG_METADATA!$B$4,DATOS!$I$2:$I$20000,"Orquesta/Banda/Conjunto"),"")))</f>
        <v/>
      </c>
      <c r="AH881" t="str">
        <f>IF(AE881="","",IF(AE881="[FÓRMULA MANUAL]","",IFERROR(AVERAGEIFS(DATOS!$K$2:$K$20000,DATOS!$A$2:$A$20000,AE881,DATOS!$G$2:$G$20000,CONFIG_METADATA!$B$4,DATOS!$I$2:$I$20000,"Música de Cámara"),"")))</f>
        <v/>
      </c>
      <c r="AI881" t="str">
        <f>IF(AE881="","",IF(AE881="[FÓRMULA MANUAL]","",IFERROR(SUMPRODUCT((DATOS!$A$2:$A$20000=AE881)*(DATOS!$G$2:$G$20000=CONFIG_METADATA!$B$4)*(COUNTIF(CONFIG_ASIGNATURAS!$B$7:$B$27,DATOS!$I$2:$I$20000)&gt;0)*(DATOS!$K$2:$K$20000))/SUMPRODUCT((DATOS!$A$2:$A$20000=AE881)*(DATOS!$G$2:$G$20000=CONFIG_METADATA!$B$4)*(COUNTIF(CONFIG_ASIGNATURAS!$B$7:$B$27,DATOS!$I$2:$I$20000)&gt;0)*1),"")))</f>
        <v/>
      </c>
    </row>
    <row r="882" spans="2:35" x14ac:dyDescent="0.2">
      <c r="B882" t="str">
        <f>IF(A882="","",IF(A882="[FÓRMULA MANUAL]","",IFERROR(AVERAGEIFS(DATOS!$K$2:$K$20000,DATOS!$A$2:$A$20000,A882,DATOS!$G$2:$G$20000,CONFIG_METADATA!$B$4,DATOS!$I$2:$I$20000,"Lenguaje Musical"),"")))</f>
        <v/>
      </c>
      <c r="C882" t="str">
        <f>IF(A882="","",IF(A882="[FÓRMULA MANUAL]","",IFERROR(AVERAGEIFS(DATOS!$K$2:$K$20000,DATOS!$A$2:$A$20000,A882,DATOS!$G$2:$G$20000,CONFIG_METADATA!$B$4,DATOS!$I$2:$I$20000,"Orquesta/Banda/Conjunto"),"")))</f>
        <v/>
      </c>
      <c r="D882" t="str">
        <f>IF(A882="","",IF(A882="[FÓRMULA MANUAL]","",IFERROR(AVERAGEIFS(DATOS!$K$2:$K$20000,DATOS!$A$2:$A$20000,A882,DATOS!$G$2:$G$20000,CONFIG_METADATA!$B$4,DATOS!$I$2:$I$20000,"Conjunto"),"")))</f>
        <v/>
      </c>
      <c r="E882" t="str">
        <f>IF(A882="","",IF(A882="[FÓRMULA MANUAL]","",IFERROR(SUMPRODUCT((DATOS!$A$2:$A$20000=A882)*(DATOS!$G$2:$G$20000=CONFIG_METADATA!$B$4)*(COUNTIF(CONFIG_ASIGNATURAS!$B$7:$B$27,DATOS!$I$2:$I$20000)&gt;0)*(DATOS!$K$2:$K$20000))/SUMPRODUCT((DATOS!$A$2:$A$20000=A882)*(DATOS!$G$2:$G$20000=CONFIG_METADATA!$B$4)*(COUNTIF(CONFIG_ASIGNATURAS!$B$7:$B$27,DATOS!$I$2:$I$20000)&gt;0)*1),"")))</f>
        <v/>
      </c>
      <c r="H882" t="str">
        <f>IF(G882="","",IF(G882="[FÓRMULA MANUAL]","",IFERROR(AVERAGEIFS(DATOS!$K$2:$K$20000,DATOS!$A$2:$A$20000,G882,DATOS!$G$2:$G$20000,CONFIG_METADATA!$B$4,DATOS!$I$2:$I$20000,"Lenguaje Musical"),"")))</f>
        <v/>
      </c>
      <c r="I882" t="str">
        <f>IF(G882="","",IF(G882="[FÓRMULA MANUAL]","",IFERROR(AVERAGEIFS(DATOS!$K$2:$K$20000,DATOS!$A$2:$A$20000,G882,DATOS!$G$2:$G$20000,CONFIG_METADATA!$B$4,DATOS!$I$2:$I$20000,"Orquesta/Banda/Conjunto"),"")))</f>
        <v/>
      </c>
      <c r="J882" t="str">
        <f>IF(G882="","",IF(G882="[FÓRMULA MANUAL]","",IFERROR(AVERAGEIFS(DATOS!$K$2:$K$20000,DATOS!$A$2:$A$20000,G882,DATOS!$G$2:$G$20000,CONFIG_METADATA!$B$4,DATOS!$I$2:$I$20000,"Conjunto"),"")))</f>
        <v/>
      </c>
      <c r="K882" t="str">
        <f>IF(G882="","",IF(G882="[FÓRMULA MANUAL]","",IFERROR(SUMPRODUCT((DATOS!$A$2:$A$20000=G882)*(DATOS!$G$2:$G$20000=CONFIG_METADATA!$B$4)*(COUNTIF(CONFIG_ASIGNATURAS!$B$7:$B$27,DATOS!$I$2:$I$20000)&gt;0)*(DATOS!$K$2:$K$20000))/SUMPRODUCT((DATOS!$A$2:$A$20000=G882)*(DATOS!$G$2:$G$20000=CONFIG_METADATA!$B$4)*(COUNTIF(CONFIG_ASIGNATURAS!$B$7:$B$27,DATOS!$I$2:$I$20000)&gt;0)*1),"")))</f>
        <v/>
      </c>
      <c r="N882" t="str">
        <f>IF(M882="","",IF(M882="[FÓRMULA MANUAL]","",IFERROR(AVERAGEIFS(DATOS!$K$2:$K$20000,DATOS!$A$2:$A$20000,M882,DATOS!$G$2:$G$20000,CONFIG_METADATA!$B$4,DATOS!$I$2:$I$20000,"Armonía"),"")))</f>
        <v/>
      </c>
      <c r="O882" t="str">
        <f>IF(M882="","",IF(M882="[FÓRMULA MANUAL]","",IFERROR(AVERAGEIFS(DATOS!$K$2:$K$20000,DATOS!$A$2:$A$20000,M882,DATOS!$G$2:$G$20000,CONFIG_METADATA!$B$4,DATOS!$I$2:$I$20000,"Orquesta/Banda/Conjunto"),"")))</f>
        <v/>
      </c>
      <c r="P882" t="str">
        <f>IF(M882="","",IF(M882="[FÓRMULA MANUAL]","",IFERROR(AVERAGEIFS(DATOS!$K$2:$K$20000,DATOS!$A$2:$A$20000,M882,DATOS!$G$2:$G$20000,CONFIG_METADATA!$B$4,DATOS!$I$2:$I$20000,"Música de Cámara"),"")))</f>
        <v/>
      </c>
      <c r="Q882" t="str">
        <f>IF(M882="","",IF(M882="[FÓRMULA MANUAL]","",IFERROR(SUMPRODUCT((DATOS!$A$2:$A$20000=M882)*(DATOS!$G$2:$G$20000=CONFIG_METADATA!$B$4)*(COUNTIF(CONFIG_ASIGNATURAS!$B$7:$B$27,DATOS!$I$2:$I$20000)&gt;0)*(DATOS!$K$2:$K$20000))/SUMPRODUCT((DATOS!$A$2:$A$20000=M882)*(DATOS!$G$2:$G$20000=CONFIG_METADATA!$B$4)*(COUNTIF(CONFIG_ASIGNATURAS!$B$7:$B$27,DATOS!$I$2:$I$20000)&gt;0)*1),"")))</f>
        <v/>
      </c>
      <c r="T882" t="str">
        <f>IF(S882="","",IF(S882="[FÓRMULA MANUAL]","",IFERROR(AVERAGEIFS(DATOS!$K$2:$K$20000,DATOS!$A$2:$A$20000,S882,DATOS!$G$2:$G$20000,CONFIG_METADATA!$B$4,DATOS!$I$2:$I$20000,"Armonía"),"")))</f>
        <v/>
      </c>
      <c r="U882" t="str">
        <f>IF(S882="","",IF(S882="[FÓRMULA MANUAL]","",IFERROR(AVERAGEIFS(DATOS!$K$2:$K$20000,DATOS!$A$2:$A$20000,S882,DATOS!$G$2:$G$20000,CONFIG_METADATA!$B$4,DATOS!$I$2:$I$20000,"Orquesta/Banda/Conjunto"),"")))</f>
        <v/>
      </c>
      <c r="V882" t="str">
        <f>IF(S882="","",IF(S882="[FÓRMULA MANUAL]","",IFERROR(AVERAGEIFS(DATOS!$K$2:$K$20000,DATOS!$A$2:$A$20000,S882,DATOS!$G$2:$G$20000,CONFIG_METADATA!$B$4,DATOS!$I$2:$I$20000,"Música de Cámara"),"")))</f>
        <v/>
      </c>
      <c r="W882" t="str">
        <f>IF(S882="","",IF(S882="[FÓRMULA MANUAL]","",IFERROR(SUMPRODUCT((DATOS!$A$2:$A$20000=S882)*(DATOS!$G$2:$G$20000=CONFIG_METADATA!$B$4)*(COUNTIF(CONFIG_ASIGNATURAS!$B$7:$B$27,DATOS!$I$2:$I$20000)&gt;0)*(DATOS!$K$2:$K$20000))/SUMPRODUCT((DATOS!$A$2:$A$20000=S882)*(DATOS!$G$2:$G$20000=CONFIG_METADATA!$B$4)*(COUNTIF(CONFIG_ASIGNATURAS!$B$7:$B$27,DATOS!$I$2:$I$20000)&gt;0)*1),"")))</f>
        <v/>
      </c>
      <c r="Z882" t="str">
        <f>IF(Y882="","",IF(Y882="[FÓRMULA MANUAL]","",IFERROR(AVERAGEIFS(DATOS!$K$2:$K$20000,DATOS!$A$2:$A$20000,Y882,DATOS!$G$2:$G$20000,CONFIG_METADATA!$B$4,DATOS!$I$2:$I$20000,"Análisis"),"")))</f>
        <v/>
      </c>
      <c r="AA882" t="str">
        <f>IF(Y882="","",IF(Y882="[FÓRMULA MANUAL]","",IFERROR(AVERAGEIFS(DATOS!$K$2:$K$20000,DATOS!$A$2:$A$20000,Y882,DATOS!$G$2:$G$20000,CONFIG_METADATA!$B$4,DATOS!$I$2:$I$20000,"Orquesta/Banda/Conjunto"),"")))</f>
        <v/>
      </c>
      <c r="AB882" t="str">
        <f>IF(Y882="","",IF(Y882="[FÓRMULA MANUAL]","",IFERROR(AVERAGEIFS(DATOS!$K$2:$K$20000,DATOS!$A$2:$A$20000,Y882,DATOS!$G$2:$G$20000,CONFIG_METADATA!$B$4,DATOS!$I$2:$I$20000,"Música de Cámara"),"")))</f>
        <v/>
      </c>
      <c r="AC882" t="str">
        <f>IF(Y882="","",IF(Y882="[FÓRMULA MANUAL]","",IFERROR(SUMPRODUCT((DATOS!$A$2:$A$20000=Y882)*(DATOS!$G$2:$G$20000=CONFIG_METADATA!$B$4)*(COUNTIF(CONFIG_ASIGNATURAS!$B$7:$B$27,DATOS!$I$2:$I$20000)&gt;0)*(DATOS!$K$2:$K$20000))/SUMPRODUCT((DATOS!$A$2:$A$20000=Y882)*(DATOS!$G$2:$G$20000=CONFIG_METADATA!$B$4)*(COUNTIF(CONFIG_ASIGNATURAS!$B$7:$B$27,DATOS!$I$2:$I$20000)&gt;0)*1),"")))</f>
        <v/>
      </c>
      <c r="AF882" t="str">
        <f>IF(AE882="","",IF(AE882="[FÓRMULA MANUAL]","",IFERROR(AVERAGEIFS(DATOS!$K$2:$K$20000,DATOS!$A$2:$A$20000,AE882,DATOS!$G$2:$G$20000,CONFIG_METADATA!$B$4,DATOS!$I$2:$I$20000,"Análisis"),"")))</f>
        <v/>
      </c>
      <c r="AG882" t="str">
        <f>IF(AE882="","",IF(AE882="[FÓRMULA MANUAL]","",IFERROR(AVERAGEIFS(DATOS!$K$2:$K$20000,DATOS!$A$2:$A$20000,AE882,DATOS!$G$2:$G$20000,CONFIG_METADATA!$B$4,DATOS!$I$2:$I$20000,"Orquesta/Banda/Conjunto"),"")))</f>
        <v/>
      </c>
      <c r="AH882" t="str">
        <f>IF(AE882="","",IF(AE882="[FÓRMULA MANUAL]","",IFERROR(AVERAGEIFS(DATOS!$K$2:$K$20000,DATOS!$A$2:$A$20000,AE882,DATOS!$G$2:$G$20000,CONFIG_METADATA!$B$4,DATOS!$I$2:$I$20000,"Música de Cámara"),"")))</f>
        <v/>
      </c>
      <c r="AI882" t="str">
        <f>IF(AE882="","",IF(AE882="[FÓRMULA MANUAL]","",IFERROR(SUMPRODUCT((DATOS!$A$2:$A$20000=AE882)*(DATOS!$G$2:$G$20000=CONFIG_METADATA!$B$4)*(COUNTIF(CONFIG_ASIGNATURAS!$B$7:$B$27,DATOS!$I$2:$I$20000)&gt;0)*(DATOS!$K$2:$K$20000))/SUMPRODUCT((DATOS!$A$2:$A$20000=AE882)*(DATOS!$G$2:$G$20000=CONFIG_METADATA!$B$4)*(COUNTIF(CONFIG_ASIGNATURAS!$B$7:$B$27,DATOS!$I$2:$I$20000)&gt;0)*1),"")))</f>
        <v/>
      </c>
    </row>
    <row r="883" spans="2:35" x14ac:dyDescent="0.2">
      <c r="B883" t="str">
        <f>IF(A883="","",IF(A883="[FÓRMULA MANUAL]","",IFERROR(AVERAGEIFS(DATOS!$K$2:$K$20000,DATOS!$A$2:$A$20000,A883,DATOS!$G$2:$G$20000,CONFIG_METADATA!$B$4,DATOS!$I$2:$I$20000,"Lenguaje Musical"),"")))</f>
        <v/>
      </c>
      <c r="C883" t="str">
        <f>IF(A883="","",IF(A883="[FÓRMULA MANUAL]","",IFERROR(AVERAGEIFS(DATOS!$K$2:$K$20000,DATOS!$A$2:$A$20000,A883,DATOS!$G$2:$G$20000,CONFIG_METADATA!$B$4,DATOS!$I$2:$I$20000,"Orquesta/Banda/Conjunto"),"")))</f>
        <v/>
      </c>
      <c r="D883" t="str">
        <f>IF(A883="","",IF(A883="[FÓRMULA MANUAL]","",IFERROR(AVERAGEIFS(DATOS!$K$2:$K$20000,DATOS!$A$2:$A$20000,A883,DATOS!$G$2:$G$20000,CONFIG_METADATA!$B$4,DATOS!$I$2:$I$20000,"Conjunto"),"")))</f>
        <v/>
      </c>
      <c r="E883" t="str">
        <f>IF(A883="","",IF(A883="[FÓRMULA MANUAL]","",IFERROR(SUMPRODUCT((DATOS!$A$2:$A$20000=A883)*(DATOS!$G$2:$G$20000=CONFIG_METADATA!$B$4)*(COUNTIF(CONFIG_ASIGNATURAS!$B$7:$B$27,DATOS!$I$2:$I$20000)&gt;0)*(DATOS!$K$2:$K$20000))/SUMPRODUCT((DATOS!$A$2:$A$20000=A883)*(DATOS!$G$2:$G$20000=CONFIG_METADATA!$B$4)*(COUNTIF(CONFIG_ASIGNATURAS!$B$7:$B$27,DATOS!$I$2:$I$20000)&gt;0)*1),"")))</f>
        <v/>
      </c>
      <c r="H883" t="str">
        <f>IF(G883="","",IF(G883="[FÓRMULA MANUAL]","",IFERROR(AVERAGEIFS(DATOS!$K$2:$K$20000,DATOS!$A$2:$A$20000,G883,DATOS!$G$2:$G$20000,CONFIG_METADATA!$B$4,DATOS!$I$2:$I$20000,"Lenguaje Musical"),"")))</f>
        <v/>
      </c>
      <c r="I883" t="str">
        <f>IF(G883="","",IF(G883="[FÓRMULA MANUAL]","",IFERROR(AVERAGEIFS(DATOS!$K$2:$K$20000,DATOS!$A$2:$A$20000,G883,DATOS!$G$2:$G$20000,CONFIG_METADATA!$B$4,DATOS!$I$2:$I$20000,"Orquesta/Banda/Conjunto"),"")))</f>
        <v/>
      </c>
      <c r="J883" t="str">
        <f>IF(G883="","",IF(G883="[FÓRMULA MANUAL]","",IFERROR(AVERAGEIFS(DATOS!$K$2:$K$20000,DATOS!$A$2:$A$20000,G883,DATOS!$G$2:$G$20000,CONFIG_METADATA!$B$4,DATOS!$I$2:$I$20000,"Conjunto"),"")))</f>
        <v/>
      </c>
      <c r="K883" t="str">
        <f>IF(G883="","",IF(G883="[FÓRMULA MANUAL]","",IFERROR(SUMPRODUCT((DATOS!$A$2:$A$20000=G883)*(DATOS!$G$2:$G$20000=CONFIG_METADATA!$B$4)*(COUNTIF(CONFIG_ASIGNATURAS!$B$7:$B$27,DATOS!$I$2:$I$20000)&gt;0)*(DATOS!$K$2:$K$20000))/SUMPRODUCT((DATOS!$A$2:$A$20000=G883)*(DATOS!$G$2:$G$20000=CONFIG_METADATA!$B$4)*(COUNTIF(CONFIG_ASIGNATURAS!$B$7:$B$27,DATOS!$I$2:$I$20000)&gt;0)*1),"")))</f>
        <v/>
      </c>
      <c r="N883" t="str">
        <f>IF(M883="","",IF(M883="[FÓRMULA MANUAL]","",IFERROR(AVERAGEIFS(DATOS!$K$2:$K$20000,DATOS!$A$2:$A$20000,M883,DATOS!$G$2:$G$20000,CONFIG_METADATA!$B$4,DATOS!$I$2:$I$20000,"Armonía"),"")))</f>
        <v/>
      </c>
      <c r="O883" t="str">
        <f>IF(M883="","",IF(M883="[FÓRMULA MANUAL]","",IFERROR(AVERAGEIFS(DATOS!$K$2:$K$20000,DATOS!$A$2:$A$20000,M883,DATOS!$G$2:$G$20000,CONFIG_METADATA!$B$4,DATOS!$I$2:$I$20000,"Orquesta/Banda/Conjunto"),"")))</f>
        <v/>
      </c>
      <c r="P883" t="str">
        <f>IF(M883="","",IF(M883="[FÓRMULA MANUAL]","",IFERROR(AVERAGEIFS(DATOS!$K$2:$K$20000,DATOS!$A$2:$A$20000,M883,DATOS!$G$2:$G$20000,CONFIG_METADATA!$B$4,DATOS!$I$2:$I$20000,"Música de Cámara"),"")))</f>
        <v/>
      </c>
      <c r="Q883" t="str">
        <f>IF(M883="","",IF(M883="[FÓRMULA MANUAL]","",IFERROR(SUMPRODUCT((DATOS!$A$2:$A$20000=M883)*(DATOS!$G$2:$G$20000=CONFIG_METADATA!$B$4)*(COUNTIF(CONFIG_ASIGNATURAS!$B$7:$B$27,DATOS!$I$2:$I$20000)&gt;0)*(DATOS!$K$2:$K$20000))/SUMPRODUCT((DATOS!$A$2:$A$20000=M883)*(DATOS!$G$2:$G$20000=CONFIG_METADATA!$B$4)*(COUNTIF(CONFIG_ASIGNATURAS!$B$7:$B$27,DATOS!$I$2:$I$20000)&gt;0)*1),"")))</f>
        <v/>
      </c>
      <c r="T883" t="str">
        <f>IF(S883="","",IF(S883="[FÓRMULA MANUAL]","",IFERROR(AVERAGEIFS(DATOS!$K$2:$K$20000,DATOS!$A$2:$A$20000,S883,DATOS!$G$2:$G$20000,CONFIG_METADATA!$B$4,DATOS!$I$2:$I$20000,"Armonía"),"")))</f>
        <v/>
      </c>
      <c r="U883" t="str">
        <f>IF(S883="","",IF(S883="[FÓRMULA MANUAL]","",IFERROR(AVERAGEIFS(DATOS!$K$2:$K$20000,DATOS!$A$2:$A$20000,S883,DATOS!$G$2:$G$20000,CONFIG_METADATA!$B$4,DATOS!$I$2:$I$20000,"Orquesta/Banda/Conjunto"),"")))</f>
        <v/>
      </c>
      <c r="V883" t="str">
        <f>IF(S883="","",IF(S883="[FÓRMULA MANUAL]","",IFERROR(AVERAGEIFS(DATOS!$K$2:$K$20000,DATOS!$A$2:$A$20000,S883,DATOS!$G$2:$G$20000,CONFIG_METADATA!$B$4,DATOS!$I$2:$I$20000,"Música de Cámara"),"")))</f>
        <v/>
      </c>
      <c r="W883" t="str">
        <f>IF(S883="","",IF(S883="[FÓRMULA MANUAL]","",IFERROR(SUMPRODUCT((DATOS!$A$2:$A$20000=S883)*(DATOS!$G$2:$G$20000=CONFIG_METADATA!$B$4)*(COUNTIF(CONFIG_ASIGNATURAS!$B$7:$B$27,DATOS!$I$2:$I$20000)&gt;0)*(DATOS!$K$2:$K$20000))/SUMPRODUCT((DATOS!$A$2:$A$20000=S883)*(DATOS!$G$2:$G$20000=CONFIG_METADATA!$B$4)*(COUNTIF(CONFIG_ASIGNATURAS!$B$7:$B$27,DATOS!$I$2:$I$20000)&gt;0)*1),"")))</f>
        <v/>
      </c>
      <c r="Z883" t="str">
        <f>IF(Y883="","",IF(Y883="[FÓRMULA MANUAL]","",IFERROR(AVERAGEIFS(DATOS!$K$2:$K$20000,DATOS!$A$2:$A$20000,Y883,DATOS!$G$2:$G$20000,CONFIG_METADATA!$B$4,DATOS!$I$2:$I$20000,"Análisis"),"")))</f>
        <v/>
      </c>
      <c r="AA883" t="str">
        <f>IF(Y883="","",IF(Y883="[FÓRMULA MANUAL]","",IFERROR(AVERAGEIFS(DATOS!$K$2:$K$20000,DATOS!$A$2:$A$20000,Y883,DATOS!$G$2:$G$20000,CONFIG_METADATA!$B$4,DATOS!$I$2:$I$20000,"Orquesta/Banda/Conjunto"),"")))</f>
        <v/>
      </c>
      <c r="AB883" t="str">
        <f>IF(Y883="","",IF(Y883="[FÓRMULA MANUAL]","",IFERROR(AVERAGEIFS(DATOS!$K$2:$K$20000,DATOS!$A$2:$A$20000,Y883,DATOS!$G$2:$G$20000,CONFIG_METADATA!$B$4,DATOS!$I$2:$I$20000,"Música de Cámara"),"")))</f>
        <v/>
      </c>
      <c r="AC883" t="str">
        <f>IF(Y883="","",IF(Y883="[FÓRMULA MANUAL]","",IFERROR(SUMPRODUCT((DATOS!$A$2:$A$20000=Y883)*(DATOS!$G$2:$G$20000=CONFIG_METADATA!$B$4)*(COUNTIF(CONFIG_ASIGNATURAS!$B$7:$B$27,DATOS!$I$2:$I$20000)&gt;0)*(DATOS!$K$2:$K$20000))/SUMPRODUCT((DATOS!$A$2:$A$20000=Y883)*(DATOS!$G$2:$G$20000=CONFIG_METADATA!$B$4)*(COUNTIF(CONFIG_ASIGNATURAS!$B$7:$B$27,DATOS!$I$2:$I$20000)&gt;0)*1),"")))</f>
        <v/>
      </c>
      <c r="AF883" t="str">
        <f>IF(AE883="","",IF(AE883="[FÓRMULA MANUAL]","",IFERROR(AVERAGEIFS(DATOS!$K$2:$K$20000,DATOS!$A$2:$A$20000,AE883,DATOS!$G$2:$G$20000,CONFIG_METADATA!$B$4,DATOS!$I$2:$I$20000,"Análisis"),"")))</f>
        <v/>
      </c>
      <c r="AG883" t="str">
        <f>IF(AE883="","",IF(AE883="[FÓRMULA MANUAL]","",IFERROR(AVERAGEIFS(DATOS!$K$2:$K$20000,DATOS!$A$2:$A$20000,AE883,DATOS!$G$2:$G$20000,CONFIG_METADATA!$B$4,DATOS!$I$2:$I$20000,"Orquesta/Banda/Conjunto"),"")))</f>
        <v/>
      </c>
      <c r="AH883" t="str">
        <f>IF(AE883="","",IF(AE883="[FÓRMULA MANUAL]","",IFERROR(AVERAGEIFS(DATOS!$K$2:$K$20000,DATOS!$A$2:$A$20000,AE883,DATOS!$G$2:$G$20000,CONFIG_METADATA!$B$4,DATOS!$I$2:$I$20000,"Música de Cámara"),"")))</f>
        <v/>
      </c>
      <c r="AI883" t="str">
        <f>IF(AE883="","",IF(AE883="[FÓRMULA MANUAL]","",IFERROR(SUMPRODUCT((DATOS!$A$2:$A$20000=AE883)*(DATOS!$G$2:$G$20000=CONFIG_METADATA!$B$4)*(COUNTIF(CONFIG_ASIGNATURAS!$B$7:$B$27,DATOS!$I$2:$I$20000)&gt;0)*(DATOS!$K$2:$K$20000))/SUMPRODUCT((DATOS!$A$2:$A$20000=AE883)*(DATOS!$G$2:$G$20000=CONFIG_METADATA!$B$4)*(COUNTIF(CONFIG_ASIGNATURAS!$B$7:$B$27,DATOS!$I$2:$I$20000)&gt;0)*1),"")))</f>
        <v/>
      </c>
    </row>
    <row r="884" spans="2:35" x14ac:dyDescent="0.2">
      <c r="B884" t="str">
        <f>IF(A884="","",IF(A884="[FÓRMULA MANUAL]","",IFERROR(AVERAGEIFS(DATOS!$K$2:$K$20000,DATOS!$A$2:$A$20000,A884,DATOS!$G$2:$G$20000,CONFIG_METADATA!$B$4,DATOS!$I$2:$I$20000,"Lenguaje Musical"),"")))</f>
        <v/>
      </c>
      <c r="C884" t="str">
        <f>IF(A884="","",IF(A884="[FÓRMULA MANUAL]","",IFERROR(AVERAGEIFS(DATOS!$K$2:$K$20000,DATOS!$A$2:$A$20000,A884,DATOS!$G$2:$G$20000,CONFIG_METADATA!$B$4,DATOS!$I$2:$I$20000,"Orquesta/Banda/Conjunto"),"")))</f>
        <v/>
      </c>
      <c r="D884" t="str">
        <f>IF(A884="","",IF(A884="[FÓRMULA MANUAL]","",IFERROR(AVERAGEIFS(DATOS!$K$2:$K$20000,DATOS!$A$2:$A$20000,A884,DATOS!$G$2:$G$20000,CONFIG_METADATA!$B$4,DATOS!$I$2:$I$20000,"Conjunto"),"")))</f>
        <v/>
      </c>
      <c r="E884" t="str">
        <f>IF(A884="","",IF(A884="[FÓRMULA MANUAL]","",IFERROR(SUMPRODUCT((DATOS!$A$2:$A$20000=A884)*(DATOS!$G$2:$G$20000=CONFIG_METADATA!$B$4)*(COUNTIF(CONFIG_ASIGNATURAS!$B$7:$B$27,DATOS!$I$2:$I$20000)&gt;0)*(DATOS!$K$2:$K$20000))/SUMPRODUCT((DATOS!$A$2:$A$20000=A884)*(DATOS!$G$2:$G$20000=CONFIG_METADATA!$B$4)*(COUNTIF(CONFIG_ASIGNATURAS!$B$7:$B$27,DATOS!$I$2:$I$20000)&gt;0)*1),"")))</f>
        <v/>
      </c>
      <c r="H884" t="str">
        <f>IF(G884="","",IF(G884="[FÓRMULA MANUAL]","",IFERROR(AVERAGEIFS(DATOS!$K$2:$K$20000,DATOS!$A$2:$A$20000,G884,DATOS!$G$2:$G$20000,CONFIG_METADATA!$B$4,DATOS!$I$2:$I$20000,"Lenguaje Musical"),"")))</f>
        <v/>
      </c>
      <c r="I884" t="str">
        <f>IF(G884="","",IF(G884="[FÓRMULA MANUAL]","",IFERROR(AVERAGEIFS(DATOS!$K$2:$K$20000,DATOS!$A$2:$A$20000,G884,DATOS!$G$2:$G$20000,CONFIG_METADATA!$B$4,DATOS!$I$2:$I$20000,"Orquesta/Banda/Conjunto"),"")))</f>
        <v/>
      </c>
      <c r="J884" t="str">
        <f>IF(G884="","",IF(G884="[FÓRMULA MANUAL]","",IFERROR(AVERAGEIFS(DATOS!$K$2:$K$20000,DATOS!$A$2:$A$20000,G884,DATOS!$G$2:$G$20000,CONFIG_METADATA!$B$4,DATOS!$I$2:$I$20000,"Conjunto"),"")))</f>
        <v/>
      </c>
      <c r="K884" t="str">
        <f>IF(G884="","",IF(G884="[FÓRMULA MANUAL]","",IFERROR(SUMPRODUCT((DATOS!$A$2:$A$20000=G884)*(DATOS!$G$2:$G$20000=CONFIG_METADATA!$B$4)*(COUNTIF(CONFIG_ASIGNATURAS!$B$7:$B$27,DATOS!$I$2:$I$20000)&gt;0)*(DATOS!$K$2:$K$20000))/SUMPRODUCT((DATOS!$A$2:$A$20000=G884)*(DATOS!$G$2:$G$20000=CONFIG_METADATA!$B$4)*(COUNTIF(CONFIG_ASIGNATURAS!$B$7:$B$27,DATOS!$I$2:$I$20000)&gt;0)*1),"")))</f>
        <v/>
      </c>
      <c r="N884" t="str">
        <f>IF(M884="","",IF(M884="[FÓRMULA MANUAL]","",IFERROR(AVERAGEIFS(DATOS!$K$2:$K$20000,DATOS!$A$2:$A$20000,M884,DATOS!$G$2:$G$20000,CONFIG_METADATA!$B$4,DATOS!$I$2:$I$20000,"Armonía"),"")))</f>
        <v/>
      </c>
      <c r="O884" t="str">
        <f>IF(M884="","",IF(M884="[FÓRMULA MANUAL]","",IFERROR(AVERAGEIFS(DATOS!$K$2:$K$20000,DATOS!$A$2:$A$20000,M884,DATOS!$G$2:$G$20000,CONFIG_METADATA!$B$4,DATOS!$I$2:$I$20000,"Orquesta/Banda/Conjunto"),"")))</f>
        <v/>
      </c>
      <c r="P884" t="str">
        <f>IF(M884="","",IF(M884="[FÓRMULA MANUAL]","",IFERROR(AVERAGEIFS(DATOS!$K$2:$K$20000,DATOS!$A$2:$A$20000,M884,DATOS!$G$2:$G$20000,CONFIG_METADATA!$B$4,DATOS!$I$2:$I$20000,"Música de Cámara"),"")))</f>
        <v/>
      </c>
      <c r="Q884" t="str">
        <f>IF(M884="","",IF(M884="[FÓRMULA MANUAL]","",IFERROR(SUMPRODUCT((DATOS!$A$2:$A$20000=M884)*(DATOS!$G$2:$G$20000=CONFIG_METADATA!$B$4)*(COUNTIF(CONFIG_ASIGNATURAS!$B$7:$B$27,DATOS!$I$2:$I$20000)&gt;0)*(DATOS!$K$2:$K$20000))/SUMPRODUCT((DATOS!$A$2:$A$20000=M884)*(DATOS!$G$2:$G$20000=CONFIG_METADATA!$B$4)*(COUNTIF(CONFIG_ASIGNATURAS!$B$7:$B$27,DATOS!$I$2:$I$20000)&gt;0)*1),"")))</f>
        <v/>
      </c>
      <c r="T884" t="str">
        <f>IF(S884="","",IF(S884="[FÓRMULA MANUAL]","",IFERROR(AVERAGEIFS(DATOS!$K$2:$K$20000,DATOS!$A$2:$A$20000,S884,DATOS!$G$2:$G$20000,CONFIG_METADATA!$B$4,DATOS!$I$2:$I$20000,"Armonía"),"")))</f>
        <v/>
      </c>
      <c r="U884" t="str">
        <f>IF(S884="","",IF(S884="[FÓRMULA MANUAL]","",IFERROR(AVERAGEIFS(DATOS!$K$2:$K$20000,DATOS!$A$2:$A$20000,S884,DATOS!$G$2:$G$20000,CONFIG_METADATA!$B$4,DATOS!$I$2:$I$20000,"Orquesta/Banda/Conjunto"),"")))</f>
        <v/>
      </c>
      <c r="V884" t="str">
        <f>IF(S884="","",IF(S884="[FÓRMULA MANUAL]","",IFERROR(AVERAGEIFS(DATOS!$K$2:$K$20000,DATOS!$A$2:$A$20000,S884,DATOS!$G$2:$G$20000,CONFIG_METADATA!$B$4,DATOS!$I$2:$I$20000,"Música de Cámara"),"")))</f>
        <v/>
      </c>
      <c r="W884" t="str">
        <f>IF(S884="","",IF(S884="[FÓRMULA MANUAL]","",IFERROR(SUMPRODUCT((DATOS!$A$2:$A$20000=S884)*(DATOS!$G$2:$G$20000=CONFIG_METADATA!$B$4)*(COUNTIF(CONFIG_ASIGNATURAS!$B$7:$B$27,DATOS!$I$2:$I$20000)&gt;0)*(DATOS!$K$2:$K$20000))/SUMPRODUCT((DATOS!$A$2:$A$20000=S884)*(DATOS!$G$2:$G$20000=CONFIG_METADATA!$B$4)*(COUNTIF(CONFIG_ASIGNATURAS!$B$7:$B$27,DATOS!$I$2:$I$20000)&gt;0)*1),"")))</f>
        <v/>
      </c>
      <c r="Z884" t="str">
        <f>IF(Y884="","",IF(Y884="[FÓRMULA MANUAL]","",IFERROR(AVERAGEIFS(DATOS!$K$2:$K$20000,DATOS!$A$2:$A$20000,Y884,DATOS!$G$2:$G$20000,CONFIG_METADATA!$B$4,DATOS!$I$2:$I$20000,"Análisis"),"")))</f>
        <v/>
      </c>
      <c r="AA884" t="str">
        <f>IF(Y884="","",IF(Y884="[FÓRMULA MANUAL]","",IFERROR(AVERAGEIFS(DATOS!$K$2:$K$20000,DATOS!$A$2:$A$20000,Y884,DATOS!$G$2:$G$20000,CONFIG_METADATA!$B$4,DATOS!$I$2:$I$20000,"Orquesta/Banda/Conjunto"),"")))</f>
        <v/>
      </c>
      <c r="AB884" t="str">
        <f>IF(Y884="","",IF(Y884="[FÓRMULA MANUAL]","",IFERROR(AVERAGEIFS(DATOS!$K$2:$K$20000,DATOS!$A$2:$A$20000,Y884,DATOS!$G$2:$G$20000,CONFIG_METADATA!$B$4,DATOS!$I$2:$I$20000,"Música de Cámara"),"")))</f>
        <v/>
      </c>
      <c r="AC884" t="str">
        <f>IF(Y884="","",IF(Y884="[FÓRMULA MANUAL]","",IFERROR(SUMPRODUCT((DATOS!$A$2:$A$20000=Y884)*(DATOS!$G$2:$G$20000=CONFIG_METADATA!$B$4)*(COUNTIF(CONFIG_ASIGNATURAS!$B$7:$B$27,DATOS!$I$2:$I$20000)&gt;0)*(DATOS!$K$2:$K$20000))/SUMPRODUCT((DATOS!$A$2:$A$20000=Y884)*(DATOS!$G$2:$G$20000=CONFIG_METADATA!$B$4)*(COUNTIF(CONFIG_ASIGNATURAS!$B$7:$B$27,DATOS!$I$2:$I$20000)&gt;0)*1),"")))</f>
        <v/>
      </c>
      <c r="AF884" t="str">
        <f>IF(AE884="","",IF(AE884="[FÓRMULA MANUAL]","",IFERROR(AVERAGEIFS(DATOS!$K$2:$K$20000,DATOS!$A$2:$A$20000,AE884,DATOS!$G$2:$G$20000,CONFIG_METADATA!$B$4,DATOS!$I$2:$I$20000,"Análisis"),"")))</f>
        <v/>
      </c>
      <c r="AG884" t="str">
        <f>IF(AE884="","",IF(AE884="[FÓRMULA MANUAL]","",IFERROR(AVERAGEIFS(DATOS!$K$2:$K$20000,DATOS!$A$2:$A$20000,AE884,DATOS!$G$2:$G$20000,CONFIG_METADATA!$B$4,DATOS!$I$2:$I$20000,"Orquesta/Banda/Conjunto"),"")))</f>
        <v/>
      </c>
      <c r="AH884" t="str">
        <f>IF(AE884="","",IF(AE884="[FÓRMULA MANUAL]","",IFERROR(AVERAGEIFS(DATOS!$K$2:$K$20000,DATOS!$A$2:$A$20000,AE884,DATOS!$G$2:$G$20000,CONFIG_METADATA!$B$4,DATOS!$I$2:$I$20000,"Música de Cámara"),"")))</f>
        <v/>
      </c>
      <c r="AI884" t="str">
        <f>IF(AE884="","",IF(AE884="[FÓRMULA MANUAL]","",IFERROR(SUMPRODUCT((DATOS!$A$2:$A$20000=AE884)*(DATOS!$G$2:$G$20000=CONFIG_METADATA!$B$4)*(COUNTIF(CONFIG_ASIGNATURAS!$B$7:$B$27,DATOS!$I$2:$I$20000)&gt;0)*(DATOS!$K$2:$K$20000))/SUMPRODUCT((DATOS!$A$2:$A$20000=AE884)*(DATOS!$G$2:$G$20000=CONFIG_METADATA!$B$4)*(COUNTIF(CONFIG_ASIGNATURAS!$B$7:$B$27,DATOS!$I$2:$I$20000)&gt;0)*1),"")))</f>
        <v/>
      </c>
    </row>
    <row r="885" spans="2:35" x14ac:dyDescent="0.2">
      <c r="B885" t="str">
        <f>IF(A885="","",IF(A885="[FÓRMULA MANUAL]","",IFERROR(AVERAGEIFS(DATOS!$K$2:$K$20000,DATOS!$A$2:$A$20000,A885,DATOS!$G$2:$G$20000,CONFIG_METADATA!$B$4,DATOS!$I$2:$I$20000,"Lenguaje Musical"),"")))</f>
        <v/>
      </c>
      <c r="C885" t="str">
        <f>IF(A885="","",IF(A885="[FÓRMULA MANUAL]","",IFERROR(AVERAGEIFS(DATOS!$K$2:$K$20000,DATOS!$A$2:$A$20000,A885,DATOS!$G$2:$G$20000,CONFIG_METADATA!$B$4,DATOS!$I$2:$I$20000,"Orquesta/Banda/Conjunto"),"")))</f>
        <v/>
      </c>
      <c r="D885" t="str">
        <f>IF(A885="","",IF(A885="[FÓRMULA MANUAL]","",IFERROR(AVERAGEIFS(DATOS!$K$2:$K$20000,DATOS!$A$2:$A$20000,A885,DATOS!$G$2:$G$20000,CONFIG_METADATA!$B$4,DATOS!$I$2:$I$20000,"Conjunto"),"")))</f>
        <v/>
      </c>
      <c r="E885" t="str">
        <f>IF(A885="","",IF(A885="[FÓRMULA MANUAL]","",IFERROR(SUMPRODUCT((DATOS!$A$2:$A$20000=A885)*(DATOS!$G$2:$G$20000=CONFIG_METADATA!$B$4)*(COUNTIF(CONFIG_ASIGNATURAS!$B$7:$B$27,DATOS!$I$2:$I$20000)&gt;0)*(DATOS!$K$2:$K$20000))/SUMPRODUCT((DATOS!$A$2:$A$20000=A885)*(DATOS!$G$2:$G$20000=CONFIG_METADATA!$B$4)*(COUNTIF(CONFIG_ASIGNATURAS!$B$7:$B$27,DATOS!$I$2:$I$20000)&gt;0)*1),"")))</f>
        <v/>
      </c>
      <c r="H885" t="str">
        <f>IF(G885="","",IF(G885="[FÓRMULA MANUAL]","",IFERROR(AVERAGEIFS(DATOS!$K$2:$K$20000,DATOS!$A$2:$A$20000,G885,DATOS!$G$2:$G$20000,CONFIG_METADATA!$B$4,DATOS!$I$2:$I$20000,"Lenguaje Musical"),"")))</f>
        <v/>
      </c>
      <c r="I885" t="str">
        <f>IF(G885="","",IF(G885="[FÓRMULA MANUAL]","",IFERROR(AVERAGEIFS(DATOS!$K$2:$K$20000,DATOS!$A$2:$A$20000,G885,DATOS!$G$2:$G$20000,CONFIG_METADATA!$B$4,DATOS!$I$2:$I$20000,"Orquesta/Banda/Conjunto"),"")))</f>
        <v/>
      </c>
      <c r="J885" t="str">
        <f>IF(G885="","",IF(G885="[FÓRMULA MANUAL]","",IFERROR(AVERAGEIFS(DATOS!$K$2:$K$20000,DATOS!$A$2:$A$20000,G885,DATOS!$G$2:$G$20000,CONFIG_METADATA!$B$4,DATOS!$I$2:$I$20000,"Conjunto"),"")))</f>
        <v/>
      </c>
      <c r="K885" t="str">
        <f>IF(G885="","",IF(G885="[FÓRMULA MANUAL]","",IFERROR(SUMPRODUCT((DATOS!$A$2:$A$20000=G885)*(DATOS!$G$2:$G$20000=CONFIG_METADATA!$B$4)*(COUNTIF(CONFIG_ASIGNATURAS!$B$7:$B$27,DATOS!$I$2:$I$20000)&gt;0)*(DATOS!$K$2:$K$20000))/SUMPRODUCT((DATOS!$A$2:$A$20000=G885)*(DATOS!$G$2:$G$20000=CONFIG_METADATA!$B$4)*(COUNTIF(CONFIG_ASIGNATURAS!$B$7:$B$27,DATOS!$I$2:$I$20000)&gt;0)*1),"")))</f>
        <v/>
      </c>
      <c r="N885" t="str">
        <f>IF(M885="","",IF(M885="[FÓRMULA MANUAL]","",IFERROR(AVERAGEIFS(DATOS!$K$2:$K$20000,DATOS!$A$2:$A$20000,M885,DATOS!$G$2:$G$20000,CONFIG_METADATA!$B$4,DATOS!$I$2:$I$20000,"Armonía"),"")))</f>
        <v/>
      </c>
      <c r="O885" t="str">
        <f>IF(M885="","",IF(M885="[FÓRMULA MANUAL]","",IFERROR(AVERAGEIFS(DATOS!$K$2:$K$20000,DATOS!$A$2:$A$20000,M885,DATOS!$G$2:$G$20000,CONFIG_METADATA!$B$4,DATOS!$I$2:$I$20000,"Orquesta/Banda/Conjunto"),"")))</f>
        <v/>
      </c>
      <c r="P885" t="str">
        <f>IF(M885="","",IF(M885="[FÓRMULA MANUAL]","",IFERROR(AVERAGEIFS(DATOS!$K$2:$K$20000,DATOS!$A$2:$A$20000,M885,DATOS!$G$2:$G$20000,CONFIG_METADATA!$B$4,DATOS!$I$2:$I$20000,"Música de Cámara"),"")))</f>
        <v/>
      </c>
      <c r="Q885" t="str">
        <f>IF(M885="","",IF(M885="[FÓRMULA MANUAL]","",IFERROR(SUMPRODUCT((DATOS!$A$2:$A$20000=M885)*(DATOS!$G$2:$G$20000=CONFIG_METADATA!$B$4)*(COUNTIF(CONFIG_ASIGNATURAS!$B$7:$B$27,DATOS!$I$2:$I$20000)&gt;0)*(DATOS!$K$2:$K$20000))/SUMPRODUCT((DATOS!$A$2:$A$20000=M885)*(DATOS!$G$2:$G$20000=CONFIG_METADATA!$B$4)*(COUNTIF(CONFIG_ASIGNATURAS!$B$7:$B$27,DATOS!$I$2:$I$20000)&gt;0)*1),"")))</f>
        <v/>
      </c>
      <c r="T885" t="str">
        <f>IF(S885="","",IF(S885="[FÓRMULA MANUAL]","",IFERROR(AVERAGEIFS(DATOS!$K$2:$K$20000,DATOS!$A$2:$A$20000,S885,DATOS!$G$2:$G$20000,CONFIG_METADATA!$B$4,DATOS!$I$2:$I$20000,"Armonía"),"")))</f>
        <v/>
      </c>
      <c r="U885" t="str">
        <f>IF(S885="","",IF(S885="[FÓRMULA MANUAL]","",IFERROR(AVERAGEIFS(DATOS!$K$2:$K$20000,DATOS!$A$2:$A$20000,S885,DATOS!$G$2:$G$20000,CONFIG_METADATA!$B$4,DATOS!$I$2:$I$20000,"Orquesta/Banda/Conjunto"),"")))</f>
        <v/>
      </c>
      <c r="V885" t="str">
        <f>IF(S885="","",IF(S885="[FÓRMULA MANUAL]","",IFERROR(AVERAGEIFS(DATOS!$K$2:$K$20000,DATOS!$A$2:$A$20000,S885,DATOS!$G$2:$G$20000,CONFIG_METADATA!$B$4,DATOS!$I$2:$I$20000,"Música de Cámara"),"")))</f>
        <v/>
      </c>
      <c r="W885" t="str">
        <f>IF(S885="","",IF(S885="[FÓRMULA MANUAL]","",IFERROR(SUMPRODUCT((DATOS!$A$2:$A$20000=S885)*(DATOS!$G$2:$G$20000=CONFIG_METADATA!$B$4)*(COUNTIF(CONFIG_ASIGNATURAS!$B$7:$B$27,DATOS!$I$2:$I$20000)&gt;0)*(DATOS!$K$2:$K$20000))/SUMPRODUCT((DATOS!$A$2:$A$20000=S885)*(DATOS!$G$2:$G$20000=CONFIG_METADATA!$B$4)*(COUNTIF(CONFIG_ASIGNATURAS!$B$7:$B$27,DATOS!$I$2:$I$20000)&gt;0)*1),"")))</f>
        <v/>
      </c>
      <c r="Z885" t="str">
        <f>IF(Y885="","",IF(Y885="[FÓRMULA MANUAL]","",IFERROR(AVERAGEIFS(DATOS!$K$2:$K$20000,DATOS!$A$2:$A$20000,Y885,DATOS!$G$2:$G$20000,CONFIG_METADATA!$B$4,DATOS!$I$2:$I$20000,"Análisis"),"")))</f>
        <v/>
      </c>
      <c r="AA885" t="str">
        <f>IF(Y885="","",IF(Y885="[FÓRMULA MANUAL]","",IFERROR(AVERAGEIFS(DATOS!$K$2:$K$20000,DATOS!$A$2:$A$20000,Y885,DATOS!$G$2:$G$20000,CONFIG_METADATA!$B$4,DATOS!$I$2:$I$20000,"Orquesta/Banda/Conjunto"),"")))</f>
        <v/>
      </c>
      <c r="AB885" t="str">
        <f>IF(Y885="","",IF(Y885="[FÓRMULA MANUAL]","",IFERROR(AVERAGEIFS(DATOS!$K$2:$K$20000,DATOS!$A$2:$A$20000,Y885,DATOS!$G$2:$G$20000,CONFIG_METADATA!$B$4,DATOS!$I$2:$I$20000,"Música de Cámara"),"")))</f>
        <v/>
      </c>
      <c r="AC885" t="str">
        <f>IF(Y885="","",IF(Y885="[FÓRMULA MANUAL]","",IFERROR(SUMPRODUCT((DATOS!$A$2:$A$20000=Y885)*(DATOS!$G$2:$G$20000=CONFIG_METADATA!$B$4)*(COUNTIF(CONFIG_ASIGNATURAS!$B$7:$B$27,DATOS!$I$2:$I$20000)&gt;0)*(DATOS!$K$2:$K$20000))/SUMPRODUCT((DATOS!$A$2:$A$20000=Y885)*(DATOS!$G$2:$G$20000=CONFIG_METADATA!$B$4)*(COUNTIF(CONFIG_ASIGNATURAS!$B$7:$B$27,DATOS!$I$2:$I$20000)&gt;0)*1),"")))</f>
        <v/>
      </c>
      <c r="AF885" t="str">
        <f>IF(AE885="","",IF(AE885="[FÓRMULA MANUAL]","",IFERROR(AVERAGEIFS(DATOS!$K$2:$K$20000,DATOS!$A$2:$A$20000,AE885,DATOS!$G$2:$G$20000,CONFIG_METADATA!$B$4,DATOS!$I$2:$I$20000,"Análisis"),"")))</f>
        <v/>
      </c>
      <c r="AG885" t="str">
        <f>IF(AE885="","",IF(AE885="[FÓRMULA MANUAL]","",IFERROR(AVERAGEIFS(DATOS!$K$2:$K$20000,DATOS!$A$2:$A$20000,AE885,DATOS!$G$2:$G$20000,CONFIG_METADATA!$B$4,DATOS!$I$2:$I$20000,"Orquesta/Banda/Conjunto"),"")))</f>
        <v/>
      </c>
      <c r="AH885" t="str">
        <f>IF(AE885="","",IF(AE885="[FÓRMULA MANUAL]","",IFERROR(AVERAGEIFS(DATOS!$K$2:$K$20000,DATOS!$A$2:$A$20000,AE885,DATOS!$G$2:$G$20000,CONFIG_METADATA!$B$4,DATOS!$I$2:$I$20000,"Música de Cámara"),"")))</f>
        <v/>
      </c>
      <c r="AI885" t="str">
        <f>IF(AE885="","",IF(AE885="[FÓRMULA MANUAL]","",IFERROR(SUMPRODUCT((DATOS!$A$2:$A$20000=AE885)*(DATOS!$G$2:$G$20000=CONFIG_METADATA!$B$4)*(COUNTIF(CONFIG_ASIGNATURAS!$B$7:$B$27,DATOS!$I$2:$I$20000)&gt;0)*(DATOS!$K$2:$K$20000))/SUMPRODUCT((DATOS!$A$2:$A$20000=AE885)*(DATOS!$G$2:$G$20000=CONFIG_METADATA!$B$4)*(COUNTIF(CONFIG_ASIGNATURAS!$B$7:$B$27,DATOS!$I$2:$I$20000)&gt;0)*1),"")))</f>
        <v/>
      </c>
    </row>
    <row r="886" spans="2:35" x14ac:dyDescent="0.2">
      <c r="B886" t="str">
        <f>IF(A886="","",IF(A886="[FÓRMULA MANUAL]","",IFERROR(AVERAGEIFS(DATOS!$K$2:$K$20000,DATOS!$A$2:$A$20000,A886,DATOS!$G$2:$G$20000,CONFIG_METADATA!$B$4,DATOS!$I$2:$I$20000,"Lenguaje Musical"),"")))</f>
        <v/>
      </c>
      <c r="C886" t="str">
        <f>IF(A886="","",IF(A886="[FÓRMULA MANUAL]","",IFERROR(AVERAGEIFS(DATOS!$K$2:$K$20000,DATOS!$A$2:$A$20000,A886,DATOS!$G$2:$G$20000,CONFIG_METADATA!$B$4,DATOS!$I$2:$I$20000,"Orquesta/Banda/Conjunto"),"")))</f>
        <v/>
      </c>
      <c r="D886" t="str">
        <f>IF(A886="","",IF(A886="[FÓRMULA MANUAL]","",IFERROR(AVERAGEIFS(DATOS!$K$2:$K$20000,DATOS!$A$2:$A$20000,A886,DATOS!$G$2:$G$20000,CONFIG_METADATA!$B$4,DATOS!$I$2:$I$20000,"Conjunto"),"")))</f>
        <v/>
      </c>
      <c r="E886" t="str">
        <f>IF(A886="","",IF(A886="[FÓRMULA MANUAL]","",IFERROR(SUMPRODUCT((DATOS!$A$2:$A$20000=A886)*(DATOS!$G$2:$G$20000=CONFIG_METADATA!$B$4)*(COUNTIF(CONFIG_ASIGNATURAS!$B$7:$B$27,DATOS!$I$2:$I$20000)&gt;0)*(DATOS!$K$2:$K$20000))/SUMPRODUCT((DATOS!$A$2:$A$20000=A886)*(DATOS!$G$2:$G$20000=CONFIG_METADATA!$B$4)*(COUNTIF(CONFIG_ASIGNATURAS!$B$7:$B$27,DATOS!$I$2:$I$20000)&gt;0)*1),"")))</f>
        <v/>
      </c>
      <c r="H886" t="str">
        <f>IF(G886="","",IF(G886="[FÓRMULA MANUAL]","",IFERROR(AVERAGEIFS(DATOS!$K$2:$K$20000,DATOS!$A$2:$A$20000,G886,DATOS!$G$2:$G$20000,CONFIG_METADATA!$B$4,DATOS!$I$2:$I$20000,"Lenguaje Musical"),"")))</f>
        <v/>
      </c>
      <c r="I886" t="str">
        <f>IF(G886="","",IF(G886="[FÓRMULA MANUAL]","",IFERROR(AVERAGEIFS(DATOS!$K$2:$K$20000,DATOS!$A$2:$A$20000,G886,DATOS!$G$2:$G$20000,CONFIG_METADATA!$B$4,DATOS!$I$2:$I$20000,"Orquesta/Banda/Conjunto"),"")))</f>
        <v/>
      </c>
      <c r="J886" t="str">
        <f>IF(G886="","",IF(G886="[FÓRMULA MANUAL]","",IFERROR(AVERAGEIFS(DATOS!$K$2:$K$20000,DATOS!$A$2:$A$20000,G886,DATOS!$G$2:$G$20000,CONFIG_METADATA!$B$4,DATOS!$I$2:$I$20000,"Conjunto"),"")))</f>
        <v/>
      </c>
      <c r="K886" t="str">
        <f>IF(G886="","",IF(G886="[FÓRMULA MANUAL]","",IFERROR(SUMPRODUCT((DATOS!$A$2:$A$20000=G886)*(DATOS!$G$2:$G$20000=CONFIG_METADATA!$B$4)*(COUNTIF(CONFIG_ASIGNATURAS!$B$7:$B$27,DATOS!$I$2:$I$20000)&gt;0)*(DATOS!$K$2:$K$20000))/SUMPRODUCT((DATOS!$A$2:$A$20000=G886)*(DATOS!$G$2:$G$20000=CONFIG_METADATA!$B$4)*(COUNTIF(CONFIG_ASIGNATURAS!$B$7:$B$27,DATOS!$I$2:$I$20000)&gt;0)*1),"")))</f>
        <v/>
      </c>
      <c r="N886" t="str">
        <f>IF(M886="","",IF(M886="[FÓRMULA MANUAL]","",IFERROR(AVERAGEIFS(DATOS!$K$2:$K$20000,DATOS!$A$2:$A$20000,M886,DATOS!$G$2:$G$20000,CONFIG_METADATA!$B$4,DATOS!$I$2:$I$20000,"Armonía"),"")))</f>
        <v/>
      </c>
      <c r="O886" t="str">
        <f>IF(M886="","",IF(M886="[FÓRMULA MANUAL]","",IFERROR(AVERAGEIFS(DATOS!$K$2:$K$20000,DATOS!$A$2:$A$20000,M886,DATOS!$G$2:$G$20000,CONFIG_METADATA!$B$4,DATOS!$I$2:$I$20000,"Orquesta/Banda/Conjunto"),"")))</f>
        <v/>
      </c>
      <c r="P886" t="str">
        <f>IF(M886="","",IF(M886="[FÓRMULA MANUAL]","",IFERROR(AVERAGEIFS(DATOS!$K$2:$K$20000,DATOS!$A$2:$A$20000,M886,DATOS!$G$2:$G$20000,CONFIG_METADATA!$B$4,DATOS!$I$2:$I$20000,"Música de Cámara"),"")))</f>
        <v/>
      </c>
      <c r="Q886" t="str">
        <f>IF(M886="","",IF(M886="[FÓRMULA MANUAL]","",IFERROR(SUMPRODUCT((DATOS!$A$2:$A$20000=M886)*(DATOS!$G$2:$G$20000=CONFIG_METADATA!$B$4)*(COUNTIF(CONFIG_ASIGNATURAS!$B$7:$B$27,DATOS!$I$2:$I$20000)&gt;0)*(DATOS!$K$2:$K$20000))/SUMPRODUCT((DATOS!$A$2:$A$20000=M886)*(DATOS!$G$2:$G$20000=CONFIG_METADATA!$B$4)*(COUNTIF(CONFIG_ASIGNATURAS!$B$7:$B$27,DATOS!$I$2:$I$20000)&gt;0)*1),"")))</f>
        <v/>
      </c>
      <c r="T886" t="str">
        <f>IF(S886="","",IF(S886="[FÓRMULA MANUAL]","",IFERROR(AVERAGEIFS(DATOS!$K$2:$K$20000,DATOS!$A$2:$A$20000,S886,DATOS!$G$2:$G$20000,CONFIG_METADATA!$B$4,DATOS!$I$2:$I$20000,"Armonía"),"")))</f>
        <v/>
      </c>
      <c r="U886" t="str">
        <f>IF(S886="","",IF(S886="[FÓRMULA MANUAL]","",IFERROR(AVERAGEIFS(DATOS!$K$2:$K$20000,DATOS!$A$2:$A$20000,S886,DATOS!$G$2:$G$20000,CONFIG_METADATA!$B$4,DATOS!$I$2:$I$20000,"Orquesta/Banda/Conjunto"),"")))</f>
        <v/>
      </c>
      <c r="V886" t="str">
        <f>IF(S886="","",IF(S886="[FÓRMULA MANUAL]","",IFERROR(AVERAGEIFS(DATOS!$K$2:$K$20000,DATOS!$A$2:$A$20000,S886,DATOS!$G$2:$G$20000,CONFIG_METADATA!$B$4,DATOS!$I$2:$I$20000,"Música de Cámara"),"")))</f>
        <v/>
      </c>
      <c r="W886" t="str">
        <f>IF(S886="","",IF(S886="[FÓRMULA MANUAL]","",IFERROR(SUMPRODUCT((DATOS!$A$2:$A$20000=S886)*(DATOS!$G$2:$G$20000=CONFIG_METADATA!$B$4)*(COUNTIF(CONFIG_ASIGNATURAS!$B$7:$B$27,DATOS!$I$2:$I$20000)&gt;0)*(DATOS!$K$2:$K$20000))/SUMPRODUCT((DATOS!$A$2:$A$20000=S886)*(DATOS!$G$2:$G$20000=CONFIG_METADATA!$B$4)*(COUNTIF(CONFIG_ASIGNATURAS!$B$7:$B$27,DATOS!$I$2:$I$20000)&gt;0)*1),"")))</f>
        <v/>
      </c>
      <c r="Z886" t="str">
        <f>IF(Y886="","",IF(Y886="[FÓRMULA MANUAL]","",IFERROR(AVERAGEIFS(DATOS!$K$2:$K$20000,DATOS!$A$2:$A$20000,Y886,DATOS!$G$2:$G$20000,CONFIG_METADATA!$B$4,DATOS!$I$2:$I$20000,"Análisis"),"")))</f>
        <v/>
      </c>
      <c r="AA886" t="str">
        <f>IF(Y886="","",IF(Y886="[FÓRMULA MANUAL]","",IFERROR(AVERAGEIFS(DATOS!$K$2:$K$20000,DATOS!$A$2:$A$20000,Y886,DATOS!$G$2:$G$20000,CONFIG_METADATA!$B$4,DATOS!$I$2:$I$20000,"Orquesta/Banda/Conjunto"),"")))</f>
        <v/>
      </c>
      <c r="AB886" t="str">
        <f>IF(Y886="","",IF(Y886="[FÓRMULA MANUAL]","",IFERROR(AVERAGEIFS(DATOS!$K$2:$K$20000,DATOS!$A$2:$A$20000,Y886,DATOS!$G$2:$G$20000,CONFIG_METADATA!$B$4,DATOS!$I$2:$I$20000,"Música de Cámara"),"")))</f>
        <v/>
      </c>
      <c r="AC886" t="str">
        <f>IF(Y886="","",IF(Y886="[FÓRMULA MANUAL]","",IFERROR(SUMPRODUCT((DATOS!$A$2:$A$20000=Y886)*(DATOS!$G$2:$G$20000=CONFIG_METADATA!$B$4)*(COUNTIF(CONFIG_ASIGNATURAS!$B$7:$B$27,DATOS!$I$2:$I$20000)&gt;0)*(DATOS!$K$2:$K$20000))/SUMPRODUCT((DATOS!$A$2:$A$20000=Y886)*(DATOS!$G$2:$G$20000=CONFIG_METADATA!$B$4)*(COUNTIF(CONFIG_ASIGNATURAS!$B$7:$B$27,DATOS!$I$2:$I$20000)&gt;0)*1),"")))</f>
        <v/>
      </c>
      <c r="AF886" t="str">
        <f>IF(AE886="","",IF(AE886="[FÓRMULA MANUAL]","",IFERROR(AVERAGEIFS(DATOS!$K$2:$K$20000,DATOS!$A$2:$A$20000,AE886,DATOS!$G$2:$G$20000,CONFIG_METADATA!$B$4,DATOS!$I$2:$I$20000,"Análisis"),"")))</f>
        <v/>
      </c>
      <c r="AG886" t="str">
        <f>IF(AE886="","",IF(AE886="[FÓRMULA MANUAL]","",IFERROR(AVERAGEIFS(DATOS!$K$2:$K$20000,DATOS!$A$2:$A$20000,AE886,DATOS!$G$2:$G$20000,CONFIG_METADATA!$B$4,DATOS!$I$2:$I$20000,"Orquesta/Banda/Conjunto"),"")))</f>
        <v/>
      </c>
      <c r="AH886" t="str">
        <f>IF(AE886="","",IF(AE886="[FÓRMULA MANUAL]","",IFERROR(AVERAGEIFS(DATOS!$K$2:$K$20000,DATOS!$A$2:$A$20000,AE886,DATOS!$G$2:$G$20000,CONFIG_METADATA!$B$4,DATOS!$I$2:$I$20000,"Música de Cámara"),"")))</f>
        <v/>
      </c>
      <c r="AI886" t="str">
        <f>IF(AE886="","",IF(AE886="[FÓRMULA MANUAL]","",IFERROR(SUMPRODUCT((DATOS!$A$2:$A$20000=AE886)*(DATOS!$G$2:$G$20000=CONFIG_METADATA!$B$4)*(COUNTIF(CONFIG_ASIGNATURAS!$B$7:$B$27,DATOS!$I$2:$I$20000)&gt;0)*(DATOS!$K$2:$K$20000))/SUMPRODUCT((DATOS!$A$2:$A$20000=AE886)*(DATOS!$G$2:$G$20000=CONFIG_METADATA!$B$4)*(COUNTIF(CONFIG_ASIGNATURAS!$B$7:$B$27,DATOS!$I$2:$I$20000)&gt;0)*1),"")))</f>
        <v/>
      </c>
    </row>
    <row r="887" spans="2:35" x14ac:dyDescent="0.2">
      <c r="B887" t="str">
        <f>IF(A887="","",IF(A887="[FÓRMULA MANUAL]","",IFERROR(AVERAGEIFS(DATOS!$K$2:$K$20000,DATOS!$A$2:$A$20000,A887,DATOS!$G$2:$G$20000,CONFIG_METADATA!$B$4,DATOS!$I$2:$I$20000,"Lenguaje Musical"),"")))</f>
        <v/>
      </c>
      <c r="C887" t="str">
        <f>IF(A887="","",IF(A887="[FÓRMULA MANUAL]","",IFERROR(AVERAGEIFS(DATOS!$K$2:$K$20000,DATOS!$A$2:$A$20000,A887,DATOS!$G$2:$G$20000,CONFIG_METADATA!$B$4,DATOS!$I$2:$I$20000,"Orquesta/Banda/Conjunto"),"")))</f>
        <v/>
      </c>
      <c r="D887" t="str">
        <f>IF(A887="","",IF(A887="[FÓRMULA MANUAL]","",IFERROR(AVERAGEIFS(DATOS!$K$2:$K$20000,DATOS!$A$2:$A$20000,A887,DATOS!$G$2:$G$20000,CONFIG_METADATA!$B$4,DATOS!$I$2:$I$20000,"Conjunto"),"")))</f>
        <v/>
      </c>
      <c r="E887" t="str">
        <f>IF(A887="","",IF(A887="[FÓRMULA MANUAL]","",IFERROR(SUMPRODUCT((DATOS!$A$2:$A$20000=A887)*(DATOS!$G$2:$G$20000=CONFIG_METADATA!$B$4)*(COUNTIF(CONFIG_ASIGNATURAS!$B$7:$B$27,DATOS!$I$2:$I$20000)&gt;0)*(DATOS!$K$2:$K$20000))/SUMPRODUCT((DATOS!$A$2:$A$20000=A887)*(DATOS!$G$2:$G$20000=CONFIG_METADATA!$B$4)*(COUNTIF(CONFIG_ASIGNATURAS!$B$7:$B$27,DATOS!$I$2:$I$20000)&gt;0)*1),"")))</f>
        <v/>
      </c>
      <c r="H887" t="str">
        <f>IF(G887="","",IF(G887="[FÓRMULA MANUAL]","",IFERROR(AVERAGEIFS(DATOS!$K$2:$K$20000,DATOS!$A$2:$A$20000,G887,DATOS!$G$2:$G$20000,CONFIG_METADATA!$B$4,DATOS!$I$2:$I$20000,"Lenguaje Musical"),"")))</f>
        <v/>
      </c>
      <c r="I887" t="str">
        <f>IF(G887="","",IF(G887="[FÓRMULA MANUAL]","",IFERROR(AVERAGEIFS(DATOS!$K$2:$K$20000,DATOS!$A$2:$A$20000,G887,DATOS!$G$2:$G$20000,CONFIG_METADATA!$B$4,DATOS!$I$2:$I$20000,"Orquesta/Banda/Conjunto"),"")))</f>
        <v/>
      </c>
      <c r="J887" t="str">
        <f>IF(G887="","",IF(G887="[FÓRMULA MANUAL]","",IFERROR(AVERAGEIFS(DATOS!$K$2:$K$20000,DATOS!$A$2:$A$20000,G887,DATOS!$G$2:$G$20000,CONFIG_METADATA!$B$4,DATOS!$I$2:$I$20000,"Conjunto"),"")))</f>
        <v/>
      </c>
      <c r="K887" t="str">
        <f>IF(G887="","",IF(G887="[FÓRMULA MANUAL]","",IFERROR(SUMPRODUCT((DATOS!$A$2:$A$20000=G887)*(DATOS!$G$2:$G$20000=CONFIG_METADATA!$B$4)*(COUNTIF(CONFIG_ASIGNATURAS!$B$7:$B$27,DATOS!$I$2:$I$20000)&gt;0)*(DATOS!$K$2:$K$20000))/SUMPRODUCT((DATOS!$A$2:$A$20000=G887)*(DATOS!$G$2:$G$20000=CONFIG_METADATA!$B$4)*(COUNTIF(CONFIG_ASIGNATURAS!$B$7:$B$27,DATOS!$I$2:$I$20000)&gt;0)*1),"")))</f>
        <v/>
      </c>
      <c r="N887" t="str">
        <f>IF(M887="","",IF(M887="[FÓRMULA MANUAL]","",IFERROR(AVERAGEIFS(DATOS!$K$2:$K$20000,DATOS!$A$2:$A$20000,M887,DATOS!$G$2:$G$20000,CONFIG_METADATA!$B$4,DATOS!$I$2:$I$20000,"Armonía"),"")))</f>
        <v/>
      </c>
      <c r="O887" t="str">
        <f>IF(M887="","",IF(M887="[FÓRMULA MANUAL]","",IFERROR(AVERAGEIFS(DATOS!$K$2:$K$20000,DATOS!$A$2:$A$20000,M887,DATOS!$G$2:$G$20000,CONFIG_METADATA!$B$4,DATOS!$I$2:$I$20000,"Orquesta/Banda/Conjunto"),"")))</f>
        <v/>
      </c>
      <c r="P887" t="str">
        <f>IF(M887="","",IF(M887="[FÓRMULA MANUAL]","",IFERROR(AVERAGEIFS(DATOS!$K$2:$K$20000,DATOS!$A$2:$A$20000,M887,DATOS!$G$2:$G$20000,CONFIG_METADATA!$B$4,DATOS!$I$2:$I$20000,"Música de Cámara"),"")))</f>
        <v/>
      </c>
      <c r="Q887" t="str">
        <f>IF(M887="","",IF(M887="[FÓRMULA MANUAL]","",IFERROR(SUMPRODUCT((DATOS!$A$2:$A$20000=M887)*(DATOS!$G$2:$G$20000=CONFIG_METADATA!$B$4)*(COUNTIF(CONFIG_ASIGNATURAS!$B$7:$B$27,DATOS!$I$2:$I$20000)&gt;0)*(DATOS!$K$2:$K$20000))/SUMPRODUCT((DATOS!$A$2:$A$20000=M887)*(DATOS!$G$2:$G$20000=CONFIG_METADATA!$B$4)*(COUNTIF(CONFIG_ASIGNATURAS!$B$7:$B$27,DATOS!$I$2:$I$20000)&gt;0)*1),"")))</f>
        <v/>
      </c>
      <c r="T887" t="str">
        <f>IF(S887="","",IF(S887="[FÓRMULA MANUAL]","",IFERROR(AVERAGEIFS(DATOS!$K$2:$K$20000,DATOS!$A$2:$A$20000,S887,DATOS!$G$2:$G$20000,CONFIG_METADATA!$B$4,DATOS!$I$2:$I$20000,"Armonía"),"")))</f>
        <v/>
      </c>
      <c r="U887" t="str">
        <f>IF(S887="","",IF(S887="[FÓRMULA MANUAL]","",IFERROR(AVERAGEIFS(DATOS!$K$2:$K$20000,DATOS!$A$2:$A$20000,S887,DATOS!$G$2:$G$20000,CONFIG_METADATA!$B$4,DATOS!$I$2:$I$20000,"Orquesta/Banda/Conjunto"),"")))</f>
        <v/>
      </c>
      <c r="V887" t="str">
        <f>IF(S887="","",IF(S887="[FÓRMULA MANUAL]","",IFERROR(AVERAGEIFS(DATOS!$K$2:$K$20000,DATOS!$A$2:$A$20000,S887,DATOS!$G$2:$G$20000,CONFIG_METADATA!$B$4,DATOS!$I$2:$I$20000,"Música de Cámara"),"")))</f>
        <v/>
      </c>
      <c r="W887" t="str">
        <f>IF(S887="","",IF(S887="[FÓRMULA MANUAL]","",IFERROR(SUMPRODUCT((DATOS!$A$2:$A$20000=S887)*(DATOS!$G$2:$G$20000=CONFIG_METADATA!$B$4)*(COUNTIF(CONFIG_ASIGNATURAS!$B$7:$B$27,DATOS!$I$2:$I$20000)&gt;0)*(DATOS!$K$2:$K$20000))/SUMPRODUCT((DATOS!$A$2:$A$20000=S887)*(DATOS!$G$2:$G$20000=CONFIG_METADATA!$B$4)*(COUNTIF(CONFIG_ASIGNATURAS!$B$7:$B$27,DATOS!$I$2:$I$20000)&gt;0)*1),"")))</f>
        <v/>
      </c>
      <c r="Z887" t="str">
        <f>IF(Y887="","",IF(Y887="[FÓRMULA MANUAL]","",IFERROR(AVERAGEIFS(DATOS!$K$2:$K$20000,DATOS!$A$2:$A$20000,Y887,DATOS!$G$2:$G$20000,CONFIG_METADATA!$B$4,DATOS!$I$2:$I$20000,"Análisis"),"")))</f>
        <v/>
      </c>
      <c r="AA887" t="str">
        <f>IF(Y887="","",IF(Y887="[FÓRMULA MANUAL]","",IFERROR(AVERAGEIFS(DATOS!$K$2:$K$20000,DATOS!$A$2:$A$20000,Y887,DATOS!$G$2:$G$20000,CONFIG_METADATA!$B$4,DATOS!$I$2:$I$20000,"Orquesta/Banda/Conjunto"),"")))</f>
        <v/>
      </c>
      <c r="AB887" t="str">
        <f>IF(Y887="","",IF(Y887="[FÓRMULA MANUAL]","",IFERROR(AVERAGEIFS(DATOS!$K$2:$K$20000,DATOS!$A$2:$A$20000,Y887,DATOS!$G$2:$G$20000,CONFIG_METADATA!$B$4,DATOS!$I$2:$I$20000,"Música de Cámara"),"")))</f>
        <v/>
      </c>
      <c r="AC887" t="str">
        <f>IF(Y887="","",IF(Y887="[FÓRMULA MANUAL]","",IFERROR(SUMPRODUCT((DATOS!$A$2:$A$20000=Y887)*(DATOS!$G$2:$G$20000=CONFIG_METADATA!$B$4)*(COUNTIF(CONFIG_ASIGNATURAS!$B$7:$B$27,DATOS!$I$2:$I$20000)&gt;0)*(DATOS!$K$2:$K$20000))/SUMPRODUCT((DATOS!$A$2:$A$20000=Y887)*(DATOS!$G$2:$G$20000=CONFIG_METADATA!$B$4)*(COUNTIF(CONFIG_ASIGNATURAS!$B$7:$B$27,DATOS!$I$2:$I$20000)&gt;0)*1),"")))</f>
        <v/>
      </c>
      <c r="AF887" t="str">
        <f>IF(AE887="","",IF(AE887="[FÓRMULA MANUAL]","",IFERROR(AVERAGEIFS(DATOS!$K$2:$K$20000,DATOS!$A$2:$A$20000,AE887,DATOS!$G$2:$G$20000,CONFIG_METADATA!$B$4,DATOS!$I$2:$I$20000,"Análisis"),"")))</f>
        <v/>
      </c>
      <c r="AG887" t="str">
        <f>IF(AE887="","",IF(AE887="[FÓRMULA MANUAL]","",IFERROR(AVERAGEIFS(DATOS!$K$2:$K$20000,DATOS!$A$2:$A$20000,AE887,DATOS!$G$2:$G$20000,CONFIG_METADATA!$B$4,DATOS!$I$2:$I$20000,"Orquesta/Banda/Conjunto"),"")))</f>
        <v/>
      </c>
      <c r="AH887" t="str">
        <f>IF(AE887="","",IF(AE887="[FÓRMULA MANUAL]","",IFERROR(AVERAGEIFS(DATOS!$K$2:$K$20000,DATOS!$A$2:$A$20000,AE887,DATOS!$G$2:$G$20000,CONFIG_METADATA!$B$4,DATOS!$I$2:$I$20000,"Música de Cámara"),"")))</f>
        <v/>
      </c>
      <c r="AI887" t="str">
        <f>IF(AE887="","",IF(AE887="[FÓRMULA MANUAL]","",IFERROR(SUMPRODUCT((DATOS!$A$2:$A$20000=AE887)*(DATOS!$G$2:$G$20000=CONFIG_METADATA!$B$4)*(COUNTIF(CONFIG_ASIGNATURAS!$B$7:$B$27,DATOS!$I$2:$I$20000)&gt;0)*(DATOS!$K$2:$K$20000))/SUMPRODUCT((DATOS!$A$2:$A$20000=AE887)*(DATOS!$G$2:$G$20000=CONFIG_METADATA!$B$4)*(COUNTIF(CONFIG_ASIGNATURAS!$B$7:$B$27,DATOS!$I$2:$I$20000)&gt;0)*1),"")))</f>
        <v/>
      </c>
    </row>
    <row r="888" spans="2:35" x14ac:dyDescent="0.2">
      <c r="B888" t="str">
        <f>IF(A888="","",IF(A888="[FÓRMULA MANUAL]","",IFERROR(AVERAGEIFS(DATOS!$K$2:$K$20000,DATOS!$A$2:$A$20000,A888,DATOS!$G$2:$G$20000,CONFIG_METADATA!$B$4,DATOS!$I$2:$I$20000,"Lenguaje Musical"),"")))</f>
        <v/>
      </c>
      <c r="C888" t="str">
        <f>IF(A888="","",IF(A888="[FÓRMULA MANUAL]","",IFERROR(AVERAGEIFS(DATOS!$K$2:$K$20000,DATOS!$A$2:$A$20000,A888,DATOS!$G$2:$G$20000,CONFIG_METADATA!$B$4,DATOS!$I$2:$I$20000,"Orquesta/Banda/Conjunto"),"")))</f>
        <v/>
      </c>
      <c r="D888" t="str">
        <f>IF(A888="","",IF(A888="[FÓRMULA MANUAL]","",IFERROR(AVERAGEIFS(DATOS!$K$2:$K$20000,DATOS!$A$2:$A$20000,A888,DATOS!$G$2:$G$20000,CONFIG_METADATA!$B$4,DATOS!$I$2:$I$20000,"Conjunto"),"")))</f>
        <v/>
      </c>
      <c r="E888" t="str">
        <f>IF(A888="","",IF(A888="[FÓRMULA MANUAL]","",IFERROR(SUMPRODUCT((DATOS!$A$2:$A$20000=A888)*(DATOS!$G$2:$G$20000=CONFIG_METADATA!$B$4)*(COUNTIF(CONFIG_ASIGNATURAS!$B$7:$B$27,DATOS!$I$2:$I$20000)&gt;0)*(DATOS!$K$2:$K$20000))/SUMPRODUCT((DATOS!$A$2:$A$20000=A888)*(DATOS!$G$2:$G$20000=CONFIG_METADATA!$B$4)*(COUNTIF(CONFIG_ASIGNATURAS!$B$7:$B$27,DATOS!$I$2:$I$20000)&gt;0)*1),"")))</f>
        <v/>
      </c>
      <c r="H888" t="str">
        <f>IF(G888="","",IF(G888="[FÓRMULA MANUAL]","",IFERROR(AVERAGEIFS(DATOS!$K$2:$K$20000,DATOS!$A$2:$A$20000,G888,DATOS!$G$2:$G$20000,CONFIG_METADATA!$B$4,DATOS!$I$2:$I$20000,"Lenguaje Musical"),"")))</f>
        <v/>
      </c>
      <c r="I888" t="str">
        <f>IF(G888="","",IF(G888="[FÓRMULA MANUAL]","",IFERROR(AVERAGEIFS(DATOS!$K$2:$K$20000,DATOS!$A$2:$A$20000,G888,DATOS!$G$2:$G$20000,CONFIG_METADATA!$B$4,DATOS!$I$2:$I$20000,"Orquesta/Banda/Conjunto"),"")))</f>
        <v/>
      </c>
      <c r="J888" t="str">
        <f>IF(G888="","",IF(G888="[FÓRMULA MANUAL]","",IFERROR(AVERAGEIFS(DATOS!$K$2:$K$20000,DATOS!$A$2:$A$20000,G888,DATOS!$G$2:$G$20000,CONFIG_METADATA!$B$4,DATOS!$I$2:$I$20000,"Conjunto"),"")))</f>
        <v/>
      </c>
      <c r="K888" t="str">
        <f>IF(G888="","",IF(G888="[FÓRMULA MANUAL]","",IFERROR(SUMPRODUCT((DATOS!$A$2:$A$20000=G888)*(DATOS!$G$2:$G$20000=CONFIG_METADATA!$B$4)*(COUNTIF(CONFIG_ASIGNATURAS!$B$7:$B$27,DATOS!$I$2:$I$20000)&gt;0)*(DATOS!$K$2:$K$20000))/SUMPRODUCT((DATOS!$A$2:$A$20000=G888)*(DATOS!$G$2:$G$20000=CONFIG_METADATA!$B$4)*(COUNTIF(CONFIG_ASIGNATURAS!$B$7:$B$27,DATOS!$I$2:$I$20000)&gt;0)*1),"")))</f>
        <v/>
      </c>
      <c r="N888" t="str">
        <f>IF(M888="","",IF(M888="[FÓRMULA MANUAL]","",IFERROR(AVERAGEIFS(DATOS!$K$2:$K$20000,DATOS!$A$2:$A$20000,M888,DATOS!$G$2:$G$20000,CONFIG_METADATA!$B$4,DATOS!$I$2:$I$20000,"Armonía"),"")))</f>
        <v/>
      </c>
      <c r="O888" t="str">
        <f>IF(M888="","",IF(M888="[FÓRMULA MANUAL]","",IFERROR(AVERAGEIFS(DATOS!$K$2:$K$20000,DATOS!$A$2:$A$20000,M888,DATOS!$G$2:$G$20000,CONFIG_METADATA!$B$4,DATOS!$I$2:$I$20000,"Orquesta/Banda/Conjunto"),"")))</f>
        <v/>
      </c>
      <c r="P888" t="str">
        <f>IF(M888="","",IF(M888="[FÓRMULA MANUAL]","",IFERROR(AVERAGEIFS(DATOS!$K$2:$K$20000,DATOS!$A$2:$A$20000,M888,DATOS!$G$2:$G$20000,CONFIG_METADATA!$B$4,DATOS!$I$2:$I$20000,"Música de Cámara"),"")))</f>
        <v/>
      </c>
      <c r="Q888" t="str">
        <f>IF(M888="","",IF(M888="[FÓRMULA MANUAL]","",IFERROR(SUMPRODUCT((DATOS!$A$2:$A$20000=M888)*(DATOS!$G$2:$G$20000=CONFIG_METADATA!$B$4)*(COUNTIF(CONFIG_ASIGNATURAS!$B$7:$B$27,DATOS!$I$2:$I$20000)&gt;0)*(DATOS!$K$2:$K$20000))/SUMPRODUCT((DATOS!$A$2:$A$20000=M888)*(DATOS!$G$2:$G$20000=CONFIG_METADATA!$B$4)*(COUNTIF(CONFIG_ASIGNATURAS!$B$7:$B$27,DATOS!$I$2:$I$20000)&gt;0)*1),"")))</f>
        <v/>
      </c>
      <c r="T888" t="str">
        <f>IF(S888="","",IF(S888="[FÓRMULA MANUAL]","",IFERROR(AVERAGEIFS(DATOS!$K$2:$K$20000,DATOS!$A$2:$A$20000,S888,DATOS!$G$2:$G$20000,CONFIG_METADATA!$B$4,DATOS!$I$2:$I$20000,"Armonía"),"")))</f>
        <v/>
      </c>
      <c r="U888" t="str">
        <f>IF(S888="","",IF(S888="[FÓRMULA MANUAL]","",IFERROR(AVERAGEIFS(DATOS!$K$2:$K$20000,DATOS!$A$2:$A$20000,S888,DATOS!$G$2:$G$20000,CONFIG_METADATA!$B$4,DATOS!$I$2:$I$20000,"Orquesta/Banda/Conjunto"),"")))</f>
        <v/>
      </c>
      <c r="V888" t="str">
        <f>IF(S888="","",IF(S888="[FÓRMULA MANUAL]","",IFERROR(AVERAGEIFS(DATOS!$K$2:$K$20000,DATOS!$A$2:$A$20000,S888,DATOS!$G$2:$G$20000,CONFIG_METADATA!$B$4,DATOS!$I$2:$I$20000,"Música de Cámara"),"")))</f>
        <v/>
      </c>
      <c r="W888" t="str">
        <f>IF(S888="","",IF(S888="[FÓRMULA MANUAL]","",IFERROR(SUMPRODUCT((DATOS!$A$2:$A$20000=S888)*(DATOS!$G$2:$G$20000=CONFIG_METADATA!$B$4)*(COUNTIF(CONFIG_ASIGNATURAS!$B$7:$B$27,DATOS!$I$2:$I$20000)&gt;0)*(DATOS!$K$2:$K$20000))/SUMPRODUCT((DATOS!$A$2:$A$20000=S888)*(DATOS!$G$2:$G$20000=CONFIG_METADATA!$B$4)*(COUNTIF(CONFIG_ASIGNATURAS!$B$7:$B$27,DATOS!$I$2:$I$20000)&gt;0)*1),"")))</f>
        <v/>
      </c>
      <c r="Z888" t="str">
        <f>IF(Y888="","",IF(Y888="[FÓRMULA MANUAL]","",IFERROR(AVERAGEIFS(DATOS!$K$2:$K$20000,DATOS!$A$2:$A$20000,Y888,DATOS!$G$2:$G$20000,CONFIG_METADATA!$B$4,DATOS!$I$2:$I$20000,"Análisis"),"")))</f>
        <v/>
      </c>
      <c r="AA888" t="str">
        <f>IF(Y888="","",IF(Y888="[FÓRMULA MANUAL]","",IFERROR(AVERAGEIFS(DATOS!$K$2:$K$20000,DATOS!$A$2:$A$20000,Y888,DATOS!$G$2:$G$20000,CONFIG_METADATA!$B$4,DATOS!$I$2:$I$20000,"Orquesta/Banda/Conjunto"),"")))</f>
        <v/>
      </c>
      <c r="AB888" t="str">
        <f>IF(Y888="","",IF(Y888="[FÓRMULA MANUAL]","",IFERROR(AVERAGEIFS(DATOS!$K$2:$K$20000,DATOS!$A$2:$A$20000,Y888,DATOS!$G$2:$G$20000,CONFIG_METADATA!$B$4,DATOS!$I$2:$I$20000,"Música de Cámara"),"")))</f>
        <v/>
      </c>
      <c r="AC888" t="str">
        <f>IF(Y888="","",IF(Y888="[FÓRMULA MANUAL]","",IFERROR(SUMPRODUCT((DATOS!$A$2:$A$20000=Y888)*(DATOS!$G$2:$G$20000=CONFIG_METADATA!$B$4)*(COUNTIF(CONFIG_ASIGNATURAS!$B$7:$B$27,DATOS!$I$2:$I$20000)&gt;0)*(DATOS!$K$2:$K$20000))/SUMPRODUCT((DATOS!$A$2:$A$20000=Y888)*(DATOS!$G$2:$G$20000=CONFIG_METADATA!$B$4)*(COUNTIF(CONFIG_ASIGNATURAS!$B$7:$B$27,DATOS!$I$2:$I$20000)&gt;0)*1),"")))</f>
        <v/>
      </c>
      <c r="AF888" t="str">
        <f>IF(AE888="","",IF(AE888="[FÓRMULA MANUAL]","",IFERROR(AVERAGEIFS(DATOS!$K$2:$K$20000,DATOS!$A$2:$A$20000,AE888,DATOS!$G$2:$G$20000,CONFIG_METADATA!$B$4,DATOS!$I$2:$I$20000,"Análisis"),"")))</f>
        <v/>
      </c>
      <c r="AG888" t="str">
        <f>IF(AE888="","",IF(AE888="[FÓRMULA MANUAL]","",IFERROR(AVERAGEIFS(DATOS!$K$2:$K$20000,DATOS!$A$2:$A$20000,AE888,DATOS!$G$2:$G$20000,CONFIG_METADATA!$B$4,DATOS!$I$2:$I$20000,"Orquesta/Banda/Conjunto"),"")))</f>
        <v/>
      </c>
      <c r="AH888" t="str">
        <f>IF(AE888="","",IF(AE888="[FÓRMULA MANUAL]","",IFERROR(AVERAGEIFS(DATOS!$K$2:$K$20000,DATOS!$A$2:$A$20000,AE888,DATOS!$G$2:$G$20000,CONFIG_METADATA!$B$4,DATOS!$I$2:$I$20000,"Música de Cámara"),"")))</f>
        <v/>
      </c>
      <c r="AI888" t="str">
        <f>IF(AE888="","",IF(AE888="[FÓRMULA MANUAL]","",IFERROR(SUMPRODUCT((DATOS!$A$2:$A$20000=AE888)*(DATOS!$G$2:$G$20000=CONFIG_METADATA!$B$4)*(COUNTIF(CONFIG_ASIGNATURAS!$B$7:$B$27,DATOS!$I$2:$I$20000)&gt;0)*(DATOS!$K$2:$K$20000))/SUMPRODUCT((DATOS!$A$2:$A$20000=AE888)*(DATOS!$G$2:$G$20000=CONFIG_METADATA!$B$4)*(COUNTIF(CONFIG_ASIGNATURAS!$B$7:$B$27,DATOS!$I$2:$I$20000)&gt;0)*1),"")))</f>
        <v/>
      </c>
    </row>
    <row r="889" spans="2:35" x14ac:dyDescent="0.2">
      <c r="B889" t="str">
        <f>IF(A889="","",IF(A889="[FÓRMULA MANUAL]","",IFERROR(AVERAGEIFS(DATOS!$K$2:$K$20000,DATOS!$A$2:$A$20000,A889,DATOS!$G$2:$G$20000,CONFIG_METADATA!$B$4,DATOS!$I$2:$I$20000,"Lenguaje Musical"),"")))</f>
        <v/>
      </c>
      <c r="C889" t="str">
        <f>IF(A889="","",IF(A889="[FÓRMULA MANUAL]","",IFERROR(AVERAGEIFS(DATOS!$K$2:$K$20000,DATOS!$A$2:$A$20000,A889,DATOS!$G$2:$G$20000,CONFIG_METADATA!$B$4,DATOS!$I$2:$I$20000,"Orquesta/Banda/Conjunto"),"")))</f>
        <v/>
      </c>
      <c r="D889" t="str">
        <f>IF(A889="","",IF(A889="[FÓRMULA MANUAL]","",IFERROR(AVERAGEIFS(DATOS!$K$2:$K$20000,DATOS!$A$2:$A$20000,A889,DATOS!$G$2:$G$20000,CONFIG_METADATA!$B$4,DATOS!$I$2:$I$20000,"Conjunto"),"")))</f>
        <v/>
      </c>
      <c r="E889" t="str">
        <f>IF(A889="","",IF(A889="[FÓRMULA MANUAL]","",IFERROR(SUMPRODUCT((DATOS!$A$2:$A$20000=A889)*(DATOS!$G$2:$G$20000=CONFIG_METADATA!$B$4)*(COUNTIF(CONFIG_ASIGNATURAS!$B$7:$B$27,DATOS!$I$2:$I$20000)&gt;0)*(DATOS!$K$2:$K$20000))/SUMPRODUCT((DATOS!$A$2:$A$20000=A889)*(DATOS!$G$2:$G$20000=CONFIG_METADATA!$B$4)*(COUNTIF(CONFIG_ASIGNATURAS!$B$7:$B$27,DATOS!$I$2:$I$20000)&gt;0)*1),"")))</f>
        <v/>
      </c>
      <c r="H889" t="str">
        <f>IF(G889="","",IF(G889="[FÓRMULA MANUAL]","",IFERROR(AVERAGEIFS(DATOS!$K$2:$K$20000,DATOS!$A$2:$A$20000,G889,DATOS!$G$2:$G$20000,CONFIG_METADATA!$B$4,DATOS!$I$2:$I$20000,"Lenguaje Musical"),"")))</f>
        <v/>
      </c>
      <c r="I889" t="str">
        <f>IF(G889="","",IF(G889="[FÓRMULA MANUAL]","",IFERROR(AVERAGEIFS(DATOS!$K$2:$K$20000,DATOS!$A$2:$A$20000,G889,DATOS!$G$2:$G$20000,CONFIG_METADATA!$B$4,DATOS!$I$2:$I$20000,"Orquesta/Banda/Conjunto"),"")))</f>
        <v/>
      </c>
      <c r="J889" t="str">
        <f>IF(G889="","",IF(G889="[FÓRMULA MANUAL]","",IFERROR(AVERAGEIFS(DATOS!$K$2:$K$20000,DATOS!$A$2:$A$20000,G889,DATOS!$G$2:$G$20000,CONFIG_METADATA!$B$4,DATOS!$I$2:$I$20000,"Conjunto"),"")))</f>
        <v/>
      </c>
      <c r="K889" t="str">
        <f>IF(G889="","",IF(G889="[FÓRMULA MANUAL]","",IFERROR(SUMPRODUCT((DATOS!$A$2:$A$20000=G889)*(DATOS!$G$2:$G$20000=CONFIG_METADATA!$B$4)*(COUNTIF(CONFIG_ASIGNATURAS!$B$7:$B$27,DATOS!$I$2:$I$20000)&gt;0)*(DATOS!$K$2:$K$20000))/SUMPRODUCT((DATOS!$A$2:$A$20000=G889)*(DATOS!$G$2:$G$20000=CONFIG_METADATA!$B$4)*(COUNTIF(CONFIG_ASIGNATURAS!$B$7:$B$27,DATOS!$I$2:$I$20000)&gt;0)*1),"")))</f>
        <v/>
      </c>
      <c r="N889" t="str">
        <f>IF(M889="","",IF(M889="[FÓRMULA MANUAL]","",IFERROR(AVERAGEIFS(DATOS!$K$2:$K$20000,DATOS!$A$2:$A$20000,M889,DATOS!$G$2:$G$20000,CONFIG_METADATA!$B$4,DATOS!$I$2:$I$20000,"Armonía"),"")))</f>
        <v/>
      </c>
      <c r="O889" t="str">
        <f>IF(M889="","",IF(M889="[FÓRMULA MANUAL]","",IFERROR(AVERAGEIFS(DATOS!$K$2:$K$20000,DATOS!$A$2:$A$20000,M889,DATOS!$G$2:$G$20000,CONFIG_METADATA!$B$4,DATOS!$I$2:$I$20000,"Orquesta/Banda/Conjunto"),"")))</f>
        <v/>
      </c>
      <c r="P889" t="str">
        <f>IF(M889="","",IF(M889="[FÓRMULA MANUAL]","",IFERROR(AVERAGEIFS(DATOS!$K$2:$K$20000,DATOS!$A$2:$A$20000,M889,DATOS!$G$2:$G$20000,CONFIG_METADATA!$B$4,DATOS!$I$2:$I$20000,"Música de Cámara"),"")))</f>
        <v/>
      </c>
      <c r="Q889" t="str">
        <f>IF(M889="","",IF(M889="[FÓRMULA MANUAL]","",IFERROR(SUMPRODUCT((DATOS!$A$2:$A$20000=M889)*(DATOS!$G$2:$G$20000=CONFIG_METADATA!$B$4)*(COUNTIF(CONFIG_ASIGNATURAS!$B$7:$B$27,DATOS!$I$2:$I$20000)&gt;0)*(DATOS!$K$2:$K$20000))/SUMPRODUCT((DATOS!$A$2:$A$20000=M889)*(DATOS!$G$2:$G$20000=CONFIG_METADATA!$B$4)*(COUNTIF(CONFIG_ASIGNATURAS!$B$7:$B$27,DATOS!$I$2:$I$20000)&gt;0)*1),"")))</f>
        <v/>
      </c>
      <c r="T889" t="str">
        <f>IF(S889="","",IF(S889="[FÓRMULA MANUAL]","",IFERROR(AVERAGEIFS(DATOS!$K$2:$K$20000,DATOS!$A$2:$A$20000,S889,DATOS!$G$2:$G$20000,CONFIG_METADATA!$B$4,DATOS!$I$2:$I$20000,"Armonía"),"")))</f>
        <v/>
      </c>
      <c r="U889" t="str">
        <f>IF(S889="","",IF(S889="[FÓRMULA MANUAL]","",IFERROR(AVERAGEIFS(DATOS!$K$2:$K$20000,DATOS!$A$2:$A$20000,S889,DATOS!$G$2:$G$20000,CONFIG_METADATA!$B$4,DATOS!$I$2:$I$20000,"Orquesta/Banda/Conjunto"),"")))</f>
        <v/>
      </c>
      <c r="V889" t="str">
        <f>IF(S889="","",IF(S889="[FÓRMULA MANUAL]","",IFERROR(AVERAGEIFS(DATOS!$K$2:$K$20000,DATOS!$A$2:$A$20000,S889,DATOS!$G$2:$G$20000,CONFIG_METADATA!$B$4,DATOS!$I$2:$I$20000,"Música de Cámara"),"")))</f>
        <v/>
      </c>
      <c r="W889" t="str">
        <f>IF(S889="","",IF(S889="[FÓRMULA MANUAL]","",IFERROR(SUMPRODUCT((DATOS!$A$2:$A$20000=S889)*(DATOS!$G$2:$G$20000=CONFIG_METADATA!$B$4)*(COUNTIF(CONFIG_ASIGNATURAS!$B$7:$B$27,DATOS!$I$2:$I$20000)&gt;0)*(DATOS!$K$2:$K$20000))/SUMPRODUCT((DATOS!$A$2:$A$20000=S889)*(DATOS!$G$2:$G$20000=CONFIG_METADATA!$B$4)*(COUNTIF(CONFIG_ASIGNATURAS!$B$7:$B$27,DATOS!$I$2:$I$20000)&gt;0)*1),"")))</f>
        <v/>
      </c>
      <c r="Z889" t="str">
        <f>IF(Y889="","",IF(Y889="[FÓRMULA MANUAL]","",IFERROR(AVERAGEIFS(DATOS!$K$2:$K$20000,DATOS!$A$2:$A$20000,Y889,DATOS!$G$2:$G$20000,CONFIG_METADATA!$B$4,DATOS!$I$2:$I$20000,"Análisis"),"")))</f>
        <v/>
      </c>
      <c r="AA889" t="str">
        <f>IF(Y889="","",IF(Y889="[FÓRMULA MANUAL]","",IFERROR(AVERAGEIFS(DATOS!$K$2:$K$20000,DATOS!$A$2:$A$20000,Y889,DATOS!$G$2:$G$20000,CONFIG_METADATA!$B$4,DATOS!$I$2:$I$20000,"Orquesta/Banda/Conjunto"),"")))</f>
        <v/>
      </c>
      <c r="AB889" t="str">
        <f>IF(Y889="","",IF(Y889="[FÓRMULA MANUAL]","",IFERROR(AVERAGEIFS(DATOS!$K$2:$K$20000,DATOS!$A$2:$A$20000,Y889,DATOS!$G$2:$G$20000,CONFIG_METADATA!$B$4,DATOS!$I$2:$I$20000,"Música de Cámara"),"")))</f>
        <v/>
      </c>
      <c r="AC889" t="str">
        <f>IF(Y889="","",IF(Y889="[FÓRMULA MANUAL]","",IFERROR(SUMPRODUCT((DATOS!$A$2:$A$20000=Y889)*(DATOS!$G$2:$G$20000=CONFIG_METADATA!$B$4)*(COUNTIF(CONFIG_ASIGNATURAS!$B$7:$B$27,DATOS!$I$2:$I$20000)&gt;0)*(DATOS!$K$2:$K$20000))/SUMPRODUCT((DATOS!$A$2:$A$20000=Y889)*(DATOS!$G$2:$G$20000=CONFIG_METADATA!$B$4)*(COUNTIF(CONFIG_ASIGNATURAS!$B$7:$B$27,DATOS!$I$2:$I$20000)&gt;0)*1),"")))</f>
        <v/>
      </c>
      <c r="AF889" t="str">
        <f>IF(AE889="","",IF(AE889="[FÓRMULA MANUAL]","",IFERROR(AVERAGEIFS(DATOS!$K$2:$K$20000,DATOS!$A$2:$A$20000,AE889,DATOS!$G$2:$G$20000,CONFIG_METADATA!$B$4,DATOS!$I$2:$I$20000,"Análisis"),"")))</f>
        <v/>
      </c>
      <c r="AG889" t="str">
        <f>IF(AE889="","",IF(AE889="[FÓRMULA MANUAL]","",IFERROR(AVERAGEIFS(DATOS!$K$2:$K$20000,DATOS!$A$2:$A$20000,AE889,DATOS!$G$2:$G$20000,CONFIG_METADATA!$B$4,DATOS!$I$2:$I$20000,"Orquesta/Banda/Conjunto"),"")))</f>
        <v/>
      </c>
      <c r="AH889" t="str">
        <f>IF(AE889="","",IF(AE889="[FÓRMULA MANUAL]","",IFERROR(AVERAGEIFS(DATOS!$K$2:$K$20000,DATOS!$A$2:$A$20000,AE889,DATOS!$G$2:$G$20000,CONFIG_METADATA!$B$4,DATOS!$I$2:$I$20000,"Música de Cámara"),"")))</f>
        <v/>
      </c>
      <c r="AI889" t="str">
        <f>IF(AE889="","",IF(AE889="[FÓRMULA MANUAL]","",IFERROR(SUMPRODUCT((DATOS!$A$2:$A$20000=AE889)*(DATOS!$G$2:$G$20000=CONFIG_METADATA!$B$4)*(COUNTIF(CONFIG_ASIGNATURAS!$B$7:$B$27,DATOS!$I$2:$I$20000)&gt;0)*(DATOS!$K$2:$K$20000))/SUMPRODUCT((DATOS!$A$2:$A$20000=AE889)*(DATOS!$G$2:$G$20000=CONFIG_METADATA!$B$4)*(COUNTIF(CONFIG_ASIGNATURAS!$B$7:$B$27,DATOS!$I$2:$I$20000)&gt;0)*1),"")))</f>
        <v/>
      </c>
    </row>
    <row r="890" spans="2:35" x14ac:dyDescent="0.2">
      <c r="B890" t="str">
        <f>IF(A890="","",IF(A890="[FÓRMULA MANUAL]","",IFERROR(AVERAGEIFS(DATOS!$K$2:$K$20000,DATOS!$A$2:$A$20000,A890,DATOS!$G$2:$G$20000,CONFIG_METADATA!$B$4,DATOS!$I$2:$I$20000,"Lenguaje Musical"),"")))</f>
        <v/>
      </c>
      <c r="C890" t="str">
        <f>IF(A890="","",IF(A890="[FÓRMULA MANUAL]","",IFERROR(AVERAGEIFS(DATOS!$K$2:$K$20000,DATOS!$A$2:$A$20000,A890,DATOS!$G$2:$G$20000,CONFIG_METADATA!$B$4,DATOS!$I$2:$I$20000,"Orquesta/Banda/Conjunto"),"")))</f>
        <v/>
      </c>
      <c r="D890" t="str">
        <f>IF(A890="","",IF(A890="[FÓRMULA MANUAL]","",IFERROR(AVERAGEIFS(DATOS!$K$2:$K$20000,DATOS!$A$2:$A$20000,A890,DATOS!$G$2:$G$20000,CONFIG_METADATA!$B$4,DATOS!$I$2:$I$20000,"Conjunto"),"")))</f>
        <v/>
      </c>
      <c r="E890" t="str">
        <f>IF(A890="","",IF(A890="[FÓRMULA MANUAL]","",IFERROR(SUMPRODUCT((DATOS!$A$2:$A$20000=A890)*(DATOS!$G$2:$G$20000=CONFIG_METADATA!$B$4)*(COUNTIF(CONFIG_ASIGNATURAS!$B$7:$B$27,DATOS!$I$2:$I$20000)&gt;0)*(DATOS!$K$2:$K$20000))/SUMPRODUCT((DATOS!$A$2:$A$20000=A890)*(DATOS!$G$2:$G$20000=CONFIG_METADATA!$B$4)*(COUNTIF(CONFIG_ASIGNATURAS!$B$7:$B$27,DATOS!$I$2:$I$20000)&gt;0)*1),"")))</f>
        <v/>
      </c>
      <c r="H890" t="str">
        <f>IF(G890="","",IF(G890="[FÓRMULA MANUAL]","",IFERROR(AVERAGEIFS(DATOS!$K$2:$K$20000,DATOS!$A$2:$A$20000,G890,DATOS!$G$2:$G$20000,CONFIG_METADATA!$B$4,DATOS!$I$2:$I$20000,"Lenguaje Musical"),"")))</f>
        <v/>
      </c>
      <c r="I890" t="str">
        <f>IF(G890="","",IF(G890="[FÓRMULA MANUAL]","",IFERROR(AVERAGEIFS(DATOS!$K$2:$K$20000,DATOS!$A$2:$A$20000,G890,DATOS!$G$2:$G$20000,CONFIG_METADATA!$B$4,DATOS!$I$2:$I$20000,"Orquesta/Banda/Conjunto"),"")))</f>
        <v/>
      </c>
      <c r="J890" t="str">
        <f>IF(G890="","",IF(G890="[FÓRMULA MANUAL]","",IFERROR(AVERAGEIFS(DATOS!$K$2:$K$20000,DATOS!$A$2:$A$20000,G890,DATOS!$G$2:$G$20000,CONFIG_METADATA!$B$4,DATOS!$I$2:$I$20000,"Conjunto"),"")))</f>
        <v/>
      </c>
      <c r="K890" t="str">
        <f>IF(G890="","",IF(G890="[FÓRMULA MANUAL]","",IFERROR(SUMPRODUCT((DATOS!$A$2:$A$20000=G890)*(DATOS!$G$2:$G$20000=CONFIG_METADATA!$B$4)*(COUNTIF(CONFIG_ASIGNATURAS!$B$7:$B$27,DATOS!$I$2:$I$20000)&gt;0)*(DATOS!$K$2:$K$20000))/SUMPRODUCT((DATOS!$A$2:$A$20000=G890)*(DATOS!$G$2:$G$20000=CONFIG_METADATA!$B$4)*(COUNTIF(CONFIG_ASIGNATURAS!$B$7:$B$27,DATOS!$I$2:$I$20000)&gt;0)*1),"")))</f>
        <v/>
      </c>
      <c r="N890" t="str">
        <f>IF(M890="","",IF(M890="[FÓRMULA MANUAL]","",IFERROR(AVERAGEIFS(DATOS!$K$2:$K$20000,DATOS!$A$2:$A$20000,M890,DATOS!$G$2:$G$20000,CONFIG_METADATA!$B$4,DATOS!$I$2:$I$20000,"Armonía"),"")))</f>
        <v/>
      </c>
      <c r="O890" t="str">
        <f>IF(M890="","",IF(M890="[FÓRMULA MANUAL]","",IFERROR(AVERAGEIFS(DATOS!$K$2:$K$20000,DATOS!$A$2:$A$20000,M890,DATOS!$G$2:$G$20000,CONFIG_METADATA!$B$4,DATOS!$I$2:$I$20000,"Orquesta/Banda/Conjunto"),"")))</f>
        <v/>
      </c>
      <c r="P890" t="str">
        <f>IF(M890="","",IF(M890="[FÓRMULA MANUAL]","",IFERROR(AVERAGEIFS(DATOS!$K$2:$K$20000,DATOS!$A$2:$A$20000,M890,DATOS!$G$2:$G$20000,CONFIG_METADATA!$B$4,DATOS!$I$2:$I$20000,"Música de Cámara"),"")))</f>
        <v/>
      </c>
      <c r="Q890" t="str">
        <f>IF(M890="","",IF(M890="[FÓRMULA MANUAL]","",IFERROR(SUMPRODUCT((DATOS!$A$2:$A$20000=M890)*(DATOS!$G$2:$G$20000=CONFIG_METADATA!$B$4)*(COUNTIF(CONFIG_ASIGNATURAS!$B$7:$B$27,DATOS!$I$2:$I$20000)&gt;0)*(DATOS!$K$2:$K$20000))/SUMPRODUCT((DATOS!$A$2:$A$20000=M890)*(DATOS!$G$2:$G$20000=CONFIG_METADATA!$B$4)*(COUNTIF(CONFIG_ASIGNATURAS!$B$7:$B$27,DATOS!$I$2:$I$20000)&gt;0)*1),"")))</f>
        <v/>
      </c>
      <c r="T890" t="str">
        <f>IF(S890="","",IF(S890="[FÓRMULA MANUAL]","",IFERROR(AVERAGEIFS(DATOS!$K$2:$K$20000,DATOS!$A$2:$A$20000,S890,DATOS!$G$2:$G$20000,CONFIG_METADATA!$B$4,DATOS!$I$2:$I$20000,"Armonía"),"")))</f>
        <v/>
      </c>
      <c r="U890" t="str">
        <f>IF(S890="","",IF(S890="[FÓRMULA MANUAL]","",IFERROR(AVERAGEIFS(DATOS!$K$2:$K$20000,DATOS!$A$2:$A$20000,S890,DATOS!$G$2:$G$20000,CONFIG_METADATA!$B$4,DATOS!$I$2:$I$20000,"Orquesta/Banda/Conjunto"),"")))</f>
        <v/>
      </c>
      <c r="V890" t="str">
        <f>IF(S890="","",IF(S890="[FÓRMULA MANUAL]","",IFERROR(AVERAGEIFS(DATOS!$K$2:$K$20000,DATOS!$A$2:$A$20000,S890,DATOS!$G$2:$G$20000,CONFIG_METADATA!$B$4,DATOS!$I$2:$I$20000,"Música de Cámara"),"")))</f>
        <v/>
      </c>
      <c r="W890" t="str">
        <f>IF(S890="","",IF(S890="[FÓRMULA MANUAL]","",IFERROR(SUMPRODUCT((DATOS!$A$2:$A$20000=S890)*(DATOS!$G$2:$G$20000=CONFIG_METADATA!$B$4)*(COUNTIF(CONFIG_ASIGNATURAS!$B$7:$B$27,DATOS!$I$2:$I$20000)&gt;0)*(DATOS!$K$2:$K$20000))/SUMPRODUCT((DATOS!$A$2:$A$20000=S890)*(DATOS!$G$2:$G$20000=CONFIG_METADATA!$B$4)*(COUNTIF(CONFIG_ASIGNATURAS!$B$7:$B$27,DATOS!$I$2:$I$20000)&gt;0)*1),"")))</f>
        <v/>
      </c>
      <c r="Z890" t="str">
        <f>IF(Y890="","",IF(Y890="[FÓRMULA MANUAL]","",IFERROR(AVERAGEIFS(DATOS!$K$2:$K$20000,DATOS!$A$2:$A$20000,Y890,DATOS!$G$2:$G$20000,CONFIG_METADATA!$B$4,DATOS!$I$2:$I$20000,"Análisis"),"")))</f>
        <v/>
      </c>
      <c r="AA890" t="str">
        <f>IF(Y890="","",IF(Y890="[FÓRMULA MANUAL]","",IFERROR(AVERAGEIFS(DATOS!$K$2:$K$20000,DATOS!$A$2:$A$20000,Y890,DATOS!$G$2:$G$20000,CONFIG_METADATA!$B$4,DATOS!$I$2:$I$20000,"Orquesta/Banda/Conjunto"),"")))</f>
        <v/>
      </c>
      <c r="AB890" t="str">
        <f>IF(Y890="","",IF(Y890="[FÓRMULA MANUAL]","",IFERROR(AVERAGEIFS(DATOS!$K$2:$K$20000,DATOS!$A$2:$A$20000,Y890,DATOS!$G$2:$G$20000,CONFIG_METADATA!$B$4,DATOS!$I$2:$I$20000,"Música de Cámara"),"")))</f>
        <v/>
      </c>
      <c r="AC890" t="str">
        <f>IF(Y890="","",IF(Y890="[FÓRMULA MANUAL]","",IFERROR(SUMPRODUCT((DATOS!$A$2:$A$20000=Y890)*(DATOS!$G$2:$G$20000=CONFIG_METADATA!$B$4)*(COUNTIF(CONFIG_ASIGNATURAS!$B$7:$B$27,DATOS!$I$2:$I$20000)&gt;0)*(DATOS!$K$2:$K$20000))/SUMPRODUCT((DATOS!$A$2:$A$20000=Y890)*(DATOS!$G$2:$G$20000=CONFIG_METADATA!$B$4)*(COUNTIF(CONFIG_ASIGNATURAS!$B$7:$B$27,DATOS!$I$2:$I$20000)&gt;0)*1),"")))</f>
        <v/>
      </c>
      <c r="AF890" t="str">
        <f>IF(AE890="","",IF(AE890="[FÓRMULA MANUAL]","",IFERROR(AVERAGEIFS(DATOS!$K$2:$K$20000,DATOS!$A$2:$A$20000,AE890,DATOS!$G$2:$G$20000,CONFIG_METADATA!$B$4,DATOS!$I$2:$I$20000,"Análisis"),"")))</f>
        <v/>
      </c>
      <c r="AG890" t="str">
        <f>IF(AE890="","",IF(AE890="[FÓRMULA MANUAL]","",IFERROR(AVERAGEIFS(DATOS!$K$2:$K$20000,DATOS!$A$2:$A$20000,AE890,DATOS!$G$2:$G$20000,CONFIG_METADATA!$B$4,DATOS!$I$2:$I$20000,"Orquesta/Banda/Conjunto"),"")))</f>
        <v/>
      </c>
      <c r="AH890" t="str">
        <f>IF(AE890="","",IF(AE890="[FÓRMULA MANUAL]","",IFERROR(AVERAGEIFS(DATOS!$K$2:$K$20000,DATOS!$A$2:$A$20000,AE890,DATOS!$G$2:$G$20000,CONFIG_METADATA!$B$4,DATOS!$I$2:$I$20000,"Música de Cámara"),"")))</f>
        <v/>
      </c>
      <c r="AI890" t="str">
        <f>IF(AE890="","",IF(AE890="[FÓRMULA MANUAL]","",IFERROR(SUMPRODUCT((DATOS!$A$2:$A$20000=AE890)*(DATOS!$G$2:$G$20000=CONFIG_METADATA!$B$4)*(COUNTIF(CONFIG_ASIGNATURAS!$B$7:$B$27,DATOS!$I$2:$I$20000)&gt;0)*(DATOS!$K$2:$K$20000))/SUMPRODUCT((DATOS!$A$2:$A$20000=AE890)*(DATOS!$G$2:$G$20000=CONFIG_METADATA!$B$4)*(COUNTIF(CONFIG_ASIGNATURAS!$B$7:$B$27,DATOS!$I$2:$I$20000)&gt;0)*1),"")))</f>
        <v/>
      </c>
    </row>
    <row r="891" spans="2:35" x14ac:dyDescent="0.2">
      <c r="B891" t="str">
        <f>IF(A891="","",IF(A891="[FÓRMULA MANUAL]","",IFERROR(AVERAGEIFS(DATOS!$K$2:$K$20000,DATOS!$A$2:$A$20000,A891,DATOS!$G$2:$G$20000,CONFIG_METADATA!$B$4,DATOS!$I$2:$I$20000,"Lenguaje Musical"),"")))</f>
        <v/>
      </c>
      <c r="C891" t="str">
        <f>IF(A891="","",IF(A891="[FÓRMULA MANUAL]","",IFERROR(AVERAGEIFS(DATOS!$K$2:$K$20000,DATOS!$A$2:$A$20000,A891,DATOS!$G$2:$G$20000,CONFIG_METADATA!$B$4,DATOS!$I$2:$I$20000,"Orquesta/Banda/Conjunto"),"")))</f>
        <v/>
      </c>
      <c r="D891" t="str">
        <f>IF(A891="","",IF(A891="[FÓRMULA MANUAL]","",IFERROR(AVERAGEIFS(DATOS!$K$2:$K$20000,DATOS!$A$2:$A$20000,A891,DATOS!$G$2:$G$20000,CONFIG_METADATA!$B$4,DATOS!$I$2:$I$20000,"Conjunto"),"")))</f>
        <v/>
      </c>
      <c r="E891" t="str">
        <f>IF(A891="","",IF(A891="[FÓRMULA MANUAL]","",IFERROR(SUMPRODUCT((DATOS!$A$2:$A$20000=A891)*(DATOS!$G$2:$G$20000=CONFIG_METADATA!$B$4)*(COUNTIF(CONFIG_ASIGNATURAS!$B$7:$B$27,DATOS!$I$2:$I$20000)&gt;0)*(DATOS!$K$2:$K$20000))/SUMPRODUCT((DATOS!$A$2:$A$20000=A891)*(DATOS!$G$2:$G$20000=CONFIG_METADATA!$B$4)*(COUNTIF(CONFIG_ASIGNATURAS!$B$7:$B$27,DATOS!$I$2:$I$20000)&gt;0)*1),"")))</f>
        <v/>
      </c>
      <c r="H891" t="str">
        <f>IF(G891="","",IF(G891="[FÓRMULA MANUAL]","",IFERROR(AVERAGEIFS(DATOS!$K$2:$K$20000,DATOS!$A$2:$A$20000,G891,DATOS!$G$2:$G$20000,CONFIG_METADATA!$B$4,DATOS!$I$2:$I$20000,"Lenguaje Musical"),"")))</f>
        <v/>
      </c>
      <c r="I891" t="str">
        <f>IF(G891="","",IF(G891="[FÓRMULA MANUAL]","",IFERROR(AVERAGEIFS(DATOS!$K$2:$K$20000,DATOS!$A$2:$A$20000,G891,DATOS!$G$2:$G$20000,CONFIG_METADATA!$B$4,DATOS!$I$2:$I$20000,"Orquesta/Banda/Conjunto"),"")))</f>
        <v/>
      </c>
      <c r="J891" t="str">
        <f>IF(G891="","",IF(G891="[FÓRMULA MANUAL]","",IFERROR(AVERAGEIFS(DATOS!$K$2:$K$20000,DATOS!$A$2:$A$20000,G891,DATOS!$G$2:$G$20000,CONFIG_METADATA!$B$4,DATOS!$I$2:$I$20000,"Conjunto"),"")))</f>
        <v/>
      </c>
      <c r="K891" t="str">
        <f>IF(G891="","",IF(G891="[FÓRMULA MANUAL]","",IFERROR(SUMPRODUCT((DATOS!$A$2:$A$20000=G891)*(DATOS!$G$2:$G$20000=CONFIG_METADATA!$B$4)*(COUNTIF(CONFIG_ASIGNATURAS!$B$7:$B$27,DATOS!$I$2:$I$20000)&gt;0)*(DATOS!$K$2:$K$20000))/SUMPRODUCT((DATOS!$A$2:$A$20000=G891)*(DATOS!$G$2:$G$20000=CONFIG_METADATA!$B$4)*(COUNTIF(CONFIG_ASIGNATURAS!$B$7:$B$27,DATOS!$I$2:$I$20000)&gt;0)*1),"")))</f>
        <v/>
      </c>
      <c r="N891" t="str">
        <f>IF(M891="","",IF(M891="[FÓRMULA MANUAL]","",IFERROR(AVERAGEIFS(DATOS!$K$2:$K$20000,DATOS!$A$2:$A$20000,M891,DATOS!$G$2:$G$20000,CONFIG_METADATA!$B$4,DATOS!$I$2:$I$20000,"Armonía"),"")))</f>
        <v/>
      </c>
      <c r="O891" t="str">
        <f>IF(M891="","",IF(M891="[FÓRMULA MANUAL]","",IFERROR(AVERAGEIFS(DATOS!$K$2:$K$20000,DATOS!$A$2:$A$20000,M891,DATOS!$G$2:$G$20000,CONFIG_METADATA!$B$4,DATOS!$I$2:$I$20000,"Orquesta/Banda/Conjunto"),"")))</f>
        <v/>
      </c>
      <c r="P891" t="str">
        <f>IF(M891="","",IF(M891="[FÓRMULA MANUAL]","",IFERROR(AVERAGEIFS(DATOS!$K$2:$K$20000,DATOS!$A$2:$A$20000,M891,DATOS!$G$2:$G$20000,CONFIG_METADATA!$B$4,DATOS!$I$2:$I$20000,"Música de Cámara"),"")))</f>
        <v/>
      </c>
      <c r="Q891" t="str">
        <f>IF(M891="","",IF(M891="[FÓRMULA MANUAL]","",IFERROR(SUMPRODUCT((DATOS!$A$2:$A$20000=M891)*(DATOS!$G$2:$G$20000=CONFIG_METADATA!$B$4)*(COUNTIF(CONFIG_ASIGNATURAS!$B$7:$B$27,DATOS!$I$2:$I$20000)&gt;0)*(DATOS!$K$2:$K$20000))/SUMPRODUCT((DATOS!$A$2:$A$20000=M891)*(DATOS!$G$2:$G$20000=CONFIG_METADATA!$B$4)*(COUNTIF(CONFIG_ASIGNATURAS!$B$7:$B$27,DATOS!$I$2:$I$20000)&gt;0)*1),"")))</f>
        <v/>
      </c>
      <c r="T891" t="str">
        <f>IF(S891="","",IF(S891="[FÓRMULA MANUAL]","",IFERROR(AVERAGEIFS(DATOS!$K$2:$K$20000,DATOS!$A$2:$A$20000,S891,DATOS!$G$2:$G$20000,CONFIG_METADATA!$B$4,DATOS!$I$2:$I$20000,"Armonía"),"")))</f>
        <v/>
      </c>
      <c r="U891" t="str">
        <f>IF(S891="","",IF(S891="[FÓRMULA MANUAL]","",IFERROR(AVERAGEIFS(DATOS!$K$2:$K$20000,DATOS!$A$2:$A$20000,S891,DATOS!$G$2:$G$20000,CONFIG_METADATA!$B$4,DATOS!$I$2:$I$20000,"Orquesta/Banda/Conjunto"),"")))</f>
        <v/>
      </c>
      <c r="V891" t="str">
        <f>IF(S891="","",IF(S891="[FÓRMULA MANUAL]","",IFERROR(AVERAGEIFS(DATOS!$K$2:$K$20000,DATOS!$A$2:$A$20000,S891,DATOS!$G$2:$G$20000,CONFIG_METADATA!$B$4,DATOS!$I$2:$I$20000,"Música de Cámara"),"")))</f>
        <v/>
      </c>
      <c r="W891" t="str">
        <f>IF(S891="","",IF(S891="[FÓRMULA MANUAL]","",IFERROR(SUMPRODUCT((DATOS!$A$2:$A$20000=S891)*(DATOS!$G$2:$G$20000=CONFIG_METADATA!$B$4)*(COUNTIF(CONFIG_ASIGNATURAS!$B$7:$B$27,DATOS!$I$2:$I$20000)&gt;0)*(DATOS!$K$2:$K$20000))/SUMPRODUCT((DATOS!$A$2:$A$20000=S891)*(DATOS!$G$2:$G$20000=CONFIG_METADATA!$B$4)*(COUNTIF(CONFIG_ASIGNATURAS!$B$7:$B$27,DATOS!$I$2:$I$20000)&gt;0)*1),"")))</f>
        <v/>
      </c>
      <c r="Z891" t="str">
        <f>IF(Y891="","",IF(Y891="[FÓRMULA MANUAL]","",IFERROR(AVERAGEIFS(DATOS!$K$2:$K$20000,DATOS!$A$2:$A$20000,Y891,DATOS!$G$2:$G$20000,CONFIG_METADATA!$B$4,DATOS!$I$2:$I$20000,"Análisis"),"")))</f>
        <v/>
      </c>
      <c r="AA891" t="str">
        <f>IF(Y891="","",IF(Y891="[FÓRMULA MANUAL]","",IFERROR(AVERAGEIFS(DATOS!$K$2:$K$20000,DATOS!$A$2:$A$20000,Y891,DATOS!$G$2:$G$20000,CONFIG_METADATA!$B$4,DATOS!$I$2:$I$20000,"Orquesta/Banda/Conjunto"),"")))</f>
        <v/>
      </c>
      <c r="AB891" t="str">
        <f>IF(Y891="","",IF(Y891="[FÓRMULA MANUAL]","",IFERROR(AVERAGEIFS(DATOS!$K$2:$K$20000,DATOS!$A$2:$A$20000,Y891,DATOS!$G$2:$G$20000,CONFIG_METADATA!$B$4,DATOS!$I$2:$I$20000,"Música de Cámara"),"")))</f>
        <v/>
      </c>
      <c r="AC891" t="str">
        <f>IF(Y891="","",IF(Y891="[FÓRMULA MANUAL]","",IFERROR(SUMPRODUCT((DATOS!$A$2:$A$20000=Y891)*(DATOS!$G$2:$G$20000=CONFIG_METADATA!$B$4)*(COUNTIF(CONFIG_ASIGNATURAS!$B$7:$B$27,DATOS!$I$2:$I$20000)&gt;0)*(DATOS!$K$2:$K$20000))/SUMPRODUCT((DATOS!$A$2:$A$20000=Y891)*(DATOS!$G$2:$G$20000=CONFIG_METADATA!$B$4)*(COUNTIF(CONFIG_ASIGNATURAS!$B$7:$B$27,DATOS!$I$2:$I$20000)&gt;0)*1),"")))</f>
        <v/>
      </c>
      <c r="AF891" t="str">
        <f>IF(AE891="","",IF(AE891="[FÓRMULA MANUAL]","",IFERROR(AVERAGEIFS(DATOS!$K$2:$K$20000,DATOS!$A$2:$A$20000,AE891,DATOS!$G$2:$G$20000,CONFIG_METADATA!$B$4,DATOS!$I$2:$I$20000,"Análisis"),"")))</f>
        <v/>
      </c>
      <c r="AG891" t="str">
        <f>IF(AE891="","",IF(AE891="[FÓRMULA MANUAL]","",IFERROR(AVERAGEIFS(DATOS!$K$2:$K$20000,DATOS!$A$2:$A$20000,AE891,DATOS!$G$2:$G$20000,CONFIG_METADATA!$B$4,DATOS!$I$2:$I$20000,"Orquesta/Banda/Conjunto"),"")))</f>
        <v/>
      </c>
      <c r="AH891" t="str">
        <f>IF(AE891="","",IF(AE891="[FÓRMULA MANUAL]","",IFERROR(AVERAGEIFS(DATOS!$K$2:$K$20000,DATOS!$A$2:$A$20000,AE891,DATOS!$G$2:$G$20000,CONFIG_METADATA!$B$4,DATOS!$I$2:$I$20000,"Música de Cámara"),"")))</f>
        <v/>
      </c>
      <c r="AI891" t="str">
        <f>IF(AE891="","",IF(AE891="[FÓRMULA MANUAL]","",IFERROR(SUMPRODUCT((DATOS!$A$2:$A$20000=AE891)*(DATOS!$G$2:$G$20000=CONFIG_METADATA!$B$4)*(COUNTIF(CONFIG_ASIGNATURAS!$B$7:$B$27,DATOS!$I$2:$I$20000)&gt;0)*(DATOS!$K$2:$K$20000))/SUMPRODUCT((DATOS!$A$2:$A$20000=AE891)*(DATOS!$G$2:$G$20000=CONFIG_METADATA!$B$4)*(COUNTIF(CONFIG_ASIGNATURAS!$B$7:$B$27,DATOS!$I$2:$I$20000)&gt;0)*1),"")))</f>
        <v/>
      </c>
    </row>
    <row r="892" spans="2:35" x14ac:dyDescent="0.2">
      <c r="B892" t="str">
        <f>IF(A892="","",IF(A892="[FÓRMULA MANUAL]","",IFERROR(AVERAGEIFS(DATOS!$K$2:$K$20000,DATOS!$A$2:$A$20000,A892,DATOS!$G$2:$G$20000,CONFIG_METADATA!$B$4,DATOS!$I$2:$I$20000,"Lenguaje Musical"),"")))</f>
        <v/>
      </c>
      <c r="C892" t="str">
        <f>IF(A892="","",IF(A892="[FÓRMULA MANUAL]","",IFERROR(AVERAGEIFS(DATOS!$K$2:$K$20000,DATOS!$A$2:$A$20000,A892,DATOS!$G$2:$G$20000,CONFIG_METADATA!$B$4,DATOS!$I$2:$I$20000,"Orquesta/Banda/Conjunto"),"")))</f>
        <v/>
      </c>
      <c r="D892" t="str">
        <f>IF(A892="","",IF(A892="[FÓRMULA MANUAL]","",IFERROR(AVERAGEIFS(DATOS!$K$2:$K$20000,DATOS!$A$2:$A$20000,A892,DATOS!$G$2:$G$20000,CONFIG_METADATA!$B$4,DATOS!$I$2:$I$20000,"Conjunto"),"")))</f>
        <v/>
      </c>
      <c r="E892" t="str">
        <f>IF(A892="","",IF(A892="[FÓRMULA MANUAL]","",IFERROR(SUMPRODUCT((DATOS!$A$2:$A$20000=A892)*(DATOS!$G$2:$G$20000=CONFIG_METADATA!$B$4)*(COUNTIF(CONFIG_ASIGNATURAS!$B$7:$B$27,DATOS!$I$2:$I$20000)&gt;0)*(DATOS!$K$2:$K$20000))/SUMPRODUCT((DATOS!$A$2:$A$20000=A892)*(DATOS!$G$2:$G$20000=CONFIG_METADATA!$B$4)*(COUNTIF(CONFIG_ASIGNATURAS!$B$7:$B$27,DATOS!$I$2:$I$20000)&gt;0)*1),"")))</f>
        <v/>
      </c>
      <c r="H892" t="str">
        <f>IF(G892="","",IF(G892="[FÓRMULA MANUAL]","",IFERROR(AVERAGEIFS(DATOS!$K$2:$K$20000,DATOS!$A$2:$A$20000,G892,DATOS!$G$2:$G$20000,CONFIG_METADATA!$B$4,DATOS!$I$2:$I$20000,"Lenguaje Musical"),"")))</f>
        <v/>
      </c>
      <c r="I892" t="str">
        <f>IF(G892="","",IF(G892="[FÓRMULA MANUAL]","",IFERROR(AVERAGEIFS(DATOS!$K$2:$K$20000,DATOS!$A$2:$A$20000,G892,DATOS!$G$2:$G$20000,CONFIG_METADATA!$B$4,DATOS!$I$2:$I$20000,"Orquesta/Banda/Conjunto"),"")))</f>
        <v/>
      </c>
      <c r="J892" t="str">
        <f>IF(G892="","",IF(G892="[FÓRMULA MANUAL]","",IFERROR(AVERAGEIFS(DATOS!$K$2:$K$20000,DATOS!$A$2:$A$20000,G892,DATOS!$G$2:$G$20000,CONFIG_METADATA!$B$4,DATOS!$I$2:$I$20000,"Conjunto"),"")))</f>
        <v/>
      </c>
      <c r="K892" t="str">
        <f>IF(G892="","",IF(G892="[FÓRMULA MANUAL]","",IFERROR(SUMPRODUCT((DATOS!$A$2:$A$20000=G892)*(DATOS!$G$2:$G$20000=CONFIG_METADATA!$B$4)*(COUNTIF(CONFIG_ASIGNATURAS!$B$7:$B$27,DATOS!$I$2:$I$20000)&gt;0)*(DATOS!$K$2:$K$20000))/SUMPRODUCT((DATOS!$A$2:$A$20000=G892)*(DATOS!$G$2:$G$20000=CONFIG_METADATA!$B$4)*(COUNTIF(CONFIG_ASIGNATURAS!$B$7:$B$27,DATOS!$I$2:$I$20000)&gt;0)*1),"")))</f>
        <v/>
      </c>
      <c r="N892" t="str">
        <f>IF(M892="","",IF(M892="[FÓRMULA MANUAL]","",IFERROR(AVERAGEIFS(DATOS!$K$2:$K$20000,DATOS!$A$2:$A$20000,M892,DATOS!$G$2:$G$20000,CONFIG_METADATA!$B$4,DATOS!$I$2:$I$20000,"Armonía"),"")))</f>
        <v/>
      </c>
      <c r="O892" t="str">
        <f>IF(M892="","",IF(M892="[FÓRMULA MANUAL]","",IFERROR(AVERAGEIFS(DATOS!$K$2:$K$20000,DATOS!$A$2:$A$20000,M892,DATOS!$G$2:$G$20000,CONFIG_METADATA!$B$4,DATOS!$I$2:$I$20000,"Orquesta/Banda/Conjunto"),"")))</f>
        <v/>
      </c>
      <c r="P892" t="str">
        <f>IF(M892="","",IF(M892="[FÓRMULA MANUAL]","",IFERROR(AVERAGEIFS(DATOS!$K$2:$K$20000,DATOS!$A$2:$A$20000,M892,DATOS!$G$2:$G$20000,CONFIG_METADATA!$B$4,DATOS!$I$2:$I$20000,"Música de Cámara"),"")))</f>
        <v/>
      </c>
      <c r="Q892" t="str">
        <f>IF(M892="","",IF(M892="[FÓRMULA MANUAL]","",IFERROR(SUMPRODUCT((DATOS!$A$2:$A$20000=M892)*(DATOS!$G$2:$G$20000=CONFIG_METADATA!$B$4)*(COUNTIF(CONFIG_ASIGNATURAS!$B$7:$B$27,DATOS!$I$2:$I$20000)&gt;0)*(DATOS!$K$2:$K$20000))/SUMPRODUCT((DATOS!$A$2:$A$20000=M892)*(DATOS!$G$2:$G$20000=CONFIG_METADATA!$B$4)*(COUNTIF(CONFIG_ASIGNATURAS!$B$7:$B$27,DATOS!$I$2:$I$20000)&gt;0)*1),"")))</f>
        <v/>
      </c>
      <c r="T892" t="str">
        <f>IF(S892="","",IF(S892="[FÓRMULA MANUAL]","",IFERROR(AVERAGEIFS(DATOS!$K$2:$K$20000,DATOS!$A$2:$A$20000,S892,DATOS!$G$2:$G$20000,CONFIG_METADATA!$B$4,DATOS!$I$2:$I$20000,"Armonía"),"")))</f>
        <v/>
      </c>
      <c r="U892" t="str">
        <f>IF(S892="","",IF(S892="[FÓRMULA MANUAL]","",IFERROR(AVERAGEIFS(DATOS!$K$2:$K$20000,DATOS!$A$2:$A$20000,S892,DATOS!$G$2:$G$20000,CONFIG_METADATA!$B$4,DATOS!$I$2:$I$20000,"Orquesta/Banda/Conjunto"),"")))</f>
        <v/>
      </c>
      <c r="V892" t="str">
        <f>IF(S892="","",IF(S892="[FÓRMULA MANUAL]","",IFERROR(AVERAGEIFS(DATOS!$K$2:$K$20000,DATOS!$A$2:$A$20000,S892,DATOS!$G$2:$G$20000,CONFIG_METADATA!$B$4,DATOS!$I$2:$I$20000,"Música de Cámara"),"")))</f>
        <v/>
      </c>
      <c r="W892" t="str">
        <f>IF(S892="","",IF(S892="[FÓRMULA MANUAL]","",IFERROR(SUMPRODUCT((DATOS!$A$2:$A$20000=S892)*(DATOS!$G$2:$G$20000=CONFIG_METADATA!$B$4)*(COUNTIF(CONFIG_ASIGNATURAS!$B$7:$B$27,DATOS!$I$2:$I$20000)&gt;0)*(DATOS!$K$2:$K$20000))/SUMPRODUCT((DATOS!$A$2:$A$20000=S892)*(DATOS!$G$2:$G$20000=CONFIG_METADATA!$B$4)*(COUNTIF(CONFIG_ASIGNATURAS!$B$7:$B$27,DATOS!$I$2:$I$20000)&gt;0)*1),"")))</f>
        <v/>
      </c>
      <c r="Z892" t="str">
        <f>IF(Y892="","",IF(Y892="[FÓRMULA MANUAL]","",IFERROR(AVERAGEIFS(DATOS!$K$2:$K$20000,DATOS!$A$2:$A$20000,Y892,DATOS!$G$2:$G$20000,CONFIG_METADATA!$B$4,DATOS!$I$2:$I$20000,"Análisis"),"")))</f>
        <v/>
      </c>
      <c r="AA892" t="str">
        <f>IF(Y892="","",IF(Y892="[FÓRMULA MANUAL]","",IFERROR(AVERAGEIFS(DATOS!$K$2:$K$20000,DATOS!$A$2:$A$20000,Y892,DATOS!$G$2:$G$20000,CONFIG_METADATA!$B$4,DATOS!$I$2:$I$20000,"Orquesta/Banda/Conjunto"),"")))</f>
        <v/>
      </c>
      <c r="AB892" t="str">
        <f>IF(Y892="","",IF(Y892="[FÓRMULA MANUAL]","",IFERROR(AVERAGEIFS(DATOS!$K$2:$K$20000,DATOS!$A$2:$A$20000,Y892,DATOS!$G$2:$G$20000,CONFIG_METADATA!$B$4,DATOS!$I$2:$I$20000,"Música de Cámara"),"")))</f>
        <v/>
      </c>
      <c r="AC892" t="str">
        <f>IF(Y892="","",IF(Y892="[FÓRMULA MANUAL]","",IFERROR(SUMPRODUCT((DATOS!$A$2:$A$20000=Y892)*(DATOS!$G$2:$G$20000=CONFIG_METADATA!$B$4)*(COUNTIF(CONFIG_ASIGNATURAS!$B$7:$B$27,DATOS!$I$2:$I$20000)&gt;0)*(DATOS!$K$2:$K$20000))/SUMPRODUCT((DATOS!$A$2:$A$20000=Y892)*(DATOS!$G$2:$G$20000=CONFIG_METADATA!$B$4)*(COUNTIF(CONFIG_ASIGNATURAS!$B$7:$B$27,DATOS!$I$2:$I$20000)&gt;0)*1),"")))</f>
        <v/>
      </c>
      <c r="AF892" t="str">
        <f>IF(AE892="","",IF(AE892="[FÓRMULA MANUAL]","",IFERROR(AVERAGEIFS(DATOS!$K$2:$K$20000,DATOS!$A$2:$A$20000,AE892,DATOS!$G$2:$G$20000,CONFIG_METADATA!$B$4,DATOS!$I$2:$I$20000,"Análisis"),"")))</f>
        <v/>
      </c>
      <c r="AG892" t="str">
        <f>IF(AE892="","",IF(AE892="[FÓRMULA MANUAL]","",IFERROR(AVERAGEIFS(DATOS!$K$2:$K$20000,DATOS!$A$2:$A$20000,AE892,DATOS!$G$2:$G$20000,CONFIG_METADATA!$B$4,DATOS!$I$2:$I$20000,"Orquesta/Banda/Conjunto"),"")))</f>
        <v/>
      </c>
      <c r="AH892" t="str">
        <f>IF(AE892="","",IF(AE892="[FÓRMULA MANUAL]","",IFERROR(AVERAGEIFS(DATOS!$K$2:$K$20000,DATOS!$A$2:$A$20000,AE892,DATOS!$G$2:$G$20000,CONFIG_METADATA!$B$4,DATOS!$I$2:$I$20000,"Música de Cámara"),"")))</f>
        <v/>
      </c>
      <c r="AI892" t="str">
        <f>IF(AE892="","",IF(AE892="[FÓRMULA MANUAL]","",IFERROR(SUMPRODUCT((DATOS!$A$2:$A$20000=AE892)*(DATOS!$G$2:$G$20000=CONFIG_METADATA!$B$4)*(COUNTIF(CONFIG_ASIGNATURAS!$B$7:$B$27,DATOS!$I$2:$I$20000)&gt;0)*(DATOS!$K$2:$K$20000))/SUMPRODUCT((DATOS!$A$2:$A$20000=AE892)*(DATOS!$G$2:$G$20000=CONFIG_METADATA!$B$4)*(COUNTIF(CONFIG_ASIGNATURAS!$B$7:$B$27,DATOS!$I$2:$I$20000)&gt;0)*1),"")))</f>
        <v/>
      </c>
    </row>
    <row r="893" spans="2:35" x14ac:dyDescent="0.2">
      <c r="B893" t="str">
        <f>IF(A893="","",IF(A893="[FÓRMULA MANUAL]","",IFERROR(AVERAGEIFS(DATOS!$K$2:$K$20000,DATOS!$A$2:$A$20000,A893,DATOS!$G$2:$G$20000,CONFIG_METADATA!$B$4,DATOS!$I$2:$I$20000,"Lenguaje Musical"),"")))</f>
        <v/>
      </c>
      <c r="C893" t="str">
        <f>IF(A893="","",IF(A893="[FÓRMULA MANUAL]","",IFERROR(AVERAGEIFS(DATOS!$K$2:$K$20000,DATOS!$A$2:$A$20000,A893,DATOS!$G$2:$G$20000,CONFIG_METADATA!$B$4,DATOS!$I$2:$I$20000,"Orquesta/Banda/Conjunto"),"")))</f>
        <v/>
      </c>
      <c r="D893" t="str">
        <f>IF(A893="","",IF(A893="[FÓRMULA MANUAL]","",IFERROR(AVERAGEIFS(DATOS!$K$2:$K$20000,DATOS!$A$2:$A$20000,A893,DATOS!$G$2:$G$20000,CONFIG_METADATA!$B$4,DATOS!$I$2:$I$20000,"Conjunto"),"")))</f>
        <v/>
      </c>
      <c r="E893" t="str">
        <f>IF(A893="","",IF(A893="[FÓRMULA MANUAL]","",IFERROR(SUMPRODUCT((DATOS!$A$2:$A$20000=A893)*(DATOS!$G$2:$G$20000=CONFIG_METADATA!$B$4)*(COUNTIF(CONFIG_ASIGNATURAS!$B$7:$B$27,DATOS!$I$2:$I$20000)&gt;0)*(DATOS!$K$2:$K$20000))/SUMPRODUCT((DATOS!$A$2:$A$20000=A893)*(DATOS!$G$2:$G$20000=CONFIG_METADATA!$B$4)*(COUNTIF(CONFIG_ASIGNATURAS!$B$7:$B$27,DATOS!$I$2:$I$20000)&gt;0)*1),"")))</f>
        <v/>
      </c>
      <c r="H893" t="str">
        <f>IF(G893="","",IF(G893="[FÓRMULA MANUAL]","",IFERROR(AVERAGEIFS(DATOS!$K$2:$K$20000,DATOS!$A$2:$A$20000,G893,DATOS!$G$2:$G$20000,CONFIG_METADATA!$B$4,DATOS!$I$2:$I$20000,"Lenguaje Musical"),"")))</f>
        <v/>
      </c>
      <c r="I893" t="str">
        <f>IF(G893="","",IF(G893="[FÓRMULA MANUAL]","",IFERROR(AVERAGEIFS(DATOS!$K$2:$K$20000,DATOS!$A$2:$A$20000,G893,DATOS!$G$2:$G$20000,CONFIG_METADATA!$B$4,DATOS!$I$2:$I$20000,"Orquesta/Banda/Conjunto"),"")))</f>
        <v/>
      </c>
      <c r="J893" t="str">
        <f>IF(G893="","",IF(G893="[FÓRMULA MANUAL]","",IFERROR(AVERAGEIFS(DATOS!$K$2:$K$20000,DATOS!$A$2:$A$20000,G893,DATOS!$G$2:$G$20000,CONFIG_METADATA!$B$4,DATOS!$I$2:$I$20000,"Conjunto"),"")))</f>
        <v/>
      </c>
      <c r="K893" t="str">
        <f>IF(G893="","",IF(G893="[FÓRMULA MANUAL]","",IFERROR(SUMPRODUCT((DATOS!$A$2:$A$20000=G893)*(DATOS!$G$2:$G$20000=CONFIG_METADATA!$B$4)*(COUNTIF(CONFIG_ASIGNATURAS!$B$7:$B$27,DATOS!$I$2:$I$20000)&gt;0)*(DATOS!$K$2:$K$20000))/SUMPRODUCT((DATOS!$A$2:$A$20000=G893)*(DATOS!$G$2:$G$20000=CONFIG_METADATA!$B$4)*(COUNTIF(CONFIG_ASIGNATURAS!$B$7:$B$27,DATOS!$I$2:$I$20000)&gt;0)*1),"")))</f>
        <v/>
      </c>
      <c r="N893" t="str">
        <f>IF(M893="","",IF(M893="[FÓRMULA MANUAL]","",IFERROR(AVERAGEIFS(DATOS!$K$2:$K$20000,DATOS!$A$2:$A$20000,M893,DATOS!$G$2:$G$20000,CONFIG_METADATA!$B$4,DATOS!$I$2:$I$20000,"Armonía"),"")))</f>
        <v/>
      </c>
      <c r="O893" t="str">
        <f>IF(M893="","",IF(M893="[FÓRMULA MANUAL]","",IFERROR(AVERAGEIFS(DATOS!$K$2:$K$20000,DATOS!$A$2:$A$20000,M893,DATOS!$G$2:$G$20000,CONFIG_METADATA!$B$4,DATOS!$I$2:$I$20000,"Orquesta/Banda/Conjunto"),"")))</f>
        <v/>
      </c>
      <c r="P893" t="str">
        <f>IF(M893="","",IF(M893="[FÓRMULA MANUAL]","",IFERROR(AVERAGEIFS(DATOS!$K$2:$K$20000,DATOS!$A$2:$A$20000,M893,DATOS!$G$2:$G$20000,CONFIG_METADATA!$B$4,DATOS!$I$2:$I$20000,"Música de Cámara"),"")))</f>
        <v/>
      </c>
      <c r="Q893" t="str">
        <f>IF(M893="","",IF(M893="[FÓRMULA MANUAL]","",IFERROR(SUMPRODUCT((DATOS!$A$2:$A$20000=M893)*(DATOS!$G$2:$G$20000=CONFIG_METADATA!$B$4)*(COUNTIF(CONFIG_ASIGNATURAS!$B$7:$B$27,DATOS!$I$2:$I$20000)&gt;0)*(DATOS!$K$2:$K$20000))/SUMPRODUCT((DATOS!$A$2:$A$20000=M893)*(DATOS!$G$2:$G$20000=CONFIG_METADATA!$B$4)*(COUNTIF(CONFIG_ASIGNATURAS!$B$7:$B$27,DATOS!$I$2:$I$20000)&gt;0)*1),"")))</f>
        <v/>
      </c>
      <c r="T893" t="str">
        <f>IF(S893="","",IF(S893="[FÓRMULA MANUAL]","",IFERROR(AVERAGEIFS(DATOS!$K$2:$K$20000,DATOS!$A$2:$A$20000,S893,DATOS!$G$2:$G$20000,CONFIG_METADATA!$B$4,DATOS!$I$2:$I$20000,"Armonía"),"")))</f>
        <v/>
      </c>
      <c r="U893" t="str">
        <f>IF(S893="","",IF(S893="[FÓRMULA MANUAL]","",IFERROR(AVERAGEIFS(DATOS!$K$2:$K$20000,DATOS!$A$2:$A$20000,S893,DATOS!$G$2:$G$20000,CONFIG_METADATA!$B$4,DATOS!$I$2:$I$20000,"Orquesta/Banda/Conjunto"),"")))</f>
        <v/>
      </c>
      <c r="V893" t="str">
        <f>IF(S893="","",IF(S893="[FÓRMULA MANUAL]","",IFERROR(AVERAGEIFS(DATOS!$K$2:$K$20000,DATOS!$A$2:$A$20000,S893,DATOS!$G$2:$G$20000,CONFIG_METADATA!$B$4,DATOS!$I$2:$I$20000,"Música de Cámara"),"")))</f>
        <v/>
      </c>
      <c r="W893" t="str">
        <f>IF(S893="","",IF(S893="[FÓRMULA MANUAL]","",IFERROR(SUMPRODUCT((DATOS!$A$2:$A$20000=S893)*(DATOS!$G$2:$G$20000=CONFIG_METADATA!$B$4)*(COUNTIF(CONFIG_ASIGNATURAS!$B$7:$B$27,DATOS!$I$2:$I$20000)&gt;0)*(DATOS!$K$2:$K$20000))/SUMPRODUCT((DATOS!$A$2:$A$20000=S893)*(DATOS!$G$2:$G$20000=CONFIG_METADATA!$B$4)*(COUNTIF(CONFIG_ASIGNATURAS!$B$7:$B$27,DATOS!$I$2:$I$20000)&gt;0)*1),"")))</f>
        <v/>
      </c>
      <c r="Z893" t="str">
        <f>IF(Y893="","",IF(Y893="[FÓRMULA MANUAL]","",IFERROR(AVERAGEIFS(DATOS!$K$2:$K$20000,DATOS!$A$2:$A$20000,Y893,DATOS!$G$2:$G$20000,CONFIG_METADATA!$B$4,DATOS!$I$2:$I$20000,"Análisis"),"")))</f>
        <v/>
      </c>
      <c r="AA893" t="str">
        <f>IF(Y893="","",IF(Y893="[FÓRMULA MANUAL]","",IFERROR(AVERAGEIFS(DATOS!$K$2:$K$20000,DATOS!$A$2:$A$20000,Y893,DATOS!$G$2:$G$20000,CONFIG_METADATA!$B$4,DATOS!$I$2:$I$20000,"Orquesta/Banda/Conjunto"),"")))</f>
        <v/>
      </c>
      <c r="AB893" t="str">
        <f>IF(Y893="","",IF(Y893="[FÓRMULA MANUAL]","",IFERROR(AVERAGEIFS(DATOS!$K$2:$K$20000,DATOS!$A$2:$A$20000,Y893,DATOS!$G$2:$G$20000,CONFIG_METADATA!$B$4,DATOS!$I$2:$I$20000,"Música de Cámara"),"")))</f>
        <v/>
      </c>
      <c r="AC893" t="str">
        <f>IF(Y893="","",IF(Y893="[FÓRMULA MANUAL]","",IFERROR(SUMPRODUCT((DATOS!$A$2:$A$20000=Y893)*(DATOS!$G$2:$G$20000=CONFIG_METADATA!$B$4)*(COUNTIF(CONFIG_ASIGNATURAS!$B$7:$B$27,DATOS!$I$2:$I$20000)&gt;0)*(DATOS!$K$2:$K$20000))/SUMPRODUCT((DATOS!$A$2:$A$20000=Y893)*(DATOS!$G$2:$G$20000=CONFIG_METADATA!$B$4)*(COUNTIF(CONFIG_ASIGNATURAS!$B$7:$B$27,DATOS!$I$2:$I$20000)&gt;0)*1),"")))</f>
        <v/>
      </c>
      <c r="AF893" t="str">
        <f>IF(AE893="","",IF(AE893="[FÓRMULA MANUAL]","",IFERROR(AVERAGEIFS(DATOS!$K$2:$K$20000,DATOS!$A$2:$A$20000,AE893,DATOS!$G$2:$G$20000,CONFIG_METADATA!$B$4,DATOS!$I$2:$I$20000,"Análisis"),"")))</f>
        <v/>
      </c>
      <c r="AG893" t="str">
        <f>IF(AE893="","",IF(AE893="[FÓRMULA MANUAL]","",IFERROR(AVERAGEIFS(DATOS!$K$2:$K$20000,DATOS!$A$2:$A$20000,AE893,DATOS!$G$2:$G$20000,CONFIG_METADATA!$B$4,DATOS!$I$2:$I$20000,"Orquesta/Banda/Conjunto"),"")))</f>
        <v/>
      </c>
      <c r="AH893" t="str">
        <f>IF(AE893="","",IF(AE893="[FÓRMULA MANUAL]","",IFERROR(AVERAGEIFS(DATOS!$K$2:$K$20000,DATOS!$A$2:$A$20000,AE893,DATOS!$G$2:$G$20000,CONFIG_METADATA!$B$4,DATOS!$I$2:$I$20000,"Música de Cámara"),"")))</f>
        <v/>
      </c>
      <c r="AI893" t="str">
        <f>IF(AE893="","",IF(AE893="[FÓRMULA MANUAL]","",IFERROR(SUMPRODUCT((DATOS!$A$2:$A$20000=AE893)*(DATOS!$G$2:$G$20000=CONFIG_METADATA!$B$4)*(COUNTIF(CONFIG_ASIGNATURAS!$B$7:$B$27,DATOS!$I$2:$I$20000)&gt;0)*(DATOS!$K$2:$K$20000))/SUMPRODUCT((DATOS!$A$2:$A$20000=AE893)*(DATOS!$G$2:$G$20000=CONFIG_METADATA!$B$4)*(COUNTIF(CONFIG_ASIGNATURAS!$B$7:$B$27,DATOS!$I$2:$I$20000)&gt;0)*1),"")))</f>
        <v/>
      </c>
    </row>
    <row r="894" spans="2:35" x14ac:dyDescent="0.2">
      <c r="B894" t="str">
        <f>IF(A894="","",IF(A894="[FÓRMULA MANUAL]","",IFERROR(AVERAGEIFS(DATOS!$K$2:$K$20000,DATOS!$A$2:$A$20000,A894,DATOS!$G$2:$G$20000,CONFIG_METADATA!$B$4,DATOS!$I$2:$I$20000,"Lenguaje Musical"),"")))</f>
        <v/>
      </c>
      <c r="C894" t="str">
        <f>IF(A894="","",IF(A894="[FÓRMULA MANUAL]","",IFERROR(AVERAGEIFS(DATOS!$K$2:$K$20000,DATOS!$A$2:$A$20000,A894,DATOS!$G$2:$G$20000,CONFIG_METADATA!$B$4,DATOS!$I$2:$I$20000,"Orquesta/Banda/Conjunto"),"")))</f>
        <v/>
      </c>
      <c r="D894" t="str">
        <f>IF(A894="","",IF(A894="[FÓRMULA MANUAL]","",IFERROR(AVERAGEIFS(DATOS!$K$2:$K$20000,DATOS!$A$2:$A$20000,A894,DATOS!$G$2:$G$20000,CONFIG_METADATA!$B$4,DATOS!$I$2:$I$20000,"Conjunto"),"")))</f>
        <v/>
      </c>
      <c r="E894" t="str">
        <f>IF(A894="","",IF(A894="[FÓRMULA MANUAL]","",IFERROR(SUMPRODUCT((DATOS!$A$2:$A$20000=A894)*(DATOS!$G$2:$G$20000=CONFIG_METADATA!$B$4)*(COUNTIF(CONFIG_ASIGNATURAS!$B$7:$B$27,DATOS!$I$2:$I$20000)&gt;0)*(DATOS!$K$2:$K$20000))/SUMPRODUCT((DATOS!$A$2:$A$20000=A894)*(DATOS!$G$2:$G$20000=CONFIG_METADATA!$B$4)*(COUNTIF(CONFIG_ASIGNATURAS!$B$7:$B$27,DATOS!$I$2:$I$20000)&gt;0)*1),"")))</f>
        <v/>
      </c>
      <c r="H894" t="str">
        <f>IF(G894="","",IF(G894="[FÓRMULA MANUAL]","",IFERROR(AVERAGEIFS(DATOS!$K$2:$K$20000,DATOS!$A$2:$A$20000,G894,DATOS!$G$2:$G$20000,CONFIG_METADATA!$B$4,DATOS!$I$2:$I$20000,"Lenguaje Musical"),"")))</f>
        <v/>
      </c>
      <c r="I894" t="str">
        <f>IF(G894="","",IF(G894="[FÓRMULA MANUAL]","",IFERROR(AVERAGEIFS(DATOS!$K$2:$K$20000,DATOS!$A$2:$A$20000,G894,DATOS!$G$2:$G$20000,CONFIG_METADATA!$B$4,DATOS!$I$2:$I$20000,"Orquesta/Banda/Conjunto"),"")))</f>
        <v/>
      </c>
      <c r="J894" t="str">
        <f>IF(G894="","",IF(G894="[FÓRMULA MANUAL]","",IFERROR(AVERAGEIFS(DATOS!$K$2:$K$20000,DATOS!$A$2:$A$20000,G894,DATOS!$G$2:$G$20000,CONFIG_METADATA!$B$4,DATOS!$I$2:$I$20000,"Conjunto"),"")))</f>
        <v/>
      </c>
      <c r="K894" t="str">
        <f>IF(G894="","",IF(G894="[FÓRMULA MANUAL]","",IFERROR(SUMPRODUCT((DATOS!$A$2:$A$20000=G894)*(DATOS!$G$2:$G$20000=CONFIG_METADATA!$B$4)*(COUNTIF(CONFIG_ASIGNATURAS!$B$7:$B$27,DATOS!$I$2:$I$20000)&gt;0)*(DATOS!$K$2:$K$20000))/SUMPRODUCT((DATOS!$A$2:$A$20000=G894)*(DATOS!$G$2:$G$20000=CONFIG_METADATA!$B$4)*(COUNTIF(CONFIG_ASIGNATURAS!$B$7:$B$27,DATOS!$I$2:$I$20000)&gt;0)*1),"")))</f>
        <v/>
      </c>
      <c r="N894" t="str">
        <f>IF(M894="","",IF(M894="[FÓRMULA MANUAL]","",IFERROR(AVERAGEIFS(DATOS!$K$2:$K$20000,DATOS!$A$2:$A$20000,M894,DATOS!$G$2:$G$20000,CONFIG_METADATA!$B$4,DATOS!$I$2:$I$20000,"Armonía"),"")))</f>
        <v/>
      </c>
      <c r="O894" t="str">
        <f>IF(M894="","",IF(M894="[FÓRMULA MANUAL]","",IFERROR(AVERAGEIFS(DATOS!$K$2:$K$20000,DATOS!$A$2:$A$20000,M894,DATOS!$G$2:$G$20000,CONFIG_METADATA!$B$4,DATOS!$I$2:$I$20000,"Orquesta/Banda/Conjunto"),"")))</f>
        <v/>
      </c>
      <c r="P894" t="str">
        <f>IF(M894="","",IF(M894="[FÓRMULA MANUAL]","",IFERROR(AVERAGEIFS(DATOS!$K$2:$K$20000,DATOS!$A$2:$A$20000,M894,DATOS!$G$2:$G$20000,CONFIG_METADATA!$B$4,DATOS!$I$2:$I$20000,"Música de Cámara"),"")))</f>
        <v/>
      </c>
      <c r="Q894" t="str">
        <f>IF(M894="","",IF(M894="[FÓRMULA MANUAL]","",IFERROR(SUMPRODUCT((DATOS!$A$2:$A$20000=M894)*(DATOS!$G$2:$G$20000=CONFIG_METADATA!$B$4)*(COUNTIF(CONFIG_ASIGNATURAS!$B$7:$B$27,DATOS!$I$2:$I$20000)&gt;0)*(DATOS!$K$2:$K$20000))/SUMPRODUCT((DATOS!$A$2:$A$20000=M894)*(DATOS!$G$2:$G$20000=CONFIG_METADATA!$B$4)*(COUNTIF(CONFIG_ASIGNATURAS!$B$7:$B$27,DATOS!$I$2:$I$20000)&gt;0)*1),"")))</f>
        <v/>
      </c>
      <c r="T894" t="str">
        <f>IF(S894="","",IF(S894="[FÓRMULA MANUAL]","",IFERROR(AVERAGEIFS(DATOS!$K$2:$K$20000,DATOS!$A$2:$A$20000,S894,DATOS!$G$2:$G$20000,CONFIG_METADATA!$B$4,DATOS!$I$2:$I$20000,"Armonía"),"")))</f>
        <v/>
      </c>
      <c r="U894" t="str">
        <f>IF(S894="","",IF(S894="[FÓRMULA MANUAL]","",IFERROR(AVERAGEIFS(DATOS!$K$2:$K$20000,DATOS!$A$2:$A$20000,S894,DATOS!$G$2:$G$20000,CONFIG_METADATA!$B$4,DATOS!$I$2:$I$20000,"Orquesta/Banda/Conjunto"),"")))</f>
        <v/>
      </c>
      <c r="V894" t="str">
        <f>IF(S894="","",IF(S894="[FÓRMULA MANUAL]","",IFERROR(AVERAGEIFS(DATOS!$K$2:$K$20000,DATOS!$A$2:$A$20000,S894,DATOS!$G$2:$G$20000,CONFIG_METADATA!$B$4,DATOS!$I$2:$I$20000,"Música de Cámara"),"")))</f>
        <v/>
      </c>
      <c r="W894" t="str">
        <f>IF(S894="","",IF(S894="[FÓRMULA MANUAL]","",IFERROR(SUMPRODUCT((DATOS!$A$2:$A$20000=S894)*(DATOS!$G$2:$G$20000=CONFIG_METADATA!$B$4)*(COUNTIF(CONFIG_ASIGNATURAS!$B$7:$B$27,DATOS!$I$2:$I$20000)&gt;0)*(DATOS!$K$2:$K$20000))/SUMPRODUCT((DATOS!$A$2:$A$20000=S894)*(DATOS!$G$2:$G$20000=CONFIG_METADATA!$B$4)*(COUNTIF(CONFIG_ASIGNATURAS!$B$7:$B$27,DATOS!$I$2:$I$20000)&gt;0)*1),"")))</f>
        <v/>
      </c>
      <c r="Z894" t="str">
        <f>IF(Y894="","",IF(Y894="[FÓRMULA MANUAL]","",IFERROR(AVERAGEIFS(DATOS!$K$2:$K$20000,DATOS!$A$2:$A$20000,Y894,DATOS!$G$2:$G$20000,CONFIG_METADATA!$B$4,DATOS!$I$2:$I$20000,"Análisis"),"")))</f>
        <v/>
      </c>
      <c r="AA894" t="str">
        <f>IF(Y894="","",IF(Y894="[FÓRMULA MANUAL]","",IFERROR(AVERAGEIFS(DATOS!$K$2:$K$20000,DATOS!$A$2:$A$20000,Y894,DATOS!$G$2:$G$20000,CONFIG_METADATA!$B$4,DATOS!$I$2:$I$20000,"Orquesta/Banda/Conjunto"),"")))</f>
        <v/>
      </c>
      <c r="AB894" t="str">
        <f>IF(Y894="","",IF(Y894="[FÓRMULA MANUAL]","",IFERROR(AVERAGEIFS(DATOS!$K$2:$K$20000,DATOS!$A$2:$A$20000,Y894,DATOS!$G$2:$G$20000,CONFIG_METADATA!$B$4,DATOS!$I$2:$I$20000,"Música de Cámara"),"")))</f>
        <v/>
      </c>
      <c r="AC894" t="str">
        <f>IF(Y894="","",IF(Y894="[FÓRMULA MANUAL]","",IFERROR(SUMPRODUCT((DATOS!$A$2:$A$20000=Y894)*(DATOS!$G$2:$G$20000=CONFIG_METADATA!$B$4)*(COUNTIF(CONFIG_ASIGNATURAS!$B$7:$B$27,DATOS!$I$2:$I$20000)&gt;0)*(DATOS!$K$2:$K$20000))/SUMPRODUCT((DATOS!$A$2:$A$20000=Y894)*(DATOS!$G$2:$G$20000=CONFIG_METADATA!$B$4)*(COUNTIF(CONFIG_ASIGNATURAS!$B$7:$B$27,DATOS!$I$2:$I$20000)&gt;0)*1),"")))</f>
        <v/>
      </c>
      <c r="AF894" t="str">
        <f>IF(AE894="","",IF(AE894="[FÓRMULA MANUAL]","",IFERROR(AVERAGEIFS(DATOS!$K$2:$K$20000,DATOS!$A$2:$A$20000,AE894,DATOS!$G$2:$G$20000,CONFIG_METADATA!$B$4,DATOS!$I$2:$I$20000,"Análisis"),"")))</f>
        <v/>
      </c>
      <c r="AG894" t="str">
        <f>IF(AE894="","",IF(AE894="[FÓRMULA MANUAL]","",IFERROR(AVERAGEIFS(DATOS!$K$2:$K$20000,DATOS!$A$2:$A$20000,AE894,DATOS!$G$2:$G$20000,CONFIG_METADATA!$B$4,DATOS!$I$2:$I$20000,"Orquesta/Banda/Conjunto"),"")))</f>
        <v/>
      </c>
      <c r="AH894" t="str">
        <f>IF(AE894="","",IF(AE894="[FÓRMULA MANUAL]","",IFERROR(AVERAGEIFS(DATOS!$K$2:$K$20000,DATOS!$A$2:$A$20000,AE894,DATOS!$G$2:$G$20000,CONFIG_METADATA!$B$4,DATOS!$I$2:$I$20000,"Música de Cámara"),"")))</f>
        <v/>
      </c>
      <c r="AI894" t="str">
        <f>IF(AE894="","",IF(AE894="[FÓRMULA MANUAL]","",IFERROR(SUMPRODUCT((DATOS!$A$2:$A$20000=AE894)*(DATOS!$G$2:$G$20000=CONFIG_METADATA!$B$4)*(COUNTIF(CONFIG_ASIGNATURAS!$B$7:$B$27,DATOS!$I$2:$I$20000)&gt;0)*(DATOS!$K$2:$K$20000))/SUMPRODUCT((DATOS!$A$2:$A$20000=AE894)*(DATOS!$G$2:$G$20000=CONFIG_METADATA!$B$4)*(COUNTIF(CONFIG_ASIGNATURAS!$B$7:$B$27,DATOS!$I$2:$I$20000)&gt;0)*1),"")))</f>
        <v/>
      </c>
    </row>
    <row r="895" spans="2:35" x14ac:dyDescent="0.2">
      <c r="B895" t="str">
        <f>IF(A895="","",IF(A895="[FÓRMULA MANUAL]","",IFERROR(AVERAGEIFS(DATOS!$K$2:$K$20000,DATOS!$A$2:$A$20000,A895,DATOS!$G$2:$G$20000,CONFIG_METADATA!$B$4,DATOS!$I$2:$I$20000,"Lenguaje Musical"),"")))</f>
        <v/>
      </c>
      <c r="C895" t="str">
        <f>IF(A895="","",IF(A895="[FÓRMULA MANUAL]","",IFERROR(AVERAGEIFS(DATOS!$K$2:$K$20000,DATOS!$A$2:$A$20000,A895,DATOS!$G$2:$G$20000,CONFIG_METADATA!$B$4,DATOS!$I$2:$I$20000,"Orquesta/Banda/Conjunto"),"")))</f>
        <v/>
      </c>
      <c r="D895" t="str">
        <f>IF(A895="","",IF(A895="[FÓRMULA MANUAL]","",IFERROR(AVERAGEIFS(DATOS!$K$2:$K$20000,DATOS!$A$2:$A$20000,A895,DATOS!$G$2:$G$20000,CONFIG_METADATA!$B$4,DATOS!$I$2:$I$20000,"Conjunto"),"")))</f>
        <v/>
      </c>
      <c r="E895" t="str">
        <f>IF(A895="","",IF(A895="[FÓRMULA MANUAL]","",IFERROR(SUMPRODUCT((DATOS!$A$2:$A$20000=A895)*(DATOS!$G$2:$G$20000=CONFIG_METADATA!$B$4)*(COUNTIF(CONFIG_ASIGNATURAS!$B$7:$B$27,DATOS!$I$2:$I$20000)&gt;0)*(DATOS!$K$2:$K$20000))/SUMPRODUCT((DATOS!$A$2:$A$20000=A895)*(DATOS!$G$2:$G$20000=CONFIG_METADATA!$B$4)*(COUNTIF(CONFIG_ASIGNATURAS!$B$7:$B$27,DATOS!$I$2:$I$20000)&gt;0)*1),"")))</f>
        <v/>
      </c>
      <c r="H895" t="str">
        <f>IF(G895="","",IF(G895="[FÓRMULA MANUAL]","",IFERROR(AVERAGEIFS(DATOS!$K$2:$K$20000,DATOS!$A$2:$A$20000,G895,DATOS!$G$2:$G$20000,CONFIG_METADATA!$B$4,DATOS!$I$2:$I$20000,"Lenguaje Musical"),"")))</f>
        <v/>
      </c>
      <c r="I895" t="str">
        <f>IF(G895="","",IF(G895="[FÓRMULA MANUAL]","",IFERROR(AVERAGEIFS(DATOS!$K$2:$K$20000,DATOS!$A$2:$A$20000,G895,DATOS!$G$2:$G$20000,CONFIG_METADATA!$B$4,DATOS!$I$2:$I$20000,"Orquesta/Banda/Conjunto"),"")))</f>
        <v/>
      </c>
      <c r="J895" t="str">
        <f>IF(G895="","",IF(G895="[FÓRMULA MANUAL]","",IFERROR(AVERAGEIFS(DATOS!$K$2:$K$20000,DATOS!$A$2:$A$20000,G895,DATOS!$G$2:$G$20000,CONFIG_METADATA!$B$4,DATOS!$I$2:$I$20000,"Conjunto"),"")))</f>
        <v/>
      </c>
      <c r="K895" t="str">
        <f>IF(G895="","",IF(G895="[FÓRMULA MANUAL]","",IFERROR(SUMPRODUCT((DATOS!$A$2:$A$20000=G895)*(DATOS!$G$2:$G$20000=CONFIG_METADATA!$B$4)*(COUNTIF(CONFIG_ASIGNATURAS!$B$7:$B$27,DATOS!$I$2:$I$20000)&gt;0)*(DATOS!$K$2:$K$20000))/SUMPRODUCT((DATOS!$A$2:$A$20000=G895)*(DATOS!$G$2:$G$20000=CONFIG_METADATA!$B$4)*(COUNTIF(CONFIG_ASIGNATURAS!$B$7:$B$27,DATOS!$I$2:$I$20000)&gt;0)*1),"")))</f>
        <v/>
      </c>
      <c r="N895" t="str">
        <f>IF(M895="","",IF(M895="[FÓRMULA MANUAL]","",IFERROR(AVERAGEIFS(DATOS!$K$2:$K$20000,DATOS!$A$2:$A$20000,M895,DATOS!$G$2:$G$20000,CONFIG_METADATA!$B$4,DATOS!$I$2:$I$20000,"Armonía"),"")))</f>
        <v/>
      </c>
      <c r="O895" t="str">
        <f>IF(M895="","",IF(M895="[FÓRMULA MANUAL]","",IFERROR(AVERAGEIFS(DATOS!$K$2:$K$20000,DATOS!$A$2:$A$20000,M895,DATOS!$G$2:$G$20000,CONFIG_METADATA!$B$4,DATOS!$I$2:$I$20000,"Orquesta/Banda/Conjunto"),"")))</f>
        <v/>
      </c>
      <c r="P895" t="str">
        <f>IF(M895="","",IF(M895="[FÓRMULA MANUAL]","",IFERROR(AVERAGEIFS(DATOS!$K$2:$K$20000,DATOS!$A$2:$A$20000,M895,DATOS!$G$2:$G$20000,CONFIG_METADATA!$B$4,DATOS!$I$2:$I$20000,"Música de Cámara"),"")))</f>
        <v/>
      </c>
      <c r="Q895" t="str">
        <f>IF(M895="","",IF(M895="[FÓRMULA MANUAL]","",IFERROR(SUMPRODUCT((DATOS!$A$2:$A$20000=M895)*(DATOS!$G$2:$G$20000=CONFIG_METADATA!$B$4)*(COUNTIF(CONFIG_ASIGNATURAS!$B$7:$B$27,DATOS!$I$2:$I$20000)&gt;0)*(DATOS!$K$2:$K$20000))/SUMPRODUCT((DATOS!$A$2:$A$20000=M895)*(DATOS!$G$2:$G$20000=CONFIG_METADATA!$B$4)*(COUNTIF(CONFIG_ASIGNATURAS!$B$7:$B$27,DATOS!$I$2:$I$20000)&gt;0)*1),"")))</f>
        <v/>
      </c>
      <c r="T895" t="str">
        <f>IF(S895="","",IF(S895="[FÓRMULA MANUAL]","",IFERROR(AVERAGEIFS(DATOS!$K$2:$K$20000,DATOS!$A$2:$A$20000,S895,DATOS!$G$2:$G$20000,CONFIG_METADATA!$B$4,DATOS!$I$2:$I$20000,"Armonía"),"")))</f>
        <v/>
      </c>
      <c r="U895" t="str">
        <f>IF(S895="","",IF(S895="[FÓRMULA MANUAL]","",IFERROR(AVERAGEIFS(DATOS!$K$2:$K$20000,DATOS!$A$2:$A$20000,S895,DATOS!$G$2:$G$20000,CONFIG_METADATA!$B$4,DATOS!$I$2:$I$20000,"Orquesta/Banda/Conjunto"),"")))</f>
        <v/>
      </c>
      <c r="V895" t="str">
        <f>IF(S895="","",IF(S895="[FÓRMULA MANUAL]","",IFERROR(AVERAGEIFS(DATOS!$K$2:$K$20000,DATOS!$A$2:$A$20000,S895,DATOS!$G$2:$G$20000,CONFIG_METADATA!$B$4,DATOS!$I$2:$I$20000,"Música de Cámara"),"")))</f>
        <v/>
      </c>
      <c r="W895" t="str">
        <f>IF(S895="","",IF(S895="[FÓRMULA MANUAL]","",IFERROR(SUMPRODUCT((DATOS!$A$2:$A$20000=S895)*(DATOS!$G$2:$G$20000=CONFIG_METADATA!$B$4)*(COUNTIF(CONFIG_ASIGNATURAS!$B$7:$B$27,DATOS!$I$2:$I$20000)&gt;0)*(DATOS!$K$2:$K$20000))/SUMPRODUCT((DATOS!$A$2:$A$20000=S895)*(DATOS!$G$2:$G$20000=CONFIG_METADATA!$B$4)*(COUNTIF(CONFIG_ASIGNATURAS!$B$7:$B$27,DATOS!$I$2:$I$20000)&gt;0)*1),"")))</f>
        <v/>
      </c>
      <c r="Z895" t="str">
        <f>IF(Y895="","",IF(Y895="[FÓRMULA MANUAL]","",IFERROR(AVERAGEIFS(DATOS!$K$2:$K$20000,DATOS!$A$2:$A$20000,Y895,DATOS!$G$2:$G$20000,CONFIG_METADATA!$B$4,DATOS!$I$2:$I$20000,"Análisis"),"")))</f>
        <v/>
      </c>
      <c r="AA895" t="str">
        <f>IF(Y895="","",IF(Y895="[FÓRMULA MANUAL]","",IFERROR(AVERAGEIFS(DATOS!$K$2:$K$20000,DATOS!$A$2:$A$20000,Y895,DATOS!$G$2:$G$20000,CONFIG_METADATA!$B$4,DATOS!$I$2:$I$20000,"Orquesta/Banda/Conjunto"),"")))</f>
        <v/>
      </c>
      <c r="AB895" t="str">
        <f>IF(Y895="","",IF(Y895="[FÓRMULA MANUAL]","",IFERROR(AVERAGEIFS(DATOS!$K$2:$K$20000,DATOS!$A$2:$A$20000,Y895,DATOS!$G$2:$G$20000,CONFIG_METADATA!$B$4,DATOS!$I$2:$I$20000,"Música de Cámara"),"")))</f>
        <v/>
      </c>
      <c r="AC895" t="str">
        <f>IF(Y895="","",IF(Y895="[FÓRMULA MANUAL]","",IFERROR(SUMPRODUCT((DATOS!$A$2:$A$20000=Y895)*(DATOS!$G$2:$G$20000=CONFIG_METADATA!$B$4)*(COUNTIF(CONFIG_ASIGNATURAS!$B$7:$B$27,DATOS!$I$2:$I$20000)&gt;0)*(DATOS!$K$2:$K$20000))/SUMPRODUCT((DATOS!$A$2:$A$20000=Y895)*(DATOS!$G$2:$G$20000=CONFIG_METADATA!$B$4)*(COUNTIF(CONFIG_ASIGNATURAS!$B$7:$B$27,DATOS!$I$2:$I$20000)&gt;0)*1),"")))</f>
        <v/>
      </c>
      <c r="AF895" t="str">
        <f>IF(AE895="","",IF(AE895="[FÓRMULA MANUAL]","",IFERROR(AVERAGEIFS(DATOS!$K$2:$K$20000,DATOS!$A$2:$A$20000,AE895,DATOS!$G$2:$G$20000,CONFIG_METADATA!$B$4,DATOS!$I$2:$I$20000,"Análisis"),"")))</f>
        <v/>
      </c>
      <c r="AG895" t="str">
        <f>IF(AE895="","",IF(AE895="[FÓRMULA MANUAL]","",IFERROR(AVERAGEIFS(DATOS!$K$2:$K$20000,DATOS!$A$2:$A$20000,AE895,DATOS!$G$2:$G$20000,CONFIG_METADATA!$B$4,DATOS!$I$2:$I$20000,"Orquesta/Banda/Conjunto"),"")))</f>
        <v/>
      </c>
      <c r="AH895" t="str">
        <f>IF(AE895="","",IF(AE895="[FÓRMULA MANUAL]","",IFERROR(AVERAGEIFS(DATOS!$K$2:$K$20000,DATOS!$A$2:$A$20000,AE895,DATOS!$G$2:$G$20000,CONFIG_METADATA!$B$4,DATOS!$I$2:$I$20000,"Música de Cámara"),"")))</f>
        <v/>
      </c>
      <c r="AI895" t="str">
        <f>IF(AE895="","",IF(AE895="[FÓRMULA MANUAL]","",IFERROR(SUMPRODUCT((DATOS!$A$2:$A$20000=AE895)*(DATOS!$G$2:$G$20000=CONFIG_METADATA!$B$4)*(COUNTIF(CONFIG_ASIGNATURAS!$B$7:$B$27,DATOS!$I$2:$I$20000)&gt;0)*(DATOS!$K$2:$K$20000))/SUMPRODUCT((DATOS!$A$2:$A$20000=AE895)*(DATOS!$G$2:$G$20000=CONFIG_METADATA!$B$4)*(COUNTIF(CONFIG_ASIGNATURAS!$B$7:$B$27,DATOS!$I$2:$I$20000)&gt;0)*1),"")))</f>
        <v/>
      </c>
    </row>
    <row r="896" spans="2:35" x14ac:dyDescent="0.2">
      <c r="B896" t="str">
        <f>IF(A896="","",IF(A896="[FÓRMULA MANUAL]","",IFERROR(AVERAGEIFS(DATOS!$K$2:$K$20000,DATOS!$A$2:$A$20000,A896,DATOS!$G$2:$G$20000,CONFIG_METADATA!$B$4,DATOS!$I$2:$I$20000,"Lenguaje Musical"),"")))</f>
        <v/>
      </c>
      <c r="C896" t="str">
        <f>IF(A896="","",IF(A896="[FÓRMULA MANUAL]","",IFERROR(AVERAGEIFS(DATOS!$K$2:$K$20000,DATOS!$A$2:$A$20000,A896,DATOS!$G$2:$G$20000,CONFIG_METADATA!$B$4,DATOS!$I$2:$I$20000,"Orquesta/Banda/Conjunto"),"")))</f>
        <v/>
      </c>
      <c r="D896" t="str">
        <f>IF(A896="","",IF(A896="[FÓRMULA MANUAL]","",IFERROR(AVERAGEIFS(DATOS!$K$2:$K$20000,DATOS!$A$2:$A$20000,A896,DATOS!$G$2:$G$20000,CONFIG_METADATA!$B$4,DATOS!$I$2:$I$20000,"Conjunto"),"")))</f>
        <v/>
      </c>
      <c r="E896" t="str">
        <f>IF(A896="","",IF(A896="[FÓRMULA MANUAL]","",IFERROR(SUMPRODUCT((DATOS!$A$2:$A$20000=A896)*(DATOS!$G$2:$G$20000=CONFIG_METADATA!$B$4)*(COUNTIF(CONFIG_ASIGNATURAS!$B$7:$B$27,DATOS!$I$2:$I$20000)&gt;0)*(DATOS!$K$2:$K$20000))/SUMPRODUCT((DATOS!$A$2:$A$20000=A896)*(DATOS!$G$2:$G$20000=CONFIG_METADATA!$B$4)*(COUNTIF(CONFIG_ASIGNATURAS!$B$7:$B$27,DATOS!$I$2:$I$20000)&gt;0)*1),"")))</f>
        <v/>
      </c>
      <c r="H896" t="str">
        <f>IF(G896="","",IF(G896="[FÓRMULA MANUAL]","",IFERROR(AVERAGEIFS(DATOS!$K$2:$K$20000,DATOS!$A$2:$A$20000,G896,DATOS!$G$2:$G$20000,CONFIG_METADATA!$B$4,DATOS!$I$2:$I$20000,"Lenguaje Musical"),"")))</f>
        <v/>
      </c>
      <c r="I896" t="str">
        <f>IF(G896="","",IF(G896="[FÓRMULA MANUAL]","",IFERROR(AVERAGEIFS(DATOS!$K$2:$K$20000,DATOS!$A$2:$A$20000,G896,DATOS!$G$2:$G$20000,CONFIG_METADATA!$B$4,DATOS!$I$2:$I$20000,"Orquesta/Banda/Conjunto"),"")))</f>
        <v/>
      </c>
      <c r="J896" t="str">
        <f>IF(G896="","",IF(G896="[FÓRMULA MANUAL]","",IFERROR(AVERAGEIFS(DATOS!$K$2:$K$20000,DATOS!$A$2:$A$20000,G896,DATOS!$G$2:$G$20000,CONFIG_METADATA!$B$4,DATOS!$I$2:$I$20000,"Conjunto"),"")))</f>
        <v/>
      </c>
      <c r="K896" t="str">
        <f>IF(G896="","",IF(G896="[FÓRMULA MANUAL]","",IFERROR(SUMPRODUCT((DATOS!$A$2:$A$20000=G896)*(DATOS!$G$2:$G$20000=CONFIG_METADATA!$B$4)*(COUNTIF(CONFIG_ASIGNATURAS!$B$7:$B$27,DATOS!$I$2:$I$20000)&gt;0)*(DATOS!$K$2:$K$20000))/SUMPRODUCT((DATOS!$A$2:$A$20000=G896)*(DATOS!$G$2:$G$20000=CONFIG_METADATA!$B$4)*(COUNTIF(CONFIG_ASIGNATURAS!$B$7:$B$27,DATOS!$I$2:$I$20000)&gt;0)*1),"")))</f>
        <v/>
      </c>
      <c r="N896" t="str">
        <f>IF(M896="","",IF(M896="[FÓRMULA MANUAL]","",IFERROR(AVERAGEIFS(DATOS!$K$2:$K$20000,DATOS!$A$2:$A$20000,M896,DATOS!$G$2:$G$20000,CONFIG_METADATA!$B$4,DATOS!$I$2:$I$20000,"Armonía"),"")))</f>
        <v/>
      </c>
      <c r="O896" t="str">
        <f>IF(M896="","",IF(M896="[FÓRMULA MANUAL]","",IFERROR(AVERAGEIFS(DATOS!$K$2:$K$20000,DATOS!$A$2:$A$20000,M896,DATOS!$G$2:$G$20000,CONFIG_METADATA!$B$4,DATOS!$I$2:$I$20000,"Orquesta/Banda/Conjunto"),"")))</f>
        <v/>
      </c>
      <c r="P896" t="str">
        <f>IF(M896="","",IF(M896="[FÓRMULA MANUAL]","",IFERROR(AVERAGEIFS(DATOS!$K$2:$K$20000,DATOS!$A$2:$A$20000,M896,DATOS!$G$2:$G$20000,CONFIG_METADATA!$B$4,DATOS!$I$2:$I$20000,"Música de Cámara"),"")))</f>
        <v/>
      </c>
      <c r="Q896" t="str">
        <f>IF(M896="","",IF(M896="[FÓRMULA MANUAL]","",IFERROR(SUMPRODUCT((DATOS!$A$2:$A$20000=M896)*(DATOS!$G$2:$G$20000=CONFIG_METADATA!$B$4)*(COUNTIF(CONFIG_ASIGNATURAS!$B$7:$B$27,DATOS!$I$2:$I$20000)&gt;0)*(DATOS!$K$2:$K$20000))/SUMPRODUCT((DATOS!$A$2:$A$20000=M896)*(DATOS!$G$2:$G$20000=CONFIG_METADATA!$B$4)*(COUNTIF(CONFIG_ASIGNATURAS!$B$7:$B$27,DATOS!$I$2:$I$20000)&gt;0)*1),"")))</f>
        <v/>
      </c>
      <c r="T896" t="str">
        <f>IF(S896="","",IF(S896="[FÓRMULA MANUAL]","",IFERROR(AVERAGEIFS(DATOS!$K$2:$K$20000,DATOS!$A$2:$A$20000,S896,DATOS!$G$2:$G$20000,CONFIG_METADATA!$B$4,DATOS!$I$2:$I$20000,"Armonía"),"")))</f>
        <v/>
      </c>
      <c r="U896" t="str">
        <f>IF(S896="","",IF(S896="[FÓRMULA MANUAL]","",IFERROR(AVERAGEIFS(DATOS!$K$2:$K$20000,DATOS!$A$2:$A$20000,S896,DATOS!$G$2:$G$20000,CONFIG_METADATA!$B$4,DATOS!$I$2:$I$20000,"Orquesta/Banda/Conjunto"),"")))</f>
        <v/>
      </c>
      <c r="V896" t="str">
        <f>IF(S896="","",IF(S896="[FÓRMULA MANUAL]","",IFERROR(AVERAGEIFS(DATOS!$K$2:$K$20000,DATOS!$A$2:$A$20000,S896,DATOS!$G$2:$G$20000,CONFIG_METADATA!$B$4,DATOS!$I$2:$I$20000,"Música de Cámara"),"")))</f>
        <v/>
      </c>
      <c r="W896" t="str">
        <f>IF(S896="","",IF(S896="[FÓRMULA MANUAL]","",IFERROR(SUMPRODUCT((DATOS!$A$2:$A$20000=S896)*(DATOS!$G$2:$G$20000=CONFIG_METADATA!$B$4)*(COUNTIF(CONFIG_ASIGNATURAS!$B$7:$B$27,DATOS!$I$2:$I$20000)&gt;0)*(DATOS!$K$2:$K$20000))/SUMPRODUCT((DATOS!$A$2:$A$20000=S896)*(DATOS!$G$2:$G$20000=CONFIG_METADATA!$B$4)*(COUNTIF(CONFIG_ASIGNATURAS!$B$7:$B$27,DATOS!$I$2:$I$20000)&gt;0)*1),"")))</f>
        <v/>
      </c>
      <c r="Z896" t="str">
        <f>IF(Y896="","",IF(Y896="[FÓRMULA MANUAL]","",IFERROR(AVERAGEIFS(DATOS!$K$2:$K$20000,DATOS!$A$2:$A$20000,Y896,DATOS!$G$2:$G$20000,CONFIG_METADATA!$B$4,DATOS!$I$2:$I$20000,"Análisis"),"")))</f>
        <v/>
      </c>
      <c r="AA896" t="str">
        <f>IF(Y896="","",IF(Y896="[FÓRMULA MANUAL]","",IFERROR(AVERAGEIFS(DATOS!$K$2:$K$20000,DATOS!$A$2:$A$20000,Y896,DATOS!$G$2:$G$20000,CONFIG_METADATA!$B$4,DATOS!$I$2:$I$20000,"Orquesta/Banda/Conjunto"),"")))</f>
        <v/>
      </c>
      <c r="AB896" t="str">
        <f>IF(Y896="","",IF(Y896="[FÓRMULA MANUAL]","",IFERROR(AVERAGEIFS(DATOS!$K$2:$K$20000,DATOS!$A$2:$A$20000,Y896,DATOS!$G$2:$G$20000,CONFIG_METADATA!$B$4,DATOS!$I$2:$I$20000,"Música de Cámara"),"")))</f>
        <v/>
      </c>
      <c r="AC896" t="str">
        <f>IF(Y896="","",IF(Y896="[FÓRMULA MANUAL]","",IFERROR(SUMPRODUCT((DATOS!$A$2:$A$20000=Y896)*(DATOS!$G$2:$G$20000=CONFIG_METADATA!$B$4)*(COUNTIF(CONFIG_ASIGNATURAS!$B$7:$B$27,DATOS!$I$2:$I$20000)&gt;0)*(DATOS!$K$2:$K$20000))/SUMPRODUCT((DATOS!$A$2:$A$20000=Y896)*(DATOS!$G$2:$G$20000=CONFIG_METADATA!$B$4)*(COUNTIF(CONFIG_ASIGNATURAS!$B$7:$B$27,DATOS!$I$2:$I$20000)&gt;0)*1),"")))</f>
        <v/>
      </c>
      <c r="AF896" t="str">
        <f>IF(AE896="","",IF(AE896="[FÓRMULA MANUAL]","",IFERROR(AVERAGEIFS(DATOS!$K$2:$K$20000,DATOS!$A$2:$A$20000,AE896,DATOS!$G$2:$G$20000,CONFIG_METADATA!$B$4,DATOS!$I$2:$I$20000,"Análisis"),"")))</f>
        <v/>
      </c>
      <c r="AG896" t="str">
        <f>IF(AE896="","",IF(AE896="[FÓRMULA MANUAL]","",IFERROR(AVERAGEIFS(DATOS!$K$2:$K$20000,DATOS!$A$2:$A$20000,AE896,DATOS!$G$2:$G$20000,CONFIG_METADATA!$B$4,DATOS!$I$2:$I$20000,"Orquesta/Banda/Conjunto"),"")))</f>
        <v/>
      </c>
      <c r="AH896" t="str">
        <f>IF(AE896="","",IF(AE896="[FÓRMULA MANUAL]","",IFERROR(AVERAGEIFS(DATOS!$K$2:$K$20000,DATOS!$A$2:$A$20000,AE896,DATOS!$G$2:$G$20000,CONFIG_METADATA!$B$4,DATOS!$I$2:$I$20000,"Música de Cámara"),"")))</f>
        <v/>
      </c>
      <c r="AI896" t="str">
        <f>IF(AE896="","",IF(AE896="[FÓRMULA MANUAL]","",IFERROR(SUMPRODUCT((DATOS!$A$2:$A$20000=AE896)*(DATOS!$G$2:$G$20000=CONFIG_METADATA!$B$4)*(COUNTIF(CONFIG_ASIGNATURAS!$B$7:$B$27,DATOS!$I$2:$I$20000)&gt;0)*(DATOS!$K$2:$K$20000))/SUMPRODUCT((DATOS!$A$2:$A$20000=AE896)*(DATOS!$G$2:$G$20000=CONFIG_METADATA!$B$4)*(COUNTIF(CONFIG_ASIGNATURAS!$B$7:$B$27,DATOS!$I$2:$I$20000)&gt;0)*1),"")))</f>
        <v/>
      </c>
    </row>
    <row r="897" spans="2:35" x14ac:dyDescent="0.2">
      <c r="B897" t="str">
        <f>IF(A897="","",IF(A897="[FÓRMULA MANUAL]","",IFERROR(AVERAGEIFS(DATOS!$K$2:$K$20000,DATOS!$A$2:$A$20000,A897,DATOS!$G$2:$G$20000,CONFIG_METADATA!$B$4,DATOS!$I$2:$I$20000,"Lenguaje Musical"),"")))</f>
        <v/>
      </c>
      <c r="C897" t="str">
        <f>IF(A897="","",IF(A897="[FÓRMULA MANUAL]","",IFERROR(AVERAGEIFS(DATOS!$K$2:$K$20000,DATOS!$A$2:$A$20000,A897,DATOS!$G$2:$G$20000,CONFIG_METADATA!$B$4,DATOS!$I$2:$I$20000,"Orquesta/Banda/Conjunto"),"")))</f>
        <v/>
      </c>
      <c r="D897" t="str">
        <f>IF(A897="","",IF(A897="[FÓRMULA MANUAL]","",IFERROR(AVERAGEIFS(DATOS!$K$2:$K$20000,DATOS!$A$2:$A$20000,A897,DATOS!$G$2:$G$20000,CONFIG_METADATA!$B$4,DATOS!$I$2:$I$20000,"Conjunto"),"")))</f>
        <v/>
      </c>
      <c r="E897" t="str">
        <f>IF(A897="","",IF(A897="[FÓRMULA MANUAL]","",IFERROR(SUMPRODUCT((DATOS!$A$2:$A$20000=A897)*(DATOS!$G$2:$G$20000=CONFIG_METADATA!$B$4)*(COUNTIF(CONFIG_ASIGNATURAS!$B$7:$B$27,DATOS!$I$2:$I$20000)&gt;0)*(DATOS!$K$2:$K$20000))/SUMPRODUCT((DATOS!$A$2:$A$20000=A897)*(DATOS!$G$2:$G$20000=CONFIG_METADATA!$B$4)*(COUNTIF(CONFIG_ASIGNATURAS!$B$7:$B$27,DATOS!$I$2:$I$20000)&gt;0)*1),"")))</f>
        <v/>
      </c>
      <c r="H897" t="str">
        <f>IF(G897="","",IF(G897="[FÓRMULA MANUAL]","",IFERROR(AVERAGEIFS(DATOS!$K$2:$K$20000,DATOS!$A$2:$A$20000,G897,DATOS!$G$2:$G$20000,CONFIG_METADATA!$B$4,DATOS!$I$2:$I$20000,"Lenguaje Musical"),"")))</f>
        <v/>
      </c>
      <c r="I897" t="str">
        <f>IF(G897="","",IF(G897="[FÓRMULA MANUAL]","",IFERROR(AVERAGEIFS(DATOS!$K$2:$K$20000,DATOS!$A$2:$A$20000,G897,DATOS!$G$2:$G$20000,CONFIG_METADATA!$B$4,DATOS!$I$2:$I$20000,"Orquesta/Banda/Conjunto"),"")))</f>
        <v/>
      </c>
      <c r="J897" t="str">
        <f>IF(G897="","",IF(G897="[FÓRMULA MANUAL]","",IFERROR(AVERAGEIFS(DATOS!$K$2:$K$20000,DATOS!$A$2:$A$20000,G897,DATOS!$G$2:$G$20000,CONFIG_METADATA!$B$4,DATOS!$I$2:$I$20000,"Conjunto"),"")))</f>
        <v/>
      </c>
      <c r="K897" t="str">
        <f>IF(G897="","",IF(G897="[FÓRMULA MANUAL]","",IFERROR(SUMPRODUCT((DATOS!$A$2:$A$20000=G897)*(DATOS!$G$2:$G$20000=CONFIG_METADATA!$B$4)*(COUNTIF(CONFIG_ASIGNATURAS!$B$7:$B$27,DATOS!$I$2:$I$20000)&gt;0)*(DATOS!$K$2:$K$20000))/SUMPRODUCT((DATOS!$A$2:$A$20000=G897)*(DATOS!$G$2:$G$20000=CONFIG_METADATA!$B$4)*(COUNTIF(CONFIG_ASIGNATURAS!$B$7:$B$27,DATOS!$I$2:$I$20000)&gt;0)*1),"")))</f>
        <v/>
      </c>
      <c r="N897" t="str">
        <f>IF(M897="","",IF(M897="[FÓRMULA MANUAL]","",IFERROR(AVERAGEIFS(DATOS!$K$2:$K$20000,DATOS!$A$2:$A$20000,M897,DATOS!$G$2:$G$20000,CONFIG_METADATA!$B$4,DATOS!$I$2:$I$20000,"Armonía"),"")))</f>
        <v/>
      </c>
      <c r="O897" t="str">
        <f>IF(M897="","",IF(M897="[FÓRMULA MANUAL]","",IFERROR(AVERAGEIFS(DATOS!$K$2:$K$20000,DATOS!$A$2:$A$20000,M897,DATOS!$G$2:$G$20000,CONFIG_METADATA!$B$4,DATOS!$I$2:$I$20000,"Orquesta/Banda/Conjunto"),"")))</f>
        <v/>
      </c>
      <c r="P897" t="str">
        <f>IF(M897="","",IF(M897="[FÓRMULA MANUAL]","",IFERROR(AVERAGEIFS(DATOS!$K$2:$K$20000,DATOS!$A$2:$A$20000,M897,DATOS!$G$2:$G$20000,CONFIG_METADATA!$B$4,DATOS!$I$2:$I$20000,"Música de Cámara"),"")))</f>
        <v/>
      </c>
      <c r="Q897" t="str">
        <f>IF(M897="","",IF(M897="[FÓRMULA MANUAL]","",IFERROR(SUMPRODUCT((DATOS!$A$2:$A$20000=M897)*(DATOS!$G$2:$G$20000=CONFIG_METADATA!$B$4)*(COUNTIF(CONFIG_ASIGNATURAS!$B$7:$B$27,DATOS!$I$2:$I$20000)&gt;0)*(DATOS!$K$2:$K$20000))/SUMPRODUCT((DATOS!$A$2:$A$20000=M897)*(DATOS!$G$2:$G$20000=CONFIG_METADATA!$B$4)*(COUNTIF(CONFIG_ASIGNATURAS!$B$7:$B$27,DATOS!$I$2:$I$20000)&gt;0)*1),"")))</f>
        <v/>
      </c>
      <c r="T897" t="str">
        <f>IF(S897="","",IF(S897="[FÓRMULA MANUAL]","",IFERROR(AVERAGEIFS(DATOS!$K$2:$K$20000,DATOS!$A$2:$A$20000,S897,DATOS!$G$2:$G$20000,CONFIG_METADATA!$B$4,DATOS!$I$2:$I$20000,"Armonía"),"")))</f>
        <v/>
      </c>
      <c r="U897" t="str">
        <f>IF(S897="","",IF(S897="[FÓRMULA MANUAL]","",IFERROR(AVERAGEIFS(DATOS!$K$2:$K$20000,DATOS!$A$2:$A$20000,S897,DATOS!$G$2:$G$20000,CONFIG_METADATA!$B$4,DATOS!$I$2:$I$20000,"Orquesta/Banda/Conjunto"),"")))</f>
        <v/>
      </c>
      <c r="V897" t="str">
        <f>IF(S897="","",IF(S897="[FÓRMULA MANUAL]","",IFERROR(AVERAGEIFS(DATOS!$K$2:$K$20000,DATOS!$A$2:$A$20000,S897,DATOS!$G$2:$G$20000,CONFIG_METADATA!$B$4,DATOS!$I$2:$I$20000,"Música de Cámara"),"")))</f>
        <v/>
      </c>
      <c r="W897" t="str">
        <f>IF(S897="","",IF(S897="[FÓRMULA MANUAL]","",IFERROR(SUMPRODUCT((DATOS!$A$2:$A$20000=S897)*(DATOS!$G$2:$G$20000=CONFIG_METADATA!$B$4)*(COUNTIF(CONFIG_ASIGNATURAS!$B$7:$B$27,DATOS!$I$2:$I$20000)&gt;0)*(DATOS!$K$2:$K$20000))/SUMPRODUCT((DATOS!$A$2:$A$20000=S897)*(DATOS!$G$2:$G$20000=CONFIG_METADATA!$B$4)*(COUNTIF(CONFIG_ASIGNATURAS!$B$7:$B$27,DATOS!$I$2:$I$20000)&gt;0)*1),"")))</f>
        <v/>
      </c>
      <c r="Z897" t="str">
        <f>IF(Y897="","",IF(Y897="[FÓRMULA MANUAL]","",IFERROR(AVERAGEIFS(DATOS!$K$2:$K$20000,DATOS!$A$2:$A$20000,Y897,DATOS!$G$2:$G$20000,CONFIG_METADATA!$B$4,DATOS!$I$2:$I$20000,"Análisis"),"")))</f>
        <v/>
      </c>
      <c r="AA897" t="str">
        <f>IF(Y897="","",IF(Y897="[FÓRMULA MANUAL]","",IFERROR(AVERAGEIFS(DATOS!$K$2:$K$20000,DATOS!$A$2:$A$20000,Y897,DATOS!$G$2:$G$20000,CONFIG_METADATA!$B$4,DATOS!$I$2:$I$20000,"Orquesta/Banda/Conjunto"),"")))</f>
        <v/>
      </c>
      <c r="AB897" t="str">
        <f>IF(Y897="","",IF(Y897="[FÓRMULA MANUAL]","",IFERROR(AVERAGEIFS(DATOS!$K$2:$K$20000,DATOS!$A$2:$A$20000,Y897,DATOS!$G$2:$G$20000,CONFIG_METADATA!$B$4,DATOS!$I$2:$I$20000,"Música de Cámara"),"")))</f>
        <v/>
      </c>
      <c r="AC897" t="str">
        <f>IF(Y897="","",IF(Y897="[FÓRMULA MANUAL]","",IFERROR(SUMPRODUCT((DATOS!$A$2:$A$20000=Y897)*(DATOS!$G$2:$G$20000=CONFIG_METADATA!$B$4)*(COUNTIF(CONFIG_ASIGNATURAS!$B$7:$B$27,DATOS!$I$2:$I$20000)&gt;0)*(DATOS!$K$2:$K$20000))/SUMPRODUCT((DATOS!$A$2:$A$20000=Y897)*(DATOS!$G$2:$G$20000=CONFIG_METADATA!$B$4)*(COUNTIF(CONFIG_ASIGNATURAS!$B$7:$B$27,DATOS!$I$2:$I$20000)&gt;0)*1),"")))</f>
        <v/>
      </c>
      <c r="AF897" t="str">
        <f>IF(AE897="","",IF(AE897="[FÓRMULA MANUAL]","",IFERROR(AVERAGEIFS(DATOS!$K$2:$K$20000,DATOS!$A$2:$A$20000,AE897,DATOS!$G$2:$G$20000,CONFIG_METADATA!$B$4,DATOS!$I$2:$I$20000,"Análisis"),"")))</f>
        <v/>
      </c>
      <c r="AG897" t="str">
        <f>IF(AE897="","",IF(AE897="[FÓRMULA MANUAL]","",IFERROR(AVERAGEIFS(DATOS!$K$2:$K$20000,DATOS!$A$2:$A$20000,AE897,DATOS!$G$2:$G$20000,CONFIG_METADATA!$B$4,DATOS!$I$2:$I$20000,"Orquesta/Banda/Conjunto"),"")))</f>
        <v/>
      </c>
      <c r="AH897" t="str">
        <f>IF(AE897="","",IF(AE897="[FÓRMULA MANUAL]","",IFERROR(AVERAGEIFS(DATOS!$K$2:$K$20000,DATOS!$A$2:$A$20000,AE897,DATOS!$G$2:$G$20000,CONFIG_METADATA!$B$4,DATOS!$I$2:$I$20000,"Música de Cámara"),"")))</f>
        <v/>
      </c>
      <c r="AI897" t="str">
        <f>IF(AE897="","",IF(AE897="[FÓRMULA MANUAL]","",IFERROR(SUMPRODUCT((DATOS!$A$2:$A$20000=AE897)*(DATOS!$G$2:$G$20000=CONFIG_METADATA!$B$4)*(COUNTIF(CONFIG_ASIGNATURAS!$B$7:$B$27,DATOS!$I$2:$I$20000)&gt;0)*(DATOS!$K$2:$K$20000))/SUMPRODUCT((DATOS!$A$2:$A$20000=AE897)*(DATOS!$G$2:$G$20000=CONFIG_METADATA!$B$4)*(COUNTIF(CONFIG_ASIGNATURAS!$B$7:$B$27,DATOS!$I$2:$I$20000)&gt;0)*1),"")))</f>
        <v/>
      </c>
    </row>
    <row r="898" spans="2:35" x14ac:dyDescent="0.2">
      <c r="B898" t="str">
        <f>IF(A898="","",IF(A898="[FÓRMULA MANUAL]","",IFERROR(AVERAGEIFS(DATOS!$K$2:$K$20000,DATOS!$A$2:$A$20000,A898,DATOS!$G$2:$G$20000,CONFIG_METADATA!$B$4,DATOS!$I$2:$I$20000,"Lenguaje Musical"),"")))</f>
        <v/>
      </c>
      <c r="C898" t="str">
        <f>IF(A898="","",IF(A898="[FÓRMULA MANUAL]","",IFERROR(AVERAGEIFS(DATOS!$K$2:$K$20000,DATOS!$A$2:$A$20000,A898,DATOS!$G$2:$G$20000,CONFIG_METADATA!$B$4,DATOS!$I$2:$I$20000,"Orquesta/Banda/Conjunto"),"")))</f>
        <v/>
      </c>
      <c r="D898" t="str">
        <f>IF(A898="","",IF(A898="[FÓRMULA MANUAL]","",IFERROR(AVERAGEIFS(DATOS!$K$2:$K$20000,DATOS!$A$2:$A$20000,A898,DATOS!$G$2:$G$20000,CONFIG_METADATA!$B$4,DATOS!$I$2:$I$20000,"Conjunto"),"")))</f>
        <v/>
      </c>
      <c r="E898" t="str">
        <f>IF(A898="","",IF(A898="[FÓRMULA MANUAL]","",IFERROR(SUMPRODUCT((DATOS!$A$2:$A$20000=A898)*(DATOS!$G$2:$G$20000=CONFIG_METADATA!$B$4)*(COUNTIF(CONFIG_ASIGNATURAS!$B$7:$B$27,DATOS!$I$2:$I$20000)&gt;0)*(DATOS!$K$2:$K$20000))/SUMPRODUCT((DATOS!$A$2:$A$20000=A898)*(DATOS!$G$2:$G$20000=CONFIG_METADATA!$B$4)*(COUNTIF(CONFIG_ASIGNATURAS!$B$7:$B$27,DATOS!$I$2:$I$20000)&gt;0)*1),"")))</f>
        <v/>
      </c>
      <c r="H898" t="str">
        <f>IF(G898="","",IF(G898="[FÓRMULA MANUAL]","",IFERROR(AVERAGEIFS(DATOS!$K$2:$K$20000,DATOS!$A$2:$A$20000,G898,DATOS!$G$2:$G$20000,CONFIG_METADATA!$B$4,DATOS!$I$2:$I$20000,"Lenguaje Musical"),"")))</f>
        <v/>
      </c>
      <c r="I898" t="str">
        <f>IF(G898="","",IF(G898="[FÓRMULA MANUAL]","",IFERROR(AVERAGEIFS(DATOS!$K$2:$K$20000,DATOS!$A$2:$A$20000,G898,DATOS!$G$2:$G$20000,CONFIG_METADATA!$B$4,DATOS!$I$2:$I$20000,"Orquesta/Banda/Conjunto"),"")))</f>
        <v/>
      </c>
      <c r="J898" t="str">
        <f>IF(G898="","",IF(G898="[FÓRMULA MANUAL]","",IFERROR(AVERAGEIFS(DATOS!$K$2:$K$20000,DATOS!$A$2:$A$20000,G898,DATOS!$G$2:$G$20000,CONFIG_METADATA!$B$4,DATOS!$I$2:$I$20000,"Conjunto"),"")))</f>
        <v/>
      </c>
      <c r="K898" t="str">
        <f>IF(G898="","",IF(G898="[FÓRMULA MANUAL]","",IFERROR(SUMPRODUCT((DATOS!$A$2:$A$20000=G898)*(DATOS!$G$2:$G$20000=CONFIG_METADATA!$B$4)*(COUNTIF(CONFIG_ASIGNATURAS!$B$7:$B$27,DATOS!$I$2:$I$20000)&gt;0)*(DATOS!$K$2:$K$20000))/SUMPRODUCT((DATOS!$A$2:$A$20000=G898)*(DATOS!$G$2:$G$20000=CONFIG_METADATA!$B$4)*(COUNTIF(CONFIG_ASIGNATURAS!$B$7:$B$27,DATOS!$I$2:$I$20000)&gt;0)*1),"")))</f>
        <v/>
      </c>
      <c r="N898" t="str">
        <f>IF(M898="","",IF(M898="[FÓRMULA MANUAL]","",IFERROR(AVERAGEIFS(DATOS!$K$2:$K$20000,DATOS!$A$2:$A$20000,M898,DATOS!$G$2:$G$20000,CONFIG_METADATA!$B$4,DATOS!$I$2:$I$20000,"Armonía"),"")))</f>
        <v/>
      </c>
      <c r="O898" t="str">
        <f>IF(M898="","",IF(M898="[FÓRMULA MANUAL]","",IFERROR(AVERAGEIFS(DATOS!$K$2:$K$20000,DATOS!$A$2:$A$20000,M898,DATOS!$G$2:$G$20000,CONFIG_METADATA!$B$4,DATOS!$I$2:$I$20000,"Orquesta/Banda/Conjunto"),"")))</f>
        <v/>
      </c>
      <c r="P898" t="str">
        <f>IF(M898="","",IF(M898="[FÓRMULA MANUAL]","",IFERROR(AVERAGEIFS(DATOS!$K$2:$K$20000,DATOS!$A$2:$A$20000,M898,DATOS!$G$2:$G$20000,CONFIG_METADATA!$B$4,DATOS!$I$2:$I$20000,"Música de Cámara"),"")))</f>
        <v/>
      </c>
      <c r="Q898" t="str">
        <f>IF(M898="","",IF(M898="[FÓRMULA MANUAL]","",IFERROR(SUMPRODUCT((DATOS!$A$2:$A$20000=M898)*(DATOS!$G$2:$G$20000=CONFIG_METADATA!$B$4)*(COUNTIF(CONFIG_ASIGNATURAS!$B$7:$B$27,DATOS!$I$2:$I$20000)&gt;0)*(DATOS!$K$2:$K$20000))/SUMPRODUCT((DATOS!$A$2:$A$20000=M898)*(DATOS!$G$2:$G$20000=CONFIG_METADATA!$B$4)*(COUNTIF(CONFIG_ASIGNATURAS!$B$7:$B$27,DATOS!$I$2:$I$20000)&gt;0)*1),"")))</f>
        <v/>
      </c>
      <c r="T898" t="str">
        <f>IF(S898="","",IF(S898="[FÓRMULA MANUAL]","",IFERROR(AVERAGEIFS(DATOS!$K$2:$K$20000,DATOS!$A$2:$A$20000,S898,DATOS!$G$2:$G$20000,CONFIG_METADATA!$B$4,DATOS!$I$2:$I$20000,"Armonía"),"")))</f>
        <v/>
      </c>
      <c r="U898" t="str">
        <f>IF(S898="","",IF(S898="[FÓRMULA MANUAL]","",IFERROR(AVERAGEIFS(DATOS!$K$2:$K$20000,DATOS!$A$2:$A$20000,S898,DATOS!$G$2:$G$20000,CONFIG_METADATA!$B$4,DATOS!$I$2:$I$20000,"Orquesta/Banda/Conjunto"),"")))</f>
        <v/>
      </c>
      <c r="V898" t="str">
        <f>IF(S898="","",IF(S898="[FÓRMULA MANUAL]","",IFERROR(AVERAGEIFS(DATOS!$K$2:$K$20000,DATOS!$A$2:$A$20000,S898,DATOS!$G$2:$G$20000,CONFIG_METADATA!$B$4,DATOS!$I$2:$I$20000,"Música de Cámara"),"")))</f>
        <v/>
      </c>
      <c r="W898" t="str">
        <f>IF(S898="","",IF(S898="[FÓRMULA MANUAL]","",IFERROR(SUMPRODUCT((DATOS!$A$2:$A$20000=S898)*(DATOS!$G$2:$G$20000=CONFIG_METADATA!$B$4)*(COUNTIF(CONFIG_ASIGNATURAS!$B$7:$B$27,DATOS!$I$2:$I$20000)&gt;0)*(DATOS!$K$2:$K$20000))/SUMPRODUCT((DATOS!$A$2:$A$20000=S898)*(DATOS!$G$2:$G$20000=CONFIG_METADATA!$B$4)*(COUNTIF(CONFIG_ASIGNATURAS!$B$7:$B$27,DATOS!$I$2:$I$20000)&gt;0)*1),"")))</f>
        <v/>
      </c>
      <c r="Z898" t="str">
        <f>IF(Y898="","",IF(Y898="[FÓRMULA MANUAL]","",IFERROR(AVERAGEIFS(DATOS!$K$2:$K$20000,DATOS!$A$2:$A$20000,Y898,DATOS!$G$2:$G$20000,CONFIG_METADATA!$B$4,DATOS!$I$2:$I$20000,"Análisis"),"")))</f>
        <v/>
      </c>
      <c r="AA898" t="str">
        <f>IF(Y898="","",IF(Y898="[FÓRMULA MANUAL]","",IFERROR(AVERAGEIFS(DATOS!$K$2:$K$20000,DATOS!$A$2:$A$20000,Y898,DATOS!$G$2:$G$20000,CONFIG_METADATA!$B$4,DATOS!$I$2:$I$20000,"Orquesta/Banda/Conjunto"),"")))</f>
        <v/>
      </c>
      <c r="AB898" t="str">
        <f>IF(Y898="","",IF(Y898="[FÓRMULA MANUAL]","",IFERROR(AVERAGEIFS(DATOS!$K$2:$K$20000,DATOS!$A$2:$A$20000,Y898,DATOS!$G$2:$G$20000,CONFIG_METADATA!$B$4,DATOS!$I$2:$I$20000,"Música de Cámara"),"")))</f>
        <v/>
      </c>
      <c r="AC898" t="str">
        <f>IF(Y898="","",IF(Y898="[FÓRMULA MANUAL]","",IFERROR(SUMPRODUCT((DATOS!$A$2:$A$20000=Y898)*(DATOS!$G$2:$G$20000=CONFIG_METADATA!$B$4)*(COUNTIF(CONFIG_ASIGNATURAS!$B$7:$B$27,DATOS!$I$2:$I$20000)&gt;0)*(DATOS!$K$2:$K$20000))/SUMPRODUCT((DATOS!$A$2:$A$20000=Y898)*(DATOS!$G$2:$G$20000=CONFIG_METADATA!$B$4)*(COUNTIF(CONFIG_ASIGNATURAS!$B$7:$B$27,DATOS!$I$2:$I$20000)&gt;0)*1),"")))</f>
        <v/>
      </c>
      <c r="AF898" t="str">
        <f>IF(AE898="","",IF(AE898="[FÓRMULA MANUAL]","",IFERROR(AVERAGEIFS(DATOS!$K$2:$K$20000,DATOS!$A$2:$A$20000,AE898,DATOS!$G$2:$G$20000,CONFIG_METADATA!$B$4,DATOS!$I$2:$I$20000,"Análisis"),"")))</f>
        <v/>
      </c>
      <c r="AG898" t="str">
        <f>IF(AE898="","",IF(AE898="[FÓRMULA MANUAL]","",IFERROR(AVERAGEIFS(DATOS!$K$2:$K$20000,DATOS!$A$2:$A$20000,AE898,DATOS!$G$2:$G$20000,CONFIG_METADATA!$B$4,DATOS!$I$2:$I$20000,"Orquesta/Banda/Conjunto"),"")))</f>
        <v/>
      </c>
      <c r="AH898" t="str">
        <f>IF(AE898="","",IF(AE898="[FÓRMULA MANUAL]","",IFERROR(AVERAGEIFS(DATOS!$K$2:$K$20000,DATOS!$A$2:$A$20000,AE898,DATOS!$G$2:$G$20000,CONFIG_METADATA!$B$4,DATOS!$I$2:$I$20000,"Música de Cámara"),"")))</f>
        <v/>
      </c>
      <c r="AI898" t="str">
        <f>IF(AE898="","",IF(AE898="[FÓRMULA MANUAL]","",IFERROR(SUMPRODUCT((DATOS!$A$2:$A$20000=AE898)*(DATOS!$G$2:$G$20000=CONFIG_METADATA!$B$4)*(COUNTIF(CONFIG_ASIGNATURAS!$B$7:$B$27,DATOS!$I$2:$I$20000)&gt;0)*(DATOS!$K$2:$K$20000))/SUMPRODUCT((DATOS!$A$2:$A$20000=AE898)*(DATOS!$G$2:$G$20000=CONFIG_METADATA!$B$4)*(COUNTIF(CONFIG_ASIGNATURAS!$B$7:$B$27,DATOS!$I$2:$I$20000)&gt;0)*1),"")))</f>
        <v/>
      </c>
    </row>
    <row r="899" spans="2:35" x14ac:dyDescent="0.2">
      <c r="B899" t="str">
        <f>IF(A899="","",IF(A899="[FÓRMULA MANUAL]","",IFERROR(AVERAGEIFS(DATOS!$K$2:$K$20000,DATOS!$A$2:$A$20000,A899,DATOS!$G$2:$G$20000,CONFIG_METADATA!$B$4,DATOS!$I$2:$I$20000,"Lenguaje Musical"),"")))</f>
        <v/>
      </c>
      <c r="C899" t="str">
        <f>IF(A899="","",IF(A899="[FÓRMULA MANUAL]","",IFERROR(AVERAGEIFS(DATOS!$K$2:$K$20000,DATOS!$A$2:$A$20000,A899,DATOS!$G$2:$G$20000,CONFIG_METADATA!$B$4,DATOS!$I$2:$I$20000,"Orquesta/Banda/Conjunto"),"")))</f>
        <v/>
      </c>
      <c r="D899" t="str">
        <f>IF(A899="","",IF(A899="[FÓRMULA MANUAL]","",IFERROR(AVERAGEIFS(DATOS!$K$2:$K$20000,DATOS!$A$2:$A$20000,A899,DATOS!$G$2:$G$20000,CONFIG_METADATA!$B$4,DATOS!$I$2:$I$20000,"Conjunto"),"")))</f>
        <v/>
      </c>
      <c r="E899" t="str">
        <f>IF(A899="","",IF(A899="[FÓRMULA MANUAL]","",IFERROR(SUMPRODUCT((DATOS!$A$2:$A$20000=A899)*(DATOS!$G$2:$G$20000=CONFIG_METADATA!$B$4)*(COUNTIF(CONFIG_ASIGNATURAS!$B$7:$B$27,DATOS!$I$2:$I$20000)&gt;0)*(DATOS!$K$2:$K$20000))/SUMPRODUCT((DATOS!$A$2:$A$20000=A899)*(DATOS!$G$2:$G$20000=CONFIG_METADATA!$B$4)*(COUNTIF(CONFIG_ASIGNATURAS!$B$7:$B$27,DATOS!$I$2:$I$20000)&gt;0)*1),"")))</f>
        <v/>
      </c>
      <c r="H899" t="str">
        <f>IF(G899="","",IF(G899="[FÓRMULA MANUAL]","",IFERROR(AVERAGEIFS(DATOS!$K$2:$K$20000,DATOS!$A$2:$A$20000,G899,DATOS!$G$2:$G$20000,CONFIG_METADATA!$B$4,DATOS!$I$2:$I$20000,"Lenguaje Musical"),"")))</f>
        <v/>
      </c>
      <c r="I899" t="str">
        <f>IF(G899="","",IF(G899="[FÓRMULA MANUAL]","",IFERROR(AVERAGEIFS(DATOS!$K$2:$K$20000,DATOS!$A$2:$A$20000,G899,DATOS!$G$2:$G$20000,CONFIG_METADATA!$B$4,DATOS!$I$2:$I$20000,"Orquesta/Banda/Conjunto"),"")))</f>
        <v/>
      </c>
      <c r="J899" t="str">
        <f>IF(G899="","",IF(G899="[FÓRMULA MANUAL]","",IFERROR(AVERAGEIFS(DATOS!$K$2:$K$20000,DATOS!$A$2:$A$20000,G899,DATOS!$G$2:$G$20000,CONFIG_METADATA!$B$4,DATOS!$I$2:$I$20000,"Conjunto"),"")))</f>
        <v/>
      </c>
      <c r="K899" t="str">
        <f>IF(G899="","",IF(G899="[FÓRMULA MANUAL]","",IFERROR(SUMPRODUCT((DATOS!$A$2:$A$20000=G899)*(DATOS!$G$2:$G$20000=CONFIG_METADATA!$B$4)*(COUNTIF(CONFIG_ASIGNATURAS!$B$7:$B$27,DATOS!$I$2:$I$20000)&gt;0)*(DATOS!$K$2:$K$20000))/SUMPRODUCT((DATOS!$A$2:$A$20000=G899)*(DATOS!$G$2:$G$20000=CONFIG_METADATA!$B$4)*(COUNTIF(CONFIG_ASIGNATURAS!$B$7:$B$27,DATOS!$I$2:$I$20000)&gt;0)*1),"")))</f>
        <v/>
      </c>
      <c r="N899" t="str">
        <f>IF(M899="","",IF(M899="[FÓRMULA MANUAL]","",IFERROR(AVERAGEIFS(DATOS!$K$2:$K$20000,DATOS!$A$2:$A$20000,M899,DATOS!$G$2:$G$20000,CONFIG_METADATA!$B$4,DATOS!$I$2:$I$20000,"Armonía"),"")))</f>
        <v/>
      </c>
      <c r="O899" t="str">
        <f>IF(M899="","",IF(M899="[FÓRMULA MANUAL]","",IFERROR(AVERAGEIFS(DATOS!$K$2:$K$20000,DATOS!$A$2:$A$20000,M899,DATOS!$G$2:$G$20000,CONFIG_METADATA!$B$4,DATOS!$I$2:$I$20000,"Orquesta/Banda/Conjunto"),"")))</f>
        <v/>
      </c>
      <c r="P899" t="str">
        <f>IF(M899="","",IF(M899="[FÓRMULA MANUAL]","",IFERROR(AVERAGEIFS(DATOS!$K$2:$K$20000,DATOS!$A$2:$A$20000,M899,DATOS!$G$2:$G$20000,CONFIG_METADATA!$B$4,DATOS!$I$2:$I$20000,"Música de Cámara"),"")))</f>
        <v/>
      </c>
      <c r="Q899" t="str">
        <f>IF(M899="","",IF(M899="[FÓRMULA MANUAL]","",IFERROR(SUMPRODUCT((DATOS!$A$2:$A$20000=M899)*(DATOS!$G$2:$G$20000=CONFIG_METADATA!$B$4)*(COUNTIF(CONFIG_ASIGNATURAS!$B$7:$B$27,DATOS!$I$2:$I$20000)&gt;0)*(DATOS!$K$2:$K$20000))/SUMPRODUCT((DATOS!$A$2:$A$20000=M899)*(DATOS!$G$2:$G$20000=CONFIG_METADATA!$B$4)*(COUNTIF(CONFIG_ASIGNATURAS!$B$7:$B$27,DATOS!$I$2:$I$20000)&gt;0)*1),"")))</f>
        <v/>
      </c>
      <c r="T899" t="str">
        <f>IF(S899="","",IF(S899="[FÓRMULA MANUAL]","",IFERROR(AVERAGEIFS(DATOS!$K$2:$K$20000,DATOS!$A$2:$A$20000,S899,DATOS!$G$2:$G$20000,CONFIG_METADATA!$B$4,DATOS!$I$2:$I$20000,"Armonía"),"")))</f>
        <v/>
      </c>
      <c r="U899" t="str">
        <f>IF(S899="","",IF(S899="[FÓRMULA MANUAL]","",IFERROR(AVERAGEIFS(DATOS!$K$2:$K$20000,DATOS!$A$2:$A$20000,S899,DATOS!$G$2:$G$20000,CONFIG_METADATA!$B$4,DATOS!$I$2:$I$20000,"Orquesta/Banda/Conjunto"),"")))</f>
        <v/>
      </c>
      <c r="V899" t="str">
        <f>IF(S899="","",IF(S899="[FÓRMULA MANUAL]","",IFERROR(AVERAGEIFS(DATOS!$K$2:$K$20000,DATOS!$A$2:$A$20000,S899,DATOS!$G$2:$G$20000,CONFIG_METADATA!$B$4,DATOS!$I$2:$I$20000,"Música de Cámara"),"")))</f>
        <v/>
      </c>
      <c r="W899" t="str">
        <f>IF(S899="","",IF(S899="[FÓRMULA MANUAL]","",IFERROR(SUMPRODUCT((DATOS!$A$2:$A$20000=S899)*(DATOS!$G$2:$G$20000=CONFIG_METADATA!$B$4)*(COUNTIF(CONFIG_ASIGNATURAS!$B$7:$B$27,DATOS!$I$2:$I$20000)&gt;0)*(DATOS!$K$2:$K$20000))/SUMPRODUCT((DATOS!$A$2:$A$20000=S899)*(DATOS!$G$2:$G$20000=CONFIG_METADATA!$B$4)*(COUNTIF(CONFIG_ASIGNATURAS!$B$7:$B$27,DATOS!$I$2:$I$20000)&gt;0)*1),"")))</f>
        <v/>
      </c>
      <c r="Z899" t="str">
        <f>IF(Y899="","",IF(Y899="[FÓRMULA MANUAL]","",IFERROR(AVERAGEIFS(DATOS!$K$2:$K$20000,DATOS!$A$2:$A$20000,Y899,DATOS!$G$2:$G$20000,CONFIG_METADATA!$B$4,DATOS!$I$2:$I$20000,"Análisis"),"")))</f>
        <v/>
      </c>
      <c r="AA899" t="str">
        <f>IF(Y899="","",IF(Y899="[FÓRMULA MANUAL]","",IFERROR(AVERAGEIFS(DATOS!$K$2:$K$20000,DATOS!$A$2:$A$20000,Y899,DATOS!$G$2:$G$20000,CONFIG_METADATA!$B$4,DATOS!$I$2:$I$20000,"Orquesta/Banda/Conjunto"),"")))</f>
        <v/>
      </c>
      <c r="AB899" t="str">
        <f>IF(Y899="","",IF(Y899="[FÓRMULA MANUAL]","",IFERROR(AVERAGEIFS(DATOS!$K$2:$K$20000,DATOS!$A$2:$A$20000,Y899,DATOS!$G$2:$G$20000,CONFIG_METADATA!$B$4,DATOS!$I$2:$I$20000,"Música de Cámara"),"")))</f>
        <v/>
      </c>
      <c r="AC899" t="str">
        <f>IF(Y899="","",IF(Y899="[FÓRMULA MANUAL]","",IFERROR(SUMPRODUCT((DATOS!$A$2:$A$20000=Y899)*(DATOS!$G$2:$G$20000=CONFIG_METADATA!$B$4)*(COUNTIF(CONFIG_ASIGNATURAS!$B$7:$B$27,DATOS!$I$2:$I$20000)&gt;0)*(DATOS!$K$2:$K$20000))/SUMPRODUCT((DATOS!$A$2:$A$20000=Y899)*(DATOS!$G$2:$G$20000=CONFIG_METADATA!$B$4)*(COUNTIF(CONFIG_ASIGNATURAS!$B$7:$B$27,DATOS!$I$2:$I$20000)&gt;0)*1),"")))</f>
        <v/>
      </c>
      <c r="AF899" t="str">
        <f>IF(AE899="","",IF(AE899="[FÓRMULA MANUAL]","",IFERROR(AVERAGEIFS(DATOS!$K$2:$K$20000,DATOS!$A$2:$A$20000,AE899,DATOS!$G$2:$G$20000,CONFIG_METADATA!$B$4,DATOS!$I$2:$I$20000,"Análisis"),"")))</f>
        <v/>
      </c>
      <c r="AG899" t="str">
        <f>IF(AE899="","",IF(AE899="[FÓRMULA MANUAL]","",IFERROR(AVERAGEIFS(DATOS!$K$2:$K$20000,DATOS!$A$2:$A$20000,AE899,DATOS!$G$2:$G$20000,CONFIG_METADATA!$B$4,DATOS!$I$2:$I$20000,"Orquesta/Banda/Conjunto"),"")))</f>
        <v/>
      </c>
      <c r="AH899" t="str">
        <f>IF(AE899="","",IF(AE899="[FÓRMULA MANUAL]","",IFERROR(AVERAGEIFS(DATOS!$K$2:$K$20000,DATOS!$A$2:$A$20000,AE899,DATOS!$G$2:$G$20000,CONFIG_METADATA!$B$4,DATOS!$I$2:$I$20000,"Música de Cámara"),"")))</f>
        <v/>
      </c>
      <c r="AI899" t="str">
        <f>IF(AE899="","",IF(AE899="[FÓRMULA MANUAL]","",IFERROR(SUMPRODUCT((DATOS!$A$2:$A$20000=AE899)*(DATOS!$G$2:$G$20000=CONFIG_METADATA!$B$4)*(COUNTIF(CONFIG_ASIGNATURAS!$B$7:$B$27,DATOS!$I$2:$I$20000)&gt;0)*(DATOS!$K$2:$K$20000))/SUMPRODUCT((DATOS!$A$2:$A$20000=AE899)*(DATOS!$G$2:$G$20000=CONFIG_METADATA!$B$4)*(COUNTIF(CONFIG_ASIGNATURAS!$B$7:$B$27,DATOS!$I$2:$I$20000)&gt;0)*1),"")))</f>
        <v/>
      </c>
    </row>
    <row r="900" spans="2:35" x14ac:dyDescent="0.2">
      <c r="B900" t="str">
        <f>IF(A900="","",IF(A900="[FÓRMULA MANUAL]","",IFERROR(AVERAGEIFS(DATOS!$K$2:$K$20000,DATOS!$A$2:$A$20000,A900,DATOS!$G$2:$G$20000,CONFIG_METADATA!$B$4,DATOS!$I$2:$I$20000,"Lenguaje Musical"),"")))</f>
        <v/>
      </c>
      <c r="C900" t="str">
        <f>IF(A900="","",IF(A900="[FÓRMULA MANUAL]","",IFERROR(AVERAGEIFS(DATOS!$K$2:$K$20000,DATOS!$A$2:$A$20000,A900,DATOS!$G$2:$G$20000,CONFIG_METADATA!$B$4,DATOS!$I$2:$I$20000,"Orquesta/Banda/Conjunto"),"")))</f>
        <v/>
      </c>
      <c r="D900" t="str">
        <f>IF(A900="","",IF(A900="[FÓRMULA MANUAL]","",IFERROR(AVERAGEIFS(DATOS!$K$2:$K$20000,DATOS!$A$2:$A$20000,A900,DATOS!$G$2:$G$20000,CONFIG_METADATA!$B$4,DATOS!$I$2:$I$20000,"Conjunto"),"")))</f>
        <v/>
      </c>
      <c r="E900" t="str">
        <f>IF(A900="","",IF(A900="[FÓRMULA MANUAL]","",IFERROR(SUMPRODUCT((DATOS!$A$2:$A$20000=A900)*(DATOS!$G$2:$G$20000=CONFIG_METADATA!$B$4)*(COUNTIF(CONFIG_ASIGNATURAS!$B$7:$B$27,DATOS!$I$2:$I$20000)&gt;0)*(DATOS!$K$2:$K$20000))/SUMPRODUCT((DATOS!$A$2:$A$20000=A900)*(DATOS!$G$2:$G$20000=CONFIG_METADATA!$B$4)*(COUNTIF(CONFIG_ASIGNATURAS!$B$7:$B$27,DATOS!$I$2:$I$20000)&gt;0)*1),"")))</f>
        <v/>
      </c>
      <c r="H900" t="str">
        <f>IF(G900="","",IF(G900="[FÓRMULA MANUAL]","",IFERROR(AVERAGEIFS(DATOS!$K$2:$K$20000,DATOS!$A$2:$A$20000,G900,DATOS!$G$2:$G$20000,CONFIG_METADATA!$B$4,DATOS!$I$2:$I$20000,"Lenguaje Musical"),"")))</f>
        <v/>
      </c>
      <c r="I900" t="str">
        <f>IF(G900="","",IF(G900="[FÓRMULA MANUAL]","",IFERROR(AVERAGEIFS(DATOS!$K$2:$K$20000,DATOS!$A$2:$A$20000,G900,DATOS!$G$2:$G$20000,CONFIG_METADATA!$B$4,DATOS!$I$2:$I$20000,"Orquesta/Banda/Conjunto"),"")))</f>
        <v/>
      </c>
      <c r="J900" t="str">
        <f>IF(G900="","",IF(G900="[FÓRMULA MANUAL]","",IFERROR(AVERAGEIFS(DATOS!$K$2:$K$20000,DATOS!$A$2:$A$20000,G900,DATOS!$G$2:$G$20000,CONFIG_METADATA!$B$4,DATOS!$I$2:$I$20000,"Conjunto"),"")))</f>
        <v/>
      </c>
      <c r="K900" t="str">
        <f>IF(G900="","",IF(G900="[FÓRMULA MANUAL]","",IFERROR(SUMPRODUCT((DATOS!$A$2:$A$20000=G900)*(DATOS!$G$2:$G$20000=CONFIG_METADATA!$B$4)*(COUNTIF(CONFIG_ASIGNATURAS!$B$7:$B$27,DATOS!$I$2:$I$20000)&gt;0)*(DATOS!$K$2:$K$20000))/SUMPRODUCT((DATOS!$A$2:$A$20000=G900)*(DATOS!$G$2:$G$20000=CONFIG_METADATA!$B$4)*(COUNTIF(CONFIG_ASIGNATURAS!$B$7:$B$27,DATOS!$I$2:$I$20000)&gt;0)*1),"")))</f>
        <v/>
      </c>
      <c r="N900" t="str">
        <f>IF(M900="","",IF(M900="[FÓRMULA MANUAL]","",IFERROR(AVERAGEIFS(DATOS!$K$2:$K$20000,DATOS!$A$2:$A$20000,M900,DATOS!$G$2:$G$20000,CONFIG_METADATA!$B$4,DATOS!$I$2:$I$20000,"Armonía"),"")))</f>
        <v/>
      </c>
      <c r="O900" t="str">
        <f>IF(M900="","",IF(M900="[FÓRMULA MANUAL]","",IFERROR(AVERAGEIFS(DATOS!$K$2:$K$20000,DATOS!$A$2:$A$20000,M900,DATOS!$G$2:$G$20000,CONFIG_METADATA!$B$4,DATOS!$I$2:$I$20000,"Orquesta/Banda/Conjunto"),"")))</f>
        <v/>
      </c>
      <c r="P900" t="str">
        <f>IF(M900="","",IF(M900="[FÓRMULA MANUAL]","",IFERROR(AVERAGEIFS(DATOS!$K$2:$K$20000,DATOS!$A$2:$A$20000,M900,DATOS!$G$2:$G$20000,CONFIG_METADATA!$B$4,DATOS!$I$2:$I$20000,"Música de Cámara"),"")))</f>
        <v/>
      </c>
      <c r="Q900" t="str">
        <f>IF(M900="","",IF(M900="[FÓRMULA MANUAL]","",IFERROR(SUMPRODUCT((DATOS!$A$2:$A$20000=M900)*(DATOS!$G$2:$G$20000=CONFIG_METADATA!$B$4)*(COUNTIF(CONFIG_ASIGNATURAS!$B$7:$B$27,DATOS!$I$2:$I$20000)&gt;0)*(DATOS!$K$2:$K$20000))/SUMPRODUCT((DATOS!$A$2:$A$20000=M900)*(DATOS!$G$2:$G$20000=CONFIG_METADATA!$B$4)*(COUNTIF(CONFIG_ASIGNATURAS!$B$7:$B$27,DATOS!$I$2:$I$20000)&gt;0)*1),"")))</f>
        <v/>
      </c>
      <c r="T900" t="str">
        <f>IF(S900="","",IF(S900="[FÓRMULA MANUAL]","",IFERROR(AVERAGEIFS(DATOS!$K$2:$K$20000,DATOS!$A$2:$A$20000,S900,DATOS!$G$2:$G$20000,CONFIG_METADATA!$B$4,DATOS!$I$2:$I$20000,"Armonía"),"")))</f>
        <v/>
      </c>
      <c r="U900" t="str">
        <f>IF(S900="","",IF(S900="[FÓRMULA MANUAL]","",IFERROR(AVERAGEIFS(DATOS!$K$2:$K$20000,DATOS!$A$2:$A$20000,S900,DATOS!$G$2:$G$20000,CONFIG_METADATA!$B$4,DATOS!$I$2:$I$20000,"Orquesta/Banda/Conjunto"),"")))</f>
        <v/>
      </c>
      <c r="V900" t="str">
        <f>IF(S900="","",IF(S900="[FÓRMULA MANUAL]","",IFERROR(AVERAGEIFS(DATOS!$K$2:$K$20000,DATOS!$A$2:$A$20000,S900,DATOS!$G$2:$G$20000,CONFIG_METADATA!$B$4,DATOS!$I$2:$I$20000,"Música de Cámara"),"")))</f>
        <v/>
      </c>
      <c r="W900" t="str">
        <f>IF(S900="","",IF(S900="[FÓRMULA MANUAL]","",IFERROR(SUMPRODUCT((DATOS!$A$2:$A$20000=S900)*(DATOS!$G$2:$G$20000=CONFIG_METADATA!$B$4)*(COUNTIF(CONFIG_ASIGNATURAS!$B$7:$B$27,DATOS!$I$2:$I$20000)&gt;0)*(DATOS!$K$2:$K$20000))/SUMPRODUCT((DATOS!$A$2:$A$20000=S900)*(DATOS!$G$2:$G$20000=CONFIG_METADATA!$B$4)*(COUNTIF(CONFIG_ASIGNATURAS!$B$7:$B$27,DATOS!$I$2:$I$20000)&gt;0)*1),"")))</f>
        <v/>
      </c>
      <c r="Z900" t="str">
        <f>IF(Y900="","",IF(Y900="[FÓRMULA MANUAL]","",IFERROR(AVERAGEIFS(DATOS!$K$2:$K$20000,DATOS!$A$2:$A$20000,Y900,DATOS!$G$2:$G$20000,CONFIG_METADATA!$B$4,DATOS!$I$2:$I$20000,"Análisis"),"")))</f>
        <v/>
      </c>
      <c r="AA900" t="str">
        <f>IF(Y900="","",IF(Y900="[FÓRMULA MANUAL]","",IFERROR(AVERAGEIFS(DATOS!$K$2:$K$20000,DATOS!$A$2:$A$20000,Y900,DATOS!$G$2:$G$20000,CONFIG_METADATA!$B$4,DATOS!$I$2:$I$20000,"Orquesta/Banda/Conjunto"),"")))</f>
        <v/>
      </c>
      <c r="AB900" t="str">
        <f>IF(Y900="","",IF(Y900="[FÓRMULA MANUAL]","",IFERROR(AVERAGEIFS(DATOS!$K$2:$K$20000,DATOS!$A$2:$A$20000,Y900,DATOS!$G$2:$G$20000,CONFIG_METADATA!$B$4,DATOS!$I$2:$I$20000,"Música de Cámara"),"")))</f>
        <v/>
      </c>
      <c r="AC900" t="str">
        <f>IF(Y900="","",IF(Y900="[FÓRMULA MANUAL]","",IFERROR(SUMPRODUCT((DATOS!$A$2:$A$20000=Y900)*(DATOS!$G$2:$G$20000=CONFIG_METADATA!$B$4)*(COUNTIF(CONFIG_ASIGNATURAS!$B$7:$B$27,DATOS!$I$2:$I$20000)&gt;0)*(DATOS!$K$2:$K$20000))/SUMPRODUCT((DATOS!$A$2:$A$20000=Y900)*(DATOS!$G$2:$G$20000=CONFIG_METADATA!$B$4)*(COUNTIF(CONFIG_ASIGNATURAS!$B$7:$B$27,DATOS!$I$2:$I$20000)&gt;0)*1),"")))</f>
        <v/>
      </c>
      <c r="AF900" t="str">
        <f>IF(AE900="","",IF(AE900="[FÓRMULA MANUAL]","",IFERROR(AVERAGEIFS(DATOS!$K$2:$K$20000,DATOS!$A$2:$A$20000,AE900,DATOS!$G$2:$G$20000,CONFIG_METADATA!$B$4,DATOS!$I$2:$I$20000,"Análisis"),"")))</f>
        <v/>
      </c>
      <c r="AG900" t="str">
        <f>IF(AE900="","",IF(AE900="[FÓRMULA MANUAL]","",IFERROR(AVERAGEIFS(DATOS!$K$2:$K$20000,DATOS!$A$2:$A$20000,AE900,DATOS!$G$2:$G$20000,CONFIG_METADATA!$B$4,DATOS!$I$2:$I$20000,"Orquesta/Banda/Conjunto"),"")))</f>
        <v/>
      </c>
      <c r="AH900" t="str">
        <f>IF(AE900="","",IF(AE900="[FÓRMULA MANUAL]","",IFERROR(AVERAGEIFS(DATOS!$K$2:$K$20000,DATOS!$A$2:$A$20000,AE900,DATOS!$G$2:$G$20000,CONFIG_METADATA!$B$4,DATOS!$I$2:$I$20000,"Música de Cámara"),"")))</f>
        <v/>
      </c>
      <c r="AI900" t="str">
        <f>IF(AE900="","",IF(AE900="[FÓRMULA MANUAL]","",IFERROR(SUMPRODUCT((DATOS!$A$2:$A$20000=AE900)*(DATOS!$G$2:$G$20000=CONFIG_METADATA!$B$4)*(COUNTIF(CONFIG_ASIGNATURAS!$B$7:$B$27,DATOS!$I$2:$I$20000)&gt;0)*(DATOS!$K$2:$K$20000))/SUMPRODUCT((DATOS!$A$2:$A$20000=AE900)*(DATOS!$G$2:$G$20000=CONFIG_METADATA!$B$4)*(COUNTIF(CONFIG_ASIGNATURAS!$B$7:$B$27,DATOS!$I$2:$I$20000)&gt;0)*1),"")))</f>
        <v/>
      </c>
    </row>
    <row r="901" spans="2:35" x14ac:dyDescent="0.2">
      <c r="B901" t="str">
        <f>IF(A901="","",IF(A901="[FÓRMULA MANUAL]","",IFERROR(AVERAGEIFS(DATOS!$K$2:$K$20000,DATOS!$A$2:$A$20000,A901,DATOS!$G$2:$G$20000,CONFIG_METADATA!$B$4,DATOS!$I$2:$I$20000,"Lenguaje Musical"),"")))</f>
        <v/>
      </c>
      <c r="C901" t="str">
        <f>IF(A901="","",IF(A901="[FÓRMULA MANUAL]","",IFERROR(AVERAGEIFS(DATOS!$K$2:$K$20000,DATOS!$A$2:$A$20000,A901,DATOS!$G$2:$G$20000,CONFIG_METADATA!$B$4,DATOS!$I$2:$I$20000,"Orquesta/Banda/Conjunto"),"")))</f>
        <v/>
      </c>
      <c r="D901" t="str">
        <f>IF(A901="","",IF(A901="[FÓRMULA MANUAL]","",IFERROR(AVERAGEIFS(DATOS!$K$2:$K$20000,DATOS!$A$2:$A$20000,A901,DATOS!$G$2:$G$20000,CONFIG_METADATA!$B$4,DATOS!$I$2:$I$20000,"Conjunto"),"")))</f>
        <v/>
      </c>
      <c r="E901" t="str">
        <f>IF(A901="","",IF(A901="[FÓRMULA MANUAL]","",IFERROR(SUMPRODUCT((DATOS!$A$2:$A$20000=A901)*(DATOS!$G$2:$G$20000=CONFIG_METADATA!$B$4)*(COUNTIF(CONFIG_ASIGNATURAS!$B$7:$B$27,DATOS!$I$2:$I$20000)&gt;0)*(DATOS!$K$2:$K$20000))/SUMPRODUCT((DATOS!$A$2:$A$20000=A901)*(DATOS!$G$2:$G$20000=CONFIG_METADATA!$B$4)*(COUNTIF(CONFIG_ASIGNATURAS!$B$7:$B$27,DATOS!$I$2:$I$20000)&gt;0)*1),"")))</f>
        <v/>
      </c>
      <c r="H901" t="str">
        <f>IF(G901="","",IF(G901="[FÓRMULA MANUAL]","",IFERROR(AVERAGEIFS(DATOS!$K$2:$K$20000,DATOS!$A$2:$A$20000,G901,DATOS!$G$2:$G$20000,CONFIG_METADATA!$B$4,DATOS!$I$2:$I$20000,"Lenguaje Musical"),"")))</f>
        <v/>
      </c>
      <c r="I901" t="str">
        <f>IF(G901="","",IF(G901="[FÓRMULA MANUAL]","",IFERROR(AVERAGEIFS(DATOS!$K$2:$K$20000,DATOS!$A$2:$A$20000,G901,DATOS!$G$2:$G$20000,CONFIG_METADATA!$B$4,DATOS!$I$2:$I$20000,"Orquesta/Banda/Conjunto"),"")))</f>
        <v/>
      </c>
      <c r="J901" t="str">
        <f>IF(G901="","",IF(G901="[FÓRMULA MANUAL]","",IFERROR(AVERAGEIFS(DATOS!$K$2:$K$20000,DATOS!$A$2:$A$20000,G901,DATOS!$G$2:$G$20000,CONFIG_METADATA!$B$4,DATOS!$I$2:$I$20000,"Conjunto"),"")))</f>
        <v/>
      </c>
      <c r="K901" t="str">
        <f>IF(G901="","",IF(G901="[FÓRMULA MANUAL]","",IFERROR(SUMPRODUCT((DATOS!$A$2:$A$20000=G901)*(DATOS!$G$2:$G$20000=CONFIG_METADATA!$B$4)*(COUNTIF(CONFIG_ASIGNATURAS!$B$7:$B$27,DATOS!$I$2:$I$20000)&gt;0)*(DATOS!$K$2:$K$20000))/SUMPRODUCT((DATOS!$A$2:$A$20000=G901)*(DATOS!$G$2:$G$20000=CONFIG_METADATA!$B$4)*(COUNTIF(CONFIG_ASIGNATURAS!$B$7:$B$27,DATOS!$I$2:$I$20000)&gt;0)*1),"")))</f>
        <v/>
      </c>
      <c r="N901" t="str">
        <f>IF(M901="","",IF(M901="[FÓRMULA MANUAL]","",IFERROR(AVERAGEIFS(DATOS!$K$2:$K$20000,DATOS!$A$2:$A$20000,M901,DATOS!$G$2:$G$20000,CONFIG_METADATA!$B$4,DATOS!$I$2:$I$20000,"Armonía"),"")))</f>
        <v/>
      </c>
      <c r="O901" t="str">
        <f>IF(M901="","",IF(M901="[FÓRMULA MANUAL]","",IFERROR(AVERAGEIFS(DATOS!$K$2:$K$20000,DATOS!$A$2:$A$20000,M901,DATOS!$G$2:$G$20000,CONFIG_METADATA!$B$4,DATOS!$I$2:$I$20000,"Orquesta/Banda/Conjunto"),"")))</f>
        <v/>
      </c>
      <c r="P901" t="str">
        <f>IF(M901="","",IF(M901="[FÓRMULA MANUAL]","",IFERROR(AVERAGEIFS(DATOS!$K$2:$K$20000,DATOS!$A$2:$A$20000,M901,DATOS!$G$2:$G$20000,CONFIG_METADATA!$B$4,DATOS!$I$2:$I$20000,"Música de Cámara"),"")))</f>
        <v/>
      </c>
      <c r="Q901" t="str">
        <f>IF(M901="","",IF(M901="[FÓRMULA MANUAL]","",IFERROR(SUMPRODUCT((DATOS!$A$2:$A$20000=M901)*(DATOS!$G$2:$G$20000=CONFIG_METADATA!$B$4)*(COUNTIF(CONFIG_ASIGNATURAS!$B$7:$B$27,DATOS!$I$2:$I$20000)&gt;0)*(DATOS!$K$2:$K$20000))/SUMPRODUCT((DATOS!$A$2:$A$20000=M901)*(DATOS!$G$2:$G$20000=CONFIG_METADATA!$B$4)*(COUNTIF(CONFIG_ASIGNATURAS!$B$7:$B$27,DATOS!$I$2:$I$20000)&gt;0)*1),"")))</f>
        <v/>
      </c>
      <c r="T901" t="str">
        <f>IF(S901="","",IF(S901="[FÓRMULA MANUAL]","",IFERROR(AVERAGEIFS(DATOS!$K$2:$K$20000,DATOS!$A$2:$A$20000,S901,DATOS!$G$2:$G$20000,CONFIG_METADATA!$B$4,DATOS!$I$2:$I$20000,"Armonía"),"")))</f>
        <v/>
      </c>
      <c r="U901" t="str">
        <f>IF(S901="","",IF(S901="[FÓRMULA MANUAL]","",IFERROR(AVERAGEIFS(DATOS!$K$2:$K$20000,DATOS!$A$2:$A$20000,S901,DATOS!$G$2:$G$20000,CONFIG_METADATA!$B$4,DATOS!$I$2:$I$20000,"Orquesta/Banda/Conjunto"),"")))</f>
        <v/>
      </c>
      <c r="V901" t="str">
        <f>IF(S901="","",IF(S901="[FÓRMULA MANUAL]","",IFERROR(AVERAGEIFS(DATOS!$K$2:$K$20000,DATOS!$A$2:$A$20000,S901,DATOS!$G$2:$G$20000,CONFIG_METADATA!$B$4,DATOS!$I$2:$I$20000,"Música de Cámara"),"")))</f>
        <v/>
      </c>
      <c r="W901" t="str">
        <f>IF(S901="","",IF(S901="[FÓRMULA MANUAL]","",IFERROR(SUMPRODUCT((DATOS!$A$2:$A$20000=S901)*(DATOS!$G$2:$G$20000=CONFIG_METADATA!$B$4)*(COUNTIF(CONFIG_ASIGNATURAS!$B$7:$B$27,DATOS!$I$2:$I$20000)&gt;0)*(DATOS!$K$2:$K$20000))/SUMPRODUCT((DATOS!$A$2:$A$20000=S901)*(DATOS!$G$2:$G$20000=CONFIG_METADATA!$B$4)*(COUNTIF(CONFIG_ASIGNATURAS!$B$7:$B$27,DATOS!$I$2:$I$20000)&gt;0)*1),"")))</f>
        <v/>
      </c>
      <c r="Z901" t="str">
        <f>IF(Y901="","",IF(Y901="[FÓRMULA MANUAL]","",IFERROR(AVERAGEIFS(DATOS!$K$2:$K$20000,DATOS!$A$2:$A$20000,Y901,DATOS!$G$2:$G$20000,CONFIG_METADATA!$B$4,DATOS!$I$2:$I$20000,"Análisis"),"")))</f>
        <v/>
      </c>
      <c r="AA901" t="str">
        <f>IF(Y901="","",IF(Y901="[FÓRMULA MANUAL]","",IFERROR(AVERAGEIFS(DATOS!$K$2:$K$20000,DATOS!$A$2:$A$20000,Y901,DATOS!$G$2:$G$20000,CONFIG_METADATA!$B$4,DATOS!$I$2:$I$20000,"Orquesta/Banda/Conjunto"),"")))</f>
        <v/>
      </c>
      <c r="AB901" t="str">
        <f>IF(Y901="","",IF(Y901="[FÓRMULA MANUAL]","",IFERROR(AVERAGEIFS(DATOS!$K$2:$K$20000,DATOS!$A$2:$A$20000,Y901,DATOS!$G$2:$G$20000,CONFIG_METADATA!$B$4,DATOS!$I$2:$I$20000,"Música de Cámara"),"")))</f>
        <v/>
      </c>
      <c r="AC901" t="str">
        <f>IF(Y901="","",IF(Y901="[FÓRMULA MANUAL]","",IFERROR(SUMPRODUCT((DATOS!$A$2:$A$20000=Y901)*(DATOS!$G$2:$G$20000=CONFIG_METADATA!$B$4)*(COUNTIF(CONFIG_ASIGNATURAS!$B$7:$B$27,DATOS!$I$2:$I$20000)&gt;0)*(DATOS!$K$2:$K$20000))/SUMPRODUCT((DATOS!$A$2:$A$20000=Y901)*(DATOS!$G$2:$G$20000=CONFIG_METADATA!$B$4)*(COUNTIF(CONFIG_ASIGNATURAS!$B$7:$B$27,DATOS!$I$2:$I$20000)&gt;0)*1),"")))</f>
        <v/>
      </c>
      <c r="AF901" t="str">
        <f>IF(AE901="","",IF(AE901="[FÓRMULA MANUAL]","",IFERROR(AVERAGEIFS(DATOS!$K$2:$K$20000,DATOS!$A$2:$A$20000,AE901,DATOS!$G$2:$G$20000,CONFIG_METADATA!$B$4,DATOS!$I$2:$I$20000,"Análisis"),"")))</f>
        <v/>
      </c>
      <c r="AG901" t="str">
        <f>IF(AE901="","",IF(AE901="[FÓRMULA MANUAL]","",IFERROR(AVERAGEIFS(DATOS!$K$2:$K$20000,DATOS!$A$2:$A$20000,AE901,DATOS!$G$2:$G$20000,CONFIG_METADATA!$B$4,DATOS!$I$2:$I$20000,"Orquesta/Banda/Conjunto"),"")))</f>
        <v/>
      </c>
      <c r="AH901" t="str">
        <f>IF(AE901="","",IF(AE901="[FÓRMULA MANUAL]","",IFERROR(AVERAGEIFS(DATOS!$K$2:$K$20000,DATOS!$A$2:$A$20000,AE901,DATOS!$G$2:$G$20000,CONFIG_METADATA!$B$4,DATOS!$I$2:$I$20000,"Música de Cámara"),"")))</f>
        <v/>
      </c>
      <c r="AI901" t="str">
        <f>IF(AE901="","",IF(AE901="[FÓRMULA MANUAL]","",IFERROR(SUMPRODUCT((DATOS!$A$2:$A$20000=AE901)*(DATOS!$G$2:$G$20000=CONFIG_METADATA!$B$4)*(COUNTIF(CONFIG_ASIGNATURAS!$B$7:$B$27,DATOS!$I$2:$I$20000)&gt;0)*(DATOS!$K$2:$K$20000))/SUMPRODUCT((DATOS!$A$2:$A$20000=AE901)*(DATOS!$G$2:$G$20000=CONFIG_METADATA!$B$4)*(COUNTIF(CONFIG_ASIGNATURAS!$B$7:$B$27,DATOS!$I$2:$I$20000)&gt;0)*1),"")))</f>
        <v/>
      </c>
    </row>
    <row r="902" spans="2:35" x14ac:dyDescent="0.2">
      <c r="B902" t="str">
        <f>IF(A902="","",IF(A902="[FÓRMULA MANUAL]","",IFERROR(AVERAGEIFS(DATOS!$K$2:$K$20000,DATOS!$A$2:$A$20000,A902,DATOS!$G$2:$G$20000,CONFIG_METADATA!$B$4,DATOS!$I$2:$I$20000,"Lenguaje Musical"),"")))</f>
        <v/>
      </c>
      <c r="C902" t="str">
        <f>IF(A902="","",IF(A902="[FÓRMULA MANUAL]","",IFERROR(AVERAGEIFS(DATOS!$K$2:$K$20000,DATOS!$A$2:$A$20000,A902,DATOS!$G$2:$G$20000,CONFIG_METADATA!$B$4,DATOS!$I$2:$I$20000,"Orquesta/Banda/Conjunto"),"")))</f>
        <v/>
      </c>
      <c r="D902" t="str">
        <f>IF(A902="","",IF(A902="[FÓRMULA MANUAL]","",IFERROR(AVERAGEIFS(DATOS!$K$2:$K$20000,DATOS!$A$2:$A$20000,A902,DATOS!$G$2:$G$20000,CONFIG_METADATA!$B$4,DATOS!$I$2:$I$20000,"Conjunto"),"")))</f>
        <v/>
      </c>
      <c r="E902" t="str">
        <f>IF(A902="","",IF(A902="[FÓRMULA MANUAL]","",IFERROR(SUMPRODUCT((DATOS!$A$2:$A$20000=A902)*(DATOS!$G$2:$G$20000=CONFIG_METADATA!$B$4)*(COUNTIF(CONFIG_ASIGNATURAS!$B$7:$B$27,DATOS!$I$2:$I$20000)&gt;0)*(DATOS!$K$2:$K$20000))/SUMPRODUCT((DATOS!$A$2:$A$20000=A902)*(DATOS!$G$2:$G$20000=CONFIG_METADATA!$B$4)*(COUNTIF(CONFIG_ASIGNATURAS!$B$7:$B$27,DATOS!$I$2:$I$20000)&gt;0)*1),"")))</f>
        <v/>
      </c>
      <c r="H902" t="str">
        <f>IF(G902="","",IF(G902="[FÓRMULA MANUAL]","",IFERROR(AVERAGEIFS(DATOS!$K$2:$K$20000,DATOS!$A$2:$A$20000,G902,DATOS!$G$2:$G$20000,CONFIG_METADATA!$B$4,DATOS!$I$2:$I$20000,"Lenguaje Musical"),"")))</f>
        <v/>
      </c>
      <c r="I902" t="str">
        <f>IF(G902="","",IF(G902="[FÓRMULA MANUAL]","",IFERROR(AVERAGEIFS(DATOS!$K$2:$K$20000,DATOS!$A$2:$A$20000,G902,DATOS!$G$2:$G$20000,CONFIG_METADATA!$B$4,DATOS!$I$2:$I$20000,"Orquesta/Banda/Conjunto"),"")))</f>
        <v/>
      </c>
      <c r="J902" t="str">
        <f>IF(G902="","",IF(G902="[FÓRMULA MANUAL]","",IFERROR(AVERAGEIFS(DATOS!$K$2:$K$20000,DATOS!$A$2:$A$20000,G902,DATOS!$G$2:$G$20000,CONFIG_METADATA!$B$4,DATOS!$I$2:$I$20000,"Conjunto"),"")))</f>
        <v/>
      </c>
      <c r="K902" t="str">
        <f>IF(G902="","",IF(G902="[FÓRMULA MANUAL]","",IFERROR(SUMPRODUCT((DATOS!$A$2:$A$20000=G902)*(DATOS!$G$2:$G$20000=CONFIG_METADATA!$B$4)*(COUNTIF(CONFIG_ASIGNATURAS!$B$7:$B$27,DATOS!$I$2:$I$20000)&gt;0)*(DATOS!$K$2:$K$20000))/SUMPRODUCT((DATOS!$A$2:$A$20000=G902)*(DATOS!$G$2:$G$20000=CONFIG_METADATA!$B$4)*(COUNTIF(CONFIG_ASIGNATURAS!$B$7:$B$27,DATOS!$I$2:$I$20000)&gt;0)*1),"")))</f>
        <v/>
      </c>
      <c r="N902" t="str">
        <f>IF(M902="","",IF(M902="[FÓRMULA MANUAL]","",IFERROR(AVERAGEIFS(DATOS!$K$2:$K$20000,DATOS!$A$2:$A$20000,M902,DATOS!$G$2:$G$20000,CONFIG_METADATA!$B$4,DATOS!$I$2:$I$20000,"Armonía"),"")))</f>
        <v/>
      </c>
      <c r="O902" t="str">
        <f>IF(M902="","",IF(M902="[FÓRMULA MANUAL]","",IFERROR(AVERAGEIFS(DATOS!$K$2:$K$20000,DATOS!$A$2:$A$20000,M902,DATOS!$G$2:$G$20000,CONFIG_METADATA!$B$4,DATOS!$I$2:$I$20000,"Orquesta/Banda/Conjunto"),"")))</f>
        <v/>
      </c>
      <c r="P902" t="str">
        <f>IF(M902="","",IF(M902="[FÓRMULA MANUAL]","",IFERROR(AVERAGEIFS(DATOS!$K$2:$K$20000,DATOS!$A$2:$A$20000,M902,DATOS!$G$2:$G$20000,CONFIG_METADATA!$B$4,DATOS!$I$2:$I$20000,"Música de Cámara"),"")))</f>
        <v/>
      </c>
      <c r="Q902" t="str">
        <f>IF(M902="","",IF(M902="[FÓRMULA MANUAL]","",IFERROR(SUMPRODUCT((DATOS!$A$2:$A$20000=M902)*(DATOS!$G$2:$G$20000=CONFIG_METADATA!$B$4)*(COUNTIF(CONFIG_ASIGNATURAS!$B$7:$B$27,DATOS!$I$2:$I$20000)&gt;0)*(DATOS!$K$2:$K$20000))/SUMPRODUCT((DATOS!$A$2:$A$20000=M902)*(DATOS!$G$2:$G$20000=CONFIG_METADATA!$B$4)*(COUNTIF(CONFIG_ASIGNATURAS!$B$7:$B$27,DATOS!$I$2:$I$20000)&gt;0)*1),"")))</f>
        <v/>
      </c>
      <c r="T902" t="str">
        <f>IF(S902="","",IF(S902="[FÓRMULA MANUAL]","",IFERROR(AVERAGEIFS(DATOS!$K$2:$K$20000,DATOS!$A$2:$A$20000,S902,DATOS!$G$2:$G$20000,CONFIG_METADATA!$B$4,DATOS!$I$2:$I$20000,"Armonía"),"")))</f>
        <v/>
      </c>
      <c r="U902" t="str">
        <f>IF(S902="","",IF(S902="[FÓRMULA MANUAL]","",IFERROR(AVERAGEIFS(DATOS!$K$2:$K$20000,DATOS!$A$2:$A$20000,S902,DATOS!$G$2:$G$20000,CONFIG_METADATA!$B$4,DATOS!$I$2:$I$20000,"Orquesta/Banda/Conjunto"),"")))</f>
        <v/>
      </c>
      <c r="V902" t="str">
        <f>IF(S902="","",IF(S902="[FÓRMULA MANUAL]","",IFERROR(AVERAGEIFS(DATOS!$K$2:$K$20000,DATOS!$A$2:$A$20000,S902,DATOS!$G$2:$G$20000,CONFIG_METADATA!$B$4,DATOS!$I$2:$I$20000,"Música de Cámara"),"")))</f>
        <v/>
      </c>
      <c r="W902" t="str">
        <f>IF(S902="","",IF(S902="[FÓRMULA MANUAL]","",IFERROR(SUMPRODUCT((DATOS!$A$2:$A$20000=S902)*(DATOS!$G$2:$G$20000=CONFIG_METADATA!$B$4)*(COUNTIF(CONFIG_ASIGNATURAS!$B$7:$B$27,DATOS!$I$2:$I$20000)&gt;0)*(DATOS!$K$2:$K$20000))/SUMPRODUCT((DATOS!$A$2:$A$20000=S902)*(DATOS!$G$2:$G$20000=CONFIG_METADATA!$B$4)*(COUNTIF(CONFIG_ASIGNATURAS!$B$7:$B$27,DATOS!$I$2:$I$20000)&gt;0)*1),"")))</f>
        <v/>
      </c>
      <c r="Z902" t="str">
        <f>IF(Y902="","",IF(Y902="[FÓRMULA MANUAL]","",IFERROR(AVERAGEIFS(DATOS!$K$2:$K$20000,DATOS!$A$2:$A$20000,Y902,DATOS!$G$2:$G$20000,CONFIG_METADATA!$B$4,DATOS!$I$2:$I$20000,"Análisis"),"")))</f>
        <v/>
      </c>
      <c r="AA902" t="str">
        <f>IF(Y902="","",IF(Y902="[FÓRMULA MANUAL]","",IFERROR(AVERAGEIFS(DATOS!$K$2:$K$20000,DATOS!$A$2:$A$20000,Y902,DATOS!$G$2:$G$20000,CONFIG_METADATA!$B$4,DATOS!$I$2:$I$20000,"Orquesta/Banda/Conjunto"),"")))</f>
        <v/>
      </c>
      <c r="AB902" t="str">
        <f>IF(Y902="","",IF(Y902="[FÓRMULA MANUAL]","",IFERROR(AVERAGEIFS(DATOS!$K$2:$K$20000,DATOS!$A$2:$A$20000,Y902,DATOS!$G$2:$G$20000,CONFIG_METADATA!$B$4,DATOS!$I$2:$I$20000,"Música de Cámara"),"")))</f>
        <v/>
      </c>
      <c r="AC902" t="str">
        <f>IF(Y902="","",IF(Y902="[FÓRMULA MANUAL]","",IFERROR(SUMPRODUCT((DATOS!$A$2:$A$20000=Y902)*(DATOS!$G$2:$G$20000=CONFIG_METADATA!$B$4)*(COUNTIF(CONFIG_ASIGNATURAS!$B$7:$B$27,DATOS!$I$2:$I$20000)&gt;0)*(DATOS!$K$2:$K$20000))/SUMPRODUCT((DATOS!$A$2:$A$20000=Y902)*(DATOS!$G$2:$G$20000=CONFIG_METADATA!$B$4)*(COUNTIF(CONFIG_ASIGNATURAS!$B$7:$B$27,DATOS!$I$2:$I$20000)&gt;0)*1),"")))</f>
        <v/>
      </c>
      <c r="AF902" t="str">
        <f>IF(AE902="","",IF(AE902="[FÓRMULA MANUAL]","",IFERROR(AVERAGEIFS(DATOS!$K$2:$K$20000,DATOS!$A$2:$A$20000,AE902,DATOS!$G$2:$G$20000,CONFIG_METADATA!$B$4,DATOS!$I$2:$I$20000,"Análisis"),"")))</f>
        <v/>
      </c>
      <c r="AG902" t="str">
        <f>IF(AE902="","",IF(AE902="[FÓRMULA MANUAL]","",IFERROR(AVERAGEIFS(DATOS!$K$2:$K$20000,DATOS!$A$2:$A$20000,AE902,DATOS!$G$2:$G$20000,CONFIG_METADATA!$B$4,DATOS!$I$2:$I$20000,"Orquesta/Banda/Conjunto"),"")))</f>
        <v/>
      </c>
      <c r="AH902" t="str">
        <f>IF(AE902="","",IF(AE902="[FÓRMULA MANUAL]","",IFERROR(AVERAGEIFS(DATOS!$K$2:$K$20000,DATOS!$A$2:$A$20000,AE902,DATOS!$G$2:$G$20000,CONFIG_METADATA!$B$4,DATOS!$I$2:$I$20000,"Música de Cámara"),"")))</f>
        <v/>
      </c>
      <c r="AI902" t="str">
        <f>IF(AE902="","",IF(AE902="[FÓRMULA MANUAL]","",IFERROR(SUMPRODUCT((DATOS!$A$2:$A$20000=AE902)*(DATOS!$G$2:$G$20000=CONFIG_METADATA!$B$4)*(COUNTIF(CONFIG_ASIGNATURAS!$B$7:$B$27,DATOS!$I$2:$I$20000)&gt;0)*(DATOS!$K$2:$K$20000))/SUMPRODUCT((DATOS!$A$2:$A$20000=AE902)*(DATOS!$G$2:$G$20000=CONFIG_METADATA!$B$4)*(COUNTIF(CONFIG_ASIGNATURAS!$B$7:$B$27,DATOS!$I$2:$I$20000)&gt;0)*1),"")))</f>
        <v/>
      </c>
    </row>
    <row r="903" spans="2:35" x14ac:dyDescent="0.2">
      <c r="B903" t="str">
        <f>IF(A903="","",IF(A903="[FÓRMULA MANUAL]","",IFERROR(AVERAGEIFS(DATOS!$K$2:$K$20000,DATOS!$A$2:$A$20000,A903,DATOS!$G$2:$G$20000,CONFIG_METADATA!$B$4,DATOS!$I$2:$I$20000,"Lenguaje Musical"),"")))</f>
        <v/>
      </c>
      <c r="C903" t="str">
        <f>IF(A903="","",IF(A903="[FÓRMULA MANUAL]","",IFERROR(AVERAGEIFS(DATOS!$K$2:$K$20000,DATOS!$A$2:$A$20000,A903,DATOS!$G$2:$G$20000,CONFIG_METADATA!$B$4,DATOS!$I$2:$I$20000,"Orquesta/Banda/Conjunto"),"")))</f>
        <v/>
      </c>
      <c r="D903" t="str">
        <f>IF(A903="","",IF(A903="[FÓRMULA MANUAL]","",IFERROR(AVERAGEIFS(DATOS!$K$2:$K$20000,DATOS!$A$2:$A$20000,A903,DATOS!$G$2:$G$20000,CONFIG_METADATA!$B$4,DATOS!$I$2:$I$20000,"Conjunto"),"")))</f>
        <v/>
      </c>
      <c r="E903" t="str">
        <f>IF(A903="","",IF(A903="[FÓRMULA MANUAL]","",IFERROR(SUMPRODUCT((DATOS!$A$2:$A$20000=A903)*(DATOS!$G$2:$G$20000=CONFIG_METADATA!$B$4)*(COUNTIF(CONFIG_ASIGNATURAS!$B$7:$B$27,DATOS!$I$2:$I$20000)&gt;0)*(DATOS!$K$2:$K$20000))/SUMPRODUCT((DATOS!$A$2:$A$20000=A903)*(DATOS!$G$2:$G$20000=CONFIG_METADATA!$B$4)*(COUNTIF(CONFIG_ASIGNATURAS!$B$7:$B$27,DATOS!$I$2:$I$20000)&gt;0)*1),"")))</f>
        <v/>
      </c>
      <c r="H903" t="str">
        <f>IF(G903="","",IF(G903="[FÓRMULA MANUAL]","",IFERROR(AVERAGEIFS(DATOS!$K$2:$K$20000,DATOS!$A$2:$A$20000,G903,DATOS!$G$2:$G$20000,CONFIG_METADATA!$B$4,DATOS!$I$2:$I$20000,"Lenguaje Musical"),"")))</f>
        <v/>
      </c>
      <c r="I903" t="str">
        <f>IF(G903="","",IF(G903="[FÓRMULA MANUAL]","",IFERROR(AVERAGEIFS(DATOS!$K$2:$K$20000,DATOS!$A$2:$A$20000,G903,DATOS!$G$2:$G$20000,CONFIG_METADATA!$B$4,DATOS!$I$2:$I$20000,"Orquesta/Banda/Conjunto"),"")))</f>
        <v/>
      </c>
      <c r="J903" t="str">
        <f>IF(G903="","",IF(G903="[FÓRMULA MANUAL]","",IFERROR(AVERAGEIFS(DATOS!$K$2:$K$20000,DATOS!$A$2:$A$20000,G903,DATOS!$G$2:$G$20000,CONFIG_METADATA!$B$4,DATOS!$I$2:$I$20000,"Conjunto"),"")))</f>
        <v/>
      </c>
      <c r="K903" t="str">
        <f>IF(G903="","",IF(G903="[FÓRMULA MANUAL]","",IFERROR(SUMPRODUCT((DATOS!$A$2:$A$20000=G903)*(DATOS!$G$2:$G$20000=CONFIG_METADATA!$B$4)*(COUNTIF(CONFIG_ASIGNATURAS!$B$7:$B$27,DATOS!$I$2:$I$20000)&gt;0)*(DATOS!$K$2:$K$20000))/SUMPRODUCT((DATOS!$A$2:$A$20000=G903)*(DATOS!$G$2:$G$20000=CONFIG_METADATA!$B$4)*(COUNTIF(CONFIG_ASIGNATURAS!$B$7:$B$27,DATOS!$I$2:$I$20000)&gt;0)*1),"")))</f>
        <v/>
      </c>
      <c r="N903" t="str">
        <f>IF(M903="","",IF(M903="[FÓRMULA MANUAL]","",IFERROR(AVERAGEIFS(DATOS!$K$2:$K$20000,DATOS!$A$2:$A$20000,M903,DATOS!$G$2:$G$20000,CONFIG_METADATA!$B$4,DATOS!$I$2:$I$20000,"Armonía"),"")))</f>
        <v/>
      </c>
      <c r="O903" t="str">
        <f>IF(M903="","",IF(M903="[FÓRMULA MANUAL]","",IFERROR(AVERAGEIFS(DATOS!$K$2:$K$20000,DATOS!$A$2:$A$20000,M903,DATOS!$G$2:$G$20000,CONFIG_METADATA!$B$4,DATOS!$I$2:$I$20000,"Orquesta/Banda/Conjunto"),"")))</f>
        <v/>
      </c>
      <c r="P903" t="str">
        <f>IF(M903="","",IF(M903="[FÓRMULA MANUAL]","",IFERROR(AVERAGEIFS(DATOS!$K$2:$K$20000,DATOS!$A$2:$A$20000,M903,DATOS!$G$2:$G$20000,CONFIG_METADATA!$B$4,DATOS!$I$2:$I$20000,"Música de Cámara"),"")))</f>
        <v/>
      </c>
      <c r="Q903" t="str">
        <f>IF(M903="","",IF(M903="[FÓRMULA MANUAL]","",IFERROR(SUMPRODUCT((DATOS!$A$2:$A$20000=M903)*(DATOS!$G$2:$G$20000=CONFIG_METADATA!$B$4)*(COUNTIF(CONFIG_ASIGNATURAS!$B$7:$B$27,DATOS!$I$2:$I$20000)&gt;0)*(DATOS!$K$2:$K$20000))/SUMPRODUCT((DATOS!$A$2:$A$20000=M903)*(DATOS!$G$2:$G$20000=CONFIG_METADATA!$B$4)*(COUNTIF(CONFIG_ASIGNATURAS!$B$7:$B$27,DATOS!$I$2:$I$20000)&gt;0)*1),"")))</f>
        <v/>
      </c>
      <c r="T903" t="str">
        <f>IF(S903="","",IF(S903="[FÓRMULA MANUAL]","",IFERROR(AVERAGEIFS(DATOS!$K$2:$K$20000,DATOS!$A$2:$A$20000,S903,DATOS!$G$2:$G$20000,CONFIG_METADATA!$B$4,DATOS!$I$2:$I$20000,"Armonía"),"")))</f>
        <v/>
      </c>
      <c r="U903" t="str">
        <f>IF(S903="","",IF(S903="[FÓRMULA MANUAL]","",IFERROR(AVERAGEIFS(DATOS!$K$2:$K$20000,DATOS!$A$2:$A$20000,S903,DATOS!$G$2:$G$20000,CONFIG_METADATA!$B$4,DATOS!$I$2:$I$20000,"Orquesta/Banda/Conjunto"),"")))</f>
        <v/>
      </c>
      <c r="V903" t="str">
        <f>IF(S903="","",IF(S903="[FÓRMULA MANUAL]","",IFERROR(AVERAGEIFS(DATOS!$K$2:$K$20000,DATOS!$A$2:$A$20000,S903,DATOS!$G$2:$G$20000,CONFIG_METADATA!$B$4,DATOS!$I$2:$I$20000,"Música de Cámara"),"")))</f>
        <v/>
      </c>
      <c r="W903" t="str">
        <f>IF(S903="","",IF(S903="[FÓRMULA MANUAL]","",IFERROR(SUMPRODUCT((DATOS!$A$2:$A$20000=S903)*(DATOS!$G$2:$G$20000=CONFIG_METADATA!$B$4)*(COUNTIF(CONFIG_ASIGNATURAS!$B$7:$B$27,DATOS!$I$2:$I$20000)&gt;0)*(DATOS!$K$2:$K$20000))/SUMPRODUCT((DATOS!$A$2:$A$20000=S903)*(DATOS!$G$2:$G$20000=CONFIG_METADATA!$B$4)*(COUNTIF(CONFIG_ASIGNATURAS!$B$7:$B$27,DATOS!$I$2:$I$20000)&gt;0)*1),"")))</f>
        <v/>
      </c>
      <c r="Z903" t="str">
        <f>IF(Y903="","",IF(Y903="[FÓRMULA MANUAL]","",IFERROR(AVERAGEIFS(DATOS!$K$2:$K$20000,DATOS!$A$2:$A$20000,Y903,DATOS!$G$2:$G$20000,CONFIG_METADATA!$B$4,DATOS!$I$2:$I$20000,"Análisis"),"")))</f>
        <v/>
      </c>
      <c r="AA903" t="str">
        <f>IF(Y903="","",IF(Y903="[FÓRMULA MANUAL]","",IFERROR(AVERAGEIFS(DATOS!$K$2:$K$20000,DATOS!$A$2:$A$20000,Y903,DATOS!$G$2:$G$20000,CONFIG_METADATA!$B$4,DATOS!$I$2:$I$20000,"Orquesta/Banda/Conjunto"),"")))</f>
        <v/>
      </c>
      <c r="AB903" t="str">
        <f>IF(Y903="","",IF(Y903="[FÓRMULA MANUAL]","",IFERROR(AVERAGEIFS(DATOS!$K$2:$K$20000,DATOS!$A$2:$A$20000,Y903,DATOS!$G$2:$G$20000,CONFIG_METADATA!$B$4,DATOS!$I$2:$I$20000,"Música de Cámara"),"")))</f>
        <v/>
      </c>
      <c r="AC903" t="str">
        <f>IF(Y903="","",IF(Y903="[FÓRMULA MANUAL]","",IFERROR(SUMPRODUCT((DATOS!$A$2:$A$20000=Y903)*(DATOS!$G$2:$G$20000=CONFIG_METADATA!$B$4)*(COUNTIF(CONFIG_ASIGNATURAS!$B$7:$B$27,DATOS!$I$2:$I$20000)&gt;0)*(DATOS!$K$2:$K$20000))/SUMPRODUCT((DATOS!$A$2:$A$20000=Y903)*(DATOS!$G$2:$G$20000=CONFIG_METADATA!$B$4)*(COUNTIF(CONFIG_ASIGNATURAS!$B$7:$B$27,DATOS!$I$2:$I$20000)&gt;0)*1),"")))</f>
        <v/>
      </c>
      <c r="AF903" t="str">
        <f>IF(AE903="","",IF(AE903="[FÓRMULA MANUAL]","",IFERROR(AVERAGEIFS(DATOS!$K$2:$K$20000,DATOS!$A$2:$A$20000,AE903,DATOS!$G$2:$G$20000,CONFIG_METADATA!$B$4,DATOS!$I$2:$I$20000,"Análisis"),"")))</f>
        <v/>
      </c>
      <c r="AG903" t="str">
        <f>IF(AE903="","",IF(AE903="[FÓRMULA MANUAL]","",IFERROR(AVERAGEIFS(DATOS!$K$2:$K$20000,DATOS!$A$2:$A$20000,AE903,DATOS!$G$2:$G$20000,CONFIG_METADATA!$B$4,DATOS!$I$2:$I$20000,"Orquesta/Banda/Conjunto"),"")))</f>
        <v/>
      </c>
      <c r="AH903" t="str">
        <f>IF(AE903="","",IF(AE903="[FÓRMULA MANUAL]","",IFERROR(AVERAGEIFS(DATOS!$K$2:$K$20000,DATOS!$A$2:$A$20000,AE903,DATOS!$G$2:$G$20000,CONFIG_METADATA!$B$4,DATOS!$I$2:$I$20000,"Música de Cámara"),"")))</f>
        <v/>
      </c>
      <c r="AI903" t="str">
        <f>IF(AE903="","",IF(AE903="[FÓRMULA MANUAL]","",IFERROR(SUMPRODUCT((DATOS!$A$2:$A$20000=AE903)*(DATOS!$G$2:$G$20000=CONFIG_METADATA!$B$4)*(COUNTIF(CONFIG_ASIGNATURAS!$B$7:$B$27,DATOS!$I$2:$I$20000)&gt;0)*(DATOS!$K$2:$K$20000))/SUMPRODUCT((DATOS!$A$2:$A$20000=AE903)*(DATOS!$G$2:$G$20000=CONFIG_METADATA!$B$4)*(COUNTIF(CONFIG_ASIGNATURAS!$B$7:$B$27,DATOS!$I$2:$I$20000)&gt;0)*1),"")))</f>
        <v/>
      </c>
    </row>
    <row r="904" spans="2:35" x14ac:dyDescent="0.2">
      <c r="B904" t="str">
        <f>IF(A904="","",IF(A904="[FÓRMULA MANUAL]","",IFERROR(AVERAGEIFS(DATOS!$K$2:$K$20000,DATOS!$A$2:$A$20000,A904,DATOS!$G$2:$G$20000,CONFIG_METADATA!$B$4,DATOS!$I$2:$I$20000,"Lenguaje Musical"),"")))</f>
        <v/>
      </c>
      <c r="C904" t="str">
        <f>IF(A904="","",IF(A904="[FÓRMULA MANUAL]","",IFERROR(AVERAGEIFS(DATOS!$K$2:$K$20000,DATOS!$A$2:$A$20000,A904,DATOS!$G$2:$G$20000,CONFIG_METADATA!$B$4,DATOS!$I$2:$I$20000,"Orquesta/Banda/Conjunto"),"")))</f>
        <v/>
      </c>
      <c r="D904" t="str">
        <f>IF(A904="","",IF(A904="[FÓRMULA MANUAL]","",IFERROR(AVERAGEIFS(DATOS!$K$2:$K$20000,DATOS!$A$2:$A$20000,A904,DATOS!$G$2:$G$20000,CONFIG_METADATA!$B$4,DATOS!$I$2:$I$20000,"Conjunto"),"")))</f>
        <v/>
      </c>
      <c r="E904" t="str">
        <f>IF(A904="","",IF(A904="[FÓRMULA MANUAL]","",IFERROR(SUMPRODUCT((DATOS!$A$2:$A$20000=A904)*(DATOS!$G$2:$G$20000=CONFIG_METADATA!$B$4)*(COUNTIF(CONFIG_ASIGNATURAS!$B$7:$B$27,DATOS!$I$2:$I$20000)&gt;0)*(DATOS!$K$2:$K$20000))/SUMPRODUCT((DATOS!$A$2:$A$20000=A904)*(DATOS!$G$2:$G$20000=CONFIG_METADATA!$B$4)*(COUNTIF(CONFIG_ASIGNATURAS!$B$7:$B$27,DATOS!$I$2:$I$20000)&gt;0)*1),"")))</f>
        <v/>
      </c>
      <c r="H904" t="str">
        <f>IF(G904="","",IF(G904="[FÓRMULA MANUAL]","",IFERROR(AVERAGEIFS(DATOS!$K$2:$K$20000,DATOS!$A$2:$A$20000,G904,DATOS!$G$2:$G$20000,CONFIG_METADATA!$B$4,DATOS!$I$2:$I$20000,"Lenguaje Musical"),"")))</f>
        <v/>
      </c>
      <c r="I904" t="str">
        <f>IF(G904="","",IF(G904="[FÓRMULA MANUAL]","",IFERROR(AVERAGEIFS(DATOS!$K$2:$K$20000,DATOS!$A$2:$A$20000,G904,DATOS!$G$2:$G$20000,CONFIG_METADATA!$B$4,DATOS!$I$2:$I$20000,"Orquesta/Banda/Conjunto"),"")))</f>
        <v/>
      </c>
      <c r="J904" t="str">
        <f>IF(G904="","",IF(G904="[FÓRMULA MANUAL]","",IFERROR(AVERAGEIFS(DATOS!$K$2:$K$20000,DATOS!$A$2:$A$20000,G904,DATOS!$G$2:$G$20000,CONFIG_METADATA!$B$4,DATOS!$I$2:$I$20000,"Conjunto"),"")))</f>
        <v/>
      </c>
      <c r="K904" t="str">
        <f>IF(G904="","",IF(G904="[FÓRMULA MANUAL]","",IFERROR(SUMPRODUCT((DATOS!$A$2:$A$20000=G904)*(DATOS!$G$2:$G$20000=CONFIG_METADATA!$B$4)*(COUNTIF(CONFIG_ASIGNATURAS!$B$7:$B$27,DATOS!$I$2:$I$20000)&gt;0)*(DATOS!$K$2:$K$20000))/SUMPRODUCT((DATOS!$A$2:$A$20000=G904)*(DATOS!$G$2:$G$20000=CONFIG_METADATA!$B$4)*(COUNTIF(CONFIG_ASIGNATURAS!$B$7:$B$27,DATOS!$I$2:$I$20000)&gt;0)*1),"")))</f>
        <v/>
      </c>
      <c r="N904" t="str">
        <f>IF(M904="","",IF(M904="[FÓRMULA MANUAL]","",IFERROR(AVERAGEIFS(DATOS!$K$2:$K$20000,DATOS!$A$2:$A$20000,M904,DATOS!$G$2:$G$20000,CONFIG_METADATA!$B$4,DATOS!$I$2:$I$20000,"Armonía"),"")))</f>
        <v/>
      </c>
      <c r="O904" t="str">
        <f>IF(M904="","",IF(M904="[FÓRMULA MANUAL]","",IFERROR(AVERAGEIFS(DATOS!$K$2:$K$20000,DATOS!$A$2:$A$20000,M904,DATOS!$G$2:$G$20000,CONFIG_METADATA!$B$4,DATOS!$I$2:$I$20000,"Orquesta/Banda/Conjunto"),"")))</f>
        <v/>
      </c>
      <c r="P904" t="str">
        <f>IF(M904="","",IF(M904="[FÓRMULA MANUAL]","",IFERROR(AVERAGEIFS(DATOS!$K$2:$K$20000,DATOS!$A$2:$A$20000,M904,DATOS!$G$2:$G$20000,CONFIG_METADATA!$B$4,DATOS!$I$2:$I$20000,"Música de Cámara"),"")))</f>
        <v/>
      </c>
      <c r="Q904" t="str">
        <f>IF(M904="","",IF(M904="[FÓRMULA MANUAL]","",IFERROR(SUMPRODUCT((DATOS!$A$2:$A$20000=M904)*(DATOS!$G$2:$G$20000=CONFIG_METADATA!$B$4)*(COUNTIF(CONFIG_ASIGNATURAS!$B$7:$B$27,DATOS!$I$2:$I$20000)&gt;0)*(DATOS!$K$2:$K$20000))/SUMPRODUCT((DATOS!$A$2:$A$20000=M904)*(DATOS!$G$2:$G$20000=CONFIG_METADATA!$B$4)*(COUNTIF(CONFIG_ASIGNATURAS!$B$7:$B$27,DATOS!$I$2:$I$20000)&gt;0)*1),"")))</f>
        <v/>
      </c>
      <c r="T904" t="str">
        <f>IF(S904="","",IF(S904="[FÓRMULA MANUAL]","",IFERROR(AVERAGEIFS(DATOS!$K$2:$K$20000,DATOS!$A$2:$A$20000,S904,DATOS!$G$2:$G$20000,CONFIG_METADATA!$B$4,DATOS!$I$2:$I$20000,"Armonía"),"")))</f>
        <v/>
      </c>
      <c r="U904" t="str">
        <f>IF(S904="","",IF(S904="[FÓRMULA MANUAL]","",IFERROR(AVERAGEIFS(DATOS!$K$2:$K$20000,DATOS!$A$2:$A$20000,S904,DATOS!$G$2:$G$20000,CONFIG_METADATA!$B$4,DATOS!$I$2:$I$20000,"Orquesta/Banda/Conjunto"),"")))</f>
        <v/>
      </c>
      <c r="V904" t="str">
        <f>IF(S904="","",IF(S904="[FÓRMULA MANUAL]","",IFERROR(AVERAGEIFS(DATOS!$K$2:$K$20000,DATOS!$A$2:$A$20000,S904,DATOS!$G$2:$G$20000,CONFIG_METADATA!$B$4,DATOS!$I$2:$I$20000,"Música de Cámara"),"")))</f>
        <v/>
      </c>
      <c r="W904" t="str">
        <f>IF(S904="","",IF(S904="[FÓRMULA MANUAL]","",IFERROR(SUMPRODUCT((DATOS!$A$2:$A$20000=S904)*(DATOS!$G$2:$G$20000=CONFIG_METADATA!$B$4)*(COUNTIF(CONFIG_ASIGNATURAS!$B$7:$B$27,DATOS!$I$2:$I$20000)&gt;0)*(DATOS!$K$2:$K$20000))/SUMPRODUCT((DATOS!$A$2:$A$20000=S904)*(DATOS!$G$2:$G$20000=CONFIG_METADATA!$B$4)*(COUNTIF(CONFIG_ASIGNATURAS!$B$7:$B$27,DATOS!$I$2:$I$20000)&gt;0)*1),"")))</f>
        <v/>
      </c>
      <c r="Z904" t="str">
        <f>IF(Y904="","",IF(Y904="[FÓRMULA MANUAL]","",IFERROR(AVERAGEIFS(DATOS!$K$2:$K$20000,DATOS!$A$2:$A$20000,Y904,DATOS!$G$2:$G$20000,CONFIG_METADATA!$B$4,DATOS!$I$2:$I$20000,"Análisis"),"")))</f>
        <v/>
      </c>
      <c r="AA904" t="str">
        <f>IF(Y904="","",IF(Y904="[FÓRMULA MANUAL]","",IFERROR(AVERAGEIFS(DATOS!$K$2:$K$20000,DATOS!$A$2:$A$20000,Y904,DATOS!$G$2:$G$20000,CONFIG_METADATA!$B$4,DATOS!$I$2:$I$20000,"Orquesta/Banda/Conjunto"),"")))</f>
        <v/>
      </c>
      <c r="AB904" t="str">
        <f>IF(Y904="","",IF(Y904="[FÓRMULA MANUAL]","",IFERROR(AVERAGEIFS(DATOS!$K$2:$K$20000,DATOS!$A$2:$A$20000,Y904,DATOS!$G$2:$G$20000,CONFIG_METADATA!$B$4,DATOS!$I$2:$I$20000,"Música de Cámara"),"")))</f>
        <v/>
      </c>
      <c r="AC904" t="str">
        <f>IF(Y904="","",IF(Y904="[FÓRMULA MANUAL]","",IFERROR(SUMPRODUCT((DATOS!$A$2:$A$20000=Y904)*(DATOS!$G$2:$G$20000=CONFIG_METADATA!$B$4)*(COUNTIF(CONFIG_ASIGNATURAS!$B$7:$B$27,DATOS!$I$2:$I$20000)&gt;0)*(DATOS!$K$2:$K$20000))/SUMPRODUCT((DATOS!$A$2:$A$20000=Y904)*(DATOS!$G$2:$G$20000=CONFIG_METADATA!$B$4)*(COUNTIF(CONFIG_ASIGNATURAS!$B$7:$B$27,DATOS!$I$2:$I$20000)&gt;0)*1),"")))</f>
        <v/>
      </c>
      <c r="AF904" t="str">
        <f>IF(AE904="","",IF(AE904="[FÓRMULA MANUAL]","",IFERROR(AVERAGEIFS(DATOS!$K$2:$K$20000,DATOS!$A$2:$A$20000,AE904,DATOS!$G$2:$G$20000,CONFIG_METADATA!$B$4,DATOS!$I$2:$I$20000,"Análisis"),"")))</f>
        <v/>
      </c>
      <c r="AG904" t="str">
        <f>IF(AE904="","",IF(AE904="[FÓRMULA MANUAL]","",IFERROR(AVERAGEIFS(DATOS!$K$2:$K$20000,DATOS!$A$2:$A$20000,AE904,DATOS!$G$2:$G$20000,CONFIG_METADATA!$B$4,DATOS!$I$2:$I$20000,"Orquesta/Banda/Conjunto"),"")))</f>
        <v/>
      </c>
      <c r="AH904" t="str">
        <f>IF(AE904="","",IF(AE904="[FÓRMULA MANUAL]","",IFERROR(AVERAGEIFS(DATOS!$K$2:$K$20000,DATOS!$A$2:$A$20000,AE904,DATOS!$G$2:$G$20000,CONFIG_METADATA!$B$4,DATOS!$I$2:$I$20000,"Música de Cámara"),"")))</f>
        <v/>
      </c>
      <c r="AI904" t="str">
        <f>IF(AE904="","",IF(AE904="[FÓRMULA MANUAL]","",IFERROR(SUMPRODUCT((DATOS!$A$2:$A$20000=AE904)*(DATOS!$G$2:$G$20000=CONFIG_METADATA!$B$4)*(COUNTIF(CONFIG_ASIGNATURAS!$B$7:$B$27,DATOS!$I$2:$I$20000)&gt;0)*(DATOS!$K$2:$K$20000))/SUMPRODUCT((DATOS!$A$2:$A$20000=AE904)*(DATOS!$G$2:$G$20000=CONFIG_METADATA!$B$4)*(COUNTIF(CONFIG_ASIGNATURAS!$B$7:$B$27,DATOS!$I$2:$I$20000)&gt;0)*1),"")))</f>
        <v/>
      </c>
    </row>
    <row r="905" spans="2:35" x14ac:dyDescent="0.2">
      <c r="B905" t="str">
        <f>IF(A905="","",IF(A905="[FÓRMULA MANUAL]","",IFERROR(AVERAGEIFS(DATOS!$K$2:$K$20000,DATOS!$A$2:$A$20000,A905,DATOS!$G$2:$G$20000,CONFIG_METADATA!$B$4,DATOS!$I$2:$I$20000,"Lenguaje Musical"),"")))</f>
        <v/>
      </c>
      <c r="C905" t="str">
        <f>IF(A905="","",IF(A905="[FÓRMULA MANUAL]","",IFERROR(AVERAGEIFS(DATOS!$K$2:$K$20000,DATOS!$A$2:$A$20000,A905,DATOS!$G$2:$G$20000,CONFIG_METADATA!$B$4,DATOS!$I$2:$I$20000,"Orquesta/Banda/Conjunto"),"")))</f>
        <v/>
      </c>
      <c r="D905" t="str">
        <f>IF(A905="","",IF(A905="[FÓRMULA MANUAL]","",IFERROR(AVERAGEIFS(DATOS!$K$2:$K$20000,DATOS!$A$2:$A$20000,A905,DATOS!$G$2:$G$20000,CONFIG_METADATA!$B$4,DATOS!$I$2:$I$20000,"Conjunto"),"")))</f>
        <v/>
      </c>
      <c r="E905" t="str">
        <f>IF(A905="","",IF(A905="[FÓRMULA MANUAL]","",IFERROR(SUMPRODUCT((DATOS!$A$2:$A$20000=A905)*(DATOS!$G$2:$G$20000=CONFIG_METADATA!$B$4)*(COUNTIF(CONFIG_ASIGNATURAS!$B$7:$B$27,DATOS!$I$2:$I$20000)&gt;0)*(DATOS!$K$2:$K$20000))/SUMPRODUCT((DATOS!$A$2:$A$20000=A905)*(DATOS!$G$2:$G$20000=CONFIG_METADATA!$B$4)*(COUNTIF(CONFIG_ASIGNATURAS!$B$7:$B$27,DATOS!$I$2:$I$20000)&gt;0)*1),"")))</f>
        <v/>
      </c>
      <c r="H905" t="str">
        <f>IF(G905="","",IF(G905="[FÓRMULA MANUAL]","",IFERROR(AVERAGEIFS(DATOS!$K$2:$K$20000,DATOS!$A$2:$A$20000,G905,DATOS!$G$2:$G$20000,CONFIG_METADATA!$B$4,DATOS!$I$2:$I$20000,"Lenguaje Musical"),"")))</f>
        <v/>
      </c>
      <c r="I905" t="str">
        <f>IF(G905="","",IF(G905="[FÓRMULA MANUAL]","",IFERROR(AVERAGEIFS(DATOS!$K$2:$K$20000,DATOS!$A$2:$A$20000,G905,DATOS!$G$2:$G$20000,CONFIG_METADATA!$B$4,DATOS!$I$2:$I$20000,"Orquesta/Banda/Conjunto"),"")))</f>
        <v/>
      </c>
      <c r="J905" t="str">
        <f>IF(G905="","",IF(G905="[FÓRMULA MANUAL]","",IFERROR(AVERAGEIFS(DATOS!$K$2:$K$20000,DATOS!$A$2:$A$20000,G905,DATOS!$G$2:$G$20000,CONFIG_METADATA!$B$4,DATOS!$I$2:$I$20000,"Conjunto"),"")))</f>
        <v/>
      </c>
      <c r="K905" t="str">
        <f>IF(G905="","",IF(G905="[FÓRMULA MANUAL]","",IFERROR(SUMPRODUCT((DATOS!$A$2:$A$20000=G905)*(DATOS!$G$2:$G$20000=CONFIG_METADATA!$B$4)*(COUNTIF(CONFIG_ASIGNATURAS!$B$7:$B$27,DATOS!$I$2:$I$20000)&gt;0)*(DATOS!$K$2:$K$20000))/SUMPRODUCT((DATOS!$A$2:$A$20000=G905)*(DATOS!$G$2:$G$20000=CONFIG_METADATA!$B$4)*(COUNTIF(CONFIG_ASIGNATURAS!$B$7:$B$27,DATOS!$I$2:$I$20000)&gt;0)*1),"")))</f>
        <v/>
      </c>
      <c r="N905" t="str">
        <f>IF(M905="","",IF(M905="[FÓRMULA MANUAL]","",IFERROR(AVERAGEIFS(DATOS!$K$2:$K$20000,DATOS!$A$2:$A$20000,M905,DATOS!$G$2:$G$20000,CONFIG_METADATA!$B$4,DATOS!$I$2:$I$20000,"Armonía"),"")))</f>
        <v/>
      </c>
      <c r="O905" t="str">
        <f>IF(M905="","",IF(M905="[FÓRMULA MANUAL]","",IFERROR(AVERAGEIFS(DATOS!$K$2:$K$20000,DATOS!$A$2:$A$20000,M905,DATOS!$G$2:$G$20000,CONFIG_METADATA!$B$4,DATOS!$I$2:$I$20000,"Orquesta/Banda/Conjunto"),"")))</f>
        <v/>
      </c>
      <c r="P905" t="str">
        <f>IF(M905="","",IF(M905="[FÓRMULA MANUAL]","",IFERROR(AVERAGEIFS(DATOS!$K$2:$K$20000,DATOS!$A$2:$A$20000,M905,DATOS!$G$2:$G$20000,CONFIG_METADATA!$B$4,DATOS!$I$2:$I$20000,"Música de Cámara"),"")))</f>
        <v/>
      </c>
      <c r="Q905" t="str">
        <f>IF(M905="","",IF(M905="[FÓRMULA MANUAL]","",IFERROR(SUMPRODUCT((DATOS!$A$2:$A$20000=M905)*(DATOS!$G$2:$G$20000=CONFIG_METADATA!$B$4)*(COUNTIF(CONFIG_ASIGNATURAS!$B$7:$B$27,DATOS!$I$2:$I$20000)&gt;0)*(DATOS!$K$2:$K$20000))/SUMPRODUCT((DATOS!$A$2:$A$20000=M905)*(DATOS!$G$2:$G$20000=CONFIG_METADATA!$B$4)*(COUNTIF(CONFIG_ASIGNATURAS!$B$7:$B$27,DATOS!$I$2:$I$20000)&gt;0)*1),"")))</f>
        <v/>
      </c>
      <c r="T905" t="str">
        <f>IF(S905="","",IF(S905="[FÓRMULA MANUAL]","",IFERROR(AVERAGEIFS(DATOS!$K$2:$K$20000,DATOS!$A$2:$A$20000,S905,DATOS!$G$2:$G$20000,CONFIG_METADATA!$B$4,DATOS!$I$2:$I$20000,"Armonía"),"")))</f>
        <v/>
      </c>
      <c r="U905" t="str">
        <f>IF(S905="","",IF(S905="[FÓRMULA MANUAL]","",IFERROR(AVERAGEIFS(DATOS!$K$2:$K$20000,DATOS!$A$2:$A$20000,S905,DATOS!$G$2:$G$20000,CONFIG_METADATA!$B$4,DATOS!$I$2:$I$20000,"Orquesta/Banda/Conjunto"),"")))</f>
        <v/>
      </c>
      <c r="V905" t="str">
        <f>IF(S905="","",IF(S905="[FÓRMULA MANUAL]","",IFERROR(AVERAGEIFS(DATOS!$K$2:$K$20000,DATOS!$A$2:$A$20000,S905,DATOS!$G$2:$G$20000,CONFIG_METADATA!$B$4,DATOS!$I$2:$I$20000,"Música de Cámara"),"")))</f>
        <v/>
      </c>
      <c r="W905" t="str">
        <f>IF(S905="","",IF(S905="[FÓRMULA MANUAL]","",IFERROR(SUMPRODUCT((DATOS!$A$2:$A$20000=S905)*(DATOS!$G$2:$G$20000=CONFIG_METADATA!$B$4)*(COUNTIF(CONFIG_ASIGNATURAS!$B$7:$B$27,DATOS!$I$2:$I$20000)&gt;0)*(DATOS!$K$2:$K$20000))/SUMPRODUCT((DATOS!$A$2:$A$20000=S905)*(DATOS!$G$2:$G$20000=CONFIG_METADATA!$B$4)*(COUNTIF(CONFIG_ASIGNATURAS!$B$7:$B$27,DATOS!$I$2:$I$20000)&gt;0)*1),"")))</f>
        <v/>
      </c>
      <c r="Z905" t="str">
        <f>IF(Y905="","",IF(Y905="[FÓRMULA MANUAL]","",IFERROR(AVERAGEIFS(DATOS!$K$2:$K$20000,DATOS!$A$2:$A$20000,Y905,DATOS!$G$2:$G$20000,CONFIG_METADATA!$B$4,DATOS!$I$2:$I$20000,"Análisis"),"")))</f>
        <v/>
      </c>
      <c r="AA905" t="str">
        <f>IF(Y905="","",IF(Y905="[FÓRMULA MANUAL]","",IFERROR(AVERAGEIFS(DATOS!$K$2:$K$20000,DATOS!$A$2:$A$20000,Y905,DATOS!$G$2:$G$20000,CONFIG_METADATA!$B$4,DATOS!$I$2:$I$20000,"Orquesta/Banda/Conjunto"),"")))</f>
        <v/>
      </c>
      <c r="AB905" t="str">
        <f>IF(Y905="","",IF(Y905="[FÓRMULA MANUAL]","",IFERROR(AVERAGEIFS(DATOS!$K$2:$K$20000,DATOS!$A$2:$A$20000,Y905,DATOS!$G$2:$G$20000,CONFIG_METADATA!$B$4,DATOS!$I$2:$I$20000,"Música de Cámara"),"")))</f>
        <v/>
      </c>
      <c r="AC905" t="str">
        <f>IF(Y905="","",IF(Y905="[FÓRMULA MANUAL]","",IFERROR(SUMPRODUCT((DATOS!$A$2:$A$20000=Y905)*(DATOS!$G$2:$G$20000=CONFIG_METADATA!$B$4)*(COUNTIF(CONFIG_ASIGNATURAS!$B$7:$B$27,DATOS!$I$2:$I$20000)&gt;0)*(DATOS!$K$2:$K$20000))/SUMPRODUCT((DATOS!$A$2:$A$20000=Y905)*(DATOS!$G$2:$G$20000=CONFIG_METADATA!$B$4)*(COUNTIF(CONFIG_ASIGNATURAS!$B$7:$B$27,DATOS!$I$2:$I$20000)&gt;0)*1),"")))</f>
        <v/>
      </c>
      <c r="AF905" t="str">
        <f>IF(AE905="","",IF(AE905="[FÓRMULA MANUAL]","",IFERROR(AVERAGEIFS(DATOS!$K$2:$K$20000,DATOS!$A$2:$A$20000,AE905,DATOS!$G$2:$G$20000,CONFIG_METADATA!$B$4,DATOS!$I$2:$I$20000,"Análisis"),"")))</f>
        <v/>
      </c>
      <c r="AG905" t="str">
        <f>IF(AE905="","",IF(AE905="[FÓRMULA MANUAL]","",IFERROR(AVERAGEIFS(DATOS!$K$2:$K$20000,DATOS!$A$2:$A$20000,AE905,DATOS!$G$2:$G$20000,CONFIG_METADATA!$B$4,DATOS!$I$2:$I$20000,"Orquesta/Banda/Conjunto"),"")))</f>
        <v/>
      </c>
      <c r="AH905" t="str">
        <f>IF(AE905="","",IF(AE905="[FÓRMULA MANUAL]","",IFERROR(AVERAGEIFS(DATOS!$K$2:$K$20000,DATOS!$A$2:$A$20000,AE905,DATOS!$G$2:$G$20000,CONFIG_METADATA!$B$4,DATOS!$I$2:$I$20000,"Música de Cámara"),"")))</f>
        <v/>
      </c>
      <c r="AI905" t="str">
        <f>IF(AE905="","",IF(AE905="[FÓRMULA MANUAL]","",IFERROR(SUMPRODUCT((DATOS!$A$2:$A$20000=AE905)*(DATOS!$G$2:$G$20000=CONFIG_METADATA!$B$4)*(COUNTIF(CONFIG_ASIGNATURAS!$B$7:$B$27,DATOS!$I$2:$I$20000)&gt;0)*(DATOS!$K$2:$K$20000))/SUMPRODUCT((DATOS!$A$2:$A$20000=AE905)*(DATOS!$G$2:$G$20000=CONFIG_METADATA!$B$4)*(COUNTIF(CONFIG_ASIGNATURAS!$B$7:$B$27,DATOS!$I$2:$I$20000)&gt;0)*1),"")))</f>
        <v/>
      </c>
    </row>
    <row r="906" spans="2:35" x14ac:dyDescent="0.2">
      <c r="B906" t="str">
        <f>IF(A906="","",IF(A906="[FÓRMULA MANUAL]","",IFERROR(AVERAGEIFS(DATOS!$K$2:$K$20000,DATOS!$A$2:$A$20000,A906,DATOS!$G$2:$G$20000,CONFIG_METADATA!$B$4,DATOS!$I$2:$I$20000,"Lenguaje Musical"),"")))</f>
        <v/>
      </c>
      <c r="C906" t="str">
        <f>IF(A906="","",IF(A906="[FÓRMULA MANUAL]","",IFERROR(AVERAGEIFS(DATOS!$K$2:$K$20000,DATOS!$A$2:$A$20000,A906,DATOS!$G$2:$G$20000,CONFIG_METADATA!$B$4,DATOS!$I$2:$I$20000,"Orquesta/Banda/Conjunto"),"")))</f>
        <v/>
      </c>
      <c r="D906" t="str">
        <f>IF(A906="","",IF(A906="[FÓRMULA MANUAL]","",IFERROR(AVERAGEIFS(DATOS!$K$2:$K$20000,DATOS!$A$2:$A$20000,A906,DATOS!$G$2:$G$20000,CONFIG_METADATA!$B$4,DATOS!$I$2:$I$20000,"Conjunto"),"")))</f>
        <v/>
      </c>
      <c r="E906" t="str">
        <f>IF(A906="","",IF(A906="[FÓRMULA MANUAL]","",IFERROR(SUMPRODUCT((DATOS!$A$2:$A$20000=A906)*(DATOS!$G$2:$G$20000=CONFIG_METADATA!$B$4)*(COUNTIF(CONFIG_ASIGNATURAS!$B$7:$B$27,DATOS!$I$2:$I$20000)&gt;0)*(DATOS!$K$2:$K$20000))/SUMPRODUCT((DATOS!$A$2:$A$20000=A906)*(DATOS!$G$2:$G$20000=CONFIG_METADATA!$B$4)*(COUNTIF(CONFIG_ASIGNATURAS!$B$7:$B$27,DATOS!$I$2:$I$20000)&gt;0)*1),"")))</f>
        <v/>
      </c>
      <c r="H906" t="str">
        <f>IF(G906="","",IF(G906="[FÓRMULA MANUAL]","",IFERROR(AVERAGEIFS(DATOS!$K$2:$K$20000,DATOS!$A$2:$A$20000,G906,DATOS!$G$2:$G$20000,CONFIG_METADATA!$B$4,DATOS!$I$2:$I$20000,"Lenguaje Musical"),"")))</f>
        <v/>
      </c>
      <c r="I906" t="str">
        <f>IF(G906="","",IF(G906="[FÓRMULA MANUAL]","",IFERROR(AVERAGEIFS(DATOS!$K$2:$K$20000,DATOS!$A$2:$A$20000,G906,DATOS!$G$2:$G$20000,CONFIG_METADATA!$B$4,DATOS!$I$2:$I$20000,"Orquesta/Banda/Conjunto"),"")))</f>
        <v/>
      </c>
      <c r="J906" t="str">
        <f>IF(G906="","",IF(G906="[FÓRMULA MANUAL]","",IFERROR(AVERAGEIFS(DATOS!$K$2:$K$20000,DATOS!$A$2:$A$20000,G906,DATOS!$G$2:$G$20000,CONFIG_METADATA!$B$4,DATOS!$I$2:$I$20000,"Conjunto"),"")))</f>
        <v/>
      </c>
      <c r="K906" t="str">
        <f>IF(G906="","",IF(G906="[FÓRMULA MANUAL]","",IFERROR(SUMPRODUCT((DATOS!$A$2:$A$20000=G906)*(DATOS!$G$2:$G$20000=CONFIG_METADATA!$B$4)*(COUNTIF(CONFIG_ASIGNATURAS!$B$7:$B$27,DATOS!$I$2:$I$20000)&gt;0)*(DATOS!$K$2:$K$20000))/SUMPRODUCT((DATOS!$A$2:$A$20000=G906)*(DATOS!$G$2:$G$20000=CONFIG_METADATA!$B$4)*(COUNTIF(CONFIG_ASIGNATURAS!$B$7:$B$27,DATOS!$I$2:$I$20000)&gt;0)*1),"")))</f>
        <v/>
      </c>
      <c r="N906" t="str">
        <f>IF(M906="","",IF(M906="[FÓRMULA MANUAL]","",IFERROR(AVERAGEIFS(DATOS!$K$2:$K$20000,DATOS!$A$2:$A$20000,M906,DATOS!$G$2:$G$20000,CONFIG_METADATA!$B$4,DATOS!$I$2:$I$20000,"Armonía"),"")))</f>
        <v/>
      </c>
      <c r="O906" t="str">
        <f>IF(M906="","",IF(M906="[FÓRMULA MANUAL]","",IFERROR(AVERAGEIFS(DATOS!$K$2:$K$20000,DATOS!$A$2:$A$20000,M906,DATOS!$G$2:$G$20000,CONFIG_METADATA!$B$4,DATOS!$I$2:$I$20000,"Orquesta/Banda/Conjunto"),"")))</f>
        <v/>
      </c>
      <c r="P906" t="str">
        <f>IF(M906="","",IF(M906="[FÓRMULA MANUAL]","",IFERROR(AVERAGEIFS(DATOS!$K$2:$K$20000,DATOS!$A$2:$A$20000,M906,DATOS!$G$2:$G$20000,CONFIG_METADATA!$B$4,DATOS!$I$2:$I$20000,"Música de Cámara"),"")))</f>
        <v/>
      </c>
      <c r="Q906" t="str">
        <f>IF(M906="","",IF(M906="[FÓRMULA MANUAL]","",IFERROR(SUMPRODUCT((DATOS!$A$2:$A$20000=M906)*(DATOS!$G$2:$G$20000=CONFIG_METADATA!$B$4)*(COUNTIF(CONFIG_ASIGNATURAS!$B$7:$B$27,DATOS!$I$2:$I$20000)&gt;0)*(DATOS!$K$2:$K$20000))/SUMPRODUCT((DATOS!$A$2:$A$20000=M906)*(DATOS!$G$2:$G$20000=CONFIG_METADATA!$B$4)*(COUNTIF(CONFIG_ASIGNATURAS!$B$7:$B$27,DATOS!$I$2:$I$20000)&gt;0)*1),"")))</f>
        <v/>
      </c>
      <c r="T906" t="str">
        <f>IF(S906="","",IF(S906="[FÓRMULA MANUAL]","",IFERROR(AVERAGEIFS(DATOS!$K$2:$K$20000,DATOS!$A$2:$A$20000,S906,DATOS!$G$2:$G$20000,CONFIG_METADATA!$B$4,DATOS!$I$2:$I$20000,"Armonía"),"")))</f>
        <v/>
      </c>
      <c r="U906" t="str">
        <f>IF(S906="","",IF(S906="[FÓRMULA MANUAL]","",IFERROR(AVERAGEIFS(DATOS!$K$2:$K$20000,DATOS!$A$2:$A$20000,S906,DATOS!$G$2:$G$20000,CONFIG_METADATA!$B$4,DATOS!$I$2:$I$20000,"Orquesta/Banda/Conjunto"),"")))</f>
        <v/>
      </c>
      <c r="V906" t="str">
        <f>IF(S906="","",IF(S906="[FÓRMULA MANUAL]","",IFERROR(AVERAGEIFS(DATOS!$K$2:$K$20000,DATOS!$A$2:$A$20000,S906,DATOS!$G$2:$G$20000,CONFIG_METADATA!$B$4,DATOS!$I$2:$I$20000,"Música de Cámara"),"")))</f>
        <v/>
      </c>
      <c r="W906" t="str">
        <f>IF(S906="","",IF(S906="[FÓRMULA MANUAL]","",IFERROR(SUMPRODUCT((DATOS!$A$2:$A$20000=S906)*(DATOS!$G$2:$G$20000=CONFIG_METADATA!$B$4)*(COUNTIF(CONFIG_ASIGNATURAS!$B$7:$B$27,DATOS!$I$2:$I$20000)&gt;0)*(DATOS!$K$2:$K$20000))/SUMPRODUCT((DATOS!$A$2:$A$20000=S906)*(DATOS!$G$2:$G$20000=CONFIG_METADATA!$B$4)*(COUNTIF(CONFIG_ASIGNATURAS!$B$7:$B$27,DATOS!$I$2:$I$20000)&gt;0)*1),"")))</f>
        <v/>
      </c>
      <c r="Z906" t="str">
        <f>IF(Y906="","",IF(Y906="[FÓRMULA MANUAL]","",IFERROR(AVERAGEIFS(DATOS!$K$2:$K$20000,DATOS!$A$2:$A$20000,Y906,DATOS!$G$2:$G$20000,CONFIG_METADATA!$B$4,DATOS!$I$2:$I$20000,"Análisis"),"")))</f>
        <v/>
      </c>
      <c r="AA906" t="str">
        <f>IF(Y906="","",IF(Y906="[FÓRMULA MANUAL]","",IFERROR(AVERAGEIFS(DATOS!$K$2:$K$20000,DATOS!$A$2:$A$20000,Y906,DATOS!$G$2:$G$20000,CONFIG_METADATA!$B$4,DATOS!$I$2:$I$20000,"Orquesta/Banda/Conjunto"),"")))</f>
        <v/>
      </c>
      <c r="AB906" t="str">
        <f>IF(Y906="","",IF(Y906="[FÓRMULA MANUAL]","",IFERROR(AVERAGEIFS(DATOS!$K$2:$K$20000,DATOS!$A$2:$A$20000,Y906,DATOS!$G$2:$G$20000,CONFIG_METADATA!$B$4,DATOS!$I$2:$I$20000,"Música de Cámara"),"")))</f>
        <v/>
      </c>
      <c r="AC906" t="str">
        <f>IF(Y906="","",IF(Y906="[FÓRMULA MANUAL]","",IFERROR(SUMPRODUCT((DATOS!$A$2:$A$20000=Y906)*(DATOS!$G$2:$G$20000=CONFIG_METADATA!$B$4)*(COUNTIF(CONFIG_ASIGNATURAS!$B$7:$B$27,DATOS!$I$2:$I$20000)&gt;0)*(DATOS!$K$2:$K$20000))/SUMPRODUCT((DATOS!$A$2:$A$20000=Y906)*(DATOS!$G$2:$G$20000=CONFIG_METADATA!$B$4)*(COUNTIF(CONFIG_ASIGNATURAS!$B$7:$B$27,DATOS!$I$2:$I$20000)&gt;0)*1),"")))</f>
        <v/>
      </c>
      <c r="AF906" t="str">
        <f>IF(AE906="","",IF(AE906="[FÓRMULA MANUAL]","",IFERROR(AVERAGEIFS(DATOS!$K$2:$K$20000,DATOS!$A$2:$A$20000,AE906,DATOS!$G$2:$G$20000,CONFIG_METADATA!$B$4,DATOS!$I$2:$I$20000,"Análisis"),"")))</f>
        <v/>
      </c>
      <c r="AG906" t="str">
        <f>IF(AE906="","",IF(AE906="[FÓRMULA MANUAL]","",IFERROR(AVERAGEIFS(DATOS!$K$2:$K$20000,DATOS!$A$2:$A$20000,AE906,DATOS!$G$2:$G$20000,CONFIG_METADATA!$B$4,DATOS!$I$2:$I$20000,"Orquesta/Banda/Conjunto"),"")))</f>
        <v/>
      </c>
      <c r="AH906" t="str">
        <f>IF(AE906="","",IF(AE906="[FÓRMULA MANUAL]","",IFERROR(AVERAGEIFS(DATOS!$K$2:$K$20000,DATOS!$A$2:$A$20000,AE906,DATOS!$G$2:$G$20000,CONFIG_METADATA!$B$4,DATOS!$I$2:$I$20000,"Música de Cámara"),"")))</f>
        <v/>
      </c>
      <c r="AI906" t="str">
        <f>IF(AE906="","",IF(AE906="[FÓRMULA MANUAL]","",IFERROR(SUMPRODUCT((DATOS!$A$2:$A$20000=AE906)*(DATOS!$G$2:$G$20000=CONFIG_METADATA!$B$4)*(COUNTIF(CONFIG_ASIGNATURAS!$B$7:$B$27,DATOS!$I$2:$I$20000)&gt;0)*(DATOS!$K$2:$K$20000))/SUMPRODUCT((DATOS!$A$2:$A$20000=AE906)*(DATOS!$G$2:$G$20000=CONFIG_METADATA!$B$4)*(COUNTIF(CONFIG_ASIGNATURAS!$B$7:$B$27,DATOS!$I$2:$I$20000)&gt;0)*1),"")))</f>
        <v/>
      </c>
    </row>
    <row r="907" spans="2:35" x14ac:dyDescent="0.2">
      <c r="B907" t="str">
        <f>IF(A907="","",IF(A907="[FÓRMULA MANUAL]","",IFERROR(AVERAGEIFS(DATOS!$K$2:$K$20000,DATOS!$A$2:$A$20000,A907,DATOS!$G$2:$G$20000,CONFIG_METADATA!$B$4,DATOS!$I$2:$I$20000,"Lenguaje Musical"),"")))</f>
        <v/>
      </c>
      <c r="C907" t="str">
        <f>IF(A907="","",IF(A907="[FÓRMULA MANUAL]","",IFERROR(AVERAGEIFS(DATOS!$K$2:$K$20000,DATOS!$A$2:$A$20000,A907,DATOS!$G$2:$G$20000,CONFIG_METADATA!$B$4,DATOS!$I$2:$I$20000,"Orquesta/Banda/Conjunto"),"")))</f>
        <v/>
      </c>
      <c r="D907" t="str">
        <f>IF(A907="","",IF(A907="[FÓRMULA MANUAL]","",IFERROR(AVERAGEIFS(DATOS!$K$2:$K$20000,DATOS!$A$2:$A$20000,A907,DATOS!$G$2:$G$20000,CONFIG_METADATA!$B$4,DATOS!$I$2:$I$20000,"Conjunto"),"")))</f>
        <v/>
      </c>
      <c r="E907" t="str">
        <f>IF(A907="","",IF(A907="[FÓRMULA MANUAL]","",IFERROR(SUMPRODUCT((DATOS!$A$2:$A$20000=A907)*(DATOS!$G$2:$G$20000=CONFIG_METADATA!$B$4)*(COUNTIF(CONFIG_ASIGNATURAS!$B$7:$B$27,DATOS!$I$2:$I$20000)&gt;0)*(DATOS!$K$2:$K$20000))/SUMPRODUCT((DATOS!$A$2:$A$20000=A907)*(DATOS!$G$2:$G$20000=CONFIG_METADATA!$B$4)*(COUNTIF(CONFIG_ASIGNATURAS!$B$7:$B$27,DATOS!$I$2:$I$20000)&gt;0)*1),"")))</f>
        <v/>
      </c>
      <c r="H907" t="str">
        <f>IF(G907="","",IF(G907="[FÓRMULA MANUAL]","",IFERROR(AVERAGEIFS(DATOS!$K$2:$K$20000,DATOS!$A$2:$A$20000,G907,DATOS!$G$2:$G$20000,CONFIG_METADATA!$B$4,DATOS!$I$2:$I$20000,"Lenguaje Musical"),"")))</f>
        <v/>
      </c>
      <c r="I907" t="str">
        <f>IF(G907="","",IF(G907="[FÓRMULA MANUAL]","",IFERROR(AVERAGEIFS(DATOS!$K$2:$K$20000,DATOS!$A$2:$A$20000,G907,DATOS!$G$2:$G$20000,CONFIG_METADATA!$B$4,DATOS!$I$2:$I$20000,"Orquesta/Banda/Conjunto"),"")))</f>
        <v/>
      </c>
      <c r="J907" t="str">
        <f>IF(G907="","",IF(G907="[FÓRMULA MANUAL]","",IFERROR(AVERAGEIFS(DATOS!$K$2:$K$20000,DATOS!$A$2:$A$20000,G907,DATOS!$G$2:$G$20000,CONFIG_METADATA!$B$4,DATOS!$I$2:$I$20000,"Conjunto"),"")))</f>
        <v/>
      </c>
      <c r="K907" t="str">
        <f>IF(G907="","",IF(G907="[FÓRMULA MANUAL]","",IFERROR(SUMPRODUCT((DATOS!$A$2:$A$20000=G907)*(DATOS!$G$2:$G$20000=CONFIG_METADATA!$B$4)*(COUNTIF(CONFIG_ASIGNATURAS!$B$7:$B$27,DATOS!$I$2:$I$20000)&gt;0)*(DATOS!$K$2:$K$20000))/SUMPRODUCT((DATOS!$A$2:$A$20000=G907)*(DATOS!$G$2:$G$20000=CONFIG_METADATA!$B$4)*(COUNTIF(CONFIG_ASIGNATURAS!$B$7:$B$27,DATOS!$I$2:$I$20000)&gt;0)*1),"")))</f>
        <v/>
      </c>
      <c r="N907" t="str">
        <f>IF(M907="","",IF(M907="[FÓRMULA MANUAL]","",IFERROR(AVERAGEIFS(DATOS!$K$2:$K$20000,DATOS!$A$2:$A$20000,M907,DATOS!$G$2:$G$20000,CONFIG_METADATA!$B$4,DATOS!$I$2:$I$20000,"Armonía"),"")))</f>
        <v/>
      </c>
      <c r="O907" t="str">
        <f>IF(M907="","",IF(M907="[FÓRMULA MANUAL]","",IFERROR(AVERAGEIFS(DATOS!$K$2:$K$20000,DATOS!$A$2:$A$20000,M907,DATOS!$G$2:$G$20000,CONFIG_METADATA!$B$4,DATOS!$I$2:$I$20000,"Orquesta/Banda/Conjunto"),"")))</f>
        <v/>
      </c>
      <c r="P907" t="str">
        <f>IF(M907="","",IF(M907="[FÓRMULA MANUAL]","",IFERROR(AVERAGEIFS(DATOS!$K$2:$K$20000,DATOS!$A$2:$A$20000,M907,DATOS!$G$2:$G$20000,CONFIG_METADATA!$B$4,DATOS!$I$2:$I$20000,"Música de Cámara"),"")))</f>
        <v/>
      </c>
      <c r="Q907" t="str">
        <f>IF(M907="","",IF(M907="[FÓRMULA MANUAL]","",IFERROR(SUMPRODUCT((DATOS!$A$2:$A$20000=M907)*(DATOS!$G$2:$G$20000=CONFIG_METADATA!$B$4)*(COUNTIF(CONFIG_ASIGNATURAS!$B$7:$B$27,DATOS!$I$2:$I$20000)&gt;0)*(DATOS!$K$2:$K$20000))/SUMPRODUCT((DATOS!$A$2:$A$20000=M907)*(DATOS!$G$2:$G$20000=CONFIG_METADATA!$B$4)*(COUNTIF(CONFIG_ASIGNATURAS!$B$7:$B$27,DATOS!$I$2:$I$20000)&gt;0)*1),"")))</f>
        <v/>
      </c>
      <c r="T907" t="str">
        <f>IF(S907="","",IF(S907="[FÓRMULA MANUAL]","",IFERROR(AVERAGEIFS(DATOS!$K$2:$K$20000,DATOS!$A$2:$A$20000,S907,DATOS!$G$2:$G$20000,CONFIG_METADATA!$B$4,DATOS!$I$2:$I$20000,"Armonía"),"")))</f>
        <v/>
      </c>
      <c r="U907" t="str">
        <f>IF(S907="","",IF(S907="[FÓRMULA MANUAL]","",IFERROR(AVERAGEIFS(DATOS!$K$2:$K$20000,DATOS!$A$2:$A$20000,S907,DATOS!$G$2:$G$20000,CONFIG_METADATA!$B$4,DATOS!$I$2:$I$20000,"Orquesta/Banda/Conjunto"),"")))</f>
        <v/>
      </c>
      <c r="V907" t="str">
        <f>IF(S907="","",IF(S907="[FÓRMULA MANUAL]","",IFERROR(AVERAGEIFS(DATOS!$K$2:$K$20000,DATOS!$A$2:$A$20000,S907,DATOS!$G$2:$G$20000,CONFIG_METADATA!$B$4,DATOS!$I$2:$I$20000,"Música de Cámara"),"")))</f>
        <v/>
      </c>
      <c r="W907" t="str">
        <f>IF(S907="","",IF(S907="[FÓRMULA MANUAL]","",IFERROR(SUMPRODUCT((DATOS!$A$2:$A$20000=S907)*(DATOS!$G$2:$G$20000=CONFIG_METADATA!$B$4)*(COUNTIF(CONFIG_ASIGNATURAS!$B$7:$B$27,DATOS!$I$2:$I$20000)&gt;0)*(DATOS!$K$2:$K$20000))/SUMPRODUCT((DATOS!$A$2:$A$20000=S907)*(DATOS!$G$2:$G$20000=CONFIG_METADATA!$B$4)*(COUNTIF(CONFIG_ASIGNATURAS!$B$7:$B$27,DATOS!$I$2:$I$20000)&gt;0)*1),"")))</f>
        <v/>
      </c>
      <c r="Z907" t="str">
        <f>IF(Y907="","",IF(Y907="[FÓRMULA MANUAL]","",IFERROR(AVERAGEIFS(DATOS!$K$2:$K$20000,DATOS!$A$2:$A$20000,Y907,DATOS!$G$2:$G$20000,CONFIG_METADATA!$B$4,DATOS!$I$2:$I$20000,"Análisis"),"")))</f>
        <v/>
      </c>
      <c r="AA907" t="str">
        <f>IF(Y907="","",IF(Y907="[FÓRMULA MANUAL]","",IFERROR(AVERAGEIFS(DATOS!$K$2:$K$20000,DATOS!$A$2:$A$20000,Y907,DATOS!$G$2:$G$20000,CONFIG_METADATA!$B$4,DATOS!$I$2:$I$20000,"Orquesta/Banda/Conjunto"),"")))</f>
        <v/>
      </c>
      <c r="AB907" t="str">
        <f>IF(Y907="","",IF(Y907="[FÓRMULA MANUAL]","",IFERROR(AVERAGEIFS(DATOS!$K$2:$K$20000,DATOS!$A$2:$A$20000,Y907,DATOS!$G$2:$G$20000,CONFIG_METADATA!$B$4,DATOS!$I$2:$I$20000,"Música de Cámara"),"")))</f>
        <v/>
      </c>
      <c r="AC907" t="str">
        <f>IF(Y907="","",IF(Y907="[FÓRMULA MANUAL]","",IFERROR(SUMPRODUCT((DATOS!$A$2:$A$20000=Y907)*(DATOS!$G$2:$G$20000=CONFIG_METADATA!$B$4)*(COUNTIF(CONFIG_ASIGNATURAS!$B$7:$B$27,DATOS!$I$2:$I$20000)&gt;0)*(DATOS!$K$2:$K$20000))/SUMPRODUCT((DATOS!$A$2:$A$20000=Y907)*(DATOS!$G$2:$G$20000=CONFIG_METADATA!$B$4)*(COUNTIF(CONFIG_ASIGNATURAS!$B$7:$B$27,DATOS!$I$2:$I$20000)&gt;0)*1),"")))</f>
        <v/>
      </c>
      <c r="AF907" t="str">
        <f>IF(AE907="","",IF(AE907="[FÓRMULA MANUAL]","",IFERROR(AVERAGEIFS(DATOS!$K$2:$K$20000,DATOS!$A$2:$A$20000,AE907,DATOS!$G$2:$G$20000,CONFIG_METADATA!$B$4,DATOS!$I$2:$I$20000,"Análisis"),"")))</f>
        <v/>
      </c>
      <c r="AG907" t="str">
        <f>IF(AE907="","",IF(AE907="[FÓRMULA MANUAL]","",IFERROR(AVERAGEIFS(DATOS!$K$2:$K$20000,DATOS!$A$2:$A$20000,AE907,DATOS!$G$2:$G$20000,CONFIG_METADATA!$B$4,DATOS!$I$2:$I$20000,"Orquesta/Banda/Conjunto"),"")))</f>
        <v/>
      </c>
      <c r="AH907" t="str">
        <f>IF(AE907="","",IF(AE907="[FÓRMULA MANUAL]","",IFERROR(AVERAGEIFS(DATOS!$K$2:$K$20000,DATOS!$A$2:$A$20000,AE907,DATOS!$G$2:$G$20000,CONFIG_METADATA!$B$4,DATOS!$I$2:$I$20000,"Música de Cámara"),"")))</f>
        <v/>
      </c>
      <c r="AI907" t="str">
        <f>IF(AE907="","",IF(AE907="[FÓRMULA MANUAL]","",IFERROR(SUMPRODUCT((DATOS!$A$2:$A$20000=AE907)*(DATOS!$G$2:$G$20000=CONFIG_METADATA!$B$4)*(COUNTIF(CONFIG_ASIGNATURAS!$B$7:$B$27,DATOS!$I$2:$I$20000)&gt;0)*(DATOS!$K$2:$K$20000))/SUMPRODUCT((DATOS!$A$2:$A$20000=AE907)*(DATOS!$G$2:$G$20000=CONFIG_METADATA!$B$4)*(COUNTIF(CONFIG_ASIGNATURAS!$B$7:$B$27,DATOS!$I$2:$I$20000)&gt;0)*1),"")))</f>
        <v/>
      </c>
    </row>
    <row r="908" spans="2:35" x14ac:dyDescent="0.2">
      <c r="B908" t="str">
        <f>IF(A908="","",IF(A908="[FÓRMULA MANUAL]","",IFERROR(AVERAGEIFS(DATOS!$K$2:$K$20000,DATOS!$A$2:$A$20000,A908,DATOS!$G$2:$G$20000,CONFIG_METADATA!$B$4,DATOS!$I$2:$I$20000,"Lenguaje Musical"),"")))</f>
        <v/>
      </c>
      <c r="C908" t="str">
        <f>IF(A908="","",IF(A908="[FÓRMULA MANUAL]","",IFERROR(AVERAGEIFS(DATOS!$K$2:$K$20000,DATOS!$A$2:$A$20000,A908,DATOS!$G$2:$G$20000,CONFIG_METADATA!$B$4,DATOS!$I$2:$I$20000,"Orquesta/Banda/Conjunto"),"")))</f>
        <v/>
      </c>
      <c r="D908" t="str">
        <f>IF(A908="","",IF(A908="[FÓRMULA MANUAL]","",IFERROR(AVERAGEIFS(DATOS!$K$2:$K$20000,DATOS!$A$2:$A$20000,A908,DATOS!$G$2:$G$20000,CONFIG_METADATA!$B$4,DATOS!$I$2:$I$20000,"Conjunto"),"")))</f>
        <v/>
      </c>
      <c r="E908" t="str">
        <f>IF(A908="","",IF(A908="[FÓRMULA MANUAL]","",IFERROR(SUMPRODUCT((DATOS!$A$2:$A$20000=A908)*(DATOS!$G$2:$G$20000=CONFIG_METADATA!$B$4)*(COUNTIF(CONFIG_ASIGNATURAS!$B$7:$B$27,DATOS!$I$2:$I$20000)&gt;0)*(DATOS!$K$2:$K$20000))/SUMPRODUCT((DATOS!$A$2:$A$20000=A908)*(DATOS!$G$2:$G$20000=CONFIG_METADATA!$B$4)*(COUNTIF(CONFIG_ASIGNATURAS!$B$7:$B$27,DATOS!$I$2:$I$20000)&gt;0)*1),"")))</f>
        <v/>
      </c>
      <c r="H908" t="str">
        <f>IF(G908="","",IF(G908="[FÓRMULA MANUAL]","",IFERROR(AVERAGEIFS(DATOS!$K$2:$K$20000,DATOS!$A$2:$A$20000,G908,DATOS!$G$2:$G$20000,CONFIG_METADATA!$B$4,DATOS!$I$2:$I$20000,"Lenguaje Musical"),"")))</f>
        <v/>
      </c>
      <c r="I908" t="str">
        <f>IF(G908="","",IF(G908="[FÓRMULA MANUAL]","",IFERROR(AVERAGEIFS(DATOS!$K$2:$K$20000,DATOS!$A$2:$A$20000,G908,DATOS!$G$2:$G$20000,CONFIG_METADATA!$B$4,DATOS!$I$2:$I$20000,"Orquesta/Banda/Conjunto"),"")))</f>
        <v/>
      </c>
      <c r="J908" t="str">
        <f>IF(G908="","",IF(G908="[FÓRMULA MANUAL]","",IFERROR(AVERAGEIFS(DATOS!$K$2:$K$20000,DATOS!$A$2:$A$20000,G908,DATOS!$G$2:$G$20000,CONFIG_METADATA!$B$4,DATOS!$I$2:$I$20000,"Conjunto"),"")))</f>
        <v/>
      </c>
      <c r="K908" t="str">
        <f>IF(G908="","",IF(G908="[FÓRMULA MANUAL]","",IFERROR(SUMPRODUCT((DATOS!$A$2:$A$20000=G908)*(DATOS!$G$2:$G$20000=CONFIG_METADATA!$B$4)*(COUNTIF(CONFIG_ASIGNATURAS!$B$7:$B$27,DATOS!$I$2:$I$20000)&gt;0)*(DATOS!$K$2:$K$20000))/SUMPRODUCT((DATOS!$A$2:$A$20000=G908)*(DATOS!$G$2:$G$20000=CONFIG_METADATA!$B$4)*(COUNTIF(CONFIG_ASIGNATURAS!$B$7:$B$27,DATOS!$I$2:$I$20000)&gt;0)*1),"")))</f>
        <v/>
      </c>
      <c r="N908" t="str">
        <f>IF(M908="","",IF(M908="[FÓRMULA MANUAL]","",IFERROR(AVERAGEIFS(DATOS!$K$2:$K$20000,DATOS!$A$2:$A$20000,M908,DATOS!$G$2:$G$20000,CONFIG_METADATA!$B$4,DATOS!$I$2:$I$20000,"Armonía"),"")))</f>
        <v/>
      </c>
      <c r="O908" t="str">
        <f>IF(M908="","",IF(M908="[FÓRMULA MANUAL]","",IFERROR(AVERAGEIFS(DATOS!$K$2:$K$20000,DATOS!$A$2:$A$20000,M908,DATOS!$G$2:$G$20000,CONFIG_METADATA!$B$4,DATOS!$I$2:$I$20000,"Orquesta/Banda/Conjunto"),"")))</f>
        <v/>
      </c>
      <c r="P908" t="str">
        <f>IF(M908="","",IF(M908="[FÓRMULA MANUAL]","",IFERROR(AVERAGEIFS(DATOS!$K$2:$K$20000,DATOS!$A$2:$A$20000,M908,DATOS!$G$2:$G$20000,CONFIG_METADATA!$B$4,DATOS!$I$2:$I$20000,"Música de Cámara"),"")))</f>
        <v/>
      </c>
      <c r="Q908" t="str">
        <f>IF(M908="","",IF(M908="[FÓRMULA MANUAL]","",IFERROR(SUMPRODUCT((DATOS!$A$2:$A$20000=M908)*(DATOS!$G$2:$G$20000=CONFIG_METADATA!$B$4)*(COUNTIF(CONFIG_ASIGNATURAS!$B$7:$B$27,DATOS!$I$2:$I$20000)&gt;0)*(DATOS!$K$2:$K$20000))/SUMPRODUCT((DATOS!$A$2:$A$20000=M908)*(DATOS!$G$2:$G$20000=CONFIG_METADATA!$B$4)*(COUNTIF(CONFIG_ASIGNATURAS!$B$7:$B$27,DATOS!$I$2:$I$20000)&gt;0)*1),"")))</f>
        <v/>
      </c>
      <c r="T908" t="str">
        <f>IF(S908="","",IF(S908="[FÓRMULA MANUAL]","",IFERROR(AVERAGEIFS(DATOS!$K$2:$K$20000,DATOS!$A$2:$A$20000,S908,DATOS!$G$2:$G$20000,CONFIG_METADATA!$B$4,DATOS!$I$2:$I$20000,"Armonía"),"")))</f>
        <v/>
      </c>
      <c r="U908" t="str">
        <f>IF(S908="","",IF(S908="[FÓRMULA MANUAL]","",IFERROR(AVERAGEIFS(DATOS!$K$2:$K$20000,DATOS!$A$2:$A$20000,S908,DATOS!$G$2:$G$20000,CONFIG_METADATA!$B$4,DATOS!$I$2:$I$20000,"Orquesta/Banda/Conjunto"),"")))</f>
        <v/>
      </c>
      <c r="V908" t="str">
        <f>IF(S908="","",IF(S908="[FÓRMULA MANUAL]","",IFERROR(AVERAGEIFS(DATOS!$K$2:$K$20000,DATOS!$A$2:$A$20000,S908,DATOS!$G$2:$G$20000,CONFIG_METADATA!$B$4,DATOS!$I$2:$I$20000,"Música de Cámara"),"")))</f>
        <v/>
      </c>
      <c r="W908" t="str">
        <f>IF(S908="","",IF(S908="[FÓRMULA MANUAL]","",IFERROR(SUMPRODUCT((DATOS!$A$2:$A$20000=S908)*(DATOS!$G$2:$G$20000=CONFIG_METADATA!$B$4)*(COUNTIF(CONFIG_ASIGNATURAS!$B$7:$B$27,DATOS!$I$2:$I$20000)&gt;0)*(DATOS!$K$2:$K$20000))/SUMPRODUCT((DATOS!$A$2:$A$20000=S908)*(DATOS!$G$2:$G$20000=CONFIG_METADATA!$B$4)*(COUNTIF(CONFIG_ASIGNATURAS!$B$7:$B$27,DATOS!$I$2:$I$20000)&gt;0)*1),"")))</f>
        <v/>
      </c>
      <c r="Z908" t="str">
        <f>IF(Y908="","",IF(Y908="[FÓRMULA MANUAL]","",IFERROR(AVERAGEIFS(DATOS!$K$2:$K$20000,DATOS!$A$2:$A$20000,Y908,DATOS!$G$2:$G$20000,CONFIG_METADATA!$B$4,DATOS!$I$2:$I$20000,"Análisis"),"")))</f>
        <v/>
      </c>
      <c r="AA908" t="str">
        <f>IF(Y908="","",IF(Y908="[FÓRMULA MANUAL]","",IFERROR(AVERAGEIFS(DATOS!$K$2:$K$20000,DATOS!$A$2:$A$20000,Y908,DATOS!$G$2:$G$20000,CONFIG_METADATA!$B$4,DATOS!$I$2:$I$20000,"Orquesta/Banda/Conjunto"),"")))</f>
        <v/>
      </c>
      <c r="AB908" t="str">
        <f>IF(Y908="","",IF(Y908="[FÓRMULA MANUAL]","",IFERROR(AVERAGEIFS(DATOS!$K$2:$K$20000,DATOS!$A$2:$A$20000,Y908,DATOS!$G$2:$G$20000,CONFIG_METADATA!$B$4,DATOS!$I$2:$I$20000,"Música de Cámara"),"")))</f>
        <v/>
      </c>
      <c r="AC908" t="str">
        <f>IF(Y908="","",IF(Y908="[FÓRMULA MANUAL]","",IFERROR(SUMPRODUCT((DATOS!$A$2:$A$20000=Y908)*(DATOS!$G$2:$G$20000=CONFIG_METADATA!$B$4)*(COUNTIF(CONFIG_ASIGNATURAS!$B$7:$B$27,DATOS!$I$2:$I$20000)&gt;0)*(DATOS!$K$2:$K$20000))/SUMPRODUCT((DATOS!$A$2:$A$20000=Y908)*(DATOS!$G$2:$G$20000=CONFIG_METADATA!$B$4)*(COUNTIF(CONFIG_ASIGNATURAS!$B$7:$B$27,DATOS!$I$2:$I$20000)&gt;0)*1),"")))</f>
        <v/>
      </c>
      <c r="AF908" t="str">
        <f>IF(AE908="","",IF(AE908="[FÓRMULA MANUAL]","",IFERROR(AVERAGEIFS(DATOS!$K$2:$K$20000,DATOS!$A$2:$A$20000,AE908,DATOS!$G$2:$G$20000,CONFIG_METADATA!$B$4,DATOS!$I$2:$I$20000,"Análisis"),"")))</f>
        <v/>
      </c>
      <c r="AG908" t="str">
        <f>IF(AE908="","",IF(AE908="[FÓRMULA MANUAL]","",IFERROR(AVERAGEIFS(DATOS!$K$2:$K$20000,DATOS!$A$2:$A$20000,AE908,DATOS!$G$2:$G$20000,CONFIG_METADATA!$B$4,DATOS!$I$2:$I$20000,"Orquesta/Banda/Conjunto"),"")))</f>
        <v/>
      </c>
      <c r="AH908" t="str">
        <f>IF(AE908="","",IF(AE908="[FÓRMULA MANUAL]","",IFERROR(AVERAGEIFS(DATOS!$K$2:$K$20000,DATOS!$A$2:$A$20000,AE908,DATOS!$G$2:$G$20000,CONFIG_METADATA!$B$4,DATOS!$I$2:$I$20000,"Música de Cámara"),"")))</f>
        <v/>
      </c>
      <c r="AI908" t="str">
        <f>IF(AE908="","",IF(AE908="[FÓRMULA MANUAL]","",IFERROR(SUMPRODUCT((DATOS!$A$2:$A$20000=AE908)*(DATOS!$G$2:$G$20000=CONFIG_METADATA!$B$4)*(COUNTIF(CONFIG_ASIGNATURAS!$B$7:$B$27,DATOS!$I$2:$I$20000)&gt;0)*(DATOS!$K$2:$K$20000))/SUMPRODUCT((DATOS!$A$2:$A$20000=AE908)*(DATOS!$G$2:$G$20000=CONFIG_METADATA!$B$4)*(COUNTIF(CONFIG_ASIGNATURAS!$B$7:$B$27,DATOS!$I$2:$I$20000)&gt;0)*1),"")))</f>
        <v/>
      </c>
    </row>
    <row r="909" spans="2:35" x14ac:dyDescent="0.2">
      <c r="B909" t="str">
        <f>IF(A909="","",IF(A909="[FÓRMULA MANUAL]","",IFERROR(AVERAGEIFS(DATOS!$K$2:$K$20000,DATOS!$A$2:$A$20000,A909,DATOS!$G$2:$G$20000,CONFIG_METADATA!$B$4,DATOS!$I$2:$I$20000,"Lenguaje Musical"),"")))</f>
        <v/>
      </c>
      <c r="C909" t="str">
        <f>IF(A909="","",IF(A909="[FÓRMULA MANUAL]","",IFERROR(AVERAGEIFS(DATOS!$K$2:$K$20000,DATOS!$A$2:$A$20000,A909,DATOS!$G$2:$G$20000,CONFIG_METADATA!$B$4,DATOS!$I$2:$I$20000,"Orquesta/Banda/Conjunto"),"")))</f>
        <v/>
      </c>
      <c r="D909" t="str">
        <f>IF(A909="","",IF(A909="[FÓRMULA MANUAL]","",IFERROR(AVERAGEIFS(DATOS!$K$2:$K$20000,DATOS!$A$2:$A$20000,A909,DATOS!$G$2:$G$20000,CONFIG_METADATA!$B$4,DATOS!$I$2:$I$20000,"Conjunto"),"")))</f>
        <v/>
      </c>
      <c r="E909" t="str">
        <f>IF(A909="","",IF(A909="[FÓRMULA MANUAL]","",IFERROR(SUMPRODUCT((DATOS!$A$2:$A$20000=A909)*(DATOS!$G$2:$G$20000=CONFIG_METADATA!$B$4)*(COUNTIF(CONFIG_ASIGNATURAS!$B$7:$B$27,DATOS!$I$2:$I$20000)&gt;0)*(DATOS!$K$2:$K$20000))/SUMPRODUCT((DATOS!$A$2:$A$20000=A909)*(DATOS!$G$2:$G$20000=CONFIG_METADATA!$B$4)*(COUNTIF(CONFIG_ASIGNATURAS!$B$7:$B$27,DATOS!$I$2:$I$20000)&gt;0)*1),"")))</f>
        <v/>
      </c>
      <c r="H909" t="str">
        <f>IF(G909="","",IF(G909="[FÓRMULA MANUAL]","",IFERROR(AVERAGEIFS(DATOS!$K$2:$K$20000,DATOS!$A$2:$A$20000,G909,DATOS!$G$2:$G$20000,CONFIG_METADATA!$B$4,DATOS!$I$2:$I$20000,"Lenguaje Musical"),"")))</f>
        <v/>
      </c>
      <c r="I909" t="str">
        <f>IF(G909="","",IF(G909="[FÓRMULA MANUAL]","",IFERROR(AVERAGEIFS(DATOS!$K$2:$K$20000,DATOS!$A$2:$A$20000,G909,DATOS!$G$2:$G$20000,CONFIG_METADATA!$B$4,DATOS!$I$2:$I$20000,"Orquesta/Banda/Conjunto"),"")))</f>
        <v/>
      </c>
      <c r="J909" t="str">
        <f>IF(G909="","",IF(G909="[FÓRMULA MANUAL]","",IFERROR(AVERAGEIFS(DATOS!$K$2:$K$20000,DATOS!$A$2:$A$20000,G909,DATOS!$G$2:$G$20000,CONFIG_METADATA!$B$4,DATOS!$I$2:$I$20000,"Conjunto"),"")))</f>
        <v/>
      </c>
      <c r="K909" t="str">
        <f>IF(G909="","",IF(G909="[FÓRMULA MANUAL]","",IFERROR(SUMPRODUCT((DATOS!$A$2:$A$20000=G909)*(DATOS!$G$2:$G$20000=CONFIG_METADATA!$B$4)*(COUNTIF(CONFIG_ASIGNATURAS!$B$7:$B$27,DATOS!$I$2:$I$20000)&gt;0)*(DATOS!$K$2:$K$20000))/SUMPRODUCT((DATOS!$A$2:$A$20000=G909)*(DATOS!$G$2:$G$20000=CONFIG_METADATA!$B$4)*(COUNTIF(CONFIG_ASIGNATURAS!$B$7:$B$27,DATOS!$I$2:$I$20000)&gt;0)*1),"")))</f>
        <v/>
      </c>
      <c r="N909" t="str">
        <f>IF(M909="","",IF(M909="[FÓRMULA MANUAL]","",IFERROR(AVERAGEIFS(DATOS!$K$2:$K$20000,DATOS!$A$2:$A$20000,M909,DATOS!$G$2:$G$20000,CONFIG_METADATA!$B$4,DATOS!$I$2:$I$20000,"Armonía"),"")))</f>
        <v/>
      </c>
      <c r="O909" t="str">
        <f>IF(M909="","",IF(M909="[FÓRMULA MANUAL]","",IFERROR(AVERAGEIFS(DATOS!$K$2:$K$20000,DATOS!$A$2:$A$20000,M909,DATOS!$G$2:$G$20000,CONFIG_METADATA!$B$4,DATOS!$I$2:$I$20000,"Orquesta/Banda/Conjunto"),"")))</f>
        <v/>
      </c>
      <c r="P909" t="str">
        <f>IF(M909="","",IF(M909="[FÓRMULA MANUAL]","",IFERROR(AVERAGEIFS(DATOS!$K$2:$K$20000,DATOS!$A$2:$A$20000,M909,DATOS!$G$2:$G$20000,CONFIG_METADATA!$B$4,DATOS!$I$2:$I$20000,"Música de Cámara"),"")))</f>
        <v/>
      </c>
      <c r="Q909" t="str">
        <f>IF(M909="","",IF(M909="[FÓRMULA MANUAL]","",IFERROR(SUMPRODUCT((DATOS!$A$2:$A$20000=M909)*(DATOS!$G$2:$G$20000=CONFIG_METADATA!$B$4)*(COUNTIF(CONFIG_ASIGNATURAS!$B$7:$B$27,DATOS!$I$2:$I$20000)&gt;0)*(DATOS!$K$2:$K$20000))/SUMPRODUCT((DATOS!$A$2:$A$20000=M909)*(DATOS!$G$2:$G$20000=CONFIG_METADATA!$B$4)*(COUNTIF(CONFIG_ASIGNATURAS!$B$7:$B$27,DATOS!$I$2:$I$20000)&gt;0)*1),"")))</f>
        <v/>
      </c>
      <c r="T909" t="str">
        <f>IF(S909="","",IF(S909="[FÓRMULA MANUAL]","",IFERROR(AVERAGEIFS(DATOS!$K$2:$K$20000,DATOS!$A$2:$A$20000,S909,DATOS!$G$2:$G$20000,CONFIG_METADATA!$B$4,DATOS!$I$2:$I$20000,"Armonía"),"")))</f>
        <v/>
      </c>
      <c r="U909" t="str">
        <f>IF(S909="","",IF(S909="[FÓRMULA MANUAL]","",IFERROR(AVERAGEIFS(DATOS!$K$2:$K$20000,DATOS!$A$2:$A$20000,S909,DATOS!$G$2:$G$20000,CONFIG_METADATA!$B$4,DATOS!$I$2:$I$20000,"Orquesta/Banda/Conjunto"),"")))</f>
        <v/>
      </c>
      <c r="V909" t="str">
        <f>IF(S909="","",IF(S909="[FÓRMULA MANUAL]","",IFERROR(AVERAGEIFS(DATOS!$K$2:$K$20000,DATOS!$A$2:$A$20000,S909,DATOS!$G$2:$G$20000,CONFIG_METADATA!$B$4,DATOS!$I$2:$I$20000,"Música de Cámara"),"")))</f>
        <v/>
      </c>
      <c r="W909" t="str">
        <f>IF(S909="","",IF(S909="[FÓRMULA MANUAL]","",IFERROR(SUMPRODUCT((DATOS!$A$2:$A$20000=S909)*(DATOS!$G$2:$G$20000=CONFIG_METADATA!$B$4)*(COUNTIF(CONFIG_ASIGNATURAS!$B$7:$B$27,DATOS!$I$2:$I$20000)&gt;0)*(DATOS!$K$2:$K$20000))/SUMPRODUCT((DATOS!$A$2:$A$20000=S909)*(DATOS!$G$2:$G$20000=CONFIG_METADATA!$B$4)*(COUNTIF(CONFIG_ASIGNATURAS!$B$7:$B$27,DATOS!$I$2:$I$20000)&gt;0)*1),"")))</f>
        <v/>
      </c>
      <c r="Z909" t="str">
        <f>IF(Y909="","",IF(Y909="[FÓRMULA MANUAL]","",IFERROR(AVERAGEIFS(DATOS!$K$2:$K$20000,DATOS!$A$2:$A$20000,Y909,DATOS!$G$2:$G$20000,CONFIG_METADATA!$B$4,DATOS!$I$2:$I$20000,"Análisis"),"")))</f>
        <v/>
      </c>
      <c r="AA909" t="str">
        <f>IF(Y909="","",IF(Y909="[FÓRMULA MANUAL]","",IFERROR(AVERAGEIFS(DATOS!$K$2:$K$20000,DATOS!$A$2:$A$20000,Y909,DATOS!$G$2:$G$20000,CONFIG_METADATA!$B$4,DATOS!$I$2:$I$20000,"Orquesta/Banda/Conjunto"),"")))</f>
        <v/>
      </c>
      <c r="AB909" t="str">
        <f>IF(Y909="","",IF(Y909="[FÓRMULA MANUAL]","",IFERROR(AVERAGEIFS(DATOS!$K$2:$K$20000,DATOS!$A$2:$A$20000,Y909,DATOS!$G$2:$G$20000,CONFIG_METADATA!$B$4,DATOS!$I$2:$I$20000,"Música de Cámara"),"")))</f>
        <v/>
      </c>
      <c r="AC909" t="str">
        <f>IF(Y909="","",IF(Y909="[FÓRMULA MANUAL]","",IFERROR(SUMPRODUCT((DATOS!$A$2:$A$20000=Y909)*(DATOS!$G$2:$G$20000=CONFIG_METADATA!$B$4)*(COUNTIF(CONFIG_ASIGNATURAS!$B$7:$B$27,DATOS!$I$2:$I$20000)&gt;0)*(DATOS!$K$2:$K$20000))/SUMPRODUCT((DATOS!$A$2:$A$20000=Y909)*(DATOS!$G$2:$G$20000=CONFIG_METADATA!$B$4)*(COUNTIF(CONFIG_ASIGNATURAS!$B$7:$B$27,DATOS!$I$2:$I$20000)&gt;0)*1),"")))</f>
        <v/>
      </c>
      <c r="AF909" t="str">
        <f>IF(AE909="","",IF(AE909="[FÓRMULA MANUAL]","",IFERROR(AVERAGEIFS(DATOS!$K$2:$K$20000,DATOS!$A$2:$A$20000,AE909,DATOS!$G$2:$G$20000,CONFIG_METADATA!$B$4,DATOS!$I$2:$I$20000,"Análisis"),"")))</f>
        <v/>
      </c>
      <c r="AG909" t="str">
        <f>IF(AE909="","",IF(AE909="[FÓRMULA MANUAL]","",IFERROR(AVERAGEIFS(DATOS!$K$2:$K$20000,DATOS!$A$2:$A$20000,AE909,DATOS!$G$2:$G$20000,CONFIG_METADATA!$B$4,DATOS!$I$2:$I$20000,"Orquesta/Banda/Conjunto"),"")))</f>
        <v/>
      </c>
      <c r="AH909" t="str">
        <f>IF(AE909="","",IF(AE909="[FÓRMULA MANUAL]","",IFERROR(AVERAGEIFS(DATOS!$K$2:$K$20000,DATOS!$A$2:$A$20000,AE909,DATOS!$G$2:$G$20000,CONFIG_METADATA!$B$4,DATOS!$I$2:$I$20000,"Música de Cámara"),"")))</f>
        <v/>
      </c>
      <c r="AI909" t="str">
        <f>IF(AE909="","",IF(AE909="[FÓRMULA MANUAL]","",IFERROR(SUMPRODUCT((DATOS!$A$2:$A$20000=AE909)*(DATOS!$G$2:$G$20000=CONFIG_METADATA!$B$4)*(COUNTIF(CONFIG_ASIGNATURAS!$B$7:$B$27,DATOS!$I$2:$I$20000)&gt;0)*(DATOS!$K$2:$K$20000))/SUMPRODUCT((DATOS!$A$2:$A$20000=AE909)*(DATOS!$G$2:$G$20000=CONFIG_METADATA!$B$4)*(COUNTIF(CONFIG_ASIGNATURAS!$B$7:$B$27,DATOS!$I$2:$I$20000)&gt;0)*1),"")))</f>
        <v/>
      </c>
    </row>
    <row r="910" spans="2:35" x14ac:dyDescent="0.2">
      <c r="B910" t="str">
        <f>IF(A910="","",IF(A910="[FÓRMULA MANUAL]","",IFERROR(AVERAGEIFS(DATOS!$K$2:$K$20000,DATOS!$A$2:$A$20000,A910,DATOS!$G$2:$G$20000,CONFIG_METADATA!$B$4,DATOS!$I$2:$I$20000,"Lenguaje Musical"),"")))</f>
        <v/>
      </c>
      <c r="C910" t="str">
        <f>IF(A910="","",IF(A910="[FÓRMULA MANUAL]","",IFERROR(AVERAGEIFS(DATOS!$K$2:$K$20000,DATOS!$A$2:$A$20000,A910,DATOS!$G$2:$G$20000,CONFIG_METADATA!$B$4,DATOS!$I$2:$I$20000,"Orquesta/Banda/Conjunto"),"")))</f>
        <v/>
      </c>
      <c r="D910" t="str">
        <f>IF(A910="","",IF(A910="[FÓRMULA MANUAL]","",IFERROR(AVERAGEIFS(DATOS!$K$2:$K$20000,DATOS!$A$2:$A$20000,A910,DATOS!$G$2:$G$20000,CONFIG_METADATA!$B$4,DATOS!$I$2:$I$20000,"Conjunto"),"")))</f>
        <v/>
      </c>
      <c r="E910" t="str">
        <f>IF(A910="","",IF(A910="[FÓRMULA MANUAL]","",IFERROR(SUMPRODUCT((DATOS!$A$2:$A$20000=A910)*(DATOS!$G$2:$G$20000=CONFIG_METADATA!$B$4)*(COUNTIF(CONFIG_ASIGNATURAS!$B$7:$B$27,DATOS!$I$2:$I$20000)&gt;0)*(DATOS!$K$2:$K$20000))/SUMPRODUCT((DATOS!$A$2:$A$20000=A910)*(DATOS!$G$2:$G$20000=CONFIG_METADATA!$B$4)*(COUNTIF(CONFIG_ASIGNATURAS!$B$7:$B$27,DATOS!$I$2:$I$20000)&gt;0)*1),"")))</f>
        <v/>
      </c>
      <c r="H910" t="str">
        <f>IF(G910="","",IF(G910="[FÓRMULA MANUAL]","",IFERROR(AVERAGEIFS(DATOS!$K$2:$K$20000,DATOS!$A$2:$A$20000,G910,DATOS!$G$2:$G$20000,CONFIG_METADATA!$B$4,DATOS!$I$2:$I$20000,"Lenguaje Musical"),"")))</f>
        <v/>
      </c>
      <c r="I910" t="str">
        <f>IF(G910="","",IF(G910="[FÓRMULA MANUAL]","",IFERROR(AVERAGEIFS(DATOS!$K$2:$K$20000,DATOS!$A$2:$A$20000,G910,DATOS!$G$2:$G$20000,CONFIG_METADATA!$B$4,DATOS!$I$2:$I$20000,"Orquesta/Banda/Conjunto"),"")))</f>
        <v/>
      </c>
      <c r="J910" t="str">
        <f>IF(G910="","",IF(G910="[FÓRMULA MANUAL]","",IFERROR(AVERAGEIFS(DATOS!$K$2:$K$20000,DATOS!$A$2:$A$20000,G910,DATOS!$G$2:$G$20000,CONFIG_METADATA!$B$4,DATOS!$I$2:$I$20000,"Conjunto"),"")))</f>
        <v/>
      </c>
      <c r="K910" t="str">
        <f>IF(G910="","",IF(G910="[FÓRMULA MANUAL]","",IFERROR(SUMPRODUCT((DATOS!$A$2:$A$20000=G910)*(DATOS!$G$2:$G$20000=CONFIG_METADATA!$B$4)*(COUNTIF(CONFIG_ASIGNATURAS!$B$7:$B$27,DATOS!$I$2:$I$20000)&gt;0)*(DATOS!$K$2:$K$20000))/SUMPRODUCT((DATOS!$A$2:$A$20000=G910)*(DATOS!$G$2:$G$20000=CONFIG_METADATA!$B$4)*(COUNTIF(CONFIG_ASIGNATURAS!$B$7:$B$27,DATOS!$I$2:$I$20000)&gt;0)*1),"")))</f>
        <v/>
      </c>
      <c r="N910" t="str">
        <f>IF(M910="","",IF(M910="[FÓRMULA MANUAL]","",IFERROR(AVERAGEIFS(DATOS!$K$2:$K$20000,DATOS!$A$2:$A$20000,M910,DATOS!$G$2:$G$20000,CONFIG_METADATA!$B$4,DATOS!$I$2:$I$20000,"Armonía"),"")))</f>
        <v/>
      </c>
      <c r="O910" t="str">
        <f>IF(M910="","",IF(M910="[FÓRMULA MANUAL]","",IFERROR(AVERAGEIFS(DATOS!$K$2:$K$20000,DATOS!$A$2:$A$20000,M910,DATOS!$G$2:$G$20000,CONFIG_METADATA!$B$4,DATOS!$I$2:$I$20000,"Orquesta/Banda/Conjunto"),"")))</f>
        <v/>
      </c>
      <c r="P910" t="str">
        <f>IF(M910="","",IF(M910="[FÓRMULA MANUAL]","",IFERROR(AVERAGEIFS(DATOS!$K$2:$K$20000,DATOS!$A$2:$A$20000,M910,DATOS!$G$2:$G$20000,CONFIG_METADATA!$B$4,DATOS!$I$2:$I$20000,"Música de Cámara"),"")))</f>
        <v/>
      </c>
      <c r="Q910" t="str">
        <f>IF(M910="","",IF(M910="[FÓRMULA MANUAL]","",IFERROR(SUMPRODUCT((DATOS!$A$2:$A$20000=M910)*(DATOS!$G$2:$G$20000=CONFIG_METADATA!$B$4)*(COUNTIF(CONFIG_ASIGNATURAS!$B$7:$B$27,DATOS!$I$2:$I$20000)&gt;0)*(DATOS!$K$2:$K$20000))/SUMPRODUCT((DATOS!$A$2:$A$20000=M910)*(DATOS!$G$2:$G$20000=CONFIG_METADATA!$B$4)*(COUNTIF(CONFIG_ASIGNATURAS!$B$7:$B$27,DATOS!$I$2:$I$20000)&gt;0)*1),"")))</f>
        <v/>
      </c>
      <c r="T910" t="str">
        <f>IF(S910="","",IF(S910="[FÓRMULA MANUAL]","",IFERROR(AVERAGEIFS(DATOS!$K$2:$K$20000,DATOS!$A$2:$A$20000,S910,DATOS!$G$2:$G$20000,CONFIG_METADATA!$B$4,DATOS!$I$2:$I$20000,"Armonía"),"")))</f>
        <v/>
      </c>
      <c r="U910" t="str">
        <f>IF(S910="","",IF(S910="[FÓRMULA MANUAL]","",IFERROR(AVERAGEIFS(DATOS!$K$2:$K$20000,DATOS!$A$2:$A$20000,S910,DATOS!$G$2:$G$20000,CONFIG_METADATA!$B$4,DATOS!$I$2:$I$20000,"Orquesta/Banda/Conjunto"),"")))</f>
        <v/>
      </c>
      <c r="V910" t="str">
        <f>IF(S910="","",IF(S910="[FÓRMULA MANUAL]","",IFERROR(AVERAGEIFS(DATOS!$K$2:$K$20000,DATOS!$A$2:$A$20000,S910,DATOS!$G$2:$G$20000,CONFIG_METADATA!$B$4,DATOS!$I$2:$I$20000,"Música de Cámara"),"")))</f>
        <v/>
      </c>
      <c r="W910" t="str">
        <f>IF(S910="","",IF(S910="[FÓRMULA MANUAL]","",IFERROR(SUMPRODUCT((DATOS!$A$2:$A$20000=S910)*(DATOS!$G$2:$G$20000=CONFIG_METADATA!$B$4)*(COUNTIF(CONFIG_ASIGNATURAS!$B$7:$B$27,DATOS!$I$2:$I$20000)&gt;0)*(DATOS!$K$2:$K$20000))/SUMPRODUCT((DATOS!$A$2:$A$20000=S910)*(DATOS!$G$2:$G$20000=CONFIG_METADATA!$B$4)*(COUNTIF(CONFIG_ASIGNATURAS!$B$7:$B$27,DATOS!$I$2:$I$20000)&gt;0)*1),"")))</f>
        <v/>
      </c>
      <c r="Z910" t="str">
        <f>IF(Y910="","",IF(Y910="[FÓRMULA MANUAL]","",IFERROR(AVERAGEIFS(DATOS!$K$2:$K$20000,DATOS!$A$2:$A$20000,Y910,DATOS!$G$2:$G$20000,CONFIG_METADATA!$B$4,DATOS!$I$2:$I$20000,"Análisis"),"")))</f>
        <v/>
      </c>
      <c r="AA910" t="str">
        <f>IF(Y910="","",IF(Y910="[FÓRMULA MANUAL]","",IFERROR(AVERAGEIFS(DATOS!$K$2:$K$20000,DATOS!$A$2:$A$20000,Y910,DATOS!$G$2:$G$20000,CONFIG_METADATA!$B$4,DATOS!$I$2:$I$20000,"Orquesta/Banda/Conjunto"),"")))</f>
        <v/>
      </c>
      <c r="AB910" t="str">
        <f>IF(Y910="","",IF(Y910="[FÓRMULA MANUAL]","",IFERROR(AVERAGEIFS(DATOS!$K$2:$K$20000,DATOS!$A$2:$A$20000,Y910,DATOS!$G$2:$G$20000,CONFIG_METADATA!$B$4,DATOS!$I$2:$I$20000,"Música de Cámara"),"")))</f>
        <v/>
      </c>
      <c r="AC910" t="str">
        <f>IF(Y910="","",IF(Y910="[FÓRMULA MANUAL]","",IFERROR(SUMPRODUCT((DATOS!$A$2:$A$20000=Y910)*(DATOS!$G$2:$G$20000=CONFIG_METADATA!$B$4)*(COUNTIF(CONFIG_ASIGNATURAS!$B$7:$B$27,DATOS!$I$2:$I$20000)&gt;0)*(DATOS!$K$2:$K$20000))/SUMPRODUCT((DATOS!$A$2:$A$20000=Y910)*(DATOS!$G$2:$G$20000=CONFIG_METADATA!$B$4)*(COUNTIF(CONFIG_ASIGNATURAS!$B$7:$B$27,DATOS!$I$2:$I$20000)&gt;0)*1),"")))</f>
        <v/>
      </c>
      <c r="AF910" t="str">
        <f>IF(AE910="","",IF(AE910="[FÓRMULA MANUAL]","",IFERROR(AVERAGEIFS(DATOS!$K$2:$K$20000,DATOS!$A$2:$A$20000,AE910,DATOS!$G$2:$G$20000,CONFIG_METADATA!$B$4,DATOS!$I$2:$I$20000,"Análisis"),"")))</f>
        <v/>
      </c>
      <c r="AG910" t="str">
        <f>IF(AE910="","",IF(AE910="[FÓRMULA MANUAL]","",IFERROR(AVERAGEIFS(DATOS!$K$2:$K$20000,DATOS!$A$2:$A$20000,AE910,DATOS!$G$2:$G$20000,CONFIG_METADATA!$B$4,DATOS!$I$2:$I$20000,"Orquesta/Banda/Conjunto"),"")))</f>
        <v/>
      </c>
      <c r="AH910" t="str">
        <f>IF(AE910="","",IF(AE910="[FÓRMULA MANUAL]","",IFERROR(AVERAGEIFS(DATOS!$K$2:$K$20000,DATOS!$A$2:$A$20000,AE910,DATOS!$G$2:$G$20000,CONFIG_METADATA!$B$4,DATOS!$I$2:$I$20000,"Música de Cámara"),"")))</f>
        <v/>
      </c>
      <c r="AI910" t="str">
        <f>IF(AE910="","",IF(AE910="[FÓRMULA MANUAL]","",IFERROR(SUMPRODUCT((DATOS!$A$2:$A$20000=AE910)*(DATOS!$G$2:$G$20000=CONFIG_METADATA!$B$4)*(COUNTIF(CONFIG_ASIGNATURAS!$B$7:$B$27,DATOS!$I$2:$I$20000)&gt;0)*(DATOS!$K$2:$K$20000))/SUMPRODUCT((DATOS!$A$2:$A$20000=AE910)*(DATOS!$G$2:$G$20000=CONFIG_METADATA!$B$4)*(COUNTIF(CONFIG_ASIGNATURAS!$B$7:$B$27,DATOS!$I$2:$I$20000)&gt;0)*1),"")))</f>
        <v/>
      </c>
    </row>
    <row r="911" spans="2:35" x14ac:dyDescent="0.2">
      <c r="B911" t="str">
        <f>IF(A911="","",IF(A911="[FÓRMULA MANUAL]","",IFERROR(AVERAGEIFS(DATOS!$K$2:$K$20000,DATOS!$A$2:$A$20000,A911,DATOS!$G$2:$G$20000,CONFIG_METADATA!$B$4,DATOS!$I$2:$I$20000,"Lenguaje Musical"),"")))</f>
        <v/>
      </c>
      <c r="C911" t="str">
        <f>IF(A911="","",IF(A911="[FÓRMULA MANUAL]","",IFERROR(AVERAGEIFS(DATOS!$K$2:$K$20000,DATOS!$A$2:$A$20000,A911,DATOS!$G$2:$G$20000,CONFIG_METADATA!$B$4,DATOS!$I$2:$I$20000,"Orquesta/Banda/Conjunto"),"")))</f>
        <v/>
      </c>
      <c r="D911" t="str">
        <f>IF(A911="","",IF(A911="[FÓRMULA MANUAL]","",IFERROR(AVERAGEIFS(DATOS!$K$2:$K$20000,DATOS!$A$2:$A$20000,A911,DATOS!$G$2:$G$20000,CONFIG_METADATA!$B$4,DATOS!$I$2:$I$20000,"Conjunto"),"")))</f>
        <v/>
      </c>
      <c r="E911" t="str">
        <f>IF(A911="","",IF(A911="[FÓRMULA MANUAL]","",IFERROR(SUMPRODUCT((DATOS!$A$2:$A$20000=A911)*(DATOS!$G$2:$G$20000=CONFIG_METADATA!$B$4)*(COUNTIF(CONFIG_ASIGNATURAS!$B$7:$B$27,DATOS!$I$2:$I$20000)&gt;0)*(DATOS!$K$2:$K$20000))/SUMPRODUCT((DATOS!$A$2:$A$20000=A911)*(DATOS!$G$2:$G$20000=CONFIG_METADATA!$B$4)*(COUNTIF(CONFIG_ASIGNATURAS!$B$7:$B$27,DATOS!$I$2:$I$20000)&gt;0)*1),"")))</f>
        <v/>
      </c>
      <c r="H911" t="str">
        <f>IF(G911="","",IF(G911="[FÓRMULA MANUAL]","",IFERROR(AVERAGEIFS(DATOS!$K$2:$K$20000,DATOS!$A$2:$A$20000,G911,DATOS!$G$2:$G$20000,CONFIG_METADATA!$B$4,DATOS!$I$2:$I$20000,"Lenguaje Musical"),"")))</f>
        <v/>
      </c>
      <c r="I911" t="str">
        <f>IF(G911="","",IF(G911="[FÓRMULA MANUAL]","",IFERROR(AVERAGEIFS(DATOS!$K$2:$K$20000,DATOS!$A$2:$A$20000,G911,DATOS!$G$2:$G$20000,CONFIG_METADATA!$B$4,DATOS!$I$2:$I$20000,"Orquesta/Banda/Conjunto"),"")))</f>
        <v/>
      </c>
      <c r="J911" t="str">
        <f>IF(G911="","",IF(G911="[FÓRMULA MANUAL]","",IFERROR(AVERAGEIFS(DATOS!$K$2:$K$20000,DATOS!$A$2:$A$20000,G911,DATOS!$G$2:$G$20000,CONFIG_METADATA!$B$4,DATOS!$I$2:$I$20000,"Conjunto"),"")))</f>
        <v/>
      </c>
      <c r="K911" t="str">
        <f>IF(G911="","",IF(G911="[FÓRMULA MANUAL]","",IFERROR(SUMPRODUCT((DATOS!$A$2:$A$20000=G911)*(DATOS!$G$2:$G$20000=CONFIG_METADATA!$B$4)*(COUNTIF(CONFIG_ASIGNATURAS!$B$7:$B$27,DATOS!$I$2:$I$20000)&gt;0)*(DATOS!$K$2:$K$20000))/SUMPRODUCT((DATOS!$A$2:$A$20000=G911)*(DATOS!$G$2:$G$20000=CONFIG_METADATA!$B$4)*(COUNTIF(CONFIG_ASIGNATURAS!$B$7:$B$27,DATOS!$I$2:$I$20000)&gt;0)*1),"")))</f>
        <v/>
      </c>
      <c r="N911" t="str">
        <f>IF(M911="","",IF(M911="[FÓRMULA MANUAL]","",IFERROR(AVERAGEIFS(DATOS!$K$2:$K$20000,DATOS!$A$2:$A$20000,M911,DATOS!$G$2:$G$20000,CONFIG_METADATA!$B$4,DATOS!$I$2:$I$20000,"Armonía"),"")))</f>
        <v/>
      </c>
      <c r="O911" t="str">
        <f>IF(M911="","",IF(M911="[FÓRMULA MANUAL]","",IFERROR(AVERAGEIFS(DATOS!$K$2:$K$20000,DATOS!$A$2:$A$20000,M911,DATOS!$G$2:$G$20000,CONFIG_METADATA!$B$4,DATOS!$I$2:$I$20000,"Orquesta/Banda/Conjunto"),"")))</f>
        <v/>
      </c>
      <c r="P911" t="str">
        <f>IF(M911="","",IF(M911="[FÓRMULA MANUAL]","",IFERROR(AVERAGEIFS(DATOS!$K$2:$K$20000,DATOS!$A$2:$A$20000,M911,DATOS!$G$2:$G$20000,CONFIG_METADATA!$B$4,DATOS!$I$2:$I$20000,"Música de Cámara"),"")))</f>
        <v/>
      </c>
      <c r="Q911" t="str">
        <f>IF(M911="","",IF(M911="[FÓRMULA MANUAL]","",IFERROR(SUMPRODUCT((DATOS!$A$2:$A$20000=M911)*(DATOS!$G$2:$G$20000=CONFIG_METADATA!$B$4)*(COUNTIF(CONFIG_ASIGNATURAS!$B$7:$B$27,DATOS!$I$2:$I$20000)&gt;0)*(DATOS!$K$2:$K$20000))/SUMPRODUCT((DATOS!$A$2:$A$20000=M911)*(DATOS!$G$2:$G$20000=CONFIG_METADATA!$B$4)*(COUNTIF(CONFIG_ASIGNATURAS!$B$7:$B$27,DATOS!$I$2:$I$20000)&gt;0)*1),"")))</f>
        <v/>
      </c>
      <c r="T911" t="str">
        <f>IF(S911="","",IF(S911="[FÓRMULA MANUAL]","",IFERROR(AVERAGEIFS(DATOS!$K$2:$K$20000,DATOS!$A$2:$A$20000,S911,DATOS!$G$2:$G$20000,CONFIG_METADATA!$B$4,DATOS!$I$2:$I$20000,"Armonía"),"")))</f>
        <v/>
      </c>
      <c r="U911" t="str">
        <f>IF(S911="","",IF(S911="[FÓRMULA MANUAL]","",IFERROR(AVERAGEIFS(DATOS!$K$2:$K$20000,DATOS!$A$2:$A$20000,S911,DATOS!$G$2:$G$20000,CONFIG_METADATA!$B$4,DATOS!$I$2:$I$20000,"Orquesta/Banda/Conjunto"),"")))</f>
        <v/>
      </c>
      <c r="V911" t="str">
        <f>IF(S911="","",IF(S911="[FÓRMULA MANUAL]","",IFERROR(AVERAGEIFS(DATOS!$K$2:$K$20000,DATOS!$A$2:$A$20000,S911,DATOS!$G$2:$G$20000,CONFIG_METADATA!$B$4,DATOS!$I$2:$I$20000,"Música de Cámara"),"")))</f>
        <v/>
      </c>
      <c r="W911" t="str">
        <f>IF(S911="","",IF(S911="[FÓRMULA MANUAL]","",IFERROR(SUMPRODUCT((DATOS!$A$2:$A$20000=S911)*(DATOS!$G$2:$G$20000=CONFIG_METADATA!$B$4)*(COUNTIF(CONFIG_ASIGNATURAS!$B$7:$B$27,DATOS!$I$2:$I$20000)&gt;0)*(DATOS!$K$2:$K$20000))/SUMPRODUCT((DATOS!$A$2:$A$20000=S911)*(DATOS!$G$2:$G$20000=CONFIG_METADATA!$B$4)*(COUNTIF(CONFIG_ASIGNATURAS!$B$7:$B$27,DATOS!$I$2:$I$20000)&gt;0)*1),"")))</f>
        <v/>
      </c>
      <c r="Z911" t="str">
        <f>IF(Y911="","",IF(Y911="[FÓRMULA MANUAL]","",IFERROR(AVERAGEIFS(DATOS!$K$2:$K$20000,DATOS!$A$2:$A$20000,Y911,DATOS!$G$2:$G$20000,CONFIG_METADATA!$B$4,DATOS!$I$2:$I$20000,"Análisis"),"")))</f>
        <v/>
      </c>
      <c r="AA911" t="str">
        <f>IF(Y911="","",IF(Y911="[FÓRMULA MANUAL]","",IFERROR(AVERAGEIFS(DATOS!$K$2:$K$20000,DATOS!$A$2:$A$20000,Y911,DATOS!$G$2:$G$20000,CONFIG_METADATA!$B$4,DATOS!$I$2:$I$20000,"Orquesta/Banda/Conjunto"),"")))</f>
        <v/>
      </c>
      <c r="AB911" t="str">
        <f>IF(Y911="","",IF(Y911="[FÓRMULA MANUAL]","",IFERROR(AVERAGEIFS(DATOS!$K$2:$K$20000,DATOS!$A$2:$A$20000,Y911,DATOS!$G$2:$G$20000,CONFIG_METADATA!$B$4,DATOS!$I$2:$I$20000,"Música de Cámara"),"")))</f>
        <v/>
      </c>
      <c r="AC911" t="str">
        <f>IF(Y911="","",IF(Y911="[FÓRMULA MANUAL]","",IFERROR(SUMPRODUCT((DATOS!$A$2:$A$20000=Y911)*(DATOS!$G$2:$G$20000=CONFIG_METADATA!$B$4)*(COUNTIF(CONFIG_ASIGNATURAS!$B$7:$B$27,DATOS!$I$2:$I$20000)&gt;0)*(DATOS!$K$2:$K$20000))/SUMPRODUCT((DATOS!$A$2:$A$20000=Y911)*(DATOS!$G$2:$G$20000=CONFIG_METADATA!$B$4)*(COUNTIF(CONFIG_ASIGNATURAS!$B$7:$B$27,DATOS!$I$2:$I$20000)&gt;0)*1),"")))</f>
        <v/>
      </c>
      <c r="AF911" t="str">
        <f>IF(AE911="","",IF(AE911="[FÓRMULA MANUAL]","",IFERROR(AVERAGEIFS(DATOS!$K$2:$K$20000,DATOS!$A$2:$A$20000,AE911,DATOS!$G$2:$G$20000,CONFIG_METADATA!$B$4,DATOS!$I$2:$I$20000,"Análisis"),"")))</f>
        <v/>
      </c>
      <c r="AG911" t="str">
        <f>IF(AE911="","",IF(AE911="[FÓRMULA MANUAL]","",IFERROR(AVERAGEIFS(DATOS!$K$2:$K$20000,DATOS!$A$2:$A$20000,AE911,DATOS!$G$2:$G$20000,CONFIG_METADATA!$B$4,DATOS!$I$2:$I$20000,"Orquesta/Banda/Conjunto"),"")))</f>
        <v/>
      </c>
      <c r="AH911" t="str">
        <f>IF(AE911="","",IF(AE911="[FÓRMULA MANUAL]","",IFERROR(AVERAGEIFS(DATOS!$K$2:$K$20000,DATOS!$A$2:$A$20000,AE911,DATOS!$G$2:$G$20000,CONFIG_METADATA!$B$4,DATOS!$I$2:$I$20000,"Música de Cámara"),"")))</f>
        <v/>
      </c>
      <c r="AI911" t="str">
        <f>IF(AE911="","",IF(AE911="[FÓRMULA MANUAL]","",IFERROR(SUMPRODUCT((DATOS!$A$2:$A$20000=AE911)*(DATOS!$G$2:$G$20000=CONFIG_METADATA!$B$4)*(COUNTIF(CONFIG_ASIGNATURAS!$B$7:$B$27,DATOS!$I$2:$I$20000)&gt;0)*(DATOS!$K$2:$K$20000))/SUMPRODUCT((DATOS!$A$2:$A$20000=AE911)*(DATOS!$G$2:$G$20000=CONFIG_METADATA!$B$4)*(COUNTIF(CONFIG_ASIGNATURAS!$B$7:$B$27,DATOS!$I$2:$I$20000)&gt;0)*1),"")))</f>
        <v/>
      </c>
    </row>
    <row r="912" spans="2:35" x14ac:dyDescent="0.2">
      <c r="B912" t="str">
        <f>IF(A912="","",IF(A912="[FÓRMULA MANUAL]","",IFERROR(AVERAGEIFS(DATOS!$K$2:$K$20000,DATOS!$A$2:$A$20000,A912,DATOS!$G$2:$G$20000,CONFIG_METADATA!$B$4,DATOS!$I$2:$I$20000,"Lenguaje Musical"),"")))</f>
        <v/>
      </c>
      <c r="C912" t="str">
        <f>IF(A912="","",IF(A912="[FÓRMULA MANUAL]","",IFERROR(AVERAGEIFS(DATOS!$K$2:$K$20000,DATOS!$A$2:$A$20000,A912,DATOS!$G$2:$G$20000,CONFIG_METADATA!$B$4,DATOS!$I$2:$I$20000,"Orquesta/Banda/Conjunto"),"")))</f>
        <v/>
      </c>
      <c r="D912" t="str">
        <f>IF(A912="","",IF(A912="[FÓRMULA MANUAL]","",IFERROR(AVERAGEIFS(DATOS!$K$2:$K$20000,DATOS!$A$2:$A$20000,A912,DATOS!$G$2:$G$20000,CONFIG_METADATA!$B$4,DATOS!$I$2:$I$20000,"Conjunto"),"")))</f>
        <v/>
      </c>
      <c r="E912" t="str">
        <f>IF(A912="","",IF(A912="[FÓRMULA MANUAL]","",IFERROR(SUMPRODUCT((DATOS!$A$2:$A$20000=A912)*(DATOS!$G$2:$G$20000=CONFIG_METADATA!$B$4)*(COUNTIF(CONFIG_ASIGNATURAS!$B$7:$B$27,DATOS!$I$2:$I$20000)&gt;0)*(DATOS!$K$2:$K$20000))/SUMPRODUCT((DATOS!$A$2:$A$20000=A912)*(DATOS!$G$2:$G$20000=CONFIG_METADATA!$B$4)*(COUNTIF(CONFIG_ASIGNATURAS!$B$7:$B$27,DATOS!$I$2:$I$20000)&gt;0)*1),"")))</f>
        <v/>
      </c>
      <c r="H912" t="str">
        <f>IF(G912="","",IF(G912="[FÓRMULA MANUAL]","",IFERROR(AVERAGEIFS(DATOS!$K$2:$K$20000,DATOS!$A$2:$A$20000,G912,DATOS!$G$2:$G$20000,CONFIG_METADATA!$B$4,DATOS!$I$2:$I$20000,"Lenguaje Musical"),"")))</f>
        <v/>
      </c>
      <c r="I912" t="str">
        <f>IF(G912="","",IF(G912="[FÓRMULA MANUAL]","",IFERROR(AVERAGEIFS(DATOS!$K$2:$K$20000,DATOS!$A$2:$A$20000,G912,DATOS!$G$2:$G$20000,CONFIG_METADATA!$B$4,DATOS!$I$2:$I$20000,"Orquesta/Banda/Conjunto"),"")))</f>
        <v/>
      </c>
      <c r="J912" t="str">
        <f>IF(G912="","",IF(G912="[FÓRMULA MANUAL]","",IFERROR(AVERAGEIFS(DATOS!$K$2:$K$20000,DATOS!$A$2:$A$20000,G912,DATOS!$G$2:$G$20000,CONFIG_METADATA!$B$4,DATOS!$I$2:$I$20000,"Conjunto"),"")))</f>
        <v/>
      </c>
      <c r="K912" t="str">
        <f>IF(G912="","",IF(G912="[FÓRMULA MANUAL]","",IFERROR(SUMPRODUCT((DATOS!$A$2:$A$20000=G912)*(DATOS!$G$2:$G$20000=CONFIG_METADATA!$B$4)*(COUNTIF(CONFIG_ASIGNATURAS!$B$7:$B$27,DATOS!$I$2:$I$20000)&gt;0)*(DATOS!$K$2:$K$20000))/SUMPRODUCT((DATOS!$A$2:$A$20000=G912)*(DATOS!$G$2:$G$20000=CONFIG_METADATA!$B$4)*(COUNTIF(CONFIG_ASIGNATURAS!$B$7:$B$27,DATOS!$I$2:$I$20000)&gt;0)*1),"")))</f>
        <v/>
      </c>
      <c r="N912" t="str">
        <f>IF(M912="","",IF(M912="[FÓRMULA MANUAL]","",IFERROR(AVERAGEIFS(DATOS!$K$2:$K$20000,DATOS!$A$2:$A$20000,M912,DATOS!$G$2:$G$20000,CONFIG_METADATA!$B$4,DATOS!$I$2:$I$20000,"Armonía"),"")))</f>
        <v/>
      </c>
      <c r="O912" t="str">
        <f>IF(M912="","",IF(M912="[FÓRMULA MANUAL]","",IFERROR(AVERAGEIFS(DATOS!$K$2:$K$20000,DATOS!$A$2:$A$20000,M912,DATOS!$G$2:$G$20000,CONFIG_METADATA!$B$4,DATOS!$I$2:$I$20000,"Orquesta/Banda/Conjunto"),"")))</f>
        <v/>
      </c>
      <c r="P912" t="str">
        <f>IF(M912="","",IF(M912="[FÓRMULA MANUAL]","",IFERROR(AVERAGEIFS(DATOS!$K$2:$K$20000,DATOS!$A$2:$A$20000,M912,DATOS!$G$2:$G$20000,CONFIG_METADATA!$B$4,DATOS!$I$2:$I$20000,"Música de Cámara"),"")))</f>
        <v/>
      </c>
      <c r="Q912" t="str">
        <f>IF(M912="","",IF(M912="[FÓRMULA MANUAL]","",IFERROR(SUMPRODUCT((DATOS!$A$2:$A$20000=M912)*(DATOS!$G$2:$G$20000=CONFIG_METADATA!$B$4)*(COUNTIF(CONFIG_ASIGNATURAS!$B$7:$B$27,DATOS!$I$2:$I$20000)&gt;0)*(DATOS!$K$2:$K$20000))/SUMPRODUCT((DATOS!$A$2:$A$20000=M912)*(DATOS!$G$2:$G$20000=CONFIG_METADATA!$B$4)*(COUNTIF(CONFIG_ASIGNATURAS!$B$7:$B$27,DATOS!$I$2:$I$20000)&gt;0)*1),"")))</f>
        <v/>
      </c>
      <c r="T912" t="str">
        <f>IF(S912="","",IF(S912="[FÓRMULA MANUAL]","",IFERROR(AVERAGEIFS(DATOS!$K$2:$K$20000,DATOS!$A$2:$A$20000,S912,DATOS!$G$2:$G$20000,CONFIG_METADATA!$B$4,DATOS!$I$2:$I$20000,"Armonía"),"")))</f>
        <v/>
      </c>
      <c r="U912" t="str">
        <f>IF(S912="","",IF(S912="[FÓRMULA MANUAL]","",IFERROR(AVERAGEIFS(DATOS!$K$2:$K$20000,DATOS!$A$2:$A$20000,S912,DATOS!$G$2:$G$20000,CONFIG_METADATA!$B$4,DATOS!$I$2:$I$20000,"Orquesta/Banda/Conjunto"),"")))</f>
        <v/>
      </c>
      <c r="V912" t="str">
        <f>IF(S912="","",IF(S912="[FÓRMULA MANUAL]","",IFERROR(AVERAGEIFS(DATOS!$K$2:$K$20000,DATOS!$A$2:$A$20000,S912,DATOS!$G$2:$G$20000,CONFIG_METADATA!$B$4,DATOS!$I$2:$I$20000,"Música de Cámara"),"")))</f>
        <v/>
      </c>
      <c r="W912" t="str">
        <f>IF(S912="","",IF(S912="[FÓRMULA MANUAL]","",IFERROR(SUMPRODUCT((DATOS!$A$2:$A$20000=S912)*(DATOS!$G$2:$G$20000=CONFIG_METADATA!$B$4)*(COUNTIF(CONFIG_ASIGNATURAS!$B$7:$B$27,DATOS!$I$2:$I$20000)&gt;0)*(DATOS!$K$2:$K$20000))/SUMPRODUCT((DATOS!$A$2:$A$20000=S912)*(DATOS!$G$2:$G$20000=CONFIG_METADATA!$B$4)*(COUNTIF(CONFIG_ASIGNATURAS!$B$7:$B$27,DATOS!$I$2:$I$20000)&gt;0)*1),"")))</f>
        <v/>
      </c>
      <c r="Z912" t="str">
        <f>IF(Y912="","",IF(Y912="[FÓRMULA MANUAL]","",IFERROR(AVERAGEIFS(DATOS!$K$2:$K$20000,DATOS!$A$2:$A$20000,Y912,DATOS!$G$2:$G$20000,CONFIG_METADATA!$B$4,DATOS!$I$2:$I$20000,"Análisis"),"")))</f>
        <v/>
      </c>
      <c r="AA912" t="str">
        <f>IF(Y912="","",IF(Y912="[FÓRMULA MANUAL]","",IFERROR(AVERAGEIFS(DATOS!$K$2:$K$20000,DATOS!$A$2:$A$20000,Y912,DATOS!$G$2:$G$20000,CONFIG_METADATA!$B$4,DATOS!$I$2:$I$20000,"Orquesta/Banda/Conjunto"),"")))</f>
        <v/>
      </c>
      <c r="AB912" t="str">
        <f>IF(Y912="","",IF(Y912="[FÓRMULA MANUAL]","",IFERROR(AVERAGEIFS(DATOS!$K$2:$K$20000,DATOS!$A$2:$A$20000,Y912,DATOS!$G$2:$G$20000,CONFIG_METADATA!$B$4,DATOS!$I$2:$I$20000,"Música de Cámara"),"")))</f>
        <v/>
      </c>
      <c r="AC912" t="str">
        <f>IF(Y912="","",IF(Y912="[FÓRMULA MANUAL]","",IFERROR(SUMPRODUCT((DATOS!$A$2:$A$20000=Y912)*(DATOS!$G$2:$G$20000=CONFIG_METADATA!$B$4)*(COUNTIF(CONFIG_ASIGNATURAS!$B$7:$B$27,DATOS!$I$2:$I$20000)&gt;0)*(DATOS!$K$2:$K$20000))/SUMPRODUCT((DATOS!$A$2:$A$20000=Y912)*(DATOS!$G$2:$G$20000=CONFIG_METADATA!$B$4)*(COUNTIF(CONFIG_ASIGNATURAS!$B$7:$B$27,DATOS!$I$2:$I$20000)&gt;0)*1),"")))</f>
        <v/>
      </c>
      <c r="AF912" t="str">
        <f>IF(AE912="","",IF(AE912="[FÓRMULA MANUAL]","",IFERROR(AVERAGEIFS(DATOS!$K$2:$K$20000,DATOS!$A$2:$A$20000,AE912,DATOS!$G$2:$G$20000,CONFIG_METADATA!$B$4,DATOS!$I$2:$I$20000,"Análisis"),"")))</f>
        <v/>
      </c>
      <c r="AG912" t="str">
        <f>IF(AE912="","",IF(AE912="[FÓRMULA MANUAL]","",IFERROR(AVERAGEIFS(DATOS!$K$2:$K$20000,DATOS!$A$2:$A$20000,AE912,DATOS!$G$2:$G$20000,CONFIG_METADATA!$B$4,DATOS!$I$2:$I$20000,"Orquesta/Banda/Conjunto"),"")))</f>
        <v/>
      </c>
      <c r="AH912" t="str">
        <f>IF(AE912="","",IF(AE912="[FÓRMULA MANUAL]","",IFERROR(AVERAGEIFS(DATOS!$K$2:$K$20000,DATOS!$A$2:$A$20000,AE912,DATOS!$G$2:$G$20000,CONFIG_METADATA!$B$4,DATOS!$I$2:$I$20000,"Música de Cámara"),"")))</f>
        <v/>
      </c>
      <c r="AI912" t="str">
        <f>IF(AE912="","",IF(AE912="[FÓRMULA MANUAL]","",IFERROR(SUMPRODUCT((DATOS!$A$2:$A$20000=AE912)*(DATOS!$G$2:$G$20000=CONFIG_METADATA!$B$4)*(COUNTIF(CONFIG_ASIGNATURAS!$B$7:$B$27,DATOS!$I$2:$I$20000)&gt;0)*(DATOS!$K$2:$K$20000))/SUMPRODUCT((DATOS!$A$2:$A$20000=AE912)*(DATOS!$G$2:$G$20000=CONFIG_METADATA!$B$4)*(COUNTIF(CONFIG_ASIGNATURAS!$B$7:$B$27,DATOS!$I$2:$I$20000)&gt;0)*1),"")))</f>
        <v/>
      </c>
    </row>
    <row r="913" spans="2:35" x14ac:dyDescent="0.2">
      <c r="B913" t="str">
        <f>IF(A913="","",IF(A913="[FÓRMULA MANUAL]","",IFERROR(AVERAGEIFS(DATOS!$K$2:$K$20000,DATOS!$A$2:$A$20000,A913,DATOS!$G$2:$G$20000,CONFIG_METADATA!$B$4,DATOS!$I$2:$I$20000,"Lenguaje Musical"),"")))</f>
        <v/>
      </c>
      <c r="C913" t="str">
        <f>IF(A913="","",IF(A913="[FÓRMULA MANUAL]","",IFERROR(AVERAGEIFS(DATOS!$K$2:$K$20000,DATOS!$A$2:$A$20000,A913,DATOS!$G$2:$G$20000,CONFIG_METADATA!$B$4,DATOS!$I$2:$I$20000,"Orquesta/Banda/Conjunto"),"")))</f>
        <v/>
      </c>
      <c r="D913" t="str">
        <f>IF(A913="","",IF(A913="[FÓRMULA MANUAL]","",IFERROR(AVERAGEIFS(DATOS!$K$2:$K$20000,DATOS!$A$2:$A$20000,A913,DATOS!$G$2:$G$20000,CONFIG_METADATA!$B$4,DATOS!$I$2:$I$20000,"Conjunto"),"")))</f>
        <v/>
      </c>
      <c r="E913" t="str">
        <f>IF(A913="","",IF(A913="[FÓRMULA MANUAL]","",IFERROR(SUMPRODUCT((DATOS!$A$2:$A$20000=A913)*(DATOS!$G$2:$G$20000=CONFIG_METADATA!$B$4)*(COUNTIF(CONFIG_ASIGNATURAS!$B$7:$B$27,DATOS!$I$2:$I$20000)&gt;0)*(DATOS!$K$2:$K$20000))/SUMPRODUCT((DATOS!$A$2:$A$20000=A913)*(DATOS!$G$2:$G$20000=CONFIG_METADATA!$B$4)*(COUNTIF(CONFIG_ASIGNATURAS!$B$7:$B$27,DATOS!$I$2:$I$20000)&gt;0)*1),"")))</f>
        <v/>
      </c>
      <c r="H913" t="str">
        <f>IF(G913="","",IF(G913="[FÓRMULA MANUAL]","",IFERROR(AVERAGEIFS(DATOS!$K$2:$K$20000,DATOS!$A$2:$A$20000,G913,DATOS!$G$2:$G$20000,CONFIG_METADATA!$B$4,DATOS!$I$2:$I$20000,"Lenguaje Musical"),"")))</f>
        <v/>
      </c>
      <c r="I913" t="str">
        <f>IF(G913="","",IF(G913="[FÓRMULA MANUAL]","",IFERROR(AVERAGEIFS(DATOS!$K$2:$K$20000,DATOS!$A$2:$A$20000,G913,DATOS!$G$2:$G$20000,CONFIG_METADATA!$B$4,DATOS!$I$2:$I$20000,"Orquesta/Banda/Conjunto"),"")))</f>
        <v/>
      </c>
      <c r="J913" t="str">
        <f>IF(G913="","",IF(G913="[FÓRMULA MANUAL]","",IFERROR(AVERAGEIFS(DATOS!$K$2:$K$20000,DATOS!$A$2:$A$20000,G913,DATOS!$G$2:$G$20000,CONFIG_METADATA!$B$4,DATOS!$I$2:$I$20000,"Conjunto"),"")))</f>
        <v/>
      </c>
      <c r="K913" t="str">
        <f>IF(G913="","",IF(G913="[FÓRMULA MANUAL]","",IFERROR(SUMPRODUCT((DATOS!$A$2:$A$20000=G913)*(DATOS!$G$2:$G$20000=CONFIG_METADATA!$B$4)*(COUNTIF(CONFIG_ASIGNATURAS!$B$7:$B$27,DATOS!$I$2:$I$20000)&gt;0)*(DATOS!$K$2:$K$20000))/SUMPRODUCT((DATOS!$A$2:$A$20000=G913)*(DATOS!$G$2:$G$20000=CONFIG_METADATA!$B$4)*(COUNTIF(CONFIG_ASIGNATURAS!$B$7:$B$27,DATOS!$I$2:$I$20000)&gt;0)*1),"")))</f>
        <v/>
      </c>
      <c r="N913" t="str">
        <f>IF(M913="","",IF(M913="[FÓRMULA MANUAL]","",IFERROR(AVERAGEIFS(DATOS!$K$2:$K$20000,DATOS!$A$2:$A$20000,M913,DATOS!$G$2:$G$20000,CONFIG_METADATA!$B$4,DATOS!$I$2:$I$20000,"Armonía"),"")))</f>
        <v/>
      </c>
      <c r="O913" t="str">
        <f>IF(M913="","",IF(M913="[FÓRMULA MANUAL]","",IFERROR(AVERAGEIFS(DATOS!$K$2:$K$20000,DATOS!$A$2:$A$20000,M913,DATOS!$G$2:$G$20000,CONFIG_METADATA!$B$4,DATOS!$I$2:$I$20000,"Orquesta/Banda/Conjunto"),"")))</f>
        <v/>
      </c>
      <c r="P913" t="str">
        <f>IF(M913="","",IF(M913="[FÓRMULA MANUAL]","",IFERROR(AVERAGEIFS(DATOS!$K$2:$K$20000,DATOS!$A$2:$A$20000,M913,DATOS!$G$2:$G$20000,CONFIG_METADATA!$B$4,DATOS!$I$2:$I$20000,"Música de Cámara"),"")))</f>
        <v/>
      </c>
      <c r="Q913" t="str">
        <f>IF(M913="","",IF(M913="[FÓRMULA MANUAL]","",IFERROR(SUMPRODUCT((DATOS!$A$2:$A$20000=M913)*(DATOS!$G$2:$G$20000=CONFIG_METADATA!$B$4)*(COUNTIF(CONFIG_ASIGNATURAS!$B$7:$B$27,DATOS!$I$2:$I$20000)&gt;0)*(DATOS!$K$2:$K$20000))/SUMPRODUCT((DATOS!$A$2:$A$20000=M913)*(DATOS!$G$2:$G$20000=CONFIG_METADATA!$B$4)*(COUNTIF(CONFIG_ASIGNATURAS!$B$7:$B$27,DATOS!$I$2:$I$20000)&gt;0)*1),"")))</f>
        <v/>
      </c>
      <c r="T913" t="str">
        <f>IF(S913="","",IF(S913="[FÓRMULA MANUAL]","",IFERROR(AVERAGEIFS(DATOS!$K$2:$K$20000,DATOS!$A$2:$A$20000,S913,DATOS!$G$2:$G$20000,CONFIG_METADATA!$B$4,DATOS!$I$2:$I$20000,"Armonía"),"")))</f>
        <v/>
      </c>
      <c r="U913" t="str">
        <f>IF(S913="","",IF(S913="[FÓRMULA MANUAL]","",IFERROR(AVERAGEIFS(DATOS!$K$2:$K$20000,DATOS!$A$2:$A$20000,S913,DATOS!$G$2:$G$20000,CONFIG_METADATA!$B$4,DATOS!$I$2:$I$20000,"Orquesta/Banda/Conjunto"),"")))</f>
        <v/>
      </c>
      <c r="V913" t="str">
        <f>IF(S913="","",IF(S913="[FÓRMULA MANUAL]","",IFERROR(AVERAGEIFS(DATOS!$K$2:$K$20000,DATOS!$A$2:$A$20000,S913,DATOS!$G$2:$G$20000,CONFIG_METADATA!$B$4,DATOS!$I$2:$I$20000,"Música de Cámara"),"")))</f>
        <v/>
      </c>
      <c r="W913" t="str">
        <f>IF(S913="","",IF(S913="[FÓRMULA MANUAL]","",IFERROR(SUMPRODUCT((DATOS!$A$2:$A$20000=S913)*(DATOS!$G$2:$G$20000=CONFIG_METADATA!$B$4)*(COUNTIF(CONFIG_ASIGNATURAS!$B$7:$B$27,DATOS!$I$2:$I$20000)&gt;0)*(DATOS!$K$2:$K$20000))/SUMPRODUCT((DATOS!$A$2:$A$20000=S913)*(DATOS!$G$2:$G$20000=CONFIG_METADATA!$B$4)*(COUNTIF(CONFIG_ASIGNATURAS!$B$7:$B$27,DATOS!$I$2:$I$20000)&gt;0)*1),"")))</f>
        <v/>
      </c>
      <c r="Z913" t="str">
        <f>IF(Y913="","",IF(Y913="[FÓRMULA MANUAL]","",IFERROR(AVERAGEIFS(DATOS!$K$2:$K$20000,DATOS!$A$2:$A$20000,Y913,DATOS!$G$2:$G$20000,CONFIG_METADATA!$B$4,DATOS!$I$2:$I$20000,"Análisis"),"")))</f>
        <v/>
      </c>
      <c r="AA913" t="str">
        <f>IF(Y913="","",IF(Y913="[FÓRMULA MANUAL]","",IFERROR(AVERAGEIFS(DATOS!$K$2:$K$20000,DATOS!$A$2:$A$20000,Y913,DATOS!$G$2:$G$20000,CONFIG_METADATA!$B$4,DATOS!$I$2:$I$20000,"Orquesta/Banda/Conjunto"),"")))</f>
        <v/>
      </c>
      <c r="AB913" t="str">
        <f>IF(Y913="","",IF(Y913="[FÓRMULA MANUAL]","",IFERROR(AVERAGEIFS(DATOS!$K$2:$K$20000,DATOS!$A$2:$A$20000,Y913,DATOS!$G$2:$G$20000,CONFIG_METADATA!$B$4,DATOS!$I$2:$I$20000,"Música de Cámara"),"")))</f>
        <v/>
      </c>
      <c r="AC913" t="str">
        <f>IF(Y913="","",IF(Y913="[FÓRMULA MANUAL]","",IFERROR(SUMPRODUCT((DATOS!$A$2:$A$20000=Y913)*(DATOS!$G$2:$G$20000=CONFIG_METADATA!$B$4)*(COUNTIF(CONFIG_ASIGNATURAS!$B$7:$B$27,DATOS!$I$2:$I$20000)&gt;0)*(DATOS!$K$2:$K$20000))/SUMPRODUCT((DATOS!$A$2:$A$20000=Y913)*(DATOS!$G$2:$G$20000=CONFIG_METADATA!$B$4)*(COUNTIF(CONFIG_ASIGNATURAS!$B$7:$B$27,DATOS!$I$2:$I$20000)&gt;0)*1),"")))</f>
        <v/>
      </c>
      <c r="AF913" t="str">
        <f>IF(AE913="","",IF(AE913="[FÓRMULA MANUAL]","",IFERROR(AVERAGEIFS(DATOS!$K$2:$K$20000,DATOS!$A$2:$A$20000,AE913,DATOS!$G$2:$G$20000,CONFIG_METADATA!$B$4,DATOS!$I$2:$I$20000,"Análisis"),"")))</f>
        <v/>
      </c>
      <c r="AG913" t="str">
        <f>IF(AE913="","",IF(AE913="[FÓRMULA MANUAL]","",IFERROR(AVERAGEIFS(DATOS!$K$2:$K$20000,DATOS!$A$2:$A$20000,AE913,DATOS!$G$2:$G$20000,CONFIG_METADATA!$B$4,DATOS!$I$2:$I$20000,"Orquesta/Banda/Conjunto"),"")))</f>
        <v/>
      </c>
      <c r="AH913" t="str">
        <f>IF(AE913="","",IF(AE913="[FÓRMULA MANUAL]","",IFERROR(AVERAGEIFS(DATOS!$K$2:$K$20000,DATOS!$A$2:$A$20000,AE913,DATOS!$G$2:$G$20000,CONFIG_METADATA!$B$4,DATOS!$I$2:$I$20000,"Música de Cámara"),"")))</f>
        <v/>
      </c>
      <c r="AI913" t="str">
        <f>IF(AE913="","",IF(AE913="[FÓRMULA MANUAL]","",IFERROR(SUMPRODUCT((DATOS!$A$2:$A$20000=AE913)*(DATOS!$G$2:$G$20000=CONFIG_METADATA!$B$4)*(COUNTIF(CONFIG_ASIGNATURAS!$B$7:$B$27,DATOS!$I$2:$I$20000)&gt;0)*(DATOS!$K$2:$K$20000))/SUMPRODUCT((DATOS!$A$2:$A$20000=AE913)*(DATOS!$G$2:$G$20000=CONFIG_METADATA!$B$4)*(COUNTIF(CONFIG_ASIGNATURAS!$B$7:$B$27,DATOS!$I$2:$I$20000)&gt;0)*1),"")))</f>
        <v/>
      </c>
    </row>
    <row r="914" spans="2:35" x14ac:dyDescent="0.2">
      <c r="B914" t="str">
        <f>IF(A914="","",IF(A914="[FÓRMULA MANUAL]","",IFERROR(AVERAGEIFS(DATOS!$K$2:$K$20000,DATOS!$A$2:$A$20000,A914,DATOS!$G$2:$G$20000,CONFIG_METADATA!$B$4,DATOS!$I$2:$I$20000,"Lenguaje Musical"),"")))</f>
        <v/>
      </c>
      <c r="C914" t="str">
        <f>IF(A914="","",IF(A914="[FÓRMULA MANUAL]","",IFERROR(AVERAGEIFS(DATOS!$K$2:$K$20000,DATOS!$A$2:$A$20000,A914,DATOS!$G$2:$G$20000,CONFIG_METADATA!$B$4,DATOS!$I$2:$I$20000,"Orquesta/Banda/Conjunto"),"")))</f>
        <v/>
      </c>
      <c r="D914" t="str">
        <f>IF(A914="","",IF(A914="[FÓRMULA MANUAL]","",IFERROR(AVERAGEIFS(DATOS!$K$2:$K$20000,DATOS!$A$2:$A$20000,A914,DATOS!$G$2:$G$20000,CONFIG_METADATA!$B$4,DATOS!$I$2:$I$20000,"Conjunto"),"")))</f>
        <v/>
      </c>
      <c r="E914" t="str">
        <f>IF(A914="","",IF(A914="[FÓRMULA MANUAL]","",IFERROR(SUMPRODUCT((DATOS!$A$2:$A$20000=A914)*(DATOS!$G$2:$G$20000=CONFIG_METADATA!$B$4)*(COUNTIF(CONFIG_ASIGNATURAS!$B$7:$B$27,DATOS!$I$2:$I$20000)&gt;0)*(DATOS!$K$2:$K$20000))/SUMPRODUCT((DATOS!$A$2:$A$20000=A914)*(DATOS!$G$2:$G$20000=CONFIG_METADATA!$B$4)*(COUNTIF(CONFIG_ASIGNATURAS!$B$7:$B$27,DATOS!$I$2:$I$20000)&gt;0)*1),"")))</f>
        <v/>
      </c>
      <c r="H914" t="str">
        <f>IF(G914="","",IF(G914="[FÓRMULA MANUAL]","",IFERROR(AVERAGEIFS(DATOS!$K$2:$K$20000,DATOS!$A$2:$A$20000,G914,DATOS!$G$2:$G$20000,CONFIG_METADATA!$B$4,DATOS!$I$2:$I$20000,"Lenguaje Musical"),"")))</f>
        <v/>
      </c>
      <c r="I914" t="str">
        <f>IF(G914="","",IF(G914="[FÓRMULA MANUAL]","",IFERROR(AVERAGEIFS(DATOS!$K$2:$K$20000,DATOS!$A$2:$A$20000,G914,DATOS!$G$2:$G$20000,CONFIG_METADATA!$B$4,DATOS!$I$2:$I$20000,"Orquesta/Banda/Conjunto"),"")))</f>
        <v/>
      </c>
      <c r="J914" t="str">
        <f>IF(G914="","",IF(G914="[FÓRMULA MANUAL]","",IFERROR(AVERAGEIFS(DATOS!$K$2:$K$20000,DATOS!$A$2:$A$20000,G914,DATOS!$G$2:$G$20000,CONFIG_METADATA!$B$4,DATOS!$I$2:$I$20000,"Conjunto"),"")))</f>
        <v/>
      </c>
      <c r="K914" t="str">
        <f>IF(G914="","",IF(G914="[FÓRMULA MANUAL]","",IFERROR(SUMPRODUCT((DATOS!$A$2:$A$20000=G914)*(DATOS!$G$2:$G$20000=CONFIG_METADATA!$B$4)*(COUNTIF(CONFIG_ASIGNATURAS!$B$7:$B$27,DATOS!$I$2:$I$20000)&gt;0)*(DATOS!$K$2:$K$20000))/SUMPRODUCT((DATOS!$A$2:$A$20000=G914)*(DATOS!$G$2:$G$20000=CONFIG_METADATA!$B$4)*(COUNTIF(CONFIG_ASIGNATURAS!$B$7:$B$27,DATOS!$I$2:$I$20000)&gt;0)*1),"")))</f>
        <v/>
      </c>
      <c r="N914" t="str">
        <f>IF(M914="","",IF(M914="[FÓRMULA MANUAL]","",IFERROR(AVERAGEIFS(DATOS!$K$2:$K$20000,DATOS!$A$2:$A$20000,M914,DATOS!$G$2:$G$20000,CONFIG_METADATA!$B$4,DATOS!$I$2:$I$20000,"Armonía"),"")))</f>
        <v/>
      </c>
      <c r="O914" t="str">
        <f>IF(M914="","",IF(M914="[FÓRMULA MANUAL]","",IFERROR(AVERAGEIFS(DATOS!$K$2:$K$20000,DATOS!$A$2:$A$20000,M914,DATOS!$G$2:$G$20000,CONFIG_METADATA!$B$4,DATOS!$I$2:$I$20000,"Orquesta/Banda/Conjunto"),"")))</f>
        <v/>
      </c>
      <c r="P914" t="str">
        <f>IF(M914="","",IF(M914="[FÓRMULA MANUAL]","",IFERROR(AVERAGEIFS(DATOS!$K$2:$K$20000,DATOS!$A$2:$A$20000,M914,DATOS!$G$2:$G$20000,CONFIG_METADATA!$B$4,DATOS!$I$2:$I$20000,"Música de Cámara"),"")))</f>
        <v/>
      </c>
      <c r="Q914" t="str">
        <f>IF(M914="","",IF(M914="[FÓRMULA MANUAL]","",IFERROR(SUMPRODUCT((DATOS!$A$2:$A$20000=M914)*(DATOS!$G$2:$G$20000=CONFIG_METADATA!$B$4)*(COUNTIF(CONFIG_ASIGNATURAS!$B$7:$B$27,DATOS!$I$2:$I$20000)&gt;0)*(DATOS!$K$2:$K$20000))/SUMPRODUCT((DATOS!$A$2:$A$20000=M914)*(DATOS!$G$2:$G$20000=CONFIG_METADATA!$B$4)*(COUNTIF(CONFIG_ASIGNATURAS!$B$7:$B$27,DATOS!$I$2:$I$20000)&gt;0)*1),"")))</f>
        <v/>
      </c>
      <c r="T914" t="str">
        <f>IF(S914="","",IF(S914="[FÓRMULA MANUAL]","",IFERROR(AVERAGEIFS(DATOS!$K$2:$K$20000,DATOS!$A$2:$A$20000,S914,DATOS!$G$2:$G$20000,CONFIG_METADATA!$B$4,DATOS!$I$2:$I$20000,"Armonía"),"")))</f>
        <v/>
      </c>
      <c r="U914" t="str">
        <f>IF(S914="","",IF(S914="[FÓRMULA MANUAL]","",IFERROR(AVERAGEIFS(DATOS!$K$2:$K$20000,DATOS!$A$2:$A$20000,S914,DATOS!$G$2:$G$20000,CONFIG_METADATA!$B$4,DATOS!$I$2:$I$20000,"Orquesta/Banda/Conjunto"),"")))</f>
        <v/>
      </c>
      <c r="V914" t="str">
        <f>IF(S914="","",IF(S914="[FÓRMULA MANUAL]","",IFERROR(AVERAGEIFS(DATOS!$K$2:$K$20000,DATOS!$A$2:$A$20000,S914,DATOS!$G$2:$G$20000,CONFIG_METADATA!$B$4,DATOS!$I$2:$I$20000,"Música de Cámara"),"")))</f>
        <v/>
      </c>
      <c r="W914" t="str">
        <f>IF(S914="","",IF(S914="[FÓRMULA MANUAL]","",IFERROR(SUMPRODUCT((DATOS!$A$2:$A$20000=S914)*(DATOS!$G$2:$G$20000=CONFIG_METADATA!$B$4)*(COUNTIF(CONFIG_ASIGNATURAS!$B$7:$B$27,DATOS!$I$2:$I$20000)&gt;0)*(DATOS!$K$2:$K$20000))/SUMPRODUCT((DATOS!$A$2:$A$20000=S914)*(DATOS!$G$2:$G$20000=CONFIG_METADATA!$B$4)*(COUNTIF(CONFIG_ASIGNATURAS!$B$7:$B$27,DATOS!$I$2:$I$20000)&gt;0)*1),"")))</f>
        <v/>
      </c>
      <c r="Z914" t="str">
        <f>IF(Y914="","",IF(Y914="[FÓRMULA MANUAL]","",IFERROR(AVERAGEIFS(DATOS!$K$2:$K$20000,DATOS!$A$2:$A$20000,Y914,DATOS!$G$2:$G$20000,CONFIG_METADATA!$B$4,DATOS!$I$2:$I$20000,"Análisis"),"")))</f>
        <v/>
      </c>
      <c r="AA914" t="str">
        <f>IF(Y914="","",IF(Y914="[FÓRMULA MANUAL]","",IFERROR(AVERAGEIFS(DATOS!$K$2:$K$20000,DATOS!$A$2:$A$20000,Y914,DATOS!$G$2:$G$20000,CONFIG_METADATA!$B$4,DATOS!$I$2:$I$20000,"Orquesta/Banda/Conjunto"),"")))</f>
        <v/>
      </c>
      <c r="AB914" t="str">
        <f>IF(Y914="","",IF(Y914="[FÓRMULA MANUAL]","",IFERROR(AVERAGEIFS(DATOS!$K$2:$K$20000,DATOS!$A$2:$A$20000,Y914,DATOS!$G$2:$G$20000,CONFIG_METADATA!$B$4,DATOS!$I$2:$I$20000,"Música de Cámara"),"")))</f>
        <v/>
      </c>
      <c r="AC914" t="str">
        <f>IF(Y914="","",IF(Y914="[FÓRMULA MANUAL]","",IFERROR(SUMPRODUCT((DATOS!$A$2:$A$20000=Y914)*(DATOS!$G$2:$G$20000=CONFIG_METADATA!$B$4)*(COUNTIF(CONFIG_ASIGNATURAS!$B$7:$B$27,DATOS!$I$2:$I$20000)&gt;0)*(DATOS!$K$2:$K$20000))/SUMPRODUCT((DATOS!$A$2:$A$20000=Y914)*(DATOS!$G$2:$G$20000=CONFIG_METADATA!$B$4)*(COUNTIF(CONFIG_ASIGNATURAS!$B$7:$B$27,DATOS!$I$2:$I$20000)&gt;0)*1),"")))</f>
        <v/>
      </c>
      <c r="AF914" t="str">
        <f>IF(AE914="","",IF(AE914="[FÓRMULA MANUAL]","",IFERROR(AVERAGEIFS(DATOS!$K$2:$K$20000,DATOS!$A$2:$A$20000,AE914,DATOS!$G$2:$G$20000,CONFIG_METADATA!$B$4,DATOS!$I$2:$I$20000,"Análisis"),"")))</f>
        <v/>
      </c>
      <c r="AG914" t="str">
        <f>IF(AE914="","",IF(AE914="[FÓRMULA MANUAL]","",IFERROR(AVERAGEIFS(DATOS!$K$2:$K$20000,DATOS!$A$2:$A$20000,AE914,DATOS!$G$2:$G$20000,CONFIG_METADATA!$B$4,DATOS!$I$2:$I$20000,"Orquesta/Banda/Conjunto"),"")))</f>
        <v/>
      </c>
      <c r="AH914" t="str">
        <f>IF(AE914="","",IF(AE914="[FÓRMULA MANUAL]","",IFERROR(AVERAGEIFS(DATOS!$K$2:$K$20000,DATOS!$A$2:$A$20000,AE914,DATOS!$G$2:$G$20000,CONFIG_METADATA!$B$4,DATOS!$I$2:$I$20000,"Música de Cámara"),"")))</f>
        <v/>
      </c>
      <c r="AI914" t="str">
        <f>IF(AE914="","",IF(AE914="[FÓRMULA MANUAL]","",IFERROR(SUMPRODUCT((DATOS!$A$2:$A$20000=AE914)*(DATOS!$G$2:$G$20000=CONFIG_METADATA!$B$4)*(COUNTIF(CONFIG_ASIGNATURAS!$B$7:$B$27,DATOS!$I$2:$I$20000)&gt;0)*(DATOS!$K$2:$K$20000))/SUMPRODUCT((DATOS!$A$2:$A$20000=AE914)*(DATOS!$G$2:$G$20000=CONFIG_METADATA!$B$4)*(COUNTIF(CONFIG_ASIGNATURAS!$B$7:$B$27,DATOS!$I$2:$I$20000)&gt;0)*1),"")))</f>
        <v/>
      </c>
    </row>
    <row r="915" spans="2:35" x14ac:dyDescent="0.2">
      <c r="B915" t="str">
        <f>IF(A915="","",IF(A915="[FÓRMULA MANUAL]","",IFERROR(AVERAGEIFS(DATOS!$K$2:$K$20000,DATOS!$A$2:$A$20000,A915,DATOS!$G$2:$G$20000,CONFIG_METADATA!$B$4,DATOS!$I$2:$I$20000,"Lenguaje Musical"),"")))</f>
        <v/>
      </c>
      <c r="C915" t="str">
        <f>IF(A915="","",IF(A915="[FÓRMULA MANUAL]","",IFERROR(AVERAGEIFS(DATOS!$K$2:$K$20000,DATOS!$A$2:$A$20000,A915,DATOS!$G$2:$G$20000,CONFIG_METADATA!$B$4,DATOS!$I$2:$I$20000,"Orquesta/Banda/Conjunto"),"")))</f>
        <v/>
      </c>
      <c r="D915" t="str">
        <f>IF(A915="","",IF(A915="[FÓRMULA MANUAL]","",IFERROR(AVERAGEIFS(DATOS!$K$2:$K$20000,DATOS!$A$2:$A$20000,A915,DATOS!$G$2:$G$20000,CONFIG_METADATA!$B$4,DATOS!$I$2:$I$20000,"Conjunto"),"")))</f>
        <v/>
      </c>
      <c r="E915" t="str">
        <f>IF(A915="","",IF(A915="[FÓRMULA MANUAL]","",IFERROR(SUMPRODUCT((DATOS!$A$2:$A$20000=A915)*(DATOS!$G$2:$G$20000=CONFIG_METADATA!$B$4)*(COUNTIF(CONFIG_ASIGNATURAS!$B$7:$B$27,DATOS!$I$2:$I$20000)&gt;0)*(DATOS!$K$2:$K$20000))/SUMPRODUCT((DATOS!$A$2:$A$20000=A915)*(DATOS!$G$2:$G$20000=CONFIG_METADATA!$B$4)*(COUNTIF(CONFIG_ASIGNATURAS!$B$7:$B$27,DATOS!$I$2:$I$20000)&gt;0)*1),"")))</f>
        <v/>
      </c>
      <c r="H915" t="str">
        <f>IF(G915="","",IF(G915="[FÓRMULA MANUAL]","",IFERROR(AVERAGEIFS(DATOS!$K$2:$K$20000,DATOS!$A$2:$A$20000,G915,DATOS!$G$2:$G$20000,CONFIG_METADATA!$B$4,DATOS!$I$2:$I$20000,"Lenguaje Musical"),"")))</f>
        <v/>
      </c>
      <c r="I915" t="str">
        <f>IF(G915="","",IF(G915="[FÓRMULA MANUAL]","",IFERROR(AVERAGEIFS(DATOS!$K$2:$K$20000,DATOS!$A$2:$A$20000,G915,DATOS!$G$2:$G$20000,CONFIG_METADATA!$B$4,DATOS!$I$2:$I$20000,"Orquesta/Banda/Conjunto"),"")))</f>
        <v/>
      </c>
      <c r="J915" t="str">
        <f>IF(G915="","",IF(G915="[FÓRMULA MANUAL]","",IFERROR(AVERAGEIFS(DATOS!$K$2:$K$20000,DATOS!$A$2:$A$20000,G915,DATOS!$G$2:$G$20000,CONFIG_METADATA!$B$4,DATOS!$I$2:$I$20000,"Conjunto"),"")))</f>
        <v/>
      </c>
      <c r="K915" t="str">
        <f>IF(G915="","",IF(G915="[FÓRMULA MANUAL]","",IFERROR(SUMPRODUCT((DATOS!$A$2:$A$20000=G915)*(DATOS!$G$2:$G$20000=CONFIG_METADATA!$B$4)*(COUNTIF(CONFIG_ASIGNATURAS!$B$7:$B$27,DATOS!$I$2:$I$20000)&gt;0)*(DATOS!$K$2:$K$20000))/SUMPRODUCT((DATOS!$A$2:$A$20000=G915)*(DATOS!$G$2:$G$20000=CONFIG_METADATA!$B$4)*(COUNTIF(CONFIG_ASIGNATURAS!$B$7:$B$27,DATOS!$I$2:$I$20000)&gt;0)*1),"")))</f>
        <v/>
      </c>
      <c r="N915" t="str">
        <f>IF(M915="","",IF(M915="[FÓRMULA MANUAL]","",IFERROR(AVERAGEIFS(DATOS!$K$2:$K$20000,DATOS!$A$2:$A$20000,M915,DATOS!$G$2:$G$20000,CONFIG_METADATA!$B$4,DATOS!$I$2:$I$20000,"Armonía"),"")))</f>
        <v/>
      </c>
      <c r="O915" t="str">
        <f>IF(M915="","",IF(M915="[FÓRMULA MANUAL]","",IFERROR(AVERAGEIFS(DATOS!$K$2:$K$20000,DATOS!$A$2:$A$20000,M915,DATOS!$G$2:$G$20000,CONFIG_METADATA!$B$4,DATOS!$I$2:$I$20000,"Orquesta/Banda/Conjunto"),"")))</f>
        <v/>
      </c>
      <c r="P915" t="str">
        <f>IF(M915="","",IF(M915="[FÓRMULA MANUAL]","",IFERROR(AVERAGEIFS(DATOS!$K$2:$K$20000,DATOS!$A$2:$A$20000,M915,DATOS!$G$2:$G$20000,CONFIG_METADATA!$B$4,DATOS!$I$2:$I$20000,"Música de Cámara"),"")))</f>
        <v/>
      </c>
      <c r="Q915" t="str">
        <f>IF(M915="","",IF(M915="[FÓRMULA MANUAL]","",IFERROR(SUMPRODUCT((DATOS!$A$2:$A$20000=M915)*(DATOS!$G$2:$G$20000=CONFIG_METADATA!$B$4)*(COUNTIF(CONFIG_ASIGNATURAS!$B$7:$B$27,DATOS!$I$2:$I$20000)&gt;0)*(DATOS!$K$2:$K$20000))/SUMPRODUCT((DATOS!$A$2:$A$20000=M915)*(DATOS!$G$2:$G$20000=CONFIG_METADATA!$B$4)*(COUNTIF(CONFIG_ASIGNATURAS!$B$7:$B$27,DATOS!$I$2:$I$20000)&gt;0)*1),"")))</f>
        <v/>
      </c>
      <c r="T915" t="str">
        <f>IF(S915="","",IF(S915="[FÓRMULA MANUAL]","",IFERROR(AVERAGEIFS(DATOS!$K$2:$K$20000,DATOS!$A$2:$A$20000,S915,DATOS!$G$2:$G$20000,CONFIG_METADATA!$B$4,DATOS!$I$2:$I$20000,"Armonía"),"")))</f>
        <v/>
      </c>
      <c r="U915" t="str">
        <f>IF(S915="","",IF(S915="[FÓRMULA MANUAL]","",IFERROR(AVERAGEIFS(DATOS!$K$2:$K$20000,DATOS!$A$2:$A$20000,S915,DATOS!$G$2:$G$20000,CONFIG_METADATA!$B$4,DATOS!$I$2:$I$20000,"Orquesta/Banda/Conjunto"),"")))</f>
        <v/>
      </c>
      <c r="V915" t="str">
        <f>IF(S915="","",IF(S915="[FÓRMULA MANUAL]","",IFERROR(AVERAGEIFS(DATOS!$K$2:$K$20000,DATOS!$A$2:$A$20000,S915,DATOS!$G$2:$G$20000,CONFIG_METADATA!$B$4,DATOS!$I$2:$I$20000,"Música de Cámara"),"")))</f>
        <v/>
      </c>
      <c r="W915" t="str">
        <f>IF(S915="","",IF(S915="[FÓRMULA MANUAL]","",IFERROR(SUMPRODUCT((DATOS!$A$2:$A$20000=S915)*(DATOS!$G$2:$G$20000=CONFIG_METADATA!$B$4)*(COUNTIF(CONFIG_ASIGNATURAS!$B$7:$B$27,DATOS!$I$2:$I$20000)&gt;0)*(DATOS!$K$2:$K$20000))/SUMPRODUCT((DATOS!$A$2:$A$20000=S915)*(DATOS!$G$2:$G$20000=CONFIG_METADATA!$B$4)*(COUNTIF(CONFIG_ASIGNATURAS!$B$7:$B$27,DATOS!$I$2:$I$20000)&gt;0)*1),"")))</f>
        <v/>
      </c>
      <c r="Z915" t="str">
        <f>IF(Y915="","",IF(Y915="[FÓRMULA MANUAL]","",IFERROR(AVERAGEIFS(DATOS!$K$2:$K$20000,DATOS!$A$2:$A$20000,Y915,DATOS!$G$2:$G$20000,CONFIG_METADATA!$B$4,DATOS!$I$2:$I$20000,"Análisis"),"")))</f>
        <v/>
      </c>
      <c r="AA915" t="str">
        <f>IF(Y915="","",IF(Y915="[FÓRMULA MANUAL]","",IFERROR(AVERAGEIFS(DATOS!$K$2:$K$20000,DATOS!$A$2:$A$20000,Y915,DATOS!$G$2:$G$20000,CONFIG_METADATA!$B$4,DATOS!$I$2:$I$20000,"Orquesta/Banda/Conjunto"),"")))</f>
        <v/>
      </c>
      <c r="AB915" t="str">
        <f>IF(Y915="","",IF(Y915="[FÓRMULA MANUAL]","",IFERROR(AVERAGEIFS(DATOS!$K$2:$K$20000,DATOS!$A$2:$A$20000,Y915,DATOS!$G$2:$G$20000,CONFIG_METADATA!$B$4,DATOS!$I$2:$I$20000,"Música de Cámara"),"")))</f>
        <v/>
      </c>
      <c r="AC915" t="str">
        <f>IF(Y915="","",IF(Y915="[FÓRMULA MANUAL]","",IFERROR(SUMPRODUCT((DATOS!$A$2:$A$20000=Y915)*(DATOS!$G$2:$G$20000=CONFIG_METADATA!$B$4)*(COUNTIF(CONFIG_ASIGNATURAS!$B$7:$B$27,DATOS!$I$2:$I$20000)&gt;0)*(DATOS!$K$2:$K$20000))/SUMPRODUCT((DATOS!$A$2:$A$20000=Y915)*(DATOS!$G$2:$G$20000=CONFIG_METADATA!$B$4)*(COUNTIF(CONFIG_ASIGNATURAS!$B$7:$B$27,DATOS!$I$2:$I$20000)&gt;0)*1),"")))</f>
        <v/>
      </c>
      <c r="AF915" t="str">
        <f>IF(AE915="","",IF(AE915="[FÓRMULA MANUAL]","",IFERROR(AVERAGEIFS(DATOS!$K$2:$K$20000,DATOS!$A$2:$A$20000,AE915,DATOS!$G$2:$G$20000,CONFIG_METADATA!$B$4,DATOS!$I$2:$I$20000,"Análisis"),"")))</f>
        <v/>
      </c>
      <c r="AG915" t="str">
        <f>IF(AE915="","",IF(AE915="[FÓRMULA MANUAL]","",IFERROR(AVERAGEIFS(DATOS!$K$2:$K$20000,DATOS!$A$2:$A$20000,AE915,DATOS!$G$2:$G$20000,CONFIG_METADATA!$B$4,DATOS!$I$2:$I$20000,"Orquesta/Banda/Conjunto"),"")))</f>
        <v/>
      </c>
      <c r="AH915" t="str">
        <f>IF(AE915="","",IF(AE915="[FÓRMULA MANUAL]","",IFERROR(AVERAGEIFS(DATOS!$K$2:$K$20000,DATOS!$A$2:$A$20000,AE915,DATOS!$G$2:$G$20000,CONFIG_METADATA!$B$4,DATOS!$I$2:$I$20000,"Música de Cámara"),"")))</f>
        <v/>
      </c>
      <c r="AI915" t="str">
        <f>IF(AE915="","",IF(AE915="[FÓRMULA MANUAL]","",IFERROR(SUMPRODUCT((DATOS!$A$2:$A$20000=AE915)*(DATOS!$G$2:$G$20000=CONFIG_METADATA!$B$4)*(COUNTIF(CONFIG_ASIGNATURAS!$B$7:$B$27,DATOS!$I$2:$I$20000)&gt;0)*(DATOS!$K$2:$K$20000))/SUMPRODUCT((DATOS!$A$2:$A$20000=AE915)*(DATOS!$G$2:$G$20000=CONFIG_METADATA!$B$4)*(COUNTIF(CONFIG_ASIGNATURAS!$B$7:$B$27,DATOS!$I$2:$I$20000)&gt;0)*1),"")))</f>
        <v/>
      </c>
    </row>
    <row r="916" spans="2:35" x14ac:dyDescent="0.2">
      <c r="B916" t="str">
        <f>IF(A916="","",IF(A916="[FÓRMULA MANUAL]","",IFERROR(AVERAGEIFS(DATOS!$K$2:$K$20000,DATOS!$A$2:$A$20000,A916,DATOS!$G$2:$G$20000,CONFIG_METADATA!$B$4,DATOS!$I$2:$I$20000,"Lenguaje Musical"),"")))</f>
        <v/>
      </c>
      <c r="C916" t="str">
        <f>IF(A916="","",IF(A916="[FÓRMULA MANUAL]","",IFERROR(AVERAGEIFS(DATOS!$K$2:$K$20000,DATOS!$A$2:$A$20000,A916,DATOS!$G$2:$G$20000,CONFIG_METADATA!$B$4,DATOS!$I$2:$I$20000,"Orquesta/Banda/Conjunto"),"")))</f>
        <v/>
      </c>
      <c r="D916" t="str">
        <f>IF(A916="","",IF(A916="[FÓRMULA MANUAL]","",IFERROR(AVERAGEIFS(DATOS!$K$2:$K$20000,DATOS!$A$2:$A$20000,A916,DATOS!$G$2:$G$20000,CONFIG_METADATA!$B$4,DATOS!$I$2:$I$20000,"Conjunto"),"")))</f>
        <v/>
      </c>
      <c r="E916" t="str">
        <f>IF(A916="","",IF(A916="[FÓRMULA MANUAL]","",IFERROR(SUMPRODUCT((DATOS!$A$2:$A$20000=A916)*(DATOS!$G$2:$G$20000=CONFIG_METADATA!$B$4)*(COUNTIF(CONFIG_ASIGNATURAS!$B$7:$B$27,DATOS!$I$2:$I$20000)&gt;0)*(DATOS!$K$2:$K$20000))/SUMPRODUCT((DATOS!$A$2:$A$20000=A916)*(DATOS!$G$2:$G$20000=CONFIG_METADATA!$B$4)*(COUNTIF(CONFIG_ASIGNATURAS!$B$7:$B$27,DATOS!$I$2:$I$20000)&gt;0)*1),"")))</f>
        <v/>
      </c>
      <c r="H916" t="str">
        <f>IF(G916="","",IF(G916="[FÓRMULA MANUAL]","",IFERROR(AVERAGEIFS(DATOS!$K$2:$K$20000,DATOS!$A$2:$A$20000,G916,DATOS!$G$2:$G$20000,CONFIG_METADATA!$B$4,DATOS!$I$2:$I$20000,"Lenguaje Musical"),"")))</f>
        <v/>
      </c>
      <c r="I916" t="str">
        <f>IF(G916="","",IF(G916="[FÓRMULA MANUAL]","",IFERROR(AVERAGEIFS(DATOS!$K$2:$K$20000,DATOS!$A$2:$A$20000,G916,DATOS!$G$2:$G$20000,CONFIG_METADATA!$B$4,DATOS!$I$2:$I$20000,"Orquesta/Banda/Conjunto"),"")))</f>
        <v/>
      </c>
      <c r="J916" t="str">
        <f>IF(G916="","",IF(G916="[FÓRMULA MANUAL]","",IFERROR(AVERAGEIFS(DATOS!$K$2:$K$20000,DATOS!$A$2:$A$20000,G916,DATOS!$G$2:$G$20000,CONFIG_METADATA!$B$4,DATOS!$I$2:$I$20000,"Conjunto"),"")))</f>
        <v/>
      </c>
      <c r="K916" t="str">
        <f>IF(G916="","",IF(G916="[FÓRMULA MANUAL]","",IFERROR(SUMPRODUCT((DATOS!$A$2:$A$20000=G916)*(DATOS!$G$2:$G$20000=CONFIG_METADATA!$B$4)*(COUNTIF(CONFIG_ASIGNATURAS!$B$7:$B$27,DATOS!$I$2:$I$20000)&gt;0)*(DATOS!$K$2:$K$20000))/SUMPRODUCT((DATOS!$A$2:$A$20000=G916)*(DATOS!$G$2:$G$20000=CONFIG_METADATA!$B$4)*(COUNTIF(CONFIG_ASIGNATURAS!$B$7:$B$27,DATOS!$I$2:$I$20000)&gt;0)*1),"")))</f>
        <v/>
      </c>
      <c r="N916" t="str">
        <f>IF(M916="","",IF(M916="[FÓRMULA MANUAL]","",IFERROR(AVERAGEIFS(DATOS!$K$2:$K$20000,DATOS!$A$2:$A$20000,M916,DATOS!$G$2:$G$20000,CONFIG_METADATA!$B$4,DATOS!$I$2:$I$20000,"Armonía"),"")))</f>
        <v/>
      </c>
      <c r="O916" t="str">
        <f>IF(M916="","",IF(M916="[FÓRMULA MANUAL]","",IFERROR(AVERAGEIFS(DATOS!$K$2:$K$20000,DATOS!$A$2:$A$20000,M916,DATOS!$G$2:$G$20000,CONFIG_METADATA!$B$4,DATOS!$I$2:$I$20000,"Orquesta/Banda/Conjunto"),"")))</f>
        <v/>
      </c>
      <c r="P916" t="str">
        <f>IF(M916="","",IF(M916="[FÓRMULA MANUAL]","",IFERROR(AVERAGEIFS(DATOS!$K$2:$K$20000,DATOS!$A$2:$A$20000,M916,DATOS!$G$2:$G$20000,CONFIG_METADATA!$B$4,DATOS!$I$2:$I$20000,"Música de Cámara"),"")))</f>
        <v/>
      </c>
      <c r="Q916" t="str">
        <f>IF(M916="","",IF(M916="[FÓRMULA MANUAL]","",IFERROR(SUMPRODUCT((DATOS!$A$2:$A$20000=M916)*(DATOS!$G$2:$G$20000=CONFIG_METADATA!$B$4)*(COUNTIF(CONFIG_ASIGNATURAS!$B$7:$B$27,DATOS!$I$2:$I$20000)&gt;0)*(DATOS!$K$2:$K$20000))/SUMPRODUCT((DATOS!$A$2:$A$20000=M916)*(DATOS!$G$2:$G$20000=CONFIG_METADATA!$B$4)*(COUNTIF(CONFIG_ASIGNATURAS!$B$7:$B$27,DATOS!$I$2:$I$20000)&gt;0)*1),"")))</f>
        <v/>
      </c>
      <c r="T916" t="str">
        <f>IF(S916="","",IF(S916="[FÓRMULA MANUAL]","",IFERROR(AVERAGEIFS(DATOS!$K$2:$K$20000,DATOS!$A$2:$A$20000,S916,DATOS!$G$2:$G$20000,CONFIG_METADATA!$B$4,DATOS!$I$2:$I$20000,"Armonía"),"")))</f>
        <v/>
      </c>
      <c r="U916" t="str">
        <f>IF(S916="","",IF(S916="[FÓRMULA MANUAL]","",IFERROR(AVERAGEIFS(DATOS!$K$2:$K$20000,DATOS!$A$2:$A$20000,S916,DATOS!$G$2:$G$20000,CONFIG_METADATA!$B$4,DATOS!$I$2:$I$20000,"Orquesta/Banda/Conjunto"),"")))</f>
        <v/>
      </c>
      <c r="V916" t="str">
        <f>IF(S916="","",IF(S916="[FÓRMULA MANUAL]","",IFERROR(AVERAGEIFS(DATOS!$K$2:$K$20000,DATOS!$A$2:$A$20000,S916,DATOS!$G$2:$G$20000,CONFIG_METADATA!$B$4,DATOS!$I$2:$I$20000,"Música de Cámara"),"")))</f>
        <v/>
      </c>
      <c r="W916" t="str">
        <f>IF(S916="","",IF(S916="[FÓRMULA MANUAL]","",IFERROR(SUMPRODUCT((DATOS!$A$2:$A$20000=S916)*(DATOS!$G$2:$G$20000=CONFIG_METADATA!$B$4)*(COUNTIF(CONFIG_ASIGNATURAS!$B$7:$B$27,DATOS!$I$2:$I$20000)&gt;0)*(DATOS!$K$2:$K$20000))/SUMPRODUCT((DATOS!$A$2:$A$20000=S916)*(DATOS!$G$2:$G$20000=CONFIG_METADATA!$B$4)*(COUNTIF(CONFIG_ASIGNATURAS!$B$7:$B$27,DATOS!$I$2:$I$20000)&gt;0)*1),"")))</f>
        <v/>
      </c>
      <c r="Z916" t="str">
        <f>IF(Y916="","",IF(Y916="[FÓRMULA MANUAL]","",IFERROR(AVERAGEIFS(DATOS!$K$2:$K$20000,DATOS!$A$2:$A$20000,Y916,DATOS!$G$2:$G$20000,CONFIG_METADATA!$B$4,DATOS!$I$2:$I$20000,"Análisis"),"")))</f>
        <v/>
      </c>
      <c r="AA916" t="str">
        <f>IF(Y916="","",IF(Y916="[FÓRMULA MANUAL]","",IFERROR(AVERAGEIFS(DATOS!$K$2:$K$20000,DATOS!$A$2:$A$20000,Y916,DATOS!$G$2:$G$20000,CONFIG_METADATA!$B$4,DATOS!$I$2:$I$20000,"Orquesta/Banda/Conjunto"),"")))</f>
        <v/>
      </c>
      <c r="AB916" t="str">
        <f>IF(Y916="","",IF(Y916="[FÓRMULA MANUAL]","",IFERROR(AVERAGEIFS(DATOS!$K$2:$K$20000,DATOS!$A$2:$A$20000,Y916,DATOS!$G$2:$G$20000,CONFIG_METADATA!$B$4,DATOS!$I$2:$I$20000,"Música de Cámara"),"")))</f>
        <v/>
      </c>
      <c r="AC916" t="str">
        <f>IF(Y916="","",IF(Y916="[FÓRMULA MANUAL]","",IFERROR(SUMPRODUCT((DATOS!$A$2:$A$20000=Y916)*(DATOS!$G$2:$G$20000=CONFIG_METADATA!$B$4)*(COUNTIF(CONFIG_ASIGNATURAS!$B$7:$B$27,DATOS!$I$2:$I$20000)&gt;0)*(DATOS!$K$2:$K$20000))/SUMPRODUCT((DATOS!$A$2:$A$20000=Y916)*(DATOS!$G$2:$G$20000=CONFIG_METADATA!$B$4)*(COUNTIF(CONFIG_ASIGNATURAS!$B$7:$B$27,DATOS!$I$2:$I$20000)&gt;0)*1),"")))</f>
        <v/>
      </c>
      <c r="AF916" t="str">
        <f>IF(AE916="","",IF(AE916="[FÓRMULA MANUAL]","",IFERROR(AVERAGEIFS(DATOS!$K$2:$K$20000,DATOS!$A$2:$A$20000,AE916,DATOS!$G$2:$G$20000,CONFIG_METADATA!$B$4,DATOS!$I$2:$I$20000,"Análisis"),"")))</f>
        <v/>
      </c>
      <c r="AG916" t="str">
        <f>IF(AE916="","",IF(AE916="[FÓRMULA MANUAL]","",IFERROR(AVERAGEIFS(DATOS!$K$2:$K$20000,DATOS!$A$2:$A$20000,AE916,DATOS!$G$2:$G$20000,CONFIG_METADATA!$B$4,DATOS!$I$2:$I$20000,"Orquesta/Banda/Conjunto"),"")))</f>
        <v/>
      </c>
      <c r="AH916" t="str">
        <f>IF(AE916="","",IF(AE916="[FÓRMULA MANUAL]","",IFERROR(AVERAGEIFS(DATOS!$K$2:$K$20000,DATOS!$A$2:$A$20000,AE916,DATOS!$G$2:$G$20000,CONFIG_METADATA!$B$4,DATOS!$I$2:$I$20000,"Música de Cámara"),"")))</f>
        <v/>
      </c>
      <c r="AI916" t="str">
        <f>IF(AE916="","",IF(AE916="[FÓRMULA MANUAL]","",IFERROR(SUMPRODUCT((DATOS!$A$2:$A$20000=AE916)*(DATOS!$G$2:$G$20000=CONFIG_METADATA!$B$4)*(COUNTIF(CONFIG_ASIGNATURAS!$B$7:$B$27,DATOS!$I$2:$I$20000)&gt;0)*(DATOS!$K$2:$K$20000))/SUMPRODUCT((DATOS!$A$2:$A$20000=AE916)*(DATOS!$G$2:$G$20000=CONFIG_METADATA!$B$4)*(COUNTIF(CONFIG_ASIGNATURAS!$B$7:$B$27,DATOS!$I$2:$I$20000)&gt;0)*1),"")))</f>
        <v/>
      </c>
    </row>
    <row r="917" spans="2:35" x14ac:dyDescent="0.2">
      <c r="B917" t="str">
        <f>IF(A917="","",IF(A917="[FÓRMULA MANUAL]","",IFERROR(AVERAGEIFS(DATOS!$K$2:$K$20000,DATOS!$A$2:$A$20000,A917,DATOS!$G$2:$G$20000,CONFIG_METADATA!$B$4,DATOS!$I$2:$I$20000,"Lenguaje Musical"),"")))</f>
        <v/>
      </c>
      <c r="C917" t="str">
        <f>IF(A917="","",IF(A917="[FÓRMULA MANUAL]","",IFERROR(AVERAGEIFS(DATOS!$K$2:$K$20000,DATOS!$A$2:$A$20000,A917,DATOS!$G$2:$G$20000,CONFIG_METADATA!$B$4,DATOS!$I$2:$I$20000,"Orquesta/Banda/Conjunto"),"")))</f>
        <v/>
      </c>
      <c r="D917" t="str">
        <f>IF(A917="","",IF(A917="[FÓRMULA MANUAL]","",IFERROR(AVERAGEIFS(DATOS!$K$2:$K$20000,DATOS!$A$2:$A$20000,A917,DATOS!$G$2:$G$20000,CONFIG_METADATA!$B$4,DATOS!$I$2:$I$20000,"Conjunto"),"")))</f>
        <v/>
      </c>
      <c r="E917" t="str">
        <f>IF(A917="","",IF(A917="[FÓRMULA MANUAL]","",IFERROR(SUMPRODUCT((DATOS!$A$2:$A$20000=A917)*(DATOS!$G$2:$G$20000=CONFIG_METADATA!$B$4)*(COUNTIF(CONFIG_ASIGNATURAS!$B$7:$B$27,DATOS!$I$2:$I$20000)&gt;0)*(DATOS!$K$2:$K$20000))/SUMPRODUCT((DATOS!$A$2:$A$20000=A917)*(DATOS!$G$2:$G$20000=CONFIG_METADATA!$B$4)*(COUNTIF(CONFIG_ASIGNATURAS!$B$7:$B$27,DATOS!$I$2:$I$20000)&gt;0)*1),"")))</f>
        <v/>
      </c>
      <c r="H917" t="str">
        <f>IF(G917="","",IF(G917="[FÓRMULA MANUAL]","",IFERROR(AVERAGEIFS(DATOS!$K$2:$K$20000,DATOS!$A$2:$A$20000,G917,DATOS!$G$2:$G$20000,CONFIG_METADATA!$B$4,DATOS!$I$2:$I$20000,"Lenguaje Musical"),"")))</f>
        <v/>
      </c>
      <c r="I917" t="str">
        <f>IF(G917="","",IF(G917="[FÓRMULA MANUAL]","",IFERROR(AVERAGEIFS(DATOS!$K$2:$K$20000,DATOS!$A$2:$A$20000,G917,DATOS!$G$2:$G$20000,CONFIG_METADATA!$B$4,DATOS!$I$2:$I$20000,"Orquesta/Banda/Conjunto"),"")))</f>
        <v/>
      </c>
      <c r="J917" t="str">
        <f>IF(G917="","",IF(G917="[FÓRMULA MANUAL]","",IFERROR(AVERAGEIFS(DATOS!$K$2:$K$20000,DATOS!$A$2:$A$20000,G917,DATOS!$G$2:$G$20000,CONFIG_METADATA!$B$4,DATOS!$I$2:$I$20000,"Conjunto"),"")))</f>
        <v/>
      </c>
      <c r="K917" t="str">
        <f>IF(G917="","",IF(G917="[FÓRMULA MANUAL]","",IFERROR(SUMPRODUCT((DATOS!$A$2:$A$20000=G917)*(DATOS!$G$2:$G$20000=CONFIG_METADATA!$B$4)*(COUNTIF(CONFIG_ASIGNATURAS!$B$7:$B$27,DATOS!$I$2:$I$20000)&gt;0)*(DATOS!$K$2:$K$20000))/SUMPRODUCT((DATOS!$A$2:$A$20000=G917)*(DATOS!$G$2:$G$20000=CONFIG_METADATA!$B$4)*(COUNTIF(CONFIG_ASIGNATURAS!$B$7:$B$27,DATOS!$I$2:$I$20000)&gt;0)*1),"")))</f>
        <v/>
      </c>
      <c r="N917" t="str">
        <f>IF(M917="","",IF(M917="[FÓRMULA MANUAL]","",IFERROR(AVERAGEIFS(DATOS!$K$2:$K$20000,DATOS!$A$2:$A$20000,M917,DATOS!$G$2:$G$20000,CONFIG_METADATA!$B$4,DATOS!$I$2:$I$20000,"Armonía"),"")))</f>
        <v/>
      </c>
      <c r="O917" t="str">
        <f>IF(M917="","",IF(M917="[FÓRMULA MANUAL]","",IFERROR(AVERAGEIFS(DATOS!$K$2:$K$20000,DATOS!$A$2:$A$20000,M917,DATOS!$G$2:$G$20000,CONFIG_METADATA!$B$4,DATOS!$I$2:$I$20000,"Orquesta/Banda/Conjunto"),"")))</f>
        <v/>
      </c>
      <c r="P917" t="str">
        <f>IF(M917="","",IF(M917="[FÓRMULA MANUAL]","",IFERROR(AVERAGEIFS(DATOS!$K$2:$K$20000,DATOS!$A$2:$A$20000,M917,DATOS!$G$2:$G$20000,CONFIG_METADATA!$B$4,DATOS!$I$2:$I$20000,"Música de Cámara"),"")))</f>
        <v/>
      </c>
      <c r="Q917" t="str">
        <f>IF(M917="","",IF(M917="[FÓRMULA MANUAL]","",IFERROR(SUMPRODUCT((DATOS!$A$2:$A$20000=M917)*(DATOS!$G$2:$G$20000=CONFIG_METADATA!$B$4)*(COUNTIF(CONFIG_ASIGNATURAS!$B$7:$B$27,DATOS!$I$2:$I$20000)&gt;0)*(DATOS!$K$2:$K$20000))/SUMPRODUCT((DATOS!$A$2:$A$20000=M917)*(DATOS!$G$2:$G$20000=CONFIG_METADATA!$B$4)*(COUNTIF(CONFIG_ASIGNATURAS!$B$7:$B$27,DATOS!$I$2:$I$20000)&gt;0)*1),"")))</f>
        <v/>
      </c>
      <c r="T917" t="str">
        <f>IF(S917="","",IF(S917="[FÓRMULA MANUAL]","",IFERROR(AVERAGEIFS(DATOS!$K$2:$K$20000,DATOS!$A$2:$A$20000,S917,DATOS!$G$2:$G$20000,CONFIG_METADATA!$B$4,DATOS!$I$2:$I$20000,"Armonía"),"")))</f>
        <v/>
      </c>
      <c r="U917" t="str">
        <f>IF(S917="","",IF(S917="[FÓRMULA MANUAL]","",IFERROR(AVERAGEIFS(DATOS!$K$2:$K$20000,DATOS!$A$2:$A$20000,S917,DATOS!$G$2:$G$20000,CONFIG_METADATA!$B$4,DATOS!$I$2:$I$20000,"Orquesta/Banda/Conjunto"),"")))</f>
        <v/>
      </c>
      <c r="V917" t="str">
        <f>IF(S917="","",IF(S917="[FÓRMULA MANUAL]","",IFERROR(AVERAGEIFS(DATOS!$K$2:$K$20000,DATOS!$A$2:$A$20000,S917,DATOS!$G$2:$G$20000,CONFIG_METADATA!$B$4,DATOS!$I$2:$I$20000,"Música de Cámara"),"")))</f>
        <v/>
      </c>
      <c r="W917" t="str">
        <f>IF(S917="","",IF(S917="[FÓRMULA MANUAL]","",IFERROR(SUMPRODUCT((DATOS!$A$2:$A$20000=S917)*(DATOS!$G$2:$G$20000=CONFIG_METADATA!$B$4)*(COUNTIF(CONFIG_ASIGNATURAS!$B$7:$B$27,DATOS!$I$2:$I$20000)&gt;0)*(DATOS!$K$2:$K$20000))/SUMPRODUCT((DATOS!$A$2:$A$20000=S917)*(DATOS!$G$2:$G$20000=CONFIG_METADATA!$B$4)*(COUNTIF(CONFIG_ASIGNATURAS!$B$7:$B$27,DATOS!$I$2:$I$20000)&gt;0)*1),"")))</f>
        <v/>
      </c>
      <c r="Z917" t="str">
        <f>IF(Y917="","",IF(Y917="[FÓRMULA MANUAL]","",IFERROR(AVERAGEIFS(DATOS!$K$2:$K$20000,DATOS!$A$2:$A$20000,Y917,DATOS!$G$2:$G$20000,CONFIG_METADATA!$B$4,DATOS!$I$2:$I$20000,"Análisis"),"")))</f>
        <v/>
      </c>
      <c r="AA917" t="str">
        <f>IF(Y917="","",IF(Y917="[FÓRMULA MANUAL]","",IFERROR(AVERAGEIFS(DATOS!$K$2:$K$20000,DATOS!$A$2:$A$20000,Y917,DATOS!$G$2:$G$20000,CONFIG_METADATA!$B$4,DATOS!$I$2:$I$20000,"Orquesta/Banda/Conjunto"),"")))</f>
        <v/>
      </c>
      <c r="AB917" t="str">
        <f>IF(Y917="","",IF(Y917="[FÓRMULA MANUAL]","",IFERROR(AVERAGEIFS(DATOS!$K$2:$K$20000,DATOS!$A$2:$A$20000,Y917,DATOS!$G$2:$G$20000,CONFIG_METADATA!$B$4,DATOS!$I$2:$I$20000,"Música de Cámara"),"")))</f>
        <v/>
      </c>
      <c r="AC917" t="str">
        <f>IF(Y917="","",IF(Y917="[FÓRMULA MANUAL]","",IFERROR(SUMPRODUCT((DATOS!$A$2:$A$20000=Y917)*(DATOS!$G$2:$G$20000=CONFIG_METADATA!$B$4)*(COUNTIF(CONFIG_ASIGNATURAS!$B$7:$B$27,DATOS!$I$2:$I$20000)&gt;0)*(DATOS!$K$2:$K$20000))/SUMPRODUCT((DATOS!$A$2:$A$20000=Y917)*(DATOS!$G$2:$G$20000=CONFIG_METADATA!$B$4)*(COUNTIF(CONFIG_ASIGNATURAS!$B$7:$B$27,DATOS!$I$2:$I$20000)&gt;0)*1),"")))</f>
        <v/>
      </c>
      <c r="AF917" t="str">
        <f>IF(AE917="","",IF(AE917="[FÓRMULA MANUAL]","",IFERROR(AVERAGEIFS(DATOS!$K$2:$K$20000,DATOS!$A$2:$A$20000,AE917,DATOS!$G$2:$G$20000,CONFIG_METADATA!$B$4,DATOS!$I$2:$I$20000,"Análisis"),"")))</f>
        <v/>
      </c>
      <c r="AG917" t="str">
        <f>IF(AE917="","",IF(AE917="[FÓRMULA MANUAL]","",IFERROR(AVERAGEIFS(DATOS!$K$2:$K$20000,DATOS!$A$2:$A$20000,AE917,DATOS!$G$2:$G$20000,CONFIG_METADATA!$B$4,DATOS!$I$2:$I$20000,"Orquesta/Banda/Conjunto"),"")))</f>
        <v/>
      </c>
      <c r="AH917" t="str">
        <f>IF(AE917="","",IF(AE917="[FÓRMULA MANUAL]","",IFERROR(AVERAGEIFS(DATOS!$K$2:$K$20000,DATOS!$A$2:$A$20000,AE917,DATOS!$G$2:$G$20000,CONFIG_METADATA!$B$4,DATOS!$I$2:$I$20000,"Música de Cámara"),"")))</f>
        <v/>
      </c>
      <c r="AI917" t="str">
        <f>IF(AE917="","",IF(AE917="[FÓRMULA MANUAL]","",IFERROR(SUMPRODUCT((DATOS!$A$2:$A$20000=AE917)*(DATOS!$G$2:$G$20000=CONFIG_METADATA!$B$4)*(COUNTIF(CONFIG_ASIGNATURAS!$B$7:$B$27,DATOS!$I$2:$I$20000)&gt;0)*(DATOS!$K$2:$K$20000))/SUMPRODUCT((DATOS!$A$2:$A$20000=AE917)*(DATOS!$G$2:$G$20000=CONFIG_METADATA!$B$4)*(COUNTIF(CONFIG_ASIGNATURAS!$B$7:$B$27,DATOS!$I$2:$I$20000)&gt;0)*1),"")))</f>
        <v/>
      </c>
    </row>
    <row r="918" spans="2:35" x14ac:dyDescent="0.2">
      <c r="B918" t="str">
        <f>IF(A918="","",IF(A918="[FÓRMULA MANUAL]","",IFERROR(AVERAGEIFS(DATOS!$K$2:$K$20000,DATOS!$A$2:$A$20000,A918,DATOS!$G$2:$G$20000,CONFIG_METADATA!$B$4,DATOS!$I$2:$I$20000,"Lenguaje Musical"),"")))</f>
        <v/>
      </c>
      <c r="C918" t="str">
        <f>IF(A918="","",IF(A918="[FÓRMULA MANUAL]","",IFERROR(AVERAGEIFS(DATOS!$K$2:$K$20000,DATOS!$A$2:$A$20000,A918,DATOS!$G$2:$G$20000,CONFIG_METADATA!$B$4,DATOS!$I$2:$I$20000,"Orquesta/Banda/Conjunto"),"")))</f>
        <v/>
      </c>
      <c r="D918" t="str">
        <f>IF(A918="","",IF(A918="[FÓRMULA MANUAL]","",IFERROR(AVERAGEIFS(DATOS!$K$2:$K$20000,DATOS!$A$2:$A$20000,A918,DATOS!$G$2:$G$20000,CONFIG_METADATA!$B$4,DATOS!$I$2:$I$20000,"Conjunto"),"")))</f>
        <v/>
      </c>
      <c r="E918" t="str">
        <f>IF(A918="","",IF(A918="[FÓRMULA MANUAL]","",IFERROR(SUMPRODUCT((DATOS!$A$2:$A$20000=A918)*(DATOS!$G$2:$G$20000=CONFIG_METADATA!$B$4)*(COUNTIF(CONFIG_ASIGNATURAS!$B$7:$B$27,DATOS!$I$2:$I$20000)&gt;0)*(DATOS!$K$2:$K$20000))/SUMPRODUCT((DATOS!$A$2:$A$20000=A918)*(DATOS!$G$2:$G$20000=CONFIG_METADATA!$B$4)*(COUNTIF(CONFIG_ASIGNATURAS!$B$7:$B$27,DATOS!$I$2:$I$20000)&gt;0)*1),"")))</f>
        <v/>
      </c>
      <c r="H918" t="str">
        <f>IF(G918="","",IF(G918="[FÓRMULA MANUAL]","",IFERROR(AVERAGEIFS(DATOS!$K$2:$K$20000,DATOS!$A$2:$A$20000,G918,DATOS!$G$2:$G$20000,CONFIG_METADATA!$B$4,DATOS!$I$2:$I$20000,"Lenguaje Musical"),"")))</f>
        <v/>
      </c>
      <c r="I918" t="str">
        <f>IF(G918="","",IF(G918="[FÓRMULA MANUAL]","",IFERROR(AVERAGEIFS(DATOS!$K$2:$K$20000,DATOS!$A$2:$A$20000,G918,DATOS!$G$2:$G$20000,CONFIG_METADATA!$B$4,DATOS!$I$2:$I$20000,"Orquesta/Banda/Conjunto"),"")))</f>
        <v/>
      </c>
      <c r="J918" t="str">
        <f>IF(G918="","",IF(G918="[FÓRMULA MANUAL]","",IFERROR(AVERAGEIFS(DATOS!$K$2:$K$20000,DATOS!$A$2:$A$20000,G918,DATOS!$G$2:$G$20000,CONFIG_METADATA!$B$4,DATOS!$I$2:$I$20000,"Conjunto"),"")))</f>
        <v/>
      </c>
      <c r="K918" t="str">
        <f>IF(G918="","",IF(G918="[FÓRMULA MANUAL]","",IFERROR(SUMPRODUCT((DATOS!$A$2:$A$20000=G918)*(DATOS!$G$2:$G$20000=CONFIG_METADATA!$B$4)*(COUNTIF(CONFIG_ASIGNATURAS!$B$7:$B$27,DATOS!$I$2:$I$20000)&gt;0)*(DATOS!$K$2:$K$20000))/SUMPRODUCT((DATOS!$A$2:$A$20000=G918)*(DATOS!$G$2:$G$20000=CONFIG_METADATA!$B$4)*(COUNTIF(CONFIG_ASIGNATURAS!$B$7:$B$27,DATOS!$I$2:$I$20000)&gt;0)*1),"")))</f>
        <v/>
      </c>
      <c r="N918" t="str">
        <f>IF(M918="","",IF(M918="[FÓRMULA MANUAL]","",IFERROR(AVERAGEIFS(DATOS!$K$2:$K$20000,DATOS!$A$2:$A$20000,M918,DATOS!$G$2:$G$20000,CONFIG_METADATA!$B$4,DATOS!$I$2:$I$20000,"Armonía"),"")))</f>
        <v/>
      </c>
      <c r="O918" t="str">
        <f>IF(M918="","",IF(M918="[FÓRMULA MANUAL]","",IFERROR(AVERAGEIFS(DATOS!$K$2:$K$20000,DATOS!$A$2:$A$20000,M918,DATOS!$G$2:$G$20000,CONFIG_METADATA!$B$4,DATOS!$I$2:$I$20000,"Orquesta/Banda/Conjunto"),"")))</f>
        <v/>
      </c>
      <c r="P918" t="str">
        <f>IF(M918="","",IF(M918="[FÓRMULA MANUAL]","",IFERROR(AVERAGEIFS(DATOS!$K$2:$K$20000,DATOS!$A$2:$A$20000,M918,DATOS!$G$2:$G$20000,CONFIG_METADATA!$B$4,DATOS!$I$2:$I$20000,"Música de Cámara"),"")))</f>
        <v/>
      </c>
      <c r="Q918" t="str">
        <f>IF(M918="","",IF(M918="[FÓRMULA MANUAL]","",IFERROR(SUMPRODUCT((DATOS!$A$2:$A$20000=M918)*(DATOS!$G$2:$G$20000=CONFIG_METADATA!$B$4)*(COUNTIF(CONFIG_ASIGNATURAS!$B$7:$B$27,DATOS!$I$2:$I$20000)&gt;0)*(DATOS!$K$2:$K$20000))/SUMPRODUCT((DATOS!$A$2:$A$20000=M918)*(DATOS!$G$2:$G$20000=CONFIG_METADATA!$B$4)*(COUNTIF(CONFIG_ASIGNATURAS!$B$7:$B$27,DATOS!$I$2:$I$20000)&gt;0)*1),"")))</f>
        <v/>
      </c>
      <c r="T918" t="str">
        <f>IF(S918="","",IF(S918="[FÓRMULA MANUAL]","",IFERROR(AVERAGEIFS(DATOS!$K$2:$K$20000,DATOS!$A$2:$A$20000,S918,DATOS!$G$2:$G$20000,CONFIG_METADATA!$B$4,DATOS!$I$2:$I$20000,"Armonía"),"")))</f>
        <v/>
      </c>
      <c r="U918" t="str">
        <f>IF(S918="","",IF(S918="[FÓRMULA MANUAL]","",IFERROR(AVERAGEIFS(DATOS!$K$2:$K$20000,DATOS!$A$2:$A$20000,S918,DATOS!$G$2:$G$20000,CONFIG_METADATA!$B$4,DATOS!$I$2:$I$20000,"Orquesta/Banda/Conjunto"),"")))</f>
        <v/>
      </c>
      <c r="V918" t="str">
        <f>IF(S918="","",IF(S918="[FÓRMULA MANUAL]","",IFERROR(AVERAGEIFS(DATOS!$K$2:$K$20000,DATOS!$A$2:$A$20000,S918,DATOS!$G$2:$G$20000,CONFIG_METADATA!$B$4,DATOS!$I$2:$I$20000,"Música de Cámara"),"")))</f>
        <v/>
      </c>
      <c r="W918" t="str">
        <f>IF(S918="","",IF(S918="[FÓRMULA MANUAL]","",IFERROR(SUMPRODUCT((DATOS!$A$2:$A$20000=S918)*(DATOS!$G$2:$G$20000=CONFIG_METADATA!$B$4)*(COUNTIF(CONFIG_ASIGNATURAS!$B$7:$B$27,DATOS!$I$2:$I$20000)&gt;0)*(DATOS!$K$2:$K$20000))/SUMPRODUCT((DATOS!$A$2:$A$20000=S918)*(DATOS!$G$2:$G$20000=CONFIG_METADATA!$B$4)*(COUNTIF(CONFIG_ASIGNATURAS!$B$7:$B$27,DATOS!$I$2:$I$20000)&gt;0)*1),"")))</f>
        <v/>
      </c>
      <c r="Z918" t="str">
        <f>IF(Y918="","",IF(Y918="[FÓRMULA MANUAL]","",IFERROR(AVERAGEIFS(DATOS!$K$2:$K$20000,DATOS!$A$2:$A$20000,Y918,DATOS!$G$2:$G$20000,CONFIG_METADATA!$B$4,DATOS!$I$2:$I$20000,"Análisis"),"")))</f>
        <v/>
      </c>
      <c r="AA918" t="str">
        <f>IF(Y918="","",IF(Y918="[FÓRMULA MANUAL]","",IFERROR(AVERAGEIFS(DATOS!$K$2:$K$20000,DATOS!$A$2:$A$20000,Y918,DATOS!$G$2:$G$20000,CONFIG_METADATA!$B$4,DATOS!$I$2:$I$20000,"Orquesta/Banda/Conjunto"),"")))</f>
        <v/>
      </c>
      <c r="AB918" t="str">
        <f>IF(Y918="","",IF(Y918="[FÓRMULA MANUAL]","",IFERROR(AVERAGEIFS(DATOS!$K$2:$K$20000,DATOS!$A$2:$A$20000,Y918,DATOS!$G$2:$G$20000,CONFIG_METADATA!$B$4,DATOS!$I$2:$I$20000,"Música de Cámara"),"")))</f>
        <v/>
      </c>
      <c r="AC918" t="str">
        <f>IF(Y918="","",IF(Y918="[FÓRMULA MANUAL]","",IFERROR(SUMPRODUCT((DATOS!$A$2:$A$20000=Y918)*(DATOS!$G$2:$G$20000=CONFIG_METADATA!$B$4)*(COUNTIF(CONFIG_ASIGNATURAS!$B$7:$B$27,DATOS!$I$2:$I$20000)&gt;0)*(DATOS!$K$2:$K$20000))/SUMPRODUCT((DATOS!$A$2:$A$20000=Y918)*(DATOS!$G$2:$G$20000=CONFIG_METADATA!$B$4)*(COUNTIF(CONFIG_ASIGNATURAS!$B$7:$B$27,DATOS!$I$2:$I$20000)&gt;0)*1),"")))</f>
        <v/>
      </c>
      <c r="AF918" t="str">
        <f>IF(AE918="","",IF(AE918="[FÓRMULA MANUAL]","",IFERROR(AVERAGEIFS(DATOS!$K$2:$K$20000,DATOS!$A$2:$A$20000,AE918,DATOS!$G$2:$G$20000,CONFIG_METADATA!$B$4,DATOS!$I$2:$I$20000,"Análisis"),"")))</f>
        <v/>
      </c>
      <c r="AG918" t="str">
        <f>IF(AE918="","",IF(AE918="[FÓRMULA MANUAL]","",IFERROR(AVERAGEIFS(DATOS!$K$2:$K$20000,DATOS!$A$2:$A$20000,AE918,DATOS!$G$2:$G$20000,CONFIG_METADATA!$B$4,DATOS!$I$2:$I$20000,"Orquesta/Banda/Conjunto"),"")))</f>
        <v/>
      </c>
      <c r="AH918" t="str">
        <f>IF(AE918="","",IF(AE918="[FÓRMULA MANUAL]","",IFERROR(AVERAGEIFS(DATOS!$K$2:$K$20000,DATOS!$A$2:$A$20000,AE918,DATOS!$G$2:$G$20000,CONFIG_METADATA!$B$4,DATOS!$I$2:$I$20000,"Música de Cámara"),"")))</f>
        <v/>
      </c>
      <c r="AI918" t="str">
        <f>IF(AE918="","",IF(AE918="[FÓRMULA MANUAL]","",IFERROR(SUMPRODUCT((DATOS!$A$2:$A$20000=AE918)*(DATOS!$G$2:$G$20000=CONFIG_METADATA!$B$4)*(COUNTIF(CONFIG_ASIGNATURAS!$B$7:$B$27,DATOS!$I$2:$I$20000)&gt;0)*(DATOS!$K$2:$K$20000))/SUMPRODUCT((DATOS!$A$2:$A$20000=AE918)*(DATOS!$G$2:$G$20000=CONFIG_METADATA!$B$4)*(COUNTIF(CONFIG_ASIGNATURAS!$B$7:$B$27,DATOS!$I$2:$I$20000)&gt;0)*1),"")))</f>
        <v/>
      </c>
    </row>
    <row r="919" spans="2:35" x14ac:dyDescent="0.2">
      <c r="B919" t="str">
        <f>IF(A919="","",IF(A919="[FÓRMULA MANUAL]","",IFERROR(AVERAGEIFS(DATOS!$K$2:$K$20000,DATOS!$A$2:$A$20000,A919,DATOS!$G$2:$G$20000,CONFIG_METADATA!$B$4,DATOS!$I$2:$I$20000,"Lenguaje Musical"),"")))</f>
        <v/>
      </c>
      <c r="C919" t="str">
        <f>IF(A919="","",IF(A919="[FÓRMULA MANUAL]","",IFERROR(AVERAGEIFS(DATOS!$K$2:$K$20000,DATOS!$A$2:$A$20000,A919,DATOS!$G$2:$G$20000,CONFIG_METADATA!$B$4,DATOS!$I$2:$I$20000,"Orquesta/Banda/Conjunto"),"")))</f>
        <v/>
      </c>
      <c r="D919" t="str">
        <f>IF(A919="","",IF(A919="[FÓRMULA MANUAL]","",IFERROR(AVERAGEIFS(DATOS!$K$2:$K$20000,DATOS!$A$2:$A$20000,A919,DATOS!$G$2:$G$20000,CONFIG_METADATA!$B$4,DATOS!$I$2:$I$20000,"Conjunto"),"")))</f>
        <v/>
      </c>
      <c r="E919" t="str">
        <f>IF(A919="","",IF(A919="[FÓRMULA MANUAL]","",IFERROR(SUMPRODUCT((DATOS!$A$2:$A$20000=A919)*(DATOS!$G$2:$G$20000=CONFIG_METADATA!$B$4)*(COUNTIF(CONFIG_ASIGNATURAS!$B$7:$B$27,DATOS!$I$2:$I$20000)&gt;0)*(DATOS!$K$2:$K$20000))/SUMPRODUCT((DATOS!$A$2:$A$20000=A919)*(DATOS!$G$2:$G$20000=CONFIG_METADATA!$B$4)*(COUNTIF(CONFIG_ASIGNATURAS!$B$7:$B$27,DATOS!$I$2:$I$20000)&gt;0)*1),"")))</f>
        <v/>
      </c>
      <c r="H919" t="str">
        <f>IF(G919="","",IF(G919="[FÓRMULA MANUAL]","",IFERROR(AVERAGEIFS(DATOS!$K$2:$K$20000,DATOS!$A$2:$A$20000,G919,DATOS!$G$2:$G$20000,CONFIG_METADATA!$B$4,DATOS!$I$2:$I$20000,"Lenguaje Musical"),"")))</f>
        <v/>
      </c>
      <c r="I919" t="str">
        <f>IF(G919="","",IF(G919="[FÓRMULA MANUAL]","",IFERROR(AVERAGEIFS(DATOS!$K$2:$K$20000,DATOS!$A$2:$A$20000,G919,DATOS!$G$2:$G$20000,CONFIG_METADATA!$B$4,DATOS!$I$2:$I$20000,"Orquesta/Banda/Conjunto"),"")))</f>
        <v/>
      </c>
      <c r="J919" t="str">
        <f>IF(G919="","",IF(G919="[FÓRMULA MANUAL]","",IFERROR(AVERAGEIFS(DATOS!$K$2:$K$20000,DATOS!$A$2:$A$20000,G919,DATOS!$G$2:$G$20000,CONFIG_METADATA!$B$4,DATOS!$I$2:$I$20000,"Conjunto"),"")))</f>
        <v/>
      </c>
      <c r="K919" t="str">
        <f>IF(G919="","",IF(G919="[FÓRMULA MANUAL]","",IFERROR(SUMPRODUCT((DATOS!$A$2:$A$20000=G919)*(DATOS!$G$2:$G$20000=CONFIG_METADATA!$B$4)*(COUNTIF(CONFIG_ASIGNATURAS!$B$7:$B$27,DATOS!$I$2:$I$20000)&gt;0)*(DATOS!$K$2:$K$20000))/SUMPRODUCT((DATOS!$A$2:$A$20000=G919)*(DATOS!$G$2:$G$20000=CONFIG_METADATA!$B$4)*(COUNTIF(CONFIG_ASIGNATURAS!$B$7:$B$27,DATOS!$I$2:$I$20000)&gt;0)*1),"")))</f>
        <v/>
      </c>
      <c r="N919" t="str">
        <f>IF(M919="","",IF(M919="[FÓRMULA MANUAL]","",IFERROR(AVERAGEIFS(DATOS!$K$2:$K$20000,DATOS!$A$2:$A$20000,M919,DATOS!$G$2:$G$20000,CONFIG_METADATA!$B$4,DATOS!$I$2:$I$20000,"Armonía"),"")))</f>
        <v/>
      </c>
      <c r="O919" t="str">
        <f>IF(M919="","",IF(M919="[FÓRMULA MANUAL]","",IFERROR(AVERAGEIFS(DATOS!$K$2:$K$20000,DATOS!$A$2:$A$20000,M919,DATOS!$G$2:$G$20000,CONFIG_METADATA!$B$4,DATOS!$I$2:$I$20000,"Orquesta/Banda/Conjunto"),"")))</f>
        <v/>
      </c>
      <c r="P919" t="str">
        <f>IF(M919="","",IF(M919="[FÓRMULA MANUAL]","",IFERROR(AVERAGEIFS(DATOS!$K$2:$K$20000,DATOS!$A$2:$A$20000,M919,DATOS!$G$2:$G$20000,CONFIG_METADATA!$B$4,DATOS!$I$2:$I$20000,"Música de Cámara"),"")))</f>
        <v/>
      </c>
      <c r="Q919" t="str">
        <f>IF(M919="","",IF(M919="[FÓRMULA MANUAL]","",IFERROR(SUMPRODUCT((DATOS!$A$2:$A$20000=M919)*(DATOS!$G$2:$G$20000=CONFIG_METADATA!$B$4)*(COUNTIF(CONFIG_ASIGNATURAS!$B$7:$B$27,DATOS!$I$2:$I$20000)&gt;0)*(DATOS!$K$2:$K$20000))/SUMPRODUCT((DATOS!$A$2:$A$20000=M919)*(DATOS!$G$2:$G$20000=CONFIG_METADATA!$B$4)*(COUNTIF(CONFIG_ASIGNATURAS!$B$7:$B$27,DATOS!$I$2:$I$20000)&gt;0)*1),"")))</f>
        <v/>
      </c>
      <c r="T919" t="str">
        <f>IF(S919="","",IF(S919="[FÓRMULA MANUAL]","",IFERROR(AVERAGEIFS(DATOS!$K$2:$K$20000,DATOS!$A$2:$A$20000,S919,DATOS!$G$2:$G$20000,CONFIG_METADATA!$B$4,DATOS!$I$2:$I$20000,"Armonía"),"")))</f>
        <v/>
      </c>
      <c r="U919" t="str">
        <f>IF(S919="","",IF(S919="[FÓRMULA MANUAL]","",IFERROR(AVERAGEIFS(DATOS!$K$2:$K$20000,DATOS!$A$2:$A$20000,S919,DATOS!$G$2:$G$20000,CONFIG_METADATA!$B$4,DATOS!$I$2:$I$20000,"Orquesta/Banda/Conjunto"),"")))</f>
        <v/>
      </c>
      <c r="V919" t="str">
        <f>IF(S919="","",IF(S919="[FÓRMULA MANUAL]","",IFERROR(AVERAGEIFS(DATOS!$K$2:$K$20000,DATOS!$A$2:$A$20000,S919,DATOS!$G$2:$G$20000,CONFIG_METADATA!$B$4,DATOS!$I$2:$I$20000,"Música de Cámara"),"")))</f>
        <v/>
      </c>
      <c r="W919" t="str">
        <f>IF(S919="","",IF(S919="[FÓRMULA MANUAL]","",IFERROR(SUMPRODUCT((DATOS!$A$2:$A$20000=S919)*(DATOS!$G$2:$G$20000=CONFIG_METADATA!$B$4)*(COUNTIF(CONFIG_ASIGNATURAS!$B$7:$B$27,DATOS!$I$2:$I$20000)&gt;0)*(DATOS!$K$2:$K$20000))/SUMPRODUCT((DATOS!$A$2:$A$20000=S919)*(DATOS!$G$2:$G$20000=CONFIG_METADATA!$B$4)*(COUNTIF(CONFIG_ASIGNATURAS!$B$7:$B$27,DATOS!$I$2:$I$20000)&gt;0)*1),"")))</f>
        <v/>
      </c>
      <c r="Z919" t="str">
        <f>IF(Y919="","",IF(Y919="[FÓRMULA MANUAL]","",IFERROR(AVERAGEIFS(DATOS!$K$2:$K$20000,DATOS!$A$2:$A$20000,Y919,DATOS!$G$2:$G$20000,CONFIG_METADATA!$B$4,DATOS!$I$2:$I$20000,"Análisis"),"")))</f>
        <v/>
      </c>
      <c r="AA919" t="str">
        <f>IF(Y919="","",IF(Y919="[FÓRMULA MANUAL]","",IFERROR(AVERAGEIFS(DATOS!$K$2:$K$20000,DATOS!$A$2:$A$20000,Y919,DATOS!$G$2:$G$20000,CONFIG_METADATA!$B$4,DATOS!$I$2:$I$20000,"Orquesta/Banda/Conjunto"),"")))</f>
        <v/>
      </c>
      <c r="AB919" t="str">
        <f>IF(Y919="","",IF(Y919="[FÓRMULA MANUAL]","",IFERROR(AVERAGEIFS(DATOS!$K$2:$K$20000,DATOS!$A$2:$A$20000,Y919,DATOS!$G$2:$G$20000,CONFIG_METADATA!$B$4,DATOS!$I$2:$I$20000,"Música de Cámara"),"")))</f>
        <v/>
      </c>
      <c r="AC919" t="str">
        <f>IF(Y919="","",IF(Y919="[FÓRMULA MANUAL]","",IFERROR(SUMPRODUCT((DATOS!$A$2:$A$20000=Y919)*(DATOS!$G$2:$G$20000=CONFIG_METADATA!$B$4)*(COUNTIF(CONFIG_ASIGNATURAS!$B$7:$B$27,DATOS!$I$2:$I$20000)&gt;0)*(DATOS!$K$2:$K$20000))/SUMPRODUCT((DATOS!$A$2:$A$20000=Y919)*(DATOS!$G$2:$G$20000=CONFIG_METADATA!$B$4)*(COUNTIF(CONFIG_ASIGNATURAS!$B$7:$B$27,DATOS!$I$2:$I$20000)&gt;0)*1),"")))</f>
        <v/>
      </c>
      <c r="AF919" t="str">
        <f>IF(AE919="","",IF(AE919="[FÓRMULA MANUAL]","",IFERROR(AVERAGEIFS(DATOS!$K$2:$K$20000,DATOS!$A$2:$A$20000,AE919,DATOS!$G$2:$G$20000,CONFIG_METADATA!$B$4,DATOS!$I$2:$I$20000,"Análisis"),"")))</f>
        <v/>
      </c>
      <c r="AG919" t="str">
        <f>IF(AE919="","",IF(AE919="[FÓRMULA MANUAL]","",IFERROR(AVERAGEIFS(DATOS!$K$2:$K$20000,DATOS!$A$2:$A$20000,AE919,DATOS!$G$2:$G$20000,CONFIG_METADATA!$B$4,DATOS!$I$2:$I$20000,"Orquesta/Banda/Conjunto"),"")))</f>
        <v/>
      </c>
      <c r="AH919" t="str">
        <f>IF(AE919="","",IF(AE919="[FÓRMULA MANUAL]","",IFERROR(AVERAGEIFS(DATOS!$K$2:$K$20000,DATOS!$A$2:$A$20000,AE919,DATOS!$G$2:$G$20000,CONFIG_METADATA!$B$4,DATOS!$I$2:$I$20000,"Música de Cámara"),"")))</f>
        <v/>
      </c>
      <c r="AI919" t="str">
        <f>IF(AE919="","",IF(AE919="[FÓRMULA MANUAL]","",IFERROR(SUMPRODUCT((DATOS!$A$2:$A$20000=AE919)*(DATOS!$G$2:$G$20000=CONFIG_METADATA!$B$4)*(COUNTIF(CONFIG_ASIGNATURAS!$B$7:$B$27,DATOS!$I$2:$I$20000)&gt;0)*(DATOS!$K$2:$K$20000))/SUMPRODUCT((DATOS!$A$2:$A$20000=AE919)*(DATOS!$G$2:$G$20000=CONFIG_METADATA!$B$4)*(COUNTIF(CONFIG_ASIGNATURAS!$B$7:$B$27,DATOS!$I$2:$I$20000)&gt;0)*1),"")))</f>
        <v/>
      </c>
    </row>
    <row r="920" spans="2:35" x14ac:dyDescent="0.2">
      <c r="B920" t="str">
        <f>IF(A920="","",IF(A920="[FÓRMULA MANUAL]","",IFERROR(AVERAGEIFS(DATOS!$K$2:$K$20000,DATOS!$A$2:$A$20000,A920,DATOS!$G$2:$G$20000,CONFIG_METADATA!$B$4,DATOS!$I$2:$I$20000,"Lenguaje Musical"),"")))</f>
        <v/>
      </c>
      <c r="C920" t="str">
        <f>IF(A920="","",IF(A920="[FÓRMULA MANUAL]","",IFERROR(AVERAGEIFS(DATOS!$K$2:$K$20000,DATOS!$A$2:$A$20000,A920,DATOS!$G$2:$G$20000,CONFIG_METADATA!$B$4,DATOS!$I$2:$I$20000,"Orquesta/Banda/Conjunto"),"")))</f>
        <v/>
      </c>
      <c r="D920" t="str">
        <f>IF(A920="","",IF(A920="[FÓRMULA MANUAL]","",IFERROR(AVERAGEIFS(DATOS!$K$2:$K$20000,DATOS!$A$2:$A$20000,A920,DATOS!$G$2:$G$20000,CONFIG_METADATA!$B$4,DATOS!$I$2:$I$20000,"Conjunto"),"")))</f>
        <v/>
      </c>
      <c r="E920" t="str">
        <f>IF(A920="","",IF(A920="[FÓRMULA MANUAL]","",IFERROR(SUMPRODUCT((DATOS!$A$2:$A$20000=A920)*(DATOS!$G$2:$G$20000=CONFIG_METADATA!$B$4)*(COUNTIF(CONFIG_ASIGNATURAS!$B$7:$B$27,DATOS!$I$2:$I$20000)&gt;0)*(DATOS!$K$2:$K$20000))/SUMPRODUCT((DATOS!$A$2:$A$20000=A920)*(DATOS!$G$2:$G$20000=CONFIG_METADATA!$B$4)*(COUNTIF(CONFIG_ASIGNATURAS!$B$7:$B$27,DATOS!$I$2:$I$20000)&gt;0)*1),"")))</f>
        <v/>
      </c>
      <c r="H920" t="str">
        <f>IF(G920="","",IF(G920="[FÓRMULA MANUAL]","",IFERROR(AVERAGEIFS(DATOS!$K$2:$K$20000,DATOS!$A$2:$A$20000,G920,DATOS!$G$2:$G$20000,CONFIG_METADATA!$B$4,DATOS!$I$2:$I$20000,"Lenguaje Musical"),"")))</f>
        <v/>
      </c>
      <c r="I920" t="str">
        <f>IF(G920="","",IF(G920="[FÓRMULA MANUAL]","",IFERROR(AVERAGEIFS(DATOS!$K$2:$K$20000,DATOS!$A$2:$A$20000,G920,DATOS!$G$2:$G$20000,CONFIG_METADATA!$B$4,DATOS!$I$2:$I$20000,"Orquesta/Banda/Conjunto"),"")))</f>
        <v/>
      </c>
      <c r="J920" t="str">
        <f>IF(G920="","",IF(G920="[FÓRMULA MANUAL]","",IFERROR(AVERAGEIFS(DATOS!$K$2:$K$20000,DATOS!$A$2:$A$20000,G920,DATOS!$G$2:$G$20000,CONFIG_METADATA!$B$4,DATOS!$I$2:$I$20000,"Conjunto"),"")))</f>
        <v/>
      </c>
      <c r="K920" t="str">
        <f>IF(G920="","",IF(G920="[FÓRMULA MANUAL]","",IFERROR(SUMPRODUCT((DATOS!$A$2:$A$20000=G920)*(DATOS!$G$2:$G$20000=CONFIG_METADATA!$B$4)*(COUNTIF(CONFIG_ASIGNATURAS!$B$7:$B$27,DATOS!$I$2:$I$20000)&gt;0)*(DATOS!$K$2:$K$20000))/SUMPRODUCT((DATOS!$A$2:$A$20000=G920)*(DATOS!$G$2:$G$20000=CONFIG_METADATA!$B$4)*(COUNTIF(CONFIG_ASIGNATURAS!$B$7:$B$27,DATOS!$I$2:$I$20000)&gt;0)*1),"")))</f>
        <v/>
      </c>
      <c r="N920" t="str">
        <f>IF(M920="","",IF(M920="[FÓRMULA MANUAL]","",IFERROR(AVERAGEIFS(DATOS!$K$2:$K$20000,DATOS!$A$2:$A$20000,M920,DATOS!$G$2:$G$20000,CONFIG_METADATA!$B$4,DATOS!$I$2:$I$20000,"Armonía"),"")))</f>
        <v/>
      </c>
      <c r="O920" t="str">
        <f>IF(M920="","",IF(M920="[FÓRMULA MANUAL]","",IFERROR(AVERAGEIFS(DATOS!$K$2:$K$20000,DATOS!$A$2:$A$20000,M920,DATOS!$G$2:$G$20000,CONFIG_METADATA!$B$4,DATOS!$I$2:$I$20000,"Orquesta/Banda/Conjunto"),"")))</f>
        <v/>
      </c>
      <c r="P920" t="str">
        <f>IF(M920="","",IF(M920="[FÓRMULA MANUAL]","",IFERROR(AVERAGEIFS(DATOS!$K$2:$K$20000,DATOS!$A$2:$A$20000,M920,DATOS!$G$2:$G$20000,CONFIG_METADATA!$B$4,DATOS!$I$2:$I$20000,"Música de Cámara"),"")))</f>
        <v/>
      </c>
      <c r="Q920" t="str">
        <f>IF(M920="","",IF(M920="[FÓRMULA MANUAL]","",IFERROR(SUMPRODUCT((DATOS!$A$2:$A$20000=M920)*(DATOS!$G$2:$G$20000=CONFIG_METADATA!$B$4)*(COUNTIF(CONFIG_ASIGNATURAS!$B$7:$B$27,DATOS!$I$2:$I$20000)&gt;0)*(DATOS!$K$2:$K$20000))/SUMPRODUCT((DATOS!$A$2:$A$20000=M920)*(DATOS!$G$2:$G$20000=CONFIG_METADATA!$B$4)*(COUNTIF(CONFIG_ASIGNATURAS!$B$7:$B$27,DATOS!$I$2:$I$20000)&gt;0)*1),"")))</f>
        <v/>
      </c>
      <c r="T920" t="str">
        <f>IF(S920="","",IF(S920="[FÓRMULA MANUAL]","",IFERROR(AVERAGEIFS(DATOS!$K$2:$K$20000,DATOS!$A$2:$A$20000,S920,DATOS!$G$2:$G$20000,CONFIG_METADATA!$B$4,DATOS!$I$2:$I$20000,"Armonía"),"")))</f>
        <v/>
      </c>
      <c r="U920" t="str">
        <f>IF(S920="","",IF(S920="[FÓRMULA MANUAL]","",IFERROR(AVERAGEIFS(DATOS!$K$2:$K$20000,DATOS!$A$2:$A$20000,S920,DATOS!$G$2:$G$20000,CONFIG_METADATA!$B$4,DATOS!$I$2:$I$20000,"Orquesta/Banda/Conjunto"),"")))</f>
        <v/>
      </c>
      <c r="V920" t="str">
        <f>IF(S920="","",IF(S920="[FÓRMULA MANUAL]","",IFERROR(AVERAGEIFS(DATOS!$K$2:$K$20000,DATOS!$A$2:$A$20000,S920,DATOS!$G$2:$G$20000,CONFIG_METADATA!$B$4,DATOS!$I$2:$I$20000,"Música de Cámara"),"")))</f>
        <v/>
      </c>
      <c r="W920" t="str">
        <f>IF(S920="","",IF(S920="[FÓRMULA MANUAL]","",IFERROR(SUMPRODUCT((DATOS!$A$2:$A$20000=S920)*(DATOS!$G$2:$G$20000=CONFIG_METADATA!$B$4)*(COUNTIF(CONFIG_ASIGNATURAS!$B$7:$B$27,DATOS!$I$2:$I$20000)&gt;0)*(DATOS!$K$2:$K$20000))/SUMPRODUCT((DATOS!$A$2:$A$20000=S920)*(DATOS!$G$2:$G$20000=CONFIG_METADATA!$B$4)*(COUNTIF(CONFIG_ASIGNATURAS!$B$7:$B$27,DATOS!$I$2:$I$20000)&gt;0)*1),"")))</f>
        <v/>
      </c>
      <c r="Z920" t="str">
        <f>IF(Y920="","",IF(Y920="[FÓRMULA MANUAL]","",IFERROR(AVERAGEIFS(DATOS!$K$2:$K$20000,DATOS!$A$2:$A$20000,Y920,DATOS!$G$2:$G$20000,CONFIG_METADATA!$B$4,DATOS!$I$2:$I$20000,"Análisis"),"")))</f>
        <v/>
      </c>
      <c r="AA920" t="str">
        <f>IF(Y920="","",IF(Y920="[FÓRMULA MANUAL]","",IFERROR(AVERAGEIFS(DATOS!$K$2:$K$20000,DATOS!$A$2:$A$20000,Y920,DATOS!$G$2:$G$20000,CONFIG_METADATA!$B$4,DATOS!$I$2:$I$20000,"Orquesta/Banda/Conjunto"),"")))</f>
        <v/>
      </c>
      <c r="AB920" t="str">
        <f>IF(Y920="","",IF(Y920="[FÓRMULA MANUAL]","",IFERROR(AVERAGEIFS(DATOS!$K$2:$K$20000,DATOS!$A$2:$A$20000,Y920,DATOS!$G$2:$G$20000,CONFIG_METADATA!$B$4,DATOS!$I$2:$I$20000,"Música de Cámara"),"")))</f>
        <v/>
      </c>
      <c r="AC920" t="str">
        <f>IF(Y920="","",IF(Y920="[FÓRMULA MANUAL]","",IFERROR(SUMPRODUCT((DATOS!$A$2:$A$20000=Y920)*(DATOS!$G$2:$G$20000=CONFIG_METADATA!$B$4)*(COUNTIF(CONFIG_ASIGNATURAS!$B$7:$B$27,DATOS!$I$2:$I$20000)&gt;0)*(DATOS!$K$2:$K$20000))/SUMPRODUCT((DATOS!$A$2:$A$20000=Y920)*(DATOS!$G$2:$G$20000=CONFIG_METADATA!$B$4)*(COUNTIF(CONFIG_ASIGNATURAS!$B$7:$B$27,DATOS!$I$2:$I$20000)&gt;0)*1),"")))</f>
        <v/>
      </c>
      <c r="AF920" t="str">
        <f>IF(AE920="","",IF(AE920="[FÓRMULA MANUAL]","",IFERROR(AVERAGEIFS(DATOS!$K$2:$K$20000,DATOS!$A$2:$A$20000,AE920,DATOS!$G$2:$G$20000,CONFIG_METADATA!$B$4,DATOS!$I$2:$I$20000,"Análisis"),"")))</f>
        <v/>
      </c>
      <c r="AG920" t="str">
        <f>IF(AE920="","",IF(AE920="[FÓRMULA MANUAL]","",IFERROR(AVERAGEIFS(DATOS!$K$2:$K$20000,DATOS!$A$2:$A$20000,AE920,DATOS!$G$2:$G$20000,CONFIG_METADATA!$B$4,DATOS!$I$2:$I$20000,"Orquesta/Banda/Conjunto"),"")))</f>
        <v/>
      </c>
      <c r="AH920" t="str">
        <f>IF(AE920="","",IF(AE920="[FÓRMULA MANUAL]","",IFERROR(AVERAGEIFS(DATOS!$K$2:$K$20000,DATOS!$A$2:$A$20000,AE920,DATOS!$G$2:$G$20000,CONFIG_METADATA!$B$4,DATOS!$I$2:$I$20000,"Música de Cámara"),"")))</f>
        <v/>
      </c>
      <c r="AI920" t="str">
        <f>IF(AE920="","",IF(AE920="[FÓRMULA MANUAL]","",IFERROR(SUMPRODUCT((DATOS!$A$2:$A$20000=AE920)*(DATOS!$G$2:$G$20000=CONFIG_METADATA!$B$4)*(COUNTIF(CONFIG_ASIGNATURAS!$B$7:$B$27,DATOS!$I$2:$I$20000)&gt;0)*(DATOS!$K$2:$K$20000))/SUMPRODUCT((DATOS!$A$2:$A$20000=AE920)*(DATOS!$G$2:$G$20000=CONFIG_METADATA!$B$4)*(COUNTIF(CONFIG_ASIGNATURAS!$B$7:$B$27,DATOS!$I$2:$I$20000)&gt;0)*1),"")))</f>
        <v/>
      </c>
    </row>
    <row r="921" spans="2:35" x14ac:dyDescent="0.2">
      <c r="B921" t="str">
        <f>IF(A921="","",IF(A921="[FÓRMULA MANUAL]","",IFERROR(AVERAGEIFS(DATOS!$K$2:$K$20000,DATOS!$A$2:$A$20000,A921,DATOS!$G$2:$G$20000,CONFIG_METADATA!$B$4,DATOS!$I$2:$I$20000,"Lenguaje Musical"),"")))</f>
        <v/>
      </c>
      <c r="C921" t="str">
        <f>IF(A921="","",IF(A921="[FÓRMULA MANUAL]","",IFERROR(AVERAGEIFS(DATOS!$K$2:$K$20000,DATOS!$A$2:$A$20000,A921,DATOS!$G$2:$G$20000,CONFIG_METADATA!$B$4,DATOS!$I$2:$I$20000,"Orquesta/Banda/Conjunto"),"")))</f>
        <v/>
      </c>
      <c r="D921" t="str">
        <f>IF(A921="","",IF(A921="[FÓRMULA MANUAL]","",IFERROR(AVERAGEIFS(DATOS!$K$2:$K$20000,DATOS!$A$2:$A$20000,A921,DATOS!$G$2:$G$20000,CONFIG_METADATA!$B$4,DATOS!$I$2:$I$20000,"Conjunto"),"")))</f>
        <v/>
      </c>
      <c r="E921" t="str">
        <f>IF(A921="","",IF(A921="[FÓRMULA MANUAL]","",IFERROR(SUMPRODUCT((DATOS!$A$2:$A$20000=A921)*(DATOS!$G$2:$G$20000=CONFIG_METADATA!$B$4)*(COUNTIF(CONFIG_ASIGNATURAS!$B$7:$B$27,DATOS!$I$2:$I$20000)&gt;0)*(DATOS!$K$2:$K$20000))/SUMPRODUCT((DATOS!$A$2:$A$20000=A921)*(DATOS!$G$2:$G$20000=CONFIG_METADATA!$B$4)*(COUNTIF(CONFIG_ASIGNATURAS!$B$7:$B$27,DATOS!$I$2:$I$20000)&gt;0)*1),"")))</f>
        <v/>
      </c>
      <c r="H921" t="str">
        <f>IF(G921="","",IF(G921="[FÓRMULA MANUAL]","",IFERROR(AVERAGEIFS(DATOS!$K$2:$K$20000,DATOS!$A$2:$A$20000,G921,DATOS!$G$2:$G$20000,CONFIG_METADATA!$B$4,DATOS!$I$2:$I$20000,"Lenguaje Musical"),"")))</f>
        <v/>
      </c>
      <c r="I921" t="str">
        <f>IF(G921="","",IF(G921="[FÓRMULA MANUAL]","",IFERROR(AVERAGEIFS(DATOS!$K$2:$K$20000,DATOS!$A$2:$A$20000,G921,DATOS!$G$2:$G$20000,CONFIG_METADATA!$B$4,DATOS!$I$2:$I$20000,"Orquesta/Banda/Conjunto"),"")))</f>
        <v/>
      </c>
      <c r="J921" t="str">
        <f>IF(G921="","",IF(G921="[FÓRMULA MANUAL]","",IFERROR(AVERAGEIFS(DATOS!$K$2:$K$20000,DATOS!$A$2:$A$20000,G921,DATOS!$G$2:$G$20000,CONFIG_METADATA!$B$4,DATOS!$I$2:$I$20000,"Conjunto"),"")))</f>
        <v/>
      </c>
      <c r="K921" t="str">
        <f>IF(G921="","",IF(G921="[FÓRMULA MANUAL]","",IFERROR(SUMPRODUCT((DATOS!$A$2:$A$20000=G921)*(DATOS!$G$2:$G$20000=CONFIG_METADATA!$B$4)*(COUNTIF(CONFIG_ASIGNATURAS!$B$7:$B$27,DATOS!$I$2:$I$20000)&gt;0)*(DATOS!$K$2:$K$20000))/SUMPRODUCT((DATOS!$A$2:$A$20000=G921)*(DATOS!$G$2:$G$20000=CONFIG_METADATA!$B$4)*(COUNTIF(CONFIG_ASIGNATURAS!$B$7:$B$27,DATOS!$I$2:$I$20000)&gt;0)*1),"")))</f>
        <v/>
      </c>
      <c r="N921" t="str">
        <f>IF(M921="","",IF(M921="[FÓRMULA MANUAL]","",IFERROR(AVERAGEIFS(DATOS!$K$2:$K$20000,DATOS!$A$2:$A$20000,M921,DATOS!$G$2:$G$20000,CONFIG_METADATA!$B$4,DATOS!$I$2:$I$20000,"Armonía"),"")))</f>
        <v/>
      </c>
      <c r="O921" t="str">
        <f>IF(M921="","",IF(M921="[FÓRMULA MANUAL]","",IFERROR(AVERAGEIFS(DATOS!$K$2:$K$20000,DATOS!$A$2:$A$20000,M921,DATOS!$G$2:$G$20000,CONFIG_METADATA!$B$4,DATOS!$I$2:$I$20000,"Orquesta/Banda/Conjunto"),"")))</f>
        <v/>
      </c>
      <c r="P921" t="str">
        <f>IF(M921="","",IF(M921="[FÓRMULA MANUAL]","",IFERROR(AVERAGEIFS(DATOS!$K$2:$K$20000,DATOS!$A$2:$A$20000,M921,DATOS!$G$2:$G$20000,CONFIG_METADATA!$B$4,DATOS!$I$2:$I$20000,"Música de Cámara"),"")))</f>
        <v/>
      </c>
      <c r="Q921" t="str">
        <f>IF(M921="","",IF(M921="[FÓRMULA MANUAL]","",IFERROR(SUMPRODUCT((DATOS!$A$2:$A$20000=M921)*(DATOS!$G$2:$G$20000=CONFIG_METADATA!$B$4)*(COUNTIF(CONFIG_ASIGNATURAS!$B$7:$B$27,DATOS!$I$2:$I$20000)&gt;0)*(DATOS!$K$2:$K$20000))/SUMPRODUCT((DATOS!$A$2:$A$20000=M921)*(DATOS!$G$2:$G$20000=CONFIG_METADATA!$B$4)*(COUNTIF(CONFIG_ASIGNATURAS!$B$7:$B$27,DATOS!$I$2:$I$20000)&gt;0)*1),"")))</f>
        <v/>
      </c>
      <c r="T921" t="str">
        <f>IF(S921="","",IF(S921="[FÓRMULA MANUAL]","",IFERROR(AVERAGEIFS(DATOS!$K$2:$K$20000,DATOS!$A$2:$A$20000,S921,DATOS!$G$2:$G$20000,CONFIG_METADATA!$B$4,DATOS!$I$2:$I$20000,"Armonía"),"")))</f>
        <v/>
      </c>
      <c r="U921" t="str">
        <f>IF(S921="","",IF(S921="[FÓRMULA MANUAL]","",IFERROR(AVERAGEIFS(DATOS!$K$2:$K$20000,DATOS!$A$2:$A$20000,S921,DATOS!$G$2:$G$20000,CONFIG_METADATA!$B$4,DATOS!$I$2:$I$20000,"Orquesta/Banda/Conjunto"),"")))</f>
        <v/>
      </c>
      <c r="V921" t="str">
        <f>IF(S921="","",IF(S921="[FÓRMULA MANUAL]","",IFERROR(AVERAGEIFS(DATOS!$K$2:$K$20000,DATOS!$A$2:$A$20000,S921,DATOS!$G$2:$G$20000,CONFIG_METADATA!$B$4,DATOS!$I$2:$I$20000,"Música de Cámara"),"")))</f>
        <v/>
      </c>
      <c r="W921" t="str">
        <f>IF(S921="","",IF(S921="[FÓRMULA MANUAL]","",IFERROR(SUMPRODUCT((DATOS!$A$2:$A$20000=S921)*(DATOS!$G$2:$G$20000=CONFIG_METADATA!$B$4)*(COUNTIF(CONFIG_ASIGNATURAS!$B$7:$B$27,DATOS!$I$2:$I$20000)&gt;0)*(DATOS!$K$2:$K$20000))/SUMPRODUCT((DATOS!$A$2:$A$20000=S921)*(DATOS!$G$2:$G$20000=CONFIG_METADATA!$B$4)*(COUNTIF(CONFIG_ASIGNATURAS!$B$7:$B$27,DATOS!$I$2:$I$20000)&gt;0)*1),"")))</f>
        <v/>
      </c>
      <c r="Z921" t="str">
        <f>IF(Y921="","",IF(Y921="[FÓRMULA MANUAL]","",IFERROR(AVERAGEIFS(DATOS!$K$2:$K$20000,DATOS!$A$2:$A$20000,Y921,DATOS!$G$2:$G$20000,CONFIG_METADATA!$B$4,DATOS!$I$2:$I$20000,"Análisis"),"")))</f>
        <v/>
      </c>
      <c r="AA921" t="str">
        <f>IF(Y921="","",IF(Y921="[FÓRMULA MANUAL]","",IFERROR(AVERAGEIFS(DATOS!$K$2:$K$20000,DATOS!$A$2:$A$20000,Y921,DATOS!$G$2:$G$20000,CONFIG_METADATA!$B$4,DATOS!$I$2:$I$20000,"Orquesta/Banda/Conjunto"),"")))</f>
        <v/>
      </c>
      <c r="AB921" t="str">
        <f>IF(Y921="","",IF(Y921="[FÓRMULA MANUAL]","",IFERROR(AVERAGEIFS(DATOS!$K$2:$K$20000,DATOS!$A$2:$A$20000,Y921,DATOS!$G$2:$G$20000,CONFIG_METADATA!$B$4,DATOS!$I$2:$I$20000,"Música de Cámara"),"")))</f>
        <v/>
      </c>
      <c r="AC921" t="str">
        <f>IF(Y921="","",IF(Y921="[FÓRMULA MANUAL]","",IFERROR(SUMPRODUCT((DATOS!$A$2:$A$20000=Y921)*(DATOS!$G$2:$G$20000=CONFIG_METADATA!$B$4)*(COUNTIF(CONFIG_ASIGNATURAS!$B$7:$B$27,DATOS!$I$2:$I$20000)&gt;0)*(DATOS!$K$2:$K$20000))/SUMPRODUCT((DATOS!$A$2:$A$20000=Y921)*(DATOS!$G$2:$G$20000=CONFIG_METADATA!$B$4)*(COUNTIF(CONFIG_ASIGNATURAS!$B$7:$B$27,DATOS!$I$2:$I$20000)&gt;0)*1),"")))</f>
        <v/>
      </c>
      <c r="AF921" t="str">
        <f>IF(AE921="","",IF(AE921="[FÓRMULA MANUAL]","",IFERROR(AVERAGEIFS(DATOS!$K$2:$K$20000,DATOS!$A$2:$A$20000,AE921,DATOS!$G$2:$G$20000,CONFIG_METADATA!$B$4,DATOS!$I$2:$I$20000,"Análisis"),"")))</f>
        <v/>
      </c>
      <c r="AG921" t="str">
        <f>IF(AE921="","",IF(AE921="[FÓRMULA MANUAL]","",IFERROR(AVERAGEIFS(DATOS!$K$2:$K$20000,DATOS!$A$2:$A$20000,AE921,DATOS!$G$2:$G$20000,CONFIG_METADATA!$B$4,DATOS!$I$2:$I$20000,"Orquesta/Banda/Conjunto"),"")))</f>
        <v/>
      </c>
      <c r="AH921" t="str">
        <f>IF(AE921="","",IF(AE921="[FÓRMULA MANUAL]","",IFERROR(AVERAGEIFS(DATOS!$K$2:$K$20000,DATOS!$A$2:$A$20000,AE921,DATOS!$G$2:$G$20000,CONFIG_METADATA!$B$4,DATOS!$I$2:$I$20000,"Música de Cámara"),"")))</f>
        <v/>
      </c>
      <c r="AI921" t="str">
        <f>IF(AE921="","",IF(AE921="[FÓRMULA MANUAL]","",IFERROR(SUMPRODUCT((DATOS!$A$2:$A$20000=AE921)*(DATOS!$G$2:$G$20000=CONFIG_METADATA!$B$4)*(COUNTIF(CONFIG_ASIGNATURAS!$B$7:$B$27,DATOS!$I$2:$I$20000)&gt;0)*(DATOS!$K$2:$K$20000))/SUMPRODUCT((DATOS!$A$2:$A$20000=AE921)*(DATOS!$G$2:$G$20000=CONFIG_METADATA!$B$4)*(COUNTIF(CONFIG_ASIGNATURAS!$B$7:$B$27,DATOS!$I$2:$I$20000)&gt;0)*1),"")))</f>
        <v/>
      </c>
    </row>
    <row r="922" spans="2:35" x14ac:dyDescent="0.2">
      <c r="B922" t="str">
        <f>IF(A922="","",IF(A922="[FÓRMULA MANUAL]","",IFERROR(AVERAGEIFS(DATOS!$K$2:$K$20000,DATOS!$A$2:$A$20000,A922,DATOS!$G$2:$G$20000,CONFIG_METADATA!$B$4,DATOS!$I$2:$I$20000,"Lenguaje Musical"),"")))</f>
        <v/>
      </c>
      <c r="C922" t="str">
        <f>IF(A922="","",IF(A922="[FÓRMULA MANUAL]","",IFERROR(AVERAGEIFS(DATOS!$K$2:$K$20000,DATOS!$A$2:$A$20000,A922,DATOS!$G$2:$G$20000,CONFIG_METADATA!$B$4,DATOS!$I$2:$I$20000,"Orquesta/Banda/Conjunto"),"")))</f>
        <v/>
      </c>
      <c r="D922" t="str">
        <f>IF(A922="","",IF(A922="[FÓRMULA MANUAL]","",IFERROR(AVERAGEIFS(DATOS!$K$2:$K$20000,DATOS!$A$2:$A$20000,A922,DATOS!$G$2:$G$20000,CONFIG_METADATA!$B$4,DATOS!$I$2:$I$20000,"Conjunto"),"")))</f>
        <v/>
      </c>
      <c r="E922" t="str">
        <f>IF(A922="","",IF(A922="[FÓRMULA MANUAL]","",IFERROR(SUMPRODUCT((DATOS!$A$2:$A$20000=A922)*(DATOS!$G$2:$G$20000=CONFIG_METADATA!$B$4)*(COUNTIF(CONFIG_ASIGNATURAS!$B$7:$B$27,DATOS!$I$2:$I$20000)&gt;0)*(DATOS!$K$2:$K$20000))/SUMPRODUCT((DATOS!$A$2:$A$20000=A922)*(DATOS!$G$2:$G$20000=CONFIG_METADATA!$B$4)*(COUNTIF(CONFIG_ASIGNATURAS!$B$7:$B$27,DATOS!$I$2:$I$20000)&gt;0)*1),"")))</f>
        <v/>
      </c>
      <c r="H922" t="str">
        <f>IF(G922="","",IF(G922="[FÓRMULA MANUAL]","",IFERROR(AVERAGEIFS(DATOS!$K$2:$K$20000,DATOS!$A$2:$A$20000,G922,DATOS!$G$2:$G$20000,CONFIG_METADATA!$B$4,DATOS!$I$2:$I$20000,"Lenguaje Musical"),"")))</f>
        <v/>
      </c>
      <c r="I922" t="str">
        <f>IF(G922="","",IF(G922="[FÓRMULA MANUAL]","",IFERROR(AVERAGEIFS(DATOS!$K$2:$K$20000,DATOS!$A$2:$A$20000,G922,DATOS!$G$2:$G$20000,CONFIG_METADATA!$B$4,DATOS!$I$2:$I$20000,"Orquesta/Banda/Conjunto"),"")))</f>
        <v/>
      </c>
      <c r="J922" t="str">
        <f>IF(G922="","",IF(G922="[FÓRMULA MANUAL]","",IFERROR(AVERAGEIFS(DATOS!$K$2:$K$20000,DATOS!$A$2:$A$20000,G922,DATOS!$G$2:$G$20000,CONFIG_METADATA!$B$4,DATOS!$I$2:$I$20000,"Conjunto"),"")))</f>
        <v/>
      </c>
      <c r="K922" t="str">
        <f>IF(G922="","",IF(G922="[FÓRMULA MANUAL]","",IFERROR(SUMPRODUCT((DATOS!$A$2:$A$20000=G922)*(DATOS!$G$2:$G$20000=CONFIG_METADATA!$B$4)*(COUNTIF(CONFIG_ASIGNATURAS!$B$7:$B$27,DATOS!$I$2:$I$20000)&gt;0)*(DATOS!$K$2:$K$20000))/SUMPRODUCT((DATOS!$A$2:$A$20000=G922)*(DATOS!$G$2:$G$20000=CONFIG_METADATA!$B$4)*(COUNTIF(CONFIG_ASIGNATURAS!$B$7:$B$27,DATOS!$I$2:$I$20000)&gt;0)*1),"")))</f>
        <v/>
      </c>
      <c r="N922" t="str">
        <f>IF(M922="","",IF(M922="[FÓRMULA MANUAL]","",IFERROR(AVERAGEIFS(DATOS!$K$2:$K$20000,DATOS!$A$2:$A$20000,M922,DATOS!$G$2:$G$20000,CONFIG_METADATA!$B$4,DATOS!$I$2:$I$20000,"Armonía"),"")))</f>
        <v/>
      </c>
      <c r="O922" t="str">
        <f>IF(M922="","",IF(M922="[FÓRMULA MANUAL]","",IFERROR(AVERAGEIFS(DATOS!$K$2:$K$20000,DATOS!$A$2:$A$20000,M922,DATOS!$G$2:$G$20000,CONFIG_METADATA!$B$4,DATOS!$I$2:$I$20000,"Orquesta/Banda/Conjunto"),"")))</f>
        <v/>
      </c>
      <c r="P922" t="str">
        <f>IF(M922="","",IF(M922="[FÓRMULA MANUAL]","",IFERROR(AVERAGEIFS(DATOS!$K$2:$K$20000,DATOS!$A$2:$A$20000,M922,DATOS!$G$2:$G$20000,CONFIG_METADATA!$B$4,DATOS!$I$2:$I$20000,"Música de Cámara"),"")))</f>
        <v/>
      </c>
      <c r="Q922" t="str">
        <f>IF(M922="","",IF(M922="[FÓRMULA MANUAL]","",IFERROR(SUMPRODUCT((DATOS!$A$2:$A$20000=M922)*(DATOS!$G$2:$G$20000=CONFIG_METADATA!$B$4)*(COUNTIF(CONFIG_ASIGNATURAS!$B$7:$B$27,DATOS!$I$2:$I$20000)&gt;0)*(DATOS!$K$2:$K$20000))/SUMPRODUCT((DATOS!$A$2:$A$20000=M922)*(DATOS!$G$2:$G$20000=CONFIG_METADATA!$B$4)*(COUNTIF(CONFIG_ASIGNATURAS!$B$7:$B$27,DATOS!$I$2:$I$20000)&gt;0)*1),"")))</f>
        <v/>
      </c>
      <c r="T922" t="str">
        <f>IF(S922="","",IF(S922="[FÓRMULA MANUAL]","",IFERROR(AVERAGEIFS(DATOS!$K$2:$K$20000,DATOS!$A$2:$A$20000,S922,DATOS!$G$2:$G$20000,CONFIG_METADATA!$B$4,DATOS!$I$2:$I$20000,"Armonía"),"")))</f>
        <v/>
      </c>
      <c r="U922" t="str">
        <f>IF(S922="","",IF(S922="[FÓRMULA MANUAL]","",IFERROR(AVERAGEIFS(DATOS!$K$2:$K$20000,DATOS!$A$2:$A$20000,S922,DATOS!$G$2:$G$20000,CONFIG_METADATA!$B$4,DATOS!$I$2:$I$20000,"Orquesta/Banda/Conjunto"),"")))</f>
        <v/>
      </c>
      <c r="V922" t="str">
        <f>IF(S922="","",IF(S922="[FÓRMULA MANUAL]","",IFERROR(AVERAGEIFS(DATOS!$K$2:$K$20000,DATOS!$A$2:$A$20000,S922,DATOS!$G$2:$G$20000,CONFIG_METADATA!$B$4,DATOS!$I$2:$I$20000,"Música de Cámara"),"")))</f>
        <v/>
      </c>
      <c r="W922" t="str">
        <f>IF(S922="","",IF(S922="[FÓRMULA MANUAL]","",IFERROR(SUMPRODUCT((DATOS!$A$2:$A$20000=S922)*(DATOS!$G$2:$G$20000=CONFIG_METADATA!$B$4)*(COUNTIF(CONFIG_ASIGNATURAS!$B$7:$B$27,DATOS!$I$2:$I$20000)&gt;0)*(DATOS!$K$2:$K$20000))/SUMPRODUCT((DATOS!$A$2:$A$20000=S922)*(DATOS!$G$2:$G$20000=CONFIG_METADATA!$B$4)*(COUNTIF(CONFIG_ASIGNATURAS!$B$7:$B$27,DATOS!$I$2:$I$20000)&gt;0)*1),"")))</f>
        <v/>
      </c>
      <c r="Z922" t="str">
        <f>IF(Y922="","",IF(Y922="[FÓRMULA MANUAL]","",IFERROR(AVERAGEIFS(DATOS!$K$2:$K$20000,DATOS!$A$2:$A$20000,Y922,DATOS!$G$2:$G$20000,CONFIG_METADATA!$B$4,DATOS!$I$2:$I$20000,"Análisis"),"")))</f>
        <v/>
      </c>
      <c r="AA922" t="str">
        <f>IF(Y922="","",IF(Y922="[FÓRMULA MANUAL]","",IFERROR(AVERAGEIFS(DATOS!$K$2:$K$20000,DATOS!$A$2:$A$20000,Y922,DATOS!$G$2:$G$20000,CONFIG_METADATA!$B$4,DATOS!$I$2:$I$20000,"Orquesta/Banda/Conjunto"),"")))</f>
        <v/>
      </c>
      <c r="AB922" t="str">
        <f>IF(Y922="","",IF(Y922="[FÓRMULA MANUAL]","",IFERROR(AVERAGEIFS(DATOS!$K$2:$K$20000,DATOS!$A$2:$A$20000,Y922,DATOS!$G$2:$G$20000,CONFIG_METADATA!$B$4,DATOS!$I$2:$I$20000,"Música de Cámara"),"")))</f>
        <v/>
      </c>
      <c r="AC922" t="str">
        <f>IF(Y922="","",IF(Y922="[FÓRMULA MANUAL]","",IFERROR(SUMPRODUCT((DATOS!$A$2:$A$20000=Y922)*(DATOS!$G$2:$G$20000=CONFIG_METADATA!$B$4)*(COUNTIF(CONFIG_ASIGNATURAS!$B$7:$B$27,DATOS!$I$2:$I$20000)&gt;0)*(DATOS!$K$2:$K$20000))/SUMPRODUCT((DATOS!$A$2:$A$20000=Y922)*(DATOS!$G$2:$G$20000=CONFIG_METADATA!$B$4)*(COUNTIF(CONFIG_ASIGNATURAS!$B$7:$B$27,DATOS!$I$2:$I$20000)&gt;0)*1),"")))</f>
        <v/>
      </c>
      <c r="AF922" t="str">
        <f>IF(AE922="","",IF(AE922="[FÓRMULA MANUAL]","",IFERROR(AVERAGEIFS(DATOS!$K$2:$K$20000,DATOS!$A$2:$A$20000,AE922,DATOS!$G$2:$G$20000,CONFIG_METADATA!$B$4,DATOS!$I$2:$I$20000,"Análisis"),"")))</f>
        <v/>
      </c>
      <c r="AG922" t="str">
        <f>IF(AE922="","",IF(AE922="[FÓRMULA MANUAL]","",IFERROR(AVERAGEIFS(DATOS!$K$2:$K$20000,DATOS!$A$2:$A$20000,AE922,DATOS!$G$2:$G$20000,CONFIG_METADATA!$B$4,DATOS!$I$2:$I$20000,"Orquesta/Banda/Conjunto"),"")))</f>
        <v/>
      </c>
      <c r="AH922" t="str">
        <f>IF(AE922="","",IF(AE922="[FÓRMULA MANUAL]","",IFERROR(AVERAGEIFS(DATOS!$K$2:$K$20000,DATOS!$A$2:$A$20000,AE922,DATOS!$G$2:$G$20000,CONFIG_METADATA!$B$4,DATOS!$I$2:$I$20000,"Música de Cámara"),"")))</f>
        <v/>
      </c>
      <c r="AI922" t="str">
        <f>IF(AE922="","",IF(AE922="[FÓRMULA MANUAL]","",IFERROR(SUMPRODUCT((DATOS!$A$2:$A$20000=AE922)*(DATOS!$G$2:$G$20000=CONFIG_METADATA!$B$4)*(COUNTIF(CONFIG_ASIGNATURAS!$B$7:$B$27,DATOS!$I$2:$I$20000)&gt;0)*(DATOS!$K$2:$K$20000))/SUMPRODUCT((DATOS!$A$2:$A$20000=AE922)*(DATOS!$G$2:$G$20000=CONFIG_METADATA!$B$4)*(COUNTIF(CONFIG_ASIGNATURAS!$B$7:$B$27,DATOS!$I$2:$I$20000)&gt;0)*1),"")))</f>
        <v/>
      </c>
    </row>
    <row r="923" spans="2:35" x14ac:dyDescent="0.2">
      <c r="B923" t="str">
        <f>IF(A923="","",IF(A923="[FÓRMULA MANUAL]","",IFERROR(AVERAGEIFS(DATOS!$K$2:$K$20000,DATOS!$A$2:$A$20000,A923,DATOS!$G$2:$G$20000,CONFIG_METADATA!$B$4,DATOS!$I$2:$I$20000,"Lenguaje Musical"),"")))</f>
        <v/>
      </c>
      <c r="C923" t="str">
        <f>IF(A923="","",IF(A923="[FÓRMULA MANUAL]","",IFERROR(AVERAGEIFS(DATOS!$K$2:$K$20000,DATOS!$A$2:$A$20000,A923,DATOS!$G$2:$G$20000,CONFIG_METADATA!$B$4,DATOS!$I$2:$I$20000,"Orquesta/Banda/Conjunto"),"")))</f>
        <v/>
      </c>
      <c r="D923" t="str">
        <f>IF(A923="","",IF(A923="[FÓRMULA MANUAL]","",IFERROR(AVERAGEIFS(DATOS!$K$2:$K$20000,DATOS!$A$2:$A$20000,A923,DATOS!$G$2:$G$20000,CONFIG_METADATA!$B$4,DATOS!$I$2:$I$20000,"Conjunto"),"")))</f>
        <v/>
      </c>
      <c r="E923" t="str">
        <f>IF(A923="","",IF(A923="[FÓRMULA MANUAL]","",IFERROR(SUMPRODUCT((DATOS!$A$2:$A$20000=A923)*(DATOS!$G$2:$G$20000=CONFIG_METADATA!$B$4)*(COUNTIF(CONFIG_ASIGNATURAS!$B$7:$B$27,DATOS!$I$2:$I$20000)&gt;0)*(DATOS!$K$2:$K$20000))/SUMPRODUCT((DATOS!$A$2:$A$20000=A923)*(DATOS!$G$2:$G$20000=CONFIG_METADATA!$B$4)*(COUNTIF(CONFIG_ASIGNATURAS!$B$7:$B$27,DATOS!$I$2:$I$20000)&gt;0)*1),"")))</f>
        <v/>
      </c>
      <c r="H923" t="str">
        <f>IF(G923="","",IF(G923="[FÓRMULA MANUAL]","",IFERROR(AVERAGEIFS(DATOS!$K$2:$K$20000,DATOS!$A$2:$A$20000,G923,DATOS!$G$2:$G$20000,CONFIG_METADATA!$B$4,DATOS!$I$2:$I$20000,"Lenguaje Musical"),"")))</f>
        <v/>
      </c>
      <c r="I923" t="str">
        <f>IF(G923="","",IF(G923="[FÓRMULA MANUAL]","",IFERROR(AVERAGEIFS(DATOS!$K$2:$K$20000,DATOS!$A$2:$A$20000,G923,DATOS!$G$2:$G$20000,CONFIG_METADATA!$B$4,DATOS!$I$2:$I$20000,"Orquesta/Banda/Conjunto"),"")))</f>
        <v/>
      </c>
      <c r="J923" t="str">
        <f>IF(G923="","",IF(G923="[FÓRMULA MANUAL]","",IFERROR(AVERAGEIFS(DATOS!$K$2:$K$20000,DATOS!$A$2:$A$20000,G923,DATOS!$G$2:$G$20000,CONFIG_METADATA!$B$4,DATOS!$I$2:$I$20000,"Conjunto"),"")))</f>
        <v/>
      </c>
      <c r="K923" t="str">
        <f>IF(G923="","",IF(G923="[FÓRMULA MANUAL]","",IFERROR(SUMPRODUCT((DATOS!$A$2:$A$20000=G923)*(DATOS!$G$2:$G$20000=CONFIG_METADATA!$B$4)*(COUNTIF(CONFIG_ASIGNATURAS!$B$7:$B$27,DATOS!$I$2:$I$20000)&gt;0)*(DATOS!$K$2:$K$20000))/SUMPRODUCT((DATOS!$A$2:$A$20000=G923)*(DATOS!$G$2:$G$20000=CONFIG_METADATA!$B$4)*(COUNTIF(CONFIG_ASIGNATURAS!$B$7:$B$27,DATOS!$I$2:$I$20000)&gt;0)*1),"")))</f>
        <v/>
      </c>
      <c r="N923" t="str">
        <f>IF(M923="","",IF(M923="[FÓRMULA MANUAL]","",IFERROR(AVERAGEIFS(DATOS!$K$2:$K$20000,DATOS!$A$2:$A$20000,M923,DATOS!$G$2:$G$20000,CONFIG_METADATA!$B$4,DATOS!$I$2:$I$20000,"Armonía"),"")))</f>
        <v/>
      </c>
      <c r="O923" t="str">
        <f>IF(M923="","",IF(M923="[FÓRMULA MANUAL]","",IFERROR(AVERAGEIFS(DATOS!$K$2:$K$20000,DATOS!$A$2:$A$20000,M923,DATOS!$G$2:$G$20000,CONFIG_METADATA!$B$4,DATOS!$I$2:$I$20000,"Orquesta/Banda/Conjunto"),"")))</f>
        <v/>
      </c>
      <c r="P923" t="str">
        <f>IF(M923="","",IF(M923="[FÓRMULA MANUAL]","",IFERROR(AVERAGEIFS(DATOS!$K$2:$K$20000,DATOS!$A$2:$A$20000,M923,DATOS!$G$2:$G$20000,CONFIG_METADATA!$B$4,DATOS!$I$2:$I$20000,"Música de Cámara"),"")))</f>
        <v/>
      </c>
      <c r="Q923" t="str">
        <f>IF(M923="","",IF(M923="[FÓRMULA MANUAL]","",IFERROR(SUMPRODUCT((DATOS!$A$2:$A$20000=M923)*(DATOS!$G$2:$G$20000=CONFIG_METADATA!$B$4)*(COUNTIF(CONFIG_ASIGNATURAS!$B$7:$B$27,DATOS!$I$2:$I$20000)&gt;0)*(DATOS!$K$2:$K$20000))/SUMPRODUCT((DATOS!$A$2:$A$20000=M923)*(DATOS!$G$2:$G$20000=CONFIG_METADATA!$B$4)*(COUNTIF(CONFIG_ASIGNATURAS!$B$7:$B$27,DATOS!$I$2:$I$20000)&gt;0)*1),"")))</f>
        <v/>
      </c>
      <c r="T923" t="str">
        <f>IF(S923="","",IF(S923="[FÓRMULA MANUAL]","",IFERROR(AVERAGEIFS(DATOS!$K$2:$K$20000,DATOS!$A$2:$A$20000,S923,DATOS!$G$2:$G$20000,CONFIG_METADATA!$B$4,DATOS!$I$2:$I$20000,"Armonía"),"")))</f>
        <v/>
      </c>
      <c r="U923" t="str">
        <f>IF(S923="","",IF(S923="[FÓRMULA MANUAL]","",IFERROR(AVERAGEIFS(DATOS!$K$2:$K$20000,DATOS!$A$2:$A$20000,S923,DATOS!$G$2:$G$20000,CONFIG_METADATA!$B$4,DATOS!$I$2:$I$20000,"Orquesta/Banda/Conjunto"),"")))</f>
        <v/>
      </c>
      <c r="V923" t="str">
        <f>IF(S923="","",IF(S923="[FÓRMULA MANUAL]","",IFERROR(AVERAGEIFS(DATOS!$K$2:$K$20000,DATOS!$A$2:$A$20000,S923,DATOS!$G$2:$G$20000,CONFIG_METADATA!$B$4,DATOS!$I$2:$I$20000,"Música de Cámara"),"")))</f>
        <v/>
      </c>
      <c r="W923" t="str">
        <f>IF(S923="","",IF(S923="[FÓRMULA MANUAL]","",IFERROR(SUMPRODUCT((DATOS!$A$2:$A$20000=S923)*(DATOS!$G$2:$G$20000=CONFIG_METADATA!$B$4)*(COUNTIF(CONFIG_ASIGNATURAS!$B$7:$B$27,DATOS!$I$2:$I$20000)&gt;0)*(DATOS!$K$2:$K$20000))/SUMPRODUCT((DATOS!$A$2:$A$20000=S923)*(DATOS!$G$2:$G$20000=CONFIG_METADATA!$B$4)*(COUNTIF(CONFIG_ASIGNATURAS!$B$7:$B$27,DATOS!$I$2:$I$20000)&gt;0)*1),"")))</f>
        <v/>
      </c>
      <c r="Z923" t="str">
        <f>IF(Y923="","",IF(Y923="[FÓRMULA MANUAL]","",IFERROR(AVERAGEIFS(DATOS!$K$2:$K$20000,DATOS!$A$2:$A$20000,Y923,DATOS!$G$2:$G$20000,CONFIG_METADATA!$B$4,DATOS!$I$2:$I$20000,"Análisis"),"")))</f>
        <v/>
      </c>
      <c r="AA923" t="str">
        <f>IF(Y923="","",IF(Y923="[FÓRMULA MANUAL]","",IFERROR(AVERAGEIFS(DATOS!$K$2:$K$20000,DATOS!$A$2:$A$20000,Y923,DATOS!$G$2:$G$20000,CONFIG_METADATA!$B$4,DATOS!$I$2:$I$20000,"Orquesta/Banda/Conjunto"),"")))</f>
        <v/>
      </c>
      <c r="AB923" t="str">
        <f>IF(Y923="","",IF(Y923="[FÓRMULA MANUAL]","",IFERROR(AVERAGEIFS(DATOS!$K$2:$K$20000,DATOS!$A$2:$A$20000,Y923,DATOS!$G$2:$G$20000,CONFIG_METADATA!$B$4,DATOS!$I$2:$I$20000,"Música de Cámara"),"")))</f>
        <v/>
      </c>
      <c r="AC923" t="str">
        <f>IF(Y923="","",IF(Y923="[FÓRMULA MANUAL]","",IFERROR(SUMPRODUCT((DATOS!$A$2:$A$20000=Y923)*(DATOS!$G$2:$G$20000=CONFIG_METADATA!$B$4)*(COUNTIF(CONFIG_ASIGNATURAS!$B$7:$B$27,DATOS!$I$2:$I$20000)&gt;0)*(DATOS!$K$2:$K$20000))/SUMPRODUCT((DATOS!$A$2:$A$20000=Y923)*(DATOS!$G$2:$G$20000=CONFIG_METADATA!$B$4)*(COUNTIF(CONFIG_ASIGNATURAS!$B$7:$B$27,DATOS!$I$2:$I$20000)&gt;0)*1),"")))</f>
        <v/>
      </c>
      <c r="AF923" t="str">
        <f>IF(AE923="","",IF(AE923="[FÓRMULA MANUAL]","",IFERROR(AVERAGEIFS(DATOS!$K$2:$K$20000,DATOS!$A$2:$A$20000,AE923,DATOS!$G$2:$G$20000,CONFIG_METADATA!$B$4,DATOS!$I$2:$I$20000,"Análisis"),"")))</f>
        <v/>
      </c>
      <c r="AG923" t="str">
        <f>IF(AE923="","",IF(AE923="[FÓRMULA MANUAL]","",IFERROR(AVERAGEIFS(DATOS!$K$2:$K$20000,DATOS!$A$2:$A$20000,AE923,DATOS!$G$2:$G$20000,CONFIG_METADATA!$B$4,DATOS!$I$2:$I$20000,"Orquesta/Banda/Conjunto"),"")))</f>
        <v/>
      </c>
      <c r="AH923" t="str">
        <f>IF(AE923="","",IF(AE923="[FÓRMULA MANUAL]","",IFERROR(AVERAGEIFS(DATOS!$K$2:$K$20000,DATOS!$A$2:$A$20000,AE923,DATOS!$G$2:$G$20000,CONFIG_METADATA!$B$4,DATOS!$I$2:$I$20000,"Música de Cámara"),"")))</f>
        <v/>
      </c>
      <c r="AI923" t="str">
        <f>IF(AE923="","",IF(AE923="[FÓRMULA MANUAL]","",IFERROR(SUMPRODUCT((DATOS!$A$2:$A$20000=AE923)*(DATOS!$G$2:$G$20000=CONFIG_METADATA!$B$4)*(COUNTIF(CONFIG_ASIGNATURAS!$B$7:$B$27,DATOS!$I$2:$I$20000)&gt;0)*(DATOS!$K$2:$K$20000))/SUMPRODUCT((DATOS!$A$2:$A$20000=AE923)*(DATOS!$G$2:$G$20000=CONFIG_METADATA!$B$4)*(COUNTIF(CONFIG_ASIGNATURAS!$B$7:$B$27,DATOS!$I$2:$I$20000)&gt;0)*1),"")))</f>
        <v/>
      </c>
    </row>
    <row r="924" spans="2:35" x14ac:dyDescent="0.2">
      <c r="B924" t="str">
        <f>IF(A924="","",IF(A924="[FÓRMULA MANUAL]","",IFERROR(AVERAGEIFS(DATOS!$K$2:$K$20000,DATOS!$A$2:$A$20000,A924,DATOS!$G$2:$G$20000,CONFIG_METADATA!$B$4,DATOS!$I$2:$I$20000,"Lenguaje Musical"),"")))</f>
        <v/>
      </c>
      <c r="C924" t="str">
        <f>IF(A924="","",IF(A924="[FÓRMULA MANUAL]","",IFERROR(AVERAGEIFS(DATOS!$K$2:$K$20000,DATOS!$A$2:$A$20000,A924,DATOS!$G$2:$G$20000,CONFIG_METADATA!$B$4,DATOS!$I$2:$I$20000,"Orquesta/Banda/Conjunto"),"")))</f>
        <v/>
      </c>
      <c r="D924" t="str">
        <f>IF(A924="","",IF(A924="[FÓRMULA MANUAL]","",IFERROR(AVERAGEIFS(DATOS!$K$2:$K$20000,DATOS!$A$2:$A$20000,A924,DATOS!$G$2:$G$20000,CONFIG_METADATA!$B$4,DATOS!$I$2:$I$20000,"Conjunto"),"")))</f>
        <v/>
      </c>
      <c r="E924" t="str">
        <f>IF(A924="","",IF(A924="[FÓRMULA MANUAL]","",IFERROR(SUMPRODUCT((DATOS!$A$2:$A$20000=A924)*(DATOS!$G$2:$G$20000=CONFIG_METADATA!$B$4)*(COUNTIF(CONFIG_ASIGNATURAS!$B$7:$B$27,DATOS!$I$2:$I$20000)&gt;0)*(DATOS!$K$2:$K$20000))/SUMPRODUCT((DATOS!$A$2:$A$20000=A924)*(DATOS!$G$2:$G$20000=CONFIG_METADATA!$B$4)*(COUNTIF(CONFIG_ASIGNATURAS!$B$7:$B$27,DATOS!$I$2:$I$20000)&gt;0)*1),"")))</f>
        <v/>
      </c>
      <c r="H924" t="str">
        <f>IF(G924="","",IF(G924="[FÓRMULA MANUAL]","",IFERROR(AVERAGEIFS(DATOS!$K$2:$K$20000,DATOS!$A$2:$A$20000,G924,DATOS!$G$2:$G$20000,CONFIG_METADATA!$B$4,DATOS!$I$2:$I$20000,"Lenguaje Musical"),"")))</f>
        <v/>
      </c>
      <c r="I924" t="str">
        <f>IF(G924="","",IF(G924="[FÓRMULA MANUAL]","",IFERROR(AVERAGEIFS(DATOS!$K$2:$K$20000,DATOS!$A$2:$A$20000,G924,DATOS!$G$2:$G$20000,CONFIG_METADATA!$B$4,DATOS!$I$2:$I$20000,"Orquesta/Banda/Conjunto"),"")))</f>
        <v/>
      </c>
      <c r="J924" t="str">
        <f>IF(G924="","",IF(G924="[FÓRMULA MANUAL]","",IFERROR(AVERAGEIFS(DATOS!$K$2:$K$20000,DATOS!$A$2:$A$20000,G924,DATOS!$G$2:$G$20000,CONFIG_METADATA!$B$4,DATOS!$I$2:$I$20000,"Conjunto"),"")))</f>
        <v/>
      </c>
      <c r="K924" t="str">
        <f>IF(G924="","",IF(G924="[FÓRMULA MANUAL]","",IFERROR(SUMPRODUCT((DATOS!$A$2:$A$20000=G924)*(DATOS!$G$2:$G$20000=CONFIG_METADATA!$B$4)*(COUNTIF(CONFIG_ASIGNATURAS!$B$7:$B$27,DATOS!$I$2:$I$20000)&gt;0)*(DATOS!$K$2:$K$20000))/SUMPRODUCT((DATOS!$A$2:$A$20000=G924)*(DATOS!$G$2:$G$20000=CONFIG_METADATA!$B$4)*(COUNTIF(CONFIG_ASIGNATURAS!$B$7:$B$27,DATOS!$I$2:$I$20000)&gt;0)*1),"")))</f>
        <v/>
      </c>
      <c r="N924" t="str">
        <f>IF(M924="","",IF(M924="[FÓRMULA MANUAL]","",IFERROR(AVERAGEIFS(DATOS!$K$2:$K$20000,DATOS!$A$2:$A$20000,M924,DATOS!$G$2:$G$20000,CONFIG_METADATA!$B$4,DATOS!$I$2:$I$20000,"Armonía"),"")))</f>
        <v/>
      </c>
      <c r="O924" t="str">
        <f>IF(M924="","",IF(M924="[FÓRMULA MANUAL]","",IFERROR(AVERAGEIFS(DATOS!$K$2:$K$20000,DATOS!$A$2:$A$20000,M924,DATOS!$G$2:$G$20000,CONFIG_METADATA!$B$4,DATOS!$I$2:$I$20000,"Orquesta/Banda/Conjunto"),"")))</f>
        <v/>
      </c>
      <c r="P924" t="str">
        <f>IF(M924="","",IF(M924="[FÓRMULA MANUAL]","",IFERROR(AVERAGEIFS(DATOS!$K$2:$K$20000,DATOS!$A$2:$A$20000,M924,DATOS!$G$2:$G$20000,CONFIG_METADATA!$B$4,DATOS!$I$2:$I$20000,"Música de Cámara"),"")))</f>
        <v/>
      </c>
      <c r="Q924" t="str">
        <f>IF(M924="","",IF(M924="[FÓRMULA MANUAL]","",IFERROR(SUMPRODUCT((DATOS!$A$2:$A$20000=M924)*(DATOS!$G$2:$G$20000=CONFIG_METADATA!$B$4)*(COUNTIF(CONFIG_ASIGNATURAS!$B$7:$B$27,DATOS!$I$2:$I$20000)&gt;0)*(DATOS!$K$2:$K$20000))/SUMPRODUCT((DATOS!$A$2:$A$20000=M924)*(DATOS!$G$2:$G$20000=CONFIG_METADATA!$B$4)*(COUNTIF(CONFIG_ASIGNATURAS!$B$7:$B$27,DATOS!$I$2:$I$20000)&gt;0)*1),"")))</f>
        <v/>
      </c>
      <c r="T924" t="str">
        <f>IF(S924="","",IF(S924="[FÓRMULA MANUAL]","",IFERROR(AVERAGEIFS(DATOS!$K$2:$K$20000,DATOS!$A$2:$A$20000,S924,DATOS!$G$2:$G$20000,CONFIG_METADATA!$B$4,DATOS!$I$2:$I$20000,"Armonía"),"")))</f>
        <v/>
      </c>
      <c r="U924" t="str">
        <f>IF(S924="","",IF(S924="[FÓRMULA MANUAL]","",IFERROR(AVERAGEIFS(DATOS!$K$2:$K$20000,DATOS!$A$2:$A$20000,S924,DATOS!$G$2:$G$20000,CONFIG_METADATA!$B$4,DATOS!$I$2:$I$20000,"Orquesta/Banda/Conjunto"),"")))</f>
        <v/>
      </c>
      <c r="V924" t="str">
        <f>IF(S924="","",IF(S924="[FÓRMULA MANUAL]","",IFERROR(AVERAGEIFS(DATOS!$K$2:$K$20000,DATOS!$A$2:$A$20000,S924,DATOS!$G$2:$G$20000,CONFIG_METADATA!$B$4,DATOS!$I$2:$I$20000,"Música de Cámara"),"")))</f>
        <v/>
      </c>
      <c r="W924" t="str">
        <f>IF(S924="","",IF(S924="[FÓRMULA MANUAL]","",IFERROR(SUMPRODUCT((DATOS!$A$2:$A$20000=S924)*(DATOS!$G$2:$G$20000=CONFIG_METADATA!$B$4)*(COUNTIF(CONFIG_ASIGNATURAS!$B$7:$B$27,DATOS!$I$2:$I$20000)&gt;0)*(DATOS!$K$2:$K$20000))/SUMPRODUCT((DATOS!$A$2:$A$20000=S924)*(DATOS!$G$2:$G$20000=CONFIG_METADATA!$B$4)*(COUNTIF(CONFIG_ASIGNATURAS!$B$7:$B$27,DATOS!$I$2:$I$20000)&gt;0)*1),"")))</f>
        <v/>
      </c>
      <c r="Z924" t="str">
        <f>IF(Y924="","",IF(Y924="[FÓRMULA MANUAL]","",IFERROR(AVERAGEIFS(DATOS!$K$2:$K$20000,DATOS!$A$2:$A$20000,Y924,DATOS!$G$2:$G$20000,CONFIG_METADATA!$B$4,DATOS!$I$2:$I$20000,"Análisis"),"")))</f>
        <v/>
      </c>
      <c r="AA924" t="str">
        <f>IF(Y924="","",IF(Y924="[FÓRMULA MANUAL]","",IFERROR(AVERAGEIFS(DATOS!$K$2:$K$20000,DATOS!$A$2:$A$20000,Y924,DATOS!$G$2:$G$20000,CONFIG_METADATA!$B$4,DATOS!$I$2:$I$20000,"Orquesta/Banda/Conjunto"),"")))</f>
        <v/>
      </c>
      <c r="AB924" t="str">
        <f>IF(Y924="","",IF(Y924="[FÓRMULA MANUAL]","",IFERROR(AVERAGEIFS(DATOS!$K$2:$K$20000,DATOS!$A$2:$A$20000,Y924,DATOS!$G$2:$G$20000,CONFIG_METADATA!$B$4,DATOS!$I$2:$I$20000,"Música de Cámara"),"")))</f>
        <v/>
      </c>
      <c r="AC924" t="str">
        <f>IF(Y924="","",IF(Y924="[FÓRMULA MANUAL]","",IFERROR(SUMPRODUCT((DATOS!$A$2:$A$20000=Y924)*(DATOS!$G$2:$G$20000=CONFIG_METADATA!$B$4)*(COUNTIF(CONFIG_ASIGNATURAS!$B$7:$B$27,DATOS!$I$2:$I$20000)&gt;0)*(DATOS!$K$2:$K$20000))/SUMPRODUCT((DATOS!$A$2:$A$20000=Y924)*(DATOS!$G$2:$G$20000=CONFIG_METADATA!$B$4)*(COUNTIF(CONFIG_ASIGNATURAS!$B$7:$B$27,DATOS!$I$2:$I$20000)&gt;0)*1),"")))</f>
        <v/>
      </c>
      <c r="AF924" t="str">
        <f>IF(AE924="","",IF(AE924="[FÓRMULA MANUAL]","",IFERROR(AVERAGEIFS(DATOS!$K$2:$K$20000,DATOS!$A$2:$A$20000,AE924,DATOS!$G$2:$G$20000,CONFIG_METADATA!$B$4,DATOS!$I$2:$I$20000,"Análisis"),"")))</f>
        <v/>
      </c>
      <c r="AG924" t="str">
        <f>IF(AE924="","",IF(AE924="[FÓRMULA MANUAL]","",IFERROR(AVERAGEIFS(DATOS!$K$2:$K$20000,DATOS!$A$2:$A$20000,AE924,DATOS!$G$2:$G$20000,CONFIG_METADATA!$B$4,DATOS!$I$2:$I$20000,"Orquesta/Banda/Conjunto"),"")))</f>
        <v/>
      </c>
      <c r="AH924" t="str">
        <f>IF(AE924="","",IF(AE924="[FÓRMULA MANUAL]","",IFERROR(AVERAGEIFS(DATOS!$K$2:$K$20000,DATOS!$A$2:$A$20000,AE924,DATOS!$G$2:$G$20000,CONFIG_METADATA!$B$4,DATOS!$I$2:$I$20000,"Música de Cámara"),"")))</f>
        <v/>
      </c>
      <c r="AI924" t="str">
        <f>IF(AE924="","",IF(AE924="[FÓRMULA MANUAL]","",IFERROR(SUMPRODUCT((DATOS!$A$2:$A$20000=AE924)*(DATOS!$G$2:$G$20000=CONFIG_METADATA!$B$4)*(COUNTIF(CONFIG_ASIGNATURAS!$B$7:$B$27,DATOS!$I$2:$I$20000)&gt;0)*(DATOS!$K$2:$K$20000))/SUMPRODUCT((DATOS!$A$2:$A$20000=AE924)*(DATOS!$G$2:$G$20000=CONFIG_METADATA!$B$4)*(COUNTIF(CONFIG_ASIGNATURAS!$B$7:$B$27,DATOS!$I$2:$I$20000)&gt;0)*1),"")))</f>
        <v/>
      </c>
    </row>
    <row r="925" spans="2:35" x14ac:dyDescent="0.2">
      <c r="B925" t="str">
        <f>IF(A925="","",IF(A925="[FÓRMULA MANUAL]","",IFERROR(AVERAGEIFS(DATOS!$K$2:$K$20000,DATOS!$A$2:$A$20000,A925,DATOS!$G$2:$G$20000,CONFIG_METADATA!$B$4,DATOS!$I$2:$I$20000,"Lenguaje Musical"),"")))</f>
        <v/>
      </c>
      <c r="C925" t="str">
        <f>IF(A925="","",IF(A925="[FÓRMULA MANUAL]","",IFERROR(AVERAGEIFS(DATOS!$K$2:$K$20000,DATOS!$A$2:$A$20000,A925,DATOS!$G$2:$G$20000,CONFIG_METADATA!$B$4,DATOS!$I$2:$I$20000,"Orquesta/Banda/Conjunto"),"")))</f>
        <v/>
      </c>
      <c r="D925" t="str">
        <f>IF(A925="","",IF(A925="[FÓRMULA MANUAL]","",IFERROR(AVERAGEIFS(DATOS!$K$2:$K$20000,DATOS!$A$2:$A$20000,A925,DATOS!$G$2:$G$20000,CONFIG_METADATA!$B$4,DATOS!$I$2:$I$20000,"Conjunto"),"")))</f>
        <v/>
      </c>
      <c r="E925" t="str">
        <f>IF(A925="","",IF(A925="[FÓRMULA MANUAL]","",IFERROR(SUMPRODUCT((DATOS!$A$2:$A$20000=A925)*(DATOS!$G$2:$G$20000=CONFIG_METADATA!$B$4)*(COUNTIF(CONFIG_ASIGNATURAS!$B$7:$B$27,DATOS!$I$2:$I$20000)&gt;0)*(DATOS!$K$2:$K$20000))/SUMPRODUCT((DATOS!$A$2:$A$20000=A925)*(DATOS!$G$2:$G$20000=CONFIG_METADATA!$B$4)*(COUNTIF(CONFIG_ASIGNATURAS!$B$7:$B$27,DATOS!$I$2:$I$20000)&gt;0)*1),"")))</f>
        <v/>
      </c>
      <c r="H925" t="str">
        <f>IF(G925="","",IF(G925="[FÓRMULA MANUAL]","",IFERROR(AVERAGEIFS(DATOS!$K$2:$K$20000,DATOS!$A$2:$A$20000,G925,DATOS!$G$2:$G$20000,CONFIG_METADATA!$B$4,DATOS!$I$2:$I$20000,"Lenguaje Musical"),"")))</f>
        <v/>
      </c>
      <c r="I925" t="str">
        <f>IF(G925="","",IF(G925="[FÓRMULA MANUAL]","",IFERROR(AVERAGEIFS(DATOS!$K$2:$K$20000,DATOS!$A$2:$A$20000,G925,DATOS!$G$2:$G$20000,CONFIG_METADATA!$B$4,DATOS!$I$2:$I$20000,"Orquesta/Banda/Conjunto"),"")))</f>
        <v/>
      </c>
      <c r="J925" t="str">
        <f>IF(G925="","",IF(G925="[FÓRMULA MANUAL]","",IFERROR(AVERAGEIFS(DATOS!$K$2:$K$20000,DATOS!$A$2:$A$20000,G925,DATOS!$G$2:$G$20000,CONFIG_METADATA!$B$4,DATOS!$I$2:$I$20000,"Conjunto"),"")))</f>
        <v/>
      </c>
      <c r="K925" t="str">
        <f>IF(G925="","",IF(G925="[FÓRMULA MANUAL]","",IFERROR(SUMPRODUCT((DATOS!$A$2:$A$20000=G925)*(DATOS!$G$2:$G$20000=CONFIG_METADATA!$B$4)*(COUNTIF(CONFIG_ASIGNATURAS!$B$7:$B$27,DATOS!$I$2:$I$20000)&gt;0)*(DATOS!$K$2:$K$20000))/SUMPRODUCT((DATOS!$A$2:$A$20000=G925)*(DATOS!$G$2:$G$20000=CONFIG_METADATA!$B$4)*(COUNTIF(CONFIG_ASIGNATURAS!$B$7:$B$27,DATOS!$I$2:$I$20000)&gt;0)*1),"")))</f>
        <v/>
      </c>
      <c r="N925" t="str">
        <f>IF(M925="","",IF(M925="[FÓRMULA MANUAL]","",IFERROR(AVERAGEIFS(DATOS!$K$2:$K$20000,DATOS!$A$2:$A$20000,M925,DATOS!$G$2:$G$20000,CONFIG_METADATA!$B$4,DATOS!$I$2:$I$20000,"Armonía"),"")))</f>
        <v/>
      </c>
      <c r="O925" t="str">
        <f>IF(M925="","",IF(M925="[FÓRMULA MANUAL]","",IFERROR(AVERAGEIFS(DATOS!$K$2:$K$20000,DATOS!$A$2:$A$20000,M925,DATOS!$G$2:$G$20000,CONFIG_METADATA!$B$4,DATOS!$I$2:$I$20000,"Orquesta/Banda/Conjunto"),"")))</f>
        <v/>
      </c>
      <c r="P925" t="str">
        <f>IF(M925="","",IF(M925="[FÓRMULA MANUAL]","",IFERROR(AVERAGEIFS(DATOS!$K$2:$K$20000,DATOS!$A$2:$A$20000,M925,DATOS!$G$2:$G$20000,CONFIG_METADATA!$B$4,DATOS!$I$2:$I$20000,"Música de Cámara"),"")))</f>
        <v/>
      </c>
      <c r="Q925" t="str">
        <f>IF(M925="","",IF(M925="[FÓRMULA MANUAL]","",IFERROR(SUMPRODUCT((DATOS!$A$2:$A$20000=M925)*(DATOS!$G$2:$G$20000=CONFIG_METADATA!$B$4)*(COUNTIF(CONFIG_ASIGNATURAS!$B$7:$B$27,DATOS!$I$2:$I$20000)&gt;0)*(DATOS!$K$2:$K$20000))/SUMPRODUCT((DATOS!$A$2:$A$20000=M925)*(DATOS!$G$2:$G$20000=CONFIG_METADATA!$B$4)*(COUNTIF(CONFIG_ASIGNATURAS!$B$7:$B$27,DATOS!$I$2:$I$20000)&gt;0)*1),"")))</f>
        <v/>
      </c>
      <c r="T925" t="str">
        <f>IF(S925="","",IF(S925="[FÓRMULA MANUAL]","",IFERROR(AVERAGEIFS(DATOS!$K$2:$K$20000,DATOS!$A$2:$A$20000,S925,DATOS!$G$2:$G$20000,CONFIG_METADATA!$B$4,DATOS!$I$2:$I$20000,"Armonía"),"")))</f>
        <v/>
      </c>
      <c r="U925" t="str">
        <f>IF(S925="","",IF(S925="[FÓRMULA MANUAL]","",IFERROR(AVERAGEIFS(DATOS!$K$2:$K$20000,DATOS!$A$2:$A$20000,S925,DATOS!$G$2:$G$20000,CONFIG_METADATA!$B$4,DATOS!$I$2:$I$20000,"Orquesta/Banda/Conjunto"),"")))</f>
        <v/>
      </c>
      <c r="V925" t="str">
        <f>IF(S925="","",IF(S925="[FÓRMULA MANUAL]","",IFERROR(AVERAGEIFS(DATOS!$K$2:$K$20000,DATOS!$A$2:$A$20000,S925,DATOS!$G$2:$G$20000,CONFIG_METADATA!$B$4,DATOS!$I$2:$I$20000,"Música de Cámara"),"")))</f>
        <v/>
      </c>
      <c r="W925" t="str">
        <f>IF(S925="","",IF(S925="[FÓRMULA MANUAL]","",IFERROR(SUMPRODUCT((DATOS!$A$2:$A$20000=S925)*(DATOS!$G$2:$G$20000=CONFIG_METADATA!$B$4)*(COUNTIF(CONFIG_ASIGNATURAS!$B$7:$B$27,DATOS!$I$2:$I$20000)&gt;0)*(DATOS!$K$2:$K$20000))/SUMPRODUCT((DATOS!$A$2:$A$20000=S925)*(DATOS!$G$2:$G$20000=CONFIG_METADATA!$B$4)*(COUNTIF(CONFIG_ASIGNATURAS!$B$7:$B$27,DATOS!$I$2:$I$20000)&gt;0)*1),"")))</f>
        <v/>
      </c>
      <c r="Z925" t="str">
        <f>IF(Y925="","",IF(Y925="[FÓRMULA MANUAL]","",IFERROR(AVERAGEIFS(DATOS!$K$2:$K$20000,DATOS!$A$2:$A$20000,Y925,DATOS!$G$2:$G$20000,CONFIG_METADATA!$B$4,DATOS!$I$2:$I$20000,"Análisis"),"")))</f>
        <v/>
      </c>
      <c r="AA925" t="str">
        <f>IF(Y925="","",IF(Y925="[FÓRMULA MANUAL]","",IFERROR(AVERAGEIFS(DATOS!$K$2:$K$20000,DATOS!$A$2:$A$20000,Y925,DATOS!$G$2:$G$20000,CONFIG_METADATA!$B$4,DATOS!$I$2:$I$20000,"Orquesta/Banda/Conjunto"),"")))</f>
        <v/>
      </c>
      <c r="AB925" t="str">
        <f>IF(Y925="","",IF(Y925="[FÓRMULA MANUAL]","",IFERROR(AVERAGEIFS(DATOS!$K$2:$K$20000,DATOS!$A$2:$A$20000,Y925,DATOS!$G$2:$G$20000,CONFIG_METADATA!$B$4,DATOS!$I$2:$I$20000,"Música de Cámara"),"")))</f>
        <v/>
      </c>
      <c r="AC925" t="str">
        <f>IF(Y925="","",IF(Y925="[FÓRMULA MANUAL]","",IFERROR(SUMPRODUCT((DATOS!$A$2:$A$20000=Y925)*(DATOS!$G$2:$G$20000=CONFIG_METADATA!$B$4)*(COUNTIF(CONFIG_ASIGNATURAS!$B$7:$B$27,DATOS!$I$2:$I$20000)&gt;0)*(DATOS!$K$2:$K$20000))/SUMPRODUCT((DATOS!$A$2:$A$20000=Y925)*(DATOS!$G$2:$G$20000=CONFIG_METADATA!$B$4)*(COUNTIF(CONFIG_ASIGNATURAS!$B$7:$B$27,DATOS!$I$2:$I$20000)&gt;0)*1),"")))</f>
        <v/>
      </c>
      <c r="AF925" t="str">
        <f>IF(AE925="","",IF(AE925="[FÓRMULA MANUAL]","",IFERROR(AVERAGEIFS(DATOS!$K$2:$K$20000,DATOS!$A$2:$A$20000,AE925,DATOS!$G$2:$G$20000,CONFIG_METADATA!$B$4,DATOS!$I$2:$I$20000,"Análisis"),"")))</f>
        <v/>
      </c>
      <c r="AG925" t="str">
        <f>IF(AE925="","",IF(AE925="[FÓRMULA MANUAL]","",IFERROR(AVERAGEIFS(DATOS!$K$2:$K$20000,DATOS!$A$2:$A$20000,AE925,DATOS!$G$2:$G$20000,CONFIG_METADATA!$B$4,DATOS!$I$2:$I$20000,"Orquesta/Banda/Conjunto"),"")))</f>
        <v/>
      </c>
      <c r="AH925" t="str">
        <f>IF(AE925="","",IF(AE925="[FÓRMULA MANUAL]","",IFERROR(AVERAGEIFS(DATOS!$K$2:$K$20000,DATOS!$A$2:$A$20000,AE925,DATOS!$G$2:$G$20000,CONFIG_METADATA!$B$4,DATOS!$I$2:$I$20000,"Música de Cámara"),"")))</f>
        <v/>
      </c>
      <c r="AI925" t="str">
        <f>IF(AE925="","",IF(AE925="[FÓRMULA MANUAL]","",IFERROR(SUMPRODUCT((DATOS!$A$2:$A$20000=AE925)*(DATOS!$G$2:$G$20000=CONFIG_METADATA!$B$4)*(COUNTIF(CONFIG_ASIGNATURAS!$B$7:$B$27,DATOS!$I$2:$I$20000)&gt;0)*(DATOS!$K$2:$K$20000))/SUMPRODUCT((DATOS!$A$2:$A$20000=AE925)*(DATOS!$G$2:$G$20000=CONFIG_METADATA!$B$4)*(COUNTIF(CONFIG_ASIGNATURAS!$B$7:$B$27,DATOS!$I$2:$I$20000)&gt;0)*1),"")))</f>
        <v/>
      </c>
    </row>
    <row r="926" spans="2:35" x14ac:dyDescent="0.2">
      <c r="B926" t="str">
        <f>IF(A926="","",IF(A926="[FÓRMULA MANUAL]","",IFERROR(AVERAGEIFS(DATOS!$K$2:$K$20000,DATOS!$A$2:$A$20000,A926,DATOS!$G$2:$G$20000,CONFIG_METADATA!$B$4,DATOS!$I$2:$I$20000,"Lenguaje Musical"),"")))</f>
        <v/>
      </c>
      <c r="C926" t="str">
        <f>IF(A926="","",IF(A926="[FÓRMULA MANUAL]","",IFERROR(AVERAGEIFS(DATOS!$K$2:$K$20000,DATOS!$A$2:$A$20000,A926,DATOS!$G$2:$G$20000,CONFIG_METADATA!$B$4,DATOS!$I$2:$I$20000,"Orquesta/Banda/Conjunto"),"")))</f>
        <v/>
      </c>
      <c r="D926" t="str">
        <f>IF(A926="","",IF(A926="[FÓRMULA MANUAL]","",IFERROR(AVERAGEIFS(DATOS!$K$2:$K$20000,DATOS!$A$2:$A$20000,A926,DATOS!$G$2:$G$20000,CONFIG_METADATA!$B$4,DATOS!$I$2:$I$20000,"Conjunto"),"")))</f>
        <v/>
      </c>
      <c r="E926" t="str">
        <f>IF(A926="","",IF(A926="[FÓRMULA MANUAL]","",IFERROR(SUMPRODUCT((DATOS!$A$2:$A$20000=A926)*(DATOS!$G$2:$G$20000=CONFIG_METADATA!$B$4)*(COUNTIF(CONFIG_ASIGNATURAS!$B$7:$B$27,DATOS!$I$2:$I$20000)&gt;0)*(DATOS!$K$2:$K$20000))/SUMPRODUCT((DATOS!$A$2:$A$20000=A926)*(DATOS!$G$2:$G$20000=CONFIG_METADATA!$B$4)*(COUNTIF(CONFIG_ASIGNATURAS!$B$7:$B$27,DATOS!$I$2:$I$20000)&gt;0)*1),"")))</f>
        <v/>
      </c>
      <c r="H926" t="str">
        <f>IF(G926="","",IF(G926="[FÓRMULA MANUAL]","",IFERROR(AVERAGEIFS(DATOS!$K$2:$K$20000,DATOS!$A$2:$A$20000,G926,DATOS!$G$2:$G$20000,CONFIG_METADATA!$B$4,DATOS!$I$2:$I$20000,"Lenguaje Musical"),"")))</f>
        <v/>
      </c>
      <c r="I926" t="str">
        <f>IF(G926="","",IF(G926="[FÓRMULA MANUAL]","",IFERROR(AVERAGEIFS(DATOS!$K$2:$K$20000,DATOS!$A$2:$A$20000,G926,DATOS!$G$2:$G$20000,CONFIG_METADATA!$B$4,DATOS!$I$2:$I$20000,"Orquesta/Banda/Conjunto"),"")))</f>
        <v/>
      </c>
      <c r="J926" t="str">
        <f>IF(G926="","",IF(G926="[FÓRMULA MANUAL]","",IFERROR(AVERAGEIFS(DATOS!$K$2:$K$20000,DATOS!$A$2:$A$20000,G926,DATOS!$G$2:$G$20000,CONFIG_METADATA!$B$4,DATOS!$I$2:$I$20000,"Conjunto"),"")))</f>
        <v/>
      </c>
      <c r="K926" t="str">
        <f>IF(G926="","",IF(G926="[FÓRMULA MANUAL]","",IFERROR(SUMPRODUCT((DATOS!$A$2:$A$20000=G926)*(DATOS!$G$2:$G$20000=CONFIG_METADATA!$B$4)*(COUNTIF(CONFIG_ASIGNATURAS!$B$7:$B$27,DATOS!$I$2:$I$20000)&gt;0)*(DATOS!$K$2:$K$20000))/SUMPRODUCT((DATOS!$A$2:$A$20000=G926)*(DATOS!$G$2:$G$20000=CONFIG_METADATA!$B$4)*(COUNTIF(CONFIG_ASIGNATURAS!$B$7:$B$27,DATOS!$I$2:$I$20000)&gt;0)*1),"")))</f>
        <v/>
      </c>
      <c r="N926" t="str">
        <f>IF(M926="","",IF(M926="[FÓRMULA MANUAL]","",IFERROR(AVERAGEIFS(DATOS!$K$2:$K$20000,DATOS!$A$2:$A$20000,M926,DATOS!$G$2:$G$20000,CONFIG_METADATA!$B$4,DATOS!$I$2:$I$20000,"Armonía"),"")))</f>
        <v/>
      </c>
      <c r="O926" t="str">
        <f>IF(M926="","",IF(M926="[FÓRMULA MANUAL]","",IFERROR(AVERAGEIFS(DATOS!$K$2:$K$20000,DATOS!$A$2:$A$20000,M926,DATOS!$G$2:$G$20000,CONFIG_METADATA!$B$4,DATOS!$I$2:$I$20000,"Orquesta/Banda/Conjunto"),"")))</f>
        <v/>
      </c>
      <c r="P926" t="str">
        <f>IF(M926="","",IF(M926="[FÓRMULA MANUAL]","",IFERROR(AVERAGEIFS(DATOS!$K$2:$K$20000,DATOS!$A$2:$A$20000,M926,DATOS!$G$2:$G$20000,CONFIG_METADATA!$B$4,DATOS!$I$2:$I$20000,"Música de Cámara"),"")))</f>
        <v/>
      </c>
      <c r="Q926" t="str">
        <f>IF(M926="","",IF(M926="[FÓRMULA MANUAL]","",IFERROR(SUMPRODUCT((DATOS!$A$2:$A$20000=M926)*(DATOS!$G$2:$G$20000=CONFIG_METADATA!$B$4)*(COUNTIF(CONFIG_ASIGNATURAS!$B$7:$B$27,DATOS!$I$2:$I$20000)&gt;0)*(DATOS!$K$2:$K$20000))/SUMPRODUCT((DATOS!$A$2:$A$20000=M926)*(DATOS!$G$2:$G$20000=CONFIG_METADATA!$B$4)*(COUNTIF(CONFIG_ASIGNATURAS!$B$7:$B$27,DATOS!$I$2:$I$20000)&gt;0)*1),"")))</f>
        <v/>
      </c>
      <c r="T926" t="str">
        <f>IF(S926="","",IF(S926="[FÓRMULA MANUAL]","",IFERROR(AVERAGEIFS(DATOS!$K$2:$K$20000,DATOS!$A$2:$A$20000,S926,DATOS!$G$2:$G$20000,CONFIG_METADATA!$B$4,DATOS!$I$2:$I$20000,"Armonía"),"")))</f>
        <v/>
      </c>
      <c r="U926" t="str">
        <f>IF(S926="","",IF(S926="[FÓRMULA MANUAL]","",IFERROR(AVERAGEIFS(DATOS!$K$2:$K$20000,DATOS!$A$2:$A$20000,S926,DATOS!$G$2:$G$20000,CONFIG_METADATA!$B$4,DATOS!$I$2:$I$20000,"Orquesta/Banda/Conjunto"),"")))</f>
        <v/>
      </c>
      <c r="V926" t="str">
        <f>IF(S926="","",IF(S926="[FÓRMULA MANUAL]","",IFERROR(AVERAGEIFS(DATOS!$K$2:$K$20000,DATOS!$A$2:$A$20000,S926,DATOS!$G$2:$G$20000,CONFIG_METADATA!$B$4,DATOS!$I$2:$I$20000,"Música de Cámara"),"")))</f>
        <v/>
      </c>
      <c r="W926" t="str">
        <f>IF(S926="","",IF(S926="[FÓRMULA MANUAL]","",IFERROR(SUMPRODUCT((DATOS!$A$2:$A$20000=S926)*(DATOS!$G$2:$G$20000=CONFIG_METADATA!$B$4)*(COUNTIF(CONFIG_ASIGNATURAS!$B$7:$B$27,DATOS!$I$2:$I$20000)&gt;0)*(DATOS!$K$2:$K$20000))/SUMPRODUCT((DATOS!$A$2:$A$20000=S926)*(DATOS!$G$2:$G$20000=CONFIG_METADATA!$B$4)*(COUNTIF(CONFIG_ASIGNATURAS!$B$7:$B$27,DATOS!$I$2:$I$20000)&gt;0)*1),"")))</f>
        <v/>
      </c>
      <c r="Z926" t="str">
        <f>IF(Y926="","",IF(Y926="[FÓRMULA MANUAL]","",IFERROR(AVERAGEIFS(DATOS!$K$2:$K$20000,DATOS!$A$2:$A$20000,Y926,DATOS!$G$2:$G$20000,CONFIG_METADATA!$B$4,DATOS!$I$2:$I$20000,"Análisis"),"")))</f>
        <v/>
      </c>
      <c r="AA926" t="str">
        <f>IF(Y926="","",IF(Y926="[FÓRMULA MANUAL]","",IFERROR(AVERAGEIFS(DATOS!$K$2:$K$20000,DATOS!$A$2:$A$20000,Y926,DATOS!$G$2:$G$20000,CONFIG_METADATA!$B$4,DATOS!$I$2:$I$20000,"Orquesta/Banda/Conjunto"),"")))</f>
        <v/>
      </c>
      <c r="AB926" t="str">
        <f>IF(Y926="","",IF(Y926="[FÓRMULA MANUAL]","",IFERROR(AVERAGEIFS(DATOS!$K$2:$K$20000,DATOS!$A$2:$A$20000,Y926,DATOS!$G$2:$G$20000,CONFIG_METADATA!$B$4,DATOS!$I$2:$I$20000,"Música de Cámara"),"")))</f>
        <v/>
      </c>
      <c r="AC926" t="str">
        <f>IF(Y926="","",IF(Y926="[FÓRMULA MANUAL]","",IFERROR(SUMPRODUCT((DATOS!$A$2:$A$20000=Y926)*(DATOS!$G$2:$G$20000=CONFIG_METADATA!$B$4)*(COUNTIF(CONFIG_ASIGNATURAS!$B$7:$B$27,DATOS!$I$2:$I$20000)&gt;0)*(DATOS!$K$2:$K$20000))/SUMPRODUCT((DATOS!$A$2:$A$20000=Y926)*(DATOS!$G$2:$G$20000=CONFIG_METADATA!$B$4)*(COUNTIF(CONFIG_ASIGNATURAS!$B$7:$B$27,DATOS!$I$2:$I$20000)&gt;0)*1),"")))</f>
        <v/>
      </c>
      <c r="AF926" t="str">
        <f>IF(AE926="","",IF(AE926="[FÓRMULA MANUAL]","",IFERROR(AVERAGEIFS(DATOS!$K$2:$K$20000,DATOS!$A$2:$A$20000,AE926,DATOS!$G$2:$G$20000,CONFIG_METADATA!$B$4,DATOS!$I$2:$I$20000,"Análisis"),"")))</f>
        <v/>
      </c>
      <c r="AG926" t="str">
        <f>IF(AE926="","",IF(AE926="[FÓRMULA MANUAL]","",IFERROR(AVERAGEIFS(DATOS!$K$2:$K$20000,DATOS!$A$2:$A$20000,AE926,DATOS!$G$2:$G$20000,CONFIG_METADATA!$B$4,DATOS!$I$2:$I$20000,"Orquesta/Banda/Conjunto"),"")))</f>
        <v/>
      </c>
      <c r="AH926" t="str">
        <f>IF(AE926="","",IF(AE926="[FÓRMULA MANUAL]","",IFERROR(AVERAGEIFS(DATOS!$K$2:$K$20000,DATOS!$A$2:$A$20000,AE926,DATOS!$G$2:$G$20000,CONFIG_METADATA!$B$4,DATOS!$I$2:$I$20000,"Música de Cámara"),"")))</f>
        <v/>
      </c>
      <c r="AI926" t="str">
        <f>IF(AE926="","",IF(AE926="[FÓRMULA MANUAL]","",IFERROR(SUMPRODUCT((DATOS!$A$2:$A$20000=AE926)*(DATOS!$G$2:$G$20000=CONFIG_METADATA!$B$4)*(COUNTIF(CONFIG_ASIGNATURAS!$B$7:$B$27,DATOS!$I$2:$I$20000)&gt;0)*(DATOS!$K$2:$K$20000))/SUMPRODUCT((DATOS!$A$2:$A$20000=AE926)*(DATOS!$G$2:$G$20000=CONFIG_METADATA!$B$4)*(COUNTIF(CONFIG_ASIGNATURAS!$B$7:$B$27,DATOS!$I$2:$I$20000)&gt;0)*1),"")))</f>
        <v/>
      </c>
    </row>
    <row r="927" spans="2:35" x14ac:dyDescent="0.2">
      <c r="B927" t="str">
        <f>IF(A927="","",IF(A927="[FÓRMULA MANUAL]","",IFERROR(AVERAGEIFS(DATOS!$K$2:$K$20000,DATOS!$A$2:$A$20000,A927,DATOS!$G$2:$G$20000,CONFIG_METADATA!$B$4,DATOS!$I$2:$I$20000,"Lenguaje Musical"),"")))</f>
        <v/>
      </c>
      <c r="C927" t="str">
        <f>IF(A927="","",IF(A927="[FÓRMULA MANUAL]","",IFERROR(AVERAGEIFS(DATOS!$K$2:$K$20000,DATOS!$A$2:$A$20000,A927,DATOS!$G$2:$G$20000,CONFIG_METADATA!$B$4,DATOS!$I$2:$I$20000,"Orquesta/Banda/Conjunto"),"")))</f>
        <v/>
      </c>
      <c r="D927" t="str">
        <f>IF(A927="","",IF(A927="[FÓRMULA MANUAL]","",IFERROR(AVERAGEIFS(DATOS!$K$2:$K$20000,DATOS!$A$2:$A$20000,A927,DATOS!$G$2:$G$20000,CONFIG_METADATA!$B$4,DATOS!$I$2:$I$20000,"Conjunto"),"")))</f>
        <v/>
      </c>
      <c r="E927" t="str">
        <f>IF(A927="","",IF(A927="[FÓRMULA MANUAL]","",IFERROR(SUMPRODUCT((DATOS!$A$2:$A$20000=A927)*(DATOS!$G$2:$G$20000=CONFIG_METADATA!$B$4)*(COUNTIF(CONFIG_ASIGNATURAS!$B$7:$B$27,DATOS!$I$2:$I$20000)&gt;0)*(DATOS!$K$2:$K$20000))/SUMPRODUCT((DATOS!$A$2:$A$20000=A927)*(DATOS!$G$2:$G$20000=CONFIG_METADATA!$B$4)*(COUNTIF(CONFIG_ASIGNATURAS!$B$7:$B$27,DATOS!$I$2:$I$20000)&gt;0)*1),"")))</f>
        <v/>
      </c>
      <c r="H927" t="str">
        <f>IF(G927="","",IF(G927="[FÓRMULA MANUAL]","",IFERROR(AVERAGEIFS(DATOS!$K$2:$K$20000,DATOS!$A$2:$A$20000,G927,DATOS!$G$2:$G$20000,CONFIG_METADATA!$B$4,DATOS!$I$2:$I$20000,"Lenguaje Musical"),"")))</f>
        <v/>
      </c>
      <c r="I927" t="str">
        <f>IF(G927="","",IF(G927="[FÓRMULA MANUAL]","",IFERROR(AVERAGEIFS(DATOS!$K$2:$K$20000,DATOS!$A$2:$A$20000,G927,DATOS!$G$2:$G$20000,CONFIG_METADATA!$B$4,DATOS!$I$2:$I$20000,"Orquesta/Banda/Conjunto"),"")))</f>
        <v/>
      </c>
      <c r="J927" t="str">
        <f>IF(G927="","",IF(G927="[FÓRMULA MANUAL]","",IFERROR(AVERAGEIFS(DATOS!$K$2:$K$20000,DATOS!$A$2:$A$20000,G927,DATOS!$G$2:$G$20000,CONFIG_METADATA!$B$4,DATOS!$I$2:$I$20000,"Conjunto"),"")))</f>
        <v/>
      </c>
      <c r="K927" t="str">
        <f>IF(G927="","",IF(G927="[FÓRMULA MANUAL]","",IFERROR(SUMPRODUCT((DATOS!$A$2:$A$20000=G927)*(DATOS!$G$2:$G$20000=CONFIG_METADATA!$B$4)*(COUNTIF(CONFIG_ASIGNATURAS!$B$7:$B$27,DATOS!$I$2:$I$20000)&gt;0)*(DATOS!$K$2:$K$20000))/SUMPRODUCT((DATOS!$A$2:$A$20000=G927)*(DATOS!$G$2:$G$20000=CONFIG_METADATA!$B$4)*(COUNTIF(CONFIG_ASIGNATURAS!$B$7:$B$27,DATOS!$I$2:$I$20000)&gt;0)*1),"")))</f>
        <v/>
      </c>
      <c r="N927" t="str">
        <f>IF(M927="","",IF(M927="[FÓRMULA MANUAL]","",IFERROR(AVERAGEIFS(DATOS!$K$2:$K$20000,DATOS!$A$2:$A$20000,M927,DATOS!$G$2:$G$20000,CONFIG_METADATA!$B$4,DATOS!$I$2:$I$20000,"Armonía"),"")))</f>
        <v/>
      </c>
      <c r="O927" t="str">
        <f>IF(M927="","",IF(M927="[FÓRMULA MANUAL]","",IFERROR(AVERAGEIFS(DATOS!$K$2:$K$20000,DATOS!$A$2:$A$20000,M927,DATOS!$G$2:$G$20000,CONFIG_METADATA!$B$4,DATOS!$I$2:$I$20000,"Orquesta/Banda/Conjunto"),"")))</f>
        <v/>
      </c>
      <c r="P927" t="str">
        <f>IF(M927="","",IF(M927="[FÓRMULA MANUAL]","",IFERROR(AVERAGEIFS(DATOS!$K$2:$K$20000,DATOS!$A$2:$A$20000,M927,DATOS!$G$2:$G$20000,CONFIG_METADATA!$B$4,DATOS!$I$2:$I$20000,"Música de Cámara"),"")))</f>
        <v/>
      </c>
      <c r="Q927" t="str">
        <f>IF(M927="","",IF(M927="[FÓRMULA MANUAL]","",IFERROR(SUMPRODUCT((DATOS!$A$2:$A$20000=M927)*(DATOS!$G$2:$G$20000=CONFIG_METADATA!$B$4)*(COUNTIF(CONFIG_ASIGNATURAS!$B$7:$B$27,DATOS!$I$2:$I$20000)&gt;0)*(DATOS!$K$2:$K$20000))/SUMPRODUCT((DATOS!$A$2:$A$20000=M927)*(DATOS!$G$2:$G$20000=CONFIG_METADATA!$B$4)*(COUNTIF(CONFIG_ASIGNATURAS!$B$7:$B$27,DATOS!$I$2:$I$20000)&gt;0)*1),"")))</f>
        <v/>
      </c>
      <c r="T927" t="str">
        <f>IF(S927="","",IF(S927="[FÓRMULA MANUAL]","",IFERROR(AVERAGEIFS(DATOS!$K$2:$K$20000,DATOS!$A$2:$A$20000,S927,DATOS!$G$2:$G$20000,CONFIG_METADATA!$B$4,DATOS!$I$2:$I$20000,"Armonía"),"")))</f>
        <v/>
      </c>
      <c r="U927" t="str">
        <f>IF(S927="","",IF(S927="[FÓRMULA MANUAL]","",IFERROR(AVERAGEIFS(DATOS!$K$2:$K$20000,DATOS!$A$2:$A$20000,S927,DATOS!$G$2:$G$20000,CONFIG_METADATA!$B$4,DATOS!$I$2:$I$20000,"Orquesta/Banda/Conjunto"),"")))</f>
        <v/>
      </c>
      <c r="V927" t="str">
        <f>IF(S927="","",IF(S927="[FÓRMULA MANUAL]","",IFERROR(AVERAGEIFS(DATOS!$K$2:$K$20000,DATOS!$A$2:$A$20000,S927,DATOS!$G$2:$G$20000,CONFIG_METADATA!$B$4,DATOS!$I$2:$I$20000,"Música de Cámara"),"")))</f>
        <v/>
      </c>
      <c r="W927" t="str">
        <f>IF(S927="","",IF(S927="[FÓRMULA MANUAL]","",IFERROR(SUMPRODUCT((DATOS!$A$2:$A$20000=S927)*(DATOS!$G$2:$G$20000=CONFIG_METADATA!$B$4)*(COUNTIF(CONFIG_ASIGNATURAS!$B$7:$B$27,DATOS!$I$2:$I$20000)&gt;0)*(DATOS!$K$2:$K$20000))/SUMPRODUCT((DATOS!$A$2:$A$20000=S927)*(DATOS!$G$2:$G$20000=CONFIG_METADATA!$B$4)*(COUNTIF(CONFIG_ASIGNATURAS!$B$7:$B$27,DATOS!$I$2:$I$20000)&gt;0)*1),"")))</f>
        <v/>
      </c>
      <c r="Z927" t="str">
        <f>IF(Y927="","",IF(Y927="[FÓRMULA MANUAL]","",IFERROR(AVERAGEIFS(DATOS!$K$2:$K$20000,DATOS!$A$2:$A$20000,Y927,DATOS!$G$2:$G$20000,CONFIG_METADATA!$B$4,DATOS!$I$2:$I$20000,"Análisis"),"")))</f>
        <v/>
      </c>
      <c r="AA927" t="str">
        <f>IF(Y927="","",IF(Y927="[FÓRMULA MANUAL]","",IFERROR(AVERAGEIFS(DATOS!$K$2:$K$20000,DATOS!$A$2:$A$20000,Y927,DATOS!$G$2:$G$20000,CONFIG_METADATA!$B$4,DATOS!$I$2:$I$20000,"Orquesta/Banda/Conjunto"),"")))</f>
        <v/>
      </c>
      <c r="AB927" t="str">
        <f>IF(Y927="","",IF(Y927="[FÓRMULA MANUAL]","",IFERROR(AVERAGEIFS(DATOS!$K$2:$K$20000,DATOS!$A$2:$A$20000,Y927,DATOS!$G$2:$G$20000,CONFIG_METADATA!$B$4,DATOS!$I$2:$I$20000,"Música de Cámara"),"")))</f>
        <v/>
      </c>
      <c r="AC927" t="str">
        <f>IF(Y927="","",IF(Y927="[FÓRMULA MANUAL]","",IFERROR(SUMPRODUCT((DATOS!$A$2:$A$20000=Y927)*(DATOS!$G$2:$G$20000=CONFIG_METADATA!$B$4)*(COUNTIF(CONFIG_ASIGNATURAS!$B$7:$B$27,DATOS!$I$2:$I$20000)&gt;0)*(DATOS!$K$2:$K$20000))/SUMPRODUCT((DATOS!$A$2:$A$20000=Y927)*(DATOS!$G$2:$G$20000=CONFIG_METADATA!$B$4)*(COUNTIF(CONFIG_ASIGNATURAS!$B$7:$B$27,DATOS!$I$2:$I$20000)&gt;0)*1),"")))</f>
        <v/>
      </c>
      <c r="AF927" t="str">
        <f>IF(AE927="","",IF(AE927="[FÓRMULA MANUAL]","",IFERROR(AVERAGEIFS(DATOS!$K$2:$K$20000,DATOS!$A$2:$A$20000,AE927,DATOS!$G$2:$G$20000,CONFIG_METADATA!$B$4,DATOS!$I$2:$I$20000,"Análisis"),"")))</f>
        <v/>
      </c>
      <c r="AG927" t="str">
        <f>IF(AE927="","",IF(AE927="[FÓRMULA MANUAL]","",IFERROR(AVERAGEIFS(DATOS!$K$2:$K$20000,DATOS!$A$2:$A$20000,AE927,DATOS!$G$2:$G$20000,CONFIG_METADATA!$B$4,DATOS!$I$2:$I$20000,"Orquesta/Banda/Conjunto"),"")))</f>
        <v/>
      </c>
      <c r="AH927" t="str">
        <f>IF(AE927="","",IF(AE927="[FÓRMULA MANUAL]","",IFERROR(AVERAGEIFS(DATOS!$K$2:$K$20000,DATOS!$A$2:$A$20000,AE927,DATOS!$G$2:$G$20000,CONFIG_METADATA!$B$4,DATOS!$I$2:$I$20000,"Música de Cámara"),"")))</f>
        <v/>
      </c>
      <c r="AI927" t="str">
        <f>IF(AE927="","",IF(AE927="[FÓRMULA MANUAL]","",IFERROR(SUMPRODUCT((DATOS!$A$2:$A$20000=AE927)*(DATOS!$G$2:$G$20000=CONFIG_METADATA!$B$4)*(COUNTIF(CONFIG_ASIGNATURAS!$B$7:$B$27,DATOS!$I$2:$I$20000)&gt;0)*(DATOS!$K$2:$K$20000))/SUMPRODUCT((DATOS!$A$2:$A$20000=AE927)*(DATOS!$G$2:$G$20000=CONFIG_METADATA!$B$4)*(COUNTIF(CONFIG_ASIGNATURAS!$B$7:$B$27,DATOS!$I$2:$I$20000)&gt;0)*1),"")))</f>
        <v/>
      </c>
    </row>
    <row r="928" spans="2:35" x14ac:dyDescent="0.2">
      <c r="B928" t="str">
        <f>IF(A928="","",IF(A928="[FÓRMULA MANUAL]","",IFERROR(AVERAGEIFS(DATOS!$K$2:$K$20000,DATOS!$A$2:$A$20000,A928,DATOS!$G$2:$G$20000,CONFIG_METADATA!$B$4,DATOS!$I$2:$I$20000,"Lenguaje Musical"),"")))</f>
        <v/>
      </c>
      <c r="C928" t="str">
        <f>IF(A928="","",IF(A928="[FÓRMULA MANUAL]","",IFERROR(AVERAGEIFS(DATOS!$K$2:$K$20000,DATOS!$A$2:$A$20000,A928,DATOS!$G$2:$G$20000,CONFIG_METADATA!$B$4,DATOS!$I$2:$I$20000,"Orquesta/Banda/Conjunto"),"")))</f>
        <v/>
      </c>
      <c r="D928" t="str">
        <f>IF(A928="","",IF(A928="[FÓRMULA MANUAL]","",IFERROR(AVERAGEIFS(DATOS!$K$2:$K$20000,DATOS!$A$2:$A$20000,A928,DATOS!$G$2:$G$20000,CONFIG_METADATA!$B$4,DATOS!$I$2:$I$20000,"Conjunto"),"")))</f>
        <v/>
      </c>
      <c r="E928" t="str">
        <f>IF(A928="","",IF(A928="[FÓRMULA MANUAL]","",IFERROR(SUMPRODUCT((DATOS!$A$2:$A$20000=A928)*(DATOS!$G$2:$G$20000=CONFIG_METADATA!$B$4)*(COUNTIF(CONFIG_ASIGNATURAS!$B$7:$B$27,DATOS!$I$2:$I$20000)&gt;0)*(DATOS!$K$2:$K$20000))/SUMPRODUCT((DATOS!$A$2:$A$20000=A928)*(DATOS!$G$2:$G$20000=CONFIG_METADATA!$B$4)*(COUNTIF(CONFIG_ASIGNATURAS!$B$7:$B$27,DATOS!$I$2:$I$20000)&gt;0)*1),"")))</f>
        <v/>
      </c>
      <c r="H928" t="str">
        <f>IF(G928="","",IF(G928="[FÓRMULA MANUAL]","",IFERROR(AVERAGEIFS(DATOS!$K$2:$K$20000,DATOS!$A$2:$A$20000,G928,DATOS!$G$2:$G$20000,CONFIG_METADATA!$B$4,DATOS!$I$2:$I$20000,"Lenguaje Musical"),"")))</f>
        <v/>
      </c>
      <c r="I928" t="str">
        <f>IF(G928="","",IF(G928="[FÓRMULA MANUAL]","",IFERROR(AVERAGEIFS(DATOS!$K$2:$K$20000,DATOS!$A$2:$A$20000,G928,DATOS!$G$2:$G$20000,CONFIG_METADATA!$B$4,DATOS!$I$2:$I$20000,"Orquesta/Banda/Conjunto"),"")))</f>
        <v/>
      </c>
      <c r="J928" t="str">
        <f>IF(G928="","",IF(G928="[FÓRMULA MANUAL]","",IFERROR(AVERAGEIFS(DATOS!$K$2:$K$20000,DATOS!$A$2:$A$20000,G928,DATOS!$G$2:$G$20000,CONFIG_METADATA!$B$4,DATOS!$I$2:$I$20000,"Conjunto"),"")))</f>
        <v/>
      </c>
      <c r="K928" t="str">
        <f>IF(G928="","",IF(G928="[FÓRMULA MANUAL]","",IFERROR(SUMPRODUCT((DATOS!$A$2:$A$20000=G928)*(DATOS!$G$2:$G$20000=CONFIG_METADATA!$B$4)*(COUNTIF(CONFIG_ASIGNATURAS!$B$7:$B$27,DATOS!$I$2:$I$20000)&gt;0)*(DATOS!$K$2:$K$20000))/SUMPRODUCT((DATOS!$A$2:$A$20000=G928)*(DATOS!$G$2:$G$20000=CONFIG_METADATA!$B$4)*(COUNTIF(CONFIG_ASIGNATURAS!$B$7:$B$27,DATOS!$I$2:$I$20000)&gt;0)*1),"")))</f>
        <v/>
      </c>
      <c r="N928" t="str">
        <f>IF(M928="","",IF(M928="[FÓRMULA MANUAL]","",IFERROR(AVERAGEIFS(DATOS!$K$2:$K$20000,DATOS!$A$2:$A$20000,M928,DATOS!$G$2:$G$20000,CONFIG_METADATA!$B$4,DATOS!$I$2:$I$20000,"Armonía"),"")))</f>
        <v/>
      </c>
      <c r="O928" t="str">
        <f>IF(M928="","",IF(M928="[FÓRMULA MANUAL]","",IFERROR(AVERAGEIFS(DATOS!$K$2:$K$20000,DATOS!$A$2:$A$20000,M928,DATOS!$G$2:$G$20000,CONFIG_METADATA!$B$4,DATOS!$I$2:$I$20000,"Orquesta/Banda/Conjunto"),"")))</f>
        <v/>
      </c>
      <c r="P928" t="str">
        <f>IF(M928="","",IF(M928="[FÓRMULA MANUAL]","",IFERROR(AVERAGEIFS(DATOS!$K$2:$K$20000,DATOS!$A$2:$A$20000,M928,DATOS!$G$2:$G$20000,CONFIG_METADATA!$B$4,DATOS!$I$2:$I$20000,"Música de Cámara"),"")))</f>
        <v/>
      </c>
      <c r="Q928" t="str">
        <f>IF(M928="","",IF(M928="[FÓRMULA MANUAL]","",IFERROR(SUMPRODUCT((DATOS!$A$2:$A$20000=M928)*(DATOS!$G$2:$G$20000=CONFIG_METADATA!$B$4)*(COUNTIF(CONFIG_ASIGNATURAS!$B$7:$B$27,DATOS!$I$2:$I$20000)&gt;0)*(DATOS!$K$2:$K$20000))/SUMPRODUCT((DATOS!$A$2:$A$20000=M928)*(DATOS!$G$2:$G$20000=CONFIG_METADATA!$B$4)*(COUNTIF(CONFIG_ASIGNATURAS!$B$7:$B$27,DATOS!$I$2:$I$20000)&gt;0)*1),"")))</f>
        <v/>
      </c>
      <c r="T928" t="str">
        <f>IF(S928="","",IF(S928="[FÓRMULA MANUAL]","",IFERROR(AVERAGEIFS(DATOS!$K$2:$K$20000,DATOS!$A$2:$A$20000,S928,DATOS!$G$2:$G$20000,CONFIG_METADATA!$B$4,DATOS!$I$2:$I$20000,"Armonía"),"")))</f>
        <v/>
      </c>
      <c r="U928" t="str">
        <f>IF(S928="","",IF(S928="[FÓRMULA MANUAL]","",IFERROR(AVERAGEIFS(DATOS!$K$2:$K$20000,DATOS!$A$2:$A$20000,S928,DATOS!$G$2:$G$20000,CONFIG_METADATA!$B$4,DATOS!$I$2:$I$20000,"Orquesta/Banda/Conjunto"),"")))</f>
        <v/>
      </c>
      <c r="V928" t="str">
        <f>IF(S928="","",IF(S928="[FÓRMULA MANUAL]","",IFERROR(AVERAGEIFS(DATOS!$K$2:$K$20000,DATOS!$A$2:$A$20000,S928,DATOS!$G$2:$G$20000,CONFIG_METADATA!$B$4,DATOS!$I$2:$I$20000,"Música de Cámara"),"")))</f>
        <v/>
      </c>
      <c r="W928" t="str">
        <f>IF(S928="","",IF(S928="[FÓRMULA MANUAL]","",IFERROR(SUMPRODUCT((DATOS!$A$2:$A$20000=S928)*(DATOS!$G$2:$G$20000=CONFIG_METADATA!$B$4)*(COUNTIF(CONFIG_ASIGNATURAS!$B$7:$B$27,DATOS!$I$2:$I$20000)&gt;0)*(DATOS!$K$2:$K$20000))/SUMPRODUCT((DATOS!$A$2:$A$20000=S928)*(DATOS!$G$2:$G$20000=CONFIG_METADATA!$B$4)*(COUNTIF(CONFIG_ASIGNATURAS!$B$7:$B$27,DATOS!$I$2:$I$20000)&gt;0)*1),"")))</f>
        <v/>
      </c>
      <c r="Z928" t="str">
        <f>IF(Y928="","",IF(Y928="[FÓRMULA MANUAL]","",IFERROR(AVERAGEIFS(DATOS!$K$2:$K$20000,DATOS!$A$2:$A$20000,Y928,DATOS!$G$2:$G$20000,CONFIG_METADATA!$B$4,DATOS!$I$2:$I$20000,"Análisis"),"")))</f>
        <v/>
      </c>
      <c r="AA928" t="str">
        <f>IF(Y928="","",IF(Y928="[FÓRMULA MANUAL]","",IFERROR(AVERAGEIFS(DATOS!$K$2:$K$20000,DATOS!$A$2:$A$20000,Y928,DATOS!$G$2:$G$20000,CONFIG_METADATA!$B$4,DATOS!$I$2:$I$20000,"Orquesta/Banda/Conjunto"),"")))</f>
        <v/>
      </c>
      <c r="AB928" t="str">
        <f>IF(Y928="","",IF(Y928="[FÓRMULA MANUAL]","",IFERROR(AVERAGEIFS(DATOS!$K$2:$K$20000,DATOS!$A$2:$A$20000,Y928,DATOS!$G$2:$G$20000,CONFIG_METADATA!$B$4,DATOS!$I$2:$I$20000,"Música de Cámara"),"")))</f>
        <v/>
      </c>
      <c r="AC928" t="str">
        <f>IF(Y928="","",IF(Y928="[FÓRMULA MANUAL]","",IFERROR(SUMPRODUCT((DATOS!$A$2:$A$20000=Y928)*(DATOS!$G$2:$G$20000=CONFIG_METADATA!$B$4)*(COUNTIF(CONFIG_ASIGNATURAS!$B$7:$B$27,DATOS!$I$2:$I$20000)&gt;0)*(DATOS!$K$2:$K$20000))/SUMPRODUCT((DATOS!$A$2:$A$20000=Y928)*(DATOS!$G$2:$G$20000=CONFIG_METADATA!$B$4)*(COUNTIF(CONFIG_ASIGNATURAS!$B$7:$B$27,DATOS!$I$2:$I$20000)&gt;0)*1),"")))</f>
        <v/>
      </c>
      <c r="AF928" t="str">
        <f>IF(AE928="","",IF(AE928="[FÓRMULA MANUAL]","",IFERROR(AVERAGEIFS(DATOS!$K$2:$K$20000,DATOS!$A$2:$A$20000,AE928,DATOS!$G$2:$G$20000,CONFIG_METADATA!$B$4,DATOS!$I$2:$I$20000,"Análisis"),"")))</f>
        <v/>
      </c>
      <c r="AG928" t="str">
        <f>IF(AE928="","",IF(AE928="[FÓRMULA MANUAL]","",IFERROR(AVERAGEIFS(DATOS!$K$2:$K$20000,DATOS!$A$2:$A$20000,AE928,DATOS!$G$2:$G$20000,CONFIG_METADATA!$B$4,DATOS!$I$2:$I$20000,"Orquesta/Banda/Conjunto"),"")))</f>
        <v/>
      </c>
      <c r="AH928" t="str">
        <f>IF(AE928="","",IF(AE928="[FÓRMULA MANUAL]","",IFERROR(AVERAGEIFS(DATOS!$K$2:$K$20000,DATOS!$A$2:$A$20000,AE928,DATOS!$G$2:$G$20000,CONFIG_METADATA!$B$4,DATOS!$I$2:$I$20000,"Música de Cámara"),"")))</f>
        <v/>
      </c>
      <c r="AI928" t="str">
        <f>IF(AE928="","",IF(AE928="[FÓRMULA MANUAL]","",IFERROR(SUMPRODUCT((DATOS!$A$2:$A$20000=AE928)*(DATOS!$G$2:$G$20000=CONFIG_METADATA!$B$4)*(COUNTIF(CONFIG_ASIGNATURAS!$B$7:$B$27,DATOS!$I$2:$I$20000)&gt;0)*(DATOS!$K$2:$K$20000))/SUMPRODUCT((DATOS!$A$2:$A$20000=AE928)*(DATOS!$G$2:$G$20000=CONFIG_METADATA!$B$4)*(COUNTIF(CONFIG_ASIGNATURAS!$B$7:$B$27,DATOS!$I$2:$I$20000)&gt;0)*1),"")))</f>
        <v/>
      </c>
    </row>
    <row r="929" spans="2:35" x14ac:dyDescent="0.2">
      <c r="B929" t="str">
        <f>IF(A929="","",IF(A929="[FÓRMULA MANUAL]","",IFERROR(AVERAGEIFS(DATOS!$K$2:$K$20000,DATOS!$A$2:$A$20000,A929,DATOS!$G$2:$G$20000,CONFIG_METADATA!$B$4,DATOS!$I$2:$I$20000,"Lenguaje Musical"),"")))</f>
        <v/>
      </c>
      <c r="C929" t="str">
        <f>IF(A929="","",IF(A929="[FÓRMULA MANUAL]","",IFERROR(AVERAGEIFS(DATOS!$K$2:$K$20000,DATOS!$A$2:$A$20000,A929,DATOS!$G$2:$G$20000,CONFIG_METADATA!$B$4,DATOS!$I$2:$I$20000,"Orquesta/Banda/Conjunto"),"")))</f>
        <v/>
      </c>
      <c r="D929" t="str">
        <f>IF(A929="","",IF(A929="[FÓRMULA MANUAL]","",IFERROR(AVERAGEIFS(DATOS!$K$2:$K$20000,DATOS!$A$2:$A$20000,A929,DATOS!$G$2:$G$20000,CONFIG_METADATA!$B$4,DATOS!$I$2:$I$20000,"Conjunto"),"")))</f>
        <v/>
      </c>
      <c r="E929" t="str">
        <f>IF(A929="","",IF(A929="[FÓRMULA MANUAL]","",IFERROR(SUMPRODUCT((DATOS!$A$2:$A$20000=A929)*(DATOS!$G$2:$G$20000=CONFIG_METADATA!$B$4)*(COUNTIF(CONFIG_ASIGNATURAS!$B$7:$B$27,DATOS!$I$2:$I$20000)&gt;0)*(DATOS!$K$2:$K$20000))/SUMPRODUCT((DATOS!$A$2:$A$20000=A929)*(DATOS!$G$2:$G$20000=CONFIG_METADATA!$B$4)*(COUNTIF(CONFIG_ASIGNATURAS!$B$7:$B$27,DATOS!$I$2:$I$20000)&gt;0)*1),"")))</f>
        <v/>
      </c>
      <c r="H929" t="str">
        <f>IF(G929="","",IF(G929="[FÓRMULA MANUAL]","",IFERROR(AVERAGEIFS(DATOS!$K$2:$K$20000,DATOS!$A$2:$A$20000,G929,DATOS!$G$2:$G$20000,CONFIG_METADATA!$B$4,DATOS!$I$2:$I$20000,"Lenguaje Musical"),"")))</f>
        <v/>
      </c>
      <c r="I929" t="str">
        <f>IF(G929="","",IF(G929="[FÓRMULA MANUAL]","",IFERROR(AVERAGEIFS(DATOS!$K$2:$K$20000,DATOS!$A$2:$A$20000,G929,DATOS!$G$2:$G$20000,CONFIG_METADATA!$B$4,DATOS!$I$2:$I$20000,"Orquesta/Banda/Conjunto"),"")))</f>
        <v/>
      </c>
      <c r="J929" t="str">
        <f>IF(G929="","",IF(G929="[FÓRMULA MANUAL]","",IFERROR(AVERAGEIFS(DATOS!$K$2:$K$20000,DATOS!$A$2:$A$20000,G929,DATOS!$G$2:$G$20000,CONFIG_METADATA!$B$4,DATOS!$I$2:$I$20000,"Conjunto"),"")))</f>
        <v/>
      </c>
      <c r="K929" t="str">
        <f>IF(G929="","",IF(G929="[FÓRMULA MANUAL]","",IFERROR(SUMPRODUCT((DATOS!$A$2:$A$20000=G929)*(DATOS!$G$2:$G$20000=CONFIG_METADATA!$B$4)*(COUNTIF(CONFIG_ASIGNATURAS!$B$7:$B$27,DATOS!$I$2:$I$20000)&gt;0)*(DATOS!$K$2:$K$20000))/SUMPRODUCT((DATOS!$A$2:$A$20000=G929)*(DATOS!$G$2:$G$20000=CONFIG_METADATA!$B$4)*(COUNTIF(CONFIG_ASIGNATURAS!$B$7:$B$27,DATOS!$I$2:$I$20000)&gt;0)*1),"")))</f>
        <v/>
      </c>
      <c r="N929" t="str">
        <f>IF(M929="","",IF(M929="[FÓRMULA MANUAL]","",IFERROR(AVERAGEIFS(DATOS!$K$2:$K$20000,DATOS!$A$2:$A$20000,M929,DATOS!$G$2:$G$20000,CONFIG_METADATA!$B$4,DATOS!$I$2:$I$20000,"Armonía"),"")))</f>
        <v/>
      </c>
      <c r="O929" t="str">
        <f>IF(M929="","",IF(M929="[FÓRMULA MANUAL]","",IFERROR(AVERAGEIFS(DATOS!$K$2:$K$20000,DATOS!$A$2:$A$20000,M929,DATOS!$G$2:$G$20000,CONFIG_METADATA!$B$4,DATOS!$I$2:$I$20000,"Orquesta/Banda/Conjunto"),"")))</f>
        <v/>
      </c>
      <c r="P929" t="str">
        <f>IF(M929="","",IF(M929="[FÓRMULA MANUAL]","",IFERROR(AVERAGEIFS(DATOS!$K$2:$K$20000,DATOS!$A$2:$A$20000,M929,DATOS!$G$2:$G$20000,CONFIG_METADATA!$B$4,DATOS!$I$2:$I$20000,"Música de Cámara"),"")))</f>
        <v/>
      </c>
      <c r="Q929" t="str">
        <f>IF(M929="","",IF(M929="[FÓRMULA MANUAL]","",IFERROR(SUMPRODUCT((DATOS!$A$2:$A$20000=M929)*(DATOS!$G$2:$G$20000=CONFIG_METADATA!$B$4)*(COUNTIF(CONFIG_ASIGNATURAS!$B$7:$B$27,DATOS!$I$2:$I$20000)&gt;0)*(DATOS!$K$2:$K$20000))/SUMPRODUCT((DATOS!$A$2:$A$20000=M929)*(DATOS!$G$2:$G$20000=CONFIG_METADATA!$B$4)*(COUNTIF(CONFIG_ASIGNATURAS!$B$7:$B$27,DATOS!$I$2:$I$20000)&gt;0)*1),"")))</f>
        <v/>
      </c>
      <c r="T929" t="str">
        <f>IF(S929="","",IF(S929="[FÓRMULA MANUAL]","",IFERROR(AVERAGEIFS(DATOS!$K$2:$K$20000,DATOS!$A$2:$A$20000,S929,DATOS!$G$2:$G$20000,CONFIG_METADATA!$B$4,DATOS!$I$2:$I$20000,"Armonía"),"")))</f>
        <v/>
      </c>
      <c r="U929" t="str">
        <f>IF(S929="","",IF(S929="[FÓRMULA MANUAL]","",IFERROR(AVERAGEIFS(DATOS!$K$2:$K$20000,DATOS!$A$2:$A$20000,S929,DATOS!$G$2:$G$20000,CONFIG_METADATA!$B$4,DATOS!$I$2:$I$20000,"Orquesta/Banda/Conjunto"),"")))</f>
        <v/>
      </c>
      <c r="V929" t="str">
        <f>IF(S929="","",IF(S929="[FÓRMULA MANUAL]","",IFERROR(AVERAGEIFS(DATOS!$K$2:$K$20000,DATOS!$A$2:$A$20000,S929,DATOS!$G$2:$G$20000,CONFIG_METADATA!$B$4,DATOS!$I$2:$I$20000,"Música de Cámara"),"")))</f>
        <v/>
      </c>
      <c r="W929" t="str">
        <f>IF(S929="","",IF(S929="[FÓRMULA MANUAL]","",IFERROR(SUMPRODUCT((DATOS!$A$2:$A$20000=S929)*(DATOS!$G$2:$G$20000=CONFIG_METADATA!$B$4)*(COUNTIF(CONFIG_ASIGNATURAS!$B$7:$B$27,DATOS!$I$2:$I$20000)&gt;0)*(DATOS!$K$2:$K$20000))/SUMPRODUCT((DATOS!$A$2:$A$20000=S929)*(DATOS!$G$2:$G$20000=CONFIG_METADATA!$B$4)*(COUNTIF(CONFIG_ASIGNATURAS!$B$7:$B$27,DATOS!$I$2:$I$20000)&gt;0)*1),"")))</f>
        <v/>
      </c>
      <c r="Z929" t="str">
        <f>IF(Y929="","",IF(Y929="[FÓRMULA MANUAL]","",IFERROR(AVERAGEIFS(DATOS!$K$2:$K$20000,DATOS!$A$2:$A$20000,Y929,DATOS!$G$2:$G$20000,CONFIG_METADATA!$B$4,DATOS!$I$2:$I$20000,"Análisis"),"")))</f>
        <v/>
      </c>
      <c r="AA929" t="str">
        <f>IF(Y929="","",IF(Y929="[FÓRMULA MANUAL]","",IFERROR(AVERAGEIFS(DATOS!$K$2:$K$20000,DATOS!$A$2:$A$20000,Y929,DATOS!$G$2:$G$20000,CONFIG_METADATA!$B$4,DATOS!$I$2:$I$20000,"Orquesta/Banda/Conjunto"),"")))</f>
        <v/>
      </c>
      <c r="AB929" t="str">
        <f>IF(Y929="","",IF(Y929="[FÓRMULA MANUAL]","",IFERROR(AVERAGEIFS(DATOS!$K$2:$K$20000,DATOS!$A$2:$A$20000,Y929,DATOS!$G$2:$G$20000,CONFIG_METADATA!$B$4,DATOS!$I$2:$I$20000,"Música de Cámara"),"")))</f>
        <v/>
      </c>
      <c r="AC929" t="str">
        <f>IF(Y929="","",IF(Y929="[FÓRMULA MANUAL]","",IFERROR(SUMPRODUCT((DATOS!$A$2:$A$20000=Y929)*(DATOS!$G$2:$G$20000=CONFIG_METADATA!$B$4)*(COUNTIF(CONFIG_ASIGNATURAS!$B$7:$B$27,DATOS!$I$2:$I$20000)&gt;0)*(DATOS!$K$2:$K$20000))/SUMPRODUCT((DATOS!$A$2:$A$20000=Y929)*(DATOS!$G$2:$G$20000=CONFIG_METADATA!$B$4)*(COUNTIF(CONFIG_ASIGNATURAS!$B$7:$B$27,DATOS!$I$2:$I$20000)&gt;0)*1),"")))</f>
        <v/>
      </c>
      <c r="AF929" t="str">
        <f>IF(AE929="","",IF(AE929="[FÓRMULA MANUAL]","",IFERROR(AVERAGEIFS(DATOS!$K$2:$K$20000,DATOS!$A$2:$A$20000,AE929,DATOS!$G$2:$G$20000,CONFIG_METADATA!$B$4,DATOS!$I$2:$I$20000,"Análisis"),"")))</f>
        <v/>
      </c>
      <c r="AG929" t="str">
        <f>IF(AE929="","",IF(AE929="[FÓRMULA MANUAL]","",IFERROR(AVERAGEIFS(DATOS!$K$2:$K$20000,DATOS!$A$2:$A$20000,AE929,DATOS!$G$2:$G$20000,CONFIG_METADATA!$B$4,DATOS!$I$2:$I$20000,"Orquesta/Banda/Conjunto"),"")))</f>
        <v/>
      </c>
      <c r="AH929" t="str">
        <f>IF(AE929="","",IF(AE929="[FÓRMULA MANUAL]","",IFERROR(AVERAGEIFS(DATOS!$K$2:$K$20000,DATOS!$A$2:$A$20000,AE929,DATOS!$G$2:$G$20000,CONFIG_METADATA!$B$4,DATOS!$I$2:$I$20000,"Música de Cámara"),"")))</f>
        <v/>
      </c>
      <c r="AI929" t="str">
        <f>IF(AE929="","",IF(AE929="[FÓRMULA MANUAL]","",IFERROR(SUMPRODUCT((DATOS!$A$2:$A$20000=AE929)*(DATOS!$G$2:$G$20000=CONFIG_METADATA!$B$4)*(COUNTIF(CONFIG_ASIGNATURAS!$B$7:$B$27,DATOS!$I$2:$I$20000)&gt;0)*(DATOS!$K$2:$K$20000))/SUMPRODUCT((DATOS!$A$2:$A$20000=AE929)*(DATOS!$G$2:$G$20000=CONFIG_METADATA!$B$4)*(COUNTIF(CONFIG_ASIGNATURAS!$B$7:$B$27,DATOS!$I$2:$I$20000)&gt;0)*1),"")))</f>
        <v/>
      </c>
    </row>
    <row r="930" spans="2:35" x14ac:dyDescent="0.2">
      <c r="B930" t="str">
        <f>IF(A930="","",IF(A930="[FÓRMULA MANUAL]","",IFERROR(AVERAGEIFS(DATOS!$K$2:$K$20000,DATOS!$A$2:$A$20000,A930,DATOS!$G$2:$G$20000,CONFIG_METADATA!$B$4,DATOS!$I$2:$I$20000,"Lenguaje Musical"),"")))</f>
        <v/>
      </c>
      <c r="C930" t="str">
        <f>IF(A930="","",IF(A930="[FÓRMULA MANUAL]","",IFERROR(AVERAGEIFS(DATOS!$K$2:$K$20000,DATOS!$A$2:$A$20000,A930,DATOS!$G$2:$G$20000,CONFIG_METADATA!$B$4,DATOS!$I$2:$I$20000,"Orquesta/Banda/Conjunto"),"")))</f>
        <v/>
      </c>
      <c r="D930" t="str">
        <f>IF(A930="","",IF(A930="[FÓRMULA MANUAL]","",IFERROR(AVERAGEIFS(DATOS!$K$2:$K$20000,DATOS!$A$2:$A$20000,A930,DATOS!$G$2:$G$20000,CONFIG_METADATA!$B$4,DATOS!$I$2:$I$20000,"Conjunto"),"")))</f>
        <v/>
      </c>
      <c r="E930" t="str">
        <f>IF(A930="","",IF(A930="[FÓRMULA MANUAL]","",IFERROR(SUMPRODUCT((DATOS!$A$2:$A$20000=A930)*(DATOS!$G$2:$G$20000=CONFIG_METADATA!$B$4)*(COUNTIF(CONFIG_ASIGNATURAS!$B$7:$B$27,DATOS!$I$2:$I$20000)&gt;0)*(DATOS!$K$2:$K$20000))/SUMPRODUCT((DATOS!$A$2:$A$20000=A930)*(DATOS!$G$2:$G$20000=CONFIG_METADATA!$B$4)*(COUNTIF(CONFIG_ASIGNATURAS!$B$7:$B$27,DATOS!$I$2:$I$20000)&gt;0)*1),"")))</f>
        <v/>
      </c>
      <c r="H930" t="str">
        <f>IF(G930="","",IF(G930="[FÓRMULA MANUAL]","",IFERROR(AVERAGEIFS(DATOS!$K$2:$K$20000,DATOS!$A$2:$A$20000,G930,DATOS!$G$2:$G$20000,CONFIG_METADATA!$B$4,DATOS!$I$2:$I$20000,"Lenguaje Musical"),"")))</f>
        <v/>
      </c>
      <c r="I930" t="str">
        <f>IF(G930="","",IF(G930="[FÓRMULA MANUAL]","",IFERROR(AVERAGEIFS(DATOS!$K$2:$K$20000,DATOS!$A$2:$A$20000,G930,DATOS!$G$2:$G$20000,CONFIG_METADATA!$B$4,DATOS!$I$2:$I$20000,"Orquesta/Banda/Conjunto"),"")))</f>
        <v/>
      </c>
      <c r="J930" t="str">
        <f>IF(G930="","",IF(G930="[FÓRMULA MANUAL]","",IFERROR(AVERAGEIFS(DATOS!$K$2:$K$20000,DATOS!$A$2:$A$20000,G930,DATOS!$G$2:$G$20000,CONFIG_METADATA!$B$4,DATOS!$I$2:$I$20000,"Conjunto"),"")))</f>
        <v/>
      </c>
      <c r="K930" t="str">
        <f>IF(G930="","",IF(G930="[FÓRMULA MANUAL]","",IFERROR(SUMPRODUCT((DATOS!$A$2:$A$20000=G930)*(DATOS!$G$2:$G$20000=CONFIG_METADATA!$B$4)*(COUNTIF(CONFIG_ASIGNATURAS!$B$7:$B$27,DATOS!$I$2:$I$20000)&gt;0)*(DATOS!$K$2:$K$20000))/SUMPRODUCT((DATOS!$A$2:$A$20000=G930)*(DATOS!$G$2:$G$20000=CONFIG_METADATA!$B$4)*(COUNTIF(CONFIG_ASIGNATURAS!$B$7:$B$27,DATOS!$I$2:$I$20000)&gt;0)*1),"")))</f>
        <v/>
      </c>
      <c r="N930" t="str">
        <f>IF(M930="","",IF(M930="[FÓRMULA MANUAL]","",IFERROR(AVERAGEIFS(DATOS!$K$2:$K$20000,DATOS!$A$2:$A$20000,M930,DATOS!$G$2:$G$20000,CONFIG_METADATA!$B$4,DATOS!$I$2:$I$20000,"Armonía"),"")))</f>
        <v/>
      </c>
      <c r="O930" t="str">
        <f>IF(M930="","",IF(M930="[FÓRMULA MANUAL]","",IFERROR(AVERAGEIFS(DATOS!$K$2:$K$20000,DATOS!$A$2:$A$20000,M930,DATOS!$G$2:$G$20000,CONFIG_METADATA!$B$4,DATOS!$I$2:$I$20000,"Orquesta/Banda/Conjunto"),"")))</f>
        <v/>
      </c>
      <c r="P930" t="str">
        <f>IF(M930="","",IF(M930="[FÓRMULA MANUAL]","",IFERROR(AVERAGEIFS(DATOS!$K$2:$K$20000,DATOS!$A$2:$A$20000,M930,DATOS!$G$2:$G$20000,CONFIG_METADATA!$B$4,DATOS!$I$2:$I$20000,"Música de Cámara"),"")))</f>
        <v/>
      </c>
      <c r="Q930" t="str">
        <f>IF(M930="","",IF(M930="[FÓRMULA MANUAL]","",IFERROR(SUMPRODUCT((DATOS!$A$2:$A$20000=M930)*(DATOS!$G$2:$G$20000=CONFIG_METADATA!$B$4)*(COUNTIF(CONFIG_ASIGNATURAS!$B$7:$B$27,DATOS!$I$2:$I$20000)&gt;0)*(DATOS!$K$2:$K$20000))/SUMPRODUCT((DATOS!$A$2:$A$20000=M930)*(DATOS!$G$2:$G$20000=CONFIG_METADATA!$B$4)*(COUNTIF(CONFIG_ASIGNATURAS!$B$7:$B$27,DATOS!$I$2:$I$20000)&gt;0)*1),"")))</f>
        <v/>
      </c>
      <c r="T930" t="str">
        <f>IF(S930="","",IF(S930="[FÓRMULA MANUAL]","",IFERROR(AVERAGEIFS(DATOS!$K$2:$K$20000,DATOS!$A$2:$A$20000,S930,DATOS!$G$2:$G$20000,CONFIG_METADATA!$B$4,DATOS!$I$2:$I$20000,"Armonía"),"")))</f>
        <v/>
      </c>
      <c r="U930" t="str">
        <f>IF(S930="","",IF(S930="[FÓRMULA MANUAL]","",IFERROR(AVERAGEIFS(DATOS!$K$2:$K$20000,DATOS!$A$2:$A$20000,S930,DATOS!$G$2:$G$20000,CONFIG_METADATA!$B$4,DATOS!$I$2:$I$20000,"Orquesta/Banda/Conjunto"),"")))</f>
        <v/>
      </c>
      <c r="V930" t="str">
        <f>IF(S930="","",IF(S930="[FÓRMULA MANUAL]","",IFERROR(AVERAGEIFS(DATOS!$K$2:$K$20000,DATOS!$A$2:$A$20000,S930,DATOS!$G$2:$G$20000,CONFIG_METADATA!$B$4,DATOS!$I$2:$I$20000,"Música de Cámara"),"")))</f>
        <v/>
      </c>
      <c r="W930" t="str">
        <f>IF(S930="","",IF(S930="[FÓRMULA MANUAL]","",IFERROR(SUMPRODUCT((DATOS!$A$2:$A$20000=S930)*(DATOS!$G$2:$G$20000=CONFIG_METADATA!$B$4)*(COUNTIF(CONFIG_ASIGNATURAS!$B$7:$B$27,DATOS!$I$2:$I$20000)&gt;0)*(DATOS!$K$2:$K$20000))/SUMPRODUCT((DATOS!$A$2:$A$20000=S930)*(DATOS!$G$2:$G$20000=CONFIG_METADATA!$B$4)*(COUNTIF(CONFIG_ASIGNATURAS!$B$7:$B$27,DATOS!$I$2:$I$20000)&gt;0)*1),"")))</f>
        <v/>
      </c>
      <c r="Z930" t="str">
        <f>IF(Y930="","",IF(Y930="[FÓRMULA MANUAL]","",IFERROR(AVERAGEIFS(DATOS!$K$2:$K$20000,DATOS!$A$2:$A$20000,Y930,DATOS!$G$2:$G$20000,CONFIG_METADATA!$B$4,DATOS!$I$2:$I$20000,"Análisis"),"")))</f>
        <v/>
      </c>
      <c r="AA930" t="str">
        <f>IF(Y930="","",IF(Y930="[FÓRMULA MANUAL]","",IFERROR(AVERAGEIFS(DATOS!$K$2:$K$20000,DATOS!$A$2:$A$20000,Y930,DATOS!$G$2:$G$20000,CONFIG_METADATA!$B$4,DATOS!$I$2:$I$20000,"Orquesta/Banda/Conjunto"),"")))</f>
        <v/>
      </c>
      <c r="AB930" t="str">
        <f>IF(Y930="","",IF(Y930="[FÓRMULA MANUAL]","",IFERROR(AVERAGEIFS(DATOS!$K$2:$K$20000,DATOS!$A$2:$A$20000,Y930,DATOS!$G$2:$G$20000,CONFIG_METADATA!$B$4,DATOS!$I$2:$I$20000,"Música de Cámara"),"")))</f>
        <v/>
      </c>
      <c r="AC930" t="str">
        <f>IF(Y930="","",IF(Y930="[FÓRMULA MANUAL]","",IFERROR(SUMPRODUCT((DATOS!$A$2:$A$20000=Y930)*(DATOS!$G$2:$G$20000=CONFIG_METADATA!$B$4)*(COUNTIF(CONFIG_ASIGNATURAS!$B$7:$B$27,DATOS!$I$2:$I$20000)&gt;0)*(DATOS!$K$2:$K$20000))/SUMPRODUCT((DATOS!$A$2:$A$20000=Y930)*(DATOS!$G$2:$G$20000=CONFIG_METADATA!$B$4)*(COUNTIF(CONFIG_ASIGNATURAS!$B$7:$B$27,DATOS!$I$2:$I$20000)&gt;0)*1),"")))</f>
        <v/>
      </c>
      <c r="AF930" t="str">
        <f>IF(AE930="","",IF(AE930="[FÓRMULA MANUAL]","",IFERROR(AVERAGEIFS(DATOS!$K$2:$K$20000,DATOS!$A$2:$A$20000,AE930,DATOS!$G$2:$G$20000,CONFIG_METADATA!$B$4,DATOS!$I$2:$I$20000,"Análisis"),"")))</f>
        <v/>
      </c>
      <c r="AG930" t="str">
        <f>IF(AE930="","",IF(AE930="[FÓRMULA MANUAL]","",IFERROR(AVERAGEIFS(DATOS!$K$2:$K$20000,DATOS!$A$2:$A$20000,AE930,DATOS!$G$2:$G$20000,CONFIG_METADATA!$B$4,DATOS!$I$2:$I$20000,"Orquesta/Banda/Conjunto"),"")))</f>
        <v/>
      </c>
      <c r="AH930" t="str">
        <f>IF(AE930="","",IF(AE930="[FÓRMULA MANUAL]","",IFERROR(AVERAGEIFS(DATOS!$K$2:$K$20000,DATOS!$A$2:$A$20000,AE930,DATOS!$G$2:$G$20000,CONFIG_METADATA!$B$4,DATOS!$I$2:$I$20000,"Música de Cámara"),"")))</f>
        <v/>
      </c>
      <c r="AI930" t="str">
        <f>IF(AE930="","",IF(AE930="[FÓRMULA MANUAL]","",IFERROR(SUMPRODUCT((DATOS!$A$2:$A$20000=AE930)*(DATOS!$G$2:$G$20000=CONFIG_METADATA!$B$4)*(COUNTIF(CONFIG_ASIGNATURAS!$B$7:$B$27,DATOS!$I$2:$I$20000)&gt;0)*(DATOS!$K$2:$K$20000))/SUMPRODUCT((DATOS!$A$2:$A$20000=AE930)*(DATOS!$G$2:$G$20000=CONFIG_METADATA!$B$4)*(COUNTIF(CONFIG_ASIGNATURAS!$B$7:$B$27,DATOS!$I$2:$I$20000)&gt;0)*1),"")))</f>
        <v/>
      </c>
    </row>
    <row r="931" spans="2:35" x14ac:dyDescent="0.2">
      <c r="B931" t="str">
        <f>IF(A931="","",IF(A931="[FÓRMULA MANUAL]","",IFERROR(AVERAGEIFS(DATOS!$K$2:$K$20000,DATOS!$A$2:$A$20000,A931,DATOS!$G$2:$G$20000,CONFIG_METADATA!$B$4,DATOS!$I$2:$I$20000,"Lenguaje Musical"),"")))</f>
        <v/>
      </c>
      <c r="C931" t="str">
        <f>IF(A931="","",IF(A931="[FÓRMULA MANUAL]","",IFERROR(AVERAGEIFS(DATOS!$K$2:$K$20000,DATOS!$A$2:$A$20000,A931,DATOS!$G$2:$G$20000,CONFIG_METADATA!$B$4,DATOS!$I$2:$I$20000,"Orquesta/Banda/Conjunto"),"")))</f>
        <v/>
      </c>
      <c r="D931" t="str">
        <f>IF(A931="","",IF(A931="[FÓRMULA MANUAL]","",IFERROR(AVERAGEIFS(DATOS!$K$2:$K$20000,DATOS!$A$2:$A$20000,A931,DATOS!$G$2:$G$20000,CONFIG_METADATA!$B$4,DATOS!$I$2:$I$20000,"Conjunto"),"")))</f>
        <v/>
      </c>
      <c r="E931" t="str">
        <f>IF(A931="","",IF(A931="[FÓRMULA MANUAL]","",IFERROR(SUMPRODUCT((DATOS!$A$2:$A$20000=A931)*(DATOS!$G$2:$G$20000=CONFIG_METADATA!$B$4)*(COUNTIF(CONFIG_ASIGNATURAS!$B$7:$B$27,DATOS!$I$2:$I$20000)&gt;0)*(DATOS!$K$2:$K$20000))/SUMPRODUCT((DATOS!$A$2:$A$20000=A931)*(DATOS!$G$2:$G$20000=CONFIG_METADATA!$B$4)*(COUNTIF(CONFIG_ASIGNATURAS!$B$7:$B$27,DATOS!$I$2:$I$20000)&gt;0)*1),"")))</f>
        <v/>
      </c>
      <c r="H931" t="str">
        <f>IF(G931="","",IF(G931="[FÓRMULA MANUAL]","",IFERROR(AVERAGEIFS(DATOS!$K$2:$K$20000,DATOS!$A$2:$A$20000,G931,DATOS!$G$2:$G$20000,CONFIG_METADATA!$B$4,DATOS!$I$2:$I$20000,"Lenguaje Musical"),"")))</f>
        <v/>
      </c>
      <c r="I931" t="str">
        <f>IF(G931="","",IF(G931="[FÓRMULA MANUAL]","",IFERROR(AVERAGEIFS(DATOS!$K$2:$K$20000,DATOS!$A$2:$A$20000,G931,DATOS!$G$2:$G$20000,CONFIG_METADATA!$B$4,DATOS!$I$2:$I$20000,"Orquesta/Banda/Conjunto"),"")))</f>
        <v/>
      </c>
      <c r="J931" t="str">
        <f>IF(G931="","",IF(G931="[FÓRMULA MANUAL]","",IFERROR(AVERAGEIFS(DATOS!$K$2:$K$20000,DATOS!$A$2:$A$20000,G931,DATOS!$G$2:$G$20000,CONFIG_METADATA!$B$4,DATOS!$I$2:$I$20000,"Conjunto"),"")))</f>
        <v/>
      </c>
      <c r="K931" t="str">
        <f>IF(G931="","",IF(G931="[FÓRMULA MANUAL]","",IFERROR(SUMPRODUCT((DATOS!$A$2:$A$20000=G931)*(DATOS!$G$2:$G$20000=CONFIG_METADATA!$B$4)*(COUNTIF(CONFIG_ASIGNATURAS!$B$7:$B$27,DATOS!$I$2:$I$20000)&gt;0)*(DATOS!$K$2:$K$20000))/SUMPRODUCT((DATOS!$A$2:$A$20000=G931)*(DATOS!$G$2:$G$20000=CONFIG_METADATA!$B$4)*(COUNTIF(CONFIG_ASIGNATURAS!$B$7:$B$27,DATOS!$I$2:$I$20000)&gt;0)*1),"")))</f>
        <v/>
      </c>
      <c r="N931" t="str">
        <f>IF(M931="","",IF(M931="[FÓRMULA MANUAL]","",IFERROR(AVERAGEIFS(DATOS!$K$2:$K$20000,DATOS!$A$2:$A$20000,M931,DATOS!$G$2:$G$20000,CONFIG_METADATA!$B$4,DATOS!$I$2:$I$20000,"Armonía"),"")))</f>
        <v/>
      </c>
      <c r="O931" t="str">
        <f>IF(M931="","",IF(M931="[FÓRMULA MANUAL]","",IFERROR(AVERAGEIFS(DATOS!$K$2:$K$20000,DATOS!$A$2:$A$20000,M931,DATOS!$G$2:$G$20000,CONFIG_METADATA!$B$4,DATOS!$I$2:$I$20000,"Orquesta/Banda/Conjunto"),"")))</f>
        <v/>
      </c>
      <c r="P931" t="str">
        <f>IF(M931="","",IF(M931="[FÓRMULA MANUAL]","",IFERROR(AVERAGEIFS(DATOS!$K$2:$K$20000,DATOS!$A$2:$A$20000,M931,DATOS!$G$2:$G$20000,CONFIG_METADATA!$B$4,DATOS!$I$2:$I$20000,"Música de Cámara"),"")))</f>
        <v/>
      </c>
      <c r="Q931" t="str">
        <f>IF(M931="","",IF(M931="[FÓRMULA MANUAL]","",IFERROR(SUMPRODUCT((DATOS!$A$2:$A$20000=M931)*(DATOS!$G$2:$G$20000=CONFIG_METADATA!$B$4)*(COUNTIF(CONFIG_ASIGNATURAS!$B$7:$B$27,DATOS!$I$2:$I$20000)&gt;0)*(DATOS!$K$2:$K$20000))/SUMPRODUCT((DATOS!$A$2:$A$20000=M931)*(DATOS!$G$2:$G$20000=CONFIG_METADATA!$B$4)*(COUNTIF(CONFIG_ASIGNATURAS!$B$7:$B$27,DATOS!$I$2:$I$20000)&gt;0)*1),"")))</f>
        <v/>
      </c>
      <c r="T931" t="str">
        <f>IF(S931="","",IF(S931="[FÓRMULA MANUAL]","",IFERROR(AVERAGEIFS(DATOS!$K$2:$K$20000,DATOS!$A$2:$A$20000,S931,DATOS!$G$2:$G$20000,CONFIG_METADATA!$B$4,DATOS!$I$2:$I$20000,"Armonía"),"")))</f>
        <v/>
      </c>
      <c r="U931" t="str">
        <f>IF(S931="","",IF(S931="[FÓRMULA MANUAL]","",IFERROR(AVERAGEIFS(DATOS!$K$2:$K$20000,DATOS!$A$2:$A$20000,S931,DATOS!$G$2:$G$20000,CONFIG_METADATA!$B$4,DATOS!$I$2:$I$20000,"Orquesta/Banda/Conjunto"),"")))</f>
        <v/>
      </c>
      <c r="V931" t="str">
        <f>IF(S931="","",IF(S931="[FÓRMULA MANUAL]","",IFERROR(AVERAGEIFS(DATOS!$K$2:$K$20000,DATOS!$A$2:$A$20000,S931,DATOS!$G$2:$G$20000,CONFIG_METADATA!$B$4,DATOS!$I$2:$I$20000,"Música de Cámara"),"")))</f>
        <v/>
      </c>
      <c r="W931" t="str">
        <f>IF(S931="","",IF(S931="[FÓRMULA MANUAL]","",IFERROR(SUMPRODUCT((DATOS!$A$2:$A$20000=S931)*(DATOS!$G$2:$G$20000=CONFIG_METADATA!$B$4)*(COUNTIF(CONFIG_ASIGNATURAS!$B$7:$B$27,DATOS!$I$2:$I$20000)&gt;0)*(DATOS!$K$2:$K$20000))/SUMPRODUCT((DATOS!$A$2:$A$20000=S931)*(DATOS!$G$2:$G$20000=CONFIG_METADATA!$B$4)*(COUNTIF(CONFIG_ASIGNATURAS!$B$7:$B$27,DATOS!$I$2:$I$20000)&gt;0)*1),"")))</f>
        <v/>
      </c>
      <c r="Z931" t="str">
        <f>IF(Y931="","",IF(Y931="[FÓRMULA MANUAL]","",IFERROR(AVERAGEIFS(DATOS!$K$2:$K$20000,DATOS!$A$2:$A$20000,Y931,DATOS!$G$2:$G$20000,CONFIG_METADATA!$B$4,DATOS!$I$2:$I$20000,"Análisis"),"")))</f>
        <v/>
      </c>
      <c r="AA931" t="str">
        <f>IF(Y931="","",IF(Y931="[FÓRMULA MANUAL]","",IFERROR(AVERAGEIFS(DATOS!$K$2:$K$20000,DATOS!$A$2:$A$20000,Y931,DATOS!$G$2:$G$20000,CONFIG_METADATA!$B$4,DATOS!$I$2:$I$20000,"Orquesta/Banda/Conjunto"),"")))</f>
        <v/>
      </c>
      <c r="AB931" t="str">
        <f>IF(Y931="","",IF(Y931="[FÓRMULA MANUAL]","",IFERROR(AVERAGEIFS(DATOS!$K$2:$K$20000,DATOS!$A$2:$A$20000,Y931,DATOS!$G$2:$G$20000,CONFIG_METADATA!$B$4,DATOS!$I$2:$I$20000,"Música de Cámara"),"")))</f>
        <v/>
      </c>
      <c r="AC931" t="str">
        <f>IF(Y931="","",IF(Y931="[FÓRMULA MANUAL]","",IFERROR(SUMPRODUCT((DATOS!$A$2:$A$20000=Y931)*(DATOS!$G$2:$G$20000=CONFIG_METADATA!$B$4)*(COUNTIF(CONFIG_ASIGNATURAS!$B$7:$B$27,DATOS!$I$2:$I$20000)&gt;0)*(DATOS!$K$2:$K$20000))/SUMPRODUCT((DATOS!$A$2:$A$20000=Y931)*(DATOS!$G$2:$G$20000=CONFIG_METADATA!$B$4)*(COUNTIF(CONFIG_ASIGNATURAS!$B$7:$B$27,DATOS!$I$2:$I$20000)&gt;0)*1),"")))</f>
        <v/>
      </c>
      <c r="AF931" t="str">
        <f>IF(AE931="","",IF(AE931="[FÓRMULA MANUAL]","",IFERROR(AVERAGEIFS(DATOS!$K$2:$K$20000,DATOS!$A$2:$A$20000,AE931,DATOS!$G$2:$G$20000,CONFIG_METADATA!$B$4,DATOS!$I$2:$I$20000,"Análisis"),"")))</f>
        <v/>
      </c>
      <c r="AG931" t="str">
        <f>IF(AE931="","",IF(AE931="[FÓRMULA MANUAL]","",IFERROR(AVERAGEIFS(DATOS!$K$2:$K$20000,DATOS!$A$2:$A$20000,AE931,DATOS!$G$2:$G$20000,CONFIG_METADATA!$B$4,DATOS!$I$2:$I$20000,"Orquesta/Banda/Conjunto"),"")))</f>
        <v/>
      </c>
      <c r="AH931" t="str">
        <f>IF(AE931="","",IF(AE931="[FÓRMULA MANUAL]","",IFERROR(AVERAGEIFS(DATOS!$K$2:$K$20000,DATOS!$A$2:$A$20000,AE931,DATOS!$G$2:$G$20000,CONFIG_METADATA!$B$4,DATOS!$I$2:$I$20000,"Música de Cámara"),"")))</f>
        <v/>
      </c>
      <c r="AI931" t="str">
        <f>IF(AE931="","",IF(AE931="[FÓRMULA MANUAL]","",IFERROR(SUMPRODUCT((DATOS!$A$2:$A$20000=AE931)*(DATOS!$G$2:$G$20000=CONFIG_METADATA!$B$4)*(COUNTIF(CONFIG_ASIGNATURAS!$B$7:$B$27,DATOS!$I$2:$I$20000)&gt;0)*(DATOS!$K$2:$K$20000))/SUMPRODUCT((DATOS!$A$2:$A$20000=AE931)*(DATOS!$G$2:$G$20000=CONFIG_METADATA!$B$4)*(COUNTIF(CONFIG_ASIGNATURAS!$B$7:$B$27,DATOS!$I$2:$I$20000)&gt;0)*1),"")))</f>
        <v/>
      </c>
    </row>
    <row r="932" spans="2:35" x14ac:dyDescent="0.2">
      <c r="B932" t="str">
        <f>IF(A932="","",IF(A932="[FÓRMULA MANUAL]","",IFERROR(AVERAGEIFS(DATOS!$K$2:$K$20000,DATOS!$A$2:$A$20000,A932,DATOS!$G$2:$G$20000,CONFIG_METADATA!$B$4,DATOS!$I$2:$I$20000,"Lenguaje Musical"),"")))</f>
        <v/>
      </c>
      <c r="C932" t="str">
        <f>IF(A932="","",IF(A932="[FÓRMULA MANUAL]","",IFERROR(AVERAGEIFS(DATOS!$K$2:$K$20000,DATOS!$A$2:$A$20000,A932,DATOS!$G$2:$G$20000,CONFIG_METADATA!$B$4,DATOS!$I$2:$I$20000,"Orquesta/Banda/Conjunto"),"")))</f>
        <v/>
      </c>
      <c r="D932" t="str">
        <f>IF(A932="","",IF(A932="[FÓRMULA MANUAL]","",IFERROR(AVERAGEIFS(DATOS!$K$2:$K$20000,DATOS!$A$2:$A$20000,A932,DATOS!$G$2:$G$20000,CONFIG_METADATA!$B$4,DATOS!$I$2:$I$20000,"Conjunto"),"")))</f>
        <v/>
      </c>
      <c r="E932" t="str">
        <f>IF(A932="","",IF(A932="[FÓRMULA MANUAL]","",IFERROR(SUMPRODUCT((DATOS!$A$2:$A$20000=A932)*(DATOS!$G$2:$G$20000=CONFIG_METADATA!$B$4)*(COUNTIF(CONFIG_ASIGNATURAS!$B$7:$B$27,DATOS!$I$2:$I$20000)&gt;0)*(DATOS!$K$2:$K$20000))/SUMPRODUCT((DATOS!$A$2:$A$20000=A932)*(DATOS!$G$2:$G$20000=CONFIG_METADATA!$B$4)*(COUNTIF(CONFIG_ASIGNATURAS!$B$7:$B$27,DATOS!$I$2:$I$20000)&gt;0)*1),"")))</f>
        <v/>
      </c>
      <c r="H932" t="str">
        <f>IF(G932="","",IF(G932="[FÓRMULA MANUAL]","",IFERROR(AVERAGEIFS(DATOS!$K$2:$K$20000,DATOS!$A$2:$A$20000,G932,DATOS!$G$2:$G$20000,CONFIG_METADATA!$B$4,DATOS!$I$2:$I$20000,"Lenguaje Musical"),"")))</f>
        <v/>
      </c>
      <c r="I932" t="str">
        <f>IF(G932="","",IF(G932="[FÓRMULA MANUAL]","",IFERROR(AVERAGEIFS(DATOS!$K$2:$K$20000,DATOS!$A$2:$A$20000,G932,DATOS!$G$2:$G$20000,CONFIG_METADATA!$B$4,DATOS!$I$2:$I$20000,"Orquesta/Banda/Conjunto"),"")))</f>
        <v/>
      </c>
      <c r="J932" t="str">
        <f>IF(G932="","",IF(G932="[FÓRMULA MANUAL]","",IFERROR(AVERAGEIFS(DATOS!$K$2:$K$20000,DATOS!$A$2:$A$20000,G932,DATOS!$G$2:$G$20000,CONFIG_METADATA!$B$4,DATOS!$I$2:$I$20000,"Conjunto"),"")))</f>
        <v/>
      </c>
      <c r="K932" t="str">
        <f>IF(G932="","",IF(G932="[FÓRMULA MANUAL]","",IFERROR(SUMPRODUCT((DATOS!$A$2:$A$20000=G932)*(DATOS!$G$2:$G$20000=CONFIG_METADATA!$B$4)*(COUNTIF(CONFIG_ASIGNATURAS!$B$7:$B$27,DATOS!$I$2:$I$20000)&gt;0)*(DATOS!$K$2:$K$20000))/SUMPRODUCT((DATOS!$A$2:$A$20000=G932)*(DATOS!$G$2:$G$20000=CONFIG_METADATA!$B$4)*(COUNTIF(CONFIG_ASIGNATURAS!$B$7:$B$27,DATOS!$I$2:$I$20000)&gt;0)*1),"")))</f>
        <v/>
      </c>
      <c r="N932" t="str">
        <f>IF(M932="","",IF(M932="[FÓRMULA MANUAL]","",IFERROR(AVERAGEIFS(DATOS!$K$2:$K$20000,DATOS!$A$2:$A$20000,M932,DATOS!$G$2:$G$20000,CONFIG_METADATA!$B$4,DATOS!$I$2:$I$20000,"Armonía"),"")))</f>
        <v/>
      </c>
      <c r="O932" t="str">
        <f>IF(M932="","",IF(M932="[FÓRMULA MANUAL]","",IFERROR(AVERAGEIFS(DATOS!$K$2:$K$20000,DATOS!$A$2:$A$20000,M932,DATOS!$G$2:$G$20000,CONFIG_METADATA!$B$4,DATOS!$I$2:$I$20000,"Orquesta/Banda/Conjunto"),"")))</f>
        <v/>
      </c>
      <c r="P932" t="str">
        <f>IF(M932="","",IF(M932="[FÓRMULA MANUAL]","",IFERROR(AVERAGEIFS(DATOS!$K$2:$K$20000,DATOS!$A$2:$A$20000,M932,DATOS!$G$2:$G$20000,CONFIG_METADATA!$B$4,DATOS!$I$2:$I$20000,"Música de Cámara"),"")))</f>
        <v/>
      </c>
      <c r="Q932" t="str">
        <f>IF(M932="","",IF(M932="[FÓRMULA MANUAL]","",IFERROR(SUMPRODUCT((DATOS!$A$2:$A$20000=M932)*(DATOS!$G$2:$G$20000=CONFIG_METADATA!$B$4)*(COUNTIF(CONFIG_ASIGNATURAS!$B$7:$B$27,DATOS!$I$2:$I$20000)&gt;0)*(DATOS!$K$2:$K$20000))/SUMPRODUCT((DATOS!$A$2:$A$20000=M932)*(DATOS!$G$2:$G$20000=CONFIG_METADATA!$B$4)*(COUNTIF(CONFIG_ASIGNATURAS!$B$7:$B$27,DATOS!$I$2:$I$20000)&gt;0)*1),"")))</f>
        <v/>
      </c>
      <c r="T932" t="str">
        <f>IF(S932="","",IF(S932="[FÓRMULA MANUAL]","",IFERROR(AVERAGEIFS(DATOS!$K$2:$K$20000,DATOS!$A$2:$A$20000,S932,DATOS!$G$2:$G$20000,CONFIG_METADATA!$B$4,DATOS!$I$2:$I$20000,"Armonía"),"")))</f>
        <v/>
      </c>
      <c r="U932" t="str">
        <f>IF(S932="","",IF(S932="[FÓRMULA MANUAL]","",IFERROR(AVERAGEIFS(DATOS!$K$2:$K$20000,DATOS!$A$2:$A$20000,S932,DATOS!$G$2:$G$20000,CONFIG_METADATA!$B$4,DATOS!$I$2:$I$20000,"Orquesta/Banda/Conjunto"),"")))</f>
        <v/>
      </c>
      <c r="V932" t="str">
        <f>IF(S932="","",IF(S932="[FÓRMULA MANUAL]","",IFERROR(AVERAGEIFS(DATOS!$K$2:$K$20000,DATOS!$A$2:$A$20000,S932,DATOS!$G$2:$G$20000,CONFIG_METADATA!$B$4,DATOS!$I$2:$I$20000,"Música de Cámara"),"")))</f>
        <v/>
      </c>
      <c r="W932" t="str">
        <f>IF(S932="","",IF(S932="[FÓRMULA MANUAL]","",IFERROR(SUMPRODUCT((DATOS!$A$2:$A$20000=S932)*(DATOS!$G$2:$G$20000=CONFIG_METADATA!$B$4)*(COUNTIF(CONFIG_ASIGNATURAS!$B$7:$B$27,DATOS!$I$2:$I$20000)&gt;0)*(DATOS!$K$2:$K$20000))/SUMPRODUCT((DATOS!$A$2:$A$20000=S932)*(DATOS!$G$2:$G$20000=CONFIG_METADATA!$B$4)*(COUNTIF(CONFIG_ASIGNATURAS!$B$7:$B$27,DATOS!$I$2:$I$20000)&gt;0)*1),"")))</f>
        <v/>
      </c>
      <c r="Z932" t="str">
        <f>IF(Y932="","",IF(Y932="[FÓRMULA MANUAL]","",IFERROR(AVERAGEIFS(DATOS!$K$2:$K$20000,DATOS!$A$2:$A$20000,Y932,DATOS!$G$2:$G$20000,CONFIG_METADATA!$B$4,DATOS!$I$2:$I$20000,"Análisis"),"")))</f>
        <v/>
      </c>
      <c r="AA932" t="str">
        <f>IF(Y932="","",IF(Y932="[FÓRMULA MANUAL]","",IFERROR(AVERAGEIFS(DATOS!$K$2:$K$20000,DATOS!$A$2:$A$20000,Y932,DATOS!$G$2:$G$20000,CONFIG_METADATA!$B$4,DATOS!$I$2:$I$20000,"Orquesta/Banda/Conjunto"),"")))</f>
        <v/>
      </c>
      <c r="AB932" t="str">
        <f>IF(Y932="","",IF(Y932="[FÓRMULA MANUAL]","",IFERROR(AVERAGEIFS(DATOS!$K$2:$K$20000,DATOS!$A$2:$A$20000,Y932,DATOS!$G$2:$G$20000,CONFIG_METADATA!$B$4,DATOS!$I$2:$I$20000,"Música de Cámara"),"")))</f>
        <v/>
      </c>
      <c r="AC932" t="str">
        <f>IF(Y932="","",IF(Y932="[FÓRMULA MANUAL]","",IFERROR(SUMPRODUCT((DATOS!$A$2:$A$20000=Y932)*(DATOS!$G$2:$G$20000=CONFIG_METADATA!$B$4)*(COUNTIF(CONFIG_ASIGNATURAS!$B$7:$B$27,DATOS!$I$2:$I$20000)&gt;0)*(DATOS!$K$2:$K$20000))/SUMPRODUCT((DATOS!$A$2:$A$20000=Y932)*(DATOS!$G$2:$G$20000=CONFIG_METADATA!$B$4)*(COUNTIF(CONFIG_ASIGNATURAS!$B$7:$B$27,DATOS!$I$2:$I$20000)&gt;0)*1),"")))</f>
        <v/>
      </c>
      <c r="AF932" t="str">
        <f>IF(AE932="","",IF(AE932="[FÓRMULA MANUAL]","",IFERROR(AVERAGEIFS(DATOS!$K$2:$K$20000,DATOS!$A$2:$A$20000,AE932,DATOS!$G$2:$G$20000,CONFIG_METADATA!$B$4,DATOS!$I$2:$I$20000,"Análisis"),"")))</f>
        <v/>
      </c>
      <c r="AG932" t="str">
        <f>IF(AE932="","",IF(AE932="[FÓRMULA MANUAL]","",IFERROR(AVERAGEIFS(DATOS!$K$2:$K$20000,DATOS!$A$2:$A$20000,AE932,DATOS!$G$2:$G$20000,CONFIG_METADATA!$B$4,DATOS!$I$2:$I$20000,"Orquesta/Banda/Conjunto"),"")))</f>
        <v/>
      </c>
      <c r="AH932" t="str">
        <f>IF(AE932="","",IF(AE932="[FÓRMULA MANUAL]","",IFERROR(AVERAGEIFS(DATOS!$K$2:$K$20000,DATOS!$A$2:$A$20000,AE932,DATOS!$G$2:$G$20000,CONFIG_METADATA!$B$4,DATOS!$I$2:$I$20000,"Música de Cámara"),"")))</f>
        <v/>
      </c>
      <c r="AI932" t="str">
        <f>IF(AE932="","",IF(AE932="[FÓRMULA MANUAL]","",IFERROR(SUMPRODUCT((DATOS!$A$2:$A$20000=AE932)*(DATOS!$G$2:$G$20000=CONFIG_METADATA!$B$4)*(COUNTIF(CONFIG_ASIGNATURAS!$B$7:$B$27,DATOS!$I$2:$I$20000)&gt;0)*(DATOS!$K$2:$K$20000))/SUMPRODUCT((DATOS!$A$2:$A$20000=AE932)*(DATOS!$G$2:$G$20000=CONFIG_METADATA!$B$4)*(COUNTIF(CONFIG_ASIGNATURAS!$B$7:$B$27,DATOS!$I$2:$I$20000)&gt;0)*1),"")))</f>
        <v/>
      </c>
    </row>
    <row r="933" spans="2:35" x14ac:dyDescent="0.2">
      <c r="B933" t="str">
        <f>IF(A933="","",IF(A933="[FÓRMULA MANUAL]","",IFERROR(AVERAGEIFS(DATOS!$K$2:$K$20000,DATOS!$A$2:$A$20000,A933,DATOS!$G$2:$G$20000,CONFIG_METADATA!$B$4,DATOS!$I$2:$I$20000,"Lenguaje Musical"),"")))</f>
        <v/>
      </c>
      <c r="C933" t="str">
        <f>IF(A933="","",IF(A933="[FÓRMULA MANUAL]","",IFERROR(AVERAGEIFS(DATOS!$K$2:$K$20000,DATOS!$A$2:$A$20000,A933,DATOS!$G$2:$G$20000,CONFIG_METADATA!$B$4,DATOS!$I$2:$I$20000,"Orquesta/Banda/Conjunto"),"")))</f>
        <v/>
      </c>
      <c r="D933" t="str">
        <f>IF(A933="","",IF(A933="[FÓRMULA MANUAL]","",IFERROR(AVERAGEIFS(DATOS!$K$2:$K$20000,DATOS!$A$2:$A$20000,A933,DATOS!$G$2:$G$20000,CONFIG_METADATA!$B$4,DATOS!$I$2:$I$20000,"Conjunto"),"")))</f>
        <v/>
      </c>
      <c r="E933" t="str">
        <f>IF(A933="","",IF(A933="[FÓRMULA MANUAL]","",IFERROR(SUMPRODUCT((DATOS!$A$2:$A$20000=A933)*(DATOS!$G$2:$G$20000=CONFIG_METADATA!$B$4)*(COUNTIF(CONFIG_ASIGNATURAS!$B$7:$B$27,DATOS!$I$2:$I$20000)&gt;0)*(DATOS!$K$2:$K$20000))/SUMPRODUCT((DATOS!$A$2:$A$20000=A933)*(DATOS!$G$2:$G$20000=CONFIG_METADATA!$B$4)*(COUNTIF(CONFIG_ASIGNATURAS!$B$7:$B$27,DATOS!$I$2:$I$20000)&gt;0)*1),"")))</f>
        <v/>
      </c>
      <c r="H933" t="str">
        <f>IF(G933="","",IF(G933="[FÓRMULA MANUAL]","",IFERROR(AVERAGEIFS(DATOS!$K$2:$K$20000,DATOS!$A$2:$A$20000,G933,DATOS!$G$2:$G$20000,CONFIG_METADATA!$B$4,DATOS!$I$2:$I$20000,"Lenguaje Musical"),"")))</f>
        <v/>
      </c>
      <c r="I933" t="str">
        <f>IF(G933="","",IF(G933="[FÓRMULA MANUAL]","",IFERROR(AVERAGEIFS(DATOS!$K$2:$K$20000,DATOS!$A$2:$A$20000,G933,DATOS!$G$2:$G$20000,CONFIG_METADATA!$B$4,DATOS!$I$2:$I$20000,"Orquesta/Banda/Conjunto"),"")))</f>
        <v/>
      </c>
      <c r="J933" t="str">
        <f>IF(G933="","",IF(G933="[FÓRMULA MANUAL]","",IFERROR(AVERAGEIFS(DATOS!$K$2:$K$20000,DATOS!$A$2:$A$20000,G933,DATOS!$G$2:$G$20000,CONFIG_METADATA!$B$4,DATOS!$I$2:$I$20000,"Conjunto"),"")))</f>
        <v/>
      </c>
      <c r="K933" t="str">
        <f>IF(G933="","",IF(G933="[FÓRMULA MANUAL]","",IFERROR(SUMPRODUCT((DATOS!$A$2:$A$20000=G933)*(DATOS!$G$2:$G$20000=CONFIG_METADATA!$B$4)*(COUNTIF(CONFIG_ASIGNATURAS!$B$7:$B$27,DATOS!$I$2:$I$20000)&gt;0)*(DATOS!$K$2:$K$20000))/SUMPRODUCT((DATOS!$A$2:$A$20000=G933)*(DATOS!$G$2:$G$20000=CONFIG_METADATA!$B$4)*(COUNTIF(CONFIG_ASIGNATURAS!$B$7:$B$27,DATOS!$I$2:$I$20000)&gt;0)*1),"")))</f>
        <v/>
      </c>
      <c r="N933" t="str">
        <f>IF(M933="","",IF(M933="[FÓRMULA MANUAL]","",IFERROR(AVERAGEIFS(DATOS!$K$2:$K$20000,DATOS!$A$2:$A$20000,M933,DATOS!$G$2:$G$20000,CONFIG_METADATA!$B$4,DATOS!$I$2:$I$20000,"Armonía"),"")))</f>
        <v/>
      </c>
      <c r="O933" t="str">
        <f>IF(M933="","",IF(M933="[FÓRMULA MANUAL]","",IFERROR(AVERAGEIFS(DATOS!$K$2:$K$20000,DATOS!$A$2:$A$20000,M933,DATOS!$G$2:$G$20000,CONFIG_METADATA!$B$4,DATOS!$I$2:$I$20000,"Orquesta/Banda/Conjunto"),"")))</f>
        <v/>
      </c>
      <c r="P933" t="str">
        <f>IF(M933="","",IF(M933="[FÓRMULA MANUAL]","",IFERROR(AVERAGEIFS(DATOS!$K$2:$K$20000,DATOS!$A$2:$A$20000,M933,DATOS!$G$2:$G$20000,CONFIG_METADATA!$B$4,DATOS!$I$2:$I$20000,"Música de Cámara"),"")))</f>
        <v/>
      </c>
      <c r="Q933" t="str">
        <f>IF(M933="","",IF(M933="[FÓRMULA MANUAL]","",IFERROR(SUMPRODUCT((DATOS!$A$2:$A$20000=M933)*(DATOS!$G$2:$G$20000=CONFIG_METADATA!$B$4)*(COUNTIF(CONFIG_ASIGNATURAS!$B$7:$B$27,DATOS!$I$2:$I$20000)&gt;0)*(DATOS!$K$2:$K$20000))/SUMPRODUCT((DATOS!$A$2:$A$20000=M933)*(DATOS!$G$2:$G$20000=CONFIG_METADATA!$B$4)*(COUNTIF(CONFIG_ASIGNATURAS!$B$7:$B$27,DATOS!$I$2:$I$20000)&gt;0)*1),"")))</f>
        <v/>
      </c>
      <c r="T933" t="str">
        <f>IF(S933="","",IF(S933="[FÓRMULA MANUAL]","",IFERROR(AVERAGEIFS(DATOS!$K$2:$K$20000,DATOS!$A$2:$A$20000,S933,DATOS!$G$2:$G$20000,CONFIG_METADATA!$B$4,DATOS!$I$2:$I$20000,"Armonía"),"")))</f>
        <v/>
      </c>
      <c r="U933" t="str">
        <f>IF(S933="","",IF(S933="[FÓRMULA MANUAL]","",IFERROR(AVERAGEIFS(DATOS!$K$2:$K$20000,DATOS!$A$2:$A$20000,S933,DATOS!$G$2:$G$20000,CONFIG_METADATA!$B$4,DATOS!$I$2:$I$20000,"Orquesta/Banda/Conjunto"),"")))</f>
        <v/>
      </c>
      <c r="V933" t="str">
        <f>IF(S933="","",IF(S933="[FÓRMULA MANUAL]","",IFERROR(AVERAGEIFS(DATOS!$K$2:$K$20000,DATOS!$A$2:$A$20000,S933,DATOS!$G$2:$G$20000,CONFIG_METADATA!$B$4,DATOS!$I$2:$I$20000,"Música de Cámara"),"")))</f>
        <v/>
      </c>
      <c r="W933" t="str">
        <f>IF(S933="","",IF(S933="[FÓRMULA MANUAL]","",IFERROR(SUMPRODUCT((DATOS!$A$2:$A$20000=S933)*(DATOS!$G$2:$G$20000=CONFIG_METADATA!$B$4)*(COUNTIF(CONFIG_ASIGNATURAS!$B$7:$B$27,DATOS!$I$2:$I$20000)&gt;0)*(DATOS!$K$2:$K$20000))/SUMPRODUCT((DATOS!$A$2:$A$20000=S933)*(DATOS!$G$2:$G$20000=CONFIG_METADATA!$B$4)*(COUNTIF(CONFIG_ASIGNATURAS!$B$7:$B$27,DATOS!$I$2:$I$20000)&gt;0)*1),"")))</f>
        <v/>
      </c>
      <c r="Z933" t="str">
        <f>IF(Y933="","",IF(Y933="[FÓRMULA MANUAL]","",IFERROR(AVERAGEIFS(DATOS!$K$2:$K$20000,DATOS!$A$2:$A$20000,Y933,DATOS!$G$2:$G$20000,CONFIG_METADATA!$B$4,DATOS!$I$2:$I$20000,"Análisis"),"")))</f>
        <v/>
      </c>
      <c r="AA933" t="str">
        <f>IF(Y933="","",IF(Y933="[FÓRMULA MANUAL]","",IFERROR(AVERAGEIFS(DATOS!$K$2:$K$20000,DATOS!$A$2:$A$20000,Y933,DATOS!$G$2:$G$20000,CONFIG_METADATA!$B$4,DATOS!$I$2:$I$20000,"Orquesta/Banda/Conjunto"),"")))</f>
        <v/>
      </c>
      <c r="AB933" t="str">
        <f>IF(Y933="","",IF(Y933="[FÓRMULA MANUAL]","",IFERROR(AVERAGEIFS(DATOS!$K$2:$K$20000,DATOS!$A$2:$A$20000,Y933,DATOS!$G$2:$G$20000,CONFIG_METADATA!$B$4,DATOS!$I$2:$I$20000,"Música de Cámara"),"")))</f>
        <v/>
      </c>
      <c r="AC933" t="str">
        <f>IF(Y933="","",IF(Y933="[FÓRMULA MANUAL]","",IFERROR(SUMPRODUCT((DATOS!$A$2:$A$20000=Y933)*(DATOS!$G$2:$G$20000=CONFIG_METADATA!$B$4)*(COUNTIF(CONFIG_ASIGNATURAS!$B$7:$B$27,DATOS!$I$2:$I$20000)&gt;0)*(DATOS!$K$2:$K$20000))/SUMPRODUCT((DATOS!$A$2:$A$20000=Y933)*(DATOS!$G$2:$G$20000=CONFIG_METADATA!$B$4)*(COUNTIF(CONFIG_ASIGNATURAS!$B$7:$B$27,DATOS!$I$2:$I$20000)&gt;0)*1),"")))</f>
        <v/>
      </c>
      <c r="AF933" t="str">
        <f>IF(AE933="","",IF(AE933="[FÓRMULA MANUAL]","",IFERROR(AVERAGEIFS(DATOS!$K$2:$K$20000,DATOS!$A$2:$A$20000,AE933,DATOS!$G$2:$G$20000,CONFIG_METADATA!$B$4,DATOS!$I$2:$I$20000,"Análisis"),"")))</f>
        <v/>
      </c>
      <c r="AG933" t="str">
        <f>IF(AE933="","",IF(AE933="[FÓRMULA MANUAL]","",IFERROR(AVERAGEIFS(DATOS!$K$2:$K$20000,DATOS!$A$2:$A$20000,AE933,DATOS!$G$2:$G$20000,CONFIG_METADATA!$B$4,DATOS!$I$2:$I$20000,"Orquesta/Banda/Conjunto"),"")))</f>
        <v/>
      </c>
      <c r="AH933" t="str">
        <f>IF(AE933="","",IF(AE933="[FÓRMULA MANUAL]","",IFERROR(AVERAGEIFS(DATOS!$K$2:$K$20000,DATOS!$A$2:$A$20000,AE933,DATOS!$G$2:$G$20000,CONFIG_METADATA!$B$4,DATOS!$I$2:$I$20000,"Música de Cámara"),"")))</f>
        <v/>
      </c>
      <c r="AI933" t="str">
        <f>IF(AE933="","",IF(AE933="[FÓRMULA MANUAL]","",IFERROR(SUMPRODUCT((DATOS!$A$2:$A$20000=AE933)*(DATOS!$G$2:$G$20000=CONFIG_METADATA!$B$4)*(COUNTIF(CONFIG_ASIGNATURAS!$B$7:$B$27,DATOS!$I$2:$I$20000)&gt;0)*(DATOS!$K$2:$K$20000))/SUMPRODUCT((DATOS!$A$2:$A$20000=AE933)*(DATOS!$G$2:$G$20000=CONFIG_METADATA!$B$4)*(COUNTIF(CONFIG_ASIGNATURAS!$B$7:$B$27,DATOS!$I$2:$I$20000)&gt;0)*1),"")))</f>
        <v/>
      </c>
    </row>
    <row r="934" spans="2:35" x14ac:dyDescent="0.2">
      <c r="B934" t="str">
        <f>IF(A934="","",IF(A934="[FÓRMULA MANUAL]","",IFERROR(AVERAGEIFS(DATOS!$K$2:$K$20000,DATOS!$A$2:$A$20000,A934,DATOS!$G$2:$G$20000,CONFIG_METADATA!$B$4,DATOS!$I$2:$I$20000,"Lenguaje Musical"),"")))</f>
        <v/>
      </c>
      <c r="C934" t="str">
        <f>IF(A934="","",IF(A934="[FÓRMULA MANUAL]","",IFERROR(AVERAGEIFS(DATOS!$K$2:$K$20000,DATOS!$A$2:$A$20000,A934,DATOS!$G$2:$G$20000,CONFIG_METADATA!$B$4,DATOS!$I$2:$I$20000,"Orquesta/Banda/Conjunto"),"")))</f>
        <v/>
      </c>
      <c r="D934" t="str">
        <f>IF(A934="","",IF(A934="[FÓRMULA MANUAL]","",IFERROR(AVERAGEIFS(DATOS!$K$2:$K$20000,DATOS!$A$2:$A$20000,A934,DATOS!$G$2:$G$20000,CONFIG_METADATA!$B$4,DATOS!$I$2:$I$20000,"Conjunto"),"")))</f>
        <v/>
      </c>
      <c r="E934" t="str">
        <f>IF(A934="","",IF(A934="[FÓRMULA MANUAL]","",IFERROR(SUMPRODUCT((DATOS!$A$2:$A$20000=A934)*(DATOS!$G$2:$G$20000=CONFIG_METADATA!$B$4)*(COUNTIF(CONFIG_ASIGNATURAS!$B$7:$B$27,DATOS!$I$2:$I$20000)&gt;0)*(DATOS!$K$2:$K$20000))/SUMPRODUCT((DATOS!$A$2:$A$20000=A934)*(DATOS!$G$2:$G$20000=CONFIG_METADATA!$B$4)*(COUNTIF(CONFIG_ASIGNATURAS!$B$7:$B$27,DATOS!$I$2:$I$20000)&gt;0)*1),"")))</f>
        <v/>
      </c>
      <c r="H934" t="str">
        <f>IF(G934="","",IF(G934="[FÓRMULA MANUAL]","",IFERROR(AVERAGEIFS(DATOS!$K$2:$K$20000,DATOS!$A$2:$A$20000,G934,DATOS!$G$2:$G$20000,CONFIG_METADATA!$B$4,DATOS!$I$2:$I$20000,"Lenguaje Musical"),"")))</f>
        <v/>
      </c>
      <c r="I934" t="str">
        <f>IF(G934="","",IF(G934="[FÓRMULA MANUAL]","",IFERROR(AVERAGEIFS(DATOS!$K$2:$K$20000,DATOS!$A$2:$A$20000,G934,DATOS!$G$2:$G$20000,CONFIG_METADATA!$B$4,DATOS!$I$2:$I$20000,"Orquesta/Banda/Conjunto"),"")))</f>
        <v/>
      </c>
      <c r="J934" t="str">
        <f>IF(G934="","",IF(G934="[FÓRMULA MANUAL]","",IFERROR(AVERAGEIFS(DATOS!$K$2:$K$20000,DATOS!$A$2:$A$20000,G934,DATOS!$G$2:$G$20000,CONFIG_METADATA!$B$4,DATOS!$I$2:$I$20000,"Conjunto"),"")))</f>
        <v/>
      </c>
      <c r="K934" t="str">
        <f>IF(G934="","",IF(G934="[FÓRMULA MANUAL]","",IFERROR(SUMPRODUCT((DATOS!$A$2:$A$20000=G934)*(DATOS!$G$2:$G$20000=CONFIG_METADATA!$B$4)*(COUNTIF(CONFIG_ASIGNATURAS!$B$7:$B$27,DATOS!$I$2:$I$20000)&gt;0)*(DATOS!$K$2:$K$20000))/SUMPRODUCT((DATOS!$A$2:$A$20000=G934)*(DATOS!$G$2:$G$20000=CONFIG_METADATA!$B$4)*(COUNTIF(CONFIG_ASIGNATURAS!$B$7:$B$27,DATOS!$I$2:$I$20000)&gt;0)*1),"")))</f>
        <v/>
      </c>
      <c r="N934" t="str">
        <f>IF(M934="","",IF(M934="[FÓRMULA MANUAL]","",IFERROR(AVERAGEIFS(DATOS!$K$2:$K$20000,DATOS!$A$2:$A$20000,M934,DATOS!$G$2:$G$20000,CONFIG_METADATA!$B$4,DATOS!$I$2:$I$20000,"Armonía"),"")))</f>
        <v/>
      </c>
      <c r="O934" t="str">
        <f>IF(M934="","",IF(M934="[FÓRMULA MANUAL]","",IFERROR(AVERAGEIFS(DATOS!$K$2:$K$20000,DATOS!$A$2:$A$20000,M934,DATOS!$G$2:$G$20000,CONFIG_METADATA!$B$4,DATOS!$I$2:$I$20000,"Orquesta/Banda/Conjunto"),"")))</f>
        <v/>
      </c>
      <c r="P934" t="str">
        <f>IF(M934="","",IF(M934="[FÓRMULA MANUAL]","",IFERROR(AVERAGEIFS(DATOS!$K$2:$K$20000,DATOS!$A$2:$A$20000,M934,DATOS!$G$2:$G$20000,CONFIG_METADATA!$B$4,DATOS!$I$2:$I$20000,"Música de Cámara"),"")))</f>
        <v/>
      </c>
      <c r="Q934" t="str">
        <f>IF(M934="","",IF(M934="[FÓRMULA MANUAL]","",IFERROR(SUMPRODUCT((DATOS!$A$2:$A$20000=M934)*(DATOS!$G$2:$G$20000=CONFIG_METADATA!$B$4)*(COUNTIF(CONFIG_ASIGNATURAS!$B$7:$B$27,DATOS!$I$2:$I$20000)&gt;0)*(DATOS!$K$2:$K$20000))/SUMPRODUCT((DATOS!$A$2:$A$20000=M934)*(DATOS!$G$2:$G$20000=CONFIG_METADATA!$B$4)*(COUNTIF(CONFIG_ASIGNATURAS!$B$7:$B$27,DATOS!$I$2:$I$20000)&gt;0)*1),"")))</f>
        <v/>
      </c>
      <c r="T934" t="str">
        <f>IF(S934="","",IF(S934="[FÓRMULA MANUAL]","",IFERROR(AVERAGEIFS(DATOS!$K$2:$K$20000,DATOS!$A$2:$A$20000,S934,DATOS!$G$2:$G$20000,CONFIG_METADATA!$B$4,DATOS!$I$2:$I$20000,"Armonía"),"")))</f>
        <v/>
      </c>
      <c r="U934" t="str">
        <f>IF(S934="","",IF(S934="[FÓRMULA MANUAL]","",IFERROR(AVERAGEIFS(DATOS!$K$2:$K$20000,DATOS!$A$2:$A$20000,S934,DATOS!$G$2:$G$20000,CONFIG_METADATA!$B$4,DATOS!$I$2:$I$20000,"Orquesta/Banda/Conjunto"),"")))</f>
        <v/>
      </c>
      <c r="V934" t="str">
        <f>IF(S934="","",IF(S934="[FÓRMULA MANUAL]","",IFERROR(AVERAGEIFS(DATOS!$K$2:$K$20000,DATOS!$A$2:$A$20000,S934,DATOS!$G$2:$G$20000,CONFIG_METADATA!$B$4,DATOS!$I$2:$I$20000,"Música de Cámara"),"")))</f>
        <v/>
      </c>
      <c r="W934" t="str">
        <f>IF(S934="","",IF(S934="[FÓRMULA MANUAL]","",IFERROR(SUMPRODUCT((DATOS!$A$2:$A$20000=S934)*(DATOS!$G$2:$G$20000=CONFIG_METADATA!$B$4)*(COUNTIF(CONFIG_ASIGNATURAS!$B$7:$B$27,DATOS!$I$2:$I$20000)&gt;0)*(DATOS!$K$2:$K$20000))/SUMPRODUCT((DATOS!$A$2:$A$20000=S934)*(DATOS!$G$2:$G$20000=CONFIG_METADATA!$B$4)*(COUNTIF(CONFIG_ASIGNATURAS!$B$7:$B$27,DATOS!$I$2:$I$20000)&gt;0)*1),"")))</f>
        <v/>
      </c>
      <c r="Z934" t="str">
        <f>IF(Y934="","",IF(Y934="[FÓRMULA MANUAL]","",IFERROR(AVERAGEIFS(DATOS!$K$2:$K$20000,DATOS!$A$2:$A$20000,Y934,DATOS!$G$2:$G$20000,CONFIG_METADATA!$B$4,DATOS!$I$2:$I$20000,"Análisis"),"")))</f>
        <v/>
      </c>
      <c r="AA934" t="str">
        <f>IF(Y934="","",IF(Y934="[FÓRMULA MANUAL]","",IFERROR(AVERAGEIFS(DATOS!$K$2:$K$20000,DATOS!$A$2:$A$20000,Y934,DATOS!$G$2:$G$20000,CONFIG_METADATA!$B$4,DATOS!$I$2:$I$20000,"Orquesta/Banda/Conjunto"),"")))</f>
        <v/>
      </c>
      <c r="AB934" t="str">
        <f>IF(Y934="","",IF(Y934="[FÓRMULA MANUAL]","",IFERROR(AVERAGEIFS(DATOS!$K$2:$K$20000,DATOS!$A$2:$A$20000,Y934,DATOS!$G$2:$G$20000,CONFIG_METADATA!$B$4,DATOS!$I$2:$I$20000,"Música de Cámara"),"")))</f>
        <v/>
      </c>
      <c r="AC934" t="str">
        <f>IF(Y934="","",IF(Y934="[FÓRMULA MANUAL]","",IFERROR(SUMPRODUCT((DATOS!$A$2:$A$20000=Y934)*(DATOS!$G$2:$G$20000=CONFIG_METADATA!$B$4)*(COUNTIF(CONFIG_ASIGNATURAS!$B$7:$B$27,DATOS!$I$2:$I$20000)&gt;0)*(DATOS!$K$2:$K$20000))/SUMPRODUCT((DATOS!$A$2:$A$20000=Y934)*(DATOS!$G$2:$G$20000=CONFIG_METADATA!$B$4)*(COUNTIF(CONFIG_ASIGNATURAS!$B$7:$B$27,DATOS!$I$2:$I$20000)&gt;0)*1),"")))</f>
        <v/>
      </c>
      <c r="AF934" t="str">
        <f>IF(AE934="","",IF(AE934="[FÓRMULA MANUAL]","",IFERROR(AVERAGEIFS(DATOS!$K$2:$K$20000,DATOS!$A$2:$A$20000,AE934,DATOS!$G$2:$G$20000,CONFIG_METADATA!$B$4,DATOS!$I$2:$I$20000,"Análisis"),"")))</f>
        <v/>
      </c>
      <c r="AG934" t="str">
        <f>IF(AE934="","",IF(AE934="[FÓRMULA MANUAL]","",IFERROR(AVERAGEIFS(DATOS!$K$2:$K$20000,DATOS!$A$2:$A$20000,AE934,DATOS!$G$2:$G$20000,CONFIG_METADATA!$B$4,DATOS!$I$2:$I$20000,"Orquesta/Banda/Conjunto"),"")))</f>
        <v/>
      </c>
      <c r="AH934" t="str">
        <f>IF(AE934="","",IF(AE934="[FÓRMULA MANUAL]","",IFERROR(AVERAGEIFS(DATOS!$K$2:$K$20000,DATOS!$A$2:$A$20000,AE934,DATOS!$G$2:$G$20000,CONFIG_METADATA!$B$4,DATOS!$I$2:$I$20000,"Música de Cámara"),"")))</f>
        <v/>
      </c>
      <c r="AI934" t="str">
        <f>IF(AE934="","",IF(AE934="[FÓRMULA MANUAL]","",IFERROR(SUMPRODUCT((DATOS!$A$2:$A$20000=AE934)*(DATOS!$G$2:$G$20000=CONFIG_METADATA!$B$4)*(COUNTIF(CONFIG_ASIGNATURAS!$B$7:$B$27,DATOS!$I$2:$I$20000)&gt;0)*(DATOS!$K$2:$K$20000))/SUMPRODUCT((DATOS!$A$2:$A$20000=AE934)*(DATOS!$G$2:$G$20000=CONFIG_METADATA!$B$4)*(COUNTIF(CONFIG_ASIGNATURAS!$B$7:$B$27,DATOS!$I$2:$I$20000)&gt;0)*1),"")))</f>
        <v/>
      </c>
    </row>
    <row r="935" spans="2:35" x14ac:dyDescent="0.2">
      <c r="B935" t="str">
        <f>IF(A935="","",IF(A935="[FÓRMULA MANUAL]","",IFERROR(AVERAGEIFS(DATOS!$K$2:$K$20000,DATOS!$A$2:$A$20000,A935,DATOS!$G$2:$G$20000,CONFIG_METADATA!$B$4,DATOS!$I$2:$I$20000,"Lenguaje Musical"),"")))</f>
        <v/>
      </c>
      <c r="C935" t="str">
        <f>IF(A935="","",IF(A935="[FÓRMULA MANUAL]","",IFERROR(AVERAGEIFS(DATOS!$K$2:$K$20000,DATOS!$A$2:$A$20000,A935,DATOS!$G$2:$G$20000,CONFIG_METADATA!$B$4,DATOS!$I$2:$I$20000,"Orquesta/Banda/Conjunto"),"")))</f>
        <v/>
      </c>
      <c r="D935" t="str">
        <f>IF(A935="","",IF(A935="[FÓRMULA MANUAL]","",IFERROR(AVERAGEIFS(DATOS!$K$2:$K$20000,DATOS!$A$2:$A$20000,A935,DATOS!$G$2:$G$20000,CONFIG_METADATA!$B$4,DATOS!$I$2:$I$20000,"Conjunto"),"")))</f>
        <v/>
      </c>
      <c r="E935" t="str">
        <f>IF(A935="","",IF(A935="[FÓRMULA MANUAL]","",IFERROR(SUMPRODUCT((DATOS!$A$2:$A$20000=A935)*(DATOS!$G$2:$G$20000=CONFIG_METADATA!$B$4)*(COUNTIF(CONFIG_ASIGNATURAS!$B$7:$B$27,DATOS!$I$2:$I$20000)&gt;0)*(DATOS!$K$2:$K$20000))/SUMPRODUCT((DATOS!$A$2:$A$20000=A935)*(DATOS!$G$2:$G$20000=CONFIG_METADATA!$B$4)*(COUNTIF(CONFIG_ASIGNATURAS!$B$7:$B$27,DATOS!$I$2:$I$20000)&gt;0)*1),"")))</f>
        <v/>
      </c>
      <c r="H935" t="str">
        <f>IF(G935="","",IF(G935="[FÓRMULA MANUAL]","",IFERROR(AVERAGEIFS(DATOS!$K$2:$K$20000,DATOS!$A$2:$A$20000,G935,DATOS!$G$2:$G$20000,CONFIG_METADATA!$B$4,DATOS!$I$2:$I$20000,"Lenguaje Musical"),"")))</f>
        <v/>
      </c>
      <c r="I935" t="str">
        <f>IF(G935="","",IF(G935="[FÓRMULA MANUAL]","",IFERROR(AVERAGEIFS(DATOS!$K$2:$K$20000,DATOS!$A$2:$A$20000,G935,DATOS!$G$2:$G$20000,CONFIG_METADATA!$B$4,DATOS!$I$2:$I$20000,"Orquesta/Banda/Conjunto"),"")))</f>
        <v/>
      </c>
      <c r="J935" t="str">
        <f>IF(G935="","",IF(G935="[FÓRMULA MANUAL]","",IFERROR(AVERAGEIFS(DATOS!$K$2:$K$20000,DATOS!$A$2:$A$20000,G935,DATOS!$G$2:$G$20000,CONFIG_METADATA!$B$4,DATOS!$I$2:$I$20000,"Conjunto"),"")))</f>
        <v/>
      </c>
      <c r="K935" t="str">
        <f>IF(G935="","",IF(G935="[FÓRMULA MANUAL]","",IFERROR(SUMPRODUCT((DATOS!$A$2:$A$20000=G935)*(DATOS!$G$2:$G$20000=CONFIG_METADATA!$B$4)*(COUNTIF(CONFIG_ASIGNATURAS!$B$7:$B$27,DATOS!$I$2:$I$20000)&gt;0)*(DATOS!$K$2:$K$20000))/SUMPRODUCT((DATOS!$A$2:$A$20000=G935)*(DATOS!$G$2:$G$20000=CONFIG_METADATA!$B$4)*(COUNTIF(CONFIG_ASIGNATURAS!$B$7:$B$27,DATOS!$I$2:$I$20000)&gt;0)*1),"")))</f>
        <v/>
      </c>
      <c r="N935" t="str">
        <f>IF(M935="","",IF(M935="[FÓRMULA MANUAL]","",IFERROR(AVERAGEIFS(DATOS!$K$2:$K$20000,DATOS!$A$2:$A$20000,M935,DATOS!$G$2:$G$20000,CONFIG_METADATA!$B$4,DATOS!$I$2:$I$20000,"Armonía"),"")))</f>
        <v/>
      </c>
      <c r="O935" t="str">
        <f>IF(M935="","",IF(M935="[FÓRMULA MANUAL]","",IFERROR(AVERAGEIFS(DATOS!$K$2:$K$20000,DATOS!$A$2:$A$20000,M935,DATOS!$G$2:$G$20000,CONFIG_METADATA!$B$4,DATOS!$I$2:$I$20000,"Orquesta/Banda/Conjunto"),"")))</f>
        <v/>
      </c>
      <c r="P935" t="str">
        <f>IF(M935="","",IF(M935="[FÓRMULA MANUAL]","",IFERROR(AVERAGEIFS(DATOS!$K$2:$K$20000,DATOS!$A$2:$A$20000,M935,DATOS!$G$2:$G$20000,CONFIG_METADATA!$B$4,DATOS!$I$2:$I$20000,"Música de Cámara"),"")))</f>
        <v/>
      </c>
      <c r="Q935" t="str">
        <f>IF(M935="","",IF(M935="[FÓRMULA MANUAL]","",IFERROR(SUMPRODUCT((DATOS!$A$2:$A$20000=M935)*(DATOS!$G$2:$G$20000=CONFIG_METADATA!$B$4)*(COUNTIF(CONFIG_ASIGNATURAS!$B$7:$B$27,DATOS!$I$2:$I$20000)&gt;0)*(DATOS!$K$2:$K$20000))/SUMPRODUCT((DATOS!$A$2:$A$20000=M935)*(DATOS!$G$2:$G$20000=CONFIG_METADATA!$B$4)*(COUNTIF(CONFIG_ASIGNATURAS!$B$7:$B$27,DATOS!$I$2:$I$20000)&gt;0)*1),"")))</f>
        <v/>
      </c>
      <c r="T935" t="str">
        <f>IF(S935="","",IF(S935="[FÓRMULA MANUAL]","",IFERROR(AVERAGEIFS(DATOS!$K$2:$K$20000,DATOS!$A$2:$A$20000,S935,DATOS!$G$2:$G$20000,CONFIG_METADATA!$B$4,DATOS!$I$2:$I$20000,"Armonía"),"")))</f>
        <v/>
      </c>
      <c r="U935" t="str">
        <f>IF(S935="","",IF(S935="[FÓRMULA MANUAL]","",IFERROR(AVERAGEIFS(DATOS!$K$2:$K$20000,DATOS!$A$2:$A$20000,S935,DATOS!$G$2:$G$20000,CONFIG_METADATA!$B$4,DATOS!$I$2:$I$20000,"Orquesta/Banda/Conjunto"),"")))</f>
        <v/>
      </c>
      <c r="V935" t="str">
        <f>IF(S935="","",IF(S935="[FÓRMULA MANUAL]","",IFERROR(AVERAGEIFS(DATOS!$K$2:$K$20000,DATOS!$A$2:$A$20000,S935,DATOS!$G$2:$G$20000,CONFIG_METADATA!$B$4,DATOS!$I$2:$I$20000,"Música de Cámara"),"")))</f>
        <v/>
      </c>
      <c r="W935" t="str">
        <f>IF(S935="","",IF(S935="[FÓRMULA MANUAL]","",IFERROR(SUMPRODUCT((DATOS!$A$2:$A$20000=S935)*(DATOS!$G$2:$G$20000=CONFIG_METADATA!$B$4)*(COUNTIF(CONFIG_ASIGNATURAS!$B$7:$B$27,DATOS!$I$2:$I$20000)&gt;0)*(DATOS!$K$2:$K$20000))/SUMPRODUCT((DATOS!$A$2:$A$20000=S935)*(DATOS!$G$2:$G$20000=CONFIG_METADATA!$B$4)*(COUNTIF(CONFIG_ASIGNATURAS!$B$7:$B$27,DATOS!$I$2:$I$20000)&gt;0)*1),"")))</f>
        <v/>
      </c>
      <c r="Z935" t="str">
        <f>IF(Y935="","",IF(Y935="[FÓRMULA MANUAL]","",IFERROR(AVERAGEIFS(DATOS!$K$2:$K$20000,DATOS!$A$2:$A$20000,Y935,DATOS!$G$2:$G$20000,CONFIG_METADATA!$B$4,DATOS!$I$2:$I$20000,"Análisis"),"")))</f>
        <v/>
      </c>
      <c r="AA935" t="str">
        <f>IF(Y935="","",IF(Y935="[FÓRMULA MANUAL]","",IFERROR(AVERAGEIFS(DATOS!$K$2:$K$20000,DATOS!$A$2:$A$20000,Y935,DATOS!$G$2:$G$20000,CONFIG_METADATA!$B$4,DATOS!$I$2:$I$20000,"Orquesta/Banda/Conjunto"),"")))</f>
        <v/>
      </c>
      <c r="AB935" t="str">
        <f>IF(Y935="","",IF(Y935="[FÓRMULA MANUAL]","",IFERROR(AVERAGEIFS(DATOS!$K$2:$K$20000,DATOS!$A$2:$A$20000,Y935,DATOS!$G$2:$G$20000,CONFIG_METADATA!$B$4,DATOS!$I$2:$I$20000,"Música de Cámara"),"")))</f>
        <v/>
      </c>
      <c r="AC935" t="str">
        <f>IF(Y935="","",IF(Y935="[FÓRMULA MANUAL]","",IFERROR(SUMPRODUCT((DATOS!$A$2:$A$20000=Y935)*(DATOS!$G$2:$G$20000=CONFIG_METADATA!$B$4)*(COUNTIF(CONFIG_ASIGNATURAS!$B$7:$B$27,DATOS!$I$2:$I$20000)&gt;0)*(DATOS!$K$2:$K$20000))/SUMPRODUCT((DATOS!$A$2:$A$20000=Y935)*(DATOS!$G$2:$G$20000=CONFIG_METADATA!$B$4)*(COUNTIF(CONFIG_ASIGNATURAS!$B$7:$B$27,DATOS!$I$2:$I$20000)&gt;0)*1),"")))</f>
        <v/>
      </c>
      <c r="AF935" t="str">
        <f>IF(AE935="","",IF(AE935="[FÓRMULA MANUAL]","",IFERROR(AVERAGEIFS(DATOS!$K$2:$K$20000,DATOS!$A$2:$A$20000,AE935,DATOS!$G$2:$G$20000,CONFIG_METADATA!$B$4,DATOS!$I$2:$I$20000,"Análisis"),"")))</f>
        <v/>
      </c>
      <c r="AG935" t="str">
        <f>IF(AE935="","",IF(AE935="[FÓRMULA MANUAL]","",IFERROR(AVERAGEIFS(DATOS!$K$2:$K$20000,DATOS!$A$2:$A$20000,AE935,DATOS!$G$2:$G$20000,CONFIG_METADATA!$B$4,DATOS!$I$2:$I$20000,"Orquesta/Banda/Conjunto"),"")))</f>
        <v/>
      </c>
      <c r="AH935" t="str">
        <f>IF(AE935="","",IF(AE935="[FÓRMULA MANUAL]","",IFERROR(AVERAGEIFS(DATOS!$K$2:$K$20000,DATOS!$A$2:$A$20000,AE935,DATOS!$G$2:$G$20000,CONFIG_METADATA!$B$4,DATOS!$I$2:$I$20000,"Música de Cámara"),"")))</f>
        <v/>
      </c>
      <c r="AI935" t="str">
        <f>IF(AE935="","",IF(AE935="[FÓRMULA MANUAL]","",IFERROR(SUMPRODUCT((DATOS!$A$2:$A$20000=AE935)*(DATOS!$G$2:$G$20000=CONFIG_METADATA!$B$4)*(COUNTIF(CONFIG_ASIGNATURAS!$B$7:$B$27,DATOS!$I$2:$I$20000)&gt;0)*(DATOS!$K$2:$K$20000))/SUMPRODUCT((DATOS!$A$2:$A$20000=AE935)*(DATOS!$G$2:$G$20000=CONFIG_METADATA!$B$4)*(COUNTIF(CONFIG_ASIGNATURAS!$B$7:$B$27,DATOS!$I$2:$I$20000)&gt;0)*1),"")))</f>
        <v/>
      </c>
    </row>
    <row r="936" spans="2:35" x14ac:dyDescent="0.2">
      <c r="B936" t="str">
        <f>IF(A936="","",IF(A936="[FÓRMULA MANUAL]","",IFERROR(AVERAGEIFS(DATOS!$K$2:$K$20000,DATOS!$A$2:$A$20000,A936,DATOS!$G$2:$G$20000,CONFIG_METADATA!$B$4,DATOS!$I$2:$I$20000,"Lenguaje Musical"),"")))</f>
        <v/>
      </c>
      <c r="C936" t="str">
        <f>IF(A936="","",IF(A936="[FÓRMULA MANUAL]","",IFERROR(AVERAGEIFS(DATOS!$K$2:$K$20000,DATOS!$A$2:$A$20000,A936,DATOS!$G$2:$G$20000,CONFIG_METADATA!$B$4,DATOS!$I$2:$I$20000,"Orquesta/Banda/Conjunto"),"")))</f>
        <v/>
      </c>
      <c r="D936" t="str">
        <f>IF(A936="","",IF(A936="[FÓRMULA MANUAL]","",IFERROR(AVERAGEIFS(DATOS!$K$2:$K$20000,DATOS!$A$2:$A$20000,A936,DATOS!$G$2:$G$20000,CONFIG_METADATA!$B$4,DATOS!$I$2:$I$20000,"Conjunto"),"")))</f>
        <v/>
      </c>
      <c r="E936" t="str">
        <f>IF(A936="","",IF(A936="[FÓRMULA MANUAL]","",IFERROR(SUMPRODUCT((DATOS!$A$2:$A$20000=A936)*(DATOS!$G$2:$G$20000=CONFIG_METADATA!$B$4)*(COUNTIF(CONFIG_ASIGNATURAS!$B$7:$B$27,DATOS!$I$2:$I$20000)&gt;0)*(DATOS!$K$2:$K$20000))/SUMPRODUCT((DATOS!$A$2:$A$20000=A936)*(DATOS!$G$2:$G$20000=CONFIG_METADATA!$B$4)*(COUNTIF(CONFIG_ASIGNATURAS!$B$7:$B$27,DATOS!$I$2:$I$20000)&gt;0)*1),"")))</f>
        <v/>
      </c>
      <c r="H936" t="str">
        <f>IF(G936="","",IF(G936="[FÓRMULA MANUAL]","",IFERROR(AVERAGEIFS(DATOS!$K$2:$K$20000,DATOS!$A$2:$A$20000,G936,DATOS!$G$2:$G$20000,CONFIG_METADATA!$B$4,DATOS!$I$2:$I$20000,"Lenguaje Musical"),"")))</f>
        <v/>
      </c>
      <c r="I936" t="str">
        <f>IF(G936="","",IF(G936="[FÓRMULA MANUAL]","",IFERROR(AVERAGEIFS(DATOS!$K$2:$K$20000,DATOS!$A$2:$A$20000,G936,DATOS!$G$2:$G$20000,CONFIG_METADATA!$B$4,DATOS!$I$2:$I$20000,"Orquesta/Banda/Conjunto"),"")))</f>
        <v/>
      </c>
      <c r="J936" t="str">
        <f>IF(G936="","",IF(G936="[FÓRMULA MANUAL]","",IFERROR(AVERAGEIFS(DATOS!$K$2:$K$20000,DATOS!$A$2:$A$20000,G936,DATOS!$G$2:$G$20000,CONFIG_METADATA!$B$4,DATOS!$I$2:$I$20000,"Conjunto"),"")))</f>
        <v/>
      </c>
      <c r="K936" t="str">
        <f>IF(G936="","",IF(G936="[FÓRMULA MANUAL]","",IFERROR(SUMPRODUCT((DATOS!$A$2:$A$20000=G936)*(DATOS!$G$2:$G$20000=CONFIG_METADATA!$B$4)*(COUNTIF(CONFIG_ASIGNATURAS!$B$7:$B$27,DATOS!$I$2:$I$20000)&gt;0)*(DATOS!$K$2:$K$20000))/SUMPRODUCT((DATOS!$A$2:$A$20000=G936)*(DATOS!$G$2:$G$20000=CONFIG_METADATA!$B$4)*(COUNTIF(CONFIG_ASIGNATURAS!$B$7:$B$27,DATOS!$I$2:$I$20000)&gt;0)*1),"")))</f>
        <v/>
      </c>
      <c r="N936" t="str">
        <f>IF(M936="","",IF(M936="[FÓRMULA MANUAL]","",IFERROR(AVERAGEIFS(DATOS!$K$2:$K$20000,DATOS!$A$2:$A$20000,M936,DATOS!$G$2:$G$20000,CONFIG_METADATA!$B$4,DATOS!$I$2:$I$20000,"Armonía"),"")))</f>
        <v/>
      </c>
      <c r="O936" t="str">
        <f>IF(M936="","",IF(M936="[FÓRMULA MANUAL]","",IFERROR(AVERAGEIFS(DATOS!$K$2:$K$20000,DATOS!$A$2:$A$20000,M936,DATOS!$G$2:$G$20000,CONFIG_METADATA!$B$4,DATOS!$I$2:$I$20000,"Orquesta/Banda/Conjunto"),"")))</f>
        <v/>
      </c>
      <c r="P936" t="str">
        <f>IF(M936="","",IF(M936="[FÓRMULA MANUAL]","",IFERROR(AVERAGEIFS(DATOS!$K$2:$K$20000,DATOS!$A$2:$A$20000,M936,DATOS!$G$2:$G$20000,CONFIG_METADATA!$B$4,DATOS!$I$2:$I$20000,"Música de Cámara"),"")))</f>
        <v/>
      </c>
      <c r="Q936" t="str">
        <f>IF(M936="","",IF(M936="[FÓRMULA MANUAL]","",IFERROR(SUMPRODUCT((DATOS!$A$2:$A$20000=M936)*(DATOS!$G$2:$G$20000=CONFIG_METADATA!$B$4)*(COUNTIF(CONFIG_ASIGNATURAS!$B$7:$B$27,DATOS!$I$2:$I$20000)&gt;0)*(DATOS!$K$2:$K$20000))/SUMPRODUCT((DATOS!$A$2:$A$20000=M936)*(DATOS!$G$2:$G$20000=CONFIG_METADATA!$B$4)*(COUNTIF(CONFIG_ASIGNATURAS!$B$7:$B$27,DATOS!$I$2:$I$20000)&gt;0)*1),"")))</f>
        <v/>
      </c>
      <c r="T936" t="str">
        <f>IF(S936="","",IF(S936="[FÓRMULA MANUAL]","",IFERROR(AVERAGEIFS(DATOS!$K$2:$K$20000,DATOS!$A$2:$A$20000,S936,DATOS!$G$2:$G$20000,CONFIG_METADATA!$B$4,DATOS!$I$2:$I$20000,"Armonía"),"")))</f>
        <v/>
      </c>
      <c r="U936" t="str">
        <f>IF(S936="","",IF(S936="[FÓRMULA MANUAL]","",IFERROR(AVERAGEIFS(DATOS!$K$2:$K$20000,DATOS!$A$2:$A$20000,S936,DATOS!$G$2:$G$20000,CONFIG_METADATA!$B$4,DATOS!$I$2:$I$20000,"Orquesta/Banda/Conjunto"),"")))</f>
        <v/>
      </c>
      <c r="V936" t="str">
        <f>IF(S936="","",IF(S936="[FÓRMULA MANUAL]","",IFERROR(AVERAGEIFS(DATOS!$K$2:$K$20000,DATOS!$A$2:$A$20000,S936,DATOS!$G$2:$G$20000,CONFIG_METADATA!$B$4,DATOS!$I$2:$I$20000,"Música de Cámara"),"")))</f>
        <v/>
      </c>
      <c r="W936" t="str">
        <f>IF(S936="","",IF(S936="[FÓRMULA MANUAL]","",IFERROR(SUMPRODUCT((DATOS!$A$2:$A$20000=S936)*(DATOS!$G$2:$G$20000=CONFIG_METADATA!$B$4)*(COUNTIF(CONFIG_ASIGNATURAS!$B$7:$B$27,DATOS!$I$2:$I$20000)&gt;0)*(DATOS!$K$2:$K$20000))/SUMPRODUCT((DATOS!$A$2:$A$20000=S936)*(DATOS!$G$2:$G$20000=CONFIG_METADATA!$B$4)*(COUNTIF(CONFIG_ASIGNATURAS!$B$7:$B$27,DATOS!$I$2:$I$20000)&gt;0)*1),"")))</f>
        <v/>
      </c>
      <c r="Z936" t="str">
        <f>IF(Y936="","",IF(Y936="[FÓRMULA MANUAL]","",IFERROR(AVERAGEIFS(DATOS!$K$2:$K$20000,DATOS!$A$2:$A$20000,Y936,DATOS!$G$2:$G$20000,CONFIG_METADATA!$B$4,DATOS!$I$2:$I$20000,"Análisis"),"")))</f>
        <v/>
      </c>
      <c r="AA936" t="str">
        <f>IF(Y936="","",IF(Y936="[FÓRMULA MANUAL]","",IFERROR(AVERAGEIFS(DATOS!$K$2:$K$20000,DATOS!$A$2:$A$20000,Y936,DATOS!$G$2:$G$20000,CONFIG_METADATA!$B$4,DATOS!$I$2:$I$20000,"Orquesta/Banda/Conjunto"),"")))</f>
        <v/>
      </c>
      <c r="AB936" t="str">
        <f>IF(Y936="","",IF(Y936="[FÓRMULA MANUAL]","",IFERROR(AVERAGEIFS(DATOS!$K$2:$K$20000,DATOS!$A$2:$A$20000,Y936,DATOS!$G$2:$G$20000,CONFIG_METADATA!$B$4,DATOS!$I$2:$I$20000,"Música de Cámara"),"")))</f>
        <v/>
      </c>
      <c r="AC936" t="str">
        <f>IF(Y936="","",IF(Y936="[FÓRMULA MANUAL]","",IFERROR(SUMPRODUCT((DATOS!$A$2:$A$20000=Y936)*(DATOS!$G$2:$G$20000=CONFIG_METADATA!$B$4)*(COUNTIF(CONFIG_ASIGNATURAS!$B$7:$B$27,DATOS!$I$2:$I$20000)&gt;0)*(DATOS!$K$2:$K$20000))/SUMPRODUCT((DATOS!$A$2:$A$20000=Y936)*(DATOS!$G$2:$G$20000=CONFIG_METADATA!$B$4)*(COUNTIF(CONFIG_ASIGNATURAS!$B$7:$B$27,DATOS!$I$2:$I$20000)&gt;0)*1),"")))</f>
        <v/>
      </c>
      <c r="AF936" t="str">
        <f>IF(AE936="","",IF(AE936="[FÓRMULA MANUAL]","",IFERROR(AVERAGEIFS(DATOS!$K$2:$K$20000,DATOS!$A$2:$A$20000,AE936,DATOS!$G$2:$G$20000,CONFIG_METADATA!$B$4,DATOS!$I$2:$I$20000,"Análisis"),"")))</f>
        <v/>
      </c>
      <c r="AG936" t="str">
        <f>IF(AE936="","",IF(AE936="[FÓRMULA MANUAL]","",IFERROR(AVERAGEIFS(DATOS!$K$2:$K$20000,DATOS!$A$2:$A$20000,AE936,DATOS!$G$2:$G$20000,CONFIG_METADATA!$B$4,DATOS!$I$2:$I$20000,"Orquesta/Banda/Conjunto"),"")))</f>
        <v/>
      </c>
      <c r="AH936" t="str">
        <f>IF(AE936="","",IF(AE936="[FÓRMULA MANUAL]","",IFERROR(AVERAGEIFS(DATOS!$K$2:$K$20000,DATOS!$A$2:$A$20000,AE936,DATOS!$G$2:$G$20000,CONFIG_METADATA!$B$4,DATOS!$I$2:$I$20000,"Música de Cámara"),"")))</f>
        <v/>
      </c>
      <c r="AI936" t="str">
        <f>IF(AE936="","",IF(AE936="[FÓRMULA MANUAL]","",IFERROR(SUMPRODUCT((DATOS!$A$2:$A$20000=AE936)*(DATOS!$G$2:$G$20000=CONFIG_METADATA!$B$4)*(COUNTIF(CONFIG_ASIGNATURAS!$B$7:$B$27,DATOS!$I$2:$I$20000)&gt;0)*(DATOS!$K$2:$K$20000))/SUMPRODUCT((DATOS!$A$2:$A$20000=AE936)*(DATOS!$G$2:$G$20000=CONFIG_METADATA!$B$4)*(COUNTIF(CONFIG_ASIGNATURAS!$B$7:$B$27,DATOS!$I$2:$I$20000)&gt;0)*1),"")))</f>
        <v/>
      </c>
    </row>
    <row r="937" spans="2:35" x14ac:dyDescent="0.2">
      <c r="B937" t="str">
        <f>IF(A937="","",IF(A937="[FÓRMULA MANUAL]","",IFERROR(AVERAGEIFS(DATOS!$K$2:$K$20000,DATOS!$A$2:$A$20000,A937,DATOS!$G$2:$G$20000,CONFIG_METADATA!$B$4,DATOS!$I$2:$I$20000,"Lenguaje Musical"),"")))</f>
        <v/>
      </c>
      <c r="C937" t="str">
        <f>IF(A937="","",IF(A937="[FÓRMULA MANUAL]","",IFERROR(AVERAGEIFS(DATOS!$K$2:$K$20000,DATOS!$A$2:$A$20000,A937,DATOS!$G$2:$G$20000,CONFIG_METADATA!$B$4,DATOS!$I$2:$I$20000,"Orquesta/Banda/Conjunto"),"")))</f>
        <v/>
      </c>
      <c r="D937" t="str">
        <f>IF(A937="","",IF(A937="[FÓRMULA MANUAL]","",IFERROR(AVERAGEIFS(DATOS!$K$2:$K$20000,DATOS!$A$2:$A$20000,A937,DATOS!$G$2:$G$20000,CONFIG_METADATA!$B$4,DATOS!$I$2:$I$20000,"Conjunto"),"")))</f>
        <v/>
      </c>
      <c r="E937" t="str">
        <f>IF(A937="","",IF(A937="[FÓRMULA MANUAL]","",IFERROR(SUMPRODUCT((DATOS!$A$2:$A$20000=A937)*(DATOS!$G$2:$G$20000=CONFIG_METADATA!$B$4)*(COUNTIF(CONFIG_ASIGNATURAS!$B$7:$B$27,DATOS!$I$2:$I$20000)&gt;0)*(DATOS!$K$2:$K$20000))/SUMPRODUCT((DATOS!$A$2:$A$20000=A937)*(DATOS!$G$2:$G$20000=CONFIG_METADATA!$B$4)*(COUNTIF(CONFIG_ASIGNATURAS!$B$7:$B$27,DATOS!$I$2:$I$20000)&gt;0)*1),"")))</f>
        <v/>
      </c>
      <c r="H937" t="str">
        <f>IF(G937="","",IF(G937="[FÓRMULA MANUAL]","",IFERROR(AVERAGEIFS(DATOS!$K$2:$K$20000,DATOS!$A$2:$A$20000,G937,DATOS!$G$2:$G$20000,CONFIG_METADATA!$B$4,DATOS!$I$2:$I$20000,"Lenguaje Musical"),"")))</f>
        <v/>
      </c>
      <c r="I937" t="str">
        <f>IF(G937="","",IF(G937="[FÓRMULA MANUAL]","",IFERROR(AVERAGEIFS(DATOS!$K$2:$K$20000,DATOS!$A$2:$A$20000,G937,DATOS!$G$2:$G$20000,CONFIG_METADATA!$B$4,DATOS!$I$2:$I$20000,"Orquesta/Banda/Conjunto"),"")))</f>
        <v/>
      </c>
      <c r="J937" t="str">
        <f>IF(G937="","",IF(G937="[FÓRMULA MANUAL]","",IFERROR(AVERAGEIFS(DATOS!$K$2:$K$20000,DATOS!$A$2:$A$20000,G937,DATOS!$G$2:$G$20000,CONFIG_METADATA!$B$4,DATOS!$I$2:$I$20000,"Conjunto"),"")))</f>
        <v/>
      </c>
      <c r="K937" t="str">
        <f>IF(G937="","",IF(G937="[FÓRMULA MANUAL]","",IFERROR(SUMPRODUCT((DATOS!$A$2:$A$20000=G937)*(DATOS!$G$2:$G$20000=CONFIG_METADATA!$B$4)*(COUNTIF(CONFIG_ASIGNATURAS!$B$7:$B$27,DATOS!$I$2:$I$20000)&gt;0)*(DATOS!$K$2:$K$20000))/SUMPRODUCT((DATOS!$A$2:$A$20000=G937)*(DATOS!$G$2:$G$20000=CONFIG_METADATA!$B$4)*(COUNTIF(CONFIG_ASIGNATURAS!$B$7:$B$27,DATOS!$I$2:$I$20000)&gt;0)*1),"")))</f>
        <v/>
      </c>
      <c r="N937" t="str">
        <f>IF(M937="","",IF(M937="[FÓRMULA MANUAL]","",IFERROR(AVERAGEIFS(DATOS!$K$2:$K$20000,DATOS!$A$2:$A$20000,M937,DATOS!$G$2:$G$20000,CONFIG_METADATA!$B$4,DATOS!$I$2:$I$20000,"Armonía"),"")))</f>
        <v/>
      </c>
      <c r="O937" t="str">
        <f>IF(M937="","",IF(M937="[FÓRMULA MANUAL]","",IFERROR(AVERAGEIFS(DATOS!$K$2:$K$20000,DATOS!$A$2:$A$20000,M937,DATOS!$G$2:$G$20000,CONFIG_METADATA!$B$4,DATOS!$I$2:$I$20000,"Orquesta/Banda/Conjunto"),"")))</f>
        <v/>
      </c>
      <c r="P937" t="str">
        <f>IF(M937="","",IF(M937="[FÓRMULA MANUAL]","",IFERROR(AVERAGEIFS(DATOS!$K$2:$K$20000,DATOS!$A$2:$A$20000,M937,DATOS!$G$2:$G$20000,CONFIG_METADATA!$B$4,DATOS!$I$2:$I$20000,"Música de Cámara"),"")))</f>
        <v/>
      </c>
      <c r="Q937" t="str">
        <f>IF(M937="","",IF(M937="[FÓRMULA MANUAL]","",IFERROR(SUMPRODUCT((DATOS!$A$2:$A$20000=M937)*(DATOS!$G$2:$G$20000=CONFIG_METADATA!$B$4)*(COUNTIF(CONFIG_ASIGNATURAS!$B$7:$B$27,DATOS!$I$2:$I$20000)&gt;0)*(DATOS!$K$2:$K$20000))/SUMPRODUCT((DATOS!$A$2:$A$20000=M937)*(DATOS!$G$2:$G$20000=CONFIG_METADATA!$B$4)*(COUNTIF(CONFIG_ASIGNATURAS!$B$7:$B$27,DATOS!$I$2:$I$20000)&gt;0)*1),"")))</f>
        <v/>
      </c>
      <c r="T937" t="str">
        <f>IF(S937="","",IF(S937="[FÓRMULA MANUAL]","",IFERROR(AVERAGEIFS(DATOS!$K$2:$K$20000,DATOS!$A$2:$A$20000,S937,DATOS!$G$2:$G$20000,CONFIG_METADATA!$B$4,DATOS!$I$2:$I$20000,"Armonía"),"")))</f>
        <v/>
      </c>
      <c r="U937" t="str">
        <f>IF(S937="","",IF(S937="[FÓRMULA MANUAL]","",IFERROR(AVERAGEIFS(DATOS!$K$2:$K$20000,DATOS!$A$2:$A$20000,S937,DATOS!$G$2:$G$20000,CONFIG_METADATA!$B$4,DATOS!$I$2:$I$20000,"Orquesta/Banda/Conjunto"),"")))</f>
        <v/>
      </c>
      <c r="V937" t="str">
        <f>IF(S937="","",IF(S937="[FÓRMULA MANUAL]","",IFERROR(AVERAGEIFS(DATOS!$K$2:$K$20000,DATOS!$A$2:$A$20000,S937,DATOS!$G$2:$G$20000,CONFIG_METADATA!$B$4,DATOS!$I$2:$I$20000,"Música de Cámara"),"")))</f>
        <v/>
      </c>
      <c r="W937" t="str">
        <f>IF(S937="","",IF(S937="[FÓRMULA MANUAL]","",IFERROR(SUMPRODUCT((DATOS!$A$2:$A$20000=S937)*(DATOS!$G$2:$G$20000=CONFIG_METADATA!$B$4)*(COUNTIF(CONFIG_ASIGNATURAS!$B$7:$B$27,DATOS!$I$2:$I$20000)&gt;0)*(DATOS!$K$2:$K$20000))/SUMPRODUCT((DATOS!$A$2:$A$20000=S937)*(DATOS!$G$2:$G$20000=CONFIG_METADATA!$B$4)*(COUNTIF(CONFIG_ASIGNATURAS!$B$7:$B$27,DATOS!$I$2:$I$20000)&gt;0)*1),"")))</f>
        <v/>
      </c>
      <c r="Z937" t="str">
        <f>IF(Y937="","",IF(Y937="[FÓRMULA MANUAL]","",IFERROR(AVERAGEIFS(DATOS!$K$2:$K$20000,DATOS!$A$2:$A$20000,Y937,DATOS!$G$2:$G$20000,CONFIG_METADATA!$B$4,DATOS!$I$2:$I$20000,"Análisis"),"")))</f>
        <v/>
      </c>
      <c r="AA937" t="str">
        <f>IF(Y937="","",IF(Y937="[FÓRMULA MANUAL]","",IFERROR(AVERAGEIFS(DATOS!$K$2:$K$20000,DATOS!$A$2:$A$20000,Y937,DATOS!$G$2:$G$20000,CONFIG_METADATA!$B$4,DATOS!$I$2:$I$20000,"Orquesta/Banda/Conjunto"),"")))</f>
        <v/>
      </c>
      <c r="AB937" t="str">
        <f>IF(Y937="","",IF(Y937="[FÓRMULA MANUAL]","",IFERROR(AVERAGEIFS(DATOS!$K$2:$K$20000,DATOS!$A$2:$A$20000,Y937,DATOS!$G$2:$G$20000,CONFIG_METADATA!$B$4,DATOS!$I$2:$I$20000,"Música de Cámara"),"")))</f>
        <v/>
      </c>
      <c r="AC937" t="str">
        <f>IF(Y937="","",IF(Y937="[FÓRMULA MANUAL]","",IFERROR(SUMPRODUCT((DATOS!$A$2:$A$20000=Y937)*(DATOS!$G$2:$G$20000=CONFIG_METADATA!$B$4)*(COUNTIF(CONFIG_ASIGNATURAS!$B$7:$B$27,DATOS!$I$2:$I$20000)&gt;0)*(DATOS!$K$2:$K$20000))/SUMPRODUCT((DATOS!$A$2:$A$20000=Y937)*(DATOS!$G$2:$G$20000=CONFIG_METADATA!$B$4)*(COUNTIF(CONFIG_ASIGNATURAS!$B$7:$B$27,DATOS!$I$2:$I$20000)&gt;0)*1),"")))</f>
        <v/>
      </c>
      <c r="AF937" t="str">
        <f>IF(AE937="","",IF(AE937="[FÓRMULA MANUAL]","",IFERROR(AVERAGEIFS(DATOS!$K$2:$K$20000,DATOS!$A$2:$A$20000,AE937,DATOS!$G$2:$G$20000,CONFIG_METADATA!$B$4,DATOS!$I$2:$I$20000,"Análisis"),"")))</f>
        <v/>
      </c>
      <c r="AG937" t="str">
        <f>IF(AE937="","",IF(AE937="[FÓRMULA MANUAL]","",IFERROR(AVERAGEIFS(DATOS!$K$2:$K$20000,DATOS!$A$2:$A$20000,AE937,DATOS!$G$2:$G$20000,CONFIG_METADATA!$B$4,DATOS!$I$2:$I$20000,"Orquesta/Banda/Conjunto"),"")))</f>
        <v/>
      </c>
      <c r="AH937" t="str">
        <f>IF(AE937="","",IF(AE937="[FÓRMULA MANUAL]","",IFERROR(AVERAGEIFS(DATOS!$K$2:$K$20000,DATOS!$A$2:$A$20000,AE937,DATOS!$G$2:$G$20000,CONFIG_METADATA!$B$4,DATOS!$I$2:$I$20000,"Música de Cámara"),"")))</f>
        <v/>
      </c>
      <c r="AI937" t="str">
        <f>IF(AE937="","",IF(AE937="[FÓRMULA MANUAL]","",IFERROR(SUMPRODUCT((DATOS!$A$2:$A$20000=AE937)*(DATOS!$G$2:$G$20000=CONFIG_METADATA!$B$4)*(COUNTIF(CONFIG_ASIGNATURAS!$B$7:$B$27,DATOS!$I$2:$I$20000)&gt;0)*(DATOS!$K$2:$K$20000))/SUMPRODUCT((DATOS!$A$2:$A$20000=AE937)*(DATOS!$G$2:$G$20000=CONFIG_METADATA!$B$4)*(COUNTIF(CONFIG_ASIGNATURAS!$B$7:$B$27,DATOS!$I$2:$I$20000)&gt;0)*1),"")))</f>
        <v/>
      </c>
    </row>
    <row r="938" spans="2:35" x14ac:dyDescent="0.2">
      <c r="B938" t="str">
        <f>IF(A938="","",IF(A938="[FÓRMULA MANUAL]","",IFERROR(AVERAGEIFS(DATOS!$K$2:$K$20000,DATOS!$A$2:$A$20000,A938,DATOS!$G$2:$G$20000,CONFIG_METADATA!$B$4,DATOS!$I$2:$I$20000,"Lenguaje Musical"),"")))</f>
        <v/>
      </c>
      <c r="C938" t="str">
        <f>IF(A938="","",IF(A938="[FÓRMULA MANUAL]","",IFERROR(AVERAGEIFS(DATOS!$K$2:$K$20000,DATOS!$A$2:$A$20000,A938,DATOS!$G$2:$G$20000,CONFIG_METADATA!$B$4,DATOS!$I$2:$I$20000,"Orquesta/Banda/Conjunto"),"")))</f>
        <v/>
      </c>
      <c r="D938" t="str">
        <f>IF(A938="","",IF(A938="[FÓRMULA MANUAL]","",IFERROR(AVERAGEIFS(DATOS!$K$2:$K$20000,DATOS!$A$2:$A$20000,A938,DATOS!$G$2:$G$20000,CONFIG_METADATA!$B$4,DATOS!$I$2:$I$20000,"Conjunto"),"")))</f>
        <v/>
      </c>
      <c r="E938" t="str">
        <f>IF(A938="","",IF(A938="[FÓRMULA MANUAL]","",IFERROR(SUMPRODUCT((DATOS!$A$2:$A$20000=A938)*(DATOS!$G$2:$G$20000=CONFIG_METADATA!$B$4)*(COUNTIF(CONFIG_ASIGNATURAS!$B$7:$B$27,DATOS!$I$2:$I$20000)&gt;0)*(DATOS!$K$2:$K$20000))/SUMPRODUCT((DATOS!$A$2:$A$20000=A938)*(DATOS!$G$2:$G$20000=CONFIG_METADATA!$B$4)*(COUNTIF(CONFIG_ASIGNATURAS!$B$7:$B$27,DATOS!$I$2:$I$20000)&gt;0)*1),"")))</f>
        <v/>
      </c>
      <c r="H938" t="str">
        <f>IF(G938="","",IF(G938="[FÓRMULA MANUAL]","",IFERROR(AVERAGEIFS(DATOS!$K$2:$K$20000,DATOS!$A$2:$A$20000,G938,DATOS!$G$2:$G$20000,CONFIG_METADATA!$B$4,DATOS!$I$2:$I$20000,"Lenguaje Musical"),"")))</f>
        <v/>
      </c>
      <c r="I938" t="str">
        <f>IF(G938="","",IF(G938="[FÓRMULA MANUAL]","",IFERROR(AVERAGEIFS(DATOS!$K$2:$K$20000,DATOS!$A$2:$A$20000,G938,DATOS!$G$2:$G$20000,CONFIG_METADATA!$B$4,DATOS!$I$2:$I$20000,"Orquesta/Banda/Conjunto"),"")))</f>
        <v/>
      </c>
      <c r="J938" t="str">
        <f>IF(G938="","",IF(G938="[FÓRMULA MANUAL]","",IFERROR(AVERAGEIFS(DATOS!$K$2:$K$20000,DATOS!$A$2:$A$20000,G938,DATOS!$G$2:$G$20000,CONFIG_METADATA!$B$4,DATOS!$I$2:$I$20000,"Conjunto"),"")))</f>
        <v/>
      </c>
      <c r="K938" t="str">
        <f>IF(G938="","",IF(G938="[FÓRMULA MANUAL]","",IFERROR(SUMPRODUCT((DATOS!$A$2:$A$20000=G938)*(DATOS!$G$2:$G$20000=CONFIG_METADATA!$B$4)*(COUNTIF(CONFIG_ASIGNATURAS!$B$7:$B$27,DATOS!$I$2:$I$20000)&gt;0)*(DATOS!$K$2:$K$20000))/SUMPRODUCT((DATOS!$A$2:$A$20000=G938)*(DATOS!$G$2:$G$20000=CONFIG_METADATA!$B$4)*(COUNTIF(CONFIG_ASIGNATURAS!$B$7:$B$27,DATOS!$I$2:$I$20000)&gt;0)*1),"")))</f>
        <v/>
      </c>
      <c r="N938" t="str">
        <f>IF(M938="","",IF(M938="[FÓRMULA MANUAL]","",IFERROR(AVERAGEIFS(DATOS!$K$2:$K$20000,DATOS!$A$2:$A$20000,M938,DATOS!$G$2:$G$20000,CONFIG_METADATA!$B$4,DATOS!$I$2:$I$20000,"Armonía"),"")))</f>
        <v/>
      </c>
      <c r="O938" t="str">
        <f>IF(M938="","",IF(M938="[FÓRMULA MANUAL]","",IFERROR(AVERAGEIFS(DATOS!$K$2:$K$20000,DATOS!$A$2:$A$20000,M938,DATOS!$G$2:$G$20000,CONFIG_METADATA!$B$4,DATOS!$I$2:$I$20000,"Orquesta/Banda/Conjunto"),"")))</f>
        <v/>
      </c>
      <c r="P938" t="str">
        <f>IF(M938="","",IF(M938="[FÓRMULA MANUAL]","",IFERROR(AVERAGEIFS(DATOS!$K$2:$K$20000,DATOS!$A$2:$A$20000,M938,DATOS!$G$2:$G$20000,CONFIG_METADATA!$B$4,DATOS!$I$2:$I$20000,"Música de Cámara"),"")))</f>
        <v/>
      </c>
      <c r="Q938" t="str">
        <f>IF(M938="","",IF(M938="[FÓRMULA MANUAL]","",IFERROR(SUMPRODUCT((DATOS!$A$2:$A$20000=M938)*(DATOS!$G$2:$G$20000=CONFIG_METADATA!$B$4)*(COUNTIF(CONFIG_ASIGNATURAS!$B$7:$B$27,DATOS!$I$2:$I$20000)&gt;0)*(DATOS!$K$2:$K$20000))/SUMPRODUCT((DATOS!$A$2:$A$20000=M938)*(DATOS!$G$2:$G$20000=CONFIG_METADATA!$B$4)*(COUNTIF(CONFIG_ASIGNATURAS!$B$7:$B$27,DATOS!$I$2:$I$20000)&gt;0)*1),"")))</f>
        <v/>
      </c>
      <c r="T938" t="str">
        <f>IF(S938="","",IF(S938="[FÓRMULA MANUAL]","",IFERROR(AVERAGEIFS(DATOS!$K$2:$K$20000,DATOS!$A$2:$A$20000,S938,DATOS!$G$2:$G$20000,CONFIG_METADATA!$B$4,DATOS!$I$2:$I$20000,"Armonía"),"")))</f>
        <v/>
      </c>
      <c r="U938" t="str">
        <f>IF(S938="","",IF(S938="[FÓRMULA MANUAL]","",IFERROR(AVERAGEIFS(DATOS!$K$2:$K$20000,DATOS!$A$2:$A$20000,S938,DATOS!$G$2:$G$20000,CONFIG_METADATA!$B$4,DATOS!$I$2:$I$20000,"Orquesta/Banda/Conjunto"),"")))</f>
        <v/>
      </c>
      <c r="V938" t="str">
        <f>IF(S938="","",IF(S938="[FÓRMULA MANUAL]","",IFERROR(AVERAGEIFS(DATOS!$K$2:$K$20000,DATOS!$A$2:$A$20000,S938,DATOS!$G$2:$G$20000,CONFIG_METADATA!$B$4,DATOS!$I$2:$I$20000,"Música de Cámara"),"")))</f>
        <v/>
      </c>
      <c r="W938" t="str">
        <f>IF(S938="","",IF(S938="[FÓRMULA MANUAL]","",IFERROR(SUMPRODUCT((DATOS!$A$2:$A$20000=S938)*(DATOS!$G$2:$G$20000=CONFIG_METADATA!$B$4)*(COUNTIF(CONFIG_ASIGNATURAS!$B$7:$B$27,DATOS!$I$2:$I$20000)&gt;0)*(DATOS!$K$2:$K$20000))/SUMPRODUCT((DATOS!$A$2:$A$20000=S938)*(DATOS!$G$2:$G$20000=CONFIG_METADATA!$B$4)*(COUNTIF(CONFIG_ASIGNATURAS!$B$7:$B$27,DATOS!$I$2:$I$20000)&gt;0)*1),"")))</f>
        <v/>
      </c>
      <c r="Z938" t="str">
        <f>IF(Y938="","",IF(Y938="[FÓRMULA MANUAL]","",IFERROR(AVERAGEIFS(DATOS!$K$2:$K$20000,DATOS!$A$2:$A$20000,Y938,DATOS!$G$2:$G$20000,CONFIG_METADATA!$B$4,DATOS!$I$2:$I$20000,"Análisis"),"")))</f>
        <v/>
      </c>
      <c r="AA938" t="str">
        <f>IF(Y938="","",IF(Y938="[FÓRMULA MANUAL]","",IFERROR(AVERAGEIFS(DATOS!$K$2:$K$20000,DATOS!$A$2:$A$20000,Y938,DATOS!$G$2:$G$20000,CONFIG_METADATA!$B$4,DATOS!$I$2:$I$20000,"Orquesta/Banda/Conjunto"),"")))</f>
        <v/>
      </c>
      <c r="AB938" t="str">
        <f>IF(Y938="","",IF(Y938="[FÓRMULA MANUAL]","",IFERROR(AVERAGEIFS(DATOS!$K$2:$K$20000,DATOS!$A$2:$A$20000,Y938,DATOS!$G$2:$G$20000,CONFIG_METADATA!$B$4,DATOS!$I$2:$I$20000,"Música de Cámara"),"")))</f>
        <v/>
      </c>
      <c r="AC938" t="str">
        <f>IF(Y938="","",IF(Y938="[FÓRMULA MANUAL]","",IFERROR(SUMPRODUCT((DATOS!$A$2:$A$20000=Y938)*(DATOS!$G$2:$G$20000=CONFIG_METADATA!$B$4)*(COUNTIF(CONFIG_ASIGNATURAS!$B$7:$B$27,DATOS!$I$2:$I$20000)&gt;0)*(DATOS!$K$2:$K$20000))/SUMPRODUCT((DATOS!$A$2:$A$20000=Y938)*(DATOS!$G$2:$G$20000=CONFIG_METADATA!$B$4)*(COUNTIF(CONFIG_ASIGNATURAS!$B$7:$B$27,DATOS!$I$2:$I$20000)&gt;0)*1),"")))</f>
        <v/>
      </c>
      <c r="AF938" t="str">
        <f>IF(AE938="","",IF(AE938="[FÓRMULA MANUAL]","",IFERROR(AVERAGEIFS(DATOS!$K$2:$K$20000,DATOS!$A$2:$A$20000,AE938,DATOS!$G$2:$G$20000,CONFIG_METADATA!$B$4,DATOS!$I$2:$I$20000,"Análisis"),"")))</f>
        <v/>
      </c>
      <c r="AG938" t="str">
        <f>IF(AE938="","",IF(AE938="[FÓRMULA MANUAL]","",IFERROR(AVERAGEIFS(DATOS!$K$2:$K$20000,DATOS!$A$2:$A$20000,AE938,DATOS!$G$2:$G$20000,CONFIG_METADATA!$B$4,DATOS!$I$2:$I$20000,"Orquesta/Banda/Conjunto"),"")))</f>
        <v/>
      </c>
      <c r="AH938" t="str">
        <f>IF(AE938="","",IF(AE938="[FÓRMULA MANUAL]","",IFERROR(AVERAGEIFS(DATOS!$K$2:$K$20000,DATOS!$A$2:$A$20000,AE938,DATOS!$G$2:$G$20000,CONFIG_METADATA!$B$4,DATOS!$I$2:$I$20000,"Música de Cámara"),"")))</f>
        <v/>
      </c>
      <c r="AI938" t="str">
        <f>IF(AE938="","",IF(AE938="[FÓRMULA MANUAL]","",IFERROR(SUMPRODUCT((DATOS!$A$2:$A$20000=AE938)*(DATOS!$G$2:$G$20000=CONFIG_METADATA!$B$4)*(COUNTIF(CONFIG_ASIGNATURAS!$B$7:$B$27,DATOS!$I$2:$I$20000)&gt;0)*(DATOS!$K$2:$K$20000))/SUMPRODUCT((DATOS!$A$2:$A$20000=AE938)*(DATOS!$G$2:$G$20000=CONFIG_METADATA!$B$4)*(COUNTIF(CONFIG_ASIGNATURAS!$B$7:$B$27,DATOS!$I$2:$I$20000)&gt;0)*1),"")))</f>
        <v/>
      </c>
    </row>
    <row r="939" spans="2:35" x14ac:dyDescent="0.2">
      <c r="B939" t="str">
        <f>IF(A939="","",IF(A939="[FÓRMULA MANUAL]","",IFERROR(AVERAGEIFS(DATOS!$K$2:$K$20000,DATOS!$A$2:$A$20000,A939,DATOS!$G$2:$G$20000,CONFIG_METADATA!$B$4,DATOS!$I$2:$I$20000,"Lenguaje Musical"),"")))</f>
        <v/>
      </c>
      <c r="C939" t="str">
        <f>IF(A939="","",IF(A939="[FÓRMULA MANUAL]","",IFERROR(AVERAGEIFS(DATOS!$K$2:$K$20000,DATOS!$A$2:$A$20000,A939,DATOS!$G$2:$G$20000,CONFIG_METADATA!$B$4,DATOS!$I$2:$I$20000,"Orquesta/Banda/Conjunto"),"")))</f>
        <v/>
      </c>
      <c r="D939" t="str">
        <f>IF(A939="","",IF(A939="[FÓRMULA MANUAL]","",IFERROR(AVERAGEIFS(DATOS!$K$2:$K$20000,DATOS!$A$2:$A$20000,A939,DATOS!$G$2:$G$20000,CONFIG_METADATA!$B$4,DATOS!$I$2:$I$20000,"Conjunto"),"")))</f>
        <v/>
      </c>
      <c r="E939" t="str">
        <f>IF(A939="","",IF(A939="[FÓRMULA MANUAL]","",IFERROR(SUMPRODUCT((DATOS!$A$2:$A$20000=A939)*(DATOS!$G$2:$G$20000=CONFIG_METADATA!$B$4)*(COUNTIF(CONFIG_ASIGNATURAS!$B$7:$B$27,DATOS!$I$2:$I$20000)&gt;0)*(DATOS!$K$2:$K$20000))/SUMPRODUCT((DATOS!$A$2:$A$20000=A939)*(DATOS!$G$2:$G$20000=CONFIG_METADATA!$B$4)*(COUNTIF(CONFIG_ASIGNATURAS!$B$7:$B$27,DATOS!$I$2:$I$20000)&gt;0)*1),"")))</f>
        <v/>
      </c>
      <c r="H939" t="str">
        <f>IF(G939="","",IF(G939="[FÓRMULA MANUAL]","",IFERROR(AVERAGEIFS(DATOS!$K$2:$K$20000,DATOS!$A$2:$A$20000,G939,DATOS!$G$2:$G$20000,CONFIG_METADATA!$B$4,DATOS!$I$2:$I$20000,"Lenguaje Musical"),"")))</f>
        <v/>
      </c>
      <c r="I939" t="str">
        <f>IF(G939="","",IF(G939="[FÓRMULA MANUAL]","",IFERROR(AVERAGEIFS(DATOS!$K$2:$K$20000,DATOS!$A$2:$A$20000,G939,DATOS!$G$2:$G$20000,CONFIG_METADATA!$B$4,DATOS!$I$2:$I$20000,"Orquesta/Banda/Conjunto"),"")))</f>
        <v/>
      </c>
      <c r="J939" t="str">
        <f>IF(G939="","",IF(G939="[FÓRMULA MANUAL]","",IFERROR(AVERAGEIFS(DATOS!$K$2:$K$20000,DATOS!$A$2:$A$20000,G939,DATOS!$G$2:$G$20000,CONFIG_METADATA!$B$4,DATOS!$I$2:$I$20000,"Conjunto"),"")))</f>
        <v/>
      </c>
      <c r="K939" t="str">
        <f>IF(G939="","",IF(G939="[FÓRMULA MANUAL]","",IFERROR(SUMPRODUCT((DATOS!$A$2:$A$20000=G939)*(DATOS!$G$2:$G$20000=CONFIG_METADATA!$B$4)*(COUNTIF(CONFIG_ASIGNATURAS!$B$7:$B$27,DATOS!$I$2:$I$20000)&gt;0)*(DATOS!$K$2:$K$20000))/SUMPRODUCT((DATOS!$A$2:$A$20000=G939)*(DATOS!$G$2:$G$20000=CONFIG_METADATA!$B$4)*(COUNTIF(CONFIG_ASIGNATURAS!$B$7:$B$27,DATOS!$I$2:$I$20000)&gt;0)*1),"")))</f>
        <v/>
      </c>
      <c r="N939" t="str">
        <f>IF(M939="","",IF(M939="[FÓRMULA MANUAL]","",IFERROR(AVERAGEIFS(DATOS!$K$2:$K$20000,DATOS!$A$2:$A$20000,M939,DATOS!$G$2:$G$20000,CONFIG_METADATA!$B$4,DATOS!$I$2:$I$20000,"Armonía"),"")))</f>
        <v/>
      </c>
      <c r="O939" t="str">
        <f>IF(M939="","",IF(M939="[FÓRMULA MANUAL]","",IFERROR(AVERAGEIFS(DATOS!$K$2:$K$20000,DATOS!$A$2:$A$20000,M939,DATOS!$G$2:$G$20000,CONFIG_METADATA!$B$4,DATOS!$I$2:$I$20000,"Orquesta/Banda/Conjunto"),"")))</f>
        <v/>
      </c>
      <c r="P939" t="str">
        <f>IF(M939="","",IF(M939="[FÓRMULA MANUAL]","",IFERROR(AVERAGEIFS(DATOS!$K$2:$K$20000,DATOS!$A$2:$A$20000,M939,DATOS!$G$2:$G$20000,CONFIG_METADATA!$B$4,DATOS!$I$2:$I$20000,"Música de Cámara"),"")))</f>
        <v/>
      </c>
      <c r="Q939" t="str">
        <f>IF(M939="","",IF(M939="[FÓRMULA MANUAL]","",IFERROR(SUMPRODUCT((DATOS!$A$2:$A$20000=M939)*(DATOS!$G$2:$G$20000=CONFIG_METADATA!$B$4)*(COUNTIF(CONFIG_ASIGNATURAS!$B$7:$B$27,DATOS!$I$2:$I$20000)&gt;0)*(DATOS!$K$2:$K$20000))/SUMPRODUCT((DATOS!$A$2:$A$20000=M939)*(DATOS!$G$2:$G$20000=CONFIG_METADATA!$B$4)*(COUNTIF(CONFIG_ASIGNATURAS!$B$7:$B$27,DATOS!$I$2:$I$20000)&gt;0)*1),"")))</f>
        <v/>
      </c>
      <c r="T939" t="str">
        <f>IF(S939="","",IF(S939="[FÓRMULA MANUAL]","",IFERROR(AVERAGEIFS(DATOS!$K$2:$K$20000,DATOS!$A$2:$A$20000,S939,DATOS!$G$2:$G$20000,CONFIG_METADATA!$B$4,DATOS!$I$2:$I$20000,"Armonía"),"")))</f>
        <v/>
      </c>
      <c r="U939" t="str">
        <f>IF(S939="","",IF(S939="[FÓRMULA MANUAL]","",IFERROR(AVERAGEIFS(DATOS!$K$2:$K$20000,DATOS!$A$2:$A$20000,S939,DATOS!$G$2:$G$20000,CONFIG_METADATA!$B$4,DATOS!$I$2:$I$20000,"Orquesta/Banda/Conjunto"),"")))</f>
        <v/>
      </c>
      <c r="V939" t="str">
        <f>IF(S939="","",IF(S939="[FÓRMULA MANUAL]","",IFERROR(AVERAGEIFS(DATOS!$K$2:$K$20000,DATOS!$A$2:$A$20000,S939,DATOS!$G$2:$G$20000,CONFIG_METADATA!$B$4,DATOS!$I$2:$I$20000,"Música de Cámara"),"")))</f>
        <v/>
      </c>
      <c r="W939" t="str">
        <f>IF(S939="","",IF(S939="[FÓRMULA MANUAL]","",IFERROR(SUMPRODUCT((DATOS!$A$2:$A$20000=S939)*(DATOS!$G$2:$G$20000=CONFIG_METADATA!$B$4)*(COUNTIF(CONFIG_ASIGNATURAS!$B$7:$B$27,DATOS!$I$2:$I$20000)&gt;0)*(DATOS!$K$2:$K$20000))/SUMPRODUCT((DATOS!$A$2:$A$20000=S939)*(DATOS!$G$2:$G$20000=CONFIG_METADATA!$B$4)*(COUNTIF(CONFIG_ASIGNATURAS!$B$7:$B$27,DATOS!$I$2:$I$20000)&gt;0)*1),"")))</f>
        <v/>
      </c>
      <c r="Z939" t="str">
        <f>IF(Y939="","",IF(Y939="[FÓRMULA MANUAL]","",IFERROR(AVERAGEIFS(DATOS!$K$2:$K$20000,DATOS!$A$2:$A$20000,Y939,DATOS!$G$2:$G$20000,CONFIG_METADATA!$B$4,DATOS!$I$2:$I$20000,"Análisis"),"")))</f>
        <v/>
      </c>
      <c r="AA939" t="str">
        <f>IF(Y939="","",IF(Y939="[FÓRMULA MANUAL]","",IFERROR(AVERAGEIFS(DATOS!$K$2:$K$20000,DATOS!$A$2:$A$20000,Y939,DATOS!$G$2:$G$20000,CONFIG_METADATA!$B$4,DATOS!$I$2:$I$20000,"Orquesta/Banda/Conjunto"),"")))</f>
        <v/>
      </c>
      <c r="AB939" t="str">
        <f>IF(Y939="","",IF(Y939="[FÓRMULA MANUAL]","",IFERROR(AVERAGEIFS(DATOS!$K$2:$K$20000,DATOS!$A$2:$A$20000,Y939,DATOS!$G$2:$G$20000,CONFIG_METADATA!$B$4,DATOS!$I$2:$I$20000,"Música de Cámara"),"")))</f>
        <v/>
      </c>
      <c r="AC939" t="str">
        <f>IF(Y939="","",IF(Y939="[FÓRMULA MANUAL]","",IFERROR(SUMPRODUCT((DATOS!$A$2:$A$20000=Y939)*(DATOS!$G$2:$G$20000=CONFIG_METADATA!$B$4)*(COUNTIF(CONFIG_ASIGNATURAS!$B$7:$B$27,DATOS!$I$2:$I$20000)&gt;0)*(DATOS!$K$2:$K$20000))/SUMPRODUCT((DATOS!$A$2:$A$20000=Y939)*(DATOS!$G$2:$G$20000=CONFIG_METADATA!$B$4)*(COUNTIF(CONFIG_ASIGNATURAS!$B$7:$B$27,DATOS!$I$2:$I$20000)&gt;0)*1),"")))</f>
        <v/>
      </c>
      <c r="AF939" t="str">
        <f>IF(AE939="","",IF(AE939="[FÓRMULA MANUAL]","",IFERROR(AVERAGEIFS(DATOS!$K$2:$K$20000,DATOS!$A$2:$A$20000,AE939,DATOS!$G$2:$G$20000,CONFIG_METADATA!$B$4,DATOS!$I$2:$I$20000,"Análisis"),"")))</f>
        <v/>
      </c>
      <c r="AG939" t="str">
        <f>IF(AE939="","",IF(AE939="[FÓRMULA MANUAL]","",IFERROR(AVERAGEIFS(DATOS!$K$2:$K$20000,DATOS!$A$2:$A$20000,AE939,DATOS!$G$2:$G$20000,CONFIG_METADATA!$B$4,DATOS!$I$2:$I$20000,"Orquesta/Banda/Conjunto"),"")))</f>
        <v/>
      </c>
      <c r="AH939" t="str">
        <f>IF(AE939="","",IF(AE939="[FÓRMULA MANUAL]","",IFERROR(AVERAGEIFS(DATOS!$K$2:$K$20000,DATOS!$A$2:$A$20000,AE939,DATOS!$G$2:$G$20000,CONFIG_METADATA!$B$4,DATOS!$I$2:$I$20000,"Música de Cámara"),"")))</f>
        <v/>
      </c>
      <c r="AI939" t="str">
        <f>IF(AE939="","",IF(AE939="[FÓRMULA MANUAL]","",IFERROR(SUMPRODUCT((DATOS!$A$2:$A$20000=AE939)*(DATOS!$G$2:$G$20000=CONFIG_METADATA!$B$4)*(COUNTIF(CONFIG_ASIGNATURAS!$B$7:$B$27,DATOS!$I$2:$I$20000)&gt;0)*(DATOS!$K$2:$K$20000))/SUMPRODUCT((DATOS!$A$2:$A$20000=AE939)*(DATOS!$G$2:$G$20000=CONFIG_METADATA!$B$4)*(COUNTIF(CONFIG_ASIGNATURAS!$B$7:$B$27,DATOS!$I$2:$I$20000)&gt;0)*1),"")))</f>
        <v/>
      </c>
    </row>
    <row r="940" spans="2:35" x14ac:dyDescent="0.2">
      <c r="B940" t="str">
        <f>IF(A940="","",IF(A940="[FÓRMULA MANUAL]","",IFERROR(AVERAGEIFS(DATOS!$K$2:$K$20000,DATOS!$A$2:$A$20000,A940,DATOS!$G$2:$G$20000,CONFIG_METADATA!$B$4,DATOS!$I$2:$I$20000,"Lenguaje Musical"),"")))</f>
        <v/>
      </c>
      <c r="C940" t="str">
        <f>IF(A940="","",IF(A940="[FÓRMULA MANUAL]","",IFERROR(AVERAGEIFS(DATOS!$K$2:$K$20000,DATOS!$A$2:$A$20000,A940,DATOS!$G$2:$G$20000,CONFIG_METADATA!$B$4,DATOS!$I$2:$I$20000,"Orquesta/Banda/Conjunto"),"")))</f>
        <v/>
      </c>
      <c r="D940" t="str">
        <f>IF(A940="","",IF(A940="[FÓRMULA MANUAL]","",IFERROR(AVERAGEIFS(DATOS!$K$2:$K$20000,DATOS!$A$2:$A$20000,A940,DATOS!$G$2:$G$20000,CONFIG_METADATA!$B$4,DATOS!$I$2:$I$20000,"Conjunto"),"")))</f>
        <v/>
      </c>
      <c r="E940" t="str">
        <f>IF(A940="","",IF(A940="[FÓRMULA MANUAL]","",IFERROR(SUMPRODUCT((DATOS!$A$2:$A$20000=A940)*(DATOS!$G$2:$G$20000=CONFIG_METADATA!$B$4)*(COUNTIF(CONFIG_ASIGNATURAS!$B$7:$B$27,DATOS!$I$2:$I$20000)&gt;0)*(DATOS!$K$2:$K$20000))/SUMPRODUCT((DATOS!$A$2:$A$20000=A940)*(DATOS!$G$2:$G$20000=CONFIG_METADATA!$B$4)*(COUNTIF(CONFIG_ASIGNATURAS!$B$7:$B$27,DATOS!$I$2:$I$20000)&gt;0)*1),"")))</f>
        <v/>
      </c>
      <c r="H940" t="str">
        <f>IF(G940="","",IF(G940="[FÓRMULA MANUAL]","",IFERROR(AVERAGEIFS(DATOS!$K$2:$K$20000,DATOS!$A$2:$A$20000,G940,DATOS!$G$2:$G$20000,CONFIG_METADATA!$B$4,DATOS!$I$2:$I$20000,"Lenguaje Musical"),"")))</f>
        <v/>
      </c>
      <c r="I940" t="str">
        <f>IF(G940="","",IF(G940="[FÓRMULA MANUAL]","",IFERROR(AVERAGEIFS(DATOS!$K$2:$K$20000,DATOS!$A$2:$A$20000,G940,DATOS!$G$2:$G$20000,CONFIG_METADATA!$B$4,DATOS!$I$2:$I$20000,"Orquesta/Banda/Conjunto"),"")))</f>
        <v/>
      </c>
      <c r="J940" t="str">
        <f>IF(G940="","",IF(G940="[FÓRMULA MANUAL]","",IFERROR(AVERAGEIFS(DATOS!$K$2:$K$20000,DATOS!$A$2:$A$20000,G940,DATOS!$G$2:$G$20000,CONFIG_METADATA!$B$4,DATOS!$I$2:$I$20000,"Conjunto"),"")))</f>
        <v/>
      </c>
      <c r="K940" t="str">
        <f>IF(G940="","",IF(G940="[FÓRMULA MANUAL]","",IFERROR(SUMPRODUCT((DATOS!$A$2:$A$20000=G940)*(DATOS!$G$2:$G$20000=CONFIG_METADATA!$B$4)*(COUNTIF(CONFIG_ASIGNATURAS!$B$7:$B$27,DATOS!$I$2:$I$20000)&gt;0)*(DATOS!$K$2:$K$20000))/SUMPRODUCT((DATOS!$A$2:$A$20000=G940)*(DATOS!$G$2:$G$20000=CONFIG_METADATA!$B$4)*(COUNTIF(CONFIG_ASIGNATURAS!$B$7:$B$27,DATOS!$I$2:$I$20000)&gt;0)*1),"")))</f>
        <v/>
      </c>
      <c r="N940" t="str">
        <f>IF(M940="","",IF(M940="[FÓRMULA MANUAL]","",IFERROR(AVERAGEIFS(DATOS!$K$2:$K$20000,DATOS!$A$2:$A$20000,M940,DATOS!$G$2:$G$20000,CONFIG_METADATA!$B$4,DATOS!$I$2:$I$20000,"Armonía"),"")))</f>
        <v/>
      </c>
      <c r="O940" t="str">
        <f>IF(M940="","",IF(M940="[FÓRMULA MANUAL]","",IFERROR(AVERAGEIFS(DATOS!$K$2:$K$20000,DATOS!$A$2:$A$20000,M940,DATOS!$G$2:$G$20000,CONFIG_METADATA!$B$4,DATOS!$I$2:$I$20000,"Orquesta/Banda/Conjunto"),"")))</f>
        <v/>
      </c>
      <c r="P940" t="str">
        <f>IF(M940="","",IF(M940="[FÓRMULA MANUAL]","",IFERROR(AVERAGEIFS(DATOS!$K$2:$K$20000,DATOS!$A$2:$A$20000,M940,DATOS!$G$2:$G$20000,CONFIG_METADATA!$B$4,DATOS!$I$2:$I$20000,"Música de Cámara"),"")))</f>
        <v/>
      </c>
      <c r="Q940" t="str">
        <f>IF(M940="","",IF(M940="[FÓRMULA MANUAL]","",IFERROR(SUMPRODUCT((DATOS!$A$2:$A$20000=M940)*(DATOS!$G$2:$G$20000=CONFIG_METADATA!$B$4)*(COUNTIF(CONFIG_ASIGNATURAS!$B$7:$B$27,DATOS!$I$2:$I$20000)&gt;0)*(DATOS!$K$2:$K$20000))/SUMPRODUCT((DATOS!$A$2:$A$20000=M940)*(DATOS!$G$2:$G$20000=CONFIG_METADATA!$B$4)*(COUNTIF(CONFIG_ASIGNATURAS!$B$7:$B$27,DATOS!$I$2:$I$20000)&gt;0)*1),"")))</f>
        <v/>
      </c>
      <c r="T940" t="str">
        <f>IF(S940="","",IF(S940="[FÓRMULA MANUAL]","",IFERROR(AVERAGEIFS(DATOS!$K$2:$K$20000,DATOS!$A$2:$A$20000,S940,DATOS!$G$2:$G$20000,CONFIG_METADATA!$B$4,DATOS!$I$2:$I$20000,"Armonía"),"")))</f>
        <v/>
      </c>
      <c r="U940" t="str">
        <f>IF(S940="","",IF(S940="[FÓRMULA MANUAL]","",IFERROR(AVERAGEIFS(DATOS!$K$2:$K$20000,DATOS!$A$2:$A$20000,S940,DATOS!$G$2:$G$20000,CONFIG_METADATA!$B$4,DATOS!$I$2:$I$20000,"Orquesta/Banda/Conjunto"),"")))</f>
        <v/>
      </c>
      <c r="V940" t="str">
        <f>IF(S940="","",IF(S940="[FÓRMULA MANUAL]","",IFERROR(AVERAGEIFS(DATOS!$K$2:$K$20000,DATOS!$A$2:$A$20000,S940,DATOS!$G$2:$G$20000,CONFIG_METADATA!$B$4,DATOS!$I$2:$I$20000,"Música de Cámara"),"")))</f>
        <v/>
      </c>
      <c r="W940" t="str">
        <f>IF(S940="","",IF(S940="[FÓRMULA MANUAL]","",IFERROR(SUMPRODUCT((DATOS!$A$2:$A$20000=S940)*(DATOS!$G$2:$G$20000=CONFIG_METADATA!$B$4)*(COUNTIF(CONFIG_ASIGNATURAS!$B$7:$B$27,DATOS!$I$2:$I$20000)&gt;0)*(DATOS!$K$2:$K$20000))/SUMPRODUCT((DATOS!$A$2:$A$20000=S940)*(DATOS!$G$2:$G$20000=CONFIG_METADATA!$B$4)*(COUNTIF(CONFIG_ASIGNATURAS!$B$7:$B$27,DATOS!$I$2:$I$20000)&gt;0)*1),"")))</f>
        <v/>
      </c>
      <c r="Z940" t="str">
        <f>IF(Y940="","",IF(Y940="[FÓRMULA MANUAL]","",IFERROR(AVERAGEIFS(DATOS!$K$2:$K$20000,DATOS!$A$2:$A$20000,Y940,DATOS!$G$2:$G$20000,CONFIG_METADATA!$B$4,DATOS!$I$2:$I$20000,"Análisis"),"")))</f>
        <v/>
      </c>
      <c r="AA940" t="str">
        <f>IF(Y940="","",IF(Y940="[FÓRMULA MANUAL]","",IFERROR(AVERAGEIFS(DATOS!$K$2:$K$20000,DATOS!$A$2:$A$20000,Y940,DATOS!$G$2:$G$20000,CONFIG_METADATA!$B$4,DATOS!$I$2:$I$20000,"Orquesta/Banda/Conjunto"),"")))</f>
        <v/>
      </c>
      <c r="AB940" t="str">
        <f>IF(Y940="","",IF(Y940="[FÓRMULA MANUAL]","",IFERROR(AVERAGEIFS(DATOS!$K$2:$K$20000,DATOS!$A$2:$A$20000,Y940,DATOS!$G$2:$G$20000,CONFIG_METADATA!$B$4,DATOS!$I$2:$I$20000,"Música de Cámara"),"")))</f>
        <v/>
      </c>
      <c r="AC940" t="str">
        <f>IF(Y940="","",IF(Y940="[FÓRMULA MANUAL]","",IFERROR(SUMPRODUCT((DATOS!$A$2:$A$20000=Y940)*(DATOS!$G$2:$G$20000=CONFIG_METADATA!$B$4)*(COUNTIF(CONFIG_ASIGNATURAS!$B$7:$B$27,DATOS!$I$2:$I$20000)&gt;0)*(DATOS!$K$2:$K$20000))/SUMPRODUCT((DATOS!$A$2:$A$20000=Y940)*(DATOS!$G$2:$G$20000=CONFIG_METADATA!$B$4)*(COUNTIF(CONFIG_ASIGNATURAS!$B$7:$B$27,DATOS!$I$2:$I$20000)&gt;0)*1),"")))</f>
        <v/>
      </c>
      <c r="AF940" t="str">
        <f>IF(AE940="","",IF(AE940="[FÓRMULA MANUAL]","",IFERROR(AVERAGEIFS(DATOS!$K$2:$K$20000,DATOS!$A$2:$A$20000,AE940,DATOS!$G$2:$G$20000,CONFIG_METADATA!$B$4,DATOS!$I$2:$I$20000,"Análisis"),"")))</f>
        <v/>
      </c>
      <c r="AG940" t="str">
        <f>IF(AE940="","",IF(AE940="[FÓRMULA MANUAL]","",IFERROR(AVERAGEIFS(DATOS!$K$2:$K$20000,DATOS!$A$2:$A$20000,AE940,DATOS!$G$2:$G$20000,CONFIG_METADATA!$B$4,DATOS!$I$2:$I$20000,"Orquesta/Banda/Conjunto"),"")))</f>
        <v/>
      </c>
      <c r="AH940" t="str">
        <f>IF(AE940="","",IF(AE940="[FÓRMULA MANUAL]","",IFERROR(AVERAGEIFS(DATOS!$K$2:$K$20000,DATOS!$A$2:$A$20000,AE940,DATOS!$G$2:$G$20000,CONFIG_METADATA!$B$4,DATOS!$I$2:$I$20000,"Música de Cámara"),"")))</f>
        <v/>
      </c>
      <c r="AI940" t="str">
        <f>IF(AE940="","",IF(AE940="[FÓRMULA MANUAL]","",IFERROR(SUMPRODUCT((DATOS!$A$2:$A$20000=AE940)*(DATOS!$G$2:$G$20000=CONFIG_METADATA!$B$4)*(COUNTIF(CONFIG_ASIGNATURAS!$B$7:$B$27,DATOS!$I$2:$I$20000)&gt;0)*(DATOS!$K$2:$K$20000))/SUMPRODUCT((DATOS!$A$2:$A$20000=AE940)*(DATOS!$G$2:$G$20000=CONFIG_METADATA!$B$4)*(COUNTIF(CONFIG_ASIGNATURAS!$B$7:$B$27,DATOS!$I$2:$I$20000)&gt;0)*1),"")))</f>
        <v/>
      </c>
    </row>
    <row r="941" spans="2:35" x14ac:dyDescent="0.2">
      <c r="B941" t="str">
        <f>IF(A941="","",IF(A941="[FÓRMULA MANUAL]","",IFERROR(AVERAGEIFS(DATOS!$K$2:$K$20000,DATOS!$A$2:$A$20000,A941,DATOS!$G$2:$G$20000,CONFIG_METADATA!$B$4,DATOS!$I$2:$I$20000,"Lenguaje Musical"),"")))</f>
        <v/>
      </c>
      <c r="C941" t="str">
        <f>IF(A941="","",IF(A941="[FÓRMULA MANUAL]","",IFERROR(AVERAGEIFS(DATOS!$K$2:$K$20000,DATOS!$A$2:$A$20000,A941,DATOS!$G$2:$G$20000,CONFIG_METADATA!$B$4,DATOS!$I$2:$I$20000,"Orquesta/Banda/Conjunto"),"")))</f>
        <v/>
      </c>
      <c r="D941" t="str">
        <f>IF(A941="","",IF(A941="[FÓRMULA MANUAL]","",IFERROR(AVERAGEIFS(DATOS!$K$2:$K$20000,DATOS!$A$2:$A$20000,A941,DATOS!$G$2:$G$20000,CONFIG_METADATA!$B$4,DATOS!$I$2:$I$20000,"Conjunto"),"")))</f>
        <v/>
      </c>
      <c r="E941" t="str">
        <f>IF(A941="","",IF(A941="[FÓRMULA MANUAL]","",IFERROR(SUMPRODUCT((DATOS!$A$2:$A$20000=A941)*(DATOS!$G$2:$G$20000=CONFIG_METADATA!$B$4)*(COUNTIF(CONFIG_ASIGNATURAS!$B$7:$B$27,DATOS!$I$2:$I$20000)&gt;0)*(DATOS!$K$2:$K$20000))/SUMPRODUCT((DATOS!$A$2:$A$20000=A941)*(DATOS!$G$2:$G$20000=CONFIG_METADATA!$B$4)*(COUNTIF(CONFIG_ASIGNATURAS!$B$7:$B$27,DATOS!$I$2:$I$20000)&gt;0)*1),"")))</f>
        <v/>
      </c>
      <c r="H941" t="str">
        <f>IF(G941="","",IF(G941="[FÓRMULA MANUAL]","",IFERROR(AVERAGEIFS(DATOS!$K$2:$K$20000,DATOS!$A$2:$A$20000,G941,DATOS!$G$2:$G$20000,CONFIG_METADATA!$B$4,DATOS!$I$2:$I$20000,"Lenguaje Musical"),"")))</f>
        <v/>
      </c>
      <c r="I941" t="str">
        <f>IF(G941="","",IF(G941="[FÓRMULA MANUAL]","",IFERROR(AVERAGEIFS(DATOS!$K$2:$K$20000,DATOS!$A$2:$A$20000,G941,DATOS!$G$2:$G$20000,CONFIG_METADATA!$B$4,DATOS!$I$2:$I$20000,"Orquesta/Banda/Conjunto"),"")))</f>
        <v/>
      </c>
      <c r="J941" t="str">
        <f>IF(G941="","",IF(G941="[FÓRMULA MANUAL]","",IFERROR(AVERAGEIFS(DATOS!$K$2:$K$20000,DATOS!$A$2:$A$20000,G941,DATOS!$G$2:$G$20000,CONFIG_METADATA!$B$4,DATOS!$I$2:$I$20000,"Conjunto"),"")))</f>
        <v/>
      </c>
      <c r="K941" t="str">
        <f>IF(G941="","",IF(G941="[FÓRMULA MANUAL]","",IFERROR(SUMPRODUCT((DATOS!$A$2:$A$20000=G941)*(DATOS!$G$2:$G$20000=CONFIG_METADATA!$B$4)*(COUNTIF(CONFIG_ASIGNATURAS!$B$7:$B$27,DATOS!$I$2:$I$20000)&gt;0)*(DATOS!$K$2:$K$20000))/SUMPRODUCT((DATOS!$A$2:$A$20000=G941)*(DATOS!$G$2:$G$20000=CONFIG_METADATA!$B$4)*(COUNTIF(CONFIG_ASIGNATURAS!$B$7:$B$27,DATOS!$I$2:$I$20000)&gt;0)*1),"")))</f>
        <v/>
      </c>
      <c r="N941" t="str">
        <f>IF(M941="","",IF(M941="[FÓRMULA MANUAL]","",IFERROR(AVERAGEIFS(DATOS!$K$2:$K$20000,DATOS!$A$2:$A$20000,M941,DATOS!$G$2:$G$20000,CONFIG_METADATA!$B$4,DATOS!$I$2:$I$20000,"Armonía"),"")))</f>
        <v/>
      </c>
      <c r="O941" t="str">
        <f>IF(M941="","",IF(M941="[FÓRMULA MANUAL]","",IFERROR(AVERAGEIFS(DATOS!$K$2:$K$20000,DATOS!$A$2:$A$20000,M941,DATOS!$G$2:$G$20000,CONFIG_METADATA!$B$4,DATOS!$I$2:$I$20000,"Orquesta/Banda/Conjunto"),"")))</f>
        <v/>
      </c>
      <c r="P941" t="str">
        <f>IF(M941="","",IF(M941="[FÓRMULA MANUAL]","",IFERROR(AVERAGEIFS(DATOS!$K$2:$K$20000,DATOS!$A$2:$A$20000,M941,DATOS!$G$2:$G$20000,CONFIG_METADATA!$B$4,DATOS!$I$2:$I$20000,"Música de Cámara"),"")))</f>
        <v/>
      </c>
      <c r="Q941" t="str">
        <f>IF(M941="","",IF(M941="[FÓRMULA MANUAL]","",IFERROR(SUMPRODUCT((DATOS!$A$2:$A$20000=M941)*(DATOS!$G$2:$G$20000=CONFIG_METADATA!$B$4)*(COUNTIF(CONFIG_ASIGNATURAS!$B$7:$B$27,DATOS!$I$2:$I$20000)&gt;0)*(DATOS!$K$2:$K$20000))/SUMPRODUCT((DATOS!$A$2:$A$20000=M941)*(DATOS!$G$2:$G$20000=CONFIG_METADATA!$B$4)*(COUNTIF(CONFIG_ASIGNATURAS!$B$7:$B$27,DATOS!$I$2:$I$20000)&gt;0)*1),"")))</f>
        <v/>
      </c>
      <c r="T941" t="str">
        <f>IF(S941="","",IF(S941="[FÓRMULA MANUAL]","",IFERROR(AVERAGEIFS(DATOS!$K$2:$K$20000,DATOS!$A$2:$A$20000,S941,DATOS!$G$2:$G$20000,CONFIG_METADATA!$B$4,DATOS!$I$2:$I$20000,"Armonía"),"")))</f>
        <v/>
      </c>
      <c r="U941" t="str">
        <f>IF(S941="","",IF(S941="[FÓRMULA MANUAL]","",IFERROR(AVERAGEIFS(DATOS!$K$2:$K$20000,DATOS!$A$2:$A$20000,S941,DATOS!$G$2:$G$20000,CONFIG_METADATA!$B$4,DATOS!$I$2:$I$20000,"Orquesta/Banda/Conjunto"),"")))</f>
        <v/>
      </c>
      <c r="V941" t="str">
        <f>IF(S941="","",IF(S941="[FÓRMULA MANUAL]","",IFERROR(AVERAGEIFS(DATOS!$K$2:$K$20000,DATOS!$A$2:$A$20000,S941,DATOS!$G$2:$G$20000,CONFIG_METADATA!$B$4,DATOS!$I$2:$I$20000,"Música de Cámara"),"")))</f>
        <v/>
      </c>
      <c r="W941" t="str">
        <f>IF(S941="","",IF(S941="[FÓRMULA MANUAL]","",IFERROR(SUMPRODUCT((DATOS!$A$2:$A$20000=S941)*(DATOS!$G$2:$G$20000=CONFIG_METADATA!$B$4)*(COUNTIF(CONFIG_ASIGNATURAS!$B$7:$B$27,DATOS!$I$2:$I$20000)&gt;0)*(DATOS!$K$2:$K$20000))/SUMPRODUCT((DATOS!$A$2:$A$20000=S941)*(DATOS!$G$2:$G$20000=CONFIG_METADATA!$B$4)*(COUNTIF(CONFIG_ASIGNATURAS!$B$7:$B$27,DATOS!$I$2:$I$20000)&gt;0)*1),"")))</f>
        <v/>
      </c>
      <c r="Z941" t="str">
        <f>IF(Y941="","",IF(Y941="[FÓRMULA MANUAL]","",IFERROR(AVERAGEIFS(DATOS!$K$2:$K$20000,DATOS!$A$2:$A$20000,Y941,DATOS!$G$2:$G$20000,CONFIG_METADATA!$B$4,DATOS!$I$2:$I$20000,"Análisis"),"")))</f>
        <v/>
      </c>
      <c r="AA941" t="str">
        <f>IF(Y941="","",IF(Y941="[FÓRMULA MANUAL]","",IFERROR(AVERAGEIFS(DATOS!$K$2:$K$20000,DATOS!$A$2:$A$20000,Y941,DATOS!$G$2:$G$20000,CONFIG_METADATA!$B$4,DATOS!$I$2:$I$20000,"Orquesta/Banda/Conjunto"),"")))</f>
        <v/>
      </c>
      <c r="AB941" t="str">
        <f>IF(Y941="","",IF(Y941="[FÓRMULA MANUAL]","",IFERROR(AVERAGEIFS(DATOS!$K$2:$K$20000,DATOS!$A$2:$A$20000,Y941,DATOS!$G$2:$G$20000,CONFIG_METADATA!$B$4,DATOS!$I$2:$I$20000,"Música de Cámara"),"")))</f>
        <v/>
      </c>
      <c r="AC941" t="str">
        <f>IF(Y941="","",IF(Y941="[FÓRMULA MANUAL]","",IFERROR(SUMPRODUCT((DATOS!$A$2:$A$20000=Y941)*(DATOS!$G$2:$G$20000=CONFIG_METADATA!$B$4)*(COUNTIF(CONFIG_ASIGNATURAS!$B$7:$B$27,DATOS!$I$2:$I$20000)&gt;0)*(DATOS!$K$2:$K$20000))/SUMPRODUCT((DATOS!$A$2:$A$20000=Y941)*(DATOS!$G$2:$G$20000=CONFIG_METADATA!$B$4)*(COUNTIF(CONFIG_ASIGNATURAS!$B$7:$B$27,DATOS!$I$2:$I$20000)&gt;0)*1),"")))</f>
        <v/>
      </c>
      <c r="AF941" t="str">
        <f>IF(AE941="","",IF(AE941="[FÓRMULA MANUAL]","",IFERROR(AVERAGEIFS(DATOS!$K$2:$K$20000,DATOS!$A$2:$A$20000,AE941,DATOS!$G$2:$G$20000,CONFIG_METADATA!$B$4,DATOS!$I$2:$I$20000,"Análisis"),"")))</f>
        <v/>
      </c>
      <c r="AG941" t="str">
        <f>IF(AE941="","",IF(AE941="[FÓRMULA MANUAL]","",IFERROR(AVERAGEIFS(DATOS!$K$2:$K$20000,DATOS!$A$2:$A$20000,AE941,DATOS!$G$2:$G$20000,CONFIG_METADATA!$B$4,DATOS!$I$2:$I$20000,"Orquesta/Banda/Conjunto"),"")))</f>
        <v/>
      </c>
      <c r="AH941" t="str">
        <f>IF(AE941="","",IF(AE941="[FÓRMULA MANUAL]","",IFERROR(AVERAGEIFS(DATOS!$K$2:$K$20000,DATOS!$A$2:$A$20000,AE941,DATOS!$G$2:$G$20000,CONFIG_METADATA!$B$4,DATOS!$I$2:$I$20000,"Música de Cámara"),"")))</f>
        <v/>
      </c>
      <c r="AI941" t="str">
        <f>IF(AE941="","",IF(AE941="[FÓRMULA MANUAL]","",IFERROR(SUMPRODUCT((DATOS!$A$2:$A$20000=AE941)*(DATOS!$G$2:$G$20000=CONFIG_METADATA!$B$4)*(COUNTIF(CONFIG_ASIGNATURAS!$B$7:$B$27,DATOS!$I$2:$I$20000)&gt;0)*(DATOS!$K$2:$K$20000))/SUMPRODUCT((DATOS!$A$2:$A$20000=AE941)*(DATOS!$G$2:$G$20000=CONFIG_METADATA!$B$4)*(COUNTIF(CONFIG_ASIGNATURAS!$B$7:$B$27,DATOS!$I$2:$I$20000)&gt;0)*1),"")))</f>
        <v/>
      </c>
    </row>
    <row r="942" spans="2:35" x14ac:dyDescent="0.2">
      <c r="B942" t="str">
        <f>IF(A942="","",IF(A942="[FÓRMULA MANUAL]","",IFERROR(AVERAGEIFS(DATOS!$K$2:$K$20000,DATOS!$A$2:$A$20000,A942,DATOS!$G$2:$G$20000,CONFIG_METADATA!$B$4,DATOS!$I$2:$I$20000,"Lenguaje Musical"),"")))</f>
        <v/>
      </c>
      <c r="C942" t="str">
        <f>IF(A942="","",IF(A942="[FÓRMULA MANUAL]","",IFERROR(AVERAGEIFS(DATOS!$K$2:$K$20000,DATOS!$A$2:$A$20000,A942,DATOS!$G$2:$G$20000,CONFIG_METADATA!$B$4,DATOS!$I$2:$I$20000,"Orquesta/Banda/Conjunto"),"")))</f>
        <v/>
      </c>
      <c r="D942" t="str">
        <f>IF(A942="","",IF(A942="[FÓRMULA MANUAL]","",IFERROR(AVERAGEIFS(DATOS!$K$2:$K$20000,DATOS!$A$2:$A$20000,A942,DATOS!$G$2:$G$20000,CONFIG_METADATA!$B$4,DATOS!$I$2:$I$20000,"Conjunto"),"")))</f>
        <v/>
      </c>
      <c r="E942" t="str">
        <f>IF(A942="","",IF(A942="[FÓRMULA MANUAL]","",IFERROR(SUMPRODUCT((DATOS!$A$2:$A$20000=A942)*(DATOS!$G$2:$G$20000=CONFIG_METADATA!$B$4)*(COUNTIF(CONFIG_ASIGNATURAS!$B$7:$B$27,DATOS!$I$2:$I$20000)&gt;0)*(DATOS!$K$2:$K$20000))/SUMPRODUCT((DATOS!$A$2:$A$20000=A942)*(DATOS!$G$2:$G$20000=CONFIG_METADATA!$B$4)*(COUNTIF(CONFIG_ASIGNATURAS!$B$7:$B$27,DATOS!$I$2:$I$20000)&gt;0)*1),"")))</f>
        <v/>
      </c>
      <c r="H942" t="str">
        <f>IF(G942="","",IF(G942="[FÓRMULA MANUAL]","",IFERROR(AVERAGEIFS(DATOS!$K$2:$K$20000,DATOS!$A$2:$A$20000,G942,DATOS!$G$2:$G$20000,CONFIG_METADATA!$B$4,DATOS!$I$2:$I$20000,"Lenguaje Musical"),"")))</f>
        <v/>
      </c>
      <c r="I942" t="str">
        <f>IF(G942="","",IF(G942="[FÓRMULA MANUAL]","",IFERROR(AVERAGEIFS(DATOS!$K$2:$K$20000,DATOS!$A$2:$A$20000,G942,DATOS!$G$2:$G$20000,CONFIG_METADATA!$B$4,DATOS!$I$2:$I$20000,"Orquesta/Banda/Conjunto"),"")))</f>
        <v/>
      </c>
      <c r="J942" t="str">
        <f>IF(G942="","",IF(G942="[FÓRMULA MANUAL]","",IFERROR(AVERAGEIFS(DATOS!$K$2:$K$20000,DATOS!$A$2:$A$20000,G942,DATOS!$G$2:$G$20000,CONFIG_METADATA!$B$4,DATOS!$I$2:$I$20000,"Conjunto"),"")))</f>
        <v/>
      </c>
      <c r="K942" t="str">
        <f>IF(G942="","",IF(G942="[FÓRMULA MANUAL]","",IFERROR(SUMPRODUCT((DATOS!$A$2:$A$20000=G942)*(DATOS!$G$2:$G$20000=CONFIG_METADATA!$B$4)*(COUNTIF(CONFIG_ASIGNATURAS!$B$7:$B$27,DATOS!$I$2:$I$20000)&gt;0)*(DATOS!$K$2:$K$20000))/SUMPRODUCT((DATOS!$A$2:$A$20000=G942)*(DATOS!$G$2:$G$20000=CONFIG_METADATA!$B$4)*(COUNTIF(CONFIG_ASIGNATURAS!$B$7:$B$27,DATOS!$I$2:$I$20000)&gt;0)*1),"")))</f>
        <v/>
      </c>
      <c r="N942" t="str">
        <f>IF(M942="","",IF(M942="[FÓRMULA MANUAL]","",IFERROR(AVERAGEIFS(DATOS!$K$2:$K$20000,DATOS!$A$2:$A$20000,M942,DATOS!$G$2:$G$20000,CONFIG_METADATA!$B$4,DATOS!$I$2:$I$20000,"Armonía"),"")))</f>
        <v/>
      </c>
      <c r="O942" t="str">
        <f>IF(M942="","",IF(M942="[FÓRMULA MANUAL]","",IFERROR(AVERAGEIFS(DATOS!$K$2:$K$20000,DATOS!$A$2:$A$20000,M942,DATOS!$G$2:$G$20000,CONFIG_METADATA!$B$4,DATOS!$I$2:$I$20000,"Orquesta/Banda/Conjunto"),"")))</f>
        <v/>
      </c>
      <c r="P942" t="str">
        <f>IF(M942="","",IF(M942="[FÓRMULA MANUAL]","",IFERROR(AVERAGEIFS(DATOS!$K$2:$K$20000,DATOS!$A$2:$A$20000,M942,DATOS!$G$2:$G$20000,CONFIG_METADATA!$B$4,DATOS!$I$2:$I$20000,"Música de Cámara"),"")))</f>
        <v/>
      </c>
      <c r="Q942" t="str">
        <f>IF(M942="","",IF(M942="[FÓRMULA MANUAL]","",IFERROR(SUMPRODUCT((DATOS!$A$2:$A$20000=M942)*(DATOS!$G$2:$G$20000=CONFIG_METADATA!$B$4)*(COUNTIF(CONFIG_ASIGNATURAS!$B$7:$B$27,DATOS!$I$2:$I$20000)&gt;0)*(DATOS!$K$2:$K$20000))/SUMPRODUCT((DATOS!$A$2:$A$20000=M942)*(DATOS!$G$2:$G$20000=CONFIG_METADATA!$B$4)*(COUNTIF(CONFIG_ASIGNATURAS!$B$7:$B$27,DATOS!$I$2:$I$20000)&gt;0)*1),"")))</f>
        <v/>
      </c>
      <c r="T942" t="str">
        <f>IF(S942="","",IF(S942="[FÓRMULA MANUAL]","",IFERROR(AVERAGEIFS(DATOS!$K$2:$K$20000,DATOS!$A$2:$A$20000,S942,DATOS!$G$2:$G$20000,CONFIG_METADATA!$B$4,DATOS!$I$2:$I$20000,"Armonía"),"")))</f>
        <v/>
      </c>
      <c r="U942" t="str">
        <f>IF(S942="","",IF(S942="[FÓRMULA MANUAL]","",IFERROR(AVERAGEIFS(DATOS!$K$2:$K$20000,DATOS!$A$2:$A$20000,S942,DATOS!$G$2:$G$20000,CONFIG_METADATA!$B$4,DATOS!$I$2:$I$20000,"Orquesta/Banda/Conjunto"),"")))</f>
        <v/>
      </c>
      <c r="V942" t="str">
        <f>IF(S942="","",IF(S942="[FÓRMULA MANUAL]","",IFERROR(AVERAGEIFS(DATOS!$K$2:$K$20000,DATOS!$A$2:$A$20000,S942,DATOS!$G$2:$G$20000,CONFIG_METADATA!$B$4,DATOS!$I$2:$I$20000,"Música de Cámara"),"")))</f>
        <v/>
      </c>
      <c r="W942" t="str">
        <f>IF(S942="","",IF(S942="[FÓRMULA MANUAL]","",IFERROR(SUMPRODUCT((DATOS!$A$2:$A$20000=S942)*(DATOS!$G$2:$G$20000=CONFIG_METADATA!$B$4)*(COUNTIF(CONFIG_ASIGNATURAS!$B$7:$B$27,DATOS!$I$2:$I$20000)&gt;0)*(DATOS!$K$2:$K$20000))/SUMPRODUCT((DATOS!$A$2:$A$20000=S942)*(DATOS!$G$2:$G$20000=CONFIG_METADATA!$B$4)*(COUNTIF(CONFIG_ASIGNATURAS!$B$7:$B$27,DATOS!$I$2:$I$20000)&gt;0)*1),"")))</f>
        <v/>
      </c>
      <c r="Z942" t="str">
        <f>IF(Y942="","",IF(Y942="[FÓRMULA MANUAL]","",IFERROR(AVERAGEIFS(DATOS!$K$2:$K$20000,DATOS!$A$2:$A$20000,Y942,DATOS!$G$2:$G$20000,CONFIG_METADATA!$B$4,DATOS!$I$2:$I$20000,"Análisis"),"")))</f>
        <v/>
      </c>
      <c r="AA942" t="str">
        <f>IF(Y942="","",IF(Y942="[FÓRMULA MANUAL]","",IFERROR(AVERAGEIFS(DATOS!$K$2:$K$20000,DATOS!$A$2:$A$20000,Y942,DATOS!$G$2:$G$20000,CONFIG_METADATA!$B$4,DATOS!$I$2:$I$20000,"Orquesta/Banda/Conjunto"),"")))</f>
        <v/>
      </c>
      <c r="AB942" t="str">
        <f>IF(Y942="","",IF(Y942="[FÓRMULA MANUAL]","",IFERROR(AVERAGEIFS(DATOS!$K$2:$K$20000,DATOS!$A$2:$A$20000,Y942,DATOS!$G$2:$G$20000,CONFIG_METADATA!$B$4,DATOS!$I$2:$I$20000,"Música de Cámara"),"")))</f>
        <v/>
      </c>
      <c r="AC942" t="str">
        <f>IF(Y942="","",IF(Y942="[FÓRMULA MANUAL]","",IFERROR(SUMPRODUCT((DATOS!$A$2:$A$20000=Y942)*(DATOS!$G$2:$G$20000=CONFIG_METADATA!$B$4)*(COUNTIF(CONFIG_ASIGNATURAS!$B$7:$B$27,DATOS!$I$2:$I$20000)&gt;0)*(DATOS!$K$2:$K$20000))/SUMPRODUCT((DATOS!$A$2:$A$20000=Y942)*(DATOS!$G$2:$G$20000=CONFIG_METADATA!$B$4)*(COUNTIF(CONFIG_ASIGNATURAS!$B$7:$B$27,DATOS!$I$2:$I$20000)&gt;0)*1),"")))</f>
        <v/>
      </c>
      <c r="AF942" t="str">
        <f>IF(AE942="","",IF(AE942="[FÓRMULA MANUAL]","",IFERROR(AVERAGEIFS(DATOS!$K$2:$K$20000,DATOS!$A$2:$A$20000,AE942,DATOS!$G$2:$G$20000,CONFIG_METADATA!$B$4,DATOS!$I$2:$I$20000,"Análisis"),"")))</f>
        <v/>
      </c>
      <c r="AG942" t="str">
        <f>IF(AE942="","",IF(AE942="[FÓRMULA MANUAL]","",IFERROR(AVERAGEIFS(DATOS!$K$2:$K$20000,DATOS!$A$2:$A$20000,AE942,DATOS!$G$2:$G$20000,CONFIG_METADATA!$B$4,DATOS!$I$2:$I$20000,"Orquesta/Banda/Conjunto"),"")))</f>
        <v/>
      </c>
      <c r="AH942" t="str">
        <f>IF(AE942="","",IF(AE942="[FÓRMULA MANUAL]","",IFERROR(AVERAGEIFS(DATOS!$K$2:$K$20000,DATOS!$A$2:$A$20000,AE942,DATOS!$G$2:$G$20000,CONFIG_METADATA!$B$4,DATOS!$I$2:$I$20000,"Música de Cámara"),"")))</f>
        <v/>
      </c>
      <c r="AI942" t="str">
        <f>IF(AE942="","",IF(AE942="[FÓRMULA MANUAL]","",IFERROR(SUMPRODUCT((DATOS!$A$2:$A$20000=AE942)*(DATOS!$G$2:$G$20000=CONFIG_METADATA!$B$4)*(COUNTIF(CONFIG_ASIGNATURAS!$B$7:$B$27,DATOS!$I$2:$I$20000)&gt;0)*(DATOS!$K$2:$K$20000))/SUMPRODUCT((DATOS!$A$2:$A$20000=AE942)*(DATOS!$G$2:$G$20000=CONFIG_METADATA!$B$4)*(COUNTIF(CONFIG_ASIGNATURAS!$B$7:$B$27,DATOS!$I$2:$I$20000)&gt;0)*1),"")))</f>
        <v/>
      </c>
    </row>
    <row r="943" spans="2:35" x14ac:dyDescent="0.2">
      <c r="B943" t="str">
        <f>IF(A943="","",IF(A943="[FÓRMULA MANUAL]","",IFERROR(AVERAGEIFS(DATOS!$K$2:$K$20000,DATOS!$A$2:$A$20000,A943,DATOS!$G$2:$G$20000,CONFIG_METADATA!$B$4,DATOS!$I$2:$I$20000,"Lenguaje Musical"),"")))</f>
        <v/>
      </c>
      <c r="C943" t="str">
        <f>IF(A943="","",IF(A943="[FÓRMULA MANUAL]","",IFERROR(AVERAGEIFS(DATOS!$K$2:$K$20000,DATOS!$A$2:$A$20000,A943,DATOS!$G$2:$G$20000,CONFIG_METADATA!$B$4,DATOS!$I$2:$I$20000,"Orquesta/Banda/Conjunto"),"")))</f>
        <v/>
      </c>
      <c r="D943" t="str">
        <f>IF(A943="","",IF(A943="[FÓRMULA MANUAL]","",IFERROR(AVERAGEIFS(DATOS!$K$2:$K$20000,DATOS!$A$2:$A$20000,A943,DATOS!$G$2:$G$20000,CONFIG_METADATA!$B$4,DATOS!$I$2:$I$20000,"Conjunto"),"")))</f>
        <v/>
      </c>
      <c r="E943" t="str">
        <f>IF(A943="","",IF(A943="[FÓRMULA MANUAL]","",IFERROR(SUMPRODUCT((DATOS!$A$2:$A$20000=A943)*(DATOS!$G$2:$G$20000=CONFIG_METADATA!$B$4)*(COUNTIF(CONFIG_ASIGNATURAS!$B$7:$B$27,DATOS!$I$2:$I$20000)&gt;0)*(DATOS!$K$2:$K$20000))/SUMPRODUCT((DATOS!$A$2:$A$20000=A943)*(DATOS!$G$2:$G$20000=CONFIG_METADATA!$B$4)*(COUNTIF(CONFIG_ASIGNATURAS!$B$7:$B$27,DATOS!$I$2:$I$20000)&gt;0)*1),"")))</f>
        <v/>
      </c>
      <c r="H943" t="str">
        <f>IF(G943="","",IF(G943="[FÓRMULA MANUAL]","",IFERROR(AVERAGEIFS(DATOS!$K$2:$K$20000,DATOS!$A$2:$A$20000,G943,DATOS!$G$2:$G$20000,CONFIG_METADATA!$B$4,DATOS!$I$2:$I$20000,"Lenguaje Musical"),"")))</f>
        <v/>
      </c>
      <c r="I943" t="str">
        <f>IF(G943="","",IF(G943="[FÓRMULA MANUAL]","",IFERROR(AVERAGEIFS(DATOS!$K$2:$K$20000,DATOS!$A$2:$A$20000,G943,DATOS!$G$2:$G$20000,CONFIG_METADATA!$B$4,DATOS!$I$2:$I$20000,"Orquesta/Banda/Conjunto"),"")))</f>
        <v/>
      </c>
      <c r="J943" t="str">
        <f>IF(G943="","",IF(G943="[FÓRMULA MANUAL]","",IFERROR(AVERAGEIFS(DATOS!$K$2:$K$20000,DATOS!$A$2:$A$20000,G943,DATOS!$G$2:$G$20000,CONFIG_METADATA!$B$4,DATOS!$I$2:$I$20000,"Conjunto"),"")))</f>
        <v/>
      </c>
      <c r="K943" t="str">
        <f>IF(G943="","",IF(G943="[FÓRMULA MANUAL]","",IFERROR(SUMPRODUCT((DATOS!$A$2:$A$20000=G943)*(DATOS!$G$2:$G$20000=CONFIG_METADATA!$B$4)*(COUNTIF(CONFIG_ASIGNATURAS!$B$7:$B$27,DATOS!$I$2:$I$20000)&gt;0)*(DATOS!$K$2:$K$20000))/SUMPRODUCT((DATOS!$A$2:$A$20000=G943)*(DATOS!$G$2:$G$20000=CONFIG_METADATA!$B$4)*(COUNTIF(CONFIG_ASIGNATURAS!$B$7:$B$27,DATOS!$I$2:$I$20000)&gt;0)*1),"")))</f>
        <v/>
      </c>
      <c r="N943" t="str">
        <f>IF(M943="","",IF(M943="[FÓRMULA MANUAL]","",IFERROR(AVERAGEIFS(DATOS!$K$2:$K$20000,DATOS!$A$2:$A$20000,M943,DATOS!$G$2:$G$20000,CONFIG_METADATA!$B$4,DATOS!$I$2:$I$20000,"Armonía"),"")))</f>
        <v/>
      </c>
      <c r="O943" t="str">
        <f>IF(M943="","",IF(M943="[FÓRMULA MANUAL]","",IFERROR(AVERAGEIFS(DATOS!$K$2:$K$20000,DATOS!$A$2:$A$20000,M943,DATOS!$G$2:$G$20000,CONFIG_METADATA!$B$4,DATOS!$I$2:$I$20000,"Orquesta/Banda/Conjunto"),"")))</f>
        <v/>
      </c>
      <c r="P943" t="str">
        <f>IF(M943="","",IF(M943="[FÓRMULA MANUAL]","",IFERROR(AVERAGEIFS(DATOS!$K$2:$K$20000,DATOS!$A$2:$A$20000,M943,DATOS!$G$2:$G$20000,CONFIG_METADATA!$B$4,DATOS!$I$2:$I$20000,"Música de Cámara"),"")))</f>
        <v/>
      </c>
      <c r="Q943" t="str">
        <f>IF(M943="","",IF(M943="[FÓRMULA MANUAL]","",IFERROR(SUMPRODUCT((DATOS!$A$2:$A$20000=M943)*(DATOS!$G$2:$G$20000=CONFIG_METADATA!$B$4)*(COUNTIF(CONFIG_ASIGNATURAS!$B$7:$B$27,DATOS!$I$2:$I$20000)&gt;0)*(DATOS!$K$2:$K$20000))/SUMPRODUCT((DATOS!$A$2:$A$20000=M943)*(DATOS!$G$2:$G$20000=CONFIG_METADATA!$B$4)*(COUNTIF(CONFIG_ASIGNATURAS!$B$7:$B$27,DATOS!$I$2:$I$20000)&gt;0)*1),"")))</f>
        <v/>
      </c>
      <c r="T943" t="str">
        <f>IF(S943="","",IF(S943="[FÓRMULA MANUAL]","",IFERROR(AVERAGEIFS(DATOS!$K$2:$K$20000,DATOS!$A$2:$A$20000,S943,DATOS!$G$2:$G$20000,CONFIG_METADATA!$B$4,DATOS!$I$2:$I$20000,"Armonía"),"")))</f>
        <v/>
      </c>
      <c r="U943" t="str">
        <f>IF(S943="","",IF(S943="[FÓRMULA MANUAL]","",IFERROR(AVERAGEIFS(DATOS!$K$2:$K$20000,DATOS!$A$2:$A$20000,S943,DATOS!$G$2:$G$20000,CONFIG_METADATA!$B$4,DATOS!$I$2:$I$20000,"Orquesta/Banda/Conjunto"),"")))</f>
        <v/>
      </c>
      <c r="V943" t="str">
        <f>IF(S943="","",IF(S943="[FÓRMULA MANUAL]","",IFERROR(AVERAGEIFS(DATOS!$K$2:$K$20000,DATOS!$A$2:$A$20000,S943,DATOS!$G$2:$G$20000,CONFIG_METADATA!$B$4,DATOS!$I$2:$I$20000,"Música de Cámara"),"")))</f>
        <v/>
      </c>
      <c r="W943" t="str">
        <f>IF(S943="","",IF(S943="[FÓRMULA MANUAL]","",IFERROR(SUMPRODUCT((DATOS!$A$2:$A$20000=S943)*(DATOS!$G$2:$G$20000=CONFIG_METADATA!$B$4)*(COUNTIF(CONFIG_ASIGNATURAS!$B$7:$B$27,DATOS!$I$2:$I$20000)&gt;0)*(DATOS!$K$2:$K$20000))/SUMPRODUCT((DATOS!$A$2:$A$20000=S943)*(DATOS!$G$2:$G$20000=CONFIG_METADATA!$B$4)*(COUNTIF(CONFIG_ASIGNATURAS!$B$7:$B$27,DATOS!$I$2:$I$20000)&gt;0)*1),"")))</f>
        <v/>
      </c>
      <c r="Z943" t="str">
        <f>IF(Y943="","",IF(Y943="[FÓRMULA MANUAL]","",IFERROR(AVERAGEIFS(DATOS!$K$2:$K$20000,DATOS!$A$2:$A$20000,Y943,DATOS!$G$2:$G$20000,CONFIG_METADATA!$B$4,DATOS!$I$2:$I$20000,"Análisis"),"")))</f>
        <v/>
      </c>
      <c r="AA943" t="str">
        <f>IF(Y943="","",IF(Y943="[FÓRMULA MANUAL]","",IFERROR(AVERAGEIFS(DATOS!$K$2:$K$20000,DATOS!$A$2:$A$20000,Y943,DATOS!$G$2:$G$20000,CONFIG_METADATA!$B$4,DATOS!$I$2:$I$20000,"Orquesta/Banda/Conjunto"),"")))</f>
        <v/>
      </c>
      <c r="AB943" t="str">
        <f>IF(Y943="","",IF(Y943="[FÓRMULA MANUAL]","",IFERROR(AVERAGEIFS(DATOS!$K$2:$K$20000,DATOS!$A$2:$A$20000,Y943,DATOS!$G$2:$G$20000,CONFIG_METADATA!$B$4,DATOS!$I$2:$I$20000,"Música de Cámara"),"")))</f>
        <v/>
      </c>
      <c r="AC943" t="str">
        <f>IF(Y943="","",IF(Y943="[FÓRMULA MANUAL]","",IFERROR(SUMPRODUCT((DATOS!$A$2:$A$20000=Y943)*(DATOS!$G$2:$G$20000=CONFIG_METADATA!$B$4)*(COUNTIF(CONFIG_ASIGNATURAS!$B$7:$B$27,DATOS!$I$2:$I$20000)&gt;0)*(DATOS!$K$2:$K$20000))/SUMPRODUCT((DATOS!$A$2:$A$20000=Y943)*(DATOS!$G$2:$G$20000=CONFIG_METADATA!$B$4)*(COUNTIF(CONFIG_ASIGNATURAS!$B$7:$B$27,DATOS!$I$2:$I$20000)&gt;0)*1),"")))</f>
        <v/>
      </c>
      <c r="AF943" t="str">
        <f>IF(AE943="","",IF(AE943="[FÓRMULA MANUAL]","",IFERROR(AVERAGEIFS(DATOS!$K$2:$K$20000,DATOS!$A$2:$A$20000,AE943,DATOS!$G$2:$G$20000,CONFIG_METADATA!$B$4,DATOS!$I$2:$I$20000,"Análisis"),"")))</f>
        <v/>
      </c>
      <c r="AG943" t="str">
        <f>IF(AE943="","",IF(AE943="[FÓRMULA MANUAL]","",IFERROR(AVERAGEIFS(DATOS!$K$2:$K$20000,DATOS!$A$2:$A$20000,AE943,DATOS!$G$2:$G$20000,CONFIG_METADATA!$B$4,DATOS!$I$2:$I$20000,"Orquesta/Banda/Conjunto"),"")))</f>
        <v/>
      </c>
      <c r="AH943" t="str">
        <f>IF(AE943="","",IF(AE943="[FÓRMULA MANUAL]","",IFERROR(AVERAGEIFS(DATOS!$K$2:$K$20000,DATOS!$A$2:$A$20000,AE943,DATOS!$G$2:$G$20000,CONFIG_METADATA!$B$4,DATOS!$I$2:$I$20000,"Música de Cámara"),"")))</f>
        <v/>
      </c>
      <c r="AI943" t="str">
        <f>IF(AE943="","",IF(AE943="[FÓRMULA MANUAL]","",IFERROR(SUMPRODUCT((DATOS!$A$2:$A$20000=AE943)*(DATOS!$G$2:$G$20000=CONFIG_METADATA!$B$4)*(COUNTIF(CONFIG_ASIGNATURAS!$B$7:$B$27,DATOS!$I$2:$I$20000)&gt;0)*(DATOS!$K$2:$K$20000))/SUMPRODUCT((DATOS!$A$2:$A$20000=AE943)*(DATOS!$G$2:$G$20000=CONFIG_METADATA!$B$4)*(COUNTIF(CONFIG_ASIGNATURAS!$B$7:$B$27,DATOS!$I$2:$I$20000)&gt;0)*1),"")))</f>
        <v/>
      </c>
    </row>
    <row r="944" spans="2:35" x14ac:dyDescent="0.2">
      <c r="B944" t="str">
        <f>IF(A944="","",IF(A944="[FÓRMULA MANUAL]","",IFERROR(AVERAGEIFS(DATOS!$K$2:$K$20000,DATOS!$A$2:$A$20000,A944,DATOS!$G$2:$G$20000,CONFIG_METADATA!$B$4,DATOS!$I$2:$I$20000,"Lenguaje Musical"),"")))</f>
        <v/>
      </c>
      <c r="C944" t="str">
        <f>IF(A944="","",IF(A944="[FÓRMULA MANUAL]","",IFERROR(AVERAGEIFS(DATOS!$K$2:$K$20000,DATOS!$A$2:$A$20000,A944,DATOS!$G$2:$G$20000,CONFIG_METADATA!$B$4,DATOS!$I$2:$I$20000,"Orquesta/Banda/Conjunto"),"")))</f>
        <v/>
      </c>
      <c r="D944" t="str">
        <f>IF(A944="","",IF(A944="[FÓRMULA MANUAL]","",IFERROR(AVERAGEIFS(DATOS!$K$2:$K$20000,DATOS!$A$2:$A$20000,A944,DATOS!$G$2:$G$20000,CONFIG_METADATA!$B$4,DATOS!$I$2:$I$20000,"Conjunto"),"")))</f>
        <v/>
      </c>
      <c r="E944" t="str">
        <f>IF(A944="","",IF(A944="[FÓRMULA MANUAL]","",IFERROR(SUMPRODUCT((DATOS!$A$2:$A$20000=A944)*(DATOS!$G$2:$G$20000=CONFIG_METADATA!$B$4)*(COUNTIF(CONFIG_ASIGNATURAS!$B$7:$B$27,DATOS!$I$2:$I$20000)&gt;0)*(DATOS!$K$2:$K$20000))/SUMPRODUCT((DATOS!$A$2:$A$20000=A944)*(DATOS!$G$2:$G$20000=CONFIG_METADATA!$B$4)*(COUNTIF(CONFIG_ASIGNATURAS!$B$7:$B$27,DATOS!$I$2:$I$20000)&gt;0)*1),"")))</f>
        <v/>
      </c>
      <c r="H944" t="str">
        <f>IF(G944="","",IF(G944="[FÓRMULA MANUAL]","",IFERROR(AVERAGEIFS(DATOS!$K$2:$K$20000,DATOS!$A$2:$A$20000,G944,DATOS!$G$2:$G$20000,CONFIG_METADATA!$B$4,DATOS!$I$2:$I$20000,"Lenguaje Musical"),"")))</f>
        <v/>
      </c>
      <c r="I944" t="str">
        <f>IF(G944="","",IF(G944="[FÓRMULA MANUAL]","",IFERROR(AVERAGEIFS(DATOS!$K$2:$K$20000,DATOS!$A$2:$A$20000,G944,DATOS!$G$2:$G$20000,CONFIG_METADATA!$B$4,DATOS!$I$2:$I$20000,"Orquesta/Banda/Conjunto"),"")))</f>
        <v/>
      </c>
      <c r="J944" t="str">
        <f>IF(G944="","",IF(G944="[FÓRMULA MANUAL]","",IFERROR(AVERAGEIFS(DATOS!$K$2:$K$20000,DATOS!$A$2:$A$20000,G944,DATOS!$G$2:$G$20000,CONFIG_METADATA!$B$4,DATOS!$I$2:$I$20000,"Conjunto"),"")))</f>
        <v/>
      </c>
      <c r="K944" t="str">
        <f>IF(G944="","",IF(G944="[FÓRMULA MANUAL]","",IFERROR(SUMPRODUCT((DATOS!$A$2:$A$20000=G944)*(DATOS!$G$2:$G$20000=CONFIG_METADATA!$B$4)*(COUNTIF(CONFIG_ASIGNATURAS!$B$7:$B$27,DATOS!$I$2:$I$20000)&gt;0)*(DATOS!$K$2:$K$20000))/SUMPRODUCT((DATOS!$A$2:$A$20000=G944)*(DATOS!$G$2:$G$20000=CONFIG_METADATA!$B$4)*(COUNTIF(CONFIG_ASIGNATURAS!$B$7:$B$27,DATOS!$I$2:$I$20000)&gt;0)*1),"")))</f>
        <v/>
      </c>
      <c r="N944" t="str">
        <f>IF(M944="","",IF(M944="[FÓRMULA MANUAL]","",IFERROR(AVERAGEIFS(DATOS!$K$2:$K$20000,DATOS!$A$2:$A$20000,M944,DATOS!$G$2:$G$20000,CONFIG_METADATA!$B$4,DATOS!$I$2:$I$20000,"Armonía"),"")))</f>
        <v/>
      </c>
      <c r="O944" t="str">
        <f>IF(M944="","",IF(M944="[FÓRMULA MANUAL]","",IFERROR(AVERAGEIFS(DATOS!$K$2:$K$20000,DATOS!$A$2:$A$20000,M944,DATOS!$G$2:$G$20000,CONFIG_METADATA!$B$4,DATOS!$I$2:$I$20000,"Orquesta/Banda/Conjunto"),"")))</f>
        <v/>
      </c>
      <c r="P944" t="str">
        <f>IF(M944="","",IF(M944="[FÓRMULA MANUAL]","",IFERROR(AVERAGEIFS(DATOS!$K$2:$K$20000,DATOS!$A$2:$A$20000,M944,DATOS!$G$2:$G$20000,CONFIG_METADATA!$B$4,DATOS!$I$2:$I$20000,"Música de Cámara"),"")))</f>
        <v/>
      </c>
      <c r="Q944" t="str">
        <f>IF(M944="","",IF(M944="[FÓRMULA MANUAL]","",IFERROR(SUMPRODUCT((DATOS!$A$2:$A$20000=M944)*(DATOS!$G$2:$G$20000=CONFIG_METADATA!$B$4)*(COUNTIF(CONFIG_ASIGNATURAS!$B$7:$B$27,DATOS!$I$2:$I$20000)&gt;0)*(DATOS!$K$2:$K$20000))/SUMPRODUCT((DATOS!$A$2:$A$20000=M944)*(DATOS!$G$2:$G$20000=CONFIG_METADATA!$B$4)*(COUNTIF(CONFIG_ASIGNATURAS!$B$7:$B$27,DATOS!$I$2:$I$20000)&gt;0)*1),"")))</f>
        <v/>
      </c>
      <c r="T944" t="str">
        <f>IF(S944="","",IF(S944="[FÓRMULA MANUAL]","",IFERROR(AVERAGEIFS(DATOS!$K$2:$K$20000,DATOS!$A$2:$A$20000,S944,DATOS!$G$2:$G$20000,CONFIG_METADATA!$B$4,DATOS!$I$2:$I$20000,"Armonía"),"")))</f>
        <v/>
      </c>
      <c r="U944" t="str">
        <f>IF(S944="","",IF(S944="[FÓRMULA MANUAL]","",IFERROR(AVERAGEIFS(DATOS!$K$2:$K$20000,DATOS!$A$2:$A$20000,S944,DATOS!$G$2:$G$20000,CONFIG_METADATA!$B$4,DATOS!$I$2:$I$20000,"Orquesta/Banda/Conjunto"),"")))</f>
        <v/>
      </c>
      <c r="V944" t="str">
        <f>IF(S944="","",IF(S944="[FÓRMULA MANUAL]","",IFERROR(AVERAGEIFS(DATOS!$K$2:$K$20000,DATOS!$A$2:$A$20000,S944,DATOS!$G$2:$G$20000,CONFIG_METADATA!$B$4,DATOS!$I$2:$I$20000,"Música de Cámara"),"")))</f>
        <v/>
      </c>
      <c r="W944" t="str">
        <f>IF(S944="","",IF(S944="[FÓRMULA MANUAL]","",IFERROR(SUMPRODUCT((DATOS!$A$2:$A$20000=S944)*(DATOS!$G$2:$G$20000=CONFIG_METADATA!$B$4)*(COUNTIF(CONFIG_ASIGNATURAS!$B$7:$B$27,DATOS!$I$2:$I$20000)&gt;0)*(DATOS!$K$2:$K$20000))/SUMPRODUCT((DATOS!$A$2:$A$20000=S944)*(DATOS!$G$2:$G$20000=CONFIG_METADATA!$B$4)*(COUNTIF(CONFIG_ASIGNATURAS!$B$7:$B$27,DATOS!$I$2:$I$20000)&gt;0)*1),"")))</f>
        <v/>
      </c>
      <c r="Z944" t="str">
        <f>IF(Y944="","",IF(Y944="[FÓRMULA MANUAL]","",IFERROR(AVERAGEIFS(DATOS!$K$2:$K$20000,DATOS!$A$2:$A$20000,Y944,DATOS!$G$2:$G$20000,CONFIG_METADATA!$B$4,DATOS!$I$2:$I$20000,"Análisis"),"")))</f>
        <v/>
      </c>
      <c r="AA944" t="str">
        <f>IF(Y944="","",IF(Y944="[FÓRMULA MANUAL]","",IFERROR(AVERAGEIFS(DATOS!$K$2:$K$20000,DATOS!$A$2:$A$20000,Y944,DATOS!$G$2:$G$20000,CONFIG_METADATA!$B$4,DATOS!$I$2:$I$20000,"Orquesta/Banda/Conjunto"),"")))</f>
        <v/>
      </c>
      <c r="AB944" t="str">
        <f>IF(Y944="","",IF(Y944="[FÓRMULA MANUAL]","",IFERROR(AVERAGEIFS(DATOS!$K$2:$K$20000,DATOS!$A$2:$A$20000,Y944,DATOS!$G$2:$G$20000,CONFIG_METADATA!$B$4,DATOS!$I$2:$I$20000,"Música de Cámara"),"")))</f>
        <v/>
      </c>
      <c r="AC944" t="str">
        <f>IF(Y944="","",IF(Y944="[FÓRMULA MANUAL]","",IFERROR(SUMPRODUCT((DATOS!$A$2:$A$20000=Y944)*(DATOS!$G$2:$G$20000=CONFIG_METADATA!$B$4)*(COUNTIF(CONFIG_ASIGNATURAS!$B$7:$B$27,DATOS!$I$2:$I$20000)&gt;0)*(DATOS!$K$2:$K$20000))/SUMPRODUCT((DATOS!$A$2:$A$20000=Y944)*(DATOS!$G$2:$G$20000=CONFIG_METADATA!$B$4)*(COUNTIF(CONFIG_ASIGNATURAS!$B$7:$B$27,DATOS!$I$2:$I$20000)&gt;0)*1),"")))</f>
        <v/>
      </c>
      <c r="AF944" t="str">
        <f>IF(AE944="","",IF(AE944="[FÓRMULA MANUAL]","",IFERROR(AVERAGEIFS(DATOS!$K$2:$K$20000,DATOS!$A$2:$A$20000,AE944,DATOS!$G$2:$G$20000,CONFIG_METADATA!$B$4,DATOS!$I$2:$I$20000,"Análisis"),"")))</f>
        <v/>
      </c>
      <c r="AG944" t="str">
        <f>IF(AE944="","",IF(AE944="[FÓRMULA MANUAL]","",IFERROR(AVERAGEIFS(DATOS!$K$2:$K$20000,DATOS!$A$2:$A$20000,AE944,DATOS!$G$2:$G$20000,CONFIG_METADATA!$B$4,DATOS!$I$2:$I$20000,"Orquesta/Banda/Conjunto"),"")))</f>
        <v/>
      </c>
      <c r="AH944" t="str">
        <f>IF(AE944="","",IF(AE944="[FÓRMULA MANUAL]","",IFERROR(AVERAGEIFS(DATOS!$K$2:$K$20000,DATOS!$A$2:$A$20000,AE944,DATOS!$G$2:$G$20000,CONFIG_METADATA!$B$4,DATOS!$I$2:$I$20000,"Música de Cámara"),"")))</f>
        <v/>
      </c>
      <c r="AI944" t="str">
        <f>IF(AE944="","",IF(AE944="[FÓRMULA MANUAL]","",IFERROR(SUMPRODUCT((DATOS!$A$2:$A$20000=AE944)*(DATOS!$G$2:$G$20000=CONFIG_METADATA!$B$4)*(COUNTIF(CONFIG_ASIGNATURAS!$B$7:$B$27,DATOS!$I$2:$I$20000)&gt;0)*(DATOS!$K$2:$K$20000))/SUMPRODUCT((DATOS!$A$2:$A$20000=AE944)*(DATOS!$G$2:$G$20000=CONFIG_METADATA!$B$4)*(COUNTIF(CONFIG_ASIGNATURAS!$B$7:$B$27,DATOS!$I$2:$I$20000)&gt;0)*1),"")))</f>
        <v/>
      </c>
    </row>
    <row r="945" spans="2:35" x14ac:dyDescent="0.2">
      <c r="B945" t="str">
        <f>IF(A945="","",IF(A945="[FÓRMULA MANUAL]","",IFERROR(AVERAGEIFS(DATOS!$K$2:$K$20000,DATOS!$A$2:$A$20000,A945,DATOS!$G$2:$G$20000,CONFIG_METADATA!$B$4,DATOS!$I$2:$I$20000,"Lenguaje Musical"),"")))</f>
        <v/>
      </c>
      <c r="C945" t="str">
        <f>IF(A945="","",IF(A945="[FÓRMULA MANUAL]","",IFERROR(AVERAGEIFS(DATOS!$K$2:$K$20000,DATOS!$A$2:$A$20000,A945,DATOS!$G$2:$G$20000,CONFIG_METADATA!$B$4,DATOS!$I$2:$I$20000,"Orquesta/Banda/Conjunto"),"")))</f>
        <v/>
      </c>
      <c r="D945" t="str">
        <f>IF(A945="","",IF(A945="[FÓRMULA MANUAL]","",IFERROR(AVERAGEIFS(DATOS!$K$2:$K$20000,DATOS!$A$2:$A$20000,A945,DATOS!$G$2:$G$20000,CONFIG_METADATA!$B$4,DATOS!$I$2:$I$20000,"Conjunto"),"")))</f>
        <v/>
      </c>
      <c r="E945" t="str">
        <f>IF(A945="","",IF(A945="[FÓRMULA MANUAL]","",IFERROR(SUMPRODUCT((DATOS!$A$2:$A$20000=A945)*(DATOS!$G$2:$G$20000=CONFIG_METADATA!$B$4)*(COUNTIF(CONFIG_ASIGNATURAS!$B$7:$B$27,DATOS!$I$2:$I$20000)&gt;0)*(DATOS!$K$2:$K$20000))/SUMPRODUCT((DATOS!$A$2:$A$20000=A945)*(DATOS!$G$2:$G$20000=CONFIG_METADATA!$B$4)*(COUNTIF(CONFIG_ASIGNATURAS!$B$7:$B$27,DATOS!$I$2:$I$20000)&gt;0)*1),"")))</f>
        <v/>
      </c>
      <c r="H945" t="str">
        <f>IF(G945="","",IF(G945="[FÓRMULA MANUAL]","",IFERROR(AVERAGEIFS(DATOS!$K$2:$K$20000,DATOS!$A$2:$A$20000,G945,DATOS!$G$2:$G$20000,CONFIG_METADATA!$B$4,DATOS!$I$2:$I$20000,"Lenguaje Musical"),"")))</f>
        <v/>
      </c>
      <c r="I945" t="str">
        <f>IF(G945="","",IF(G945="[FÓRMULA MANUAL]","",IFERROR(AVERAGEIFS(DATOS!$K$2:$K$20000,DATOS!$A$2:$A$20000,G945,DATOS!$G$2:$G$20000,CONFIG_METADATA!$B$4,DATOS!$I$2:$I$20000,"Orquesta/Banda/Conjunto"),"")))</f>
        <v/>
      </c>
      <c r="J945" t="str">
        <f>IF(G945="","",IF(G945="[FÓRMULA MANUAL]","",IFERROR(AVERAGEIFS(DATOS!$K$2:$K$20000,DATOS!$A$2:$A$20000,G945,DATOS!$G$2:$G$20000,CONFIG_METADATA!$B$4,DATOS!$I$2:$I$20000,"Conjunto"),"")))</f>
        <v/>
      </c>
      <c r="K945" t="str">
        <f>IF(G945="","",IF(G945="[FÓRMULA MANUAL]","",IFERROR(SUMPRODUCT((DATOS!$A$2:$A$20000=G945)*(DATOS!$G$2:$G$20000=CONFIG_METADATA!$B$4)*(COUNTIF(CONFIG_ASIGNATURAS!$B$7:$B$27,DATOS!$I$2:$I$20000)&gt;0)*(DATOS!$K$2:$K$20000))/SUMPRODUCT((DATOS!$A$2:$A$20000=G945)*(DATOS!$G$2:$G$20000=CONFIG_METADATA!$B$4)*(COUNTIF(CONFIG_ASIGNATURAS!$B$7:$B$27,DATOS!$I$2:$I$20000)&gt;0)*1),"")))</f>
        <v/>
      </c>
      <c r="N945" t="str">
        <f>IF(M945="","",IF(M945="[FÓRMULA MANUAL]","",IFERROR(AVERAGEIFS(DATOS!$K$2:$K$20000,DATOS!$A$2:$A$20000,M945,DATOS!$G$2:$G$20000,CONFIG_METADATA!$B$4,DATOS!$I$2:$I$20000,"Armonía"),"")))</f>
        <v/>
      </c>
      <c r="O945" t="str">
        <f>IF(M945="","",IF(M945="[FÓRMULA MANUAL]","",IFERROR(AVERAGEIFS(DATOS!$K$2:$K$20000,DATOS!$A$2:$A$20000,M945,DATOS!$G$2:$G$20000,CONFIG_METADATA!$B$4,DATOS!$I$2:$I$20000,"Orquesta/Banda/Conjunto"),"")))</f>
        <v/>
      </c>
      <c r="P945" t="str">
        <f>IF(M945="","",IF(M945="[FÓRMULA MANUAL]","",IFERROR(AVERAGEIFS(DATOS!$K$2:$K$20000,DATOS!$A$2:$A$20000,M945,DATOS!$G$2:$G$20000,CONFIG_METADATA!$B$4,DATOS!$I$2:$I$20000,"Música de Cámara"),"")))</f>
        <v/>
      </c>
      <c r="Q945" t="str">
        <f>IF(M945="","",IF(M945="[FÓRMULA MANUAL]","",IFERROR(SUMPRODUCT((DATOS!$A$2:$A$20000=M945)*(DATOS!$G$2:$G$20000=CONFIG_METADATA!$B$4)*(COUNTIF(CONFIG_ASIGNATURAS!$B$7:$B$27,DATOS!$I$2:$I$20000)&gt;0)*(DATOS!$K$2:$K$20000))/SUMPRODUCT((DATOS!$A$2:$A$20000=M945)*(DATOS!$G$2:$G$20000=CONFIG_METADATA!$B$4)*(COUNTIF(CONFIG_ASIGNATURAS!$B$7:$B$27,DATOS!$I$2:$I$20000)&gt;0)*1),"")))</f>
        <v/>
      </c>
      <c r="T945" t="str">
        <f>IF(S945="","",IF(S945="[FÓRMULA MANUAL]","",IFERROR(AVERAGEIFS(DATOS!$K$2:$K$20000,DATOS!$A$2:$A$20000,S945,DATOS!$G$2:$G$20000,CONFIG_METADATA!$B$4,DATOS!$I$2:$I$20000,"Armonía"),"")))</f>
        <v/>
      </c>
      <c r="U945" t="str">
        <f>IF(S945="","",IF(S945="[FÓRMULA MANUAL]","",IFERROR(AVERAGEIFS(DATOS!$K$2:$K$20000,DATOS!$A$2:$A$20000,S945,DATOS!$G$2:$G$20000,CONFIG_METADATA!$B$4,DATOS!$I$2:$I$20000,"Orquesta/Banda/Conjunto"),"")))</f>
        <v/>
      </c>
      <c r="V945" t="str">
        <f>IF(S945="","",IF(S945="[FÓRMULA MANUAL]","",IFERROR(AVERAGEIFS(DATOS!$K$2:$K$20000,DATOS!$A$2:$A$20000,S945,DATOS!$G$2:$G$20000,CONFIG_METADATA!$B$4,DATOS!$I$2:$I$20000,"Música de Cámara"),"")))</f>
        <v/>
      </c>
      <c r="W945" t="str">
        <f>IF(S945="","",IF(S945="[FÓRMULA MANUAL]","",IFERROR(SUMPRODUCT((DATOS!$A$2:$A$20000=S945)*(DATOS!$G$2:$G$20000=CONFIG_METADATA!$B$4)*(COUNTIF(CONFIG_ASIGNATURAS!$B$7:$B$27,DATOS!$I$2:$I$20000)&gt;0)*(DATOS!$K$2:$K$20000))/SUMPRODUCT((DATOS!$A$2:$A$20000=S945)*(DATOS!$G$2:$G$20000=CONFIG_METADATA!$B$4)*(COUNTIF(CONFIG_ASIGNATURAS!$B$7:$B$27,DATOS!$I$2:$I$20000)&gt;0)*1),"")))</f>
        <v/>
      </c>
      <c r="Z945" t="str">
        <f>IF(Y945="","",IF(Y945="[FÓRMULA MANUAL]","",IFERROR(AVERAGEIFS(DATOS!$K$2:$K$20000,DATOS!$A$2:$A$20000,Y945,DATOS!$G$2:$G$20000,CONFIG_METADATA!$B$4,DATOS!$I$2:$I$20000,"Análisis"),"")))</f>
        <v/>
      </c>
      <c r="AA945" t="str">
        <f>IF(Y945="","",IF(Y945="[FÓRMULA MANUAL]","",IFERROR(AVERAGEIFS(DATOS!$K$2:$K$20000,DATOS!$A$2:$A$20000,Y945,DATOS!$G$2:$G$20000,CONFIG_METADATA!$B$4,DATOS!$I$2:$I$20000,"Orquesta/Banda/Conjunto"),"")))</f>
        <v/>
      </c>
      <c r="AB945" t="str">
        <f>IF(Y945="","",IF(Y945="[FÓRMULA MANUAL]","",IFERROR(AVERAGEIFS(DATOS!$K$2:$K$20000,DATOS!$A$2:$A$20000,Y945,DATOS!$G$2:$G$20000,CONFIG_METADATA!$B$4,DATOS!$I$2:$I$20000,"Música de Cámara"),"")))</f>
        <v/>
      </c>
      <c r="AC945" t="str">
        <f>IF(Y945="","",IF(Y945="[FÓRMULA MANUAL]","",IFERROR(SUMPRODUCT((DATOS!$A$2:$A$20000=Y945)*(DATOS!$G$2:$G$20000=CONFIG_METADATA!$B$4)*(COUNTIF(CONFIG_ASIGNATURAS!$B$7:$B$27,DATOS!$I$2:$I$20000)&gt;0)*(DATOS!$K$2:$K$20000))/SUMPRODUCT((DATOS!$A$2:$A$20000=Y945)*(DATOS!$G$2:$G$20000=CONFIG_METADATA!$B$4)*(COUNTIF(CONFIG_ASIGNATURAS!$B$7:$B$27,DATOS!$I$2:$I$20000)&gt;0)*1),"")))</f>
        <v/>
      </c>
      <c r="AF945" t="str">
        <f>IF(AE945="","",IF(AE945="[FÓRMULA MANUAL]","",IFERROR(AVERAGEIFS(DATOS!$K$2:$K$20000,DATOS!$A$2:$A$20000,AE945,DATOS!$G$2:$G$20000,CONFIG_METADATA!$B$4,DATOS!$I$2:$I$20000,"Análisis"),"")))</f>
        <v/>
      </c>
      <c r="AG945" t="str">
        <f>IF(AE945="","",IF(AE945="[FÓRMULA MANUAL]","",IFERROR(AVERAGEIFS(DATOS!$K$2:$K$20000,DATOS!$A$2:$A$20000,AE945,DATOS!$G$2:$G$20000,CONFIG_METADATA!$B$4,DATOS!$I$2:$I$20000,"Orquesta/Banda/Conjunto"),"")))</f>
        <v/>
      </c>
      <c r="AH945" t="str">
        <f>IF(AE945="","",IF(AE945="[FÓRMULA MANUAL]","",IFERROR(AVERAGEIFS(DATOS!$K$2:$K$20000,DATOS!$A$2:$A$20000,AE945,DATOS!$G$2:$G$20000,CONFIG_METADATA!$B$4,DATOS!$I$2:$I$20000,"Música de Cámara"),"")))</f>
        <v/>
      </c>
      <c r="AI945" t="str">
        <f>IF(AE945="","",IF(AE945="[FÓRMULA MANUAL]","",IFERROR(SUMPRODUCT((DATOS!$A$2:$A$20000=AE945)*(DATOS!$G$2:$G$20000=CONFIG_METADATA!$B$4)*(COUNTIF(CONFIG_ASIGNATURAS!$B$7:$B$27,DATOS!$I$2:$I$20000)&gt;0)*(DATOS!$K$2:$K$20000))/SUMPRODUCT((DATOS!$A$2:$A$20000=AE945)*(DATOS!$G$2:$G$20000=CONFIG_METADATA!$B$4)*(COUNTIF(CONFIG_ASIGNATURAS!$B$7:$B$27,DATOS!$I$2:$I$20000)&gt;0)*1),"")))</f>
        <v/>
      </c>
    </row>
    <row r="946" spans="2:35" x14ac:dyDescent="0.2">
      <c r="B946" t="str">
        <f>IF(A946="","",IF(A946="[FÓRMULA MANUAL]","",IFERROR(AVERAGEIFS(DATOS!$K$2:$K$20000,DATOS!$A$2:$A$20000,A946,DATOS!$G$2:$G$20000,CONFIG_METADATA!$B$4,DATOS!$I$2:$I$20000,"Lenguaje Musical"),"")))</f>
        <v/>
      </c>
      <c r="C946" t="str">
        <f>IF(A946="","",IF(A946="[FÓRMULA MANUAL]","",IFERROR(AVERAGEIFS(DATOS!$K$2:$K$20000,DATOS!$A$2:$A$20000,A946,DATOS!$G$2:$G$20000,CONFIG_METADATA!$B$4,DATOS!$I$2:$I$20000,"Orquesta/Banda/Conjunto"),"")))</f>
        <v/>
      </c>
      <c r="D946" t="str">
        <f>IF(A946="","",IF(A946="[FÓRMULA MANUAL]","",IFERROR(AVERAGEIFS(DATOS!$K$2:$K$20000,DATOS!$A$2:$A$20000,A946,DATOS!$G$2:$G$20000,CONFIG_METADATA!$B$4,DATOS!$I$2:$I$20000,"Conjunto"),"")))</f>
        <v/>
      </c>
      <c r="E946" t="str">
        <f>IF(A946="","",IF(A946="[FÓRMULA MANUAL]","",IFERROR(SUMPRODUCT((DATOS!$A$2:$A$20000=A946)*(DATOS!$G$2:$G$20000=CONFIG_METADATA!$B$4)*(COUNTIF(CONFIG_ASIGNATURAS!$B$7:$B$27,DATOS!$I$2:$I$20000)&gt;0)*(DATOS!$K$2:$K$20000))/SUMPRODUCT((DATOS!$A$2:$A$20000=A946)*(DATOS!$G$2:$G$20000=CONFIG_METADATA!$B$4)*(COUNTIF(CONFIG_ASIGNATURAS!$B$7:$B$27,DATOS!$I$2:$I$20000)&gt;0)*1),"")))</f>
        <v/>
      </c>
      <c r="H946" t="str">
        <f>IF(G946="","",IF(G946="[FÓRMULA MANUAL]","",IFERROR(AVERAGEIFS(DATOS!$K$2:$K$20000,DATOS!$A$2:$A$20000,G946,DATOS!$G$2:$G$20000,CONFIG_METADATA!$B$4,DATOS!$I$2:$I$20000,"Lenguaje Musical"),"")))</f>
        <v/>
      </c>
      <c r="I946" t="str">
        <f>IF(G946="","",IF(G946="[FÓRMULA MANUAL]","",IFERROR(AVERAGEIFS(DATOS!$K$2:$K$20000,DATOS!$A$2:$A$20000,G946,DATOS!$G$2:$G$20000,CONFIG_METADATA!$B$4,DATOS!$I$2:$I$20000,"Orquesta/Banda/Conjunto"),"")))</f>
        <v/>
      </c>
      <c r="J946" t="str">
        <f>IF(G946="","",IF(G946="[FÓRMULA MANUAL]","",IFERROR(AVERAGEIFS(DATOS!$K$2:$K$20000,DATOS!$A$2:$A$20000,G946,DATOS!$G$2:$G$20000,CONFIG_METADATA!$B$4,DATOS!$I$2:$I$20000,"Conjunto"),"")))</f>
        <v/>
      </c>
      <c r="K946" t="str">
        <f>IF(G946="","",IF(G946="[FÓRMULA MANUAL]","",IFERROR(SUMPRODUCT((DATOS!$A$2:$A$20000=G946)*(DATOS!$G$2:$G$20000=CONFIG_METADATA!$B$4)*(COUNTIF(CONFIG_ASIGNATURAS!$B$7:$B$27,DATOS!$I$2:$I$20000)&gt;0)*(DATOS!$K$2:$K$20000))/SUMPRODUCT((DATOS!$A$2:$A$20000=G946)*(DATOS!$G$2:$G$20000=CONFIG_METADATA!$B$4)*(COUNTIF(CONFIG_ASIGNATURAS!$B$7:$B$27,DATOS!$I$2:$I$20000)&gt;0)*1),"")))</f>
        <v/>
      </c>
      <c r="N946" t="str">
        <f>IF(M946="","",IF(M946="[FÓRMULA MANUAL]","",IFERROR(AVERAGEIFS(DATOS!$K$2:$K$20000,DATOS!$A$2:$A$20000,M946,DATOS!$G$2:$G$20000,CONFIG_METADATA!$B$4,DATOS!$I$2:$I$20000,"Armonía"),"")))</f>
        <v/>
      </c>
      <c r="O946" t="str">
        <f>IF(M946="","",IF(M946="[FÓRMULA MANUAL]","",IFERROR(AVERAGEIFS(DATOS!$K$2:$K$20000,DATOS!$A$2:$A$20000,M946,DATOS!$G$2:$G$20000,CONFIG_METADATA!$B$4,DATOS!$I$2:$I$20000,"Orquesta/Banda/Conjunto"),"")))</f>
        <v/>
      </c>
      <c r="P946" t="str">
        <f>IF(M946="","",IF(M946="[FÓRMULA MANUAL]","",IFERROR(AVERAGEIFS(DATOS!$K$2:$K$20000,DATOS!$A$2:$A$20000,M946,DATOS!$G$2:$G$20000,CONFIG_METADATA!$B$4,DATOS!$I$2:$I$20000,"Música de Cámara"),"")))</f>
        <v/>
      </c>
      <c r="Q946" t="str">
        <f>IF(M946="","",IF(M946="[FÓRMULA MANUAL]","",IFERROR(SUMPRODUCT((DATOS!$A$2:$A$20000=M946)*(DATOS!$G$2:$G$20000=CONFIG_METADATA!$B$4)*(COUNTIF(CONFIG_ASIGNATURAS!$B$7:$B$27,DATOS!$I$2:$I$20000)&gt;0)*(DATOS!$K$2:$K$20000))/SUMPRODUCT((DATOS!$A$2:$A$20000=M946)*(DATOS!$G$2:$G$20000=CONFIG_METADATA!$B$4)*(COUNTIF(CONFIG_ASIGNATURAS!$B$7:$B$27,DATOS!$I$2:$I$20000)&gt;0)*1),"")))</f>
        <v/>
      </c>
      <c r="T946" t="str">
        <f>IF(S946="","",IF(S946="[FÓRMULA MANUAL]","",IFERROR(AVERAGEIFS(DATOS!$K$2:$K$20000,DATOS!$A$2:$A$20000,S946,DATOS!$G$2:$G$20000,CONFIG_METADATA!$B$4,DATOS!$I$2:$I$20000,"Armonía"),"")))</f>
        <v/>
      </c>
      <c r="U946" t="str">
        <f>IF(S946="","",IF(S946="[FÓRMULA MANUAL]","",IFERROR(AVERAGEIFS(DATOS!$K$2:$K$20000,DATOS!$A$2:$A$20000,S946,DATOS!$G$2:$G$20000,CONFIG_METADATA!$B$4,DATOS!$I$2:$I$20000,"Orquesta/Banda/Conjunto"),"")))</f>
        <v/>
      </c>
      <c r="V946" t="str">
        <f>IF(S946="","",IF(S946="[FÓRMULA MANUAL]","",IFERROR(AVERAGEIFS(DATOS!$K$2:$K$20000,DATOS!$A$2:$A$20000,S946,DATOS!$G$2:$G$20000,CONFIG_METADATA!$B$4,DATOS!$I$2:$I$20000,"Música de Cámara"),"")))</f>
        <v/>
      </c>
      <c r="W946" t="str">
        <f>IF(S946="","",IF(S946="[FÓRMULA MANUAL]","",IFERROR(SUMPRODUCT((DATOS!$A$2:$A$20000=S946)*(DATOS!$G$2:$G$20000=CONFIG_METADATA!$B$4)*(COUNTIF(CONFIG_ASIGNATURAS!$B$7:$B$27,DATOS!$I$2:$I$20000)&gt;0)*(DATOS!$K$2:$K$20000))/SUMPRODUCT((DATOS!$A$2:$A$20000=S946)*(DATOS!$G$2:$G$20000=CONFIG_METADATA!$B$4)*(COUNTIF(CONFIG_ASIGNATURAS!$B$7:$B$27,DATOS!$I$2:$I$20000)&gt;0)*1),"")))</f>
        <v/>
      </c>
      <c r="Z946" t="str">
        <f>IF(Y946="","",IF(Y946="[FÓRMULA MANUAL]","",IFERROR(AVERAGEIFS(DATOS!$K$2:$K$20000,DATOS!$A$2:$A$20000,Y946,DATOS!$G$2:$G$20000,CONFIG_METADATA!$B$4,DATOS!$I$2:$I$20000,"Análisis"),"")))</f>
        <v/>
      </c>
      <c r="AA946" t="str">
        <f>IF(Y946="","",IF(Y946="[FÓRMULA MANUAL]","",IFERROR(AVERAGEIFS(DATOS!$K$2:$K$20000,DATOS!$A$2:$A$20000,Y946,DATOS!$G$2:$G$20000,CONFIG_METADATA!$B$4,DATOS!$I$2:$I$20000,"Orquesta/Banda/Conjunto"),"")))</f>
        <v/>
      </c>
      <c r="AB946" t="str">
        <f>IF(Y946="","",IF(Y946="[FÓRMULA MANUAL]","",IFERROR(AVERAGEIFS(DATOS!$K$2:$K$20000,DATOS!$A$2:$A$20000,Y946,DATOS!$G$2:$G$20000,CONFIG_METADATA!$B$4,DATOS!$I$2:$I$20000,"Música de Cámara"),"")))</f>
        <v/>
      </c>
      <c r="AC946" t="str">
        <f>IF(Y946="","",IF(Y946="[FÓRMULA MANUAL]","",IFERROR(SUMPRODUCT((DATOS!$A$2:$A$20000=Y946)*(DATOS!$G$2:$G$20000=CONFIG_METADATA!$B$4)*(COUNTIF(CONFIG_ASIGNATURAS!$B$7:$B$27,DATOS!$I$2:$I$20000)&gt;0)*(DATOS!$K$2:$K$20000))/SUMPRODUCT((DATOS!$A$2:$A$20000=Y946)*(DATOS!$G$2:$G$20000=CONFIG_METADATA!$B$4)*(COUNTIF(CONFIG_ASIGNATURAS!$B$7:$B$27,DATOS!$I$2:$I$20000)&gt;0)*1),"")))</f>
        <v/>
      </c>
      <c r="AF946" t="str">
        <f>IF(AE946="","",IF(AE946="[FÓRMULA MANUAL]","",IFERROR(AVERAGEIFS(DATOS!$K$2:$K$20000,DATOS!$A$2:$A$20000,AE946,DATOS!$G$2:$G$20000,CONFIG_METADATA!$B$4,DATOS!$I$2:$I$20000,"Análisis"),"")))</f>
        <v/>
      </c>
      <c r="AG946" t="str">
        <f>IF(AE946="","",IF(AE946="[FÓRMULA MANUAL]","",IFERROR(AVERAGEIFS(DATOS!$K$2:$K$20000,DATOS!$A$2:$A$20000,AE946,DATOS!$G$2:$G$20000,CONFIG_METADATA!$B$4,DATOS!$I$2:$I$20000,"Orquesta/Banda/Conjunto"),"")))</f>
        <v/>
      </c>
      <c r="AH946" t="str">
        <f>IF(AE946="","",IF(AE946="[FÓRMULA MANUAL]","",IFERROR(AVERAGEIFS(DATOS!$K$2:$K$20000,DATOS!$A$2:$A$20000,AE946,DATOS!$G$2:$G$20000,CONFIG_METADATA!$B$4,DATOS!$I$2:$I$20000,"Música de Cámara"),"")))</f>
        <v/>
      </c>
      <c r="AI946" t="str">
        <f>IF(AE946="","",IF(AE946="[FÓRMULA MANUAL]","",IFERROR(SUMPRODUCT((DATOS!$A$2:$A$20000=AE946)*(DATOS!$G$2:$G$20000=CONFIG_METADATA!$B$4)*(COUNTIF(CONFIG_ASIGNATURAS!$B$7:$B$27,DATOS!$I$2:$I$20000)&gt;0)*(DATOS!$K$2:$K$20000))/SUMPRODUCT((DATOS!$A$2:$A$20000=AE946)*(DATOS!$G$2:$G$20000=CONFIG_METADATA!$B$4)*(COUNTIF(CONFIG_ASIGNATURAS!$B$7:$B$27,DATOS!$I$2:$I$20000)&gt;0)*1),"")))</f>
        <v/>
      </c>
    </row>
    <row r="947" spans="2:35" x14ac:dyDescent="0.2">
      <c r="B947" t="str">
        <f>IF(A947="","",IF(A947="[FÓRMULA MANUAL]","",IFERROR(AVERAGEIFS(DATOS!$K$2:$K$20000,DATOS!$A$2:$A$20000,A947,DATOS!$G$2:$G$20000,CONFIG_METADATA!$B$4,DATOS!$I$2:$I$20000,"Lenguaje Musical"),"")))</f>
        <v/>
      </c>
      <c r="C947" t="str">
        <f>IF(A947="","",IF(A947="[FÓRMULA MANUAL]","",IFERROR(AVERAGEIFS(DATOS!$K$2:$K$20000,DATOS!$A$2:$A$20000,A947,DATOS!$G$2:$G$20000,CONFIG_METADATA!$B$4,DATOS!$I$2:$I$20000,"Orquesta/Banda/Conjunto"),"")))</f>
        <v/>
      </c>
      <c r="D947" t="str">
        <f>IF(A947="","",IF(A947="[FÓRMULA MANUAL]","",IFERROR(AVERAGEIFS(DATOS!$K$2:$K$20000,DATOS!$A$2:$A$20000,A947,DATOS!$G$2:$G$20000,CONFIG_METADATA!$B$4,DATOS!$I$2:$I$20000,"Conjunto"),"")))</f>
        <v/>
      </c>
      <c r="E947" t="str">
        <f>IF(A947="","",IF(A947="[FÓRMULA MANUAL]","",IFERROR(SUMPRODUCT((DATOS!$A$2:$A$20000=A947)*(DATOS!$G$2:$G$20000=CONFIG_METADATA!$B$4)*(COUNTIF(CONFIG_ASIGNATURAS!$B$7:$B$27,DATOS!$I$2:$I$20000)&gt;0)*(DATOS!$K$2:$K$20000))/SUMPRODUCT((DATOS!$A$2:$A$20000=A947)*(DATOS!$G$2:$G$20000=CONFIG_METADATA!$B$4)*(COUNTIF(CONFIG_ASIGNATURAS!$B$7:$B$27,DATOS!$I$2:$I$20000)&gt;0)*1),"")))</f>
        <v/>
      </c>
      <c r="H947" t="str">
        <f>IF(G947="","",IF(G947="[FÓRMULA MANUAL]","",IFERROR(AVERAGEIFS(DATOS!$K$2:$K$20000,DATOS!$A$2:$A$20000,G947,DATOS!$G$2:$G$20000,CONFIG_METADATA!$B$4,DATOS!$I$2:$I$20000,"Lenguaje Musical"),"")))</f>
        <v/>
      </c>
      <c r="I947" t="str">
        <f>IF(G947="","",IF(G947="[FÓRMULA MANUAL]","",IFERROR(AVERAGEIFS(DATOS!$K$2:$K$20000,DATOS!$A$2:$A$20000,G947,DATOS!$G$2:$G$20000,CONFIG_METADATA!$B$4,DATOS!$I$2:$I$20000,"Orquesta/Banda/Conjunto"),"")))</f>
        <v/>
      </c>
      <c r="J947" t="str">
        <f>IF(G947="","",IF(G947="[FÓRMULA MANUAL]","",IFERROR(AVERAGEIFS(DATOS!$K$2:$K$20000,DATOS!$A$2:$A$20000,G947,DATOS!$G$2:$G$20000,CONFIG_METADATA!$B$4,DATOS!$I$2:$I$20000,"Conjunto"),"")))</f>
        <v/>
      </c>
      <c r="K947" t="str">
        <f>IF(G947="","",IF(G947="[FÓRMULA MANUAL]","",IFERROR(SUMPRODUCT((DATOS!$A$2:$A$20000=G947)*(DATOS!$G$2:$G$20000=CONFIG_METADATA!$B$4)*(COUNTIF(CONFIG_ASIGNATURAS!$B$7:$B$27,DATOS!$I$2:$I$20000)&gt;0)*(DATOS!$K$2:$K$20000))/SUMPRODUCT((DATOS!$A$2:$A$20000=G947)*(DATOS!$G$2:$G$20000=CONFIG_METADATA!$B$4)*(COUNTIF(CONFIG_ASIGNATURAS!$B$7:$B$27,DATOS!$I$2:$I$20000)&gt;0)*1),"")))</f>
        <v/>
      </c>
      <c r="N947" t="str">
        <f>IF(M947="","",IF(M947="[FÓRMULA MANUAL]","",IFERROR(AVERAGEIFS(DATOS!$K$2:$K$20000,DATOS!$A$2:$A$20000,M947,DATOS!$G$2:$G$20000,CONFIG_METADATA!$B$4,DATOS!$I$2:$I$20000,"Armonía"),"")))</f>
        <v/>
      </c>
      <c r="O947" t="str">
        <f>IF(M947="","",IF(M947="[FÓRMULA MANUAL]","",IFERROR(AVERAGEIFS(DATOS!$K$2:$K$20000,DATOS!$A$2:$A$20000,M947,DATOS!$G$2:$G$20000,CONFIG_METADATA!$B$4,DATOS!$I$2:$I$20000,"Orquesta/Banda/Conjunto"),"")))</f>
        <v/>
      </c>
      <c r="P947" t="str">
        <f>IF(M947="","",IF(M947="[FÓRMULA MANUAL]","",IFERROR(AVERAGEIFS(DATOS!$K$2:$K$20000,DATOS!$A$2:$A$20000,M947,DATOS!$G$2:$G$20000,CONFIG_METADATA!$B$4,DATOS!$I$2:$I$20000,"Música de Cámara"),"")))</f>
        <v/>
      </c>
      <c r="Q947" t="str">
        <f>IF(M947="","",IF(M947="[FÓRMULA MANUAL]","",IFERROR(SUMPRODUCT((DATOS!$A$2:$A$20000=M947)*(DATOS!$G$2:$G$20000=CONFIG_METADATA!$B$4)*(COUNTIF(CONFIG_ASIGNATURAS!$B$7:$B$27,DATOS!$I$2:$I$20000)&gt;0)*(DATOS!$K$2:$K$20000))/SUMPRODUCT((DATOS!$A$2:$A$20000=M947)*(DATOS!$G$2:$G$20000=CONFIG_METADATA!$B$4)*(COUNTIF(CONFIG_ASIGNATURAS!$B$7:$B$27,DATOS!$I$2:$I$20000)&gt;0)*1),"")))</f>
        <v/>
      </c>
      <c r="T947" t="str">
        <f>IF(S947="","",IF(S947="[FÓRMULA MANUAL]","",IFERROR(AVERAGEIFS(DATOS!$K$2:$K$20000,DATOS!$A$2:$A$20000,S947,DATOS!$G$2:$G$20000,CONFIG_METADATA!$B$4,DATOS!$I$2:$I$20000,"Armonía"),"")))</f>
        <v/>
      </c>
      <c r="U947" t="str">
        <f>IF(S947="","",IF(S947="[FÓRMULA MANUAL]","",IFERROR(AVERAGEIFS(DATOS!$K$2:$K$20000,DATOS!$A$2:$A$20000,S947,DATOS!$G$2:$G$20000,CONFIG_METADATA!$B$4,DATOS!$I$2:$I$20000,"Orquesta/Banda/Conjunto"),"")))</f>
        <v/>
      </c>
      <c r="V947" t="str">
        <f>IF(S947="","",IF(S947="[FÓRMULA MANUAL]","",IFERROR(AVERAGEIFS(DATOS!$K$2:$K$20000,DATOS!$A$2:$A$20000,S947,DATOS!$G$2:$G$20000,CONFIG_METADATA!$B$4,DATOS!$I$2:$I$20000,"Música de Cámara"),"")))</f>
        <v/>
      </c>
      <c r="W947" t="str">
        <f>IF(S947="","",IF(S947="[FÓRMULA MANUAL]","",IFERROR(SUMPRODUCT((DATOS!$A$2:$A$20000=S947)*(DATOS!$G$2:$G$20000=CONFIG_METADATA!$B$4)*(COUNTIF(CONFIG_ASIGNATURAS!$B$7:$B$27,DATOS!$I$2:$I$20000)&gt;0)*(DATOS!$K$2:$K$20000))/SUMPRODUCT((DATOS!$A$2:$A$20000=S947)*(DATOS!$G$2:$G$20000=CONFIG_METADATA!$B$4)*(COUNTIF(CONFIG_ASIGNATURAS!$B$7:$B$27,DATOS!$I$2:$I$20000)&gt;0)*1),"")))</f>
        <v/>
      </c>
      <c r="Z947" t="str">
        <f>IF(Y947="","",IF(Y947="[FÓRMULA MANUAL]","",IFERROR(AVERAGEIFS(DATOS!$K$2:$K$20000,DATOS!$A$2:$A$20000,Y947,DATOS!$G$2:$G$20000,CONFIG_METADATA!$B$4,DATOS!$I$2:$I$20000,"Análisis"),"")))</f>
        <v/>
      </c>
      <c r="AA947" t="str">
        <f>IF(Y947="","",IF(Y947="[FÓRMULA MANUAL]","",IFERROR(AVERAGEIFS(DATOS!$K$2:$K$20000,DATOS!$A$2:$A$20000,Y947,DATOS!$G$2:$G$20000,CONFIG_METADATA!$B$4,DATOS!$I$2:$I$20000,"Orquesta/Banda/Conjunto"),"")))</f>
        <v/>
      </c>
      <c r="AB947" t="str">
        <f>IF(Y947="","",IF(Y947="[FÓRMULA MANUAL]","",IFERROR(AVERAGEIFS(DATOS!$K$2:$K$20000,DATOS!$A$2:$A$20000,Y947,DATOS!$G$2:$G$20000,CONFIG_METADATA!$B$4,DATOS!$I$2:$I$20000,"Música de Cámara"),"")))</f>
        <v/>
      </c>
      <c r="AC947" t="str">
        <f>IF(Y947="","",IF(Y947="[FÓRMULA MANUAL]","",IFERROR(SUMPRODUCT((DATOS!$A$2:$A$20000=Y947)*(DATOS!$G$2:$G$20000=CONFIG_METADATA!$B$4)*(COUNTIF(CONFIG_ASIGNATURAS!$B$7:$B$27,DATOS!$I$2:$I$20000)&gt;0)*(DATOS!$K$2:$K$20000))/SUMPRODUCT((DATOS!$A$2:$A$20000=Y947)*(DATOS!$G$2:$G$20000=CONFIG_METADATA!$B$4)*(COUNTIF(CONFIG_ASIGNATURAS!$B$7:$B$27,DATOS!$I$2:$I$20000)&gt;0)*1),"")))</f>
        <v/>
      </c>
      <c r="AF947" t="str">
        <f>IF(AE947="","",IF(AE947="[FÓRMULA MANUAL]","",IFERROR(AVERAGEIFS(DATOS!$K$2:$K$20000,DATOS!$A$2:$A$20000,AE947,DATOS!$G$2:$G$20000,CONFIG_METADATA!$B$4,DATOS!$I$2:$I$20000,"Análisis"),"")))</f>
        <v/>
      </c>
      <c r="AG947" t="str">
        <f>IF(AE947="","",IF(AE947="[FÓRMULA MANUAL]","",IFERROR(AVERAGEIFS(DATOS!$K$2:$K$20000,DATOS!$A$2:$A$20000,AE947,DATOS!$G$2:$G$20000,CONFIG_METADATA!$B$4,DATOS!$I$2:$I$20000,"Orquesta/Banda/Conjunto"),"")))</f>
        <v/>
      </c>
      <c r="AH947" t="str">
        <f>IF(AE947="","",IF(AE947="[FÓRMULA MANUAL]","",IFERROR(AVERAGEIFS(DATOS!$K$2:$K$20000,DATOS!$A$2:$A$20000,AE947,DATOS!$G$2:$G$20000,CONFIG_METADATA!$B$4,DATOS!$I$2:$I$20000,"Música de Cámara"),"")))</f>
        <v/>
      </c>
      <c r="AI947" t="str">
        <f>IF(AE947="","",IF(AE947="[FÓRMULA MANUAL]","",IFERROR(SUMPRODUCT((DATOS!$A$2:$A$20000=AE947)*(DATOS!$G$2:$G$20000=CONFIG_METADATA!$B$4)*(COUNTIF(CONFIG_ASIGNATURAS!$B$7:$B$27,DATOS!$I$2:$I$20000)&gt;0)*(DATOS!$K$2:$K$20000))/SUMPRODUCT((DATOS!$A$2:$A$20000=AE947)*(DATOS!$G$2:$G$20000=CONFIG_METADATA!$B$4)*(COUNTIF(CONFIG_ASIGNATURAS!$B$7:$B$27,DATOS!$I$2:$I$20000)&gt;0)*1),"")))</f>
        <v/>
      </c>
    </row>
    <row r="948" spans="2:35" x14ac:dyDescent="0.2">
      <c r="B948" t="str">
        <f>IF(A948="","",IF(A948="[FÓRMULA MANUAL]","",IFERROR(AVERAGEIFS(DATOS!$K$2:$K$20000,DATOS!$A$2:$A$20000,A948,DATOS!$G$2:$G$20000,CONFIG_METADATA!$B$4,DATOS!$I$2:$I$20000,"Lenguaje Musical"),"")))</f>
        <v/>
      </c>
      <c r="C948" t="str">
        <f>IF(A948="","",IF(A948="[FÓRMULA MANUAL]","",IFERROR(AVERAGEIFS(DATOS!$K$2:$K$20000,DATOS!$A$2:$A$20000,A948,DATOS!$G$2:$G$20000,CONFIG_METADATA!$B$4,DATOS!$I$2:$I$20000,"Orquesta/Banda/Conjunto"),"")))</f>
        <v/>
      </c>
      <c r="D948" t="str">
        <f>IF(A948="","",IF(A948="[FÓRMULA MANUAL]","",IFERROR(AVERAGEIFS(DATOS!$K$2:$K$20000,DATOS!$A$2:$A$20000,A948,DATOS!$G$2:$G$20000,CONFIG_METADATA!$B$4,DATOS!$I$2:$I$20000,"Conjunto"),"")))</f>
        <v/>
      </c>
      <c r="E948" t="str">
        <f>IF(A948="","",IF(A948="[FÓRMULA MANUAL]","",IFERROR(SUMPRODUCT((DATOS!$A$2:$A$20000=A948)*(DATOS!$G$2:$G$20000=CONFIG_METADATA!$B$4)*(COUNTIF(CONFIG_ASIGNATURAS!$B$7:$B$27,DATOS!$I$2:$I$20000)&gt;0)*(DATOS!$K$2:$K$20000))/SUMPRODUCT((DATOS!$A$2:$A$20000=A948)*(DATOS!$G$2:$G$20000=CONFIG_METADATA!$B$4)*(COUNTIF(CONFIG_ASIGNATURAS!$B$7:$B$27,DATOS!$I$2:$I$20000)&gt;0)*1),"")))</f>
        <v/>
      </c>
      <c r="H948" t="str">
        <f>IF(G948="","",IF(G948="[FÓRMULA MANUAL]","",IFERROR(AVERAGEIFS(DATOS!$K$2:$K$20000,DATOS!$A$2:$A$20000,G948,DATOS!$G$2:$G$20000,CONFIG_METADATA!$B$4,DATOS!$I$2:$I$20000,"Lenguaje Musical"),"")))</f>
        <v/>
      </c>
      <c r="I948" t="str">
        <f>IF(G948="","",IF(G948="[FÓRMULA MANUAL]","",IFERROR(AVERAGEIFS(DATOS!$K$2:$K$20000,DATOS!$A$2:$A$20000,G948,DATOS!$G$2:$G$20000,CONFIG_METADATA!$B$4,DATOS!$I$2:$I$20000,"Orquesta/Banda/Conjunto"),"")))</f>
        <v/>
      </c>
      <c r="J948" t="str">
        <f>IF(G948="","",IF(G948="[FÓRMULA MANUAL]","",IFERROR(AVERAGEIFS(DATOS!$K$2:$K$20000,DATOS!$A$2:$A$20000,G948,DATOS!$G$2:$G$20000,CONFIG_METADATA!$B$4,DATOS!$I$2:$I$20000,"Conjunto"),"")))</f>
        <v/>
      </c>
      <c r="K948" t="str">
        <f>IF(G948="","",IF(G948="[FÓRMULA MANUAL]","",IFERROR(SUMPRODUCT((DATOS!$A$2:$A$20000=G948)*(DATOS!$G$2:$G$20000=CONFIG_METADATA!$B$4)*(COUNTIF(CONFIG_ASIGNATURAS!$B$7:$B$27,DATOS!$I$2:$I$20000)&gt;0)*(DATOS!$K$2:$K$20000))/SUMPRODUCT((DATOS!$A$2:$A$20000=G948)*(DATOS!$G$2:$G$20000=CONFIG_METADATA!$B$4)*(COUNTIF(CONFIG_ASIGNATURAS!$B$7:$B$27,DATOS!$I$2:$I$20000)&gt;0)*1),"")))</f>
        <v/>
      </c>
      <c r="N948" t="str">
        <f>IF(M948="","",IF(M948="[FÓRMULA MANUAL]","",IFERROR(AVERAGEIFS(DATOS!$K$2:$K$20000,DATOS!$A$2:$A$20000,M948,DATOS!$G$2:$G$20000,CONFIG_METADATA!$B$4,DATOS!$I$2:$I$20000,"Armonía"),"")))</f>
        <v/>
      </c>
      <c r="O948" t="str">
        <f>IF(M948="","",IF(M948="[FÓRMULA MANUAL]","",IFERROR(AVERAGEIFS(DATOS!$K$2:$K$20000,DATOS!$A$2:$A$20000,M948,DATOS!$G$2:$G$20000,CONFIG_METADATA!$B$4,DATOS!$I$2:$I$20000,"Orquesta/Banda/Conjunto"),"")))</f>
        <v/>
      </c>
      <c r="P948" t="str">
        <f>IF(M948="","",IF(M948="[FÓRMULA MANUAL]","",IFERROR(AVERAGEIFS(DATOS!$K$2:$K$20000,DATOS!$A$2:$A$20000,M948,DATOS!$G$2:$G$20000,CONFIG_METADATA!$B$4,DATOS!$I$2:$I$20000,"Música de Cámara"),"")))</f>
        <v/>
      </c>
      <c r="Q948" t="str">
        <f>IF(M948="","",IF(M948="[FÓRMULA MANUAL]","",IFERROR(SUMPRODUCT((DATOS!$A$2:$A$20000=M948)*(DATOS!$G$2:$G$20000=CONFIG_METADATA!$B$4)*(COUNTIF(CONFIG_ASIGNATURAS!$B$7:$B$27,DATOS!$I$2:$I$20000)&gt;0)*(DATOS!$K$2:$K$20000))/SUMPRODUCT((DATOS!$A$2:$A$20000=M948)*(DATOS!$G$2:$G$20000=CONFIG_METADATA!$B$4)*(COUNTIF(CONFIG_ASIGNATURAS!$B$7:$B$27,DATOS!$I$2:$I$20000)&gt;0)*1),"")))</f>
        <v/>
      </c>
      <c r="T948" t="str">
        <f>IF(S948="","",IF(S948="[FÓRMULA MANUAL]","",IFERROR(AVERAGEIFS(DATOS!$K$2:$K$20000,DATOS!$A$2:$A$20000,S948,DATOS!$G$2:$G$20000,CONFIG_METADATA!$B$4,DATOS!$I$2:$I$20000,"Armonía"),"")))</f>
        <v/>
      </c>
      <c r="U948" t="str">
        <f>IF(S948="","",IF(S948="[FÓRMULA MANUAL]","",IFERROR(AVERAGEIFS(DATOS!$K$2:$K$20000,DATOS!$A$2:$A$20000,S948,DATOS!$G$2:$G$20000,CONFIG_METADATA!$B$4,DATOS!$I$2:$I$20000,"Orquesta/Banda/Conjunto"),"")))</f>
        <v/>
      </c>
      <c r="V948" t="str">
        <f>IF(S948="","",IF(S948="[FÓRMULA MANUAL]","",IFERROR(AVERAGEIFS(DATOS!$K$2:$K$20000,DATOS!$A$2:$A$20000,S948,DATOS!$G$2:$G$20000,CONFIG_METADATA!$B$4,DATOS!$I$2:$I$20000,"Música de Cámara"),"")))</f>
        <v/>
      </c>
      <c r="W948" t="str">
        <f>IF(S948="","",IF(S948="[FÓRMULA MANUAL]","",IFERROR(SUMPRODUCT((DATOS!$A$2:$A$20000=S948)*(DATOS!$G$2:$G$20000=CONFIG_METADATA!$B$4)*(COUNTIF(CONFIG_ASIGNATURAS!$B$7:$B$27,DATOS!$I$2:$I$20000)&gt;0)*(DATOS!$K$2:$K$20000))/SUMPRODUCT((DATOS!$A$2:$A$20000=S948)*(DATOS!$G$2:$G$20000=CONFIG_METADATA!$B$4)*(COUNTIF(CONFIG_ASIGNATURAS!$B$7:$B$27,DATOS!$I$2:$I$20000)&gt;0)*1),"")))</f>
        <v/>
      </c>
      <c r="Z948" t="str">
        <f>IF(Y948="","",IF(Y948="[FÓRMULA MANUAL]","",IFERROR(AVERAGEIFS(DATOS!$K$2:$K$20000,DATOS!$A$2:$A$20000,Y948,DATOS!$G$2:$G$20000,CONFIG_METADATA!$B$4,DATOS!$I$2:$I$20000,"Análisis"),"")))</f>
        <v/>
      </c>
      <c r="AA948" t="str">
        <f>IF(Y948="","",IF(Y948="[FÓRMULA MANUAL]","",IFERROR(AVERAGEIFS(DATOS!$K$2:$K$20000,DATOS!$A$2:$A$20000,Y948,DATOS!$G$2:$G$20000,CONFIG_METADATA!$B$4,DATOS!$I$2:$I$20000,"Orquesta/Banda/Conjunto"),"")))</f>
        <v/>
      </c>
      <c r="AB948" t="str">
        <f>IF(Y948="","",IF(Y948="[FÓRMULA MANUAL]","",IFERROR(AVERAGEIFS(DATOS!$K$2:$K$20000,DATOS!$A$2:$A$20000,Y948,DATOS!$G$2:$G$20000,CONFIG_METADATA!$B$4,DATOS!$I$2:$I$20000,"Música de Cámara"),"")))</f>
        <v/>
      </c>
      <c r="AC948" t="str">
        <f>IF(Y948="","",IF(Y948="[FÓRMULA MANUAL]","",IFERROR(SUMPRODUCT((DATOS!$A$2:$A$20000=Y948)*(DATOS!$G$2:$G$20000=CONFIG_METADATA!$B$4)*(COUNTIF(CONFIG_ASIGNATURAS!$B$7:$B$27,DATOS!$I$2:$I$20000)&gt;0)*(DATOS!$K$2:$K$20000))/SUMPRODUCT((DATOS!$A$2:$A$20000=Y948)*(DATOS!$G$2:$G$20000=CONFIG_METADATA!$B$4)*(COUNTIF(CONFIG_ASIGNATURAS!$B$7:$B$27,DATOS!$I$2:$I$20000)&gt;0)*1),"")))</f>
        <v/>
      </c>
      <c r="AF948" t="str">
        <f>IF(AE948="","",IF(AE948="[FÓRMULA MANUAL]","",IFERROR(AVERAGEIFS(DATOS!$K$2:$K$20000,DATOS!$A$2:$A$20000,AE948,DATOS!$G$2:$G$20000,CONFIG_METADATA!$B$4,DATOS!$I$2:$I$20000,"Análisis"),"")))</f>
        <v/>
      </c>
      <c r="AG948" t="str">
        <f>IF(AE948="","",IF(AE948="[FÓRMULA MANUAL]","",IFERROR(AVERAGEIFS(DATOS!$K$2:$K$20000,DATOS!$A$2:$A$20000,AE948,DATOS!$G$2:$G$20000,CONFIG_METADATA!$B$4,DATOS!$I$2:$I$20000,"Orquesta/Banda/Conjunto"),"")))</f>
        <v/>
      </c>
      <c r="AH948" t="str">
        <f>IF(AE948="","",IF(AE948="[FÓRMULA MANUAL]","",IFERROR(AVERAGEIFS(DATOS!$K$2:$K$20000,DATOS!$A$2:$A$20000,AE948,DATOS!$G$2:$G$20000,CONFIG_METADATA!$B$4,DATOS!$I$2:$I$20000,"Música de Cámara"),"")))</f>
        <v/>
      </c>
      <c r="AI948" t="str">
        <f>IF(AE948="","",IF(AE948="[FÓRMULA MANUAL]","",IFERROR(SUMPRODUCT((DATOS!$A$2:$A$20000=AE948)*(DATOS!$G$2:$G$20000=CONFIG_METADATA!$B$4)*(COUNTIF(CONFIG_ASIGNATURAS!$B$7:$B$27,DATOS!$I$2:$I$20000)&gt;0)*(DATOS!$K$2:$K$20000))/SUMPRODUCT((DATOS!$A$2:$A$20000=AE948)*(DATOS!$G$2:$G$20000=CONFIG_METADATA!$B$4)*(COUNTIF(CONFIG_ASIGNATURAS!$B$7:$B$27,DATOS!$I$2:$I$20000)&gt;0)*1),"")))</f>
        <v/>
      </c>
    </row>
    <row r="949" spans="2:35" x14ac:dyDescent="0.2">
      <c r="B949" t="str">
        <f>IF(A949="","",IF(A949="[FÓRMULA MANUAL]","",IFERROR(AVERAGEIFS(DATOS!$K$2:$K$20000,DATOS!$A$2:$A$20000,A949,DATOS!$G$2:$G$20000,CONFIG_METADATA!$B$4,DATOS!$I$2:$I$20000,"Lenguaje Musical"),"")))</f>
        <v/>
      </c>
      <c r="C949" t="str">
        <f>IF(A949="","",IF(A949="[FÓRMULA MANUAL]","",IFERROR(AVERAGEIFS(DATOS!$K$2:$K$20000,DATOS!$A$2:$A$20000,A949,DATOS!$G$2:$G$20000,CONFIG_METADATA!$B$4,DATOS!$I$2:$I$20000,"Orquesta/Banda/Conjunto"),"")))</f>
        <v/>
      </c>
      <c r="D949" t="str">
        <f>IF(A949="","",IF(A949="[FÓRMULA MANUAL]","",IFERROR(AVERAGEIFS(DATOS!$K$2:$K$20000,DATOS!$A$2:$A$20000,A949,DATOS!$G$2:$G$20000,CONFIG_METADATA!$B$4,DATOS!$I$2:$I$20000,"Conjunto"),"")))</f>
        <v/>
      </c>
      <c r="E949" t="str">
        <f>IF(A949="","",IF(A949="[FÓRMULA MANUAL]","",IFERROR(SUMPRODUCT((DATOS!$A$2:$A$20000=A949)*(DATOS!$G$2:$G$20000=CONFIG_METADATA!$B$4)*(COUNTIF(CONFIG_ASIGNATURAS!$B$7:$B$27,DATOS!$I$2:$I$20000)&gt;0)*(DATOS!$K$2:$K$20000))/SUMPRODUCT((DATOS!$A$2:$A$20000=A949)*(DATOS!$G$2:$G$20000=CONFIG_METADATA!$B$4)*(COUNTIF(CONFIG_ASIGNATURAS!$B$7:$B$27,DATOS!$I$2:$I$20000)&gt;0)*1),"")))</f>
        <v/>
      </c>
      <c r="H949" t="str">
        <f>IF(G949="","",IF(G949="[FÓRMULA MANUAL]","",IFERROR(AVERAGEIFS(DATOS!$K$2:$K$20000,DATOS!$A$2:$A$20000,G949,DATOS!$G$2:$G$20000,CONFIG_METADATA!$B$4,DATOS!$I$2:$I$20000,"Lenguaje Musical"),"")))</f>
        <v/>
      </c>
      <c r="I949" t="str">
        <f>IF(G949="","",IF(G949="[FÓRMULA MANUAL]","",IFERROR(AVERAGEIFS(DATOS!$K$2:$K$20000,DATOS!$A$2:$A$20000,G949,DATOS!$G$2:$G$20000,CONFIG_METADATA!$B$4,DATOS!$I$2:$I$20000,"Orquesta/Banda/Conjunto"),"")))</f>
        <v/>
      </c>
      <c r="J949" t="str">
        <f>IF(G949="","",IF(G949="[FÓRMULA MANUAL]","",IFERROR(AVERAGEIFS(DATOS!$K$2:$K$20000,DATOS!$A$2:$A$20000,G949,DATOS!$G$2:$G$20000,CONFIG_METADATA!$B$4,DATOS!$I$2:$I$20000,"Conjunto"),"")))</f>
        <v/>
      </c>
      <c r="K949" t="str">
        <f>IF(G949="","",IF(G949="[FÓRMULA MANUAL]","",IFERROR(SUMPRODUCT((DATOS!$A$2:$A$20000=G949)*(DATOS!$G$2:$G$20000=CONFIG_METADATA!$B$4)*(COUNTIF(CONFIG_ASIGNATURAS!$B$7:$B$27,DATOS!$I$2:$I$20000)&gt;0)*(DATOS!$K$2:$K$20000))/SUMPRODUCT((DATOS!$A$2:$A$20000=G949)*(DATOS!$G$2:$G$20000=CONFIG_METADATA!$B$4)*(COUNTIF(CONFIG_ASIGNATURAS!$B$7:$B$27,DATOS!$I$2:$I$20000)&gt;0)*1),"")))</f>
        <v/>
      </c>
      <c r="N949" t="str">
        <f>IF(M949="","",IF(M949="[FÓRMULA MANUAL]","",IFERROR(AVERAGEIFS(DATOS!$K$2:$K$20000,DATOS!$A$2:$A$20000,M949,DATOS!$G$2:$G$20000,CONFIG_METADATA!$B$4,DATOS!$I$2:$I$20000,"Armonía"),"")))</f>
        <v/>
      </c>
      <c r="O949" t="str">
        <f>IF(M949="","",IF(M949="[FÓRMULA MANUAL]","",IFERROR(AVERAGEIFS(DATOS!$K$2:$K$20000,DATOS!$A$2:$A$20000,M949,DATOS!$G$2:$G$20000,CONFIG_METADATA!$B$4,DATOS!$I$2:$I$20000,"Orquesta/Banda/Conjunto"),"")))</f>
        <v/>
      </c>
      <c r="P949" t="str">
        <f>IF(M949="","",IF(M949="[FÓRMULA MANUAL]","",IFERROR(AVERAGEIFS(DATOS!$K$2:$K$20000,DATOS!$A$2:$A$20000,M949,DATOS!$G$2:$G$20000,CONFIG_METADATA!$B$4,DATOS!$I$2:$I$20000,"Música de Cámara"),"")))</f>
        <v/>
      </c>
      <c r="Q949" t="str">
        <f>IF(M949="","",IF(M949="[FÓRMULA MANUAL]","",IFERROR(SUMPRODUCT((DATOS!$A$2:$A$20000=M949)*(DATOS!$G$2:$G$20000=CONFIG_METADATA!$B$4)*(COUNTIF(CONFIG_ASIGNATURAS!$B$7:$B$27,DATOS!$I$2:$I$20000)&gt;0)*(DATOS!$K$2:$K$20000))/SUMPRODUCT((DATOS!$A$2:$A$20000=M949)*(DATOS!$G$2:$G$20000=CONFIG_METADATA!$B$4)*(COUNTIF(CONFIG_ASIGNATURAS!$B$7:$B$27,DATOS!$I$2:$I$20000)&gt;0)*1),"")))</f>
        <v/>
      </c>
      <c r="T949" t="str">
        <f>IF(S949="","",IF(S949="[FÓRMULA MANUAL]","",IFERROR(AVERAGEIFS(DATOS!$K$2:$K$20000,DATOS!$A$2:$A$20000,S949,DATOS!$G$2:$G$20000,CONFIG_METADATA!$B$4,DATOS!$I$2:$I$20000,"Armonía"),"")))</f>
        <v/>
      </c>
      <c r="U949" t="str">
        <f>IF(S949="","",IF(S949="[FÓRMULA MANUAL]","",IFERROR(AVERAGEIFS(DATOS!$K$2:$K$20000,DATOS!$A$2:$A$20000,S949,DATOS!$G$2:$G$20000,CONFIG_METADATA!$B$4,DATOS!$I$2:$I$20000,"Orquesta/Banda/Conjunto"),"")))</f>
        <v/>
      </c>
      <c r="V949" t="str">
        <f>IF(S949="","",IF(S949="[FÓRMULA MANUAL]","",IFERROR(AVERAGEIFS(DATOS!$K$2:$K$20000,DATOS!$A$2:$A$20000,S949,DATOS!$G$2:$G$20000,CONFIG_METADATA!$B$4,DATOS!$I$2:$I$20000,"Música de Cámara"),"")))</f>
        <v/>
      </c>
      <c r="W949" t="str">
        <f>IF(S949="","",IF(S949="[FÓRMULA MANUAL]","",IFERROR(SUMPRODUCT((DATOS!$A$2:$A$20000=S949)*(DATOS!$G$2:$G$20000=CONFIG_METADATA!$B$4)*(COUNTIF(CONFIG_ASIGNATURAS!$B$7:$B$27,DATOS!$I$2:$I$20000)&gt;0)*(DATOS!$K$2:$K$20000))/SUMPRODUCT((DATOS!$A$2:$A$20000=S949)*(DATOS!$G$2:$G$20000=CONFIG_METADATA!$B$4)*(COUNTIF(CONFIG_ASIGNATURAS!$B$7:$B$27,DATOS!$I$2:$I$20000)&gt;0)*1),"")))</f>
        <v/>
      </c>
      <c r="Z949" t="str">
        <f>IF(Y949="","",IF(Y949="[FÓRMULA MANUAL]","",IFERROR(AVERAGEIFS(DATOS!$K$2:$K$20000,DATOS!$A$2:$A$20000,Y949,DATOS!$G$2:$G$20000,CONFIG_METADATA!$B$4,DATOS!$I$2:$I$20000,"Análisis"),"")))</f>
        <v/>
      </c>
      <c r="AA949" t="str">
        <f>IF(Y949="","",IF(Y949="[FÓRMULA MANUAL]","",IFERROR(AVERAGEIFS(DATOS!$K$2:$K$20000,DATOS!$A$2:$A$20000,Y949,DATOS!$G$2:$G$20000,CONFIG_METADATA!$B$4,DATOS!$I$2:$I$20000,"Orquesta/Banda/Conjunto"),"")))</f>
        <v/>
      </c>
      <c r="AB949" t="str">
        <f>IF(Y949="","",IF(Y949="[FÓRMULA MANUAL]","",IFERROR(AVERAGEIFS(DATOS!$K$2:$K$20000,DATOS!$A$2:$A$20000,Y949,DATOS!$G$2:$G$20000,CONFIG_METADATA!$B$4,DATOS!$I$2:$I$20000,"Música de Cámara"),"")))</f>
        <v/>
      </c>
      <c r="AC949" t="str">
        <f>IF(Y949="","",IF(Y949="[FÓRMULA MANUAL]","",IFERROR(SUMPRODUCT((DATOS!$A$2:$A$20000=Y949)*(DATOS!$G$2:$G$20000=CONFIG_METADATA!$B$4)*(COUNTIF(CONFIG_ASIGNATURAS!$B$7:$B$27,DATOS!$I$2:$I$20000)&gt;0)*(DATOS!$K$2:$K$20000))/SUMPRODUCT((DATOS!$A$2:$A$20000=Y949)*(DATOS!$G$2:$G$20000=CONFIG_METADATA!$B$4)*(COUNTIF(CONFIG_ASIGNATURAS!$B$7:$B$27,DATOS!$I$2:$I$20000)&gt;0)*1),"")))</f>
        <v/>
      </c>
      <c r="AF949" t="str">
        <f>IF(AE949="","",IF(AE949="[FÓRMULA MANUAL]","",IFERROR(AVERAGEIFS(DATOS!$K$2:$K$20000,DATOS!$A$2:$A$20000,AE949,DATOS!$G$2:$G$20000,CONFIG_METADATA!$B$4,DATOS!$I$2:$I$20000,"Análisis"),"")))</f>
        <v/>
      </c>
      <c r="AG949" t="str">
        <f>IF(AE949="","",IF(AE949="[FÓRMULA MANUAL]","",IFERROR(AVERAGEIFS(DATOS!$K$2:$K$20000,DATOS!$A$2:$A$20000,AE949,DATOS!$G$2:$G$20000,CONFIG_METADATA!$B$4,DATOS!$I$2:$I$20000,"Orquesta/Banda/Conjunto"),"")))</f>
        <v/>
      </c>
      <c r="AH949" t="str">
        <f>IF(AE949="","",IF(AE949="[FÓRMULA MANUAL]","",IFERROR(AVERAGEIFS(DATOS!$K$2:$K$20000,DATOS!$A$2:$A$20000,AE949,DATOS!$G$2:$G$20000,CONFIG_METADATA!$B$4,DATOS!$I$2:$I$20000,"Música de Cámara"),"")))</f>
        <v/>
      </c>
      <c r="AI949" t="str">
        <f>IF(AE949="","",IF(AE949="[FÓRMULA MANUAL]","",IFERROR(SUMPRODUCT((DATOS!$A$2:$A$20000=AE949)*(DATOS!$G$2:$G$20000=CONFIG_METADATA!$B$4)*(COUNTIF(CONFIG_ASIGNATURAS!$B$7:$B$27,DATOS!$I$2:$I$20000)&gt;0)*(DATOS!$K$2:$K$20000))/SUMPRODUCT((DATOS!$A$2:$A$20000=AE949)*(DATOS!$G$2:$G$20000=CONFIG_METADATA!$B$4)*(COUNTIF(CONFIG_ASIGNATURAS!$B$7:$B$27,DATOS!$I$2:$I$20000)&gt;0)*1),"")))</f>
        <v/>
      </c>
    </row>
    <row r="950" spans="2:35" x14ac:dyDescent="0.2">
      <c r="B950" t="str">
        <f>IF(A950="","",IF(A950="[FÓRMULA MANUAL]","",IFERROR(AVERAGEIFS(DATOS!$K$2:$K$20000,DATOS!$A$2:$A$20000,A950,DATOS!$G$2:$G$20000,CONFIG_METADATA!$B$4,DATOS!$I$2:$I$20000,"Lenguaje Musical"),"")))</f>
        <v/>
      </c>
      <c r="C950" t="str">
        <f>IF(A950="","",IF(A950="[FÓRMULA MANUAL]","",IFERROR(AVERAGEIFS(DATOS!$K$2:$K$20000,DATOS!$A$2:$A$20000,A950,DATOS!$G$2:$G$20000,CONFIG_METADATA!$B$4,DATOS!$I$2:$I$20000,"Orquesta/Banda/Conjunto"),"")))</f>
        <v/>
      </c>
      <c r="D950" t="str">
        <f>IF(A950="","",IF(A950="[FÓRMULA MANUAL]","",IFERROR(AVERAGEIFS(DATOS!$K$2:$K$20000,DATOS!$A$2:$A$20000,A950,DATOS!$G$2:$G$20000,CONFIG_METADATA!$B$4,DATOS!$I$2:$I$20000,"Conjunto"),"")))</f>
        <v/>
      </c>
      <c r="E950" t="str">
        <f>IF(A950="","",IF(A950="[FÓRMULA MANUAL]","",IFERROR(SUMPRODUCT((DATOS!$A$2:$A$20000=A950)*(DATOS!$G$2:$G$20000=CONFIG_METADATA!$B$4)*(COUNTIF(CONFIG_ASIGNATURAS!$B$7:$B$27,DATOS!$I$2:$I$20000)&gt;0)*(DATOS!$K$2:$K$20000))/SUMPRODUCT((DATOS!$A$2:$A$20000=A950)*(DATOS!$G$2:$G$20000=CONFIG_METADATA!$B$4)*(COUNTIF(CONFIG_ASIGNATURAS!$B$7:$B$27,DATOS!$I$2:$I$20000)&gt;0)*1),"")))</f>
        <v/>
      </c>
      <c r="H950" t="str">
        <f>IF(G950="","",IF(G950="[FÓRMULA MANUAL]","",IFERROR(AVERAGEIFS(DATOS!$K$2:$K$20000,DATOS!$A$2:$A$20000,G950,DATOS!$G$2:$G$20000,CONFIG_METADATA!$B$4,DATOS!$I$2:$I$20000,"Lenguaje Musical"),"")))</f>
        <v/>
      </c>
      <c r="I950" t="str">
        <f>IF(G950="","",IF(G950="[FÓRMULA MANUAL]","",IFERROR(AVERAGEIFS(DATOS!$K$2:$K$20000,DATOS!$A$2:$A$20000,G950,DATOS!$G$2:$G$20000,CONFIG_METADATA!$B$4,DATOS!$I$2:$I$20000,"Orquesta/Banda/Conjunto"),"")))</f>
        <v/>
      </c>
      <c r="J950" t="str">
        <f>IF(G950="","",IF(G950="[FÓRMULA MANUAL]","",IFERROR(AVERAGEIFS(DATOS!$K$2:$K$20000,DATOS!$A$2:$A$20000,G950,DATOS!$G$2:$G$20000,CONFIG_METADATA!$B$4,DATOS!$I$2:$I$20000,"Conjunto"),"")))</f>
        <v/>
      </c>
      <c r="K950" t="str">
        <f>IF(G950="","",IF(G950="[FÓRMULA MANUAL]","",IFERROR(SUMPRODUCT((DATOS!$A$2:$A$20000=G950)*(DATOS!$G$2:$G$20000=CONFIG_METADATA!$B$4)*(COUNTIF(CONFIG_ASIGNATURAS!$B$7:$B$27,DATOS!$I$2:$I$20000)&gt;0)*(DATOS!$K$2:$K$20000))/SUMPRODUCT((DATOS!$A$2:$A$20000=G950)*(DATOS!$G$2:$G$20000=CONFIG_METADATA!$B$4)*(COUNTIF(CONFIG_ASIGNATURAS!$B$7:$B$27,DATOS!$I$2:$I$20000)&gt;0)*1),"")))</f>
        <v/>
      </c>
      <c r="N950" t="str">
        <f>IF(M950="","",IF(M950="[FÓRMULA MANUAL]","",IFERROR(AVERAGEIFS(DATOS!$K$2:$K$20000,DATOS!$A$2:$A$20000,M950,DATOS!$G$2:$G$20000,CONFIG_METADATA!$B$4,DATOS!$I$2:$I$20000,"Armonía"),"")))</f>
        <v/>
      </c>
      <c r="O950" t="str">
        <f>IF(M950="","",IF(M950="[FÓRMULA MANUAL]","",IFERROR(AVERAGEIFS(DATOS!$K$2:$K$20000,DATOS!$A$2:$A$20000,M950,DATOS!$G$2:$G$20000,CONFIG_METADATA!$B$4,DATOS!$I$2:$I$20000,"Orquesta/Banda/Conjunto"),"")))</f>
        <v/>
      </c>
      <c r="P950" t="str">
        <f>IF(M950="","",IF(M950="[FÓRMULA MANUAL]","",IFERROR(AVERAGEIFS(DATOS!$K$2:$K$20000,DATOS!$A$2:$A$20000,M950,DATOS!$G$2:$G$20000,CONFIG_METADATA!$B$4,DATOS!$I$2:$I$20000,"Música de Cámara"),"")))</f>
        <v/>
      </c>
      <c r="Q950" t="str">
        <f>IF(M950="","",IF(M950="[FÓRMULA MANUAL]","",IFERROR(SUMPRODUCT((DATOS!$A$2:$A$20000=M950)*(DATOS!$G$2:$G$20000=CONFIG_METADATA!$B$4)*(COUNTIF(CONFIG_ASIGNATURAS!$B$7:$B$27,DATOS!$I$2:$I$20000)&gt;0)*(DATOS!$K$2:$K$20000))/SUMPRODUCT((DATOS!$A$2:$A$20000=M950)*(DATOS!$G$2:$G$20000=CONFIG_METADATA!$B$4)*(COUNTIF(CONFIG_ASIGNATURAS!$B$7:$B$27,DATOS!$I$2:$I$20000)&gt;0)*1),"")))</f>
        <v/>
      </c>
      <c r="T950" t="str">
        <f>IF(S950="","",IF(S950="[FÓRMULA MANUAL]","",IFERROR(AVERAGEIFS(DATOS!$K$2:$K$20000,DATOS!$A$2:$A$20000,S950,DATOS!$G$2:$G$20000,CONFIG_METADATA!$B$4,DATOS!$I$2:$I$20000,"Armonía"),"")))</f>
        <v/>
      </c>
      <c r="U950" t="str">
        <f>IF(S950="","",IF(S950="[FÓRMULA MANUAL]","",IFERROR(AVERAGEIFS(DATOS!$K$2:$K$20000,DATOS!$A$2:$A$20000,S950,DATOS!$G$2:$G$20000,CONFIG_METADATA!$B$4,DATOS!$I$2:$I$20000,"Orquesta/Banda/Conjunto"),"")))</f>
        <v/>
      </c>
      <c r="V950" t="str">
        <f>IF(S950="","",IF(S950="[FÓRMULA MANUAL]","",IFERROR(AVERAGEIFS(DATOS!$K$2:$K$20000,DATOS!$A$2:$A$20000,S950,DATOS!$G$2:$G$20000,CONFIG_METADATA!$B$4,DATOS!$I$2:$I$20000,"Música de Cámara"),"")))</f>
        <v/>
      </c>
      <c r="W950" t="str">
        <f>IF(S950="","",IF(S950="[FÓRMULA MANUAL]","",IFERROR(SUMPRODUCT((DATOS!$A$2:$A$20000=S950)*(DATOS!$G$2:$G$20000=CONFIG_METADATA!$B$4)*(COUNTIF(CONFIG_ASIGNATURAS!$B$7:$B$27,DATOS!$I$2:$I$20000)&gt;0)*(DATOS!$K$2:$K$20000))/SUMPRODUCT((DATOS!$A$2:$A$20000=S950)*(DATOS!$G$2:$G$20000=CONFIG_METADATA!$B$4)*(COUNTIF(CONFIG_ASIGNATURAS!$B$7:$B$27,DATOS!$I$2:$I$20000)&gt;0)*1),"")))</f>
        <v/>
      </c>
      <c r="Z950" t="str">
        <f>IF(Y950="","",IF(Y950="[FÓRMULA MANUAL]","",IFERROR(AVERAGEIFS(DATOS!$K$2:$K$20000,DATOS!$A$2:$A$20000,Y950,DATOS!$G$2:$G$20000,CONFIG_METADATA!$B$4,DATOS!$I$2:$I$20000,"Análisis"),"")))</f>
        <v/>
      </c>
      <c r="AA950" t="str">
        <f>IF(Y950="","",IF(Y950="[FÓRMULA MANUAL]","",IFERROR(AVERAGEIFS(DATOS!$K$2:$K$20000,DATOS!$A$2:$A$20000,Y950,DATOS!$G$2:$G$20000,CONFIG_METADATA!$B$4,DATOS!$I$2:$I$20000,"Orquesta/Banda/Conjunto"),"")))</f>
        <v/>
      </c>
      <c r="AB950" t="str">
        <f>IF(Y950="","",IF(Y950="[FÓRMULA MANUAL]","",IFERROR(AVERAGEIFS(DATOS!$K$2:$K$20000,DATOS!$A$2:$A$20000,Y950,DATOS!$G$2:$G$20000,CONFIG_METADATA!$B$4,DATOS!$I$2:$I$20000,"Música de Cámara"),"")))</f>
        <v/>
      </c>
      <c r="AC950" t="str">
        <f>IF(Y950="","",IF(Y950="[FÓRMULA MANUAL]","",IFERROR(SUMPRODUCT((DATOS!$A$2:$A$20000=Y950)*(DATOS!$G$2:$G$20000=CONFIG_METADATA!$B$4)*(COUNTIF(CONFIG_ASIGNATURAS!$B$7:$B$27,DATOS!$I$2:$I$20000)&gt;0)*(DATOS!$K$2:$K$20000))/SUMPRODUCT((DATOS!$A$2:$A$20000=Y950)*(DATOS!$G$2:$G$20000=CONFIG_METADATA!$B$4)*(COUNTIF(CONFIG_ASIGNATURAS!$B$7:$B$27,DATOS!$I$2:$I$20000)&gt;0)*1),"")))</f>
        <v/>
      </c>
      <c r="AF950" t="str">
        <f>IF(AE950="","",IF(AE950="[FÓRMULA MANUAL]","",IFERROR(AVERAGEIFS(DATOS!$K$2:$K$20000,DATOS!$A$2:$A$20000,AE950,DATOS!$G$2:$G$20000,CONFIG_METADATA!$B$4,DATOS!$I$2:$I$20000,"Análisis"),"")))</f>
        <v/>
      </c>
      <c r="AG950" t="str">
        <f>IF(AE950="","",IF(AE950="[FÓRMULA MANUAL]","",IFERROR(AVERAGEIFS(DATOS!$K$2:$K$20000,DATOS!$A$2:$A$20000,AE950,DATOS!$G$2:$G$20000,CONFIG_METADATA!$B$4,DATOS!$I$2:$I$20000,"Orquesta/Banda/Conjunto"),"")))</f>
        <v/>
      </c>
      <c r="AH950" t="str">
        <f>IF(AE950="","",IF(AE950="[FÓRMULA MANUAL]","",IFERROR(AVERAGEIFS(DATOS!$K$2:$K$20000,DATOS!$A$2:$A$20000,AE950,DATOS!$G$2:$G$20000,CONFIG_METADATA!$B$4,DATOS!$I$2:$I$20000,"Música de Cámara"),"")))</f>
        <v/>
      </c>
      <c r="AI950" t="str">
        <f>IF(AE950="","",IF(AE950="[FÓRMULA MANUAL]","",IFERROR(SUMPRODUCT((DATOS!$A$2:$A$20000=AE950)*(DATOS!$G$2:$G$20000=CONFIG_METADATA!$B$4)*(COUNTIF(CONFIG_ASIGNATURAS!$B$7:$B$27,DATOS!$I$2:$I$20000)&gt;0)*(DATOS!$K$2:$K$20000))/SUMPRODUCT((DATOS!$A$2:$A$20000=AE950)*(DATOS!$G$2:$G$20000=CONFIG_METADATA!$B$4)*(COUNTIF(CONFIG_ASIGNATURAS!$B$7:$B$27,DATOS!$I$2:$I$20000)&gt;0)*1),"")))</f>
        <v/>
      </c>
    </row>
    <row r="951" spans="2:35" x14ac:dyDescent="0.2">
      <c r="B951" t="str">
        <f>IF(A951="","",IF(A951="[FÓRMULA MANUAL]","",IFERROR(AVERAGEIFS(DATOS!$K$2:$K$20000,DATOS!$A$2:$A$20000,A951,DATOS!$G$2:$G$20000,CONFIG_METADATA!$B$4,DATOS!$I$2:$I$20000,"Lenguaje Musical"),"")))</f>
        <v/>
      </c>
      <c r="C951" t="str">
        <f>IF(A951="","",IF(A951="[FÓRMULA MANUAL]","",IFERROR(AVERAGEIFS(DATOS!$K$2:$K$20000,DATOS!$A$2:$A$20000,A951,DATOS!$G$2:$G$20000,CONFIG_METADATA!$B$4,DATOS!$I$2:$I$20000,"Orquesta/Banda/Conjunto"),"")))</f>
        <v/>
      </c>
      <c r="D951" t="str">
        <f>IF(A951="","",IF(A951="[FÓRMULA MANUAL]","",IFERROR(AVERAGEIFS(DATOS!$K$2:$K$20000,DATOS!$A$2:$A$20000,A951,DATOS!$G$2:$G$20000,CONFIG_METADATA!$B$4,DATOS!$I$2:$I$20000,"Conjunto"),"")))</f>
        <v/>
      </c>
      <c r="E951" t="str">
        <f>IF(A951="","",IF(A951="[FÓRMULA MANUAL]","",IFERROR(SUMPRODUCT((DATOS!$A$2:$A$20000=A951)*(DATOS!$G$2:$G$20000=CONFIG_METADATA!$B$4)*(COUNTIF(CONFIG_ASIGNATURAS!$B$7:$B$27,DATOS!$I$2:$I$20000)&gt;0)*(DATOS!$K$2:$K$20000))/SUMPRODUCT((DATOS!$A$2:$A$20000=A951)*(DATOS!$G$2:$G$20000=CONFIG_METADATA!$B$4)*(COUNTIF(CONFIG_ASIGNATURAS!$B$7:$B$27,DATOS!$I$2:$I$20000)&gt;0)*1),"")))</f>
        <v/>
      </c>
      <c r="H951" t="str">
        <f>IF(G951="","",IF(G951="[FÓRMULA MANUAL]","",IFERROR(AVERAGEIFS(DATOS!$K$2:$K$20000,DATOS!$A$2:$A$20000,G951,DATOS!$G$2:$G$20000,CONFIG_METADATA!$B$4,DATOS!$I$2:$I$20000,"Lenguaje Musical"),"")))</f>
        <v/>
      </c>
      <c r="I951" t="str">
        <f>IF(G951="","",IF(G951="[FÓRMULA MANUAL]","",IFERROR(AVERAGEIFS(DATOS!$K$2:$K$20000,DATOS!$A$2:$A$20000,G951,DATOS!$G$2:$G$20000,CONFIG_METADATA!$B$4,DATOS!$I$2:$I$20000,"Orquesta/Banda/Conjunto"),"")))</f>
        <v/>
      </c>
      <c r="J951" t="str">
        <f>IF(G951="","",IF(G951="[FÓRMULA MANUAL]","",IFERROR(AVERAGEIFS(DATOS!$K$2:$K$20000,DATOS!$A$2:$A$20000,G951,DATOS!$G$2:$G$20000,CONFIG_METADATA!$B$4,DATOS!$I$2:$I$20000,"Conjunto"),"")))</f>
        <v/>
      </c>
      <c r="K951" t="str">
        <f>IF(G951="","",IF(G951="[FÓRMULA MANUAL]","",IFERROR(SUMPRODUCT((DATOS!$A$2:$A$20000=G951)*(DATOS!$G$2:$G$20000=CONFIG_METADATA!$B$4)*(COUNTIF(CONFIG_ASIGNATURAS!$B$7:$B$27,DATOS!$I$2:$I$20000)&gt;0)*(DATOS!$K$2:$K$20000))/SUMPRODUCT((DATOS!$A$2:$A$20000=G951)*(DATOS!$G$2:$G$20000=CONFIG_METADATA!$B$4)*(COUNTIF(CONFIG_ASIGNATURAS!$B$7:$B$27,DATOS!$I$2:$I$20000)&gt;0)*1),"")))</f>
        <v/>
      </c>
      <c r="N951" t="str">
        <f>IF(M951="","",IF(M951="[FÓRMULA MANUAL]","",IFERROR(AVERAGEIFS(DATOS!$K$2:$K$20000,DATOS!$A$2:$A$20000,M951,DATOS!$G$2:$G$20000,CONFIG_METADATA!$B$4,DATOS!$I$2:$I$20000,"Armonía"),"")))</f>
        <v/>
      </c>
      <c r="O951" t="str">
        <f>IF(M951="","",IF(M951="[FÓRMULA MANUAL]","",IFERROR(AVERAGEIFS(DATOS!$K$2:$K$20000,DATOS!$A$2:$A$20000,M951,DATOS!$G$2:$G$20000,CONFIG_METADATA!$B$4,DATOS!$I$2:$I$20000,"Orquesta/Banda/Conjunto"),"")))</f>
        <v/>
      </c>
      <c r="P951" t="str">
        <f>IF(M951="","",IF(M951="[FÓRMULA MANUAL]","",IFERROR(AVERAGEIFS(DATOS!$K$2:$K$20000,DATOS!$A$2:$A$20000,M951,DATOS!$G$2:$G$20000,CONFIG_METADATA!$B$4,DATOS!$I$2:$I$20000,"Música de Cámara"),"")))</f>
        <v/>
      </c>
      <c r="Q951" t="str">
        <f>IF(M951="","",IF(M951="[FÓRMULA MANUAL]","",IFERROR(SUMPRODUCT((DATOS!$A$2:$A$20000=M951)*(DATOS!$G$2:$G$20000=CONFIG_METADATA!$B$4)*(COUNTIF(CONFIG_ASIGNATURAS!$B$7:$B$27,DATOS!$I$2:$I$20000)&gt;0)*(DATOS!$K$2:$K$20000))/SUMPRODUCT((DATOS!$A$2:$A$20000=M951)*(DATOS!$G$2:$G$20000=CONFIG_METADATA!$B$4)*(COUNTIF(CONFIG_ASIGNATURAS!$B$7:$B$27,DATOS!$I$2:$I$20000)&gt;0)*1),"")))</f>
        <v/>
      </c>
      <c r="T951" t="str">
        <f>IF(S951="","",IF(S951="[FÓRMULA MANUAL]","",IFERROR(AVERAGEIFS(DATOS!$K$2:$K$20000,DATOS!$A$2:$A$20000,S951,DATOS!$G$2:$G$20000,CONFIG_METADATA!$B$4,DATOS!$I$2:$I$20000,"Armonía"),"")))</f>
        <v/>
      </c>
      <c r="U951" t="str">
        <f>IF(S951="","",IF(S951="[FÓRMULA MANUAL]","",IFERROR(AVERAGEIFS(DATOS!$K$2:$K$20000,DATOS!$A$2:$A$20000,S951,DATOS!$G$2:$G$20000,CONFIG_METADATA!$B$4,DATOS!$I$2:$I$20000,"Orquesta/Banda/Conjunto"),"")))</f>
        <v/>
      </c>
      <c r="V951" t="str">
        <f>IF(S951="","",IF(S951="[FÓRMULA MANUAL]","",IFERROR(AVERAGEIFS(DATOS!$K$2:$K$20000,DATOS!$A$2:$A$20000,S951,DATOS!$G$2:$G$20000,CONFIG_METADATA!$B$4,DATOS!$I$2:$I$20000,"Música de Cámara"),"")))</f>
        <v/>
      </c>
      <c r="W951" t="str">
        <f>IF(S951="","",IF(S951="[FÓRMULA MANUAL]","",IFERROR(SUMPRODUCT((DATOS!$A$2:$A$20000=S951)*(DATOS!$G$2:$G$20000=CONFIG_METADATA!$B$4)*(COUNTIF(CONFIG_ASIGNATURAS!$B$7:$B$27,DATOS!$I$2:$I$20000)&gt;0)*(DATOS!$K$2:$K$20000))/SUMPRODUCT((DATOS!$A$2:$A$20000=S951)*(DATOS!$G$2:$G$20000=CONFIG_METADATA!$B$4)*(COUNTIF(CONFIG_ASIGNATURAS!$B$7:$B$27,DATOS!$I$2:$I$20000)&gt;0)*1),"")))</f>
        <v/>
      </c>
      <c r="Z951" t="str">
        <f>IF(Y951="","",IF(Y951="[FÓRMULA MANUAL]","",IFERROR(AVERAGEIFS(DATOS!$K$2:$K$20000,DATOS!$A$2:$A$20000,Y951,DATOS!$G$2:$G$20000,CONFIG_METADATA!$B$4,DATOS!$I$2:$I$20000,"Análisis"),"")))</f>
        <v/>
      </c>
      <c r="AA951" t="str">
        <f>IF(Y951="","",IF(Y951="[FÓRMULA MANUAL]","",IFERROR(AVERAGEIFS(DATOS!$K$2:$K$20000,DATOS!$A$2:$A$20000,Y951,DATOS!$G$2:$G$20000,CONFIG_METADATA!$B$4,DATOS!$I$2:$I$20000,"Orquesta/Banda/Conjunto"),"")))</f>
        <v/>
      </c>
      <c r="AB951" t="str">
        <f>IF(Y951="","",IF(Y951="[FÓRMULA MANUAL]","",IFERROR(AVERAGEIFS(DATOS!$K$2:$K$20000,DATOS!$A$2:$A$20000,Y951,DATOS!$G$2:$G$20000,CONFIG_METADATA!$B$4,DATOS!$I$2:$I$20000,"Música de Cámara"),"")))</f>
        <v/>
      </c>
      <c r="AC951" t="str">
        <f>IF(Y951="","",IF(Y951="[FÓRMULA MANUAL]","",IFERROR(SUMPRODUCT((DATOS!$A$2:$A$20000=Y951)*(DATOS!$G$2:$G$20000=CONFIG_METADATA!$B$4)*(COUNTIF(CONFIG_ASIGNATURAS!$B$7:$B$27,DATOS!$I$2:$I$20000)&gt;0)*(DATOS!$K$2:$K$20000))/SUMPRODUCT((DATOS!$A$2:$A$20000=Y951)*(DATOS!$G$2:$G$20000=CONFIG_METADATA!$B$4)*(COUNTIF(CONFIG_ASIGNATURAS!$B$7:$B$27,DATOS!$I$2:$I$20000)&gt;0)*1),"")))</f>
        <v/>
      </c>
      <c r="AF951" t="str">
        <f>IF(AE951="","",IF(AE951="[FÓRMULA MANUAL]","",IFERROR(AVERAGEIFS(DATOS!$K$2:$K$20000,DATOS!$A$2:$A$20000,AE951,DATOS!$G$2:$G$20000,CONFIG_METADATA!$B$4,DATOS!$I$2:$I$20000,"Análisis"),"")))</f>
        <v/>
      </c>
      <c r="AG951" t="str">
        <f>IF(AE951="","",IF(AE951="[FÓRMULA MANUAL]","",IFERROR(AVERAGEIFS(DATOS!$K$2:$K$20000,DATOS!$A$2:$A$20000,AE951,DATOS!$G$2:$G$20000,CONFIG_METADATA!$B$4,DATOS!$I$2:$I$20000,"Orquesta/Banda/Conjunto"),"")))</f>
        <v/>
      </c>
      <c r="AH951" t="str">
        <f>IF(AE951="","",IF(AE951="[FÓRMULA MANUAL]","",IFERROR(AVERAGEIFS(DATOS!$K$2:$K$20000,DATOS!$A$2:$A$20000,AE951,DATOS!$G$2:$G$20000,CONFIG_METADATA!$B$4,DATOS!$I$2:$I$20000,"Música de Cámara"),"")))</f>
        <v/>
      </c>
      <c r="AI951" t="str">
        <f>IF(AE951="","",IF(AE951="[FÓRMULA MANUAL]","",IFERROR(SUMPRODUCT((DATOS!$A$2:$A$20000=AE951)*(DATOS!$G$2:$G$20000=CONFIG_METADATA!$B$4)*(COUNTIF(CONFIG_ASIGNATURAS!$B$7:$B$27,DATOS!$I$2:$I$20000)&gt;0)*(DATOS!$K$2:$K$20000))/SUMPRODUCT((DATOS!$A$2:$A$20000=AE951)*(DATOS!$G$2:$G$20000=CONFIG_METADATA!$B$4)*(COUNTIF(CONFIG_ASIGNATURAS!$B$7:$B$27,DATOS!$I$2:$I$20000)&gt;0)*1),"")))</f>
        <v/>
      </c>
    </row>
    <row r="952" spans="2:35" x14ac:dyDescent="0.2">
      <c r="B952" t="str">
        <f>IF(A952="","",IF(A952="[FÓRMULA MANUAL]","",IFERROR(AVERAGEIFS(DATOS!$K$2:$K$20000,DATOS!$A$2:$A$20000,A952,DATOS!$G$2:$G$20000,CONFIG_METADATA!$B$4,DATOS!$I$2:$I$20000,"Lenguaje Musical"),"")))</f>
        <v/>
      </c>
      <c r="C952" t="str">
        <f>IF(A952="","",IF(A952="[FÓRMULA MANUAL]","",IFERROR(AVERAGEIFS(DATOS!$K$2:$K$20000,DATOS!$A$2:$A$20000,A952,DATOS!$G$2:$G$20000,CONFIG_METADATA!$B$4,DATOS!$I$2:$I$20000,"Orquesta/Banda/Conjunto"),"")))</f>
        <v/>
      </c>
      <c r="D952" t="str">
        <f>IF(A952="","",IF(A952="[FÓRMULA MANUAL]","",IFERROR(AVERAGEIFS(DATOS!$K$2:$K$20000,DATOS!$A$2:$A$20000,A952,DATOS!$G$2:$G$20000,CONFIG_METADATA!$B$4,DATOS!$I$2:$I$20000,"Conjunto"),"")))</f>
        <v/>
      </c>
      <c r="E952" t="str">
        <f>IF(A952="","",IF(A952="[FÓRMULA MANUAL]","",IFERROR(SUMPRODUCT((DATOS!$A$2:$A$20000=A952)*(DATOS!$G$2:$G$20000=CONFIG_METADATA!$B$4)*(COUNTIF(CONFIG_ASIGNATURAS!$B$7:$B$27,DATOS!$I$2:$I$20000)&gt;0)*(DATOS!$K$2:$K$20000))/SUMPRODUCT((DATOS!$A$2:$A$20000=A952)*(DATOS!$G$2:$G$20000=CONFIG_METADATA!$B$4)*(COUNTIF(CONFIG_ASIGNATURAS!$B$7:$B$27,DATOS!$I$2:$I$20000)&gt;0)*1),"")))</f>
        <v/>
      </c>
      <c r="H952" t="str">
        <f>IF(G952="","",IF(G952="[FÓRMULA MANUAL]","",IFERROR(AVERAGEIFS(DATOS!$K$2:$K$20000,DATOS!$A$2:$A$20000,G952,DATOS!$G$2:$G$20000,CONFIG_METADATA!$B$4,DATOS!$I$2:$I$20000,"Lenguaje Musical"),"")))</f>
        <v/>
      </c>
      <c r="I952" t="str">
        <f>IF(G952="","",IF(G952="[FÓRMULA MANUAL]","",IFERROR(AVERAGEIFS(DATOS!$K$2:$K$20000,DATOS!$A$2:$A$20000,G952,DATOS!$G$2:$G$20000,CONFIG_METADATA!$B$4,DATOS!$I$2:$I$20000,"Orquesta/Banda/Conjunto"),"")))</f>
        <v/>
      </c>
      <c r="J952" t="str">
        <f>IF(G952="","",IF(G952="[FÓRMULA MANUAL]","",IFERROR(AVERAGEIFS(DATOS!$K$2:$K$20000,DATOS!$A$2:$A$20000,G952,DATOS!$G$2:$G$20000,CONFIG_METADATA!$B$4,DATOS!$I$2:$I$20000,"Conjunto"),"")))</f>
        <v/>
      </c>
      <c r="K952" t="str">
        <f>IF(G952="","",IF(G952="[FÓRMULA MANUAL]","",IFERROR(SUMPRODUCT((DATOS!$A$2:$A$20000=G952)*(DATOS!$G$2:$G$20000=CONFIG_METADATA!$B$4)*(COUNTIF(CONFIG_ASIGNATURAS!$B$7:$B$27,DATOS!$I$2:$I$20000)&gt;0)*(DATOS!$K$2:$K$20000))/SUMPRODUCT((DATOS!$A$2:$A$20000=G952)*(DATOS!$G$2:$G$20000=CONFIG_METADATA!$B$4)*(COUNTIF(CONFIG_ASIGNATURAS!$B$7:$B$27,DATOS!$I$2:$I$20000)&gt;0)*1),"")))</f>
        <v/>
      </c>
      <c r="N952" t="str">
        <f>IF(M952="","",IF(M952="[FÓRMULA MANUAL]","",IFERROR(AVERAGEIFS(DATOS!$K$2:$K$20000,DATOS!$A$2:$A$20000,M952,DATOS!$G$2:$G$20000,CONFIG_METADATA!$B$4,DATOS!$I$2:$I$20000,"Armonía"),"")))</f>
        <v/>
      </c>
      <c r="O952" t="str">
        <f>IF(M952="","",IF(M952="[FÓRMULA MANUAL]","",IFERROR(AVERAGEIFS(DATOS!$K$2:$K$20000,DATOS!$A$2:$A$20000,M952,DATOS!$G$2:$G$20000,CONFIG_METADATA!$B$4,DATOS!$I$2:$I$20000,"Orquesta/Banda/Conjunto"),"")))</f>
        <v/>
      </c>
      <c r="P952" t="str">
        <f>IF(M952="","",IF(M952="[FÓRMULA MANUAL]","",IFERROR(AVERAGEIFS(DATOS!$K$2:$K$20000,DATOS!$A$2:$A$20000,M952,DATOS!$G$2:$G$20000,CONFIG_METADATA!$B$4,DATOS!$I$2:$I$20000,"Música de Cámara"),"")))</f>
        <v/>
      </c>
      <c r="Q952" t="str">
        <f>IF(M952="","",IF(M952="[FÓRMULA MANUAL]","",IFERROR(SUMPRODUCT((DATOS!$A$2:$A$20000=M952)*(DATOS!$G$2:$G$20000=CONFIG_METADATA!$B$4)*(COUNTIF(CONFIG_ASIGNATURAS!$B$7:$B$27,DATOS!$I$2:$I$20000)&gt;0)*(DATOS!$K$2:$K$20000))/SUMPRODUCT((DATOS!$A$2:$A$20000=M952)*(DATOS!$G$2:$G$20000=CONFIG_METADATA!$B$4)*(COUNTIF(CONFIG_ASIGNATURAS!$B$7:$B$27,DATOS!$I$2:$I$20000)&gt;0)*1),"")))</f>
        <v/>
      </c>
      <c r="T952" t="str">
        <f>IF(S952="","",IF(S952="[FÓRMULA MANUAL]","",IFERROR(AVERAGEIFS(DATOS!$K$2:$K$20000,DATOS!$A$2:$A$20000,S952,DATOS!$G$2:$G$20000,CONFIG_METADATA!$B$4,DATOS!$I$2:$I$20000,"Armonía"),"")))</f>
        <v/>
      </c>
      <c r="U952" t="str">
        <f>IF(S952="","",IF(S952="[FÓRMULA MANUAL]","",IFERROR(AVERAGEIFS(DATOS!$K$2:$K$20000,DATOS!$A$2:$A$20000,S952,DATOS!$G$2:$G$20000,CONFIG_METADATA!$B$4,DATOS!$I$2:$I$20000,"Orquesta/Banda/Conjunto"),"")))</f>
        <v/>
      </c>
      <c r="V952" t="str">
        <f>IF(S952="","",IF(S952="[FÓRMULA MANUAL]","",IFERROR(AVERAGEIFS(DATOS!$K$2:$K$20000,DATOS!$A$2:$A$20000,S952,DATOS!$G$2:$G$20000,CONFIG_METADATA!$B$4,DATOS!$I$2:$I$20000,"Música de Cámara"),"")))</f>
        <v/>
      </c>
      <c r="W952" t="str">
        <f>IF(S952="","",IF(S952="[FÓRMULA MANUAL]","",IFERROR(SUMPRODUCT((DATOS!$A$2:$A$20000=S952)*(DATOS!$G$2:$G$20000=CONFIG_METADATA!$B$4)*(COUNTIF(CONFIG_ASIGNATURAS!$B$7:$B$27,DATOS!$I$2:$I$20000)&gt;0)*(DATOS!$K$2:$K$20000))/SUMPRODUCT((DATOS!$A$2:$A$20000=S952)*(DATOS!$G$2:$G$20000=CONFIG_METADATA!$B$4)*(COUNTIF(CONFIG_ASIGNATURAS!$B$7:$B$27,DATOS!$I$2:$I$20000)&gt;0)*1),"")))</f>
        <v/>
      </c>
      <c r="Z952" t="str">
        <f>IF(Y952="","",IF(Y952="[FÓRMULA MANUAL]","",IFERROR(AVERAGEIFS(DATOS!$K$2:$K$20000,DATOS!$A$2:$A$20000,Y952,DATOS!$G$2:$G$20000,CONFIG_METADATA!$B$4,DATOS!$I$2:$I$20000,"Análisis"),"")))</f>
        <v/>
      </c>
      <c r="AA952" t="str">
        <f>IF(Y952="","",IF(Y952="[FÓRMULA MANUAL]","",IFERROR(AVERAGEIFS(DATOS!$K$2:$K$20000,DATOS!$A$2:$A$20000,Y952,DATOS!$G$2:$G$20000,CONFIG_METADATA!$B$4,DATOS!$I$2:$I$20000,"Orquesta/Banda/Conjunto"),"")))</f>
        <v/>
      </c>
      <c r="AB952" t="str">
        <f>IF(Y952="","",IF(Y952="[FÓRMULA MANUAL]","",IFERROR(AVERAGEIFS(DATOS!$K$2:$K$20000,DATOS!$A$2:$A$20000,Y952,DATOS!$G$2:$G$20000,CONFIG_METADATA!$B$4,DATOS!$I$2:$I$20000,"Música de Cámara"),"")))</f>
        <v/>
      </c>
      <c r="AC952" t="str">
        <f>IF(Y952="","",IF(Y952="[FÓRMULA MANUAL]","",IFERROR(SUMPRODUCT((DATOS!$A$2:$A$20000=Y952)*(DATOS!$G$2:$G$20000=CONFIG_METADATA!$B$4)*(COUNTIF(CONFIG_ASIGNATURAS!$B$7:$B$27,DATOS!$I$2:$I$20000)&gt;0)*(DATOS!$K$2:$K$20000))/SUMPRODUCT((DATOS!$A$2:$A$20000=Y952)*(DATOS!$G$2:$G$20000=CONFIG_METADATA!$B$4)*(COUNTIF(CONFIG_ASIGNATURAS!$B$7:$B$27,DATOS!$I$2:$I$20000)&gt;0)*1),"")))</f>
        <v/>
      </c>
      <c r="AF952" t="str">
        <f>IF(AE952="","",IF(AE952="[FÓRMULA MANUAL]","",IFERROR(AVERAGEIFS(DATOS!$K$2:$K$20000,DATOS!$A$2:$A$20000,AE952,DATOS!$G$2:$G$20000,CONFIG_METADATA!$B$4,DATOS!$I$2:$I$20000,"Análisis"),"")))</f>
        <v/>
      </c>
      <c r="AG952" t="str">
        <f>IF(AE952="","",IF(AE952="[FÓRMULA MANUAL]","",IFERROR(AVERAGEIFS(DATOS!$K$2:$K$20000,DATOS!$A$2:$A$20000,AE952,DATOS!$G$2:$G$20000,CONFIG_METADATA!$B$4,DATOS!$I$2:$I$20000,"Orquesta/Banda/Conjunto"),"")))</f>
        <v/>
      </c>
      <c r="AH952" t="str">
        <f>IF(AE952="","",IF(AE952="[FÓRMULA MANUAL]","",IFERROR(AVERAGEIFS(DATOS!$K$2:$K$20000,DATOS!$A$2:$A$20000,AE952,DATOS!$G$2:$G$20000,CONFIG_METADATA!$B$4,DATOS!$I$2:$I$20000,"Música de Cámara"),"")))</f>
        <v/>
      </c>
      <c r="AI952" t="str">
        <f>IF(AE952="","",IF(AE952="[FÓRMULA MANUAL]","",IFERROR(SUMPRODUCT((DATOS!$A$2:$A$20000=AE952)*(DATOS!$G$2:$G$20000=CONFIG_METADATA!$B$4)*(COUNTIF(CONFIG_ASIGNATURAS!$B$7:$B$27,DATOS!$I$2:$I$20000)&gt;0)*(DATOS!$K$2:$K$20000))/SUMPRODUCT((DATOS!$A$2:$A$20000=AE952)*(DATOS!$G$2:$G$20000=CONFIG_METADATA!$B$4)*(COUNTIF(CONFIG_ASIGNATURAS!$B$7:$B$27,DATOS!$I$2:$I$20000)&gt;0)*1),"")))</f>
        <v/>
      </c>
    </row>
    <row r="953" spans="2:35" x14ac:dyDescent="0.2">
      <c r="B953" t="str">
        <f>IF(A953="","",IF(A953="[FÓRMULA MANUAL]","",IFERROR(AVERAGEIFS(DATOS!$K$2:$K$20000,DATOS!$A$2:$A$20000,A953,DATOS!$G$2:$G$20000,CONFIG_METADATA!$B$4,DATOS!$I$2:$I$20000,"Lenguaje Musical"),"")))</f>
        <v/>
      </c>
      <c r="C953" t="str">
        <f>IF(A953="","",IF(A953="[FÓRMULA MANUAL]","",IFERROR(AVERAGEIFS(DATOS!$K$2:$K$20000,DATOS!$A$2:$A$20000,A953,DATOS!$G$2:$G$20000,CONFIG_METADATA!$B$4,DATOS!$I$2:$I$20000,"Orquesta/Banda/Conjunto"),"")))</f>
        <v/>
      </c>
      <c r="D953" t="str">
        <f>IF(A953="","",IF(A953="[FÓRMULA MANUAL]","",IFERROR(AVERAGEIFS(DATOS!$K$2:$K$20000,DATOS!$A$2:$A$20000,A953,DATOS!$G$2:$G$20000,CONFIG_METADATA!$B$4,DATOS!$I$2:$I$20000,"Conjunto"),"")))</f>
        <v/>
      </c>
      <c r="E953" t="str">
        <f>IF(A953="","",IF(A953="[FÓRMULA MANUAL]","",IFERROR(SUMPRODUCT((DATOS!$A$2:$A$20000=A953)*(DATOS!$G$2:$G$20000=CONFIG_METADATA!$B$4)*(COUNTIF(CONFIG_ASIGNATURAS!$B$7:$B$27,DATOS!$I$2:$I$20000)&gt;0)*(DATOS!$K$2:$K$20000))/SUMPRODUCT((DATOS!$A$2:$A$20000=A953)*(DATOS!$G$2:$G$20000=CONFIG_METADATA!$B$4)*(COUNTIF(CONFIG_ASIGNATURAS!$B$7:$B$27,DATOS!$I$2:$I$20000)&gt;0)*1),"")))</f>
        <v/>
      </c>
      <c r="H953" t="str">
        <f>IF(G953="","",IF(G953="[FÓRMULA MANUAL]","",IFERROR(AVERAGEIFS(DATOS!$K$2:$K$20000,DATOS!$A$2:$A$20000,G953,DATOS!$G$2:$G$20000,CONFIG_METADATA!$B$4,DATOS!$I$2:$I$20000,"Lenguaje Musical"),"")))</f>
        <v/>
      </c>
      <c r="I953" t="str">
        <f>IF(G953="","",IF(G953="[FÓRMULA MANUAL]","",IFERROR(AVERAGEIFS(DATOS!$K$2:$K$20000,DATOS!$A$2:$A$20000,G953,DATOS!$G$2:$G$20000,CONFIG_METADATA!$B$4,DATOS!$I$2:$I$20000,"Orquesta/Banda/Conjunto"),"")))</f>
        <v/>
      </c>
      <c r="J953" t="str">
        <f>IF(G953="","",IF(G953="[FÓRMULA MANUAL]","",IFERROR(AVERAGEIFS(DATOS!$K$2:$K$20000,DATOS!$A$2:$A$20000,G953,DATOS!$G$2:$G$20000,CONFIG_METADATA!$B$4,DATOS!$I$2:$I$20000,"Conjunto"),"")))</f>
        <v/>
      </c>
      <c r="K953" t="str">
        <f>IF(G953="","",IF(G953="[FÓRMULA MANUAL]","",IFERROR(SUMPRODUCT((DATOS!$A$2:$A$20000=G953)*(DATOS!$G$2:$G$20000=CONFIG_METADATA!$B$4)*(COUNTIF(CONFIG_ASIGNATURAS!$B$7:$B$27,DATOS!$I$2:$I$20000)&gt;0)*(DATOS!$K$2:$K$20000))/SUMPRODUCT((DATOS!$A$2:$A$20000=G953)*(DATOS!$G$2:$G$20000=CONFIG_METADATA!$B$4)*(COUNTIF(CONFIG_ASIGNATURAS!$B$7:$B$27,DATOS!$I$2:$I$20000)&gt;0)*1),"")))</f>
        <v/>
      </c>
      <c r="N953" t="str">
        <f>IF(M953="","",IF(M953="[FÓRMULA MANUAL]","",IFERROR(AVERAGEIFS(DATOS!$K$2:$K$20000,DATOS!$A$2:$A$20000,M953,DATOS!$G$2:$G$20000,CONFIG_METADATA!$B$4,DATOS!$I$2:$I$20000,"Armonía"),"")))</f>
        <v/>
      </c>
      <c r="O953" t="str">
        <f>IF(M953="","",IF(M953="[FÓRMULA MANUAL]","",IFERROR(AVERAGEIFS(DATOS!$K$2:$K$20000,DATOS!$A$2:$A$20000,M953,DATOS!$G$2:$G$20000,CONFIG_METADATA!$B$4,DATOS!$I$2:$I$20000,"Orquesta/Banda/Conjunto"),"")))</f>
        <v/>
      </c>
      <c r="P953" t="str">
        <f>IF(M953="","",IF(M953="[FÓRMULA MANUAL]","",IFERROR(AVERAGEIFS(DATOS!$K$2:$K$20000,DATOS!$A$2:$A$20000,M953,DATOS!$G$2:$G$20000,CONFIG_METADATA!$B$4,DATOS!$I$2:$I$20000,"Música de Cámara"),"")))</f>
        <v/>
      </c>
      <c r="Q953" t="str">
        <f>IF(M953="","",IF(M953="[FÓRMULA MANUAL]","",IFERROR(SUMPRODUCT((DATOS!$A$2:$A$20000=M953)*(DATOS!$G$2:$G$20000=CONFIG_METADATA!$B$4)*(COUNTIF(CONFIG_ASIGNATURAS!$B$7:$B$27,DATOS!$I$2:$I$20000)&gt;0)*(DATOS!$K$2:$K$20000))/SUMPRODUCT((DATOS!$A$2:$A$20000=M953)*(DATOS!$G$2:$G$20000=CONFIG_METADATA!$B$4)*(COUNTIF(CONFIG_ASIGNATURAS!$B$7:$B$27,DATOS!$I$2:$I$20000)&gt;0)*1),"")))</f>
        <v/>
      </c>
      <c r="T953" t="str">
        <f>IF(S953="","",IF(S953="[FÓRMULA MANUAL]","",IFERROR(AVERAGEIFS(DATOS!$K$2:$K$20000,DATOS!$A$2:$A$20000,S953,DATOS!$G$2:$G$20000,CONFIG_METADATA!$B$4,DATOS!$I$2:$I$20000,"Armonía"),"")))</f>
        <v/>
      </c>
      <c r="U953" t="str">
        <f>IF(S953="","",IF(S953="[FÓRMULA MANUAL]","",IFERROR(AVERAGEIFS(DATOS!$K$2:$K$20000,DATOS!$A$2:$A$20000,S953,DATOS!$G$2:$G$20000,CONFIG_METADATA!$B$4,DATOS!$I$2:$I$20000,"Orquesta/Banda/Conjunto"),"")))</f>
        <v/>
      </c>
      <c r="V953" t="str">
        <f>IF(S953="","",IF(S953="[FÓRMULA MANUAL]","",IFERROR(AVERAGEIFS(DATOS!$K$2:$K$20000,DATOS!$A$2:$A$20000,S953,DATOS!$G$2:$G$20000,CONFIG_METADATA!$B$4,DATOS!$I$2:$I$20000,"Música de Cámara"),"")))</f>
        <v/>
      </c>
      <c r="W953" t="str">
        <f>IF(S953="","",IF(S953="[FÓRMULA MANUAL]","",IFERROR(SUMPRODUCT((DATOS!$A$2:$A$20000=S953)*(DATOS!$G$2:$G$20000=CONFIG_METADATA!$B$4)*(COUNTIF(CONFIG_ASIGNATURAS!$B$7:$B$27,DATOS!$I$2:$I$20000)&gt;0)*(DATOS!$K$2:$K$20000))/SUMPRODUCT((DATOS!$A$2:$A$20000=S953)*(DATOS!$G$2:$G$20000=CONFIG_METADATA!$B$4)*(COUNTIF(CONFIG_ASIGNATURAS!$B$7:$B$27,DATOS!$I$2:$I$20000)&gt;0)*1),"")))</f>
        <v/>
      </c>
      <c r="Z953" t="str">
        <f>IF(Y953="","",IF(Y953="[FÓRMULA MANUAL]","",IFERROR(AVERAGEIFS(DATOS!$K$2:$K$20000,DATOS!$A$2:$A$20000,Y953,DATOS!$G$2:$G$20000,CONFIG_METADATA!$B$4,DATOS!$I$2:$I$20000,"Análisis"),"")))</f>
        <v/>
      </c>
      <c r="AA953" t="str">
        <f>IF(Y953="","",IF(Y953="[FÓRMULA MANUAL]","",IFERROR(AVERAGEIFS(DATOS!$K$2:$K$20000,DATOS!$A$2:$A$20000,Y953,DATOS!$G$2:$G$20000,CONFIG_METADATA!$B$4,DATOS!$I$2:$I$20000,"Orquesta/Banda/Conjunto"),"")))</f>
        <v/>
      </c>
      <c r="AB953" t="str">
        <f>IF(Y953="","",IF(Y953="[FÓRMULA MANUAL]","",IFERROR(AVERAGEIFS(DATOS!$K$2:$K$20000,DATOS!$A$2:$A$20000,Y953,DATOS!$G$2:$G$20000,CONFIG_METADATA!$B$4,DATOS!$I$2:$I$20000,"Música de Cámara"),"")))</f>
        <v/>
      </c>
      <c r="AC953" t="str">
        <f>IF(Y953="","",IF(Y953="[FÓRMULA MANUAL]","",IFERROR(SUMPRODUCT((DATOS!$A$2:$A$20000=Y953)*(DATOS!$G$2:$G$20000=CONFIG_METADATA!$B$4)*(COUNTIF(CONFIG_ASIGNATURAS!$B$7:$B$27,DATOS!$I$2:$I$20000)&gt;0)*(DATOS!$K$2:$K$20000))/SUMPRODUCT((DATOS!$A$2:$A$20000=Y953)*(DATOS!$G$2:$G$20000=CONFIG_METADATA!$B$4)*(COUNTIF(CONFIG_ASIGNATURAS!$B$7:$B$27,DATOS!$I$2:$I$20000)&gt;0)*1),"")))</f>
        <v/>
      </c>
      <c r="AF953" t="str">
        <f>IF(AE953="","",IF(AE953="[FÓRMULA MANUAL]","",IFERROR(AVERAGEIFS(DATOS!$K$2:$K$20000,DATOS!$A$2:$A$20000,AE953,DATOS!$G$2:$G$20000,CONFIG_METADATA!$B$4,DATOS!$I$2:$I$20000,"Análisis"),"")))</f>
        <v/>
      </c>
      <c r="AG953" t="str">
        <f>IF(AE953="","",IF(AE953="[FÓRMULA MANUAL]","",IFERROR(AVERAGEIFS(DATOS!$K$2:$K$20000,DATOS!$A$2:$A$20000,AE953,DATOS!$G$2:$G$20000,CONFIG_METADATA!$B$4,DATOS!$I$2:$I$20000,"Orquesta/Banda/Conjunto"),"")))</f>
        <v/>
      </c>
      <c r="AH953" t="str">
        <f>IF(AE953="","",IF(AE953="[FÓRMULA MANUAL]","",IFERROR(AVERAGEIFS(DATOS!$K$2:$K$20000,DATOS!$A$2:$A$20000,AE953,DATOS!$G$2:$G$20000,CONFIG_METADATA!$B$4,DATOS!$I$2:$I$20000,"Música de Cámara"),"")))</f>
        <v/>
      </c>
      <c r="AI953" t="str">
        <f>IF(AE953="","",IF(AE953="[FÓRMULA MANUAL]","",IFERROR(SUMPRODUCT((DATOS!$A$2:$A$20000=AE953)*(DATOS!$G$2:$G$20000=CONFIG_METADATA!$B$4)*(COUNTIF(CONFIG_ASIGNATURAS!$B$7:$B$27,DATOS!$I$2:$I$20000)&gt;0)*(DATOS!$K$2:$K$20000))/SUMPRODUCT((DATOS!$A$2:$A$20000=AE953)*(DATOS!$G$2:$G$20000=CONFIG_METADATA!$B$4)*(COUNTIF(CONFIG_ASIGNATURAS!$B$7:$B$27,DATOS!$I$2:$I$20000)&gt;0)*1),"")))</f>
        <v/>
      </c>
    </row>
    <row r="954" spans="2:35" x14ac:dyDescent="0.2">
      <c r="B954" t="str">
        <f>IF(A954="","",IF(A954="[FÓRMULA MANUAL]","",IFERROR(AVERAGEIFS(DATOS!$K$2:$K$20000,DATOS!$A$2:$A$20000,A954,DATOS!$G$2:$G$20000,CONFIG_METADATA!$B$4,DATOS!$I$2:$I$20000,"Lenguaje Musical"),"")))</f>
        <v/>
      </c>
      <c r="C954" t="str">
        <f>IF(A954="","",IF(A954="[FÓRMULA MANUAL]","",IFERROR(AVERAGEIFS(DATOS!$K$2:$K$20000,DATOS!$A$2:$A$20000,A954,DATOS!$G$2:$G$20000,CONFIG_METADATA!$B$4,DATOS!$I$2:$I$20000,"Orquesta/Banda/Conjunto"),"")))</f>
        <v/>
      </c>
      <c r="D954" t="str">
        <f>IF(A954="","",IF(A954="[FÓRMULA MANUAL]","",IFERROR(AVERAGEIFS(DATOS!$K$2:$K$20000,DATOS!$A$2:$A$20000,A954,DATOS!$G$2:$G$20000,CONFIG_METADATA!$B$4,DATOS!$I$2:$I$20000,"Conjunto"),"")))</f>
        <v/>
      </c>
      <c r="E954" t="str">
        <f>IF(A954="","",IF(A954="[FÓRMULA MANUAL]","",IFERROR(SUMPRODUCT((DATOS!$A$2:$A$20000=A954)*(DATOS!$G$2:$G$20000=CONFIG_METADATA!$B$4)*(COUNTIF(CONFIG_ASIGNATURAS!$B$7:$B$27,DATOS!$I$2:$I$20000)&gt;0)*(DATOS!$K$2:$K$20000))/SUMPRODUCT((DATOS!$A$2:$A$20000=A954)*(DATOS!$G$2:$G$20000=CONFIG_METADATA!$B$4)*(COUNTIF(CONFIG_ASIGNATURAS!$B$7:$B$27,DATOS!$I$2:$I$20000)&gt;0)*1),"")))</f>
        <v/>
      </c>
      <c r="H954" t="str">
        <f>IF(G954="","",IF(G954="[FÓRMULA MANUAL]","",IFERROR(AVERAGEIFS(DATOS!$K$2:$K$20000,DATOS!$A$2:$A$20000,G954,DATOS!$G$2:$G$20000,CONFIG_METADATA!$B$4,DATOS!$I$2:$I$20000,"Lenguaje Musical"),"")))</f>
        <v/>
      </c>
      <c r="I954" t="str">
        <f>IF(G954="","",IF(G954="[FÓRMULA MANUAL]","",IFERROR(AVERAGEIFS(DATOS!$K$2:$K$20000,DATOS!$A$2:$A$20000,G954,DATOS!$G$2:$G$20000,CONFIG_METADATA!$B$4,DATOS!$I$2:$I$20000,"Orquesta/Banda/Conjunto"),"")))</f>
        <v/>
      </c>
      <c r="J954" t="str">
        <f>IF(G954="","",IF(G954="[FÓRMULA MANUAL]","",IFERROR(AVERAGEIFS(DATOS!$K$2:$K$20000,DATOS!$A$2:$A$20000,G954,DATOS!$G$2:$G$20000,CONFIG_METADATA!$B$4,DATOS!$I$2:$I$20000,"Conjunto"),"")))</f>
        <v/>
      </c>
      <c r="K954" t="str">
        <f>IF(G954="","",IF(G954="[FÓRMULA MANUAL]","",IFERROR(SUMPRODUCT((DATOS!$A$2:$A$20000=G954)*(DATOS!$G$2:$G$20000=CONFIG_METADATA!$B$4)*(COUNTIF(CONFIG_ASIGNATURAS!$B$7:$B$27,DATOS!$I$2:$I$20000)&gt;0)*(DATOS!$K$2:$K$20000))/SUMPRODUCT((DATOS!$A$2:$A$20000=G954)*(DATOS!$G$2:$G$20000=CONFIG_METADATA!$B$4)*(COUNTIF(CONFIG_ASIGNATURAS!$B$7:$B$27,DATOS!$I$2:$I$20000)&gt;0)*1),"")))</f>
        <v/>
      </c>
      <c r="N954" t="str">
        <f>IF(M954="","",IF(M954="[FÓRMULA MANUAL]","",IFERROR(AVERAGEIFS(DATOS!$K$2:$K$20000,DATOS!$A$2:$A$20000,M954,DATOS!$G$2:$G$20000,CONFIG_METADATA!$B$4,DATOS!$I$2:$I$20000,"Armonía"),"")))</f>
        <v/>
      </c>
      <c r="O954" t="str">
        <f>IF(M954="","",IF(M954="[FÓRMULA MANUAL]","",IFERROR(AVERAGEIFS(DATOS!$K$2:$K$20000,DATOS!$A$2:$A$20000,M954,DATOS!$G$2:$G$20000,CONFIG_METADATA!$B$4,DATOS!$I$2:$I$20000,"Orquesta/Banda/Conjunto"),"")))</f>
        <v/>
      </c>
      <c r="P954" t="str">
        <f>IF(M954="","",IF(M954="[FÓRMULA MANUAL]","",IFERROR(AVERAGEIFS(DATOS!$K$2:$K$20000,DATOS!$A$2:$A$20000,M954,DATOS!$G$2:$G$20000,CONFIG_METADATA!$B$4,DATOS!$I$2:$I$20000,"Música de Cámara"),"")))</f>
        <v/>
      </c>
      <c r="Q954" t="str">
        <f>IF(M954="","",IF(M954="[FÓRMULA MANUAL]","",IFERROR(SUMPRODUCT((DATOS!$A$2:$A$20000=M954)*(DATOS!$G$2:$G$20000=CONFIG_METADATA!$B$4)*(COUNTIF(CONFIG_ASIGNATURAS!$B$7:$B$27,DATOS!$I$2:$I$20000)&gt;0)*(DATOS!$K$2:$K$20000))/SUMPRODUCT((DATOS!$A$2:$A$20000=M954)*(DATOS!$G$2:$G$20000=CONFIG_METADATA!$B$4)*(COUNTIF(CONFIG_ASIGNATURAS!$B$7:$B$27,DATOS!$I$2:$I$20000)&gt;0)*1),"")))</f>
        <v/>
      </c>
      <c r="T954" t="str">
        <f>IF(S954="","",IF(S954="[FÓRMULA MANUAL]","",IFERROR(AVERAGEIFS(DATOS!$K$2:$K$20000,DATOS!$A$2:$A$20000,S954,DATOS!$G$2:$G$20000,CONFIG_METADATA!$B$4,DATOS!$I$2:$I$20000,"Armonía"),"")))</f>
        <v/>
      </c>
      <c r="U954" t="str">
        <f>IF(S954="","",IF(S954="[FÓRMULA MANUAL]","",IFERROR(AVERAGEIFS(DATOS!$K$2:$K$20000,DATOS!$A$2:$A$20000,S954,DATOS!$G$2:$G$20000,CONFIG_METADATA!$B$4,DATOS!$I$2:$I$20000,"Orquesta/Banda/Conjunto"),"")))</f>
        <v/>
      </c>
      <c r="V954" t="str">
        <f>IF(S954="","",IF(S954="[FÓRMULA MANUAL]","",IFERROR(AVERAGEIFS(DATOS!$K$2:$K$20000,DATOS!$A$2:$A$20000,S954,DATOS!$G$2:$G$20000,CONFIG_METADATA!$B$4,DATOS!$I$2:$I$20000,"Música de Cámara"),"")))</f>
        <v/>
      </c>
      <c r="W954" t="str">
        <f>IF(S954="","",IF(S954="[FÓRMULA MANUAL]","",IFERROR(SUMPRODUCT((DATOS!$A$2:$A$20000=S954)*(DATOS!$G$2:$G$20000=CONFIG_METADATA!$B$4)*(COUNTIF(CONFIG_ASIGNATURAS!$B$7:$B$27,DATOS!$I$2:$I$20000)&gt;0)*(DATOS!$K$2:$K$20000))/SUMPRODUCT((DATOS!$A$2:$A$20000=S954)*(DATOS!$G$2:$G$20000=CONFIG_METADATA!$B$4)*(COUNTIF(CONFIG_ASIGNATURAS!$B$7:$B$27,DATOS!$I$2:$I$20000)&gt;0)*1),"")))</f>
        <v/>
      </c>
      <c r="Z954" t="str">
        <f>IF(Y954="","",IF(Y954="[FÓRMULA MANUAL]","",IFERROR(AVERAGEIFS(DATOS!$K$2:$K$20000,DATOS!$A$2:$A$20000,Y954,DATOS!$G$2:$G$20000,CONFIG_METADATA!$B$4,DATOS!$I$2:$I$20000,"Análisis"),"")))</f>
        <v/>
      </c>
      <c r="AA954" t="str">
        <f>IF(Y954="","",IF(Y954="[FÓRMULA MANUAL]","",IFERROR(AVERAGEIFS(DATOS!$K$2:$K$20000,DATOS!$A$2:$A$20000,Y954,DATOS!$G$2:$G$20000,CONFIG_METADATA!$B$4,DATOS!$I$2:$I$20000,"Orquesta/Banda/Conjunto"),"")))</f>
        <v/>
      </c>
      <c r="AB954" t="str">
        <f>IF(Y954="","",IF(Y954="[FÓRMULA MANUAL]","",IFERROR(AVERAGEIFS(DATOS!$K$2:$K$20000,DATOS!$A$2:$A$20000,Y954,DATOS!$G$2:$G$20000,CONFIG_METADATA!$B$4,DATOS!$I$2:$I$20000,"Música de Cámara"),"")))</f>
        <v/>
      </c>
      <c r="AC954" t="str">
        <f>IF(Y954="","",IF(Y954="[FÓRMULA MANUAL]","",IFERROR(SUMPRODUCT((DATOS!$A$2:$A$20000=Y954)*(DATOS!$G$2:$G$20000=CONFIG_METADATA!$B$4)*(COUNTIF(CONFIG_ASIGNATURAS!$B$7:$B$27,DATOS!$I$2:$I$20000)&gt;0)*(DATOS!$K$2:$K$20000))/SUMPRODUCT((DATOS!$A$2:$A$20000=Y954)*(DATOS!$G$2:$G$20000=CONFIG_METADATA!$B$4)*(COUNTIF(CONFIG_ASIGNATURAS!$B$7:$B$27,DATOS!$I$2:$I$20000)&gt;0)*1),"")))</f>
        <v/>
      </c>
      <c r="AF954" t="str">
        <f>IF(AE954="","",IF(AE954="[FÓRMULA MANUAL]","",IFERROR(AVERAGEIFS(DATOS!$K$2:$K$20000,DATOS!$A$2:$A$20000,AE954,DATOS!$G$2:$G$20000,CONFIG_METADATA!$B$4,DATOS!$I$2:$I$20000,"Análisis"),"")))</f>
        <v/>
      </c>
      <c r="AG954" t="str">
        <f>IF(AE954="","",IF(AE954="[FÓRMULA MANUAL]","",IFERROR(AVERAGEIFS(DATOS!$K$2:$K$20000,DATOS!$A$2:$A$20000,AE954,DATOS!$G$2:$G$20000,CONFIG_METADATA!$B$4,DATOS!$I$2:$I$20000,"Orquesta/Banda/Conjunto"),"")))</f>
        <v/>
      </c>
      <c r="AH954" t="str">
        <f>IF(AE954="","",IF(AE954="[FÓRMULA MANUAL]","",IFERROR(AVERAGEIFS(DATOS!$K$2:$K$20000,DATOS!$A$2:$A$20000,AE954,DATOS!$G$2:$G$20000,CONFIG_METADATA!$B$4,DATOS!$I$2:$I$20000,"Música de Cámara"),"")))</f>
        <v/>
      </c>
      <c r="AI954" t="str">
        <f>IF(AE954="","",IF(AE954="[FÓRMULA MANUAL]","",IFERROR(SUMPRODUCT((DATOS!$A$2:$A$20000=AE954)*(DATOS!$G$2:$G$20000=CONFIG_METADATA!$B$4)*(COUNTIF(CONFIG_ASIGNATURAS!$B$7:$B$27,DATOS!$I$2:$I$20000)&gt;0)*(DATOS!$K$2:$K$20000))/SUMPRODUCT((DATOS!$A$2:$A$20000=AE954)*(DATOS!$G$2:$G$20000=CONFIG_METADATA!$B$4)*(COUNTIF(CONFIG_ASIGNATURAS!$B$7:$B$27,DATOS!$I$2:$I$20000)&gt;0)*1),"")))</f>
        <v/>
      </c>
    </row>
    <row r="955" spans="2:35" x14ac:dyDescent="0.2">
      <c r="B955" t="str">
        <f>IF(A955="","",IF(A955="[FÓRMULA MANUAL]","",IFERROR(AVERAGEIFS(DATOS!$K$2:$K$20000,DATOS!$A$2:$A$20000,A955,DATOS!$G$2:$G$20000,CONFIG_METADATA!$B$4,DATOS!$I$2:$I$20000,"Lenguaje Musical"),"")))</f>
        <v/>
      </c>
      <c r="C955" t="str">
        <f>IF(A955="","",IF(A955="[FÓRMULA MANUAL]","",IFERROR(AVERAGEIFS(DATOS!$K$2:$K$20000,DATOS!$A$2:$A$20000,A955,DATOS!$G$2:$G$20000,CONFIG_METADATA!$B$4,DATOS!$I$2:$I$20000,"Orquesta/Banda/Conjunto"),"")))</f>
        <v/>
      </c>
      <c r="D955" t="str">
        <f>IF(A955="","",IF(A955="[FÓRMULA MANUAL]","",IFERROR(AVERAGEIFS(DATOS!$K$2:$K$20000,DATOS!$A$2:$A$20000,A955,DATOS!$G$2:$G$20000,CONFIG_METADATA!$B$4,DATOS!$I$2:$I$20000,"Conjunto"),"")))</f>
        <v/>
      </c>
      <c r="E955" t="str">
        <f>IF(A955="","",IF(A955="[FÓRMULA MANUAL]","",IFERROR(SUMPRODUCT((DATOS!$A$2:$A$20000=A955)*(DATOS!$G$2:$G$20000=CONFIG_METADATA!$B$4)*(COUNTIF(CONFIG_ASIGNATURAS!$B$7:$B$27,DATOS!$I$2:$I$20000)&gt;0)*(DATOS!$K$2:$K$20000))/SUMPRODUCT((DATOS!$A$2:$A$20000=A955)*(DATOS!$G$2:$G$20000=CONFIG_METADATA!$B$4)*(COUNTIF(CONFIG_ASIGNATURAS!$B$7:$B$27,DATOS!$I$2:$I$20000)&gt;0)*1),"")))</f>
        <v/>
      </c>
      <c r="H955" t="str">
        <f>IF(G955="","",IF(G955="[FÓRMULA MANUAL]","",IFERROR(AVERAGEIFS(DATOS!$K$2:$K$20000,DATOS!$A$2:$A$20000,G955,DATOS!$G$2:$G$20000,CONFIG_METADATA!$B$4,DATOS!$I$2:$I$20000,"Lenguaje Musical"),"")))</f>
        <v/>
      </c>
      <c r="I955" t="str">
        <f>IF(G955="","",IF(G955="[FÓRMULA MANUAL]","",IFERROR(AVERAGEIFS(DATOS!$K$2:$K$20000,DATOS!$A$2:$A$20000,G955,DATOS!$G$2:$G$20000,CONFIG_METADATA!$B$4,DATOS!$I$2:$I$20000,"Orquesta/Banda/Conjunto"),"")))</f>
        <v/>
      </c>
      <c r="J955" t="str">
        <f>IF(G955="","",IF(G955="[FÓRMULA MANUAL]","",IFERROR(AVERAGEIFS(DATOS!$K$2:$K$20000,DATOS!$A$2:$A$20000,G955,DATOS!$G$2:$G$20000,CONFIG_METADATA!$B$4,DATOS!$I$2:$I$20000,"Conjunto"),"")))</f>
        <v/>
      </c>
      <c r="K955" t="str">
        <f>IF(G955="","",IF(G955="[FÓRMULA MANUAL]","",IFERROR(SUMPRODUCT((DATOS!$A$2:$A$20000=G955)*(DATOS!$G$2:$G$20000=CONFIG_METADATA!$B$4)*(COUNTIF(CONFIG_ASIGNATURAS!$B$7:$B$27,DATOS!$I$2:$I$20000)&gt;0)*(DATOS!$K$2:$K$20000))/SUMPRODUCT((DATOS!$A$2:$A$20000=G955)*(DATOS!$G$2:$G$20000=CONFIG_METADATA!$B$4)*(COUNTIF(CONFIG_ASIGNATURAS!$B$7:$B$27,DATOS!$I$2:$I$20000)&gt;0)*1),"")))</f>
        <v/>
      </c>
      <c r="N955" t="str">
        <f>IF(M955="","",IF(M955="[FÓRMULA MANUAL]","",IFERROR(AVERAGEIFS(DATOS!$K$2:$K$20000,DATOS!$A$2:$A$20000,M955,DATOS!$G$2:$G$20000,CONFIG_METADATA!$B$4,DATOS!$I$2:$I$20000,"Armonía"),"")))</f>
        <v/>
      </c>
      <c r="O955" t="str">
        <f>IF(M955="","",IF(M955="[FÓRMULA MANUAL]","",IFERROR(AVERAGEIFS(DATOS!$K$2:$K$20000,DATOS!$A$2:$A$20000,M955,DATOS!$G$2:$G$20000,CONFIG_METADATA!$B$4,DATOS!$I$2:$I$20000,"Orquesta/Banda/Conjunto"),"")))</f>
        <v/>
      </c>
      <c r="P955" t="str">
        <f>IF(M955="","",IF(M955="[FÓRMULA MANUAL]","",IFERROR(AVERAGEIFS(DATOS!$K$2:$K$20000,DATOS!$A$2:$A$20000,M955,DATOS!$G$2:$G$20000,CONFIG_METADATA!$B$4,DATOS!$I$2:$I$20000,"Música de Cámara"),"")))</f>
        <v/>
      </c>
      <c r="Q955" t="str">
        <f>IF(M955="","",IF(M955="[FÓRMULA MANUAL]","",IFERROR(SUMPRODUCT((DATOS!$A$2:$A$20000=M955)*(DATOS!$G$2:$G$20000=CONFIG_METADATA!$B$4)*(COUNTIF(CONFIG_ASIGNATURAS!$B$7:$B$27,DATOS!$I$2:$I$20000)&gt;0)*(DATOS!$K$2:$K$20000))/SUMPRODUCT((DATOS!$A$2:$A$20000=M955)*(DATOS!$G$2:$G$20000=CONFIG_METADATA!$B$4)*(COUNTIF(CONFIG_ASIGNATURAS!$B$7:$B$27,DATOS!$I$2:$I$20000)&gt;0)*1),"")))</f>
        <v/>
      </c>
      <c r="T955" t="str">
        <f>IF(S955="","",IF(S955="[FÓRMULA MANUAL]","",IFERROR(AVERAGEIFS(DATOS!$K$2:$K$20000,DATOS!$A$2:$A$20000,S955,DATOS!$G$2:$G$20000,CONFIG_METADATA!$B$4,DATOS!$I$2:$I$20000,"Armonía"),"")))</f>
        <v/>
      </c>
      <c r="U955" t="str">
        <f>IF(S955="","",IF(S955="[FÓRMULA MANUAL]","",IFERROR(AVERAGEIFS(DATOS!$K$2:$K$20000,DATOS!$A$2:$A$20000,S955,DATOS!$G$2:$G$20000,CONFIG_METADATA!$B$4,DATOS!$I$2:$I$20000,"Orquesta/Banda/Conjunto"),"")))</f>
        <v/>
      </c>
      <c r="V955" t="str">
        <f>IF(S955="","",IF(S955="[FÓRMULA MANUAL]","",IFERROR(AVERAGEIFS(DATOS!$K$2:$K$20000,DATOS!$A$2:$A$20000,S955,DATOS!$G$2:$G$20000,CONFIG_METADATA!$B$4,DATOS!$I$2:$I$20000,"Música de Cámara"),"")))</f>
        <v/>
      </c>
      <c r="W955" t="str">
        <f>IF(S955="","",IF(S955="[FÓRMULA MANUAL]","",IFERROR(SUMPRODUCT((DATOS!$A$2:$A$20000=S955)*(DATOS!$G$2:$G$20000=CONFIG_METADATA!$B$4)*(COUNTIF(CONFIG_ASIGNATURAS!$B$7:$B$27,DATOS!$I$2:$I$20000)&gt;0)*(DATOS!$K$2:$K$20000))/SUMPRODUCT((DATOS!$A$2:$A$20000=S955)*(DATOS!$G$2:$G$20000=CONFIG_METADATA!$B$4)*(COUNTIF(CONFIG_ASIGNATURAS!$B$7:$B$27,DATOS!$I$2:$I$20000)&gt;0)*1),"")))</f>
        <v/>
      </c>
      <c r="Z955" t="str">
        <f>IF(Y955="","",IF(Y955="[FÓRMULA MANUAL]","",IFERROR(AVERAGEIFS(DATOS!$K$2:$K$20000,DATOS!$A$2:$A$20000,Y955,DATOS!$G$2:$G$20000,CONFIG_METADATA!$B$4,DATOS!$I$2:$I$20000,"Análisis"),"")))</f>
        <v/>
      </c>
      <c r="AA955" t="str">
        <f>IF(Y955="","",IF(Y955="[FÓRMULA MANUAL]","",IFERROR(AVERAGEIFS(DATOS!$K$2:$K$20000,DATOS!$A$2:$A$20000,Y955,DATOS!$G$2:$G$20000,CONFIG_METADATA!$B$4,DATOS!$I$2:$I$20000,"Orquesta/Banda/Conjunto"),"")))</f>
        <v/>
      </c>
      <c r="AB955" t="str">
        <f>IF(Y955="","",IF(Y955="[FÓRMULA MANUAL]","",IFERROR(AVERAGEIFS(DATOS!$K$2:$K$20000,DATOS!$A$2:$A$20000,Y955,DATOS!$G$2:$G$20000,CONFIG_METADATA!$B$4,DATOS!$I$2:$I$20000,"Música de Cámara"),"")))</f>
        <v/>
      </c>
      <c r="AC955" t="str">
        <f>IF(Y955="","",IF(Y955="[FÓRMULA MANUAL]","",IFERROR(SUMPRODUCT((DATOS!$A$2:$A$20000=Y955)*(DATOS!$G$2:$G$20000=CONFIG_METADATA!$B$4)*(COUNTIF(CONFIG_ASIGNATURAS!$B$7:$B$27,DATOS!$I$2:$I$20000)&gt;0)*(DATOS!$K$2:$K$20000))/SUMPRODUCT((DATOS!$A$2:$A$20000=Y955)*(DATOS!$G$2:$G$20000=CONFIG_METADATA!$B$4)*(COUNTIF(CONFIG_ASIGNATURAS!$B$7:$B$27,DATOS!$I$2:$I$20000)&gt;0)*1),"")))</f>
        <v/>
      </c>
      <c r="AF955" t="str">
        <f>IF(AE955="","",IF(AE955="[FÓRMULA MANUAL]","",IFERROR(AVERAGEIFS(DATOS!$K$2:$K$20000,DATOS!$A$2:$A$20000,AE955,DATOS!$G$2:$G$20000,CONFIG_METADATA!$B$4,DATOS!$I$2:$I$20000,"Análisis"),"")))</f>
        <v/>
      </c>
      <c r="AG955" t="str">
        <f>IF(AE955="","",IF(AE955="[FÓRMULA MANUAL]","",IFERROR(AVERAGEIFS(DATOS!$K$2:$K$20000,DATOS!$A$2:$A$20000,AE955,DATOS!$G$2:$G$20000,CONFIG_METADATA!$B$4,DATOS!$I$2:$I$20000,"Orquesta/Banda/Conjunto"),"")))</f>
        <v/>
      </c>
      <c r="AH955" t="str">
        <f>IF(AE955="","",IF(AE955="[FÓRMULA MANUAL]","",IFERROR(AVERAGEIFS(DATOS!$K$2:$K$20000,DATOS!$A$2:$A$20000,AE955,DATOS!$G$2:$G$20000,CONFIG_METADATA!$B$4,DATOS!$I$2:$I$20000,"Música de Cámara"),"")))</f>
        <v/>
      </c>
      <c r="AI955" t="str">
        <f>IF(AE955="","",IF(AE955="[FÓRMULA MANUAL]","",IFERROR(SUMPRODUCT((DATOS!$A$2:$A$20000=AE955)*(DATOS!$G$2:$G$20000=CONFIG_METADATA!$B$4)*(COUNTIF(CONFIG_ASIGNATURAS!$B$7:$B$27,DATOS!$I$2:$I$20000)&gt;0)*(DATOS!$K$2:$K$20000))/SUMPRODUCT((DATOS!$A$2:$A$20000=AE955)*(DATOS!$G$2:$G$20000=CONFIG_METADATA!$B$4)*(COUNTIF(CONFIG_ASIGNATURAS!$B$7:$B$27,DATOS!$I$2:$I$20000)&gt;0)*1),"")))</f>
        <v/>
      </c>
    </row>
    <row r="956" spans="2:35" x14ac:dyDescent="0.2">
      <c r="B956" t="str">
        <f>IF(A956="","",IF(A956="[FÓRMULA MANUAL]","",IFERROR(AVERAGEIFS(DATOS!$K$2:$K$20000,DATOS!$A$2:$A$20000,A956,DATOS!$G$2:$G$20000,CONFIG_METADATA!$B$4,DATOS!$I$2:$I$20000,"Lenguaje Musical"),"")))</f>
        <v/>
      </c>
      <c r="C956" t="str">
        <f>IF(A956="","",IF(A956="[FÓRMULA MANUAL]","",IFERROR(AVERAGEIFS(DATOS!$K$2:$K$20000,DATOS!$A$2:$A$20000,A956,DATOS!$G$2:$G$20000,CONFIG_METADATA!$B$4,DATOS!$I$2:$I$20000,"Orquesta/Banda/Conjunto"),"")))</f>
        <v/>
      </c>
      <c r="D956" t="str">
        <f>IF(A956="","",IF(A956="[FÓRMULA MANUAL]","",IFERROR(AVERAGEIFS(DATOS!$K$2:$K$20000,DATOS!$A$2:$A$20000,A956,DATOS!$G$2:$G$20000,CONFIG_METADATA!$B$4,DATOS!$I$2:$I$20000,"Conjunto"),"")))</f>
        <v/>
      </c>
      <c r="E956" t="str">
        <f>IF(A956="","",IF(A956="[FÓRMULA MANUAL]","",IFERROR(SUMPRODUCT((DATOS!$A$2:$A$20000=A956)*(DATOS!$G$2:$G$20000=CONFIG_METADATA!$B$4)*(COUNTIF(CONFIG_ASIGNATURAS!$B$7:$B$27,DATOS!$I$2:$I$20000)&gt;0)*(DATOS!$K$2:$K$20000))/SUMPRODUCT((DATOS!$A$2:$A$20000=A956)*(DATOS!$G$2:$G$20000=CONFIG_METADATA!$B$4)*(COUNTIF(CONFIG_ASIGNATURAS!$B$7:$B$27,DATOS!$I$2:$I$20000)&gt;0)*1),"")))</f>
        <v/>
      </c>
      <c r="H956" t="str">
        <f>IF(G956="","",IF(G956="[FÓRMULA MANUAL]","",IFERROR(AVERAGEIFS(DATOS!$K$2:$K$20000,DATOS!$A$2:$A$20000,G956,DATOS!$G$2:$G$20000,CONFIG_METADATA!$B$4,DATOS!$I$2:$I$20000,"Lenguaje Musical"),"")))</f>
        <v/>
      </c>
      <c r="I956" t="str">
        <f>IF(G956="","",IF(G956="[FÓRMULA MANUAL]","",IFERROR(AVERAGEIFS(DATOS!$K$2:$K$20000,DATOS!$A$2:$A$20000,G956,DATOS!$G$2:$G$20000,CONFIG_METADATA!$B$4,DATOS!$I$2:$I$20000,"Orquesta/Banda/Conjunto"),"")))</f>
        <v/>
      </c>
      <c r="J956" t="str">
        <f>IF(G956="","",IF(G956="[FÓRMULA MANUAL]","",IFERROR(AVERAGEIFS(DATOS!$K$2:$K$20000,DATOS!$A$2:$A$20000,G956,DATOS!$G$2:$G$20000,CONFIG_METADATA!$B$4,DATOS!$I$2:$I$20000,"Conjunto"),"")))</f>
        <v/>
      </c>
      <c r="K956" t="str">
        <f>IF(G956="","",IF(G956="[FÓRMULA MANUAL]","",IFERROR(SUMPRODUCT((DATOS!$A$2:$A$20000=G956)*(DATOS!$G$2:$G$20000=CONFIG_METADATA!$B$4)*(COUNTIF(CONFIG_ASIGNATURAS!$B$7:$B$27,DATOS!$I$2:$I$20000)&gt;0)*(DATOS!$K$2:$K$20000))/SUMPRODUCT((DATOS!$A$2:$A$20000=G956)*(DATOS!$G$2:$G$20000=CONFIG_METADATA!$B$4)*(COUNTIF(CONFIG_ASIGNATURAS!$B$7:$B$27,DATOS!$I$2:$I$20000)&gt;0)*1),"")))</f>
        <v/>
      </c>
      <c r="N956" t="str">
        <f>IF(M956="","",IF(M956="[FÓRMULA MANUAL]","",IFERROR(AVERAGEIFS(DATOS!$K$2:$K$20000,DATOS!$A$2:$A$20000,M956,DATOS!$G$2:$G$20000,CONFIG_METADATA!$B$4,DATOS!$I$2:$I$20000,"Armonía"),"")))</f>
        <v/>
      </c>
      <c r="O956" t="str">
        <f>IF(M956="","",IF(M956="[FÓRMULA MANUAL]","",IFERROR(AVERAGEIFS(DATOS!$K$2:$K$20000,DATOS!$A$2:$A$20000,M956,DATOS!$G$2:$G$20000,CONFIG_METADATA!$B$4,DATOS!$I$2:$I$20000,"Orquesta/Banda/Conjunto"),"")))</f>
        <v/>
      </c>
      <c r="P956" t="str">
        <f>IF(M956="","",IF(M956="[FÓRMULA MANUAL]","",IFERROR(AVERAGEIFS(DATOS!$K$2:$K$20000,DATOS!$A$2:$A$20000,M956,DATOS!$G$2:$G$20000,CONFIG_METADATA!$B$4,DATOS!$I$2:$I$20000,"Música de Cámara"),"")))</f>
        <v/>
      </c>
      <c r="Q956" t="str">
        <f>IF(M956="","",IF(M956="[FÓRMULA MANUAL]","",IFERROR(SUMPRODUCT((DATOS!$A$2:$A$20000=M956)*(DATOS!$G$2:$G$20000=CONFIG_METADATA!$B$4)*(COUNTIF(CONFIG_ASIGNATURAS!$B$7:$B$27,DATOS!$I$2:$I$20000)&gt;0)*(DATOS!$K$2:$K$20000))/SUMPRODUCT((DATOS!$A$2:$A$20000=M956)*(DATOS!$G$2:$G$20000=CONFIG_METADATA!$B$4)*(COUNTIF(CONFIG_ASIGNATURAS!$B$7:$B$27,DATOS!$I$2:$I$20000)&gt;0)*1),"")))</f>
        <v/>
      </c>
      <c r="T956" t="str">
        <f>IF(S956="","",IF(S956="[FÓRMULA MANUAL]","",IFERROR(AVERAGEIFS(DATOS!$K$2:$K$20000,DATOS!$A$2:$A$20000,S956,DATOS!$G$2:$G$20000,CONFIG_METADATA!$B$4,DATOS!$I$2:$I$20000,"Armonía"),"")))</f>
        <v/>
      </c>
      <c r="U956" t="str">
        <f>IF(S956="","",IF(S956="[FÓRMULA MANUAL]","",IFERROR(AVERAGEIFS(DATOS!$K$2:$K$20000,DATOS!$A$2:$A$20000,S956,DATOS!$G$2:$G$20000,CONFIG_METADATA!$B$4,DATOS!$I$2:$I$20000,"Orquesta/Banda/Conjunto"),"")))</f>
        <v/>
      </c>
      <c r="V956" t="str">
        <f>IF(S956="","",IF(S956="[FÓRMULA MANUAL]","",IFERROR(AVERAGEIFS(DATOS!$K$2:$K$20000,DATOS!$A$2:$A$20000,S956,DATOS!$G$2:$G$20000,CONFIG_METADATA!$B$4,DATOS!$I$2:$I$20000,"Música de Cámara"),"")))</f>
        <v/>
      </c>
      <c r="W956" t="str">
        <f>IF(S956="","",IF(S956="[FÓRMULA MANUAL]","",IFERROR(SUMPRODUCT((DATOS!$A$2:$A$20000=S956)*(DATOS!$G$2:$G$20000=CONFIG_METADATA!$B$4)*(COUNTIF(CONFIG_ASIGNATURAS!$B$7:$B$27,DATOS!$I$2:$I$20000)&gt;0)*(DATOS!$K$2:$K$20000))/SUMPRODUCT((DATOS!$A$2:$A$20000=S956)*(DATOS!$G$2:$G$20000=CONFIG_METADATA!$B$4)*(COUNTIF(CONFIG_ASIGNATURAS!$B$7:$B$27,DATOS!$I$2:$I$20000)&gt;0)*1),"")))</f>
        <v/>
      </c>
      <c r="Z956" t="str">
        <f>IF(Y956="","",IF(Y956="[FÓRMULA MANUAL]","",IFERROR(AVERAGEIFS(DATOS!$K$2:$K$20000,DATOS!$A$2:$A$20000,Y956,DATOS!$G$2:$G$20000,CONFIG_METADATA!$B$4,DATOS!$I$2:$I$20000,"Análisis"),"")))</f>
        <v/>
      </c>
      <c r="AA956" t="str">
        <f>IF(Y956="","",IF(Y956="[FÓRMULA MANUAL]","",IFERROR(AVERAGEIFS(DATOS!$K$2:$K$20000,DATOS!$A$2:$A$20000,Y956,DATOS!$G$2:$G$20000,CONFIG_METADATA!$B$4,DATOS!$I$2:$I$20000,"Orquesta/Banda/Conjunto"),"")))</f>
        <v/>
      </c>
      <c r="AB956" t="str">
        <f>IF(Y956="","",IF(Y956="[FÓRMULA MANUAL]","",IFERROR(AVERAGEIFS(DATOS!$K$2:$K$20000,DATOS!$A$2:$A$20000,Y956,DATOS!$G$2:$G$20000,CONFIG_METADATA!$B$4,DATOS!$I$2:$I$20000,"Música de Cámara"),"")))</f>
        <v/>
      </c>
      <c r="AC956" t="str">
        <f>IF(Y956="","",IF(Y956="[FÓRMULA MANUAL]","",IFERROR(SUMPRODUCT((DATOS!$A$2:$A$20000=Y956)*(DATOS!$G$2:$G$20000=CONFIG_METADATA!$B$4)*(COUNTIF(CONFIG_ASIGNATURAS!$B$7:$B$27,DATOS!$I$2:$I$20000)&gt;0)*(DATOS!$K$2:$K$20000))/SUMPRODUCT((DATOS!$A$2:$A$20000=Y956)*(DATOS!$G$2:$G$20000=CONFIG_METADATA!$B$4)*(COUNTIF(CONFIG_ASIGNATURAS!$B$7:$B$27,DATOS!$I$2:$I$20000)&gt;0)*1),"")))</f>
        <v/>
      </c>
      <c r="AF956" t="str">
        <f>IF(AE956="","",IF(AE956="[FÓRMULA MANUAL]","",IFERROR(AVERAGEIFS(DATOS!$K$2:$K$20000,DATOS!$A$2:$A$20000,AE956,DATOS!$G$2:$G$20000,CONFIG_METADATA!$B$4,DATOS!$I$2:$I$20000,"Análisis"),"")))</f>
        <v/>
      </c>
      <c r="AG956" t="str">
        <f>IF(AE956="","",IF(AE956="[FÓRMULA MANUAL]","",IFERROR(AVERAGEIFS(DATOS!$K$2:$K$20000,DATOS!$A$2:$A$20000,AE956,DATOS!$G$2:$G$20000,CONFIG_METADATA!$B$4,DATOS!$I$2:$I$20000,"Orquesta/Banda/Conjunto"),"")))</f>
        <v/>
      </c>
      <c r="AH956" t="str">
        <f>IF(AE956="","",IF(AE956="[FÓRMULA MANUAL]","",IFERROR(AVERAGEIFS(DATOS!$K$2:$K$20000,DATOS!$A$2:$A$20000,AE956,DATOS!$G$2:$G$20000,CONFIG_METADATA!$B$4,DATOS!$I$2:$I$20000,"Música de Cámara"),"")))</f>
        <v/>
      </c>
      <c r="AI956" t="str">
        <f>IF(AE956="","",IF(AE956="[FÓRMULA MANUAL]","",IFERROR(SUMPRODUCT((DATOS!$A$2:$A$20000=AE956)*(DATOS!$G$2:$G$20000=CONFIG_METADATA!$B$4)*(COUNTIF(CONFIG_ASIGNATURAS!$B$7:$B$27,DATOS!$I$2:$I$20000)&gt;0)*(DATOS!$K$2:$K$20000))/SUMPRODUCT((DATOS!$A$2:$A$20000=AE956)*(DATOS!$G$2:$G$20000=CONFIG_METADATA!$B$4)*(COUNTIF(CONFIG_ASIGNATURAS!$B$7:$B$27,DATOS!$I$2:$I$20000)&gt;0)*1),"")))</f>
        <v/>
      </c>
    </row>
    <row r="957" spans="2:35" x14ac:dyDescent="0.2">
      <c r="B957" t="str">
        <f>IF(A957="","",IF(A957="[FÓRMULA MANUAL]","",IFERROR(AVERAGEIFS(DATOS!$K$2:$K$20000,DATOS!$A$2:$A$20000,A957,DATOS!$G$2:$G$20000,CONFIG_METADATA!$B$4,DATOS!$I$2:$I$20000,"Lenguaje Musical"),"")))</f>
        <v/>
      </c>
      <c r="C957" t="str">
        <f>IF(A957="","",IF(A957="[FÓRMULA MANUAL]","",IFERROR(AVERAGEIFS(DATOS!$K$2:$K$20000,DATOS!$A$2:$A$20000,A957,DATOS!$G$2:$G$20000,CONFIG_METADATA!$B$4,DATOS!$I$2:$I$20000,"Orquesta/Banda/Conjunto"),"")))</f>
        <v/>
      </c>
      <c r="D957" t="str">
        <f>IF(A957="","",IF(A957="[FÓRMULA MANUAL]","",IFERROR(AVERAGEIFS(DATOS!$K$2:$K$20000,DATOS!$A$2:$A$20000,A957,DATOS!$G$2:$G$20000,CONFIG_METADATA!$B$4,DATOS!$I$2:$I$20000,"Conjunto"),"")))</f>
        <v/>
      </c>
      <c r="E957" t="str">
        <f>IF(A957="","",IF(A957="[FÓRMULA MANUAL]","",IFERROR(SUMPRODUCT((DATOS!$A$2:$A$20000=A957)*(DATOS!$G$2:$G$20000=CONFIG_METADATA!$B$4)*(COUNTIF(CONFIG_ASIGNATURAS!$B$7:$B$27,DATOS!$I$2:$I$20000)&gt;0)*(DATOS!$K$2:$K$20000))/SUMPRODUCT((DATOS!$A$2:$A$20000=A957)*(DATOS!$G$2:$G$20000=CONFIG_METADATA!$B$4)*(COUNTIF(CONFIG_ASIGNATURAS!$B$7:$B$27,DATOS!$I$2:$I$20000)&gt;0)*1),"")))</f>
        <v/>
      </c>
      <c r="H957" t="str">
        <f>IF(G957="","",IF(G957="[FÓRMULA MANUAL]","",IFERROR(AVERAGEIFS(DATOS!$K$2:$K$20000,DATOS!$A$2:$A$20000,G957,DATOS!$G$2:$G$20000,CONFIG_METADATA!$B$4,DATOS!$I$2:$I$20000,"Lenguaje Musical"),"")))</f>
        <v/>
      </c>
      <c r="I957" t="str">
        <f>IF(G957="","",IF(G957="[FÓRMULA MANUAL]","",IFERROR(AVERAGEIFS(DATOS!$K$2:$K$20000,DATOS!$A$2:$A$20000,G957,DATOS!$G$2:$G$20000,CONFIG_METADATA!$B$4,DATOS!$I$2:$I$20000,"Orquesta/Banda/Conjunto"),"")))</f>
        <v/>
      </c>
      <c r="J957" t="str">
        <f>IF(G957="","",IF(G957="[FÓRMULA MANUAL]","",IFERROR(AVERAGEIFS(DATOS!$K$2:$K$20000,DATOS!$A$2:$A$20000,G957,DATOS!$G$2:$G$20000,CONFIG_METADATA!$B$4,DATOS!$I$2:$I$20000,"Conjunto"),"")))</f>
        <v/>
      </c>
      <c r="K957" t="str">
        <f>IF(G957="","",IF(G957="[FÓRMULA MANUAL]","",IFERROR(SUMPRODUCT((DATOS!$A$2:$A$20000=G957)*(DATOS!$G$2:$G$20000=CONFIG_METADATA!$B$4)*(COUNTIF(CONFIG_ASIGNATURAS!$B$7:$B$27,DATOS!$I$2:$I$20000)&gt;0)*(DATOS!$K$2:$K$20000))/SUMPRODUCT((DATOS!$A$2:$A$20000=G957)*(DATOS!$G$2:$G$20000=CONFIG_METADATA!$B$4)*(COUNTIF(CONFIG_ASIGNATURAS!$B$7:$B$27,DATOS!$I$2:$I$20000)&gt;0)*1),"")))</f>
        <v/>
      </c>
      <c r="N957" t="str">
        <f>IF(M957="","",IF(M957="[FÓRMULA MANUAL]","",IFERROR(AVERAGEIFS(DATOS!$K$2:$K$20000,DATOS!$A$2:$A$20000,M957,DATOS!$G$2:$G$20000,CONFIG_METADATA!$B$4,DATOS!$I$2:$I$20000,"Armonía"),"")))</f>
        <v/>
      </c>
      <c r="O957" t="str">
        <f>IF(M957="","",IF(M957="[FÓRMULA MANUAL]","",IFERROR(AVERAGEIFS(DATOS!$K$2:$K$20000,DATOS!$A$2:$A$20000,M957,DATOS!$G$2:$G$20000,CONFIG_METADATA!$B$4,DATOS!$I$2:$I$20000,"Orquesta/Banda/Conjunto"),"")))</f>
        <v/>
      </c>
      <c r="P957" t="str">
        <f>IF(M957="","",IF(M957="[FÓRMULA MANUAL]","",IFERROR(AVERAGEIFS(DATOS!$K$2:$K$20000,DATOS!$A$2:$A$20000,M957,DATOS!$G$2:$G$20000,CONFIG_METADATA!$B$4,DATOS!$I$2:$I$20000,"Música de Cámara"),"")))</f>
        <v/>
      </c>
      <c r="Q957" t="str">
        <f>IF(M957="","",IF(M957="[FÓRMULA MANUAL]","",IFERROR(SUMPRODUCT((DATOS!$A$2:$A$20000=M957)*(DATOS!$G$2:$G$20000=CONFIG_METADATA!$B$4)*(COUNTIF(CONFIG_ASIGNATURAS!$B$7:$B$27,DATOS!$I$2:$I$20000)&gt;0)*(DATOS!$K$2:$K$20000))/SUMPRODUCT((DATOS!$A$2:$A$20000=M957)*(DATOS!$G$2:$G$20000=CONFIG_METADATA!$B$4)*(COUNTIF(CONFIG_ASIGNATURAS!$B$7:$B$27,DATOS!$I$2:$I$20000)&gt;0)*1),"")))</f>
        <v/>
      </c>
      <c r="T957" t="str">
        <f>IF(S957="","",IF(S957="[FÓRMULA MANUAL]","",IFERROR(AVERAGEIFS(DATOS!$K$2:$K$20000,DATOS!$A$2:$A$20000,S957,DATOS!$G$2:$G$20000,CONFIG_METADATA!$B$4,DATOS!$I$2:$I$20000,"Armonía"),"")))</f>
        <v/>
      </c>
      <c r="U957" t="str">
        <f>IF(S957="","",IF(S957="[FÓRMULA MANUAL]","",IFERROR(AVERAGEIFS(DATOS!$K$2:$K$20000,DATOS!$A$2:$A$20000,S957,DATOS!$G$2:$G$20000,CONFIG_METADATA!$B$4,DATOS!$I$2:$I$20000,"Orquesta/Banda/Conjunto"),"")))</f>
        <v/>
      </c>
      <c r="V957" t="str">
        <f>IF(S957="","",IF(S957="[FÓRMULA MANUAL]","",IFERROR(AVERAGEIFS(DATOS!$K$2:$K$20000,DATOS!$A$2:$A$20000,S957,DATOS!$G$2:$G$20000,CONFIG_METADATA!$B$4,DATOS!$I$2:$I$20000,"Música de Cámara"),"")))</f>
        <v/>
      </c>
      <c r="W957" t="str">
        <f>IF(S957="","",IF(S957="[FÓRMULA MANUAL]","",IFERROR(SUMPRODUCT((DATOS!$A$2:$A$20000=S957)*(DATOS!$G$2:$G$20000=CONFIG_METADATA!$B$4)*(COUNTIF(CONFIG_ASIGNATURAS!$B$7:$B$27,DATOS!$I$2:$I$20000)&gt;0)*(DATOS!$K$2:$K$20000))/SUMPRODUCT((DATOS!$A$2:$A$20000=S957)*(DATOS!$G$2:$G$20000=CONFIG_METADATA!$B$4)*(COUNTIF(CONFIG_ASIGNATURAS!$B$7:$B$27,DATOS!$I$2:$I$20000)&gt;0)*1),"")))</f>
        <v/>
      </c>
      <c r="Z957" t="str">
        <f>IF(Y957="","",IF(Y957="[FÓRMULA MANUAL]","",IFERROR(AVERAGEIFS(DATOS!$K$2:$K$20000,DATOS!$A$2:$A$20000,Y957,DATOS!$G$2:$G$20000,CONFIG_METADATA!$B$4,DATOS!$I$2:$I$20000,"Análisis"),"")))</f>
        <v/>
      </c>
      <c r="AA957" t="str">
        <f>IF(Y957="","",IF(Y957="[FÓRMULA MANUAL]","",IFERROR(AVERAGEIFS(DATOS!$K$2:$K$20000,DATOS!$A$2:$A$20000,Y957,DATOS!$G$2:$G$20000,CONFIG_METADATA!$B$4,DATOS!$I$2:$I$20000,"Orquesta/Banda/Conjunto"),"")))</f>
        <v/>
      </c>
      <c r="AB957" t="str">
        <f>IF(Y957="","",IF(Y957="[FÓRMULA MANUAL]","",IFERROR(AVERAGEIFS(DATOS!$K$2:$K$20000,DATOS!$A$2:$A$20000,Y957,DATOS!$G$2:$G$20000,CONFIG_METADATA!$B$4,DATOS!$I$2:$I$20000,"Música de Cámara"),"")))</f>
        <v/>
      </c>
      <c r="AC957" t="str">
        <f>IF(Y957="","",IF(Y957="[FÓRMULA MANUAL]","",IFERROR(SUMPRODUCT((DATOS!$A$2:$A$20000=Y957)*(DATOS!$G$2:$G$20000=CONFIG_METADATA!$B$4)*(COUNTIF(CONFIG_ASIGNATURAS!$B$7:$B$27,DATOS!$I$2:$I$20000)&gt;0)*(DATOS!$K$2:$K$20000))/SUMPRODUCT((DATOS!$A$2:$A$20000=Y957)*(DATOS!$G$2:$G$20000=CONFIG_METADATA!$B$4)*(COUNTIF(CONFIG_ASIGNATURAS!$B$7:$B$27,DATOS!$I$2:$I$20000)&gt;0)*1),"")))</f>
        <v/>
      </c>
      <c r="AF957" t="str">
        <f>IF(AE957="","",IF(AE957="[FÓRMULA MANUAL]","",IFERROR(AVERAGEIFS(DATOS!$K$2:$K$20000,DATOS!$A$2:$A$20000,AE957,DATOS!$G$2:$G$20000,CONFIG_METADATA!$B$4,DATOS!$I$2:$I$20000,"Análisis"),"")))</f>
        <v/>
      </c>
      <c r="AG957" t="str">
        <f>IF(AE957="","",IF(AE957="[FÓRMULA MANUAL]","",IFERROR(AVERAGEIFS(DATOS!$K$2:$K$20000,DATOS!$A$2:$A$20000,AE957,DATOS!$G$2:$G$20000,CONFIG_METADATA!$B$4,DATOS!$I$2:$I$20000,"Orquesta/Banda/Conjunto"),"")))</f>
        <v/>
      </c>
      <c r="AH957" t="str">
        <f>IF(AE957="","",IF(AE957="[FÓRMULA MANUAL]","",IFERROR(AVERAGEIFS(DATOS!$K$2:$K$20000,DATOS!$A$2:$A$20000,AE957,DATOS!$G$2:$G$20000,CONFIG_METADATA!$B$4,DATOS!$I$2:$I$20000,"Música de Cámara"),"")))</f>
        <v/>
      </c>
      <c r="AI957" t="str">
        <f>IF(AE957="","",IF(AE957="[FÓRMULA MANUAL]","",IFERROR(SUMPRODUCT((DATOS!$A$2:$A$20000=AE957)*(DATOS!$G$2:$G$20000=CONFIG_METADATA!$B$4)*(COUNTIF(CONFIG_ASIGNATURAS!$B$7:$B$27,DATOS!$I$2:$I$20000)&gt;0)*(DATOS!$K$2:$K$20000))/SUMPRODUCT((DATOS!$A$2:$A$20000=AE957)*(DATOS!$G$2:$G$20000=CONFIG_METADATA!$B$4)*(COUNTIF(CONFIG_ASIGNATURAS!$B$7:$B$27,DATOS!$I$2:$I$20000)&gt;0)*1),"")))</f>
        <v/>
      </c>
    </row>
    <row r="958" spans="2:35" x14ac:dyDescent="0.2">
      <c r="B958" t="str">
        <f>IF(A958="","",IF(A958="[FÓRMULA MANUAL]","",IFERROR(AVERAGEIFS(DATOS!$K$2:$K$20000,DATOS!$A$2:$A$20000,A958,DATOS!$G$2:$G$20000,CONFIG_METADATA!$B$4,DATOS!$I$2:$I$20000,"Lenguaje Musical"),"")))</f>
        <v/>
      </c>
      <c r="C958" t="str">
        <f>IF(A958="","",IF(A958="[FÓRMULA MANUAL]","",IFERROR(AVERAGEIFS(DATOS!$K$2:$K$20000,DATOS!$A$2:$A$20000,A958,DATOS!$G$2:$G$20000,CONFIG_METADATA!$B$4,DATOS!$I$2:$I$20000,"Orquesta/Banda/Conjunto"),"")))</f>
        <v/>
      </c>
      <c r="D958" t="str">
        <f>IF(A958="","",IF(A958="[FÓRMULA MANUAL]","",IFERROR(AVERAGEIFS(DATOS!$K$2:$K$20000,DATOS!$A$2:$A$20000,A958,DATOS!$G$2:$G$20000,CONFIG_METADATA!$B$4,DATOS!$I$2:$I$20000,"Conjunto"),"")))</f>
        <v/>
      </c>
      <c r="E958" t="str">
        <f>IF(A958="","",IF(A958="[FÓRMULA MANUAL]","",IFERROR(SUMPRODUCT((DATOS!$A$2:$A$20000=A958)*(DATOS!$G$2:$G$20000=CONFIG_METADATA!$B$4)*(COUNTIF(CONFIG_ASIGNATURAS!$B$7:$B$27,DATOS!$I$2:$I$20000)&gt;0)*(DATOS!$K$2:$K$20000))/SUMPRODUCT((DATOS!$A$2:$A$20000=A958)*(DATOS!$G$2:$G$20000=CONFIG_METADATA!$B$4)*(COUNTIF(CONFIG_ASIGNATURAS!$B$7:$B$27,DATOS!$I$2:$I$20000)&gt;0)*1),"")))</f>
        <v/>
      </c>
      <c r="H958" t="str">
        <f>IF(G958="","",IF(G958="[FÓRMULA MANUAL]","",IFERROR(AVERAGEIFS(DATOS!$K$2:$K$20000,DATOS!$A$2:$A$20000,G958,DATOS!$G$2:$G$20000,CONFIG_METADATA!$B$4,DATOS!$I$2:$I$20000,"Lenguaje Musical"),"")))</f>
        <v/>
      </c>
      <c r="I958" t="str">
        <f>IF(G958="","",IF(G958="[FÓRMULA MANUAL]","",IFERROR(AVERAGEIFS(DATOS!$K$2:$K$20000,DATOS!$A$2:$A$20000,G958,DATOS!$G$2:$G$20000,CONFIG_METADATA!$B$4,DATOS!$I$2:$I$20000,"Orquesta/Banda/Conjunto"),"")))</f>
        <v/>
      </c>
      <c r="J958" t="str">
        <f>IF(G958="","",IF(G958="[FÓRMULA MANUAL]","",IFERROR(AVERAGEIFS(DATOS!$K$2:$K$20000,DATOS!$A$2:$A$20000,G958,DATOS!$G$2:$G$20000,CONFIG_METADATA!$B$4,DATOS!$I$2:$I$20000,"Conjunto"),"")))</f>
        <v/>
      </c>
      <c r="K958" t="str">
        <f>IF(G958="","",IF(G958="[FÓRMULA MANUAL]","",IFERROR(SUMPRODUCT((DATOS!$A$2:$A$20000=G958)*(DATOS!$G$2:$G$20000=CONFIG_METADATA!$B$4)*(COUNTIF(CONFIG_ASIGNATURAS!$B$7:$B$27,DATOS!$I$2:$I$20000)&gt;0)*(DATOS!$K$2:$K$20000))/SUMPRODUCT((DATOS!$A$2:$A$20000=G958)*(DATOS!$G$2:$G$20000=CONFIG_METADATA!$B$4)*(COUNTIF(CONFIG_ASIGNATURAS!$B$7:$B$27,DATOS!$I$2:$I$20000)&gt;0)*1),"")))</f>
        <v/>
      </c>
      <c r="N958" t="str">
        <f>IF(M958="","",IF(M958="[FÓRMULA MANUAL]","",IFERROR(AVERAGEIFS(DATOS!$K$2:$K$20000,DATOS!$A$2:$A$20000,M958,DATOS!$G$2:$G$20000,CONFIG_METADATA!$B$4,DATOS!$I$2:$I$20000,"Armonía"),"")))</f>
        <v/>
      </c>
      <c r="O958" t="str">
        <f>IF(M958="","",IF(M958="[FÓRMULA MANUAL]","",IFERROR(AVERAGEIFS(DATOS!$K$2:$K$20000,DATOS!$A$2:$A$20000,M958,DATOS!$G$2:$G$20000,CONFIG_METADATA!$B$4,DATOS!$I$2:$I$20000,"Orquesta/Banda/Conjunto"),"")))</f>
        <v/>
      </c>
      <c r="P958" t="str">
        <f>IF(M958="","",IF(M958="[FÓRMULA MANUAL]","",IFERROR(AVERAGEIFS(DATOS!$K$2:$K$20000,DATOS!$A$2:$A$20000,M958,DATOS!$G$2:$G$20000,CONFIG_METADATA!$B$4,DATOS!$I$2:$I$20000,"Música de Cámara"),"")))</f>
        <v/>
      </c>
      <c r="Q958" t="str">
        <f>IF(M958="","",IF(M958="[FÓRMULA MANUAL]","",IFERROR(SUMPRODUCT((DATOS!$A$2:$A$20000=M958)*(DATOS!$G$2:$G$20000=CONFIG_METADATA!$B$4)*(COUNTIF(CONFIG_ASIGNATURAS!$B$7:$B$27,DATOS!$I$2:$I$20000)&gt;0)*(DATOS!$K$2:$K$20000))/SUMPRODUCT((DATOS!$A$2:$A$20000=M958)*(DATOS!$G$2:$G$20000=CONFIG_METADATA!$B$4)*(COUNTIF(CONFIG_ASIGNATURAS!$B$7:$B$27,DATOS!$I$2:$I$20000)&gt;0)*1),"")))</f>
        <v/>
      </c>
      <c r="T958" t="str">
        <f>IF(S958="","",IF(S958="[FÓRMULA MANUAL]","",IFERROR(AVERAGEIFS(DATOS!$K$2:$K$20000,DATOS!$A$2:$A$20000,S958,DATOS!$G$2:$G$20000,CONFIG_METADATA!$B$4,DATOS!$I$2:$I$20000,"Armonía"),"")))</f>
        <v/>
      </c>
      <c r="U958" t="str">
        <f>IF(S958="","",IF(S958="[FÓRMULA MANUAL]","",IFERROR(AVERAGEIFS(DATOS!$K$2:$K$20000,DATOS!$A$2:$A$20000,S958,DATOS!$G$2:$G$20000,CONFIG_METADATA!$B$4,DATOS!$I$2:$I$20000,"Orquesta/Banda/Conjunto"),"")))</f>
        <v/>
      </c>
      <c r="V958" t="str">
        <f>IF(S958="","",IF(S958="[FÓRMULA MANUAL]","",IFERROR(AVERAGEIFS(DATOS!$K$2:$K$20000,DATOS!$A$2:$A$20000,S958,DATOS!$G$2:$G$20000,CONFIG_METADATA!$B$4,DATOS!$I$2:$I$20000,"Música de Cámara"),"")))</f>
        <v/>
      </c>
      <c r="W958" t="str">
        <f>IF(S958="","",IF(S958="[FÓRMULA MANUAL]","",IFERROR(SUMPRODUCT((DATOS!$A$2:$A$20000=S958)*(DATOS!$G$2:$G$20000=CONFIG_METADATA!$B$4)*(COUNTIF(CONFIG_ASIGNATURAS!$B$7:$B$27,DATOS!$I$2:$I$20000)&gt;0)*(DATOS!$K$2:$K$20000))/SUMPRODUCT((DATOS!$A$2:$A$20000=S958)*(DATOS!$G$2:$G$20000=CONFIG_METADATA!$B$4)*(COUNTIF(CONFIG_ASIGNATURAS!$B$7:$B$27,DATOS!$I$2:$I$20000)&gt;0)*1),"")))</f>
        <v/>
      </c>
      <c r="Z958" t="str">
        <f>IF(Y958="","",IF(Y958="[FÓRMULA MANUAL]","",IFERROR(AVERAGEIFS(DATOS!$K$2:$K$20000,DATOS!$A$2:$A$20000,Y958,DATOS!$G$2:$G$20000,CONFIG_METADATA!$B$4,DATOS!$I$2:$I$20000,"Análisis"),"")))</f>
        <v/>
      </c>
      <c r="AA958" t="str">
        <f>IF(Y958="","",IF(Y958="[FÓRMULA MANUAL]","",IFERROR(AVERAGEIFS(DATOS!$K$2:$K$20000,DATOS!$A$2:$A$20000,Y958,DATOS!$G$2:$G$20000,CONFIG_METADATA!$B$4,DATOS!$I$2:$I$20000,"Orquesta/Banda/Conjunto"),"")))</f>
        <v/>
      </c>
      <c r="AB958" t="str">
        <f>IF(Y958="","",IF(Y958="[FÓRMULA MANUAL]","",IFERROR(AVERAGEIFS(DATOS!$K$2:$K$20000,DATOS!$A$2:$A$20000,Y958,DATOS!$G$2:$G$20000,CONFIG_METADATA!$B$4,DATOS!$I$2:$I$20000,"Música de Cámara"),"")))</f>
        <v/>
      </c>
      <c r="AC958" t="str">
        <f>IF(Y958="","",IF(Y958="[FÓRMULA MANUAL]","",IFERROR(SUMPRODUCT((DATOS!$A$2:$A$20000=Y958)*(DATOS!$G$2:$G$20000=CONFIG_METADATA!$B$4)*(COUNTIF(CONFIG_ASIGNATURAS!$B$7:$B$27,DATOS!$I$2:$I$20000)&gt;0)*(DATOS!$K$2:$K$20000))/SUMPRODUCT((DATOS!$A$2:$A$20000=Y958)*(DATOS!$G$2:$G$20000=CONFIG_METADATA!$B$4)*(COUNTIF(CONFIG_ASIGNATURAS!$B$7:$B$27,DATOS!$I$2:$I$20000)&gt;0)*1),"")))</f>
        <v/>
      </c>
      <c r="AF958" t="str">
        <f>IF(AE958="","",IF(AE958="[FÓRMULA MANUAL]","",IFERROR(AVERAGEIFS(DATOS!$K$2:$K$20000,DATOS!$A$2:$A$20000,AE958,DATOS!$G$2:$G$20000,CONFIG_METADATA!$B$4,DATOS!$I$2:$I$20000,"Análisis"),"")))</f>
        <v/>
      </c>
      <c r="AG958" t="str">
        <f>IF(AE958="","",IF(AE958="[FÓRMULA MANUAL]","",IFERROR(AVERAGEIFS(DATOS!$K$2:$K$20000,DATOS!$A$2:$A$20000,AE958,DATOS!$G$2:$G$20000,CONFIG_METADATA!$B$4,DATOS!$I$2:$I$20000,"Orquesta/Banda/Conjunto"),"")))</f>
        <v/>
      </c>
      <c r="AH958" t="str">
        <f>IF(AE958="","",IF(AE958="[FÓRMULA MANUAL]","",IFERROR(AVERAGEIFS(DATOS!$K$2:$K$20000,DATOS!$A$2:$A$20000,AE958,DATOS!$G$2:$G$20000,CONFIG_METADATA!$B$4,DATOS!$I$2:$I$20000,"Música de Cámara"),"")))</f>
        <v/>
      </c>
      <c r="AI958" t="str">
        <f>IF(AE958="","",IF(AE958="[FÓRMULA MANUAL]","",IFERROR(SUMPRODUCT((DATOS!$A$2:$A$20000=AE958)*(DATOS!$G$2:$G$20000=CONFIG_METADATA!$B$4)*(COUNTIF(CONFIG_ASIGNATURAS!$B$7:$B$27,DATOS!$I$2:$I$20000)&gt;0)*(DATOS!$K$2:$K$20000))/SUMPRODUCT((DATOS!$A$2:$A$20000=AE958)*(DATOS!$G$2:$G$20000=CONFIG_METADATA!$B$4)*(COUNTIF(CONFIG_ASIGNATURAS!$B$7:$B$27,DATOS!$I$2:$I$20000)&gt;0)*1),"")))</f>
        <v/>
      </c>
    </row>
    <row r="959" spans="2:35" x14ac:dyDescent="0.2">
      <c r="B959" t="str">
        <f>IF(A959="","",IF(A959="[FÓRMULA MANUAL]","",IFERROR(AVERAGEIFS(DATOS!$K$2:$K$20000,DATOS!$A$2:$A$20000,A959,DATOS!$G$2:$G$20000,CONFIG_METADATA!$B$4,DATOS!$I$2:$I$20000,"Lenguaje Musical"),"")))</f>
        <v/>
      </c>
      <c r="C959" t="str">
        <f>IF(A959="","",IF(A959="[FÓRMULA MANUAL]","",IFERROR(AVERAGEIFS(DATOS!$K$2:$K$20000,DATOS!$A$2:$A$20000,A959,DATOS!$G$2:$G$20000,CONFIG_METADATA!$B$4,DATOS!$I$2:$I$20000,"Orquesta/Banda/Conjunto"),"")))</f>
        <v/>
      </c>
      <c r="D959" t="str">
        <f>IF(A959="","",IF(A959="[FÓRMULA MANUAL]","",IFERROR(AVERAGEIFS(DATOS!$K$2:$K$20000,DATOS!$A$2:$A$20000,A959,DATOS!$G$2:$G$20000,CONFIG_METADATA!$B$4,DATOS!$I$2:$I$20000,"Conjunto"),"")))</f>
        <v/>
      </c>
      <c r="E959" t="str">
        <f>IF(A959="","",IF(A959="[FÓRMULA MANUAL]","",IFERROR(SUMPRODUCT((DATOS!$A$2:$A$20000=A959)*(DATOS!$G$2:$G$20000=CONFIG_METADATA!$B$4)*(COUNTIF(CONFIG_ASIGNATURAS!$B$7:$B$27,DATOS!$I$2:$I$20000)&gt;0)*(DATOS!$K$2:$K$20000))/SUMPRODUCT((DATOS!$A$2:$A$20000=A959)*(DATOS!$G$2:$G$20000=CONFIG_METADATA!$B$4)*(COUNTIF(CONFIG_ASIGNATURAS!$B$7:$B$27,DATOS!$I$2:$I$20000)&gt;0)*1),"")))</f>
        <v/>
      </c>
      <c r="H959" t="str">
        <f>IF(G959="","",IF(G959="[FÓRMULA MANUAL]","",IFERROR(AVERAGEIFS(DATOS!$K$2:$K$20000,DATOS!$A$2:$A$20000,G959,DATOS!$G$2:$G$20000,CONFIG_METADATA!$B$4,DATOS!$I$2:$I$20000,"Lenguaje Musical"),"")))</f>
        <v/>
      </c>
      <c r="I959" t="str">
        <f>IF(G959="","",IF(G959="[FÓRMULA MANUAL]","",IFERROR(AVERAGEIFS(DATOS!$K$2:$K$20000,DATOS!$A$2:$A$20000,G959,DATOS!$G$2:$G$20000,CONFIG_METADATA!$B$4,DATOS!$I$2:$I$20000,"Orquesta/Banda/Conjunto"),"")))</f>
        <v/>
      </c>
      <c r="J959" t="str">
        <f>IF(G959="","",IF(G959="[FÓRMULA MANUAL]","",IFERROR(AVERAGEIFS(DATOS!$K$2:$K$20000,DATOS!$A$2:$A$20000,G959,DATOS!$G$2:$G$20000,CONFIG_METADATA!$B$4,DATOS!$I$2:$I$20000,"Conjunto"),"")))</f>
        <v/>
      </c>
      <c r="K959" t="str">
        <f>IF(G959="","",IF(G959="[FÓRMULA MANUAL]","",IFERROR(SUMPRODUCT((DATOS!$A$2:$A$20000=G959)*(DATOS!$G$2:$G$20000=CONFIG_METADATA!$B$4)*(COUNTIF(CONFIG_ASIGNATURAS!$B$7:$B$27,DATOS!$I$2:$I$20000)&gt;0)*(DATOS!$K$2:$K$20000))/SUMPRODUCT((DATOS!$A$2:$A$20000=G959)*(DATOS!$G$2:$G$20000=CONFIG_METADATA!$B$4)*(COUNTIF(CONFIG_ASIGNATURAS!$B$7:$B$27,DATOS!$I$2:$I$20000)&gt;0)*1),"")))</f>
        <v/>
      </c>
      <c r="N959" t="str">
        <f>IF(M959="","",IF(M959="[FÓRMULA MANUAL]","",IFERROR(AVERAGEIFS(DATOS!$K$2:$K$20000,DATOS!$A$2:$A$20000,M959,DATOS!$G$2:$G$20000,CONFIG_METADATA!$B$4,DATOS!$I$2:$I$20000,"Armonía"),"")))</f>
        <v/>
      </c>
      <c r="O959" t="str">
        <f>IF(M959="","",IF(M959="[FÓRMULA MANUAL]","",IFERROR(AVERAGEIFS(DATOS!$K$2:$K$20000,DATOS!$A$2:$A$20000,M959,DATOS!$G$2:$G$20000,CONFIG_METADATA!$B$4,DATOS!$I$2:$I$20000,"Orquesta/Banda/Conjunto"),"")))</f>
        <v/>
      </c>
      <c r="P959" t="str">
        <f>IF(M959="","",IF(M959="[FÓRMULA MANUAL]","",IFERROR(AVERAGEIFS(DATOS!$K$2:$K$20000,DATOS!$A$2:$A$20000,M959,DATOS!$G$2:$G$20000,CONFIG_METADATA!$B$4,DATOS!$I$2:$I$20000,"Música de Cámara"),"")))</f>
        <v/>
      </c>
      <c r="Q959" t="str">
        <f>IF(M959="","",IF(M959="[FÓRMULA MANUAL]","",IFERROR(SUMPRODUCT((DATOS!$A$2:$A$20000=M959)*(DATOS!$G$2:$G$20000=CONFIG_METADATA!$B$4)*(COUNTIF(CONFIG_ASIGNATURAS!$B$7:$B$27,DATOS!$I$2:$I$20000)&gt;0)*(DATOS!$K$2:$K$20000))/SUMPRODUCT((DATOS!$A$2:$A$20000=M959)*(DATOS!$G$2:$G$20000=CONFIG_METADATA!$B$4)*(COUNTIF(CONFIG_ASIGNATURAS!$B$7:$B$27,DATOS!$I$2:$I$20000)&gt;0)*1),"")))</f>
        <v/>
      </c>
      <c r="T959" t="str">
        <f>IF(S959="","",IF(S959="[FÓRMULA MANUAL]","",IFERROR(AVERAGEIFS(DATOS!$K$2:$K$20000,DATOS!$A$2:$A$20000,S959,DATOS!$G$2:$G$20000,CONFIG_METADATA!$B$4,DATOS!$I$2:$I$20000,"Armonía"),"")))</f>
        <v/>
      </c>
      <c r="U959" t="str">
        <f>IF(S959="","",IF(S959="[FÓRMULA MANUAL]","",IFERROR(AVERAGEIFS(DATOS!$K$2:$K$20000,DATOS!$A$2:$A$20000,S959,DATOS!$G$2:$G$20000,CONFIG_METADATA!$B$4,DATOS!$I$2:$I$20000,"Orquesta/Banda/Conjunto"),"")))</f>
        <v/>
      </c>
      <c r="V959" t="str">
        <f>IF(S959="","",IF(S959="[FÓRMULA MANUAL]","",IFERROR(AVERAGEIFS(DATOS!$K$2:$K$20000,DATOS!$A$2:$A$20000,S959,DATOS!$G$2:$G$20000,CONFIG_METADATA!$B$4,DATOS!$I$2:$I$20000,"Música de Cámara"),"")))</f>
        <v/>
      </c>
      <c r="W959" t="str">
        <f>IF(S959="","",IF(S959="[FÓRMULA MANUAL]","",IFERROR(SUMPRODUCT((DATOS!$A$2:$A$20000=S959)*(DATOS!$G$2:$G$20000=CONFIG_METADATA!$B$4)*(COUNTIF(CONFIG_ASIGNATURAS!$B$7:$B$27,DATOS!$I$2:$I$20000)&gt;0)*(DATOS!$K$2:$K$20000))/SUMPRODUCT((DATOS!$A$2:$A$20000=S959)*(DATOS!$G$2:$G$20000=CONFIG_METADATA!$B$4)*(COUNTIF(CONFIG_ASIGNATURAS!$B$7:$B$27,DATOS!$I$2:$I$20000)&gt;0)*1),"")))</f>
        <v/>
      </c>
      <c r="Z959" t="str">
        <f>IF(Y959="","",IF(Y959="[FÓRMULA MANUAL]","",IFERROR(AVERAGEIFS(DATOS!$K$2:$K$20000,DATOS!$A$2:$A$20000,Y959,DATOS!$G$2:$G$20000,CONFIG_METADATA!$B$4,DATOS!$I$2:$I$20000,"Análisis"),"")))</f>
        <v/>
      </c>
      <c r="AA959" t="str">
        <f>IF(Y959="","",IF(Y959="[FÓRMULA MANUAL]","",IFERROR(AVERAGEIFS(DATOS!$K$2:$K$20000,DATOS!$A$2:$A$20000,Y959,DATOS!$G$2:$G$20000,CONFIG_METADATA!$B$4,DATOS!$I$2:$I$20000,"Orquesta/Banda/Conjunto"),"")))</f>
        <v/>
      </c>
      <c r="AB959" t="str">
        <f>IF(Y959="","",IF(Y959="[FÓRMULA MANUAL]","",IFERROR(AVERAGEIFS(DATOS!$K$2:$K$20000,DATOS!$A$2:$A$20000,Y959,DATOS!$G$2:$G$20000,CONFIG_METADATA!$B$4,DATOS!$I$2:$I$20000,"Música de Cámara"),"")))</f>
        <v/>
      </c>
      <c r="AC959" t="str">
        <f>IF(Y959="","",IF(Y959="[FÓRMULA MANUAL]","",IFERROR(SUMPRODUCT((DATOS!$A$2:$A$20000=Y959)*(DATOS!$G$2:$G$20000=CONFIG_METADATA!$B$4)*(COUNTIF(CONFIG_ASIGNATURAS!$B$7:$B$27,DATOS!$I$2:$I$20000)&gt;0)*(DATOS!$K$2:$K$20000))/SUMPRODUCT((DATOS!$A$2:$A$20000=Y959)*(DATOS!$G$2:$G$20000=CONFIG_METADATA!$B$4)*(COUNTIF(CONFIG_ASIGNATURAS!$B$7:$B$27,DATOS!$I$2:$I$20000)&gt;0)*1),"")))</f>
        <v/>
      </c>
      <c r="AF959" t="str">
        <f>IF(AE959="","",IF(AE959="[FÓRMULA MANUAL]","",IFERROR(AVERAGEIFS(DATOS!$K$2:$K$20000,DATOS!$A$2:$A$20000,AE959,DATOS!$G$2:$G$20000,CONFIG_METADATA!$B$4,DATOS!$I$2:$I$20000,"Análisis"),"")))</f>
        <v/>
      </c>
      <c r="AG959" t="str">
        <f>IF(AE959="","",IF(AE959="[FÓRMULA MANUAL]","",IFERROR(AVERAGEIFS(DATOS!$K$2:$K$20000,DATOS!$A$2:$A$20000,AE959,DATOS!$G$2:$G$20000,CONFIG_METADATA!$B$4,DATOS!$I$2:$I$20000,"Orquesta/Banda/Conjunto"),"")))</f>
        <v/>
      </c>
      <c r="AH959" t="str">
        <f>IF(AE959="","",IF(AE959="[FÓRMULA MANUAL]","",IFERROR(AVERAGEIFS(DATOS!$K$2:$K$20000,DATOS!$A$2:$A$20000,AE959,DATOS!$G$2:$G$20000,CONFIG_METADATA!$B$4,DATOS!$I$2:$I$20000,"Música de Cámara"),"")))</f>
        <v/>
      </c>
      <c r="AI959" t="str">
        <f>IF(AE959="","",IF(AE959="[FÓRMULA MANUAL]","",IFERROR(SUMPRODUCT((DATOS!$A$2:$A$20000=AE959)*(DATOS!$G$2:$G$20000=CONFIG_METADATA!$B$4)*(COUNTIF(CONFIG_ASIGNATURAS!$B$7:$B$27,DATOS!$I$2:$I$20000)&gt;0)*(DATOS!$K$2:$K$20000))/SUMPRODUCT((DATOS!$A$2:$A$20000=AE959)*(DATOS!$G$2:$G$20000=CONFIG_METADATA!$B$4)*(COUNTIF(CONFIG_ASIGNATURAS!$B$7:$B$27,DATOS!$I$2:$I$20000)&gt;0)*1),"")))</f>
        <v/>
      </c>
    </row>
    <row r="960" spans="2:35" x14ac:dyDescent="0.2">
      <c r="B960" t="str">
        <f>IF(A960="","",IF(A960="[FÓRMULA MANUAL]","",IFERROR(AVERAGEIFS(DATOS!$K$2:$K$20000,DATOS!$A$2:$A$20000,A960,DATOS!$G$2:$G$20000,CONFIG_METADATA!$B$4,DATOS!$I$2:$I$20000,"Lenguaje Musical"),"")))</f>
        <v/>
      </c>
      <c r="C960" t="str">
        <f>IF(A960="","",IF(A960="[FÓRMULA MANUAL]","",IFERROR(AVERAGEIFS(DATOS!$K$2:$K$20000,DATOS!$A$2:$A$20000,A960,DATOS!$G$2:$G$20000,CONFIG_METADATA!$B$4,DATOS!$I$2:$I$20000,"Orquesta/Banda/Conjunto"),"")))</f>
        <v/>
      </c>
      <c r="D960" t="str">
        <f>IF(A960="","",IF(A960="[FÓRMULA MANUAL]","",IFERROR(AVERAGEIFS(DATOS!$K$2:$K$20000,DATOS!$A$2:$A$20000,A960,DATOS!$G$2:$G$20000,CONFIG_METADATA!$B$4,DATOS!$I$2:$I$20000,"Conjunto"),"")))</f>
        <v/>
      </c>
      <c r="E960" t="str">
        <f>IF(A960="","",IF(A960="[FÓRMULA MANUAL]","",IFERROR(SUMPRODUCT((DATOS!$A$2:$A$20000=A960)*(DATOS!$G$2:$G$20000=CONFIG_METADATA!$B$4)*(COUNTIF(CONFIG_ASIGNATURAS!$B$7:$B$27,DATOS!$I$2:$I$20000)&gt;0)*(DATOS!$K$2:$K$20000))/SUMPRODUCT((DATOS!$A$2:$A$20000=A960)*(DATOS!$G$2:$G$20000=CONFIG_METADATA!$B$4)*(COUNTIF(CONFIG_ASIGNATURAS!$B$7:$B$27,DATOS!$I$2:$I$20000)&gt;0)*1),"")))</f>
        <v/>
      </c>
      <c r="H960" t="str">
        <f>IF(G960="","",IF(G960="[FÓRMULA MANUAL]","",IFERROR(AVERAGEIFS(DATOS!$K$2:$K$20000,DATOS!$A$2:$A$20000,G960,DATOS!$G$2:$G$20000,CONFIG_METADATA!$B$4,DATOS!$I$2:$I$20000,"Lenguaje Musical"),"")))</f>
        <v/>
      </c>
      <c r="I960" t="str">
        <f>IF(G960="","",IF(G960="[FÓRMULA MANUAL]","",IFERROR(AVERAGEIFS(DATOS!$K$2:$K$20000,DATOS!$A$2:$A$20000,G960,DATOS!$G$2:$G$20000,CONFIG_METADATA!$B$4,DATOS!$I$2:$I$20000,"Orquesta/Banda/Conjunto"),"")))</f>
        <v/>
      </c>
      <c r="J960" t="str">
        <f>IF(G960="","",IF(G960="[FÓRMULA MANUAL]","",IFERROR(AVERAGEIFS(DATOS!$K$2:$K$20000,DATOS!$A$2:$A$20000,G960,DATOS!$G$2:$G$20000,CONFIG_METADATA!$B$4,DATOS!$I$2:$I$20000,"Conjunto"),"")))</f>
        <v/>
      </c>
      <c r="K960" t="str">
        <f>IF(G960="","",IF(G960="[FÓRMULA MANUAL]","",IFERROR(SUMPRODUCT((DATOS!$A$2:$A$20000=G960)*(DATOS!$G$2:$G$20000=CONFIG_METADATA!$B$4)*(COUNTIF(CONFIG_ASIGNATURAS!$B$7:$B$27,DATOS!$I$2:$I$20000)&gt;0)*(DATOS!$K$2:$K$20000))/SUMPRODUCT((DATOS!$A$2:$A$20000=G960)*(DATOS!$G$2:$G$20000=CONFIG_METADATA!$B$4)*(COUNTIF(CONFIG_ASIGNATURAS!$B$7:$B$27,DATOS!$I$2:$I$20000)&gt;0)*1),"")))</f>
        <v/>
      </c>
      <c r="N960" t="str">
        <f>IF(M960="","",IF(M960="[FÓRMULA MANUAL]","",IFERROR(AVERAGEIFS(DATOS!$K$2:$K$20000,DATOS!$A$2:$A$20000,M960,DATOS!$G$2:$G$20000,CONFIG_METADATA!$B$4,DATOS!$I$2:$I$20000,"Armonía"),"")))</f>
        <v/>
      </c>
      <c r="O960" t="str">
        <f>IF(M960="","",IF(M960="[FÓRMULA MANUAL]","",IFERROR(AVERAGEIFS(DATOS!$K$2:$K$20000,DATOS!$A$2:$A$20000,M960,DATOS!$G$2:$G$20000,CONFIG_METADATA!$B$4,DATOS!$I$2:$I$20000,"Orquesta/Banda/Conjunto"),"")))</f>
        <v/>
      </c>
      <c r="P960" t="str">
        <f>IF(M960="","",IF(M960="[FÓRMULA MANUAL]","",IFERROR(AVERAGEIFS(DATOS!$K$2:$K$20000,DATOS!$A$2:$A$20000,M960,DATOS!$G$2:$G$20000,CONFIG_METADATA!$B$4,DATOS!$I$2:$I$20000,"Música de Cámara"),"")))</f>
        <v/>
      </c>
      <c r="Q960" t="str">
        <f>IF(M960="","",IF(M960="[FÓRMULA MANUAL]","",IFERROR(SUMPRODUCT((DATOS!$A$2:$A$20000=M960)*(DATOS!$G$2:$G$20000=CONFIG_METADATA!$B$4)*(COUNTIF(CONFIG_ASIGNATURAS!$B$7:$B$27,DATOS!$I$2:$I$20000)&gt;0)*(DATOS!$K$2:$K$20000))/SUMPRODUCT((DATOS!$A$2:$A$20000=M960)*(DATOS!$G$2:$G$20000=CONFIG_METADATA!$B$4)*(COUNTIF(CONFIG_ASIGNATURAS!$B$7:$B$27,DATOS!$I$2:$I$20000)&gt;0)*1),"")))</f>
        <v/>
      </c>
      <c r="T960" t="str">
        <f>IF(S960="","",IF(S960="[FÓRMULA MANUAL]","",IFERROR(AVERAGEIFS(DATOS!$K$2:$K$20000,DATOS!$A$2:$A$20000,S960,DATOS!$G$2:$G$20000,CONFIG_METADATA!$B$4,DATOS!$I$2:$I$20000,"Armonía"),"")))</f>
        <v/>
      </c>
      <c r="U960" t="str">
        <f>IF(S960="","",IF(S960="[FÓRMULA MANUAL]","",IFERROR(AVERAGEIFS(DATOS!$K$2:$K$20000,DATOS!$A$2:$A$20000,S960,DATOS!$G$2:$G$20000,CONFIG_METADATA!$B$4,DATOS!$I$2:$I$20000,"Orquesta/Banda/Conjunto"),"")))</f>
        <v/>
      </c>
      <c r="V960" t="str">
        <f>IF(S960="","",IF(S960="[FÓRMULA MANUAL]","",IFERROR(AVERAGEIFS(DATOS!$K$2:$K$20000,DATOS!$A$2:$A$20000,S960,DATOS!$G$2:$G$20000,CONFIG_METADATA!$B$4,DATOS!$I$2:$I$20000,"Música de Cámara"),"")))</f>
        <v/>
      </c>
      <c r="W960" t="str">
        <f>IF(S960="","",IF(S960="[FÓRMULA MANUAL]","",IFERROR(SUMPRODUCT((DATOS!$A$2:$A$20000=S960)*(DATOS!$G$2:$G$20000=CONFIG_METADATA!$B$4)*(COUNTIF(CONFIG_ASIGNATURAS!$B$7:$B$27,DATOS!$I$2:$I$20000)&gt;0)*(DATOS!$K$2:$K$20000))/SUMPRODUCT((DATOS!$A$2:$A$20000=S960)*(DATOS!$G$2:$G$20000=CONFIG_METADATA!$B$4)*(COUNTIF(CONFIG_ASIGNATURAS!$B$7:$B$27,DATOS!$I$2:$I$20000)&gt;0)*1),"")))</f>
        <v/>
      </c>
      <c r="Z960" t="str">
        <f>IF(Y960="","",IF(Y960="[FÓRMULA MANUAL]","",IFERROR(AVERAGEIFS(DATOS!$K$2:$K$20000,DATOS!$A$2:$A$20000,Y960,DATOS!$G$2:$G$20000,CONFIG_METADATA!$B$4,DATOS!$I$2:$I$20000,"Análisis"),"")))</f>
        <v/>
      </c>
      <c r="AA960" t="str">
        <f>IF(Y960="","",IF(Y960="[FÓRMULA MANUAL]","",IFERROR(AVERAGEIFS(DATOS!$K$2:$K$20000,DATOS!$A$2:$A$20000,Y960,DATOS!$G$2:$G$20000,CONFIG_METADATA!$B$4,DATOS!$I$2:$I$20000,"Orquesta/Banda/Conjunto"),"")))</f>
        <v/>
      </c>
      <c r="AB960" t="str">
        <f>IF(Y960="","",IF(Y960="[FÓRMULA MANUAL]","",IFERROR(AVERAGEIFS(DATOS!$K$2:$K$20000,DATOS!$A$2:$A$20000,Y960,DATOS!$G$2:$G$20000,CONFIG_METADATA!$B$4,DATOS!$I$2:$I$20000,"Música de Cámara"),"")))</f>
        <v/>
      </c>
      <c r="AC960" t="str">
        <f>IF(Y960="","",IF(Y960="[FÓRMULA MANUAL]","",IFERROR(SUMPRODUCT((DATOS!$A$2:$A$20000=Y960)*(DATOS!$G$2:$G$20000=CONFIG_METADATA!$B$4)*(COUNTIF(CONFIG_ASIGNATURAS!$B$7:$B$27,DATOS!$I$2:$I$20000)&gt;0)*(DATOS!$K$2:$K$20000))/SUMPRODUCT((DATOS!$A$2:$A$20000=Y960)*(DATOS!$G$2:$G$20000=CONFIG_METADATA!$B$4)*(COUNTIF(CONFIG_ASIGNATURAS!$B$7:$B$27,DATOS!$I$2:$I$20000)&gt;0)*1),"")))</f>
        <v/>
      </c>
      <c r="AF960" t="str">
        <f>IF(AE960="","",IF(AE960="[FÓRMULA MANUAL]","",IFERROR(AVERAGEIFS(DATOS!$K$2:$K$20000,DATOS!$A$2:$A$20000,AE960,DATOS!$G$2:$G$20000,CONFIG_METADATA!$B$4,DATOS!$I$2:$I$20000,"Análisis"),"")))</f>
        <v/>
      </c>
      <c r="AG960" t="str">
        <f>IF(AE960="","",IF(AE960="[FÓRMULA MANUAL]","",IFERROR(AVERAGEIFS(DATOS!$K$2:$K$20000,DATOS!$A$2:$A$20000,AE960,DATOS!$G$2:$G$20000,CONFIG_METADATA!$B$4,DATOS!$I$2:$I$20000,"Orquesta/Banda/Conjunto"),"")))</f>
        <v/>
      </c>
      <c r="AH960" t="str">
        <f>IF(AE960="","",IF(AE960="[FÓRMULA MANUAL]","",IFERROR(AVERAGEIFS(DATOS!$K$2:$K$20000,DATOS!$A$2:$A$20000,AE960,DATOS!$G$2:$G$20000,CONFIG_METADATA!$B$4,DATOS!$I$2:$I$20000,"Música de Cámara"),"")))</f>
        <v/>
      </c>
      <c r="AI960" t="str">
        <f>IF(AE960="","",IF(AE960="[FÓRMULA MANUAL]","",IFERROR(SUMPRODUCT((DATOS!$A$2:$A$20000=AE960)*(DATOS!$G$2:$G$20000=CONFIG_METADATA!$B$4)*(COUNTIF(CONFIG_ASIGNATURAS!$B$7:$B$27,DATOS!$I$2:$I$20000)&gt;0)*(DATOS!$K$2:$K$20000))/SUMPRODUCT((DATOS!$A$2:$A$20000=AE960)*(DATOS!$G$2:$G$20000=CONFIG_METADATA!$B$4)*(COUNTIF(CONFIG_ASIGNATURAS!$B$7:$B$27,DATOS!$I$2:$I$20000)&gt;0)*1),"")))</f>
        <v/>
      </c>
    </row>
    <row r="961" spans="2:35" x14ac:dyDescent="0.2">
      <c r="B961" t="str">
        <f>IF(A961="","",IF(A961="[FÓRMULA MANUAL]","",IFERROR(AVERAGEIFS(DATOS!$K$2:$K$20000,DATOS!$A$2:$A$20000,A961,DATOS!$G$2:$G$20000,CONFIG_METADATA!$B$4,DATOS!$I$2:$I$20000,"Lenguaje Musical"),"")))</f>
        <v/>
      </c>
      <c r="C961" t="str">
        <f>IF(A961="","",IF(A961="[FÓRMULA MANUAL]","",IFERROR(AVERAGEIFS(DATOS!$K$2:$K$20000,DATOS!$A$2:$A$20000,A961,DATOS!$G$2:$G$20000,CONFIG_METADATA!$B$4,DATOS!$I$2:$I$20000,"Orquesta/Banda/Conjunto"),"")))</f>
        <v/>
      </c>
      <c r="D961" t="str">
        <f>IF(A961="","",IF(A961="[FÓRMULA MANUAL]","",IFERROR(AVERAGEIFS(DATOS!$K$2:$K$20000,DATOS!$A$2:$A$20000,A961,DATOS!$G$2:$G$20000,CONFIG_METADATA!$B$4,DATOS!$I$2:$I$20000,"Conjunto"),"")))</f>
        <v/>
      </c>
      <c r="E961" t="str">
        <f>IF(A961="","",IF(A961="[FÓRMULA MANUAL]","",IFERROR(SUMPRODUCT((DATOS!$A$2:$A$20000=A961)*(DATOS!$G$2:$G$20000=CONFIG_METADATA!$B$4)*(COUNTIF(CONFIG_ASIGNATURAS!$B$7:$B$27,DATOS!$I$2:$I$20000)&gt;0)*(DATOS!$K$2:$K$20000))/SUMPRODUCT((DATOS!$A$2:$A$20000=A961)*(DATOS!$G$2:$G$20000=CONFIG_METADATA!$B$4)*(COUNTIF(CONFIG_ASIGNATURAS!$B$7:$B$27,DATOS!$I$2:$I$20000)&gt;0)*1),"")))</f>
        <v/>
      </c>
      <c r="H961" t="str">
        <f>IF(G961="","",IF(G961="[FÓRMULA MANUAL]","",IFERROR(AVERAGEIFS(DATOS!$K$2:$K$20000,DATOS!$A$2:$A$20000,G961,DATOS!$G$2:$G$20000,CONFIG_METADATA!$B$4,DATOS!$I$2:$I$20000,"Lenguaje Musical"),"")))</f>
        <v/>
      </c>
      <c r="I961" t="str">
        <f>IF(G961="","",IF(G961="[FÓRMULA MANUAL]","",IFERROR(AVERAGEIFS(DATOS!$K$2:$K$20000,DATOS!$A$2:$A$20000,G961,DATOS!$G$2:$G$20000,CONFIG_METADATA!$B$4,DATOS!$I$2:$I$20000,"Orquesta/Banda/Conjunto"),"")))</f>
        <v/>
      </c>
      <c r="J961" t="str">
        <f>IF(G961="","",IF(G961="[FÓRMULA MANUAL]","",IFERROR(AVERAGEIFS(DATOS!$K$2:$K$20000,DATOS!$A$2:$A$20000,G961,DATOS!$G$2:$G$20000,CONFIG_METADATA!$B$4,DATOS!$I$2:$I$20000,"Conjunto"),"")))</f>
        <v/>
      </c>
      <c r="K961" t="str">
        <f>IF(G961="","",IF(G961="[FÓRMULA MANUAL]","",IFERROR(SUMPRODUCT((DATOS!$A$2:$A$20000=G961)*(DATOS!$G$2:$G$20000=CONFIG_METADATA!$B$4)*(COUNTIF(CONFIG_ASIGNATURAS!$B$7:$B$27,DATOS!$I$2:$I$20000)&gt;0)*(DATOS!$K$2:$K$20000))/SUMPRODUCT((DATOS!$A$2:$A$20000=G961)*(DATOS!$G$2:$G$20000=CONFIG_METADATA!$B$4)*(COUNTIF(CONFIG_ASIGNATURAS!$B$7:$B$27,DATOS!$I$2:$I$20000)&gt;0)*1),"")))</f>
        <v/>
      </c>
      <c r="N961" t="str">
        <f>IF(M961="","",IF(M961="[FÓRMULA MANUAL]","",IFERROR(AVERAGEIFS(DATOS!$K$2:$K$20000,DATOS!$A$2:$A$20000,M961,DATOS!$G$2:$G$20000,CONFIG_METADATA!$B$4,DATOS!$I$2:$I$20000,"Armonía"),"")))</f>
        <v/>
      </c>
      <c r="O961" t="str">
        <f>IF(M961="","",IF(M961="[FÓRMULA MANUAL]","",IFERROR(AVERAGEIFS(DATOS!$K$2:$K$20000,DATOS!$A$2:$A$20000,M961,DATOS!$G$2:$G$20000,CONFIG_METADATA!$B$4,DATOS!$I$2:$I$20000,"Orquesta/Banda/Conjunto"),"")))</f>
        <v/>
      </c>
      <c r="P961" t="str">
        <f>IF(M961="","",IF(M961="[FÓRMULA MANUAL]","",IFERROR(AVERAGEIFS(DATOS!$K$2:$K$20000,DATOS!$A$2:$A$20000,M961,DATOS!$G$2:$G$20000,CONFIG_METADATA!$B$4,DATOS!$I$2:$I$20000,"Música de Cámara"),"")))</f>
        <v/>
      </c>
      <c r="Q961" t="str">
        <f>IF(M961="","",IF(M961="[FÓRMULA MANUAL]","",IFERROR(SUMPRODUCT((DATOS!$A$2:$A$20000=M961)*(DATOS!$G$2:$G$20000=CONFIG_METADATA!$B$4)*(COUNTIF(CONFIG_ASIGNATURAS!$B$7:$B$27,DATOS!$I$2:$I$20000)&gt;0)*(DATOS!$K$2:$K$20000))/SUMPRODUCT((DATOS!$A$2:$A$20000=M961)*(DATOS!$G$2:$G$20000=CONFIG_METADATA!$B$4)*(COUNTIF(CONFIG_ASIGNATURAS!$B$7:$B$27,DATOS!$I$2:$I$20000)&gt;0)*1),"")))</f>
        <v/>
      </c>
      <c r="T961" t="str">
        <f>IF(S961="","",IF(S961="[FÓRMULA MANUAL]","",IFERROR(AVERAGEIFS(DATOS!$K$2:$K$20000,DATOS!$A$2:$A$20000,S961,DATOS!$G$2:$G$20000,CONFIG_METADATA!$B$4,DATOS!$I$2:$I$20000,"Armonía"),"")))</f>
        <v/>
      </c>
      <c r="U961" t="str">
        <f>IF(S961="","",IF(S961="[FÓRMULA MANUAL]","",IFERROR(AVERAGEIFS(DATOS!$K$2:$K$20000,DATOS!$A$2:$A$20000,S961,DATOS!$G$2:$G$20000,CONFIG_METADATA!$B$4,DATOS!$I$2:$I$20000,"Orquesta/Banda/Conjunto"),"")))</f>
        <v/>
      </c>
      <c r="V961" t="str">
        <f>IF(S961="","",IF(S961="[FÓRMULA MANUAL]","",IFERROR(AVERAGEIFS(DATOS!$K$2:$K$20000,DATOS!$A$2:$A$20000,S961,DATOS!$G$2:$G$20000,CONFIG_METADATA!$B$4,DATOS!$I$2:$I$20000,"Música de Cámara"),"")))</f>
        <v/>
      </c>
      <c r="W961" t="str">
        <f>IF(S961="","",IF(S961="[FÓRMULA MANUAL]","",IFERROR(SUMPRODUCT((DATOS!$A$2:$A$20000=S961)*(DATOS!$G$2:$G$20000=CONFIG_METADATA!$B$4)*(COUNTIF(CONFIG_ASIGNATURAS!$B$7:$B$27,DATOS!$I$2:$I$20000)&gt;0)*(DATOS!$K$2:$K$20000))/SUMPRODUCT((DATOS!$A$2:$A$20000=S961)*(DATOS!$G$2:$G$20000=CONFIG_METADATA!$B$4)*(COUNTIF(CONFIG_ASIGNATURAS!$B$7:$B$27,DATOS!$I$2:$I$20000)&gt;0)*1),"")))</f>
        <v/>
      </c>
      <c r="Z961" t="str">
        <f>IF(Y961="","",IF(Y961="[FÓRMULA MANUAL]","",IFERROR(AVERAGEIFS(DATOS!$K$2:$K$20000,DATOS!$A$2:$A$20000,Y961,DATOS!$G$2:$G$20000,CONFIG_METADATA!$B$4,DATOS!$I$2:$I$20000,"Análisis"),"")))</f>
        <v/>
      </c>
      <c r="AA961" t="str">
        <f>IF(Y961="","",IF(Y961="[FÓRMULA MANUAL]","",IFERROR(AVERAGEIFS(DATOS!$K$2:$K$20000,DATOS!$A$2:$A$20000,Y961,DATOS!$G$2:$G$20000,CONFIG_METADATA!$B$4,DATOS!$I$2:$I$20000,"Orquesta/Banda/Conjunto"),"")))</f>
        <v/>
      </c>
      <c r="AB961" t="str">
        <f>IF(Y961="","",IF(Y961="[FÓRMULA MANUAL]","",IFERROR(AVERAGEIFS(DATOS!$K$2:$K$20000,DATOS!$A$2:$A$20000,Y961,DATOS!$G$2:$G$20000,CONFIG_METADATA!$B$4,DATOS!$I$2:$I$20000,"Música de Cámara"),"")))</f>
        <v/>
      </c>
      <c r="AC961" t="str">
        <f>IF(Y961="","",IF(Y961="[FÓRMULA MANUAL]","",IFERROR(SUMPRODUCT((DATOS!$A$2:$A$20000=Y961)*(DATOS!$G$2:$G$20000=CONFIG_METADATA!$B$4)*(COUNTIF(CONFIG_ASIGNATURAS!$B$7:$B$27,DATOS!$I$2:$I$20000)&gt;0)*(DATOS!$K$2:$K$20000))/SUMPRODUCT((DATOS!$A$2:$A$20000=Y961)*(DATOS!$G$2:$G$20000=CONFIG_METADATA!$B$4)*(COUNTIF(CONFIG_ASIGNATURAS!$B$7:$B$27,DATOS!$I$2:$I$20000)&gt;0)*1),"")))</f>
        <v/>
      </c>
      <c r="AF961" t="str">
        <f>IF(AE961="","",IF(AE961="[FÓRMULA MANUAL]","",IFERROR(AVERAGEIFS(DATOS!$K$2:$K$20000,DATOS!$A$2:$A$20000,AE961,DATOS!$G$2:$G$20000,CONFIG_METADATA!$B$4,DATOS!$I$2:$I$20000,"Análisis"),"")))</f>
        <v/>
      </c>
      <c r="AG961" t="str">
        <f>IF(AE961="","",IF(AE961="[FÓRMULA MANUAL]","",IFERROR(AVERAGEIFS(DATOS!$K$2:$K$20000,DATOS!$A$2:$A$20000,AE961,DATOS!$G$2:$G$20000,CONFIG_METADATA!$B$4,DATOS!$I$2:$I$20000,"Orquesta/Banda/Conjunto"),"")))</f>
        <v/>
      </c>
      <c r="AH961" t="str">
        <f>IF(AE961="","",IF(AE961="[FÓRMULA MANUAL]","",IFERROR(AVERAGEIFS(DATOS!$K$2:$K$20000,DATOS!$A$2:$A$20000,AE961,DATOS!$G$2:$G$20000,CONFIG_METADATA!$B$4,DATOS!$I$2:$I$20000,"Música de Cámara"),"")))</f>
        <v/>
      </c>
      <c r="AI961" t="str">
        <f>IF(AE961="","",IF(AE961="[FÓRMULA MANUAL]","",IFERROR(SUMPRODUCT((DATOS!$A$2:$A$20000=AE961)*(DATOS!$G$2:$G$20000=CONFIG_METADATA!$B$4)*(COUNTIF(CONFIG_ASIGNATURAS!$B$7:$B$27,DATOS!$I$2:$I$20000)&gt;0)*(DATOS!$K$2:$K$20000))/SUMPRODUCT((DATOS!$A$2:$A$20000=AE961)*(DATOS!$G$2:$G$20000=CONFIG_METADATA!$B$4)*(COUNTIF(CONFIG_ASIGNATURAS!$B$7:$B$27,DATOS!$I$2:$I$20000)&gt;0)*1),"")))</f>
        <v/>
      </c>
    </row>
    <row r="962" spans="2:35" x14ac:dyDescent="0.2">
      <c r="B962" t="str">
        <f>IF(A962="","",IF(A962="[FÓRMULA MANUAL]","",IFERROR(AVERAGEIFS(DATOS!$K$2:$K$20000,DATOS!$A$2:$A$20000,A962,DATOS!$G$2:$G$20000,CONFIG_METADATA!$B$4,DATOS!$I$2:$I$20000,"Lenguaje Musical"),"")))</f>
        <v/>
      </c>
      <c r="C962" t="str">
        <f>IF(A962="","",IF(A962="[FÓRMULA MANUAL]","",IFERROR(AVERAGEIFS(DATOS!$K$2:$K$20000,DATOS!$A$2:$A$20000,A962,DATOS!$G$2:$G$20000,CONFIG_METADATA!$B$4,DATOS!$I$2:$I$20000,"Orquesta/Banda/Conjunto"),"")))</f>
        <v/>
      </c>
      <c r="D962" t="str">
        <f>IF(A962="","",IF(A962="[FÓRMULA MANUAL]","",IFERROR(AVERAGEIFS(DATOS!$K$2:$K$20000,DATOS!$A$2:$A$20000,A962,DATOS!$G$2:$G$20000,CONFIG_METADATA!$B$4,DATOS!$I$2:$I$20000,"Conjunto"),"")))</f>
        <v/>
      </c>
      <c r="E962" t="str">
        <f>IF(A962="","",IF(A962="[FÓRMULA MANUAL]","",IFERROR(SUMPRODUCT((DATOS!$A$2:$A$20000=A962)*(DATOS!$G$2:$G$20000=CONFIG_METADATA!$B$4)*(COUNTIF(CONFIG_ASIGNATURAS!$B$7:$B$27,DATOS!$I$2:$I$20000)&gt;0)*(DATOS!$K$2:$K$20000))/SUMPRODUCT((DATOS!$A$2:$A$20000=A962)*(DATOS!$G$2:$G$20000=CONFIG_METADATA!$B$4)*(COUNTIF(CONFIG_ASIGNATURAS!$B$7:$B$27,DATOS!$I$2:$I$20000)&gt;0)*1),"")))</f>
        <v/>
      </c>
      <c r="H962" t="str">
        <f>IF(G962="","",IF(G962="[FÓRMULA MANUAL]","",IFERROR(AVERAGEIFS(DATOS!$K$2:$K$20000,DATOS!$A$2:$A$20000,G962,DATOS!$G$2:$G$20000,CONFIG_METADATA!$B$4,DATOS!$I$2:$I$20000,"Lenguaje Musical"),"")))</f>
        <v/>
      </c>
      <c r="I962" t="str">
        <f>IF(G962="","",IF(G962="[FÓRMULA MANUAL]","",IFERROR(AVERAGEIFS(DATOS!$K$2:$K$20000,DATOS!$A$2:$A$20000,G962,DATOS!$G$2:$G$20000,CONFIG_METADATA!$B$4,DATOS!$I$2:$I$20000,"Orquesta/Banda/Conjunto"),"")))</f>
        <v/>
      </c>
      <c r="J962" t="str">
        <f>IF(G962="","",IF(G962="[FÓRMULA MANUAL]","",IFERROR(AVERAGEIFS(DATOS!$K$2:$K$20000,DATOS!$A$2:$A$20000,G962,DATOS!$G$2:$G$20000,CONFIG_METADATA!$B$4,DATOS!$I$2:$I$20000,"Conjunto"),"")))</f>
        <v/>
      </c>
      <c r="K962" t="str">
        <f>IF(G962="","",IF(G962="[FÓRMULA MANUAL]","",IFERROR(SUMPRODUCT((DATOS!$A$2:$A$20000=G962)*(DATOS!$G$2:$G$20000=CONFIG_METADATA!$B$4)*(COUNTIF(CONFIG_ASIGNATURAS!$B$7:$B$27,DATOS!$I$2:$I$20000)&gt;0)*(DATOS!$K$2:$K$20000))/SUMPRODUCT((DATOS!$A$2:$A$20000=G962)*(DATOS!$G$2:$G$20000=CONFIG_METADATA!$B$4)*(COUNTIF(CONFIG_ASIGNATURAS!$B$7:$B$27,DATOS!$I$2:$I$20000)&gt;0)*1),"")))</f>
        <v/>
      </c>
      <c r="N962" t="str">
        <f>IF(M962="","",IF(M962="[FÓRMULA MANUAL]","",IFERROR(AVERAGEIFS(DATOS!$K$2:$K$20000,DATOS!$A$2:$A$20000,M962,DATOS!$G$2:$G$20000,CONFIG_METADATA!$B$4,DATOS!$I$2:$I$20000,"Armonía"),"")))</f>
        <v/>
      </c>
      <c r="O962" t="str">
        <f>IF(M962="","",IF(M962="[FÓRMULA MANUAL]","",IFERROR(AVERAGEIFS(DATOS!$K$2:$K$20000,DATOS!$A$2:$A$20000,M962,DATOS!$G$2:$G$20000,CONFIG_METADATA!$B$4,DATOS!$I$2:$I$20000,"Orquesta/Banda/Conjunto"),"")))</f>
        <v/>
      </c>
      <c r="P962" t="str">
        <f>IF(M962="","",IF(M962="[FÓRMULA MANUAL]","",IFERROR(AVERAGEIFS(DATOS!$K$2:$K$20000,DATOS!$A$2:$A$20000,M962,DATOS!$G$2:$G$20000,CONFIG_METADATA!$B$4,DATOS!$I$2:$I$20000,"Música de Cámara"),"")))</f>
        <v/>
      </c>
      <c r="Q962" t="str">
        <f>IF(M962="","",IF(M962="[FÓRMULA MANUAL]","",IFERROR(SUMPRODUCT((DATOS!$A$2:$A$20000=M962)*(DATOS!$G$2:$G$20000=CONFIG_METADATA!$B$4)*(COUNTIF(CONFIG_ASIGNATURAS!$B$7:$B$27,DATOS!$I$2:$I$20000)&gt;0)*(DATOS!$K$2:$K$20000))/SUMPRODUCT((DATOS!$A$2:$A$20000=M962)*(DATOS!$G$2:$G$20000=CONFIG_METADATA!$B$4)*(COUNTIF(CONFIG_ASIGNATURAS!$B$7:$B$27,DATOS!$I$2:$I$20000)&gt;0)*1),"")))</f>
        <v/>
      </c>
      <c r="T962" t="str">
        <f>IF(S962="","",IF(S962="[FÓRMULA MANUAL]","",IFERROR(AVERAGEIFS(DATOS!$K$2:$K$20000,DATOS!$A$2:$A$20000,S962,DATOS!$G$2:$G$20000,CONFIG_METADATA!$B$4,DATOS!$I$2:$I$20000,"Armonía"),"")))</f>
        <v/>
      </c>
      <c r="U962" t="str">
        <f>IF(S962="","",IF(S962="[FÓRMULA MANUAL]","",IFERROR(AVERAGEIFS(DATOS!$K$2:$K$20000,DATOS!$A$2:$A$20000,S962,DATOS!$G$2:$G$20000,CONFIG_METADATA!$B$4,DATOS!$I$2:$I$20000,"Orquesta/Banda/Conjunto"),"")))</f>
        <v/>
      </c>
      <c r="V962" t="str">
        <f>IF(S962="","",IF(S962="[FÓRMULA MANUAL]","",IFERROR(AVERAGEIFS(DATOS!$K$2:$K$20000,DATOS!$A$2:$A$20000,S962,DATOS!$G$2:$G$20000,CONFIG_METADATA!$B$4,DATOS!$I$2:$I$20000,"Música de Cámara"),"")))</f>
        <v/>
      </c>
      <c r="W962" t="str">
        <f>IF(S962="","",IF(S962="[FÓRMULA MANUAL]","",IFERROR(SUMPRODUCT((DATOS!$A$2:$A$20000=S962)*(DATOS!$G$2:$G$20000=CONFIG_METADATA!$B$4)*(COUNTIF(CONFIG_ASIGNATURAS!$B$7:$B$27,DATOS!$I$2:$I$20000)&gt;0)*(DATOS!$K$2:$K$20000))/SUMPRODUCT((DATOS!$A$2:$A$20000=S962)*(DATOS!$G$2:$G$20000=CONFIG_METADATA!$B$4)*(COUNTIF(CONFIG_ASIGNATURAS!$B$7:$B$27,DATOS!$I$2:$I$20000)&gt;0)*1),"")))</f>
        <v/>
      </c>
      <c r="Z962" t="str">
        <f>IF(Y962="","",IF(Y962="[FÓRMULA MANUAL]","",IFERROR(AVERAGEIFS(DATOS!$K$2:$K$20000,DATOS!$A$2:$A$20000,Y962,DATOS!$G$2:$G$20000,CONFIG_METADATA!$B$4,DATOS!$I$2:$I$20000,"Análisis"),"")))</f>
        <v/>
      </c>
      <c r="AA962" t="str">
        <f>IF(Y962="","",IF(Y962="[FÓRMULA MANUAL]","",IFERROR(AVERAGEIFS(DATOS!$K$2:$K$20000,DATOS!$A$2:$A$20000,Y962,DATOS!$G$2:$G$20000,CONFIG_METADATA!$B$4,DATOS!$I$2:$I$20000,"Orquesta/Banda/Conjunto"),"")))</f>
        <v/>
      </c>
      <c r="AB962" t="str">
        <f>IF(Y962="","",IF(Y962="[FÓRMULA MANUAL]","",IFERROR(AVERAGEIFS(DATOS!$K$2:$K$20000,DATOS!$A$2:$A$20000,Y962,DATOS!$G$2:$G$20000,CONFIG_METADATA!$B$4,DATOS!$I$2:$I$20000,"Música de Cámara"),"")))</f>
        <v/>
      </c>
      <c r="AC962" t="str">
        <f>IF(Y962="","",IF(Y962="[FÓRMULA MANUAL]","",IFERROR(SUMPRODUCT((DATOS!$A$2:$A$20000=Y962)*(DATOS!$G$2:$G$20000=CONFIG_METADATA!$B$4)*(COUNTIF(CONFIG_ASIGNATURAS!$B$7:$B$27,DATOS!$I$2:$I$20000)&gt;0)*(DATOS!$K$2:$K$20000))/SUMPRODUCT((DATOS!$A$2:$A$20000=Y962)*(DATOS!$G$2:$G$20000=CONFIG_METADATA!$B$4)*(COUNTIF(CONFIG_ASIGNATURAS!$B$7:$B$27,DATOS!$I$2:$I$20000)&gt;0)*1),"")))</f>
        <v/>
      </c>
      <c r="AF962" t="str">
        <f>IF(AE962="","",IF(AE962="[FÓRMULA MANUAL]","",IFERROR(AVERAGEIFS(DATOS!$K$2:$K$20000,DATOS!$A$2:$A$20000,AE962,DATOS!$G$2:$G$20000,CONFIG_METADATA!$B$4,DATOS!$I$2:$I$20000,"Análisis"),"")))</f>
        <v/>
      </c>
      <c r="AG962" t="str">
        <f>IF(AE962="","",IF(AE962="[FÓRMULA MANUAL]","",IFERROR(AVERAGEIFS(DATOS!$K$2:$K$20000,DATOS!$A$2:$A$20000,AE962,DATOS!$G$2:$G$20000,CONFIG_METADATA!$B$4,DATOS!$I$2:$I$20000,"Orquesta/Banda/Conjunto"),"")))</f>
        <v/>
      </c>
      <c r="AH962" t="str">
        <f>IF(AE962="","",IF(AE962="[FÓRMULA MANUAL]","",IFERROR(AVERAGEIFS(DATOS!$K$2:$K$20000,DATOS!$A$2:$A$20000,AE962,DATOS!$G$2:$G$20000,CONFIG_METADATA!$B$4,DATOS!$I$2:$I$20000,"Música de Cámara"),"")))</f>
        <v/>
      </c>
      <c r="AI962" t="str">
        <f>IF(AE962="","",IF(AE962="[FÓRMULA MANUAL]","",IFERROR(SUMPRODUCT((DATOS!$A$2:$A$20000=AE962)*(DATOS!$G$2:$G$20000=CONFIG_METADATA!$B$4)*(COUNTIF(CONFIG_ASIGNATURAS!$B$7:$B$27,DATOS!$I$2:$I$20000)&gt;0)*(DATOS!$K$2:$K$20000))/SUMPRODUCT((DATOS!$A$2:$A$20000=AE962)*(DATOS!$G$2:$G$20000=CONFIG_METADATA!$B$4)*(COUNTIF(CONFIG_ASIGNATURAS!$B$7:$B$27,DATOS!$I$2:$I$20000)&gt;0)*1),"")))</f>
        <v/>
      </c>
    </row>
    <row r="963" spans="2:35" x14ac:dyDescent="0.2">
      <c r="B963" t="str">
        <f>IF(A963="","",IF(A963="[FÓRMULA MANUAL]","",IFERROR(AVERAGEIFS(DATOS!$K$2:$K$20000,DATOS!$A$2:$A$20000,A963,DATOS!$G$2:$G$20000,CONFIG_METADATA!$B$4,DATOS!$I$2:$I$20000,"Lenguaje Musical"),"")))</f>
        <v/>
      </c>
      <c r="C963" t="str">
        <f>IF(A963="","",IF(A963="[FÓRMULA MANUAL]","",IFERROR(AVERAGEIFS(DATOS!$K$2:$K$20000,DATOS!$A$2:$A$20000,A963,DATOS!$G$2:$G$20000,CONFIG_METADATA!$B$4,DATOS!$I$2:$I$20000,"Orquesta/Banda/Conjunto"),"")))</f>
        <v/>
      </c>
      <c r="D963" t="str">
        <f>IF(A963="","",IF(A963="[FÓRMULA MANUAL]","",IFERROR(AVERAGEIFS(DATOS!$K$2:$K$20000,DATOS!$A$2:$A$20000,A963,DATOS!$G$2:$G$20000,CONFIG_METADATA!$B$4,DATOS!$I$2:$I$20000,"Conjunto"),"")))</f>
        <v/>
      </c>
      <c r="E963" t="str">
        <f>IF(A963="","",IF(A963="[FÓRMULA MANUAL]","",IFERROR(SUMPRODUCT((DATOS!$A$2:$A$20000=A963)*(DATOS!$G$2:$G$20000=CONFIG_METADATA!$B$4)*(COUNTIF(CONFIG_ASIGNATURAS!$B$7:$B$27,DATOS!$I$2:$I$20000)&gt;0)*(DATOS!$K$2:$K$20000))/SUMPRODUCT((DATOS!$A$2:$A$20000=A963)*(DATOS!$G$2:$G$20000=CONFIG_METADATA!$B$4)*(COUNTIF(CONFIG_ASIGNATURAS!$B$7:$B$27,DATOS!$I$2:$I$20000)&gt;0)*1),"")))</f>
        <v/>
      </c>
      <c r="H963" t="str">
        <f>IF(G963="","",IF(G963="[FÓRMULA MANUAL]","",IFERROR(AVERAGEIFS(DATOS!$K$2:$K$20000,DATOS!$A$2:$A$20000,G963,DATOS!$G$2:$G$20000,CONFIG_METADATA!$B$4,DATOS!$I$2:$I$20000,"Lenguaje Musical"),"")))</f>
        <v/>
      </c>
      <c r="I963" t="str">
        <f>IF(G963="","",IF(G963="[FÓRMULA MANUAL]","",IFERROR(AVERAGEIFS(DATOS!$K$2:$K$20000,DATOS!$A$2:$A$20000,G963,DATOS!$G$2:$G$20000,CONFIG_METADATA!$B$4,DATOS!$I$2:$I$20000,"Orquesta/Banda/Conjunto"),"")))</f>
        <v/>
      </c>
      <c r="J963" t="str">
        <f>IF(G963="","",IF(G963="[FÓRMULA MANUAL]","",IFERROR(AVERAGEIFS(DATOS!$K$2:$K$20000,DATOS!$A$2:$A$20000,G963,DATOS!$G$2:$G$20000,CONFIG_METADATA!$B$4,DATOS!$I$2:$I$20000,"Conjunto"),"")))</f>
        <v/>
      </c>
      <c r="K963" t="str">
        <f>IF(G963="","",IF(G963="[FÓRMULA MANUAL]","",IFERROR(SUMPRODUCT((DATOS!$A$2:$A$20000=G963)*(DATOS!$G$2:$G$20000=CONFIG_METADATA!$B$4)*(COUNTIF(CONFIG_ASIGNATURAS!$B$7:$B$27,DATOS!$I$2:$I$20000)&gt;0)*(DATOS!$K$2:$K$20000))/SUMPRODUCT((DATOS!$A$2:$A$20000=G963)*(DATOS!$G$2:$G$20000=CONFIG_METADATA!$B$4)*(COUNTIF(CONFIG_ASIGNATURAS!$B$7:$B$27,DATOS!$I$2:$I$20000)&gt;0)*1),"")))</f>
        <v/>
      </c>
      <c r="N963" t="str">
        <f>IF(M963="","",IF(M963="[FÓRMULA MANUAL]","",IFERROR(AVERAGEIFS(DATOS!$K$2:$K$20000,DATOS!$A$2:$A$20000,M963,DATOS!$G$2:$G$20000,CONFIG_METADATA!$B$4,DATOS!$I$2:$I$20000,"Armonía"),"")))</f>
        <v/>
      </c>
      <c r="O963" t="str">
        <f>IF(M963="","",IF(M963="[FÓRMULA MANUAL]","",IFERROR(AVERAGEIFS(DATOS!$K$2:$K$20000,DATOS!$A$2:$A$20000,M963,DATOS!$G$2:$G$20000,CONFIG_METADATA!$B$4,DATOS!$I$2:$I$20000,"Orquesta/Banda/Conjunto"),"")))</f>
        <v/>
      </c>
      <c r="P963" t="str">
        <f>IF(M963="","",IF(M963="[FÓRMULA MANUAL]","",IFERROR(AVERAGEIFS(DATOS!$K$2:$K$20000,DATOS!$A$2:$A$20000,M963,DATOS!$G$2:$G$20000,CONFIG_METADATA!$B$4,DATOS!$I$2:$I$20000,"Música de Cámara"),"")))</f>
        <v/>
      </c>
      <c r="Q963" t="str">
        <f>IF(M963="","",IF(M963="[FÓRMULA MANUAL]","",IFERROR(SUMPRODUCT((DATOS!$A$2:$A$20000=M963)*(DATOS!$G$2:$G$20000=CONFIG_METADATA!$B$4)*(COUNTIF(CONFIG_ASIGNATURAS!$B$7:$B$27,DATOS!$I$2:$I$20000)&gt;0)*(DATOS!$K$2:$K$20000))/SUMPRODUCT((DATOS!$A$2:$A$20000=M963)*(DATOS!$G$2:$G$20000=CONFIG_METADATA!$B$4)*(COUNTIF(CONFIG_ASIGNATURAS!$B$7:$B$27,DATOS!$I$2:$I$20000)&gt;0)*1),"")))</f>
        <v/>
      </c>
      <c r="T963" t="str">
        <f>IF(S963="","",IF(S963="[FÓRMULA MANUAL]","",IFERROR(AVERAGEIFS(DATOS!$K$2:$K$20000,DATOS!$A$2:$A$20000,S963,DATOS!$G$2:$G$20000,CONFIG_METADATA!$B$4,DATOS!$I$2:$I$20000,"Armonía"),"")))</f>
        <v/>
      </c>
      <c r="U963" t="str">
        <f>IF(S963="","",IF(S963="[FÓRMULA MANUAL]","",IFERROR(AVERAGEIFS(DATOS!$K$2:$K$20000,DATOS!$A$2:$A$20000,S963,DATOS!$G$2:$G$20000,CONFIG_METADATA!$B$4,DATOS!$I$2:$I$20000,"Orquesta/Banda/Conjunto"),"")))</f>
        <v/>
      </c>
      <c r="V963" t="str">
        <f>IF(S963="","",IF(S963="[FÓRMULA MANUAL]","",IFERROR(AVERAGEIFS(DATOS!$K$2:$K$20000,DATOS!$A$2:$A$20000,S963,DATOS!$G$2:$G$20000,CONFIG_METADATA!$B$4,DATOS!$I$2:$I$20000,"Música de Cámara"),"")))</f>
        <v/>
      </c>
      <c r="W963" t="str">
        <f>IF(S963="","",IF(S963="[FÓRMULA MANUAL]","",IFERROR(SUMPRODUCT((DATOS!$A$2:$A$20000=S963)*(DATOS!$G$2:$G$20000=CONFIG_METADATA!$B$4)*(COUNTIF(CONFIG_ASIGNATURAS!$B$7:$B$27,DATOS!$I$2:$I$20000)&gt;0)*(DATOS!$K$2:$K$20000))/SUMPRODUCT((DATOS!$A$2:$A$20000=S963)*(DATOS!$G$2:$G$20000=CONFIG_METADATA!$B$4)*(COUNTIF(CONFIG_ASIGNATURAS!$B$7:$B$27,DATOS!$I$2:$I$20000)&gt;0)*1),"")))</f>
        <v/>
      </c>
      <c r="Z963" t="str">
        <f>IF(Y963="","",IF(Y963="[FÓRMULA MANUAL]","",IFERROR(AVERAGEIFS(DATOS!$K$2:$K$20000,DATOS!$A$2:$A$20000,Y963,DATOS!$G$2:$G$20000,CONFIG_METADATA!$B$4,DATOS!$I$2:$I$20000,"Análisis"),"")))</f>
        <v/>
      </c>
      <c r="AA963" t="str">
        <f>IF(Y963="","",IF(Y963="[FÓRMULA MANUAL]","",IFERROR(AVERAGEIFS(DATOS!$K$2:$K$20000,DATOS!$A$2:$A$20000,Y963,DATOS!$G$2:$G$20000,CONFIG_METADATA!$B$4,DATOS!$I$2:$I$20000,"Orquesta/Banda/Conjunto"),"")))</f>
        <v/>
      </c>
      <c r="AB963" t="str">
        <f>IF(Y963="","",IF(Y963="[FÓRMULA MANUAL]","",IFERROR(AVERAGEIFS(DATOS!$K$2:$K$20000,DATOS!$A$2:$A$20000,Y963,DATOS!$G$2:$G$20000,CONFIG_METADATA!$B$4,DATOS!$I$2:$I$20000,"Música de Cámara"),"")))</f>
        <v/>
      </c>
      <c r="AC963" t="str">
        <f>IF(Y963="","",IF(Y963="[FÓRMULA MANUAL]","",IFERROR(SUMPRODUCT((DATOS!$A$2:$A$20000=Y963)*(DATOS!$G$2:$G$20000=CONFIG_METADATA!$B$4)*(COUNTIF(CONFIG_ASIGNATURAS!$B$7:$B$27,DATOS!$I$2:$I$20000)&gt;0)*(DATOS!$K$2:$K$20000))/SUMPRODUCT((DATOS!$A$2:$A$20000=Y963)*(DATOS!$G$2:$G$20000=CONFIG_METADATA!$B$4)*(COUNTIF(CONFIG_ASIGNATURAS!$B$7:$B$27,DATOS!$I$2:$I$20000)&gt;0)*1),"")))</f>
        <v/>
      </c>
      <c r="AF963" t="str">
        <f>IF(AE963="","",IF(AE963="[FÓRMULA MANUAL]","",IFERROR(AVERAGEIFS(DATOS!$K$2:$K$20000,DATOS!$A$2:$A$20000,AE963,DATOS!$G$2:$G$20000,CONFIG_METADATA!$B$4,DATOS!$I$2:$I$20000,"Análisis"),"")))</f>
        <v/>
      </c>
      <c r="AG963" t="str">
        <f>IF(AE963="","",IF(AE963="[FÓRMULA MANUAL]","",IFERROR(AVERAGEIFS(DATOS!$K$2:$K$20000,DATOS!$A$2:$A$20000,AE963,DATOS!$G$2:$G$20000,CONFIG_METADATA!$B$4,DATOS!$I$2:$I$20000,"Orquesta/Banda/Conjunto"),"")))</f>
        <v/>
      </c>
      <c r="AH963" t="str">
        <f>IF(AE963="","",IF(AE963="[FÓRMULA MANUAL]","",IFERROR(AVERAGEIFS(DATOS!$K$2:$K$20000,DATOS!$A$2:$A$20000,AE963,DATOS!$G$2:$G$20000,CONFIG_METADATA!$B$4,DATOS!$I$2:$I$20000,"Música de Cámara"),"")))</f>
        <v/>
      </c>
      <c r="AI963" t="str">
        <f>IF(AE963="","",IF(AE963="[FÓRMULA MANUAL]","",IFERROR(SUMPRODUCT((DATOS!$A$2:$A$20000=AE963)*(DATOS!$G$2:$G$20000=CONFIG_METADATA!$B$4)*(COUNTIF(CONFIG_ASIGNATURAS!$B$7:$B$27,DATOS!$I$2:$I$20000)&gt;0)*(DATOS!$K$2:$K$20000))/SUMPRODUCT((DATOS!$A$2:$A$20000=AE963)*(DATOS!$G$2:$G$20000=CONFIG_METADATA!$B$4)*(COUNTIF(CONFIG_ASIGNATURAS!$B$7:$B$27,DATOS!$I$2:$I$20000)&gt;0)*1),"")))</f>
        <v/>
      </c>
    </row>
    <row r="964" spans="2:35" x14ac:dyDescent="0.2">
      <c r="B964" t="str">
        <f>IF(A964="","",IF(A964="[FÓRMULA MANUAL]","",IFERROR(AVERAGEIFS(DATOS!$K$2:$K$20000,DATOS!$A$2:$A$20000,A964,DATOS!$G$2:$G$20000,CONFIG_METADATA!$B$4,DATOS!$I$2:$I$20000,"Lenguaje Musical"),"")))</f>
        <v/>
      </c>
      <c r="C964" t="str">
        <f>IF(A964="","",IF(A964="[FÓRMULA MANUAL]","",IFERROR(AVERAGEIFS(DATOS!$K$2:$K$20000,DATOS!$A$2:$A$20000,A964,DATOS!$G$2:$G$20000,CONFIG_METADATA!$B$4,DATOS!$I$2:$I$20000,"Orquesta/Banda/Conjunto"),"")))</f>
        <v/>
      </c>
      <c r="D964" t="str">
        <f>IF(A964="","",IF(A964="[FÓRMULA MANUAL]","",IFERROR(AVERAGEIFS(DATOS!$K$2:$K$20000,DATOS!$A$2:$A$20000,A964,DATOS!$G$2:$G$20000,CONFIG_METADATA!$B$4,DATOS!$I$2:$I$20000,"Conjunto"),"")))</f>
        <v/>
      </c>
      <c r="E964" t="str">
        <f>IF(A964="","",IF(A964="[FÓRMULA MANUAL]","",IFERROR(SUMPRODUCT((DATOS!$A$2:$A$20000=A964)*(DATOS!$G$2:$G$20000=CONFIG_METADATA!$B$4)*(COUNTIF(CONFIG_ASIGNATURAS!$B$7:$B$27,DATOS!$I$2:$I$20000)&gt;0)*(DATOS!$K$2:$K$20000))/SUMPRODUCT((DATOS!$A$2:$A$20000=A964)*(DATOS!$G$2:$G$20000=CONFIG_METADATA!$B$4)*(COUNTIF(CONFIG_ASIGNATURAS!$B$7:$B$27,DATOS!$I$2:$I$20000)&gt;0)*1),"")))</f>
        <v/>
      </c>
      <c r="H964" t="str">
        <f>IF(G964="","",IF(G964="[FÓRMULA MANUAL]","",IFERROR(AVERAGEIFS(DATOS!$K$2:$K$20000,DATOS!$A$2:$A$20000,G964,DATOS!$G$2:$G$20000,CONFIG_METADATA!$B$4,DATOS!$I$2:$I$20000,"Lenguaje Musical"),"")))</f>
        <v/>
      </c>
      <c r="I964" t="str">
        <f>IF(G964="","",IF(G964="[FÓRMULA MANUAL]","",IFERROR(AVERAGEIFS(DATOS!$K$2:$K$20000,DATOS!$A$2:$A$20000,G964,DATOS!$G$2:$G$20000,CONFIG_METADATA!$B$4,DATOS!$I$2:$I$20000,"Orquesta/Banda/Conjunto"),"")))</f>
        <v/>
      </c>
      <c r="J964" t="str">
        <f>IF(G964="","",IF(G964="[FÓRMULA MANUAL]","",IFERROR(AVERAGEIFS(DATOS!$K$2:$K$20000,DATOS!$A$2:$A$20000,G964,DATOS!$G$2:$G$20000,CONFIG_METADATA!$B$4,DATOS!$I$2:$I$20000,"Conjunto"),"")))</f>
        <v/>
      </c>
      <c r="K964" t="str">
        <f>IF(G964="","",IF(G964="[FÓRMULA MANUAL]","",IFERROR(SUMPRODUCT((DATOS!$A$2:$A$20000=G964)*(DATOS!$G$2:$G$20000=CONFIG_METADATA!$B$4)*(COUNTIF(CONFIG_ASIGNATURAS!$B$7:$B$27,DATOS!$I$2:$I$20000)&gt;0)*(DATOS!$K$2:$K$20000))/SUMPRODUCT((DATOS!$A$2:$A$20000=G964)*(DATOS!$G$2:$G$20000=CONFIG_METADATA!$B$4)*(COUNTIF(CONFIG_ASIGNATURAS!$B$7:$B$27,DATOS!$I$2:$I$20000)&gt;0)*1),"")))</f>
        <v/>
      </c>
      <c r="N964" t="str">
        <f>IF(M964="","",IF(M964="[FÓRMULA MANUAL]","",IFERROR(AVERAGEIFS(DATOS!$K$2:$K$20000,DATOS!$A$2:$A$20000,M964,DATOS!$G$2:$G$20000,CONFIG_METADATA!$B$4,DATOS!$I$2:$I$20000,"Armonía"),"")))</f>
        <v/>
      </c>
      <c r="O964" t="str">
        <f>IF(M964="","",IF(M964="[FÓRMULA MANUAL]","",IFERROR(AVERAGEIFS(DATOS!$K$2:$K$20000,DATOS!$A$2:$A$20000,M964,DATOS!$G$2:$G$20000,CONFIG_METADATA!$B$4,DATOS!$I$2:$I$20000,"Orquesta/Banda/Conjunto"),"")))</f>
        <v/>
      </c>
      <c r="P964" t="str">
        <f>IF(M964="","",IF(M964="[FÓRMULA MANUAL]","",IFERROR(AVERAGEIFS(DATOS!$K$2:$K$20000,DATOS!$A$2:$A$20000,M964,DATOS!$G$2:$G$20000,CONFIG_METADATA!$B$4,DATOS!$I$2:$I$20000,"Música de Cámara"),"")))</f>
        <v/>
      </c>
      <c r="Q964" t="str">
        <f>IF(M964="","",IF(M964="[FÓRMULA MANUAL]","",IFERROR(SUMPRODUCT((DATOS!$A$2:$A$20000=M964)*(DATOS!$G$2:$G$20000=CONFIG_METADATA!$B$4)*(COUNTIF(CONFIG_ASIGNATURAS!$B$7:$B$27,DATOS!$I$2:$I$20000)&gt;0)*(DATOS!$K$2:$K$20000))/SUMPRODUCT((DATOS!$A$2:$A$20000=M964)*(DATOS!$G$2:$G$20000=CONFIG_METADATA!$B$4)*(COUNTIF(CONFIG_ASIGNATURAS!$B$7:$B$27,DATOS!$I$2:$I$20000)&gt;0)*1),"")))</f>
        <v/>
      </c>
      <c r="T964" t="str">
        <f>IF(S964="","",IF(S964="[FÓRMULA MANUAL]","",IFERROR(AVERAGEIFS(DATOS!$K$2:$K$20000,DATOS!$A$2:$A$20000,S964,DATOS!$G$2:$G$20000,CONFIG_METADATA!$B$4,DATOS!$I$2:$I$20000,"Armonía"),"")))</f>
        <v/>
      </c>
      <c r="U964" t="str">
        <f>IF(S964="","",IF(S964="[FÓRMULA MANUAL]","",IFERROR(AVERAGEIFS(DATOS!$K$2:$K$20000,DATOS!$A$2:$A$20000,S964,DATOS!$G$2:$G$20000,CONFIG_METADATA!$B$4,DATOS!$I$2:$I$20000,"Orquesta/Banda/Conjunto"),"")))</f>
        <v/>
      </c>
      <c r="V964" t="str">
        <f>IF(S964="","",IF(S964="[FÓRMULA MANUAL]","",IFERROR(AVERAGEIFS(DATOS!$K$2:$K$20000,DATOS!$A$2:$A$20000,S964,DATOS!$G$2:$G$20000,CONFIG_METADATA!$B$4,DATOS!$I$2:$I$20000,"Música de Cámara"),"")))</f>
        <v/>
      </c>
      <c r="W964" t="str">
        <f>IF(S964="","",IF(S964="[FÓRMULA MANUAL]","",IFERROR(SUMPRODUCT((DATOS!$A$2:$A$20000=S964)*(DATOS!$G$2:$G$20000=CONFIG_METADATA!$B$4)*(COUNTIF(CONFIG_ASIGNATURAS!$B$7:$B$27,DATOS!$I$2:$I$20000)&gt;0)*(DATOS!$K$2:$K$20000))/SUMPRODUCT((DATOS!$A$2:$A$20000=S964)*(DATOS!$G$2:$G$20000=CONFIG_METADATA!$B$4)*(COUNTIF(CONFIG_ASIGNATURAS!$B$7:$B$27,DATOS!$I$2:$I$20000)&gt;0)*1),"")))</f>
        <v/>
      </c>
      <c r="Z964" t="str">
        <f>IF(Y964="","",IF(Y964="[FÓRMULA MANUAL]","",IFERROR(AVERAGEIFS(DATOS!$K$2:$K$20000,DATOS!$A$2:$A$20000,Y964,DATOS!$G$2:$G$20000,CONFIG_METADATA!$B$4,DATOS!$I$2:$I$20000,"Análisis"),"")))</f>
        <v/>
      </c>
      <c r="AA964" t="str">
        <f>IF(Y964="","",IF(Y964="[FÓRMULA MANUAL]","",IFERROR(AVERAGEIFS(DATOS!$K$2:$K$20000,DATOS!$A$2:$A$20000,Y964,DATOS!$G$2:$G$20000,CONFIG_METADATA!$B$4,DATOS!$I$2:$I$20000,"Orquesta/Banda/Conjunto"),"")))</f>
        <v/>
      </c>
      <c r="AB964" t="str">
        <f>IF(Y964="","",IF(Y964="[FÓRMULA MANUAL]","",IFERROR(AVERAGEIFS(DATOS!$K$2:$K$20000,DATOS!$A$2:$A$20000,Y964,DATOS!$G$2:$G$20000,CONFIG_METADATA!$B$4,DATOS!$I$2:$I$20000,"Música de Cámara"),"")))</f>
        <v/>
      </c>
      <c r="AC964" t="str">
        <f>IF(Y964="","",IF(Y964="[FÓRMULA MANUAL]","",IFERROR(SUMPRODUCT((DATOS!$A$2:$A$20000=Y964)*(DATOS!$G$2:$G$20000=CONFIG_METADATA!$B$4)*(COUNTIF(CONFIG_ASIGNATURAS!$B$7:$B$27,DATOS!$I$2:$I$20000)&gt;0)*(DATOS!$K$2:$K$20000))/SUMPRODUCT((DATOS!$A$2:$A$20000=Y964)*(DATOS!$G$2:$G$20000=CONFIG_METADATA!$B$4)*(COUNTIF(CONFIG_ASIGNATURAS!$B$7:$B$27,DATOS!$I$2:$I$20000)&gt;0)*1),"")))</f>
        <v/>
      </c>
      <c r="AF964" t="str">
        <f>IF(AE964="","",IF(AE964="[FÓRMULA MANUAL]","",IFERROR(AVERAGEIFS(DATOS!$K$2:$K$20000,DATOS!$A$2:$A$20000,AE964,DATOS!$G$2:$G$20000,CONFIG_METADATA!$B$4,DATOS!$I$2:$I$20000,"Análisis"),"")))</f>
        <v/>
      </c>
      <c r="AG964" t="str">
        <f>IF(AE964="","",IF(AE964="[FÓRMULA MANUAL]","",IFERROR(AVERAGEIFS(DATOS!$K$2:$K$20000,DATOS!$A$2:$A$20000,AE964,DATOS!$G$2:$G$20000,CONFIG_METADATA!$B$4,DATOS!$I$2:$I$20000,"Orquesta/Banda/Conjunto"),"")))</f>
        <v/>
      </c>
      <c r="AH964" t="str">
        <f>IF(AE964="","",IF(AE964="[FÓRMULA MANUAL]","",IFERROR(AVERAGEIFS(DATOS!$K$2:$K$20000,DATOS!$A$2:$A$20000,AE964,DATOS!$G$2:$G$20000,CONFIG_METADATA!$B$4,DATOS!$I$2:$I$20000,"Música de Cámara"),"")))</f>
        <v/>
      </c>
      <c r="AI964" t="str">
        <f>IF(AE964="","",IF(AE964="[FÓRMULA MANUAL]","",IFERROR(SUMPRODUCT((DATOS!$A$2:$A$20000=AE964)*(DATOS!$G$2:$G$20000=CONFIG_METADATA!$B$4)*(COUNTIF(CONFIG_ASIGNATURAS!$B$7:$B$27,DATOS!$I$2:$I$20000)&gt;0)*(DATOS!$K$2:$K$20000))/SUMPRODUCT((DATOS!$A$2:$A$20000=AE964)*(DATOS!$G$2:$G$20000=CONFIG_METADATA!$B$4)*(COUNTIF(CONFIG_ASIGNATURAS!$B$7:$B$27,DATOS!$I$2:$I$20000)&gt;0)*1),"")))</f>
        <v/>
      </c>
    </row>
    <row r="965" spans="2:35" x14ac:dyDescent="0.2">
      <c r="B965" t="str">
        <f>IF(A965="","",IF(A965="[FÓRMULA MANUAL]","",IFERROR(AVERAGEIFS(DATOS!$K$2:$K$20000,DATOS!$A$2:$A$20000,A965,DATOS!$G$2:$G$20000,CONFIG_METADATA!$B$4,DATOS!$I$2:$I$20000,"Lenguaje Musical"),"")))</f>
        <v/>
      </c>
      <c r="C965" t="str">
        <f>IF(A965="","",IF(A965="[FÓRMULA MANUAL]","",IFERROR(AVERAGEIFS(DATOS!$K$2:$K$20000,DATOS!$A$2:$A$20000,A965,DATOS!$G$2:$G$20000,CONFIG_METADATA!$B$4,DATOS!$I$2:$I$20000,"Orquesta/Banda/Conjunto"),"")))</f>
        <v/>
      </c>
      <c r="D965" t="str">
        <f>IF(A965="","",IF(A965="[FÓRMULA MANUAL]","",IFERROR(AVERAGEIFS(DATOS!$K$2:$K$20000,DATOS!$A$2:$A$20000,A965,DATOS!$G$2:$G$20000,CONFIG_METADATA!$B$4,DATOS!$I$2:$I$20000,"Conjunto"),"")))</f>
        <v/>
      </c>
      <c r="E965" t="str">
        <f>IF(A965="","",IF(A965="[FÓRMULA MANUAL]","",IFERROR(SUMPRODUCT((DATOS!$A$2:$A$20000=A965)*(DATOS!$G$2:$G$20000=CONFIG_METADATA!$B$4)*(COUNTIF(CONFIG_ASIGNATURAS!$B$7:$B$27,DATOS!$I$2:$I$20000)&gt;0)*(DATOS!$K$2:$K$20000))/SUMPRODUCT((DATOS!$A$2:$A$20000=A965)*(DATOS!$G$2:$G$20000=CONFIG_METADATA!$B$4)*(COUNTIF(CONFIG_ASIGNATURAS!$B$7:$B$27,DATOS!$I$2:$I$20000)&gt;0)*1),"")))</f>
        <v/>
      </c>
      <c r="H965" t="str">
        <f>IF(G965="","",IF(G965="[FÓRMULA MANUAL]","",IFERROR(AVERAGEIFS(DATOS!$K$2:$K$20000,DATOS!$A$2:$A$20000,G965,DATOS!$G$2:$G$20000,CONFIG_METADATA!$B$4,DATOS!$I$2:$I$20000,"Lenguaje Musical"),"")))</f>
        <v/>
      </c>
      <c r="I965" t="str">
        <f>IF(G965="","",IF(G965="[FÓRMULA MANUAL]","",IFERROR(AVERAGEIFS(DATOS!$K$2:$K$20000,DATOS!$A$2:$A$20000,G965,DATOS!$G$2:$G$20000,CONFIG_METADATA!$B$4,DATOS!$I$2:$I$20000,"Orquesta/Banda/Conjunto"),"")))</f>
        <v/>
      </c>
      <c r="J965" t="str">
        <f>IF(G965="","",IF(G965="[FÓRMULA MANUAL]","",IFERROR(AVERAGEIFS(DATOS!$K$2:$K$20000,DATOS!$A$2:$A$20000,G965,DATOS!$G$2:$G$20000,CONFIG_METADATA!$B$4,DATOS!$I$2:$I$20000,"Conjunto"),"")))</f>
        <v/>
      </c>
      <c r="K965" t="str">
        <f>IF(G965="","",IF(G965="[FÓRMULA MANUAL]","",IFERROR(SUMPRODUCT((DATOS!$A$2:$A$20000=G965)*(DATOS!$G$2:$G$20000=CONFIG_METADATA!$B$4)*(COUNTIF(CONFIG_ASIGNATURAS!$B$7:$B$27,DATOS!$I$2:$I$20000)&gt;0)*(DATOS!$K$2:$K$20000))/SUMPRODUCT((DATOS!$A$2:$A$20000=G965)*(DATOS!$G$2:$G$20000=CONFIG_METADATA!$B$4)*(COUNTIF(CONFIG_ASIGNATURAS!$B$7:$B$27,DATOS!$I$2:$I$20000)&gt;0)*1),"")))</f>
        <v/>
      </c>
      <c r="N965" t="str">
        <f>IF(M965="","",IF(M965="[FÓRMULA MANUAL]","",IFERROR(AVERAGEIFS(DATOS!$K$2:$K$20000,DATOS!$A$2:$A$20000,M965,DATOS!$G$2:$G$20000,CONFIG_METADATA!$B$4,DATOS!$I$2:$I$20000,"Armonía"),"")))</f>
        <v/>
      </c>
      <c r="O965" t="str">
        <f>IF(M965="","",IF(M965="[FÓRMULA MANUAL]","",IFERROR(AVERAGEIFS(DATOS!$K$2:$K$20000,DATOS!$A$2:$A$20000,M965,DATOS!$G$2:$G$20000,CONFIG_METADATA!$B$4,DATOS!$I$2:$I$20000,"Orquesta/Banda/Conjunto"),"")))</f>
        <v/>
      </c>
      <c r="P965" t="str">
        <f>IF(M965="","",IF(M965="[FÓRMULA MANUAL]","",IFERROR(AVERAGEIFS(DATOS!$K$2:$K$20000,DATOS!$A$2:$A$20000,M965,DATOS!$G$2:$G$20000,CONFIG_METADATA!$B$4,DATOS!$I$2:$I$20000,"Música de Cámara"),"")))</f>
        <v/>
      </c>
      <c r="Q965" t="str">
        <f>IF(M965="","",IF(M965="[FÓRMULA MANUAL]","",IFERROR(SUMPRODUCT((DATOS!$A$2:$A$20000=M965)*(DATOS!$G$2:$G$20000=CONFIG_METADATA!$B$4)*(COUNTIF(CONFIG_ASIGNATURAS!$B$7:$B$27,DATOS!$I$2:$I$20000)&gt;0)*(DATOS!$K$2:$K$20000))/SUMPRODUCT((DATOS!$A$2:$A$20000=M965)*(DATOS!$G$2:$G$20000=CONFIG_METADATA!$B$4)*(COUNTIF(CONFIG_ASIGNATURAS!$B$7:$B$27,DATOS!$I$2:$I$20000)&gt;0)*1),"")))</f>
        <v/>
      </c>
      <c r="T965" t="str">
        <f>IF(S965="","",IF(S965="[FÓRMULA MANUAL]","",IFERROR(AVERAGEIFS(DATOS!$K$2:$K$20000,DATOS!$A$2:$A$20000,S965,DATOS!$G$2:$G$20000,CONFIG_METADATA!$B$4,DATOS!$I$2:$I$20000,"Armonía"),"")))</f>
        <v/>
      </c>
      <c r="U965" t="str">
        <f>IF(S965="","",IF(S965="[FÓRMULA MANUAL]","",IFERROR(AVERAGEIFS(DATOS!$K$2:$K$20000,DATOS!$A$2:$A$20000,S965,DATOS!$G$2:$G$20000,CONFIG_METADATA!$B$4,DATOS!$I$2:$I$20000,"Orquesta/Banda/Conjunto"),"")))</f>
        <v/>
      </c>
      <c r="V965" t="str">
        <f>IF(S965="","",IF(S965="[FÓRMULA MANUAL]","",IFERROR(AVERAGEIFS(DATOS!$K$2:$K$20000,DATOS!$A$2:$A$20000,S965,DATOS!$G$2:$G$20000,CONFIG_METADATA!$B$4,DATOS!$I$2:$I$20000,"Música de Cámara"),"")))</f>
        <v/>
      </c>
      <c r="W965" t="str">
        <f>IF(S965="","",IF(S965="[FÓRMULA MANUAL]","",IFERROR(SUMPRODUCT((DATOS!$A$2:$A$20000=S965)*(DATOS!$G$2:$G$20000=CONFIG_METADATA!$B$4)*(COUNTIF(CONFIG_ASIGNATURAS!$B$7:$B$27,DATOS!$I$2:$I$20000)&gt;0)*(DATOS!$K$2:$K$20000))/SUMPRODUCT((DATOS!$A$2:$A$20000=S965)*(DATOS!$G$2:$G$20000=CONFIG_METADATA!$B$4)*(COUNTIF(CONFIG_ASIGNATURAS!$B$7:$B$27,DATOS!$I$2:$I$20000)&gt;0)*1),"")))</f>
        <v/>
      </c>
      <c r="Z965" t="str">
        <f>IF(Y965="","",IF(Y965="[FÓRMULA MANUAL]","",IFERROR(AVERAGEIFS(DATOS!$K$2:$K$20000,DATOS!$A$2:$A$20000,Y965,DATOS!$G$2:$G$20000,CONFIG_METADATA!$B$4,DATOS!$I$2:$I$20000,"Análisis"),"")))</f>
        <v/>
      </c>
      <c r="AA965" t="str">
        <f>IF(Y965="","",IF(Y965="[FÓRMULA MANUAL]","",IFERROR(AVERAGEIFS(DATOS!$K$2:$K$20000,DATOS!$A$2:$A$20000,Y965,DATOS!$G$2:$G$20000,CONFIG_METADATA!$B$4,DATOS!$I$2:$I$20000,"Orquesta/Banda/Conjunto"),"")))</f>
        <v/>
      </c>
      <c r="AB965" t="str">
        <f>IF(Y965="","",IF(Y965="[FÓRMULA MANUAL]","",IFERROR(AVERAGEIFS(DATOS!$K$2:$K$20000,DATOS!$A$2:$A$20000,Y965,DATOS!$G$2:$G$20000,CONFIG_METADATA!$B$4,DATOS!$I$2:$I$20000,"Música de Cámara"),"")))</f>
        <v/>
      </c>
      <c r="AC965" t="str">
        <f>IF(Y965="","",IF(Y965="[FÓRMULA MANUAL]","",IFERROR(SUMPRODUCT((DATOS!$A$2:$A$20000=Y965)*(DATOS!$G$2:$G$20000=CONFIG_METADATA!$B$4)*(COUNTIF(CONFIG_ASIGNATURAS!$B$7:$B$27,DATOS!$I$2:$I$20000)&gt;0)*(DATOS!$K$2:$K$20000))/SUMPRODUCT((DATOS!$A$2:$A$20000=Y965)*(DATOS!$G$2:$G$20000=CONFIG_METADATA!$B$4)*(COUNTIF(CONFIG_ASIGNATURAS!$B$7:$B$27,DATOS!$I$2:$I$20000)&gt;0)*1),"")))</f>
        <v/>
      </c>
      <c r="AF965" t="str">
        <f>IF(AE965="","",IF(AE965="[FÓRMULA MANUAL]","",IFERROR(AVERAGEIFS(DATOS!$K$2:$K$20000,DATOS!$A$2:$A$20000,AE965,DATOS!$G$2:$G$20000,CONFIG_METADATA!$B$4,DATOS!$I$2:$I$20000,"Análisis"),"")))</f>
        <v/>
      </c>
      <c r="AG965" t="str">
        <f>IF(AE965="","",IF(AE965="[FÓRMULA MANUAL]","",IFERROR(AVERAGEIFS(DATOS!$K$2:$K$20000,DATOS!$A$2:$A$20000,AE965,DATOS!$G$2:$G$20000,CONFIG_METADATA!$B$4,DATOS!$I$2:$I$20000,"Orquesta/Banda/Conjunto"),"")))</f>
        <v/>
      </c>
      <c r="AH965" t="str">
        <f>IF(AE965="","",IF(AE965="[FÓRMULA MANUAL]","",IFERROR(AVERAGEIFS(DATOS!$K$2:$K$20000,DATOS!$A$2:$A$20000,AE965,DATOS!$G$2:$G$20000,CONFIG_METADATA!$B$4,DATOS!$I$2:$I$20000,"Música de Cámara"),"")))</f>
        <v/>
      </c>
      <c r="AI965" t="str">
        <f>IF(AE965="","",IF(AE965="[FÓRMULA MANUAL]","",IFERROR(SUMPRODUCT((DATOS!$A$2:$A$20000=AE965)*(DATOS!$G$2:$G$20000=CONFIG_METADATA!$B$4)*(COUNTIF(CONFIG_ASIGNATURAS!$B$7:$B$27,DATOS!$I$2:$I$20000)&gt;0)*(DATOS!$K$2:$K$20000))/SUMPRODUCT((DATOS!$A$2:$A$20000=AE965)*(DATOS!$G$2:$G$20000=CONFIG_METADATA!$B$4)*(COUNTIF(CONFIG_ASIGNATURAS!$B$7:$B$27,DATOS!$I$2:$I$20000)&gt;0)*1),"")))</f>
        <v/>
      </c>
    </row>
    <row r="966" spans="2:35" x14ac:dyDescent="0.2">
      <c r="B966" t="str">
        <f>IF(A966="","",IF(A966="[FÓRMULA MANUAL]","",IFERROR(AVERAGEIFS(DATOS!$K$2:$K$20000,DATOS!$A$2:$A$20000,A966,DATOS!$G$2:$G$20000,CONFIG_METADATA!$B$4,DATOS!$I$2:$I$20000,"Lenguaje Musical"),"")))</f>
        <v/>
      </c>
      <c r="C966" t="str">
        <f>IF(A966="","",IF(A966="[FÓRMULA MANUAL]","",IFERROR(AVERAGEIFS(DATOS!$K$2:$K$20000,DATOS!$A$2:$A$20000,A966,DATOS!$G$2:$G$20000,CONFIG_METADATA!$B$4,DATOS!$I$2:$I$20000,"Orquesta/Banda/Conjunto"),"")))</f>
        <v/>
      </c>
      <c r="D966" t="str">
        <f>IF(A966="","",IF(A966="[FÓRMULA MANUAL]","",IFERROR(AVERAGEIFS(DATOS!$K$2:$K$20000,DATOS!$A$2:$A$20000,A966,DATOS!$G$2:$G$20000,CONFIG_METADATA!$B$4,DATOS!$I$2:$I$20000,"Conjunto"),"")))</f>
        <v/>
      </c>
      <c r="E966" t="str">
        <f>IF(A966="","",IF(A966="[FÓRMULA MANUAL]","",IFERROR(SUMPRODUCT((DATOS!$A$2:$A$20000=A966)*(DATOS!$G$2:$G$20000=CONFIG_METADATA!$B$4)*(COUNTIF(CONFIG_ASIGNATURAS!$B$7:$B$27,DATOS!$I$2:$I$20000)&gt;0)*(DATOS!$K$2:$K$20000))/SUMPRODUCT((DATOS!$A$2:$A$20000=A966)*(DATOS!$G$2:$G$20000=CONFIG_METADATA!$B$4)*(COUNTIF(CONFIG_ASIGNATURAS!$B$7:$B$27,DATOS!$I$2:$I$20000)&gt;0)*1),"")))</f>
        <v/>
      </c>
      <c r="H966" t="str">
        <f>IF(G966="","",IF(G966="[FÓRMULA MANUAL]","",IFERROR(AVERAGEIFS(DATOS!$K$2:$K$20000,DATOS!$A$2:$A$20000,G966,DATOS!$G$2:$G$20000,CONFIG_METADATA!$B$4,DATOS!$I$2:$I$20000,"Lenguaje Musical"),"")))</f>
        <v/>
      </c>
      <c r="I966" t="str">
        <f>IF(G966="","",IF(G966="[FÓRMULA MANUAL]","",IFERROR(AVERAGEIFS(DATOS!$K$2:$K$20000,DATOS!$A$2:$A$20000,G966,DATOS!$G$2:$G$20000,CONFIG_METADATA!$B$4,DATOS!$I$2:$I$20000,"Orquesta/Banda/Conjunto"),"")))</f>
        <v/>
      </c>
      <c r="J966" t="str">
        <f>IF(G966="","",IF(G966="[FÓRMULA MANUAL]","",IFERROR(AVERAGEIFS(DATOS!$K$2:$K$20000,DATOS!$A$2:$A$20000,G966,DATOS!$G$2:$G$20000,CONFIG_METADATA!$B$4,DATOS!$I$2:$I$20000,"Conjunto"),"")))</f>
        <v/>
      </c>
      <c r="K966" t="str">
        <f>IF(G966="","",IF(G966="[FÓRMULA MANUAL]","",IFERROR(SUMPRODUCT((DATOS!$A$2:$A$20000=G966)*(DATOS!$G$2:$G$20000=CONFIG_METADATA!$B$4)*(COUNTIF(CONFIG_ASIGNATURAS!$B$7:$B$27,DATOS!$I$2:$I$20000)&gt;0)*(DATOS!$K$2:$K$20000))/SUMPRODUCT((DATOS!$A$2:$A$20000=G966)*(DATOS!$G$2:$G$20000=CONFIG_METADATA!$B$4)*(COUNTIF(CONFIG_ASIGNATURAS!$B$7:$B$27,DATOS!$I$2:$I$20000)&gt;0)*1),"")))</f>
        <v/>
      </c>
      <c r="N966" t="str">
        <f>IF(M966="","",IF(M966="[FÓRMULA MANUAL]","",IFERROR(AVERAGEIFS(DATOS!$K$2:$K$20000,DATOS!$A$2:$A$20000,M966,DATOS!$G$2:$G$20000,CONFIG_METADATA!$B$4,DATOS!$I$2:$I$20000,"Armonía"),"")))</f>
        <v/>
      </c>
      <c r="O966" t="str">
        <f>IF(M966="","",IF(M966="[FÓRMULA MANUAL]","",IFERROR(AVERAGEIFS(DATOS!$K$2:$K$20000,DATOS!$A$2:$A$20000,M966,DATOS!$G$2:$G$20000,CONFIG_METADATA!$B$4,DATOS!$I$2:$I$20000,"Orquesta/Banda/Conjunto"),"")))</f>
        <v/>
      </c>
      <c r="P966" t="str">
        <f>IF(M966="","",IF(M966="[FÓRMULA MANUAL]","",IFERROR(AVERAGEIFS(DATOS!$K$2:$K$20000,DATOS!$A$2:$A$20000,M966,DATOS!$G$2:$G$20000,CONFIG_METADATA!$B$4,DATOS!$I$2:$I$20000,"Música de Cámara"),"")))</f>
        <v/>
      </c>
      <c r="Q966" t="str">
        <f>IF(M966="","",IF(M966="[FÓRMULA MANUAL]","",IFERROR(SUMPRODUCT((DATOS!$A$2:$A$20000=M966)*(DATOS!$G$2:$G$20000=CONFIG_METADATA!$B$4)*(COUNTIF(CONFIG_ASIGNATURAS!$B$7:$B$27,DATOS!$I$2:$I$20000)&gt;0)*(DATOS!$K$2:$K$20000))/SUMPRODUCT((DATOS!$A$2:$A$20000=M966)*(DATOS!$G$2:$G$20000=CONFIG_METADATA!$B$4)*(COUNTIF(CONFIG_ASIGNATURAS!$B$7:$B$27,DATOS!$I$2:$I$20000)&gt;0)*1),"")))</f>
        <v/>
      </c>
      <c r="T966" t="str">
        <f>IF(S966="","",IF(S966="[FÓRMULA MANUAL]","",IFERROR(AVERAGEIFS(DATOS!$K$2:$K$20000,DATOS!$A$2:$A$20000,S966,DATOS!$G$2:$G$20000,CONFIG_METADATA!$B$4,DATOS!$I$2:$I$20000,"Armonía"),"")))</f>
        <v/>
      </c>
      <c r="U966" t="str">
        <f>IF(S966="","",IF(S966="[FÓRMULA MANUAL]","",IFERROR(AVERAGEIFS(DATOS!$K$2:$K$20000,DATOS!$A$2:$A$20000,S966,DATOS!$G$2:$G$20000,CONFIG_METADATA!$B$4,DATOS!$I$2:$I$20000,"Orquesta/Banda/Conjunto"),"")))</f>
        <v/>
      </c>
      <c r="V966" t="str">
        <f>IF(S966="","",IF(S966="[FÓRMULA MANUAL]","",IFERROR(AVERAGEIFS(DATOS!$K$2:$K$20000,DATOS!$A$2:$A$20000,S966,DATOS!$G$2:$G$20000,CONFIG_METADATA!$B$4,DATOS!$I$2:$I$20000,"Música de Cámara"),"")))</f>
        <v/>
      </c>
      <c r="W966" t="str">
        <f>IF(S966="","",IF(S966="[FÓRMULA MANUAL]","",IFERROR(SUMPRODUCT((DATOS!$A$2:$A$20000=S966)*(DATOS!$G$2:$G$20000=CONFIG_METADATA!$B$4)*(COUNTIF(CONFIG_ASIGNATURAS!$B$7:$B$27,DATOS!$I$2:$I$20000)&gt;0)*(DATOS!$K$2:$K$20000))/SUMPRODUCT((DATOS!$A$2:$A$20000=S966)*(DATOS!$G$2:$G$20000=CONFIG_METADATA!$B$4)*(COUNTIF(CONFIG_ASIGNATURAS!$B$7:$B$27,DATOS!$I$2:$I$20000)&gt;0)*1),"")))</f>
        <v/>
      </c>
      <c r="Z966" t="str">
        <f>IF(Y966="","",IF(Y966="[FÓRMULA MANUAL]","",IFERROR(AVERAGEIFS(DATOS!$K$2:$K$20000,DATOS!$A$2:$A$20000,Y966,DATOS!$G$2:$G$20000,CONFIG_METADATA!$B$4,DATOS!$I$2:$I$20000,"Análisis"),"")))</f>
        <v/>
      </c>
      <c r="AA966" t="str">
        <f>IF(Y966="","",IF(Y966="[FÓRMULA MANUAL]","",IFERROR(AVERAGEIFS(DATOS!$K$2:$K$20000,DATOS!$A$2:$A$20000,Y966,DATOS!$G$2:$G$20000,CONFIG_METADATA!$B$4,DATOS!$I$2:$I$20000,"Orquesta/Banda/Conjunto"),"")))</f>
        <v/>
      </c>
      <c r="AB966" t="str">
        <f>IF(Y966="","",IF(Y966="[FÓRMULA MANUAL]","",IFERROR(AVERAGEIFS(DATOS!$K$2:$K$20000,DATOS!$A$2:$A$20000,Y966,DATOS!$G$2:$G$20000,CONFIG_METADATA!$B$4,DATOS!$I$2:$I$20000,"Música de Cámara"),"")))</f>
        <v/>
      </c>
      <c r="AC966" t="str">
        <f>IF(Y966="","",IF(Y966="[FÓRMULA MANUAL]","",IFERROR(SUMPRODUCT((DATOS!$A$2:$A$20000=Y966)*(DATOS!$G$2:$G$20000=CONFIG_METADATA!$B$4)*(COUNTIF(CONFIG_ASIGNATURAS!$B$7:$B$27,DATOS!$I$2:$I$20000)&gt;0)*(DATOS!$K$2:$K$20000))/SUMPRODUCT((DATOS!$A$2:$A$20000=Y966)*(DATOS!$G$2:$G$20000=CONFIG_METADATA!$B$4)*(COUNTIF(CONFIG_ASIGNATURAS!$B$7:$B$27,DATOS!$I$2:$I$20000)&gt;0)*1),"")))</f>
        <v/>
      </c>
      <c r="AF966" t="str">
        <f>IF(AE966="","",IF(AE966="[FÓRMULA MANUAL]","",IFERROR(AVERAGEIFS(DATOS!$K$2:$K$20000,DATOS!$A$2:$A$20000,AE966,DATOS!$G$2:$G$20000,CONFIG_METADATA!$B$4,DATOS!$I$2:$I$20000,"Análisis"),"")))</f>
        <v/>
      </c>
      <c r="AG966" t="str">
        <f>IF(AE966="","",IF(AE966="[FÓRMULA MANUAL]","",IFERROR(AVERAGEIFS(DATOS!$K$2:$K$20000,DATOS!$A$2:$A$20000,AE966,DATOS!$G$2:$G$20000,CONFIG_METADATA!$B$4,DATOS!$I$2:$I$20000,"Orquesta/Banda/Conjunto"),"")))</f>
        <v/>
      </c>
      <c r="AH966" t="str">
        <f>IF(AE966="","",IF(AE966="[FÓRMULA MANUAL]","",IFERROR(AVERAGEIFS(DATOS!$K$2:$K$20000,DATOS!$A$2:$A$20000,AE966,DATOS!$G$2:$G$20000,CONFIG_METADATA!$B$4,DATOS!$I$2:$I$20000,"Música de Cámara"),"")))</f>
        <v/>
      </c>
      <c r="AI966" t="str">
        <f>IF(AE966="","",IF(AE966="[FÓRMULA MANUAL]","",IFERROR(SUMPRODUCT((DATOS!$A$2:$A$20000=AE966)*(DATOS!$G$2:$G$20000=CONFIG_METADATA!$B$4)*(COUNTIF(CONFIG_ASIGNATURAS!$B$7:$B$27,DATOS!$I$2:$I$20000)&gt;0)*(DATOS!$K$2:$K$20000))/SUMPRODUCT((DATOS!$A$2:$A$20000=AE966)*(DATOS!$G$2:$G$20000=CONFIG_METADATA!$B$4)*(COUNTIF(CONFIG_ASIGNATURAS!$B$7:$B$27,DATOS!$I$2:$I$20000)&gt;0)*1),"")))</f>
        <v/>
      </c>
    </row>
    <row r="967" spans="2:35" x14ac:dyDescent="0.2">
      <c r="B967" t="str">
        <f>IF(A967="","",IF(A967="[FÓRMULA MANUAL]","",IFERROR(AVERAGEIFS(DATOS!$K$2:$K$20000,DATOS!$A$2:$A$20000,A967,DATOS!$G$2:$G$20000,CONFIG_METADATA!$B$4,DATOS!$I$2:$I$20000,"Lenguaje Musical"),"")))</f>
        <v/>
      </c>
      <c r="C967" t="str">
        <f>IF(A967="","",IF(A967="[FÓRMULA MANUAL]","",IFERROR(AVERAGEIFS(DATOS!$K$2:$K$20000,DATOS!$A$2:$A$20000,A967,DATOS!$G$2:$G$20000,CONFIG_METADATA!$B$4,DATOS!$I$2:$I$20000,"Orquesta/Banda/Conjunto"),"")))</f>
        <v/>
      </c>
      <c r="D967" t="str">
        <f>IF(A967="","",IF(A967="[FÓRMULA MANUAL]","",IFERROR(AVERAGEIFS(DATOS!$K$2:$K$20000,DATOS!$A$2:$A$20000,A967,DATOS!$G$2:$G$20000,CONFIG_METADATA!$B$4,DATOS!$I$2:$I$20000,"Conjunto"),"")))</f>
        <v/>
      </c>
      <c r="E967" t="str">
        <f>IF(A967="","",IF(A967="[FÓRMULA MANUAL]","",IFERROR(SUMPRODUCT((DATOS!$A$2:$A$20000=A967)*(DATOS!$G$2:$G$20000=CONFIG_METADATA!$B$4)*(COUNTIF(CONFIG_ASIGNATURAS!$B$7:$B$27,DATOS!$I$2:$I$20000)&gt;0)*(DATOS!$K$2:$K$20000))/SUMPRODUCT((DATOS!$A$2:$A$20000=A967)*(DATOS!$G$2:$G$20000=CONFIG_METADATA!$B$4)*(COUNTIF(CONFIG_ASIGNATURAS!$B$7:$B$27,DATOS!$I$2:$I$20000)&gt;0)*1),"")))</f>
        <v/>
      </c>
      <c r="H967" t="str">
        <f>IF(G967="","",IF(G967="[FÓRMULA MANUAL]","",IFERROR(AVERAGEIFS(DATOS!$K$2:$K$20000,DATOS!$A$2:$A$20000,G967,DATOS!$G$2:$G$20000,CONFIG_METADATA!$B$4,DATOS!$I$2:$I$20000,"Lenguaje Musical"),"")))</f>
        <v/>
      </c>
      <c r="I967" t="str">
        <f>IF(G967="","",IF(G967="[FÓRMULA MANUAL]","",IFERROR(AVERAGEIFS(DATOS!$K$2:$K$20000,DATOS!$A$2:$A$20000,G967,DATOS!$G$2:$G$20000,CONFIG_METADATA!$B$4,DATOS!$I$2:$I$20000,"Orquesta/Banda/Conjunto"),"")))</f>
        <v/>
      </c>
      <c r="J967" t="str">
        <f>IF(G967="","",IF(G967="[FÓRMULA MANUAL]","",IFERROR(AVERAGEIFS(DATOS!$K$2:$K$20000,DATOS!$A$2:$A$20000,G967,DATOS!$G$2:$G$20000,CONFIG_METADATA!$B$4,DATOS!$I$2:$I$20000,"Conjunto"),"")))</f>
        <v/>
      </c>
      <c r="K967" t="str">
        <f>IF(G967="","",IF(G967="[FÓRMULA MANUAL]","",IFERROR(SUMPRODUCT((DATOS!$A$2:$A$20000=G967)*(DATOS!$G$2:$G$20000=CONFIG_METADATA!$B$4)*(COUNTIF(CONFIG_ASIGNATURAS!$B$7:$B$27,DATOS!$I$2:$I$20000)&gt;0)*(DATOS!$K$2:$K$20000))/SUMPRODUCT((DATOS!$A$2:$A$20000=G967)*(DATOS!$G$2:$G$20000=CONFIG_METADATA!$B$4)*(COUNTIF(CONFIG_ASIGNATURAS!$B$7:$B$27,DATOS!$I$2:$I$20000)&gt;0)*1),"")))</f>
        <v/>
      </c>
      <c r="N967" t="str">
        <f>IF(M967="","",IF(M967="[FÓRMULA MANUAL]","",IFERROR(AVERAGEIFS(DATOS!$K$2:$K$20000,DATOS!$A$2:$A$20000,M967,DATOS!$G$2:$G$20000,CONFIG_METADATA!$B$4,DATOS!$I$2:$I$20000,"Armonía"),"")))</f>
        <v/>
      </c>
      <c r="O967" t="str">
        <f>IF(M967="","",IF(M967="[FÓRMULA MANUAL]","",IFERROR(AVERAGEIFS(DATOS!$K$2:$K$20000,DATOS!$A$2:$A$20000,M967,DATOS!$G$2:$G$20000,CONFIG_METADATA!$B$4,DATOS!$I$2:$I$20000,"Orquesta/Banda/Conjunto"),"")))</f>
        <v/>
      </c>
      <c r="P967" t="str">
        <f>IF(M967="","",IF(M967="[FÓRMULA MANUAL]","",IFERROR(AVERAGEIFS(DATOS!$K$2:$K$20000,DATOS!$A$2:$A$20000,M967,DATOS!$G$2:$G$20000,CONFIG_METADATA!$B$4,DATOS!$I$2:$I$20000,"Música de Cámara"),"")))</f>
        <v/>
      </c>
      <c r="Q967" t="str">
        <f>IF(M967="","",IF(M967="[FÓRMULA MANUAL]","",IFERROR(SUMPRODUCT((DATOS!$A$2:$A$20000=M967)*(DATOS!$G$2:$G$20000=CONFIG_METADATA!$B$4)*(COUNTIF(CONFIG_ASIGNATURAS!$B$7:$B$27,DATOS!$I$2:$I$20000)&gt;0)*(DATOS!$K$2:$K$20000))/SUMPRODUCT((DATOS!$A$2:$A$20000=M967)*(DATOS!$G$2:$G$20000=CONFIG_METADATA!$B$4)*(COUNTIF(CONFIG_ASIGNATURAS!$B$7:$B$27,DATOS!$I$2:$I$20000)&gt;0)*1),"")))</f>
        <v/>
      </c>
      <c r="T967" t="str">
        <f>IF(S967="","",IF(S967="[FÓRMULA MANUAL]","",IFERROR(AVERAGEIFS(DATOS!$K$2:$K$20000,DATOS!$A$2:$A$20000,S967,DATOS!$G$2:$G$20000,CONFIG_METADATA!$B$4,DATOS!$I$2:$I$20000,"Armonía"),"")))</f>
        <v/>
      </c>
      <c r="U967" t="str">
        <f>IF(S967="","",IF(S967="[FÓRMULA MANUAL]","",IFERROR(AVERAGEIFS(DATOS!$K$2:$K$20000,DATOS!$A$2:$A$20000,S967,DATOS!$G$2:$G$20000,CONFIG_METADATA!$B$4,DATOS!$I$2:$I$20000,"Orquesta/Banda/Conjunto"),"")))</f>
        <v/>
      </c>
      <c r="V967" t="str">
        <f>IF(S967="","",IF(S967="[FÓRMULA MANUAL]","",IFERROR(AVERAGEIFS(DATOS!$K$2:$K$20000,DATOS!$A$2:$A$20000,S967,DATOS!$G$2:$G$20000,CONFIG_METADATA!$B$4,DATOS!$I$2:$I$20000,"Música de Cámara"),"")))</f>
        <v/>
      </c>
      <c r="W967" t="str">
        <f>IF(S967="","",IF(S967="[FÓRMULA MANUAL]","",IFERROR(SUMPRODUCT((DATOS!$A$2:$A$20000=S967)*(DATOS!$G$2:$G$20000=CONFIG_METADATA!$B$4)*(COUNTIF(CONFIG_ASIGNATURAS!$B$7:$B$27,DATOS!$I$2:$I$20000)&gt;0)*(DATOS!$K$2:$K$20000))/SUMPRODUCT((DATOS!$A$2:$A$20000=S967)*(DATOS!$G$2:$G$20000=CONFIG_METADATA!$B$4)*(COUNTIF(CONFIG_ASIGNATURAS!$B$7:$B$27,DATOS!$I$2:$I$20000)&gt;0)*1),"")))</f>
        <v/>
      </c>
      <c r="Z967" t="str">
        <f>IF(Y967="","",IF(Y967="[FÓRMULA MANUAL]","",IFERROR(AVERAGEIFS(DATOS!$K$2:$K$20000,DATOS!$A$2:$A$20000,Y967,DATOS!$G$2:$G$20000,CONFIG_METADATA!$B$4,DATOS!$I$2:$I$20000,"Análisis"),"")))</f>
        <v/>
      </c>
      <c r="AA967" t="str">
        <f>IF(Y967="","",IF(Y967="[FÓRMULA MANUAL]","",IFERROR(AVERAGEIFS(DATOS!$K$2:$K$20000,DATOS!$A$2:$A$20000,Y967,DATOS!$G$2:$G$20000,CONFIG_METADATA!$B$4,DATOS!$I$2:$I$20000,"Orquesta/Banda/Conjunto"),"")))</f>
        <v/>
      </c>
      <c r="AB967" t="str">
        <f>IF(Y967="","",IF(Y967="[FÓRMULA MANUAL]","",IFERROR(AVERAGEIFS(DATOS!$K$2:$K$20000,DATOS!$A$2:$A$20000,Y967,DATOS!$G$2:$G$20000,CONFIG_METADATA!$B$4,DATOS!$I$2:$I$20000,"Música de Cámara"),"")))</f>
        <v/>
      </c>
      <c r="AC967" t="str">
        <f>IF(Y967="","",IF(Y967="[FÓRMULA MANUAL]","",IFERROR(SUMPRODUCT((DATOS!$A$2:$A$20000=Y967)*(DATOS!$G$2:$G$20000=CONFIG_METADATA!$B$4)*(COUNTIF(CONFIG_ASIGNATURAS!$B$7:$B$27,DATOS!$I$2:$I$20000)&gt;0)*(DATOS!$K$2:$K$20000))/SUMPRODUCT((DATOS!$A$2:$A$20000=Y967)*(DATOS!$G$2:$G$20000=CONFIG_METADATA!$B$4)*(COUNTIF(CONFIG_ASIGNATURAS!$B$7:$B$27,DATOS!$I$2:$I$20000)&gt;0)*1),"")))</f>
        <v/>
      </c>
      <c r="AF967" t="str">
        <f>IF(AE967="","",IF(AE967="[FÓRMULA MANUAL]","",IFERROR(AVERAGEIFS(DATOS!$K$2:$K$20000,DATOS!$A$2:$A$20000,AE967,DATOS!$G$2:$G$20000,CONFIG_METADATA!$B$4,DATOS!$I$2:$I$20000,"Análisis"),"")))</f>
        <v/>
      </c>
      <c r="AG967" t="str">
        <f>IF(AE967="","",IF(AE967="[FÓRMULA MANUAL]","",IFERROR(AVERAGEIFS(DATOS!$K$2:$K$20000,DATOS!$A$2:$A$20000,AE967,DATOS!$G$2:$G$20000,CONFIG_METADATA!$B$4,DATOS!$I$2:$I$20000,"Orquesta/Banda/Conjunto"),"")))</f>
        <v/>
      </c>
      <c r="AH967" t="str">
        <f>IF(AE967="","",IF(AE967="[FÓRMULA MANUAL]","",IFERROR(AVERAGEIFS(DATOS!$K$2:$K$20000,DATOS!$A$2:$A$20000,AE967,DATOS!$G$2:$G$20000,CONFIG_METADATA!$B$4,DATOS!$I$2:$I$20000,"Música de Cámara"),"")))</f>
        <v/>
      </c>
      <c r="AI967" t="str">
        <f>IF(AE967="","",IF(AE967="[FÓRMULA MANUAL]","",IFERROR(SUMPRODUCT((DATOS!$A$2:$A$20000=AE967)*(DATOS!$G$2:$G$20000=CONFIG_METADATA!$B$4)*(COUNTIF(CONFIG_ASIGNATURAS!$B$7:$B$27,DATOS!$I$2:$I$20000)&gt;0)*(DATOS!$K$2:$K$20000))/SUMPRODUCT((DATOS!$A$2:$A$20000=AE967)*(DATOS!$G$2:$G$20000=CONFIG_METADATA!$B$4)*(COUNTIF(CONFIG_ASIGNATURAS!$B$7:$B$27,DATOS!$I$2:$I$20000)&gt;0)*1),"")))</f>
        <v/>
      </c>
    </row>
    <row r="968" spans="2:35" x14ac:dyDescent="0.2">
      <c r="B968" t="str">
        <f>IF(A968="","",IF(A968="[FÓRMULA MANUAL]","",IFERROR(AVERAGEIFS(DATOS!$K$2:$K$20000,DATOS!$A$2:$A$20000,A968,DATOS!$G$2:$G$20000,CONFIG_METADATA!$B$4,DATOS!$I$2:$I$20000,"Lenguaje Musical"),"")))</f>
        <v/>
      </c>
      <c r="C968" t="str">
        <f>IF(A968="","",IF(A968="[FÓRMULA MANUAL]","",IFERROR(AVERAGEIFS(DATOS!$K$2:$K$20000,DATOS!$A$2:$A$20000,A968,DATOS!$G$2:$G$20000,CONFIG_METADATA!$B$4,DATOS!$I$2:$I$20000,"Orquesta/Banda/Conjunto"),"")))</f>
        <v/>
      </c>
      <c r="D968" t="str">
        <f>IF(A968="","",IF(A968="[FÓRMULA MANUAL]","",IFERROR(AVERAGEIFS(DATOS!$K$2:$K$20000,DATOS!$A$2:$A$20000,A968,DATOS!$G$2:$G$20000,CONFIG_METADATA!$B$4,DATOS!$I$2:$I$20000,"Conjunto"),"")))</f>
        <v/>
      </c>
      <c r="E968" t="str">
        <f>IF(A968="","",IF(A968="[FÓRMULA MANUAL]","",IFERROR(SUMPRODUCT((DATOS!$A$2:$A$20000=A968)*(DATOS!$G$2:$G$20000=CONFIG_METADATA!$B$4)*(COUNTIF(CONFIG_ASIGNATURAS!$B$7:$B$27,DATOS!$I$2:$I$20000)&gt;0)*(DATOS!$K$2:$K$20000))/SUMPRODUCT((DATOS!$A$2:$A$20000=A968)*(DATOS!$G$2:$G$20000=CONFIG_METADATA!$B$4)*(COUNTIF(CONFIG_ASIGNATURAS!$B$7:$B$27,DATOS!$I$2:$I$20000)&gt;0)*1),"")))</f>
        <v/>
      </c>
      <c r="H968" t="str">
        <f>IF(G968="","",IF(G968="[FÓRMULA MANUAL]","",IFERROR(AVERAGEIFS(DATOS!$K$2:$K$20000,DATOS!$A$2:$A$20000,G968,DATOS!$G$2:$G$20000,CONFIG_METADATA!$B$4,DATOS!$I$2:$I$20000,"Lenguaje Musical"),"")))</f>
        <v/>
      </c>
      <c r="I968" t="str">
        <f>IF(G968="","",IF(G968="[FÓRMULA MANUAL]","",IFERROR(AVERAGEIFS(DATOS!$K$2:$K$20000,DATOS!$A$2:$A$20000,G968,DATOS!$G$2:$G$20000,CONFIG_METADATA!$B$4,DATOS!$I$2:$I$20000,"Orquesta/Banda/Conjunto"),"")))</f>
        <v/>
      </c>
      <c r="J968" t="str">
        <f>IF(G968="","",IF(G968="[FÓRMULA MANUAL]","",IFERROR(AVERAGEIFS(DATOS!$K$2:$K$20000,DATOS!$A$2:$A$20000,G968,DATOS!$G$2:$G$20000,CONFIG_METADATA!$B$4,DATOS!$I$2:$I$20000,"Conjunto"),"")))</f>
        <v/>
      </c>
      <c r="K968" t="str">
        <f>IF(G968="","",IF(G968="[FÓRMULA MANUAL]","",IFERROR(SUMPRODUCT((DATOS!$A$2:$A$20000=G968)*(DATOS!$G$2:$G$20000=CONFIG_METADATA!$B$4)*(COUNTIF(CONFIG_ASIGNATURAS!$B$7:$B$27,DATOS!$I$2:$I$20000)&gt;0)*(DATOS!$K$2:$K$20000))/SUMPRODUCT((DATOS!$A$2:$A$20000=G968)*(DATOS!$G$2:$G$20000=CONFIG_METADATA!$B$4)*(COUNTIF(CONFIG_ASIGNATURAS!$B$7:$B$27,DATOS!$I$2:$I$20000)&gt;0)*1),"")))</f>
        <v/>
      </c>
      <c r="N968" t="str">
        <f>IF(M968="","",IF(M968="[FÓRMULA MANUAL]","",IFERROR(AVERAGEIFS(DATOS!$K$2:$K$20000,DATOS!$A$2:$A$20000,M968,DATOS!$G$2:$G$20000,CONFIG_METADATA!$B$4,DATOS!$I$2:$I$20000,"Armonía"),"")))</f>
        <v/>
      </c>
      <c r="O968" t="str">
        <f>IF(M968="","",IF(M968="[FÓRMULA MANUAL]","",IFERROR(AVERAGEIFS(DATOS!$K$2:$K$20000,DATOS!$A$2:$A$20000,M968,DATOS!$G$2:$G$20000,CONFIG_METADATA!$B$4,DATOS!$I$2:$I$20000,"Orquesta/Banda/Conjunto"),"")))</f>
        <v/>
      </c>
      <c r="P968" t="str">
        <f>IF(M968="","",IF(M968="[FÓRMULA MANUAL]","",IFERROR(AVERAGEIFS(DATOS!$K$2:$K$20000,DATOS!$A$2:$A$20000,M968,DATOS!$G$2:$G$20000,CONFIG_METADATA!$B$4,DATOS!$I$2:$I$20000,"Música de Cámara"),"")))</f>
        <v/>
      </c>
      <c r="Q968" t="str">
        <f>IF(M968="","",IF(M968="[FÓRMULA MANUAL]","",IFERROR(SUMPRODUCT((DATOS!$A$2:$A$20000=M968)*(DATOS!$G$2:$G$20000=CONFIG_METADATA!$B$4)*(COUNTIF(CONFIG_ASIGNATURAS!$B$7:$B$27,DATOS!$I$2:$I$20000)&gt;0)*(DATOS!$K$2:$K$20000))/SUMPRODUCT((DATOS!$A$2:$A$20000=M968)*(DATOS!$G$2:$G$20000=CONFIG_METADATA!$B$4)*(COUNTIF(CONFIG_ASIGNATURAS!$B$7:$B$27,DATOS!$I$2:$I$20000)&gt;0)*1),"")))</f>
        <v/>
      </c>
      <c r="T968" t="str">
        <f>IF(S968="","",IF(S968="[FÓRMULA MANUAL]","",IFERROR(AVERAGEIFS(DATOS!$K$2:$K$20000,DATOS!$A$2:$A$20000,S968,DATOS!$G$2:$G$20000,CONFIG_METADATA!$B$4,DATOS!$I$2:$I$20000,"Armonía"),"")))</f>
        <v/>
      </c>
      <c r="U968" t="str">
        <f>IF(S968="","",IF(S968="[FÓRMULA MANUAL]","",IFERROR(AVERAGEIFS(DATOS!$K$2:$K$20000,DATOS!$A$2:$A$20000,S968,DATOS!$G$2:$G$20000,CONFIG_METADATA!$B$4,DATOS!$I$2:$I$20000,"Orquesta/Banda/Conjunto"),"")))</f>
        <v/>
      </c>
      <c r="V968" t="str">
        <f>IF(S968="","",IF(S968="[FÓRMULA MANUAL]","",IFERROR(AVERAGEIFS(DATOS!$K$2:$K$20000,DATOS!$A$2:$A$20000,S968,DATOS!$G$2:$G$20000,CONFIG_METADATA!$B$4,DATOS!$I$2:$I$20000,"Música de Cámara"),"")))</f>
        <v/>
      </c>
      <c r="W968" t="str">
        <f>IF(S968="","",IF(S968="[FÓRMULA MANUAL]","",IFERROR(SUMPRODUCT((DATOS!$A$2:$A$20000=S968)*(DATOS!$G$2:$G$20000=CONFIG_METADATA!$B$4)*(COUNTIF(CONFIG_ASIGNATURAS!$B$7:$B$27,DATOS!$I$2:$I$20000)&gt;0)*(DATOS!$K$2:$K$20000))/SUMPRODUCT((DATOS!$A$2:$A$20000=S968)*(DATOS!$G$2:$G$20000=CONFIG_METADATA!$B$4)*(COUNTIF(CONFIG_ASIGNATURAS!$B$7:$B$27,DATOS!$I$2:$I$20000)&gt;0)*1),"")))</f>
        <v/>
      </c>
      <c r="Z968" t="str">
        <f>IF(Y968="","",IF(Y968="[FÓRMULA MANUAL]","",IFERROR(AVERAGEIFS(DATOS!$K$2:$K$20000,DATOS!$A$2:$A$20000,Y968,DATOS!$G$2:$G$20000,CONFIG_METADATA!$B$4,DATOS!$I$2:$I$20000,"Análisis"),"")))</f>
        <v/>
      </c>
      <c r="AA968" t="str">
        <f>IF(Y968="","",IF(Y968="[FÓRMULA MANUAL]","",IFERROR(AVERAGEIFS(DATOS!$K$2:$K$20000,DATOS!$A$2:$A$20000,Y968,DATOS!$G$2:$G$20000,CONFIG_METADATA!$B$4,DATOS!$I$2:$I$20000,"Orquesta/Banda/Conjunto"),"")))</f>
        <v/>
      </c>
      <c r="AB968" t="str">
        <f>IF(Y968="","",IF(Y968="[FÓRMULA MANUAL]","",IFERROR(AVERAGEIFS(DATOS!$K$2:$K$20000,DATOS!$A$2:$A$20000,Y968,DATOS!$G$2:$G$20000,CONFIG_METADATA!$B$4,DATOS!$I$2:$I$20000,"Música de Cámara"),"")))</f>
        <v/>
      </c>
      <c r="AC968" t="str">
        <f>IF(Y968="","",IF(Y968="[FÓRMULA MANUAL]","",IFERROR(SUMPRODUCT((DATOS!$A$2:$A$20000=Y968)*(DATOS!$G$2:$G$20000=CONFIG_METADATA!$B$4)*(COUNTIF(CONFIG_ASIGNATURAS!$B$7:$B$27,DATOS!$I$2:$I$20000)&gt;0)*(DATOS!$K$2:$K$20000))/SUMPRODUCT((DATOS!$A$2:$A$20000=Y968)*(DATOS!$G$2:$G$20000=CONFIG_METADATA!$B$4)*(COUNTIF(CONFIG_ASIGNATURAS!$B$7:$B$27,DATOS!$I$2:$I$20000)&gt;0)*1),"")))</f>
        <v/>
      </c>
      <c r="AF968" t="str">
        <f>IF(AE968="","",IF(AE968="[FÓRMULA MANUAL]","",IFERROR(AVERAGEIFS(DATOS!$K$2:$K$20000,DATOS!$A$2:$A$20000,AE968,DATOS!$G$2:$G$20000,CONFIG_METADATA!$B$4,DATOS!$I$2:$I$20000,"Análisis"),"")))</f>
        <v/>
      </c>
      <c r="AG968" t="str">
        <f>IF(AE968="","",IF(AE968="[FÓRMULA MANUAL]","",IFERROR(AVERAGEIFS(DATOS!$K$2:$K$20000,DATOS!$A$2:$A$20000,AE968,DATOS!$G$2:$G$20000,CONFIG_METADATA!$B$4,DATOS!$I$2:$I$20000,"Orquesta/Banda/Conjunto"),"")))</f>
        <v/>
      </c>
      <c r="AH968" t="str">
        <f>IF(AE968="","",IF(AE968="[FÓRMULA MANUAL]","",IFERROR(AVERAGEIFS(DATOS!$K$2:$K$20000,DATOS!$A$2:$A$20000,AE968,DATOS!$G$2:$G$20000,CONFIG_METADATA!$B$4,DATOS!$I$2:$I$20000,"Música de Cámara"),"")))</f>
        <v/>
      </c>
      <c r="AI968" t="str">
        <f>IF(AE968="","",IF(AE968="[FÓRMULA MANUAL]","",IFERROR(SUMPRODUCT((DATOS!$A$2:$A$20000=AE968)*(DATOS!$G$2:$G$20000=CONFIG_METADATA!$B$4)*(COUNTIF(CONFIG_ASIGNATURAS!$B$7:$B$27,DATOS!$I$2:$I$20000)&gt;0)*(DATOS!$K$2:$K$20000))/SUMPRODUCT((DATOS!$A$2:$A$20000=AE968)*(DATOS!$G$2:$G$20000=CONFIG_METADATA!$B$4)*(COUNTIF(CONFIG_ASIGNATURAS!$B$7:$B$27,DATOS!$I$2:$I$20000)&gt;0)*1),"")))</f>
        <v/>
      </c>
    </row>
    <row r="969" spans="2:35" x14ac:dyDescent="0.2">
      <c r="B969" t="str">
        <f>IF(A969="","",IF(A969="[FÓRMULA MANUAL]","",IFERROR(AVERAGEIFS(DATOS!$K$2:$K$20000,DATOS!$A$2:$A$20000,A969,DATOS!$G$2:$G$20000,CONFIG_METADATA!$B$4,DATOS!$I$2:$I$20000,"Lenguaje Musical"),"")))</f>
        <v/>
      </c>
      <c r="C969" t="str">
        <f>IF(A969="","",IF(A969="[FÓRMULA MANUAL]","",IFERROR(AVERAGEIFS(DATOS!$K$2:$K$20000,DATOS!$A$2:$A$20000,A969,DATOS!$G$2:$G$20000,CONFIG_METADATA!$B$4,DATOS!$I$2:$I$20000,"Orquesta/Banda/Conjunto"),"")))</f>
        <v/>
      </c>
      <c r="D969" t="str">
        <f>IF(A969="","",IF(A969="[FÓRMULA MANUAL]","",IFERROR(AVERAGEIFS(DATOS!$K$2:$K$20000,DATOS!$A$2:$A$20000,A969,DATOS!$G$2:$G$20000,CONFIG_METADATA!$B$4,DATOS!$I$2:$I$20000,"Conjunto"),"")))</f>
        <v/>
      </c>
      <c r="E969" t="str">
        <f>IF(A969="","",IF(A969="[FÓRMULA MANUAL]","",IFERROR(SUMPRODUCT((DATOS!$A$2:$A$20000=A969)*(DATOS!$G$2:$G$20000=CONFIG_METADATA!$B$4)*(COUNTIF(CONFIG_ASIGNATURAS!$B$7:$B$27,DATOS!$I$2:$I$20000)&gt;0)*(DATOS!$K$2:$K$20000))/SUMPRODUCT((DATOS!$A$2:$A$20000=A969)*(DATOS!$G$2:$G$20000=CONFIG_METADATA!$B$4)*(COUNTIF(CONFIG_ASIGNATURAS!$B$7:$B$27,DATOS!$I$2:$I$20000)&gt;0)*1),"")))</f>
        <v/>
      </c>
      <c r="H969" t="str">
        <f>IF(G969="","",IF(G969="[FÓRMULA MANUAL]","",IFERROR(AVERAGEIFS(DATOS!$K$2:$K$20000,DATOS!$A$2:$A$20000,G969,DATOS!$G$2:$G$20000,CONFIG_METADATA!$B$4,DATOS!$I$2:$I$20000,"Lenguaje Musical"),"")))</f>
        <v/>
      </c>
      <c r="I969" t="str">
        <f>IF(G969="","",IF(G969="[FÓRMULA MANUAL]","",IFERROR(AVERAGEIFS(DATOS!$K$2:$K$20000,DATOS!$A$2:$A$20000,G969,DATOS!$G$2:$G$20000,CONFIG_METADATA!$B$4,DATOS!$I$2:$I$20000,"Orquesta/Banda/Conjunto"),"")))</f>
        <v/>
      </c>
      <c r="J969" t="str">
        <f>IF(G969="","",IF(G969="[FÓRMULA MANUAL]","",IFERROR(AVERAGEIFS(DATOS!$K$2:$K$20000,DATOS!$A$2:$A$20000,G969,DATOS!$G$2:$G$20000,CONFIG_METADATA!$B$4,DATOS!$I$2:$I$20000,"Conjunto"),"")))</f>
        <v/>
      </c>
      <c r="K969" t="str">
        <f>IF(G969="","",IF(G969="[FÓRMULA MANUAL]","",IFERROR(SUMPRODUCT((DATOS!$A$2:$A$20000=G969)*(DATOS!$G$2:$G$20000=CONFIG_METADATA!$B$4)*(COUNTIF(CONFIG_ASIGNATURAS!$B$7:$B$27,DATOS!$I$2:$I$20000)&gt;0)*(DATOS!$K$2:$K$20000))/SUMPRODUCT((DATOS!$A$2:$A$20000=G969)*(DATOS!$G$2:$G$20000=CONFIG_METADATA!$B$4)*(COUNTIF(CONFIG_ASIGNATURAS!$B$7:$B$27,DATOS!$I$2:$I$20000)&gt;0)*1),"")))</f>
        <v/>
      </c>
      <c r="N969" t="str">
        <f>IF(M969="","",IF(M969="[FÓRMULA MANUAL]","",IFERROR(AVERAGEIFS(DATOS!$K$2:$K$20000,DATOS!$A$2:$A$20000,M969,DATOS!$G$2:$G$20000,CONFIG_METADATA!$B$4,DATOS!$I$2:$I$20000,"Armonía"),"")))</f>
        <v/>
      </c>
      <c r="O969" t="str">
        <f>IF(M969="","",IF(M969="[FÓRMULA MANUAL]","",IFERROR(AVERAGEIFS(DATOS!$K$2:$K$20000,DATOS!$A$2:$A$20000,M969,DATOS!$G$2:$G$20000,CONFIG_METADATA!$B$4,DATOS!$I$2:$I$20000,"Orquesta/Banda/Conjunto"),"")))</f>
        <v/>
      </c>
      <c r="P969" t="str">
        <f>IF(M969="","",IF(M969="[FÓRMULA MANUAL]","",IFERROR(AVERAGEIFS(DATOS!$K$2:$K$20000,DATOS!$A$2:$A$20000,M969,DATOS!$G$2:$G$20000,CONFIG_METADATA!$B$4,DATOS!$I$2:$I$20000,"Música de Cámara"),"")))</f>
        <v/>
      </c>
      <c r="Q969" t="str">
        <f>IF(M969="","",IF(M969="[FÓRMULA MANUAL]","",IFERROR(SUMPRODUCT((DATOS!$A$2:$A$20000=M969)*(DATOS!$G$2:$G$20000=CONFIG_METADATA!$B$4)*(COUNTIF(CONFIG_ASIGNATURAS!$B$7:$B$27,DATOS!$I$2:$I$20000)&gt;0)*(DATOS!$K$2:$K$20000))/SUMPRODUCT((DATOS!$A$2:$A$20000=M969)*(DATOS!$G$2:$G$20000=CONFIG_METADATA!$B$4)*(COUNTIF(CONFIG_ASIGNATURAS!$B$7:$B$27,DATOS!$I$2:$I$20000)&gt;0)*1),"")))</f>
        <v/>
      </c>
      <c r="T969" t="str">
        <f>IF(S969="","",IF(S969="[FÓRMULA MANUAL]","",IFERROR(AVERAGEIFS(DATOS!$K$2:$K$20000,DATOS!$A$2:$A$20000,S969,DATOS!$G$2:$G$20000,CONFIG_METADATA!$B$4,DATOS!$I$2:$I$20000,"Armonía"),"")))</f>
        <v/>
      </c>
      <c r="U969" t="str">
        <f>IF(S969="","",IF(S969="[FÓRMULA MANUAL]","",IFERROR(AVERAGEIFS(DATOS!$K$2:$K$20000,DATOS!$A$2:$A$20000,S969,DATOS!$G$2:$G$20000,CONFIG_METADATA!$B$4,DATOS!$I$2:$I$20000,"Orquesta/Banda/Conjunto"),"")))</f>
        <v/>
      </c>
      <c r="V969" t="str">
        <f>IF(S969="","",IF(S969="[FÓRMULA MANUAL]","",IFERROR(AVERAGEIFS(DATOS!$K$2:$K$20000,DATOS!$A$2:$A$20000,S969,DATOS!$G$2:$G$20000,CONFIG_METADATA!$B$4,DATOS!$I$2:$I$20000,"Música de Cámara"),"")))</f>
        <v/>
      </c>
      <c r="W969" t="str">
        <f>IF(S969="","",IF(S969="[FÓRMULA MANUAL]","",IFERROR(SUMPRODUCT((DATOS!$A$2:$A$20000=S969)*(DATOS!$G$2:$G$20000=CONFIG_METADATA!$B$4)*(COUNTIF(CONFIG_ASIGNATURAS!$B$7:$B$27,DATOS!$I$2:$I$20000)&gt;0)*(DATOS!$K$2:$K$20000))/SUMPRODUCT((DATOS!$A$2:$A$20000=S969)*(DATOS!$G$2:$G$20000=CONFIG_METADATA!$B$4)*(COUNTIF(CONFIG_ASIGNATURAS!$B$7:$B$27,DATOS!$I$2:$I$20000)&gt;0)*1),"")))</f>
        <v/>
      </c>
      <c r="Z969" t="str">
        <f>IF(Y969="","",IF(Y969="[FÓRMULA MANUAL]","",IFERROR(AVERAGEIFS(DATOS!$K$2:$K$20000,DATOS!$A$2:$A$20000,Y969,DATOS!$G$2:$G$20000,CONFIG_METADATA!$B$4,DATOS!$I$2:$I$20000,"Análisis"),"")))</f>
        <v/>
      </c>
      <c r="AA969" t="str">
        <f>IF(Y969="","",IF(Y969="[FÓRMULA MANUAL]","",IFERROR(AVERAGEIFS(DATOS!$K$2:$K$20000,DATOS!$A$2:$A$20000,Y969,DATOS!$G$2:$G$20000,CONFIG_METADATA!$B$4,DATOS!$I$2:$I$20000,"Orquesta/Banda/Conjunto"),"")))</f>
        <v/>
      </c>
      <c r="AB969" t="str">
        <f>IF(Y969="","",IF(Y969="[FÓRMULA MANUAL]","",IFERROR(AVERAGEIFS(DATOS!$K$2:$K$20000,DATOS!$A$2:$A$20000,Y969,DATOS!$G$2:$G$20000,CONFIG_METADATA!$B$4,DATOS!$I$2:$I$20000,"Música de Cámara"),"")))</f>
        <v/>
      </c>
      <c r="AC969" t="str">
        <f>IF(Y969="","",IF(Y969="[FÓRMULA MANUAL]","",IFERROR(SUMPRODUCT((DATOS!$A$2:$A$20000=Y969)*(DATOS!$G$2:$G$20000=CONFIG_METADATA!$B$4)*(COUNTIF(CONFIG_ASIGNATURAS!$B$7:$B$27,DATOS!$I$2:$I$20000)&gt;0)*(DATOS!$K$2:$K$20000))/SUMPRODUCT((DATOS!$A$2:$A$20000=Y969)*(DATOS!$G$2:$G$20000=CONFIG_METADATA!$B$4)*(COUNTIF(CONFIG_ASIGNATURAS!$B$7:$B$27,DATOS!$I$2:$I$20000)&gt;0)*1),"")))</f>
        <v/>
      </c>
      <c r="AF969" t="str">
        <f>IF(AE969="","",IF(AE969="[FÓRMULA MANUAL]","",IFERROR(AVERAGEIFS(DATOS!$K$2:$K$20000,DATOS!$A$2:$A$20000,AE969,DATOS!$G$2:$G$20000,CONFIG_METADATA!$B$4,DATOS!$I$2:$I$20000,"Análisis"),"")))</f>
        <v/>
      </c>
      <c r="AG969" t="str">
        <f>IF(AE969="","",IF(AE969="[FÓRMULA MANUAL]","",IFERROR(AVERAGEIFS(DATOS!$K$2:$K$20000,DATOS!$A$2:$A$20000,AE969,DATOS!$G$2:$G$20000,CONFIG_METADATA!$B$4,DATOS!$I$2:$I$20000,"Orquesta/Banda/Conjunto"),"")))</f>
        <v/>
      </c>
      <c r="AH969" t="str">
        <f>IF(AE969="","",IF(AE969="[FÓRMULA MANUAL]","",IFERROR(AVERAGEIFS(DATOS!$K$2:$K$20000,DATOS!$A$2:$A$20000,AE969,DATOS!$G$2:$G$20000,CONFIG_METADATA!$B$4,DATOS!$I$2:$I$20000,"Música de Cámara"),"")))</f>
        <v/>
      </c>
      <c r="AI969" t="str">
        <f>IF(AE969="","",IF(AE969="[FÓRMULA MANUAL]","",IFERROR(SUMPRODUCT((DATOS!$A$2:$A$20000=AE969)*(DATOS!$G$2:$G$20000=CONFIG_METADATA!$B$4)*(COUNTIF(CONFIG_ASIGNATURAS!$B$7:$B$27,DATOS!$I$2:$I$20000)&gt;0)*(DATOS!$K$2:$K$20000))/SUMPRODUCT((DATOS!$A$2:$A$20000=AE969)*(DATOS!$G$2:$G$20000=CONFIG_METADATA!$B$4)*(COUNTIF(CONFIG_ASIGNATURAS!$B$7:$B$27,DATOS!$I$2:$I$20000)&gt;0)*1),"")))</f>
        <v/>
      </c>
    </row>
    <row r="970" spans="2:35" x14ac:dyDescent="0.2">
      <c r="B970" t="str">
        <f>IF(A970="","",IF(A970="[FÓRMULA MANUAL]","",IFERROR(AVERAGEIFS(DATOS!$K$2:$K$20000,DATOS!$A$2:$A$20000,A970,DATOS!$G$2:$G$20000,CONFIG_METADATA!$B$4,DATOS!$I$2:$I$20000,"Lenguaje Musical"),"")))</f>
        <v/>
      </c>
      <c r="C970" t="str">
        <f>IF(A970="","",IF(A970="[FÓRMULA MANUAL]","",IFERROR(AVERAGEIFS(DATOS!$K$2:$K$20000,DATOS!$A$2:$A$20000,A970,DATOS!$G$2:$G$20000,CONFIG_METADATA!$B$4,DATOS!$I$2:$I$20000,"Orquesta/Banda/Conjunto"),"")))</f>
        <v/>
      </c>
      <c r="D970" t="str">
        <f>IF(A970="","",IF(A970="[FÓRMULA MANUAL]","",IFERROR(AVERAGEIFS(DATOS!$K$2:$K$20000,DATOS!$A$2:$A$20000,A970,DATOS!$G$2:$G$20000,CONFIG_METADATA!$B$4,DATOS!$I$2:$I$20000,"Conjunto"),"")))</f>
        <v/>
      </c>
      <c r="E970" t="str">
        <f>IF(A970="","",IF(A970="[FÓRMULA MANUAL]","",IFERROR(SUMPRODUCT((DATOS!$A$2:$A$20000=A970)*(DATOS!$G$2:$G$20000=CONFIG_METADATA!$B$4)*(COUNTIF(CONFIG_ASIGNATURAS!$B$7:$B$27,DATOS!$I$2:$I$20000)&gt;0)*(DATOS!$K$2:$K$20000))/SUMPRODUCT((DATOS!$A$2:$A$20000=A970)*(DATOS!$G$2:$G$20000=CONFIG_METADATA!$B$4)*(COUNTIF(CONFIG_ASIGNATURAS!$B$7:$B$27,DATOS!$I$2:$I$20000)&gt;0)*1),"")))</f>
        <v/>
      </c>
      <c r="H970" t="str">
        <f>IF(G970="","",IF(G970="[FÓRMULA MANUAL]","",IFERROR(AVERAGEIFS(DATOS!$K$2:$K$20000,DATOS!$A$2:$A$20000,G970,DATOS!$G$2:$G$20000,CONFIG_METADATA!$B$4,DATOS!$I$2:$I$20000,"Lenguaje Musical"),"")))</f>
        <v/>
      </c>
      <c r="I970" t="str">
        <f>IF(G970="","",IF(G970="[FÓRMULA MANUAL]","",IFERROR(AVERAGEIFS(DATOS!$K$2:$K$20000,DATOS!$A$2:$A$20000,G970,DATOS!$G$2:$G$20000,CONFIG_METADATA!$B$4,DATOS!$I$2:$I$20000,"Orquesta/Banda/Conjunto"),"")))</f>
        <v/>
      </c>
      <c r="J970" t="str">
        <f>IF(G970="","",IF(G970="[FÓRMULA MANUAL]","",IFERROR(AVERAGEIFS(DATOS!$K$2:$K$20000,DATOS!$A$2:$A$20000,G970,DATOS!$G$2:$G$20000,CONFIG_METADATA!$B$4,DATOS!$I$2:$I$20000,"Conjunto"),"")))</f>
        <v/>
      </c>
      <c r="K970" t="str">
        <f>IF(G970="","",IF(G970="[FÓRMULA MANUAL]","",IFERROR(SUMPRODUCT((DATOS!$A$2:$A$20000=G970)*(DATOS!$G$2:$G$20000=CONFIG_METADATA!$B$4)*(COUNTIF(CONFIG_ASIGNATURAS!$B$7:$B$27,DATOS!$I$2:$I$20000)&gt;0)*(DATOS!$K$2:$K$20000))/SUMPRODUCT((DATOS!$A$2:$A$20000=G970)*(DATOS!$G$2:$G$20000=CONFIG_METADATA!$B$4)*(COUNTIF(CONFIG_ASIGNATURAS!$B$7:$B$27,DATOS!$I$2:$I$20000)&gt;0)*1),"")))</f>
        <v/>
      </c>
      <c r="N970" t="str">
        <f>IF(M970="","",IF(M970="[FÓRMULA MANUAL]","",IFERROR(AVERAGEIFS(DATOS!$K$2:$K$20000,DATOS!$A$2:$A$20000,M970,DATOS!$G$2:$G$20000,CONFIG_METADATA!$B$4,DATOS!$I$2:$I$20000,"Armonía"),"")))</f>
        <v/>
      </c>
      <c r="O970" t="str">
        <f>IF(M970="","",IF(M970="[FÓRMULA MANUAL]","",IFERROR(AVERAGEIFS(DATOS!$K$2:$K$20000,DATOS!$A$2:$A$20000,M970,DATOS!$G$2:$G$20000,CONFIG_METADATA!$B$4,DATOS!$I$2:$I$20000,"Orquesta/Banda/Conjunto"),"")))</f>
        <v/>
      </c>
      <c r="P970" t="str">
        <f>IF(M970="","",IF(M970="[FÓRMULA MANUAL]","",IFERROR(AVERAGEIFS(DATOS!$K$2:$K$20000,DATOS!$A$2:$A$20000,M970,DATOS!$G$2:$G$20000,CONFIG_METADATA!$B$4,DATOS!$I$2:$I$20000,"Música de Cámara"),"")))</f>
        <v/>
      </c>
      <c r="Q970" t="str">
        <f>IF(M970="","",IF(M970="[FÓRMULA MANUAL]","",IFERROR(SUMPRODUCT((DATOS!$A$2:$A$20000=M970)*(DATOS!$G$2:$G$20000=CONFIG_METADATA!$B$4)*(COUNTIF(CONFIG_ASIGNATURAS!$B$7:$B$27,DATOS!$I$2:$I$20000)&gt;0)*(DATOS!$K$2:$K$20000))/SUMPRODUCT((DATOS!$A$2:$A$20000=M970)*(DATOS!$G$2:$G$20000=CONFIG_METADATA!$B$4)*(COUNTIF(CONFIG_ASIGNATURAS!$B$7:$B$27,DATOS!$I$2:$I$20000)&gt;0)*1),"")))</f>
        <v/>
      </c>
      <c r="T970" t="str">
        <f>IF(S970="","",IF(S970="[FÓRMULA MANUAL]","",IFERROR(AVERAGEIFS(DATOS!$K$2:$K$20000,DATOS!$A$2:$A$20000,S970,DATOS!$G$2:$G$20000,CONFIG_METADATA!$B$4,DATOS!$I$2:$I$20000,"Armonía"),"")))</f>
        <v/>
      </c>
      <c r="U970" t="str">
        <f>IF(S970="","",IF(S970="[FÓRMULA MANUAL]","",IFERROR(AVERAGEIFS(DATOS!$K$2:$K$20000,DATOS!$A$2:$A$20000,S970,DATOS!$G$2:$G$20000,CONFIG_METADATA!$B$4,DATOS!$I$2:$I$20000,"Orquesta/Banda/Conjunto"),"")))</f>
        <v/>
      </c>
      <c r="V970" t="str">
        <f>IF(S970="","",IF(S970="[FÓRMULA MANUAL]","",IFERROR(AVERAGEIFS(DATOS!$K$2:$K$20000,DATOS!$A$2:$A$20000,S970,DATOS!$G$2:$G$20000,CONFIG_METADATA!$B$4,DATOS!$I$2:$I$20000,"Música de Cámara"),"")))</f>
        <v/>
      </c>
      <c r="W970" t="str">
        <f>IF(S970="","",IF(S970="[FÓRMULA MANUAL]","",IFERROR(SUMPRODUCT((DATOS!$A$2:$A$20000=S970)*(DATOS!$G$2:$G$20000=CONFIG_METADATA!$B$4)*(COUNTIF(CONFIG_ASIGNATURAS!$B$7:$B$27,DATOS!$I$2:$I$20000)&gt;0)*(DATOS!$K$2:$K$20000))/SUMPRODUCT((DATOS!$A$2:$A$20000=S970)*(DATOS!$G$2:$G$20000=CONFIG_METADATA!$B$4)*(COUNTIF(CONFIG_ASIGNATURAS!$B$7:$B$27,DATOS!$I$2:$I$20000)&gt;0)*1),"")))</f>
        <v/>
      </c>
      <c r="Z970" t="str">
        <f>IF(Y970="","",IF(Y970="[FÓRMULA MANUAL]","",IFERROR(AVERAGEIFS(DATOS!$K$2:$K$20000,DATOS!$A$2:$A$20000,Y970,DATOS!$G$2:$G$20000,CONFIG_METADATA!$B$4,DATOS!$I$2:$I$20000,"Análisis"),"")))</f>
        <v/>
      </c>
      <c r="AA970" t="str">
        <f>IF(Y970="","",IF(Y970="[FÓRMULA MANUAL]","",IFERROR(AVERAGEIFS(DATOS!$K$2:$K$20000,DATOS!$A$2:$A$20000,Y970,DATOS!$G$2:$G$20000,CONFIG_METADATA!$B$4,DATOS!$I$2:$I$20000,"Orquesta/Banda/Conjunto"),"")))</f>
        <v/>
      </c>
      <c r="AB970" t="str">
        <f>IF(Y970="","",IF(Y970="[FÓRMULA MANUAL]","",IFERROR(AVERAGEIFS(DATOS!$K$2:$K$20000,DATOS!$A$2:$A$20000,Y970,DATOS!$G$2:$G$20000,CONFIG_METADATA!$B$4,DATOS!$I$2:$I$20000,"Música de Cámara"),"")))</f>
        <v/>
      </c>
      <c r="AC970" t="str">
        <f>IF(Y970="","",IF(Y970="[FÓRMULA MANUAL]","",IFERROR(SUMPRODUCT((DATOS!$A$2:$A$20000=Y970)*(DATOS!$G$2:$G$20000=CONFIG_METADATA!$B$4)*(COUNTIF(CONFIG_ASIGNATURAS!$B$7:$B$27,DATOS!$I$2:$I$20000)&gt;0)*(DATOS!$K$2:$K$20000))/SUMPRODUCT((DATOS!$A$2:$A$20000=Y970)*(DATOS!$G$2:$G$20000=CONFIG_METADATA!$B$4)*(COUNTIF(CONFIG_ASIGNATURAS!$B$7:$B$27,DATOS!$I$2:$I$20000)&gt;0)*1),"")))</f>
        <v/>
      </c>
      <c r="AF970" t="str">
        <f>IF(AE970="","",IF(AE970="[FÓRMULA MANUAL]","",IFERROR(AVERAGEIFS(DATOS!$K$2:$K$20000,DATOS!$A$2:$A$20000,AE970,DATOS!$G$2:$G$20000,CONFIG_METADATA!$B$4,DATOS!$I$2:$I$20000,"Análisis"),"")))</f>
        <v/>
      </c>
      <c r="AG970" t="str">
        <f>IF(AE970="","",IF(AE970="[FÓRMULA MANUAL]","",IFERROR(AVERAGEIFS(DATOS!$K$2:$K$20000,DATOS!$A$2:$A$20000,AE970,DATOS!$G$2:$G$20000,CONFIG_METADATA!$B$4,DATOS!$I$2:$I$20000,"Orquesta/Banda/Conjunto"),"")))</f>
        <v/>
      </c>
      <c r="AH970" t="str">
        <f>IF(AE970="","",IF(AE970="[FÓRMULA MANUAL]","",IFERROR(AVERAGEIFS(DATOS!$K$2:$K$20000,DATOS!$A$2:$A$20000,AE970,DATOS!$G$2:$G$20000,CONFIG_METADATA!$B$4,DATOS!$I$2:$I$20000,"Música de Cámara"),"")))</f>
        <v/>
      </c>
      <c r="AI970" t="str">
        <f>IF(AE970="","",IF(AE970="[FÓRMULA MANUAL]","",IFERROR(SUMPRODUCT((DATOS!$A$2:$A$20000=AE970)*(DATOS!$G$2:$G$20000=CONFIG_METADATA!$B$4)*(COUNTIF(CONFIG_ASIGNATURAS!$B$7:$B$27,DATOS!$I$2:$I$20000)&gt;0)*(DATOS!$K$2:$K$20000))/SUMPRODUCT((DATOS!$A$2:$A$20000=AE970)*(DATOS!$G$2:$G$20000=CONFIG_METADATA!$B$4)*(COUNTIF(CONFIG_ASIGNATURAS!$B$7:$B$27,DATOS!$I$2:$I$20000)&gt;0)*1),"")))</f>
        <v/>
      </c>
    </row>
    <row r="971" spans="2:35" x14ac:dyDescent="0.2">
      <c r="B971" t="str">
        <f>IF(A971="","",IF(A971="[FÓRMULA MANUAL]","",IFERROR(AVERAGEIFS(DATOS!$K$2:$K$20000,DATOS!$A$2:$A$20000,A971,DATOS!$G$2:$G$20000,CONFIG_METADATA!$B$4,DATOS!$I$2:$I$20000,"Lenguaje Musical"),"")))</f>
        <v/>
      </c>
      <c r="C971" t="str">
        <f>IF(A971="","",IF(A971="[FÓRMULA MANUAL]","",IFERROR(AVERAGEIFS(DATOS!$K$2:$K$20000,DATOS!$A$2:$A$20000,A971,DATOS!$G$2:$G$20000,CONFIG_METADATA!$B$4,DATOS!$I$2:$I$20000,"Orquesta/Banda/Conjunto"),"")))</f>
        <v/>
      </c>
      <c r="D971" t="str">
        <f>IF(A971="","",IF(A971="[FÓRMULA MANUAL]","",IFERROR(AVERAGEIFS(DATOS!$K$2:$K$20000,DATOS!$A$2:$A$20000,A971,DATOS!$G$2:$G$20000,CONFIG_METADATA!$B$4,DATOS!$I$2:$I$20000,"Conjunto"),"")))</f>
        <v/>
      </c>
      <c r="E971" t="str">
        <f>IF(A971="","",IF(A971="[FÓRMULA MANUAL]","",IFERROR(SUMPRODUCT((DATOS!$A$2:$A$20000=A971)*(DATOS!$G$2:$G$20000=CONFIG_METADATA!$B$4)*(COUNTIF(CONFIG_ASIGNATURAS!$B$7:$B$27,DATOS!$I$2:$I$20000)&gt;0)*(DATOS!$K$2:$K$20000))/SUMPRODUCT((DATOS!$A$2:$A$20000=A971)*(DATOS!$G$2:$G$20000=CONFIG_METADATA!$B$4)*(COUNTIF(CONFIG_ASIGNATURAS!$B$7:$B$27,DATOS!$I$2:$I$20000)&gt;0)*1),"")))</f>
        <v/>
      </c>
      <c r="H971" t="str">
        <f>IF(G971="","",IF(G971="[FÓRMULA MANUAL]","",IFERROR(AVERAGEIFS(DATOS!$K$2:$K$20000,DATOS!$A$2:$A$20000,G971,DATOS!$G$2:$G$20000,CONFIG_METADATA!$B$4,DATOS!$I$2:$I$20000,"Lenguaje Musical"),"")))</f>
        <v/>
      </c>
      <c r="I971" t="str">
        <f>IF(G971="","",IF(G971="[FÓRMULA MANUAL]","",IFERROR(AVERAGEIFS(DATOS!$K$2:$K$20000,DATOS!$A$2:$A$20000,G971,DATOS!$G$2:$G$20000,CONFIG_METADATA!$B$4,DATOS!$I$2:$I$20000,"Orquesta/Banda/Conjunto"),"")))</f>
        <v/>
      </c>
      <c r="J971" t="str">
        <f>IF(G971="","",IF(G971="[FÓRMULA MANUAL]","",IFERROR(AVERAGEIFS(DATOS!$K$2:$K$20000,DATOS!$A$2:$A$20000,G971,DATOS!$G$2:$G$20000,CONFIG_METADATA!$B$4,DATOS!$I$2:$I$20000,"Conjunto"),"")))</f>
        <v/>
      </c>
      <c r="K971" t="str">
        <f>IF(G971="","",IF(G971="[FÓRMULA MANUAL]","",IFERROR(SUMPRODUCT((DATOS!$A$2:$A$20000=G971)*(DATOS!$G$2:$G$20000=CONFIG_METADATA!$B$4)*(COUNTIF(CONFIG_ASIGNATURAS!$B$7:$B$27,DATOS!$I$2:$I$20000)&gt;0)*(DATOS!$K$2:$K$20000))/SUMPRODUCT((DATOS!$A$2:$A$20000=G971)*(DATOS!$G$2:$G$20000=CONFIG_METADATA!$B$4)*(COUNTIF(CONFIG_ASIGNATURAS!$B$7:$B$27,DATOS!$I$2:$I$20000)&gt;0)*1),"")))</f>
        <v/>
      </c>
      <c r="N971" t="str">
        <f>IF(M971="","",IF(M971="[FÓRMULA MANUAL]","",IFERROR(AVERAGEIFS(DATOS!$K$2:$K$20000,DATOS!$A$2:$A$20000,M971,DATOS!$G$2:$G$20000,CONFIG_METADATA!$B$4,DATOS!$I$2:$I$20000,"Armonía"),"")))</f>
        <v/>
      </c>
      <c r="O971" t="str">
        <f>IF(M971="","",IF(M971="[FÓRMULA MANUAL]","",IFERROR(AVERAGEIFS(DATOS!$K$2:$K$20000,DATOS!$A$2:$A$20000,M971,DATOS!$G$2:$G$20000,CONFIG_METADATA!$B$4,DATOS!$I$2:$I$20000,"Orquesta/Banda/Conjunto"),"")))</f>
        <v/>
      </c>
      <c r="P971" t="str">
        <f>IF(M971="","",IF(M971="[FÓRMULA MANUAL]","",IFERROR(AVERAGEIFS(DATOS!$K$2:$K$20000,DATOS!$A$2:$A$20000,M971,DATOS!$G$2:$G$20000,CONFIG_METADATA!$B$4,DATOS!$I$2:$I$20000,"Música de Cámara"),"")))</f>
        <v/>
      </c>
      <c r="Q971" t="str">
        <f>IF(M971="","",IF(M971="[FÓRMULA MANUAL]","",IFERROR(SUMPRODUCT((DATOS!$A$2:$A$20000=M971)*(DATOS!$G$2:$G$20000=CONFIG_METADATA!$B$4)*(COUNTIF(CONFIG_ASIGNATURAS!$B$7:$B$27,DATOS!$I$2:$I$20000)&gt;0)*(DATOS!$K$2:$K$20000))/SUMPRODUCT((DATOS!$A$2:$A$20000=M971)*(DATOS!$G$2:$G$20000=CONFIG_METADATA!$B$4)*(COUNTIF(CONFIG_ASIGNATURAS!$B$7:$B$27,DATOS!$I$2:$I$20000)&gt;0)*1),"")))</f>
        <v/>
      </c>
      <c r="T971" t="str">
        <f>IF(S971="","",IF(S971="[FÓRMULA MANUAL]","",IFERROR(AVERAGEIFS(DATOS!$K$2:$K$20000,DATOS!$A$2:$A$20000,S971,DATOS!$G$2:$G$20000,CONFIG_METADATA!$B$4,DATOS!$I$2:$I$20000,"Armonía"),"")))</f>
        <v/>
      </c>
      <c r="U971" t="str">
        <f>IF(S971="","",IF(S971="[FÓRMULA MANUAL]","",IFERROR(AVERAGEIFS(DATOS!$K$2:$K$20000,DATOS!$A$2:$A$20000,S971,DATOS!$G$2:$G$20000,CONFIG_METADATA!$B$4,DATOS!$I$2:$I$20000,"Orquesta/Banda/Conjunto"),"")))</f>
        <v/>
      </c>
      <c r="V971" t="str">
        <f>IF(S971="","",IF(S971="[FÓRMULA MANUAL]","",IFERROR(AVERAGEIFS(DATOS!$K$2:$K$20000,DATOS!$A$2:$A$20000,S971,DATOS!$G$2:$G$20000,CONFIG_METADATA!$B$4,DATOS!$I$2:$I$20000,"Música de Cámara"),"")))</f>
        <v/>
      </c>
      <c r="W971" t="str">
        <f>IF(S971="","",IF(S971="[FÓRMULA MANUAL]","",IFERROR(SUMPRODUCT((DATOS!$A$2:$A$20000=S971)*(DATOS!$G$2:$G$20000=CONFIG_METADATA!$B$4)*(COUNTIF(CONFIG_ASIGNATURAS!$B$7:$B$27,DATOS!$I$2:$I$20000)&gt;0)*(DATOS!$K$2:$K$20000))/SUMPRODUCT((DATOS!$A$2:$A$20000=S971)*(DATOS!$G$2:$G$20000=CONFIG_METADATA!$B$4)*(COUNTIF(CONFIG_ASIGNATURAS!$B$7:$B$27,DATOS!$I$2:$I$20000)&gt;0)*1),"")))</f>
        <v/>
      </c>
      <c r="Z971" t="str">
        <f>IF(Y971="","",IF(Y971="[FÓRMULA MANUAL]","",IFERROR(AVERAGEIFS(DATOS!$K$2:$K$20000,DATOS!$A$2:$A$20000,Y971,DATOS!$G$2:$G$20000,CONFIG_METADATA!$B$4,DATOS!$I$2:$I$20000,"Análisis"),"")))</f>
        <v/>
      </c>
      <c r="AA971" t="str">
        <f>IF(Y971="","",IF(Y971="[FÓRMULA MANUAL]","",IFERROR(AVERAGEIFS(DATOS!$K$2:$K$20000,DATOS!$A$2:$A$20000,Y971,DATOS!$G$2:$G$20000,CONFIG_METADATA!$B$4,DATOS!$I$2:$I$20000,"Orquesta/Banda/Conjunto"),"")))</f>
        <v/>
      </c>
      <c r="AB971" t="str">
        <f>IF(Y971="","",IF(Y971="[FÓRMULA MANUAL]","",IFERROR(AVERAGEIFS(DATOS!$K$2:$K$20000,DATOS!$A$2:$A$20000,Y971,DATOS!$G$2:$G$20000,CONFIG_METADATA!$B$4,DATOS!$I$2:$I$20000,"Música de Cámara"),"")))</f>
        <v/>
      </c>
      <c r="AC971" t="str">
        <f>IF(Y971="","",IF(Y971="[FÓRMULA MANUAL]","",IFERROR(SUMPRODUCT((DATOS!$A$2:$A$20000=Y971)*(DATOS!$G$2:$G$20000=CONFIG_METADATA!$B$4)*(COUNTIF(CONFIG_ASIGNATURAS!$B$7:$B$27,DATOS!$I$2:$I$20000)&gt;0)*(DATOS!$K$2:$K$20000))/SUMPRODUCT((DATOS!$A$2:$A$20000=Y971)*(DATOS!$G$2:$G$20000=CONFIG_METADATA!$B$4)*(COUNTIF(CONFIG_ASIGNATURAS!$B$7:$B$27,DATOS!$I$2:$I$20000)&gt;0)*1),"")))</f>
        <v/>
      </c>
      <c r="AF971" t="str">
        <f>IF(AE971="","",IF(AE971="[FÓRMULA MANUAL]","",IFERROR(AVERAGEIFS(DATOS!$K$2:$K$20000,DATOS!$A$2:$A$20000,AE971,DATOS!$G$2:$G$20000,CONFIG_METADATA!$B$4,DATOS!$I$2:$I$20000,"Análisis"),"")))</f>
        <v/>
      </c>
      <c r="AG971" t="str">
        <f>IF(AE971="","",IF(AE971="[FÓRMULA MANUAL]","",IFERROR(AVERAGEIFS(DATOS!$K$2:$K$20000,DATOS!$A$2:$A$20000,AE971,DATOS!$G$2:$G$20000,CONFIG_METADATA!$B$4,DATOS!$I$2:$I$20000,"Orquesta/Banda/Conjunto"),"")))</f>
        <v/>
      </c>
      <c r="AH971" t="str">
        <f>IF(AE971="","",IF(AE971="[FÓRMULA MANUAL]","",IFERROR(AVERAGEIFS(DATOS!$K$2:$K$20000,DATOS!$A$2:$A$20000,AE971,DATOS!$G$2:$G$20000,CONFIG_METADATA!$B$4,DATOS!$I$2:$I$20000,"Música de Cámara"),"")))</f>
        <v/>
      </c>
      <c r="AI971" t="str">
        <f>IF(AE971="","",IF(AE971="[FÓRMULA MANUAL]","",IFERROR(SUMPRODUCT((DATOS!$A$2:$A$20000=AE971)*(DATOS!$G$2:$G$20000=CONFIG_METADATA!$B$4)*(COUNTIF(CONFIG_ASIGNATURAS!$B$7:$B$27,DATOS!$I$2:$I$20000)&gt;0)*(DATOS!$K$2:$K$20000))/SUMPRODUCT((DATOS!$A$2:$A$20000=AE971)*(DATOS!$G$2:$G$20000=CONFIG_METADATA!$B$4)*(COUNTIF(CONFIG_ASIGNATURAS!$B$7:$B$27,DATOS!$I$2:$I$20000)&gt;0)*1),"")))</f>
        <v/>
      </c>
    </row>
    <row r="972" spans="2:35" x14ac:dyDescent="0.2">
      <c r="B972" t="str">
        <f>IF(A972="","",IF(A972="[FÓRMULA MANUAL]","",IFERROR(AVERAGEIFS(DATOS!$K$2:$K$20000,DATOS!$A$2:$A$20000,A972,DATOS!$G$2:$G$20000,CONFIG_METADATA!$B$4,DATOS!$I$2:$I$20000,"Lenguaje Musical"),"")))</f>
        <v/>
      </c>
      <c r="C972" t="str">
        <f>IF(A972="","",IF(A972="[FÓRMULA MANUAL]","",IFERROR(AVERAGEIFS(DATOS!$K$2:$K$20000,DATOS!$A$2:$A$20000,A972,DATOS!$G$2:$G$20000,CONFIG_METADATA!$B$4,DATOS!$I$2:$I$20000,"Orquesta/Banda/Conjunto"),"")))</f>
        <v/>
      </c>
      <c r="D972" t="str">
        <f>IF(A972="","",IF(A972="[FÓRMULA MANUAL]","",IFERROR(AVERAGEIFS(DATOS!$K$2:$K$20000,DATOS!$A$2:$A$20000,A972,DATOS!$G$2:$G$20000,CONFIG_METADATA!$B$4,DATOS!$I$2:$I$20000,"Conjunto"),"")))</f>
        <v/>
      </c>
      <c r="E972" t="str">
        <f>IF(A972="","",IF(A972="[FÓRMULA MANUAL]","",IFERROR(SUMPRODUCT((DATOS!$A$2:$A$20000=A972)*(DATOS!$G$2:$G$20000=CONFIG_METADATA!$B$4)*(COUNTIF(CONFIG_ASIGNATURAS!$B$7:$B$27,DATOS!$I$2:$I$20000)&gt;0)*(DATOS!$K$2:$K$20000))/SUMPRODUCT((DATOS!$A$2:$A$20000=A972)*(DATOS!$G$2:$G$20000=CONFIG_METADATA!$B$4)*(COUNTIF(CONFIG_ASIGNATURAS!$B$7:$B$27,DATOS!$I$2:$I$20000)&gt;0)*1),"")))</f>
        <v/>
      </c>
      <c r="H972" t="str">
        <f>IF(G972="","",IF(G972="[FÓRMULA MANUAL]","",IFERROR(AVERAGEIFS(DATOS!$K$2:$K$20000,DATOS!$A$2:$A$20000,G972,DATOS!$G$2:$G$20000,CONFIG_METADATA!$B$4,DATOS!$I$2:$I$20000,"Lenguaje Musical"),"")))</f>
        <v/>
      </c>
      <c r="I972" t="str">
        <f>IF(G972="","",IF(G972="[FÓRMULA MANUAL]","",IFERROR(AVERAGEIFS(DATOS!$K$2:$K$20000,DATOS!$A$2:$A$20000,G972,DATOS!$G$2:$G$20000,CONFIG_METADATA!$B$4,DATOS!$I$2:$I$20000,"Orquesta/Banda/Conjunto"),"")))</f>
        <v/>
      </c>
      <c r="J972" t="str">
        <f>IF(G972="","",IF(G972="[FÓRMULA MANUAL]","",IFERROR(AVERAGEIFS(DATOS!$K$2:$K$20000,DATOS!$A$2:$A$20000,G972,DATOS!$G$2:$G$20000,CONFIG_METADATA!$B$4,DATOS!$I$2:$I$20000,"Conjunto"),"")))</f>
        <v/>
      </c>
      <c r="K972" t="str">
        <f>IF(G972="","",IF(G972="[FÓRMULA MANUAL]","",IFERROR(SUMPRODUCT((DATOS!$A$2:$A$20000=G972)*(DATOS!$G$2:$G$20000=CONFIG_METADATA!$B$4)*(COUNTIF(CONFIG_ASIGNATURAS!$B$7:$B$27,DATOS!$I$2:$I$20000)&gt;0)*(DATOS!$K$2:$K$20000))/SUMPRODUCT((DATOS!$A$2:$A$20000=G972)*(DATOS!$G$2:$G$20000=CONFIG_METADATA!$B$4)*(COUNTIF(CONFIG_ASIGNATURAS!$B$7:$B$27,DATOS!$I$2:$I$20000)&gt;0)*1),"")))</f>
        <v/>
      </c>
      <c r="N972" t="str">
        <f>IF(M972="","",IF(M972="[FÓRMULA MANUAL]","",IFERROR(AVERAGEIFS(DATOS!$K$2:$K$20000,DATOS!$A$2:$A$20000,M972,DATOS!$G$2:$G$20000,CONFIG_METADATA!$B$4,DATOS!$I$2:$I$20000,"Armonía"),"")))</f>
        <v/>
      </c>
      <c r="O972" t="str">
        <f>IF(M972="","",IF(M972="[FÓRMULA MANUAL]","",IFERROR(AVERAGEIFS(DATOS!$K$2:$K$20000,DATOS!$A$2:$A$20000,M972,DATOS!$G$2:$G$20000,CONFIG_METADATA!$B$4,DATOS!$I$2:$I$20000,"Orquesta/Banda/Conjunto"),"")))</f>
        <v/>
      </c>
      <c r="P972" t="str">
        <f>IF(M972="","",IF(M972="[FÓRMULA MANUAL]","",IFERROR(AVERAGEIFS(DATOS!$K$2:$K$20000,DATOS!$A$2:$A$20000,M972,DATOS!$G$2:$G$20000,CONFIG_METADATA!$B$4,DATOS!$I$2:$I$20000,"Música de Cámara"),"")))</f>
        <v/>
      </c>
      <c r="Q972" t="str">
        <f>IF(M972="","",IF(M972="[FÓRMULA MANUAL]","",IFERROR(SUMPRODUCT((DATOS!$A$2:$A$20000=M972)*(DATOS!$G$2:$G$20000=CONFIG_METADATA!$B$4)*(COUNTIF(CONFIG_ASIGNATURAS!$B$7:$B$27,DATOS!$I$2:$I$20000)&gt;0)*(DATOS!$K$2:$K$20000))/SUMPRODUCT((DATOS!$A$2:$A$20000=M972)*(DATOS!$G$2:$G$20000=CONFIG_METADATA!$B$4)*(COUNTIF(CONFIG_ASIGNATURAS!$B$7:$B$27,DATOS!$I$2:$I$20000)&gt;0)*1),"")))</f>
        <v/>
      </c>
      <c r="T972" t="str">
        <f>IF(S972="","",IF(S972="[FÓRMULA MANUAL]","",IFERROR(AVERAGEIFS(DATOS!$K$2:$K$20000,DATOS!$A$2:$A$20000,S972,DATOS!$G$2:$G$20000,CONFIG_METADATA!$B$4,DATOS!$I$2:$I$20000,"Armonía"),"")))</f>
        <v/>
      </c>
      <c r="U972" t="str">
        <f>IF(S972="","",IF(S972="[FÓRMULA MANUAL]","",IFERROR(AVERAGEIFS(DATOS!$K$2:$K$20000,DATOS!$A$2:$A$20000,S972,DATOS!$G$2:$G$20000,CONFIG_METADATA!$B$4,DATOS!$I$2:$I$20000,"Orquesta/Banda/Conjunto"),"")))</f>
        <v/>
      </c>
      <c r="V972" t="str">
        <f>IF(S972="","",IF(S972="[FÓRMULA MANUAL]","",IFERROR(AVERAGEIFS(DATOS!$K$2:$K$20000,DATOS!$A$2:$A$20000,S972,DATOS!$G$2:$G$20000,CONFIG_METADATA!$B$4,DATOS!$I$2:$I$20000,"Música de Cámara"),"")))</f>
        <v/>
      </c>
      <c r="W972" t="str">
        <f>IF(S972="","",IF(S972="[FÓRMULA MANUAL]","",IFERROR(SUMPRODUCT((DATOS!$A$2:$A$20000=S972)*(DATOS!$G$2:$G$20000=CONFIG_METADATA!$B$4)*(COUNTIF(CONFIG_ASIGNATURAS!$B$7:$B$27,DATOS!$I$2:$I$20000)&gt;0)*(DATOS!$K$2:$K$20000))/SUMPRODUCT((DATOS!$A$2:$A$20000=S972)*(DATOS!$G$2:$G$20000=CONFIG_METADATA!$B$4)*(COUNTIF(CONFIG_ASIGNATURAS!$B$7:$B$27,DATOS!$I$2:$I$20000)&gt;0)*1),"")))</f>
        <v/>
      </c>
      <c r="Z972" t="str">
        <f>IF(Y972="","",IF(Y972="[FÓRMULA MANUAL]","",IFERROR(AVERAGEIFS(DATOS!$K$2:$K$20000,DATOS!$A$2:$A$20000,Y972,DATOS!$G$2:$G$20000,CONFIG_METADATA!$B$4,DATOS!$I$2:$I$20000,"Análisis"),"")))</f>
        <v/>
      </c>
      <c r="AA972" t="str">
        <f>IF(Y972="","",IF(Y972="[FÓRMULA MANUAL]","",IFERROR(AVERAGEIFS(DATOS!$K$2:$K$20000,DATOS!$A$2:$A$20000,Y972,DATOS!$G$2:$G$20000,CONFIG_METADATA!$B$4,DATOS!$I$2:$I$20000,"Orquesta/Banda/Conjunto"),"")))</f>
        <v/>
      </c>
      <c r="AB972" t="str">
        <f>IF(Y972="","",IF(Y972="[FÓRMULA MANUAL]","",IFERROR(AVERAGEIFS(DATOS!$K$2:$K$20000,DATOS!$A$2:$A$20000,Y972,DATOS!$G$2:$G$20000,CONFIG_METADATA!$B$4,DATOS!$I$2:$I$20000,"Música de Cámara"),"")))</f>
        <v/>
      </c>
      <c r="AC972" t="str">
        <f>IF(Y972="","",IF(Y972="[FÓRMULA MANUAL]","",IFERROR(SUMPRODUCT((DATOS!$A$2:$A$20000=Y972)*(DATOS!$G$2:$G$20000=CONFIG_METADATA!$B$4)*(COUNTIF(CONFIG_ASIGNATURAS!$B$7:$B$27,DATOS!$I$2:$I$20000)&gt;0)*(DATOS!$K$2:$K$20000))/SUMPRODUCT((DATOS!$A$2:$A$20000=Y972)*(DATOS!$G$2:$G$20000=CONFIG_METADATA!$B$4)*(COUNTIF(CONFIG_ASIGNATURAS!$B$7:$B$27,DATOS!$I$2:$I$20000)&gt;0)*1),"")))</f>
        <v/>
      </c>
      <c r="AF972" t="str">
        <f>IF(AE972="","",IF(AE972="[FÓRMULA MANUAL]","",IFERROR(AVERAGEIFS(DATOS!$K$2:$K$20000,DATOS!$A$2:$A$20000,AE972,DATOS!$G$2:$G$20000,CONFIG_METADATA!$B$4,DATOS!$I$2:$I$20000,"Análisis"),"")))</f>
        <v/>
      </c>
      <c r="AG972" t="str">
        <f>IF(AE972="","",IF(AE972="[FÓRMULA MANUAL]","",IFERROR(AVERAGEIFS(DATOS!$K$2:$K$20000,DATOS!$A$2:$A$20000,AE972,DATOS!$G$2:$G$20000,CONFIG_METADATA!$B$4,DATOS!$I$2:$I$20000,"Orquesta/Banda/Conjunto"),"")))</f>
        <v/>
      </c>
      <c r="AH972" t="str">
        <f>IF(AE972="","",IF(AE972="[FÓRMULA MANUAL]","",IFERROR(AVERAGEIFS(DATOS!$K$2:$K$20000,DATOS!$A$2:$A$20000,AE972,DATOS!$G$2:$G$20000,CONFIG_METADATA!$B$4,DATOS!$I$2:$I$20000,"Música de Cámara"),"")))</f>
        <v/>
      </c>
      <c r="AI972" t="str">
        <f>IF(AE972="","",IF(AE972="[FÓRMULA MANUAL]","",IFERROR(SUMPRODUCT((DATOS!$A$2:$A$20000=AE972)*(DATOS!$G$2:$G$20000=CONFIG_METADATA!$B$4)*(COUNTIF(CONFIG_ASIGNATURAS!$B$7:$B$27,DATOS!$I$2:$I$20000)&gt;0)*(DATOS!$K$2:$K$20000))/SUMPRODUCT((DATOS!$A$2:$A$20000=AE972)*(DATOS!$G$2:$G$20000=CONFIG_METADATA!$B$4)*(COUNTIF(CONFIG_ASIGNATURAS!$B$7:$B$27,DATOS!$I$2:$I$20000)&gt;0)*1),"")))</f>
        <v/>
      </c>
    </row>
    <row r="973" spans="2:35" x14ac:dyDescent="0.2">
      <c r="B973" t="str">
        <f>IF(A973="","",IF(A973="[FÓRMULA MANUAL]","",IFERROR(AVERAGEIFS(DATOS!$K$2:$K$20000,DATOS!$A$2:$A$20000,A973,DATOS!$G$2:$G$20000,CONFIG_METADATA!$B$4,DATOS!$I$2:$I$20000,"Lenguaje Musical"),"")))</f>
        <v/>
      </c>
      <c r="C973" t="str">
        <f>IF(A973="","",IF(A973="[FÓRMULA MANUAL]","",IFERROR(AVERAGEIFS(DATOS!$K$2:$K$20000,DATOS!$A$2:$A$20000,A973,DATOS!$G$2:$G$20000,CONFIG_METADATA!$B$4,DATOS!$I$2:$I$20000,"Orquesta/Banda/Conjunto"),"")))</f>
        <v/>
      </c>
      <c r="D973" t="str">
        <f>IF(A973="","",IF(A973="[FÓRMULA MANUAL]","",IFERROR(AVERAGEIFS(DATOS!$K$2:$K$20000,DATOS!$A$2:$A$20000,A973,DATOS!$G$2:$G$20000,CONFIG_METADATA!$B$4,DATOS!$I$2:$I$20000,"Conjunto"),"")))</f>
        <v/>
      </c>
      <c r="E973" t="str">
        <f>IF(A973="","",IF(A973="[FÓRMULA MANUAL]","",IFERROR(SUMPRODUCT((DATOS!$A$2:$A$20000=A973)*(DATOS!$G$2:$G$20000=CONFIG_METADATA!$B$4)*(COUNTIF(CONFIG_ASIGNATURAS!$B$7:$B$27,DATOS!$I$2:$I$20000)&gt;0)*(DATOS!$K$2:$K$20000))/SUMPRODUCT((DATOS!$A$2:$A$20000=A973)*(DATOS!$G$2:$G$20000=CONFIG_METADATA!$B$4)*(COUNTIF(CONFIG_ASIGNATURAS!$B$7:$B$27,DATOS!$I$2:$I$20000)&gt;0)*1),"")))</f>
        <v/>
      </c>
      <c r="H973" t="str">
        <f>IF(G973="","",IF(G973="[FÓRMULA MANUAL]","",IFERROR(AVERAGEIFS(DATOS!$K$2:$K$20000,DATOS!$A$2:$A$20000,G973,DATOS!$G$2:$G$20000,CONFIG_METADATA!$B$4,DATOS!$I$2:$I$20000,"Lenguaje Musical"),"")))</f>
        <v/>
      </c>
      <c r="I973" t="str">
        <f>IF(G973="","",IF(G973="[FÓRMULA MANUAL]","",IFERROR(AVERAGEIFS(DATOS!$K$2:$K$20000,DATOS!$A$2:$A$20000,G973,DATOS!$G$2:$G$20000,CONFIG_METADATA!$B$4,DATOS!$I$2:$I$20000,"Orquesta/Banda/Conjunto"),"")))</f>
        <v/>
      </c>
      <c r="J973" t="str">
        <f>IF(G973="","",IF(G973="[FÓRMULA MANUAL]","",IFERROR(AVERAGEIFS(DATOS!$K$2:$K$20000,DATOS!$A$2:$A$20000,G973,DATOS!$G$2:$G$20000,CONFIG_METADATA!$B$4,DATOS!$I$2:$I$20000,"Conjunto"),"")))</f>
        <v/>
      </c>
      <c r="K973" t="str">
        <f>IF(G973="","",IF(G973="[FÓRMULA MANUAL]","",IFERROR(SUMPRODUCT((DATOS!$A$2:$A$20000=G973)*(DATOS!$G$2:$G$20000=CONFIG_METADATA!$B$4)*(COUNTIF(CONFIG_ASIGNATURAS!$B$7:$B$27,DATOS!$I$2:$I$20000)&gt;0)*(DATOS!$K$2:$K$20000))/SUMPRODUCT((DATOS!$A$2:$A$20000=G973)*(DATOS!$G$2:$G$20000=CONFIG_METADATA!$B$4)*(COUNTIF(CONFIG_ASIGNATURAS!$B$7:$B$27,DATOS!$I$2:$I$20000)&gt;0)*1),"")))</f>
        <v/>
      </c>
      <c r="N973" t="str">
        <f>IF(M973="","",IF(M973="[FÓRMULA MANUAL]","",IFERROR(AVERAGEIFS(DATOS!$K$2:$K$20000,DATOS!$A$2:$A$20000,M973,DATOS!$G$2:$G$20000,CONFIG_METADATA!$B$4,DATOS!$I$2:$I$20000,"Armonía"),"")))</f>
        <v/>
      </c>
      <c r="O973" t="str">
        <f>IF(M973="","",IF(M973="[FÓRMULA MANUAL]","",IFERROR(AVERAGEIFS(DATOS!$K$2:$K$20000,DATOS!$A$2:$A$20000,M973,DATOS!$G$2:$G$20000,CONFIG_METADATA!$B$4,DATOS!$I$2:$I$20000,"Orquesta/Banda/Conjunto"),"")))</f>
        <v/>
      </c>
      <c r="P973" t="str">
        <f>IF(M973="","",IF(M973="[FÓRMULA MANUAL]","",IFERROR(AVERAGEIFS(DATOS!$K$2:$K$20000,DATOS!$A$2:$A$20000,M973,DATOS!$G$2:$G$20000,CONFIG_METADATA!$B$4,DATOS!$I$2:$I$20000,"Música de Cámara"),"")))</f>
        <v/>
      </c>
      <c r="Q973" t="str">
        <f>IF(M973="","",IF(M973="[FÓRMULA MANUAL]","",IFERROR(SUMPRODUCT((DATOS!$A$2:$A$20000=M973)*(DATOS!$G$2:$G$20000=CONFIG_METADATA!$B$4)*(COUNTIF(CONFIG_ASIGNATURAS!$B$7:$B$27,DATOS!$I$2:$I$20000)&gt;0)*(DATOS!$K$2:$K$20000))/SUMPRODUCT((DATOS!$A$2:$A$20000=M973)*(DATOS!$G$2:$G$20000=CONFIG_METADATA!$B$4)*(COUNTIF(CONFIG_ASIGNATURAS!$B$7:$B$27,DATOS!$I$2:$I$20000)&gt;0)*1),"")))</f>
        <v/>
      </c>
      <c r="T973" t="str">
        <f>IF(S973="","",IF(S973="[FÓRMULA MANUAL]","",IFERROR(AVERAGEIFS(DATOS!$K$2:$K$20000,DATOS!$A$2:$A$20000,S973,DATOS!$G$2:$G$20000,CONFIG_METADATA!$B$4,DATOS!$I$2:$I$20000,"Armonía"),"")))</f>
        <v/>
      </c>
      <c r="U973" t="str">
        <f>IF(S973="","",IF(S973="[FÓRMULA MANUAL]","",IFERROR(AVERAGEIFS(DATOS!$K$2:$K$20000,DATOS!$A$2:$A$20000,S973,DATOS!$G$2:$G$20000,CONFIG_METADATA!$B$4,DATOS!$I$2:$I$20000,"Orquesta/Banda/Conjunto"),"")))</f>
        <v/>
      </c>
      <c r="V973" t="str">
        <f>IF(S973="","",IF(S973="[FÓRMULA MANUAL]","",IFERROR(AVERAGEIFS(DATOS!$K$2:$K$20000,DATOS!$A$2:$A$20000,S973,DATOS!$G$2:$G$20000,CONFIG_METADATA!$B$4,DATOS!$I$2:$I$20000,"Música de Cámara"),"")))</f>
        <v/>
      </c>
      <c r="W973" t="str">
        <f>IF(S973="","",IF(S973="[FÓRMULA MANUAL]","",IFERROR(SUMPRODUCT((DATOS!$A$2:$A$20000=S973)*(DATOS!$G$2:$G$20000=CONFIG_METADATA!$B$4)*(COUNTIF(CONFIG_ASIGNATURAS!$B$7:$B$27,DATOS!$I$2:$I$20000)&gt;0)*(DATOS!$K$2:$K$20000))/SUMPRODUCT((DATOS!$A$2:$A$20000=S973)*(DATOS!$G$2:$G$20000=CONFIG_METADATA!$B$4)*(COUNTIF(CONFIG_ASIGNATURAS!$B$7:$B$27,DATOS!$I$2:$I$20000)&gt;0)*1),"")))</f>
        <v/>
      </c>
      <c r="Z973" t="str">
        <f>IF(Y973="","",IF(Y973="[FÓRMULA MANUAL]","",IFERROR(AVERAGEIFS(DATOS!$K$2:$K$20000,DATOS!$A$2:$A$20000,Y973,DATOS!$G$2:$G$20000,CONFIG_METADATA!$B$4,DATOS!$I$2:$I$20000,"Análisis"),"")))</f>
        <v/>
      </c>
      <c r="AA973" t="str">
        <f>IF(Y973="","",IF(Y973="[FÓRMULA MANUAL]","",IFERROR(AVERAGEIFS(DATOS!$K$2:$K$20000,DATOS!$A$2:$A$20000,Y973,DATOS!$G$2:$G$20000,CONFIG_METADATA!$B$4,DATOS!$I$2:$I$20000,"Orquesta/Banda/Conjunto"),"")))</f>
        <v/>
      </c>
      <c r="AB973" t="str">
        <f>IF(Y973="","",IF(Y973="[FÓRMULA MANUAL]","",IFERROR(AVERAGEIFS(DATOS!$K$2:$K$20000,DATOS!$A$2:$A$20000,Y973,DATOS!$G$2:$G$20000,CONFIG_METADATA!$B$4,DATOS!$I$2:$I$20000,"Música de Cámara"),"")))</f>
        <v/>
      </c>
      <c r="AC973" t="str">
        <f>IF(Y973="","",IF(Y973="[FÓRMULA MANUAL]","",IFERROR(SUMPRODUCT((DATOS!$A$2:$A$20000=Y973)*(DATOS!$G$2:$G$20000=CONFIG_METADATA!$B$4)*(COUNTIF(CONFIG_ASIGNATURAS!$B$7:$B$27,DATOS!$I$2:$I$20000)&gt;0)*(DATOS!$K$2:$K$20000))/SUMPRODUCT((DATOS!$A$2:$A$20000=Y973)*(DATOS!$G$2:$G$20000=CONFIG_METADATA!$B$4)*(COUNTIF(CONFIG_ASIGNATURAS!$B$7:$B$27,DATOS!$I$2:$I$20000)&gt;0)*1),"")))</f>
        <v/>
      </c>
      <c r="AF973" t="str">
        <f>IF(AE973="","",IF(AE973="[FÓRMULA MANUAL]","",IFERROR(AVERAGEIFS(DATOS!$K$2:$K$20000,DATOS!$A$2:$A$20000,AE973,DATOS!$G$2:$G$20000,CONFIG_METADATA!$B$4,DATOS!$I$2:$I$20000,"Análisis"),"")))</f>
        <v/>
      </c>
      <c r="AG973" t="str">
        <f>IF(AE973="","",IF(AE973="[FÓRMULA MANUAL]","",IFERROR(AVERAGEIFS(DATOS!$K$2:$K$20000,DATOS!$A$2:$A$20000,AE973,DATOS!$G$2:$G$20000,CONFIG_METADATA!$B$4,DATOS!$I$2:$I$20000,"Orquesta/Banda/Conjunto"),"")))</f>
        <v/>
      </c>
      <c r="AH973" t="str">
        <f>IF(AE973="","",IF(AE973="[FÓRMULA MANUAL]","",IFERROR(AVERAGEIFS(DATOS!$K$2:$K$20000,DATOS!$A$2:$A$20000,AE973,DATOS!$G$2:$G$20000,CONFIG_METADATA!$B$4,DATOS!$I$2:$I$20000,"Música de Cámara"),"")))</f>
        <v/>
      </c>
      <c r="AI973" t="str">
        <f>IF(AE973="","",IF(AE973="[FÓRMULA MANUAL]","",IFERROR(SUMPRODUCT((DATOS!$A$2:$A$20000=AE973)*(DATOS!$G$2:$G$20000=CONFIG_METADATA!$B$4)*(COUNTIF(CONFIG_ASIGNATURAS!$B$7:$B$27,DATOS!$I$2:$I$20000)&gt;0)*(DATOS!$K$2:$K$20000))/SUMPRODUCT((DATOS!$A$2:$A$20000=AE973)*(DATOS!$G$2:$G$20000=CONFIG_METADATA!$B$4)*(COUNTIF(CONFIG_ASIGNATURAS!$B$7:$B$27,DATOS!$I$2:$I$20000)&gt;0)*1),"")))</f>
        <v/>
      </c>
    </row>
    <row r="974" spans="2:35" x14ac:dyDescent="0.2">
      <c r="B974" t="str">
        <f>IF(A974="","",IF(A974="[FÓRMULA MANUAL]","",IFERROR(AVERAGEIFS(DATOS!$K$2:$K$20000,DATOS!$A$2:$A$20000,A974,DATOS!$G$2:$G$20000,CONFIG_METADATA!$B$4,DATOS!$I$2:$I$20000,"Lenguaje Musical"),"")))</f>
        <v/>
      </c>
      <c r="C974" t="str">
        <f>IF(A974="","",IF(A974="[FÓRMULA MANUAL]","",IFERROR(AVERAGEIFS(DATOS!$K$2:$K$20000,DATOS!$A$2:$A$20000,A974,DATOS!$G$2:$G$20000,CONFIG_METADATA!$B$4,DATOS!$I$2:$I$20000,"Orquesta/Banda/Conjunto"),"")))</f>
        <v/>
      </c>
      <c r="D974" t="str">
        <f>IF(A974="","",IF(A974="[FÓRMULA MANUAL]","",IFERROR(AVERAGEIFS(DATOS!$K$2:$K$20000,DATOS!$A$2:$A$20000,A974,DATOS!$G$2:$G$20000,CONFIG_METADATA!$B$4,DATOS!$I$2:$I$20000,"Conjunto"),"")))</f>
        <v/>
      </c>
      <c r="E974" t="str">
        <f>IF(A974="","",IF(A974="[FÓRMULA MANUAL]","",IFERROR(SUMPRODUCT((DATOS!$A$2:$A$20000=A974)*(DATOS!$G$2:$G$20000=CONFIG_METADATA!$B$4)*(COUNTIF(CONFIG_ASIGNATURAS!$B$7:$B$27,DATOS!$I$2:$I$20000)&gt;0)*(DATOS!$K$2:$K$20000))/SUMPRODUCT((DATOS!$A$2:$A$20000=A974)*(DATOS!$G$2:$G$20000=CONFIG_METADATA!$B$4)*(COUNTIF(CONFIG_ASIGNATURAS!$B$7:$B$27,DATOS!$I$2:$I$20000)&gt;0)*1),"")))</f>
        <v/>
      </c>
      <c r="H974" t="str">
        <f>IF(G974="","",IF(G974="[FÓRMULA MANUAL]","",IFERROR(AVERAGEIFS(DATOS!$K$2:$K$20000,DATOS!$A$2:$A$20000,G974,DATOS!$G$2:$G$20000,CONFIG_METADATA!$B$4,DATOS!$I$2:$I$20000,"Lenguaje Musical"),"")))</f>
        <v/>
      </c>
      <c r="I974" t="str">
        <f>IF(G974="","",IF(G974="[FÓRMULA MANUAL]","",IFERROR(AVERAGEIFS(DATOS!$K$2:$K$20000,DATOS!$A$2:$A$20000,G974,DATOS!$G$2:$G$20000,CONFIG_METADATA!$B$4,DATOS!$I$2:$I$20000,"Orquesta/Banda/Conjunto"),"")))</f>
        <v/>
      </c>
      <c r="J974" t="str">
        <f>IF(G974="","",IF(G974="[FÓRMULA MANUAL]","",IFERROR(AVERAGEIFS(DATOS!$K$2:$K$20000,DATOS!$A$2:$A$20000,G974,DATOS!$G$2:$G$20000,CONFIG_METADATA!$B$4,DATOS!$I$2:$I$20000,"Conjunto"),"")))</f>
        <v/>
      </c>
      <c r="K974" t="str">
        <f>IF(G974="","",IF(G974="[FÓRMULA MANUAL]","",IFERROR(SUMPRODUCT((DATOS!$A$2:$A$20000=G974)*(DATOS!$G$2:$G$20000=CONFIG_METADATA!$B$4)*(COUNTIF(CONFIG_ASIGNATURAS!$B$7:$B$27,DATOS!$I$2:$I$20000)&gt;0)*(DATOS!$K$2:$K$20000))/SUMPRODUCT((DATOS!$A$2:$A$20000=G974)*(DATOS!$G$2:$G$20000=CONFIG_METADATA!$B$4)*(COUNTIF(CONFIG_ASIGNATURAS!$B$7:$B$27,DATOS!$I$2:$I$20000)&gt;0)*1),"")))</f>
        <v/>
      </c>
      <c r="N974" t="str">
        <f>IF(M974="","",IF(M974="[FÓRMULA MANUAL]","",IFERROR(AVERAGEIFS(DATOS!$K$2:$K$20000,DATOS!$A$2:$A$20000,M974,DATOS!$G$2:$G$20000,CONFIG_METADATA!$B$4,DATOS!$I$2:$I$20000,"Armonía"),"")))</f>
        <v/>
      </c>
      <c r="O974" t="str">
        <f>IF(M974="","",IF(M974="[FÓRMULA MANUAL]","",IFERROR(AVERAGEIFS(DATOS!$K$2:$K$20000,DATOS!$A$2:$A$20000,M974,DATOS!$G$2:$G$20000,CONFIG_METADATA!$B$4,DATOS!$I$2:$I$20000,"Orquesta/Banda/Conjunto"),"")))</f>
        <v/>
      </c>
      <c r="P974" t="str">
        <f>IF(M974="","",IF(M974="[FÓRMULA MANUAL]","",IFERROR(AVERAGEIFS(DATOS!$K$2:$K$20000,DATOS!$A$2:$A$20000,M974,DATOS!$G$2:$G$20000,CONFIG_METADATA!$B$4,DATOS!$I$2:$I$20000,"Música de Cámara"),"")))</f>
        <v/>
      </c>
      <c r="Q974" t="str">
        <f>IF(M974="","",IF(M974="[FÓRMULA MANUAL]","",IFERROR(SUMPRODUCT((DATOS!$A$2:$A$20000=M974)*(DATOS!$G$2:$G$20000=CONFIG_METADATA!$B$4)*(COUNTIF(CONFIG_ASIGNATURAS!$B$7:$B$27,DATOS!$I$2:$I$20000)&gt;0)*(DATOS!$K$2:$K$20000))/SUMPRODUCT((DATOS!$A$2:$A$20000=M974)*(DATOS!$G$2:$G$20000=CONFIG_METADATA!$B$4)*(COUNTIF(CONFIG_ASIGNATURAS!$B$7:$B$27,DATOS!$I$2:$I$20000)&gt;0)*1),"")))</f>
        <v/>
      </c>
      <c r="T974" t="str">
        <f>IF(S974="","",IF(S974="[FÓRMULA MANUAL]","",IFERROR(AVERAGEIFS(DATOS!$K$2:$K$20000,DATOS!$A$2:$A$20000,S974,DATOS!$G$2:$G$20000,CONFIG_METADATA!$B$4,DATOS!$I$2:$I$20000,"Armonía"),"")))</f>
        <v/>
      </c>
      <c r="U974" t="str">
        <f>IF(S974="","",IF(S974="[FÓRMULA MANUAL]","",IFERROR(AVERAGEIFS(DATOS!$K$2:$K$20000,DATOS!$A$2:$A$20000,S974,DATOS!$G$2:$G$20000,CONFIG_METADATA!$B$4,DATOS!$I$2:$I$20000,"Orquesta/Banda/Conjunto"),"")))</f>
        <v/>
      </c>
      <c r="V974" t="str">
        <f>IF(S974="","",IF(S974="[FÓRMULA MANUAL]","",IFERROR(AVERAGEIFS(DATOS!$K$2:$K$20000,DATOS!$A$2:$A$20000,S974,DATOS!$G$2:$G$20000,CONFIG_METADATA!$B$4,DATOS!$I$2:$I$20000,"Música de Cámara"),"")))</f>
        <v/>
      </c>
      <c r="W974" t="str">
        <f>IF(S974="","",IF(S974="[FÓRMULA MANUAL]","",IFERROR(SUMPRODUCT((DATOS!$A$2:$A$20000=S974)*(DATOS!$G$2:$G$20000=CONFIG_METADATA!$B$4)*(COUNTIF(CONFIG_ASIGNATURAS!$B$7:$B$27,DATOS!$I$2:$I$20000)&gt;0)*(DATOS!$K$2:$K$20000))/SUMPRODUCT((DATOS!$A$2:$A$20000=S974)*(DATOS!$G$2:$G$20000=CONFIG_METADATA!$B$4)*(COUNTIF(CONFIG_ASIGNATURAS!$B$7:$B$27,DATOS!$I$2:$I$20000)&gt;0)*1),"")))</f>
        <v/>
      </c>
      <c r="Z974" t="str">
        <f>IF(Y974="","",IF(Y974="[FÓRMULA MANUAL]","",IFERROR(AVERAGEIFS(DATOS!$K$2:$K$20000,DATOS!$A$2:$A$20000,Y974,DATOS!$G$2:$G$20000,CONFIG_METADATA!$B$4,DATOS!$I$2:$I$20000,"Análisis"),"")))</f>
        <v/>
      </c>
      <c r="AA974" t="str">
        <f>IF(Y974="","",IF(Y974="[FÓRMULA MANUAL]","",IFERROR(AVERAGEIFS(DATOS!$K$2:$K$20000,DATOS!$A$2:$A$20000,Y974,DATOS!$G$2:$G$20000,CONFIG_METADATA!$B$4,DATOS!$I$2:$I$20000,"Orquesta/Banda/Conjunto"),"")))</f>
        <v/>
      </c>
      <c r="AB974" t="str">
        <f>IF(Y974="","",IF(Y974="[FÓRMULA MANUAL]","",IFERROR(AVERAGEIFS(DATOS!$K$2:$K$20000,DATOS!$A$2:$A$20000,Y974,DATOS!$G$2:$G$20000,CONFIG_METADATA!$B$4,DATOS!$I$2:$I$20000,"Música de Cámara"),"")))</f>
        <v/>
      </c>
      <c r="AC974" t="str">
        <f>IF(Y974="","",IF(Y974="[FÓRMULA MANUAL]","",IFERROR(SUMPRODUCT((DATOS!$A$2:$A$20000=Y974)*(DATOS!$G$2:$G$20000=CONFIG_METADATA!$B$4)*(COUNTIF(CONFIG_ASIGNATURAS!$B$7:$B$27,DATOS!$I$2:$I$20000)&gt;0)*(DATOS!$K$2:$K$20000))/SUMPRODUCT((DATOS!$A$2:$A$20000=Y974)*(DATOS!$G$2:$G$20000=CONFIG_METADATA!$B$4)*(COUNTIF(CONFIG_ASIGNATURAS!$B$7:$B$27,DATOS!$I$2:$I$20000)&gt;0)*1),"")))</f>
        <v/>
      </c>
      <c r="AF974" t="str">
        <f>IF(AE974="","",IF(AE974="[FÓRMULA MANUAL]","",IFERROR(AVERAGEIFS(DATOS!$K$2:$K$20000,DATOS!$A$2:$A$20000,AE974,DATOS!$G$2:$G$20000,CONFIG_METADATA!$B$4,DATOS!$I$2:$I$20000,"Análisis"),"")))</f>
        <v/>
      </c>
      <c r="AG974" t="str">
        <f>IF(AE974="","",IF(AE974="[FÓRMULA MANUAL]","",IFERROR(AVERAGEIFS(DATOS!$K$2:$K$20000,DATOS!$A$2:$A$20000,AE974,DATOS!$G$2:$G$20000,CONFIG_METADATA!$B$4,DATOS!$I$2:$I$20000,"Orquesta/Banda/Conjunto"),"")))</f>
        <v/>
      </c>
      <c r="AH974" t="str">
        <f>IF(AE974="","",IF(AE974="[FÓRMULA MANUAL]","",IFERROR(AVERAGEIFS(DATOS!$K$2:$K$20000,DATOS!$A$2:$A$20000,AE974,DATOS!$G$2:$G$20000,CONFIG_METADATA!$B$4,DATOS!$I$2:$I$20000,"Música de Cámara"),"")))</f>
        <v/>
      </c>
      <c r="AI974" t="str">
        <f>IF(AE974="","",IF(AE974="[FÓRMULA MANUAL]","",IFERROR(SUMPRODUCT((DATOS!$A$2:$A$20000=AE974)*(DATOS!$G$2:$G$20000=CONFIG_METADATA!$B$4)*(COUNTIF(CONFIG_ASIGNATURAS!$B$7:$B$27,DATOS!$I$2:$I$20000)&gt;0)*(DATOS!$K$2:$K$20000))/SUMPRODUCT((DATOS!$A$2:$A$20000=AE974)*(DATOS!$G$2:$G$20000=CONFIG_METADATA!$B$4)*(COUNTIF(CONFIG_ASIGNATURAS!$B$7:$B$27,DATOS!$I$2:$I$20000)&gt;0)*1),"")))</f>
        <v/>
      </c>
    </row>
    <row r="975" spans="2:35" x14ac:dyDescent="0.2">
      <c r="B975" t="str">
        <f>IF(A975="","",IF(A975="[FÓRMULA MANUAL]","",IFERROR(AVERAGEIFS(DATOS!$K$2:$K$20000,DATOS!$A$2:$A$20000,A975,DATOS!$G$2:$G$20000,CONFIG_METADATA!$B$4,DATOS!$I$2:$I$20000,"Lenguaje Musical"),"")))</f>
        <v/>
      </c>
      <c r="C975" t="str">
        <f>IF(A975="","",IF(A975="[FÓRMULA MANUAL]","",IFERROR(AVERAGEIFS(DATOS!$K$2:$K$20000,DATOS!$A$2:$A$20000,A975,DATOS!$G$2:$G$20000,CONFIG_METADATA!$B$4,DATOS!$I$2:$I$20000,"Orquesta/Banda/Conjunto"),"")))</f>
        <v/>
      </c>
      <c r="D975" t="str">
        <f>IF(A975="","",IF(A975="[FÓRMULA MANUAL]","",IFERROR(AVERAGEIFS(DATOS!$K$2:$K$20000,DATOS!$A$2:$A$20000,A975,DATOS!$G$2:$G$20000,CONFIG_METADATA!$B$4,DATOS!$I$2:$I$20000,"Conjunto"),"")))</f>
        <v/>
      </c>
      <c r="E975" t="str">
        <f>IF(A975="","",IF(A975="[FÓRMULA MANUAL]","",IFERROR(SUMPRODUCT((DATOS!$A$2:$A$20000=A975)*(DATOS!$G$2:$G$20000=CONFIG_METADATA!$B$4)*(COUNTIF(CONFIG_ASIGNATURAS!$B$7:$B$27,DATOS!$I$2:$I$20000)&gt;0)*(DATOS!$K$2:$K$20000))/SUMPRODUCT((DATOS!$A$2:$A$20000=A975)*(DATOS!$G$2:$G$20000=CONFIG_METADATA!$B$4)*(COUNTIF(CONFIG_ASIGNATURAS!$B$7:$B$27,DATOS!$I$2:$I$20000)&gt;0)*1),"")))</f>
        <v/>
      </c>
      <c r="H975" t="str">
        <f>IF(G975="","",IF(G975="[FÓRMULA MANUAL]","",IFERROR(AVERAGEIFS(DATOS!$K$2:$K$20000,DATOS!$A$2:$A$20000,G975,DATOS!$G$2:$G$20000,CONFIG_METADATA!$B$4,DATOS!$I$2:$I$20000,"Lenguaje Musical"),"")))</f>
        <v/>
      </c>
      <c r="I975" t="str">
        <f>IF(G975="","",IF(G975="[FÓRMULA MANUAL]","",IFERROR(AVERAGEIFS(DATOS!$K$2:$K$20000,DATOS!$A$2:$A$20000,G975,DATOS!$G$2:$G$20000,CONFIG_METADATA!$B$4,DATOS!$I$2:$I$20000,"Orquesta/Banda/Conjunto"),"")))</f>
        <v/>
      </c>
      <c r="J975" t="str">
        <f>IF(G975="","",IF(G975="[FÓRMULA MANUAL]","",IFERROR(AVERAGEIFS(DATOS!$K$2:$K$20000,DATOS!$A$2:$A$20000,G975,DATOS!$G$2:$G$20000,CONFIG_METADATA!$B$4,DATOS!$I$2:$I$20000,"Conjunto"),"")))</f>
        <v/>
      </c>
      <c r="K975" t="str">
        <f>IF(G975="","",IF(G975="[FÓRMULA MANUAL]","",IFERROR(SUMPRODUCT((DATOS!$A$2:$A$20000=G975)*(DATOS!$G$2:$G$20000=CONFIG_METADATA!$B$4)*(COUNTIF(CONFIG_ASIGNATURAS!$B$7:$B$27,DATOS!$I$2:$I$20000)&gt;0)*(DATOS!$K$2:$K$20000))/SUMPRODUCT((DATOS!$A$2:$A$20000=G975)*(DATOS!$G$2:$G$20000=CONFIG_METADATA!$B$4)*(COUNTIF(CONFIG_ASIGNATURAS!$B$7:$B$27,DATOS!$I$2:$I$20000)&gt;0)*1),"")))</f>
        <v/>
      </c>
      <c r="N975" t="str">
        <f>IF(M975="","",IF(M975="[FÓRMULA MANUAL]","",IFERROR(AVERAGEIFS(DATOS!$K$2:$K$20000,DATOS!$A$2:$A$20000,M975,DATOS!$G$2:$G$20000,CONFIG_METADATA!$B$4,DATOS!$I$2:$I$20000,"Armonía"),"")))</f>
        <v/>
      </c>
      <c r="O975" t="str">
        <f>IF(M975="","",IF(M975="[FÓRMULA MANUAL]","",IFERROR(AVERAGEIFS(DATOS!$K$2:$K$20000,DATOS!$A$2:$A$20000,M975,DATOS!$G$2:$G$20000,CONFIG_METADATA!$B$4,DATOS!$I$2:$I$20000,"Orquesta/Banda/Conjunto"),"")))</f>
        <v/>
      </c>
      <c r="P975" t="str">
        <f>IF(M975="","",IF(M975="[FÓRMULA MANUAL]","",IFERROR(AVERAGEIFS(DATOS!$K$2:$K$20000,DATOS!$A$2:$A$20000,M975,DATOS!$G$2:$G$20000,CONFIG_METADATA!$B$4,DATOS!$I$2:$I$20000,"Música de Cámara"),"")))</f>
        <v/>
      </c>
      <c r="Q975" t="str">
        <f>IF(M975="","",IF(M975="[FÓRMULA MANUAL]","",IFERROR(SUMPRODUCT((DATOS!$A$2:$A$20000=M975)*(DATOS!$G$2:$G$20000=CONFIG_METADATA!$B$4)*(COUNTIF(CONFIG_ASIGNATURAS!$B$7:$B$27,DATOS!$I$2:$I$20000)&gt;0)*(DATOS!$K$2:$K$20000))/SUMPRODUCT((DATOS!$A$2:$A$20000=M975)*(DATOS!$G$2:$G$20000=CONFIG_METADATA!$B$4)*(COUNTIF(CONFIG_ASIGNATURAS!$B$7:$B$27,DATOS!$I$2:$I$20000)&gt;0)*1),"")))</f>
        <v/>
      </c>
      <c r="T975" t="str">
        <f>IF(S975="","",IF(S975="[FÓRMULA MANUAL]","",IFERROR(AVERAGEIFS(DATOS!$K$2:$K$20000,DATOS!$A$2:$A$20000,S975,DATOS!$G$2:$G$20000,CONFIG_METADATA!$B$4,DATOS!$I$2:$I$20000,"Armonía"),"")))</f>
        <v/>
      </c>
      <c r="U975" t="str">
        <f>IF(S975="","",IF(S975="[FÓRMULA MANUAL]","",IFERROR(AVERAGEIFS(DATOS!$K$2:$K$20000,DATOS!$A$2:$A$20000,S975,DATOS!$G$2:$G$20000,CONFIG_METADATA!$B$4,DATOS!$I$2:$I$20000,"Orquesta/Banda/Conjunto"),"")))</f>
        <v/>
      </c>
      <c r="V975" t="str">
        <f>IF(S975="","",IF(S975="[FÓRMULA MANUAL]","",IFERROR(AVERAGEIFS(DATOS!$K$2:$K$20000,DATOS!$A$2:$A$20000,S975,DATOS!$G$2:$G$20000,CONFIG_METADATA!$B$4,DATOS!$I$2:$I$20000,"Música de Cámara"),"")))</f>
        <v/>
      </c>
      <c r="W975" t="str">
        <f>IF(S975="","",IF(S975="[FÓRMULA MANUAL]","",IFERROR(SUMPRODUCT((DATOS!$A$2:$A$20000=S975)*(DATOS!$G$2:$G$20000=CONFIG_METADATA!$B$4)*(COUNTIF(CONFIG_ASIGNATURAS!$B$7:$B$27,DATOS!$I$2:$I$20000)&gt;0)*(DATOS!$K$2:$K$20000))/SUMPRODUCT((DATOS!$A$2:$A$20000=S975)*(DATOS!$G$2:$G$20000=CONFIG_METADATA!$B$4)*(COUNTIF(CONFIG_ASIGNATURAS!$B$7:$B$27,DATOS!$I$2:$I$20000)&gt;0)*1),"")))</f>
        <v/>
      </c>
      <c r="Z975" t="str">
        <f>IF(Y975="","",IF(Y975="[FÓRMULA MANUAL]","",IFERROR(AVERAGEIFS(DATOS!$K$2:$K$20000,DATOS!$A$2:$A$20000,Y975,DATOS!$G$2:$G$20000,CONFIG_METADATA!$B$4,DATOS!$I$2:$I$20000,"Análisis"),"")))</f>
        <v/>
      </c>
      <c r="AA975" t="str">
        <f>IF(Y975="","",IF(Y975="[FÓRMULA MANUAL]","",IFERROR(AVERAGEIFS(DATOS!$K$2:$K$20000,DATOS!$A$2:$A$20000,Y975,DATOS!$G$2:$G$20000,CONFIG_METADATA!$B$4,DATOS!$I$2:$I$20000,"Orquesta/Banda/Conjunto"),"")))</f>
        <v/>
      </c>
      <c r="AB975" t="str">
        <f>IF(Y975="","",IF(Y975="[FÓRMULA MANUAL]","",IFERROR(AVERAGEIFS(DATOS!$K$2:$K$20000,DATOS!$A$2:$A$20000,Y975,DATOS!$G$2:$G$20000,CONFIG_METADATA!$B$4,DATOS!$I$2:$I$20000,"Música de Cámara"),"")))</f>
        <v/>
      </c>
      <c r="AC975" t="str">
        <f>IF(Y975="","",IF(Y975="[FÓRMULA MANUAL]","",IFERROR(SUMPRODUCT((DATOS!$A$2:$A$20000=Y975)*(DATOS!$G$2:$G$20000=CONFIG_METADATA!$B$4)*(COUNTIF(CONFIG_ASIGNATURAS!$B$7:$B$27,DATOS!$I$2:$I$20000)&gt;0)*(DATOS!$K$2:$K$20000))/SUMPRODUCT((DATOS!$A$2:$A$20000=Y975)*(DATOS!$G$2:$G$20000=CONFIG_METADATA!$B$4)*(COUNTIF(CONFIG_ASIGNATURAS!$B$7:$B$27,DATOS!$I$2:$I$20000)&gt;0)*1),"")))</f>
        <v/>
      </c>
      <c r="AF975" t="str">
        <f>IF(AE975="","",IF(AE975="[FÓRMULA MANUAL]","",IFERROR(AVERAGEIFS(DATOS!$K$2:$K$20000,DATOS!$A$2:$A$20000,AE975,DATOS!$G$2:$G$20000,CONFIG_METADATA!$B$4,DATOS!$I$2:$I$20000,"Análisis"),"")))</f>
        <v/>
      </c>
      <c r="AG975" t="str">
        <f>IF(AE975="","",IF(AE975="[FÓRMULA MANUAL]","",IFERROR(AVERAGEIFS(DATOS!$K$2:$K$20000,DATOS!$A$2:$A$20000,AE975,DATOS!$G$2:$G$20000,CONFIG_METADATA!$B$4,DATOS!$I$2:$I$20000,"Orquesta/Banda/Conjunto"),"")))</f>
        <v/>
      </c>
      <c r="AH975" t="str">
        <f>IF(AE975="","",IF(AE975="[FÓRMULA MANUAL]","",IFERROR(AVERAGEIFS(DATOS!$K$2:$K$20000,DATOS!$A$2:$A$20000,AE975,DATOS!$G$2:$G$20000,CONFIG_METADATA!$B$4,DATOS!$I$2:$I$20000,"Música de Cámara"),"")))</f>
        <v/>
      </c>
      <c r="AI975" t="str">
        <f>IF(AE975="","",IF(AE975="[FÓRMULA MANUAL]","",IFERROR(SUMPRODUCT((DATOS!$A$2:$A$20000=AE975)*(DATOS!$G$2:$G$20000=CONFIG_METADATA!$B$4)*(COUNTIF(CONFIG_ASIGNATURAS!$B$7:$B$27,DATOS!$I$2:$I$20000)&gt;0)*(DATOS!$K$2:$K$20000))/SUMPRODUCT((DATOS!$A$2:$A$20000=AE975)*(DATOS!$G$2:$G$20000=CONFIG_METADATA!$B$4)*(COUNTIF(CONFIG_ASIGNATURAS!$B$7:$B$27,DATOS!$I$2:$I$20000)&gt;0)*1),"")))</f>
        <v/>
      </c>
    </row>
    <row r="976" spans="2:35" x14ac:dyDescent="0.2">
      <c r="B976" t="str">
        <f>IF(A976="","",IF(A976="[FÓRMULA MANUAL]","",IFERROR(AVERAGEIFS(DATOS!$K$2:$K$20000,DATOS!$A$2:$A$20000,A976,DATOS!$G$2:$G$20000,CONFIG_METADATA!$B$4,DATOS!$I$2:$I$20000,"Lenguaje Musical"),"")))</f>
        <v/>
      </c>
      <c r="C976" t="str">
        <f>IF(A976="","",IF(A976="[FÓRMULA MANUAL]","",IFERROR(AVERAGEIFS(DATOS!$K$2:$K$20000,DATOS!$A$2:$A$20000,A976,DATOS!$G$2:$G$20000,CONFIG_METADATA!$B$4,DATOS!$I$2:$I$20000,"Orquesta/Banda/Conjunto"),"")))</f>
        <v/>
      </c>
      <c r="D976" t="str">
        <f>IF(A976="","",IF(A976="[FÓRMULA MANUAL]","",IFERROR(AVERAGEIFS(DATOS!$K$2:$K$20000,DATOS!$A$2:$A$20000,A976,DATOS!$G$2:$G$20000,CONFIG_METADATA!$B$4,DATOS!$I$2:$I$20000,"Conjunto"),"")))</f>
        <v/>
      </c>
      <c r="E976" t="str">
        <f>IF(A976="","",IF(A976="[FÓRMULA MANUAL]","",IFERROR(SUMPRODUCT((DATOS!$A$2:$A$20000=A976)*(DATOS!$G$2:$G$20000=CONFIG_METADATA!$B$4)*(COUNTIF(CONFIG_ASIGNATURAS!$B$7:$B$27,DATOS!$I$2:$I$20000)&gt;0)*(DATOS!$K$2:$K$20000))/SUMPRODUCT((DATOS!$A$2:$A$20000=A976)*(DATOS!$G$2:$G$20000=CONFIG_METADATA!$B$4)*(COUNTIF(CONFIG_ASIGNATURAS!$B$7:$B$27,DATOS!$I$2:$I$20000)&gt;0)*1),"")))</f>
        <v/>
      </c>
      <c r="H976" t="str">
        <f>IF(G976="","",IF(G976="[FÓRMULA MANUAL]","",IFERROR(AVERAGEIFS(DATOS!$K$2:$K$20000,DATOS!$A$2:$A$20000,G976,DATOS!$G$2:$G$20000,CONFIG_METADATA!$B$4,DATOS!$I$2:$I$20000,"Lenguaje Musical"),"")))</f>
        <v/>
      </c>
      <c r="I976" t="str">
        <f>IF(G976="","",IF(G976="[FÓRMULA MANUAL]","",IFERROR(AVERAGEIFS(DATOS!$K$2:$K$20000,DATOS!$A$2:$A$20000,G976,DATOS!$G$2:$G$20000,CONFIG_METADATA!$B$4,DATOS!$I$2:$I$20000,"Orquesta/Banda/Conjunto"),"")))</f>
        <v/>
      </c>
      <c r="J976" t="str">
        <f>IF(G976="","",IF(G976="[FÓRMULA MANUAL]","",IFERROR(AVERAGEIFS(DATOS!$K$2:$K$20000,DATOS!$A$2:$A$20000,G976,DATOS!$G$2:$G$20000,CONFIG_METADATA!$B$4,DATOS!$I$2:$I$20000,"Conjunto"),"")))</f>
        <v/>
      </c>
      <c r="K976" t="str">
        <f>IF(G976="","",IF(G976="[FÓRMULA MANUAL]","",IFERROR(SUMPRODUCT((DATOS!$A$2:$A$20000=G976)*(DATOS!$G$2:$G$20000=CONFIG_METADATA!$B$4)*(COUNTIF(CONFIG_ASIGNATURAS!$B$7:$B$27,DATOS!$I$2:$I$20000)&gt;0)*(DATOS!$K$2:$K$20000))/SUMPRODUCT((DATOS!$A$2:$A$20000=G976)*(DATOS!$G$2:$G$20000=CONFIG_METADATA!$B$4)*(COUNTIF(CONFIG_ASIGNATURAS!$B$7:$B$27,DATOS!$I$2:$I$20000)&gt;0)*1),"")))</f>
        <v/>
      </c>
      <c r="N976" t="str">
        <f>IF(M976="","",IF(M976="[FÓRMULA MANUAL]","",IFERROR(AVERAGEIFS(DATOS!$K$2:$K$20000,DATOS!$A$2:$A$20000,M976,DATOS!$G$2:$G$20000,CONFIG_METADATA!$B$4,DATOS!$I$2:$I$20000,"Armonía"),"")))</f>
        <v/>
      </c>
      <c r="O976" t="str">
        <f>IF(M976="","",IF(M976="[FÓRMULA MANUAL]","",IFERROR(AVERAGEIFS(DATOS!$K$2:$K$20000,DATOS!$A$2:$A$20000,M976,DATOS!$G$2:$G$20000,CONFIG_METADATA!$B$4,DATOS!$I$2:$I$20000,"Orquesta/Banda/Conjunto"),"")))</f>
        <v/>
      </c>
      <c r="P976" t="str">
        <f>IF(M976="","",IF(M976="[FÓRMULA MANUAL]","",IFERROR(AVERAGEIFS(DATOS!$K$2:$K$20000,DATOS!$A$2:$A$20000,M976,DATOS!$G$2:$G$20000,CONFIG_METADATA!$B$4,DATOS!$I$2:$I$20000,"Música de Cámara"),"")))</f>
        <v/>
      </c>
      <c r="Q976" t="str">
        <f>IF(M976="","",IF(M976="[FÓRMULA MANUAL]","",IFERROR(SUMPRODUCT((DATOS!$A$2:$A$20000=M976)*(DATOS!$G$2:$G$20000=CONFIG_METADATA!$B$4)*(COUNTIF(CONFIG_ASIGNATURAS!$B$7:$B$27,DATOS!$I$2:$I$20000)&gt;0)*(DATOS!$K$2:$K$20000))/SUMPRODUCT((DATOS!$A$2:$A$20000=M976)*(DATOS!$G$2:$G$20000=CONFIG_METADATA!$B$4)*(COUNTIF(CONFIG_ASIGNATURAS!$B$7:$B$27,DATOS!$I$2:$I$20000)&gt;0)*1),"")))</f>
        <v/>
      </c>
      <c r="T976" t="str">
        <f>IF(S976="","",IF(S976="[FÓRMULA MANUAL]","",IFERROR(AVERAGEIFS(DATOS!$K$2:$K$20000,DATOS!$A$2:$A$20000,S976,DATOS!$G$2:$G$20000,CONFIG_METADATA!$B$4,DATOS!$I$2:$I$20000,"Armonía"),"")))</f>
        <v/>
      </c>
      <c r="U976" t="str">
        <f>IF(S976="","",IF(S976="[FÓRMULA MANUAL]","",IFERROR(AVERAGEIFS(DATOS!$K$2:$K$20000,DATOS!$A$2:$A$20000,S976,DATOS!$G$2:$G$20000,CONFIG_METADATA!$B$4,DATOS!$I$2:$I$20000,"Orquesta/Banda/Conjunto"),"")))</f>
        <v/>
      </c>
      <c r="V976" t="str">
        <f>IF(S976="","",IF(S976="[FÓRMULA MANUAL]","",IFERROR(AVERAGEIFS(DATOS!$K$2:$K$20000,DATOS!$A$2:$A$20000,S976,DATOS!$G$2:$G$20000,CONFIG_METADATA!$B$4,DATOS!$I$2:$I$20000,"Música de Cámara"),"")))</f>
        <v/>
      </c>
      <c r="W976" t="str">
        <f>IF(S976="","",IF(S976="[FÓRMULA MANUAL]","",IFERROR(SUMPRODUCT((DATOS!$A$2:$A$20000=S976)*(DATOS!$G$2:$G$20000=CONFIG_METADATA!$B$4)*(COUNTIF(CONFIG_ASIGNATURAS!$B$7:$B$27,DATOS!$I$2:$I$20000)&gt;0)*(DATOS!$K$2:$K$20000))/SUMPRODUCT((DATOS!$A$2:$A$20000=S976)*(DATOS!$G$2:$G$20000=CONFIG_METADATA!$B$4)*(COUNTIF(CONFIG_ASIGNATURAS!$B$7:$B$27,DATOS!$I$2:$I$20000)&gt;0)*1),"")))</f>
        <v/>
      </c>
      <c r="Z976" t="str">
        <f>IF(Y976="","",IF(Y976="[FÓRMULA MANUAL]","",IFERROR(AVERAGEIFS(DATOS!$K$2:$K$20000,DATOS!$A$2:$A$20000,Y976,DATOS!$G$2:$G$20000,CONFIG_METADATA!$B$4,DATOS!$I$2:$I$20000,"Análisis"),"")))</f>
        <v/>
      </c>
      <c r="AA976" t="str">
        <f>IF(Y976="","",IF(Y976="[FÓRMULA MANUAL]","",IFERROR(AVERAGEIFS(DATOS!$K$2:$K$20000,DATOS!$A$2:$A$20000,Y976,DATOS!$G$2:$G$20000,CONFIG_METADATA!$B$4,DATOS!$I$2:$I$20000,"Orquesta/Banda/Conjunto"),"")))</f>
        <v/>
      </c>
      <c r="AB976" t="str">
        <f>IF(Y976="","",IF(Y976="[FÓRMULA MANUAL]","",IFERROR(AVERAGEIFS(DATOS!$K$2:$K$20000,DATOS!$A$2:$A$20000,Y976,DATOS!$G$2:$G$20000,CONFIG_METADATA!$B$4,DATOS!$I$2:$I$20000,"Música de Cámara"),"")))</f>
        <v/>
      </c>
      <c r="AC976" t="str">
        <f>IF(Y976="","",IF(Y976="[FÓRMULA MANUAL]","",IFERROR(SUMPRODUCT((DATOS!$A$2:$A$20000=Y976)*(DATOS!$G$2:$G$20000=CONFIG_METADATA!$B$4)*(COUNTIF(CONFIG_ASIGNATURAS!$B$7:$B$27,DATOS!$I$2:$I$20000)&gt;0)*(DATOS!$K$2:$K$20000))/SUMPRODUCT((DATOS!$A$2:$A$20000=Y976)*(DATOS!$G$2:$G$20000=CONFIG_METADATA!$B$4)*(COUNTIF(CONFIG_ASIGNATURAS!$B$7:$B$27,DATOS!$I$2:$I$20000)&gt;0)*1),"")))</f>
        <v/>
      </c>
      <c r="AF976" t="str">
        <f>IF(AE976="","",IF(AE976="[FÓRMULA MANUAL]","",IFERROR(AVERAGEIFS(DATOS!$K$2:$K$20000,DATOS!$A$2:$A$20000,AE976,DATOS!$G$2:$G$20000,CONFIG_METADATA!$B$4,DATOS!$I$2:$I$20000,"Análisis"),"")))</f>
        <v/>
      </c>
      <c r="AG976" t="str">
        <f>IF(AE976="","",IF(AE976="[FÓRMULA MANUAL]","",IFERROR(AVERAGEIFS(DATOS!$K$2:$K$20000,DATOS!$A$2:$A$20000,AE976,DATOS!$G$2:$G$20000,CONFIG_METADATA!$B$4,DATOS!$I$2:$I$20000,"Orquesta/Banda/Conjunto"),"")))</f>
        <v/>
      </c>
      <c r="AH976" t="str">
        <f>IF(AE976="","",IF(AE976="[FÓRMULA MANUAL]","",IFERROR(AVERAGEIFS(DATOS!$K$2:$K$20000,DATOS!$A$2:$A$20000,AE976,DATOS!$G$2:$G$20000,CONFIG_METADATA!$B$4,DATOS!$I$2:$I$20000,"Música de Cámara"),"")))</f>
        <v/>
      </c>
      <c r="AI976" t="str">
        <f>IF(AE976="","",IF(AE976="[FÓRMULA MANUAL]","",IFERROR(SUMPRODUCT((DATOS!$A$2:$A$20000=AE976)*(DATOS!$G$2:$G$20000=CONFIG_METADATA!$B$4)*(COUNTIF(CONFIG_ASIGNATURAS!$B$7:$B$27,DATOS!$I$2:$I$20000)&gt;0)*(DATOS!$K$2:$K$20000))/SUMPRODUCT((DATOS!$A$2:$A$20000=AE976)*(DATOS!$G$2:$G$20000=CONFIG_METADATA!$B$4)*(COUNTIF(CONFIG_ASIGNATURAS!$B$7:$B$27,DATOS!$I$2:$I$20000)&gt;0)*1),"")))</f>
        <v/>
      </c>
    </row>
    <row r="977" spans="2:35" x14ac:dyDescent="0.2">
      <c r="B977" t="str">
        <f>IF(A977="","",IF(A977="[FÓRMULA MANUAL]","",IFERROR(AVERAGEIFS(DATOS!$K$2:$K$20000,DATOS!$A$2:$A$20000,A977,DATOS!$G$2:$G$20000,CONFIG_METADATA!$B$4,DATOS!$I$2:$I$20000,"Lenguaje Musical"),"")))</f>
        <v/>
      </c>
      <c r="C977" t="str">
        <f>IF(A977="","",IF(A977="[FÓRMULA MANUAL]","",IFERROR(AVERAGEIFS(DATOS!$K$2:$K$20000,DATOS!$A$2:$A$20000,A977,DATOS!$G$2:$G$20000,CONFIG_METADATA!$B$4,DATOS!$I$2:$I$20000,"Orquesta/Banda/Conjunto"),"")))</f>
        <v/>
      </c>
      <c r="D977" t="str">
        <f>IF(A977="","",IF(A977="[FÓRMULA MANUAL]","",IFERROR(AVERAGEIFS(DATOS!$K$2:$K$20000,DATOS!$A$2:$A$20000,A977,DATOS!$G$2:$G$20000,CONFIG_METADATA!$B$4,DATOS!$I$2:$I$20000,"Conjunto"),"")))</f>
        <v/>
      </c>
      <c r="E977" t="str">
        <f>IF(A977="","",IF(A977="[FÓRMULA MANUAL]","",IFERROR(SUMPRODUCT((DATOS!$A$2:$A$20000=A977)*(DATOS!$G$2:$G$20000=CONFIG_METADATA!$B$4)*(COUNTIF(CONFIG_ASIGNATURAS!$B$7:$B$27,DATOS!$I$2:$I$20000)&gt;0)*(DATOS!$K$2:$K$20000))/SUMPRODUCT((DATOS!$A$2:$A$20000=A977)*(DATOS!$G$2:$G$20000=CONFIG_METADATA!$B$4)*(COUNTIF(CONFIG_ASIGNATURAS!$B$7:$B$27,DATOS!$I$2:$I$20000)&gt;0)*1),"")))</f>
        <v/>
      </c>
      <c r="H977" t="str">
        <f>IF(G977="","",IF(G977="[FÓRMULA MANUAL]","",IFERROR(AVERAGEIFS(DATOS!$K$2:$K$20000,DATOS!$A$2:$A$20000,G977,DATOS!$G$2:$G$20000,CONFIG_METADATA!$B$4,DATOS!$I$2:$I$20000,"Lenguaje Musical"),"")))</f>
        <v/>
      </c>
      <c r="I977" t="str">
        <f>IF(G977="","",IF(G977="[FÓRMULA MANUAL]","",IFERROR(AVERAGEIFS(DATOS!$K$2:$K$20000,DATOS!$A$2:$A$20000,G977,DATOS!$G$2:$G$20000,CONFIG_METADATA!$B$4,DATOS!$I$2:$I$20000,"Orquesta/Banda/Conjunto"),"")))</f>
        <v/>
      </c>
      <c r="J977" t="str">
        <f>IF(G977="","",IF(G977="[FÓRMULA MANUAL]","",IFERROR(AVERAGEIFS(DATOS!$K$2:$K$20000,DATOS!$A$2:$A$20000,G977,DATOS!$G$2:$G$20000,CONFIG_METADATA!$B$4,DATOS!$I$2:$I$20000,"Conjunto"),"")))</f>
        <v/>
      </c>
      <c r="K977" t="str">
        <f>IF(G977="","",IF(G977="[FÓRMULA MANUAL]","",IFERROR(SUMPRODUCT((DATOS!$A$2:$A$20000=G977)*(DATOS!$G$2:$G$20000=CONFIG_METADATA!$B$4)*(COUNTIF(CONFIG_ASIGNATURAS!$B$7:$B$27,DATOS!$I$2:$I$20000)&gt;0)*(DATOS!$K$2:$K$20000))/SUMPRODUCT((DATOS!$A$2:$A$20000=G977)*(DATOS!$G$2:$G$20000=CONFIG_METADATA!$B$4)*(COUNTIF(CONFIG_ASIGNATURAS!$B$7:$B$27,DATOS!$I$2:$I$20000)&gt;0)*1),"")))</f>
        <v/>
      </c>
      <c r="N977" t="str">
        <f>IF(M977="","",IF(M977="[FÓRMULA MANUAL]","",IFERROR(AVERAGEIFS(DATOS!$K$2:$K$20000,DATOS!$A$2:$A$20000,M977,DATOS!$G$2:$G$20000,CONFIG_METADATA!$B$4,DATOS!$I$2:$I$20000,"Armonía"),"")))</f>
        <v/>
      </c>
      <c r="O977" t="str">
        <f>IF(M977="","",IF(M977="[FÓRMULA MANUAL]","",IFERROR(AVERAGEIFS(DATOS!$K$2:$K$20000,DATOS!$A$2:$A$20000,M977,DATOS!$G$2:$G$20000,CONFIG_METADATA!$B$4,DATOS!$I$2:$I$20000,"Orquesta/Banda/Conjunto"),"")))</f>
        <v/>
      </c>
      <c r="P977" t="str">
        <f>IF(M977="","",IF(M977="[FÓRMULA MANUAL]","",IFERROR(AVERAGEIFS(DATOS!$K$2:$K$20000,DATOS!$A$2:$A$20000,M977,DATOS!$G$2:$G$20000,CONFIG_METADATA!$B$4,DATOS!$I$2:$I$20000,"Música de Cámara"),"")))</f>
        <v/>
      </c>
      <c r="Q977" t="str">
        <f>IF(M977="","",IF(M977="[FÓRMULA MANUAL]","",IFERROR(SUMPRODUCT((DATOS!$A$2:$A$20000=M977)*(DATOS!$G$2:$G$20000=CONFIG_METADATA!$B$4)*(COUNTIF(CONFIG_ASIGNATURAS!$B$7:$B$27,DATOS!$I$2:$I$20000)&gt;0)*(DATOS!$K$2:$K$20000))/SUMPRODUCT((DATOS!$A$2:$A$20000=M977)*(DATOS!$G$2:$G$20000=CONFIG_METADATA!$B$4)*(COUNTIF(CONFIG_ASIGNATURAS!$B$7:$B$27,DATOS!$I$2:$I$20000)&gt;0)*1),"")))</f>
        <v/>
      </c>
      <c r="T977" t="str">
        <f>IF(S977="","",IF(S977="[FÓRMULA MANUAL]","",IFERROR(AVERAGEIFS(DATOS!$K$2:$K$20000,DATOS!$A$2:$A$20000,S977,DATOS!$G$2:$G$20000,CONFIG_METADATA!$B$4,DATOS!$I$2:$I$20000,"Armonía"),"")))</f>
        <v/>
      </c>
      <c r="U977" t="str">
        <f>IF(S977="","",IF(S977="[FÓRMULA MANUAL]","",IFERROR(AVERAGEIFS(DATOS!$K$2:$K$20000,DATOS!$A$2:$A$20000,S977,DATOS!$G$2:$G$20000,CONFIG_METADATA!$B$4,DATOS!$I$2:$I$20000,"Orquesta/Banda/Conjunto"),"")))</f>
        <v/>
      </c>
      <c r="V977" t="str">
        <f>IF(S977="","",IF(S977="[FÓRMULA MANUAL]","",IFERROR(AVERAGEIFS(DATOS!$K$2:$K$20000,DATOS!$A$2:$A$20000,S977,DATOS!$G$2:$G$20000,CONFIG_METADATA!$B$4,DATOS!$I$2:$I$20000,"Música de Cámara"),"")))</f>
        <v/>
      </c>
      <c r="W977" t="str">
        <f>IF(S977="","",IF(S977="[FÓRMULA MANUAL]","",IFERROR(SUMPRODUCT((DATOS!$A$2:$A$20000=S977)*(DATOS!$G$2:$G$20000=CONFIG_METADATA!$B$4)*(COUNTIF(CONFIG_ASIGNATURAS!$B$7:$B$27,DATOS!$I$2:$I$20000)&gt;0)*(DATOS!$K$2:$K$20000))/SUMPRODUCT((DATOS!$A$2:$A$20000=S977)*(DATOS!$G$2:$G$20000=CONFIG_METADATA!$B$4)*(COUNTIF(CONFIG_ASIGNATURAS!$B$7:$B$27,DATOS!$I$2:$I$20000)&gt;0)*1),"")))</f>
        <v/>
      </c>
      <c r="Z977" t="str">
        <f>IF(Y977="","",IF(Y977="[FÓRMULA MANUAL]","",IFERROR(AVERAGEIFS(DATOS!$K$2:$K$20000,DATOS!$A$2:$A$20000,Y977,DATOS!$G$2:$G$20000,CONFIG_METADATA!$B$4,DATOS!$I$2:$I$20000,"Análisis"),"")))</f>
        <v/>
      </c>
      <c r="AA977" t="str">
        <f>IF(Y977="","",IF(Y977="[FÓRMULA MANUAL]","",IFERROR(AVERAGEIFS(DATOS!$K$2:$K$20000,DATOS!$A$2:$A$20000,Y977,DATOS!$G$2:$G$20000,CONFIG_METADATA!$B$4,DATOS!$I$2:$I$20000,"Orquesta/Banda/Conjunto"),"")))</f>
        <v/>
      </c>
      <c r="AB977" t="str">
        <f>IF(Y977="","",IF(Y977="[FÓRMULA MANUAL]","",IFERROR(AVERAGEIFS(DATOS!$K$2:$K$20000,DATOS!$A$2:$A$20000,Y977,DATOS!$G$2:$G$20000,CONFIG_METADATA!$B$4,DATOS!$I$2:$I$20000,"Música de Cámara"),"")))</f>
        <v/>
      </c>
      <c r="AC977" t="str">
        <f>IF(Y977="","",IF(Y977="[FÓRMULA MANUAL]","",IFERROR(SUMPRODUCT((DATOS!$A$2:$A$20000=Y977)*(DATOS!$G$2:$G$20000=CONFIG_METADATA!$B$4)*(COUNTIF(CONFIG_ASIGNATURAS!$B$7:$B$27,DATOS!$I$2:$I$20000)&gt;0)*(DATOS!$K$2:$K$20000))/SUMPRODUCT((DATOS!$A$2:$A$20000=Y977)*(DATOS!$G$2:$G$20000=CONFIG_METADATA!$B$4)*(COUNTIF(CONFIG_ASIGNATURAS!$B$7:$B$27,DATOS!$I$2:$I$20000)&gt;0)*1),"")))</f>
        <v/>
      </c>
      <c r="AF977" t="str">
        <f>IF(AE977="","",IF(AE977="[FÓRMULA MANUAL]","",IFERROR(AVERAGEIFS(DATOS!$K$2:$K$20000,DATOS!$A$2:$A$20000,AE977,DATOS!$G$2:$G$20000,CONFIG_METADATA!$B$4,DATOS!$I$2:$I$20000,"Análisis"),"")))</f>
        <v/>
      </c>
      <c r="AG977" t="str">
        <f>IF(AE977="","",IF(AE977="[FÓRMULA MANUAL]","",IFERROR(AVERAGEIFS(DATOS!$K$2:$K$20000,DATOS!$A$2:$A$20000,AE977,DATOS!$G$2:$G$20000,CONFIG_METADATA!$B$4,DATOS!$I$2:$I$20000,"Orquesta/Banda/Conjunto"),"")))</f>
        <v/>
      </c>
      <c r="AH977" t="str">
        <f>IF(AE977="","",IF(AE977="[FÓRMULA MANUAL]","",IFERROR(AVERAGEIFS(DATOS!$K$2:$K$20000,DATOS!$A$2:$A$20000,AE977,DATOS!$G$2:$G$20000,CONFIG_METADATA!$B$4,DATOS!$I$2:$I$20000,"Música de Cámara"),"")))</f>
        <v/>
      </c>
      <c r="AI977" t="str">
        <f>IF(AE977="","",IF(AE977="[FÓRMULA MANUAL]","",IFERROR(SUMPRODUCT((DATOS!$A$2:$A$20000=AE977)*(DATOS!$G$2:$G$20000=CONFIG_METADATA!$B$4)*(COUNTIF(CONFIG_ASIGNATURAS!$B$7:$B$27,DATOS!$I$2:$I$20000)&gt;0)*(DATOS!$K$2:$K$20000))/SUMPRODUCT((DATOS!$A$2:$A$20000=AE977)*(DATOS!$G$2:$G$20000=CONFIG_METADATA!$B$4)*(COUNTIF(CONFIG_ASIGNATURAS!$B$7:$B$27,DATOS!$I$2:$I$20000)&gt;0)*1),"")))</f>
        <v/>
      </c>
    </row>
    <row r="978" spans="2:35" x14ac:dyDescent="0.2">
      <c r="B978" t="str">
        <f>IF(A978="","",IF(A978="[FÓRMULA MANUAL]","",IFERROR(AVERAGEIFS(DATOS!$K$2:$K$20000,DATOS!$A$2:$A$20000,A978,DATOS!$G$2:$G$20000,CONFIG_METADATA!$B$4,DATOS!$I$2:$I$20000,"Lenguaje Musical"),"")))</f>
        <v/>
      </c>
      <c r="C978" t="str">
        <f>IF(A978="","",IF(A978="[FÓRMULA MANUAL]","",IFERROR(AVERAGEIFS(DATOS!$K$2:$K$20000,DATOS!$A$2:$A$20000,A978,DATOS!$G$2:$G$20000,CONFIG_METADATA!$B$4,DATOS!$I$2:$I$20000,"Orquesta/Banda/Conjunto"),"")))</f>
        <v/>
      </c>
      <c r="D978" t="str">
        <f>IF(A978="","",IF(A978="[FÓRMULA MANUAL]","",IFERROR(AVERAGEIFS(DATOS!$K$2:$K$20000,DATOS!$A$2:$A$20000,A978,DATOS!$G$2:$G$20000,CONFIG_METADATA!$B$4,DATOS!$I$2:$I$20000,"Conjunto"),"")))</f>
        <v/>
      </c>
      <c r="E978" t="str">
        <f>IF(A978="","",IF(A978="[FÓRMULA MANUAL]","",IFERROR(SUMPRODUCT((DATOS!$A$2:$A$20000=A978)*(DATOS!$G$2:$G$20000=CONFIG_METADATA!$B$4)*(COUNTIF(CONFIG_ASIGNATURAS!$B$7:$B$27,DATOS!$I$2:$I$20000)&gt;0)*(DATOS!$K$2:$K$20000))/SUMPRODUCT((DATOS!$A$2:$A$20000=A978)*(DATOS!$G$2:$G$20000=CONFIG_METADATA!$B$4)*(COUNTIF(CONFIG_ASIGNATURAS!$B$7:$B$27,DATOS!$I$2:$I$20000)&gt;0)*1),"")))</f>
        <v/>
      </c>
      <c r="H978" t="str">
        <f>IF(G978="","",IF(G978="[FÓRMULA MANUAL]","",IFERROR(AVERAGEIFS(DATOS!$K$2:$K$20000,DATOS!$A$2:$A$20000,G978,DATOS!$G$2:$G$20000,CONFIG_METADATA!$B$4,DATOS!$I$2:$I$20000,"Lenguaje Musical"),"")))</f>
        <v/>
      </c>
      <c r="I978" t="str">
        <f>IF(G978="","",IF(G978="[FÓRMULA MANUAL]","",IFERROR(AVERAGEIFS(DATOS!$K$2:$K$20000,DATOS!$A$2:$A$20000,G978,DATOS!$G$2:$G$20000,CONFIG_METADATA!$B$4,DATOS!$I$2:$I$20000,"Orquesta/Banda/Conjunto"),"")))</f>
        <v/>
      </c>
      <c r="J978" t="str">
        <f>IF(G978="","",IF(G978="[FÓRMULA MANUAL]","",IFERROR(AVERAGEIFS(DATOS!$K$2:$K$20000,DATOS!$A$2:$A$20000,G978,DATOS!$G$2:$G$20000,CONFIG_METADATA!$B$4,DATOS!$I$2:$I$20000,"Conjunto"),"")))</f>
        <v/>
      </c>
      <c r="K978" t="str">
        <f>IF(G978="","",IF(G978="[FÓRMULA MANUAL]","",IFERROR(SUMPRODUCT((DATOS!$A$2:$A$20000=G978)*(DATOS!$G$2:$G$20000=CONFIG_METADATA!$B$4)*(COUNTIF(CONFIG_ASIGNATURAS!$B$7:$B$27,DATOS!$I$2:$I$20000)&gt;0)*(DATOS!$K$2:$K$20000))/SUMPRODUCT((DATOS!$A$2:$A$20000=G978)*(DATOS!$G$2:$G$20000=CONFIG_METADATA!$B$4)*(COUNTIF(CONFIG_ASIGNATURAS!$B$7:$B$27,DATOS!$I$2:$I$20000)&gt;0)*1),"")))</f>
        <v/>
      </c>
      <c r="N978" t="str">
        <f>IF(M978="","",IF(M978="[FÓRMULA MANUAL]","",IFERROR(AVERAGEIFS(DATOS!$K$2:$K$20000,DATOS!$A$2:$A$20000,M978,DATOS!$G$2:$G$20000,CONFIG_METADATA!$B$4,DATOS!$I$2:$I$20000,"Armonía"),"")))</f>
        <v/>
      </c>
      <c r="O978" t="str">
        <f>IF(M978="","",IF(M978="[FÓRMULA MANUAL]","",IFERROR(AVERAGEIFS(DATOS!$K$2:$K$20000,DATOS!$A$2:$A$20000,M978,DATOS!$G$2:$G$20000,CONFIG_METADATA!$B$4,DATOS!$I$2:$I$20000,"Orquesta/Banda/Conjunto"),"")))</f>
        <v/>
      </c>
      <c r="P978" t="str">
        <f>IF(M978="","",IF(M978="[FÓRMULA MANUAL]","",IFERROR(AVERAGEIFS(DATOS!$K$2:$K$20000,DATOS!$A$2:$A$20000,M978,DATOS!$G$2:$G$20000,CONFIG_METADATA!$B$4,DATOS!$I$2:$I$20000,"Música de Cámara"),"")))</f>
        <v/>
      </c>
      <c r="Q978" t="str">
        <f>IF(M978="","",IF(M978="[FÓRMULA MANUAL]","",IFERROR(SUMPRODUCT((DATOS!$A$2:$A$20000=M978)*(DATOS!$G$2:$G$20000=CONFIG_METADATA!$B$4)*(COUNTIF(CONFIG_ASIGNATURAS!$B$7:$B$27,DATOS!$I$2:$I$20000)&gt;0)*(DATOS!$K$2:$K$20000))/SUMPRODUCT((DATOS!$A$2:$A$20000=M978)*(DATOS!$G$2:$G$20000=CONFIG_METADATA!$B$4)*(COUNTIF(CONFIG_ASIGNATURAS!$B$7:$B$27,DATOS!$I$2:$I$20000)&gt;0)*1),"")))</f>
        <v/>
      </c>
      <c r="T978" t="str">
        <f>IF(S978="","",IF(S978="[FÓRMULA MANUAL]","",IFERROR(AVERAGEIFS(DATOS!$K$2:$K$20000,DATOS!$A$2:$A$20000,S978,DATOS!$G$2:$G$20000,CONFIG_METADATA!$B$4,DATOS!$I$2:$I$20000,"Armonía"),"")))</f>
        <v/>
      </c>
      <c r="U978" t="str">
        <f>IF(S978="","",IF(S978="[FÓRMULA MANUAL]","",IFERROR(AVERAGEIFS(DATOS!$K$2:$K$20000,DATOS!$A$2:$A$20000,S978,DATOS!$G$2:$G$20000,CONFIG_METADATA!$B$4,DATOS!$I$2:$I$20000,"Orquesta/Banda/Conjunto"),"")))</f>
        <v/>
      </c>
      <c r="V978" t="str">
        <f>IF(S978="","",IF(S978="[FÓRMULA MANUAL]","",IFERROR(AVERAGEIFS(DATOS!$K$2:$K$20000,DATOS!$A$2:$A$20000,S978,DATOS!$G$2:$G$20000,CONFIG_METADATA!$B$4,DATOS!$I$2:$I$20000,"Música de Cámara"),"")))</f>
        <v/>
      </c>
      <c r="W978" t="str">
        <f>IF(S978="","",IF(S978="[FÓRMULA MANUAL]","",IFERROR(SUMPRODUCT((DATOS!$A$2:$A$20000=S978)*(DATOS!$G$2:$G$20000=CONFIG_METADATA!$B$4)*(COUNTIF(CONFIG_ASIGNATURAS!$B$7:$B$27,DATOS!$I$2:$I$20000)&gt;0)*(DATOS!$K$2:$K$20000))/SUMPRODUCT((DATOS!$A$2:$A$20000=S978)*(DATOS!$G$2:$G$20000=CONFIG_METADATA!$B$4)*(COUNTIF(CONFIG_ASIGNATURAS!$B$7:$B$27,DATOS!$I$2:$I$20000)&gt;0)*1),"")))</f>
        <v/>
      </c>
      <c r="Z978" t="str">
        <f>IF(Y978="","",IF(Y978="[FÓRMULA MANUAL]","",IFERROR(AVERAGEIFS(DATOS!$K$2:$K$20000,DATOS!$A$2:$A$20000,Y978,DATOS!$G$2:$G$20000,CONFIG_METADATA!$B$4,DATOS!$I$2:$I$20000,"Análisis"),"")))</f>
        <v/>
      </c>
      <c r="AA978" t="str">
        <f>IF(Y978="","",IF(Y978="[FÓRMULA MANUAL]","",IFERROR(AVERAGEIFS(DATOS!$K$2:$K$20000,DATOS!$A$2:$A$20000,Y978,DATOS!$G$2:$G$20000,CONFIG_METADATA!$B$4,DATOS!$I$2:$I$20000,"Orquesta/Banda/Conjunto"),"")))</f>
        <v/>
      </c>
      <c r="AB978" t="str">
        <f>IF(Y978="","",IF(Y978="[FÓRMULA MANUAL]","",IFERROR(AVERAGEIFS(DATOS!$K$2:$K$20000,DATOS!$A$2:$A$20000,Y978,DATOS!$G$2:$G$20000,CONFIG_METADATA!$B$4,DATOS!$I$2:$I$20000,"Música de Cámara"),"")))</f>
        <v/>
      </c>
      <c r="AC978" t="str">
        <f>IF(Y978="","",IF(Y978="[FÓRMULA MANUAL]","",IFERROR(SUMPRODUCT((DATOS!$A$2:$A$20000=Y978)*(DATOS!$G$2:$G$20000=CONFIG_METADATA!$B$4)*(COUNTIF(CONFIG_ASIGNATURAS!$B$7:$B$27,DATOS!$I$2:$I$20000)&gt;0)*(DATOS!$K$2:$K$20000))/SUMPRODUCT((DATOS!$A$2:$A$20000=Y978)*(DATOS!$G$2:$G$20000=CONFIG_METADATA!$B$4)*(COUNTIF(CONFIG_ASIGNATURAS!$B$7:$B$27,DATOS!$I$2:$I$20000)&gt;0)*1),"")))</f>
        <v/>
      </c>
      <c r="AF978" t="str">
        <f>IF(AE978="","",IF(AE978="[FÓRMULA MANUAL]","",IFERROR(AVERAGEIFS(DATOS!$K$2:$K$20000,DATOS!$A$2:$A$20000,AE978,DATOS!$G$2:$G$20000,CONFIG_METADATA!$B$4,DATOS!$I$2:$I$20000,"Análisis"),"")))</f>
        <v/>
      </c>
      <c r="AG978" t="str">
        <f>IF(AE978="","",IF(AE978="[FÓRMULA MANUAL]","",IFERROR(AVERAGEIFS(DATOS!$K$2:$K$20000,DATOS!$A$2:$A$20000,AE978,DATOS!$G$2:$G$20000,CONFIG_METADATA!$B$4,DATOS!$I$2:$I$20000,"Orquesta/Banda/Conjunto"),"")))</f>
        <v/>
      </c>
      <c r="AH978" t="str">
        <f>IF(AE978="","",IF(AE978="[FÓRMULA MANUAL]","",IFERROR(AVERAGEIFS(DATOS!$K$2:$K$20000,DATOS!$A$2:$A$20000,AE978,DATOS!$G$2:$G$20000,CONFIG_METADATA!$B$4,DATOS!$I$2:$I$20000,"Música de Cámara"),"")))</f>
        <v/>
      </c>
      <c r="AI978" t="str">
        <f>IF(AE978="","",IF(AE978="[FÓRMULA MANUAL]","",IFERROR(SUMPRODUCT((DATOS!$A$2:$A$20000=AE978)*(DATOS!$G$2:$G$20000=CONFIG_METADATA!$B$4)*(COUNTIF(CONFIG_ASIGNATURAS!$B$7:$B$27,DATOS!$I$2:$I$20000)&gt;0)*(DATOS!$K$2:$K$20000))/SUMPRODUCT((DATOS!$A$2:$A$20000=AE978)*(DATOS!$G$2:$G$20000=CONFIG_METADATA!$B$4)*(COUNTIF(CONFIG_ASIGNATURAS!$B$7:$B$27,DATOS!$I$2:$I$20000)&gt;0)*1),"")))</f>
        <v/>
      </c>
    </row>
    <row r="979" spans="2:35" x14ac:dyDescent="0.2">
      <c r="B979" t="str">
        <f>IF(A979="","",IF(A979="[FÓRMULA MANUAL]","",IFERROR(AVERAGEIFS(DATOS!$K$2:$K$20000,DATOS!$A$2:$A$20000,A979,DATOS!$G$2:$G$20000,CONFIG_METADATA!$B$4,DATOS!$I$2:$I$20000,"Lenguaje Musical"),"")))</f>
        <v/>
      </c>
      <c r="C979" t="str">
        <f>IF(A979="","",IF(A979="[FÓRMULA MANUAL]","",IFERROR(AVERAGEIFS(DATOS!$K$2:$K$20000,DATOS!$A$2:$A$20000,A979,DATOS!$G$2:$G$20000,CONFIG_METADATA!$B$4,DATOS!$I$2:$I$20000,"Orquesta/Banda/Conjunto"),"")))</f>
        <v/>
      </c>
      <c r="D979" t="str">
        <f>IF(A979="","",IF(A979="[FÓRMULA MANUAL]","",IFERROR(AVERAGEIFS(DATOS!$K$2:$K$20000,DATOS!$A$2:$A$20000,A979,DATOS!$G$2:$G$20000,CONFIG_METADATA!$B$4,DATOS!$I$2:$I$20000,"Conjunto"),"")))</f>
        <v/>
      </c>
      <c r="E979" t="str">
        <f>IF(A979="","",IF(A979="[FÓRMULA MANUAL]","",IFERROR(SUMPRODUCT((DATOS!$A$2:$A$20000=A979)*(DATOS!$G$2:$G$20000=CONFIG_METADATA!$B$4)*(COUNTIF(CONFIG_ASIGNATURAS!$B$7:$B$27,DATOS!$I$2:$I$20000)&gt;0)*(DATOS!$K$2:$K$20000))/SUMPRODUCT((DATOS!$A$2:$A$20000=A979)*(DATOS!$G$2:$G$20000=CONFIG_METADATA!$B$4)*(COUNTIF(CONFIG_ASIGNATURAS!$B$7:$B$27,DATOS!$I$2:$I$20000)&gt;0)*1),"")))</f>
        <v/>
      </c>
      <c r="H979" t="str">
        <f>IF(G979="","",IF(G979="[FÓRMULA MANUAL]","",IFERROR(AVERAGEIFS(DATOS!$K$2:$K$20000,DATOS!$A$2:$A$20000,G979,DATOS!$G$2:$G$20000,CONFIG_METADATA!$B$4,DATOS!$I$2:$I$20000,"Lenguaje Musical"),"")))</f>
        <v/>
      </c>
      <c r="I979" t="str">
        <f>IF(G979="","",IF(G979="[FÓRMULA MANUAL]","",IFERROR(AVERAGEIFS(DATOS!$K$2:$K$20000,DATOS!$A$2:$A$20000,G979,DATOS!$G$2:$G$20000,CONFIG_METADATA!$B$4,DATOS!$I$2:$I$20000,"Orquesta/Banda/Conjunto"),"")))</f>
        <v/>
      </c>
      <c r="J979" t="str">
        <f>IF(G979="","",IF(G979="[FÓRMULA MANUAL]","",IFERROR(AVERAGEIFS(DATOS!$K$2:$K$20000,DATOS!$A$2:$A$20000,G979,DATOS!$G$2:$G$20000,CONFIG_METADATA!$B$4,DATOS!$I$2:$I$20000,"Conjunto"),"")))</f>
        <v/>
      </c>
      <c r="K979" t="str">
        <f>IF(G979="","",IF(G979="[FÓRMULA MANUAL]","",IFERROR(SUMPRODUCT((DATOS!$A$2:$A$20000=G979)*(DATOS!$G$2:$G$20000=CONFIG_METADATA!$B$4)*(COUNTIF(CONFIG_ASIGNATURAS!$B$7:$B$27,DATOS!$I$2:$I$20000)&gt;0)*(DATOS!$K$2:$K$20000))/SUMPRODUCT((DATOS!$A$2:$A$20000=G979)*(DATOS!$G$2:$G$20000=CONFIG_METADATA!$B$4)*(COUNTIF(CONFIG_ASIGNATURAS!$B$7:$B$27,DATOS!$I$2:$I$20000)&gt;0)*1),"")))</f>
        <v/>
      </c>
      <c r="N979" t="str">
        <f>IF(M979="","",IF(M979="[FÓRMULA MANUAL]","",IFERROR(AVERAGEIFS(DATOS!$K$2:$K$20000,DATOS!$A$2:$A$20000,M979,DATOS!$G$2:$G$20000,CONFIG_METADATA!$B$4,DATOS!$I$2:$I$20000,"Armonía"),"")))</f>
        <v/>
      </c>
      <c r="O979" t="str">
        <f>IF(M979="","",IF(M979="[FÓRMULA MANUAL]","",IFERROR(AVERAGEIFS(DATOS!$K$2:$K$20000,DATOS!$A$2:$A$20000,M979,DATOS!$G$2:$G$20000,CONFIG_METADATA!$B$4,DATOS!$I$2:$I$20000,"Orquesta/Banda/Conjunto"),"")))</f>
        <v/>
      </c>
      <c r="P979" t="str">
        <f>IF(M979="","",IF(M979="[FÓRMULA MANUAL]","",IFERROR(AVERAGEIFS(DATOS!$K$2:$K$20000,DATOS!$A$2:$A$20000,M979,DATOS!$G$2:$G$20000,CONFIG_METADATA!$B$4,DATOS!$I$2:$I$20000,"Música de Cámara"),"")))</f>
        <v/>
      </c>
      <c r="Q979" t="str">
        <f>IF(M979="","",IF(M979="[FÓRMULA MANUAL]","",IFERROR(SUMPRODUCT((DATOS!$A$2:$A$20000=M979)*(DATOS!$G$2:$G$20000=CONFIG_METADATA!$B$4)*(COUNTIF(CONFIG_ASIGNATURAS!$B$7:$B$27,DATOS!$I$2:$I$20000)&gt;0)*(DATOS!$K$2:$K$20000))/SUMPRODUCT((DATOS!$A$2:$A$20000=M979)*(DATOS!$G$2:$G$20000=CONFIG_METADATA!$B$4)*(COUNTIF(CONFIG_ASIGNATURAS!$B$7:$B$27,DATOS!$I$2:$I$20000)&gt;0)*1),"")))</f>
        <v/>
      </c>
      <c r="T979" t="str">
        <f>IF(S979="","",IF(S979="[FÓRMULA MANUAL]","",IFERROR(AVERAGEIFS(DATOS!$K$2:$K$20000,DATOS!$A$2:$A$20000,S979,DATOS!$G$2:$G$20000,CONFIG_METADATA!$B$4,DATOS!$I$2:$I$20000,"Armonía"),"")))</f>
        <v/>
      </c>
      <c r="U979" t="str">
        <f>IF(S979="","",IF(S979="[FÓRMULA MANUAL]","",IFERROR(AVERAGEIFS(DATOS!$K$2:$K$20000,DATOS!$A$2:$A$20000,S979,DATOS!$G$2:$G$20000,CONFIG_METADATA!$B$4,DATOS!$I$2:$I$20000,"Orquesta/Banda/Conjunto"),"")))</f>
        <v/>
      </c>
      <c r="V979" t="str">
        <f>IF(S979="","",IF(S979="[FÓRMULA MANUAL]","",IFERROR(AVERAGEIFS(DATOS!$K$2:$K$20000,DATOS!$A$2:$A$20000,S979,DATOS!$G$2:$G$20000,CONFIG_METADATA!$B$4,DATOS!$I$2:$I$20000,"Música de Cámara"),"")))</f>
        <v/>
      </c>
      <c r="W979" t="str">
        <f>IF(S979="","",IF(S979="[FÓRMULA MANUAL]","",IFERROR(SUMPRODUCT((DATOS!$A$2:$A$20000=S979)*(DATOS!$G$2:$G$20000=CONFIG_METADATA!$B$4)*(COUNTIF(CONFIG_ASIGNATURAS!$B$7:$B$27,DATOS!$I$2:$I$20000)&gt;0)*(DATOS!$K$2:$K$20000))/SUMPRODUCT((DATOS!$A$2:$A$20000=S979)*(DATOS!$G$2:$G$20000=CONFIG_METADATA!$B$4)*(COUNTIF(CONFIG_ASIGNATURAS!$B$7:$B$27,DATOS!$I$2:$I$20000)&gt;0)*1),"")))</f>
        <v/>
      </c>
      <c r="Z979" t="str">
        <f>IF(Y979="","",IF(Y979="[FÓRMULA MANUAL]","",IFERROR(AVERAGEIFS(DATOS!$K$2:$K$20000,DATOS!$A$2:$A$20000,Y979,DATOS!$G$2:$G$20000,CONFIG_METADATA!$B$4,DATOS!$I$2:$I$20000,"Análisis"),"")))</f>
        <v/>
      </c>
      <c r="AA979" t="str">
        <f>IF(Y979="","",IF(Y979="[FÓRMULA MANUAL]","",IFERROR(AVERAGEIFS(DATOS!$K$2:$K$20000,DATOS!$A$2:$A$20000,Y979,DATOS!$G$2:$G$20000,CONFIG_METADATA!$B$4,DATOS!$I$2:$I$20000,"Orquesta/Banda/Conjunto"),"")))</f>
        <v/>
      </c>
      <c r="AB979" t="str">
        <f>IF(Y979="","",IF(Y979="[FÓRMULA MANUAL]","",IFERROR(AVERAGEIFS(DATOS!$K$2:$K$20000,DATOS!$A$2:$A$20000,Y979,DATOS!$G$2:$G$20000,CONFIG_METADATA!$B$4,DATOS!$I$2:$I$20000,"Música de Cámara"),"")))</f>
        <v/>
      </c>
      <c r="AC979" t="str">
        <f>IF(Y979="","",IF(Y979="[FÓRMULA MANUAL]","",IFERROR(SUMPRODUCT((DATOS!$A$2:$A$20000=Y979)*(DATOS!$G$2:$G$20000=CONFIG_METADATA!$B$4)*(COUNTIF(CONFIG_ASIGNATURAS!$B$7:$B$27,DATOS!$I$2:$I$20000)&gt;0)*(DATOS!$K$2:$K$20000))/SUMPRODUCT((DATOS!$A$2:$A$20000=Y979)*(DATOS!$G$2:$G$20000=CONFIG_METADATA!$B$4)*(COUNTIF(CONFIG_ASIGNATURAS!$B$7:$B$27,DATOS!$I$2:$I$20000)&gt;0)*1),"")))</f>
        <v/>
      </c>
      <c r="AF979" t="str">
        <f>IF(AE979="","",IF(AE979="[FÓRMULA MANUAL]","",IFERROR(AVERAGEIFS(DATOS!$K$2:$K$20000,DATOS!$A$2:$A$20000,AE979,DATOS!$G$2:$G$20000,CONFIG_METADATA!$B$4,DATOS!$I$2:$I$20000,"Análisis"),"")))</f>
        <v/>
      </c>
      <c r="AG979" t="str">
        <f>IF(AE979="","",IF(AE979="[FÓRMULA MANUAL]","",IFERROR(AVERAGEIFS(DATOS!$K$2:$K$20000,DATOS!$A$2:$A$20000,AE979,DATOS!$G$2:$G$20000,CONFIG_METADATA!$B$4,DATOS!$I$2:$I$20000,"Orquesta/Banda/Conjunto"),"")))</f>
        <v/>
      </c>
      <c r="AH979" t="str">
        <f>IF(AE979="","",IF(AE979="[FÓRMULA MANUAL]","",IFERROR(AVERAGEIFS(DATOS!$K$2:$K$20000,DATOS!$A$2:$A$20000,AE979,DATOS!$G$2:$G$20000,CONFIG_METADATA!$B$4,DATOS!$I$2:$I$20000,"Música de Cámara"),"")))</f>
        <v/>
      </c>
      <c r="AI979" t="str">
        <f>IF(AE979="","",IF(AE979="[FÓRMULA MANUAL]","",IFERROR(SUMPRODUCT((DATOS!$A$2:$A$20000=AE979)*(DATOS!$G$2:$G$20000=CONFIG_METADATA!$B$4)*(COUNTIF(CONFIG_ASIGNATURAS!$B$7:$B$27,DATOS!$I$2:$I$20000)&gt;0)*(DATOS!$K$2:$K$20000))/SUMPRODUCT((DATOS!$A$2:$A$20000=AE979)*(DATOS!$G$2:$G$20000=CONFIG_METADATA!$B$4)*(COUNTIF(CONFIG_ASIGNATURAS!$B$7:$B$27,DATOS!$I$2:$I$20000)&gt;0)*1),"")))</f>
        <v/>
      </c>
    </row>
    <row r="980" spans="2:35" x14ac:dyDescent="0.2">
      <c r="B980" t="str">
        <f>IF(A980="","",IF(A980="[FÓRMULA MANUAL]","",IFERROR(AVERAGEIFS(DATOS!$K$2:$K$20000,DATOS!$A$2:$A$20000,A980,DATOS!$G$2:$G$20000,CONFIG_METADATA!$B$4,DATOS!$I$2:$I$20000,"Lenguaje Musical"),"")))</f>
        <v/>
      </c>
      <c r="C980" t="str">
        <f>IF(A980="","",IF(A980="[FÓRMULA MANUAL]","",IFERROR(AVERAGEIFS(DATOS!$K$2:$K$20000,DATOS!$A$2:$A$20000,A980,DATOS!$G$2:$G$20000,CONFIG_METADATA!$B$4,DATOS!$I$2:$I$20000,"Orquesta/Banda/Conjunto"),"")))</f>
        <v/>
      </c>
      <c r="D980" t="str">
        <f>IF(A980="","",IF(A980="[FÓRMULA MANUAL]","",IFERROR(AVERAGEIFS(DATOS!$K$2:$K$20000,DATOS!$A$2:$A$20000,A980,DATOS!$G$2:$G$20000,CONFIG_METADATA!$B$4,DATOS!$I$2:$I$20000,"Conjunto"),"")))</f>
        <v/>
      </c>
      <c r="E980" t="str">
        <f>IF(A980="","",IF(A980="[FÓRMULA MANUAL]","",IFERROR(SUMPRODUCT((DATOS!$A$2:$A$20000=A980)*(DATOS!$G$2:$G$20000=CONFIG_METADATA!$B$4)*(COUNTIF(CONFIG_ASIGNATURAS!$B$7:$B$27,DATOS!$I$2:$I$20000)&gt;0)*(DATOS!$K$2:$K$20000))/SUMPRODUCT((DATOS!$A$2:$A$20000=A980)*(DATOS!$G$2:$G$20000=CONFIG_METADATA!$B$4)*(COUNTIF(CONFIG_ASIGNATURAS!$B$7:$B$27,DATOS!$I$2:$I$20000)&gt;0)*1),"")))</f>
        <v/>
      </c>
      <c r="H980" t="str">
        <f>IF(G980="","",IF(G980="[FÓRMULA MANUAL]","",IFERROR(AVERAGEIFS(DATOS!$K$2:$K$20000,DATOS!$A$2:$A$20000,G980,DATOS!$G$2:$G$20000,CONFIG_METADATA!$B$4,DATOS!$I$2:$I$20000,"Lenguaje Musical"),"")))</f>
        <v/>
      </c>
      <c r="I980" t="str">
        <f>IF(G980="","",IF(G980="[FÓRMULA MANUAL]","",IFERROR(AVERAGEIFS(DATOS!$K$2:$K$20000,DATOS!$A$2:$A$20000,G980,DATOS!$G$2:$G$20000,CONFIG_METADATA!$B$4,DATOS!$I$2:$I$20000,"Orquesta/Banda/Conjunto"),"")))</f>
        <v/>
      </c>
      <c r="J980" t="str">
        <f>IF(G980="","",IF(G980="[FÓRMULA MANUAL]","",IFERROR(AVERAGEIFS(DATOS!$K$2:$K$20000,DATOS!$A$2:$A$20000,G980,DATOS!$G$2:$G$20000,CONFIG_METADATA!$B$4,DATOS!$I$2:$I$20000,"Conjunto"),"")))</f>
        <v/>
      </c>
      <c r="K980" t="str">
        <f>IF(G980="","",IF(G980="[FÓRMULA MANUAL]","",IFERROR(SUMPRODUCT((DATOS!$A$2:$A$20000=G980)*(DATOS!$G$2:$G$20000=CONFIG_METADATA!$B$4)*(COUNTIF(CONFIG_ASIGNATURAS!$B$7:$B$27,DATOS!$I$2:$I$20000)&gt;0)*(DATOS!$K$2:$K$20000))/SUMPRODUCT((DATOS!$A$2:$A$20000=G980)*(DATOS!$G$2:$G$20000=CONFIG_METADATA!$B$4)*(COUNTIF(CONFIG_ASIGNATURAS!$B$7:$B$27,DATOS!$I$2:$I$20000)&gt;0)*1),"")))</f>
        <v/>
      </c>
      <c r="N980" t="str">
        <f>IF(M980="","",IF(M980="[FÓRMULA MANUAL]","",IFERROR(AVERAGEIFS(DATOS!$K$2:$K$20000,DATOS!$A$2:$A$20000,M980,DATOS!$G$2:$G$20000,CONFIG_METADATA!$B$4,DATOS!$I$2:$I$20000,"Armonía"),"")))</f>
        <v/>
      </c>
      <c r="O980" t="str">
        <f>IF(M980="","",IF(M980="[FÓRMULA MANUAL]","",IFERROR(AVERAGEIFS(DATOS!$K$2:$K$20000,DATOS!$A$2:$A$20000,M980,DATOS!$G$2:$G$20000,CONFIG_METADATA!$B$4,DATOS!$I$2:$I$20000,"Orquesta/Banda/Conjunto"),"")))</f>
        <v/>
      </c>
      <c r="P980" t="str">
        <f>IF(M980="","",IF(M980="[FÓRMULA MANUAL]","",IFERROR(AVERAGEIFS(DATOS!$K$2:$K$20000,DATOS!$A$2:$A$20000,M980,DATOS!$G$2:$G$20000,CONFIG_METADATA!$B$4,DATOS!$I$2:$I$20000,"Música de Cámara"),"")))</f>
        <v/>
      </c>
      <c r="Q980" t="str">
        <f>IF(M980="","",IF(M980="[FÓRMULA MANUAL]","",IFERROR(SUMPRODUCT((DATOS!$A$2:$A$20000=M980)*(DATOS!$G$2:$G$20000=CONFIG_METADATA!$B$4)*(COUNTIF(CONFIG_ASIGNATURAS!$B$7:$B$27,DATOS!$I$2:$I$20000)&gt;0)*(DATOS!$K$2:$K$20000))/SUMPRODUCT((DATOS!$A$2:$A$20000=M980)*(DATOS!$G$2:$G$20000=CONFIG_METADATA!$B$4)*(COUNTIF(CONFIG_ASIGNATURAS!$B$7:$B$27,DATOS!$I$2:$I$20000)&gt;0)*1),"")))</f>
        <v/>
      </c>
      <c r="T980" t="str">
        <f>IF(S980="","",IF(S980="[FÓRMULA MANUAL]","",IFERROR(AVERAGEIFS(DATOS!$K$2:$K$20000,DATOS!$A$2:$A$20000,S980,DATOS!$G$2:$G$20000,CONFIG_METADATA!$B$4,DATOS!$I$2:$I$20000,"Armonía"),"")))</f>
        <v/>
      </c>
      <c r="U980" t="str">
        <f>IF(S980="","",IF(S980="[FÓRMULA MANUAL]","",IFERROR(AVERAGEIFS(DATOS!$K$2:$K$20000,DATOS!$A$2:$A$20000,S980,DATOS!$G$2:$G$20000,CONFIG_METADATA!$B$4,DATOS!$I$2:$I$20000,"Orquesta/Banda/Conjunto"),"")))</f>
        <v/>
      </c>
      <c r="V980" t="str">
        <f>IF(S980="","",IF(S980="[FÓRMULA MANUAL]","",IFERROR(AVERAGEIFS(DATOS!$K$2:$K$20000,DATOS!$A$2:$A$20000,S980,DATOS!$G$2:$G$20000,CONFIG_METADATA!$B$4,DATOS!$I$2:$I$20000,"Música de Cámara"),"")))</f>
        <v/>
      </c>
      <c r="W980" t="str">
        <f>IF(S980="","",IF(S980="[FÓRMULA MANUAL]","",IFERROR(SUMPRODUCT((DATOS!$A$2:$A$20000=S980)*(DATOS!$G$2:$G$20000=CONFIG_METADATA!$B$4)*(COUNTIF(CONFIG_ASIGNATURAS!$B$7:$B$27,DATOS!$I$2:$I$20000)&gt;0)*(DATOS!$K$2:$K$20000))/SUMPRODUCT((DATOS!$A$2:$A$20000=S980)*(DATOS!$G$2:$G$20000=CONFIG_METADATA!$B$4)*(COUNTIF(CONFIG_ASIGNATURAS!$B$7:$B$27,DATOS!$I$2:$I$20000)&gt;0)*1),"")))</f>
        <v/>
      </c>
      <c r="Z980" t="str">
        <f>IF(Y980="","",IF(Y980="[FÓRMULA MANUAL]","",IFERROR(AVERAGEIFS(DATOS!$K$2:$K$20000,DATOS!$A$2:$A$20000,Y980,DATOS!$G$2:$G$20000,CONFIG_METADATA!$B$4,DATOS!$I$2:$I$20000,"Análisis"),"")))</f>
        <v/>
      </c>
      <c r="AA980" t="str">
        <f>IF(Y980="","",IF(Y980="[FÓRMULA MANUAL]","",IFERROR(AVERAGEIFS(DATOS!$K$2:$K$20000,DATOS!$A$2:$A$20000,Y980,DATOS!$G$2:$G$20000,CONFIG_METADATA!$B$4,DATOS!$I$2:$I$20000,"Orquesta/Banda/Conjunto"),"")))</f>
        <v/>
      </c>
      <c r="AB980" t="str">
        <f>IF(Y980="","",IF(Y980="[FÓRMULA MANUAL]","",IFERROR(AVERAGEIFS(DATOS!$K$2:$K$20000,DATOS!$A$2:$A$20000,Y980,DATOS!$G$2:$G$20000,CONFIG_METADATA!$B$4,DATOS!$I$2:$I$20000,"Música de Cámara"),"")))</f>
        <v/>
      </c>
      <c r="AC980" t="str">
        <f>IF(Y980="","",IF(Y980="[FÓRMULA MANUAL]","",IFERROR(SUMPRODUCT((DATOS!$A$2:$A$20000=Y980)*(DATOS!$G$2:$G$20000=CONFIG_METADATA!$B$4)*(COUNTIF(CONFIG_ASIGNATURAS!$B$7:$B$27,DATOS!$I$2:$I$20000)&gt;0)*(DATOS!$K$2:$K$20000))/SUMPRODUCT((DATOS!$A$2:$A$20000=Y980)*(DATOS!$G$2:$G$20000=CONFIG_METADATA!$B$4)*(COUNTIF(CONFIG_ASIGNATURAS!$B$7:$B$27,DATOS!$I$2:$I$20000)&gt;0)*1),"")))</f>
        <v/>
      </c>
      <c r="AF980" t="str">
        <f>IF(AE980="","",IF(AE980="[FÓRMULA MANUAL]","",IFERROR(AVERAGEIFS(DATOS!$K$2:$K$20000,DATOS!$A$2:$A$20000,AE980,DATOS!$G$2:$G$20000,CONFIG_METADATA!$B$4,DATOS!$I$2:$I$20000,"Análisis"),"")))</f>
        <v/>
      </c>
      <c r="AG980" t="str">
        <f>IF(AE980="","",IF(AE980="[FÓRMULA MANUAL]","",IFERROR(AVERAGEIFS(DATOS!$K$2:$K$20000,DATOS!$A$2:$A$20000,AE980,DATOS!$G$2:$G$20000,CONFIG_METADATA!$B$4,DATOS!$I$2:$I$20000,"Orquesta/Banda/Conjunto"),"")))</f>
        <v/>
      </c>
      <c r="AH980" t="str">
        <f>IF(AE980="","",IF(AE980="[FÓRMULA MANUAL]","",IFERROR(AVERAGEIFS(DATOS!$K$2:$K$20000,DATOS!$A$2:$A$20000,AE980,DATOS!$G$2:$G$20000,CONFIG_METADATA!$B$4,DATOS!$I$2:$I$20000,"Música de Cámara"),"")))</f>
        <v/>
      </c>
      <c r="AI980" t="str">
        <f>IF(AE980="","",IF(AE980="[FÓRMULA MANUAL]","",IFERROR(SUMPRODUCT((DATOS!$A$2:$A$20000=AE980)*(DATOS!$G$2:$G$20000=CONFIG_METADATA!$B$4)*(COUNTIF(CONFIG_ASIGNATURAS!$B$7:$B$27,DATOS!$I$2:$I$20000)&gt;0)*(DATOS!$K$2:$K$20000))/SUMPRODUCT((DATOS!$A$2:$A$20000=AE980)*(DATOS!$G$2:$G$20000=CONFIG_METADATA!$B$4)*(COUNTIF(CONFIG_ASIGNATURAS!$B$7:$B$27,DATOS!$I$2:$I$20000)&gt;0)*1),"")))</f>
        <v/>
      </c>
    </row>
    <row r="981" spans="2:35" x14ac:dyDescent="0.2">
      <c r="B981" t="str">
        <f>IF(A981="","",IF(A981="[FÓRMULA MANUAL]","",IFERROR(AVERAGEIFS(DATOS!$K$2:$K$20000,DATOS!$A$2:$A$20000,A981,DATOS!$G$2:$G$20000,CONFIG_METADATA!$B$4,DATOS!$I$2:$I$20000,"Lenguaje Musical"),"")))</f>
        <v/>
      </c>
      <c r="C981" t="str">
        <f>IF(A981="","",IF(A981="[FÓRMULA MANUAL]","",IFERROR(AVERAGEIFS(DATOS!$K$2:$K$20000,DATOS!$A$2:$A$20000,A981,DATOS!$G$2:$G$20000,CONFIG_METADATA!$B$4,DATOS!$I$2:$I$20000,"Orquesta/Banda/Conjunto"),"")))</f>
        <v/>
      </c>
      <c r="D981" t="str">
        <f>IF(A981="","",IF(A981="[FÓRMULA MANUAL]","",IFERROR(AVERAGEIFS(DATOS!$K$2:$K$20000,DATOS!$A$2:$A$20000,A981,DATOS!$G$2:$G$20000,CONFIG_METADATA!$B$4,DATOS!$I$2:$I$20000,"Conjunto"),"")))</f>
        <v/>
      </c>
      <c r="E981" t="str">
        <f>IF(A981="","",IF(A981="[FÓRMULA MANUAL]","",IFERROR(SUMPRODUCT((DATOS!$A$2:$A$20000=A981)*(DATOS!$G$2:$G$20000=CONFIG_METADATA!$B$4)*(COUNTIF(CONFIG_ASIGNATURAS!$B$7:$B$27,DATOS!$I$2:$I$20000)&gt;0)*(DATOS!$K$2:$K$20000))/SUMPRODUCT((DATOS!$A$2:$A$20000=A981)*(DATOS!$G$2:$G$20000=CONFIG_METADATA!$B$4)*(COUNTIF(CONFIG_ASIGNATURAS!$B$7:$B$27,DATOS!$I$2:$I$20000)&gt;0)*1),"")))</f>
        <v/>
      </c>
      <c r="H981" t="str">
        <f>IF(G981="","",IF(G981="[FÓRMULA MANUAL]","",IFERROR(AVERAGEIFS(DATOS!$K$2:$K$20000,DATOS!$A$2:$A$20000,G981,DATOS!$G$2:$G$20000,CONFIG_METADATA!$B$4,DATOS!$I$2:$I$20000,"Lenguaje Musical"),"")))</f>
        <v/>
      </c>
      <c r="I981" t="str">
        <f>IF(G981="","",IF(G981="[FÓRMULA MANUAL]","",IFERROR(AVERAGEIFS(DATOS!$K$2:$K$20000,DATOS!$A$2:$A$20000,G981,DATOS!$G$2:$G$20000,CONFIG_METADATA!$B$4,DATOS!$I$2:$I$20000,"Orquesta/Banda/Conjunto"),"")))</f>
        <v/>
      </c>
      <c r="J981" t="str">
        <f>IF(G981="","",IF(G981="[FÓRMULA MANUAL]","",IFERROR(AVERAGEIFS(DATOS!$K$2:$K$20000,DATOS!$A$2:$A$20000,G981,DATOS!$G$2:$G$20000,CONFIG_METADATA!$B$4,DATOS!$I$2:$I$20000,"Conjunto"),"")))</f>
        <v/>
      </c>
      <c r="K981" t="str">
        <f>IF(G981="","",IF(G981="[FÓRMULA MANUAL]","",IFERROR(SUMPRODUCT((DATOS!$A$2:$A$20000=G981)*(DATOS!$G$2:$G$20000=CONFIG_METADATA!$B$4)*(COUNTIF(CONFIG_ASIGNATURAS!$B$7:$B$27,DATOS!$I$2:$I$20000)&gt;0)*(DATOS!$K$2:$K$20000))/SUMPRODUCT((DATOS!$A$2:$A$20000=G981)*(DATOS!$G$2:$G$20000=CONFIG_METADATA!$B$4)*(COUNTIF(CONFIG_ASIGNATURAS!$B$7:$B$27,DATOS!$I$2:$I$20000)&gt;0)*1),"")))</f>
        <v/>
      </c>
      <c r="N981" t="str">
        <f>IF(M981="","",IF(M981="[FÓRMULA MANUAL]","",IFERROR(AVERAGEIFS(DATOS!$K$2:$K$20000,DATOS!$A$2:$A$20000,M981,DATOS!$G$2:$G$20000,CONFIG_METADATA!$B$4,DATOS!$I$2:$I$20000,"Armonía"),"")))</f>
        <v/>
      </c>
      <c r="O981" t="str">
        <f>IF(M981="","",IF(M981="[FÓRMULA MANUAL]","",IFERROR(AVERAGEIFS(DATOS!$K$2:$K$20000,DATOS!$A$2:$A$20000,M981,DATOS!$G$2:$G$20000,CONFIG_METADATA!$B$4,DATOS!$I$2:$I$20000,"Orquesta/Banda/Conjunto"),"")))</f>
        <v/>
      </c>
      <c r="P981" t="str">
        <f>IF(M981="","",IF(M981="[FÓRMULA MANUAL]","",IFERROR(AVERAGEIFS(DATOS!$K$2:$K$20000,DATOS!$A$2:$A$20000,M981,DATOS!$G$2:$G$20000,CONFIG_METADATA!$B$4,DATOS!$I$2:$I$20000,"Música de Cámara"),"")))</f>
        <v/>
      </c>
      <c r="Q981" t="str">
        <f>IF(M981="","",IF(M981="[FÓRMULA MANUAL]","",IFERROR(SUMPRODUCT((DATOS!$A$2:$A$20000=M981)*(DATOS!$G$2:$G$20000=CONFIG_METADATA!$B$4)*(COUNTIF(CONFIG_ASIGNATURAS!$B$7:$B$27,DATOS!$I$2:$I$20000)&gt;0)*(DATOS!$K$2:$K$20000))/SUMPRODUCT((DATOS!$A$2:$A$20000=M981)*(DATOS!$G$2:$G$20000=CONFIG_METADATA!$B$4)*(COUNTIF(CONFIG_ASIGNATURAS!$B$7:$B$27,DATOS!$I$2:$I$20000)&gt;0)*1),"")))</f>
        <v/>
      </c>
      <c r="T981" t="str">
        <f>IF(S981="","",IF(S981="[FÓRMULA MANUAL]","",IFERROR(AVERAGEIFS(DATOS!$K$2:$K$20000,DATOS!$A$2:$A$20000,S981,DATOS!$G$2:$G$20000,CONFIG_METADATA!$B$4,DATOS!$I$2:$I$20000,"Armonía"),"")))</f>
        <v/>
      </c>
      <c r="U981" t="str">
        <f>IF(S981="","",IF(S981="[FÓRMULA MANUAL]","",IFERROR(AVERAGEIFS(DATOS!$K$2:$K$20000,DATOS!$A$2:$A$20000,S981,DATOS!$G$2:$G$20000,CONFIG_METADATA!$B$4,DATOS!$I$2:$I$20000,"Orquesta/Banda/Conjunto"),"")))</f>
        <v/>
      </c>
      <c r="V981" t="str">
        <f>IF(S981="","",IF(S981="[FÓRMULA MANUAL]","",IFERROR(AVERAGEIFS(DATOS!$K$2:$K$20000,DATOS!$A$2:$A$20000,S981,DATOS!$G$2:$G$20000,CONFIG_METADATA!$B$4,DATOS!$I$2:$I$20000,"Música de Cámara"),"")))</f>
        <v/>
      </c>
      <c r="W981" t="str">
        <f>IF(S981="","",IF(S981="[FÓRMULA MANUAL]","",IFERROR(SUMPRODUCT((DATOS!$A$2:$A$20000=S981)*(DATOS!$G$2:$G$20000=CONFIG_METADATA!$B$4)*(COUNTIF(CONFIG_ASIGNATURAS!$B$7:$B$27,DATOS!$I$2:$I$20000)&gt;0)*(DATOS!$K$2:$K$20000))/SUMPRODUCT((DATOS!$A$2:$A$20000=S981)*(DATOS!$G$2:$G$20000=CONFIG_METADATA!$B$4)*(COUNTIF(CONFIG_ASIGNATURAS!$B$7:$B$27,DATOS!$I$2:$I$20000)&gt;0)*1),"")))</f>
        <v/>
      </c>
      <c r="Z981" t="str">
        <f>IF(Y981="","",IF(Y981="[FÓRMULA MANUAL]","",IFERROR(AVERAGEIFS(DATOS!$K$2:$K$20000,DATOS!$A$2:$A$20000,Y981,DATOS!$G$2:$G$20000,CONFIG_METADATA!$B$4,DATOS!$I$2:$I$20000,"Análisis"),"")))</f>
        <v/>
      </c>
      <c r="AA981" t="str">
        <f>IF(Y981="","",IF(Y981="[FÓRMULA MANUAL]","",IFERROR(AVERAGEIFS(DATOS!$K$2:$K$20000,DATOS!$A$2:$A$20000,Y981,DATOS!$G$2:$G$20000,CONFIG_METADATA!$B$4,DATOS!$I$2:$I$20000,"Orquesta/Banda/Conjunto"),"")))</f>
        <v/>
      </c>
      <c r="AB981" t="str">
        <f>IF(Y981="","",IF(Y981="[FÓRMULA MANUAL]","",IFERROR(AVERAGEIFS(DATOS!$K$2:$K$20000,DATOS!$A$2:$A$20000,Y981,DATOS!$G$2:$G$20000,CONFIG_METADATA!$B$4,DATOS!$I$2:$I$20000,"Música de Cámara"),"")))</f>
        <v/>
      </c>
      <c r="AC981" t="str">
        <f>IF(Y981="","",IF(Y981="[FÓRMULA MANUAL]","",IFERROR(SUMPRODUCT((DATOS!$A$2:$A$20000=Y981)*(DATOS!$G$2:$G$20000=CONFIG_METADATA!$B$4)*(COUNTIF(CONFIG_ASIGNATURAS!$B$7:$B$27,DATOS!$I$2:$I$20000)&gt;0)*(DATOS!$K$2:$K$20000))/SUMPRODUCT((DATOS!$A$2:$A$20000=Y981)*(DATOS!$G$2:$G$20000=CONFIG_METADATA!$B$4)*(COUNTIF(CONFIG_ASIGNATURAS!$B$7:$B$27,DATOS!$I$2:$I$20000)&gt;0)*1),"")))</f>
        <v/>
      </c>
      <c r="AF981" t="str">
        <f>IF(AE981="","",IF(AE981="[FÓRMULA MANUAL]","",IFERROR(AVERAGEIFS(DATOS!$K$2:$K$20000,DATOS!$A$2:$A$20000,AE981,DATOS!$G$2:$G$20000,CONFIG_METADATA!$B$4,DATOS!$I$2:$I$20000,"Análisis"),"")))</f>
        <v/>
      </c>
      <c r="AG981" t="str">
        <f>IF(AE981="","",IF(AE981="[FÓRMULA MANUAL]","",IFERROR(AVERAGEIFS(DATOS!$K$2:$K$20000,DATOS!$A$2:$A$20000,AE981,DATOS!$G$2:$G$20000,CONFIG_METADATA!$B$4,DATOS!$I$2:$I$20000,"Orquesta/Banda/Conjunto"),"")))</f>
        <v/>
      </c>
      <c r="AH981" t="str">
        <f>IF(AE981="","",IF(AE981="[FÓRMULA MANUAL]","",IFERROR(AVERAGEIFS(DATOS!$K$2:$K$20000,DATOS!$A$2:$A$20000,AE981,DATOS!$G$2:$G$20000,CONFIG_METADATA!$B$4,DATOS!$I$2:$I$20000,"Música de Cámara"),"")))</f>
        <v/>
      </c>
      <c r="AI981" t="str">
        <f>IF(AE981="","",IF(AE981="[FÓRMULA MANUAL]","",IFERROR(SUMPRODUCT((DATOS!$A$2:$A$20000=AE981)*(DATOS!$G$2:$G$20000=CONFIG_METADATA!$B$4)*(COUNTIF(CONFIG_ASIGNATURAS!$B$7:$B$27,DATOS!$I$2:$I$20000)&gt;0)*(DATOS!$K$2:$K$20000))/SUMPRODUCT((DATOS!$A$2:$A$20000=AE981)*(DATOS!$G$2:$G$20000=CONFIG_METADATA!$B$4)*(COUNTIF(CONFIG_ASIGNATURAS!$B$7:$B$27,DATOS!$I$2:$I$20000)&gt;0)*1),"")))</f>
        <v/>
      </c>
    </row>
    <row r="982" spans="2:35" x14ac:dyDescent="0.2">
      <c r="B982" t="str">
        <f>IF(A982="","",IF(A982="[FÓRMULA MANUAL]","",IFERROR(AVERAGEIFS(DATOS!$K$2:$K$20000,DATOS!$A$2:$A$20000,A982,DATOS!$G$2:$G$20000,CONFIG_METADATA!$B$4,DATOS!$I$2:$I$20000,"Lenguaje Musical"),"")))</f>
        <v/>
      </c>
      <c r="C982" t="str">
        <f>IF(A982="","",IF(A982="[FÓRMULA MANUAL]","",IFERROR(AVERAGEIFS(DATOS!$K$2:$K$20000,DATOS!$A$2:$A$20000,A982,DATOS!$G$2:$G$20000,CONFIG_METADATA!$B$4,DATOS!$I$2:$I$20000,"Orquesta/Banda/Conjunto"),"")))</f>
        <v/>
      </c>
      <c r="D982" t="str">
        <f>IF(A982="","",IF(A982="[FÓRMULA MANUAL]","",IFERROR(AVERAGEIFS(DATOS!$K$2:$K$20000,DATOS!$A$2:$A$20000,A982,DATOS!$G$2:$G$20000,CONFIG_METADATA!$B$4,DATOS!$I$2:$I$20000,"Conjunto"),"")))</f>
        <v/>
      </c>
      <c r="E982" t="str">
        <f>IF(A982="","",IF(A982="[FÓRMULA MANUAL]","",IFERROR(SUMPRODUCT((DATOS!$A$2:$A$20000=A982)*(DATOS!$G$2:$G$20000=CONFIG_METADATA!$B$4)*(COUNTIF(CONFIG_ASIGNATURAS!$B$7:$B$27,DATOS!$I$2:$I$20000)&gt;0)*(DATOS!$K$2:$K$20000))/SUMPRODUCT((DATOS!$A$2:$A$20000=A982)*(DATOS!$G$2:$G$20000=CONFIG_METADATA!$B$4)*(COUNTIF(CONFIG_ASIGNATURAS!$B$7:$B$27,DATOS!$I$2:$I$20000)&gt;0)*1),"")))</f>
        <v/>
      </c>
      <c r="H982" t="str">
        <f>IF(G982="","",IF(G982="[FÓRMULA MANUAL]","",IFERROR(AVERAGEIFS(DATOS!$K$2:$K$20000,DATOS!$A$2:$A$20000,G982,DATOS!$G$2:$G$20000,CONFIG_METADATA!$B$4,DATOS!$I$2:$I$20000,"Lenguaje Musical"),"")))</f>
        <v/>
      </c>
      <c r="I982" t="str">
        <f>IF(G982="","",IF(G982="[FÓRMULA MANUAL]","",IFERROR(AVERAGEIFS(DATOS!$K$2:$K$20000,DATOS!$A$2:$A$20000,G982,DATOS!$G$2:$G$20000,CONFIG_METADATA!$B$4,DATOS!$I$2:$I$20000,"Orquesta/Banda/Conjunto"),"")))</f>
        <v/>
      </c>
      <c r="J982" t="str">
        <f>IF(G982="","",IF(G982="[FÓRMULA MANUAL]","",IFERROR(AVERAGEIFS(DATOS!$K$2:$K$20000,DATOS!$A$2:$A$20000,G982,DATOS!$G$2:$G$20000,CONFIG_METADATA!$B$4,DATOS!$I$2:$I$20000,"Conjunto"),"")))</f>
        <v/>
      </c>
      <c r="K982" t="str">
        <f>IF(G982="","",IF(G982="[FÓRMULA MANUAL]","",IFERROR(SUMPRODUCT((DATOS!$A$2:$A$20000=G982)*(DATOS!$G$2:$G$20000=CONFIG_METADATA!$B$4)*(COUNTIF(CONFIG_ASIGNATURAS!$B$7:$B$27,DATOS!$I$2:$I$20000)&gt;0)*(DATOS!$K$2:$K$20000))/SUMPRODUCT((DATOS!$A$2:$A$20000=G982)*(DATOS!$G$2:$G$20000=CONFIG_METADATA!$B$4)*(COUNTIF(CONFIG_ASIGNATURAS!$B$7:$B$27,DATOS!$I$2:$I$20000)&gt;0)*1),"")))</f>
        <v/>
      </c>
      <c r="N982" t="str">
        <f>IF(M982="","",IF(M982="[FÓRMULA MANUAL]","",IFERROR(AVERAGEIFS(DATOS!$K$2:$K$20000,DATOS!$A$2:$A$20000,M982,DATOS!$G$2:$G$20000,CONFIG_METADATA!$B$4,DATOS!$I$2:$I$20000,"Armonía"),"")))</f>
        <v/>
      </c>
      <c r="O982" t="str">
        <f>IF(M982="","",IF(M982="[FÓRMULA MANUAL]","",IFERROR(AVERAGEIFS(DATOS!$K$2:$K$20000,DATOS!$A$2:$A$20000,M982,DATOS!$G$2:$G$20000,CONFIG_METADATA!$B$4,DATOS!$I$2:$I$20000,"Orquesta/Banda/Conjunto"),"")))</f>
        <v/>
      </c>
      <c r="P982" t="str">
        <f>IF(M982="","",IF(M982="[FÓRMULA MANUAL]","",IFERROR(AVERAGEIFS(DATOS!$K$2:$K$20000,DATOS!$A$2:$A$20000,M982,DATOS!$G$2:$G$20000,CONFIG_METADATA!$B$4,DATOS!$I$2:$I$20000,"Música de Cámara"),"")))</f>
        <v/>
      </c>
      <c r="Q982" t="str">
        <f>IF(M982="","",IF(M982="[FÓRMULA MANUAL]","",IFERROR(SUMPRODUCT((DATOS!$A$2:$A$20000=M982)*(DATOS!$G$2:$G$20000=CONFIG_METADATA!$B$4)*(COUNTIF(CONFIG_ASIGNATURAS!$B$7:$B$27,DATOS!$I$2:$I$20000)&gt;0)*(DATOS!$K$2:$K$20000))/SUMPRODUCT((DATOS!$A$2:$A$20000=M982)*(DATOS!$G$2:$G$20000=CONFIG_METADATA!$B$4)*(COUNTIF(CONFIG_ASIGNATURAS!$B$7:$B$27,DATOS!$I$2:$I$20000)&gt;0)*1),"")))</f>
        <v/>
      </c>
      <c r="T982" t="str">
        <f>IF(S982="","",IF(S982="[FÓRMULA MANUAL]","",IFERROR(AVERAGEIFS(DATOS!$K$2:$K$20000,DATOS!$A$2:$A$20000,S982,DATOS!$G$2:$G$20000,CONFIG_METADATA!$B$4,DATOS!$I$2:$I$20000,"Armonía"),"")))</f>
        <v/>
      </c>
      <c r="U982" t="str">
        <f>IF(S982="","",IF(S982="[FÓRMULA MANUAL]","",IFERROR(AVERAGEIFS(DATOS!$K$2:$K$20000,DATOS!$A$2:$A$20000,S982,DATOS!$G$2:$G$20000,CONFIG_METADATA!$B$4,DATOS!$I$2:$I$20000,"Orquesta/Banda/Conjunto"),"")))</f>
        <v/>
      </c>
      <c r="V982" t="str">
        <f>IF(S982="","",IF(S982="[FÓRMULA MANUAL]","",IFERROR(AVERAGEIFS(DATOS!$K$2:$K$20000,DATOS!$A$2:$A$20000,S982,DATOS!$G$2:$G$20000,CONFIG_METADATA!$B$4,DATOS!$I$2:$I$20000,"Música de Cámara"),"")))</f>
        <v/>
      </c>
      <c r="W982" t="str">
        <f>IF(S982="","",IF(S982="[FÓRMULA MANUAL]","",IFERROR(SUMPRODUCT((DATOS!$A$2:$A$20000=S982)*(DATOS!$G$2:$G$20000=CONFIG_METADATA!$B$4)*(COUNTIF(CONFIG_ASIGNATURAS!$B$7:$B$27,DATOS!$I$2:$I$20000)&gt;0)*(DATOS!$K$2:$K$20000))/SUMPRODUCT((DATOS!$A$2:$A$20000=S982)*(DATOS!$G$2:$G$20000=CONFIG_METADATA!$B$4)*(COUNTIF(CONFIG_ASIGNATURAS!$B$7:$B$27,DATOS!$I$2:$I$20000)&gt;0)*1),"")))</f>
        <v/>
      </c>
      <c r="Z982" t="str">
        <f>IF(Y982="","",IF(Y982="[FÓRMULA MANUAL]","",IFERROR(AVERAGEIFS(DATOS!$K$2:$K$20000,DATOS!$A$2:$A$20000,Y982,DATOS!$G$2:$G$20000,CONFIG_METADATA!$B$4,DATOS!$I$2:$I$20000,"Análisis"),"")))</f>
        <v/>
      </c>
      <c r="AA982" t="str">
        <f>IF(Y982="","",IF(Y982="[FÓRMULA MANUAL]","",IFERROR(AVERAGEIFS(DATOS!$K$2:$K$20000,DATOS!$A$2:$A$20000,Y982,DATOS!$G$2:$G$20000,CONFIG_METADATA!$B$4,DATOS!$I$2:$I$20000,"Orquesta/Banda/Conjunto"),"")))</f>
        <v/>
      </c>
      <c r="AB982" t="str">
        <f>IF(Y982="","",IF(Y982="[FÓRMULA MANUAL]","",IFERROR(AVERAGEIFS(DATOS!$K$2:$K$20000,DATOS!$A$2:$A$20000,Y982,DATOS!$G$2:$G$20000,CONFIG_METADATA!$B$4,DATOS!$I$2:$I$20000,"Música de Cámara"),"")))</f>
        <v/>
      </c>
      <c r="AC982" t="str">
        <f>IF(Y982="","",IF(Y982="[FÓRMULA MANUAL]","",IFERROR(SUMPRODUCT((DATOS!$A$2:$A$20000=Y982)*(DATOS!$G$2:$G$20000=CONFIG_METADATA!$B$4)*(COUNTIF(CONFIG_ASIGNATURAS!$B$7:$B$27,DATOS!$I$2:$I$20000)&gt;0)*(DATOS!$K$2:$K$20000))/SUMPRODUCT((DATOS!$A$2:$A$20000=Y982)*(DATOS!$G$2:$G$20000=CONFIG_METADATA!$B$4)*(COUNTIF(CONFIG_ASIGNATURAS!$B$7:$B$27,DATOS!$I$2:$I$20000)&gt;0)*1),"")))</f>
        <v/>
      </c>
      <c r="AF982" t="str">
        <f>IF(AE982="","",IF(AE982="[FÓRMULA MANUAL]","",IFERROR(AVERAGEIFS(DATOS!$K$2:$K$20000,DATOS!$A$2:$A$20000,AE982,DATOS!$G$2:$G$20000,CONFIG_METADATA!$B$4,DATOS!$I$2:$I$20000,"Análisis"),"")))</f>
        <v/>
      </c>
      <c r="AG982" t="str">
        <f>IF(AE982="","",IF(AE982="[FÓRMULA MANUAL]","",IFERROR(AVERAGEIFS(DATOS!$K$2:$K$20000,DATOS!$A$2:$A$20000,AE982,DATOS!$G$2:$G$20000,CONFIG_METADATA!$B$4,DATOS!$I$2:$I$20000,"Orquesta/Banda/Conjunto"),"")))</f>
        <v/>
      </c>
      <c r="AH982" t="str">
        <f>IF(AE982="","",IF(AE982="[FÓRMULA MANUAL]","",IFERROR(AVERAGEIFS(DATOS!$K$2:$K$20000,DATOS!$A$2:$A$20000,AE982,DATOS!$G$2:$G$20000,CONFIG_METADATA!$B$4,DATOS!$I$2:$I$20000,"Música de Cámara"),"")))</f>
        <v/>
      </c>
      <c r="AI982" t="str">
        <f>IF(AE982="","",IF(AE982="[FÓRMULA MANUAL]","",IFERROR(SUMPRODUCT((DATOS!$A$2:$A$20000=AE982)*(DATOS!$G$2:$G$20000=CONFIG_METADATA!$B$4)*(COUNTIF(CONFIG_ASIGNATURAS!$B$7:$B$27,DATOS!$I$2:$I$20000)&gt;0)*(DATOS!$K$2:$K$20000))/SUMPRODUCT((DATOS!$A$2:$A$20000=AE982)*(DATOS!$G$2:$G$20000=CONFIG_METADATA!$B$4)*(COUNTIF(CONFIG_ASIGNATURAS!$B$7:$B$27,DATOS!$I$2:$I$20000)&gt;0)*1),"")))</f>
        <v/>
      </c>
    </row>
    <row r="983" spans="2:35" x14ac:dyDescent="0.2">
      <c r="B983" t="str">
        <f>IF(A983="","",IF(A983="[FÓRMULA MANUAL]","",IFERROR(AVERAGEIFS(DATOS!$K$2:$K$20000,DATOS!$A$2:$A$20000,A983,DATOS!$G$2:$G$20000,CONFIG_METADATA!$B$4,DATOS!$I$2:$I$20000,"Lenguaje Musical"),"")))</f>
        <v/>
      </c>
      <c r="C983" t="str">
        <f>IF(A983="","",IF(A983="[FÓRMULA MANUAL]","",IFERROR(AVERAGEIFS(DATOS!$K$2:$K$20000,DATOS!$A$2:$A$20000,A983,DATOS!$G$2:$G$20000,CONFIG_METADATA!$B$4,DATOS!$I$2:$I$20000,"Orquesta/Banda/Conjunto"),"")))</f>
        <v/>
      </c>
      <c r="D983" t="str">
        <f>IF(A983="","",IF(A983="[FÓRMULA MANUAL]","",IFERROR(AVERAGEIFS(DATOS!$K$2:$K$20000,DATOS!$A$2:$A$20000,A983,DATOS!$G$2:$G$20000,CONFIG_METADATA!$B$4,DATOS!$I$2:$I$20000,"Conjunto"),"")))</f>
        <v/>
      </c>
      <c r="E983" t="str">
        <f>IF(A983="","",IF(A983="[FÓRMULA MANUAL]","",IFERROR(SUMPRODUCT((DATOS!$A$2:$A$20000=A983)*(DATOS!$G$2:$G$20000=CONFIG_METADATA!$B$4)*(COUNTIF(CONFIG_ASIGNATURAS!$B$7:$B$27,DATOS!$I$2:$I$20000)&gt;0)*(DATOS!$K$2:$K$20000))/SUMPRODUCT((DATOS!$A$2:$A$20000=A983)*(DATOS!$G$2:$G$20000=CONFIG_METADATA!$B$4)*(COUNTIF(CONFIG_ASIGNATURAS!$B$7:$B$27,DATOS!$I$2:$I$20000)&gt;0)*1),"")))</f>
        <v/>
      </c>
      <c r="H983" t="str">
        <f>IF(G983="","",IF(G983="[FÓRMULA MANUAL]","",IFERROR(AVERAGEIFS(DATOS!$K$2:$K$20000,DATOS!$A$2:$A$20000,G983,DATOS!$G$2:$G$20000,CONFIG_METADATA!$B$4,DATOS!$I$2:$I$20000,"Lenguaje Musical"),"")))</f>
        <v/>
      </c>
      <c r="I983" t="str">
        <f>IF(G983="","",IF(G983="[FÓRMULA MANUAL]","",IFERROR(AVERAGEIFS(DATOS!$K$2:$K$20000,DATOS!$A$2:$A$20000,G983,DATOS!$G$2:$G$20000,CONFIG_METADATA!$B$4,DATOS!$I$2:$I$20000,"Orquesta/Banda/Conjunto"),"")))</f>
        <v/>
      </c>
      <c r="J983" t="str">
        <f>IF(G983="","",IF(G983="[FÓRMULA MANUAL]","",IFERROR(AVERAGEIFS(DATOS!$K$2:$K$20000,DATOS!$A$2:$A$20000,G983,DATOS!$G$2:$G$20000,CONFIG_METADATA!$B$4,DATOS!$I$2:$I$20000,"Conjunto"),"")))</f>
        <v/>
      </c>
      <c r="K983" t="str">
        <f>IF(G983="","",IF(G983="[FÓRMULA MANUAL]","",IFERROR(SUMPRODUCT((DATOS!$A$2:$A$20000=G983)*(DATOS!$G$2:$G$20000=CONFIG_METADATA!$B$4)*(COUNTIF(CONFIG_ASIGNATURAS!$B$7:$B$27,DATOS!$I$2:$I$20000)&gt;0)*(DATOS!$K$2:$K$20000))/SUMPRODUCT((DATOS!$A$2:$A$20000=G983)*(DATOS!$G$2:$G$20000=CONFIG_METADATA!$B$4)*(COUNTIF(CONFIG_ASIGNATURAS!$B$7:$B$27,DATOS!$I$2:$I$20000)&gt;0)*1),"")))</f>
        <v/>
      </c>
      <c r="N983" t="str">
        <f>IF(M983="","",IF(M983="[FÓRMULA MANUAL]","",IFERROR(AVERAGEIFS(DATOS!$K$2:$K$20000,DATOS!$A$2:$A$20000,M983,DATOS!$G$2:$G$20000,CONFIG_METADATA!$B$4,DATOS!$I$2:$I$20000,"Armonía"),"")))</f>
        <v/>
      </c>
      <c r="O983" t="str">
        <f>IF(M983="","",IF(M983="[FÓRMULA MANUAL]","",IFERROR(AVERAGEIFS(DATOS!$K$2:$K$20000,DATOS!$A$2:$A$20000,M983,DATOS!$G$2:$G$20000,CONFIG_METADATA!$B$4,DATOS!$I$2:$I$20000,"Orquesta/Banda/Conjunto"),"")))</f>
        <v/>
      </c>
      <c r="P983" t="str">
        <f>IF(M983="","",IF(M983="[FÓRMULA MANUAL]","",IFERROR(AVERAGEIFS(DATOS!$K$2:$K$20000,DATOS!$A$2:$A$20000,M983,DATOS!$G$2:$G$20000,CONFIG_METADATA!$B$4,DATOS!$I$2:$I$20000,"Música de Cámara"),"")))</f>
        <v/>
      </c>
      <c r="Q983" t="str">
        <f>IF(M983="","",IF(M983="[FÓRMULA MANUAL]","",IFERROR(SUMPRODUCT((DATOS!$A$2:$A$20000=M983)*(DATOS!$G$2:$G$20000=CONFIG_METADATA!$B$4)*(COUNTIF(CONFIG_ASIGNATURAS!$B$7:$B$27,DATOS!$I$2:$I$20000)&gt;0)*(DATOS!$K$2:$K$20000))/SUMPRODUCT((DATOS!$A$2:$A$20000=M983)*(DATOS!$G$2:$G$20000=CONFIG_METADATA!$B$4)*(COUNTIF(CONFIG_ASIGNATURAS!$B$7:$B$27,DATOS!$I$2:$I$20000)&gt;0)*1),"")))</f>
        <v/>
      </c>
      <c r="T983" t="str">
        <f>IF(S983="","",IF(S983="[FÓRMULA MANUAL]","",IFERROR(AVERAGEIFS(DATOS!$K$2:$K$20000,DATOS!$A$2:$A$20000,S983,DATOS!$G$2:$G$20000,CONFIG_METADATA!$B$4,DATOS!$I$2:$I$20000,"Armonía"),"")))</f>
        <v/>
      </c>
      <c r="U983" t="str">
        <f>IF(S983="","",IF(S983="[FÓRMULA MANUAL]","",IFERROR(AVERAGEIFS(DATOS!$K$2:$K$20000,DATOS!$A$2:$A$20000,S983,DATOS!$G$2:$G$20000,CONFIG_METADATA!$B$4,DATOS!$I$2:$I$20000,"Orquesta/Banda/Conjunto"),"")))</f>
        <v/>
      </c>
      <c r="V983" t="str">
        <f>IF(S983="","",IF(S983="[FÓRMULA MANUAL]","",IFERROR(AVERAGEIFS(DATOS!$K$2:$K$20000,DATOS!$A$2:$A$20000,S983,DATOS!$G$2:$G$20000,CONFIG_METADATA!$B$4,DATOS!$I$2:$I$20000,"Música de Cámara"),"")))</f>
        <v/>
      </c>
      <c r="W983" t="str">
        <f>IF(S983="","",IF(S983="[FÓRMULA MANUAL]","",IFERROR(SUMPRODUCT((DATOS!$A$2:$A$20000=S983)*(DATOS!$G$2:$G$20000=CONFIG_METADATA!$B$4)*(COUNTIF(CONFIG_ASIGNATURAS!$B$7:$B$27,DATOS!$I$2:$I$20000)&gt;0)*(DATOS!$K$2:$K$20000))/SUMPRODUCT((DATOS!$A$2:$A$20000=S983)*(DATOS!$G$2:$G$20000=CONFIG_METADATA!$B$4)*(COUNTIF(CONFIG_ASIGNATURAS!$B$7:$B$27,DATOS!$I$2:$I$20000)&gt;0)*1),"")))</f>
        <v/>
      </c>
      <c r="Z983" t="str">
        <f>IF(Y983="","",IF(Y983="[FÓRMULA MANUAL]","",IFERROR(AVERAGEIFS(DATOS!$K$2:$K$20000,DATOS!$A$2:$A$20000,Y983,DATOS!$G$2:$G$20000,CONFIG_METADATA!$B$4,DATOS!$I$2:$I$20000,"Análisis"),"")))</f>
        <v/>
      </c>
      <c r="AA983" t="str">
        <f>IF(Y983="","",IF(Y983="[FÓRMULA MANUAL]","",IFERROR(AVERAGEIFS(DATOS!$K$2:$K$20000,DATOS!$A$2:$A$20000,Y983,DATOS!$G$2:$G$20000,CONFIG_METADATA!$B$4,DATOS!$I$2:$I$20000,"Orquesta/Banda/Conjunto"),"")))</f>
        <v/>
      </c>
      <c r="AB983" t="str">
        <f>IF(Y983="","",IF(Y983="[FÓRMULA MANUAL]","",IFERROR(AVERAGEIFS(DATOS!$K$2:$K$20000,DATOS!$A$2:$A$20000,Y983,DATOS!$G$2:$G$20000,CONFIG_METADATA!$B$4,DATOS!$I$2:$I$20000,"Música de Cámara"),"")))</f>
        <v/>
      </c>
      <c r="AC983" t="str">
        <f>IF(Y983="","",IF(Y983="[FÓRMULA MANUAL]","",IFERROR(SUMPRODUCT((DATOS!$A$2:$A$20000=Y983)*(DATOS!$G$2:$G$20000=CONFIG_METADATA!$B$4)*(COUNTIF(CONFIG_ASIGNATURAS!$B$7:$B$27,DATOS!$I$2:$I$20000)&gt;0)*(DATOS!$K$2:$K$20000))/SUMPRODUCT((DATOS!$A$2:$A$20000=Y983)*(DATOS!$G$2:$G$20000=CONFIG_METADATA!$B$4)*(COUNTIF(CONFIG_ASIGNATURAS!$B$7:$B$27,DATOS!$I$2:$I$20000)&gt;0)*1),"")))</f>
        <v/>
      </c>
      <c r="AF983" t="str">
        <f>IF(AE983="","",IF(AE983="[FÓRMULA MANUAL]","",IFERROR(AVERAGEIFS(DATOS!$K$2:$K$20000,DATOS!$A$2:$A$20000,AE983,DATOS!$G$2:$G$20000,CONFIG_METADATA!$B$4,DATOS!$I$2:$I$20000,"Análisis"),"")))</f>
        <v/>
      </c>
      <c r="AG983" t="str">
        <f>IF(AE983="","",IF(AE983="[FÓRMULA MANUAL]","",IFERROR(AVERAGEIFS(DATOS!$K$2:$K$20000,DATOS!$A$2:$A$20000,AE983,DATOS!$G$2:$G$20000,CONFIG_METADATA!$B$4,DATOS!$I$2:$I$20000,"Orquesta/Banda/Conjunto"),"")))</f>
        <v/>
      </c>
      <c r="AH983" t="str">
        <f>IF(AE983="","",IF(AE983="[FÓRMULA MANUAL]","",IFERROR(AVERAGEIFS(DATOS!$K$2:$K$20000,DATOS!$A$2:$A$20000,AE983,DATOS!$G$2:$G$20000,CONFIG_METADATA!$B$4,DATOS!$I$2:$I$20000,"Música de Cámara"),"")))</f>
        <v/>
      </c>
      <c r="AI983" t="str">
        <f>IF(AE983="","",IF(AE983="[FÓRMULA MANUAL]","",IFERROR(SUMPRODUCT((DATOS!$A$2:$A$20000=AE983)*(DATOS!$G$2:$G$20000=CONFIG_METADATA!$B$4)*(COUNTIF(CONFIG_ASIGNATURAS!$B$7:$B$27,DATOS!$I$2:$I$20000)&gt;0)*(DATOS!$K$2:$K$20000))/SUMPRODUCT((DATOS!$A$2:$A$20000=AE983)*(DATOS!$G$2:$G$20000=CONFIG_METADATA!$B$4)*(COUNTIF(CONFIG_ASIGNATURAS!$B$7:$B$27,DATOS!$I$2:$I$20000)&gt;0)*1),"")))</f>
        <v/>
      </c>
    </row>
    <row r="984" spans="2:35" x14ac:dyDescent="0.2">
      <c r="B984" t="str">
        <f>IF(A984="","",IF(A984="[FÓRMULA MANUAL]","",IFERROR(AVERAGEIFS(DATOS!$K$2:$K$20000,DATOS!$A$2:$A$20000,A984,DATOS!$G$2:$G$20000,CONFIG_METADATA!$B$4,DATOS!$I$2:$I$20000,"Lenguaje Musical"),"")))</f>
        <v/>
      </c>
      <c r="C984" t="str">
        <f>IF(A984="","",IF(A984="[FÓRMULA MANUAL]","",IFERROR(AVERAGEIFS(DATOS!$K$2:$K$20000,DATOS!$A$2:$A$20000,A984,DATOS!$G$2:$G$20000,CONFIG_METADATA!$B$4,DATOS!$I$2:$I$20000,"Orquesta/Banda/Conjunto"),"")))</f>
        <v/>
      </c>
      <c r="D984" t="str">
        <f>IF(A984="","",IF(A984="[FÓRMULA MANUAL]","",IFERROR(AVERAGEIFS(DATOS!$K$2:$K$20000,DATOS!$A$2:$A$20000,A984,DATOS!$G$2:$G$20000,CONFIG_METADATA!$B$4,DATOS!$I$2:$I$20000,"Conjunto"),"")))</f>
        <v/>
      </c>
      <c r="E984" t="str">
        <f>IF(A984="","",IF(A984="[FÓRMULA MANUAL]","",IFERROR(SUMPRODUCT((DATOS!$A$2:$A$20000=A984)*(DATOS!$G$2:$G$20000=CONFIG_METADATA!$B$4)*(COUNTIF(CONFIG_ASIGNATURAS!$B$7:$B$27,DATOS!$I$2:$I$20000)&gt;0)*(DATOS!$K$2:$K$20000))/SUMPRODUCT((DATOS!$A$2:$A$20000=A984)*(DATOS!$G$2:$G$20000=CONFIG_METADATA!$B$4)*(COUNTIF(CONFIG_ASIGNATURAS!$B$7:$B$27,DATOS!$I$2:$I$20000)&gt;0)*1),"")))</f>
        <v/>
      </c>
      <c r="H984" t="str">
        <f>IF(G984="","",IF(G984="[FÓRMULA MANUAL]","",IFERROR(AVERAGEIFS(DATOS!$K$2:$K$20000,DATOS!$A$2:$A$20000,G984,DATOS!$G$2:$G$20000,CONFIG_METADATA!$B$4,DATOS!$I$2:$I$20000,"Lenguaje Musical"),"")))</f>
        <v/>
      </c>
      <c r="I984" t="str">
        <f>IF(G984="","",IF(G984="[FÓRMULA MANUAL]","",IFERROR(AVERAGEIFS(DATOS!$K$2:$K$20000,DATOS!$A$2:$A$20000,G984,DATOS!$G$2:$G$20000,CONFIG_METADATA!$B$4,DATOS!$I$2:$I$20000,"Orquesta/Banda/Conjunto"),"")))</f>
        <v/>
      </c>
      <c r="J984" t="str">
        <f>IF(G984="","",IF(G984="[FÓRMULA MANUAL]","",IFERROR(AVERAGEIFS(DATOS!$K$2:$K$20000,DATOS!$A$2:$A$20000,G984,DATOS!$G$2:$G$20000,CONFIG_METADATA!$B$4,DATOS!$I$2:$I$20000,"Conjunto"),"")))</f>
        <v/>
      </c>
      <c r="K984" t="str">
        <f>IF(G984="","",IF(G984="[FÓRMULA MANUAL]","",IFERROR(SUMPRODUCT((DATOS!$A$2:$A$20000=G984)*(DATOS!$G$2:$G$20000=CONFIG_METADATA!$B$4)*(COUNTIF(CONFIG_ASIGNATURAS!$B$7:$B$27,DATOS!$I$2:$I$20000)&gt;0)*(DATOS!$K$2:$K$20000))/SUMPRODUCT((DATOS!$A$2:$A$20000=G984)*(DATOS!$G$2:$G$20000=CONFIG_METADATA!$B$4)*(COUNTIF(CONFIG_ASIGNATURAS!$B$7:$B$27,DATOS!$I$2:$I$20000)&gt;0)*1),"")))</f>
        <v/>
      </c>
      <c r="N984" t="str">
        <f>IF(M984="","",IF(M984="[FÓRMULA MANUAL]","",IFERROR(AVERAGEIFS(DATOS!$K$2:$K$20000,DATOS!$A$2:$A$20000,M984,DATOS!$G$2:$G$20000,CONFIG_METADATA!$B$4,DATOS!$I$2:$I$20000,"Armonía"),"")))</f>
        <v/>
      </c>
      <c r="O984" t="str">
        <f>IF(M984="","",IF(M984="[FÓRMULA MANUAL]","",IFERROR(AVERAGEIFS(DATOS!$K$2:$K$20000,DATOS!$A$2:$A$20000,M984,DATOS!$G$2:$G$20000,CONFIG_METADATA!$B$4,DATOS!$I$2:$I$20000,"Orquesta/Banda/Conjunto"),"")))</f>
        <v/>
      </c>
      <c r="P984" t="str">
        <f>IF(M984="","",IF(M984="[FÓRMULA MANUAL]","",IFERROR(AVERAGEIFS(DATOS!$K$2:$K$20000,DATOS!$A$2:$A$20000,M984,DATOS!$G$2:$G$20000,CONFIG_METADATA!$B$4,DATOS!$I$2:$I$20000,"Música de Cámara"),"")))</f>
        <v/>
      </c>
      <c r="Q984" t="str">
        <f>IF(M984="","",IF(M984="[FÓRMULA MANUAL]","",IFERROR(SUMPRODUCT((DATOS!$A$2:$A$20000=M984)*(DATOS!$G$2:$G$20000=CONFIG_METADATA!$B$4)*(COUNTIF(CONFIG_ASIGNATURAS!$B$7:$B$27,DATOS!$I$2:$I$20000)&gt;0)*(DATOS!$K$2:$K$20000))/SUMPRODUCT((DATOS!$A$2:$A$20000=M984)*(DATOS!$G$2:$G$20000=CONFIG_METADATA!$B$4)*(COUNTIF(CONFIG_ASIGNATURAS!$B$7:$B$27,DATOS!$I$2:$I$20000)&gt;0)*1),"")))</f>
        <v/>
      </c>
      <c r="T984" t="str">
        <f>IF(S984="","",IF(S984="[FÓRMULA MANUAL]","",IFERROR(AVERAGEIFS(DATOS!$K$2:$K$20000,DATOS!$A$2:$A$20000,S984,DATOS!$G$2:$G$20000,CONFIG_METADATA!$B$4,DATOS!$I$2:$I$20000,"Armonía"),"")))</f>
        <v/>
      </c>
      <c r="U984" t="str">
        <f>IF(S984="","",IF(S984="[FÓRMULA MANUAL]","",IFERROR(AVERAGEIFS(DATOS!$K$2:$K$20000,DATOS!$A$2:$A$20000,S984,DATOS!$G$2:$G$20000,CONFIG_METADATA!$B$4,DATOS!$I$2:$I$20000,"Orquesta/Banda/Conjunto"),"")))</f>
        <v/>
      </c>
      <c r="V984" t="str">
        <f>IF(S984="","",IF(S984="[FÓRMULA MANUAL]","",IFERROR(AVERAGEIFS(DATOS!$K$2:$K$20000,DATOS!$A$2:$A$20000,S984,DATOS!$G$2:$G$20000,CONFIG_METADATA!$B$4,DATOS!$I$2:$I$20000,"Música de Cámara"),"")))</f>
        <v/>
      </c>
      <c r="W984" t="str">
        <f>IF(S984="","",IF(S984="[FÓRMULA MANUAL]","",IFERROR(SUMPRODUCT((DATOS!$A$2:$A$20000=S984)*(DATOS!$G$2:$G$20000=CONFIG_METADATA!$B$4)*(COUNTIF(CONFIG_ASIGNATURAS!$B$7:$B$27,DATOS!$I$2:$I$20000)&gt;0)*(DATOS!$K$2:$K$20000))/SUMPRODUCT((DATOS!$A$2:$A$20000=S984)*(DATOS!$G$2:$G$20000=CONFIG_METADATA!$B$4)*(COUNTIF(CONFIG_ASIGNATURAS!$B$7:$B$27,DATOS!$I$2:$I$20000)&gt;0)*1),"")))</f>
        <v/>
      </c>
      <c r="Z984" t="str">
        <f>IF(Y984="","",IF(Y984="[FÓRMULA MANUAL]","",IFERROR(AVERAGEIFS(DATOS!$K$2:$K$20000,DATOS!$A$2:$A$20000,Y984,DATOS!$G$2:$G$20000,CONFIG_METADATA!$B$4,DATOS!$I$2:$I$20000,"Análisis"),"")))</f>
        <v/>
      </c>
      <c r="AA984" t="str">
        <f>IF(Y984="","",IF(Y984="[FÓRMULA MANUAL]","",IFERROR(AVERAGEIFS(DATOS!$K$2:$K$20000,DATOS!$A$2:$A$20000,Y984,DATOS!$G$2:$G$20000,CONFIG_METADATA!$B$4,DATOS!$I$2:$I$20000,"Orquesta/Banda/Conjunto"),"")))</f>
        <v/>
      </c>
      <c r="AB984" t="str">
        <f>IF(Y984="","",IF(Y984="[FÓRMULA MANUAL]","",IFERROR(AVERAGEIFS(DATOS!$K$2:$K$20000,DATOS!$A$2:$A$20000,Y984,DATOS!$G$2:$G$20000,CONFIG_METADATA!$B$4,DATOS!$I$2:$I$20000,"Música de Cámara"),"")))</f>
        <v/>
      </c>
      <c r="AC984" t="str">
        <f>IF(Y984="","",IF(Y984="[FÓRMULA MANUAL]","",IFERROR(SUMPRODUCT((DATOS!$A$2:$A$20000=Y984)*(DATOS!$G$2:$G$20000=CONFIG_METADATA!$B$4)*(COUNTIF(CONFIG_ASIGNATURAS!$B$7:$B$27,DATOS!$I$2:$I$20000)&gt;0)*(DATOS!$K$2:$K$20000))/SUMPRODUCT((DATOS!$A$2:$A$20000=Y984)*(DATOS!$G$2:$G$20000=CONFIG_METADATA!$B$4)*(COUNTIF(CONFIG_ASIGNATURAS!$B$7:$B$27,DATOS!$I$2:$I$20000)&gt;0)*1),"")))</f>
        <v/>
      </c>
      <c r="AF984" t="str">
        <f>IF(AE984="","",IF(AE984="[FÓRMULA MANUAL]","",IFERROR(AVERAGEIFS(DATOS!$K$2:$K$20000,DATOS!$A$2:$A$20000,AE984,DATOS!$G$2:$G$20000,CONFIG_METADATA!$B$4,DATOS!$I$2:$I$20000,"Análisis"),"")))</f>
        <v/>
      </c>
      <c r="AG984" t="str">
        <f>IF(AE984="","",IF(AE984="[FÓRMULA MANUAL]","",IFERROR(AVERAGEIFS(DATOS!$K$2:$K$20000,DATOS!$A$2:$A$20000,AE984,DATOS!$G$2:$G$20000,CONFIG_METADATA!$B$4,DATOS!$I$2:$I$20000,"Orquesta/Banda/Conjunto"),"")))</f>
        <v/>
      </c>
      <c r="AH984" t="str">
        <f>IF(AE984="","",IF(AE984="[FÓRMULA MANUAL]","",IFERROR(AVERAGEIFS(DATOS!$K$2:$K$20000,DATOS!$A$2:$A$20000,AE984,DATOS!$G$2:$G$20000,CONFIG_METADATA!$B$4,DATOS!$I$2:$I$20000,"Música de Cámara"),"")))</f>
        <v/>
      </c>
      <c r="AI984" t="str">
        <f>IF(AE984="","",IF(AE984="[FÓRMULA MANUAL]","",IFERROR(SUMPRODUCT((DATOS!$A$2:$A$20000=AE984)*(DATOS!$G$2:$G$20000=CONFIG_METADATA!$B$4)*(COUNTIF(CONFIG_ASIGNATURAS!$B$7:$B$27,DATOS!$I$2:$I$20000)&gt;0)*(DATOS!$K$2:$K$20000))/SUMPRODUCT((DATOS!$A$2:$A$20000=AE984)*(DATOS!$G$2:$G$20000=CONFIG_METADATA!$B$4)*(COUNTIF(CONFIG_ASIGNATURAS!$B$7:$B$27,DATOS!$I$2:$I$20000)&gt;0)*1),"")))</f>
        <v/>
      </c>
    </row>
    <row r="985" spans="2:35" x14ac:dyDescent="0.2">
      <c r="B985" t="str">
        <f>IF(A985="","",IF(A985="[FÓRMULA MANUAL]","",IFERROR(AVERAGEIFS(DATOS!$K$2:$K$20000,DATOS!$A$2:$A$20000,A985,DATOS!$G$2:$G$20000,CONFIG_METADATA!$B$4,DATOS!$I$2:$I$20000,"Lenguaje Musical"),"")))</f>
        <v/>
      </c>
      <c r="C985" t="str">
        <f>IF(A985="","",IF(A985="[FÓRMULA MANUAL]","",IFERROR(AVERAGEIFS(DATOS!$K$2:$K$20000,DATOS!$A$2:$A$20000,A985,DATOS!$G$2:$G$20000,CONFIG_METADATA!$B$4,DATOS!$I$2:$I$20000,"Orquesta/Banda/Conjunto"),"")))</f>
        <v/>
      </c>
      <c r="D985" t="str">
        <f>IF(A985="","",IF(A985="[FÓRMULA MANUAL]","",IFERROR(AVERAGEIFS(DATOS!$K$2:$K$20000,DATOS!$A$2:$A$20000,A985,DATOS!$G$2:$G$20000,CONFIG_METADATA!$B$4,DATOS!$I$2:$I$20000,"Conjunto"),"")))</f>
        <v/>
      </c>
      <c r="E985" t="str">
        <f>IF(A985="","",IF(A985="[FÓRMULA MANUAL]","",IFERROR(SUMPRODUCT((DATOS!$A$2:$A$20000=A985)*(DATOS!$G$2:$G$20000=CONFIG_METADATA!$B$4)*(COUNTIF(CONFIG_ASIGNATURAS!$B$7:$B$27,DATOS!$I$2:$I$20000)&gt;0)*(DATOS!$K$2:$K$20000))/SUMPRODUCT((DATOS!$A$2:$A$20000=A985)*(DATOS!$G$2:$G$20000=CONFIG_METADATA!$B$4)*(COUNTIF(CONFIG_ASIGNATURAS!$B$7:$B$27,DATOS!$I$2:$I$20000)&gt;0)*1),"")))</f>
        <v/>
      </c>
      <c r="H985" t="str">
        <f>IF(G985="","",IF(G985="[FÓRMULA MANUAL]","",IFERROR(AVERAGEIFS(DATOS!$K$2:$K$20000,DATOS!$A$2:$A$20000,G985,DATOS!$G$2:$G$20000,CONFIG_METADATA!$B$4,DATOS!$I$2:$I$20000,"Lenguaje Musical"),"")))</f>
        <v/>
      </c>
      <c r="I985" t="str">
        <f>IF(G985="","",IF(G985="[FÓRMULA MANUAL]","",IFERROR(AVERAGEIFS(DATOS!$K$2:$K$20000,DATOS!$A$2:$A$20000,G985,DATOS!$G$2:$G$20000,CONFIG_METADATA!$B$4,DATOS!$I$2:$I$20000,"Orquesta/Banda/Conjunto"),"")))</f>
        <v/>
      </c>
      <c r="J985" t="str">
        <f>IF(G985="","",IF(G985="[FÓRMULA MANUAL]","",IFERROR(AVERAGEIFS(DATOS!$K$2:$K$20000,DATOS!$A$2:$A$20000,G985,DATOS!$G$2:$G$20000,CONFIG_METADATA!$B$4,DATOS!$I$2:$I$20000,"Conjunto"),"")))</f>
        <v/>
      </c>
      <c r="K985" t="str">
        <f>IF(G985="","",IF(G985="[FÓRMULA MANUAL]","",IFERROR(SUMPRODUCT((DATOS!$A$2:$A$20000=G985)*(DATOS!$G$2:$G$20000=CONFIG_METADATA!$B$4)*(COUNTIF(CONFIG_ASIGNATURAS!$B$7:$B$27,DATOS!$I$2:$I$20000)&gt;0)*(DATOS!$K$2:$K$20000))/SUMPRODUCT((DATOS!$A$2:$A$20000=G985)*(DATOS!$G$2:$G$20000=CONFIG_METADATA!$B$4)*(COUNTIF(CONFIG_ASIGNATURAS!$B$7:$B$27,DATOS!$I$2:$I$20000)&gt;0)*1),"")))</f>
        <v/>
      </c>
      <c r="N985" t="str">
        <f>IF(M985="","",IF(M985="[FÓRMULA MANUAL]","",IFERROR(AVERAGEIFS(DATOS!$K$2:$K$20000,DATOS!$A$2:$A$20000,M985,DATOS!$G$2:$G$20000,CONFIG_METADATA!$B$4,DATOS!$I$2:$I$20000,"Armonía"),"")))</f>
        <v/>
      </c>
      <c r="O985" t="str">
        <f>IF(M985="","",IF(M985="[FÓRMULA MANUAL]","",IFERROR(AVERAGEIFS(DATOS!$K$2:$K$20000,DATOS!$A$2:$A$20000,M985,DATOS!$G$2:$G$20000,CONFIG_METADATA!$B$4,DATOS!$I$2:$I$20000,"Orquesta/Banda/Conjunto"),"")))</f>
        <v/>
      </c>
      <c r="P985" t="str">
        <f>IF(M985="","",IF(M985="[FÓRMULA MANUAL]","",IFERROR(AVERAGEIFS(DATOS!$K$2:$K$20000,DATOS!$A$2:$A$20000,M985,DATOS!$G$2:$G$20000,CONFIG_METADATA!$B$4,DATOS!$I$2:$I$20000,"Música de Cámara"),"")))</f>
        <v/>
      </c>
      <c r="Q985" t="str">
        <f>IF(M985="","",IF(M985="[FÓRMULA MANUAL]","",IFERROR(SUMPRODUCT((DATOS!$A$2:$A$20000=M985)*(DATOS!$G$2:$G$20000=CONFIG_METADATA!$B$4)*(COUNTIF(CONFIG_ASIGNATURAS!$B$7:$B$27,DATOS!$I$2:$I$20000)&gt;0)*(DATOS!$K$2:$K$20000))/SUMPRODUCT((DATOS!$A$2:$A$20000=M985)*(DATOS!$G$2:$G$20000=CONFIG_METADATA!$B$4)*(COUNTIF(CONFIG_ASIGNATURAS!$B$7:$B$27,DATOS!$I$2:$I$20000)&gt;0)*1),"")))</f>
        <v/>
      </c>
      <c r="T985" t="str">
        <f>IF(S985="","",IF(S985="[FÓRMULA MANUAL]","",IFERROR(AVERAGEIFS(DATOS!$K$2:$K$20000,DATOS!$A$2:$A$20000,S985,DATOS!$G$2:$G$20000,CONFIG_METADATA!$B$4,DATOS!$I$2:$I$20000,"Armonía"),"")))</f>
        <v/>
      </c>
      <c r="U985" t="str">
        <f>IF(S985="","",IF(S985="[FÓRMULA MANUAL]","",IFERROR(AVERAGEIFS(DATOS!$K$2:$K$20000,DATOS!$A$2:$A$20000,S985,DATOS!$G$2:$G$20000,CONFIG_METADATA!$B$4,DATOS!$I$2:$I$20000,"Orquesta/Banda/Conjunto"),"")))</f>
        <v/>
      </c>
      <c r="V985" t="str">
        <f>IF(S985="","",IF(S985="[FÓRMULA MANUAL]","",IFERROR(AVERAGEIFS(DATOS!$K$2:$K$20000,DATOS!$A$2:$A$20000,S985,DATOS!$G$2:$G$20000,CONFIG_METADATA!$B$4,DATOS!$I$2:$I$20000,"Música de Cámara"),"")))</f>
        <v/>
      </c>
      <c r="W985" t="str">
        <f>IF(S985="","",IF(S985="[FÓRMULA MANUAL]","",IFERROR(SUMPRODUCT((DATOS!$A$2:$A$20000=S985)*(DATOS!$G$2:$G$20000=CONFIG_METADATA!$B$4)*(COUNTIF(CONFIG_ASIGNATURAS!$B$7:$B$27,DATOS!$I$2:$I$20000)&gt;0)*(DATOS!$K$2:$K$20000))/SUMPRODUCT((DATOS!$A$2:$A$20000=S985)*(DATOS!$G$2:$G$20000=CONFIG_METADATA!$B$4)*(COUNTIF(CONFIG_ASIGNATURAS!$B$7:$B$27,DATOS!$I$2:$I$20000)&gt;0)*1),"")))</f>
        <v/>
      </c>
      <c r="Z985" t="str">
        <f>IF(Y985="","",IF(Y985="[FÓRMULA MANUAL]","",IFERROR(AVERAGEIFS(DATOS!$K$2:$K$20000,DATOS!$A$2:$A$20000,Y985,DATOS!$G$2:$G$20000,CONFIG_METADATA!$B$4,DATOS!$I$2:$I$20000,"Análisis"),"")))</f>
        <v/>
      </c>
      <c r="AA985" t="str">
        <f>IF(Y985="","",IF(Y985="[FÓRMULA MANUAL]","",IFERROR(AVERAGEIFS(DATOS!$K$2:$K$20000,DATOS!$A$2:$A$20000,Y985,DATOS!$G$2:$G$20000,CONFIG_METADATA!$B$4,DATOS!$I$2:$I$20000,"Orquesta/Banda/Conjunto"),"")))</f>
        <v/>
      </c>
      <c r="AB985" t="str">
        <f>IF(Y985="","",IF(Y985="[FÓRMULA MANUAL]","",IFERROR(AVERAGEIFS(DATOS!$K$2:$K$20000,DATOS!$A$2:$A$20000,Y985,DATOS!$G$2:$G$20000,CONFIG_METADATA!$B$4,DATOS!$I$2:$I$20000,"Música de Cámara"),"")))</f>
        <v/>
      </c>
      <c r="AC985" t="str">
        <f>IF(Y985="","",IF(Y985="[FÓRMULA MANUAL]","",IFERROR(SUMPRODUCT((DATOS!$A$2:$A$20000=Y985)*(DATOS!$G$2:$G$20000=CONFIG_METADATA!$B$4)*(COUNTIF(CONFIG_ASIGNATURAS!$B$7:$B$27,DATOS!$I$2:$I$20000)&gt;0)*(DATOS!$K$2:$K$20000))/SUMPRODUCT((DATOS!$A$2:$A$20000=Y985)*(DATOS!$G$2:$G$20000=CONFIG_METADATA!$B$4)*(COUNTIF(CONFIG_ASIGNATURAS!$B$7:$B$27,DATOS!$I$2:$I$20000)&gt;0)*1),"")))</f>
        <v/>
      </c>
      <c r="AF985" t="str">
        <f>IF(AE985="","",IF(AE985="[FÓRMULA MANUAL]","",IFERROR(AVERAGEIFS(DATOS!$K$2:$K$20000,DATOS!$A$2:$A$20000,AE985,DATOS!$G$2:$G$20000,CONFIG_METADATA!$B$4,DATOS!$I$2:$I$20000,"Análisis"),"")))</f>
        <v/>
      </c>
      <c r="AG985" t="str">
        <f>IF(AE985="","",IF(AE985="[FÓRMULA MANUAL]","",IFERROR(AVERAGEIFS(DATOS!$K$2:$K$20000,DATOS!$A$2:$A$20000,AE985,DATOS!$G$2:$G$20000,CONFIG_METADATA!$B$4,DATOS!$I$2:$I$20000,"Orquesta/Banda/Conjunto"),"")))</f>
        <v/>
      </c>
      <c r="AH985" t="str">
        <f>IF(AE985="","",IF(AE985="[FÓRMULA MANUAL]","",IFERROR(AVERAGEIFS(DATOS!$K$2:$K$20000,DATOS!$A$2:$A$20000,AE985,DATOS!$G$2:$G$20000,CONFIG_METADATA!$B$4,DATOS!$I$2:$I$20000,"Música de Cámara"),"")))</f>
        <v/>
      </c>
      <c r="AI985" t="str">
        <f>IF(AE985="","",IF(AE985="[FÓRMULA MANUAL]","",IFERROR(SUMPRODUCT((DATOS!$A$2:$A$20000=AE985)*(DATOS!$G$2:$G$20000=CONFIG_METADATA!$B$4)*(COUNTIF(CONFIG_ASIGNATURAS!$B$7:$B$27,DATOS!$I$2:$I$20000)&gt;0)*(DATOS!$K$2:$K$20000))/SUMPRODUCT((DATOS!$A$2:$A$20000=AE985)*(DATOS!$G$2:$G$20000=CONFIG_METADATA!$B$4)*(COUNTIF(CONFIG_ASIGNATURAS!$B$7:$B$27,DATOS!$I$2:$I$20000)&gt;0)*1),"")))</f>
        <v/>
      </c>
    </row>
    <row r="986" spans="2:35" x14ac:dyDescent="0.2">
      <c r="B986" t="str">
        <f>IF(A986="","",IF(A986="[FÓRMULA MANUAL]","",IFERROR(AVERAGEIFS(DATOS!$K$2:$K$20000,DATOS!$A$2:$A$20000,A986,DATOS!$G$2:$G$20000,CONFIG_METADATA!$B$4,DATOS!$I$2:$I$20000,"Lenguaje Musical"),"")))</f>
        <v/>
      </c>
      <c r="C986" t="str">
        <f>IF(A986="","",IF(A986="[FÓRMULA MANUAL]","",IFERROR(AVERAGEIFS(DATOS!$K$2:$K$20000,DATOS!$A$2:$A$20000,A986,DATOS!$G$2:$G$20000,CONFIG_METADATA!$B$4,DATOS!$I$2:$I$20000,"Orquesta/Banda/Conjunto"),"")))</f>
        <v/>
      </c>
      <c r="D986" t="str">
        <f>IF(A986="","",IF(A986="[FÓRMULA MANUAL]","",IFERROR(AVERAGEIFS(DATOS!$K$2:$K$20000,DATOS!$A$2:$A$20000,A986,DATOS!$G$2:$G$20000,CONFIG_METADATA!$B$4,DATOS!$I$2:$I$20000,"Conjunto"),"")))</f>
        <v/>
      </c>
      <c r="E986" t="str">
        <f>IF(A986="","",IF(A986="[FÓRMULA MANUAL]","",IFERROR(SUMPRODUCT((DATOS!$A$2:$A$20000=A986)*(DATOS!$G$2:$G$20000=CONFIG_METADATA!$B$4)*(COUNTIF(CONFIG_ASIGNATURAS!$B$7:$B$27,DATOS!$I$2:$I$20000)&gt;0)*(DATOS!$K$2:$K$20000))/SUMPRODUCT((DATOS!$A$2:$A$20000=A986)*(DATOS!$G$2:$G$20000=CONFIG_METADATA!$B$4)*(COUNTIF(CONFIG_ASIGNATURAS!$B$7:$B$27,DATOS!$I$2:$I$20000)&gt;0)*1),"")))</f>
        <v/>
      </c>
      <c r="H986" t="str">
        <f>IF(G986="","",IF(G986="[FÓRMULA MANUAL]","",IFERROR(AVERAGEIFS(DATOS!$K$2:$K$20000,DATOS!$A$2:$A$20000,G986,DATOS!$G$2:$G$20000,CONFIG_METADATA!$B$4,DATOS!$I$2:$I$20000,"Lenguaje Musical"),"")))</f>
        <v/>
      </c>
      <c r="I986" t="str">
        <f>IF(G986="","",IF(G986="[FÓRMULA MANUAL]","",IFERROR(AVERAGEIFS(DATOS!$K$2:$K$20000,DATOS!$A$2:$A$20000,G986,DATOS!$G$2:$G$20000,CONFIG_METADATA!$B$4,DATOS!$I$2:$I$20000,"Orquesta/Banda/Conjunto"),"")))</f>
        <v/>
      </c>
      <c r="J986" t="str">
        <f>IF(G986="","",IF(G986="[FÓRMULA MANUAL]","",IFERROR(AVERAGEIFS(DATOS!$K$2:$K$20000,DATOS!$A$2:$A$20000,G986,DATOS!$G$2:$G$20000,CONFIG_METADATA!$B$4,DATOS!$I$2:$I$20000,"Conjunto"),"")))</f>
        <v/>
      </c>
      <c r="K986" t="str">
        <f>IF(G986="","",IF(G986="[FÓRMULA MANUAL]","",IFERROR(SUMPRODUCT((DATOS!$A$2:$A$20000=G986)*(DATOS!$G$2:$G$20000=CONFIG_METADATA!$B$4)*(COUNTIF(CONFIG_ASIGNATURAS!$B$7:$B$27,DATOS!$I$2:$I$20000)&gt;0)*(DATOS!$K$2:$K$20000))/SUMPRODUCT((DATOS!$A$2:$A$20000=G986)*(DATOS!$G$2:$G$20000=CONFIG_METADATA!$B$4)*(COUNTIF(CONFIG_ASIGNATURAS!$B$7:$B$27,DATOS!$I$2:$I$20000)&gt;0)*1),"")))</f>
        <v/>
      </c>
      <c r="N986" t="str">
        <f>IF(M986="","",IF(M986="[FÓRMULA MANUAL]","",IFERROR(AVERAGEIFS(DATOS!$K$2:$K$20000,DATOS!$A$2:$A$20000,M986,DATOS!$G$2:$G$20000,CONFIG_METADATA!$B$4,DATOS!$I$2:$I$20000,"Armonía"),"")))</f>
        <v/>
      </c>
      <c r="O986" t="str">
        <f>IF(M986="","",IF(M986="[FÓRMULA MANUAL]","",IFERROR(AVERAGEIFS(DATOS!$K$2:$K$20000,DATOS!$A$2:$A$20000,M986,DATOS!$G$2:$G$20000,CONFIG_METADATA!$B$4,DATOS!$I$2:$I$20000,"Orquesta/Banda/Conjunto"),"")))</f>
        <v/>
      </c>
      <c r="P986" t="str">
        <f>IF(M986="","",IF(M986="[FÓRMULA MANUAL]","",IFERROR(AVERAGEIFS(DATOS!$K$2:$K$20000,DATOS!$A$2:$A$20000,M986,DATOS!$G$2:$G$20000,CONFIG_METADATA!$B$4,DATOS!$I$2:$I$20000,"Música de Cámara"),"")))</f>
        <v/>
      </c>
      <c r="Q986" t="str">
        <f>IF(M986="","",IF(M986="[FÓRMULA MANUAL]","",IFERROR(SUMPRODUCT((DATOS!$A$2:$A$20000=M986)*(DATOS!$G$2:$G$20000=CONFIG_METADATA!$B$4)*(COUNTIF(CONFIG_ASIGNATURAS!$B$7:$B$27,DATOS!$I$2:$I$20000)&gt;0)*(DATOS!$K$2:$K$20000))/SUMPRODUCT((DATOS!$A$2:$A$20000=M986)*(DATOS!$G$2:$G$20000=CONFIG_METADATA!$B$4)*(COUNTIF(CONFIG_ASIGNATURAS!$B$7:$B$27,DATOS!$I$2:$I$20000)&gt;0)*1),"")))</f>
        <v/>
      </c>
      <c r="T986" t="str">
        <f>IF(S986="","",IF(S986="[FÓRMULA MANUAL]","",IFERROR(AVERAGEIFS(DATOS!$K$2:$K$20000,DATOS!$A$2:$A$20000,S986,DATOS!$G$2:$G$20000,CONFIG_METADATA!$B$4,DATOS!$I$2:$I$20000,"Armonía"),"")))</f>
        <v/>
      </c>
      <c r="U986" t="str">
        <f>IF(S986="","",IF(S986="[FÓRMULA MANUAL]","",IFERROR(AVERAGEIFS(DATOS!$K$2:$K$20000,DATOS!$A$2:$A$20000,S986,DATOS!$G$2:$G$20000,CONFIG_METADATA!$B$4,DATOS!$I$2:$I$20000,"Orquesta/Banda/Conjunto"),"")))</f>
        <v/>
      </c>
      <c r="V986" t="str">
        <f>IF(S986="","",IF(S986="[FÓRMULA MANUAL]","",IFERROR(AVERAGEIFS(DATOS!$K$2:$K$20000,DATOS!$A$2:$A$20000,S986,DATOS!$G$2:$G$20000,CONFIG_METADATA!$B$4,DATOS!$I$2:$I$20000,"Música de Cámara"),"")))</f>
        <v/>
      </c>
      <c r="W986" t="str">
        <f>IF(S986="","",IF(S986="[FÓRMULA MANUAL]","",IFERROR(SUMPRODUCT((DATOS!$A$2:$A$20000=S986)*(DATOS!$G$2:$G$20000=CONFIG_METADATA!$B$4)*(COUNTIF(CONFIG_ASIGNATURAS!$B$7:$B$27,DATOS!$I$2:$I$20000)&gt;0)*(DATOS!$K$2:$K$20000))/SUMPRODUCT((DATOS!$A$2:$A$20000=S986)*(DATOS!$G$2:$G$20000=CONFIG_METADATA!$B$4)*(COUNTIF(CONFIG_ASIGNATURAS!$B$7:$B$27,DATOS!$I$2:$I$20000)&gt;0)*1),"")))</f>
        <v/>
      </c>
      <c r="Z986" t="str">
        <f>IF(Y986="","",IF(Y986="[FÓRMULA MANUAL]","",IFERROR(AVERAGEIFS(DATOS!$K$2:$K$20000,DATOS!$A$2:$A$20000,Y986,DATOS!$G$2:$G$20000,CONFIG_METADATA!$B$4,DATOS!$I$2:$I$20000,"Análisis"),"")))</f>
        <v/>
      </c>
      <c r="AA986" t="str">
        <f>IF(Y986="","",IF(Y986="[FÓRMULA MANUAL]","",IFERROR(AVERAGEIFS(DATOS!$K$2:$K$20000,DATOS!$A$2:$A$20000,Y986,DATOS!$G$2:$G$20000,CONFIG_METADATA!$B$4,DATOS!$I$2:$I$20000,"Orquesta/Banda/Conjunto"),"")))</f>
        <v/>
      </c>
      <c r="AB986" t="str">
        <f>IF(Y986="","",IF(Y986="[FÓRMULA MANUAL]","",IFERROR(AVERAGEIFS(DATOS!$K$2:$K$20000,DATOS!$A$2:$A$20000,Y986,DATOS!$G$2:$G$20000,CONFIG_METADATA!$B$4,DATOS!$I$2:$I$20000,"Música de Cámara"),"")))</f>
        <v/>
      </c>
      <c r="AC986" t="str">
        <f>IF(Y986="","",IF(Y986="[FÓRMULA MANUAL]","",IFERROR(SUMPRODUCT((DATOS!$A$2:$A$20000=Y986)*(DATOS!$G$2:$G$20000=CONFIG_METADATA!$B$4)*(COUNTIF(CONFIG_ASIGNATURAS!$B$7:$B$27,DATOS!$I$2:$I$20000)&gt;0)*(DATOS!$K$2:$K$20000))/SUMPRODUCT((DATOS!$A$2:$A$20000=Y986)*(DATOS!$G$2:$G$20000=CONFIG_METADATA!$B$4)*(COUNTIF(CONFIG_ASIGNATURAS!$B$7:$B$27,DATOS!$I$2:$I$20000)&gt;0)*1),"")))</f>
        <v/>
      </c>
      <c r="AF986" t="str">
        <f>IF(AE986="","",IF(AE986="[FÓRMULA MANUAL]","",IFERROR(AVERAGEIFS(DATOS!$K$2:$K$20000,DATOS!$A$2:$A$20000,AE986,DATOS!$G$2:$G$20000,CONFIG_METADATA!$B$4,DATOS!$I$2:$I$20000,"Análisis"),"")))</f>
        <v/>
      </c>
      <c r="AG986" t="str">
        <f>IF(AE986="","",IF(AE986="[FÓRMULA MANUAL]","",IFERROR(AVERAGEIFS(DATOS!$K$2:$K$20000,DATOS!$A$2:$A$20000,AE986,DATOS!$G$2:$G$20000,CONFIG_METADATA!$B$4,DATOS!$I$2:$I$20000,"Orquesta/Banda/Conjunto"),"")))</f>
        <v/>
      </c>
      <c r="AH986" t="str">
        <f>IF(AE986="","",IF(AE986="[FÓRMULA MANUAL]","",IFERROR(AVERAGEIFS(DATOS!$K$2:$K$20000,DATOS!$A$2:$A$20000,AE986,DATOS!$G$2:$G$20000,CONFIG_METADATA!$B$4,DATOS!$I$2:$I$20000,"Música de Cámara"),"")))</f>
        <v/>
      </c>
      <c r="AI986" t="str">
        <f>IF(AE986="","",IF(AE986="[FÓRMULA MANUAL]","",IFERROR(SUMPRODUCT((DATOS!$A$2:$A$20000=AE986)*(DATOS!$G$2:$G$20000=CONFIG_METADATA!$B$4)*(COUNTIF(CONFIG_ASIGNATURAS!$B$7:$B$27,DATOS!$I$2:$I$20000)&gt;0)*(DATOS!$K$2:$K$20000))/SUMPRODUCT((DATOS!$A$2:$A$20000=AE986)*(DATOS!$G$2:$G$20000=CONFIG_METADATA!$B$4)*(COUNTIF(CONFIG_ASIGNATURAS!$B$7:$B$27,DATOS!$I$2:$I$20000)&gt;0)*1),"")))</f>
        <v/>
      </c>
    </row>
    <row r="987" spans="2:35" x14ac:dyDescent="0.2">
      <c r="B987" t="str">
        <f>IF(A987="","",IF(A987="[FÓRMULA MANUAL]","",IFERROR(AVERAGEIFS(DATOS!$K$2:$K$20000,DATOS!$A$2:$A$20000,A987,DATOS!$G$2:$G$20000,CONFIG_METADATA!$B$4,DATOS!$I$2:$I$20000,"Lenguaje Musical"),"")))</f>
        <v/>
      </c>
      <c r="C987" t="str">
        <f>IF(A987="","",IF(A987="[FÓRMULA MANUAL]","",IFERROR(AVERAGEIFS(DATOS!$K$2:$K$20000,DATOS!$A$2:$A$20000,A987,DATOS!$G$2:$G$20000,CONFIG_METADATA!$B$4,DATOS!$I$2:$I$20000,"Orquesta/Banda/Conjunto"),"")))</f>
        <v/>
      </c>
      <c r="D987" t="str">
        <f>IF(A987="","",IF(A987="[FÓRMULA MANUAL]","",IFERROR(AVERAGEIFS(DATOS!$K$2:$K$20000,DATOS!$A$2:$A$20000,A987,DATOS!$G$2:$G$20000,CONFIG_METADATA!$B$4,DATOS!$I$2:$I$20000,"Conjunto"),"")))</f>
        <v/>
      </c>
      <c r="E987" t="str">
        <f>IF(A987="","",IF(A987="[FÓRMULA MANUAL]","",IFERROR(SUMPRODUCT((DATOS!$A$2:$A$20000=A987)*(DATOS!$G$2:$G$20000=CONFIG_METADATA!$B$4)*(COUNTIF(CONFIG_ASIGNATURAS!$B$7:$B$27,DATOS!$I$2:$I$20000)&gt;0)*(DATOS!$K$2:$K$20000))/SUMPRODUCT((DATOS!$A$2:$A$20000=A987)*(DATOS!$G$2:$G$20000=CONFIG_METADATA!$B$4)*(COUNTIF(CONFIG_ASIGNATURAS!$B$7:$B$27,DATOS!$I$2:$I$20000)&gt;0)*1),"")))</f>
        <v/>
      </c>
      <c r="H987" t="str">
        <f>IF(G987="","",IF(G987="[FÓRMULA MANUAL]","",IFERROR(AVERAGEIFS(DATOS!$K$2:$K$20000,DATOS!$A$2:$A$20000,G987,DATOS!$G$2:$G$20000,CONFIG_METADATA!$B$4,DATOS!$I$2:$I$20000,"Lenguaje Musical"),"")))</f>
        <v/>
      </c>
      <c r="I987" t="str">
        <f>IF(G987="","",IF(G987="[FÓRMULA MANUAL]","",IFERROR(AVERAGEIFS(DATOS!$K$2:$K$20000,DATOS!$A$2:$A$20000,G987,DATOS!$G$2:$G$20000,CONFIG_METADATA!$B$4,DATOS!$I$2:$I$20000,"Orquesta/Banda/Conjunto"),"")))</f>
        <v/>
      </c>
      <c r="J987" t="str">
        <f>IF(G987="","",IF(G987="[FÓRMULA MANUAL]","",IFERROR(AVERAGEIFS(DATOS!$K$2:$K$20000,DATOS!$A$2:$A$20000,G987,DATOS!$G$2:$G$20000,CONFIG_METADATA!$B$4,DATOS!$I$2:$I$20000,"Conjunto"),"")))</f>
        <v/>
      </c>
      <c r="K987" t="str">
        <f>IF(G987="","",IF(G987="[FÓRMULA MANUAL]","",IFERROR(SUMPRODUCT((DATOS!$A$2:$A$20000=G987)*(DATOS!$G$2:$G$20000=CONFIG_METADATA!$B$4)*(COUNTIF(CONFIG_ASIGNATURAS!$B$7:$B$27,DATOS!$I$2:$I$20000)&gt;0)*(DATOS!$K$2:$K$20000))/SUMPRODUCT((DATOS!$A$2:$A$20000=G987)*(DATOS!$G$2:$G$20000=CONFIG_METADATA!$B$4)*(COUNTIF(CONFIG_ASIGNATURAS!$B$7:$B$27,DATOS!$I$2:$I$20000)&gt;0)*1),"")))</f>
        <v/>
      </c>
      <c r="N987" t="str">
        <f>IF(M987="","",IF(M987="[FÓRMULA MANUAL]","",IFERROR(AVERAGEIFS(DATOS!$K$2:$K$20000,DATOS!$A$2:$A$20000,M987,DATOS!$G$2:$G$20000,CONFIG_METADATA!$B$4,DATOS!$I$2:$I$20000,"Armonía"),"")))</f>
        <v/>
      </c>
      <c r="O987" t="str">
        <f>IF(M987="","",IF(M987="[FÓRMULA MANUAL]","",IFERROR(AVERAGEIFS(DATOS!$K$2:$K$20000,DATOS!$A$2:$A$20000,M987,DATOS!$G$2:$G$20000,CONFIG_METADATA!$B$4,DATOS!$I$2:$I$20000,"Orquesta/Banda/Conjunto"),"")))</f>
        <v/>
      </c>
      <c r="P987" t="str">
        <f>IF(M987="","",IF(M987="[FÓRMULA MANUAL]","",IFERROR(AVERAGEIFS(DATOS!$K$2:$K$20000,DATOS!$A$2:$A$20000,M987,DATOS!$G$2:$G$20000,CONFIG_METADATA!$B$4,DATOS!$I$2:$I$20000,"Música de Cámara"),"")))</f>
        <v/>
      </c>
      <c r="Q987" t="str">
        <f>IF(M987="","",IF(M987="[FÓRMULA MANUAL]","",IFERROR(SUMPRODUCT((DATOS!$A$2:$A$20000=M987)*(DATOS!$G$2:$G$20000=CONFIG_METADATA!$B$4)*(COUNTIF(CONFIG_ASIGNATURAS!$B$7:$B$27,DATOS!$I$2:$I$20000)&gt;0)*(DATOS!$K$2:$K$20000))/SUMPRODUCT((DATOS!$A$2:$A$20000=M987)*(DATOS!$G$2:$G$20000=CONFIG_METADATA!$B$4)*(COUNTIF(CONFIG_ASIGNATURAS!$B$7:$B$27,DATOS!$I$2:$I$20000)&gt;0)*1),"")))</f>
        <v/>
      </c>
      <c r="T987" t="str">
        <f>IF(S987="","",IF(S987="[FÓRMULA MANUAL]","",IFERROR(AVERAGEIFS(DATOS!$K$2:$K$20000,DATOS!$A$2:$A$20000,S987,DATOS!$G$2:$G$20000,CONFIG_METADATA!$B$4,DATOS!$I$2:$I$20000,"Armonía"),"")))</f>
        <v/>
      </c>
      <c r="U987" t="str">
        <f>IF(S987="","",IF(S987="[FÓRMULA MANUAL]","",IFERROR(AVERAGEIFS(DATOS!$K$2:$K$20000,DATOS!$A$2:$A$20000,S987,DATOS!$G$2:$G$20000,CONFIG_METADATA!$B$4,DATOS!$I$2:$I$20000,"Orquesta/Banda/Conjunto"),"")))</f>
        <v/>
      </c>
      <c r="V987" t="str">
        <f>IF(S987="","",IF(S987="[FÓRMULA MANUAL]","",IFERROR(AVERAGEIFS(DATOS!$K$2:$K$20000,DATOS!$A$2:$A$20000,S987,DATOS!$G$2:$G$20000,CONFIG_METADATA!$B$4,DATOS!$I$2:$I$20000,"Música de Cámara"),"")))</f>
        <v/>
      </c>
      <c r="W987" t="str">
        <f>IF(S987="","",IF(S987="[FÓRMULA MANUAL]","",IFERROR(SUMPRODUCT((DATOS!$A$2:$A$20000=S987)*(DATOS!$G$2:$G$20000=CONFIG_METADATA!$B$4)*(COUNTIF(CONFIG_ASIGNATURAS!$B$7:$B$27,DATOS!$I$2:$I$20000)&gt;0)*(DATOS!$K$2:$K$20000))/SUMPRODUCT((DATOS!$A$2:$A$20000=S987)*(DATOS!$G$2:$G$20000=CONFIG_METADATA!$B$4)*(COUNTIF(CONFIG_ASIGNATURAS!$B$7:$B$27,DATOS!$I$2:$I$20000)&gt;0)*1),"")))</f>
        <v/>
      </c>
      <c r="Z987" t="str">
        <f>IF(Y987="","",IF(Y987="[FÓRMULA MANUAL]","",IFERROR(AVERAGEIFS(DATOS!$K$2:$K$20000,DATOS!$A$2:$A$20000,Y987,DATOS!$G$2:$G$20000,CONFIG_METADATA!$B$4,DATOS!$I$2:$I$20000,"Análisis"),"")))</f>
        <v/>
      </c>
      <c r="AA987" t="str">
        <f>IF(Y987="","",IF(Y987="[FÓRMULA MANUAL]","",IFERROR(AVERAGEIFS(DATOS!$K$2:$K$20000,DATOS!$A$2:$A$20000,Y987,DATOS!$G$2:$G$20000,CONFIG_METADATA!$B$4,DATOS!$I$2:$I$20000,"Orquesta/Banda/Conjunto"),"")))</f>
        <v/>
      </c>
      <c r="AB987" t="str">
        <f>IF(Y987="","",IF(Y987="[FÓRMULA MANUAL]","",IFERROR(AVERAGEIFS(DATOS!$K$2:$K$20000,DATOS!$A$2:$A$20000,Y987,DATOS!$G$2:$G$20000,CONFIG_METADATA!$B$4,DATOS!$I$2:$I$20000,"Música de Cámara"),"")))</f>
        <v/>
      </c>
      <c r="AC987" t="str">
        <f>IF(Y987="","",IF(Y987="[FÓRMULA MANUAL]","",IFERROR(SUMPRODUCT((DATOS!$A$2:$A$20000=Y987)*(DATOS!$G$2:$G$20000=CONFIG_METADATA!$B$4)*(COUNTIF(CONFIG_ASIGNATURAS!$B$7:$B$27,DATOS!$I$2:$I$20000)&gt;0)*(DATOS!$K$2:$K$20000))/SUMPRODUCT((DATOS!$A$2:$A$20000=Y987)*(DATOS!$G$2:$G$20000=CONFIG_METADATA!$B$4)*(COUNTIF(CONFIG_ASIGNATURAS!$B$7:$B$27,DATOS!$I$2:$I$20000)&gt;0)*1),"")))</f>
        <v/>
      </c>
      <c r="AF987" t="str">
        <f>IF(AE987="","",IF(AE987="[FÓRMULA MANUAL]","",IFERROR(AVERAGEIFS(DATOS!$K$2:$K$20000,DATOS!$A$2:$A$20000,AE987,DATOS!$G$2:$G$20000,CONFIG_METADATA!$B$4,DATOS!$I$2:$I$20000,"Análisis"),"")))</f>
        <v/>
      </c>
      <c r="AG987" t="str">
        <f>IF(AE987="","",IF(AE987="[FÓRMULA MANUAL]","",IFERROR(AVERAGEIFS(DATOS!$K$2:$K$20000,DATOS!$A$2:$A$20000,AE987,DATOS!$G$2:$G$20000,CONFIG_METADATA!$B$4,DATOS!$I$2:$I$20000,"Orquesta/Banda/Conjunto"),"")))</f>
        <v/>
      </c>
      <c r="AH987" t="str">
        <f>IF(AE987="","",IF(AE987="[FÓRMULA MANUAL]","",IFERROR(AVERAGEIFS(DATOS!$K$2:$K$20000,DATOS!$A$2:$A$20000,AE987,DATOS!$G$2:$G$20000,CONFIG_METADATA!$B$4,DATOS!$I$2:$I$20000,"Música de Cámara"),"")))</f>
        <v/>
      </c>
      <c r="AI987" t="str">
        <f>IF(AE987="","",IF(AE987="[FÓRMULA MANUAL]","",IFERROR(SUMPRODUCT((DATOS!$A$2:$A$20000=AE987)*(DATOS!$G$2:$G$20000=CONFIG_METADATA!$B$4)*(COUNTIF(CONFIG_ASIGNATURAS!$B$7:$B$27,DATOS!$I$2:$I$20000)&gt;0)*(DATOS!$K$2:$K$20000))/SUMPRODUCT((DATOS!$A$2:$A$20000=AE987)*(DATOS!$G$2:$G$20000=CONFIG_METADATA!$B$4)*(COUNTIF(CONFIG_ASIGNATURAS!$B$7:$B$27,DATOS!$I$2:$I$20000)&gt;0)*1),"")))</f>
        <v/>
      </c>
    </row>
    <row r="988" spans="2:35" x14ac:dyDescent="0.2">
      <c r="B988" t="str">
        <f>IF(A988="","",IF(A988="[FÓRMULA MANUAL]","",IFERROR(AVERAGEIFS(DATOS!$K$2:$K$20000,DATOS!$A$2:$A$20000,A988,DATOS!$G$2:$G$20000,CONFIG_METADATA!$B$4,DATOS!$I$2:$I$20000,"Lenguaje Musical"),"")))</f>
        <v/>
      </c>
      <c r="C988" t="str">
        <f>IF(A988="","",IF(A988="[FÓRMULA MANUAL]","",IFERROR(AVERAGEIFS(DATOS!$K$2:$K$20000,DATOS!$A$2:$A$20000,A988,DATOS!$G$2:$G$20000,CONFIG_METADATA!$B$4,DATOS!$I$2:$I$20000,"Orquesta/Banda/Conjunto"),"")))</f>
        <v/>
      </c>
      <c r="D988" t="str">
        <f>IF(A988="","",IF(A988="[FÓRMULA MANUAL]","",IFERROR(AVERAGEIFS(DATOS!$K$2:$K$20000,DATOS!$A$2:$A$20000,A988,DATOS!$G$2:$G$20000,CONFIG_METADATA!$B$4,DATOS!$I$2:$I$20000,"Conjunto"),"")))</f>
        <v/>
      </c>
      <c r="E988" t="str">
        <f>IF(A988="","",IF(A988="[FÓRMULA MANUAL]","",IFERROR(SUMPRODUCT((DATOS!$A$2:$A$20000=A988)*(DATOS!$G$2:$G$20000=CONFIG_METADATA!$B$4)*(COUNTIF(CONFIG_ASIGNATURAS!$B$7:$B$27,DATOS!$I$2:$I$20000)&gt;0)*(DATOS!$K$2:$K$20000))/SUMPRODUCT((DATOS!$A$2:$A$20000=A988)*(DATOS!$G$2:$G$20000=CONFIG_METADATA!$B$4)*(COUNTIF(CONFIG_ASIGNATURAS!$B$7:$B$27,DATOS!$I$2:$I$20000)&gt;0)*1),"")))</f>
        <v/>
      </c>
      <c r="H988" t="str">
        <f>IF(G988="","",IF(G988="[FÓRMULA MANUAL]","",IFERROR(AVERAGEIFS(DATOS!$K$2:$K$20000,DATOS!$A$2:$A$20000,G988,DATOS!$G$2:$G$20000,CONFIG_METADATA!$B$4,DATOS!$I$2:$I$20000,"Lenguaje Musical"),"")))</f>
        <v/>
      </c>
      <c r="I988" t="str">
        <f>IF(G988="","",IF(G988="[FÓRMULA MANUAL]","",IFERROR(AVERAGEIFS(DATOS!$K$2:$K$20000,DATOS!$A$2:$A$20000,G988,DATOS!$G$2:$G$20000,CONFIG_METADATA!$B$4,DATOS!$I$2:$I$20000,"Orquesta/Banda/Conjunto"),"")))</f>
        <v/>
      </c>
      <c r="J988" t="str">
        <f>IF(G988="","",IF(G988="[FÓRMULA MANUAL]","",IFERROR(AVERAGEIFS(DATOS!$K$2:$K$20000,DATOS!$A$2:$A$20000,G988,DATOS!$G$2:$G$20000,CONFIG_METADATA!$B$4,DATOS!$I$2:$I$20000,"Conjunto"),"")))</f>
        <v/>
      </c>
      <c r="K988" t="str">
        <f>IF(G988="","",IF(G988="[FÓRMULA MANUAL]","",IFERROR(SUMPRODUCT((DATOS!$A$2:$A$20000=G988)*(DATOS!$G$2:$G$20000=CONFIG_METADATA!$B$4)*(COUNTIF(CONFIG_ASIGNATURAS!$B$7:$B$27,DATOS!$I$2:$I$20000)&gt;0)*(DATOS!$K$2:$K$20000))/SUMPRODUCT((DATOS!$A$2:$A$20000=G988)*(DATOS!$G$2:$G$20000=CONFIG_METADATA!$B$4)*(COUNTIF(CONFIG_ASIGNATURAS!$B$7:$B$27,DATOS!$I$2:$I$20000)&gt;0)*1),"")))</f>
        <v/>
      </c>
      <c r="N988" t="str">
        <f>IF(M988="","",IF(M988="[FÓRMULA MANUAL]","",IFERROR(AVERAGEIFS(DATOS!$K$2:$K$20000,DATOS!$A$2:$A$20000,M988,DATOS!$G$2:$G$20000,CONFIG_METADATA!$B$4,DATOS!$I$2:$I$20000,"Armonía"),"")))</f>
        <v/>
      </c>
      <c r="O988" t="str">
        <f>IF(M988="","",IF(M988="[FÓRMULA MANUAL]","",IFERROR(AVERAGEIFS(DATOS!$K$2:$K$20000,DATOS!$A$2:$A$20000,M988,DATOS!$G$2:$G$20000,CONFIG_METADATA!$B$4,DATOS!$I$2:$I$20000,"Orquesta/Banda/Conjunto"),"")))</f>
        <v/>
      </c>
      <c r="P988" t="str">
        <f>IF(M988="","",IF(M988="[FÓRMULA MANUAL]","",IFERROR(AVERAGEIFS(DATOS!$K$2:$K$20000,DATOS!$A$2:$A$20000,M988,DATOS!$G$2:$G$20000,CONFIG_METADATA!$B$4,DATOS!$I$2:$I$20000,"Música de Cámara"),"")))</f>
        <v/>
      </c>
      <c r="Q988" t="str">
        <f>IF(M988="","",IF(M988="[FÓRMULA MANUAL]","",IFERROR(SUMPRODUCT((DATOS!$A$2:$A$20000=M988)*(DATOS!$G$2:$G$20000=CONFIG_METADATA!$B$4)*(COUNTIF(CONFIG_ASIGNATURAS!$B$7:$B$27,DATOS!$I$2:$I$20000)&gt;0)*(DATOS!$K$2:$K$20000))/SUMPRODUCT((DATOS!$A$2:$A$20000=M988)*(DATOS!$G$2:$G$20000=CONFIG_METADATA!$B$4)*(COUNTIF(CONFIG_ASIGNATURAS!$B$7:$B$27,DATOS!$I$2:$I$20000)&gt;0)*1),"")))</f>
        <v/>
      </c>
      <c r="T988" t="str">
        <f>IF(S988="","",IF(S988="[FÓRMULA MANUAL]","",IFERROR(AVERAGEIFS(DATOS!$K$2:$K$20000,DATOS!$A$2:$A$20000,S988,DATOS!$G$2:$G$20000,CONFIG_METADATA!$B$4,DATOS!$I$2:$I$20000,"Armonía"),"")))</f>
        <v/>
      </c>
      <c r="U988" t="str">
        <f>IF(S988="","",IF(S988="[FÓRMULA MANUAL]","",IFERROR(AVERAGEIFS(DATOS!$K$2:$K$20000,DATOS!$A$2:$A$20000,S988,DATOS!$G$2:$G$20000,CONFIG_METADATA!$B$4,DATOS!$I$2:$I$20000,"Orquesta/Banda/Conjunto"),"")))</f>
        <v/>
      </c>
      <c r="V988" t="str">
        <f>IF(S988="","",IF(S988="[FÓRMULA MANUAL]","",IFERROR(AVERAGEIFS(DATOS!$K$2:$K$20000,DATOS!$A$2:$A$20000,S988,DATOS!$G$2:$G$20000,CONFIG_METADATA!$B$4,DATOS!$I$2:$I$20000,"Música de Cámara"),"")))</f>
        <v/>
      </c>
      <c r="W988" t="str">
        <f>IF(S988="","",IF(S988="[FÓRMULA MANUAL]","",IFERROR(SUMPRODUCT((DATOS!$A$2:$A$20000=S988)*(DATOS!$G$2:$G$20000=CONFIG_METADATA!$B$4)*(COUNTIF(CONFIG_ASIGNATURAS!$B$7:$B$27,DATOS!$I$2:$I$20000)&gt;0)*(DATOS!$K$2:$K$20000))/SUMPRODUCT((DATOS!$A$2:$A$20000=S988)*(DATOS!$G$2:$G$20000=CONFIG_METADATA!$B$4)*(COUNTIF(CONFIG_ASIGNATURAS!$B$7:$B$27,DATOS!$I$2:$I$20000)&gt;0)*1),"")))</f>
        <v/>
      </c>
      <c r="Z988" t="str">
        <f>IF(Y988="","",IF(Y988="[FÓRMULA MANUAL]","",IFERROR(AVERAGEIFS(DATOS!$K$2:$K$20000,DATOS!$A$2:$A$20000,Y988,DATOS!$G$2:$G$20000,CONFIG_METADATA!$B$4,DATOS!$I$2:$I$20000,"Análisis"),"")))</f>
        <v/>
      </c>
      <c r="AA988" t="str">
        <f>IF(Y988="","",IF(Y988="[FÓRMULA MANUAL]","",IFERROR(AVERAGEIFS(DATOS!$K$2:$K$20000,DATOS!$A$2:$A$20000,Y988,DATOS!$G$2:$G$20000,CONFIG_METADATA!$B$4,DATOS!$I$2:$I$20000,"Orquesta/Banda/Conjunto"),"")))</f>
        <v/>
      </c>
      <c r="AB988" t="str">
        <f>IF(Y988="","",IF(Y988="[FÓRMULA MANUAL]","",IFERROR(AVERAGEIFS(DATOS!$K$2:$K$20000,DATOS!$A$2:$A$20000,Y988,DATOS!$G$2:$G$20000,CONFIG_METADATA!$B$4,DATOS!$I$2:$I$20000,"Música de Cámara"),"")))</f>
        <v/>
      </c>
      <c r="AC988" t="str">
        <f>IF(Y988="","",IF(Y988="[FÓRMULA MANUAL]","",IFERROR(SUMPRODUCT((DATOS!$A$2:$A$20000=Y988)*(DATOS!$G$2:$G$20000=CONFIG_METADATA!$B$4)*(COUNTIF(CONFIG_ASIGNATURAS!$B$7:$B$27,DATOS!$I$2:$I$20000)&gt;0)*(DATOS!$K$2:$K$20000))/SUMPRODUCT((DATOS!$A$2:$A$20000=Y988)*(DATOS!$G$2:$G$20000=CONFIG_METADATA!$B$4)*(COUNTIF(CONFIG_ASIGNATURAS!$B$7:$B$27,DATOS!$I$2:$I$20000)&gt;0)*1),"")))</f>
        <v/>
      </c>
      <c r="AF988" t="str">
        <f>IF(AE988="","",IF(AE988="[FÓRMULA MANUAL]","",IFERROR(AVERAGEIFS(DATOS!$K$2:$K$20000,DATOS!$A$2:$A$20000,AE988,DATOS!$G$2:$G$20000,CONFIG_METADATA!$B$4,DATOS!$I$2:$I$20000,"Análisis"),"")))</f>
        <v/>
      </c>
      <c r="AG988" t="str">
        <f>IF(AE988="","",IF(AE988="[FÓRMULA MANUAL]","",IFERROR(AVERAGEIFS(DATOS!$K$2:$K$20000,DATOS!$A$2:$A$20000,AE988,DATOS!$G$2:$G$20000,CONFIG_METADATA!$B$4,DATOS!$I$2:$I$20000,"Orquesta/Banda/Conjunto"),"")))</f>
        <v/>
      </c>
      <c r="AH988" t="str">
        <f>IF(AE988="","",IF(AE988="[FÓRMULA MANUAL]","",IFERROR(AVERAGEIFS(DATOS!$K$2:$K$20000,DATOS!$A$2:$A$20000,AE988,DATOS!$G$2:$G$20000,CONFIG_METADATA!$B$4,DATOS!$I$2:$I$20000,"Música de Cámara"),"")))</f>
        <v/>
      </c>
      <c r="AI988" t="str">
        <f>IF(AE988="","",IF(AE988="[FÓRMULA MANUAL]","",IFERROR(SUMPRODUCT((DATOS!$A$2:$A$20000=AE988)*(DATOS!$G$2:$G$20000=CONFIG_METADATA!$B$4)*(COUNTIF(CONFIG_ASIGNATURAS!$B$7:$B$27,DATOS!$I$2:$I$20000)&gt;0)*(DATOS!$K$2:$K$20000))/SUMPRODUCT((DATOS!$A$2:$A$20000=AE988)*(DATOS!$G$2:$G$20000=CONFIG_METADATA!$B$4)*(COUNTIF(CONFIG_ASIGNATURAS!$B$7:$B$27,DATOS!$I$2:$I$20000)&gt;0)*1),"")))</f>
        <v/>
      </c>
    </row>
    <row r="989" spans="2:35" x14ac:dyDescent="0.2">
      <c r="B989" t="str">
        <f>IF(A989="","",IF(A989="[FÓRMULA MANUAL]","",IFERROR(AVERAGEIFS(DATOS!$K$2:$K$20000,DATOS!$A$2:$A$20000,A989,DATOS!$G$2:$G$20000,CONFIG_METADATA!$B$4,DATOS!$I$2:$I$20000,"Lenguaje Musical"),"")))</f>
        <v/>
      </c>
      <c r="C989" t="str">
        <f>IF(A989="","",IF(A989="[FÓRMULA MANUAL]","",IFERROR(AVERAGEIFS(DATOS!$K$2:$K$20000,DATOS!$A$2:$A$20000,A989,DATOS!$G$2:$G$20000,CONFIG_METADATA!$B$4,DATOS!$I$2:$I$20000,"Orquesta/Banda/Conjunto"),"")))</f>
        <v/>
      </c>
      <c r="D989" t="str">
        <f>IF(A989="","",IF(A989="[FÓRMULA MANUAL]","",IFERROR(AVERAGEIFS(DATOS!$K$2:$K$20000,DATOS!$A$2:$A$20000,A989,DATOS!$G$2:$G$20000,CONFIG_METADATA!$B$4,DATOS!$I$2:$I$20000,"Conjunto"),"")))</f>
        <v/>
      </c>
      <c r="E989" t="str">
        <f>IF(A989="","",IF(A989="[FÓRMULA MANUAL]","",IFERROR(SUMPRODUCT((DATOS!$A$2:$A$20000=A989)*(DATOS!$G$2:$G$20000=CONFIG_METADATA!$B$4)*(COUNTIF(CONFIG_ASIGNATURAS!$B$7:$B$27,DATOS!$I$2:$I$20000)&gt;0)*(DATOS!$K$2:$K$20000))/SUMPRODUCT((DATOS!$A$2:$A$20000=A989)*(DATOS!$G$2:$G$20000=CONFIG_METADATA!$B$4)*(COUNTIF(CONFIG_ASIGNATURAS!$B$7:$B$27,DATOS!$I$2:$I$20000)&gt;0)*1),"")))</f>
        <v/>
      </c>
      <c r="H989" t="str">
        <f>IF(G989="","",IF(G989="[FÓRMULA MANUAL]","",IFERROR(AVERAGEIFS(DATOS!$K$2:$K$20000,DATOS!$A$2:$A$20000,G989,DATOS!$G$2:$G$20000,CONFIG_METADATA!$B$4,DATOS!$I$2:$I$20000,"Lenguaje Musical"),"")))</f>
        <v/>
      </c>
      <c r="I989" t="str">
        <f>IF(G989="","",IF(G989="[FÓRMULA MANUAL]","",IFERROR(AVERAGEIFS(DATOS!$K$2:$K$20000,DATOS!$A$2:$A$20000,G989,DATOS!$G$2:$G$20000,CONFIG_METADATA!$B$4,DATOS!$I$2:$I$20000,"Orquesta/Banda/Conjunto"),"")))</f>
        <v/>
      </c>
      <c r="J989" t="str">
        <f>IF(G989="","",IF(G989="[FÓRMULA MANUAL]","",IFERROR(AVERAGEIFS(DATOS!$K$2:$K$20000,DATOS!$A$2:$A$20000,G989,DATOS!$G$2:$G$20000,CONFIG_METADATA!$B$4,DATOS!$I$2:$I$20000,"Conjunto"),"")))</f>
        <v/>
      </c>
      <c r="K989" t="str">
        <f>IF(G989="","",IF(G989="[FÓRMULA MANUAL]","",IFERROR(SUMPRODUCT((DATOS!$A$2:$A$20000=G989)*(DATOS!$G$2:$G$20000=CONFIG_METADATA!$B$4)*(COUNTIF(CONFIG_ASIGNATURAS!$B$7:$B$27,DATOS!$I$2:$I$20000)&gt;0)*(DATOS!$K$2:$K$20000))/SUMPRODUCT((DATOS!$A$2:$A$20000=G989)*(DATOS!$G$2:$G$20000=CONFIG_METADATA!$B$4)*(COUNTIF(CONFIG_ASIGNATURAS!$B$7:$B$27,DATOS!$I$2:$I$20000)&gt;0)*1),"")))</f>
        <v/>
      </c>
      <c r="N989" t="str">
        <f>IF(M989="","",IF(M989="[FÓRMULA MANUAL]","",IFERROR(AVERAGEIFS(DATOS!$K$2:$K$20000,DATOS!$A$2:$A$20000,M989,DATOS!$G$2:$G$20000,CONFIG_METADATA!$B$4,DATOS!$I$2:$I$20000,"Armonía"),"")))</f>
        <v/>
      </c>
      <c r="O989" t="str">
        <f>IF(M989="","",IF(M989="[FÓRMULA MANUAL]","",IFERROR(AVERAGEIFS(DATOS!$K$2:$K$20000,DATOS!$A$2:$A$20000,M989,DATOS!$G$2:$G$20000,CONFIG_METADATA!$B$4,DATOS!$I$2:$I$20000,"Orquesta/Banda/Conjunto"),"")))</f>
        <v/>
      </c>
      <c r="P989" t="str">
        <f>IF(M989="","",IF(M989="[FÓRMULA MANUAL]","",IFERROR(AVERAGEIFS(DATOS!$K$2:$K$20000,DATOS!$A$2:$A$20000,M989,DATOS!$G$2:$G$20000,CONFIG_METADATA!$B$4,DATOS!$I$2:$I$20000,"Música de Cámara"),"")))</f>
        <v/>
      </c>
      <c r="Q989" t="str">
        <f>IF(M989="","",IF(M989="[FÓRMULA MANUAL]","",IFERROR(SUMPRODUCT((DATOS!$A$2:$A$20000=M989)*(DATOS!$G$2:$G$20000=CONFIG_METADATA!$B$4)*(COUNTIF(CONFIG_ASIGNATURAS!$B$7:$B$27,DATOS!$I$2:$I$20000)&gt;0)*(DATOS!$K$2:$K$20000))/SUMPRODUCT((DATOS!$A$2:$A$20000=M989)*(DATOS!$G$2:$G$20000=CONFIG_METADATA!$B$4)*(COUNTIF(CONFIG_ASIGNATURAS!$B$7:$B$27,DATOS!$I$2:$I$20000)&gt;0)*1),"")))</f>
        <v/>
      </c>
      <c r="T989" t="str">
        <f>IF(S989="","",IF(S989="[FÓRMULA MANUAL]","",IFERROR(AVERAGEIFS(DATOS!$K$2:$K$20000,DATOS!$A$2:$A$20000,S989,DATOS!$G$2:$G$20000,CONFIG_METADATA!$B$4,DATOS!$I$2:$I$20000,"Armonía"),"")))</f>
        <v/>
      </c>
      <c r="U989" t="str">
        <f>IF(S989="","",IF(S989="[FÓRMULA MANUAL]","",IFERROR(AVERAGEIFS(DATOS!$K$2:$K$20000,DATOS!$A$2:$A$20000,S989,DATOS!$G$2:$G$20000,CONFIG_METADATA!$B$4,DATOS!$I$2:$I$20000,"Orquesta/Banda/Conjunto"),"")))</f>
        <v/>
      </c>
      <c r="V989" t="str">
        <f>IF(S989="","",IF(S989="[FÓRMULA MANUAL]","",IFERROR(AVERAGEIFS(DATOS!$K$2:$K$20000,DATOS!$A$2:$A$20000,S989,DATOS!$G$2:$G$20000,CONFIG_METADATA!$B$4,DATOS!$I$2:$I$20000,"Música de Cámara"),"")))</f>
        <v/>
      </c>
      <c r="W989" t="str">
        <f>IF(S989="","",IF(S989="[FÓRMULA MANUAL]","",IFERROR(SUMPRODUCT((DATOS!$A$2:$A$20000=S989)*(DATOS!$G$2:$G$20000=CONFIG_METADATA!$B$4)*(COUNTIF(CONFIG_ASIGNATURAS!$B$7:$B$27,DATOS!$I$2:$I$20000)&gt;0)*(DATOS!$K$2:$K$20000))/SUMPRODUCT((DATOS!$A$2:$A$20000=S989)*(DATOS!$G$2:$G$20000=CONFIG_METADATA!$B$4)*(COUNTIF(CONFIG_ASIGNATURAS!$B$7:$B$27,DATOS!$I$2:$I$20000)&gt;0)*1),"")))</f>
        <v/>
      </c>
      <c r="Z989" t="str">
        <f>IF(Y989="","",IF(Y989="[FÓRMULA MANUAL]","",IFERROR(AVERAGEIFS(DATOS!$K$2:$K$20000,DATOS!$A$2:$A$20000,Y989,DATOS!$G$2:$G$20000,CONFIG_METADATA!$B$4,DATOS!$I$2:$I$20000,"Análisis"),"")))</f>
        <v/>
      </c>
      <c r="AA989" t="str">
        <f>IF(Y989="","",IF(Y989="[FÓRMULA MANUAL]","",IFERROR(AVERAGEIFS(DATOS!$K$2:$K$20000,DATOS!$A$2:$A$20000,Y989,DATOS!$G$2:$G$20000,CONFIG_METADATA!$B$4,DATOS!$I$2:$I$20000,"Orquesta/Banda/Conjunto"),"")))</f>
        <v/>
      </c>
      <c r="AB989" t="str">
        <f>IF(Y989="","",IF(Y989="[FÓRMULA MANUAL]","",IFERROR(AVERAGEIFS(DATOS!$K$2:$K$20000,DATOS!$A$2:$A$20000,Y989,DATOS!$G$2:$G$20000,CONFIG_METADATA!$B$4,DATOS!$I$2:$I$20000,"Música de Cámara"),"")))</f>
        <v/>
      </c>
      <c r="AC989" t="str">
        <f>IF(Y989="","",IF(Y989="[FÓRMULA MANUAL]","",IFERROR(SUMPRODUCT((DATOS!$A$2:$A$20000=Y989)*(DATOS!$G$2:$G$20000=CONFIG_METADATA!$B$4)*(COUNTIF(CONFIG_ASIGNATURAS!$B$7:$B$27,DATOS!$I$2:$I$20000)&gt;0)*(DATOS!$K$2:$K$20000))/SUMPRODUCT((DATOS!$A$2:$A$20000=Y989)*(DATOS!$G$2:$G$20000=CONFIG_METADATA!$B$4)*(COUNTIF(CONFIG_ASIGNATURAS!$B$7:$B$27,DATOS!$I$2:$I$20000)&gt;0)*1),"")))</f>
        <v/>
      </c>
      <c r="AF989" t="str">
        <f>IF(AE989="","",IF(AE989="[FÓRMULA MANUAL]","",IFERROR(AVERAGEIFS(DATOS!$K$2:$K$20000,DATOS!$A$2:$A$20000,AE989,DATOS!$G$2:$G$20000,CONFIG_METADATA!$B$4,DATOS!$I$2:$I$20000,"Análisis"),"")))</f>
        <v/>
      </c>
      <c r="AG989" t="str">
        <f>IF(AE989="","",IF(AE989="[FÓRMULA MANUAL]","",IFERROR(AVERAGEIFS(DATOS!$K$2:$K$20000,DATOS!$A$2:$A$20000,AE989,DATOS!$G$2:$G$20000,CONFIG_METADATA!$B$4,DATOS!$I$2:$I$20000,"Orquesta/Banda/Conjunto"),"")))</f>
        <v/>
      </c>
      <c r="AH989" t="str">
        <f>IF(AE989="","",IF(AE989="[FÓRMULA MANUAL]","",IFERROR(AVERAGEIFS(DATOS!$K$2:$K$20000,DATOS!$A$2:$A$20000,AE989,DATOS!$G$2:$G$20000,CONFIG_METADATA!$B$4,DATOS!$I$2:$I$20000,"Música de Cámara"),"")))</f>
        <v/>
      </c>
      <c r="AI989" t="str">
        <f>IF(AE989="","",IF(AE989="[FÓRMULA MANUAL]","",IFERROR(SUMPRODUCT((DATOS!$A$2:$A$20000=AE989)*(DATOS!$G$2:$G$20000=CONFIG_METADATA!$B$4)*(COUNTIF(CONFIG_ASIGNATURAS!$B$7:$B$27,DATOS!$I$2:$I$20000)&gt;0)*(DATOS!$K$2:$K$20000))/SUMPRODUCT((DATOS!$A$2:$A$20000=AE989)*(DATOS!$G$2:$G$20000=CONFIG_METADATA!$B$4)*(COUNTIF(CONFIG_ASIGNATURAS!$B$7:$B$27,DATOS!$I$2:$I$20000)&gt;0)*1),"")))</f>
        <v/>
      </c>
    </row>
    <row r="990" spans="2:35" x14ac:dyDescent="0.2">
      <c r="B990" t="str">
        <f>IF(A990="","",IF(A990="[FÓRMULA MANUAL]","",IFERROR(AVERAGEIFS(DATOS!$K$2:$K$20000,DATOS!$A$2:$A$20000,A990,DATOS!$G$2:$G$20000,CONFIG_METADATA!$B$4,DATOS!$I$2:$I$20000,"Lenguaje Musical"),"")))</f>
        <v/>
      </c>
      <c r="C990" t="str">
        <f>IF(A990="","",IF(A990="[FÓRMULA MANUAL]","",IFERROR(AVERAGEIFS(DATOS!$K$2:$K$20000,DATOS!$A$2:$A$20000,A990,DATOS!$G$2:$G$20000,CONFIG_METADATA!$B$4,DATOS!$I$2:$I$20000,"Orquesta/Banda/Conjunto"),"")))</f>
        <v/>
      </c>
      <c r="D990" t="str">
        <f>IF(A990="","",IF(A990="[FÓRMULA MANUAL]","",IFERROR(AVERAGEIFS(DATOS!$K$2:$K$20000,DATOS!$A$2:$A$20000,A990,DATOS!$G$2:$G$20000,CONFIG_METADATA!$B$4,DATOS!$I$2:$I$20000,"Conjunto"),"")))</f>
        <v/>
      </c>
      <c r="E990" t="str">
        <f>IF(A990="","",IF(A990="[FÓRMULA MANUAL]","",IFERROR(SUMPRODUCT((DATOS!$A$2:$A$20000=A990)*(DATOS!$G$2:$G$20000=CONFIG_METADATA!$B$4)*(COUNTIF(CONFIG_ASIGNATURAS!$B$7:$B$27,DATOS!$I$2:$I$20000)&gt;0)*(DATOS!$K$2:$K$20000))/SUMPRODUCT((DATOS!$A$2:$A$20000=A990)*(DATOS!$G$2:$G$20000=CONFIG_METADATA!$B$4)*(COUNTIF(CONFIG_ASIGNATURAS!$B$7:$B$27,DATOS!$I$2:$I$20000)&gt;0)*1),"")))</f>
        <v/>
      </c>
      <c r="H990" t="str">
        <f>IF(G990="","",IF(G990="[FÓRMULA MANUAL]","",IFERROR(AVERAGEIFS(DATOS!$K$2:$K$20000,DATOS!$A$2:$A$20000,G990,DATOS!$G$2:$G$20000,CONFIG_METADATA!$B$4,DATOS!$I$2:$I$20000,"Lenguaje Musical"),"")))</f>
        <v/>
      </c>
      <c r="I990" t="str">
        <f>IF(G990="","",IF(G990="[FÓRMULA MANUAL]","",IFERROR(AVERAGEIFS(DATOS!$K$2:$K$20000,DATOS!$A$2:$A$20000,G990,DATOS!$G$2:$G$20000,CONFIG_METADATA!$B$4,DATOS!$I$2:$I$20000,"Orquesta/Banda/Conjunto"),"")))</f>
        <v/>
      </c>
      <c r="J990" t="str">
        <f>IF(G990="","",IF(G990="[FÓRMULA MANUAL]","",IFERROR(AVERAGEIFS(DATOS!$K$2:$K$20000,DATOS!$A$2:$A$20000,G990,DATOS!$G$2:$G$20000,CONFIG_METADATA!$B$4,DATOS!$I$2:$I$20000,"Conjunto"),"")))</f>
        <v/>
      </c>
      <c r="K990" t="str">
        <f>IF(G990="","",IF(G990="[FÓRMULA MANUAL]","",IFERROR(SUMPRODUCT((DATOS!$A$2:$A$20000=G990)*(DATOS!$G$2:$G$20000=CONFIG_METADATA!$B$4)*(COUNTIF(CONFIG_ASIGNATURAS!$B$7:$B$27,DATOS!$I$2:$I$20000)&gt;0)*(DATOS!$K$2:$K$20000))/SUMPRODUCT((DATOS!$A$2:$A$20000=G990)*(DATOS!$G$2:$G$20000=CONFIG_METADATA!$B$4)*(COUNTIF(CONFIG_ASIGNATURAS!$B$7:$B$27,DATOS!$I$2:$I$20000)&gt;0)*1),"")))</f>
        <v/>
      </c>
      <c r="N990" t="str">
        <f>IF(M990="","",IF(M990="[FÓRMULA MANUAL]","",IFERROR(AVERAGEIFS(DATOS!$K$2:$K$20000,DATOS!$A$2:$A$20000,M990,DATOS!$G$2:$G$20000,CONFIG_METADATA!$B$4,DATOS!$I$2:$I$20000,"Armonía"),"")))</f>
        <v/>
      </c>
      <c r="O990" t="str">
        <f>IF(M990="","",IF(M990="[FÓRMULA MANUAL]","",IFERROR(AVERAGEIFS(DATOS!$K$2:$K$20000,DATOS!$A$2:$A$20000,M990,DATOS!$G$2:$G$20000,CONFIG_METADATA!$B$4,DATOS!$I$2:$I$20000,"Orquesta/Banda/Conjunto"),"")))</f>
        <v/>
      </c>
      <c r="P990" t="str">
        <f>IF(M990="","",IF(M990="[FÓRMULA MANUAL]","",IFERROR(AVERAGEIFS(DATOS!$K$2:$K$20000,DATOS!$A$2:$A$20000,M990,DATOS!$G$2:$G$20000,CONFIG_METADATA!$B$4,DATOS!$I$2:$I$20000,"Música de Cámara"),"")))</f>
        <v/>
      </c>
      <c r="Q990" t="str">
        <f>IF(M990="","",IF(M990="[FÓRMULA MANUAL]","",IFERROR(SUMPRODUCT((DATOS!$A$2:$A$20000=M990)*(DATOS!$G$2:$G$20000=CONFIG_METADATA!$B$4)*(COUNTIF(CONFIG_ASIGNATURAS!$B$7:$B$27,DATOS!$I$2:$I$20000)&gt;0)*(DATOS!$K$2:$K$20000))/SUMPRODUCT((DATOS!$A$2:$A$20000=M990)*(DATOS!$G$2:$G$20000=CONFIG_METADATA!$B$4)*(COUNTIF(CONFIG_ASIGNATURAS!$B$7:$B$27,DATOS!$I$2:$I$20000)&gt;0)*1),"")))</f>
        <v/>
      </c>
      <c r="T990" t="str">
        <f>IF(S990="","",IF(S990="[FÓRMULA MANUAL]","",IFERROR(AVERAGEIFS(DATOS!$K$2:$K$20000,DATOS!$A$2:$A$20000,S990,DATOS!$G$2:$G$20000,CONFIG_METADATA!$B$4,DATOS!$I$2:$I$20000,"Armonía"),"")))</f>
        <v/>
      </c>
      <c r="U990" t="str">
        <f>IF(S990="","",IF(S990="[FÓRMULA MANUAL]","",IFERROR(AVERAGEIFS(DATOS!$K$2:$K$20000,DATOS!$A$2:$A$20000,S990,DATOS!$G$2:$G$20000,CONFIG_METADATA!$B$4,DATOS!$I$2:$I$20000,"Orquesta/Banda/Conjunto"),"")))</f>
        <v/>
      </c>
      <c r="V990" t="str">
        <f>IF(S990="","",IF(S990="[FÓRMULA MANUAL]","",IFERROR(AVERAGEIFS(DATOS!$K$2:$K$20000,DATOS!$A$2:$A$20000,S990,DATOS!$G$2:$G$20000,CONFIG_METADATA!$B$4,DATOS!$I$2:$I$20000,"Música de Cámara"),"")))</f>
        <v/>
      </c>
      <c r="W990" t="str">
        <f>IF(S990="","",IF(S990="[FÓRMULA MANUAL]","",IFERROR(SUMPRODUCT((DATOS!$A$2:$A$20000=S990)*(DATOS!$G$2:$G$20000=CONFIG_METADATA!$B$4)*(COUNTIF(CONFIG_ASIGNATURAS!$B$7:$B$27,DATOS!$I$2:$I$20000)&gt;0)*(DATOS!$K$2:$K$20000))/SUMPRODUCT((DATOS!$A$2:$A$20000=S990)*(DATOS!$G$2:$G$20000=CONFIG_METADATA!$B$4)*(COUNTIF(CONFIG_ASIGNATURAS!$B$7:$B$27,DATOS!$I$2:$I$20000)&gt;0)*1),"")))</f>
        <v/>
      </c>
      <c r="Z990" t="str">
        <f>IF(Y990="","",IF(Y990="[FÓRMULA MANUAL]","",IFERROR(AVERAGEIFS(DATOS!$K$2:$K$20000,DATOS!$A$2:$A$20000,Y990,DATOS!$G$2:$G$20000,CONFIG_METADATA!$B$4,DATOS!$I$2:$I$20000,"Análisis"),"")))</f>
        <v/>
      </c>
      <c r="AA990" t="str">
        <f>IF(Y990="","",IF(Y990="[FÓRMULA MANUAL]","",IFERROR(AVERAGEIFS(DATOS!$K$2:$K$20000,DATOS!$A$2:$A$20000,Y990,DATOS!$G$2:$G$20000,CONFIG_METADATA!$B$4,DATOS!$I$2:$I$20000,"Orquesta/Banda/Conjunto"),"")))</f>
        <v/>
      </c>
      <c r="AB990" t="str">
        <f>IF(Y990="","",IF(Y990="[FÓRMULA MANUAL]","",IFERROR(AVERAGEIFS(DATOS!$K$2:$K$20000,DATOS!$A$2:$A$20000,Y990,DATOS!$G$2:$G$20000,CONFIG_METADATA!$B$4,DATOS!$I$2:$I$20000,"Música de Cámara"),"")))</f>
        <v/>
      </c>
      <c r="AC990" t="str">
        <f>IF(Y990="","",IF(Y990="[FÓRMULA MANUAL]","",IFERROR(SUMPRODUCT((DATOS!$A$2:$A$20000=Y990)*(DATOS!$G$2:$G$20000=CONFIG_METADATA!$B$4)*(COUNTIF(CONFIG_ASIGNATURAS!$B$7:$B$27,DATOS!$I$2:$I$20000)&gt;0)*(DATOS!$K$2:$K$20000))/SUMPRODUCT((DATOS!$A$2:$A$20000=Y990)*(DATOS!$G$2:$G$20000=CONFIG_METADATA!$B$4)*(COUNTIF(CONFIG_ASIGNATURAS!$B$7:$B$27,DATOS!$I$2:$I$20000)&gt;0)*1),"")))</f>
        <v/>
      </c>
      <c r="AF990" t="str">
        <f>IF(AE990="","",IF(AE990="[FÓRMULA MANUAL]","",IFERROR(AVERAGEIFS(DATOS!$K$2:$K$20000,DATOS!$A$2:$A$20000,AE990,DATOS!$G$2:$G$20000,CONFIG_METADATA!$B$4,DATOS!$I$2:$I$20000,"Análisis"),"")))</f>
        <v/>
      </c>
      <c r="AG990" t="str">
        <f>IF(AE990="","",IF(AE990="[FÓRMULA MANUAL]","",IFERROR(AVERAGEIFS(DATOS!$K$2:$K$20000,DATOS!$A$2:$A$20000,AE990,DATOS!$G$2:$G$20000,CONFIG_METADATA!$B$4,DATOS!$I$2:$I$20000,"Orquesta/Banda/Conjunto"),"")))</f>
        <v/>
      </c>
      <c r="AH990" t="str">
        <f>IF(AE990="","",IF(AE990="[FÓRMULA MANUAL]","",IFERROR(AVERAGEIFS(DATOS!$K$2:$K$20000,DATOS!$A$2:$A$20000,AE990,DATOS!$G$2:$G$20000,CONFIG_METADATA!$B$4,DATOS!$I$2:$I$20000,"Música de Cámara"),"")))</f>
        <v/>
      </c>
      <c r="AI990" t="str">
        <f>IF(AE990="","",IF(AE990="[FÓRMULA MANUAL]","",IFERROR(SUMPRODUCT((DATOS!$A$2:$A$20000=AE990)*(DATOS!$G$2:$G$20000=CONFIG_METADATA!$B$4)*(COUNTIF(CONFIG_ASIGNATURAS!$B$7:$B$27,DATOS!$I$2:$I$20000)&gt;0)*(DATOS!$K$2:$K$20000))/SUMPRODUCT((DATOS!$A$2:$A$20000=AE990)*(DATOS!$G$2:$G$20000=CONFIG_METADATA!$B$4)*(COUNTIF(CONFIG_ASIGNATURAS!$B$7:$B$27,DATOS!$I$2:$I$20000)&gt;0)*1),"")))</f>
        <v/>
      </c>
    </row>
    <row r="991" spans="2:35" x14ac:dyDescent="0.2">
      <c r="B991" t="str">
        <f>IF(A991="","",IF(A991="[FÓRMULA MANUAL]","",IFERROR(AVERAGEIFS(DATOS!$K$2:$K$20000,DATOS!$A$2:$A$20000,A991,DATOS!$G$2:$G$20000,CONFIG_METADATA!$B$4,DATOS!$I$2:$I$20000,"Lenguaje Musical"),"")))</f>
        <v/>
      </c>
      <c r="C991" t="str">
        <f>IF(A991="","",IF(A991="[FÓRMULA MANUAL]","",IFERROR(AVERAGEIFS(DATOS!$K$2:$K$20000,DATOS!$A$2:$A$20000,A991,DATOS!$G$2:$G$20000,CONFIG_METADATA!$B$4,DATOS!$I$2:$I$20000,"Orquesta/Banda/Conjunto"),"")))</f>
        <v/>
      </c>
      <c r="D991" t="str">
        <f>IF(A991="","",IF(A991="[FÓRMULA MANUAL]","",IFERROR(AVERAGEIFS(DATOS!$K$2:$K$20000,DATOS!$A$2:$A$20000,A991,DATOS!$G$2:$G$20000,CONFIG_METADATA!$B$4,DATOS!$I$2:$I$20000,"Conjunto"),"")))</f>
        <v/>
      </c>
      <c r="E991" t="str">
        <f>IF(A991="","",IF(A991="[FÓRMULA MANUAL]","",IFERROR(SUMPRODUCT((DATOS!$A$2:$A$20000=A991)*(DATOS!$G$2:$G$20000=CONFIG_METADATA!$B$4)*(COUNTIF(CONFIG_ASIGNATURAS!$B$7:$B$27,DATOS!$I$2:$I$20000)&gt;0)*(DATOS!$K$2:$K$20000))/SUMPRODUCT((DATOS!$A$2:$A$20000=A991)*(DATOS!$G$2:$G$20000=CONFIG_METADATA!$B$4)*(COUNTIF(CONFIG_ASIGNATURAS!$B$7:$B$27,DATOS!$I$2:$I$20000)&gt;0)*1),"")))</f>
        <v/>
      </c>
      <c r="H991" t="str">
        <f>IF(G991="","",IF(G991="[FÓRMULA MANUAL]","",IFERROR(AVERAGEIFS(DATOS!$K$2:$K$20000,DATOS!$A$2:$A$20000,G991,DATOS!$G$2:$G$20000,CONFIG_METADATA!$B$4,DATOS!$I$2:$I$20000,"Lenguaje Musical"),"")))</f>
        <v/>
      </c>
      <c r="I991" t="str">
        <f>IF(G991="","",IF(G991="[FÓRMULA MANUAL]","",IFERROR(AVERAGEIFS(DATOS!$K$2:$K$20000,DATOS!$A$2:$A$20000,G991,DATOS!$G$2:$G$20000,CONFIG_METADATA!$B$4,DATOS!$I$2:$I$20000,"Orquesta/Banda/Conjunto"),"")))</f>
        <v/>
      </c>
      <c r="J991" t="str">
        <f>IF(G991="","",IF(G991="[FÓRMULA MANUAL]","",IFERROR(AVERAGEIFS(DATOS!$K$2:$K$20000,DATOS!$A$2:$A$20000,G991,DATOS!$G$2:$G$20000,CONFIG_METADATA!$B$4,DATOS!$I$2:$I$20000,"Conjunto"),"")))</f>
        <v/>
      </c>
      <c r="K991" t="str">
        <f>IF(G991="","",IF(G991="[FÓRMULA MANUAL]","",IFERROR(SUMPRODUCT((DATOS!$A$2:$A$20000=G991)*(DATOS!$G$2:$G$20000=CONFIG_METADATA!$B$4)*(COUNTIF(CONFIG_ASIGNATURAS!$B$7:$B$27,DATOS!$I$2:$I$20000)&gt;0)*(DATOS!$K$2:$K$20000))/SUMPRODUCT((DATOS!$A$2:$A$20000=G991)*(DATOS!$G$2:$G$20000=CONFIG_METADATA!$B$4)*(COUNTIF(CONFIG_ASIGNATURAS!$B$7:$B$27,DATOS!$I$2:$I$20000)&gt;0)*1),"")))</f>
        <v/>
      </c>
      <c r="N991" t="str">
        <f>IF(M991="","",IF(M991="[FÓRMULA MANUAL]","",IFERROR(AVERAGEIFS(DATOS!$K$2:$K$20000,DATOS!$A$2:$A$20000,M991,DATOS!$G$2:$G$20000,CONFIG_METADATA!$B$4,DATOS!$I$2:$I$20000,"Armonía"),"")))</f>
        <v/>
      </c>
      <c r="O991" t="str">
        <f>IF(M991="","",IF(M991="[FÓRMULA MANUAL]","",IFERROR(AVERAGEIFS(DATOS!$K$2:$K$20000,DATOS!$A$2:$A$20000,M991,DATOS!$G$2:$G$20000,CONFIG_METADATA!$B$4,DATOS!$I$2:$I$20000,"Orquesta/Banda/Conjunto"),"")))</f>
        <v/>
      </c>
      <c r="P991" t="str">
        <f>IF(M991="","",IF(M991="[FÓRMULA MANUAL]","",IFERROR(AVERAGEIFS(DATOS!$K$2:$K$20000,DATOS!$A$2:$A$20000,M991,DATOS!$G$2:$G$20000,CONFIG_METADATA!$B$4,DATOS!$I$2:$I$20000,"Música de Cámara"),"")))</f>
        <v/>
      </c>
      <c r="Q991" t="str">
        <f>IF(M991="","",IF(M991="[FÓRMULA MANUAL]","",IFERROR(SUMPRODUCT((DATOS!$A$2:$A$20000=M991)*(DATOS!$G$2:$G$20000=CONFIG_METADATA!$B$4)*(COUNTIF(CONFIG_ASIGNATURAS!$B$7:$B$27,DATOS!$I$2:$I$20000)&gt;0)*(DATOS!$K$2:$K$20000))/SUMPRODUCT((DATOS!$A$2:$A$20000=M991)*(DATOS!$G$2:$G$20000=CONFIG_METADATA!$B$4)*(COUNTIF(CONFIG_ASIGNATURAS!$B$7:$B$27,DATOS!$I$2:$I$20000)&gt;0)*1),"")))</f>
        <v/>
      </c>
      <c r="T991" t="str">
        <f>IF(S991="","",IF(S991="[FÓRMULA MANUAL]","",IFERROR(AVERAGEIFS(DATOS!$K$2:$K$20000,DATOS!$A$2:$A$20000,S991,DATOS!$G$2:$G$20000,CONFIG_METADATA!$B$4,DATOS!$I$2:$I$20000,"Armonía"),"")))</f>
        <v/>
      </c>
      <c r="U991" t="str">
        <f>IF(S991="","",IF(S991="[FÓRMULA MANUAL]","",IFERROR(AVERAGEIFS(DATOS!$K$2:$K$20000,DATOS!$A$2:$A$20000,S991,DATOS!$G$2:$G$20000,CONFIG_METADATA!$B$4,DATOS!$I$2:$I$20000,"Orquesta/Banda/Conjunto"),"")))</f>
        <v/>
      </c>
      <c r="V991" t="str">
        <f>IF(S991="","",IF(S991="[FÓRMULA MANUAL]","",IFERROR(AVERAGEIFS(DATOS!$K$2:$K$20000,DATOS!$A$2:$A$20000,S991,DATOS!$G$2:$G$20000,CONFIG_METADATA!$B$4,DATOS!$I$2:$I$20000,"Música de Cámara"),"")))</f>
        <v/>
      </c>
      <c r="W991" t="str">
        <f>IF(S991="","",IF(S991="[FÓRMULA MANUAL]","",IFERROR(SUMPRODUCT((DATOS!$A$2:$A$20000=S991)*(DATOS!$G$2:$G$20000=CONFIG_METADATA!$B$4)*(COUNTIF(CONFIG_ASIGNATURAS!$B$7:$B$27,DATOS!$I$2:$I$20000)&gt;0)*(DATOS!$K$2:$K$20000))/SUMPRODUCT((DATOS!$A$2:$A$20000=S991)*(DATOS!$G$2:$G$20000=CONFIG_METADATA!$B$4)*(COUNTIF(CONFIG_ASIGNATURAS!$B$7:$B$27,DATOS!$I$2:$I$20000)&gt;0)*1),"")))</f>
        <v/>
      </c>
      <c r="Z991" t="str">
        <f>IF(Y991="","",IF(Y991="[FÓRMULA MANUAL]","",IFERROR(AVERAGEIFS(DATOS!$K$2:$K$20000,DATOS!$A$2:$A$20000,Y991,DATOS!$G$2:$G$20000,CONFIG_METADATA!$B$4,DATOS!$I$2:$I$20000,"Análisis"),"")))</f>
        <v/>
      </c>
      <c r="AA991" t="str">
        <f>IF(Y991="","",IF(Y991="[FÓRMULA MANUAL]","",IFERROR(AVERAGEIFS(DATOS!$K$2:$K$20000,DATOS!$A$2:$A$20000,Y991,DATOS!$G$2:$G$20000,CONFIG_METADATA!$B$4,DATOS!$I$2:$I$20000,"Orquesta/Banda/Conjunto"),"")))</f>
        <v/>
      </c>
      <c r="AB991" t="str">
        <f>IF(Y991="","",IF(Y991="[FÓRMULA MANUAL]","",IFERROR(AVERAGEIFS(DATOS!$K$2:$K$20000,DATOS!$A$2:$A$20000,Y991,DATOS!$G$2:$G$20000,CONFIG_METADATA!$B$4,DATOS!$I$2:$I$20000,"Música de Cámara"),"")))</f>
        <v/>
      </c>
      <c r="AC991" t="str">
        <f>IF(Y991="","",IF(Y991="[FÓRMULA MANUAL]","",IFERROR(SUMPRODUCT((DATOS!$A$2:$A$20000=Y991)*(DATOS!$G$2:$G$20000=CONFIG_METADATA!$B$4)*(COUNTIF(CONFIG_ASIGNATURAS!$B$7:$B$27,DATOS!$I$2:$I$20000)&gt;0)*(DATOS!$K$2:$K$20000))/SUMPRODUCT((DATOS!$A$2:$A$20000=Y991)*(DATOS!$G$2:$G$20000=CONFIG_METADATA!$B$4)*(COUNTIF(CONFIG_ASIGNATURAS!$B$7:$B$27,DATOS!$I$2:$I$20000)&gt;0)*1),"")))</f>
        <v/>
      </c>
      <c r="AF991" t="str">
        <f>IF(AE991="","",IF(AE991="[FÓRMULA MANUAL]","",IFERROR(AVERAGEIFS(DATOS!$K$2:$K$20000,DATOS!$A$2:$A$20000,AE991,DATOS!$G$2:$G$20000,CONFIG_METADATA!$B$4,DATOS!$I$2:$I$20000,"Análisis"),"")))</f>
        <v/>
      </c>
      <c r="AG991" t="str">
        <f>IF(AE991="","",IF(AE991="[FÓRMULA MANUAL]","",IFERROR(AVERAGEIFS(DATOS!$K$2:$K$20000,DATOS!$A$2:$A$20000,AE991,DATOS!$G$2:$G$20000,CONFIG_METADATA!$B$4,DATOS!$I$2:$I$20000,"Orquesta/Banda/Conjunto"),"")))</f>
        <v/>
      </c>
      <c r="AH991" t="str">
        <f>IF(AE991="","",IF(AE991="[FÓRMULA MANUAL]","",IFERROR(AVERAGEIFS(DATOS!$K$2:$K$20000,DATOS!$A$2:$A$20000,AE991,DATOS!$G$2:$G$20000,CONFIG_METADATA!$B$4,DATOS!$I$2:$I$20000,"Música de Cámara"),"")))</f>
        <v/>
      </c>
      <c r="AI991" t="str">
        <f>IF(AE991="","",IF(AE991="[FÓRMULA MANUAL]","",IFERROR(SUMPRODUCT((DATOS!$A$2:$A$20000=AE991)*(DATOS!$G$2:$G$20000=CONFIG_METADATA!$B$4)*(COUNTIF(CONFIG_ASIGNATURAS!$B$7:$B$27,DATOS!$I$2:$I$20000)&gt;0)*(DATOS!$K$2:$K$20000))/SUMPRODUCT((DATOS!$A$2:$A$20000=AE991)*(DATOS!$G$2:$G$20000=CONFIG_METADATA!$B$4)*(COUNTIF(CONFIG_ASIGNATURAS!$B$7:$B$27,DATOS!$I$2:$I$20000)&gt;0)*1),"")))</f>
        <v/>
      </c>
    </row>
    <row r="992" spans="2:35" x14ac:dyDescent="0.2">
      <c r="B992" t="str">
        <f>IF(A992="","",IF(A992="[FÓRMULA MANUAL]","",IFERROR(AVERAGEIFS(DATOS!$K$2:$K$20000,DATOS!$A$2:$A$20000,A992,DATOS!$G$2:$G$20000,CONFIG_METADATA!$B$4,DATOS!$I$2:$I$20000,"Lenguaje Musical"),"")))</f>
        <v/>
      </c>
      <c r="C992" t="str">
        <f>IF(A992="","",IF(A992="[FÓRMULA MANUAL]","",IFERROR(AVERAGEIFS(DATOS!$K$2:$K$20000,DATOS!$A$2:$A$20000,A992,DATOS!$G$2:$G$20000,CONFIG_METADATA!$B$4,DATOS!$I$2:$I$20000,"Orquesta/Banda/Conjunto"),"")))</f>
        <v/>
      </c>
      <c r="D992" t="str">
        <f>IF(A992="","",IF(A992="[FÓRMULA MANUAL]","",IFERROR(AVERAGEIFS(DATOS!$K$2:$K$20000,DATOS!$A$2:$A$20000,A992,DATOS!$G$2:$G$20000,CONFIG_METADATA!$B$4,DATOS!$I$2:$I$20000,"Conjunto"),"")))</f>
        <v/>
      </c>
      <c r="E992" t="str">
        <f>IF(A992="","",IF(A992="[FÓRMULA MANUAL]","",IFERROR(SUMPRODUCT((DATOS!$A$2:$A$20000=A992)*(DATOS!$G$2:$G$20000=CONFIG_METADATA!$B$4)*(COUNTIF(CONFIG_ASIGNATURAS!$B$7:$B$27,DATOS!$I$2:$I$20000)&gt;0)*(DATOS!$K$2:$K$20000))/SUMPRODUCT((DATOS!$A$2:$A$20000=A992)*(DATOS!$G$2:$G$20000=CONFIG_METADATA!$B$4)*(COUNTIF(CONFIG_ASIGNATURAS!$B$7:$B$27,DATOS!$I$2:$I$20000)&gt;0)*1),"")))</f>
        <v/>
      </c>
      <c r="H992" t="str">
        <f>IF(G992="","",IF(G992="[FÓRMULA MANUAL]","",IFERROR(AVERAGEIFS(DATOS!$K$2:$K$20000,DATOS!$A$2:$A$20000,G992,DATOS!$G$2:$G$20000,CONFIG_METADATA!$B$4,DATOS!$I$2:$I$20000,"Lenguaje Musical"),"")))</f>
        <v/>
      </c>
      <c r="I992" t="str">
        <f>IF(G992="","",IF(G992="[FÓRMULA MANUAL]","",IFERROR(AVERAGEIFS(DATOS!$K$2:$K$20000,DATOS!$A$2:$A$20000,G992,DATOS!$G$2:$G$20000,CONFIG_METADATA!$B$4,DATOS!$I$2:$I$20000,"Orquesta/Banda/Conjunto"),"")))</f>
        <v/>
      </c>
      <c r="J992" t="str">
        <f>IF(G992="","",IF(G992="[FÓRMULA MANUAL]","",IFERROR(AVERAGEIFS(DATOS!$K$2:$K$20000,DATOS!$A$2:$A$20000,G992,DATOS!$G$2:$G$20000,CONFIG_METADATA!$B$4,DATOS!$I$2:$I$20000,"Conjunto"),"")))</f>
        <v/>
      </c>
      <c r="K992" t="str">
        <f>IF(G992="","",IF(G992="[FÓRMULA MANUAL]","",IFERROR(SUMPRODUCT((DATOS!$A$2:$A$20000=G992)*(DATOS!$G$2:$G$20000=CONFIG_METADATA!$B$4)*(COUNTIF(CONFIG_ASIGNATURAS!$B$7:$B$27,DATOS!$I$2:$I$20000)&gt;0)*(DATOS!$K$2:$K$20000))/SUMPRODUCT((DATOS!$A$2:$A$20000=G992)*(DATOS!$G$2:$G$20000=CONFIG_METADATA!$B$4)*(COUNTIF(CONFIG_ASIGNATURAS!$B$7:$B$27,DATOS!$I$2:$I$20000)&gt;0)*1),"")))</f>
        <v/>
      </c>
      <c r="N992" t="str">
        <f>IF(M992="","",IF(M992="[FÓRMULA MANUAL]","",IFERROR(AVERAGEIFS(DATOS!$K$2:$K$20000,DATOS!$A$2:$A$20000,M992,DATOS!$G$2:$G$20000,CONFIG_METADATA!$B$4,DATOS!$I$2:$I$20000,"Armonía"),"")))</f>
        <v/>
      </c>
      <c r="O992" t="str">
        <f>IF(M992="","",IF(M992="[FÓRMULA MANUAL]","",IFERROR(AVERAGEIFS(DATOS!$K$2:$K$20000,DATOS!$A$2:$A$20000,M992,DATOS!$G$2:$G$20000,CONFIG_METADATA!$B$4,DATOS!$I$2:$I$20000,"Orquesta/Banda/Conjunto"),"")))</f>
        <v/>
      </c>
      <c r="P992" t="str">
        <f>IF(M992="","",IF(M992="[FÓRMULA MANUAL]","",IFERROR(AVERAGEIFS(DATOS!$K$2:$K$20000,DATOS!$A$2:$A$20000,M992,DATOS!$G$2:$G$20000,CONFIG_METADATA!$B$4,DATOS!$I$2:$I$20000,"Música de Cámara"),"")))</f>
        <v/>
      </c>
      <c r="Q992" t="str">
        <f>IF(M992="","",IF(M992="[FÓRMULA MANUAL]","",IFERROR(SUMPRODUCT((DATOS!$A$2:$A$20000=M992)*(DATOS!$G$2:$G$20000=CONFIG_METADATA!$B$4)*(COUNTIF(CONFIG_ASIGNATURAS!$B$7:$B$27,DATOS!$I$2:$I$20000)&gt;0)*(DATOS!$K$2:$K$20000))/SUMPRODUCT((DATOS!$A$2:$A$20000=M992)*(DATOS!$G$2:$G$20000=CONFIG_METADATA!$B$4)*(COUNTIF(CONFIG_ASIGNATURAS!$B$7:$B$27,DATOS!$I$2:$I$20000)&gt;0)*1),"")))</f>
        <v/>
      </c>
      <c r="T992" t="str">
        <f>IF(S992="","",IF(S992="[FÓRMULA MANUAL]","",IFERROR(AVERAGEIFS(DATOS!$K$2:$K$20000,DATOS!$A$2:$A$20000,S992,DATOS!$G$2:$G$20000,CONFIG_METADATA!$B$4,DATOS!$I$2:$I$20000,"Armonía"),"")))</f>
        <v/>
      </c>
      <c r="U992" t="str">
        <f>IF(S992="","",IF(S992="[FÓRMULA MANUAL]","",IFERROR(AVERAGEIFS(DATOS!$K$2:$K$20000,DATOS!$A$2:$A$20000,S992,DATOS!$G$2:$G$20000,CONFIG_METADATA!$B$4,DATOS!$I$2:$I$20000,"Orquesta/Banda/Conjunto"),"")))</f>
        <v/>
      </c>
      <c r="V992" t="str">
        <f>IF(S992="","",IF(S992="[FÓRMULA MANUAL]","",IFERROR(AVERAGEIFS(DATOS!$K$2:$K$20000,DATOS!$A$2:$A$20000,S992,DATOS!$G$2:$G$20000,CONFIG_METADATA!$B$4,DATOS!$I$2:$I$20000,"Música de Cámara"),"")))</f>
        <v/>
      </c>
      <c r="W992" t="str">
        <f>IF(S992="","",IF(S992="[FÓRMULA MANUAL]","",IFERROR(SUMPRODUCT((DATOS!$A$2:$A$20000=S992)*(DATOS!$G$2:$G$20000=CONFIG_METADATA!$B$4)*(COUNTIF(CONFIG_ASIGNATURAS!$B$7:$B$27,DATOS!$I$2:$I$20000)&gt;0)*(DATOS!$K$2:$K$20000))/SUMPRODUCT((DATOS!$A$2:$A$20000=S992)*(DATOS!$G$2:$G$20000=CONFIG_METADATA!$B$4)*(COUNTIF(CONFIG_ASIGNATURAS!$B$7:$B$27,DATOS!$I$2:$I$20000)&gt;0)*1),"")))</f>
        <v/>
      </c>
      <c r="Z992" t="str">
        <f>IF(Y992="","",IF(Y992="[FÓRMULA MANUAL]","",IFERROR(AVERAGEIFS(DATOS!$K$2:$K$20000,DATOS!$A$2:$A$20000,Y992,DATOS!$G$2:$G$20000,CONFIG_METADATA!$B$4,DATOS!$I$2:$I$20000,"Análisis"),"")))</f>
        <v/>
      </c>
      <c r="AA992" t="str">
        <f>IF(Y992="","",IF(Y992="[FÓRMULA MANUAL]","",IFERROR(AVERAGEIFS(DATOS!$K$2:$K$20000,DATOS!$A$2:$A$20000,Y992,DATOS!$G$2:$G$20000,CONFIG_METADATA!$B$4,DATOS!$I$2:$I$20000,"Orquesta/Banda/Conjunto"),"")))</f>
        <v/>
      </c>
      <c r="AB992" t="str">
        <f>IF(Y992="","",IF(Y992="[FÓRMULA MANUAL]","",IFERROR(AVERAGEIFS(DATOS!$K$2:$K$20000,DATOS!$A$2:$A$20000,Y992,DATOS!$G$2:$G$20000,CONFIG_METADATA!$B$4,DATOS!$I$2:$I$20000,"Música de Cámara"),"")))</f>
        <v/>
      </c>
      <c r="AC992" t="str">
        <f>IF(Y992="","",IF(Y992="[FÓRMULA MANUAL]","",IFERROR(SUMPRODUCT((DATOS!$A$2:$A$20000=Y992)*(DATOS!$G$2:$G$20000=CONFIG_METADATA!$B$4)*(COUNTIF(CONFIG_ASIGNATURAS!$B$7:$B$27,DATOS!$I$2:$I$20000)&gt;0)*(DATOS!$K$2:$K$20000))/SUMPRODUCT((DATOS!$A$2:$A$20000=Y992)*(DATOS!$G$2:$G$20000=CONFIG_METADATA!$B$4)*(COUNTIF(CONFIG_ASIGNATURAS!$B$7:$B$27,DATOS!$I$2:$I$20000)&gt;0)*1),"")))</f>
        <v/>
      </c>
      <c r="AF992" t="str">
        <f>IF(AE992="","",IF(AE992="[FÓRMULA MANUAL]","",IFERROR(AVERAGEIFS(DATOS!$K$2:$K$20000,DATOS!$A$2:$A$20000,AE992,DATOS!$G$2:$G$20000,CONFIG_METADATA!$B$4,DATOS!$I$2:$I$20000,"Análisis"),"")))</f>
        <v/>
      </c>
      <c r="AG992" t="str">
        <f>IF(AE992="","",IF(AE992="[FÓRMULA MANUAL]","",IFERROR(AVERAGEIFS(DATOS!$K$2:$K$20000,DATOS!$A$2:$A$20000,AE992,DATOS!$G$2:$G$20000,CONFIG_METADATA!$B$4,DATOS!$I$2:$I$20000,"Orquesta/Banda/Conjunto"),"")))</f>
        <v/>
      </c>
      <c r="AH992" t="str">
        <f>IF(AE992="","",IF(AE992="[FÓRMULA MANUAL]","",IFERROR(AVERAGEIFS(DATOS!$K$2:$K$20000,DATOS!$A$2:$A$20000,AE992,DATOS!$G$2:$G$20000,CONFIG_METADATA!$B$4,DATOS!$I$2:$I$20000,"Música de Cámara"),"")))</f>
        <v/>
      </c>
      <c r="AI992" t="str">
        <f>IF(AE992="","",IF(AE992="[FÓRMULA MANUAL]","",IFERROR(SUMPRODUCT((DATOS!$A$2:$A$20000=AE992)*(DATOS!$G$2:$G$20000=CONFIG_METADATA!$B$4)*(COUNTIF(CONFIG_ASIGNATURAS!$B$7:$B$27,DATOS!$I$2:$I$20000)&gt;0)*(DATOS!$K$2:$K$20000))/SUMPRODUCT((DATOS!$A$2:$A$20000=AE992)*(DATOS!$G$2:$G$20000=CONFIG_METADATA!$B$4)*(COUNTIF(CONFIG_ASIGNATURAS!$B$7:$B$27,DATOS!$I$2:$I$20000)&gt;0)*1),"")))</f>
        <v/>
      </c>
    </row>
    <row r="993" spans="2:35" x14ac:dyDescent="0.2">
      <c r="B993" t="str">
        <f>IF(A993="","",IF(A993="[FÓRMULA MANUAL]","",IFERROR(AVERAGEIFS(DATOS!$K$2:$K$20000,DATOS!$A$2:$A$20000,A993,DATOS!$G$2:$G$20000,CONFIG_METADATA!$B$4,DATOS!$I$2:$I$20000,"Lenguaje Musical"),"")))</f>
        <v/>
      </c>
      <c r="C993" t="str">
        <f>IF(A993="","",IF(A993="[FÓRMULA MANUAL]","",IFERROR(AVERAGEIFS(DATOS!$K$2:$K$20000,DATOS!$A$2:$A$20000,A993,DATOS!$G$2:$G$20000,CONFIG_METADATA!$B$4,DATOS!$I$2:$I$20000,"Orquesta/Banda/Conjunto"),"")))</f>
        <v/>
      </c>
      <c r="D993" t="str">
        <f>IF(A993="","",IF(A993="[FÓRMULA MANUAL]","",IFERROR(AVERAGEIFS(DATOS!$K$2:$K$20000,DATOS!$A$2:$A$20000,A993,DATOS!$G$2:$G$20000,CONFIG_METADATA!$B$4,DATOS!$I$2:$I$20000,"Conjunto"),"")))</f>
        <v/>
      </c>
      <c r="E993" t="str">
        <f>IF(A993="","",IF(A993="[FÓRMULA MANUAL]","",IFERROR(SUMPRODUCT((DATOS!$A$2:$A$20000=A993)*(DATOS!$G$2:$G$20000=CONFIG_METADATA!$B$4)*(COUNTIF(CONFIG_ASIGNATURAS!$B$7:$B$27,DATOS!$I$2:$I$20000)&gt;0)*(DATOS!$K$2:$K$20000))/SUMPRODUCT((DATOS!$A$2:$A$20000=A993)*(DATOS!$G$2:$G$20000=CONFIG_METADATA!$B$4)*(COUNTIF(CONFIG_ASIGNATURAS!$B$7:$B$27,DATOS!$I$2:$I$20000)&gt;0)*1),"")))</f>
        <v/>
      </c>
      <c r="H993" t="str">
        <f>IF(G993="","",IF(G993="[FÓRMULA MANUAL]","",IFERROR(AVERAGEIFS(DATOS!$K$2:$K$20000,DATOS!$A$2:$A$20000,G993,DATOS!$G$2:$G$20000,CONFIG_METADATA!$B$4,DATOS!$I$2:$I$20000,"Lenguaje Musical"),"")))</f>
        <v/>
      </c>
      <c r="I993" t="str">
        <f>IF(G993="","",IF(G993="[FÓRMULA MANUAL]","",IFERROR(AVERAGEIFS(DATOS!$K$2:$K$20000,DATOS!$A$2:$A$20000,G993,DATOS!$G$2:$G$20000,CONFIG_METADATA!$B$4,DATOS!$I$2:$I$20000,"Orquesta/Banda/Conjunto"),"")))</f>
        <v/>
      </c>
      <c r="J993" t="str">
        <f>IF(G993="","",IF(G993="[FÓRMULA MANUAL]","",IFERROR(AVERAGEIFS(DATOS!$K$2:$K$20000,DATOS!$A$2:$A$20000,G993,DATOS!$G$2:$G$20000,CONFIG_METADATA!$B$4,DATOS!$I$2:$I$20000,"Conjunto"),"")))</f>
        <v/>
      </c>
      <c r="K993" t="str">
        <f>IF(G993="","",IF(G993="[FÓRMULA MANUAL]","",IFERROR(SUMPRODUCT((DATOS!$A$2:$A$20000=G993)*(DATOS!$G$2:$G$20000=CONFIG_METADATA!$B$4)*(COUNTIF(CONFIG_ASIGNATURAS!$B$7:$B$27,DATOS!$I$2:$I$20000)&gt;0)*(DATOS!$K$2:$K$20000))/SUMPRODUCT((DATOS!$A$2:$A$20000=G993)*(DATOS!$G$2:$G$20000=CONFIG_METADATA!$B$4)*(COUNTIF(CONFIG_ASIGNATURAS!$B$7:$B$27,DATOS!$I$2:$I$20000)&gt;0)*1),"")))</f>
        <v/>
      </c>
      <c r="N993" t="str">
        <f>IF(M993="","",IF(M993="[FÓRMULA MANUAL]","",IFERROR(AVERAGEIFS(DATOS!$K$2:$K$20000,DATOS!$A$2:$A$20000,M993,DATOS!$G$2:$G$20000,CONFIG_METADATA!$B$4,DATOS!$I$2:$I$20000,"Armonía"),"")))</f>
        <v/>
      </c>
      <c r="O993" t="str">
        <f>IF(M993="","",IF(M993="[FÓRMULA MANUAL]","",IFERROR(AVERAGEIFS(DATOS!$K$2:$K$20000,DATOS!$A$2:$A$20000,M993,DATOS!$G$2:$G$20000,CONFIG_METADATA!$B$4,DATOS!$I$2:$I$20000,"Orquesta/Banda/Conjunto"),"")))</f>
        <v/>
      </c>
      <c r="P993" t="str">
        <f>IF(M993="","",IF(M993="[FÓRMULA MANUAL]","",IFERROR(AVERAGEIFS(DATOS!$K$2:$K$20000,DATOS!$A$2:$A$20000,M993,DATOS!$G$2:$G$20000,CONFIG_METADATA!$B$4,DATOS!$I$2:$I$20000,"Música de Cámara"),"")))</f>
        <v/>
      </c>
      <c r="Q993" t="str">
        <f>IF(M993="","",IF(M993="[FÓRMULA MANUAL]","",IFERROR(SUMPRODUCT((DATOS!$A$2:$A$20000=M993)*(DATOS!$G$2:$G$20000=CONFIG_METADATA!$B$4)*(COUNTIF(CONFIG_ASIGNATURAS!$B$7:$B$27,DATOS!$I$2:$I$20000)&gt;0)*(DATOS!$K$2:$K$20000))/SUMPRODUCT((DATOS!$A$2:$A$20000=M993)*(DATOS!$G$2:$G$20000=CONFIG_METADATA!$B$4)*(COUNTIF(CONFIG_ASIGNATURAS!$B$7:$B$27,DATOS!$I$2:$I$20000)&gt;0)*1),"")))</f>
        <v/>
      </c>
      <c r="T993" t="str">
        <f>IF(S993="","",IF(S993="[FÓRMULA MANUAL]","",IFERROR(AVERAGEIFS(DATOS!$K$2:$K$20000,DATOS!$A$2:$A$20000,S993,DATOS!$G$2:$G$20000,CONFIG_METADATA!$B$4,DATOS!$I$2:$I$20000,"Armonía"),"")))</f>
        <v/>
      </c>
      <c r="U993" t="str">
        <f>IF(S993="","",IF(S993="[FÓRMULA MANUAL]","",IFERROR(AVERAGEIFS(DATOS!$K$2:$K$20000,DATOS!$A$2:$A$20000,S993,DATOS!$G$2:$G$20000,CONFIG_METADATA!$B$4,DATOS!$I$2:$I$20000,"Orquesta/Banda/Conjunto"),"")))</f>
        <v/>
      </c>
      <c r="V993" t="str">
        <f>IF(S993="","",IF(S993="[FÓRMULA MANUAL]","",IFERROR(AVERAGEIFS(DATOS!$K$2:$K$20000,DATOS!$A$2:$A$20000,S993,DATOS!$G$2:$G$20000,CONFIG_METADATA!$B$4,DATOS!$I$2:$I$20000,"Música de Cámara"),"")))</f>
        <v/>
      </c>
      <c r="W993" t="str">
        <f>IF(S993="","",IF(S993="[FÓRMULA MANUAL]","",IFERROR(SUMPRODUCT((DATOS!$A$2:$A$20000=S993)*(DATOS!$G$2:$G$20000=CONFIG_METADATA!$B$4)*(COUNTIF(CONFIG_ASIGNATURAS!$B$7:$B$27,DATOS!$I$2:$I$20000)&gt;0)*(DATOS!$K$2:$K$20000))/SUMPRODUCT((DATOS!$A$2:$A$20000=S993)*(DATOS!$G$2:$G$20000=CONFIG_METADATA!$B$4)*(COUNTIF(CONFIG_ASIGNATURAS!$B$7:$B$27,DATOS!$I$2:$I$20000)&gt;0)*1),"")))</f>
        <v/>
      </c>
      <c r="Z993" t="str">
        <f>IF(Y993="","",IF(Y993="[FÓRMULA MANUAL]","",IFERROR(AVERAGEIFS(DATOS!$K$2:$K$20000,DATOS!$A$2:$A$20000,Y993,DATOS!$G$2:$G$20000,CONFIG_METADATA!$B$4,DATOS!$I$2:$I$20000,"Análisis"),"")))</f>
        <v/>
      </c>
      <c r="AA993" t="str">
        <f>IF(Y993="","",IF(Y993="[FÓRMULA MANUAL]","",IFERROR(AVERAGEIFS(DATOS!$K$2:$K$20000,DATOS!$A$2:$A$20000,Y993,DATOS!$G$2:$G$20000,CONFIG_METADATA!$B$4,DATOS!$I$2:$I$20000,"Orquesta/Banda/Conjunto"),"")))</f>
        <v/>
      </c>
      <c r="AB993" t="str">
        <f>IF(Y993="","",IF(Y993="[FÓRMULA MANUAL]","",IFERROR(AVERAGEIFS(DATOS!$K$2:$K$20000,DATOS!$A$2:$A$20000,Y993,DATOS!$G$2:$G$20000,CONFIG_METADATA!$B$4,DATOS!$I$2:$I$20000,"Música de Cámara"),"")))</f>
        <v/>
      </c>
      <c r="AC993" t="str">
        <f>IF(Y993="","",IF(Y993="[FÓRMULA MANUAL]","",IFERROR(SUMPRODUCT((DATOS!$A$2:$A$20000=Y993)*(DATOS!$G$2:$G$20000=CONFIG_METADATA!$B$4)*(COUNTIF(CONFIG_ASIGNATURAS!$B$7:$B$27,DATOS!$I$2:$I$20000)&gt;0)*(DATOS!$K$2:$K$20000))/SUMPRODUCT((DATOS!$A$2:$A$20000=Y993)*(DATOS!$G$2:$G$20000=CONFIG_METADATA!$B$4)*(COUNTIF(CONFIG_ASIGNATURAS!$B$7:$B$27,DATOS!$I$2:$I$20000)&gt;0)*1),"")))</f>
        <v/>
      </c>
      <c r="AF993" t="str">
        <f>IF(AE993="","",IF(AE993="[FÓRMULA MANUAL]","",IFERROR(AVERAGEIFS(DATOS!$K$2:$K$20000,DATOS!$A$2:$A$20000,AE993,DATOS!$G$2:$G$20000,CONFIG_METADATA!$B$4,DATOS!$I$2:$I$20000,"Análisis"),"")))</f>
        <v/>
      </c>
      <c r="AG993" t="str">
        <f>IF(AE993="","",IF(AE993="[FÓRMULA MANUAL]","",IFERROR(AVERAGEIFS(DATOS!$K$2:$K$20000,DATOS!$A$2:$A$20000,AE993,DATOS!$G$2:$G$20000,CONFIG_METADATA!$B$4,DATOS!$I$2:$I$20000,"Orquesta/Banda/Conjunto"),"")))</f>
        <v/>
      </c>
      <c r="AH993" t="str">
        <f>IF(AE993="","",IF(AE993="[FÓRMULA MANUAL]","",IFERROR(AVERAGEIFS(DATOS!$K$2:$K$20000,DATOS!$A$2:$A$20000,AE993,DATOS!$G$2:$G$20000,CONFIG_METADATA!$B$4,DATOS!$I$2:$I$20000,"Música de Cámara"),"")))</f>
        <v/>
      </c>
      <c r="AI993" t="str">
        <f>IF(AE993="","",IF(AE993="[FÓRMULA MANUAL]","",IFERROR(SUMPRODUCT((DATOS!$A$2:$A$20000=AE993)*(DATOS!$G$2:$G$20000=CONFIG_METADATA!$B$4)*(COUNTIF(CONFIG_ASIGNATURAS!$B$7:$B$27,DATOS!$I$2:$I$20000)&gt;0)*(DATOS!$K$2:$K$20000))/SUMPRODUCT((DATOS!$A$2:$A$20000=AE993)*(DATOS!$G$2:$G$20000=CONFIG_METADATA!$B$4)*(COUNTIF(CONFIG_ASIGNATURAS!$B$7:$B$27,DATOS!$I$2:$I$20000)&gt;0)*1),"")))</f>
        <v/>
      </c>
    </row>
    <row r="994" spans="2:35" x14ac:dyDescent="0.2">
      <c r="B994" t="str">
        <f>IF(A994="","",IF(A994="[FÓRMULA MANUAL]","",IFERROR(AVERAGEIFS(DATOS!$K$2:$K$20000,DATOS!$A$2:$A$20000,A994,DATOS!$G$2:$G$20000,CONFIG_METADATA!$B$4,DATOS!$I$2:$I$20000,"Lenguaje Musical"),"")))</f>
        <v/>
      </c>
      <c r="C994" t="str">
        <f>IF(A994="","",IF(A994="[FÓRMULA MANUAL]","",IFERROR(AVERAGEIFS(DATOS!$K$2:$K$20000,DATOS!$A$2:$A$20000,A994,DATOS!$G$2:$G$20000,CONFIG_METADATA!$B$4,DATOS!$I$2:$I$20000,"Orquesta/Banda/Conjunto"),"")))</f>
        <v/>
      </c>
      <c r="D994" t="str">
        <f>IF(A994="","",IF(A994="[FÓRMULA MANUAL]","",IFERROR(AVERAGEIFS(DATOS!$K$2:$K$20000,DATOS!$A$2:$A$20000,A994,DATOS!$G$2:$G$20000,CONFIG_METADATA!$B$4,DATOS!$I$2:$I$20000,"Conjunto"),"")))</f>
        <v/>
      </c>
      <c r="E994" t="str">
        <f>IF(A994="","",IF(A994="[FÓRMULA MANUAL]","",IFERROR(SUMPRODUCT((DATOS!$A$2:$A$20000=A994)*(DATOS!$G$2:$G$20000=CONFIG_METADATA!$B$4)*(COUNTIF(CONFIG_ASIGNATURAS!$B$7:$B$27,DATOS!$I$2:$I$20000)&gt;0)*(DATOS!$K$2:$K$20000))/SUMPRODUCT((DATOS!$A$2:$A$20000=A994)*(DATOS!$G$2:$G$20000=CONFIG_METADATA!$B$4)*(COUNTIF(CONFIG_ASIGNATURAS!$B$7:$B$27,DATOS!$I$2:$I$20000)&gt;0)*1),"")))</f>
        <v/>
      </c>
      <c r="H994" t="str">
        <f>IF(G994="","",IF(G994="[FÓRMULA MANUAL]","",IFERROR(AVERAGEIFS(DATOS!$K$2:$K$20000,DATOS!$A$2:$A$20000,G994,DATOS!$G$2:$G$20000,CONFIG_METADATA!$B$4,DATOS!$I$2:$I$20000,"Lenguaje Musical"),"")))</f>
        <v/>
      </c>
      <c r="I994" t="str">
        <f>IF(G994="","",IF(G994="[FÓRMULA MANUAL]","",IFERROR(AVERAGEIFS(DATOS!$K$2:$K$20000,DATOS!$A$2:$A$20000,G994,DATOS!$G$2:$G$20000,CONFIG_METADATA!$B$4,DATOS!$I$2:$I$20000,"Orquesta/Banda/Conjunto"),"")))</f>
        <v/>
      </c>
      <c r="J994" t="str">
        <f>IF(G994="","",IF(G994="[FÓRMULA MANUAL]","",IFERROR(AVERAGEIFS(DATOS!$K$2:$K$20000,DATOS!$A$2:$A$20000,G994,DATOS!$G$2:$G$20000,CONFIG_METADATA!$B$4,DATOS!$I$2:$I$20000,"Conjunto"),"")))</f>
        <v/>
      </c>
      <c r="K994" t="str">
        <f>IF(G994="","",IF(G994="[FÓRMULA MANUAL]","",IFERROR(SUMPRODUCT((DATOS!$A$2:$A$20000=G994)*(DATOS!$G$2:$G$20000=CONFIG_METADATA!$B$4)*(COUNTIF(CONFIG_ASIGNATURAS!$B$7:$B$27,DATOS!$I$2:$I$20000)&gt;0)*(DATOS!$K$2:$K$20000))/SUMPRODUCT((DATOS!$A$2:$A$20000=G994)*(DATOS!$G$2:$G$20000=CONFIG_METADATA!$B$4)*(COUNTIF(CONFIG_ASIGNATURAS!$B$7:$B$27,DATOS!$I$2:$I$20000)&gt;0)*1),"")))</f>
        <v/>
      </c>
      <c r="N994" t="str">
        <f>IF(M994="","",IF(M994="[FÓRMULA MANUAL]","",IFERROR(AVERAGEIFS(DATOS!$K$2:$K$20000,DATOS!$A$2:$A$20000,M994,DATOS!$G$2:$G$20000,CONFIG_METADATA!$B$4,DATOS!$I$2:$I$20000,"Armonía"),"")))</f>
        <v/>
      </c>
      <c r="O994" t="str">
        <f>IF(M994="","",IF(M994="[FÓRMULA MANUAL]","",IFERROR(AVERAGEIFS(DATOS!$K$2:$K$20000,DATOS!$A$2:$A$20000,M994,DATOS!$G$2:$G$20000,CONFIG_METADATA!$B$4,DATOS!$I$2:$I$20000,"Orquesta/Banda/Conjunto"),"")))</f>
        <v/>
      </c>
      <c r="P994" t="str">
        <f>IF(M994="","",IF(M994="[FÓRMULA MANUAL]","",IFERROR(AVERAGEIFS(DATOS!$K$2:$K$20000,DATOS!$A$2:$A$20000,M994,DATOS!$G$2:$G$20000,CONFIG_METADATA!$B$4,DATOS!$I$2:$I$20000,"Música de Cámara"),"")))</f>
        <v/>
      </c>
      <c r="Q994" t="str">
        <f>IF(M994="","",IF(M994="[FÓRMULA MANUAL]","",IFERROR(SUMPRODUCT((DATOS!$A$2:$A$20000=M994)*(DATOS!$G$2:$G$20000=CONFIG_METADATA!$B$4)*(COUNTIF(CONFIG_ASIGNATURAS!$B$7:$B$27,DATOS!$I$2:$I$20000)&gt;0)*(DATOS!$K$2:$K$20000))/SUMPRODUCT((DATOS!$A$2:$A$20000=M994)*(DATOS!$G$2:$G$20000=CONFIG_METADATA!$B$4)*(COUNTIF(CONFIG_ASIGNATURAS!$B$7:$B$27,DATOS!$I$2:$I$20000)&gt;0)*1),"")))</f>
        <v/>
      </c>
      <c r="T994" t="str">
        <f>IF(S994="","",IF(S994="[FÓRMULA MANUAL]","",IFERROR(AVERAGEIFS(DATOS!$K$2:$K$20000,DATOS!$A$2:$A$20000,S994,DATOS!$G$2:$G$20000,CONFIG_METADATA!$B$4,DATOS!$I$2:$I$20000,"Armonía"),"")))</f>
        <v/>
      </c>
      <c r="U994" t="str">
        <f>IF(S994="","",IF(S994="[FÓRMULA MANUAL]","",IFERROR(AVERAGEIFS(DATOS!$K$2:$K$20000,DATOS!$A$2:$A$20000,S994,DATOS!$G$2:$G$20000,CONFIG_METADATA!$B$4,DATOS!$I$2:$I$20000,"Orquesta/Banda/Conjunto"),"")))</f>
        <v/>
      </c>
      <c r="V994" t="str">
        <f>IF(S994="","",IF(S994="[FÓRMULA MANUAL]","",IFERROR(AVERAGEIFS(DATOS!$K$2:$K$20000,DATOS!$A$2:$A$20000,S994,DATOS!$G$2:$G$20000,CONFIG_METADATA!$B$4,DATOS!$I$2:$I$20000,"Música de Cámara"),"")))</f>
        <v/>
      </c>
      <c r="W994" t="str">
        <f>IF(S994="","",IF(S994="[FÓRMULA MANUAL]","",IFERROR(SUMPRODUCT((DATOS!$A$2:$A$20000=S994)*(DATOS!$G$2:$G$20000=CONFIG_METADATA!$B$4)*(COUNTIF(CONFIG_ASIGNATURAS!$B$7:$B$27,DATOS!$I$2:$I$20000)&gt;0)*(DATOS!$K$2:$K$20000))/SUMPRODUCT((DATOS!$A$2:$A$20000=S994)*(DATOS!$G$2:$G$20000=CONFIG_METADATA!$B$4)*(COUNTIF(CONFIG_ASIGNATURAS!$B$7:$B$27,DATOS!$I$2:$I$20000)&gt;0)*1),"")))</f>
        <v/>
      </c>
      <c r="Z994" t="str">
        <f>IF(Y994="","",IF(Y994="[FÓRMULA MANUAL]","",IFERROR(AVERAGEIFS(DATOS!$K$2:$K$20000,DATOS!$A$2:$A$20000,Y994,DATOS!$G$2:$G$20000,CONFIG_METADATA!$B$4,DATOS!$I$2:$I$20000,"Análisis"),"")))</f>
        <v/>
      </c>
      <c r="AA994" t="str">
        <f>IF(Y994="","",IF(Y994="[FÓRMULA MANUAL]","",IFERROR(AVERAGEIFS(DATOS!$K$2:$K$20000,DATOS!$A$2:$A$20000,Y994,DATOS!$G$2:$G$20000,CONFIG_METADATA!$B$4,DATOS!$I$2:$I$20000,"Orquesta/Banda/Conjunto"),"")))</f>
        <v/>
      </c>
      <c r="AB994" t="str">
        <f>IF(Y994="","",IF(Y994="[FÓRMULA MANUAL]","",IFERROR(AVERAGEIFS(DATOS!$K$2:$K$20000,DATOS!$A$2:$A$20000,Y994,DATOS!$G$2:$G$20000,CONFIG_METADATA!$B$4,DATOS!$I$2:$I$20000,"Música de Cámara"),"")))</f>
        <v/>
      </c>
      <c r="AC994" t="str">
        <f>IF(Y994="","",IF(Y994="[FÓRMULA MANUAL]","",IFERROR(SUMPRODUCT((DATOS!$A$2:$A$20000=Y994)*(DATOS!$G$2:$G$20000=CONFIG_METADATA!$B$4)*(COUNTIF(CONFIG_ASIGNATURAS!$B$7:$B$27,DATOS!$I$2:$I$20000)&gt;0)*(DATOS!$K$2:$K$20000))/SUMPRODUCT((DATOS!$A$2:$A$20000=Y994)*(DATOS!$G$2:$G$20000=CONFIG_METADATA!$B$4)*(COUNTIF(CONFIG_ASIGNATURAS!$B$7:$B$27,DATOS!$I$2:$I$20000)&gt;0)*1),"")))</f>
        <v/>
      </c>
      <c r="AF994" t="str">
        <f>IF(AE994="","",IF(AE994="[FÓRMULA MANUAL]","",IFERROR(AVERAGEIFS(DATOS!$K$2:$K$20000,DATOS!$A$2:$A$20000,AE994,DATOS!$G$2:$G$20000,CONFIG_METADATA!$B$4,DATOS!$I$2:$I$20000,"Análisis"),"")))</f>
        <v/>
      </c>
      <c r="AG994" t="str">
        <f>IF(AE994="","",IF(AE994="[FÓRMULA MANUAL]","",IFERROR(AVERAGEIFS(DATOS!$K$2:$K$20000,DATOS!$A$2:$A$20000,AE994,DATOS!$G$2:$G$20000,CONFIG_METADATA!$B$4,DATOS!$I$2:$I$20000,"Orquesta/Banda/Conjunto"),"")))</f>
        <v/>
      </c>
      <c r="AH994" t="str">
        <f>IF(AE994="","",IF(AE994="[FÓRMULA MANUAL]","",IFERROR(AVERAGEIFS(DATOS!$K$2:$K$20000,DATOS!$A$2:$A$20000,AE994,DATOS!$G$2:$G$20000,CONFIG_METADATA!$B$4,DATOS!$I$2:$I$20000,"Música de Cámara"),"")))</f>
        <v/>
      </c>
      <c r="AI994" t="str">
        <f>IF(AE994="","",IF(AE994="[FÓRMULA MANUAL]","",IFERROR(SUMPRODUCT((DATOS!$A$2:$A$20000=AE994)*(DATOS!$G$2:$G$20000=CONFIG_METADATA!$B$4)*(COUNTIF(CONFIG_ASIGNATURAS!$B$7:$B$27,DATOS!$I$2:$I$20000)&gt;0)*(DATOS!$K$2:$K$20000))/SUMPRODUCT((DATOS!$A$2:$A$20000=AE994)*(DATOS!$G$2:$G$20000=CONFIG_METADATA!$B$4)*(COUNTIF(CONFIG_ASIGNATURAS!$B$7:$B$27,DATOS!$I$2:$I$20000)&gt;0)*1),"")))</f>
        <v/>
      </c>
    </row>
    <row r="995" spans="2:35" x14ac:dyDescent="0.2">
      <c r="B995" t="str">
        <f>IF(A995="","",IF(A995="[FÓRMULA MANUAL]","",IFERROR(AVERAGEIFS(DATOS!$K$2:$K$20000,DATOS!$A$2:$A$20000,A995,DATOS!$G$2:$G$20000,CONFIG_METADATA!$B$4,DATOS!$I$2:$I$20000,"Lenguaje Musical"),"")))</f>
        <v/>
      </c>
      <c r="C995" t="str">
        <f>IF(A995="","",IF(A995="[FÓRMULA MANUAL]","",IFERROR(AVERAGEIFS(DATOS!$K$2:$K$20000,DATOS!$A$2:$A$20000,A995,DATOS!$G$2:$G$20000,CONFIG_METADATA!$B$4,DATOS!$I$2:$I$20000,"Orquesta/Banda/Conjunto"),"")))</f>
        <v/>
      </c>
      <c r="D995" t="str">
        <f>IF(A995="","",IF(A995="[FÓRMULA MANUAL]","",IFERROR(AVERAGEIFS(DATOS!$K$2:$K$20000,DATOS!$A$2:$A$20000,A995,DATOS!$G$2:$G$20000,CONFIG_METADATA!$B$4,DATOS!$I$2:$I$20000,"Conjunto"),"")))</f>
        <v/>
      </c>
      <c r="E995" t="str">
        <f>IF(A995="","",IF(A995="[FÓRMULA MANUAL]","",IFERROR(SUMPRODUCT((DATOS!$A$2:$A$20000=A995)*(DATOS!$G$2:$G$20000=CONFIG_METADATA!$B$4)*(COUNTIF(CONFIG_ASIGNATURAS!$B$7:$B$27,DATOS!$I$2:$I$20000)&gt;0)*(DATOS!$K$2:$K$20000))/SUMPRODUCT((DATOS!$A$2:$A$20000=A995)*(DATOS!$G$2:$G$20000=CONFIG_METADATA!$B$4)*(COUNTIF(CONFIG_ASIGNATURAS!$B$7:$B$27,DATOS!$I$2:$I$20000)&gt;0)*1),"")))</f>
        <v/>
      </c>
      <c r="H995" t="str">
        <f>IF(G995="","",IF(G995="[FÓRMULA MANUAL]","",IFERROR(AVERAGEIFS(DATOS!$K$2:$K$20000,DATOS!$A$2:$A$20000,G995,DATOS!$G$2:$G$20000,CONFIG_METADATA!$B$4,DATOS!$I$2:$I$20000,"Lenguaje Musical"),"")))</f>
        <v/>
      </c>
      <c r="I995" t="str">
        <f>IF(G995="","",IF(G995="[FÓRMULA MANUAL]","",IFERROR(AVERAGEIFS(DATOS!$K$2:$K$20000,DATOS!$A$2:$A$20000,G995,DATOS!$G$2:$G$20000,CONFIG_METADATA!$B$4,DATOS!$I$2:$I$20000,"Orquesta/Banda/Conjunto"),"")))</f>
        <v/>
      </c>
      <c r="J995" t="str">
        <f>IF(G995="","",IF(G995="[FÓRMULA MANUAL]","",IFERROR(AVERAGEIFS(DATOS!$K$2:$K$20000,DATOS!$A$2:$A$20000,G995,DATOS!$G$2:$G$20000,CONFIG_METADATA!$B$4,DATOS!$I$2:$I$20000,"Conjunto"),"")))</f>
        <v/>
      </c>
      <c r="K995" t="str">
        <f>IF(G995="","",IF(G995="[FÓRMULA MANUAL]","",IFERROR(SUMPRODUCT((DATOS!$A$2:$A$20000=G995)*(DATOS!$G$2:$G$20000=CONFIG_METADATA!$B$4)*(COUNTIF(CONFIG_ASIGNATURAS!$B$7:$B$27,DATOS!$I$2:$I$20000)&gt;0)*(DATOS!$K$2:$K$20000))/SUMPRODUCT((DATOS!$A$2:$A$20000=G995)*(DATOS!$G$2:$G$20000=CONFIG_METADATA!$B$4)*(COUNTIF(CONFIG_ASIGNATURAS!$B$7:$B$27,DATOS!$I$2:$I$20000)&gt;0)*1),"")))</f>
        <v/>
      </c>
      <c r="N995" t="str">
        <f>IF(M995="","",IF(M995="[FÓRMULA MANUAL]","",IFERROR(AVERAGEIFS(DATOS!$K$2:$K$20000,DATOS!$A$2:$A$20000,M995,DATOS!$G$2:$G$20000,CONFIG_METADATA!$B$4,DATOS!$I$2:$I$20000,"Armonía"),"")))</f>
        <v/>
      </c>
      <c r="O995" t="str">
        <f>IF(M995="","",IF(M995="[FÓRMULA MANUAL]","",IFERROR(AVERAGEIFS(DATOS!$K$2:$K$20000,DATOS!$A$2:$A$20000,M995,DATOS!$G$2:$G$20000,CONFIG_METADATA!$B$4,DATOS!$I$2:$I$20000,"Orquesta/Banda/Conjunto"),"")))</f>
        <v/>
      </c>
      <c r="P995" t="str">
        <f>IF(M995="","",IF(M995="[FÓRMULA MANUAL]","",IFERROR(AVERAGEIFS(DATOS!$K$2:$K$20000,DATOS!$A$2:$A$20000,M995,DATOS!$G$2:$G$20000,CONFIG_METADATA!$B$4,DATOS!$I$2:$I$20000,"Música de Cámara"),"")))</f>
        <v/>
      </c>
      <c r="Q995" t="str">
        <f>IF(M995="","",IF(M995="[FÓRMULA MANUAL]","",IFERROR(SUMPRODUCT((DATOS!$A$2:$A$20000=M995)*(DATOS!$G$2:$G$20000=CONFIG_METADATA!$B$4)*(COUNTIF(CONFIG_ASIGNATURAS!$B$7:$B$27,DATOS!$I$2:$I$20000)&gt;0)*(DATOS!$K$2:$K$20000))/SUMPRODUCT((DATOS!$A$2:$A$20000=M995)*(DATOS!$G$2:$G$20000=CONFIG_METADATA!$B$4)*(COUNTIF(CONFIG_ASIGNATURAS!$B$7:$B$27,DATOS!$I$2:$I$20000)&gt;0)*1),"")))</f>
        <v/>
      </c>
      <c r="T995" t="str">
        <f>IF(S995="","",IF(S995="[FÓRMULA MANUAL]","",IFERROR(AVERAGEIFS(DATOS!$K$2:$K$20000,DATOS!$A$2:$A$20000,S995,DATOS!$G$2:$G$20000,CONFIG_METADATA!$B$4,DATOS!$I$2:$I$20000,"Armonía"),"")))</f>
        <v/>
      </c>
      <c r="U995" t="str">
        <f>IF(S995="","",IF(S995="[FÓRMULA MANUAL]","",IFERROR(AVERAGEIFS(DATOS!$K$2:$K$20000,DATOS!$A$2:$A$20000,S995,DATOS!$G$2:$G$20000,CONFIG_METADATA!$B$4,DATOS!$I$2:$I$20000,"Orquesta/Banda/Conjunto"),"")))</f>
        <v/>
      </c>
      <c r="V995" t="str">
        <f>IF(S995="","",IF(S995="[FÓRMULA MANUAL]","",IFERROR(AVERAGEIFS(DATOS!$K$2:$K$20000,DATOS!$A$2:$A$20000,S995,DATOS!$G$2:$G$20000,CONFIG_METADATA!$B$4,DATOS!$I$2:$I$20000,"Música de Cámara"),"")))</f>
        <v/>
      </c>
      <c r="W995" t="str">
        <f>IF(S995="","",IF(S995="[FÓRMULA MANUAL]","",IFERROR(SUMPRODUCT((DATOS!$A$2:$A$20000=S995)*(DATOS!$G$2:$G$20000=CONFIG_METADATA!$B$4)*(COUNTIF(CONFIG_ASIGNATURAS!$B$7:$B$27,DATOS!$I$2:$I$20000)&gt;0)*(DATOS!$K$2:$K$20000))/SUMPRODUCT((DATOS!$A$2:$A$20000=S995)*(DATOS!$G$2:$G$20000=CONFIG_METADATA!$B$4)*(COUNTIF(CONFIG_ASIGNATURAS!$B$7:$B$27,DATOS!$I$2:$I$20000)&gt;0)*1),"")))</f>
        <v/>
      </c>
      <c r="Z995" t="str">
        <f>IF(Y995="","",IF(Y995="[FÓRMULA MANUAL]","",IFERROR(AVERAGEIFS(DATOS!$K$2:$K$20000,DATOS!$A$2:$A$20000,Y995,DATOS!$G$2:$G$20000,CONFIG_METADATA!$B$4,DATOS!$I$2:$I$20000,"Análisis"),"")))</f>
        <v/>
      </c>
      <c r="AA995" t="str">
        <f>IF(Y995="","",IF(Y995="[FÓRMULA MANUAL]","",IFERROR(AVERAGEIFS(DATOS!$K$2:$K$20000,DATOS!$A$2:$A$20000,Y995,DATOS!$G$2:$G$20000,CONFIG_METADATA!$B$4,DATOS!$I$2:$I$20000,"Orquesta/Banda/Conjunto"),"")))</f>
        <v/>
      </c>
      <c r="AB995" t="str">
        <f>IF(Y995="","",IF(Y995="[FÓRMULA MANUAL]","",IFERROR(AVERAGEIFS(DATOS!$K$2:$K$20000,DATOS!$A$2:$A$20000,Y995,DATOS!$G$2:$G$20000,CONFIG_METADATA!$B$4,DATOS!$I$2:$I$20000,"Música de Cámara"),"")))</f>
        <v/>
      </c>
      <c r="AC995" t="str">
        <f>IF(Y995="","",IF(Y995="[FÓRMULA MANUAL]","",IFERROR(SUMPRODUCT((DATOS!$A$2:$A$20000=Y995)*(DATOS!$G$2:$G$20000=CONFIG_METADATA!$B$4)*(COUNTIF(CONFIG_ASIGNATURAS!$B$7:$B$27,DATOS!$I$2:$I$20000)&gt;0)*(DATOS!$K$2:$K$20000))/SUMPRODUCT((DATOS!$A$2:$A$20000=Y995)*(DATOS!$G$2:$G$20000=CONFIG_METADATA!$B$4)*(COUNTIF(CONFIG_ASIGNATURAS!$B$7:$B$27,DATOS!$I$2:$I$20000)&gt;0)*1),"")))</f>
        <v/>
      </c>
      <c r="AF995" t="str">
        <f>IF(AE995="","",IF(AE995="[FÓRMULA MANUAL]","",IFERROR(AVERAGEIFS(DATOS!$K$2:$K$20000,DATOS!$A$2:$A$20000,AE995,DATOS!$G$2:$G$20000,CONFIG_METADATA!$B$4,DATOS!$I$2:$I$20000,"Análisis"),"")))</f>
        <v/>
      </c>
      <c r="AG995" t="str">
        <f>IF(AE995="","",IF(AE995="[FÓRMULA MANUAL]","",IFERROR(AVERAGEIFS(DATOS!$K$2:$K$20000,DATOS!$A$2:$A$20000,AE995,DATOS!$G$2:$G$20000,CONFIG_METADATA!$B$4,DATOS!$I$2:$I$20000,"Orquesta/Banda/Conjunto"),"")))</f>
        <v/>
      </c>
      <c r="AH995" t="str">
        <f>IF(AE995="","",IF(AE995="[FÓRMULA MANUAL]","",IFERROR(AVERAGEIFS(DATOS!$K$2:$K$20000,DATOS!$A$2:$A$20000,AE995,DATOS!$G$2:$G$20000,CONFIG_METADATA!$B$4,DATOS!$I$2:$I$20000,"Música de Cámara"),"")))</f>
        <v/>
      </c>
      <c r="AI995" t="str">
        <f>IF(AE995="","",IF(AE995="[FÓRMULA MANUAL]","",IFERROR(SUMPRODUCT((DATOS!$A$2:$A$20000=AE995)*(DATOS!$G$2:$G$20000=CONFIG_METADATA!$B$4)*(COUNTIF(CONFIG_ASIGNATURAS!$B$7:$B$27,DATOS!$I$2:$I$20000)&gt;0)*(DATOS!$K$2:$K$20000))/SUMPRODUCT((DATOS!$A$2:$A$20000=AE995)*(DATOS!$G$2:$G$20000=CONFIG_METADATA!$B$4)*(COUNTIF(CONFIG_ASIGNATURAS!$B$7:$B$27,DATOS!$I$2:$I$20000)&gt;0)*1),"")))</f>
        <v/>
      </c>
    </row>
    <row r="996" spans="2:35" x14ac:dyDescent="0.2">
      <c r="B996" t="str">
        <f>IF(A996="","",IF(A996="[FÓRMULA MANUAL]","",IFERROR(AVERAGEIFS(DATOS!$K$2:$K$20000,DATOS!$A$2:$A$20000,A996,DATOS!$G$2:$G$20000,CONFIG_METADATA!$B$4,DATOS!$I$2:$I$20000,"Lenguaje Musical"),"")))</f>
        <v/>
      </c>
      <c r="C996" t="str">
        <f>IF(A996="","",IF(A996="[FÓRMULA MANUAL]","",IFERROR(AVERAGEIFS(DATOS!$K$2:$K$20000,DATOS!$A$2:$A$20000,A996,DATOS!$G$2:$G$20000,CONFIG_METADATA!$B$4,DATOS!$I$2:$I$20000,"Orquesta/Banda/Conjunto"),"")))</f>
        <v/>
      </c>
      <c r="D996" t="str">
        <f>IF(A996="","",IF(A996="[FÓRMULA MANUAL]","",IFERROR(AVERAGEIFS(DATOS!$K$2:$K$20000,DATOS!$A$2:$A$20000,A996,DATOS!$G$2:$G$20000,CONFIG_METADATA!$B$4,DATOS!$I$2:$I$20000,"Conjunto"),"")))</f>
        <v/>
      </c>
      <c r="E996" t="str">
        <f>IF(A996="","",IF(A996="[FÓRMULA MANUAL]","",IFERROR(SUMPRODUCT((DATOS!$A$2:$A$20000=A996)*(DATOS!$G$2:$G$20000=CONFIG_METADATA!$B$4)*(COUNTIF(CONFIG_ASIGNATURAS!$B$7:$B$27,DATOS!$I$2:$I$20000)&gt;0)*(DATOS!$K$2:$K$20000))/SUMPRODUCT((DATOS!$A$2:$A$20000=A996)*(DATOS!$G$2:$G$20000=CONFIG_METADATA!$B$4)*(COUNTIF(CONFIG_ASIGNATURAS!$B$7:$B$27,DATOS!$I$2:$I$20000)&gt;0)*1),"")))</f>
        <v/>
      </c>
      <c r="H996" t="str">
        <f>IF(G996="","",IF(G996="[FÓRMULA MANUAL]","",IFERROR(AVERAGEIFS(DATOS!$K$2:$K$20000,DATOS!$A$2:$A$20000,G996,DATOS!$G$2:$G$20000,CONFIG_METADATA!$B$4,DATOS!$I$2:$I$20000,"Lenguaje Musical"),"")))</f>
        <v/>
      </c>
      <c r="I996" t="str">
        <f>IF(G996="","",IF(G996="[FÓRMULA MANUAL]","",IFERROR(AVERAGEIFS(DATOS!$K$2:$K$20000,DATOS!$A$2:$A$20000,G996,DATOS!$G$2:$G$20000,CONFIG_METADATA!$B$4,DATOS!$I$2:$I$20000,"Orquesta/Banda/Conjunto"),"")))</f>
        <v/>
      </c>
      <c r="J996" t="str">
        <f>IF(G996="","",IF(G996="[FÓRMULA MANUAL]","",IFERROR(AVERAGEIFS(DATOS!$K$2:$K$20000,DATOS!$A$2:$A$20000,G996,DATOS!$G$2:$G$20000,CONFIG_METADATA!$B$4,DATOS!$I$2:$I$20000,"Conjunto"),"")))</f>
        <v/>
      </c>
      <c r="K996" t="str">
        <f>IF(G996="","",IF(G996="[FÓRMULA MANUAL]","",IFERROR(SUMPRODUCT((DATOS!$A$2:$A$20000=G996)*(DATOS!$G$2:$G$20000=CONFIG_METADATA!$B$4)*(COUNTIF(CONFIG_ASIGNATURAS!$B$7:$B$27,DATOS!$I$2:$I$20000)&gt;0)*(DATOS!$K$2:$K$20000))/SUMPRODUCT((DATOS!$A$2:$A$20000=G996)*(DATOS!$G$2:$G$20000=CONFIG_METADATA!$B$4)*(COUNTIF(CONFIG_ASIGNATURAS!$B$7:$B$27,DATOS!$I$2:$I$20000)&gt;0)*1),"")))</f>
        <v/>
      </c>
      <c r="N996" t="str">
        <f>IF(M996="","",IF(M996="[FÓRMULA MANUAL]","",IFERROR(AVERAGEIFS(DATOS!$K$2:$K$20000,DATOS!$A$2:$A$20000,M996,DATOS!$G$2:$G$20000,CONFIG_METADATA!$B$4,DATOS!$I$2:$I$20000,"Armonía"),"")))</f>
        <v/>
      </c>
      <c r="O996" t="str">
        <f>IF(M996="","",IF(M996="[FÓRMULA MANUAL]","",IFERROR(AVERAGEIFS(DATOS!$K$2:$K$20000,DATOS!$A$2:$A$20000,M996,DATOS!$G$2:$G$20000,CONFIG_METADATA!$B$4,DATOS!$I$2:$I$20000,"Orquesta/Banda/Conjunto"),"")))</f>
        <v/>
      </c>
      <c r="P996" t="str">
        <f>IF(M996="","",IF(M996="[FÓRMULA MANUAL]","",IFERROR(AVERAGEIFS(DATOS!$K$2:$K$20000,DATOS!$A$2:$A$20000,M996,DATOS!$G$2:$G$20000,CONFIG_METADATA!$B$4,DATOS!$I$2:$I$20000,"Música de Cámara"),"")))</f>
        <v/>
      </c>
      <c r="Q996" t="str">
        <f>IF(M996="","",IF(M996="[FÓRMULA MANUAL]","",IFERROR(SUMPRODUCT((DATOS!$A$2:$A$20000=M996)*(DATOS!$G$2:$G$20000=CONFIG_METADATA!$B$4)*(COUNTIF(CONFIG_ASIGNATURAS!$B$7:$B$27,DATOS!$I$2:$I$20000)&gt;0)*(DATOS!$K$2:$K$20000))/SUMPRODUCT((DATOS!$A$2:$A$20000=M996)*(DATOS!$G$2:$G$20000=CONFIG_METADATA!$B$4)*(COUNTIF(CONFIG_ASIGNATURAS!$B$7:$B$27,DATOS!$I$2:$I$20000)&gt;0)*1),"")))</f>
        <v/>
      </c>
      <c r="T996" t="str">
        <f>IF(S996="","",IF(S996="[FÓRMULA MANUAL]","",IFERROR(AVERAGEIFS(DATOS!$K$2:$K$20000,DATOS!$A$2:$A$20000,S996,DATOS!$G$2:$G$20000,CONFIG_METADATA!$B$4,DATOS!$I$2:$I$20000,"Armonía"),"")))</f>
        <v/>
      </c>
      <c r="U996" t="str">
        <f>IF(S996="","",IF(S996="[FÓRMULA MANUAL]","",IFERROR(AVERAGEIFS(DATOS!$K$2:$K$20000,DATOS!$A$2:$A$20000,S996,DATOS!$G$2:$G$20000,CONFIG_METADATA!$B$4,DATOS!$I$2:$I$20000,"Orquesta/Banda/Conjunto"),"")))</f>
        <v/>
      </c>
      <c r="V996" t="str">
        <f>IF(S996="","",IF(S996="[FÓRMULA MANUAL]","",IFERROR(AVERAGEIFS(DATOS!$K$2:$K$20000,DATOS!$A$2:$A$20000,S996,DATOS!$G$2:$G$20000,CONFIG_METADATA!$B$4,DATOS!$I$2:$I$20000,"Música de Cámara"),"")))</f>
        <v/>
      </c>
      <c r="W996" t="str">
        <f>IF(S996="","",IF(S996="[FÓRMULA MANUAL]","",IFERROR(SUMPRODUCT((DATOS!$A$2:$A$20000=S996)*(DATOS!$G$2:$G$20000=CONFIG_METADATA!$B$4)*(COUNTIF(CONFIG_ASIGNATURAS!$B$7:$B$27,DATOS!$I$2:$I$20000)&gt;0)*(DATOS!$K$2:$K$20000))/SUMPRODUCT((DATOS!$A$2:$A$20000=S996)*(DATOS!$G$2:$G$20000=CONFIG_METADATA!$B$4)*(COUNTIF(CONFIG_ASIGNATURAS!$B$7:$B$27,DATOS!$I$2:$I$20000)&gt;0)*1),"")))</f>
        <v/>
      </c>
      <c r="Z996" t="str">
        <f>IF(Y996="","",IF(Y996="[FÓRMULA MANUAL]","",IFERROR(AVERAGEIFS(DATOS!$K$2:$K$20000,DATOS!$A$2:$A$20000,Y996,DATOS!$G$2:$G$20000,CONFIG_METADATA!$B$4,DATOS!$I$2:$I$20000,"Análisis"),"")))</f>
        <v/>
      </c>
      <c r="AA996" t="str">
        <f>IF(Y996="","",IF(Y996="[FÓRMULA MANUAL]","",IFERROR(AVERAGEIFS(DATOS!$K$2:$K$20000,DATOS!$A$2:$A$20000,Y996,DATOS!$G$2:$G$20000,CONFIG_METADATA!$B$4,DATOS!$I$2:$I$20000,"Orquesta/Banda/Conjunto"),"")))</f>
        <v/>
      </c>
      <c r="AB996" t="str">
        <f>IF(Y996="","",IF(Y996="[FÓRMULA MANUAL]","",IFERROR(AVERAGEIFS(DATOS!$K$2:$K$20000,DATOS!$A$2:$A$20000,Y996,DATOS!$G$2:$G$20000,CONFIG_METADATA!$B$4,DATOS!$I$2:$I$20000,"Música de Cámara"),"")))</f>
        <v/>
      </c>
      <c r="AC996" t="str">
        <f>IF(Y996="","",IF(Y996="[FÓRMULA MANUAL]","",IFERROR(SUMPRODUCT((DATOS!$A$2:$A$20000=Y996)*(DATOS!$G$2:$G$20000=CONFIG_METADATA!$B$4)*(COUNTIF(CONFIG_ASIGNATURAS!$B$7:$B$27,DATOS!$I$2:$I$20000)&gt;0)*(DATOS!$K$2:$K$20000))/SUMPRODUCT((DATOS!$A$2:$A$20000=Y996)*(DATOS!$G$2:$G$20000=CONFIG_METADATA!$B$4)*(COUNTIF(CONFIG_ASIGNATURAS!$B$7:$B$27,DATOS!$I$2:$I$20000)&gt;0)*1),"")))</f>
        <v/>
      </c>
      <c r="AF996" t="str">
        <f>IF(AE996="","",IF(AE996="[FÓRMULA MANUAL]","",IFERROR(AVERAGEIFS(DATOS!$K$2:$K$20000,DATOS!$A$2:$A$20000,AE996,DATOS!$G$2:$G$20000,CONFIG_METADATA!$B$4,DATOS!$I$2:$I$20000,"Análisis"),"")))</f>
        <v/>
      </c>
      <c r="AG996" t="str">
        <f>IF(AE996="","",IF(AE996="[FÓRMULA MANUAL]","",IFERROR(AVERAGEIFS(DATOS!$K$2:$K$20000,DATOS!$A$2:$A$20000,AE996,DATOS!$G$2:$G$20000,CONFIG_METADATA!$B$4,DATOS!$I$2:$I$20000,"Orquesta/Banda/Conjunto"),"")))</f>
        <v/>
      </c>
      <c r="AH996" t="str">
        <f>IF(AE996="","",IF(AE996="[FÓRMULA MANUAL]","",IFERROR(AVERAGEIFS(DATOS!$K$2:$K$20000,DATOS!$A$2:$A$20000,AE996,DATOS!$G$2:$G$20000,CONFIG_METADATA!$B$4,DATOS!$I$2:$I$20000,"Música de Cámara"),"")))</f>
        <v/>
      </c>
      <c r="AI996" t="str">
        <f>IF(AE996="","",IF(AE996="[FÓRMULA MANUAL]","",IFERROR(SUMPRODUCT((DATOS!$A$2:$A$20000=AE996)*(DATOS!$G$2:$G$20000=CONFIG_METADATA!$B$4)*(COUNTIF(CONFIG_ASIGNATURAS!$B$7:$B$27,DATOS!$I$2:$I$20000)&gt;0)*(DATOS!$K$2:$K$20000))/SUMPRODUCT((DATOS!$A$2:$A$20000=AE996)*(DATOS!$G$2:$G$20000=CONFIG_METADATA!$B$4)*(COUNTIF(CONFIG_ASIGNATURAS!$B$7:$B$27,DATOS!$I$2:$I$20000)&gt;0)*1),"")))</f>
        <v/>
      </c>
    </row>
    <row r="997" spans="2:35" x14ac:dyDescent="0.2">
      <c r="B997" t="str">
        <f>IF(A997="","",IF(A997="[FÓRMULA MANUAL]","",IFERROR(AVERAGEIFS(DATOS!$K$2:$K$20000,DATOS!$A$2:$A$20000,A997,DATOS!$G$2:$G$20000,CONFIG_METADATA!$B$4,DATOS!$I$2:$I$20000,"Lenguaje Musical"),"")))</f>
        <v/>
      </c>
      <c r="C997" t="str">
        <f>IF(A997="","",IF(A997="[FÓRMULA MANUAL]","",IFERROR(AVERAGEIFS(DATOS!$K$2:$K$20000,DATOS!$A$2:$A$20000,A997,DATOS!$G$2:$G$20000,CONFIG_METADATA!$B$4,DATOS!$I$2:$I$20000,"Orquesta/Banda/Conjunto"),"")))</f>
        <v/>
      </c>
      <c r="D997" t="str">
        <f>IF(A997="","",IF(A997="[FÓRMULA MANUAL]","",IFERROR(AVERAGEIFS(DATOS!$K$2:$K$20000,DATOS!$A$2:$A$20000,A997,DATOS!$G$2:$G$20000,CONFIG_METADATA!$B$4,DATOS!$I$2:$I$20000,"Conjunto"),"")))</f>
        <v/>
      </c>
      <c r="E997" t="str">
        <f>IF(A997="","",IF(A997="[FÓRMULA MANUAL]","",IFERROR(SUMPRODUCT((DATOS!$A$2:$A$20000=A997)*(DATOS!$G$2:$G$20000=CONFIG_METADATA!$B$4)*(COUNTIF(CONFIG_ASIGNATURAS!$B$7:$B$27,DATOS!$I$2:$I$20000)&gt;0)*(DATOS!$K$2:$K$20000))/SUMPRODUCT((DATOS!$A$2:$A$20000=A997)*(DATOS!$G$2:$G$20000=CONFIG_METADATA!$B$4)*(COUNTIF(CONFIG_ASIGNATURAS!$B$7:$B$27,DATOS!$I$2:$I$20000)&gt;0)*1),"")))</f>
        <v/>
      </c>
      <c r="H997" t="str">
        <f>IF(G997="","",IF(G997="[FÓRMULA MANUAL]","",IFERROR(AVERAGEIFS(DATOS!$K$2:$K$20000,DATOS!$A$2:$A$20000,G997,DATOS!$G$2:$G$20000,CONFIG_METADATA!$B$4,DATOS!$I$2:$I$20000,"Lenguaje Musical"),"")))</f>
        <v/>
      </c>
      <c r="I997" t="str">
        <f>IF(G997="","",IF(G997="[FÓRMULA MANUAL]","",IFERROR(AVERAGEIFS(DATOS!$K$2:$K$20000,DATOS!$A$2:$A$20000,G997,DATOS!$G$2:$G$20000,CONFIG_METADATA!$B$4,DATOS!$I$2:$I$20000,"Orquesta/Banda/Conjunto"),"")))</f>
        <v/>
      </c>
      <c r="J997" t="str">
        <f>IF(G997="","",IF(G997="[FÓRMULA MANUAL]","",IFERROR(AVERAGEIFS(DATOS!$K$2:$K$20000,DATOS!$A$2:$A$20000,G997,DATOS!$G$2:$G$20000,CONFIG_METADATA!$B$4,DATOS!$I$2:$I$20000,"Conjunto"),"")))</f>
        <v/>
      </c>
      <c r="K997" t="str">
        <f>IF(G997="","",IF(G997="[FÓRMULA MANUAL]","",IFERROR(SUMPRODUCT((DATOS!$A$2:$A$20000=G997)*(DATOS!$G$2:$G$20000=CONFIG_METADATA!$B$4)*(COUNTIF(CONFIG_ASIGNATURAS!$B$7:$B$27,DATOS!$I$2:$I$20000)&gt;0)*(DATOS!$K$2:$K$20000))/SUMPRODUCT((DATOS!$A$2:$A$20000=G997)*(DATOS!$G$2:$G$20000=CONFIG_METADATA!$B$4)*(COUNTIF(CONFIG_ASIGNATURAS!$B$7:$B$27,DATOS!$I$2:$I$20000)&gt;0)*1),"")))</f>
        <v/>
      </c>
      <c r="N997" t="str">
        <f>IF(M997="","",IF(M997="[FÓRMULA MANUAL]","",IFERROR(AVERAGEIFS(DATOS!$K$2:$K$20000,DATOS!$A$2:$A$20000,M997,DATOS!$G$2:$G$20000,CONFIG_METADATA!$B$4,DATOS!$I$2:$I$20000,"Armonía"),"")))</f>
        <v/>
      </c>
      <c r="O997" t="str">
        <f>IF(M997="","",IF(M997="[FÓRMULA MANUAL]","",IFERROR(AVERAGEIFS(DATOS!$K$2:$K$20000,DATOS!$A$2:$A$20000,M997,DATOS!$G$2:$G$20000,CONFIG_METADATA!$B$4,DATOS!$I$2:$I$20000,"Orquesta/Banda/Conjunto"),"")))</f>
        <v/>
      </c>
      <c r="P997" t="str">
        <f>IF(M997="","",IF(M997="[FÓRMULA MANUAL]","",IFERROR(AVERAGEIFS(DATOS!$K$2:$K$20000,DATOS!$A$2:$A$20000,M997,DATOS!$G$2:$G$20000,CONFIG_METADATA!$B$4,DATOS!$I$2:$I$20000,"Música de Cámara"),"")))</f>
        <v/>
      </c>
      <c r="Q997" t="str">
        <f>IF(M997="","",IF(M997="[FÓRMULA MANUAL]","",IFERROR(SUMPRODUCT((DATOS!$A$2:$A$20000=M997)*(DATOS!$G$2:$G$20000=CONFIG_METADATA!$B$4)*(COUNTIF(CONFIG_ASIGNATURAS!$B$7:$B$27,DATOS!$I$2:$I$20000)&gt;0)*(DATOS!$K$2:$K$20000))/SUMPRODUCT((DATOS!$A$2:$A$20000=M997)*(DATOS!$G$2:$G$20000=CONFIG_METADATA!$B$4)*(COUNTIF(CONFIG_ASIGNATURAS!$B$7:$B$27,DATOS!$I$2:$I$20000)&gt;0)*1),"")))</f>
        <v/>
      </c>
      <c r="T997" t="str">
        <f>IF(S997="","",IF(S997="[FÓRMULA MANUAL]","",IFERROR(AVERAGEIFS(DATOS!$K$2:$K$20000,DATOS!$A$2:$A$20000,S997,DATOS!$G$2:$G$20000,CONFIG_METADATA!$B$4,DATOS!$I$2:$I$20000,"Armonía"),"")))</f>
        <v/>
      </c>
      <c r="U997" t="str">
        <f>IF(S997="","",IF(S997="[FÓRMULA MANUAL]","",IFERROR(AVERAGEIFS(DATOS!$K$2:$K$20000,DATOS!$A$2:$A$20000,S997,DATOS!$G$2:$G$20000,CONFIG_METADATA!$B$4,DATOS!$I$2:$I$20000,"Orquesta/Banda/Conjunto"),"")))</f>
        <v/>
      </c>
      <c r="V997" t="str">
        <f>IF(S997="","",IF(S997="[FÓRMULA MANUAL]","",IFERROR(AVERAGEIFS(DATOS!$K$2:$K$20000,DATOS!$A$2:$A$20000,S997,DATOS!$G$2:$G$20000,CONFIG_METADATA!$B$4,DATOS!$I$2:$I$20000,"Música de Cámara"),"")))</f>
        <v/>
      </c>
      <c r="W997" t="str">
        <f>IF(S997="","",IF(S997="[FÓRMULA MANUAL]","",IFERROR(SUMPRODUCT((DATOS!$A$2:$A$20000=S997)*(DATOS!$G$2:$G$20000=CONFIG_METADATA!$B$4)*(COUNTIF(CONFIG_ASIGNATURAS!$B$7:$B$27,DATOS!$I$2:$I$20000)&gt;0)*(DATOS!$K$2:$K$20000))/SUMPRODUCT((DATOS!$A$2:$A$20000=S997)*(DATOS!$G$2:$G$20000=CONFIG_METADATA!$B$4)*(COUNTIF(CONFIG_ASIGNATURAS!$B$7:$B$27,DATOS!$I$2:$I$20000)&gt;0)*1),"")))</f>
        <v/>
      </c>
      <c r="Z997" t="str">
        <f>IF(Y997="","",IF(Y997="[FÓRMULA MANUAL]","",IFERROR(AVERAGEIFS(DATOS!$K$2:$K$20000,DATOS!$A$2:$A$20000,Y997,DATOS!$G$2:$G$20000,CONFIG_METADATA!$B$4,DATOS!$I$2:$I$20000,"Análisis"),"")))</f>
        <v/>
      </c>
      <c r="AA997" t="str">
        <f>IF(Y997="","",IF(Y997="[FÓRMULA MANUAL]","",IFERROR(AVERAGEIFS(DATOS!$K$2:$K$20000,DATOS!$A$2:$A$20000,Y997,DATOS!$G$2:$G$20000,CONFIG_METADATA!$B$4,DATOS!$I$2:$I$20000,"Orquesta/Banda/Conjunto"),"")))</f>
        <v/>
      </c>
      <c r="AB997" t="str">
        <f>IF(Y997="","",IF(Y997="[FÓRMULA MANUAL]","",IFERROR(AVERAGEIFS(DATOS!$K$2:$K$20000,DATOS!$A$2:$A$20000,Y997,DATOS!$G$2:$G$20000,CONFIG_METADATA!$B$4,DATOS!$I$2:$I$20000,"Música de Cámara"),"")))</f>
        <v/>
      </c>
      <c r="AC997" t="str">
        <f>IF(Y997="","",IF(Y997="[FÓRMULA MANUAL]","",IFERROR(SUMPRODUCT((DATOS!$A$2:$A$20000=Y997)*(DATOS!$G$2:$G$20000=CONFIG_METADATA!$B$4)*(COUNTIF(CONFIG_ASIGNATURAS!$B$7:$B$27,DATOS!$I$2:$I$20000)&gt;0)*(DATOS!$K$2:$K$20000))/SUMPRODUCT((DATOS!$A$2:$A$20000=Y997)*(DATOS!$G$2:$G$20000=CONFIG_METADATA!$B$4)*(COUNTIF(CONFIG_ASIGNATURAS!$B$7:$B$27,DATOS!$I$2:$I$20000)&gt;0)*1),"")))</f>
        <v/>
      </c>
      <c r="AF997" t="str">
        <f>IF(AE997="","",IF(AE997="[FÓRMULA MANUAL]","",IFERROR(AVERAGEIFS(DATOS!$K$2:$K$20000,DATOS!$A$2:$A$20000,AE997,DATOS!$G$2:$G$20000,CONFIG_METADATA!$B$4,DATOS!$I$2:$I$20000,"Análisis"),"")))</f>
        <v/>
      </c>
      <c r="AG997" t="str">
        <f>IF(AE997="","",IF(AE997="[FÓRMULA MANUAL]","",IFERROR(AVERAGEIFS(DATOS!$K$2:$K$20000,DATOS!$A$2:$A$20000,AE997,DATOS!$G$2:$G$20000,CONFIG_METADATA!$B$4,DATOS!$I$2:$I$20000,"Orquesta/Banda/Conjunto"),"")))</f>
        <v/>
      </c>
      <c r="AH997" t="str">
        <f>IF(AE997="","",IF(AE997="[FÓRMULA MANUAL]","",IFERROR(AVERAGEIFS(DATOS!$K$2:$K$20000,DATOS!$A$2:$A$20000,AE997,DATOS!$G$2:$G$20000,CONFIG_METADATA!$B$4,DATOS!$I$2:$I$20000,"Música de Cámara"),"")))</f>
        <v/>
      </c>
      <c r="AI997" t="str">
        <f>IF(AE997="","",IF(AE997="[FÓRMULA MANUAL]","",IFERROR(SUMPRODUCT((DATOS!$A$2:$A$20000=AE997)*(DATOS!$G$2:$G$20000=CONFIG_METADATA!$B$4)*(COUNTIF(CONFIG_ASIGNATURAS!$B$7:$B$27,DATOS!$I$2:$I$20000)&gt;0)*(DATOS!$K$2:$K$20000))/SUMPRODUCT((DATOS!$A$2:$A$20000=AE997)*(DATOS!$G$2:$G$20000=CONFIG_METADATA!$B$4)*(COUNTIF(CONFIG_ASIGNATURAS!$B$7:$B$27,DATOS!$I$2:$I$20000)&gt;0)*1),"")))</f>
        <v/>
      </c>
    </row>
    <row r="998" spans="2:35" x14ac:dyDescent="0.2">
      <c r="B998" t="str">
        <f>IF(A998="","",IF(A998="[FÓRMULA MANUAL]","",IFERROR(AVERAGEIFS(DATOS!$K$2:$K$20000,DATOS!$A$2:$A$20000,A998,DATOS!$G$2:$G$20000,CONFIG_METADATA!$B$4,DATOS!$I$2:$I$20000,"Lenguaje Musical"),"")))</f>
        <v/>
      </c>
      <c r="C998" t="str">
        <f>IF(A998="","",IF(A998="[FÓRMULA MANUAL]","",IFERROR(AVERAGEIFS(DATOS!$K$2:$K$20000,DATOS!$A$2:$A$20000,A998,DATOS!$G$2:$G$20000,CONFIG_METADATA!$B$4,DATOS!$I$2:$I$20000,"Orquesta/Banda/Conjunto"),"")))</f>
        <v/>
      </c>
      <c r="D998" t="str">
        <f>IF(A998="","",IF(A998="[FÓRMULA MANUAL]","",IFERROR(AVERAGEIFS(DATOS!$K$2:$K$20000,DATOS!$A$2:$A$20000,A998,DATOS!$G$2:$G$20000,CONFIG_METADATA!$B$4,DATOS!$I$2:$I$20000,"Conjunto"),"")))</f>
        <v/>
      </c>
      <c r="E998" t="str">
        <f>IF(A998="","",IF(A998="[FÓRMULA MANUAL]","",IFERROR(SUMPRODUCT((DATOS!$A$2:$A$20000=A998)*(DATOS!$G$2:$G$20000=CONFIG_METADATA!$B$4)*(COUNTIF(CONFIG_ASIGNATURAS!$B$7:$B$27,DATOS!$I$2:$I$20000)&gt;0)*(DATOS!$K$2:$K$20000))/SUMPRODUCT((DATOS!$A$2:$A$20000=A998)*(DATOS!$G$2:$G$20000=CONFIG_METADATA!$B$4)*(COUNTIF(CONFIG_ASIGNATURAS!$B$7:$B$27,DATOS!$I$2:$I$20000)&gt;0)*1),"")))</f>
        <v/>
      </c>
      <c r="H998" t="str">
        <f>IF(G998="","",IF(G998="[FÓRMULA MANUAL]","",IFERROR(AVERAGEIFS(DATOS!$K$2:$K$20000,DATOS!$A$2:$A$20000,G998,DATOS!$G$2:$G$20000,CONFIG_METADATA!$B$4,DATOS!$I$2:$I$20000,"Lenguaje Musical"),"")))</f>
        <v/>
      </c>
      <c r="I998" t="str">
        <f>IF(G998="","",IF(G998="[FÓRMULA MANUAL]","",IFERROR(AVERAGEIFS(DATOS!$K$2:$K$20000,DATOS!$A$2:$A$20000,G998,DATOS!$G$2:$G$20000,CONFIG_METADATA!$B$4,DATOS!$I$2:$I$20000,"Orquesta/Banda/Conjunto"),"")))</f>
        <v/>
      </c>
      <c r="J998" t="str">
        <f>IF(G998="","",IF(G998="[FÓRMULA MANUAL]","",IFERROR(AVERAGEIFS(DATOS!$K$2:$K$20000,DATOS!$A$2:$A$20000,G998,DATOS!$G$2:$G$20000,CONFIG_METADATA!$B$4,DATOS!$I$2:$I$20000,"Conjunto"),"")))</f>
        <v/>
      </c>
      <c r="K998" t="str">
        <f>IF(G998="","",IF(G998="[FÓRMULA MANUAL]","",IFERROR(SUMPRODUCT((DATOS!$A$2:$A$20000=G998)*(DATOS!$G$2:$G$20000=CONFIG_METADATA!$B$4)*(COUNTIF(CONFIG_ASIGNATURAS!$B$7:$B$27,DATOS!$I$2:$I$20000)&gt;0)*(DATOS!$K$2:$K$20000))/SUMPRODUCT((DATOS!$A$2:$A$20000=G998)*(DATOS!$G$2:$G$20000=CONFIG_METADATA!$B$4)*(COUNTIF(CONFIG_ASIGNATURAS!$B$7:$B$27,DATOS!$I$2:$I$20000)&gt;0)*1),"")))</f>
        <v/>
      </c>
      <c r="N998" t="str">
        <f>IF(M998="","",IF(M998="[FÓRMULA MANUAL]","",IFERROR(AVERAGEIFS(DATOS!$K$2:$K$20000,DATOS!$A$2:$A$20000,M998,DATOS!$G$2:$G$20000,CONFIG_METADATA!$B$4,DATOS!$I$2:$I$20000,"Armonía"),"")))</f>
        <v/>
      </c>
      <c r="O998" t="str">
        <f>IF(M998="","",IF(M998="[FÓRMULA MANUAL]","",IFERROR(AVERAGEIFS(DATOS!$K$2:$K$20000,DATOS!$A$2:$A$20000,M998,DATOS!$G$2:$G$20000,CONFIG_METADATA!$B$4,DATOS!$I$2:$I$20000,"Orquesta/Banda/Conjunto"),"")))</f>
        <v/>
      </c>
      <c r="P998" t="str">
        <f>IF(M998="","",IF(M998="[FÓRMULA MANUAL]","",IFERROR(AVERAGEIFS(DATOS!$K$2:$K$20000,DATOS!$A$2:$A$20000,M998,DATOS!$G$2:$G$20000,CONFIG_METADATA!$B$4,DATOS!$I$2:$I$20000,"Música de Cámara"),"")))</f>
        <v/>
      </c>
      <c r="Q998" t="str">
        <f>IF(M998="","",IF(M998="[FÓRMULA MANUAL]","",IFERROR(SUMPRODUCT((DATOS!$A$2:$A$20000=M998)*(DATOS!$G$2:$G$20000=CONFIG_METADATA!$B$4)*(COUNTIF(CONFIG_ASIGNATURAS!$B$7:$B$27,DATOS!$I$2:$I$20000)&gt;0)*(DATOS!$K$2:$K$20000))/SUMPRODUCT((DATOS!$A$2:$A$20000=M998)*(DATOS!$G$2:$G$20000=CONFIG_METADATA!$B$4)*(COUNTIF(CONFIG_ASIGNATURAS!$B$7:$B$27,DATOS!$I$2:$I$20000)&gt;0)*1),"")))</f>
        <v/>
      </c>
      <c r="T998" t="str">
        <f>IF(S998="","",IF(S998="[FÓRMULA MANUAL]","",IFERROR(AVERAGEIFS(DATOS!$K$2:$K$20000,DATOS!$A$2:$A$20000,S998,DATOS!$G$2:$G$20000,CONFIG_METADATA!$B$4,DATOS!$I$2:$I$20000,"Armonía"),"")))</f>
        <v/>
      </c>
      <c r="U998" t="str">
        <f>IF(S998="","",IF(S998="[FÓRMULA MANUAL]","",IFERROR(AVERAGEIFS(DATOS!$K$2:$K$20000,DATOS!$A$2:$A$20000,S998,DATOS!$G$2:$G$20000,CONFIG_METADATA!$B$4,DATOS!$I$2:$I$20000,"Orquesta/Banda/Conjunto"),"")))</f>
        <v/>
      </c>
      <c r="V998" t="str">
        <f>IF(S998="","",IF(S998="[FÓRMULA MANUAL]","",IFERROR(AVERAGEIFS(DATOS!$K$2:$K$20000,DATOS!$A$2:$A$20000,S998,DATOS!$G$2:$G$20000,CONFIG_METADATA!$B$4,DATOS!$I$2:$I$20000,"Música de Cámara"),"")))</f>
        <v/>
      </c>
      <c r="W998" t="str">
        <f>IF(S998="","",IF(S998="[FÓRMULA MANUAL]","",IFERROR(SUMPRODUCT((DATOS!$A$2:$A$20000=S998)*(DATOS!$G$2:$G$20000=CONFIG_METADATA!$B$4)*(COUNTIF(CONFIG_ASIGNATURAS!$B$7:$B$27,DATOS!$I$2:$I$20000)&gt;0)*(DATOS!$K$2:$K$20000))/SUMPRODUCT((DATOS!$A$2:$A$20000=S998)*(DATOS!$G$2:$G$20000=CONFIG_METADATA!$B$4)*(COUNTIF(CONFIG_ASIGNATURAS!$B$7:$B$27,DATOS!$I$2:$I$20000)&gt;0)*1),"")))</f>
        <v/>
      </c>
      <c r="Z998" t="str">
        <f>IF(Y998="","",IF(Y998="[FÓRMULA MANUAL]","",IFERROR(AVERAGEIFS(DATOS!$K$2:$K$20000,DATOS!$A$2:$A$20000,Y998,DATOS!$G$2:$G$20000,CONFIG_METADATA!$B$4,DATOS!$I$2:$I$20000,"Análisis"),"")))</f>
        <v/>
      </c>
      <c r="AA998" t="str">
        <f>IF(Y998="","",IF(Y998="[FÓRMULA MANUAL]","",IFERROR(AVERAGEIFS(DATOS!$K$2:$K$20000,DATOS!$A$2:$A$20000,Y998,DATOS!$G$2:$G$20000,CONFIG_METADATA!$B$4,DATOS!$I$2:$I$20000,"Orquesta/Banda/Conjunto"),"")))</f>
        <v/>
      </c>
      <c r="AB998" t="str">
        <f>IF(Y998="","",IF(Y998="[FÓRMULA MANUAL]","",IFERROR(AVERAGEIFS(DATOS!$K$2:$K$20000,DATOS!$A$2:$A$20000,Y998,DATOS!$G$2:$G$20000,CONFIG_METADATA!$B$4,DATOS!$I$2:$I$20000,"Música de Cámara"),"")))</f>
        <v/>
      </c>
      <c r="AC998" t="str">
        <f>IF(Y998="","",IF(Y998="[FÓRMULA MANUAL]","",IFERROR(SUMPRODUCT((DATOS!$A$2:$A$20000=Y998)*(DATOS!$G$2:$G$20000=CONFIG_METADATA!$B$4)*(COUNTIF(CONFIG_ASIGNATURAS!$B$7:$B$27,DATOS!$I$2:$I$20000)&gt;0)*(DATOS!$K$2:$K$20000))/SUMPRODUCT((DATOS!$A$2:$A$20000=Y998)*(DATOS!$G$2:$G$20000=CONFIG_METADATA!$B$4)*(COUNTIF(CONFIG_ASIGNATURAS!$B$7:$B$27,DATOS!$I$2:$I$20000)&gt;0)*1),"")))</f>
        <v/>
      </c>
      <c r="AF998" t="str">
        <f>IF(AE998="","",IF(AE998="[FÓRMULA MANUAL]","",IFERROR(AVERAGEIFS(DATOS!$K$2:$K$20000,DATOS!$A$2:$A$20000,AE998,DATOS!$G$2:$G$20000,CONFIG_METADATA!$B$4,DATOS!$I$2:$I$20000,"Análisis"),"")))</f>
        <v/>
      </c>
      <c r="AG998" t="str">
        <f>IF(AE998="","",IF(AE998="[FÓRMULA MANUAL]","",IFERROR(AVERAGEIFS(DATOS!$K$2:$K$20000,DATOS!$A$2:$A$20000,AE998,DATOS!$G$2:$G$20000,CONFIG_METADATA!$B$4,DATOS!$I$2:$I$20000,"Orquesta/Banda/Conjunto"),"")))</f>
        <v/>
      </c>
      <c r="AH998" t="str">
        <f>IF(AE998="","",IF(AE998="[FÓRMULA MANUAL]","",IFERROR(AVERAGEIFS(DATOS!$K$2:$K$20000,DATOS!$A$2:$A$20000,AE998,DATOS!$G$2:$G$20000,CONFIG_METADATA!$B$4,DATOS!$I$2:$I$20000,"Música de Cámara"),"")))</f>
        <v/>
      </c>
      <c r="AI998" t="str">
        <f>IF(AE998="","",IF(AE998="[FÓRMULA MANUAL]","",IFERROR(SUMPRODUCT((DATOS!$A$2:$A$20000=AE998)*(DATOS!$G$2:$G$20000=CONFIG_METADATA!$B$4)*(COUNTIF(CONFIG_ASIGNATURAS!$B$7:$B$27,DATOS!$I$2:$I$20000)&gt;0)*(DATOS!$K$2:$K$20000))/SUMPRODUCT((DATOS!$A$2:$A$20000=AE998)*(DATOS!$G$2:$G$20000=CONFIG_METADATA!$B$4)*(COUNTIF(CONFIG_ASIGNATURAS!$B$7:$B$27,DATOS!$I$2:$I$20000)&gt;0)*1),"")))</f>
        <v/>
      </c>
    </row>
    <row r="999" spans="2:35" x14ac:dyDescent="0.2">
      <c r="B999" t="str">
        <f>IF(A999="","",IF(A999="[FÓRMULA MANUAL]","",IFERROR(AVERAGEIFS(DATOS!$K$2:$K$20000,DATOS!$A$2:$A$20000,A999,DATOS!$G$2:$G$20000,CONFIG_METADATA!$B$4,DATOS!$I$2:$I$20000,"Lenguaje Musical"),"")))</f>
        <v/>
      </c>
      <c r="C999" t="str">
        <f>IF(A999="","",IF(A999="[FÓRMULA MANUAL]","",IFERROR(AVERAGEIFS(DATOS!$K$2:$K$20000,DATOS!$A$2:$A$20000,A999,DATOS!$G$2:$G$20000,CONFIG_METADATA!$B$4,DATOS!$I$2:$I$20000,"Orquesta/Banda/Conjunto"),"")))</f>
        <v/>
      </c>
      <c r="D999" t="str">
        <f>IF(A999="","",IF(A999="[FÓRMULA MANUAL]","",IFERROR(AVERAGEIFS(DATOS!$K$2:$K$20000,DATOS!$A$2:$A$20000,A999,DATOS!$G$2:$G$20000,CONFIG_METADATA!$B$4,DATOS!$I$2:$I$20000,"Conjunto"),"")))</f>
        <v/>
      </c>
      <c r="E999" t="str">
        <f>IF(A999="","",IF(A999="[FÓRMULA MANUAL]","",IFERROR(SUMPRODUCT((DATOS!$A$2:$A$20000=A999)*(DATOS!$G$2:$G$20000=CONFIG_METADATA!$B$4)*(COUNTIF(CONFIG_ASIGNATURAS!$B$7:$B$27,DATOS!$I$2:$I$20000)&gt;0)*(DATOS!$K$2:$K$20000))/SUMPRODUCT((DATOS!$A$2:$A$20000=A999)*(DATOS!$G$2:$G$20000=CONFIG_METADATA!$B$4)*(COUNTIF(CONFIG_ASIGNATURAS!$B$7:$B$27,DATOS!$I$2:$I$20000)&gt;0)*1),"")))</f>
        <v/>
      </c>
      <c r="H999" t="str">
        <f>IF(G999="","",IF(G999="[FÓRMULA MANUAL]","",IFERROR(AVERAGEIFS(DATOS!$K$2:$K$20000,DATOS!$A$2:$A$20000,G999,DATOS!$G$2:$G$20000,CONFIG_METADATA!$B$4,DATOS!$I$2:$I$20000,"Lenguaje Musical"),"")))</f>
        <v/>
      </c>
      <c r="I999" t="str">
        <f>IF(G999="","",IF(G999="[FÓRMULA MANUAL]","",IFERROR(AVERAGEIFS(DATOS!$K$2:$K$20000,DATOS!$A$2:$A$20000,G999,DATOS!$G$2:$G$20000,CONFIG_METADATA!$B$4,DATOS!$I$2:$I$20000,"Orquesta/Banda/Conjunto"),"")))</f>
        <v/>
      </c>
      <c r="J999" t="str">
        <f>IF(G999="","",IF(G999="[FÓRMULA MANUAL]","",IFERROR(AVERAGEIFS(DATOS!$K$2:$K$20000,DATOS!$A$2:$A$20000,G999,DATOS!$G$2:$G$20000,CONFIG_METADATA!$B$4,DATOS!$I$2:$I$20000,"Conjunto"),"")))</f>
        <v/>
      </c>
      <c r="K999" t="str">
        <f>IF(G999="","",IF(G999="[FÓRMULA MANUAL]","",IFERROR(SUMPRODUCT((DATOS!$A$2:$A$20000=G999)*(DATOS!$G$2:$G$20000=CONFIG_METADATA!$B$4)*(COUNTIF(CONFIG_ASIGNATURAS!$B$7:$B$27,DATOS!$I$2:$I$20000)&gt;0)*(DATOS!$K$2:$K$20000))/SUMPRODUCT((DATOS!$A$2:$A$20000=G999)*(DATOS!$G$2:$G$20000=CONFIG_METADATA!$B$4)*(COUNTIF(CONFIG_ASIGNATURAS!$B$7:$B$27,DATOS!$I$2:$I$20000)&gt;0)*1),"")))</f>
        <v/>
      </c>
      <c r="N999" t="str">
        <f>IF(M999="","",IF(M999="[FÓRMULA MANUAL]","",IFERROR(AVERAGEIFS(DATOS!$K$2:$K$20000,DATOS!$A$2:$A$20000,M999,DATOS!$G$2:$G$20000,CONFIG_METADATA!$B$4,DATOS!$I$2:$I$20000,"Armonía"),"")))</f>
        <v/>
      </c>
      <c r="O999" t="str">
        <f>IF(M999="","",IF(M999="[FÓRMULA MANUAL]","",IFERROR(AVERAGEIFS(DATOS!$K$2:$K$20000,DATOS!$A$2:$A$20000,M999,DATOS!$G$2:$G$20000,CONFIG_METADATA!$B$4,DATOS!$I$2:$I$20000,"Orquesta/Banda/Conjunto"),"")))</f>
        <v/>
      </c>
      <c r="P999" t="str">
        <f>IF(M999="","",IF(M999="[FÓRMULA MANUAL]","",IFERROR(AVERAGEIFS(DATOS!$K$2:$K$20000,DATOS!$A$2:$A$20000,M999,DATOS!$G$2:$G$20000,CONFIG_METADATA!$B$4,DATOS!$I$2:$I$20000,"Música de Cámara"),"")))</f>
        <v/>
      </c>
      <c r="Q999" t="str">
        <f>IF(M999="","",IF(M999="[FÓRMULA MANUAL]","",IFERROR(SUMPRODUCT((DATOS!$A$2:$A$20000=M999)*(DATOS!$G$2:$G$20000=CONFIG_METADATA!$B$4)*(COUNTIF(CONFIG_ASIGNATURAS!$B$7:$B$27,DATOS!$I$2:$I$20000)&gt;0)*(DATOS!$K$2:$K$20000))/SUMPRODUCT((DATOS!$A$2:$A$20000=M999)*(DATOS!$G$2:$G$20000=CONFIG_METADATA!$B$4)*(COUNTIF(CONFIG_ASIGNATURAS!$B$7:$B$27,DATOS!$I$2:$I$20000)&gt;0)*1),"")))</f>
        <v/>
      </c>
      <c r="T999" t="str">
        <f>IF(S999="","",IF(S999="[FÓRMULA MANUAL]","",IFERROR(AVERAGEIFS(DATOS!$K$2:$K$20000,DATOS!$A$2:$A$20000,S999,DATOS!$G$2:$G$20000,CONFIG_METADATA!$B$4,DATOS!$I$2:$I$20000,"Armonía"),"")))</f>
        <v/>
      </c>
      <c r="U999" t="str">
        <f>IF(S999="","",IF(S999="[FÓRMULA MANUAL]","",IFERROR(AVERAGEIFS(DATOS!$K$2:$K$20000,DATOS!$A$2:$A$20000,S999,DATOS!$G$2:$G$20000,CONFIG_METADATA!$B$4,DATOS!$I$2:$I$20000,"Orquesta/Banda/Conjunto"),"")))</f>
        <v/>
      </c>
      <c r="V999" t="str">
        <f>IF(S999="","",IF(S999="[FÓRMULA MANUAL]","",IFERROR(AVERAGEIFS(DATOS!$K$2:$K$20000,DATOS!$A$2:$A$20000,S999,DATOS!$G$2:$G$20000,CONFIG_METADATA!$B$4,DATOS!$I$2:$I$20000,"Música de Cámara"),"")))</f>
        <v/>
      </c>
      <c r="W999" t="str">
        <f>IF(S999="","",IF(S999="[FÓRMULA MANUAL]","",IFERROR(SUMPRODUCT((DATOS!$A$2:$A$20000=S999)*(DATOS!$G$2:$G$20000=CONFIG_METADATA!$B$4)*(COUNTIF(CONFIG_ASIGNATURAS!$B$7:$B$27,DATOS!$I$2:$I$20000)&gt;0)*(DATOS!$K$2:$K$20000))/SUMPRODUCT((DATOS!$A$2:$A$20000=S999)*(DATOS!$G$2:$G$20000=CONFIG_METADATA!$B$4)*(COUNTIF(CONFIG_ASIGNATURAS!$B$7:$B$27,DATOS!$I$2:$I$20000)&gt;0)*1),"")))</f>
        <v/>
      </c>
      <c r="Z999" t="str">
        <f>IF(Y999="","",IF(Y999="[FÓRMULA MANUAL]","",IFERROR(AVERAGEIFS(DATOS!$K$2:$K$20000,DATOS!$A$2:$A$20000,Y999,DATOS!$G$2:$G$20000,CONFIG_METADATA!$B$4,DATOS!$I$2:$I$20000,"Análisis"),"")))</f>
        <v/>
      </c>
      <c r="AA999" t="str">
        <f>IF(Y999="","",IF(Y999="[FÓRMULA MANUAL]","",IFERROR(AVERAGEIFS(DATOS!$K$2:$K$20000,DATOS!$A$2:$A$20000,Y999,DATOS!$G$2:$G$20000,CONFIG_METADATA!$B$4,DATOS!$I$2:$I$20000,"Orquesta/Banda/Conjunto"),"")))</f>
        <v/>
      </c>
      <c r="AB999" t="str">
        <f>IF(Y999="","",IF(Y999="[FÓRMULA MANUAL]","",IFERROR(AVERAGEIFS(DATOS!$K$2:$K$20000,DATOS!$A$2:$A$20000,Y999,DATOS!$G$2:$G$20000,CONFIG_METADATA!$B$4,DATOS!$I$2:$I$20000,"Música de Cámara"),"")))</f>
        <v/>
      </c>
      <c r="AC999" t="str">
        <f>IF(Y999="","",IF(Y999="[FÓRMULA MANUAL]","",IFERROR(SUMPRODUCT((DATOS!$A$2:$A$20000=Y999)*(DATOS!$G$2:$G$20000=CONFIG_METADATA!$B$4)*(COUNTIF(CONFIG_ASIGNATURAS!$B$7:$B$27,DATOS!$I$2:$I$20000)&gt;0)*(DATOS!$K$2:$K$20000))/SUMPRODUCT((DATOS!$A$2:$A$20000=Y999)*(DATOS!$G$2:$G$20000=CONFIG_METADATA!$B$4)*(COUNTIF(CONFIG_ASIGNATURAS!$B$7:$B$27,DATOS!$I$2:$I$20000)&gt;0)*1),"")))</f>
        <v/>
      </c>
      <c r="AF999" t="str">
        <f>IF(AE999="","",IF(AE999="[FÓRMULA MANUAL]","",IFERROR(AVERAGEIFS(DATOS!$K$2:$K$20000,DATOS!$A$2:$A$20000,AE999,DATOS!$G$2:$G$20000,CONFIG_METADATA!$B$4,DATOS!$I$2:$I$20000,"Análisis"),"")))</f>
        <v/>
      </c>
      <c r="AG999" t="str">
        <f>IF(AE999="","",IF(AE999="[FÓRMULA MANUAL]","",IFERROR(AVERAGEIFS(DATOS!$K$2:$K$20000,DATOS!$A$2:$A$20000,AE999,DATOS!$G$2:$G$20000,CONFIG_METADATA!$B$4,DATOS!$I$2:$I$20000,"Orquesta/Banda/Conjunto"),"")))</f>
        <v/>
      </c>
      <c r="AH999" t="str">
        <f>IF(AE999="","",IF(AE999="[FÓRMULA MANUAL]","",IFERROR(AVERAGEIFS(DATOS!$K$2:$K$20000,DATOS!$A$2:$A$20000,AE999,DATOS!$G$2:$G$20000,CONFIG_METADATA!$B$4,DATOS!$I$2:$I$20000,"Música de Cámara"),"")))</f>
        <v/>
      </c>
      <c r="AI999" t="str">
        <f>IF(AE999="","",IF(AE999="[FÓRMULA MANUAL]","",IFERROR(SUMPRODUCT((DATOS!$A$2:$A$20000=AE999)*(DATOS!$G$2:$G$20000=CONFIG_METADATA!$B$4)*(COUNTIF(CONFIG_ASIGNATURAS!$B$7:$B$27,DATOS!$I$2:$I$20000)&gt;0)*(DATOS!$K$2:$K$20000))/SUMPRODUCT((DATOS!$A$2:$A$20000=AE999)*(DATOS!$G$2:$G$20000=CONFIG_METADATA!$B$4)*(COUNTIF(CONFIG_ASIGNATURAS!$B$7:$B$27,DATOS!$I$2:$I$20000)&gt;0)*1),"")))</f>
        <v/>
      </c>
    </row>
    <row r="1000" spans="2:35" x14ac:dyDescent="0.2">
      <c r="B1000" t="str">
        <f>IF(A1000="","",IF(A1000="[FÓRMULA MANUAL]","",IFERROR(AVERAGEIFS(DATOS!$K$2:$K$20000,DATOS!$A$2:$A$20000,A1000,DATOS!$G$2:$G$20000,CONFIG_METADATA!$B$4,DATOS!$I$2:$I$20000,"Lenguaje Musical"),"")))</f>
        <v/>
      </c>
      <c r="C1000" t="str">
        <f>IF(A1000="","",IF(A1000="[FÓRMULA MANUAL]","",IFERROR(AVERAGEIFS(DATOS!$K$2:$K$20000,DATOS!$A$2:$A$20000,A1000,DATOS!$G$2:$G$20000,CONFIG_METADATA!$B$4,DATOS!$I$2:$I$20000,"Orquesta/Banda/Conjunto"),"")))</f>
        <v/>
      </c>
      <c r="D1000" t="str">
        <f>IF(A1000="","",IF(A1000="[FÓRMULA MANUAL]","",IFERROR(AVERAGEIFS(DATOS!$K$2:$K$20000,DATOS!$A$2:$A$20000,A1000,DATOS!$G$2:$G$20000,CONFIG_METADATA!$B$4,DATOS!$I$2:$I$20000,"Conjunto"),"")))</f>
        <v/>
      </c>
      <c r="E1000" t="str">
        <f>IF(A1000="","",IF(A1000="[FÓRMULA MANUAL]","",IFERROR(SUMPRODUCT((DATOS!$A$2:$A$20000=A1000)*(DATOS!$G$2:$G$20000=CONFIG_METADATA!$B$4)*(COUNTIF(CONFIG_ASIGNATURAS!$B$7:$B$27,DATOS!$I$2:$I$20000)&gt;0)*(DATOS!$K$2:$K$20000))/SUMPRODUCT((DATOS!$A$2:$A$20000=A1000)*(DATOS!$G$2:$G$20000=CONFIG_METADATA!$B$4)*(COUNTIF(CONFIG_ASIGNATURAS!$B$7:$B$27,DATOS!$I$2:$I$20000)&gt;0)*1),"")))</f>
        <v/>
      </c>
      <c r="H1000" t="str">
        <f>IF(G1000="","",IF(G1000="[FÓRMULA MANUAL]","",IFERROR(AVERAGEIFS(DATOS!$K$2:$K$20000,DATOS!$A$2:$A$20000,G1000,DATOS!$G$2:$G$20000,CONFIG_METADATA!$B$4,DATOS!$I$2:$I$20000,"Lenguaje Musical"),"")))</f>
        <v/>
      </c>
      <c r="I1000" t="str">
        <f>IF(G1000="","",IF(G1000="[FÓRMULA MANUAL]","",IFERROR(AVERAGEIFS(DATOS!$K$2:$K$20000,DATOS!$A$2:$A$20000,G1000,DATOS!$G$2:$G$20000,CONFIG_METADATA!$B$4,DATOS!$I$2:$I$20000,"Orquesta/Banda/Conjunto"),"")))</f>
        <v/>
      </c>
      <c r="J1000" t="str">
        <f>IF(G1000="","",IF(G1000="[FÓRMULA MANUAL]","",IFERROR(AVERAGEIFS(DATOS!$K$2:$K$20000,DATOS!$A$2:$A$20000,G1000,DATOS!$G$2:$G$20000,CONFIG_METADATA!$B$4,DATOS!$I$2:$I$20000,"Conjunto"),"")))</f>
        <v/>
      </c>
      <c r="K1000" t="str">
        <f>IF(G1000="","",IF(G1000="[FÓRMULA MANUAL]","",IFERROR(SUMPRODUCT((DATOS!$A$2:$A$20000=G1000)*(DATOS!$G$2:$G$20000=CONFIG_METADATA!$B$4)*(COUNTIF(CONFIG_ASIGNATURAS!$B$7:$B$27,DATOS!$I$2:$I$20000)&gt;0)*(DATOS!$K$2:$K$20000))/SUMPRODUCT((DATOS!$A$2:$A$20000=G1000)*(DATOS!$G$2:$G$20000=CONFIG_METADATA!$B$4)*(COUNTIF(CONFIG_ASIGNATURAS!$B$7:$B$27,DATOS!$I$2:$I$20000)&gt;0)*1),"")))</f>
        <v/>
      </c>
      <c r="N1000" t="str">
        <f>IF(M1000="","",IF(M1000="[FÓRMULA MANUAL]","",IFERROR(AVERAGEIFS(DATOS!$K$2:$K$20000,DATOS!$A$2:$A$20000,M1000,DATOS!$G$2:$G$20000,CONFIG_METADATA!$B$4,DATOS!$I$2:$I$20000,"Armonía"),"")))</f>
        <v/>
      </c>
      <c r="O1000" t="str">
        <f>IF(M1000="","",IF(M1000="[FÓRMULA MANUAL]","",IFERROR(AVERAGEIFS(DATOS!$K$2:$K$20000,DATOS!$A$2:$A$20000,M1000,DATOS!$G$2:$G$20000,CONFIG_METADATA!$B$4,DATOS!$I$2:$I$20000,"Orquesta/Banda/Conjunto"),"")))</f>
        <v/>
      </c>
      <c r="P1000" t="str">
        <f>IF(M1000="","",IF(M1000="[FÓRMULA MANUAL]","",IFERROR(AVERAGEIFS(DATOS!$K$2:$K$20000,DATOS!$A$2:$A$20000,M1000,DATOS!$G$2:$G$20000,CONFIG_METADATA!$B$4,DATOS!$I$2:$I$20000,"Música de Cámara"),"")))</f>
        <v/>
      </c>
      <c r="Q1000" t="str">
        <f>IF(M1000="","",IF(M1000="[FÓRMULA MANUAL]","",IFERROR(SUMPRODUCT((DATOS!$A$2:$A$20000=M1000)*(DATOS!$G$2:$G$20000=CONFIG_METADATA!$B$4)*(COUNTIF(CONFIG_ASIGNATURAS!$B$7:$B$27,DATOS!$I$2:$I$20000)&gt;0)*(DATOS!$K$2:$K$20000))/SUMPRODUCT((DATOS!$A$2:$A$20000=M1000)*(DATOS!$G$2:$G$20000=CONFIG_METADATA!$B$4)*(COUNTIF(CONFIG_ASIGNATURAS!$B$7:$B$27,DATOS!$I$2:$I$20000)&gt;0)*1),"")))</f>
        <v/>
      </c>
      <c r="T1000" t="str">
        <f>IF(S1000="","",IF(S1000="[FÓRMULA MANUAL]","",IFERROR(AVERAGEIFS(DATOS!$K$2:$K$20000,DATOS!$A$2:$A$20000,S1000,DATOS!$G$2:$G$20000,CONFIG_METADATA!$B$4,DATOS!$I$2:$I$20000,"Armonía"),"")))</f>
        <v/>
      </c>
      <c r="U1000" t="str">
        <f>IF(S1000="","",IF(S1000="[FÓRMULA MANUAL]","",IFERROR(AVERAGEIFS(DATOS!$K$2:$K$20000,DATOS!$A$2:$A$20000,S1000,DATOS!$G$2:$G$20000,CONFIG_METADATA!$B$4,DATOS!$I$2:$I$20000,"Orquesta/Banda/Conjunto"),"")))</f>
        <v/>
      </c>
      <c r="V1000" t="str">
        <f>IF(S1000="","",IF(S1000="[FÓRMULA MANUAL]","",IFERROR(AVERAGEIFS(DATOS!$K$2:$K$20000,DATOS!$A$2:$A$20000,S1000,DATOS!$G$2:$G$20000,CONFIG_METADATA!$B$4,DATOS!$I$2:$I$20000,"Música de Cámara"),"")))</f>
        <v/>
      </c>
      <c r="W1000" t="str">
        <f>IF(S1000="","",IF(S1000="[FÓRMULA MANUAL]","",IFERROR(SUMPRODUCT((DATOS!$A$2:$A$20000=S1000)*(DATOS!$G$2:$G$20000=CONFIG_METADATA!$B$4)*(COUNTIF(CONFIG_ASIGNATURAS!$B$7:$B$27,DATOS!$I$2:$I$20000)&gt;0)*(DATOS!$K$2:$K$20000))/SUMPRODUCT((DATOS!$A$2:$A$20000=S1000)*(DATOS!$G$2:$G$20000=CONFIG_METADATA!$B$4)*(COUNTIF(CONFIG_ASIGNATURAS!$B$7:$B$27,DATOS!$I$2:$I$20000)&gt;0)*1),"")))</f>
        <v/>
      </c>
      <c r="Z1000" t="str">
        <f>IF(Y1000="","",IF(Y1000="[FÓRMULA MANUAL]","",IFERROR(AVERAGEIFS(DATOS!$K$2:$K$20000,DATOS!$A$2:$A$20000,Y1000,DATOS!$G$2:$G$20000,CONFIG_METADATA!$B$4,DATOS!$I$2:$I$20000,"Análisis"),"")))</f>
        <v/>
      </c>
      <c r="AA1000" t="str">
        <f>IF(Y1000="","",IF(Y1000="[FÓRMULA MANUAL]","",IFERROR(AVERAGEIFS(DATOS!$K$2:$K$20000,DATOS!$A$2:$A$20000,Y1000,DATOS!$G$2:$G$20000,CONFIG_METADATA!$B$4,DATOS!$I$2:$I$20000,"Orquesta/Banda/Conjunto"),"")))</f>
        <v/>
      </c>
      <c r="AB1000" t="str">
        <f>IF(Y1000="","",IF(Y1000="[FÓRMULA MANUAL]","",IFERROR(AVERAGEIFS(DATOS!$K$2:$K$20000,DATOS!$A$2:$A$20000,Y1000,DATOS!$G$2:$G$20000,CONFIG_METADATA!$B$4,DATOS!$I$2:$I$20000,"Música de Cámara"),"")))</f>
        <v/>
      </c>
      <c r="AC1000" t="str">
        <f>IF(Y1000="","",IF(Y1000="[FÓRMULA MANUAL]","",IFERROR(SUMPRODUCT((DATOS!$A$2:$A$20000=Y1000)*(DATOS!$G$2:$G$20000=CONFIG_METADATA!$B$4)*(COUNTIF(CONFIG_ASIGNATURAS!$B$7:$B$27,DATOS!$I$2:$I$20000)&gt;0)*(DATOS!$K$2:$K$20000))/SUMPRODUCT((DATOS!$A$2:$A$20000=Y1000)*(DATOS!$G$2:$G$20000=CONFIG_METADATA!$B$4)*(COUNTIF(CONFIG_ASIGNATURAS!$B$7:$B$27,DATOS!$I$2:$I$20000)&gt;0)*1),"")))</f>
        <v/>
      </c>
      <c r="AF1000" t="str">
        <f>IF(AE1000="","",IF(AE1000="[FÓRMULA MANUAL]","",IFERROR(AVERAGEIFS(DATOS!$K$2:$K$20000,DATOS!$A$2:$A$20000,AE1000,DATOS!$G$2:$G$20000,CONFIG_METADATA!$B$4,DATOS!$I$2:$I$20000,"Análisis"),"")))</f>
        <v/>
      </c>
      <c r="AG1000" t="str">
        <f>IF(AE1000="","",IF(AE1000="[FÓRMULA MANUAL]","",IFERROR(AVERAGEIFS(DATOS!$K$2:$K$20000,DATOS!$A$2:$A$20000,AE1000,DATOS!$G$2:$G$20000,CONFIG_METADATA!$B$4,DATOS!$I$2:$I$20000,"Orquesta/Banda/Conjunto"),"")))</f>
        <v/>
      </c>
      <c r="AH1000" t="str">
        <f>IF(AE1000="","",IF(AE1000="[FÓRMULA MANUAL]","",IFERROR(AVERAGEIFS(DATOS!$K$2:$K$20000,DATOS!$A$2:$A$20000,AE1000,DATOS!$G$2:$G$20000,CONFIG_METADATA!$B$4,DATOS!$I$2:$I$20000,"Música de Cámara"),"")))</f>
        <v/>
      </c>
      <c r="AI1000" t="str">
        <f>IF(AE1000="","",IF(AE1000="[FÓRMULA MANUAL]","",IFERROR(SUMPRODUCT((DATOS!$A$2:$A$20000=AE1000)*(DATOS!$G$2:$G$20000=CONFIG_METADATA!$B$4)*(COUNTIF(CONFIG_ASIGNATURAS!$B$7:$B$27,DATOS!$I$2:$I$20000)&gt;0)*(DATOS!$K$2:$K$20000))/SUMPRODUCT((DATOS!$A$2:$A$20000=AE1000)*(DATOS!$G$2:$G$20000=CONFIG_METADATA!$B$4)*(COUNTIF(CONFIG_ASIGNATURAS!$B$7:$B$27,DATOS!$I$2:$I$20000)&gt;0)*1),"")))</f>
        <v/>
      </c>
    </row>
    <row r="1001" spans="2:35" x14ac:dyDescent="0.2">
      <c r="B1001" t="str">
        <f>IF(A1001="","",IF(A1001="[FÓRMULA MANUAL]","",IFERROR(AVERAGEIFS(DATOS!$K$2:$K$20000,DATOS!$A$2:$A$20000,A1001,DATOS!$G$2:$G$20000,CONFIG_METADATA!$B$4,DATOS!$I$2:$I$20000,"Lenguaje Musical"),"")))</f>
        <v/>
      </c>
      <c r="C1001" t="str">
        <f>IF(A1001="","",IF(A1001="[FÓRMULA MANUAL]","",IFERROR(AVERAGEIFS(DATOS!$K$2:$K$20000,DATOS!$A$2:$A$20000,A1001,DATOS!$G$2:$G$20000,CONFIG_METADATA!$B$4,DATOS!$I$2:$I$20000,"Orquesta/Banda/Conjunto"),"")))</f>
        <v/>
      </c>
      <c r="D1001" t="str">
        <f>IF(A1001="","",IF(A1001="[FÓRMULA MANUAL]","",IFERROR(AVERAGEIFS(DATOS!$K$2:$K$20000,DATOS!$A$2:$A$20000,A1001,DATOS!$G$2:$G$20000,CONFIG_METADATA!$B$4,DATOS!$I$2:$I$20000,"Conjunto"),"")))</f>
        <v/>
      </c>
      <c r="E1001" t="str">
        <f>IF(A1001="","",IF(A1001="[FÓRMULA MANUAL]","",IFERROR(SUMPRODUCT((DATOS!$A$2:$A$20000=A1001)*(DATOS!$G$2:$G$20000=CONFIG_METADATA!$B$4)*(COUNTIF(CONFIG_ASIGNATURAS!$B$7:$B$27,DATOS!$I$2:$I$20000)&gt;0)*(DATOS!$K$2:$K$20000))/SUMPRODUCT((DATOS!$A$2:$A$20000=A1001)*(DATOS!$G$2:$G$20000=CONFIG_METADATA!$B$4)*(COUNTIF(CONFIG_ASIGNATURAS!$B$7:$B$27,DATOS!$I$2:$I$20000)&gt;0)*1),"")))</f>
        <v/>
      </c>
      <c r="H1001" t="str">
        <f>IF(G1001="","",IF(G1001="[FÓRMULA MANUAL]","",IFERROR(AVERAGEIFS(DATOS!$K$2:$K$20000,DATOS!$A$2:$A$20000,G1001,DATOS!$G$2:$G$20000,CONFIG_METADATA!$B$4,DATOS!$I$2:$I$20000,"Lenguaje Musical"),"")))</f>
        <v/>
      </c>
      <c r="I1001" t="str">
        <f>IF(G1001="","",IF(G1001="[FÓRMULA MANUAL]","",IFERROR(AVERAGEIFS(DATOS!$K$2:$K$20000,DATOS!$A$2:$A$20000,G1001,DATOS!$G$2:$G$20000,CONFIG_METADATA!$B$4,DATOS!$I$2:$I$20000,"Orquesta/Banda/Conjunto"),"")))</f>
        <v/>
      </c>
      <c r="J1001" t="str">
        <f>IF(G1001="","",IF(G1001="[FÓRMULA MANUAL]","",IFERROR(AVERAGEIFS(DATOS!$K$2:$K$20000,DATOS!$A$2:$A$20000,G1001,DATOS!$G$2:$G$20000,CONFIG_METADATA!$B$4,DATOS!$I$2:$I$20000,"Conjunto"),"")))</f>
        <v/>
      </c>
      <c r="K1001" t="str">
        <f>IF(G1001="","",IF(G1001="[FÓRMULA MANUAL]","",IFERROR(SUMPRODUCT((DATOS!$A$2:$A$20000=G1001)*(DATOS!$G$2:$G$20000=CONFIG_METADATA!$B$4)*(COUNTIF(CONFIG_ASIGNATURAS!$B$7:$B$27,DATOS!$I$2:$I$20000)&gt;0)*(DATOS!$K$2:$K$20000))/SUMPRODUCT((DATOS!$A$2:$A$20000=G1001)*(DATOS!$G$2:$G$20000=CONFIG_METADATA!$B$4)*(COUNTIF(CONFIG_ASIGNATURAS!$B$7:$B$27,DATOS!$I$2:$I$20000)&gt;0)*1),"")))</f>
        <v/>
      </c>
      <c r="N1001" t="str">
        <f>IF(M1001="","",IF(M1001="[FÓRMULA MANUAL]","",IFERROR(AVERAGEIFS(DATOS!$K$2:$K$20000,DATOS!$A$2:$A$20000,M1001,DATOS!$G$2:$G$20000,CONFIG_METADATA!$B$4,DATOS!$I$2:$I$20000,"Armonía"),"")))</f>
        <v/>
      </c>
      <c r="O1001" t="str">
        <f>IF(M1001="","",IF(M1001="[FÓRMULA MANUAL]","",IFERROR(AVERAGEIFS(DATOS!$K$2:$K$20000,DATOS!$A$2:$A$20000,M1001,DATOS!$G$2:$G$20000,CONFIG_METADATA!$B$4,DATOS!$I$2:$I$20000,"Orquesta/Banda/Conjunto"),"")))</f>
        <v/>
      </c>
      <c r="P1001" t="str">
        <f>IF(M1001="","",IF(M1001="[FÓRMULA MANUAL]","",IFERROR(AVERAGEIFS(DATOS!$K$2:$K$20000,DATOS!$A$2:$A$20000,M1001,DATOS!$G$2:$G$20000,CONFIG_METADATA!$B$4,DATOS!$I$2:$I$20000,"Música de Cámara"),"")))</f>
        <v/>
      </c>
      <c r="Q1001" t="str">
        <f>IF(M1001="","",IF(M1001="[FÓRMULA MANUAL]","",IFERROR(SUMPRODUCT((DATOS!$A$2:$A$20000=M1001)*(DATOS!$G$2:$G$20000=CONFIG_METADATA!$B$4)*(COUNTIF(CONFIG_ASIGNATURAS!$B$7:$B$27,DATOS!$I$2:$I$20000)&gt;0)*(DATOS!$K$2:$K$20000))/SUMPRODUCT((DATOS!$A$2:$A$20000=M1001)*(DATOS!$G$2:$G$20000=CONFIG_METADATA!$B$4)*(COUNTIF(CONFIG_ASIGNATURAS!$B$7:$B$27,DATOS!$I$2:$I$20000)&gt;0)*1),"")))</f>
        <v/>
      </c>
      <c r="T1001" t="str">
        <f>IF(S1001="","",IF(S1001="[FÓRMULA MANUAL]","",IFERROR(AVERAGEIFS(DATOS!$K$2:$K$20000,DATOS!$A$2:$A$20000,S1001,DATOS!$G$2:$G$20000,CONFIG_METADATA!$B$4,DATOS!$I$2:$I$20000,"Armonía"),"")))</f>
        <v/>
      </c>
      <c r="U1001" t="str">
        <f>IF(S1001="","",IF(S1001="[FÓRMULA MANUAL]","",IFERROR(AVERAGEIFS(DATOS!$K$2:$K$20000,DATOS!$A$2:$A$20000,S1001,DATOS!$G$2:$G$20000,CONFIG_METADATA!$B$4,DATOS!$I$2:$I$20000,"Orquesta/Banda/Conjunto"),"")))</f>
        <v/>
      </c>
      <c r="V1001" t="str">
        <f>IF(S1001="","",IF(S1001="[FÓRMULA MANUAL]","",IFERROR(AVERAGEIFS(DATOS!$K$2:$K$20000,DATOS!$A$2:$A$20000,S1001,DATOS!$G$2:$G$20000,CONFIG_METADATA!$B$4,DATOS!$I$2:$I$20000,"Música de Cámara"),"")))</f>
        <v/>
      </c>
      <c r="W1001" t="str">
        <f>IF(S1001="","",IF(S1001="[FÓRMULA MANUAL]","",IFERROR(SUMPRODUCT((DATOS!$A$2:$A$20000=S1001)*(DATOS!$G$2:$G$20000=CONFIG_METADATA!$B$4)*(COUNTIF(CONFIG_ASIGNATURAS!$B$7:$B$27,DATOS!$I$2:$I$20000)&gt;0)*(DATOS!$K$2:$K$20000))/SUMPRODUCT((DATOS!$A$2:$A$20000=S1001)*(DATOS!$G$2:$G$20000=CONFIG_METADATA!$B$4)*(COUNTIF(CONFIG_ASIGNATURAS!$B$7:$B$27,DATOS!$I$2:$I$20000)&gt;0)*1),"")))</f>
        <v/>
      </c>
      <c r="Z1001" t="str">
        <f>IF(Y1001="","",IF(Y1001="[FÓRMULA MANUAL]","",IFERROR(AVERAGEIFS(DATOS!$K$2:$K$20000,DATOS!$A$2:$A$20000,Y1001,DATOS!$G$2:$G$20000,CONFIG_METADATA!$B$4,DATOS!$I$2:$I$20000,"Análisis"),"")))</f>
        <v/>
      </c>
      <c r="AA1001" t="str">
        <f>IF(Y1001="","",IF(Y1001="[FÓRMULA MANUAL]","",IFERROR(AVERAGEIFS(DATOS!$K$2:$K$20000,DATOS!$A$2:$A$20000,Y1001,DATOS!$G$2:$G$20000,CONFIG_METADATA!$B$4,DATOS!$I$2:$I$20000,"Orquesta/Banda/Conjunto"),"")))</f>
        <v/>
      </c>
      <c r="AB1001" t="str">
        <f>IF(Y1001="","",IF(Y1001="[FÓRMULA MANUAL]","",IFERROR(AVERAGEIFS(DATOS!$K$2:$K$20000,DATOS!$A$2:$A$20000,Y1001,DATOS!$G$2:$G$20000,CONFIG_METADATA!$B$4,DATOS!$I$2:$I$20000,"Música de Cámara"),"")))</f>
        <v/>
      </c>
      <c r="AC1001" t="str">
        <f>IF(Y1001="","",IF(Y1001="[FÓRMULA MANUAL]","",IFERROR(SUMPRODUCT((DATOS!$A$2:$A$20000=Y1001)*(DATOS!$G$2:$G$20000=CONFIG_METADATA!$B$4)*(COUNTIF(CONFIG_ASIGNATURAS!$B$7:$B$27,DATOS!$I$2:$I$20000)&gt;0)*(DATOS!$K$2:$K$20000))/SUMPRODUCT((DATOS!$A$2:$A$20000=Y1001)*(DATOS!$G$2:$G$20000=CONFIG_METADATA!$B$4)*(COUNTIF(CONFIG_ASIGNATURAS!$B$7:$B$27,DATOS!$I$2:$I$20000)&gt;0)*1),"")))</f>
        <v/>
      </c>
      <c r="AF1001" t="str">
        <f>IF(AE1001="","",IF(AE1001="[FÓRMULA MANUAL]","",IFERROR(AVERAGEIFS(DATOS!$K$2:$K$20000,DATOS!$A$2:$A$20000,AE1001,DATOS!$G$2:$G$20000,CONFIG_METADATA!$B$4,DATOS!$I$2:$I$20000,"Análisis"),"")))</f>
        <v/>
      </c>
      <c r="AG1001" t="str">
        <f>IF(AE1001="","",IF(AE1001="[FÓRMULA MANUAL]","",IFERROR(AVERAGEIFS(DATOS!$K$2:$K$20000,DATOS!$A$2:$A$20000,AE1001,DATOS!$G$2:$G$20000,CONFIG_METADATA!$B$4,DATOS!$I$2:$I$20000,"Orquesta/Banda/Conjunto"),"")))</f>
        <v/>
      </c>
      <c r="AH1001" t="str">
        <f>IF(AE1001="","",IF(AE1001="[FÓRMULA MANUAL]","",IFERROR(AVERAGEIFS(DATOS!$K$2:$K$20000,DATOS!$A$2:$A$20000,AE1001,DATOS!$G$2:$G$20000,CONFIG_METADATA!$B$4,DATOS!$I$2:$I$20000,"Música de Cámara"),"")))</f>
        <v/>
      </c>
      <c r="AI1001" t="str">
        <f>IF(AE1001="","",IF(AE1001="[FÓRMULA MANUAL]","",IFERROR(SUMPRODUCT((DATOS!$A$2:$A$20000=AE1001)*(DATOS!$G$2:$G$20000=CONFIG_METADATA!$B$4)*(COUNTIF(CONFIG_ASIGNATURAS!$B$7:$B$27,DATOS!$I$2:$I$20000)&gt;0)*(DATOS!$K$2:$K$20000))/SUMPRODUCT((DATOS!$A$2:$A$20000=AE1001)*(DATOS!$G$2:$G$20000=CONFIG_METADATA!$B$4)*(COUNTIF(CONFIG_ASIGNATURAS!$B$7:$B$27,DATOS!$I$2:$I$20000)&gt;0)*1),"")))</f>
        <v/>
      </c>
    </row>
    <row r="1002" spans="2:35" x14ac:dyDescent="0.2">
      <c r="B1002" t="str">
        <f>IF(A1002="","",IF(A1002="[FÓRMULA MANUAL]","",IFERROR(AVERAGEIFS(DATOS!$K$2:$K$20000,DATOS!$A$2:$A$20000,A1002,DATOS!$G$2:$G$20000,CONFIG_METADATA!$B$4,DATOS!$I$2:$I$20000,"Lenguaje Musical"),"")))</f>
        <v/>
      </c>
      <c r="C1002" t="str">
        <f>IF(A1002="","",IF(A1002="[FÓRMULA MANUAL]","",IFERROR(AVERAGEIFS(DATOS!$K$2:$K$20000,DATOS!$A$2:$A$20000,A1002,DATOS!$G$2:$G$20000,CONFIG_METADATA!$B$4,DATOS!$I$2:$I$20000,"Orquesta/Banda/Conjunto"),"")))</f>
        <v/>
      </c>
      <c r="D1002" t="str">
        <f>IF(A1002="","",IF(A1002="[FÓRMULA MANUAL]","",IFERROR(AVERAGEIFS(DATOS!$K$2:$K$20000,DATOS!$A$2:$A$20000,A1002,DATOS!$G$2:$G$20000,CONFIG_METADATA!$B$4,DATOS!$I$2:$I$20000,"Conjunto"),"")))</f>
        <v/>
      </c>
      <c r="E1002" t="str">
        <f>IF(A1002="","",IF(A1002="[FÓRMULA MANUAL]","",IFERROR(SUMPRODUCT((DATOS!$A$2:$A$20000=A1002)*(DATOS!$G$2:$G$20000=CONFIG_METADATA!$B$4)*(COUNTIF(CONFIG_ASIGNATURAS!$B$7:$B$27,DATOS!$I$2:$I$20000)&gt;0)*(DATOS!$K$2:$K$20000))/SUMPRODUCT((DATOS!$A$2:$A$20000=A1002)*(DATOS!$G$2:$G$20000=CONFIG_METADATA!$B$4)*(COUNTIF(CONFIG_ASIGNATURAS!$B$7:$B$27,DATOS!$I$2:$I$20000)&gt;0)*1),"")))</f>
        <v/>
      </c>
      <c r="H1002" t="str">
        <f>IF(G1002="","",IF(G1002="[FÓRMULA MANUAL]","",IFERROR(AVERAGEIFS(DATOS!$K$2:$K$20000,DATOS!$A$2:$A$20000,G1002,DATOS!$G$2:$G$20000,CONFIG_METADATA!$B$4,DATOS!$I$2:$I$20000,"Lenguaje Musical"),"")))</f>
        <v/>
      </c>
      <c r="I1002" t="str">
        <f>IF(G1002="","",IF(G1002="[FÓRMULA MANUAL]","",IFERROR(AVERAGEIFS(DATOS!$K$2:$K$20000,DATOS!$A$2:$A$20000,G1002,DATOS!$G$2:$G$20000,CONFIG_METADATA!$B$4,DATOS!$I$2:$I$20000,"Orquesta/Banda/Conjunto"),"")))</f>
        <v/>
      </c>
      <c r="J1002" t="str">
        <f>IF(G1002="","",IF(G1002="[FÓRMULA MANUAL]","",IFERROR(AVERAGEIFS(DATOS!$K$2:$K$20000,DATOS!$A$2:$A$20000,G1002,DATOS!$G$2:$G$20000,CONFIG_METADATA!$B$4,DATOS!$I$2:$I$20000,"Conjunto"),"")))</f>
        <v/>
      </c>
      <c r="K1002" t="str">
        <f>IF(G1002="","",IF(G1002="[FÓRMULA MANUAL]","",IFERROR(SUMPRODUCT((DATOS!$A$2:$A$20000=G1002)*(DATOS!$G$2:$G$20000=CONFIG_METADATA!$B$4)*(COUNTIF(CONFIG_ASIGNATURAS!$B$7:$B$27,DATOS!$I$2:$I$20000)&gt;0)*(DATOS!$K$2:$K$20000))/SUMPRODUCT((DATOS!$A$2:$A$20000=G1002)*(DATOS!$G$2:$G$20000=CONFIG_METADATA!$B$4)*(COUNTIF(CONFIG_ASIGNATURAS!$B$7:$B$27,DATOS!$I$2:$I$20000)&gt;0)*1),"")))</f>
        <v/>
      </c>
      <c r="N1002" t="str">
        <f>IF(M1002="","",IF(M1002="[FÓRMULA MANUAL]","",IFERROR(AVERAGEIFS(DATOS!$K$2:$K$20000,DATOS!$A$2:$A$20000,M1002,DATOS!$G$2:$G$20000,CONFIG_METADATA!$B$4,DATOS!$I$2:$I$20000,"Armonía"),"")))</f>
        <v/>
      </c>
      <c r="O1002" t="str">
        <f>IF(M1002="","",IF(M1002="[FÓRMULA MANUAL]","",IFERROR(AVERAGEIFS(DATOS!$K$2:$K$20000,DATOS!$A$2:$A$20000,M1002,DATOS!$G$2:$G$20000,CONFIG_METADATA!$B$4,DATOS!$I$2:$I$20000,"Orquesta/Banda/Conjunto"),"")))</f>
        <v/>
      </c>
      <c r="P1002" t="str">
        <f>IF(M1002="","",IF(M1002="[FÓRMULA MANUAL]","",IFERROR(AVERAGEIFS(DATOS!$K$2:$K$20000,DATOS!$A$2:$A$20000,M1002,DATOS!$G$2:$G$20000,CONFIG_METADATA!$B$4,DATOS!$I$2:$I$20000,"Música de Cámara"),"")))</f>
        <v/>
      </c>
      <c r="Q1002" t="str">
        <f>IF(M1002="","",IF(M1002="[FÓRMULA MANUAL]","",IFERROR(SUMPRODUCT((DATOS!$A$2:$A$20000=M1002)*(DATOS!$G$2:$G$20000=CONFIG_METADATA!$B$4)*(COUNTIF(CONFIG_ASIGNATURAS!$B$7:$B$27,DATOS!$I$2:$I$20000)&gt;0)*(DATOS!$K$2:$K$20000))/SUMPRODUCT((DATOS!$A$2:$A$20000=M1002)*(DATOS!$G$2:$G$20000=CONFIG_METADATA!$B$4)*(COUNTIF(CONFIG_ASIGNATURAS!$B$7:$B$27,DATOS!$I$2:$I$20000)&gt;0)*1),"")))</f>
        <v/>
      </c>
      <c r="T1002" t="str">
        <f>IF(S1002="","",IF(S1002="[FÓRMULA MANUAL]","",IFERROR(AVERAGEIFS(DATOS!$K$2:$K$20000,DATOS!$A$2:$A$20000,S1002,DATOS!$G$2:$G$20000,CONFIG_METADATA!$B$4,DATOS!$I$2:$I$20000,"Armonía"),"")))</f>
        <v/>
      </c>
      <c r="U1002" t="str">
        <f>IF(S1002="","",IF(S1002="[FÓRMULA MANUAL]","",IFERROR(AVERAGEIFS(DATOS!$K$2:$K$20000,DATOS!$A$2:$A$20000,S1002,DATOS!$G$2:$G$20000,CONFIG_METADATA!$B$4,DATOS!$I$2:$I$20000,"Orquesta/Banda/Conjunto"),"")))</f>
        <v/>
      </c>
      <c r="V1002" t="str">
        <f>IF(S1002="","",IF(S1002="[FÓRMULA MANUAL]","",IFERROR(AVERAGEIFS(DATOS!$K$2:$K$20000,DATOS!$A$2:$A$20000,S1002,DATOS!$G$2:$G$20000,CONFIG_METADATA!$B$4,DATOS!$I$2:$I$20000,"Música de Cámara"),"")))</f>
        <v/>
      </c>
      <c r="W1002" t="str">
        <f>IF(S1002="","",IF(S1002="[FÓRMULA MANUAL]","",IFERROR(SUMPRODUCT((DATOS!$A$2:$A$20000=S1002)*(DATOS!$G$2:$G$20000=CONFIG_METADATA!$B$4)*(COUNTIF(CONFIG_ASIGNATURAS!$B$7:$B$27,DATOS!$I$2:$I$20000)&gt;0)*(DATOS!$K$2:$K$20000))/SUMPRODUCT((DATOS!$A$2:$A$20000=S1002)*(DATOS!$G$2:$G$20000=CONFIG_METADATA!$B$4)*(COUNTIF(CONFIG_ASIGNATURAS!$B$7:$B$27,DATOS!$I$2:$I$20000)&gt;0)*1),"")))</f>
        <v/>
      </c>
      <c r="Z1002" t="str">
        <f>IF(Y1002="","",IF(Y1002="[FÓRMULA MANUAL]","",IFERROR(AVERAGEIFS(DATOS!$K$2:$K$20000,DATOS!$A$2:$A$20000,Y1002,DATOS!$G$2:$G$20000,CONFIG_METADATA!$B$4,DATOS!$I$2:$I$20000,"Análisis"),"")))</f>
        <v/>
      </c>
      <c r="AA1002" t="str">
        <f>IF(Y1002="","",IF(Y1002="[FÓRMULA MANUAL]","",IFERROR(AVERAGEIFS(DATOS!$K$2:$K$20000,DATOS!$A$2:$A$20000,Y1002,DATOS!$G$2:$G$20000,CONFIG_METADATA!$B$4,DATOS!$I$2:$I$20000,"Orquesta/Banda/Conjunto"),"")))</f>
        <v/>
      </c>
      <c r="AB1002" t="str">
        <f>IF(Y1002="","",IF(Y1002="[FÓRMULA MANUAL]","",IFERROR(AVERAGEIFS(DATOS!$K$2:$K$20000,DATOS!$A$2:$A$20000,Y1002,DATOS!$G$2:$G$20000,CONFIG_METADATA!$B$4,DATOS!$I$2:$I$20000,"Música de Cámara"),"")))</f>
        <v/>
      </c>
      <c r="AC1002" t="str">
        <f>IF(Y1002="","",IF(Y1002="[FÓRMULA MANUAL]","",IFERROR(SUMPRODUCT((DATOS!$A$2:$A$20000=Y1002)*(DATOS!$G$2:$G$20000=CONFIG_METADATA!$B$4)*(COUNTIF(CONFIG_ASIGNATURAS!$B$7:$B$27,DATOS!$I$2:$I$20000)&gt;0)*(DATOS!$K$2:$K$20000))/SUMPRODUCT((DATOS!$A$2:$A$20000=Y1002)*(DATOS!$G$2:$G$20000=CONFIG_METADATA!$B$4)*(COUNTIF(CONFIG_ASIGNATURAS!$B$7:$B$27,DATOS!$I$2:$I$20000)&gt;0)*1),"")))</f>
        <v/>
      </c>
      <c r="AF1002" t="str">
        <f>IF(AE1002="","",IF(AE1002="[FÓRMULA MANUAL]","",IFERROR(AVERAGEIFS(DATOS!$K$2:$K$20000,DATOS!$A$2:$A$20000,AE1002,DATOS!$G$2:$G$20000,CONFIG_METADATA!$B$4,DATOS!$I$2:$I$20000,"Análisis"),"")))</f>
        <v/>
      </c>
      <c r="AG1002" t="str">
        <f>IF(AE1002="","",IF(AE1002="[FÓRMULA MANUAL]","",IFERROR(AVERAGEIFS(DATOS!$K$2:$K$20000,DATOS!$A$2:$A$20000,AE1002,DATOS!$G$2:$G$20000,CONFIG_METADATA!$B$4,DATOS!$I$2:$I$20000,"Orquesta/Banda/Conjunto"),"")))</f>
        <v/>
      </c>
      <c r="AH1002" t="str">
        <f>IF(AE1002="","",IF(AE1002="[FÓRMULA MANUAL]","",IFERROR(AVERAGEIFS(DATOS!$K$2:$K$20000,DATOS!$A$2:$A$20000,AE1002,DATOS!$G$2:$G$20000,CONFIG_METADATA!$B$4,DATOS!$I$2:$I$20000,"Música de Cámara"),"")))</f>
        <v/>
      </c>
      <c r="AI1002" t="str">
        <f>IF(AE1002="","",IF(AE1002="[FÓRMULA MANUAL]","",IFERROR(SUMPRODUCT((DATOS!$A$2:$A$20000=AE1002)*(DATOS!$G$2:$G$20000=CONFIG_METADATA!$B$4)*(COUNTIF(CONFIG_ASIGNATURAS!$B$7:$B$27,DATOS!$I$2:$I$20000)&gt;0)*(DATOS!$K$2:$K$20000))/SUMPRODUCT((DATOS!$A$2:$A$20000=AE1002)*(DATOS!$G$2:$G$20000=CONFIG_METADATA!$B$4)*(COUNTIF(CONFIG_ASIGNATURAS!$B$7:$B$27,DATOS!$I$2:$I$20000)&gt;0)*1),"")))</f>
        <v/>
      </c>
    </row>
    <row r="1003" spans="2:35" x14ac:dyDescent="0.2">
      <c r="B1003" t="str">
        <f>IF(A1003="","",IF(A1003="[FÓRMULA MANUAL]","",IFERROR(AVERAGEIFS(DATOS!$K$2:$K$20000,DATOS!$A$2:$A$20000,A1003,DATOS!$G$2:$G$20000,CONFIG_METADATA!$B$4,DATOS!$I$2:$I$20000,"Lenguaje Musical"),"")))</f>
        <v/>
      </c>
      <c r="C1003" t="str">
        <f>IF(A1003="","",IF(A1003="[FÓRMULA MANUAL]","",IFERROR(AVERAGEIFS(DATOS!$K$2:$K$20000,DATOS!$A$2:$A$20000,A1003,DATOS!$G$2:$G$20000,CONFIG_METADATA!$B$4,DATOS!$I$2:$I$20000,"Orquesta/Banda/Conjunto"),"")))</f>
        <v/>
      </c>
      <c r="D1003" t="str">
        <f>IF(A1003="","",IF(A1003="[FÓRMULA MANUAL]","",IFERROR(AVERAGEIFS(DATOS!$K$2:$K$20000,DATOS!$A$2:$A$20000,A1003,DATOS!$G$2:$G$20000,CONFIG_METADATA!$B$4,DATOS!$I$2:$I$20000,"Conjunto"),"")))</f>
        <v/>
      </c>
      <c r="E1003" t="str">
        <f>IF(A1003="","",IF(A1003="[FÓRMULA MANUAL]","",IFERROR(SUMPRODUCT((DATOS!$A$2:$A$20000=A1003)*(DATOS!$G$2:$G$20000=CONFIG_METADATA!$B$4)*(COUNTIF(CONFIG_ASIGNATURAS!$B$7:$B$27,DATOS!$I$2:$I$20000)&gt;0)*(DATOS!$K$2:$K$20000))/SUMPRODUCT((DATOS!$A$2:$A$20000=A1003)*(DATOS!$G$2:$G$20000=CONFIG_METADATA!$B$4)*(COUNTIF(CONFIG_ASIGNATURAS!$B$7:$B$27,DATOS!$I$2:$I$20000)&gt;0)*1),"")))</f>
        <v/>
      </c>
      <c r="H1003" t="str">
        <f>IF(G1003="","",IF(G1003="[FÓRMULA MANUAL]","",IFERROR(AVERAGEIFS(DATOS!$K$2:$K$20000,DATOS!$A$2:$A$20000,G1003,DATOS!$G$2:$G$20000,CONFIG_METADATA!$B$4,DATOS!$I$2:$I$20000,"Lenguaje Musical"),"")))</f>
        <v/>
      </c>
      <c r="I1003" t="str">
        <f>IF(G1003="","",IF(G1003="[FÓRMULA MANUAL]","",IFERROR(AVERAGEIFS(DATOS!$K$2:$K$20000,DATOS!$A$2:$A$20000,G1003,DATOS!$G$2:$G$20000,CONFIG_METADATA!$B$4,DATOS!$I$2:$I$20000,"Orquesta/Banda/Conjunto"),"")))</f>
        <v/>
      </c>
      <c r="J1003" t="str">
        <f>IF(G1003="","",IF(G1003="[FÓRMULA MANUAL]","",IFERROR(AVERAGEIFS(DATOS!$K$2:$K$20000,DATOS!$A$2:$A$20000,G1003,DATOS!$G$2:$G$20000,CONFIG_METADATA!$B$4,DATOS!$I$2:$I$20000,"Conjunto"),"")))</f>
        <v/>
      </c>
      <c r="K1003" t="str">
        <f>IF(G1003="","",IF(G1003="[FÓRMULA MANUAL]","",IFERROR(SUMPRODUCT((DATOS!$A$2:$A$20000=G1003)*(DATOS!$G$2:$G$20000=CONFIG_METADATA!$B$4)*(COUNTIF(CONFIG_ASIGNATURAS!$B$7:$B$27,DATOS!$I$2:$I$20000)&gt;0)*(DATOS!$K$2:$K$20000))/SUMPRODUCT((DATOS!$A$2:$A$20000=G1003)*(DATOS!$G$2:$G$20000=CONFIG_METADATA!$B$4)*(COUNTIF(CONFIG_ASIGNATURAS!$B$7:$B$27,DATOS!$I$2:$I$20000)&gt;0)*1),"")))</f>
        <v/>
      </c>
      <c r="N1003" t="str">
        <f>IF(M1003="","",IF(M1003="[FÓRMULA MANUAL]","",IFERROR(AVERAGEIFS(DATOS!$K$2:$K$20000,DATOS!$A$2:$A$20000,M1003,DATOS!$G$2:$G$20000,CONFIG_METADATA!$B$4,DATOS!$I$2:$I$20000,"Armonía"),"")))</f>
        <v/>
      </c>
      <c r="O1003" t="str">
        <f>IF(M1003="","",IF(M1003="[FÓRMULA MANUAL]","",IFERROR(AVERAGEIFS(DATOS!$K$2:$K$20000,DATOS!$A$2:$A$20000,M1003,DATOS!$G$2:$G$20000,CONFIG_METADATA!$B$4,DATOS!$I$2:$I$20000,"Orquesta/Banda/Conjunto"),"")))</f>
        <v/>
      </c>
      <c r="P1003" t="str">
        <f>IF(M1003="","",IF(M1003="[FÓRMULA MANUAL]","",IFERROR(AVERAGEIFS(DATOS!$K$2:$K$20000,DATOS!$A$2:$A$20000,M1003,DATOS!$G$2:$G$20000,CONFIG_METADATA!$B$4,DATOS!$I$2:$I$20000,"Música de Cámara"),"")))</f>
        <v/>
      </c>
      <c r="Q1003" t="str">
        <f>IF(M1003="","",IF(M1003="[FÓRMULA MANUAL]","",IFERROR(SUMPRODUCT((DATOS!$A$2:$A$20000=M1003)*(DATOS!$G$2:$G$20000=CONFIG_METADATA!$B$4)*(COUNTIF(CONFIG_ASIGNATURAS!$B$7:$B$27,DATOS!$I$2:$I$20000)&gt;0)*(DATOS!$K$2:$K$20000))/SUMPRODUCT((DATOS!$A$2:$A$20000=M1003)*(DATOS!$G$2:$G$20000=CONFIG_METADATA!$B$4)*(COUNTIF(CONFIG_ASIGNATURAS!$B$7:$B$27,DATOS!$I$2:$I$20000)&gt;0)*1),"")))</f>
        <v/>
      </c>
      <c r="T1003" t="str">
        <f>IF(S1003="","",IF(S1003="[FÓRMULA MANUAL]","",IFERROR(AVERAGEIFS(DATOS!$K$2:$K$20000,DATOS!$A$2:$A$20000,S1003,DATOS!$G$2:$G$20000,CONFIG_METADATA!$B$4,DATOS!$I$2:$I$20000,"Armonía"),"")))</f>
        <v/>
      </c>
      <c r="U1003" t="str">
        <f>IF(S1003="","",IF(S1003="[FÓRMULA MANUAL]","",IFERROR(AVERAGEIFS(DATOS!$K$2:$K$20000,DATOS!$A$2:$A$20000,S1003,DATOS!$G$2:$G$20000,CONFIG_METADATA!$B$4,DATOS!$I$2:$I$20000,"Orquesta/Banda/Conjunto"),"")))</f>
        <v/>
      </c>
      <c r="V1003" t="str">
        <f>IF(S1003="","",IF(S1003="[FÓRMULA MANUAL]","",IFERROR(AVERAGEIFS(DATOS!$K$2:$K$20000,DATOS!$A$2:$A$20000,S1003,DATOS!$G$2:$G$20000,CONFIG_METADATA!$B$4,DATOS!$I$2:$I$20000,"Música de Cámara"),"")))</f>
        <v/>
      </c>
      <c r="W1003" t="str">
        <f>IF(S1003="","",IF(S1003="[FÓRMULA MANUAL]","",IFERROR(SUMPRODUCT((DATOS!$A$2:$A$20000=S1003)*(DATOS!$G$2:$G$20000=CONFIG_METADATA!$B$4)*(COUNTIF(CONFIG_ASIGNATURAS!$B$7:$B$27,DATOS!$I$2:$I$20000)&gt;0)*(DATOS!$K$2:$K$20000))/SUMPRODUCT((DATOS!$A$2:$A$20000=S1003)*(DATOS!$G$2:$G$20000=CONFIG_METADATA!$B$4)*(COUNTIF(CONFIG_ASIGNATURAS!$B$7:$B$27,DATOS!$I$2:$I$20000)&gt;0)*1),"")))</f>
        <v/>
      </c>
      <c r="Z1003" t="str">
        <f>IF(Y1003="","",IF(Y1003="[FÓRMULA MANUAL]","",IFERROR(AVERAGEIFS(DATOS!$K$2:$K$20000,DATOS!$A$2:$A$20000,Y1003,DATOS!$G$2:$G$20000,CONFIG_METADATA!$B$4,DATOS!$I$2:$I$20000,"Análisis"),"")))</f>
        <v/>
      </c>
      <c r="AA1003" t="str">
        <f>IF(Y1003="","",IF(Y1003="[FÓRMULA MANUAL]","",IFERROR(AVERAGEIFS(DATOS!$K$2:$K$20000,DATOS!$A$2:$A$20000,Y1003,DATOS!$G$2:$G$20000,CONFIG_METADATA!$B$4,DATOS!$I$2:$I$20000,"Orquesta/Banda/Conjunto"),"")))</f>
        <v/>
      </c>
      <c r="AB1003" t="str">
        <f>IF(Y1003="","",IF(Y1003="[FÓRMULA MANUAL]","",IFERROR(AVERAGEIFS(DATOS!$K$2:$K$20000,DATOS!$A$2:$A$20000,Y1003,DATOS!$G$2:$G$20000,CONFIG_METADATA!$B$4,DATOS!$I$2:$I$20000,"Música de Cámara"),"")))</f>
        <v/>
      </c>
      <c r="AC1003" t="str">
        <f>IF(Y1003="","",IF(Y1003="[FÓRMULA MANUAL]","",IFERROR(SUMPRODUCT((DATOS!$A$2:$A$20000=Y1003)*(DATOS!$G$2:$G$20000=CONFIG_METADATA!$B$4)*(COUNTIF(CONFIG_ASIGNATURAS!$B$7:$B$27,DATOS!$I$2:$I$20000)&gt;0)*(DATOS!$K$2:$K$20000))/SUMPRODUCT((DATOS!$A$2:$A$20000=Y1003)*(DATOS!$G$2:$G$20000=CONFIG_METADATA!$B$4)*(COUNTIF(CONFIG_ASIGNATURAS!$B$7:$B$27,DATOS!$I$2:$I$20000)&gt;0)*1),"")))</f>
        <v/>
      </c>
      <c r="AF1003" t="str">
        <f>IF(AE1003="","",IF(AE1003="[FÓRMULA MANUAL]","",IFERROR(AVERAGEIFS(DATOS!$K$2:$K$20000,DATOS!$A$2:$A$20000,AE1003,DATOS!$G$2:$G$20000,CONFIG_METADATA!$B$4,DATOS!$I$2:$I$20000,"Análisis"),"")))</f>
        <v/>
      </c>
      <c r="AG1003" t="str">
        <f>IF(AE1003="","",IF(AE1003="[FÓRMULA MANUAL]","",IFERROR(AVERAGEIFS(DATOS!$K$2:$K$20000,DATOS!$A$2:$A$20000,AE1003,DATOS!$G$2:$G$20000,CONFIG_METADATA!$B$4,DATOS!$I$2:$I$20000,"Orquesta/Banda/Conjunto"),"")))</f>
        <v/>
      </c>
      <c r="AH1003" t="str">
        <f>IF(AE1003="","",IF(AE1003="[FÓRMULA MANUAL]","",IFERROR(AVERAGEIFS(DATOS!$K$2:$K$20000,DATOS!$A$2:$A$20000,AE1003,DATOS!$G$2:$G$20000,CONFIG_METADATA!$B$4,DATOS!$I$2:$I$20000,"Música de Cámara"),"")))</f>
        <v/>
      </c>
      <c r="AI1003" t="str">
        <f>IF(AE1003="","",IF(AE1003="[FÓRMULA MANUAL]","",IFERROR(SUMPRODUCT((DATOS!$A$2:$A$20000=AE1003)*(DATOS!$G$2:$G$20000=CONFIG_METADATA!$B$4)*(COUNTIF(CONFIG_ASIGNATURAS!$B$7:$B$27,DATOS!$I$2:$I$20000)&gt;0)*(DATOS!$K$2:$K$20000))/SUMPRODUCT((DATOS!$A$2:$A$20000=AE1003)*(DATOS!$G$2:$G$20000=CONFIG_METADATA!$B$4)*(COUNTIF(CONFIG_ASIGNATURAS!$B$7:$B$27,DATOS!$I$2:$I$20000)&gt;0)*1),"")))</f>
        <v/>
      </c>
    </row>
    <row r="1004" spans="2:35" x14ac:dyDescent="0.2">
      <c r="B1004" t="str">
        <f>IF(A1004="","",IF(A1004="[FÓRMULA MANUAL]","",IFERROR(AVERAGEIFS(DATOS!$K$2:$K$20000,DATOS!$A$2:$A$20000,A1004,DATOS!$G$2:$G$20000,CONFIG_METADATA!$B$4,DATOS!$I$2:$I$20000,"Lenguaje Musical"),"")))</f>
        <v/>
      </c>
      <c r="C1004" t="str">
        <f>IF(A1004="","",IF(A1004="[FÓRMULA MANUAL]","",IFERROR(AVERAGEIFS(DATOS!$K$2:$K$20000,DATOS!$A$2:$A$20000,A1004,DATOS!$G$2:$G$20000,CONFIG_METADATA!$B$4,DATOS!$I$2:$I$20000,"Orquesta/Banda/Conjunto"),"")))</f>
        <v/>
      </c>
      <c r="D1004" t="str">
        <f>IF(A1004="","",IF(A1004="[FÓRMULA MANUAL]","",IFERROR(AVERAGEIFS(DATOS!$K$2:$K$20000,DATOS!$A$2:$A$20000,A1004,DATOS!$G$2:$G$20000,CONFIG_METADATA!$B$4,DATOS!$I$2:$I$20000,"Conjunto"),"")))</f>
        <v/>
      </c>
      <c r="E1004" t="str">
        <f>IF(A1004="","",IF(A1004="[FÓRMULA MANUAL]","",IFERROR(SUMPRODUCT((DATOS!$A$2:$A$20000=A1004)*(DATOS!$G$2:$G$20000=CONFIG_METADATA!$B$4)*(COUNTIF(CONFIG_ASIGNATURAS!$B$7:$B$27,DATOS!$I$2:$I$20000)&gt;0)*(DATOS!$K$2:$K$20000))/SUMPRODUCT((DATOS!$A$2:$A$20000=A1004)*(DATOS!$G$2:$G$20000=CONFIG_METADATA!$B$4)*(COUNTIF(CONFIG_ASIGNATURAS!$B$7:$B$27,DATOS!$I$2:$I$20000)&gt;0)*1),"")))</f>
        <v/>
      </c>
      <c r="H1004" t="str">
        <f>IF(G1004="","",IF(G1004="[FÓRMULA MANUAL]","",IFERROR(AVERAGEIFS(DATOS!$K$2:$K$20000,DATOS!$A$2:$A$20000,G1004,DATOS!$G$2:$G$20000,CONFIG_METADATA!$B$4,DATOS!$I$2:$I$20000,"Lenguaje Musical"),"")))</f>
        <v/>
      </c>
      <c r="I1004" t="str">
        <f>IF(G1004="","",IF(G1004="[FÓRMULA MANUAL]","",IFERROR(AVERAGEIFS(DATOS!$K$2:$K$20000,DATOS!$A$2:$A$20000,G1004,DATOS!$G$2:$G$20000,CONFIG_METADATA!$B$4,DATOS!$I$2:$I$20000,"Orquesta/Banda/Conjunto"),"")))</f>
        <v/>
      </c>
      <c r="J1004" t="str">
        <f>IF(G1004="","",IF(G1004="[FÓRMULA MANUAL]","",IFERROR(AVERAGEIFS(DATOS!$K$2:$K$20000,DATOS!$A$2:$A$20000,G1004,DATOS!$G$2:$G$20000,CONFIG_METADATA!$B$4,DATOS!$I$2:$I$20000,"Conjunto"),"")))</f>
        <v/>
      </c>
      <c r="K1004" t="str">
        <f>IF(G1004="","",IF(G1004="[FÓRMULA MANUAL]","",IFERROR(SUMPRODUCT((DATOS!$A$2:$A$20000=G1004)*(DATOS!$G$2:$G$20000=CONFIG_METADATA!$B$4)*(COUNTIF(CONFIG_ASIGNATURAS!$B$7:$B$27,DATOS!$I$2:$I$20000)&gt;0)*(DATOS!$K$2:$K$20000))/SUMPRODUCT((DATOS!$A$2:$A$20000=G1004)*(DATOS!$G$2:$G$20000=CONFIG_METADATA!$B$4)*(COUNTIF(CONFIG_ASIGNATURAS!$B$7:$B$27,DATOS!$I$2:$I$20000)&gt;0)*1),"")))</f>
        <v/>
      </c>
      <c r="N1004" t="str">
        <f>IF(M1004="","",IF(M1004="[FÓRMULA MANUAL]","",IFERROR(AVERAGEIFS(DATOS!$K$2:$K$20000,DATOS!$A$2:$A$20000,M1004,DATOS!$G$2:$G$20000,CONFIG_METADATA!$B$4,DATOS!$I$2:$I$20000,"Armonía"),"")))</f>
        <v/>
      </c>
      <c r="O1004" t="str">
        <f>IF(M1004="","",IF(M1004="[FÓRMULA MANUAL]","",IFERROR(AVERAGEIFS(DATOS!$K$2:$K$20000,DATOS!$A$2:$A$20000,M1004,DATOS!$G$2:$G$20000,CONFIG_METADATA!$B$4,DATOS!$I$2:$I$20000,"Orquesta/Banda/Conjunto"),"")))</f>
        <v/>
      </c>
      <c r="P1004" t="str">
        <f>IF(M1004="","",IF(M1004="[FÓRMULA MANUAL]","",IFERROR(AVERAGEIFS(DATOS!$K$2:$K$20000,DATOS!$A$2:$A$20000,M1004,DATOS!$G$2:$G$20000,CONFIG_METADATA!$B$4,DATOS!$I$2:$I$20000,"Música de Cámara"),"")))</f>
        <v/>
      </c>
      <c r="Q1004" t="str">
        <f>IF(M1004="","",IF(M1004="[FÓRMULA MANUAL]","",IFERROR(SUMPRODUCT((DATOS!$A$2:$A$20000=M1004)*(DATOS!$G$2:$G$20000=CONFIG_METADATA!$B$4)*(COUNTIF(CONFIG_ASIGNATURAS!$B$7:$B$27,DATOS!$I$2:$I$20000)&gt;0)*(DATOS!$K$2:$K$20000))/SUMPRODUCT((DATOS!$A$2:$A$20000=M1004)*(DATOS!$G$2:$G$20000=CONFIG_METADATA!$B$4)*(COUNTIF(CONFIG_ASIGNATURAS!$B$7:$B$27,DATOS!$I$2:$I$20000)&gt;0)*1),"")))</f>
        <v/>
      </c>
      <c r="T1004" t="str">
        <f>IF(S1004="","",IF(S1004="[FÓRMULA MANUAL]","",IFERROR(AVERAGEIFS(DATOS!$K$2:$K$20000,DATOS!$A$2:$A$20000,S1004,DATOS!$G$2:$G$20000,CONFIG_METADATA!$B$4,DATOS!$I$2:$I$20000,"Armonía"),"")))</f>
        <v/>
      </c>
      <c r="U1004" t="str">
        <f>IF(S1004="","",IF(S1004="[FÓRMULA MANUAL]","",IFERROR(AVERAGEIFS(DATOS!$K$2:$K$20000,DATOS!$A$2:$A$20000,S1004,DATOS!$G$2:$G$20000,CONFIG_METADATA!$B$4,DATOS!$I$2:$I$20000,"Orquesta/Banda/Conjunto"),"")))</f>
        <v/>
      </c>
      <c r="V1004" t="str">
        <f>IF(S1004="","",IF(S1004="[FÓRMULA MANUAL]","",IFERROR(AVERAGEIFS(DATOS!$K$2:$K$20000,DATOS!$A$2:$A$20000,S1004,DATOS!$G$2:$G$20000,CONFIG_METADATA!$B$4,DATOS!$I$2:$I$20000,"Música de Cámara"),"")))</f>
        <v/>
      </c>
      <c r="W1004" t="str">
        <f>IF(S1004="","",IF(S1004="[FÓRMULA MANUAL]","",IFERROR(SUMPRODUCT((DATOS!$A$2:$A$20000=S1004)*(DATOS!$G$2:$G$20000=CONFIG_METADATA!$B$4)*(COUNTIF(CONFIG_ASIGNATURAS!$B$7:$B$27,DATOS!$I$2:$I$20000)&gt;0)*(DATOS!$K$2:$K$20000))/SUMPRODUCT((DATOS!$A$2:$A$20000=S1004)*(DATOS!$G$2:$G$20000=CONFIG_METADATA!$B$4)*(COUNTIF(CONFIG_ASIGNATURAS!$B$7:$B$27,DATOS!$I$2:$I$20000)&gt;0)*1),"")))</f>
        <v/>
      </c>
      <c r="Z1004" t="str">
        <f>IF(Y1004="","",IF(Y1004="[FÓRMULA MANUAL]","",IFERROR(AVERAGEIFS(DATOS!$K$2:$K$20000,DATOS!$A$2:$A$20000,Y1004,DATOS!$G$2:$G$20000,CONFIG_METADATA!$B$4,DATOS!$I$2:$I$20000,"Análisis"),"")))</f>
        <v/>
      </c>
      <c r="AA1004" t="str">
        <f>IF(Y1004="","",IF(Y1004="[FÓRMULA MANUAL]","",IFERROR(AVERAGEIFS(DATOS!$K$2:$K$20000,DATOS!$A$2:$A$20000,Y1004,DATOS!$G$2:$G$20000,CONFIG_METADATA!$B$4,DATOS!$I$2:$I$20000,"Orquesta/Banda/Conjunto"),"")))</f>
        <v/>
      </c>
      <c r="AB1004" t="str">
        <f>IF(Y1004="","",IF(Y1004="[FÓRMULA MANUAL]","",IFERROR(AVERAGEIFS(DATOS!$K$2:$K$20000,DATOS!$A$2:$A$20000,Y1004,DATOS!$G$2:$G$20000,CONFIG_METADATA!$B$4,DATOS!$I$2:$I$20000,"Música de Cámara"),"")))</f>
        <v/>
      </c>
      <c r="AC1004" t="str">
        <f>IF(Y1004="","",IF(Y1004="[FÓRMULA MANUAL]","",IFERROR(SUMPRODUCT((DATOS!$A$2:$A$20000=Y1004)*(DATOS!$G$2:$G$20000=CONFIG_METADATA!$B$4)*(COUNTIF(CONFIG_ASIGNATURAS!$B$7:$B$27,DATOS!$I$2:$I$20000)&gt;0)*(DATOS!$K$2:$K$20000))/SUMPRODUCT((DATOS!$A$2:$A$20000=Y1004)*(DATOS!$G$2:$G$20000=CONFIG_METADATA!$B$4)*(COUNTIF(CONFIG_ASIGNATURAS!$B$7:$B$27,DATOS!$I$2:$I$20000)&gt;0)*1),"")))</f>
        <v/>
      </c>
      <c r="AF1004" t="str">
        <f>IF(AE1004="","",IF(AE1004="[FÓRMULA MANUAL]","",IFERROR(AVERAGEIFS(DATOS!$K$2:$K$20000,DATOS!$A$2:$A$20000,AE1004,DATOS!$G$2:$G$20000,CONFIG_METADATA!$B$4,DATOS!$I$2:$I$20000,"Análisis"),"")))</f>
        <v/>
      </c>
      <c r="AG1004" t="str">
        <f>IF(AE1004="","",IF(AE1004="[FÓRMULA MANUAL]","",IFERROR(AVERAGEIFS(DATOS!$K$2:$K$20000,DATOS!$A$2:$A$20000,AE1004,DATOS!$G$2:$G$20000,CONFIG_METADATA!$B$4,DATOS!$I$2:$I$20000,"Orquesta/Banda/Conjunto"),"")))</f>
        <v/>
      </c>
      <c r="AH1004" t="str">
        <f>IF(AE1004="","",IF(AE1004="[FÓRMULA MANUAL]","",IFERROR(AVERAGEIFS(DATOS!$K$2:$K$20000,DATOS!$A$2:$A$20000,AE1004,DATOS!$G$2:$G$20000,CONFIG_METADATA!$B$4,DATOS!$I$2:$I$20000,"Música de Cámara"),"")))</f>
        <v/>
      </c>
      <c r="AI1004" t="str">
        <f>IF(AE1004="","",IF(AE1004="[FÓRMULA MANUAL]","",IFERROR(SUMPRODUCT((DATOS!$A$2:$A$20000=AE1004)*(DATOS!$G$2:$G$20000=CONFIG_METADATA!$B$4)*(COUNTIF(CONFIG_ASIGNATURAS!$B$7:$B$27,DATOS!$I$2:$I$20000)&gt;0)*(DATOS!$K$2:$K$20000))/SUMPRODUCT((DATOS!$A$2:$A$20000=AE1004)*(DATOS!$G$2:$G$20000=CONFIG_METADATA!$B$4)*(COUNTIF(CONFIG_ASIGNATURAS!$B$7:$B$27,DATOS!$I$2:$I$20000)&gt;0)*1),"")))</f>
        <v/>
      </c>
    </row>
    <row r="1005" spans="2:35" x14ac:dyDescent="0.2">
      <c r="B1005" t="str">
        <f>IF(A1005="","",IF(A1005="[FÓRMULA MANUAL]","",IFERROR(AVERAGEIFS(DATOS!$K$2:$K$20000,DATOS!$A$2:$A$20000,A1005,DATOS!$G$2:$G$20000,CONFIG_METADATA!$B$4,DATOS!$I$2:$I$20000,"Lenguaje Musical"),"")))</f>
        <v/>
      </c>
      <c r="C1005" t="str">
        <f>IF(A1005="","",IF(A1005="[FÓRMULA MANUAL]","",IFERROR(AVERAGEIFS(DATOS!$K$2:$K$20000,DATOS!$A$2:$A$20000,A1005,DATOS!$G$2:$G$20000,CONFIG_METADATA!$B$4,DATOS!$I$2:$I$20000,"Orquesta/Banda/Conjunto"),"")))</f>
        <v/>
      </c>
      <c r="D1005" t="str">
        <f>IF(A1005="","",IF(A1005="[FÓRMULA MANUAL]","",IFERROR(AVERAGEIFS(DATOS!$K$2:$K$20000,DATOS!$A$2:$A$20000,A1005,DATOS!$G$2:$G$20000,CONFIG_METADATA!$B$4,DATOS!$I$2:$I$20000,"Conjunto"),"")))</f>
        <v/>
      </c>
      <c r="E1005" t="str">
        <f>IF(A1005="","",IF(A1005="[FÓRMULA MANUAL]","",IFERROR(SUMPRODUCT((DATOS!$A$2:$A$20000=A1005)*(DATOS!$G$2:$G$20000=CONFIG_METADATA!$B$4)*(COUNTIF(CONFIG_ASIGNATURAS!$B$7:$B$27,DATOS!$I$2:$I$20000)&gt;0)*(DATOS!$K$2:$K$20000))/SUMPRODUCT((DATOS!$A$2:$A$20000=A1005)*(DATOS!$G$2:$G$20000=CONFIG_METADATA!$B$4)*(COUNTIF(CONFIG_ASIGNATURAS!$B$7:$B$27,DATOS!$I$2:$I$20000)&gt;0)*1),"")))</f>
        <v/>
      </c>
      <c r="H1005" t="str">
        <f>IF(G1005="","",IF(G1005="[FÓRMULA MANUAL]","",IFERROR(AVERAGEIFS(DATOS!$K$2:$K$20000,DATOS!$A$2:$A$20000,G1005,DATOS!$G$2:$G$20000,CONFIG_METADATA!$B$4,DATOS!$I$2:$I$20000,"Lenguaje Musical"),"")))</f>
        <v/>
      </c>
      <c r="I1005" t="str">
        <f>IF(G1005="","",IF(G1005="[FÓRMULA MANUAL]","",IFERROR(AVERAGEIFS(DATOS!$K$2:$K$20000,DATOS!$A$2:$A$20000,G1005,DATOS!$G$2:$G$20000,CONFIG_METADATA!$B$4,DATOS!$I$2:$I$20000,"Orquesta/Banda/Conjunto"),"")))</f>
        <v/>
      </c>
      <c r="J1005" t="str">
        <f>IF(G1005="","",IF(G1005="[FÓRMULA MANUAL]","",IFERROR(AVERAGEIFS(DATOS!$K$2:$K$20000,DATOS!$A$2:$A$20000,G1005,DATOS!$G$2:$G$20000,CONFIG_METADATA!$B$4,DATOS!$I$2:$I$20000,"Conjunto"),"")))</f>
        <v/>
      </c>
      <c r="K1005" t="str">
        <f>IF(G1005="","",IF(G1005="[FÓRMULA MANUAL]","",IFERROR(SUMPRODUCT((DATOS!$A$2:$A$20000=G1005)*(DATOS!$G$2:$G$20000=CONFIG_METADATA!$B$4)*(COUNTIF(CONFIG_ASIGNATURAS!$B$7:$B$27,DATOS!$I$2:$I$20000)&gt;0)*(DATOS!$K$2:$K$20000))/SUMPRODUCT((DATOS!$A$2:$A$20000=G1005)*(DATOS!$G$2:$G$20000=CONFIG_METADATA!$B$4)*(COUNTIF(CONFIG_ASIGNATURAS!$B$7:$B$27,DATOS!$I$2:$I$20000)&gt;0)*1),"")))</f>
        <v/>
      </c>
      <c r="N1005" t="str">
        <f>IF(M1005="","",IF(M1005="[FÓRMULA MANUAL]","",IFERROR(AVERAGEIFS(DATOS!$K$2:$K$20000,DATOS!$A$2:$A$20000,M1005,DATOS!$G$2:$G$20000,CONFIG_METADATA!$B$4,DATOS!$I$2:$I$20000,"Armonía"),"")))</f>
        <v/>
      </c>
      <c r="O1005" t="str">
        <f>IF(M1005="","",IF(M1005="[FÓRMULA MANUAL]","",IFERROR(AVERAGEIFS(DATOS!$K$2:$K$20000,DATOS!$A$2:$A$20000,M1005,DATOS!$G$2:$G$20000,CONFIG_METADATA!$B$4,DATOS!$I$2:$I$20000,"Orquesta/Banda/Conjunto"),"")))</f>
        <v/>
      </c>
      <c r="P1005" t="str">
        <f>IF(M1005="","",IF(M1005="[FÓRMULA MANUAL]","",IFERROR(AVERAGEIFS(DATOS!$K$2:$K$20000,DATOS!$A$2:$A$20000,M1005,DATOS!$G$2:$G$20000,CONFIG_METADATA!$B$4,DATOS!$I$2:$I$20000,"Música de Cámara"),"")))</f>
        <v/>
      </c>
      <c r="Q1005" t="str">
        <f>IF(M1005="","",IF(M1005="[FÓRMULA MANUAL]","",IFERROR(SUMPRODUCT((DATOS!$A$2:$A$20000=M1005)*(DATOS!$G$2:$G$20000=CONFIG_METADATA!$B$4)*(COUNTIF(CONFIG_ASIGNATURAS!$B$7:$B$27,DATOS!$I$2:$I$20000)&gt;0)*(DATOS!$K$2:$K$20000))/SUMPRODUCT((DATOS!$A$2:$A$20000=M1005)*(DATOS!$G$2:$G$20000=CONFIG_METADATA!$B$4)*(COUNTIF(CONFIG_ASIGNATURAS!$B$7:$B$27,DATOS!$I$2:$I$20000)&gt;0)*1),"")))</f>
        <v/>
      </c>
      <c r="T1005" t="str">
        <f>IF(S1005="","",IF(S1005="[FÓRMULA MANUAL]","",IFERROR(AVERAGEIFS(DATOS!$K$2:$K$20000,DATOS!$A$2:$A$20000,S1005,DATOS!$G$2:$G$20000,CONFIG_METADATA!$B$4,DATOS!$I$2:$I$20000,"Armonía"),"")))</f>
        <v/>
      </c>
      <c r="U1005" t="str">
        <f>IF(S1005="","",IF(S1005="[FÓRMULA MANUAL]","",IFERROR(AVERAGEIFS(DATOS!$K$2:$K$20000,DATOS!$A$2:$A$20000,S1005,DATOS!$G$2:$G$20000,CONFIG_METADATA!$B$4,DATOS!$I$2:$I$20000,"Orquesta/Banda/Conjunto"),"")))</f>
        <v/>
      </c>
      <c r="V1005" t="str">
        <f>IF(S1005="","",IF(S1005="[FÓRMULA MANUAL]","",IFERROR(AVERAGEIFS(DATOS!$K$2:$K$20000,DATOS!$A$2:$A$20000,S1005,DATOS!$G$2:$G$20000,CONFIG_METADATA!$B$4,DATOS!$I$2:$I$20000,"Música de Cámara"),"")))</f>
        <v/>
      </c>
      <c r="W1005" t="str">
        <f>IF(S1005="","",IF(S1005="[FÓRMULA MANUAL]","",IFERROR(SUMPRODUCT((DATOS!$A$2:$A$20000=S1005)*(DATOS!$G$2:$G$20000=CONFIG_METADATA!$B$4)*(COUNTIF(CONFIG_ASIGNATURAS!$B$7:$B$27,DATOS!$I$2:$I$20000)&gt;0)*(DATOS!$K$2:$K$20000))/SUMPRODUCT((DATOS!$A$2:$A$20000=S1005)*(DATOS!$G$2:$G$20000=CONFIG_METADATA!$B$4)*(COUNTIF(CONFIG_ASIGNATURAS!$B$7:$B$27,DATOS!$I$2:$I$20000)&gt;0)*1),"")))</f>
        <v/>
      </c>
      <c r="Z1005" t="str">
        <f>IF(Y1005="","",IF(Y1005="[FÓRMULA MANUAL]","",IFERROR(AVERAGEIFS(DATOS!$K$2:$K$20000,DATOS!$A$2:$A$20000,Y1005,DATOS!$G$2:$G$20000,CONFIG_METADATA!$B$4,DATOS!$I$2:$I$20000,"Análisis"),"")))</f>
        <v/>
      </c>
      <c r="AA1005" t="str">
        <f>IF(Y1005="","",IF(Y1005="[FÓRMULA MANUAL]","",IFERROR(AVERAGEIFS(DATOS!$K$2:$K$20000,DATOS!$A$2:$A$20000,Y1005,DATOS!$G$2:$G$20000,CONFIG_METADATA!$B$4,DATOS!$I$2:$I$20000,"Orquesta/Banda/Conjunto"),"")))</f>
        <v/>
      </c>
      <c r="AB1005" t="str">
        <f>IF(Y1005="","",IF(Y1005="[FÓRMULA MANUAL]","",IFERROR(AVERAGEIFS(DATOS!$K$2:$K$20000,DATOS!$A$2:$A$20000,Y1005,DATOS!$G$2:$G$20000,CONFIG_METADATA!$B$4,DATOS!$I$2:$I$20000,"Música de Cámara"),"")))</f>
        <v/>
      </c>
      <c r="AC1005" t="str">
        <f>IF(Y1005="","",IF(Y1005="[FÓRMULA MANUAL]","",IFERROR(SUMPRODUCT((DATOS!$A$2:$A$20000=Y1005)*(DATOS!$G$2:$G$20000=CONFIG_METADATA!$B$4)*(COUNTIF(CONFIG_ASIGNATURAS!$B$7:$B$27,DATOS!$I$2:$I$20000)&gt;0)*(DATOS!$K$2:$K$20000))/SUMPRODUCT((DATOS!$A$2:$A$20000=Y1005)*(DATOS!$G$2:$G$20000=CONFIG_METADATA!$B$4)*(COUNTIF(CONFIG_ASIGNATURAS!$B$7:$B$27,DATOS!$I$2:$I$20000)&gt;0)*1),"")))</f>
        <v/>
      </c>
      <c r="AF1005" t="str">
        <f>IF(AE1005="","",IF(AE1005="[FÓRMULA MANUAL]","",IFERROR(AVERAGEIFS(DATOS!$K$2:$K$20000,DATOS!$A$2:$A$20000,AE1005,DATOS!$G$2:$G$20000,CONFIG_METADATA!$B$4,DATOS!$I$2:$I$20000,"Análisis"),"")))</f>
        <v/>
      </c>
      <c r="AG1005" t="str">
        <f>IF(AE1005="","",IF(AE1005="[FÓRMULA MANUAL]","",IFERROR(AVERAGEIFS(DATOS!$K$2:$K$20000,DATOS!$A$2:$A$20000,AE1005,DATOS!$G$2:$G$20000,CONFIG_METADATA!$B$4,DATOS!$I$2:$I$20000,"Orquesta/Banda/Conjunto"),"")))</f>
        <v/>
      </c>
      <c r="AH1005" t="str">
        <f>IF(AE1005="","",IF(AE1005="[FÓRMULA MANUAL]","",IFERROR(AVERAGEIFS(DATOS!$K$2:$K$20000,DATOS!$A$2:$A$20000,AE1005,DATOS!$G$2:$G$20000,CONFIG_METADATA!$B$4,DATOS!$I$2:$I$20000,"Música de Cámara"),"")))</f>
        <v/>
      </c>
      <c r="AI1005" t="str">
        <f>IF(AE1005="","",IF(AE1005="[FÓRMULA MANUAL]","",IFERROR(SUMPRODUCT((DATOS!$A$2:$A$20000=AE1005)*(DATOS!$G$2:$G$20000=CONFIG_METADATA!$B$4)*(COUNTIF(CONFIG_ASIGNATURAS!$B$7:$B$27,DATOS!$I$2:$I$20000)&gt;0)*(DATOS!$K$2:$K$20000))/SUMPRODUCT((DATOS!$A$2:$A$20000=AE1005)*(DATOS!$G$2:$G$20000=CONFIG_METADATA!$B$4)*(COUNTIF(CONFIG_ASIGNATURAS!$B$7:$B$27,DATOS!$I$2:$I$20000)&gt;0)*1),"")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7"/>
  <sheetViews>
    <sheetView workbookViewId="0">
      <selection activeCell="H22" sqref="H22"/>
    </sheetView>
  </sheetViews>
  <sheetFormatPr baseColWidth="10" defaultColWidth="8.83203125" defaultRowHeight="15" x14ac:dyDescent="0.2"/>
  <cols>
    <col min="1" max="1" width="8" customWidth="1"/>
    <col min="2" max="3" width="25" customWidth="1"/>
    <col min="4" max="5" width="12" customWidth="1"/>
    <col min="6" max="6" width="14" customWidth="1"/>
    <col min="8" max="9" width="12" customWidth="1"/>
  </cols>
  <sheetData>
    <row r="1" spans="1:9" x14ac:dyDescent="0.2">
      <c r="A1" s="2" t="s">
        <v>75</v>
      </c>
      <c r="B1" s="2" t="s">
        <v>76</v>
      </c>
      <c r="C1" s="2" t="s">
        <v>77</v>
      </c>
      <c r="D1" s="2" t="s">
        <v>131</v>
      </c>
      <c r="E1" s="2" t="s">
        <v>132</v>
      </c>
      <c r="F1" s="2" t="s">
        <v>133</v>
      </c>
      <c r="H1" s="8" t="s">
        <v>134</v>
      </c>
    </row>
    <row r="2" spans="1:9" x14ac:dyDescent="0.2">
      <c r="A2" t="s">
        <v>78</v>
      </c>
      <c r="B2" t="s">
        <v>9</v>
      </c>
      <c r="C2" t="s">
        <v>22</v>
      </c>
      <c r="D2" s="10" t="str">
        <f>IFERROR(CORREL(DAT_CORRELACION!B$6:B$1005,DAT_CORRELACION!C$6:C$1005),"")</f>
        <v/>
      </c>
      <c r="E2">
        <f>SUMPRODUCT((DAT_CORRELACION!A$6:A$1005&lt;&gt;"")*(DAT_CORRELACION!A$6:A$1005&lt;&gt;"[FÓRMULA MANUAL]")*1)</f>
        <v>0</v>
      </c>
      <c r="F2" t="str">
        <f t="shared" ref="F2:F37" si="0">IF(D2="","",IF(D2&gt;=0.8,"Muy fuerte",IF(D2&gt;=0.6,"Fuerte",IF(D2&gt;=0.4,"Moderada",IF(D2&gt;=0.2,"Débil",IF(D2&gt;=0,"Muy débil","Inversa"))))))</f>
        <v/>
      </c>
      <c r="H2" t="s">
        <v>135</v>
      </c>
      <c r="I2" t="s">
        <v>136</v>
      </c>
    </row>
    <row r="3" spans="1:9" x14ac:dyDescent="0.2">
      <c r="A3" t="s">
        <v>78</v>
      </c>
      <c r="B3" t="s">
        <v>9</v>
      </c>
      <c r="C3" t="s">
        <v>53</v>
      </c>
      <c r="D3" s="10" t="str">
        <f>IFERROR(CORREL(DAT_CORRELACION!B$6:B$1005,DAT_CORRELACION!D$6:D$1005),"")</f>
        <v/>
      </c>
      <c r="E3">
        <f>SUMPRODUCT((DAT_CORRELACION!A$6:A$1005&lt;&gt;"")*(DAT_CORRELACION!A$6:A$1005&lt;&gt;"[FÓRMULA MANUAL]")*1)</f>
        <v>0</v>
      </c>
      <c r="F3" t="str">
        <f t="shared" si="0"/>
        <v/>
      </c>
      <c r="H3" t="s">
        <v>137</v>
      </c>
      <c r="I3" t="s">
        <v>138</v>
      </c>
    </row>
    <row r="4" spans="1:9" x14ac:dyDescent="0.2">
      <c r="A4" t="s">
        <v>78</v>
      </c>
      <c r="B4" t="s">
        <v>9</v>
      </c>
      <c r="C4" t="s">
        <v>25</v>
      </c>
      <c r="D4" s="10" t="str">
        <f>IFERROR(CORREL(DAT_CORRELACION!B$6:B$1005,DAT_CORRELACION!E$6:E$1005),"")</f>
        <v/>
      </c>
      <c r="E4">
        <f>SUMPRODUCT((DAT_CORRELACION!A$6:A$1005&lt;&gt;"")*(DAT_CORRELACION!A$6:A$1005&lt;&gt;"[FÓRMULA MANUAL]")*1)</f>
        <v>0</v>
      </c>
      <c r="F4" t="str">
        <f t="shared" si="0"/>
        <v/>
      </c>
      <c r="H4" t="s">
        <v>139</v>
      </c>
      <c r="I4" t="s">
        <v>140</v>
      </c>
    </row>
    <row r="5" spans="1:9" x14ac:dyDescent="0.2">
      <c r="A5" t="s">
        <v>78</v>
      </c>
      <c r="B5" t="s">
        <v>22</v>
      </c>
      <c r="C5" t="s">
        <v>53</v>
      </c>
      <c r="D5" s="10" t="str">
        <f>IFERROR(CORREL(DAT_CORRELACION!C$6:C$1005,DAT_CORRELACION!D$6:D$1005),"")</f>
        <v/>
      </c>
      <c r="E5">
        <f>SUMPRODUCT((DAT_CORRELACION!A$6:A$1005&lt;&gt;"")*(DAT_CORRELACION!A$6:A$1005&lt;&gt;"[FÓRMULA MANUAL]")*1)</f>
        <v>0</v>
      </c>
      <c r="F5" t="str">
        <f t="shared" si="0"/>
        <v/>
      </c>
      <c r="H5" t="s">
        <v>141</v>
      </c>
      <c r="I5" t="s">
        <v>142</v>
      </c>
    </row>
    <row r="6" spans="1:9" x14ac:dyDescent="0.2">
      <c r="A6" t="s">
        <v>78</v>
      </c>
      <c r="B6" t="s">
        <v>22</v>
      </c>
      <c r="C6" t="s">
        <v>25</v>
      </c>
      <c r="D6" s="10" t="str">
        <f>IFERROR(CORREL(DAT_CORRELACION!C$6:C$1005,DAT_CORRELACION!E$6:E$1005),"")</f>
        <v/>
      </c>
      <c r="E6">
        <f>SUMPRODUCT((DAT_CORRELACION!A$6:A$1005&lt;&gt;"")*(DAT_CORRELACION!A$6:A$1005&lt;&gt;"[FÓRMULA MANUAL]")*1)</f>
        <v>0</v>
      </c>
      <c r="F6" t="str">
        <f t="shared" si="0"/>
        <v/>
      </c>
      <c r="H6" t="s">
        <v>143</v>
      </c>
      <c r="I6" t="s">
        <v>144</v>
      </c>
    </row>
    <row r="7" spans="1:9" x14ac:dyDescent="0.2">
      <c r="A7" t="s">
        <v>78</v>
      </c>
      <c r="B7" t="s">
        <v>53</v>
      </c>
      <c r="C7" t="s">
        <v>25</v>
      </c>
      <c r="D7" s="10" t="str">
        <f>IFERROR(CORREL(DAT_CORRELACION!D$6:D$1005,DAT_CORRELACION!E$6:E$1005),"")</f>
        <v/>
      </c>
      <c r="E7">
        <f>SUMPRODUCT((DAT_CORRELACION!A$6:A$1005&lt;&gt;"")*(DAT_CORRELACION!A$6:A$1005&lt;&gt;"[FÓRMULA MANUAL]")*1)</f>
        <v>0</v>
      </c>
      <c r="F7" t="str">
        <f t="shared" si="0"/>
        <v/>
      </c>
      <c r="H7" t="s">
        <v>145</v>
      </c>
      <c r="I7" t="s">
        <v>146</v>
      </c>
    </row>
    <row r="8" spans="1:9" x14ac:dyDescent="0.2">
      <c r="A8" t="s">
        <v>79</v>
      </c>
      <c r="B8" t="s">
        <v>9</v>
      </c>
      <c r="C8" t="s">
        <v>22</v>
      </c>
      <c r="D8" s="10" t="str">
        <f>IFERROR(CORREL(DAT_CORRELACION!H$6:H$1005,DAT_CORRELACION!I$6:I$1005),"")</f>
        <v/>
      </c>
      <c r="E8">
        <f>SUMPRODUCT((DAT_CORRELACION!G$6:G$1005&lt;&gt;"")*(DAT_CORRELACION!G$6:G$1005&lt;&gt;"[FÓRMULA MANUAL]")*1)</f>
        <v>0</v>
      </c>
      <c r="F8" t="str">
        <f t="shared" si="0"/>
        <v/>
      </c>
    </row>
    <row r="9" spans="1:9" x14ac:dyDescent="0.2">
      <c r="A9" t="s">
        <v>79</v>
      </c>
      <c r="B9" t="s">
        <v>9</v>
      </c>
      <c r="C9" t="s">
        <v>53</v>
      </c>
      <c r="D9" s="10" t="str">
        <f>IFERROR(CORREL(DAT_CORRELACION!H$6:H$1005,DAT_CORRELACION!J$6:J$1005),"")</f>
        <v/>
      </c>
      <c r="E9">
        <f>SUMPRODUCT((DAT_CORRELACION!G$6:G$1005&lt;&gt;"")*(DAT_CORRELACION!G$6:G$1005&lt;&gt;"[FÓRMULA MANUAL]")*1)</f>
        <v>0</v>
      </c>
      <c r="F9" t="str">
        <f t="shared" si="0"/>
        <v/>
      </c>
    </row>
    <row r="10" spans="1:9" x14ac:dyDescent="0.2">
      <c r="A10" t="s">
        <v>79</v>
      </c>
      <c r="B10" t="s">
        <v>9</v>
      </c>
      <c r="C10" t="s">
        <v>25</v>
      </c>
      <c r="D10" s="10" t="str">
        <f>IFERROR(CORREL(DAT_CORRELACION!H$6:H$1005,DAT_CORRELACION!K$6:K$1005),"")</f>
        <v/>
      </c>
      <c r="E10">
        <f>SUMPRODUCT((DAT_CORRELACION!G$6:G$1005&lt;&gt;"")*(DAT_CORRELACION!G$6:G$1005&lt;&gt;"[FÓRMULA MANUAL]")*1)</f>
        <v>0</v>
      </c>
      <c r="F10" t="str">
        <f t="shared" si="0"/>
        <v/>
      </c>
    </row>
    <row r="11" spans="1:9" x14ac:dyDescent="0.2">
      <c r="A11" t="s">
        <v>79</v>
      </c>
      <c r="B11" t="s">
        <v>22</v>
      </c>
      <c r="C11" t="s">
        <v>53</v>
      </c>
      <c r="D11" s="10" t="str">
        <f>IFERROR(CORREL(DAT_CORRELACION!I$6:I$1005,DAT_CORRELACION!J$6:J$1005),"")</f>
        <v/>
      </c>
      <c r="E11">
        <f>SUMPRODUCT((DAT_CORRELACION!G$6:G$1005&lt;&gt;"")*(DAT_CORRELACION!G$6:G$1005&lt;&gt;"[FÓRMULA MANUAL]")*1)</f>
        <v>0</v>
      </c>
      <c r="F11" t="str">
        <f t="shared" si="0"/>
        <v/>
      </c>
    </row>
    <row r="12" spans="1:9" x14ac:dyDescent="0.2">
      <c r="A12" t="s">
        <v>79</v>
      </c>
      <c r="B12" t="s">
        <v>22</v>
      </c>
      <c r="C12" t="s">
        <v>25</v>
      </c>
      <c r="D12" s="10" t="str">
        <f>IFERROR(CORREL(DAT_CORRELACION!I$6:I$1005,DAT_CORRELACION!K$6:K$1005),"")</f>
        <v/>
      </c>
      <c r="E12">
        <f>SUMPRODUCT((DAT_CORRELACION!G$6:G$1005&lt;&gt;"")*(DAT_CORRELACION!G$6:G$1005&lt;&gt;"[FÓRMULA MANUAL]")*1)</f>
        <v>0</v>
      </c>
      <c r="F12" t="str">
        <f t="shared" si="0"/>
        <v/>
      </c>
    </row>
    <row r="13" spans="1:9" x14ac:dyDescent="0.2">
      <c r="A13" t="s">
        <v>79</v>
      </c>
      <c r="B13" t="s">
        <v>53</v>
      </c>
      <c r="C13" t="s">
        <v>25</v>
      </c>
      <c r="D13" s="10" t="str">
        <f>IFERROR(CORREL(DAT_CORRELACION!J$6:J$1005,DAT_CORRELACION!K$6:K$1005),"")</f>
        <v/>
      </c>
      <c r="E13">
        <f>SUMPRODUCT((DAT_CORRELACION!G$6:G$1005&lt;&gt;"")*(DAT_CORRELACION!G$6:G$1005&lt;&gt;"[FÓRMULA MANUAL]")*1)</f>
        <v>0</v>
      </c>
      <c r="F13" t="str">
        <f t="shared" si="0"/>
        <v/>
      </c>
    </row>
    <row r="14" spans="1:9" x14ac:dyDescent="0.2">
      <c r="A14" t="s">
        <v>80</v>
      </c>
      <c r="B14" t="s">
        <v>15</v>
      </c>
      <c r="C14" t="s">
        <v>22</v>
      </c>
      <c r="D14" s="10" t="str">
        <f>IFERROR(CORREL(DAT_CORRELACION!N$6:N$1005,DAT_CORRELACION!O$6:O$1005),"")</f>
        <v/>
      </c>
      <c r="E14">
        <f>SUMPRODUCT((DAT_CORRELACION!M$6:M$1005&lt;&gt;"")*(DAT_CORRELACION!M$6:M$1005&lt;&gt;"[FÓRMULA MANUAL]")*1)</f>
        <v>0</v>
      </c>
      <c r="F14" t="str">
        <f t="shared" si="0"/>
        <v/>
      </c>
    </row>
    <row r="15" spans="1:9" x14ac:dyDescent="0.2">
      <c r="A15" t="s">
        <v>80</v>
      </c>
      <c r="B15" t="s">
        <v>15</v>
      </c>
      <c r="C15" t="s">
        <v>19</v>
      </c>
      <c r="D15" s="10" t="str">
        <f>IFERROR(CORREL(DAT_CORRELACION!N$6:N$1005,DAT_CORRELACION!P$6:P$1005),"")</f>
        <v/>
      </c>
      <c r="E15">
        <f>SUMPRODUCT((DAT_CORRELACION!M$6:M$1005&lt;&gt;"")*(DAT_CORRELACION!M$6:M$1005&lt;&gt;"[FÓRMULA MANUAL]")*1)</f>
        <v>0</v>
      </c>
      <c r="F15" t="str">
        <f t="shared" si="0"/>
        <v/>
      </c>
    </row>
    <row r="16" spans="1:9" x14ac:dyDescent="0.2">
      <c r="A16" t="s">
        <v>80</v>
      </c>
      <c r="B16" t="s">
        <v>15</v>
      </c>
      <c r="C16" t="s">
        <v>25</v>
      </c>
      <c r="D16" s="10" t="str">
        <f>IFERROR(CORREL(DAT_CORRELACION!N$6:N$1005,DAT_CORRELACION!Q$6:Q$1005),"")</f>
        <v/>
      </c>
      <c r="E16">
        <f>SUMPRODUCT((DAT_CORRELACION!M$6:M$1005&lt;&gt;"")*(DAT_CORRELACION!M$6:M$1005&lt;&gt;"[FÓRMULA MANUAL]")*1)</f>
        <v>0</v>
      </c>
      <c r="F16" t="str">
        <f t="shared" si="0"/>
        <v/>
      </c>
    </row>
    <row r="17" spans="1:6" x14ac:dyDescent="0.2">
      <c r="A17" t="s">
        <v>80</v>
      </c>
      <c r="B17" t="s">
        <v>22</v>
      </c>
      <c r="C17" t="s">
        <v>19</v>
      </c>
      <c r="D17" s="10" t="str">
        <f>IFERROR(CORREL(DAT_CORRELACION!O$6:O$1005,DAT_CORRELACION!P$6:P$1005),"")</f>
        <v/>
      </c>
      <c r="E17">
        <f>SUMPRODUCT((DAT_CORRELACION!M$6:M$1005&lt;&gt;"")*(DAT_CORRELACION!M$6:M$1005&lt;&gt;"[FÓRMULA MANUAL]")*1)</f>
        <v>0</v>
      </c>
      <c r="F17" t="str">
        <f t="shared" si="0"/>
        <v/>
      </c>
    </row>
    <row r="18" spans="1:6" x14ac:dyDescent="0.2">
      <c r="A18" t="s">
        <v>80</v>
      </c>
      <c r="B18" t="s">
        <v>22</v>
      </c>
      <c r="C18" t="s">
        <v>25</v>
      </c>
      <c r="D18" s="10" t="str">
        <f>IFERROR(CORREL(DAT_CORRELACION!O$6:O$1005,DAT_CORRELACION!Q$6:Q$1005),"")</f>
        <v/>
      </c>
      <c r="E18">
        <f>SUMPRODUCT((DAT_CORRELACION!M$6:M$1005&lt;&gt;"")*(DAT_CORRELACION!M$6:M$1005&lt;&gt;"[FÓRMULA MANUAL]")*1)</f>
        <v>0</v>
      </c>
      <c r="F18" t="str">
        <f t="shared" si="0"/>
        <v/>
      </c>
    </row>
    <row r="19" spans="1:6" x14ac:dyDescent="0.2">
      <c r="A19" t="s">
        <v>80</v>
      </c>
      <c r="B19" t="s">
        <v>19</v>
      </c>
      <c r="C19" t="s">
        <v>25</v>
      </c>
      <c r="D19" s="10" t="str">
        <f>IFERROR(CORREL(DAT_CORRELACION!P$6:P$1005,DAT_CORRELACION!Q$6:Q$1005),"")</f>
        <v/>
      </c>
      <c r="E19">
        <f>SUMPRODUCT((DAT_CORRELACION!M$6:M$1005&lt;&gt;"")*(DAT_CORRELACION!M$6:M$1005&lt;&gt;"[FÓRMULA MANUAL]")*1)</f>
        <v>0</v>
      </c>
      <c r="F19" t="str">
        <f t="shared" si="0"/>
        <v/>
      </c>
    </row>
    <row r="20" spans="1:6" x14ac:dyDescent="0.2">
      <c r="A20" t="s">
        <v>81</v>
      </c>
      <c r="B20" t="s">
        <v>15</v>
      </c>
      <c r="C20" t="s">
        <v>22</v>
      </c>
      <c r="D20" s="10" t="str">
        <f>IFERROR(CORREL(DAT_CORRELACION!T$6:T$1005,DAT_CORRELACION!U$6:U$1005),"")</f>
        <v/>
      </c>
      <c r="E20">
        <f>SUMPRODUCT((DAT_CORRELACION!S$6:S$1005&lt;&gt;"")*(DAT_CORRELACION!S$6:S$1005&lt;&gt;"[FÓRMULA MANUAL]")*1)</f>
        <v>0</v>
      </c>
      <c r="F20" t="str">
        <f t="shared" si="0"/>
        <v/>
      </c>
    </row>
    <row r="21" spans="1:6" x14ac:dyDescent="0.2">
      <c r="A21" t="s">
        <v>81</v>
      </c>
      <c r="B21" t="s">
        <v>15</v>
      </c>
      <c r="C21" t="s">
        <v>19</v>
      </c>
      <c r="D21" s="10" t="str">
        <f>IFERROR(CORREL(DAT_CORRELACION!T$6:T$1005,DAT_CORRELACION!V$6:V$1005),"")</f>
        <v/>
      </c>
      <c r="E21">
        <f>SUMPRODUCT((DAT_CORRELACION!S$6:S$1005&lt;&gt;"")*(DAT_CORRELACION!S$6:S$1005&lt;&gt;"[FÓRMULA MANUAL]")*1)</f>
        <v>0</v>
      </c>
      <c r="F21" t="str">
        <f t="shared" si="0"/>
        <v/>
      </c>
    </row>
    <row r="22" spans="1:6" x14ac:dyDescent="0.2">
      <c r="A22" t="s">
        <v>81</v>
      </c>
      <c r="B22" t="s">
        <v>15</v>
      </c>
      <c r="C22" t="s">
        <v>25</v>
      </c>
      <c r="D22" s="10" t="str">
        <f>IFERROR(CORREL(DAT_CORRELACION!T$6:T$1005,DAT_CORRELACION!W$6:W$1005),"")</f>
        <v/>
      </c>
      <c r="E22">
        <f>SUMPRODUCT((DAT_CORRELACION!S$6:S$1005&lt;&gt;"")*(DAT_CORRELACION!S$6:S$1005&lt;&gt;"[FÓRMULA MANUAL]")*1)</f>
        <v>0</v>
      </c>
      <c r="F22" t="str">
        <f t="shared" si="0"/>
        <v/>
      </c>
    </row>
    <row r="23" spans="1:6" x14ac:dyDescent="0.2">
      <c r="A23" t="s">
        <v>81</v>
      </c>
      <c r="B23" t="s">
        <v>22</v>
      </c>
      <c r="C23" t="s">
        <v>19</v>
      </c>
      <c r="D23" s="10" t="str">
        <f>IFERROR(CORREL(DAT_CORRELACION!U$6:U$1005,DAT_CORRELACION!V$6:V$1005),"")</f>
        <v/>
      </c>
      <c r="E23">
        <f>SUMPRODUCT((DAT_CORRELACION!S$6:S$1005&lt;&gt;"")*(DAT_CORRELACION!S$6:S$1005&lt;&gt;"[FÓRMULA MANUAL]")*1)</f>
        <v>0</v>
      </c>
      <c r="F23" t="str">
        <f t="shared" si="0"/>
        <v/>
      </c>
    </row>
    <row r="24" spans="1:6" x14ac:dyDescent="0.2">
      <c r="A24" t="s">
        <v>81</v>
      </c>
      <c r="B24" t="s">
        <v>22</v>
      </c>
      <c r="C24" t="s">
        <v>25</v>
      </c>
      <c r="D24" s="10" t="str">
        <f>IFERROR(CORREL(DAT_CORRELACION!U$6:U$1005,DAT_CORRELACION!W$6:W$1005),"")</f>
        <v/>
      </c>
      <c r="E24">
        <f>SUMPRODUCT((DAT_CORRELACION!S$6:S$1005&lt;&gt;"")*(DAT_CORRELACION!S$6:S$1005&lt;&gt;"[FÓRMULA MANUAL]")*1)</f>
        <v>0</v>
      </c>
      <c r="F24" t="str">
        <f t="shared" si="0"/>
        <v/>
      </c>
    </row>
    <row r="25" spans="1:6" x14ac:dyDescent="0.2">
      <c r="A25" t="s">
        <v>81</v>
      </c>
      <c r="B25" t="s">
        <v>19</v>
      </c>
      <c r="C25" t="s">
        <v>25</v>
      </c>
      <c r="D25" s="10" t="str">
        <f>IFERROR(CORREL(DAT_CORRELACION!V$6:V$1005,DAT_CORRELACION!W$6:W$1005),"")</f>
        <v/>
      </c>
      <c r="E25">
        <f>SUMPRODUCT((DAT_CORRELACION!S$6:S$1005&lt;&gt;"")*(DAT_CORRELACION!S$6:S$1005&lt;&gt;"[FÓRMULA MANUAL]")*1)</f>
        <v>0</v>
      </c>
      <c r="F25" t="str">
        <f t="shared" si="0"/>
        <v/>
      </c>
    </row>
    <row r="26" spans="1:6" x14ac:dyDescent="0.2">
      <c r="A26" t="s">
        <v>82</v>
      </c>
      <c r="B26" t="s">
        <v>17</v>
      </c>
      <c r="C26" t="s">
        <v>22</v>
      </c>
      <c r="D26" s="10" t="str">
        <f>IFERROR(CORREL(DAT_CORRELACION!Z$6:Z$1005,DAT_CORRELACION!AA$6:AA$1005),"")</f>
        <v/>
      </c>
      <c r="E26">
        <f>SUMPRODUCT((DAT_CORRELACION!Y$6:Y$1005&lt;&gt;"")*(DAT_CORRELACION!Y$6:Y$1005&lt;&gt;"[FÓRMULA MANUAL]")*1)</f>
        <v>0</v>
      </c>
      <c r="F26" t="str">
        <f t="shared" si="0"/>
        <v/>
      </c>
    </row>
    <row r="27" spans="1:6" x14ac:dyDescent="0.2">
      <c r="A27" t="s">
        <v>82</v>
      </c>
      <c r="B27" t="s">
        <v>17</v>
      </c>
      <c r="C27" t="s">
        <v>19</v>
      </c>
      <c r="D27" s="10" t="str">
        <f>IFERROR(CORREL(DAT_CORRELACION!Z$6:Z$1005,DAT_CORRELACION!AB$6:AB$1005),"")</f>
        <v/>
      </c>
      <c r="E27">
        <f>SUMPRODUCT((DAT_CORRELACION!Y$6:Y$1005&lt;&gt;"")*(DAT_CORRELACION!Y$6:Y$1005&lt;&gt;"[FÓRMULA MANUAL]")*1)</f>
        <v>0</v>
      </c>
      <c r="F27" t="str">
        <f t="shared" si="0"/>
        <v/>
      </c>
    </row>
    <row r="28" spans="1:6" x14ac:dyDescent="0.2">
      <c r="A28" t="s">
        <v>82</v>
      </c>
      <c r="B28" t="s">
        <v>17</v>
      </c>
      <c r="C28" t="s">
        <v>25</v>
      </c>
      <c r="D28" s="10" t="str">
        <f>IFERROR(CORREL(DAT_CORRELACION!Z$6:Z$1005,DAT_CORRELACION!AC$6:AC$1005),"")</f>
        <v/>
      </c>
      <c r="E28">
        <f>SUMPRODUCT((DAT_CORRELACION!Y$6:Y$1005&lt;&gt;"")*(DAT_CORRELACION!Y$6:Y$1005&lt;&gt;"[FÓRMULA MANUAL]")*1)</f>
        <v>0</v>
      </c>
      <c r="F28" t="str">
        <f t="shared" si="0"/>
        <v/>
      </c>
    </row>
    <row r="29" spans="1:6" x14ac:dyDescent="0.2">
      <c r="A29" t="s">
        <v>82</v>
      </c>
      <c r="B29" t="s">
        <v>22</v>
      </c>
      <c r="C29" t="s">
        <v>19</v>
      </c>
      <c r="D29" s="10" t="str">
        <f>IFERROR(CORREL(DAT_CORRELACION!AA$6:AA$1005,DAT_CORRELACION!AB$6:AB$1005),"")</f>
        <v/>
      </c>
      <c r="E29">
        <f>SUMPRODUCT((DAT_CORRELACION!Y$6:Y$1005&lt;&gt;"")*(DAT_CORRELACION!Y$6:Y$1005&lt;&gt;"[FÓRMULA MANUAL]")*1)</f>
        <v>0</v>
      </c>
      <c r="F29" t="str">
        <f t="shared" si="0"/>
        <v/>
      </c>
    </row>
    <row r="30" spans="1:6" x14ac:dyDescent="0.2">
      <c r="A30" t="s">
        <v>82</v>
      </c>
      <c r="B30" t="s">
        <v>22</v>
      </c>
      <c r="C30" t="s">
        <v>25</v>
      </c>
      <c r="D30" s="10" t="str">
        <f>IFERROR(CORREL(DAT_CORRELACION!AA$6:AA$1005,DAT_CORRELACION!AC$6:AC$1005),"")</f>
        <v/>
      </c>
      <c r="E30">
        <f>SUMPRODUCT((DAT_CORRELACION!Y$6:Y$1005&lt;&gt;"")*(DAT_CORRELACION!Y$6:Y$1005&lt;&gt;"[FÓRMULA MANUAL]")*1)</f>
        <v>0</v>
      </c>
      <c r="F30" t="str">
        <f t="shared" si="0"/>
        <v/>
      </c>
    </row>
    <row r="31" spans="1:6" x14ac:dyDescent="0.2">
      <c r="A31" t="s">
        <v>82</v>
      </c>
      <c r="B31" t="s">
        <v>19</v>
      </c>
      <c r="C31" t="s">
        <v>25</v>
      </c>
      <c r="D31" s="10" t="str">
        <f>IFERROR(CORREL(DAT_CORRELACION!AB$6:AB$1005,DAT_CORRELACION!AC$6:AC$1005),"")</f>
        <v/>
      </c>
      <c r="E31">
        <f>SUMPRODUCT((DAT_CORRELACION!Y$6:Y$1005&lt;&gt;"")*(DAT_CORRELACION!Y$6:Y$1005&lt;&gt;"[FÓRMULA MANUAL]")*1)</f>
        <v>0</v>
      </c>
      <c r="F31" t="str">
        <f t="shared" si="0"/>
        <v/>
      </c>
    </row>
    <row r="32" spans="1:6" x14ac:dyDescent="0.2">
      <c r="A32" t="s">
        <v>83</v>
      </c>
      <c r="B32" t="s">
        <v>17</v>
      </c>
      <c r="C32" t="s">
        <v>22</v>
      </c>
      <c r="D32" s="10" t="str">
        <f>IFERROR(CORREL(DAT_CORRELACION!AF$6:AF$1005,DAT_CORRELACION!AG$6:AG$1005),"")</f>
        <v/>
      </c>
      <c r="E32">
        <f>SUMPRODUCT((DAT_CORRELACION!AE$6:AE$1005&lt;&gt;"")*(DAT_CORRELACION!AE$6:AE$1005&lt;&gt;"[FÓRMULA MANUAL]")*1)</f>
        <v>0</v>
      </c>
      <c r="F32" t="str">
        <f t="shared" si="0"/>
        <v/>
      </c>
    </row>
    <row r="33" spans="1:6" x14ac:dyDescent="0.2">
      <c r="A33" t="s">
        <v>83</v>
      </c>
      <c r="B33" t="s">
        <v>17</v>
      </c>
      <c r="C33" t="s">
        <v>19</v>
      </c>
      <c r="D33" s="10" t="str">
        <f>IFERROR(CORREL(DAT_CORRELACION!AF$6:AF$1005,DAT_CORRELACION!AH$6:AH$1005),"")</f>
        <v/>
      </c>
      <c r="E33">
        <f>SUMPRODUCT((DAT_CORRELACION!AE$6:AE$1005&lt;&gt;"")*(DAT_CORRELACION!AE$6:AE$1005&lt;&gt;"[FÓRMULA MANUAL]")*1)</f>
        <v>0</v>
      </c>
      <c r="F33" t="str">
        <f t="shared" si="0"/>
        <v/>
      </c>
    </row>
    <row r="34" spans="1:6" x14ac:dyDescent="0.2">
      <c r="A34" t="s">
        <v>83</v>
      </c>
      <c r="B34" t="s">
        <v>17</v>
      </c>
      <c r="C34" t="s">
        <v>25</v>
      </c>
      <c r="D34" s="10" t="str">
        <f>IFERROR(CORREL(DAT_CORRELACION!AF$6:AF$1005,DAT_CORRELACION!AI$6:AI$1005),"")</f>
        <v/>
      </c>
      <c r="E34">
        <f>SUMPRODUCT((DAT_CORRELACION!AE$6:AE$1005&lt;&gt;"")*(DAT_CORRELACION!AE$6:AE$1005&lt;&gt;"[FÓRMULA MANUAL]")*1)</f>
        <v>0</v>
      </c>
      <c r="F34" t="str">
        <f t="shared" si="0"/>
        <v/>
      </c>
    </row>
    <row r="35" spans="1:6" x14ac:dyDescent="0.2">
      <c r="A35" t="s">
        <v>83</v>
      </c>
      <c r="B35" t="s">
        <v>22</v>
      </c>
      <c r="C35" t="s">
        <v>19</v>
      </c>
      <c r="D35" s="10" t="str">
        <f>IFERROR(CORREL(DAT_CORRELACION!AG$6:AG$1005,DAT_CORRELACION!AH$6:AH$1005),"")</f>
        <v/>
      </c>
      <c r="E35">
        <f>SUMPRODUCT((DAT_CORRELACION!AE$6:AE$1005&lt;&gt;"")*(DAT_CORRELACION!AE$6:AE$1005&lt;&gt;"[FÓRMULA MANUAL]")*1)</f>
        <v>0</v>
      </c>
      <c r="F35" t="str">
        <f t="shared" si="0"/>
        <v/>
      </c>
    </row>
    <row r="36" spans="1:6" x14ac:dyDescent="0.2">
      <c r="A36" t="s">
        <v>83</v>
      </c>
      <c r="B36" t="s">
        <v>22</v>
      </c>
      <c r="C36" t="s">
        <v>25</v>
      </c>
      <c r="D36" s="10" t="str">
        <f>IFERROR(CORREL(DAT_CORRELACION!AG$6:AG$1005,DAT_CORRELACION!AI$6:AI$1005),"")</f>
        <v/>
      </c>
      <c r="E36">
        <f>SUMPRODUCT((DAT_CORRELACION!AE$6:AE$1005&lt;&gt;"")*(DAT_CORRELACION!AE$6:AE$1005&lt;&gt;"[FÓRMULA MANUAL]")*1)</f>
        <v>0</v>
      </c>
      <c r="F36" t="str">
        <f t="shared" si="0"/>
        <v/>
      </c>
    </row>
    <row r="37" spans="1:6" x14ac:dyDescent="0.2">
      <c r="A37" t="s">
        <v>83</v>
      </c>
      <c r="B37" t="s">
        <v>19</v>
      </c>
      <c r="C37" t="s">
        <v>25</v>
      </c>
      <c r="D37" s="10" t="str">
        <f>IFERROR(CORREL(DAT_CORRELACION!AH$6:AH$1005,DAT_CORRELACION!AI$6:AI$1005),"")</f>
        <v/>
      </c>
      <c r="E37">
        <f>SUMPRODUCT((DAT_CORRELACION!AE$6:AE$1005&lt;&gt;"")*(DAT_CORRELACION!AE$6:AE$1005&lt;&gt;"[FÓRMULA MANUAL]")*1)</f>
        <v>0</v>
      </c>
      <c r="F37" t="str">
        <f t="shared" si="0"/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314"/>
  <sheetViews>
    <sheetView workbookViewId="0">
      <selection activeCell="G301" sqref="G301"/>
    </sheetView>
  </sheetViews>
  <sheetFormatPr baseColWidth="10" defaultColWidth="8.83203125" defaultRowHeight="15" x14ac:dyDescent="0.2"/>
  <cols>
    <col min="1" max="1" width="12" customWidth="1"/>
    <col min="2" max="2" width="32.33203125" customWidth="1"/>
    <col min="3" max="3" width="25" customWidth="1"/>
    <col min="4" max="6" width="10" customWidth="1"/>
    <col min="7" max="7" width="8" customWidth="1"/>
    <col min="8" max="11" width="12" customWidth="1"/>
    <col min="12" max="21" width="6" customWidth="1"/>
  </cols>
  <sheetData>
    <row r="1" spans="1:21" x14ac:dyDescent="0.2">
      <c r="A1" s="9" t="s">
        <v>147</v>
      </c>
    </row>
    <row r="2" spans="1:21" x14ac:dyDescent="0.2">
      <c r="A2" s="2" t="s">
        <v>67</v>
      </c>
      <c r="B2" s="2" t="s">
        <v>68</v>
      </c>
    </row>
    <row r="3" spans="1:21" x14ac:dyDescent="0.2">
      <c r="A3" t="s">
        <v>69</v>
      </c>
      <c r="B3" t="str">
        <f>CONFIG_METADATA!B2</f>
        <v>CPM Mestre Tárrega</v>
      </c>
    </row>
    <row r="4" spans="1:21" x14ac:dyDescent="0.2">
      <c r="A4" t="s">
        <v>71</v>
      </c>
      <c r="B4" t="str">
        <f>CONFIG_METADATA!B3</f>
        <v>25/26</v>
      </c>
    </row>
    <row r="5" spans="1:21" x14ac:dyDescent="0.2">
      <c r="A5" t="s">
        <v>148</v>
      </c>
      <c r="B5" t="str">
        <f>CONFIG_METADATA!B4</f>
        <v>1EV</v>
      </c>
    </row>
    <row r="7" spans="1:21" x14ac:dyDescent="0.2">
      <c r="A7" s="9" t="s">
        <v>149</v>
      </c>
    </row>
    <row r="8" spans="1:21" x14ac:dyDescent="0.2">
      <c r="A8" s="2" t="s">
        <v>150</v>
      </c>
      <c r="B8" s="2" t="s">
        <v>96</v>
      </c>
      <c r="C8" s="2" t="s">
        <v>2</v>
      </c>
      <c r="D8" s="2" t="s">
        <v>98</v>
      </c>
      <c r="E8" s="2" t="s">
        <v>99</v>
      </c>
      <c r="F8" s="2" t="s">
        <v>100</v>
      </c>
      <c r="G8" s="2" t="s">
        <v>101</v>
      </c>
      <c r="H8" s="2" t="s">
        <v>102</v>
      </c>
      <c r="I8" s="2" t="s">
        <v>103</v>
      </c>
      <c r="J8" s="2" t="s">
        <v>104</v>
      </c>
      <c r="K8" s="2" t="s">
        <v>105</v>
      </c>
      <c r="L8" s="2" t="s">
        <v>106</v>
      </c>
      <c r="M8" s="2" t="s">
        <v>107</v>
      </c>
      <c r="N8" s="2" t="s">
        <v>108</v>
      </c>
      <c r="O8" s="2" t="s">
        <v>109</v>
      </c>
      <c r="P8" s="2" t="s">
        <v>110</v>
      </c>
      <c r="Q8" s="2" t="s">
        <v>111</v>
      </c>
      <c r="R8" s="2" t="s">
        <v>112</v>
      </c>
      <c r="S8" s="2" t="s">
        <v>113</v>
      </c>
      <c r="T8" s="2" t="s">
        <v>114</v>
      </c>
      <c r="U8" s="2" t="s">
        <v>115</v>
      </c>
    </row>
    <row r="9" spans="1:21" x14ac:dyDescent="0.2">
      <c r="A9" t="str">
        <f>IF(CALC_EPM!A2="GLOBAL",IF(CALC_EPM!C2="Total","GLOBAL",IF(CALC_EPM!C2="TotalEsp","GLOBAL_ESP",IF(CALC_EPM!C2="TotalNoEsp","GLOBAL_NOESP","GLOBAL_ASIG"))),IF(CALC_EPM!C2="Total","CURSO_TOTAL",IF(CALC_EPM!C2="TotalEsp","CURSO_ESP",IF(CALC_EPM!C2="TotalNoEsp","CURSO_NOESP","CURSO_ASIG"))))</f>
        <v>GLOBAL</v>
      </c>
      <c r="B9" t="str">
        <f>CALC_EPM!A2</f>
        <v>GLOBAL</v>
      </c>
      <c r="C9" t="str">
        <f>CALC_EPM!B2</f>
        <v>Total</v>
      </c>
      <c r="D9">
        <f>CALC_EPM!D2</f>
        <v>0</v>
      </c>
      <c r="E9" s="10" t="str">
        <f>CALC_EPM!E2</f>
        <v>—</v>
      </c>
      <c r="F9" s="10" t="str">
        <f>CALC_EPM!F2</f>
        <v>—</v>
      </c>
      <c r="G9" t="str">
        <f>CALC_EPM!G2</f>
        <v>—</v>
      </c>
      <c r="H9" s="11" t="str">
        <f>CALC_EPM!H2</f>
        <v>—</v>
      </c>
      <c r="I9" s="11" t="str">
        <f>CALC_EPM!I2</f>
        <v>—</v>
      </c>
      <c r="J9" t="str">
        <f>CALC_EPM!J2</f>
        <v>—</v>
      </c>
      <c r="K9" t="str">
        <f>CALC_EPM!K2</f>
        <v>—</v>
      </c>
      <c r="L9">
        <f>CALC_EPM!L2</f>
        <v>0</v>
      </c>
      <c r="M9">
        <f>CALC_EPM!M2</f>
        <v>0</v>
      </c>
      <c r="N9">
        <f>CALC_EPM!N2</f>
        <v>0</v>
      </c>
      <c r="O9">
        <f>CALC_EPM!O2</f>
        <v>0</v>
      </c>
      <c r="P9">
        <f>CALC_EPM!P2</f>
        <v>0</v>
      </c>
      <c r="Q9">
        <f>CALC_EPM!Q2</f>
        <v>0</v>
      </c>
      <c r="R9">
        <f>CALC_EPM!R2</f>
        <v>0</v>
      </c>
      <c r="S9">
        <f>CALC_EPM!S2</f>
        <v>0</v>
      </c>
      <c r="T9">
        <f>CALC_EPM!T2</f>
        <v>0</v>
      </c>
      <c r="U9">
        <f>CALC_EPM!U2</f>
        <v>0</v>
      </c>
    </row>
    <row r="10" spans="1:21" x14ac:dyDescent="0.2">
      <c r="A10" t="str">
        <f>IF(CALC_EPM!A3="GLOBAL",IF(CALC_EPM!C3="Total","GLOBAL",IF(CALC_EPM!C3="TotalEsp","GLOBAL_ESP",IF(CALC_EPM!C3="TotalNoEsp","GLOBAL_NOESP","GLOBAL_ASIG"))),IF(CALC_EPM!C3="Total","CURSO_TOTAL",IF(CALC_EPM!C3="TotalEsp","CURSO_ESP",IF(CALC_EPM!C3="TotalNoEsp","CURSO_NOESP","CURSO_ASIG"))))</f>
        <v>GLOBAL_ESP</v>
      </c>
      <c r="B10" t="str">
        <f>CALC_EPM!A3</f>
        <v>GLOBAL</v>
      </c>
      <c r="C10" t="str">
        <f>CALC_EPM!B3</f>
        <v>Total Especialidad</v>
      </c>
      <c r="D10">
        <f>CALC_EPM!D3</f>
        <v>0</v>
      </c>
      <c r="E10" s="10" t="str">
        <f>CALC_EPM!E3</f>
        <v>—</v>
      </c>
      <c r="F10" s="10" t="str">
        <f>CALC_EPM!F3</f>
        <v>—</v>
      </c>
      <c r="G10" t="str">
        <f>CALC_EPM!G3</f>
        <v>—</v>
      </c>
      <c r="H10" s="11" t="str">
        <f>CALC_EPM!H3</f>
        <v>—</v>
      </c>
      <c r="I10" s="11" t="str">
        <f>CALC_EPM!I3</f>
        <v>—</v>
      </c>
      <c r="J10" t="str">
        <f>CALC_EPM!J3</f>
        <v>—</v>
      </c>
      <c r="K10" t="str">
        <f>CALC_EPM!K3</f>
        <v>—</v>
      </c>
      <c r="L10">
        <f>CALC_EPM!L3</f>
        <v>0</v>
      </c>
      <c r="M10">
        <f>CALC_EPM!M3</f>
        <v>0</v>
      </c>
      <c r="N10">
        <f>CALC_EPM!N3</f>
        <v>0</v>
      </c>
      <c r="O10">
        <f>CALC_EPM!O3</f>
        <v>0</v>
      </c>
      <c r="P10">
        <f>CALC_EPM!P3</f>
        <v>0</v>
      </c>
      <c r="Q10">
        <f>CALC_EPM!Q3</f>
        <v>0</v>
      </c>
      <c r="R10">
        <f>CALC_EPM!R3</f>
        <v>0</v>
      </c>
      <c r="S10">
        <f>CALC_EPM!S3</f>
        <v>0</v>
      </c>
      <c r="T10">
        <f>CALC_EPM!T3</f>
        <v>0</v>
      </c>
      <c r="U10">
        <f>CALC_EPM!U3</f>
        <v>0</v>
      </c>
    </row>
    <row r="11" spans="1:21" x14ac:dyDescent="0.2">
      <c r="A11" t="str">
        <f>IF(CALC_EPM!A4="GLOBAL",IF(CALC_EPM!C4="Total","GLOBAL",IF(CALC_EPM!C4="TotalEsp","GLOBAL_ESP",IF(CALC_EPM!C4="TotalNoEsp","GLOBAL_NOESP","GLOBAL_ASIG"))),IF(CALC_EPM!C4="Total","CURSO_TOTAL",IF(CALC_EPM!C4="TotalEsp","CURSO_ESP",IF(CALC_EPM!C4="TotalNoEsp","CURSO_NOESP","CURSO_ASIG"))))</f>
        <v>GLOBAL_NOESP</v>
      </c>
      <c r="B11" t="str">
        <f>CALC_EPM!A4</f>
        <v>GLOBAL</v>
      </c>
      <c r="C11" t="str">
        <f>CALC_EPM!B4</f>
        <v>Total No Especialidad</v>
      </c>
      <c r="D11">
        <f>CALC_EPM!D4</f>
        <v>0</v>
      </c>
      <c r="E11" s="10" t="str">
        <f>CALC_EPM!E4</f>
        <v>—</v>
      </c>
      <c r="F11" s="10" t="str">
        <f>CALC_EPM!F4</f>
        <v>—</v>
      </c>
      <c r="G11" t="str">
        <f>CALC_EPM!G4</f>
        <v>—</v>
      </c>
      <c r="H11" s="11" t="str">
        <f>CALC_EPM!H4</f>
        <v>—</v>
      </c>
      <c r="I11" s="11" t="str">
        <f>CALC_EPM!I4</f>
        <v>—</v>
      </c>
      <c r="J11" t="str">
        <f>CALC_EPM!J4</f>
        <v>—</v>
      </c>
      <c r="K11" t="str">
        <f>CALC_EPM!K4</f>
        <v>—</v>
      </c>
      <c r="L11">
        <f>CALC_EPM!L4</f>
        <v>0</v>
      </c>
      <c r="M11">
        <f>CALC_EPM!M4</f>
        <v>0</v>
      </c>
      <c r="N11">
        <f>CALC_EPM!N4</f>
        <v>0</v>
      </c>
      <c r="O11">
        <f>CALC_EPM!O4</f>
        <v>0</v>
      </c>
      <c r="P11">
        <f>CALC_EPM!P4</f>
        <v>0</v>
      </c>
      <c r="Q11">
        <f>CALC_EPM!Q4</f>
        <v>0</v>
      </c>
      <c r="R11">
        <f>CALC_EPM!R4</f>
        <v>0</v>
      </c>
      <c r="S11">
        <f>CALC_EPM!S4</f>
        <v>0</v>
      </c>
      <c r="T11">
        <f>CALC_EPM!T4</f>
        <v>0</v>
      </c>
      <c r="U11">
        <f>CALC_EPM!U4</f>
        <v>0</v>
      </c>
    </row>
    <row r="12" spans="1:21" x14ac:dyDescent="0.2">
      <c r="A12" t="str">
        <f>IF(CALC_EPM!A5="GLOBAL",IF(CALC_EPM!C5="Total","GLOBAL",IF(CALC_EPM!C5="TotalEsp","GLOBAL_ESP",IF(CALC_EPM!C5="TotalNoEsp","GLOBAL_NOESP","GLOBAL_ASIG"))),IF(CALC_EPM!C5="Total","CURSO_TOTAL",IF(CALC_EPM!C5="TotalEsp","CURSO_ESP",IF(CALC_EPM!C5="TotalNoEsp","CURSO_NOESP","CURSO_ASIG"))))</f>
        <v>GLOBAL_ASIG</v>
      </c>
      <c r="B12" t="str">
        <f>CALC_EPM!A5</f>
        <v>GLOBAL</v>
      </c>
      <c r="C12" t="str">
        <f>CALC_EPM!B5</f>
        <v>Teórica Troncal</v>
      </c>
      <c r="D12">
        <f>CALC_EPM!D5</f>
        <v>0</v>
      </c>
      <c r="E12" s="10" t="str">
        <f>CALC_EPM!E5</f>
        <v>—</v>
      </c>
      <c r="F12" s="10" t="str">
        <f>CALC_EPM!F5</f>
        <v>—</v>
      </c>
      <c r="G12" t="str">
        <f>CALC_EPM!G5</f>
        <v>—</v>
      </c>
      <c r="H12" s="11" t="str">
        <f>CALC_EPM!H5</f>
        <v>—</v>
      </c>
      <c r="I12" s="11" t="str">
        <f>CALC_EPM!I5</f>
        <v>—</v>
      </c>
      <c r="J12" t="str">
        <f>CALC_EPM!J5</f>
        <v>—</v>
      </c>
      <c r="K12" t="str">
        <f>CALC_EPM!K5</f>
        <v>—</v>
      </c>
      <c r="L12">
        <f>CALC_EPM!L5</f>
        <v>0</v>
      </c>
      <c r="M12">
        <f>CALC_EPM!M5</f>
        <v>0</v>
      </c>
      <c r="N12">
        <f>CALC_EPM!N5</f>
        <v>0</v>
      </c>
      <c r="O12">
        <f>CALC_EPM!O5</f>
        <v>0</v>
      </c>
      <c r="P12">
        <f>CALC_EPM!P5</f>
        <v>0</v>
      </c>
      <c r="Q12">
        <f>CALC_EPM!Q5</f>
        <v>0</v>
      </c>
      <c r="R12">
        <f>CALC_EPM!R5</f>
        <v>0</v>
      </c>
      <c r="S12">
        <f>CALC_EPM!S5</f>
        <v>0</v>
      </c>
      <c r="T12">
        <f>CALC_EPM!T5</f>
        <v>0</v>
      </c>
      <c r="U12">
        <f>CALC_EPM!U5</f>
        <v>0</v>
      </c>
    </row>
    <row r="13" spans="1:21" x14ac:dyDescent="0.2">
      <c r="A13" t="str">
        <f>IF(CALC_EPM!A6="GLOBAL",IF(CALC_EPM!C6="Total","GLOBAL",IF(CALC_EPM!C6="TotalEsp","GLOBAL_ESP",IF(CALC_EPM!C6="TotalNoEsp","GLOBAL_NOESP","GLOBAL_ASIG"))),IF(CALC_EPM!C6="Total","CURSO_TOTAL",IF(CALC_EPM!C6="TotalEsp","CURSO_ESP",IF(CALC_EPM!C6="TotalNoEsp","CURSO_NOESP","CURSO_ASIG"))))</f>
        <v>GLOBAL_ASIG</v>
      </c>
      <c r="B13" t="str">
        <f>CALC_EPM!A6</f>
        <v>GLOBAL</v>
      </c>
      <c r="C13" t="str">
        <f>CALC_EPM!B6</f>
        <v>Música de Cámara</v>
      </c>
      <c r="D13">
        <f>CALC_EPM!D6</f>
        <v>0</v>
      </c>
      <c r="E13" s="10" t="str">
        <f>CALC_EPM!E6</f>
        <v>—</v>
      </c>
      <c r="F13" s="10" t="str">
        <f>CALC_EPM!F6</f>
        <v>—</v>
      </c>
      <c r="G13" t="str">
        <f>CALC_EPM!G6</f>
        <v>—</v>
      </c>
      <c r="H13" s="11" t="str">
        <f>CALC_EPM!H6</f>
        <v>—</v>
      </c>
      <c r="I13" s="11" t="str">
        <f>CALC_EPM!I6</f>
        <v>—</v>
      </c>
      <c r="J13" t="str">
        <f>CALC_EPM!J6</f>
        <v>—</v>
      </c>
      <c r="K13" t="str">
        <f>CALC_EPM!K6</f>
        <v>—</v>
      </c>
      <c r="L13">
        <f>CALC_EPM!L6</f>
        <v>0</v>
      </c>
      <c r="M13">
        <f>CALC_EPM!M6</f>
        <v>0</v>
      </c>
      <c r="N13">
        <f>CALC_EPM!N6</f>
        <v>0</v>
      </c>
      <c r="O13">
        <f>CALC_EPM!O6</f>
        <v>0</v>
      </c>
      <c r="P13">
        <f>CALC_EPM!P6</f>
        <v>0</v>
      </c>
      <c r="Q13">
        <f>CALC_EPM!Q6</f>
        <v>0</v>
      </c>
      <c r="R13">
        <f>CALC_EPM!R6</f>
        <v>0</v>
      </c>
      <c r="S13">
        <f>CALC_EPM!S6</f>
        <v>0</v>
      </c>
      <c r="T13">
        <f>CALC_EPM!T6</f>
        <v>0</v>
      </c>
      <c r="U13">
        <f>CALC_EPM!U6</f>
        <v>0</v>
      </c>
    </row>
    <row r="14" spans="1:21" x14ac:dyDescent="0.2">
      <c r="A14" t="str">
        <f>IF(CALC_EPM!A7="GLOBAL",IF(CALC_EPM!C7="Total","GLOBAL",IF(CALC_EPM!C7="TotalEsp","GLOBAL_ESP",IF(CALC_EPM!C7="TotalNoEsp","GLOBAL_NOESP","GLOBAL_ASIG"))),IF(CALC_EPM!C7="Total","CURSO_TOTAL",IF(CALC_EPM!C7="TotalEsp","CURSO_ESP",IF(CALC_EPM!C7="TotalNoEsp","CURSO_NOESP","CURSO_ASIG"))))</f>
        <v>GLOBAL_ASIG</v>
      </c>
      <c r="B14" t="str">
        <f>CALC_EPM!A7</f>
        <v>GLOBAL</v>
      </c>
      <c r="C14" t="str">
        <f>CALC_EPM!B7</f>
        <v>Orquesta/Banda/Conjunto</v>
      </c>
      <c r="D14">
        <f>CALC_EPM!D7</f>
        <v>0</v>
      </c>
      <c r="E14" s="10" t="str">
        <f>CALC_EPM!E7</f>
        <v>—</v>
      </c>
      <c r="F14" s="10" t="str">
        <f>CALC_EPM!F7</f>
        <v>—</v>
      </c>
      <c r="G14" t="str">
        <f>CALC_EPM!G7</f>
        <v>—</v>
      </c>
      <c r="H14" s="11" t="str">
        <f>CALC_EPM!H7</f>
        <v>—</v>
      </c>
      <c r="I14" s="11" t="str">
        <f>CALC_EPM!I7</f>
        <v>—</v>
      </c>
      <c r="J14" t="str">
        <f>CALC_EPM!J7</f>
        <v>—</v>
      </c>
      <c r="K14" t="str">
        <f>CALC_EPM!K7</f>
        <v>—</v>
      </c>
      <c r="L14">
        <f>CALC_EPM!L7</f>
        <v>0</v>
      </c>
      <c r="M14">
        <f>CALC_EPM!M7</f>
        <v>0</v>
      </c>
      <c r="N14">
        <f>CALC_EPM!N7</f>
        <v>0</v>
      </c>
      <c r="O14">
        <f>CALC_EPM!O7</f>
        <v>0</v>
      </c>
      <c r="P14">
        <f>CALC_EPM!P7</f>
        <v>0</v>
      </c>
      <c r="Q14">
        <f>CALC_EPM!Q7</f>
        <v>0</v>
      </c>
      <c r="R14">
        <f>CALC_EPM!R7</f>
        <v>0</v>
      </c>
      <c r="S14">
        <f>CALC_EPM!S7</f>
        <v>0</v>
      </c>
      <c r="T14">
        <f>CALC_EPM!T7</f>
        <v>0</v>
      </c>
      <c r="U14">
        <f>CALC_EPM!U7</f>
        <v>0</v>
      </c>
    </row>
    <row r="15" spans="1:21" x14ac:dyDescent="0.2">
      <c r="A15" t="str">
        <f>IF(CALC_EPM!A8="GLOBAL",IF(CALC_EPM!C8="Total","GLOBAL",IF(CALC_EPM!C8="TotalEsp","GLOBAL_ESP",IF(CALC_EPM!C8="TotalNoEsp","GLOBAL_NOESP","GLOBAL_ASIG"))),IF(CALC_EPM!C8="Total","CURSO_TOTAL",IF(CALC_EPM!C8="TotalEsp","CURSO_ESP",IF(CALC_EPM!C8="TotalNoEsp","CURSO_NOESP","CURSO_ASIG"))))</f>
        <v>GLOBAL_ASIG</v>
      </c>
      <c r="B15" t="str">
        <f>CALC_EPM!A8</f>
        <v>GLOBAL</v>
      </c>
      <c r="C15" t="str">
        <f>CALC_EPM!B8</f>
        <v>Arpa</v>
      </c>
      <c r="D15">
        <f>CALC_EPM!D8</f>
        <v>0</v>
      </c>
      <c r="E15" s="10" t="str">
        <f>CALC_EPM!E8</f>
        <v>—</v>
      </c>
      <c r="F15" s="10" t="str">
        <f>CALC_EPM!F8</f>
        <v>—</v>
      </c>
      <c r="G15" t="str">
        <f>CALC_EPM!G8</f>
        <v>—</v>
      </c>
      <c r="H15" s="11" t="str">
        <f>CALC_EPM!H8</f>
        <v>—</v>
      </c>
      <c r="I15" s="11" t="str">
        <f>CALC_EPM!I8</f>
        <v>—</v>
      </c>
      <c r="J15" t="str">
        <f>CALC_EPM!J8</f>
        <v>—</v>
      </c>
      <c r="K15" t="str">
        <f>CALC_EPM!K8</f>
        <v>—</v>
      </c>
      <c r="L15">
        <f>CALC_EPM!L8</f>
        <v>0</v>
      </c>
      <c r="M15">
        <f>CALC_EPM!M8</f>
        <v>0</v>
      </c>
      <c r="N15">
        <f>CALC_EPM!N8</f>
        <v>0</v>
      </c>
      <c r="O15">
        <f>CALC_EPM!O8</f>
        <v>0</v>
      </c>
      <c r="P15">
        <f>CALC_EPM!P8</f>
        <v>0</v>
      </c>
      <c r="Q15">
        <f>CALC_EPM!Q8</f>
        <v>0</v>
      </c>
      <c r="R15">
        <f>CALC_EPM!R8</f>
        <v>0</v>
      </c>
      <c r="S15">
        <f>CALC_EPM!S8</f>
        <v>0</v>
      </c>
      <c r="T15">
        <f>CALC_EPM!T8</f>
        <v>0</v>
      </c>
      <c r="U15">
        <f>CALC_EPM!U8</f>
        <v>0</v>
      </c>
    </row>
    <row r="16" spans="1:21" x14ac:dyDescent="0.2">
      <c r="A16" t="str">
        <f>IF(CALC_EPM!A9="GLOBAL",IF(CALC_EPM!C9="Total","GLOBAL",IF(CALC_EPM!C9="TotalEsp","GLOBAL_ESP",IF(CALC_EPM!C9="TotalNoEsp","GLOBAL_NOESP","GLOBAL_ASIG"))),IF(CALC_EPM!C9="Total","CURSO_TOTAL",IF(CALC_EPM!C9="TotalEsp","CURSO_ESP",IF(CALC_EPM!C9="TotalNoEsp","CURSO_NOESP","CURSO_ASIG"))))</f>
        <v>GLOBAL_ASIG</v>
      </c>
      <c r="B16" t="str">
        <f>CALC_EPM!A9</f>
        <v>GLOBAL</v>
      </c>
      <c r="C16" t="str">
        <f>CALC_EPM!B9</f>
        <v>Bajo Eléctrico</v>
      </c>
      <c r="D16">
        <f>CALC_EPM!D9</f>
        <v>0</v>
      </c>
      <c r="E16" s="10" t="str">
        <f>CALC_EPM!E9</f>
        <v>—</v>
      </c>
      <c r="F16" s="10" t="str">
        <f>CALC_EPM!F9</f>
        <v>—</v>
      </c>
      <c r="G16" t="str">
        <f>CALC_EPM!G9</f>
        <v>—</v>
      </c>
      <c r="H16" s="11" t="str">
        <f>CALC_EPM!H9</f>
        <v>—</v>
      </c>
      <c r="I16" s="11" t="str">
        <f>CALC_EPM!I9</f>
        <v>—</v>
      </c>
      <c r="J16" t="str">
        <f>CALC_EPM!J9</f>
        <v>—</v>
      </c>
      <c r="K16" t="str">
        <f>CALC_EPM!K9</f>
        <v>—</v>
      </c>
      <c r="L16">
        <f>CALC_EPM!L9</f>
        <v>0</v>
      </c>
      <c r="M16">
        <f>CALC_EPM!M9</f>
        <v>0</v>
      </c>
      <c r="N16">
        <f>CALC_EPM!N9</f>
        <v>0</v>
      </c>
      <c r="O16">
        <f>CALC_EPM!O9</f>
        <v>0</v>
      </c>
      <c r="P16">
        <f>CALC_EPM!P9</f>
        <v>0</v>
      </c>
      <c r="Q16">
        <f>CALC_EPM!Q9</f>
        <v>0</v>
      </c>
      <c r="R16">
        <f>CALC_EPM!R9</f>
        <v>0</v>
      </c>
      <c r="S16">
        <f>CALC_EPM!S9</f>
        <v>0</v>
      </c>
      <c r="T16">
        <f>CALC_EPM!T9</f>
        <v>0</v>
      </c>
      <c r="U16">
        <f>CALC_EPM!U9</f>
        <v>0</v>
      </c>
    </row>
    <row r="17" spans="1:21" x14ac:dyDescent="0.2">
      <c r="A17" t="str">
        <f>IF(CALC_EPM!A10="GLOBAL",IF(CALC_EPM!C10="Total","GLOBAL",IF(CALC_EPM!C10="TotalEsp","GLOBAL_ESP",IF(CALC_EPM!C10="TotalNoEsp","GLOBAL_NOESP","GLOBAL_ASIG"))),IF(CALC_EPM!C10="Total","CURSO_TOTAL",IF(CALC_EPM!C10="TotalEsp","CURSO_ESP",IF(CALC_EPM!C10="TotalNoEsp","CURSO_NOESP","CURSO_ASIG"))))</f>
        <v>GLOBAL_ASIG</v>
      </c>
      <c r="B17" t="str">
        <f>CALC_EPM!A10</f>
        <v>GLOBAL</v>
      </c>
      <c r="C17" t="str">
        <f>CALC_EPM!B10</f>
        <v>Canto</v>
      </c>
      <c r="D17">
        <f>CALC_EPM!D10</f>
        <v>0</v>
      </c>
      <c r="E17" s="10" t="str">
        <f>CALC_EPM!E10</f>
        <v>—</v>
      </c>
      <c r="F17" s="10" t="str">
        <f>CALC_EPM!F10</f>
        <v>—</v>
      </c>
      <c r="G17" t="str">
        <f>CALC_EPM!G10</f>
        <v>—</v>
      </c>
      <c r="H17" s="11" t="str">
        <f>CALC_EPM!H10</f>
        <v>—</v>
      </c>
      <c r="I17" s="11" t="str">
        <f>CALC_EPM!I10</f>
        <v>—</v>
      </c>
      <c r="J17" t="str">
        <f>CALC_EPM!J10</f>
        <v>—</v>
      </c>
      <c r="K17" t="str">
        <f>CALC_EPM!K10</f>
        <v>—</v>
      </c>
      <c r="L17">
        <f>CALC_EPM!L10</f>
        <v>0</v>
      </c>
      <c r="M17">
        <f>CALC_EPM!M10</f>
        <v>0</v>
      </c>
      <c r="N17">
        <f>CALC_EPM!N10</f>
        <v>0</v>
      </c>
      <c r="O17">
        <f>CALC_EPM!O10</f>
        <v>0</v>
      </c>
      <c r="P17">
        <f>CALC_EPM!P10</f>
        <v>0</v>
      </c>
      <c r="Q17">
        <f>CALC_EPM!Q10</f>
        <v>0</v>
      </c>
      <c r="R17">
        <f>CALC_EPM!R10</f>
        <v>0</v>
      </c>
      <c r="S17">
        <f>CALC_EPM!S10</f>
        <v>0</v>
      </c>
      <c r="T17">
        <f>CALC_EPM!T10</f>
        <v>0</v>
      </c>
      <c r="U17">
        <f>CALC_EPM!U10</f>
        <v>0</v>
      </c>
    </row>
    <row r="18" spans="1:21" x14ac:dyDescent="0.2">
      <c r="A18" t="str">
        <f>IF(CALC_EPM!A11="GLOBAL",IF(CALC_EPM!C11="Total","GLOBAL",IF(CALC_EPM!C11="TotalEsp","GLOBAL_ESP",IF(CALC_EPM!C11="TotalNoEsp","GLOBAL_NOESP","GLOBAL_ASIG"))),IF(CALC_EPM!C11="Total","CURSO_TOTAL",IF(CALC_EPM!C11="TotalEsp","CURSO_ESP",IF(CALC_EPM!C11="TotalNoEsp","CURSO_NOESP","CURSO_ASIG"))))</f>
        <v>GLOBAL_ASIG</v>
      </c>
      <c r="B18" t="str">
        <f>CALC_EPM!A11</f>
        <v>GLOBAL</v>
      </c>
      <c r="C18" t="str">
        <f>CALC_EPM!B11</f>
        <v>Clarinete</v>
      </c>
      <c r="D18">
        <f>CALC_EPM!D11</f>
        <v>0</v>
      </c>
      <c r="E18" s="10" t="str">
        <f>CALC_EPM!E11</f>
        <v>—</v>
      </c>
      <c r="F18" s="10" t="str">
        <f>CALC_EPM!F11</f>
        <v>—</v>
      </c>
      <c r="G18" t="str">
        <f>CALC_EPM!G11</f>
        <v>—</v>
      </c>
      <c r="H18" s="11" t="str">
        <f>CALC_EPM!H11</f>
        <v>—</v>
      </c>
      <c r="I18" s="11" t="str">
        <f>CALC_EPM!I11</f>
        <v>—</v>
      </c>
      <c r="J18" t="str">
        <f>CALC_EPM!J11</f>
        <v>—</v>
      </c>
      <c r="K18" t="str">
        <f>CALC_EPM!K11</f>
        <v>—</v>
      </c>
      <c r="L18">
        <f>CALC_EPM!L11</f>
        <v>0</v>
      </c>
      <c r="M18">
        <f>CALC_EPM!M11</f>
        <v>0</v>
      </c>
      <c r="N18">
        <f>CALC_EPM!N11</f>
        <v>0</v>
      </c>
      <c r="O18">
        <f>CALC_EPM!O11</f>
        <v>0</v>
      </c>
      <c r="P18">
        <f>CALC_EPM!P11</f>
        <v>0</v>
      </c>
      <c r="Q18">
        <f>CALC_EPM!Q11</f>
        <v>0</v>
      </c>
      <c r="R18">
        <f>CALC_EPM!R11</f>
        <v>0</v>
      </c>
      <c r="S18">
        <f>CALC_EPM!S11</f>
        <v>0</v>
      </c>
      <c r="T18">
        <f>CALC_EPM!T11</f>
        <v>0</v>
      </c>
      <c r="U18">
        <f>CALC_EPM!U11</f>
        <v>0</v>
      </c>
    </row>
    <row r="19" spans="1:21" x14ac:dyDescent="0.2">
      <c r="A19" t="str">
        <f>IF(CALC_EPM!A12="GLOBAL",IF(CALC_EPM!C12="Total","GLOBAL",IF(CALC_EPM!C12="TotalEsp","GLOBAL_ESP",IF(CALC_EPM!C12="TotalNoEsp","GLOBAL_NOESP","GLOBAL_ASIG"))),IF(CALC_EPM!C12="Total","CURSO_TOTAL",IF(CALC_EPM!C12="TotalEsp","CURSO_ESP",IF(CALC_EPM!C12="TotalNoEsp","CURSO_NOESP","CURSO_ASIG"))))</f>
        <v>GLOBAL_ASIG</v>
      </c>
      <c r="B19" t="str">
        <f>CALC_EPM!A12</f>
        <v>GLOBAL</v>
      </c>
      <c r="C19" t="str">
        <f>CALC_EPM!B12</f>
        <v>Contrabajo</v>
      </c>
      <c r="D19">
        <f>CALC_EPM!D12</f>
        <v>0</v>
      </c>
      <c r="E19" s="10" t="str">
        <f>CALC_EPM!E12</f>
        <v>—</v>
      </c>
      <c r="F19" s="10" t="str">
        <f>CALC_EPM!F12</f>
        <v>—</v>
      </c>
      <c r="G19" t="str">
        <f>CALC_EPM!G12</f>
        <v>—</v>
      </c>
      <c r="H19" s="11" t="str">
        <f>CALC_EPM!H12</f>
        <v>—</v>
      </c>
      <c r="I19" s="11" t="str">
        <f>CALC_EPM!I12</f>
        <v>—</v>
      </c>
      <c r="J19" t="str">
        <f>CALC_EPM!J12</f>
        <v>—</v>
      </c>
      <c r="K19" t="str">
        <f>CALC_EPM!K12</f>
        <v>—</v>
      </c>
      <c r="L19">
        <f>CALC_EPM!L12</f>
        <v>0</v>
      </c>
      <c r="M19">
        <f>CALC_EPM!M12</f>
        <v>0</v>
      </c>
      <c r="N19">
        <f>CALC_EPM!N12</f>
        <v>0</v>
      </c>
      <c r="O19">
        <f>CALC_EPM!O12</f>
        <v>0</v>
      </c>
      <c r="P19">
        <f>CALC_EPM!P12</f>
        <v>0</v>
      </c>
      <c r="Q19">
        <f>CALC_EPM!Q12</f>
        <v>0</v>
      </c>
      <c r="R19">
        <f>CALC_EPM!R12</f>
        <v>0</v>
      </c>
      <c r="S19">
        <f>CALC_EPM!S12</f>
        <v>0</v>
      </c>
      <c r="T19">
        <f>CALC_EPM!T12</f>
        <v>0</v>
      </c>
      <c r="U19">
        <f>CALC_EPM!U12</f>
        <v>0</v>
      </c>
    </row>
    <row r="20" spans="1:21" x14ac:dyDescent="0.2">
      <c r="A20" t="str">
        <f>IF(CALC_EPM!A13="GLOBAL",IF(CALC_EPM!C13="Total","GLOBAL",IF(CALC_EPM!C13="TotalEsp","GLOBAL_ESP",IF(CALC_EPM!C13="TotalNoEsp","GLOBAL_NOESP","GLOBAL_ASIG"))),IF(CALC_EPM!C13="Total","CURSO_TOTAL",IF(CALC_EPM!C13="TotalEsp","CURSO_ESP",IF(CALC_EPM!C13="TotalNoEsp","CURSO_NOESP","CURSO_ASIG"))))</f>
        <v>GLOBAL_ASIG</v>
      </c>
      <c r="B20" t="str">
        <f>CALC_EPM!A13</f>
        <v>GLOBAL</v>
      </c>
      <c r="C20" t="str">
        <f>CALC_EPM!B13</f>
        <v>Dolçaina</v>
      </c>
      <c r="D20">
        <f>CALC_EPM!D13</f>
        <v>0</v>
      </c>
      <c r="E20" s="10" t="str">
        <f>CALC_EPM!E13</f>
        <v>—</v>
      </c>
      <c r="F20" s="10" t="str">
        <f>CALC_EPM!F13</f>
        <v>—</v>
      </c>
      <c r="G20" t="str">
        <f>CALC_EPM!G13</f>
        <v>—</v>
      </c>
      <c r="H20" s="11" t="str">
        <f>CALC_EPM!H13</f>
        <v>—</v>
      </c>
      <c r="I20" s="11" t="str">
        <f>CALC_EPM!I13</f>
        <v>—</v>
      </c>
      <c r="J20" t="str">
        <f>CALC_EPM!J13</f>
        <v>—</v>
      </c>
      <c r="K20" t="str">
        <f>CALC_EPM!K13</f>
        <v>—</v>
      </c>
      <c r="L20">
        <f>CALC_EPM!L13</f>
        <v>0</v>
      </c>
      <c r="M20">
        <f>CALC_EPM!M13</f>
        <v>0</v>
      </c>
      <c r="N20">
        <f>CALC_EPM!N13</f>
        <v>0</v>
      </c>
      <c r="O20">
        <f>CALC_EPM!O13</f>
        <v>0</v>
      </c>
      <c r="P20">
        <f>CALC_EPM!P13</f>
        <v>0</v>
      </c>
      <c r="Q20">
        <f>CALC_EPM!Q13</f>
        <v>0</v>
      </c>
      <c r="R20">
        <f>CALC_EPM!R13</f>
        <v>0</v>
      </c>
      <c r="S20">
        <f>CALC_EPM!S13</f>
        <v>0</v>
      </c>
      <c r="T20">
        <f>CALC_EPM!T13</f>
        <v>0</v>
      </c>
      <c r="U20">
        <f>CALC_EPM!U13</f>
        <v>0</v>
      </c>
    </row>
    <row r="21" spans="1:21" x14ac:dyDescent="0.2">
      <c r="A21" t="str">
        <f>IF(CALC_EPM!A14="GLOBAL",IF(CALC_EPM!C14="Total","GLOBAL",IF(CALC_EPM!C14="TotalEsp","GLOBAL_ESP",IF(CALC_EPM!C14="TotalNoEsp","GLOBAL_NOESP","GLOBAL_ASIG"))),IF(CALC_EPM!C14="Total","CURSO_TOTAL",IF(CALC_EPM!C14="TotalEsp","CURSO_ESP",IF(CALC_EPM!C14="TotalNoEsp","CURSO_NOESP","CURSO_ASIG"))))</f>
        <v>GLOBAL_ASIG</v>
      </c>
      <c r="B21" t="str">
        <f>CALC_EPM!A14</f>
        <v>GLOBAL</v>
      </c>
      <c r="C21" t="str">
        <f>CALC_EPM!B14</f>
        <v>Fagot</v>
      </c>
      <c r="D21">
        <f>CALC_EPM!D14</f>
        <v>0</v>
      </c>
      <c r="E21" s="10" t="str">
        <f>CALC_EPM!E14</f>
        <v>—</v>
      </c>
      <c r="F21" s="10" t="str">
        <f>CALC_EPM!F14</f>
        <v>—</v>
      </c>
      <c r="G21" t="str">
        <f>CALC_EPM!G14</f>
        <v>—</v>
      </c>
      <c r="H21" s="11" t="str">
        <f>CALC_EPM!H14</f>
        <v>—</v>
      </c>
      <c r="I21" s="11" t="str">
        <f>CALC_EPM!I14</f>
        <v>—</v>
      </c>
      <c r="J21" t="str">
        <f>CALC_EPM!J14</f>
        <v>—</v>
      </c>
      <c r="K21" t="str">
        <f>CALC_EPM!K14</f>
        <v>—</v>
      </c>
      <c r="L21">
        <f>CALC_EPM!L14</f>
        <v>0</v>
      </c>
      <c r="M21">
        <f>CALC_EPM!M14</f>
        <v>0</v>
      </c>
      <c r="N21">
        <f>CALC_EPM!N14</f>
        <v>0</v>
      </c>
      <c r="O21">
        <f>CALC_EPM!O14</f>
        <v>0</v>
      </c>
      <c r="P21">
        <f>CALC_EPM!P14</f>
        <v>0</v>
      </c>
      <c r="Q21">
        <f>CALC_EPM!Q14</f>
        <v>0</v>
      </c>
      <c r="R21">
        <f>CALC_EPM!R14</f>
        <v>0</v>
      </c>
      <c r="S21">
        <f>CALC_EPM!S14</f>
        <v>0</v>
      </c>
      <c r="T21">
        <f>CALC_EPM!T14</f>
        <v>0</v>
      </c>
      <c r="U21">
        <f>CALC_EPM!U14</f>
        <v>0</v>
      </c>
    </row>
    <row r="22" spans="1:21" x14ac:dyDescent="0.2">
      <c r="A22" t="str">
        <f>IF(CALC_EPM!A15="GLOBAL",IF(CALC_EPM!C15="Total","GLOBAL",IF(CALC_EPM!C15="TotalEsp","GLOBAL_ESP",IF(CALC_EPM!C15="TotalNoEsp","GLOBAL_NOESP","GLOBAL_ASIG"))),IF(CALC_EPM!C15="Total","CURSO_TOTAL",IF(CALC_EPM!C15="TotalEsp","CURSO_ESP",IF(CALC_EPM!C15="TotalNoEsp","CURSO_NOESP","CURSO_ASIG"))))</f>
        <v>GLOBAL_ASIG</v>
      </c>
      <c r="B22" t="str">
        <f>CALC_EPM!A15</f>
        <v>GLOBAL</v>
      </c>
      <c r="C22" t="str">
        <f>CALC_EPM!B15</f>
        <v>Flauta Travesera</v>
      </c>
      <c r="D22">
        <f>CALC_EPM!D15</f>
        <v>0</v>
      </c>
      <c r="E22" s="10" t="str">
        <f>CALC_EPM!E15</f>
        <v>—</v>
      </c>
      <c r="F22" s="10" t="str">
        <f>CALC_EPM!F15</f>
        <v>—</v>
      </c>
      <c r="G22" t="str">
        <f>CALC_EPM!G15</f>
        <v>—</v>
      </c>
      <c r="H22" s="11" t="str">
        <f>CALC_EPM!H15</f>
        <v>—</v>
      </c>
      <c r="I22" s="11" t="str">
        <f>CALC_EPM!I15</f>
        <v>—</v>
      </c>
      <c r="J22" t="str">
        <f>CALC_EPM!J15</f>
        <v>—</v>
      </c>
      <c r="K22" t="str">
        <f>CALC_EPM!K15</f>
        <v>—</v>
      </c>
      <c r="L22">
        <f>CALC_EPM!L15</f>
        <v>0</v>
      </c>
      <c r="M22">
        <f>CALC_EPM!M15</f>
        <v>0</v>
      </c>
      <c r="N22">
        <f>CALC_EPM!N15</f>
        <v>0</v>
      </c>
      <c r="O22">
        <f>CALC_EPM!O15</f>
        <v>0</v>
      </c>
      <c r="P22">
        <f>CALC_EPM!P15</f>
        <v>0</v>
      </c>
      <c r="Q22">
        <f>CALC_EPM!Q15</f>
        <v>0</v>
      </c>
      <c r="R22">
        <f>CALC_EPM!R15</f>
        <v>0</v>
      </c>
      <c r="S22">
        <f>CALC_EPM!S15</f>
        <v>0</v>
      </c>
      <c r="T22">
        <f>CALC_EPM!T15</f>
        <v>0</v>
      </c>
      <c r="U22">
        <f>CALC_EPM!U15</f>
        <v>0</v>
      </c>
    </row>
    <row r="23" spans="1:21" x14ac:dyDescent="0.2">
      <c r="A23" t="str">
        <f>IF(CALC_EPM!A16="GLOBAL",IF(CALC_EPM!C16="Total","GLOBAL",IF(CALC_EPM!C16="TotalEsp","GLOBAL_ESP",IF(CALC_EPM!C16="TotalNoEsp","GLOBAL_NOESP","GLOBAL_ASIG"))),IF(CALC_EPM!C16="Total","CURSO_TOTAL",IF(CALC_EPM!C16="TotalEsp","CURSO_ESP",IF(CALC_EPM!C16="TotalNoEsp","CURSO_NOESP","CURSO_ASIG"))))</f>
        <v>GLOBAL_ASIG</v>
      </c>
      <c r="B23" t="str">
        <f>CALC_EPM!A16</f>
        <v>GLOBAL</v>
      </c>
      <c r="C23" t="str">
        <f>CALC_EPM!B16</f>
        <v>Guitarra</v>
      </c>
      <c r="D23">
        <f>CALC_EPM!D16</f>
        <v>0</v>
      </c>
      <c r="E23" s="10" t="str">
        <f>CALC_EPM!E16</f>
        <v>—</v>
      </c>
      <c r="F23" s="10" t="str">
        <f>CALC_EPM!F16</f>
        <v>—</v>
      </c>
      <c r="G23" t="str">
        <f>CALC_EPM!G16</f>
        <v>—</v>
      </c>
      <c r="H23" s="11" t="str">
        <f>CALC_EPM!H16</f>
        <v>—</v>
      </c>
      <c r="I23" s="11" t="str">
        <f>CALC_EPM!I16</f>
        <v>—</v>
      </c>
      <c r="J23" t="str">
        <f>CALC_EPM!J16</f>
        <v>—</v>
      </c>
      <c r="K23" t="str">
        <f>CALC_EPM!K16</f>
        <v>—</v>
      </c>
      <c r="L23">
        <f>CALC_EPM!L16</f>
        <v>0</v>
      </c>
      <c r="M23">
        <f>CALC_EPM!M16</f>
        <v>0</v>
      </c>
      <c r="N23">
        <f>CALC_EPM!N16</f>
        <v>0</v>
      </c>
      <c r="O23">
        <f>CALC_EPM!O16</f>
        <v>0</v>
      </c>
      <c r="P23">
        <f>CALC_EPM!P16</f>
        <v>0</v>
      </c>
      <c r="Q23">
        <f>CALC_EPM!Q16</f>
        <v>0</v>
      </c>
      <c r="R23">
        <f>CALC_EPM!R16</f>
        <v>0</v>
      </c>
      <c r="S23">
        <f>CALC_EPM!S16</f>
        <v>0</v>
      </c>
      <c r="T23">
        <f>CALC_EPM!T16</f>
        <v>0</v>
      </c>
      <c r="U23">
        <f>CALC_EPM!U16</f>
        <v>0</v>
      </c>
    </row>
    <row r="24" spans="1:21" x14ac:dyDescent="0.2">
      <c r="A24" t="str">
        <f>IF(CALC_EPM!A17="GLOBAL",IF(CALC_EPM!C17="Total","GLOBAL",IF(CALC_EPM!C17="TotalEsp","GLOBAL_ESP",IF(CALC_EPM!C17="TotalNoEsp","GLOBAL_NOESP","GLOBAL_ASIG"))),IF(CALC_EPM!C17="Total","CURSO_TOTAL",IF(CALC_EPM!C17="TotalEsp","CURSO_ESP",IF(CALC_EPM!C17="TotalNoEsp","CURSO_NOESP","CURSO_ASIG"))))</f>
        <v>GLOBAL_ASIG</v>
      </c>
      <c r="B24" t="str">
        <f>CALC_EPM!A17</f>
        <v>GLOBAL</v>
      </c>
      <c r="C24" t="str">
        <f>CALC_EPM!B17</f>
        <v>Guitarra Eléctrica</v>
      </c>
      <c r="D24">
        <f>CALC_EPM!D17</f>
        <v>0</v>
      </c>
      <c r="E24" s="10" t="str">
        <f>CALC_EPM!E17</f>
        <v>—</v>
      </c>
      <c r="F24" s="10" t="str">
        <f>CALC_EPM!F17</f>
        <v>—</v>
      </c>
      <c r="G24" t="str">
        <f>CALC_EPM!G17</f>
        <v>—</v>
      </c>
      <c r="H24" s="11" t="str">
        <f>CALC_EPM!H17</f>
        <v>—</v>
      </c>
      <c r="I24" s="11" t="str">
        <f>CALC_EPM!I17</f>
        <v>—</v>
      </c>
      <c r="J24" t="str">
        <f>CALC_EPM!J17</f>
        <v>—</v>
      </c>
      <c r="K24" t="str">
        <f>CALC_EPM!K17</f>
        <v>—</v>
      </c>
      <c r="L24">
        <f>CALC_EPM!L17</f>
        <v>0</v>
      </c>
      <c r="M24">
        <f>CALC_EPM!M17</f>
        <v>0</v>
      </c>
      <c r="N24">
        <f>CALC_EPM!N17</f>
        <v>0</v>
      </c>
      <c r="O24">
        <f>CALC_EPM!O17</f>
        <v>0</v>
      </c>
      <c r="P24">
        <f>CALC_EPM!P17</f>
        <v>0</v>
      </c>
      <c r="Q24">
        <f>CALC_EPM!Q17</f>
        <v>0</v>
      </c>
      <c r="R24">
        <f>CALC_EPM!R17</f>
        <v>0</v>
      </c>
      <c r="S24">
        <f>CALC_EPM!S17</f>
        <v>0</v>
      </c>
      <c r="T24">
        <f>CALC_EPM!T17</f>
        <v>0</v>
      </c>
      <c r="U24">
        <f>CALC_EPM!U17</f>
        <v>0</v>
      </c>
    </row>
    <row r="25" spans="1:21" x14ac:dyDescent="0.2">
      <c r="A25" t="str">
        <f>IF(CALC_EPM!A18="GLOBAL",IF(CALC_EPM!C18="Total","GLOBAL",IF(CALC_EPM!C18="TotalEsp","GLOBAL_ESP",IF(CALC_EPM!C18="TotalNoEsp","GLOBAL_NOESP","GLOBAL_ASIG"))),IF(CALC_EPM!C18="Total","CURSO_TOTAL",IF(CALC_EPM!C18="TotalEsp","CURSO_ESP",IF(CALC_EPM!C18="TotalNoEsp","CURSO_NOESP","CURSO_ASIG"))))</f>
        <v>GLOBAL_ASIG</v>
      </c>
      <c r="B25" t="str">
        <f>CALC_EPM!A18</f>
        <v>GLOBAL</v>
      </c>
      <c r="C25" t="str">
        <f>CALC_EPM!B18</f>
        <v>Oboe</v>
      </c>
      <c r="D25">
        <f>CALC_EPM!D18</f>
        <v>0</v>
      </c>
      <c r="E25" s="10" t="str">
        <f>CALC_EPM!E18</f>
        <v>—</v>
      </c>
      <c r="F25" s="10" t="str">
        <f>CALC_EPM!F18</f>
        <v>—</v>
      </c>
      <c r="G25" t="str">
        <f>CALC_EPM!G18</f>
        <v>—</v>
      </c>
      <c r="H25" s="11" t="str">
        <f>CALC_EPM!H18</f>
        <v>—</v>
      </c>
      <c r="I25" s="11" t="str">
        <f>CALC_EPM!I18</f>
        <v>—</v>
      </c>
      <c r="J25" t="str">
        <f>CALC_EPM!J18</f>
        <v>—</v>
      </c>
      <c r="K25" t="str">
        <f>CALC_EPM!K18</f>
        <v>—</v>
      </c>
      <c r="L25">
        <f>CALC_EPM!L18</f>
        <v>0</v>
      </c>
      <c r="M25">
        <f>CALC_EPM!M18</f>
        <v>0</v>
      </c>
      <c r="N25">
        <f>CALC_EPM!N18</f>
        <v>0</v>
      </c>
      <c r="O25">
        <f>CALC_EPM!O18</f>
        <v>0</v>
      </c>
      <c r="P25">
        <f>CALC_EPM!P18</f>
        <v>0</v>
      </c>
      <c r="Q25">
        <f>CALC_EPM!Q18</f>
        <v>0</v>
      </c>
      <c r="R25">
        <f>CALC_EPM!R18</f>
        <v>0</v>
      </c>
      <c r="S25">
        <f>CALC_EPM!S18</f>
        <v>0</v>
      </c>
      <c r="T25">
        <f>CALC_EPM!T18</f>
        <v>0</v>
      </c>
      <c r="U25">
        <f>CALC_EPM!U18</f>
        <v>0</v>
      </c>
    </row>
    <row r="26" spans="1:21" x14ac:dyDescent="0.2">
      <c r="A26" t="str">
        <f>IF(CALC_EPM!A19="GLOBAL",IF(CALC_EPM!C19="Total","GLOBAL",IF(CALC_EPM!C19="TotalEsp","GLOBAL_ESP",IF(CALC_EPM!C19="TotalNoEsp","GLOBAL_NOESP","GLOBAL_ASIG"))),IF(CALC_EPM!C19="Total","CURSO_TOTAL",IF(CALC_EPM!C19="TotalEsp","CURSO_ESP",IF(CALC_EPM!C19="TotalNoEsp","CURSO_NOESP","CURSO_ASIG"))))</f>
        <v>GLOBAL_ASIG</v>
      </c>
      <c r="B26" t="str">
        <f>CALC_EPM!A19</f>
        <v>GLOBAL</v>
      </c>
      <c r="C26" t="str">
        <f>CALC_EPM!B19</f>
        <v>Percusión</v>
      </c>
      <c r="D26">
        <f>CALC_EPM!D19</f>
        <v>0</v>
      </c>
      <c r="E26" s="10" t="str">
        <f>CALC_EPM!E19</f>
        <v>—</v>
      </c>
      <c r="F26" s="10" t="str">
        <f>CALC_EPM!F19</f>
        <v>—</v>
      </c>
      <c r="G26" t="str">
        <f>CALC_EPM!G19</f>
        <v>—</v>
      </c>
      <c r="H26" s="11" t="str">
        <f>CALC_EPM!H19</f>
        <v>—</v>
      </c>
      <c r="I26" s="11" t="str">
        <f>CALC_EPM!I19</f>
        <v>—</v>
      </c>
      <c r="J26" t="str">
        <f>CALC_EPM!J19</f>
        <v>—</v>
      </c>
      <c r="K26" t="str">
        <f>CALC_EPM!K19</f>
        <v>—</v>
      </c>
      <c r="L26">
        <f>CALC_EPM!L19</f>
        <v>0</v>
      </c>
      <c r="M26">
        <f>CALC_EPM!M19</f>
        <v>0</v>
      </c>
      <c r="N26">
        <f>CALC_EPM!N19</f>
        <v>0</v>
      </c>
      <c r="O26">
        <f>CALC_EPM!O19</f>
        <v>0</v>
      </c>
      <c r="P26">
        <f>CALC_EPM!P19</f>
        <v>0</v>
      </c>
      <c r="Q26">
        <f>CALC_EPM!Q19</f>
        <v>0</v>
      </c>
      <c r="R26">
        <f>CALC_EPM!R19</f>
        <v>0</v>
      </c>
      <c r="S26">
        <f>CALC_EPM!S19</f>
        <v>0</v>
      </c>
      <c r="T26">
        <f>CALC_EPM!T19</f>
        <v>0</v>
      </c>
      <c r="U26">
        <f>CALC_EPM!U19</f>
        <v>0</v>
      </c>
    </row>
    <row r="27" spans="1:21" x14ac:dyDescent="0.2">
      <c r="A27" t="str">
        <f>IF(CALC_EPM!A20="GLOBAL",IF(CALC_EPM!C20="Total","GLOBAL",IF(CALC_EPM!C20="TotalEsp","GLOBAL_ESP",IF(CALC_EPM!C20="TotalNoEsp","GLOBAL_NOESP","GLOBAL_ASIG"))),IF(CALC_EPM!C20="Total","CURSO_TOTAL",IF(CALC_EPM!C20="TotalEsp","CURSO_ESP",IF(CALC_EPM!C20="TotalNoEsp","CURSO_NOESP","CURSO_ASIG"))))</f>
        <v>GLOBAL_ASIG</v>
      </c>
      <c r="B27" t="str">
        <f>CALC_EPM!A20</f>
        <v>GLOBAL</v>
      </c>
      <c r="C27" t="str">
        <f>CALC_EPM!B20</f>
        <v>Piano</v>
      </c>
      <c r="D27">
        <f>CALC_EPM!D20</f>
        <v>0</v>
      </c>
      <c r="E27" s="10" t="str">
        <f>CALC_EPM!E20</f>
        <v>—</v>
      </c>
      <c r="F27" s="10" t="str">
        <f>CALC_EPM!F20</f>
        <v>—</v>
      </c>
      <c r="G27" t="str">
        <f>CALC_EPM!G20</f>
        <v>—</v>
      </c>
      <c r="H27" s="11" t="str">
        <f>CALC_EPM!H20</f>
        <v>—</v>
      </c>
      <c r="I27" s="11" t="str">
        <f>CALC_EPM!I20</f>
        <v>—</v>
      </c>
      <c r="J27" t="str">
        <f>CALC_EPM!J20</f>
        <v>—</v>
      </c>
      <c r="K27" t="str">
        <f>CALC_EPM!K20</f>
        <v>—</v>
      </c>
      <c r="L27">
        <f>CALC_EPM!L20</f>
        <v>0</v>
      </c>
      <c r="M27">
        <f>CALC_EPM!M20</f>
        <v>0</v>
      </c>
      <c r="N27">
        <f>CALC_EPM!N20</f>
        <v>0</v>
      </c>
      <c r="O27">
        <f>CALC_EPM!O20</f>
        <v>0</v>
      </c>
      <c r="P27">
        <f>CALC_EPM!P20</f>
        <v>0</v>
      </c>
      <c r="Q27">
        <f>CALC_EPM!Q20</f>
        <v>0</v>
      </c>
      <c r="R27">
        <f>CALC_EPM!R20</f>
        <v>0</v>
      </c>
      <c r="S27">
        <f>CALC_EPM!S20</f>
        <v>0</v>
      </c>
      <c r="T27">
        <f>CALC_EPM!T20</f>
        <v>0</v>
      </c>
      <c r="U27">
        <f>CALC_EPM!U20</f>
        <v>0</v>
      </c>
    </row>
    <row r="28" spans="1:21" x14ac:dyDescent="0.2">
      <c r="A28" t="str">
        <f>IF(CALC_EPM!A21="GLOBAL",IF(CALC_EPM!C21="Total","GLOBAL",IF(CALC_EPM!C21="TotalEsp","GLOBAL_ESP",IF(CALC_EPM!C21="TotalNoEsp","GLOBAL_NOESP","GLOBAL_ASIG"))),IF(CALC_EPM!C21="Total","CURSO_TOTAL",IF(CALC_EPM!C21="TotalEsp","CURSO_ESP",IF(CALC_EPM!C21="TotalNoEsp","CURSO_NOESP","CURSO_ASIG"))))</f>
        <v>GLOBAL_ASIG</v>
      </c>
      <c r="B28" t="str">
        <f>CALC_EPM!A21</f>
        <v>GLOBAL</v>
      </c>
      <c r="C28" t="str">
        <f>CALC_EPM!B21</f>
        <v>Saxofón</v>
      </c>
      <c r="D28">
        <f>CALC_EPM!D21</f>
        <v>0</v>
      </c>
      <c r="E28" s="10" t="str">
        <f>CALC_EPM!E21</f>
        <v>—</v>
      </c>
      <c r="F28" s="10" t="str">
        <f>CALC_EPM!F21</f>
        <v>—</v>
      </c>
      <c r="G28" t="str">
        <f>CALC_EPM!G21</f>
        <v>—</v>
      </c>
      <c r="H28" s="11" t="str">
        <f>CALC_EPM!H21</f>
        <v>—</v>
      </c>
      <c r="I28" s="11" t="str">
        <f>CALC_EPM!I21</f>
        <v>—</v>
      </c>
      <c r="J28" t="str">
        <f>CALC_EPM!J21</f>
        <v>—</v>
      </c>
      <c r="K28" t="str">
        <f>CALC_EPM!K21</f>
        <v>—</v>
      </c>
      <c r="L28">
        <f>CALC_EPM!L21</f>
        <v>0</v>
      </c>
      <c r="M28">
        <f>CALC_EPM!M21</f>
        <v>0</v>
      </c>
      <c r="N28">
        <f>CALC_EPM!N21</f>
        <v>0</v>
      </c>
      <c r="O28">
        <f>CALC_EPM!O21</f>
        <v>0</v>
      </c>
      <c r="P28">
        <f>CALC_EPM!P21</f>
        <v>0</v>
      </c>
      <c r="Q28">
        <f>CALC_EPM!Q21</f>
        <v>0</v>
      </c>
      <c r="R28">
        <f>CALC_EPM!R21</f>
        <v>0</v>
      </c>
      <c r="S28">
        <f>CALC_EPM!S21</f>
        <v>0</v>
      </c>
      <c r="T28">
        <f>CALC_EPM!T21</f>
        <v>0</v>
      </c>
      <c r="U28">
        <f>CALC_EPM!U21</f>
        <v>0</v>
      </c>
    </row>
    <row r="29" spans="1:21" x14ac:dyDescent="0.2">
      <c r="A29" t="str">
        <f>IF(CALC_EPM!A22="GLOBAL",IF(CALC_EPM!C22="Total","GLOBAL",IF(CALC_EPM!C22="TotalEsp","GLOBAL_ESP",IF(CALC_EPM!C22="TotalNoEsp","GLOBAL_NOESP","GLOBAL_ASIG"))),IF(CALC_EPM!C22="Total","CURSO_TOTAL",IF(CALC_EPM!C22="TotalEsp","CURSO_ESP",IF(CALC_EPM!C22="TotalNoEsp","CURSO_NOESP","CURSO_ASIG"))))</f>
        <v>GLOBAL_ASIG</v>
      </c>
      <c r="B29" t="str">
        <f>CALC_EPM!A22</f>
        <v>GLOBAL</v>
      </c>
      <c r="C29" t="str">
        <f>CALC_EPM!B22</f>
        <v>Trombón</v>
      </c>
      <c r="D29">
        <f>CALC_EPM!D22</f>
        <v>0</v>
      </c>
      <c r="E29" s="10" t="str">
        <f>CALC_EPM!E22</f>
        <v>—</v>
      </c>
      <c r="F29" s="10" t="str">
        <f>CALC_EPM!F22</f>
        <v>—</v>
      </c>
      <c r="G29" t="str">
        <f>CALC_EPM!G22</f>
        <v>—</v>
      </c>
      <c r="H29" s="11" t="str">
        <f>CALC_EPM!H22</f>
        <v>—</v>
      </c>
      <c r="I29" s="11" t="str">
        <f>CALC_EPM!I22</f>
        <v>—</v>
      </c>
      <c r="J29" t="str">
        <f>CALC_EPM!J22</f>
        <v>—</v>
      </c>
      <c r="K29" t="str">
        <f>CALC_EPM!K22</f>
        <v>—</v>
      </c>
      <c r="L29">
        <f>CALC_EPM!L22</f>
        <v>0</v>
      </c>
      <c r="M29">
        <f>CALC_EPM!M22</f>
        <v>0</v>
      </c>
      <c r="N29">
        <f>CALC_EPM!N22</f>
        <v>0</v>
      </c>
      <c r="O29">
        <f>CALC_EPM!O22</f>
        <v>0</v>
      </c>
      <c r="P29">
        <f>CALC_EPM!P22</f>
        <v>0</v>
      </c>
      <c r="Q29">
        <f>CALC_EPM!Q22</f>
        <v>0</v>
      </c>
      <c r="R29">
        <f>CALC_EPM!R22</f>
        <v>0</v>
      </c>
      <c r="S29">
        <f>CALC_EPM!S22</f>
        <v>0</v>
      </c>
      <c r="T29">
        <f>CALC_EPM!T22</f>
        <v>0</v>
      </c>
      <c r="U29">
        <f>CALC_EPM!U22</f>
        <v>0</v>
      </c>
    </row>
    <row r="30" spans="1:21" x14ac:dyDescent="0.2">
      <c r="A30" t="str">
        <f>IF(CALC_EPM!A23="GLOBAL",IF(CALC_EPM!C23="Total","GLOBAL",IF(CALC_EPM!C23="TotalEsp","GLOBAL_ESP",IF(CALC_EPM!C23="TotalNoEsp","GLOBAL_NOESP","GLOBAL_ASIG"))),IF(CALC_EPM!C23="Total","CURSO_TOTAL",IF(CALC_EPM!C23="TotalEsp","CURSO_ESP",IF(CALC_EPM!C23="TotalNoEsp","CURSO_NOESP","CURSO_ASIG"))))</f>
        <v>GLOBAL_ASIG</v>
      </c>
      <c r="B30" t="str">
        <f>CALC_EPM!A23</f>
        <v>GLOBAL</v>
      </c>
      <c r="C30" t="str">
        <f>CALC_EPM!B23</f>
        <v>Trompa</v>
      </c>
      <c r="D30">
        <f>CALC_EPM!D23</f>
        <v>0</v>
      </c>
      <c r="E30" s="10" t="str">
        <f>CALC_EPM!E23</f>
        <v>—</v>
      </c>
      <c r="F30" s="10" t="str">
        <f>CALC_EPM!F23</f>
        <v>—</v>
      </c>
      <c r="G30" t="str">
        <f>CALC_EPM!G23</f>
        <v>—</v>
      </c>
      <c r="H30" s="11" t="str">
        <f>CALC_EPM!H23</f>
        <v>—</v>
      </c>
      <c r="I30" s="11" t="str">
        <f>CALC_EPM!I23</f>
        <v>—</v>
      </c>
      <c r="J30" t="str">
        <f>CALC_EPM!J23</f>
        <v>—</v>
      </c>
      <c r="K30" t="str">
        <f>CALC_EPM!K23</f>
        <v>—</v>
      </c>
      <c r="L30">
        <f>CALC_EPM!L23</f>
        <v>0</v>
      </c>
      <c r="M30">
        <f>CALC_EPM!M23</f>
        <v>0</v>
      </c>
      <c r="N30">
        <f>CALC_EPM!N23</f>
        <v>0</v>
      </c>
      <c r="O30">
        <f>CALC_EPM!O23</f>
        <v>0</v>
      </c>
      <c r="P30">
        <f>CALC_EPM!P23</f>
        <v>0</v>
      </c>
      <c r="Q30">
        <f>CALC_EPM!Q23</f>
        <v>0</v>
      </c>
      <c r="R30">
        <f>CALC_EPM!R23</f>
        <v>0</v>
      </c>
      <c r="S30">
        <f>CALC_EPM!S23</f>
        <v>0</v>
      </c>
      <c r="T30">
        <f>CALC_EPM!T23</f>
        <v>0</v>
      </c>
      <c r="U30">
        <f>CALC_EPM!U23</f>
        <v>0</v>
      </c>
    </row>
    <row r="31" spans="1:21" x14ac:dyDescent="0.2">
      <c r="A31" t="str">
        <f>IF(CALC_EPM!A24="GLOBAL",IF(CALC_EPM!C24="Total","GLOBAL",IF(CALC_EPM!C24="TotalEsp","GLOBAL_ESP",IF(CALC_EPM!C24="TotalNoEsp","GLOBAL_NOESP","GLOBAL_ASIG"))),IF(CALC_EPM!C24="Total","CURSO_TOTAL",IF(CALC_EPM!C24="TotalEsp","CURSO_ESP",IF(CALC_EPM!C24="TotalNoEsp","CURSO_NOESP","CURSO_ASIG"))))</f>
        <v>GLOBAL_ASIG</v>
      </c>
      <c r="B31" t="str">
        <f>CALC_EPM!A24</f>
        <v>GLOBAL</v>
      </c>
      <c r="C31" t="str">
        <f>CALC_EPM!B24</f>
        <v>Trompeta</v>
      </c>
      <c r="D31">
        <f>CALC_EPM!D24</f>
        <v>0</v>
      </c>
      <c r="E31" s="10" t="str">
        <f>CALC_EPM!E24</f>
        <v>—</v>
      </c>
      <c r="F31" s="10" t="str">
        <f>CALC_EPM!F24</f>
        <v>—</v>
      </c>
      <c r="G31" t="str">
        <f>CALC_EPM!G24</f>
        <v>—</v>
      </c>
      <c r="H31" s="11" t="str">
        <f>CALC_EPM!H24</f>
        <v>—</v>
      </c>
      <c r="I31" s="11" t="str">
        <f>CALC_EPM!I24</f>
        <v>—</v>
      </c>
      <c r="J31" t="str">
        <f>CALC_EPM!J24</f>
        <v>—</v>
      </c>
      <c r="K31" t="str">
        <f>CALC_EPM!K24</f>
        <v>—</v>
      </c>
      <c r="L31">
        <f>CALC_EPM!L24</f>
        <v>0</v>
      </c>
      <c r="M31">
        <f>CALC_EPM!M24</f>
        <v>0</v>
      </c>
      <c r="N31">
        <f>CALC_EPM!N24</f>
        <v>0</v>
      </c>
      <c r="O31">
        <f>CALC_EPM!O24</f>
        <v>0</v>
      </c>
      <c r="P31">
        <f>CALC_EPM!P24</f>
        <v>0</v>
      </c>
      <c r="Q31">
        <f>CALC_EPM!Q24</f>
        <v>0</v>
      </c>
      <c r="R31">
        <f>CALC_EPM!R24</f>
        <v>0</v>
      </c>
      <c r="S31">
        <f>CALC_EPM!S24</f>
        <v>0</v>
      </c>
      <c r="T31">
        <f>CALC_EPM!T24</f>
        <v>0</v>
      </c>
      <c r="U31">
        <f>CALC_EPM!U24</f>
        <v>0</v>
      </c>
    </row>
    <row r="32" spans="1:21" x14ac:dyDescent="0.2">
      <c r="A32" t="str">
        <f>IF(CALC_EPM!A25="GLOBAL",IF(CALC_EPM!C25="Total","GLOBAL",IF(CALC_EPM!C25="TotalEsp","GLOBAL_ESP",IF(CALC_EPM!C25="TotalNoEsp","GLOBAL_NOESP","GLOBAL_ASIG"))),IF(CALC_EPM!C25="Total","CURSO_TOTAL",IF(CALC_EPM!C25="TotalEsp","CURSO_ESP",IF(CALC_EPM!C25="TotalNoEsp","CURSO_NOESP","CURSO_ASIG"))))</f>
        <v>GLOBAL_ASIG</v>
      </c>
      <c r="B32" t="str">
        <f>CALC_EPM!A25</f>
        <v>GLOBAL</v>
      </c>
      <c r="C32" t="str">
        <f>CALC_EPM!B25</f>
        <v>Tuba</v>
      </c>
      <c r="D32">
        <f>CALC_EPM!D25</f>
        <v>0</v>
      </c>
      <c r="E32" s="10" t="str">
        <f>CALC_EPM!E25</f>
        <v>—</v>
      </c>
      <c r="F32" s="10" t="str">
        <f>CALC_EPM!F25</f>
        <v>—</v>
      </c>
      <c r="G32" t="str">
        <f>CALC_EPM!G25</f>
        <v>—</v>
      </c>
      <c r="H32" s="11" t="str">
        <f>CALC_EPM!H25</f>
        <v>—</v>
      </c>
      <c r="I32" s="11" t="str">
        <f>CALC_EPM!I25</f>
        <v>—</v>
      </c>
      <c r="J32" t="str">
        <f>CALC_EPM!J25</f>
        <v>—</v>
      </c>
      <c r="K32" t="str">
        <f>CALC_EPM!K25</f>
        <v>—</v>
      </c>
      <c r="L32">
        <f>CALC_EPM!L25</f>
        <v>0</v>
      </c>
      <c r="M32">
        <f>CALC_EPM!M25</f>
        <v>0</v>
      </c>
      <c r="N32">
        <f>CALC_EPM!N25</f>
        <v>0</v>
      </c>
      <c r="O32">
        <f>CALC_EPM!O25</f>
        <v>0</v>
      </c>
      <c r="P32">
        <f>CALC_EPM!P25</f>
        <v>0</v>
      </c>
      <c r="Q32">
        <f>CALC_EPM!Q25</f>
        <v>0</v>
      </c>
      <c r="R32">
        <f>CALC_EPM!R25</f>
        <v>0</v>
      </c>
      <c r="S32">
        <f>CALC_EPM!S25</f>
        <v>0</v>
      </c>
      <c r="T32">
        <f>CALC_EPM!T25</f>
        <v>0</v>
      </c>
      <c r="U32">
        <f>CALC_EPM!U25</f>
        <v>0</v>
      </c>
    </row>
    <row r="33" spans="1:21" x14ac:dyDescent="0.2">
      <c r="A33" t="str">
        <f>IF(CALC_EPM!A26="GLOBAL",IF(CALC_EPM!C26="Total","GLOBAL",IF(CALC_EPM!C26="TotalEsp","GLOBAL_ESP",IF(CALC_EPM!C26="TotalNoEsp","GLOBAL_NOESP","GLOBAL_ASIG"))),IF(CALC_EPM!C26="Total","CURSO_TOTAL",IF(CALC_EPM!C26="TotalEsp","CURSO_ESP",IF(CALC_EPM!C26="TotalNoEsp","CURSO_NOESP","CURSO_ASIG"))))</f>
        <v>GLOBAL_ASIG</v>
      </c>
      <c r="B33" t="str">
        <f>CALC_EPM!A26</f>
        <v>GLOBAL</v>
      </c>
      <c r="C33" t="str">
        <f>CALC_EPM!B26</f>
        <v>Viola</v>
      </c>
      <c r="D33">
        <f>CALC_EPM!D26</f>
        <v>0</v>
      </c>
      <c r="E33" s="10" t="str">
        <f>CALC_EPM!E26</f>
        <v>—</v>
      </c>
      <c r="F33" s="10" t="str">
        <f>CALC_EPM!F26</f>
        <v>—</v>
      </c>
      <c r="G33" t="str">
        <f>CALC_EPM!G26</f>
        <v>—</v>
      </c>
      <c r="H33" s="11" t="str">
        <f>CALC_EPM!H26</f>
        <v>—</v>
      </c>
      <c r="I33" s="11" t="str">
        <f>CALC_EPM!I26</f>
        <v>—</v>
      </c>
      <c r="J33" t="str">
        <f>CALC_EPM!J26</f>
        <v>—</v>
      </c>
      <c r="K33" t="str">
        <f>CALC_EPM!K26</f>
        <v>—</v>
      </c>
      <c r="L33">
        <f>CALC_EPM!L26</f>
        <v>0</v>
      </c>
      <c r="M33">
        <f>CALC_EPM!M26</f>
        <v>0</v>
      </c>
      <c r="N33">
        <f>CALC_EPM!N26</f>
        <v>0</v>
      </c>
      <c r="O33">
        <f>CALC_EPM!O26</f>
        <v>0</v>
      </c>
      <c r="P33">
        <f>CALC_EPM!P26</f>
        <v>0</v>
      </c>
      <c r="Q33">
        <f>CALC_EPM!Q26</f>
        <v>0</v>
      </c>
      <c r="R33">
        <f>CALC_EPM!R26</f>
        <v>0</v>
      </c>
      <c r="S33">
        <f>CALC_EPM!S26</f>
        <v>0</v>
      </c>
      <c r="T33">
        <f>CALC_EPM!T26</f>
        <v>0</v>
      </c>
      <c r="U33">
        <f>CALC_EPM!U26</f>
        <v>0</v>
      </c>
    </row>
    <row r="34" spans="1:21" x14ac:dyDescent="0.2">
      <c r="A34" t="str">
        <f>IF(CALC_EPM!A27="GLOBAL",IF(CALC_EPM!C27="Total","GLOBAL",IF(CALC_EPM!C27="TotalEsp","GLOBAL_ESP",IF(CALC_EPM!C27="TotalNoEsp","GLOBAL_NOESP","GLOBAL_ASIG"))),IF(CALC_EPM!C27="Total","CURSO_TOTAL",IF(CALC_EPM!C27="TotalEsp","CURSO_ESP",IF(CALC_EPM!C27="TotalNoEsp","CURSO_NOESP","CURSO_ASIG"))))</f>
        <v>GLOBAL_ASIG</v>
      </c>
      <c r="B34" t="str">
        <f>CALC_EPM!A27</f>
        <v>GLOBAL</v>
      </c>
      <c r="C34" t="str">
        <f>CALC_EPM!B27</f>
        <v>Violín</v>
      </c>
      <c r="D34">
        <f>CALC_EPM!D27</f>
        <v>0</v>
      </c>
      <c r="E34" s="10" t="str">
        <f>CALC_EPM!E27</f>
        <v>—</v>
      </c>
      <c r="F34" s="10" t="str">
        <f>CALC_EPM!F27</f>
        <v>—</v>
      </c>
      <c r="G34" t="str">
        <f>CALC_EPM!G27</f>
        <v>—</v>
      </c>
      <c r="H34" s="11" t="str">
        <f>CALC_EPM!H27</f>
        <v>—</v>
      </c>
      <c r="I34" s="11" t="str">
        <f>CALC_EPM!I27</f>
        <v>—</v>
      </c>
      <c r="J34" t="str">
        <f>CALC_EPM!J27</f>
        <v>—</v>
      </c>
      <c r="K34" t="str">
        <f>CALC_EPM!K27</f>
        <v>—</v>
      </c>
      <c r="L34">
        <f>CALC_EPM!L27</f>
        <v>0</v>
      </c>
      <c r="M34">
        <f>CALC_EPM!M27</f>
        <v>0</v>
      </c>
      <c r="N34">
        <f>CALC_EPM!N27</f>
        <v>0</v>
      </c>
      <c r="O34">
        <f>CALC_EPM!O27</f>
        <v>0</v>
      </c>
      <c r="P34">
        <f>CALC_EPM!P27</f>
        <v>0</v>
      </c>
      <c r="Q34">
        <f>CALC_EPM!Q27</f>
        <v>0</v>
      </c>
      <c r="R34">
        <f>CALC_EPM!R27</f>
        <v>0</v>
      </c>
      <c r="S34">
        <f>CALC_EPM!S27</f>
        <v>0</v>
      </c>
      <c r="T34">
        <f>CALC_EPM!T27</f>
        <v>0</v>
      </c>
      <c r="U34">
        <f>CALC_EPM!U27</f>
        <v>0</v>
      </c>
    </row>
    <row r="35" spans="1:21" x14ac:dyDescent="0.2">
      <c r="A35" t="str">
        <f>IF(CALC_EPM!A28="GLOBAL",IF(CALC_EPM!C28="Total","GLOBAL",IF(CALC_EPM!C28="TotalEsp","GLOBAL_ESP",IF(CALC_EPM!C28="TotalNoEsp","GLOBAL_NOESP","GLOBAL_ASIG"))),IF(CALC_EPM!C28="Total","CURSO_TOTAL",IF(CALC_EPM!C28="TotalEsp","CURSO_ESP",IF(CALC_EPM!C28="TotalNoEsp","CURSO_NOESP","CURSO_ASIG"))))</f>
        <v>GLOBAL_ASIG</v>
      </c>
      <c r="B35" t="str">
        <f>CALC_EPM!A28</f>
        <v>GLOBAL</v>
      </c>
      <c r="C35" t="str">
        <f>CALC_EPM!B28</f>
        <v>Violoncello</v>
      </c>
      <c r="D35">
        <f>CALC_EPM!D28</f>
        <v>0</v>
      </c>
      <c r="E35" s="10" t="str">
        <f>CALC_EPM!E28</f>
        <v>—</v>
      </c>
      <c r="F35" s="10" t="str">
        <f>CALC_EPM!F28</f>
        <v>—</v>
      </c>
      <c r="G35" t="str">
        <f>CALC_EPM!G28</f>
        <v>—</v>
      </c>
      <c r="H35" s="11" t="str">
        <f>CALC_EPM!H28</f>
        <v>—</v>
      </c>
      <c r="I35" s="11" t="str">
        <f>CALC_EPM!I28</f>
        <v>—</v>
      </c>
      <c r="J35" t="str">
        <f>CALC_EPM!J28</f>
        <v>—</v>
      </c>
      <c r="K35" t="str">
        <f>CALC_EPM!K28</f>
        <v>—</v>
      </c>
      <c r="L35">
        <f>CALC_EPM!L28</f>
        <v>0</v>
      </c>
      <c r="M35">
        <f>CALC_EPM!M28</f>
        <v>0</v>
      </c>
      <c r="N35">
        <f>CALC_EPM!N28</f>
        <v>0</v>
      </c>
      <c r="O35">
        <f>CALC_EPM!O28</f>
        <v>0</v>
      </c>
      <c r="P35">
        <f>CALC_EPM!P28</f>
        <v>0</v>
      </c>
      <c r="Q35">
        <f>CALC_EPM!Q28</f>
        <v>0</v>
      </c>
      <c r="R35">
        <f>CALC_EPM!R28</f>
        <v>0</v>
      </c>
      <c r="S35">
        <f>CALC_EPM!S28</f>
        <v>0</v>
      </c>
      <c r="T35">
        <f>CALC_EPM!T28</f>
        <v>0</v>
      </c>
      <c r="U35">
        <f>CALC_EPM!U28</f>
        <v>0</v>
      </c>
    </row>
    <row r="36" spans="1:21" x14ac:dyDescent="0.2">
      <c r="A36" t="str">
        <f>IF(CALC_EPM!A29="GLOBAL",IF(CALC_EPM!C29="Total","GLOBAL",IF(CALC_EPM!C29="TotalEsp","GLOBAL_ESP",IF(CALC_EPM!C29="TotalNoEsp","GLOBAL_NOESP","GLOBAL_ASIG"))),IF(CALC_EPM!C29="Total","CURSO_TOTAL",IF(CALC_EPM!C29="TotalEsp","CURSO_ESP",IF(CALC_EPM!C29="TotalNoEsp","CURSO_NOESP","CURSO_ASIG"))))</f>
        <v>GLOBAL_ASIG</v>
      </c>
      <c r="B36" t="str">
        <f>CALC_EPM!A29</f>
        <v>GLOBAL</v>
      </c>
      <c r="C36" t="str">
        <f>CALC_EPM!B29</f>
        <v>Piano Complementario</v>
      </c>
      <c r="D36">
        <f>CALC_EPM!D29</f>
        <v>0</v>
      </c>
      <c r="E36" s="10" t="str">
        <f>CALC_EPM!E29</f>
        <v>—</v>
      </c>
      <c r="F36" s="10" t="str">
        <f>CALC_EPM!F29</f>
        <v>—</v>
      </c>
      <c r="G36" t="str">
        <f>CALC_EPM!G29</f>
        <v>—</v>
      </c>
      <c r="H36" s="11" t="str">
        <f>CALC_EPM!H29</f>
        <v>—</v>
      </c>
      <c r="I36" s="11" t="str">
        <f>CALC_EPM!I29</f>
        <v>—</v>
      </c>
      <c r="J36" t="str">
        <f>CALC_EPM!J29</f>
        <v>—</v>
      </c>
      <c r="K36" t="str">
        <f>CALC_EPM!K29</f>
        <v>—</v>
      </c>
      <c r="L36">
        <f>CALC_EPM!L29</f>
        <v>0</v>
      </c>
      <c r="M36">
        <f>CALC_EPM!M29</f>
        <v>0</v>
      </c>
      <c r="N36">
        <f>CALC_EPM!N29</f>
        <v>0</v>
      </c>
      <c r="O36">
        <f>CALC_EPM!O29</f>
        <v>0</v>
      </c>
      <c r="P36">
        <f>CALC_EPM!P29</f>
        <v>0</v>
      </c>
      <c r="Q36">
        <f>CALC_EPM!Q29</f>
        <v>0</v>
      </c>
      <c r="R36">
        <f>CALC_EPM!R29</f>
        <v>0</v>
      </c>
      <c r="S36">
        <f>CALC_EPM!S29</f>
        <v>0</v>
      </c>
      <c r="T36">
        <f>CALC_EPM!T29</f>
        <v>0</v>
      </c>
      <c r="U36">
        <f>CALC_EPM!U29</f>
        <v>0</v>
      </c>
    </row>
    <row r="37" spans="1:21" x14ac:dyDescent="0.2">
      <c r="A37" t="str">
        <f>IF(CALC_EPM!A30="GLOBAL",IF(CALC_EPM!C30="Total","GLOBAL",IF(CALC_EPM!C30="TotalEsp","GLOBAL_ESP",IF(CALC_EPM!C30="TotalNoEsp","GLOBAL_NOESP","GLOBAL_ASIG"))),IF(CALC_EPM!C30="Total","CURSO_TOTAL",IF(CALC_EPM!C30="TotalEsp","CURSO_ESP",IF(CALC_EPM!C30="TotalNoEsp","CURSO_NOESP","CURSO_ASIG"))))</f>
        <v>GLOBAL_ASIG</v>
      </c>
      <c r="B37" t="str">
        <f>CALC_EPM!A30</f>
        <v>GLOBAL</v>
      </c>
      <c r="C37" t="str">
        <f>CALC_EPM!B30</f>
        <v>Conjunto</v>
      </c>
      <c r="D37">
        <f>CALC_EPM!D30</f>
        <v>0</v>
      </c>
      <c r="E37" s="10" t="str">
        <f>CALC_EPM!E30</f>
        <v>—</v>
      </c>
      <c r="F37" s="10" t="str">
        <f>CALC_EPM!F30</f>
        <v>—</v>
      </c>
      <c r="G37" t="str">
        <f>CALC_EPM!G30</f>
        <v>—</v>
      </c>
      <c r="H37" s="11" t="str">
        <f>CALC_EPM!H30</f>
        <v>—</v>
      </c>
      <c r="I37" s="11" t="str">
        <f>CALC_EPM!I30</f>
        <v>—</v>
      </c>
      <c r="J37" t="str">
        <f>CALC_EPM!J30</f>
        <v>—</v>
      </c>
      <c r="K37" t="str">
        <f>CALC_EPM!K30</f>
        <v>—</v>
      </c>
      <c r="L37">
        <f>CALC_EPM!L30</f>
        <v>0</v>
      </c>
      <c r="M37">
        <f>CALC_EPM!M30</f>
        <v>0</v>
      </c>
      <c r="N37">
        <f>CALC_EPM!N30</f>
        <v>0</v>
      </c>
      <c r="O37">
        <f>CALC_EPM!O30</f>
        <v>0</v>
      </c>
      <c r="P37">
        <f>CALC_EPM!P30</f>
        <v>0</v>
      </c>
      <c r="Q37">
        <f>CALC_EPM!Q30</f>
        <v>0</v>
      </c>
      <c r="R37">
        <f>CALC_EPM!R30</f>
        <v>0</v>
      </c>
      <c r="S37">
        <f>CALC_EPM!S30</f>
        <v>0</v>
      </c>
      <c r="T37">
        <f>CALC_EPM!T30</f>
        <v>0</v>
      </c>
      <c r="U37">
        <f>CALC_EPM!U30</f>
        <v>0</v>
      </c>
    </row>
    <row r="38" spans="1:21" x14ac:dyDescent="0.2">
      <c r="A38" t="str">
        <f>IF(CALC_EPM!A31="GLOBAL",IF(CALC_EPM!C31="Total","GLOBAL",IF(CALC_EPM!C31="TotalEsp","GLOBAL_ESP",IF(CALC_EPM!C31="TotalNoEsp","GLOBAL_NOESP","GLOBAL_ASIG"))),IF(CALC_EPM!C31="Total","CURSO_TOTAL",IF(CALC_EPM!C31="TotalEsp","CURSO_ESP",IF(CALC_EPM!C31="TotalNoEsp","CURSO_NOESP","CURSO_ASIG"))))</f>
        <v>GLOBAL_ASIG</v>
      </c>
      <c r="B38" t="str">
        <f>CALC_EPM!A31</f>
        <v>GLOBAL</v>
      </c>
      <c r="C38" t="str">
        <f>CALC_EPM!B31</f>
        <v>Acompañamiento</v>
      </c>
      <c r="D38">
        <f>CALC_EPM!D31</f>
        <v>0</v>
      </c>
      <c r="E38" s="10" t="str">
        <f>CALC_EPM!E31</f>
        <v>—</v>
      </c>
      <c r="F38" s="10" t="str">
        <f>CALC_EPM!F31</f>
        <v>—</v>
      </c>
      <c r="G38" t="str">
        <f>CALC_EPM!G31</f>
        <v>—</v>
      </c>
      <c r="H38" s="11" t="str">
        <f>CALC_EPM!H31</f>
        <v>—</v>
      </c>
      <c r="I38" s="11" t="str">
        <f>CALC_EPM!I31</f>
        <v>—</v>
      </c>
      <c r="J38" t="str">
        <f>CALC_EPM!J31</f>
        <v>—</v>
      </c>
      <c r="K38" t="str">
        <f>CALC_EPM!K31</f>
        <v>—</v>
      </c>
      <c r="L38">
        <f>CALC_EPM!L31</f>
        <v>0</v>
      </c>
      <c r="M38">
        <f>CALC_EPM!M31</f>
        <v>0</v>
      </c>
      <c r="N38">
        <f>CALC_EPM!N31</f>
        <v>0</v>
      </c>
      <c r="O38">
        <f>CALC_EPM!O31</f>
        <v>0</v>
      </c>
      <c r="P38">
        <f>CALC_EPM!P31</f>
        <v>0</v>
      </c>
      <c r="Q38">
        <f>CALC_EPM!Q31</f>
        <v>0</v>
      </c>
      <c r="R38">
        <f>CALC_EPM!R31</f>
        <v>0</v>
      </c>
      <c r="S38">
        <f>CALC_EPM!S31</f>
        <v>0</v>
      </c>
      <c r="T38">
        <f>CALC_EPM!T31</f>
        <v>0</v>
      </c>
      <c r="U38">
        <f>CALC_EPM!U31</f>
        <v>0</v>
      </c>
    </row>
    <row r="39" spans="1:21" x14ac:dyDescent="0.2">
      <c r="A39" t="str">
        <f>IF(CALC_EPM!A32="GLOBAL",IF(CALC_EPM!C32="Total","GLOBAL",IF(CALC_EPM!C32="TotalEsp","GLOBAL_ESP",IF(CALC_EPM!C32="TotalNoEsp","GLOBAL_NOESP","GLOBAL_ASIG"))),IF(CALC_EPM!C32="Total","CURSO_TOTAL",IF(CALC_EPM!C32="TotalEsp","CURSO_ESP",IF(CALC_EPM!C32="TotalNoEsp","CURSO_NOESP","CURSO_ASIG"))))</f>
        <v>GLOBAL_ASIG</v>
      </c>
      <c r="B39" t="str">
        <f>CALC_EPM!A32</f>
        <v>GLOBAL</v>
      </c>
      <c r="C39" t="str">
        <f>CALC_EPM!B32</f>
        <v>Coro</v>
      </c>
      <c r="D39">
        <f>CALC_EPM!D32</f>
        <v>0</v>
      </c>
      <c r="E39" s="10" t="str">
        <f>CALC_EPM!E32</f>
        <v>—</v>
      </c>
      <c r="F39" s="10" t="str">
        <f>CALC_EPM!F32</f>
        <v>—</v>
      </c>
      <c r="G39" t="str">
        <f>CALC_EPM!G32</f>
        <v>—</v>
      </c>
      <c r="H39" s="11" t="str">
        <f>CALC_EPM!H32</f>
        <v>—</v>
      </c>
      <c r="I39" s="11" t="str">
        <f>CALC_EPM!I32</f>
        <v>—</v>
      </c>
      <c r="J39" t="str">
        <f>CALC_EPM!J32</f>
        <v>—</v>
      </c>
      <c r="K39" t="str">
        <f>CALC_EPM!K32</f>
        <v>—</v>
      </c>
      <c r="L39">
        <f>CALC_EPM!L32</f>
        <v>0</v>
      </c>
      <c r="M39">
        <f>CALC_EPM!M32</f>
        <v>0</v>
      </c>
      <c r="N39">
        <f>CALC_EPM!N32</f>
        <v>0</v>
      </c>
      <c r="O39">
        <f>CALC_EPM!O32</f>
        <v>0</v>
      </c>
      <c r="P39">
        <f>CALC_EPM!P32</f>
        <v>0</v>
      </c>
      <c r="Q39">
        <f>CALC_EPM!Q32</f>
        <v>0</v>
      </c>
      <c r="R39">
        <f>CALC_EPM!R32</f>
        <v>0</v>
      </c>
      <c r="S39">
        <f>CALC_EPM!S32</f>
        <v>0</v>
      </c>
      <c r="T39">
        <f>CALC_EPM!T32</f>
        <v>0</v>
      </c>
      <c r="U39">
        <f>CALC_EPM!U32</f>
        <v>0</v>
      </c>
    </row>
    <row r="40" spans="1:21" x14ac:dyDescent="0.2">
      <c r="A40" t="str">
        <f>IF(CALC_EPM!A33="GLOBAL",IF(CALC_EPM!C33="Total","GLOBAL",IF(CALC_EPM!C33="TotalEsp","GLOBAL_ESP",IF(CALC_EPM!C33="TotalNoEsp","GLOBAL_NOESP","GLOBAL_ASIG"))),IF(CALC_EPM!C33="Total","CURSO_TOTAL",IF(CALC_EPM!C33="TotalEsp","CURSO_ESP",IF(CALC_EPM!C33="TotalNoEsp","CURSO_NOESP","CURSO_ASIG"))))</f>
        <v>GLOBAL_ASIG</v>
      </c>
      <c r="B40" t="str">
        <f>CALC_EPM!A33</f>
        <v>GLOBAL</v>
      </c>
      <c r="C40" t="str">
        <f>CALC_EPM!B33</f>
        <v>Idioma Aplicado al Canto</v>
      </c>
      <c r="D40">
        <f>CALC_EPM!D33</f>
        <v>0</v>
      </c>
      <c r="E40" s="10" t="str">
        <f>CALC_EPM!E33</f>
        <v>—</v>
      </c>
      <c r="F40" s="10" t="str">
        <f>CALC_EPM!F33</f>
        <v>—</v>
      </c>
      <c r="G40" t="str">
        <f>CALC_EPM!G33</f>
        <v>—</v>
      </c>
      <c r="H40" s="11" t="str">
        <f>CALC_EPM!H33</f>
        <v>—</v>
      </c>
      <c r="I40" s="11" t="str">
        <f>CALC_EPM!I33</f>
        <v>—</v>
      </c>
      <c r="J40" t="str">
        <f>CALC_EPM!J33</f>
        <v>—</v>
      </c>
      <c r="K40" t="str">
        <f>CALC_EPM!K33</f>
        <v>—</v>
      </c>
      <c r="L40">
        <f>CALC_EPM!L33</f>
        <v>0</v>
      </c>
      <c r="M40">
        <f>CALC_EPM!M33</f>
        <v>0</v>
      </c>
      <c r="N40">
        <f>CALC_EPM!N33</f>
        <v>0</v>
      </c>
      <c r="O40">
        <f>CALC_EPM!O33</f>
        <v>0</v>
      </c>
      <c r="P40">
        <f>CALC_EPM!P33</f>
        <v>0</v>
      </c>
      <c r="Q40">
        <f>CALC_EPM!Q33</f>
        <v>0</v>
      </c>
      <c r="R40">
        <f>CALC_EPM!R33</f>
        <v>0</v>
      </c>
      <c r="S40">
        <f>CALC_EPM!S33</f>
        <v>0</v>
      </c>
      <c r="T40">
        <f>CALC_EPM!T33</f>
        <v>0</v>
      </c>
      <c r="U40">
        <f>CALC_EPM!U33</f>
        <v>0</v>
      </c>
    </row>
    <row r="41" spans="1:21" x14ac:dyDescent="0.2">
      <c r="A41" t="str">
        <f>IF(CALC_EPM!A34="GLOBAL",IF(CALC_EPM!C34="Total","GLOBAL",IF(CALC_EPM!C34="TotalEsp","GLOBAL_ESP",IF(CALC_EPM!C34="TotalNoEsp","GLOBAL_NOESP","GLOBAL_ASIG"))),IF(CALC_EPM!C34="Total","CURSO_TOTAL",IF(CALC_EPM!C34="TotalEsp","CURSO_ESP",IF(CALC_EPM!C34="TotalNoEsp","CURSO_NOESP","CURSO_ASIG"))))</f>
        <v>GLOBAL_ASIG</v>
      </c>
      <c r="B41" t="str">
        <f>CALC_EPM!A34</f>
        <v>GLOBAL</v>
      </c>
      <c r="C41" t="str">
        <f>CALC_EPM!B34</f>
        <v>Tabalet</v>
      </c>
      <c r="D41">
        <f>CALC_EPM!D34</f>
        <v>0</v>
      </c>
      <c r="E41" s="10" t="str">
        <f>CALC_EPM!E34</f>
        <v>—</v>
      </c>
      <c r="F41" s="10" t="str">
        <f>CALC_EPM!F34</f>
        <v>—</v>
      </c>
      <c r="G41" t="str">
        <f>CALC_EPM!G34</f>
        <v>—</v>
      </c>
      <c r="H41" s="11" t="str">
        <f>CALC_EPM!H34</f>
        <v>—</v>
      </c>
      <c r="I41" s="11" t="str">
        <f>CALC_EPM!I34</f>
        <v>—</v>
      </c>
      <c r="J41" t="str">
        <f>CALC_EPM!J34</f>
        <v>—</v>
      </c>
      <c r="K41" t="str">
        <f>CALC_EPM!K34</f>
        <v>—</v>
      </c>
      <c r="L41">
        <f>CALC_EPM!L34</f>
        <v>0</v>
      </c>
      <c r="M41">
        <f>CALC_EPM!M34</f>
        <v>0</v>
      </c>
      <c r="N41">
        <f>CALC_EPM!N34</f>
        <v>0</v>
      </c>
      <c r="O41">
        <f>CALC_EPM!O34</f>
        <v>0</v>
      </c>
      <c r="P41">
        <f>CALC_EPM!P34</f>
        <v>0</v>
      </c>
      <c r="Q41">
        <f>CALC_EPM!Q34</f>
        <v>0</v>
      </c>
      <c r="R41">
        <f>CALC_EPM!R34</f>
        <v>0</v>
      </c>
      <c r="S41">
        <f>CALC_EPM!S34</f>
        <v>0</v>
      </c>
      <c r="T41">
        <f>CALC_EPM!T34</f>
        <v>0</v>
      </c>
      <c r="U41">
        <f>CALC_EPM!U34</f>
        <v>0</v>
      </c>
    </row>
    <row r="42" spans="1:21" x14ac:dyDescent="0.2">
      <c r="A42" t="str">
        <f>IF(CALC_EPM!A35="GLOBAL",IF(CALC_EPM!C35="Total","GLOBAL",IF(CALC_EPM!C35="TotalEsp","GLOBAL_ESP",IF(CALC_EPM!C35="TotalNoEsp","GLOBAL_NOESP","GLOBAL_ASIG"))),IF(CALC_EPM!C35="Total","CURSO_TOTAL",IF(CALC_EPM!C35="TotalEsp","CURSO_ESP",IF(CALC_EPM!C35="TotalNoEsp","CURSO_NOESP","CURSO_ASIG"))))</f>
        <v>GLOBAL_ASIG</v>
      </c>
      <c r="B42" t="str">
        <f>CALC_EPM!A35</f>
        <v>GLOBAL</v>
      </c>
      <c r="C42" t="str">
        <f>CALC_EPM!B35</f>
        <v>Historia de la Música</v>
      </c>
      <c r="D42">
        <f>CALC_EPM!D35</f>
        <v>0</v>
      </c>
      <c r="E42" s="10" t="str">
        <f>CALC_EPM!E35</f>
        <v>—</v>
      </c>
      <c r="F42" s="10" t="str">
        <f>CALC_EPM!F35</f>
        <v>—</v>
      </c>
      <c r="G42" t="str">
        <f>CALC_EPM!G35</f>
        <v>—</v>
      </c>
      <c r="H42" s="11" t="str">
        <f>CALC_EPM!H35</f>
        <v>—</v>
      </c>
      <c r="I42" s="11" t="str">
        <f>CALC_EPM!I35</f>
        <v>—</v>
      </c>
      <c r="J42" t="str">
        <f>CALC_EPM!J35</f>
        <v>—</v>
      </c>
      <c r="K42" t="str">
        <f>CALC_EPM!K35</f>
        <v>—</v>
      </c>
      <c r="L42">
        <f>CALC_EPM!L35</f>
        <v>0</v>
      </c>
      <c r="M42">
        <f>CALC_EPM!M35</f>
        <v>0</v>
      </c>
      <c r="N42">
        <f>CALC_EPM!N35</f>
        <v>0</v>
      </c>
      <c r="O42">
        <f>CALC_EPM!O35</f>
        <v>0</v>
      </c>
      <c r="P42">
        <f>CALC_EPM!P35</f>
        <v>0</v>
      </c>
      <c r="Q42">
        <f>CALC_EPM!Q35</f>
        <v>0</v>
      </c>
      <c r="R42">
        <f>CALC_EPM!R35</f>
        <v>0</v>
      </c>
      <c r="S42">
        <f>CALC_EPM!S35</f>
        <v>0</v>
      </c>
      <c r="T42">
        <f>CALC_EPM!T35</f>
        <v>0</v>
      </c>
      <c r="U42">
        <f>CALC_EPM!U35</f>
        <v>0</v>
      </c>
    </row>
    <row r="43" spans="1:21" x14ac:dyDescent="0.2">
      <c r="A43" t="str">
        <f>IF(CALC_EPM!A36="GLOBAL",IF(CALC_EPM!C36="Total","GLOBAL",IF(CALC_EPM!C36="TotalEsp","GLOBAL_ESP",IF(CALC_EPM!C36="TotalNoEsp","GLOBAL_NOESP","GLOBAL_ASIG"))),IF(CALC_EPM!C36="Total","CURSO_TOTAL",IF(CALC_EPM!C36="TotalEsp","CURSO_ESP",IF(CALC_EPM!C36="TotalNoEsp","CURSO_NOESP","CURSO_ASIG"))))</f>
        <v>GLOBAL_ASIG</v>
      </c>
      <c r="B43" t="str">
        <f>CALC_EPM!A36</f>
        <v>GLOBAL</v>
      </c>
      <c r="C43" t="str">
        <f>CALC_EPM!B36</f>
        <v>Creatividad y Música</v>
      </c>
      <c r="D43">
        <f>CALC_EPM!D36</f>
        <v>0</v>
      </c>
      <c r="E43" s="10" t="str">
        <f>CALC_EPM!E36</f>
        <v>—</v>
      </c>
      <c r="F43" s="10" t="str">
        <f>CALC_EPM!F36</f>
        <v>—</v>
      </c>
      <c r="G43" t="str">
        <f>CALC_EPM!G36</f>
        <v>—</v>
      </c>
      <c r="H43" s="11" t="str">
        <f>CALC_EPM!H36</f>
        <v>—</v>
      </c>
      <c r="I43" s="11" t="str">
        <f>CALC_EPM!I36</f>
        <v>—</v>
      </c>
      <c r="J43" t="str">
        <f>CALC_EPM!J36</f>
        <v>—</v>
      </c>
      <c r="K43" t="str">
        <f>CALC_EPM!K36</f>
        <v>—</v>
      </c>
      <c r="L43">
        <f>CALC_EPM!L36</f>
        <v>0</v>
      </c>
      <c r="M43">
        <f>CALC_EPM!M36</f>
        <v>0</v>
      </c>
      <c r="N43">
        <f>CALC_EPM!N36</f>
        <v>0</v>
      </c>
      <c r="O43">
        <f>CALC_EPM!O36</f>
        <v>0</v>
      </c>
      <c r="P43">
        <f>CALC_EPM!P36</f>
        <v>0</v>
      </c>
      <c r="Q43">
        <f>CALC_EPM!Q36</f>
        <v>0</v>
      </c>
      <c r="R43">
        <f>CALC_EPM!R36</f>
        <v>0</v>
      </c>
      <c r="S43">
        <f>CALC_EPM!S36</f>
        <v>0</v>
      </c>
      <c r="T43">
        <f>CALC_EPM!T36</f>
        <v>0</v>
      </c>
      <c r="U43">
        <f>CALC_EPM!U36</f>
        <v>0</v>
      </c>
    </row>
    <row r="44" spans="1:21" x14ac:dyDescent="0.2">
      <c r="A44" t="str">
        <f>IF(CALC_EPM!A37="GLOBAL",IF(CALC_EPM!C37="Total","GLOBAL",IF(CALC_EPM!C37="TotalEsp","GLOBAL_ESP",IF(CALC_EPM!C37="TotalNoEsp","GLOBAL_NOESP","GLOBAL_ASIG"))),IF(CALC_EPM!C37="Total","CURSO_TOTAL",IF(CALC_EPM!C37="TotalEsp","CURSO_ESP",IF(CALC_EPM!C37="TotalNoEsp","CURSO_NOESP","CURSO_ASIG"))))</f>
        <v>GLOBAL_ASIG</v>
      </c>
      <c r="B44" t="str">
        <f>CALC_EPM!A37</f>
        <v>GLOBAL</v>
      </c>
      <c r="C44" t="str">
        <f>CALC_EPM!B37</f>
        <v>Cultura Audiovisual</v>
      </c>
      <c r="D44">
        <f>CALC_EPM!D37</f>
        <v>0</v>
      </c>
      <c r="E44" s="10" t="str">
        <f>CALC_EPM!E37</f>
        <v>—</v>
      </c>
      <c r="F44" s="10" t="str">
        <f>CALC_EPM!F37</f>
        <v>—</v>
      </c>
      <c r="G44" t="str">
        <f>CALC_EPM!G37</f>
        <v>—</v>
      </c>
      <c r="H44" s="11" t="str">
        <f>CALC_EPM!H37</f>
        <v>—</v>
      </c>
      <c r="I44" s="11" t="str">
        <f>CALC_EPM!I37</f>
        <v>—</v>
      </c>
      <c r="J44" t="str">
        <f>CALC_EPM!J37</f>
        <v>—</v>
      </c>
      <c r="K44" t="str">
        <f>CALC_EPM!K37</f>
        <v>—</v>
      </c>
      <c r="L44">
        <f>CALC_EPM!L37</f>
        <v>0</v>
      </c>
      <c r="M44">
        <f>CALC_EPM!M37</f>
        <v>0</v>
      </c>
      <c r="N44">
        <f>CALC_EPM!N37</f>
        <v>0</v>
      </c>
      <c r="O44">
        <f>CALC_EPM!O37</f>
        <v>0</v>
      </c>
      <c r="P44">
        <f>CALC_EPM!P37</f>
        <v>0</v>
      </c>
      <c r="Q44">
        <f>CALC_EPM!Q37</f>
        <v>0</v>
      </c>
      <c r="R44">
        <f>CALC_EPM!R37</f>
        <v>0</v>
      </c>
      <c r="S44">
        <f>CALC_EPM!S37</f>
        <v>0</v>
      </c>
      <c r="T44">
        <f>CALC_EPM!T37</f>
        <v>0</v>
      </c>
      <c r="U44">
        <f>CALC_EPM!U37</f>
        <v>0</v>
      </c>
    </row>
    <row r="45" spans="1:21" x14ac:dyDescent="0.2">
      <c r="A45" t="str">
        <f>IF(CALC_EPM!A38="GLOBAL",IF(CALC_EPM!C38="Total","GLOBAL",IF(CALC_EPM!C38="TotalEsp","GLOBAL_ESP",IF(CALC_EPM!C38="TotalNoEsp","GLOBAL_NOESP","GLOBAL_ASIG"))),IF(CALC_EPM!C38="Total","CURSO_TOTAL",IF(CALC_EPM!C38="TotalEsp","CURSO_ESP",IF(CALC_EPM!C38="TotalNoEsp","CURSO_NOESP","CURSO_ASIG"))))</f>
        <v>GLOBAL_ASIG</v>
      </c>
      <c r="B45" t="str">
        <f>CALC_EPM!A38</f>
        <v>GLOBAL</v>
      </c>
      <c r="C45" t="str">
        <f>CALC_EPM!B38</f>
        <v>Complemento Coral</v>
      </c>
      <c r="D45">
        <f>CALC_EPM!D38</f>
        <v>0</v>
      </c>
      <c r="E45" s="10" t="str">
        <f>CALC_EPM!E38</f>
        <v>—</v>
      </c>
      <c r="F45" s="10" t="str">
        <f>CALC_EPM!F38</f>
        <v>—</v>
      </c>
      <c r="G45" t="str">
        <f>CALC_EPM!G38</f>
        <v>—</v>
      </c>
      <c r="H45" s="11" t="str">
        <f>CALC_EPM!H38</f>
        <v>—</v>
      </c>
      <c r="I45" s="11" t="str">
        <f>CALC_EPM!I38</f>
        <v>—</v>
      </c>
      <c r="J45" t="str">
        <f>CALC_EPM!J38</f>
        <v>—</v>
      </c>
      <c r="K45" t="str">
        <f>CALC_EPM!K38</f>
        <v>—</v>
      </c>
      <c r="L45">
        <f>CALC_EPM!L38</f>
        <v>0</v>
      </c>
      <c r="M45">
        <f>CALC_EPM!M38</f>
        <v>0</v>
      </c>
      <c r="N45">
        <f>CALC_EPM!N38</f>
        <v>0</v>
      </c>
      <c r="O45">
        <f>CALC_EPM!O38</f>
        <v>0</v>
      </c>
      <c r="P45">
        <f>CALC_EPM!P38</f>
        <v>0</v>
      </c>
      <c r="Q45">
        <f>CALC_EPM!Q38</f>
        <v>0</v>
      </c>
      <c r="R45">
        <f>CALC_EPM!R38</f>
        <v>0</v>
      </c>
      <c r="S45">
        <f>CALC_EPM!S38</f>
        <v>0</v>
      </c>
      <c r="T45">
        <f>CALC_EPM!T38</f>
        <v>0</v>
      </c>
      <c r="U45">
        <f>CALC_EPM!U38</f>
        <v>0</v>
      </c>
    </row>
    <row r="46" spans="1:21" x14ac:dyDescent="0.2">
      <c r="A46" t="str">
        <f>IF(CALC_EPM!A39="GLOBAL",IF(CALC_EPM!C39="Total","GLOBAL",IF(CALC_EPM!C39="TotalEsp","GLOBAL_ESP",IF(CALC_EPM!C39="TotalNoEsp","GLOBAL_NOESP","GLOBAL_ASIG"))),IF(CALC_EPM!C39="Total","CURSO_TOTAL",IF(CALC_EPM!C39="TotalEsp","CURSO_ESP",IF(CALC_EPM!C39="TotalNoEsp","CURSO_NOESP","CURSO_ASIG"))))</f>
        <v>GLOBAL_ASIG</v>
      </c>
      <c r="B46" t="str">
        <f>CALC_EPM!A39</f>
        <v>GLOBAL</v>
      </c>
      <c r="C46" t="str">
        <f>CALC_EPM!B39</f>
        <v>Fundamentos de Composición</v>
      </c>
      <c r="D46">
        <f>CALC_EPM!D39</f>
        <v>0</v>
      </c>
      <c r="E46" s="10" t="str">
        <f>CALC_EPM!E39</f>
        <v>—</v>
      </c>
      <c r="F46" s="10" t="str">
        <f>CALC_EPM!F39</f>
        <v>—</v>
      </c>
      <c r="G46" t="str">
        <f>CALC_EPM!G39</f>
        <v>—</v>
      </c>
      <c r="H46" s="11" t="str">
        <f>CALC_EPM!H39</f>
        <v>—</v>
      </c>
      <c r="I46" s="11" t="str">
        <f>CALC_EPM!I39</f>
        <v>—</v>
      </c>
      <c r="J46" t="str">
        <f>CALC_EPM!J39</f>
        <v>—</v>
      </c>
      <c r="K46" t="str">
        <f>CALC_EPM!K39</f>
        <v>—</v>
      </c>
      <c r="L46">
        <f>CALC_EPM!L39</f>
        <v>0</v>
      </c>
      <c r="M46">
        <f>CALC_EPM!M39</f>
        <v>0</v>
      </c>
      <c r="N46">
        <f>CALC_EPM!N39</f>
        <v>0</v>
      </c>
      <c r="O46">
        <f>CALC_EPM!O39</f>
        <v>0</v>
      </c>
      <c r="P46">
        <f>CALC_EPM!P39</f>
        <v>0</v>
      </c>
      <c r="Q46">
        <f>CALC_EPM!Q39</f>
        <v>0</v>
      </c>
      <c r="R46">
        <f>CALC_EPM!R39</f>
        <v>0</v>
      </c>
      <c r="S46">
        <f>CALC_EPM!S39</f>
        <v>0</v>
      </c>
      <c r="T46">
        <f>CALC_EPM!T39</f>
        <v>0</v>
      </c>
      <c r="U46">
        <f>CALC_EPM!U39</f>
        <v>0</v>
      </c>
    </row>
    <row r="47" spans="1:21" x14ac:dyDescent="0.2">
      <c r="A47" t="str">
        <f>IF(CALC_EPM!A40="GLOBAL",IF(CALC_EPM!C40="Total","GLOBAL",IF(CALC_EPM!C40="TotalEsp","GLOBAL_ESP",IF(CALC_EPM!C40="TotalNoEsp","GLOBAL_NOESP","GLOBAL_ASIG"))),IF(CALC_EPM!C40="Total","CURSO_TOTAL",IF(CALC_EPM!C40="TotalEsp","CURSO_ESP",IF(CALC_EPM!C40="TotalNoEsp","CURSO_NOESP","CURSO_ASIG"))))</f>
        <v>GLOBAL_ASIG</v>
      </c>
      <c r="B47" t="str">
        <f>CALC_EPM!A40</f>
        <v>GLOBAL</v>
      </c>
      <c r="C47" t="str">
        <f>CALC_EPM!B40</f>
        <v>Introducción a la Pedagogía Musical</v>
      </c>
      <c r="D47">
        <f>CALC_EPM!D40</f>
        <v>0</v>
      </c>
      <c r="E47" s="10" t="str">
        <f>CALC_EPM!E40</f>
        <v>—</v>
      </c>
      <c r="F47" s="10" t="str">
        <f>CALC_EPM!F40</f>
        <v>—</v>
      </c>
      <c r="G47" t="str">
        <f>CALC_EPM!G40</f>
        <v>—</v>
      </c>
      <c r="H47" s="11" t="str">
        <f>CALC_EPM!H40</f>
        <v>—</v>
      </c>
      <c r="I47" s="11" t="str">
        <f>CALC_EPM!I40</f>
        <v>—</v>
      </c>
      <c r="J47" t="str">
        <f>CALC_EPM!J40</f>
        <v>—</v>
      </c>
      <c r="K47" t="str">
        <f>CALC_EPM!K40</f>
        <v>—</v>
      </c>
      <c r="L47">
        <f>CALC_EPM!L40</f>
        <v>0</v>
      </c>
      <c r="M47">
        <f>CALC_EPM!M40</f>
        <v>0</v>
      </c>
      <c r="N47">
        <f>CALC_EPM!N40</f>
        <v>0</v>
      </c>
      <c r="O47">
        <f>CALC_EPM!O40</f>
        <v>0</v>
      </c>
      <c r="P47">
        <f>CALC_EPM!P40</f>
        <v>0</v>
      </c>
      <c r="Q47">
        <f>CALC_EPM!Q40</f>
        <v>0</v>
      </c>
      <c r="R47">
        <f>CALC_EPM!R40</f>
        <v>0</v>
      </c>
      <c r="S47">
        <f>CALC_EPM!S40</f>
        <v>0</v>
      </c>
      <c r="T47">
        <f>CALC_EPM!T40</f>
        <v>0</v>
      </c>
      <c r="U47">
        <f>CALC_EPM!U40</f>
        <v>0</v>
      </c>
    </row>
    <row r="48" spans="1:21" x14ac:dyDescent="0.2">
      <c r="A48" t="str">
        <f>IF(CALC_EPM!A41="GLOBAL",IF(CALC_EPM!C41="Total","GLOBAL",IF(CALC_EPM!C41="TotalEsp","GLOBAL_ESP",IF(CALC_EPM!C41="TotalNoEsp","GLOBAL_NOESP","GLOBAL_ASIG"))),IF(CALC_EPM!C41="Total","CURSO_TOTAL",IF(CALC_EPM!C41="TotalEsp","CURSO_ESP",IF(CALC_EPM!C41="TotalNoEsp","CURSO_NOESP","CURSO_ASIG"))))</f>
        <v>GLOBAL_ASIG</v>
      </c>
      <c r="B48" t="str">
        <f>CALC_EPM!A41</f>
        <v>GLOBAL</v>
      </c>
      <c r="C48" t="str">
        <f>CALC_EPM!B41</f>
        <v>FUNDAMENTOS DE INFORMÁTICA MUSICAL Y EDICIÓN DE PARTITURAS</v>
      </c>
      <c r="D48">
        <f>CALC_EPM!D41</f>
        <v>0</v>
      </c>
      <c r="E48" s="10" t="str">
        <f>CALC_EPM!E41</f>
        <v>—</v>
      </c>
      <c r="F48" s="10" t="str">
        <f>CALC_EPM!F41</f>
        <v>—</v>
      </c>
      <c r="G48" t="str">
        <f>CALC_EPM!G41</f>
        <v>—</v>
      </c>
      <c r="H48" s="11" t="str">
        <f>CALC_EPM!H41</f>
        <v>—</v>
      </c>
      <c r="I48" s="11" t="str">
        <f>CALC_EPM!I41</f>
        <v>—</v>
      </c>
      <c r="J48" t="str">
        <f>CALC_EPM!J41</f>
        <v>—</v>
      </c>
      <c r="K48" t="str">
        <f>CALC_EPM!K41</f>
        <v>—</v>
      </c>
      <c r="L48">
        <f>CALC_EPM!L41</f>
        <v>0</v>
      </c>
      <c r="M48">
        <f>CALC_EPM!M41</f>
        <v>0</v>
      </c>
      <c r="N48">
        <f>CALC_EPM!N41</f>
        <v>0</v>
      </c>
      <c r="O48">
        <f>CALC_EPM!O41</f>
        <v>0</v>
      </c>
      <c r="P48">
        <f>CALC_EPM!P41</f>
        <v>0</v>
      </c>
      <c r="Q48">
        <f>CALC_EPM!Q41</f>
        <v>0</v>
      </c>
      <c r="R48">
        <f>CALC_EPM!R41</f>
        <v>0</v>
      </c>
      <c r="S48">
        <f>CALC_EPM!S41</f>
        <v>0</v>
      </c>
      <c r="T48">
        <f>CALC_EPM!T41</f>
        <v>0</v>
      </c>
      <c r="U48">
        <f>CALC_EPM!U41</f>
        <v>0</v>
      </c>
    </row>
    <row r="49" spans="1:21" x14ac:dyDescent="0.2">
      <c r="A49" t="str">
        <f>IF(CALC_EPM!A42="GLOBAL",IF(CALC_EPM!C42="Total","GLOBAL",IF(CALC_EPM!C42="TotalEsp","GLOBAL_ESP",IF(CALC_EPM!C42="TotalNoEsp","GLOBAL_NOESP","GLOBAL_ASIG"))),IF(CALC_EPM!C42="Total","CURSO_TOTAL",IF(CALC_EPM!C42="TotalEsp","CURSO_ESP",IF(CALC_EPM!C42="TotalNoEsp","CURSO_NOESP","CURSO_ASIG"))))</f>
        <v>GLOBAL_ASIG</v>
      </c>
      <c r="B49" t="str">
        <f>CALC_EPM!A42</f>
        <v>GLOBAL</v>
      </c>
      <c r="C49" t="str">
        <f>CALC_EPM!B42</f>
        <v>COMPLEMENTO PIANÍSTICO / CLAVECINÍSTICO</v>
      </c>
      <c r="D49">
        <f>CALC_EPM!D42</f>
        <v>0</v>
      </c>
      <c r="E49" s="10" t="str">
        <f>CALC_EPM!E42</f>
        <v>—</v>
      </c>
      <c r="F49" s="10" t="str">
        <f>CALC_EPM!F42</f>
        <v>—</v>
      </c>
      <c r="G49" t="str">
        <f>CALC_EPM!G42</f>
        <v>—</v>
      </c>
      <c r="H49" s="11" t="str">
        <f>CALC_EPM!H42</f>
        <v>—</v>
      </c>
      <c r="I49" s="11" t="str">
        <f>CALC_EPM!I42</f>
        <v>—</v>
      </c>
      <c r="J49" t="str">
        <f>CALC_EPM!J42</f>
        <v>—</v>
      </c>
      <c r="K49" t="str">
        <f>CALC_EPM!K42</f>
        <v>—</v>
      </c>
      <c r="L49">
        <f>CALC_EPM!L42</f>
        <v>0</v>
      </c>
      <c r="M49">
        <f>CALC_EPM!M42</f>
        <v>0</v>
      </c>
      <c r="N49">
        <f>CALC_EPM!N42</f>
        <v>0</v>
      </c>
      <c r="O49">
        <f>CALC_EPM!O42</f>
        <v>0</v>
      </c>
      <c r="P49">
        <f>CALC_EPM!P42</f>
        <v>0</v>
      </c>
      <c r="Q49">
        <f>CALC_EPM!Q42</f>
        <v>0</v>
      </c>
      <c r="R49">
        <f>CALC_EPM!R42</f>
        <v>0</v>
      </c>
      <c r="S49">
        <f>CALC_EPM!S42</f>
        <v>0</v>
      </c>
      <c r="T49">
        <f>CALC_EPM!T42</f>
        <v>0</v>
      </c>
      <c r="U49">
        <f>CALC_EPM!U42</f>
        <v>0</v>
      </c>
    </row>
    <row r="50" spans="1:21" x14ac:dyDescent="0.2">
      <c r="A50" t="str">
        <f>IF(CALC_EPM!A43="GLOBAL",IF(CALC_EPM!C43="Total","GLOBAL",IF(CALC_EPM!C43="TotalEsp","GLOBAL_ESP",IF(CALC_EPM!C43="TotalNoEsp","GLOBAL_NOESP","GLOBAL_ASIG"))),IF(CALC_EPM!C43="Total","CURSO_TOTAL",IF(CALC_EPM!C43="TotalEsp","CURSO_ESP",IF(CALC_EPM!C43="TotalNoEsp","CURSO_NOESP","CURSO_ASIG"))))</f>
        <v>GLOBAL_ASIG</v>
      </c>
      <c r="B50" t="str">
        <f>CALC_EPM!A43</f>
        <v>GLOBAL</v>
      </c>
      <c r="C50" t="str">
        <f>CALC_EPM!B43</f>
        <v>Estética de la Música</v>
      </c>
      <c r="D50">
        <f>CALC_EPM!D43</f>
        <v>0</v>
      </c>
      <c r="E50" s="10" t="str">
        <f>CALC_EPM!E43</f>
        <v>—</v>
      </c>
      <c r="F50" s="10" t="str">
        <f>CALC_EPM!F43</f>
        <v>—</v>
      </c>
      <c r="G50" t="str">
        <f>CALC_EPM!G43</f>
        <v>—</v>
      </c>
      <c r="H50" s="11" t="str">
        <f>CALC_EPM!H43</f>
        <v>—</v>
      </c>
      <c r="I50" s="11" t="str">
        <f>CALC_EPM!I43</f>
        <v>—</v>
      </c>
      <c r="J50" t="str">
        <f>CALC_EPM!J43</f>
        <v>—</v>
      </c>
      <c r="K50" t="str">
        <f>CALC_EPM!K43</f>
        <v>—</v>
      </c>
      <c r="L50">
        <f>CALC_EPM!L43</f>
        <v>0</v>
      </c>
      <c r="M50">
        <f>CALC_EPM!M43</f>
        <v>0</v>
      </c>
      <c r="N50">
        <f>CALC_EPM!N43</f>
        <v>0</v>
      </c>
      <c r="O50">
        <f>CALC_EPM!O43</f>
        <v>0</v>
      </c>
      <c r="P50">
        <f>CALC_EPM!P43</f>
        <v>0</v>
      </c>
      <c r="Q50">
        <f>CALC_EPM!Q43</f>
        <v>0</v>
      </c>
      <c r="R50">
        <f>CALC_EPM!R43</f>
        <v>0</v>
      </c>
      <c r="S50">
        <f>CALC_EPM!S43</f>
        <v>0</v>
      </c>
      <c r="T50">
        <f>CALC_EPM!T43</f>
        <v>0</v>
      </c>
      <c r="U50">
        <f>CALC_EPM!U43</f>
        <v>0</v>
      </c>
    </row>
    <row r="51" spans="1:21" x14ac:dyDescent="0.2">
      <c r="A51" t="str">
        <f>IF(CALC_EPM!A44="GLOBAL",IF(CALC_EPM!C44="Total","GLOBAL",IF(CALC_EPM!C44="TotalEsp","GLOBAL_ESP",IF(CALC_EPM!C44="TotalNoEsp","GLOBAL_NOESP","GLOBAL_ASIG"))),IF(CALC_EPM!C44="Total","CURSO_TOTAL",IF(CALC_EPM!C44="TotalEsp","CURSO_ESP",IF(CALC_EPM!C44="TotalNoEsp","CURSO_NOESP","CURSO_ASIG"))))</f>
        <v>GLOBAL_ASIG</v>
      </c>
      <c r="B51" t="str">
        <f>CALC_EPM!A44</f>
        <v>GLOBAL</v>
      </c>
      <c r="C51" t="str">
        <f>CALC_EPM!B44</f>
        <v>Improvisación y Jazz</v>
      </c>
      <c r="D51">
        <f>CALC_EPM!D44</f>
        <v>0</v>
      </c>
      <c r="E51" s="10" t="str">
        <f>CALC_EPM!E44</f>
        <v>—</v>
      </c>
      <c r="F51" s="10" t="str">
        <f>CALC_EPM!F44</f>
        <v>—</v>
      </c>
      <c r="G51" t="str">
        <f>CALC_EPM!G44</f>
        <v>—</v>
      </c>
      <c r="H51" s="11" t="str">
        <f>CALC_EPM!H44</f>
        <v>—</v>
      </c>
      <c r="I51" s="11" t="str">
        <f>CALC_EPM!I44</f>
        <v>—</v>
      </c>
      <c r="J51" t="str">
        <f>CALC_EPM!J44</f>
        <v>—</v>
      </c>
      <c r="K51" t="str">
        <f>CALC_EPM!K44</f>
        <v>—</v>
      </c>
      <c r="L51">
        <f>CALC_EPM!L44</f>
        <v>0</v>
      </c>
      <c r="M51">
        <f>CALC_EPM!M44</f>
        <v>0</v>
      </c>
      <c r="N51">
        <f>CALC_EPM!N44</f>
        <v>0</v>
      </c>
      <c r="O51">
        <f>CALC_EPM!O44</f>
        <v>0</v>
      </c>
      <c r="P51">
        <f>CALC_EPM!P44</f>
        <v>0</v>
      </c>
      <c r="Q51">
        <f>CALC_EPM!Q44</f>
        <v>0</v>
      </c>
      <c r="R51">
        <f>CALC_EPM!R44</f>
        <v>0</v>
      </c>
      <c r="S51">
        <f>CALC_EPM!S44</f>
        <v>0</v>
      </c>
      <c r="T51">
        <f>CALC_EPM!T44</f>
        <v>0</v>
      </c>
      <c r="U51">
        <f>CALC_EPM!U44</f>
        <v>0</v>
      </c>
    </row>
    <row r="52" spans="1:21" x14ac:dyDescent="0.2">
      <c r="A52" t="str">
        <f>IF(CALC_EPM!A45="GLOBAL",IF(CALC_EPM!C45="Total","GLOBAL",IF(CALC_EPM!C45="TotalEsp","GLOBAL_ESP",IF(CALC_EPM!C45="TotalNoEsp","GLOBAL_NOESP","GLOBAL_ASIG"))),IF(CALC_EPM!C45="Total","CURSO_TOTAL",IF(CALC_EPM!C45="TotalEsp","CURSO_ESP",IF(CALC_EPM!C45="TotalNoEsp","CURSO_NOESP","CURSO_ASIG"))))</f>
        <v>CURSO_TOTAL</v>
      </c>
      <c r="B52" t="str">
        <f>CALC_EPM!A45</f>
        <v>1EPM</v>
      </c>
      <c r="C52" t="str">
        <f>CALC_EPM!B45</f>
        <v>Total</v>
      </c>
      <c r="D52">
        <f>CALC_EPM!D45</f>
        <v>0</v>
      </c>
      <c r="E52" s="10" t="str">
        <f>CALC_EPM!E45</f>
        <v>—</v>
      </c>
      <c r="F52" s="10" t="str">
        <f>CALC_EPM!F45</f>
        <v>—</v>
      </c>
      <c r="G52" t="str">
        <f>CALC_EPM!G45</f>
        <v>—</v>
      </c>
      <c r="H52" s="11" t="str">
        <f>CALC_EPM!H45</f>
        <v>—</v>
      </c>
      <c r="I52" s="11" t="str">
        <f>CALC_EPM!I45</f>
        <v>—</v>
      </c>
      <c r="J52" t="str">
        <f>CALC_EPM!J45</f>
        <v>—</v>
      </c>
      <c r="K52" t="str">
        <f>CALC_EPM!K45</f>
        <v>—</v>
      </c>
      <c r="L52">
        <f>CALC_EPM!L45</f>
        <v>0</v>
      </c>
      <c r="M52">
        <f>CALC_EPM!M45</f>
        <v>0</v>
      </c>
      <c r="N52">
        <f>CALC_EPM!N45</f>
        <v>0</v>
      </c>
      <c r="O52">
        <f>CALC_EPM!O45</f>
        <v>0</v>
      </c>
      <c r="P52">
        <f>CALC_EPM!P45</f>
        <v>0</v>
      </c>
      <c r="Q52">
        <f>CALC_EPM!Q45</f>
        <v>0</v>
      </c>
      <c r="R52">
        <f>CALC_EPM!R45</f>
        <v>0</v>
      </c>
      <c r="S52">
        <f>CALC_EPM!S45</f>
        <v>0</v>
      </c>
      <c r="T52">
        <f>CALC_EPM!T45</f>
        <v>0</v>
      </c>
      <c r="U52">
        <f>CALC_EPM!U45</f>
        <v>0</v>
      </c>
    </row>
    <row r="53" spans="1:21" x14ac:dyDescent="0.2">
      <c r="A53" t="str">
        <f>IF(CALC_EPM!A46="GLOBAL",IF(CALC_EPM!C46="Total","GLOBAL",IF(CALC_EPM!C46="TotalEsp","GLOBAL_ESP",IF(CALC_EPM!C46="TotalNoEsp","GLOBAL_NOESP","GLOBAL_ASIG"))),IF(CALC_EPM!C46="Total","CURSO_TOTAL",IF(CALC_EPM!C46="TotalEsp","CURSO_ESP",IF(CALC_EPM!C46="TotalNoEsp","CURSO_NOESP","CURSO_ASIG"))))</f>
        <v>CURSO_ESP</v>
      </c>
      <c r="B53" t="str">
        <f>CALC_EPM!A46</f>
        <v>1EPM</v>
      </c>
      <c r="C53" t="str">
        <f>CALC_EPM!B46</f>
        <v>Total Especialidad</v>
      </c>
      <c r="D53">
        <f>CALC_EPM!D46</f>
        <v>0</v>
      </c>
      <c r="E53" s="10" t="str">
        <f>CALC_EPM!E46</f>
        <v>—</v>
      </c>
      <c r="F53" s="10" t="str">
        <f>CALC_EPM!F46</f>
        <v>—</v>
      </c>
      <c r="G53" t="str">
        <f>CALC_EPM!G46</f>
        <v>—</v>
      </c>
      <c r="H53" s="11" t="str">
        <f>CALC_EPM!H46</f>
        <v>—</v>
      </c>
      <c r="I53" s="11" t="str">
        <f>CALC_EPM!I46</f>
        <v>—</v>
      </c>
      <c r="J53" t="str">
        <f>CALC_EPM!J46</f>
        <v>—</v>
      </c>
      <c r="K53" t="str">
        <f>CALC_EPM!K46</f>
        <v>—</v>
      </c>
      <c r="L53">
        <f>CALC_EPM!L46</f>
        <v>0</v>
      </c>
      <c r="M53">
        <f>CALC_EPM!M46</f>
        <v>0</v>
      </c>
      <c r="N53">
        <f>CALC_EPM!N46</f>
        <v>0</v>
      </c>
      <c r="O53">
        <f>CALC_EPM!O46</f>
        <v>0</v>
      </c>
      <c r="P53">
        <f>CALC_EPM!P46</f>
        <v>0</v>
      </c>
      <c r="Q53">
        <f>CALC_EPM!Q46</f>
        <v>0</v>
      </c>
      <c r="R53">
        <f>CALC_EPM!R46</f>
        <v>0</v>
      </c>
      <c r="S53">
        <f>CALC_EPM!S46</f>
        <v>0</v>
      </c>
      <c r="T53">
        <f>CALC_EPM!T46</f>
        <v>0</v>
      </c>
      <c r="U53">
        <f>CALC_EPM!U46</f>
        <v>0</v>
      </c>
    </row>
    <row r="54" spans="1:21" x14ac:dyDescent="0.2">
      <c r="A54" t="str">
        <f>IF(CALC_EPM!A47="GLOBAL",IF(CALC_EPM!C47="Total","GLOBAL",IF(CALC_EPM!C47="TotalEsp","GLOBAL_ESP",IF(CALC_EPM!C47="TotalNoEsp","GLOBAL_NOESP","GLOBAL_ASIG"))),IF(CALC_EPM!C47="Total","CURSO_TOTAL",IF(CALC_EPM!C47="TotalEsp","CURSO_ESP",IF(CALC_EPM!C47="TotalNoEsp","CURSO_NOESP","CURSO_ASIG"))))</f>
        <v>CURSO_NOESP</v>
      </c>
      <c r="B54" t="str">
        <f>CALC_EPM!A47</f>
        <v>1EPM</v>
      </c>
      <c r="C54" t="str">
        <f>CALC_EPM!B47</f>
        <v>Total No Especialidad</v>
      </c>
      <c r="D54">
        <f>CALC_EPM!D47</f>
        <v>0</v>
      </c>
      <c r="E54" s="10" t="str">
        <f>CALC_EPM!E47</f>
        <v>—</v>
      </c>
      <c r="F54" s="10" t="str">
        <f>CALC_EPM!F47</f>
        <v>—</v>
      </c>
      <c r="G54" t="str">
        <f>CALC_EPM!G47</f>
        <v>—</v>
      </c>
      <c r="H54" s="11" t="str">
        <f>CALC_EPM!H47</f>
        <v>—</v>
      </c>
      <c r="I54" s="11" t="str">
        <f>CALC_EPM!I47</f>
        <v>—</v>
      </c>
      <c r="J54" t="str">
        <f>CALC_EPM!J47</f>
        <v>—</v>
      </c>
      <c r="K54" t="str">
        <f>CALC_EPM!K47</f>
        <v>—</v>
      </c>
      <c r="L54">
        <f>CALC_EPM!L47</f>
        <v>0</v>
      </c>
      <c r="M54">
        <f>CALC_EPM!M47</f>
        <v>0</v>
      </c>
      <c r="N54">
        <f>CALC_EPM!N47</f>
        <v>0</v>
      </c>
      <c r="O54">
        <f>CALC_EPM!O47</f>
        <v>0</v>
      </c>
      <c r="P54">
        <f>CALC_EPM!P47</f>
        <v>0</v>
      </c>
      <c r="Q54">
        <f>CALC_EPM!Q47</f>
        <v>0</v>
      </c>
      <c r="R54">
        <f>CALC_EPM!R47</f>
        <v>0</v>
      </c>
      <c r="S54">
        <f>CALC_EPM!S47</f>
        <v>0</v>
      </c>
      <c r="T54">
        <f>CALC_EPM!T47</f>
        <v>0</v>
      </c>
      <c r="U54">
        <f>CALC_EPM!U47</f>
        <v>0</v>
      </c>
    </row>
    <row r="55" spans="1:21" x14ac:dyDescent="0.2">
      <c r="A55" t="str">
        <f>IF(CALC_EPM!A48="GLOBAL",IF(CALC_EPM!C48="Total","GLOBAL",IF(CALC_EPM!C48="TotalEsp","GLOBAL_ESP",IF(CALC_EPM!C48="TotalNoEsp","GLOBAL_NOESP","GLOBAL_ASIG"))),IF(CALC_EPM!C48="Total","CURSO_TOTAL",IF(CALC_EPM!C48="TotalEsp","CURSO_ESP",IF(CALC_EPM!C48="TotalNoEsp","CURSO_NOESP","CURSO_ASIG"))))</f>
        <v>CURSO_TOTAL</v>
      </c>
      <c r="B55" t="str">
        <f>CALC_EPM!A48</f>
        <v>2EPM</v>
      </c>
      <c r="C55" t="str">
        <f>CALC_EPM!B48</f>
        <v>Total</v>
      </c>
      <c r="D55">
        <f>CALC_EPM!D48</f>
        <v>0</v>
      </c>
      <c r="E55" s="10" t="str">
        <f>CALC_EPM!E48</f>
        <v>—</v>
      </c>
      <c r="F55" s="10" t="str">
        <f>CALC_EPM!F48</f>
        <v>—</v>
      </c>
      <c r="G55" t="str">
        <f>CALC_EPM!G48</f>
        <v>—</v>
      </c>
      <c r="H55" s="11" t="str">
        <f>CALC_EPM!H48</f>
        <v>—</v>
      </c>
      <c r="I55" s="11" t="str">
        <f>CALC_EPM!I48</f>
        <v>—</v>
      </c>
      <c r="J55" t="str">
        <f>CALC_EPM!J48</f>
        <v>—</v>
      </c>
      <c r="K55" t="str">
        <f>CALC_EPM!K48</f>
        <v>—</v>
      </c>
      <c r="L55">
        <f>CALC_EPM!L48</f>
        <v>0</v>
      </c>
      <c r="M55">
        <f>CALC_EPM!M48</f>
        <v>0</v>
      </c>
      <c r="N55">
        <f>CALC_EPM!N48</f>
        <v>0</v>
      </c>
      <c r="O55">
        <f>CALC_EPM!O48</f>
        <v>0</v>
      </c>
      <c r="P55">
        <f>CALC_EPM!P48</f>
        <v>0</v>
      </c>
      <c r="Q55">
        <f>CALC_EPM!Q48</f>
        <v>0</v>
      </c>
      <c r="R55">
        <f>CALC_EPM!R48</f>
        <v>0</v>
      </c>
      <c r="S55">
        <f>CALC_EPM!S48</f>
        <v>0</v>
      </c>
      <c r="T55">
        <f>CALC_EPM!T48</f>
        <v>0</v>
      </c>
      <c r="U55">
        <f>CALC_EPM!U48</f>
        <v>0</v>
      </c>
    </row>
    <row r="56" spans="1:21" x14ac:dyDescent="0.2">
      <c r="A56" t="str">
        <f>IF(CALC_EPM!A49="GLOBAL",IF(CALC_EPM!C49="Total","GLOBAL",IF(CALC_EPM!C49="TotalEsp","GLOBAL_ESP",IF(CALC_EPM!C49="TotalNoEsp","GLOBAL_NOESP","GLOBAL_ASIG"))),IF(CALC_EPM!C49="Total","CURSO_TOTAL",IF(CALC_EPM!C49="TotalEsp","CURSO_ESP",IF(CALC_EPM!C49="TotalNoEsp","CURSO_NOESP","CURSO_ASIG"))))</f>
        <v>CURSO_ESP</v>
      </c>
      <c r="B56" t="str">
        <f>CALC_EPM!A49</f>
        <v>2EPM</v>
      </c>
      <c r="C56" t="str">
        <f>CALC_EPM!B49</f>
        <v>Total Especialidad</v>
      </c>
      <c r="D56">
        <f>CALC_EPM!D49</f>
        <v>0</v>
      </c>
      <c r="E56" s="10" t="str">
        <f>CALC_EPM!E49</f>
        <v>—</v>
      </c>
      <c r="F56" s="10" t="str">
        <f>CALC_EPM!F49</f>
        <v>—</v>
      </c>
      <c r="G56" t="str">
        <f>CALC_EPM!G49</f>
        <v>—</v>
      </c>
      <c r="H56" s="11" t="str">
        <f>CALC_EPM!H49</f>
        <v>—</v>
      </c>
      <c r="I56" s="11" t="str">
        <f>CALC_EPM!I49</f>
        <v>—</v>
      </c>
      <c r="J56" t="str">
        <f>CALC_EPM!J49</f>
        <v>—</v>
      </c>
      <c r="K56" t="str">
        <f>CALC_EPM!K49</f>
        <v>—</v>
      </c>
      <c r="L56">
        <f>CALC_EPM!L49</f>
        <v>0</v>
      </c>
      <c r="M56">
        <f>CALC_EPM!M49</f>
        <v>0</v>
      </c>
      <c r="N56">
        <f>CALC_EPM!N49</f>
        <v>0</v>
      </c>
      <c r="O56">
        <f>CALC_EPM!O49</f>
        <v>0</v>
      </c>
      <c r="P56">
        <f>CALC_EPM!P49</f>
        <v>0</v>
      </c>
      <c r="Q56">
        <f>CALC_EPM!Q49</f>
        <v>0</v>
      </c>
      <c r="R56">
        <f>CALC_EPM!R49</f>
        <v>0</v>
      </c>
      <c r="S56">
        <f>CALC_EPM!S49</f>
        <v>0</v>
      </c>
      <c r="T56">
        <f>CALC_EPM!T49</f>
        <v>0</v>
      </c>
      <c r="U56">
        <f>CALC_EPM!U49</f>
        <v>0</v>
      </c>
    </row>
    <row r="57" spans="1:21" x14ac:dyDescent="0.2">
      <c r="A57" t="str">
        <f>IF(CALC_EPM!A50="GLOBAL",IF(CALC_EPM!C50="Total","GLOBAL",IF(CALC_EPM!C50="TotalEsp","GLOBAL_ESP",IF(CALC_EPM!C50="TotalNoEsp","GLOBAL_NOESP","GLOBAL_ASIG"))),IF(CALC_EPM!C50="Total","CURSO_TOTAL",IF(CALC_EPM!C50="TotalEsp","CURSO_ESP",IF(CALC_EPM!C50="TotalNoEsp","CURSO_NOESP","CURSO_ASIG"))))</f>
        <v>CURSO_NOESP</v>
      </c>
      <c r="B57" t="str">
        <f>CALC_EPM!A50</f>
        <v>2EPM</v>
      </c>
      <c r="C57" t="str">
        <f>CALC_EPM!B50</f>
        <v>Total No Especialidad</v>
      </c>
      <c r="D57">
        <f>CALC_EPM!D50</f>
        <v>0</v>
      </c>
      <c r="E57" s="10" t="str">
        <f>CALC_EPM!E50</f>
        <v>—</v>
      </c>
      <c r="F57" s="10" t="str">
        <f>CALC_EPM!F50</f>
        <v>—</v>
      </c>
      <c r="G57" t="str">
        <f>CALC_EPM!G50</f>
        <v>—</v>
      </c>
      <c r="H57" s="11" t="str">
        <f>CALC_EPM!H50</f>
        <v>—</v>
      </c>
      <c r="I57" s="11" t="str">
        <f>CALC_EPM!I50</f>
        <v>—</v>
      </c>
      <c r="J57" t="str">
        <f>CALC_EPM!J50</f>
        <v>—</v>
      </c>
      <c r="K57" t="str">
        <f>CALC_EPM!K50</f>
        <v>—</v>
      </c>
      <c r="L57">
        <f>CALC_EPM!L50</f>
        <v>0</v>
      </c>
      <c r="M57">
        <f>CALC_EPM!M50</f>
        <v>0</v>
      </c>
      <c r="N57">
        <f>CALC_EPM!N50</f>
        <v>0</v>
      </c>
      <c r="O57">
        <f>CALC_EPM!O50</f>
        <v>0</v>
      </c>
      <c r="P57">
        <f>CALC_EPM!P50</f>
        <v>0</v>
      </c>
      <c r="Q57">
        <f>CALC_EPM!Q50</f>
        <v>0</v>
      </c>
      <c r="R57">
        <f>CALC_EPM!R50</f>
        <v>0</v>
      </c>
      <c r="S57">
        <f>CALC_EPM!S50</f>
        <v>0</v>
      </c>
      <c r="T57">
        <f>CALC_EPM!T50</f>
        <v>0</v>
      </c>
      <c r="U57">
        <f>CALC_EPM!U50</f>
        <v>0</v>
      </c>
    </row>
    <row r="58" spans="1:21" x14ac:dyDescent="0.2">
      <c r="A58" t="str">
        <f>IF(CALC_EPM!A51="GLOBAL",IF(CALC_EPM!C51="Total","GLOBAL",IF(CALC_EPM!C51="TotalEsp","GLOBAL_ESP",IF(CALC_EPM!C51="TotalNoEsp","GLOBAL_NOESP","GLOBAL_ASIG"))),IF(CALC_EPM!C51="Total","CURSO_TOTAL",IF(CALC_EPM!C51="TotalEsp","CURSO_ESP",IF(CALC_EPM!C51="TotalNoEsp","CURSO_NOESP","CURSO_ASIG"))))</f>
        <v>CURSO_TOTAL</v>
      </c>
      <c r="B58" t="str">
        <f>CALC_EPM!A51</f>
        <v>3EPM</v>
      </c>
      <c r="C58" t="str">
        <f>CALC_EPM!B51</f>
        <v>Total</v>
      </c>
      <c r="D58">
        <f>CALC_EPM!D51</f>
        <v>0</v>
      </c>
      <c r="E58" s="10" t="str">
        <f>CALC_EPM!E51</f>
        <v>—</v>
      </c>
      <c r="F58" s="10" t="str">
        <f>CALC_EPM!F51</f>
        <v>—</v>
      </c>
      <c r="G58" t="str">
        <f>CALC_EPM!G51</f>
        <v>—</v>
      </c>
      <c r="H58" s="11" t="str">
        <f>CALC_EPM!H51</f>
        <v>—</v>
      </c>
      <c r="I58" s="11" t="str">
        <f>CALC_EPM!I51</f>
        <v>—</v>
      </c>
      <c r="J58" t="str">
        <f>CALC_EPM!J51</f>
        <v>—</v>
      </c>
      <c r="K58" t="str">
        <f>CALC_EPM!K51</f>
        <v>—</v>
      </c>
      <c r="L58">
        <f>CALC_EPM!L51</f>
        <v>0</v>
      </c>
      <c r="M58">
        <f>CALC_EPM!M51</f>
        <v>0</v>
      </c>
      <c r="N58">
        <f>CALC_EPM!N51</f>
        <v>0</v>
      </c>
      <c r="O58">
        <f>CALC_EPM!O51</f>
        <v>0</v>
      </c>
      <c r="P58">
        <f>CALC_EPM!P51</f>
        <v>0</v>
      </c>
      <c r="Q58">
        <f>CALC_EPM!Q51</f>
        <v>0</v>
      </c>
      <c r="R58">
        <f>CALC_EPM!R51</f>
        <v>0</v>
      </c>
      <c r="S58">
        <f>CALC_EPM!S51</f>
        <v>0</v>
      </c>
      <c r="T58">
        <f>CALC_EPM!T51</f>
        <v>0</v>
      </c>
      <c r="U58">
        <f>CALC_EPM!U51</f>
        <v>0</v>
      </c>
    </row>
    <row r="59" spans="1:21" x14ac:dyDescent="0.2">
      <c r="A59" t="str">
        <f>IF(CALC_EPM!A52="GLOBAL",IF(CALC_EPM!C52="Total","GLOBAL",IF(CALC_EPM!C52="TotalEsp","GLOBAL_ESP",IF(CALC_EPM!C52="TotalNoEsp","GLOBAL_NOESP","GLOBAL_ASIG"))),IF(CALC_EPM!C52="Total","CURSO_TOTAL",IF(CALC_EPM!C52="TotalEsp","CURSO_ESP",IF(CALC_EPM!C52="TotalNoEsp","CURSO_NOESP","CURSO_ASIG"))))</f>
        <v>CURSO_ESP</v>
      </c>
      <c r="B59" t="str">
        <f>CALC_EPM!A52</f>
        <v>3EPM</v>
      </c>
      <c r="C59" t="str">
        <f>CALC_EPM!B52</f>
        <v>Total Especialidad</v>
      </c>
      <c r="D59">
        <f>CALC_EPM!D52</f>
        <v>0</v>
      </c>
      <c r="E59" s="10" t="str">
        <f>CALC_EPM!E52</f>
        <v>—</v>
      </c>
      <c r="F59" s="10" t="str">
        <f>CALC_EPM!F52</f>
        <v>—</v>
      </c>
      <c r="G59" t="str">
        <f>CALC_EPM!G52</f>
        <v>—</v>
      </c>
      <c r="H59" s="11" t="str">
        <f>CALC_EPM!H52</f>
        <v>—</v>
      </c>
      <c r="I59" s="11" t="str">
        <f>CALC_EPM!I52</f>
        <v>—</v>
      </c>
      <c r="J59" t="str">
        <f>CALC_EPM!J52</f>
        <v>—</v>
      </c>
      <c r="K59" t="str">
        <f>CALC_EPM!K52</f>
        <v>—</v>
      </c>
      <c r="L59">
        <f>CALC_EPM!L52</f>
        <v>0</v>
      </c>
      <c r="M59">
        <f>CALC_EPM!M52</f>
        <v>0</v>
      </c>
      <c r="N59">
        <f>CALC_EPM!N52</f>
        <v>0</v>
      </c>
      <c r="O59">
        <f>CALC_EPM!O52</f>
        <v>0</v>
      </c>
      <c r="P59">
        <f>CALC_EPM!P52</f>
        <v>0</v>
      </c>
      <c r="Q59">
        <f>CALC_EPM!Q52</f>
        <v>0</v>
      </c>
      <c r="R59">
        <f>CALC_EPM!R52</f>
        <v>0</v>
      </c>
      <c r="S59">
        <f>CALC_EPM!S52</f>
        <v>0</v>
      </c>
      <c r="T59">
        <f>CALC_EPM!T52</f>
        <v>0</v>
      </c>
      <c r="U59">
        <f>CALC_EPM!U52</f>
        <v>0</v>
      </c>
    </row>
    <row r="60" spans="1:21" x14ac:dyDescent="0.2">
      <c r="A60" t="str">
        <f>IF(CALC_EPM!A53="GLOBAL",IF(CALC_EPM!C53="Total","GLOBAL",IF(CALC_EPM!C53="TotalEsp","GLOBAL_ESP",IF(CALC_EPM!C53="TotalNoEsp","GLOBAL_NOESP","GLOBAL_ASIG"))),IF(CALC_EPM!C53="Total","CURSO_TOTAL",IF(CALC_EPM!C53="TotalEsp","CURSO_ESP",IF(CALC_EPM!C53="TotalNoEsp","CURSO_NOESP","CURSO_ASIG"))))</f>
        <v>CURSO_NOESP</v>
      </c>
      <c r="B60" t="str">
        <f>CALC_EPM!A53</f>
        <v>3EPM</v>
      </c>
      <c r="C60" t="str">
        <f>CALC_EPM!B53</f>
        <v>Total No Especialidad</v>
      </c>
      <c r="D60">
        <f>CALC_EPM!D53</f>
        <v>0</v>
      </c>
      <c r="E60" s="10" t="str">
        <f>CALC_EPM!E53</f>
        <v>—</v>
      </c>
      <c r="F60" s="10" t="str">
        <f>CALC_EPM!F53</f>
        <v>—</v>
      </c>
      <c r="G60" t="str">
        <f>CALC_EPM!G53</f>
        <v>—</v>
      </c>
      <c r="H60" s="11" t="str">
        <f>CALC_EPM!H53</f>
        <v>—</v>
      </c>
      <c r="I60" s="11" t="str">
        <f>CALC_EPM!I53</f>
        <v>—</v>
      </c>
      <c r="J60" t="str">
        <f>CALC_EPM!J53</f>
        <v>—</v>
      </c>
      <c r="K60" t="str">
        <f>CALC_EPM!K53</f>
        <v>—</v>
      </c>
      <c r="L60">
        <f>CALC_EPM!L53</f>
        <v>0</v>
      </c>
      <c r="M60">
        <f>CALC_EPM!M53</f>
        <v>0</v>
      </c>
      <c r="N60">
        <f>CALC_EPM!N53</f>
        <v>0</v>
      </c>
      <c r="O60">
        <f>CALC_EPM!O53</f>
        <v>0</v>
      </c>
      <c r="P60">
        <f>CALC_EPM!P53</f>
        <v>0</v>
      </c>
      <c r="Q60">
        <f>CALC_EPM!Q53</f>
        <v>0</v>
      </c>
      <c r="R60">
        <f>CALC_EPM!R53</f>
        <v>0</v>
      </c>
      <c r="S60">
        <f>CALC_EPM!S53</f>
        <v>0</v>
      </c>
      <c r="T60">
        <f>CALC_EPM!T53</f>
        <v>0</v>
      </c>
      <c r="U60">
        <f>CALC_EPM!U53</f>
        <v>0</v>
      </c>
    </row>
    <row r="61" spans="1:21" x14ac:dyDescent="0.2">
      <c r="A61" t="str">
        <f>IF(CALC_EPM!A54="GLOBAL",IF(CALC_EPM!C54="Total","GLOBAL",IF(CALC_EPM!C54="TotalEsp","GLOBAL_ESP",IF(CALC_EPM!C54="TotalNoEsp","GLOBAL_NOESP","GLOBAL_ASIG"))),IF(CALC_EPM!C54="Total","CURSO_TOTAL",IF(CALC_EPM!C54="TotalEsp","CURSO_ESP",IF(CALC_EPM!C54="TotalNoEsp","CURSO_NOESP","CURSO_ASIG"))))</f>
        <v>CURSO_TOTAL</v>
      </c>
      <c r="B61" t="str">
        <f>CALC_EPM!A54</f>
        <v>4EPM</v>
      </c>
      <c r="C61" t="str">
        <f>CALC_EPM!B54</f>
        <v>Total</v>
      </c>
      <c r="D61">
        <f>CALC_EPM!D54</f>
        <v>0</v>
      </c>
      <c r="E61" s="10" t="str">
        <f>CALC_EPM!E54</f>
        <v>—</v>
      </c>
      <c r="F61" s="10" t="str">
        <f>CALC_EPM!F54</f>
        <v>—</v>
      </c>
      <c r="G61" t="str">
        <f>CALC_EPM!G54</f>
        <v>—</v>
      </c>
      <c r="H61" s="11" t="str">
        <f>CALC_EPM!H54</f>
        <v>—</v>
      </c>
      <c r="I61" s="11" t="str">
        <f>CALC_EPM!I54</f>
        <v>—</v>
      </c>
      <c r="J61" t="str">
        <f>CALC_EPM!J54</f>
        <v>—</v>
      </c>
      <c r="K61" t="str">
        <f>CALC_EPM!K54</f>
        <v>—</v>
      </c>
      <c r="L61">
        <f>CALC_EPM!L54</f>
        <v>0</v>
      </c>
      <c r="M61">
        <f>CALC_EPM!M54</f>
        <v>0</v>
      </c>
      <c r="N61">
        <f>CALC_EPM!N54</f>
        <v>0</v>
      </c>
      <c r="O61">
        <f>CALC_EPM!O54</f>
        <v>0</v>
      </c>
      <c r="P61">
        <f>CALC_EPM!P54</f>
        <v>0</v>
      </c>
      <c r="Q61">
        <f>CALC_EPM!Q54</f>
        <v>0</v>
      </c>
      <c r="R61">
        <f>CALC_EPM!R54</f>
        <v>0</v>
      </c>
      <c r="S61">
        <f>CALC_EPM!S54</f>
        <v>0</v>
      </c>
      <c r="T61">
        <f>CALC_EPM!T54</f>
        <v>0</v>
      </c>
      <c r="U61">
        <f>CALC_EPM!U54</f>
        <v>0</v>
      </c>
    </row>
    <row r="62" spans="1:21" x14ac:dyDescent="0.2">
      <c r="A62" t="str">
        <f>IF(CALC_EPM!A55="GLOBAL",IF(CALC_EPM!C55="Total","GLOBAL",IF(CALC_EPM!C55="TotalEsp","GLOBAL_ESP",IF(CALC_EPM!C55="TotalNoEsp","GLOBAL_NOESP","GLOBAL_ASIG"))),IF(CALC_EPM!C55="Total","CURSO_TOTAL",IF(CALC_EPM!C55="TotalEsp","CURSO_ESP",IF(CALC_EPM!C55="TotalNoEsp","CURSO_NOESP","CURSO_ASIG"))))</f>
        <v>CURSO_ESP</v>
      </c>
      <c r="B62" t="str">
        <f>CALC_EPM!A55</f>
        <v>4EPM</v>
      </c>
      <c r="C62" t="str">
        <f>CALC_EPM!B55</f>
        <v>Total Especialidad</v>
      </c>
      <c r="D62">
        <f>CALC_EPM!D55</f>
        <v>0</v>
      </c>
      <c r="E62" s="10" t="str">
        <f>CALC_EPM!E55</f>
        <v>—</v>
      </c>
      <c r="F62" s="10" t="str">
        <f>CALC_EPM!F55</f>
        <v>—</v>
      </c>
      <c r="G62" t="str">
        <f>CALC_EPM!G55</f>
        <v>—</v>
      </c>
      <c r="H62" s="11" t="str">
        <f>CALC_EPM!H55</f>
        <v>—</v>
      </c>
      <c r="I62" s="11" t="str">
        <f>CALC_EPM!I55</f>
        <v>—</v>
      </c>
      <c r="J62" t="str">
        <f>CALC_EPM!J55</f>
        <v>—</v>
      </c>
      <c r="K62" t="str">
        <f>CALC_EPM!K55</f>
        <v>—</v>
      </c>
      <c r="L62">
        <f>CALC_EPM!L55</f>
        <v>0</v>
      </c>
      <c r="M62">
        <f>CALC_EPM!M55</f>
        <v>0</v>
      </c>
      <c r="N62">
        <f>CALC_EPM!N55</f>
        <v>0</v>
      </c>
      <c r="O62">
        <f>CALC_EPM!O55</f>
        <v>0</v>
      </c>
      <c r="P62">
        <f>CALC_EPM!P55</f>
        <v>0</v>
      </c>
      <c r="Q62">
        <f>CALC_EPM!Q55</f>
        <v>0</v>
      </c>
      <c r="R62">
        <f>CALC_EPM!R55</f>
        <v>0</v>
      </c>
      <c r="S62">
        <f>CALC_EPM!S55</f>
        <v>0</v>
      </c>
      <c r="T62">
        <f>CALC_EPM!T55</f>
        <v>0</v>
      </c>
      <c r="U62">
        <f>CALC_EPM!U55</f>
        <v>0</v>
      </c>
    </row>
    <row r="63" spans="1:21" x14ac:dyDescent="0.2">
      <c r="A63" t="str">
        <f>IF(CALC_EPM!A56="GLOBAL",IF(CALC_EPM!C56="Total","GLOBAL",IF(CALC_EPM!C56="TotalEsp","GLOBAL_ESP",IF(CALC_EPM!C56="TotalNoEsp","GLOBAL_NOESP","GLOBAL_ASIG"))),IF(CALC_EPM!C56="Total","CURSO_TOTAL",IF(CALC_EPM!C56="TotalEsp","CURSO_ESP",IF(CALC_EPM!C56="TotalNoEsp","CURSO_NOESP","CURSO_ASIG"))))</f>
        <v>CURSO_NOESP</v>
      </c>
      <c r="B63" t="str">
        <f>CALC_EPM!A56</f>
        <v>4EPM</v>
      </c>
      <c r="C63" t="str">
        <f>CALC_EPM!B56</f>
        <v>Total No Especialidad</v>
      </c>
      <c r="D63">
        <f>CALC_EPM!D56</f>
        <v>0</v>
      </c>
      <c r="E63" s="10" t="str">
        <f>CALC_EPM!E56</f>
        <v>—</v>
      </c>
      <c r="F63" s="10" t="str">
        <f>CALC_EPM!F56</f>
        <v>—</v>
      </c>
      <c r="G63" t="str">
        <f>CALC_EPM!G56</f>
        <v>—</v>
      </c>
      <c r="H63" s="11" t="str">
        <f>CALC_EPM!H56</f>
        <v>—</v>
      </c>
      <c r="I63" s="11" t="str">
        <f>CALC_EPM!I56</f>
        <v>—</v>
      </c>
      <c r="J63" t="str">
        <f>CALC_EPM!J56</f>
        <v>—</v>
      </c>
      <c r="K63" t="str">
        <f>CALC_EPM!K56</f>
        <v>—</v>
      </c>
      <c r="L63">
        <f>CALC_EPM!L56</f>
        <v>0</v>
      </c>
      <c r="M63">
        <f>CALC_EPM!M56</f>
        <v>0</v>
      </c>
      <c r="N63">
        <f>CALC_EPM!N56</f>
        <v>0</v>
      </c>
      <c r="O63">
        <f>CALC_EPM!O56</f>
        <v>0</v>
      </c>
      <c r="P63">
        <f>CALC_EPM!P56</f>
        <v>0</v>
      </c>
      <c r="Q63">
        <f>CALC_EPM!Q56</f>
        <v>0</v>
      </c>
      <c r="R63">
        <f>CALC_EPM!R56</f>
        <v>0</v>
      </c>
      <c r="S63">
        <f>CALC_EPM!S56</f>
        <v>0</v>
      </c>
      <c r="T63">
        <f>CALC_EPM!T56</f>
        <v>0</v>
      </c>
      <c r="U63">
        <f>CALC_EPM!U56</f>
        <v>0</v>
      </c>
    </row>
    <row r="64" spans="1:21" x14ac:dyDescent="0.2">
      <c r="A64" t="str">
        <f>IF(CALC_EPM!A57="GLOBAL",IF(CALC_EPM!C57="Total","GLOBAL",IF(CALC_EPM!C57="TotalEsp","GLOBAL_ESP",IF(CALC_EPM!C57="TotalNoEsp","GLOBAL_NOESP","GLOBAL_ASIG"))),IF(CALC_EPM!C57="Total","CURSO_TOTAL",IF(CALC_EPM!C57="TotalEsp","CURSO_ESP",IF(CALC_EPM!C57="TotalNoEsp","CURSO_NOESP","CURSO_ASIG"))))</f>
        <v>CURSO_TOTAL</v>
      </c>
      <c r="B64" t="str">
        <f>CALC_EPM!A57</f>
        <v>5EPM</v>
      </c>
      <c r="C64" t="str">
        <f>CALC_EPM!B57</f>
        <v>Total</v>
      </c>
      <c r="D64">
        <f>CALC_EPM!D57</f>
        <v>0</v>
      </c>
      <c r="E64" s="10" t="str">
        <f>CALC_EPM!E57</f>
        <v>—</v>
      </c>
      <c r="F64" s="10" t="str">
        <f>CALC_EPM!F57</f>
        <v>—</v>
      </c>
      <c r="G64" t="str">
        <f>CALC_EPM!G57</f>
        <v>—</v>
      </c>
      <c r="H64" s="11" t="str">
        <f>CALC_EPM!H57</f>
        <v>—</v>
      </c>
      <c r="I64" s="11" t="str">
        <f>CALC_EPM!I57</f>
        <v>—</v>
      </c>
      <c r="J64" t="str">
        <f>CALC_EPM!J57</f>
        <v>—</v>
      </c>
      <c r="K64" t="str">
        <f>CALC_EPM!K57</f>
        <v>—</v>
      </c>
      <c r="L64">
        <f>CALC_EPM!L57</f>
        <v>0</v>
      </c>
      <c r="M64">
        <f>CALC_EPM!M57</f>
        <v>0</v>
      </c>
      <c r="N64">
        <f>CALC_EPM!N57</f>
        <v>0</v>
      </c>
      <c r="O64">
        <f>CALC_EPM!O57</f>
        <v>0</v>
      </c>
      <c r="P64">
        <f>CALC_EPM!P57</f>
        <v>0</v>
      </c>
      <c r="Q64">
        <f>CALC_EPM!Q57</f>
        <v>0</v>
      </c>
      <c r="R64">
        <f>CALC_EPM!R57</f>
        <v>0</v>
      </c>
      <c r="S64">
        <f>CALC_EPM!S57</f>
        <v>0</v>
      </c>
      <c r="T64">
        <f>CALC_EPM!T57</f>
        <v>0</v>
      </c>
      <c r="U64">
        <f>CALC_EPM!U57</f>
        <v>0</v>
      </c>
    </row>
    <row r="65" spans="1:21" x14ac:dyDescent="0.2">
      <c r="A65" t="str">
        <f>IF(CALC_EPM!A58="GLOBAL",IF(CALC_EPM!C58="Total","GLOBAL",IF(CALC_EPM!C58="TotalEsp","GLOBAL_ESP",IF(CALC_EPM!C58="TotalNoEsp","GLOBAL_NOESP","GLOBAL_ASIG"))),IF(CALC_EPM!C58="Total","CURSO_TOTAL",IF(CALC_EPM!C58="TotalEsp","CURSO_ESP",IF(CALC_EPM!C58="TotalNoEsp","CURSO_NOESP","CURSO_ASIG"))))</f>
        <v>CURSO_ESP</v>
      </c>
      <c r="B65" t="str">
        <f>CALC_EPM!A58</f>
        <v>5EPM</v>
      </c>
      <c r="C65" t="str">
        <f>CALC_EPM!B58</f>
        <v>Total Especialidad</v>
      </c>
      <c r="D65">
        <f>CALC_EPM!D58</f>
        <v>0</v>
      </c>
      <c r="E65" s="10" t="str">
        <f>CALC_EPM!E58</f>
        <v>—</v>
      </c>
      <c r="F65" s="10" t="str">
        <f>CALC_EPM!F58</f>
        <v>—</v>
      </c>
      <c r="G65" t="str">
        <f>CALC_EPM!G58</f>
        <v>—</v>
      </c>
      <c r="H65" s="11" t="str">
        <f>CALC_EPM!H58</f>
        <v>—</v>
      </c>
      <c r="I65" s="11" t="str">
        <f>CALC_EPM!I58</f>
        <v>—</v>
      </c>
      <c r="J65" t="str">
        <f>CALC_EPM!J58</f>
        <v>—</v>
      </c>
      <c r="K65" t="str">
        <f>CALC_EPM!K58</f>
        <v>—</v>
      </c>
      <c r="L65">
        <f>CALC_EPM!L58</f>
        <v>0</v>
      </c>
      <c r="M65">
        <f>CALC_EPM!M58</f>
        <v>0</v>
      </c>
      <c r="N65">
        <f>CALC_EPM!N58</f>
        <v>0</v>
      </c>
      <c r="O65">
        <f>CALC_EPM!O58</f>
        <v>0</v>
      </c>
      <c r="P65">
        <f>CALC_EPM!P58</f>
        <v>0</v>
      </c>
      <c r="Q65">
        <f>CALC_EPM!Q58</f>
        <v>0</v>
      </c>
      <c r="R65">
        <f>CALC_EPM!R58</f>
        <v>0</v>
      </c>
      <c r="S65">
        <f>CALC_EPM!S58</f>
        <v>0</v>
      </c>
      <c r="T65">
        <f>CALC_EPM!T58</f>
        <v>0</v>
      </c>
      <c r="U65">
        <f>CALC_EPM!U58</f>
        <v>0</v>
      </c>
    </row>
    <row r="66" spans="1:21" x14ac:dyDescent="0.2">
      <c r="A66" t="str">
        <f>IF(CALC_EPM!A59="GLOBAL",IF(CALC_EPM!C59="Total","GLOBAL",IF(CALC_EPM!C59="TotalEsp","GLOBAL_ESP",IF(CALC_EPM!C59="TotalNoEsp","GLOBAL_NOESP","GLOBAL_ASIG"))),IF(CALC_EPM!C59="Total","CURSO_TOTAL",IF(CALC_EPM!C59="TotalEsp","CURSO_ESP",IF(CALC_EPM!C59="TotalNoEsp","CURSO_NOESP","CURSO_ASIG"))))</f>
        <v>CURSO_NOESP</v>
      </c>
      <c r="B66" t="str">
        <f>CALC_EPM!A59</f>
        <v>5EPM</v>
      </c>
      <c r="C66" t="str">
        <f>CALC_EPM!B59</f>
        <v>Total No Especialidad</v>
      </c>
      <c r="D66">
        <f>CALC_EPM!D59</f>
        <v>0</v>
      </c>
      <c r="E66" s="10" t="str">
        <f>CALC_EPM!E59</f>
        <v>—</v>
      </c>
      <c r="F66" s="10" t="str">
        <f>CALC_EPM!F59</f>
        <v>—</v>
      </c>
      <c r="G66" t="str">
        <f>CALC_EPM!G59</f>
        <v>—</v>
      </c>
      <c r="H66" s="11" t="str">
        <f>CALC_EPM!H59</f>
        <v>—</v>
      </c>
      <c r="I66" s="11" t="str">
        <f>CALC_EPM!I59</f>
        <v>—</v>
      </c>
      <c r="J66" t="str">
        <f>CALC_EPM!J59</f>
        <v>—</v>
      </c>
      <c r="K66" t="str">
        <f>CALC_EPM!K59</f>
        <v>—</v>
      </c>
      <c r="L66">
        <f>CALC_EPM!L59</f>
        <v>0</v>
      </c>
      <c r="M66">
        <f>CALC_EPM!M59</f>
        <v>0</v>
      </c>
      <c r="N66">
        <f>CALC_EPM!N59</f>
        <v>0</v>
      </c>
      <c r="O66">
        <f>CALC_EPM!O59</f>
        <v>0</v>
      </c>
      <c r="P66">
        <f>CALC_EPM!P59</f>
        <v>0</v>
      </c>
      <c r="Q66">
        <f>CALC_EPM!Q59</f>
        <v>0</v>
      </c>
      <c r="R66">
        <f>CALC_EPM!R59</f>
        <v>0</v>
      </c>
      <c r="S66">
        <f>CALC_EPM!S59</f>
        <v>0</v>
      </c>
      <c r="T66">
        <f>CALC_EPM!T59</f>
        <v>0</v>
      </c>
      <c r="U66">
        <f>CALC_EPM!U59</f>
        <v>0</v>
      </c>
    </row>
    <row r="67" spans="1:21" x14ac:dyDescent="0.2">
      <c r="A67" t="str">
        <f>IF(CALC_EPM!A60="GLOBAL",IF(CALC_EPM!C60="Total","GLOBAL",IF(CALC_EPM!C60="TotalEsp","GLOBAL_ESP",IF(CALC_EPM!C60="TotalNoEsp","GLOBAL_NOESP","GLOBAL_ASIG"))),IF(CALC_EPM!C60="Total","CURSO_TOTAL",IF(CALC_EPM!C60="TotalEsp","CURSO_ESP",IF(CALC_EPM!C60="TotalNoEsp","CURSO_NOESP","CURSO_ASIG"))))</f>
        <v>CURSO_TOTAL</v>
      </c>
      <c r="B67" t="str">
        <f>CALC_EPM!A60</f>
        <v>6EPM</v>
      </c>
      <c r="C67" t="str">
        <f>CALC_EPM!B60</f>
        <v>Total</v>
      </c>
      <c r="D67">
        <f>CALC_EPM!D60</f>
        <v>0</v>
      </c>
      <c r="E67" s="10" t="str">
        <f>CALC_EPM!E60</f>
        <v>—</v>
      </c>
      <c r="F67" s="10" t="str">
        <f>CALC_EPM!F60</f>
        <v>—</v>
      </c>
      <c r="G67" t="str">
        <f>CALC_EPM!G60</f>
        <v>—</v>
      </c>
      <c r="H67" s="11" t="str">
        <f>CALC_EPM!H60</f>
        <v>—</v>
      </c>
      <c r="I67" s="11" t="str">
        <f>CALC_EPM!I60</f>
        <v>—</v>
      </c>
      <c r="J67" t="str">
        <f>CALC_EPM!J60</f>
        <v>—</v>
      </c>
      <c r="K67" t="str">
        <f>CALC_EPM!K60</f>
        <v>—</v>
      </c>
      <c r="L67">
        <f>CALC_EPM!L60</f>
        <v>0</v>
      </c>
      <c r="M67">
        <f>CALC_EPM!M60</f>
        <v>0</v>
      </c>
      <c r="N67">
        <f>CALC_EPM!N60</f>
        <v>0</v>
      </c>
      <c r="O67">
        <f>CALC_EPM!O60</f>
        <v>0</v>
      </c>
      <c r="P67">
        <f>CALC_EPM!P60</f>
        <v>0</v>
      </c>
      <c r="Q67">
        <f>CALC_EPM!Q60</f>
        <v>0</v>
      </c>
      <c r="R67">
        <f>CALC_EPM!R60</f>
        <v>0</v>
      </c>
      <c r="S67">
        <f>CALC_EPM!S60</f>
        <v>0</v>
      </c>
      <c r="T67">
        <f>CALC_EPM!T60</f>
        <v>0</v>
      </c>
      <c r="U67">
        <f>CALC_EPM!U60</f>
        <v>0</v>
      </c>
    </row>
    <row r="68" spans="1:21" x14ac:dyDescent="0.2">
      <c r="A68" t="str">
        <f>IF(CALC_EPM!A61="GLOBAL",IF(CALC_EPM!C61="Total","GLOBAL",IF(CALC_EPM!C61="TotalEsp","GLOBAL_ESP",IF(CALC_EPM!C61="TotalNoEsp","GLOBAL_NOESP","GLOBAL_ASIG"))),IF(CALC_EPM!C61="Total","CURSO_TOTAL",IF(CALC_EPM!C61="TotalEsp","CURSO_ESP",IF(CALC_EPM!C61="TotalNoEsp","CURSO_NOESP","CURSO_ASIG"))))</f>
        <v>CURSO_ESP</v>
      </c>
      <c r="B68" t="str">
        <f>CALC_EPM!A61</f>
        <v>6EPM</v>
      </c>
      <c r="C68" t="str">
        <f>CALC_EPM!B61</f>
        <v>Total Especialidad</v>
      </c>
      <c r="D68">
        <f>CALC_EPM!D61</f>
        <v>0</v>
      </c>
      <c r="E68" s="10" t="str">
        <f>CALC_EPM!E61</f>
        <v>—</v>
      </c>
      <c r="F68" s="10" t="str">
        <f>CALC_EPM!F61</f>
        <v>—</v>
      </c>
      <c r="G68" t="str">
        <f>CALC_EPM!G61</f>
        <v>—</v>
      </c>
      <c r="H68" s="11" t="str">
        <f>CALC_EPM!H61</f>
        <v>—</v>
      </c>
      <c r="I68" s="11" t="str">
        <f>CALC_EPM!I61</f>
        <v>—</v>
      </c>
      <c r="J68" t="str">
        <f>CALC_EPM!J61</f>
        <v>—</v>
      </c>
      <c r="K68" t="str">
        <f>CALC_EPM!K61</f>
        <v>—</v>
      </c>
      <c r="L68">
        <f>CALC_EPM!L61</f>
        <v>0</v>
      </c>
      <c r="M68">
        <f>CALC_EPM!M61</f>
        <v>0</v>
      </c>
      <c r="N68">
        <f>CALC_EPM!N61</f>
        <v>0</v>
      </c>
      <c r="O68">
        <f>CALC_EPM!O61</f>
        <v>0</v>
      </c>
      <c r="P68">
        <f>CALC_EPM!P61</f>
        <v>0</v>
      </c>
      <c r="Q68">
        <f>CALC_EPM!Q61</f>
        <v>0</v>
      </c>
      <c r="R68">
        <f>CALC_EPM!R61</f>
        <v>0</v>
      </c>
      <c r="S68">
        <f>CALC_EPM!S61</f>
        <v>0</v>
      </c>
      <c r="T68">
        <f>CALC_EPM!T61</f>
        <v>0</v>
      </c>
      <c r="U68">
        <f>CALC_EPM!U61</f>
        <v>0</v>
      </c>
    </row>
    <row r="69" spans="1:21" x14ac:dyDescent="0.2">
      <c r="A69" t="str">
        <f>IF(CALC_EPM!A62="GLOBAL",IF(CALC_EPM!C62="Total","GLOBAL",IF(CALC_EPM!C62="TotalEsp","GLOBAL_ESP",IF(CALC_EPM!C62="TotalNoEsp","GLOBAL_NOESP","GLOBAL_ASIG"))),IF(CALC_EPM!C62="Total","CURSO_TOTAL",IF(CALC_EPM!C62="TotalEsp","CURSO_ESP",IF(CALC_EPM!C62="TotalNoEsp","CURSO_NOESP","CURSO_ASIG"))))</f>
        <v>CURSO_NOESP</v>
      </c>
      <c r="B69" t="str">
        <f>CALC_EPM!A62</f>
        <v>6EPM</v>
      </c>
      <c r="C69" t="str">
        <f>CALC_EPM!B62</f>
        <v>Total No Especialidad</v>
      </c>
      <c r="D69">
        <f>CALC_EPM!D62</f>
        <v>0</v>
      </c>
      <c r="E69" s="10" t="str">
        <f>CALC_EPM!E62</f>
        <v>—</v>
      </c>
      <c r="F69" s="10" t="str">
        <f>CALC_EPM!F62</f>
        <v>—</v>
      </c>
      <c r="G69" t="str">
        <f>CALC_EPM!G62</f>
        <v>—</v>
      </c>
      <c r="H69" s="11" t="str">
        <f>CALC_EPM!H62</f>
        <v>—</v>
      </c>
      <c r="I69" s="11" t="str">
        <f>CALC_EPM!I62</f>
        <v>—</v>
      </c>
      <c r="J69" t="str">
        <f>CALC_EPM!J62</f>
        <v>—</v>
      </c>
      <c r="K69" t="str">
        <f>CALC_EPM!K62</f>
        <v>—</v>
      </c>
      <c r="L69">
        <f>CALC_EPM!L62</f>
        <v>0</v>
      </c>
      <c r="M69">
        <f>CALC_EPM!M62</f>
        <v>0</v>
      </c>
      <c r="N69">
        <f>CALC_EPM!N62</f>
        <v>0</v>
      </c>
      <c r="O69">
        <f>CALC_EPM!O62</f>
        <v>0</v>
      </c>
      <c r="P69">
        <f>CALC_EPM!P62</f>
        <v>0</v>
      </c>
      <c r="Q69">
        <f>CALC_EPM!Q62</f>
        <v>0</v>
      </c>
      <c r="R69">
        <f>CALC_EPM!R62</f>
        <v>0</v>
      </c>
      <c r="S69">
        <f>CALC_EPM!S62</f>
        <v>0</v>
      </c>
      <c r="T69">
        <f>CALC_EPM!T62</f>
        <v>0</v>
      </c>
      <c r="U69">
        <f>CALC_EPM!U62</f>
        <v>0</v>
      </c>
    </row>
    <row r="70" spans="1:21" x14ac:dyDescent="0.2">
      <c r="A70" t="str">
        <f>IF(CALC_EPM!A63="GLOBAL",IF(CALC_EPM!C63="Total","GLOBAL",IF(CALC_EPM!C63="TotalEsp","GLOBAL_ESP",IF(CALC_EPM!C63="TotalNoEsp","GLOBAL_NOESP","GLOBAL_ASIG"))),IF(CALC_EPM!C63="Total","CURSO_TOTAL",IF(CALC_EPM!C63="TotalEsp","CURSO_ESP",IF(CALC_EPM!C63="TotalNoEsp","CURSO_NOESP","CURSO_ASIG"))))</f>
        <v>CURSO_ASIG</v>
      </c>
      <c r="B70" t="str">
        <f>CALC_EPM!A63</f>
        <v>1EPM</v>
      </c>
      <c r="C70" t="str">
        <f>CALC_EPM!B63</f>
        <v>Lenguaje Musical</v>
      </c>
      <c r="D70">
        <f>CALC_EPM!D63</f>
        <v>0</v>
      </c>
      <c r="E70" s="10" t="str">
        <f>CALC_EPM!E63</f>
        <v>—</v>
      </c>
      <c r="F70" s="10" t="str">
        <f>CALC_EPM!F63</f>
        <v>—</v>
      </c>
      <c r="G70" t="str">
        <f>CALC_EPM!G63</f>
        <v>—</v>
      </c>
      <c r="H70" s="11" t="str">
        <f>CALC_EPM!H63</f>
        <v>—</v>
      </c>
      <c r="I70" s="11" t="str">
        <f>CALC_EPM!I63</f>
        <v>—</v>
      </c>
      <c r="J70" t="str">
        <f>CALC_EPM!J63</f>
        <v>—</v>
      </c>
      <c r="K70" t="str">
        <f>CALC_EPM!K63</f>
        <v>—</v>
      </c>
      <c r="L70">
        <f>CALC_EPM!L63</f>
        <v>0</v>
      </c>
      <c r="M70">
        <f>CALC_EPM!M63</f>
        <v>0</v>
      </c>
      <c r="N70">
        <f>CALC_EPM!N63</f>
        <v>0</v>
      </c>
      <c r="O70">
        <f>CALC_EPM!O63</f>
        <v>0</v>
      </c>
      <c r="P70">
        <f>CALC_EPM!P63</f>
        <v>0</v>
      </c>
      <c r="Q70">
        <f>CALC_EPM!Q63</f>
        <v>0</v>
      </c>
      <c r="R70">
        <f>CALC_EPM!R63</f>
        <v>0</v>
      </c>
      <c r="S70">
        <f>CALC_EPM!S63</f>
        <v>0</v>
      </c>
      <c r="T70">
        <f>CALC_EPM!T63</f>
        <v>0</v>
      </c>
      <c r="U70">
        <f>CALC_EPM!U63</f>
        <v>0</v>
      </c>
    </row>
    <row r="71" spans="1:21" x14ac:dyDescent="0.2">
      <c r="A71" t="str">
        <f>IF(CALC_EPM!A64="GLOBAL",IF(CALC_EPM!C64="Total","GLOBAL",IF(CALC_EPM!C64="TotalEsp","GLOBAL_ESP",IF(CALC_EPM!C64="TotalNoEsp","GLOBAL_NOESP","GLOBAL_ASIG"))),IF(CALC_EPM!C64="Total","CURSO_TOTAL",IF(CALC_EPM!C64="TotalEsp","CURSO_ESP",IF(CALC_EPM!C64="TotalNoEsp","CURSO_NOESP","CURSO_ASIG"))))</f>
        <v>CURSO_ASIG</v>
      </c>
      <c r="B71" t="str">
        <f>CALC_EPM!A64</f>
        <v>1EPM</v>
      </c>
      <c r="C71" t="str">
        <f>CALC_EPM!B64</f>
        <v>Orquesta/Banda/Conjunto</v>
      </c>
      <c r="D71">
        <f>CALC_EPM!D64</f>
        <v>0</v>
      </c>
      <c r="E71" s="10" t="str">
        <f>CALC_EPM!E64</f>
        <v>—</v>
      </c>
      <c r="F71" s="10" t="str">
        <f>CALC_EPM!F64</f>
        <v>—</v>
      </c>
      <c r="G71" t="str">
        <f>CALC_EPM!G64</f>
        <v>—</v>
      </c>
      <c r="H71" s="11" t="str">
        <f>CALC_EPM!H64</f>
        <v>—</v>
      </c>
      <c r="I71" s="11" t="str">
        <f>CALC_EPM!I64</f>
        <v>—</v>
      </c>
      <c r="J71" t="str">
        <f>CALC_EPM!J64</f>
        <v>—</v>
      </c>
      <c r="K71" t="str">
        <f>CALC_EPM!K64</f>
        <v>—</v>
      </c>
      <c r="L71">
        <f>CALC_EPM!L64</f>
        <v>0</v>
      </c>
      <c r="M71">
        <f>CALC_EPM!M64</f>
        <v>0</v>
      </c>
      <c r="N71">
        <f>CALC_EPM!N64</f>
        <v>0</v>
      </c>
      <c r="O71">
        <f>CALC_EPM!O64</f>
        <v>0</v>
      </c>
      <c r="P71">
        <f>CALC_EPM!P64</f>
        <v>0</v>
      </c>
      <c r="Q71">
        <f>CALC_EPM!Q64</f>
        <v>0</v>
      </c>
      <c r="R71">
        <f>CALC_EPM!R64</f>
        <v>0</v>
      </c>
      <c r="S71">
        <f>CALC_EPM!S64</f>
        <v>0</v>
      </c>
      <c r="T71">
        <f>CALC_EPM!T64</f>
        <v>0</v>
      </c>
      <c r="U71">
        <f>CALC_EPM!U64</f>
        <v>0</v>
      </c>
    </row>
    <row r="72" spans="1:21" x14ac:dyDescent="0.2">
      <c r="A72" t="str">
        <f>IF(CALC_EPM!A65="GLOBAL",IF(CALC_EPM!C65="Total","GLOBAL",IF(CALC_EPM!C65="TotalEsp","GLOBAL_ESP",IF(CALC_EPM!C65="TotalNoEsp","GLOBAL_NOESP","GLOBAL_ASIG"))),IF(CALC_EPM!C65="Total","CURSO_TOTAL",IF(CALC_EPM!C65="TotalEsp","CURSO_ESP",IF(CALC_EPM!C65="TotalNoEsp","CURSO_NOESP","CURSO_ASIG"))))</f>
        <v>CURSO_ASIG</v>
      </c>
      <c r="B72" t="str">
        <f>CALC_EPM!A65</f>
        <v>1EPM</v>
      </c>
      <c r="C72" t="str">
        <f>CALC_EPM!B65</f>
        <v>Conjunto</v>
      </c>
      <c r="D72">
        <f>CALC_EPM!D65</f>
        <v>0</v>
      </c>
      <c r="E72" s="10" t="str">
        <f>CALC_EPM!E65</f>
        <v>—</v>
      </c>
      <c r="F72" s="10" t="str">
        <f>CALC_EPM!F65</f>
        <v>—</v>
      </c>
      <c r="G72" t="str">
        <f>CALC_EPM!G65</f>
        <v>—</v>
      </c>
      <c r="H72" s="11" t="str">
        <f>CALC_EPM!H65</f>
        <v>—</v>
      </c>
      <c r="I72" s="11" t="str">
        <f>CALC_EPM!I65</f>
        <v>—</v>
      </c>
      <c r="J72" t="str">
        <f>CALC_EPM!J65</f>
        <v>—</v>
      </c>
      <c r="K72" t="str">
        <f>CALC_EPM!K65</f>
        <v>—</v>
      </c>
      <c r="L72">
        <f>CALC_EPM!L65</f>
        <v>0</v>
      </c>
      <c r="M72">
        <f>CALC_EPM!M65</f>
        <v>0</v>
      </c>
      <c r="N72">
        <f>CALC_EPM!N65</f>
        <v>0</v>
      </c>
      <c r="O72">
        <f>CALC_EPM!O65</f>
        <v>0</v>
      </c>
      <c r="P72">
        <f>CALC_EPM!P65</f>
        <v>0</v>
      </c>
      <c r="Q72">
        <f>CALC_EPM!Q65</f>
        <v>0</v>
      </c>
      <c r="R72">
        <f>CALC_EPM!R65</f>
        <v>0</v>
      </c>
      <c r="S72">
        <f>CALC_EPM!S65</f>
        <v>0</v>
      </c>
      <c r="T72">
        <f>CALC_EPM!T65</f>
        <v>0</v>
      </c>
      <c r="U72">
        <f>CALC_EPM!U65</f>
        <v>0</v>
      </c>
    </row>
    <row r="73" spans="1:21" x14ac:dyDescent="0.2">
      <c r="A73" t="str">
        <f>IF(CALC_EPM!A66="GLOBAL",IF(CALC_EPM!C66="Total","GLOBAL",IF(CALC_EPM!C66="TotalEsp","GLOBAL_ESP",IF(CALC_EPM!C66="TotalNoEsp","GLOBAL_NOESP","GLOBAL_ASIG"))),IF(CALC_EPM!C66="Total","CURSO_TOTAL",IF(CALC_EPM!C66="TotalEsp","CURSO_ESP",IF(CALC_EPM!C66="TotalNoEsp","CURSO_NOESP","CURSO_ASIG"))))</f>
        <v>CURSO_ASIG</v>
      </c>
      <c r="B73" t="str">
        <f>CALC_EPM!A66</f>
        <v>1EPM</v>
      </c>
      <c r="C73" t="str">
        <f>CALC_EPM!B66</f>
        <v>Idioma Aplicado al Canto</v>
      </c>
      <c r="D73">
        <f>CALC_EPM!D66</f>
        <v>0</v>
      </c>
      <c r="E73" s="10" t="str">
        <f>CALC_EPM!E66</f>
        <v>—</v>
      </c>
      <c r="F73" s="10" t="str">
        <f>CALC_EPM!F66</f>
        <v>—</v>
      </c>
      <c r="G73" t="str">
        <f>CALC_EPM!G66</f>
        <v>—</v>
      </c>
      <c r="H73" s="11" t="str">
        <f>CALC_EPM!H66</f>
        <v>—</v>
      </c>
      <c r="I73" s="11" t="str">
        <f>CALC_EPM!I66</f>
        <v>—</v>
      </c>
      <c r="J73" t="str">
        <f>CALC_EPM!J66</f>
        <v>—</v>
      </c>
      <c r="K73" t="str">
        <f>CALC_EPM!K66</f>
        <v>—</v>
      </c>
      <c r="L73">
        <f>CALC_EPM!L66</f>
        <v>0</v>
      </c>
      <c r="M73">
        <f>CALC_EPM!M66</f>
        <v>0</v>
      </c>
      <c r="N73">
        <f>CALC_EPM!N66</f>
        <v>0</v>
      </c>
      <c r="O73">
        <f>CALC_EPM!O66</f>
        <v>0</v>
      </c>
      <c r="P73">
        <f>CALC_EPM!P66</f>
        <v>0</v>
      </c>
      <c r="Q73">
        <f>CALC_EPM!Q66</f>
        <v>0</v>
      </c>
      <c r="R73">
        <f>CALC_EPM!R66</f>
        <v>0</v>
      </c>
      <c r="S73">
        <f>CALC_EPM!S66</f>
        <v>0</v>
      </c>
      <c r="T73">
        <f>CALC_EPM!T66</f>
        <v>0</v>
      </c>
      <c r="U73">
        <f>CALC_EPM!U66</f>
        <v>0</v>
      </c>
    </row>
    <row r="74" spans="1:21" x14ac:dyDescent="0.2">
      <c r="A74" t="str">
        <f>IF(CALC_EPM!A67="GLOBAL",IF(CALC_EPM!C67="Total","GLOBAL",IF(CALC_EPM!C67="TotalEsp","GLOBAL_ESP",IF(CALC_EPM!C67="TotalNoEsp","GLOBAL_NOESP","GLOBAL_ASIG"))),IF(CALC_EPM!C67="Total","CURSO_TOTAL",IF(CALC_EPM!C67="TotalEsp","CURSO_ESP",IF(CALC_EPM!C67="TotalNoEsp","CURSO_NOESP","CURSO_ASIG"))))</f>
        <v>CURSO_ASIG</v>
      </c>
      <c r="B74" t="str">
        <f>CALC_EPM!A67</f>
        <v>1EPM</v>
      </c>
      <c r="C74" t="str">
        <f>CALC_EPM!B67</f>
        <v>Tabalet</v>
      </c>
      <c r="D74">
        <f>CALC_EPM!D67</f>
        <v>0</v>
      </c>
      <c r="E74" s="10" t="str">
        <f>CALC_EPM!E67</f>
        <v>—</v>
      </c>
      <c r="F74" s="10" t="str">
        <f>CALC_EPM!F67</f>
        <v>—</v>
      </c>
      <c r="G74" t="str">
        <f>CALC_EPM!G67</f>
        <v>—</v>
      </c>
      <c r="H74" s="11" t="str">
        <f>CALC_EPM!H67</f>
        <v>—</v>
      </c>
      <c r="I74" s="11" t="str">
        <f>CALC_EPM!I67</f>
        <v>—</v>
      </c>
      <c r="J74" t="str">
        <f>CALC_EPM!J67</f>
        <v>—</v>
      </c>
      <c r="K74" t="str">
        <f>CALC_EPM!K67</f>
        <v>—</v>
      </c>
      <c r="L74">
        <f>CALC_EPM!L67</f>
        <v>0</v>
      </c>
      <c r="M74">
        <f>CALC_EPM!M67</f>
        <v>0</v>
      </c>
      <c r="N74">
        <f>CALC_EPM!N67</f>
        <v>0</v>
      </c>
      <c r="O74">
        <f>CALC_EPM!O67</f>
        <v>0</v>
      </c>
      <c r="P74">
        <f>CALC_EPM!P67</f>
        <v>0</v>
      </c>
      <c r="Q74">
        <f>CALC_EPM!Q67</f>
        <v>0</v>
      </c>
      <c r="R74">
        <f>CALC_EPM!R67</f>
        <v>0</v>
      </c>
      <c r="S74">
        <f>CALC_EPM!S67</f>
        <v>0</v>
      </c>
      <c r="T74">
        <f>CALC_EPM!T67</f>
        <v>0</v>
      </c>
      <c r="U74">
        <f>CALC_EPM!U67</f>
        <v>0</v>
      </c>
    </row>
    <row r="75" spans="1:21" x14ac:dyDescent="0.2">
      <c r="A75" t="str">
        <f>IF(CALC_EPM!A68="GLOBAL",IF(CALC_EPM!C68="Total","GLOBAL",IF(CALC_EPM!C68="TotalEsp","GLOBAL_ESP",IF(CALC_EPM!C68="TotalNoEsp","GLOBAL_NOESP","GLOBAL_ASIG"))),IF(CALC_EPM!C68="Total","CURSO_TOTAL",IF(CALC_EPM!C68="TotalEsp","CURSO_ESP",IF(CALC_EPM!C68="TotalNoEsp","CURSO_NOESP","CURSO_ASIG"))))</f>
        <v>CURSO_ASIG</v>
      </c>
      <c r="B75" t="str">
        <f>CALC_EPM!A68</f>
        <v>1EPM</v>
      </c>
      <c r="C75" t="str">
        <f>CALC_EPM!B68</f>
        <v>Arpa</v>
      </c>
      <c r="D75">
        <f>CALC_EPM!D68</f>
        <v>0</v>
      </c>
      <c r="E75" s="10" t="str">
        <f>CALC_EPM!E68</f>
        <v>—</v>
      </c>
      <c r="F75" s="10" t="str">
        <f>CALC_EPM!F68</f>
        <v>—</v>
      </c>
      <c r="G75" t="str">
        <f>CALC_EPM!G68</f>
        <v>—</v>
      </c>
      <c r="H75" s="11" t="str">
        <f>CALC_EPM!H68</f>
        <v>—</v>
      </c>
      <c r="I75" s="11" t="str">
        <f>CALC_EPM!I68</f>
        <v>—</v>
      </c>
      <c r="J75" t="str">
        <f>CALC_EPM!J68</f>
        <v>—</v>
      </c>
      <c r="K75" t="str">
        <f>CALC_EPM!K68</f>
        <v>—</v>
      </c>
      <c r="L75">
        <f>CALC_EPM!L68</f>
        <v>0</v>
      </c>
      <c r="M75">
        <f>CALC_EPM!M68</f>
        <v>0</v>
      </c>
      <c r="N75">
        <f>CALC_EPM!N68</f>
        <v>0</v>
      </c>
      <c r="O75">
        <f>CALC_EPM!O68</f>
        <v>0</v>
      </c>
      <c r="P75">
        <f>CALC_EPM!P68</f>
        <v>0</v>
      </c>
      <c r="Q75">
        <f>CALC_EPM!Q68</f>
        <v>0</v>
      </c>
      <c r="R75">
        <f>CALC_EPM!R68</f>
        <v>0</v>
      </c>
      <c r="S75">
        <f>CALC_EPM!S68</f>
        <v>0</v>
      </c>
      <c r="T75">
        <f>CALC_EPM!T68</f>
        <v>0</v>
      </c>
      <c r="U75">
        <f>CALC_EPM!U68</f>
        <v>0</v>
      </c>
    </row>
    <row r="76" spans="1:21" x14ac:dyDescent="0.2">
      <c r="A76" t="str">
        <f>IF(CALC_EPM!A69="GLOBAL",IF(CALC_EPM!C69="Total","GLOBAL",IF(CALC_EPM!C69="TotalEsp","GLOBAL_ESP",IF(CALC_EPM!C69="TotalNoEsp","GLOBAL_NOESP","GLOBAL_ASIG"))),IF(CALC_EPM!C69="Total","CURSO_TOTAL",IF(CALC_EPM!C69="TotalEsp","CURSO_ESP",IF(CALC_EPM!C69="TotalNoEsp","CURSO_NOESP","CURSO_ASIG"))))</f>
        <v>CURSO_ASIG</v>
      </c>
      <c r="B76" t="str">
        <f>CALC_EPM!A69</f>
        <v>1EPM</v>
      </c>
      <c r="C76" t="str">
        <f>CALC_EPM!B69</f>
        <v>Bajo Eléctrico</v>
      </c>
      <c r="D76">
        <f>CALC_EPM!D69</f>
        <v>0</v>
      </c>
      <c r="E76" s="10" t="str">
        <f>CALC_EPM!E69</f>
        <v>—</v>
      </c>
      <c r="F76" s="10" t="str">
        <f>CALC_EPM!F69</f>
        <v>—</v>
      </c>
      <c r="G76" t="str">
        <f>CALC_EPM!G69</f>
        <v>—</v>
      </c>
      <c r="H76" s="11" t="str">
        <f>CALC_EPM!H69</f>
        <v>—</v>
      </c>
      <c r="I76" s="11" t="str">
        <f>CALC_EPM!I69</f>
        <v>—</v>
      </c>
      <c r="J76" t="str">
        <f>CALC_EPM!J69</f>
        <v>—</v>
      </c>
      <c r="K76" t="str">
        <f>CALC_EPM!K69</f>
        <v>—</v>
      </c>
      <c r="L76">
        <f>CALC_EPM!L69</f>
        <v>0</v>
      </c>
      <c r="M76">
        <f>CALC_EPM!M69</f>
        <v>0</v>
      </c>
      <c r="N76">
        <f>CALC_EPM!N69</f>
        <v>0</v>
      </c>
      <c r="O76">
        <f>CALC_EPM!O69</f>
        <v>0</v>
      </c>
      <c r="P76">
        <f>CALC_EPM!P69</f>
        <v>0</v>
      </c>
      <c r="Q76">
        <f>CALC_EPM!Q69</f>
        <v>0</v>
      </c>
      <c r="R76">
        <f>CALC_EPM!R69</f>
        <v>0</v>
      </c>
      <c r="S76">
        <f>CALC_EPM!S69</f>
        <v>0</v>
      </c>
      <c r="T76">
        <f>CALC_EPM!T69</f>
        <v>0</v>
      </c>
      <c r="U76">
        <f>CALC_EPM!U69</f>
        <v>0</v>
      </c>
    </row>
    <row r="77" spans="1:21" x14ac:dyDescent="0.2">
      <c r="A77" t="str">
        <f>IF(CALC_EPM!A70="GLOBAL",IF(CALC_EPM!C70="Total","GLOBAL",IF(CALC_EPM!C70="TotalEsp","GLOBAL_ESP",IF(CALC_EPM!C70="TotalNoEsp","GLOBAL_NOESP","GLOBAL_ASIG"))),IF(CALC_EPM!C70="Total","CURSO_TOTAL",IF(CALC_EPM!C70="TotalEsp","CURSO_ESP",IF(CALC_EPM!C70="TotalNoEsp","CURSO_NOESP","CURSO_ASIG"))))</f>
        <v>CURSO_ASIG</v>
      </c>
      <c r="B77" t="str">
        <f>CALC_EPM!A70</f>
        <v>1EPM</v>
      </c>
      <c r="C77" t="str">
        <f>CALC_EPM!B70</f>
        <v>Canto</v>
      </c>
      <c r="D77">
        <f>CALC_EPM!D70</f>
        <v>0</v>
      </c>
      <c r="E77" s="10" t="str">
        <f>CALC_EPM!E70</f>
        <v>—</v>
      </c>
      <c r="F77" s="10" t="str">
        <f>CALC_EPM!F70</f>
        <v>—</v>
      </c>
      <c r="G77" t="str">
        <f>CALC_EPM!G70</f>
        <v>—</v>
      </c>
      <c r="H77" s="11" t="str">
        <f>CALC_EPM!H70</f>
        <v>—</v>
      </c>
      <c r="I77" s="11" t="str">
        <f>CALC_EPM!I70</f>
        <v>—</v>
      </c>
      <c r="J77" t="str">
        <f>CALC_EPM!J70</f>
        <v>—</v>
      </c>
      <c r="K77" t="str">
        <f>CALC_EPM!K70</f>
        <v>—</v>
      </c>
      <c r="L77">
        <f>CALC_EPM!L70</f>
        <v>0</v>
      </c>
      <c r="M77">
        <f>CALC_EPM!M70</f>
        <v>0</v>
      </c>
      <c r="N77">
        <f>CALC_EPM!N70</f>
        <v>0</v>
      </c>
      <c r="O77">
        <f>CALC_EPM!O70</f>
        <v>0</v>
      </c>
      <c r="P77">
        <f>CALC_EPM!P70</f>
        <v>0</v>
      </c>
      <c r="Q77">
        <f>CALC_EPM!Q70</f>
        <v>0</v>
      </c>
      <c r="R77">
        <f>CALC_EPM!R70</f>
        <v>0</v>
      </c>
      <c r="S77">
        <f>CALC_EPM!S70</f>
        <v>0</v>
      </c>
      <c r="T77">
        <f>CALC_EPM!T70</f>
        <v>0</v>
      </c>
      <c r="U77">
        <f>CALC_EPM!U70</f>
        <v>0</v>
      </c>
    </row>
    <row r="78" spans="1:21" x14ac:dyDescent="0.2">
      <c r="A78" t="str">
        <f>IF(CALC_EPM!A71="GLOBAL",IF(CALC_EPM!C71="Total","GLOBAL",IF(CALC_EPM!C71="TotalEsp","GLOBAL_ESP",IF(CALC_EPM!C71="TotalNoEsp","GLOBAL_NOESP","GLOBAL_ASIG"))),IF(CALC_EPM!C71="Total","CURSO_TOTAL",IF(CALC_EPM!C71="TotalEsp","CURSO_ESP",IF(CALC_EPM!C71="TotalNoEsp","CURSO_NOESP","CURSO_ASIG"))))</f>
        <v>CURSO_ASIG</v>
      </c>
      <c r="B78" t="str">
        <f>CALC_EPM!A71</f>
        <v>1EPM</v>
      </c>
      <c r="C78" t="str">
        <f>CALC_EPM!B71</f>
        <v>Clarinete</v>
      </c>
      <c r="D78">
        <f>CALC_EPM!D71</f>
        <v>0</v>
      </c>
      <c r="E78" s="10" t="str">
        <f>CALC_EPM!E71</f>
        <v>—</v>
      </c>
      <c r="F78" s="10" t="str">
        <f>CALC_EPM!F71</f>
        <v>—</v>
      </c>
      <c r="G78" t="str">
        <f>CALC_EPM!G71</f>
        <v>—</v>
      </c>
      <c r="H78" s="11" t="str">
        <f>CALC_EPM!H71</f>
        <v>—</v>
      </c>
      <c r="I78" s="11" t="str">
        <f>CALC_EPM!I71</f>
        <v>—</v>
      </c>
      <c r="J78" t="str">
        <f>CALC_EPM!J71</f>
        <v>—</v>
      </c>
      <c r="K78" t="str">
        <f>CALC_EPM!K71</f>
        <v>—</v>
      </c>
      <c r="L78">
        <f>CALC_EPM!L71</f>
        <v>0</v>
      </c>
      <c r="M78">
        <f>CALC_EPM!M71</f>
        <v>0</v>
      </c>
      <c r="N78">
        <f>CALC_EPM!N71</f>
        <v>0</v>
      </c>
      <c r="O78">
        <f>CALC_EPM!O71</f>
        <v>0</v>
      </c>
      <c r="P78">
        <f>CALC_EPM!P71</f>
        <v>0</v>
      </c>
      <c r="Q78">
        <f>CALC_EPM!Q71</f>
        <v>0</v>
      </c>
      <c r="R78">
        <f>CALC_EPM!R71</f>
        <v>0</v>
      </c>
      <c r="S78">
        <f>CALC_EPM!S71</f>
        <v>0</v>
      </c>
      <c r="T78">
        <f>CALC_EPM!T71</f>
        <v>0</v>
      </c>
      <c r="U78">
        <f>CALC_EPM!U71</f>
        <v>0</v>
      </c>
    </row>
    <row r="79" spans="1:21" x14ac:dyDescent="0.2">
      <c r="A79" t="str">
        <f>IF(CALC_EPM!A72="GLOBAL",IF(CALC_EPM!C72="Total","GLOBAL",IF(CALC_EPM!C72="TotalEsp","GLOBAL_ESP",IF(CALC_EPM!C72="TotalNoEsp","GLOBAL_NOESP","GLOBAL_ASIG"))),IF(CALC_EPM!C72="Total","CURSO_TOTAL",IF(CALC_EPM!C72="TotalEsp","CURSO_ESP",IF(CALC_EPM!C72="TotalNoEsp","CURSO_NOESP","CURSO_ASIG"))))</f>
        <v>CURSO_ASIG</v>
      </c>
      <c r="B79" t="str">
        <f>CALC_EPM!A72</f>
        <v>1EPM</v>
      </c>
      <c r="C79" t="str">
        <f>CALC_EPM!B72</f>
        <v>Contrabajo</v>
      </c>
      <c r="D79">
        <f>CALC_EPM!D72</f>
        <v>0</v>
      </c>
      <c r="E79" s="10" t="str">
        <f>CALC_EPM!E72</f>
        <v>—</v>
      </c>
      <c r="F79" s="10" t="str">
        <f>CALC_EPM!F72</f>
        <v>—</v>
      </c>
      <c r="G79" t="str">
        <f>CALC_EPM!G72</f>
        <v>—</v>
      </c>
      <c r="H79" s="11" t="str">
        <f>CALC_EPM!H72</f>
        <v>—</v>
      </c>
      <c r="I79" s="11" t="str">
        <f>CALC_EPM!I72</f>
        <v>—</v>
      </c>
      <c r="J79" t="str">
        <f>CALC_EPM!J72</f>
        <v>—</v>
      </c>
      <c r="K79" t="str">
        <f>CALC_EPM!K72</f>
        <v>—</v>
      </c>
      <c r="L79">
        <f>CALC_EPM!L72</f>
        <v>0</v>
      </c>
      <c r="M79">
        <f>CALC_EPM!M72</f>
        <v>0</v>
      </c>
      <c r="N79">
        <f>CALC_EPM!N72</f>
        <v>0</v>
      </c>
      <c r="O79">
        <f>CALC_EPM!O72</f>
        <v>0</v>
      </c>
      <c r="P79">
        <f>CALC_EPM!P72</f>
        <v>0</v>
      </c>
      <c r="Q79">
        <f>CALC_EPM!Q72</f>
        <v>0</v>
      </c>
      <c r="R79">
        <f>CALC_EPM!R72</f>
        <v>0</v>
      </c>
      <c r="S79">
        <f>CALC_EPM!S72</f>
        <v>0</v>
      </c>
      <c r="T79">
        <f>CALC_EPM!T72</f>
        <v>0</v>
      </c>
      <c r="U79">
        <f>CALC_EPM!U72</f>
        <v>0</v>
      </c>
    </row>
    <row r="80" spans="1:21" x14ac:dyDescent="0.2">
      <c r="A80" t="str">
        <f>IF(CALC_EPM!A73="GLOBAL",IF(CALC_EPM!C73="Total","GLOBAL",IF(CALC_EPM!C73="TotalEsp","GLOBAL_ESP",IF(CALC_EPM!C73="TotalNoEsp","GLOBAL_NOESP","GLOBAL_ASIG"))),IF(CALC_EPM!C73="Total","CURSO_TOTAL",IF(CALC_EPM!C73="TotalEsp","CURSO_ESP",IF(CALC_EPM!C73="TotalNoEsp","CURSO_NOESP","CURSO_ASIG"))))</f>
        <v>CURSO_ASIG</v>
      </c>
      <c r="B80" t="str">
        <f>CALC_EPM!A73</f>
        <v>1EPM</v>
      </c>
      <c r="C80" t="str">
        <f>CALC_EPM!B73</f>
        <v>Dolçaina</v>
      </c>
      <c r="D80">
        <f>CALC_EPM!D73</f>
        <v>0</v>
      </c>
      <c r="E80" s="10" t="str">
        <f>CALC_EPM!E73</f>
        <v>—</v>
      </c>
      <c r="F80" s="10" t="str">
        <f>CALC_EPM!F73</f>
        <v>—</v>
      </c>
      <c r="G80" t="str">
        <f>CALC_EPM!G73</f>
        <v>—</v>
      </c>
      <c r="H80" s="11" t="str">
        <f>CALC_EPM!H73</f>
        <v>—</v>
      </c>
      <c r="I80" s="11" t="str">
        <f>CALC_EPM!I73</f>
        <v>—</v>
      </c>
      <c r="J80" t="str">
        <f>CALC_EPM!J73</f>
        <v>—</v>
      </c>
      <c r="K80" t="str">
        <f>CALC_EPM!K73</f>
        <v>—</v>
      </c>
      <c r="L80">
        <f>CALC_EPM!L73</f>
        <v>0</v>
      </c>
      <c r="M80">
        <f>CALC_EPM!M73</f>
        <v>0</v>
      </c>
      <c r="N80">
        <f>CALC_EPM!N73</f>
        <v>0</v>
      </c>
      <c r="O80">
        <f>CALC_EPM!O73</f>
        <v>0</v>
      </c>
      <c r="P80">
        <f>CALC_EPM!P73</f>
        <v>0</v>
      </c>
      <c r="Q80">
        <f>CALC_EPM!Q73</f>
        <v>0</v>
      </c>
      <c r="R80">
        <f>CALC_EPM!R73</f>
        <v>0</v>
      </c>
      <c r="S80">
        <f>CALC_EPM!S73</f>
        <v>0</v>
      </c>
      <c r="T80">
        <f>CALC_EPM!T73</f>
        <v>0</v>
      </c>
      <c r="U80">
        <f>CALC_EPM!U73</f>
        <v>0</v>
      </c>
    </row>
    <row r="81" spans="1:21" x14ac:dyDescent="0.2">
      <c r="A81" t="str">
        <f>IF(CALC_EPM!A74="GLOBAL",IF(CALC_EPM!C74="Total","GLOBAL",IF(CALC_EPM!C74="TotalEsp","GLOBAL_ESP",IF(CALC_EPM!C74="TotalNoEsp","GLOBAL_NOESP","GLOBAL_ASIG"))),IF(CALC_EPM!C74="Total","CURSO_TOTAL",IF(CALC_EPM!C74="TotalEsp","CURSO_ESP",IF(CALC_EPM!C74="TotalNoEsp","CURSO_NOESP","CURSO_ASIG"))))</f>
        <v>CURSO_ASIG</v>
      </c>
      <c r="B81" t="str">
        <f>CALC_EPM!A74</f>
        <v>1EPM</v>
      </c>
      <c r="C81" t="str">
        <f>CALC_EPM!B74</f>
        <v>Fagot</v>
      </c>
      <c r="D81">
        <f>CALC_EPM!D74</f>
        <v>0</v>
      </c>
      <c r="E81" s="10" t="str">
        <f>CALC_EPM!E74</f>
        <v>—</v>
      </c>
      <c r="F81" s="10" t="str">
        <f>CALC_EPM!F74</f>
        <v>—</v>
      </c>
      <c r="G81" t="str">
        <f>CALC_EPM!G74</f>
        <v>—</v>
      </c>
      <c r="H81" s="11" t="str">
        <f>CALC_EPM!H74</f>
        <v>—</v>
      </c>
      <c r="I81" s="11" t="str">
        <f>CALC_EPM!I74</f>
        <v>—</v>
      </c>
      <c r="J81" t="str">
        <f>CALC_EPM!J74</f>
        <v>—</v>
      </c>
      <c r="K81" t="str">
        <f>CALC_EPM!K74</f>
        <v>—</v>
      </c>
      <c r="L81">
        <f>CALC_EPM!L74</f>
        <v>0</v>
      </c>
      <c r="M81">
        <f>CALC_EPM!M74</f>
        <v>0</v>
      </c>
      <c r="N81">
        <f>CALC_EPM!N74</f>
        <v>0</v>
      </c>
      <c r="O81">
        <f>CALC_EPM!O74</f>
        <v>0</v>
      </c>
      <c r="P81">
        <f>CALC_EPM!P74</f>
        <v>0</v>
      </c>
      <c r="Q81">
        <f>CALC_EPM!Q74</f>
        <v>0</v>
      </c>
      <c r="R81">
        <f>CALC_EPM!R74</f>
        <v>0</v>
      </c>
      <c r="S81">
        <f>CALC_EPM!S74</f>
        <v>0</v>
      </c>
      <c r="T81">
        <f>CALC_EPM!T74</f>
        <v>0</v>
      </c>
      <c r="U81">
        <f>CALC_EPM!U74</f>
        <v>0</v>
      </c>
    </row>
    <row r="82" spans="1:21" x14ac:dyDescent="0.2">
      <c r="A82" t="str">
        <f>IF(CALC_EPM!A75="GLOBAL",IF(CALC_EPM!C75="Total","GLOBAL",IF(CALC_EPM!C75="TotalEsp","GLOBAL_ESP",IF(CALC_EPM!C75="TotalNoEsp","GLOBAL_NOESP","GLOBAL_ASIG"))),IF(CALC_EPM!C75="Total","CURSO_TOTAL",IF(CALC_EPM!C75="TotalEsp","CURSO_ESP",IF(CALC_EPM!C75="TotalNoEsp","CURSO_NOESP","CURSO_ASIG"))))</f>
        <v>CURSO_ASIG</v>
      </c>
      <c r="B82" t="str">
        <f>CALC_EPM!A75</f>
        <v>1EPM</v>
      </c>
      <c r="C82" t="str">
        <f>CALC_EPM!B75</f>
        <v>Flauta Travesera</v>
      </c>
      <c r="D82">
        <f>CALC_EPM!D75</f>
        <v>0</v>
      </c>
      <c r="E82" s="10" t="str">
        <f>CALC_EPM!E75</f>
        <v>—</v>
      </c>
      <c r="F82" s="10" t="str">
        <f>CALC_EPM!F75</f>
        <v>—</v>
      </c>
      <c r="G82" t="str">
        <f>CALC_EPM!G75</f>
        <v>—</v>
      </c>
      <c r="H82" s="11" t="str">
        <f>CALC_EPM!H75</f>
        <v>—</v>
      </c>
      <c r="I82" s="11" t="str">
        <f>CALC_EPM!I75</f>
        <v>—</v>
      </c>
      <c r="J82" t="str">
        <f>CALC_EPM!J75</f>
        <v>—</v>
      </c>
      <c r="K82" t="str">
        <f>CALC_EPM!K75</f>
        <v>—</v>
      </c>
      <c r="L82">
        <f>CALC_EPM!L75</f>
        <v>0</v>
      </c>
      <c r="M82">
        <f>CALC_EPM!M75</f>
        <v>0</v>
      </c>
      <c r="N82">
        <f>CALC_EPM!N75</f>
        <v>0</v>
      </c>
      <c r="O82">
        <f>CALC_EPM!O75</f>
        <v>0</v>
      </c>
      <c r="P82">
        <f>CALC_EPM!P75</f>
        <v>0</v>
      </c>
      <c r="Q82">
        <f>CALC_EPM!Q75</f>
        <v>0</v>
      </c>
      <c r="R82">
        <f>CALC_EPM!R75</f>
        <v>0</v>
      </c>
      <c r="S82">
        <f>CALC_EPM!S75</f>
        <v>0</v>
      </c>
      <c r="T82">
        <f>CALC_EPM!T75</f>
        <v>0</v>
      </c>
      <c r="U82">
        <f>CALC_EPM!U75</f>
        <v>0</v>
      </c>
    </row>
    <row r="83" spans="1:21" x14ac:dyDescent="0.2">
      <c r="A83" t="str">
        <f>IF(CALC_EPM!A76="GLOBAL",IF(CALC_EPM!C76="Total","GLOBAL",IF(CALC_EPM!C76="TotalEsp","GLOBAL_ESP",IF(CALC_EPM!C76="TotalNoEsp","GLOBAL_NOESP","GLOBAL_ASIG"))),IF(CALC_EPM!C76="Total","CURSO_TOTAL",IF(CALC_EPM!C76="TotalEsp","CURSO_ESP",IF(CALC_EPM!C76="TotalNoEsp","CURSO_NOESP","CURSO_ASIG"))))</f>
        <v>CURSO_ASIG</v>
      </c>
      <c r="B83" t="str">
        <f>CALC_EPM!A76</f>
        <v>1EPM</v>
      </c>
      <c r="C83" t="str">
        <f>CALC_EPM!B76</f>
        <v>Guitarra</v>
      </c>
      <c r="D83">
        <f>CALC_EPM!D76</f>
        <v>0</v>
      </c>
      <c r="E83" s="10" t="str">
        <f>CALC_EPM!E76</f>
        <v>—</v>
      </c>
      <c r="F83" s="10" t="str">
        <f>CALC_EPM!F76</f>
        <v>—</v>
      </c>
      <c r="G83" t="str">
        <f>CALC_EPM!G76</f>
        <v>—</v>
      </c>
      <c r="H83" s="11" t="str">
        <f>CALC_EPM!H76</f>
        <v>—</v>
      </c>
      <c r="I83" s="11" t="str">
        <f>CALC_EPM!I76</f>
        <v>—</v>
      </c>
      <c r="J83" t="str">
        <f>CALC_EPM!J76</f>
        <v>—</v>
      </c>
      <c r="K83" t="str">
        <f>CALC_EPM!K76</f>
        <v>—</v>
      </c>
      <c r="L83">
        <f>CALC_EPM!L76</f>
        <v>0</v>
      </c>
      <c r="M83">
        <f>CALC_EPM!M76</f>
        <v>0</v>
      </c>
      <c r="N83">
        <f>CALC_EPM!N76</f>
        <v>0</v>
      </c>
      <c r="O83">
        <f>CALC_EPM!O76</f>
        <v>0</v>
      </c>
      <c r="P83">
        <f>CALC_EPM!P76</f>
        <v>0</v>
      </c>
      <c r="Q83">
        <f>CALC_EPM!Q76</f>
        <v>0</v>
      </c>
      <c r="R83">
        <f>CALC_EPM!R76</f>
        <v>0</v>
      </c>
      <c r="S83">
        <f>CALC_EPM!S76</f>
        <v>0</v>
      </c>
      <c r="T83">
        <f>CALC_EPM!T76</f>
        <v>0</v>
      </c>
      <c r="U83">
        <f>CALC_EPM!U76</f>
        <v>0</v>
      </c>
    </row>
    <row r="84" spans="1:21" x14ac:dyDescent="0.2">
      <c r="A84" t="str">
        <f>IF(CALC_EPM!A77="GLOBAL",IF(CALC_EPM!C77="Total","GLOBAL",IF(CALC_EPM!C77="TotalEsp","GLOBAL_ESP",IF(CALC_EPM!C77="TotalNoEsp","GLOBAL_NOESP","GLOBAL_ASIG"))),IF(CALC_EPM!C77="Total","CURSO_TOTAL",IF(CALC_EPM!C77="TotalEsp","CURSO_ESP",IF(CALC_EPM!C77="TotalNoEsp","CURSO_NOESP","CURSO_ASIG"))))</f>
        <v>CURSO_ASIG</v>
      </c>
      <c r="B84" t="str">
        <f>CALC_EPM!A77</f>
        <v>1EPM</v>
      </c>
      <c r="C84" t="str">
        <f>CALC_EPM!B77</f>
        <v>Guitarra Eléctrica</v>
      </c>
      <c r="D84">
        <f>CALC_EPM!D77</f>
        <v>0</v>
      </c>
      <c r="E84" s="10" t="str">
        <f>CALC_EPM!E77</f>
        <v>—</v>
      </c>
      <c r="F84" s="10" t="str">
        <f>CALC_EPM!F77</f>
        <v>—</v>
      </c>
      <c r="G84" t="str">
        <f>CALC_EPM!G77</f>
        <v>—</v>
      </c>
      <c r="H84" s="11" t="str">
        <f>CALC_EPM!H77</f>
        <v>—</v>
      </c>
      <c r="I84" s="11" t="str">
        <f>CALC_EPM!I77</f>
        <v>—</v>
      </c>
      <c r="J84" t="str">
        <f>CALC_EPM!J77</f>
        <v>—</v>
      </c>
      <c r="K84" t="str">
        <f>CALC_EPM!K77</f>
        <v>—</v>
      </c>
      <c r="L84">
        <f>CALC_EPM!L77</f>
        <v>0</v>
      </c>
      <c r="M84">
        <f>CALC_EPM!M77</f>
        <v>0</v>
      </c>
      <c r="N84">
        <f>CALC_EPM!N77</f>
        <v>0</v>
      </c>
      <c r="O84">
        <f>CALC_EPM!O77</f>
        <v>0</v>
      </c>
      <c r="P84">
        <f>CALC_EPM!P77</f>
        <v>0</v>
      </c>
      <c r="Q84">
        <f>CALC_EPM!Q77</f>
        <v>0</v>
      </c>
      <c r="R84">
        <f>CALC_EPM!R77</f>
        <v>0</v>
      </c>
      <c r="S84">
        <f>CALC_EPM!S77</f>
        <v>0</v>
      </c>
      <c r="T84">
        <f>CALC_EPM!T77</f>
        <v>0</v>
      </c>
      <c r="U84">
        <f>CALC_EPM!U77</f>
        <v>0</v>
      </c>
    </row>
    <row r="85" spans="1:21" x14ac:dyDescent="0.2">
      <c r="A85" t="str">
        <f>IF(CALC_EPM!A78="GLOBAL",IF(CALC_EPM!C78="Total","GLOBAL",IF(CALC_EPM!C78="TotalEsp","GLOBAL_ESP",IF(CALC_EPM!C78="TotalNoEsp","GLOBAL_NOESP","GLOBAL_ASIG"))),IF(CALC_EPM!C78="Total","CURSO_TOTAL",IF(CALC_EPM!C78="TotalEsp","CURSO_ESP",IF(CALC_EPM!C78="TotalNoEsp","CURSO_NOESP","CURSO_ASIG"))))</f>
        <v>CURSO_ASIG</v>
      </c>
      <c r="B85" t="str">
        <f>CALC_EPM!A78</f>
        <v>1EPM</v>
      </c>
      <c r="C85" t="str">
        <f>CALC_EPM!B78</f>
        <v>Oboe</v>
      </c>
      <c r="D85">
        <f>CALC_EPM!D78</f>
        <v>0</v>
      </c>
      <c r="E85" s="10" t="str">
        <f>CALC_EPM!E78</f>
        <v>—</v>
      </c>
      <c r="F85" s="10" t="str">
        <f>CALC_EPM!F78</f>
        <v>—</v>
      </c>
      <c r="G85" t="str">
        <f>CALC_EPM!G78</f>
        <v>—</v>
      </c>
      <c r="H85" s="11" t="str">
        <f>CALC_EPM!H78</f>
        <v>—</v>
      </c>
      <c r="I85" s="11" t="str">
        <f>CALC_EPM!I78</f>
        <v>—</v>
      </c>
      <c r="J85" t="str">
        <f>CALC_EPM!J78</f>
        <v>—</v>
      </c>
      <c r="K85" t="str">
        <f>CALC_EPM!K78</f>
        <v>—</v>
      </c>
      <c r="L85">
        <f>CALC_EPM!L78</f>
        <v>0</v>
      </c>
      <c r="M85">
        <f>CALC_EPM!M78</f>
        <v>0</v>
      </c>
      <c r="N85">
        <f>CALC_EPM!N78</f>
        <v>0</v>
      </c>
      <c r="O85">
        <f>CALC_EPM!O78</f>
        <v>0</v>
      </c>
      <c r="P85">
        <f>CALC_EPM!P78</f>
        <v>0</v>
      </c>
      <c r="Q85">
        <f>CALC_EPM!Q78</f>
        <v>0</v>
      </c>
      <c r="R85">
        <f>CALC_EPM!R78</f>
        <v>0</v>
      </c>
      <c r="S85">
        <f>CALC_EPM!S78</f>
        <v>0</v>
      </c>
      <c r="T85">
        <f>CALC_EPM!T78</f>
        <v>0</v>
      </c>
      <c r="U85">
        <f>CALC_EPM!U78</f>
        <v>0</v>
      </c>
    </row>
    <row r="86" spans="1:21" x14ac:dyDescent="0.2">
      <c r="A86" t="str">
        <f>IF(CALC_EPM!A79="GLOBAL",IF(CALC_EPM!C79="Total","GLOBAL",IF(CALC_EPM!C79="TotalEsp","GLOBAL_ESP",IF(CALC_EPM!C79="TotalNoEsp","GLOBAL_NOESP","GLOBAL_ASIG"))),IF(CALC_EPM!C79="Total","CURSO_TOTAL",IF(CALC_EPM!C79="TotalEsp","CURSO_ESP",IF(CALC_EPM!C79="TotalNoEsp","CURSO_NOESP","CURSO_ASIG"))))</f>
        <v>CURSO_ASIG</v>
      </c>
      <c r="B86" t="str">
        <f>CALC_EPM!A79</f>
        <v>1EPM</v>
      </c>
      <c r="C86" t="str">
        <f>CALC_EPM!B79</f>
        <v>Percusión</v>
      </c>
      <c r="D86">
        <f>CALC_EPM!D79</f>
        <v>0</v>
      </c>
      <c r="E86" s="10" t="str">
        <f>CALC_EPM!E79</f>
        <v>—</v>
      </c>
      <c r="F86" s="10" t="str">
        <f>CALC_EPM!F79</f>
        <v>—</v>
      </c>
      <c r="G86" t="str">
        <f>CALC_EPM!G79</f>
        <v>—</v>
      </c>
      <c r="H86" s="11" t="str">
        <f>CALC_EPM!H79</f>
        <v>—</v>
      </c>
      <c r="I86" s="11" t="str">
        <f>CALC_EPM!I79</f>
        <v>—</v>
      </c>
      <c r="J86" t="str">
        <f>CALC_EPM!J79</f>
        <v>—</v>
      </c>
      <c r="K86" t="str">
        <f>CALC_EPM!K79</f>
        <v>—</v>
      </c>
      <c r="L86">
        <f>CALC_EPM!L79</f>
        <v>0</v>
      </c>
      <c r="M86">
        <f>CALC_EPM!M79</f>
        <v>0</v>
      </c>
      <c r="N86">
        <f>CALC_EPM!N79</f>
        <v>0</v>
      </c>
      <c r="O86">
        <f>CALC_EPM!O79</f>
        <v>0</v>
      </c>
      <c r="P86">
        <f>CALC_EPM!P79</f>
        <v>0</v>
      </c>
      <c r="Q86">
        <f>CALC_EPM!Q79</f>
        <v>0</v>
      </c>
      <c r="R86">
        <f>CALC_EPM!R79</f>
        <v>0</v>
      </c>
      <c r="S86">
        <f>CALC_EPM!S79</f>
        <v>0</v>
      </c>
      <c r="T86">
        <f>CALC_EPM!T79</f>
        <v>0</v>
      </c>
      <c r="U86">
        <f>CALC_EPM!U79</f>
        <v>0</v>
      </c>
    </row>
    <row r="87" spans="1:21" x14ac:dyDescent="0.2">
      <c r="A87" t="str">
        <f>IF(CALC_EPM!A80="GLOBAL",IF(CALC_EPM!C80="Total","GLOBAL",IF(CALC_EPM!C80="TotalEsp","GLOBAL_ESP",IF(CALC_EPM!C80="TotalNoEsp","GLOBAL_NOESP","GLOBAL_ASIG"))),IF(CALC_EPM!C80="Total","CURSO_TOTAL",IF(CALC_EPM!C80="TotalEsp","CURSO_ESP",IF(CALC_EPM!C80="TotalNoEsp","CURSO_NOESP","CURSO_ASIG"))))</f>
        <v>CURSO_ASIG</v>
      </c>
      <c r="B87" t="str">
        <f>CALC_EPM!A80</f>
        <v>1EPM</v>
      </c>
      <c r="C87" t="str">
        <f>CALC_EPM!B80</f>
        <v>Piano</v>
      </c>
      <c r="D87">
        <f>CALC_EPM!D80</f>
        <v>0</v>
      </c>
      <c r="E87" s="10" t="str">
        <f>CALC_EPM!E80</f>
        <v>—</v>
      </c>
      <c r="F87" s="10" t="str">
        <f>CALC_EPM!F80</f>
        <v>—</v>
      </c>
      <c r="G87" t="str">
        <f>CALC_EPM!G80</f>
        <v>—</v>
      </c>
      <c r="H87" s="11" t="str">
        <f>CALC_EPM!H80</f>
        <v>—</v>
      </c>
      <c r="I87" s="11" t="str">
        <f>CALC_EPM!I80</f>
        <v>—</v>
      </c>
      <c r="J87" t="str">
        <f>CALC_EPM!J80</f>
        <v>—</v>
      </c>
      <c r="K87" t="str">
        <f>CALC_EPM!K80</f>
        <v>—</v>
      </c>
      <c r="L87">
        <f>CALC_EPM!L80</f>
        <v>0</v>
      </c>
      <c r="M87">
        <f>CALC_EPM!M80</f>
        <v>0</v>
      </c>
      <c r="N87">
        <f>CALC_EPM!N80</f>
        <v>0</v>
      </c>
      <c r="O87">
        <f>CALC_EPM!O80</f>
        <v>0</v>
      </c>
      <c r="P87">
        <f>CALC_EPM!P80</f>
        <v>0</v>
      </c>
      <c r="Q87">
        <f>CALC_EPM!Q80</f>
        <v>0</v>
      </c>
      <c r="R87">
        <f>CALC_EPM!R80</f>
        <v>0</v>
      </c>
      <c r="S87">
        <f>CALC_EPM!S80</f>
        <v>0</v>
      </c>
      <c r="T87">
        <f>CALC_EPM!T80</f>
        <v>0</v>
      </c>
      <c r="U87">
        <f>CALC_EPM!U80</f>
        <v>0</v>
      </c>
    </row>
    <row r="88" spans="1:21" x14ac:dyDescent="0.2">
      <c r="A88" t="str">
        <f>IF(CALC_EPM!A81="GLOBAL",IF(CALC_EPM!C81="Total","GLOBAL",IF(CALC_EPM!C81="TotalEsp","GLOBAL_ESP",IF(CALC_EPM!C81="TotalNoEsp","GLOBAL_NOESP","GLOBAL_ASIG"))),IF(CALC_EPM!C81="Total","CURSO_TOTAL",IF(CALC_EPM!C81="TotalEsp","CURSO_ESP",IF(CALC_EPM!C81="TotalNoEsp","CURSO_NOESP","CURSO_ASIG"))))</f>
        <v>CURSO_ASIG</v>
      </c>
      <c r="B88" t="str">
        <f>CALC_EPM!A81</f>
        <v>1EPM</v>
      </c>
      <c r="C88" t="str">
        <f>CALC_EPM!B81</f>
        <v>Saxofón</v>
      </c>
      <c r="D88">
        <f>CALC_EPM!D81</f>
        <v>0</v>
      </c>
      <c r="E88" s="10" t="str">
        <f>CALC_EPM!E81</f>
        <v>—</v>
      </c>
      <c r="F88" s="10" t="str">
        <f>CALC_EPM!F81</f>
        <v>—</v>
      </c>
      <c r="G88" t="str">
        <f>CALC_EPM!G81</f>
        <v>—</v>
      </c>
      <c r="H88" s="11" t="str">
        <f>CALC_EPM!H81</f>
        <v>—</v>
      </c>
      <c r="I88" s="11" t="str">
        <f>CALC_EPM!I81</f>
        <v>—</v>
      </c>
      <c r="J88" t="str">
        <f>CALC_EPM!J81</f>
        <v>—</v>
      </c>
      <c r="K88" t="str">
        <f>CALC_EPM!K81</f>
        <v>—</v>
      </c>
      <c r="L88">
        <f>CALC_EPM!L81</f>
        <v>0</v>
      </c>
      <c r="M88">
        <f>CALC_EPM!M81</f>
        <v>0</v>
      </c>
      <c r="N88">
        <f>CALC_EPM!N81</f>
        <v>0</v>
      </c>
      <c r="O88">
        <f>CALC_EPM!O81</f>
        <v>0</v>
      </c>
      <c r="P88">
        <f>CALC_EPM!P81</f>
        <v>0</v>
      </c>
      <c r="Q88">
        <f>CALC_EPM!Q81</f>
        <v>0</v>
      </c>
      <c r="R88">
        <f>CALC_EPM!R81</f>
        <v>0</v>
      </c>
      <c r="S88">
        <f>CALC_EPM!S81</f>
        <v>0</v>
      </c>
      <c r="T88">
        <f>CALC_EPM!T81</f>
        <v>0</v>
      </c>
      <c r="U88">
        <f>CALC_EPM!U81</f>
        <v>0</v>
      </c>
    </row>
    <row r="89" spans="1:21" x14ac:dyDescent="0.2">
      <c r="A89" t="str">
        <f>IF(CALC_EPM!A82="GLOBAL",IF(CALC_EPM!C82="Total","GLOBAL",IF(CALC_EPM!C82="TotalEsp","GLOBAL_ESP",IF(CALC_EPM!C82="TotalNoEsp","GLOBAL_NOESP","GLOBAL_ASIG"))),IF(CALC_EPM!C82="Total","CURSO_TOTAL",IF(CALC_EPM!C82="TotalEsp","CURSO_ESP",IF(CALC_EPM!C82="TotalNoEsp","CURSO_NOESP","CURSO_ASIG"))))</f>
        <v>CURSO_ASIG</v>
      </c>
      <c r="B89" t="str">
        <f>CALC_EPM!A82</f>
        <v>1EPM</v>
      </c>
      <c r="C89" t="str">
        <f>CALC_EPM!B82</f>
        <v>Trombón</v>
      </c>
      <c r="D89">
        <f>CALC_EPM!D82</f>
        <v>0</v>
      </c>
      <c r="E89" s="10" t="str">
        <f>CALC_EPM!E82</f>
        <v>—</v>
      </c>
      <c r="F89" s="10" t="str">
        <f>CALC_EPM!F82</f>
        <v>—</v>
      </c>
      <c r="G89" t="str">
        <f>CALC_EPM!G82</f>
        <v>—</v>
      </c>
      <c r="H89" s="11" t="str">
        <f>CALC_EPM!H82</f>
        <v>—</v>
      </c>
      <c r="I89" s="11" t="str">
        <f>CALC_EPM!I82</f>
        <v>—</v>
      </c>
      <c r="J89" t="str">
        <f>CALC_EPM!J82</f>
        <v>—</v>
      </c>
      <c r="K89" t="str">
        <f>CALC_EPM!K82</f>
        <v>—</v>
      </c>
      <c r="L89">
        <f>CALC_EPM!L82</f>
        <v>0</v>
      </c>
      <c r="M89">
        <f>CALC_EPM!M82</f>
        <v>0</v>
      </c>
      <c r="N89">
        <f>CALC_EPM!N82</f>
        <v>0</v>
      </c>
      <c r="O89">
        <f>CALC_EPM!O82</f>
        <v>0</v>
      </c>
      <c r="P89">
        <f>CALC_EPM!P82</f>
        <v>0</v>
      </c>
      <c r="Q89">
        <f>CALC_EPM!Q82</f>
        <v>0</v>
      </c>
      <c r="R89">
        <f>CALC_EPM!R82</f>
        <v>0</v>
      </c>
      <c r="S89">
        <f>CALC_EPM!S82</f>
        <v>0</v>
      </c>
      <c r="T89">
        <f>CALC_EPM!T82</f>
        <v>0</v>
      </c>
      <c r="U89">
        <f>CALC_EPM!U82</f>
        <v>0</v>
      </c>
    </row>
    <row r="90" spans="1:21" x14ac:dyDescent="0.2">
      <c r="A90" t="str">
        <f>IF(CALC_EPM!A83="GLOBAL",IF(CALC_EPM!C83="Total","GLOBAL",IF(CALC_EPM!C83="TotalEsp","GLOBAL_ESP",IF(CALC_EPM!C83="TotalNoEsp","GLOBAL_NOESP","GLOBAL_ASIG"))),IF(CALC_EPM!C83="Total","CURSO_TOTAL",IF(CALC_EPM!C83="TotalEsp","CURSO_ESP",IF(CALC_EPM!C83="TotalNoEsp","CURSO_NOESP","CURSO_ASIG"))))</f>
        <v>CURSO_ASIG</v>
      </c>
      <c r="B90" t="str">
        <f>CALC_EPM!A83</f>
        <v>1EPM</v>
      </c>
      <c r="C90" t="str">
        <f>CALC_EPM!B83</f>
        <v>Trompa</v>
      </c>
      <c r="D90">
        <f>CALC_EPM!D83</f>
        <v>0</v>
      </c>
      <c r="E90" s="10" t="str">
        <f>CALC_EPM!E83</f>
        <v>—</v>
      </c>
      <c r="F90" s="10" t="str">
        <f>CALC_EPM!F83</f>
        <v>—</v>
      </c>
      <c r="G90" t="str">
        <f>CALC_EPM!G83</f>
        <v>—</v>
      </c>
      <c r="H90" s="11" t="str">
        <f>CALC_EPM!H83</f>
        <v>—</v>
      </c>
      <c r="I90" s="11" t="str">
        <f>CALC_EPM!I83</f>
        <v>—</v>
      </c>
      <c r="J90" t="str">
        <f>CALC_EPM!J83</f>
        <v>—</v>
      </c>
      <c r="K90" t="str">
        <f>CALC_EPM!K83</f>
        <v>—</v>
      </c>
      <c r="L90">
        <f>CALC_EPM!L83</f>
        <v>0</v>
      </c>
      <c r="M90">
        <f>CALC_EPM!M83</f>
        <v>0</v>
      </c>
      <c r="N90">
        <f>CALC_EPM!N83</f>
        <v>0</v>
      </c>
      <c r="O90">
        <f>CALC_EPM!O83</f>
        <v>0</v>
      </c>
      <c r="P90">
        <f>CALC_EPM!P83</f>
        <v>0</v>
      </c>
      <c r="Q90">
        <f>CALC_EPM!Q83</f>
        <v>0</v>
      </c>
      <c r="R90">
        <f>CALC_EPM!R83</f>
        <v>0</v>
      </c>
      <c r="S90">
        <f>CALC_EPM!S83</f>
        <v>0</v>
      </c>
      <c r="T90">
        <f>CALC_EPM!T83</f>
        <v>0</v>
      </c>
      <c r="U90">
        <f>CALC_EPM!U83</f>
        <v>0</v>
      </c>
    </row>
    <row r="91" spans="1:21" x14ac:dyDescent="0.2">
      <c r="A91" t="str">
        <f>IF(CALC_EPM!A84="GLOBAL",IF(CALC_EPM!C84="Total","GLOBAL",IF(CALC_EPM!C84="TotalEsp","GLOBAL_ESP",IF(CALC_EPM!C84="TotalNoEsp","GLOBAL_NOESP","GLOBAL_ASIG"))),IF(CALC_EPM!C84="Total","CURSO_TOTAL",IF(CALC_EPM!C84="TotalEsp","CURSO_ESP",IF(CALC_EPM!C84="TotalNoEsp","CURSO_NOESP","CURSO_ASIG"))))</f>
        <v>CURSO_ASIG</v>
      </c>
      <c r="B91" t="str">
        <f>CALC_EPM!A84</f>
        <v>1EPM</v>
      </c>
      <c r="C91" t="str">
        <f>CALC_EPM!B84</f>
        <v>Trompeta</v>
      </c>
      <c r="D91">
        <f>CALC_EPM!D84</f>
        <v>0</v>
      </c>
      <c r="E91" s="10" t="str">
        <f>CALC_EPM!E84</f>
        <v>—</v>
      </c>
      <c r="F91" s="10" t="str">
        <f>CALC_EPM!F84</f>
        <v>—</v>
      </c>
      <c r="G91" t="str">
        <f>CALC_EPM!G84</f>
        <v>—</v>
      </c>
      <c r="H91" s="11" t="str">
        <f>CALC_EPM!H84</f>
        <v>—</v>
      </c>
      <c r="I91" s="11" t="str">
        <f>CALC_EPM!I84</f>
        <v>—</v>
      </c>
      <c r="J91" t="str">
        <f>CALC_EPM!J84</f>
        <v>—</v>
      </c>
      <c r="K91" t="str">
        <f>CALC_EPM!K84</f>
        <v>—</v>
      </c>
      <c r="L91">
        <f>CALC_EPM!L84</f>
        <v>0</v>
      </c>
      <c r="M91">
        <f>CALC_EPM!M84</f>
        <v>0</v>
      </c>
      <c r="N91">
        <f>CALC_EPM!N84</f>
        <v>0</v>
      </c>
      <c r="O91">
        <f>CALC_EPM!O84</f>
        <v>0</v>
      </c>
      <c r="P91">
        <f>CALC_EPM!P84</f>
        <v>0</v>
      </c>
      <c r="Q91">
        <f>CALC_EPM!Q84</f>
        <v>0</v>
      </c>
      <c r="R91">
        <f>CALC_EPM!R84</f>
        <v>0</v>
      </c>
      <c r="S91">
        <f>CALC_EPM!S84</f>
        <v>0</v>
      </c>
      <c r="T91">
        <f>CALC_EPM!T84</f>
        <v>0</v>
      </c>
      <c r="U91">
        <f>CALC_EPM!U84</f>
        <v>0</v>
      </c>
    </row>
    <row r="92" spans="1:21" x14ac:dyDescent="0.2">
      <c r="A92" t="str">
        <f>IF(CALC_EPM!A85="GLOBAL",IF(CALC_EPM!C85="Total","GLOBAL",IF(CALC_EPM!C85="TotalEsp","GLOBAL_ESP",IF(CALC_EPM!C85="TotalNoEsp","GLOBAL_NOESP","GLOBAL_ASIG"))),IF(CALC_EPM!C85="Total","CURSO_TOTAL",IF(CALC_EPM!C85="TotalEsp","CURSO_ESP",IF(CALC_EPM!C85="TotalNoEsp","CURSO_NOESP","CURSO_ASIG"))))</f>
        <v>CURSO_ASIG</v>
      </c>
      <c r="B92" t="str">
        <f>CALC_EPM!A85</f>
        <v>1EPM</v>
      </c>
      <c r="C92" t="str">
        <f>CALC_EPM!B85</f>
        <v>Tuba</v>
      </c>
      <c r="D92">
        <f>CALC_EPM!D85</f>
        <v>0</v>
      </c>
      <c r="E92" s="10" t="str">
        <f>CALC_EPM!E85</f>
        <v>—</v>
      </c>
      <c r="F92" s="10" t="str">
        <f>CALC_EPM!F85</f>
        <v>—</v>
      </c>
      <c r="G92" t="str">
        <f>CALC_EPM!G85</f>
        <v>—</v>
      </c>
      <c r="H92" s="11" t="str">
        <f>CALC_EPM!H85</f>
        <v>—</v>
      </c>
      <c r="I92" s="11" t="str">
        <f>CALC_EPM!I85</f>
        <v>—</v>
      </c>
      <c r="J92" t="str">
        <f>CALC_EPM!J85</f>
        <v>—</v>
      </c>
      <c r="K92" t="str">
        <f>CALC_EPM!K85</f>
        <v>—</v>
      </c>
      <c r="L92">
        <f>CALC_EPM!L85</f>
        <v>0</v>
      </c>
      <c r="M92">
        <f>CALC_EPM!M85</f>
        <v>0</v>
      </c>
      <c r="N92">
        <f>CALC_EPM!N85</f>
        <v>0</v>
      </c>
      <c r="O92">
        <f>CALC_EPM!O85</f>
        <v>0</v>
      </c>
      <c r="P92">
        <f>CALC_EPM!P85</f>
        <v>0</v>
      </c>
      <c r="Q92">
        <f>CALC_EPM!Q85</f>
        <v>0</v>
      </c>
      <c r="R92">
        <f>CALC_EPM!R85</f>
        <v>0</v>
      </c>
      <c r="S92">
        <f>CALC_EPM!S85</f>
        <v>0</v>
      </c>
      <c r="T92">
        <f>CALC_EPM!T85</f>
        <v>0</v>
      </c>
      <c r="U92">
        <f>CALC_EPM!U85</f>
        <v>0</v>
      </c>
    </row>
    <row r="93" spans="1:21" x14ac:dyDescent="0.2">
      <c r="A93" t="str">
        <f>IF(CALC_EPM!A86="GLOBAL",IF(CALC_EPM!C86="Total","GLOBAL",IF(CALC_EPM!C86="TotalEsp","GLOBAL_ESP",IF(CALC_EPM!C86="TotalNoEsp","GLOBAL_NOESP","GLOBAL_ASIG"))),IF(CALC_EPM!C86="Total","CURSO_TOTAL",IF(CALC_EPM!C86="TotalEsp","CURSO_ESP",IF(CALC_EPM!C86="TotalNoEsp","CURSO_NOESP","CURSO_ASIG"))))</f>
        <v>CURSO_ASIG</v>
      </c>
      <c r="B93" t="str">
        <f>CALC_EPM!A86</f>
        <v>1EPM</v>
      </c>
      <c r="C93" t="str">
        <f>CALC_EPM!B86</f>
        <v>Viola</v>
      </c>
      <c r="D93">
        <f>CALC_EPM!D86</f>
        <v>0</v>
      </c>
      <c r="E93" s="10" t="str">
        <f>CALC_EPM!E86</f>
        <v>—</v>
      </c>
      <c r="F93" s="10" t="str">
        <f>CALC_EPM!F86</f>
        <v>—</v>
      </c>
      <c r="G93" t="str">
        <f>CALC_EPM!G86</f>
        <v>—</v>
      </c>
      <c r="H93" s="11" t="str">
        <f>CALC_EPM!H86</f>
        <v>—</v>
      </c>
      <c r="I93" s="11" t="str">
        <f>CALC_EPM!I86</f>
        <v>—</v>
      </c>
      <c r="J93" t="str">
        <f>CALC_EPM!J86</f>
        <v>—</v>
      </c>
      <c r="K93" t="str">
        <f>CALC_EPM!K86</f>
        <v>—</v>
      </c>
      <c r="L93">
        <f>CALC_EPM!L86</f>
        <v>0</v>
      </c>
      <c r="M93">
        <f>CALC_EPM!M86</f>
        <v>0</v>
      </c>
      <c r="N93">
        <f>CALC_EPM!N86</f>
        <v>0</v>
      </c>
      <c r="O93">
        <f>CALC_EPM!O86</f>
        <v>0</v>
      </c>
      <c r="P93">
        <f>CALC_EPM!P86</f>
        <v>0</v>
      </c>
      <c r="Q93">
        <f>CALC_EPM!Q86</f>
        <v>0</v>
      </c>
      <c r="R93">
        <f>CALC_EPM!R86</f>
        <v>0</v>
      </c>
      <c r="S93">
        <f>CALC_EPM!S86</f>
        <v>0</v>
      </c>
      <c r="T93">
        <f>CALC_EPM!T86</f>
        <v>0</v>
      </c>
      <c r="U93">
        <f>CALC_EPM!U86</f>
        <v>0</v>
      </c>
    </row>
    <row r="94" spans="1:21" x14ac:dyDescent="0.2">
      <c r="A94" t="str">
        <f>IF(CALC_EPM!A87="GLOBAL",IF(CALC_EPM!C87="Total","GLOBAL",IF(CALC_EPM!C87="TotalEsp","GLOBAL_ESP",IF(CALC_EPM!C87="TotalNoEsp","GLOBAL_NOESP","GLOBAL_ASIG"))),IF(CALC_EPM!C87="Total","CURSO_TOTAL",IF(CALC_EPM!C87="TotalEsp","CURSO_ESP",IF(CALC_EPM!C87="TotalNoEsp","CURSO_NOESP","CURSO_ASIG"))))</f>
        <v>CURSO_ASIG</v>
      </c>
      <c r="B94" t="str">
        <f>CALC_EPM!A87</f>
        <v>1EPM</v>
      </c>
      <c r="C94" t="str">
        <f>CALC_EPM!B87</f>
        <v>Violín</v>
      </c>
      <c r="D94">
        <f>CALC_EPM!D87</f>
        <v>0</v>
      </c>
      <c r="E94" s="10" t="str">
        <f>CALC_EPM!E87</f>
        <v>—</v>
      </c>
      <c r="F94" s="10" t="str">
        <f>CALC_EPM!F87</f>
        <v>—</v>
      </c>
      <c r="G94" t="str">
        <f>CALC_EPM!G87</f>
        <v>—</v>
      </c>
      <c r="H94" s="11" t="str">
        <f>CALC_EPM!H87</f>
        <v>—</v>
      </c>
      <c r="I94" s="11" t="str">
        <f>CALC_EPM!I87</f>
        <v>—</v>
      </c>
      <c r="J94" t="str">
        <f>CALC_EPM!J87</f>
        <v>—</v>
      </c>
      <c r="K94" t="str">
        <f>CALC_EPM!K87</f>
        <v>—</v>
      </c>
      <c r="L94">
        <f>CALC_EPM!L87</f>
        <v>0</v>
      </c>
      <c r="M94">
        <f>CALC_EPM!M87</f>
        <v>0</v>
      </c>
      <c r="N94">
        <f>CALC_EPM!N87</f>
        <v>0</v>
      </c>
      <c r="O94">
        <f>CALC_EPM!O87</f>
        <v>0</v>
      </c>
      <c r="P94">
        <f>CALC_EPM!P87</f>
        <v>0</v>
      </c>
      <c r="Q94">
        <f>CALC_EPM!Q87</f>
        <v>0</v>
      </c>
      <c r="R94">
        <f>CALC_EPM!R87</f>
        <v>0</v>
      </c>
      <c r="S94">
        <f>CALC_EPM!S87</f>
        <v>0</v>
      </c>
      <c r="T94">
        <f>CALC_EPM!T87</f>
        <v>0</v>
      </c>
      <c r="U94">
        <f>CALC_EPM!U87</f>
        <v>0</v>
      </c>
    </row>
    <row r="95" spans="1:21" x14ac:dyDescent="0.2">
      <c r="A95" t="str">
        <f>IF(CALC_EPM!A88="GLOBAL",IF(CALC_EPM!C88="Total","GLOBAL",IF(CALC_EPM!C88="TotalEsp","GLOBAL_ESP",IF(CALC_EPM!C88="TotalNoEsp","GLOBAL_NOESP","GLOBAL_ASIG"))),IF(CALC_EPM!C88="Total","CURSO_TOTAL",IF(CALC_EPM!C88="TotalEsp","CURSO_ESP",IF(CALC_EPM!C88="TotalNoEsp","CURSO_NOESP","CURSO_ASIG"))))</f>
        <v>CURSO_ASIG</v>
      </c>
      <c r="B95" t="str">
        <f>CALC_EPM!A88</f>
        <v>1EPM</v>
      </c>
      <c r="C95" t="str">
        <f>CALC_EPM!B88</f>
        <v>Violoncello</v>
      </c>
      <c r="D95">
        <f>CALC_EPM!D88</f>
        <v>0</v>
      </c>
      <c r="E95" s="10" t="str">
        <f>CALC_EPM!E88</f>
        <v>—</v>
      </c>
      <c r="F95" s="10" t="str">
        <f>CALC_EPM!F88</f>
        <v>—</v>
      </c>
      <c r="G95" t="str">
        <f>CALC_EPM!G88</f>
        <v>—</v>
      </c>
      <c r="H95" s="11" t="str">
        <f>CALC_EPM!H88</f>
        <v>—</v>
      </c>
      <c r="I95" s="11" t="str">
        <f>CALC_EPM!I88</f>
        <v>—</v>
      </c>
      <c r="J95" t="str">
        <f>CALC_EPM!J88</f>
        <v>—</v>
      </c>
      <c r="K95" t="str">
        <f>CALC_EPM!K88</f>
        <v>—</v>
      </c>
      <c r="L95">
        <f>CALC_EPM!L88</f>
        <v>0</v>
      </c>
      <c r="M95">
        <f>CALC_EPM!M88</f>
        <v>0</v>
      </c>
      <c r="N95">
        <f>CALC_EPM!N88</f>
        <v>0</v>
      </c>
      <c r="O95">
        <f>CALC_EPM!O88</f>
        <v>0</v>
      </c>
      <c r="P95">
        <f>CALC_EPM!P88</f>
        <v>0</v>
      </c>
      <c r="Q95">
        <f>CALC_EPM!Q88</f>
        <v>0</v>
      </c>
      <c r="R95">
        <f>CALC_EPM!R88</f>
        <v>0</v>
      </c>
      <c r="S95">
        <f>CALC_EPM!S88</f>
        <v>0</v>
      </c>
      <c r="T95">
        <f>CALC_EPM!T88</f>
        <v>0</v>
      </c>
      <c r="U95">
        <f>CALC_EPM!U88</f>
        <v>0</v>
      </c>
    </row>
    <row r="96" spans="1:21" x14ac:dyDescent="0.2">
      <c r="A96" t="str">
        <f>IF(CALC_EPM!A89="GLOBAL",IF(CALC_EPM!C89="Total","GLOBAL",IF(CALC_EPM!C89="TotalEsp","GLOBAL_ESP",IF(CALC_EPM!C89="TotalNoEsp","GLOBAL_NOESP","GLOBAL_ASIG"))),IF(CALC_EPM!C89="Total","CURSO_TOTAL",IF(CALC_EPM!C89="TotalEsp","CURSO_ESP",IF(CALC_EPM!C89="TotalNoEsp","CURSO_NOESP","CURSO_ASIG"))))</f>
        <v>CURSO_ASIG</v>
      </c>
      <c r="B96" t="str">
        <f>CALC_EPM!A89</f>
        <v>2EPM</v>
      </c>
      <c r="C96" t="str">
        <f>CALC_EPM!B89</f>
        <v>Lenguaje Musical</v>
      </c>
      <c r="D96">
        <f>CALC_EPM!D89</f>
        <v>0</v>
      </c>
      <c r="E96" s="10" t="str">
        <f>CALC_EPM!E89</f>
        <v>—</v>
      </c>
      <c r="F96" s="10" t="str">
        <f>CALC_EPM!F89</f>
        <v>—</v>
      </c>
      <c r="G96" t="str">
        <f>CALC_EPM!G89</f>
        <v>—</v>
      </c>
      <c r="H96" s="11" t="str">
        <f>CALC_EPM!H89</f>
        <v>—</v>
      </c>
      <c r="I96" s="11" t="str">
        <f>CALC_EPM!I89</f>
        <v>—</v>
      </c>
      <c r="J96" t="str">
        <f>CALC_EPM!J89</f>
        <v>—</v>
      </c>
      <c r="K96" t="str">
        <f>CALC_EPM!K89</f>
        <v>—</v>
      </c>
      <c r="L96">
        <f>CALC_EPM!L89</f>
        <v>0</v>
      </c>
      <c r="M96">
        <f>CALC_EPM!M89</f>
        <v>0</v>
      </c>
      <c r="N96">
        <f>CALC_EPM!N89</f>
        <v>0</v>
      </c>
      <c r="O96">
        <f>CALC_EPM!O89</f>
        <v>0</v>
      </c>
      <c r="P96">
        <f>CALC_EPM!P89</f>
        <v>0</v>
      </c>
      <c r="Q96">
        <f>CALC_EPM!Q89</f>
        <v>0</v>
      </c>
      <c r="R96">
        <f>CALC_EPM!R89</f>
        <v>0</v>
      </c>
      <c r="S96">
        <f>CALC_EPM!S89</f>
        <v>0</v>
      </c>
      <c r="T96">
        <f>CALC_EPM!T89</f>
        <v>0</v>
      </c>
      <c r="U96">
        <f>CALC_EPM!U89</f>
        <v>0</v>
      </c>
    </row>
    <row r="97" spans="1:21" x14ac:dyDescent="0.2">
      <c r="A97" t="str">
        <f>IF(CALC_EPM!A90="GLOBAL",IF(CALC_EPM!C90="Total","GLOBAL",IF(CALC_EPM!C90="TotalEsp","GLOBAL_ESP",IF(CALC_EPM!C90="TotalNoEsp","GLOBAL_NOESP","GLOBAL_ASIG"))),IF(CALC_EPM!C90="Total","CURSO_TOTAL",IF(CALC_EPM!C90="TotalEsp","CURSO_ESP",IF(CALC_EPM!C90="TotalNoEsp","CURSO_NOESP","CURSO_ASIG"))))</f>
        <v>CURSO_ASIG</v>
      </c>
      <c r="B97" t="str">
        <f>CALC_EPM!A90</f>
        <v>2EPM</v>
      </c>
      <c r="C97" t="str">
        <f>CALC_EPM!B90</f>
        <v>Orquesta/Banda/Conjunto</v>
      </c>
      <c r="D97">
        <f>CALC_EPM!D90</f>
        <v>0</v>
      </c>
      <c r="E97" s="10" t="str">
        <f>CALC_EPM!E90</f>
        <v>—</v>
      </c>
      <c r="F97" s="10" t="str">
        <f>CALC_EPM!F90</f>
        <v>—</v>
      </c>
      <c r="G97" t="str">
        <f>CALC_EPM!G90</f>
        <v>—</v>
      </c>
      <c r="H97" s="11" t="str">
        <f>CALC_EPM!H90</f>
        <v>—</v>
      </c>
      <c r="I97" s="11" t="str">
        <f>CALC_EPM!I90</f>
        <v>—</v>
      </c>
      <c r="J97" t="str">
        <f>CALC_EPM!J90</f>
        <v>—</v>
      </c>
      <c r="K97" t="str">
        <f>CALC_EPM!K90</f>
        <v>—</v>
      </c>
      <c r="L97">
        <f>CALC_EPM!L90</f>
        <v>0</v>
      </c>
      <c r="M97">
        <f>CALC_EPM!M90</f>
        <v>0</v>
      </c>
      <c r="N97">
        <f>CALC_EPM!N90</f>
        <v>0</v>
      </c>
      <c r="O97">
        <f>CALC_EPM!O90</f>
        <v>0</v>
      </c>
      <c r="P97">
        <f>CALC_EPM!P90</f>
        <v>0</v>
      </c>
      <c r="Q97">
        <f>CALC_EPM!Q90</f>
        <v>0</v>
      </c>
      <c r="R97">
        <f>CALC_EPM!R90</f>
        <v>0</v>
      </c>
      <c r="S97">
        <f>CALC_EPM!S90</f>
        <v>0</v>
      </c>
      <c r="T97">
        <f>CALC_EPM!T90</f>
        <v>0</v>
      </c>
      <c r="U97">
        <f>CALC_EPM!U90</f>
        <v>0</v>
      </c>
    </row>
    <row r="98" spans="1:21" x14ac:dyDescent="0.2">
      <c r="A98" t="str">
        <f>IF(CALC_EPM!A91="GLOBAL",IF(CALC_EPM!C91="Total","GLOBAL",IF(CALC_EPM!C91="TotalEsp","GLOBAL_ESP",IF(CALC_EPM!C91="TotalNoEsp","GLOBAL_NOESP","GLOBAL_ASIG"))),IF(CALC_EPM!C91="Total","CURSO_TOTAL",IF(CALC_EPM!C91="TotalEsp","CURSO_ESP",IF(CALC_EPM!C91="TotalNoEsp","CURSO_NOESP","CURSO_ASIG"))))</f>
        <v>CURSO_ASIG</v>
      </c>
      <c r="B98" t="str">
        <f>CALC_EPM!A91</f>
        <v>2EPM</v>
      </c>
      <c r="C98" t="str">
        <f>CALC_EPM!B91</f>
        <v>Piano Complementario</v>
      </c>
      <c r="D98">
        <f>CALC_EPM!D91</f>
        <v>0</v>
      </c>
      <c r="E98" s="10" t="str">
        <f>CALC_EPM!E91</f>
        <v>—</v>
      </c>
      <c r="F98" s="10" t="str">
        <f>CALC_EPM!F91</f>
        <v>—</v>
      </c>
      <c r="G98" t="str">
        <f>CALC_EPM!G91</f>
        <v>—</v>
      </c>
      <c r="H98" s="11" t="str">
        <f>CALC_EPM!H91</f>
        <v>—</v>
      </c>
      <c r="I98" s="11" t="str">
        <f>CALC_EPM!I91</f>
        <v>—</v>
      </c>
      <c r="J98" t="str">
        <f>CALC_EPM!J91</f>
        <v>—</v>
      </c>
      <c r="K98" t="str">
        <f>CALC_EPM!K91</f>
        <v>—</v>
      </c>
      <c r="L98">
        <f>CALC_EPM!L91</f>
        <v>0</v>
      </c>
      <c r="M98">
        <f>CALC_EPM!M91</f>
        <v>0</v>
      </c>
      <c r="N98">
        <f>CALC_EPM!N91</f>
        <v>0</v>
      </c>
      <c r="O98">
        <f>CALC_EPM!O91</f>
        <v>0</v>
      </c>
      <c r="P98">
        <f>CALC_EPM!P91</f>
        <v>0</v>
      </c>
      <c r="Q98">
        <f>CALC_EPM!Q91</f>
        <v>0</v>
      </c>
      <c r="R98">
        <f>CALC_EPM!R91</f>
        <v>0</v>
      </c>
      <c r="S98">
        <f>CALC_EPM!S91</f>
        <v>0</v>
      </c>
      <c r="T98">
        <f>CALC_EPM!T91</f>
        <v>0</v>
      </c>
      <c r="U98">
        <f>CALC_EPM!U91</f>
        <v>0</v>
      </c>
    </row>
    <row r="99" spans="1:21" x14ac:dyDescent="0.2">
      <c r="A99" t="str">
        <f>IF(CALC_EPM!A92="GLOBAL",IF(CALC_EPM!C92="Total","GLOBAL",IF(CALC_EPM!C92="TotalEsp","GLOBAL_ESP",IF(CALC_EPM!C92="TotalNoEsp","GLOBAL_NOESP","GLOBAL_ASIG"))),IF(CALC_EPM!C92="Total","CURSO_TOTAL",IF(CALC_EPM!C92="TotalEsp","CURSO_ESP",IF(CALC_EPM!C92="TotalNoEsp","CURSO_NOESP","CURSO_ASIG"))))</f>
        <v>CURSO_ASIG</v>
      </c>
      <c r="B99" t="str">
        <f>CALC_EPM!A92</f>
        <v>2EPM</v>
      </c>
      <c r="C99" t="str">
        <f>CALC_EPM!B92</f>
        <v>Conjunto</v>
      </c>
      <c r="D99">
        <f>CALC_EPM!D92</f>
        <v>0</v>
      </c>
      <c r="E99" s="10" t="str">
        <f>CALC_EPM!E92</f>
        <v>—</v>
      </c>
      <c r="F99" s="10" t="str">
        <f>CALC_EPM!F92</f>
        <v>—</v>
      </c>
      <c r="G99" t="str">
        <f>CALC_EPM!G92</f>
        <v>—</v>
      </c>
      <c r="H99" s="11" t="str">
        <f>CALC_EPM!H92</f>
        <v>—</v>
      </c>
      <c r="I99" s="11" t="str">
        <f>CALC_EPM!I92</f>
        <v>—</v>
      </c>
      <c r="J99" t="str">
        <f>CALC_EPM!J92</f>
        <v>—</v>
      </c>
      <c r="K99" t="str">
        <f>CALC_EPM!K92</f>
        <v>—</v>
      </c>
      <c r="L99">
        <f>CALC_EPM!L92</f>
        <v>0</v>
      </c>
      <c r="M99">
        <f>CALC_EPM!M92</f>
        <v>0</v>
      </c>
      <c r="N99">
        <f>CALC_EPM!N92</f>
        <v>0</v>
      </c>
      <c r="O99">
        <f>CALC_EPM!O92</f>
        <v>0</v>
      </c>
      <c r="P99">
        <f>CALC_EPM!P92</f>
        <v>0</v>
      </c>
      <c r="Q99">
        <f>CALC_EPM!Q92</f>
        <v>0</v>
      </c>
      <c r="R99">
        <f>CALC_EPM!R92</f>
        <v>0</v>
      </c>
      <c r="S99">
        <f>CALC_EPM!S92</f>
        <v>0</v>
      </c>
      <c r="T99">
        <f>CALC_EPM!T92</f>
        <v>0</v>
      </c>
      <c r="U99">
        <f>CALC_EPM!U92</f>
        <v>0</v>
      </c>
    </row>
    <row r="100" spans="1:21" x14ac:dyDescent="0.2">
      <c r="A100" t="str">
        <f>IF(CALC_EPM!A93="GLOBAL",IF(CALC_EPM!C93="Total","GLOBAL",IF(CALC_EPM!C93="TotalEsp","GLOBAL_ESP",IF(CALC_EPM!C93="TotalNoEsp","GLOBAL_NOESP","GLOBAL_ASIG"))),IF(CALC_EPM!C93="Total","CURSO_TOTAL",IF(CALC_EPM!C93="TotalEsp","CURSO_ESP",IF(CALC_EPM!C93="TotalNoEsp","CURSO_NOESP","CURSO_ASIG"))))</f>
        <v>CURSO_ASIG</v>
      </c>
      <c r="B100" t="str">
        <f>CALC_EPM!A93</f>
        <v>2EPM</v>
      </c>
      <c r="C100" t="str">
        <f>CALC_EPM!B93</f>
        <v>Idioma Aplicado al Canto</v>
      </c>
      <c r="D100">
        <f>CALC_EPM!D93</f>
        <v>0</v>
      </c>
      <c r="E100" s="10" t="str">
        <f>CALC_EPM!E93</f>
        <v>—</v>
      </c>
      <c r="F100" s="10" t="str">
        <f>CALC_EPM!F93</f>
        <v>—</v>
      </c>
      <c r="G100" t="str">
        <f>CALC_EPM!G93</f>
        <v>—</v>
      </c>
      <c r="H100" s="11" t="str">
        <f>CALC_EPM!H93</f>
        <v>—</v>
      </c>
      <c r="I100" s="11" t="str">
        <f>CALC_EPM!I93</f>
        <v>—</v>
      </c>
      <c r="J100" t="str">
        <f>CALC_EPM!J93</f>
        <v>—</v>
      </c>
      <c r="K100" t="str">
        <f>CALC_EPM!K93</f>
        <v>—</v>
      </c>
      <c r="L100">
        <f>CALC_EPM!L93</f>
        <v>0</v>
      </c>
      <c r="M100">
        <f>CALC_EPM!M93</f>
        <v>0</v>
      </c>
      <c r="N100">
        <f>CALC_EPM!N93</f>
        <v>0</v>
      </c>
      <c r="O100">
        <f>CALC_EPM!O93</f>
        <v>0</v>
      </c>
      <c r="P100">
        <f>CALC_EPM!P93</f>
        <v>0</v>
      </c>
      <c r="Q100">
        <f>CALC_EPM!Q93</f>
        <v>0</v>
      </c>
      <c r="R100">
        <f>CALC_EPM!R93</f>
        <v>0</v>
      </c>
      <c r="S100">
        <f>CALC_EPM!S93</f>
        <v>0</v>
      </c>
      <c r="T100">
        <f>CALC_EPM!T93</f>
        <v>0</v>
      </c>
      <c r="U100">
        <f>CALC_EPM!U93</f>
        <v>0</v>
      </c>
    </row>
    <row r="101" spans="1:21" x14ac:dyDescent="0.2">
      <c r="A101" t="str">
        <f>IF(CALC_EPM!A94="GLOBAL",IF(CALC_EPM!C94="Total","GLOBAL",IF(CALC_EPM!C94="TotalEsp","GLOBAL_ESP",IF(CALC_EPM!C94="TotalNoEsp","GLOBAL_NOESP","GLOBAL_ASIG"))),IF(CALC_EPM!C94="Total","CURSO_TOTAL",IF(CALC_EPM!C94="TotalEsp","CURSO_ESP",IF(CALC_EPM!C94="TotalNoEsp","CURSO_NOESP","CURSO_ASIG"))))</f>
        <v>CURSO_ASIG</v>
      </c>
      <c r="B101" t="str">
        <f>CALC_EPM!A94</f>
        <v>2EPM</v>
      </c>
      <c r="C101" t="str">
        <f>CALC_EPM!B94</f>
        <v>Tabalet</v>
      </c>
      <c r="D101">
        <f>CALC_EPM!D94</f>
        <v>0</v>
      </c>
      <c r="E101" s="10" t="str">
        <f>CALC_EPM!E94</f>
        <v>—</v>
      </c>
      <c r="F101" s="10" t="str">
        <f>CALC_EPM!F94</f>
        <v>—</v>
      </c>
      <c r="G101" t="str">
        <f>CALC_EPM!G94</f>
        <v>—</v>
      </c>
      <c r="H101" s="11" t="str">
        <f>CALC_EPM!H94</f>
        <v>—</v>
      </c>
      <c r="I101" s="11" t="str">
        <f>CALC_EPM!I94</f>
        <v>—</v>
      </c>
      <c r="J101" t="str">
        <f>CALC_EPM!J94</f>
        <v>—</v>
      </c>
      <c r="K101" t="str">
        <f>CALC_EPM!K94</f>
        <v>—</v>
      </c>
      <c r="L101">
        <f>CALC_EPM!L94</f>
        <v>0</v>
      </c>
      <c r="M101">
        <f>CALC_EPM!M94</f>
        <v>0</v>
      </c>
      <c r="N101">
        <f>CALC_EPM!N94</f>
        <v>0</v>
      </c>
      <c r="O101">
        <f>CALC_EPM!O94</f>
        <v>0</v>
      </c>
      <c r="P101">
        <f>CALC_EPM!P94</f>
        <v>0</v>
      </c>
      <c r="Q101">
        <f>CALC_EPM!Q94</f>
        <v>0</v>
      </c>
      <c r="R101">
        <f>CALC_EPM!R94</f>
        <v>0</v>
      </c>
      <c r="S101">
        <f>CALC_EPM!S94</f>
        <v>0</v>
      </c>
      <c r="T101">
        <f>CALC_EPM!T94</f>
        <v>0</v>
      </c>
      <c r="U101">
        <f>CALC_EPM!U94</f>
        <v>0</v>
      </c>
    </row>
    <row r="102" spans="1:21" x14ac:dyDescent="0.2">
      <c r="A102" t="str">
        <f>IF(CALC_EPM!A95="GLOBAL",IF(CALC_EPM!C95="Total","GLOBAL",IF(CALC_EPM!C95="TotalEsp","GLOBAL_ESP",IF(CALC_EPM!C95="TotalNoEsp","GLOBAL_NOESP","GLOBAL_ASIG"))),IF(CALC_EPM!C95="Total","CURSO_TOTAL",IF(CALC_EPM!C95="TotalEsp","CURSO_ESP",IF(CALC_EPM!C95="TotalNoEsp","CURSO_NOESP","CURSO_ASIG"))))</f>
        <v>CURSO_ASIG</v>
      </c>
      <c r="B102" t="str">
        <f>CALC_EPM!A95</f>
        <v>2EPM</v>
      </c>
      <c r="C102" t="str">
        <f>CALC_EPM!B95</f>
        <v>Arpa</v>
      </c>
      <c r="D102">
        <f>CALC_EPM!D95</f>
        <v>0</v>
      </c>
      <c r="E102" s="10" t="str">
        <f>CALC_EPM!E95</f>
        <v>—</v>
      </c>
      <c r="F102" s="10" t="str">
        <f>CALC_EPM!F95</f>
        <v>—</v>
      </c>
      <c r="G102" t="str">
        <f>CALC_EPM!G95</f>
        <v>—</v>
      </c>
      <c r="H102" s="11" t="str">
        <f>CALC_EPM!H95</f>
        <v>—</v>
      </c>
      <c r="I102" s="11" t="str">
        <f>CALC_EPM!I95</f>
        <v>—</v>
      </c>
      <c r="J102" t="str">
        <f>CALC_EPM!J95</f>
        <v>—</v>
      </c>
      <c r="K102" t="str">
        <f>CALC_EPM!K95</f>
        <v>—</v>
      </c>
      <c r="L102">
        <f>CALC_EPM!L95</f>
        <v>0</v>
      </c>
      <c r="M102">
        <f>CALC_EPM!M95</f>
        <v>0</v>
      </c>
      <c r="N102">
        <f>CALC_EPM!N95</f>
        <v>0</v>
      </c>
      <c r="O102">
        <f>CALC_EPM!O95</f>
        <v>0</v>
      </c>
      <c r="P102">
        <f>CALC_EPM!P95</f>
        <v>0</v>
      </c>
      <c r="Q102">
        <f>CALC_EPM!Q95</f>
        <v>0</v>
      </c>
      <c r="R102">
        <f>CALC_EPM!R95</f>
        <v>0</v>
      </c>
      <c r="S102">
        <f>CALC_EPM!S95</f>
        <v>0</v>
      </c>
      <c r="T102">
        <f>CALC_EPM!T95</f>
        <v>0</v>
      </c>
      <c r="U102">
        <f>CALC_EPM!U95</f>
        <v>0</v>
      </c>
    </row>
    <row r="103" spans="1:21" x14ac:dyDescent="0.2">
      <c r="A103" t="str">
        <f>IF(CALC_EPM!A96="GLOBAL",IF(CALC_EPM!C96="Total","GLOBAL",IF(CALC_EPM!C96="TotalEsp","GLOBAL_ESP",IF(CALC_EPM!C96="TotalNoEsp","GLOBAL_NOESP","GLOBAL_ASIG"))),IF(CALC_EPM!C96="Total","CURSO_TOTAL",IF(CALC_EPM!C96="TotalEsp","CURSO_ESP",IF(CALC_EPM!C96="TotalNoEsp","CURSO_NOESP","CURSO_ASIG"))))</f>
        <v>CURSO_ASIG</v>
      </c>
      <c r="B103" t="str">
        <f>CALC_EPM!A96</f>
        <v>2EPM</v>
      </c>
      <c r="C103" t="str">
        <f>CALC_EPM!B96</f>
        <v>Bajo Eléctrico</v>
      </c>
      <c r="D103">
        <f>CALC_EPM!D96</f>
        <v>0</v>
      </c>
      <c r="E103" s="10" t="str">
        <f>CALC_EPM!E96</f>
        <v>—</v>
      </c>
      <c r="F103" s="10" t="str">
        <f>CALC_EPM!F96</f>
        <v>—</v>
      </c>
      <c r="G103" t="str">
        <f>CALC_EPM!G96</f>
        <v>—</v>
      </c>
      <c r="H103" s="11" t="str">
        <f>CALC_EPM!H96</f>
        <v>—</v>
      </c>
      <c r="I103" s="11" t="str">
        <f>CALC_EPM!I96</f>
        <v>—</v>
      </c>
      <c r="J103" t="str">
        <f>CALC_EPM!J96</f>
        <v>—</v>
      </c>
      <c r="K103" t="str">
        <f>CALC_EPM!K96</f>
        <v>—</v>
      </c>
      <c r="L103">
        <f>CALC_EPM!L96</f>
        <v>0</v>
      </c>
      <c r="M103">
        <f>CALC_EPM!M96</f>
        <v>0</v>
      </c>
      <c r="N103">
        <f>CALC_EPM!N96</f>
        <v>0</v>
      </c>
      <c r="O103">
        <f>CALC_EPM!O96</f>
        <v>0</v>
      </c>
      <c r="P103">
        <f>CALC_EPM!P96</f>
        <v>0</v>
      </c>
      <c r="Q103">
        <f>CALC_EPM!Q96</f>
        <v>0</v>
      </c>
      <c r="R103">
        <f>CALC_EPM!R96</f>
        <v>0</v>
      </c>
      <c r="S103">
        <f>CALC_EPM!S96</f>
        <v>0</v>
      </c>
      <c r="T103">
        <f>CALC_EPM!T96</f>
        <v>0</v>
      </c>
      <c r="U103">
        <f>CALC_EPM!U96</f>
        <v>0</v>
      </c>
    </row>
    <row r="104" spans="1:21" x14ac:dyDescent="0.2">
      <c r="A104" t="str">
        <f>IF(CALC_EPM!A97="GLOBAL",IF(CALC_EPM!C97="Total","GLOBAL",IF(CALC_EPM!C97="TotalEsp","GLOBAL_ESP",IF(CALC_EPM!C97="TotalNoEsp","GLOBAL_NOESP","GLOBAL_ASIG"))),IF(CALC_EPM!C97="Total","CURSO_TOTAL",IF(CALC_EPM!C97="TotalEsp","CURSO_ESP",IF(CALC_EPM!C97="TotalNoEsp","CURSO_NOESP","CURSO_ASIG"))))</f>
        <v>CURSO_ASIG</v>
      </c>
      <c r="B104" t="str">
        <f>CALC_EPM!A97</f>
        <v>2EPM</v>
      </c>
      <c r="C104" t="str">
        <f>CALC_EPM!B97</f>
        <v>Canto</v>
      </c>
      <c r="D104">
        <f>CALC_EPM!D97</f>
        <v>0</v>
      </c>
      <c r="E104" s="10" t="str">
        <f>CALC_EPM!E97</f>
        <v>—</v>
      </c>
      <c r="F104" s="10" t="str">
        <f>CALC_EPM!F97</f>
        <v>—</v>
      </c>
      <c r="G104" t="str">
        <f>CALC_EPM!G97</f>
        <v>—</v>
      </c>
      <c r="H104" s="11" t="str">
        <f>CALC_EPM!H97</f>
        <v>—</v>
      </c>
      <c r="I104" s="11" t="str">
        <f>CALC_EPM!I97</f>
        <v>—</v>
      </c>
      <c r="J104" t="str">
        <f>CALC_EPM!J97</f>
        <v>—</v>
      </c>
      <c r="K104" t="str">
        <f>CALC_EPM!K97</f>
        <v>—</v>
      </c>
      <c r="L104">
        <f>CALC_EPM!L97</f>
        <v>0</v>
      </c>
      <c r="M104">
        <f>CALC_EPM!M97</f>
        <v>0</v>
      </c>
      <c r="N104">
        <f>CALC_EPM!N97</f>
        <v>0</v>
      </c>
      <c r="O104">
        <f>CALC_EPM!O97</f>
        <v>0</v>
      </c>
      <c r="P104">
        <f>CALC_EPM!P97</f>
        <v>0</v>
      </c>
      <c r="Q104">
        <f>CALC_EPM!Q97</f>
        <v>0</v>
      </c>
      <c r="R104">
        <f>CALC_EPM!R97</f>
        <v>0</v>
      </c>
      <c r="S104">
        <f>CALC_EPM!S97</f>
        <v>0</v>
      </c>
      <c r="T104">
        <f>CALC_EPM!T97</f>
        <v>0</v>
      </c>
      <c r="U104">
        <f>CALC_EPM!U97</f>
        <v>0</v>
      </c>
    </row>
    <row r="105" spans="1:21" x14ac:dyDescent="0.2">
      <c r="A105" t="str">
        <f>IF(CALC_EPM!A98="GLOBAL",IF(CALC_EPM!C98="Total","GLOBAL",IF(CALC_EPM!C98="TotalEsp","GLOBAL_ESP",IF(CALC_EPM!C98="TotalNoEsp","GLOBAL_NOESP","GLOBAL_ASIG"))),IF(CALC_EPM!C98="Total","CURSO_TOTAL",IF(CALC_EPM!C98="TotalEsp","CURSO_ESP",IF(CALC_EPM!C98="TotalNoEsp","CURSO_NOESP","CURSO_ASIG"))))</f>
        <v>CURSO_ASIG</v>
      </c>
      <c r="B105" t="str">
        <f>CALC_EPM!A98</f>
        <v>2EPM</v>
      </c>
      <c r="C105" t="str">
        <f>CALC_EPM!B98</f>
        <v>Clarinete</v>
      </c>
      <c r="D105">
        <f>CALC_EPM!D98</f>
        <v>0</v>
      </c>
      <c r="E105" s="10" t="str">
        <f>CALC_EPM!E98</f>
        <v>—</v>
      </c>
      <c r="F105" s="10" t="str">
        <f>CALC_EPM!F98</f>
        <v>—</v>
      </c>
      <c r="G105" t="str">
        <f>CALC_EPM!G98</f>
        <v>—</v>
      </c>
      <c r="H105" s="11" t="str">
        <f>CALC_EPM!H98</f>
        <v>—</v>
      </c>
      <c r="I105" s="11" t="str">
        <f>CALC_EPM!I98</f>
        <v>—</v>
      </c>
      <c r="J105" t="str">
        <f>CALC_EPM!J98</f>
        <v>—</v>
      </c>
      <c r="K105" t="str">
        <f>CALC_EPM!K98</f>
        <v>—</v>
      </c>
      <c r="L105">
        <f>CALC_EPM!L98</f>
        <v>0</v>
      </c>
      <c r="M105">
        <f>CALC_EPM!M98</f>
        <v>0</v>
      </c>
      <c r="N105">
        <f>CALC_EPM!N98</f>
        <v>0</v>
      </c>
      <c r="O105">
        <f>CALC_EPM!O98</f>
        <v>0</v>
      </c>
      <c r="P105">
        <f>CALC_EPM!P98</f>
        <v>0</v>
      </c>
      <c r="Q105">
        <f>CALC_EPM!Q98</f>
        <v>0</v>
      </c>
      <c r="R105">
        <f>CALC_EPM!R98</f>
        <v>0</v>
      </c>
      <c r="S105">
        <f>CALC_EPM!S98</f>
        <v>0</v>
      </c>
      <c r="T105">
        <f>CALC_EPM!T98</f>
        <v>0</v>
      </c>
      <c r="U105">
        <f>CALC_EPM!U98</f>
        <v>0</v>
      </c>
    </row>
    <row r="106" spans="1:21" x14ac:dyDescent="0.2">
      <c r="A106" t="str">
        <f>IF(CALC_EPM!A99="GLOBAL",IF(CALC_EPM!C99="Total","GLOBAL",IF(CALC_EPM!C99="TotalEsp","GLOBAL_ESP",IF(CALC_EPM!C99="TotalNoEsp","GLOBAL_NOESP","GLOBAL_ASIG"))),IF(CALC_EPM!C99="Total","CURSO_TOTAL",IF(CALC_EPM!C99="TotalEsp","CURSO_ESP",IF(CALC_EPM!C99="TotalNoEsp","CURSO_NOESP","CURSO_ASIG"))))</f>
        <v>CURSO_ASIG</v>
      </c>
      <c r="B106" t="str">
        <f>CALC_EPM!A99</f>
        <v>2EPM</v>
      </c>
      <c r="C106" t="str">
        <f>CALC_EPM!B99</f>
        <v>Contrabajo</v>
      </c>
      <c r="D106">
        <f>CALC_EPM!D99</f>
        <v>0</v>
      </c>
      <c r="E106" s="10" t="str">
        <f>CALC_EPM!E99</f>
        <v>—</v>
      </c>
      <c r="F106" s="10" t="str">
        <f>CALC_EPM!F99</f>
        <v>—</v>
      </c>
      <c r="G106" t="str">
        <f>CALC_EPM!G99</f>
        <v>—</v>
      </c>
      <c r="H106" s="11" t="str">
        <f>CALC_EPM!H99</f>
        <v>—</v>
      </c>
      <c r="I106" s="11" t="str">
        <f>CALC_EPM!I99</f>
        <v>—</v>
      </c>
      <c r="J106" t="str">
        <f>CALC_EPM!J99</f>
        <v>—</v>
      </c>
      <c r="K106" t="str">
        <f>CALC_EPM!K99</f>
        <v>—</v>
      </c>
      <c r="L106">
        <f>CALC_EPM!L99</f>
        <v>0</v>
      </c>
      <c r="M106">
        <f>CALC_EPM!M99</f>
        <v>0</v>
      </c>
      <c r="N106">
        <f>CALC_EPM!N99</f>
        <v>0</v>
      </c>
      <c r="O106">
        <f>CALC_EPM!O99</f>
        <v>0</v>
      </c>
      <c r="P106">
        <f>CALC_EPM!P99</f>
        <v>0</v>
      </c>
      <c r="Q106">
        <f>CALC_EPM!Q99</f>
        <v>0</v>
      </c>
      <c r="R106">
        <f>CALC_EPM!R99</f>
        <v>0</v>
      </c>
      <c r="S106">
        <f>CALC_EPM!S99</f>
        <v>0</v>
      </c>
      <c r="T106">
        <f>CALC_EPM!T99</f>
        <v>0</v>
      </c>
      <c r="U106">
        <f>CALC_EPM!U99</f>
        <v>0</v>
      </c>
    </row>
    <row r="107" spans="1:21" x14ac:dyDescent="0.2">
      <c r="A107" t="str">
        <f>IF(CALC_EPM!A100="GLOBAL",IF(CALC_EPM!C100="Total","GLOBAL",IF(CALC_EPM!C100="TotalEsp","GLOBAL_ESP",IF(CALC_EPM!C100="TotalNoEsp","GLOBAL_NOESP","GLOBAL_ASIG"))),IF(CALC_EPM!C100="Total","CURSO_TOTAL",IF(CALC_EPM!C100="TotalEsp","CURSO_ESP",IF(CALC_EPM!C100="TotalNoEsp","CURSO_NOESP","CURSO_ASIG"))))</f>
        <v>CURSO_ASIG</v>
      </c>
      <c r="B107" t="str">
        <f>CALC_EPM!A100</f>
        <v>2EPM</v>
      </c>
      <c r="C107" t="str">
        <f>CALC_EPM!B100</f>
        <v>Dolçaina</v>
      </c>
      <c r="D107">
        <f>CALC_EPM!D100</f>
        <v>0</v>
      </c>
      <c r="E107" s="10" t="str">
        <f>CALC_EPM!E100</f>
        <v>—</v>
      </c>
      <c r="F107" s="10" t="str">
        <f>CALC_EPM!F100</f>
        <v>—</v>
      </c>
      <c r="G107" t="str">
        <f>CALC_EPM!G100</f>
        <v>—</v>
      </c>
      <c r="H107" s="11" t="str">
        <f>CALC_EPM!H100</f>
        <v>—</v>
      </c>
      <c r="I107" s="11" t="str">
        <f>CALC_EPM!I100</f>
        <v>—</v>
      </c>
      <c r="J107" t="str">
        <f>CALC_EPM!J100</f>
        <v>—</v>
      </c>
      <c r="K107" t="str">
        <f>CALC_EPM!K100</f>
        <v>—</v>
      </c>
      <c r="L107">
        <f>CALC_EPM!L100</f>
        <v>0</v>
      </c>
      <c r="M107">
        <f>CALC_EPM!M100</f>
        <v>0</v>
      </c>
      <c r="N107">
        <f>CALC_EPM!N100</f>
        <v>0</v>
      </c>
      <c r="O107">
        <f>CALC_EPM!O100</f>
        <v>0</v>
      </c>
      <c r="P107">
        <f>CALC_EPM!P100</f>
        <v>0</v>
      </c>
      <c r="Q107">
        <f>CALC_EPM!Q100</f>
        <v>0</v>
      </c>
      <c r="R107">
        <f>CALC_EPM!R100</f>
        <v>0</v>
      </c>
      <c r="S107">
        <f>CALC_EPM!S100</f>
        <v>0</v>
      </c>
      <c r="T107">
        <f>CALC_EPM!T100</f>
        <v>0</v>
      </c>
      <c r="U107">
        <f>CALC_EPM!U100</f>
        <v>0</v>
      </c>
    </row>
    <row r="108" spans="1:21" x14ac:dyDescent="0.2">
      <c r="A108" t="str">
        <f>IF(CALC_EPM!A101="GLOBAL",IF(CALC_EPM!C101="Total","GLOBAL",IF(CALC_EPM!C101="TotalEsp","GLOBAL_ESP",IF(CALC_EPM!C101="TotalNoEsp","GLOBAL_NOESP","GLOBAL_ASIG"))),IF(CALC_EPM!C101="Total","CURSO_TOTAL",IF(CALC_EPM!C101="TotalEsp","CURSO_ESP",IF(CALC_EPM!C101="TotalNoEsp","CURSO_NOESP","CURSO_ASIG"))))</f>
        <v>CURSO_ASIG</v>
      </c>
      <c r="B108" t="str">
        <f>CALC_EPM!A101</f>
        <v>2EPM</v>
      </c>
      <c r="C108" t="str">
        <f>CALC_EPM!B101</f>
        <v>Fagot</v>
      </c>
      <c r="D108">
        <f>CALC_EPM!D101</f>
        <v>0</v>
      </c>
      <c r="E108" s="10" t="str">
        <f>CALC_EPM!E101</f>
        <v>—</v>
      </c>
      <c r="F108" s="10" t="str">
        <f>CALC_EPM!F101</f>
        <v>—</v>
      </c>
      <c r="G108" t="str">
        <f>CALC_EPM!G101</f>
        <v>—</v>
      </c>
      <c r="H108" s="11" t="str">
        <f>CALC_EPM!H101</f>
        <v>—</v>
      </c>
      <c r="I108" s="11" t="str">
        <f>CALC_EPM!I101</f>
        <v>—</v>
      </c>
      <c r="J108" t="str">
        <f>CALC_EPM!J101</f>
        <v>—</v>
      </c>
      <c r="K108" t="str">
        <f>CALC_EPM!K101</f>
        <v>—</v>
      </c>
      <c r="L108">
        <f>CALC_EPM!L101</f>
        <v>0</v>
      </c>
      <c r="M108">
        <f>CALC_EPM!M101</f>
        <v>0</v>
      </c>
      <c r="N108">
        <f>CALC_EPM!N101</f>
        <v>0</v>
      </c>
      <c r="O108">
        <f>CALC_EPM!O101</f>
        <v>0</v>
      </c>
      <c r="P108">
        <f>CALC_EPM!P101</f>
        <v>0</v>
      </c>
      <c r="Q108">
        <f>CALC_EPM!Q101</f>
        <v>0</v>
      </c>
      <c r="R108">
        <f>CALC_EPM!R101</f>
        <v>0</v>
      </c>
      <c r="S108">
        <f>CALC_EPM!S101</f>
        <v>0</v>
      </c>
      <c r="T108">
        <f>CALC_EPM!T101</f>
        <v>0</v>
      </c>
      <c r="U108">
        <f>CALC_EPM!U101</f>
        <v>0</v>
      </c>
    </row>
    <row r="109" spans="1:21" x14ac:dyDescent="0.2">
      <c r="A109" t="str">
        <f>IF(CALC_EPM!A102="GLOBAL",IF(CALC_EPM!C102="Total","GLOBAL",IF(CALC_EPM!C102="TotalEsp","GLOBAL_ESP",IF(CALC_EPM!C102="TotalNoEsp","GLOBAL_NOESP","GLOBAL_ASIG"))),IF(CALC_EPM!C102="Total","CURSO_TOTAL",IF(CALC_EPM!C102="TotalEsp","CURSO_ESP",IF(CALC_EPM!C102="TotalNoEsp","CURSO_NOESP","CURSO_ASIG"))))</f>
        <v>CURSO_ASIG</v>
      </c>
      <c r="B109" t="str">
        <f>CALC_EPM!A102</f>
        <v>2EPM</v>
      </c>
      <c r="C109" t="str">
        <f>CALC_EPM!B102</f>
        <v>Flauta Travesera</v>
      </c>
      <c r="D109">
        <f>CALC_EPM!D102</f>
        <v>0</v>
      </c>
      <c r="E109" s="10" t="str">
        <f>CALC_EPM!E102</f>
        <v>—</v>
      </c>
      <c r="F109" s="10" t="str">
        <f>CALC_EPM!F102</f>
        <v>—</v>
      </c>
      <c r="G109" t="str">
        <f>CALC_EPM!G102</f>
        <v>—</v>
      </c>
      <c r="H109" s="11" t="str">
        <f>CALC_EPM!H102</f>
        <v>—</v>
      </c>
      <c r="I109" s="11" t="str">
        <f>CALC_EPM!I102</f>
        <v>—</v>
      </c>
      <c r="J109" t="str">
        <f>CALC_EPM!J102</f>
        <v>—</v>
      </c>
      <c r="K109" t="str">
        <f>CALC_EPM!K102</f>
        <v>—</v>
      </c>
      <c r="L109">
        <f>CALC_EPM!L102</f>
        <v>0</v>
      </c>
      <c r="M109">
        <f>CALC_EPM!M102</f>
        <v>0</v>
      </c>
      <c r="N109">
        <f>CALC_EPM!N102</f>
        <v>0</v>
      </c>
      <c r="O109">
        <f>CALC_EPM!O102</f>
        <v>0</v>
      </c>
      <c r="P109">
        <f>CALC_EPM!P102</f>
        <v>0</v>
      </c>
      <c r="Q109">
        <f>CALC_EPM!Q102</f>
        <v>0</v>
      </c>
      <c r="R109">
        <f>CALC_EPM!R102</f>
        <v>0</v>
      </c>
      <c r="S109">
        <f>CALC_EPM!S102</f>
        <v>0</v>
      </c>
      <c r="T109">
        <f>CALC_EPM!T102</f>
        <v>0</v>
      </c>
      <c r="U109">
        <f>CALC_EPM!U102</f>
        <v>0</v>
      </c>
    </row>
    <row r="110" spans="1:21" x14ac:dyDescent="0.2">
      <c r="A110" t="str">
        <f>IF(CALC_EPM!A103="GLOBAL",IF(CALC_EPM!C103="Total","GLOBAL",IF(CALC_EPM!C103="TotalEsp","GLOBAL_ESP",IF(CALC_EPM!C103="TotalNoEsp","GLOBAL_NOESP","GLOBAL_ASIG"))),IF(CALC_EPM!C103="Total","CURSO_TOTAL",IF(CALC_EPM!C103="TotalEsp","CURSO_ESP",IF(CALC_EPM!C103="TotalNoEsp","CURSO_NOESP","CURSO_ASIG"))))</f>
        <v>CURSO_ASIG</v>
      </c>
      <c r="B110" t="str">
        <f>CALC_EPM!A103</f>
        <v>2EPM</v>
      </c>
      <c r="C110" t="str">
        <f>CALC_EPM!B103</f>
        <v>Guitarra</v>
      </c>
      <c r="D110">
        <f>CALC_EPM!D103</f>
        <v>0</v>
      </c>
      <c r="E110" s="10" t="str">
        <f>CALC_EPM!E103</f>
        <v>—</v>
      </c>
      <c r="F110" s="10" t="str">
        <f>CALC_EPM!F103</f>
        <v>—</v>
      </c>
      <c r="G110" t="str">
        <f>CALC_EPM!G103</f>
        <v>—</v>
      </c>
      <c r="H110" s="11" t="str">
        <f>CALC_EPM!H103</f>
        <v>—</v>
      </c>
      <c r="I110" s="11" t="str">
        <f>CALC_EPM!I103</f>
        <v>—</v>
      </c>
      <c r="J110" t="str">
        <f>CALC_EPM!J103</f>
        <v>—</v>
      </c>
      <c r="K110" t="str">
        <f>CALC_EPM!K103</f>
        <v>—</v>
      </c>
      <c r="L110">
        <f>CALC_EPM!L103</f>
        <v>0</v>
      </c>
      <c r="M110">
        <f>CALC_EPM!M103</f>
        <v>0</v>
      </c>
      <c r="N110">
        <f>CALC_EPM!N103</f>
        <v>0</v>
      </c>
      <c r="O110">
        <f>CALC_EPM!O103</f>
        <v>0</v>
      </c>
      <c r="P110">
        <f>CALC_EPM!P103</f>
        <v>0</v>
      </c>
      <c r="Q110">
        <f>CALC_EPM!Q103</f>
        <v>0</v>
      </c>
      <c r="R110">
        <f>CALC_EPM!R103</f>
        <v>0</v>
      </c>
      <c r="S110">
        <f>CALC_EPM!S103</f>
        <v>0</v>
      </c>
      <c r="T110">
        <f>CALC_EPM!T103</f>
        <v>0</v>
      </c>
      <c r="U110">
        <f>CALC_EPM!U103</f>
        <v>0</v>
      </c>
    </row>
    <row r="111" spans="1:21" x14ac:dyDescent="0.2">
      <c r="A111" t="str">
        <f>IF(CALC_EPM!A104="GLOBAL",IF(CALC_EPM!C104="Total","GLOBAL",IF(CALC_EPM!C104="TotalEsp","GLOBAL_ESP",IF(CALC_EPM!C104="TotalNoEsp","GLOBAL_NOESP","GLOBAL_ASIG"))),IF(CALC_EPM!C104="Total","CURSO_TOTAL",IF(CALC_EPM!C104="TotalEsp","CURSO_ESP",IF(CALC_EPM!C104="TotalNoEsp","CURSO_NOESP","CURSO_ASIG"))))</f>
        <v>CURSO_ASIG</v>
      </c>
      <c r="B111" t="str">
        <f>CALC_EPM!A104</f>
        <v>2EPM</v>
      </c>
      <c r="C111" t="str">
        <f>CALC_EPM!B104</f>
        <v>Guitarra Eléctrica</v>
      </c>
      <c r="D111">
        <f>CALC_EPM!D104</f>
        <v>0</v>
      </c>
      <c r="E111" s="10" t="str">
        <f>CALC_EPM!E104</f>
        <v>—</v>
      </c>
      <c r="F111" s="10" t="str">
        <f>CALC_EPM!F104</f>
        <v>—</v>
      </c>
      <c r="G111" t="str">
        <f>CALC_EPM!G104</f>
        <v>—</v>
      </c>
      <c r="H111" s="11" t="str">
        <f>CALC_EPM!H104</f>
        <v>—</v>
      </c>
      <c r="I111" s="11" t="str">
        <f>CALC_EPM!I104</f>
        <v>—</v>
      </c>
      <c r="J111" t="str">
        <f>CALC_EPM!J104</f>
        <v>—</v>
      </c>
      <c r="K111" t="str">
        <f>CALC_EPM!K104</f>
        <v>—</v>
      </c>
      <c r="L111">
        <f>CALC_EPM!L104</f>
        <v>0</v>
      </c>
      <c r="M111">
        <f>CALC_EPM!M104</f>
        <v>0</v>
      </c>
      <c r="N111">
        <f>CALC_EPM!N104</f>
        <v>0</v>
      </c>
      <c r="O111">
        <f>CALC_EPM!O104</f>
        <v>0</v>
      </c>
      <c r="P111">
        <f>CALC_EPM!P104</f>
        <v>0</v>
      </c>
      <c r="Q111">
        <f>CALC_EPM!Q104</f>
        <v>0</v>
      </c>
      <c r="R111">
        <f>CALC_EPM!R104</f>
        <v>0</v>
      </c>
      <c r="S111">
        <f>CALC_EPM!S104</f>
        <v>0</v>
      </c>
      <c r="T111">
        <f>CALC_EPM!T104</f>
        <v>0</v>
      </c>
      <c r="U111">
        <f>CALC_EPM!U104</f>
        <v>0</v>
      </c>
    </row>
    <row r="112" spans="1:21" x14ac:dyDescent="0.2">
      <c r="A112" t="str">
        <f>IF(CALC_EPM!A105="GLOBAL",IF(CALC_EPM!C105="Total","GLOBAL",IF(CALC_EPM!C105="TotalEsp","GLOBAL_ESP",IF(CALC_EPM!C105="TotalNoEsp","GLOBAL_NOESP","GLOBAL_ASIG"))),IF(CALC_EPM!C105="Total","CURSO_TOTAL",IF(CALC_EPM!C105="TotalEsp","CURSO_ESP",IF(CALC_EPM!C105="TotalNoEsp","CURSO_NOESP","CURSO_ASIG"))))</f>
        <v>CURSO_ASIG</v>
      </c>
      <c r="B112" t="str">
        <f>CALC_EPM!A105</f>
        <v>2EPM</v>
      </c>
      <c r="C112" t="str">
        <f>CALC_EPM!B105</f>
        <v>Oboe</v>
      </c>
      <c r="D112">
        <f>CALC_EPM!D105</f>
        <v>0</v>
      </c>
      <c r="E112" s="10" t="str">
        <f>CALC_EPM!E105</f>
        <v>—</v>
      </c>
      <c r="F112" s="10" t="str">
        <f>CALC_EPM!F105</f>
        <v>—</v>
      </c>
      <c r="G112" t="str">
        <f>CALC_EPM!G105</f>
        <v>—</v>
      </c>
      <c r="H112" s="11" t="str">
        <f>CALC_EPM!H105</f>
        <v>—</v>
      </c>
      <c r="I112" s="11" t="str">
        <f>CALC_EPM!I105</f>
        <v>—</v>
      </c>
      <c r="J112" t="str">
        <f>CALC_EPM!J105</f>
        <v>—</v>
      </c>
      <c r="K112" t="str">
        <f>CALC_EPM!K105</f>
        <v>—</v>
      </c>
      <c r="L112">
        <f>CALC_EPM!L105</f>
        <v>0</v>
      </c>
      <c r="M112">
        <f>CALC_EPM!M105</f>
        <v>0</v>
      </c>
      <c r="N112">
        <f>CALC_EPM!N105</f>
        <v>0</v>
      </c>
      <c r="O112">
        <f>CALC_EPM!O105</f>
        <v>0</v>
      </c>
      <c r="P112">
        <f>CALC_EPM!P105</f>
        <v>0</v>
      </c>
      <c r="Q112">
        <f>CALC_EPM!Q105</f>
        <v>0</v>
      </c>
      <c r="R112">
        <f>CALC_EPM!R105</f>
        <v>0</v>
      </c>
      <c r="S112">
        <f>CALC_EPM!S105</f>
        <v>0</v>
      </c>
      <c r="T112">
        <f>CALC_EPM!T105</f>
        <v>0</v>
      </c>
      <c r="U112">
        <f>CALC_EPM!U105</f>
        <v>0</v>
      </c>
    </row>
    <row r="113" spans="1:21" x14ac:dyDescent="0.2">
      <c r="A113" t="str">
        <f>IF(CALC_EPM!A106="GLOBAL",IF(CALC_EPM!C106="Total","GLOBAL",IF(CALC_EPM!C106="TotalEsp","GLOBAL_ESP",IF(CALC_EPM!C106="TotalNoEsp","GLOBAL_NOESP","GLOBAL_ASIG"))),IF(CALC_EPM!C106="Total","CURSO_TOTAL",IF(CALC_EPM!C106="TotalEsp","CURSO_ESP",IF(CALC_EPM!C106="TotalNoEsp","CURSO_NOESP","CURSO_ASIG"))))</f>
        <v>CURSO_ASIG</v>
      </c>
      <c r="B113" t="str">
        <f>CALC_EPM!A106</f>
        <v>2EPM</v>
      </c>
      <c r="C113" t="str">
        <f>CALC_EPM!B106</f>
        <v>Percusión</v>
      </c>
      <c r="D113">
        <f>CALC_EPM!D106</f>
        <v>0</v>
      </c>
      <c r="E113" s="10" t="str">
        <f>CALC_EPM!E106</f>
        <v>—</v>
      </c>
      <c r="F113" s="10" t="str">
        <f>CALC_EPM!F106</f>
        <v>—</v>
      </c>
      <c r="G113" t="str">
        <f>CALC_EPM!G106</f>
        <v>—</v>
      </c>
      <c r="H113" s="11" t="str">
        <f>CALC_EPM!H106</f>
        <v>—</v>
      </c>
      <c r="I113" s="11" t="str">
        <f>CALC_EPM!I106</f>
        <v>—</v>
      </c>
      <c r="J113" t="str">
        <f>CALC_EPM!J106</f>
        <v>—</v>
      </c>
      <c r="K113" t="str">
        <f>CALC_EPM!K106</f>
        <v>—</v>
      </c>
      <c r="L113">
        <f>CALC_EPM!L106</f>
        <v>0</v>
      </c>
      <c r="M113">
        <f>CALC_EPM!M106</f>
        <v>0</v>
      </c>
      <c r="N113">
        <f>CALC_EPM!N106</f>
        <v>0</v>
      </c>
      <c r="O113">
        <f>CALC_EPM!O106</f>
        <v>0</v>
      </c>
      <c r="P113">
        <f>CALC_EPM!P106</f>
        <v>0</v>
      </c>
      <c r="Q113">
        <f>CALC_EPM!Q106</f>
        <v>0</v>
      </c>
      <c r="R113">
        <f>CALC_EPM!R106</f>
        <v>0</v>
      </c>
      <c r="S113">
        <f>CALC_EPM!S106</f>
        <v>0</v>
      </c>
      <c r="T113">
        <f>CALC_EPM!T106</f>
        <v>0</v>
      </c>
      <c r="U113">
        <f>CALC_EPM!U106</f>
        <v>0</v>
      </c>
    </row>
    <row r="114" spans="1:21" x14ac:dyDescent="0.2">
      <c r="A114" t="str">
        <f>IF(CALC_EPM!A107="GLOBAL",IF(CALC_EPM!C107="Total","GLOBAL",IF(CALC_EPM!C107="TotalEsp","GLOBAL_ESP",IF(CALC_EPM!C107="TotalNoEsp","GLOBAL_NOESP","GLOBAL_ASIG"))),IF(CALC_EPM!C107="Total","CURSO_TOTAL",IF(CALC_EPM!C107="TotalEsp","CURSO_ESP",IF(CALC_EPM!C107="TotalNoEsp","CURSO_NOESP","CURSO_ASIG"))))</f>
        <v>CURSO_ASIG</v>
      </c>
      <c r="B114" t="str">
        <f>CALC_EPM!A107</f>
        <v>2EPM</v>
      </c>
      <c r="C114" t="str">
        <f>CALC_EPM!B107</f>
        <v>Piano</v>
      </c>
      <c r="D114">
        <f>CALC_EPM!D107</f>
        <v>0</v>
      </c>
      <c r="E114" s="10" t="str">
        <f>CALC_EPM!E107</f>
        <v>—</v>
      </c>
      <c r="F114" s="10" t="str">
        <f>CALC_EPM!F107</f>
        <v>—</v>
      </c>
      <c r="G114" t="str">
        <f>CALC_EPM!G107</f>
        <v>—</v>
      </c>
      <c r="H114" s="11" t="str">
        <f>CALC_EPM!H107</f>
        <v>—</v>
      </c>
      <c r="I114" s="11" t="str">
        <f>CALC_EPM!I107</f>
        <v>—</v>
      </c>
      <c r="J114" t="str">
        <f>CALC_EPM!J107</f>
        <v>—</v>
      </c>
      <c r="K114" t="str">
        <f>CALC_EPM!K107</f>
        <v>—</v>
      </c>
      <c r="L114">
        <f>CALC_EPM!L107</f>
        <v>0</v>
      </c>
      <c r="M114">
        <f>CALC_EPM!M107</f>
        <v>0</v>
      </c>
      <c r="N114">
        <f>CALC_EPM!N107</f>
        <v>0</v>
      </c>
      <c r="O114">
        <f>CALC_EPM!O107</f>
        <v>0</v>
      </c>
      <c r="P114">
        <f>CALC_EPM!P107</f>
        <v>0</v>
      </c>
      <c r="Q114">
        <f>CALC_EPM!Q107</f>
        <v>0</v>
      </c>
      <c r="R114">
        <f>CALC_EPM!R107</f>
        <v>0</v>
      </c>
      <c r="S114">
        <f>CALC_EPM!S107</f>
        <v>0</v>
      </c>
      <c r="T114">
        <f>CALC_EPM!T107</f>
        <v>0</v>
      </c>
      <c r="U114">
        <f>CALC_EPM!U107</f>
        <v>0</v>
      </c>
    </row>
    <row r="115" spans="1:21" x14ac:dyDescent="0.2">
      <c r="A115" t="str">
        <f>IF(CALC_EPM!A108="GLOBAL",IF(CALC_EPM!C108="Total","GLOBAL",IF(CALC_EPM!C108="TotalEsp","GLOBAL_ESP",IF(CALC_EPM!C108="TotalNoEsp","GLOBAL_NOESP","GLOBAL_ASIG"))),IF(CALC_EPM!C108="Total","CURSO_TOTAL",IF(CALC_EPM!C108="TotalEsp","CURSO_ESP",IF(CALC_EPM!C108="TotalNoEsp","CURSO_NOESP","CURSO_ASIG"))))</f>
        <v>CURSO_ASIG</v>
      </c>
      <c r="B115" t="str">
        <f>CALC_EPM!A108</f>
        <v>2EPM</v>
      </c>
      <c r="C115" t="str">
        <f>CALC_EPM!B108</f>
        <v>Saxofón</v>
      </c>
      <c r="D115">
        <f>CALC_EPM!D108</f>
        <v>0</v>
      </c>
      <c r="E115" s="10" t="str">
        <f>CALC_EPM!E108</f>
        <v>—</v>
      </c>
      <c r="F115" s="10" t="str">
        <f>CALC_EPM!F108</f>
        <v>—</v>
      </c>
      <c r="G115" t="str">
        <f>CALC_EPM!G108</f>
        <v>—</v>
      </c>
      <c r="H115" s="11" t="str">
        <f>CALC_EPM!H108</f>
        <v>—</v>
      </c>
      <c r="I115" s="11" t="str">
        <f>CALC_EPM!I108</f>
        <v>—</v>
      </c>
      <c r="J115" t="str">
        <f>CALC_EPM!J108</f>
        <v>—</v>
      </c>
      <c r="K115" t="str">
        <f>CALC_EPM!K108</f>
        <v>—</v>
      </c>
      <c r="L115">
        <f>CALC_EPM!L108</f>
        <v>0</v>
      </c>
      <c r="M115">
        <f>CALC_EPM!M108</f>
        <v>0</v>
      </c>
      <c r="N115">
        <f>CALC_EPM!N108</f>
        <v>0</v>
      </c>
      <c r="O115">
        <f>CALC_EPM!O108</f>
        <v>0</v>
      </c>
      <c r="P115">
        <f>CALC_EPM!P108</f>
        <v>0</v>
      </c>
      <c r="Q115">
        <f>CALC_EPM!Q108</f>
        <v>0</v>
      </c>
      <c r="R115">
        <f>CALC_EPM!R108</f>
        <v>0</v>
      </c>
      <c r="S115">
        <f>CALC_EPM!S108</f>
        <v>0</v>
      </c>
      <c r="T115">
        <f>CALC_EPM!T108</f>
        <v>0</v>
      </c>
      <c r="U115">
        <f>CALC_EPM!U108</f>
        <v>0</v>
      </c>
    </row>
    <row r="116" spans="1:21" x14ac:dyDescent="0.2">
      <c r="A116" t="str">
        <f>IF(CALC_EPM!A109="GLOBAL",IF(CALC_EPM!C109="Total","GLOBAL",IF(CALC_EPM!C109="TotalEsp","GLOBAL_ESP",IF(CALC_EPM!C109="TotalNoEsp","GLOBAL_NOESP","GLOBAL_ASIG"))),IF(CALC_EPM!C109="Total","CURSO_TOTAL",IF(CALC_EPM!C109="TotalEsp","CURSO_ESP",IF(CALC_EPM!C109="TotalNoEsp","CURSO_NOESP","CURSO_ASIG"))))</f>
        <v>CURSO_ASIG</v>
      </c>
      <c r="B116" t="str">
        <f>CALC_EPM!A109</f>
        <v>2EPM</v>
      </c>
      <c r="C116" t="str">
        <f>CALC_EPM!B109</f>
        <v>Trombón</v>
      </c>
      <c r="D116">
        <f>CALC_EPM!D109</f>
        <v>0</v>
      </c>
      <c r="E116" s="10" t="str">
        <f>CALC_EPM!E109</f>
        <v>—</v>
      </c>
      <c r="F116" s="10" t="str">
        <f>CALC_EPM!F109</f>
        <v>—</v>
      </c>
      <c r="G116" t="str">
        <f>CALC_EPM!G109</f>
        <v>—</v>
      </c>
      <c r="H116" s="11" t="str">
        <f>CALC_EPM!H109</f>
        <v>—</v>
      </c>
      <c r="I116" s="11" t="str">
        <f>CALC_EPM!I109</f>
        <v>—</v>
      </c>
      <c r="J116" t="str">
        <f>CALC_EPM!J109</f>
        <v>—</v>
      </c>
      <c r="K116" t="str">
        <f>CALC_EPM!K109</f>
        <v>—</v>
      </c>
      <c r="L116">
        <f>CALC_EPM!L109</f>
        <v>0</v>
      </c>
      <c r="M116">
        <f>CALC_EPM!M109</f>
        <v>0</v>
      </c>
      <c r="N116">
        <f>CALC_EPM!N109</f>
        <v>0</v>
      </c>
      <c r="O116">
        <f>CALC_EPM!O109</f>
        <v>0</v>
      </c>
      <c r="P116">
        <f>CALC_EPM!P109</f>
        <v>0</v>
      </c>
      <c r="Q116">
        <f>CALC_EPM!Q109</f>
        <v>0</v>
      </c>
      <c r="R116">
        <f>CALC_EPM!R109</f>
        <v>0</v>
      </c>
      <c r="S116">
        <f>CALC_EPM!S109</f>
        <v>0</v>
      </c>
      <c r="T116">
        <f>CALC_EPM!T109</f>
        <v>0</v>
      </c>
      <c r="U116">
        <f>CALC_EPM!U109</f>
        <v>0</v>
      </c>
    </row>
    <row r="117" spans="1:21" x14ac:dyDescent="0.2">
      <c r="A117" t="str">
        <f>IF(CALC_EPM!A110="GLOBAL",IF(CALC_EPM!C110="Total","GLOBAL",IF(CALC_EPM!C110="TotalEsp","GLOBAL_ESP",IF(CALC_EPM!C110="TotalNoEsp","GLOBAL_NOESP","GLOBAL_ASIG"))),IF(CALC_EPM!C110="Total","CURSO_TOTAL",IF(CALC_EPM!C110="TotalEsp","CURSO_ESP",IF(CALC_EPM!C110="TotalNoEsp","CURSO_NOESP","CURSO_ASIG"))))</f>
        <v>CURSO_ASIG</v>
      </c>
      <c r="B117" t="str">
        <f>CALC_EPM!A110</f>
        <v>2EPM</v>
      </c>
      <c r="C117" t="str">
        <f>CALC_EPM!B110</f>
        <v>Trompa</v>
      </c>
      <c r="D117">
        <f>CALC_EPM!D110</f>
        <v>0</v>
      </c>
      <c r="E117" s="10" t="str">
        <f>CALC_EPM!E110</f>
        <v>—</v>
      </c>
      <c r="F117" s="10" t="str">
        <f>CALC_EPM!F110</f>
        <v>—</v>
      </c>
      <c r="G117" t="str">
        <f>CALC_EPM!G110</f>
        <v>—</v>
      </c>
      <c r="H117" s="11" t="str">
        <f>CALC_EPM!H110</f>
        <v>—</v>
      </c>
      <c r="I117" s="11" t="str">
        <f>CALC_EPM!I110</f>
        <v>—</v>
      </c>
      <c r="J117" t="str">
        <f>CALC_EPM!J110</f>
        <v>—</v>
      </c>
      <c r="K117" t="str">
        <f>CALC_EPM!K110</f>
        <v>—</v>
      </c>
      <c r="L117">
        <f>CALC_EPM!L110</f>
        <v>0</v>
      </c>
      <c r="M117">
        <f>CALC_EPM!M110</f>
        <v>0</v>
      </c>
      <c r="N117">
        <f>CALC_EPM!N110</f>
        <v>0</v>
      </c>
      <c r="O117">
        <f>CALC_EPM!O110</f>
        <v>0</v>
      </c>
      <c r="P117">
        <f>CALC_EPM!P110</f>
        <v>0</v>
      </c>
      <c r="Q117">
        <f>CALC_EPM!Q110</f>
        <v>0</v>
      </c>
      <c r="R117">
        <f>CALC_EPM!R110</f>
        <v>0</v>
      </c>
      <c r="S117">
        <f>CALC_EPM!S110</f>
        <v>0</v>
      </c>
      <c r="T117">
        <f>CALC_EPM!T110</f>
        <v>0</v>
      </c>
      <c r="U117">
        <f>CALC_EPM!U110</f>
        <v>0</v>
      </c>
    </row>
    <row r="118" spans="1:21" x14ac:dyDescent="0.2">
      <c r="A118" t="str">
        <f>IF(CALC_EPM!A111="GLOBAL",IF(CALC_EPM!C111="Total","GLOBAL",IF(CALC_EPM!C111="TotalEsp","GLOBAL_ESP",IF(CALC_EPM!C111="TotalNoEsp","GLOBAL_NOESP","GLOBAL_ASIG"))),IF(CALC_EPM!C111="Total","CURSO_TOTAL",IF(CALC_EPM!C111="TotalEsp","CURSO_ESP",IF(CALC_EPM!C111="TotalNoEsp","CURSO_NOESP","CURSO_ASIG"))))</f>
        <v>CURSO_ASIG</v>
      </c>
      <c r="B118" t="str">
        <f>CALC_EPM!A111</f>
        <v>2EPM</v>
      </c>
      <c r="C118" t="str">
        <f>CALC_EPM!B111</f>
        <v>Trompeta</v>
      </c>
      <c r="D118">
        <f>CALC_EPM!D111</f>
        <v>0</v>
      </c>
      <c r="E118" s="10" t="str">
        <f>CALC_EPM!E111</f>
        <v>—</v>
      </c>
      <c r="F118" s="10" t="str">
        <f>CALC_EPM!F111</f>
        <v>—</v>
      </c>
      <c r="G118" t="str">
        <f>CALC_EPM!G111</f>
        <v>—</v>
      </c>
      <c r="H118" s="11" t="str">
        <f>CALC_EPM!H111</f>
        <v>—</v>
      </c>
      <c r="I118" s="11" t="str">
        <f>CALC_EPM!I111</f>
        <v>—</v>
      </c>
      <c r="J118" t="str">
        <f>CALC_EPM!J111</f>
        <v>—</v>
      </c>
      <c r="K118" t="str">
        <f>CALC_EPM!K111</f>
        <v>—</v>
      </c>
      <c r="L118">
        <f>CALC_EPM!L111</f>
        <v>0</v>
      </c>
      <c r="M118">
        <f>CALC_EPM!M111</f>
        <v>0</v>
      </c>
      <c r="N118">
        <f>CALC_EPM!N111</f>
        <v>0</v>
      </c>
      <c r="O118">
        <f>CALC_EPM!O111</f>
        <v>0</v>
      </c>
      <c r="P118">
        <f>CALC_EPM!P111</f>
        <v>0</v>
      </c>
      <c r="Q118">
        <f>CALC_EPM!Q111</f>
        <v>0</v>
      </c>
      <c r="R118">
        <f>CALC_EPM!R111</f>
        <v>0</v>
      </c>
      <c r="S118">
        <f>CALC_EPM!S111</f>
        <v>0</v>
      </c>
      <c r="T118">
        <f>CALC_EPM!T111</f>
        <v>0</v>
      </c>
      <c r="U118">
        <f>CALC_EPM!U111</f>
        <v>0</v>
      </c>
    </row>
    <row r="119" spans="1:21" x14ac:dyDescent="0.2">
      <c r="A119" t="str">
        <f>IF(CALC_EPM!A112="GLOBAL",IF(CALC_EPM!C112="Total","GLOBAL",IF(CALC_EPM!C112="TotalEsp","GLOBAL_ESP",IF(CALC_EPM!C112="TotalNoEsp","GLOBAL_NOESP","GLOBAL_ASIG"))),IF(CALC_EPM!C112="Total","CURSO_TOTAL",IF(CALC_EPM!C112="TotalEsp","CURSO_ESP",IF(CALC_EPM!C112="TotalNoEsp","CURSO_NOESP","CURSO_ASIG"))))</f>
        <v>CURSO_ASIG</v>
      </c>
      <c r="B119" t="str">
        <f>CALC_EPM!A112</f>
        <v>2EPM</v>
      </c>
      <c r="C119" t="str">
        <f>CALC_EPM!B112</f>
        <v>Tuba</v>
      </c>
      <c r="D119">
        <f>CALC_EPM!D112</f>
        <v>0</v>
      </c>
      <c r="E119" s="10" t="str">
        <f>CALC_EPM!E112</f>
        <v>—</v>
      </c>
      <c r="F119" s="10" t="str">
        <f>CALC_EPM!F112</f>
        <v>—</v>
      </c>
      <c r="G119" t="str">
        <f>CALC_EPM!G112</f>
        <v>—</v>
      </c>
      <c r="H119" s="11" t="str">
        <f>CALC_EPM!H112</f>
        <v>—</v>
      </c>
      <c r="I119" s="11" t="str">
        <f>CALC_EPM!I112</f>
        <v>—</v>
      </c>
      <c r="J119" t="str">
        <f>CALC_EPM!J112</f>
        <v>—</v>
      </c>
      <c r="K119" t="str">
        <f>CALC_EPM!K112</f>
        <v>—</v>
      </c>
      <c r="L119">
        <f>CALC_EPM!L112</f>
        <v>0</v>
      </c>
      <c r="M119">
        <f>CALC_EPM!M112</f>
        <v>0</v>
      </c>
      <c r="N119">
        <f>CALC_EPM!N112</f>
        <v>0</v>
      </c>
      <c r="O119">
        <f>CALC_EPM!O112</f>
        <v>0</v>
      </c>
      <c r="P119">
        <f>CALC_EPM!P112</f>
        <v>0</v>
      </c>
      <c r="Q119">
        <f>CALC_EPM!Q112</f>
        <v>0</v>
      </c>
      <c r="R119">
        <f>CALC_EPM!R112</f>
        <v>0</v>
      </c>
      <c r="S119">
        <f>CALC_EPM!S112</f>
        <v>0</v>
      </c>
      <c r="T119">
        <f>CALC_EPM!T112</f>
        <v>0</v>
      </c>
      <c r="U119">
        <f>CALC_EPM!U112</f>
        <v>0</v>
      </c>
    </row>
    <row r="120" spans="1:21" x14ac:dyDescent="0.2">
      <c r="A120" t="str">
        <f>IF(CALC_EPM!A113="GLOBAL",IF(CALC_EPM!C113="Total","GLOBAL",IF(CALC_EPM!C113="TotalEsp","GLOBAL_ESP",IF(CALC_EPM!C113="TotalNoEsp","GLOBAL_NOESP","GLOBAL_ASIG"))),IF(CALC_EPM!C113="Total","CURSO_TOTAL",IF(CALC_EPM!C113="TotalEsp","CURSO_ESP",IF(CALC_EPM!C113="TotalNoEsp","CURSO_NOESP","CURSO_ASIG"))))</f>
        <v>CURSO_ASIG</v>
      </c>
      <c r="B120" t="str">
        <f>CALC_EPM!A113</f>
        <v>2EPM</v>
      </c>
      <c r="C120" t="str">
        <f>CALC_EPM!B113</f>
        <v>Viola</v>
      </c>
      <c r="D120">
        <f>CALC_EPM!D113</f>
        <v>0</v>
      </c>
      <c r="E120" s="10" t="str">
        <f>CALC_EPM!E113</f>
        <v>—</v>
      </c>
      <c r="F120" s="10" t="str">
        <f>CALC_EPM!F113</f>
        <v>—</v>
      </c>
      <c r="G120" t="str">
        <f>CALC_EPM!G113</f>
        <v>—</v>
      </c>
      <c r="H120" s="11" t="str">
        <f>CALC_EPM!H113</f>
        <v>—</v>
      </c>
      <c r="I120" s="11" t="str">
        <f>CALC_EPM!I113</f>
        <v>—</v>
      </c>
      <c r="J120" t="str">
        <f>CALC_EPM!J113</f>
        <v>—</v>
      </c>
      <c r="K120" t="str">
        <f>CALC_EPM!K113</f>
        <v>—</v>
      </c>
      <c r="L120">
        <f>CALC_EPM!L113</f>
        <v>0</v>
      </c>
      <c r="M120">
        <f>CALC_EPM!M113</f>
        <v>0</v>
      </c>
      <c r="N120">
        <f>CALC_EPM!N113</f>
        <v>0</v>
      </c>
      <c r="O120">
        <f>CALC_EPM!O113</f>
        <v>0</v>
      </c>
      <c r="P120">
        <f>CALC_EPM!P113</f>
        <v>0</v>
      </c>
      <c r="Q120">
        <f>CALC_EPM!Q113</f>
        <v>0</v>
      </c>
      <c r="R120">
        <f>CALC_EPM!R113</f>
        <v>0</v>
      </c>
      <c r="S120">
        <f>CALC_EPM!S113</f>
        <v>0</v>
      </c>
      <c r="T120">
        <f>CALC_EPM!T113</f>
        <v>0</v>
      </c>
      <c r="U120">
        <f>CALC_EPM!U113</f>
        <v>0</v>
      </c>
    </row>
    <row r="121" spans="1:21" x14ac:dyDescent="0.2">
      <c r="A121" t="str">
        <f>IF(CALC_EPM!A114="GLOBAL",IF(CALC_EPM!C114="Total","GLOBAL",IF(CALC_EPM!C114="TotalEsp","GLOBAL_ESP",IF(CALC_EPM!C114="TotalNoEsp","GLOBAL_NOESP","GLOBAL_ASIG"))),IF(CALC_EPM!C114="Total","CURSO_TOTAL",IF(CALC_EPM!C114="TotalEsp","CURSO_ESP",IF(CALC_EPM!C114="TotalNoEsp","CURSO_NOESP","CURSO_ASIG"))))</f>
        <v>CURSO_ASIG</v>
      </c>
      <c r="B121" t="str">
        <f>CALC_EPM!A114</f>
        <v>2EPM</v>
      </c>
      <c r="C121" t="str">
        <f>CALC_EPM!B114</f>
        <v>Violín</v>
      </c>
      <c r="D121">
        <f>CALC_EPM!D114</f>
        <v>0</v>
      </c>
      <c r="E121" s="10" t="str">
        <f>CALC_EPM!E114</f>
        <v>—</v>
      </c>
      <c r="F121" s="10" t="str">
        <f>CALC_EPM!F114</f>
        <v>—</v>
      </c>
      <c r="G121" t="str">
        <f>CALC_EPM!G114</f>
        <v>—</v>
      </c>
      <c r="H121" s="11" t="str">
        <f>CALC_EPM!H114</f>
        <v>—</v>
      </c>
      <c r="I121" s="11" t="str">
        <f>CALC_EPM!I114</f>
        <v>—</v>
      </c>
      <c r="J121" t="str">
        <f>CALC_EPM!J114</f>
        <v>—</v>
      </c>
      <c r="K121" t="str">
        <f>CALC_EPM!K114</f>
        <v>—</v>
      </c>
      <c r="L121">
        <f>CALC_EPM!L114</f>
        <v>0</v>
      </c>
      <c r="M121">
        <f>CALC_EPM!M114</f>
        <v>0</v>
      </c>
      <c r="N121">
        <f>CALC_EPM!N114</f>
        <v>0</v>
      </c>
      <c r="O121">
        <f>CALC_EPM!O114</f>
        <v>0</v>
      </c>
      <c r="P121">
        <f>CALC_EPM!P114</f>
        <v>0</v>
      </c>
      <c r="Q121">
        <f>CALC_EPM!Q114</f>
        <v>0</v>
      </c>
      <c r="R121">
        <f>CALC_EPM!R114</f>
        <v>0</v>
      </c>
      <c r="S121">
        <f>CALC_EPM!S114</f>
        <v>0</v>
      </c>
      <c r="T121">
        <f>CALC_EPM!T114</f>
        <v>0</v>
      </c>
      <c r="U121">
        <f>CALC_EPM!U114</f>
        <v>0</v>
      </c>
    </row>
    <row r="122" spans="1:21" x14ac:dyDescent="0.2">
      <c r="A122" t="str">
        <f>IF(CALC_EPM!A115="GLOBAL",IF(CALC_EPM!C115="Total","GLOBAL",IF(CALC_EPM!C115="TotalEsp","GLOBAL_ESP",IF(CALC_EPM!C115="TotalNoEsp","GLOBAL_NOESP","GLOBAL_ASIG"))),IF(CALC_EPM!C115="Total","CURSO_TOTAL",IF(CALC_EPM!C115="TotalEsp","CURSO_ESP",IF(CALC_EPM!C115="TotalNoEsp","CURSO_NOESP","CURSO_ASIG"))))</f>
        <v>CURSO_ASIG</v>
      </c>
      <c r="B122" t="str">
        <f>CALC_EPM!A115</f>
        <v>2EPM</v>
      </c>
      <c r="C122" t="str">
        <f>CALC_EPM!B115</f>
        <v>Violoncello</v>
      </c>
      <c r="D122">
        <f>CALC_EPM!D115</f>
        <v>0</v>
      </c>
      <c r="E122" s="10" t="str">
        <f>CALC_EPM!E115</f>
        <v>—</v>
      </c>
      <c r="F122" s="10" t="str">
        <f>CALC_EPM!F115</f>
        <v>—</v>
      </c>
      <c r="G122" t="str">
        <f>CALC_EPM!G115</f>
        <v>—</v>
      </c>
      <c r="H122" s="11" t="str">
        <f>CALC_EPM!H115</f>
        <v>—</v>
      </c>
      <c r="I122" s="11" t="str">
        <f>CALC_EPM!I115</f>
        <v>—</v>
      </c>
      <c r="J122" t="str">
        <f>CALC_EPM!J115</f>
        <v>—</v>
      </c>
      <c r="K122" t="str">
        <f>CALC_EPM!K115</f>
        <v>—</v>
      </c>
      <c r="L122">
        <f>CALC_EPM!L115</f>
        <v>0</v>
      </c>
      <c r="M122">
        <f>CALC_EPM!M115</f>
        <v>0</v>
      </c>
      <c r="N122">
        <f>CALC_EPM!N115</f>
        <v>0</v>
      </c>
      <c r="O122">
        <f>CALC_EPM!O115</f>
        <v>0</v>
      </c>
      <c r="P122">
        <f>CALC_EPM!P115</f>
        <v>0</v>
      </c>
      <c r="Q122">
        <f>CALC_EPM!Q115</f>
        <v>0</v>
      </c>
      <c r="R122">
        <f>CALC_EPM!R115</f>
        <v>0</v>
      </c>
      <c r="S122">
        <f>CALC_EPM!S115</f>
        <v>0</v>
      </c>
      <c r="T122">
        <f>CALC_EPM!T115</f>
        <v>0</v>
      </c>
      <c r="U122">
        <f>CALC_EPM!U115</f>
        <v>0</v>
      </c>
    </row>
    <row r="123" spans="1:21" x14ac:dyDescent="0.2">
      <c r="A123" t="str">
        <f>IF(CALC_EPM!A116="GLOBAL",IF(CALC_EPM!C116="Total","GLOBAL",IF(CALC_EPM!C116="TotalEsp","GLOBAL_ESP",IF(CALC_EPM!C116="TotalNoEsp","GLOBAL_NOESP","GLOBAL_ASIG"))),IF(CALC_EPM!C116="Total","CURSO_TOTAL",IF(CALC_EPM!C116="TotalEsp","CURSO_ESP",IF(CALC_EPM!C116="TotalNoEsp","CURSO_NOESP","CURSO_ASIG"))))</f>
        <v>CURSO_ASIG</v>
      </c>
      <c r="B123" t="str">
        <f>CALC_EPM!A116</f>
        <v>3EPM</v>
      </c>
      <c r="C123" t="str">
        <f>CALC_EPM!B116</f>
        <v>Armonía</v>
      </c>
      <c r="D123">
        <f>CALC_EPM!D116</f>
        <v>0</v>
      </c>
      <c r="E123" s="10" t="str">
        <f>CALC_EPM!E116</f>
        <v>—</v>
      </c>
      <c r="F123" s="10" t="str">
        <f>CALC_EPM!F116</f>
        <v>—</v>
      </c>
      <c r="G123" t="str">
        <f>CALC_EPM!G116</f>
        <v>—</v>
      </c>
      <c r="H123" s="11" t="str">
        <f>CALC_EPM!H116</f>
        <v>—</v>
      </c>
      <c r="I123" s="11" t="str">
        <f>CALC_EPM!I116</f>
        <v>—</v>
      </c>
      <c r="J123" t="str">
        <f>CALC_EPM!J116</f>
        <v>—</v>
      </c>
      <c r="K123" t="str">
        <f>CALC_EPM!K116</f>
        <v>—</v>
      </c>
      <c r="L123">
        <f>CALC_EPM!L116</f>
        <v>0</v>
      </c>
      <c r="M123">
        <f>CALC_EPM!M116</f>
        <v>0</v>
      </c>
      <c r="N123">
        <f>CALC_EPM!N116</f>
        <v>0</v>
      </c>
      <c r="O123">
        <f>CALC_EPM!O116</f>
        <v>0</v>
      </c>
      <c r="P123">
        <f>CALC_EPM!P116</f>
        <v>0</v>
      </c>
      <c r="Q123">
        <f>CALC_EPM!Q116</f>
        <v>0</v>
      </c>
      <c r="R123">
        <f>CALC_EPM!R116</f>
        <v>0</v>
      </c>
      <c r="S123">
        <f>CALC_EPM!S116</f>
        <v>0</v>
      </c>
      <c r="T123">
        <f>CALC_EPM!T116</f>
        <v>0</v>
      </c>
      <c r="U123">
        <f>CALC_EPM!U116</f>
        <v>0</v>
      </c>
    </row>
    <row r="124" spans="1:21" x14ac:dyDescent="0.2">
      <c r="A124" t="str">
        <f>IF(CALC_EPM!A117="GLOBAL",IF(CALC_EPM!C117="Total","GLOBAL",IF(CALC_EPM!C117="TotalEsp","GLOBAL_ESP",IF(CALC_EPM!C117="TotalNoEsp","GLOBAL_NOESP","GLOBAL_ASIG"))),IF(CALC_EPM!C117="Total","CURSO_TOTAL",IF(CALC_EPM!C117="TotalEsp","CURSO_ESP",IF(CALC_EPM!C117="TotalNoEsp","CURSO_NOESP","CURSO_ASIG"))))</f>
        <v>CURSO_ASIG</v>
      </c>
      <c r="B124" t="str">
        <f>CALC_EPM!A117</f>
        <v>3EPM</v>
      </c>
      <c r="C124" t="str">
        <f>CALC_EPM!B117</f>
        <v>Música de Cámara</v>
      </c>
      <c r="D124">
        <f>CALC_EPM!D117</f>
        <v>0</v>
      </c>
      <c r="E124" s="10" t="str">
        <f>CALC_EPM!E117</f>
        <v>—</v>
      </c>
      <c r="F124" s="10" t="str">
        <f>CALC_EPM!F117</f>
        <v>—</v>
      </c>
      <c r="G124" t="str">
        <f>CALC_EPM!G117</f>
        <v>—</v>
      </c>
      <c r="H124" s="11" t="str">
        <f>CALC_EPM!H117</f>
        <v>—</v>
      </c>
      <c r="I124" s="11" t="str">
        <f>CALC_EPM!I117</f>
        <v>—</v>
      </c>
      <c r="J124" t="str">
        <f>CALC_EPM!J117</f>
        <v>—</v>
      </c>
      <c r="K124" t="str">
        <f>CALC_EPM!K117</f>
        <v>—</v>
      </c>
      <c r="L124">
        <f>CALC_EPM!L117</f>
        <v>0</v>
      </c>
      <c r="M124">
        <f>CALC_EPM!M117</f>
        <v>0</v>
      </c>
      <c r="N124">
        <f>CALC_EPM!N117</f>
        <v>0</v>
      </c>
      <c r="O124">
        <f>CALC_EPM!O117</f>
        <v>0</v>
      </c>
      <c r="P124">
        <f>CALC_EPM!P117</f>
        <v>0</v>
      </c>
      <c r="Q124">
        <f>CALC_EPM!Q117</f>
        <v>0</v>
      </c>
      <c r="R124">
        <f>CALC_EPM!R117</f>
        <v>0</v>
      </c>
      <c r="S124">
        <f>CALC_EPM!S117</f>
        <v>0</v>
      </c>
      <c r="T124">
        <f>CALC_EPM!T117</f>
        <v>0</v>
      </c>
      <c r="U124">
        <f>CALC_EPM!U117</f>
        <v>0</v>
      </c>
    </row>
    <row r="125" spans="1:21" x14ac:dyDescent="0.2">
      <c r="A125" t="str">
        <f>IF(CALC_EPM!A118="GLOBAL",IF(CALC_EPM!C118="Total","GLOBAL",IF(CALC_EPM!C118="TotalEsp","GLOBAL_ESP",IF(CALC_EPM!C118="TotalNoEsp","GLOBAL_NOESP","GLOBAL_ASIG"))),IF(CALC_EPM!C118="Total","CURSO_TOTAL",IF(CALC_EPM!C118="TotalEsp","CURSO_ESP",IF(CALC_EPM!C118="TotalNoEsp","CURSO_NOESP","CURSO_ASIG"))))</f>
        <v>CURSO_ASIG</v>
      </c>
      <c r="B125" t="str">
        <f>CALC_EPM!A118</f>
        <v>3EPM</v>
      </c>
      <c r="C125" t="str">
        <f>CALC_EPM!B118</f>
        <v>Orquesta/Banda/Conjunto</v>
      </c>
      <c r="D125">
        <f>CALC_EPM!D118</f>
        <v>0</v>
      </c>
      <c r="E125" s="10" t="str">
        <f>CALC_EPM!E118</f>
        <v>—</v>
      </c>
      <c r="F125" s="10" t="str">
        <f>CALC_EPM!F118</f>
        <v>—</v>
      </c>
      <c r="G125" t="str">
        <f>CALC_EPM!G118</f>
        <v>—</v>
      </c>
      <c r="H125" s="11" t="str">
        <f>CALC_EPM!H118</f>
        <v>—</v>
      </c>
      <c r="I125" s="11" t="str">
        <f>CALC_EPM!I118</f>
        <v>—</v>
      </c>
      <c r="J125" t="str">
        <f>CALC_EPM!J118</f>
        <v>—</v>
      </c>
      <c r="K125" t="str">
        <f>CALC_EPM!K118</f>
        <v>—</v>
      </c>
      <c r="L125">
        <f>CALC_EPM!L118</f>
        <v>0</v>
      </c>
      <c r="M125">
        <f>CALC_EPM!M118</f>
        <v>0</v>
      </c>
      <c r="N125">
        <f>CALC_EPM!N118</f>
        <v>0</v>
      </c>
      <c r="O125">
        <f>CALC_EPM!O118</f>
        <v>0</v>
      </c>
      <c r="P125">
        <f>CALC_EPM!P118</f>
        <v>0</v>
      </c>
      <c r="Q125">
        <f>CALC_EPM!Q118</f>
        <v>0</v>
      </c>
      <c r="R125">
        <f>CALC_EPM!R118</f>
        <v>0</v>
      </c>
      <c r="S125">
        <f>CALC_EPM!S118</f>
        <v>0</v>
      </c>
      <c r="T125">
        <f>CALC_EPM!T118</f>
        <v>0</v>
      </c>
      <c r="U125">
        <f>CALC_EPM!U118</f>
        <v>0</v>
      </c>
    </row>
    <row r="126" spans="1:21" x14ac:dyDescent="0.2">
      <c r="A126" t="str">
        <f>IF(CALC_EPM!A119="GLOBAL",IF(CALC_EPM!C119="Total","GLOBAL",IF(CALC_EPM!C119="TotalEsp","GLOBAL_ESP",IF(CALC_EPM!C119="TotalNoEsp","GLOBAL_NOESP","GLOBAL_ASIG"))),IF(CALC_EPM!C119="Total","CURSO_TOTAL",IF(CALC_EPM!C119="TotalEsp","CURSO_ESP",IF(CALC_EPM!C119="TotalNoEsp","CURSO_NOESP","CURSO_ASIG"))))</f>
        <v>CURSO_ASIG</v>
      </c>
      <c r="B126" t="str">
        <f>CALC_EPM!A119</f>
        <v>3EPM</v>
      </c>
      <c r="C126" t="str">
        <f>CALC_EPM!B119</f>
        <v>Piano Complementario</v>
      </c>
      <c r="D126">
        <f>CALC_EPM!D119</f>
        <v>0</v>
      </c>
      <c r="E126" s="10" t="str">
        <f>CALC_EPM!E119</f>
        <v>—</v>
      </c>
      <c r="F126" s="10" t="str">
        <f>CALC_EPM!F119</f>
        <v>—</v>
      </c>
      <c r="G126" t="str">
        <f>CALC_EPM!G119</f>
        <v>—</v>
      </c>
      <c r="H126" s="11" t="str">
        <f>CALC_EPM!H119</f>
        <v>—</v>
      </c>
      <c r="I126" s="11" t="str">
        <f>CALC_EPM!I119</f>
        <v>—</v>
      </c>
      <c r="J126" t="str">
        <f>CALC_EPM!J119</f>
        <v>—</v>
      </c>
      <c r="K126" t="str">
        <f>CALC_EPM!K119</f>
        <v>—</v>
      </c>
      <c r="L126">
        <f>CALC_EPM!L119</f>
        <v>0</v>
      </c>
      <c r="M126">
        <f>CALC_EPM!M119</f>
        <v>0</v>
      </c>
      <c r="N126">
        <f>CALC_EPM!N119</f>
        <v>0</v>
      </c>
      <c r="O126">
        <f>CALC_EPM!O119</f>
        <v>0</v>
      </c>
      <c r="P126">
        <f>CALC_EPM!P119</f>
        <v>0</v>
      </c>
      <c r="Q126">
        <f>CALC_EPM!Q119</f>
        <v>0</v>
      </c>
      <c r="R126">
        <f>CALC_EPM!R119</f>
        <v>0</v>
      </c>
      <c r="S126">
        <f>CALC_EPM!S119</f>
        <v>0</v>
      </c>
      <c r="T126">
        <f>CALC_EPM!T119</f>
        <v>0</v>
      </c>
      <c r="U126">
        <f>CALC_EPM!U119</f>
        <v>0</v>
      </c>
    </row>
    <row r="127" spans="1:21" x14ac:dyDescent="0.2">
      <c r="A127" t="str">
        <f>IF(CALC_EPM!A120="GLOBAL",IF(CALC_EPM!C120="Total","GLOBAL",IF(CALC_EPM!C120="TotalEsp","GLOBAL_ESP",IF(CALC_EPM!C120="TotalNoEsp","GLOBAL_NOESP","GLOBAL_ASIG"))),IF(CALC_EPM!C120="Total","CURSO_TOTAL",IF(CALC_EPM!C120="TotalEsp","CURSO_ESP",IF(CALC_EPM!C120="TotalNoEsp","CURSO_NOESP","CURSO_ASIG"))))</f>
        <v>CURSO_ASIG</v>
      </c>
      <c r="B127" t="str">
        <f>CALC_EPM!A120</f>
        <v>3EPM</v>
      </c>
      <c r="C127" t="str">
        <f>CALC_EPM!B120</f>
        <v>Coro</v>
      </c>
      <c r="D127">
        <f>CALC_EPM!D120</f>
        <v>0</v>
      </c>
      <c r="E127" s="10" t="str">
        <f>CALC_EPM!E120</f>
        <v>—</v>
      </c>
      <c r="F127" s="10" t="str">
        <f>CALC_EPM!F120</f>
        <v>—</v>
      </c>
      <c r="G127" t="str">
        <f>CALC_EPM!G120</f>
        <v>—</v>
      </c>
      <c r="H127" s="11" t="str">
        <f>CALC_EPM!H120</f>
        <v>—</v>
      </c>
      <c r="I127" s="11" t="str">
        <f>CALC_EPM!I120</f>
        <v>—</v>
      </c>
      <c r="J127" t="str">
        <f>CALC_EPM!J120</f>
        <v>—</v>
      </c>
      <c r="K127" t="str">
        <f>CALC_EPM!K120</f>
        <v>—</v>
      </c>
      <c r="L127">
        <f>CALC_EPM!L120</f>
        <v>0</v>
      </c>
      <c r="M127">
        <f>CALC_EPM!M120</f>
        <v>0</v>
      </c>
      <c r="N127">
        <f>CALC_EPM!N120</f>
        <v>0</v>
      </c>
      <c r="O127">
        <f>CALC_EPM!O120</f>
        <v>0</v>
      </c>
      <c r="P127">
        <f>CALC_EPM!P120</f>
        <v>0</v>
      </c>
      <c r="Q127">
        <f>CALC_EPM!Q120</f>
        <v>0</v>
      </c>
      <c r="R127">
        <f>CALC_EPM!R120</f>
        <v>0</v>
      </c>
      <c r="S127">
        <f>CALC_EPM!S120</f>
        <v>0</v>
      </c>
      <c r="T127">
        <f>CALC_EPM!T120</f>
        <v>0</v>
      </c>
      <c r="U127">
        <f>CALC_EPM!U120</f>
        <v>0</v>
      </c>
    </row>
    <row r="128" spans="1:21" x14ac:dyDescent="0.2">
      <c r="A128" t="str">
        <f>IF(CALC_EPM!A121="GLOBAL",IF(CALC_EPM!C121="Total","GLOBAL",IF(CALC_EPM!C121="TotalEsp","GLOBAL_ESP",IF(CALC_EPM!C121="TotalNoEsp","GLOBAL_NOESP","GLOBAL_ASIG"))),IF(CALC_EPM!C121="Total","CURSO_TOTAL",IF(CALC_EPM!C121="TotalEsp","CURSO_ESP",IF(CALC_EPM!C121="TotalNoEsp","CURSO_NOESP","CURSO_ASIG"))))</f>
        <v>CURSO_ASIG</v>
      </c>
      <c r="B128" t="str">
        <f>CALC_EPM!A121</f>
        <v>3EPM</v>
      </c>
      <c r="C128" t="str">
        <f>CALC_EPM!B121</f>
        <v>Idioma Aplicado al Canto</v>
      </c>
      <c r="D128">
        <f>CALC_EPM!D121</f>
        <v>0</v>
      </c>
      <c r="E128" s="10" t="str">
        <f>CALC_EPM!E121</f>
        <v>—</v>
      </c>
      <c r="F128" s="10" t="str">
        <f>CALC_EPM!F121</f>
        <v>—</v>
      </c>
      <c r="G128" t="str">
        <f>CALC_EPM!G121</f>
        <v>—</v>
      </c>
      <c r="H128" s="11" t="str">
        <f>CALC_EPM!H121</f>
        <v>—</v>
      </c>
      <c r="I128" s="11" t="str">
        <f>CALC_EPM!I121</f>
        <v>—</v>
      </c>
      <c r="J128" t="str">
        <f>CALC_EPM!J121</f>
        <v>—</v>
      </c>
      <c r="K128" t="str">
        <f>CALC_EPM!K121</f>
        <v>—</v>
      </c>
      <c r="L128">
        <f>CALC_EPM!L121</f>
        <v>0</v>
      </c>
      <c r="M128">
        <f>CALC_EPM!M121</f>
        <v>0</v>
      </c>
      <c r="N128">
        <f>CALC_EPM!N121</f>
        <v>0</v>
      </c>
      <c r="O128">
        <f>CALC_EPM!O121</f>
        <v>0</v>
      </c>
      <c r="P128">
        <f>CALC_EPM!P121</f>
        <v>0</v>
      </c>
      <c r="Q128">
        <f>CALC_EPM!Q121</f>
        <v>0</v>
      </c>
      <c r="R128">
        <f>CALC_EPM!R121</f>
        <v>0</v>
      </c>
      <c r="S128">
        <f>CALC_EPM!S121</f>
        <v>0</v>
      </c>
      <c r="T128">
        <f>CALC_EPM!T121</f>
        <v>0</v>
      </c>
      <c r="U128">
        <f>CALC_EPM!U121</f>
        <v>0</v>
      </c>
    </row>
    <row r="129" spans="1:21" x14ac:dyDescent="0.2">
      <c r="A129" t="str">
        <f>IF(CALC_EPM!A122="GLOBAL",IF(CALC_EPM!C122="Total","GLOBAL",IF(CALC_EPM!C122="TotalEsp","GLOBAL_ESP",IF(CALC_EPM!C122="TotalNoEsp","GLOBAL_NOESP","GLOBAL_ASIG"))),IF(CALC_EPM!C122="Total","CURSO_TOTAL",IF(CALC_EPM!C122="TotalEsp","CURSO_ESP",IF(CALC_EPM!C122="TotalNoEsp","CURSO_NOESP","CURSO_ASIG"))))</f>
        <v>CURSO_ASIG</v>
      </c>
      <c r="B129" t="str">
        <f>CALC_EPM!A122</f>
        <v>3EPM</v>
      </c>
      <c r="C129" t="str">
        <f>CALC_EPM!B122</f>
        <v>Arpa</v>
      </c>
      <c r="D129">
        <f>CALC_EPM!D122</f>
        <v>0</v>
      </c>
      <c r="E129" s="10" t="str">
        <f>CALC_EPM!E122</f>
        <v>—</v>
      </c>
      <c r="F129" s="10" t="str">
        <f>CALC_EPM!F122</f>
        <v>—</v>
      </c>
      <c r="G129" t="str">
        <f>CALC_EPM!G122</f>
        <v>—</v>
      </c>
      <c r="H129" s="11" t="str">
        <f>CALC_EPM!H122</f>
        <v>—</v>
      </c>
      <c r="I129" s="11" t="str">
        <f>CALC_EPM!I122</f>
        <v>—</v>
      </c>
      <c r="J129" t="str">
        <f>CALC_EPM!J122</f>
        <v>—</v>
      </c>
      <c r="K129" t="str">
        <f>CALC_EPM!K122</f>
        <v>—</v>
      </c>
      <c r="L129">
        <f>CALC_EPM!L122</f>
        <v>0</v>
      </c>
      <c r="M129">
        <f>CALC_EPM!M122</f>
        <v>0</v>
      </c>
      <c r="N129">
        <f>CALC_EPM!N122</f>
        <v>0</v>
      </c>
      <c r="O129">
        <f>CALC_EPM!O122</f>
        <v>0</v>
      </c>
      <c r="P129">
        <f>CALC_EPM!P122</f>
        <v>0</v>
      </c>
      <c r="Q129">
        <f>CALC_EPM!Q122</f>
        <v>0</v>
      </c>
      <c r="R129">
        <f>CALC_EPM!R122</f>
        <v>0</v>
      </c>
      <c r="S129">
        <f>CALC_EPM!S122</f>
        <v>0</v>
      </c>
      <c r="T129">
        <f>CALC_EPM!T122</f>
        <v>0</v>
      </c>
      <c r="U129">
        <f>CALC_EPM!U122</f>
        <v>0</v>
      </c>
    </row>
    <row r="130" spans="1:21" x14ac:dyDescent="0.2">
      <c r="A130" t="str">
        <f>IF(CALC_EPM!A123="GLOBAL",IF(CALC_EPM!C123="Total","GLOBAL",IF(CALC_EPM!C123="TotalEsp","GLOBAL_ESP",IF(CALC_EPM!C123="TotalNoEsp","GLOBAL_NOESP","GLOBAL_ASIG"))),IF(CALC_EPM!C123="Total","CURSO_TOTAL",IF(CALC_EPM!C123="TotalEsp","CURSO_ESP",IF(CALC_EPM!C123="TotalNoEsp","CURSO_NOESP","CURSO_ASIG"))))</f>
        <v>CURSO_ASIG</v>
      </c>
      <c r="B130" t="str">
        <f>CALC_EPM!A123</f>
        <v>3EPM</v>
      </c>
      <c r="C130" t="str">
        <f>CALC_EPM!B123</f>
        <v>Bajo Eléctrico</v>
      </c>
      <c r="D130">
        <f>CALC_EPM!D123</f>
        <v>0</v>
      </c>
      <c r="E130" s="10" t="str">
        <f>CALC_EPM!E123</f>
        <v>—</v>
      </c>
      <c r="F130" s="10" t="str">
        <f>CALC_EPM!F123</f>
        <v>—</v>
      </c>
      <c r="G130" t="str">
        <f>CALC_EPM!G123</f>
        <v>—</v>
      </c>
      <c r="H130" s="11" t="str">
        <f>CALC_EPM!H123</f>
        <v>—</v>
      </c>
      <c r="I130" s="11" t="str">
        <f>CALC_EPM!I123</f>
        <v>—</v>
      </c>
      <c r="J130" t="str">
        <f>CALC_EPM!J123</f>
        <v>—</v>
      </c>
      <c r="K130" t="str">
        <f>CALC_EPM!K123</f>
        <v>—</v>
      </c>
      <c r="L130">
        <f>CALC_EPM!L123</f>
        <v>0</v>
      </c>
      <c r="M130">
        <f>CALC_EPM!M123</f>
        <v>0</v>
      </c>
      <c r="N130">
        <f>CALC_EPM!N123</f>
        <v>0</v>
      </c>
      <c r="O130">
        <f>CALC_EPM!O123</f>
        <v>0</v>
      </c>
      <c r="P130">
        <f>CALC_EPM!P123</f>
        <v>0</v>
      </c>
      <c r="Q130">
        <f>CALC_EPM!Q123</f>
        <v>0</v>
      </c>
      <c r="R130">
        <f>CALC_EPM!R123</f>
        <v>0</v>
      </c>
      <c r="S130">
        <f>CALC_EPM!S123</f>
        <v>0</v>
      </c>
      <c r="T130">
        <f>CALC_EPM!T123</f>
        <v>0</v>
      </c>
      <c r="U130">
        <f>CALC_EPM!U123</f>
        <v>0</v>
      </c>
    </row>
    <row r="131" spans="1:21" x14ac:dyDescent="0.2">
      <c r="A131" t="str">
        <f>IF(CALC_EPM!A124="GLOBAL",IF(CALC_EPM!C124="Total","GLOBAL",IF(CALC_EPM!C124="TotalEsp","GLOBAL_ESP",IF(CALC_EPM!C124="TotalNoEsp","GLOBAL_NOESP","GLOBAL_ASIG"))),IF(CALC_EPM!C124="Total","CURSO_TOTAL",IF(CALC_EPM!C124="TotalEsp","CURSO_ESP",IF(CALC_EPM!C124="TotalNoEsp","CURSO_NOESP","CURSO_ASIG"))))</f>
        <v>CURSO_ASIG</v>
      </c>
      <c r="B131" t="str">
        <f>CALC_EPM!A124</f>
        <v>3EPM</v>
      </c>
      <c r="C131" t="str">
        <f>CALC_EPM!B124</f>
        <v>Canto</v>
      </c>
      <c r="D131">
        <f>CALC_EPM!D124</f>
        <v>0</v>
      </c>
      <c r="E131" s="10" t="str">
        <f>CALC_EPM!E124</f>
        <v>—</v>
      </c>
      <c r="F131" s="10" t="str">
        <f>CALC_EPM!F124</f>
        <v>—</v>
      </c>
      <c r="G131" t="str">
        <f>CALC_EPM!G124</f>
        <v>—</v>
      </c>
      <c r="H131" s="11" t="str">
        <f>CALC_EPM!H124</f>
        <v>—</v>
      </c>
      <c r="I131" s="11" t="str">
        <f>CALC_EPM!I124</f>
        <v>—</v>
      </c>
      <c r="J131" t="str">
        <f>CALC_EPM!J124</f>
        <v>—</v>
      </c>
      <c r="K131" t="str">
        <f>CALC_EPM!K124</f>
        <v>—</v>
      </c>
      <c r="L131">
        <f>CALC_EPM!L124</f>
        <v>0</v>
      </c>
      <c r="M131">
        <f>CALC_EPM!M124</f>
        <v>0</v>
      </c>
      <c r="N131">
        <f>CALC_EPM!N124</f>
        <v>0</v>
      </c>
      <c r="O131">
        <f>CALC_EPM!O124</f>
        <v>0</v>
      </c>
      <c r="P131">
        <f>CALC_EPM!P124</f>
        <v>0</v>
      </c>
      <c r="Q131">
        <f>CALC_EPM!Q124</f>
        <v>0</v>
      </c>
      <c r="R131">
        <f>CALC_EPM!R124</f>
        <v>0</v>
      </c>
      <c r="S131">
        <f>CALC_EPM!S124</f>
        <v>0</v>
      </c>
      <c r="T131">
        <f>CALC_EPM!T124</f>
        <v>0</v>
      </c>
      <c r="U131">
        <f>CALC_EPM!U124</f>
        <v>0</v>
      </c>
    </row>
    <row r="132" spans="1:21" x14ac:dyDescent="0.2">
      <c r="A132" t="str">
        <f>IF(CALC_EPM!A125="GLOBAL",IF(CALC_EPM!C125="Total","GLOBAL",IF(CALC_EPM!C125="TotalEsp","GLOBAL_ESP",IF(CALC_EPM!C125="TotalNoEsp","GLOBAL_NOESP","GLOBAL_ASIG"))),IF(CALC_EPM!C125="Total","CURSO_TOTAL",IF(CALC_EPM!C125="TotalEsp","CURSO_ESP",IF(CALC_EPM!C125="TotalNoEsp","CURSO_NOESP","CURSO_ASIG"))))</f>
        <v>CURSO_ASIG</v>
      </c>
      <c r="B132" t="str">
        <f>CALC_EPM!A125</f>
        <v>3EPM</v>
      </c>
      <c r="C132" t="str">
        <f>CALC_EPM!B125</f>
        <v>Clarinete</v>
      </c>
      <c r="D132">
        <f>CALC_EPM!D125</f>
        <v>0</v>
      </c>
      <c r="E132" s="10" t="str">
        <f>CALC_EPM!E125</f>
        <v>—</v>
      </c>
      <c r="F132" s="10" t="str">
        <f>CALC_EPM!F125</f>
        <v>—</v>
      </c>
      <c r="G132" t="str">
        <f>CALC_EPM!G125</f>
        <v>—</v>
      </c>
      <c r="H132" s="11" t="str">
        <f>CALC_EPM!H125</f>
        <v>—</v>
      </c>
      <c r="I132" s="11" t="str">
        <f>CALC_EPM!I125</f>
        <v>—</v>
      </c>
      <c r="J132" t="str">
        <f>CALC_EPM!J125</f>
        <v>—</v>
      </c>
      <c r="K132" t="str">
        <f>CALC_EPM!K125</f>
        <v>—</v>
      </c>
      <c r="L132">
        <f>CALC_EPM!L125</f>
        <v>0</v>
      </c>
      <c r="M132">
        <f>CALC_EPM!M125</f>
        <v>0</v>
      </c>
      <c r="N132">
        <f>CALC_EPM!N125</f>
        <v>0</v>
      </c>
      <c r="O132">
        <f>CALC_EPM!O125</f>
        <v>0</v>
      </c>
      <c r="P132">
        <f>CALC_EPM!P125</f>
        <v>0</v>
      </c>
      <c r="Q132">
        <f>CALC_EPM!Q125</f>
        <v>0</v>
      </c>
      <c r="R132">
        <f>CALC_EPM!R125</f>
        <v>0</v>
      </c>
      <c r="S132">
        <f>CALC_EPM!S125</f>
        <v>0</v>
      </c>
      <c r="T132">
        <f>CALC_EPM!T125</f>
        <v>0</v>
      </c>
      <c r="U132">
        <f>CALC_EPM!U125</f>
        <v>0</v>
      </c>
    </row>
    <row r="133" spans="1:21" x14ac:dyDescent="0.2">
      <c r="A133" t="str">
        <f>IF(CALC_EPM!A126="GLOBAL",IF(CALC_EPM!C126="Total","GLOBAL",IF(CALC_EPM!C126="TotalEsp","GLOBAL_ESP",IF(CALC_EPM!C126="TotalNoEsp","GLOBAL_NOESP","GLOBAL_ASIG"))),IF(CALC_EPM!C126="Total","CURSO_TOTAL",IF(CALC_EPM!C126="TotalEsp","CURSO_ESP",IF(CALC_EPM!C126="TotalNoEsp","CURSO_NOESP","CURSO_ASIG"))))</f>
        <v>CURSO_ASIG</v>
      </c>
      <c r="B133" t="str">
        <f>CALC_EPM!A126</f>
        <v>3EPM</v>
      </c>
      <c r="C133" t="str">
        <f>CALC_EPM!B126</f>
        <v>Contrabajo</v>
      </c>
      <c r="D133">
        <f>CALC_EPM!D126</f>
        <v>0</v>
      </c>
      <c r="E133" s="10" t="str">
        <f>CALC_EPM!E126</f>
        <v>—</v>
      </c>
      <c r="F133" s="10" t="str">
        <f>CALC_EPM!F126</f>
        <v>—</v>
      </c>
      <c r="G133" t="str">
        <f>CALC_EPM!G126</f>
        <v>—</v>
      </c>
      <c r="H133" s="11" t="str">
        <f>CALC_EPM!H126</f>
        <v>—</v>
      </c>
      <c r="I133" s="11" t="str">
        <f>CALC_EPM!I126</f>
        <v>—</v>
      </c>
      <c r="J133" t="str">
        <f>CALC_EPM!J126</f>
        <v>—</v>
      </c>
      <c r="K133" t="str">
        <f>CALC_EPM!K126</f>
        <v>—</v>
      </c>
      <c r="L133">
        <f>CALC_EPM!L126</f>
        <v>0</v>
      </c>
      <c r="M133">
        <f>CALC_EPM!M126</f>
        <v>0</v>
      </c>
      <c r="N133">
        <f>CALC_EPM!N126</f>
        <v>0</v>
      </c>
      <c r="O133">
        <f>CALC_EPM!O126</f>
        <v>0</v>
      </c>
      <c r="P133">
        <f>CALC_EPM!P126</f>
        <v>0</v>
      </c>
      <c r="Q133">
        <f>CALC_EPM!Q126</f>
        <v>0</v>
      </c>
      <c r="R133">
        <f>CALC_EPM!R126</f>
        <v>0</v>
      </c>
      <c r="S133">
        <f>CALC_EPM!S126</f>
        <v>0</v>
      </c>
      <c r="T133">
        <f>CALC_EPM!T126</f>
        <v>0</v>
      </c>
      <c r="U133">
        <f>CALC_EPM!U126</f>
        <v>0</v>
      </c>
    </row>
    <row r="134" spans="1:21" x14ac:dyDescent="0.2">
      <c r="A134" t="str">
        <f>IF(CALC_EPM!A127="GLOBAL",IF(CALC_EPM!C127="Total","GLOBAL",IF(CALC_EPM!C127="TotalEsp","GLOBAL_ESP",IF(CALC_EPM!C127="TotalNoEsp","GLOBAL_NOESP","GLOBAL_ASIG"))),IF(CALC_EPM!C127="Total","CURSO_TOTAL",IF(CALC_EPM!C127="TotalEsp","CURSO_ESP",IF(CALC_EPM!C127="TotalNoEsp","CURSO_NOESP","CURSO_ASIG"))))</f>
        <v>CURSO_ASIG</v>
      </c>
      <c r="B134" t="str">
        <f>CALC_EPM!A127</f>
        <v>3EPM</v>
      </c>
      <c r="C134" t="str">
        <f>CALC_EPM!B127</f>
        <v>Dolçaina</v>
      </c>
      <c r="D134">
        <f>CALC_EPM!D127</f>
        <v>0</v>
      </c>
      <c r="E134" s="10" t="str">
        <f>CALC_EPM!E127</f>
        <v>—</v>
      </c>
      <c r="F134" s="10" t="str">
        <f>CALC_EPM!F127</f>
        <v>—</v>
      </c>
      <c r="G134" t="str">
        <f>CALC_EPM!G127</f>
        <v>—</v>
      </c>
      <c r="H134" s="11" t="str">
        <f>CALC_EPM!H127</f>
        <v>—</v>
      </c>
      <c r="I134" s="11" t="str">
        <f>CALC_EPM!I127</f>
        <v>—</v>
      </c>
      <c r="J134" t="str">
        <f>CALC_EPM!J127</f>
        <v>—</v>
      </c>
      <c r="K134" t="str">
        <f>CALC_EPM!K127</f>
        <v>—</v>
      </c>
      <c r="L134">
        <f>CALC_EPM!L127</f>
        <v>0</v>
      </c>
      <c r="M134">
        <f>CALC_EPM!M127</f>
        <v>0</v>
      </c>
      <c r="N134">
        <f>CALC_EPM!N127</f>
        <v>0</v>
      </c>
      <c r="O134">
        <f>CALC_EPM!O127</f>
        <v>0</v>
      </c>
      <c r="P134">
        <f>CALC_EPM!P127</f>
        <v>0</v>
      </c>
      <c r="Q134">
        <f>CALC_EPM!Q127</f>
        <v>0</v>
      </c>
      <c r="R134">
        <f>CALC_EPM!R127</f>
        <v>0</v>
      </c>
      <c r="S134">
        <f>CALC_EPM!S127</f>
        <v>0</v>
      </c>
      <c r="T134">
        <f>CALC_EPM!T127</f>
        <v>0</v>
      </c>
      <c r="U134">
        <f>CALC_EPM!U127</f>
        <v>0</v>
      </c>
    </row>
    <row r="135" spans="1:21" x14ac:dyDescent="0.2">
      <c r="A135" t="str">
        <f>IF(CALC_EPM!A128="GLOBAL",IF(CALC_EPM!C128="Total","GLOBAL",IF(CALC_EPM!C128="TotalEsp","GLOBAL_ESP",IF(CALC_EPM!C128="TotalNoEsp","GLOBAL_NOESP","GLOBAL_ASIG"))),IF(CALC_EPM!C128="Total","CURSO_TOTAL",IF(CALC_EPM!C128="TotalEsp","CURSO_ESP",IF(CALC_EPM!C128="TotalNoEsp","CURSO_NOESP","CURSO_ASIG"))))</f>
        <v>CURSO_ASIG</v>
      </c>
      <c r="B135" t="str">
        <f>CALC_EPM!A128</f>
        <v>3EPM</v>
      </c>
      <c r="C135" t="str">
        <f>CALC_EPM!B128</f>
        <v>Fagot</v>
      </c>
      <c r="D135">
        <f>CALC_EPM!D128</f>
        <v>0</v>
      </c>
      <c r="E135" s="10" t="str">
        <f>CALC_EPM!E128</f>
        <v>—</v>
      </c>
      <c r="F135" s="10" t="str">
        <f>CALC_EPM!F128</f>
        <v>—</v>
      </c>
      <c r="G135" t="str">
        <f>CALC_EPM!G128</f>
        <v>—</v>
      </c>
      <c r="H135" s="11" t="str">
        <f>CALC_EPM!H128</f>
        <v>—</v>
      </c>
      <c r="I135" s="11" t="str">
        <f>CALC_EPM!I128</f>
        <v>—</v>
      </c>
      <c r="J135" t="str">
        <f>CALC_EPM!J128</f>
        <v>—</v>
      </c>
      <c r="K135" t="str">
        <f>CALC_EPM!K128</f>
        <v>—</v>
      </c>
      <c r="L135">
        <f>CALC_EPM!L128</f>
        <v>0</v>
      </c>
      <c r="M135">
        <f>CALC_EPM!M128</f>
        <v>0</v>
      </c>
      <c r="N135">
        <f>CALC_EPM!N128</f>
        <v>0</v>
      </c>
      <c r="O135">
        <f>CALC_EPM!O128</f>
        <v>0</v>
      </c>
      <c r="P135">
        <f>CALC_EPM!P128</f>
        <v>0</v>
      </c>
      <c r="Q135">
        <f>CALC_EPM!Q128</f>
        <v>0</v>
      </c>
      <c r="R135">
        <f>CALC_EPM!R128</f>
        <v>0</v>
      </c>
      <c r="S135">
        <f>CALC_EPM!S128</f>
        <v>0</v>
      </c>
      <c r="T135">
        <f>CALC_EPM!T128</f>
        <v>0</v>
      </c>
      <c r="U135">
        <f>CALC_EPM!U128</f>
        <v>0</v>
      </c>
    </row>
    <row r="136" spans="1:21" x14ac:dyDescent="0.2">
      <c r="A136" t="str">
        <f>IF(CALC_EPM!A129="GLOBAL",IF(CALC_EPM!C129="Total","GLOBAL",IF(CALC_EPM!C129="TotalEsp","GLOBAL_ESP",IF(CALC_EPM!C129="TotalNoEsp","GLOBAL_NOESP","GLOBAL_ASIG"))),IF(CALC_EPM!C129="Total","CURSO_TOTAL",IF(CALC_EPM!C129="TotalEsp","CURSO_ESP",IF(CALC_EPM!C129="TotalNoEsp","CURSO_NOESP","CURSO_ASIG"))))</f>
        <v>CURSO_ASIG</v>
      </c>
      <c r="B136" t="str">
        <f>CALC_EPM!A129</f>
        <v>3EPM</v>
      </c>
      <c r="C136" t="str">
        <f>CALC_EPM!B129</f>
        <v>Flauta Travesera</v>
      </c>
      <c r="D136">
        <f>CALC_EPM!D129</f>
        <v>0</v>
      </c>
      <c r="E136" s="10" t="str">
        <f>CALC_EPM!E129</f>
        <v>—</v>
      </c>
      <c r="F136" s="10" t="str">
        <f>CALC_EPM!F129</f>
        <v>—</v>
      </c>
      <c r="G136" t="str">
        <f>CALC_EPM!G129</f>
        <v>—</v>
      </c>
      <c r="H136" s="11" t="str">
        <f>CALC_EPM!H129</f>
        <v>—</v>
      </c>
      <c r="I136" s="11" t="str">
        <f>CALC_EPM!I129</f>
        <v>—</v>
      </c>
      <c r="J136" t="str">
        <f>CALC_EPM!J129</f>
        <v>—</v>
      </c>
      <c r="K136" t="str">
        <f>CALC_EPM!K129</f>
        <v>—</v>
      </c>
      <c r="L136">
        <f>CALC_EPM!L129</f>
        <v>0</v>
      </c>
      <c r="M136">
        <f>CALC_EPM!M129</f>
        <v>0</v>
      </c>
      <c r="N136">
        <f>CALC_EPM!N129</f>
        <v>0</v>
      </c>
      <c r="O136">
        <f>CALC_EPM!O129</f>
        <v>0</v>
      </c>
      <c r="P136">
        <f>CALC_EPM!P129</f>
        <v>0</v>
      </c>
      <c r="Q136">
        <f>CALC_EPM!Q129</f>
        <v>0</v>
      </c>
      <c r="R136">
        <f>CALC_EPM!R129</f>
        <v>0</v>
      </c>
      <c r="S136">
        <f>CALC_EPM!S129</f>
        <v>0</v>
      </c>
      <c r="T136">
        <f>CALC_EPM!T129</f>
        <v>0</v>
      </c>
      <c r="U136">
        <f>CALC_EPM!U129</f>
        <v>0</v>
      </c>
    </row>
    <row r="137" spans="1:21" x14ac:dyDescent="0.2">
      <c r="A137" t="str">
        <f>IF(CALC_EPM!A130="GLOBAL",IF(CALC_EPM!C130="Total","GLOBAL",IF(CALC_EPM!C130="TotalEsp","GLOBAL_ESP",IF(CALC_EPM!C130="TotalNoEsp","GLOBAL_NOESP","GLOBAL_ASIG"))),IF(CALC_EPM!C130="Total","CURSO_TOTAL",IF(CALC_EPM!C130="TotalEsp","CURSO_ESP",IF(CALC_EPM!C130="TotalNoEsp","CURSO_NOESP","CURSO_ASIG"))))</f>
        <v>CURSO_ASIG</v>
      </c>
      <c r="B137" t="str">
        <f>CALC_EPM!A130</f>
        <v>3EPM</v>
      </c>
      <c r="C137" t="str">
        <f>CALC_EPM!B130</f>
        <v>Guitarra</v>
      </c>
      <c r="D137">
        <f>CALC_EPM!D130</f>
        <v>0</v>
      </c>
      <c r="E137" s="10" t="str">
        <f>CALC_EPM!E130</f>
        <v>—</v>
      </c>
      <c r="F137" s="10" t="str">
        <f>CALC_EPM!F130</f>
        <v>—</v>
      </c>
      <c r="G137" t="str">
        <f>CALC_EPM!G130</f>
        <v>—</v>
      </c>
      <c r="H137" s="11" t="str">
        <f>CALC_EPM!H130</f>
        <v>—</v>
      </c>
      <c r="I137" s="11" t="str">
        <f>CALC_EPM!I130</f>
        <v>—</v>
      </c>
      <c r="J137" t="str">
        <f>CALC_EPM!J130</f>
        <v>—</v>
      </c>
      <c r="K137" t="str">
        <f>CALC_EPM!K130</f>
        <v>—</v>
      </c>
      <c r="L137">
        <f>CALC_EPM!L130</f>
        <v>0</v>
      </c>
      <c r="M137">
        <f>CALC_EPM!M130</f>
        <v>0</v>
      </c>
      <c r="N137">
        <f>CALC_EPM!N130</f>
        <v>0</v>
      </c>
      <c r="O137">
        <f>CALC_EPM!O130</f>
        <v>0</v>
      </c>
      <c r="P137">
        <f>CALC_EPM!P130</f>
        <v>0</v>
      </c>
      <c r="Q137">
        <f>CALC_EPM!Q130</f>
        <v>0</v>
      </c>
      <c r="R137">
        <f>CALC_EPM!R130</f>
        <v>0</v>
      </c>
      <c r="S137">
        <f>CALC_EPM!S130</f>
        <v>0</v>
      </c>
      <c r="T137">
        <f>CALC_EPM!T130</f>
        <v>0</v>
      </c>
      <c r="U137">
        <f>CALC_EPM!U130</f>
        <v>0</v>
      </c>
    </row>
    <row r="138" spans="1:21" x14ac:dyDescent="0.2">
      <c r="A138" t="str">
        <f>IF(CALC_EPM!A131="GLOBAL",IF(CALC_EPM!C131="Total","GLOBAL",IF(CALC_EPM!C131="TotalEsp","GLOBAL_ESP",IF(CALC_EPM!C131="TotalNoEsp","GLOBAL_NOESP","GLOBAL_ASIG"))),IF(CALC_EPM!C131="Total","CURSO_TOTAL",IF(CALC_EPM!C131="TotalEsp","CURSO_ESP",IF(CALC_EPM!C131="TotalNoEsp","CURSO_NOESP","CURSO_ASIG"))))</f>
        <v>CURSO_ASIG</v>
      </c>
      <c r="B138" t="str">
        <f>CALC_EPM!A131</f>
        <v>3EPM</v>
      </c>
      <c r="C138" t="str">
        <f>CALC_EPM!B131</f>
        <v>Guitarra Eléctrica</v>
      </c>
      <c r="D138">
        <f>CALC_EPM!D131</f>
        <v>0</v>
      </c>
      <c r="E138" s="10" t="str">
        <f>CALC_EPM!E131</f>
        <v>—</v>
      </c>
      <c r="F138" s="10" t="str">
        <f>CALC_EPM!F131</f>
        <v>—</v>
      </c>
      <c r="G138" t="str">
        <f>CALC_EPM!G131</f>
        <v>—</v>
      </c>
      <c r="H138" s="11" t="str">
        <f>CALC_EPM!H131</f>
        <v>—</v>
      </c>
      <c r="I138" s="11" t="str">
        <f>CALC_EPM!I131</f>
        <v>—</v>
      </c>
      <c r="J138" t="str">
        <f>CALC_EPM!J131</f>
        <v>—</v>
      </c>
      <c r="K138" t="str">
        <f>CALC_EPM!K131</f>
        <v>—</v>
      </c>
      <c r="L138">
        <f>CALC_EPM!L131</f>
        <v>0</v>
      </c>
      <c r="M138">
        <f>CALC_EPM!M131</f>
        <v>0</v>
      </c>
      <c r="N138">
        <f>CALC_EPM!N131</f>
        <v>0</v>
      </c>
      <c r="O138">
        <f>CALC_EPM!O131</f>
        <v>0</v>
      </c>
      <c r="P138">
        <f>CALC_EPM!P131</f>
        <v>0</v>
      </c>
      <c r="Q138">
        <f>CALC_EPM!Q131</f>
        <v>0</v>
      </c>
      <c r="R138">
        <f>CALC_EPM!R131</f>
        <v>0</v>
      </c>
      <c r="S138">
        <f>CALC_EPM!S131</f>
        <v>0</v>
      </c>
      <c r="T138">
        <f>CALC_EPM!T131</f>
        <v>0</v>
      </c>
      <c r="U138">
        <f>CALC_EPM!U131</f>
        <v>0</v>
      </c>
    </row>
    <row r="139" spans="1:21" x14ac:dyDescent="0.2">
      <c r="A139" t="str">
        <f>IF(CALC_EPM!A132="GLOBAL",IF(CALC_EPM!C132="Total","GLOBAL",IF(CALC_EPM!C132="TotalEsp","GLOBAL_ESP",IF(CALC_EPM!C132="TotalNoEsp","GLOBAL_NOESP","GLOBAL_ASIG"))),IF(CALC_EPM!C132="Total","CURSO_TOTAL",IF(CALC_EPM!C132="TotalEsp","CURSO_ESP",IF(CALC_EPM!C132="TotalNoEsp","CURSO_NOESP","CURSO_ASIG"))))</f>
        <v>CURSO_ASIG</v>
      </c>
      <c r="B139" t="str">
        <f>CALC_EPM!A132</f>
        <v>3EPM</v>
      </c>
      <c r="C139" t="str">
        <f>CALC_EPM!B132</f>
        <v>Oboe</v>
      </c>
      <c r="D139">
        <f>CALC_EPM!D132</f>
        <v>0</v>
      </c>
      <c r="E139" s="10" t="str">
        <f>CALC_EPM!E132</f>
        <v>—</v>
      </c>
      <c r="F139" s="10" t="str">
        <f>CALC_EPM!F132</f>
        <v>—</v>
      </c>
      <c r="G139" t="str">
        <f>CALC_EPM!G132</f>
        <v>—</v>
      </c>
      <c r="H139" s="11" t="str">
        <f>CALC_EPM!H132</f>
        <v>—</v>
      </c>
      <c r="I139" s="11" t="str">
        <f>CALC_EPM!I132</f>
        <v>—</v>
      </c>
      <c r="J139" t="str">
        <f>CALC_EPM!J132</f>
        <v>—</v>
      </c>
      <c r="K139" t="str">
        <f>CALC_EPM!K132</f>
        <v>—</v>
      </c>
      <c r="L139">
        <f>CALC_EPM!L132</f>
        <v>0</v>
      </c>
      <c r="M139">
        <f>CALC_EPM!M132</f>
        <v>0</v>
      </c>
      <c r="N139">
        <f>CALC_EPM!N132</f>
        <v>0</v>
      </c>
      <c r="O139">
        <f>CALC_EPM!O132</f>
        <v>0</v>
      </c>
      <c r="P139">
        <f>CALC_EPM!P132</f>
        <v>0</v>
      </c>
      <c r="Q139">
        <f>CALC_EPM!Q132</f>
        <v>0</v>
      </c>
      <c r="R139">
        <f>CALC_EPM!R132</f>
        <v>0</v>
      </c>
      <c r="S139">
        <f>CALC_EPM!S132</f>
        <v>0</v>
      </c>
      <c r="T139">
        <f>CALC_EPM!T132</f>
        <v>0</v>
      </c>
      <c r="U139">
        <f>CALC_EPM!U132</f>
        <v>0</v>
      </c>
    </row>
    <row r="140" spans="1:21" x14ac:dyDescent="0.2">
      <c r="A140" t="str">
        <f>IF(CALC_EPM!A133="GLOBAL",IF(CALC_EPM!C133="Total","GLOBAL",IF(CALC_EPM!C133="TotalEsp","GLOBAL_ESP",IF(CALC_EPM!C133="TotalNoEsp","GLOBAL_NOESP","GLOBAL_ASIG"))),IF(CALC_EPM!C133="Total","CURSO_TOTAL",IF(CALC_EPM!C133="TotalEsp","CURSO_ESP",IF(CALC_EPM!C133="TotalNoEsp","CURSO_NOESP","CURSO_ASIG"))))</f>
        <v>CURSO_ASIG</v>
      </c>
      <c r="B140" t="str">
        <f>CALC_EPM!A133</f>
        <v>3EPM</v>
      </c>
      <c r="C140" t="str">
        <f>CALC_EPM!B133</f>
        <v>Percusión</v>
      </c>
      <c r="D140">
        <f>CALC_EPM!D133</f>
        <v>0</v>
      </c>
      <c r="E140" s="10" t="str">
        <f>CALC_EPM!E133</f>
        <v>—</v>
      </c>
      <c r="F140" s="10" t="str">
        <f>CALC_EPM!F133</f>
        <v>—</v>
      </c>
      <c r="G140" t="str">
        <f>CALC_EPM!G133</f>
        <v>—</v>
      </c>
      <c r="H140" s="11" t="str">
        <f>CALC_EPM!H133</f>
        <v>—</v>
      </c>
      <c r="I140" s="11" t="str">
        <f>CALC_EPM!I133</f>
        <v>—</v>
      </c>
      <c r="J140" t="str">
        <f>CALC_EPM!J133</f>
        <v>—</v>
      </c>
      <c r="K140" t="str">
        <f>CALC_EPM!K133</f>
        <v>—</v>
      </c>
      <c r="L140">
        <f>CALC_EPM!L133</f>
        <v>0</v>
      </c>
      <c r="M140">
        <f>CALC_EPM!M133</f>
        <v>0</v>
      </c>
      <c r="N140">
        <f>CALC_EPM!N133</f>
        <v>0</v>
      </c>
      <c r="O140">
        <f>CALC_EPM!O133</f>
        <v>0</v>
      </c>
      <c r="P140">
        <f>CALC_EPM!P133</f>
        <v>0</v>
      </c>
      <c r="Q140">
        <f>CALC_EPM!Q133</f>
        <v>0</v>
      </c>
      <c r="R140">
        <f>CALC_EPM!R133</f>
        <v>0</v>
      </c>
      <c r="S140">
        <f>CALC_EPM!S133</f>
        <v>0</v>
      </c>
      <c r="T140">
        <f>CALC_EPM!T133</f>
        <v>0</v>
      </c>
      <c r="U140">
        <f>CALC_EPM!U133</f>
        <v>0</v>
      </c>
    </row>
    <row r="141" spans="1:21" x14ac:dyDescent="0.2">
      <c r="A141" t="str">
        <f>IF(CALC_EPM!A134="GLOBAL",IF(CALC_EPM!C134="Total","GLOBAL",IF(CALC_EPM!C134="TotalEsp","GLOBAL_ESP",IF(CALC_EPM!C134="TotalNoEsp","GLOBAL_NOESP","GLOBAL_ASIG"))),IF(CALC_EPM!C134="Total","CURSO_TOTAL",IF(CALC_EPM!C134="TotalEsp","CURSO_ESP",IF(CALC_EPM!C134="TotalNoEsp","CURSO_NOESP","CURSO_ASIG"))))</f>
        <v>CURSO_ASIG</v>
      </c>
      <c r="B141" t="str">
        <f>CALC_EPM!A134</f>
        <v>3EPM</v>
      </c>
      <c r="C141" t="str">
        <f>CALC_EPM!B134</f>
        <v>Piano</v>
      </c>
      <c r="D141">
        <f>CALC_EPM!D134</f>
        <v>0</v>
      </c>
      <c r="E141" s="10" t="str">
        <f>CALC_EPM!E134</f>
        <v>—</v>
      </c>
      <c r="F141" s="10" t="str">
        <f>CALC_EPM!F134</f>
        <v>—</v>
      </c>
      <c r="G141" t="str">
        <f>CALC_EPM!G134</f>
        <v>—</v>
      </c>
      <c r="H141" s="11" t="str">
        <f>CALC_EPM!H134</f>
        <v>—</v>
      </c>
      <c r="I141" s="11" t="str">
        <f>CALC_EPM!I134</f>
        <v>—</v>
      </c>
      <c r="J141" t="str">
        <f>CALC_EPM!J134</f>
        <v>—</v>
      </c>
      <c r="K141" t="str">
        <f>CALC_EPM!K134</f>
        <v>—</v>
      </c>
      <c r="L141">
        <f>CALC_EPM!L134</f>
        <v>0</v>
      </c>
      <c r="M141">
        <f>CALC_EPM!M134</f>
        <v>0</v>
      </c>
      <c r="N141">
        <f>CALC_EPM!N134</f>
        <v>0</v>
      </c>
      <c r="O141">
        <f>CALC_EPM!O134</f>
        <v>0</v>
      </c>
      <c r="P141">
        <f>CALC_EPM!P134</f>
        <v>0</v>
      </c>
      <c r="Q141">
        <f>CALC_EPM!Q134</f>
        <v>0</v>
      </c>
      <c r="R141">
        <f>CALC_EPM!R134</f>
        <v>0</v>
      </c>
      <c r="S141">
        <f>CALC_EPM!S134</f>
        <v>0</v>
      </c>
      <c r="T141">
        <f>CALC_EPM!T134</f>
        <v>0</v>
      </c>
      <c r="U141">
        <f>CALC_EPM!U134</f>
        <v>0</v>
      </c>
    </row>
    <row r="142" spans="1:21" x14ac:dyDescent="0.2">
      <c r="A142" t="str">
        <f>IF(CALC_EPM!A135="GLOBAL",IF(CALC_EPM!C135="Total","GLOBAL",IF(CALC_EPM!C135="TotalEsp","GLOBAL_ESP",IF(CALC_EPM!C135="TotalNoEsp","GLOBAL_NOESP","GLOBAL_ASIG"))),IF(CALC_EPM!C135="Total","CURSO_TOTAL",IF(CALC_EPM!C135="TotalEsp","CURSO_ESP",IF(CALC_EPM!C135="TotalNoEsp","CURSO_NOESP","CURSO_ASIG"))))</f>
        <v>CURSO_ASIG</v>
      </c>
      <c r="B142" t="str">
        <f>CALC_EPM!A135</f>
        <v>3EPM</v>
      </c>
      <c r="C142" t="str">
        <f>CALC_EPM!B135</f>
        <v>Saxofón</v>
      </c>
      <c r="D142">
        <f>CALC_EPM!D135</f>
        <v>0</v>
      </c>
      <c r="E142" s="10" t="str">
        <f>CALC_EPM!E135</f>
        <v>—</v>
      </c>
      <c r="F142" s="10" t="str">
        <f>CALC_EPM!F135</f>
        <v>—</v>
      </c>
      <c r="G142" t="str">
        <f>CALC_EPM!G135</f>
        <v>—</v>
      </c>
      <c r="H142" s="11" t="str">
        <f>CALC_EPM!H135</f>
        <v>—</v>
      </c>
      <c r="I142" s="11" t="str">
        <f>CALC_EPM!I135</f>
        <v>—</v>
      </c>
      <c r="J142" t="str">
        <f>CALC_EPM!J135</f>
        <v>—</v>
      </c>
      <c r="K142" t="str">
        <f>CALC_EPM!K135</f>
        <v>—</v>
      </c>
      <c r="L142">
        <f>CALC_EPM!L135</f>
        <v>0</v>
      </c>
      <c r="M142">
        <f>CALC_EPM!M135</f>
        <v>0</v>
      </c>
      <c r="N142">
        <f>CALC_EPM!N135</f>
        <v>0</v>
      </c>
      <c r="O142">
        <f>CALC_EPM!O135</f>
        <v>0</v>
      </c>
      <c r="P142">
        <f>CALC_EPM!P135</f>
        <v>0</v>
      </c>
      <c r="Q142">
        <f>CALC_EPM!Q135</f>
        <v>0</v>
      </c>
      <c r="R142">
        <f>CALC_EPM!R135</f>
        <v>0</v>
      </c>
      <c r="S142">
        <f>CALC_EPM!S135</f>
        <v>0</v>
      </c>
      <c r="T142">
        <f>CALC_EPM!T135</f>
        <v>0</v>
      </c>
      <c r="U142">
        <f>CALC_EPM!U135</f>
        <v>0</v>
      </c>
    </row>
    <row r="143" spans="1:21" x14ac:dyDescent="0.2">
      <c r="A143" t="str">
        <f>IF(CALC_EPM!A136="GLOBAL",IF(CALC_EPM!C136="Total","GLOBAL",IF(CALC_EPM!C136="TotalEsp","GLOBAL_ESP",IF(CALC_EPM!C136="TotalNoEsp","GLOBAL_NOESP","GLOBAL_ASIG"))),IF(CALC_EPM!C136="Total","CURSO_TOTAL",IF(CALC_EPM!C136="TotalEsp","CURSO_ESP",IF(CALC_EPM!C136="TotalNoEsp","CURSO_NOESP","CURSO_ASIG"))))</f>
        <v>CURSO_ASIG</v>
      </c>
      <c r="B143" t="str">
        <f>CALC_EPM!A136</f>
        <v>3EPM</v>
      </c>
      <c r="C143" t="str">
        <f>CALC_EPM!B136</f>
        <v>Trombón</v>
      </c>
      <c r="D143">
        <f>CALC_EPM!D136</f>
        <v>0</v>
      </c>
      <c r="E143" s="10" t="str">
        <f>CALC_EPM!E136</f>
        <v>—</v>
      </c>
      <c r="F143" s="10" t="str">
        <f>CALC_EPM!F136</f>
        <v>—</v>
      </c>
      <c r="G143" t="str">
        <f>CALC_EPM!G136</f>
        <v>—</v>
      </c>
      <c r="H143" s="11" t="str">
        <f>CALC_EPM!H136</f>
        <v>—</v>
      </c>
      <c r="I143" s="11" t="str">
        <f>CALC_EPM!I136</f>
        <v>—</v>
      </c>
      <c r="J143" t="str">
        <f>CALC_EPM!J136</f>
        <v>—</v>
      </c>
      <c r="K143" t="str">
        <f>CALC_EPM!K136</f>
        <v>—</v>
      </c>
      <c r="L143">
        <f>CALC_EPM!L136</f>
        <v>0</v>
      </c>
      <c r="M143">
        <f>CALC_EPM!M136</f>
        <v>0</v>
      </c>
      <c r="N143">
        <f>CALC_EPM!N136</f>
        <v>0</v>
      </c>
      <c r="O143">
        <f>CALC_EPM!O136</f>
        <v>0</v>
      </c>
      <c r="P143">
        <f>CALC_EPM!P136</f>
        <v>0</v>
      </c>
      <c r="Q143">
        <f>CALC_EPM!Q136</f>
        <v>0</v>
      </c>
      <c r="R143">
        <f>CALC_EPM!R136</f>
        <v>0</v>
      </c>
      <c r="S143">
        <f>CALC_EPM!S136</f>
        <v>0</v>
      </c>
      <c r="T143">
        <f>CALC_EPM!T136</f>
        <v>0</v>
      </c>
      <c r="U143">
        <f>CALC_EPM!U136</f>
        <v>0</v>
      </c>
    </row>
    <row r="144" spans="1:21" x14ac:dyDescent="0.2">
      <c r="A144" t="str">
        <f>IF(CALC_EPM!A137="GLOBAL",IF(CALC_EPM!C137="Total","GLOBAL",IF(CALC_EPM!C137="TotalEsp","GLOBAL_ESP",IF(CALC_EPM!C137="TotalNoEsp","GLOBAL_NOESP","GLOBAL_ASIG"))),IF(CALC_EPM!C137="Total","CURSO_TOTAL",IF(CALC_EPM!C137="TotalEsp","CURSO_ESP",IF(CALC_EPM!C137="TotalNoEsp","CURSO_NOESP","CURSO_ASIG"))))</f>
        <v>CURSO_ASIG</v>
      </c>
      <c r="B144" t="str">
        <f>CALC_EPM!A137</f>
        <v>3EPM</v>
      </c>
      <c r="C144" t="str">
        <f>CALC_EPM!B137</f>
        <v>Trompa</v>
      </c>
      <c r="D144">
        <f>CALC_EPM!D137</f>
        <v>0</v>
      </c>
      <c r="E144" s="10" t="str">
        <f>CALC_EPM!E137</f>
        <v>—</v>
      </c>
      <c r="F144" s="10" t="str">
        <f>CALC_EPM!F137</f>
        <v>—</v>
      </c>
      <c r="G144" t="str">
        <f>CALC_EPM!G137</f>
        <v>—</v>
      </c>
      <c r="H144" s="11" t="str">
        <f>CALC_EPM!H137</f>
        <v>—</v>
      </c>
      <c r="I144" s="11" t="str">
        <f>CALC_EPM!I137</f>
        <v>—</v>
      </c>
      <c r="J144" t="str">
        <f>CALC_EPM!J137</f>
        <v>—</v>
      </c>
      <c r="K144" t="str">
        <f>CALC_EPM!K137</f>
        <v>—</v>
      </c>
      <c r="L144">
        <f>CALC_EPM!L137</f>
        <v>0</v>
      </c>
      <c r="M144">
        <f>CALC_EPM!M137</f>
        <v>0</v>
      </c>
      <c r="N144">
        <f>CALC_EPM!N137</f>
        <v>0</v>
      </c>
      <c r="O144">
        <f>CALC_EPM!O137</f>
        <v>0</v>
      </c>
      <c r="P144">
        <f>CALC_EPM!P137</f>
        <v>0</v>
      </c>
      <c r="Q144">
        <f>CALC_EPM!Q137</f>
        <v>0</v>
      </c>
      <c r="R144">
        <f>CALC_EPM!R137</f>
        <v>0</v>
      </c>
      <c r="S144">
        <f>CALC_EPM!S137</f>
        <v>0</v>
      </c>
      <c r="T144">
        <f>CALC_EPM!T137</f>
        <v>0</v>
      </c>
      <c r="U144">
        <f>CALC_EPM!U137</f>
        <v>0</v>
      </c>
    </row>
    <row r="145" spans="1:21" x14ac:dyDescent="0.2">
      <c r="A145" t="str">
        <f>IF(CALC_EPM!A138="GLOBAL",IF(CALC_EPM!C138="Total","GLOBAL",IF(CALC_EPM!C138="TotalEsp","GLOBAL_ESP",IF(CALC_EPM!C138="TotalNoEsp","GLOBAL_NOESP","GLOBAL_ASIG"))),IF(CALC_EPM!C138="Total","CURSO_TOTAL",IF(CALC_EPM!C138="TotalEsp","CURSO_ESP",IF(CALC_EPM!C138="TotalNoEsp","CURSO_NOESP","CURSO_ASIG"))))</f>
        <v>CURSO_ASIG</v>
      </c>
      <c r="B145" t="str">
        <f>CALC_EPM!A138</f>
        <v>3EPM</v>
      </c>
      <c r="C145" t="str">
        <f>CALC_EPM!B138</f>
        <v>Trompeta</v>
      </c>
      <c r="D145">
        <f>CALC_EPM!D138</f>
        <v>0</v>
      </c>
      <c r="E145" s="10" t="str">
        <f>CALC_EPM!E138</f>
        <v>—</v>
      </c>
      <c r="F145" s="10" t="str">
        <f>CALC_EPM!F138</f>
        <v>—</v>
      </c>
      <c r="G145" t="str">
        <f>CALC_EPM!G138</f>
        <v>—</v>
      </c>
      <c r="H145" s="11" t="str">
        <f>CALC_EPM!H138</f>
        <v>—</v>
      </c>
      <c r="I145" s="11" t="str">
        <f>CALC_EPM!I138</f>
        <v>—</v>
      </c>
      <c r="J145" t="str">
        <f>CALC_EPM!J138</f>
        <v>—</v>
      </c>
      <c r="K145" t="str">
        <f>CALC_EPM!K138</f>
        <v>—</v>
      </c>
      <c r="L145">
        <f>CALC_EPM!L138</f>
        <v>0</v>
      </c>
      <c r="M145">
        <f>CALC_EPM!M138</f>
        <v>0</v>
      </c>
      <c r="N145">
        <f>CALC_EPM!N138</f>
        <v>0</v>
      </c>
      <c r="O145">
        <f>CALC_EPM!O138</f>
        <v>0</v>
      </c>
      <c r="P145">
        <f>CALC_EPM!P138</f>
        <v>0</v>
      </c>
      <c r="Q145">
        <f>CALC_EPM!Q138</f>
        <v>0</v>
      </c>
      <c r="R145">
        <f>CALC_EPM!R138</f>
        <v>0</v>
      </c>
      <c r="S145">
        <f>CALC_EPM!S138</f>
        <v>0</v>
      </c>
      <c r="T145">
        <f>CALC_EPM!T138</f>
        <v>0</v>
      </c>
      <c r="U145">
        <f>CALC_EPM!U138</f>
        <v>0</v>
      </c>
    </row>
    <row r="146" spans="1:21" x14ac:dyDescent="0.2">
      <c r="A146" t="str">
        <f>IF(CALC_EPM!A139="GLOBAL",IF(CALC_EPM!C139="Total","GLOBAL",IF(CALC_EPM!C139="TotalEsp","GLOBAL_ESP",IF(CALC_EPM!C139="TotalNoEsp","GLOBAL_NOESP","GLOBAL_ASIG"))),IF(CALC_EPM!C139="Total","CURSO_TOTAL",IF(CALC_EPM!C139="TotalEsp","CURSO_ESP",IF(CALC_EPM!C139="TotalNoEsp","CURSO_NOESP","CURSO_ASIG"))))</f>
        <v>CURSO_ASIG</v>
      </c>
      <c r="B146" t="str">
        <f>CALC_EPM!A139</f>
        <v>3EPM</v>
      </c>
      <c r="C146" t="str">
        <f>CALC_EPM!B139</f>
        <v>Tuba</v>
      </c>
      <c r="D146">
        <f>CALC_EPM!D139</f>
        <v>0</v>
      </c>
      <c r="E146" s="10" t="str">
        <f>CALC_EPM!E139</f>
        <v>—</v>
      </c>
      <c r="F146" s="10" t="str">
        <f>CALC_EPM!F139</f>
        <v>—</v>
      </c>
      <c r="G146" t="str">
        <f>CALC_EPM!G139</f>
        <v>—</v>
      </c>
      <c r="H146" s="11" t="str">
        <f>CALC_EPM!H139</f>
        <v>—</v>
      </c>
      <c r="I146" s="11" t="str">
        <f>CALC_EPM!I139</f>
        <v>—</v>
      </c>
      <c r="J146" t="str">
        <f>CALC_EPM!J139</f>
        <v>—</v>
      </c>
      <c r="K146" t="str">
        <f>CALC_EPM!K139</f>
        <v>—</v>
      </c>
      <c r="L146">
        <f>CALC_EPM!L139</f>
        <v>0</v>
      </c>
      <c r="M146">
        <f>CALC_EPM!M139</f>
        <v>0</v>
      </c>
      <c r="N146">
        <f>CALC_EPM!N139</f>
        <v>0</v>
      </c>
      <c r="O146">
        <f>CALC_EPM!O139</f>
        <v>0</v>
      </c>
      <c r="P146">
        <f>CALC_EPM!P139</f>
        <v>0</v>
      </c>
      <c r="Q146">
        <f>CALC_EPM!Q139</f>
        <v>0</v>
      </c>
      <c r="R146">
        <f>CALC_EPM!R139</f>
        <v>0</v>
      </c>
      <c r="S146">
        <f>CALC_EPM!S139</f>
        <v>0</v>
      </c>
      <c r="T146">
        <f>CALC_EPM!T139</f>
        <v>0</v>
      </c>
      <c r="U146">
        <f>CALC_EPM!U139</f>
        <v>0</v>
      </c>
    </row>
    <row r="147" spans="1:21" x14ac:dyDescent="0.2">
      <c r="A147" t="str">
        <f>IF(CALC_EPM!A140="GLOBAL",IF(CALC_EPM!C140="Total","GLOBAL",IF(CALC_EPM!C140="TotalEsp","GLOBAL_ESP",IF(CALC_EPM!C140="TotalNoEsp","GLOBAL_NOESP","GLOBAL_ASIG"))),IF(CALC_EPM!C140="Total","CURSO_TOTAL",IF(CALC_EPM!C140="TotalEsp","CURSO_ESP",IF(CALC_EPM!C140="TotalNoEsp","CURSO_NOESP","CURSO_ASIG"))))</f>
        <v>CURSO_ASIG</v>
      </c>
      <c r="B147" t="str">
        <f>CALC_EPM!A140</f>
        <v>3EPM</v>
      </c>
      <c r="C147" t="str">
        <f>CALC_EPM!B140</f>
        <v>Viola</v>
      </c>
      <c r="D147">
        <f>CALC_EPM!D140</f>
        <v>0</v>
      </c>
      <c r="E147" s="10" t="str">
        <f>CALC_EPM!E140</f>
        <v>—</v>
      </c>
      <c r="F147" s="10" t="str">
        <f>CALC_EPM!F140</f>
        <v>—</v>
      </c>
      <c r="G147" t="str">
        <f>CALC_EPM!G140</f>
        <v>—</v>
      </c>
      <c r="H147" s="11" t="str">
        <f>CALC_EPM!H140</f>
        <v>—</v>
      </c>
      <c r="I147" s="11" t="str">
        <f>CALC_EPM!I140</f>
        <v>—</v>
      </c>
      <c r="J147" t="str">
        <f>CALC_EPM!J140</f>
        <v>—</v>
      </c>
      <c r="K147" t="str">
        <f>CALC_EPM!K140</f>
        <v>—</v>
      </c>
      <c r="L147">
        <f>CALC_EPM!L140</f>
        <v>0</v>
      </c>
      <c r="M147">
        <f>CALC_EPM!M140</f>
        <v>0</v>
      </c>
      <c r="N147">
        <f>CALC_EPM!N140</f>
        <v>0</v>
      </c>
      <c r="O147">
        <f>CALC_EPM!O140</f>
        <v>0</v>
      </c>
      <c r="P147">
        <f>CALC_EPM!P140</f>
        <v>0</v>
      </c>
      <c r="Q147">
        <f>CALC_EPM!Q140</f>
        <v>0</v>
      </c>
      <c r="R147">
        <f>CALC_EPM!R140</f>
        <v>0</v>
      </c>
      <c r="S147">
        <f>CALC_EPM!S140</f>
        <v>0</v>
      </c>
      <c r="T147">
        <f>CALC_EPM!T140</f>
        <v>0</v>
      </c>
      <c r="U147">
        <f>CALC_EPM!U140</f>
        <v>0</v>
      </c>
    </row>
    <row r="148" spans="1:21" x14ac:dyDescent="0.2">
      <c r="A148" t="str">
        <f>IF(CALC_EPM!A141="GLOBAL",IF(CALC_EPM!C141="Total","GLOBAL",IF(CALC_EPM!C141="TotalEsp","GLOBAL_ESP",IF(CALC_EPM!C141="TotalNoEsp","GLOBAL_NOESP","GLOBAL_ASIG"))),IF(CALC_EPM!C141="Total","CURSO_TOTAL",IF(CALC_EPM!C141="TotalEsp","CURSO_ESP",IF(CALC_EPM!C141="TotalNoEsp","CURSO_NOESP","CURSO_ASIG"))))</f>
        <v>CURSO_ASIG</v>
      </c>
      <c r="B148" t="str">
        <f>CALC_EPM!A141</f>
        <v>3EPM</v>
      </c>
      <c r="C148" t="str">
        <f>CALC_EPM!B141</f>
        <v>Violín</v>
      </c>
      <c r="D148">
        <f>CALC_EPM!D141</f>
        <v>0</v>
      </c>
      <c r="E148" s="10" t="str">
        <f>CALC_EPM!E141</f>
        <v>—</v>
      </c>
      <c r="F148" s="10" t="str">
        <f>CALC_EPM!F141</f>
        <v>—</v>
      </c>
      <c r="G148" t="str">
        <f>CALC_EPM!G141</f>
        <v>—</v>
      </c>
      <c r="H148" s="11" t="str">
        <f>CALC_EPM!H141</f>
        <v>—</v>
      </c>
      <c r="I148" s="11" t="str">
        <f>CALC_EPM!I141</f>
        <v>—</v>
      </c>
      <c r="J148" t="str">
        <f>CALC_EPM!J141</f>
        <v>—</v>
      </c>
      <c r="K148" t="str">
        <f>CALC_EPM!K141</f>
        <v>—</v>
      </c>
      <c r="L148">
        <f>CALC_EPM!L141</f>
        <v>0</v>
      </c>
      <c r="M148">
        <f>CALC_EPM!M141</f>
        <v>0</v>
      </c>
      <c r="N148">
        <f>CALC_EPM!N141</f>
        <v>0</v>
      </c>
      <c r="O148">
        <f>CALC_EPM!O141</f>
        <v>0</v>
      </c>
      <c r="P148">
        <f>CALC_EPM!P141</f>
        <v>0</v>
      </c>
      <c r="Q148">
        <f>CALC_EPM!Q141</f>
        <v>0</v>
      </c>
      <c r="R148">
        <f>CALC_EPM!R141</f>
        <v>0</v>
      </c>
      <c r="S148">
        <f>CALC_EPM!S141</f>
        <v>0</v>
      </c>
      <c r="T148">
        <f>CALC_EPM!T141</f>
        <v>0</v>
      </c>
      <c r="U148">
        <f>CALC_EPM!U141</f>
        <v>0</v>
      </c>
    </row>
    <row r="149" spans="1:21" x14ac:dyDescent="0.2">
      <c r="A149" t="str">
        <f>IF(CALC_EPM!A142="GLOBAL",IF(CALC_EPM!C142="Total","GLOBAL",IF(CALC_EPM!C142="TotalEsp","GLOBAL_ESP",IF(CALC_EPM!C142="TotalNoEsp","GLOBAL_NOESP","GLOBAL_ASIG"))),IF(CALC_EPM!C142="Total","CURSO_TOTAL",IF(CALC_EPM!C142="TotalEsp","CURSO_ESP",IF(CALC_EPM!C142="TotalNoEsp","CURSO_NOESP","CURSO_ASIG"))))</f>
        <v>CURSO_ASIG</v>
      </c>
      <c r="B149" t="str">
        <f>CALC_EPM!A142</f>
        <v>3EPM</v>
      </c>
      <c r="C149" t="str">
        <f>CALC_EPM!B142</f>
        <v>Violoncello</v>
      </c>
      <c r="D149">
        <f>CALC_EPM!D142</f>
        <v>0</v>
      </c>
      <c r="E149" s="10" t="str">
        <f>CALC_EPM!E142</f>
        <v>—</v>
      </c>
      <c r="F149" s="10" t="str">
        <f>CALC_EPM!F142</f>
        <v>—</v>
      </c>
      <c r="G149" t="str">
        <f>CALC_EPM!G142</f>
        <v>—</v>
      </c>
      <c r="H149" s="11" t="str">
        <f>CALC_EPM!H142</f>
        <v>—</v>
      </c>
      <c r="I149" s="11" t="str">
        <f>CALC_EPM!I142</f>
        <v>—</v>
      </c>
      <c r="J149" t="str">
        <f>CALC_EPM!J142</f>
        <v>—</v>
      </c>
      <c r="K149" t="str">
        <f>CALC_EPM!K142</f>
        <v>—</v>
      </c>
      <c r="L149">
        <f>CALC_EPM!L142</f>
        <v>0</v>
      </c>
      <c r="M149">
        <f>CALC_EPM!M142</f>
        <v>0</v>
      </c>
      <c r="N149">
        <f>CALC_EPM!N142</f>
        <v>0</v>
      </c>
      <c r="O149">
        <f>CALC_EPM!O142</f>
        <v>0</v>
      </c>
      <c r="P149">
        <f>CALC_EPM!P142</f>
        <v>0</v>
      </c>
      <c r="Q149">
        <f>CALC_EPM!Q142</f>
        <v>0</v>
      </c>
      <c r="R149">
        <f>CALC_EPM!R142</f>
        <v>0</v>
      </c>
      <c r="S149">
        <f>CALC_EPM!S142</f>
        <v>0</v>
      </c>
      <c r="T149">
        <f>CALC_EPM!T142</f>
        <v>0</v>
      </c>
      <c r="U149">
        <f>CALC_EPM!U142</f>
        <v>0</v>
      </c>
    </row>
    <row r="150" spans="1:21" x14ac:dyDescent="0.2">
      <c r="A150" t="str">
        <f>IF(CALC_EPM!A143="GLOBAL",IF(CALC_EPM!C143="Total","GLOBAL",IF(CALC_EPM!C143="TotalEsp","GLOBAL_ESP",IF(CALC_EPM!C143="TotalNoEsp","GLOBAL_NOESP","GLOBAL_ASIG"))),IF(CALC_EPM!C143="Total","CURSO_TOTAL",IF(CALC_EPM!C143="TotalEsp","CURSO_ESP",IF(CALC_EPM!C143="TotalNoEsp","CURSO_NOESP","CURSO_ASIG"))))</f>
        <v>CURSO_ASIG</v>
      </c>
      <c r="B150" t="str">
        <f>CALC_EPM!A143</f>
        <v>4EPM</v>
      </c>
      <c r="C150" t="str">
        <f>CALC_EPM!B143</f>
        <v>Armonía</v>
      </c>
      <c r="D150">
        <f>CALC_EPM!D143</f>
        <v>0</v>
      </c>
      <c r="E150" s="10" t="str">
        <f>CALC_EPM!E143</f>
        <v>—</v>
      </c>
      <c r="F150" s="10" t="str">
        <f>CALC_EPM!F143</f>
        <v>—</v>
      </c>
      <c r="G150" t="str">
        <f>CALC_EPM!G143</f>
        <v>—</v>
      </c>
      <c r="H150" s="11" t="str">
        <f>CALC_EPM!H143</f>
        <v>—</v>
      </c>
      <c r="I150" s="11" t="str">
        <f>CALC_EPM!I143</f>
        <v>—</v>
      </c>
      <c r="J150" t="str">
        <f>CALC_EPM!J143</f>
        <v>—</v>
      </c>
      <c r="K150" t="str">
        <f>CALC_EPM!K143</f>
        <v>—</v>
      </c>
      <c r="L150">
        <f>CALC_EPM!L143</f>
        <v>0</v>
      </c>
      <c r="M150">
        <f>CALC_EPM!M143</f>
        <v>0</v>
      </c>
      <c r="N150">
        <f>CALC_EPM!N143</f>
        <v>0</v>
      </c>
      <c r="O150">
        <f>CALC_EPM!O143</f>
        <v>0</v>
      </c>
      <c r="P150">
        <f>CALC_EPM!P143</f>
        <v>0</v>
      </c>
      <c r="Q150">
        <f>CALC_EPM!Q143</f>
        <v>0</v>
      </c>
      <c r="R150">
        <f>CALC_EPM!R143</f>
        <v>0</v>
      </c>
      <c r="S150">
        <f>CALC_EPM!S143</f>
        <v>0</v>
      </c>
      <c r="T150">
        <f>CALC_EPM!T143</f>
        <v>0</v>
      </c>
      <c r="U150">
        <f>CALC_EPM!U143</f>
        <v>0</v>
      </c>
    </row>
    <row r="151" spans="1:21" x14ac:dyDescent="0.2">
      <c r="A151" t="str">
        <f>IF(CALC_EPM!A144="GLOBAL",IF(CALC_EPM!C144="Total","GLOBAL",IF(CALC_EPM!C144="TotalEsp","GLOBAL_ESP",IF(CALC_EPM!C144="TotalNoEsp","GLOBAL_NOESP","GLOBAL_ASIG"))),IF(CALC_EPM!C144="Total","CURSO_TOTAL",IF(CALC_EPM!C144="TotalEsp","CURSO_ESP",IF(CALC_EPM!C144="TotalNoEsp","CURSO_NOESP","CURSO_ASIG"))))</f>
        <v>CURSO_ASIG</v>
      </c>
      <c r="B151" t="str">
        <f>CALC_EPM!A144</f>
        <v>4EPM</v>
      </c>
      <c r="C151" t="str">
        <f>CALC_EPM!B144</f>
        <v>Música de Cámara</v>
      </c>
      <c r="D151">
        <f>CALC_EPM!D144</f>
        <v>0</v>
      </c>
      <c r="E151" s="10" t="str">
        <f>CALC_EPM!E144</f>
        <v>—</v>
      </c>
      <c r="F151" s="10" t="str">
        <f>CALC_EPM!F144</f>
        <v>—</v>
      </c>
      <c r="G151" t="str">
        <f>CALC_EPM!G144</f>
        <v>—</v>
      </c>
      <c r="H151" s="11" t="str">
        <f>CALC_EPM!H144</f>
        <v>—</v>
      </c>
      <c r="I151" s="11" t="str">
        <f>CALC_EPM!I144</f>
        <v>—</v>
      </c>
      <c r="J151" t="str">
        <f>CALC_EPM!J144</f>
        <v>—</v>
      </c>
      <c r="K151" t="str">
        <f>CALC_EPM!K144</f>
        <v>—</v>
      </c>
      <c r="L151">
        <f>CALC_EPM!L144</f>
        <v>0</v>
      </c>
      <c r="M151">
        <f>CALC_EPM!M144</f>
        <v>0</v>
      </c>
      <c r="N151">
        <f>CALC_EPM!N144</f>
        <v>0</v>
      </c>
      <c r="O151">
        <f>CALC_EPM!O144</f>
        <v>0</v>
      </c>
      <c r="P151">
        <f>CALC_EPM!P144</f>
        <v>0</v>
      </c>
      <c r="Q151">
        <f>CALC_EPM!Q144</f>
        <v>0</v>
      </c>
      <c r="R151">
        <f>CALC_EPM!R144</f>
        <v>0</v>
      </c>
      <c r="S151">
        <f>CALC_EPM!S144</f>
        <v>0</v>
      </c>
      <c r="T151">
        <f>CALC_EPM!T144</f>
        <v>0</v>
      </c>
      <c r="U151">
        <f>CALC_EPM!U144</f>
        <v>0</v>
      </c>
    </row>
    <row r="152" spans="1:21" x14ac:dyDescent="0.2">
      <c r="A152" t="str">
        <f>IF(CALC_EPM!A145="GLOBAL",IF(CALC_EPM!C145="Total","GLOBAL",IF(CALC_EPM!C145="TotalEsp","GLOBAL_ESP",IF(CALC_EPM!C145="TotalNoEsp","GLOBAL_NOESP","GLOBAL_ASIG"))),IF(CALC_EPM!C145="Total","CURSO_TOTAL",IF(CALC_EPM!C145="TotalEsp","CURSO_ESP",IF(CALC_EPM!C145="TotalNoEsp","CURSO_NOESP","CURSO_ASIG"))))</f>
        <v>CURSO_ASIG</v>
      </c>
      <c r="B152" t="str">
        <f>CALC_EPM!A145</f>
        <v>4EPM</v>
      </c>
      <c r="C152" t="str">
        <f>CALC_EPM!B145</f>
        <v>Orquesta/Banda/Conjunto</v>
      </c>
      <c r="D152">
        <f>CALC_EPM!D145</f>
        <v>0</v>
      </c>
      <c r="E152" s="10" t="str">
        <f>CALC_EPM!E145</f>
        <v>—</v>
      </c>
      <c r="F152" s="10" t="str">
        <f>CALC_EPM!F145</f>
        <v>—</v>
      </c>
      <c r="G152" t="str">
        <f>CALC_EPM!G145</f>
        <v>—</v>
      </c>
      <c r="H152" s="11" t="str">
        <f>CALC_EPM!H145</f>
        <v>—</v>
      </c>
      <c r="I152" s="11" t="str">
        <f>CALC_EPM!I145</f>
        <v>—</v>
      </c>
      <c r="J152" t="str">
        <f>CALC_EPM!J145</f>
        <v>—</v>
      </c>
      <c r="K152" t="str">
        <f>CALC_EPM!K145</f>
        <v>—</v>
      </c>
      <c r="L152">
        <f>CALC_EPM!L145</f>
        <v>0</v>
      </c>
      <c r="M152">
        <f>CALC_EPM!M145</f>
        <v>0</v>
      </c>
      <c r="N152">
        <f>CALC_EPM!N145</f>
        <v>0</v>
      </c>
      <c r="O152">
        <f>CALC_EPM!O145</f>
        <v>0</v>
      </c>
      <c r="P152">
        <f>CALC_EPM!P145</f>
        <v>0</v>
      </c>
      <c r="Q152">
        <f>CALC_EPM!Q145</f>
        <v>0</v>
      </c>
      <c r="R152">
        <f>CALC_EPM!R145</f>
        <v>0</v>
      </c>
      <c r="S152">
        <f>CALC_EPM!S145</f>
        <v>0</v>
      </c>
      <c r="T152">
        <f>CALC_EPM!T145</f>
        <v>0</v>
      </c>
      <c r="U152">
        <f>CALC_EPM!U145</f>
        <v>0</v>
      </c>
    </row>
    <row r="153" spans="1:21" x14ac:dyDescent="0.2">
      <c r="A153" t="str">
        <f>IF(CALC_EPM!A146="GLOBAL",IF(CALC_EPM!C146="Total","GLOBAL",IF(CALC_EPM!C146="TotalEsp","GLOBAL_ESP",IF(CALC_EPM!C146="TotalNoEsp","GLOBAL_NOESP","GLOBAL_ASIG"))),IF(CALC_EPM!C146="Total","CURSO_TOTAL",IF(CALC_EPM!C146="TotalEsp","CURSO_ESP",IF(CALC_EPM!C146="TotalNoEsp","CURSO_NOESP","CURSO_ASIG"))))</f>
        <v>CURSO_ASIG</v>
      </c>
      <c r="B153" t="str">
        <f>CALC_EPM!A146</f>
        <v>4EPM</v>
      </c>
      <c r="C153" t="str">
        <f>CALC_EPM!B146</f>
        <v>Piano Complementario</v>
      </c>
      <c r="D153">
        <f>CALC_EPM!D146</f>
        <v>0</v>
      </c>
      <c r="E153" s="10" t="str">
        <f>CALC_EPM!E146</f>
        <v>—</v>
      </c>
      <c r="F153" s="10" t="str">
        <f>CALC_EPM!F146</f>
        <v>—</v>
      </c>
      <c r="G153" t="str">
        <f>CALC_EPM!G146</f>
        <v>—</v>
      </c>
      <c r="H153" s="11" t="str">
        <f>CALC_EPM!H146</f>
        <v>—</v>
      </c>
      <c r="I153" s="11" t="str">
        <f>CALC_EPM!I146</f>
        <v>—</v>
      </c>
      <c r="J153" t="str">
        <f>CALC_EPM!J146</f>
        <v>—</v>
      </c>
      <c r="K153" t="str">
        <f>CALC_EPM!K146</f>
        <v>—</v>
      </c>
      <c r="L153">
        <f>CALC_EPM!L146</f>
        <v>0</v>
      </c>
      <c r="M153">
        <f>CALC_EPM!M146</f>
        <v>0</v>
      </c>
      <c r="N153">
        <f>CALC_EPM!N146</f>
        <v>0</v>
      </c>
      <c r="O153">
        <f>CALC_EPM!O146</f>
        <v>0</v>
      </c>
      <c r="P153">
        <f>CALC_EPM!P146</f>
        <v>0</v>
      </c>
      <c r="Q153">
        <f>CALC_EPM!Q146</f>
        <v>0</v>
      </c>
      <c r="R153">
        <f>CALC_EPM!R146</f>
        <v>0</v>
      </c>
      <c r="S153">
        <f>CALC_EPM!S146</f>
        <v>0</v>
      </c>
      <c r="T153">
        <f>CALC_EPM!T146</f>
        <v>0</v>
      </c>
      <c r="U153">
        <f>CALC_EPM!U146</f>
        <v>0</v>
      </c>
    </row>
    <row r="154" spans="1:21" x14ac:dyDescent="0.2">
      <c r="A154" t="str">
        <f>IF(CALC_EPM!A147="GLOBAL",IF(CALC_EPM!C147="Total","GLOBAL",IF(CALC_EPM!C147="TotalEsp","GLOBAL_ESP",IF(CALC_EPM!C147="TotalNoEsp","GLOBAL_NOESP","GLOBAL_ASIG"))),IF(CALC_EPM!C147="Total","CURSO_TOTAL",IF(CALC_EPM!C147="TotalEsp","CURSO_ESP",IF(CALC_EPM!C147="TotalNoEsp","CURSO_NOESP","CURSO_ASIG"))))</f>
        <v>CURSO_ASIG</v>
      </c>
      <c r="B154" t="str">
        <f>CALC_EPM!A147</f>
        <v>4EPM</v>
      </c>
      <c r="C154" t="str">
        <f>CALC_EPM!B147</f>
        <v>Coro</v>
      </c>
      <c r="D154">
        <f>CALC_EPM!D147</f>
        <v>0</v>
      </c>
      <c r="E154" s="10" t="str">
        <f>CALC_EPM!E147</f>
        <v>—</v>
      </c>
      <c r="F154" s="10" t="str">
        <f>CALC_EPM!F147</f>
        <v>—</v>
      </c>
      <c r="G154" t="str">
        <f>CALC_EPM!G147</f>
        <v>—</v>
      </c>
      <c r="H154" s="11" t="str">
        <f>CALC_EPM!H147</f>
        <v>—</v>
      </c>
      <c r="I154" s="11" t="str">
        <f>CALC_EPM!I147</f>
        <v>—</v>
      </c>
      <c r="J154" t="str">
        <f>CALC_EPM!J147</f>
        <v>—</v>
      </c>
      <c r="K154" t="str">
        <f>CALC_EPM!K147</f>
        <v>—</v>
      </c>
      <c r="L154">
        <f>CALC_EPM!L147</f>
        <v>0</v>
      </c>
      <c r="M154">
        <f>CALC_EPM!M147</f>
        <v>0</v>
      </c>
      <c r="N154">
        <f>CALC_EPM!N147</f>
        <v>0</v>
      </c>
      <c r="O154">
        <f>CALC_EPM!O147</f>
        <v>0</v>
      </c>
      <c r="P154">
        <f>CALC_EPM!P147</f>
        <v>0</v>
      </c>
      <c r="Q154">
        <f>CALC_EPM!Q147</f>
        <v>0</v>
      </c>
      <c r="R154">
        <f>CALC_EPM!R147</f>
        <v>0</v>
      </c>
      <c r="S154">
        <f>CALC_EPM!S147</f>
        <v>0</v>
      </c>
      <c r="T154">
        <f>CALC_EPM!T147</f>
        <v>0</v>
      </c>
      <c r="U154">
        <f>CALC_EPM!U147</f>
        <v>0</v>
      </c>
    </row>
    <row r="155" spans="1:21" x14ac:dyDescent="0.2">
      <c r="A155" t="str">
        <f>IF(CALC_EPM!A148="GLOBAL",IF(CALC_EPM!C148="Total","GLOBAL",IF(CALC_EPM!C148="TotalEsp","GLOBAL_ESP",IF(CALC_EPM!C148="TotalNoEsp","GLOBAL_NOESP","GLOBAL_ASIG"))),IF(CALC_EPM!C148="Total","CURSO_TOTAL",IF(CALC_EPM!C148="TotalEsp","CURSO_ESP",IF(CALC_EPM!C148="TotalNoEsp","CURSO_NOESP","CURSO_ASIG"))))</f>
        <v>CURSO_ASIG</v>
      </c>
      <c r="B155" t="str">
        <f>CALC_EPM!A148</f>
        <v>4EPM</v>
      </c>
      <c r="C155" t="str">
        <f>CALC_EPM!B148</f>
        <v>Idioma Aplicado al Canto</v>
      </c>
      <c r="D155">
        <f>CALC_EPM!D148</f>
        <v>0</v>
      </c>
      <c r="E155" s="10" t="str">
        <f>CALC_EPM!E148</f>
        <v>—</v>
      </c>
      <c r="F155" s="10" t="str">
        <f>CALC_EPM!F148</f>
        <v>—</v>
      </c>
      <c r="G155" t="str">
        <f>CALC_EPM!G148</f>
        <v>—</v>
      </c>
      <c r="H155" s="11" t="str">
        <f>CALC_EPM!H148</f>
        <v>—</v>
      </c>
      <c r="I155" s="11" t="str">
        <f>CALC_EPM!I148</f>
        <v>—</v>
      </c>
      <c r="J155" t="str">
        <f>CALC_EPM!J148</f>
        <v>—</v>
      </c>
      <c r="K155" t="str">
        <f>CALC_EPM!K148</f>
        <v>—</v>
      </c>
      <c r="L155">
        <f>CALC_EPM!L148</f>
        <v>0</v>
      </c>
      <c r="M155">
        <f>CALC_EPM!M148</f>
        <v>0</v>
      </c>
      <c r="N155">
        <f>CALC_EPM!N148</f>
        <v>0</v>
      </c>
      <c r="O155">
        <f>CALC_EPM!O148</f>
        <v>0</v>
      </c>
      <c r="P155">
        <f>CALC_EPM!P148</f>
        <v>0</v>
      </c>
      <c r="Q155">
        <f>CALC_EPM!Q148</f>
        <v>0</v>
      </c>
      <c r="R155">
        <f>CALC_EPM!R148</f>
        <v>0</v>
      </c>
      <c r="S155">
        <f>CALC_EPM!S148</f>
        <v>0</v>
      </c>
      <c r="T155">
        <f>CALC_EPM!T148</f>
        <v>0</v>
      </c>
      <c r="U155">
        <f>CALC_EPM!U148</f>
        <v>0</v>
      </c>
    </row>
    <row r="156" spans="1:21" x14ac:dyDescent="0.2">
      <c r="A156" t="str">
        <f>IF(CALC_EPM!A149="GLOBAL",IF(CALC_EPM!C149="Total","GLOBAL",IF(CALC_EPM!C149="TotalEsp","GLOBAL_ESP",IF(CALC_EPM!C149="TotalNoEsp","GLOBAL_NOESP","GLOBAL_ASIG"))),IF(CALC_EPM!C149="Total","CURSO_TOTAL",IF(CALC_EPM!C149="TotalEsp","CURSO_ESP",IF(CALC_EPM!C149="TotalNoEsp","CURSO_NOESP","CURSO_ASIG"))))</f>
        <v>CURSO_ASIG</v>
      </c>
      <c r="B156" t="str">
        <f>CALC_EPM!A149</f>
        <v>4EPM</v>
      </c>
      <c r="C156" t="str">
        <f>CALC_EPM!B149</f>
        <v>Arpa</v>
      </c>
      <c r="D156">
        <f>CALC_EPM!D149</f>
        <v>0</v>
      </c>
      <c r="E156" s="10" t="str">
        <f>CALC_EPM!E149</f>
        <v>—</v>
      </c>
      <c r="F156" s="10" t="str">
        <f>CALC_EPM!F149</f>
        <v>—</v>
      </c>
      <c r="G156" t="str">
        <f>CALC_EPM!G149</f>
        <v>—</v>
      </c>
      <c r="H156" s="11" t="str">
        <f>CALC_EPM!H149</f>
        <v>—</v>
      </c>
      <c r="I156" s="11" t="str">
        <f>CALC_EPM!I149</f>
        <v>—</v>
      </c>
      <c r="J156" t="str">
        <f>CALC_EPM!J149</f>
        <v>—</v>
      </c>
      <c r="K156" t="str">
        <f>CALC_EPM!K149</f>
        <v>—</v>
      </c>
      <c r="L156">
        <f>CALC_EPM!L149</f>
        <v>0</v>
      </c>
      <c r="M156">
        <f>CALC_EPM!M149</f>
        <v>0</v>
      </c>
      <c r="N156">
        <f>CALC_EPM!N149</f>
        <v>0</v>
      </c>
      <c r="O156">
        <f>CALC_EPM!O149</f>
        <v>0</v>
      </c>
      <c r="P156">
        <f>CALC_EPM!P149</f>
        <v>0</v>
      </c>
      <c r="Q156">
        <f>CALC_EPM!Q149</f>
        <v>0</v>
      </c>
      <c r="R156">
        <f>CALC_EPM!R149</f>
        <v>0</v>
      </c>
      <c r="S156">
        <f>CALC_EPM!S149</f>
        <v>0</v>
      </c>
      <c r="T156">
        <f>CALC_EPM!T149</f>
        <v>0</v>
      </c>
      <c r="U156">
        <f>CALC_EPM!U149</f>
        <v>0</v>
      </c>
    </row>
    <row r="157" spans="1:21" x14ac:dyDescent="0.2">
      <c r="A157" t="str">
        <f>IF(CALC_EPM!A150="GLOBAL",IF(CALC_EPM!C150="Total","GLOBAL",IF(CALC_EPM!C150="TotalEsp","GLOBAL_ESP",IF(CALC_EPM!C150="TotalNoEsp","GLOBAL_NOESP","GLOBAL_ASIG"))),IF(CALC_EPM!C150="Total","CURSO_TOTAL",IF(CALC_EPM!C150="TotalEsp","CURSO_ESP",IF(CALC_EPM!C150="TotalNoEsp","CURSO_NOESP","CURSO_ASIG"))))</f>
        <v>CURSO_ASIG</v>
      </c>
      <c r="B157" t="str">
        <f>CALC_EPM!A150</f>
        <v>4EPM</v>
      </c>
      <c r="C157" t="str">
        <f>CALC_EPM!B150</f>
        <v>Bajo Eléctrico</v>
      </c>
      <c r="D157">
        <f>CALC_EPM!D150</f>
        <v>0</v>
      </c>
      <c r="E157" s="10" t="str">
        <f>CALC_EPM!E150</f>
        <v>—</v>
      </c>
      <c r="F157" s="10" t="str">
        <f>CALC_EPM!F150</f>
        <v>—</v>
      </c>
      <c r="G157" t="str">
        <f>CALC_EPM!G150</f>
        <v>—</v>
      </c>
      <c r="H157" s="11" t="str">
        <f>CALC_EPM!H150</f>
        <v>—</v>
      </c>
      <c r="I157" s="11" t="str">
        <f>CALC_EPM!I150</f>
        <v>—</v>
      </c>
      <c r="J157" t="str">
        <f>CALC_EPM!J150</f>
        <v>—</v>
      </c>
      <c r="K157" t="str">
        <f>CALC_EPM!K150</f>
        <v>—</v>
      </c>
      <c r="L157">
        <f>CALC_EPM!L150</f>
        <v>0</v>
      </c>
      <c r="M157">
        <f>CALC_EPM!M150</f>
        <v>0</v>
      </c>
      <c r="N157">
        <f>CALC_EPM!N150</f>
        <v>0</v>
      </c>
      <c r="O157">
        <f>CALC_EPM!O150</f>
        <v>0</v>
      </c>
      <c r="P157">
        <f>CALC_EPM!P150</f>
        <v>0</v>
      </c>
      <c r="Q157">
        <f>CALC_EPM!Q150</f>
        <v>0</v>
      </c>
      <c r="R157">
        <f>CALC_EPM!R150</f>
        <v>0</v>
      </c>
      <c r="S157">
        <f>CALC_EPM!S150</f>
        <v>0</v>
      </c>
      <c r="T157">
        <f>CALC_EPM!T150</f>
        <v>0</v>
      </c>
      <c r="U157">
        <f>CALC_EPM!U150</f>
        <v>0</v>
      </c>
    </row>
    <row r="158" spans="1:21" x14ac:dyDescent="0.2">
      <c r="A158" t="str">
        <f>IF(CALC_EPM!A151="GLOBAL",IF(CALC_EPM!C151="Total","GLOBAL",IF(CALC_EPM!C151="TotalEsp","GLOBAL_ESP",IF(CALC_EPM!C151="TotalNoEsp","GLOBAL_NOESP","GLOBAL_ASIG"))),IF(CALC_EPM!C151="Total","CURSO_TOTAL",IF(CALC_EPM!C151="TotalEsp","CURSO_ESP",IF(CALC_EPM!C151="TotalNoEsp","CURSO_NOESP","CURSO_ASIG"))))</f>
        <v>CURSO_ASIG</v>
      </c>
      <c r="B158" t="str">
        <f>CALC_EPM!A151</f>
        <v>4EPM</v>
      </c>
      <c r="C158" t="str">
        <f>CALC_EPM!B151</f>
        <v>Canto</v>
      </c>
      <c r="D158">
        <f>CALC_EPM!D151</f>
        <v>0</v>
      </c>
      <c r="E158" s="10" t="str">
        <f>CALC_EPM!E151</f>
        <v>—</v>
      </c>
      <c r="F158" s="10" t="str">
        <f>CALC_EPM!F151</f>
        <v>—</v>
      </c>
      <c r="G158" t="str">
        <f>CALC_EPM!G151</f>
        <v>—</v>
      </c>
      <c r="H158" s="11" t="str">
        <f>CALC_EPM!H151</f>
        <v>—</v>
      </c>
      <c r="I158" s="11" t="str">
        <f>CALC_EPM!I151</f>
        <v>—</v>
      </c>
      <c r="J158" t="str">
        <f>CALC_EPM!J151</f>
        <v>—</v>
      </c>
      <c r="K158" t="str">
        <f>CALC_EPM!K151</f>
        <v>—</v>
      </c>
      <c r="L158">
        <f>CALC_EPM!L151</f>
        <v>0</v>
      </c>
      <c r="M158">
        <f>CALC_EPM!M151</f>
        <v>0</v>
      </c>
      <c r="N158">
        <f>CALC_EPM!N151</f>
        <v>0</v>
      </c>
      <c r="O158">
        <f>CALC_EPM!O151</f>
        <v>0</v>
      </c>
      <c r="P158">
        <f>CALC_EPM!P151</f>
        <v>0</v>
      </c>
      <c r="Q158">
        <f>CALC_EPM!Q151</f>
        <v>0</v>
      </c>
      <c r="R158">
        <f>CALC_EPM!R151</f>
        <v>0</v>
      </c>
      <c r="S158">
        <f>CALC_EPM!S151</f>
        <v>0</v>
      </c>
      <c r="T158">
        <f>CALC_EPM!T151</f>
        <v>0</v>
      </c>
      <c r="U158">
        <f>CALC_EPM!U151</f>
        <v>0</v>
      </c>
    </row>
    <row r="159" spans="1:21" x14ac:dyDescent="0.2">
      <c r="A159" t="str">
        <f>IF(CALC_EPM!A152="GLOBAL",IF(CALC_EPM!C152="Total","GLOBAL",IF(CALC_EPM!C152="TotalEsp","GLOBAL_ESP",IF(CALC_EPM!C152="TotalNoEsp","GLOBAL_NOESP","GLOBAL_ASIG"))),IF(CALC_EPM!C152="Total","CURSO_TOTAL",IF(CALC_EPM!C152="TotalEsp","CURSO_ESP",IF(CALC_EPM!C152="TotalNoEsp","CURSO_NOESP","CURSO_ASIG"))))</f>
        <v>CURSO_ASIG</v>
      </c>
      <c r="B159" t="str">
        <f>CALC_EPM!A152</f>
        <v>4EPM</v>
      </c>
      <c r="C159" t="str">
        <f>CALC_EPM!B152</f>
        <v>Clarinete</v>
      </c>
      <c r="D159">
        <f>CALC_EPM!D152</f>
        <v>0</v>
      </c>
      <c r="E159" s="10" t="str">
        <f>CALC_EPM!E152</f>
        <v>—</v>
      </c>
      <c r="F159" s="10" t="str">
        <f>CALC_EPM!F152</f>
        <v>—</v>
      </c>
      <c r="G159" t="str">
        <f>CALC_EPM!G152</f>
        <v>—</v>
      </c>
      <c r="H159" s="11" t="str">
        <f>CALC_EPM!H152</f>
        <v>—</v>
      </c>
      <c r="I159" s="11" t="str">
        <f>CALC_EPM!I152</f>
        <v>—</v>
      </c>
      <c r="J159" t="str">
        <f>CALC_EPM!J152</f>
        <v>—</v>
      </c>
      <c r="K159" t="str">
        <f>CALC_EPM!K152</f>
        <v>—</v>
      </c>
      <c r="L159">
        <f>CALC_EPM!L152</f>
        <v>0</v>
      </c>
      <c r="M159">
        <f>CALC_EPM!M152</f>
        <v>0</v>
      </c>
      <c r="N159">
        <f>CALC_EPM!N152</f>
        <v>0</v>
      </c>
      <c r="O159">
        <f>CALC_EPM!O152</f>
        <v>0</v>
      </c>
      <c r="P159">
        <f>CALC_EPM!P152</f>
        <v>0</v>
      </c>
      <c r="Q159">
        <f>CALC_EPM!Q152</f>
        <v>0</v>
      </c>
      <c r="R159">
        <f>CALC_EPM!R152</f>
        <v>0</v>
      </c>
      <c r="S159">
        <f>CALC_EPM!S152</f>
        <v>0</v>
      </c>
      <c r="T159">
        <f>CALC_EPM!T152</f>
        <v>0</v>
      </c>
      <c r="U159">
        <f>CALC_EPM!U152</f>
        <v>0</v>
      </c>
    </row>
    <row r="160" spans="1:21" x14ac:dyDescent="0.2">
      <c r="A160" t="str">
        <f>IF(CALC_EPM!A153="GLOBAL",IF(CALC_EPM!C153="Total","GLOBAL",IF(CALC_EPM!C153="TotalEsp","GLOBAL_ESP",IF(CALC_EPM!C153="TotalNoEsp","GLOBAL_NOESP","GLOBAL_ASIG"))),IF(CALC_EPM!C153="Total","CURSO_TOTAL",IF(CALC_EPM!C153="TotalEsp","CURSO_ESP",IF(CALC_EPM!C153="TotalNoEsp","CURSO_NOESP","CURSO_ASIG"))))</f>
        <v>CURSO_ASIG</v>
      </c>
      <c r="B160" t="str">
        <f>CALC_EPM!A153</f>
        <v>4EPM</v>
      </c>
      <c r="C160" t="str">
        <f>CALC_EPM!B153</f>
        <v>Contrabajo</v>
      </c>
      <c r="D160">
        <f>CALC_EPM!D153</f>
        <v>0</v>
      </c>
      <c r="E160" s="10" t="str">
        <f>CALC_EPM!E153</f>
        <v>—</v>
      </c>
      <c r="F160" s="10" t="str">
        <f>CALC_EPM!F153</f>
        <v>—</v>
      </c>
      <c r="G160" t="str">
        <f>CALC_EPM!G153</f>
        <v>—</v>
      </c>
      <c r="H160" s="11" t="str">
        <f>CALC_EPM!H153</f>
        <v>—</v>
      </c>
      <c r="I160" s="11" t="str">
        <f>CALC_EPM!I153</f>
        <v>—</v>
      </c>
      <c r="J160" t="str">
        <f>CALC_EPM!J153</f>
        <v>—</v>
      </c>
      <c r="K160" t="str">
        <f>CALC_EPM!K153</f>
        <v>—</v>
      </c>
      <c r="L160">
        <f>CALC_EPM!L153</f>
        <v>0</v>
      </c>
      <c r="M160">
        <f>CALC_EPM!M153</f>
        <v>0</v>
      </c>
      <c r="N160">
        <f>CALC_EPM!N153</f>
        <v>0</v>
      </c>
      <c r="O160">
        <f>CALC_EPM!O153</f>
        <v>0</v>
      </c>
      <c r="P160">
        <f>CALC_EPM!P153</f>
        <v>0</v>
      </c>
      <c r="Q160">
        <f>CALC_EPM!Q153</f>
        <v>0</v>
      </c>
      <c r="R160">
        <f>CALC_EPM!R153</f>
        <v>0</v>
      </c>
      <c r="S160">
        <f>CALC_EPM!S153</f>
        <v>0</v>
      </c>
      <c r="T160">
        <f>CALC_EPM!T153</f>
        <v>0</v>
      </c>
      <c r="U160">
        <f>CALC_EPM!U153</f>
        <v>0</v>
      </c>
    </row>
    <row r="161" spans="1:21" x14ac:dyDescent="0.2">
      <c r="A161" t="str">
        <f>IF(CALC_EPM!A154="GLOBAL",IF(CALC_EPM!C154="Total","GLOBAL",IF(CALC_EPM!C154="TotalEsp","GLOBAL_ESP",IF(CALC_EPM!C154="TotalNoEsp","GLOBAL_NOESP","GLOBAL_ASIG"))),IF(CALC_EPM!C154="Total","CURSO_TOTAL",IF(CALC_EPM!C154="TotalEsp","CURSO_ESP",IF(CALC_EPM!C154="TotalNoEsp","CURSO_NOESP","CURSO_ASIG"))))</f>
        <v>CURSO_ASIG</v>
      </c>
      <c r="B161" t="str">
        <f>CALC_EPM!A154</f>
        <v>4EPM</v>
      </c>
      <c r="C161" t="str">
        <f>CALC_EPM!B154</f>
        <v>Dolçaina</v>
      </c>
      <c r="D161">
        <f>CALC_EPM!D154</f>
        <v>0</v>
      </c>
      <c r="E161" s="10" t="str">
        <f>CALC_EPM!E154</f>
        <v>—</v>
      </c>
      <c r="F161" s="10" t="str">
        <f>CALC_EPM!F154</f>
        <v>—</v>
      </c>
      <c r="G161" t="str">
        <f>CALC_EPM!G154</f>
        <v>—</v>
      </c>
      <c r="H161" s="11" t="str">
        <f>CALC_EPM!H154</f>
        <v>—</v>
      </c>
      <c r="I161" s="11" t="str">
        <f>CALC_EPM!I154</f>
        <v>—</v>
      </c>
      <c r="J161" t="str">
        <f>CALC_EPM!J154</f>
        <v>—</v>
      </c>
      <c r="K161" t="str">
        <f>CALC_EPM!K154</f>
        <v>—</v>
      </c>
      <c r="L161">
        <f>CALC_EPM!L154</f>
        <v>0</v>
      </c>
      <c r="M161">
        <f>CALC_EPM!M154</f>
        <v>0</v>
      </c>
      <c r="N161">
        <f>CALC_EPM!N154</f>
        <v>0</v>
      </c>
      <c r="O161">
        <f>CALC_EPM!O154</f>
        <v>0</v>
      </c>
      <c r="P161">
        <f>CALC_EPM!P154</f>
        <v>0</v>
      </c>
      <c r="Q161">
        <f>CALC_EPM!Q154</f>
        <v>0</v>
      </c>
      <c r="R161">
        <f>CALC_EPM!R154</f>
        <v>0</v>
      </c>
      <c r="S161">
        <f>CALC_EPM!S154</f>
        <v>0</v>
      </c>
      <c r="T161">
        <f>CALC_EPM!T154</f>
        <v>0</v>
      </c>
      <c r="U161">
        <f>CALC_EPM!U154</f>
        <v>0</v>
      </c>
    </row>
    <row r="162" spans="1:21" x14ac:dyDescent="0.2">
      <c r="A162" t="str">
        <f>IF(CALC_EPM!A155="GLOBAL",IF(CALC_EPM!C155="Total","GLOBAL",IF(CALC_EPM!C155="TotalEsp","GLOBAL_ESP",IF(CALC_EPM!C155="TotalNoEsp","GLOBAL_NOESP","GLOBAL_ASIG"))),IF(CALC_EPM!C155="Total","CURSO_TOTAL",IF(CALC_EPM!C155="TotalEsp","CURSO_ESP",IF(CALC_EPM!C155="TotalNoEsp","CURSO_NOESP","CURSO_ASIG"))))</f>
        <v>CURSO_ASIG</v>
      </c>
      <c r="B162" t="str">
        <f>CALC_EPM!A155</f>
        <v>4EPM</v>
      </c>
      <c r="C162" t="str">
        <f>CALC_EPM!B155</f>
        <v>Fagot</v>
      </c>
      <c r="D162">
        <f>CALC_EPM!D155</f>
        <v>0</v>
      </c>
      <c r="E162" s="10" t="str">
        <f>CALC_EPM!E155</f>
        <v>—</v>
      </c>
      <c r="F162" s="10" t="str">
        <f>CALC_EPM!F155</f>
        <v>—</v>
      </c>
      <c r="G162" t="str">
        <f>CALC_EPM!G155</f>
        <v>—</v>
      </c>
      <c r="H162" s="11" t="str">
        <f>CALC_EPM!H155</f>
        <v>—</v>
      </c>
      <c r="I162" s="11" t="str">
        <f>CALC_EPM!I155</f>
        <v>—</v>
      </c>
      <c r="J162" t="str">
        <f>CALC_EPM!J155</f>
        <v>—</v>
      </c>
      <c r="K162" t="str">
        <f>CALC_EPM!K155</f>
        <v>—</v>
      </c>
      <c r="L162">
        <f>CALC_EPM!L155</f>
        <v>0</v>
      </c>
      <c r="M162">
        <f>CALC_EPM!M155</f>
        <v>0</v>
      </c>
      <c r="N162">
        <f>CALC_EPM!N155</f>
        <v>0</v>
      </c>
      <c r="O162">
        <f>CALC_EPM!O155</f>
        <v>0</v>
      </c>
      <c r="P162">
        <f>CALC_EPM!P155</f>
        <v>0</v>
      </c>
      <c r="Q162">
        <f>CALC_EPM!Q155</f>
        <v>0</v>
      </c>
      <c r="R162">
        <f>CALC_EPM!R155</f>
        <v>0</v>
      </c>
      <c r="S162">
        <f>CALC_EPM!S155</f>
        <v>0</v>
      </c>
      <c r="T162">
        <f>CALC_EPM!T155</f>
        <v>0</v>
      </c>
      <c r="U162">
        <f>CALC_EPM!U155</f>
        <v>0</v>
      </c>
    </row>
    <row r="163" spans="1:21" x14ac:dyDescent="0.2">
      <c r="A163" t="str">
        <f>IF(CALC_EPM!A156="GLOBAL",IF(CALC_EPM!C156="Total","GLOBAL",IF(CALC_EPM!C156="TotalEsp","GLOBAL_ESP",IF(CALC_EPM!C156="TotalNoEsp","GLOBAL_NOESP","GLOBAL_ASIG"))),IF(CALC_EPM!C156="Total","CURSO_TOTAL",IF(CALC_EPM!C156="TotalEsp","CURSO_ESP",IF(CALC_EPM!C156="TotalNoEsp","CURSO_NOESP","CURSO_ASIG"))))</f>
        <v>CURSO_ASIG</v>
      </c>
      <c r="B163" t="str">
        <f>CALC_EPM!A156</f>
        <v>4EPM</v>
      </c>
      <c r="C163" t="str">
        <f>CALC_EPM!B156</f>
        <v>Flauta Travesera</v>
      </c>
      <c r="D163">
        <f>CALC_EPM!D156</f>
        <v>0</v>
      </c>
      <c r="E163" s="10" t="str">
        <f>CALC_EPM!E156</f>
        <v>—</v>
      </c>
      <c r="F163" s="10" t="str">
        <f>CALC_EPM!F156</f>
        <v>—</v>
      </c>
      <c r="G163" t="str">
        <f>CALC_EPM!G156</f>
        <v>—</v>
      </c>
      <c r="H163" s="11" t="str">
        <f>CALC_EPM!H156</f>
        <v>—</v>
      </c>
      <c r="I163" s="11" t="str">
        <f>CALC_EPM!I156</f>
        <v>—</v>
      </c>
      <c r="J163" t="str">
        <f>CALC_EPM!J156</f>
        <v>—</v>
      </c>
      <c r="K163" t="str">
        <f>CALC_EPM!K156</f>
        <v>—</v>
      </c>
      <c r="L163">
        <f>CALC_EPM!L156</f>
        <v>0</v>
      </c>
      <c r="M163">
        <f>CALC_EPM!M156</f>
        <v>0</v>
      </c>
      <c r="N163">
        <f>CALC_EPM!N156</f>
        <v>0</v>
      </c>
      <c r="O163">
        <f>CALC_EPM!O156</f>
        <v>0</v>
      </c>
      <c r="P163">
        <f>CALC_EPM!P156</f>
        <v>0</v>
      </c>
      <c r="Q163">
        <f>CALC_EPM!Q156</f>
        <v>0</v>
      </c>
      <c r="R163">
        <f>CALC_EPM!R156</f>
        <v>0</v>
      </c>
      <c r="S163">
        <f>CALC_EPM!S156</f>
        <v>0</v>
      </c>
      <c r="T163">
        <f>CALC_EPM!T156</f>
        <v>0</v>
      </c>
      <c r="U163">
        <f>CALC_EPM!U156</f>
        <v>0</v>
      </c>
    </row>
    <row r="164" spans="1:21" x14ac:dyDescent="0.2">
      <c r="A164" t="str">
        <f>IF(CALC_EPM!A157="GLOBAL",IF(CALC_EPM!C157="Total","GLOBAL",IF(CALC_EPM!C157="TotalEsp","GLOBAL_ESP",IF(CALC_EPM!C157="TotalNoEsp","GLOBAL_NOESP","GLOBAL_ASIG"))),IF(CALC_EPM!C157="Total","CURSO_TOTAL",IF(CALC_EPM!C157="TotalEsp","CURSO_ESP",IF(CALC_EPM!C157="TotalNoEsp","CURSO_NOESP","CURSO_ASIG"))))</f>
        <v>CURSO_ASIG</v>
      </c>
      <c r="B164" t="str">
        <f>CALC_EPM!A157</f>
        <v>4EPM</v>
      </c>
      <c r="C164" t="str">
        <f>CALC_EPM!B157</f>
        <v>Guitarra</v>
      </c>
      <c r="D164">
        <f>CALC_EPM!D157</f>
        <v>0</v>
      </c>
      <c r="E164" s="10" t="str">
        <f>CALC_EPM!E157</f>
        <v>—</v>
      </c>
      <c r="F164" s="10" t="str">
        <f>CALC_EPM!F157</f>
        <v>—</v>
      </c>
      <c r="G164" t="str">
        <f>CALC_EPM!G157</f>
        <v>—</v>
      </c>
      <c r="H164" s="11" t="str">
        <f>CALC_EPM!H157</f>
        <v>—</v>
      </c>
      <c r="I164" s="11" t="str">
        <f>CALC_EPM!I157</f>
        <v>—</v>
      </c>
      <c r="J164" t="str">
        <f>CALC_EPM!J157</f>
        <v>—</v>
      </c>
      <c r="K164" t="str">
        <f>CALC_EPM!K157</f>
        <v>—</v>
      </c>
      <c r="L164">
        <f>CALC_EPM!L157</f>
        <v>0</v>
      </c>
      <c r="M164">
        <f>CALC_EPM!M157</f>
        <v>0</v>
      </c>
      <c r="N164">
        <f>CALC_EPM!N157</f>
        <v>0</v>
      </c>
      <c r="O164">
        <f>CALC_EPM!O157</f>
        <v>0</v>
      </c>
      <c r="P164">
        <f>CALC_EPM!P157</f>
        <v>0</v>
      </c>
      <c r="Q164">
        <f>CALC_EPM!Q157</f>
        <v>0</v>
      </c>
      <c r="R164">
        <f>CALC_EPM!R157</f>
        <v>0</v>
      </c>
      <c r="S164">
        <f>CALC_EPM!S157</f>
        <v>0</v>
      </c>
      <c r="T164">
        <f>CALC_EPM!T157</f>
        <v>0</v>
      </c>
      <c r="U164">
        <f>CALC_EPM!U157</f>
        <v>0</v>
      </c>
    </row>
    <row r="165" spans="1:21" x14ac:dyDescent="0.2">
      <c r="A165" t="str">
        <f>IF(CALC_EPM!A158="GLOBAL",IF(CALC_EPM!C158="Total","GLOBAL",IF(CALC_EPM!C158="TotalEsp","GLOBAL_ESP",IF(CALC_EPM!C158="TotalNoEsp","GLOBAL_NOESP","GLOBAL_ASIG"))),IF(CALC_EPM!C158="Total","CURSO_TOTAL",IF(CALC_EPM!C158="TotalEsp","CURSO_ESP",IF(CALC_EPM!C158="TotalNoEsp","CURSO_NOESP","CURSO_ASIG"))))</f>
        <v>CURSO_ASIG</v>
      </c>
      <c r="B165" t="str">
        <f>CALC_EPM!A158</f>
        <v>4EPM</v>
      </c>
      <c r="C165" t="str">
        <f>CALC_EPM!B158</f>
        <v>Guitarra Eléctrica</v>
      </c>
      <c r="D165">
        <f>CALC_EPM!D158</f>
        <v>0</v>
      </c>
      <c r="E165" s="10" t="str">
        <f>CALC_EPM!E158</f>
        <v>—</v>
      </c>
      <c r="F165" s="10" t="str">
        <f>CALC_EPM!F158</f>
        <v>—</v>
      </c>
      <c r="G165" t="str">
        <f>CALC_EPM!G158</f>
        <v>—</v>
      </c>
      <c r="H165" s="11" t="str">
        <f>CALC_EPM!H158</f>
        <v>—</v>
      </c>
      <c r="I165" s="11" t="str">
        <f>CALC_EPM!I158</f>
        <v>—</v>
      </c>
      <c r="J165" t="str">
        <f>CALC_EPM!J158</f>
        <v>—</v>
      </c>
      <c r="K165" t="str">
        <f>CALC_EPM!K158</f>
        <v>—</v>
      </c>
      <c r="L165">
        <f>CALC_EPM!L158</f>
        <v>0</v>
      </c>
      <c r="M165">
        <f>CALC_EPM!M158</f>
        <v>0</v>
      </c>
      <c r="N165">
        <f>CALC_EPM!N158</f>
        <v>0</v>
      </c>
      <c r="O165">
        <f>CALC_EPM!O158</f>
        <v>0</v>
      </c>
      <c r="P165">
        <f>CALC_EPM!P158</f>
        <v>0</v>
      </c>
      <c r="Q165">
        <f>CALC_EPM!Q158</f>
        <v>0</v>
      </c>
      <c r="R165">
        <f>CALC_EPM!R158</f>
        <v>0</v>
      </c>
      <c r="S165">
        <f>CALC_EPM!S158</f>
        <v>0</v>
      </c>
      <c r="T165">
        <f>CALC_EPM!T158</f>
        <v>0</v>
      </c>
      <c r="U165">
        <f>CALC_EPM!U158</f>
        <v>0</v>
      </c>
    </row>
    <row r="166" spans="1:21" x14ac:dyDescent="0.2">
      <c r="A166" t="str">
        <f>IF(CALC_EPM!A159="GLOBAL",IF(CALC_EPM!C159="Total","GLOBAL",IF(CALC_EPM!C159="TotalEsp","GLOBAL_ESP",IF(CALC_EPM!C159="TotalNoEsp","GLOBAL_NOESP","GLOBAL_ASIG"))),IF(CALC_EPM!C159="Total","CURSO_TOTAL",IF(CALC_EPM!C159="TotalEsp","CURSO_ESP",IF(CALC_EPM!C159="TotalNoEsp","CURSO_NOESP","CURSO_ASIG"))))</f>
        <v>CURSO_ASIG</v>
      </c>
      <c r="B166" t="str">
        <f>CALC_EPM!A159</f>
        <v>4EPM</v>
      </c>
      <c r="C166" t="str">
        <f>CALC_EPM!B159</f>
        <v>Oboe</v>
      </c>
      <c r="D166">
        <f>CALC_EPM!D159</f>
        <v>0</v>
      </c>
      <c r="E166" s="10" t="str">
        <f>CALC_EPM!E159</f>
        <v>—</v>
      </c>
      <c r="F166" s="10" t="str">
        <f>CALC_EPM!F159</f>
        <v>—</v>
      </c>
      <c r="G166" t="str">
        <f>CALC_EPM!G159</f>
        <v>—</v>
      </c>
      <c r="H166" s="11" t="str">
        <f>CALC_EPM!H159</f>
        <v>—</v>
      </c>
      <c r="I166" s="11" t="str">
        <f>CALC_EPM!I159</f>
        <v>—</v>
      </c>
      <c r="J166" t="str">
        <f>CALC_EPM!J159</f>
        <v>—</v>
      </c>
      <c r="K166" t="str">
        <f>CALC_EPM!K159</f>
        <v>—</v>
      </c>
      <c r="L166">
        <f>CALC_EPM!L159</f>
        <v>0</v>
      </c>
      <c r="M166">
        <f>CALC_EPM!M159</f>
        <v>0</v>
      </c>
      <c r="N166">
        <f>CALC_EPM!N159</f>
        <v>0</v>
      </c>
      <c r="O166">
        <f>CALC_EPM!O159</f>
        <v>0</v>
      </c>
      <c r="P166">
        <f>CALC_EPM!P159</f>
        <v>0</v>
      </c>
      <c r="Q166">
        <f>CALC_EPM!Q159</f>
        <v>0</v>
      </c>
      <c r="R166">
        <f>CALC_EPM!R159</f>
        <v>0</v>
      </c>
      <c r="S166">
        <f>CALC_EPM!S159</f>
        <v>0</v>
      </c>
      <c r="T166">
        <f>CALC_EPM!T159</f>
        <v>0</v>
      </c>
      <c r="U166">
        <f>CALC_EPM!U159</f>
        <v>0</v>
      </c>
    </row>
    <row r="167" spans="1:21" x14ac:dyDescent="0.2">
      <c r="A167" t="str">
        <f>IF(CALC_EPM!A160="GLOBAL",IF(CALC_EPM!C160="Total","GLOBAL",IF(CALC_EPM!C160="TotalEsp","GLOBAL_ESP",IF(CALC_EPM!C160="TotalNoEsp","GLOBAL_NOESP","GLOBAL_ASIG"))),IF(CALC_EPM!C160="Total","CURSO_TOTAL",IF(CALC_EPM!C160="TotalEsp","CURSO_ESP",IF(CALC_EPM!C160="TotalNoEsp","CURSO_NOESP","CURSO_ASIG"))))</f>
        <v>CURSO_ASIG</v>
      </c>
      <c r="B167" t="str">
        <f>CALC_EPM!A160</f>
        <v>4EPM</v>
      </c>
      <c r="C167" t="str">
        <f>CALC_EPM!B160</f>
        <v>Percusión</v>
      </c>
      <c r="D167">
        <f>CALC_EPM!D160</f>
        <v>0</v>
      </c>
      <c r="E167" s="10" t="str">
        <f>CALC_EPM!E160</f>
        <v>—</v>
      </c>
      <c r="F167" s="10" t="str">
        <f>CALC_EPM!F160</f>
        <v>—</v>
      </c>
      <c r="G167" t="str">
        <f>CALC_EPM!G160</f>
        <v>—</v>
      </c>
      <c r="H167" s="11" t="str">
        <f>CALC_EPM!H160</f>
        <v>—</v>
      </c>
      <c r="I167" s="11" t="str">
        <f>CALC_EPM!I160</f>
        <v>—</v>
      </c>
      <c r="J167" t="str">
        <f>CALC_EPM!J160</f>
        <v>—</v>
      </c>
      <c r="K167" t="str">
        <f>CALC_EPM!K160</f>
        <v>—</v>
      </c>
      <c r="L167">
        <f>CALC_EPM!L160</f>
        <v>0</v>
      </c>
      <c r="M167">
        <f>CALC_EPM!M160</f>
        <v>0</v>
      </c>
      <c r="N167">
        <f>CALC_EPM!N160</f>
        <v>0</v>
      </c>
      <c r="O167">
        <f>CALC_EPM!O160</f>
        <v>0</v>
      </c>
      <c r="P167">
        <f>CALC_EPM!P160</f>
        <v>0</v>
      </c>
      <c r="Q167">
        <f>CALC_EPM!Q160</f>
        <v>0</v>
      </c>
      <c r="R167">
        <f>CALC_EPM!R160</f>
        <v>0</v>
      </c>
      <c r="S167">
        <f>CALC_EPM!S160</f>
        <v>0</v>
      </c>
      <c r="T167">
        <f>CALC_EPM!T160</f>
        <v>0</v>
      </c>
      <c r="U167">
        <f>CALC_EPM!U160</f>
        <v>0</v>
      </c>
    </row>
    <row r="168" spans="1:21" x14ac:dyDescent="0.2">
      <c r="A168" t="str">
        <f>IF(CALC_EPM!A161="GLOBAL",IF(CALC_EPM!C161="Total","GLOBAL",IF(CALC_EPM!C161="TotalEsp","GLOBAL_ESP",IF(CALC_EPM!C161="TotalNoEsp","GLOBAL_NOESP","GLOBAL_ASIG"))),IF(CALC_EPM!C161="Total","CURSO_TOTAL",IF(CALC_EPM!C161="TotalEsp","CURSO_ESP",IF(CALC_EPM!C161="TotalNoEsp","CURSO_NOESP","CURSO_ASIG"))))</f>
        <v>CURSO_ASIG</v>
      </c>
      <c r="B168" t="str">
        <f>CALC_EPM!A161</f>
        <v>4EPM</v>
      </c>
      <c r="C168" t="str">
        <f>CALC_EPM!B161</f>
        <v>Piano</v>
      </c>
      <c r="D168">
        <f>CALC_EPM!D161</f>
        <v>0</v>
      </c>
      <c r="E168" s="10" t="str">
        <f>CALC_EPM!E161</f>
        <v>—</v>
      </c>
      <c r="F168" s="10" t="str">
        <f>CALC_EPM!F161</f>
        <v>—</v>
      </c>
      <c r="G168" t="str">
        <f>CALC_EPM!G161</f>
        <v>—</v>
      </c>
      <c r="H168" s="11" t="str">
        <f>CALC_EPM!H161</f>
        <v>—</v>
      </c>
      <c r="I168" s="11" t="str">
        <f>CALC_EPM!I161</f>
        <v>—</v>
      </c>
      <c r="J168" t="str">
        <f>CALC_EPM!J161</f>
        <v>—</v>
      </c>
      <c r="K168" t="str">
        <f>CALC_EPM!K161</f>
        <v>—</v>
      </c>
      <c r="L168">
        <f>CALC_EPM!L161</f>
        <v>0</v>
      </c>
      <c r="M168">
        <f>CALC_EPM!M161</f>
        <v>0</v>
      </c>
      <c r="N168">
        <f>CALC_EPM!N161</f>
        <v>0</v>
      </c>
      <c r="O168">
        <f>CALC_EPM!O161</f>
        <v>0</v>
      </c>
      <c r="P168">
        <f>CALC_EPM!P161</f>
        <v>0</v>
      </c>
      <c r="Q168">
        <f>CALC_EPM!Q161</f>
        <v>0</v>
      </c>
      <c r="R168">
        <f>CALC_EPM!R161</f>
        <v>0</v>
      </c>
      <c r="S168">
        <f>CALC_EPM!S161</f>
        <v>0</v>
      </c>
      <c r="T168">
        <f>CALC_EPM!T161</f>
        <v>0</v>
      </c>
      <c r="U168">
        <f>CALC_EPM!U161</f>
        <v>0</v>
      </c>
    </row>
    <row r="169" spans="1:21" x14ac:dyDescent="0.2">
      <c r="A169" t="str">
        <f>IF(CALC_EPM!A162="GLOBAL",IF(CALC_EPM!C162="Total","GLOBAL",IF(CALC_EPM!C162="TotalEsp","GLOBAL_ESP",IF(CALC_EPM!C162="TotalNoEsp","GLOBAL_NOESP","GLOBAL_ASIG"))),IF(CALC_EPM!C162="Total","CURSO_TOTAL",IF(CALC_EPM!C162="TotalEsp","CURSO_ESP",IF(CALC_EPM!C162="TotalNoEsp","CURSO_NOESP","CURSO_ASIG"))))</f>
        <v>CURSO_ASIG</v>
      </c>
      <c r="B169" t="str">
        <f>CALC_EPM!A162</f>
        <v>4EPM</v>
      </c>
      <c r="C169" t="str">
        <f>CALC_EPM!B162</f>
        <v>Saxofón</v>
      </c>
      <c r="D169">
        <f>CALC_EPM!D162</f>
        <v>0</v>
      </c>
      <c r="E169" s="10" t="str">
        <f>CALC_EPM!E162</f>
        <v>—</v>
      </c>
      <c r="F169" s="10" t="str">
        <f>CALC_EPM!F162</f>
        <v>—</v>
      </c>
      <c r="G169" t="str">
        <f>CALC_EPM!G162</f>
        <v>—</v>
      </c>
      <c r="H169" s="11" t="str">
        <f>CALC_EPM!H162</f>
        <v>—</v>
      </c>
      <c r="I169" s="11" t="str">
        <f>CALC_EPM!I162</f>
        <v>—</v>
      </c>
      <c r="J169" t="str">
        <f>CALC_EPM!J162</f>
        <v>—</v>
      </c>
      <c r="K169" t="str">
        <f>CALC_EPM!K162</f>
        <v>—</v>
      </c>
      <c r="L169">
        <f>CALC_EPM!L162</f>
        <v>0</v>
      </c>
      <c r="M169">
        <f>CALC_EPM!M162</f>
        <v>0</v>
      </c>
      <c r="N169">
        <f>CALC_EPM!N162</f>
        <v>0</v>
      </c>
      <c r="O169">
        <f>CALC_EPM!O162</f>
        <v>0</v>
      </c>
      <c r="P169">
        <f>CALC_EPM!P162</f>
        <v>0</v>
      </c>
      <c r="Q169">
        <f>CALC_EPM!Q162</f>
        <v>0</v>
      </c>
      <c r="R169">
        <f>CALC_EPM!R162</f>
        <v>0</v>
      </c>
      <c r="S169">
        <f>CALC_EPM!S162</f>
        <v>0</v>
      </c>
      <c r="T169">
        <f>CALC_EPM!T162</f>
        <v>0</v>
      </c>
      <c r="U169">
        <f>CALC_EPM!U162</f>
        <v>0</v>
      </c>
    </row>
    <row r="170" spans="1:21" x14ac:dyDescent="0.2">
      <c r="A170" t="str">
        <f>IF(CALC_EPM!A163="GLOBAL",IF(CALC_EPM!C163="Total","GLOBAL",IF(CALC_EPM!C163="TotalEsp","GLOBAL_ESP",IF(CALC_EPM!C163="TotalNoEsp","GLOBAL_NOESP","GLOBAL_ASIG"))),IF(CALC_EPM!C163="Total","CURSO_TOTAL",IF(CALC_EPM!C163="TotalEsp","CURSO_ESP",IF(CALC_EPM!C163="TotalNoEsp","CURSO_NOESP","CURSO_ASIG"))))</f>
        <v>CURSO_ASIG</v>
      </c>
      <c r="B170" t="str">
        <f>CALC_EPM!A163</f>
        <v>4EPM</v>
      </c>
      <c r="C170" t="str">
        <f>CALC_EPM!B163</f>
        <v>Trombón</v>
      </c>
      <c r="D170">
        <f>CALC_EPM!D163</f>
        <v>0</v>
      </c>
      <c r="E170" s="10" t="str">
        <f>CALC_EPM!E163</f>
        <v>—</v>
      </c>
      <c r="F170" s="10" t="str">
        <f>CALC_EPM!F163</f>
        <v>—</v>
      </c>
      <c r="G170" t="str">
        <f>CALC_EPM!G163</f>
        <v>—</v>
      </c>
      <c r="H170" s="11" t="str">
        <f>CALC_EPM!H163</f>
        <v>—</v>
      </c>
      <c r="I170" s="11" t="str">
        <f>CALC_EPM!I163</f>
        <v>—</v>
      </c>
      <c r="J170" t="str">
        <f>CALC_EPM!J163</f>
        <v>—</v>
      </c>
      <c r="K170" t="str">
        <f>CALC_EPM!K163</f>
        <v>—</v>
      </c>
      <c r="L170">
        <f>CALC_EPM!L163</f>
        <v>0</v>
      </c>
      <c r="M170">
        <f>CALC_EPM!M163</f>
        <v>0</v>
      </c>
      <c r="N170">
        <f>CALC_EPM!N163</f>
        <v>0</v>
      </c>
      <c r="O170">
        <f>CALC_EPM!O163</f>
        <v>0</v>
      </c>
      <c r="P170">
        <f>CALC_EPM!P163</f>
        <v>0</v>
      </c>
      <c r="Q170">
        <f>CALC_EPM!Q163</f>
        <v>0</v>
      </c>
      <c r="R170">
        <f>CALC_EPM!R163</f>
        <v>0</v>
      </c>
      <c r="S170">
        <f>CALC_EPM!S163</f>
        <v>0</v>
      </c>
      <c r="T170">
        <f>CALC_EPM!T163</f>
        <v>0</v>
      </c>
      <c r="U170">
        <f>CALC_EPM!U163</f>
        <v>0</v>
      </c>
    </row>
    <row r="171" spans="1:21" x14ac:dyDescent="0.2">
      <c r="A171" t="str">
        <f>IF(CALC_EPM!A164="GLOBAL",IF(CALC_EPM!C164="Total","GLOBAL",IF(CALC_EPM!C164="TotalEsp","GLOBAL_ESP",IF(CALC_EPM!C164="TotalNoEsp","GLOBAL_NOESP","GLOBAL_ASIG"))),IF(CALC_EPM!C164="Total","CURSO_TOTAL",IF(CALC_EPM!C164="TotalEsp","CURSO_ESP",IF(CALC_EPM!C164="TotalNoEsp","CURSO_NOESP","CURSO_ASIG"))))</f>
        <v>CURSO_ASIG</v>
      </c>
      <c r="B171" t="str">
        <f>CALC_EPM!A164</f>
        <v>4EPM</v>
      </c>
      <c r="C171" t="str">
        <f>CALC_EPM!B164</f>
        <v>Trompa</v>
      </c>
      <c r="D171">
        <f>CALC_EPM!D164</f>
        <v>0</v>
      </c>
      <c r="E171" s="10" t="str">
        <f>CALC_EPM!E164</f>
        <v>—</v>
      </c>
      <c r="F171" s="10" t="str">
        <f>CALC_EPM!F164</f>
        <v>—</v>
      </c>
      <c r="G171" t="str">
        <f>CALC_EPM!G164</f>
        <v>—</v>
      </c>
      <c r="H171" s="11" t="str">
        <f>CALC_EPM!H164</f>
        <v>—</v>
      </c>
      <c r="I171" s="11" t="str">
        <f>CALC_EPM!I164</f>
        <v>—</v>
      </c>
      <c r="J171" t="str">
        <f>CALC_EPM!J164</f>
        <v>—</v>
      </c>
      <c r="K171" t="str">
        <f>CALC_EPM!K164</f>
        <v>—</v>
      </c>
      <c r="L171">
        <f>CALC_EPM!L164</f>
        <v>0</v>
      </c>
      <c r="M171">
        <f>CALC_EPM!M164</f>
        <v>0</v>
      </c>
      <c r="N171">
        <f>CALC_EPM!N164</f>
        <v>0</v>
      </c>
      <c r="O171">
        <f>CALC_EPM!O164</f>
        <v>0</v>
      </c>
      <c r="P171">
        <f>CALC_EPM!P164</f>
        <v>0</v>
      </c>
      <c r="Q171">
        <f>CALC_EPM!Q164</f>
        <v>0</v>
      </c>
      <c r="R171">
        <f>CALC_EPM!R164</f>
        <v>0</v>
      </c>
      <c r="S171">
        <f>CALC_EPM!S164</f>
        <v>0</v>
      </c>
      <c r="T171">
        <f>CALC_EPM!T164</f>
        <v>0</v>
      </c>
      <c r="U171">
        <f>CALC_EPM!U164</f>
        <v>0</v>
      </c>
    </row>
    <row r="172" spans="1:21" x14ac:dyDescent="0.2">
      <c r="A172" t="str">
        <f>IF(CALC_EPM!A165="GLOBAL",IF(CALC_EPM!C165="Total","GLOBAL",IF(CALC_EPM!C165="TotalEsp","GLOBAL_ESP",IF(CALC_EPM!C165="TotalNoEsp","GLOBAL_NOESP","GLOBAL_ASIG"))),IF(CALC_EPM!C165="Total","CURSO_TOTAL",IF(CALC_EPM!C165="TotalEsp","CURSO_ESP",IF(CALC_EPM!C165="TotalNoEsp","CURSO_NOESP","CURSO_ASIG"))))</f>
        <v>CURSO_ASIG</v>
      </c>
      <c r="B172" t="str">
        <f>CALC_EPM!A165</f>
        <v>4EPM</v>
      </c>
      <c r="C172" t="str">
        <f>CALC_EPM!B165</f>
        <v>Trompeta</v>
      </c>
      <c r="D172">
        <f>CALC_EPM!D165</f>
        <v>0</v>
      </c>
      <c r="E172" s="10" t="str">
        <f>CALC_EPM!E165</f>
        <v>—</v>
      </c>
      <c r="F172" s="10" t="str">
        <f>CALC_EPM!F165</f>
        <v>—</v>
      </c>
      <c r="G172" t="str">
        <f>CALC_EPM!G165</f>
        <v>—</v>
      </c>
      <c r="H172" s="11" t="str">
        <f>CALC_EPM!H165</f>
        <v>—</v>
      </c>
      <c r="I172" s="11" t="str">
        <f>CALC_EPM!I165</f>
        <v>—</v>
      </c>
      <c r="J172" t="str">
        <f>CALC_EPM!J165</f>
        <v>—</v>
      </c>
      <c r="K172" t="str">
        <f>CALC_EPM!K165</f>
        <v>—</v>
      </c>
      <c r="L172">
        <f>CALC_EPM!L165</f>
        <v>0</v>
      </c>
      <c r="M172">
        <f>CALC_EPM!M165</f>
        <v>0</v>
      </c>
      <c r="N172">
        <f>CALC_EPM!N165</f>
        <v>0</v>
      </c>
      <c r="O172">
        <f>CALC_EPM!O165</f>
        <v>0</v>
      </c>
      <c r="P172">
        <f>CALC_EPM!P165</f>
        <v>0</v>
      </c>
      <c r="Q172">
        <f>CALC_EPM!Q165</f>
        <v>0</v>
      </c>
      <c r="R172">
        <f>CALC_EPM!R165</f>
        <v>0</v>
      </c>
      <c r="S172">
        <f>CALC_EPM!S165</f>
        <v>0</v>
      </c>
      <c r="T172">
        <f>CALC_EPM!T165</f>
        <v>0</v>
      </c>
      <c r="U172">
        <f>CALC_EPM!U165</f>
        <v>0</v>
      </c>
    </row>
    <row r="173" spans="1:21" x14ac:dyDescent="0.2">
      <c r="A173" t="str">
        <f>IF(CALC_EPM!A166="GLOBAL",IF(CALC_EPM!C166="Total","GLOBAL",IF(CALC_EPM!C166="TotalEsp","GLOBAL_ESP",IF(CALC_EPM!C166="TotalNoEsp","GLOBAL_NOESP","GLOBAL_ASIG"))),IF(CALC_EPM!C166="Total","CURSO_TOTAL",IF(CALC_EPM!C166="TotalEsp","CURSO_ESP",IF(CALC_EPM!C166="TotalNoEsp","CURSO_NOESP","CURSO_ASIG"))))</f>
        <v>CURSO_ASIG</v>
      </c>
      <c r="B173" t="str">
        <f>CALC_EPM!A166</f>
        <v>4EPM</v>
      </c>
      <c r="C173" t="str">
        <f>CALC_EPM!B166</f>
        <v>Tuba</v>
      </c>
      <c r="D173">
        <f>CALC_EPM!D166</f>
        <v>0</v>
      </c>
      <c r="E173" s="10" t="str">
        <f>CALC_EPM!E166</f>
        <v>—</v>
      </c>
      <c r="F173" s="10" t="str">
        <f>CALC_EPM!F166</f>
        <v>—</v>
      </c>
      <c r="G173" t="str">
        <f>CALC_EPM!G166</f>
        <v>—</v>
      </c>
      <c r="H173" s="11" t="str">
        <f>CALC_EPM!H166</f>
        <v>—</v>
      </c>
      <c r="I173" s="11" t="str">
        <f>CALC_EPM!I166</f>
        <v>—</v>
      </c>
      <c r="J173" t="str">
        <f>CALC_EPM!J166</f>
        <v>—</v>
      </c>
      <c r="K173" t="str">
        <f>CALC_EPM!K166</f>
        <v>—</v>
      </c>
      <c r="L173">
        <f>CALC_EPM!L166</f>
        <v>0</v>
      </c>
      <c r="M173">
        <f>CALC_EPM!M166</f>
        <v>0</v>
      </c>
      <c r="N173">
        <f>CALC_EPM!N166</f>
        <v>0</v>
      </c>
      <c r="O173">
        <f>CALC_EPM!O166</f>
        <v>0</v>
      </c>
      <c r="P173">
        <f>CALC_EPM!P166</f>
        <v>0</v>
      </c>
      <c r="Q173">
        <f>CALC_EPM!Q166</f>
        <v>0</v>
      </c>
      <c r="R173">
        <f>CALC_EPM!R166</f>
        <v>0</v>
      </c>
      <c r="S173">
        <f>CALC_EPM!S166</f>
        <v>0</v>
      </c>
      <c r="T173">
        <f>CALC_EPM!T166</f>
        <v>0</v>
      </c>
      <c r="U173">
        <f>CALC_EPM!U166</f>
        <v>0</v>
      </c>
    </row>
    <row r="174" spans="1:21" x14ac:dyDescent="0.2">
      <c r="A174" t="str">
        <f>IF(CALC_EPM!A167="GLOBAL",IF(CALC_EPM!C167="Total","GLOBAL",IF(CALC_EPM!C167="TotalEsp","GLOBAL_ESP",IF(CALC_EPM!C167="TotalNoEsp","GLOBAL_NOESP","GLOBAL_ASIG"))),IF(CALC_EPM!C167="Total","CURSO_TOTAL",IF(CALC_EPM!C167="TotalEsp","CURSO_ESP",IF(CALC_EPM!C167="TotalNoEsp","CURSO_NOESP","CURSO_ASIG"))))</f>
        <v>CURSO_ASIG</v>
      </c>
      <c r="B174" t="str">
        <f>CALC_EPM!A167</f>
        <v>4EPM</v>
      </c>
      <c r="C174" t="str">
        <f>CALC_EPM!B167</f>
        <v>Viola</v>
      </c>
      <c r="D174">
        <f>CALC_EPM!D167</f>
        <v>0</v>
      </c>
      <c r="E174" s="10" t="str">
        <f>CALC_EPM!E167</f>
        <v>—</v>
      </c>
      <c r="F174" s="10" t="str">
        <f>CALC_EPM!F167</f>
        <v>—</v>
      </c>
      <c r="G174" t="str">
        <f>CALC_EPM!G167</f>
        <v>—</v>
      </c>
      <c r="H174" s="11" t="str">
        <f>CALC_EPM!H167</f>
        <v>—</v>
      </c>
      <c r="I174" s="11" t="str">
        <f>CALC_EPM!I167</f>
        <v>—</v>
      </c>
      <c r="J174" t="str">
        <f>CALC_EPM!J167</f>
        <v>—</v>
      </c>
      <c r="K174" t="str">
        <f>CALC_EPM!K167</f>
        <v>—</v>
      </c>
      <c r="L174">
        <f>CALC_EPM!L167</f>
        <v>0</v>
      </c>
      <c r="M174">
        <f>CALC_EPM!M167</f>
        <v>0</v>
      </c>
      <c r="N174">
        <f>CALC_EPM!N167</f>
        <v>0</v>
      </c>
      <c r="O174">
        <f>CALC_EPM!O167</f>
        <v>0</v>
      </c>
      <c r="P174">
        <f>CALC_EPM!P167</f>
        <v>0</v>
      </c>
      <c r="Q174">
        <f>CALC_EPM!Q167</f>
        <v>0</v>
      </c>
      <c r="R174">
        <f>CALC_EPM!R167</f>
        <v>0</v>
      </c>
      <c r="S174">
        <f>CALC_EPM!S167</f>
        <v>0</v>
      </c>
      <c r="T174">
        <f>CALC_EPM!T167</f>
        <v>0</v>
      </c>
      <c r="U174">
        <f>CALC_EPM!U167</f>
        <v>0</v>
      </c>
    </row>
    <row r="175" spans="1:21" x14ac:dyDescent="0.2">
      <c r="A175" t="str">
        <f>IF(CALC_EPM!A168="GLOBAL",IF(CALC_EPM!C168="Total","GLOBAL",IF(CALC_EPM!C168="TotalEsp","GLOBAL_ESP",IF(CALC_EPM!C168="TotalNoEsp","GLOBAL_NOESP","GLOBAL_ASIG"))),IF(CALC_EPM!C168="Total","CURSO_TOTAL",IF(CALC_EPM!C168="TotalEsp","CURSO_ESP",IF(CALC_EPM!C168="TotalNoEsp","CURSO_NOESP","CURSO_ASIG"))))</f>
        <v>CURSO_ASIG</v>
      </c>
      <c r="B175" t="str">
        <f>CALC_EPM!A168</f>
        <v>4EPM</v>
      </c>
      <c r="C175" t="str">
        <f>CALC_EPM!B168</f>
        <v>Violín</v>
      </c>
      <c r="D175">
        <f>CALC_EPM!D168</f>
        <v>0</v>
      </c>
      <c r="E175" s="10" t="str">
        <f>CALC_EPM!E168</f>
        <v>—</v>
      </c>
      <c r="F175" s="10" t="str">
        <f>CALC_EPM!F168</f>
        <v>—</v>
      </c>
      <c r="G175" t="str">
        <f>CALC_EPM!G168</f>
        <v>—</v>
      </c>
      <c r="H175" s="11" t="str">
        <f>CALC_EPM!H168</f>
        <v>—</v>
      </c>
      <c r="I175" s="11" t="str">
        <f>CALC_EPM!I168</f>
        <v>—</v>
      </c>
      <c r="J175" t="str">
        <f>CALC_EPM!J168</f>
        <v>—</v>
      </c>
      <c r="K175" t="str">
        <f>CALC_EPM!K168</f>
        <v>—</v>
      </c>
      <c r="L175">
        <f>CALC_EPM!L168</f>
        <v>0</v>
      </c>
      <c r="M175">
        <f>CALC_EPM!M168</f>
        <v>0</v>
      </c>
      <c r="N175">
        <f>CALC_EPM!N168</f>
        <v>0</v>
      </c>
      <c r="O175">
        <f>CALC_EPM!O168</f>
        <v>0</v>
      </c>
      <c r="P175">
        <f>CALC_EPM!P168</f>
        <v>0</v>
      </c>
      <c r="Q175">
        <f>CALC_EPM!Q168</f>
        <v>0</v>
      </c>
      <c r="R175">
        <f>CALC_EPM!R168</f>
        <v>0</v>
      </c>
      <c r="S175">
        <f>CALC_EPM!S168</f>
        <v>0</v>
      </c>
      <c r="T175">
        <f>CALC_EPM!T168</f>
        <v>0</v>
      </c>
      <c r="U175">
        <f>CALC_EPM!U168</f>
        <v>0</v>
      </c>
    </row>
    <row r="176" spans="1:21" x14ac:dyDescent="0.2">
      <c r="A176" t="str">
        <f>IF(CALC_EPM!A169="GLOBAL",IF(CALC_EPM!C169="Total","GLOBAL",IF(CALC_EPM!C169="TotalEsp","GLOBAL_ESP",IF(CALC_EPM!C169="TotalNoEsp","GLOBAL_NOESP","GLOBAL_ASIG"))),IF(CALC_EPM!C169="Total","CURSO_TOTAL",IF(CALC_EPM!C169="TotalEsp","CURSO_ESP",IF(CALC_EPM!C169="TotalNoEsp","CURSO_NOESP","CURSO_ASIG"))))</f>
        <v>CURSO_ASIG</v>
      </c>
      <c r="B176" t="str">
        <f>CALC_EPM!A169</f>
        <v>4EPM</v>
      </c>
      <c r="C176" t="str">
        <f>CALC_EPM!B169</f>
        <v>Violoncello</v>
      </c>
      <c r="D176">
        <f>CALC_EPM!D169</f>
        <v>0</v>
      </c>
      <c r="E176" s="10" t="str">
        <f>CALC_EPM!E169</f>
        <v>—</v>
      </c>
      <c r="F176" s="10" t="str">
        <f>CALC_EPM!F169</f>
        <v>—</v>
      </c>
      <c r="G176" t="str">
        <f>CALC_EPM!G169</f>
        <v>—</v>
      </c>
      <c r="H176" s="11" t="str">
        <f>CALC_EPM!H169</f>
        <v>—</v>
      </c>
      <c r="I176" s="11" t="str">
        <f>CALC_EPM!I169</f>
        <v>—</v>
      </c>
      <c r="J176" t="str">
        <f>CALC_EPM!J169</f>
        <v>—</v>
      </c>
      <c r="K176" t="str">
        <f>CALC_EPM!K169</f>
        <v>—</v>
      </c>
      <c r="L176">
        <f>CALC_EPM!L169</f>
        <v>0</v>
      </c>
      <c r="M176">
        <f>CALC_EPM!M169</f>
        <v>0</v>
      </c>
      <c r="N176">
        <f>CALC_EPM!N169</f>
        <v>0</v>
      </c>
      <c r="O176">
        <f>CALC_EPM!O169</f>
        <v>0</v>
      </c>
      <c r="P176">
        <f>CALC_EPM!P169</f>
        <v>0</v>
      </c>
      <c r="Q176">
        <f>CALC_EPM!Q169</f>
        <v>0</v>
      </c>
      <c r="R176">
        <f>CALC_EPM!R169</f>
        <v>0</v>
      </c>
      <c r="S176">
        <f>CALC_EPM!S169</f>
        <v>0</v>
      </c>
      <c r="T176">
        <f>CALC_EPM!T169</f>
        <v>0</v>
      </c>
      <c r="U176">
        <f>CALC_EPM!U169</f>
        <v>0</v>
      </c>
    </row>
    <row r="177" spans="1:21" x14ac:dyDescent="0.2">
      <c r="A177" t="str">
        <f>IF(CALC_EPM!A170="GLOBAL",IF(CALC_EPM!C170="Total","GLOBAL",IF(CALC_EPM!C170="TotalEsp","GLOBAL_ESP",IF(CALC_EPM!C170="TotalNoEsp","GLOBAL_NOESP","GLOBAL_ASIG"))),IF(CALC_EPM!C170="Total","CURSO_TOTAL",IF(CALC_EPM!C170="TotalEsp","CURSO_ESP",IF(CALC_EPM!C170="TotalNoEsp","CURSO_NOESP","CURSO_ASIG"))))</f>
        <v>CURSO_ASIG</v>
      </c>
      <c r="B177" t="str">
        <f>CALC_EPM!A170</f>
        <v>5EPM</v>
      </c>
      <c r="C177" t="str">
        <f>CALC_EPM!B170</f>
        <v>Análisis</v>
      </c>
      <c r="D177">
        <f>CALC_EPM!D170</f>
        <v>0</v>
      </c>
      <c r="E177" s="10" t="str">
        <f>CALC_EPM!E170</f>
        <v>—</v>
      </c>
      <c r="F177" s="10" t="str">
        <f>CALC_EPM!F170</f>
        <v>—</v>
      </c>
      <c r="G177" t="str">
        <f>CALC_EPM!G170</f>
        <v>—</v>
      </c>
      <c r="H177" s="11" t="str">
        <f>CALC_EPM!H170</f>
        <v>—</v>
      </c>
      <c r="I177" s="11" t="str">
        <f>CALC_EPM!I170</f>
        <v>—</v>
      </c>
      <c r="J177" t="str">
        <f>CALC_EPM!J170</f>
        <v>—</v>
      </c>
      <c r="K177" t="str">
        <f>CALC_EPM!K170</f>
        <v>—</v>
      </c>
      <c r="L177">
        <f>CALC_EPM!L170</f>
        <v>0</v>
      </c>
      <c r="M177">
        <f>CALC_EPM!M170</f>
        <v>0</v>
      </c>
      <c r="N177">
        <f>CALC_EPM!N170</f>
        <v>0</v>
      </c>
      <c r="O177">
        <f>CALC_EPM!O170</f>
        <v>0</v>
      </c>
      <c r="P177">
        <f>CALC_EPM!P170</f>
        <v>0</v>
      </c>
      <c r="Q177">
        <f>CALC_EPM!Q170</f>
        <v>0</v>
      </c>
      <c r="R177">
        <f>CALC_EPM!R170</f>
        <v>0</v>
      </c>
      <c r="S177">
        <f>CALC_EPM!S170</f>
        <v>0</v>
      </c>
      <c r="T177">
        <f>CALC_EPM!T170</f>
        <v>0</v>
      </c>
      <c r="U177">
        <f>CALC_EPM!U170</f>
        <v>0</v>
      </c>
    </row>
    <row r="178" spans="1:21" x14ac:dyDescent="0.2">
      <c r="A178" t="str">
        <f>IF(CALC_EPM!A171="GLOBAL",IF(CALC_EPM!C171="Total","GLOBAL",IF(CALC_EPM!C171="TotalEsp","GLOBAL_ESP",IF(CALC_EPM!C171="TotalNoEsp","GLOBAL_NOESP","GLOBAL_ASIG"))),IF(CALC_EPM!C171="Total","CURSO_TOTAL",IF(CALC_EPM!C171="TotalEsp","CURSO_ESP",IF(CALC_EPM!C171="TotalNoEsp","CURSO_NOESP","CURSO_ASIG"))))</f>
        <v>CURSO_ASIG</v>
      </c>
      <c r="B178" t="str">
        <f>CALC_EPM!A171</f>
        <v>5EPM</v>
      </c>
      <c r="C178" t="str">
        <f>CALC_EPM!B171</f>
        <v>Música de Cámara</v>
      </c>
      <c r="D178">
        <f>CALC_EPM!D171</f>
        <v>0</v>
      </c>
      <c r="E178" s="10" t="str">
        <f>CALC_EPM!E171</f>
        <v>—</v>
      </c>
      <c r="F178" s="10" t="str">
        <f>CALC_EPM!F171</f>
        <v>—</v>
      </c>
      <c r="G178" t="str">
        <f>CALC_EPM!G171</f>
        <v>—</v>
      </c>
      <c r="H178" s="11" t="str">
        <f>CALC_EPM!H171</f>
        <v>—</v>
      </c>
      <c r="I178" s="11" t="str">
        <f>CALC_EPM!I171</f>
        <v>—</v>
      </c>
      <c r="J178" t="str">
        <f>CALC_EPM!J171</f>
        <v>—</v>
      </c>
      <c r="K178" t="str">
        <f>CALC_EPM!K171</f>
        <v>—</v>
      </c>
      <c r="L178">
        <f>CALC_EPM!L171</f>
        <v>0</v>
      </c>
      <c r="M178">
        <f>CALC_EPM!M171</f>
        <v>0</v>
      </c>
      <c r="N178">
        <f>CALC_EPM!N171</f>
        <v>0</v>
      </c>
      <c r="O178">
        <f>CALC_EPM!O171</f>
        <v>0</v>
      </c>
      <c r="P178">
        <f>CALC_EPM!P171</f>
        <v>0</v>
      </c>
      <c r="Q178">
        <f>CALC_EPM!Q171</f>
        <v>0</v>
      </c>
      <c r="R178">
        <f>CALC_EPM!R171</f>
        <v>0</v>
      </c>
      <c r="S178">
        <f>CALC_EPM!S171</f>
        <v>0</v>
      </c>
      <c r="T178">
        <f>CALC_EPM!T171</f>
        <v>0</v>
      </c>
      <c r="U178">
        <f>CALC_EPM!U171</f>
        <v>0</v>
      </c>
    </row>
    <row r="179" spans="1:21" x14ac:dyDescent="0.2">
      <c r="A179" t="str">
        <f>IF(CALC_EPM!A172="GLOBAL",IF(CALC_EPM!C172="Total","GLOBAL",IF(CALC_EPM!C172="TotalEsp","GLOBAL_ESP",IF(CALC_EPM!C172="TotalNoEsp","GLOBAL_NOESP","GLOBAL_ASIG"))),IF(CALC_EPM!C172="Total","CURSO_TOTAL",IF(CALC_EPM!C172="TotalEsp","CURSO_ESP",IF(CALC_EPM!C172="TotalNoEsp","CURSO_NOESP","CURSO_ASIG"))))</f>
        <v>CURSO_ASIG</v>
      </c>
      <c r="B179" t="str">
        <f>CALC_EPM!A172</f>
        <v>5EPM</v>
      </c>
      <c r="C179" t="str">
        <f>CALC_EPM!B172</f>
        <v>Orquesta/Banda/Conjunto</v>
      </c>
      <c r="D179">
        <f>CALC_EPM!D172</f>
        <v>0</v>
      </c>
      <c r="E179" s="10" t="str">
        <f>CALC_EPM!E172</f>
        <v>—</v>
      </c>
      <c r="F179" s="10" t="str">
        <f>CALC_EPM!F172</f>
        <v>—</v>
      </c>
      <c r="G179" t="str">
        <f>CALC_EPM!G172</f>
        <v>—</v>
      </c>
      <c r="H179" s="11" t="str">
        <f>CALC_EPM!H172</f>
        <v>—</v>
      </c>
      <c r="I179" s="11" t="str">
        <f>CALC_EPM!I172</f>
        <v>—</v>
      </c>
      <c r="J179" t="str">
        <f>CALC_EPM!J172</f>
        <v>—</v>
      </c>
      <c r="K179" t="str">
        <f>CALC_EPM!K172</f>
        <v>—</v>
      </c>
      <c r="L179">
        <f>CALC_EPM!L172</f>
        <v>0</v>
      </c>
      <c r="M179">
        <f>CALC_EPM!M172</f>
        <v>0</v>
      </c>
      <c r="N179">
        <f>CALC_EPM!N172</f>
        <v>0</v>
      </c>
      <c r="O179">
        <f>CALC_EPM!O172</f>
        <v>0</v>
      </c>
      <c r="P179">
        <f>CALC_EPM!P172</f>
        <v>0</v>
      </c>
      <c r="Q179">
        <f>CALC_EPM!Q172</f>
        <v>0</v>
      </c>
      <c r="R179">
        <f>CALC_EPM!R172</f>
        <v>0</v>
      </c>
      <c r="S179">
        <f>CALC_EPM!S172</f>
        <v>0</v>
      </c>
      <c r="T179">
        <f>CALC_EPM!T172</f>
        <v>0</v>
      </c>
      <c r="U179">
        <f>CALC_EPM!U172</f>
        <v>0</v>
      </c>
    </row>
    <row r="180" spans="1:21" x14ac:dyDescent="0.2">
      <c r="A180" t="str">
        <f>IF(CALC_EPM!A173="GLOBAL",IF(CALC_EPM!C173="Total","GLOBAL",IF(CALC_EPM!C173="TotalEsp","GLOBAL_ESP",IF(CALC_EPM!C173="TotalNoEsp","GLOBAL_NOESP","GLOBAL_ASIG"))),IF(CALC_EPM!C173="Total","CURSO_TOTAL",IF(CALC_EPM!C173="TotalEsp","CURSO_ESP",IF(CALC_EPM!C173="TotalNoEsp","CURSO_NOESP","CURSO_ASIG"))))</f>
        <v>CURSO_ASIG</v>
      </c>
      <c r="B180" t="str">
        <f>CALC_EPM!A173</f>
        <v>5EPM</v>
      </c>
      <c r="C180" t="str">
        <f>CALC_EPM!B173</f>
        <v>Acompañamiento</v>
      </c>
      <c r="D180">
        <f>CALC_EPM!D173</f>
        <v>0</v>
      </c>
      <c r="E180" s="10" t="str">
        <f>CALC_EPM!E173</f>
        <v>—</v>
      </c>
      <c r="F180" s="10" t="str">
        <f>CALC_EPM!F173</f>
        <v>—</v>
      </c>
      <c r="G180" t="str">
        <f>CALC_EPM!G173</f>
        <v>—</v>
      </c>
      <c r="H180" s="11" t="str">
        <f>CALC_EPM!H173</f>
        <v>—</v>
      </c>
      <c r="I180" s="11" t="str">
        <f>CALC_EPM!I173</f>
        <v>—</v>
      </c>
      <c r="J180" t="str">
        <f>CALC_EPM!J173</f>
        <v>—</v>
      </c>
      <c r="K180" t="str">
        <f>CALC_EPM!K173</f>
        <v>—</v>
      </c>
      <c r="L180">
        <f>CALC_EPM!L173</f>
        <v>0</v>
      </c>
      <c r="M180">
        <f>CALC_EPM!M173</f>
        <v>0</v>
      </c>
      <c r="N180">
        <f>CALC_EPM!N173</f>
        <v>0</v>
      </c>
      <c r="O180">
        <f>CALC_EPM!O173</f>
        <v>0</v>
      </c>
      <c r="P180">
        <f>CALC_EPM!P173</f>
        <v>0</v>
      </c>
      <c r="Q180">
        <f>CALC_EPM!Q173</f>
        <v>0</v>
      </c>
      <c r="R180">
        <f>CALC_EPM!R173</f>
        <v>0</v>
      </c>
      <c r="S180">
        <f>CALC_EPM!S173</f>
        <v>0</v>
      </c>
      <c r="T180">
        <f>CALC_EPM!T173</f>
        <v>0</v>
      </c>
      <c r="U180">
        <f>CALC_EPM!U173</f>
        <v>0</v>
      </c>
    </row>
    <row r="181" spans="1:21" x14ac:dyDescent="0.2">
      <c r="A181" t="str">
        <f>IF(CALC_EPM!A174="GLOBAL",IF(CALC_EPM!C174="Total","GLOBAL",IF(CALC_EPM!C174="TotalEsp","GLOBAL_ESP",IF(CALC_EPM!C174="TotalNoEsp","GLOBAL_NOESP","GLOBAL_ASIG"))),IF(CALC_EPM!C174="Total","CURSO_TOTAL",IF(CALC_EPM!C174="TotalEsp","CURSO_ESP",IF(CALC_EPM!C174="TotalNoEsp","CURSO_NOESP","CURSO_ASIG"))))</f>
        <v>CURSO_ASIG</v>
      </c>
      <c r="B181" t="str">
        <f>CALC_EPM!A174</f>
        <v>5EPM</v>
      </c>
      <c r="C181" t="str">
        <f>CALC_EPM!B174</f>
        <v>Idioma Aplicado al Canto</v>
      </c>
      <c r="D181">
        <f>CALC_EPM!D174</f>
        <v>0</v>
      </c>
      <c r="E181" s="10" t="str">
        <f>CALC_EPM!E174</f>
        <v>—</v>
      </c>
      <c r="F181" s="10" t="str">
        <f>CALC_EPM!F174</f>
        <v>—</v>
      </c>
      <c r="G181" t="str">
        <f>CALC_EPM!G174</f>
        <v>—</v>
      </c>
      <c r="H181" s="11" t="str">
        <f>CALC_EPM!H174</f>
        <v>—</v>
      </c>
      <c r="I181" s="11" t="str">
        <f>CALC_EPM!I174</f>
        <v>—</v>
      </c>
      <c r="J181" t="str">
        <f>CALC_EPM!J174</f>
        <v>—</v>
      </c>
      <c r="K181" t="str">
        <f>CALC_EPM!K174</f>
        <v>—</v>
      </c>
      <c r="L181">
        <f>CALC_EPM!L174</f>
        <v>0</v>
      </c>
      <c r="M181">
        <f>CALC_EPM!M174</f>
        <v>0</v>
      </c>
      <c r="N181">
        <f>CALC_EPM!N174</f>
        <v>0</v>
      </c>
      <c r="O181">
        <f>CALC_EPM!O174</f>
        <v>0</v>
      </c>
      <c r="P181">
        <f>CALC_EPM!P174</f>
        <v>0</v>
      </c>
      <c r="Q181">
        <f>CALC_EPM!Q174</f>
        <v>0</v>
      </c>
      <c r="R181">
        <f>CALC_EPM!R174</f>
        <v>0</v>
      </c>
      <c r="S181">
        <f>CALC_EPM!S174</f>
        <v>0</v>
      </c>
      <c r="T181">
        <f>CALC_EPM!T174</f>
        <v>0</v>
      </c>
      <c r="U181">
        <f>CALC_EPM!U174</f>
        <v>0</v>
      </c>
    </row>
    <row r="182" spans="1:21" x14ac:dyDescent="0.2">
      <c r="A182" t="str">
        <f>IF(CALC_EPM!A175="GLOBAL",IF(CALC_EPM!C175="Total","GLOBAL",IF(CALC_EPM!C175="TotalEsp","GLOBAL_ESP",IF(CALC_EPM!C175="TotalNoEsp","GLOBAL_NOESP","GLOBAL_ASIG"))),IF(CALC_EPM!C175="Total","CURSO_TOTAL",IF(CALC_EPM!C175="TotalEsp","CURSO_ESP",IF(CALC_EPM!C175="TotalNoEsp","CURSO_NOESP","CURSO_ASIG"))))</f>
        <v>CURSO_ASIG</v>
      </c>
      <c r="B182" t="str">
        <f>CALC_EPM!A175</f>
        <v>5EPM</v>
      </c>
      <c r="C182" t="str">
        <f>CALC_EPM!B175</f>
        <v>Historia de la Música</v>
      </c>
      <c r="D182">
        <f>CALC_EPM!D175</f>
        <v>0</v>
      </c>
      <c r="E182" s="10" t="str">
        <f>CALC_EPM!E175</f>
        <v>—</v>
      </c>
      <c r="F182" s="10" t="str">
        <f>CALC_EPM!F175</f>
        <v>—</v>
      </c>
      <c r="G182" t="str">
        <f>CALC_EPM!G175</f>
        <v>—</v>
      </c>
      <c r="H182" s="11" t="str">
        <f>CALC_EPM!H175</f>
        <v>—</v>
      </c>
      <c r="I182" s="11" t="str">
        <f>CALC_EPM!I175</f>
        <v>—</v>
      </c>
      <c r="J182" t="str">
        <f>CALC_EPM!J175</f>
        <v>—</v>
      </c>
      <c r="K182" t="str">
        <f>CALC_EPM!K175</f>
        <v>—</v>
      </c>
      <c r="L182">
        <f>CALC_EPM!L175</f>
        <v>0</v>
      </c>
      <c r="M182">
        <f>CALC_EPM!M175</f>
        <v>0</v>
      </c>
      <c r="N182">
        <f>CALC_EPM!N175</f>
        <v>0</v>
      </c>
      <c r="O182">
        <f>CALC_EPM!O175</f>
        <v>0</v>
      </c>
      <c r="P182">
        <f>CALC_EPM!P175</f>
        <v>0</v>
      </c>
      <c r="Q182">
        <f>CALC_EPM!Q175</f>
        <v>0</v>
      </c>
      <c r="R182">
        <f>CALC_EPM!R175</f>
        <v>0</v>
      </c>
      <c r="S182">
        <f>CALC_EPM!S175</f>
        <v>0</v>
      </c>
      <c r="T182">
        <f>CALC_EPM!T175</f>
        <v>0</v>
      </c>
      <c r="U182">
        <f>CALC_EPM!U175</f>
        <v>0</v>
      </c>
    </row>
    <row r="183" spans="1:21" x14ac:dyDescent="0.2">
      <c r="A183" t="str">
        <f>IF(CALC_EPM!A176="GLOBAL",IF(CALC_EPM!C176="Total","GLOBAL",IF(CALC_EPM!C176="TotalEsp","GLOBAL_ESP",IF(CALC_EPM!C176="TotalNoEsp","GLOBAL_NOESP","GLOBAL_ASIG"))),IF(CALC_EPM!C176="Total","CURSO_TOTAL",IF(CALC_EPM!C176="TotalEsp","CURSO_ESP",IF(CALC_EPM!C176="TotalNoEsp","CURSO_NOESP","CURSO_ASIG"))))</f>
        <v>CURSO_ASIG</v>
      </c>
      <c r="B183" t="str">
        <f>CALC_EPM!A176</f>
        <v>5EPM</v>
      </c>
      <c r="C183" t="str">
        <f>CALC_EPM!B176</f>
        <v>Arpa</v>
      </c>
      <c r="D183">
        <f>CALC_EPM!D176</f>
        <v>0</v>
      </c>
      <c r="E183" s="10" t="str">
        <f>CALC_EPM!E176</f>
        <v>—</v>
      </c>
      <c r="F183" s="10" t="str">
        <f>CALC_EPM!F176</f>
        <v>—</v>
      </c>
      <c r="G183" t="str">
        <f>CALC_EPM!G176</f>
        <v>—</v>
      </c>
      <c r="H183" s="11" t="str">
        <f>CALC_EPM!H176</f>
        <v>—</v>
      </c>
      <c r="I183" s="11" t="str">
        <f>CALC_EPM!I176</f>
        <v>—</v>
      </c>
      <c r="J183" t="str">
        <f>CALC_EPM!J176</f>
        <v>—</v>
      </c>
      <c r="K183" t="str">
        <f>CALC_EPM!K176</f>
        <v>—</v>
      </c>
      <c r="L183">
        <f>CALC_EPM!L176</f>
        <v>0</v>
      </c>
      <c r="M183">
        <f>CALC_EPM!M176</f>
        <v>0</v>
      </c>
      <c r="N183">
        <f>CALC_EPM!N176</f>
        <v>0</v>
      </c>
      <c r="O183">
        <f>CALC_EPM!O176</f>
        <v>0</v>
      </c>
      <c r="P183">
        <f>CALC_EPM!P176</f>
        <v>0</v>
      </c>
      <c r="Q183">
        <f>CALC_EPM!Q176</f>
        <v>0</v>
      </c>
      <c r="R183">
        <f>CALC_EPM!R176</f>
        <v>0</v>
      </c>
      <c r="S183">
        <f>CALC_EPM!S176</f>
        <v>0</v>
      </c>
      <c r="T183">
        <f>CALC_EPM!T176</f>
        <v>0</v>
      </c>
      <c r="U183">
        <f>CALC_EPM!U176</f>
        <v>0</v>
      </c>
    </row>
    <row r="184" spans="1:21" x14ac:dyDescent="0.2">
      <c r="A184" t="str">
        <f>IF(CALC_EPM!A177="GLOBAL",IF(CALC_EPM!C177="Total","GLOBAL",IF(CALC_EPM!C177="TotalEsp","GLOBAL_ESP",IF(CALC_EPM!C177="TotalNoEsp","GLOBAL_NOESP","GLOBAL_ASIG"))),IF(CALC_EPM!C177="Total","CURSO_TOTAL",IF(CALC_EPM!C177="TotalEsp","CURSO_ESP",IF(CALC_EPM!C177="TotalNoEsp","CURSO_NOESP","CURSO_ASIG"))))</f>
        <v>CURSO_ASIG</v>
      </c>
      <c r="B184" t="str">
        <f>CALC_EPM!A177</f>
        <v>5EPM</v>
      </c>
      <c r="C184" t="str">
        <f>CALC_EPM!B177</f>
        <v>Bajo Eléctrico</v>
      </c>
      <c r="D184">
        <f>CALC_EPM!D177</f>
        <v>0</v>
      </c>
      <c r="E184" s="10" t="str">
        <f>CALC_EPM!E177</f>
        <v>—</v>
      </c>
      <c r="F184" s="10" t="str">
        <f>CALC_EPM!F177</f>
        <v>—</v>
      </c>
      <c r="G184" t="str">
        <f>CALC_EPM!G177</f>
        <v>—</v>
      </c>
      <c r="H184" s="11" t="str">
        <f>CALC_EPM!H177</f>
        <v>—</v>
      </c>
      <c r="I184" s="11" t="str">
        <f>CALC_EPM!I177</f>
        <v>—</v>
      </c>
      <c r="J184" t="str">
        <f>CALC_EPM!J177</f>
        <v>—</v>
      </c>
      <c r="K184" t="str">
        <f>CALC_EPM!K177</f>
        <v>—</v>
      </c>
      <c r="L184">
        <f>CALC_EPM!L177</f>
        <v>0</v>
      </c>
      <c r="M184">
        <f>CALC_EPM!M177</f>
        <v>0</v>
      </c>
      <c r="N184">
        <f>CALC_EPM!N177</f>
        <v>0</v>
      </c>
      <c r="O184">
        <f>CALC_EPM!O177</f>
        <v>0</v>
      </c>
      <c r="P184">
        <f>CALC_EPM!P177</f>
        <v>0</v>
      </c>
      <c r="Q184">
        <f>CALC_EPM!Q177</f>
        <v>0</v>
      </c>
      <c r="R184">
        <f>CALC_EPM!R177</f>
        <v>0</v>
      </c>
      <c r="S184">
        <f>CALC_EPM!S177</f>
        <v>0</v>
      </c>
      <c r="T184">
        <f>CALC_EPM!T177</f>
        <v>0</v>
      </c>
      <c r="U184">
        <f>CALC_EPM!U177</f>
        <v>0</v>
      </c>
    </row>
    <row r="185" spans="1:21" x14ac:dyDescent="0.2">
      <c r="A185" t="str">
        <f>IF(CALC_EPM!A178="GLOBAL",IF(CALC_EPM!C178="Total","GLOBAL",IF(CALC_EPM!C178="TotalEsp","GLOBAL_ESP",IF(CALC_EPM!C178="TotalNoEsp","GLOBAL_NOESP","GLOBAL_ASIG"))),IF(CALC_EPM!C178="Total","CURSO_TOTAL",IF(CALC_EPM!C178="TotalEsp","CURSO_ESP",IF(CALC_EPM!C178="TotalNoEsp","CURSO_NOESP","CURSO_ASIG"))))</f>
        <v>CURSO_ASIG</v>
      </c>
      <c r="B185" t="str">
        <f>CALC_EPM!A178</f>
        <v>5EPM</v>
      </c>
      <c r="C185" t="str">
        <f>CALC_EPM!B178</f>
        <v>Canto</v>
      </c>
      <c r="D185">
        <f>CALC_EPM!D178</f>
        <v>0</v>
      </c>
      <c r="E185" s="10" t="str">
        <f>CALC_EPM!E178</f>
        <v>—</v>
      </c>
      <c r="F185" s="10" t="str">
        <f>CALC_EPM!F178</f>
        <v>—</v>
      </c>
      <c r="G185" t="str">
        <f>CALC_EPM!G178</f>
        <v>—</v>
      </c>
      <c r="H185" s="11" t="str">
        <f>CALC_EPM!H178</f>
        <v>—</v>
      </c>
      <c r="I185" s="11" t="str">
        <f>CALC_EPM!I178</f>
        <v>—</v>
      </c>
      <c r="J185" t="str">
        <f>CALC_EPM!J178</f>
        <v>—</v>
      </c>
      <c r="K185" t="str">
        <f>CALC_EPM!K178</f>
        <v>—</v>
      </c>
      <c r="L185">
        <f>CALC_EPM!L178</f>
        <v>0</v>
      </c>
      <c r="M185">
        <f>CALC_EPM!M178</f>
        <v>0</v>
      </c>
      <c r="N185">
        <f>CALC_EPM!N178</f>
        <v>0</v>
      </c>
      <c r="O185">
        <f>CALC_EPM!O178</f>
        <v>0</v>
      </c>
      <c r="P185">
        <f>CALC_EPM!P178</f>
        <v>0</v>
      </c>
      <c r="Q185">
        <f>CALC_EPM!Q178</f>
        <v>0</v>
      </c>
      <c r="R185">
        <f>CALC_EPM!R178</f>
        <v>0</v>
      </c>
      <c r="S185">
        <f>CALC_EPM!S178</f>
        <v>0</v>
      </c>
      <c r="T185">
        <f>CALC_EPM!T178</f>
        <v>0</v>
      </c>
      <c r="U185">
        <f>CALC_EPM!U178</f>
        <v>0</v>
      </c>
    </row>
    <row r="186" spans="1:21" x14ac:dyDescent="0.2">
      <c r="A186" t="str">
        <f>IF(CALC_EPM!A179="GLOBAL",IF(CALC_EPM!C179="Total","GLOBAL",IF(CALC_EPM!C179="TotalEsp","GLOBAL_ESP",IF(CALC_EPM!C179="TotalNoEsp","GLOBAL_NOESP","GLOBAL_ASIG"))),IF(CALC_EPM!C179="Total","CURSO_TOTAL",IF(CALC_EPM!C179="TotalEsp","CURSO_ESP",IF(CALC_EPM!C179="TotalNoEsp","CURSO_NOESP","CURSO_ASIG"))))</f>
        <v>CURSO_ASIG</v>
      </c>
      <c r="B186" t="str">
        <f>CALC_EPM!A179</f>
        <v>5EPM</v>
      </c>
      <c r="C186" t="str">
        <f>CALC_EPM!B179</f>
        <v>Clarinete</v>
      </c>
      <c r="D186">
        <f>CALC_EPM!D179</f>
        <v>0</v>
      </c>
      <c r="E186" s="10" t="str">
        <f>CALC_EPM!E179</f>
        <v>—</v>
      </c>
      <c r="F186" s="10" t="str">
        <f>CALC_EPM!F179</f>
        <v>—</v>
      </c>
      <c r="G186" t="str">
        <f>CALC_EPM!G179</f>
        <v>—</v>
      </c>
      <c r="H186" s="11" t="str">
        <f>CALC_EPM!H179</f>
        <v>—</v>
      </c>
      <c r="I186" s="11" t="str">
        <f>CALC_EPM!I179</f>
        <v>—</v>
      </c>
      <c r="J186" t="str">
        <f>CALC_EPM!J179</f>
        <v>—</v>
      </c>
      <c r="K186" t="str">
        <f>CALC_EPM!K179</f>
        <v>—</v>
      </c>
      <c r="L186">
        <f>CALC_EPM!L179</f>
        <v>0</v>
      </c>
      <c r="M186">
        <f>CALC_EPM!M179</f>
        <v>0</v>
      </c>
      <c r="N186">
        <f>CALC_EPM!N179</f>
        <v>0</v>
      </c>
      <c r="O186">
        <f>CALC_EPM!O179</f>
        <v>0</v>
      </c>
      <c r="P186">
        <f>CALC_EPM!P179</f>
        <v>0</v>
      </c>
      <c r="Q186">
        <f>CALC_EPM!Q179</f>
        <v>0</v>
      </c>
      <c r="R186">
        <f>CALC_EPM!R179</f>
        <v>0</v>
      </c>
      <c r="S186">
        <f>CALC_EPM!S179</f>
        <v>0</v>
      </c>
      <c r="T186">
        <f>CALC_EPM!T179</f>
        <v>0</v>
      </c>
      <c r="U186">
        <f>CALC_EPM!U179</f>
        <v>0</v>
      </c>
    </row>
    <row r="187" spans="1:21" x14ac:dyDescent="0.2">
      <c r="A187" t="str">
        <f>IF(CALC_EPM!A180="GLOBAL",IF(CALC_EPM!C180="Total","GLOBAL",IF(CALC_EPM!C180="TotalEsp","GLOBAL_ESP",IF(CALC_EPM!C180="TotalNoEsp","GLOBAL_NOESP","GLOBAL_ASIG"))),IF(CALC_EPM!C180="Total","CURSO_TOTAL",IF(CALC_EPM!C180="TotalEsp","CURSO_ESP",IF(CALC_EPM!C180="TotalNoEsp","CURSO_NOESP","CURSO_ASIG"))))</f>
        <v>CURSO_ASIG</v>
      </c>
      <c r="B187" t="str">
        <f>CALC_EPM!A180</f>
        <v>5EPM</v>
      </c>
      <c r="C187" t="str">
        <f>CALC_EPM!B180</f>
        <v>Contrabajo</v>
      </c>
      <c r="D187">
        <f>CALC_EPM!D180</f>
        <v>0</v>
      </c>
      <c r="E187" s="10" t="str">
        <f>CALC_EPM!E180</f>
        <v>—</v>
      </c>
      <c r="F187" s="10" t="str">
        <f>CALC_EPM!F180</f>
        <v>—</v>
      </c>
      <c r="G187" t="str">
        <f>CALC_EPM!G180</f>
        <v>—</v>
      </c>
      <c r="H187" s="11" t="str">
        <f>CALC_EPM!H180</f>
        <v>—</v>
      </c>
      <c r="I187" s="11" t="str">
        <f>CALC_EPM!I180</f>
        <v>—</v>
      </c>
      <c r="J187" t="str">
        <f>CALC_EPM!J180</f>
        <v>—</v>
      </c>
      <c r="K187" t="str">
        <f>CALC_EPM!K180</f>
        <v>—</v>
      </c>
      <c r="L187">
        <f>CALC_EPM!L180</f>
        <v>0</v>
      </c>
      <c r="M187">
        <f>CALC_EPM!M180</f>
        <v>0</v>
      </c>
      <c r="N187">
        <f>CALC_EPM!N180</f>
        <v>0</v>
      </c>
      <c r="O187">
        <f>CALC_EPM!O180</f>
        <v>0</v>
      </c>
      <c r="P187">
        <f>CALC_EPM!P180</f>
        <v>0</v>
      </c>
      <c r="Q187">
        <f>CALC_EPM!Q180</f>
        <v>0</v>
      </c>
      <c r="R187">
        <f>CALC_EPM!R180</f>
        <v>0</v>
      </c>
      <c r="S187">
        <f>CALC_EPM!S180</f>
        <v>0</v>
      </c>
      <c r="T187">
        <f>CALC_EPM!T180</f>
        <v>0</v>
      </c>
      <c r="U187">
        <f>CALC_EPM!U180</f>
        <v>0</v>
      </c>
    </row>
    <row r="188" spans="1:21" x14ac:dyDescent="0.2">
      <c r="A188" t="str">
        <f>IF(CALC_EPM!A181="GLOBAL",IF(CALC_EPM!C181="Total","GLOBAL",IF(CALC_EPM!C181="TotalEsp","GLOBAL_ESP",IF(CALC_EPM!C181="TotalNoEsp","GLOBAL_NOESP","GLOBAL_ASIG"))),IF(CALC_EPM!C181="Total","CURSO_TOTAL",IF(CALC_EPM!C181="TotalEsp","CURSO_ESP",IF(CALC_EPM!C181="TotalNoEsp","CURSO_NOESP","CURSO_ASIG"))))</f>
        <v>CURSO_ASIG</v>
      </c>
      <c r="B188" t="str">
        <f>CALC_EPM!A181</f>
        <v>5EPM</v>
      </c>
      <c r="C188" t="str">
        <f>CALC_EPM!B181</f>
        <v>Dolçaina</v>
      </c>
      <c r="D188">
        <f>CALC_EPM!D181</f>
        <v>0</v>
      </c>
      <c r="E188" s="10" t="str">
        <f>CALC_EPM!E181</f>
        <v>—</v>
      </c>
      <c r="F188" s="10" t="str">
        <f>CALC_EPM!F181</f>
        <v>—</v>
      </c>
      <c r="G188" t="str">
        <f>CALC_EPM!G181</f>
        <v>—</v>
      </c>
      <c r="H188" s="11" t="str">
        <f>CALC_EPM!H181</f>
        <v>—</v>
      </c>
      <c r="I188" s="11" t="str">
        <f>CALC_EPM!I181</f>
        <v>—</v>
      </c>
      <c r="J188" t="str">
        <f>CALC_EPM!J181</f>
        <v>—</v>
      </c>
      <c r="K188" t="str">
        <f>CALC_EPM!K181</f>
        <v>—</v>
      </c>
      <c r="L188">
        <f>CALC_EPM!L181</f>
        <v>0</v>
      </c>
      <c r="M188">
        <f>CALC_EPM!M181</f>
        <v>0</v>
      </c>
      <c r="N188">
        <f>CALC_EPM!N181</f>
        <v>0</v>
      </c>
      <c r="O188">
        <f>CALC_EPM!O181</f>
        <v>0</v>
      </c>
      <c r="P188">
        <f>CALC_EPM!P181</f>
        <v>0</v>
      </c>
      <c r="Q188">
        <f>CALC_EPM!Q181</f>
        <v>0</v>
      </c>
      <c r="R188">
        <f>CALC_EPM!R181</f>
        <v>0</v>
      </c>
      <c r="S188">
        <f>CALC_EPM!S181</f>
        <v>0</v>
      </c>
      <c r="T188">
        <f>CALC_EPM!T181</f>
        <v>0</v>
      </c>
      <c r="U188">
        <f>CALC_EPM!U181</f>
        <v>0</v>
      </c>
    </row>
    <row r="189" spans="1:21" x14ac:dyDescent="0.2">
      <c r="A189" t="str">
        <f>IF(CALC_EPM!A182="GLOBAL",IF(CALC_EPM!C182="Total","GLOBAL",IF(CALC_EPM!C182="TotalEsp","GLOBAL_ESP",IF(CALC_EPM!C182="TotalNoEsp","GLOBAL_NOESP","GLOBAL_ASIG"))),IF(CALC_EPM!C182="Total","CURSO_TOTAL",IF(CALC_EPM!C182="TotalEsp","CURSO_ESP",IF(CALC_EPM!C182="TotalNoEsp","CURSO_NOESP","CURSO_ASIG"))))</f>
        <v>CURSO_ASIG</v>
      </c>
      <c r="B189" t="str">
        <f>CALC_EPM!A182</f>
        <v>5EPM</v>
      </c>
      <c r="C189" t="str">
        <f>CALC_EPM!B182</f>
        <v>Fagot</v>
      </c>
      <c r="D189">
        <f>CALC_EPM!D182</f>
        <v>0</v>
      </c>
      <c r="E189" s="10" t="str">
        <f>CALC_EPM!E182</f>
        <v>—</v>
      </c>
      <c r="F189" s="10" t="str">
        <f>CALC_EPM!F182</f>
        <v>—</v>
      </c>
      <c r="G189" t="str">
        <f>CALC_EPM!G182</f>
        <v>—</v>
      </c>
      <c r="H189" s="11" t="str">
        <f>CALC_EPM!H182</f>
        <v>—</v>
      </c>
      <c r="I189" s="11" t="str">
        <f>CALC_EPM!I182</f>
        <v>—</v>
      </c>
      <c r="J189" t="str">
        <f>CALC_EPM!J182</f>
        <v>—</v>
      </c>
      <c r="K189" t="str">
        <f>CALC_EPM!K182</f>
        <v>—</v>
      </c>
      <c r="L189">
        <f>CALC_EPM!L182</f>
        <v>0</v>
      </c>
      <c r="M189">
        <f>CALC_EPM!M182</f>
        <v>0</v>
      </c>
      <c r="N189">
        <f>CALC_EPM!N182</f>
        <v>0</v>
      </c>
      <c r="O189">
        <f>CALC_EPM!O182</f>
        <v>0</v>
      </c>
      <c r="P189">
        <f>CALC_EPM!P182</f>
        <v>0</v>
      </c>
      <c r="Q189">
        <f>CALC_EPM!Q182</f>
        <v>0</v>
      </c>
      <c r="R189">
        <f>CALC_EPM!R182</f>
        <v>0</v>
      </c>
      <c r="S189">
        <f>CALC_EPM!S182</f>
        <v>0</v>
      </c>
      <c r="T189">
        <f>CALC_EPM!T182</f>
        <v>0</v>
      </c>
      <c r="U189">
        <f>CALC_EPM!U182</f>
        <v>0</v>
      </c>
    </row>
    <row r="190" spans="1:21" x14ac:dyDescent="0.2">
      <c r="A190" t="str">
        <f>IF(CALC_EPM!A183="GLOBAL",IF(CALC_EPM!C183="Total","GLOBAL",IF(CALC_EPM!C183="TotalEsp","GLOBAL_ESP",IF(CALC_EPM!C183="TotalNoEsp","GLOBAL_NOESP","GLOBAL_ASIG"))),IF(CALC_EPM!C183="Total","CURSO_TOTAL",IF(CALC_EPM!C183="TotalEsp","CURSO_ESP",IF(CALC_EPM!C183="TotalNoEsp","CURSO_NOESP","CURSO_ASIG"))))</f>
        <v>CURSO_ASIG</v>
      </c>
      <c r="B190" t="str">
        <f>CALC_EPM!A183</f>
        <v>5EPM</v>
      </c>
      <c r="C190" t="str">
        <f>CALC_EPM!B183</f>
        <v>Flauta Travesera</v>
      </c>
      <c r="D190">
        <f>CALC_EPM!D183</f>
        <v>0</v>
      </c>
      <c r="E190" s="10" t="str">
        <f>CALC_EPM!E183</f>
        <v>—</v>
      </c>
      <c r="F190" s="10" t="str">
        <f>CALC_EPM!F183</f>
        <v>—</v>
      </c>
      <c r="G190" t="str">
        <f>CALC_EPM!G183</f>
        <v>—</v>
      </c>
      <c r="H190" s="11" t="str">
        <f>CALC_EPM!H183</f>
        <v>—</v>
      </c>
      <c r="I190" s="11" t="str">
        <f>CALC_EPM!I183</f>
        <v>—</v>
      </c>
      <c r="J190" t="str">
        <f>CALC_EPM!J183</f>
        <v>—</v>
      </c>
      <c r="K190" t="str">
        <f>CALC_EPM!K183</f>
        <v>—</v>
      </c>
      <c r="L190">
        <f>CALC_EPM!L183</f>
        <v>0</v>
      </c>
      <c r="M190">
        <f>CALC_EPM!M183</f>
        <v>0</v>
      </c>
      <c r="N190">
        <f>CALC_EPM!N183</f>
        <v>0</v>
      </c>
      <c r="O190">
        <f>CALC_EPM!O183</f>
        <v>0</v>
      </c>
      <c r="P190">
        <f>CALC_EPM!P183</f>
        <v>0</v>
      </c>
      <c r="Q190">
        <f>CALC_EPM!Q183</f>
        <v>0</v>
      </c>
      <c r="R190">
        <f>CALC_EPM!R183</f>
        <v>0</v>
      </c>
      <c r="S190">
        <f>CALC_EPM!S183</f>
        <v>0</v>
      </c>
      <c r="T190">
        <f>CALC_EPM!T183</f>
        <v>0</v>
      </c>
      <c r="U190">
        <f>CALC_EPM!U183</f>
        <v>0</v>
      </c>
    </row>
    <row r="191" spans="1:21" x14ac:dyDescent="0.2">
      <c r="A191" t="str">
        <f>IF(CALC_EPM!A184="GLOBAL",IF(CALC_EPM!C184="Total","GLOBAL",IF(CALC_EPM!C184="TotalEsp","GLOBAL_ESP",IF(CALC_EPM!C184="TotalNoEsp","GLOBAL_NOESP","GLOBAL_ASIG"))),IF(CALC_EPM!C184="Total","CURSO_TOTAL",IF(CALC_EPM!C184="TotalEsp","CURSO_ESP",IF(CALC_EPM!C184="TotalNoEsp","CURSO_NOESP","CURSO_ASIG"))))</f>
        <v>CURSO_ASIG</v>
      </c>
      <c r="B191" t="str">
        <f>CALC_EPM!A184</f>
        <v>5EPM</v>
      </c>
      <c r="C191" t="str">
        <f>CALC_EPM!B184</f>
        <v>Guitarra</v>
      </c>
      <c r="D191">
        <f>CALC_EPM!D184</f>
        <v>0</v>
      </c>
      <c r="E191" s="10" t="str">
        <f>CALC_EPM!E184</f>
        <v>—</v>
      </c>
      <c r="F191" s="10" t="str">
        <f>CALC_EPM!F184</f>
        <v>—</v>
      </c>
      <c r="G191" t="str">
        <f>CALC_EPM!G184</f>
        <v>—</v>
      </c>
      <c r="H191" s="11" t="str">
        <f>CALC_EPM!H184</f>
        <v>—</v>
      </c>
      <c r="I191" s="11" t="str">
        <f>CALC_EPM!I184</f>
        <v>—</v>
      </c>
      <c r="J191" t="str">
        <f>CALC_EPM!J184</f>
        <v>—</v>
      </c>
      <c r="K191" t="str">
        <f>CALC_EPM!K184</f>
        <v>—</v>
      </c>
      <c r="L191">
        <f>CALC_EPM!L184</f>
        <v>0</v>
      </c>
      <c r="M191">
        <f>CALC_EPM!M184</f>
        <v>0</v>
      </c>
      <c r="N191">
        <f>CALC_EPM!N184</f>
        <v>0</v>
      </c>
      <c r="O191">
        <f>CALC_EPM!O184</f>
        <v>0</v>
      </c>
      <c r="P191">
        <f>CALC_EPM!P184</f>
        <v>0</v>
      </c>
      <c r="Q191">
        <f>CALC_EPM!Q184</f>
        <v>0</v>
      </c>
      <c r="R191">
        <f>CALC_EPM!R184</f>
        <v>0</v>
      </c>
      <c r="S191">
        <f>CALC_EPM!S184</f>
        <v>0</v>
      </c>
      <c r="T191">
        <f>CALC_EPM!T184</f>
        <v>0</v>
      </c>
      <c r="U191">
        <f>CALC_EPM!U184</f>
        <v>0</v>
      </c>
    </row>
    <row r="192" spans="1:21" x14ac:dyDescent="0.2">
      <c r="A192" t="str">
        <f>IF(CALC_EPM!A185="GLOBAL",IF(CALC_EPM!C185="Total","GLOBAL",IF(CALC_EPM!C185="TotalEsp","GLOBAL_ESP",IF(CALC_EPM!C185="TotalNoEsp","GLOBAL_NOESP","GLOBAL_ASIG"))),IF(CALC_EPM!C185="Total","CURSO_TOTAL",IF(CALC_EPM!C185="TotalEsp","CURSO_ESP",IF(CALC_EPM!C185="TotalNoEsp","CURSO_NOESP","CURSO_ASIG"))))</f>
        <v>CURSO_ASIG</v>
      </c>
      <c r="B192" t="str">
        <f>CALC_EPM!A185</f>
        <v>5EPM</v>
      </c>
      <c r="C192" t="str">
        <f>CALC_EPM!B185</f>
        <v>Guitarra Eléctrica</v>
      </c>
      <c r="D192">
        <f>CALC_EPM!D185</f>
        <v>0</v>
      </c>
      <c r="E192" s="10" t="str">
        <f>CALC_EPM!E185</f>
        <v>—</v>
      </c>
      <c r="F192" s="10" t="str">
        <f>CALC_EPM!F185</f>
        <v>—</v>
      </c>
      <c r="G192" t="str">
        <f>CALC_EPM!G185</f>
        <v>—</v>
      </c>
      <c r="H192" s="11" t="str">
        <f>CALC_EPM!H185</f>
        <v>—</v>
      </c>
      <c r="I192" s="11" t="str">
        <f>CALC_EPM!I185</f>
        <v>—</v>
      </c>
      <c r="J192" t="str">
        <f>CALC_EPM!J185</f>
        <v>—</v>
      </c>
      <c r="K192" t="str">
        <f>CALC_EPM!K185</f>
        <v>—</v>
      </c>
      <c r="L192">
        <f>CALC_EPM!L185</f>
        <v>0</v>
      </c>
      <c r="M192">
        <f>CALC_EPM!M185</f>
        <v>0</v>
      </c>
      <c r="N192">
        <f>CALC_EPM!N185</f>
        <v>0</v>
      </c>
      <c r="O192">
        <f>CALC_EPM!O185</f>
        <v>0</v>
      </c>
      <c r="P192">
        <f>CALC_EPM!P185</f>
        <v>0</v>
      </c>
      <c r="Q192">
        <f>CALC_EPM!Q185</f>
        <v>0</v>
      </c>
      <c r="R192">
        <f>CALC_EPM!R185</f>
        <v>0</v>
      </c>
      <c r="S192">
        <f>CALC_EPM!S185</f>
        <v>0</v>
      </c>
      <c r="T192">
        <f>CALC_EPM!T185</f>
        <v>0</v>
      </c>
      <c r="U192">
        <f>CALC_EPM!U185</f>
        <v>0</v>
      </c>
    </row>
    <row r="193" spans="1:21" x14ac:dyDescent="0.2">
      <c r="A193" t="str">
        <f>IF(CALC_EPM!A186="GLOBAL",IF(CALC_EPM!C186="Total","GLOBAL",IF(CALC_EPM!C186="TotalEsp","GLOBAL_ESP",IF(CALC_EPM!C186="TotalNoEsp","GLOBAL_NOESP","GLOBAL_ASIG"))),IF(CALC_EPM!C186="Total","CURSO_TOTAL",IF(CALC_EPM!C186="TotalEsp","CURSO_ESP",IF(CALC_EPM!C186="TotalNoEsp","CURSO_NOESP","CURSO_ASIG"))))</f>
        <v>CURSO_ASIG</v>
      </c>
      <c r="B193" t="str">
        <f>CALC_EPM!A186</f>
        <v>5EPM</v>
      </c>
      <c r="C193" t="str">
        <f>CALC_EPM!B186</f>
        <v>Oboe</v>
      </c>
      <c r="D193">
        <f>CALC_EPM!D186</f>
        <v>0</v>
      </c>
      <c r="E193" s="10" t="str">
        <f>CALC_EPM!E186</f>
        <v>—</v>
      </c>
      <c r="F193" s="10" t="str">
        <f>CALC_EPM!F186</f>
        <v>—</v>
      </c>
      <c r="G193" t="str">
        <f>CALC_EPM!G186</f>
        <v>—</v>
      </c>
      <c r="H193" s="11" t="str">
        <f>CALC_EPM!H186</f>
        <v>—</v>
      </c>
      <c r="I193" s="11" t="str">
        <f>CALC_EPM!I186</f>
        <v>—</v>
      </c>
      <c r="J193" t="str">
        <f>CALC_EPM!J186</f>
        <v>—</v>
      </c>
      <c r="K193" t="str">
        <f>CALC_EPM!K186</f>
        <v>—</v>
      </c>
      <c r="L193">
        <f>CALC_EPM!L186</f>
        <v>0</v>
      </c>
      <c r="M193">
        <f>CALC_EPM!M186</f>
        <v>0</v>
      </c>
      <c r="N193">
        <f>CALC_EPM!N186</f>
        <v>0</v>
      </c>
      <c r="O193">
        <f>CALC_EPM!O186</f>
        <v>0</v>
      </c>
      <c r="P193">
        <f>CALC_EPM!P186</f>
        <v>0</v>
      </c>
      <c r="Q193">
        <f>CALC_EPM!Q186</f>
        <v>0</v>
      </c>
      <c r="R193">
        <f>CALC_EPM!R186</f>
        <v>0</v>
      </c>
      <c r="S193">
        <f>CALC_EPM!S186</f>
        <v>0</v>
      </c>
      <c r="T193">
        <f>CALC_EPM!T186</f>
        <v>0</v>
      </c>
      <c r="U193">
        <f>CALC_EPM!U186</f>
        <v>0</v>
      </c>
    </row>
    <row r="194" spans="1:21" x14ac:dyDescent="0.2">
      <c r="A194" t="str">
        <f>IF(CALC_EPM!A187="GLOBAL",IF(CALC_EPM!C187="Total","GLOBAL",IF(CALC_EPM!C187="TotalEsp","GLOBAL_ESP",IF(CALC_EPM!C187="TotalNoEsp","GLOBAL_NOESP","GLOBAL_ASIG"))),IF(CALC_EPM!C187="Total","CURSO_TOTAL",IF(CALC_EPM!C187="TotalEsp","CURSO_ESP",IF(CALC_EPM!C187="TotalNoEsp","CURSO_NOESP","CURSO_ASIG"))))</f>
        <v>CURSO_ASIG</v>
      </c>
      <c r="B194" t="str">
        <f>CALC_EPM!A187</f>
        <v>5EPM</v>
      </c>
      <c r="C194" t="str">
        <f>CALC_EPM!B187</f>
        <v>Percusión</v>
      </c>
      <c r="D194">
        <f>CALC_EPM!D187</f>
        <v>0</v>
      </c>
      <c r="E194" s="10" t="str">
        <f>CALC_EPM!E187</f>
        <v>—</v>
      </c>
      <c r="F194" s="10" t="str">
        <f>CALC_EPM!F187</f>
        <v>—</v>
      </c>
      <c r="G194" t="str">
        <f>CALC_EPM!G187</f>
        <v>—</v>
      </c>
      <c r="H194" s="11" t="str">
        <f>CALC_EPM!H187</f>
        <v>—</v>
      </c>
      <c r="I194" s="11" t="str">
        <f>CALC_EPM!I187</f>
        <v>—</v>
      </c>
      <c r="J194" t="str">
        <f>CALC_EPM!J187</f>
        <v>—</v>
      </c>
      <c r="K194" t="str">
        <f>CALC_EPM!K187</f>
        <v>—</v>
      </c>
      <c r="L194">
        <f>CALC_EPM!L187</f>
        <v>0</v>
      </c>
      <c r="M194">
        <f>CALC_EPM!M187</f>
        <v>0</v>
      </c>
      <c r="N194">
        <f>CALC_EPM!N187</f>
        <v>0</v>
      </c>
      <c r="O194">
        <f>CALC_EPM!O187</f>
        <v>0</v>
      </c>
      <c r="P194">
        <f>CALC_EPM!P187</f>
        <v>0</v>
      </c>
      <c r="Q194">
        <f>CALC_EPM!Q187</f>
        <v>0</v>
      </c>
      <c r="R194">
        <f>CALC_EPM!R187</f>
        <v>0</v>
      </c>
      <c r="S194">
        <f>CALC_EPM!S187</f>
        <v>0</v>
      </c>
      <c r="T194">
        <f>CALC_EPM!T187</f>
        <v>0</v>
      </c>
      <c r="U194">
        <f>CALC_EPM!U187</f>
        <v>0</v>
      </c>
    </row>
    <row r="195" spans="1:21" x14ac:dyDescent="0.2">
      <c r="A195" t="str">
        <f>IF(CALC_EPM!A188="GLOBAL",IF(CALC_EPM!C188="Total","GLOBAL",IF(CALC_EPM!C188="TotalEsp","GLOBAL_ESP",IF(CALC_EPM!C188="TotalNoEsp","GLOBAL_NOESP","GLOBAL_ASIG"))),IF(CALC_EPM!C188="Total","CURSO_TOTAL",IF(CALC_EPM!C188="TotalEsp","CURSO_ESP",IF(CALC_EPM!C188="TotalNoEsp","CURSO_NOESP","CURSO_ASIG"))))</f>
        <v>CURSO_ASIG</v>
      </c>
      <c r="B195" t="str">
        <f>CALC_EPM!A188</f>
        <v>5EPM</v>
      </c>
      <c r="C195" t="str">
        <f>CALC_EPM!B188</f>
        <v>Piano</v>
      </c>
      <c r="D195">
        <f>CALC_EPM!D188</f>
        <v>0</v>
      </c>
      <c r="E195" s="10" t="str">
        <f>CALC_EPM!E188</f>
        <v>—</v>
      </c>
      <c r="F195" s="10" t="str">
        <f>CALC_EPM!F188</f>
        <v>—</v>
      </c>
      <c r="G195" t="str">
        <f>CALC_EPM!G188</f>
        <v>—</v>
      </c>
      <c r="H195" s="11" t="str">
        <f>CALC_EPM!H188</f>
        <v>—</v>
      </c>
      <c r="I195" s="11" t="str">
        <f>CALC_EPM!I188</f>
        <v>—</v>
      </c>
      <c r="J195" t="str">
        <f>CALC_EPM!J188</f>
        <v>—</v>
      </c>
      <c r="K195" t="str">
        <f>CALC_EPM!K188</f>
        <v>—</v>
      </c>
      <c r="L195">
        <f>CALC_EPM!L188</f>
        <v>0</v>
      </c>
      <c r="M195">
        <f>CALC_EPM!M188</f>
        <v>0</v>
      </c>
      <c r="N195">
        <f>CALC_EPM!N188</f>
        <v>0</v>
      </c>
      <c r="O195">
        <f>CALC_EPM!O188</f>
        <v>0</v>
      </c>
      <c r="P195">
        <f>CALC_EPM!P188</f>
        <v>0</v>
      </c>
      <c r="Q195">
        <f>CALC_EPM!Q188</f>
        <v>0</v>
      </c>
      <c r="R195">
        <f>CALC_EPM!R188</f>
        <v>0</v>
      </c>
      <c r="S195">
        <f>CALC_EPM!S188</f>
        <v>0</v>
      </c>
      <c r="T195">
        <f>CALC_EPM!T188</f>
        <v>0</v>
      </c>
      <c r="U195">
        <f>CALC_EPM!U188</f>
        <v>0</v>
      </c>
    </row>
    <row r="196" spans="1:21" x14ac:dyDescent="0.2">
      <c r="A196" t="str">
        <f>IF(CALC_EPM!A189="GLOBAL",IF(CALC_EPM!C189="Total","GLOBAL",IF(CALC_EPM!C189="TotalEsp","GLOBAL_ESP",IF(CALC_EPM!C189="TotalNoEsp","GLOBAL_NOESP","GLOBAL_ASIG"))),IF(CALC_EPM!C189="Total","CURSO_TOTAL",IF(CALC_EPM!C189="TotalEsp","CURSO_ESP",IF(CALC_EPM!C189="TotalNoEsp","CURSO_NOESP","CURSO_ASIG"))))</f>
        <v>CURSO_ASIG</v>
      </c>
      <c r="B196" t="str">
        <f>CALC_EPM!A189</f>
        <v>5EPM</v>
      </c>
      <c r="C196" t="str">
        <f>CALC_EPM!B189</f>
        <v>Saxofón</v>
      </c>
      <c r="D196">
        <f>CALC_EPM!D189</f>
        <v>0</v>
      </c>
      <c r="E196" s="10" t="str">
        <f>CALC_EPM!E189</f>
        <v>—</v>
      </c>
      <c r="F196" s="10" t="str">
        <f>CALC_EPM!F189</f>
        <v>—</v>
      </c>
      <c r="G196" t="str">
        <f>CALC_EPM!G189</f>
        <v>—</v>
      </c>
      <c r="H196" s="11" t="str">
        <f>CALC_EPM!H189</f>
        <v>—</v>
      </c>
      <c r="I196" s="11" t="str">
        <f>CALC_EPM!I189</f>
        <v>—</v>
      </c>
      <c r="J196" t="str">
        <f>CALC_EPM!J189</f>
        <v>—</v>
      </c>
      <c r="K196" t="str">
        <f>CALC_EPM!K189</f>
        <v>—</v>
      </c>
      <c r="L196">
        <f>CALC_EPM!L189</f>
        <v>0</v>
      </c>
      <c r="M196">
        <f>CALC_EPM!M189</f>
        <v>0</v>
      </c>
      <c r="N196">
        <f>CALC_EPM!N189</f>
        <v>0</v>
      </c>
      <c r="O196">
        <f>CALC_EPM!O189</f>
        <v>0</v>
      </c>
      <c r="P196">
        <f>CALC_EPM!P189</f>
        <v>0</v>
      </c>
      <c r="Q196">
        <f>CALC_EPM!Q189</f>
        <v>0</v>
      </c>
      <c r="R196">
        <f>CALC_EPM!R189</f>
        <v>0</v>
      </c>
      <c r="S196">
        <f>CALC_EPM!S189</f>
        <v>0</v>
      </c>
      <c r="T196">
        <f>CALC_EPM!T189</f>
        <v>0</v>
      </c>
      <c r="U196">
        <f>CALC_EPM!U189</f>
        <v>0</v>
      </c>
    </row>
    <row r="197" spans="1:21" x14ac:dyDescent="0.2">
      <c r="A197" t="str">
        <f>IF(CALC_EPM!A190="GLOBAL",IF(CALC_EPM!C190="Total","GLOBAL",IF(CALC_EPM!C190="TotalEsp","GLOBAL_ESP",IF(CALC_EPM!C190="TotalNoEsp","GLOBAL_NOESP","GLOBAL_ASIG"))),IF(CALC_EPM!C190="Total","CURSO_TOTAL",IF(CALC_EPM!C190="TotalEsp","CURSO_ESP",IF(CALC_EPM!C190="TotalNoEsp","CURSO_NOESP","CURSO_ASIG"))))</f>
        <v>CURSO_ASIG</v>
      </c>
      <c r="B197" t="str">
        <f>CALC_EPM!A190</f>
        <v>5EPM</v>
      </c>
      <c r="C197" t="str">
        <f>CALC_EPM!B190</f>
        <v>Trombón</v>
      </c>
      <c r="D197">
        <f>CALC_EPM!D190</f>
        <v>0</v>
      </c>
      <c r="E197" s="10" t="str">
        <f>CALC_EPM!E190</f>
        <v>—</v>
      </c>
      <c r="F197" s="10" t="str">
        <f>CALC_EPM!F190</f>
        <v>—</v>
      </c>
      <c r="G197" t="str">
        <f>CALC_EPM!G190</f>
        <v>—</v>
      </c>
      <c r="H197" s="11" t="str">
        <f>CALC_EPM!H190</f>
        <v>—</v>
      </c>
      <c r="I197" s="11" t="str">
        <f>CALC_EPM!I190</f>
        <v>—</v>
      </c>
      <c r="J197" t="str">
        <f>CALC_EPM!J190</f>
        <v>—</v>
      </c>
      <c r="K197" t="str">
        <f>CALC_EPM!K190</f>
        <v>—</v>
      </c>
      <c r="L197">
        <f>CALC_EPM!L190</f>
        <v>0</v>
      </c>
      <c r="M197">
        <f>CALC_EPM!M190</f>
        <v>0</v>
      </c>
      <c r="N197">
        <f>CALC_EPM!N190</f>
        <v>0</v>
      </c>
      <c r="O197">
        <f>CALC_EPM!O190</f>
        <v>0</v>
      </c>
      <c r="P197">
        <f>CALC_EPM!P190</f>
        <v>0</v>
      </c>
      <c r="Q197">
        <f>CALC_EPM!Q190</f>
        <v>0</v>
      </c>
      <c r="R197">
        <f>CALC_EPM!R190</f>
        <v>0</v>
      </c>
      <c r="S197">
        <f>CALC_EPM!S190</f>
        <v>0</v>
      </c>
      <c r="T197">
        <f>CALC_EPM!T190</f>
        <v>0</v>
      </c>
      <c r="U197">
        <f>CALC_EPM!U190</f>
        <v>0</v>
      </c>
    </row>
    <row r="198" spans="1:21" x14ac:dyDescent="0.2">
      <c r="A198" t="str">
        <f>IF(CALC_EPM!A191="GLOBAL",IF(CALC_EPM!C191="Total","GLOBAL",IF(CALC_EPM!C191="TotalEsp","GLOBAL_ESP",IF(CALC_EPM!C191="TotalNoEsp","GLOBAL_NOESP","GLOBAL_ASIG"))),IF(CALC_EPM!C191="Total","CURSO_TOTAL",IF(CALC_EPM!C191="TotalEsp","CURSO_ESP",IF(CALC_EPM!C191="TotalNoEsp","CURSO_NOESP","CURSO_ASIG"))))</f>
        <v>CURSO_ASIG</v>
      </c>
      <c r="B198" t="str">
        <f>CALC_EPM!A191</f>
        <v>5EPM</v>
      </c>
      <c r="C198" t="str">
        <f>CALC_EPM!B191</f>
        <v>Trompa</v>
      </c>
      <c r="D198">
        <f>CALC_EPM!D191</f>
        <v>0</v>
      </c>
      <c r="E198" s="10" t="str">
        <f>CALC_EPM!E191</f>
        <v>—</v>
      </c>
      <c r="F198" s="10" t="str">
        <f>CALC_EPM!F191</f>
        <v>—</v>
      </c>
      <c r="G198" t="str">
        <f>CALC_EPM!G191</f>
        <v>—</v>
      </c>
      <c r="H198" s="11" t="str">
        <f>CALC_EPM!H191</f>
        <v>—</v>
      </c>
      <c r="I198" s="11" t="str">
        <f>CALC_EPM!I191</f>
        <v>—</v>
      </c>
      <c r="J198" t="str">
        <f>CALC_EPM!J191</f>
        <v>—</v>
      </c>
      <c r="K198" t="str">
        <f>CALC_EPM!K191</f>
        <v>—</v>
      </c>
      <c r="L198">
        <f>CALC_EPM!L191</f>
        <v>0</v>
      </c>
      <c r="M198">
        <f>CALC_EPM!M191</f>
        <v>0</v>
      </c>
      <c r="N198">
        <f>CALC_EPM!N191</f>
        <v>0</v>
      </c>
      <c r="O198">
        <f>CALC_EPM!O191</f>
        <v>0</v>
      </c>
      <c r="P198">
        <f>CALC_EPM!P191</f>
        <v>0</v>
      </c>
      <c r="Q198">
        <f>CALC_EPM!Q191</f>
        <v>0</v>
      </c>
      <c r="R198">
        <f>CALC_EPM!R191</f>
        <v>0</v>
      </c>
      <c r="S198">
        <f>CALC_EPM!S191</f>
        <v>0</v>
      </c>
      <c r="T198">
        <f>CALC_EPM!T191</f>
        <v>0</v>
      </c>
      <c r="U198">
        <f>CALC_EPM!U191</f>
        <v>0</v>
      </c>
    </row>
    <row r="199" spans="1:21" x14ac:dyDescent="0.2">
      <c r="A199" t="str">
        <f>IF(CALC_EPM!A192="GLOBAL",IF(CALC_EPM!C192="Total","GLOBAL",IF(CALC_EPM!C192="TotalEsp","GLOBAL_ESP",IF(CALC_EPM!C192="TotalNoEsp","GLOBAL_NOESP","GLOBAL_ASIG"))),IF(CALC_EPM!C192="Total","CURSO_TOTAL",IF(CALC_EPM!C192="TotalEsp","CURSO_ESP",IF(CALC_EPM!C192="TotalNoEsp","CURSO_NOESP","CURSO_ASIG"))))</f>
        <v>CURSO_ASIG</v>
      </c>
      <c r="B199" t="str">
        <f>CALC_EPM!A192</f>
        <v>5EPM</v>
      </c>
      <c r="C199" t="str">
        <f>CALC_EPM!B192</f>
        <v>Trompeta</v>
      </c>
      <c r="D199">
        <f>CALC_EPM!D192</f>
        <v>0</v>
      </c>
      <c r="E199" s="10" t="str">
        <f>CALC_EPM!E192</f>
        <v>—</v>
      </c>
      <c r="F199" s="10" t="str">
        <f>CALC_EPM!F192</f>
        <v>—</v>
      </c>
      <c r="G199" t="str">
        <f>CALC_EPM!G192</f>
        <v>—</v>
      </c>
      <c r="H199" s="11" t="str">
        <f>CALC_EPM!H192</f>
        <v>—</v>
      </c>
      <c r="I199" s="11" t="str">
        <f>CALC_EPM!I192</f>
        <v>—</v>
      </c>
      <c r="J199" t="str">
        <f>CALC_EPM!J192</f>
        <v>—</v>
      </c>
      <c r="K199" t="str">
        <f>CALC_EPM!K192</f>
        <v>—</v>
      </c>
      <c r="L199">
        <f>CALC_EPM!L192</f>
        <v>0</v>
      </c>
      <c r="M199">
        <f>CALC_EPM!M192</f>
        <v>0</v>
      </c>
      <c r="N199">
        <f>CALC_EPM!N192</f>
        <v>0</v>
      </c>
      <c r="O199">
        <f>CALC_EPM!O192</f>
        <v>0</v>
      </c>
      <c r="P199">
        <f>CALC_EPM!P192</f>
        <v>0</v>
      </c>
      <c r="Q199">
        <f>CALC_EPM!Q192</f>
        <v>0</v>
      </c>
      <c r="R199">
        <f>CALC_EPM!R192</f>
        <v>0</v>
      </c>
      <c r="S199">
        <f>CALC_EPM!S192</f>
        <v>0</v>
      </c>
      <c r="T199">
        <f>CALC_EPM!T192</f>
        <v>0</v>
      </c>
      <c r="U199">
        <f>CALC_EPM!U192</f>
        <v>0</v>
      </c>
    </row>
    <row r="200" spans="1:21" x14ac:dyDescent="0.2">
      <c r="A200" t="str">
        <f>IF(CALC_EPM!A193="GLOBAL",IF(CALC_EPM!C193="Total","GLOBAL",IF(CALC_EPM!C193="TotalEsp","GLOBAL_ESP",IF(CALC_EPM!C193="TotalNoEsp","GLOBAL_NOESP","GLOBAL_ASIG"))),IF(CALC_EPM!C193="Total","CURSO_TOTAL",IF(CALC_EPM!C193="TotalEsp","CURSO_ESP",IF(CALC_EPM!C193="TotalNoEsp","CURSO_NOESP","CURSO_ASIG"))))</f>
        <v>CURSO_ASIG</v>
      </c>
      <c r="B200" t="str">
        <f>CALC_EPM!A193</f>
        <v>5EPM</v>
      </c>
      <c r="C200" t="str">
        <f>CALC_EPM!B193</f>
        <v>Tuba</v>
      </c>
      <c r="D200">
        <f>CALC_EPM!D193</f>
        <v>0</v>
      </c>
      <c r="E200" s="10" t="str">
        <f>CALC_EPM!E193</f>
        <v>—</v>
      </c>
      <c r="F200" s="10" t="str">
        <f>CALC_EPM!F193</f>
        <v>—</v>
      </c>
      <c r="G200" t="str">
        <f>CALC_EPM!G193</f>
        <v>—</v>
      </c>
      <c r="H200" s="11" t="str">
        <f>CALC_EPM!H193</f>
        <v>—</v>
      </c>
      <c r="I200" s="11" t="str">
        <f>CALC_EPM!I193</f>
        <v>—</v>
      </c>
      <c r="J200" t="str">
        <f>CALC_EPM!J193</f>
        <v>—</v>
      </c>
      <c r="K200" t="str">
        <f>CALC_EPM!K193</f>
        <v>—</v>
      </c>
      <c r="L200">
        <f>CALC_EPM!L193</f>
        <v>0</v>
      </c>
      <c r="M200">
        <f>CALC_EPM!M193</f>
        <v>0</v>
      </c>
      <c r="N200">
        <f>CALC_EPM!N193</f>
        <v>0</v>
      </c>
      <c r="O200">
        <f>CALC_EPM!O193</f>
        <v>0</v>
      </c>
      <c r="P200">
        <f>CALC_EPM!P193</f>
        <v>0</v>
      </c>
      <c r="Q200">
        <f>CALC_EPM!Q193</f>
        <v>0</v>
      </c>
      <c r="R200">
        <f>CALC_EPM!R193</f>
        <v>0</v>
      </c>
      <c r="S200">
        <f>CALC_EPM!S193</f>
        <v>0</v>
      </c>
      <c r="T200">
        <f>CALC_EPM!T193</f>
        <v>0</v>
      </c>
      <c r="U200">
        <f>CALC_EPM!U193</f>
        <v>0</v>
      </c>
    </row>
    <row r="201" spans="1:21" x14ac:dyDescent="0.2">
      <c r="A201" t="str">
        <f>IF(CALC_EPM!A194="GLOBAL",IF(CALC_EPM!C194="Total","GLOBAL",IF(CALC_EPM!C194="TotalEsp","GLOBAL_ESP",IF(CALC_EPM!C194="TotalNoEsp","GLOBAL_NOESP","GLOBAL_ASIG"))),IF(CALC_EPM!C194="Total","CURSO_TOTAL",IF(CALC_EPM!C194="TotalEsp","CURSO_ESP",IF(CALC_EPM!C194="TotalNoEsp","CURSO_NOESP","CURSO_ASIG"))))</f>
        <v>CURSO_ASIG</v>
      </c>
      <c r="B201" t="str">
        <f>CALC_EPM!A194</f>
        <v>5EPM</v>
      </c>
      <c r="C201" t="str">
        <f>CALC_EPM!B194</f>
        <v>Viola</v>
      </c>
      <c r="D201">
        <f>CALC_EPM!D194</f>
        <v>0</v>
      </c>
      <c r="E201" s="10" t="str">
        <f>CALC_EPM!E194</f>
        <v>—</v>
      </c>
      <c r="F201" s="10" t="str">
        <f>CALC_EPM!F194</f>
        <v>—</v>
      </c>
      <c r="G201" t="str">
        <f>CALC_EPM!G194</f>
        <v>—</v>
      </c>
      <c r="H201" s="11" t="str">
        <f>CALC_EPM!H194</f>
        <v>—</v>
      </c>
      <c r="I201" s="11" t="str">
        <f>CALC_EPM!I194</f>
        <v>—</v>
      </c>
      <c r="J201" t="str">
        <f>CALC_EPM!J194</f>
        <v>—</v>
      </c>
      <c r="K201" t="str">
        <f>CALC_EPM!K194</f>
        <v>—</v>
      </c>
      <c r="L201">
        <f>CALC_EPM!L194</f>
        <v>0</v>
      </c>
      <c r="M201">
        <f>CALC_EPM!M194</f>
        <v>0</v>
      </c>
      <c r="N201">
        <f>CALC_EPM!N194</f>
        <v>0</v>
      </c>
      <c r="O201">
        <f>CALC_EPM!O194</f>
        <v>0</v>
      </c>
      <c r="P201">
        <f>CALC_EPM!P194</f>
        <v>0</v>
      </c>
      <c r="Q201">
        <f>CALC_EPM!Q194</f>
        <v>0</v>
      </c>
      <c r="R201">
        <f>CALC_EPM!R194</f>
        <v>0</v>
      </c>
      <c r="S201">
        <f>CALC_EPM!S194</f>
        <v>0</v>
      </c>
      <c r="T201">
        <f>CALC_EPM!T194</f>
        <v>0</v>
      </c>
      <c r="U201">
        <f>CALC_EPM!U194</f>
        <v>0</v>
      </c>
    </row>
    <row r="202" spans="1:21" x14ac:dyDescent="0.2">
      <c r="A202" t="str">
        <f>IF(CALC_EPM!A195="GLOBAL",IF(CALC_EPM!C195="Total","GLOBAL",IF(CALC_EPM!C195="TotalEsp","GLOBAL_ESP",IF(CALC_EPM!C195="TotalNoEsp","GLOBAL_NOESP","GLOBAL_ASIG"))),IF(CALC_EPM!C195="Total","CURSO_TOTAL",IF(CALC_EPM!C195="TotalEsp","CURSO_ESP",IF(CALC_EPM!C195="TotalNoEsp","CURSO_NOESP","CURSO_ASIG"))))</f>
        <v>CURSO_ASIG</v>
      </c>
      <c r="B202" t="str">
        <f>CALC_EPM!A195</f>
        <v>5EPM</v>
      </c>
      <c r="C202" t="str">
        <f>CALC_EPM!B195</f>
        <v>Violín</v>
      </c>
      <c r="D202">
        <f>CALC_EPM!D195</f>
        <v>0</v>
      </c>
      <c r="E202" s="10" t="str">
        <f>CALC_EPM!E195</f>
        <v>—</v>
      </c>
      <c r="F202" s="10" t="str">
        <f>CALC_EPM!F195</f>
        <v>—</v>
      </c>
      <c r="G202" t="str">
        <f>CALC_EPM!G195</f>
        <v>—</v>
      </c>
      <c r="H202" s="11" t="str">
        <f>CALC_EPM!H195</f>
        <v>—</v>
      </c>
      <c r="I202" s="11" t="str">
        <f>CALC_EPM!I195</f>
        <v>—</v>
      </c>
      <c r="J202" t="str">
        <f>CALC_EPM!J195</f>
        <v>—</v>
      </c>
      <c r="K202" t="str">
        <f>CALC_EPM!K195</f>
        <v>—</v>
      </c>
      <c r="L202">
        <f>CALC_EPM!L195</f>
        <v>0</v>
      </c>
      <c r="M202">
        <f>CALC_EPM!M195</f>
        <v>0</v>
      </c>
      <c r="N202">
        <f>CALC_EPM!N195</f>
        <v>0</v>
      </c>
      <c r="O202">
        <f>CALC_EPM!O195</f>
        <v>0</v>
      </c>
      <c r="P202">
        <f>CALC_EPM!P195</f>
        <v>0</v>
      </c>
      <c r="Q202">
        <f>CALC_EPM!Q195</f>
        <v>0</v>
      </c>
      <c r="R202">
        <f>CALC_EPM!R195</f>
        <v>0</v>
      </c>
      <c r="S202">
        <f>CALC_EPM!S195</f>
        <v>0</v>
      </c>
      <c r="T202">
        <f>CALC_EPM!T195</f>
        <v>0</v>
      </c>
      <c r="U202">
        <f>CALC_EPM!U195</f>
        <v>0</v>
      </c>
    </row>
    <row r="203" spans="1:21" x14ac:dyDescent="0.2">
      <c r="A203" t="str">
        <f>IF(CALC_EPM!A196="GLOBAL",IF(CALC_EPM!C196="Total","GLOBAL",IF(CALC_EPM!C196="TotalEsp","GLOBAL_ESP",IF(CALC_EPM!C196="TotalNoEsp","GLOBAL_NOESP","GLOBAL_ASIG"))),IF(CALC_EPM!C196="Total","CURSO_TOTAL",IF(CALC_EPM!C196="TotalEsp","CURSO_ESP",IF(CALC_EPM!C196="TotalNoEsp","CURSO_NOESP","CURSO_ASIG"))))</f>
        <v>CURSO_ASIG</v>
      </c>
      <c r="B203" t="str">
        <f>CALC_EPM!A196</f>
        <v>5EPM</v>
      </c>
      <c r="C203" t="str">
        <f>CALC_EPM!B196</f>
        <v>Violoncello</v>
      </c>
      <c r="D203">
        <f>CALC_EPM!D196</f>
        <v>0</v>
      </c>
      <c r="E203" s="10" t="str">
        <f>CALC_EPM!E196</f>
        <v>—</v>
      </c>
      <c r="F203" s="10" t="str">
        <f>CALC_EPM!F196</f>
        <v>—</v>
      </c>
      <c r="G203" t="str">
        <f>CALC_EPM!G196</f>
        <v>—</v>
      </c>
      <c r="H203" s="11" t="str">
        <f>CALC_EPM!H196</f>
        <v>—</v>
      </c>
      <c r="I203" s="11" t="str">
        <f>CALC_EPM!I196</f>
        <v>—</v>
      </c>
      <c r="J203" t="str">
        <f>CALC_EPM!J196</f>
        <v>—</v>
      </c>
      <c r="K203" t="str">
        <f>CALC_EPM!K196</f>
        <v>—</v>
      </c>
      <c r="L203">
        <f>CALC_EPM!L196</f>
        <v>0</v>
      </c>
      <c r="M203">
        <f>CALC_EPM!M196</f>
        <v>0</v>
      </c>
      <c r="N203">
        <f>CALC_EPM!N196</f>
        <v>0</v>
      </c>
      <c r="O203">
        <f>CALC_EPM!O196</f>
        <v>0</v>
      </c>
      <c r="P203">
        <f>CALC_EPM!P196</f>
        <v>0</v>
      </c>
      <c r="Q203">
        <f>CALC_EPM!Q196</f>
        <v>0</v>
      </c>
      <c r="R203">
        <f>CALC_EPM!R196</f>
        <v>0</v>
      </c>
      <c r="S203">
        <f>CALC_EPM!S196</f>
        <v>0</v>
      </c>
      <c r="T203">
        <f>CALC_EPM!T196</f>
        <v>0</v>
      </c>
      <c r="U203">
        <f>CALC_EPM!U196</f>
        <v>0</v>
      </c>
    </row>
    <row r="204" spans="1:21" x14ac:dyDescent="0.2">
      <c r="A204" t="str">
        <f>IF(CALC_EPM!A197="GLOBAL",IF(CALC_EPM!C197="Total","GLOBAL",IF(CALC_EPM!C197="TotalEsp","GLOBAL_ESP",IF(CALC_EPM!C197="TotalNoEsp","GLOBAL_NOESP","GLOBAL_ASIG"))),IF(CALC_EPM!C197="Total","CURSO_TOTAL",IF(CALC_EPM!C197="TotalEsp","CURSO_ESP",IF(CALC_EPM!C197="TotalNoEsp","CURSO_NOESP","CURSO_ASIG"))))</f>
        <v>CURSO_ASIG</v>
      </c>
      <c r="B204" t="str">
        <f>CALC_EPM!A197</f>
        <v>6EPM</v>
      </c>
      <c r="C204" t="str">
        <f>CALC_EPM!B197</f>
        <v>Análisis</v>
      </c>
      <c r="D204">
        <f>CALC_EPM!D197</f>
        <v>0</v>
      </c>
      <c r="E204" s="10" t="str">
        <f>CALC_EPM!E197</f>
        <v>—</v>
      </c>
      <c r="F204" s="10" t="str">
        <f>CALC_EPM!F197</f>
        <v>—</v>
      </c>
      <c r="G204" t="str">
        <f>CALC_EPM!G197</f>
        <v>—</v>
      </c>
      <c r="H204" s="11" t="str">
        <f>CALC_EPM!H197</f>
        <v>—</v>
      </c>
      <c r="I204" s="11" t="str">
        <f>CALC_EPM!I197</f>
        <v>—</v>
      </c>
      <c r="J204" t="str">
        <f>CALC_EPM!J197</f>
        <v>—</v>
      </c>
      <c r="K204" t="str">
        <f>CALC_EPM!K197</f>
        <v>—</v>
      </c>
      <c r="L204">
        <f>CALC_EPM!L197</f>
        <v>0</v>
      </c>
      <c r="M204">
        <f>CALC_EPM!M197</f>
        <v>0</v>
      </c>
      <c r="N204">
        <f>CALC_EPM!N197</f>
        <v>0</v>
      </c>
      <c r="O204">
        <f>CALC_EPM!O197</f>
        <v>0</v>
      </c>
      <c r="P204">
        <f>CALC_EPM!P197</f>
        <v>0</v>
      </c>
      <c r="Q204">
        <f>CALC_EPM!Q197</f>
        <v>0</v>
      </c>
      <c r="R204">
        <f>CALC_EPM!R197</f>
        <v>0</v>
      </c>
      <c r="S204">
        <f>CALC_EPM!S197</f>
        <v>0</v>
      </c>
      <c r="T204">
        <f>CALC_EPM!T197</f>
        <v>0</v>
      </c>
      <c r="U204">
        <f>CALC_EPM!U197</f>
        <v>0</v>
      </c>
    </row>
    <row r="205" spans="1:21" x14ac:dyDescent="0.2">
      <c r="A205" t="str">
        <f>IF(CALC_EPM!A198="GLOBAL",IF(CALC_EPM!C198="Total","GLOBAL",IF(CALC_EPM!C198="TotalEsp","GLOBAL_ESP",IF(CALC_EPM!C198="TotalNoEsp","GLOBAL_NOESP","GLOBAL_ASIG"))),IF(CALC_EPM!C198="Total","CURSO_TOTAL",IF(CALC_EPM!C198="TotalEsp","CURSO_ESP",IF(CALC_EPM!C198="TotalNoEsp","CURSO_NOESP","CURSO_ASIG"))))</f>
        <v>CURSO_ASIG</v>
      </c>
      <c r="B205" t="str">
        <f>CALC_EPM!A198</f>
        <v>6EPM</v>
      </c>
      <c r="C205" t="str">
        <f>CALC_EPM!B198</f>
        <v>Música de Cámara</v>
      </c>
      <c r="D205">
        <f>CALC_EPM!D198</f>
        <v>0</v>
      </c>
      <c r="E205" s="10" t="str">
        <f>CALC_EPM!E198</f>
        <v>—</v>
      </c>
      <c r="F205" s="10" t="str">
        <f>CALC_EPM!F198</f>
        <v>—</v>
      </c>
      <c r="G205" t="str">
        <f>CALC_EPM!G198</f>
        <v>—</v>
      </c>
      <c r="H205" s="11" t="str">
        <f>CALC_EPM!H198</f>
        <v>—</v>
      </c>
      <c r="I205" s="11" t="str">
        <f>CALC_EPM!I198</f>
        <v>—</v>
      </c>
      <c r="J205" t="str">
        <f>CALC_EPM!J198</f>
        <v>—</v>
      </c>
      <c r="K205" t="str">
        <f>CALC_EPM!K198</f>
        <v>—</v>
      </c>
      <c r="L205">
        <f>CALC_EPM!L198</f>
        <v>0</v>
      </c>
      <c r="M205">
        <f>CALC_EPM!M198</f>
        <v>0</v>
      </c>
      <c r="N205">
        <f>CALC_EPM!N198</f>
        <v>0</v>
      </c>
      <c r="O205">
        <f>CALC_EPM!O198</f>
        <v>0</v>
      </c>
      <c r="P205">
        <f>CALC_EPM!P198</f>
        <v>0</v>
      </c>
      <c r="Q205">
        <f>CALC_EPM!Q198</f>
        <v>0</v>
      </c>
      <c r="R205">
        <f>CALC_EPM!R198</f>
        <v>0</v>
      </c>
      <c r="S205">
        <f>CALC_EPM!S198</f>
        <v>0</v>
      </c>
      <c r="T205">
        <f>CALC_EPM!T198</f>
        <v>0</v>
      </c>
      <c r="U205">
        <f>CALC_EPM!U198</f>
        <v>0</v>
      </c>
    </row>
    <row r="206" spans="1:21" x14ac:dyDescent="0.2">
      <c r="A206" t="str">
        <f>IF(CALC_EPM!A199="GLOBAL",IF(CALC_EPM!C199="Total","GLOBAL",IF(CALC_EPM!C199="TotalEsp","GLOBAL_ESP",IF(CALC_EPM!C199="TotalNoEsp","GLOBAL_NOESP","GLOBAL_ASIG"))),IF(CALC_EPM!C199="Total","CURSO_TOTAL",IF(CALC_EPM!C199="TotalEsp","CURSO_ESP",IF(CALC_EPM!C199="TotalNoEsp","CURSO_NOESP","CURSO_ASIG"))))</f>
        <v>CURSO_ASIG</v>
      </c>
      <c r="B206" t="str">
        <f>CALC_EPM!A199</f>
        <v>6EPM</v>
      </c>
      <c r="C206" t="str">
        <f>CALC_EPM!B199</f>
        <v>Orquesta/Banda/Conjunto</v>
      </c>
      <c r="D206">
        <f>CALC_EPM!D199</f>
        <v>0</v>
      </c>
      <c r="E206" s="10" t="str">
        <f>CALC_EPM!E199</f>
        <v>—</v>
      </c>
      <c r="F206" s="10" t="str">
        <f>CALC_EPM!F199</f>
        <v>—</v>
      </c>
      <c r="G206" t="str">
        <f>CALC_EPM!G199</f>
        <v>—</v>
      </c>
      <c r="H206" s="11" t="str">
        <f>CALC_EPM!H199</f>
        <v>—</v>
      </c>
      <c r="I206" s="11" t="str">
        <f>CALC_EPM!I199</f>
        <v>—</v>
      </c>
      <c r="J206" t="str">
        <f>CALC_EPM!J199</f>
        <v>—</v>
      </c>
      <c r="K206" t="str">
        <f>CALC_EPM!K199</f>
        <v>—</v>
      </c>
      <c r="L206">
        <f>CALC_EPM!L199</f>
        <v>0</v>
      </c>
      <c r="M206">
        <f>CALC_EPM!M199</f>
        <v>0</v>
      </c>
      <c r="N206">
        <f>CALC_EPM!N199</f>
        <v>0</v>
      </c>
      <c r="O206">
        <f>CALC_EPM!O199</f>
        <v>0</v>
      </c>
      <c r="P206">
        <f>CALC_EPM!P199</f>
        <v>0</v>
      </c>
      <c r="Q206">
        <f>CALC_EPM!Q199</f>
        <v>0</v>
      </c>
      <c r="R206">
        <f>CALC_EPM!R199</f>
        <v>0</v>
      </c>
      <c r="S206">
        <f>CALC_EPM!S199</f>
        <v>0</v>
      </c>
      <c r="T206">
        <f>CALC_EPM!T199</f>
        <v>0</v>
      </c>
      <c r="U206">
        <f>CALC_EPM!U199</f>
        <v>0</v>
      </c>
    </row>
    <row r="207" spans="1:21" x14ac:dyDescent="0.2">
      <c r="A207" t="str">
        <f>IF(CALC_EPM!A200="GLOBAL",IF(CALC_EPM!C200="Total","GLOBAL",IF(CALC_EPM!C200="TotalEsp","GLOBAL_ESP",IF(CALC_EPM!C200="TotalNoEsp","GLOBAL_NOESP","GLOBAL_ASIG"))),IF(CALC_EPM!C200="Total","CURSO_TOTAL",IF(CALC_EPM!C200="TotalEsp","CURSO_ESP",IF(CALC_EPM!C200="TotalNoEsp","CURSO_NOESP","CURSO_ASIG"))))</f>
        <v>CURSO_ASIG</v>
      </c>
      <c r="B207" t="str">
        <f>CALC_EPM!A200</f>
        <v>6EPM</v>
      </c>
      <c r="C207" t="str">
        <f>CALC_EPM!B200</f>
        <v>Acompañamiento</v>
      </c>
      <c r="D207">
        <f>CALC_EPM!D200</f>
        <v>0</v>
      </c>
      <c r="E207" s="10" t="str">
        <f>CALC_EPM!E200</f>
        <v>—</v>
      </c>
      <c r="F207" s="10" t="str">
        <f>CALC_EPM!F200</f>
        <v>—</v>
      </c>
      <c r="G207" t="str">
        <f>CALC_EPM!G200</f>
        <v>—</v>
      </c>
      <c r="H207" s="11" t="str">
        <f>CALC_EPM!H200</f>
        <v>—</v>
      </c>
      <c r="I207" s="11" t="str">
        <f>CALC_EPM!I200</f>
        <v>—</v>
      </c>
      <c r="J207" t="str">
        <f>CALC_EPM!J200</f>
        <v>—</v>
      </c>
      <c r="K207" t="str">
        <f>CALC_EPM!K200</f>
        <v>—</v>
      </c>
      <c r="L207">
        <f>CALC_EPM!L200</f>
        <v>0</v>
      </c>
      <c r="M207">
        <f>CALC_EPM!M200</f>
        <v>0</v>
      </c>
      <c r="N207">
        <f>CALC_EPM!N200</f>
        <v>0</v>
      </c>
      <c r="O207">
        <f>CALC_EPM!O200</f>
        <v>0</v>
      </c>
      <c r="P207">
        <f>CALC_EPM!P200</f>
        <v>0</v>
      </c>
      <c r="Q207">
        <f>CALC_EPM!Q200</f>
        <v>0</v>
      </c>
      <c r="R207">
        <f>CALC_EPM!R200</f>
        <v>0</v>
      </c>
      <c r="S207">
        <f>CALC_EPM!S200</f>
        <v>0</v>
      </c>
      <c r="T207">
        <f>CALC_EPM!T200</f>
        <v>0</v>
      </c>
      <c r="U207">
        <f>CALC_EPM!U200</f>
        <v>0</v>
      </c>
    </row>
    <row r="208" spans="1:21" x14ac:dyDescent="0.2">
      <c r="A208" t="str">
        <f>IF(CALC_EPM!A201="GLOBAL",IF(CALC_EPM!C201="Total","GLOBAL",IF(CALC_EPM!C201="TotalEsp","GLOBAL_ESP",IF(CALC_EPM!C201="TotalNoEsp","GLOBAL_NOESP","GLOBAL_ASIG"))),IF(CALC_EPM!C201="Total","CURSO_TOTAL",IF(CALC_EPM!C201="TotalEsp","CURSO_ESP",IF(CALC_EPM!C201="TotalNoEsp","CURSO_NOESP","CURSO_ASIG"))))</f>
        <v>CURSO_ASIG</v>
      </c>
      <c r="B208" t="str">
        <f>CALC_EPM!A201</f>
        <v>6EPM</v>
      </c>
      <c r="C208" t="str">
        <f>CALC_EPM!B201</f>
        <v>Idioma Aplicado al Canto</v>
      </c>
      <c r="D208">
        <f>CALC_EPM!D201</f>
        <v>0</v>
      </c>
      <c r="E208" s="10" t="str">
        <f>CALC_EPM!E201</f>
        <v>—</v>
      </c>
      <c r="F208" s="10" t="str">
        <f>CALC_EPM!F201</f>
        <v>—</v>
      </c>
      <c r="G208" t="str">
        <f>CALC_EPM!G201</f>
        <v>—</v>
      </c>
      <c r="H208" s="11" t="str">
        <f>CALC_EPM!H201</f>
        <v>—</v>
      </c>
      <c r="I208" s="11" t="str">
        <f>CALC_EPM!I201</f>
        <v>—</v>
      </c>
      <c r="J208" t="str">
        <f>CALC_EPM!J201</f>
        <v>—</v>
      </c>
      <c r="K208" t="str">
        <f>CALC_EPM!K201</f>
        <v>—</v>
      </c>
      <c r="L208">
        <f>CALC_EPM!L201</f>
        <v>0</v>
      </c>
      <c r="M208">
        <f>CALC_EPM!M201</f>
        <v>0</v>
      </c>
      <c r="N208">
        <f>CALC_EPM!N201</f>
        <v>0</v>
      </c>
      <c r="O208">
        <f>CALC_EPM!O201</f>
        <v>0</v>
      </c>
      <c r="P208">
        <f>CALC_EPM!P201</f>
        <v>0</v>
      </c>
      <c r="Q208">
        <f>CALC_EPM!Q201</f>
        <v>0</v>
      </c>
      <c r="R208">
        <f>CALC_EPM!R201</f>
        <v>0</v>
      </c>
      <c r="S208">
        <f>CALC_EPM!S201</f>
        <v>0</v>
      </c>
      <c r="T208">
        <f>CALC_EPM!T201</f>
        <v>0</v>
      </c>
      <c r="U208">
        <f>CALC_EPM!U201</f>
        <v>0</v>
      </c>
    </row>
    <row r="209" spans="1:21" x14ac:dyDescent="0.2">
      <c r="A209" t="str">
        <f>IF(CALC_EPM!A202="GLOBAL",IF(CALC_EPM!C202="Total","GLOBAL",IF(CALC_EPM!C202="TotalEsp","GLOBAL_ESP",IF(CALC_EPM!C202="TotalNoEsp","GLOBAL_NOESP","GLOBAL_ASIG"))),IF(CALC_EPM!C202="Total","CURSO_TOTAL",IF(CALC_EPM!C202="TotalEsp","CURSO_ESP",IF(CALC_EPM!C202="TotalNoEsp","CURSO_NOESP","CURSO_ASIG"))))</f>
        <v>CURSO_ASIG</v>
      </c>
      <c r="B209" t="str">
        <f>CALC_EPM!A202</f>
        <v>6EPM</v>
      </c>
      <c r="C209" t="str">
        <f>CALC_EPM!B202</f>
        <v>Historia de la Música</v>
      </c>
      <c r="D209">
        <f>CALC_EPM!D202</f>
        <v>0</v>
      </c>
      <c r="E209" s="10" t="str">
        <f>CALC_EPM!E202</f>
        <v>—</v>
      </c>
      <c r="F209" s="10" t="str">
        <f>CALC_EPM!F202</f>
        <v>—</v>
      </c>
      <c r="G209" t="str">
        <f>CALC_EPM!G202</f>
        <v>—</v>
      </c>
      <c r="H209" s="11" t="str">
        <f>CALC_EPM!H202</f>
        <v>—</v>
      </c>
      <c r="I209" s="11" t="str">
        <f>CALC_EPM!I202</f>
        <v>—</v>
      </c>
      <c r="J209" t="str">
        <f>CALC_EPM!J202</f>
        <v>—</v>
      </c>
      <c r="K209" t="str">
        <f>CALC_EPM!K202</f>
        <v>—</v>
      </c>
      <c r="L209">
        <f>CALC_EPM!L202</f>
        <v>0</v>
      </c>
      <c r="M209">
        <f>CALC_EPM!M202</f>
        <v>0</v>
      </c>
      <c r="N209">
        <f>CALC_EPM!N202</f>
        <v>0</v>
      </c>
      <c r="O209">
        <f>CALC_EPM!O202</f>
        <v>0</v>
      </c>
      <c r="P209">
        <f>CALC_EPM!P202</f>
        <v>0</v>
      </c>
      <c r="Q209">
        <f>CALC_EPM!Q202</f>
        <v>0</v>
      </c>
      <c r="R209">
        <f>CALC_EPM!R202</f>
        <v>0</v>
      </c>
      <c r="S209">
        <f>CALC_EPM!S202</f>
        <v>0</v>
      </c>
      <c r="T209">
        <f>CALC_EPM!T202</f>
        <v>0</v>
      </c>
      <c r="U209">
        <f>CALC_EPM!U202</f>
        <v>0</v>
      </c>
    </row>
    <row r="210" spans="1:21" x14ac:dyDescent="0.2">
      <c r="A210" t="str">
        <f>IF(CALC_EPM!A203="GLOBAL",IF(CALC_EPM!C203="Total","GLOBAL",IF(CALC_EPM!C203="TotalEsp","GLOBAL_ESP",IF(CALC_EPM!C203="TotalNoEsp","GLOBAL_NOESP","GLOBAL_ASIG"))),IF(CALC_EPM!C203="Total","CURSO_TOTAL",IF(CALC_EPM!C203="TotalEsp","CURSO_ESP",IF(CALC_EPM!C203="TotalNoEsp","CURSO_NOESP","CURSO_ASIG"))))</f>
        <v>CURSO_ASIG</v>
      </c>
      <c r="B210" t="str">
        <f>CALC_EPM!A203</f>
        <v>6EPM</v>
      </c>
      <c r="C210" t="str">
        <f>CALC_EPM!B203</f>
        <v>Arpa</v>
      </c>
      <c r="D210">
        <f>CALC_EPM!D203</f>
        <v>0</v>
      </c>
      <c r="E210" s="10" t="str">
        <f>CALC_EPM!E203</f>
        <v>—</v>
      </c>
      <c r="F210" s="10" t="str">
        <f>CALC_EPM!F203</f>
        <v>—</v>
      </c>
      <c r="G210" t="str">
        <f>CALC_EPM!G203</f>
        <v>—</v>
      </c>
      <c r="H210" s="11" t="str">
        <f>CALC_EPM!H203</f>
        <v>—</v>
      </c>
      <c r="I210" s="11" t="str">
        <f>CALC_EPM!I203</f>
        <v>—</v>
      </c>
      <c r="J210" t="str">
        <f>CALC_EPM!J203</f>
        <v>—</v>
      </c>
      <c r="K210" t="str">
        <f>CALC_EPM!K203</f>
        <v>—</v>
      </c>
      <c r="L210">
        <f>CALC_EPM!L203</f>
        <v>0</v>
      </c>
      <c r="M210">
        <f>CALC_EPM!M203</f>
        <v>0</v>
      </c>
      <c r="N210">
        <f>CALC_EPM!N203</f>
        <v>0</v>
      </c>
      <c r="O210">
        <f>CALC_EPM!O203</f>
        <v>0</v>
      </c>
      <c r="P210">
        <f>CALC_EPM!P203</f>
        <v>0</v>
      </c>
      <c r="Q210">
        <f>CALC_EPM!Q203</f>
        <v>0</v>
      </c>
      <c r="R210">
        <f>CALC_EPM!R203</f>
        <v>0</v>
      </c>
      <c r="S210">
        <f>CALC_EPM!S203</f>
        <v>0</v>
      </c>
      <c r="T210">
        <f>CALC_EPM!T203</f>
        <v>0</v>
      </c>
      <c r="U210">
        <f>CALC_EPM!U203</f>
        <v>0</v>
      </c>
    </row>
    <row r="211" spans="1:21" x14ac:dyDescent="0.2">
      <c r="A211" t="str">
        <f>IF(CALC_EPM!A204="GLOBAL",IF(CALC_EPM!C204="Total","GLOBAL",IF(CALC_EPM!C204="TotalEsp","GLOBAL_ESP",IF(CALC_EPM!C204="TotalNoEsp","GLOBAL_NOESP","GLOBAL_ASIG"))),IF(CALC_EPM!C204="Total","CURSO_TOTAL",IF(CALC_EPM!C204="TotalEsp","CURSO_ESP",IF(CALC_EPM!C204="TotalNoEsp","CURSO_NOESP","CURSO_ASIG"))))</f>
        <v>CURSO_ASIG</v>
      </c>
      <c r="B211" t="str">
        <f>CALC_EPM!A204</f>
        <v>6EPM</v>
      </c>
      <c r="C211" t="str">
        <f>CALC_EPM!B204</f>
        <v>Bajo Eléctrico</v>
      </c>
      <c r="D211">
        <f>CALC_EPM!D204</f>
        <v>0</v>
      </c>
      <c r="E211" s="10" t="str">
        <f>CALC_EPM!E204</f>
        <v>—</v>
      </c>
      <c r="F211" s="10" t="str">
        <f>CALC_EPM!F204</f>
        <v>—</v>
      </c>
      <c r="G211" t="str">
        <f>CALC_EPM!G204</f>
        <v>—</v>
      </c>
      <c r="H211" s="11" t="str">
        <f>CALC_EPM!H204</f>
        <v>—</v>
      </c>
      <c r="I211" s="11" t="str">
        <f>CALC_EPM!I204</f>
        <v>—</v>
      </c>
      <c r="J211" t="str">
        <f>CALC_EPM!J204</f>
        <v>—</v>
      </c>
      <c r="K211" t="str">
        <f>CALC_EPM!K204</f>
        <v>—</v>
      </c>
      <c r="L211">
        <f>CALC_EPM!L204</f>
        <v>0</v>
      </c>
      <c r="M211">
        <f>CALC_EPM!M204</f>
        <v>0</v>
      </c>
      <c r="N211">
        <f>CALC_EPM!N204</f>
        <v>0</v>
      </c>
      <c r="O211">
        <f>CALC_EPM!O204</f>
        <v>0</v>
      </c>
      <c r="P211">
        <f>CALC_EPM!P204</f>
        <v>0</v>
      </c>
      <c r="Q211">
        <f>CALC_EPM!Q204</f>
        <v>0</v>
      </c>
      <c r="R211">
        <f>CALC_EPM!R204</f>
        <v>0</v>
      </c>
      <c r="S211">
        <f>CALC_EPM!S204</f>
        <v>0</v>
      </c>
      <c r="T211">
        <f>CALC_EPM!T204</f>
        <v>0</v>
      </c>
      <c r="U211">
        <f>CALC_EPM!U204</f>
        <v>0</v>
      </c>
    </row>
    <row r="212" spans="1:21" x14ac:dyDescent="0.2">
      <c r="A212" t="str">
        <f>IF(CALC_EPM!A205="GLOBAL",IF(CALC_EPM!C205="Total","GLOBAL",IF(CALC_EPM!C205="TotalEsp","GLOBAL_ESP",IF(CALC_EPM!C205="TotalNoEsp","GLOBAL_NOESP","GLOBAL_ASIG"))),IF(CALC_EPM!C205="Total","CURSO_TOTAL",IF(CALC_EPM!C205="TotalEsp","CURSO_ESP",IF(CALC_EPM!C205="TotalNoEsp","CURSO_NOESP","CURSO_ASIG"))))</f>
        <v>CURSO_ASIG</v>
      </c>
      <c r="B212" t="str">
        <f>CALC_EPM!A205</f>
        <v>6EPM</v>
      </c>
      <c r="C212" t="str">
        <f>CALC_EPM!B205</f>
        <v>Canto</v>
      </c>
      <c r="D212">
        <f>CALC_EPM!D205</f>
        <v>0</v>
      </c>
      <c r="E212" s="10" t="str">
        <f>CALC_EPM!E205</f>
        <v>—</v>
      </c>
      <c r="F212" s="10" t="str">
        <f>CALC_EPM!F205</f>
        <v>—</v>
      </c>
      <c r="G212" t="str">
        <f>CALC_EPM!G205</f>
        <v>—</v>
      </c>
      <c r="H212" s="11" t="str">
        <f>CALC_EPM!H205</f>
        <v>—</v>
      </c>
      <c r="I212" s="11" t="str">
        <f>CALC_EPM!I205</f>
        <v>—</v>
      </c>
      <c r="J212" t="str">
        <f>CALC_EPM!J205</f>
        <v>—</v>
      </c>
      <c r="K212" t="str">
        <f>CALC_EPM!K205</f>
        <v>—</v>
      </c>
      <c r="L212">
        <f>CALC_EPM!L205</f>
        <v>0</v>
      </c>
      <c r="M212">
        <f>CALC_EPM!M205</f>
        <v>0</v>
      </c>
      <c r="N212">
        <f>CALC_EPM!N205</f>
        <v>0</v>
      </c>
      <c r="O212">
        <f>CALC_EPM!O205</f>
        <v>0</v>
      </c>
      <c r="P212">
        <f>CALC_EPM!P205</f>
        <v>0</v>
      </c>
      <c r="Q212">
        <f>CALC_EPM!Q205</f>
        <v>0</v>
      </c>
      <c r="R212">
        <f>CALC_EPM!R205</f>
        <v>0</v>
      </c>
      <c r="S212">
        <f>CALC_EPM!S205</f>
        <v>0</v>
      </c>
      <c r="T212">
        <f>CALC_EPM!T205</f>
        <v>0</v>
      </c>
      <c r="U212">
        <f>CALC_EPM!U205</f>
        <v>0</v>
      </c>
    </row>
    <row r="213" spans="1:21" x14ac:dyDescent="0.2">
      <c r="A213" t="str">
        <f>IF(CALC_EPM!A206="GLOBAL",IF(CALC_EPM!C206="Total","GLOBAL",IF(CALC_EPM!C206="TotalEsp","GLOBAL_ESP",IF(CALC_EPM!C206="TotalNoEsp","GLOBAL_NOESP","GLOBAL_ASIG"))),IF(CALC_EPM!C206="Total","CURSO_TOTAL",IF(CALC_EPM!C206="TotalEsp","CURSO_ESP",IF(CALC_EPM!C206="TotalNoEsp","CURSO_NOESP","CURSO_ASIG"))))</f>
        <v>CURSO_ASIG</v>
      </c>
      <c r="B213" t="str">
        <f>CALC_EPM!A206</f>
        <v>6EPM</v>
      </c>
      <c r="C213" t="str">
        <f>CALC_EPM!B206</f>
        <v>Clarinete</v>
      </c>
      <c r="D213">
        <f>CALC_EPM!D206</f>
        <v>0</v>
      </c>
      <c r="E213" s="10" t="str">
        <f>CALC_EPM!E206</f>
        <v>—</v>
      </c>
      <c r="F213" s="10" t="str">
        <f>CALC_EPM!F206</f>
        <v>—</v>
      </c>
      <c r="G213" t="str">
        <f>CALC_EPM!G206</f>
        <v>—</v>
      </c>
      <c r="H213" s="11" t="str">
        <f>CALC_EPM!H206</f>
        <v>—</v>
      </c>
      <c r="I213" s="11" t="str">
        <f>CALC_EPM!I206</f>
        <v>—</v>
      </c>
      <c r="J213" t="str">
        <f>CALC_EPM!J206</f>
        <v>—</v>
      </c>
      <c r="K213" t="str">
        <f>CALC_EPM!K206</f>
        <v>—</v>
      </c>
      <c r="L213">
        <f>CALC_EPM!L206</f>
        <v>0</v>
      </c>
      <c r="M213">
        <f>CALC_EPM!M206</f>
        <v>0</v>
      </c>
      <c r="N213">
        <f>CALC_EPM!N206</f>
        <v>0</v>
      </c>
      <c r="O213">
        <f>CALC_EPM!O206</f>
        <v>0</v>
      </c>
      <c r="P213">
        <f>CALC_EPM!P206</f>
        <v>0</v>
      </c>
      <c r="Q213">
        <f>CALC_EPM!Q206</f>
        <v>0</v>
      </c>
      <c r="R213">
        <f>CALC_EPM!R206</f>
        <v>0</v>
      </c>
      <c r="S213">
        <f>CALC_EPM!S206</f>
        <v>0</v>
      </c>
      <c r="T213">
        <f>CALC_EPM!T206</f>
        <v>0</v>
      </c>
      <c r="U213">
        <f>CALC_EPM!U206</f>
        <v>0</v>
      </c>
    </row>
    <row r="214" spans="1:21" x14ac:dyDescent="0.2">
      <c r="A214" t="str">
        <f>IF(CALC_EPM!A207="GLOBAL",IF(CALC_EPM!C207="Total","GLOBAL",IF(CALC_EPM!C207="TotalEsp","GLOBAL_ESP",IF(CALC_EPM!C207="TotalNoEsp","GLOBAL_NOESP","GLOBAL_ASIG"))),IF(CALC_EPM!C207="Total","CURSO_TOTAL",IF(CALC_EPM!C207="TotalEsp","CURSO_ESP",IF(CALC_EPM!C207="TotalNoEsp","CURSO_NOESP","CURSO_ASIG"))))</f>
        <v>CURSO_ASIG</v>
      </c>
      <c r="B214" t="str">
        <f>CALC_EPM!A207</f>
        <v>6EPM</v>
      </c>
      <c r="C214" t="str">
        <f>CALC_EPM!B207</f>
        <v>Contrabajo</v>
      </c>
      <c r="D214">
        <f>CALC_EPM!D207</f>
        <v>0</v>
      </c>
      <c r="E214" s="10" t="str">
        <f>CALC_EPM!E207</f>
        <v>—</v>
      </c>
      <c r="F214" s="10" t="str">
        <f>CALC_EPM!F207</f>
        <v>—</v>
      </c>
      <c r="G214" t="str">
        <f>CALC_EPM!G207</f>
        <v>—</v>
      </c>
      <c r="H214" s="11" t="str">
        <f>CALC_EPM!H207</f>
        <v>—</v>
      </c>
      <c r="I214" s="11" t="str">
        <f>CALC_EPM!I207</f>
        <v>—</v>
      </c>
      <c r="J214" t="str">
        <f>CALC_EPM!J207</f>
        <v>—</v>
      </c>
      <c r="K214" t="str">
        <f>CALC_EPM!K207</f>
        <v>—</v>
      </c>
      <c r="L214">
        <f>CALC_EPM!L207</f>
        <v>0</v>
      </c>
      <c r="M214">
        <f>CALC_EPM!M207</f>
        <v>0</v>
      </c>
      <c r="N214">
        <f>CALC_EPM!N207</f>
        <v>0</v>
      </c>
      <c r="O214">
        <f>CALC_EPM!O207</f>
        <v>0</v>
      </c>
      <c r="P214">
        <f>CALC_EPM!P207</f>
        <v>0</v>
      </c>
      <c r="Q214">
        <f>CALC_EPM!Q207</f>
        <v>0</v>
      </c>
      <c r="R214">
        <f>CALC_EPM!R207</f>
        <v>0</v>
      </c>
      <c r="S214">
        <f>CALC_EPM!S207</f>
        <v>0</v>
      </c>
      <c r="T214">
        <f>CALC_EPM!T207</f>
        <v>0</v>
      </c>
      <c r="U214">
        <f>CALC_EPM!U207</f>
        <v>0</v>
      </c>
    </row>
    <row r="215" spans="1:21" x14ac:dyDescent="0.2">
      <c r="A215" t="str">
        <f>IF(CALC_EPM!A208="GLOBAL",IF(CALC_EPM!C208="Total","GLOBAL",IF(CALC_EPM!C208="TotalEsp","GLOBAL_ESP",IF(CALC_EPM!C208="TotalNoEsp","GLOBAL_NOESP","GLOBAL_ASIG"))),IF(CALC_EPM!C208="Total","CURSO_TOTAL",IF(CALC_EPM!C208="TotalEsp","CURSO_ESP",IF(CALC_EPM!C208="TotalNoEsp","CURSO_NOESP","CURSO_ASIG"))))</f>
        <v>CURSO_ASIG</v>
      </c>
      <c r="B215" t="str">
        <f>CALC_EPM!A208</f>
        <v>6EPM</v>
      </c>
      <c r="C215" t="str">
        <f>CALC_EPM!B208</f>
        <v>Dolçaina</v>
      </c>
      <c r="D215">
        <f>CALC_EPM!D208</f>
        <v>0</v>
      </c>
      <c r="E215" s="10" t="str">
        <f>CALC_EPM!E208</f>
        <v>—</v>
      </c>
      <c r="F215" s="10" t="str">
        <f>CALC_EPM!F208</f>
        <v>—</v>
      </c>
      <c r="G215" t="str">
        <f>CALC_EPM!G208</f>
        <v>—</v>
      </c>
      <c r="H215" s="11" t="str">
        <f>CALC_EPM!H208</f>
        <v>—</v>
      </c>
      <c r="I215" s="11" t="str">
        <f>CALC_EPM!I208</f>
        <v>—</v>
      </c>
      <c r="J215" t="str">
        <f>CALC_EPM!J208</f>
        <v>—</v>
      </c>
      <c r="K215" t="str">
        <f>CALC_EPM!K208</f>
        <v>—</v>
      </c>
      <c r="L215">
        <f>CALC_EPM!L208</f>
        <v>0</v>
      </c>
      <c r="M215">
        <f>CALC_EPM!M208</f>
        <v>0</v>
      </c>
      <c r="N215">
        <f>CALC_EPM!N208</f>
        <v>0</v>
      </c>
      <c r="O215">
        <f>CALC_EPM!O208</f>
        <v>0</v>
      </c>
      <c r="P215">
        <f>CALC_EPM!P208</f>
        <v>0</v>
      </c>
      <c r="Q215">
        <f>CALC_EPM!Q208</f>
        <v>0</v>
      </c>
      <c r="R215">
        <f>CALC_EPM!R208</f>
        <v>0</v>
      </c>
      <c r="S215">
        <f>CALC_EPM!S208</f>
        <v>0</v>
      </c>
      <c r="T215">
        <f>CALC_EPM!T208</f>
        <v>0</v>
      </c>
      <c r="U215">
        <f>CALC_EPM!U208</f>
        <v>0</v>
      </c>
    </row>
    <row r="216" spans="1:21" x14ac:dyDescent="0.2">
      <c r="A216" t="str">
        <f>IF(CALC_EPM!A209="GLOBAL",IF(CALC_EPM!C209="Total","GLOBAL",IF(CALC_EPM!C209="TotalEsp","GLOBAL_ESP",IF(CALC_EPM!C209="TotalNoEsp","GLOBAL_NOESP","GLOBAL_ASIG"))),IF(CALC_EPM!C209="Total","CURSO_TOTAL",IF(CALC_EPM!C209="TotalEsp","CURSO_ESP",IF(CALC_EPM!C209="TotalNoEsp","CURSO_NOESP","CURSO_ASIG"))))</f>
        <v>CURSO_ASIG</v>
      </c>
      <c r="B216" t="str">
        <f>CALC_EPM!A209</f>
        <v>6EPM</v>
      </c>
      <c r="C216" t="str">
        <f>CALC_EPM!B209</f>
        <v>Fagot</v>
      </c>
      <c r="D216">
        <f>CALC_EPM!D209</f>
        <v>0</v>
      </c>
      <c r="E216" s="10" t="str">
        <f>CALC_EPM!E209</f>
        <v>—</v>
      </c>
      <c r="F216" s="10" t="str">
        <f>CALC_EPM!F209</f>
        <v>—</v>
      </c>
      <c r="G216" t="str">
        <f>CALC_EPM!G209</f>
        <v>—</v>
      </c>
      <c r="H216" s="11" t="str">
        <f>CALC_EPM!H209</f>
        <v>—</v>
      </c>
      <c r="I216" s="11" t="str">
        <f>CALC_EPM!I209</f>
        <v>—</v>
      </c>
      <c r="J216" t="str">
        <f>CALC_EPM!J209</f>
        <v>—</v>
      </c>
      <c r="K216" t="str">
        <f>CALC_EPM!K209</f>
        <v>—</v>
      </c>
      <c r="L216">
        <f>CALC_EPM!L209</f>
        <v>0</v>
      </c>
      <c r="M216">
        <f>CALC_EPM!M209</f>
        <v>0</v>
      </c>
      <c r="N216">
        <f>CALC_EPM!N209</f>
        <v>0</v>
      </c>
      <c r="O216">
        <f>CALC_EPM!O209</f>
        <v>0</v>
      </c>
      <c r="P216">
        <f>CALC_EPM!P209</f>
        <v>0</v>
      </c>
      <c r="Q216">
        <f>CALC_EPM!Q209</f>
        <v>0</v>
      </c>
      <c r="R216">
        <f>CALC_EPM!R209</f>
        <v>0</v>
      </c>
      <c r="S216">
        <f>CALC_EPM!S209</f>
        <v>0</v>
      </c>
      <c r="T216">
        <f>CALC_EPM!T209</f>
        <v>0</v>
      </c>
      <c r="U216">
        <f>CALC_EPM!U209</f>
        <v>0</v>
      </c>
    </row>
    <row r="217" spans="1:21" x14ac:dyDescent="0.2">
      <c r="A217" t="str">
        <f>IF(CALC_EPM!A210="GLOBAL",IF(CALC_EPM!C210="Total","GLOBAL",IF(CALC_EPM!C210="TotalEsp","GLOBAL_ESP",IF(CALC_EPM!C210="TotalNoEsp","GLOBAL_NOESP","GLOBAL_ASIG"))),IF(CALC_EPM!C210="Total","CURSO_TOTAL",IF(CALC_EPM!C210="TotalEsp","CURSO_ESP",IF(CALC_EPM!C210="TotalNoEsp","CURSO_NOESP","CURSO_ASIG"))))</f>
        <v>CURSO_ASIG</v>
      </c>
      <c r="B217" t="str">
        <f>CALC_EPM!A210</f>
        <v>6EPM</v>
      </c>
      <c r="C217" t="str">
        <f>CALC_EPM!B210</f>
        <v>Flauta Travesera</v>
      </c>
      <c r="D217">
        <f>CALC_EPM!D210</f>
        <v>0</v>
      </c>
      <c r="E217" s="10" t="str">
        <f>CALC_EPM!E210</f>
        <v>—</v>
      </c>
      <c r="F217" s="10" t="str">
        <f>CALC_EPM!F210</f>
        <v>—</v>
      </c>
      <c r="G217" t="str">
        <f>CALC_EPM!G210</f>
        <v>—</v>
      </c>
      <c r="H217" s="11" t="str">
        <f>CALC_EPM!H210</f>
        <v>—</v>
      </c>
      <c r="I217" s="11" t="str">
        <f>CALC_EPM!I210</f>
        <v>—</v>
      </c>
      <c r="J217" t="str">
        <f>CALC_EPM!J210</f>
        <v>—</v>
      </c>
      <c r="K217" t="str">
        <f>CALC_EPM!K210</f>
        <v>—</v>
      </c>
      <c r="L217">
        <f>CALC_EPM!L210</f>
        <v>0</v>
      </c>
      <c r="M217">
        <f>CALC_EPM!M210</f>
        <v>0</v>
      </c>
      <c r="N217">
        <f>CALC_EPM!N210</f>
        <v>0</v>
      </c>
      <c r="O217">
        <f>CALC_EPM!O210</f>
        <v>0</v>
      </c>
      <c r="P217">
        <f>CALC_EPM!P210</f>
        <v>0</v>
      </c>
      <c r="Q217">
        <f>CALC_EPM!Q210</f>
        <v>0</v>
      </c>
      <c r="R217">
        <f>CALC_EPM!R210</f>
        <v>0</v>
      </c>
      <c r="S217">
        <f>CALC_EPM!S210</f>
        <v>0</v>
      </c>
      <c r="T217">
        <f>CALC_EPM!T210</f>
        <v>0</v>
      </c>
      <c r="U217">
        <f>CALC_EPM!U210</f>
        <v>0</v>
      </c>
    </row>
    <row r="218" spans="1:21" x14ac:dyDescent="0.2">
      <c r="A218" t="str">
        <f>IF(CALC_EPM!A211="GLOBAL",IF(CALC_EPM!C211="Total","GLOBAL",IF(CALC_EPM!C211="TotalEsp","GLOBAL_ESP",IF(CALC_EPM!C211="TotalNoEsp","GLOBAL_NOESP","GLOBAL_ASIG"))),IF(CALC_EPM!C211="Total","CURSO_TOTAL",IF(CALC_EPM!C211="TotalEsp","CURSO_ESP",IF(CALC_EPM!C211="TotalNoEsp","CURSO_NOESP","CURSO_ASIG"))))</f>
        <v>CURSO_ASIG</v>
      </c>
      <c r="B218" t="str">
        <f>CALC_EPM!A211</f>
        <v>6EPM</v>
      </c>
      <c r="C218" t="str">
        <f>CALC_EPM!B211</f>
        <v>Guitarra</v>
      </c>
      <c r="D218">
        <f>CALC_EPM!D211</f>
        <v>0</v>
      </c>
      <c r="E218" s="10" t="str">
        <f>CALC_EPM!E211</f>
        <v>—</v>
      </c>
      <c r="F218" s="10" t="str">
        <f>CALC_EPM!F211</f>
        <v>—</v>
      </c>
      <c r="G218" t="str">
        <f>CALC_EPM!G211</f>
        <v>—</v>
      </c>
      <c r="H218" s="11" t="str">
        <f>CALC_EPM!H211</f>
        <v>—</v>
      </c>
      <c r="I218" s="11" t="str">
        <f>CALC_EPM!I211</f>
        <v>—</v>
      </c>
      <c r="J218" t="str">
        <f>CALC_EPM!J211</f>
        <v>—</v>
      </c>
      <c r="K218" t="str">
        <f>CALC_EPM!K211</f>
        <v>—</v>
      </c>
      <c r="L218">
        <f>CALC_EPM!L211</f>
        <v>0</v>
      </c>
      <c r="M218">
        <f>CALC_EPM!M211</f>
        <v>0</v>
      </c>
      <c r="N218">
        <f>CALC_EPM!N211</f>
        <v>0</v>
      </c>
      <c r="O218">
        <f>CALC_EPM!O211</f>
        <v>0</v>
      </c>
      <c r="P218">
        <f>CALC_EPM!P211</f>
        <v>0</v>
      </c>
      <c r="Q218">
        <f>CALC_EPM!Q211</f>
        <v>0</v>
      </c>
      <c r="R218">
        <f>CALC_EPM!R211</f>
        <v>0</v>
      </c>
      <c r="S218">
        <f>CALC_EPM!S211</f>
        <v>0</v>
      </c>
      <c r="T218">
        <f>CALC_EPM!T211</f>
        <v>0</v>
      </c>
      <c r="U218">
        <f>CALC_EPM!U211</f>
        <v>0</v>
      </c>
    </row>
    <row r="219" spans="1:21" x14ac:dyDescent="0.2">
      <c r="A219" t="str">
        <f>IF(CALC_EPM!A212="GLOBAL",IF(CALC_EPM!C212="Total","GLOBAL",IF(CALC_EPM!C212="TotalEsp","GLOBAL_ESP",IF(CALC_EPM!C212="TotalNoEsp","GLOBAL_NOESP","GLOBAL_ASIG"))),IF(CALC_EPM!C212="Total","CURSO_TOTAL",IF(CALC_EPM!C212="TotalEsp","CURSO_ESP",IF(CALC_EPM!C212="TotalNoEsp","CURSO_NOESP","CURSO_ASIG"))))</f>
        <v>CURSO_ASIG</v>
      </c>
      <c r="B219" t="str">
        <f>CALC_EPM!A212</f>
        <v>6EPM</v>
      </c>
      <c r="C219" t="str">
        <f>CALC_EPM!B212</f>
        <v>Guitarra Eléctrica</v>
      </c>
      <c r="D219">
        <f>CALC_EPM!D212</f>
        <v>0</v>
      </c>
      <c r="E219" s="10" t="str">
        <f>CALC_EPM!E212</f>
        <v>—</v>
      </c>
      <c r="F219" s="10" t="str">
        <f>CALC_EPM!F212</f>
        <v>—</v>
      </c>
      <c r="G219" t="str">
        <f>CALC_EPM!G212</f>
        <v>—</v>
      </c>
      <c r="H219" s="11" t="str">
        <f>CALC_EPM!H212</f>
        <v>—</v>
      </c>
      <c r="I219" s="11" t="str">
        <f>CALC_EPM!I212</f>
        <v>—</v>
      </c>
      <c r="J219" t="str">
        <f>CALC_EPM!J212</f>
        <v>—</v>
      </c>
      <c r="K219" t="str">
        <f>CALC_EPM!K212</f>
        <v>—</v>
      </c>
      <c r="L219">
        <f>CALC_EPM!L212</f>
        <v>0</v>
      </c>
      <c r="M219">
        <f>CALC_EPM!M212</f>
        <v>0</v>
      </c>
      <c r="N219">
        <f>CALC_EPM!N212</f>
        <v>0</v>
      </c>
      <c r="O219">
        <f>CALC_EPM!O212</f>
        <v>0</v>
      </c>
      <c r="P219">
        <f>CALC_EPM!P212</f>
        <v>0</v>
      </c>
      <c r="Q219">
        <f>CALC_EPM!Q212</f>
        <v>0</v>
      </c>
      <c r="R219">
        <f>CALC_EPM!R212</f>
        <v>0</v>
      </c>
      <c r="S219">
        <f>CALC_EPM!S212</f>
        <v>0</v>
      </c>
      <c r="T219">
        <f>CALC_EPM!T212</f>
        <v>0</v>
      </c>
      <c r="U219">
        <f>CALC_EPM!U212</f>
        <v>0</v>
      </c>
    </row>
    <row r="220" spans="1:21" x14ac:dyDescent="0.2">
      <c r="A220" t="str">
        <f>IF(CALC_EPM!A213="GLOBAL",IF(CALC_EPM!C213="Total","GLOBAL",IF(CALC_EPM!C213="TotalEsp","GLOBAL_ESP",IF(CALC_EPM!C213="TotalNoEsp","GLOBAL_NOESP","GLOBAL_ASIG"))),IF(CALC_EPM!C213="Total","CURSO_TOTAL",IF(CALC_EPM!C213="TotalEsp","CURSO_ESP",IF(CALC_EPM!C213="TotalNoEsp","CURSO_NOESP","CURSO_ASIG"))))</f>
        <v>CURSO_ASIG</v>
      </c>
      <c r="B220" t="str">
        <f>CALC_EPM!A213</f>
        <v>6EPM</v>
      </c>
      <c r="C220" t="str">
        <f>CALC_EPM!B213</f>
        <v>Oboe</v>
      </c>
      <c r="D220">
        <f>CALC_EPM!D213</f>
        <v>0</v>
      </c>
      <c r="E220" s="10" t="str">
        <f>CALC_EPM!E213</f>
        <v>—</v>
      </c>
      <c r="F220" s="10" t="str">
        <f>CALC_EPM!F213</f>
        <v>—</v>
      </c>
      <c r="G220" t="str">
        <f>CALC_EPM!G213</f>
        <v>—</v>
      </c>
      <c r="H220" s="11" t="str">
        <f>CALC_EPM!H213</f>
        <v>—</v>
      </c>
      <c r="I220" s="11" t="str">
        <f>CALC_EPM!I213</f>
        <v>—</v>
      </c>
      <c r="J220" t="str">
        <f>CALC_EPM!J213</f>
        <v>—</v>
      </c>
      <c r="K220" t="str">
        <f>CALC_EPM!K213</f>
        <v>—</v>
      </c>
      <c r="L220">
        <f>CALC_EPM!L213</f>
        <v>0</v>
      </c>
      <c r="M220">
        <f>CALC_EPM!M213</f>
        <v>0</v>
      </c>
      <c r="N220">
        <f>CALC_EPM!N213</f>
        <v>0</v>
      </c>
      <c r="O220">
        <f>CALC_EPM!O213</f>
        <v>0</v>
      </c>
      <c r="P220">
        <f>CALC_EPM!P213</f>
        <v>0</v>
      </c>
      <c r="Q220">
        <f>CALC_EPM!Q213</f>
        <v>0</v>
      </c>
      <c r="R220">
        <f>CALC_EPM!R213</f>
        <v>0</v>
      </c>
      <c r="S220">
        <f>CALC_EPM!S213</f>
        <v>0</v>
      </c>
      <c r="T220">
        <f>CALC_EPM!T213</f>
        <v>0</v>
      </c>
      <c r="U220">
        <f>CALC_EPM!U213</f>
        <v>0</v>
      </c>
    </row>
    <row r="221" spans="1:21" x14ac:dyDescent="0.2">
      <c r="A221" t="str">
        <f>IF(CALC_EPM!A214="GLOBAL",IF(CALC_EPM!C214="Total","GLOBAL",IF(CALC_EPM!C214="TotalEsp","GLOBAL_ESP",IF(CALC_EPM!C214="TotalNoEsp","GLOBAL_NOESP","GLOBAL_ASIG"))),IF(CALC_EPM!C214="Total","CURSO_TOTAL",IF(CALC_EPM!C214="TotalEsp","CURSO_ESP",IF(CALC_EPM!C214="TotalNoEsp","CURSO_NOESP","CURSO_ASIG"))))</f>
        <v>CURSO_ASIG</v>
      </c>
      <c r="B221" t="str">
        <f>CALC_EPM!A214</f>
        <v>6EPM</v>
      </c>
      <c r="C221" t="str">
        <f>CALC_EPM!B214</f>
        <v>Percusión</v>
      </c>
      <c r="D221">
        <f>CALC_EPM!D214</f>
        <v>0</v>
      </c>
      <c r="E221" s="10" t="str">
        <f>CALC_EPM!E214</f>
        <v>—</v>
      </c>
      <c r="F221" s="10" t="str">
        <f>CALC_EPM!F214</f>
        <v>—</v>
      </c>
      <c r="G221" t="str">
        <f>CALC_EPM!G214</f>
        <v>—</v>
      </c>
      <c r="H221" s="11" t="str">
        <f>CALC_EPM!H214</f>
        <v>—</v>
      </c>
      <c r="I221" s="11" t="str">
        <f>CALC_EPM!I214</f>
        <v>—</v>
      </c>
      <c r="J221" t="str">
        <f>CALC_EPM!J214</f>
        <v>—</v>
      </c>
      <c r="K221" t="str">
        <f>CALC_EPM!K214</f>
        <v>—</v>
      </c>
      <c r="L221">
        <f>CALC_EPM!L214</f>
        <v>0</v>
      </c>
      <c r="M221">
        <f>CALC_EPM!M214</f>
        <v>0</v>
      </c>
      <c r="N221">
        <f>CALC_EPM!N214</f>
        <v>0</v>
      </c>
      <c r="O221">
        <f>CALC_EPM!O214</f>
        <v>0</v>
      </c>
      <c r="P221">
        <f>CALC_EPM!P214</f>
        <v>0</v>
      </c>
      <c r="Q221">
        <f>CALC_EPM!Q214</f>
        <v>0</v>
      </c>
      <c r="R221">
        <f>CALC_EPM!R214</f>
        <v>0</v>
      </c>
      <c r="S221">
        <f>CALC_EPM!S214</f>
        <v>0</v>
      </c>
      <c r="T221">
        <f>CALC_EPM!T214</f>
        <v>0</v>
      </c>
      <c r="U221">
        <f>CALC_EPM!U214</f>
        <v>0</v>
      </c>
    </row>
    <row r="222" spans="1:21" x14ac:dyDescent="0.2">
      <c r="A222" t="str">
        <f>IF(CALC_EPM!A215="GLOBAL",IF(CALC_EPM!C215="Total","GLOBAL",IF(CALC_EPM!C215="TotalEsp","GLOBAL_ESP",IF(CALC_EPM!C215="TotalNoEsp","GLOBAL_NOESP","GLOBAL_ASIG"))),IF(CALC_EPM!C215="Total","CURSO_TOTAL",IF(CALC_EPM!C215="TotalEsp","CURSO_ESP",IF(CALC_EPM!C215="TotalNoEsp","CURSO_NOESP","CURSO_ASIG"))))</f>
        <v>CURSO_ASIG</v>
      </c>
      <c r="B222" t="str">
        <f>CALC_EPM!A215</f>
        <v>6EPM</v>
      </c>
      <c r="C222" t="str">
        <f>CALC_EPM!B215</f>
        <v>Piano</v>
      </c>
      <c r="D222">
        <f>CALC_EPM!D215</f>
        <v>0</v>
      </c>
      <c r="E222" s="10" t="str">
        <f>CALC_EPM!E215</f>
        <v>—</v>
      </c>
      <c r="F222" s="10" t="str">
        <f>CALC_EPM!F215</f>
        <v>—</v>
      </c>
      <c r="G222" t="str">
        <f>CALC_EPM!G215</f>
        <v>—</v>
      </c>
      <c r="H222" s="11" t="str">
        <f>CALC_EPM!H215</f>
        <v>—</v>
      </c>
      <c r="I222" s="11" t="str">
        <f>CALC_EPM!I215</f>
        <v>—</v>
      </c>
      <c r="J222" t="str">
        <f>CALC_EPM!J215</f>
        <v>—</v>
      </c>
      <c r="K222" t="str">
        <f>CALC_EPM!K215</f>
        <v>—</v>
      </c>
      <c r="L222">
        <f>CALC_EPM!L215</f>
        <v>0</v>
      </c>
      <c r="M222">
        <f>CALC_EPM!M215</f>
        <v>0</v>
      </c>
      <c r="N222">
        <f>CALC_EPM!N215</f>
        <v>0</v>
      </c>
      <c r="O222">
        <f>CALC_EPM!O215</f>
        <v>0</v>
      </c>
      <c r="P222">
        <f>CALC_EPM!P215</f>
        <v>0</v>
      </c>
      <c r="Q222">
        <f>CALC_EPM!Q215</f>
        <v>0</v>
      </c>
      <c r="R222">
        <f>CALC_EPM!R215</f>
        <v>0</v>
      </c>
      <c r="S222">
        <f>CALC_EPM!S215</f>
        <v>0</v>
      </c>
      <c r="T222">
        <f>CALC_EPM!T215</f>
        <v>0</v>
      </c>
      <c r="U222">
        <f>CALC_EPM!U215</f>
        <v>0</v>
      </c>
    </row>
    <row r="223" spans="1:21" x14ac:dyDescent="0.2">
      <c r="A223" t="str">
        <f>IF(CALC_EPM!A216="GLOBAL",IF(CALC_EPM!C216="Total","GLOBAL",IF(CALC_EPM!C216="TotalEsp","GLOBAL_ESP",IF(CALC_EPM!C216="TotalNoEsp","GLOBAL_NOESP","GLOBAL_ASIG"))),IF(CALC_EPM!C216="Total","CURSO_TOTAL",IF(CALC_EPM!C216="TotalEsp","CURSO_ESP",IF(CALC_EPM!C216="TotalNoEsp","CURSO_NOESP","CURSO_ASIG"))))</f>
        <v>CURSO_ASIG</v>
      </c>
      <c r="B223" t="str">
        <f>CALC_EPM!A216</f>
        <v>6EPM</v>
      </c>
      <c r="C223" t="str">
        <f>CALC_EPM!B216</f>
        <v>Saxofón</v>
      </c>
      <c r="D223">
        <f>CALC_EPM!D216</f>
        <v>0</v>
      </c>
      <c r="E223" s="10" t="str">
        <f>CALC_EPM!E216</f>
        <v>—</v>
      </c>
      <c r="F223" s="10" t="str">
        <f>CALC_EPM!F216</f>
        <v>—</v>
      </c>
      <c r="G223" t="str">
        <f>CALC_EPM!G216</f>
        <v>—</v>
      </c>
      <c r="H223" s="11" t="str">
        <f>CALC_EPM!H216</f>
        <v>—</v>
      </c>
      <c r="I223" s="11" t="str">
        <f>CALC_EPM!I216</f>
        <v>—</v>
      </c>
      <c r="J223" t="str">
        <f>CALC_EPM!J216</f>
        <v>—</v>
      </c>
      <c r="K223" t="str">
        <f>CALC_EPM!K216</f>
        <v>—</v>
      </c>
      <c r="L223">
        <f>CALC_EPM!L216</f>
        <v>0</v>
      </c>
      <c r="M223">
        <f>CALC_EPM!M216</f>
        <v>0</v>
      </c>
      <c r="N223">
        <f>CALC_EPM!N216</f>
        <v>0</v>
      </c>
      <c r="O223">
        <f>CALC_EPM!O216</f>
        <v>0</v>
      </c>
      <c r="P223">
        <f>CALC_EPM!P216</f>
        <v>0</v>
      </c>
      <c r="Q223">
        <f>CALC_EPM!Q216</f>
        <v>0</v>
      </c>
      <c r="R223">
        <f>CALC_EPM!R216</f>
        <v>0</v>
      </c>
      <c r="S223">
        <f>CALC_EPM!S216</f>
        <v>0</v>
      </c>
      <c r="T223">
        <f>CALC_EPM!T216</f>
        <v>0</v>
      </c>
      <c r="U223">
        <f>CALC_EPM!U216</f>
        <v>0</v>
      </c>
    </row>
    <row r="224" spans="1:21" x14ac:dyDescent="0.2">
      <c r="A224" t="str">
        <f>IF(CALC_EPM!A217="GLOBAL",IF(CALC_EPM!C217="Total","GLOBAL",IF(CALC_EPM!C217="TotalEsp","GLOBAL_ESP",IF(CALC_EPM!C217="TotalNoEsp","GLOBAL_NOESP","GLOBAL_ASIG"))),IF(CALC_EPM!C217="Total","CURSO_TOTAL",IF(CALC_EPM!C217="TotalEsp","CURSO_ESP",IF(CALC_EPM!C217="TotalNoEsp","CURSO_NOESP","CURSO_ASIG"))))</f>
        <v>CURSO_ASIG</v>
      </c>
      <c r="B224" t="str">
        <f>CALC_EPM!A217</f>
        <v>6EPM</v>
      </c>
      <c r="C224" t="str">
        <f>CALC_EPM!B217</f>
        <v>Trombón</v>
      </c>
      <c r="D224">
        <f>CALC_EPM!D217</f>
        <v>0</v>
      </c>
      <c r="E224" s="10" t="str">
        <f>CALC_EPM!E217</f>
        <v>—</v>
      </c>
      <c r="F224" s="10" t="str">
        <f>CALC_EPM!F217</f>
        <v>—</v>
      </c>
      <c r="G224" t="str">
        <f>CALC_EPM!G217</f>
        <v>—</v>
      </c>
      <c r="H224" s="11" t="str">
        <f>CALC_EPM!H217</f>
        <v>—</v>
      </c>
      <c r="I224" s="11" t="str">
        <f>CALC_EPM!I217</f>
        <v>—</v>
      </c>
      <c r="J224" t="str">
        <f>CALC_EPM!J217</f>
        <v>—</v>
      </c>
      <c r="K224" t="str">
        <f>CALC_EPM!K217</f>
        <v>—</v>
      </c>
      <c r="L224">
        <f>CALC_EPM!L217</f>
        <v>0</v>
      </c>
      <c r="M224">
        <f>CALC_EPM!M217</f>
        <v>0</v>
      </c>
      <c r="N224">
        <f>CALC_EPM!N217</f>
        <v>0</v>
      </c>
      <c r="O224">
        <f>CALC_EPM!O217</f>
        <v>0</v>
      </c>
      <c r="P224">
        <f>CALC_EPM!P217</f>
        <v>0</v>
      </c>
      <c r="Q224">
        <f>CALC_EPM!Q217</f>
        <v>0</v>
      </c>
      <c r="R224">
        <f>CALC_EPM!R217</f>
        <v>0</v>
      </c>
      <c r="S224">
        <f>CALC_EPM!S217</f>
        <v>0</v>
      </c>
      <c r="T224">
        <f>CALC_EPM!T217</f>
        <v>0</v>
      </c>
      <c r="U224">
        <f>CALC_EPM!U217</f>
        <v>0</v>
      </c>
    </row>
    <row r="225" spans="1:21" x14ac:dyDescent="0.2">
      <c r="A225" t="str">
        <f>IF(CALC_EPM!A218="GLOBAL",IF(CALC_EPM!C218="Total","GLOBAL",IF(CALC_EPM!C218="TotalEsp","GLOBAL_ESP",IF(CALC_EPM!C218="TotalNoEsp","GLOBAL_NOESP","GLOBAL_ASIG"))),IF(CALC_EPM!C218="Total","CURSO_TOTAL",IF(CALC_EPM!C218="TotalEsp","CURSO_ESP",IF(CALC_EPM!C218="TotalNoEsp","CURSO_NOESP","CURSO_ASIG"))))</f>
        <v>CURSO_ASIG</v>
      </c>
      <c r="B225" t="str">
        <f>CALC_EPM!A218</f>
        <v>6EPM</v>
      </c>
      <c r="C225" t="str">
        <f>CALC_EPM!B218</f>
        <v>Trompa</v>
      </c>
      <c r="D225">
        <f>CALC_EPM!D218</f>
        <v>0</v>
      </c>
      <c r="E225" s="10" t="str">
        <f>CALC_EPM!E218</f>
        <v>—</v>
      </c>
      <c r="F225" s="10" t="str">
        <f>CALC_EPM!F218</f>
        <v>—</v>
      </c>
      <c r="G225" t="str">
        <f>CALC_EPM!G218</f>
        <v>—</v>
      </c>
      <c r="H225" s="11" t="str">
        <f>CALC_EPM!H218</f>
        <v>—</v>
      </c>
      <c r="I225" s="11" t="str">
        <f>CALC_EPM!I218</f>
        <v>—</v>
      </c>
      <c r="J225" t="str">
        <f>CALC_EPM!J218</f>
        <v>—</v>
      </c>
      <c r="K225" t="str">
        <f>CALC_EPM!K218</f>
        <v>—</v>
      </c>
      <c r="L225">
        <f>CALC_EPM!L218</f>
        <v>0</v>
      </c>
      <c r="M225">
        <f>CALC_EPM!M218</f>
        <v>0</v>
      </c>
      <c r="N225">
        <f>CALC_EPM!N218</f>
        <v>0</v>
      </c>
      <c r="O225">
        <f>CALC_EPM!O218</f>
        <v>0</v>
      </c>
      <c r="P225">
        <f>CALC_EPM!P218</f>
        <v>0</v>
      </c>
      <c r="Q225">
        <f>CALC_EPM!Q218</f>
        <v>0</v>
      </c>
      <c r="R225">
        <f>CALC_EPM!R218</f>
        <v>0</v>
      </c>
      <c r="S225">
        <f>CALC_EPM!S218</f>
        <v>0</v>
      </c>
      <c r="T225">
        <f>CALC_EPM!T218</f>
        <v>0</v>
      </c>
      <c r="U225">
        <f>CALC_EPM!U218</f>
        <v>0</v>
      </c>
    </row>
    <row r="226" spans="1:21" x14ac:dyDescent="0.2">
      <c r="A226" t="str">
        <f>IF(CALC_EPM!A219="GLOBAL",IF(CALC_EPM!C219="Total","GLOBAL",IF(CALC_EPM!C219="TotalEsp","GLOBAL_ESP",IF(CALC_EPM!C219="TotalNoEsp","GLOBAL_NOESP","GLOBAL_ASIG"))),IF(CALC_EPM!C219="Total","CURSO_TOTAL",IF(CALC_EPM!C219="TotalEsp","CURSO_ESP",IF(CALC_EPM!C219="TotalNoEsp","CURSO_NOESP","CURSO_ASIG"))))</f>
        <v>CURSO_ASIG</v>
      </c>
      <c r="B226" t="str">
        <f>CALC_EPM!A219</f>
        <v>6EPM</v>
      </c>
      <c r="C226" t="str">
        <f>CALC_EPM!B219</f>
        <v>Trompeta</v>
      </c>
      <c r="D226">
        <f>CALC_EPM!D219</f>
        <v>0</v>
      </c>
      <c r="E226" s="10" t="str">
        <f>CALC_EPM!E219</f>
        <v>—</v>
      </c>
      <c r="F226" s="10" t="str">
        <f>CALC_EPM!F219</f>
        <v>—</v>
      </c>
      <c r="G226" t="str">
        <f>CALC_EPM!G219</f>
        <v>—</v>
      </c>
      <c r="H226" s="11" t="str">
        <f>CALC_EPM!H219</f>
        <v>—</v>
      </c>
      <c r="I226" s="11" t="str">
        <f>CALC_EPM!I219</f>
        <v>—</v>
      </c>
      <c r="J226" t="str">
        <f>CALC_EPM!J219</f>
        <v>—</v>
      </c>
      <c r="K226" t="str">
        <f>CALC_EPM!K219</f>
        <v>—</v>
      </c>
      <c r="L226">
        <f>CALC_EPM!L219</f>
        <v>0</v>
      </c>
      <c r="M226">
        <f>CALC_EPM!M219</f>
        <v>0</v>
      </c>
      <c r="N226">
        <f>CALC_EPM!N219</f>
        <v>0</v>
      </c>
      <c r="O226">
        <f>CALC_EPM!O219</f>
        <v>0</v>
      </c>
      <c r="P226">
        <f>CALC_EPM!P219</f>
        <v>0</v>
      </c>
      <c r="Q226">
        <f>CALC_EPM!Q219</f>
        <v>0</v>
      </c>
      <c r="R226">
        <f>CALC_EPM!R219</f>
        <v>0</v>
      </c>
      <c r="S226">
        <f>CALC_EPM!S219</f>
        <v>0</v>
      </c>
      <c r="T226">
        <f>CALC_EPM!T219</f>
        <v>0</v>
      </c>
      <c r="U226">
        <f>CALC_EPM!U219</f>
        <v>0</v>
      </c>
    </row>
    <row r="227" spans="1:21" x14ac:dyDescent="0.2">
      <c r="A227" t="str">
        <f>IF(CALC_EPM!A220="GLOBAL",IF(CALC_EPM!C220="Total","GLOBAL",IF(CALC_EPM!C220="TotalEsp","GLOBAL_ESP",IF(CALC_EPM!C220="TotalNoEsp","GLOBAL_NOESP","GLOBAL_ASIG"))),IF(CALC_EPM!C220="Total","CURSO_TOTAL",IF(CALC_EPM!C220="TotalEsp","CURSO_ESP",IF(CALC_EPM!C220="TotalNoEsp","CURSO_NOESP","CURSO_ASIG"))))</f>
        <v>CURSO_ASIG</v>
      </c>
      <c r="B227" t="str">
        <f>CALC_EPM!A220</f>
        <v>6EPM</v>
      </c>
      <c r="C227" t="str">
        <f>CALC_EPM!B220</f>
        <v>Tuba</v>
      </c>
      <c r="D227">
        <f>CALC_EPM!D220</f>
        <v>0</v>
      </c>
      <c r="E227" s="10" t="str">
        <f>CALC_EPM!E220</f>
        <v>—</v>
      </c>
      <c r="F227" s="10" t="str">
        <f>CALC_EPM!F220</f>
        <v>—</v>
      </c>
      <c r="G227" t="str">
        <f>CALC_EPM!G220</f>
        <v>—</v>
      </c>
      <c r="H227" s="11" t="str">
        <f>CALC_EPM!H220</f>
        <v>—</v>
      </c>
      <c r="I227" s="11" t="str">
        <f>CALC_EPM!I220</f>
        <v>—</v>
      </c>
      <c r="J227" t="str">
        <f>CALC_EPM!J220</f>
        <v>—</v>
      </c>
      <c r="K227" t="str">
        <f>CALC_EPM!K220</f>
        <v>—</v>
      </c>
      <c r="L227">
        <f>CALC_EPM!L220</f>
        <v>0</v>
      </c>
      <c r="M227">
        <f>CALC_EPM!M220</f>
        <v>0</v>
      </c>
      <c r="N227">
        <f>CALC_EPM!N220</f>
        <v>0</v>
      </c>
      <c r="O227">
        <f>CALC_EPM!O220</f>
        <v>0</v>
      </c>
      <c r="P227">
        <f>CALC_EPM!P220</f>
        <v>0</v>
      </c>
      <c r="Q227">
        <f>CALC_EPM!Q220</f>
        <v>0</v>
      </c>
      <c r="R227">
        <f>CALC_EPM!R220</f>
        <v>0</v>
      </c>
      <c r="S227">
        <f>CALC_EPM!S220</f>
        <v>0</v>
      </c>
      <c r="T227">
        <f>CALC_EPM!T220</f>
        <v>0</v>
      </c>
      <c r="U227">
        <f>CALC_EPM!U220</f>
        <v>0</v>
      </c>
    </row>
    <row r="228" spans="1:21" x14ac:dyDescent="0.2">
      <c r="A228" t="str">
        <f>IF(CALC_EPM!A221="GLOBAL",IF(CALC_EPM!C221="Total","GLOBAL",IF(CALC_EPM!C221="TotalEsp","GLOBAL_ESP",IF(CALC_EPM!C221="TotalNoEsp","GLOBAL_NOESP","GLOBAL_ASIG"))),IF(CALC_EPM!C221="Total","CURSO_TOTAL",IF(CALC_EPM!C221="TotalEsp","CURSO_ESP",IF(CALC_EPM!C221="TotalNoEsp","CURSO_NOESP","CURSO_ASIG"))))</f>
        <v>CURSO_ASIG</v>
      </c>
      <c r="B228" t="str">
        <f>CALC_EPM!A221</f>
        <v>6EPM</v>
      </c>
      <c r="C228" t="str">
        <f>CALC_EPM!B221</f>
        <v>Viola</v>
      </c>
      <c r="D228">
        <f>CALC_EPM!D221</f>
        <v>0</v>
      </c>
      <c r="E228" s="10" t="str">
        <f>CALC_EPM!E221</f>
        <v>—</v>
      </c>
      <c r="F228" s="10" t="str">
        <f>CALC_EPM!F221</f>
        <v>—</v>
      </c>
      <c r="G228" t="str">
        <f>CALC_EPM!G221</f>
        <v>—</v>
      </c>
      <c r="H228" s="11" t="str">
        <f>CALC_EPM!H221</f>
        <v>—</v>
      </c>
      <c r="I228" s="11" t="str">
        <f>CALC_EPM!I221</f>
        <v>—</v>
      </c>
      <c r="J228" t="str">
        <f>CALC_EPM!J221</f>
        <v>—</v>
      </c>
      <c r="K228" t="str">
        <f>CALC_EPM!K221</f>
        <v>—</v>
      </c>
      <c r="L228">
        <f>CALC_EPM!L221</f>
        <v>0</v>
      </c>
      <c r="M228">
        <f>CALC_EPM!M221</f>
        <v>0</v>
      </c>
      <c r="N228">
        <f>CALC_EPM!N221</f>
        <v>0</v>
      </c>
      <c r="O228">
        <f>CALC_EPM!O221</f>
        <v>0</v>
      </c>
      <c r="P228">
        <f>CALC_EPM!P221</f>
        <v>0</v>
      </c>
      <c r="Q228">
        <f>CALC_EPM!Q221</f>
        <v>0</v>
      </c>
      <c r="R228">
        <f>CALC_EPM!R221</f>
        <v>0</v>
      </c>
      <c r="S228">
        <f>CALC_EPM!S221</f>
        <v>0</v>
      </c>
      <c r="T228">
        <f>CALC_EPM!T221</f>
        <v>0</v>
      </c>
      <c r="U228">
        <f>CALC_EPM!U221</f>
        <v>0</v>
      </c>
    </row>
    <row r="229" spans="1:21" x14ac:dyDescent="0.2">
      <c r="A229" t="str">
        <f>IF(CALC_EPM!A222="GLOBAL",IF(CALC_EPM!C222="Total","GLOBAL",IF(CALC_EPM!C222="TotalEsp","GLOBAL_ESP",IF(CALC_EPM!C222="TotalNoEsp","GLOBAL_NOESP","GLOBAL_ASIG"))),IF(CALC_EPM!C222="Total","CURSO_TOTAL",IF(CALC_EPM!C222="TotalEsp","CURSO_ESP",IF(CALC_EPM!C222="TotalNoEsp","CURSO_NOESP","CURSO_ASIG"))))</f>
        <v>CURSO_ASIG</v>
      </c>
      <c r="B229" t="str">
        <f>CALC_EPM!A222</f>
        <v>6EPM</v>
      </c>
      <c r="C229" t="str">
        <f>CALC_EPM!B222</f>
        <v>Violín</v>
      </c>
      <c r="D229">
        <f>CALC_EPM!D222</f>
        <v>0</v>
      </c>
      <c r="E229" s="10" t="str">
        <f>CALC_EPM!E222</f>
        <v>—</v>
      </c>
      <c r="F229" s="10" t="str">
        <f>CALC_EPM!F222</f>
        <v>—</v>
      </c>
      <c r="G229" t="str">
        <f>CALC_EPM!G222</f>
        <v>—</v>
      </c>
      <c r="H229" s="11" t="str">
        <f>CALC_EPM!H222</f>
        <v>—</v>
      </c>
      <c r="I229" s="11" t="str">
        <f>CALC_EPM!I222</f>
        <v>—</v>
      </c>
      <c r="J229" t="str">
        <f>CALC_EPM!J222</f>
        <v>—</v>
      </c>
      <c r="K229" t="str">
        <f>CALC_EPM!K222</f>
        <v>—</v>
      </c>
      <c r="L229">
        <f>CALC_EPM!L222</f>
        <v>0</v>
      </c>
      <c r="M229">
        <f>CALC_EPM!M222</f>
        <v>0</v>
      </c>
      <c r="N229">
        <f>CALC_EPM!N222</f>
        <v>0</v>
      </c>
      <c r="O229">
        <f>CALC_EPM!O222</f>
        <v>0</v>
      </c>
      <c r="P229">
        <f>CALC_EPM!P222</f>
        <v>0</v>
      </c>
      <c r="Q229">
        <f>CALC_EPM!Q222</f>
        <v>0</v>
      </c>
      <c r="R229">
        <f>CALC_EPM!R222</f>
        <v>0</v>
      </c>
      <c r="S229">
        <f>CALC_EPM!S222</f>
        <v>0</v>
      </c>
      <c r="T229">
        <f>CALC_EPM!T222</f>
        <v>0</v>
      </c>
      <c r="U229">
        <f>CALC_EPM!U222</f>
        <v>0</v>
      </c>
    </row>
    <row r="230" spans="1:21" x14ac:dyDescent="0.2">
      <c r="A230" t="str">
        <f>IF(CALC_EPM!A223="GLOBAL",IF(CALC_EPM!C223="Total","GLOBAL",IF(CALC_EPM!C223="TotalEsp","GLOBAL_ESP",IF(CALC_EPM!C223="TotalNoEsp","GLOBAL_NOESP","GLOBAL_ASIG"))),IF(CALC_EPM!C223="Total","CURSO_TOTAL",IF(CALC_EPM!C223="TotalEsp","CURSO_ESP",IF(CALC_EPM!C223="TotalNoEsp","CURSO_NOESP","CURSO_ASIG"))))</f>
        <v>CURSO_ASIG</v>
      </c>
      <c r="B230" t="str">
        <f>CALC_EPM!A223</f>
        <v>6EPM</v>
      </c>
      <c r="C230" t="str">
        <f>CALC_EPM!B223</f>
        <v>Violoncello</v>
      </c>
      <c r="D230">
        <f>CALC_EPM!D223</f>
        <v>0</v>
      </c>
      <c r="E230" s="10" t="str">
        <f>CALC_EPM!E223</f>
        <v>—</v>
      </c>
      <c r="F230" s="10" t="str">
        <f>CALC_EPM!F223</f>
        <v>—</v>
      </c>
      <c r="G230" t="str">
        <f>CALC_EPM!G223</f>
        <v>—</v>
      </c>
      <c r="H230" s="11" t="str">
        <f>CALC_EPM!H223</f>
        <v>—</v>
      </c>
      <c r="I230" s="11" t="str">
        <f>CALC_EPM!I223</f>
        <v>—</v>
      </c>
      <c r="J230" t="str">
        <f>CALC_EPM!J223</f>
        <v>—</v>
      </c>
      <c r="K230" t="str">
        <f>CALC_EPM!K223</f>
        <v>—</v>
      </c>
      <c r="L230">
        <f>CALC_EPM!L223</f>
        <v>0</v>
      </c>
      <c r="M230">
        <f>CALC_EPM!M223</f>
        <v>0</v>
      </c>
      <c r="N230">
        <f>CALC_EPM!N223</f>
        <v>0</v>
      </c>
      <c r="O230">
        <f>CALC_EPM!O223</f>
        <v>0</v>
      </c>
      <c r="P230">
        <f>CALC_EPM!P223</f>
        <v>0</v>
      </c>
      <c r="Q230">
        <f>CALC_EPM!Q223</f>
        <v>0</v>
      </c>
      <c r="R230">
        <f>CALC_EPM!R223</f>
        <v>0</v>
      </c>
      <c r="S230">
        <f>CALC_EPM!S223</f>
        <v>0</v>
      </c>
      <c r="T230">
        <f>CALC_EPM!T223</f>
        <v>0</v>
      </c>
      <c r="U230">
        <f>CALC_EPM!U223</f>
        <v>0</v>
      </c>
    </row>
    <row r="232" spans="1:21" x14ac:dyDescent="0.2">
      <c r="A232" s="9" t="s">
        <v>151</v>
      </c>
    </row>
    <row r="233" spans="1:21" x14ac:dyDescent="0.2">
      <c r="A233" s="2" t="s">
        <v>150</v>
      </c>
      <c r="B233" s="2" t="s">
        <v>96</v>
      </c>
      <c r="C233" s="2" t="s">
        <v>76</v>
      </c>
      <c r="D233" s="2" t="s">
        <v>77</v>
      </c>
      <c r="E233" s="2" t="s">
        <v>131</v>
      </c>
      <c r="F233" s="2" t="s">
        <v>133</v>
      </c>
    </row>
    <row r="234" spans="1:21" x14ac:dyDescent="0.2">
      <c r="A234" t="s">
        <v>152</v>
      </c>
      <c r="B234" t="str">
        <f>CALC_CORRELACIONES!A2</f>
        <v>1EPM</v>
      </c>
      <c r="C234" t="str">
        <f>CALC_CORRELACIONES!B2</f>
        <v>Lenguaje Musical</v>
      </c>
      <c r="D234" t="str">
        <f>CALC_CORRELACIONES!C2</f>
        <v>Orquesta/Banda/Conjunto</v>
      </c>
      <c r="E234" t="str">
        <f>CALC_CORRELACIONES!D2</f>
        <v/>
      </c>
      <c r="F234" t="str">
        <f>CALC_CORRELACIONES!F2</f>
        <v/>
      </c>
    </row>
    <row r="235" spans="1:21" x14ac:dyDescent="0.2">
      <c r="A235" t="s">
        <v>152</v>
      </c>
      <c r="B235" t="str">
        <f>CALC_CORRELACIONES!A3</f>
        <v>1EPM</v>
      </c>
      <c r="C235" t="str">
        <f>CALC_CORRELACIONES!B3</f>
        <v>Lenguaje Musical</v>
      </c>
      <c r="D235" t="str">
        <f>CALC_CORRELACIONES!C3</f>
        <v>Conjunto</v>
      </c>
      <c r="E235" t="str">
        <f>CALC_CORRELACIONES!D3</f>
        <v/>
      </c>
      <c r="F235" t="str">
        <f>CALC_CORRELACIONES!F3</f>
        <v/>
      </c>
    </row>
    <row r="236" spans="1:21" x14ac:dyDescent="0.2">
      <c r="A236" t="s">
        <v>152</v>
      </c>
      <c r="B236" t="str">
        <f>CALC_CORRELACIONES!A4</f>
        <v>1EPM</v>
      </c>
      <c r="C236" t="str">
        <f>CALC_CORRELACIONES!B4</f>
        <v>Lenguaje Musical</v>
      </c>
      <c r="D236" t="str">
        <f>CALC_CORRELACIONES!C4</f>
        <v>Especialidad</v>
      </c>
      <c r="E236" t="str">
        <f>CALC_CORRELACIONES!D4</f>
        <v/>
      </c>
      <c r="F236" t="str">
        <f>CALC_CORRELACIONES!F4</f>
        <v/>
      </c>
    </row>
    <row r="237" spans="1:21" x14ac:dyDescent="0.2">
      <c r="A237" t="s">
        <v>152</v>
      </c>
      <c r="B237" t="str">
        <f>CALC_CORRELACIONES!A5</f>
        <v>1EPM</v>
      </c>
      <c r="C237" t="str">
        <f>CALC_CORRELACIONES!B5</f>
        <v>Orquesta/Banda/Conjunto</v>
      </c>
      <c r="D237" t="str">
        <f>CALC_CORRELACIONES!C5</f>
        <v>Conjunto</v>
      </c>
      <c r="E237" t="str">
        <f>CALC_CORRELACIONES!D5</f>
        <v/>
      </c>
      <c r="F237" t="str">
        <f>CALC_CORRELACIONES!F5</f>
        <v/>
      </c>
    </row>
    <row r="238" spans="1:21" x14ac:dyDescent="0.2">
      <c r="A238" t="s">
        <v>152</v>
      </c>
      <c r="B238" t="str">
        <f>CALC_CORRELACIONES!A6</f>
        <v>1EPM</v>
      </c>
      <c r="C238" t="str">
        <f>CALC_CORRELACIONES!B6</f>
        <v>Orquesta/Banda/Conjunto</v>
      </c>
      <c r="D238" t="str">
        <f>CALC_CORRELACIONES!C6</f>
        <v>Especialidad</v>
      </c>
      <c r="E238" t="str">
        <f>CALC_CORRELACIONES!D6</f>
        <v/>
      </c>
      <c r="F238" t="str">
        <f>CALC_CORRELACIONES!F6</f>
        <v/>
      </c>
    </row>
    <row r="239" spans="1:21" x14ac:dyDescent="0.2">
      <c r="A239" t="s">
        <v>152</v>
      </c>
      <c r="B239" t="str">
        <f>CALC_CORRELACIONES!A7</f>
        <v>1EPM</v>
      </c>
      <c r="C239" t="str">
        <f>CALC_CORRELACIONES!B7</f>
        <v>Conjunto</v>
      </c>
      <c r="D239" t="str">
        <f>CALC_CORRELACIONES!C7</f>
        <v>Especialidad</v>
      </c>
      <c r="E239" t="str">
        <f>CALC_CORRELACIONES!D7</f>
        <v/>
      </c>
      <c r="F239" t="str">
        <f>CALC_CORRELACIONES!F7</f>
        <v/>
      </c>
    </row>
    <row r="240" spans="1:21" x14ac:dyDescent="0.2">
      <c r="A240" t="s">
        <v>152</v>
      </c>
      <c r="B240" t="str">
        <f>CALC_CORRELACIONES!A8</f>
        <v>2EPM</v>
      </c>
      <c r="C240" t="str">
        <f>CALC_CORRELACIONES!B8</f>
        <v>Lenguaje Musical</v>
      </c>
      <c r="D240" t="str">
        <f>CALC_CORRELACIONES!C8</f>
        <v>Orquesta/Banda/Conjunto</v>
      </c>
      <c r="E240" t="str">
        <f>CALC_CORRELACIONES!D8</f>
        <v/>
      </c>
      <c r="F240" t="str">
        <f>CALC_CORRELACIONES!F8</f>
        <v/>
      </c>
    </row>
    <row r="241" spans="1:6" x14ac:dyDescent="0.2">
      <c r="A241" t="s">
        <v>152</v>
      </c>
      <c r="B241" t="str">
        <f>CALC_CORRELACIONES!A9</f>
        <v>2EPM</v>
      </c>
      <c r="C241" t="str">
        <f>CALC_CORRELACIONES!B9</f>
        <v>Lenguaje Musical</v>
      </c>
      <c r="D241" t="str">
        <f>CALC_CORRELACIONES!C9</f>
        <v>Conjunto</v>
      </c>
      <c r="E241" t="str">
        <f>CALC_CORRELACIONES!D9</f>
        <v/>
      </c>
      <c r="F241" t="str">
        <f>CALC_CORRELACIONES!F9</f>
        <v/>
      </c>
    </row>
    <row r="242" spans="1:6" x14ac:dyDescent="0.2">
      <c r="A242" t="s">
        <v>152</v>
      </c>
      <c r="B242" t="str">
        <f>CALC_CORRELACIONES!A10</f>
        <v>2EPM</v>
      </c>
      <c r="C242" t="str">
        <f>CALC_CORRELACIONES!B10</f>
        <v>Lenguaje Musical</v>
      </c>
      <c r="D242" t="str">
        <f>CALC_CORRELACIONES!C10</f>
        <v>Especialidad</v>
      </c>
      <c r="E242" t="str">
        <f>CALC_CORRELACIONES!D10</f>
        <v/>
      </c>
      <c r="F242" t="str">
        <f>CALC_CORRELACIONES!F10</f>
        <v/>
      </c>
    </row>
    <row r="243" spans="1:6" x14ac:dyDescent="0.2">
      <c r="A243" t="s">
        <v>152</v>
      </c>
      <c r="B243" t="str">
        <f>CALC_CORRELACIONES!A11</f>
        <v>2EPM</v>
      </c>
      <c r="C243" t="str">
        <f>CALC_CORRELACIONES!B11</f>
        <v>Orquesta/Banda/Conjunto</v>
      </c>
      <c r="D243" t="str">
        <f>CALC_CORRELACIONES!C11</f>
        <v>Conjunto</v>
      </c>
      <c r="E243" t="str">
        <f>CALC_CORRELACIONES!D11</f>
        <v/>
      </c>
      <c r="F243" t="str">
        <f>CALC_CORRELACIONES!F11</f>
        <v/>
      </c>
    </row>
    <row r="244" spans="1:6" x14ac:dyDescent="0.2">
      <c r="A244" t="s">
        <v>152</v>
      </c>
      <c r="B244" t="str">
        <f>CALC_CORRELACIONES!A12</f>
        <v>2EPM</v>
      </c>
      <c r="C244" t="str">
        <f>CALC_CORRELACIONES!B12</f>
        <v>Orquesta/Banda/Conjunto</v>
      </c>
      <c r="D244" t="str">
        <f>CALC_CORRELACIONES!C12</f>
        <v>Especialidad</v>
      </c>
      <c r="E244" t="str">
        <f>CALC_CORRELACIONES!D12</f>
        <v/>
      </c>
      <c r="F244" t="str">
        <f>CALC_CORRELACIONES!F12</f>
        <v/>
      </c>
    </row>
    <row r="245" spans="1:6" x14ac:dyDescent="0.2">
      <c r="A245" t="s">
        <v>152</v>
      </c>
      <c r="B245" t="str">
        <f>CALC_CORRELACIONES!A13</f>
        <v>2EPM</v>
      </c>
      <c r="C245" t="str">
        <f>CALC_CORRELACIONES!B13</f>
        <v>Conjunto</v>
      </c>
      <c r="D245" t="str">
        <f>CALC_CORRELACIONES!C13</f>
        <v>Especialidad</v>
      </c>
      <c r="E245" t="str">
        <f>CALC_CORRELACIONES!D13</f>
        <v/>
      </c>
      <c r="F245" t="str">
        <f>CALC_CORRELACIONES!F13</f>
        <v/>
      </c>
    </row>
    <row r="246" spans="1:6" x14ac:dyDescent="0.2">
      <c r="A246" t="s">
        <v>152</v>
      </c>
      <c r="B246" t="str">
        <f>CALC_CORRELACIONES!A14</f>
        <v>3EPM</v>
      </c>
      <c r="C246" t="str">
        <f>CALC_CORRELACIONES!B14</f>
        <v>Armonía</v>
      </c>
      <c r="D246" t="str">
        <f>CALC_CORRELACIONES!C14</f>
        <v>Orquesta/Banda/Conjunto</v>
      </c>
      <c r="E246" t="str">
        <f>CALC_CORRELACIONES!D14</f>
        <v/>
      </c>
      <c r="F246" t="str">
        <f>CALC_CORRELACIONES!F14</f>
        <v/>
      </c>
    </row>
    <row r="247" spans="1:6" x14ac:dyDescent="0.2">
      <c r="A247" t="s">
        <v>152</v>
      </c>
      <c r="B247" t="str">
        <f>CALC_CORRELACIONES!A15</f>
        <v>3EPM</v>
      </c>
      <c r="C247" t="str">
        <f>CALC_CORRELACIONES!B15</f>
        <v>Armonía</v>
      </c>
      <c r="D247" t="str">
        <f>CALC_CORRELACIONES!C15</f>
        <v>Música de Cámara</v>
      </c>
      <c r="E247" t="str">
        <f>CALC_CORRELACIONES!D15</f>
        <v/>
      </c>
      <c r="F247" t="str">
        <f>CALC_CORRELACIONES!F15</f>
        <v/>
      </c>
    </row>
    <row r="248" spans="1:6" x14ac:dyDescent="0.2">
      <c r="A248" t="s">
        <v>152</v>
      </c>
      <c r="B248" t="str">
        <f>CALC_CORRELACIONES!A16</f>
        <v>3EPM</v>
      </c>
      <c r="C248" t="str">
        <f>CALC_CORRELACIONES!B16</f>
        <v>Armonía</v>
      </c>
      <c r="D248" t="str">
        <f>CALC_CORRELACIONES!C16</f>
        <v>Especialidad</v>
      </c>
      <c r="E248" t="str">
        <f>CALC_CORRELACIONES!D16</f>
        <v/>
      </c>
      <c r="F248" t="str">
        <f>CALC_CORRELACIONES!F16</f>
        <v/>
      </c>
    </row>
    <row r="249" spans="1:6" x14ac:dyDescent="0.2">
      <c r="A249" t="s">
        <v>152</v>
      </c>
      <c r="B249" t="str">
        <f>CALC_CORRELACIONES!A17</f>
        <v>3EPM</v>
      </c>
      <c r="C249" t="str">
        <f>CALC_CORRELACIONES!B17</f>
        <v>Orquesta/Banda/Conjunto</v>
      </c>
      <c r="D249" t="str">
        <f>CALC_CORRELACIONES!C17</f>
        <v>Música de Cámara</v>
      </c>
      <c r="E249" t="str">
        <f>CALC_CORRELACIONES!D17</f>
        <v/>
      </c>
      <c r="F249" t="str">
        <f>CALC_CORRELACIONES!F17</f>
        <v/>
      </c>
    </row>
    <row r="250" spans="1:6" x14ac:dyDescent="0.2">
      <c r="A250" t="s">
        <v>152</v>
      </c>
      <c r="B250" t="str">
        <f>CALC_CORRELACIONES!A18</f>
        <v>3EPM</v>
      </c>
      <c r="C250" t="str">
        <f>CALC_CORRELACIONES!B18</f>
        <v>Orquesta/Banda/Conjunto</v>
      </c>
      <c r="D250" t="str">
        <f>CALC_CORRELACIONES!C18</f>
        <v>Especialidad</v>
      </c>
      <c r="E250" t="str">
        <f>CALC_CORRELACIONES!D18</f>
        <v/>
      </c>
      <c r="F250" t="str">
        <f>CALC_CORRELACIONES!F18</f>
        <v/>
      </c>
    </row>
    <row r="251" spans="1:6" x14ac:dyDescent="0.2">
      <c r="A251" t="s">
        <v>152</v>
      </c>
      <c r="B251" t="str">
        <f>CALC_CORRELACIONES!A19</f>
        <v>3EPM</v>
      </c>
      <c r="C251" t="str">
        <f>CALC_CORRELACIONES!B19</f>
        <v>Música de Cámara</v>
      </c>
      <c r="D251" t="str">
        <f>CALC_CORRELACIONES!C19</f>
        <v>Especialidad</v>
      </c>
      <c r="E251" t="str">
        <f>CALC_CORRELACIONES!D19</f>
        <v/>
      </c>
      <c r="F251" t="str">
        <f>CALC_CORRELACIONES!F19</f>
        <v/>
      </c>
    </row>
    <row r="252" spans="1:6" x14ac:dyDescent="0.2">
      <c r="A252" t="s">
        <v>152</v>
      </c>
      <c r="B252" t="str">
        <f>CALC_CORRELACIONES!A20</f>
        <v>4EPM</v>
      </c>
      <c r="C252" t="str">
        <f>CALC_CORRELACIONES!B20</f>
        <v>Armonía</v>
      </c>
      <c r="D252" t="str">
        <f>CALC_CORRELACIONES!C20</f>
        <v>Orquesta/Banda/Conjunto</v>
      </c>
      <c r="E252" t="str">
        <f>CALC_CORRELACIONES!D20</f>
        <v/>
      </c>
      <c r="F252" t="str">
        <f>CALC_CORRELACIONES!F20</f>
        <v/>
      </c>
    </row>
    <row r="253" spans="1:6" x14ac:dyDescent="0.2">
      <c r="A253" t="s">
        <v>152</v>
      </c>
      <c r="B253" t="str">
        <f>CALC_CORRELACIONES!A21</f>
        <v>4EPM</v>
      </c>
      <c r="C253" t="str">
        <f>CALC_CORRELACIONES!B21</f>
        <v>Armonía</v>
      </c>
      <c r="D253" t="str">
        <f>CALC_CORRELACIONES!C21</f>
        <v>Música de Cámara</v>
      </c>
      <c r="E253" t="str">
        <f>CALC_CORRELACIONES!D21</f>
        <v/>
      </c>
      <c r="F253" t="str">
        <f>CALC_CORRELACIONES!F21</f>
        <v/>
      </c>
    </row>
    <row r="254" spans="1:6" x14ac:dyDescent="0.2">
      <c r="A254" t="s">
        <v>152</v>
      </c>
      <c r="B254" t="str">
        <f>CALC_CORRELACIONES!A22</f>
        <v>4EPM</v>
      </c>
      <c r="C254" t="str">
        <f>CALC_CORRELACIONES!B22</f>
        <v>Armonía</v>
      </c>
      <c r="D254" t="str">
        <f>CALC_CORRELACIONES!C22</f>
        <v>Especialidad</v>
      </c>
      <c r="E254" t="str">
        <f>CALC_CORRELACIONES!D22</f>
        <v/>
      </c>
      <c r="F254" t="str">
        <f>CALC_CORRELACIONES!F22</f>
        <v/>
      </c>
    </row>
    <row r="255" spans="1:6" x14ac:dyDescent="0.2">
      <c r="A255" t="s">
        <v>152</v>
      </c>
      <c r="B255" t="str">
        <f>CALC_CORRELACIONES!A23</f>
        <v>4EPM</v>
      </c>
      <c r="C255" t="str">
        <f>CALC_CORRELACIONES!B23</f>
        <v>Orquesta/Banda/Conjunto</v>
      </c>
      <c r="D255" t="str">
        <f>CALC_CORRELACIONES!C23</f>
        <v>Música de Cámara</v>
      </c>
      <c r="E255" t="str">
        <f>CALC_CORRELACIONES!D23</f>
        <v/>
      </c>
      <c r="F255" t="str">
        <f>CALC_CORRELACIONES!F23</f>
        <v/>
      </c>
    </row>
    <row r="256" spans="1:6" x14ac:dyDescent="0.2">
      <c r="A256" t="s">
        <v>152</v>
      </c>
      <c r="B256" t="str">
        <f>CALC_CORRELACIONES!A24</f>
        <v>4EPM</v>
      </c>
      <c r="C256" t="str">
        <f>CALC_CORRELACIONES!B24</f>
        <v>Orquesta/Banda/Conjunto</v>
      </c>
      <c r="D256" t="str">
        <f>CALC_CORRELACIONES!C24</f>
        <v>Especialidad</v>
      </c>
      <c r="E256" t="str">
        <f>CALC_CORRELACIONES!D24</f>
        <v/>
      </c>
      <c r="F256" t="str">
        <f>CALC_CORRELACIONES!F24</f>
        <v/>
      </c>
    </row>
    <row r="257" spans="1:6" x14ac:dyDescent="0.2">
      <c r="A257" t="s">
        <v>152</v>
      </c>
      <c r="B257" t="str">
        <f>CALC_CORRELACIONES!A25</f>
        <v>4EPM</v>
      </c>
      <c r="C257" t="str">
        <f>CALC_CORRELACIONES!B25</f>
        <v>Música de Cámara</v>
      </c>
      <c r="D257" t="str">
        <f>CALC_CORRELACIONES!C25</f>
        <v>Especialidad</v>
      </c>
      <c r="E257" t="str">
        <f>CALC_CORRELACIONES!D25</f>
        <v/>
      </c>
      <c r="F257" t="str">
        <f>CALC_CORRELACIONES!F25</f>
        <v/>
      </c>
    </row>
    <row r="258" spans="1:6" x14ac:dyDescent="0.2">
      <c r="A258" t="s">
        <v>152</v>
      </c>
      <c r="B258" t="str">
        <f>CALC_CORRELACIONES!A26</f>
        <v>5EPM</v>
      </c>
      <c r="C258" t="str">
        <f>CALC_CORRELACIONES!B26</f>
        <v>Análisis</v>
      </c>
      <c r="D258" t="str">
        <f>CALC_CORRELACIONES!C26</f>
        <v>Orquesta/Banda/Conjunto</v>
      </c>
      <c r="E258" t="str">
        <f>CALC_CORRELACIONES!D26</f>
        <v/>
      </c>
      <c r="F258" t="str">
        <f>CALC_CORRELACIONES!F26</f>
        <v/>
      </c>
    </row>
    <row r="259" spans="1:6" x14ac:dyDescent="0.2">
      <c r="A259" t="s">
        <v>152</v>
      </c>
      <c r="B259" t="str">
        <f>CALC_CORRELACIONES!A27</f>
        <v>5EPM</v>
      </c>
      <c r="C259" t="str">
        <f>CALC_CORRELACIONES!B27</f>
        <v>Análisis</v>
      </c>
      <c r="D259" t="str">
        <f>CALC_CORRELACIONES!C27</f>
        <v>Música de Cámara</v>
      </c>
      <c r="E259" t="str">
        <f>CALC_CORRELACIONES!D27</f>
        <v/>
      </c>
      <c r="F259" t="str">
        <f>CALC_CORRELACIONES!F27</f>
        <v/>
      </c>
    </row>
    <row r="260" spans="1:6" x14ac:dyDescent="0.2">
      <c r="A260" t="s">
        <v>152</v>
      </c>
      <c r="B260" t="str">
        <f>CALC_CORRELACIONES!A28</f>
        <v>5EPM</v>
      </c>
      <c r="C260" t="str">
        <f>CALC_CORRELACIONES!B28</f>
        <v>Análisis</v>
      </c>
      <c r="D260" t="str">
        <f>CALC_CORRELACIONES!C28</f>
        <v>Especialidad</v>
      </c>
      <c r="E260" t="str">
        <f>CALC_CORRELACIONES!D28</f>
        <v/>
      </c>
      <c r="F260" t="str">
        <f>CALC_CORRELACIONES!F28</f>
        <v/>
      </c>
    </row>
    <row r="261" spans="1:6" x14ac:dyDescent="0.2">
      <c r="A261" t="s">
        <v>152</v>
      </c>
      <c r="B261" t="str">
        <f>CALC_CORRELACIONES!A29</f>
        <v>5EPM</v>
      </c>
      <c r="C261" t="str">
        <f>CALC_CORRELACIONES!B29</f>
        <v>Orquesta/Banda/Conjunto</v>
      </c>
      <c r="D261" t="str">
        <f>CALC_CORRELACIONES!C29</f>
        <v>Música de Cámara</v>
      </c>
      <c r="E261" t="str">
        <f>CALC_CORRELACIONES!D29</f>
        <v/>
      </c>
      <c r="F261" t="str">
        <f>CALC_CORRELACIONES!F29</f>
        <v/>
      </c>
    </row>
    <row r="262" spans="1:6" x14ac:dyDescent="0.2">
      <c r="A262" t="s">
        <v>152</v>
      </c>
      <c r="B262" t="str">
        <f>CALC_CORRELACIONES!A30</f>
        <v>5EPM</v>
      </c>
      <c r="C262" t="str">
        <f>CALC_CORRELACIONES!B30</f>
        <v>Orquesta/Banda/Conjunto</v>
      </c>
      <c r="D262" t="str">
        <f>CALC_CORRELACIONES!C30</f>
        <v>Especialidad</v>
      </c>
      <c r="E262" t="str">
        <f>CALC_CORRELACIONES!D30</f>
        <v/>
      </c>
      <c r="F262" t="str">
        <f>CALC_CORRELACIONES!F30</f>
        <v/>
      </c>
    </row>
    <row r="263" spans="1:6" x14ac:dyDescent="0.2">
      <c r="A263" t="s">
        <v>152</v>
      </c>
      <c r="B263" t="str">
        <f>CALC_CORRELACIONES!A31</f>
        <v>5EPM</v>
      </c>
      <c r="C263" t="str">
        <f>CALC_CORRELACIONES!B31</f>
        <v>Música de Cámara</v>
      </c>
      <c r="D263" t="str">
        <f>CALC_CORRELACIONES!C31</f>
        <v>Especialidad</v>
      </c>
      <c r="E263" t="str">
        <f>CALC_CORRELACIONES!D31</f>
        <v/>
      </c>
      <c r="F263" t="str">
        <f>CALC_CORRELACIONES!F31</f>
        <v/>
      </c>
    </row>
    <row r="264" spans="1:6" x14ac:dyDescent="0.2">
      <c r="A264" t="s">
        <v>152</v>
      </c>
      <c r="B264" t="str">
        <f>CALC_CORRELACIONES!A32</f>
        <v>6EPM</v>
      </c>
      <c r="C264" t="str">
        <f>CALC_CORRELACIONES!B32</f>
        <v>Análisis</v>
      </c>
      <c r="D264" t="str">
        <f>CALC_CORRELACIONES!C32</f>
        <v>Orquesta/Banda/Conjunto</v>
      </c>
      <c r="E264" t="str">
        <f>CALC_CORRELACIONES!D32</f>
        <v/>
      </c>
      <c r="F264" t="str">
        <f>CALC_CORRELACIONES!F32</f>
        <v/>
      </c>
    </row>
    <row r="265" spans="1:6" x14ac:dyDescent="0.2">
      <c r="A265" t="s">
        <v>152</v>
      </c>
      <c r="B265" t="str">
        <f>CALC_CORRELACIONES!A33</f>
        <v>6EPM</v>
      </c>
      <c r="C265" t="str">
        <f>CALC_CORRELACIONES!B33</f>
        <v>Análisis</v>
      </c>
      <c r="D265" t="str">
        <f>CALC_CORRELACIONES!C33</f>
        <v>Música de Cámara</v>
      </c>
      <c r="E265" t="str">
        <f>CALC_CORRELACIONES!D33</f>
        <v/>
      </c>
      <c r="F265" t="str">
        <f>CALC_CORRELACIONES!F33</f>
        <v/>
      </c>
    </row>
    <row r="266" spans="1:6" x14ac:dyDescent="0.2">
      <c r="A266" t="s">
        <v>152</v>
      </c>
      <c r="B266" t="str">
        <f>CALC_CORRELACIONES!A34</f>
        <v>6EPM</v>
      </c>
      <c r="C266" t="str">
        <f>CALC_CORRELACIONES!B34</f>
        <v>Análisis</v>
      </c>
      <c r="D266" t="str">
        <f>CALC_CORRELACIONES!C34</f>
        <v>Especialidad</v>
      </c>
      <c r="E266" t="str">
        <f>CALC_CORRELACIONES!D34</f>
        <v/>
      </c>
      <c r="F266" t="str">
        <f>CALC_CORRELACIONES!F34</f>
        <v/>
      </c>
    </row>
    <row r="267" spans="1:6" x14ac:dyDescent="0.2">
      <c r="A267" t="s">
        <v>152</v>
      </c>
      <c r="B267" t="str">
        <f>CALC_CORRELACIONES!A35</f>
        <v>6EPM</v>
      </c>
      <c r="C267" t="str">
        <f>CALC_CORRELACIONES!B35</f>
        <v>Orquesta/Banda/Conjunto</v>
      </c>
      <c r="D267" t="str">
        <f>CALC_CORRELACIONES!C35</f>
        <v>Música de Cámara</v>
      </c>
      <c r="E267" t="str">
        <f>CALC_CORRELACIONES!D35</f>
        <v/>
      </c>
      <c r="F267" t="str">
        <f>CALC_CORRELACIONES!F35</f>
        <v/>
      </c>
    </row>
    <row r="268" spans="1:6" x14ac:dyDescent="0.2">
      <c r="A268" t="s">
        <v>152</v>
      </c>
      <c r="B268" t="str">
        <f>CALC_CORRELACIONES!A36</f>
        <v>6EPM</v>
      </c>
      <c r="C268" t="str">
        <f>CALC_CORRELACIONES!B36</f>
        <v>Orquesta/Banda/Conjunto</v>
      </c>
      <c r="D268" t="str">
        <f>CALC_CORRELACIONES!C36</f>
        <v>Especialidad</v>
      </c>
      <c r="E268" t="str">
        <f>CALC_CORRELACIONES!D36</f>
        <v/>
      </c>
      <c r="F268" t="str">
        <f>CALC_CORRELACIONES!F36</f>
        <v/>
      </c>
    </row>
    <row r="269" spans="1:6" x14ac:dyDescent="0.2">
      <c r="A269" t="s">
        <v>152</v>
      </c>
      <c r="B269" t="str">
        <f>CALC_CORRELACIONES!A37</f>
        <v>6EPM</v>
      </c>
      <c r="C269" t="str">
        <f>CALC_CORRELACIONES!B37</f>
        <v>Música de Cámara</v>
      </c>
      <c r="D269" t="str">
        <f>CALC_CORRELACIONES!C37</f>
        <v>Especialidad</v>
      </c>
      <c r="E269" t="str">
        <f>CALC_CORRELACIONES!D37</f>
        <v/>
      </c>
      <c r="F269" t="str">
        <f>CALC_CORRELACIONES!F37</f>
        <v/>
      </c>
    </row>
    <row r="271" spans="1:6" x14ac:dyDescent="0.2">
      <c r="A271" s="9" t="s">
        <v>153</v>
      </c>
    </row>
    <row r="272" spans="1:6" x14ac:dyDescent="0.2">
      <c r="A272" s="2" t="s">
        <v>150</v>
      </c>
      <c r="B272" s="2" t="s">
        <v>2</v>
      </c>
      <c r="C272" s="2" t="s">
        <v>154</v>
      </c>
    </row>
    <row r="273" spans="1:3" x14ac:dyDescent="0.2">
      <c r="A273" t="s">
        <v>155</v>
      </c>
      <c r="B273" t="str">
        <f>CONFIG_ASIGNATURAS!B2</f>
        <v>Lenguaje Musical</v>
      </c>
      <c r="C273" t="str">
        <f>IF(CONFIG_ASIGNATURAS!E2="",CONFIG_ASIGNATURAS!D2,CONFIG_ASIGNATURAS!D2&amp;";"&amp;CONFIG_ASIGNATURAS!E2)</f>
        <v>Referencia;TeoricaTroncal</v>
      </c>
    </row>
    <row r="274" spans="1:3" x14ac:dyDescent="0.2">
      <c r="A274" t="s">
        <v>155</v>
      </c>
      <c r="B274" t="str">
        <f>CONFIG_ASIGNATURAS!B3</f>
        <v>Armonía</v>
      </c>
      <c r="C274" t="str">
        <f>IF(CONFIG_ASIGNATURAS!E3="",CONFIG_ASIGNATURAS!D3,CONFIG_ASIGNATURAS!D3&amp;";"&amp;CONFIG_ASIGNATURAS!E3)</f>
        <v>Referencia;TeoricaTroncal</v>
      </c>
    </row>
    <row r="275" spans="1:3" x14ac:dyDescent="0.2">
      <c r="A275" t="s">
        <v>155</v>
      </c>
      <c r="B275" t="str">
        <f>CONFIG_ASIGNATURAS!B4</f>
        <v>Análisis</v>
      </c>
      <c r="C275" t="str">
        <f>IF(CONFIG_ASIGNATURAS!E4="",CONFIG_ASIGNATURAS!D4,CONFIG_ASIGNATURAS!D4&amp;";"&amp;CONFIG_ASIGNATURAS!E4)</f>
        <v>Referencia;TeoricaTroncal</v>
      </c>
    </row>
    <row r="276" spans="1:3" x14ac:dyDescent="0.2">
      <c r="A276" t="s">
        <v>155</v>
      </c>
      <c r="B276" t="str">
        <f>CONFIG_ASIGNATURAS!B5</f>
        <v>Música de Cámara</v>
      </c>
      <c r="C276" t="str">
        <f>IF(CONFIG_ASIGNATURAS!E5="",CONFIG_ASIGNATURAS!D5,CONFIG_ASIGNATURAS!D5&amp;";"&amp;CONFIG_ASIGNATURAS!E5)</f>
        <v>Referencia;NoEspecialidad</v>
      </c>
    </row>
    <row r="277" spans="1:3" x14ac:dyDescent="0.2">
      <c r="A277" t="s">
        <v>155</v>
      </c>
      <c r="B277" t="str">
        <f>CONFIG_ASIGNATURAS!B6</f>
        <v>Orquesta/Banda/Conjunto</v>
      </c>
      <c r="C277" t="str">
        <f>IF(CONFIG_ASIGNATURAS!E6="",CONFIG_ASIGNATURAS!D6,CONFIG_ASIGNATURAS!D6&amp;";"&amp;CONFIG_ASIGNATURAS!E6)</f>
        <v>Referencia;NoEspecialidad</v>
      </c>
    </row>
    <row r="278" spans="1:3" x14ac:dyDescent="0.2">
      <c r="A278" t="s">
        <v>155</v>
      </c>
      <c r="B278" t="str">
        <f>CONFIG_ASIGNATURAS!B7</f>
        <v>Arpa</v>
      </c>
      <c r="C278" t="str">
        <f>IF(CONFIG_ASIGNATURAS!E7="",CONFIG_ASIGNATURAS!D7,CONFIG_ASIGNATURAS!D7&amp;";"&amp;CONFIG_ASIGNATURAS!E7)</f>
        <v>Especialidad;Cuerda</v>
      </c>
    </row>
    <row r="279" spans="1:3" x14ac:dyDescent="0.2">
      <c r="A279" t="s">
        <v>155</v>
      </c>
      <c r="B279" t="str">
        <f>CONFIG_ASIGNATURAS!B8</f>
        <v>Bajo Eléctrico</v>
      </c>
      <c r="C279" t="str">
        <f>IF(CONFIG_ASIGNATURAS!E8="",CONFIG_ASIGNATURAS!D8,CONFIG_ASIGNATURAS!D8&amp;";"&amp;CONFIG_ASIGNATURAS!E8)</f>
        <v>Especialidad;Cuerda</v>
      </c>
    </row>
    <row r="280" spans="1:3" x14ac:dyDescent="0.2">
      <c r="A280" t="s">
        <v>155</v>
      </c>
      <c r="B280" t="str">
        <f>CONFIG_ASIGNATURAS!B9</f>
        <v>Canto</v>
      </c>
      <c r="C280" t="str">
        <f>IF(CONFIG_ASIGNATURAS!E9="",CONFIG_ASIGNATURAS!D9,CONFIG_ASIGNATURAS!D9&amp;";"&amp;CONFIG_ASIGNATURAS!E9)</f>
        <v>Especialidad;LenguajeVoz</v>
      </c>
    </row>
    <row r="281" spans="1:3" x14ac:dyDescent="0.2">
      <c r="A281" t="s">
        <v>155</v>
      </c>
      <c r="B281" t="str">
        <f>CONFIG_ASIGNATURAS!B10</f>
        <v>Clarinete</v>
      </c>
      <c r="C281" t="str">
        <f>IF(CONFIG_ASIGNATURAS!E10="",CONFIG_ASIGNATURAS!D10,CONFIG_ASIGNATURAS!D10&amp;";"&amp;CONFIG_ASIGNATURAS!E10)</f>
        <v>Especialidad;Madera</v>
      </c>
    </row>
    <row r="282" spans="1:3" x14ac:dyDescent="0.2">
      <c r="A282" t="s">
        <v>155</v>
      </c>
      <c r="B282" t="str">
        <f>CONFIG_ASIGNATURAS!B11</f>
        <v>Contrabajo</v>
      </c>
      <c r="C282" t="str">
        <f>IF(CONFIG_ASIGNATURAS!E11="",CONFIG_ASIGNATURAS!D11,CONFIG_ASIGNATURAS!D11&amp;";"&amp;CONFIG_ASIGNATURAS!E11)</f>
        <v>Especialidad;Cuerda</v>
      </c>
    </row>
    <row r="283" spans="1:3" x14ac:dyDescent="0.2">
      <c r="A283" t="s">
        <v>155</v>
      </c>
      <c r="B283" t="str">
        <f>CONFIG_ASIGNATURAS!B12</f>
        <v>Dolçaina</v>
      </c>
      <c r="C283" t="str">
        <f>IF(CONFIG_ASIGNATURAS!E12="",CONFIG_ASIGNATURAS!D12,CONFIG_ASIGNATURAS!D12&amp;";"&amp;CONFIG_ASIGNATURAS!E12)</f>
        <v>Especialidad;Madera</v>
      </c>
    </row>
    <row r="284" spans="1:3" x14ac:dyDescent="0.2">
      <c r="A284" t="s">
        <v>155</v>
      </c>
      <c r="B284" t="str">
        <f>CONFIG_ASIGNATURAS!B13</f>
        <v>Fagot</v>
      </c>
      <c r="C284" t="str">
        <f>IF(CONFIG_ASIGNATURAS!E13="",CONFIG_ASIGNATURAS!D13,CONFIG_ASIGNATURAS!D13&amp;";"&amp;CONFIG_ASIGNATURAS!E13)</f>
        <v>Especialidad;Madera</v>
      </c>
    </row>
    <row r="285" spans="1:3" x14ac:dyDescent="0.2">
      <c r="A285" t="s">
        <v>155</v>
      </c>
      <c r="B285" t="str">
        <f>CONFIG_ASIGNATURAS!B14</f>
        <v>Flauta Travesera</v>
      </c>
      <c r="C285" t="str">
        <f>IF(CONFIG_ASIGNATURAS!E14="",CONFIG_ASIGNATURAS!D14,CONFIG_ASIGNATURAS!D14&amp;";"&amp;CONFIG_ASIGNATURAS!E14)</f>
        <v>Especialidad;Madera</v>
      </c>
    </row>
    <row r="286" spans="1:3" x14ac:dyDescent="0.2">
      <c r="A286" t="s">
        <v>155</v>
      </c>
      <c r="B286" t="str">
        <f>CONFIG_ASIGNATURAS!B15</f>
        <v>Guitarra</v>
      </c>
      <c r="C286" t="str">
        <f>IF(CONFIG_ASIGNATURAS!E15="",CONFIG_ASIGNATURAS!D15,CONFIG_ASIGNATURAS!D15&amp;";"&amp;CONFIG_ASIGNATURAS!E15)</f>
        <v>Especialidad;Cuerda</v>
      </c>
    </row>
    <row r="287" spans="1:3" x14ac:dyDescent="0.2">
      <c r="A287" t="s">
        <v>155</v>
      </c>
      <c r="B287" t="str">
        <f>CONFIG_ASIGNATURAS!B16</f>
        <v>Guitarra Eléctrica</v>
      </c>
      <c r="C287" t="str">
        <f>IF(CONFIG_ASIGNATURAS!E16="",CONFIG_ASIGNATURAS!D16,CONFIG_ASIGNATURAS!D16&amp;";"&amp;CONFIG_ASIGNATURAS!E16)</f>
        <v>Especialidad;Cuerda</v>
      </c>
    </row>
    <row r="288" spans="1:3" x14ac:dyDescent="0.2">
      <c r="A288" t="s">
        <v>155</v>
      </c>
      <c r="B288" t="str">
        <f>CONFIG_ASIGNATURAS!B17</f>
        <v>Oboe</v>
      </c>
      <c r="C288" t="str">
        <f>IF(CONFIG_ASIGNATURAS!E17="",CONFIG_ASIGNATURAS!D17,CONFIG_ASIGNATURAS!D17&amp;";"&amp;CONFIG_ASIGNATURAS!E17)</f>
        <v>Especialidad;Madera</v>
      </c>
    </row>
    <row r="289" spans="1:3" x14ac:dyDescent="0.2">
      <c r="A289" t="s">
        <v>155</v>
      </c>
      <c r="B289" t="str">
        <f>CONFIG_ASIGNATURAS!B18</f>
        <v>Percusión</v>
      </c>
      <c r="C289" t="str">
        <f>IF(CONFIG_ASIGNATURAS!E18="",CONFIG_ASIGNATURAS!D18,CONFIG_ASIGNATURAS!D18&amp;";"&amp;CONFIG_ASIGNATURAS!E18)</f>
        <v>Especialidad;Metal</v>
      </c>
    </row>
    <row r="290" spans="1:3" x14ac:dyDescent="0.2">
      <c r="A290" t="s">
        <v>155</v>
      </c>
      <c r="B290" t="str">
        <f>CONFIG_ASIGNATURAS!B19</f>
        <v>Piano</v>
      </c>
      <c r="C290" t="str">
        <f>IF(CONFIG_ASIGNATURAS!E19="",CONFIG_ASIGNATURAS!D19,CONFIG_ASIGNATURAS!D19&amp;";"&amp;CONFIG_ASIGNATURAS!E19)</f>
        <v>Especialidad;Tecla</v>
      </c>
    </row>
    <row r="291" spans="1:3" x14ac:dyDescent="0.2">
      <c r="A291" t="s">
        <v>155</v>
      </c>
      <c r="B291" t="str">
        <f>CONFIG_ASIGNATURAS!B20</f>
        <v>Saxofón</v>
      </c>
      <c r="C291" t="str">
        <f>IF(CONFIG_ASIGNATURAS!E20="",CONFIG_ASIGNATURAS!D20,CONFIG_ASIGNATURAS!D20&amp;";"&amp;CONFIG_ASIGNATURAS!E20)</f>
        <v>Especialidad;Madera</v>
      </c>
    </row>
    <row r="292" spans="1:3" x14ac:dyDescent="0.2">
      <c r="A292" t="s">
        <v>155</v>
      </c>
      <c r="B292" t="str">
        <f>CONFIG_ASIGNATURAS!B21</f>
        <v>Trombón</v>
      </c>
      <c r="C292" t="str">
        <f>IF(CONFIG_ASIGNATURAS!E21="",CONFIG_ASIGNATURAS!D21,CONFIG_ASIGNATURAS!D21&amp;";"&amp;CONFIG_ASIGNATURAS!E21)</f>
        <v>Especialidad;Metal</v>
      </c>
    </row>
    <row r="293" spans="1:3" x14ac:dyDescent="0.2">
      <c r="A293" t="s">
        <v>155</v>
      </c>
      <c r="B293" t="str">
        <f>CONFIG_ASIGNATURAS!B22</f>
        <v>Trompa</v>
      </c>
      <c r="C293" t="str">
        <f>IF(CONFIG_ASIGNATURAS!E22="",CONFIG_ASIGNATURAS!D22,CONFIG_ASIGNATURAS!D22&amp;";"&amp;CONFIG_ASIGNATURAS!E22)</f>
        <v>Especialidad;Metal</v>
      </c>
    </row>
    <row r="294" spans="1:3" x14ac:dyDescent="0.2">
      <c r="A294" t="s">
        <v>155</v>
      </c>
      <c r="B294" t="str">
        <f>CONFIG_ASIGNATURAS!B23</f>
        <v>Trompeta</v>
      </c>
      <c r="C294" t="str">
        <f>IF(CONFIG_ASIGNATURAS!E23="",CONFIG_ASIGNATURAS!D23,CONFIG_ASIGNATURAS!D23&amp;";"&amp;CONFIG_ASIGNATURAS!E23)</f>
        <v>Especialidad;Metal</v>
      </c>
    </row>
    <row r="295" spans="1:3" x14ac:dyDescent="0.2">
      <c r="A295" t="s">
        <v>155</v>
      </c>
      <c r="B295" t="str">
        <f>CONFIG_ASIGNATURAS!B24</f>
        <v>Tuba</v>
      </c>
      <c r="C295" t="str">
        <f>IF(CONFIG_ASIGNATURAS!E24="",CONFIG_ASIGNATURAS!D24,CONFIG_ASIGNATURAS!D24&amp;";"&amp;CONFIG_ASIGNATURAS!E24)</f>
        <v>Especialidad;Metal</v>
      </c>
    </row>
    <row r="296" spans="1:3" x14ac:dyDescent="0.2">
      <c r="A296" t="s">
        <v>155</v>
      </c>
      <c r="B296" t="str">
        <f>CONFIG_ASIGNATURAS!B25</f>
        <v>Viola</v>
      </c>
      <c r="C296" t="str">
        <f>IF(CONFIG_ASIGNATURAS!E25="",CONFIG_ASIGNATURAS!D25,CONFIG_ASIGNATURAS!D25&amp;";"&amp;CONFIG_ASIGNATURAS!E25)</f>
        <v>Especialidad;Cuerda</v>
      </c>
    </row>
    <row r="297" spans="1:3" x14ac:dyDescent="0.2">
      <c r="A297" t="s">
        <v>155</v>
      </c>
      <c r="B297" t="str">
        <f>CONFIG_ASIGNATURAS!B26</f>
        <v>Violín</v>
      </c>
      <c r="C297" t="str">
        <f>IF(CONFIG_ASIGNATURAS!E26="",CONFIG_ASIGNATURAS!D26,CONFIG_ASIGNATURAS!D26&amp;";"&amp;CONFIG_ASIGNATURAS!E26)</f>
        <v>Especialidad;Cuerda</v>
      </c>
    </row>
    <row r="298" spans="1:3" x14ac:dyDescent="0.2">
      <c r="A298" t="s">
        <v>155</v>
      </c>
      <c r="B298" t="str">
        <f>CONFIG_ASIGNATURAS!B27</f>
        <v>Violoncello</v>
      </c>
      <c r="C298" t="str">
        <f>IF(CONFIG_ASIGNATURAS!E27="",CONFIG_ASIGNATURAS!D27,CONFIG_ASIGNATURAS!D27&amp;";"&amp;CONFIG_ASIGNATURAS!E27)</f>
        <v>Especialidad;Cuerda</v>
      </c>
    </row>
    <row r="299" spans="1:3" x14ac:dyDescent="0.2">
      <c r="A299" t="s">
        <v>155</v>
      </c>
      <c r="B299" t="str">
        <f>CONFIG_ASIGNATURAS!B28</f>
        <v>Piano Complementario</v>
      </c>
      <c r="C299" t="str">
        <f>IF(CONFIG_ASIGNATURAS!E28="",CONFIG_ASIGNATURAS!D28,CONFIG_ASIGNATURAS!D28&amp;";"&amp;CONFIG_ASIGNATURAS!E28)</f>
        <v>NoEspecialidad</v>
      </c>
    </row>
    <row r="300" spans="1:3" x14ac:dyDescent="0.2">
      <c r="A300" t="s">
        <v>155</v>
      </c>
      <c r="B300" t="str">
        <f>CONFIG_ASIGNATURAS!B29</f>
        <v>Conjunto</v>
      </c>
      <c r="C300" t="str">
        <f>IF(CONFIG_ASIGNATURAS!E29="",CONFIG_ASIGNATURAS!D29,CONFIG_ASIGNATURAS!D29&amp;";"&amp;CONFIG_ASIGNATURAS!E29)</f>
        <v>NoEspecialidad</v>
      </c>
    </row>
    <row r="301" spans="1:3" x14ac:dyDescent="0.2">
      <c r="A301" t="s">
        <v>155</v>
      </c>
      <c r="B301" t="str">
        <f>CONFIG_ASIGNATURAS!B30</f>
        <v>Acompañamiento</v>
      </c>
      <c r="C301" t="str">
        <f>IF(CONFIG_ASIGNATURAS!E30="",CONFIG_ASIGNATURAS!D30,CONFIG_ASIGNATURAS!D30&amp;";"&amp;CONFIG_ASIGNATURAS!E30)</f>
        <v>NoEspecialidad</v>
      </c>
    </row>
    <row r="302" spans="1:3" x14ac:dyDescent="0.2">
      <c r="A302" t="s">
        <v>155</v>
      </c>
      <c r="B302" t="str">
        <f>CONFIG_ASIGNATURAS!B31</f>
        <v>Coro</v>
      </c>
      <c r="C302" t="str">
        <f>IF(CONFIG_ASIGNATURAS!E31="",CONFIG_ASIGNATURAS!D31,CONFIG_ASIGNATURAS!D31&amp;";"&amp;CONFIG_ASIGNATURAS!E31)</f>
        <v>NoEspecialidad</v>
      </c>
    </row>
    <row r="303" spans="1:3" x14ac:dyDescent="0.2">
      <c r="A303" t="s">
        <v>155</v>
      </c>
      <c r="B303" t="str">
        <f>CONFIG_ASIGNATURAS!B32</f>
        <v>Idioma Aplicado al Canto</v>
      </c>
      <c r="C303" t="str">
        <f>IF(CONFIG_ASIGNATURAS!E32="",CONFIG_ASIGNATURAS!D32,CONFIG_ASIGNATURAS!D32&amp;";"&amp;CONFIG_ASIGNATURAS!E32)</f>
        <v>NoEspecialidad</v>
      </c>
    </row>
    <row r="304" spans="1:3" x14ac:dyDescent="0.2">
      <c r="A304" t="s">
        <v>155</v>
      </c>
      <c r="B304" t="str">
        <f>CONFIG_ASIGNATURAS!B33</f>
        <v>Tabalet</v>
      </c>
      <c r="C304" t="str">
        <f>IF(CONFIG_ASIGNATURAS!E33="",CONFIG_ASIGNATURAS!D33,CONFIG_ASIGNATURAS!D33&amp;";"&amp;CONFIG_ASIGNATURAS!E33)</f>
        <v>NoEspecialidad</v>
      </c>
    </row>
    <row r="305" spans="1:3" x14ac:dyDescent="0.2">
      <c r="A305" t="s">
        <v>155</v>
      </c>
      <c r="B305" t="str">
        <f>CONFIG_ASIGNATURAS!B34</f>
        <v>Historia de la Música</v>
      </c>
      <c r="C305" t="str">
        <f>IF(CONFIG_ASIGNATURAS!E34="",CONFIG_ASIGNATURAS!D34,CONFIG_ASIGNATURAS!D34&amp;";"&amp;CONFIG_ASIGNATURAS!E34)</f>
        <v>NoEspecialidad</v>
      </c>
    </row>
    <row r="306" spans="1:3" x14ac:dyDescent="0.2">
      <c r="A306" t="s">
        <v>155</v>
      </c>
      <c r="B306" t="str">
        <f>CONFIG_ASIGNATURAS!B35</f>
        <v>Creatividad y Música</v>
      </c>
      <c r="C306" t="str">
        <f>IF(CONFIG_ASIGNATURAS!E35="",CONFIG_ASIGNATURAS!D35,CONFIG_ASIGNATURAS!D35&amp;";"&amp;CONFIG_ASIGNATURAS!E35)</f>
        <v>Optativas</v>
      </c>
    </row>
    <row r="307" spans="1:3" x14ac:dyDescent="0.2">
      <c r="A307" t="s">
        <v>155</v>
      </c>
      <c r="B307" t="str">
        <f>CONFIG_ASIGNATURAS!B36</f>
        <v>Cultura Audiovisual</v>
      </c>
      <c r="C307" t="str">
        <f>IF(CONFIG_ASIGNATURAS!E36="",CONFIG_ASIGNATURAS!D36,CONFIG_ASIGNATURAS!D36&amp;";"&amp;CONFIG_ASIGNATURAS!E36)</f>
        <v>Optativas</v>
      </c>
    </row>
    <row r="308" spans="1:3" x14ac:dyDescent="0.2">
      <c r="A308" t="s">
        <v>155</v>
      </c>
      <c r="B308" t="str">
        <f>CONFIG_ASIGNATURAS!B37</f>
        <v>Complemento Coral</v>
      </c>
      <c r="C308" t="str">
        <f>IF(CONFIG_ASIGNATURAS!E37="",CONFIG_ASIGNATURAS!D37,CONFIG_ASIGNATURAS!D37&amp;";"&amp;CONFIG_ASIGNATURAS!E37)</f>
        <v>Optativas</v>
      </c>
    </row>
    <row r="309" spans="1:3" x14ac:dyDescent="0.2">
      <c r="A309" t="s">
        <v>155</v>
      </c>
      <c r="B309" t="str">
        <f>CONFIG_ASIGNATURAS!B38</f>
        <v>Fundamentos de Composición</v>
      </c>
      <c r="C309" t="str">
        <f>IF(CONFIG_ASIGNATURAS!E38="",CONFIG_ASIGNATURAS!D38,CONFIG_ASIGNATURAS!D38&amp;";"&amp;CONFIG_ASIGNATURAS!E38)</f>
        <v>Optativas</v>
      </c>
    </row>
    <row r="310" spans="1:3" x14ac:dyDescent="0.2">
      <c r="A310" t="s">
        <v>155</v>
      </c>
      <c r="B310" t="str">
        <f>CONFIG_ASIGNATURAS!B39</f>
        <v>Introducción a la Pedagogía Musical</v>
      </c>
      <c r="C310" t="str">
        <f>IF(CONFIG_ASIGNATURAS!E39="",CONFIG_ASIGNATURAS!D39,CONFIG_ASIGNATURAS!D39&amp;";"&amp;CONFIG_ASIGNATURAS!E39)</f>
        <v>Optativas</v>
      </c>
    </row>
    <row r="311" spans="1:3" x14ac:dyDescent="0.2">
      <c r="A311" t="s">
        <v>155</v>
      </c>
      <c r="B311" t="str">
        <f>CONFIG_ASIGNATURAS!B40</f>
        <v>FUNDAMENTOS DE INFORMÁTICA MUSICAL Y EDICIÓN DE PARTITURAS</v>
      </c>
      <c r="C311" t="str">
        <f>IF(CONFIG_ASIGNATURAS!E40="",CONFIG_ASIGNATURAS!D40,CONFIG_ASIGNATURAS!D40&amp;";"&amp;CONFIG_ASIGNATURAS!E40)</f>
        <v>Optativas</v>
      </c>
    </row>
    <row r="312" spans="1:3" x14ac:dyDescent="0.2">
      <c r="A312" t="s">
        <v>155</v>
      </c>
      <c r="B312" t="str">
        <f>CONFIG_ASIGNATURAS!B41</f>
        <v>COMPLEMENTO PIANÍSTICO / CLAVECINÍSTICO</v>
      </c>
      <c r="C312" t="str">
        <f>IF(CONFIG_ASIGNATURAS!E41="",CONFIG_ASIGNATURAS!D41,CONFIG_ASIGNATURAS!D41&amp;";"&amp;CONFIG_ASIGNATURAS!E41)</f>
        <v>Optativas</v>
      </c>
    </row>
    <row r="313" spans="1:3" x14ac:dyDescent="0.2">
      <c r="A313" t="s">
        <v>155</v>
      </c>
      <c r="B313" t="str">
        <f>CONFIG_ASIGNATURAS!B42</f>
        <v>Estética de la Música</v>
      </c>
      <c r="C313" t="str">
        <f>IF(CONFIG_ASIGNATURAS!E42="",CONFIG_ASIGNATURAS!D42,CONFIG_ASIGNATURAS!D42&amp;";"&amp;CONFIG_ASIGNATURAS!E42)</f>
        <v>Optativas</v>
      </c>
    </row>
    <row r="314" spans="1:3" x14ac:dyDescent="0.2">
      <c r="A314" t="s">
        <v>155</v>
      </c>
      <c r="B314" t="str">
        <f>CONFIG_ASIGNATURAS!B43</f>
        <v>Improvisación y Jazz</v>
      </c>
      <c r="C314" t="str">
        <f>IF(CONFIG_ASIGNATURAS!E43="",CONFIG_ASIGNATURAS!D43,CONFIG_ASIGNATURAS!D43&amp;";"&amp;CONFIG_ASIGNATURAS!E43)</f>
        <v>Optativas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PORTADA_EPM</vt:lpstr>
      <vt:lpstr>CONFIG_ASIGNATURAS</vt:lpstr>
      <vt:lpstr>CONFIG_METADATA</vt:lpstr>
      <vt:lpstr>CONFIG_CORRELACIONES</vt:lpstr>
      <vt:lpstr>DATOS</vt:lpstr>
      <vt:lpstr>CALC_EPM</vt:lpstr>
      <vt:lpstr>DAT_CORRELACION</vt:lpstr>
      <vt:lpstr>CALC_CORRELACIONES</vt:lpstr>
      <vt:lpstr>EXPORTADOR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Luis Miralles Bono</cp:lastModifiedBy>
  <dcterms:created xsi:type="dcterms:W3CDTF">2025-12-26T11:52:12Z</dcterms:created>
  <dcterms:modified xsi:type="dcterms:W3CDTF">2025-12-28T16:27:07Z</dcterms:modified>
</cp:coreProperties>
</file>