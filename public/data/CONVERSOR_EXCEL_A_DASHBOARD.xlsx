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ORTADA" sheetId="1" r:id="rId1"/>
    <sheet name="ENTRADA" sheetId="2" r:id="rId2"/>
    <sheet name="CATALOGO" sheetId="3" r:id="rId3"/>
    <sheet name="DATOS_EEM" sheetId="4" r:id="rId4"/>
    <sheet name="DATOS_EPM" sheetId="5" r:id="rId5"/>
    <sheet name="CONTROL" sheetId="6" r:id="rId6"/>
    <sheet name="INCIDENCIAS" sheetId="7" r:id="rId7"/>
    <sheet name="PROMOCION" sheetId="8" r:id="rId8"/>
    <sheet name="FILAS" sheetId="9" state="hidden" r:id="rId9"/>
    <sheet name="ALUMNADO" sheetId="10" state="hidden" r:id="rId10"/>
  </sheets>
  <definedNames>
    <definedName name="cASIG">CATALOGO!$A$2:$A$201</definedName>
    <definedName name="cESP">CATALOGO!$C$2:$C$201</definedName>
    <definedName name="cETAPA">CATALOGO!$B$2:$B$201</definedName>
    <definedName name="eANO">INDEX(eBLOQUE,0,_xlfn.XMATCH("anoacademico_id",ENTRADA!$A$1:$AZ$1))</definedName>
    <definedName name="eAPRUEBA">INDEX(eBLOQUE,0,_xlfn.XMATCH("aprueba",ENTRADA!$A$1:$AZ$1))</definedName>
    <definedName name="eASIG">INDEX(eBLOQUE,0,_xlfn.XMATCH("co_desc",ENTRADA!$A$1:$AZ$1))</definedName>
    <definedName name="eBLOQUE">ENTRADA!$A$2:INDEX(ENTRADA!$AZ:$AZ,MAX(2,CONTROL!$B$4))</definedName>
    <definedName name="eCENTRO">INDEX(eBLOQUE,0,_xlfn.XMATCH("denominacionespecifica",ENTRADA!$A$1:$AZ$1))</definedName>
    <definedName name="eCODIGO">INDEX(eBLOQUE,0,_xlfn.XMATCH("co_codigo",ENTRADA!$A$1:$AZ$1))</definedName>
    <definedName name="eCURSO">INDEX(eBLOQUE,0,_xlfn.XMATCH("curso_cont",ENTRADA!$A$1:$AZ$1))</definedName>
    <definedName name="eCURSOMAT">INDEX(eBLOQUE,0,_xlfn.XMATCH("curso_mat",ENTRADA!$A$1:$AZ$1))</definedName>
    <definedName name="eEVAL">INDEX(eBLOQUE,0,_xlfn.XMATCH("ev_codigo",ENTRADA!$A$1:$AZ$1))</definedName>
    <definedName name="eNIA">INDEX(eBLOQUE,0,_xlfn.XMATCH("nia",ENTRADA!$A$1:$AZ$1))</definedName>
    <definedName name="eNOTA">INDEX(eBLOQUE,0,_xlfn.XMATCH("nota",ENTRADA!$A$1:$AZ$1))</definedName>
    <definedName name="ePROMOCIONA">INDEX(eBLOQUE,0,_xlfn.XMATCH("promociona",ENTRADA!$A$1:$AZ$1))</definedName>
    <definedName name="eTIPO">INDEX(eBLOQUE,0,_xlfn.XMATCH("co_tipobasico",ENTRADA!$A$1:$AZ$1))</definedName>
    <definedName name="eULTIMA">CONTROL!$B$4</definedName>
  </definedNames>
  <calcPr calcId="19102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5">
    <font>
      <sz val="11"/>
      <color rgb="FF374151"/>
      <name val="Calibri"/>
      <family val="2"/>
    </font>
    <font>
      <b/>
      <sz val="11"/>
      <color rgb="FF111827"/>
      <name val="Calibri"/>
      <family val="2"/>
    </font>
    <font>
      <sz val="24"/>
      <color rgb="FF111827"/>
      <name val="Calibri Light"/>
      <family val="2"/>
    </font>
    <font>
      <sz val="10"/>
      <color rgb="FF6B7280"/>
      <name val="Calibri"/>
      <family val="2"/>
    </font>
    <font>
      <b/>
      <sz val="11"/>
      <color rgb="FF92400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EF7E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82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11827"/>
  </sheetPr>
  <sheetViews>
    <sheetView workbookViewId="0"/>
  </sheetViews>
  <sheetFormatPr defaultRowHeight="15"/>
  <cols>
    <col min="1" max="1" width="110" customWidth="1"/>
  </cols>
  <sheetData>
    <row r="1">
      <c r="A1" s="2" t="inlineStr">
        <is>
          <t xml:space="preserve">Conversor Excel a Dashboard</t>
        </is>
      </c>
    </row>
    <row r="2">
      <c r="A2" s="5" t="inlineStr">
        <is>
          <t xml:space="preserve">De la exportación de calificaciones de fin de curso a la hoja DATOS de los dos analizadores.</t>
        </is>
      </c>
    </row>
    <row r="3">
      <c r="A3" s="3" t="inlineStr">
        <is>
          <t xml:space="preserve">Necesita Excel 365 o Excel 2021 o posterior, igual que los analizadores. En Excel 2019 o anterior las fórmulas salen como #¿NOMBRE?.</t>
        </is>
      </c>
    </row>
    <row r="4"/>
    <row r="5">
      <c r="A5" s="4" t="inlineStr">
        <is>
          <t xml:space="preserve">1 · Pega la exportación en ENTRADA</t>
        </is>
      </c>
    </row>
    <row r="6">
      <c r="A6" s="3" t="inlineStr">
        <is>
          <t xml:space="preserve">Entera, desde la celda A1, con su fila de cabeceras. Si había algo de otra vez, bórralo antes.</t>
        </is>
      </c>
    </row>
    <row r="7">
      <c r="A7" s="3" t="inlineStr">
        <is>
          <t xml:space="preserve">Las columnas se buscan por el nombre de su cabecera: da igual en qué orden vengan.</t>
        </is>
      </c>
    </row>
    <row r="8"/>
    <row r="9">
      <c r="A9" s="4" t="inlineStr">
        <is>
          <t xml:space="preserve">2 · Mira CONTROL antes de seguir</t>
        </is>
      </c>
    </row>
    <row r="10">
      <c r="A10" s="3" t="inlineStr">
        <is>
          <t xml:space="preserve">Dice cuántas filas pasan a cada etapa, cuántas se descartan y por qué, y qué asignaturas no están en el catálogo. Si «Columnas que faltan» no dice «Ninguna», para aquí.</t>
        </is>
      </c>
    </row>
    <row r="11"/>
    <row r="12">
      <c r="A12" s="4" t="inlineStr">
        <is>
          <t xml:space="preserve">3 · Copia DATOS_EEM y DATOS_EPM en sus analizadores</t>
        </is>
      </c>
    </row>
    <row r="13">
      <c r="A13" s="3" t="inlineStr">
        <is>
          <t xml:space="preserve">Selecciona la hoja desde A1 hasta la última fila, copia, y en la hoja DATOS del analizador pega SOLO LOS VALORES desde A1.</t>
        </is>
      </c>
    </row>
    <row r="14">
      <c r="A14" s="3" t="inlineStr">
        <is>
          <t xml:space="preserve">Elementales: DATOS_EEM, y en CONFIG_METADATA elige la evaluación FI.</t>
        </is>
      </c>
    </row>
    <row r="15">
      <c r="A15" s="3" t="inlineStr">
        <is>
          <t xml:space="preserve">Profesionales: DATOS_EPM, y elige OR+EX: la ordinaria con las recuperaciones de la extraordinaria encima. Es la foto definitiva del curso.</t>
        </is>
      </c>
    </row>
    <row r="16"/>
    <row r="17">
      <c r="A17" s="4" t="inlineStr">
        <is>
          <t xml:space="preserve">4 · Si INCIDENCIAS lista algo, envíala</t>
        </is>
      </c>
    </row>
    <row r="18">
      <c r="A18" s="3" t="inlineStr">
        <is>
          <t xml:space="preserve">Son las asignaturas, cursos, notas o evaluaciones que el conversor no sabe tratar: por ejemplo, una especialidad que tu centro imparte y el catálogo no tiene. La hoja no lleva datos de nadie, solo esos valores y cuántas filas afectan.</t>
        </is>
      </c>
    </row>
    <row r="19"/>
    <row r="20">
      <c r="A20" s="4" t="inlineStr">
        <is>
          <t xml:space="preserve">5 · PROMOCION: qué pasa con cada alumno</t>
        </is>
      </c>
    </row>
    <row r="21">
      <c r="A21" s="3" t="inlineStr">
        <is>
          <t xml:space="preserve">Promoción y titulación por curso, alumnado por número de suspensas, pendientes y recuperación en la extraordinaria. Se calcula aquí mismo, sin pasar por los analizadores, y son solo recuentos: ningún NIA ni ningún nombre.</t>
        </is>
      </c>
    </row>
    <row r="22"/>
    <row r="23">
      <c r="A23" s="1" t="inlineStr">
        <is>
          <t xml:space="preserve">QUÉ HACE CON LOS DATOS</t>
        </is>
      </c>
    </row>
    <row r="24">
      <c r="A24" s="3" t="inlineStr">
        <is>
          <t xml:space="preserve">Etapa: la del curso de la asignatura (…EEM o …EPM).</t>
        </is>
      </c>
    </row>
    <row r="25">
      <c r="A25" s="3" t="inlineStr">
        <is>
          <t xml:space="preserve">Curso: el de la asignatura, también en las pendientes. La Armonía de 4.º que cursa un alumno de 5.º cuenta en 4.º, con el resto de la Armonía de 4.º.</t>
        </is>
      </c>
    </row>
    <row r="26">
      <c r="A26" s="3" t="inlineStr">
        <is>
          <t xml:space="preserve">Filas sin nota: se descartan. Son sobre todo la extraordinaria de quien aprobó en la ordinaria; si pasaran, borrarían su nota de junio y contarían como un cero.</t>
        </is>
      </c>
    </row>
    <row r="27">
      <c r="A27" s="3" t="inlineStr">
        <is>
          <t xml:space="preserve">NIA: se sustituye por un número. Es el mismo para el mismo alumno dentro de este fichero, y basta para que el analizador cruce ordinaria y extraordinaria. Nombre, apellidos y sexo no pasan.</t>
        </is>
      </c>
    </row>
    <row r="28">
      <c r="A28" s="3" t="inlineStr">
        <is>
          <t xml:space="preserve">Especialidad: la exportación no la trae; es la asignatura del alumno que CATALOGO marca como especialidad. Quien tiene dos conserva sus comunes repetidas, y el analizador lo avisa.</t>
        </is>
      </c>
    </row>
    <row r="29">
      <c r="A29" s="3" t="inlineStr">
        <is>
          <t xml:space="preserve">Asignatura: con el nombre del catálogo. La que no esté pasa con el suyo, y el analizador la cuenta en «FueraDeLasCifras».</t>
        </is>
      </c>
    </row>
    <row r="30"/>
    <row r="31">
      <c r="A31" s="6" t="inlineStr">
        <is>
          <t xml:space="preserve">ANTES DE GUARDAR O COMPARTIR</t>
        </is>
      </c>
    </row>
    <row r="32">
      <c r="A32" s="3" t="inlineStr">
        <is>
          <t xml:space="preserve">ENTRADA contiene datos personales. Cuando hayas copiado las dos hojas, borra ENTRADA: el conversor vacío no guarda nada de nadie, y los analizadores solo reciben números.</t>
        </is>
      </c>
    </row>
    <row r="33">
      <c r="A33" s="3" t="inlineStr">
        <is>
          <t xml:space="preserve">CATALOGO tiene que decir lo mismo que los analizadores. Si añades una asignatura a uno de ellos, añádela aquí también, con su etapa.</t>
        </is>
      </c>
    </row>
    <row r="34"/>
    <row r="35">
      <c r="A35" s="5" t="inlineStr">
        <is>
          <t xml:space="preserve">José Luis Miralles Bono · www.jlmirall.es · Desarrollado con Claude (Anthropic)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</cols>
  <sheetData>
    <row r="1">
      <c r="A1" s="1" t="inlineStr">
        <is>
          <t xml:space="preserve">anoacademico_id</t>
        </is>
      </c>
      <c r="B1" s="1" t="inlineStr">
        <is>
          <t xml:space="preserve">codcentro</t>
        </is>
      </c>
      <c r="C1" s="1" t="inlineStr">
        <is>
          <t xml:space="preserve">denominacionespecifica</t>
        </is>
      </c>
      <c r="D1" s="1" t="inlineStr">
        <is>
          <t xml:space="preserve">codensenanza</t>
        </is>
      </c>
      <c r="E1" s="1" t="inlineStr">
        <is>
          <t xml:space="preserve">curso_mat</t>
        </is>
      </c>
      <c r="F1" s="1" t="inlineStr">
        <is>
          <t xml:space="preserve">curso_cont</t>
        </is>
      </c>
      <c r="G1" s="1" t="inlineStr">
        <is>
          <t xml:space="preserve">nombre</t>
        </is>
      </c>
      <c r="H1" s="1" t="inlineStr">
        <is>
          <t xml:space="preserve">apellido1</t>
        </is>
      </c>
      <c r="I1" s="1" t="inlineStr">
        <is>
          <t xml:space="preserve">apellido2</t>
        </is>
      </c>
      <c r="J1" s="1" t="inlineStr">
        <is>
          <t xml:space="preserve">nia</t>
        </is>
      </c>
      <c r="K1" s="1" t="inlineStr">
        <is>
          <t xml:space="preserve">sexo</t>
        </is>
      </c>
      <c r="L1" s="1" t="inlineStr">
        <is>
          <t xml:space="preserve">ev_codigo</t>
        </is>
      </c>
      <c r="M1" s="1" t="inlineStr">
        <is>
          <t xml:space="preserve">ev_abrv</t>
        </is>
      </c>
      <c r="N1" s="1" t="inlineStr">
        <is>
          <t xml:space="preserve">ev_desc</t>
        </is>
      </c>
      <c r="O1" s="1" t="inlineStr">
        <is>
          <t xml:space="preserve">ev_orden</t>
        </is>
      </c>
      <c r="P1" s="1" t="inlineStr">
        <is>
          <t xml:space="preserve">ev_obligatoria</t>
        </is>
      </c>
      <c r="Q1" s="1" t="inlineStr">
        <is>
          <t xml:space="preserve">ev_para_fct_proyecto</t>
        </is>
      </c>
      <c r="R1" s="1" t="inlineStr">
        <is>
          <t xml:space="preserve">co_codigo</t>
        </is>
      </c>
      <c r="S1" s="1" t="inlineStr">
        <is>
          <t xml:space="preserve">co_desc</t>
        </is>
      </c>
      <c r="T1" s="1" t="inlineStr">
        <is>
          <t xml:space="preserve">co_estutoria</t>
        </is>
      </c>
      <c r="U1" s="1" t="inlineStr">
        <is>
          <t xml:space="preserve">co_esproyecto</t>
        </is>
      </c>
      <c r="V1" s="1" t="inlineStr">
        <is>
          <t xml:space="preserve">co_caracter</t>
        </is>
      </c>
      <c r="W1" s="1" t="inlineStr">
        <is>
          <t xml:space="preserve">co_tipobasico</t>
        </is>
      </c>
      <c r="X1" s="1" t="inlineStr">
        <is>
          <t xml:space="preserve">co_singularidad</t>
        </is>
      </c>
      <c r="Y1" s="1" t="inlineStr">
        <is>
          <t xml:space="preserve">nota</t>
        </is>
      </c>
      <c r="Z1" s="1" t="inlineStr">
        <is>
          <t xml:space="preserve">aprueba</t>
        </is>
      </c>
      <c r="AA1" s="1" t="inlineStr">
        <is>
          <t xml:space="preserve">promociona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52" customWidth="1"/>
    <col min="2" max="2" width="8" customWidth="1"/>
    <col min="3" max="3" width="15" customWidth="1"/>
    <col min="4" max="4" width="3" customWidth="1"/>
    <col min="5" max="5" width="90" customWidth="1"/>
  </cols>
  <sheetData>
    <row r="1">
      <c r="A1" s="1" t="inlineStr">
        <is>
          <t xml:space="preserve">Asignatura</t>
        </is>
      </c>
      <c r="B1" s="1" t="inlineStr">
        <is>
          <t xml:space="preserve">Etapa</t>
        </is>
      </c>
      <c r="C1" s="1" t="inlineStr">
        <is>
          <t xml:space="preserve">EsEspecialidad</t>
        </is>
      </c>
      <c r="E1" s="1" t="inlineStr">
        <is>
          <t xml:space="preserve">CÓMO SE USA</t>
        </is>
      </c>
    </row>
    <row r="2">
      <c r="A2" s="0" t="inlineStr">
        <is>
          <t xml:space="preserve">Lenguaje Musical</t>
        </is>
      </c>
      <c r="B2" s="0" t="inlineStr">
        <is>
          <t xml:space="preserve">EEM</t>
        </is>
      </c>
      <c r="C2" s="0" t="inlineStr">
        <is>
          <t xml:space="preserve">No</t>
        </is>
      </c>
      <c r="E2" s="5" t="inlineStr">
        <is>
          <t xml:space="preserve">Es el mismo catálogo que CONFIG_ASIGNATURAS de los dos analizadores, con su etapa.</t>
        </is>
      </c>
    </row>
    <row r="3">
      <c r="A3" s="0" t="inlineStr">
        <is>
          <t xml:space="preserve">Coro</t>
        </is>
      </c>
      <c r="B3" s="0" t="inlineStr">
        <is>
          <t xml:space="preserve">EEM</t>
        </is>
      </c>
      <c r="C3" s="0" t="inlineStr">
        <is>
          <t xml:space="preserve">No</t>
        </is>
      </c>
      <c r="E3" s="5" t="inlineStr">
        <is>
          <t xml:space="preserve">Sirve para dos cosas: escribir cada asignatura con el nombre del analizador, y saber</t>
        </is>
      </c>
    </row>
    <row r="4">
      <c r="A4" s="0" t="inlineStr">
        <is>
          <t xml:space="preserve">Conjunto</t>
        </is>
      </c>
      <c r="B4" s="0" t="inlineStr">
        <is>
          <t xml:space="preserve">EEM</t>
        </is>
      </c>
      <c r="C4" s="0" t="inlineStr">
        <is>
          <t xml:space="preserve">No</t>
        </is>
      </c>
      <c r="E4" s="5" t="inlineStr">
        <is>
          <t xml:space="preserve">qué asignatura es la especialidad de cada alumno.</t>
        </is>
      </c>
    </row>
    <row r="5">
      <c r="A5" s="0" t="inlineStr">
        <is>
          <t xml:space="preserve">Acordeón</t>
        </is>
      </c>
      <c r="B5" s="0" t="inlineStr">
        <is>
          <t xml:space="preserve">EEM</t>
        </is>
      </c>
      <c r="C5" s="0" t="inlineStr">
        <is>
          <t xml:space="preserve">Sí</t>
        </is>
      </c>
      <c r="E5" s="5" t="inlineStr">
        <is>
          <t xml:space="preserve">Una asignatura nueva: en la primera fila libre, con el MISMO nombre que en el analizador,</t>
        </is>
      </c>
    </row>
    <row r="6">
      <c r="A6" s="0" t="inlineStr">
        <is>
          <t xml:space="preserve">Arpa</t>
        </is>
      </c>
      <c r="B6" s="0" t="inlineStr">
        <is>
          <t xml:space="preserve">EEM</t>
        </is>
      </c>
      <c r="C6" s="0" t="inlineStr">
        <is>
          <t xml:space="preserve">Sí</t>
        </is>
      </c>
      <c r="E6" s="5" t="inlineStr">
        <is>
          <t xml:space="preserve">su etapa (EEM o EPM) y «Sí» si es un instrumento. No hace falta ordenar nada.</t>
        </is>
      </c>
    </row>
    <row r="7">
      <c r="A7" s="0" t="inlineStr">
        <is>
          <t xml:space="preserve">Clarinete</t>
        </is>
      </c>
      <c r="B7" s="0" t="inlineStr">
        <is>
          <t xml:space="preserve">EEM</t>
        </is>
      </c>
      <c r="C7" s="0" t="inlineStr">
        <is>
          <t xml:space="preserve">Sí</t>
        </is>
      </c>
    </row>
    <row r="8">
      <c r="A8" s="0" t="inlineStr">
        <is>
          <t xml:space="preserve">Clave</t>
        </is>
      </c>
      <c r="B8" s="0" t="inlineStr">
        <is>
          <t xml:space="preserve">EEM</t>
        </is>
      </c>
      <c r="C8" s="0" t="inlineStr">
        <is>
          <t xml:space="preserve">Sí</t>
        </is>
      </c>
    </row>
    <row r="9">
      <c r="A9" s="0" t="inlineStr">
        <is>
          <t xml:space="preserve">Contrabajo</t>
        </is>
      </c>
      <c r="B9" s="0" t="inlineStr">
        <is>
          <t xml:space="preserve">EEM</t>
        </is>
      </c>
      <c r="C9" s="0" t="inlineStr">
        <is>
          <t xml:space="preserve">Sí</t>
        </is>
      </c>
    </row>
    <row r="10">
      <c r="A10" s="0" t="inlineStr">
        <is>
          <t xml:space="preserve">Dulzaina</t>
        </is>
      </c>
      <c r="B10" s="0" t="inlineStr">
        <is>
          <t xml:space="preserve">EEM</t>
        </is>
      </c>
      <c r="C10" s="0" t="inlineStr">
        <is>
          <t xml:space="preserve">Sí</t>
        </is>
      </c>
    </row>
    <row r="11">
      <c r="A11" s="0" t="inlineStr">
        <is>
          <t xml:space="preserve">Fagot</t>
        </is>
      </c>
      <c r="B11" s="0" t="inlineStr">
        <is>
          <t xml:space="preserve">EEM</t>
        </is>
      </c>
      <c r="C11" s="0" t="inlineStr">
        <is>
          <t xml:space="preserve">Sí</t>
        </is>
      </c>
    </row>
    <row r="12">
      <c r="A12" s="0" t="inlineStr">
        <is>
          <t xml:space="preserve">Flauta Travesera</t>
        </is>
      </c>
      <c r="B12" s="0" t="inlineStr">
        <is>
          <t xml:space="preserve">EEM</t>
        </is>
      </c>
      <c r="C12" s="0" t="inlineStr">
        <is>
          <t xml:space="preserve">Sí</t>
        </is>
      </c>
    </row>
    <row r="13">
      <c r="A13" s="0" t="inlineStr">
        <is>
          <t xml:space="preserve">Flauta de Pico</t>
        </is>
      </c>
      <c r="B13" s="0" t="inlineStr">
        <is>
          <t xml:space="preserve">EEM</t>
        </is>
      </c>
      <c r="C13" s="0" t="inlineStr">
        <is>
          <t xml:space="preserve">Sí</t>
        </is>
      </c>
    </row>
    <row r="14">
      <c r="A14" s="0" t="inlineStr">
        <is>
          <t xml:space="preserve">Guitarra</t>
        </is>
      </c>
      <c r="B14" s="0" t="inlineStr">
        <is>
          <t xml:space="preserve">EEM</t>
        </is>
      </c>
      <c r="C14" s="0" t="inlineStr">
        <is>
          <t xml:space="preserve">Sí</t>
        </is>
      </c>
    </row>
    <row r="15">
      <c r="A15" s="0" t="inlineStr">
        <is>
          <t xml:space="preserve">Instrumentos de Púa</t>
        </is>
      </c>
      <c r="B15" s="0" t="inlineStr">
        <is>
          <t xml:space="preserve">EEM</t>
        </is>
      </c>
      <c r="C15" s="0" t="inlineStr">
        <is>
          <t xml:space="preserve">Sí</t>
        </is>
      </c>
    </row>
    <row r="16">
      <c r="A16" s="0" t="inlineStr">
        <is>
          <t xml:space="preserve">Oboe</t>
        </is>
      </c>
      <c r="B16" s="0" t="inlineStr">
        <is>
          <t xml:space="preserve">EEM</t>
        </is>
      </c>
      <c r="C16" s="0" t="inlineStr">
        <is>
          <t xml:space="preserve">Sí</t>
        </is>
      </c>
    </row>
    <row r="17">
      <c r="A17" s="0" t="inlineStr">
        <is>
          <t xml:space="preserve">Percusión</t>
        </is>
      </c>
      <c r="B17" s="0" t="inlineStr">
        <is>
          <t xml:space="preserve">EEM</t>
        </is>
      </c>
      <c r="C17" s="0" t="inlineStr">
        <is>
          <t xml:space="preserve">Sí</t>
        </is>
      </c>
    </row>
    <row r="18">
      <c r="A18" s="0" t="inlineStr">
        <is>
          <t xml:space="preserve">Piano</t>
        </is>
      </c>
      <c r="B18" s="0" t="inlineStr">
        <is>
          <t xml:space="preserve">EEM</t>
        </is>
      </c>
      <c r="C18" s="0" t="inlineStr">
        <is>
          <t xml:space="preserve">Sí</t>
        </is>
      </c>
    </row>
    <row r="19">
      <c r="A19" s="0" t="inlineStr">
        <is>
          <t xml:space="preserve">Saxofón</t>
        </is>
      </c>
      <c r="B19" s="0" t="inlineStr">
        <is>
          <t xml:space="preserve">EEM</t>
        </is>
      </c>
      <c r="C19" s="0" t="inlineStr">
        <is>
          <t xml:space="preserve">Sí</t>
        </is>
      </c>
    </row>
    <row r="20">
      <c r="A20" s="0" t="inlineStr">
        <is>
          <t xml:space="preserve">Trombón</t>
        </is>
      </c>
      <c r="B20" s="0" t="inlineStr">
        <is>
          <t xml:space="preserve">EEM</t>
        </is>
      </c>
      <c r="C20" s="0" t="inlineStr">
        <is>
          <t xml:space="preserve">Sí</t>
        </is>
      </c>
    </row>
    <row r="21">
      <c r="A21" s="0" t="inlineStr">
        <is>
          <t xml:space="preserve">Trompa</t>
        </is>
      </c>
      <c r="B21" s="0" t="inlineStr">
        <is>
          <t xml:space="preserve">EEM</t>
        </is>
      </c>
      <c r="C21" s="0" t="inlineStr">
        <is>
          <t xml:space="preserve">Sí</t>
        </is>
      </c>
    </row>
    <row r="22">
      <c r="A22" s="0" t="inlineStr">
        <is>
          <t xml:space="preserve">Trompeta</t>
        </is>
      </c>
      <c r="B22" s="0" t="inlineStr">
        <is>
          <t xml:space="preserve">EEM</t>
        </is>
      </c>
      <c r="C22" s="0" t="inlineStr">
        <is>
          <t xml:space="preserve">Sí</t>
        </is>
      </c>
    </row>
    <row r="23">
      <c r="A23" s="0" t="inlineStr">
        <is>
          <t xml:space="preserve">Tuba</t>
        </is>
      </c>
      <c r="B23" s="0" t="inlineStr">
        <is>
          <t xml:space="preserve">EEM</t>
        </is>
      </c>
      <c r="C23" s="0" t="inlineStr">
        <is>
          <t xml:space="preserve">Sí</t>
        </is>
      </c>
    </row>
    <row r="24">
      <c r="A24" s="0" t="inlineStr">
        <is>
          <t xml:space="preserve">Viola</t>
        </is>
      </c>
      <c r="B24" s="0" t="inlineStr">
        <is>
          <t xml:space="preserve">EEM</t>
        </is>
      </c>
      <c r="C24" s="0" t="inlineStr">
        <is>
          <t xml:space="preserve">Sí</t>
        </is>
      </c>
    </row>
    <row r="25">
      <c r="A25" s="0" t="inlineStr">
        <is>
          <t xml:space="preserve">Viola de Gamba</t>
        </is>
      </c>
      <c r="B25" s="0" t="inlineStr">
        <is>
          <t xml:space="preserve">EEM</t>
        </is>
      </c>
      <c r="C25" s="0" t="inlineStr">
        <is>
          <t xml:space="preserve">Sí</t>
        </is>
      </c>
    </row>
    <row r="26">
      <c r="A26" s="0" t="inlineStr">
        <is>
          <t xml:space="preserve">Violín</t>
        </is>
      </c>
      <c r="B26" s="0" t="inlineStr">
        <is>
          <t xml:space="preserve">EEM</t>
        </is>
      </c>
      <c r="C26" s="0" t="inlineStr">
        <is>
          <t xml:space="preserve">Sí</t>
        </is>
      </c>
    </row>
    <row r="27">
      <c r="A27" s="0" t="inlineStr">
        <is>
          <t xml:space="preserve">Violoncello</t>
        </is>
      </c>
      <c r="B27" s="0" t="inlineStr">
        <is>
          <t xml:space="preserve">EEM</t>
        </is>
      </c>
      <c r="C27" s="0" t="inlineStr">
        <is>
          <t xml:space="preserve">Sí</t>
        </is>
      </c>
    </row>
    <row r="28">
      <c r="A28" s="0" t="inlineStr">
        <is>
          <t xml:space="preserve">Lenguaje Musical</t>
        </is>
      </c>
      <c r="B28" s="0" t="inlineStr">
        <is>
          <t xml:space="preserve">EPM</t>
        </is>
      </c>
      <c r="C28" s="0" t="inlineStr">
        <is>
          <t xml:space="preserve">No</t>
        </is>
      </c>
    </row>
    <row r="29">
      <c r="A29" s="0" t="inlineStr">
        <is>
          <t xml:space="preserve">Armonía</t>
        </is>
      </c>
      <c r="B29" s="0" t="inlineStr">
        <is>
          <t xml:space="preserve">EPM</t>
        </is>
      </c>
      <c r="C29" s="0" t="inlineStr">
        <is>
          <t xml:space="preserve">No</t>
        </is>
      </c>
    </row>
    <row r="30">
      <c r="A30" s="0" t="inlineStr">
        <is>
          <t xml:space="preserve">Análisis</t>
        </is>
      </c>
      <c r="B30" s="0" t="inlineStr">
        <is>
          <t xml:space="preserve">EPM</t>
        </is>
      </c>
      <c r="C30" s="0" t="inlineStr">
        <is>
          <t xml:space="preserve">No</t>
        </is>
      </c>
    </row>
    <row r="31">
      <c r="A31" s="0" t="inlineStr">
        <is>
          <t xml:space="preserve">Música de Cámara</t>
        </is>
      </c>
      <c r="B31" s="0" t="inlineStr">
        <is>
          <t xml:space="preserve">EPM</t>
        </is>
      </c>
      <c r="C31" s="0" t="inlineStr">
        <is>
          <t xml:space="preserve">No</t>
        </is>
      </c>
    </row>
    <row r="32">
      <c r="A32" s="0" t="inlineStr">
        <is>
          <t xml:space="preserve">Orquesta/Banda/Conjunto</t>
        </is>
      </c>
      <c r="B32" s="0" t="inlineStr">
        <is>
          <t xml:space="preserve">EPM</t>
        </is>
      </c>
      <c r="C32" s="0" t="inlineStr">
        <is>
          <t xml:space="preserve">No</t>
        </is>
      </c>
    </row>
    <row r="33">
      <c r="A33" s="0" t="inlineStr">
        <is>
          <t xml:space="preserve">Arpa</t>
        </is>
      </c>
      <c r="B33" s="0" t="inlineStr">
        <is>
          <t xml:space="preserve">EPM</t>
        </is>
      </c>
      <c r="C33" s="0" t="inlineStr">
        <is>
          <t xml:space="preserve">Sí</t>
        </is>
      </c>
    </row>
    <row r="34">
      <c r="A34" s="0" t="inlineStr">
        <is>
          <t xml:space="preserve">Bajo Eléctrico</t>
        </is>
      </c>
      <c r="B34" s="0" t="inlineStr">
        <is>
          <t xml:space="preserve">EPM</t>
        </is>
      </c>
      <c r="C34" s="0" t="inlineStr">
        <is>
          <t xml:space="preserve">Sí</t>
        </is>
      </c>
    </row>
    <row r="35">
      <c r="A35" s="0" t="inlineStr">
        <is>
          <t xml:space="preserve">Canto</t>
        </is>
      </c>
      <c r="B35" s="0" t="inlineStr">
        <is>
          <t xml:space="preserve">EPM</t>
        </is>
      </c>
      <c r="C35" s="0" t="inlineStr">
        <is>
          <t xml:space="preserve">Sí</t>
        </is>
      </c>
    </row>
    <row r="36">
      <c r="A36" s="0" t="inlineStr">
        <is>
          <t xml:space="preserve">Clarinete</t>
        </is>
      </c>
      <c r="B36" s="0" t="inlineStr">
        <is>
          <t xml:space="preserve">EPM</t>
        </is>
      </c>
      <c r="C36" s="0" t="inlineStr">
        <is>
          <t xml:space="preserve">Sí</t>
        </is>
      </c>
    </row>
    <row r="37">
      <c r="A37" s="0" t="inlineStr">
        <is>
          <t xml:space="preserve">Contrabajo</t>
        </is>
      </c>
      <c r="B37" s="0" t="inlineStr">
        <is>
          <t xml:space="preserve">EPM</t>
        </is>
      </c>
      <c r="C37" s="0" t="inlineStr">
        <is>
          <t xml:space="preserve">Sí</t>
        </is>
      </c>
    </row>
    <row r="38">
      <c r="A38" s="0" t="inlineStr">
        <is>
          <t xml:space="preserve">Dulzaina</t>
        </is>
      </c>
      <c r="B38" s="0" t="inlineStr">
        <is>
          <t xml:space="preserve">EPM</t>
        </is>
      </c>
      <c r="C38" s="0" t="inlineStr">
        <is>
          <t xml:space="preserve">Sí</t>
        </is>
      </c>
    </row>
    <row r="39">
      <c r="A39" s="0" t="inlineStr">
        <is>
          <t xml:space="preserve">Fagot</t>
        </is>
      </c>
      <c r="B39" s="0" t="inlineStr">
        <is>
          <t xml:space="preserve">EPM</t>
        </is>
      </c>
      <c r="C39" s="0" t="inlineStr">
        <is>
          <t xml:space="preserve">Sí</t>
        </is>
      </c>
    </row>
    <row r="40">
      <c r="A40" s="0" t="inlineStr">
        <is>
          <t xml:space="preserve">Flauta Travesera</t>
        </is>
      </c>
      <c r="B40" s="0" t="inlineStr">
        <is>
          <t xml:space="preserve">EPM</t>
        </is>
      </c>
      <c r="C40" s="0" t="inlineStr">
        <is>
          <t xml:space="preserve">Sí</t>
        </is>
      </c>
    </row>
    <row r="41">
      <c r="A41" s="0" t="inlineStr">
        <is>
          <t xml:space="preserve">Guitarra</t>
        </is>
      </c>
      <c r="B41" s="0" t="inlineStr">
        <is>
          <t xml:space="preserve">EPM</t>
        </is>
      </c>
      <c r="C41" s="0" t="inlineStr">
        <is>
          <t xml:space="preserve">Sí</t>
        </is>
      </c>
    </row>
    <row r="42">
      <c r="A42" s="0" t="inlineStr">
        <is>
          <t xml:space="preserve">Guitarra Eléctrica</t>
        </is>
      </c>
      <c r="B42" s="0" t="inlineStr">
        <is>
          <t xml:space="preserve">EPM</t>
        </is>
      </c>
      <c r="C42" s="0" t="inlineStr">
        <is>
          <t xml:space="preserve">Sí</t>
        </is>
      </c>
    </row>
    <row r="43">
      <c r="A43" s="0" t="inlineStr">
        <is>
          <t xml:space="preserve">Oboe</t>
        </is>
      </c>
      <c r="B43" s="0" t="inlineStr">
        <is>
          <t xml:space="preserve">EPM</t>
        </is>
      </c>
      <c r="C43" s="0" t="inlineStr">
        <is>
          <t xml:space="preserve">Sí</t>
        </is>
      </c>
    </row>
    <row r="44">
      <c r="A44" s="0" t="inlineStr">
        <is>
          <t xml:space="preserve">Percusión</t>
        </is>
      </c>
      <c r="B44" s="0" t="inlineStr">
        <is>
          <t xml:space="preserve">EPM</t>
        </is>
      </c>
      <c r="C44" s="0" t="inlineStr">
        <is>
          <t xml:space="preserve">Sí</t>
        </is>
      </c>
    </row>
    <row r="45">
      <c r="A45" s="0" t="inlineStr">
        <is>
          <t xml:space="preserve">Piano</t>
        </is>
      </c>
      <c r="B45" s="0" t="inlineStr">
        <is>
          <t xml:space="preserve">EPM</t>
        </is>
      </c>
      <c r="C45" s="0" t="inlineStr">
        <is>
          <t xml:space="preserve">Sí</t>
        </is>
      </c>
    </row>
    <row r="46">
      <c r="A46" s="0" t="inlineStr">
        <is>
          <t xml:space="preserve">Saxofón</t>
        </is>
      </c>
      <c r="B46" s="0" t="inlineStr">
        <is>
          <t xml:space="preserve">EPM</t>
        </is>
      </c>
      <c r="C46" s="0" t="inlineStr">
        <is>
          <t xml:space="preserve">Sí</t>
        </is>
      </c>
    </row>
    <row r="47">
      <c r="A47" s="0" t="inlineStr">
        <is>
          <t xml:space="preserve">Trombón</t>
        </is>
      </c>
      <c r="B47" s="0" t="inlineStr">
        <is>
          <t xml:space="preserve">EPM</t>
        </is>
      </c>
      <c r="C47" s="0" t="inlineStr">
        <is>
          <t xml:space="preserve">Sí</t>
        </is>
      </c>
    </row>
    <row r="48">
      <c r="A48" s="0" t="inlineStr">
        <is>
          <t xml:space="preserve">Trompa</t>
        </is>
      </c>
      <c r="B48" s="0" t="inlineStr">
        <is>
          <t xml:space="preserve">EPM</t>
        </is>
      </c>
      <c r="C48" s="0" t="inlineStr">
        <is>
          <t xml:space="preserve">Sí</t>
        </is>
      </c>
    </row>
    <row r="49">
      <c r="A49" s="0" t="inlineStr">
        <is>
          <t xml:space="preserve">Trompeta</t>
        </is>
      </c>
      <c r="B49" s="0" t="inlineStr">
        <is>
          <t xml:space="preserve">EPM</t>
        </is>
      </c>
      <c r="C49" s="0" t="inlineStr">
        <is>
          <t xml:space="preserve">Sí</t>
        </is>
      </c>
    </row>
    <row r="50">
      <c r="A50" s="0" t="inlineStr">
        <is>
          <t xml:space="preserve">Tuba</t>
        </is>
      </c>
      <c r="B50" s="0" t="inlineStr">
        <is>
          <t xml:space="preserve">EPM</t>
        </is>
      </c>
      <c r="C50" s="0" t="inlineStr">
        <is>
          <t xml:space="preserve">Sí</t>
        </is>
      </c>
    </row>
    <row r="51">
      <c r="A51" s="0" t="inlineStr">
        <is>
          <t xml:space="preserve">Viola</t>
        </is>
      </c>
      <c r="B51" s="0" t="inlineStr">
        <is>
          <t xml:space="preserve">EPM</t>
        </is>
      </c>
      <c r="C51" s="0" t="inlineStr">
        <is>
          <t xml:space="preserve">Sí</t>
        </is>
      </c>
    </row>
    <row r="52">
      <c r="A52" s="0" t="inlineStr">
        <is>
          <t xml:space="preserve">Violín</t>
        </is>
      </c>
      <c r="B52" s="0" t="inlineStr">
        <is>
          <t xml:space="preserve">EPM</t>
        </is>
      </c>
      <c r="C52" s="0" t="inlineStr">
        <is>
          <t xml:space="preserve">Sí</t>
        </is>
      </c>
    </row>
    <row r="53">
      <c r="A53" s="0" t="inlineStr">
        <is>
          <t xml:space="preserve">Violoncello</t>
        </is>
      </c>
      <c r="B53" s="0" t="inlineStr">
        <is>
          <t xml:space="preserve">EPM</t>
        </is>
      </c>
      <c r="C53" s="0" t="inlineStr">
        <is>
          <t xml:space="preserve">Sí</t>
        </is>
      </c>
    </row>
    <row r="54">
      <c r="A54" s="0" t="inlineStr">
        <is>
          <t xml:space="preserve">Piano Complementario</t>
        </is>
      </c>
      <c r="B54" s="0" t="inlineStr">
        <is>
          <t xml:space="preserve">EPM</t>
        </is>
      </c>
      <c r="C54" s="0" t="inlineStr">
        <is>
          <t xml:space="preserve">No</t>
        </is>
      </c>
    </row>
    <row r="55">
      <c r="A55" s="0" t="inlineStr">
        <is>
          <t xml:space="preserve">Conjunto</t>
        </is>
      </c>
      <c r="B55" s="0" t="inlineStr">
        <is>
          <t xml:space="preserve">EPM</t>
        </is>
      </c>
      <c r="C55" s="0" t="inlineStr">
        <is>
          <t xml:space="preserve">No</t>
        </is>
      </c>
    </row>
    <row r="56">
      <c r="A56" s="0" t="inlineStr">
        <is>
          <t xml:space="preserve">Acompañamiento</t>
        </is>
      </c>
      <c r="B56" s="0" t="inlineStr">
        <is>
          <t xml:space="preserve">EPM</t>
        </is>
      </c>
      <c r="C56" s="0" t="inlineStr">
        <is>
          <t xml:space="preserve">No</t>
        </is>
      </c>
    </row>
    <row r="57">
      <c r="A57" s="0" t="inlineStr">
        <is>
          <t xml:space="preserve">Coro</t>
        </is>
      </c>
      <c r="B57" s="0" t="inlineStr">
        <is>
          <t xml:space="preserve">EPM</t>
        </is>
      </c>
      <c r="C57" s="0" t="inlineStr">
        <is>
          <t xml:space="preserve">No</t>
        </is>
      </c>
    </row>
    <row r="58">
      <c r="A58" s="0" t="inlineStr">
        <is>
          <t xml:space="preserve">Idioma Aplicado al Canto</t>
        </is>
      </c>
      <c r="B58" s="0" t="inlineStr">
        <is>
          <t xml:space="preserve">EPM</t>
        </is>
      </c>
      <c r="C58" s="0" t="inlineStr">
        <is>
          <t xml:space="preserve">No</t>
        </is>
      </c>
    </row>
    <row r="59">
      <c r="A59" s="0" t="inlineStr">
        <is>
          <t xml:space="preserve">Tabalet</t>
        </is>
      </c>
      <c r="B59" s="0" t="inlineStr">
        <is>
          <t xml:space="preserve">EPM</t>
        </is>
      </c>
      <c r="C59" s="0" t="inlineStr">
        <is>
          <t xml:space="preserve">No</t>
        </is>
      </c>
    </row>
    <row r="60">
      <c r="A60" s="0" t="inlineStr">
        <is>
          <t xml:space="preserve">Historia de la Música</t>
        </is>
      </c>
      <c r="B60" s="0" t="inlineStr">
        <is>
          <t xml:space="preserve">EPM</t>
        </is>
      </c>
      <c r="C60" s="0" t="inlineStr">
        <is>
          <t xml:space="preserve">No</t>
        </is>
      </c>
    </row>
    <row r="61">
      <c r="A61" s="0" t="inlineStr">
        <is>
          <t xml:space="preserve">Creatividad y Música</t>
        </is>
      </c>
      <c r="B61" s="0" t="inlineStr">
        <is>
          <t xml:space="preserve">EPM</t>
        </is>
      </c>
      <c r="C61" s="0" t="inlineStr">
        <is>
          <t xml:space="preserve">No</t>
        </is>
      </c>
    </row>
    <row r="62">
      <c r="A62" s="0" t="inlineStr">
        <is>
          <t xml:space="preserve">Cultura Audiovisual</t>
        </is>
      </c>
      <c r="B62" s="0" t="inlineStr">
        <is>
          <t xml:space="preserve">EPM</t>
        </is>
      </c>
      <c r="C62" s="0" t="inlineStr">
        <is>
          <t xml:space="preserve">No</t>
        </is>
      </c>
    </row>
    <row r="63">
      <c r="A63" s="0" t="inlineStr">
        <is>
          <t xml:space="preserve">Complemento Coral</t>
        </is>
      </c>
      <c r="B63" s="0" t="inlineStr">
        <is>
          <t xml:space="preserve">EPM</t>
        </is>
      </c>
      <c r="C63" s="0" t="inlineStr">
        <is>
          <t xml:space="preserve">No</t>
        </is>
      </c>
    </row>
    <row r="64">
      <c r="A64" s="0" t="inlineStr">
        <is>
          <t xml:space="preserve">Fundamentos de Composición</t>
        </is>
      </c>
      <c r="B64" s="0" t="inlineStr">
        <is>
          <t xml:space="preserve">EPM</t>
        </is>
      </c>
      <c r="C64" s="0" t="inlineStr">
        <is>
          <t xml:space="preserve">No</t>
        </is>
      </c>
    </row>
    <row r="65">
      <c r="A65" s="0" t="inlineStr">
        <is>
          <t xml:space="preserve">Introducción a la Pedagogía Musical</t>
        </is>
      </c>
      <c r="B65" s="0" t="inlineStr">
        <is>
          <t xml:space="preserve">EPM</t>
        </is>
      </c>
      <c r="C65" s="0" t="inlineStr">
        <is>
          <t xml:space="preserve">No</t>
        </is>
      </c>
    </row>
    <row r="66">
      <c r="A66" s="0" t="inlineStr">
        <is>
          <t xml:space="preserve">Fundamentos de Informática Musical y Edición de Partituras</t>
        </is>
      </c>
      <c r="B66" s="0" t="inlineStr">
        <is>
          <t xml:space="preserve">EPM</t>
        </is>
      </c>
      <c r="C66" s="0" t="inlineStr">
        <is>
          <t xml:space="preserve">No</t>
        </is>
      </c>
    </row>
    <row r="67">
      <c r="A67" s="0" t="inlineStr">
        <is>
          <t xml:space="preserve">Complemento Pianístico / Clavecinístico</t>
        </is>
      </c>
      <c r="B67" s="0" t="inlineStr">
        <is>
          <t xml:space="preserve">EPM</t>
        </is>
      </c>
      <c r="C67" s="0" t="inlineStr">
        <is>
          <t xml:space="preserve">No</t>
        </is>
      </c>
    </row>
    <row r="68">
      <c r="A68" s="0" t="inlineStr">
        <is>
          <t xml:space="preserve">Estética de la Música</t>
        </is>
      </c>
      <c r="B68" s="0" t="inlineStr">
        <is>
          <t xml:space="preserve">EPM</t>
        </is>
      </c>
      <c r="C68" s="0" t="inlineStr">
        <is>
          <t xml:space="preserve">No</t>
        </is>
      </c>
    </row>
    <row r="69">
      <c r="A69" s="0" t="inlineStr">
        <is>
          <t xml:space="preserve">Improvisación y Jazz</t>
        </is>
      </c>
      <c r="B69" s="0" t="inlineStr">
        <is>
          <t xml:space="preserve">EPM</t>
        </is>
      </c>
      <c r="C69" s="0" t="inlineStr">
        <is>
          <t xml:space="preserve">No</t>
        </is>
      </c>
    </row>
    <row r="70">
      <c r="A70" s="5" t="inlineStr">
        <is>
          <t xml:space="preserve">↓ primera fila libre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D4ED8"/>
  </sheetPr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0" customWidth="1"/>
    <col min="3" max="3" width="10" customWidth="1"/>
    <col min="4" max="4" width="8" customWidth="1"/>
    <col min="5" max="5" width="20" customWidth="1"/>
    <col min="6" max="6" width="7" customWidth="1"/>
    <col min="7" max="7" width="11" customWidth="1"/>
    <col min="8" max="8" width="11" customWidth="1"/>
    <col min="9" max="9" width="40" customWidth="1"/>
    <col min="10" max="10" width="7" customWidth="1"/>
    <col min="11" max="11" width="13" customWidth="1"/>
    <col min="12" max="12" width="6" customWidth="1"/>
    <col min="13" max="13" width="10" customWidth="1"/>
    <col min="14" max="14" width="10" customWidth="1"/>
  </cols>
  <sheetData>
    <row r="1">
      <c r="A1" s="1" t="inlineStr">
        <is>
          <t xml:space="preserve">NIA</t>
        </is>
      </c>
      <c r="B1" s="1" t="inlineStr">
        <is>
          <t xml:space="preserve">Apellidos</t>
        </is>
      </c>
      <c r="C1" s="1" t="inlineStr">
        <is>
          <t xml:space="preserve">Nombre</t>
        </is>
      </c>
      <c r="D1" s="1" t="inlineStr">
        <is>
          <t xml:space="preserve">Curso</t>
        </is>
      </c>
      <c r="E1" s="1" t="inlineStr">
        <is>
          <t xml:space="preserve">Especialidad</t>
        </is>
      </c>
      <c r="F1" s="1" t="inlineStr">
        <is>
          <t xml:space="preserve">Repite</t>
        </is>
      </c>
      <c r="G1" s="1" t="inlineStr">
        <is>
          <t xml:space="preserve">Evaluación</t>
        </is>
      </c>
      <c r="H1" s="1" t="inlineStr">
        <is>
          <t xml:space="preserve">Código Asig</t>
        </is>
      </c>
      <c r="I1" s="1" t="inlineStr">
        <is>
          <t xml:space="preserve">Contenido</t>
        </is>
      </c>
      <c r="J1" s="1" t="inlineStr">
        <is>
          <t xml:space="preserve">Nota</t>
        </is>
      </c>
      <c r="K1" s="1" t="inlineStr">
        <is>
          <t xml:space="preserve">Nota Numérica</t>
        </is>
      </c>
      <c r="L1" s="1" t="inlineStr">
        <is>
          <t xml:space="preserve">Apto</t>
        </is>
      </c>
      <c r="M1" s="1" t="inlineStr">
        <is>
          <t xml:space="preserve">Profesor</t>
        </is>
      </c>
      <c r="N1" s="1" t="inlineStr">
        <is>
          <t xml:space="preserve">Observ.</t>
        </is>
      </c>
    </row>
    <row r="2">
      <c r="A2" s="0" cm="1">
        <f t="array" ref="A2">IF(CONTROL!$B$4&lt;2,""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Instr,IF(_xlpm.vEsEsp,_xlpm.vCanon,_xlfn.XLOOKUP(_xlpm.vClave,_xlfn._xlws.FILTER(_xlpm.vClave,_xlpm.vEsEsp,"~"),_xlfn._xlws.FILTER(_xlpm.vCanon,_xlpm.vEsEsp,""),"")),_xlpm.vId,_xlfn.XMATCH(eNIA&amp;"",_xlfn.UNIQUE(eNIA&amp;"")),_xlpm.vApto,IF(TRIM(eAPRUEBA&amp;"")="",IF(_xlpm.vNum&gt;=5,"S","N"),IF(TRIM(eAPRUEBA&amp;"")="1","S","N")),_xlpm.vTabla,CHOOSE({1,2,3,4,5,6,7,8,9,10,11,12,13,14},_xlpm.vId,"","",eCURSO,_xlpm.vInstr,"",eEVAL,eCODIGO&amp;"",_xlpm.vCanon,_xlpm.vNum,_xlpm.vNum,_xlpm.vApto,"",""),_xlfn._xlws.FILTER(_xlpm.vTabla,(_xlpm.vEt="EEM")*(_xlpm.vTexto&lt;&gt;"")*ISNUMBER(_xlpm.vNum),"")))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D4ED8"/>
  </sheetPr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0" customWidth="1"/>
    <col min="3" max="3" width="10" customWidth="1"/>
    <col min="4" max="4" width="8" customWidth="1"/>
    <col min="5" max="5" width="20" customWidth="1"/>
    <col min="6" max="6" width="7" customWidth="1"/>
    <col min="7" max="7" width="11" customWidth="1"/>
    <col min="8" max="8" width="11" customWidth="1"/>
    <col min="9" max="9" width="40" customWidth="1"/>
    <col min="10" max="10" width="7" customWidth="1"/>
    <col min="11" max="11" width="13" customWidth="1"/>
    <col min="12" max="12" width="6" customWidth="1"/>
    <col min="13" max="13" width="10" customWidth="1"/>
    <col min="14" max="14" width="10" customWidth="1"/>
  </cols>
  <sheetData>
    <row r="1">
      <c r="A1" s="1" t="inlineStr">
        <is>
          <t xml:space="preserve">NIA</t>
        </is>
      </c>
      <c r="B1" s="1" t="inlineStr">
        <is>
          <t xml:space="preserve">Apellidos</t>
        </is>
      </c>
      <c r="C1" s="1" t="inlineStr">
        <is>
          <t xml:space="preserve">Nombre</t>
        </is>
      </c>
      <c r="D1" s="1" t="inlineStr">
        <is>
          <t xml:space="preserve">Curso</t>
        </is>
      </c>
      <c r="E1" s="1" t="inlineStr">
        <is>
          <t xml:space="preserve">Especialidad</t>
        </is>
      </c>
      <c r="F1" s="1" t="inlineStr">
        <is>
          <t xml:space="preserve">Repite</t>
        </is>
      </c>
      <c r="G1" s="1" t="inlineStr">
        <is>
          <t xml:space="preserve">Evaluación</t>
        </is>
      </c>
      <c r="H1" s="1" t="inlineStr">
        <is>
          <t xml:space="preserve">Código Asig</t>
        </is>
      </c>
      <c r="I1" s="1" t="inlineStr">
        <is>
          <t xml:space="preserve">Contenido</t>
        </is>
      </c>
      <c r="J1" s="1" t="inlineStr">
        <is>
          <t xml:space="preserve">Nota</t>
        </is>
      </c>
      <c r="K1" s="1" t="inlineStr">
        <is>
          <t xml:space="preserve">Nota Numérica</t>
        </is>
      </c>
      <c r="L1" s="1" t="inlineStr">
        <is>
          <t xml:space="preserve">Apto</t>
        </is>
      </c>
      <c r="M1" s="1" t="inlineStr">
        <is>
          <t xml:space="preserve">Profesor</t>
        </is>
      </c>
      <c r="N1" s="1" t="inlineStr">
        <is>
          <t xml:space="preserve">Observ.</t>
        </is>
      </c>
    </row>
    <row r="2">
      <c r="A2" s="0" cm="1">
        <f t="array" ref="A2">IF(CONTROL!$B$4&lt;2,""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Instr,IF(_xlpm.vEsEsp,_xlpm.vCanon,_xlfn.XLOOKUP(_xlpm.vClave,_xlfn._xlws.FILTER(_xlpm.vClave,_xlpm.vEsEsp,"~"),_xlfn._xlws.FILTER(_xlpm.vCanon,_xlpm.vEsEsp,""),"")),_xlpm.vId,_xlfn.XMATCH(eNIA&amp;"",_xlfn.UNIQUE(eNIA&amp;"")),_xlpm.vApto,IF(TRIM(eAPRUEBA&amp;"")="",IF(_xlpm.vNum&gt;=5,"S","N"),IF(TRIM(eAPRUEBA&amp;"")="1","S","N")),_xlpm.vTabla,CHOOSE({1,2,3,4,5,6,7,8,9,10,11,12,13,14},_xlpm.vId,"","",eCURSO,_xlpm.vInstr,"",eEVAL,eCODIGO&amp;"",_xlpm.vCanon,_xlpm.vNum,_xlpm.vNum,_xlpm.vApto,"",""),_xlfn._xlws.FILTER(_xlpm.vTabla,(_xlpm.vEt="EPM")*(_xlpm.vTexto&lt;&gt;"")*ISNUMBER(_xlpm.vNum),""))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45309"/>
  </sheetPr>
  <sheetViews>
    <sheetView workbookViewId="0"/>
  </sheetViews>
  <sheetFormatPr defaultRowHeight="15"/>
  <cols>
    <col min="1" max="1" width="48" customWidth="1"/>
    <col min="2" max="2" width="40" customWidth="1"/>
    <col min="3" max="3" width="90" customWidth="1"/>
  </cols>
  <sheetData>
    <row r="1">
      <c r="A1" s="1" t="inlineStr">
        <is>
          <t xml:space="preserve">Comprobación</t>
        </is>
      </c>
      <c r="B1" s="1" t="inlineStr">
        <is>
          <t xml:space="preserve">Resultado</t>
        </is>
      </c>
      <c r="C1" s="1" t="inlineStr">
        <is>
          <t xml:space="preserve">Qué significa</t>
        </is>
      </c>
    </row>
    <row r="2">
      <c r="A2" s="5" t="inlineStr">
        <is>
          <t xml:space="preserve">Mira esto antes de copiar DATOS_EEM y DATOS_EPM.</t>
        </is>
      </c>
    </row>
    <row r="3">
      <c r="A3" s="4" t="inlineStr">
        <is>
          <t xml:space="preserve">Columnas que faltan en ENTRADA</t>
        </is>
      </c>
      <c r="B3" s="3" cm="1">
        <f t="array" ref="B3">_xlfn.LET(_xlpm.vC,{"nia","curso_mat","curso_cont","ev_codigo","co_codigo","co_desc","co_tipobasico","nota","aprueba"},_xlpm.vL,_xlfn.TEXTJOIN(", ",TRUE,IF(ISNA(_xlfn.XMATCH(_xlpm.vC,ENTRADA!$A$1:$AZ$1)),_xlpm.vC,"")),IF(_xlpm.vL="","Ninguna",_xlpm.vL))</f>
      </c>
      <c r="C3" s="5" t="inlineStr">
        <is>
          <t xml:space="preserve">Si falta alguna, el resto de la hoja no vale: la exportación no tiene la forma esperada.</t>
        </is>
      </c>
    </row>
    <row r="4">
      <c r="A4" s="4" t="inlineStr">
        <is>
          <t xml:space="preserve">Última fila con datos</t>
        </is>
      </c>
      <c r="B4" s="3" cm="1">
        <f t="array" ref="B4">IFERROR(LOOKUP(2,1/(INDEX(ENTRADA!$A$1:$AZ$30000,0,_xlfn.XMATCH("nia",ENTRADA!$A$1:$AZ$1))&lt;&gt;""),ROW(ENTRADA!$A$1:$A$30000)),1)</f>
      </c>
      <c r="C4" s="5" t="inlineStr">
        <is>
          <t xml:space="preserve">Hasta dónde miran las fórmulas. Se decide por la columna nia.</t>
        </is>
      </c>
    </row>
    <row r="5">
      <c r="A5" s="4" t="inlineStr">
        <is>
          <t xml:space="preserve">Filas pegadas</t>
        </is>
      </c>
      <c r="B5" s="3" cm="1">
        <f t="array" ref="B5">MAX(0,CONTROL!$B$4-1)</f>
      </c>
      <c r="C5" s="5"/>
    </row>
    <row r="6">
      <c r="A6" s="4" t="inlineStr">
        <is>
          <t xml:space="preserve">Filas de elemental</t>
        </is>
      </c>
      <c r="B6" s="3" cm="1">
        <f t="array" ref="B6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--(_xlpm.vEt="EEM"))))</f>
      </c>
      <c r="C6" s="5" t="inlineStr">
        <is>
          <t xml:space="preserve">Por el curso de la asignatura.</t>
        </is>
      </c>
    </row>
    <row r="7">
      <c r="A7" s="4" t="inlineStr">
        <is>
          <t xml:space="preserve">Filas de profesional</t>
        </is>
      </c>
      <c r="B7" s="3" cm="1">
        <f t="array" ref="B7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--(_xlpm.vEt="EPM"))))</f>
      </c>
      <c r="C7" s="5"/>
    </row>
    <row r="8">
      <c r="A8" s="4" t="inlineStr">
        <is>
          <t xml:space="preserve">Filas con un curso que no es de ninguna etapa</t>
        </is>
      </c>
      <c r="B8" s="3" cm="1">
        <f t="array" ref="B8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(_xlpm.vEt&lt;&gt;"EEM")*(_xlpm.vEt&lt;&gt;"EPM"))))</f>
      </c>
      <c r="C8" s="5" t="inlineStr">
        <is>
          <t xml:space="preserve">No pasan a ninguna hoja. Si no es cero, algún curso viene escrito de otra forma.</t>
        </is>
      </c>
    </row>
    <row r="9">
      <c r="A9" s="4" t="inlineStr">
        <is>
          <t xml:space="preserve">Filas sin nota, descartadas</t>
        </is>
      </c>
      <c r="B9" s="3" cm="1">
        <f t="array" ref="B9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--(_xlpm.vTexto=""))))</f>
      </c>
      <c r="C9" s="5" t="inlineStr">
        <is>
          <t xml:space="preserve">Casi todas son la extraordinaria de quien aprobó en la ordinaria: no se examinó.</t>
        </is>
      </c>
    </row>
    <row r="10">
      <c r="A10" s="3" t="inlineStr">
        <is>
          <t xml:space="preserve">   de ellas, de la extraordinaria</t>
        </is>
      </c>
      <c r="B10" s="3" cm="1">
        <f t="array" ref="B10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(_xlpm.vTexto="")*(eEVAL="EX"))))</f>
      </c>
      <c r="C10" s="5"/>
    </row>
    <row r="11">
      <c r="A11" s="4" t="inlineStr">
        <is>
          <t xml:space="preserve">Filas con una nota que no es un número</t>
        </is>
      </c>
      <c r="B11" s="3" cm="1">
        <f t="array" ref="B11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(_xlpm.vTexto&lt;&gt;"")*(_xlpm.vNum="?"))))</f>
      </c>
      <c r="C11" s="5" t="inlineStr">
        <is>
          <t xml:space="preserve">Tampoco pasan. Si no es cero, hay que ver qué traen.</t>
        </is>
      </c>
    </row>
    <row r="12">
      <c r="A12" s="4" t="inlineStr">
        <is>
          <t xml:space="preserve">Filas que pasan a DATOS_EEM</t>
        </is>
      </c>
      <c r="B12" s="3" cm="1">
        <f t="array" ref="B12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(_xlpm.vEt="EEM")*(_xlpm.vTexto&lt;&gt;"")*(_xlpm.vNum&lt;&gt;"?"))))</f>
      </c>
      <c r="C12" s="5" t="inlineStr">
        <is>
          <t xml:space="preserve">Se pegan en DATOS del analizador de Elementales. Evaluación: FI.</t>
        </is>
      </c>
    </row>
    <row r="13">
      <c r="A13" s="4" t="inlineStr">
        <is>
          <t xml:space="preserve">Filas que pasan a DATOS_EPM</t>
        </is>
      </c>
      <c r="B13" s="3" cm="1">
        <f t="array" ref="B13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(_xlpm.vEt="EPM")*(_xlpm.vTexto&lt;&gt;"")*(_xlpm.vNum&lt;&gt;"?"))))</f>
      </c>
      <c r="C13" s="5" t="inlineStr">
        <is>
          <t xml:space="preserve">Se pegan en DATOS del analizador de Profesionales. Evaluación: OR+EX.</t>
        </is>
      </c>
    </row>
    <row r="14">
      <c r="A14" s="4" t="inlineStr">
        <is>
          <t xml:space="preserve">Evaluaciones en elemental</t>
        </is>
      </c>
      <c r="B14" s="3" cm="1">
        <f t="array" ref="B14">IF(CONTROL!$B$4&lt;2,"—"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L,_xlfn.TEXTJOIN(" · ",TRUE,_xlfn.UNIQUE(_xlfn._xlws.FILTER(eEVAL&amp;"",_xlpm.vEt="EEM",""))),IF(_xlpm.vL="","—",_xlpm.vL)))</f>
      </c>
      <c r="C14" s="5" t="inlineStr">
        <is>
          <t xml:space="preserve">Lo esperado es FI.</t>
        </is>
      </c>
    </row>
    <row r="15">
      <c r="A15" s="4" t="inlineStr">
        <is>
          <t xml:space="preserve">Evaluaciones en profesional</t>
        </is>
      </c>
      <c r="B15" s="3" cm="1">
        <f t="array" ref="B15">IF(CONTROL!$B$4&lt;2,"—"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L,_xlfn.TEXTJOIN(" · ",TRUE,_xlfn.UNIQUE(_xlfn._xlws.FILTER(eEVAL&amp;"",_xlpm.vEt="EPM",""))),IF(_xlpm.vL="","—",_xlpm.vL)))</f>
      </c>
      <c r="C15" s="5" t="inlineStr">
        <is>
          <t xml:space="preserve">Lo esperado es OR y EX.</t>
        </is>
      </c>
    </row>
    <row r="16">
      <c r="A16" s="4" t="inlineStr">
        <is>
          <t xml:space="preserve">Pendientes</t>
        </is>
      </c>
      <c r="B16" s="3" cm="1">
        <f t="array" ref="B16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--(TRIM(eTIPO&amp;"")="Pendiente"))))</f>
      </c>
      <c r="C16" s="5" t="inlineStr">
        <is>
          <t xml:space="preserve">Cuentan en el curso de la asignatura, no en el de matrícula.</t>
        </is>
      </c>
    </row>
    <row r="17">
      <c r="A17" s="4" t="inlineStr">
        <is>
          <t xml:space="preserve">Filas cuyo curso de matrícula es de otra etapa</t>
        </is>
      </c>
      <c r="B17" s="3" cm="1">
        <f t="array" ref="B17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SUM(--(RIGHT(eCURSOMAT,3)&lt;&gt;_xlpm.vEt))))</f>
      </c>
      <c r="C17" s="5" t="inlineStr">
        <is>
          <t xml:space="preserve">Cuentan en la etapa de la asignatura.</t>
        </is>
      </c>
    </row>
    <row r="18">
      <c r="A18" s="4" t="inlineStr">
        <is>
          <t xml:space="preserve">Alumnado distinto</t>
        </is>
      </c>
      <c r="B18" s="3" cm="1">
        <f t="array" ref="B18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IFERROR(ROWS(_xlfn.UNIQUE(_xlfn._xlws.FILTER(eNIA&amp;"",eNIA&amp;""&lt;&gt;""))),0)))</f>
      </c>
      <c r="C18" s="5" t="inlineStr">
        <is>
          <t xml:space="preserve">En DATOS lleva un número correlativo en lugar del NIA.</t>
        </is>
      </c>
    </row>
    <row r="19">
      <c r="A19" s="4" t="inlineStr">
        <is>
          <t xml:space="preserve">Alumnado con dos especialidades</t>
        </is>
      </c>
      <c r="B19" s="3" cm="1">
        <f t="array" ref="B19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IFERROR(ROWS(_xlfn.UNIQUE(_xlfn._xlws.FILTER(_xlpm.vClave&amp;"|"&amp;_xlpm.vCanon,_xlpm.vEsEsp))),0)-IFERROR(ROWS(_xlfn.UNIQUE(_xlfn._xlws.FILTER(_xlpm.vClave,_xlpm.vEsEsp))),0)))</f>
      </c>
      <c r="C19" s="5" t="inlineStr">
        <is>
          <t xml:space="preserve">Sus asignaturas comunes aparecen dos veces: lo cuenta el aviso DobleEspecialidad del analizador.</t>
        </is>
      </c>
    </row>
    <row r="20">
      <c r="A20" s="4" t="inlineStr">
        <is>
          <t xml:space="preserve">Alumnado de profesional sin especialidad reconocida</t>
        </is>
      </c>
      <c r="B20" s="3" cm="1">
        <f t="array" ref="B20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IFERROR(ROWS(_xlfn.UNIQUE(_xlfn._xlws.FILTER(_xlpm.vClave,_xlpm.vEt="EPM"))),0)-IFERROR(ROWS(_xlfn.UNIQUE(_xlfn._xlws.FILTER(_xlpm.vClave,_xlpm.vEsEsp*(_xlpm.vEt="EPM")))),0)))</f>
      </c>
      <c r="C20" s="5" t="inlineStr">
        <is>
          <t xml:space="preserve">Su columna Especialidad sale vacía. Si no es cero, falta su instrumento en CATALOGO.</t>
        </is>
      </c>
    </row>
    <row r="21">
      <c r="A21" s="4" t="inlineStr">
        <is>
          <t xml:space="preserve">Asignaturas que no están en el catálogo de su etapa</t>
        </is>
      </c>
      <c r="B21" s="3" cm="1">
        <f t="array" ref="B21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IFERROR(ROWS(_xlfn.UNIQUE(_xlfn._xlws.FILTER(_xlpm.vAsig&amp;"|"&amp;_xlpm.vEt,(_xlpm.vAsig&lt;&gt;"")*((_xlpm.vEt="EEM")+(_xlpm.vEt="EPM"))*ISNA(_xlfn.XMATCH(_xlpm.vAsig&amp;"|"&amp;_xlpm.vEt,cASIG&amp;"|"&amp;cETAPA))))),0)))</f>
      </c>
      <c r="C21" s="5" t="inlineStr">
        <is>
          <t xml:space="preserve">Pasan con el nombre que traen, y el analizador las cuenta en «FueraDeLasCifras». La lista está en INCIDENCIAS.</t>
        </is>
      </c>
    </row>
    <row r="22">
      <c r="A22" s="4" t="inlineStr">
        <is>
          <t xml:space="preserve">Columnas opcionales que faltan</t>
        </is>
      </c>
      <c r="B22" s="3" cm="1">
        <f t="array" ref="B22">_xlfn.LET(_xlpm.vC,{"promociona","anoacademico_id","denominacionespecifica"},_xlpm.vL,_xlfn.TEXTJOIN(", ",TRUE,IF(ISNA(_xlfn.XMATCH(_xlpm.vC,ENTRADA!$A$1:$AZ$1)),_xlpm.vC,"")),IF(_xlpm.vL="","Ninguna",_xlpm.vL))</f>
      </c>
      <c r="C22" s="5" t="inlineStr">
        <is>
          <t xml:space="preserve">Sin «promociona», PROMOCION no puede dar decisiones de promoción; el resto de sus recuentos, sí.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91C1C"/>
  </sheetPr>
  <sheetViews>
    <sheetView workbookViewId="0"/>
  </sheetViews>
  <sheetFormatPr defaultRowHeight="15"/>
  <cols>
    <col min="1" max="1" width="30" customWidth="1"/>
    <col min="2" max="2" width="9" customWidth="1"/>
    <col min="3" max="3" width="9" customWidth="1"/>
    <col min="4" max="4" width="3" customWidth="1"/>
    <col min="5" max="5" width="30" customWidth="1"/>
    <col min="6" max="6" width="9" customWidth="1"/>
    <col min="7" max="7" width="3" customWidth="1"/>
    <col min="8" max="8" width="30" customWidth="1"/>
    <col min="9" max="9" width="9" customWidth="1"/>
    <col min="10" max="10" width="3" customWidth="1"/>
    <col min="11" max="11" width="30" customWidth="1"/>
    <col min="12" max="12" width="9" customWidth="1"/>
    <col min="13" max="13" width="9" customWidth="1"/>
    <col min="14" max="14" width="3" customWidth="1"/>
  </cols>
  <sheetData>
    <row r="1">
      <c r="A1" s="2" t="inlineStr">
        <is>
          <t xml:space="preserve">Lo que no se procesa bien</t>
        </is>
      </c>
    </row>
    <row r="2">
      <c r="A2" s="6" t="inlineStr">
        <is>
          <t xml:space="preserve">Esta hoja NO contiene datos personales: agrupa por el valor que da problemas y cuenta filas. Si hay algo distinto de «Ninguna», envíala a quien mantiene el conversor (joseluismirallesbono@gmail.com) para que se pueda incorporar.</t>
        </is>
      </c>
    </row>
    <row r="3">
      <c r="A3" s="4" t="inlineStr">
        <is>
          <t xml:space="preserve">Alumnado de profesional sin especialidad reconocida:</t>
        </is>
      </c>
      <c r="D3" s="4" cm="1">
        <f t="array" ref="D3">IF(CONTROL!$B$4&lt;2,0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IFERROR(ROWS(_xlfn.UNIQUE(_xlfn._xlws.FILTER(_xlpm.vClave,_xlpm.vEt="EPM"))),0)-IFERROR(ROWS(_xlfn.UNIQUE(_xlfn._xlws.FILTER(_xlpm.vClave,_xlpm.vEsEsp*(_xlpm.vEt="EPM")))),0)))</f>
      </c>
    </row>
    <row r="4">
      <c r="A4" s="4" t="inlineStr">
        <is>
          <t xml:space="preserve">Asignaturas que no están en el catálogo</t>
        </is>
      </c>
      <c r="E4" s="4" t="inlineStr">
        <is>
          <t xml:space="preserve">Cursos que no son de ninguna etapa</t>
        </is>
      </c>
      <c r="H4" s="4" t="inlineStr">
        <is>
          <t xml:space="preserve">Notas que no son un número</t>
        </is>
      </c>
      <c r="K4" s="4" t="inlineStr">
        <is>
          <t xml:space="preserve">Evaluaciones que no son las de fin de curso</t>
        </is>
      </c>
    </row>
    <row r="5">
      <c r="A5" s="5" t="inlineStr">
        <is>
          <t xml:space="preserve">Pasan con el nombre que traen y el analizador no las enseña: las cuenta en «FueraDeLasCifras». Si una es una especialidad, además su alumnado se queda sin especialidad.</t>
        </is>
      </c>
      <c r="E5" s="5" t="inlineStr">
        <is>
          <t xml:space="preserve">No pasan a ninguna hoja. El curso tiene que acabar en EEM o EPM (1EEM, 3EPM…).</t>
        </is>
      </c>
      <c r="H5" s="5" t="inlineStr">
        <is>
          <t xml:space="preserve">No pasan. El analizador solo entiende notas numéricas.</t>
        </is>
      </c>
      <c r="K5" s="5" t="inlineStr">
        <is>
          <t xml:space="preserve">Pasan, pero el analizador solo las cuenta si se elige esa evaluación. Lo esperado es FI en elemental, y OR y EX en profesional.</t>
        </is>
      </c>
    </row>
    <row r="6">
      <c r="A6" s="1" t="inlineStr">
        <is>
          <t xml:space="preserve">Asignatura, tal como viene</t>
        </is>
      </c>
      <c r="B6" s="1" t="inlineStr">
        <is>
          <t xml:space="preserve">Etapa</t>
        </is>
      </c>
      <c r="C6" s="1" t="inlineStr">
        <is>
          <t xml:space="preserve">Filas</t>
        </is>
      </c>
      <c r="E6" s="1" t="inlineStr">
        <is>
          <t xml:space="preserve">Curso, tal como viene</t>
        </is>
      </c>
      <c r="F6" s="1" t="inlineStr">
        <is>
          <t xml:space="preserve">Filas</t>
        </is>
      </c>
      <c r="H6" s="1" t="inlineStr">
        <is>
          <t xml:space="preserve">Nota, tal como viene</t>
        </is>
      </c>
      <c r="I6" s="1" t="inlineStr">
        <is>
          <t xml:space="preserve">Filas</t>
        </is>
      </c>
      <c r="K6" s="1" t="inlineStr">
        <is>
          <t xml:space="preserve">Evaluación</t>
        </is>
      </c>
      <c r="L6" s="1" t="inlineStr">
        <is>
          <t xml:space="preserve">Etapa</t>
        </is>
      </c>
      <c r="M6" s="1" t="inlineStr">
        <is>
          <t xml:space="preserve">Filas</t>
        </is>
      </c>
    </row>
    <row r="7">
      <c r="A7" s="0" cm="1">
        <f t="array" ref="A7">IF(CONTROL!$B$4&lt;2,"Sin datos",IFERROR(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Cond,(_xlpm.vAsig&lt;&gt;"")*((_xlpm.vEt="EEM")+(_xlpm.vEt="EPM"))*ISNA(_xlfn.XMATCH(_xlpm.vAsig&amp;"|"&amp;_xlpm.vEt,cASIG&amp;"|"&amp;cETAPA)),_xlpm.vK,_xlfn._xlws.FILTER(_xlpm.vAsig&amp;"|"&amp;_xlpm.vEt,_xlpm.vCond),_xlpm.vU,_xlfn.UNIQUE(_xlfn._xlws.FILTER(CHOOSE({1,2},_xlpm.vAsig,_xlpm.vEt),_xlpm.vCond)),_xlpm.vN,MMULT(--((INDEX(_xlpm.vU,0,1)&amp;"|"&amp;INDEX(_xlpm.vU,0,2))=TRANSPOSE(_xlpm.vK)),_xlfn.SEQUENCE(ROWS(_xlpm.vK),1,1,0)),_xlfn._xlws.SORT(CHOOSE({1,2,3},INDEX(_xlpm.vU,0,1),INDEX(_xlpm.vU,0,2),_xlpm.vN),3,-1)),"Ninguna"))</f>
      </c>
      <c r="E7" s="0" cm="1">
        <f t="array" ref="E7">IF(CONTROL!$B$4&lt;2,"Sin datos",IFERROR(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Cond,(_xlpm.vEt&lt;&gt;"EEM")*(_xlpm.vEt&lt;&gt;"EPM"),_xlpm.vK,_xlfn._xlws.FILTER(eCURSO&amp;"",_xlpm.vCond),_xlpm.vU,_xlfn.UNIQUE(_xlfn._xlws.FILTER(CHOOSE({1},eCURSO&amp;""),_xlpm.vCond)),_xlpm.vN,MMULT(--((INDEX(_xlpm.vU,0,1))=TRANSPOSE(_xlpm.vK)),_xlfn.SEQUENCE(ROWS(_xlpm.vK),1,1,0)),_xlfn._xlws.SORT(CHOOSE({1,2},INDEX(_xlpm.vU,0,1),_xlpm.vN),2,-1)),"Ninguna"))</f>
      </c>
      <c r="H7" s="0" cm="1">
        <f t="array" ref="H7">IF(CONTROL!$B$4&lt;2,"Sin datos",IFERROR(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Cond,(_xlpm.vTexto&lt;&gt;"")*(_xlpm.vNum="?"),_xlpm.vK,_xlfn._xlws.FILTER(_xlpm.vTexto,_xlpm.vCond),_xlpm.vU,_xlfn.UNIQUE(_xlfn._xlws.FILTER(CHOOSE({1},_xlpm.vTexto),_xlpm.vCond)),_xlpm.vN,MMULT(--((INDEX(_xlpm.vU,0,1))=TRANSPOSE(_xlpm.vK)),_xlfn.SEQUENCE(ROWS(_xlpm.vK),1,1,0)),_xlfn._xlws.SORT(CHOOSE({1,2},INDEX(_xlpm.vU,0,1),_xlpm.vN),2,-1)),"Ninguna"))</f>
      </c>
      <c r="K7" s="0" cm="1">
        <f t="array" ref="K7">IF(CONTROL!$B$4&lt;2,"Sin datos",IFERROR(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Cond,((_xlpm.vEt="EEM")*(eEVAL&amp;""&lt;&gt;"FI")+(_xlpm.vEt="EPM")*(eEVAL&amp;""&lt;&gt;"OR")*(eEVAL&amp;""&lt;&gt;"EX"))&gt;0,_xlpm.vK,_xlfn._xlws.FILTER(eEVAL&amp;""&amp;"|"&amp;_xlpm.vEt,_xlpm.vCond),_xlpm.vU,_xlfn.UNIQUE(_xlfn._xlws.FILTER(CHOOSE({1,2},eEVAL&amp;"",_xlpm.vEt),_xlpm.vCond)),_xlpm.vN,MMULT(--((INDEX(_xlpm.vU,0,1)&amp;"|"&amp;INDEX(_xlpm.vU,0,2))=TRANSPOSE(_xlpm.vK)),_xlfn.SEQUENCE(ROWS(_xlpm.vK),1,1,0)),_xlfn._xlws.SORT(CHOOSE({1,2,3},INDEX(_xlpm.vU,0,1),INDEX(_xlpm.vU,0,2),_xlpm.vN),3,-1)),"Ninguna"))</f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47857"/>
  </sheetPr>
  <sheetViews>
    <sheetView workbookViewId="0"/>
  </sheetViews>
  <sheetFormatPr defaultRowHeight="15"/>
  <cols>
    <col min="1" max="1" width="40" customWidth="1"/>
    <col min="2" max="2" width="14" customWidth="1"/>
    <col min="3" max="3" width="14" customWidth="1"/>
    <col min="4" max="4" width="16" customWidth="1"/>
    <col min="5" max="5" width="16" customWidth="1"/>
    <col min="6" max="6" width="14" customWidth="1"/>
    <col min="7" max="7" width="14" customWidth="1"/>
    <col min="8" max="8" width="16" customWidth="1"/>
    <col min="9" max="9" width="16" customWidth="1"/>
  </cols>
  <sheetData>
    <row r="1">
      <c r="A1" s="2" t="inlineStr">
        <is>
          <t xml:space="preserve">Promoción, titulación y resultados del alumnado</t>
        </is>
      </c>
    </row>
    <row r="2">
      <c r="A2" s="5" cm="1">
        <f t="array" ref="A2">IF(CONTROL!$B$4&lt;2,"Pega la exportación en ENTRADA",IFERROR("Año académico "&amp;INDEX(eANO,1),"")&amp;IFERROR(" · "&amp;INDEX(eCENTRO,1),""))</f>
      </c>
    </row>
    <row r="3">
      <c r="A3" s="5" t="inlineStr">
        <is>
          <t xml:space="preserve">Solo recuentos: ningún NIA, ningún nombre. Un curso que no aparece en la exportación sale como «—», no como 0.</t>
        </is>
      </c>
    </row>
    <row r="5">
      <c r="A5" s="4" t="inlineStr">
        <is>
          <t xml:space="preserve">1. Promoción por curso</t>
        </is>
      </c>
    </row>
    <row r="6">
      <c r="A6" s="5" t="inlineStr">
        <is>
          <t xml:space="preserve">Un alumno, una vez, en su curso de matrícula. Manda la decisión de la evaluación más tardía que la trae: la extraordinaria antes que la ordinaria. «Con evaluación»: al menos una nota o una decisión.</t>
        </is>
      </c>
    </row>
    <row r="7">
      <c r="A7" s="1" t="inlineStr">
        <is>
          <t xml:space="preserve">Curso</t>
        </is>
      </c>
      <c r="B7" s="1" t="inlineStr">
        <is>
          <t xml:space="preserve">Matriculados</t>
        </is>
      </c>
      <c r="C7" s="1" t="inlineStr">
        <is>
          <t xml:space="preserve">Con evaluación</t>
        </is>
      </c>
      <c r="D7" s="1" t="inlineStr">
        <is>
          <t xml:space="preserve">Promocionan</t>
        </is>
      </c>
      <c r="E7" s="1" t="inlineStr">
        <is>
          <t xml:space="preserve">No promocionan</t>
        </is>
      </c>
      <c r="F7" s="1" t="inlineStr">
        <is>
          <t xml:space="preserve">Sin decisión</t>
        </is>
      </c>
      <c r="G7" s="1" t="inlineStr">
        <is>
          <t xml:space="preserve">Sin evaluación</t>
        </is>
      </c>
      <c r="H7" s="1" t="inlineStr">
        <is>
          <t xml:space="preserve">% promociona sobre evaluados</t>
        </is>
      </c>
      <c r="I7" s="1" t="inlineStr">
        <is>
          <t xml:space="preserve">% promociona sobre matriculados</t>
        </is>
      </c>
    </row>
    <row r="8">
      <c r="A8" s="0" t="inlineStr">
        <is>
          <t xml:space="preserve">1EEM</t>
        </is>
      </c>
      <c r="B8" s="0" cm="1">
        <f t="array" ref="B8">IF(CONTROL!$B$4&lt;2,"—",IFERROR(_xlfn.LET(_xlpm.vC,(INDEX(_xlfn.ANCHORARRAY(ALUMNADO!$A$2),0,2)="1EEM"),_xlpm.vN,SUM(--(_xlpm.vC)),IF(_xlpm.vN=0,"—",_xlpm.vN)),"—"))</f>
      </c>
      <c r="C8" s="0" cm="1">
        <f t="array" ref="C8">IF(CONTROL!$B$4&lt;2,"—",IFERROR(_xlfn.LET(_xlpm.vC,(INDEX(_xlfn.ANCHORARRAY(ALUMNADO!$A$2),0,2)="1EEM"),_xlpm.vN,SUM(--(_xlpm.vC)),IF(_xlpm.vN=0,"—",SUM(_xlpm.vC*(INDEX(_xlfn.ANCHORARRAY(ALUMNADO!$A$2),0,8)="Con evaluación")))),"—"))</f>
      </c>
      <c r="D8" s="0" cm="1">
        <f t="array" ref="D8">IF(CONTROL!$B$4&lt;2,"—",IFERROR(_xlfn.LET(_xlpm.vC,(INDEX(_xlfn.ANCHORARRAY(ALUMNADO!$A$2),0,2)="1EEM"),_xlpm.vN,SUM(--(_xlpm.vC)),IF(_xlpm.vN=0,"—",IF(SUM(_xlpm.vC*(INDEX(_xlfn.ANCHORARRAY(ALUMNADO!$A$2),0,6)&lt;&gt;""))=0,"—",SUM(_xlpm.vC*(INDEX(_xlfn.ANCHORARRAY(ALUMNADO!$A$2),0,7)="Promociona"))))),"—"))</f>
      </c>
      <c r="E8" s="0" cm="1">
        <f t="array" ref="E8">IF(CONTROL!$B$4&lt;2,"—",IFERROR(_xlfn.LET(_xlpm.vC,(INDEX(_xlfn.ANCHORARRAY(ALUMNADO!$A$2),0,2)="1EEM"),_xlpm.vN,SUM(--(_xlpm.vC)),IF(_xlpm.vN=0,"—",IF(SUM(_xlpm.vC*(INDEX(_xlfn.ANCHORARRAY(ALUMNADO!$A$2),0,6)&lt;&gt;""))=0,"—",SUM(_xlpm.vC*(INDEX(_xlfn.ANCHORARRAY(ALUMNADO!$A$2),0,7)="No promociona"))))),"—"))</f>
      </c>
      <c r="F8" s="0" cm="1">
        <f t="array" ref="F8">IF(CONTROL!$B$4&lt;2,"—",IFERROR(_xlfn.LET(_xlpm.vC,(INDEX(_xlfn.ANCHORARRAY(ALUMNADO!$A$2),0,2)="1EEM"),_xlpm.vN,SUM(--(_xlpm.vC)),IF(_xlpm.vN=0,"—",SUM(_xlpm.vC*(INDEX(_xlfn.ANCHORARRAY(ALUMNADO!$A$2),0,8)="Con evaluación")*(INDEX(_xlfn.ANCHORARRAY(ALUMNADO!$A$2),0,7)="Sin decisión")))),"—"))</f>
      </c>
      <c r="G8" s="0" cm="1">
        <f t="array" ref="G8">IF(CONTROL!$B$4&lt;2,"—",IFERROR(_xlfn.LET(_xlpm.vC,(INDEX(_xlfn.ANCHORARRAY(ALUMNADO!$A$2),0,2)="1EEM"),_xlpm.vN,SUM(--(_xlpm.vC)),IF(_xlpm.vN=0,"—",SUM(_xlpm.vC*(INDEX(_xlfn.ANCHORARRAY(ALUMNADO!$A$2),0,8)="Sin evaluación")))),"—"))</f>
      </c>
      <c r="H8" s="7" cm="1">
        <f t="array" ref="H8">IF(CONTROL!$B$4&lt;2,"—",IFERROR(_xlfn.LET(_xlpm.vC,(INDEX(_xlfn.ANCHORARRAY(ALUMNADO!$A$2),0,2)="1EE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8" s="7" cm="1">
        <f t="array" ref="I8">IF(CONTROL!$B$4&lt;2,"—",IFERROR(_xlfn.LET(_xlpm.vC,(INDEX(_xlfn.ANCHORARRAY(ALUMNADO!$A$2),0,2)="1EEM"),_xlpm.vN,SUM(--(_xlpm.vC)),IF(_xlpm.vN=0,"—",IF(SUM(_xlpm.vC*(INDEX(_xlfn.ANCHORARRAY(ALUMNADO!$A$2),0,6)&lt;&gt;""))=0,"—",SUM(_xlpm.vC*(INDEX(_xlfn.ANCHORARRAY(ALUMNADO!$A$2),0,7)="Promociona"))/_xlpm.vN))),"—"))</f>
      </c>
    </row>
    <row r="9">
      <c r="A9" s="0" t="inlineStr">
        <is>
          <t xml:space="preserve">2EEM</t>
        </is>
      </c>
      <c r="B9" s="0" cm="1">
        <f t="array" ref="B9">IF(CONTROL!$B$4&lt;2,"—",IFERROR(_xlfn.LET(_xlpm.vC,(INDEX(_xlfn.ANCHORARRAY(ALUMNADO!$A$2),0,2)="2EEM"),_xlpm.vN,SUM(--(_xlpm.vC)),IF(_xlpm.vN=0,"—",_xlpm.vN)),"—"))</f>
      </c>
      <c r="C9" s="0" cm="1">
        <f t="array" ref="C9">IF(CONTROL!$B$4&lt;2,"—",IFERROR(_xlfn.LET(_xlpm.vC,(INDEX(_xlfn.ANCHORARRAY(ALUMNADO!$A$2),0,2)="2EEM"),_xlpm.vN,SUM(--(_xlpm.vC)),IF(_xlpm.vN=0,"—",SUM(_xlpm.vC*(INDEX(_xlfn.ANCHORARRAY(ALUMNADO!$A$2),0,8)="Con evaluación")))),"—"))</f>
      </c>
      <c r="D9" s="0" cm="1">
        <f t="array" ref="D9">IF(CONTROL!$B$4&lt;2,"—",IFERROR(_xlfn.LET(_xlpm.vC,(INDEX(_xlfn.ANCHORARRAY(ALUMNADO!$A$2),0,2)="2EEM"),_xlpm.vN,SUM(--(_xlpm.vC)),IF(_xlpm.vN=0,"—",IF(SUM(_xlpm.vC*(INDEX(_xlfn.ANCHORARRAY(ALUMNADO!$A$2),0,6)&lt;&gt;""))=0,"—",SUM(_xlpm.vC*(INDEX(_xlfn.ANCHORARRAY(ALUMNADO!$A$2),0,7)="Promociona"))))),"—"))</f>
      </c>
      <c r="E9" s="0" cm="1">
        <f t="array" ref="E9">IF(CONTROL!$B$4&lt;2,"—",IFERROR(_xlfn.LET(_xlpm.vC,(INDEX(_xlfn.ANCHORARRAY(ALUMNADO!$A$2),0,2)="2EEM"),_xlpm.vN,SUM(--(_xlpm.vC)),IF(_xlpm.vN=0,"—",IF(SUM(_xlpm.vC*(INDEX(_xlfn.ANCHORARRAY(ALUMNADO!$A$2),0,6)&lt;&gt;""))=0,"—",SUM(_xlpm.vC*(INDEX(_xlfn.ANCHORARRAY(ALUMNADO!$A$2),0,7)="No promociona"))))),"—"))</f>
      </c>
      <c r="F9" s="0" cm="1">
        <f t="array" ref="F9">IF(CONTROL!$B$4&lt;2,"—",IFERROR(_xlfn.LET(_xlpm.vC,(INDEX(_xlfn.ANCHORARRAY(ALUMNADO!$A$2),0,2)="2EEM"),_xlpm.vN,SUM(--(_xlpm.vC)),IF(_xlpm.vN=0,"—",SUM(_xlpm.vC*(INDEX(_xlfn.ANCHORARRAY(ALUMNADO!$A$2),0,8)="Con evaluación")*(INDEX(_xlfn.ANCHORARRAY(ALUMNADO!$A$2),0,7)="Sin decisión")))),"—"))</f>
      </c>
      <c r="G9" s="0" cm="1">
        <f t="array" ref="G9">IF(CONTROL!$B$4&lt;2,"—",IFERROR(_xlfn.LET(_xlpm.vC,(INDEX(_xlfn.ANCHORARRAY(ALUMNADO!$A$2),0,2)="2EEM"),_xlpm.vN,SUM(--(_xlpm.vC)),IF(_xlpm.vN=0,"—",SUM(_xlpm.vC*(INDEX(_xlfn.ANCHORARRAY(ALUMNADO!$A$2),0,8)="Sin evaluación")))),"—"))</f>
      </c>
      <c r="H9" s="7" cm="1">
        <f t="array" ref="H9">IF(CONTROL!$B$4&lt;2,"—",IFERROR(_xlfn.LET(_xlpm.vC,(INDEX(_xlfn.ANCHORARRAY(ALUMNADO!$A$2),0,2)="2EE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9" s="7" cm="1">
        <f t="array" ref="I9">IF(CONTROL!$B$4&lt;2,"—",IFERROR(_xlfn.LET(_xlpm.vC,(INDEX(_xlfn.ANCHORARRAY(ALUMNADO!$A$2),0,2)="2EEM"),_xlpm.vN,SUM(--(_xlpm.vC)),IF(_xlpm.vN=0,"—",IF(SUM(_xlpm.vC*(INDEX(_xlfn.ANCHORARRAY(ALUMNADO!$A$2),0,6)&lt;&gt;""))=0,"—",SUM(_xlpm.vC*(INDEX(_xlfn.ANCHORARRAY(ALUMNADO!$A$2),0,7)="Promociona"))/_xlpm.vN))),"—"))</f>
      </c>
    </row>
    <row r="10">
      <c r="A10" s="0" t="inlineStr">
        <is>
          <t xml:space="preserve">3EEM</t>
        </is>
      </c>
      <c r="B10" s="0" cm="1">
        <f t="array" ref="B10">IF(CONTROL!$B$4&lt;2,"—",IFERROR(_xlfn.LET(_xlpm.vC,(INDEX(_xlfn.ANCHORARRAY(ALUMNADO!$A$2),0,2)="3EEM"),_xlpm.vN,SUM(--(_xlpm.vC)),IF(_xlpm.vN=0,"—",_xlpm.vN)),"—"))</f>
      </c>
      <c r="C10" s="0" cm="1">
        <f t="array" ref="C10">IF(CONTROL!$B$4&lt;2,"—",IFERROR(_xlfn.LET(_xlpm.vC,(INDEX(_xlfn.ANCHORARRAY(ALUMNADO!$A$2),0,2)="3EEM"),_xlpm.vN,SUM(--(_xlpm.vC)),IF(_xlpm.vN=0,"—",SUM(_xlpm.vC*(INDEX(_xlfn.ANCHORARRAY(ALUMNADO!$A$2),0,8)="Con evaluación")))),"—"))</f>
      </c>
      <c r="D10" s="0" cm="1">
        <f t="array" ref="D10">IF(CONTROL!$B$4&lt;2,"—",IFERROR(_xlfn.LET(_xlpm.vC,(INDEX(_xlfn.ANCHORARRAY(ALUMNADO!$A$2),0,2)="3EEM"),_xlpm.vN,SUM(--(_xlpm.vC)),IF(_xlpm.vN=0,"—",IF(SUM(_xlpm.vC*(INDEX(_xlfn.ANCHORARRAY(ALUMNADO!$A$2),0,6)&lt;&gt;""))=0,"—",SUM(_xlpm.vC*(INDEX(_xlfn.ANCHORARRAY(ALUMNADO!$A$2),0,7)="Promociona"))))),"—"))</f>
      </c>
      <c r="E10" s="0" cm="1">
        <f t="array" ref="E10">IF(CONTROL!$B$4&lt;2,"—",IFERROR(_xlfn.LET(_xlpm.vC,(INDEX(_xlfn.ANCHORARRAY(ALUMNADO!$A$2),0,2)="3EEM"),_xlpm.vN,SUM(--(_xlpm.vC)),IF(_xlpm.vN=0,"—",IF(SUM(_xlpm.vC*(INDEX(_xlfn.ANCHORARRAY(ALUMNADO!$A$2),0,6)&lt;&gt;""))=0,"—",SUM(_xlpm.vC*(INDEX(_xlfn.ANCHORARRAY(ALUMNADO!$A$2),0,7)="No promociona"))))),"—"))</f>
      </c>
      <c r="F10" s="0" cm="1">
        <f t="array" ref="F10">IF(CONTROL!$B$4&lt;2,"—",IFERROR(_xlfn.LET(_xlpm.vC,(INDEX(_xlfn.ANCHORARRAY(ALUMNADO!$A$2),0,2)="3EEM"),_xlpm.vN,SUM(--(_xlpm.vC)),IF(_xlpm.vN=0,"—",SUM(_xlpm.vC*(INDEX(_xlfn.ANCHORARRAY(ALUMNADO!$A$2),0,8)="Con evaluación")*(INDEX(_xlfn.ANCHORARRAY(ALUMNADO!$A$2),0,7)="Sin decisión")))),"—"))</f>
      </c>
      <c r="G10" s="0" cm="1">
        <f t="array" ref="G10">IF(CONTROL!$B$4&lt;2,"—",IFERROR(_xlfn.LET(_xlpm.vC,(INDEX(_xlfn.ANCHORARRAY(ALUMNADO!$A$2),0,2)="3EEM"),_xlpm.vN,SUM(--(_xlpm.vC)),IF(_xlpm.vN=0,"—",SUM(_xlpm.vC*(INDEX(_xlfn.ANCHORARRAY(ALUMNADO!$A$2),0,8)="Sin evaluación")))),"—"))</f>
      </c>
      <c r="H10" s="7" cm="1">
        <f t="array" ref="H10">IF(CONTROL!$B$4&lt;2,"—",IFERROR(_xlfn.LET(_xlpm.vC,(INDEX(_xlfn.ANCHORARRAY(ALUMNADO!$A$2),0,2)="3EE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0" s="7" cm="1">
        <f t="array" ref="I10">IF(CONTROL!$B$4&lt;2,"—",IFERROR(_xlfn.LET(_xlpm.vC,(INDEX(_xlfn.ANCHORARRAY(ALUMNADO!$A$2),0,2)="3EEM"),_xlpm.vN,SUM(--(_xlpm.vC)),IF(_xlpm.vN=0,"—",IF(SUM(_xlpm.vC*(INDEX(_xlfn.ANCHORARRAY(ALUMNADO!$A$2),0,6)&lt;&gt;""))=0,"—",SUM(_xlpm.vC*(INDEX(_xlfn.ANCHORARRAY(ALUMNADO!$A$2),0,7)="Promociona"))/_xlpm.vN))),"—"))</f>
      </c>
    </row>
    <row r="11">
      <c r="A11" s="0" t="inlineStr">
        <is>
          <t xml:space="preserve">4EEM</t>
        </is>
      </c>
      <c r="B11" s="0" cm="1">
        <f t="array" ref="B11">IF(CONTROL!$B$4&lt;2,"—",IFERROR(_xlfn.LET(_xlpm.vC,(INDEX(_xlfn.ANCHORARRAY(ALUMNADO!$A$2),0,2)="4EEM"),_xlpm.vN,SUM(--(_xlpm.vC)),IF(_xlpm.vN=0,"—",_xlpm.vN)),"—"))</f>
      </c>
      <c r="C11" s="0" cm="1">
        <f t="array" ref="C11">IF(CONTROL!$B$4&lt;2,"—",IFERROR(_xlfn.LET(_xlpm.vC,(INDEX(_xlfn.ANCHORARRAY(ALUMNADO!$A$2),0,2)="4EEM"),_xlpm.vN,SUM(--(_xlpm.vC)),IF(_xlpm.vN=0,"—",SUM(_xlpm.vC*(INDEX(_xlfn.ANCHORARRAY(ALUMNADO!$A$2),0,8)="Con evaluación")))),"—"))</f>
      </c>
      <c r="D11" s="0" cm="1">
        <f t="array" ref="D11">IF(CONTROL!$B$4&lt;2,"—",IFERROR(_xlfn.LET(_xlpm.vC,(INDEX(_xlfn.ANCHORARRAY(ALUMNADO!$A$2),0,2)="4EEM"),_xlpm.vN,SUM(--(_xlpm.vC)),IF(_xlpm.vN=0,"—",IF(SUM(_xlpm.vC*(INDEX(_xlfn.ANCHORARRAY(ALUMNADO!$A$2),0,6)&lt;&gt;""))=0,"—",SUM(_xlpm.vC*(INDEX(_xlfn.ANCHORARRAY(ALUMNADO!$A$2),0,7)="Promociona"))))),"—"))</f>
      </c>
      <c r="E11" s="0" cm="1">
        <f t="array" ref="E11">IF(CONTROL!$B$4&lt;2,"—",IFERROR(_xlfn.LET(_xlpm.vC,(INDEX(_xlfn.ANCHORARRAY(ALUMNADO!$A$2),0,2)="4EEM"),_xlpm.vN,SUM(--(_xlpm.vC)),IF(_xlpm.vN=0,"—",IF(SUM(_xlpm.vC*(INDEX(_xlfn.ANCHORARRAY(ALUMNADO!$A$2),0,6)&lt;&gt;""))=0,"—",SUM(_xlpm.vC*(INDEX(_xlfn.ANCHORARRAY(ALUMNADO!$A$2),0,7)="No promociona"))))),"—"))</f>
      </c>
      <c r="F11" s="0" cm="1">
        <f t="array" ref="F11">IF(CONTROL!$B$4&lt;2,"—",IFERROR(_xlfn.LET(_xlpm.vC,(INDEX(_xlfn.ANCHORARRAY(ALUMNADO!$A$2),0,2)="4EEM"),_xlpm.vN,SUM(--(_xlpm.vC)),IF(_xlpm.vN=0,"—",SUM(_xlpm.vC*(INDEX(_xlfn.ANCHORARRAY(ALUMNADO!$A$2),0,8)="Con evaluación")*(INDEX(_xlfn.ANCHORARRAY(ALUMNADO!$A$2),0,7)="Sin decisión")))),"—"))</f>
      </c>
      <c r="G11" s="0" cm="1">
        <f t="array" ref="G11">IF(CONTROL!$B$4&lt;2,"—",IFERROR(_xlfn.LET(_xlpm.vC,(INDEX(_xlfn.ANCHORARRAY(ALUMNADO!$A$2),0,2)="4EEM"),_xlpm.vN,SUM(--(_xlpm.vC)),IF(_xlpm.vN=0,"—",SUM(_xlpm.vC*(INDEX(_xlfn.ANCHORARRAY(ALUMNADO!$A$2),0,8)="Sin evaluación")))),"—"))</f>
      </c>
      <c r="H11" s="7" cm="1">
        <f t="array" ref="H11">IF(CONTROL!$B$4&lt;2,"—",IFERROR(_xlfn.LET(_xlpm.vC,(INDEX(_xlfn.ANCHORARRAY(ALUMNADO!$A$2),0,2)="4EE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1" s="7" cm="1">
        <f t="array" ref="I11">IF(CONTROL!$B$4&lt;2,"—",IFERROR(_xlfn.LET(_xlpm.vC,(INDEX(_xlfn.ANCHORARRAY(ALUMNADO!$A$2),0,2)="4EEM"),_xlpm.vN,SUM(--(_xlpm.vC)),IF(_xlpm.vN=0,"—",IF(SUM(_xlpm.vC*(INDEX(_xlfn.ANCHORARRAY(ALUMNADO!$A$2),0,6)&lt;&gt;""))=0,"—",SUM(_xlpm.vC*(INDEX(_xlfn.ANCHORARRAY(ALUMNADO!$A$2),0,7)="Promociona"))/_xlpm.vN))),"—"))</f>
      </c>
    </row>
    <row r="12">
      <c r="A12" s="4" t="inlineStr">
        <is>
          <t xml:space="preserve">Total EEM</t>
        </is>
      </c>
      <c r="B12" s="0" cm="1">
        <f t="array" ref="B12">IF(CONTROL!$B$4&lt;2,"—",IFERROR(_xlfn.LET(_xlpm.vC,(INDEX(_xlfn.ANCHORARRAY(ALUMNADO!$A$2),0,3)="EEM"),_xlpm.vN,SUM(--(_xlpm.vC)),IF(_xlpm.vN=0,"—",_xlpm.vN)),"—"))</f>
      </c>
      <c r="C12" s="0" cm="1">
        <f t="array" ref="C12">IF(CONTROL!$B$4&lt;2,"—",IFERROR(_xlfn.LET(_xlpm.vC,(INDEX(_xlfn.ANCHORARRAY(ALUMNADO!$A$2),0,3)="EEM"),_xlpm.vN,SUM(--(_xlpm.vC)),IF(_xlpm.vN=0,"—",SUM(_xlpm.vC*(INDEX(_xlfn.ANCHORARRAY(ALUMNADO!$A$2),0,8)="Con evaluación")))),"—"))</f>
      </c>
      <c r="D12" s="0" cm="1">
        <f t="array" ref="D12">IF(CONTROL!$B$4&lt;2,"—",IFERROR(_xlfn.LET(_xlpm.vC,(INDEX(_xlfn.ANCHORARRAY(ALUMNADO!$A$2),0,3)="EEM"),_xlpm.vN,SUM(--(_xlpm.vC)),IF(_xlpm.vN=0,"—",IF(SUM(_xlpm.vC*(INDEX(_xlfn.ANCHORARRAY(ALUMNADO!$A$2),0,6)&lt;&gt;""))=0,"—",SUM(_xlpm.vC*(INDEX(_xlfn.ANCHORARRAY(ALUMNADO!$A$2),0,7)="Promociona"))))),"—"))</f>
      </c>
      <c r="E12" s="0" cm="1">
        <f t="array" ref="E12">IF(CONTROL!$B$4&lt;2,"—",IFERROR(_xlfn.LET(_xlpm.vC,(INDEX(_xlfn.ANCHORARRAY(ALUMNADO!$A$2),0,3)="EEM"),_xlpm.vN,SUM(--(_xlpm.vC)),IF(_xlpm.vN=0,"—",IF(SUM(_xlpm.vC*(INDEX(_xlfn.ANCHORARRAY(ALUMNADO!$A$2),0,6)&lt;&gt;""))=0,"—",SUM(_xlpm.vC*(INDEX(_xlfn.ANCHORARRAY(ALUMNADO!$A$2),0,7)="No promociona"))))),"—"))</f>
      </c>
      <c r="F12" s="0" cm="1">
        <f t="array" ref="F12">IF(CONTROL!$B$4&lt;2,"—",IFERROR(_xlfn.LET(_xlpm.vC,(INDEX(_xlfn.ANCHORARRAY(ALUMNADO!$A$2),0,3)="EEM"),_xlpm.vN,SUM(--(_xlpm.vC)),IF(_xlpm.vN=0,"—",SUM(_xlpm.vC*(INDEX(_xlfn.ANCHORARRAY(ALUMNADO!$A$2),0,8)="Con evaluación")*(INDEX(_xlfn.ANCHORARRAY(ALUMNADO!$A$2),0,7)="Sin decisión")))),"—"))</f>
      </c>
      <c r="G12" s="0" cm="1">
        <f t="array" ref="G12">IF(CONTROL!$B$4&lt;2,"—",IFERROR(_xlfn.LET(_xlpm.vC,(INDEX(_xlfn.ANCHORARRAY(ALUMNADO!$A$2),0,3)="EEM"),_xlpm.vN,SUM(--(_xlpm.vC)),IF(_xlpm.vN=0,"—",SUM(_xlpm.vC*(INDEX(_xlfn.ANCHORARRAY(ALUMNADO!$A$2),0,8)="Sin evaluación")))),"—"))</f>
      </c>
      <c r="H12" s="7" cm="1">
        <f t="array" ref="H12">IF(CONTROL!$B$4&lt;2,"—",IFERROR(_xlfn.LET(_xlpm.vC,(INDEX(_xlfn.ANCHORARRAY(ALUMNADO!$A$2),0,3)="EE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2" s="7" cm="1">
        <f t="array" ref="I12">IF(CONTROL!$B$4&lt;2,"—",IFERROR(_xlfn.LET(_xlpm.vC,(INDEX(_xlfn.ANCHORARRAY(ALUMNADO!$A$2),0,3)="EEM"),_xlpm.vN,SUM(--(_xlpm.vC)),IF(_xlpm.vN=0,"—",IF(SUM(_xlpm.vC*(INDEX(_xlfn.ANCHORARRAY(ALUMNADO!$A$2),0,6)&lt;&gt;""))=0,"—",SUM(_xlpm.vC*(INDEX(_xlfn.ANCHORARRAY(ALUMNADO!$A$2),0,7)="Promociona"))/_xlpm.vN))),"—"))</f>
      </c>
    </row>
    <row r="13">
      <c r="A13" s="0" t="inlineStr">
        <is>
          <t xml:space="preserve">1EPM</t>
        </is>
      </c>
      <c r="B13" s="0" cm="1">
        <f t="array" ref="B13">IF(CONTROL!$B$4&lt;2,"—",IFERROR(_xlfn.LET(_xlpm.vC,(INDEX(_xlfn.ANCHORARRAY(ALUMNADO!$A$2),0,2)="1EPM"),_xlpm.vN,SUM(--(_xlpm.vC)),IF(_xlpm.vN=0,"—",_xlpm.vN)),"—"))</f>
      </c>
      <c r="C13" s="0" cm="1">
        <f t="array" ref="C13">IF(CONTROL!$B$4&lt;2,"—",IFERROR(_xlfn.LET(_xlpm.vC,(INDEX(_xlfn.ANCHORARRAY(ALUMNADO!$A$2),0,2)="1EPM"),_xlpm.vN,SUM(--(_xlpm.vC)),IF(_xlpm.vN=0,"—",SUM(_xlpm.vC*(INDEX(_xlfn.ANCHORARRAY(ALUMNADO!$A$2),0,8)="Con evaluación")))),"—"))</f>
      </c>
      <c r="D13" s="0" cm="1">
        <f t="array" ref="D13">IF(CONTROL!$B$4&lt;2,"—",IFERROR(_xlfn.LET(_xlpm.vC,(INDEX(_xlfn.ANCHORARRAY(ALUMNADO!$A$2),0,2)="1EPM"),_xlpm.vN,SUM(--(_xlpm.vC)),IF(_xlpm.vN=0,"—",IF(SUM(_xlpm.vC*(INDEX(_xlfn.ANCHORARRAY(ALUMNADO!$A$2),0,6)&lt;&gt;""))=0,"—",SUM(_xlpm.vC*(INDEX(_xlfn.ANCHORARRAY(ALUMNADO!$A$2),0,7)="Promociona"))))),"—"))</f>
      </c>
      <c r="E13" s="0" cm="1">
        <f t="array" ref="E13">IF(CONTROL!$B$4&lt;2,"—",IFERROR(_xlfn.LET(_xlpm.vC,(INDEX(_xlfn.ANCHORARRAY(ALUMNADO!$A$2),0,2)="1EPM"),_xlpm.vN,SUM(--(_xlpm.vC)),IF(_xlpm.vN=0,"—",IF(SUM(_xlpm.vC*(INDEX(_xlfn.ANCHORARRAY(ALUMNADO!$A$2),0,6)&lt;&gt;""))=0,"—",SUM(_xlpm.vC*(INDEX(_xlfn.ANCHORARRAY(ALUMNADO!$A$2),0,7)="No promociona"))))),"—"))</f>
      </c>
      <c r="F13" s="0" cm="1">
        <f t="array" ref="F13">IF(CONTROL!$B$4&lt;2,"—",IFERROR(_xlfn.LET(_xlpm.vC,(INDEX(_xlfn.ANCHORARRAY(ALUMNADO!$A$2),0,2)="1EPM"),_xlpm.vN,SUM(--(_xlpm.vC)),IF(_xlpm.vN=0,"—",SUM(_xlpm.vC*(INDEX(_xlfn.ANCHORARRAY(ALUMNADO!$A$2),0,8)="Con evaluación")*(INDEX(_xlfn.ANCHORARRAY(ALUMNADO!$A$2),0,7)="Sin decisión")))),"—"))</f>
      </c>
      <c r="G13" s="0" cm="1">
        <f t="array" ref="G13">IF(CONTROL!$B$4&lt;2,"—",IFERROR(_xlfn.LET(_xlpm.vC,(INDEX(_xlfn.ANCHORARRAY(ALUMNADO!$A$2),0,2)="1EPM"),_xlpm.vN,SUM(--(_xlpm.vC)),IF(_xlpm.vN=0,"—",SUM(_xlpm.vC*(INDEX(_xlfn.ANCHORARRAY(ALUMNADO!$A$2),0,8)="Sin evaluación")))),"—"))</f>
      </c>
      <c r="H13" s="7" cm="1">
        <f t="array" ref="H13">IF(CONTROL!$B$4&lt;2,"—",IFERROR(_xlfn.LET(_xlpm.vC,(INDEX(_xlfn.ANCHORARRAY(ALUMNADO!$A$2),0,2)="1EP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3" s="7" cm="1">
        <f t="array" ref="I13">IF(CONTROL!$B$4&lt;2,"—",IFERROR(_xlfn.LET(_xlpm.vC,(INDEX(_xlfn.ANCHORARRAY(ALUMNADO!$A$2),0,2)="1EPM"),_xlpm.vN,SUM(--(_xlpm.vC)),IF(_xlpm.vN=0,"—",IF(SUM(_xlpm.vC*(INDEX(_xlfn.ANCHORARRAY(ALUMNADO!$A$2),0,6)&lt;&gt;""))=0,"—",SUM(_xlpm.vC*(INDEX(_xlfn.ANCHORARRAY(ALUMNADO!$A$2),0,7)="Promociona"))/_xlpm.vN))),"—"))</f>
      </c>
    </row>
    <row r="14">
      <c r="A14" s="0" t="inlineStr">
        <is>
          <t xml:space="preserve">2EPM</t>
        </is>
      </c>
      <c r="B14" s="0" cm="1">
        <f t="array" ref="B14">IF(CONTROL!$B$4&lt;2,"—",IFERROR(_xlfn.LET(_xlpm.vC,(INDEX(_xlfn.ANCHORARRAY(ALUMNADO!$A$2),0,2)="2EPM"),_xlpm.vN,SUM(--(_xlpm.vC)),IF(_xlpm.vN=0,"—",_xlpm.vN)),"—"))</f>
      </c>
      <c r="C14" s="0" cm="1">
        <f t="array" ref="C14">IF(CONTROL!$B$4&lt;2,"—",IFERROR(_xlfn.LET(_xlpm.vC,(INDEX(_xlfn.ANCHORARRAY(ALUMNADO!$A$2),0,2)="2EPM"),_xlpm.vN,SUM(--(_xlpm.vC)),IF(_xlpm.vN=0,"—",SUM(_xlpm.vC*(INDEX(_xlfn.ANCHORARRAY(ALUMNADO!$A$2),0,8)="Con evaluación")))),"—"))</f>
      </c>
      <c r="D14" s="0" cm="1">
        <f t="array" ref="D14">IF(CONTROL!$B$4&lt;2,"—",IFERROR(_xlfn.LET(_xlpm.vC,(INDEX(_xlfn.ANCHORARRAY(ALUMNADO!$A$2),0,2)="2EPM"),_xlpm.vN,SUM(--(_xlpm.vC)),IF(_xlpm.vN=0,"—",IF(SUM(_xlpm.vC*(INDEX(_xlfn.ANCHORARRAY(ALUMNADO!$A$2),0,6)&lt;&gt;""))=0,"—",SUM(_xlpm.vC*(INDEX(_xlfn.ANCHORARRAY(ALUMNADO!$A$2),0,7)="Promociona"))))),"—"))</f>
      </c>
      <c r="E14" s="0" cm="1">
        <f t="array" ref="E14">IF(CONTROL!$B$4&lt;2,"—",IFERROR(_xlfn.LET(_xlpm.vC,(INDEX(_xlfn.ANCHORARRAY(ALUMNADO!$A$2),0,2)="2EPM"),_xlpm.vN,SUM(--(_xlpm.vC)),IF(_xlpm.vN=0,"—",IF(SUM(_xlpm.vC*(INDEX(_xlfn.ANCHORARRAY(ALUMNADO!$A$2),0,6)&lt;&gt;""))=0,"—",SUM(_xlpm.vC*(INDEX(_xlfn.ANCHORARRAY(ALUMNADO!$A$2),0,7)="No promociona"))))),"—"))</f>
      </c>
      <c r="F14" s="0" cm="1">
        <f t="array" ref="F14">IF(CONTROL!$B$4&lt;2,"—",IFERROR(_xlfn.LET(_xlpm.vC,(INDEX(_xlfn.ANCHORARRAY(ALUMNADO!$A$2),0,2)="2EPM"),_xlpm.vN,SUM(--(_xlpm.vC)),IF(_xlpm.vN=0,"—",SUM(_xlpm.vC*(INDEX(_xlfn.ANCHORARRAY(ALUMNADO!$A$2),0,8)="Con evaluación")*(INDEX(_xlfn.ANCHORARRAY(ALUMNADO!$A$2),0,7)="Sin decisión")))),"—"))</f>
      </c>
      <c r="G14" s="0" cm="1">
        <f t="array" ref="G14">IF(CONTROL!$B$4&lt;2,"—",IFERROR(_xlfn.LET(_xlpm.vC,(INDEX(_xlfn.ANCHORARRAY(ALUMNADO!$A$2),0,2)="2EPM"),_xlpm.vN,SUM(--(_xlpm.vC)),IF(_xlpm.vN=0,"—",SUM(_xlpm.vC*(INDEX(_xlfn.ANCHORARRAY(ALUMNADO!$A$2),0,8)="Sin evaluación")))),"—"))</f>
      </c>
      <c r="H14" s="7" cm="1">
        <f t="array" ref="H14">IF(CONTROL!$B$4&lt;2,"—",IFERROR(_xlfn.LET(_xlpm.vC,(INDEX(_xlfn.ANCHORARRAY(ALUMNADO!$A$2),0,2)="2EP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4" s="7" cm="1">
        <f t="array" ref="I14">IF(CONTROL!$B$4&lt;2,"—",IFERROR(_xlfn.LET(_xlpm.vC,(INDEX(_xlfn.ANCHORARRAY(ALUMNADO!$A$2),0,2)="2EPM"),_xlpm.vN,SUM(--(_xlpm.vC)),IF(_xlpm.vN=0,"—",IF(SUM(_xlpm.vC*(INDEX(_xlfn.ANCHORARRAY(ALUMNADO!$A$2),0,6)&lt;&gt;""))=0,"—",SUM(_xlpm.vC*(INDEX(_xlfn.ANCHORARRAY(ALUMNADO!$A$2),0,7)="Promociona"))/_xlpm.vN))),"—"))</f>
      </c>
    </row>
    <row r="15">
      <c r="A15" s="0" t="inlineStr">
        <is>
          <t xml:space="preserve">3EPM</t>
        </is>
      </c>
      <c r="B15" s="0" cm="1">
        <f t="array" ref="B15">IF(CONTROL!$B$4&lt;2,"—",IFERROR(_xlfn.LET(_xlpm.vC,(INDEX(_xlfn.ANCHORARRAY(ALUMNADO!$A$2),0,2)="3EPM"),_xlpm.vN,SUM(--(_xlpm.vC)),IF(_xlpm.vN=0,"—",_xlpm.vN)),"—"))</f>
      </c>
      <c r="C15" s="0" cm="1">
        <f t="array" ref="C15">IF(CONTROL!$B$4&lt;2,"—",IFERROR(_xlfn.LET(_xlpm.vC,(INDEX(_xlfn.ANCHORARRAY(ALUMNADO!$A$2),0,2)="3EPM"),_xlpm.vN,SUM(--(_xlpm.vC)),IF(_xlpm.vN=0,"—",SUM(_xlpm.vC*(INDEX(_xlfn.ANCHORARRAY(ALUMNADO!$A$2),0,8)="Con evaluación")))),"—"))</f>
      </c>
      <c r="D15" s="0" cm="1">
        <f t="array" ref="D15">IF(CONTROL!$B$4&lt;2,"—",IFERROR(_xlfn.LET(_xlpm.vC,(INDEX(_xlfn.ANCHORARRAY(ALUMNADO!$A$2),0,2)="3EPM"),_xlpm.vN,SUM(--(_xlpm.vC)),IF(_xlpm.vN=0,"—",IF(SUM(_xlpm.vC*(INDEX(_xlfn.ANCHORARRAY(ALUMNADO!$A$2),0,6)&lt;&gt;""))=0,"—",SUM(_xlpm.vC*(INDEX(_xlfn.ANCHORARRAY(ALUMNADO!$A$2),0,7)="Promociona"))))),"—"))</f>
      </c>
      <c r="E15" s="0" cm="1">
        <f t="array" ref="E15">IF(CONTROL!$B$4&lt;2,"—",IFERROR(_xlfn.LET(_xlpm.vC,(INDEX(_xlfn.ANCHORARRAY(ALUMNADO!$A$2),0,2)="3EPM"),_xlpm.vN,SUM(--(_xlpm.vC)),IF(_xlpm.vN=0,"—",IF(SUM(_xlpm.vC*(INDEX(_xlfn.ANCHORARRAY(ALUMNADO!$A$2),0,6)&lt;&gt;""))=0,"—",SUM(_xlpm.vC*(INDEX(_xlfn.ANCHORARRAY(ALUMNADO!$A$2),0,7)="No promociona"))))),"—"))</f>
      </c>
      <c r="F15" s="0" cm="1">
        <f t="array" ref="F15">IF(CONTROL!$B$4&lt;2,"—",IFERROR(_xlfn.LET(_xlpm.vC,(INDEX(_xlfn.ANCHORARRAY(ALUMNADO!$A$2),0,2)="3EPM"),_xlpm.vN,SUM(--(_xlpm.vC)),IF(_xlpm.vN=0,"—",SUM(_xlpm.vC*(INDEX(_xlfn.ANCHORARRAY(ALUMNADO!$A$2),0,8)="Con evaluación")*(INDEX(_xlfn.ANCHORARRAY(ALUMNADO!$A$2),0,7)="Sin decisión")))),"—"))</f>
      </c>
      <c r="G15" s="0" cm="1">
        <f t="array" ref="G15">IF(CONTROL!$B$4&lt;2,"—",IFERROR(_xlfn.LET(_xlpm.vC,(INDEX(_xlfn.ANCHORARRAY(ALUMNADO!$A$2),0,2)="3EPM"),_xlpm.vN,SUM(--(_xlpm.vC)),IF(_xlpm.vN=0,"—",SUM(_xlpm.vC*(INDEX(_xlfn.ANCHORARRAY(ALUMNADO!$A$2),0,8)="Sin evaluación")))),"—"))</f>
      </c>
      <c r="H15" s="7" cm="1">
        <f t="array" ref="H15">IF(CONTROL!$B$4&lt;2,"—",IFERROR(_xlfn.LET(_xlpm.vC,(INDEX(_xlfn.ANCHORARRAY(ALUMNADO!$A$2),0,2)="3EP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5" s="7" cm="1">
        <f t="array" ref="I15">IF(CONTROL!$B$4&lt;2,"—",IFERROR(_xlfn.LET(_xlpm.vC,(INDEX(_xlfn.ANCHORARRAY(ALUMNADO!$A$2),0,2)="3EPM"),_xlpm.vN,SUM(--(_xlpm.vC)),IF(_xlpm.vN=0,"—",IF(SUM(_xlpm.vC*(INDEX(_xlfn.ANCHORARRAY(ALUMNADO!$A$2),0,6)&lt;&gt;""))=0,"—",SUM(_xlpm.vC*(INDEX(_xlfn.ANCHORARRAY(ALUMNADO!$A$2),0,7)="Promociona"))/_xlpm.vN))),"—"))</f>
      </c>
    </row>
    <row r="16">
      <c r="A16" s="0" t="inlineStr">
        <is>
          <t xml:space="preserve">4EPM</t>
        </is>
      </c>
      <c r="B16" s="0" cm="1">
        <f t="array" ref="B16">IF(CONTROL!$B$4&lt;2,"—",IFERROR(_xlfn.LET(_xlpm.vC,(INDEX(_xlfn.ANCHORARRAY(ALUMNADO!$A$2),0,2)="4EPM"),_xlpm.vN,SUM(--(_xlpm.vC)),IF(_xlpm.vN=0,"—",_xlpm.vN)),"—"))</f>
      </c>
      <c r="C16" s="0" cm="1">
        <f t="array" ref="C16">IF(CONTROL!$B$4&lt;2,"—",IFERROR(_xlfn.LET(_xlpm.vC,(INDEX(_xlfn.ANCHORARRAY(ALUMNADO!$A$2),0,2)="4EPM"),_xlpm.vN,SUM(--(_xlpm.vC)),IF(_xlpm.vN=0,"—",SUM(_xlpm.vC*(INDEX(_xlfn.ANCHORARRAY(ALUMNADO!$A$2),0,8)="Con evaluación")))),"—"))</f>
      </c>
      <c r="D16" s="0" cm="1">
        <f t="array" ref="D16">IF(CONTROL!$B$4&lt;2,"—",IFERROR(_xlfn.LET(_xlpm.vC,(INDEX(_xlfn.ANCHORARRAY(ALUMNADO!$A$2),0,2)="4EPM"),_xlpm.vN,SUM(--(_xlpm.vC)),IF(_xlpm.vN=0,"—",IF(SUM(_xlpm.vC*(INDEX(_xlfn.ANCHORARRAY(ALUMNADO!$A$2),0,6)&lt;&gt;""))=0,"—",SUM(_xlpm.vC*(INDEX(_xlfn.ANCHORARRAY(ALUMNADO!$A$2),0,7)="Promociona"))))),"—"))</f>
      </c>
      <c r="E16" s="0" cm="1">
        <f t="array" ref="E16">IF(CONTROL!$B$4&lt;2,"—",IFERROR(_xlfn.LET(_xlpm.vC,(INDEX(_xlfn.ANCHORARRAY(ALUMNADO!$A$2),0,2)="4EPM"),_xlpm.vN,SUM(--(_xlpm.vC)),IF(_xlpm.vN=0,"—",IF(SUM(_xlpm.vC*(INDEX(_xlfn.ANCHORARRAY(ALUMNADO!$A$2),0,6)&lt;&gt;""))=0,"—",SUM(_xlpm.vC*(INDEX(_xlfn.ANCHORARRAY(ALUMNADO!$A$2),0,7)="No promociona"))))),"—"))</f>
      </c>
      <c r="F16" s="0" cm="1">
        <f t="array" ref="F16">IF(CONTROL!$B$4&lt;2,"—",IFERROR(_xlfn.LET(_xlpm.vC,(INDEX(_xlfn.ANCHORARRAY(ALUMNADO!$A$2),0,2)="4EPM"),_xlpm.vN,SUM(--(_xlpm.vC)),IF(_xlpm.vN=0,"—",SUM(_xlpm.vC*(INDEX(_xlfn.ANCHORARRAY(ALUMNADO!$A$2),0,8)="Con evaluación")*(INDEX(_xlfn.ANCHORARRAY(ALUMNADO!$A$2),0,7)="Sin decisión")))),"—"))</f>
      </c>
      <c r="G16" s="0" cm="1">
        <f t="array" ref="G16">IF(CONTROL!$B$4&lt;2,"—",IFERROR(_xlfn.LET(_xlpm.vC,(INDEX(_xlfn.ANCHORARRAY(ALUMNADO!$A$2),0,2)="4EPM"),_xlpm.vN,SUM(--(_xlpm.vC)),IF(_xlpm.vN=0,"—",SUM(_xlpm.vC*(INDEX(_xlfn.ANCHORARRAY(ALUMNADO!$A$2),0,8)="Sin evaluación")))),"—"))</f>
      </c>
      <c r="H16" s="7" cm="1">
        <f t="array" ref="H16">IF(CONTROL!$B$4&lt;2,"—",IFERROR(_xlfn.LET(_xlpm.vC,(INDEX(_xlfn.ANCHORARRAY(ALUMNADO!$A$2),0,2)="4EP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6" s="7" cm="1">
        <f t="array" ref="I16">IF(CONTROL!$B$4&lt;2,"—",IFERROR(_xlfn.LET(_xlpm.vC,(INDEX(_xlfn.ANCHORARRAY(ALUMNADO!$A$2),0,2)="4EPM"),_xlpm.vN,SUM(--(_xlpm.vC)),IF(_xlpm.vN=0,"—",IF(SUM(_xlpm.vC*(INDEX(_xlfn.ANCHORARRAY(ALUMNADO!$A$2),0,6)&lt;&gt;""))=0,"—",SUM(_xlpm.vC*(INDEX(_xlfn.ANCHORARRAY(ALUMNADO!$A$2),0,7)="Promociona"))/_xlpm.vN))),"—"))</f>
      </c>
    </row>
    <row r="17">
      <c r="A17" s="0" t="inlineStr">
        <is>
          <t xml:space="preserve">5EPM</t>
        </is>
      </c>
      <c r="B17" s="0" cm="1">
        <f t="array" ref="B17">IF(CONTROL!$B$4&lt;2,"—",IFERROR(_xlfn.LET(_xlpm.vC,(INDEX(_xlfn.ANCHORARRAY(ALUMNADO!$A$2),0,2)="5EPM"),_xlpm.vN,SUM(--(_xlpm.vC)),IF(_xlpm.vN=0,"—",_xlpm.vN)),"—"))</f>
      </c>
      <c r="C17" s="0" cm="1">
        <f t="array" ref="C17">IF(CONTROL!$B$4&lt;2,"—",IFERROR(_xlfn.LET(_xlpm.vC,(INDEX(_xlfn.ANCHORARRAY(ALUMNADO!$A$2),0,2)="5EPM"),_xlpm.vN,SUM(--(_xlpm.vC)),IF(_xlpm.vN=0,"—",SUM(_xlpm.vC*(INDEX(_xlfn.ANCHORARRAY(ALUMNADO!$A$2),0,8)="Con evaluación")))),"—"))</f>
      </c>
      <c r="D17" s="0" cm="1">
        <f t="array" ref="D17">IF(CONTROL!$B$4&lt;2,"—",IFERROR(_xlfn.LET(_xlpm.vC,(INDEX(_xlfn.ANCHORARRAY(ALUMNADO!$A$2),0,2)="5EPM"),_xlpm.vN,SUM(--(_xlpm.vC)),IF(_xlpm.vN=0,"—",IF(SUM(_xlpm.vC*(INDEX(_xlfn.ANCHORARRAY(ALUMNADO!$A$2),0,6)&lt;&gt;""))=0,"—",SUM(_xlpm.vC*(INDEX(_xlfn.ANCHORARRAY(ALUMNADO!$A$2),0,7)="Promociona"))))),"—"))</f>
      </c>
      <c r="E17" s="0" cm="1">
        <f t="array" ref="E17">IF(CONTROL!$B$4&lt;2,"—",IFERROR(_xlfn.LET(_xlpm.vC,(INDEX(_xlfn.ANCHORARRAY(ALUMNADO!$A$2),0,2)="5EPM"),_xlpm.vN,SUM(--(_xlpm.vC)),IF(_xlpm.vN=0,"—",IF(SUM(_xlpm.vC*(INDEX(_xlfn.ANCHORARRAY(ALUMNADO!$A$2),0,6)&lt;&gt;""))=0,"—",SUM(_xlpm.vC*(INDEX(_xlfn.ANCHORARRAY(ALUMNADO!$A$2),0,7)="No promociona"))))),"—"))</f>
      </c>
      <c r="F17" s="0" cm="1">
        <f t="array" ref="F17">IF(CONTROL!$B$4&lt;2,"—",IFERROR(_xlfn.LET(_xlpm.vC,(INDEX(_xlfn.ANCHORARRAY(ALUMNADO!$A$2),0,2)="5EPM"),_xlpm.vN,SUM(--(_xlpm.vC)),IF(_xlpm.vN=0,"—",SUM(_xlpm.vC*(INDEX(_xlfn.ANCHORARRAY(ALUMNADO!$A$2),0,8)="Con evaluación")*(INDEX(_xlfn.ANCHORARRAY(ALUMNADO!$A$2),0,7)="Sin decisión")))),"—"))</f>
      </c>
      <c r="G17" s="0" cm="1">
        <f t="array" ref="G17">IF(CONTROL!$B$4&lt;2,"—",IFERROR(_xlfn.LET(_xlpm.vC,(INDEX(_xlfn.ANCHORARRAY(ALUMNADO!$A$2),0,2)="5EPM"),_xlpm.vN,SUM(--(_xlpm.vC)),IF(_xlpm.vN=0,"—",SUM(_xlpm.vC*(INDEX(_xlfn.ANCHORARRAY(ALUMNADO!$A$2),0,8)="Sin evaluación")))),"—"))</f>
      </c>
      <c r="H17" s="7" cm="1">
        <f t="array" ref="H17">IF(CONTROL!$B$4&lt;2,"—",IFERROR(_xlfn.LET(_xlpm.vC,(INDEX(_xlfn.ANCHORARRAY(ALUMNADO!$A$2),0,2)="5EP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7" s="7" cm="1">
        <f t="array" ref="I17">IF(CONTROL!$B$4&lt;2,"—",IFERROR(_xlfn.LET(_xlpm.vC,(INDEX(_xlfn.ANCHORARRAY(ALUMNADO!$A$2),0,2)="5EPM"),_xlpm.vN,SUM(--(_xlpm.vC)),IF(_xlpm.vN=0,"—",IF(SUM(_xlpm.vC*(INDEX(_xlfn.ANCHORARRAY(ALUMNADO!$A$2),0,6)&lt;&gt;""))=0,"—",SUM(_xlpm.vC*(INDEX(_xlfn.ANCHORARRAY(ALUMNADO!$A$2),0,7)="Promociona"))/_xlpm.vN))),"—"))</f>
      </c>
    </row>
    <row r="18">
      <c r="A18" s="0" t="inlineStr">
        <is>
          <t xml:space="preserve">6EPM</t>
        </is>
      </c>
      <c r="B18" s="0" cm="1">
        <f t="array" ref="B18">IF(CONTROL!$B$4&lt;2,"—",IFERROR(_xlfn.LET(_xlpm.vC,(INDEX(_xlfn.ANCHORARRAY(ALUMNADO!$A$2),0,2)="6EPM"),_xlpm.vN,SUM(--(_xlpm.vC)),IF(_xlpm.vN=0,"—",_xlpm.vN)),"—"))</f>
      </c>
      <c r="C18" s="0" cm="1">
        <f t="array" ref="C18">IF(CONTROL!$B$4&lt;2,"—",IFERROR(_xlfn.LET(_xlpm.vC,(INDEX(_xlfn.ANCHORARRAY(ALUMNADO!$A$2),0,2)="6EPM"),_xlpm.vN,SUM(--(_xlpm.vC)),IF(_xlpm.vN=0,"—",SUM(_xlpm.vC*(INDEX(_xlfn.ANCHORARRAY(ALUMNADO!$A$2),0,8)="Con evaluación")))),"—"))</f>
      </c>
      <c r="D18" s="0" cm="1">
        <f t="array" ref="D18">IF(CONTROL!$B$4&lt;2,"—",IFERROR(_xlfn.LET(_xlpm.vC,(INDEX(_xlfn.ANCHORARRAY(ALUMNADO!$A$2),0,2)="6EPM"),_xlpm.vN,SUM(--(_xlpm.vC)),IF(_xlpm.vN=0,"—",IF(SUM(_xlpm.vC*(INDEX(_xlfn.ANCHORARRAY(ALUMNADO!$A$2),0,6)&lt;&gt;""))=0,"—",SUM(_xlpm.vC*(INDEX(_xlfn.ANCHORARRAY(ALUMNADO!$A$2),0,7)="Promociona"))))),"—"))</f>
      </c>
      <c r="E18" s="0" cm="1">
        <f t="array" ref="E18">IF(CONTROL!$B$4&lt;2,"—",IFERROR(_xlfn.LET(_xlpm.vC,(INDEX(_xlfn.ANCHORARRAY(ALUMNADO!$A$2),0,2)="6EPM"),_xlpm.vN,SUM(--(_xlpm.vC)),IF(_xlpm.vN=0,"—",IF(SUM(_xlpm.vC*(INDEX(_xlfn.ANCHORARRAY(ALUMNADO!$A$2),0,6)&lt;&gt;""))=0,"—",SUM(_xlpm.vC*(INDEX(_xlfn.ANCHORARRAY(ALUMNADO!$A$2),0,7)="No promociona"))))),"—"))</f>
      </c>
      <c r="F18" s="0" cm="1">
        <f t="array" ref="F18">IF(CONTROL!$B$4&lt;2,"—",IFERROR(_xlfn.LET(_xlpm.vC,(INDEX(_xlfn.ANCHORARRAY(ALUMNADO!$A$2),0,2)="6EPM"),_xlpm.vN,SUM(--(_xlpm.vC)),IF(_xlpm.vN=0,"—",SUM(_xlpm.vC*(INDEX(_xlfn.ANCHORARRAY(ALUMNADO!$A$2),0,8)="Con evaluación")*(INDEX(_xlfn.ANCHORARRAY(ALUMNADO!$A$2),0,7)="Sin decisión")))),"—"))</f>
      </c>
      <c r="G18" s="0" cm="1">
        <f t="array" ref="G18">IF(CONTROL!$B$4&lt;2,"—",IFERROR(_xlfn.LET(_xlpm.vC,(INDEX(_xlfn.ANCHORARRAY(ALUMNADO!$A$2),0,2)="6EPM"),_xlpm.vN,SUM(--(_xlpm.vC)),IF(_xlpm.vN=0,"—",SUM(_xlpm.vC*(INDEX(_xlfn.ANCHORARRAY(ALUMNADO!$A$2),0,8)="Sin evaluación")))),"—"))</f>
      </c>
      <c r="H18" s="7" cm="1">
        <f t="array" ref="H18">IF(CONTROL!$B$4&lt;2,"—",IFERROR(_xlfn.LET(_xlpm.vC,(INDEX(_xlfn.ANCHORARRAY(ALUMNADO!$A$2),0,2)="6EP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8" s="7" cm="1">
        <f t="array" ref="I18">IF(CONTROL!$B$4&lt;2,"—",IFERROR(_xlfn.LET(_xlpm.vC,(INDEX(_xlfn.ANCHORARRAY(ALUMNADO!$A$2),0,2)="6EPM"),_xlpm.vN,SUM(--(_xlpm.vC)),IF(_xlpm.vN=0,"—",IF(SUM(_xlpm.vC*(INDEX(_xlfn.ANCHORARRAY(ALUMNADO!$A$2),0,6)&lt;&gt;""))=0,"—",SUM(_xlpm.vC*(INDEX(_xlfn.ANCHORARRAY(ALUMNADO!$A$2),0,7)="Promociona"))/_xlpm.vN))),"—"))</f>
      </c>
    </row>
    <row r="19">
      <c r="A19" s="4" t="inlineStr">
        <is>
          <t xml:space="preserve">Total EPM</t>
        </is>
      </c>
      <c r="B19" s="0" cm="1">
        <f t="array" ref="B19">IF(CONTROL!$B$4&lt;2,"—",IFERROR(_xlfn.LET(_xlpm.vC,(INDEX(_xlfn.ANCHORARRAY(ALUMNADO!$A$2),0,3)="EPM"),_xlpm.vN,SUM(--(_xlpm.vC)),IF(_xlpm.vN=0,"—",_xlpm.vN)),"—"))</f>
      </c>
      <c r="C19" s="0" cm="1">
        <f t="array" ref="C19">IF(CONTROL!$B$4&lt;2,"—",IFERROR(_xlfn.LET(_xlpm.vC,(INDEX(_xlfn.ANCHORARRAY(ALUMNADO!$A$2),0,3)="EPM"),_xlpm.vN,SUM(--(_xlpm.vC)),IF(_xlpm.vN=0,"—",SUM(_xlpm.vC*(INDEX(_xlfn.ANCHORARRAY(ALUMNADO!$A$2),0,8)="Con evaluación")))),"—"))</f>
      </c>
      <c r="D19" s="0" cm="1">
        <f t="array" ref="D19">IF(CONTROL!$B$4&lt;2,"—",IFERROR(_xlfn.LET(_xlpm.vC,(INDEX(_xlfn.ANCHORARRAY(ALUMNADO!$A$2),0,3)="EPM"),_xlpm.vN,SUM(--(_xlpm.vC)),IF(_xlpm.vN=0,"—",IF(SUM(_xlpm.vC*(INDEX(_xlfn.ANCHORARRAY(ALUMNADO!$A$2),0,6)&lt;&gt;""))=0,"—",SUM(_xlpm.vC*(INDEX(_xlfn.ANCHORARRAY(ALUMNADO!$A$2),0,7)="Promociona"))))),"—"))</f>
      </c>
      <c r="E19" s="0" cm="1">
        <f t="array" ref="E19">IF(CONTROL!$B$4&lt;2,"—",IFERROR(_xlfn.LET(_xlpm.vC,(INDEX(_xlfn.ANCHORARRAY(ALUMNADO!$A$2),0,3)="EPM"),_xlpm.vN,SUM(--(_xlpm.vC)),IF(_xlpm.vN=0,"—",IF(SUM(_xlpm.vC*(INDEX(_xlfn.ANCHORARRAY(ALUMNADO!$A$2),0,6)&lt;&gt;""))=0,"—",SUM(_xlpm.vC*(INDEX(_xlfn.ANCHORARRAY(ALUMNADO!$A$2),0,7)="No promociona"))))),"—"))</f>
      </c>
      <c r="F19" s="0" cm="1">
        <f t="array" ref="F19">IF(CONTROL!$B$4&lt;2,"—",IFERROR(_xlfn.LET(_xlpm.vC,(INDEX(_xlfn.ANCHORARRAY(ALUMNADO!$A$2),0,3)="EPM"),_xlpm.vN,SUM(--(_xlpm.vC)),IF(_xlpm.vN=0,"—",SUM(_xlpm.vC*(INDEX(_xlfn.ANCHORARRAY(ALUMNADO!$A$2),0,8)="Con evaluación")*(INDEX(_xlfn.ANCHORARRAY(ALUMNADO!$A$2),0,7)="Sin decisión")))),"—"))</f>
      </c>
      <c r="G19" s="0" cm="1">
        <f t="array" ref="G19">IF(CONTROL!$B$4&lt;2,"—",IFERROR(_xlfn.LET(_xlpm.vC,(INDEX(_xlfn.ANCHORARRAY(ALUMNADO!$A$2),0,3)="EPM"),_xlpm.vN,SUM(--(_xlpm.vC)),IF(_xlpm.vN=0,"—",SUM(_xlpm.vC*(INDEX(_xlfn.ANCHORARRAY(ALUMNADO!$A$2),0,8)="Sin evaluación")))),"—"))</f>
      </c>
      <c r="H19" s="7" cm="1">
        <f t="array" ref="H19">IF(CONTROL!$B$4&lt;2,"—",IFERROR(_xlfn.LET(_xlpm.vC,(INDEX(_xlfn.ANCHORARRAY(ALUMNADO!$A$2),0,3)="EP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19" s="7" cm="1">
        <f t="array" ref="I19">IF(CONTROL!$B$4&lt;2,"—",IFERROR(_xlfn.LET(_xlpm.vC,(INDEX(_xlfn.ANCHORARRAY(ALUMNADO!$A$2),0,3)="EPM"),_xlpm.vN,SUM(--(_xlpm.vC)),IF(_xlpm.vN=0,"—",IF(SUM(_xlpm.vC*(INDEX(_xlfn.ANCHORARRAY(ALUMNADO!$A$2),0,6)&lt;&gt;""))=0,"—",SUM(_xlpm.vC*(INDEX(_xlfn.ANCHORARRAY(ALUMNADO!$A$2),0,7)="Promociona"))/_xlpm.vN))),"—"))</f>
      </c>
    </row>
    <row r="20">
      <c r="A20" s="4" t="inlineStr">
        <is>
          <t xml:space="preserve">Total</t>
        </is>
      </c>
      <c r="B20" s="0" cm="1">
        <f t="array" ref="B20">IF(CONTROL!$B$4&lt;2,"—",IFERROR(_xlfn.LET(_xlpm.vC,((INDEX(_xlfn.ANCHORARRAY(ALUMNADO!$A$2),0,3)="EEM")+(INDEX(_xlfn.ANCHORARRAY(ALUMNADO!$A$2),0,3)="EPM")),_xlpm.vN,SUM(--(_xlpm.vC)),IF(_xlpm.vN=0,"—",_xlpm.vN)),"—"))</f>
      </c>
      <c r="C20" s="0" cm="1">
        <f t="array" ref="C20">IF(CONTROL!$B$4&lt;2,"—",IFERROR(_xlfn.LET(_xlpm.vC,((INDEX(_xlfn.ANCHORARRAY(ALUMNADO!$A$2),0,3)="EEM")+(INDEX(_xlfn.ANCHORARRAY(ALUMNADO!$A$2),0,3)="EPM")),_xlpm.vN,SUM(--(_xlpm.vC)),IF(_xlpm.vN=0,"—",SUM(_xlpm.vC*(INDEX(_xlfn.ANCHORARRAY(ALUMNADO!$A$2),0,8)="Con evaluación")))),"—"))</f>
      </c>
      <c r="D20" s="0" cm="1">
        <f t="array" ref="D20">IF(CONTROL!$B$4&lt;2,"—",IFERROR(_xlfn.LET(_xlpm.vC,((INDEX(_xlfn.ANCHORARRAY(ALUMNADO!$A$2),0,3)="EEM")+(INDEX(_xlfn.ANCHORARRAY(ALUMNADO!$A$2),0,3)="EPM")),_xlpm.vN,SUM(--(_xlpm.vC)),IF(_xlpm.vN=0,"—",IF(SUM(_xlpm.vC*(INDEX(_xlfn.ANCHORARRAY(ALUMNADO!$A$2),0,6)&lt;&gt;""))=0,"—",SUM(_xlpm.vC*(INDEX(_xlfn.ANCHORARRAY(ALUMNADO!$A$2),0,7)="Promociona"))))),"—"))</f>
      </c>
      <c r="E20" s="0" cm="1">
        <f t="array" ref="E20">IF(CONTROL!$B$4&lt;2,"—",IFERROR(_xlfn.LET(_xlpm.vC,((INDEX(_xlfn.ANCHORARRAY(ALUMNADO!$A$2),0,3)="EEM")+(INDEX(_xlfn.ANCHORARRAY(ALUMNADO!$A$2),0,3)="EPM")),_xlpm.vN,SUM(--(_xlpm.vC)),IF(_xlpm.vN=0,"—",IF(SUM(_xlpm.vC*(INDEX(_xlfn.ANCHORARRAY(ALUMNADO!$A$2),0,6)&lt;&gt;""))=0,"—",SUM(_xlpm.vC*(INDEX(_xlfn.ANCHORARRAY(ALUMNADO!$A$2),0,7)="No promociona"))))),"—"))</f>
      </c>
      <c r="F20" s="0" cm="1">
        <f t="array" ref="F20">IF(CONTROL!$B$4&lt;2,"—",IFERROR(_xlfn.LET(_xlpm.vC,((INDEX(_xlfn.ANCHORARRAY(ALUMNADO!$A$2),0,3)="EEM")+(INDEX(_xlfn.ANCHORARRAY(ALUMNADO!$A$2),0,3)="EPM")),_xlpm.vN,SUM(--(_xlpm.vC)),IF(_xlpm.vN=0,"—",SUM(_xlpm.vC*(INDEX(_xlfn.ANCHORARRAY(ALUMNADO!$A$2),0,8)="Con evaluación")*(INDEX(_xlfn.ANCHORARRAY(ALUMNADO!$A$2),0,7)="Sin decisión")))),"—"))</f>
      </c>
      <c r="G20" s="0" cm="1">
        <f t="array" ref="G20">IF(CONTROL!$B$4&lt;2,"—",IFERROR(_xlfn.LET(_xlpm.vC,((INDEX(_xlfn.ANCHORARRAY(ALUMNADO!$A$2),0,3)="EEM")+(INDEX(_xlfn.ANCHORARRAY(ALUMNADO!$A$2),0,3)="EPM")),_xlpm.vN,SUM(--(_xlpm.vC)),IF(_xlpm.vN=0,"—",SUM(_xlpm.vC*(INDEX(_xlfn.ANCHORARRAY(ALUMNADO!$A$2),0,8)="Sin evaluación")))),"—"))</f>
      </c>
      <c r="H20" s="7" cm="1">
        <f t="array" ref="H20">IF(CONTROL!$B$4&lt;2,"—",IFERROR(_xlfn.LET(_xlpm.vC,((INDEX(_xlfn.ANCHORARRAY(ALUMNADO!$A$2),0,3)="EEM")+(INDEX(_xlfn.ANCHORARRAY(ALUMNADO!$A$2),0,3)="EPM")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  <c r="I20" s="7" cm="1">
        <f t="array" ref="I20">IF(CONTROL!$B$4&lt;2,"—",IFERROR(_xlfn.LET(_xlpm.vC,((INDEX(_xlfn.ANCHORARRAY(ALUMNADO!$A$2),0,3)="EEM")+(INDEX(_xlfn.ANCHORARRAY(ALUMNADO!$A$2),0,3)="EPM")),_xlpm.vN,SUM(--(_xlpm.vC)),IF(_xlpm.vN=0,"—",IF(SUM(_xlpm.vC*(INDEX(_xlfn.ANCHORARRAY(ALUMNADO!$A$2),0,6)&lt;&gt;""))=0,"—",SUM(_xlpm.vC*(INDEX(_xlfn.ANCHORARRAY(ALUMNADO!$A$2),0,7)="Promociona"))/_xlpm.vN))),"—"))</f>
      </c>
    </row>
    <row r="22">
      <c r="A22" s="4" t="inlineStr">
        <is>
          <t xml:space="preserve">2. Finalizan elementales y titulan en profesionales</t>
        </is>
      </c>
    </row>
    <row r="23">
      <c r="A23" s="5" t="inlineStr">
        <is>
          <t xml:space="preserve">Finalizar es promocionar en 4EEM y titular, en 6EPM, según la columna promociona. Al lado, quién termina sin ninguna suspensa: si la exportación no rellena la decisión, es la otra lectura.</t>
        </is>
      </c>
    </row>
    <row r="24">
      <c r="A24" s="1" t="inlineStr">
        <is>
          <t xml:space="preserve">Curso</t>
        </is>
      </c>
      <c r="B24" s="1" t="inlineStr">
        <is>
          <t xml:space="preserve">Matriculados</t>
        </is>
      </c>
      <c r="C24" s="1" t="inlineStr">
        <is>
          <t xml:space="preserve">Con evaluación</t>
        </is>
      </c>
      <c r="D24" s="1" t="inlineStr">
        <is>
          <t xml:space="preserve">Finalizan o titulan, según la exportación</t>
        </is>
      </c>
      <c r="E24" s="1" t="inlineStr">
        <is>
          <t xml:space="preserve">Terminan sin ninguna suspensa</t>
        </is>
      </c>
      <c r="F24" s="1" t="inlineStr">
        <is>
          <t xml:space="preserve">% sobre evaluados</t>
        </is>
      </c>
    </row>
    <row r="25">
      <c r="A25" s="0" t="inlineStr">
        <is>
          <t xml:space="preserve">4EEM</t>
        </is>
      </c>
      <c r="B25" s="0" cm="1">
        <f t="array" ref="B25">IF(CONTROL!$B$4&lt;2,"—",IFERROR(_xlfn.LET(_xlpm.vC,(INDEX(_xlfn.ANCHORARRAY(ALUMNADO!$A$2),0,2)="4EEM"),_xlpm.vN,SUM(--(_xlpm.vC)),IF(_xlpm.vN=0,"—",_xlpm.vN)),"—"))</f>
      </c>
      <c r="C25" s="0" cm="1">
        <f t="array" ref="C25">IF(CONTROL!$B$4&lt;2,"—",IFERROR(_xlfn.LET(_xlpm.vC,(INDEX(_xlfn.ANCHORARRAY(ALUMNADO!$A$2),0,2)="4EEM"),_xlpm.vN,SUM(--(_xlpm.vC)),IF(_xlpm.vN=0,"—",SUM(_xlpm.vC*(INDEX(_xlfn.ANCHORARRAY(ALUMNADO!$A$2),0,8)="Con evaluación")))),"—"))</f>
      </c>
      <c r="D25" s="0" cm="1">
        <f t="array" ref="D25">IF(CONTROL!$B$4&lt;2,"—",IFERROR(_xlfn.LET(_xlpm.vC,(INDEX(_xlfn.ANCHORARRAY(ALUMNADO!$A$2),0,2)="4EEM"),_xlpm.vN,SUM(--(_xlpm.vC)),IF(_xlpm.vN=0,"—",IF(SUM(_xlpm.vC*(INDEX(_xlfn.ANCHORARRAY(ALUMNADO!$A$2),0,6)&lt;&gt;""))=0,"—",SUM(_xlpm.vC*(INDEX(_xlfn.ANCHORARRAY(ALUMNADO!$A$2),0,7)="Promociona"))))),"—"))</f>
      </c>
      <c r="E25" s="0" cm="1">
        <f t="array" ref="E25">IF(CONTROL!$B$4&lt;2,"—",IFERROR(_xlfn.LET(_xlpm.vC,(INDEX(_xlfn.ANCHORARRAY(ALUMNADO!$A$2),0,2)="4EEM"),_xlpm.vN,SUM(--(_xlpm.vC)),IF(_xlpm.vN=0,"—",SUM(_xlpm.vC*(INDEX(_xlfn.ANCHORARRAY(ALUMNADO!$A$2),0,8)="Con evaluación")*(INDEX(_xlfn.ANCHORARRAY(ALUMNADO!$A$2),0,4)&gt;0)*(INDEX(_xlfn.ANCHORARRAY(ALUMNADO!$A$2),0,5)=0)))),"—"))</f>
      </c>
      <c r="F25" s="7" cm="1">
        <f t="array" ref="F25">IF(CONTROL!$B$4&lt;2,"—",IFERROR(_xlfn.LET(_xlpm.vC,(INDEX(_xlfn.ANCHORARRAY(ALUMNADO!$A$2),0,2)="4EE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</row>
    <row r="26">
      <c r="A26" s="0" t="inlineStr">
        <is>
          <t xml:space="preserve">6EPM</t>
        </is>
      </c>
      <c r="B26" s="0" cm="1">
        <f t="array" ref="B26">IF(CONTROL!$B$4&lt;2,"—",IFERROR(_xlfn.LET(_xlpm.vC,(INDEX(_xlfn.ANCHORARRAY(ALUMNADO!$A$2),0,2)="6EPM"),_xlpm.vN,SUM(--(_xlpm.vC)),IF(_xlpm.vN=0,"—",_xlpm.vN)),"—"))</f>
      </c>
      <c r="C26" s="0" cm="1">
        <f t="array" ref="C26">IF(CONTROL!$B$4&lt;2,"—",IFERROR(_xlfn.LET(_xlpm.vC,(INDEX(_xlfn.ANCHORARRAY(ALUMNADO!$A$2),0,2)="6EPM"),_xlpm.vN,SUM(--(_xlpm.vC)),IF(_xlpm.vN=0,"—",SUM(_xlpm.vC*(INDEX(_xlfn.ANCHORARRAY(ALUMNADO!$A$2),0,8)="Con evaluación")))),"—"))</f>
      </c>
      <c r="D26" s="0" cm="1">
        <f t="array" ref="D26">IF(CONTROL!$B$4&lt;2,"—",IFERROR(_xlfn.LET(_xlpm.vC,(INDEX(_xlfn.ANCHORARRAY(ALUMNADO!$A$2),0,2)="6EPM"),_xlpm.vN,SUM(--(_xlpm.vC)),IF(_xlpm.vN=0,"—",IF(SUM(_xlpm.vC*(INDEX(_xlfn.ANCHORARRAY(ALUMNADO!$A$2),0,6)&lt;&gt;""))=0,"—",SUM(_xlpm.vC*(INDEX(_xlfn.ANCHORARRAY(ALUMNADO!$A$2),0,7)="Promociona"))))),"—"))</f>
      </c>
      <c r="E26" s="0" cm="1">
        <f t="array" ref="E26">IF(CONTROL!$B$4&lt;2,"—",IFERROR(_xlfn.LET(_xlpm.vC,(INDEX(_xlfn.ANCHORARRAY(ALUMNADO!$A$2),0,2)="6EPM"),_xlpm.vN,SUM(--(_xlpm.vC)),IF(_xlpm.vN=0,"—",SUM(_xlpm.vC*(INDEX(_xlfn.ANCHORARRAY(ALUMNADO!$A$2),0,8)="Con evaluación")*(INDEX(_xlfn.ANCHORARRAY(ALUMNADO!$A$2),0,4)&gt;0)*(INDEX(_xlfn.ANCHORARRAY(ALUMNADO!$A$2),0,5)=0)))),"—"))</f>
      </c>
      <c r="F26" s="7" cm="1">
        <f t="array" ref="F26">IF(CONTROL!$B$4&lt;2,"—",IFERROR(_xlfn.LET(_xlpm.vC,(INDEX(_xlfn.ANCHORARRAY(ALUMNADO!$A$2),0,2)="6EPM"),_xlpm.vN,SUM(--(_xlpm.vC)),IF(_xlpm.vN=0,"—",IF(SUM(_xlpm.vC*(INDEX(_xlfn.ANCHORARRAY(ALUMNADO!$A$2),0,6)&lt;&gt;""))=0,"—",IFERROR(SUM(_xlpm.vC*(INDEX(_xlfn.ANCHORARRAY(ALUMNADO!$A$2),0,7)="Promociona"))/SUM(_xlpm.vC*(INDEX(_xlfn.ANCHORARRAY(ALUMNADO!$A$2),0,8)="Con evaluación")),"—")))),"—"))</f>
      </c>
    </row>
    <row r="28">
      <c r="A28" s="4" t="inlineStr">
        <is>
          <t xml:space="preserve">3. Alumnado por número de asignaturas suspensas</t>
        </is>
      </c>
    </row>
    <row r="29">
      <c r="A29" s="5" t="inlineStr">
        <is>
          <t xml:space="preserve">Con la nota final de cada asignatura: la de la extraordinaria si la hay. Es un recuento: no aplica ninguna norma de promoción.</t>
        </is>
      </c>
    </row>
    <row r="30">
      <c r="A30" s="1" t="inlineStr">
        <is>
          <t xml:space="preserve">Curso</t>
        </is>
      </c>
      <c r="B30" s="1" t="inlineStr">
        <is>
          <t xml:space="preserve">Con notas</t>
        </is>
      </c>
      <c r="C30" s="1" t="inlineStr">
        <is>
          <t xml:space="preserve">Ninguna</t>
        </is>
      </c>
      <c r="D30" s="1" t="inlineStr">
        <is>
          <t xml:space="preserve">Una</t>
        </is>
      </c>
      <c r="E30" s="1" t="inlineStr">
        <is>
          <t xml:space="preserve">Dos</t>
        </is>
      </c>
      <c r="F30" s="1" t="inlineStr">
        <is>
          <t xml:space="preserve">Tres o más</t>
        </is>
      </c>
    </row>
    <row r="31">
      <c r="A31" s="0" t="inlineStr">
        <is>
          <t xml:space="preserve">1EEM</t>
        </is>
      </c>
      <c r="B31" s="0" cm="1">
        <f t="array" ref="B31">IF(CONTROL!$B$4&lt;2,"—",IFERROR(_xlfn.LET(_xlpm.vC,(INDEX(_xlfn.ANCHORARRAY(ALUMNADO!$A$2),0,2)="1EEM"),_xlpm.vN,SUM(--(_xlpm.vC)),IF(_xlpm.vN=0,"—",SUM(_xlpm.vC*(INDEX(_xlfn.ANCHORARRAY(ALUMNADO!$A$2),0,4)&gt;0)))),"—"))</f>
      </c>
      <c r="C31" s="0" cm="1">
        <f t="array" ref="C31">IF(CONTROL!$B$4&lt;2,"—",IFERROR(_xlfn.LET(_xlpm.vC,(INDEX(_xlfn.ANCHORARRAY(ALUMNADO!$A$2),0,2)="1EEM"),_xlpm.vN,SUM(--(_xlpm.vC)),IF(_xlpm.vN=0,"—",SUM(_xlpm.vC*(INDEX(_xlfn.ANCHORARRAY(ALUMNADO!$A$2),0,4)&gt;0)*(INDEX(_xlfn.ANCHORARRAY(ALUMNADO!$A$2),0,5)=0)))),"—"))</f>
      </c>
      <c r="D31" s="0" cm="1">
        <f t="array" ref="D31">IF(CONTROL!$B$4&lt;2,"—",IFERROR(_xlfn.LET(_xlpm.vC,(INDEX(_xlfn.ANCHORARRAY(ALUMNADO!$A$2),0,2)="1EEM"),_xlpm.vN,SUM(--(_xlpm.vC)),IF(_xlpm.vN=0,"—",SUM(_xlpm.vC*(INDEX(_xlfn.ANCHORARRAY(ALUMNADO!$A$2),0,4)&gt;0)*(INDEX(_xlfn.ANCHORARRAY(ALUMNADO!$A$2),0,5)=1)))),"—"))</f>
      </c>
      <c r="E31" s="0" cm="1">
        <f t="array" ref="E31">IF(CONTROL!$B$4&lt;2,"—",IFERROR(_xlfn.LET(_xlpm.vC,(INDEX(_xlfn.ANCHORARRAY(ALUMNADO!$A$2),0,2)="1EEM"),_xlpm.vN,SUM(--(_xlpm.vC)),IF(_xlpm.vN=0,"—",SUM(_xlpm.vC*(INDEX(_xlfn.ANCHORARRAY(ALUMNADO!$A$2),0,4)&gt;0)*(INDEX(_xlfn.ANCHORARRAY(ALUMNADO!$A$2),0,5)=2)))),"—"))</f>
      </c>
      <c r="F31" s="0" cm="1">
        <f t="array" ref="F31">IF(CONTROL!$B$4&lt;2,"—",IFERROR(_xlfn.LET(_xlpm.vC,(INDEX(_xlfn.ANCHORARRAY(ALUMNADO!$A$2),0,2)="1EEM"),_xlpm.vN,SUM(--(_xlpm.vC)),IF(_xlpm.vN=0,"—",SUM(_xlpm.vC*(INDEX(_xlfn.ANCHORARRAY(ALUMNADO!$A$2),0,4)&gt;0)*(INDEX(_xlfn.ANCHORARRAY(ALUMNADO!$A$2),0,5)&gt;=3)))),"—"))</f>
      </c>
    </row>
    <row r="32">
      <c r="A32" s="0" t="inlineStr">
        <is>
          <t xml:space="preserve">2EEM</t>
        </is>
      </c>
      <c r="B32" s="0" cm="1">
        <f t="array" ref="B32">IF(CONTROL!$B$4&lt;2,"—",IFERROR(_xlfn.LET(_xlpm.vC,(INDEX(_xlfn.ANCHORARRAY(ALUMNADO!$A$2),0,2)="2EEM"),_xlpm.vN,SUM(--(_xlpm.vC)),IF(_xlpm.vN=0,"—",SUM(_xlpm.vC*(INDEX(_xlfn.ANCHORARRAY(ALUMNADO!$A$2),0,4)&gt;0)))),"—"))</f>
      </c>
      <c r="C32" s="0" cm="1">
        <f t="array" ref="C32">IF(CONTROL!$B$4&lt;2,"—",IFERROR(_xlfn.LET(_xlpm.vC,(INDEX(_xlfn.ANCHORARRAY(ALUMNADO!$A$2),0,2)="2EEM"),_xlpm.vN,SUM(--(_xlpm.vC)),IF(_xlpm.vN=0,"—",SUM(_xlpm.vC*(INDEX(_xlfn.ANCHORARRAY(ALUMNADO!$A$2),0,4)&gt;0)*(INDEX(_xlfn.ANCHORARRAY(ALUMNADO!$A$2),0,5)=0)))),"—"))</f>
      </c>
      <c r="D32" s="0" cm="1">
        <f t="array" ref="D32">IF(CONTROL!$B$4&lt;2,"—",IFERROR(_xlfn.LET(_xlpm.vC,(INDEX(_xlfn.ANCHORARRAY(ALUMNADO!$A$2),0,2)="2EEM"),_xlpm.vN,SUM(--(_xlpm.vC)),IF(_xlpm.vN=0,"—",SUM(_xlpm.vC*(INDEX(_xlfn.ANCHORARRAY(ALUMNADO!$A$2),0,4)&gt;0)*(INDEX(_xlfn.ANCHORARRAY(ALUMNADO!$A$2),0,5)=1)))),"—"))</f>
      </c>
      <c r="E32" s="0" cm="1">
        <f t="array" ref="E32">IF(CONTROL!$B$4&lt;2,"—",IFERROR(_xlfn.LET(_xlpm.vC,(INDEX(_xlfn.ANCHORARRAY(ALUMNADO!$A$2),0,2)="2EEM"),_xlpm.vN,SUM(--(_xlpm.vC)),IF(_xlpm.vN=0,"—",SUM(_xlpm.vC*(INDEX(_xlfn.ANCHORARRAY(ALUMNADO!$A$2),0,4)&gt;0)*(INDEX(_xlfn.ANCHORARRAY(ALUMNADO!$A$2),0,5)=2)))),"—"))</f>
      </c>
      <c r="F32" s="0" cm="1">
        <f t="array" ref="F32">IF(CONTROL!$B$4&lt;2,"—",IFERROR(_xlfn.LET(_xlpm.vC,(INDEX(_xlfn.ANCHORARRAY(ALUMNADO!$A$2),0,2)="2EEM"),_xlpm.vN,SUM(--(_xlpm.vC)),IF(_xlpm.vN=0,"—",SUM(_xlpm.vC*(INDEX(_xlfn.ANCHORARRAY(ALUMNADO!$A$2),0,4)&gt;0)*(INDEX(_xlfn.ANCHORARRAY(ALUMNADO!$A$2),0,5)&gt;=3)))),"—"))</f>
      </c>
    </row>
    <row r="33">
      <c r="A33" s="0" t="inlineStr">
        <is>
          <t xml:space="preserve">3EEM</t>
        </is>
      </c>
      <c r="B33" s="0" cm="1">
        <f t="array" ref="B33">IF(CONTROL!$B$4&lt;2,"—",IFERROR(_xlfn.LET(_xlpm.vC,(INDEX(_xlfn.ANCHORARRAY(ALUMNADO!$A$2),0,2)="3EEM"),_xlpm.vN,SUM(--(_xlpm.vC)),IF(_xlpm.vN=0,"—",SUM(_xlpm.vC*(INDEX(_xlfn.ANCHORARRAY(ALUMNADO!$A$2),0,4)&gt;0)))),"—"))</f>
      </c>
      <c r="C33" s="0" cm="1">
        <f t="array" ref="C33">IF(CONTROL!$B$4&lt;2,"—",IFERROR(_xlfn.LET(_xlpm.vC,(INDEX(_xlfn.ANCHORARRAY(ALUMNADO!$A$2),0,2)="3EEM"),_xlpm.vN,SUM(--(_xlpm.vC)),IF(_xlpm.vN=0,"—",SUM(_xlpm.vC*(INDEX(_xlfn.ANCHORARRAY(ALUMNADO!$A$2),0,4)&gt;0)*(INDEX(_xlfn.ANCHORARRAY(ALUMNADO!$A$2),0,5)=0)))),"—"))</f>
      </c>
      <c r="D33" s="0" cm="1">
        <f t="array" ref="D33">IF(CONTROL!$B$4&lt;2,"—",IFERROR(_xlfn.LET(_xlpm.vC,(INDEX(_xlfn.ANCHORARRAY(ALUMNADO!$A$2),0,2)="3EEM"),_xlpm.vN,SUM(--(_xlpm.vC)),IF(_xlpm.vN=0,"—",SUM(_xlpm.vC*(INDEX(_xlfn.ANCHORARRAY(ALUMNADO!$A$2),0,4)&gt;0)*(INDEX(_xlfn.ANCHORARRAY(ALUMNADO!$A$2),0,5)=1)))),"—"))</f>
      </c>
      <c r="E33" s="0" cm="1">
        <f t="array" ref="E33">IF(CONTROL!$B$4&lt;2,"—",IFERROR(_xlfn.LET(_xlpm.vC,(INDEX(_xlfn.ANCHORARRAY(ALUMNADO!$A$2),0,2)="3EEM"),_xlpm.vN,SUM(--(_xlpm.vC)),IF(_xlpm.vN=0,"—",SUM(_xlpm.vC*(INDEX(_xlfn.ANCHORARRAY(ALUMNADO!$A$2),0,4)&gt;0)*(INDEX(_xlfn.ANCHORARRAY(ALUMNADO!$A$2),0,5)=2)))),"—"))</f>
      </c>
      <c r="F33" s="0" cm="1">
        <f t="array" ref="F33">IF(CONTROL!$B$4&lt;2,"—",IFERROR(_xlfn.LET(_xlpm.vC,(INDEX(_xlfn.ANCHORARRAY(ALUMNADO!$A$2),0,2)="3EEM"),_xlpm.vN,SUM(--(_xlpm.vC)),IF(_xlpm.vN=0,"—",SUM(_xlpm.vC*(INDEX(_xlfn.ANCHORARRAY(ALUMNADO!$A$2),0,4)&gt;0)*(INDEX(_xlfn.ANCHORARRAY(ALUMNADO!$A$2),0,5)&gt;=3)))),"—"))</f>
      </c>
    </row>
    <row r="34">
      <c r="A34" s="0" t="inlineStr">
        <is>
          <t xml:space="preserve">4EEM</t>
        </is>
      </c>
      <c r="B34" s="0" cm="1">
        <f t="array" ref="B34">IF(CONTROL!$B$4&lt;2,"—",IFERROR(_xlfn.LET(_xlpm.vC,(INDEX(_xlfn.ANCHORARRAY(ALUMNADO!$A$2),0,2)="4EEM"),_xlpm.vN,SUM(--(_xlpm.vC)),IF(_xlpm.vN=0,"—",SUM(_xlpm.vC*(INDEX(_xlfn.ANCHORARRAY(ALUMNADO!$A$2),0,4)&gt;0)))),"—"))</f>
      </c>
      <c r="C34" s="0" cm="1">
        <f t="array" ref="C34">IF(CONTROL!$B$4&lt;2,"—",IFERROR(_xlfn.LET(_xlpm.vC,(INDEX(_xlfn.ANCHORARRAY(ALUMNADO!$A$2),0,2)="4EEM"),_xlpm.vN,SUM(--(_xlpm.vC)),IF(_xlpm.vN=0,"—",SUM(_xlpm.vC*(INDEX(_xlfn.ANCHORARRAY(ALUMNADO!$A$2),0,4)&gt;0)*(INDEX(_xlfn.ANCHORARRAY(ALUMNADO!$A$2),0,5)=0)))),"—"))</f>
      </c>
      <c r="D34" s="0" cm="1">
        <f t="array" ref="D34">IF(CONTROL!$B$4&lt;2,"—",IFERROR(_xlfn.LET(_xlpm.vC,(INDEX(_xlfn.ANCHORARRAY(ALUMNADO!$A$2),0,2)="4EEM"),_xlpm.vN,SUM(--(_xlpm.vC)),IF(_xlpm.vN=0,"—",SUM(_xlpm.vC*(INDEX(_xlfn.ANCHORARRAY(ALUMNADO!$A$2),0,4)&gt;0)*(INDEX(_xlfn.ANCHORARRAY(ALUMNADO!$A$2),0,5)=1)))),"—"))</f>
      </c>
      <c r="E34" s="0" cm="1">
        <f t="array" ref="E34">IF(CONTROL!$B$4&lt;2,"—",IFERROR(_xlfn.LET(_xlpm.vC,(INDEX(_xlfn.ANCHORARRAY(ALUMNADO!$A$2),0,2)="4EEM"),_xlpm.vN,SUM(--(_xlpm.vC)),IF(_xlpm.vN=0,"—",SUM(_xlpm.vC*(INDEX(_xlfn.ANCHORARRAY(ALUMNADO!$A$2),0,4)&gt;0)*(INDEX(_xlfn.ANCHORARRAY(ALUMNADO!$A$2),0,5)=2)))),"—"))</f>
      </c>
      <c r="F34" s="0" cm="1">
        <f t="array" ref="F34">IF(CONTROL!$B$4&lt;2,"—",IFERROR(_xlfn.LET(_xlpm.vC,(INDEX(_xlfn.ANCHORARRAY(ALUMNADO!$A$2),0,2)="4EEM"),_xlpm.vN,SUM(--(_xlpm.vC)),IF(_xlpm.vN=0,"—",SUM(_xlpm.vC*(INDEX(_xlfn.ANCHORARRAY(ALUMNADO!$A$2),0,4)&gt;0)*(INDEX(_xlfn.ANCHORARRAY(ALUMNADO!$A$2),0,5)&gt;=3)))),"—"))</f>
      </c>
    </row>
    <row r="35">
      <c r="A35" s="4" t="inlineStr">
        <is>
          <t xml:space="preserve">Total EEM</t>
        </is>
      </c>
      <c r="B35" s="0" cm="1">
        <f t="array" ref="B35">IF(CONTROL!$B$4&lt;2,"—",IFERROR(_xlfn.LET(_xlpm.vC,(INDEX(_xlfn.ANCHORARRAY(ALUMNADO!$A$2),0,3)="EEM"),_xlpm.vN,SUM(--(_xlpm.vC)),IF(_xlpm.vN=0,"—",SUM(_xlpm.vC*(INDEX(_xlfn.ANCHORARRAY(ALUMNADO!$A$2),0,4)&gt;0)))),"—"))</f>
      </c>
      <c r="C35" s="0" cm="1">
        <f t="array" ref="C35">IF(CONTROL!$B$4&lt;2,"—",IFERROR(_xlfn.LET(_xlpm.vC,(INDEX(_xlfn.ANCHORARRAY(ALUMNADO!$A$2),0,3)="EEM"),_xlpm.vN,SUM(--(_xlpm.vC)),IF(_xlpm.vN=0,"—",SUM(_xlpm.vC*(INDEX(_xlfn.ANCHORARRAY(ALUMNADO!$A$2),0,4)&gt;0)*(INDEX(_xlfn.ANCHORARRAY(ALUMNADO!$A$2),0,5)=0)))),"—"))</f>
      </c>
      <c r="D35" s="0" cm="1">
        <f t="array" ref="D35">IF(CONTROL!$B$4&lt;2,"—",IFERROR(_xlfn.LET(_xlpm.vC,(INDEX(_xlfn.ANCHORARRAY(ALUMNADO!$A$2),0,3)="EEM"),_xlpm.vN,SUM(--(_xlpm.vC)),IF(_xlpm.vN=0,"—",SUM(_xlpm.vC*(INDEX(_xlfn.ANCHORARRAY(ALUMNADO!$A$2),0,4)&gt;0)*(INDEX(_xlfn.ANCHORARRAY(ALUMNADO!$A$2),0,5)=1)))),"—"))</f>
      </c>
      <c r="E35" s="0" cm="1">
        <f t="array" ref="E35">IF(CONTROL!$B$4&lt;2,"—",IFERROR(_xlfn.LET(_xlpm.vC,(INDEX(_xlfn.ANCHORARRAY(ALUMNADO!$A$2),0,3)="EEM"),_xlpm.vN,SUM(--(_xlpm.vC)),IF(_xlpm.vN=0,"—",SUM(_xlpm.vC*(INDEX(_xlfn.ANCHORARRAY(ALUMNADO!$A$2),0,4)&gt;0)*(INDEX(_xlfn.ANCHORARRAY(ALUMNADO!$A$2),0,5)=2)))),"—"))</f>
      </c>
      <c r="F35" s="0" cm="1">
        <f t="array" ref="F35">IF(CONTROL!$B$4&lt;2,"—",IFERROR(_xlfn.LET(_xlpm.vC,(INDEX(_xlfn.ANCHORARRAY(ALUMNADO!$A$2),0,3)="EEM"),_xlpm.vN,SUM(--(_xlpm.vC)),IF(_xlpm.vN=0,"—",SUM(_xlpm.vC*(INDEX(_xlfn.ANCHORARRAY(ALUMNADO!$A$2),0,4)&gt;0)*(INDEX(_xlfn.ANCHORARRAY(ALUMNADO!$A$2),0,5)&gt;=3)))),"—"))</f>
      </c>
    </row>
    <row r="36">
      <c r="A36" s="0" t="inlineStr">
        <is>
          <t xml:space="preserve">1EPM</t>
        </is>
      </c>
      <c r="B36" s="0" cm="1">
        <f t="array" ref="B36">IF(CONTROL!$B$4&lt;2,"—",IFERROR(_xlfn.LET(_xlpm.vC,(INDEX(_xlfn.ANCHORARRAY(ALUMNADO!$A$2),0,2)="1EPM"),_xlpm.vN,SUM(--(_xlpm.vC)),IF(_xlpm.vN=0,"—",SUM(_xlpm.vC*(INDEX(_xlfn.ANCHORARRAY(ALUMNADO!$A$2),0,4)&gt;0)))),"—"))</f>
      </c>
      <c r="C36" s="0" cm="1">
        <f t="array" ref="C36">IF(CONTROL!$B$4&lt;2,"—",IFERROR(_xlfn.LET(_xlpm.vC,(INDEX(_xlfn.ANCHORARRAY(ALUMNADO!$A$2),0,2)="1EPM"),_xlpm.vN,SUM(--(_xlpm.vC)),IF(_xlpm.vN=0,"—",SUM(_xlpm.vC*(INDEX(_xlfn.ANCHORARRAY(ALUMNADO!$A$2),0,4)&gt;0)*(INDEX(_xlfn.ANCHORARRAY(ALUMNADO!$A$2),0,5)=0)))),"—"))</f>
      </c>
      <c r="D36" s="0" cm="1">
        <f t="array" ref="D36">IF(CONTROL!$B$4&lt;2,"—",IFERROR(_xlfn.LET(_xlpm.vC,(INDEX(_xlfn.ANCHORARRAY(ALUMNADO!$A$2),0,2)="1EPM"),_xlpm.vN,SUM(--(_xlpm.vC)),IF(_xlpm.vN=0,"—",SUM(_xlpm.vC*(INDEX(_xlfn.ANCHORARRAY(ALUMNADO!$A$2),0,4)&gt;0)*(INDEX(_xlfn.ANCHORARRAY(ALUMNADO!$A$2),0,5)=1)))),"—"))</f>
      </c>
      <c r="E36" s="0" cm="1">
        <f t="array" ref="E36">IF(CONTROL!$B$4&lt;2,"—",IFERROR(_xlfn.LET(_xlpm.vC,(INDEX(_xlfn.ANCHORARRAY(ALUMNADO!$A$2),0,2)="1EPM"),_xlpm.vN,SUM(--(_xlpm.vC)),IF(_xlpm.vN=0,"—",SUM(_xlpm.vC*(INDEX(_xlfn.ANCHORARRAY(ALUMNADO!$A$2),0,4)&gt;0)*(INDEX(_xlfn.ANCHORARRAY(ALUMNADO!$A$2),0,5)=2)))),"—"))</f>
      </c>
      <c r="F36" s="0" cm="1">
        <f t="array" ref="F36">IF(CONTROL!$B$4&lt;2,"—",IFERROR(_xlfn.LET(_xlpm.vC,(INDEX(_xlfn.ANCHORARRAY(ALUMNADO!$A$2),0,2)="1EPM"),_xlpm.vN,SUM(--(_xlpm.vC)),IF(_xlpm.vN=0,"—",SUM(_xlpm.vC*(INDEX(_xlfn.ANCHORARRAY(ALUMNADO!$A$2),0,4)&gt;0)*(INDEX(_xlfn.ANCHORARRAY(ALUMNADO!$A$2),0,5)&gt;=3)))),"—"))</f>
      </c>
    </row>
    <row r="37">
      <c r="A37" s="0" t="inlineStr">
        <is>
          <t xml:space="preserve">2EPM</t>
        </is>
      </c>
      <c r="B37" s="0" cm="1">
        <f t="array" ref="B37">IF(CONTROL!$B$4&lt;2,"—",IFERROR(_xlfn.LET(_xlpm.vC,(INDEX(_xlfn.ANCHORARRAY(ALUMNADO!$A$2),0,2)="2EPM"),_xlpm.vN,SUM(--(_xlpm.vC)),IF(_xlpm.vN=0,"—",SUM(_xlpm.vC*(INDEX(_xlfn.ANCHORARRAY(ALUMNADO!$A$2),0,4)&gt;0)))),"—"))</f>
      </c>
      <c r="C37" s="0" cm="1">
        <f t="array" ref="C37">IF(CONTROL!$B$4&lt;2,"—",IFERROR(_xlfn.LET(_xlpm.vC,(INDEX(_xlfn.ANCHORARRAY(ALUMNADO!$A$2),0,2)="2EPM"),_xlpm.vN,SUM(--(_xlpm.vC)),IF(_xlpm.vN=0,"—",SUM(_xlpm.vC*(INDEX(_xlfn.ANCHORARRAY(ALUMNADO!$A$2),0,4)&gt;0)*(INDEX(_xlfn.ANCHORARRAY(ALUMNADO!$A$2),0,5)=0)))),"—"))</f>
      </c>
      <c r="D37" s="0" cm="1">
        <f t="array" ref="D37">IF(CONTROL!$B$4&lt;2,"—",IFERROR(_xlfn.LET(_xlpm.vC,(INDEX(_xlfn.ANCHORARRAY(ALUMNADO!$A$2),0,2)="2EPM"),_xlpm.vN,SUM(--(_xlpm.vC)),IF(_xlpm.vN=0,"—",SUM(_xlpm.vC*(INDEX(_xlfn.ANCHORARRAY(ALUMNADO!$A$2),0,4)&gt;0)*(INDEX(_xlfn.ANCHORARRAY(ALUMNADO!$A$2),0,5)=1)))),"—"))</f>
      </c>
      <c r="E37" s="0" cm="1">
        <f t="array" ref="E37">IF(CONTROL!$B$4&lt;2,"—",IFERROR(_xlfn.LET(_xlpm.vC,(INDEX(_xlfn.ANCHORARRAY(ALUMNADO!$A$2),0,2)="2EPM"),_xlpm.vN,SUM(--(_xlpm.vC)),IF(_xlpm.vN=0,"—",SUM(_xlpm.vC*(INDEX(_xlfn.ANCHORARRAY(ALUMNADO!$A$2),0,4)&gt;0)*(INDEX(_xlfn.ANCHORARRAY(ALUMNADO!$A$2),0,5)=2)))),"—"))</f>
      </c>
      <c r="F37" s="0" cm="1">
        <f t="array" ref="F37">IF(CONTROL!$B$4&lt;2,"—",IFERROR(_xlfn.LET(_xlpm.vC,(INDEX(_xlfn.ANCHORARRAY(ALUMNADO!$A$2),0,2)="2EPM"),_xlpm.vN,SUM(--(_xlpm.vC)),IF(_xlpm.vN=0,"—",SUM(_xlpm.vC*(INDEX(_xlfn.ANCHORARRAY(ALUMNADO!$A$2),0,4)&gt;0)*(INDEX(_xlfn.ANCHORARRAY(ALUMNADO!$A$2),0,5)&gt;=3)))),"—"))</f>
      </c>
    </row>
    <row r="38">
      <c r="A38" s="0" t="inlineStr">
        <is>
          <t xml:space="preserve">3EPM</t>
        </is>
      </c>
      <c r="B38" s="0" cm="1">
        <f t="array" ref="B38">IF(CONTROL!$B$4&lt;2,"—",IFERROR(_xlfn.LET(_xlpm.vC,(INDEX(_xlfn.ANCHORARRAY(ALUMNADO!$A$2),0,2)="3EPM"),_xlpm.vN,SUM(--(_xlpm.vC)),IF(_xlpm.vN=0,"—",SUM(_xlpm.vC*(INDEX(_xlfn.ANCHORARRAY(ALUMNADO!$A$2),0,4)&gt;0)))),"—"))</f>
      </c>
      <c r="C38" s="0" cm="1">
        <f t="array" ref="C38">IF(CONTROL!$B$4&lt;2,"—",IFERROR(_xlfn.LET(_xlpm.vC,(INDEX(_xlfn.ANCHORARRAY(ALUMNADO!$A$2),0,2)="3EPM"),_xlpm.vN,SUM(--(_xlpm.vC)),IF(_xlpm.vN=0,"—",SUM(_xlpm.vC*(INDEX(_xlfn.ANCHORARRAY(ALUMNADO!$A$2),0,4)&gt;0)*(INDEX(_xlfn.ANCHORARRAY(ALUMNADO!$A$2),0,5)=0)))),"—"))</f>
      </c>
      <c r="D38" s="0" cm="1">
        <f t="array" ref="D38">IF(CONTROL!$B$4&lt;2,"—",IFERROR(_xlfn.LET(_xlpm.vC,(INDEX(_xlfn.ANCHORARRAY(ALUMNADO!$A$2),0,2)="3EPM"),_xlpm.vN,SUM(--(_xlpm.vC)),IF(_xlpm.vN=0,"—",SUM(_xlpm.vC*(INDEX(_xlfn.ANCHORARRAY(ALUMNADO!$A$2),0,4)&gt;0)*(INDEX(_xlfn.ANCHORARRAY(ALUMNADO!$A$2),0,5)=1)))),"—"))</f>
      </c>
      <c r="E38" s="0" cm="1">
        <f t="array" ref="E38">IF(CONTROL!$B$4&lt;2,"—",IFERROR(_xlfn.LET(_xlpm.vC,(INDEX(_xlfn.ANCHORARRAY(ALUMNADO!$A$2),0,2)="3EPM"),_xlpm.vN,SUM(--(_xlpm.vC)),IF(_xlpm.vN=0,"—",SUM(_xlpm.vC*(INDEX(_xlfn.ANCHORARRAY(ALUMNADO!$A$2),0,4)&gt;0)*(INDEX(_xlfn.ANCHORARRAY(ALUMNADO!$A$2),0,5)=2)))),"—"))</f>
      </c>
      <c r="F38" s="0" cm="1">
        <f t="array" ref="F38">IF(CONTROL!$B$4&lt;2,"—",IFERROR(_xlfn.LET(_xlpm.vC,(INDEX(_xlfn.ANCHORARRAY(ALUMNADO!$A$2),0,2)="3EPM"),_xlpm.vN,SUM(--(_xlpm.vC)),IF(_xlpm.vN=0,"—",SUM(_xlpm.vC*(INDEX(_xlfn.ANCHORARRAY(ALUMNADO!$A$2),0,4)&gt;0)*(INDEX(_xlfn.ANCHORARRAY(ALUMNADO!$A$2),0,5)&gt;=3)))),"—"))</f>
      </c>
    </row>
    <row r="39">
      <c r="A39" s="0" t="inlineStr">
        <is>
          <t xml:space="preserve">4EPM</t>
        </is>
      </c>
      <c r="B39" s="0" cm="1">
        <f t="array" ref="B39">IF(CONTROL!$B$4&lt;2,"—",IFERROR(_xlfn.LET(_xlpm.vC,(INDEX(_xlfn.ANCHORARRAY(ALUMNADO!$A$2),0,2)="4EPM"),_xlpm.vN,SUM(--(_xlpm.vC)),IF(_xlpm.vN=0,"—",SUM(_xlpm.vC*(INDEX(_xlfn.ANCHORARRAY(ALUMNADO!$A$2),0,4)&gt;0)))),"—"))</f>
      </c>
      <c r="C39" s="0" cm="1">
        <f t="array" ref="C39">IF(CONTROL!$B$4&lt;2,"—",IFERROR(_xlfn.LET(_xlpm.vC,(INDEX(_xlfn.ANCHORARRAY(ALUMNADO!$A$2),0,2)="4EPM"),_xlpm.vN,SUM(--(_xlpm.vC)),IF(_xlpm.vN=0,"—",SUM(_xlpm.vC*(INDEX(_xlfn.ANCHORARRAY(ALUMNADO!$A$2),0,4)&gt;0)*(INDEX(_xlfn.ANCHORARRAY(ALUMNADO!$A$2),0,5)=0)))),"—"))</f>
      </c>
      <c r="D39" s="0" cm="1">
        <f t="array" ref="D39">IF(CONTROL!$B$4&lt;2,"—",IFERROR(_xlfn.LET(_xlpm.vC,(INDEX(_xlfn.ANCHORARRAY(ALUMNADO!$A$2),0,2)="4EPM"),_xlpm.vN,SUM(--(_xlpm.vC)),IF(_xlpm.vN=0,"—",SUM(_xlpm.vC*(INDEX(_xlfn.ANCHORARRAY(ALUMNADO!$A$2),0,4)&gt;0)*(INDEX(_xlfn.ANCHORARRAY(ALUMNADO!$A$2),0,5)=1)))),"—"))</f>
      </c>
      <c r="E39" s="0" cm="1">
        <f t="array" ref="E39">IF(CONTROL!$B$4&lt;2,"—",IFERROR(_xlfn.LET(_xlpm.vC,(INDEX(_xlfn.ANCHORARRAY(ALUMNADO!$A$2),0,2)="4EPM"),_xlpm.vN,SUM(--(_xlpm.vC)),IF(_xlpm.vN=0,"—",SUM(_xlpm.vC*(INDEX(_xlfn.ANCHORARRAY(ALUMNADO!$A$2),0,4)&gt;0)*(INDEX(_xlfn.ANCHORARRAY(ALUMNADO!$A$2),0,5)=2)))),"—"))</f>
      </c>
      <c r="F39" s="0" cm="1">
        <f t="array" ref="F39">IF(CONTROL!$B$4&lt;2,"—",IFERROR(_xlfn.LET(_xlpm.vC,(INDEX(_xlfn.ANCHORARRAY(ALUMNADO!$A$2),0,2)="4EPM"),_xlpm.vN,SUM(--(_xlpm.vC)),IF(_xlpm.vN=0,"—",SUM(_xlpm.vC*(INDEX(_xlfn.ANCHORARRAY(ALUMNADO!$A$2),0,4)&gt;0)*(INDEX(_xlfn.ANCHORARRAY(ALUMNADO!$A$2),0,5)&gt;=3)))),"—"))</f>
      </c>
    </row>
    <row r="40">
      <c r="A40" s="0" t="inlineStr">
        <is>
          <t xml:space="preserve">5EPM</t>
        </is>
      </c>
      <c r="B40" s="0" cm="1">
        <f t="array" ref="B40">IF(CONTROL!$B$4&lt;2,"—",IFERROR(_xlfn.LET(_xlpm.vC,(INDEX(_xlfn.ANCHORARRAY(ALUMNADO!$A$2),0,2)="5EPM"),_xlpm.vN,SUM(--(_xlpm.vC)),IF(_xlpm.vN=0,"—",SUM(_xlpm.vC*(INDEX(_xlfn.ANCHORARRAY(ALUMNADO!$A$2),0,4)&gt;0)))),"—"))</f>
      </c>
      <c r="C40" s="0" cm="1">
        <f t="array" ref="C40">IF(CONTROL!$B$4&lt;2,"—",IFERROR(_xlfn.LET(_xlpm.vC,(INDEX(_xlfn.ANCHORARRAY(ALUMNADO!$A$2),0,2)="5EPM"),_xlpm.vN,SUM(--(_xlpm.vC)),IF(_xlpm.vN=0,"—",SUM(_xlpm.vC*(INDEX(_xlfn.ANCHORARRAY(ALUMNADO!$A$2),0,4)&gt;0)*(INDEX(_xlfn.ANCHORARRAY(ALUMNADO!$A$2),0,5)=0)))),"—"))</f>
      </c>
      <c r="D40" s="0" cm="1">
        <f t="array" ref="D40">IF(CONTROL!$B$4&lt;2,"—",IFERROR(_xlfn.LET(_xlpm.vC,(INDEX(_xlfn.ANCHORARRAY(ALUMNADO!$A$2),0,2)="5EPM"),_xlpm.vN,SUM(--(_xlpm.vC)),IF(_xlpm.vN=0,"—",SUM(_xlpm.vC*(INDEX(_xlfn.ANCHORARRAY(ALUMNADO!$A$2),0,4)&gt;0)*(INDEX(_xlfn.ANCHORARRAY(ALUMNADO!$A$2),0,5)=1)))),"—"))</f>
      </c>
      <c r="E40" s="0" cm="1">
        <f t="array" ref="E40">IF(CONTROL!$B$4&lt;2,"—",IFERROR(_xlfn.LET(_xlpm.vC,(INDEX(_xlfn.ANCHORARRAY(ALUMNADO!$A$2),0,2)="5EPM"),_xlpm.vN,SUM(--(_xlpm.vC)),IF(_xlpm.vN=0,"—",SUM(_xlpm.vC*(INDEX(_xlfn.ANCHORARRAY(ALUMNADO!$A$2),0,4)&gt;0)*(INDEX(_xlfn.ANCHORARRAY(ALUMNADO!$A$2),0,5)=2)))),"—"))</f>
      </c>
      <c r="F40" s="0" cm="1">
        <f t="array" ref="F40">IF(CONTROL!$B$4&lt;2,"—",IFERROR(_xlfn.LET(_xlpm.vC,(INDEX(_xlfn.ANCHORARRAY(ALUMNADO!$A$2),0,2)="5EPM"),_xlpm.vN,SUM(--(_xlpm.vC)),IF(_xlpm.vN=0,"—",SUM(_xlpm.vC*(INDEX(_xlfn.ANCHORARRAY(ALUMNADO!$A$2),0,4)&gt;0)*(INDEX(_xlfn.ANCHORARRAY(ALUMNADO!$A$2),0,5)&gt;=3)))),"—"))</f>
      </c>
    </row>
    <row r="41">
      <c r="A41" s="0" t="inlineStr">
        <is>
          <t xml:space="preserve">6EPM</t>
        </is>
      </c>
      <c r="B41" s="0" cm="1">
        <f t="array" ref="B41">IF(CONTROL!$B$4&lt;2,"—",IFERROR(_xlfn.LET(_xlpm.vC,(INDEX(_xlfn.ANCHORARRAY(ALUMNADO!$A$2),0,2)="6EPM"),_xlpm.vN,SUM(--(_xlpm.vC)),IF(_xlpm.vN=0,"—",SUM(_xlpm.vC*(INDEX(_xlfn.ANCHORARRAY(ALUMNADO!$A$2),0,4)&gt;0)))),"—"))</f>
      </c>
      <c r="C41" s="0" cm="1">
        <f t="array" ref="C41">IF(CONTROL!$B$4&lt;2,"—",IFERROR(_xlfn.LET(_xlpm.vC,(INDEX(_xlfn.ANCHORARRAY(ALUMNADO!$A$2),0,2)="6EPM"),_xlpm.vN,SUM(--(_xlpm.vC)),IF(_xlpm.vN=0,"—",SUM(_xlpm.vC*(INDEX(_xlfn.ANCHORARRAY(ALUMNADO!$A$2),0,4)&gt;0)*(INDEX(_xlfn.ANCHORARRAY(ALUMNADO!$A$2),0,5)=0)))),"—"))</f>
      </c>
      <c r="D41" s="0" cm="1">
        <f t="array" ref="D41">IF(CONTROL!$B$4&lt;2,"—",IFERROR(_xlfn.LET(_xlpm.vC,(INDEX(_xlfn.ANCHORARRAY(ALUMNADO!$A$2),0,2)="6EPM"),_xlpm.vN,SUM(--(_xlpm.vC)),IF(_xlpm.vN=0,"—",SUM(_xlpm.vC*(INDEX(_xlfn.ANCHORARRAY(ALUMNADO!$A$2),0,4)&gt;0)*(INDEX(_xlfn.ANCHORARRAY(ALUMNADO!$A$2),0,5)=1)))),"—"))</f>
      </c>
      <c r="E41" s="0" cm="1">
        <f t="array" ref="E41">IF(CONTROL!$B$4&lt;2,"—",IFERROR(_xlfn.LET(_xlpm.vC,(INDEX(_xlfn.ANCHORARRAY(ALUMNADO!$A$2),0,2)="6EPM"),_xlpm.vN,SUM(--(_xlpm.vC)),IF(_xlpm.vN=0,"—",SUM(_xlpm.vC*(INDEX(_xlfn.ANCHORARRAY(ALUMNADO!$A$2),0,4)&gt;0)*(INDEX(_xlfn.ANCHORARRAY(ALUMNADO!$A$2),0,5)=2)))),"—"))</f>
      </c>
      <c r="F41" s="0" cm="1">
        <f t="array" ref="F41">IF(CONTROL!$B$4&lt;2,"—",IFERROR(_xlfn.LET(_xlpm.vC,(INDEX(_xlfn.ANCHORARRAY(ALUMNADO!$A$2),0,2)="6EPM"),_xlpm.vN,SUM(--(_xlpm.vC)),IF(_xlpm.vN=0,"—",SUM(_xlpm.vC*(INDEX(_xlfn.ANCHORARRAY(ALUMNADO!$A$2),0,4)&gt;0)*(INDEX(_xlfn.ANCHORARRAY(ALUMNADO!$A$2),0,5)&gt;=3)))),"—"))</f>
      </c>
    </row>
    <row r="42">
      <c r="A42" s="4" t="inlineStr">
        <is>
          <t xml:space="preserve">Total EPM</t>
        </is>
      </c>
      <c r="B42" s="0" cm="1">
        <f t="array" ref="B42">IF(CONTROL!$B$4&lt;2,"—",IFERROR(_xlfn.LET(_xlpm.vC,(INDEX(_xlfn.ANCHORARRAY(ALUMNADO!$A$2),0,3)="EPM"),_xlpm.vN,SUM(--(_xlpm.vC)),IF(_xlpm.vN=0,"—",SUM(_xlpm.vC*(INDEX(_xlfn.ANCHORARRAY(ALUMNADO!$A$2),0,4)&gt;0)))),"—"))</f>
      </c>
      <c r="C42" s="0" cm="1">
        <f t="array" ref="C42">IF(CONTROL!$B$4&lt;2,"—",IFERROR(_xlfn.LET(_xlpm.vC,(INDEX(_xlfn.ANCHORARRAY(ALUMNADO!$A$2),0,3)="EPM"),_xlpm.vN,SUM(--(_xlpm.vC)),IF(_xlpm.vN=0,"—",SUM(_xlpm.vC*(INDEX(_xlfn.ANCHORARRAY(ALUMNADO!$A$2),0,4)&gt;0)*(INDEX(_xlfn.ANCHORARRAY(ALUMNADO!$A$2),0,5)=0)))),"—"))</f>
      </c>
      <c r="D42" s="0" cm="1">
        <f t="array" ref="D42">IF(CONTROL!$B$4&lt;2,"—",IFERROR(_xlfn.LET(_xlpm.vC,(INDEX(_xlfn.ANCHORARRAY(ALUMNADO!$A$2),0,3)="EPM"),_xlpm.vN,SUM(--(_xlpm.vC)),IF(_xlpm.vN=0,"—",SUM(_xlpm.vC*(INDEX(_xlfn.ANCHORARRAY(ALUMNADO!$A$2),0,4)&gt;0)*(INDEX(_xlfn.ANCHORARRAY(ALUMNADO!$A$2),0,5)=1)))),"—"))</f>
      </c>
      <c r="E42" s="0" cm="1">
        <f t="array" ref="E42">IF(CONTROL!$B$4&lt;2,"—",IFERROR(_xlfn.LET(_xlpm.vC,(INDEX(_xlfn.ANCHORARRAY(ALUMNADO!$A$2),0,3)="EPM"),_xlpm.vN,SUM(--(_xlpm.vC)),IF(_xlpm.vN=0,"—",SUM(_xlpm.vC*(INDEX(_xlfn.ANCHORARRAY(ALUMNADO!$A$2),0,4)&gt;0)*(INDEX(_xlfn.ANCHORARRAY(ALUMNADO!$A$2),0,5)=2)))),"—"))</f>
      </c>
      <c r="F42" s="0" cm="1">
        <f t="array" ref="F42">IF(CONTROL!$B$4&lt;2,"—",IFERROR(_xlfn.LET(_xlpm.vC,(INDEX(_xlfn.ANCHORARRAY(ALUMNADO!$A$2),0,3)="EPM"),_xlpm.vN,SUM(--(_xlpm.vC)),IF(_xlpm.vN=0,"—",SUM(_xlpm.vC*(INDEX(_xlfn.ANCHORARRAY(ALUMNADO!$A$2),0,4)&gt;0)*(INDEX(_xlfn.ANCHORARRAY(ALUMNADO!$A$2),0,5)&gt;=3)))),"—"))</f>
      </c>
    </row>
    <row r="43">
      <c r="A43" s="4" t="inlineStr">
        <is>
          <t xml:space="preserve">Total</t>
        </is>
      </c>
      <c r="B43" s="0" cm="1">
        <f t="array" ref="B43">IF(CONTROL!$B$4&lt;2,"—",IFERROR(_xlfn.LET(_xlpm.vC,((INDEX(_xlfn.ANCHORARRAY(ALUMNADO!$A$2),0,3)="EEM")+(INDEX(_xlfn.ANCHORARRAY(ALUMNADO!$A$2),0,3)="EPM")),_xlpm.vN,SUM(--(_xlpm.vC)),IF(_xlpm.vN=0,"—",SUM(_xlpm.vC*(INDEX(_xlfn.ANCHORARRAY(ALUMNADO!$A$2),0,4)&gt;0)))),"—"))</f>
      </c>
      <c r="C43" s="0" cm="1">
        <f t="array" ref="C43">IF(CONTROL!$B$4&lt;2,"—",IFERROR(_xlfn.LET(_xlpm.vC,((INDEX(_xlfn.ANCHORARRAY(ALUMNADO!$A$2),0,3)="EEM")+(INDEX(_xlfn.ANCHORARRAY(ALUMNADO!$A$2),0,3)="EPM")),_xlpm.vN,SUM(--(_xlpm.vC)),IF(_xlpm.vN=0,"—",SUM(_xlpm.vC*(INDEX(_xlfn.ANCHORARRAY(ALUMNADO!$A$2),0,4)&gt;0)*(INDEX(_xlfn.ANCHORARRAY(ALUMNADO!$A$2),0,5)=0)))),"—"))</f>
      </c>
      <c r="D43" s="0" cm="1">
        <f t="array" ref="D43">IF(CONTROL!$B$4&lt;2,"—",IFERROR(_xlfn.LET(_xlpm.vC,((INDEX(_xlfn.ANCHORARRAY(ALUMNADO!$A$2),0,3)="EEM")+(INDEX(_xlfn.ANCHORARRAY(ALUMNADO!$A$2),0,3)="EPM")),_xlpm.vN,SUM(--(_xlpm.vC)),IF(_xlpm.vN=0,"—",SUM(_xlpm.vC*(INDEX(_xlfn.ANCHORARRAY(ALUMNADO!$A$2),0,4)&gt;0)*(INDEX(_xlfn.ANCHORARRAY(ALUMNADO!$A$2),0,5)=1)))),"—"))</f>
      </c>
      <c r="E43" s="0" cm="1">
        <f t="array" ref="E43">IF(CONTROL!$B$4&lt;2,"—",IFERROR(_xlfn.LET(_xlpm.vC,((INDEX(_xlfn.ANCHORARRAY(ALUMNADO!$A$2),0,3)="EEM")+(INDEX(_xlfn.ANCHORARRAY(ALUMNADO!$A$2),0,3)="EPM")),_xlpm.vN,SUM(--(_xlpm.vC)),IF(_xlpm.vN=0,"—",SUM(_xlpm.vC*(INDEX(_xlfn.ANCHORARRAY(ALUMNADO!$A$2),0,4)&gt;0)*(INDEX(_xlfn.ANCHORARRAY(ALUMNADO!$A$2),0,5)=2)))),"—"))</f>
      </c>
      <c r="F43" s="0" cm="1">
        <f t="array" ref="F43">IF(CONTROL!$B$4&lt;2,"—",IFERROR(_xlfn.LET(_xlpm.vC,((INDEX(_xlfn.ANCHORARRAY(ALUMNADO!$A$2),0,3)="EEM")+(INDEX(_xlfn.ANCHORARRAY(ALUMNADO!$A$2),0,3)="EPM")),_xlpm.vN,SUM(--(_xlpm.vC)),IF(_xlpm.vN=0,"—",SUM(_xlpm.vC*(INDEX(_xlfn.ANCHORARRAY(ALUMNADO!$A$2),0,4)&gt;0)*(INDEX(_xlfn.ANCHORARRAY(ALUMNADO!$A$2),0,5)&gt;=3)))),"—"))</f>
      </c>
    </row>
    <row r="45">
      <c r="A45" s="4" t="inlineStr">
        <is>
          <t xml:space="preserve">4. Asignaturas pendientes</t>
        </is>
      </c>
    </row>
    <row r="46">
      <c r="A46" s="5" t="inlineStr">
        <is>
          <t xml:space="preserve">Por curso de matrícula: las pendientes de cursos anteriores que el alumnado cursa este año. Superada: nota final de 5 o más.</t>
        </is>
      </c>
    </row>
    <row r="47">
      <c r="A47" s="1" t="inlineStr">
        <is>
          <t xml:space="preserve">Curso</t>
        </is>
      </c>
      <c r="B47" s="1" t="inlineStr">
        <is>
          <t xml:space="preserve">Pendientes</t>
        </is>
      </c>
      <c r="C47" s="1" t="inlineStr">
        <is>
          <t xml:space="preserve">Superadas</t>
        </is>
      </c>
      <c r="D47" s="1" t="inlineStr">
        <is>
          <t xml:space="preserve">No superadas</t>
        </is>
      </c>
      <c r="E47" s="1" t="inlineStr">
        <is>
          <t xml:space="preserve">Sin nota</t>
        </is>
      </c>
    </row>
    <row r="48">
      <c r="A48" s="0" t="inlineStr">
        <is>
          <t xml:space="preserve">1EEM</t>
        </is>
      </c>
      <c r="B48" s="0" cm="1">
        <f t="array" ref="B48">IF(CONTROL!$B$4&lt;2,"—",IFERROR(_xlfn.LET(_xlpm.vC,(INDEX(_xlfn.ANCHORARRAY(FILAS!$A$2),0,2)="1EEM"),_xlpm.vN,SUM(--(_xlpm.vC)),IF(_xlpm.vN=0,"—",SUM(_xlpm.vC*(INDEX(_xlfn.ANCHORARRAY(FILAS!$A$2),0,7)="Pendiente")*(INDEX(_xlfn.ANCHORARRAY(FILAS!$A$2),0,5)&lt;&gt;"EX")))),"—"))</f>
      </c>
      <c r="C48" s="0" cm="1">
        <f t="array" ref="C48">IF(CONTROL!$B$4&lt;2,"—",IFERROR(_xlfn.LET(_xlpm.vC,(INDEX(_xlfn.ANCHORARRAY(FILAS!$A$2),0,2)="1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48" s="0" cm="1">
        <f t="array" ref="D48">IF(CONTROL!$B$4&lt;2,"—",IFERROR(_xlfn.LET(_xlpm.vC,(INDEX(_xlfn.ANCHORARRAY(FILAS!$A$2),0,2)="1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48" s="0" cm="1">
        <f t="array" ref="E48">IF(CONTROL!$B$4&lt;2,"—",IFERROR(_xlfn.LET(_xlpm.vC,(INDEX(_xlfn.ANCHORARRAY(FILAS!$A$2),0,2)="1EEM"),_xlpm.vN,SUM(--(_xlpm.vC)),IF(_xlpm.vN=0,"—",SUM(_xlpm.vC*(INDEX(_xlfn.ANCHORARRAY(FILAS!$A$2),0,7)="Pendiente")*(INDEX(_xlfn.ANCHORARRAY(FILAS!$A$2),0,5)&lt;&gt;"EX")*(1-ISNUMBER(INDEX(_xlfn.ANCHORARRAY(FILAS!$A$2),0,10)))))),"—"))</f>
      </c>
    </row>
    <row r="49">
      <c r="A49" s="0" t="inlineStr">
        <is>
          <t xml:space="preserve">2EEM</t>
        </is>
      </c>
      <c r="B49" s="0" cm="1">
        <f t="array" ref="B49">IF(CONTROL!$B$4&lt;2,"—",IFERROR(_xlfn.LET(_xlpm.vC,(INDEX(_xlfn.ANCHORARRAY(FILAS!$A$2),0,2)="2EEM"),_xlpm.vN,SUM(--(_xlpm.vC)),IF(_xlpm.vN=0,"—",SUM(_xlpm.vC*(INDEX(_xlfn.ANCHORARRAY(FILAS!$A$2),0,7)="Pendiente")*(INDEX(_xlfn.ANCHORARRAY(FILAS!$A$2),0,5)&lt;&gt;"EX")))),"—"))</f>
      </c>
      <c r="C49" s="0" cm="1">
        <f t="array" ref="C49">IF(CONTROL!$B$4&lt;2,"—",IFERROR(_xlfn.LET(_xlpm.vC,(INDEX(_xlfn.ANCHORARRAY(FILAS!$A$2),0,2)="2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49" s="0" cm="1">
        <f t="array" ref="D49">IF(CONTROL!$B$4&lt;2,"—",IFERROR(_xlfn.LET(_xlpm.vC,(INDEX(_xlfn.ANCHORARRAY(FILAS!$A$2),0,2)="2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49" s="0" cm="1">
        <f t="array" ref="E49">IF(CONTROL!$B$4&lt;2,"—",IFERROR(_xlfn.LET(_xlpm.vC,(INDEX(_xlfn.ANCHORARRAY(FILAS!$A$2),0,2)="2EE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0">
      <c r="A50" s="0" t="inlineStr">
        <is>
          <t xml:space="preserve">3EEM</t>
        </is>
      </c>
      <c r="B50" s="0" cm="1">
        <f t="array" ref="B50">IF(CONTROL!$B$4&lt;2,"—",IFERROR(_xlfn.LET(_xlpm.vC,(INDEX(_xlfn.ANCHORARRAY(FILAS!$A$2),0,2)="3EEM"),_xlpm.vN,SUM(--(_xlpm.vC)),IF(_xlpm.vN=0,"—",SUM(_xlpm.vC*(INDEX(_xlfn.ANCHORARRAY(FILAS!$A$2),0,7)="Pendiente")*(INDEX(_xlfn.ANCHORARRAY(FILAS!$A$2),0,5)&lt;&gt;"EX")))),"—"))</f>
      </c>
      <c r="C50" s="0" cm="1">
        <f t="array" ref="C50">IF(CONTROL!$B$4&lt;2,"—",IFERROR(_xlfn.LET(_xlpm.vC,(INDEX(_xlfn.ANCHORARRAY(FILAS!$A$2),0,2)="3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0" s="0" cm="1">
        <f t="array" ref="D50">IF(CONTROL!$B$4&lt;2,"—",IFERROR(_xlfn.LET(_xlpm.vC,(INDEX(_xlfn.ANCHORARRAY(FILAS!$A$2),0,2)="3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0" s="0" cm="1">
        <f t="array" ref="E50">IF(CONTROL!$B$4&lt;2,"—",IFERROR(_xlfn.LET(_xlpm.vC,(INDEX(_xlfn.ANCHORARRAY(FILAS!$A$2),0,2)="3EE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1">
      <c r="A51" s="0" t="inlineStr">
        <is>
          <t xml:space="preserve">4EEM</t>
        </is>
      </c>
      <c r="B51" s="0" cm="1">
        <f t="array" ref="B51">IF(CONTROL!$B$4&lt;2,"—",IFERROR(_xlfn.LET(_xlpm.vC,(INDEX(_xlfn.ANCHORARRAY(FILAS!$A$2),0,2)="4EEM"),_xlpm.vN,SUM(--(_xlpm.vC)),IF(_xlpm.vN=0,"—",SUM(_xlpm.vC*(INDEX(_xlfn.ANCHORARRAY(FILAS!$A$2),0,7)="Pendiente")*(INDEX(_xlfn.ANCHORARRAY(FILAS!$A$2),0,5)&lt;&gt;"EX")))),"—"))</f>
      </c>
      <c r="C51" s="0" cm="1">
        <f t="array" ref="C51">IF(CONTROL!$B$4&lt;2,"—",IFERROR(_xlfn.LET(_xlpm.vC,(INDEX(_xlfn.ANCHORARRAY(FILAS!$A$2),0,2)="4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1" s="0" cm="1">
        <f t="array" ref="D51">IF(CONTROL!$B$4&lt;2,"—",IFERROR(_xlfn.LET(_xlpm.vC,(INDEX(_xlfn.ANCHORARRAY(FILAS!$A$2),0,2)="4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1" s="0" cm="1">
        <f t="array" ref="E51">IF(CONTROL!$B$4&lt;2,"—",IFERROR(_xlfn.LET(_xlpm.vC,(INDEX(_xlfn.ANCHORARRAY(FILAS!$A$2),0,2)="4EE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2">
      <c r="A52" s="4" t="inlineStr">
        <is>
          <t xml:space="preserve">Total EEM</t>
        </is>
      </c>
      <c r="B52" s="0" cm="1">
        <f t="array" ref="B52">IF(CONTROL!$B$4&lt;2,"—",IFERROR(_xlfn.LET(_xlpm.vC,(RIGHT(INDEX(_xlfn.ANCHORARRAY(FILAS!$A$2),0,2),3)="EEM"),_xlpm.vN,SUM(--(_xlpm.vC)),IF(_xlpm.vN=0,"—",SUM(_xlpm.vC*(INDEX(_xlfn.ANCHORARRAY(FILAS!$A$2),0,7)="Pendiente")*(INDEX(_xlfn.ANCHORARRAY(FILAS!$A$2),0,5)&lt;&gt;"EX")))),"—"))</f>
      </c>
      <c r="C52" s="0" cm="1">
        <f t="array" ref="C52">IF(CONTROL!$B$4&lt;2,"—",IFERROR(_xlfn.LET(_xlpm.vC,(RIGHT(INDEX(_xlfn.ANCHORARRAY(FILAS!$A$2),0,2),3)="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2" s="0" cm="1">
        <f t="array" ref="D52">IF(CONTROL!$B$4&lt;2,"—",IFERROR(_xlfn.LET(_xlpm.vC,(RIGHT(INDEX(_xlfn.ANCHORARRAY(FILAS!$A$2),0,2),3)="EE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2" s="0" cm="1">
        <f t="array" ref="E52">IF(CONTROL!$B$4&lt;2,"—",IFERROR(_xlfn.LET(_xlpm.vC,(RIGHT(INDEX(_xlfn.ANCHORARRAY(FILAS!$A$2),0,2),3)="EE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3">
      <c r="A53" s="0" t="inlineStr">
        <is>
          <t xml:space="preserve">1EPM</t>
        </is>
      </c>
      <c r="B53" s="0" cm="1">
        <f t="array" ref="B53">IF(CONTROL!$B$4&lt;2,"—",IFERROR(_xlfn.LET(_xlpm.vC,(INDEX(_xlfn.ANCHORARRAY(FILAS!$A$2),0,2)="1EPM"),_xlpm.vN,SUM(--(_xlpm.vC)),IF(_xlpm.vN=0,"—",SUM(_xlpm.vC*(INDEX(_xlfn.ANCHORARRAY(FILAS!$A$2),0,7)="Pendiente")*(INDEX(_xlfn.ANCHORARRAY(FILAS!$A$2),0,5)&lt;&gt;"EX")))),"—"))</f>
      </c>
      <c r="C53" s="0" cm="1">
        <f t="array" ref="C53">IF(CONTROL!$B$4&lt;2,"—",IFERROR(_xlfn.LET(_xlpm.vC,(INDEX(_xlfn.ANCHORARRAY(FILAS!$A$2),0,2)="1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3" s="0" cm="1">
        <f t="array" ref="D53">IF(CONTROL!$B$4&lt;2,"—",IFERROR(_xlfn.LET(_xlpm.vC,(INDEX(_xlfn.ANCHORARRAY(FILAS!$A$2),0,2)="1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3" s="0" cm="1">
        <f t="array" ref="E53">IF(CONTROL!$B$4&lt;2,"—",IFERROR(_xlfn.LET(_xlpm.vC,(INDEX(_xlfn.ANCHORARRAY(FILAS!$A$2),0,2)="1EP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4">
      <c r="A54" s="0" t="inlineStr">
        <is>
          <t xml:space="preserve">2EPM</t>
        </is>
      </c>
      <c r="B54" s="0" cm="1">
        <f t="array" ref="B54">IF(CONTROL!$B$4&lt;2,"—",IFERROR(_xlfn.LET(_xlpm.vC,(INDEX(_xlfn.ANCHORARRAY(FILAS!$A$2),0,2)="2EPM"),_xlpm.vN,SUM(--(_xlpm.vC)),IF(_xlpm.vN=0,"—",SUM(_xlpm.vC*(INDEX(_xlfn.ANCHORARRAY(FILAS!$A$2),0,7)="Pendiente")*(INDEX(_xlfn.ANCHORARRAY(FILAS!$A$2),0,5)&lt;&gt;"EX")))),"—"))</f>
      </c>
      <c r="C54" s="0" cm="1">
        <f t="array" ref="C54">IF(CONTROL!$B$4&lt;2,"—",IFERROR(_xlfn.LET(_xlpm.vC,(INDEX(_xlfn.ANCHORARRAY(FILAS!$A$2),0,2)="2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4" s="0" cm="1">
        <f t="array" ref="D54">IF(CONTROL!$B$4&lt;2,"—",IFERROR(_xlfn.LET(_xlpm.vC,(INDEX(_xlfn.ANCHORARRAY(FILAS!$A$2),0,2)="2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4" s="0" cm="1">
        <f t="array" ref="E54">IF(CONTROL!$B$4&lt;2,"—",IFERROR(_xlfn.LET(_xlpm.vC,(INDEX(_xlfn.ANCHORARRAY(FILAS!$A$2),0,2)="2EP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5">
      <c r="A55" s="0" t="inlineStr">
        <is>
          <t xml:space="preserve">3EPM</t>
        </is>
      </c>
      <c r="B55" s="0" cm="1">
        <f t="array" ref="B55">IF(CONTROL!$B$4&lt;2,"—",IFERROR(_xlfn.LET(_xlpm.vC,(INDEX(_xlfn.ANCHORARRAY(FILAS!$A$2),0,2)="3EPM"),_xlpm.vN,SUM(--(_xlpm.vC)),IF(_xlpm.vN=0,"—",SUM(_xlpm.vC*(INDEX(_xlfn.ANCHORARRAY(FILAS!$A$2),0,7)="Pendiente")*(INDEX(_xlfn.ANCHORARRAY(FILAS!$A$2),0,5)&lt;&gt;"EX")))),"—"))</f>
      </c>
      <c r="C55" s="0" cm="1">
        <f t="array" ref="C55">IF(CONTROL!$B$4&lt;2,"—",IFERROR(_xlfn.LET(_xlpm.vC,(INDEX(_xlfn.ANCHORARRAY(FILAS!$A$2),0,2)="3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5" s="0" cm="1">
        <f t="array" ref="D55">IF(CONTROL!$B$4&lt;2,"—",IFERROR(_xlfn.LET(_xlpm.vC,(INDEX(_xlfn.ANCHORARRAY(FILAS!$A$2),0,2)="3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5" s="0" cm="1">
        <f t="array" ref="E55">IF(CONTROL!$B$4&lt;2,"—",IFERROR(_xlfn.LET(_xlpm.vC,(INDEX(_xlfn.ANCHORARRAY(FILAS!$A$2),0,2)="3EP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6">
      <c r="A56" s="0" t="inlineStr">
        <is>
          <t xml:space="preserve">4EPM</t>
        </is>
      </c>
      <c r="B56" s="0" cm="1">
        <f t="array" ref="B56">IF(CONTROL!$B$4&lt;2,"—",IFERROR(_xlfn.LET(_xlpm.vC,(INDEX(_xlfn.ANCHORARRAY(FILAS!$A$2),0,2)="4EPM"),_xlpm.vN,SUM(--(_xlpm.vC)),IF(_xlpm.vN=0,"—",SUM(_xlpm.vC*(INDEX(_xlfn.ANCHORARRAY(FILAS!$A$2),0,7)="Pendiente")*(INDEX(_xlfn.ANCHORARRAY(FILAS!$A$2),0,5)&lt;&gt;"EX")))),"—"))</f>
      </c>
      <c r="C56" s="0" cm="1">
        <f t="array" ref="C56">IF(CONTROL!$B$4&lt;2,"—",IFERROR(_xlfn.LET(_xlpm.vC,(INDEX(_xlfn.ANCHORARRAY(FILAS!$A$2),0,2)="4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6" s="0" cm="1">
        <f t="array" ref="D56">IF(CONTROL!$B$4&lt;2,"—",IFERROR(_xlfn.LET(_xlpm.vC,(INDEX(_xlfn.ANCHORARRAY(FILAS!$A$2),0,2)="4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6" s="0" cm="1">
        <f t="array" ref="E56">IF(CONTROL!$B$4&lt;2,"—",IFERROR(_xlfn.LET(_xlpm.vC,(INDEX(_xlfn.ANCHORARRAY(FILAS!$A$2),0,2)="4EP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7">
      <c r="A57" s="0" t="inlineStr">
        <is>
          <t xml:space="preserve">5EPM</t>
        </is>
      </c>
      <c r="B57" s="0" cm="1">
        <f t="array" ref="B57">IF(CONTROL!$B$4&lt;2,"—",IFERROR(_xlfn.LET(_xlpm.vC,(INDEX(_xlfn.ANCHORARRAY(FILAS!$A$2),0,2)="5EPM"),_xlpm.vN,SUM(--(_xlpm.vC)),IF(_xlpm.vN=0,"—",SUM(_xlpm.vC*(INDEX(_xlfn.ANCHORARRAY(FILAS!$A$2),0,7)="Pendiente")*(INDEX(_xlfn.ANCHORARRAY(FILAS!$A$2),0,5)&lt;&gt;"EX")))),"—"))</f>
      </c>
      <c r="C57" s="0" cm="1">
        <f t="array" ref="C57">IF(CONTROL!$B$4&lt;2,"—",IFERROR(_xlfn.LET(_xlpm.vC,(INDEX(_xlfn.ANCHORARRAY(FILAS!$A$2),0,2)="5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7" s="0" cm="1">
        <f t="array" ref="D57">IF(CONTROL!$B$4&lt;2,"—",IFERROR(_xlfn.LET(_xlpm.vC,(INDEX(_xlfn.ANCHORARRAY(FILAS!$A$2),0,2)="5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7" s="0" cm="1">
        <f t="array" ref="E57">IF(CONTROL!$B$4&lt;2,"—",IFERROR(_xlfn.LET(_xlpm.vC,(INDEX(_xlfn.ANCHORARRAY(FILAS!$A$2),0,2)="5EP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8">
      <c r="A58" s="0" t="inlineStr">
        <is>
          <t xml:space="preserve">6EPM</t>
        </is>
      </c>
      <c r="B58" s="0" cm="1">
        <f t="array" ref="B58">IF(CONTROL!$B$4&lt;2,"—",IFERROR(_xlfn.LET(_xlpm.vC,(INDEX(_xlfn.ANCHORARRAY(FILAS!$A$2),0,2)="6EPM"),_xlpm.vN,SUM(--(_xlpm.vC)),IF(_xlpm.vN=0,"—",SUM(_xlpm.vC*(INDEX(_xlfn.ANCHORARRAY(FILAS!$A$2),0,7)="Pendiente")*(INDEX(_xlfn.ANCHORARRAY(FILAS!$A$2),0,5)&lt;&gt;"EX")))),"—"))</f>
      </c>
      <c r="C58" s="0" cm="1">
        <f t="array" ref="C58">IF(CONTROL!$B$4&lt;2,"—",IFERROR(_xlfn.LET(_xlpm.vC,(INDEX(_xlfn.ANCHORARRAY(FILAS!$A$2),0,2)="6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8" s="0" cm="1">
        <f t="array" ref="D58">IF(CONTROL!$B$4&lt;2,"—",IFERROR(_xlfn.LET(_xlpm.vC,(INDEX(_xlfn.ANCHORARRAY(FILAS!$A$2),0,2)="6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8" s="0" cm="1">
        <f t="array" ref="E58">IF(CONTROL!$B$4&lt;2,"—",IFERROR(_xlfn.LET(_xlpm.vC,(INDEX(_xlfn.ANCHORARRAY(FILAS!$A$2),0,2)="6EPM"),_xlpm.vN,SUM(--(_xlpm.vC)),IF(_xlpm.vN=0,"—",SUM(_xlpm.vC*(INDEX(_xlfn.ANCHORARRAY(FILAS!$A$2),0,7)="Pendiente")*(INDEX(_xlfn.ANCHORARRAY(FILAS!$A$2),0,5)&lt;&gt;"EX")*(1-ISNUMBER(INDEX(_xlfn.ANCHORARRAY(FILAS!$A$2),0,10)))))),"—"))</f>
      </c>
    </row>
    <row r="59">
      <c r="A59" s="4" t="inlineStr">
        <is>
          <t xml:space="preserve">Total EPM</t>
        </is>
      </c>
      <c r="B59" s="0" cm="1">
        <f t="array" ref="B59">IF(CONTROL!$B$4&lt;2,"—",IFERROR(_xlfn.LET(_xlpm.vC,(RIGHT(INDEX(_xlfn.ANCHORARRAY(FILAS!$A$2),0,2),3)="EPM"),_xlpm.vN,SUM(--(_xlpm.vC)),IF(_xlpm.vN=0,"—",SUM(_xlpm.vC*(INDEX(_xlfn.ANCHORARRAY(FILAS!$A$2),0,7)="Pendiente")*(INDEX(_xlfn.ANCHORARRAY(FILAS!$A$2),0,5)&lt;&gt;"EX")))),"—"))</f>
      </c>
      <c r="C59" s="0" cm="1">
        <f t="array" ref="C59">IF(CONTROL!$B$4&lt;2,"—",IFERROR(_xlfn.LET(_xlpm.vC,(RIGHT(INDEX(_xlfn.ANCHORARRAY(FILAS!$A$2),0,2),3)="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59" s="0" cm="1">
        <f t="array" ref="D59">IF(CONTROL!$B$4&lt;2,"—",IFERROR(_xlfn.LET(_xlpm.vC,(RIGHT(INDEX(_xlfn.ANCHORARRAY(FILAS!$A$2),0,2),3)="EPM"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59" s="0" cm="1">
        <f t="array" ref="E59">IF(CONTROL!$B$4&lt;2,"—",IFERROR(_xlfn.LET(_xlpm.vC,(RIGHT(INDEX(_xlfn.ANCHORARRAY(FILAS!$A$2),0,2),3)="EPM"),_xlpm.vN,SUM(--(_xlpm.vC)),IF(_xlpm.vN=0,"—",SUM(_xlpm.vC*(INDEX(_xlfn.ANCHORARRAY(FILAS!$A$2),0,7)="Pendiente")*(INDEX(_xlfn.ANCHORARRAY(FILAS!$A$2),0,5)&lt;&gt;"EX")*(1-ISNUMBER(INDEX(_xlfn.ANCHORARRAY(FILAS!$A$2),0,10)))))),"—"))</f>
      </c>
    </row>
    <row r="60">
      <c r="A60" s="4" t="inlineStr">
        <is>
          <t xml:space="preserve">Total</t>
        </is>
      </c>
      <c r="B60" s="0" cm="1">
        <f t="array" ref="B60">IF(CONTROL!$B$4&lt;2,"—",IFERROR(_xlfn.LET(_xlpm.vC,((RIGHT(INDEX(_xlfn.ANCHORARRAY(FILAS!$A$2),0,2),3)="EEM")+(RIGHT(INDEX(_xlfn.ANCHORARRAY(FILAS!$A$2),0,2),3)="EPM")),_xlpm.vN,SUM(--(_xlpm.vC)),IF(_xlpm.vN=0,"—",SUM(_xlpm.vC*(INDEX(_xlfn.ANCHORARRAY(FILAS!$A$2),0,7)="Pendiente")*(INDEX(_xlfn.ANCHORARRAY(FILAS!$A$2),0,5)&lt;&gt;"EX")))),"—"))</f>
      </c>
      <c r="C60" s="0" cm="1">
        <f t="array" ref="C60">IF(CONTROL!$B$4&lt;2,"—",IFERROR(_xlfn.LET(_xlpm.vC,((RIGHT(INDEX(_xlfn.ANCHORARRAY(FILAS!$A$2),0,2),3)="EEM")+(RIGHT(INDEX(_xlfn.ANCHORARRAY(FILAS!$A$2),0,2),3)="EPM")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0)&gt;=5)))),"—"))</f>
      </c>
      <c r="D60" s="0" cm="1">
        <f t="array" ref="D60">IF(CONTROL!$B$4&lt;2,"—",IFERROR(_xlfn.LET(_xlpm.vC,((RIGHT(INDEX(_xlfn.ANCHORARRAY(FILAS!$A$2),0,2),3)="EEM")+(RIGHT(INDEX(_xlfn.ANCHORARRAY(FILAS!$A$2),0,2),3)="EPM")),_xlpm.vN,SUM(--(_xlpm.vC)),IF(_xlpm.vN=0,"—",SUM(_xlpm.vC*(INDEX(_xlfn.ANCHORARRAY(FILAS!$A$2),0,7)="Pendiente")*(INDEX(_xlfn.ANCHORARRAY(FILAS!$A$2),0,5)&lt;&gt;"EX")*ISNUMBER(INDEX(_xlfn.ANCHORARRAY(FILAS!$A$2),0,10))*(IF(ISNUMBER(INDEX(_xlfn.ANCHORARRAY(FILAS!$A$2),0,10)),INDEX(_xlfn.ANCHORARRAY(FILAS!$A$2),0,10),99)&lt;5)))),"—"))</f>
      </c>
      <c r="E60" s="0" cm="1">
        <f t="array" ref="E60">IF(CONTROL!$B$4&lt;2,"—",IFERROR(_xlfn.LET(_xlpm.vC,((RIGHT(INDEX(_xlfn.ANCHORARRAY(FILAS!$A$2),0,2),3)="EEM")+(RIGHT(INDEX(_xlfn.ANCHORARRAY(FILAS!$A$2),0,2),3)="EPM")),_xlpm.vN,SUM(--(_xlpm.vC)),IF(_xlpm.vN=0,"—",SUM(_xlpm.vC*(INDEX(_xlfn.ANCHORARRAY(FILAS!$A$2),0,7)="Pendiente")*(INDEX(_xlfn.ANCHORARRAY(FILAS!$A$2),0,5)&lt;&gt;"EX")*(1-ISNUMBER(INDEX(_xlfn.ANCHORARRAY(FILAS!$A$2),0,10)))))),"—"))</f>
      </c>
    </row>
    <row r="62">
      <c r="A62" s="4" t="inlineStr">
        <is>
          <t xml:space="preserve">5. Recuperación en la extraordinaria, por curso</t>
        </is>
      </c>
    </row>
    <row r="63">
      <c r="A63" s="5" t="inlineStr">
        <is>
          <t xml:space="preserve">Solo profesional: elemental no tiene extraordinaria. Por curso de la asignatura.</t>
        </is>
      </c>
    </row>
    <row r="64">
      <c r="A64" s="1" t="inlineStr">
        <is>
          <t xml:space="preserve">Curso</t>
        </is>
      </c>
      <c r="B64" s="1" t="inlineStr">
        <is>
          <t xml:space="preserve">Suspensas en ordinaria</t>
        </is>
      </c>
      <c r="C64" s="1" t="inlineStr">
        <is>
          <t xml:space="preserve">Recuperadas en la extraordinaria</t>
        </is>
      </c>
      <c r="D64" s="1" t="inlineStr">
        <is>
          <t xml:space="preserve">Siguen suspensas</t>
        </is>
      </c>
      <c r="E64" s="1" t="inlineStr">
        <is>
          <t xml:space="preserve">Sin nota en la extraordinaria</t>
        </is>
      </c>
      <c r="F64" s="1" t="inlineStr">
        <is>
          <t xml:space="preserve">% recuperado</t>
        </is>
      </c>
    </row>
    <row r="65">
      <c r="A65" s="0" t="inlineStr">
        <is>
          <t xml:space="preserve">1EPM</t>
        </is>
      </c>
      <c r="B65" s="0" cm="1">
        <f t="array" ref="B65">IF(CONTROL!$B$4&lt;2,"—",IFERROR(_xlfn.LET(_xlpm.vC,(INDEX(_xlfn.ANCHORARRAY(FILAS!$A$2),0,3)="1EPM"),_xlpm.vN,SUM(--(_xlpm.vC)),IF(_xlpm.vN=0,"—",SUM(_xlpm.vC*(INDEX(_xlfn.ANCHORARRAY(FILAS!$A$2),0,5)="OR")*ISNUMBER(INDEX(_xlfn.ANCHORARRAY(FILAS!$A$2),0,8))*(IF(ISNUMBER(INDEX(_xlfn.ANCHORARRAY(FILAS!$A$2),0,8)),INDEX(_xlfn.ANCHORARRAY(FILAS!$A$2),0,8),99)&lt;5)))),"—"))</f>
      </c>
      <c r="C65" s="0" cm="1">
        <f t="array" ref="C65">IF(CONTROL!$B$4&lt;2,"—",IFERROR(_xlfn.LET(_xlpm.vC,(INDEX(_xlfn.ANCHORARRAY(FILAS!$A$2),0,3)="1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)),"—"))</f>
      </c>
      <c r="D65" s="0" cm="1">
        <f t="array" ref="D65">IF(CONTROL!$B$4&lt;2,"—",IFERROR(_xlfn.LET(_xlpm.vC,(INDEX(_xlfn.ANCHORARRAY(FILAS!$A$2),0,3)="1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99)&lt;5)))),"—"))</f>
      </c>
      <c r="E65" s="0" cm="1">
        <f t="array" ref="E65">IF(CONTROL!$B$4&lt;2,"—",IFERROR(_xlfn.LET(_xlpm.vC,(INDEX(_xlfn.ANCHORARRAY(FILAS!$A$2),0,3)="1EPM"),_xlpm.vN,SUM(--(_xlpm.vC)),IF(_xlpm.vN=0,"—",SUM(_xlpm.vC*(INDEX(_xlfn.ANCHORARRAY(FILAS!$A$2),0,5)="OR")*ISNUMBER(INDEX(_xlfn.ANCHORARRAY(FILAS!$A$2),0,8))*(IF(ISNUMBER(INDEX(_xlfn.ANCHORARRAY(FILAS!$A$2),0,8)),INDEX(_xlfn.ANCHORARRAY(FILAS!$A$2),0,8),99)&lt;5)*(1-ISNUMBER(INDEX(_xlfn.ANCHORARRAY(FILAS!$A$2),0,9)))))),"—"))</f>
      </c>
      <c r="F65" s="7" cm="1">
        <f t="array" ref="F65">IF(CONTROL!$B$4&lt;2,"—",IFERROR(_xlfn.LET(_xlpm.vC,(INDEX(_xlfn.ANCHORARRAY(FILAS!$A$2),0,3)="1EPM"),_xlpm.vN,SUM(--(_xlpm.vC)),IF(_xlpm.vN=0,"—",IFERROR(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/SUM(_xlpm.vC*(INDEX(_xlfn.ANCHORARRAY(FILAS!$A$2),0,5)="OR")*ISNUMBER(INDEX(_xlfn.ANCHORARRAY(FILAS!$A$2),0,8))*(IF(ISNUMBER(INDEX(_xlfn.ANCHORARRAY(FILAS!$A$2),0,8)),INDEX(_xlfn.ANCHORARRAY(FILAS!$A$2),0,8),99)&lt;5)),"—"))),"—"))</f>
      </c>
    </row>
    <row r="66">
      <c r="A66" s="0" t="inlineStr">
        <is>
          <t xml:space="preserve">2EPM</t>
        </is>
      </c>
      <c r="B66" s="0" cm="1">
        <f t="array" ref="B66">IF(CONTROL!$B$4&lt;2,"—",IFERROR(_xlfn.LET(_xlpm.vC,(INDEX(_xlfn.ANCHORARRAY(FILAS!$A$2),0,3)="2EPM"),_xlpm.vN,SUM(--(_xlpm.vC)),IF(_xlpm.vN=0,"—",SUM(_xlpm.vC*(INDEX(_xlfn.ANCHORARRAY(FILAS!$A$2),0,5)="OR")*ISNUMBER(INDEX(_xlfn.ANCHORARRAY(FILAS!$A$2),0,8))*(IF(ISNUMBER(INDEX(_xlfn.ANCHORARRAY(FILAS!$A$2),0,8)),INDEX(_xlfn.ANCHORARRAY(FILAS!$A$2),0,8),99)&lt;5)))),"—"))</f>
      </c>
      <c r="C66" s="0" cm="1">
        <f t="array" ref="C66">IF(CONTROL!$B$4&lt;2,"—",IFERROR(_xlfn.LET(_xlpm.vC,(INDEX(_xlfn.ANCHORARRAY(FILAS!$A$2),0,3)="2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)),"—"))</f>
      </c>
      <c r="D66" s="0" cm="1">
        <f t="array" ref="D66">IF(CONTROL!$B$4&lt;2,"—",IFERROR(_xlfn.LET(_xlpm.vC,(INDEX(_xlfn.ANCHORARRAY(FILAS!$A$2),0,3)="2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99)&lt;5)))),"—"))</f>
      </c>
      <c r="E66" s="0" cm="1">
        <f t="array" ref="E66">IF(CONTROL!$B$4&lt;2,"—",IFERROR(_xlfn.LET(_xlpm.vC,(INDEX(_xlfn.ANCHORARRAY(FILAS!$A$2),0,3)="2EPM"),_xlpm.vN,SUM(--(_xlpm.vC)),IF(_xlpm.vN=0,"—",SUM(_xlpm.vC*(INDEX(_xlfn.ANCHORARRAY(FILAS!$A$2),0,5)="OR")*ISNUMBER(INDEX(_xlfn.ANCHORARRAY(FILAS!$A$2),0,8))*(IF(ISNUMBER(INDEX(_xlfn.ANCHORARRAY(FILAS!$A$2),0,8)),INDEX(_xlfn.ANCHORARRAY(FILAS!$A$2),0,8),99)&lt;5)*(1-ISNUMBER(INDEX(_xlfn.ANCHORARRAY(FILAS!$A$2),0,9)))))),"—"))</f>
      </c>
      <c r="F66" s="7" cm="1">
        <f t="array" ref="F66">IF(CONTROL!$B$4&lt;2,"—",IFERROR(_xlfn.LET(_xlpm.vC,(INDEX(_xlfn.ANCHORARRAY(FILAS!$A$2),0,3)="2EPM"),_xlpm.vN,SUM(--(_xlpm.vC)),IF(_xlpm.vN=0,"—",IFERROR(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/SUM(_xlpm.vC*(INDEX(_xlfn.ANCHORARRAY(FILAS!$A$2),0,5)="OR")*ISNUMBER(INDEX(_xlfn.ANCHORARRAY(FILAS!$A$2),0,8))*(IF(ISNUMBER(INDEX(_xlfn.ANCHORARRAY(FILAS!$A$2),0,8)),INDEX(_xlfn.ANCHORARRAY(FILAS!$A$2),0,8),99)&lt;5)),"—"))),"—"))</f>
      </c>
    </row>
    <row r="67">
      <c r="A67" s="0" t="inlineStr">
        <is>
          <t xml:space="preserve">3EPM</t>
        </is>
      </c>
      <c r="B67" s="0" cm="1">
        <f t="array" ref="B67">IF(CONTROL!$B$4&lt;2,"—",IFERROR(_xlfn.LET(_xlpm.vC,(INDEX(_xlfn.ANCHORARRAY(FILAS!$A$2),0,3)="3EPM"),_xlpm.vN,SUM(--(_xlpm.vC)),IF(_xlpm.vN=0,"—",SUM(_xlpm.vC*(INDEX(_xlfn.ANCHORARRAY(FILAS!$A$2),0,5)="OR")*ISNUMBER(INDEX(_xlfn.ANCHORARRAY(FILAS!$A$2),0,8))*(IF(ISNUMBER(INDEX(_xlfn.ANCHORARRAY(FILAS!$A$2),0,8)),INDEX(_xlfn.ANCHORARRAY(FILAS!$A$2),0,8),99)&lt;5)))),"—"))</f>
      </c>
      <c r="C67" s="0" cm="1">
        <f t="array" ref="C67">IF(CONTROL!$B$4&lt;2,"—",IFERROR(_xlfn.LET(_xlpm.vC,(INDEX(_xlfn.ANCHORARRAY(FILAS!$A$2),0,3)="3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)),"—"))</f>
      </c>
      <c r="D67" s="0" cm="1">
        <f t="array" ref="D67">IF(CONTROL!$B$4&lt;2,"—",IFERROR(_xlfn.LET(_xlpm.vC,(INDEX(_xlfn.ANCHORARRAY(FILAS!$A$2),0,3)="3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99)&lt;5)))),"—"))</f>
      </c>
      <c r="E67" s="0" cm="1">
        <f t="array" ref="E67">IF(CONTROL!$B$4&lt;2,"—",IFERROR(_xlfn.LET(_xlpm.vC,(INDEX(_xlfn.ANCHORARRAY(FILAS!$A$2),0,3)="3EPM"),_xlpm.vN,SUM(--(_xlpm.vC)),IF(_xlpm.vN=0,"—",SUM(_xlpm.vC*(INDEX(_xlfn.ANCHORARRAY(FILAS!$A$2),0,5)="OR")*ISNUMBER(INDEX(_xlfn.ANCHORARRAY(FILAS!$A$2),0,8))*(IF(ISNUMBER(INDEX(_xlfn.ANCHORARRAY(FILAS!$A$2),0,8)),INDEX(_xlfn.ANCHORARRAY(FILAS!$A$2),0,8),99)&lt;5)*(1-ISNUMBER(INDEX(_xlfn.ANCHORARRAY(FILAS!$A$2),0,9)))))),"—"))</f>
      </c>
      <c r="F67" s="7" cm="1">
        <f t="array" ref="F67">IF(CONTROL!$B$4&lt;2,"—",IFERROR(_xlfn.LET(_xlpm.vC,(INDEX(_xlfn.ANCHORARRAY(FILAS!$A$2),0,3)="3EPM"),_xlpm.vN,SUM(--(_xlpm.vC)),IF(_xlpm.vN=0,"—",IFERROR(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/SUM(_xlpm.vC*(INDEX(_xlfn.ANCHORARRAY(FILAS!$A$2),0,5)="OR")*ISNUMBER(INDEX(_xlfn.ANCHORARRAY(FILAS!$A$2),0,8))*(IF(ISNUMBER(INDEX(_xlfn.ANCHORARRAY(FILAS!$A$2),0,8)),INDEX(_xlfn.ANCHORARRAY(FILAS!$A$2),0,8),99)&lt;5)),"—"))),"—"))</f>
      </c>
    </row>
    <row r="68">
      <c r="A68" s="0" t="inlineStr">
        <is>
          <t xml:space="preserve">4EPM</t>
        </is>
      </c>
      <c r="B68" s="0" cm="1">
        <f t="array" ref="B68">IF(CONTROL!$B$4&lt;2,"—",IFERROR(_xlfn.LET(_xlpm.vC,(INDEX(_xlfn.ANCHORARRAY(FILAS!$A$2),0,3)="4EPM"),_xlpm.vN,SUM(--(_xlpm.vC)),IF(_xlpm.vN=0,"—",SUM(_xlpm.vC*(INDEX(_xlfn.ANCHORARRAY(FILAS!$A$2),0,5)="OR")*ISNUMBER(INDEX(_xlfn.ANCHORARRAY(FILAS!$A$2),0,8))*(IF(ISNUMBER(INDEX(_xlfn.ANCHORARRAY(FILAS!$A$2),0,8)),INDEX(_xlfn.ANCHORARRAY(FILAS!$A$2),0,8),99)&lt;5)))),"—"))</f>
      </c>
      <c r="C68" s="0" cm="1">
        <f t="array" ref="C68">IF(CONTROL!$B$4&lt;2,"—",IFERROR(_xlfn.LET(_xlpm.vC,(INDEX(_xlfn.ANCHORARRAY(FILAS!$A$2),0,3)="4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)),"—"))</f>
      </c>
      <c r="D68" s="0" cm="1">
        <f t="array" ref="D68">IF(CONTROL!$B$4&lt;2,"—",IFERROR(_xlfn.LET(_xlpm.vC,(INDEX(_xlfn.ANCHORARRAY(FILAS!$A$2),0,3)="4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99)&lt;5)))),"—"))</f>
      </c>
      <c r="E68" s="0" cm="1">
        <f t="array" ref="E68">IF(CONTROL!$B$4&lt;2,"—",IFERROR(_xlfn.LET(_xlpm.vC,(INDEX(_xlfn.ANCHORARRAY(FILAS!$A$2),0,3)="4EPM"),_xlpm.vN,SUM(--(_xlpm.vC)),IF(_xlpm.vN=0,"—",SUM(_xlpm.vC*(INDEX(_xlfn.ANCHORARRAY(FILAS!$A$2),0,5)="OR")*ISNUMBER(INDEX(_xlfn.ANCHORARRAY(FILAS!$A$2),0,8))*(IF(ISNUMBER(INDEX(_xlfn.ANCHORARRAY(FILAS!$A$2),0,8)),INDEX(_xlfn.ANCHORARRAY(FILAS!$A$2),0,8),99)&lt;5)*(1-ISNUMBER(INDEX(_xlfn.ANCHORARRAY(FILAS!$A$2),0,9)))))),"—"))</f>
      </c>
      <c r="F68" s="7" cm="1">
        <f t="array" ref="F68">IF(CONTROL!$B$4&lt;2,"—",IFERROR(_xlfn.LET(_xlpm.vC,(INDEX(_xlfn.ANCHORARRAY(FILAS!$A$2),0,3)="4EPM"),_xlpm.vN,SUM(--(_xlpm.vC)),IF(_xlpm.vN=0,"—",IFERROR(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/SUM(_xlpm.vC*(INDEX(_xlfn.ANCHORARRAY(FILAS!$A$2),0,5)="OR")*ISNUMBER(INDEX(_xlfn.ANCHORARRAY(FILAS!$A$2),0,8))*(IF(ISNUMBER(INDEX(_xlfn.ANCHORARRAY(FILAS!$A$2),0,8)),INDEX(_xlfn.ANCHORARRAY(FILAS!$A$2),0,8),99)&lt;5)),"—"))),"—"))</f>
      </c>
    </row>
    <row r="69">
      <c r="A69" s="0" t="inlineStr">
        <is>
          <t xml:space="preserve">5EPM</t>
        </is>
      </c>
      <c r="B69" s="0" cm="1">
        <f t="array" ref="B69">IF(CONTROL!$B$4&lt;2,"—",IFERROR(_xlfn.LET(_xlpm.vC,(INDEX(_xlfn.ANCHORARRAY(FILAS!$A$2),0,3)="5EPM"),_xlpm.vN,SUM(--(_xlpm.vC)),IF(_xlpm.vN=0,"—",SUM(_xlpm.vC*(INDEX(_xlfn.ANCHORARRAY(FILAS!$A$2),0,5)="OR")*ISNUMBER(INDEX(_xlfn.ANCHORARRAY(FILAS!$A$2),0,8))*(IF(ISNUMBER(INDEX(_xlfn.ANCHORARRAY(FILAS!$A$2),0,8)),INDEX(_xlfn.ANCHORARRAY(FILAS!$A$2),0,8),99)&lt;5)))),"—"))</f>
      </c>
      <c r="C69" s="0" cm="1">
        <f t="array" ref="C69">IF(CONTROL!$B$4&lt;2,"—",IFERROR(_xlfn.LET(_xlpm.vC,(INDEX(_xlfn.ANCHORARRAY(FILAS!$A$2),0,3)="5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)),"—"))</f>
      </c>
      <c r="D69" s="0" cm="1">
        <f t="array" ref="D69">IF(CONTROL!$B$4&lt;2,"—",IFERROR(_xlfn.LET(_xlpm.vC,(INDEX(_xlfn.ANCHORARRAY(FILAS!$A$2),0,3)="5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99)&lt;5)))),"—"))</f>
      </c>
      <c r="E69" s="0" cm="1">
        <f t="array" ref="E69">IF(CONTROL!$B$4&lt;2,"—",IFERROR(_xlfn.LET(_xlpm.vC,(INDEX(_xlfn.ANCHORARRAY(FILAS!$A$2),0,3)="5EPM"),_xlpm.vN,SUM(--(_xlpm.vC)),IF(_xlpm.vN=0,"—",SUM(_xlpm.vC*(INDEX(_xlfn.ANCHORARRAY(FILAS!$A$2),0,5)="OR")*ISNUMBER(INDEX(_xlfn.ANCHORARRAY(FILAS!$A$2),0,8))*(IF(ISNUMBER(INDEX(_xlfn.ANCHORARRAY(FILAS!$A$2),0,8)),INDEX(_xlfn.ANCHORARRAY(FILAS!$A$2),0,8),99)&lt;5)*(1-ISNUMBER(INDEX(_xlfn.ANCHORARRAY(FILAS!$A$2),0,9)))))),"—"))</f>
      </c>
      <c r="F69" s="7" cm="1">
        <f t="array" ref="F69">IF(CONTROL!$B$4&lt;2,"—",IFERROR(_xlfn.LET(_xlpm.vC,(INDEX(_xlfn.ANCHORARRAY(FILAS!$A$2),0,3)="5EPM"),_xlpm.vN,SUM(--(_xlpm.vC)),IF(_xlpm.vN=0,"—",IFERROR(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/SUM(_xlpm.vC*(INDEX(_xlfn.ANCHORARRAY(FILAS!$A$2),0,5)="OR")*ISNUMBER(INDEX(_xlfn.ANCHORARRAY(FILAS!$A$2),0,8))*(IF(ISNUMBER(INDEX(_xlfn.ANCHORARRAY(FILAS!$A$2),0,8)),INDEX(_xlfn.ANCHORARRAY(FILAS!$A$2),0,8),99)&lt;5)),"—"))),"—"))</f>
      </c>
    </row>
    <row r="70">
      <c r="A70" s="0" t="inlineStr">
        <is>
          <t xml:space="preserve">6EPM</t>
        </is>
      </c>
      <c r="B70" s="0" cm="1">
        <f t="array" ref="B70">IF(CONTROL!$B$4&lt;2,"—",IFERROR(_xlfn.LET(_xlpm.vC,(INDEX(_xlfn.ANCHORARRAY(FILAS!$A$2),0,3)="6EPM"),_xlpm.vN,SUM(--(_xlpm.vC)),IF(_xlpm.vN=0,"—",SUM(_xlpm.vC*(INDEX(_xlfn.ANCHORARRAY(FILAS!$A$2),0,5)="OR")*ISNUMBER(INDEX(_xlfn.ANCHORARRAY(FILAS!$A$2),0,8))*(IF(ISNUMBER(INDEX(_xlfn.ANCHORARRAY(FILAS!$A$2),0,8)),INDEX(_xlfn.ANCHORARRAY(FILAS!$A$2),0,8),99)&lt;5)))),"—"))</f>
      </c>
      <c r="C70" s="0" cm="1">
        <f t="array" ref="C70">IF(CONTROL!$B$4&lt;2,"—",IFERROR(_xlfn.LET(_xlpm.vC,(INDEX(_xlfn.ANCHORARRAY(FILAS!$A$2),0,3)="6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)),"—"))</f>
      </c>
      <c r="D70" s="0" cm="1">
        <f t="array" ref="D70">IF(CONTROL!$B$4&lt;2,"—",IFERROR(_xlfn.LET(_xlpm.vC,(INDEX(_xlfn.ANCHORARRAY(FILAS!$A$2),0,3)="6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99)&lt;5)))),"—"))</f>
      </c>
      <c r="E70" s="0" cm="1">
        <f t="array" ref="E70">IF(CONTROL!$B$4&lt;2,"—",IFERROR(_xlfn.LET(_xlpm.vC,(INDEX(_xlfn.ANCHORARRAY(FILAS!$A$2),0,3)="6EPM"),_xlpm.vN,SUM(--(_xlpm.vC)),IF(_xlpm.vN=0,"—",SUM(_xlpm.vC*(INDEX(_xlfn.ANCHORARRAY(FILAS!$A$2),0,5)="OR")*ISNUMBER(INDEX(_xlfn.ANCHORARRAY(FILAS!$A$2),0,8))*(IF(ISNUMBER(INDEX(_xlfn.ANCHORARRAY(FILAS!$A$2),0,8)),INDEX(_xlfn.ANCHORARRAY(FILAS!$A$2),0,8),99)&lt;5)*(1-ISNUMBER(INDEX(_xlfn.ANCHORARRAY(FILAS!$A$2),0,9)))))),"—"))</f>
      </c>
      <c r="F70" s="7" cm="1">
        <f t="array" ref="F70">IF(CONTROL!$B$4&lt;2,"—",IFERROR(_xlfn.LET(_xlpm.vC,(INDEX(_xlfn.ANCHORARRAY(FILAS!$A$2),0,3)="6EPM"),_xlpm.vN,SUM(--(_xlpm.vC)),IF(_xlpm.vN=0,"—",IFERROR(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/SUM(_xlpm.vC*(INDEX(_xlfn.ANCHORARRAY(FILAS!$A$2),0,5)="OR")*ISNUMBER(INDEX(_xlfn.ANCHORARRAY(FILAS!$A$2),0,8))*(IF(ISNUMBER(INDEX(_xlfn.ANCHORARRAY(FILAS!$A$2),0,8)),INDEX(_xlfn.ANCHORARRAY(FILAS!$A$2),0,8),99)&lt;5)),"—"))),"—"))</f>
      </c>
    </row>
    <row r="71">
      <c r="A71" s="4" t="inlineStr">
        <is>
          <t xml:space="preserve">Total EPM</t>
        </is>
      </c>
      <c r="B71" s="0" cm="1">
        <f t="array" ref="B71">IF(CONTROL!$B$4&lt;2,"—",IFERROR(_xlfn.LET(_xlpm.vC,(RIGHT(INDEX(_xlfn.ANCHORARRAY(FILAS!$A$2),0,3),3)="EPM"),_xlpm.vN,SUM(--(_xlpm.vC)),IF(_xlpm.vN=0,"—",SUM(_xlpm.vC*(INDEX(_xlfn.ANCHORARRAY(FILAS!$A$2),0,5)="OR")*ISNUMBER(INDEX(_xlfn.ANCHORARRAY(FILAS!$A$2),0,8))*(IF(ISNUMBER(INDEX(_xlfn.ANCHORARRAY(FILAS!$A$2),0,8)),INDEX(_xlfn.ANCHORARRAY(FILAS!$A$2),0,8),99)&lt;5)))),"—"))</f>
      </c>
      <c r="C71" s="0" cm="1">
        <f t="array" ref="C71">IF(CONTROL!$B$4&lt;2,"—",IFERROR(_xlfn.LET(_xlpm.vC,(RIGHT(INDEX(_xlfn.ANCHORARRAY(FILAS!$A$2),0,3),3)="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)),"—"))</f>
      </c>
      <c r="D71" s="0" cm="1">
        <f t="array" ref="D71">IF(CONTROL!$B$4&lt;2,"—",IFERROR(_xlfn.LET(_xlpm.vC,(RIGHT(INDEX(_xlfn.ANCHORARRAY(FILAS!$A$2),0,3),3)="EPM"),_xlpm.vN,SUM(--(_xlpm.vC)),IF(_xlpm.vN=0,"—",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99)&lt;5)))),"—"))</f>
      </c>
      <c r="E71" s="0" cm="1">
        <f t="array" ref="E71">IF(CONTROL!$B$4&lt;2,"—",IFERROR(_xlfn.LET(_xlpm.vC,(RIGHT(INDEX(_xlfn.ANCHORARRAY(FILAS!$A$2),0,3),3)="EPM"),_xlpm.vN,SUM(--(_xlpm.vC)),IF(_xlpm.vN=0,"—",SUM(_xlpm.vC*(INDEX(_xlfn.ANCHORARRAY(FILAS!$A$2),0,5)="OR")*ISNUMBER(INDEX(_xlfn.ANCHORARRAY(FILAS!$A$2),0,8))*(IF(ISNUMBER(INDEX(_xlfn.ANCHORARRAY(FILAS!$A$2),0,8)),INDEX(_xlfn.ANCHORARRAY(FILAS!$A$2),0,8),99)&lt;5)*(1-ISNUMBER(INDEX(_xlfn.ANCHORARRAY(FILAS!$A$2),0,9)))))),"—"))</f>
      </c>
      <c r="F71" s="7" cm="1">
        <f t="array" ref="F71">IF(CONTROL!$B$4&lt;2,"—",IFERROR(_xlfn.LET(_xlpm.vC,(RIGHT(INDEX(_xlfn.ANCHORARRAY(FILAS!$A$2),0,3),3)="EPM"),_xlpm.vN,SUM(--(_xlpm.vC)),IF(_xlpm.vN=0,"—",IFERROR(SUM(_xlpm.vC*(INDEX(_xlfn.ANCHORARRAY(FILAS!$A$2),0,5)="OR")*ISNUMBER(INDEX(_xlfn.ANCHORARRAY(FILAS!$A$2),0,8))*(IF(ISNUMBER(INDEX(_xlfn.ANCHORARRAY(FILAS!$A$2),0,8)),INDEX(_xlfn.ANCHORARRAY(FILAS!$A$2),0,8),99)&lt;5)*ISNUMBER(INDEX(_xlfn.ANCHORARRAY(FILAS!$A$2),0,9))*(IF(ISNUMBER(INDEX(_xlfn.ANCHORARRAY(FILAS!$A$2),0,9)),INDEX(_xlfn.ANCHORARRAY(FILAS!$A$2),0,9),0)&gt;=5))/SUM(_xlpm.vC*(INDEX(_xlfn.ANCHORARRAY(FILAS!$A$2),0,5)="OR")*ISNUMBER(INDEX(_xlfn.ANCHORARRAY(FILAS!$A$2),0,8))*(IF(ISNUMBER(INDEX(_xlfn.ANCHORARRAY(FILAS!$A$2),0,8)),INDEX(_xlfn.ANCHORARRAY(FILAS!$A$2),0,8),99)&lt;5)),"—"))),"—"))</f>
      </c>
    </row>
    <row r="73">
      <c r="A73" s="4" t="inlineStr">
        <is>
          <t xml:space="preserve">6. Recuperación en la extraordinaria, por asignatura</t>
        </is>
      </c>
    </row>
    <row r="74">
      <c r="A74" s="5" t="inlineStr">
        <is>
          <t xml:space="preserve">De más a menos suspensas en ordinaria. Solo las asignaturas con alguna.</t>
        </is>
      </c>
    </row>
    <row r="75">
      <c r="A75" s="1" t="inlineStr">
        <is>
          <t xml:space="preserve">Asignatura</t>
        </is>
      </c>
      <c r="B75" s="1" t="inlineStr">
        <is>
          <t xml:space="preserve">Curso</t>
        </is>
      </c>
      <c r="C75" s="1" t="inlineStr">
        <is>
          <t xml:space="preserve">Suspensas en ordinaria</t>
        </is>
      </c>
      <c r="D75" s="1" t="inlineStr">
        <is>
          <t xml:space="preserve">Recuperadas en la extraordinaria</t>
        </is>
      </c>
      <c r="E75" s="1" t="inlineStr">
        <is>
          <t xml:space="preserve">Siguen suspensas</t>
        </is>
      </c>
      <c r="F75" s="1" t="inlineStr">
        <is>
          <t xml:space="preserve">Sin nota en la extraordinaria</t>
        </is>
      </c>
    </row>
    <row r="76">
      <c r="A76" s="0" cm="1">
        <f t="array" ref="A76">IF(CONTROL!$B$4&lt;2,"Sin datos",IFERROR(_xlfn.LET(_xlpm.vF,_xlfn.ANCHORARRAY(FILAS!$A$2),_xlpm.vN8,INDEX(_xlpm.vF,0,8),_xlpm.vN9,INDEX(_xlpm.vF,0,9),_xlpm.vAs,INDEX(_xlpm.vF,0,6),_xlpm.vCu,INDEX(_xlpm.vF,0,3),_xlpm.vS,(INDEX(_xlpm.vF,0,5)="OR")*ISNUMBER(_xlpm.vN8)*(IF(ISNUMBER(_xlpm.vN8),_xlpm.vN8,99)&lt;5),_xlpm.vU,_xlfn.UNIQUE(_xlfn._xlws.FILTER(CHOOSE({1,2},_xlpm.vAs,_xlpm.vCu),_xlpm.vS)),_xlpm.vM,--((INDEX(_xlpm.vU,0,1)&amp;"|"&amp;INDEX(_xlpm.vU,0,2))=TRANSPOSE(_xlpm.vAs&amp;"|"&amp;_xlpm.vCu)),_xlpm.vRec,_xlpm.vS*ISNUMBER(_xlpm.vN9)*(IF(ISNUMBER(_xlpm.vN9),_xlpm.vN9,0)&gt;=5),_xlpm.vSig,_xlpm.vS*ISNUMBER(_xlpm.vN9)*(IF(ISNUMBER(_xlpm.vN9),_xlpm.vN9,99)&lt;5),_xlpm.vSin,_xlpm.vS*(1-ISNUMBER(_xlpm.vN9)),_xlfn._xlws.SORT(CHOOSE({1,2,3,4,5,6},INDEX(_xlpm.vU,0,1),INDEX(_xlpm.vU,0,2),MMULT(_xlpm.vM,_xlpm.vS),MMULT(_xlpm.vM,_xlpm.vRec),MMULT(_xlpm.vM,_xlpm.vSig),MMULT(_xlpm.vM,_xlpm.vSin)),3,-1)),"Ninguna"))</f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8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</cols>
  <sheetData>
    <row r="1">
      <c r="A1" s="1" t="inlineStr">
        <is>
          <t xml:space="preserve">Alumno</t>
        </is>
      </c>
      <c r="B1" s="1" t="inlineStr">
        <is>
          <t xml:space="preserve">Curso matrícula</t>
        </is>
      </c>
      <c r="C1" s="1" t="inlineStr">
        <is>
          <t xml:space="preserve">Curso asignatura</t>
        </is>
      </c>
      <c r="D1" s="1" t="inlineStr">
        <is>
          <t xml:space="preserve">Etapa</t>
        </is>
      </c>
      <c r="E1" s="1" t="inlineStr">
        <is>
          <t xml:space="preserve">Evaluación</t>
        </is>
      </c>
      <c r="F1" s="1" t="inlineStr">
        <is>
          <t xml:space="preserve">Asignatura</t>
        </is>
      </c>
      <c r="G1" s="1" t="inlineStr">
        <is>
          <t xml:space="preserve">Tipo</t>
        </is>
      </c>
      <c r="H1" s="1" t="inlineStr">
        <is>
          <t xml:space="preserve">Nota</t>
        </is>
      </c>
      <c r="I1" s="1" t="inlineStr">
        <is>
          <t xml:space="preserve">Nota en la extraordinaria</t>
        </is>
      </c>
      <c r="J1" s="1" t="inlineStr">
        <is>
          <t xml:space="preserve">Nota final</t>
        </is>
      </c>
      <c r="K1" s="1" t="inlineStr">
        <is>
          <t xml:space="preserve">Promociona</t>
        </is>
      </c>
    </row>
    <row r="2">
      <c r="A2" s="0" cm="1">
        <f t="array" ref="A2">IF(CONTROL!$B$4&lt;2,"",_xlfn.LET(_xlpm.vEt,RIGHT(eCURSO,3),_xlpm.vAsig,TRIM(eASIG),_xlpm.vCanon,_xlfn.IFNA(_xlfn.XLOOKUP(_xlpm.vAsig&amp;"|"&amp;_xlpm.vEt,cASIG&amp;"|"&amp;cETAPA,cASIG),_xlpm.vAsig),_xlpm.vEsEsp,ISNUMBER(_xlfn.XMATCH(_xlpm.vAsig&amp;"|"&amp;_xlpm.vEt&amp;"|Sí",cASIG&amp;"|"&amp;cETAPA&amp;"|"&amp;cESP)),_xlpm.vClave,eNIA&amp;"|"&amp;_xlpm.vEt,_xlpm.vTexto,TRIM(eNOTA&amp;""),_xlpm.vNum,IF(_xlpm.vTexto="","",IFERROR(IF(ISNUMBER(SEARCH(",",_xlpm.vTexto)),_xlfn.NUMBERVALUE(_xlpm.vTexto,","),_xlfn.NUMBERVALUE(_xlpm.vTexto,".")),"?")),_xlpm.vId,_xlfn.XMATCH(eNIA&amp;"",_xlfn.UNIQUE(eNIA&amp;"")),_xlpm.vEsEx,TRIM(eEVAL&amp;"")="EX",_xlpm.vKey,_xlpm.vId&amp;"|"&amp;TRIM(eCURSO&amp;"")&amp;"|"&amp;_xlpm.vCanon,_xlpm.vExK,_xlfn._xlws.FILTER(_xlpm.vKey,_xlpm.vEsEx*ISNUMBER(_xlpm.vNum),"~"),_xlpm.vExN,_xlfn._xlws.FILTER(_xlpm.vNum,_xlpm.vEsEx*ISNUMBER(_xlpm.vNum),""),_xlpm.vNotaEx,IF(_xlpm.vEsEx,"",_xlfn.XLOOKUP(_xlpm.vKey,_xlpm.vExK,_xlpm.vExN,"")),_xlpm.vFinal,IF(_xlpm.vEsEx,"",IF(ISNUMBER(_xlpm.vNotaEx),_xlpm.vNotaEx,IF(ISNUMBER(_xlpm.vNum),_xlpm.vNum,""))),_xlpm.vP,UPPER(TRIM(IFERROR(ePROMOCIONA&amp;"",""))),_xlpm.vProm,IF(ISNUMBER(_xlfn.XMATCH(_xlpm.vP,{"1","S","SI","SÍ","TRUE","VERDADERO"})),"1",IF(ISNUMBER(_xlfn.XMATCH(_xlpm.vP,{"0","N","NO","FALSE","FALSO"})),"0","")),CHOOSE({1,2,3,4,5,6,7,8,9,10,11},_xlpm.vId,TRIM(eCURSOMAT&amp;""),TRIM(eCURSO&amp;""),_xlpm.vEt,TRIM(eEVAL&amp;""),_xlpm.vCanon,TRIM(IFERROR(eTIPO&amp;"","")),_xlpm.vNum,_xlpm.vNotaEx,_xlpm.vFinal,_xlpm.vProm)))</f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</cols>
  <sheetData>
    <row r="1">
      <c r="A1" s="1" t="inlineStr">
        <is>
          <t xml:space="preserve">Alumno</t>
        </is>
      </c>
      <c r="B1" s="1" t="inlineStr">
        <is>
          <t xml:space="preserve">Curso</t>
        </is>
      </c>
      <c r="C1" s="1" t="inlineStr">
        <is>
          <t xml:space="preserve">Etapa</t>
        </is>
      </c>
      <c r="D1" s="1" t="inlineStr">
        <is>
          <t xml:space="preserve">Notas</t>
        </is>
      </c>
      <c r="E1" s="1" t="inlineStr">
        <is>
          <t xml:space="preserve">Suspensas finales</t>
        </is>
      </c>
      <c r="F1" s="1" t="inlineStr">
        <is>
          <t xml:space="preserve">Decisión</t>
        </is>
      </c>
      <c r="G1" s="1" t="inlineStr">
        <is>
          <t xml:space="preserve">Estado</t>
        </is>
      </c>
      <c r="H1" s="1" t="inlineStr">
        <is>
          <t xml:space="preserve">Evaluación</t>
        </is>
      </c>
    </row>
    <row r="2">
      <c r="A2" s="0" cm="1">
        <f t="array" ref="A2">IF(CONTROL!$B$4&lt;2,"",_xlfn.LET(_xlpm.vF,_xlfn.ANCHORARRAY(FILAS!$A$2),_xlpm.vIdF,INDEX(_xlpm.vF,0,1),_xlpm.vCur,INDEX(_xlpm.vF,0,2),_xlpm.vEval,INDEX(_xlpm.vF,0,5),_xlpm.vFin,INDEX(_xlpm.vF,0,10),_xlpm.vPr,INDEX(_xlpm.vF,0,11),_xlpm.vU,_xlfn.UNIQUE(_xlpm.vIdF),_xlpm.vM,--(_xlpm.vU=TRANSPOSE(_xlpm.vIdF)),_xlpm.vConNota,(_xlpm.vEval&lt;&gt;"EX")*ISNUMBER(_xlpm.vFin),_xlpm.vSusp,_xlpm.vConNota*(IF(ISNUMBER(_xlpm.vFin),_xlpm.vFin,99)&lt;5),_xlpm.vNotas,MMULT(_xlpm.vM,_xlpm.vConNota),_xlpm.vNSusp,MMULT(_xlpm.vM,_xlpm.vSusp),_xlpm.vCurso,_xlfn.XLOOKUP(_xlpm.vU,_xlpm.vIdF,_xlpm.vCur),_xlpm.vPEx,_xlfn.XLOOKUP(_xlpm.vU,_xlfn._xlws.FILTER(_xlpm.vIdF,(_xlpm.vEval="EX")*(_xlpm.vPr&lt;&gt;""),-1),_xlfn._xlws.FILTER(_xlpm.vPr,(_xlpm.vEval="EX")*(_xlpm.vPr&lt;&gt;""),""),""),_xlpm.vPOtra,_xlfn.XLOOKUP(_xlpm.vU,_xlfn._xlws.FILTER(_xlpm.vIdF,(_xlpm.vEval&lt;&gt;"EX")*(_xlpm.vPr&lt;&gt;""),-1),_xlfn._xlws.FILTER(_xlpm.vPr,(_xlpm.vEval&lt;&gt;"EX")*(_xlpm.vPr&lt;&gt;""),""),""),_xlpm.vDec,IF(_xlpm.vPEx&lt;&gt;"",_xlpm.vPEx,_xlpm.vPOtra),_xlpm.vEstado,IF(_xlpm.vDec="1","Promociona",IF(_xlpm.vDec="0","No promociona","Sin decisión")),_xlpm.vEvalA,IF((_xlpm.vNotas&gt;0)+(_xlpm.vDec&lt;&gt;"")&gt;0,"Con evaluación","Sin evaluación"),CHOOSE({1,2,3,4,5,6,7,8},_xlpm.vU,_xlpm.vCurso,RIGHT(_xlpm.vCurso,3),_xlpm.vNotas,_xlpm.vNSusp,_xlpm.vDec,_xlpm.vEstado,_xlpm.vEvalA)))</f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>
  <dc:title>Conversor Excel a Dashboard</dc:title>
  <dc:creator>José Luis Miralles Bono</dc:creator>
</cp:coreProperties>
</file>