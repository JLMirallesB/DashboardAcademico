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docProps/core.xml" ContentType="application/vnd.openxmlformats-package.core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PORTADA" sheetId="1" r:id="rId1"/>
    <sheet name="ENTRADA" sheetId="2" r:id="rId2"/>
    <sheet name="CATALOGO" sheetId="3" r:id="rId3"/>
    <sheet name="DATOS_EEM" sheetId="4" r:id="rId4"/>
    <sheet name="DATOS_EPM" sheetId="5" r:id="rId5"/>
    <sheet name="CONTROL" sheetId="6" r:id="rId6"/>
    <sheet name="INCIDENCIAS" sheetId="7" r:id="rId7"/>
  </sheets>
  <definedNames>
    <definedName name="cASIG">CATALOGO!$A$2:$A$201</definedName>
    <definedName name="cESP">CATALOGO!$C$2:$C$201</definedName>
    <definedName name="cETAPA">CATALOGO!$B$2:$B$201</definedName>
    <definedName name="eAPRUEBA">INDEX(eBLOQUE,0,_xlfn.XMATCH("aprueba",ENTRADA!$A$1:$AZ$1))</definedName>
    <definedName name="eASIG">INDEX(eBLOQUE,0,_xlfn.XMATCH("co_desc",ENTRADA!$A$1:$AZ$1))</definedName>
    <definedName name="eBLOQUE">ENTRADA!$A$2:INDEX(ENTRADA!$AZ:$AZ,MAX(2,CONTROL!$B$4))</definedName>
    <definedName name="eCODIGO">INDEX(eBLOQUE,0,_xlfn.XMATCH("co_codigo",ENTRADA!$A$1:$AZ$1))</definedName>
    <definedName name="eCURSO">INDEX(eBLOQUE,0,_xlfn.XMATCH("curso_cont",ENTRADA!$A$1:$AZ$1))</definedName>
    <definedName name="eCURSOMAT">INDEX(eBLOQUE,0,_xlfn.XMATCH("curso_mat",ENTRADA!$A$1:$AZ$1))</definedName>
    <definedName name="eEVAL">INDEX(eBLOQUE,0,_xlfn.XMATCH("ev_codigo",ENTRADA!$A$1:$AZ$1))</definedName>
    <definedName name="eNIA">INDEX(eBLOQUE,0,_xlfn.XMATCH("nia",ENTRADA!$A$1:$AZ$1))</definedName>
    <definedName name="eNOTA">INDEX(eBLOQUE,0,_xlfn.XMATCH("nota",ENTRADA!$A$1:$AZ$1))</definedName>
    <definedName name="eTIPO">INDEX(eBLOQUE,0,_xlfn.XMATCH("co_tipobasico",ENTRADA!$A$1:$AZ$1))</definedName>
    <definedName name="eULTIMA">CONTROL!$B$4</definedName>
  </definedNames>
  <calcPr calcId="19102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fonts count="5">
    <font>
      <sz val="11"/>
      <color rgb="FF374151"/>
      <name val="Calibri"/>
      <family val="2"/>
    </font>
    <font>
      <b/>
      <sz val="11"/>
      <color rgb="FF111827"/>
      <name val="Calibri"/>
      <family val="2"/>
    </font>
    <font>
      <sz val="24"/>
      <color rgb="FF111827"/>
      <name val="Calibri Light"/>
      <family val="2"/>
    </font>
    <font>
      <sz val="10"/>
      <color rgb="FF6B7280"/>
      <name val="Calibri"/>
      <family val="2"/>
    </font>
    <font>
      <b/>
      <sz val="11"/>
      <color rgb="FF92400E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EF7E7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111827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3" borderId="0" xfId="0" applyFont="1" applyFill="1" applyAlignment="1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Relationship Id="rId9" Type="http://schemas.openxmlformats.org/officeDocument/2006/relationships/sheetMetadata" Target="metadata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11827"/>
  </sheetPr>
  <sheetViews>
    <sheetView workbookViewId="0"/>
  </sheetViews>
  <sheetFormatPr defaultRowHeight="15"/>
  <cols>
    <col min="1" max="1" width="110" customWidth="1"/>
  </cols>
  <sheetData>
    <row r="1">
      <c r="A1" s="2" t="inlineStr">
        <is>
          <t xml:space="preserve">Conversor Excel a Dashboard</t>
        </is>
      </c>
    </row>
    <row r="2">
      <c r="A2" s="5" t="inlineStr">
        <is>
          <t xml:space="preserve">De la exportación de calificaciones de fin de curso a la hoja DATOS de los dos analizadores.</t>
        </is>
      </c>
    </row>
    <row r="3">
      <c r="A3" s="3" t="inlineStr">
        <is>
          <t xml:space="preserve">Necesita Excel 365 o Excel 2021 o posterior, igual que los analizadores. En Excel 2019 o anterior las fórmulas salen como #¿NOMBRE?.</t>
        </is>
      </c>
    </row>
    <row r="4"/>
    <row r="5">
      <c r="A5" s="4" t="inlineStr">
        <is>
          <t xml:space="preserve">1 · Pega la exportación en ENTRADA</t>
        </is>
      </c>
    </row>
    <row r="6">
      <c r="A6" s="3" t="inlineStr">
        <is>
          <t xml:space="preserve">Entera, desde la celda A1, con su fila de cabeceras. Si había algo de otra vez, bórralo antes.</t>
        </is>
      </c>
    </row>
    <row r="7">
      <c r="A7" s="3" t="inlineStr">
        <is>
          <t xml:space="preserve">Las columnas se buscan por el nombre de su cabecera: da igual en qué orden vengan.</t>
        </is>
      </c>
    </row>
    <row r="8"/>
    <row r="9">
      <c r="A9" s="4" t="inlineStr">
        <is>
          <t xml:space="preserve">2 · Mira CONTROL antes de seguir</t>
        </is>
      </c>
    </row>
    <row r="10">
      <c r="A10" s="3" t="inlineStr">
        <is>
          <t xml:space="preserve">Dice cuántas filas pasan a cada etapa, cuántas se descartan y por qué, y qué asignaturas no están en el catálogo. Si «Columnas que faltan» no dice «Ninguna», para aquí.</t>
        </is>
      </c>
    </row>
    <row r="11"/>
    <row r="12">
      <c r="A12" s="4" t="inlineStr">
        <is>
          <t xml:space="preserve">3 · Copia DATOS_EEM y DATOS_EPM en sus analizadores</t>
        </is>
      </c>
    </row>
    <row r="13">
      <c r="A13" s="3" t="inlineStr">
        <is>
          <t xml:space="preserve">Selecciona la hoja desde A1 hasta la última fila, copia, y en la hoja DATOS del analizador pega SOLO LOS VALORES desde A1.</t>
        </is>
      </c>
    </row>
    <row r="14">
      <c r="A14" s="3" t="inlineStr">
        <is>
          <t xml:space="preserve">Elementales: DATOS_EEM, y en CONFIG_METADATA elige la evaluación FI.</t>
        </is>
      </c>
    </row>
    <row r="15">
      <c r="A15" s="3" t="inlineStr">
        <is>
          <t xml:space="preserve">Profesionales: DATOS_EPM, y elige OR+EX: la ordinaria con las recuperaciones de la extraordinaria encima. Es la foto definitiva del curso.</t>
        </is>
      </c>
    </row>
    <row r="16"/>
    <row r="17">
      <c r="A17" s="4" t="inlineStr">
        <is>
          <t xml:space="preserve">4 · Si INCIDENCIAS lista algo, envíala</t>
        </is>
      </c>
    </row>
    <row r="18">
      <c r="A18" s="3" t="inlineStr">
        <is>
          <t xml:space="preserve">Son las asignaturas, cursos, notas o evaluaciones que el conversor no sabe tratar: por ejemplo, una especialidad que tu centro imparte y el catálogo no tiene. La hoja no lleva datos de nadie, solo esos valores y cuántas filas afectan.</t>
        </is>
      </c>
    </row>
    <row r="19"/>
    <row r="20">
      <c r="A20" s="1" t="inlineStr">
        <is>
          <t xml:space="preserve">QUÉ HACE CON LOS DATOS</t>
        </is>
      </c>
    </row>
    <row r="21">
      <c r="A21" s="3" t="inlineStr">
        <is>
          <t xml:space="preserve">Etapa: la del curso de la asignatura (…EEM o …EPM).</t>
        </is>
      </c>
    </row>
    <row r="22">
      <c r="A22" s="3" t="inlineStr">
        <is>
          <t xml:space="preserve">Curso: el de la asignatura, también en las pendientes. La Armonía de 4.º que cursa un alumno de 5.º cuenta en 4.º, con el resto de la Armonía de 4.º.</t>
        </is>
      </c>
    </row>
    <row r="23">
      <c r="A23" s="3" t="inlineStr">
        <is>
          <t xml:space="preserve">Filas sin nota: se descartan. Son sobre todo la extraordinaria de quien aprobó en la ordinaria; si pasaran, borrarían su nota de junio y contarían como un cero.</t>
        </is>
      </c>
    </row>
    <row r="24">
      <c r="A24" s="3" t="inlineStr">
        <is>
          <t xml:space="preserve">NIA: se sustituye por un número. Es el mismo para el mismo alumno dentro de este fichero, y basta para que el analizador cruce ordinaria y extraordinaria. Nombre, apellidos y sexo no pasan.</t>
        </is>
      </c>
    </row>
    <row r="25">
      <c r="A25" s="3" t="inlineStr">
        <is>
          <t xml:space="preserve">Especialidad: la exportación no la trae; es la asignatura del alumno que CATALOGO marca como especialidad. Quien tiene dos conserva sus comunes repetidas, y el analizador lo avisa.</t>
        </is>
      </c>
    </row>
    <row r="26">
      <c r="A26" s="3" t="inlineStr">
        <is>
          <t xml:space="preserve">Asignatura: con el nombre del catálogo. La que no esté pasa con el suyo, y el analizador la cuenta en «FueraDeLasCifras».</t>
        </is>
      </c>
    </row>
    <row r="27"/>
    <row r="28">
      <c r="A28" s="6" t="inlineStr">
        <is>
          <t xml:space="preserve">ANTES DE GUARDAR O COMPARTIR</t>
        </is>
      </c>
    </row>
    <row r="29">
      <c r="A29" s="3" t="inlineStr">
        <is>
          <t xml:space="preserve">ENTRADA contiene datos personales. Cuando hayas copiado las dos hojas, borra ENTRADA: el conversor vacío no guarda nada de nadie, y los analizadores solo reciben números.</t>
        </is>
      </c>
    </row>
    <row r="30">
      <c r="A30" s="3" t="inlineStr">
        <is>
          <t xml:space="preserve">CATALOGO tiene que decir lo mismo que los analizadores. Si añades una asignatura a uno de ellos, añádela aquí también, con su etapa.</t>
        </is>
      </c>
    </row>
    <row r="31"/>
    <row r="32">
      <c r="A32" s="5" t="inlineStr">
        <is>
          <t xml:space="preserve">José Luis Miralles Bono · www.jlmirall.es · Desarrollado con Claude (Anthropic)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5"/>
  <cols>
    <col min="1" max="1" width="14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14" customWidth="1"/>
    <col min="16" max="16" width="14" customWidth="1"/>
    <col min="17" max="17" width="14" customWidth="1"/>
    <col min="18" max="18" width="14" customWidth="1"/>
    <col min="19" max="19" width="14" customWidth="1"/>
    <col min="20" max="20" width="14" customWidth="1"/>
    <col min="21" max="21" width="14" customWidth="1"/>
    <col min="22" max="22" width="14" customWidth="1"/>
    <col min="23" max="23" width="14" customWidth="1"/>
    <col min="24" max="24" width="14" customWidth="1"/>
    <col min="25" max="25" width="14" customWidth="1"/>
    <col min="26" max="26" width="14" customWidth="1"/>
    <col min="27" max="27" width="14" customWidth="1"/>
  </cols>
  <sheetData>
    <row r="1">
      <c r="A1" s="1" t="inlineStr">
        <is>
          <t xml:space="preserve">anoacademico_id</t>
        </is>
      </c>
      <c r="B1" s="1" t="inlineStr">
        <is>
          <t xml:space="preserve">codcentro</t>
        </is>
      </c>
      <c r="C1" s="1" t="inlineStr">
        <is>
          <t xml:space="preserve">denominacionespecifica</t>
        </is>
      </c>
      <c r="D1" s="1" t="inlineStr">
        <is>
          <t xml:space="preserve">codensenanza</t>
        </is>
      </c>
      <c r="E1" s="1" t="inlineStr">
        <is>
          <t xml:space="preserve">curso_mat</t>
        </is>
      </c>
      <c r="F1" s="1" t="inlineStr">
        <is>
          <t xml:space="preserve">curso_cont</t>
        </is>
      </c>
      <c r="G1" s="1" t="inlineStr">
        <is>
          <t xml:space="preserve">nombre</t>
        </is>
      </c>
      <c r="H1" s="1" t="inlineStr">
        <is>
          <t xml:space="preserve">apellido1</t>
        </is>
      </c>
      <c r="I1" s="1" t="inlineStr">
        <is>
          <t xml:space="preserve">apellido2</t>
        </is>
      </c>
      <c r="J1" s="1" t="inlineStr">
        <is>
          <t xml:space="preserve">nia</t>
        </is>
      </c>
      <c r="K1" s="1" t="inlineStr">
        <is>
          <t xml:space="preserve">sexo</t>
        </is>
      </c>
      <c r="L1" s="1" t="inlineStr">
        <is>
          <t xml:space="preserve">ev_codigo</t>
        </is>
      </c>
      <c r="M1" s="1" t="inlineStr">
        <is>
          <t xml:space="preserve">ev_abrv</t>
        </is>
      </c>
      <c r="N1" s="1" t="inlineStr">
        <is>
          <t xml:space="preserve">ev_desc</t>
        </is>
      </c>
      <c r="O1" s="1" t="inlineStr">
        <is>
          <t xml:space="preserve">ev_orden</t>
        </is>
      </c>
      <c r="P1" s="1" t="inlineStr">
        <is>
          <t xml:space="preserve">ev_obligatoria</t>
        </is>
      </c>
      <c r="Q1" s="1" t="inlineStr">
        <is>
          <t xml:space="preserve">ev_para_fct_proyecto</t>
        </is>
      </c>
      <c r="R1" s="1" t="inlineStr">
        <is>
          <t xml:space="preserve">co_codigo</t>
        </is>
      </c>
      <c r="S1" s="1" t="inlineStr">
        <is>
          <t xml:space="preserve">co_desc</t>
        </is>
      </c>
      <c r="T1" s="1" t="inlineStr">
        <is>
          <t xml:space="preserve">co_estutoria</t>
        </is>
      </c>
      <c r="U1" s="1" t="inlineStr">
        <is>
          <t xml:space="preserve">co_esproyecto</t>
        </is>
      </c>
      <c r="V1" s="1" t="inlineStr">
        <is>
          <t xml:space="preserve">co_caracter</t>
        </is>
      </c>
      <c r="W1" s="1" t="inlineStr">
        <is>
          <t xml:space="preserve">co_tipobasico</t>
        </is>
      </c>
      <c r="X1" s="1" t="inlineStr">
        <is>
          <t xml:space="preserve">co_singularidad</t>
        </is>
      </c>
      <c r="Y1" s="1" t="inlineStr">
        <is>
          <t xml:space="preserve">nota</t>
        </is>
      </c>
      <c r="Z1" s="1" t="inlineStr">
        <is>
          <t xml:space="preserve">aprueba</t>
        </is>
      </c>
      <c r="AA1" s="1" t="inlineStr">
        <is>
          <t xml:space="preserve">promociona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5"/>
  <cols>
    <col min="1" max="1" width="52" customWidth="1"/>
    <col min="2" max="2" width="8" customWidth="1"/>
    <col min="3" max="3" width="15" customWidth="1"/>
    <col min="4" max="4" width="3" customWidth="1"/>
    <col min="5" max="5" width="90" customWidth="1"/>
  </cols>
  <sheetData>
    <row r="1">
      <c r="A1" s="1" t="inlineStr">
        <is>
          <t xml:space="preserve">Asignatura</t>
        </is>
      </c>
      <c r="B1" s="1" t="inlineStr">
        <is>
          <t xml:space="preserve">Etapa</t>
        </is>
      </c>
      <c r="C1" s="1" t="inlineStr">
        <is>
          <t xml:space="preserve">EsEspecialidad</t>
        </is>
      </c>
      <c r="E1" s="1" t="inlineStr">
        <is>
          <t xml:space="preserve">CÓMO SE USA</t>
        </is>
      </c>
    </row>
    <row r="2">
      <c r="A2" s="0" t="inlineStr">
        <is>
          <t xml:space="preserve">Lenguaje Musical</t>
        </is>
      </c>
      <c r="B2" s="0" t="inlineStr">
        <is>
          <t xml:space="preserve">EEM</t>
        </is>
      </c>
      <c r="C2" s="0" t="inlineStr">
        <is>
          <t xml:space="preserve">No</t>
        </is>
      </c>
      <c r="E2" s="5" t="inlineStr">
        <is>
          <t xml:space="preserve">Es el mismo catálogo que CONFIG_ASIGNATURAS de los dos analizadores, con su etapa.</t>
        </is>
      </c>
    </row>
    <row r="3">
      <c r="A3" s="0" t="inlineStr">
        <is>
          <t xml:space="preserve">Coro</t>
        </is>
      </c>
      <c r="B3" s="0" t="inlineStr">
        <is>
          <t xml:space="preserve">EEM</t>
        </is>
      </c>
      <c r="C3" s="0" t="inlineStr">
        <is>
          <t xml:space="preserve">No</t>
        </is>
      </c>
      <c r="E3" s="5" t="inlineStr">
        <is>
          <t xml:space="preserve">Sirve para dos cosas: escribir cada asignatura con el nombre del analizador, y saber</t>
        </is>
      </c>
    </row>
    <row r="4">
      <c r="A4" s="0" t="inlineStr">
        <is>
          <t xml:space="preserve">Conjunto</t>
        </is>
      </c>
      <c r="B4" s="0" t="inlineStr">
        <is>
          <t xml:space="preserve">EEM</t>
        </is>
      </c>
      <c r="C4" s="0" t="inlineStr">
        <is>
          <t xml:space="preserve">No</t>
        </is>
      </c>
      <c r="E4" s="5" t="inlineStr">
        <is>
          <t xml:space="preserve">qué asignatura es la especialidad de cada alumno.</t>
        </is>
      </c>
    </row>
    <row r="5">
      <c r="A5" s="0" t="inlineStr">
        <is>
          <t xml:space="preserve">Acordeón</t>
        </is>
      </c>
      <c r="B5" s="0" t="inlineStr">
        <is>
          <t xml:space="preserve">EEM</t>
        </is>
      </c>
      <c r="C5" s="0" t="inlineStr">
        <is>
          <t xml:space="preserve">Sí</t>
        </is>
      </c>
      <c r="E5" s="5" t="inlineStr">
        <is>
          <t xml:space="preserve">Una asignatura nueva: en la primera fila libre, con el MISMO nombre que en el analizador,</t>
        </is>
      </c>
    </row>
    <row r="6">
      <c r="A6" s="0" t="inlineStr">
        <is>
          <t xml:space="preserve">Arpa</t>
        </is>
      </c>
      <c r="B6" s="0" t="inlineStr">
        <is>
          <t xml:space="preserve">EEM</t>
        </is>
      </c>
      <c r="C6" s="0" t="inlineStr">
        <is>
          <t xml:space="preserve">Sí</t>
        </is>
      </c>
      <c r="E6" s="5" t="inlineStr">
        <is>
          <t xml:space="preserve">su etapa (EEM o EPM) y «Sí» si es un instrumento. No hace falta ordenar nada.</t>
        </is>
      </c>
    </row>
    <row r="7">
      <c r="A7" s="0" t="inlineStr">
        <is>
          <t xml:space="preserve">Clarinete</t>
        </is>
      </c>
      <c r="B7" s="0" t="inlineStr">
        <is>
          <t xml:space="preserve">EEM</t>
        </is>
      </c>
      <c r="C7" s="0" t="inlineStr">
        <is>
          <t xml:space="preserve">Sí</t>
        </is>
      </c>
    </row>
    <row r="8">
      <c r="A8" s="0" t="inlineStr">
        <is>
          <t xml:space="preserve">Clave</t>
        </is>
      </c>
      <c r="B8" s="0" t="inlineStr">
        <is>
          <t xml:space="preserve">EEM</t>
        </is>
      </c>
      <c r="C8" s="0" t="inlineStr">
        <is>
          <t xml:space="preserve">Sí</t>
        </is>
      </c>
    </row>
    <row r="9">
      <c r="A9" s="0" t="inlineStr">
        <is>
          <t xml:space="preserve">Contrabajo</t>
        </is>
      </c>
      <c r="B9" s="0" t="inlineStr">
        <is>
          <t xml:space="preserve">EEM</t>
        </is>
      </c>
      <c r="C9" s="0" t="inlineStr">
        <is>
          <t xml:space="preserve">Sí</t>
        </is>
      </c>
    </row>
    <row r="10">
      <c r="A10" s="0" t="inlineStr">
        <is>
          <t xml:space="preserve">Dulzaina</t>
        </is>
      </c>
      <c r="B10" s="0" t="inlineStr">
        <is>
          <t xml:space="preserve">EEM</t>
        </is>
      </c>
      <c r="C10" s="0" t="inlineStr">
        <is>
          <t xml:space="preserve">Sí</t>
        </is>
      </c>
    </row>
    <row r="11">
      <c r="A11" s="0" t="inlineStr">
        <is>
          <t xml:space="preserve">Fagot</t>
        </is>
      </c>
      <c r="B11" s="0" t="inlineStr">
        <is>
          <t xml:space="preserve">EEM</t>
        </is>
      </c>
      <c r="C11" s="0" t="inlineStr">
        <is>
          <t xml:space="preserve">Sí</t>
        </is>
      </c>
    </row>
    <row r="12">
      <c r="A12" s="0" t="inlineStr">
        <is>
          <t xml:space="preserve">Flauta Travesera</t>
        </is>
      </c>
      <c r="B12" s="0" t="inlineStr">
        <is>
          <t xml:space="preserve">EEM</t>
        </is>
      </c>
      <c r="C12" s="0" t="inlineStr">
        <is>
          <t xml:space="preserve">Sí</t>
        </is>
      </c>
    </row>
    <row r="13">
      <c r="A13" s="0" t="inlineStr">
        <is>
          <t xml:space="preserve">Flauta de Pico</t>
        </is>
      </c>
      <c r="B13" s="0" t="inlineStr">
        <is>
          <t xml:space="preserve">EEM</t>
        </is>
      </c>
      <c r="C13" s="0" t="inlineStr">
        <is>
          <t xml:space="preserve">Sí</t>
        </is>
      </c>
    </row>
    <row r="14">
      <c r="A14" s="0" t="inlineStr">
        <is>
          <t xml:space="preserve">Guitarra</t>
        </is>
      </c>
      <c r="B14" s="0" t="inlineStr">
        <is>
          <t xml:space="preserve">EEM</t>
        </is>
      </c>
      <c r="C14" s="0" t="inlineStr">
        <is>
          <t xml:space="preserve">Sí</t>
        </is>
      </c>
    </row>
    <row r="15">
      <c r="A15" s="0" t="inlineStr">
        <is>
          <t xml:space="preserve">Instrumentos de Púa</t>
        </is>
      </c>
      <c r="B15" s="0" t="inlineStr">
        <is>
          <t xml:space="preserve">EEM</t>
        </is>
      </c>
      <c r="C15" s="0" t="inlineStr">
        <is>
          <t xml:space="preserve">Sí</t>
        </is>
      </c>
    </row>
    <row r="16">
      <c r="A16" s="0" t="inlineStr">
        <is>
          <t xml:space="preserve">Oboe</t>
        </is>
      </c>
      <c r="B16" s="0" t="inlineStr">
        <is>
          <t xml:space="preserve">EEM</t>
        </is>
      </c>
      <c r="C16" s="0" t="inlineStr">
        <is>
          <t xml:space="preserve">Sí</t>
        </is>
      </c>
    </row>
    <row r="17">
      <c r="A17" s="0" t="inlineStr">
        <is>
          <t xml:space="preserve">Percusión</t>
        </is>
      </c>
      <c r="B17" s="0" t="inlineStr">
        <is>
          <t xml:space="preserve">EEM</t>
        </is>
      </c>
      <c r="C17" s="0" t="inlineStr">
        <is>
          <t xml:space="preserve">Sí</t>
        </is>
      </c>
    </row>
    <row r="18">
      <c r="A18" s="0" t="inlineStr">
        <is>
          <t xml:space="preserve">Piano</t>
        </is>
      </c>
      <c r="B18" s="0" t="inlineStr">
        <is>
          <t xml:space="preserve">EEM</t>
        </is>
      </c>
      <c r="C18" s="0" t="inlineStr">
        <is>
          <t xml:space="preserve">Sí</t>
        </is>
      </c>
    </row>
    <row r="19">
      <c r="A19" s="0" t="inlineStr">
        <is>
          <t xml:space="preserve">Saxofón</t>
        </is>
      </c>
      <c r="B19" s="0" t="inlineStr">
        <is>
          <t xml:space="preserve">EEM</t>
        </is>
      </c>
      <c r="C19" s="0" t="inlineStr">
        <is>
          <t xml:space="preserve">Sí</t>
        </is>
      </c>
    </row>
    <row r="20">
      <c r="A20" s="0" t="inlineStr">
        <is>
          <t xml:space="preserve">Trombón</t>
        </is>
      </c>
      <c r="B20" s="0" t="inlineStr">
        <is>
          <t xml:space="preserve">EEM</t>
        </is>
      </c>
      <c r="C20" s="0" t="inlineStr">
        <is>
          <t xml:space="preserve">Sí</t>
        </is>
      </c>
    </row>
    <row r="21">
      <c r="A21" s="0" t="inlineStr">
        <is>
          <t xml:space="preserve">Trompa</t>
        </is>
      </c>
      <c r="B21" s="0" t="inlineStr">
        <is>
          <t xml:space="preserve">EEM</t>
        </is>
      </c>
      <c r="C21" s="0" t="inlineStr">
        <is>
          <t xml:space="preserve">Sí</t>
        </is>
      </c>
    </row>
    <row r="22">
      <c r="A22" s="0" t="inlineStr">
        <is>
          <t xml:space="preserve">Trompeta</t>
        </is>
      </c>
      <c r="B22" s="0" t="inlineStr">
        <is>
          <t xml:space="preserve">EEM</t>
        </is>
      </c>
      <c r="C22" s="0" t="inlineStr">
        <is>
          <t xml:space="preserve">Sí</t>
        </is>
      </c>
    </row>
    <row r="23">
      <c r="A23" s="0" t="inlineStr">
        <is>
          <t xml:space="preserve">Tuba</t>
        </is>
      </c>
      <c r="B23" s="0" t="inlineStr">
        <is>
          <t xml:space="preserve">EEM</t>
        </is>
      </c>
      <c r="C23" s="0" t="inlineStr">
        <is>
          <t xml:space="preserve">Sí</t>
        </is>
      </c>
    </row>
    <row r="24">
      <c r="A24" s="0" t="inlineStr">
        <is>
          <t xml:space="preserve">Viola</t>
        </is>
      </c>
      <c r="B24" s="0" t="inlineStr">
        <is>
          <t xml:space="preserve">EEM</t>
        </is>
      </c>
      <c r="C24" s="0" t="inlineStr">
        <is>
          <t xml:space="preserve">Sí</t>
        </is>
      </c>
    </row>
    <row r="25">
      <c r="A25" s="0" t="inlineStr">
        <is>
          <t xml:space="preserve">Viola de Gamba</t>
        </is>
      </c>
      <c r="B25" s="0" t="inlineStr">
        <is>
          <t xml:space="preserve">EEM</t>
        </is>
      </c>
      <c r="C25" s="0" t="inlineStr">
        <is>
          <t xml:space="preserve">Sí</t>
        </is>
      </c>
    </row>
    <row r="26">
      <c r="A26" s="0" t="inlineStr">
        <is>
          <t xml:space="preserve">Violín</t>
        </is>
      </c>
      <c r="B26" s="0" t="inlineStr">
        <is>
          <t xml:space="preserve">EEM</t>
        </is>
      </c>
      <c r="C26" s="0" t="inlineStr">
        <is>
          <t xml:space="preserve">Sí</t>
        </is>
      </c>
    </row>
    <row r="27">
      <c r="A27" s="0" t="inlineStr">
        <is>
          <t xml:space="preserve">Violoncello</t>
        </is>
      </c>
      <c r="B27" s="0" t="inlineStr">
        <is>
          <t xml:space="preserve">EEM</t>
        </is>
      </c>
      <c r="C27" s="0" t="inlineStr">
        <is>
          <t xml:space="preserve">Sí</t>
        </is>
      </c>
    </row>
    <row r="28">
      <c r="A28" s="0" t="inlineStr">
        <is>
          <t xml:space="preserve">Lenguaje Musical</t>
        </is>
      </c>
      <c r="B28" s="0" t="inlineStr">
        <is>
          <t xml:space="preserve">EPM</t>
        </is>
      </c>
      <c r="C28" s="0" t="inlineStr">
        <is>
          <t xml:space="preserve">No</t>
        </is>
      </c>
    </row>
    <row r="29">
      <c r="A29" s="0" t="inlineStr">
        <is>
          <t xml:space="preserve">Armonía</t>
        </is>
      </c>
      <c r="B29" s="0" t="inlineStr">
        <is>
          <t xml:space="preserve">EPM</t>
        </is>
      </c>
      <c r="C29" s="0" t="inlineStr">
        <is>
          <t xml:space="preserve">No</t>
        </is>
      </c>
    </row>
    <row r="30">
      <c r="A30" s="0" t="inlineStr">
        <is>
          <t xml:space="preserve">Análisis</t>
        </is>
      </c>
      <c r="B30" s="0" t="inlineStr">
        <is>
          <t xml:space="preserve">EPM</t>
        </is>
      </c>
      <c r="C30" s="0" t="inlineStr">
        <is>
          <t xml:space="preserve">No</t>
        </is>
      </c>
    </row>
    <row r="31">
      <c r="A31" s="0" t="inlineStr">
        <is>
          <t xml:space="preserve">Música de Cámara</t>
        </is>
      </c>
      <c r="B31" s="0" t="inlineStr">
        <is>
          <t xml:space="preserve">EPM</t>
        </is>
      </c>
      <c r="C31" s="0" t="inlineStr">
        <is>
          <t xml:space="preserve">No</t>
        </is>
      </c>
    </row>
    <row r="32">
      <c r="A32" s="0" t="inlineStr">
        <is>
          <t xml:space="preserve">Orquesta/Banda/Conjunto</t>
        </is>
      </c>
      <c r="B32" s="0" t="inlineStr">
        <is>
          <t xml:space="preserve">EPM</t>
        </is>
      </c>
      <c r="C32" s="0" t="inlineStr">
        <is>
          <t xml:space="preserve">No</t>
        </is>
      </c>
    </row>
    <row r="33">
      <c r="A33" s="0" t="inlineStr">
        <is>
          <t xml:space="preserve">Arpa</t>
        </is>
      </c>
      <c r="B33" s="0" t="inlineStr">
        <is>
          <t xml:space="preserve">EPM</t>
        </is>
      </c>
      <c r="C33" s="0" t="inlineStr">
        <is>
          <t xml:space="preserve">Sí</t>
        </is>
      </c>
    </row>
    <row r="34">
      <c r="A34" s="0" t="inlineStr">
        <is>
          <t xml:space="preserve">Bajo Eléctrico</t>
        </is>
      </c>
      <c r="B34" s="0" t="inlineStr">
        <is>
          <t xml:space="preserve">EPM</t>
        </is>
      </c>
      <c r="C34" s="0" t="inlineStr">
        <is>
          <t xml:space="preserve">Sí</t>
        </is>
      </c>
    </row>
    <row r="35">
      <c r="A35" s="0" t="inlineStr">
        <is>
          <t xml:space="preserve">Canto</t>
        </is>
      </c>
      <c r="B35" s="0" t="inlineStr">
        <is>
          <t xml:space="preserve">EPM</t>
        </is>
      </c>
      <c r="C35" s="0" t="inlineStr">
        <is>
          <t xml:space="preserve">Sí</t>
        </is>
      </c>
    </row>
    <row r="36">
      <c r="A36" s="0" t="inlineStr">
        <is>
          <t xml:space="preserve">Clarinete</t>
        </is>
      </c>
      <c r="B36" s="0" t="inlineStr">
        <is>
          <t xml:space="preserve">EPM</t>
        </is>
      </c>
      <c r="C36" s="0" t="inlineStr">
        <is>
          <t xml:space="preserve">Sí</t>
        </is>
      </c>
    </row>
    <row r="37">
      <c r="A37" s="0" t="inlineStr">
        <is>
          <t xml:space="preserve">Contrabajo</t>
        </is>
      </c>
      <c r="B37" s="0" t="inlineStr">
        <is>
          <t xml:space="preserve">EPM</t>
        </is>
      </c>
      <c r="C37" s="0" t="inlineStr">
        <is>
          <t xml:space="preserve">Sí</t>
        </is>
      </c>
    </row>
    <row r="38">
      <c r="A38" s="0" t="inlineStr">
        <is>
          <t xml:space="preserve">Dulzaina</t>
        </is>
      </c>
      <c r="B38" s="0" t="inlineStr">
        <is>
          <t xml:space="preserve">EPM</t>
        </is>
      </c>
      <c r="C38" s="0" t="inlineStr">
        <is>
          <t xml:space="preserve">Sí</t>
        </is>
      </c>
    </row>
    <row r="39">
      <c r="A39" s="0" t="inlineStr">
        <is>
          <t xml:space="preserve">Fagot</t>
        </is>
      </c>
      <c r="B39" s="0" t="inlineStr">
        <is>
          <t xml:space="preserve">EPM</t>
        </is>
      </c>
      <c r="C39" s="0" t="inlineStr">
        <is>
          <t xml:space="preserve">Sí</t>
        </is>
      </c>
    </row>
    <row r="40">
      <c r="A40" s="0" t="inlineStr">
        <is>
          <t xml:space="preserve">Flauta Travesera</t>
        </is>
      </c>
      <c r="B40" s="0" t="inlineStr">
        <is>
          <t xml:space="preserve">EPM</t>
        </is>
      </c>
      <c r="C40" s="0" t="inlineStr">
        <is>
          <t xml:space="preserve">Sí</t>
        </is>
      </c>
    </row>
    <row r="41">
      <c r="A41" s="0" t="inlineStr">
        <is>
          <t xml:space="preserve">Guitarra</t>
        </is>
      </c>
      <c r="B41" s="0" t="inlineStr">
        <is>
          <t xml:space="preserve">EPM</t>
        </is>
      </c>
      <c r="C41" s="0" t="inlineStr">
        <is>
          <t xml:space="preserve">Sí</t>
        </is>
      </c>
    </row>
    <row r="42">
      <c r="A42" s="0" t="inlineStr">
        <is>
          <t xml:space="preserve">Guitarra Eléctrica</t>
        </is>
      </c>
      <c r="B42" s="0" t="inlineStr">
        <is>
          <t xml:space="preserve">EPM</t>
        </is>
      </c>
      <c r="C42" s="0" t="inlineStr">
        <is>
          <t xml:space="preserve">Sí</t>
        </is>
      </c>
    </row>
    <row r="43">
      <c r="A43" s="0" t="inlineStr">
        <is>
          <t xml:space="preserve">Oboe</t>
        </is>
      </c>
      <c r="B43" s="0" t="inlineStr">
        <is>
          <t xml:space="preserve">EPM</t>
        </is>
      </c>
      <c r="C43" s="0" t="inlineStr">
        <is>
          <t xml:space="preserve">Sí</t>
        </is>
      </c>
    </row>
    <row r="44">
      <c r="A44" s="0" t="inlineStr">
        <is>
          <t xml:space="preserve">Percusión</t>
        </is>
      </c>
      <c r="B44" s="0" t="inlineStr">
        <is>
          <t xml:space="preserve">EPM</t>
        </is>
      </c>
      <c r="C44" s="0" t="inlineStr">
        <is>
          <t xml:space="preserve">Sí</t>
        </is>
      </c>
    </row>
    <row r="45">
      <c r="A45" s="0" t="inlineStr">
        <is>
          <t xml:space="preserve">Piano</t>
        </is>
      </c>
      <c r="B45" s="0" t="inlineStr">
        <is>
          <t xml:space="preserve">EPM</t>
        </is>
      </c>
      <c r="C45" s="0" t="inlineStr">
        <is>
          <t xml:space="preserve">Sí</t>
        </is>
      </c>
    </row>
    <row r="46">
      <c r="A46" s="0" t="inlineStr">
        <is>
          <t xml:space="preserve">Saxofón</t>
        </is>
      </c>
      <c r="B46" s="0" t="inlineStr">
        <is>
          <t xml:space="preserve">EPM</t>
        </is>
      </c>
      <c r="C46" s="0" t="inlineStr">
        <is>
          <t xml:space="preserve">Sí</t>
        </is>
      </c>
    </row>
    <row r="47">
      <c r="A47" s="0" t="inlineStr">
        <is>
          <t xml:space="preserve">Trombón</t>
        </is>
      </c>
      <c r="B47" s="0" t="inlineStr">
        <is>
          <t xml:space="preserve">EPM</t>
        </is>
      </c>
      <c r="C47" s="0" t="inlineStr">
        <is>
          <t xml:space="preserve">Sí</t>
        </is>
      </c>
    </row>
    <row r="48">
      <c r="A48" s="0" t="inlineStr">
        <is>
          <t xml:space="preserve">Trompa</t>
        </is>
      </c>
      <c r="B48" s="0" t="inlineStr">
        <is>
          <t xml:space="preserve">EPM</t>
        </is>
      </c>
      <c r="C48" s="0" t="inlineStr">
        <is>
          <t xml:space="preserve">Sí</t>
        </is>
      </c>
    </row>
    <row r="49">
      <c r="A49" s="0" t="inlineStr">
        <is>
          <t xml:space="preserve">Trompeta</t>
        </is>
      </c>
      <c r="B49" s="0" t="inlineStr">
        <is>
          <t xml:space="preserve">EPM</t>
        </is>
      </c>
      <c r="C49" s="0" t="inlineStr">
        <is>
          <t xml:space="preserve">Sí</t>
        </is>
      </c>
    </row>
    <row r="50">
      <c r="A50" s="0" t="inlineStr">
        <is>
          <t xml:space="preserve">Tuba</t>
        </is>
      </c>
      <c r="B50" s="0" t="inlineStr">
        <is>
          <t xml:space="preserve">EPM</t>
        </is>
      </c>
      <c r="C50" s="0" t="inlineStr">
        <is>
          <t xml:space="preserve">Sí</t>
        </is>
      </c>
    </row>
    <row r="51">
      <c r="A51" s="0" t="inlineStr">
        <is>
          <t xml:space="preserve">Viola</t>
        </is>
      </c>
      <c r="B51" s="0" t="inlineStr">
        <is>
          <t xml:space="preserve">EPM</t>
        </is>
      </c>
      <c r="C51" s="0" t="inlineStr">
        <is>
          <t xml:space="preserve">Sí</t>
        </is>
      </c>
    </row>
    <row r="52">
      <c r="A52" s="0" t="inlineStr">
        <is>
          <t xml:space="preserve">Violín</t>
        </is>
      </c>
      <c r="B52" s="0" t="inlineStr">
        <is>
          <t xml:space="preserve">EPM</t>
        </is>
      </c>
      <c r="C52" s="0" t="inlineStr">
        <is>
          <t xml:space="preserve">Sí</t>
        </is>
      </c>
    </row>
    <row r="53">
      <c r="A53" s="0" t="inlineStr">
        <is>
          <t xml:space="preserve">Violoncello</t>
        </is>
      </c>
      <c r="B53" s="0" t="inlineStr">
        <is>
          <t xml:space="preserve">EPM</t>
        </is>
      </c>
      <c r="C53" s="0" t="inlineStr">
        <is>
          <t xml:space="preserve">Sí</t>
        </is>
      </c>
    </row>
    <row r="54">
      <c r="A54" s="0" t="inlineStr">
        <is>
          <t xml:space="preserve">Piano Complementario</t>
        </is>
      </c>
      <c r="B54" s="0" t="inlineStr">
        <is>
          <t xml:space="preserve">EPM</t>
        </is>
      </c>
      <c r="C54" s="0" t="inlineStr">
        <is>
          <t xml:space="preserve">No</t>
        </is>
      </c>
    </row>
    <row r="55">
      <c r="A55" s="0" t="inlineStr">
        <is>
          <t xml:space="preserve">Conjunto</t>
        </is>
      </c>
      <c r="B55" s="0" t="inlineStr">
        <is>
          <t xml:space="preserve">EPM</t>
        </is>
      </c>
      <c r="C55" s="0" t="inlineStr">
        <is>
          <t xml:space="preserve">No</t>
        </is>
      </c>
    </row>
    <row r="56">
      <c r="A56" s="0" t="inlineStr">
        <is>
          <t xml:space="preserve">Acompañamiento</t>
        </is>
      </c>
      <c r="B56" s="0" t="inlineStr">
        <is>
          <t xml:space="preserve">EPM</t>
        </is>
      </c>
      <c r="C56" s="0" t="inlineStr">
        <is>
          <t xml:space="preserve">No</t>
        </is>
      </c>
    </row>
    <row r="57">
      <c r="A57" s="0" t="inlineStr">
        <is>
          <t xml:space="preserve">Coro</t>
        </is>
      </c>
      <c r="B57" s="0" t="inlineStr">
        <is>
          <t xml:space="preserve">EPM</t>
        </is>
      </c>
      <c r="C57" s="0" t="inlineStr">
        <is>
          <t xml:space="preserve">No</t>
        </is>
      </c>
    </row>
    <row r="58">
      <c r="A58" s="0" t="inlineStr">
        <is>
          <t xml:space="preserve">Idioma Aplicado al Canto</t>
        </is>
      </c>
      <c r="B58" s="0" t="inlineStr">
        <is>
          <t xml:space="preserve">EPM</t>
        </is>
      </c>
      <c r="C58" s="0" t="inlineStr">
        <is>
          <t xml:space="preserve">No</t>
        </is>
      </c>
    </row>
    <row r="59">
      <c r="A59" s="0" t="inlineStr">
        <is>
          <t xml:space="preserve">Tabalet</t>
        </is>
      </c>
      <c r="B59" s="0" t="inlineStr">
        <is>
          <t xml:space="preserve">EPM</t>
        </is>
      </c>
      <c r="C59" s="0" t="inlineStr">
        <is>
          <t xml:space="preserve">No</t>
        </is>
      </c>
    </row>
    <row r="60">
      <c r="A60" s="0" t="inlineStr">
        <is>
          <t xml:space="preserve">Historia de la Música</t>
        </is>
      </c>
      <c r="B60" s="0" t="inlineStr">
        <is>
          <t xml:space="preserve">EPM</t>
        </is>
      </c>
      <c r="C60" s="0" t="inlineStr">
        <is>
          <t xml:space="preserve">No</t>
        </is>
      </c>
    </row>
    <row r="61">
      <c r="A61" s="0" t="inlineStr">
        <is>
          <t xml:space="preserve">Creatividad y Música</t>
        </is>
      </c>
      <c r="B61" s="0" t="inlineStr">
        <is>
          <t xml:space="preserve">EPM</t>
        </is>
      </c>
      <c r="C61" s="0" t="inlineStr">
        <is>
          <t xml:space="preserve">No</t>
        </is>
      </c>
    </row>
    <row r="62">
      <c r="A62" s="0" t="inlineStr">
        <is>
          <t xml:space="preserve">Cultura Audiovisual</t>
        </is>
      </c>
      <c r="B62" s="0" t="inlineStr">
        <is>
          <t xml:space="preserve">EPM</t>
        </is>
      </c>
      <c r="C62" s="0" t="inlineStr">
        <is>
          <t xml:space="preserve">No</t>
        </is>
      </c>
    </row>
    <row r="63">
      <c r="A63" s="0" t="inlineStr">
        <is>
          <t xml:space="preserve">Complemento Coral</t>
        </is>
      </c>
      <c r="B63" s="0" t="inlineStr">
        <is>
          <t xml:space="preserve">EPM</t>
        </is>
      </c>
      <c r="C63" s="0" t="inlineStr">
        <is>
          <t xml:space="preserve">No</t>
        </is>
      </c>
    </row>
    <row r="64">
      <c r="A64" s="0" t="inlineStr">
        <is>
          <t xml:space="preserve">Fundamentos de Composición</t>
        </is>
      </c>
      <c r="B64" s="0" t="inlineStr">
        <is>
          <t xml:space="preserve">EPM</t>
        </is>
      </c>
      <c r="C64" s="0" t="inlineStr">
        <is>
          <t xml:space="preserve">No</t>
        </is>
      </c>
    </row>
    <row r="65">
      <c r="A65" s="0" t="inlineStr">
        <is>
          <t xml:space="preserve">Introducción a la Pedagogía Musical</t>
        </is>
      </c>
      <c r="B65" s="0" t="inlineStr">
        <is>
          <t xml:space="preserve">EPM</t>
        </is>
      </c>
      <c r="C65" s="0" t="inlineStr">
        <is>
          <t xml:space="preserve">No</t>
        </is>
      </c>
    </row>
    <row r="66">
      <c r="A66" s="0" t="inlineStr">
        <is>
          <t xml:space="preserve">Fundamentos de Informática Musical y Edición de Partituras</t>
        </is>
      </c>
      <c r="B66" s="0" t="inlineStr">
        <is>
          <t xml:space="preserve">EPM</t>
        </is>
      </c>
      <c r="C66" s="0" t="inlineStr">
        <is>
          <t xml:space="preserve">No</t>
        </is>
      </c>
    </row>
    <row r="67">
      <c r="A67" s="0" t="inlineStr">
        <is>
          <t xml:space="preserve">Complemento Pianístico / Clavecinístico</t>
        </is>
      </c>
      <c r="B67" s="0" t="inlineStr">
        <is>
          <t xml:space="preserve">EPM</t>
        </is>
      </c>
      <c r="C67" s="0" t="inlineStr">
        <is>
          <t xml:space="preserve">No</t>
        </is>
      </c>
    </row>
    <row r="68">
      <c r="A68" s="0" t="inlineStr">
        <is>
          <t xml:space="preserve">Estética de la Música</t>
        </is>
      </c>
      <c r="B68" s="0" t="inlineStr">
        <is>
          <t xml:space="preserve">EPM</t>
        </is>
      </c>
      <c r="C68" s="0" t="inlineStr">
        <is>
          <t xml:space="preserve">No</t>
        </is>
      </c>
    </row>
    <row r="69">
      <c r="A69" s="0" t="inlineStr">
        <is>
          <t xml:space="preserve">Improvisación y Jazz</t>
        </is>
      </c>
      <c r="B69" s="0" t="inlineStr">
        <is>
          <t xml:space="preserve">EPM</t>
        </is>
      </c>
      <c r="C69" s="0" t="inlineStr">
        <is>
          <t xml:space="preserve">No</t>
        </is>
      </c>
    </row>
    <row r="70">
      <c r="A70" s="5" t="inlineStr">
        <is>
          <t xml:space="preserve">↓ primera fila libre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D4ED8"/>
  </sheetPr>
  <sheetViews>
    <sheetView workbookViewId="0">
      <pane ySplit="1" topLeftCell="A2" activePane="bottomLeft" state="frozen"/>
    </sheetView>
  </sheetViews>
  <sheetFormatPr defaultRowHeight="15"/>
  <cols>
    <col min="1" max="1" width="8" customWidth="1"/>
    <col min="2" max="2" width="10" customWidth="1"/>
    <col min="3" max="3" width="10" customWidth="1"/>
    <col min="4" max="4" width="8" customWidth="1"/>
    <col min="5" max="5" width="20" customWidth="1"/>
    <col min="6" max="6" width="7" customWidth="1"/>
    <col min="7" max="7" width="11" customWidth="1"/>
    <col min="8" max="8" width="11" customWidth="1"/>
    <col min="9" max="9" width="40" customWidth="1"/>
    <col min="10" max="10" width="7" customWidth="1"/>
    <col min="11" max="11" width="13" customWidth="1"/>
    <col min="12" max="12" width="6" customWidth="1"/>
    <col min="13" max="13" width="10" customWidth="1"/>
    <col min="14" max="14" width="10" customWidth="1"/>
  </cols>
  <sheetData>
    <row r="1">
      <c r="A1" s="1" t="inlineStr">
        <is>
          <t xml:space="preserve">NIA</t>
        </is>
      </c>
      <c r="B1" s="1" t="inlineStr">
        <is>
          <t xml:space="preserve">Apellidos</t>
        </is>
      </c>
      <c r="C1" s="1" t="inlineStr">
        <is>
          <t xml:space="preserve">Nombre</t>
        </is>
      </c>
      <c r="D1" s="1" t="inlineStr">
        <is>
          <t xml:space="preserve">Curso</t>
        </is>
      </c>
      <c r="E1" s="1" t="inlineStr">
        <is>
          <t xml:space="preserve">Especialidad</t>
        </is>
      </c>
      <c r="F1" s="1" t="inlineStr">
        <is>
          <t xml:space="preserve">Repite</t>
        </is>
      </c>
      <c r="G1" s="1" t="inlineStr">
        <is>
          <t xml:space="preserve">Evaluación</t>
        </is>
      </c>
      <c r="H1" s="1" t="inlineStr">
        <is>
          <t xml:space="preserve">Código Asig</t>
        </is>
      </c>
      <c r="I1" s="1" t="inlineStr">
        <is>
          <t xml:space="preserve">Contenido</t>
        </is>
      </c>
      <c r="J1" s="1" t="inlineStr">
        <is>
          <t xml:space="preserve">Nota</t>
        </is>
      </c>
      <c r="K1" s="1" t="inlineStr">
        <is>
          <t xml:space="preserve">Nota Numérica</t>
        </is>
      </c>
      <c r="L1" s="1" t="inlineStr">
        <is>
          <t xml:space="preserve">Apto</t>
        </is>
      </c>
      <c r="M1" s="1" t="inlineStr">
        <is>
          <t xml:space="preserve">Profesor</t>
        </is>
      </c>
      <c r="N1" s="1" t="inlineStr">
        <is>
          <t xml:space="preserve">Observ.</t>
        </is>
      </c>
    </row>
    <row r="2">
      <c r="A2" s="0" cm="1">
        <f t="array" ref="A2">IF(CONTROL!$B$4&lt;2,"",_xlfn.LET(_xlpm.vEt,RIGHT(eCURSO,3),_xlpm.vAsig,TRIM(eASIG),_xlpm.vCanon,_xlfn.IFNA(_xlfn.XLOOKUP(_xlpm.vAsig&amp;"|"&amp;_xlpm.vEt,cASIG&amp;"|"&amp;cETAPA,cASIG),_xlpm.vAsig),_xlpm.vEsEsp,ISNUMBER(_xlfn.XMATCH(_xlpm.vAsig&amp;"|"&amp;_xlpm.vEt&amp;"|Sí",cASIG&amp;"|"&amp;cETAPA&amp;"|"&amp;cESP)),_xlpm.vClave,eNIA&amp;"|"&amp;_xlpm.vEt,_xlpm.vTexto,TRIM(eNOTA&amp;""),_xlpm.vNum,IF(_xlpm.vTexto="","",IFERROR(IF(ISNUMBER(SEARCH(",",_xlpm.vTexto)),_xlfn.NUMBERVALUE(_xlpm.vTexto,","),_xlfn.NUMBERVALUE(_xlpm.vTexto,".")),"?")),_xlpm.vInstr,IF(_xlpm.vEsEsp,_xlpm.vCanon,_xlfn.XLOOKUP(_xlpm.vClave,_xlfn._xlws.FILTER(_xlpm.vClave,_xlpm.vEsEsp,"~"),_xlfn._xlws.FILTER(_xlpm.vCanon,_xlpm.vEsEsp,""),"")),_xlpm.vId,_xlfn.XMATCH(eNIA&amp;"",_xlfn.UNIQUE(eNIA&amp;"")),_xlpm.vApto,IF(TRIM(eAPRUEBA&amp;"")="",IF(_xlpm.vNum&gt;=5,"S","N"),IF(TRIM(eAPRUEBA&amp;"")="1","S","N")),_xlpm.vTabla,CHOOSE({1,2,3,4,5,6,7,8,9,10,11,12,13,14},_xlpm.vId,"","",eCURSO,_xlpm.vInstr,"",eEVAL,eCODIGO&amp;"",_xlpm.vCanon,_xlpm.vNum,_xlpm.vNum,_xlpm.vApto,"",""),_xlfn._xlws.FILTER(_xlpm.vTabla,(_xlpm.vEt="EEM")*(_xlpm.vTexto&lt;&gt;"")*ISNUMBER(_xlpm.vNum),"")))</f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D4ED8"/>
  </sheetPr>
  <sheetViews>
    <sheetView workbookViewId="0">
      <pane ySplit="1" topLeftCell="A2" activePane="bottomLeft" state="frozen"/>
    </sheetView>
  </sheetViews>
  <sheetFormatPr defaultRowHeight="15"/>
  <cols>
    <col min="1" max="1" width="8" customWidth="1"/>
    <col min="2" max="2" width="10" customWidth="1"/>
    <col min="3" max="3" width="10" customWidth="1"/>
    <col min="4" max="4" width="8" customWidth="1"/>
    <col min="5" max="5" width="20" customWidth="1"/>
    <col min="6" max="6" width="7" customWidth="1"/>
    <col min="7" max="7" width="11" customWidth="1"/>
    <col min="8" max="8" width="11" customWidth="1"/>
    <col min="9" max="9" width="40" customWidth="1"/>
    <col min="10" max="10" width="7" customWidth="1"/>
    <col min="11" max="11" width="13" customWidth="1"/>
    <col min="12" max="12" width="6" customWidth="1"/>
    <col min="13" max="13" width="10" customWidth="1"/>
    <col min="14" max="14" width="10" customWidth="1"/>
  </cols>
  <sheetData>
    <row r="1">
      <c r="A1" s="1" t="inlineStr">
        <is>
          <t xml:space="preserve">NIA</t>
        </is>
      </c>
      <c r="B1" s="1" t="inlineStr">
        <is>
          <t xml:space="preserve">Apellidos</t>
        </is>
      </c>
      <c r="C1" s="1" t="inlineStr">
        <is>
          <t xml:space="preserve">Nombre</t>
        </is>
      </c>
      <c r="D1" s="1" t="inlineStr">
        <is>
          <t xml:space="preserve">Curso</t>
        </is>
      </c>
      <c r="E1" s="1" t="inlineStr">
        <is>
          <t xml:space="preserve">Especialidad</t>
        </is>
      </c>
      <c r="F1" s="1" t="inlineStr">
        <is>
          <t xml:space="preserve">Repite</t>
        </is>
      </c>
      <c r="G1" s="1" t="inlineStr">
        <is>
          <t xml:space="preserve">Evaluación</t>
        </is>
      </c>
      <c r="H1" s="1" t="inlineStr">
        <is>
          <t xml:space="preserve">Código Asig</t>
        </is>
      </c>
      <c r="I1" s="1" t="inlineStr">
        <is>
          <t xml:space="preserve">Contenido</t>
        </is>
      </c>
      <c r="J1" s="1" t="inlineStr">
        <is>
          <t xml:space="preserve">Nota</t>
        </is>
      </c>
      <c r="K1" s="1" t="inlineStr">
        <is>
          <t xml:space="preserve">Nota Numérica</t>
        </is>
      </c>
      <c r="L1" s="1" t="inlineStr">
        <is>
          <t xml:space="preserve">Apto</t>
        </is>
      </c>
      <c r="M1" s="1" t="inlineStr">
        <is>
          <t xml:space="preserve">Profesor</t>
        </is>
      </c>
      <c r="N1" s="1" t="inlineStr">
        <is>
          <t xml:space="preserve">Observ.</t>
        </is>
      </c>
    </row>
    <row r="2">
      <c r="A2" s="0" cm="1">
        <f t="array" ref="A2">IF(CONTROL!$B$4&lt;2,"",_xlfn.LET(_xlpm.vEt,RIGHT(eCURSO,3),_xlpm.vAsig,TRIM(eASIG),_xlpm.vCanon,_xlfn.IFNA(_xlfn.XLOOKUP(_xlpm.vAsig&amp;"|"&amp;_xlpm.vEt,cASIG&amp;"|"&amp;cETAPA,cASIG),_xlpm.vAsig),_xlpm.vEsEsp,ISNUMBER(_xlfn.XMATCH(_xlpm.vAsig&amp;"|"&amp;_xlpm.vEt&amp;"|Sí",cASIG&amp;"|"&amp;cETAPA&amp;"|"&amp;cESP)),_xlpm.vClave,eNIA&amp;"|"&amp;_xlpm.vEt,_xlpm.vTexto,TRIM(eNOTA&amp;""),_xlpm.vNum,IF(_xlpm.vTexto="","",IFERROR(IF(ISNUMBER(SEARCH(",",_xlpm.vTexto)),_xlfn.NUMBERVALUE(_xlpm.vTexto,","),_xlfn.NUMBERVALUE(_xlpm.vTexto,".")),"?")),_xlpm.vInstr,IF(_xlpm.vEsEsp,_xlpm.vCanon,_xlfn.XLOOKUP(_xlpm.vClave,_xlfn._xlws.FILTER(_xlpm.vClave,_xlpm.vEsEsp,"~"),_xlfn._xlws.FILTER(_xlpm.vCanon,_xlpm.vEsEsp,""),"")),_xlpm.vId,_xlfn.XMATCH(eNIA&amp;"",_xlfn.UNIQUE(eNIA&amp;"")),_xlpm.vApto,IF(TRIM(eAPRUEBA&amp;"")="",IF(_xlpm.vNum&gt;=5,"S","N"),IF(TRIM(eAPRUEBA&amp;"")="1","S","N")),_xlpm.vTabla,CHOOSE({1,2,3,4,5,6,7,8,9,10,11,12,13,14},_xlpm.vId,"","",eCURSO,_xlpm.vInstr,"",eEVAL,eCODIGO&amp;"",_xlpm.vCanon,_xlpm.vNum,_xlpm.vNum,_xlpm.vApto,"",""),_xlfn._xlws.FILTER(_xlpm.vTabla,(_xlpm.vEt="EPM")*(_xlpm.vTexto&lt;&gt;"")*ISNUMBER(_xlpm.vNum),"")))</f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B45309"/>
  </sheetPr>
  <sheetViews>
    <sheetView workbookViewId="0"/>
  </sheetViews>
  <sheetFormatPr defaultRowHeight="15"/>
  <cols>
    <col min="1" max="1" width="48" customWidth="1"/>
    <col min="2" max="2" width="40" customWidth="1"/>
    <col min="3" max="3" width="90" customWidth="1"/>
  </cols>
  <sheetData>
    <row r="1">
      <c r="A1" s="1" t="inlineStr">
        <is>
          <t xml:space="preserve">Comprobación</t>
        </is>
      </c>
      <c r="B1" s="1" t="inlineStr">
        <is>
          <t xml:space="preserve">Resultado</t>
        </is>
      </c>
      <c r="C1" s="1" t="inlineStr">
        <is>
          <t xml:space="preserve">Qué significa</t>
        </is>
      </c>
    </row>
    <row r="2">
      <c r="A2" s="5" t="inlineStr">
        <is>
          <t xml:space="preserve">Mira esto antes de copiar DATOS_EEM y DATOS_EPM.</t>
        </is>
      </c>
    </row>
    <row r="3">
      <c r="A3" s="4" t="inlineStr">
        <is>
          <t xml:space="preserve">Columnas que faltan en ENTRADA</t>
        </is>
      </c>
      <c r="B3" s="3" cm="1">
        <f t="array" ref="B3">_xlfn.LET(_xlpm.vC,{"nia","curso_mat","curso_cont","ev_codigo","co_codigo","co_desc","co_tipobasico","nota","aprueba"},_xlpm.vL,_xlfn.TEXTJOIN(", ",TRUE,IF(ISNA(_xlfn.XMATCH(_xlpm.vC,ENTRADA!$A$1:$AZ$1)),_xlpm.vC,"")),IF(_xlpm.vL="","Ninguna",_xlpm.vL))</f>
      </c>
      <c r="C3" s="5" t="inlineStr">
        <is>
          <t xml:space="preserve">Si falta alguna, el resto de la hoja no vale: la exportación no tiene la forma esperada.</t>
        </is>
      </c>
    </row>
    <row r="4">
      <c r="A4" s="4" t="inlineStr">
        <is>
          <t xml:space="preserve">Última fila con datos</t>
        </is>
      </c>
      <c r="B4" s="3" cm="1">
        <f t="array" ref="B4">IFERROR(LOOKUP(2,1/(INDEX(ENTRADA!$A$1:$AZ$30000,0,_xlfn.XMATCH("nia",ENTRADA!$A$1:$AZ$1))&lt;&gt;""),ROW(ENTRADA!$A$1:$A$30000)),1)</f>
      </c>
      <c r="C4" s="5" t="inlineStr">
        <is>
          <t xml:space="preserve">Hasta dónde miran las fórmulas. Se decide por la columna nia.</t>
        </is>
      </c>
    </row>
    <row r="5">
      <c r="A5" s="4" t="inlineStr">
        <is>
          <t xml:space="preserve">Filas pegadas</t>
        </is>
      </c>
      <c r="B5" s="3" cm="1">
        <f t="array" ref="B5">MAX(0,CONTROL!$B$4-1)</f>
      </c>
      <c r="C5" s="5"/>
    </row>
    <row r="6">
      <c r="A6" s="4" t="inlineStr">
        <is>
          <t xml:space="preserve">Filas de elemental</t>
        </is>
      </c>
      <c r="B6" s="3" cm="1">
        <f t="array" ref="B6">IF(CONTROL!$B$4&lt;2,0,_xlfn.LET(_xlpm.vEt,RIGHT(eCURSO,3),_xlpm.vAsig,TRIM(eASIG),_xlpm.vCanon,_xlfn.IFNA(_xlfn.XLOOKUP(_xlpm.vAsig&amp;"|"&amp;_xlpm.vEt,cASIG&amp;"|"&amp;cETAPA,cASIG),_xlpm.vAsig),_xlpm.vEsEsp,ISNUMBER(_xlfn.XMATCH(_xlpm.vAsig&amp;"|"&amp;_xlpm.vEt&amp;"|Sí",cASIG&amp;"|"&amp;cETAPA&amp;"|"&amp;cESP)),_xlpm.vClave,eNIA&amp;"|"&amp;_xlpm.vEt,_xlpm.vTexto,TRIM(eNOTA&amp;""),_xlpm.vNum,IF(_xlpm.vTexto="","",IFERROR(IF(ISNUMBER(SEARCH(",",_xlpm.vTexto)),_xlfn.NUMBERVALUE(_xlpm.vTexto,","),_xlfn.NUMBERVALUE(_xlpm.vTexto,".")),"?")),SUM(--(_xlpm.vEt="EEM"))))</f>
      </c>
      <c r="C6" s="5" t="inlineStr">
        <is>
          <t xml:space="preserve">Por el curso de la asignatura.</t>
        </is>
      </c>
    </row>
    <row r="7">
      <c r="A7" s="4" t="inlineStr">
        <is>
          <t xml:space="preserve">Filas de profesional</t>
        </is>
      </c>
      <c r="B7" s="3" cm="1">
        <f t="array" ref="B7">IF(CONTROL!$B$4&lt;2,0,_xlfn.LET(_xlpm.vEt,RIGHT(eCURSO,3),_xlpm.vAsig,TRIM(eASIG),_xlpm.vCanon,_xlfn.IFNA(_xlfn.XLOOKUP(_xlpm.vAsig&amp;"|"&amp;_xlpm.vEt,cASIG&amp;"|"&amp;cETAPA,cASIG),_xlpm.vAsig),_xlpm.vEsEsp,ISNUMBER(_xlfn.XMATCH(_xlpm.vAsig&amp;"|"&amp;_xlpm.vEt&amp;"|Sí",cASIG&amp;"|"&amp;cETAPA&amp;"|"&amp;cESP)),_xlpm.vClave,eNIA&amp;"|"&amp;_xlpm.vEt,_xlpm.vTexto,TRIM(eNOTA&amp;""),_xlpm.vNum,IF(_xlpm.vTexto="","",IFERROR(IF(ISNUMBER(SEARCH(",",_xlpm.vTexto)),_xlfn.NUMBERVALUE(_xlpm.vTexto,","),_xlfn.NUMBERVALUE(_xlpm.vTexto,".")),"?")),SUM(--(_xlpm.vEt="EPM"))))</f>
      </c>
      <c r="C7" s="5"/>
    </row>
    <row r="8">
      <c r="A8" s="4" t="inlineStr">
        <is>
          <t xml:space="preserve">Filas con un curso que no es de ninguna etapa</t>
        </is>
      </c>
      <c r="B8" s="3" cm="1">
        <f t="array" ref="B8">IF(CONTROL!$B$4&lt;2,0,_xlfn.LET(_xlpm.vEt,RIGHT(eCURSO,3),_xlpm.vAsig,TRIM(eASIG),_xlpm.vCanon,_xlfn.IFNA(_xlfn.XLOOKUP(_xlpm.vAsig&amp;"|"&amp;_xlpm.vEt,cASIG&amp;"|"&amp;cETAPA,cASIG),_xlpm.vAsig),_xlpm.vEsEsp,ISNUMBER(_xlfn.XMATCH(_xlpm.vAsig&amp;"|"&amp;_xlpm.vEt&amp;"|Sí",cASIG&amp;"|"&amp;cETAPA&amp;"|"&amp;cESP)),_xlpm.vClave,eNIA&amp;"|"&amp;_xlpm.vEt,_xlpm.vTexto,TRIM(eNOTA&amp;""),_xlpm.vNum,IF(_xlpm.vTexto="","",IFERROR(IF(ISNUMBER(SEARCH(",",_xlpm.vTexto)),_xlfn.NUMBERVALUE(_xlpm.vTexto,","),_xlfn.NUMBERVALUE(_xlpm.vTexto,".")),"?")),SUM((_xlpm.vEt&lt;&gt;"EEM")*(_xlpm.vEt&lt;&gt;"EPM"))))</f>
      </c>
      <c r="C8" s="5" t="inlineStr">
        <is>
          <t xml:space="preserve">No pasan a ninguna hoja. Si no es cero, algún curso viene escrito de otra forma.</t>
        </is>
      </c>
    </row>
    <row r="9">
      <c r="A9" s="4" t="inlineStr">
        <is>
          <t xml:space="preserve">Filas sin nota, descartadas</t>
        </is>
      </c>
      <c r="B9" s="3" cm="1">
        <f t="array" ref="B9">IF(CONTROL!$B$4&lt;2,0,_xlfn.LET(_xlpm.vEt,RIGHT(eCURSO,3),_xlpm.vAsig,TRIM(eASIG),_xlpm.vCanon,_xlfn.IFNA(_xlfn.XLOOKUP(_xlpm.vAsig&amp;"|"&amp;_xlpm.vEt,cASIG&amp;"|"&amp;cETAPA,cASIG),_xlpm.vAsig),_xlpm.vEsEsp,ISNUMBER(_xlfn.XMATCH(_xlpm.vAsig&amp;"|"&amp;_xlpm.vEt&amp;"|Sí",cASIG&amp;"|"&amp;cETAPA&amp;"|"&amp;cESP)),_xlpm.vClave,eNIA&amp;"|"&amp;_xlpm.vEt,_xlpm.vTexto,TRIM(eNOTA&amp;""),_xlpm.vNum,IF(_xlpm.vTexto="","",IFERROR(IF(ISNUMBER(SEARCH(",",_xlpm.vTexto)),_xlfn.NUMBERVALUE(_xlpm.vTexto,","),_xlfn.NUMBERVALUE(_xlpm.vTexto,".")),"?")),SUM(--(_xlpm.vTexto=""))))</f>
      </c>
      <c r="C9" s="5" t="inlineStr">
        <is>
          <t xml:space="preserve">Casi todas son la extraordinaria de quien aprobó en la ordinaria: no se examinó.</t>
        </is>
      </c>
    </row>
    <row r="10">
      <c r="A10" s="3" t="inlineStr">
        <is>
          <t xml:space="preserve">   de ellas, de la extraordinaria</t>
        </is>
      </c>
      <c r="B10" s="3" cm="1">
        <f t="array" ref="B10">IF(CONTROL!$B$4&lt;2,0,_xlfn.LET(_xlpm.vEt,RIGHT(eCURSO,3),_xlpm.vAsig,TRIM(eASIG),_xlpm.vCanon,_xlfn.IFNA(_xlfn.XLOOKUP(_xlpm.vAsig&amp;"|"&amp;_xlpm.vEt,cASIG&amp;"|"&amp;cETAPA,cASIG),_xlpm.vAsig),_xlpm.vEsEsp,ISNUMBER(_xlfn.XMATCH(_xlpm.vAsig&amp;"|"&amp;_xlpm.vEt&amp;"|Sí",cASIG&amp;"|"&amp;cETAPA&amp;"|"&amp;cESP)),_xlpm.vClave,eNIA&amp;"|"&amp;_xlpm.vEt,_xlpm.vTexto,TRIM(eNOTA&amp;""),_xlpm.vNum,IF(_xlpm.vTexto="","",IFERROR(IF(ISNUMBER(SEARCH(",",_xlpm.vTexto)),_xlfn.NUMBERVALUE(_xlpm.vTexto,","),_xlfn.NUMBERVALUE(_xlpm.vTexto,".")),"?")),SUM((_xlpm.vTexto="")*(eEVAL="EX"))))</f>
      </c>
      <c r="C10" s="5"/>
    </row>
    <row r="11">
      <c r="A11" s="4" t="inlineStr">
        <is>
          <t xml:space="preserve">Filas con una nota que no es un número</t>
        </is>
      </c>
      <c r="B11" s="3" cm="1">
        <f t="array" ref="B11">IF(CONTROL!$B$4&lt;2,0,_xlfn.LET(_xlpm.vEt,RIGHT(eCURSO,3),_xlpm.vAsig,TRIM(eASIG),_xlpm.vCanon,_xlfn.IFNA(_xlfn.XLOOKUP(_xlpm.vAsig&amp;"|"&amp;_xlpm.vEt,cASIG&amp;"|"&amp;cETAPA,cASIG),_xlpm.vAsig),_xlpm.vEsEsp,ISNUMBER(_xlfn.XMATCH(_xlpm.vAsig&amp;"|"&amp;_xlpm.vEt&amp;"|Sí",cASIG&amp;"|"&amp;cETAPA&amp;"|"&amp;cESP)),_xlpm.vClave,eNIA&amp;"|"&amp;_xlpm.vEt,_xlpm.vTexto,TRIM(eNOTA&amp;""),_xlpm.vNum,IF(_xlpm.vTexto="","",IFERROR(IF(ISNUMBER(SEARCH(",",_xlpm.vTexto)),_xlfn.NUMBERVALUE(_xlpm.vTexto,","),_xlfn.NUMBERVALUE(_xlpm.vTexto,".")),"?")),SUM((_xlpm.vTexto&lt;&gt;"")*(_xlpm.vNum="?"))))</f>
      </c>
      <c r="C11" s="5" t="inlineStr">
        <is>
          <t xml:space="preserve">Tampoco pasan. Si no es cero, hay que ver qué traen.</t>
        </is>
      </c>
    </row>
    <row r="12">
      <c r="A12" s="4" t="inlineStr">
        <is>
          <t xml:space="preserve">Filas que pasan a DATOS_EEM</t>
        </is>
      </c>
      <c r="B12" s="3" cm="1">
        <f t="array" ref="B12">IF(CONTROL!$B$4&lt;2,0,_xlfn.LET(_xlpm.vEt,RIGHT(eCURSO,3),_xlpm.vAsig,TRIM(eASIG),_xlpm.vCanon,_xlfn.IFNA(_xlfn.XLOOKUP(_xlpm.vAsig&amp;"|"&amp;_xlpm.vEt,cASIG&amp;"|"&amp;cETAPA,cASIG),_xlpm.vAsig),_xlpm.vEsEsp,ISNUMBER(_xlfn.XMATCH(_xlpm.vAsig&amp;"|"&amp;_xlpm.vEt&amp;"|Sí",cASIG&amp;"|"&amp;cETAPA&amp;"|"&amp;cESP)),_xlpm.vClave,eNIA&amp;"|"&amp;_xlpm.vEt,_xlpm.vTexto,TRIM(eNOTA&amp;""),_xlpm.vNum,IF(_xlpm.vTexto="","",IFERROR(IF(ISNUMBER(SEARCH(",",_xlpm.vTexto)),_xlfn.NUMBERVALUE(_xlpm.vTexto,","),_xlfn.NUMBERVALUE(_xlpm.vTexto,".")),"?")),SUM((_xlpm.vEt="EEM")*(_xlpm.vTexto&lt;&gt;"")*(_xlpm.vNum&lt;&gt;"?"))))</f>
      </c>
      <c r="C12" s="5" t="inlineStr">
        <is>
          <t xml:space="preserve">Se pegan en DATOS del analizador de Elementales. Evaluación: FI.</t>
        </is>
      </c>
    </row>
    <row r="13">
      <c r="A13" s="4" t="inlineStr">
        <is>
          <t xml:space="preserve">Filas que pasan a DATOS_EPM</t>
        </is>
      </c>
      <c r="B13" s="3" cm="1">
        <f t="array" ref="B13">IF(CONTROL!$B$4&lt;2,0,_xlfn.LET(_xlpm.vEt,RIGHT(eCURSO,3),_xlpm.vAsig,TRIM(eASIG),_xlpm.vCanon,_xlfn.IFNA(_xlfn.XLOOKUP(_xlpm.vAsig&amp;"|"&amp;_xlpm.vEt,cASIG&amp;"|"&amp;cETAPA,cASIG),_xlpm.vAsig),_xlpm.vEsEsp,ISNUMBER(_xlfn.XMATCH(_xlpm.vAsig&amp;"|"&amp;_xlpm.vEt&amp;"|Sí",cASIG&amp;"|"&amp;cETAPA&amp;"|"&amp;cESP)),_xlpm.vClave,eNIA&amp;"|"&amp;_xlpm.vEt,_xlpm.vTexto,TRIM(eNOTA&amp;""),_xlpm.vNum,IF(_xlpm.vTexto="","",IFERROR(IF(ISNUMBER(SEARCH(",",_xlpm.vTexto)),_xlfn.NUMBERVALUE(_xlpm.vTexto,","),_xlfn.NUMBERVALUE(_xlpm.vTexto,".")),"?")),SUM((_xlpm.vEt="EPM")*(_xlpm.vTexto&lt;&gt;"")*(_xlpm.vNum&lt;&gt;"?"))))</f>
      </c>
      <c r="C13" s="5" t="inlineStr">
        <is>
          <t xml:space="preserve">Se pegan en DATOS del analizador de Profesionales. Evaluación: OR+EX.</t>
        </is>
      </c>
    </row>
    <row r="14">
      <c r="A14" s="4" t="inlineStr">
        <is>
          <t xml:space="preserve">Evaluaciones en elemental</t>
        </is>
      </c>
      <c r="B14" s="3" cm="1">
        <f t="array" ref="B14">IF(CONTROL!$B$4&lt;2,"—",_xlfn.LET(_xlpm.vEt,RIGHT(eCURSO,3),_xlpm.vAsig,TRIM(eASIG),_xlpm.vCanon,_xlfn.IFNA(_xlfn.XLOOKUP(_xlpm.vAsig&amp;"|"&amp;_xlpm.vEt,cASIG&amp;"|"&amp;cETAPA,cASIG),_xlpm.vAsig),_xlpm.vEsEsp,ISNUMBER(_xlfn.XMATCH(_xlpm.vAsig&amp;"|"&amp;_xlpm.vEt&amp;"|Sí",cASIG&amp;"|"&amp;cETAPA&amp;"|"&amp;cESP)),_xlpm.vClave,eNIA&amp;"|"&amp;_xlpm.vEt,_xlpm.vTexto,TRIM(eNOTA&amp;""),_xlpm.vNum,IF(_xlpm.vTexto="","",IFERROR(IF(ISNUMBER(SEARCH(",",_xlpm.vTexto)),_xlfn.NUMBERVALUE(_xlpm.vTexto,","),_xlfn.NUMBERVALUE(_xlpm.vTexto,".")),"?")),_xlpm.vL,_xlfn.TEXTJOIN(" · ",TRUE,_xlfn.UNIQUE(_xlfn._xlws.FILTER(eEVAL&amp;"",_xlpm.vEt="EEM",""))),IF(_xlpm.vL="","—",_xlpm.vL)))</f>
      </c>
      <c r="C14" s="5" t="inlineStr">
        <is>
          <t xml:space="preserve">Lo esperado es FI.</t>
        </is>
      </c>
    </row>
    <row r="15">
      <c r="A15" s="4" t="inlineStr">
        <is>
          <t xml:space="preserve">Evaluaciones en profesional</t>
        </is>
      </c>
      <c r="B15" s="3" cm="1">
        <f t="array" ref="B15">IF(CONTROL!$B$4&lt;2,"—",_xlfn.LET(_xlpm.vEt,RIGHT(eCURSO,3),_xlpm.vAsig,TRIM(eASIG),_xlpm.vCanon,_xlfn.IFNA(_xlfn.XLOOKUP(_xlpm.vAsig&amp;"|"&amp;_xlpm.vEt,cASIG&amp;"|"&amp;cETAPA,cASIG),_xlpm.vAsig),_xlpm.vEsEsp,ISNUMBER(_xlfn.XMATCH(_xlpm.vAsig&amp;"|"&amp;_xlpm.vEt&amp;"|Sí",cASIG&amp;"|"&amp;cETAPA&amp;"|"&amp;cESP)),_xlpm.vClave,eNIA&amp;"|"&amp;_xlpm.vEt,_xlpm.vTexto,TRIM(eNOTA&amp;""),_xlpm.vNum,IF(_xlpm.vTexto="","",IFERROR(IF(ISNUMBER(SEARCH(",",_xlpm.vTexto)),_xlfn.NUMBERVALUE(_xlpm.vTexto,","),_xlfn.NUMBERVALUE(_xlpm.vTexto,".")),"?")),_xlpm.vL,_xlfn.TEXTJOIN(" · ",TRUE,_xlfn.UNIQUE(_xlfn._xlws.FILTER(eEVAL&amp;"",_xlpm.vEt="EPM",""))),IF(_xlpm.vL="","—",_xlpm.vL)))</f>
      </c>
      <c r="C15" s="5" t="inlineStr">
        <is>
          <t xml:space="preserve">Lo esperado es OR y EX.</t>
        </is>
      </c>
    </row>
    <row r="16">
      <c r="A16" s="4" t="inlineStr">
        <is>
          <t xml:space="preserve">Pendientes</t>
        </is>
      </c>
      <c r="B16" s="3" cm="1">
        <f t="array" ref="B16">IF(CONTROL!$B$4&lt;2,0,_xlfn.LET(_xlpm.vEt,RIGHT(eCURSO,3),_xlpm.vAsig,TRIM(eASIG),_xlpm.vCanon,_xlfn.IFNA(_xlfn.XLOOKUP(_xlpm.vAsig&amp;"|"&amp;_xlpm.vEt,cASIG&amp;"|"&amp;cETAPA,cASIG),_xlpm.vAsig),_xlpm.vEsEsp,ISNUMBER(_xlfn.XMATCH(_xlpm.vAsig&amp;"|"&amp;_xlpm.vEt&amp;"|Sí",cASIG&amp;"|"&amp;cETAPA&amp;"|"&amp;cESP)),_xlpm.vClave,eNIA&amp;"|"&amp;_xlpm.vEt,_xlpm.vTexto,TRIM(eNOTA&amp;""),_xlpm.vNum,IF(_xlpm.vTexto="","",IFERROR(IF(ISNUMBER(SEARCH(",",_xlpm.vTexto)),_xlfn.NUMBERVALUE(_xlpm.vTexto,","),_xlfn.NUMBERVALUE(_xlpm.vTexto,".")),"?")),SUM(--(TRIM(eTIPO&amp;"")="Pendiente"))))</f>
      </c>
      <c r="C16" s="5" t="inlineStr">
        <is>
          <t xml:space="preserve">Cuentan en el curso de la asignatura, no en el de matrícula.</t>
        </is>
      </c>
    </row>
    <row r="17">
      <c r="A17" s="4" t="inlineStr">
        <is>
          <t xml:space="preserve">Filas cuyo curso de matrícula es de otra etapa</t>
        </is>
      </c>
      <c r="B17" s="3" cm="1">
        <f t="array" ref="B17">IF(CONTROL!$B$4&lt;2,0,_xlfn.LET(_xlpm.vEt,RIGHT(eCURSO,3),_xlpm.vAsig,TRIM(eASIG),_xlpm.vCanon,_xlfn.IFNA(_xlfn.XLOOKUP(_xlpm.vAsig&amp;"|"&amp;_xlpm.vEt,cASIG&amp;"|"&amp;cETAPA,cASIG),_xlpm.vAsig),_xlpm.vEsEsp,ISNUMBER(_xlfn.XMATCH(_xlpm.vAsig&amp;"|"&amp;_xlpm.vEt&amp;"|Sí",cASIG&amp;"|"&amp;cETAPA&amp;"|"&amp;cESP)),_xlpm.vClave,eNIA&amp;"|"&amp;_xlpm.vEt,_xlpm.vTexto,TRIM(eNOTA&amp;""),_xlpm.vNum,IF(_xlpm.vTexto="","",IFERROR(IF(ISNUMBER(SEARCH(",",_xlpm.vTexto)),_xlfn.NUMBERVALUE(_xlpm.vTexto,","),_xlfn.NUMBERVALUE(_xlpm.vTexto,".")),"?")),SUM(--(RIGHT(eCURSOMAT,3)&lt;&gt;_xlpm.vEt))))</f>
      </c>
      <c r="C17" s="5" t="inlineStr">
        <is>
          <t xml:space="preserve">Cuentan en la etapa de la asignatura.</t>
        </is>
      </c>
    </row>
    <row r="18">
      <c r="A18" s="4" t="inlineStr">
        <is>
          <t xml:space="preserve">Alumnado distinto</t>
        </is>
      </c>
      <c r="B18" s="3" cm="1">
        <f t="array" ref="B18">IF(CONTROL!$B$4&lt;2,0,_xlfn.LET(_xlpm.vEt,RIGHT(eCURSO,3),_xlpm.vAsig,TRIM(eASIG),_xlpm.vCanon,_xlfn.IFNA(_xlfn.XLOOKUP(_xlpm.vAsig&amp;"|"&amp;_xlpm.vEt,cASIG&amp;"|"&amp;cETAPA,cASIG),_xlpm.vAsig),_xlpm.vEsEsp,ISNUMBER(_xlfn.XMATCH(_xlpm.vAsig&amp;"|"&amp;_xlpm.vEt&amp;"|Sí",cASIG&amp;"|"&amp;cETAPA&amp;"|"&amp;cESP)),_xlpm.vClave,eNIA&amp;"|"&amp;_xlpm.vEt,_xlpm.vTexto,TRIM(eNOTA&amp;""),_xlpm.vNum,IF(_xlpm.vTexto="","",IFERROR(IF(ISNUMBER(SEARCH(",",_xlpm.vTexto)),_xlfn.NUMBERVALUE(_xlpm.vTexto,","),_xlfn.NUMBERVALUE(_xlpm.vTexto,".")),"?")),IFERROR(ROWS(_xlfn.UNIQUE(_xlfn._xlws.FILTER(eNIA&amp;"",eNIA&amp;""&lt;&gt;""))),0)))</f>
      </c>
      <c r="C18" s="5" t="inlineStr">
        <is>
          <t xml:space="preserve">En DATOS lleva un número correlativo en lugar del NIA.</t>
        </is>
      </c>
    </row>
    <row r="19">
      <c r="A19" s="4" t="inlineStr">
        <is>
          <t xml:space="preserve">Alumnado con dos especialidades</t>
        </is>
      </c>
      <c r="B19" s="3" cm="1">
        <f t="array" ref="B19">IF(CONTROL!$B$4&lt;2,0,_xlfn.LET(_xlpm.vEt,RIGHT(eCURSO,3),_xlpm.vAsig,TRIM(eASIG),_xlpm.vCanon,_xlfn.IFNA(_xlfn.XLOOKUP(_xlpm.vAsig&amp;"|"&amp;_xlpm.vEt,cASIG&amp;"|"&amp;cETAPA,cASIG),_xlpm.vAsig),_xlpm.vEsEsp,ISNUMBER(_xlfn.XMATCH(_xlpm.vAsig&amp;"|"&amp;_xlpm.vEt&amp;"|Sí",cASIG&amp;"|"&amp;cETAPA&amp;"|"&amp;cESP)),_xlpm.vClave,eNIA&amp;"|"&amp;_xlpm.vEt,_xlpm.vTexto,TRIM(eNOTA&amp;""),_xlpm.vNum,IF(_xlpm.vTexto="","",IFERROR(IF(ISNUMBER(SEARCH(",",_xlpm.vTexto)),_xlfn.NUMBERVALUE(_xlpm.vTexto,","),_xlfn.NUMBERVALUE(_xlpm.vTexto,".")),"?")),IFERROR(ROWS(_xlfn.UNIQUE(_xlfn._xlws.FILTER(_xlpm.vClave&amp;"|"&amp;_xlpm.vCanon,_xlpm.vEsEsp))),0)-IFERROR(ROWS(_xlfn.UNIQUE(_xlfn._xlws.FILTER(_xlpm.vClave,_xlpm.vEsEsp))),0)))</f>
      </c>
      <c r="C19" s="5" t="inlineStr">
        <is>
          <t xml:space="preserve">Sus asignaturas comunes aparecen dos veces: lo cuenta el aviso DobleEspecialidad del analizador.</t>
        </is>
      </c>
    </row>
    <row r="20">
      <c r="A20" s="4" t="inlineStr">
        <is>
          <t xml:space="preserve">Alumnado de profesional sin especialidad reconocida</t>
        </is>
      </c>
      <c r="B20" s="3" cm="1">
        <f t="array" ref="B20">IF(CONTROL!$B$4&lt;2,0,_xlfn.LET(_xlpm.vEt,RIGHT(eCURSO,3),_xlpm.vAsig,TRIM(eASIG),_xlpm.vCanon,_xlfn.IFNA(_xlfn.XLOOKUP(_xlpm.vAsig&amp;"|"&amp;_xlpm.vEt,cASIG&amp;"|"&amp;cETAPA,cASIG),_xlpm.vAsig),_xlpm.vEsEsp,ISNUMBER(_xlfn.XMATCH(_xlpm.vAsig&amp;"|"&amp;_xlpm.vEt&amp;"|Sí",cASIG&amp;"|"&amp;cETAPA&amp;"|"&amp;cESP)),_xlpm.vClave,eNIA&amp;"|"&amp;_xlpm.vEt,_xlpm.vTexto,TRIM(eNOTA&amp;""),_xlpm.vNum,IF(_xlpm.vTexto="","",IFERROR(IF(ISNUMBER(SEARCH(",",_xlpm.vTexto)),_xlfn.NUMBERVALUE(_xlpm.vTexto,","),_xlfn.NUMBERVALUE(_xlpm.vTexto,".")),"?")),IFERROR(ROWS(_xlfn.UNIQUE(_xlfn._xlws.FILTER(_xlpm.vClave,_xlpm.vEt="EPM"))),0)-IFERROR(ROWS(_xlfn.UNIQUE(_xlfn._xlws.FILTER(_xlpm.vClave,_xlpm.vEsEsp*(_xlpm.vEt="EPM")))),0)))</f>
      </c>
      <c r="C20" s="5" t="inlineStr">
        <is>
          <t xml:space="preserve">Su columna Especialidad sale vacía. Si no es cero, falta su instrumento en CATALOGO.</t>
        </is>
      </c>
    </row>
    <row r="21">
      <c r="A21" s="4" t="inlineStr">
        <is>
          <t xml:space="preserve">Asignaturas que no están en el catálogo de su etapa</t>
        </is>
      </c>
      <c r="B21" s="3" cm="1">
        <f t="array" ref="B21">IF(CONTROL!$B$4&lt;2,0,_xlfn.LET(_xlpm.vEt,RIGHT(eCURSO,3),_xlpm.vAsig,TRIM(eASIG),_xlpm.vCanon,_xlfn.IFNA(_xlfn.XLOOKUP(_xlpm.vAsig&amp;"|"&amp;_xlpm.vEt,cASIG&amp;"|"&amp;cETAPA,cASIG),_xlpm.vAsig),_xlpm.vEsEsp,ISNUMBER(_xlfn.XMATCH(_xlpm.vAsig&amp;"|"&amp;_xlpm.vEt&amp;"|Sí",cASIG&amp;"|"&amp;cETAPA&amp;"|"&amp;cESP)),_xlpm.vClave,eNIA&amp;"|"&amp;_xlpm.vEt,_xlpm.vTexto,TRIM(eNOTA&amp;""),_xlpm.vNum,IF(_xlpm.vTexto="","",IFERROR(IF(ISNUMBER(SEARCH(",",_xlpm.vTexto)),_xlfn.NUMBERVALUE(_xlpm.vTexto,","),_xlfn.NUMBERVALUE(_xlpm.vTexto,".")),"?")),IFERROR(ROWS(_xlfn.UNIQUE(_xlfn._xlws.FILTER(_xlpm.vAsig&amp;"|"&amp;_xlpm.vEt,(_xlpm.vAsig&lt;&gt;"")*((_xlpm.vEt="EEM")+(_xlpm.vEt="EPM"))*ISNA(_xlfn.XMATCH(_xlpm.vAsig&amp;"|"&amp;_xlpm.vEt,cASIG&amp;"|"&amp;cETAPA))))),0)))</f>
      </c>
      <c r="C21" s="5" t="inlineStr">
        <is>
          <t xml:space="preserve">Pasan con el nombre que traen, y el analizador las cuenta en «FueraDeLasCifras». La lista está en INCIDENCIAS.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B91C1C"/>
  </sheetPr>
  <sheetViews>
    <sheetView workbookViewId="0"/>
  </sheetViews>
  <sheetFormatPr defaultRowHeight="15"/>
  <cols>
    <col min="1" max="1" width="30" customWidth="1"/>
    <col min="2" max="2" width="9" customWidth="1"/>
    <col min="3" max="3" width="9" customWidth="1"/>
    <col min="4" max="4" width="3" customWidth="1"/>
    <col min="5" max="5" width="30" customWidth="1"/>
    <col min="6" max="6" width="9" customWidth="1"/>
    <col min="7" max="7" width="3" customWidth="1"/>
    <col min="8" max="8" width="30" customWidth="1"/>
    <col min="9" max="9" width="9" customWidth="1"/>
    <col min="10" max="10" width="3" customWidth="1"/>
    <col min="11" max="11" width="30" customWidth="1"/>
    <col min="12" max="12" width="9" customWidth="1"/>
    <col min="13" max="13" width="9" customWidth="1"/>
    <col min="14" max="14" width="3" customWidth="1"/>
  </cols>
  <sheetData>
    <row r="1">
      <c r="A1" s="2" t="inlineStr">
        <is>
          <t xml:space="preserve">Lo que no se procesa bien</t>
        </is>
      </c>
    </row>
    <row r="2">
      <c r="A2" s="6" t="inlineStr">
        <is>
          <t xml:space="preserve">Esta hoja NO contiene datos personales: agrupa por el valor que da problemas y cuenta filas. Si hay algo distinto de «Ninguna», envíala a quien mantiene el conversor (joseluismirallesbono@gmail.com) para que se pueda incorporar.</t>
        </is>
      </c>
    </row>
    <row r="3">
      <c r="A3" s="4" t="inlineStr">
        <is>
          <t xml:space="preserve">Alumnado de profesional sin especialidad reconocida:</t>
        </is>
      </c>
      <c r="D3" s="4" cm="1">
        <f t="array" ref="D3">IF(CONTROL!$B$4&lt;2,0,_xlfn.LET(_xlpm.vEt,RIGHT(eCURSO,3),_xlpm.vAsig,TRIM(eASIG),_xlpm.vCanon,_xlfn.IFNA(_xlfn.XLOOKUP(_xlpm.vAsig&amp;"|"&amp;_xlpm.vEt,cASIG&amp;"|"&amp;cETAPA,cASIG),_xlpm.vAsig),_xlpm.vEsEsp,ISNUMBER(_xlfn.XMATCH(_xlpm.vAsig&amp;"|"&amp;_xlpm.vEt&amp;"|Sí",cASIG&amp;"|"&amp;cETAPA&amp;"|"&amp;cESP)),_xlpm.vClave,eNIA&amp;"|"&amp;_xlpm.vEt,_xlpm.vTexto,TRIM(eNOTA&amp;""),_xlpm.vNum,IF(_xlpm.vTexto="","",IFERROR(IF(ISNUMBER(SEARCH(",",_xlpm.vTexto)),_xlfn.NUMBERVALUE(_xlpm.vTexto,","),_xlfn.NUMBERVALUE(_xlpm.vTexto,".")),"?")),IFERROR(ROWS(_xlfn.UNIQUE(_xlfn._xlws.FILTER(_xlpm.vClave,_xlpm.vEt="EPM"))),0)-IFERROR(ROWS(_xlfn.UNIQUE(_xlfn._xlws.FILTER(_xlpm.vClave,_xlpm.vEsEsp*(_xlpm.vEt="EPM")))),0)))</f>
      </c>
    </row>
    <row r="4">
      <c r="A4" s="4" t="inlineStr">
        <is>
          <t xml:space="preserve">Asignaturas que no están en el catálogo</t>
        </is>
      </c>
      <c r="E4" s="4" t="inlineStr">
        <is>
          <t xml:space="preserve">Cursos que no son de ninguna etapa</t>
        </is>
      </c>
      <c r="H4" s="4" t="inlineStr">
        <is>
          <t xml:space="preserve">Notas que no son un número</t>
        </is>
      </c>
      <c r="K4" s="4" t="inlineStr">
        <is>
          <t xml:space="preserve">Evaluaciones que no son las de fin de curso</t>
        </is>
      </c>
    </row>
    <row r="5">
      <c r="A5" s="5" t="inlineStr">
        <is>
          <t xml:space="preserve">Pasan con el nombre que traen y el analizador no las enseña: las cuenta en «FueraDeLasCifras». Si una es una especialidad, además su alumnado se queda sin especialidad.</t>
        </is>
      </c>
      <c r="E5" s="5" t="inlineStr">
        <is>
          <t xml:space="preserve">No pasan a ninguna hoja. El curso tiene que acabar en EEM o EPM (1EEM, 3EPM…).</t>
        </is>
      </c>
      <c r="H5" s="5" t="inlineStr">
        <is>
          <t xml:space="preserve">No pasan. El analizador solo entiende notas numéricas.</t>
        </is>
      </c>
      <c r="K5" s="5" t="inlineStr">
        <is>
          <t xml:space="preserve">Pasan, pero el analizador solo las cuenta si se elige esa evaluación. Lo esperado es FI en elemental, y OR y EX en profesional.</t>
        </is>
      </c>
    </row>
    <row r="6">
      <c r="A6" s="1" t="inlineStr">
        <is>
          <t xml:space="preserve">Asignatura, tal como viene</t>
        </is>
      </c>
      <c r="B6" s="1" t="inlineStr">
        <is>
          <t xml:space="preserve">Etapa</t>
        </is>
      </c>
      <c r="C6" s="1" t="inlineStr">
        <is>
          <t xml:space="preserve">Filas</t>
        </is>
      </c>
      <c r="E6" s="1" t="inlineStr">
        <is>
          <t xml:space="preserve">Curso, tal como viene</t>
        </is>
      </c>
      <c r="F6" s="1" t="inlineStr">
        <is>
          <t xml:space="preserve">Filas</t>
        </is>
      </c>
      <c r="H6" s="1" t="inlineStr">
        <is>
          <t xml:space="preserve">Nota, tal como viene</t>
        </is>
      </c>
      <c r="I6" s="1" t="inlineStr">
        <is>
          <t xml:space="preserve">Filas</t>
        </is>
      </c>
      <c r="K6" s="1" t="inlineStr">
        <is>
          <t xml:space="preserve">Evaluación</t>
        </is>
      </c>
      <c r="L6" s="1" t="inlineStr">
        <is>
          <t xml:space="preserve">Etapa</t>
        </is>
      </c>
      <c r="M6" s="1" t="inlineStr">
        <is>
          <t xml:space="preserve">Filas</t>
        </is>
      </c>
    </row>
    <row r="7">
      <c r="A7" s="0" cm="1">
        <f t="array" ref="A7">IF(CONTROL!$B$4&lt;2,"Sin datos",IFERROR(_xlfn.LET(_xlpm.vEt,RIGHT(eCURSO,3),_xlpm.vAsig,TRIM(eASIG),_xlpm.vCanon,_xlfn.IFNA(_xlfn.XLOOKUP(_xlpm.vAsig&amp;"|"&amp;_xlpm.vEt,cASIG&amp;"|"&amp;cETAPA,cASIG),_xlpm.vAsig),_xlpm.vEsEsp,ISNUMBER(_xlfn.XMATCH(_xlpm.vAsig&amp;"|"&amp;_xlpm.vEt&amp;"|Sí",cASIG&amp;"|"&amp;cETAPA&amp;"|"&amp;cESP)),_xlpm.vClave,eNIA&amp;"|"&amp;_xlpm.vEt,_xlpm.vTexto,TRIM(eNOTA&amp;""),_xlpm.vNum,IF(_xlpm.vTexto="","",IFERROR(IF(ISNUMBER(SEARCH(",",_xlpm.vTexto)),_xlfn.NUMBERVALUE(_xlpm.vTexto,","),_xlfn.NUMBERVALUE(_xlpm.vTexto,".")),"?")),_xlpm.vCond,(_xlpm.vAsig&lt;&gt;"")*((_xlpm.vEt="EEM")+(_xlpm.vEt="EPM"))*ISNA(_xlfn.XMATCH(_xlpm.vAsig&amp;"|"&amp;_xlpm.vEt,cASIG&amp;"|"&amp;cETAPA)),_xlpm.vK,_xlfn._xlws.FILTER(_xlpm.vAsig&amp;"|"&amp;_xlpm.vEt,_xlpm.vCond),_xlpm.vU,_xlfn.UNIQUE(_xlfn._xlws.FILTER(CHOOSE({1,2},_xlpm.vAsig,_xlpm.vEt),_xlpm.vCond)),_xlpm.vN,MMULT(--((INDEX(_xlpm.vU,0,1)&amp;"|"&amp;INDEX(_xlpm.vU,0,2))=TRANSPOSE(_xlpm.vK)),_xlfn.SEQUENCE(ROWS(_xlpm.vK),1,1,0)),_xlfn._xlws.SORT(CHOOSE({1,2,3},INDEX(_xlpm.vU,0,1),INDEX(_xlpm.vU,0,2),_xlpm.vN),3,-1)),"Ninguna"))</f>
      </c>
      <c r="E7" s="0" cm="1">
        <f t="array" ref="E7">IF(CONTROL!$B$4&lt;2,"Sin datos",IFERROR(_xlfn.LET(_xlpm.vEt,RIGHT(eCURSO,3),_xlpm.vAsig,TRIM(eASIG),_xlpm.vCanon,_xlfn.IFNA(_xlfn.XLOOKUP(_xlpm.vAsig&amp;"|"&amp;_xlpm.vEt,cASIG&amp;"|"&amp;cETAPA,cASIG),_xlpm.vAsig),_xlpm.vEsEsp,ISNUMBER(_xlfn.XMATCH(_xlpm.vAsig&amp;"|"&amp;_xlpm.vEt&amp;"|Sí",cASIG&amp;"|"&amp;cETAPA&amp;"|"&amp;cESP)),_xlpm.vClave,eNIA&amp;"|"&amp;_xlpm.vEt,_xlpm.vTexto,TRIM(eNOTA&amp;""),_xlpm.vNum,IF(_xlpm.vTexto="","",IFERROR(IF(ISNUMBER(SEARCH(",",_xlpm.vTexto)),_xlfn.NUMBERVALUE(_xlpm.vTexto,","),_xlfn.NUMBERVALUE(_xlpm.vTexto,".")),"?")),_xlpm.vCond,(_xlpm.vEt&lt;&gt;"EEM")*(_xlpm.vEt&lt;&gt;"EPM"),_xlpm.vK,_xlfn._xlws.FILTER(eCURSO&amp;"",_xlpm.vCond),_xlpm.vU,_xlfn.UNIQUE(_xlfn._xlws.FILTER(CHOOSE({1},eCURSO&amp;""),_xlpm.vCond)),_xlpm.vN,MMULT(--((INDEX(_xlpm.vU,0,1))=TRANSPOSE(_xlpm.vK)),_xlfn.SEQUENCE(ROWS(_xlpm.vK),1,1,0)),_xlfn._xlws.SORT(CHOOSE({1,2},INDEX(_xlpm.vU,0,1),_xlpm.vN),2,-1)),"Ninguna"))</f>
      </c>
      <c r="H7" s="0" cm="1">
        <f t="array" ref="H7">IF(CONTROL!$B$4&lt;2,"Sin datos",IFERROR(_xlfn.LET(_xlpm.vEt,RIGHT(eCURSO,3),_xlpm.vAsig,TRIM(eASIG),_xlpm.vCanon,_xlfn.IFNA(_xlfn.XLOOKUP(_xlpm.vAsig&amp;"|"&amp;_xlpm.vEt,cASIG&amp;"|"&amp;cETAPA,cASIG),_xlpm.vAsig),_xlpm.vEsEsp,ISNUMBER(_xlfn.XMATCH(_xlpm.vAsig&amp;"|"&amp;_xlpm.vEt&amp;"|Sí",cASIG&amp;"|"&amp;cETAPA&amp;"|"&amp;cESP)),_xlpm.vClave,eNIA&amp;"|"&amp;_xlpm.vEt,_xlpm.vTexto,TRIM(eNOTA&amp;""),_xlpm.vNum,IF(_xlpm.vTexto="","",IFERROR(IF(ISNUMBER(SEARCH(",",_xlpm.vTexto)),_xlfn.NUMBERVALUE(_xlpm.vTexto,","),_xlfn.NUMBERVALUE(_xlpm.vTexto,".")),"?")),_xlpm.vCond,(_xlpm.vTexto&lt;&gt;"")*(_xlpm.vNum="?"),_xlpm.vK,_xlfn._xlws.FILTER(_xlpm.vTexto,_xlpm.vCond),_xlpm.vU,_xlfn.UNIQUE(_xlfn._xlws.FILTER(CHOOSE({1},_xlpm.vTexto),_xlpm.vCond)),_xlpm.vN,MMULT(--((INDEX(_xlpm.vU,0,1))=TRANSPOSE(_xlpm.vK)),_xlfn.SEQUENCE(ROWS(_xlpm.vK),1,1,0)),_xlfn._xlws.SORT(CHOOSE({1,2},INDEX(_xlpm.vU,0,1),_xlpm.vN),2,-1)),"Ninguna"))</f>
      </c>
      <c r="K7" s="0" cm="1">
        <f t="array" ref="K7">IF(CONTROL!$B$4&lt;2,"Sin datos",IFERROR(_xlfn.LET(_xlpm.vEt,RIGHT(eCURSO,3),_xlpm.vAsig,TRIM(eASIG),_xlpm.vCanon,_xlfn.IFNA(_xlfn.XLOOKUP(_xlpm.vAsig&amp;"|"&amp;_xlpm.vEt,cASIG&amp;"|"&amp;cETAPA,cASIG),_xlpm.vAsig),_xlpm.vEsEsp,ISNUMBER(_xlfn.XMATCH(_xlpm.vAsig&amp;"|"&amp;_xlpm.vEt&amp;"|Sí",cASIG&amp;"|"&amp;cETAPA&amp;"|"&amp;cESP)),_xlpm.vClave,eNIA&amp;"|"&amp;_xlpm.vEt,_xlpm.vTexto,TRIM(eNOTA&amp;""),_xlpm.vNum,IF(_xlpm.vTexto="","",IFERROR(IF(ISNUMBER(SEARCH(",",_xlpm.vTexto)),_xlfn.NUMBERVALUE(_xlpm.vTexto,","),_xlfn.NUMBERVALUE(_xlpm.vTexto,".")),"?")),_xlpm.vCond,((_xlpm.vEt="EEM")*(eEVAL&amp;""&lt;&gt;"FI")+(_xlpm.vEt="EPM")*(eEVAL&amp;""&lt;&gt;"OR")*(eEVAL&amp;""&lt;&gt;"EX"))&gt;0,_xlpm.vK,_xlfn._xlws.FILTER(eEVAL&amp;""&amp;"|"&amp;_xlpm.vEt,_xlpm.vCond),_xlpm.vU,_xlfn.UNIQUE(_xlfn._xlws.FILTER(CHOOSE({1,2},eEVAL&amp;"",_xlpm.vEt),_xlpm.vCond)),_xlpm.vN,MMULT(--((INDEX(_xlpm.vU,0,1)&amp;"|"&amp;INDEX(_xlpm.vU,0,2))=TRANSPOSE(_xlpm.vK)),_xlfn.SEQUENCE(ROWS(_xlpm.vK),1,1,0)),_xlfn._xlws.SORT(CHOOSE({1,2,3},INDEX(_xlpm.vU,0,1),INDEX(_xlpm.vU,0,2),_xlpm.vN),3,-1)),"Ninguna"))</f>
      </c>
    </row>
  </sheetData>
  <pageMargins left="0.7" right="0.7" top="0.75" bottom="0.75" header="0.3" footer="0.3"/>
</worksheet>
</file>

<file path=docProps/core.xml><?xml version="1.0" encoding="utf-8"?>
<cp:coreProperties xmlns:cp="http://schemas.openxmlformats.org/package/2006/metadata/core-properties" xmlns:dc="http://purl.org/dc/elements/1.1/">
  <dc:title>Conversor Excel a Dashboard</dc:title>
  <dc:creator>José Luis Miralles Bono</dc:creator>
</cp:coreProperties>
</file>